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wproject\raw_data\"/>
    </mc:Choice>
  </mc:AlternateContent>
  <xr:revisionPtr revIDLastSave="0" documentId="13_ncr:1_{34BF320A-A53D-47E3-B787-74735DB53FFC}" xr6:coauthVersionLast="47" xr6:coauthVersionMax="47" xr10:uidLastSave="{00000000-0000-0000-0000-000000000000}"/>
  <bookViews>
    <workbookView xWindow="-108" yWindow="-108" windowWidth="23256" windowHeight="12456" tabRatio="817" activeTab="4" xr2:uid="{00000000-000D-0000-FFFF-FFFF00000000}"/>
  </bookViews>
  <sheets>
    <sheet name="KET" sheetId="1" r:id="rId1"/>
    <sheet name="Kode Outlet dan Target Toko" sheetId="2" r:id="rId2"/>
    <sheet name="Sheet1" sheetId="3" state="hidden" r:id="rId3"/>
    <sheet name="Sheet2" sheetId="4" r:id="rId4"/>
    <sheet name="DAILY REPORT" sheetId="5" r:id="rId5"/>
    <sheet name="MONITORING STOK" sheetId="6" r:id="rId6"/>
  </sheets>
  <externalReferences>
    <externalReference r:id="rId7"/>
  </externalReferences>
  <definedNames>
    <definedName name="_xlnm._FilterDatabase" localSheetId="4" hidden="1">'DAILY REPORT'!$A$5:$O$4766</definedName>
    <definedName name="_xlnm._FilterDatabase" localSheetId="5" hidden="1">'MONITORING STOK'!$A$5:$R$869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66" i="5" l="1"/>
  <c r="H4766" i="5"/>
  <c r="G4766" i="5"/>
  <c r="F4766" i="5"/>
  <c r="E4766" i="5"/>
  <c r="D4766" i="5"/>
  <c r="N4765" i="5"/>
  <c r="H4765" i="5"/>
  <c r="G4765" i="5"/>
  <c r="F4765" i="5"/>
  <c r="E4765" i="5"/>
  <c r="D4765" i="5"/>
  <c r="N4764" i="5"/>
  <c r="H4764" i="5"/>
  <c r="G4764" i="5"/>
  <c r="F4764" i="5"/>
  <c r="E4764" i="5"/>
  <c r="D4764" i="5"/>
  <c r="N4763" i="5"/>
  <c r="H4763" i="5"/>
  <c r="G4763" i="5"/>
  <c r="F4763" i="5"/>
  <c r="E4763" i="5"/>
  <c r="D4763" i="5"/>
  <c r="N4762" i="5"/>
  <c r="E4762" i="5"/>
  <c r="N4761" i="5"/>
  <c r="E4761" i="5"/>
  <c r="N4760" i="5"/>
  <c r="E4760" i="5"/>
  <c r="N4759" i="5"/>
  <c r="E4759" i="5"/>
  <c r="N4758" i="5"/>
  <c r="E4758" i="5"/>
  <c r="N4757" i="5"/>
  <c r="E4757" i="5"/>
  <c r="N4756" i="5"/>
  <c r="E4756" i="5"/>
  <c r="N4755" i="5"/>
  <c r="E4755" i="5"/>
  <c r="N4754" i="5"/>
  <c r="H4754" i="5"/>
  <c r="G4754" i="5"/>
  <c r="F4754" i="5"/>
  <c r="E4754" i="5"/>
  <c r="D4754" i="5"/>
  <c r="B4754" i="5"/>
  <c r="N4753" i="5"/>
  <c r="H4753" i="5"/>
  <c r="G4753" i="5"/>
  <c r="F4753" i="5"/>
  <c r="E4753" i="5"/>
  <c r="D4753" i="5"/>
  <c r="B4753" i="5"/>
  <c r="N4752" i="5"/>
  <c r="H4752" i="5"/>
  <c r="G4752" i="5"/>
  <c r="F4752" i="5"/>
  <c r="E4752" i="5"/>
  <c r="D4752" i="5"/>
  <c r="B4752" i="5"/>
  <c r="N4751" i="5"/>
  <c r="H4751" i="5"/>
  <c r="G4751" i="5"/>
  <c r="F4751" i="5"/>
  <c r="E4751" i="5"/>
  <c r="D4751" i="5"/>
  <c r="B4751" i="5"/>
  <c r="N4750" i="5"/>
  <c r="H4750" i="5"/>
  <c r="G4750" i="5"/>
  <c r="F4750" i="5"/>
  <c r="E4750" i="5"/>
  <c r="D4750" i="5"/>
  <c r="N4749" i="5"/>
  <c r="H4749" i="5"/>
  <c r="G4749" i="5"/>
  <c r="F4749" i="5"/>
  <c r="E4749" i="5"/>
  <c r="D4749" i="5"/>
  <c r="N4748" i="5"/>
  <c r="H4748" i="5"/>
  <c r="G4748" i="5"/>
  <c r="F4748" i="5"/>
  <c r="E4748" i="5"/>
  <c r="D4748" i="5"/>
  <c r="N4747" i="5"/>
  <c r="H4747" i="5"/>
  <c r="G4747" i="5"/>
  <c r="F4747" i="5"/>
  <c r="E4747" i="5"/>
  <c r="D4747" i="5"/>
  <c r="N4746" i="5"/>
  <c r="H4746" i="5"/>
  <c r="G4746" i="5"/>
  <c r="F4746" i="5"/>
  <c r="E4746" i="5"/>
  <c r="D4746" i="5"/>
  <c r="B4746" i="5"/>
  <c r="N4745" i="5"/>
  <c r="H4745" i="5"/>
  <c r="G4745" i="5"/>
  <c r="F4745" i="5"/>
  <c r="E4745" i="5"/>
  <c r="D4745" i="5"/>
  <c r="B4745" i="5"/>
  <c r="N4744" i="5"/>
  <c r="H4744" i="5"/>
  <c r="G4744" i="5"/>
  <c r="F4744" i="5"/>
  <c r="E4744" i="5"/>
  <c r="D4744" i="5"/>
  <c r="B4744" i="5"/>
  <c r="N4743" i="5"/>
  <c r="H4743" i="5"/>
  <c r="G4743" i="5"/>
  <c r="F4743" i="5"/>
  <c r="E4743" i="5"/>
  <c r="D4743" i="5"/>
  <c r="B4743" i="5"/>
  <c r="N4742" i="5"/>
  <c r="H4742" i="5"/>
  <c r="G4742" i="5"/>
  <c r="F4742" i="5"/>
  <c r="E4742" i="5"/>
  <c r="D4742" i="5"/>
  <c r="N4741" i="5"/>
  <c r="H4741" i="5"/>
  <c r="G4741" i="5"/>
  <c r="F4741" i="5"/>
  <c r="E4741" i="5"/>
  <c r="D4741" i="5"/>
  <c r="N4740" i="5"/>
  <c r="H4740" i="5"/>
  <c r="G4740" i="5"/>
  <c r="F4740" i="5"/>
  <c r="E4740" i="5"/>
  <c r="D4740" i="5"/>
  <c r="N4739" i="5"/>
  <c r="H4739" i="5"/>
  <c r="G4739" i="5"/>
  <c r="F4739" i="5"/>
  <c r="E4739" i="5"/>
  <c r="D4739" i="5"/>
  <c r="N4738" i="5"/>
  <c r="H4738" i="5"/>
  <c r="G4738" i="5"/>
  <c r="F4738" i="5"/>
  <c r="E4738" i="5"/>
  <c r="D4738" i="5"/>
  <c r="N4737" i="5"/>
  <c r="H4737" i="5"/>
  <c r="G4737" i="5"/>
  <c r="F4737" i="5"/>
  <c r="E4737" i="5"/>
  <c r="D4737" i="5"/>
  <c r="N4736" i="5"/>
  <c r="H4736" i="5"/>
  <c r="G4736" i="5"/>
  <c r="F4736" i="5"/>
  <c r="E4736" i="5"/>
  <c r="D4736" i="5"/>
  <c r="N4735" i="5"/>
  <c r="H4735" i="5"/>
  <c r="G4735" i="5"/>
  <c r="F4735" i="5"/>
  <c r="E4735" i="5"/>
  <c r="D4735" i="5"/>
  <c r="N4734" i="5"/>
  <c r="H4734" i="5"/>
  <c r="G4734" i="5"/>
  <c r="F4734" i="5"/>
  <c r="E4734" i="5"/>
  <c r="D4734" i="5"/>
  <c r="N4733" i="5"/>
  <c r="H4733" i="5"/>
  <c r="G4733" i="5"/>
  <c r="F4733" i="5"/>
  <c r="E4733" i="5"/>
  <c r="D4733" i="5"/>
  <c r="N4732" i="5"/>
  <c r="H4732" i="5"/>
  <c r="G4732" i="5"/>
  <c r="F4732" i="5"/>
  <c r="E4732" i="5"/>
  <c r="D4732" i="5"/>
  <c r="N4731" i="5"/>
  <c r="H4731" i="5"/>
  <c r="G4731" i="5"/>
  <c r="F4731" i="5"/>
  <c r="E4731" i="5"/>
  <c r="D4731" i="5"/>
  <c r="N4730" i="5"/>
  <c r="H4730" i="5"/>
  <c r="G4730" i="5"/>
  <c r="F4730" i="5"/>
  <c r="E4730" i="5"/>
  <c r="D4730" i="5"/>
  <c r="N4729" i="5"/>
  <c r="H4729" i="5"/>
  <c r="G4729" i="5"/>
  <c r="F4729" i="5"/>
  <c r="E4729" i="5"/>
  <c r="D4729" i="5"/>
  <c r="N4728" i="5"/>
  <c r="H4728" i="5"/>
  <c r="G4728" i="5"/>
  <c r="F4728" i="5"/>
  <c r="E4728" i="5"/>
  <c r="D4728" i="5"/>
  <c r="N4727" i="5"/>
  <c r="H4727" i="5"/>
  <c r="G4727" i="5"/>
  <c r="F4727" i="5"/>
  <c r="E4727" i="5"/>
  <c r="D4727" i="5"/>
  <c r="N4726" i="5"/>
  <c r="H4726" i="5"/>
  <c r="G4726" i="5"/>
  <c r="F4726" i="5"/>
  <c r="E4726" i="5"/>
  <c r="D4726" i="5"/>
  <c r="N4725" i="5"/>
  <c r="H4725" i="5"/>
  <c r="G4725" i="5"/>
  <c r="F4725" i="5"/>
  <c r="E4725" i="5"/>
  <c r="D4725" i="5"/>
  <c r="N4724" i="5"/>
  <c r="H4724" i="5"/>
  <c r="G4724" i="5"/>
  <c r="F4724" i="5"/>
  <c r="E4724" i="5"/>
  <c r="D4724" i="5"/>
  <c r="N4723" i="5"/>
  <c r="H4723" i="5"/>
  <c r="G4723" i="5"/>
  <c r="F4723" i="5"/>
  <c r="E4723" i="5"/>
  <c r="D4723" i="5"/>
  <c r="N4722" i="5"/>
  <c r="H4722" i="5"/>
  <c r="G4722" i="5"/>
  <c r="F4722" i="5"/>
  <c r="E4722" i="5"/>
  <c r="D4722" i="5"/>
  <c r="N4721" i="5"/>
  <c r="H4721" i="5"/>
  <c r="G4721" i="5"/>
  <c r="F4721" i="5"/>
  <c r="E4721" i="5"/>
  <c r="D4721" i="5"/>
  <c r="N4720" i="5"/>
  <c r="H4720" i="5"/>
  <c r="G4720" i="5"/>
  <c r="F4720" i="5"/>
  <c r="E4720" i="5"/>
  <c r="D4720" i="5"/>
  <c r="N4719" i="5"/>
  <c r="H4719" i="5"/>
  <c r="G4719" i="5"/>
  <c r="F4719" i="5"/>
  <c r="E4719" i="5"/>
  <c r="D4719" i="5"/>
  <c r="N4718" i="5"/>
  <c r="H4718" i="5"/>
  <c r="G4718" i="5"/>
  <c r="F4718" i="5"/>
  <c r="E4718" i="5"/>
  <c r="D4718" i="5"/>
  <c r="N4717" i="5"/>
  <c r="H4717" i="5"/>
  <c r="G4717" i="5"/>
  <c r="F4717" i="5"/>
  <c r="E4717" i="5"/>
  <c r="D4717" i="5"/>
  <c r="N4716" i="5"/>
  <c r="H4716" i="5"/>
  <c r="G4716" i="5"/>
  <c r="F4716" i="5"/>
  <c r="E4716" i="5"/>
  <c r="D4716" i="5"/>
  <c r="N4715" i="5"/>
  <c r="H4715" i="5"/>
  <c r="G4715" i="5"/>
  <c r="F4715" i="5"/>
  <c r="E4715" i="5"/>
  <c r="D4715" i="5"/>
  <c r="N4714" i="5"/>
  <c r="H4714" i="5"/>
  <c r="G4714" i="5"/>
  <c r="F4714" i="5"/>
  <c r="E4714" i="5"/>
  <c r="D4714" i="5"/>
  <c r="N4713" i="5"/>
  <c r="H4713" i="5"/>
  <c r="G4713" i="5"/>
  <c r="F4713" i="5"/>
  <c r="E4713" i="5"/>
  <c r="D4713" i="5"/>
  <c r="N4712" i="5"/>
  <c r="H4712" i="5"/>
  <c r="G4712" i="5"/>
  <c r="F4712" i="5"/>
  <c r="E4712" i="5"/>
  <c r="D4712" i="5"/>
  <c r="N4711" i="5"/>
  <c r="H4711" i="5"/>
  <c r="G4711" i="5"/>
  <c r="F4711" i="5"/>
  <c r="E4711" i="5"/>
  <c r="D4711" i="5"/>
  <c r="N4710" i="5"/>
  <c r="H4710" i="5"/>
  <c r="G4710" i="5"/>
  <c r="F4710" i="5"/>
  <c r="E4710" i="5"/>
  <c r="D4710" i="5"/>
  <c r="N4709" i="5"/>
  <c r="H4709" i="5"/>
  <c r="G4709" i="5"/>
  <c r="F4709" i="5"/>
  <c r="E4709" i="5"/>
  <c r="D4709" i="5"/>
  <c r="N4708" i="5"/>
  <c r="H4708" i="5"/>
  <c r="G4708" i="5"/>
  <c r="F4708" i="5"/>
  <c r="E4708" i="5"/>
  <c r="D4708" i="5"/>
  <c r="N4707" i="5"/>
  <c r="H4707" i="5"/>
  <c r="G4707" i="5"/>
  <c r="F4707" i="5"/>
  <c r="E4707" i="5"/>
  <c r="D4707" i="5"/>
  <c r="N4706" i="5"/>
  <c r="H4706" i="5"/>
  <c r="G4706" i="5"/>
  <c r="F4706" i="5"/>
  <c r="E4706" i="5"/>
  <c r="D4706" i="5"/>
  <c r="N4705" i="5"/>
  <c r="H4705" i="5"/>
  <c r="G4705" i="5"/>
  <c r="F4705" i="5"/>
  <c r="E4705" i="5"/>
  <c r="D4705" i="5"/>
  <c r="N4704" i="5"/>
  <c r="H4704" i="5"/>
  <c r="G4704" i="5"/>
  <c r="F4704" i="5"/>
  <c r="E4704" i="5"/>
  <c r="D4704" i="5"/>
  <c r="N4703" i="5"/>
  <c r="H4703" i="5"/>
  <c r="G4703" i="5"/>
  <c r="F4703" i="5"/>
  <c r="E4703" i="5"/>
  <c r="D4703" i="5"/>
  <c r="N4702" i="5"/>
  <c r="H4702" i="5"/>
  <c r="G4702" i="5"/>
  <c r="F4702" i="5"/>
  <c r="E4702" i="5"/>
  <c r="D4702" i="5"/>
  <c r="N4701" i="5"/>
  <c r="H4701" i="5"/>
  <c r="G4701" i="5"/>
  <c r="F4701" i="5"/>
  <c r="E4701" i="5"/>
  <c r="D4701" i="5"/>
  <c r="N4700" i="5"/>
  <c r="H4700" i="5"/>
  <c r="G4700" i="5"/>
  <c r="F4700" i="5"/>
  <c r="E4700" i="5"/>
  <c r="D4700" i="5"/>
  <c r="N4699" i="5"/>
  <c r="H4699" i="5"/>
  <c r="G4699" i="5"/>
  <c r="F4699" i="5"/>
  <c r="E4699" i="5"/>
  <c r="D4699" i="5"/>
  <c r="N4698" i="5"/>
  <c r="H4698" i="5"/>
  <c r="G4698" i="5"/>
  <c r="F4698" i="5"/>
  <c r="E4698" i="5"/>
  <c r="D4698" i="5"/>
  <c r="N4697" i="5"/>
  <c r="H4697" i="5"/>
  <c r="G4697" i="5"/>
  <c r="F4697" i="5"/>
  <c r="E4697" i="5"/>
  <c r="D4697" i="5"/>
  <c r="N4696" i="5"/>
  <c r="H4696" i="5"/>
  <c r="G4696" i="5"/>
  <c r="F4696" i="5"/>
  <c r="E4696" i="5"/>
  <c r="D4696" i="5"/>
  <c r="N4695" i="5"/>
  <c r="H4695" i="5"/>
  <c r="G4695" i="5"/>
  <c r="F4695" i="5"/>
  <c r="E4695" i="5"/>
  <c r="D4695" i="5"/>
  <c r="N4694" i="5"/>
  <c r="H4694" i="5"/>
  <c r="G4694" i="5"/>
  <c r="F4694" i="5"/>
  <c r="E4694" i="5"/>
  <c r="D4694" i="5"/>
  <c r="N4693" i="5"/>
  <c r="H4693" i="5"/>
  <c r="G4693" i="5"/>
  <c r="F4693" i="5"/>
  <c r="E4693" i="5"/>
  <c r="D4693" i="5"/>
  <c r="N4692" i="5"/>
  <c r="H4692" i="5"/>
  <c r="G4692" i="5"/>
  <c r="F4692" i="5"/>
  <c r="E4692" i="5"/>
  <c r="D4692" i="5"/>
  <c r="N4691" i="5"/>
  <c r="H4691" i="5"/>
  <c r="G4691" i="5"/>
  <c r="F4691" i="5"/>
  <c r="E4691" i="5"/>
  <c r="D4691" i="5"/>
  <c r="N4690" i="5"/>
  <c r="H4690" i="5"/>
  <c r="G4690" i="5"/>
  <c r="F4690" i="5"/>
  <c r="E4690" i="5"/>
  <c r="D4690" i="5"/>
  <c r="N4689" i="5"/>
  <c r="H4689" i="5"/>
  <c r="G4689" i="5"/>
  <c r="F4689" i="5"/>
  <c r="E4689" i="5"/>
  <c r="D4689" i="5"/>
  <c r="N4688" i="5"/>
  <c r="H4688" i="5"/>
  <c r="G4688" i="5"/>
  <c r="F4688" i="5"/>
  <c r="E4688" i="5"/>
  <c r="D4688" i="5"/>
  <c r="N4687" i="5"/>
  <c r="H4687" i="5"/>
  <c r="G4687" i="5"/>
  <c r="F4687" i="5"/>
  <c r="E4687" i="5"/>
  <c r="D4687" i="5"/>
  <c r="N4686" i="5"/>
  <c r="H4686" i="5"/>
  <c r="G4686" i="5"/>
  <c r="F4686" i="5"/>
  <c r="E4686" i="5"/>
  <c r="D4686" i="5"/>
  <c r="N4685" i="5"/>
  <c r="H4685" i="5"/>
  <c r="G4685" i="5"/>
  <c r="F4685" i="5"/>
  <c r="E4685" i="5"/>
  <c r="D4685" i="5"/>
  <c r="N4684" i="5"/>
  <c r="H4684" i="5"/>
  <c r="G4684" i="5"/>
  <c r="F4684" i="5"/>
  <c r="E4684" i="5"/>
  <c r="D4684" i="5"/>
  <c r="N4683" i="5"/>
  <c r="H4683" i="5"/>
  <c r="G4683" i="5"/>
  <c r="F4683" i="5"/>
  <c r="E4683" i="5"/>
  <c r="D4683" i="5"/>
  <c r="N4682" i="5"/>
  <c r="H4682" i="5"/>
  <c r="G4682" i="5"/>
  <c r="F4682" i="5"/>
  <c r="E4682" i="5"/>
  <c r="D4682" i="5"/>
  <c r="B4682" i="5"/>
  <c r="N4681" i="5"/>
  <c r="H4681" i="5"/>
  <c r="G4681" i="5"/>
  <c r="F4681" i="5"/>
  <c r="E4681" i="5"/>
  <c r="D4681" i="5"/>
  <c r="B4681" i="5"/>
  <c r="N4680" i="5"/>
  <c r="H4680" i="5"/>
  <c r="G4680" i="5"/>
  <c r="F4680" i="5"/>
  <c r="E4680" i="5"/>
  <c r="D4680" i="5"/>
  <c r="B4680" i="5"/>
  <c r="N4679" i="5"/>
  <c r="H4679" i="5"/>
  <c r="G4679" i="5"/>
  <c r="F4679" i="5"/>
  <c r="E4679" i="5"/>
  <c r="D4679" i="5"/>
  <c r="B4679" i="5"/>
  <c r="N4678" i="5"/>
  <c r="H4678" i="5"/>
  <c r="G4678" i="5"/>
  <c r="F4678" i="5"/>
  <c r="E4678" i="5"/>
  <c r="D4678" i="5"/>
  <c r="B4678" i="5"/>
  <c r="N4677" i="5"/>
  <c r="H4677" i="5"/>
  <c r="G4677" i="5"/>
  <c r="F4677" i="5"/>
  <c r="E4677" i="5"/>
  <c r="D4677" i="5"/>
  <c r="B4677" i="5"/>
  <c r="N4676" i="5"/>
  <c r="H4676" i="5"/>
  <c r="G4676" i="5"/>
  <c r="F4676" i="5"/>
  <c r="E4676" i="5"/>
  <c r="D4676" i="5"/>
  <c r="B4676" i="5"/>
  <c r="N4675" i="5"/>
  <c r="H4675" i="5"/>
  <c r="G4675" i="5"/>
  <c r="F4675" i="5"/>
  <c r="E4675" i="5"/>
  <c r="D4675" i="5"/>
  <c r="B4675" i="5"/>
  <c r="N4674" i="5"/>
  <c r="H4674" i="5"/>
  <c r="G4674" i="5"/>
  <c r="F4674" i="5"/>
  <c r="E4674" i="5"/>
  <c r="D4674" i="5"/>
  <c r="B4674" i="5"/>
  <c r="N4673" i="5"/>
  <c r="H4673" i="5"/>
  <c r="G4673" i="5"/>
  <c r="F4673" i="5"/>
  <c r="E4673" i="5"/>
  <c r="D4673" i="5"/>
  <c r="B4673" i="5"/>
  <c r="N4672" i="5"/>
  <c r="H4672" i="5"/>
  <c r="G4672" i="5"/>
  <c r="F4672" i="5"/>
  <c r="E4672" i="5"/>
  <c r="D4672" i="5"/>
  <c r="B4672" i="5"/>
  <c r="N4671" i="5"/>
  <c r="H4671" i="5"/>
  <c r="G4671" i="5"/>
  <c r="F4671" i="5"/>
  <c r="E4671" i="5"/>
  <c r="D4671" i="5"/>
  <c r="B4671" i="5"/>
  <c r="N4670" i="5"/>
  <c r="H4670" i="5"/>
  <c r="G4670" i="5"/>
  <c r="F4670" i="5"/>
  <c r="E4670" i="5"/>
  <c r="D4670" i="5"/>
  <c r="B4670" i="5"/>
  <c r="N4669" i="5"/>
  <c r="H4669" i="5"/>
  <c r="G4669" i="5"/>
  <c r="F4669" i="5"/>
  <c r="E4669" i="5"/>
  <c r="D4669" i="5"/>
  <c r="B4669" i="5"/>
  <c r="N4668" i="5"/>
  <c r="H4668" i="5"/>
  <c r="G4668" i="5"/>
  <c r="F4668" i="5"/>
  <c r="E4668" i="5"/>
  <c r="D4668" i="5"/>
  <c r="B4668" i="5"/>
  <c r="N4667" i="5"/>
  <c r="H4667" i="5"/>
  <c r="G4667" i="5"/>
  <c r="F4667" i="5"/>
  <c r="E4667" i="5"/>
  <c r="D4667" i="5"/>
  <c r="B4667" i="5"/>
  <c r="N4666" i="5"/>
  <c r="H4666" i="5"/>
  <c r="G4666" i="5"/>
  <c r="F4666" i="5"/>
  <c r="E4666" i="5"/>
  <c r="D4666" i="5"/>
  <c r="B4666" i="5"/>
  <c r="N4665" i="5"/>
  <c r="H4665" i="5"/>
  <c r="G4665" i="5"/>
  <c r="F4665" i="5"/>
  <c r="E4665" i="5"/>
  <c r="D4665" i="5"/>
  <c r="B4665" i="5"/>
  <c r="N4664" i="5"/>
  <c r="H4664" i="5"/>
  <c r="G4664" i="5"/>
  <c r="F4664" i="5"/>
  <c r="E4664" i="5"/>
  <c r="D4664" i="5"/>
  <c r="B4664" i="5"/>
  <c r="N4663" i="5"/>
  <c r="H4663" i="5"/>
  <c r="G4663" i="5"/>
  <c r="F4663" i="5"/>
  <c r="E4663" i="5"/>
  <c r="D4663" i="5"/>
  <c r="B4663" i="5"/>
  <c r="N4662" i="5"/>
  <c r="H4662" i="5"/>
  <c r="G4662" i="5"/>
  <c r="F4662" i="5"/>
  <c r="E4662" i="5"/>
  <c r="D4662" i="5"/>
  <c r="B4662" i="5"/>
  <c r="N4661" i="5"/>
  <c r="H4661" i="5"/>
  <c r="G4661" i="5"/>
  <c r="F4661" i="5"/>
  <c r="E4661" i="5"/>
  <c r="D4661" i="5"/>
  <c r="B4661" i="5"/>
  <c r="N4660" i="5"/>
  <c r="H4660" i="5"/>
  <c r="G4660" i="5"/>
  <c r="F4660" i="5"/>
  <c r="E4660" i="5"/>
  <c r="D4660" i="5"/>
  <c r="B4660" i="5"/>
  <c r="N4659" i="5"/>
  <c r="H4659" i="5"/>
  <c r="G4659" i="5"/>
  <c r="F4659" i="5"/>
  <c r="E4659" i="5"/>
  <c r="D4659" i="5"/>
  <c r="B4659" i="5"/>
  <c r="N4658" i="5"/>
  <c r="H4658" i="5"/>
  <c r="G4658" i="5"/>
  <c r="F4658" i="5"/>
  <c r="E4658" i="5"/>
  <c r="D4658" i="5"/>
  <c r="B4658" i="5"/>
  <c r="N4657" i="5"/>
  <c r="H4657" i="5"/>
  <c r="G4657" i="5"/>
  <c r="F4657" i="5"/>
  <c r="E4657" i="5"/>
  <c r="D4657" i="5"/>
  <c r="B4657" i="5"/>
  <c r="N4656" i="5"/>
  <c r="H4656" i="5"/>
  <c r="G4656" i="5"/>
  <c r="F4656" i="5"/>
  <c r="E4656" i="5"/>
  <c r="D4656" i="5"/>
  <c r="B4656" i="5"/>
  <c r="N4655" i="5"/>
  <c r="H4655" i="5"/>
  <c r="G4655" i="5"/>
  <c r="F4655" i="5"/>
  <c r="E4655" i="5"/>
  <c r="D4655" i="5"/>
  <c r="B4655" i="5"/>
  <c r="N4654" i="5"/>
  <c r="H4654" i="5"/>
  <c r="G4654" i="5"/>
  <c r="F4654" i="5"/>
  <c r="E4654" i="5"/>
  <c r="D4654" i="5"/>
  <c r="B4654" i="5"/>
  <c r="N4653" i="5"/>
  <c r="H4653" i="5"/>
  <c r="G4653" i="5"/>
  <c r="F4653" i="5"/>
  <c r="E4653" i="5"/>
  <c r="D4653" i="5"/>
  <c r="B4653" i="5"/>
  <c r="N4652" i="5"/>
  <c r="H4652" i="5"/>
  <c r="G4652" i="5"/>
  <c r="F4652" i="5"/>
  <c r="E4652" i="5"/>
  <c r="D4652" i="5"/>
  <c r="B4652" i="5"/>
  <c r="N4651" i="5"/>
  <c r="H4651" i="5"/>
  <c r="G4651" i="5"/>
  <c r="F4651" i="5"/>
  <c r="E4651" i="5"/>
  <c r="D4651" i="5"/>
  <c r="B4651" i="5"/>
  <c r="N4650" i="5"/>
  <c r="H4650" i="5"/>
  <c r="G4650" i="5"/>
  <c r="F4650" i="5"/>
  <c r="E4650" i="5"/>
  <c r="D4650" i="5"/>
  <c r="N4649" i="5"/>
  <c r="H4649" i="5"/>
  <c r="G4649" i="5"/>
  <c r="F4649" i="5"/>
  <c r="E4649" i="5"/>
  <c r="D4649" i="5"/>
  <c r="N4648" i="5"/>
  <c r="H4648" i="5"/>
  <c r="G4648" i="5"/>
  <c r="F4648" i="5"/>
  <c r="E4648" i="5"/>
  <c r="D4648" i="5"/>
  <c r="N4647" i="5"/>
  <c r="H4647" i="5"/>
  <c r="G4647" i="5"/>
  <c r="F4647" i="5"/>
  <c r="E4647" i="5"/>
  <c r="D4647" i="5"/>
  <c r="N4646" i="5"/>
  <c r="H4646" i="5"/>
  <c r="G4646" i="5"/>
  <c r="F4646" i="5"/>
  <c r="E4646" i="5"/>
  <c r="D4646" i="5"/>
  <c r="B4646" i="5"/>
  <c r="N4645" i="5"/>
  <c r="H4645" i="5"/>
  <c r="G4645" i="5"/>
  <c r="F4645" i="5"/>
  <c r="E4645" i="5"/>
  <c r="D4645" i="5"/>
  <c r="B4645" i="5"/>
  <c r="N4644" i="5"/>
  <c r="H4644" i="5"/>
  <c r="G4644" i="5"/>
  <c r="F4644" i="5"/>
  <c r="E4644" i="5"/>
  <c r="D4644" i="5"/>
  <c r="B4644" i="5"/>
  <c r="N4643" i="5"/>
  <c r="H4643" i="5"/>
  <c r="G4643" i="5"/>
  <c r="F4643" i="5"/>
  <c r="E4643" i="5"/>
  <c r="D4643" i="5"/>
  <c r="B4643" i="5"/>
  <c r="N4642" i="5"/>
  <c r="H4642" i="5"/>
  <c r="G4642" i="5"/>
  <c r="F4642" i="5"/>
  <c r="E4642" i="5"/>
  <c r="D4642" i="5"/>
  <c r="B4642" i="5"/>
  <c r="N4641" i="5"/>
  <c r="H4641" i="5"/>
  <c r="G4641" i="5"/>
  <c r="F4641" i="5"/>
  <c r="E4641" i="5"/>
  <c r="D4641" i="5"/>
  <c r="B4641" i="5"/>
  <c r="N4640" i="5"/>
  <c r="H4640" i="5"/>
  <c r="G4640" i="5"/>
  <c r="F4640" i="5"/>
  <c r="E4640" i="5"/>
  <c r="D4640" i="5"/>
  <c r="B4640" i="5"/>
  <c r="N4639" i="5"/>
  <c r="H4639" i="5"/>
  <c r="G4639" i="5"/>
  <c r="F4639" i="5"/>
  <c r="E4639" i="5"/>
  <c r="D4639" i="5"/>
  <c r="B4639" i="5"/>
  <c r="N4638" i="5"/>
  <c r="H4638" i="5"/>
  <c r="G4638" i="5"/>
  <c r="F4638" i="5"/>
  <c r="E4638" i="5"/>
  <c r="D4638" i="5"/>
  <c r="B4638" i="5"/>
  <c r="N4637" i="5"/>
  <c r="H4637" i="5"/>
  <c r="G4637" i="5"/>
  <c r="F4637" i="5"/>
  <c r="E4637" i="5"/>
  <c r="D4637" i="5"/>
  <c r="B4637" i="5"/>
  <c r="N4636" i="5"/>
  <c r="H4636" i="5"/>
  <c r="G4636" i="5"/>
  <c r="F4636" i="5"/>
  <c r="E4636" i="5"/>
  <c r="D4636" i="5"/>
  <c r="B4636" i="5"/>
  <c r="N4635" i="5"/>
  <c r="H4635" i="5"/>
  <c r="G4635" i="5"/>
  <c r="F4635" i="5"/>
  <c r="E4635" i="5"/>
  <c r="D4635" i="5"/>
  <c r="B4635" i="5"/>
  <c r="N4634" i="5"/>
  <c r="H4634" i="5"/>
  <c r="G4634" i="5"/>
  <c r="F4634" i="5"/>
  <c r="E4634" i="5"/>
  <c r="D4634" i="5"/>
  <c r="B4634" i="5"/>
  <c r="N4633" i="5"/>
  <c r="H4633" i="5"/>
  <c r="G4633" i="5"/>
  <c r="F4633" i="5"/>
  <c r="E4633" i="5"/>
  <c r="D4633" i="5"/>
  <c r="B4633" i="5"/>
  <c r="N4632" i="5"/>
  <c r="H4632" i="5"/>
  <c r="G4632" i="5"/>
  <c r="F4632" i="5"/>
  <c r="E4632" i="5"/>
  <c r="D4632" i="5"/>
  <c r="B4632" i="5"/>
  <c r="N4631" i="5"/>
  <c r="H4631" i="5"/>
  <c r="G4631" i="5"/>
  <c r="F4631" i="5"/>
  <c r="E4631" i="5"/>
  <c r="D4631" i="5"/>
  <c r="B4631" i="5"/>
  <c r="N4630" i="5"/>
  <c r="H4630" i="5"/>
  <c r="G4630" i="5"/>
  <c r="F4630" i="5"/>
  <c r="E4630" i="5"/>
  <c r="D4630" i="5"/>
  <c r="B4630" i="5"/>
  <c r="N4629" i="5"/>
  <c r="H4629" i="5"/>
  <c r="G4629" i="5"/>
  <c r="F4629" i="5"/>
  <c r="E4629" i="5"/>
  <c r="D4629" i="5"/>
  <c r="B4629" i="5"/>
  <c r="N4628" i="5"/>
  <c r="H4628" i="5"/>
  <c r="G4628" i="5"/>
  <c r="F4628" i="5"/>
  <c r="E4628" i="5"/>
  <c r="D4628" i="5"/>
  <c r="B4628" i="5"/>
  <c r="N4627" i="5"/>
  <c r="H4627" i="5"/>
  <c r="G4627" i="5"/>
  <c r="F4627" i="5"/>
  <c r="E4627" i="5"/>
  <c r="D4627" i="5"/>
  <c r="B4627" i="5"/>
  <c r="N4626" i="5"/>
  <c r="H4626" i="5"/>
  <c r="G4626" i="5"/>
  <c r="F4626" i="5"/>
  <c r="E4626" i="5"/>
  <c r="D4626" i="5"/>
  <c r="B4626" i="5"/>
  <c r="N4625" i="5"/>
  <c r="H4625" i="5"/>
  <c r="G4625" i="5"/>
  <c r="F4625" i="5"/>
  <c r="E4625" i="5"/>
  <c r="D4625" i="5"/>
  <c r="B4625" i="5"/>
  <c r="N4624" i="5"/>
  <c r="H4624" i="5"/>
  <c r="G4624" i="5"/>
  <c r="F4624" i="5"/>
  <c r="E4624" i="5"/>
  <c r="D4624" i="5"/>
  <c r="B4624" i="5"/>
  <c r="N4623" i="5"/>
  <c r="H4623" i="5"/>
  <c r="G4623" i="5"/>
  <c r="F4623" i="5"/>
  <c r="E4623" i="5"/>
  <c r="D4623" i="5"/>
  <c r="B4623" i="5"/>
  <c r="N4622" i="5"/>
  <c r="H4622" i="5"/>
  <c r="G4622" i="5"/>
  <c r="F4622" i="5"/>
  <c r="E4622" i="5"/>
  <c r="D4622" i="5"/>
  <c r="B4622" i="5"/>
  <c r="N4621" i="5"/>
  <c r="H4621" i="5"/>
  <c r="G4621" i="5"/>
  <c r="F4621" i="5"/>
  <c r="E4621" i="5"/>
  <c r="D4621" i="5"/>
  <c r="B4621" i="5"/>
  <c r="N4620" i="5"/>
  <c r="H4620" i="5"/>
  <c r="G4620" i="5"/>
  <c r="F4620" i="5"/>
  <c r="E4620" i="5"/>
  <c r="D4620" i="5"/>
  <c r="B4620" i="5"/>
  <c r="N4619" i="5"/>
  <c r="H4619" i="5"/>
  <c r="G4619" i="5"/>
  <c r="F4619" i="5"/>
  <c r="E4619" i="5"/>
  <c r="D4619" i="5"/>
  <c r="B4619" i="5"/>
  <c r="N4618" i="5"/>
  <c r="H4618" i="5"/>
  <c r="G4618" i="5"/>
  <c r="F4618" i="5"/>
  <c r="E4618" i="5"/>
  <c r="D4618" i="5"/>
  <c r="B4618" i="5"/>
  <c r="N4617" i="5"/>
  <c r="H4617" i="5"/>
  <c r="G4617" i="5"/>
  <c r="F4617" i="5"/>
  <c r="E4617" i="5"/>
  <c r="D4617" i="5"/>
  <c r="B4617" i="5"/>
  <c r="N4616" i="5"/>
  <c r="H4616" i="5"/>
  <c r="G4616" i="5"/>
  <c r="F4616" i="5"/>
  <c r="E4616" i="5"/>
  <c r="D4616" i="5"/>
  <c r="B4616" i="5"/>
  <c r="N4615" i="5"/>
  <c r="H4615" i="5"/>
  <c r="G4615" i="5"/>
  <c r="F4615" i="5"/>
  <c r="E4615" i="5"/>
  <c r="D4615" i="5"/>
  <c r="B4615" i="5"/>
  <c r="N4614" i="5"/>
  <c r="H4614" i="5"/>
  <c r="G4614" i="5"/>
  <c r="F4614" i="5"/>
  <c r="E4614" i="5"/>
  <c r="D4614" i="5"/>
  <c r="B4614" i="5"/>
  <c r="N4613" i="5"/>
  <c r="H4613" i="5"/>
  <c r="G4613" i="5"/>
  <c r="F4613" i="5"/>
  <c r="E4613" i="5"/>
  <c r="D4613" i="5"/>
  <c r="B4613" i="5"/>
  <c r="N4612" i="5"/>
  <c r="H4612" i="5"/>
  <c r="G4612" i="5"/>
  <c r="F4612" i="5"/>
  <c r="E4612" i="5"/>
  <c r="D4612" i="5"/>
  <c r="B4612" i="5"/>
  <c r="N4611" i="5"/>
  <c r="H4611" i="5"/>
  <c r="G4611" i="5"/>
  <c r="F4611" i="5"/>
  <c r="E4611" i="5"/>
  <c r="D4611" i="5"/>
  <c r="B4611" i="5"/>
  <c r="N4610" i="5"/>
  <c r="H4610" i="5"/>
  <c r="G4610" i="5"/>
  <c r="F4610" i="5"/>
  <c r="E4610" i="5"/>
  <c r="D4610" i="5"/>
  <c r="B4610" i="5"/>
  <c r="N4609" i="5"/>
  <c r="H4609" i="5"/>
  <c r="G4609" i="5"/>
  <c r="F4609" i="5"/>
  <c r="E4609" i="5"/>
  <c r="D4609" i="5"/>
  <c r="B4609" i="5"/>
  <c r="N4608" i="5"/>
  <c r="H4608" i="5"/>
  <c r="G4608" i="5"/>
  <c r="F4608" i="5"/>
  <c r="E4608" i="5"/>
  <c r="D4608" i="5"/>
  <c r="B4608" i="5"/>
  <c r="N4607" i="5"/>
  <c r="H4607" i="5"/>
  <c r="G4607" i="5"/>
  <c r="F4607" i="5"/>
  <c r="E4607" i="5"/>
  <c r="D4607" i="5"/>
  <c r="B4607" i="5"/>
  <c r="N4606" i="5"/>
  <c r="H4606" i="5"/>
  <c r="G4606" i="5"/>
  <c r="F4606" i="5"/>
  <c r="E4606" i="5"/>
  <c r="D4606" i="5"/>
  <c r="B4606" i="5"/>
  <c r="N4605" i="5"/>
  <c r="H4605" i="5"/>
  <c r="G4605" i="5"/>
  <c r="F4605" i="5"/>
  <c r="E4605" i="5"/>
  <c r="D4605" i="5"/>
  <c r="B4605" i="5"/>
  <c r="N4604" i="5"/>
  <c r="H4604" i="5"/>
  <c r="G4604" i="5"/>
  <c r="F4604" i="5"/>
  <c r="E4604" i="5"/>
  <c r="D4604" i="5"/>
  <c r="B4604" i="5"/>
  <c r="N4603" i="5"/>
  <c r="H4603" i="5"/>
  <c r="G4603" i="5"/>
  <c r="F4603" i="5"/>
  <c r="E4603" i="5"/>
  <c r="D4603" i="5"/>
  <c r="B4603" i="5"/>
  <c r="N4602" i="5"/>
  <c r="H4602" i="5"/>
  <c r="G4602" i="5"/>
  <c r="F4602" i="5"/>
  <c r="E4602" i="5"/>
  <c r="D4602" i="5"/>
  <c r="B4602" i="5"/>
  <c r="N4601" i="5"/>
  <c r="H4601" i="5"/>
  <c r="G4601" i="5"/>
  <c r="F4601" i="5"/>
  <c r="E4601" i="5"/>
  <c r="D4601" i="5"/>
  <c r="B4601" i="5"/>
  <c r="N4600" i="5"/>
  <c r="H4600" i="5"/>
  <c r="G4600" i="5"/>
  <c r="F4600" i="5"/>
  <c r="E4600" i="5"/>
  <c r="D4600" i="5"/>
  <c r="B4600" i="5"/>
  <c r="N4599" i="5"/>
  <c r="H4599" i="5"/>
  <c r="G4599" i="5"/>
  <c r="F4599" i="5"/>
  <c r="E4599" i="5"/>
  <c r="D4599" i="5"/>
  <c r="B4599" i="5"/>
  <c r="N4598" i="5"/>
  <c r="H4598" i="5"/>
  <c r="G4598" i="5"/>
  <c r="F4598" i="5"/>
  <c r="E4598" i="5"/>
  <c r="D4598" i="5"/>
  <c r="B4598" i="5"/>
  <c r="N4597" i="5"/>
  <c r="H4597" i="5"/>
  <c r="G4597" i="5"/>
  <c r="F4597" i="5"/>
  <c r="E4597" i="5"/>
  <c r="D4597" i="5"/>
  <c r="B4597" i="5"/>
  <c r="N4596" i="5"/>
  <c r="H4596" i="5"/>
  <c r="G4596" i="5"/>
  <c r="F4596" i="5"/>
  <c r="E4596" i="5"/>
  <c r="D4596" i="5"/>
  <c r="B4596" i="5"/>
  <c r="N4595" i="5"/>
  <c r="H4595" i="5"/>
  <c r="G4595" i="5"/>
  <c r="F4595" i="5"/>
  <c r="E4595" i="5"/>
  <c r="D4595" i="5"/>
  <c r="B4595" i="5"/>
  <c r="N4594" i="5"/>
  <c r="H4594" i="5"/>
  <c r="G4594" i="5"/>
  <c r="F4594" i="5"/>
  <c r="E4594" i="5"/>
  <c r="D4594" i="5"/>
  <c r="B4594" i="5"/>
  <c r="N4593" i="5"/>
  <c r="H4593" i="5"/>
  <c r="G4593" i="5"/>
  <c r="F4593" i="5"/>
  <c r="E4593" i="5"/>
  <c r="D4593" i="5"/>
  <c r="B4593" i="5"/>
  <c r="N4592" i="5"/>
  <c r="H4592" i="5"/>
  <c r="G4592" i="5"/>
  <c r="F4592" i="5"/>
  <c r="E4592" i="5"/>
  <c r="D4592" i="5"/>
  <c r="B4592" i="5"/>
  <c r="N4591" i="5"/>
  <c r="H4591" i="5"/>
  <c r="G4591" i="5"/>
  <c r="F4591" i="5"/>
  <c r="E4591" i="5"/>
  <c r="D4591" i="5"/>
  <c r="B4591" i="5"/>
  <c r="N4590" i="5"/>
  <c r="H4590" i="5"/>
  <c r="G4590" i="5"/>
  <c r="F4590" i="5"/>
  <c r="E4590" i="5"/>
  <c r="D4590" i="5"/>
  <c r="B4590" i="5"/>
  <c r="N4589" i="5"/>
  <c r="H4589" i="5"/>
  <c r="G4589" i="5"/>
  <c r="F4589" i="5"/>
  <c r="E4589" i="5"/>
  <c r="D4589" i="5"/>
  <c r="B4589" i="5"/>
  <c r="N4588" i="5"/>
  <c r="H4588" i="5"/>
  <c r="G4588" i="5"/>
  <c r="F4588" i="5"/>
  <c r="E4588" i="5"/>
  <c r="D4588" i="5"/>
  <c r="B4588" i="5"/>
  <c r="N4587" i="5"/>
  <c r="H4587" i="5"/>
  <c r="G4587" i="5"/>
  <c r="F4587" i="5"/>
  <c r="E4587" i="5"/>
  <c r="D4587" i="5"/>
  <c r="B4587" i="5"/>
  <c r="N4586" i="5"/>
  <c r="H4586" i="5"/>
  <c r="G4586" i="5"/>
  <c r="F4586" i="5"/>
  <c r="E4586" i="5"/>
  <c r="D4586" i="5"/>
  <c r="B4586" i="5"/>
  <c r="N4585" i="5"/>
  <c r="H4585" i="5"/>
  <c r="G4585" i="5"/>
  <c r="F4585" i="5"/>
  <c r="E4585" i="5"/>
  <c r="D4585" i="5"/>
  <c r="B4585" i="5"/>
  <c r="N4584" i="5"/>
  <c r="H4584" i="5"/>
  <c r="G4584" i="5"/>
  <c r="F4584" i="5"/>
  <c r="E4584" i="5"/>
  <c r="D4584" i="5"/>
  <c r="B4584" i="5"/>
  <c r="N4583" i="5"/>
  <c r="H4583" i="5"/>
  <c r="G4583" i="5"/>
  <c r="F4583" i="5"/>
  <c r="E4583" i="5"/>
  <c r="D4583" i="5"/>
  <c r="B4583" i="5"/>
  <c r="N4582" i="5"/>
  <c r="H4582" i="5"/>
  <c r="G4582" i="5"/>
  <c r="F4582" i="5"/>
  <c r="E4582" i="5"/>
  <c r="D4582" i="5"/>
  <c r="B4582" i="5"/>
  <c r="N4581" i="5"/>
  <c r="H4581" i="5"/>
  <c r="G4581" i="5"/>
  <c r="F4581" i="5"/>
  <c r="E4581" i="5"/>
  <c r="D4581" i="5"/>
  <c r="B4581" i="5"/>
  <c r="N4580" i="5"/>
  <c r="H4580" i="5"/>
  <c r="G4580" i="5"/>
  <c r="F4580" i="5"/>
  <c r="E4580" i="5"/>
  <c r="D4580" i="5"/>
  <c r="B4580" i="5"/>
  <c r="N4579" i="5"/>
  <c r="H4579" i="5"/>
  <c r="G4579" i="5"/>
  <c r="F4579" i="5"/>
  <c r="E4579" i="5"/>
  <c r="D4579" i="5"/>
  <c r="B4579" i="5"/>
  <c r="N4578" i="5"/>
  <c r="H4578" i="5"/>
  <c r="G4578" i="5"/>
  <c r="F4578" i="5"/>
  <c r="E4578" i="5"/>
  <c r="D4578" i="5"/>
  <c r="B4578" i="5"/>
  <c r="N4577" i="5"/>
  <c r="H4577" i="5"/>
  <c r="G4577" i="5"/>
  <c r="F4577" i="5"/>
  <c r="E4577" i="5"/>
  <c r="D4577" i="5"/>
  <c r="B4577" i="5"/>
  <c r="N4576" i="5"/>
  <c r="H4576" i="5"/>
  <c r="G4576" i="5"/>
  <c r="F4576" i="5"/>
  <c r="E4576" i="5"/>
  <c r="D4576" i="5"/>
  <c r="B4576" i="5"/>
  <c r="N4575" i="5"/>
  <c r="H4575" i="5"/>
  <c r="G4575" i="5"/>
  <c r="F4575" i="5"/>
  <c r="E4575" i="5"/>
  <c r="D4575" i="5"/>
  <c r="B4575" i="5"/>
  <c r="N4574" i="5"/>
  <c r="H4574" i="5"/>
  <c r="G4574" i="5"/>
  <c r="F4574" i="5"/>
  <c r="E4574" i="5"/>
  <c r="D4574" i="5"/>
  <c r="B4574" i="5"/>
  <c r="N4573" i="5"/>
  <c r="H4573" i="5"/>
  <c r="G4573" i="5"/>
  <c r="F4573" i="5"/>
  <c r="E4573" i="5"/>
  <c r="D4573" i="5"/>
  <c r="B4573" i="5"/>
  <c r="N4572" i="5"/>
  <c r="H4572" i="5"/>
  <c r="G4572" i="5"/>
  <c r="F4572" i="5"/>
  <c r="E4572" i="5"/>
  <c r="D4572" i="5"/>
  <c r="B4572" i="5"/>
  <c r="N4571" i="5"/>
  <c r="H4571" i="5"/>
  <c r="G4571" i="5"/>
  <c r="F4571" i="5"/>
  <c r="E4571" i="5"/>
  <c r="D4571" i="5"/>
  <c r="B4571" i="5"/>
  <c r="N4570" i="5"/>
  <c r="H4570" i="5"/>
  <c r="G4570" i="5"/>
  <c r="F4570" i="5"/>
  <c r="E4570" i="5"/>
  <c r="D4570" i="5"/>
  <c r="B4570" i="5"/>
  <c r="N4569" i="5"/>
  <c r="H4569" i="5"/>
  <c r="G4569" i="5"/>
  <c r="F4569" i="5"/>
  <c r="E4569" i="5"/>
  <c r="D4569" i="5"/>
  <c r="B4569" i="5"/>
  <c r="N4568" i="5"/>
  <c r="H4568" i="5"/>
  <c r="G4568" i="5"/>
  <c r="F4568" i="5"/>
  <c r="E4568" i="5"/>
  <c r="D4568" i="5"/>
  <c r="B4568" i="5"/>
  <c r="N4567" i="5"/>
  <c r="H4567" i="5"/>
  <c r="G4567" i="5"/>
  <c r="F4567" i="5"/>
  <c r="E4567" i="5"/>
  <c r="D4567" i="5"/>
  <c r="B4567" i="5"/>
  <c r="N4566" i="5"/>
  <c r="H4566" i="5"/>
  <c r="G4566" i="5"/>
  <c r="F4566" i="5"/>
  <c r="E4566" i="5"/>
  <c r="D4566" i="5"/>
  <c r="B4566" i="5"/>
  <c r="N4565" i="5"/>
  <c r="H4565" i="5"/>
  <c r="G4565" i="5"/>
  <c r="F4565" i="5"/>
  <c r="E4565" i="5"/>
  <c r="D4565" i="5"/>
  <c r="B4565" i="5"/>
  <c r="N4564" i="5"/>
  <c r="H4564" i="5"/>
  <c r="G4564" i="5"/>
  <c r="F4564" i="5"/>
  <c r="E4564" i="5"/>
  <c r="D4564" i="5"/>
  <c r="B4564" i="5"/>
  <c r="N4563" i="5"/>
  <c r="H4563" i="5"/>
  <c r="G4563" i="5"/>
  <c r="F4563" i="5"/>
  <c r="E4563" i="5"/>
  <c r="D4563" i="5"/>
  <c r="B4563" i="5"/>
  <c r="N4562" i="5"/>
  <c r="H4562" i="5"/>
  <c r="G4562" i="5"/>
  <c r="F4562" i="5"/>
  <c r="E4562" i="5"/>
  <c r="D4562" i="5"/>
  <c r="B4562" i="5"/>
  <c r="N4561" i="5"/>
  <c r="H4561" i="5"/>
  <c r="G4561" i="5"/>
  <c r="F4561" i="5"/>
  <c r="E4561" i="5"/>
  <c r="D4561" i="5"/>
  <c r="B4561" i="5"/>
  <c r="N4560" i="5"/>
  <c r="H4560" i="5"/>
  <c r="G4560" i="5"/>
  <c r="F4560" i="5"/>
  <c r="E4560" i="5"/>
  <c r="D4560" i="5"/>
  <c r="B4560" i="5"/>
  <c r="N4559" i="5"/>
  <c r="H4559" i="5"/>
  <c r="G4559" i="5"/>
  <c r="F4559" i="5"/>
  <c r="E4559" i="5"/>
  <c r="D4559" i="5"/>
  <c r="B4559" i="5"/>
  <c r="N4558" i="5"/>
  <c r="H4558" i="5"/>
  <c r="G4558" i="5"/>
  <c r="F4558" i="5"/>
  <c r="E4558" i="5"/>
  <c r="D4558" i="5"/>
  <c r="B4558" i="5"/>
  <c r="N4557" i="5"/>
  <c r="H4557" i="5"/>
  <c r="G4557" i="5"/>
  <c r="F4557" i="5"/>
  <c r="E4557" i="5"/>
  <c r="D4557" i="5"/>
  <c r="B4557" i="5"/>
  <c r="N4556" i="5"/>
  <c r="H4556" i="5"/>
  <c r="G4556" i="5"/>
  <c r="F4556" i="5"/>
  <c r="E4556" i="5"/>
  <c r="D4556" i="5"/>
  <c r="B4556" i="5"/>
  <c r="N4555" i="5"/>
  <c r="H4555" i="5"/>
  <c r="G4555" i="5"/>
  <c r="F4555" i="5"/>
  <c r="E4555" i="5"/>
  <c r="D4555" i="5"/>
  <c r="B4555" i="5"/>
  <c r="N4554" i="5"/>
  <c r="H4554" i="5"/>
  <c r="G4554" i="5"/>
  <c r="F4554" i="5"/>
  <c r="E4554" i="5"/>
  <c r="D4554" i="5"/>
  <c r="B4554" i="5"/>
  <c r="N4553" i="5"/>
  <c r="H4553" i="5"/>
  <c r="G4553" i="5"/>
  <c r="F4553" i="5"/>
  <c r="E4553" i="5"/>
  <c r="D4553" i="5"/>
  <c r="B4553" i="5"/>
  <c r="N4552" i="5"/>
  <c r="H4552" i="5"/>
  <c r="G4552" i="5"/>
  <c r="F4552" i="5"/>
  <c r="E4552" i="5"/>
  <c r="D4552" i="5"/>
  <c r="B4552" i="5"/>
  <c r="N4551" i="5"/>
  <c r="H4551" i="5"/>
  <c r="G4551" i="5"/>
  <c r="F4551" i="5"/>
  <c r="E4551" i="5"/>
  <c r="D4551" i="5"/>
  <c r="B4551" i="5"/>
  <c r="N4550" i="5"/>
  <c r="H4550" i="5"/>
  <c r="G4550" i="5"/>
  <c r="F4550" i="5"/>
  <c r="E4550" i="5"/>
  <c r="D4550" i="5"/>
  <c r="B4550" i="5"/>
  <c r="N4549" i="5"/>
  <c r="H4549" i="5"/>
  <c r="G4549" i="5"/>
  <c r="F4549" i="5"/>
  <c r="E4549" i="5"/>
  <c r="D4549" i="5"/>
  <c r="B4549" i="5"/>
  <c r="N4548" i="5"/>
  <c r="H4548" i="5"/>
  <c r="G4548" i="5"/>
  <c r="F4548" i="5"/>
  <c r="E4548" i="5"/>
  <c r="D4548" i="5"/>
  <c r="B4548" i="5"/>
  <c r="N4547" i="5"/>
  <c r="H4547" i="5"/>
  <c r="G4547" i="5"/>
  <c r="F4547" i="5"/>
  <c r="E4547" i="5"/>
  <c r="D4547" i="5"/>
  <c r="B4547" i="5"/>
  <c r="N4546" i="5"/>
  <c r="H4546" i="5"/>
  <c r="G4546" i="5"/>
  <c r="F4546" i="5"/>
  <c r="E4546" i="5"/>
  <c r="D4546" i="5"/>
  <c r="B4546" i="5"/>
  <c r="N4545" i="5"/>
  <c r="H4545" i="5"/>
  <c r="G4545" i="5"/>
  <c r="F4545" i="5"/>
  <c r="E4545" i="5"/>
  <c r="D4545" i="5"/>
  <c r="B4545" i="5"/>
  <c r="N4544" i="5"/>
  <c r="H4544" i="5"/>
  <c r="G4544" i="5"/>
  <c r="F4544" i="5"/>
  <c r="E4544" i="5"/>
  <c r="D4544" i="5"/>
  <c r="B4544" i="5"/>
  <c r="N4543" i="5"/>
  <c r="H4543" i="5"/>
  <c r="G4543" i="5"/>
  <c r="F4543" i="5"/>
  <c r="E4543" i="5"/>
  <c r="D4543" i="5"/>
  <c r="B4543" i="5"/>
  <c r="N4542" i="5"/>
  <c r="H4542" i="5"/>
  <c r="G4542" i="5"/>
  <c r="F4542" i="5"/>
  <c r="E4542" i="5"/>
  <c r="D4542" i="5"/>
  <c r="B4542" i="5"/>
  <c r="N4541" i="5"/>
  <c r="H4541" i="5"/>
  <c r="G4541" i="5"/>
  <c r="F4541" i="5"/>
  <c r="E4541" i="5"/>
  <c r="D4541" i="5"/>
  <c r="B4541" i="5"/>
  <c r="N4540" i="5"/>
  <c r="H4540" i="5"/>
  <c r="G4540" i="5"/>
  <c r="F4540" i="5"/>
  <c r="E4540" i="5"/>
  <c r="D4540" i="5"/>
  <c r="B4540" i="5"/>
  <c r="N4539" i="5"/>
  <c r="H4539" i="5"/>
  <c r="G4539" i="5"/>
  <c r="F4539" i="5"/>
  <c r="E4539" i="5"/>
  <c r="D4539" i="5"/>
  <c r="B4539" i="5"/>
  <c r="N4538" i="5"/>
  <c r="H4538" i="5"/>
  <c r="G4538" i="5"/>
  <c r="F4538" i="5"/>
  <c r="E4538" i="5"/>
  <c r="D4538" i="5"/>
  <c r="B4538" i="5"/>
  <c r="N4537" i="5"/>
  <c r="H4537" i="5"/>
  <c r="G4537" i="5"/>
  <c r="F4537" i="5"/>
  <c r="E4537" i="5"/>
  <c r="D4537" i="5"/>
  <c r="B4537" i="5"/>
  <c r="N4536" i="5"/>
  <c r="H4536" i="5"/>
  <c r="G4536" i="5"/>
  <c r="F4536" i="5"/>
  <c r="E4536" i="5"/>
  <c r="D4536" i="5"/>
  <c r="B4536" i="5"/>
  <c r="N4535" i="5"/>
  <c r="H4535" i="5"/>
  <c r="G4535" i="5"/>
  <c r="F4535" i="5"/>
  <c r="E4535" i="5"/>
  <c r="D4535" i="5"/>
  <c r="B4535" i="5"/>
  <c r="N4534" i="5"/>
  <c r="H4534" i="5"/>
  <c r="G4534" i="5"/>
  <c r="F4534" i="5"/>
  <c r="E4534" i="5"/>
  <c r="D4534" i="5"/>
  <c r="B4534" i="5"/>
  <c r="N4533" i="5"/>
  <c r="H4533" i="5"/>
  <c r="G4533" i="5"/>
  <c r="F4533" i="5"/>
  <c r="E4533" i="5"/>
  <c r="D4533" i="5"/>
  <c r="B4533" i="5"/>
  <c r="N4532" i="5"/>
  <c r="H4532" i="5"/>
  <c r="G4532" i="5"/>
  <c r="F4532" i="5"/>
  <c r="E4532" i="5"/>
  <c r="D4532" i="5"/>
  <c r="B4532" i="5"/>
  <c r="N4531" i="5"/>
  <c r="H4531" i="5"/>
  <c r="G4531" i="5"/>
  <c r="F4531" i="5"/>
  <c r="E4531" i="5"/>
  <c r="D4531" i="5"/>
  <c r="B4531" i="5"/>
  <c r="N4530" i="5"/>
  <c r="H4530" i="5"/>
  <c r="G4530" i="5"/>
  <c r="F4530" i="5"/>
  <c r="E4530" i="5"/>
  <c r="D4530" i="5"/>
  <c r="B4530" i="5"/>
  <c r="N4529" i="5"/>
  <c r="H4529" i="5"/>
  <c r="G4529" i="5"/>
  <c r="F4529" i="5"/>
  <c r="E4529" i="5"/>
  <c r="D4529" i="5"/>
  <c r="B4529" i="5"/>
  <c r="N4528" i="5"/>
  <c r="H4528" i="5"/>
  <c r="G4528" i="5"/>
  <c r="F4528" i="5"/>
  <c r="E4528" i="5"/>
  <c r="D4528" i="5"/>
  <c r="B4528" i="5"/>
  <c r="N4527" i="5"/>
  <c r="H4527" i="5"/>
  <c r="G4527" i="5"/>
  <c r="F4527" i="5"/>
  <c r="E4527" i="5"/>
  <c r="D4527" i="5"/>
  <c r="B4527" i="5"/>
  <c r="N4526" i="5"/>
  <c r="H4526" i="5"/>
  <c r="G4526" i="5"/>
  <c r="F4526" i="5"/>
  <c r="E4526" i="5"/>
  <c r="D4526" i="5"/>
  <c r="B4526" i="5"/>
  <c r="N4525" i="5"/>
  <c r="H4525" i="5"/>
  <c r="G4525" i="5"/>
  <c r="F4525" i="5"/>
  <c r="E4525" i="5"/>
  <c r="D4525" i="5"/>
  <c r="B4525" i="5"/>
  <c r="N4524" i="5"/>
  <c r="H4524" i="5"/>
  <c r="G4524" i="5"/>
  <c r="F4524" i="5"/>
  <c r="E4524" i="5"/>
  <c r="D4524" i="5"/>
  <c r="B4524" i="5"/>
  <c r="N4523" i="5"/>
  <c r="H4523" i="5"/>
  <c r="G4523" i="5"/>
  <c r="F4523" i="5"/>
  <c r="E4523" i="5"/>
  <c r="D4523" i="5"/>
  <c r="B4523" i="5"/>
  <c r="N4522" i="5"/>
  <c r="H4522" i="5"/>
  <c r="G4522" i="5"/>
  <c r="F4522" i="5"/>
  <c r="E4522" i="5"/>
  <c r="D4522" i="5"/>
  <c r="B4522" i="5"/>
  <c r="N4521" i="5"/>
  <c r="H4521" i="5"/>
  <c r="G4521" i="5"/>
  <c r="F4521" i="5"/>
  <c r="E4521" i="5"/>
  <c r="D4521" i="5"/>
  <c r="B4521" i="5"/>
  <c r="N4520" i="5"/>
  <c r="H4520" i="5"/>
  <c r="G4520" i="5"/>
  <c r="F4520" i="5"/>
  <c r="E4520" i="5"/>
  <c r="D4520" i="5"/>
  <c r="B4520" i="5"/>
  <c r="N4519" i="5"/>
  <c r="H4519" i="5"/>
  <c r="G4519" i="5"/>
  <c r="F4519" i="5"/>
  <c r="E4519" i="5"/>
  <c r="D4519" i="5"/>
  <c r="B4519" i="5"/>
  <c r="N4518" i="5"/>
  <c r="H4518" i="5"/>
  <c r="G4518" i="5"/>
  <c r="F4518" i="5"/>
  <c r="E4518" i="5"/>
  <c r="D4518" i="5"/>
  <c r="B4518" i="5"/>
  <c r="N4517" i="5"/>
  <c r="H4517" i="5"/>
  <c r="G4517" i="5"/>
  <c r="F4517" i="5"/>
  <c r="E4517" i="5"/>
  <c r="D4517" i="5"/>
  <c r="B4517" i="5"/>
  <c r="N4516" i="5"/>
  <c r="H4516" i="5"/>
  <c r="G4516" i="5"/>
  <c r="F4516" i="5"/>
  <c r="E4516" i="5"/>
  <c r="D4516" i="5"/>
  <c r="B4516" i="5"/>
  <c r="N4515" i="5"/>
  <c r="H4515" i="5"/>
  <c r="G4515" i="5"/>
  <c r="F4515" i="5"/>
  <c r="E4515" i="5"/>
  <c r="D4515" i="5"/>
  <c r="B4515" i="5"/>
  <c r="N4514" i="5"/>
  <c r="H4514" i="5"/>
  <c r="G4514" i="5"/>
  <c r="F4514" i="5"/>
  <c r="E4514" i="5"/>
  <c r="D4514" i="5"/>
  <c r="B4514" i="5"/>
  <c r="N4513" i="5"/>
  <c r="H4513" i="5"/>
  <c r="G4513" i="5"/>
  <c r="F4513" i="5"/>
  <c r="E4513" i="5"/>
  <c r="D4513" i="5"/>
  <c r="B4513" i="5"/>
  <c r="N4512" i="5"/>
  <c r="H4512" i="5"/>
  <c r="G4512" i="5"/>
  <c r="F4512" i="5"/>
  <c r="E4512" i="5"/>
  <c r="D4512" i="5"/>
  <c r="B4512" i="5"/>
  <c r="N4511" i="5"/>
  <c r="H4511" i="5"/>
  <c r="G4511" i="5"/>
  <c r="F4511" i="5"/>
  <c r="E4511" i="5"/>
  <c r="D4511" i="5"/>
  <c r="B4511" i="5"/>
  <c r="N4510" i="5"/>
  <c r="H4510" i="5"/>
  <c r="G4510" i="5"/>
  <c r="F4510" i="5"/>
  <c r="E4510" i="5"/>
  <c r="D4510" i="5"/>
  <c r="B4510" i="5"/>
  <c r="N4509" i="5"/>
  <c r="H4509" i="5"/>
  <c r="G4509" i="5"/>
  <c r="F4509" i="5"/>
  <c r="E4509" i="5"/>
  <c r="D4509" i="5"/>
  <c r="B4509" i="5"/>
  <c r="N4508" i="5"/>
  <c r="H4508" i="5"/>
  <c r="G4508" i="5"/>
  <c r="F4508" i="5"/>
  <c r="E4508" i="5"/>
  <c r="D4508" i="5"/>
  <c r="B4508" i="5"/>
  <c r="N4507" i="5"/>
  <c r="H4507" i="5"/>
  <c r="G4507" i="5"/>
  <c r="F4507" i="5"/>
  <c r="E4507" i="5"/>
  <c r="D4507" i="5"/>
  <c r="B4507" i="5"/>
  <c r="N4506" i="5"/>
  <c r="H4506" i="5"/>
  <c r="G4506" i="5"/>
  <c r="F4506" i="5"/>
  <c r="E4506" i="5"/>
  <c r="D4506" i="5"/>
  <c r="B4506" i="5"/>
  <c r="N4505" i="5"/>
  <c r="H4505" i="5"/>
  <c r="G4505" i="5"/>
  <c r="F4505" i="5"/>
  <c r="E4505" i="5"/>
  <c r="D4505" i="5"/>
  <c r="B4505" i="5"/>
  <c r="N4504" i="5"/>
  <c r="H4504" i="5"/>
  <c r="G4504" i="5"/>
  <c r="F4504" i="5"/>
  <c r="E4504" i="5"/>
  <c r="D4504" i="5"/>
  <c r="B4504" i="5"/>
  <c r="N4503" i="5"/>
  <c r="H4503" i="5"/>
  <c r="G4503" i="5"/>
  <c r="F4503" i="5"/>
  <c r="E4503" i="5"/>
  <c r="D4503" i="5"/>
  <c r="B4503" i="5"/>
  <c r="N4502" i="5"/>
  <c r="H4502" i="5"/>
  <c r="G4502" i="5"/>
  <c r="F4502" i="5"/>
  <c r="E4502" i="5"/>
  <c r="D4502" i="5"/>
  <c r="B4502" i="5"/>
  <c r="N4501" i="5"/>
  <c r="H4501" i="5"/>
  <c r="G4501" i="5"/>
  <c r="F4501" i="5"/>
  <c r="E4501" i="5"/>
  <c r="D4501" i="5"/>
  <c r="B4501" i="5"/>
  <c r="N4500" i="5"/>
  <c r="H4500" i="5"/>
  <c r="G4500" i="5"/>
  <c r="F4500" i="5"/>
  <c r="E4500" i="5"/>
  <c r="D4500" i="5"/>
  <c r="B4500" i="5"/>
  <c r="N4499" i="5"/>
  <c r="H4499" i="5"/>
  <c r="G4499" i="5"/>
  <c r="F4499" i="5"/>
  <c r="E4499" i="5"/>
  <c r="D4499" i="5"/>
  <c r="B4499" i="5"/>
  <c r="N4498" i="5"/>
  <c r="H4498" i="5"/>
  <c r="G4498" i="5"/>
  <c r="F4498" i="5"/>
  <c r="E4498" i="5"/>
  <c r="D4498" i="5"/>
  <c r="B4498" i="5"/>
  <c r="N4497" i="5"/>
  <c r="H4497" i="5"/>
  <c r="G4497" i="5"/>
  <c r="F4497" i="5"/>
  <c r="E4497" i="5"/>
  <c r="D4497" i="5"/>
  <c r="B4497" i="5"/>
  <c r="N4496" i="5"/>
  <c r="H4496" i="5"/>
  <c r="G4496" i="5"/>
  <c r="F4496" i="5"/>
  <c r="E4496" i="5"/>
  <c r="D4496" i="5"/>
  <c r="B4496" i="5"/>
  <c r="N4495" i="5"/>
  <c r="H4495" i="5"/>
  <c r="G4495" i="5"/>
  <c r="F4495" i="5"/>
  <c r="E4495" i="5"/>
  <c r="D4495" i="5"/>
  <c r="B4495" i="5"/>
  <c r="N4494" i="5"/>
  <c r="H4494" i="5"/>
  <c r="G4494" i="5"/>
  <c r="F4494" i="5"/>
  <c r="E4494" i="5"/>
  <c r="D4494" i="5"/>
  <c r="B4494" i="5"/>
  <c r="N4493" i="5"/>
  <c r="H4493" i="5"/>
  <c r="G4493" i="5"/>
  <c r="F4493" i="5"/>
  <c r="E4493" i="5"/>
  <c r="D4493" i="5"/>
  <c r="B4493" i="5"/>
  <c r="N4492" i="5"/>
  <c r="H4492" i="5"/>
  <c r="G4492" i="5"/>
  <c r="F4492" i="5"/>
  <c r="E4492" i="5"/>
  <c r="D4492" i="5"/>
  <c r="B4492" i="5"/>
  <c r="N4491" i="5"/>
  <c r="H4491" i="5"/>
  <c r="G4491" i="5"/>
  <c r="F4491" i="5"/>
  <c r="E4491" i="5"/>
  <c r="D4491" i="5"/>
  <c r="B4491" i="5"/>
  <c r="N4490" i="5"/>
  <c r="H4490" i="5"/>
  <c r="G4490" i="5"/>
  <c r="F4490" i="5"/>
  <c r="E4490" i="5"/>
  <c r="D4490" i="5"/>
  <c r="B4490" i="5"/>
  <c r="N4489" i="5"/>
  <c r="H4489" i="5"/>
  <c r="G4489" i="5"/>
  <c r="F4489" i="5"/>
  <c r="E4489" i="5"/>
  <c r="D4489" i="5"/>
  <c r="B4489" i="5"/>
  <c r="N4488" i="5"/>
  <c r="H4488" i="5"/>
  <c r="G4488" i="5"/>
  <c r="F4488" i="5"/>
  <c r="E4488" i="5"/>
  <c r="D4488" i="5"/>
  <c r="B4488" i="5"/>
  <c r="N4487" i="5"/>
  <c r="H4487" i="5"/>
  <c r="G4487" i="5"/>
  <c r="F4487" i="5"/>
  <c r="E4487" i="5"/>
  <c r="D4487" i="5"/>
  <c r="B4487" i="5"/>
  <c r="N4486" i="5"/>
  <c r="H4486" i="5"/>
  <c r="G4486" i="5"/>
  <c r="F4486" i="5"/>
  <c r="E4486" i="5"/>
  <c r="D4486" i="5"/>
  <c r="B4486" i="5"/>
  <c r="N4485" i="5"/>
  <c r="H4485" i="5"/>
  <c r="G4485" i="5"/>
  <c r="F4485" i="5"/>
  <c r="E4485" i="5"/>
  <c r="D4485" i="5"/>
  <c r="B4485" i="5"/>
  <c r="N4484" i="5"/>
  <c r="H4484" i="5"/>
  <c r="G4484" i="5"/>
  <c r="F4484" i="5"/>
  <c r="E4484" i="5"/>
  <c r="D4484" i="5"/>
  <c r="B4484" i="5"/>
  <c r="N4483" i="5"/>
  <c r="H4483" i="5"/>
  <c r="G4483" i="5"/>
  <c r="F4483" i="5"/>
  <c r="E4483" i="5"/>
  <c r="D4483" i="5"/>
  <c r="B4483" i="5"/>
  <c r="N4482" i="5"/>
  <c r="H4482" i="5"/>
  <c r="G4482" i="5"/>
  <c r="F4482" i="5"/>
  <c r="E4482" i="5"/>
  <c r="D4482" i="5"/>
  <c r="B4482" i="5"/>
  <c r="N4481" i="5"/>
  <c r="H4481" i="5"/>
  <c r="G4481" i="5"/>
  <c r="F4481" i="5"/>
  <c r="E4481" i="5"/>
  <c r="D4481" i="5"/>
  <c r="B4481" i="5"/>
  <c r="N4480" i="5"/>
  <c r="H4480" i="5"/>
  <c r="G4480" i="5"/>
  <c r="F4480" i="5"/>
  <c r="E4480" i="5"/>
  <c r="D4480" i="5"/>
  <c r="B4480" i="5"/>
  <c r="N4479" i="5"/>
  <c r="H4479" i="5"/>
  <c r="G4479" i="5"/>
  <c r="F4479" i="5"/>
  <c r="E4479" i="5"/>
  <c r="D4479" i="5"/>
  <c r="B4479" i="5"/>
  <c r="N4478" i="5"/>
  <c r="H4478" i="5"/>
  <c r="G4478" i="5"/>
  <c r="F4478" i="5"/>
  <c r="E4478" i="5"/>
  <c r="D4478" i="5"/>
  <c r="B4478" i="5"/>
  <c r="N4477" i="5"/>
  <c r="H4477" i="5"/>
  <c r="G4477" i="5"/>
  <c r="F4477" i="5"/>
  <c r="E4477" i="5"/>
  <c r="D4477" i="5"/>
  <c r="B4477" i="5"/>
  <c r="N4476" i="5"/>
  <c r="H4476" i="5"/>
  <c r="G4476" i="5"/>
  <c r="F4476" i="5"/>
  <c r="E4476" i="5"/>
  <c r="D4476" i="5"/>
  <c r="B4476" i="5"/>
  <c r="N4475" i="5"/>
  <c r="H4475" i="5"/>
  <c r="G4475" i="5"/>
  <c r="F4475" i="5"/>
  <c r="E4475" i="5"/>
  <c r="D4475" i="5"/>
  <c r="B4475" i="5"/>
  <c r="N4474" i="5"/>
  <c r="H4474" i="5"/>
  <c r="G4474" i="5"/>
  <c r="F4474" i="5"/>
  <c r="E4474" i="5"/>
  <c r="D4474" i="5"/>
  <c r="B4474" i="5"/>
  <c r="N4473" i="5"/>
  <c r="H4473" i="5"/>
  <c r="G4473" i="5"/>
  <c r="F4473" i="5"/>
  <c r="E4473" i="5"/>
  <c r="D4473" i="5"/>
  <c r="B4473" i="5"/>
  <c r="N4472" i="5"/>
  <c r="H4472" i="5"/>
  <c r="G4472" i="5"/>
  <c r="F4472" i="5"/>
  <c r="E4472" i="5"/>
  <c r="D4472" i="5"/>
  <c r="B4472" i="5"/>
  <c r="N4471" i="5"/>
  <c r="H4471" i="5"/>
  <c r="G4471" i="5"/>
  <c r="F4471" i="5"/>
  <c r="E4471" i="5"/>
  <c r="D4471" i="5"/>
  <c r="B4471" i="5"/>
  <c r="N4470" i="5"/>
  <c r="H4470" i="5"/>
  <c r="G4470" i="5"/>
  <c r="F4470" i="5"/>
  <c r="E4470" i="5"/>
  <c r="D4470" i="5"/>
  <c r="B4470" i="5"/>
  <c r="N4469" i="5"/>
  <c r="H4469" i="5"/>
  <c r="G4469" i="5"/>
  <c r="F4469" i="5"/>
  <c r="E4469" i="5"/>
  <c r="D4469" i="5"/>
  <c r="B4469" i="5"/>
  <c r="N4468" i="5"/>
  <c r="H4468" i="5"/>
  <c r="G4468" i="5"/>
  <c r="F4468" i="5"/>
  <c r="E4468" i="5"/>
  <c r="D4468" i="5"/>
  <c r="B4468" i="5"/>
  <c r="N4467" i="5"/>
  <c r="H4467" i="5"/>
  <c r="G4467" i="5"/>
  <c r="F4467" i="5"/>
  <c r="E4467" i="5"/>
  <c r="D4467" i="5"/>
  <c r="B4467" i="5"/>
  <c r="N4466" i="5"/>
  <c r="H4466" i="5"/>
  <c r="G4466" i="5"/>
  <c r="F4466" i="5"/>
  <c r="E4466" i="5"/>
  <c r="D4466" i="5"/>
  <c r="B4466" i="5"/>
  <c r="N4465" i="5"/>
  <c r="H4465" i="5"/>
  <c r="G4465" i="5"/>
  <c r="F4465" i="5"/>
  <c r="E4465" i="5"/>
  <c r="D4465" i="5"/>
  <c r="B4465" i="5"/>
  <c r="N4464" i="5"/>
  <c r="H4464" i="5"/>
  <c r="G4464" i="5"/>
  <c r="F4464" i="5"/>
  <c r="E4464" i="5"/>
  <c r="D4464" i="5"/>
  <c r="B4464" i="5"/>
  <c r="N4463" i="5"/>
  <c r="H4463" i="5"/>
  <c r="G4463" i="5"/>
  <c r="F4463" i="5"/>
  <c r="E4463" i="5"/>
  <c r="D4463" i="5"/>
  <c r="B4463" i="5"/>
  <c r="N4462" i="5"/>
  <c r="H4462" i="5"/>
  <c r="G4462" i="5"/>
  <c r="F4462" i="5"/>
  <c r="E4462" i="5"/>
  <c r="D4462" i="5"/>
  <c r="B4462" i="5"/>
  <c r="N4461" i="5"/>
  <c r="H4461" i="5"/>
  <c r="G4461" i="5"/>
  <c r="F4461" i="5"/>
  <c r="E4461" i="5"/>
  <c r="D4461" i="5"/>
  <c r="B4461" i="5"/>
  <c r="N4460" i="5"/>
  <c r="H4460" i="5"/>
  <c r="G4460" i="5"/>
  <c r="F4460" i="5"/>
  <c r="E4460" i="5"/>
  <c r="D4460" i="5"/>
  <c r="B4460" i="5"/>
  <c r="N4459" i="5"/>
  <c r="H4459" i="5"/>
  <c r="G4459" i="5"/>
  <c r="F4459" i="5"/>
  <c r="E4459" i="5"/>
  <c r="D4459" i="5"/>
  <c r="B4459" i="5"/>
  <c r="N4458" i="5"/>
  <c r="H4458" i="5"/>
  <c r="G4458" i="5"/>
  <c r="F4458" i="5"/>
  <c r="E4458" i="5"/>
  <c r="D4458" i="5"/>
  <c r="B4458" i="5"/>
  <c r="N4457" i="5"/>
  <c r="H4457" i="5"/>
  <c r="G4457" i="5"/>
  <c r="F4457" i="5"/>
  <c r="E4457" i="5"/>
  <c r="D4457" i="5"/>
  <c r="B4457" i="5"/>
  <c r="N4456" i="5"/>
  <c r="H4456" i="5"/>
  <c r="G4456" i="5"/>
  <c r="F4456" i="5"/>
  <c r="E4456" i="5"/>
  <c r="D4456" i="5"/>
  <c r="B4456" i="5"/>
  <c r="N4455" i="5"/>
  <c r="H4455" i="5"/>
  <c r="G4455" i="5"/>
  <c r="F4455" i="5"/>
  <c r="E4455" i="5"/>
  <c r="D4455" i="5"/>
  <c r="B4455" i="5"/>
  <c r="N4454" i="5"/>
  <c r="H4454" i="5"/>
  <c r="G4454" i="5"/>
  <c r="F4454" i="5"/>
  <c r="E4454" i="5"/>
  <c r="D4454" i="5"/>
  <c r="B4454" i="5"/>
  <c r="N4453" i="5"/>
  <c r="H4453" i="5"/>
  <c r="G4453" i="5"/>
  <c r="F4453" i="5"/>
  <c r="E4453" i="5"/>
  <c r="D4453" i="5"/>
  <c r="B4453" i="5"/>
  <c r="N4452" i="5"/>
  <c r="H4452" i="5"/>
  <c r="G4452" i="5"/>
  <c r="F4452" i="5"/>
  <c r="E4452" i="5"/>
  <c r="D4452" i="5"/>
  <c r="B4452" i="5"/>
  <c r="N4451" i="5"/>
  <c r="H4451" i="5"/>
  <c r="G4451" i="5"/>
  <c r="F4451" i="5"/>
  <c r="E4451" i="5"/>
  <c r="D4451" i="5"/>
  <c r="B4451" i="5"/>
  <c r="N4450" i="5"/>
  <c r="H4450" i="5"/>
  <c r="G4450" i="5"/>
  <c r="F4450" i="5"/>
  <c r="E4450" i="5"/>
  <c r="D4450" i="5"/>
  <c r="B4450" i="5"/>
  <c r="N4449" i="5"/>
  <c r="H4449" i="5"/>
  <c r="G4449" i="5"/>
  <c r="F4449" i="5"/>
  <c r="E4449" i="5"/>
  <c r="D4449" i="5"/>
  <c r="B4449" i="5"/>
  <c r="N4448" i="5"/>
  <c r="H4448" i="5"/>
  <c r="G4448" i="5"/>
  <c r="F4448" i="5"/>
  <c r="E4448" i="5"/>
  <c r="D4448" i="5"/>
  <c r="B4448" i="5"/>
  <c r="N4447" i="5"/>
  <c r="H4447" i="5"/>
  <c r="G4447" i="5"/>
  <c r="F4447" i="5"/>
  <c r="E4447" i="5"/>
  <c r="D4447" i="5"/>
  <c r="B4447" i="5"/>
  <c r="N4446" i="5"/>
  <c r="H4446" i="5"/>
  <c r="G4446" i="5"/>
  <c r="F4446" i="5"/>
  <c r="E4446" i="5"/>
  <c r="D4446" i="5"/>
  <c r="B4446" i="5"/>
  <c r="N4445" i="5"/>
  <c r="H4445" i="5"/>
  <c r="G4445" i="5"/>
  <c r="F4445" i="5"/>
  <c r="E4445" i="5"/>
  <c r="D4445" i="5"/>
  <c r="B4445" i="5"/>
  <c r="N4444" i="5"/>
  <c r="H4444" i="5"/>
  <c r="G4444" i="5"/>
  <c r="F4444" i="5"/>
  <c r="E4444" i="5"/>
  <c r="D4444" i="5"/>
  <c r="B4444" i="5"/>
  <c r="N4443" i="5"/>
  <c r="H4443" i="5"/>
  <c r="G4443" i="5"/>
  <c r="F4443" i="5"/>
  <c r="E4443" i="5"/>
  <c r="D4443" i="5"/>
  <c r="B4443" i="5"/>
  <c r="N4442" i="5"/>
  <c r="H4442" i="5"/>
  <c r="G4442" i="5"/>
  <c r="F4442" i="5"/>
  <c r="E4442" i="5"/>
  <c r="D4442" i="5"/>
  <c r="B4442" i="5"/>
  <c r="N4441" i="5"/>
  <c r="H4441" i="5"/>
  <c r="G4441" i="5"/>
  <c r="F4441" i="5"/>
  <c r="E4441" i="5"/>
  <c r="D4441" i="5"/>
  <c r="B4441" i="5"/>
  <c r="N4440" i="5"/>
  <c r="H4440" i="5"/>
  <c r="G4440" i="5"/>
  <c r="F4440" i="5"/>
  <c r="E4440" i="5"/>
  <c r="D4440" i="5"/>
  <c r="B4440" i="5"/>
  <c r="N4439" i="5"/>
  <c r="H4439" i="5"/>
  <c r="G4439" i="5"/>
  <c r="F4439" i="5"/>
  <c r="E4439" i="5"/>
  <c r="D4439" i="5"/>
  <c r="B4439" i="5"/>
  <c r="N4438" i="5"/>
  <c r="H4438" i="5"/>
  <c r="G4438" i="5"/>
  <c r="F4438" i="5"/>
  <c r="E4438" i="5"/>
  <c r="D4438" i="5"/>
  <c r="B4438" i="5"/>
  <c r="N4437" i="5"/>
  <c r="H4437" i="5"/>
  <c r="G4437" i="5"/>
  <c r="F4437" i="5"/>
  <c r="E4437" i="5"/>
  <c r="D4437" i="5"/>
  <c r="B4437" i="5"/>
  <c r="N4436" i="5"/>
  <c r="H4436" i="5"/>
  <c r="G4436" i="5"/>
  <c r="F4436" i="5"/>
  <c r="E4436" i="5"/>
  <c r="D4436" i="5"/>
  <c r="B4436" i="5"/>
  <c r="N4435" i="5"/>
  <c r="H4435" i="5"/>
  <c r="G4435" i="5"/>
  <c r="F4435" i="5"/>
  <c r="E4435" i="5"/>
  <c r="D4435" i="5"/>
  <c r="B4435" i="5"/>
  <c r="N4434" i="5"/>
  <c r="H4434" i="5"/>
  <c r="G4434" i="5"/>
  <c r="F4434" i="5"/>
  <c r="E4434" i="5"/>
  <c r="D4434" i="5"/>
  <c r="B4434" i="5"/>
  <c r="N4433" i="5"/>
  <c r="H4433" i="5"/>
  <c r="G4433" i="5"/>
  <c r="F4433" i="5"/>
  <c r="E4433" i="5"/>
  <c r="D4433" i="5"/>
  <c r="B4433" i="5"/>
  <c r="N4432" i="5"/>
  <c r="H4432" i="5"/>
  <c r="G4432" i="5"/>
  <c r="F4432" i="5"/>
  <c r="E4432" i="5"/>
  <c r="D4432" i="5"/>
  <c r="B4432" i="5"/>
  <c r="N4431" i="5"/>
  <c r="H4431" i="5"/>
  <c r="G4431" i="5"/>
  <c r="F4431" i="5"/>
  <c r="E4431" i="5"/>
  <c r="D4431" i="5"/>
  <c r="B4431" i="5"/>
  <c r="N4430" i="5"/>
  <c r="H4430" i="5"/>
  <c r="G4430" i="5"/>
  <c r="F4430" i="5"/>
  <c r="E4430" i="5"/>
  <c r="D4430" i="5"/>
  <c r="B4430" i="5"/>
  <c r="N4429" i="5"/>
  <c r="H4429" i="5"/>
  <c r="G4429" i="5"/>
  <c r="F4429" i="5"/>
  <c r="E4429" i="5"/>
  <c r="D4429" i="5"/>
  <c r="B4429" i="5"/>
  <c r="N4428" i="5"/>
  <c r="H4428" i="5"/>
  <c r="G4428" i="5"/>
  <c r="F4428" i="5"/>
  <c r="E4428" i="5"/>
  <c r="D4428" i="5"/>
  <c r="B4428" i="5"/>
  <c r="N4427" i="5"/>
  <c r="H4427" i="5"/>
  <c r="G4427" i="5"/>
  <c r="F4427" i="5"/>
  <c r="E4427" i="5"/>
  <c r="D4427" i="5"/>
  <c r="B4427" i="5"/>
  <c r="N4426" i="5"/>
  <c r="H4426" i="5"/>
  <c r="G4426" i="5"/>
  <c r="F4426" i="5"/>
  <c r="E4426" i="5"/>
  <c r="D4426" i="5"/>
  <c r="B4426" i="5"/>
  <c r="N4425" i="5"/>
  <c r="H4425" i="5"/>
  <c r="G4425" i="5"/>
  <c r="F4425" i="5"/>
  <c r="E4425" i="5"/>
  <c r="D4425" i="5"/>
  <c r="B4425" i="5"/>
  <c r="N4424" i="5"/>
  <c r="H4424" i="5"/>
  <c r="G4424" i="5"/>
  <c r="F4424" i="5"/>
  <c r="E4424" i="5"/>
  <c r="D4424" i="5"/>
  <c r="B4424" i="5"/>
  <c r="N4423" i="5"/>
  <c r="H4423" i="5"/>
  <c r="G4423" i="5"/>
  <c r="F4423" i="5"/>
  <c r="E4423" i="5"/>
  <c r="D4423" i="5"/>
  <c r="B4423" i="5"/>
  <c r="N4422" i="5"/>
  <c r="H4422" i="5"/>
  <c r="G4422" i="5"/>
  <c r="F4422" i="5"/>
  <c r="E4422" i="5"/>
  <c r="D4422" i="5"/>
  <c r="B4422" i="5"/>
  <c r="N4421" i="5"/>
  <c r="H4421" i="5"/>
  <c r="G4421" i="5"/>
  <c r="F4421" i="5"/>
  <c r="E4421" i="5"/>
  <c r="D4421" i="5"/>
  <c r="B4421" i="5"/>
  <c r="N4420" i="5"/>
  <c r="H4420" i="5"/>
  <c r="G4420" i="5"/>
  <c r="F4420" i="5"/>
  <c r="E4420" i="5"/>
  <c r="D4420" i="5"/>
  <c r="B4420" i="5"/>
  <c r="N4419" i="5"/>
  <c r="H4419" i="5"/>
  <c r="G4419" i="5"/>
  <c r="F4419" i="5"/>
  <c r="E4419" i="5"/>
  <c r="D4419" i="5"/>
  <c r="B4419" i="5"/>
  <c r="N4418" i="5"/>
  <c r="H4418" i="5"/>
  <c r="G4418" i="5"/>
  <c r="F4418" i="5"/>
  <c r="E4418" i="5"/>
  <c r="D4418" i="5"/>
  <c r="B4418" i="5"/>
  <c r="N4417" i="5"/>
  <c r="H4417" i="5"/>
  <c r="G4417" i="5"/>
  <c r="F4417" i="5"/>
  <c r="E4417" i="5"/>
  <c r="D4417" i="5"/>
  <c r="B4417" i="5"/>
  <c r="N4416" i="5"/>
  <c r="H4416" i="5"/>
  <c r="G4416" i="5"/>
  <c r="F4416" i="5"/>
  <c r="E4416" i="5"/>
  <c r="D4416" i="5"/>
  <c r="B4416" i="5"/>
  <c r="N4415" i="5"/>
  <c r="H4415" i="5"/>
  <c r="G4415" i="5"/>
  <c r="F4415" i="5"/>
  <c r="E4415" i="5"/>
  <c r="D4415" i="5"/>
  <c r="B4415" i="5"/>
  <c r="N4414" i="5"/>
  <c r="H4414" i="5"/>
  <c r="G4414" i="5"/>
  <c r="F4414" i="5"/>
  <c r="E4414" i="5"/>
  <c r="D4414" i="5"/>
  <c r="B4414" i="5"/>
  <c r="N4413" i="5"/>
  <c r="H4413" i="5"/>
  <c r="G4413" i="5"/>
  <c r="F4413" i="5"/>
  <c r="E4413" i="5"/>
  <c r="D4413" i="5"/>
  <c r="B4413" i="5"/>
  <c r="N4412" i="5"/>
  <c r="H4412" i="5"/>
  <c r="G4412" i="5"/>
  <c r="F4412" i="5"/>
  <c r="E4412" i="5"/>
  <c r="D4412" i="5"/>
  <c r="B4412" i="5"/>
  <c r="N4411" i="5"/>
  <c r="H4411" i="5"/>
  <c r="G4411" i="5"/>
  <c r="F4411" i="5"/>
  <c r="E4411" i="5"/>
  <c r="D4411" i="5"/>
  <c r="B4411" i="5"/>
  <c r="N4410" i="5"/>
  <c r="H4410" i="5"/>
  <c r="G4410" i="5"/>
  <c r="F4410" i="5"/>
  <c r="E4410" i="5"/>
  <c r="D4410" i="5"/>
  <c r="B4410" i="5"/>
  <c r="N4409" i="5"/>
  <c r="H4409" i="5"/>
  <c r="G4409" i="5"/>
  <c r="F4409" i="5"/>
  <c r="E4409" i="5"/>
  <c r="D4409" i="5"/>
  <c r="B4409" i="5"/>
  <c r="N4408" i="5"/>
  <c r="H4408" i="5"/>
  <c r="G4408" i="5"/>
  <c r="F4408" i="5"/>
  <c r="E4408" i="5"/>
  <c r="D4408" i="5"/>
  <c r="B4408" i="5"/>
  <c r="N4407" i="5"/>
  <c r="H4407" i="5"/>
  <c r="G4407" i="5"/>
  <c r="F4407" i="5"/>
  <c r="E4407" i="5"/>
  <c r="D4407" i="5"/>
  <c r="B4407" i="5"/>
  <c r="N4406" i="5"/>
  <c r="H4406" i="5"/>
  <c r="G4406" i="5"/>
  <c r="F4406" i="5"/>
  <c r="E4406" i="5"/>
  <c r="D4406" i="5"/>
  <c r="B4406" i="5"/>
  <c r="N4405" i="5"/>
  <c r="H4405" i="5"/>
  <c r="G4405" i="5"/>
  <c r="F4405" i="5"/>
  <c r="E4405" i="5"/>
  <c r="D4405" i="5"/>
  <c r="B4405" i="5"/>
  <c r="N4404" i="5"/>
  <c r="H4404" i="5"/>
  <c r="G4404" i="5"/>
  <c r="F4404" i="5"/>
  <c r="E4404" i="5"/>
  <c r="D4404" i="5"/>
  <c r="B4404" i="5"/>
  <c r="N4403" i="5"/>
  <c r="H4403" i="5"/>
  <c r="G4403" i="5"/>
  <c r="F4403" i="5"/>
  <c r="E4403" i="5"/>
  <c r="D4403" i="5"/>
  <c r="B4403" i="5"/>
  <c r="N4402" i="5"/>
  <c r="H4402" i="5"/>
  <c r="G4402" i="5"/>
  <c r="F4402" i="5"/>
  <c r="E4402" i="5"/>
  <c r="D4402" i="5"/>
  <c r="B4402" i="5"/>
  <c r="N4401" i="5"/>
  <c r="H4401" i="5"/>
  <c r="G4401" i="5"/>
  <c r="F4401" i="5"/>
  <c r="E4401" i="5"/>
  <c r="D4401" i="5"/>
  <c r="B4401" i="5"/>
  <c r="N4400" i="5"/>
  <c r="H4400" i="5"/>
  <c r="G4400" i="5"/>
  <c r="F4400" i="5"/>
  <c r="E4400" i="5"/>
  <c r="D4400" i="5"/>
  <c r="B4400" i="5"/>
  <c r="N4399" i="5"/>
  <c r="H4399" i="5"/>
  <c r="G4399" i="5"/>
  <c r="F4399" i="5"/>
  <c r="E4399" i="5"/>
  <c r="D4399" i="5"/>
  <c r="B4399" i="5"/>
  <c r="N4398" i="5"/>
  <c r="H4398" i="5"/>
  <c r="G4398" i="5"/>
  <c r="F4398" i="5"/>
  <c r="E4398" i="5"/>
  <c r="D4398" i="5"/>
  <c r="B4398" i="5"/>
  <c r="N4397" i="5"/>
  <c r="H4397" i="5"/>
  <c r="G4397" i="5"/>
  <c r="F4397" i="5"/>
  <c r="E4397" i="5"/>
  <c r="D4397" i="5"/>
  <c r="B4397" i="5"/>
  <c r="N4396" i="5"/>
  <c r="H4396" i="5"/>
  <c r="G4396" i="5"/>
  <c r="F4396" i="5"/>
  <c r="E4396" i="5"/>
  <c r="D4396" i="5"/>
  <c r="B4396" i="5"/>
  <c r="N4395" i="5"/>
  <c r="H4395" i="5"/>
  <c r="G4395" i="5"/>
  <c r="F4395" i="5"/>
  <c r="E4395" i="5"/>
  <c r="D4395" i="5"/>
  <c r="B4395" i="5"/>
  <c r="N4394" i="5"/>
  <c r="H4394" i="5"/>
  <c r="G4394" i="5"/>
  <c r="F4394" i="5"/>
  <c r="E4394" i="5"/>
  <c r="D4394" i="5"/>
  <c r="B4394" i="5"/>
  <c r="N4393" i="5"/>
  <c r="H4393" i="5"/>
  <c r="G4393" i="5"/>
  <c r="F4393" i="5"/>
  <c r="E4393" i="5"/>
  <c r="D4393" i="5"/>
  <c r="B4393" i="5"/>
  <c r="N4392" i="5"/>
  <c r="H4392" i="5"/>
  <c r="G4392" i="5"/>
  <c r="F4392" i="5"/>
  <c r="E4392" i="5"/>
  <c r="D4392" i="5"/>
  <c r="B4392" i="5"/>
  <c r="N4391" i="5"/>
  <c r="H4391" i="5"/>
  <c r="G4391" i="5"/>
  <c r="F4391" i="5"/>
  <c r="E4391" i="5"/>
  <c r="D4391" i="5"/>
  <c r="B4391" i="5"/>
  <c r="N4390" i="5"/>
  <c r="H4390" i="5"/>
  <c r="G4390" i="5"/>
  <c r="F4390" i="5"/>
  <c r="E4390" i="5"/>
  <c r="D4390" i="5"/>
  <c r="B4390" i="5"/>
  <c r="N4389" i="5"/>
  <c r="H4389" i="5"/>
  <c r="G4389" i="5"/>
  <c r="F4389" i="5"/>
  <c r="E4389" i="5"/>
  <c r="D4389" i="5"/>
  <c r="B4389" i="5"/>
  <c r="N4388" i="5"/>
  <c r="H4388" i="5"/>
  <c r="G4388" i="5"/>
  <c r="F4388" i="5"/>
  <c r="E4388" i="5"/>
  <c r="D4388" i="5"/>
  <c r="B4388" i="5"/>
  <c r="N4387" i="5"/>
  <c r="H4387" i="5"/>
  <c r="G4387" i="5"/>
  <c r="F4387" i="5"/>
  <c r="E4387" i="5"/>
  <c r="D4387" i="5"/>
  <c r="B4387" i="5"/>
  <c r="N4386" i="5"/>
  <c r="H4386" i="5"/>
  <c r="G4386" i="5"/>
  <c r="F4386" i="5"/>
  <c r="E4386" i="5"/>
  <c r="D4386" i="5"/>
  <c r="B4386" i="5"/>
  <c r="N4385" i="5"/>
  <c r="H4385" i="5"/>
  <c r="G4385" i="5"/>
  <c r="F4385" i="5"/>
  <c r="E4385" i="5"/>
  <c r="D4385" i="5"/>
  <c r="B4385" i="5"/>
  <c r="N4384" i="5"/>
  <c r="H4384" i="5"/>
  <c r="G4384" i="5"/>
  <c r="F4384" i="5"/>
  <c r="E4384" i="5"/>
  <c r="D4384" i="5"/>
  <c r="B4384" i="5"/>
  <c r="N4383" i="5"/>
  <c r="H4383" i="5"/>
  <c r="G4383" i="5"/>
  <c r="F4383" i="5"/>
  <c r="E4383" i="5"/>
  <c r="D4383" i="5"/>
  <c r="B4383" i="5"/>
  <c r="N4382" i="5"/>
  <c r="H4382" i="5"/>
  <c r="G4382" i="5"/>
  <c r="F4382" i="5"/>
  <c r="E4382" i="5"/>
  <c r="D4382" i="5"/>
  <c r="B4382" i="5"/>
  <c r="N4381" i="5"/>
  <c r="H4381" i="5"/>
  <c r="G4381" i="5"/>
  <c r="F4381" i="5"/>
  <c r="E4381" i="5"/>
  <c r="D4381" i="5"/>
  <c r="B4381" i="5"/>
  <c r="N4380" i="5"/>
  <c r="H4380" i="5"/>
  <c r="G4380" i="5"/>
  <c r="F4380" i="5"/>
  <c r="E4380" i="5"/>
  <c r="D4380" i="5"/>
  <c r="B4380" i="5"/>
  <c r="N4379" i="5"/>
  <c r="H4379" i="5"/>
  <c r="G4379" i="5"/>
  <c r="F4379" i="5"/>
  <c r="E4379" i="5"/>
  <c r="D4379" i="5"/>
  <c r="B4379" i="5"/>
  <c r="N4378" i="5"/>
  <c r="H4378" i="5"/>
  <c r="G4378" i="5"/>
  <c r="F4378" i="5"/>
  <c r="E4378" i="5"/>
  <c r="D4378" i="5"/>
  <c r="B4378" i="5"/>
  <c r="N4377" i="5"/>
  <c r="H4377" i="5"/>
  <c r="G4377" i="5"/>
  <c r="F4377" i="5"/>
  <c r="E4377" i="5"/>
  <c r="D4377" i="5"/>
  <c r="B4377" i="5"/>
  <c r="N4376" i="5"/>
  <c r="H4376" i="5"/>
  <c r="G4376" i="5"/>
  <c r="F4376" i="5"/>
  <c r="E4376" i="5"/>
  <c r="D4376" i="5"/>
  <c r="B4376" i="5"/>
  <c r="N4375" i="5"/>
  <c r="H4375" i="5"/>
  <c r="G4375" i="5"/>
  <c r="F4375" i="5"/>
  <c r="E4375" i="5"/>
  <c r="D4375" i="5"/>
  <c r="B4375" i="5"/>
  <c r="N4374" i="5"/>
  <c r="H4374" i="5"/>
  <c r="G4374" i="5"/>
  <c r="F4374" i="5"/>
  <c r="E4374" i="5"/>
  <c r="D4374" i="5"/>
  <c r="B4374" i="5"/>
  <c r="N4373" i="5"/>
  <c r="H4373" i="5"/>
  <c r="G4373" i="5"/>
  <c r="F4373" i="5"/>
  <c r="E4373" i="5"/>
  <c r="D4373" i="5"/>
  <c r="B4373" i="5"/>
  <c r="N4372" i="5"/>
  <c r="H4372" i="5"/>
  <c r="G4372" i="5"/>
  <c r="F4372" i="5"/>
  <c r="E4372" i="5"/>
  <c r="D4372" i="5"/>
  <c r="B4372" i="5"/>
  <c r="N4371" i="5"/>
  <c r="H4371" i="5"/>
  <c r="G4371" i="5"/>
  <c r="F4371" i="5"/>
  <c r="E4371" i="5"/>
  <c r="D4371" i="5"/>
  <c r="B4371" i="5"/>
  <c r="N4370" i="5"/>
  <c r="H4370" i="5"/>
  <c r="G4370" i="5"/>
  <c r="F4370" i="5"/>
  <c r="E4370" i="5"/>
  <c r="D4370" i="5"/>
  <c r="B4370" i="5"/>
  <c r="N4369" i="5"/>
  <c r="H4369" i="5"/>
  <c r="G4369" i="5"/>
  <c r="F4369" i="5"/>
  <c r="E4369" i="5"/>
  <c r="D4369" i="5"/>
  <c r="B4369" i="5"/>
  <c r="N4368" i="5"/>
  <c r="H4368" i="5"/>
  <c r="G4368" i="5"/>
  <c r="F4368" i="5"/>
  <c r="E4368" i="5"/>
  <c r="D4368" i="5"/>
  <c r="B4368" i="5"/>
  <c r="N4367" i="5"/>
  <c r="H4367" i="5"/>
  <c r="G4367" i="5"/>
  <c r="F4367" i="5"/>
  <c r="E4367" i="5"/>
  <c r="D4367" i="5"/>
  <c r="B4367" i="5"/>
  <c r="N4366" i="5"/>
  <c r="H4366" i="5"/>
  <c r="G4366" i="5"/>
  <c r="F4366" i="5"/>
  <c r="E4366" i="5"/>
  <c r="D4366" i="5"/>
  <c r="B4366" i="5"/>
  <c r="N4365" i="5"/>
  <c r="H4365" i="5"/>
  <c r="G4365" i="5"/>
  <c r="F4365" i="5"/>
  <c r="E4365" i="5"/>
  <c r="D4365" i="5"/>
  <c r="B4365" i="5"/>
  <c r="N4364" i="5"/>
  <c r="H4364" i="5"/>
  <c r="G4364" i="5"/>
  <c r="F4364" i="5"/>
  <c r="E4364" i="5"/>
  <c r="D4364" i="5"/>
  <c r="B4364" i="5"/>
  <c r="N4363" i="5"/>
  <c r="H4363" i="5"/>
  <c r="G4363" i="5"/>
  <c r="F4363" i="5"/>
  <c r="E4363" i="5"/>
  <c r="D4363" i="5"/>
  <c r="B4363" i="5"/>
  <c r="N4362" i="5"/>
  <c r="H4362" i="5"/>
  <c r="G4362" i="5"/>
  <c r="F4362" i="5"/>
  <c r="E4362" i="5"/>
  <c r="D4362" i="5"/>
  <c r="B4362" i="5"/>
  <c r="N4361" i="5"/>
  <c r="H4361" i="5"/>
  <c r="G4361" i="5"/>
  <c r="F4361" i="5"/>
  <c r="E4361" i="5"/>
  <c r="D4361" i="5"/>
  <c r="B4361" i="5"/>
  <c r="N4360" i="5"/>
  <c r="H4360" i="5"/>
  <c r="G4360" i="5"/>
  <c r="F4360" i="5"/>
  <c r="E4360" i="5"/>
  <c r="D4360" i="5"/>
  <c r="B4360" i="5"/>
  <c r="N4359" i="5"/>
  <c r="H4359" i="5"/>
  <c r="G4359" i="5"/>
  <c r="F4359" i="5"/>
  <c r="E4359" i="5"/>
  <c r="D4359" i="5"/>
  <c r="B4359" i="5"/>
  <c r="N4358" i="5"/>
  <c r="H4358" i="5"/>
  <c r="G4358" i="5"/>
  <c r="F4358" i="5"/>
  <c r="E4358" i="5"/>
  <c r="D4358" i="5"/>
  <c r="B4358" i="5"/>
  <c r="N4357" i="5"/>
  <c r="H4357" i="5"/>
  <c r="G4357" i="5"/>
  <c r="F4357" i="5"/>
  <c r="E4357" i="5"/>
  <c r="D4357" i="5"/>
  <c r="B4357" i="5"/>
  <c r="N4356" i="5"/>
  <c r="H4356" i="5"/>
  <c r="G4356" i="5"/>
  <c r="F4356" i="5"/>
  <c r="E4356" i="5"/>
  <c r="D4356" i="5"/>
  <c r="B4356" i="5"/>
  <c r="N4355" i="5"/>
  <c r="H4355" i="5"/>
  <c r="G4355" i="5"/>
  <c r="F4355" i="5"/>
  <c r="E4355" i="5"/>
  <c r="D4355" i="5"/>
  <c r="B4355" i="5"/>
  <c r="N4354" i="5"/>
  <c r="H4354" i="5"/>
  <c r="G4354" i="5"/>
  <c r="F4354" i="5"/>
  <c r="E4354" i="5"/>
  <c r="D4354" i="5"/>
  <c r="B4354" i="5"/>
  <c r="N4353" i="5"/>
  <c r="H4353" i="5"/>
  <c r="G4353" i="5"/>
  <c r="F4353" i="5"/>
  <c r="E4353" i="5"/>
  <c r="D4353" i="5"/>
  <c r="B4353" i="5"/>
  <c r="N4352" i="5"/>
  <c r="H4352" i="5"/>
  <c r="G4352" i="5"/>
  <c r="F4352" i="5"/>
  <c r="E4352" i="5"/>
  <c r="D4352" i="5"/>
  <c r="B4352" i="5"/>
  <c r="N4351" i="5"/>
  <c r="H4351" i="5"/>
  <c r="G4351" i="5"/>
  <c r="F4351" i="5"/>
  <c r="E4351" i="5"/>
  <c r="D4351" i="5"/>
  <c r="B4351" i="5"/>
  <c r="N4350" i="5"/>
  <c r="H4350" i="5"/>
  <c r="G4350" i="5"/>
  <c r="F4350" i="5"/>
  <c r="E4350" i="5"/>
  <c r="D4350" i="5"/>
  <c r="B4350" i="5"/>
  <c r="N4349" i="5"/>
  <c r="H4349" i="5"/>
  <c r="G4349" i="5"/>
  <c r="F4349" i="5"/>
  <c r="E4349" i="5"/>
  <c r="D4349" i="5"/>
  <c r="B4349" i="5"/>
  <c r="N4348" i="5"/>
  <c r="H4348" i="5"/>
  <c r="G4348" i="5"/>
  <c r="F4348" i="5"/>
  <c r="E4348" i="5"/>
  <c r="D4348" i="5"/>
  <c r="B4348" i="5"/>
  <c r="N4347" i="5"/>
  <c r="H4347" i="5"/>
  <c r="G4347" i="5"/>
  <c r="F4347" i="5"/>
  <c r="E4347" i="5"/>
  <c r="D4347" i="5"/>
  <c r="B4347" i="5"/>
  <c r="N4346" i="5"/>
  <c r="H4346" i="5"/>
  <c r="G4346" i="5"/>
  <c r="F4346" i="5"/>
  <c r="E4346" i="5"/>
  <c r="D4346" i="5"/>
  <c r="B4346" i="5"/>
  <c r="N4345" i="5"/>
  <c r="H4345" i="5"/>
  <c r="G4345" i="5"/>
  <c r="F4345" i="5"/>
  <c r="E4345" i="5"/>
  <c r="D4345" i="5"/>
  <c r="B4345" i="5"/>
  <c r="N4344" i="5"/>
  <c r="H4344" i="5"/>
  <c r="G4344" i="5"/>
  <c r="F4344" i="5"/>
  <c r="E4344" i="5"/>
  <c r="D4344" i="5"/>
  <c r="B4344" i="5"/>
  <c r="N4343" i="5"/>
  <c r="H4343" i="5"/>
  <c r="G4343" i="5"/>
  <c r="F4343" i="5"/>
  <c r="E4343" i="5"/>
  <c r="D4343" i="5"/>
  <c r="B4343" i="5"/>
  <c r="N4342" i="5"/>
  <c r="H4342" i="5"/>
  <c r="G4342" i="5"/>
  <c r="F4342" i="5"/>
  <c r="E4342" i="5"/>
  <c r="D4342" i="5"/>
  <c r="B4342" i="5"/>
  <c r="N4341" i="5"/>
  <c r="H4341" i="5"/>
  <c r="G4341" i="5"/>
  <c r="F4341" i="5"/>
  <c r="E4341" i="5"/>
  <c r="D4341" i="5"/>
  <c r="B4341" i="5"/>
  <c r="N4340" i="5"/>
  <c r="H4340" i="5"/>
  <c r="G4340" i="5"/>
  <c r="F4340" i="5"/>
  <c r="E4340" i="5"/>
  <c r="D4340" i="5"/>
  <c r="B4340" i="5"/>
  <c r="N4339" i="5"/>
  <c r="H4339" i="5"/>
  <c r="G4339" i="5"/>
  <c r="F4339" i="5"/>
  <c r="E4339" i="5"/>
  <c r="D4339" i="5"/>
  <c r="B4339" i="5"/>
  <c r="N4338" i="5"/>
  <c r="H4338" i="5"/>
  <c r="G4338" i="5"/>
  <c r="F4338" i="5"/>
  <c r="E4338" i="5"/>
  <c r="D4338" i="5"/>
  <c r="B4338" i="5"/>
  <c r="N4337" i="5"/>
  <c r="H4337" i="5"/>
  <c r="G4337" i="5"/>
  <c r="F4337" i="5"/>
  <c r="E4337" i="5"/>
  <c r="D4337" i="5"/>
  <c r="B4337" i="5"/>
  <c r="N4336" i="5"/>
  <c r="H4336" i="5"/>
  <c r="G4336" i="5"/>
  <c r="F4336" i="5"/>
  <c r="E4336" i="5"/>
  <c r="D4336" i="5"/>
  <c r="B4336" i="5"/>
  <c r="N4335" i="5"/>
  <c r="H4335" i="5"/>
  <c r="G4335" i="5"/>
  <c r="F4335" i="5"/>
  <c r="E4335" i="5"/>
  <c r="D4335" i="5"/>
  <c r="B4335" i="5"/>
  <c r="N4334" i="5"/>
  <c r="H4334" i="5"/>
  <c r="G4334" i="5"/>
  <c r="F4334" i="5"/>
  <c r="E4334" i="5"/>
  <c r="D4334" i="5"/>
  <c r="B4334" i="5"/>
  <c r="N4333" i="5"/>
  <c r="H4333" i="5"/>
  <c r="G4333" i="5"/>
  <c r="F4333" i="5"/>
  <c r="E4333" i="5"/>
  <c r="D4333" i="5"/>
  <c r="B4333" i="5"/>
  <c r="N4332" i="5"/>
  <c r="H4332" i="5"/>
  <c r="G4332" i="5"/>
  <c r="F4332" i="5"/>
  <c r="E4332" i="5"/>
  <c r="D4332" i="5"/>
  <c r="B4332" i="5"/>
  <c r="N4331" i="5"/>
  <c r="H4331" i="5"/>
  <c r="G4331" i="5"/>
  <c r="F4331" i="5"/>
  <c r="E4331" i="5"/>
  <c r="D4331" i="5"/>
  <c r="B4331" i="5"/>
  <c r="N4330" i="5"/>
  <c r="H4330" i="5"/>
  <c r="G4330" i="5"/>
  <c r="F4330" i="5"/>
  <c r="E4330" i="5"/>
  <c r="D4330" i="5"/>
  <c r="B4330" i="5"/>
  <c r="N4329" i="5"/>
  <c r="H4329" i="5"/>
  <c r="G4329" i="5"/>
  <c r="F4329" i="5"/>
  <c r="E4329" i="5"/>
  <c r="D4329" i="5"/>
  <c r="B4329" i="5"/>
  <c r="N4328" i="5"/>
  <c r="H4328" i="5"/>
  <c r="G4328" i="5"/>
  <c r="F4328" i="5"/>
  <c r="E4328" i="5"/>
  <c r="D4328" i="5"/>
  <c r="B4328" i="5"/>
  <c r="N4327" i="5"/>
  <c r="H4327" i="5"/>
  <c r="G4327" i="5"/>
  <c r="F4327" i="5"/>
  <c r="E4327" i="5"/>
  <c r="D4327" i="5"/>
  <c r="B4327" i="5"/>
  <c r="N4326" i="5"/>
  <c r="H4326" i="5"/>
  <c r="G4326" i="5"/>
  <c r="F4326" i="5"/>
  <c r="E4326" i="5"/>
  <c r="D4326" i="5"/>
  <c r="B4326" i="5"/>
  <c r="N4325" i="5"/>
  <c r="H4325" i="5"/>
  <c r="G4325" i="5"/>
  <c r="F4325" i="5"/>
  <c r="E4325" i="5"/>
  <c r="D4325" i="5"/>
  <c r="B4325" i="5"/>
  <c r="N4324" i="5"/>
  <c r="H4324" i="5"/>
  <c r="G4324" i="5"/>
  <c r="F4324" i="5"/>
  <c r="E4324" i="5"/>
  <c r="D4324" i="5"/>
  <c r="B4324" i="5"/>
  <c r="N4323" i="5"/>
  <c r="H4323" i="5"/>
  <c r="G4323" i="5"/>
  <c r="F4323" i="5"/>
  <c r="E4323" i="5"/>
  <c r="D4323" i="5"/>
  <c r="B4323" i="5"/>
  <c r="N4322" i="5"/>
  <c r="H4322" i="5"/>
  <c r="G4322" i="5"/>
  <c r="F4322" i="5"/>
  <c r="E4322" i="5"/>
  <c r="D4322" i="5"/>
  <c r="B4322" i="5"/>
  <c r="N4321" i="5"/>
  <c r="H4321" i="5"/>
  <c r="G4321" i="5"/>
  <c r="F4321" i="5"/>
  <c r="E4321" i="5"/>
  <c r="D4321" i="5"/>
  <c r="B4321" i="5"/>
  <c r="N4320" i="5"/>
  <c r="H4320" i="5"/>
  <c r="G4320" i="5"/>
  <c r="F4320" i="5"/>
  <c r="E4320" i="5"/>
  <c r="D4320" i="5"/>
  <c r="B4320" i="5"/>
  <c r="N4319" i="5"/>
  <c r="H4319" i="5"/>
  <c r="G4319" i="5"/>
  <c r="F4319" i="5"/>
  <c r="E4319" i="5"/>
  <c r="D4319" i="5"/>
  <c r="B4319" i="5"/>
  <c r="N4318" i="5"/>
  <c r="H4318" i="5"/>
  <c r="G4318" i="5"/>
  <c r="F4318" i="5"/>
  <c r="E4318" i="5"/>
  <c r="D4318" i="5"/>
  <c r="B4318" i="5"/>
  <c r="N4317" i="5"/>
  <c r="H4317" i="5"/>
  <c r="G4317" i="5"/>
  <c r="F4317" i="5"/>
  <c r="E4317" i="5"/>
  <c r="D4317" i="5"/>
  <c r="B4317" i="5"/>
  <c r="N4316" i="5"/>
  <c r="H4316" i="5"/>
  <c r="G4316" i="5"/>
  <c r="F4316" i="5"/>
  <c r="E4316" i="5"/>
  <c r="D4316" i="5"/>
  <c r="B4316" i="5"/>
  <c r="N4315" i="5"/>
  <c r="H4315" i="5"/>
  <c r="G4315" i="5"/>
  <c r="F4315" i="5"/>
  <c r="E4315" i="5"/>
  <c r="D4315" i="5"/>
  <c r="B4315" i="5"/>
  <c r="N4314" i="5"/>
  <c r="H4314" i="5"/>
  <c r="G4314" i="5"/>
  <c r="F4314" i="5"/>
  <c r="E4314" i="5"/>
  <c r="D4314" i="5"/>
  <c r="B4314" i="5"/>
  <c r="N4313" i="5"/>
  <c r="H4313" i="5"/>
  <c r="G4313" i="5"/>
  <c r="F4313" i="5"/>
  <c r="E4313" i="5"/>
  <c r="D4313" i="5"/>
  <c r="B4313" i="5"/>
  <c r="N4312" i="5"/>
  <c r="H4312" i="5"/>
  <c r="G4312" i="5"/>
  <c r="F4312" i="5"/>
  <c r="E4312" i="5"/>
  <c r="D4312" i="5"/>
  <c r="B4312" i="5"/>
  <c r="N4311" i="5"/>
  <c r="H4311" i="5"/>
  <c r="G4311" i="5"/>
  <c r="F4311" i="5"/>
  <c r="E4311" i="5"/>
  <c r="D4311" i="5"/>
  <c r="B4311" i="5"/>
  <c r="N4310" i="5"/>
  <c r="H4310" i="5"/>
  <c r="G4310" i="5"/>
  <c r="F4310" i="5"/>
  <c r="E4310" i="5"/>
  <c r="D4310" i="5"/>
  <c r="B4310" i="5"/>
  <c r="N4309" i="5"/>
  <c r="H4309" i="5"/>
  <c r="G4309" i="5"/>
  <c r="F4309" i="5"/>
  <c r="E4309" i="5"/>
  <c r="D4309" i="5"/>
  <c r="B4309" i="5"/>
  <c r="N4308" i="5"/>
  <c r="H4308" i="5"/>
  <c r="G4308" i="5"/>
  <c r="F4308" i="5"/>
  <c r="E4308" i="5"/>
  <c r="D4308" i="5"/>
  <c r="B4308" i="5"/>
  <c r="N4307" i="5"/>
  <c r="H4307" i="5"/>
  <c r="G4307" i="5"/>
  <c r="F4307" i="5"/>
  <c r="E4307" i="5"/>
  <c r="D4307" i="5"/>
  <c r="B4307" i="5"/>
  <c r="N4306" i="5"/>
  <c r="H4306" i="5"/>
  <c r="G4306" i="5"/>
  <c r="F4306" i="5"/>
  <c r="E4306" i="5"/>
  <c r="D4306" i="5"/>
  <c r="B4306" i="5"/>
  <c r="N4305" i="5"/>
  <c r="H4305" i="5"/>
  <c r="G4305" i="5"/>
  <c r="F4305" i="5"/>
  <c r="E4305" i="5"/>
  <c r="D4305" i="5"/>
  <c r="B4305" i="5"/>
  <c r="N4304" i="5"/>
  <c r="H4304" i="5"/>
  <c r="G4304" i="5"/>
  <c r="F4304" i="5"/>
  <c r="E4304" i="5"/>
  <c r="D4304" i="5"/>
  <c r="B4304" i="5"/>
  <c r="N4303" i="5"/>
  <c r="H4303" i="5"/>
  <c r="G4303" i="5"/>
  <c r="F4303" i="5"/>
  <c r="E4303" i="5"/>
  <c r="D4303" i="5"/>
  <c r="B4303" i="5"/>
  <c r="N4302" i="5"/>
  <c r="H4302" i="5"/>
  <c r="G4302" i="5"/>
  <c r="F4302" i="5"/>
  <c r="E4302" i="5"/>
  <c r="D4302" i="5"/>
  <c r="B4302" i="5"/>
  <c r="N4301" i="5"/>
  <c r="H4301" i="5"/>
  <c r="G4301" i="5"/>
  <c r="F4301" i="5"/>
  <c r="E4301" i="5"/>
  <c r="D4301" i="5"/>
  <c r="B4301" i="5"/>
  <c r="N4300" i="5"/>
  <c r="H4300" i="5"/>
  <c r="G4300" i="5"/>
  <c r="F4300" i="5"/>
  <c r="E4300" i="5"/>
  <c r="D4300" i="5"/>
  <c r="B4300" i="5"/>
  <c r="N4299" i="5"/>
  <c r="H4299" i="5"/>
  <c r="G4299" i="5"/>
  <c r="F4299" i="5"/>
  <c r="E4299" i="5"/>
  <c r="D4299" i="5"/>
  <c r="B4299" i="5"/>
  <c r="N4298" i="5"/>
  <c r="H4298" i="5"/>
  <c r="G4298" i="5"/>
  <c r="F4298" i="5"/>
  <c r="E4298" i="5"/>
  <c r="D4298" i="5"/>
  <c r="B4298" i="5"/>
  <c r="N4297" i="5"/>
  <c r="H4297" i="5"/>
  <c r="G4297" i="5"/>
  <c r="F4297" i="5"/>
  <c r="E4297" i="5"/>
  <c r="D4297" i="5"/>
  <c r="B4297" i="5"/>
  <c r="N4296" i="5"/>
  <c r="H4296" i="5"/>
  <c r="G4296" i="5"/>
  <c r="F4296" i="5"/>
  <c r="E4296" i="5"/>
  <c r="D4296" i="5"/>
  <c r="B4296" i="5"/>
  <c r="N4295" i="5"/>
  <c r="H4295" i="5"/>
  <c r="G4295" i="5"/>
  <c r="F4295" i="5"/>
  <c r="E4295" i="5"/>
  <c r="D4295" i="5"/>
  <c r="B4295" i="5"/>
  <c r="N4294" i="5"/>
  <c r="H4294" i="5"/>
  <c r="G4294" i="5"/>
  <c r="F4294" i="5"/>
  <c r="E4294" i="5"/>
  <c r="D4294" i="5"/>
  <c r="B4294" i="5"/>
  <c r="N4293" i="5"/>
  <c r="H4293" i="5"/>
  <c r="G4293" i="5"/>
  <c r="F4293" i="5"/>
  <c r="E4293" i="5"/>
  <c r="D4293" i="5"/>
  <c r="B4293" i="5"/>
  <c r="N4292" i="5"/>
  <c r="H4292" i="5"/>
  <c r="G4292" i="5"/>
  <c r="F4292" i="5"/>
  <c r="E4292" i="5"/>
  <c r="D4292" i="5"/>
  <c r="B4292" i="5"/>
  <c r="N4291" i="5"/>
  <c r="H4291" i="5"/>
  <c r="G4291" i="5"/>
  <c r="F4291" i="5"/>
  <c r="E4291" i="5"/>
  <c r="D4291" i="5"/>
  <c r="B4291" i="5"/>
  <c r="N4290" i="5"/>
  <c r="H4290" i="5"/>
  <c r="G4290" i="5"/>
  <c r="F4290" i="5"/>
  <c r="E4290" i="5"/>
  <c r="D4290" i="5"/>
  <c r="B4290" i="5"/>
  <c r="N4289" i="5"/>
  <c r="H4289" i="5"/>
  <c r="G4289" i="5"/>
  <c r="F4289" i="5"/>
  <c r="E4289" i="5"/>
  <c r="D4289" i="5"/>
  <c r="B4289" i="5"/>
  <c r="N4288" i="5"/>
  <c r="H4288" i="5"/>
  <c r="G4288" i="5"/>
  <c r="F4288" i="5"/>
  <c r="E4288" i="5"/>
  <c r="D4288" i="5"/>
  <c r="B4288" i="5"/>
  <c r="N4287" i="5"/>
  <c r="H4287" i="5"/>
  <c r="G4287" i="5"/>
  <c r="F4287" i="5"/>
  <c r="E4287" i="5"/>
  <c r="D4287" i="5"/>
  <c r="B4287" i="5"/>
  <c r="N4286" i="5"/>
  <c r="H4286" i="5"/>
  <c r="G4286" i="5"/>
  <c r="F4286" i="5"/>
  <c r="E4286" i="5"/>
  <c r="D4286" i="5"/>
  <c r="B4286" i="5"/>
  <c r="N4285" i="5"/>
  <c r="H4285" i="5"/>
  <c r="G4285" i="5"/>
  <c r="F4285" i="5"/>
  <c r="E4285" i="5"/>
  <c r="D4285" i="5"/>
  <c r="B4285" i="5"/>
  <c r="N4284" i="5"/>
  <c r="H4284" i="5"/>
  <c r="G4284" i="5"/>
  <c r="F4284" i="5"/>
  <c r="E4284" i="5"/>
  <c r="D4284" i="5"/>
  <c r="B4284" i="5"/>
  <c r="N4283" i="5"/>
  <c r="H4283" i="5"/>
  <c r="G4283" i="5"/>
  <c r="F4283" i="5"/>
  <c r="E4283" i="5"/>
  <c r="D4283" i="5"/>
  <c r="B4283" i="5"/>
  <c r="N4282" i="5"/>
  <c r="H4282" i="5"/>
  <c r="G4282" i="5"/>
  <c r="F4282" i="5"/>
  <c r="E4282" i="5"/>
  <c r="D4282" i="5"/>
  <c r="B4282" i="5"/>
  <c r="N4281" i="5"/>
  <c r="H4281" i="5"/>
  <c r="G4281" i="5"/>
  <c r="F4281" i="5"/>
  <c r="E4281" i="5"/>
  <c r="D4281" i="5"/>
  <c r="B4281" i="5"/>
  <c r="N4280" i="5"/>
  <c r="H4280" i="5"/>
  <c r="G4280" i="5"/>
  <c r="F4280" i="5"/>
  <c r="E4280" i="5"/>
  <c r="D4280" i="5"/>
  <c r="B4280" i="5"/>
  <c r="N4279" i="5"/>
  <c r="H4279" i="5"/>
  <c r="G4279" i="5"/>
  <c r="F4279" i="5"/>
  <c r="E4279" i="5"/>
  <c r="D4279" i="5"/>
  <c r="B4279" i="5"/>
  <c r="N4278" i="5"/>
  <c r="H4278" i="5"/>
  <c r="G4278" i="5"/>
  <c r="F4278" i="5"/>
  <c r="E4278" i="5"/>
  <c r="D4278" i="5"/>
  <c r="B4278" i="5"/>
  <c r="N4277" i="5"/>
  <c r="H4277" i="5"/>
  <c r="G4277" i="5"/>
  <c r="F4277" i="5"/>
  <c r="E4277" i="5"/>
  <c r="D4277" i="5"/>
  <c r="B4277" i="5"/>
  <c r="N4276" i="5"/>
  <c r="H4276" i="5"/>
  <c r="G4276" i="5"/>
  <c r="F4276" i="5"/>
  <c r="E4276" i="5"/>
  <c r="D4276" i="5"/>
  <c r="B4276" i="5"/>
  <c r="N4275" i="5"/>
  <c r="H4275" i="5"/>
  <c r="G4275" i="5"/>
  <c r="F4275" i="5"/>
  <c r="E4275" i="5"/>
  <c r="D4275" i="5"/>
  <c r="B4275" i="5"/>
  <c r="N4274" i="5"/>
  <c r="H4274" i="5"/>
  <c r="G4274" i="5"/>
  <c r="F4274" i="5"/>
  <c r="E4274" i="5"/>
  <c r="D4274" i="5"/>
  <c r="B4274" i="5"/>
  <c r="N4273" i="5"/>
  <c r="H4273" i="5"/>
  <c r="G4273" i="5"/>
  <c r="F4273" i="5"/>
  <c r="E4273" i="5"/>
  <c r="D4273" i="5"/>
  <c r="B4273" i="5"/>
  <c r="N4272" i="5"/>
  <c r="H4272" i="5"/>
  <c r="G4272" i="5"/>
  <c r="F4272" i="5"/>
  <c r="E4272" i="5"/>
  <c r="D4272" i="5"/>
  <c r="B4272" i="5"/>
  <c r="N4271" i="5"/>
  <c r="H4271" i="5"/>
  <c r="G4271" i="5"/>
  <c r="F4271" i="5"/>
  <c r="E4271" i="5"/>
  <c r="D4271" i="5"/>
  <c r="B4271" i="5"/>
  <c r="N4270" i="5"/>
  <c r="H4270" i="5"/>
  <c r="G4270" i="5"/>
  <c r="F4270" i="5"/>
  <c r="E4270" i="5"/>
  <c r="D4270" i="5"/>
  <c r="B4270" i="5"/>
  <c r="N4269" i="5"/>
  <c r="H4269" i="5"/>
  <c r="G4269" i="5"/>
  <c r="F4269" i="5"/>
  <c r="E4269" i="5"/>
  <c r="D4269" i="5"/>
  <c r="B4269" i="5"/>
  <c r="N4268" i="5"/>
  <c r="H4268" i="5"/>
  <c r="G4268" i="5"/>
  <c r="F4268" i="5"/>
  <c r="E4268" i="5"/>
  <c r="D4268" i="5"/>
  <c r="B4268" i="5"/>
  <c r="N4267" i="5"/>
  <c r="H4267" i="5"/>
  <c r="G4267" i="5"/>
  <c r="F4267" i="5"/>
  <c r="E4267" i="5"/>
  <c r="D4267" i="5"/>
  <c r="B4267" i="5"/>
  <c r="N4266" i="5"/>
  <c r="H4266" i="5"/>
  <c r="G4266" i="5"/>
  <c r="F4266" i="5"/>
  <c r="E4266" i="5"/>
  <c r="D4266" i="5"/>
  <c r="B4266" i="5"/>
  <c r="N4265" i="5"/>
  <c r="H4265" i="5"/>
  <c r="G4265" i="5"/>
  <c r="F4265" i="5"/>
  <c r="E4265" i="5"/>
  <c r="D4265" i="5"/>
  <c r="B4265" i="5"/>
  <c r="N4264" i="5"/>
  <c r="H4264" i="5"/>
  <c r="G4264" i="5"/>
  <c r="F4264" i="5"/>
  <c r="E4264" i="5"/>
  <c r="D4264" i="5"/>
  <c r="B4264" i="5"/>
  <c r="N4263" i="5"/>
  <c r="H4263" i="5"/>
  <c r="G4263" i="5"/>
  <c r="F4263" i="5"/>
  <c r="E4263" i="5"/>
  <c r="D4263" i="5"/>
  <c r="B4263" i="5"/>
  <c r="N4262" i="5"/>
  <c r="H4262" i="5"/>
  <c r="G4262" i="5"/>
  <c r="F4262" i="5"/>
  <c r="E4262" i="5"/>
  <c r="D4262" i="5"/>
  <c r="B4262" i="5"/>
  <c r="N4261" i="5"/>
  <c r="H4261" i="5"/>
  <c r="G4261" i="5"/>
  <c r="F4261" i="5"/>
  <c r="E4261" i="5"/>
  <c r="D4261" i="5"/>
  <c r="B4261" i="5"/>
  <c r="N4260" i="5"/>
  <c r="H4260" i="5"/>
  <c r="G4260" i="5"/>
  <c r="F4260" i="5"/>
  <c r="E4260" i="5"/>
  <c r="D4260" i="5"/>
  <c r="B4260" i="5"/>
  <c r="N4259" i="5"/>
  <c r="H4259" i="5"/>
  <c r="G4259" i="5"/>
  <c r="F4259" i="5"/>
  <c r="E4259" i="5"/>
  <c r="D4259" i="5"/>
  <c r="B4259" i="5"/>
  <c r="N4258" i="5"/>
  <c r="H4258" i="5"/>
  <c r="G4258" i="5"/>
  <c r="F4258" i="5"/>
  <c r="E4258" i="5"/>
  <c r="D4258" i="5"/>
  <c r="B4258" i="5"/>
  <c r="N4257" i="5"/>
  <c r="H4257" i="5"/>
  <c r="G4257" i="5"/>
  <c r="F4257" i="5"/>
  <c r="E4257" i="5"/>
  <c r="D4257" i="5"/>
  <c r="B4257" i="5"/>
  <c r="N4256" i="5"/>
  <c r="H4256" i="5"/>
  <c r="G4256" i="5"/>
  <c r="F4256" i="5"/>
  <c r="E4256" i="5"/>
  <c r="D4256" i="5"/>
  <c r="B4256" i="5"/>
  <c r="N4255" i="5"/>
  <c r="H4255" i="5"/>
  <c r="G4255" i="5"/>
  <c r="F4255" i="5"/>
  <c r="E4255" i="5"/>
  <c r="D4255" i="5"/>
  <c r="B4255" i="5"/>
  <c r="N4254" i="5"/>
  <c r="H4254" i="5"/>
  <c r="G4254" i="5"/>
  <c r="F4254" i="5"/>
  <c r="E4254" i="5"/>
  <c r="D4254" i="5"/>
  <c r="B4254" i="5"/>
  <c r="N4253" i="5"/>
  <c r="H4253" i="5"/>
  <c r="G4253" i="5"/>
  <c r="F4253" i="5"/>
  <c r="E4253" i="5"/>
  <c r="D4253" i="5"/>
  <c r="B4253" i="5"/>
  <c r="N4252" i="5"/>
  <c r="H4252" i="5"/>
  <c r="G4252" i="5"/>
  <c r="F4252" i="5"/>
  <c r="E4252" i="5"/>
  <c r="D4252" i="5"/>
  <c r="B4252" i="5"/>
  <c r="N4251" i="5"/>
  <c r="H4251" i="5"/>
  <c r="G4251" i="5"/>
  <c r="F4251" i="5"/>
  <c r="E4251" i="5"/>
  <c r="D4251" i="5"/>
  <c r="B4251" i="5"/>
  <c r="N4250" i="5"/>
  <c r="H4250" i="5"/>
  <c r="G4250" i="5"/>
  <c r="F4250" i="5"/>
  <c r="E4250" i="5"/>
  <c r="D4250" i="5"/>
  <c r="B4250" i="5"/>
  <c r="N4249" i="5"/>
  <c r="H4249" i="5"/>
  <c r="G4249" i="5"/>
  <c r="F4249" i="5"/>
  <c r="E4249" i="5"/>
  <c r="D4249" i="5"/>
  <c r="B4249" i="5"/>
  <c r="N4248" i="5"/>
  <c r="H4248" i="5"/>
  <c r="G4248" i="5"/>
  <c r="F4248" i="5"/>
  <c r="E4248" i="5"/>
  <c r="D4248" i="5"/>
  <c r="B4248" i="5"/>
  <c r="N4247" i="5"/>
  <c r="H4247" i="5"/>
  <c r="G4247" i="5"/>
  <c r="F4247" i="5"/>
  <c r="E4247" i="5"/>
  <c r="D4247" i="5"/>
  <c r="B4247" i="5"/>
  <c r="N4246" i="5"/>
  <c r="H4246" i="5"/>
  <c r="G4246" i="5"/>
  <c r="F4246" i="5"/>
  <c r="E4246" i="5"/>
  <c r="D4246" i="5"/>
  <c r="B4246" i="5"/>
  <c r="N4245" i="5"/>
  <c r="H4245" i="5"/>
  <c r="G4245" i="5"/>
  <c r="F4245" i="5"/>
  <c r="E4245" i="5"/>
  <c r="D4245" i="5"/>
  <c r="B4245" i="5"/>
  <c r="N4244" i="5"/>
  <c r="H4244" i="5"/>
  <c r="G4244" i="5"/>
  <c r="F4244" i="5"/>
  <c r="E4244" i="5"/>
  <c r="D4244" i="5"/>
  <c r="B4244" i="5"/>
  <c r="N4243" i="5"/>
  <c r="H4243" i="5"/>
  <c r="G4243" i="5"/>
  <c r="F4243" i="5"/>
  <c r="E4243" i="5"/>
  <c r="D4243" i="5"/>
  <c r="B4243" i="5"/>
  <c r="N4242" i="5"/>
  <c r="H4242" i="5"/>
  <c r="G4242" i="5"/>
  <c r="F4242" i="5"/>
  <c r="E4242" i="5"/>
  <c r="D4242" i="5"/>
  <c r="B4242" i="5"/>
  <c r="N4241" i="5"/>
  <c r="H4241" i="5"/>
  <c r="G4241" i="5"/>
  <c r="F4241" i="5"/>
  <c r="E4241" i="5"/>
  <c r="D4241" i="5"/>
  <c r="B4241" i="5"/>
  <c r="N4240" i="5"/>
  <c r="H4240" i="5"/>
  <c r="G4240" i="5"/>
  <c r="F4240" i="5"/>
  <c r="E4240" i="5"/>
  <c r="D4240" i="5"/>
  <c r="B4240" i="5"/>
  <c r="N4239" i="5"/>
  <c r="H4239" i="5"/>
  <c r="G4239" i="5"/>
  <c r="F4239" i="5"/>
  <c r="E4239" i="5"/>
  <c r="D4239" i="5"/>
  <c r="B4239" i="5"/>
  <c r="N4238" i="5"/>
  <c r="H4238" i="5"/>
  <c r="G4238" i="5"/>
  <c r="F4238" i="5"/>
  <c r="E4238" i="5"/>
  <c r="D4238" i="5"/>
  <c r="B4238" i="5"/>
  <c r="N4237" i="5"/>
  <c r="H4237" i="5"/>
  <c r="G4237" i="5"/>
  <c r="F4237" i="5"/>
  <c r="E4237" i="5"/>
  <c r="D4237" i="5"/>
  <c r="B4237" i="5"/>
  <c r="N4236" i="5"/>
  <c r="H4236" i="5"/>
  <c r="G4236" i="5"/>
  <c r="F4236" i="5"/>
  <c r="E4236" i="5"/>
  <c r="D4236" i="5"/>
  <c r="B4236" i="5"/>
  <c r="N4235" i="5"/>
  <c r="H4235" i="5"/>
  <c r="G4235" i="5"/>
  <c r="F4235" i="5"/>
  <c r="E4235" i="5"/>
  <c r="D4235" i="5"/>
  <c r="B4235" i="5"/>
  <c r="N4234" i="5"/>
  <c r="H4234" i="5"/>
  <c r="G4234" i="5"/>
  <c r="F4234" i="5"/>
  <c r="E4234" i="5"/>
  <c r="D4234" i="5"/>
  <c r="B4234" i="5"/>
  <c r="N4233" i="5"/>
  <c r="H4233" i="5"/>
  <c r="G4233" i="5"/>
  <c r="F4233" i="5"/>
  <c r="E4233" i="5"/>
  <c r="D4233" i="5"/>
  <c r="B4233" i="5"/>
  <c r="N4232" i="5"/>
  <c r="H4232" i="5"/>
  <c r="G4232" i="5"/>
  <c r="F4232" i="5"/>
  <c r="E4232" i="5"/>
  <c r="D4232" i="5"/>
  <c r="B4232" i="5"/>
  <c r="N4231" i="5"/>
  <c r="H4231" i="5"/>
  <c r="G4231" i="5"/>
  <c r="F4231" i="5"/>
  <c r="E4231" i="5"/>
  <c r="D4231" i="5"/>
  <c r="B4231" i="5"/>
  <c r="N4230" i="5"/>
  <c r="H4230" i="5"/>
  <c r="G4230" i="5"/>
  <c r="F4230" i="5"/>
  <c r="E4230" i="5"/>
  <c r="D4230" i="5"/>
  <c r="B4230" i="5"/>
  <c r="N4229" i="5"/>
  <c r="H4229" i="5"/>
  <c r="G4229" i="5"/>
  <c r="F4229" i="5"/>
  <c r="E4229" i="5"/>
  <c r="D4229" i="5"/>
  <c r="B4229" i="5"/>
  <c r="N4228" i="5"/>
  <c r="H4228" i="5"/>
  <c r="G4228" i="5"/>
  <c r="F4228" i="5"/>
  <c r="E4228" i="5"/>
  <c r="D4228" i="5"/>
  <c r="B4228" i="5"/>
  <c r="N4227" i="5"/>
  <c r="H4227" i="5"/>
  <c r="G4227" i="5"/>
  <c r="F4227" i="5"/>
  <c r="E4227" i="5"/>
  <c r="D4227" i="5"/>
  <c r="B4227" i="5"/>
  <c r="N4226" i="5"/>
  <c r="H4226" i="5"/>
  <c r="G4226" i="5"/>
  <c r="F4226" i="5"/>
  <c r="E4226" i="5"/>
  <c r="D4226" i="5"/>
  <c r="B4226" i="5"/>
  <c r="N4225" i="5"/>
  <c r="H4225" i="5"/>
  <c r="G4225" i="5"/>
  <c r="F4225" i="5"/>
  <c r="E4225" i="5"/>
  <c r="D4225" i="5"/>
  <c r="B4225" i="5"/>
  <c r="N4224" i="5"/>
  <c r="H4224" i="5"/>
  <c r="G4224" i="5"/>
  <c r="F4224" i="5"/>
  <c r="E4224" i="5"/>
  <c r="D4224" i="5"/>
  <c r="B4224" i="5"/>
  <c r="N4223" i="5"/>
  <c r="H4223" i="5"/>
  <c r="G4223" i="5"/>
  <c r="F4223" i="5"/>
  <c r="E4223" i="5"/>
  <c r="D4223" i="5"/>
  <c r="B4223" i="5"/>
  <c r="N4222" i="5"/>
  <c r="H4222" i="5"/>
  <c r="G4222" i="5"/>
  <c r="F4222" i="5"/>
  <c r="E4222" i="5"/>
  <c r="D4222" i="5"/>
  <c r="B4222" i="5"/>
  <c r="N4221" i="5"/>
  <c r="H4221" i="5"/>
  <c r="G4221" i="5"/>
  <c r="F4221" i="5"/>
  <c r="E4221" i="5"/>
  <c r="D4221" i="5"/>
  <c r="B4221" i="5"/>
  <c r="N4220" i="5"/>
  <c r="H4220" i="5"/>
  <c r="G4220" i="5"/>
  <c r="F4220" i="5"/>
  <c r="E4220" i="5"/>
  <c r="D4220" i="5"/>
  <c r="B4220" i="5"/>
  <c r="N4219" i="5"/>
  <c r="H4219" i="5"/>
  <c r="G4219" i="5"/>
  <c r="F4219" i="5"/>
  <c r="E4219" i="5"/>
  <c r="D4219" i="5"/>
  <c r="B4219" i="5"/>
  <c r="N4218" i="5"/>
  <c r="H4218" i="5"/>
  <c r="G4218" i="5"/>
  <c r="F4218" i="5"/>
  <c r="E4218" i="5"/>
  <c r="D4218" i="5"/>
  <c r="B4218" i="5"/>
  <c r="N4217" i="5"/>
  <c r="H4217" i="5"/>
  <c r="G4217" i="5"/>
  <c r="F4217" i="5"/>
  <c r="E4217" i="5"/>
  <c r="D4217" i="5"/>
  <c r="B4217" i="5"/>
  <c r="N4216" i="5"/>
  <c r="H4216" i="5"/>
  <c r="G4216" i="5"/>
  <c r="F4216" i="5"/>
  <c r="E4216" i="5"/>
  <c r="D4216" i="5"/>
  <c r="B4216" i="5"/>
  <c r="N4215" i="5"/>
  <c r="H4215" i="5"/>
  <c r="G4215" i="5"/>
  <c r="F4215" i="5"/>
  <c r="E4215" i="5"/>
  <c r="D4215" i="5"/>
  <c r="B4215" i="5"/>
  <c r="N4214" i="5"/>
  <c r="H4214" i="5"/>
  <c r="G4214" i="5"/>
  <c r="F4214" i="5"/>
  <c r="E4214" i="5"/>
  <c r="D4214" i="5"/>
  <c r="B4214" i="5"/>
  <c r="N4213" i="5"/>
  <c r="H4213" i="5"/>
  <c r="G4213" i="5"/>
  <c r="F4213" i="5"/>
  <c r="E4213" i="5"/>
  <c r="D4213" i="5"/>
  <c r="B4213" i="5"/>
  <c r="N4212" i="5"/>
  <c r="H4212" i="5"/>
  <c r="G4212" i="5"/>
  <c r="F4212" i="5"/>
  <c r="E4212" i="5"/>
  <c r="D4212" i="5"/>
  <c r="B4212" i="5"/>
  <c r="N4211" i="5"/>
  <c r="H4211" i="5"/>
  <c r="G4211" i="5"/>
  <c r="F4211" i="5"/>
  <c r="E4211" i="5"/>
  <c r="D4211" i="5"/>
  <c r="B4211" i="5"/>
  <c r="N4210" i="5"/>
  <c r="H4210" i="5"/>
  <c r="G4210" i="5"/>
  <c r="F4210" i="5"/>
  <c r="E4210" i="5"/>
  <c r="D4210" i="5"/>
  <c r="B4210" i="5"/>
  <c r="N4209" i="5"/>
  <c r="H4209" i="5"/>
  <c r="G4209" i="5"/>
  <c r="F4209" i="5"/>
  <c r="E4209" i="5"/>
  <c r="D4209" i="5"/>
  <c r="B4209" i="5"/>
  <c r="N4208" i="5"/>
  <c r="H4208" i="5"/>
  <c r="G4208" i="5"/>
  <c r="F4208" i="5"/>
  <c r="E4208" i="5"/>
  <c r="D4208" i="5"/>
  <c r="B4208" i="5"/>
  <c r="N4207" i="5"/>
  <c r="H4207" i="5"/>
  <c r="G4207" i="5"/>
  <c r="F4207" i="5"/>
  <c r="E4207" i="5"/>
  <c r="D4207" i="5"/>
  <c r="B4207" i="5"/>
  <c r="N4206" i="5"/>
  <c r="H4206" i="5"/>
  <c r="G4206" i="5"/>
  <c r="F4206" i="5"/>
  <c r="E4206" i="5"/>
  <c r="D4206" i="5"/>
  <c r="B4206" i="5"/>
  <c r="N4205" i="5"/>
  <c r="H4205" i="5"/>
  <c r="G4205" i="5"/>
  <c r="F4205" i="5"/>
  <c r="E4205" i="5"/>
  <c r="D4205" i="5"/>
  <c r="B4205" i="5"/>
  <c r="N4204" i="5"/>
  <c r="H4204" i="5"/>
  <c r="G4204" i="5"/>
  <c r="F4204" i="5"/>
  <c r="E4204" i="5"/>
  <c r="D4204" i="5"/>
  <c r="B4204" i="5"/>
  <c r="N4203" i="5"/>
  <c r="H4203" i="5"/>
  <c r="G4203" i="5"/>
  <c r="F4203" i="5"/>
  <c r="E4203" i="5"/>
  <c r="D4203" i="5"/>
  <c r="B4203" i="5"/>
  <c r="N4202" i="5"/>
  <c r="H4202" i="5"/>
  <c r="G4202" i="5"/>
  <c r="F4202" i="5"/>
  <c r="E4202" i="5"/>
  <c r="D4202" i="5"/>
  <c r="B4202" i="5"/>
  <c r="N4201" i="5"/>
  <c r="H4201" i="5"/>
  <c r="G4201" i="5"/>
  <c r="F4201" i="5"/>
  <c r="E4201" i="5"/>
  <c r="D4201" i="5"/>
  <c r="B4201" i="5"/>
  <c r="N4200" i="5"/>
  <c r="H4200" i="5"/>
  <c r="G4200" i="5"/>
  <c r="F4200" i="5"/>
  <c r="E4200" i="5"/>
  <c r="D4200" i="5"/>
  <c r="B4200" i="5"/>
  <c r="N4199" i="5"/>
  <c r="H4199" i="5"/>
  <c r="G4199" i="5"/>
  <c r="F4199" i="5"/>
  <c r="E4199" i="5"/>
  <c r="D4199" i="5"/>
  <c r="B4199" i="5"/>
  <c r="N4198" i="5"/>
  <c r="H4198" i="5"/>
  <c r="G4198" i="5"/>
  <c r="F4198" i="5"/>
  <c r="E4198" i="5"/>
  <c r="D4198" i="5"/>
  <c r="B4198" i="5"/>
  <c r="N4197" i="5"/>
  <c r="H4197" i="5"/>
  <c r="G4197" i="5"/>
  <c r="F4197" i="5"/>
  <c r="E4197" i="5"/>
  <c r="D4197" i="5"/>
  <c r="B4197" i="5"/>
  <c r="N4196" i="5"/>
  <c r="H4196" i="5"/>
  <c r="G4196" i="5"/>
  <c r="F4196" i="5"/>
  <c r="E4196" i="5"/>
  <c r="D4196" i="5"/>
  <c r="B4196" i="5"/>
  <c r="N4195" i="5"/>
  <c r="H4195" i="5"/>
  <c r="G4195" i="5"/>
  <c r="F4195" i="5"/>
  <c r="E4195" i="5"/>
  <c r="D4195" i="5"/>
  <c r="B4195" i="5"/>
  <c r="N4194" i="5"/>
  <c r="H4194" i="5"/>
  <c r="G4194" i="5"/>
  <c r="F4194" i="5"/>
  <c r="E4194" i="5"/>
  <c r="D4194" i="5"/>
  <c r="B4194" i="5"/>
  <c r="N4193" i="5"/>
  <c r="H4193" i="5"/>
  <c r="G4193" i="5"/>
  <c r="F4193" i="5"/>
  <c r="E4193" i="5"/>
  <c r="D4193" i="5"/>
  <c r="B4193" i="5"/>
  <c r="N4192" i="5"/>
  <c r="H4192" i="5"/>
  <c r="G4192" i="5"/>
  <c r="F4192" i="5"/>
  <c r="E4192" i="5"/>
  <c r="D4192" i="5"/>
  <c r="B4192" i="5"/>
  <c r="N4191" i="5"/>
  <c r="H4191" i="5"/>
  <c r="G4191" i="5"/>
  <c r="F4191" i="5"/>
  <c r="E4191" i="5"/>
  <c r="D4191" i="5"/>
  <c r="B4191" i="5"/>
  <c r="N4190" i="5"/>
  <c r="H4190" i="5"/>
  <c r="G4190" i="5"/>
  <c r="F4190" i="5"/>
  <c r="E4190" i="5"/>
  <c r="D4190" i="5"/>
  <c r="B4190" i="5"/>
  <c r="N4189" i="5"/>
  <c r="H4189" i="5"/>
  <c r="G4189" i="5"/>
  <c r="F4189" i="5"/>
  <c r="E4189" i="5"/>
  <c r="D4189" i="5"/>
  <c r="B4189" i="5"/>
  <c r="N4188" i="5"/>
  <c r="H4188" i="5"/>
  <c r="G4188" i="5"/>
  <c r="F4188" i="5"/>
  <c r="E4188" i="5"/>
  <c r="D4188" i="5"/>
  <c r="B4188" i="5"/>
  <c r="N4187" i="5"/>
  <c r="H4187" i="5"/>
  <c r="G4187" i="5"/>
  <c r="F4187" i="5"/>
  <c r="E4187" i="5"/>
  <c r="D4187" i="5"/>
  <c r="B4187" i="5"/>
  <c r="N4186" i="5"/>
  <c r="H4186" i="5"/>
  <c r="G4186" i="5"/>
  <c r="F4186" i="5"/>
  <c r="E4186" i="5"/>
  <c r="D4186" i="5"/>
  <c r="B4186" i="5"/>
  <c r="N4185" i="5"/>
  <c r="H4185" i="5"/>
  <c r="G4185" i="5"/>
  <c r="F4185" i="5"/>
  <c r="E4185" i="5"/>
  <c r="D4185" i="5"/>
  <c r="B4185" i="5"/>
  <c r="N4184" i="5"/>
  <c r="H4184" i="5"/>
  <c r="G4184" i="5"/>
  <c r="F4184" i="5"/>
  <c r="E4184" i="5"/>
  <c r="D4184" i="5"/>
  <c r="B4184" i="5"/>
  <c r="N4183" i="5"/>
  <c r="H4183" i="5"/>
  <c r="G4183" i="5"/>
  <c r="F4183" i="5"/>
  <c r="E4183" i="5"/>
  <c r="D4183" i="5"/>
  <c r="B4183" i="5"/>
  <c r="N4182" i="5"/>
  <c r="H4182" i="5"/>
  <c r="G4182" i="5"/>
  <c r="F4182" i="5"/>
  <c r="E4182" i="5"/>
  <c r="D4182" i="5"/>
  <c r="B4182" i="5"/>
  <c r="N4181" i="5"/>
  <c r="H4181" i="5"/>
  <c r="G4181" i="5"/>
  <c r="F4181" i="5"/>
  <c r="E4181" i="5"/>
  <c r="D4181" i="5"/>
  <c r="B4181" i="5"/>
  <c r="N4180" i="5"/>
  <c r="H4180" i="5"/>
  <c r="G4180" i="5"/>
  <c r="F4180" i="5"/>
  <c r="E4180" i="5"/>
  <c r="D4180" i="5"/>
  <c r="B4180" i="5"/>
  <c r="N4179" i="5"/>
  <c r="H4179" i="5"/>
  <c r="G4179" i="5"/>
  <c r="F4179" i="5"/>
  <c r="E4179" i="5"/>
  <c r="D4179" i="5"/>
  <c r="B4179" i="5"/>
  <c r="N4178" i="5"/>
  <c r="H4178" i="5"/>
  <c r="G4178" i="5"/>
  <c r="F4178" i="5"/>
  <c r="E4178" i="5"/>
  <c r="D4178" i="5"/>
  <c r="B4178" i="5"/>
  <c r="N4177" i="5"/>
  <c r="H4177" i="5"/>
  <c r="G4177" i="5"/>
  <c r="F4177" i="5"/>
  <c r="E4177" i="5"/>
  <c r="D4177" i="5"/>
  <c r="B4177" i="5"/>
  <c r="N4176" i="5"/>
  <c r="H4176" i="5"/>
  <c r="G4176" i="5"/>
  <c r="F4176" i="5"/>
  <c r="E4176" i="5"/>
  <c r="D4176" i="5"/>
  <c r="B4176" i="5"/>
  <c r="N4175" i="5"/>
  <c r="H4175" i="5"/>
  <c r="G4175" i="5"/>
  <c r="F4175" i="5"/>
  <c r="E4175" i="5"/>
  <c r="D4175" i="5"/>
  <c r="B4175" i="5"/>
  <c r="N4174" i="5"/>
  <c r="H4174" i="5"/>
  <c r="G4174" i="5"/>
  <c r="F4174" i="5"/>
  <c r="E4174" i="5"/>
  <c r="D4174" i="5"/>
  <c r="B4174" i="5"/>
  <c r="N4173" i="5"/>
  <c r="H4173" i="5"/>
  <c r="G4173" i="5"/>
  <c r="F4173" i="5"/>
  <c r="E4173" i="5"/>
  <c r="D4173" i="5"/>
  <c r="B4173" i="5"/>
  <c r="N4172" i="5"/>
  <c r="H4172" i="5"/>
  <c r="G4172" i="5"/>
  <c r="F4172" i="5"/>
  <c r="E4172" i="5"/>
  <c r="D4172" i="5"/>
  <c r="B4172" i="5"/>
  <c r="N4171" i="5"/>
  <c r="H4171" i="5"/>
  <c r="G4171" i="5"/>
  <c r="F4171" i="5"/>
  <c r="E4171" i="5"/>
  <c r="D4171" i="5"/>
  <c r="B4171" i="5"/>
  <c r="N4170" i="5"/>
  <c r="H4170" i="5"/>
  <c r="G4170" i="5"/>
  <c r="F4170" i="5"/>
  <c r="E4170" i="5"/>
  <c r="D4170" i="5"/>
  <c r="B4170" i="5"/>
  <c r="N4169" i="5"/>
  <c r="H4169" i="5"/>
  <c r="G4169" i="5"/>
  <c r="F4169" i="5"/>
  <c r="E4169" i="5"/>
  <c r="D4169" i="5"/>
  <c r="B4169" i="5"/>
  <c r="N4168" i="5"/>
  <c r="H4168" i="5"/>
  <c r="G4168" i="5"/>
  <c r="F4168" i="5"/>
  <c r="E4168" i="5"/>
  <c r="D4168" i="5"/>
  <c r="B4168" i="5"/>
  <c r="N4167" i="5"/>
  <c r="H4167" i="5"/>
  <c r="G4167" i="5"/>
  <c r="F4167" i="5"/>
  <c r="E4167" i="5"/>
  <c r="D4167" i="5"/>
  <c r="B4167" i="5"/>
  <c r="N4166" i="5"/>
  <c r="H4166" i="5"/>
  <c r="G4166" i="5"/>
  <c r="F4166" i="5"/>
  <c r="E4166" i="5"/>
  <c r="D4166" i="5"/>
  <c r="B4166" i="5"/>
  <c r="N4165" i="5"/>
  <c r="H4165" i="5"/>
  <c r="G4165" i="5"/>
  <c r="F4165" i="5"/>
  <c r="E4165" i="5"/>
  <c r="D4165" i="5"/>
  <c r="B4165" i="5"/>
  <c r="N4164" i="5"/>
  <c r="H4164" i="5"/>
  <c r="G4164" i="5"/>
  <c r="F4164" i="5"/>
  <c r="E4164" i="5"/>
  <c r="D4164" i="5"/>
  <c r="B4164" i="5"/>
  <c r="N4163" i="5"/>
  <c r="H4163" i="5"/>
  <c r="G4163" i="5"/>
  <c r="F4163" i="5"/>
  <c r="E4163" i="5"/>
  <c r="D4163" i="5"/>
  <c r="B4163" i="5"/>
  <c r="N4162" i="5"/>
  <c r="H4162" i="5"/>
  <c r="G4162" i="5"/>
  <c r="F4162" i="5"/>
  <c r="E4162" i="5"/>
  <c r="D4162" i="5"/>
  <c r="B4162" i="5"/>
  <c r="N4161" i="5"/>
  <c r="H4161" i="5"/>
  <c r="G4161" i="5"/>
  <c r="F4161" i="5"/>
  <c r="E4161" i="5"/>
  <c r="D4161" i="5"/>
  <c r="B4161" i="5"/>
  <c r="N4160" i="5"/>
  <c r="H4160" i="5"/>
  <c r="G4160" i="5"/>
  <c r="F4160" i="5"/>
  <c r="E4160" i="5"/>
  <c r="D4160" i="5"/>
  <c r="B4160" i="5"/>
  <c r="N4159" i="5"/>
  <c r="H4159" i="5"/>
  <c r="G4159" i="5"/>
  <c r="F4159" i="5"/>
  <c r="E4159" i="5"/>
  <c r="D4159" i="5"/>
  <c r="B4159" i="5"/>
  <c r="N4158" i="5"/>
  <c r="H4158" i="5"/>
  <c r="G4158" i="5"/>
  <c r="F4158" i="5"/>
  <c r="E4158" i="5"/>
  <c r="D4158" i="5"/>
  <c r="B4158" i="5"/>
  <c r="N4157" i="5"/>
  <c r="H4157" i="5"/>
  <c r="G4157" i="5"/>
  <c r="F4157" i="5"/>
  <c r="E4157" i="5"/>
  <c r="D4157" i="5"/>
  <c r="B4157" i="5"/>
  <c r="N4156" i="5"/>
  <c r="H4156" i="5"/>
  <c r="G4156" i="5"/>
  <c r="F4156" i="5"/>
  <c r="E4156" i="5"/>
  <c r="D4156" i="5"/>
  <c r="B4156" i="5"/>
  <c r="N4155" i="5"/>
  <c r="H4155" i="5"/>
  <c r="G4155" i="5"/>
  <c r="F4155" i="5"/>
  <c r="E4155" i="5"/>
  <c r="D4155" i="5"/>
  <c r="B4155" i="5"/>
  <c r="N4154" i="5"/>
  <c r="H4154" i="5"/>
  <c r="G4154" i="5"/>
  <c r="F4154" i="5"/>
  <c r="E4154" i="5"/>
  <c r="B4154" i="5"/>
  <c r="N4153" i="5"/>
  <c r="H4153" i="5"/>
  <c r="G4153" i="5"/>
  <c r="F4153" i="5"/>
  <c r="E4153" i="5"/>
  <c r="B4153" i="5"/>
  <c r="N4152" i="5"/>
  <c r="H4152" i="5"/>
  <c r="G4152" i="5"/>
  <c r="F4152" i="5"/>
  <c r="E4152" i="5"/>
  <c r="B4152" i="5"/>
  <c r="N4151" i="5"/>
  <c r="H4151" i="5"/>
  <c r="G4151" i="5"/>
  <c r="F4151" i="5"/>
  <c r="E4151" i="5"/>
  <c r="B4151" i="5"/>
  <c r="N4150" i="5"/>
  <c r="H4150" i="5"/>
  <c r="G4150" i="5"/>
  <c r="F4150" i="5"/>
  <c r="E4150" i="5"/>
  <c r="B4150" i="5"/>
  <c r="N4149" i="5"/>
  <c r="H4149" i="5"/>
  <c r="G4149" i="5"/>
  <c r="F4149" i="5"/>
  <c r="E4149" i="5"/>
  <c r="B4149" i="5"/>
  <c r="N4148" i="5"/>
  <c r="H4148" i="5"/>
  <c r="G4148" i="5"/>
  <c r="F4148" i="5"/>
  <c r="E4148" i="5"/>
  <c r="B4148" i="5"/>
  <c r="N4147" i="5"/>
  <c r="H4147" i="5"/>
  <c r="G4147" i="5"/>
  <c r="F4147" i="5"/>
  <c r="E4147" i="5"/>
  <c r="B4147" i="5"/>
  <c r="N4146" i="5"/>
  <c r="H4146" i="5"/>
  <c r="G4146" i="5"/>
  <c r="F4146" i="5"/>
  <c r="E4146" i="5"/>
  <c r="D4146" i="5"/>
  <c r="B4146" i="5"/>
  <c r="N4145" i="5"/>
  <c r="H4145" i="5"/>
  <c r="G4145" i="5"/>
  <c r="F4145" i="5"/>
  <c r="E4145" i="5"/>
  <c r="D4145" i="5"/>
  <c r="B4145" i="5"/>
  <c r="N4144" i="5"/>
  <c r="H4144" i="5"/>
  <c r="G4144" i="5"/>
  <c r="F4144" i="5"/>
  <c r="E4144" i="5"/>
  <c r="D4144" i="5"/>
  <c r="B4144" i="5"/>
  <c r="N4143" i="5"/>
  <c r="H4143" i="5"/>
  <c r="G4143" i="5"/>
  <c r="F4143" i="5"/>
  <c r="E4143" i="5"/>
  <c r="D4143" i="5"/>
  <c r="B4143" i="5"/>
  <c r="N4142" i="5"/>
  <c r="H4142" i="5"/>
  <c r="G4142" i="5"/>
  <c r="F4142" i="5"/>
  <c r="E4142" i="5"/>
  <c r="D4142" i="5"/>
  <c r="B4142" i="5"/>
  <c r="N4141" i="5"/>
  <c r="H4141" i="5"/>
  <c r="G4141" i="5"/>
  <c r="F4141" i="5"/>
  <c r="E4141" i="5"/>
  <c r="D4141" i="5"/>
  <c r="B4141" i="5"/>
  <c r="N4140" i="5"/>
  <c r="H4140" i="5"/>
  <c r="G4140" i="5"/>
  <c r="F4140" i="5"/>
  <c r="E4140" i="5"/>
  <c r="D4140" i="5"/>
  <c r="B4140" i="5"/>
  <c r="N4139" i="5"/>
  <c r="H4139" i="5"/>
  <c r="G4139" i="5"/>
  <c r="F4139" i="5"/>
  <c r="E4139" i="5"/>
  <c r="D4139" i="5"/>
  <c r="B4139" i="5"/>
  <c r="N4138" i="5"/>
  <c r="H4138" i="5"/>
  <c r="G4138" i="5"/>
  <c r="F4138" i="5"/>
  <c r="E4138" i="5"/>
  <c r="D4138" i="5"/>
  <c r="B4138" i="5"/>
  <c r="N4137" i="5"/>
  <c r="H4137" i="5"/>
  <c r="G4137" i="5"/>
  <c r="F4137" i="5"/>
  <c r="E4137" i="5"/>
  <c r="D4137" i="5"/>
  <c r="B4137" i="5"/>
  <c r="N4136" i="5"/>
  <c r="H4136" i="5"/>
  <c r="G4136" i="5"/>
  <c r="F4136" i="5"/>
  <c r="E4136" i="5"/>
  <c r="D4136" i="5"/>
  <c r="B4136" i="5"/>
  <c r="N4135" i="5"/>
  <c r="H4135" i="5"/>
  <c r="G4135" i="5"/>
  <c r="F4135" i="5"/>
  <c r="E4135" i="5"/>
  <c r="D4135" i="5"/>
  <c r="B4135" i="5"/>
  <c r="N4134" i="5"/>
  <c r="H4134" i="5"/>
  <c r="G4134" i="5"/>
  <c r="F4134" i="5"/>
  <c r="E4134" i="5"/>
  <c r="D4134" i="5"/>
  <c r="B4134" i="5"/>
  <c r="N4133" i="5"/>
  <c r="H4133" i="5"/>
  <c r="G4133" i="5"/>
  <c r="F4133" i="5"/>
  <c r="E4133" i="5"/>
  <c r="D4133" i="5"/>
  <c r="B4133" i="5"/>
  <c r="N4132" i="5"/>
  <c r="H4132" i="5"/>
  <c r="G4132" i="5"/>
  <c r="F4132" i="5"/>
  <c r="E4132" i="5"/>
  <c r="D4132" i="5"/>
  <c r="B4132" i="5"/>
  <c r="N4131" i="5"/>
  <c r="H4131" i="5"/>
  <c r="G4131" i="5"/>
  <c r="F4131" i="5"/>
  <c r="E4131" i="5"/>
  <c r="D4131" i="5"/>
  <c r="B4131" i="5"/>
  <c r="N4130" i="5"/>
  <c r="H4130" i="5"/>
  <c r="G4130" i="5"/>
  <c r="F4130" i="5"/>
  <c r="E4130" i="5"/>
  <c r="D4130" i="5"/>
  <c r="B4130" i="5"/>
  <c r="N4129" i="5"/>
  <c r="H4129" i="5"/>
  <c r="G4129" i="5"/>
  <c r="F4129" i="5"/>
  <c r="E4129" i="5"/>
  <c r="D4129" i="5"/>
  <c r="B4129" i="5"/>
  <c r="N4128" i="5"/>
  <c r="H4128" i="5"/>
  <c r="G4128" i="5"/>
  <c r="F4128" i="5"/>
  <c r="E4128" i="5"/>
  <c r="D4128" i="5"/>
  <c r="B4128" i="5"/>
  <c r="N4127" i="5"/>
  <c r="H4127" i="5"/>
  <c r="G4127" i="5"/>
  <c r="F4127" i="5"/>
  <c r="E4127" i="5"/>
  <c r="D4127" i="5"/>
  <c r="B4127" i="5"/>
  <c r="N4126" i="5"/>
  <c r="H4126" i="5"/>
  <c r="G4126" i="5"/>
  <c r="F4126" i="5"/>
  <c r="E4126" i="5"/>
  <c r="D4126" i="5"/>
  <c r="B4126" i="5"/>
  <c r="N4125" i="5"/>
  <c r="H4125" i="5"/>
  <c r="G4125" i="5"/>
  <c r="F4125" i="5"/>
  <c r="E4125" i="5"/>
  <c r="D4125" i="5"/>
  <c r="B4125" i="5"/>
  <c r="N4124" i="5"/>
  <c r="H4124" i="5"/>
  <c r="G4124" i="5"/>
  <c r="F4124" i="5"/>
  <c r="E4124" i="5"/>
  <c r="D4124" i="5"/>
  <c r="B4124" i="5"/>
  <c r="N4123" i="5"/>
  <c r="H4123" i="5"/>
  <c r="G4123" i="5"/>
  <c r="F4123" i="5"/>
  <c r="E4123" i="5"/>
  <c r="D4123" i="5"/>
  <c r="B4123" i="5"/>
  <c r="N4122" i="5"/>
  <c r="H4122" i="5"/>
  <c r="G4122" i="5"/>
  <c r="F4122" i="5"/>
  <c r="E4122" i="5"/>
  <c r="D4122" i="5"/>
  <c r="B4122" i="5"/>
  <c r="N4121" i="5"/>
  <c r="H4121" i="5"/>
  <c r="G4121" i="5"/>
  <c r="F4121" i="5"/>
  <c r="E4121" i="5"/>
  <c r="D4121" i="5"/>
  <c r="B4121" i="5"/>
  <c r="N4120" i="5"/>
  <c r="H4120" i="5"/>
  <c r="G4120" i="5"/>
  <c r="F4120" i="5"/>
  <c r="E4120" i="5"/>
  <c r="D4120" i="5"/>
  <c r="B4120" i="5"/>
  <c r="N4119" i="5"/>
  <c r="H4119" i="5"/>
  <c r="G4119" i="5"/>
  <c r="F4119" i="5"/>
  <c r="E4119" i="5"/>
  <c r="D4119" i="5"/>
  <c r="B4119" i="5"/>
  <c r="N4118" i="5"/>
  <c r="H4118" i="5"/>
  <c r="G4118" i="5"/>
  <c r="F4118" i="5"/>
  <c r="E4118" i="5"/>
  <c r="D4118" i="5"/>
  <c r="B4118" i="5"/>
  <c r="N4117" i="5"/>
  <c r="H4117" i="5"/>
  <c r="G4117" i="5"/>
  <c r="F4117" i="5"/>
  <c r="E4117" i="5"/>
  <c r="D4117" i="5"/>
  <c r="B4117" i="5"/>
  <c r="N4116" i="5"/>
  <c r="H4116" i="5"/>
  <c r="G4116" i="5"/>
  <c r="F4116" i="5"/>
  <c r="E4116" i="5"/>
  <c r="D4116" i="5"/>
  <c r="B4116" i="5"/>
  <c r="N4115" i="5"/>
  <c r="H4115" i="5"/>
  <c r="G4115" i="5"/>
  <c r="F4115" i="5"/>
  <c r="E4115" i="5"/>
  <c r="D4115" i="5"/>
  <c r="B4115" i="5"/>
  <c r="N4114" i="5"/>
  <c r="H4114" i="5"/>
  <c r="G4114" i="5"/>
  <c r="F4114" i="5"/>
  <c r="E4114" i="5"/>
  <c r="D4114" i="5"/>
  <c r="B4114" i="5"/>
  <c r="N4113" i="5"/>
  <c r="H4113" i="5"/>
  <c r="G4113" i="5"/>
  <c r="F4113" i="5"/>
  <c r="E4113" i="5"/>
  <c r="D4113" i="5"/>
  <c r="B4113" i="5"/>
  <c r="N4112" i="5"/>
  <c r="H4112" i="5"/>
  <c r="G4112" i="5"/>
  <c r="F4112" i="5"/>
  <c r="E4112" i="5"/>
  <c r="D4112" i="5"/>
  <c r="B4112" i="5"/>
  <c r="N4111" i="5"/>
  <c r="H4111" i="5"/>
  <c r="G4111" i="5"/>
  <c r="F4111" i="5"/>
  <c r="E4111" i="5"/>
  <c r="D4111" i="5"/>
  <c r="B4111" i="5"/>
  <c r="N4110" i="5"/>
  <c r="H4110" i="5"/>
  <c r="G4110" i="5"/>
  <c r="F4110" i="5"/>
  <c r="E4110" i="5"/>
  <c r="D4110" i="5"/>
  <c r="B4110" i="5"/>
  <c r="N4109" i="5"/>
  <c r="H4109" i="5"/>
  <c r="G4109" i="5"/>
  <c r="F4109" i="5"/>
  <c r="E4109" i="5"/>
  <c r="D4109" i="5"/>
  <c r="B4109" i="5"/>
  <c r="N4108" i="5"/>
  <c r="H4108" i="5"/>
  <c r="G4108" i="5"/>
  <c r="F4108" i="5"/>
  <c r="E4108" i="5"/>
  <c r="D4108" i="5"/>
  <c r="B4108" i="5"/>
  <c r="N4107" i="5"/>
  <c r="H4107" i="5"/>
  <c r="G4107" i="5"/>
  <c r="F4107" i="5"/>
  <c r="E4107" i="5"/>
  <c r="D4107" i="5"/>
  <c r="B4107" i="5"/>
  <c r="N4106" i="5"/>
  <c r="H4106" i="5"/>
  <c r="G4106" i="5"/>
  <c r="F4106" i="5"/>
  <c r="E4106" i="5"/>
  <c r="D4106" i="5"/>
  <c r="B4106" i="5"/>
  <c r="N4105" i="5"/>
  <c r="H4105" i="5"/>
  <c r="G4105" i="5"/>
  <c r="F4105" i="5"/>
  <c r="E4105" i="5"/>
  <c r="D4105" i="5"/>
  <c r="B4105" i="5"/>
  <c r="N4104" i="5"/>
  <c r="H4104" i="5"/>
  <c r="G4104" i="5"/>
  <c r="F4104" i="5"/>
  <c r="E4104" i="5"/>
  <c r="D4104" i="5"/>
  <c r="B4104" i="5"/>
  <c r="N4103" i="5"/>
  <c r="H4103" i="5"/>
  <c r="G4103" i="5"/>
  <c r="F4103" i="5"/>
  <c r="E4103" i="5"/>
  <c r="D4103" i="5"/>
  <c r="B4103" i="5"/>
  <c r="N4102" i="5"/>
  <c r="H4102" i="5"/>
  <c r="G4102" i="5"/>
  <c r="F4102" i="5"/>
  <c r="E4102" i="5"/>
  <c r="D4102" i="5"/>
  <c r="B4102" i="5"/>
  <c r="N4101" i="5"/>
  <c r="H4101" i="5"/>
  <c r="G4101" i="5"/>
  <c r="F4101" i="5"/>
  <c r="E4101" i="5"/>
  <c r="D4101" i="5"/>
  <c r="B4101" i="5"/>
  <c r="N4100" i="5"/>
  <c r="H4100" i="5"/>
  <c r="G4100" i="5"/>
  <c r="F4100" i="5"/>
  <c r="E4100" i="5"/>
  <c r="D4100" i="5"/>
  <c r="B4100" i="5"/>
  <c r="N4099" i="5"/>
  <c r="H4099" i="5"/>
  <c r="G4099" i="5"/>
  <c r="F4099" i="5"/>
  <c r="E4099" i="5"/>
  <c r="D4099" i="5"/>
  <c r="B4099" i="5"/>
  <c r="N4098" i="5"/>
  <c r="H4098" i="5"/>
  <c r="G4098" i="5"/>
  <c r="F4098" i="5"/>
  <c r="E4098" i="5"/>
  <c r="D4098" i="5"/>
  <c r="B4098" i="5"/>
  <c r="N4097" i="5"/>
  <c r="H4097" i="5"/>
  <c r="G4097" i="5"/>
  <c r="F4097" i="5"/>
  <c r="E4097" i="5"/>
  <c r="D4097" i="5"/>
  <c r="B4097" i="5"/>
  <c r="N4096" i="5"/>
  <c r="H4096" i="5"/>
  <c r="G4096" i="5"/>
  <c r="F4096" i="5"/>
  <c r="E4096" i="5"/>
  <c r="D4096" i="5"/>
  <c r="B4096" i="5"/>
  <c r="N4095" i="5"/>
  <c r="H4095" i="5"/>
  <c r="G4095" i="5"/>
  <c r="F4095" i="5"/>
  <c r="E4095" i="5"/>
  <c r="D4095" i="5"/>
  <c r="B4095" i="5"/>
  <c r="N4094" i="5"/>
  <c r="H4094" i="5"/>
  <c r="G4094" i="5"/>
  <c r="F4094" i="5"/>
  <c r="E4094" i="5"/>
  <c r="D4094" i="5"/>
  <c r="B4094" i="5"/>
  <c r="N4093" i="5"/>
  <c r="H4093" i="5"/>
  <c r="G4093" i="5"/>
  <c r="F4093" i="5"/>
  <c r="E4093" i="5"/>
  <c r="D4093" i="5"/>
  <c r="B4093" i="5"/>
  <c r="N4092" i="5"/>
  <c r="H4092" i="5"/>
  <c r="G4092" i="5"/>
  <c r="F4092" i="5"/>
  <c r="E4092" i="5"/>
  <c r="D4092" i="5"/>
  <c r="B4092" i="5"/>
  <c r="N4091" i="5"/>
  <c r="H4091" i="5"/>
  <c r="G4091" i="5"/>
  <c r="F4091" i="5"/>
  <c r="E4091" i="5"/>
  <c r="D4091" i="5"/>
  <c r="B4091" i="5"/>
  <c r="N4090" i="5"/>
  <c r="H4090" i="5"/>
  <c r="G4090" i="5"/>
  <c r="F4090" i="5"/>
  <c r="E4090" i="5"/>
  <c r="D4090" i="5"/>
  <c r="B4090" i="5"/>
  <c r="N4089" i="5"/>
  <c r="H4089" i="5"/>
  <c r="G4089" i="5"/>
  <c r="F4089" i="5"/>
  <c r="E4089" i="5"/>
  <c r="D4089" i="5"/>
  <c r="B4089" i="5"/>
  <c r="N4088" i="5"/>
  <c r="H4088" i="5"/>
  <c r="G4088" i="5"/>
  <c r="F4088" i="5"/>
  <c r="E4088" i="5"/>
  <c r="D4088" i="5"/>
  <c r="B4088" i="5"/>
  <c r="N4087" i="5"/>
  <c r="H4087" i="5"/>
  <c r="G4087" i="5"/>
  <c r="F4087" i="5"/>
  <c r="E4087" i="5"/>
  <c r="D4087" i="5"/>
  <c r="B4087" i="5"/>
  <c r="N4086" i="5"/>
  <c r="H4086" i="5"/>
  <c r="G4086" i="5"/>
  <c r="F4086" i="5"/>
  <c r="E4086" i="5"/>
  <c r="D4086" i="5"/>
  <c r="B4086" i="5"/>
  <c r="N4085" i="5"/>
  <c r="H4085" i="5"/>
  <c r="G4085" i="5"/>
  <c r="F4085" i="5"/>
  <c r="E4085" i="5"/>
  <c r="D4085" i="5"/>
  <c r="B4085" i="5"/>
  <c r="N4084" i="5"/>
  <c r="H4084" i="5"/>
  <c r="G4084" i="5"/>
  <c r="F4084" i="5"/>
  <c r="E4084" i="5"/>
  <c r="D4084" i="5"/>
  <c r="B4084" i="5"/>
  <c r="N4083" i="5"/>
  <c r="H4083" i="5"/>
  <c r="G4083" i="5"/>
  <c r="F4083" i="5"/>
  <c r="E4083" i="5"/>
  <c r="D4083" i="5"/>
  <c r="B4083" i="5"/>
  <c r="N4082" i="5"/>
  <c r="H4082" i="5"/>
  <c r="G4082" i="5"/>
  <c r="F4082" i="5"/>
  <c r="E4082" i="5"/>
  <c r="D4082" i="5"/>
  <c r="B4082" i="5"/>
  <c r="N4081" i="5"/>
  <c r="H4081" i="5"/>
  <c r="G4081" i="5"/>
  <c r="F4081" i="5"/>
  <c r="E4081" i="5"/>
  <c r="D4081" i="5"/>
  <c r="B4081" i="5"/>
  <c r="N4080" i="5"/>
  <c r="H4080" i="5"/>
  <c r="G4080" i="5"/>
  <c r="F4080" i="5"/>
  <c r="E4080" i="5"/>
  <c r="D4080" i="5"/>
  <c r="B4080" i="5"/>
  <c r="N4079" i="5"/>
  <c r="H4079" i="5"/>
  <c r="G4079" i="5"/>
  <c r="F4079" i="5"/>
  <c r="E4079" i="5"/>
  <c r="D4079" i="5"/>
  <c r="B4079" i="5"/>
  <c r="N4078" i="5"/>
  <c r="H4078" i="5"/>
  <c r="G4078" i="5"/>
  <c r="F4078" i="5"/>
  <c r="E4078" i="5"/>
  <c r="D4078" i="5"/>
  <c r="B4078" i="5"/>
  <c r="N4077" i="5"/>
  <c r="H4077" i="5"/>
  <c r="G4077" i="5"/>
  <c r="F4077" i="5"/>
  <c r="E4077" i="5"/>
  <c r="D4077" i="5"/>
  <c r="B4077" i="5"/>
  <c r="N4076" i="5"/>
  <c r="H4076" i="5"/>
  <c r="G4076" i="5"/>
  <c r="F4076" i="5"/>
  <c r="E4076" i="5"/>
  <c r="D4076" i="5"/>
  <c r="B4076" i="5"/>
  <c r="N4075" i="5"/>
  <c r="H4075" i="5"/>
  <c r="G4075" i="5"/>
  <c r="F4075" i="5"/>
  <c r="E4075" i="5"/>
  <c r="D4075" i="5"/>
  <c r="B4075" i="5"/>
  <c r="N4074" i="5"/>
  <c r="H4074" i="5"/>
  <c r="G4074" i="5"/>
  <c r="F4074" i="5"/>
  <c r="E4074" i="5"/>
  <c r="D4074" i="5"/>
  <c r="B4074" i="5"/>
  <c r="N4073" i="5"/>
  <c r="H4073" i="5"/>
  <c r="G4073" i="5"/>
  <c r="F4073" i="5"/>
  <c r="E4073" i="5"/>
  <c r="D4073" i="5"/>
  <c r="B4073" i="5"/>
  <c r="N4072" i="5"/>
  <c r="H4072" i="5"/>
  <c r="G4072" i="5"/>
  <c r="F4072" i="5"/>
  <c r="E4072" i="5"/>
  <c r="D4072" i="5"/>
  <c r="B4072" i="5"/>
  <c r="N4071" i="5"/>
  <c r="H4071" i="5"/>
  <c r="G4071" i="5"/>
  <c r="F4071" i="5"/>
  <c r="E4071" i="5"/>
  <c r="D4071" i="5"/>
  <c r="B4071" i="5"/>
  <c r="N4070" i="5"/>
  <c r="H4070" i="5"/>
  <c r="G4070" i="5"/>
  <c r="F4070" i="5"/>
  <c r="E4070" i="5"/>
  <c r="D4070" i="5"/>
  <c r="B4070" i="5"/>
  <c r="N4069" i="5"/>
  <c r="H4069" i="5"/>
  <c r="G4069" i="5"/>
  <c r="F4069" i="5"/>
  <c r="E4069" i="5"/>
  <c r="D4069" i="5"/>
  <c r="B4069" i="5"/>
  <c r="N4068" i="5"/>
  <c r="H4068" i="5"/>
  <c r="G4068" i="5"/>
  <c r="F4068" i="5"/>
  <c r="E4068" i="5"/>
  <c r="D4068" i="5"/>
  <c r="B4068" i="5"/>
  <c r="N4067" i="5"/>
  <c r="H4067" i="5"/>
  <c r="G4067" i="5"/>
  <c r="F4067" i="5"/>
  <c r="E4067" i="5"/>
  <c r="D4067" i="5"/>
  <c r="B4067" i="5"/>
  <c r="N4066" i="5"/>
  <c r="H4066" i="5"/>
  <c r="G4066" i="5"/>
  <c r="F4066" i="5"/>
  <c r="E4066" i="5"/>
  <c r="D4066" i="5"/>
  <c r="B4066" i="5"/>
  <c r="N4065" i="5"/>
  <c r="H4065" i="5"/>
  <c r="G4065" i="5"/>
  <c r="F4065" i="5"/>
  <c r="E4065" i="5"/>
  <c r="D4065" i="5"/>
  <c r="B4065" i="5"/>
  <c r="N4064" i="5"/>
  <c r="H4064" i="5"/>
  <c r="G4064" i="5"/>
  <c r="F4064" i="5"/>
  <c r="E4064" i="5"/>
  <c r="D4064" i="5"/>
  <c r="B4064" i="5"/>
  <c r="N4063" i="5"/>
  <c r="H4063" i="5"/>
  <c r="G4063" i="5"/>
  <c r="F4063" i="5"/>
  <c r="E4063" i="5"/>
  <c r="D4063" i="5"/>
  <c r="B4063" i="5"/>
  <c r="N4062" i="5"/>
  <c r="H4062" i="5"/>
  <c r="G4062" i="5"/>
  <c r="F4062" i="5"/>
  <c r="E4062" i="5"/>
  <c r="D4062" i="5"/>
  <c r="B4062" i="5"/>
  <c r="N4061" i="5"/>
  <c r="H4061" i="5"/>
  <c r="G4061" i="5"/>
  <c r="F4061" i="5"/>
  <c r="E4061" i="5"/>
  <c r="D4061" i="5"/>
  <c r="B4061" i="5"/>
  <c r="N4060" i="5"/>
  <c r="H4060" i="5"/>
  <c r="G4060" i="5"/>
  <c r="F4060" i="5"/>
  <c r="E4060" i="5"/>
  <c r="D4060" i="5"/>
  <c r="B4060" i="5"/>
  <c r="N4059" i="5"/>
  <c r="H4059" i="5"/>
  <c r="G4059" i="5"/>
  <c r="F4059" i="5"/>
  <c r="E4059" i="5"/>
  <c r="D4059" i="5"/>
  <c r="B4059" i="5"/>
  <c r="N4058" i="5"/>
  <c r="H4058" i="5"/>
  <c r="G4058" i="5"/>
  <c r="F4058" i="5"/>
  <c r="E4058" i="5"/>
  <c r="D4058" i="5"/>
  <c r="B4058" i="5"/>
  <c r="N4057" i="5"/>
  <c r="H4057" i="5"/>
  <c r="G4057" i="5"/>
  <c r="F4057" i="5"/>
  <c r="E4057" i="5"/>
  <c r="D4057" i="5"/>
  <c r="B4057" i="5"/>
  <c r="N4056" i="5"/>
  <c r="H4056" i="5"/>
  <c r="G4056" i="5"/>
  <c r="F4056" i="5"/>
  <c r="E4056" i="5"/>
  <c r="D4056" i="5"/>
  <c r="B4056" i="5"/>
  <c r="N4055" i="5"/>
  <c r="H4055" i="5"/>
  <c r="G4055" i="5"/>
  <c r="F4055" i="5"/>
  <c r="E4055" i="5"/>
  <c r="D4055" i="5"/>
  <c r="B4055" i="5"/>
  <c r="N4054" i="5"/>
  <c r="H4054" i="5"/>
  <c r="G4054" i="5"/>
  <c r="F4054" i="5"/>
  <c r="E4054" i="5"/>
  <c r="D4054" i="5"/>
  <c r="B4054" i="5"/>
  <c r="N4053" i="5"/>
  <c r="H4053" i="5"/>
  <c r="G4053" i="5"/>
  <c r="F4053" i="5"/>
  <c r="E4053" i="5"/>
  <c r="D4053" i="5"/>
  <c r="B4053" i="5"/>
  <c r="N4052" i="5"/>
  <c r="H4052" i="5"/>
  <c r="G4052" i="5"/>
  <c r="F4052" i="5"/>
  <c r="E4052" i="5"/>
  <c r="D4052" i="5"/>
  <c r="B4052" i="5"/>
  <c r="N4051" i="5"/>
  <c r="H4051" i="5"/>
  <c r="G4051" i="5"/>
  <c r="F4051" i="5"/>
  <c r="E4051" i="5"/>
  <c r="D4051" i="5"/>
  <c r="B4051" i="5"/>
  <c r="N4050" i="5"/>
  <c r="H4050" i="5"/>
  <c r="G4050" i="5"/>
  <c r="F4050" i="5"/>
  <c r="E4050" i="5"/>
  <c r="D4050" i="5"/>
  <c r="B4050" i="5"/>
  <c r="N4049" i="5"/>
  <c r="H4049" i="5"/>
  <c r="G4049" i="5"/>
  <c r="F4049" i="5"/>
  <c r="E4049" i="5"/>
  <c r="D4049" i="5"/>
  <c r="B4049" i="5"/>
  <c r="N4048" i="5"/>
  <c r="H4048" i="5"/>
  <c r="G4048" i="5"/>
  <c r="F4048" i="5"/>
  <c r="E4048" i="5"/>
  <c r="D4048" i="5"/>
  <c r="B4048" i="5"/>
  <c r="N4047" i="5"/>
  <c r="H4047" i="5"/>
  <c r="G4047" i="5"/>
  <c r="F4047" i="5"/>
  <c r="E4047" i="5"/>
  <c r="D4047" i="5"/>
  <c r="B4047" i="5"/>
  <c r="N4046" i="5"/>
  <c r="H4046" i="5"/>
  <c r="G4046" i="5"/>
  <c r="F4046" i="5"/>
  <c r="E4046" i="5"/>
  <c r="D4046" i="5"/>
  <c r="B4046" i="5"/>
  <c r="N4045" i="5"/>
  <c r="H4045" i="5"/>
  <c r="G4045" i="5"/>
  <c r="F4045" i="5"/>
  <c r="E4045" i="5"/>
  <c r="D4045" i="5"/>
  <c r="B4045" i="5"/>
  <c r="N4044" i="5"/>
  <c r="H4044" i="5"/>
  <c r="G4044" i="5"/>
  <c r="F4044" i="5"/>
  <c r="E4044" i="5"/>
  <c r="D4044" i="5"/>
  <c r="B4044" i="5"/>
  <c r="N4043" i="5"/>
  <c r="H4043" i="5"/>
  <c r="G4043" i="5"/>
  <c r="F4043" i="5"/>
  <c r="E4043" i="5"/>
  <c r="D4043" i="5"/>
  <c r="B4043" i="5"/>
  <c r="N4042" i="5"/>
  <c r="H4042" i="5"/>
  <c r="G4042" i="5"/>
  <c r="F4042" i="5"/>
  <c r="E4042" i="5"/>
  <c r="D4042" i="5"/>
  <c r="B4042" i="5"/>
  <c r="N4041" i="5"/>
  <c r="H4041" i="5"/>
  <c r="G4041" i="5"/>
  <c r="F4041" i="5"/>
  <c r="E4041" i="5"/>
  <c r="D4041" i="5"/>
  <c r="B4041" i="5"/>
  <c r="N4040" i="5"/>
  <c r="H4040" i="5"/>
  <c r="G4040" i="5"/>
  <c r="F4040" i="5"/>
  <c r="E4040" i="5"/>
  <c r="D4040" i="5"/>
  <c r="B4040" i="5"/>
  <c r="N4039" i="5"/>
  <c r="H4039" i="5"/>
  <c r="G4039" i="5"/>
  <c r="F4039" i="5"/>
  <c r="E4039" i="5"/>
  <c r="D4039" i="5"/>
  <c r="B4039" i="5"/>
  <c r="N4038" i="5"/>
  <c r="H4038" i="5"/>
  <c r="G4038" i="5"/>
  <c r="F4038" i="5"/>
  <c r="E4038" i="5"/>
  <c r="D4038" i="5"/>
  <c r="B4038" i="5"/>
  <c r="N4037" i="5"/>
  <c r="H4037" i="5"/>
  <c r="G4037" i="5"/>
  <c r="F4037" i="5"/>
  <c r="E4037" i="5"/>
  <c r="D4037" i="5"/>
  <c r="B4037" i="5"/>
  <c r="N4036" i="5"/>
  <c r="H4036" i="5"/>
  <c r="G4036" i="5"/>
  <c r="F4036" i="5"/>
  <c r="E4036" i="5"/>
  <c r="D4036" i="5"/>
  <c r="B4036" i="5"/>
  <c r="N4035" i="5"/>
  <c r="H4035" i="5"/>
  <c r="G4035" i="5"/>
  <c r="F4035" i="5"/>
  <c r="E4035" i="5"/>
  <c r="D4035" i="5"/>
  <c r="B4035" i="5"/>
  <c r="N4034" i="5"/>
  <c r="H4034" i="5"/>
  <c r="G4034" i="5"/>
  <c r="F4034" i="5"/>
  <c r="E4034" i="5"/>
  <c r="D4034" i="5"/>
  <c r="B4034" i="5"/>
  <c r="N4033" i="5"/>
  <c r="H4033" i="5"/>
  <c r="G4033" i="5"/>
  <c r="F4033" i="5"/>
  <c r="E4033" i="5"/>
  <c r="D4033" i="5"/>
  <c r="B4033" i="5"/>
  <c r="N4032" i="5"/>
  <c r="H4032" i="5"/>
  <c r="G4032" i="5"/>
  <c r="F4032" i="5"/>
  <c r="E4032" i="5"/>
  <c r="D4032" i="5"/>
  <c r="B4032" i="5"/>
  <c r="N4031" i="5"/>
  <c r="H4031" i="5"/>
  <c r="G4031" i="5"/>
  <c r="F4031" i="5"/>
  <c r="E4031" i="5"/>
  <c r="D4031" i="5"/>
  <c r="B4031" i="5"/>
  <c r="N4030" i="5"/>
  <c r="H4030" i="5"/>
  <c r="G4030" i="5"/>
  <c r="F4030" i="5"/>
  <c r="E4030" i="5"/>
  <c r="D4030" i="5"/>
  <c r="B4030" i="5"/>
  <c r="N4029" i="5"/>
  <c r="H4029" i="5"/>
  <c r="G4029" i="5"/>
  <c r="F4029" i="5"/>
  <c r="E4029" i="5"/>
  <c r="D4029" i="5"/>
  <c r="B4029" i="5"/>
  <c r="N4028" i="5"/>
  <c r="H4028" i="5"/>
  <c r="G4028" i="5"/>
  <c r="F4028" i="5"/>
  <c r="E4028" i="5"/>
  <c r="D4028" i="5"/>
  <c r="B4028" i="5"/>
  <c r="N4027" i="5"/>
  <c r="H4027" i="5"/>
  <c r="G4027" i="5"/>
  <c r="F4027" i="5"/>
  <c r="E4027" i="5"/>
  <c r="D4027" i="5"/>
  <c r="B4027" i="5"/>
  <c r="N4026" i="5"/>
  <c r="H4026" i="5"/>
  <c r="G4026" i="5"/>
  <c r="F4026" i="5"/>
  <c r="E4026" i="5"/>
  <c r="D4026" i="5"/>
  <c r="B4026" i="5"/>
  <c r="N4025" i="5"/>
  <c r="H4025" i="5"/>
  <c r="G4025" i="5"/>
  <c r="F4025" i="5"/>
  <c r="E4025" i="5"/>
  <c r="D4025" i="5"/>
  <c r="B4025" i="5"/>
  <c r="N4024" i="5"/>
  <c r="H4024" i="5"/>
  <c r="G4024" i="5"/>
  <c r="F4024" i="5"/>
  <c r="E4024" i="5"/>
  <c r="D4024" i="5"/>
  <c r="B4024" i="5"/>
  <c r="N4023" i="5"/>
  <c r="H4023" i="5"/>
  <c r="G4023" i="5"/>
  <c r="F4023" i="5"/>
  <c r="E4023" i="5"/>
  <c r="D4023" i="5"/>
  <c r="B4023" i="5"/>
  <c r="N4022" i="5"/>
  <c r="H4022" i="5"/>
  <c r="G4022" i="5"/>
  <c r="F4022" i="5"/>
  <c r="E4022" i="5"/>
  <c r="D4022" i="5"/>
  <c r="B4022" i="5"/>
  <c r="N4021" i="5"/>
  <c r="H4021" i="5"/>
  <c r="G4021" i="5"/>
  <c r="F4021" i="5"/>
  <c r="E4021" i="5"/>
  <c r="D4021" i="5"/>
  <c r="B4021" i="5"/>
  <c r="N4020" i="5"/>
  <c r="H4020" i="5"/>
  <c r="G4020" i="5"/>
  <c r="F4020" i="5"/>
  <c r="E4020" i="5"/>
  <c r="D4020" i="5"/>
  <c r="B4020" i="5"/>
  <c r="N4019" i="5"/>
  <c r="H4019" i="5"/>
  <c r="G4019" i="5"/>
  <c r="F4019" i="5"/>
  <c r="E4019" i="5"/>
  <c r="D4019" i="5"/>
  <c r="B4019" i="5"/>
  <c r="N4018" i="5"/>
  <c r="H4018" i="5"/>
  <c r="G4018" i="5"/>
  <c r="F4018" i="5"/>
  <c r="E4018" i="5"/>
  <c r="D4018" i="5"/>
  <c r="B4018" i="5"/>
  <c r="N4017" i="5"/>
  <c r="H4017" i="5"/>
  <c r="G4017" i="5"/>
  <c r="F4017" i="5"/>
  <c r="E4017" i="5"/>
  <c r="D4017" i="5"/>
  <c r="B4017" i="5"/>
  <c r="N4016" i="5"/>
  <c r="H4016" i="5"/>
  <c r="G4016" i="5"/>
  <c r="F4016" i="5"/>
  <c r="E4016" i="5"/>
  <c r="D4016" i="5"/>
  <c r="B4016" i="5"/>
  <c r="N4015" i="5"/>
  <c r="H4015" i="5"/>
  <c r="G4015" i="5"/>
  <c r="F4015" i="5"/>
  <c r="E4015" i="5"/>
  <c r="D4015" i="5"/>
  <c r="B4015" i="5"/>
  <c r="N4014" i="5"/>
  <c r="H4014" i="5"/>
  <c r="G4014" i="5"/>
  <c r="F4014" i="5"/>
  <c r="E4014" i="5"/>
  <c r="D4014" i="5"/>
  <c r="B4014" i="5"/>
  <c r="N4013" i="5"/>
  <c r="H4013" i="5"/>
  <c r="G4013" i="5"/>
  <c r="F4013" i="5"/>
  <c r="E4013" i="5"/>
  <c r="D4013" i="5"/>
  <c r="B4013" i="5"/>
  <c r="N4012" i="5"/>
  <c r="H4012" i="5"/>
  <c r="G4012" i="5"/>
  <c r="F4012" i="5"/>
  <c r="E4012" i="5"/>
  <c r="D4012" i="5"/>
  <c r="B4012" i="5"/>
  <c r="N4011" i="5"/>
  <c r="H4011" i="5"/>
  <c r="G4011" i="5"/>
  <c r="F4011" i="5"/>
  <c r="E4011" i="5"/>
  <c r="D4011" i="5"/>
  <c r="B4011" i="5"/>
  <c r="N4010" i="5"/>
  <c r="H4010" i="5"/>
  <c r="G4010" i="5"/>
  <c r="F4010" i="5"/>
  <c r="E4010" i="5"/>
  <c r="D4010" i="5"/>
  <c r="B4010" i="5"/>
  <c r="N4009" i="5"/>
  <c r="H4009" i="5"/>
  <c r="G4009" i="5"/>
  <c r="F4009" i="5"/>
  <c r="E4009" i="5"/>
  <c r="D4009" i="5"/>
  <c r="B4009" i="5"/>
  <c r="N4008" i="5"/>
  <c r="H4008" i="5"/>
  <c r="G4008" i="5"/>
  <c r="F4008" i="5"/>
  <c r="E4008" i="5"/>
  <c r="D4008" i="5"/>
  <c r="B4008" i="5"/>
  <c r="N4007" i="5"/>
  <c r="H4007" i="5"/>
  <c r="G4007" i="5"/>
  <c r="F4007" i="5"/>
  <c r="E4007" i="5"/>
  <c r="D4007" i="5"/>
  <c r="B4007" i="5"/>
  <c r="N4006" i="5"/>
  <c r="H4006" i="5"/>
  <c r="G4006" i="5"/>
  <c r="F4006" i="5"/>
  <c r="E4006" i="5"/>
  <c r="D4006" i="5"/>
  <c r="B4006" i="5"/>
  <c r="N4005" i="5"/>
  <c r="H4005" i="5"/>
  <c r="G4005" i="5"/>
  <c r="F4005" i="5"/>
  <c r="E4005" i="5"/>
  <c r="D4005" i="5"/>
  <c r="B4005" i="5"/>
  <c r="N4004" i="5"/>
  <c r="H4004" i="5"/>
  <c r="G4004" i="5"/>
  <c r="F4004" i="5"/>
  <c r="E4004" i="5"/>
  <c r="D4004" i="5"/>
  <c r="B4004" i="5"/>
  <c r="N4003" i="5"/>
  <c r="H4003" i="5"/>
  <c r="G4003" i="5"/>
  <c r="F4003" i="5"/>
  <c r="E4003" i="5"/>
  <c r="D4003" i="5"/>
  <c r="B4003" i="5"/>
  <c r="N4002" i="5"/>
  <c r="H4002" i="5"/>
  <c r="G4002" i="5"/>
  <c r="F4002" i="5"/>
  <c r="E4002" i="5"/>
  <c r="D4002" i="5"/>
  <c r="B4002" i="5"/>
  <c r="N4001" i="5"/>
  <c r="H4001" i="5"/>
  <c r="G4001" i="5"/>
  <c r="F4001" i="5"/>
  <c r="E4001" i="5"/>
  <c r="D4001" i="5"/>
  <c r="B4001" i="5"/>
  <c r="N4000" i="5"/>
  <c r="H4000" i="5"/>
  <c r="G4000" i="5"/>
  <c r="F4000" i="5"/>
  <c r="E4000" i="5"/>
  <c r="D4000" i="5"/>
  <c r="B4000" i="5"/>
  <c r="N3999" i="5"/>
  <c r="H3999" i="5"/>
  <c r="G3999" i="5"/>
  <c r="F3999" i="5"/>
  <c r="E3999" i="5"/>
  <c r="D3999" i="5"/>
  <c r="B3999" i="5"/>
  <c r="N3998" i="5"/>
  <c r="H3998" i="5"/>
  <c r="G3998" i="5"/>
  <c r="F3998" i="5"/>
  <c r="E3998" i="5"/>
  <c r="D3998" i="5"/>
  <c r="B3998" i="5"/>
  <c r="N3997" i="5"/>
  <c r="H3997" i="5"/>
  <c r="G3997" i="5"/>
  <c r="F3997" i="5"/>
  <c r="E3997" i="5"/>
  <c r="D3997" i="5"/>
  <c r="B3997" i="5"/>
  <c r="N3996" i="5"/>
  <c r="H3996" i="5"/>
  <c r="G3996" i="5"/>
  <c r="F3996" i="5"/>
  <c r="E3996" i="5"/>
  <c r="D3996" i="5"/>
  <c r="B3996" i="5"/>
  <c r="N3995" i="5"/>
  <c r="H3995" i="5"/>
  <c r="G3995" i="5"/>
  <c r="F3995" i="5"/>
  <c r="E3995" i="5"/>
  <c r="D3995" i="5"/>
  <c r="B3995" i="5"/>
  <c r="N3994" i="5"/>
  <c r="H3994" i="5"/>
  <c r="G3994" i="5"/>
  <c r="F3994" i="5"/>
  <c r="E3994" i="5"/>
  <c r="D3994" i="5"/>
  <c r="B3994" i="5"/>
  <c r="N3993" i="5"/>
  <c r="H3993" i="5"/>
  <c r="G3993" i="5"/>
  <c r="F3993" i="5"/>
  <c r="E3993" i="5"/>
  <c r="D3993" i="5"/>
  <c r="B3993" i="5"/>
  <c r="N3992" i="5"/>
  <c r="H3992" i="5"/>
  <c r="G3992" i="5"/>
  <c r="F3992" i="5"/>
  <c r="E3992" i="5"/>
  <c r="D3992" i="5"/>
  <c r="B3992" i="5"/>
  <c r="N3991" i="5"/>
  <c r="H3991" i="5"/>
  <c r="G3991" i="5"/>
  <c r="F3991" i="5"/>
  <c r="E3991" i="5"/>
  <c r="D3991" i="5"/>
  <c r="B3991" i="5"/>
  <c r="N3990" i="5"/>
  <c r="H3990" i="5"/>
  <c r="G3990" i="5"/>
  <c r="F3990" i="5"/>
  <c r="E3990" i="5"/>
  <c r="D3990" i="5"/>
  <c r="B3990" i="5"/>
  <c r="N3989" i="5"/>
  <c r="H3989" i="5"/>
  <c r="G3989" i="5"/>
  <c r="F3989" i="5"/>
  <c r="E3989" i="5"/>
  <c r="D3989" i="5"/>
  <c r="B3989" i="5"/>
  <c r="N3988" i="5"/>
  <c r="H3988" i="5"/>
  <c r="G3988" i="5"/>
  <c r="F3988" i="5"/>
  <c r="E3988" i="5"/>
  <c r="D3988" i="5"/>
  <c r="B3988" i="5"/>
  <c r="N3987" i="5"/>
  <c r="H3987" i="5"/>
  <c r="G3987" i="5"/>
  <c r="F3987" i="5"/>
  <c r="E3987" i="5"/>
  <c r="D3987" i="5"/>
  <c r="B3987" i="5"/>
  <c r="N3986" i="5"/>
  <c r="H3986" i="5"/>
  <c r="G3986" i="5"/>
  <c r="F3986" i="5"/>
  <c r="E3986" i="5"/>
  <c r="D3986" i="5"/>
  <c r="B3986" i="5"/>
  <c r="N3985" i="5"/>
  <c r="H3985" i="5"/>
  <c r="G3985" i="5"/>
  <c r="F3985" i="5"/>
  <c r="E3985" i="5"/>
  <c r="D3985" i="5"/>
  <c r="B3985" i="5"/>
  <c r="N3984" i="5"/>
  <c r="H3984" i="5"/>
  <c r="G3984" i="5"/>
  <c r="F3984" i="5"/>
  <c r="E3984" i="5"/>
  <c r="D3984" i="5"/>
  <c r="B3984" i="5"/>
  <c r="N3983" i="5"/>
  <c r="H3983" i="5"/>
  <c r="G3983" i="5"/>
  <c r="F3983" i="5"/>
  <c r="E3983" i="5"/>
  <c r="D3983" i="5"/>
  <c r="B3983" i="5"/>
  <c r="N3982" i="5"/>
  <c r="H3982" i="5"/>
  <c r="G3982" i="5"/>
  <c r="F3982" i="5"/>
  <c r="E3982" i="5"/>
  <c r="D3982" i="5"/>
  <c r="B3982" i="5"/>
  <c r="N3981" i="5"/>
  <c r="H3981" i="5"/>
  <c r="G3981" i="5"/>
  <c r="F3981" i="5"/>
  <c r="E3981" i="5"/>
  <c r="D3981" i="5"/>
  <c r="B3981" i="5"/>
  <c r="N3980" i="5"/>
  <c r="H3980" i="5"/>
  <c r="G3980" i="5"/>
  <c r="F3980" i="5"/>
  <c r="E3980" i="5"/>
  <c r="D3980" i="5"/>
  <c r="B3980" i="5"/>
  <c r="N3979" i="5"/>
  <c r="H3979" i="5"/>
  <c r="G3979" i="5"/>
  <c r="F3979" i="5"/>
  <c r="E3979" i="5"/>
  <c r="D3979" i="5"/>
  <c r="B3979" i="5"/>
  <c r="N3978" i="5"/>
  <c r="H3978" i="5"/>
  <c r="G3978" i="5"/>
  <c r="F3978" i="5"/>
  <c r="E3978" i="5"/>
  <c r="D3978" i="5"/>
  <c r="B3978" i="5"/>
  <c r="N3977" i="5"/>
  <c r="H3977" i="5"/>
  <c r="G3977" i="5"/>
  <c r="F3977" i="5"/>
  <c r="E3977" i="5"/>
  <c r="D3977" i="5"/>
  <c r="B3977" i="5"/>
  <c r="N3976" i="5"/>
  <c r="H3976" i="5"/>
  <c r="G3976" i="5"/>
  <c r="F3976" i="5"/>
  <c r="E3976" i="5"/>
  <c r="D3976" i="5"/>
  <c r="B3976" i="5"/>
  <c r="N3975" i="5"/>
  <c r="H3975" i="5"/>
  <c r="G3975" i="5"/>
  <c r="F3975" i="5"/>
  <c r="E3975" i="5"/>
  <c r="D3975" i="5"/>
  <c r="B3975" i="5"/>
  <c r="N3974" i="5"/>
  <c r="H3974" i="5"/>
  <c r="G3974" i="5"/>
  <c r="F3974" i="5"/>
  <c r="E3974" i="5"/>
  <c r="D3974" i="5"/>
  <c r="B3974" i="5"/>
  <c r="N3973" i="5"/>
  <c r="H3973" i="5"/>
  <c r="G3973" i="5"/>
  <c r="F3973" i="5"/>
  <c r="E3973" i="5"/>
  <c r="D3973" i="5"/>
  <c r="B3973" i="5"/>
  <c r="N3972" i="5"/>
  <c r="H3972" i="5"/>
  <c r="G3972" i="5"/>
  <c r="F3972" i="5"/>
  <c r="E3972" i="5"/>
  <c r="D3972" i="5"/>
  <c r="B3972" i="5"/>
  <c r="N3971" i="5"/>
  <c r="H3971" i="5"/>
  <c r="G3971" i="5"/>
  <c r="F3971" i="5"/>
  <c r="E3971" i="5"/>
  <c r="D3971" i="5"/>
  <c r="B3971" i="5"/>
  <c r="N3970" i="5"/>
  <c r="H3970" i="5"/>
  <c r="G3970" i="5"/>
  <c r="F3970" i="5"/>
  <c r="E3970" i="5"/>
  <c r="D3970" i="5"/>
  <c r="B3970" i="5"/>
  <c r="N3969" i="5"/>
  <c r="H3969" i="5"/>
  <c r="G3969" i="5"/>
  <c r="F3969" i="5"/>
  <c r="E3969" i="5"/>
  <c r="D3969" i="5"/>
  <c r="B3969" i="5"/>
  <c r="N3968" i="5"/>
  <c r="H3968" i="5"/>
  <c r="G3968" i="5"/>
  <c r="F3968" i="5"/>
  <c r="E3968" i="5"/>
  <c r="D3968" i="5"/>
  <c r="B3968" i="5"/>
  <c r="N3967" i="5"/>
  <c r="H3967" i="5"/>
  <c r="G3967" i="5"/>
  <c r="F3967" i="5"/>
  <c r="E3967" i="5"/>
  <c r="D3967" i="5"/>
  <c r="B3967" i="5"/>
  <c r="N3966" i="5"/>
  <c r="H3966" i="5"/>
  <c r="G3966" i="5"/>
  <c r="F3966" i="5"/>
  <c r="E3966" i="5"/>
  <c r="D3966" i="5"/>
  <c r="B3966" i="5"/>
  <c r="N3965" i="5"/>
  <c r="H3965" i="5"/>
  <c r="G3965" i="5"/>
  <c r="F3965" i="5"/>
  <c r="E3965" i="5"/>
  <c r="D3965" i="5"/>
  <c r="B3965" i="5"/>
  <c r="N3964" i="5"/>
  <c r="H3964" i="5"/>
  <c r="G3964" i="5"/>
  <c r="F3964" i="5"/>
  <c r="E3964" i="5"/>
  <c r="D3964" i="5"/>
  <c r="B3964" i="5"/>
  <c r="N3963" i="5"/>
  <c r="H3963" i="5"/>
  <c r="G3963" i="5"/>
  <c r="F3963" i="5"/>
  <c r="E3963" i="5"/>
  <c r="D3963" i="5"/>
  <c r="B3963" i="5"/>
  <c r="N3962" i="5"/>
  <c r="H3962" i="5"/>
  <c r="G3962" i="5"/>
  <c r="F3962" i="5"/>
  <c r="E3962" i="5"/>
  <c r="D3962" i="5"/>
  <c r="B3962" i="5"/>
  <c r="N3961" i="5"/>
  <c r="H3961" i="5"/>
  <c r="G3961" i="5"/>
  <c r="F3961" i="5"/>
  <c r="E3961" i="5"/>
  <c r="D3961" i="5"/>
  <c r="B3961" i="5"/>
  <c r="N3960" i="5"/>
  <c r="H3960" i="5"/>
  <c r="G3960" i="5"/>
  <c r="F3960" i="5"/>
  <c r="E3960" i="5"/>
  <c r="D3960" i="5"/>
  <c r="B3960" i="5"/>
  <c r="N3959" i="5"/>
  <c r="H3959" i="5"/>
  <c r="G3959" i="5"/>
  <c r="F3959" i="5"/>
  <c r="E3959" i="5"/>
  <c r="D3959" i="5"/>
  <c r="B3959" i="5"/>
  <c r="N3958" i="5"/>
  <c r="H3958" i="5"/>
  <c r="G3958" i="5"/>
  <c r="F3958" i="5"/>
  <c r="E3958" i="5"/>
  <c r="D3958" i="5"/>
  <c r="B3958" i="5"/>
  <c r="N3957" i="5"/>
  <c r="H3957" i="5"/>
  <c r="G3957" i="5"/>
  <c r="F3957" i="5"/>
  <c r="E3957" i="5"/>
  <c r="D3957" i="5"/>
  <c r="B3957" i="5"/>
  <c r="N3956" i="5"/>
  <c r="H3956" i="5"/>
  <c r="G3956" i="5"/>
  <c r="F3956" i="5"/>
  <c r="E3956" i="5"/>
  <c r="D3956" i="5"/>
  <c r="B3956" i="5"/>
  <c r="N3955" i="5"/>
  <c r="H3955" i="5"/>
  <c r="G3955" i="5"/>
  <c r="F3955" i="5"/>
  <c r="E3955" i="5"/>
  <c r="D3955" i="5"/>
  <c r="B3955" i="5"/>
  <c r="N3954" i="5"/>
  <c r="H3954" i="5"/>
  <c r="G3954" i="5"/>
  <c r="F3954" i="5"/>
  <c r="E3954" i="5"/>
  <c r="D3954" i="5"/>
  <c r="B3954" i="5"/>
  <c r="N3953" i="5"/>
  <c r="H3953" i="5"/>
  <c r="G3953" i="5"/>
  <c r="F3953" i="5"/>
  <c r="E3953" i="5"/>
  <c r="D3953" i="5"/>
  <c r="B3953" i="5"/>
  <c r="N3952" i="5"/>
  <c r="H3952" i="5"/>
  <c r="G3952" i="5"/>
  <c r="F3952" i="5"/>
  <c r="E3952" i="5"/>
  <c r="D3952" i="5"/>
  <c r="B3952" i="5"/>
  <c r="N3951" i="5"/>
  <c r="H3951" i="5"/>
  <c r="G3951" i="5"/>
  <c r="F3951" i="5"/>
  <c r="E3951" i="5"/>
  <c r="D3951" i="5"/>
  <c r="B3951" i="5"/>
  <c r="N3950" i="5"/>
  <c r="H3950" i="5"/>
  <c r="G3950" i="5"/>
  <c r="F3950" i="5"/>
  <c r="E3950" i="5"/>
  <c r="D3950" i="5"/>
  <c r="B3950" i="5"/>
  <c r="N3949" i="5"/>
  <c r="H3949" i="5"/>
  <c r="G3949" i="5"/>
  <c r="F3949" i="5"/>
  <c r="E3949" i="5"/>
  <c r="D3949" i="5"/>
  <c r="B3949" i="5"/>
  <c r="N3948" i="5"/>
  <c r="H3948" i="5"/>
  <c r="G3948" i="5"/>
  <c r="F3948" i="5"/>
  <c r="E3948" i="5"/>
  <c r="D3948" i="5"/>
  <c r="B3948" i="5"/>
  <c r="N3947" i="5"/>
  <c r="H3947" i="5"/>
  <c r="G3947" i="5"/>
  <c r="F3947" i="5"/>
  <c r="E3947" i="5"/>
  <c r="D3947" i="5"/>
  <c r="B3947" i="5"/>
  <c r="N3946" i="5"/>
  <c r="H3946" i="5"/>
  <c r="G3946" i="5"/>
  <c r="F3946" i="5"/>
  <c r="E3946" i="5"/>
  <c r="D3946" i="5"/>
  <c r="B3946" i="5"/>
  <c r="N3945" i="5"/>
  <c r="H3945" i="5"/>
  <c r="G3945" i="5"/>
  <c r="F3945" i="5"/>
  <c r="E3945" i="5"/>
  <c r="D3945" i="5"/>
  <c r="B3945" i="5"/>
  <c r="N3944" i="5"/>
  <c r="H3944" i="5"/>
  <c r="G3944" i="5"/>
  <c r="F3944" i="5"/>
  <c r="E3944" i="5"/>
  <c r="D3944" i="5"/>
  <c r="B3944" i="5"/>
  <c r="N3943" i="5"/>
  <c r="H3943" i="5"/>
  <c r="G3943" i="5"/>
  <c r="F3943" i="5"/>
  <c r="E3943" i="5"/>
  <c r="D3943" i="5"/>
  <c r="B3943" i="5"/>
  <c r="N3942" i="5"/>
  <c r="H3942" i="5"/>
  <c r="G3942" i="5"/>
  <c r="F3942" i="5"/>
  <c r="E3942" i="5"/>
  <c r="D3942" i="5"/>
  <c r="B3942" i="5"/>
  <c r="N3941" i="5"/>
  <c r="H3941" i="5"/>
  <c r="G3941" i="5"/>
  <c r="F3941" i="5"/>
  <c r="E3941" i="5"/>
  <c r="D3941" i="5"/>
  <c r="B3941" i="5"/>
  <c r="N3940" i="5"/>
  <c r="H3940" i="5"/>
  <c r="G3940" i="5"/>
  <c r="F3940" i="5"/>
  <c r="E3940" i="5"/>
  <c r="D3940" i="5"/>
  <c r="B3940" i="5"/>
  <c r="N3939" i="5"/>
  <c r="H3939" i="5"/>
  <c r="G3939" i="5"/>
  <c r="F3939" i="5"/>
  <c r="E3939" i="5"/>
  <c r="D3939" i="5"/>
  <c r="B3939" i="5"/>
  <c r="N3938" i="5"/>
  <c r="H3938" i="5"/>
  <c r="G3938" i="5"/>
  <c r="F3938" i="5"/>
  <c r="E3938" i="5"/>
  <c r="D3938" i="5"/>
  <c r="B3938" i="5"/>
  <c r="N3937" i="5"/>
  <c r="H3937" i="5"/>
  <c r="G3937" i="5"/>
  <c r="F3937" i="5"/>
  <c r="E3937" i="5"/>
  <c r="D3937" i="5"/>
  <c r="B3937" i="5"/>
  <c r="N3936" i="5"/>
  <c r="H3936" i="5"/>
  <c r="G3936" i="5"/>
  <c r="F3936" i="5"/>
  <c r="E3936" i="5"/>
  <c r="D3936" i="5"/>
  <c r="B3936" i="5"/>
  <c r="N3935" i="5"/>
  <c r="H3935" i="5"/>
  <c r="G3935" i="5"/>
  <c r="F3935" i="5"/>
  <c r="E3935" i="5"/>
  <c r="D3935" i="5"/>
  <c r="B3935" i="5"/>
  <c r="N3934" i="5"/>
  <c r="H3934" i="5"/>
  <c r="G3934" i="5"/>
  <c r="F3934" i="5"/>
  <c r="E3934" i="5"/>
  <c r="D3934" i="5"/>
  <c r="B3934" i="5"/>
  <c r="N3933" i="5"/>
  <c r="H3933" i="5"/>
  <c r="G3933" i="5"/>
  <c r="F3933" i="5"/>
  <c r="E3933" i="5"/>
  <c r="D3933" i="5"/>
  <c r="B3933" i="5"/>
  <c r="N3932" i="5"/>
  <c r="H3932" i="5"/>
  <c r="G3932" i="5"/>
  <c r="F3932" i="5"/>
  <c r="E3932" i="5"/>
  <c r="D3932" i="5"/>
  <c r="B3932" i="5"/>
  <c r="N3931" i="5"/>
  <c r="H3931" i="5"/>
  <c r="G3931" i="5"/>
  <c r="F3931" i="5"/>
  <c r="E3931" i="5"/>
  <c r="D3931" i="5"/>
  <c r="B3931" i="5"/>
  <c r="N3930" i="5"/>
  <c r="H3930" i="5"/>
  <c r="G3930" i="5"/>
  <c r="F3930" i="5"/>
  <c r="E3930" i="5"/>
  <c r="D3930" i="5"/>
  <c r="B3930" i="5"/>
  <c r="N3929" i="5"/>
  <c r="H3929" i="5"/>
  <c r="G3929" i="5"/>
  <c r="F3929" i="5"/>
  <c r="E3929" i="5"/>
  <c r="D3929" i="5"/>
  <c r="B3929" i="5"/>
  <c r="N3928" i="5"/>
  <c r="H3928" i="5"/>
  <c r="G3928" i="5"/>
  <c r="F3928" i="5"/>
  <c r="E3928" i="5"/>
  <c r="D3928" i="5"/>
  <c r="B3928" i="5"/>
  <c r="N3927" i="5"/>
  <c r="H3927" i="5"/>
  <c r="G3927" i="5"/>
  <c r="F3927" i="5"/>
  <c r="E3927" i="5"/>
  <c r="D3927" i="5"/>
  <c r="B3927" i="5"/>
  <c r="N3926" i="5"/>
  <c r="H3926" i="5"/>
  <c r="G3926" i="5"/>
  <c r="F3926" i="5"/>
  <c r="E3926" i="5"/>
  <c r="D3926" i="5"/>
  <c r="B3926" i="5"/>
  <c r="N3925" i="5"/>
  <c r="H3925" i="5"/>
  <c r="G3925" i="5"/>
  <c r="F3925" i="5"/>
  <c r="E3925" i="5"/>
  <c r="D3925" i="5"/>
  <c r="B3925" i="5"/>
  <c r="N3924" i="5"/>
  <c r="H3924" i="5"/>
  <c r="G3924" i="5"/>
  <c r="F3924" i="5"/>
  <c r="E3924" i="5"/>
  <c r="D3924" i="5"/>
  <c r="B3924" i="5"/>
  <c r="N3923" i="5"/>
  <c r="H3923" i="5"/>
  <c r="G3923" i="5"/>
  <c r="F3923" i="5"/>
  <c r="E3923" i="5"/>
  <c r="D3923" i="5"/>
  <c r="B3923" i="5"/>
  <c r="N3922" i="5"/>
  <c r="H3922" i="5"/>
  <c r="G3922" i="5"/>
  <c r="F3922" i="5"/>
  <c r="E3922" i="5"/>
  <c r="D3922" i="5"/>
  <c r="B3922" i="5"/>
  <c r="N3921" i="5"/>
  <c r="H3921" i="5"/>
  <c r="G3921" i="5"/>
  <c r="F3921" i="5"/>
  <c r="E3921" i="5"/>
  <c r="D3921" i="5"/>
  <c r="B3921" i="5"/>
  <c r="N3920" i="5"/>
  <c r="H3920" i="5"/>
  <c r="G3920" i="5"/>
  <c r="F3920" i="5"/>
  <c r="E3920" i="5"/>
  <c r="D3920" i="5"/>
  <c r="B3920" i="5"/>
  <c r="N3919" i="5"/>
  <c r="H3919" i="5"/>
  <c r="G3919" i="5"/>
  <c r="F3919" i="5"/>
  <c r="E3919" i="5"/>
  <c r="D3919" i="5"/>
  <c r="B3919" i="5"/>
  <c r="N3918" i="5"/>
  <c r="H3918" i="5"/>
  <c r="G3918" i="5"/>
  <c r="F3918" i="5"/>
  <c r="E3918" i="5"/>
  <c r="D3918" i="5"/>
  <c r="B3918" i="5"/>
  <c r="N3917" i="5"/>
  <c r="H3917" i="5"/>
  <c r="G3917" i="5"/>
  <c r="F3917" i="5"/>
  <c r="E3917" i="5"/>
  <c r="D3917" i="5"/>
  <c r="B3917" i="5"/>
  <c r="N3916" i="5"/>
  <c r="H3916" i="5"/>
  <c r="G3916" i="5"/>
  <c r="F3916" i="5"/>
  <c r="E3916" i="5"/>
  <c r="D3916" i="5"/>
  <c r="B3916" i="5"/>
  <c r="N3915" i="5"/>
  <c r="H3915" i="5"/>
  <c r="G3915" i="5"/>
  <c r="F3915" i="5"/>
  <c r="E3915" i="5"/>
  <c r="D3915" i="5"/>
  <c r="B3915" i="5"/>
  <c r="N3914" i="5"/>
  <c r="H3914" i="5"/>
  <c r="G3914" i="5"/>
  <c r="F3914" i="5"/>
  <c r="E3914" i="5"/>
  <c r="D3914" i="5"/>
  <c r="B3914" i="5"/>
  <c r="N3913" i="5"/>
  <c r="H3913" i="5"/>
  <c r="G3913" i="5"/>
  <c r="F3913" i="5"/>
  <c r="E3913" i="5"/>
  <c r="D3913" i="5"/>
  <c r="B3913" i="5"/>
  <c r="N3912" i="5"/>
  <c r="H3912" i="5"/>
  <c r="G3912" i="5"/>
  <c r="F3912" i="5"/>
  <c r="E3912" i="5"/>
  <c r="D3912" i="5"/>
  <c r="B3912" i="5"/>
  <c r="N3911" i="5"/>
  <c r="H3911" i="5"/>
  <c r="G3911" i="5"/>
  <c r="F3911" i="5"/>
  <c r="E3911" i="5"/>
  <c r="D3911" i="5"/>
  <c r="B3911" i="5"/>
  <c r="N3910" i="5"/>
  <c r="H3910" i="5"/>
  <c r="G3910" i="5"/>
  <c r="F3910" i="5"/>
  <c r="E3910" i="5"/>
  <c r="D3910" i="5"/>
  <c r="B3910" i="5"/>
  <c r="N3909" i="5"/>
  <c r="H3909" i="5"/>
  <c r="G3909" i="5"/>
  <c r="F3909" i="5"/>
  <c r="E3909" i="5"/>
  <c r="D3909" i="5"/>
  <c r="B3909" i="5"/>
  <c r="N3908" i="5"/>
  <c r="H3908" i="5"/>
  <c r="G3908" i="5"/>
  <c r="F3908" i="5"/>
  <c r="E3908" i="5"/>
  <c r="D3908" i="5"/>
  <c r="B3908" i="5"/>
  <c r="N3907" i="5"/>
  <c r="H3907" i="5"/>
  <c r="G3907" i="5"/>
  <c r="F3907" i="5"/>
  <c r="E3907" i="5"/>
  <c r="D3907" i="5"/>
  <c r="B3907" i="5"/>
  <c r="N3906" i="5"/>
  <c r="H3906" i="5"/>
  <c r="G3906" i="5"/>
  <c r="F3906" i="5"/>
  <c r="E3906" i="5"/>
  <c r="D3906" i="5"/>
  <c r="B3906" i="5"/>
  <c r="N3905" i="5"/>
  <c r="H3905" i="5"/>
  <c r="G3905" i="5"/>
  <c r="F3905" i="5"/>
  <c r="E3905" i="5"/>
  <c r="D3905" i="5"/>
  <c r="B3905" i="5"/>
  <c r="N3904" i="5"/>
  <c r="H3904" i="5"/>
  <c r="G3904" i="5"/>
  <c r="F3904" i="5"/>
  <c r="E3904" i="5"/>
  <c r="D3904" i="5"/>
  <c r="B3904" i="5"/>
  <c r="N3903" i="5"/>
  <c r="H3903" i="5"/>
  <c r="G3903" i="5"/>
  <c r="F3903" i="5"/>
  <c r="E3903" i="5"/>
  <c r="D3903" i="5"/>
  <c r="B3903" i="5"/>
  <c r="N3902" i="5"/>
  <c r="H3902" i="5"/>
  <c r="G3902" i="5"/>
  <c r="F3902" i="5"/>
  <c r="E3902" i="5"/>
  <c r="D3902" i="5"/>
  <c r="B3902" i="5"/>
  <c r="N3901" i="5"/>
  <c r="H3901" i="5"/>
  <c r="G3901" i="5"/>
  <c r="F3901" i="5"/>
  <c r="E3901" i="5"/>
  <c r="D3901" i="5"/>
  <c r="B3901" i="5"/>
  <c r="N3900" i="5"/>
  <c r="H3900" i="5"/>
  <c r="G3900" i="5"/>
  <c r="F3900" i="5"/>
  <c r="E3900" i="5"/>
  <c r="D3900" i="5"/>
  <c r="B3900" i="5"/>
  <c r="N3899" i="5"/>
  <c r="H3899" i="5"/>
  <c r="G3899" i="5"/>
  <c r="F3899" i="5"/>
  <c r="E3899" i="5"/>
  <c r="D3899" i="5"/>
  <c r="B3899" i="5"/>
  <c r="N3898" i="5"/>
  <c r="H3898" i="5"/>
  <c r="G3898" i="5"/>
  <c r="F3898" i="5"/>
  <c r="E3898" i="5"/>
  <c r="D3898" i="5"/>
  <c r="B3898" i="5"/>
  <c r="N3897" i="5"/>
  <c r="H3897" i="5"/>
  <c r="G3897" i="5"/>
  <c r="F3897" i="5"/>
  <c r="E3897" i="5"/>
  <c r="D3897" i="5"/>
  <c r="B3897" i="5"/>
  <c r="N3896" i="5"/>
  <c r="H3896" i="5"/>
  <c r="G3896" i="5"/>
  <c r="F3896" i="5"/>
  <c r="E3896" i="5"/>
  <c r="D3896" i="5"/>
  <c r="B3896" i="5"/>
  <c r="N3895" i="5"/>
  <c r="H3895" i="5"/>
  <c r="G3895" i="5"/>
  <c r="F3895" i="5"/>
  <c r="E3895" i="5"/>
  <c r="D3895" i="5"/>
  <c r="B3895" i="5"/>
  <c r="N3894" i="5"/>
  <c r="H3894" i="5"/>
  <c r="G3894" i="5"/>
  <c r="F3894" i="5"/>
  <c r="E3894" i="5"/>
  <c r="D3894" i="5"/>
  <c r="B3894" i="5"/>
  <c r="N3893" i="5"/>
  <c r="H3893" i="5"/>
  <c r="G3893" i="5"/>
  <c r="F3893" i="5"/>
  <c r="E3893" i="5"/>
  <c r="D3893" i="5"/>
  <c r="B3893" i="5"/>
  <c r="N3892" i="5"/>
  <c r="H3892" i="5"/>
  <c r="G3892" i="5"/>
  <c r="F3892" i="5"/>
  <c r="E3892" i="5"/>
  <c r="D3892" i="5"/>
  <c r="B3892" i="5"/>
  <c r="N3891" i="5"/>
  <c r="H3891" i="5"/>
  <c r="G3891" i="5"/>
  <c r="F3891" i="5"/>
  <c r="E3891" i="5"/>
  <c r="D3891" i="5"/>
  <c r="B3891" i="5"/>
  <c r="N3890" i="5"/>
  <c r="H3890" i="5"/>
  <c r="G3890" i="5"/>
  <c r="F3890" i="5"/>
  <c r="E3890" i="5"/>
  <c r="D3890" i="5"/>
  <c r="B3890" i="5"/>
  <c r="N3889" i="5"/>
  <c r="H3889" i="5"/>
  <c r="G3889" i="5"/>
  <c r="F3889" i="5"/>
  <c r="E3889" i="5"/>
  <c r="D3889" i="5"/>
  <c r="B3889" i="5"/>
  <c r="N3888" i="5"/>
  <c r="H3888" i="5"/>
  <c r="G3888" i="5"/>
  <c r="F3888" i="5"/>
  <c r="E3888" i="5"/>
  <c r="D3888" i="5"/>
  <c r="B3888" i="5"/>
  <c r="N3887" i="5"/>
  <c r="H3887" i="5"/>
  <c r="G3887" i="5"/>
  <c r="F3887" i="5"/>
  <c r="E3887" i="5"/>
  <c r="D3887" i="5"/>
  <c r="B3887" i="5"/>
  <c r="N3886" i="5"/>
  <c r="H3886" i="5"/>
  <c r="G3886" i="5"/>
  <c r="F3886" i="5"/>
  <c r="E3886" i="5"/>
  <c r="D3886" i="5"/>
  <c r="B3886" i="5"/>
  <c r="N3885" i="5"/>
  <c r="H3885" i="5"/>
  <c r="G3885" i="5"/>
  <c r="F3885" i="5"/>
  <c r="E3885" i="5"/>
  <c r="D3885" i="5"/>
  <c r="B3885" i="5"/>
  <c r="N3884" i="5"/>
  <c r="H3884" i="5"/>
  <c r="G3884" i="5"/>
  <c r="F3884" i="5"/>
  <c r="E3884" i="5"/>
  <c r="D3884" i="5"/>
  <c r="B3884" i="5"/>
  <c r="N3883" i="5"/>
  <c r="H3883" i="5"/>
  <c r="G3883" i="5"/>
  <c r="F3883" i="5"/>
  <c r="E3883" i="5"/>
  <c r="D3883" i="5"/>
  <c r="B3883" i="5"/>
  <c r="N3882" i="5"/>
  <c r="H3882" i="5"/>
  <c r="G3882" i="5"/>
  <c r="F3882" i="5"/>
  <c r="E3882" i="5"/>
  <c r="D3882" i="5"/>
  <c r="B3882" i="5"/>
  <c r="N3881" i="5"/>
  <c r="H3881" i="5"/>
  <c r="G3881" i="5"/>
  <c r="F3881" i="5"/>
  <c r="E3881" i="5"/>
  <c r="D3881" i="5"/>
  <c r="B3881" i="5"/>
  <c r="N3880" i="5"/>
  <c r="H3880" i="5"/>
  <c r="G3880" i="5"/>
  <c r="F3880" i="5"/>
  <c r="E3880" i="5"/>
  <c r="D3880" i="5"/>
  <c r="B3880" i="5"/>
  <c r="N3879" i="5"/>
  <c r="H3879" i="5"/>
  <c r="G3879" i="5"/>
  <c r="F3879" i="5"/>
  <c r="E3879" i="5"/>
  <c r="D3879" i="5"/>
  <c r="B3879" i="5"/>
  <c r="N3878" i="5"/>
  <c r="H3878" i="5"/>
  <c r="G3878" i="5"/>
  <c r="F3878" i="5"/>
  <c r="E3878" i="5"/>
  <c r="D3878" i="5"/>
  <c r="B3878" i="5"/>
  <c r="N3877" i="5"/>
  <c r="H3877" i="5"/>
  <c r="G3877" i="5"/>
  <c r="F3877" i="5"/>
  <c r="E3877" i="5"/>
  <c r="D3877" i="5"/>
  <c r="B3877" i="5"/>
  <c r="N3876" i="5"/>
  <c r="H3876" i="5"/>
  <c r="G3876" i="5"/>
  <c r="F3876" i="5"/>
  <c r="E3876" i="5"/>
  <c r="D3876" i="5"/>
  <c r="B3876" i="5"/>
  <c r="N3875" i="5"/>
  <c r="H3875" i="5"/>
  <c r="G3875" i="5"/>
  <c r="F3875" i="5"/>
  <c r="E3875" i="5"/>
  <c r="D3875" i="5"/>
  <c r="B3875" i="5"/>
  <c r="N3874" i="5"/>
  <c r="H3874" i="5"/>
  <c r="G3874" i="5"/>
  <c r="F3874" i="5"/>
  <c r="E3874" i="5"/>
  <c r="D3874" i="5"/>
  <c r="B3874" i="5"/>
  <c r="N3873" i="5"/>
  <c r="H3873" i="5"/>
  <c r="G3873" i="5"/>
  <c r="F3873" i="5"/>
  <c r="E3873" i="5"/>
  <c r="D3873" i="5"/>
  <c r="B3873" i="5"/>
  <c r="N3872" i="5"/>
  <c r="H3872" i="5"/>
  <c r="G3872" i="5"/>
  <c r="F3872" i="5"/>
  <c r="E3872" i="5"/>
  <c r="D3872" i="5"/>
  <c r="B3872" i="5"/>
  <c r="N3871" i="5"/>
  <c r="H3871" i="5"/>
  <c r="G3871" i="5"/>
  <c r="F3871" i="5"/>
  <c r="E3871" i="5"/>
  <c r="D3871" i="5"/>
  <c r="B3871" i="5"/>
  <c r="N3870" i="5"/>
  <c r="H3870" i="5"/>
  <c r="G3870" i="5"/>
  <c r="F3870" i="5"/>
  <c r="E3870" i="5"/>
  <c r="D3870" i="5"/>
  <c r="B3870" i="5"/>
  <c r="N3869" i="5"/>
  <c r="H3869" i="5"/>
  <c r="G3869" i="5"/>
  <c r="F3869" i="5"/>
  <c r="E3869" i="5"/>
  <c r="D3869" i="5"/>
  <c r="B3869" i="5"/>
  <c r="N3868" i="5"/>
  <c r="H3868" i="5"/>
  <c r="G3868" i="5"/>
  <c r="F3868" i="5"/>
  <c r="E3868" i="5"/>
  <c r="D3868" i="5"/>
  <c r="B3868" i="5"/>
  <c r="N3867" i="5"/>
  <c r="H3867" i="5"/>
  <c r="G3867" i="5"/>
  <c r="F3867" i="5"/>
  <c r="E3867" i="5"/>
  <c r="D3867" i="5"/>
  <c r="B3867" i="5"/>
  <c r="N3866" i="5"/>
  <c r="H3866" i="5"/>
  <c r="G3866" i="5"/>
  <c r="F3866" i="5"/>
  <c r="E3866" i="5"/>
  <c r="D3866" i="5"/>
  <c r="B3866" i="5"/>
  <c r="N3865" i="5"/>
  <c r="H3865" i="5"/>
  <c r="G3865" i="5"/>
  <c r="F3865" i="5"/>
  <c r="E3865" i="5"/>
  <c r="D3865" i="5"/>
  <c r="B3865" i="5"/>
  <c r="N3864" i="5"/>
  <c r="H3864" i="5"/>
  <c r="G3864" i="5"/>
  <c r="F3864" i="5"/>
  <c r="E3864" i="5"/>
  <c r="D3864" i="5"/>
  <c r="B3864" i="5"/>
  <c r="N3863" i="5"/>
  <c r="H3863" i="5"/>
  <c r="G3863" i="5"/>
  <c r="F3863" i="5"/>
  <c r="E3863" i="5"/>
  <c r="D3863" i="5"/>
  <c r="B3863" i="5"/>
  <c r="N3862" i="5"/>
  <c r="H3862" i="5"/>
  <c r="G3862" i="5"/>
  <c r="F3862" i="5"/>
  <c r="E3862" i="5"/>
  <c r="D3862" i="5"/>
  <c r="B3862" i="5"/>
  <c r="N3861" i="5"/>
  <c r="H3861" i="5"/>
  <c r="G3861" i="5"/>
  <c r="F3861" i="5"/>
  <c r="E3861" i="5"/>
  <c r="D3861" i="5"/>
  <c r="B3861" i="5"/>
  <c r="N3860" i="5"/>
  <c r="H3860" i="5"/>
  <c r="G3860" i="5"/>
  <c r="F3860" i="5"/>
  <c r="E3860" i="5"/>
  <c r="D3860" i="5"/>
  <c r="B3860" i="5"/>
  <c r="N3859" i="5"/>
  <c r="H3859" i="5"/>
  <c r="G3859" i="5"/>
  <c r="F3859" i="5"/>
  <c r="E3859" i="5"/>
  <c r="D3859" i="5"/>
  <c r="B3859" i="5"/>
  <c r="N3858" i="5"/>
  <c r="H3858" i="5"/>
  <c r="G3858" i="5"/>
  <c r="F3858" i="5"/>
  <c r="E3858" i="5"/>
  <c r="D3858" i="5"/>
  <c r="B3858" i="5"/>
  <c r="N3857" i="5"/>
  <c r="H3857" i="5"/>
  <c r="G3857" i="5"/>
  <c r="F3857" i="5"/>
  <c r="E3857" i="5"/>
  <c r="D3857" i="5"/>
  <c r="B3857" i="5"/>
  <c r="N3856" i="5"/>
  <c r="H3856" i="5"/>
  <c r="G3856" i="5"/>
  <c r="F3856" i="5"/>
  <c r="E3856" i="5"/>
  <c r="D3856" i="5"/>
  <c r="B3856" i="5"/>
  <c r="N3855" i="5"/>
  <c r="H3855" i="5"/>
  <c r="G3855" i="5"/>
  <c r="F3855" i="5"/>
  <c r="E3855" i="5"/>
  <c r="D3855" i="5"/>
  <c r="B3855" i="5"/>
  <c r="N3854" i="5"/>
  <c r="H3854" i="5"/>
  <c r="G3854" i="5"/>
  <c r="F3854" i="5"/>
  <c r="E3854" i="5"/>
  <c r="D3854" i="5"/>
  <c r="B3854" i="5"/>
  <c r="N3853" i="5"/>
  <c r="H3853" i="5"/>
  <c r="G3853" i="5"/>
  <c r="F3853" i="5"/>
  <c r="E3853" i="5"/>
  <c r="D3853" i="5"/>
  <c r="B3853" i="5"/>
  <c r="N3852" i="5"/>
  <c r="H3852" i="5"/>
  <c r="G3852" i="5"/>
  <c r="F3852" i="5"/>
  <c r="E3852" i="5"/>
  <c r="D3852" i="5"/>
  <c r="B3852" i="5"/>
  <c r="N3851" i="5"/>
  <c r="H3851" i="5"/>
  <c r="G3851" i="5"/>
  <c r="F3851" i="5"/>
  <c r="E3851" i="5"/>
  <c r="D3851" i="5"/>
  <c r="B3851" i="5"/>
  <c r="N3850" i="5"/>
  <c r="H3850" i="5"/>
  <c r="G3850" i="5"/>
  <c r="F3850" i="5"/>
  <c r="E3850" i="5"/>
  <c r="D3850" i="5"/>
  <c r="B3850" i="5"/>
  <c r="N3849" i="5"/>
  <c r="H3849" i="5"/>
  <c r="G3849" i="5"/>
  <c r="F3849" i="5"/>
  <c r="E3849" i="5"/>
  <c r="D3849" i="5"/>
  <c r="B3849" i="5"/>
  <c r="N3848" i="5"/>
  <c r="H3848" i="5"/>
  <c r="G3848" i="5"/>
  <c r="F3848" i="5"/>
  <c r="E3848" i="5"/>
  <c r="D3848" i="5"/>
  <c r="B3848" i="5"/>
  <c r="N3847" i="5"/>
  <c r="H3847" i="5"/>
  <c r="G3847" i="5"/>
  <c r="F3847" i="5"/>
  <c r="E3847" i="5"/>
  <c r="D3847" i="5"/>
  <c r="B3847" i="5"/>
  <c r="N3846" i="5"/>
  <c r="H3846" i="5"/>
  <c r="G3846" i="5"/>
  <c r="F3846" i="5"/>
  <c r="E3846" i="5"/>
  <c r="D3846" i="5"/>
  <c r="B3846" i="5"/>
  <c r="N3845" i="5"/>
  <c r="H3845" i="5"/>
  <c r="G3845" i="5"/>
  <c r="F3845" i="5"/>
  <c r="E3845" i="5"/>
  <c r="D3845" i="5"/>
  <c r="B3845" i="5"/>
  <c r="N3844" i="5"/>
  <c r="H3844" i="5"/>
  <c r="G3844" i="5"/>
  <c r="F3844" i="5"/>
  <c r="E3844" i="5"/>
  <c r="D3844" i="5"/>
  <c r="B3844" i="5"/>
  <c r="N3843" i="5"/>
  <c r="H3843" i="5"/>
  <c r="G3843" i="5"/>
  <c r="F3843" i="5"/>
  <c r="E3843" i="5"/>
  <c r="D3843" i="5"/>
  <c r="B3843" i="5"/>
  <c r="N3842" i="5"/>
  <c r="H3842" i="5"/>
  <c r="G3842" i="5"/>
  <c r="F3842" i="5"/>
  <c r="E3842" i="5"/>
  <c r="D3842" i="5"/>
  <c r="B3842" i="5"/>
  <c r="N3841" i="5"/>
  <c r="H3841" i="5"/>
  <c r="G3841" i="5"/>
  <c r="F3841" i="5"/>
  <c r="E3841" i="5"/>
  <c r="D3841" i="5"/>
  <c r="B3841" i="5"/>
  <c r="N3840" i="5"/>
  <c r="H3840" i="5"/>
  <c r="G3840" i="5"/>
  <c r="F3840" i="5"/>
  <c r="E3840" i="5"/>
  <c r="D3840" i="5"/>
  <c r="B3840" i="5"/>
  <c r="N3839" i="5"/>
  <c r="H3839" i="5"/>
  <c r="G3839" i="5"/>
  <c r="F3839" i="5"/>
  <c r="E3839" i="5"/>
  <c r="D3839" i="5"/>
  <c r="B3839" i="5"/>
  <c r="N3838" i="5"/>
  <c r="H3838" i="5"/>
  <c r="G3838" i="5"/>
  <c r="F3838" i="5"/>
  <c r="E3838" i="5"/>
  <c r="D3838" i="5"/>
  <c r="B3838" i="5"/>
  <c r="N3837" i="5"/>
  <c r="H3837" i="5"/>
  <c r="G3837" i="5"/>
  <c r="F3837" i="5"/>
  <c r="E3837" i="5"/>
  <c r="D3837" i="5"/>
  <c r="B3837" i="5"/>
  <c r="N3836" i="5"/>
  <c r="H3836" i="5"/>
  <c r="G3836" i="5"/>
  <c r="F3836" i="5"/>
  <c r="E3836" i="5"/>
  <c r="D3836" i="5"/>
  <c r="B3836" i="5"/>
  <c r="N3835" i="5"/>
  <c r="H3835" i="5"/>
  <c r="G3835" i="5"/>
  <c r="F3835" i="5"/>
  <c r="E3835" i="5"/>
  <c r="D3835" i="5"/>
  <c r="B3835" i="5"/>
  <c r="N3834" i="5"/>
  <c r="H3834" i="5"/>
  <c r="G3834" i="5"/>
  <c r="F3834" i="5"/>
  <c r="E3834" i="5"/>
  <c r="D3834" i="5"/>
  <c r="B3834" i="5"/>
  <c r="N3833" i="5"/>
  <c r="H3833" i="5"/>
  <c r="G3833" i="5"/>
  <c r="F3833" i="5"/>
  <c r="E3833" i="5"/>
  <c r="D3833" i="5"/>
  <c r="B3833" i="5"/>
  <c r="N3832" i="5"/>
  <c r="H3832" i="5"/>
  <c r="G3832" i="5"/>
  <c r="F3832" i="5"/>
  <c r="E3832" i="5"/>
  <c r="D3832" i="5"/>
  <c r="B3832" i="5"/>
  <c r="N3831" i="5"/>
  <c r="H3831" i="5"/>
  <c r="G3831" i="5"/>
  <c r="F3831" i="5"/>
  <c r="E3831" i="5"/>
  <c r="D3831" i="5"/>
  <c r="B3831" i="5"/>
  <c r="N3830" i="5"/>
  <c r="H3830" i="5"/>
  <c r="G3830" i="5"/>
  <c r="F3830" i="5"/>
  <c r="E3830" i="5"/>
  <c r="D3830" i="5"/>
  <c r="B3830" i="5"/>
  <c r="N3829" i="5"/>
  <c r="H3829" i="5"/>
  <c r="G3829" i="5"/>
  <c r="F3829" i="5"/>
  <c r="E3829" i="5"/>
  <c r="D3829" i="5"/>
  <c r="B3829" i="5"/>
  <c r="N3828" i="5"/>
  <c r="H3828" i="5"/>
  <c r="G3828" i="5"/>
  <c r="F3828" i="5"/>
  <c r="E3828" i="5"/>
  <c r="D3828" i="5"/>
  <c r="B3828" i="5"/>
  <c r="N3827" i="5"/>
  <c r="H3827" i="5"/>
  <c r="G3827" i="5"/>
  <c r="F3827" i="5"/>
  <c r="E3827" i="5"/>
  <c r="D3827" i="5"/>
  <c r="B3827" i="5"/>
  <c r="N3826" i="5"/>
  <c r="H3826" i="5"/>
  <c r="G3826" i="5"/>
  <c r="F3826" i="5"/>
  <c r="E3826" i="5"/>
  <c r="D3826" i="5"/>
  <c r="B3826" i="5"/>
  <c r="N3825" i="5"/>
  <c r="H3825" i="5"/>
  <c r="G3825" i="5"/>
  <c r="F3825" i="5"/>
  <c r="E3825" i="5"/>
  <c r="D3825" i="5"/>
  <c r="B3825" i="5"/>
  <c r="N3824" i="5"/>
  <c r="H3824" i="5"/>
  <c r="G3824" i="5"/>
  <c r="F3824" i="5"/>
  <c r="E3824" i="5"/>
  <c r="D3824" i="5"/>
  <c r="B3824" i="5"/>
  <c r="N3823" i="5"/>
  <c r="H3823" i="5"/>
  <c r="G3823" i="5"/>
  <c r="F3823" i="5"/>
  <c r="E3823" i="5"/>
  <c r="D3823" i="5"/>
  <c r="B3823" i="5"/>
  <c r="N3822" i="5"/>
  <c r="H3822" i="5"/>
  <c r="G3822" i="5"/>
  <c r="F3822" i="5"/>
  <c r="E3822" i="5"/>
  <c r="D3822" i="5"/>
  <c r="B3822" i="5"/>
  <c r="N3821" i="5"/>
  <c r="H3821" i="5"/>
  <c r="G3821" i="5"/>
  <c r="F3821" i="5"/>
  <c r="E3821" i="5"/>
  <c r="D3821" i="5"/>
  <c r="B3821" i="5"/>
  <c r="N3820" i="5"/>
  <c r="H3820" i="5"/>
  <c r="G3820" i="5"/>
  <c r="F3820" i="5"/>
  <c r="E3820" i="5"/>
  <c r="D3820" i="5"/>
  <c r="B3820" i="5"/>
  <c r="N3819" i="5"/>
  <c r="H3819" i="5"/>
  <c r="G3819" i="5"/>
  <c r="F3819" i="5"/>
  <c r="E3819" i="5"/>
  <c r="D3819" i="5"/>
  <c r="B3819" i="5"/>
  <c r="N3818" i="5"/>
  <c r="H3818" i="5"/>
  <c r="G3818" i="5"/>
  <c r="F3818" i="5"/>
  <c r="E3818" i="5"/>
  <c r="D3818" i="5"/>
  <c r="B3818" i="5"/>
  <c r="N3817" i="5"/>
  <c r="H3817" i="5"/>
  <c r="G3817" i="5"/>
  <c r="F3817" i="5"/>
  <c r="E3817" i="5"/>
  <c r="D3817" i="5"/>
  <c r="B3817" i="5"/>
  <c r="N3816" i="5"/>
  <c r="H3816" i="5"/>
  <c r="G3816" i="5"/>
  <c r="F3816" i="5"/>
  <c r="E3816" i="5"/>
  <c r="D3816" i="5"/>
  <c r="B3816" i="5"/>
  <c r="N3815" i="5"/>
  <c r="H3815" i="5"/>
  <c r="G3815" i="5"/>
  <c r="F3815" i="5"/>
  <c r="E3815" i="5"/>
  <c r="D3815" i="5"/>
  <c r="B3815" i="5"/>
  <c r="N3814" i="5"/>
  <c r="H3814" i="5"/>
  <c r="G3814" i="5"/>
  <c r="F3814" i="5"/>
  <c r="E3814" i="5"/>
  <c r="D3814" i="5"/>
  <c r="B3814" i="5"/>
  <c r="N3813" i="5"/>
  <c r="H3813" i="5"/>
  <c r="G3813" i="5"/>
  <c r="F3813" i="5"/>
  <c r="E3813" i="5"/>
  <c r="D3813" i="5"/>
  <c r="B3813" i="5"/>
  <c r="N3812" i="5"/>
  <c r="H3812" i="5"/>
  <c r="G3812" i="5"/>
  <c r="F3812" i="5"/>
  <c r="E3812" i="5"/>
  <c r="D3812" i="5"/>
  <c r="B3812" i="5"/>
  <c r="N3811" i="5"/>
  <c r="H3811" i="5"/>
  <c r="G3811" i="5"/>
  <c r="F3811" i="5"/>
  <c r="E3811" i="5"/>
  <c r="D3811" i="5"/>
  <c r="B3811" i="5"/>
  <c r="N3810" i="5"/>
  <c r="H3810" i="5"/>
  <c r="G3810" i="5"/>
  <c r="F3810" i="5"/>
  <c r="E3810" i="5"/>
  <c r="D3810" i="5"/>
  <c r="B3810" i="5"/>
  <c r="N3809" i="5"/>
  <c r="H3809" i="5"/>
  <c r="G3809" i="5"/>
  <c r="F3809" i="5"/>
  <c r="E3809" i="5"/>
  <c r="D3809" i="5"/>
  <c r="B3809" i="5"/>
  <c r="N3808" i="5"/>
  <c r="H3808" i="5"/>
  <c r="G3808" i="5"/>
  <c r="F3808" i="5"/>
  <c r="E3808" i="5"/>
  <c r="D3808" i="5"/>
  <c r="B3808" i="5"/>
  <c r="N3807" i="5"/>
  <c r="H3807" i="5"/>
  <c r="G3807" i="5"/>
  <c r="F3807" i="5"/>
  <c r="E3807" i="5"/>
  <c r="D3807" i="5"/>
  <c r="B3807" i="5"/>
  <c r="N3806" i="5"/>
  <c r="H3806" i="5"/>
  <c r="G3806" i="5"/>
  <c r="F3806" i="5"/>
  <c r="E3806" i="5"/>
  <c r="D3806" i="5"/>
  <c r="B3806" i="5"/>
  <c r="N3805" i="5"/>
  <c r="H3805" i="5"/>
  <c r="G3805" i="5"/>
  <c r="F3805" i="5"/>
  <c r="E3805" i="5"/>
  <c r="D3805" i="5"/>
  <c r="B3805" i="5"/>
  <c r="N3804" i="5"/>
  <c r="H3804" i="5"/>
  <c r="G3804" i="5"/>
  <c r="F3804" i="5"/>
  <c r="E3804" i="5"/>
  <c r="D3804" i="5"/>
  <c r="B3804" i="5"/>
  <c r="N3803" i="5"/>
  <c r="H3803" i="5"/>
  <c r="G3803" i="5"/>
  <c r="F3803" i="5"/>
  <c r="E3803" i="5"/>
  <c r="D3803" i="5"/>
  <c r="B3803" i="5"/>
  <c r="N3802" i="5"/>
  <c r="H3802" i="5"/>
  <c r="G3802" i="5"/>
  <c r="F3802" i="5"/>
  <c r="E3802" i="5"/>
  <c r="D3802" i="5"/>
  <c r="B3802" i="5"/>
  <c r="N3801" i="5"/>
  <c r="H3801" i="5"/>
  <c r="G3801" i="5"/>
  <c r="F3801" i="5"/>
  <c r="E3801" i="5"/>
  <c r="D3801" i="5"/>
  <c r="B3801" i="5"/>
  <c r="N3800" i="5"/>
  <c r="H3800" i="5"/>
  <c r="G3800" i="5"/>
  <c r="F3800" i="5"/>
  <c r="E3800" i="5"/>
  <c r="D3800" i="5"/>
  <c r="B3800" i="5"/>
  <c r="N3799" i="5"/>
  <c r="H3799" i="5"/>
  <c r="G3799" i="5"/>
  <c r="F3799" i="5"/>
  <c r="E3799" i="5"/>
  <c r="D3799" i="5"/>
  <c r="B3799" i="5"/>
  <c r="N3798" i="5"/>
  <c r="H3798" i="5"/>
  <c r="G3798" i="5"/>
  <c r="F3798" i="5"/>
  <c r="E3798" i="5"/>
  <c r="D3798" i="5"/>
  <c r="B3798" i="5"/>
  <c r="N3797" i="5"/>
  <c r="H3797" i="5"/>
  <c r="G3797" i="5"/>
  <c r="F3797" i="5"/>
  <c r="E3797" i="5"/>
  <c r="D3797" i="5"/>
  <c r="B3797" i="5"/>
  <c r="N3796" i="5"/>
  <c r="H3796" i="5"/>
  <c r="G3796" i="5"/>
  <c r="F3796" i="5"/>
  <c r="E3796" i="5"/>
  <c r="D3796" i="5"/>
  <c r="B3796" i="5"/>
  <c r="N3795" i="5"/>
  <c r="H3795" i="5"/>
  <c r="G3795" i="5"/>
  <c r="F3795" i="5"/>
  <c r="E3795" i="5"/>
  <c r="D3795" i="5"/>
  <c r="B3795" i="5"/>
  <c r="N3794" i="5"/>
  <c r="H3794" i="5"/>
  <c r="G3794" i="5"/>
  <c r="F3794" i="5"/>
  <c r="E3794" i="5"/>
  <c r="D3794" i="5"/>
  <c r="B3794" i="5"/>
  <c r="N3793" i="5"/>
  <c r="H3793" i="5"/>
  <c r="G3793" i="5"/>
  <c r="F3793" i="5"/>
  <c r="E3793" i="5"/>
  <c r="D3793" i="5"/>
  <c r="B3793" i="5"/>
  <c r="N3792" i="5"/>
  <c r="H3792" i="5"/>
  <c r="G3792" i="5"/>
  <c r="F3792" i="5"/>
  <c r="E3792" i="5"/>
  <c r="D3792" i="5"/>
  <c r="B3792" i="5"/>
  <c r="N3791" i="5"/>
  <c r="H3791" i="5"/>
  <c r="G3791" i="5"/>
  <c r="F3791" i="5"/>
  <c r="E3791" i="5"/>
  <c r="D3791" i="5"/>
  <c r="B3791" i="5"/>
  <c r="N3790" i="5"/>
  <c r="H3790" i="5"/>
  <c r="G3790" i="5"/>
  <c r="F3790" i="5"/>
  <c r="E3790" i="5"/>
  <c r="D3790" i="5"/>
  <c r="B3790" i="5"/>
  <c r="N3789" i="5"/>
  <c r="H3789" i="5"/>
  <c r="G3789" i="5"/>
  <c r="F3789" i="5"/>
  <c r="E3789" i="5"/>
  <c r="D3789" i="5"/>
  <c r="B3789" i="5"/>
  <c r="N3788" i="5"/>
  <c r="H3788" i="5"/>
  <c r="G3788" i="5"/>
  <c r="F3788" i="5"/>
  <c r="E3788" i="5"/>
  <c r="D3788" i="5"/>
  <c r="B3788" i="5"/>
  <c r="N3787" i="5"/>
  <c r="H3787" i="5"/>
  <c r="G3787" i="5"/>
  <c r="F3787" i="5"/>
  <c r="E3787" i="5"/>
  <c r="D3787" i="5"/>
  <c r="B3787" i="5"/>
  <c r="N3786" i="5"/>
  <c r="H3786" i="5"/>
  <c r="G3786" i="5"/>
  <c r="F3786" i="5"/>
  <c r="E3786" i="5"/>
  <c r="D3786" i="5"/>
  <c r="B3786" i="5"/>
  <c r="N3785" i="5"/>
  <c r="H3785" i="5"/>
  <c r="G3785" i="5"/>
  <c r="F3785" i="5"/>
  <c r="E3785" i="5"/>
  <c r="D3785" i="5"/>
  <c r="B3785" i="5"/>
  <c r="N3784" i="5"/>
  <c r="H3784" i="5"/>
  <c r="G3784" i="5"/>
  <c r="F3784" i="5"/>
  <c r="E3784" i="5"/>
  <c r="D3784" i="5"/>
  <c r="B3784" i="5"/>
  <c r="N3783" i="5"/>
  <c r="H3783" i="5"/>
  <c r="G3783" i="5"/>
  <c r="F3783" i="5"/>
  <c r="E3783" i="5"/>
  <c r="D3783" i="5"/>
  <c r="B3783" i="5"/>
  <c r="N3782" i="5"/>
  <c r="H3782" i="5"/>
  <c r="G3782" i="5"/>
  <c r="F3782" i="5"/>
  <c r="E3782" i="5"/>
  <c r="D3782" i="5"/>
  <c r="B3782" i="5"/>
  <c r="N3781" i="5"/>
  <c r="H3781" i="5"/>
  <c r="G3781" i="5"/>
  <c r="F3781" i="5"/>
  <c r="E3781" i="5"/>
  <c r="D3781" i="5"/>
  <c r="B3781" i="5"/>
  <c r="N3780" i="5"/>
  <c r="H3780" i="5"/>
  <c r="G3780" i="5"/>
  <c r="F3780" i="5"/>
  <c r="E3780" i="5"/>
  <c r="D3780" i="5"/>
  <c r="B3780" i="5"/>
  <c r="N3779" i="5"/>
  <c r="H3779" i="5"/>
  <c r="G3779" i="5"/>
  <c r="F3779" i="5"/>
  <c r="E3779" i="5"/>
  <c r="D3779" i="5"/>
  <c r="B3779" i="5"/>
  <c r="N3778" i="5"/>
  <c r="H3778" i="5"/>
  <c r="G3778" i="5"/>
  <c r="F3778" i="5"/>
  <c r="E3778" i="5"/>
  <c r="D3778" i="5"/>
  <c r="B3778" i="5"/>
  <c r="N3777" i="5"/>
  <c r="H3777" i="5"/>
  <c r="G3777" i="5"/>
  <c r="F3777" i="5"/>
  <c r="E3777" i="5"/>
  <c r="D3777" i="5"/>
  <c r="B3777" i="5"/>
  <c r="N3776" i="5"/>
  <c r="H3776" i="5"/>
  <c r="G3776" i="5"/>
  <c r="F3776" i="5"/>
  <c r="E3776" i="5"/>
  <c r="D3776" i="5"/>
  <c r="B3776" i="5"/>
  <c r="N3775" i="5"/>
  <c r="H3775" i="5"/>
  <c r="G3775" i="5"/>
  <c r="F3775" i="5"/>
  <c r="E3775" i="5"/>
  <c r="D3775" i="5"/>
  <c r="B3775" i="5"/>
  <c r="N3774" i="5"/>
  <c r="H3774" i="5"/>
  <c r="G3774" i="5"/>
  <c r="F3774" i="5"/>
  <c r="E3774" i="5"/>
  <c r="D3774" i="5"/>
  <c r="B3774" i="5"/>
  <c r="N3773" i="5"/>
  <c r="H3773" i="5"/>
  <c r="G3773" i="5"/>
  <c r="F3773" i="5"/>
  <c r="E3773" i="5"/>
  <c r="D3773" i="5"/>
  <c r="B3773" i="5"/>
  <c r="N3772" i="5"/>
  <c r="H3772" i="5"/>
  <c r="G3772" i="5"/>
  <c r="F3772" i="5"/>
  <c r="E3772" i="5"/>
  <c r="D3772" i="5"/>
  <c r="B3772" i="5"/>
  <c r="N3771" i="5"/>
  <c r="H3771" i="5"/>
  <c r="G3771" i="5"/>
  <c r="F3771" i="5"/>
  <c r="E3771" i="5"/>
  <c r="D3771" i="5"/>
  <c r="B3771" i="5"/>
  <c r="N3770" i="5"/>
  <c r="H3770" i="5"/>
  <c r="G3770" i="5"/>
  <c r="F3770" i="5"/>
  <c r="E3770" i="5"/>
  <c r="D3770" i="5"/>
  <c r="B3770" i="5"/>
  <c r="N3769" i="5"/>
  <c r="H3769" i="5"/>
  <c r="G3769" i="5"/>
  <c r="F3769" i="5"/>
  <c r="E3769" i="5"/>
  <c r="D3769" i="5"/>
  <c r="B3769" i="5"/>
  <c r="N3768" i="5"/>
  <c r="H3768" i="5"/>
  <c r="G3768" i="5"/>
  <c r="F3768" i="5"/>
  <c r="E3768" i="5"/>
  <c r="D3768" i="5"/>
  <c r="B3768" i="5"/>
  <c r="N3767" i="5"/>
  <c r="H3767" i="5"/>
  <c r="G3767" i="5"/>
  <c r="F3767" i="5"/>
  <c r="E3767" i="5"/>
  <c r="D3767" i="5"/>
  <c r="B3767" i="5"/>
  <c r="N3766" i="5"/>
  <c r="H3766" i="5"/>
  <c r="G3766" i="5"/>
  <c r="F3766" i="5"/>
  <c r="E3766" i="5"/>
  <c r="D3766" i="5"/>
  <c r="B3766" i="5"/>
  <c r="N3765" i="5"/>
  <c r="H3765" i="5"/>
  <c r="G3765" i="5"/>
  <c r="F3765" i="5"/>
  <c r="E3765" i="5"/>
  <c r="D3765" i="5"/>
  <c r="B3765" i="5"/>
  <c r="N3764" i="5"/>
  <c r="H3764" i="5"/>
  <c r="G3764" i="5"/>
  <c r="F3764" i="5"/>
  <c r="E3764" i="5"/>
  <c r="D3764" i="5"/>
  <c r="B3764" i="5"/>
  <c r="N3763" i="5"/>
  <c r="H3763" i="5"/>
  <c r="G3763" i="5"/>
  <c r="F3763" i="5"/>
  <c r="E3763" i="5"/>
  <c r="D3763" i="5"/>
  <c r="B3763" i="5"/>
  <c r="N3762" i="5"/>
  <c r="H3762" i="5"/>
  <c r="G3762" i="5"/>
  <c r="F3762" i="5"/>
  <c r="E3762" i="5"/>
  <c r="D3762" i="5"/>
  <c r="B3762" i="5"/>
  <c r="N3761" i="5"/>
  <c r="H3761" i="5"/>
  <c r="G3761" i="5"/>
  <c r="F3761" i="5"/>
  <c r="E3761" i="5"/>
  <c r="D3761" i="5"/>
  <c r="B3761" i="5"/>
  <c r="N3760" i="5"/>
  <c r="H3760" i="5"/>
  <c r="G3760" i="5"/>
  <c r="F3760" i="5"/>
  <c r="E3760" i="5"/>
  <c r="D3760" i="5"/>
  <c r="B3760" i="5"/>
  <c r="N3759" i="5"/>
  <c r="H3759" i="5"/>
  <c r="G3759" i="5"/>
  <c r="F3759" i="5"/>
  <c r="E3759" i="5"/>
  <c r="D3759" i="5"/>
  <c r="B3759" i="5"/>
  <c r="N3758" i="5"/>
  <c r="H3758" i="5"/>
  <c r="G3758" i="5"/>
  <c r="F3758" i="5"/>
  <c r="E3758" i="5"/>
  <c r="D3758" i="5"/>
  <c r="B3758" i="5"/>
  <c r="N3757" i="5"/>
  <c r="H3757" i="5"/>
  <c r="G3757" i="5"/>
  <c r="F3757" i="5"/>
  <c r="E3757" i="5"/>
  <c r="D3757" i="5"/>
  <c r="B3757" i="5"/>
  <c r="N3756" i="5"/>
  <c r="H3756" i="5"/>
  <c r="G3756" i="5"/>
  <c r="F3756" i="5"/>
  <c r="E3756" i="5"/>
  <c r="D3756" i="5"/>
  <c r="B3756" i="5"/>
  <c r="N3755" i="5"/>
  <c r="H3755" i="5"/>
  <c r="G3755" i="5"/>
  <c r="F3755" i="5"/>
  <c r="E3755" i="5"/>
  <c r="D3755" i="5"/>
  <c r="B3755" i="5"/>
  <c r="N3754" i="5"/>
  <c r="H3754" i="5"/>
  <c r="G3754" i="5"/>
  <c r="F3754" i="5"/>
  <c r="E3754" i="5"/>
  <c r="D3754" i="5"/>
  <c r="B3754" i="5"/>
  <c r="N3753" i="5"/>
  <c r="H3753" i="5"/>
  <c r="G3753" i="5"/>
  <c r="F3753" i="5"/>
  <c r="E3753" i="5"/>
  <c r="D3753" i="5"/>
  <c r="B3753" i="5"/>
  <c r="N3752" i="5"/>
  <c r="H3752" i="5"/>
  <c r="G3752" i="5"/>
  <c r="F3752" i="5"/>
  <c r="E3752" i="5"/>
  <c r="D3752" i="5"/>
  <c r="B3752" i="5"/>
  <c r="N3751" i="5"/>
  <c r="H3751" i="5"/>
  <c r="G3751" i="5"/>
  <c r="F3751" i="5"/>
  <c r="E3751" i="5"/>
  <c r="D3751" i="5"/>
  <c r="B3751" i="5"/>
  <c r="N3750" i="5"/>
  <c r="H3750" i="5"/>
  <c r="G3750" i="5"/>
  <c r="F3750" i="5"/>
  <c r="E3750" i="5"/>
  <c r="D3750" i="5"/>
  <c r="B3750" i="5"/>
  <c r="N3749" i="5"/>
  <c r="H3749" i="5"/>
  <c r="G3749" i="5"/>
  <c r="F3749" i="5"/>
  <c r="E3749" i="5"/>
  <c r="D3749" i="5"/>
  <c r="B3749" i="5"/>
  <c r="N3748" i="5"/>
  <c r="H3748" i="5"/>
  <c r="G3748" i="5"/>
  <c r="F3748" i="5"/>
  <c r="E3748" i="5"/>
  <c r="D3748" i="5"/>
  <c r="B3748" i="5"/>
  <c r="N3747" i="5"/>
  <c r="H3747" i="5"/>
  <c r="G3747" i="5"/>
  <c r="F3747" i="5"/>
  <c r="E3747" i="5"/>
  <c r="D3747" i="5"/>
  <c r="B3747" i="5"/>
  <c r="N3746" i="5"/>
  <c r="H3746" i="5"/>
  <c r="G3746" i="5"/>
  <c r="F3746" i="5"/>
  <c r="E3746" i="5"/>
  <c r="D3746" i="5"/>
  <c r="B3746" i="5"/>
  <c r="N3745" i="5"/>
  <c r="H3745" i="5"/>
  <c r="G3745" i="5"/>
  <c r="F3745" i="5"/>
  <c r="E3745" i="5"/>
  <c r="D3745" i="5"/>
  <c r="B3745" i="5"/>
  <c r="N3744" i="5"/>
  <c r="H3744" i="5"/>
  <c r="G3744" i="5"/>
  <c r="F3744" i="5"/>
  <c r="E3744" i="5"/>
  <c r="D3744" i="5"/>
  <c r="B3744" i="5"/>
  <c r="N3743" i="5"/>
  <c r="H3743" i="5"/>
  <c r="G3743" i="5"/>
  <c r="F3743" i="5"/>
  <c r="E3743" i="5"/>
  <c r="D3743" i="5"/>
  <c r="B3743" i="5"/>
  <c r="N3742" i="5"/>
  <c r="H3742" i="5"/>
  <c r="G3742" i="5"/>
  <c r="F3742" i="5"/>
  <c r="E3742" i="5"/>
  <c r="D3742" i="5"/>
  <c r="B3742" i="5"/>
  <c r="N3741" i="5"/>
  <c r="H3741" i="5"/>
  <c r="G3741" i="5"/>
  <c r="F3741" i="5"/>
  <c r="E3741" i="5"/>
  <c r="D3741" i="5"/>
  <c r="B3741" i="5"/>
  <c r="N3740" i="5"/>
  <c r="H3740" i="5"/>
  <c r="G3740" i="5"/>
  <c r="F3740" i="5"/>
  <c r="E3740" i="5"/>
  <c r="D3740" i="5"/>
  <c r="B3740" i="5"/>
  <c r="N3739" i="5"/>
  <c r="H3739" i="5"/>
  <c r="G3739" i="5"/>
  <c r="F3739" i="5"/>
  <c r="E3739" i="5"/>
  <c r="D3739" i="5"/>
  <c r="B3739" i="5"/>
  <c r="N3738" i="5"/>
  <c r="H3738" i="5"/>
  <c r="G3738" i="5"/>
  <c r="F3738" i="5"/>
  <c r="E3738" i="5"/>
  <c r="D3738" i="5"/>
  <c r="B3738" i="5"/>
  <c r="N3737" i="5"/>
  <c r="H3737" i="5"/>
  <c r="G3737" i="5"/>
  <c r="F3737" i="5"/>
  <c r="E3737" i="5"/>
  <c r="D3737" i="5"/>
  <c r="B3737" i="5"/>
  <c r="N3736" i="5"/>
  <c r="H3736" i="5"/>
  <c r="G3736" i="5"/>
  <c r="F3736" i="5"/>
  <c r="E3736" i="5"/>
  <c r="D3736" i="5"/>
  <c r="B3736" i="5"/>
  <c r="N3735" i="5"/>
  <c r="H3735" i="5"/>
  <c r="G3735" i="5"/>
  <c r="F3735" i="5"/>
  <c r="E3735" i="5"/>
  <c r="D3735" i="5"/>
  <c r="B3735" i="5"/>
  <c r="N3734" i="5"/>
  <c r="H3734" i="5"/>
  <c r="G3734" i="5"/>
  <c r="F3734" i="5"/>
  <c r="E3734" i="5"/>
  <c r="D3734" i="5"/>
  <c r="B3734" i="5"/>
  <c r="N3733" i="5"/>
  <c r="H3733" i="5"/>
  <c r="G3733" i="5"/>
  <c r="F3733" i="5"/>
  <c r="E3733" i="5"/>
  <c r="D3733" i="5"/>
  <c r="B3733" i="5"/>
  <c r="N3732" i="5"/>
  <c r="H3732" i="5"/>
  <c r="G3732" i="5"/>
  <c r="F3732" i="5"/>
  <c r="E3732" i="5"/>
  <c r="D3732" i="5"/>
  <c r="B3732" i="5"/>
  <c r="N3731" i="5"/>
  <c r="H3731" i="5"/>
  <c r="G3731" i="5"/>
  <c r="F3731" i="5"/>
  <c r="E3731" i="5"/>
  <c r="D3731" i="5"/>
  <c r="B3731" i="5"/>
  <c r="N3730" i="5"/>
  <c r="H3730" i="5"/>
  <c r="G3730" i="5"/>
  <c r="F3730" i="5"/>
  <c r="E3730" i="5"/>
  <c r="D3730" i="5"/>
  <c r="B3730" i="5"/>
  <c r="N3729" i="5"/>
  <c r="H3729" i="5"/>
  <c r="G3729" i="5"/>
  <c r="F3729" i="5"/>
  <c r="E3729" i="5"/>
  <c r="D3729" i="5"/>
  <c r="B3729" i="5"/>
  <c r="N3728" i="5"/>
  <c r="H3728" i="5"/>
  <c r="G3728" i="5"/>
  <c r="F3728" i="5"/>
  <c r="E3728" i="5"/>
  <c r="D3728" i="5"/>
  <c r="B3728" i="5"/>
  <c r="N3727" i="5"/>
  <c r="H3727" i="5"/>
  <c r="G3727" i="5"/>
  <c r="F3727" i="5"/>
  <c r="E3727" i="5"/>
  <c r="D3727" i="5"/>
  <c r="B3727" i="5"/>
  <c r="N3726" i="5"/>
  <c r="H3726" i="5"/>
  <c r="G3726" i="5"/>
  <c r="F3726" i="5"/>
  <c r="E3726" i="5"/>
  <c r="D3726" i="5"/>
  <c r="B3726" i="5"/>
  <c r="N3725" i="5"/>
  <c r="H3725" i="5"/>
  <c r="G3725" i="5"/>
  <c r="F3725" i="5"/>
  <c r="E3725" i="5"/>
  <c r="D3725" i="5"/>
  <c r="B3725" i="5"/>
  <c r="N3724" i="5"/>
  <c r="H3724" i="5"/>
  <c r="G3724" i="5"/>
  <c r="F3724" i="5"/>
  <c r="E3724" i="5"/>
  <c r="D3724" i="5"/>
  <c r="B3724" i="5"/>
  <c r="N3723" i="5"/>
  <c r="H3723" i="5"/>
  <c r="G3723" i="5"/>
  <c r="F3723" i="5"/>
  <c r="E3723" i="5"/>
  <c r="D3723" i="5"/>
  <c r="B3723" i="5"/>
  <c r="N3722" i="5"/>
  <c r="H3722" i="5"/>
  <c r="G3722" i="5"/>
  <c r="F3722" i="5"/>
  <c r="E3722" i="5"/>
  <c r="D3722" i="5"/>
  <c r="B3722" i="5"/>
  <c r="N3721" i="5"/>
  <c r="H3721" i="5"/>
  <c r="G3721" i="5"/>
  <c r="F3721" i="5"/>
  <c r="E3721" i="5"/>
  <c r="D3721" i="5"/>
  <c r="B3721" i="5"/>
  <c r="N3720" i="5"/>
  <c r="H3720" i="5"/>
  <c r="G3720" i="5"/>
  <c r="F3720" i="5"/>
  <c r="E3720" i="5"/>
  <c r="D3720" i="5"/>
  <c r="B3720" i="5"/>
  <c r="N3719" i="5"/>
  <c r="H3719" i="5"/>
  <c r="G3719" i="5"/>
  <c r="F3719" i="5"/>
  <c r="E3719" i="5"/>
  <c r="D3719" i="5"/>
  <c r="B3719" i="5"/>
  <c r="N3718" i="5"/>
  <c r="H3718" i="5"/>
  <c r="G3718" i="5"/>
  <c r="F3718" i="5"/>
  <c r="E3718" i="5"/>
  <c r="D3718" i="5"/>
  <c r="B3718" i="5"/>
  <c r="N3717" i="5"/>
  <c r="H3717" i="5"/>
  <c r="G3717" i="5"/>
  <c r="F3717" i="5"/>
  <c r="E3717" i="5"/>
  <c r="D3717" i="5"/>
  <c r="B3717" i="5"/>
  <c r="N3716" i="5"/>
  <c r="H3716" i="5"/>
  <c r="G3716" i="5"/>
  <c r="F3716" i="5"/>
  <c r="E3716" i="5"/>
  <c r="D3716" i="5"/>
  <c r="B3716" i="5"/>
  <c r="N3715" i="5"/>
  <c r="H3715" i="5"/>
  <c r="G3715" i="5"/>
  <c r="F3715" i="5"/>
  <c r="E3715" i="5"/>
  <c r="D3715" i="5"/>
  <c r="B3715" i="5"/>
  <c r="N3714" i="5"/>
  <c r="H3714" i="5"/>
  <c r="G3714" i="5"/>
  <c r="F3714" i="5"/>
  <c r="E3714" i="5"/>
  <c r="D3714" i="5"/>
  <c r="B3714" i="5"/>
  <c r="N3713" i="5"/>
  <c r="H3713" i="5"/>
  <c r="G3713" i="5"/>
  <c r="F3713" i="5"/>
  <c r="E3713" i="5"/>
  <c r="D3713" i="5"/>
  <c r="B3713" i="5"/>
  <c r="N3712" i="5"/>
  <c r="H3712" i="5"/>
  <c r="G3712" i="5"/>
  <c r="F3712" i="5"/>
  <c r="E3712" i="5"/>
  <c r="D3712" i="5"/>
  <c r="B3712" i="5"/>
  <c r="N3711" i="5"/>
  <c r="H3711" i="5"/>
  <c r="G3711" i="5"/>
  <c r="F3711" i="5"/>
  <c r="E3711" i="5"/>
  <c r="D3711" i="5"/>
  <c r="B3711" i="5"/>
  <c r="N3710" i="5"/>
  <c r="H3710" i="5"/>
  <c r="G3710" i="5"/>
  <c r="F3710" i="5"/>
  <c r="E3710" i="5"/>
  <c r="D3710" i="5"/>
  <c r="B3710" i="5"/>
  <c r="N3709" i="5"/>
  <c r="H3709" i="5"/>
  <c r="G3709" i="5"/>
  <c r="F3709" i="5"/>
  <c r="E3709" i="5"/>
  <c r="D3709" i="5"/>
  <c r="B3709" i="5"/>
  <c r="N3708" i="5"/>
  <c r="H3708" i="5"/>
  <c r="G3708" i="5"/>
  <c r="F3708" i="5"/>
  <c r="E3708" i="5"/>
  <c r="D3708" i="5"/>
  <c r="B3708" i="5"/>
  <c r="N3707" i="5"/>
  <c r="H3707" i="5"/>
  <c r="G3707" i="5"/>
  <c r="F3707" i="5"/>
  <c r="E3707" i="5"/>
  <c r="D3707" i="5"/>
  <c r="B3707" i="5"/>
  <c r="N3706" i="5"/>
  <c r="H3706" i="5"/>
  <c r="G3706" i="5"/>
  <c r="F3706" i="5"/>
  <c r="E3706" i="5"/>
  <c r="D3706" i="5"/>
  <c r="B3706" i="5"/>
  <c r="N3705" i="5"/>
  <c r="H3705" i="5"/>
  <c r="G3705" i="5"/>
  <c r="F3705" i="5"/>
  <c r="E3705" i="5"/>
  <c r="D3705" i="5"/>
  <c r="B3705" i="5"/>
  <c r="N3704" i="5"/>
  <c r="H3704" i="5"/>
  <c r="G3704" i="5"/>
  <c r="F3704" i="5"/>
  <c r="E3704" i="5"/>
  <c r="D3704" i="5"/>
  <c r="B3704" i="5"/>
  <c r="N3703" i="5"/>
  <c r="H3703" i="5"/>
  <c r="G3703" i="5"/>
  <c r="F3703" i="5"/>
  <c r="E3703" i="5"/>
  <c r="D3703" i="5"/>
  <c r="B3703" i="5"/>
  <c r="N3702" i="5"/>
  <c r="H3702" i="5"/>
  <c r="G3702" i="5"/>
  <c r="F3702" i="5"/>
  <c r="E3702" i="5"/>
  <c r="D3702" i="5"/>
  <c r="B3702" i="5"/>
  <c r="N3701" i="5"/>
  <c r="H3701" i="5"/>
  <c r="G3701" i="5"/>
  <c r="F3701" i="5"/>
  <c r="E3701" i="5"/>
  <c r="D3701" i="5"/>
  <c r="B3701" i="5"/>
  <c r="N3700" i="5"/>
  <c r="H3700" i="5"/>
  <c r="G3700" i="5"/>
  <c r="F3700" i="5"/>
  <c r="E3700" i="5"/>
  <c r="D3700" i="5"/>
  <c r="B3700" i="5"/>
  <c r="N3699" i="5"/>
  <c r="H3699" i="5"/>
  <c r="G3699" i="5"/>
  <c r="F3699" i="5"/>
  <c r="E3699" i="5"/>
  <c r="D3699" i="5"/>
  <c r="B3699" i="5"/>
  <c r="N3698" i="5"/>
  <c r="H3698" i="5"/>
  <c r="G3698" i="5"/>
  <c r="F3698" i="5"/>
  <c r="E3698" i="5"/>
  <c r="D3698" i="5"/>
  <c r="B3698" i="5"/>
  <c r="N3697" i="5"/>
  <c r="H3697" i="5"/>
  <c r="G3697" i="5"/>
  <c r="F3697" i="5"/>
  <c r="E3697" i="5"/>
  <c r="D3697" i="5"/>
  <c r="B3697" i="5"/>
  <c r="N3696" i="5"/>
  <c r="H3696" i="5"/>
  <c r="G3696" i="5"/>
  <c r="F3696" i="5"/>
  <c r="E3696" i="5"/>
  <c r="D3696" i="5"/>
  <c r="B3696" i="5"/>
  <c r="N3695" i="5"/>
  <c r="H3695" i="5"/>
  <c r="G3695" i="5"/>
  <c r="F3695" i="5"/>
  <c r="E3695" i="5"/>
  <c r="D3695" i="5"/>
  <c r="B3695" i="5"/>
  <c r="N3694" i="5"/>
  <c r="H3694" i="5"/>
  <c r="G3694" i="5"/>
  <c r="F3694" i="5"/>
  <c r="E3694" i="5"/>
  <c r="D3694" i="5"/>
  <c r="B3694" i="5"/>
  <c r="N3693" i="5"/>
  <c r="H3693" i="5"/>
  <c r="G3693" i="5"/>
  <c r="F3693" i="5"/>
  <c r="E3693" i="5"/>
  <c r="D3693" i="5"/>
  <c r="B3693" i="5"/>
  <c r="N3692" i="5"/>
  <c r="H3692" i="5"/>
  <c r="G3692" i="5"/>
  <c r="F3692" i="5"/>
  <c r="E3692" i="5"/>
  <c r="D3692" i="5"/>
  <c r="B3692" i="5"/>
  <c r="N3691" i="5"/>
  <c r="H3691" i="5"/>
  <c r="G3691" i="5"/>
  <c r="F3691" i="5"/>
  <c r="E3691" i="5"/>
  <c r="D3691" i="5"/>
  <c r="B3691" i="5"/>
  <c r="N3690" i="5"/>
  <c r="H3690" i="5"/>
  <c r="G3690" i="5"/>
  <c r="F3690" i="5"/>
  <c r="E3690" i="5"/>
  <c r="D3690" i="5"/>
  <c r="B3690" i="5"/>
  <c r="N3689" i="5"/>
  <c r="H3689" i="5"/>
  <c r="G3689" i="5"/>
  <c r="F3689" i="5"/>
  <c r="E3689" i="5"/>
  <c r="D3689" i="5"/>
  <c r="B3689" i="5"/>
  <c r="N3688" i="5"/>
  <c r="H3688" i="5"/>
  <c r="G3688" i="5"/>
  <c r="F3688" i="5"/>
  <c r="E3688" i="5"/>
  <c r="D3688" i="5"/>
  <c r="B3688" i="5"/>
  <c r="N3687" i="5"/>
  <c r="H3687" i="5"/>
  <c r="G3687" i="5"/>
  <c r="F3687" i="5"/>
  <c r="E3687" i="5"/>
  <c r="D3687" i="5"/>
  <c r="B3687" i="5"/>
  <c r="N3686" i="5"/>
  <c r="H3686" i="5"/>
  <c r="G3686" i="5"/>
  <c r="F3686" i="5"/>
  <c r="E3686" i="5"/>
  <c r="D3686" i="5"/>
  <c r="B3686" i="5"/>
  <c r="N3685" i="5"/>
  <c r="H3685" i="5"/>
  <c r="G3685" i="5"/>
  <c r="F3685" i="5"/>
  <c r="E3685" i="5"/>
  <c r="D3685" i="5"/>
  <c r="B3685" i="5"/>
  <c r="N3684" i="5"/>
  <c r="H3684" i="5"/>
  <c r="G3684" i="5"/>
  <c r="F3684" i="5"/>
  <c r="E3684" i="5"/>
  <c r="D3684" i="5"/>
  <c r="B3684" i="5"/>
  <c r="N3683" i="5"/>
  <c r="H3683" i="5"/>
  <c r="G3683" i="5"/>
  <c r="F3683" i="5"/>
  <c r="E3683" i="5"/>
  <c r="D3683" i="5"/>
  <c r="B3683" i="5"/>
  <c r="N3682" i="5"/>
  <c r="H3682" i="5"/>
  <c r="G3682" i="5"/>
  <c r="F3682" i="5"/>
  <c r="E3682" i="5"/>
  <c r="D3682" i="5"/>
  <c r="B3682" i="5"/>
  <c r="N3681" i="5"/>
  <c r="H3681" i="5"/>
  <c r="G3681" i="5"/>
  <c r="F3681" i="5"/>
  <c r="E3681" i="5"/>
  <c r="D3681" i="5"/>
  <c r="B3681" i="5"/>
  <c r="N3680" i="5"/>
  <c r="H3680" i="5"/>
  <c r="G3680" i="5"/>
  <c r="F3680" i="5"/>
  <c r="E3680" i="5"/>
  <c r="D3680" i="5"/>
  <c r="B3680" i="5"/>
  <c r="N3679" i="5"/>
  <c r="H3679" i="5"/>
  <c r="G3679" i="5"/>
  <c r="F3679" i="5"/>
  <c r="E3679" i="5"/>
  <c r="D3679" i="5"/>
  <c r="B3679" i="5"/>
  <c r="N3678" i="5"/>
  <c r="H3678" i="5"/>
  <c r="G3678" i="5"/>
  <c r="F3678" i="5"/>
  <c r="E3678" i="5"/>
  <c r="D3678" i="5"/>
  <c r="B3678" i="5"/>
  <c r="N3677" i="5"/>
  <c r="H3677" i="5"/>
  <c r="G3677" i="5"/>
  <c r="F3677" i="5"/>
  <c r="E3677" i="5"/>
  <c r="D3677" i="5"/>
  <c r="B3677" i="5"/>
  <c r="N3676" i="5"/>
  <c r="H3676" i="5"/>
  <c r="G3676" i="5"/>
  <c r="F3676" i="5"/>
  <c r="E3676" i="5"/>
  <c r="D3676" i="5"/>
  <c r="B3676" i="5"/>
  <c r="N3675" i="5"/>
  <c r="H3675" i="5"/>
  <c r="G3675" i="5"/>
  <c r="F3675" i="5"/>
  <c r="E3675" i="5"/>
  <c r="D3675" i="5"/>
  <c r="B3675" i="5"/>
  <c r="N3674" i="5"/>
  <c r="H3674" i="5"/>
  <c r="G3674" i="5"/>
  <c r="F3674" i="5"/>
  <c r="E3674" i="5"/>
  <c r="D3674" i="5"/>
  <c r="B3674" i="5"/>
  <c r="N3673" i="5"/>
  <c r="H3673" i="5"/>
  <c r="G3673" i="5"/>
  <c r="F3673" i="5"/>
  <c r="E3673" i="5"/>
  <c r="D3673" i="5"/>
  <c r="B3673" i="5"/>
  <c r="N3672" i="5"/>
  <c r="H3672" i="5"/>
  <c r="G3672" i="5"/>
  <c r="F3672" i="5"/>
  <c r="E3672" i="5"/>
  <c r="D3672" i="5"/>
  <c r="B3672" i="5"/>
  <c r="N3671" i="5"/>
  <c r="H3671" i="5"/>
  <c r="G3671" i="5"/>
  <c r="F3671" i="5"/>
  <c r="E3671" i="5"/>
  <c r="D3671" i="5"/>
  <c r="B3671" i="5"/>
  <c r="N3670" i="5"/>
  <c r="H3670" i="5"/>
  <c r="G3670" i="5"/>
  <c r="F3670" i="5"/>
  <c r="E3670" i="5"/>
  <c r="D3670" i="5"/>
  <c r="B3670" i="5"/>
  <c r="N3669" i="5"/>
  <c r="H3669" i="5"/>
  <c r="G3669" i="5"/>
  <c r="F3669" i="5"/>
  <c r="E3669" i="5"/>
  <c r="D3669" i="5"/>
  <c r="B3669" i="5"/>
  <c r="N3668" i="5"/>
  <c r="H3668" i="5"/>
  <c r="G3668" i="5"/>
  <c r="F3668" i="5"/>
  <c r="E3668" i="5"/>
  <c r="D3668" i="5"/>
  <c r="B3668" i="5"/>
  <c r="N3667" i="5"/>
  <c r="H3667" i="5"/>
  <c r="G3667" i="5"/>
  <c r="F3667" i="5"/>
  <c r="E3667" i="5"/>
  <c r="D3667" i="5"/>
  <c r="B3667" i="5"/>
  <c r="N3666" i="5"/>
  <c r="H3666" i="5"/>
  <c r="G3666" i="5"/>
  <c r="F3666" i="5"/>
  <c r="E3666" i="5"/>
  <c r="D3666" i="5"/>
  <c r="B3666" i="5"/>
  <c r="N3665" i="5"/>
  <c r="H3665" i="5"/>
  <c r="G3665" i="5"/>
  <c r="F3665" i="5"/>
  <c r="E3665" i="5"/>
  <c r="D3665" i="5"/>
  <c r="B3665" i="5"/>
  <c r="N3664" i="5"/>
  <c r="H3664" i="5"/>
  <c r="G3664" i="5"/>
  <c r="F3664" i="5"/>
  <c r="E3664" i="5"/>
  <c r="D3664" i="5"/>
  <c r="B3664" i="5"/>
  <c r="N3663" i="5"/>
  <c r="H3663" i="5"/>
  <c r="G3663" i="5"/>
  <c r="F3663" i="5"/>
  <c r="E3663" i="5"/>
  <c r="D3663" i="5"/>
  <c r="B3663" i="5"/>
  <c r="N3662" i="5"/>
  <c r="H3662" i="5"/>
  <c r="G3662" i="5"/>
  <c r="F3662" i="5"/>
  <c r="E3662" i="5"/>
  <c r="D3662" i="5"/>
  <c r="B3662" i="5"/>
  <c r="N3661" i="5"/>
  <c r="H3661" i="5"/>
  <c r="G3661" i="5"/>
  <c r="F3661" i="5"/>
  <c r="E3661" i="5"/>
  <c r="D3661" i="5"/>
  <c r="B3661" i="5"/>
  <c r="N3660" i="5"/>
  <c r="H3660" i="5"/>
  <c r="G3660" i="5"/>
  <c r="F3660" i="5"/>
  <c r="E3660" i="5"/>
  <c r="D3660" i="5"/>
  <c r="B3660" i="5"/>
  <c r="N3659" i="5"/>
  <c r="H3659" i="5"/>
  <c r="G3659" i="5"/>
  <c r="F3659" i="5"/>
  <c r="E3659" i="5"/>
  <c r="D3659" i="5"/>
  <c r="B3659" i="5"/>
  <c r="N3658" i="5"/>
  <c r="H3658" i="5"/>
  <c r="G3658" i="5"/>
  <c r="F3658" i="5"/>
  <c r="E3658" i="5"/>
  <c r="D3658" i="5"/>
  <c r="B3658" i="5"/>
  <c r="N3657" i="5"/>
  <c r="H3657" i="5"/>
  <c r="G3657" i="5"/>
  <c r="F3657" i="5"/>
  <c r="E3657" i="5"/>
  <c r="D3657" i="5"/>
  <c r="B3657" i="5"/>
  <c r="N3656" i="5"/>
  <c r="H3656" i="5"/>
  <c r="G3656" i="5"/>
  <c r="F3656" i="5"/>
  <c r="E3656" i="5"/>
  <c r="D3656" i="5"/>
  <c r="B3656" i="5"/>
  <c r="N3655" i="5"/>
  <c r="H3655" i="5"/>
  <c r="G3655" i="5"/>
  <c r="F3655" i="5"/>
  <c r="E3655" i="5"/>
  <c r="D3655" i="5"/>
  <c r="B3655" i="5"/>
  <c r="N3654" i="5"/>
  <c r="H3654" i="5"/>
  <c r="G3654" i="5"/>
  <c r="F3654" i="5"/>
  <c r="E3654" i="5"/>
  <c r="D3654" i="5"/>
  <c r="B3654" i="5"/>
  <c r="N3653" i="5"/>
  <c r="H3653" i="5"/>
  <c r="G3653" i="5"/>
  <c r="F3653" i="5"/>
  <c r="E3653" i="5"/>
  <c r="D3653" i="5"/>
  <c r="B3653" i="5"/>
  <c r="N3652" i="5"/>
  <c r="H3652" i="5"/>
  <c r="G3652" i="5"/>
  <c r="F3652" i="5"/>
  <c r="E3652" i="5"/>
  <c r="D3652" i="5"/>
  <c r="B3652" i="5"/>
  <c r="N3651" i="5"/>
  <c r="H3651" i="5"/>
  <c r="G3651" i="5"/>
  <c r="F3651" i="5"/>
  <c r="E3651" i="5"/>
  <c r="D3651" i="5"/>
  <c r="B3651" i="5"/>
  <c r="N3650" i="5"/>
  <c r="H3650" i="5"/>
  <c r="G3650" i="5"/>
  <c r="F3650" i="5"/>
  <c r="E3650" i="5"/>
  <c r="D3650" i="5"/>
  <c r="B3650" i="5"/>
  <c r="N3649" i="5"/>
  <c r="H3649" i="5"/>
  <c r="G3649" i="5"/>
  <c r="F3649" i="5"/>
  <c r="E3649" i="5"/>
  <c r="D3649" i="5"/>
  <c r="B3649" i="5"/>
  <c r="N3648" i="5"/>
  <c r="H3648" i="5"/>
  <c r="G3648" i="5"/>
  <c r="F3648" i="5"/>
  <c r="E3648" i="5"/>
  <c r="D3648" i="5"/>
  <c r="B3648" i="5"/>
  <c r="N3647" i="5"/>
  <c r="H3647" i="5"/>
  <c r="G3647" i="5"/>
  <c r="F3647" i="5"/>
  <c r="E3647" i="5"/>
  <c r="D3647" i="5"/>
  <c r="B3647" i="5"/>
  <c r="N3646" i="5"/>
  <c r="H3646" i="5"/>
  <c r="G3646" i="5"/>
  <c r="F3646" i="5"/>
  <c r="E3646" i="5"/>
  <c r="D3646" i="5"/>
  <c r="B3646" i="5"/>
  <c r="N3645" i="5"/>
  <c r="H3645" i="5"/>
  <c r="G3645" i="5"/>
  <c r="F3645" i="5"/>
  <c r="E3645" i="5"/>
  <c r="D3645" i="5"/>
  <c r="B3645" i="5"/>
  <c r="N3644" i="5"/>
  <c r="H3644" i="5"/>
  <c r="G3644" i="5"/>
  <c r="F3644" i="5"/>
  <c r="E3644" i="5"/>
  <c r="D3644" i="5"/>
  <c r="B3644" i="5"/>
  <c r="N3643" i="5"/>
  <c r="H3643" i="5"/>
  <c r="G3643" i="5"/>
  <c r="F3643" i="5"/>
  <c r="E3643" i="5"/>
  <c r="D3643" i="5"/>
  <c r="B3643" i="5"/>
  <c r="N3642" i="5"/>
  <c r="H3642" i="5"/>
  <c r="G3642" i="5"/>
  <c r="F3642" i="5"/>
  <c r="E3642" i="5"/>
  <c r="D3642" i="5"/>
  <c r="B3642" i="5"/>
  <c r="N3641" i="5"/>
  <c r="H3641" i="5"/>
  <c r="G3641" i="5"/>
  <c r="F3641" i="5"/>
  <c r="E3641" i="5"/>
  <c r="D3641" i="5"/>
  <c r="B3641" i="5"/>
  <c r="N3640" i="5"/>
  <c r="H3640" i="5"/>
  <c r="G3640" i="5"/>
  <c r="F3640" i="5"/>
  <c r="E3640" i="5"/>
  <c r="D3640" i="5"/>
  <c r="B3640" i="5"/>
  <c r="N3639" i="5"/>
  <c r="H3639" i="5"/>
  <c r="G3639" i="5"/>
  <c r="F3639" i="5"/>
  <c r="E3639" i="5"/>
  <c r="D3639" i="5"/>
  <c r="B3639" i="5"/>
  <c r="N3638" i="5"/>
  <c r="H3638" i="5"/>
  <c r="G3638" i="5"/>
  <c r="F3638" i="5"/>
  <c r="E3638" i="5"/>
  <c r="D3638" i="5"/>
  <c r="B3638" i="5"/>
  <c r="N3637" i="5"/>
  <c r="H3637" i="5"/>
  <c r="G3637" i="5"/>
  <c r="F3637" i="5"/>
  <c r="E3637" i="5"/>
  <c r="D3637" i="5"/>
  <c r="B3637" i="5"/>
  <c r="N3636" i="5"/>
  <c r="H3636" i="5"/>
  <c r="G3636" i="5"/>
  <c r="F3636" i="5"/>
  <c r="E3636" i="5"/>
  <c r="D3636" i="5"/>
  <c r="B3636" i="5"/>
  <c r="N3635" i="5"/>
  <c r="H3635" i="5"/>
  <c r="G3635" i="5"/>
  <c r="F3635" i="5"/>
  <c r="E3635" i="5"/>
  <c r="D3635" i="5"/>
  <c r="B3635" i="5"/>
  <c r="N3634" i="5"/>
  <c r="H3634" i="5"/>
  <c r="G3634" i="5"/>
  <c r="F3634" i="5"/>
  <c r="E3634" i="5"/>
  <c r="D3634" i="5"/>
  <c r="B3634" i="5"/>
  <c r="N3633" i="5"/>
  <c r="H3633" i="5"/>
  <c r="G3633" i="5"/>
  <c r="F3633" i="5"/>
  <c r="E3633" i="5"/>
  <c r="D3633" i="5"/>
  <c r="B3633" i="5"/>
  <c r="N3632" i="5"/>
  <c r="H3632" i="5"/>
  <c r="G3632" i="5"/>
  <c r="F3632" i="5"/>
  <c r="E3632" i="5"/>
  <c r="D3632" i="5"/>
  <c r="B3632" i="5"/>
  <c r="N3631" i="5"/>
  <c r="H3631" i="5"/>
  <c r="G3631" i="5"/>
  <c r="F3631" i="5"/>
  <c r="E3631" i="5"/>
  <c r="D3631" i="5"/>
  <c r="B3631" i="5"/>
  <c r="N3630" i="5"/>
  <c r="H3630" i="5"/>
  <c r="G3630" i="5"/>
  <c r="F3630" i="5"/>
  <c r="E3630" i="5"/>
  <c r="D3630" i="5"/>
  <c r="B3630" i="5"/>
  <c r="N3629" i="5"/>
  <c r="H3629" i="5"/>
  <c r="G3629" i="5"/>
  <c r="F3629" i="5"/>
  <c r="E3629" i="5"/>
  <c r="D3629" i="5"/>
  <c r="B3629" i="5"/>
  <c r="N3628" i="5"/>
  <c r="H3628" i="5"/>
  <c r="G3628" i="5"/>
  <c r="F3628" i="5"/>
  <c r="E3628" i="5"/>
  <c r="D3628" i="5"/>
  <c r="B3628" i="5"/>
  <c r="N3627" i="5"/>
  <c r="H3627" i="5"/>
  <c r="G3627" i="5"/>
  <c r="F3627" i="5"/>
  <c r="E3627" i="5"/>
  <c r="D3627" i="5"/>
  <c r="B3627" i="5"/>
  <c r="N3626" i="5"/>
  <c r="H3626" i="5"/>
  <c r="G3626" i="5"/>
  <c r="F3626" i="5"/>
  <c r="E3626" i="5"/>
  <c r="D3626" i="5"/>
  <c r="B3626" i="5"/>
  <c r="N3625" i="5"/>
  <c r="H3625" i="5"/>
  <c r="G3625" i="5"/>
  <c r="F3625" i="5"/>
  <c r="E3625" i="5"/>
  <c r="D3625" i="5"/>
  <c r="B3625" i="5"/>
  <c r="N3624" i="5"/>
  <c r="H3624" i="5"/>
  <c r="G3624" i="5"/>
  <c r="F3624" i="5"/>
  <c r="E3624" i="5"/>
  <c r="D3624" i="5"/>
  <c r="B3624" i="5"/>
  <c r="N3623" i="5"/>
  <c r="H3623" i="5"/>
  <c r="G3623" i="5"/>
  <c r="F3623" i="5"/>
  <c r="E3623" i="5"/>
  <c r="D3623" i="5"/>
  <c r="B3623" i="5"/>
  <c r="N3622" i="5"/>
  <c r="H3622" i="5"/>
  <c r="G3622" i="5"/>
  <c r="F3622" i="5"/>
  <c r="E3622" i="5"/>
  <c r="D3622" i="5"/>
  <c r="B3622" i="5"/>
  <c r="N3621" i="5"/>
  <c r="H3621" i="5"/>
  <c r="G3621" i="5"/>
  <c r="F3621" i="5"/>
  <c r="E3621" i="5"/>
  <c r="D3621" i="5"/>
  <c r="B3621" i="5"/>
  <c r="N3620" i="5"/>
  <c r="H3620" i="5"/>
  <c r="G3620" i="5"/>
  <c r="F3620" i="5"/>
  <c r="E3620" i="5"/>
  <c r="D3620" i="5"/>
  <c r="B3620" i="5"/>
  <c r="N3619" i="5"/>
  <c r="H3619" i="5"/>
  <c r="G3619" i="5"/>
  <c r="F3619" i="5"/>
  <c r="E3619" i="5"/>
  <c r="D3619" i="5"/>
  <c r="B3619" i="5"/>
  <c r="N3618" i="5"/>
  <c r="H3618" i="5"/>
  <c r="G3618" i="5"/>
  <c r="F3618" i="5"/>
  <c r="E3618" i="5"/>
  <c r="D3618" i="5"/>
  <c r="B3618" i="5"/>
  <c r="N3617" i="5"/>
  <c r="H3617" i="5"/>
  <c r="G3617" i="5"/>
  <c r="F3617" i="5"/>
  <c r="E3617" i="5"/>
  <c r="D3617" i="5"/>
  <c r="B3617" i="5"/>
  <c r="N3616" i="5"/>
  <c r="H3616" i="5"/>
  <c r="G3616" i="5"/>
  <c r="F3616" i="5"/>
  <c r="E3616" i="5"/>
  <c r="D3616" i="5"/>
  <c r="B3616" i="5"/>
  <c r="N3615" i="5"/>
  <c r="H3615" i="5"/>
  <c r="G3615" i="5"/>
  <c r="F3615" i="5"/>
  <c r="E3615" i="5"/>
  <c r="D3615" i="5"/>
  <c r="B3615" i="5"/>
  <c r="N3614" i="5"/>
  <c r="H3614" i="5"/>
  <c r="G3614" i="5"/>
  <c r="F3614" i="5"/>
  <c r="E3614" i="5"/>
  <c r="D3614" i="5"/>
  <c r="B3614" i="5"/>
  <c r="N3613" i="5"/>
  <c r="H3613" i="5"/>
  <c r="G3613" i="5"/>
  <c r="F3613" i="5"/>
  <c r="E3613" i="5"/>
  <c r="D3613" i="5"/>
  <c r="B3613" i="5"/>
  <c r="N3612" i="5"/>
  <c r="H3612" i="5"/>
  <c r="G3612" i="5"/>
  <c r="F3612" i="5"/>
  <c r="E3612" i="5"/>
  <c r="D3612" i="5"/>
  <c r="B3612" i="5"/>
  <c r="N3611" i="5"/>
  <c r="H3611" i="5"/>
  <c r="G3611" i="5"/>
  <c r="F3611" i="5"/>
  <c r="E3611" i="5"/>
  <c r="D3611" i="5"/>
  <c r="B3611" i="5"/>
  <c r="N3610" i="5"/>
  <c r="H3610" i="5"/>
  <c r="G3610" i="5"/>
  <c r="F3610" i="5"/>
  <c r="E3610" i="5"/>
  <c r="D3610" i="5"/>
  <c r="B3610" i="5"/>
  <c r="N3609" i="5"/>
  <c r="H3609" i="5"/>
  <c r="G3609" i="5"/>
  <c r="F3609" i="5"/>
  <c r="E3609" i="5"/>
  <c r="D3609" i="5"/>
  <c r="B3609" i="5"/>
  <c r="N3608" i="5"/>
  <c r="H3608" i="5"/>
  <c r="G3608" i="5"/>
  <c r="F3608" i="5"/>
  <c r="E3608" i="5"/>
  <c r="D3608" i="5"/>
  <c r="B3608" i="5"/>
  <c r="N3607" i="5"/>
  <c r="H3607" i="5"/>
  <c r="G3607" i="5"/>
  <c r="F3607" i="5"/>
  <c r="E3607" i="5"/>
  <c r="D3607" i="5"/>
  <c r="B3607" i="5"/>
  <c r="N3606" i="5"/>
  <c r="H3606" i="5"/>
  <c r="G3606" i="5"/>
  <c r="F3606" i="5"/>
  <c r="E3606" i="5"/>
  <c r="D3606" i="5"/>
  <c r="B3606" i="5"/>
  <c r="N3605" i="5"/>
  <c r="H3605" i="5"/>
  <c r="G3605" i="5"/>
  <c r="F3605" i="5"/>
  <c r="E3605" i="5"/>
  <c r="D3605" i="5"/>
  <c r="B3605" i="5"/>
  <c r="N3604" i="5"/>
  <c r="H3604" i="5"/>
  <c r="G3604" i="5"/>
  <c r="F3604" i="5"/>
  <c r="E3604" i="5"/>
  <c r="D3604" i="5"/>
  <c r="B3604" i="5"/>
  <c r="N3603" i="5"/>
  <c r="H3603" i="5"/>
  <c r="G3603" i="5"/>
  <c r="F3603" i="5"/>
  <c r="E3603" i="5"/>
  <c r="D3603" i="5"/>
  <c r="B3603" i="5"/>
  <c r="N3602" i="5"/>
  <c r="H3602" i="5"/>
  <c r="G3602" i="5"/>
  <c r="F3602" i="5"/>
  <c r="E3602" i="5"/>
  <c r="D3602" i="5"/>
  <c r="B3602" i="5"/>
  <c r="N3601" i="5"/>
  <c r="H3601" i="5"/>
  <c r="G3601" i="5"/>
  <c r="F3601" i="5"/>
  <c r="E3601" i="5"/>
  <c r="D3601" i="5"/>
  <c r="B3601" i="5"/>
  <c r="N3600" i="5"/>
  <c r="H3600" i="5"/>
  <c r="G3600" i="5"/>
  <c r="F3600" i="5"/>
  <c r="E3600" i="5"/>
  <c r="D3600" i="5"/>
  <c r="B3600" i="5"/>
  <c r="N3599" i="5"/>
  <c r="H3599" i="5"/>
  <c r="G3599" i="5"/>
  <c r="F3599" i="5"/>
  <c r="E3599" i="5"/>
  <c r="D3599" i="5"/>
  <c r="B3599" i="5"/>
  <c r="N3598" i="5"/>
  <c r="H3598" i="5"/>
  <c r="G3598" i="5"/>
  <c r="F3598" i="5"/>
  <c r="E3598" i="5"/>
  <c r="D3598" i="5"/>
  <c r="B3598" i="5"/>
  <c r="N3597" i="5"/>
  <c r="H3597" i="5"/>
  <c r="G3597" i="5"/>
  <c r="F3597" i="5"/>
  <c r="E3597" i="5"/>
  <c r="D3597" i="5"/>
  <c r="B3597" i="5"/>
  <c r="N3596" i="5"/>
  <c r="H3596" i="5"/>
  <c r="G3596" i="5"/>
  <c r="F3596" i="5"/>
  <c r="E3596" i="5"/>
  <c r="D3596" i="5"/>
  <c r="B3596" i="5"/>
  <c r="N3595" i="5"/>
  <c r="H3595" i="5"/>
  <c r="G3595" i="5"/>
  <c r="F3595" i="5"/>
  <c r="E3595" i="5"/>
  <c r="D3595" i="5"/>
  <c r="B3595" i="5"/>
  <c r="N3594" i="5"/>
  <c r="H3594" i="5"/>
  <c r="G3594" i="5"/>
  <c r="F3594" i="5"/>
  <c r="E3594" i="5"/>
  <c r="D3594" i="5"/>
  <c r="B3594" i="5"/>
  <c r="N3593" i="5"/>
  <c r="H3593" i="5"/>
  <c r="G3593" i="5"/>
  <c r="F3593" i="5"/>
  <c r="E3593" i="5"/>
  <c r="D3593" i="5"/>
  <c r="B3593" i="5"/>
  <c r="N3592" i="5"/>
  <c r="H3592" i="5"/>
  <c r="G3592" i="5"/>
  <c r="F3592" i="5"/>
  <c r="E3592" i="5"/>
  <c r="D3592" i="5"/>
  <c r="B3592" i="5"/>
  <c r="N3591" i="5"/>
  <c r="H3591" i="5"/>
  <c r="G3591" i="5"/>
  <c r="F3591" i="5"/>
  <c r="E3591" i="5"/>
  <c r="D3591" i="5"/>
  <c r="B3591" i="5"/>
  <c r="N3590" i="5"/>
  <c r="H3590" i="5"/>
  <c r="G3590" i="5"/>
  <c r="F3590" i="5"/>
  <c r="E3590" i="5"/>
  <c r="D3590" i="5"/>
  <c r="B3590" i="5"/>
  <c r="N3589" i="5"/>
  <c r="H3589" i="5"/>
  <c r="G3589" i="5"/>
  <c r="F3589" i="5"/>
  <c r="E3589" i="5"/>
  <c r="D3589" i="5"/>
  <c r="B3589" i="5"/>
  <c r="N3588" i="5"/>
  <c r="H3588" i="5"/>
  <c r="G3588" i="5"/>
  <c r="F3588" i="5"/>
  <c r="E3588" i="5"/>
  <c r="D3588" i="5"/>
  <c r="B3588" i="5"/>
  <c r="N3587" i="5"/>
  <c r="H3587" i="5"/>
  <c r="G3587" i="5"/>
  <c r="F3587" i="5"/>
  <c r="E3587" i="5"/>
  <c r="D3587" i="5"/>
  <c r="B3587" i="5"/>
  <c r="N3586" i="5"/>
  <c r="H3586" i="5"/>
  <c r="G3586" i="5"/>
  <c r="F3586" i="5"/>
  <c r="E3586" i="5"/>
  <c r="D3586" i="5"/>
  <c r="B3586" i="5"/>
  <c r="N3585" i="5"/>
  <c r="H3585" i="5"/>
  <c r="G3585" i="5"/>
  <c r="F3585" i="5"/>
  <c r="E3585" i="5"/>
  <c r="D3585" i="5"/>
  <c r="B3585" i="5"/>
  <c r="N3584" i="5"/>
  <c r="H3584" i="5"/>
  <c r="G3584" i="5"/>
  <c r="F3584" i="5"/>
  <c r="E3584" i="5"/>
  <c r="D3584" i="5"/>
  <c r="B3584" i="5"/>
  <c r="N3583" i="5"/>
  <c r="H3583" i="5"/>
  <c r="G3583" i="5"/>
  <c r="F3583" i="5"/>
  <c r="E3583" i="5"/>
  <c r="D3583" i="5"/>
  <c r="B3583" i="5"/>
  <c r="N3582" i="5"/>
  <c r="H3582" i="5"/>
  <c r="G3582" i="5"/>
  <c r="F3582" i="5"/>
  <c r="E3582" i="5"/>
  <c r="D3582" i="5"/>
  <c r="B3582" i="5"/>
  <c r="N3581" i="5"/>
  <c r="H3581" i="5"/>
  <c r="G3581" i="5"/>
  <c r="F3581" i="5"/>
  <c r="E3581" i="5"/>
  <c r="D3581" i="5"/>
  <c r="B3581" i="5"/>
  <c r="N3580" i="5"/>
  <c r="H3580" i="5"/>
  <c r="G3580" i="5"/>
  <c r="F3580" i="5"/>
  <c r="E3580" i="5"/>
  <c r="D3580" i="5"/>
  <c r="B3580" i="5"/>
  <c r="N3579" i="5"/>
  <c r="H3579" i="5"/>
  <c r="G3579" i="5"/>
  <c r="F3579" i="5"/>
  <c r="E3579" i="5"/>
  <c r="D3579" i="5"/>
  <c r="B3579" i="5"/>
  <c r="N3578" i="5"/>
  <c r="H3578" i="5"/>
  <c r="G3578" i="5"/>
  <c r="F3578" i="5"/>
  <c r="E3578" i="5"/>
  <c r="D3578" i="5"/>
  <c r="B3578" i="5"/>
  <c r="N3577" i="5"/>
  <c r="H3577" i="5"/>
  <c r="G3577" i="5"/>
  <c r="F3577" i="5"/>
  <c r="E3577" i="5"/>
  <c r="D3577" i="5"/>
  <c r="B3577" i="5"/>
  <c r="N3576" i="5"/>
  <c r="H3576" i="5"/>
  <c r="G3576" i="5"/>
  <c r="F3576" i="5"/>
  <c r="E3576" i="5"/>
  <c r="D3576" i="5"/>
  <c r="B3576" i="5"/>
  <c r="N3575" i="5"/>
  <c r="H3575" i="5"/>
  <c r="G3575" i="5"/>
  <c r="F3575" i="5"/>
  <c r="E3575" i="5"/>
  <c r="D3575" i="5"/>
  <c r="B3575" i="5"/>
  <c r="N3574" i="5"/>
  <c r="H3574" i="5"/>
  <c r="G3574" i="5"/>
  <c r="F3574" i="5"/>
  <c r="E3574" i="5"/>
  <c r="D3574" i="5"/>
  <c r="B3574" i="5"/>
  <c r="N3573" i="5"/>
  <c r="H3573" i="5"/>
  <c r="G3573" i="5"/>
  <c r="F3573" i="5"/>
  <c r="E3573" i="5"/>
  <c r="D3573" i="5"/>
  <c r="B3573" i="5"/>
  <c r="N3572" i="5"/>
  <c r="H3572" i="5"/>
  <c r="G3572" i="5"/>
  <c r="F3572" i="5"/>
  <c r="E3572" i="5"/>
  <c r="D3572" i="5"/>
  <c r="B3572" i="5"/>
  <c r="N3571" i="5"/>
  <c r="H3571" i="5"/>
  <c r="G3571" i="5"/>
  <c r="F3571" i="5"/>
  <c r="E3571" i="5"/>
  <c r="D3571" i="5"/>
  <c r="B3571" i="5"/>
  <c r="N3570" i="5"/>
  <c r="H3570" i="5"/>
  <c r="G3570" i="5"/>
  <c r="F3570" i="5"/>
  <c r="E3570" i="5"/>
  <c r="D3570" i="5"/>
  <c r="B3570" i="5"/>
  <c r="N3569" i="5"/>
  <c r="H3569" i="5"/>
  <c r="G3569" i="5"/>
  <c r="F3569" i="5"/>
  <c r="E3569" i="5"/>
  <c r="D3569" i="5"/>
  <c r="B3569" i="5"/>
  <c r="N3568" i="5"/>
  <c r="H3568" i="5"/>
  <c r="G3568" i="5"/>
  <c r="F3568" i="5"/>
  <c r="E3568" i="5"/>
  <c r="D3568" i="5"/>
  <c r="B3568" i="5"/>
  <c r="N3567" i="5"/>
  <c r="H3567" i="5"/>
  <c r="G3567" i="5"/>
  <c r="F3567" i="5"/>
  <c r="E3567" i="5"/>
  <c r="D3567" i="5"/>
  <c r="B3567" i="5"/>
  <c r="N3566" i="5"/>
  <c r="H3566" i="5"/>
  <c r="G3566" i="5"/>
  <c r="F3566" i="5"/>
  <c r="E3566" i="5"/>
  <c r="D3566" i="5"/>
  <c r="B3566" i="5"/>
  <c r="N3565" i="5"/>
  <c r="H3565" i="5"/>
  <c r="G3565" i="5"/>
  <c r="F3565" i="5"/>
  <c r="E3565" i="5"/>
  <c r="D3565" i="5"/>
  <c r="B3565" i="5"/>
  <c r="N3564" i="5"/>
  <c r="H3564" i="5"/>
  <c r="G3564" i="5"/>
  <c r="F3564" i="5"/>
  <c r="E3564" i="5"/>
  <c r="D3564" i="5"/>
  <c r="B3564" i="5"/>
  <c r="N3563" i="5"/>
  <c r="H3563" i="5"/>
  <c r="G3563" i="5"/>
  <c r="F3563" i="5"/>
  <c r="E3563" i="5"/>
  <c r="D3563" i="5"/>
  <c r="B3563" i="5"/>
  <c r="N3562" i="5"/>
  <c r="H3562" i="5"/>
  <c r="G3562" i="5"/>
  <c r="F3562" i="5"/>
  <c r="E3562" i="5"/>
  <c r="D3562" i="5"/>
  <c r="B3562" i="5"/>
  <c r="N3561" i="5"/>
  <c r="H3561" i="5"/>
  <c r="G3561" i="5"/>
  <c r="F3561" i="5"/>
  <c r="E3561" i="5"/>
  <c r="D3561" i="5"/>
  <c r="B3561" i="5"/>
  <c r="N3560" i="5"/>
  <c r="H3560" i="5"/>
  <c r="G3560" i="5"/>
  <c r="F3560" i="5"/>
  <c r="E3560" i="5"/>
  <c r="D3560" i="5"/>
  <c r="B3560" i="5"/>
  <c r="N3559" i="5"/>
  <c r="H3559" i="5"/>
  <c r="G3559" i="5"/>
  <c r="F3559" i="5"/>
  <c r="E3559" i="5"/>
  <c r="D3559" i="5"/>
  <c r="B3559" i="5"/>
  <c r="N3558" i="5"/>
  <c r="H3558" i="5"/>
  <c r="G3558" i="5"/>
  <c r="F3558" i="5"/>
  <c r="E3558" i="5"/>
  <c r="D3558" i="5"/>
  <c r="B3558" i="5"/>
  <c r="N3557" i="5"/>
  <c r="H3557" i="5"/>
  <c r="G3557" i="5"/>
  <c r="F3557" i="5"/>
  <c r="E3557" i="5"/>
  <c r="D3557" i="5"/>
  <c r="B3557" i="5"/>
  <c r="N3556" i="5"/>
  <c r="H3556" i="5"/>
  <c r="G3556" i="5"/>
  <c r="F3556" i="5"/>
  <c r="E3556" i="5"/>
  <c r="D3556" i="5"/>
  <c r="B3556" i="5"/>
  <c r="N3555" i="5"/>
  <c r="H3555" i="5"/>
  <c r="G3555" i="5"/>
  <c r="F3555" i="5"/>
  <c r="E3555" i="5"/>
  <c r="D3555" i="5"/>
  <c r="B3555" i="5"/>
  <c r="N3554" i="5"/>
  <c r="H3554" i="5"/>
  <c r="G3554" i="5"/>
  <c r="F3554" i="5"/>
  <c r="E3554" i="5"/>
  <c r="D3554" i="5"/>
  <c r="B3554" i="5"/>
  <c r="N3553" i="5"/>
  <c r="H3553" i="5"/>
  <c r="G3553" i="5"/>
  <c r="F3553" i="5"/>
  <c r="E3553" i="5"/>
  <c r="D3553" i="5"/>
  <c r="B3553" i="5"/>
  <c r="N3552" i="5"/>
  <c r="H3552" i="5"/>
  <c r="G3552" i="5"/>
  <c r="F3552" i="5"/>
  <c r="E3552" i="5"/>
  <c r="D3552" i="5"/>
  <c r="B3552" i="5"/>
  <c r="N3551" i="5"/>
  <c r="H3551" i="5"/>
  <c r="G3551" i="5"/>
  <c r="F3551" i="5"/>
  <c r="E3551" i="5"/>
  <c r="D3551" i="5"/>
  <c r="B3551" i="5"/>
  <c r="N3550" i="5"/>
  <c r="H3550" i="5"/>
  <c r="G3550" i="5"/>
  <c r="F3550" i="5"/>
  <c r="E3550" i="5"/>
  <c r="D3550" i="5"/>
  <c r="B3550" i="5"/>
  <c r="N3549" i="5"/>
  <c r="H3549" i="5"/>
  <c r="G3549" i="5"/>
  <c r="F3549" i="5"/>
  <c r="E3549" i="5"/>
  <c r="D3549" i="5"/>
  <c r="B3549" i="5"/>
  <c r="N3548" i="5"/>
  <c r="H3548" i="5"/>
  <c r="G3548" i="5"/>
  <c r="F3548" i="5"/>
  <c r="E3548" i="5"/>
  <c r="D3548" i="5"/>
  <c r="B3548" i="5"/>
  <c r="N3547" i="5"/>
  <c r="H3547" i="5"/>
  <c r="G3547" i="5"/>
  <c r="F3547" i="5"/>
  <c r="E3547" i="5"/>
  <c r="D3547" i="5"/>
  <c r="B3547" i="5"/>
  <c r="N3546" i="5"/>
  <c r="H3546" i="5"/>
  <c r="G3546" i="5"/>
  <c r="F3546" i="5"/>
  <c r="E3546" i="5"/>
  <c r="D3546" i="5"/>
  <c r="B3546" i="5"/>
  <c r="N3545" i="5"/>
  <c r="H3545" i="5"/>
  <c r="G3545" i="5"/>
  <c r="F3545" i="5"/>
  <c r="E3545" i="5"/>
  <c r="D3545" i="5"/>
  <c r="B3545" i="5"/>
  <c r="N3544" i="5"/>
  <c r="H3544" i="5"/>
  <c r="G3544" i="5"/>
  <c r="F3544" i="5"/>
  <c r="E3544" i="5"/>
  <c r="D3544" i="5"/>
  <c r="B3544" i="5"/>
  <c r="N3543" i="5"/>
  <c r="H3543" i="5"/>
  <c r="G3543" i="5"/>
  <c r="F3543" i="5"/>
  <c r="E3543" i="5"/>
  <c r="D3543" i="5"/>
  <c r="B3543" i="5"/>
  <c r="N3542" i="5"/>
  <c r="H3542" i="5"/>
  <c r="G3542" i="5"/>
  <c r="F3542" i="5"/>
  <c r="E3542" i="5"/>
  <c r="D3542" i="5"/>
  <c r="B3542" i="5"/>
  <c r="N3541" i="5"/>
  <c r="H3541" i="5"/>
  <c r="G3541" i="5"/>
  <c r="F3541" i="5"/>
  <c r="E3541" i="5"/>
  <c r="D3541" i="5"/>
  <c r="B3541" i="5"/>
  <c r="N3540" i="5"/>
  <c r="H3540" i="5"/>
  <c r="G3540" i="5"/>
  <c r="F3540" i="5"/>
  <c r="E3540" i="5"/>
  <c r="D3540" i="5"/>
  <c r="B3540" i="5"/>
  <c r="N3539" i="5"/>
  <c r="H3539" i="5"/>
  <c r="G3539" i="5"/>
  <c r="F3539" i="5"/>
  <c r="E3539" i="5"/>
  <c r="D3539" i="5"/>
  <c r="B3539" i="5"/>
  <c r="N3538" i="5"/>
  <c r="H3538" i="5"/>
  <c r="G3538" i="5"/>
  <c r="F3538" i="5"/>
  <c r="E3538" i="5"/>
  <c r="D3538" i="5"/>
  <c r="B3538" i="5"/>
  <c r="N3537" i="5"/>
  <c r="H3537" i="5"/>
  <c r="G3537" i="5"/>
  <c r="F3537" i="5"/>
  <c r="E3537" i="5"/>
  <c r="D3537" i="5"/>
  <c r="B3537" i="5"/>
  <c r="N3536" i="5"/>
  <c r="H3536" i="5"/>
  <c r="G3536" i="5"/>
  <c r="F3536" i="5"/>
  <c r="E3536" i="5"/>
  <c r="D3536" i="5"/>
  <c r="B3536" i="5"/>
  <c r="N3535" i="5"/>
  <c r="H3535" i="5"/>
  <c r="G3535" i="5"/>
  <c r="F3535" i="5"/>
  <c r="E3535" i="5"/>
  <c r="D3535" i="5"/>
  <c r="B3535" i="5"/>
  <c r="N3534" i="5"/>
  <c r="H3534" i="5"/>
  <c r="G3534" i="5"/>
  <c r="F3534" i="5"/>
  <c r="E3534" i="5"/>
  <c r="D3534" i="5"/>
  <c r="B3534" i="5"/>
  <c r="N3533" i="5"/>
  <c r="H3533" i="5"/>
  <c r="G3533" i="5"/>
  <c r="F3533" i="5"/>
  <c r="E3533" i="5"/>
  <c r="D3533" i="5"/>
  <c r="B3533" i="5"/>
  <c r="N3532" i="5"/>
  <c r="H3532" i="5"/>
  <c r="G3532" i="5"/>
  <c r="F3532" i="5"/>
  <c r="E3532" i="5"/>
  <c r="D3532" i="5"/>
  <c r="B3532" i="5"/>
  <c r="N3531" i="5"/>
  <c r="H3531" i="5"/>
  <c r="G3531" i="5"/>
  <c r="F3531" i="5"/>
  <c r="E3531" i="5"/>
  <c r="D3531" i="5"/>
  <c r="B3531" i="5"/>
  <c r="N3530" i="5"/>
  <c r="H3530" i="5"/>
  <c r="G3530" i="5"/>
  <c r="F3530" i="5"/>
  <c r="E3530" i="5"/>
  <c r="D3530" i="5"/>
  <c r="B3530" i="5"/>
  <c r="N3529" i="5"/>
  <c r="H3529" i="5"/>
  <c r="G3529" i="5"/>
  <c r="F3529" i="5"/>
  <c r="E3529" i="5"/>
  <c r="D3529" i="5"/>
  <c r="B3529" i="5"/>
  <c r="N3528" i="5"/>
  <c r="H3528" i="5"/>
  <c r="G3528" i="5"/>
  <c r="F3528" i="5"/>
  <c r="E3528" i="5"/>
  <c r="D3528" i="5"/>
  <c r="B3528" i="5"/>
  <c r="N3527" i="5"/>
  <c r="H3527" i="5"/>
  <c r="G3527" i="5"/>
  <c r="F3527" i="5"/>
  <c r="E3527" i="5"/>
  <c r="D3527" i="5"/>
  <c r="B3527" i="5"/>
  <c r="N3526" i="5"/>
  <c r="H3526" i="5"/>
  <c r="G3526" i="5"/>
  <c r="F3526" i="5"/>
  <c r="E3526" i="5"/>
  <c r="D3526" i="5"/>
  <c r="B3526" i="5"/>
  <c r="N3525" i="5"/>
  <c r="H3525" i="5"/>
  <c r="G3525" i="5"/>
  <c r="F3525" i="5"/>
  <c r="E3525" i="5"/>
  <c r="D3525" i="5"/>
  <c r="B3525" i="5"/>
  <c r="N3524" i="5"/>
  <c r="H3524" i="5"/>
  <c r="G3524" i="5"/>
  <c r="F3524" i="5"/>
  <c r="E3524" i="5"/>
  <c r="D3524" i="5"/>
  <c r="B3524" i="5"/>
  <c r="N3523" i="5"/>
  <c r="H3523" i="5"/>
  <c r="G3523" i="5"/>
  <c r="F3523" i="5"/>
  <c r="E3523" i="5"/>
  <c r="D3523" i="5"/>
  <c r="B3523" i="5"/>
  <c r="N3522" i="5"/>
  <c r="H3522" i="5"/>
  <c r="G3522" i="5"/>
  <c r="F3522" i="5"/>
  <c r="E3522" i="5"/>
  <c r="D3522" i="5"/>
  <c r="B3522" i="5"/>
  <c r="N3521" i="5"/>
  <c r="H3521" i="5"/>
  <c r="G3521" i="5"/>
  <c r="F3521" i="5"/>
  <c r="E3521" i="5"/>
  <c r="D3521" i="5"/>
  <c r="B3521" i="5"/>
  <c r="N3520" i="5"/>
  <c r="H3520" i="5"/>
  <c r="G3520" i="5"/>
  <c r="F3520" i="5"/>
  <c r="E3520" i="5"/>
  <c r="D3520" i="5"/>
  <c r="B3520" i="5"/>
  <c r="N3519" i="5"/>
  <c r="H3519" i="5"/>
  <c r="G3519" i="5"/>
  <c r="F3519" i="5"/>
  <c r="E3519" i="5"/>
  <c r="D3519" i="5"/>
  <c r="B3519" i="5"/>
  <c r="N3518" i="5"/>
  <c r="H3518" i="5"/>
  <c r="G3518" i="5"/>
  <c r="F3518" i="5"/>
  <c r="E3518" i="5"/>
  <c r="D3518" i="5"/>
  <c r="B3518" i="5"/>
  <c r="N3517" i="5"/>
  <c r="H3517" i="5"/>
  <c r="G3517" i="5"/>
  <c r="F3517" i="5"/>
  <c r="E3517" i="5"/>
  <c r="D3517" i="5"/>
  <c r="B3517" i="5"/>
  <c r="N3516" i="5"/>
  <c r="H3516" i="5"/>
  <c r="G3516" i="5"/>
  <c r="F3516" i="5"/>
  <c r="E3516" i="5"/>
  <c r="D3516" i="5"/>
  <c r="B3516" i="5"/>
  <c r="N3515" i="5"/>
  <c r="H3515" i="5"/>
  <c r="G3515" i="5"/>
  <c r="F3515" i="5"/>
  <c r="E3515" i="5"/>
  <c r="D3515" i="5"/>
  <c r="B3515" i="5"/>
  <c r="N3514" i="5"/>
  <c r="H3514" i="5"/>
  <c r="G3514" i="5"/>
  <c r="F3514" i="5"/>
  <c r="E3514" i="5"/>
  <c r="D3514" i="5"/>
  <c r="B3514" i="5"/>
  <c r="N3513" i="5"/>
  <c r="H3513" i="5"/>
  <c r="G3513" i="5"/>
  <c r="F3513" i="5"/>
  <c r="E3513" i="5"/>
  <c r="D3513" i="5"/>
  <c r="B3513" i="5"/>
  <c r="N3512" i="5"/>
  <c r="H3512" i="5"/>
  <c r="G3512" i="5"/>
  <c r="F3512" i="5"/>
  <c r="E3512" i="5"/>
  <c r="D3512" i="5"/>
  <c r="B3512" i="5"/>
  <c r="N3511" i="5"/>
  <c r="H3511" i="5"/>
  <c r="G3511" i="5"/>
  <c r="F3511" i="5"/>
  <c r="E3511" i="5"/>
  <c r="D3511" i="5"/>
  <c r="B3511" i="5"/>
  <c r="N3510" i="5"/>
  <c r="H3510" i="5"/>
  <c r="G3510" i="5"/>
  <c r="F3510" i="5"/>
  <c r="E3510" i="5"/>
  <c r="D3510" i="5"/>
  <c r="B3510" i="5"/>
  <c r="N3509" i="5"/>
  <c r="H3509" i="5"/>
  <c r="G3509" i="5"/>
  <c r="F3509" i="5"/>
  <c r="E3509" i="5"/>
  <c r="D3509" i="5"/>
  <c r="B3509" i="5"/>
  <c r="N3508" i="5"/>
  <c r="H3508" i="5"/>
  <c r="G3508" i="5"/>
  <c r="F3508" i="5"/>
  <c r="E3508" i="5"/>
  <c r="D3508" i="5"/>
  <c r="B3508" i="5"/>
  <c r="N3507" i="5"/>
  <c r="H3507" i="5"/>
  <c r="G3507" i="5"/>
  <c r="F3507" i="5"/>
  <c r="E3507" i="5"/>
  <c r="D3507" i="5"/>
  <c r="B3507" i="5"/>
  <c r="N3506" i="5"/>
  <c r="H3506" i="5"/>
  <c r="G3506" i="5"/>
  <c r="F3506" i="5"/>
  <c r="E3506" i="5"/>
  <c r="D3506" i="5"/>
  <c r="B3506" i="5"/>
  <c r="N3505" i="5"/>
  <c r="H3505" i="5"/>
  <c r="G3505" i="5"/>
  <c r="F3505" i="5"/>
  <c r="E3505" i="5"/>
  <c r="D3505" i="5"/>
  <c r="B3505" i="5"/>
  <c r="N3504" i="5"/>
  <c r="H3504" i="5"/>
  <c r="G3504" i="5"/>
  <c r="F3504" i="5"/>
  <c r="E3504" i="5"/>
  <c r="D3504" i="5"/>
  <c r="B3504" i="5"/>
  <c r="N3503" i="5"/>
  <c r="H3503" i="5"/>
  <c r="G3503" i="5"/>
  <c r="F3503" i="5"/>
  <c r="E3503" i="5"/>
  <c r="D3503" i="5"/>
  <c r="B3503" i="5"/>
  <c r="N3502" i="5"/>
  <c r="H3502" i="5"/>
  <c r="G3502" i="5"/>
  <c r="F3502" i="5"/>
  <c r="E3502" i="5"/>
  <c r="D3502" i="5"/>
  <c r="B3502" i="5"/>
  <c r="N3501" i="5"/>
  <c r="H3501" i="5"/>
  <c r="G3501" i="5"/>
  <c r="F3501" i="5"/>
  <c r="E3501" i="5"/>
  <c r="D3501" i="5"/>
  <c r="B3501" i="5"/>
  <c r="N3500" i="5"/>
  <c r="H3500" i="5"/>
  <c r="G3500" i="5"/>
  <c r="F3500" i="5"/>
  <c r="E3500" i="5"/>
  <c r="D3500" i="5"/>
  <c r="B3500" i="5"/>
  <c r="N3499" i="5"/>
  <c r="H3499" i="5"/>
  <c r="G3499" i="5"/>
  <c r="F3499" i="5"/>
  <c r="E3499" i="5"/>
  <c r="D3499" i="5"/>
  <c r="B3499" i="5"/>
  <c r="N3498" i="5"/>
  <c r="H3498" i="5"/>
  <c r="G3498" i="5"/>
  <c r="F3498" i="5"/>
  <c r="E3498" i="5"/>
  <c r="D3498" i="5"/>
  <c r="B3498" i="5"/>
  <c r="N3497" i="5"/>
  <c r="H3497" i="5"/>
  <c r="G3497" i="5"/>
  <c r="F3497" i="5"/>
  <c r="E3497" i="5"/>
  <c r="D3497" i="5"/>
  <c r="B3497" i="5"/>
  <c r="N3496" i="5"/>
  <c r="H3496" i="5"/>
  <c r="G3496" i="5"/>
  <c r="F3496" i="5"/>
  <c r="E3496" i="5"/>
  <c r="D3496" i="5"/>
  <c r="B3496" i="5"/>
  <c r="N3495" i="5"/>
  <c r="H3495" i="5"/>
  <c r="G3495" i="5"/>
  <c r="F3495" i="5"/>
  <c r="E3495" i="5"/>
  <c r="D3495" i="5"/>
  <c r="B3495" i="5"/>
  <c r="N3494" i="5"/>
  <c r="H3494" i="5"/>
  <c r="G3494" i="5"/>
  <c r="F3494" i="5"/>
  <c r="E3494" i="5"/>
  <c r="D3494" i="5"/>
  <c r="B3494" i="5"/>
  <c r="N3493" i="5"/>
  <c r="H3493" i="5"/>
  <c r="G3493" i="5"/>
  <c r="F3493" i="5"/>
  <c r="E3493" i="5"/>
  <c r="D3493" i="5"/>
  <c r="B3493" i="5"/>
  <c r="N3492" i="5"/>
  <c r="H3492" i="5"/>
  <c r="G3492" i="5"/>
  <c r="F3492" i="5"/>
  <c r="E3492" i="5"/>
  <c r="D3492" i="5"/>
  <c r="B3492" i="5"/>
  <c r="N3491" i="5"/>
  <c r="H3491" i="5"/>
  <c r="G3491" i="5"/>
  <c r="F3491" i="5"/>
  <c r="E3491" i="5"/>
  <c r="D3491" i="5"/>
  <c r="B3491" i="5"/>
  <c r="N3490" i="5"/>
  <c r="H3490" i="5"/>
  <c r="G3490" i="5"/>
  <c r="F3490" i="5"/>
  <c r="E3490" i="5"/>
  <c r="D3490" i="5"/>
  <c r="B3490" i="5"/>
  <c r="N3489" i="5"/>
  <c r="H3489" i="5"/>
  <c r="G3489" i="5"/>
  <c r="F3489" i="5"/>
  <c r="E3489" i="5"/>
  <c r="D3489" i="5"/>
  <c r="B3489" i="5"/>
  <c r="N3488" i="5"/>
  <c r="H3488" i="5"/>
  <c r="G3488" i="5"/>
  <c r="F3488" i="5"/>
  <c r="E3488" i="5"/>
  <c r="D3488" i="5"/>
  <c r="B3488" i="5"/>
  <c r="N3487" i="5"/>
  <c r="H3487" i="5"/>
  <c r="G3487" i="5"/>
  <c r="F3487" i="5"/>
  <c r="E3487" i="5"/>
  <c r="D3487" i="5"/>
  <c r="B3487" i="5"/>
  <c r="N3486" i="5"/>
  <c r="H3486" i="5"/>
  <c r="G3486" i="5"/>
  <c r="F3486" i="5"/>
  <c r="E3486" i="5"/>
  <c r="D3486" i="5"/>
  <c r="B3486" i="5"/>
  <c r="N3485" i="5"/>
  <c r="H3485" i="5"/>
  <c r="G3485" i="5"/>
  <c r="F3485" i="5"/>
  <c r="E3485" i="5"/>
  <c r="D3485" i="5"/>
  <c r="B3485" i="5"/>
  <c r="N3484" i="5"/>
  <c r="H3484" i="5"/>
  <c r="G3484" i="5"/>
  <c r="F3484" i="5"/>
  <c r="E3484" i="5"/>
  <c r="D3484" i="5"/>
  <c r="B3484" i="5"/>
  <c r="N3483" i="5"/>
  <c r="H3483" i="5"/>
  <c r="G3483" i="5"/>
  <c r="F3483" i="5"/>
  <c r="E3483" i="5"/>
  <c r="D3483" i="5"/>
  <c r="B3483" i="5"/>
  <c r="N3482" i="5"/>
  <c r="H3482" i="5"/>
  <c r="G3482" i="5"/>
  <c r="F3482" i="5"/>
  <c r="E3482" i="5"/>
  <c r="D3482" i="5"/>
  <c r="B3482" i="5"/>
  <c r="N3481" i="5"/>
  <c r="H3481" i="5"/>
  <c r="G3481" i="5"/>
  <c r="F3481" i="5"/>
  <c r="E3481" i="5"/>
  <c r="D3481" i="5"/>
  <c r="B3481" i="5"/>
  <c r="N3480" i="5"/>
  <c r="H3480" i="5"/>
  <c r="G3480" i="5"/>
  <c r="F3480" i="5"/>
  <c r="E3480" i="5"/>
  <c r="D3480" i="5"/>
  <c r="B3480" i="5"/>
  <c r="N3479" i="5"/>
  <c r="H3479" i="5"/>
  <c r="G3479" i="5"/>
  <c r="F3479" i="5"/>
  <c r="E3479" i="5"/>
  <c r="D3479" i="5"/>
  <c r="B3479" i="5"/>
  <c r="N3478" i="5"/>
  <c r="H3478" i="5"/>
  <c r="G3478" i="5"/>
  <c r="F3478" i="5"/>
  <c r="E3478" i="5"/>
  <c r="D3478" i="5"/>
  <c r="B3478" i="5"/>
  <c r="N3477" i="5"/>
  <c r="H3477" i="5"/>
  <c r="G3477" i="5"/>
  <c r="F3477" i="5"/>
  <c r="E3477" i="5"/>
  <c r="D3477" i="5"/>
  <c r="B3477" i="5"/>
  <c r="N3476" i="5"/>
  <c r="H3476" i="5"/>
  <c r="G3476" i="5"/>
  <c r="F3476" i="5"/>
  <c r="E3476" i="5"/>
  <c r="D3476" i="5"/>
  <c r="B3476" i="5"/>
  <c r="N3475" i="5"/>
  <c r="H3475" i="5"/>
  <c r="G3475" i="5"/>
  <c r="F3475" i="5"/>
  <c r="E3475" i="5"/>
  <c r="D3475" i="5"/>
  <c r="B3475" i="5"/>
  <c r="N3474" i="5"/>
  <c r="H3474" i="5"/>
  <c r="G3474" i="5"/>
  <c r="F3474" i="5"/>
  <c r="E3474" i="5"/>
  <c r="D3474" i="5"/>
  <c r="B3474" i="5"/>
  <c r="N3473" i="5"/>
  <c r="H3473" i="5"/>
  <c r="G3473" i="5"/>
  <c r="F3473" i="5"/>
  <c r="E3473" i="5"/>
  <c r="D3473" i="5"/>
  <c r="B3473" i="5"/>
  <c r="N3472" i="5"/>
  <c r="H3472" i="5"/>
  <c r="G3472" i="5"/>
  <c r="F3472" i="5"/>
  <c r="E3472" i="5"/>
  <c r="D3472" i="5"/>
  <c r="B3472" i="5"/>
  <c r="N3471" i="5"/>
  <c r="H3471" i="5"/>
  <c r="G3471" i="5"/>
  <c r="F3471" i="5"/>
  <c r="E3471" i="5"/>
  <c r="D3471" i="5"/>
  <c r="B3471" i="5"/>
  <c r="N3470" i="5"/>
  <c r="H3470" i="5"/>
  <c r="G3470" i="5"/>
  <c r="F3470" i="5"/>
  <c r="E3470" i="5"/>
  <c r="D3470" i="5"/>
  <c r="B3470" i="5"/>
  <c r="N3469" i="5"/>
  <c r="H3469" i="5"/>
  <c r="G3469" i="5"/>
  <c r="F3469" i="5"/>
  <c r="E3469" i="5"/>
  <c r="D3469" i="5"/>
  <c r="B3469" i="5"/>
  <c r="N3468" i="5"/>
  <c r="H3468" i="5"/>
  <c r="G3468" i="5"/>
  <c r="F3468" i="5"/>
  <c r="E3468" i="5"/>
  <c r="D3468" i="5"/>
  <c r="B3468" i="5"/>
  <c r="N3467" i="5"/>
  <c r="H3467" i="5"/>
  <c r="G3467" i="5"/>
  <c r="F3467" i="5"/>
  <c r="E3467" i="5"/>
  <c r="D3467" i="5"/>
  <c r="B3467" i="5"/>
  <c r="N3466" i="5"/>
  <c r="H3466" i="5"/>
  <c r="G3466" i="5"/>
  <c r="F3466" i="5"/>
  <c r="E3466" i="5"/>
  <c r="D3466" i="5"/>
  <c r="B3466" i="5"/>
  <c r="N3465" i="5"/>
  <c r="H3465" i="5"/>
  <c r="G3465" i="5"/>
  <c r="F3465" i="5"/>
  <c r="E3465" i="5"/>
  <c r="D3465" i="5"/>
  <c r="B3465" i="5"/>
  <c r="N3464" i="5"/>
  <c r="H3464" i="5"/>
  <c r="G3464" i="5"/>
  <c r="F3464" i="5"/>
  <c r="E3464" i="5"/>
  <c r="D3464" i="5"/>
  <c r="B3464" i="5"/>
  <c r="N3463" i="5"/>
  <c r="H3463" i="5"/>
  <c r="G3463" i="5"/>
  <c r="F3463" i="5"/>
  <c r="E3463" i="5"/>
  <c r="D3463" i="5"/>
  <c r="B3463" i="5"/>
  <c r="N3462" i="5"/>
  <c r="H3462" i="5"/>
  <c r="G3462" i="5"/>
  <c r="F3462" i="5"/>
  <c r="E3462" i="5"/>
  <c r="D3462" i="5"/>
  <c r="B3462" i="5"/>
  <c r="N3461" i="5"/>
  <c r="H3461" i="5"/>
  <c r="G3461" i="5"/>
  <c r="F3461" i="5"/>
  <c r="E3461" i="5"/>
  <c r="D3461" i="5"/>
  <c r="B3461" i="5"/>
  <c r="N3460" i="5"/>
  <c r="H3460" i="5"/>
  <c r="G3460" i="5"/>
  <c r="F3460" i="5"/>
  <c r="E3460" i="5"/>
  <c r="D3460" i="5"/>
  <c r="B3460" i="5"/>
  <c r="N3459" i="5"/>
  <c r="H3459" i="5"/>
  <c r="G3459" i="5"/>
  <c r="F3459" i="5"/>
  <c r="E3459" i="5"/>
  <c r="D3459" i="5"/>
  <c r="B3459" i="5"/>
  <c r="N3458" i="5"/>
  <c r="H3458" i="5"/>
  <c r="G3458" i="5"/>
  <c r="F3458" i="5"/>
  <c r="E3458" i="5"/>
  <c r="D3458" i="5"/>
  <c r="B3458" i="5"/>
  <c r="N3457" i="5"/>
  <c r="H3457" i="5"/>
  <c r="G3457" i="5"/>
  <c r="F3457" i="5"/>
  <c r="E3457" i="5"/>
  <c r="D3457" i="5"/>
  <c r="B3457" i="5"/>
  <c r="N3456" i="5"/>
  <c r="H3456" i="5"/>
  <c r="G3456" i="5"/>
  <c r="F3456" i="5"/>
  <c r="E3456" i="5"/>
  <c r="D3456" i="5"/>
  <c r="B3456" i="5"/>
  <c r="N3455" i="5"/>
  <c r="H3455" i="5"/>
  <c r="G3455" i="5"/>
  <c r="F3455" i="5"/>
  <c r="E3455" i="5"/>
  <c r="D3455" i="5"/>
  <c r="B3455" i="5"/>
  <c r="N3454" i="5"/>
  <c r="H3454" i="5"/>
  <c r="G3454" i="5"/>
  <c r="F3454" i="5"/>
  <c r="E3454" i="5"/>
  <c r="D3454" i="5"/>
  <c r="B3454" i="5"/>
  <c r="N3453" i="5"/>
  <c r="H3453" i="5"/>
  <c r="G3453" i="5"/>
  <c r="F3453" i="5"/>
  <c r="E3453" i="5"/>
  <c r="D3453" i="5"/>
  <c r="B3453" i="5"/>
  <c r="N3452" i="5"/>
  <c r="H3452" i="5"/>
  <c r="G3452" i="5"/>
  <c r="F3452" i="5"/>
  <c r="E3452" i="5"/>
  <c r="D3452" i="5"/>
  <c r="B3452" i="5"/>
  <c r="N3451" i="5"/>
  <c r="H3451" i="5"/>
  <c r="G3451" i="5"/>
  <c r="F3451" i="5"/>
  <c r="E3451" i="5"/>
  <c r="D3451" i="5"/>
  <c r="B3451" i="5"/>
  <c r="N3450" i="5"/>
  <c r="H3450" i="5"/>
  <c r="G3450" i="5"/>
  <c r="F3450" i="5"/>
  <c r="E3450" i="5"/>
  <c r="D3450" i="5"/>
  <c r="B3450" i="5"/>
  <c r="N3449" i="5"/>
  <c r="H3449" i="5"/>
  <c r="G3449" i="5"/>
  <c r="F3449" i="5"/>
  <c r="E3449" i="5"/>
  <c r="D3449" i="5"/>
  <c r="B3449" i="5"/>
  <c r="N3448" i="5"/>
  <c r="H3448" i="5"/>
  <c r="G3448" i="5"/>
  <c r="F3448" i="5"/>
  <c r="E3448" i="5"/>
  <c r="D3448" i="5"/>
  <c r="B3448" i="5"/>
  <c r="N3447" i="5"/>
  <c r="H3447" i="5"/>
  <c r="G3447" i="5"/>
  <c r="F3447" i="5"/>
  <c r="E3447" i="5"/>
  <c r="D3447" i="5"/>
  <c r="B3447" i="5"/>
  <c r="N3446" i="5"/>
  <c r="H3446" i="5"/>
  <c r="G3446" i="5"/>
  <c r="F3446" i="5"/>
  <c r="E3446" i="5"/>
  <c r="D3446" i="5"/>
  <c r="B3446" i="5"/>
  <c r="N3445" i="5"/>
  <c r="H3445" i="5"/>
  <c r="G3445" i="5"/>
  <c r="F3445" i="5"/>
  <c r="E3445" i="5"/>
  <c r="D3445" i="5"/>
  <c r="B3445" i="5"/>
  <c r="N3444" i="5"/>
  <c r="H3444" i="5"/>
  <c r="G3444" i="5"/>
  <c r="F3444" i="5"/>
  <c r="E3444" i="5"/>
  <c r="D3444" i="5"/>
  <c r="B3444" i="5"/>
  <c r="N3443" i="5"/>
  <c r="H3443" i="5"/>
  <c r="G3443" i="5"/>
  <c r="F3443" i="5"/>
  <c r="E3443" i="5"/>
  <c r="D3443" i="5"/>
  <c r="B3443" i="5"/>
  <c r="N3442" i="5"/>
  <c r="H3442" i="5"/>
  <c r="G3442" i="5"/>
  <c r="F3442" i="5"/>
  <c r="E3442" i="5"/>
  <c r="D3442" i="5"/>
  <c r="B3442" i="5"/>
  <c r="N3441" i="5"/>
  <c r="H3441" i="5"/>
  <c r="G3441" i="5"/>
  <c r="F3441" i="5"/>
  <c r="E3441" i="5"/>
  <c r="D3441" i="5"/>
  <c r="B3441" i="5"/>
  <c r="N3440" i="5"/>
  <c r="H3440" i="5"/>
  <c r="G3440" i="5"/>
  <c r="F3440" i="5"/>
  <c r="E3440" i="5"/>
  <c r="D3440" i="5"/>
  <c r="B3440" i="5"/>
  <c r="N3439" i="5"/>
  <c r="H3439" i="5"/>
  <c r="G3439" i="5"/>
  <c r="F3439" i="5"/>
  <c r="E3439" i="5"/>
  <c r="D3439" i="5"/>
  <c r="B3439" i="5"/>
  <c r="N3438" i="5"/>
  <c r="H3438" i="5"/>
  <c r="G3438" i="5"/>
  <c r="F3438" i="5"/>
  <c r="E3438" i="5"/>
  <c r="D3438" i="5"/>
  <c r="B3438" i="5"/>
  <c r="N3437" i="5"/>
  <c r="H3437" i="5"/>
  <c r="G3437" i="5"/>
  <c r="F3437" i="5"/>
  <c r="E3437" i="5"/>
  <c r="D3437" i="5"/>
  <c r="B3437" i="5"/>
  <c r="N3436" i="5"/>
  <c r="H3436" i="5"/>
  <c r="G3436" i="5"/>
  <c r="F3436" i="5"/>
  <c r="E3436" i="5"/>
  <c r="D3436" i="5"/>
  <c r="B3436" i="5"/>
  <c r="N3435" i="5"/>
  <c r="H3435" i="5"/>
  <c r="G3435" i="5"/>
  <c r="F3435" i="5"/>
  <c r="E3435" i="5"/>
  <c r="D3435" i="5"/>
  <c r="B3435" i="5"/>
  <c r="N3434" i="5"/>
  <c r="H3434" i="5"/>
  <c r="G3434" i="5"/>
  <c r="F3434" i="5"/>
  <c r="E3434" i="5"/>
  <c r="D3434" i="5"/>
  <c r="B3434" i="5"/>
  <c r="N3433" i="5"/>
  <c r="H3433" i="5"/>
  <c r="G3433" i="5"/>
  <c r="F3433" i="5"/>
  <c r="E3433" i="5"/>
  <c r="D3433" i="5"/>
  <c r="B3433" i="5"/>
  <c r="N3432" i="5"/>
  <c r="H3432" i="5"/>
  <c r="G3432" i="5"/>
  <c r="F3432" i="5"/>
  <c r="E3432" i="5"/>
  <c r="D3432" i="5"/>
  <c r="B3432" i="5"/>
  <c r="N3431" i="5"/>
  <c r="H3431" i="5"/>
  <c r="G3431" i="5"/>
  <c r="F3431" i="5"/>
  <c r="E3431" i="5"/>
  <c r="D3431" i="5"/>
  <c r="B3431" i="5"/>
  <c r="N3430" i="5"/>
  <c r="H3430" i="5"/>
  <c r="G3430" i="5"/>
  <c r="F3430" i="5"/>
  <c r="E3430" i="5"/>
  <c r="D3430" i="5"/>
  <c r="B3430" i="5"/>
  <c r="N3429" i="5"/>
  <c r="H3429" i="5"/>
  <c r="G3429" i="5"/>
  <c r="F3429" i="5"/>
  <c r="E3429" i="5"/>
  <c r="D3429" i="5"/>
  <c r="B3429" i="5"/>
  <c r="N3428" i="5"/>
  <c r="H3428" i="5"/>
  <c r="G3428" i="5"/>
  <c r="F3428" i="5"/>
  <c r="E3428" i="5"/>
  <c r="D3428" i="5"/>
  <c r="B3428" i="5"/>
  <c r="N3427" i="5"/>
  <c r="H3427" i="5"/>
  <c r="G3427" i="5"/>
  <c r="F3427" i="5"/>
  <c r="E3427" i="5"/>
  <c r="D3427" i="5"/>
  <c r="B3427" i="5"/>
  <c r="N3426" i="5"/>
  <c r="H3426" i="5"/>
  <c r="G3426" i="5"/>
  <c r="F3426" i="5"/>
  <c r="E3426" i="5"/>
  <c r="D3426" i="5"/>
  <c r="B3426" i="5"/>
  <c r="N3425" i="5"/>
  <c r="H3425" i="5"/>
  <c r="G3425" i="5"/>
  <c r="F3425" i="5"/>
  <c r="E3425" i="5"/>
  <c r="D3425" i="5"/>
  <c r="B3425" i="5"/>
  <c r="N3424" i="5"/>
  <c r="H3424" i="5"/>
  <c r="G3424" i="5"/>
  <c r="F3424" i="5"/>
  <c r="E3424" i="5"/>
  <c r="D3424" i="5"/>
  <c r="B3424" i="5"/>
  <c r="N3423" i="5"/>
  <c r="H3423" i="5"/>
  <c r="G3423" i="5"/>
  <c r="F3423" i="5"/>
  <c r="E3423" i="5"/>
  <c r="D3423" i="5"/>
  <c r="B3423" i="5"/>
  <c r="N3422" i="5"/>
  <c r="H3422" i="5"/>
  <c r="G3422" i="5"/>
  <c r="F3422" i="5"/>
  <c r="E3422" i="5"/>
  <c r="D3422" i="5"/>
  <c r="B3422" i="5"/>
  <c r="N3421" i="5"/>
  <c r="H3421" i="5"/>
  <c r="G3421" i="5"/>
  <c r="F3421" i="5"/>
  <c r="E3421" i="5"/>
  <c r="D3421" i="5"/>
  <c r="B3421" i="5"/>
  <c r="N3420" i="5"/>
  <c r="H3420" i="5"/>
  <c r="G3420" i="5"/>
  <c r="F3420" i="5"/>
  <c r="E3420" i="5"/>
  <c r="D3420" i="5"/>
  <c r="B3420" i="5"/>
  <c r="N3419" i="5"/>
  <c r="H3419" i="5"/>
  <c r="G3419" i="5"/>
  <c r="F3419" i="5"/>
  <c r="E3419" i="5"/>
  <c r="D3419" i="5"/>
  <c r="B3419" i="5"/>
  <c r="N3418" i="5"/>
  <c r="H3418" i="5"/>
  <c r="G3418" i="5"/>
  <c r="F3418" i="5"/>
  <c r="E3418" i="5"/>
  <c r="D3418" i="5"/>
  <c r="B3418" i="5"/>
  <c r="N3417" i="5"/>
  <c r="H3417" i="5"/>
  <c r="G3417" i="5"/>
  <c r="F3417" i="5"/>
  <c r="E3417" i="5"/>
  <c r="D3417" i="5"/>
  <c r="B3417" i="5"/>
  <c r="N3416" i="5"/>
  <c r="H3416" i="5"/>
  <c r="G3416" i="5"/>
  <c r="F3416" i="5"/>
  <c r="E3416" i="5"/>
  <c r="D3416" i="5"/>
  <c r="B3416" i="5"/>
  <c r="N3415" i="5"/>
  <c r="H3415" i="5"/>
  <c r="G3415" i="5"/>
  <c r="F3415" i="5"/>
  <c r="E3415" i="5"/>
  <c r="D3415" i="5"/>
  <c r="B3415" i="5"/>
  <c r="N3414" i="5"/>
  <c r="H3414" i="5"/>
  <c r="G3414" i="5"/>
  <c r="F3414" i="5"/>
  <c r="E3414" i="5"/>
  <c r="D3414" i="5"/>
  <c r="B3414" i="5"/>
  <c r="N3413" i="5"/>
  <c r="H3413" i="5"/>
  <c r="G3413" i="5"/>
  <c r="F3413" i="5"/>
  <c r="E3413" i="5"/>
  <c r="D3413" i="5"/>
  <c r="B3413" i="5"/>
  <c r="N3412" i="5"/>
  <c r="H3412" i="5"/>
  <c r="G3412" i="5"/>
  <c r="F3412" i="5"/>
  <c r="E3412" i="5"/>
  <c r="D3412" i="5"/>
  <c r="B3412" i="5"/>
  <c r="N3411" i="5"/>
  <c r="H3411" i="5"/>
  <c r="G3411" i="5"/>
  <c r="F3411" i="5"/>
  <c r="E3411" i="5"/>
  <c r="D3411" i="5"/>
  <c r="B3411" i="5"/>
  <c r="N3410" i="5"/>
  <c r="H3410" i="5"/>
  <c r="G3410" i="5"/>
  <c r="F3410" i="5"/>
  <c r="E3410" i="5"/>
  <c r="D3410" i="5"/>
  <c r="B3410" i="5"/>
  <c r="N3409" i="5"/>
  <c r="H3409" i="5"/>
  <c r="G3409" i="5"/>
  <c r="F3409" i="5"/>
  <c r="E3409" i="5"/>
  <c r="D3409" i="5"/>
  <c r="B3409" i="5"/>
  <c r="N3408" i="5"/>
  <c r="H3408" i="5"/>
  <c r="G3408" i="5"/>
  <c r="F3408" i="5"/>
  <c r="E3408" i="5"/>
  <c r="D3408" i="5"/>
  <c r="B3408" i="5"/>
  <c r="N3407" i="5"/>
  <c r="H3407" i="5"/>
  <c r="G3407" i="5"/>
  <c r="F3407" i="5"/>
  <c r="E3407" i="5"/>
  <c r="D3407" i="5"/>
  <c r="B3407" i="5"/>
  <c r="N3406" i="5"/>
  <c r="H3406" i="5"/>
  <c r="G3406" i="5"/>
  <c r="F3406" i="5"/>
  <c r="E3406" i="5"/>
  <c r="D3406" i="5"/>
  <c r="B3406" i="5"/>
  <c r="N3405" i="5"/>
  <c r="H3405" i="5"/>
  <c r="G3405" i="5"/>
  <c r="F3405" i="5"/>
  <c r="E3405" i="5"/>
  <c r="D3405" i="5"/>
  <c r="B3405" i="5"/>
  <c r="N3404" i="5"/>
  <c r="H3404" i="5"/>
  <c r="G3404" i="5"/>
  <c r="F3404" i="5"/>
  <c r="E3404" i="5"/>
  <c r="D3404" i="5"/>
  <c r="B3404" i="5"/>
  <c r="N3403" i="5"/>
  <c r="H3403" i="5"/>
  <c r="G3403" i="5"/>
  <c r="F3403" i="5"/>
  <c r="E3403" i="5"/>
  <c r="D3403" i="5"/>
  <c r="B3403" i="5"/>
  <c r="N3402" i="5"/>
  <c r="H3402" i="5"/>
  <c r="G3402" i="5"/>
  <c r="F3402" i="5"/>
  <c r="E3402" i="5"/>
  <c r="D3402" i="5"/>
  <c r="B3402" i="5"/>
  <c r="N3401" i="5"/>
  <c r="H3401" i="5"/>
  <c r="G3401" i="5"/>
  <c r="F3401" i="5"/>
  <c r="E3401" i="5"/>
  <c r="D3401" i="5"/>
  <c r="B3401" i="5"/>
  <c r="N3400" i="5"/>
  <c r="H3400" i="5"/>
  <c r="G3400" i="5"/>
  <c r="F3400" i="5"/>
  <c r="E3400" i="5"/>
  <c r="D3400" i="5"/>
  <c r="B3400" i="5"/>
  <c r="N3399" i="5"/>
  <c r="H3399" i="5"/>
  <c r="G3399" i="5"/>
  <c r="F3399" i="5"/>
  <c r="E3399" i="5"/>
  <c r="D3399" i="5"/>
  <c r="B3399" i="5"/>
  <c r="N3398" i="5"/>
  <c r="H3398" i="5"/>
  <c r="G3398" i="5"/>
  <c r="F3398" i="5"/>
  <c r="E3398" i="5"/>
  <c r="D3398" i="5"/>
  <c r="B3398" i="5"/>
  <c r="N3397" i="5"/>
  <c r="H3397" i="5"/>
  <c r="G3397" i="5"/>
  <c r="F3397" i="5"/>
  <c r="E3397" i="5"/>
  <c r="D3397" i="5"/>
  <c r="B3397" i="5"/>
  <c r="N3396" i="5"/>
  <c r="H3396" i="5"/>
  <c r="G3396" i="5"/>
  <c r="F3396" i="5"/>
  <c r="E3396" i="5"/>
  <c r="D3396" i="5"/>
  <c r="B3396" i="5"/>
  <c r="N3395" i="5"/>
  <c r="H3395" i="5"/>
  <c r="G3395" i="5"/>
  <c r="F3395" i="5"/>
  <c r="E3395" i="5"/>
  <c r="D3395" i="5"/>
  <c r="B3395" i="5"/>
  <c r="N3394" i="5"/>
  <c r="H3394" i="5"/>
  <c r="G3394" i="5"/>
  <c r="F3394" i="5"/>
  <c r="E3394" i="5"/>
  <c r="D3394" i="5"/>
  <c r="B3394" i="5"/>
  <c r="N3393" i="5"/>
  <c r="H3393" i="5"/>
  <c r="G3393" i="5"/>
  <c r="F3393" i="5"/>
  <c r="E3393" i="5"/>
  <c r="D3393" i="5"/>
  <c r="B3393" i="5"/>
  <c r="N3392" i="5"/>
  <c r="H3392" i="5"/>
  <c r="G3392" i="5"/>
  <c r="F3392" i="5"/>
  <c r="E3392" i="5"/>
  <c r="D3392" i="5"/>
  <c r="B3392" i="5"/>
  <c r="N3391" i="5"/>
  <c r="H3391" i="5"/>
  <c r="G3391" i="5"/>
  <c r="F3391" i="5"/>
  <c r="E3391" i="5"/>
  <c r="D3391" i="5"/>
  <c r="B3391" i="5"/>
  <c r="N3390" i="5"/>
  <c r="H3390" i="5"/>
  <c r="G3390" i="5"/>
  <c r="F3390" i="5"/>
  <c r="E3390" i="5"/>
  <c r="D3390" i="5"/>
  <c r="B3390" i="5"/>
  <c r="N3389" i="5"/>
  <c r="H3389" i="5"/>
  <c r="G3389" i="5"/>
  <c r="F3389" i="5"/>
  <c r="E3389" i="5"/>
  <c r="D3389" i="5"/>
  <c r="B3389" i="5"/>
  <c r="N3388" i="5"/>
  <c r="H3388" i="5"/>
  <c r="G3388" i="5"/>
  <c r="F3388" i="5"/>
  <c r="E3388" i="5"/>
  <c r="D3388" i="5"/>
  <c r="B3388" i="5"/>
  <c r="N3387" i="5"/>
  <c r="H3387" i="5"/>
  <c r="G3387" i="5"/>
  <c r="F3387" i="5"/>
  <c r="E3387" i="5"/>
  <c r="D3387" i="5"/>
  <c r="B3387" i="5"/>
  <c r="N3386" i="5"/>
  <c r="H3386" i="5"/>
  <c r="G3386" i="5"/>
  <c r="E3386" i="5"/>
  <c r="B3386" i="5"/>
  <c r="N3385" i="5"/>
  <c r="H3385" i="5"/>
  <c r="G3385" i="5"/>
  <c r="E3385" i="5"/>
  <c r="B3385" i="5"/>
  <c r="N3384" i="5"/>
  <c r="H3384" i="5"/>
  <c r="G3384" i="5"/>
  <c r="E3384" i="5"/>
  <c r="B3384" i="5"/>
  <c r="N3383" i="5"/>
  <c r="H3383" i="5"/>
  <c r="G3383" i="5"/>
  <c r="E3383" i="5"/>
  <c r="B3383" i="5"/>
  <c r="N3382" i="5"/>
  <c r="H3382" i="5"/>
  <c r="G3382" i="5"/>
  <c r="E3382" i="5"/>
  <c r="B3382" i="5"/>
  <c r="N3381" i="5"/>
  <c r="H3381" i="5"/>
  <c r="G3381" i="5"/>
  <c r="E3381" i="5"/>
  <c r="B3381" i="5"/>
  <c r="N3380" i="5"/>
  <c r="H3380" i="5"/>
  <c r="G3380" i="5"/>
  <c r="E3380" i="5"/>
  <c r="B3380" i="5"/>
  <c r="N3379" i="5"/>
  <c r="H3379" i="5"/>
  <c r="G3379" i="5"/>
  <c r="E3379" i="5"/>
  <c r="B3379" i="5"/>
  <c r="N3378" i="5"/>
  <c r="H3378" i="5"/>
  <c r="G3378" i="5"/>
  <c r="E3378" i="5"/>
  <c r="B3378" i="5"/>
  <c r="N3377" i="5"/>
  <c r="H3377" i="5"/>
  <c r="G3377" i="5"/>
  <c r="E3377" i="5"/>
  <c r="B3377" i="5"/>
  <c r="N3376" i="5"/>
  <c r="H3376" i="5"/>
  <c r="G3376" i="5"/>
  <c r="E3376" i="5"/>
  <c r="B3376" i="5"/>
  <c r="N3375" i="5"/>
  <c r="H3375" i="5"/>
  <c r="G3375" i="5"/>
  <c r="E3375" i="5"/>
  <c r="B3375" i="5"/>
  <c r="N3374" i="5"/>
  <c r="H3374" i="5"/>
  <c r="G3374" i="5"/>
  <c r="E3374" i="5"/>
  <c r="B3374" i="5"/>
  <c r="N3373" i="5"/>
  <c r="H3373" i="5"/>
  <c r="G3373" i="5"/>
  <c r="E3373" i="5"/>
  <c r="B3373" i="5"/>
  <c r="N3372" i="5"/>
  <c r="H3372" i="5"/>
  <c r="G3372" i="5"/>
  <c r="E3372" i="5"/>
  <c r="B3372" i="5"/>
  <c r="N3371" i="5"/>
  <c r="H3371" i="5"/>
  <c r="G3371" i="5"/>
  <c r="E3371" i="5"/>
  <c r="B3371" i="5"/>
  <c r="N3370" i="5"/>
  <c r="H3370" i="5"/>
  <c r="G3370" i="5"/>
  <c r="E3370" i="5"/>
  <c r="B3370" i="5"/>
  <c r="N3369" i="5"/>
  <c r="H3369" i="5"/>
  <c r="G3369" i="5"/>
  <c r="E3369" i="5"/>
  <c r="B3369" i="5"/>
  <c r="N3368" i="5"/>
  <c r="H3368" i="5"/>
  <c r="G3368" i="5"/>
  <c r="E3368" i="5"/>
  <c r="B3368" i="5"/>
  <c r="N3367" i="5"/>
  <c r="H3367" i="5"/>
  <c r="G3367" i="5"/>
  <c r="E3367" i="5"/>
  <c r="B3367" i="5"/>
  <c r="N3366" i="5"/>
  <c r="H3366" i="5"/>
  <c r="G3366" i="5"/>
  <c r="E3366" i="5"/>
  <c r="B3366" i="5"/>
  <c r="N3365" i="5"/>
  <c r="H3365" i="5"/>
  <c r="G3365" i="5"/>
  <c r="E3365" i="5"/>
  <c r="B3365" i="5"/>
  <c r="N3364" i="5"/>
  <c r="H3364" i="5"/>
  <c r="G3364" i="5"/>
  <c r="E3364" i="5"/>
  <c r="B3364" i="5"/>
  <c r="N3363" i="5"/>
  <c r="H3363" i="5"/>
  <c r="G3363" i="5"/>
  <c r="E3363" i="5"/>
  <c r="B3363" i="5"/>
  <c r="N3362" i="5"/>
  <c r="H3362" i="5"/>
  <c r="G3362" i="5"/>
  <c r="E3362" i="5"/>
  <c r="B3362" i="5"/>
  <c r="N3361" i="5"/>
  <c r="H3361" i="5"/>
  <c r="G3361" i="5"/>
  <c r="E3361" i="5"/>
  <c r="B3361" i="5"/>
  <c r="N3360" i="5"/>
  <c r="H3360" i="5"/>
  <c r="G3360" i="5"/>
  <c r="E3360" i="5"/>
  <c r="B3360" i="5"/>
  <c r="N3359" i="5"/>
  <c r="H3359" i="5"/>
  <c r="G3359" i="5"/>
  <c r="E3359" i="5"/>
  <c r="B3359" i="5"/>
  <c r="N3358" i="5"/>
  <c r="H3358" i="5"/>
  <c r="G3358" i="5"/>
  <c r="E3358" i="5"/>
  <c r="B3358" i="5"/>
  <c r="N3357" i="5"/>
  <c r="H3357" i="5"/>
  <c r="G3357" i="5"/>
  <c r="E3357" i="5"/>
  <c r="B3357" i="5"/>
  <c r="N3356" i="5"/>
  <c r="H3356" i="5"/>
  <c r="G3356" i="5"/>
  <c r="E3356" i="5"/>
  <c r="B3356" i="5"/>
  <c r="N3355" i="5"/>
  <c r="H3355" i="5"/>
  <c r="G3355" i="5"/>
  <c r="E3355" i="5"/>
  <c r="B3355" i="5"/>
  <c r="N3354" i="5"/>
  <c r="H3354" i="5"/>
  <c r="G3354" i="5"/>
  <c r="E3354" i="5"/>
  <c r="B3354" i="5"/>
  <c r="N3353" i="5"/>
  <c r="H3353" i="5"/>
  <c r="G3353" i="5"/>
  <c r="E3353" i="5"/>
  <c r="B3353" i="5"/>
  <c r="N3352" i="5"/>
  <c r="H3352" i="5"/>
  <c r="G3352" i="5"/>
  <c r="E3352" i="5"/>
  <c r="B3352" i="5"/>
  <c r="N3351" i="5"/>
  <c r="H3351" i="5"/>
  <c r="G3351" i="5"/>
  <c r="E3351" i="5"/>
  <c r="B3351" i="5"/>
  <c r="N3350" i="5"/>
  <c r="H3350" i="5"/>
  <c r="G3350" i="5"/>
  <c r="E3350" i="5"/>
  <c r="B3350" i="5"/>
  <c r="N3349" i="5"/>
  <c r="H3349" i="5"/>
  <c r="G3349" i="5"/>
  <c r="E3349" i="5"/>
  <c r="B3349" i="5"/>
  <c r="N3348" i="5"/>
  <c r="H3348" i="5"/>
  <c r="G3348" i="5"/>
  <c r="E3348" i="5"/>
  <c r="B3348" i="5"/>
  <c r="N3347" i="5"/>
  <c r="H3347" i="5"/>
  <c r="G3347" i="5"/>
  <c r="E3347" i="5"/>
  <c r="B3347" i="5"/>
  <c r="N3346" i="5"/>
  <c r="H3346" i="5"/>
  <c r="G3346" i="5"/>
  <c r="E3346" i="5"/>
  <c r="B3346" i="5"/>
  <c r="N3345" i="5"/>
  <c r="H3345" i="5"/>
  <c r="G3345" i="5"/>
  <c r="E3345" i="5"/>
  <c r="B3345" i="5"/>
  <c r="N3344" i="5"/>
  <c r="H3344" i="5"/>
  <c r="G3344" i="5"/>
  <c r="E3344" i="5"/>
  <c r="B3344" i="5"/>
  <c r="N3343" i="5"/>
  <c r="H3343" i="5"/>
  <c r="G3343" i="5"/>
  <c r="E3343" i="5"/>
  <c r="B3343" i="5"/>
  <c r="N3342" i="5"/>
  <c r="H3342" i="5"/>
  <c r="G3342" i="5"/>
  <c r="E3342" i="5"/>
  <c r="B3342" i="5"/>
  <c r="N3341" i="5"/>
  <c r="H3341" i="5"/>
  <c r="G3341" i="5"/>
  <c r="E3341" i="5"/>
  <c r="B3341" i="5"/>
  <c r="N3340" i="5"/>
  <c r="H3340" i="5"/>
  <c r="G3340" i="5"/>
  <c r="E3340" i="5"/>
  <c r="B3340" i="5"/>
  <c r="N3339" i="5"/>
  <c r="H3339" i="5"/>
  <c r="G3339" i="5"/>
  <c r="E3339" i="5"/>
  <c r="B3339" i="5"/>
  <c r="N3338" i="5"/>
  <c r="H3338" i="5"/>
  <c r="G3338" i="5"/>
  <c r="E3338" i="5"/>
  <c r="B3338" i="5"/>
  <c r="N3337" i="5"/>
  <c r="H3337" i="5"/>
  <c r="G3337" i="5"/>
  <c r="E3337" i="5"/>
  <c r="B3337" i="5"/>
  <c r="N3336" i="5"/>
  <c r="H3336" i="5"/>
  <c r="G3336" i="5"/>
  <c r="E3336" i="5"/>
  <c r="B3336" i="5"/>
  <c r="N3335" i="5"/>
  <c r="H3335" i="5"/>
  <c r="G3335" i="5"/>
  <c r="E3335" i="5"/>
  <c r="B3335" i="5"/>
  <c r="N3334" i="5"/>
  <c r="H3334" i="5"/>
  <c r="G3334" i="5"/>
  <c r="E3334" i="5"/>
  <c r="B3334" i="5"/>
  <c r="N3333" i="5"/>
  <c r="H3333" i="5"/>
  <c r="G3333" i="5"/>
  <c r="E3333" i="5"/>
  <c r="B3333" i="5"/>
  <c r="N3332" i="5"/>
  <c r="H3332" i="5"/>
  <c r="G3332" i="5"/>
  <c r="E3332" i="5"/>
  <c r="B3332" i="5"/>
  <c r="N3331" i="5"/>
  <c r="H3331" i="5"/>
  <c r="G3331" i="5"/>
  <c r="E3331" i="5"/>
  <c r="B3331" i="5"/>
  <c r="N3330" i="5"/>
  <c r="H3330" i="5"/>
  <c r="G3330" i="5"/>
  <c r="E3330" i="5"/>
  <c r="B3330" i="5"/>
  <c r="N3329" i="5"/>
  <c r="H3329" i="5"/>
  <c r="G3329" i="5"/>
  <c r="E3329" i="5"/>
  <c r="B3329" i="5"/>
  <c r="N3328" i="5"/>
  <c r="H3328" i="5"/>
  <c r="G3328" i="5"/>
  <c r="E3328" i="5"/>
  <c r="B3328" i="5"/>
  <c r="N3327" i="5"/>
  <c r="H3327" i="5"/>
  <c r="G3327" i="5"/>
  <c r="E3327" i="5"/>
  <c r="B3327" i="5"/>
  <c r="N3326" i="5"/>
  <c r="H3326" i="5"/>
  <c r="G3326" i="5"/>
  <c r="E3326" i="5"/>
  <c r="B3326" i="5"/>
  <c r="N3325" i="5"/>
  <c r="H3325" i="5"/>
  <c r="G3325" i="5"/>
  <c r="E3325" i="5"/>
  <c r="B3325" i="5"/>
  <c r="N3324" i="5"/>
  <c r="H3324" i="5"/>
  <c r="G3324" i="5"/>
  <c r="E3324" i="5"/>
  <c r="B3324" i="5"/>
  <c r="N3323" i="5"/>
  <c r="H3323" i="5"/>
  <c r="G3323" i="5"/>
  <c r="E3323" i="5"/>
  <c r="B3323" i="5"/>
  <c r="N3322" i="5"/>
  <c r="H3322" i="5"/>
  <c r="G3322" i="5"/>
  <c r="E3322" i="5"/>
  <c r="B3322" i="5"/>
  <c r="N3321" i="5"/>
  <c r="H3321" i="5"/>
  <c r="G3321" i="5"/>
  <c r="E3321" i="5"/>
  <c r="B3321" i="5"/>
  <c r="N3320" i="5"/>
  <c r="H3320" i="5"/>
  <c r="G3320" i="5"/>
  <c r="E3320" i="5"/>
  <c r="B3320" i="5"/>
  <c r="N3319" i="5"/>
  <c r="H3319" i="5"/>
  <c r="G3319" i="5"/>
  <c r="E3319" i="5"/>
  <c r="B3319" i="5"/>
  <c r="N3318" i="5"/>
  <c r="H3318" i="5"/>
  <c r="G3318" i="5"/>
  <c r="E3318" i="5"/>
  <c r="B3318" i="5"/>
  <c r="N3317" i="5"/>
  <c r="H3317" i="5"/>
  <c r="G3317" i="5"/>
  <c r="E3317" i="5"/>
  <c r="B3317" i="5"/>
  <c r="N3316" i="5"/>
  <c r="H3316" i="5"/>
  <c r="G3316" i="5"/>
  <c r="E3316" i="5"/>
  <c r="B3316" i="5"/>
  <c r="N3315" i="5"/>
  <c r="H3315" i="5"/>
  <c r="G3315" i="5"/>
  <c r="E3315" i="5"/>
  <c r="B3315" i="5"/>
  <c r="N3314" i="5"/>
  <c r="H3314" i="5"/>
  <c r="G3314" i="5"/>
  <c r="E3314" i="5"/>
  <c r="B3314" i="5"/>
  <c r="N3313" i="5"/>
  <c r="H3313" i="5"/>
  <c r="G3313" i="5"/>
  <c r="E3313" i="5"/>
  <c r="B3313" i="5"/>
  <c r="N3312" i="5"/>
  <c r="H3312" i="5"/>
  <c r="G3312" i="5"/>
  <c r="E3312" i="5"/>
  <c r="B3312" i="5"/>
  <c r="N3311" i="5"/>
  <c r="H3311" i="5"/>
  <c r="G3311" i="5"/>
  <c r="E3311" i="5"/>
  <c r="B3311" i="5"/>
  <c r="N3310" i="5"/>
  <c r="H3310" i="5"/>
  <c r="G3310" i="5"/>
  <c r="E3310" i="5"/>
  <c r="B3310" i="5"/>
  <c r="N3309" i="5"/>
  <c r="H3309" i="5"/>
  <c r="G3309" i="5"/>
  <c r="E3309" i="5"/>
  <c r="B3309" i="5"/>
  <c r="N3308" i="5"/>
  <c r="H3308" i="5"/>
  <c r="G3308" i="5"/>
  <c r="E3308" i="5"/>
  <c r="B3308" i="5"/>
  <c r="N3307" i="5"/>
  <c r="H3307" i="5"/>
  <c r="G3307" i="5"/>
  <c r="E3307" i="5"/>
  <c r="B3307" i="5"/>
  <c r="N3306" i="5"/>
  <c r="H3306" i="5"/>
  <c r="G3306" i="5"/>
  <c r="E3306" i="5"/>
  <c r="B3306" i="5"/>
  <c r="N3305" i="5"/>
  <c r="H3305" i="5"/>
  <c r="G3305" i="5"/>
  <c r="E3305" i="5"/>
  <c r="B3305" i="5"/>
  <c r="N3304" i="5"/>
  <c r="H3304" i="5"/>
  <c r="G3304" i="5"/>
  <c r="E3304" i="5"/>
  <c r="B3304" i="5"/>
  <c r="N3303" i="5"/>
  <c r="H3303" i="5"/>
  <c r="G3303" i="5"/>
  <c r="E3303" i="5"/>
  <c r="B3303" i="5"/>
  <c r="N3302" i="5"/>
  <c r="H3302" i="5"/>
  <c r="G3302" i="5"/>
  <c r="E3302" i="5"/>
  <c r="B3302" i="5"/>
  <c r="N3301" i="5"/>
  <c r="H3301" i="5"/>
  <c r="G3301" i="5"/>
  <c r="E3301" i="5"/>
  <c r="B3301" i="5"/>
  <c r="N3300" i="5"/>
  <c r="H3300" i="5"/>
  <c r="G3300" i="5"/>
  <c r="E3300" i="5"/>
  <c r="B3300" i="5"/>
  <c r="N3299" i="5"/>
  <c r="H3299" i="5"/>
  <c r="G3299" i="5"/>
  <c r="E3299" i="5"/>
  <c r="B3299" i="5"/>
  <c r="N3298" i="5"/>
  <c r="H3298" i="5"/>
  <c r="G3298" i="5"/>
  <c r="E3298" i="5"/>
  <c r="B3298" i="5"/>
  <c r="N3297" i="5"/>
  <c r="H3297" i="5"/>
  <c r="G3297" i="5"/>
  <c r="E3297" i="5"/>
  <c r="B3297" i="5"/>
  <c r="N3296" i="5"/>
  <c r="H3296" i="5"/>
  <c r="G3296" i="5"/>
  <c r="E3296" i="5"/>
  <c r="B3296" i="5"/>
  <c r="N3295" i="5"/>
  <c r="H3295" i="5"/>
  <c r="G3295" i="5"/>
  <c r="E3295" i="5"/>
  <c r="B3295" i="5"/>
  <c r="N3294" i="5"/>
  <c r="H3294" i="5"/>
  <c r="G3294" i="5"/>
  <c r="E3294" i="5"/>
  <c r="B3294" i="5"/>
  <c r="N3293" i="5"/>
  <c r="H3293" i="5"/>
  <c r="G3293" i="5"/>
  <c r="E3293" i="5"/>
  <c r="B3293" i="5"/>
  <c r="N3292" i="5"/>
  <c r="H3292" i="5"/>
  <c r="G3292" i="5"/>
  <c r="E3292" i="5"/>
  <c r="B3292" i="5"/>
  <c r="N3291" i="5"/>
  <c r="H3291" i="5"/>
  <c r="G3291" i="5"/>
  <c r="E3291" i="5"/>
  <c r="B3291" i="5"/>
  <c r="N3290" i="5"/>
  <c r="H3290" i="5"/>
  <c r="G3290" i="5"/>
  <c r="E3290" i="5"/>
  <c r="B3290" i="5"/>
  <c r="N3289" i="5"/>
  <c r="H3289" i="5"/>
  <c r="G3289" i="5"/>
  <c r="E3289" i="5"/>
  <c r="B3289" i="5"/>
  <c r="N3288" i="5"/>
  <c r="H3288" i="5"/>
  <c r="G3288" i="5"/>
  <c r="E3288" i="5"/>
  <c r="B3288" i="5"/>
  <c r="N3287" i="5"/>
  <c r="H3287" i="5"/>
  <c r="G3287" i="5"/>
  <c r="E3287" i="5"/>
  <c r="B3287" i="5"/>
  <c r="N3286" i="5"/>
  <c r="H3286" i="5"/>
  <c r="G3286" i="5"/>
  <c r="E3286" i="5"/>
  <c r="B3286" i="5"/>
  <c r="N3285" i="5"/>
  <c r="H3285" i="5"/>
  <c r="G3285" i="5"/>
  <c r="E3285" i="5"/>
  <c r="B3285" i="5"/>
  <c r="N3284" i="5"/>
  <c r="H3284" i="5"/>
  <c r="G3284" i="5"/>
  <c r="E3284" i="5"/>
  <c r="B3284" i="5"/>
  <c r="N3283" i="5"/>
  <c r="H3283" i="5"/>
  <c r="G3283" i="5"/>
  <c r="E3283" i="5"/>
  <c r="B3283" i="5"/>
  <c r="N3282" i="5"/>
  <c r="H3282" i="5"/>
  <c r="G3282" i="5"/>
  <c r="E3282" i="5"/>
  <c r="B3282" i="5"/>
  <c r="N3281" i="5"/>
  <c r="H3281" i="5"/>
  <c r="G3281" i="5"/>
  <c r="E3281" i="5"/>
  <c r="B3281" i="5"/>
  <c r="N3280" i="5"/>
  <c r="H3280" i="5"/>
  <c r="G3280" i="5"/>
  <c r="E3280" i="5"/>
  <c r="B3280" i="5"/>
  <c r="N3279" i="5"/>
  <c r="H3279" i="5"/>
  <c r="G3279" i="5"/>
  <c r="E3279" i="5"/>
  <c r="B3279" i="5"/>
  <c r="N3278" i="5"/>
  <c r="H3278" i="5"/>
  <c r="G3278" i="5"/>
  <c r="E3278" i="5"/>
  <c r="B3278" i="5"/>
  <c r="N3277" i="5"/>
  <c r="H3277" i="5"/>
  <c r="G3277" i="5"/>
  <c r="E3277" i="5"/>
  <c r="B3277" i="5"/>
  <c r="N3276" i="5"/>
  <c r="H3276" i="5"/>
  <c r="G3276" i="5"/>
  <c r="E3276" i="5"/>
  <c r="B3276" i="5"/>
  <c r="N3275" i="5"/>
  <c r="H3275" i="5"/>
  <c r="G3275" i="5"/>
  <c r="E3275" i="5"/>
  <c r="B3275" i="5"/>
  <c r="N3274" i="5"/>
  <c r="H3274" i="5"/>
  <c r="G3274" i="5"/>
  <c r="E3274" i="5"/>
  <c r="B3274" i="5"/>
  <c r="N3273" i="5"/>
  <c r="H3273" i="5"/>
  <c r="G3273" i="5"/>
  <c r="E3273" i="5"/>
  <c r="B3273" i="5"/>
  <c r="N3272" i="5"/>
  <c r="H3272" i="5"/>
  <c r="G3272" i="5"/>
  <c r="E3272" i="5"/>
  <c r="B3272" i="5"/>
  <c r="N3271" i="5"/>
  <c r="H3271" i="5"/>
  <c r="G3271" i="5"/>
  <c r="E3271" i="5"/>
  <c r="B3271" i="5"/>
  <c r="N3270" i="5"/>
  <c r="H3270" i="5"/>
  <c r="G3270" i="5"/>
  <c r="E3270" i="5"/>
  <c r="B3270" i="5"/>
  <c r="N3269" i="5"/>
  <c r="H3269" i="5"/>
  <c r="G3269" i="5"/>
  <c r="E3269" i="5"/>
  <c r="B3269" i="5"/>
  <c r="N3268" i="5"/>
  <c r="H3268" i="5"/>
  <c r="G3268" i="5"/>
  <c r="E3268" i="5"/>
  <c r="B3268" i="5"/>
  <c r="N3267" i="5"/>
  <c r="H3267" i="5"/>
  <c r="G3267" i="5"/>
  <c r="E3267" i="5"/>
  <c r="B3267" i="5"/>
  <c r="N3266" i="5"/>
  <c r="H3266" i="5"/>
  <c r="G3266" i="5"/>
  <c r="E3266" i="5"/>
  <c r="B3266" i="5"/>
  <c r="N3265" i="5"/>
  <c r="H3265" i="5"/>
  <c r="G3265" i="5"/>
  <c r="E3265" i="5"/>
  <c r="B3265" i="5"/>
  <c r="N3264" i="5"/>
  <c r="H3264" i="5"/>
  <c r="G3264" i="5"/>
  <c r="E3264" i="5"/>
  <c r="B3264" i="5"/>
  <c r="N3263" i="5"/>
  <c r="H3263" i="5"/>
  <c r="G3263" i="5"/>
  <c r="E3263" i="5"/>
  <c r="B3263" i="5"/>
  <c r="N3262" i="5"/>
  <c r="H3262" i="5"/>
  <c r="G3262" i="5"/>
  <c r="E3262" i="5"/>
  <c r="B3262" i="5"/>
  <c r="N3261" i="5"/>
  <c r="H3261" i="5"/>
  <c r="G3261" i="5"/>
  <c r="E3261" i="5"/>
  <c r="B3261" i="5"/>
  <c r="N3260" i="5"/>
  <c r="H3260" i="5"/>
  <c r="G3260" i="5"/>
  <c r="E3260" i="5"/>
  <c r="B3260" i="5"/>
  <c r="N3259" i="5"/>
  <c r="H3259" i="5"/>
  <c r="G3259" i="5"/>
  <c r="E3259" i="5"/>
  <c r="B3259" i="5"/>
  <c r="N3258" i="5"/>
  <c r="H3258" i="5"/>
  <c r="G3258" i="5"/>
  <c r="E3258" i="5"/>
  <c r="B3258" i="5"/>
  <c r="N3257" i="5"/>
  <c r="H3257" i="5"/>
  <c r="G3257" i="5"/>
  <c r="E3257" i="5"/>
  <c r="B3257" i="5"/>
  <c r="N3256" i="5"/>
  <c r="H3256" i="5"/>
  <c r="G3256" i="5"/>
  <c r="E3256" i="5"/>
  <c r="B3256" i="5"/>
  <c r="N3255" i="5"/>
  <c r="H3255" i="5"/>
  <c r="G3255" i="5"/>
  <c r="E3255" i="5"/>
  <c r="B3255" i="5"/>
  <c r="N3254" i="5"/>
  <c r="H3254" i="5"/>
  <c r="G3254" i="5"/>
  <c r="E3254" i="5"/>
  <c r="B3254" i="5"/>
  <c r="N3253" i="5"/>
  <c r="H3253" i="5"/>
  <c r="G3253" i="5"/>
  <c r="E3253" i="5"/>
  <c r="B3253" i="5"/>
  <c r="N3252" i="5"/>
  <c r="H3252" i="5"/>
  <c r="G3252" i="5"/>
  <c r="E3252" i="5"/>
  <c r="B3252" i="5"/>
  <c r="N3251" i="5"/>
  <c r="H3251" i="5"/>
  <c r="G3251" i="5"/>
  <c r="E3251" i="5"/>
  <c r="B3251" i="5"/>
  <c r="N3250" i="5"/>
  <c r="H3250" i="5"/>
  <c r="G3250" i="5"/>
  <c r="E3250" i="5"/>
  <c r="B3250" i="5"/>
  <c r="N3249" i="5"/>
  <c r="H3249" i="5"/>
  <c r="G3249" i="5"/>
  <c r="E3249" i="5"/>
  <c r="B3249" i="5"/>
  <c r="N3248" i="5"/>
  <c r="H3248" i="5"/>
  <c r="G3248" i="5"/>
  <c r="E3248" i="5"/>
  <c r="B3248" i="5"/>
  <c r="N3247" i="5"/>
  <c r="H3247" i="5"/>
  <c r="G3247" i="5"/>
  <c r="E3247" i="5"/>
  <c r="B3247" i="5"/>
  <c r="N3246" i="5"/>
  <c r="H3246" i="5"/>
  <c r="G3246" i="5"/>
  <c r="E3246" i="5"/>
  <c r="B3246" i="5"/>
  <c r="N3245" i="5"/>
  <c r="H3245" i="5"/>
  <c r="G3245" i="5"/>
  <c r="E3245" i="5"/>
  <c r="B3245" i="5"/>
  <c r="N3244" i="5"/>
  <c r="H3244" i="5"/>
  <c r="G3244" i="5"/>
  <c r="E3244" i="5"/>
  <c r="B3244" i="5"/>
  <c r="N3243" i="5"/>
  <c r="H3243" i="5"/>
  <c r="G3243" i="5"/>
  <c r="E3243" i="5"/>
  <c r="B3243" i="5"/>
  <c r="N3242" i="5"/>
  <c r="H3242" i="5"/>
  <c r="G3242" i="5"/>
  <c r="E3242" i="5"/>
  <c r="B3242" i="5"/>
  <c r="N3241" i="5"/>
  <c r="H3241" i="5"/>
  <c r="G3241" i="5"/>
  <c r="E3241" i="5"/>
  <c r="B3241" i="5"/>
  <c r="N3240" i="5"/>
  <c r="H3240" i="5"/>
  <c r="G3240" i="5"/>
  <c r="E3240" i="5"/>
  <c r="B3240" i="5"/>
  <c r="N3239" i="5"/>
  <c r="H3239" i="5"/>
  <c r="G3239" i="5"/>
  <c r="E3239" i="5"/>
  <c r="B3239" i="5"/>
  <c r="N3238" i="5"/>
  <c r="H3238" i="5"/>
  <c r="G3238" i="5"/>
  <c r="E3238" i="5"/>
  <c r="B3238" i="5"/>
  <c r="N3237" i="5"/>
  <c r="H3237" i="5"/>
  <c r="G3237" i="5"/>
  <c r="E3237" i="5"/>
  <c r="B3237" i="5"/>
  <c r="N3236" i="5"/>
  <c r="H3236" i="5"/>
  <c r="G3236" i="5"/>
  <c r="E3236" i="5"/>
  <c r="B3236" i="5"/>
  <c r="N3235" i="5"/>
  <c r="H3235" i="5"/>
  <c r="G3235" i="5"/>
  <c r="E3235" i="5"/>
  <c r="B3235" i="5"/>
  <c r="N3234" i="5"/>
  <c r="H3234" i="5"/>
  <c r="G3234" i="5"/>
  <c r="E3234" i="5"/>
  <c r="B3234" i="5"/>
  <c r="N3233" i="5"/>
  <c r="H3233" i="5"/>
  <c r="G3233" i="5"/>
  <c r="E3233" i="5"/>
  <c r="B3233" i="5"/>
  <c r="N3232" i="5"/>
  <c r="H3232" i="5"/>
  <c r="G3232" i="5"/>
  <c r="E3232" i="5"/>
  <c r="B3232" i="5"/>
  <c r="N3231" i="5"/>
  <c r="H3231" i="5"/>
  <c r="G3231" i="5"/>
  <c r="E3231" i="5"/>
  <c r="B3231" i="5"/>
  <c r="N3230" i="5"/>
  <c r="H3230" i="5"/>
  <c r="G3230" i="5"/>
  <c r="E3230" i="5"/>
  <c r="B3230" i="5"/>
  <c r="N3229" i="5"/>
  <c r="H3229" i="5"/>
  <c r="G3229" i="5"/>
  <c r="E3229" i="5"/>
  <c r="B3229" i="5"/>
  <c r="N3228" i="5"/>
  <c r="H3228" i="5"/>
  <c r="G3228" i="5"/>
  <c r="E3228" i="5"/>
  <c r="B3228" i="5"/>
  <c r="N3227" i="5"/>
  <c r="H3227" i="5"/>
  <c r="G3227" i="5"/>
  <c r="E3227" i="5"/>
  <c r="B3227" i="5"/>
  <c r="N3226" i="5"/>
  <c r="H3226" i="5"/>
  <c r="G3226" i="5"/>
  <c r="E3226" i="5"/>
  <c r="B3226" i="5"/>
  <c r="N3225" i="5"/>
  <c r="H3225" i="5"/>
  <c r="G3225" i="5"/>
  <c r="E3225" i="5"/>
  <c r="B3225" i="5"/>
  <c r="N3224" i="5"/>
  <c r="H3224" i="5"/>
  <c r="G3224" i="5"/>
  <c r="E3224" i="5"/>
  <c r="B3224" i="5"/>
  <c r="N3223" i="5"/>
  <c r="H3223" i="5"/>
  <c r="G3223" i="5"/>
  <c r="E3223" i="5"/>
  <c r="B3223" i="5"/>
  <c r="N3222" i="5"/>
  <c r="H3222" i="5"/>
  <c r="G3222" i="5"/>
  <c r="E3222" i="5"/>
  <c r="B3222" i="5"/>
  <c r="N3221" i="5"/>
  <c r="H3221" i="5"/>
  <c r="G3221" i="5"/>
  <c r="E3221" i="5"/>
  <c r="B3221" i="5"/>
  <c r="N3220" i="5"/>
  <c r="H3220" i="5"/>
  <c r="G3220" i="5"/>
  <c r="E3220" i="5"/>
  <c r="B3220" i="5"/>
  <c r="N3219" i="5"/>
  <c r="H3219" i="5"/>
  <c r="G3219" i="5"/>
  <c r="E3219" i="5"/>
  <c r="B3219" i="5"/>
  <c r="N3218" i="5"/>
  <c r="H3218" i="5"/>
  <c r="G3218" i="5"/>
  <c r="E3218" i="5"/>
  <c r="B3218" i="5"/>
  <c r="N3217" i="5"/>
  <c r="H3217" i="5"/>
  <c r="G3217" i="5"/>
  <c r="E3217" i="5"/>
  <c r="B3217" i="5"/>
  <c r="N3216" i="5"/>
  <c r="H3216" i="5"/>
  <c r="G3216" i="5"/>
  <c r="E3216" i="5"/>
  <c r="B3216" i="5"/>
  <c r="N3215" i="5"/>
  <c r="H3215" i="5"/>
  <c r="G3215" i="5"/>
  <c r="E3215" i="5"/>
  <c r="B3215" i="5"/>
  <c r="N3214" i="5"/>
  <c r="H3214" i="5"/>
  <c r="G3214" i="5"/>
  <c r="E3214" i="5"/>
  <c r="B3214" i="5"/>
  <c r="N3213" i="5"/>
  <c r="H3213" i="5"/>
  <c r="G3213" i="5"/>
  <c r="E3213" i="5"/>
  <c r="B3213" i="5"/>
  <c r="N3212" i="5"/>
  <c r="H3212" i="5"/>
  <c r="G3212" i="5"/>
  <c r="E3212" i="5"/>
  <c r="B3212" i="5"/>
  <c r="N3211" i="5"/>
  <c r="H3211" i="5"/>
  <c r="G3211" i="5"/>
  <c r="E3211" i="5"/>
  <c r="B3211" i="5"/>
  <c r="N3210" i="5"/>
  <c r="H3210" i="5"/>
  <c r="G3210" i="5"/>
  <c r="E3210" i="5"/>
  <c r="B3210" i="5"/>
  <c r="N3209" i="5"/>
  <c r="H3209" i="5"/>
  <c r="G3209" i="5"/>
  <c r="E3209" i="5"/>
  <c r="B3209" i="5"/>
  <c r="N3208" i="5"/>
  <c r="H3208" i="5"/>
  <c r="G3208" i="5"/>
  <c r="E3208" i="5"/>
  <c r="B3208" i="5"/>
  <c r="N3207" i="5"/>
  <c r="H3207" i="5"/>
  <c r="G3207" i="5"/>
  <c r="E3207" i="5"/>
  <c r="B3207" i="5"/>
  <c r="N3206" i="5"/>
  <c r="H3206" i="5"/>
  <c r="G3206" i="5"/>
  <c r="E3206" i="5"/>
  <c r="B3206" i="5"/>
  <c r="N3205" i="5"/>
  <c r="H3205" i="5"/>
  <c r="G3205" i="5"/>
  <c r="E3205" i="5"/>
  <c r="B3205" i="5"/>
  <c r="N3204" i="5"/>
  <c r="H3204" i="5"/>
  <c r="G3204" i="5"/>
  <c r="E3204" i="5"/>
  <c r="B3204" i="5"/>
  <c r="N3203" i="5"/>
  <c r="H3203" i="5"/>
  <c r="G3203" i="5"/>
  <c r="E3203" i="5"/>
  <c r="B3203" i="5"/>
  <c r="N3202" i="5"/>
  <c r="H3202" i="5"/>
  <c r="G3202" i="5"/>
  <c r="E3202" i="5"/>
  <c r="B3202" i="5"/>
  <c r="N3201" i="5"/>
  <c r="H3201" i="5"/>
  <c r="G3201" i="5"/>
  <c r="E3201" i="5"/>
  <c r="B3201" i="5"/>
  <c r="N3200" i="5"/>
  <c r="H3200" i="5"/>
  <c r="G3200" i="5"/>
  <c r="E3200" i="5"/>
  <c r="B3200" i="5"/>
  <c r="N3199" i="5"/>
  <c r="H3199" i="5"/>
  <c r="G3199" i="5"/>
  <c r="E3199" i="5"/>
  <c r="B3199" i="5"/>
  <c r="N3198" i="5"/>
  <c r="H3198" i="5"/>
  <c r="G3198" i="5"/>
  <c r="E3198" i="5"/>
  <c r="B3198" i="5"/>
  <c r="N3197" i="5"/>
  <c r="H3197" i="5"/>
  <c r="G3197" i="5"/>
  <c r="E3197" i="5"/>
  <c r="B3197" i="5"/>
  <c r="N3196" i="5"/>
  <c r="H3196" i="5"/>
  <c r="G3196" i="5"/>
  <c r="E3196" i="5"/>
  <c r="B3196" i="5"/>
  <c r="N3195" i="5"/>
  <c r="H3195" i="5"/>
  <c r="G3195" i="5"/>
  <c r="E3195" i="5"/>
  <c r="B3195" i="5"/>
  <c r="N3194" i="5"/>
  <c r="H3194" i="5"/>
  <c r="G3194" i="5"/>
  <c r="E3194" i="5"/>
  <c r="B3194" i="5"/>
  <c r="N3193" i="5"/>
  <c r="H3193" i="5"/>
  <c r="G3193" i="5"/>
  <c r="E3193" i="5"/>
  <c r="B3193" i="5"/>
  <c r="N3192" i="5"/>
  <c r="H3192" i="5"/>
  <c r="G3192" i="5"/>
  <c r="E3192" i="5"/>
  <c r="B3192" i="5"/>
  <c r="N3191" i="5"/>
  <c r="H3191" i="5"/>
  <c r="G3191" i="5"/>
  <c r="E3191" i="5"/>
  <c r="B3191" i="5"/>
  <c r="N3190" i="5"/>
  <c r="H3190" i="5"/>
  <c r="G3190" i="5"/>
  <c r="E3190" i="5"/>
  <c r="B3190" i="5"/>
  <c r="N3189" i="5"/>
  <c r="H3189" i="5"/>
  <c r="G3189" i="5"/>
  <c r="E3189" i="5"/>
  <c r="B3189" i="5"/>
  <c r="N3188" i="5"/>
  <c r="H3188" i="5"/>
  <c r="G3188" i="5"/>
  <c r="E3188" i="5"/>
  <c r="B3188" i="5"/>
  <c r="N3187" i="5"/>
  <c r="H3187" i="5"/>
  <c r="G3187" i="5"/>
  <c r="E3187" i="5"/>
  <c r="B3187" i="5"/>
  <c r="N3186" i="5"/>
  <c r="H3186" i="5"/>
  <c r="G3186" i="5"/>
  <c r="E3186" i="5"/>
  <c r="B3186" i="5"/>
  <c r="N3185" i="5"/>
  <c r="H3185" i="5"/>
  <c r="G3185" i="5"/>
  <c r="E3185" i="5"/>
  <c r="B3185" i="5"/>
  <c r="N3184" i="5"/>
  <c r="H3184" i="5"/>
  <c r="G3184" i="5"/>
  <c r="E3184" i="5"/>
  <c r="B3184" i="5"/>
  <c r="N3183" i="5"/>
  <c r="H3183" i="5"/>
  <c r="G3183" i="5"/>
  <c r="E3183" i="5"/>
  <c r="B3183" i="5"/>
  <c r="N3182" i="5"/>
  <c r="H3182" i="5"/>
  <c r="G3182" i="5"/>
  <c r="E3182" i="5"/>
  <c r="B3182" i="5"/>
  <c r="N3181" i="5"/>
  <c r="H3181" i="5"/>
  <c r="G3181" i="5"/>
  <c r="E3181" i="5"/>
  <c r="B3181" i="5"/>
  <c r="N3180" i="5"/>
  <c r="H3180" i="5"/>
  <c r="G3180" i="5"/>
  <c r="E3180" i="5"/>
  <c r="B3180" i="5"/>
  <c r="N3179" i="5"/>
  <c r="H3179" i="5"/>
  <c r="G3179" i="5"/>
  <c r="E3179" i="5"/>
  <c r="B3179" i="5"/>
  <c r="N3178" i="5"/>
  <c r="H3178" i="5"/>
  <c r="G3178" i="5"/>
  <c r="E3178" i="5"/>
  <c r="B3178" i="5"/>
  <c r="N3177" i="5"/>
  <c r="H3177" i="5"/>
  <c r="G3177" i="5"/>
  <c r="E3177" i="5"/>
  <c r="B3177" i="5"/>
  <c r="N3176" i="5"/>
  <c r="H3176" i="5"/>
  <c r="G3176" i="5"/>
  <c r="E3176" i="5"/>
  <c r="B3176" i="5"/>
  <c r="N3175" i="5"/>
  <c r="H3175" i="5"/>
  <c r="G3175" i="5"/>
  <c r="E3175" i="5"/>
  <c r="B3175" i="5"/>
  <c r="N3174" i="5"/>
  <c r="H3174" i="5"/>
  <c r="G3174" i="5"/>
  <c r="E3174" i="5"/>
  <c r="B3174" i="5"/>
  <c r="N3173" i="5"/>
  <c r="H3173" i="5"/>
  <c r="G3173" i="5"/>
  <c r="E3173" i="5"/>
  <c r="B3173" i="5"/>
  <c r="N3172" i="5"/>
  <c r="H3172" i="5"/>
  <c r="G3172" i="5"/>
  <c r="E3172" i="5"/>
  <c r="B3172" i="5"/>
  <c r="N3171" i="5"/>
  <c r="H3171" i="5"/>
  <c r="G3171" i="5"/>
  <c r="E3171" i="5"/>
  <c r="B3171" i="5"/>
  <c r="N3170" i="5"/>
  <c r="H3170" i="5"/>
  <c r="G3170" i="5"/>
  <c r="E3170" i="5"/>
  <c r="B3170" i="5"/>
  <c r="N3169" i="5"/>
  <c r="H3169" i="5"/>
  <c r="G3169" i="5"/>
  <c r="E3169" i="5"/>
  <c r="B3169" i="5"/>
  <c r="N3168" i="5"/>
  <c r="H3168" i="5"/>
  <c r="G3168" i="5"/>
  <c r="E3168" i="5"/>
  <c r="B3168" i="5"/>
  <c r="N3167" i="5"/>
  <c r="H3167" i="5"/>
  <c r="G3167" i="5"/>
  <c r="E3167" i="5"/>
  <c r="B3167" i="5"/>
  <c r="N3166" i="5"/>
  <c r="H3166" i="5"/>
  <c r="G3166" i="5"/>
  <c r="E3166" i="5"/>
  <c r="B3166" i="5"/>
  <c r="N3165" i="5"/>
  <c r="H3165" i="5"/>
  <c r="G3165" i="5"/>
  <c r="E3165" i="5"/>
  <c r="B3165" i="5"/>
  <c r="N3164" i="5"/>
  <c r="H3164" i="5"/>
  <c r="G3164" i="5"/>
  <c r="E3164" i="5"/>
  <c r="B3164" i="5"/>
  <c r="N3163" i="5"/>
  <c r="H3163" i="5"/>
  <c r="G3163" i="5"/>
  <c r="E3163" i="5"/>
  <c r="B3163" i="5"/>
  <c r="N3162" i="5"/>
  <c r="H3162" i="5"/>
  <c r="G3162" i="5"/>
  <c r="E3162" i="5"/>
  <c r="B3162" i="5"/>
  <c r="N3161" i="5"/>
  <c r="H3161" i="5"/>
  <c r="G3161" i="5"/>
  <c r="E3161" i="5"/>
  <c r="B3161" i="5"/>
  <c r="N3160" i="5"/>
  <c r="H3160" i="5"/>
  <c r="G3160" i="5"/>
  <c r="E3160" i="5"/>
  <c r="B3160" i="5"/>
  <c r="N3159" i="5"/>
  <c r="H3159" i="5"/>
  <c r="G3159" i="5"/>
  <c r="E3159" i="5"/>
  <c r="B3159" i="5"/>
  <c r="N3158" i="5"/>
  <c r="H3158" i="5"/>
  <c r="G3158" i="5"/>
  <c r="E3158" i="5"/>
  <c r="B3158" i="5"/>
  <c r="N3157" i="5"/>
  <c r="H3157" i="5"/>
  <c r="G3157" i="5"/>
  <c r="E3157" i="5"/>
  <c r="B3157" i="5"/>
  <c r="N3156" i="5"/>
  <c r="H3156" i="5"/>
  <c r="G3156" i="5"/>
  <c r="E3156" i="5"/>
  <c r="B3156" i="5"/>
  <c r="N3155" i="5"/>
  <c r="H3155" i="5"/>
  <c r="G3155" i="5"/>
  <c r="E3155" i="5"/>
  <c r="B3155" i="5"/>
  <c r="N3154" i="5"/>
  <c r="H3154" i="5"/>
  <c r="G3154" i="5"/>
  <c r="E3154" i="5"/>
  <c r="B3154" i="5"/>
  <c r="N3153" i="5"/>
  <c r="H3153" i="5"/>
  <c r="G3153" i="5"/>
  <c r="E3153" i="5"/>
  <c r="B3153" i="5"/>
  <c r="N3152" i="5"/>
  <c r="H3152" i="5"/>
  <c r="G3152" i="5"/>
  <c r="E3152" i="5"/>
  <c r="B3152" i="5"/>
  <c r="N3151" i="5"/>
  <c r="H3151" i="5"/>
  <c r="G3151" i="5"/>
  <c r="E3151" i="5"/>
  <c r="B3151" i="5"/>
  <c r="N3150" i="5"/>
  <c r="H3150" i="5"/>
  <c r="G3150" i="5"/>
  <c r="E3150" i="5"/>
  <c r="B3150" i="5"/>
  <c r="N3149" i="5"/>
  <c r="H3149" i="5"/>
  <c r="G3149" i="5"/>
  <c r="E3149" i="5"/>
  <c r="B3149" i="5"/>
  <c r="N3148" i="5"/>
  <c r="H3148" i="5"/>
  <c r="G3148" i="5"/>
  <c r="E3148" i="5"/>
  <c r="B3148" i="5"/>
  <c r="N3147" i="5"/>
  <c r="H3147" i="5"/>
  <c r="G3147" i="5"/>
  <c r="E3147" i="5"/>
  <c r="B3147" i="5"/>
  <c r="N3146" i="5"/>
  <c r="H3146" i="5"/>
  <c r="G3146" i="5"/>
  <c r="E3146" i="5"/>
  <c r="B3146" i="5"/>
  <c r="N3145" i="5"/>
  <c r="H3145" i="5"/>
  <c r="G3145" i="5"/>
  <c r="E3145" i="5"/>
  <c r="B3145" i="5"/>
  <c r="N3144" i="5"/>
  <c r="H3144" i="5"/>
  <c r="G3144" i="5"/>
  <c r="E3144" i="5"/>
  <c r="B3144" i="5"/>
  <c r="N3143" i="5"/>
  <c r="H3143" i="5"/>
  <c r="G3143" i="5"/>
  <c r="E3143" i="5"/>
  <c r="B3143" i="5"/>
  <c r="N3142" i="5"/>
  <c r="H3142" i="5"/>
  <c r="G3142" i="5"/>
  <c r="E3142" i="5"/>
  <c r="B3142" i="5"/>
  <c r="N3141" i="5"/>
  <c r="H3141" i="5"/>
  <c r="G3141" i="5"/>
  <c r="E3141" i="5"/>
  <c r="B3141" i="5"/>
  <c r="N3140" i="5"/>
  <c r="H3140" i="5"/>
  <c r="G3140" i="5"/>
  <c r="E3140" i="5"/>
  <c r="B3140" i="5"/>
  <c r="N3139" i="5"/>
  <c r="H3139" i="5"/>
  <c r="G3139" i="5"/>
  <c r="E3139" i="5"/>
  <c r="B3139" i="5"/>
  <c r="N3138" i="5"/>
  <c r="H3138" i="5"/>
  <c r="G3138" i="5"/>
  <c r="E3138" i="5"/>
  <c r="B3138" i="5"/>
  <c r="N3137" i="5"/>
  <c r="H3137" i="5"/>
  <c r="G3137" i="5"/>
  <c r="E3137" i="5"/>
  <c r="B3137" i="5"/>
  <c r="N3136" i="5"/>
  <c r="H3136" i="5"/>
  <c r="G3136" i="5"/>
  <c r="E3136" i="5"/>
  <c r="B3136" i="5"/>
  <c r="N3135" i="5"/>
  <c r="H3135" i="5"/>
  <c r="G3135" i="5"/>
  <c r="E3135" i="5"/>
  <c r="B3135" i="5"/>
  <c r="N3134" i="5"/>
  <c r="H3134" i="5"/>
  <c r="G3134" i="5"/>
  <c r="E3134" i="5"/>
  <c r="B3134" i="5"/>
  <c r="N3133" i="5"/>
  <c r="H3133" i="5"/>
  <c r="G3133" i="5"/>
  <c r="E3133" i="5"/>
  <c r="B3133" i="5"/>
  <c r="N3132" i="5"/>
  <c r="H3132" i="5"/>
  <c r="G3132" i="5"/>
  <c r="E3132" i="5"/>
  <c r="B3132" i="5"/>
  <c r="N3131" i="5"/>
  <c r="H3131" i="5"/>
  <c r="G3131" i="5"/>
  <c r="E3131" i="5"/>
  <c r="B3131" i="5"/>
  <c r="N3130" i="5"/>
  <c r="H3130" i="5"/>
  <c r="G3130" i="5"/>
  <c r="E3130" i="5"/>
  <c r="B3130" i="5"/>
  <c r="N3129" i="5"/>
  <c r="H3129" i="5"/>
  <c r="G3129" i="5"/>
  <c r="E3129" i="5"/>
  <c r="B3129" i="5"/>
  <c r="N3128" i="5"/>
  <c r="H3128" i="5"/>
  <c r="G3128" i="5"/>
  <c r="E3128" i="5"/>
  <c r="B3128" i="5"/>
  <c r="N3127" i="5"/>
  <c r="H3127" i="5"/>
  <c r="G3127" i="5"/>
  <c r="E3127" i="5"/>
  <c r="B3127" i="5"/>
  <c r="N3126" i="5"/>
  <c r="H3126" i="5"/>
  <c r="G3126" i="5"/>
  <c r="E3126" i="5"/>
  <c r="B3126" i="5"/>
  <c r="N3125" i="5"/>
  <c r="H3125" i="5"/>
  <c r="G3125" i="5"/>
  <c r="E3125" i="5"/>
  <c r="B3125" i="5"/>
  <c r="N3124" i="5"/>
  <c r="H3124" i="5"/>
  <c r="G3124" i="5"/>
  <c r="E3124" i="5"/>
  <c r="B3124" i="5"/>
  <c r="N3123" i="5"/>
  <c r="H3123" i="5"/>
  <c r="G3123" i="5"/>
  <c r="E3123" i="5"/>
  <c r="B3123" i="5"/>
  <c r="N3122" i="5"/>
  <c r="H3122" i="5"/>
  <c r="G3122" i="5"/>
  <c r="E3122" i="5"/>
  <c r="B3122" i="5"/>
  <c r="N3121" i="5"/>
  <c r="H3121" i="5"/>
  <c r="G3121" i="5"/>
  <c r="E3121" i="5"/>
  <c r="B3121" i="5"/>
  <c r="N3120" i="5"/>
  <c r="H3120" i="5"/>
  <c r="G3120" i="5"/>
  <c r="E3120" i="5"/>
  <c r="B3120" i="5"/>
  <c r="N3119" i="5"/>
  <c r="H3119" i="5"/>
  <c r="G3119" i="5"/>
  <c r="E3119" i="5"/>
  <c r="B3119" i="5"/>
  <c r="N3118" i="5"/>
  <c r="H3118" i="5"/>
  <c r="G3118" i="5"/>
  <c r="E3118" i="5"/>
  <c r="B3118" i="5"/>
  <c r="N3117" i="5"/>
  <c r="H3117" i="5"/>
  <c r="G3117" i="5"/>
  <c r="E3117" i="5"/>
  <c r="B3117" i="5"/>
  <c r="N3116" i="5"/>
  <c r="H3116" i="5"/>
  <c r="G3116" i="5"/>
  <c r="E3116" i="5"/>
  <c r="B3116" i="5"/>
  <c r="N3115" i="5"/>
  <c r="H3115" i="5"/>
  <c r="G3115" i="5"/>
  <c r="E3115" i="5"/>
  <c r="B3115" i="5"/>
  <c r="N3114" i="5"/>
  <c r="H3114" i="5"/>
  <c r="G3114" i="5"/>
  <c r="E3114" i="5"/>
  <c r="B3114" i="5"/>
  <c r="N3113" i="5"/>
  <c r="H3113" i="5"/>
  <c r="G3113" i="5"/>
  <c r="E3113" i="5"/>
  <c r="B3113" i="5"/>
  <c r="N3112" i="5"/>
  <c r="H3112" i="5"/>
  <c r="G3112" i="5"/>
  <c r="E3112" i="5"/>
  <c r="B3112" i="5"/>
  <c r="N3111" i="5"/>
  <c r="H3111" i="5"/>
  <c r="G3111" i="5"/>
  <c r="E3111" i="5"/>
  <c r="B3111" i="5"/>
  <c r="N3110" i="5"/>
  <c r="H3110" i="5"/>
  <c r="G3110" i="5"/>
  <c r="E3110" i="5"/>
  <c r="B3110" i="5"/>
  <c r="N3109" i="5"/>
  <c r="H3109" i="5"/>
  <c r="G3109" i="5"/>
  <c r="E3109" i="5"/>
  <c r="B3109" i="5"/>
  <c r="N3108" i="5"/>
  <c r="H3108" i="5"/>
  <c r="G3108" i="5"/>
  <c r="E3108" i="5"/>
  <c r="B3108" i="5"/>
  <c r="N3107" i="5"/>
  <c r="H3107" i="5"/>
  <c r="G3107" i="5"/>
  <c r="E3107" i="5"/>
  <c r="B3107" i="5"/>
  <c r="N3106" i="5"/>
  <c r="H3106" i="5"/>
  <c r="G3106" i="5"/>
  <c r="E3106" i="5"/>
  <c r="B3106" i="5"/>
  <c r="N3105" i="5"/>
  <c r="H3105" i="5"/>
  <c r="G3105" i="5"/>
  <c r="E3105" i="5"/>
  <c r="B3105" i="5"/>
  <c r="N3104" i="5"/>
  <c r="H3104" i="5"/>
  <c r="G3104" i="5"/>
  <c r="E3104" i="5"/>
  <c r="B3104" i="5"/>
  <c r="N3103" i="5"/>
  <c r="H3103" i="5"/>
  <c r="G3103" i="5"/>
  <c r="E3103" i="5"/>
  <c r="B3103" i="5"/>
  <c r="N3102" i="5"/>
  <c r="H3102" i="5"/>
  <c r="G3102" i="5"/>
  <c r="E3102" i="5"/>
  <c r="B3102" i="5"/>
  <c r="N3101" i="5"/>
  <c r="H3101" i="5"/>
  <c r="G3101" i="5"/>
  <c r="E3101" i="5"/>
  <c r="B3101" i="5"/>
  <c r="N3100" i="5"/>
  <c r="H3100" i="5"/>
  <c r="G3100" i="5"/>
  <c r="E3100" i="5"/>
  <c r="B3100" i="5"/>
  <c r="N3099" i="5"/>
  <c r="H3099" i="5"/>
  <c r="G3099" i="5"/>
  <c r="E3099" i="5"/>
  <c r="B3099" i="5"/>
  <c r="N3098" i="5"/>
  <c r="H3098" i="5"/>
  <c r="G3098" i="5"/>
  <c r="E3098" i="5"/>
  <c r="B3098" i="5"/>
  <c r="N3097" i="5"/>
  <c r="H3097" i="5"/>
  <c r="G3097" i="5"/>
  <c r="E3097" i="5"/>
  <c r="B3097" i="5"/>
  <c r="N3096" i="5"/>
  <c r="H3096" i="5"/>
  <c r="G3096" i="5"/>
  <c r="E3096" i="5"/>
  <c r="B3096" i="5"/>
  <c r="N3095" i="5"/>
  <c r="H3095" i="5"/>
  <c r="G3095" i="5"/>
  <c r="E3095" i="5"/>
  <c r="B3095" i="5"/>
  <c r="N3094" i="5"/>
  <c r="H3094" i="5"/>
  <c r="G3094" i="5"/>
  <c r="E3094" i="5"/>
  <c r="B3094" i="5"/>
  <c r="N3093" i="5"/>
  <c r="H3093" i="5"/>
  <c r="G3093" i="5"/>
  <c r="E3093" i="5"/>
  <c r="B3093" i="5"/>
  <c r="N3092" i="5"/>
  <c r="H3092" i="5"/>
  <c r="G3092" i="5"/>
  <c r="E3092" i="5"/>
  <c r="B3092" i="5"/>
  <c r="N3091" i="5"/>
  <c r="H3091" i="5"/>
  <c r="G3091" i="5"/>
  <c r="E3091" i="5"/>
  <c r="B3091" i="5"/>
  <c r="N3090" i="5"/>
  <c r="H3090" i="5"/>
  <c r="G3090" i="5"/>
  <c r="E3090" i="5"/>
  <c r="B3090" i="5"/>
  <c r="N3089" i="5"/>
  <c r="H3089" i="5"/>
  <c r="G3089" i="5"/>
  <c r="E3089" i="5"/>
  <c r="B3089" i="5"/>
  <c r="N3088" i="5"/>
  <c r="H3088" i="5"/>
  <c r="G3088" i="5"/>
  <c r="E3088" i="5"/>
  <c r="B3088" i="5"/>
  <c r="N3087" i="5"/>
  <c r="H3087" i="5"/>
  <c r="G3087" i="5"/>
  <c r="E3087" i="5"/>
  <c r="B3087" i="5"/>
  <c r="N3086" i="5"/>
  <c r="H3086" i="5"/>
  <c r="G3086" i="5"/>
  <c r="E3086" i="5"/>
  <c r="B3086" i="5"/>
  <c r="N3085" i="5"/>
  <c r="H3085" i="5"/>
  <c r="G3085" i="5"/>
  <c r="E3085" i="5"/>
  <c r="B3085" i="5"/>
  <c r="N3084" i="5"/>
  <c r="H3084" i="5"/>
  <c r="G3084" i="5"/>
  <c r="E3084" i="5"/>
  <c r="B3084" i="5"/>
  <c r="N3083" i="5"/>
  <c r="H3083" i="5"/>
  <c r="G3083" i="5"/>
  <c r="E3083" i="5"/>
  <c r="B3083" i="5"/>
  <c r="N3082" i="5"/>
  <c r="H3082" i="5"/>
  <c r="G3082" i="5"/>
  <c r="E3082" i="5"/>
  <c r="B3082" i="5"/>
  <c r="N3081" i="5"/>
  <c r="H3081" i="5"/>
  <c r="G3081" i="5"/>
  <c r="E3081" i="5"/>
  <c r="B3081" i="5"/>
  <c r="N3080" i="5"/>
  <c r="H3080" i="5"/>
  <c r="G3080" i="5"/>
  <c r="E3080" i="5"/>
  <c r="B3080" i="5"/>
  <c r="N3079" i="5"/>
  <c r="H3079" i="5"/>
  <c r="G3079" i="5"/>
  <c r="E3079" i="5"/>
  <c r="B3079" i="5"/>
  <c r="N3078" i="5"/>
  <c r="H3078" i="5"/>
  <c r="G3078" i="5"/>
  <c r="E3078" i="5"/>
  <c r="B3078" i="5"/>
  <c r="N3077" i="5"/>
  <c r="H3077" i="5"/>
  <c r="G3077" i="5"/>
  <c r="E3077" i="5"/>
  <c r="B3077" i="5"/>
  <c r="N3076" i="5"/>
  <c r="H3076" i="5"/>
  <c r="G3076" i="5"/>
  <c r="E3076" i="5"/>
  <c r="B3076" i="5"/>
  <c r="N3075" i="5"/>
  <c r="H3075" i="5"/>
  <c r="G3075" i="5"/>
  <c r="E3075" i="5"/>
  <c r="B3075" i="5"/>
  <c r="N3074" i="5"/>
  <c r="H3074" i="5"/>
  <c r="G3074" i="5"/>
  <c r="E3074" i="5"/>
  <c r="B3074" i="5"/>
  <c r="N3073" i="5"/>
  <c r="H3073" i="5"/>
  <c r="G3073" i="5"/>
  <c r="E3073" i="5"/>
  <c r="B3073" i="5"/>
  <c r="N3072" i="5"/>
  <c r="H3072" i="5"/>
  <c r="G3072" i="5"/>
  <c r="E3072" i="5"/>
  <c r="B3072" i="5"/>
  <c r="N3071" i="5"/>
  <c r="H3071" i="5"/>
  <c r="G3071" i="5"/>
  <c r="E3071" i="5"/>
  <c r="B3071" i="5"/>
  <c r="N3070" i="5"/>
  <c r="H3070" i="5"/>
  <c r="G3070" i="5"/>
  <c r="E3070" i="5"/>
  <c r="B3070" i="5"/>
  <c r="N3069" i="5"/>
  <c r="H3069" i="5"/>
  <c r="G3069" i="5"/>
  <c r="E3069" i="5"/>
  <c r="B3069" i="5"/>
  <c r="N3068" i="5"/>
  <c r="H3068" i="5"/>
  <c r="G3068" i="5"/>
  <c r="E3068" i="5"/>
  <c r="B3068" i="5"/>
  <c r="N3067" i="5"/>
  <c r="H3067" i="5"/>
  <c r="G3067" i="5"/>
  <c r="E3067" i="5"/>
  <c r="B3067" i="5"/>
  <c r="N3066" i="5"/>
  <c r="H3066" i="5"/>
  <c r="G3066" i="5"/>
  <c r="E3066" i="5"/>
  <c r="B3066" i="5"/>
  <c r="N3065" i="5"/>
  <c r="H3065" i="5"/>
  <c r="G3065" i="5"/>
  <c r="E3065" i="5"/>
  <c r="B3065" i="5"/>
  <c r="N3064" i="5"/>
  <c r="H3064" i="5"/>
  <c r="G3064" i="5"/>
  <c r="E3064" i="5"/>
  <c r="B3064" i="5"/>
  <c r="N3063" i="5"/>
  <c r="H3063" i="5"/>
  <c r="G3063" i="5"/>
  <c r="E3063" i="5"/>
  <c r="B3063" i="5"/>
  <c r="N3062" i="5"/>
  <c r="H3062" i="5"/>
  <c r="G3062" i="5"/>
  <c r="E3062" i="5"/>
  <c r="B3062" i="5"/>
  <c r="N3061" i="5"/>
  <c r="H3061" i="5"/>
  <c r="G3061" i="5"/>
  <c r="E3061" i="5"/>
  <c r="B3061" i="5"/>
  <c r="N3060" i="5"/>
  <c r="H3060" i="5"/>
  <c r="G3060" i="5"/>
  <c r="E3060" i="5"/>
  <c r="B3060" i="5"/>
  <c r="N3059" i="5"/>
  <c r="H3059" i="5"/>
  <c r="G3059" i="5"/>
  <c r="E3059" i="5"/>
  <c r="B3059" i="5"/>
  <c r="N3058" i="5"/>
  <c r="H3058" i="5"/>
  <c r="G3058" i="5"/>
  <c r="E3058" i="5"/>
  <c r="B3058" i="5"/>
  <c r="N3057" i="5"/>
  <c r="H3057" i="5"/>
  <c r="G3057" i="5"/>
  <c r="E3057" i="5"/>
  <c r="B3057" i="5"/>
  <c r="N3056" i="5"/>
  <c r="H3056" i="5"/>
  <c r="G3056" i="5"/>
  <c r="E3056" i="5"/>
  <c r="B3056" i="5"/>
  <c r="N3055" i="5"/>
  <c r="H3055" i="5"/>
  <c r="G3055" i="5"/>
  <c r="E3055" i="5"/>
  <c r="B3055" i="5"/>
  <c r="N3054" i="5"/>
  <c r="H3054" i="5"/>
  <c r="G3054" i="5"/>
  <c r="E3054" i="5"/>
  <c r="B3054" i="5"/>
  <c r="N3053" i="5"/>
  <c r="H3053" i="5"/>
  <c r="G3053" i="5"/>
  <c r="E3053" i="5"/>
  <c r="B3053" i="5"/>
  <c r="N3052" i="5"/>
  <c r="H3052" i="5"/>
  <c r="G3052" i="5"/>
  <c r="E3052" i="5"/>
  <c r="B3052" i="5"/>
  <c r="N3051" i="5"/>
  <c r="H3051" i="5"/>
  <c r="G3051" i="5"/>
  <c r="E3051" i="5"/>
  <c r="B3051" i="5"/>
  <c r="N3050" i="5"/>
  <c r="H3050" i="5"/>
  <c r="G3050" i="5"/>
  <c r="E3050" i="5"/>
  <c r="B3050" i="5"/>
  <c r="N3049" i="5"/>
  <c r="H3049" i="5"/>
  <c r="G3049" i="5"/>
  <c r="E3049" i="5"/>
  <c r="B3049" i="5"/>
  <c r="N3048" i="5"/>
  <c r="H3048" i="5"/>
  <c r="G3048" i="5"/>
  <c r="E3048" i="5"/>
  <c r="B3048" i="5"/>
  <c r="N3047" i="5"/>
  <c r="H3047" i="5"/>
  <c r="G3047" i="5"/>
  <c r="E3047" i="5"/>
  <c r="B3047" i="5"/>
  <c r="N3046" i="5"/>
  <c r="H3046" i="5"/>
  <c r="G3046" i="5"/>
  <c r="E3046" i="5"/>
  <c r="B3046" i="5"/>
  <c r="N3045" i="5"/>
  <c r="H3045" i="5"/>
  <c r="G3045" i="5"/>
  <c r="E3045" i="5"/>
  <c r="B3045" i="5"/>
  <c r="N3044" i="5"/>
  <c r="H3044" i="5"/>
  <c r="G3044" i="5"/>
  <c r="E3044" i="5"/>
  <c r="B3044" i="5"/>
  <c r="N3043" i="5"/>
  <c r="H3043" i="5"/>
  <c r="G3043" i="5"/>
  <c r="E3043" i="5"/>
  <c r="B3043" i="5"/>
  <c r="N3042" i="5"/>
  <c r="H3042" i="5"/>
  <c r="G3042" i="5"/>
  <c r="E3042" i="5"/>
  <c r="B3042" i="5"/>
  <c r="N3041" i="5"/>
  <c r="H3041" i="5"/>
  <c r="G3041" i="5"/>
  <c r="E3041" i="5"/>
  <c r="B3041" i="5"/>
  <c r="N3040" i="5"/>
  <c r="H3040" i="5"/>
  <c r="G3040" i="5"/>
  <c r="E3040" i="5"/>
  <c r="B3040" i="5"/>
  <c r="N3039" i="5"/>
  <c r="H3039" i="5"/>
  <c r="G3039" i="5"/>
  <c r="E3039" i="5"/>
  <c r="B3039" i="5"/>
  <c r="N3038" i="5"/>
  <c r="H3038" i="5"/>
  <c r="G3038" i="5"/>
  <c r="E3038" i="5"/>
  <c r="B3038" i="5"/>
  <c r="N3037" i="5"/>
  <c r="H3037" i="5"/>
  <c r="G3037" i="5"/>
  <c r="E3037" i="5"/>
  <c r="B3037" i="5"/>
  <c r="N3036" i="5"/>
  <c r="H3036" i="5"/>
  <c r="G3036" i="5"/>
  <c r="E3036" i="5"/>
  <c r="B3036" i="5"/>
  <c r="N3035" i="5"/>
  <c r="H3035" i="5"/>
  <c r="G3035" i="5"/>
  <c r="E3035" i="5"/>
  <c r="B3035" i="5"/>
  <c r="N3034" i="5"/>
  <c r="H3034" i="5"/>
  <c r="G3034" i="5"/>
  <c r="E3034" i="5"/>
  <c r="B3034" i="5"/>
  <c r="N3033" i="5"/>
  <c r="H3033" i="5"/>
  <c r="G3033" i="5"/>
  <c r="E3033" i="5"/>
  <c r="B3033" i="5"/>
  <c r="N3032" i="5"/>
  <c r="H3032" i="5"/>
  <c r="G3032" i="5"/>
  <c r="E3032" i="5"/>
  <c r="B3032" i="5"/>
  <c r="N3031" i="5"/>
  <c r="H3031" i="5"/>
  <c r="G3031" i="5"/>
  <c r="E3031" i="5"/>
  <c r="B3031" i="5"/>
  <c r="N3030" i="5"/>
  <c r="H3030" i="5"/>
  <c r="G3030" i="5"/>
  <c r="E3030" i="5"/>
  <c r="B3030" i="5"/>
  <c r="N3029" i="5"/>
  <c r="H3029" i="5"/>
  <c r="G3029" i="5"/>
  <c r="E3029" i="5"/>
  <c r="B3029" i="5"/>
  <c r="N3028" i="5"/>
  <c r="H3028" i="5"/>
  <c r="G3028" i="5"/>
  <c r="E3028" i="5"/>
  <c r="B3028" i="5"/>
  <c r="N3027" i="5"/>
  <c r="H3027" i="5"/>
  <c r="G3027" i="5"/>
  <c r="E3027" i="5"/>
  <c r="B3027" i="5"/>
  <c r="N3026" i="5"/>
  <c r="H3026" i="5"/>
  <c r="G3026" i="5"/>
  <c r="E3026" i="5"/>
  <c r="B3026" i="5"/>
  <c r="N3025" i="5"/>
  <c r="H3025" i="5"/>
  <c r="G3025" i="5"/>
  <c r="E3025" i="5"/>
  <c r="B3025" i="5"/>
  <c r="N3024" i="5"/>
  <c r="H3024" i="5"/>
  <c r="G3024" i="5"/>
  <c r="E3024" i="5"/>
  <c r="B3024" i="5"/>
  <c r="N3023" i="5"/>
  <c r="H3023" i="5"/>
  <c r="G3023" i="5"/>
  <c r="E3023" i="5"/>
  <c r="B3023" i="5"/>
  <c r="N3022" i="5"/>
  <c r="H3022" i="5"/>
  <c r="G3022" i="5"/>
  <c r="E3022" i="5"/>
  <c r="B3022" i="5"/>
  <c r="N3021" i="5"/>
  <c r="H3021" i="5"/>
  <c r="G3021" i="5"/>
  <c r="E3021" i="5"/>
  <c r="B3021" i="5"/>
  <c r="N3020" i="5"/>
  <c r="H3020" i="5"/>
  <c r="G3020" i="5"/>
  <c r="E3020" i="5"/>
  <c r="B3020" i="5"/>
  <c r="N3019" i="5"/>
  <c r="H3019" i="5"/>
  <c r="G3019" i="5"/>
  <c r="E3019" i="5"/>
  <c r="B3019" i="5"/>
  <c r="N3018" i="5"/>
  <c r="H3018" i="5"/>
  <c r="G3018" i="5"/>
  <c r="E3018" i="5"/>
  <c r="B3018" i="5"/>
  <c r="N3017" i="5"/>
  <c r="H3017" i="5"/>
  <c r="G3017" i="5"/>
  <c r="E3017" i="5"/>
  <c r="B3017" i="5"/>
  <c r="N3016" i="5"/>
  <c r="H3016" i="5"/>
  <c r="G3016" i="5"/>
  <c r="E3016" i="5"/>
  <c r="B3016" i="5"/>
  <c r="N3015" i="5"/>
  <c r="H3015" i="5"/>
  <c r="G3015" i="5"/>
  <c r="E3015" i="5"/>
  <c r="B3015" i="5"/>
  <c r="N3014" i="5"/>
  <c r="H3014" i="5"/>
  <c r="G3014" i="5"/>
  <c r="E3014" i="5"/>
  <c r="B3014" i="5"/>
  <c r="N3013" i="5"/>
  <c r="H3013" i="5"/>
  <c r="G3013" i="5"/>
  <c r="E3013" i="5"/>
  <c r="B3013" i="5"/>
  <c r="N3012" i="5"/>
  <c r="H3012" i="5"/>
  <c r="G3012" i="5"/>
  <c r="E3012" i="5"/>
  <c r="B3012" i="5"/>
  <c r="N3011" i="5"/>
  <c r="H3011" i="5"/>
  <c r="G3011" i="5"/>
  <c r="E3011" i="5"/>
  <c r="B3011" i="5"/>
  <c r="N3010" i="5"/>
  <c r="H3010" i="5"/>
  <c r="G3010" i="5"/>
  <c r="E3010" i="5"/>
  <c r="B3010" i="5"/>
  <c r="N3009" i="5"/>
  <c r="H3009" i="5"/>
  <c r="G3009" i="5"/>
  <c r="E3009" i="5"/>
  <c r="B3009" i="5"/>
  <c r="N3008" i="5"/>
  <c r="H3008" i="5"/>
  <c r="G3008" i="5"/>
  <c r="E3008" i="5"/>
  <c r="B3008" i="5"/>
  <c r="N3007" i="5"/>
  <c r="H3007" i="5"/>
  <c r="G3007" i="5"/>
  <c r="E3007" i="5"/>
  <c r="B3007" i="5"/>
  <c r="N3006" i="5"/>
  <c r="H3006" i="5"/>
  <c r="G3006" i="5"/>
  <c r="E3006" i="5"/>
  <c r="B3006" i="5"/>
  <c r="N3005" i="5"/>
  <c r="H3005" i="5"/>
  <c r="G3005" i="5"/>
  <c r="E3005" i="5"/>
  <c r="B3005" i="5"/>
  <c r="N3004" i="5"/>
  <c r="H3004" i="5"/>
  <c r="G3004" i="5"/>
  <c r="E3004" i="5"/>
  <c r="B3004" i="5"/>
  <c r="N3003" i="5"/>
  <c r="H3003" i="5"/>
  <c r="G3003" i="5"/>
  <c r="E3003" i="5"/>
  <c r="B3003" i="5"/>
  <c r="N3002" i="5"/>
  <c r="H3002" i="5"/>
  <c r="G3002" i="5"/>
  <c r="E3002" i="5"/>
  <c r="B3002" i="5"/>
  <c r="N3001" i="5"/>
  <c r="H3001" i="5"/>
  <c r="G3001" i="5"/>
  <c r="E3001" i="5"/>
  <c r="B3001" i="5"/>
  <c r="N3000" i="5"/>
  <c r="H3000" i="5"/>
  <c r="G3000" i="5"/>
  <c r="E3000" i="5"/>
  <c r="B3000" i="5"/>
  <c r="N2999" i="5"/>
  <c r="H2999" i="5"/>
  <c r="G2999" i="5"/>
  <c r="E2999" i="5"/>
  <c r="B2999" i="5"/>
  <c r="N2998" i="5"/>
  <c r="H2998" i="5"/>
  <c r="G2998" i="5"/>
  <c r="E2998" i="5"/>
  <c r="B2998" i="5"/>
  <c r="N2997" i="5"/>
  <c r="H2997" i="5"/>
  <c r="G2997" i="5"/>
  <c r="E2997" i="5"/>
  <c r="B2997" i="5"/>
  <c r="N2996" i="5"/>
  <c r="H2996" i="5"/>
  <c r="G2996" i="5"/>
  <c r="E2996" i="5"/>
  <c r="B2996" i="5"/>
  <c r="N2995" i="5"/>
  <c r="H2995" i="5"/>
  <c r="G2995" i="5"/>
  <c r="E2995" i="5"/>
  <c r="B2995" i="5"/>
  <c r="N2994" i="5"/>
  <c r="H2994" i="5"/>
  <c r="G2994" i="5"/>
  <c r="E2994" i="5"/>
  <c r="B2994" i="5"/>
  <c r="N2993" i="5"/>
  <c r="H2993" i="5"/>
  <c r="G2993" i="5"/>
  <c r="E2993" i="5"/>
  <c r="B2993" i="5"/>
  <c r="N2992" i="5"/>
  <c r="H2992" i="5"/>
  <c r="G2992" i="5"/>
  <c r="E2992" i="5"/>
  <c r="B2992" i="5"/>
  <c r="N2991" i="5"/>
  <c r="H2991" i="5"/>
  <c r="G2991" i="5"/>
  <c r="E2991" i="5"/>
  <c r="B2991" i="5"/>
  <c r="N2990" i="5"/>
  <c r="H2990" i="5"/>
  <c r="G2990" i="5"/>
  <c r="E2990" i="5"/>
  <c r="B2990" i="5"/>
  <c r="N2989" i="5"/>
  <c r="H2989" i="5"/>
  <c r="G2989" i="5"/>
  <c r="E2989" i="5"/>
  <c r="B2989" i="5"/>
  <c r="N2988" i="5"/>
  <c r="H2988" i="5"/>
  <c r="G2988" i="5"/>
  <c r="E2988" i="5"/>
  <c r="B2988" i="5"/>
  <c r="N2987" i="5"/>
  <c r="H2987" i="5"/>
  <c r="G2987" i="5"/>
  <c r="E2987" i="5"/>
  <c r="B2987" i="5"/>
  <c r="N2986" i="5"/>
  <c r="H2986" i="5"/>
  <c r="G2986" i="5"/>
  <c r="E2986" i="5"/>
  <c r="B2986" i="5"/>
  <c r="N2985" i="5"/>
  <c r="H2985" i="5"/>
  <c r="G2985" i="5"/>
  <c r="E2985" i="5"/>
  <c r="B2985" i="5"/>
  <c r="N2984" i="5"/>
  <c r="H2984" i="5"/>
  <c r="G2984" i="5"/>
  <c r="E2984" i="5"/>
  <c r="B2984" i="5"/>
  <c r="N2983" i="5"/>
  <c r="H2983" i="5"/>
  <c r="G2983" i="5"/>
  <c r="E2983" i="5"/>
  <c r="B2983" i="5"/>
  <c r="N2982" i="5"/>
  <c r="H2982" i="5"/>
  <c r="G2982" i="5"/>
  <c r="E2982" i="5"/>
  <c r="B2982" i="5"/>
  <c r="N2981" i="5"/>
  <c r="H2981" i="5"/>
  <c r="G2981" i="5"/>
  <c r="E2981" i="5"/>
  <c r="B2981" i="5"/>
  <c r="N2980" i="5"/>
  <c r="H2980" i="5"/>
  <c r="G2980" i="5"/>
  <c r="E2980" i="5"/>
  <c r="B2980" i="5"/>
  <c r="N2979" i="5"/>
  <c r="H2979" i="5"/>
  <c r="G2979" i="5"/>
  <c r="E2979" i="5"/>
  <c r="B2979" i="5"/>
  <c r="N2978" i="5"/>
  <c r="H2978" i="5"/>
  <c r="G2978" i="5"/>
  <c r="E2978" i="5"/>
  <c r="B2978" i="5"/>
  <c r="N2977" i="5"/>
  <c r="H2977" i="5"/>
  <c r="G2977" i="5"/>
  <c r="E2977" i="5"/>
  <c r="B2977" i="5"/>
  <c r="N2976" i="5"/>
  <c r="H2976" i="5"/>
  <c r="G2976" i="5"/>
  <c r="E2976" i="5"/>
  <c r="B2976" i="5"/>
  <c r="N2975" i="5"/>
  <c r="H2975" i="5"/>
  <c r="G2975" i="5"/>
  <c r="E2975" i="5"/>
  <c r="B2975" i="5"/>
  <c r="N2974" i="5"/>
  <c r="H2974" i="5"/>
  <c r="G2974" i="5"/>
  <c r="E2974" i="5"/>
  <c r="B2974" i="5"/>
  <c r="N2973" i="5"/>
  <c r="H2973" i="5"/>
  <c r="G2973" i="5"/>
  <c r="E2973" i="5"/>
  <c r="B2973" i="5"/>
  <c r="N2972" i="5"/>
  <c r="H2972" i="5"/>
  <c r="G2972" i="5"/>
  <c r="E2972" i="5"/>
  <c r="B2972" i="5"/>
  <c r="N2971" i="5"/>
  <c r="H2971" i="5"/>
  <c r="G2971" i="5"/>
  <c r="E2971" i="5"/>
  <c r="B2971" i="5"/>
  <c r="N2970" i="5"/>
  <c r="H2970" i="5"/>
  <c r="G2970" i="5"/>
  <c r="E2970" i="5"/>
  <c r="B2970" i="5"/>
  <c r="N2969" i="5"/>
  <c r="H2969" i="5"/>
  <c r="G2969" i="5"/>
  <c r="E2969" i="5"/>
  <c r="B2969" i="5"/>
  <c r="N2968" i="5"/>
  <c r="H2968" i="5"/>
  <c r="G2968" i="5"/>
  <c r="E2968" i="5"/>
  <c r="B2968" i="5"/>
  <c r="N2967" i="5"/>
  <c r="H2967" i="5"/>
  <c r="G2967" i="5"/>
  <c r="E2967" i="5"/>
  <c r="B2967" i="5"/>
  <c r="N2966" i="5"/>
  <c r="H2966" i="5"/>
  <c r="G2966" i="5"/>
  <c r="E2966" i="5"/>
  <c r="B2966" i="5"/>
  <c r="N2965" i="5"/>
  <c r="H2965" i="5"/>
  <c r="G2965" i="5"/>
  <c r="E2965" i="5"/>
  <c r="B2965" i="5"/>
  <c r="N2964" i="5"/>
  <c r="H2964" i="5"/>
  <c r="G2964" i="5"/>
  <c r="E2964" i="5"/>
  <c r="B2964" i="5"/>
  <c r="N2963" i="5"/>
  <c r="H2963" i="5"/>
  <c r="G2963" i="5"/>
  <c r="E2963" i="5"/>
  <c r="B2963" i="5"/>
  <c r="N2962" i="5"/>
  <c r="H2962" i="5"/>
  <c r="G2962" i="5"/>
  <c r="E2962" i="5"/>
  <c r="B2962" i="5"/>
  <c r="N2961" i="5"/>
  <c r="H2961" i="5"/>
  <c r="G2961" i="5"/>
  <c r="E2961" i="5"/>
  <c r="B2961" i="5"/>
  <c r="N2960" i="5"/>
  <c r="H2960" i="5"/>
  <c r="G2960" i="5"/>
  <c r="E2960" i="5"/>
  <c r="B2960" i="5"/>
  <c r="N2959" i="5"/>
  <c r="H2959" i="5"/>
  <c r="G2959" i="5"/>
  <c r="E2959" i="5"/>
  <c r="B2959" i="5"/>
  <c r="N2958" i="5"/>
  <c r="H2958" i="5"/>
  <c r="G2958" i="5"/>
  <c r="E2958" i="5"/>
  <c r="B2958" i="5"/>
  <c r="N2957" i="5"/>
  <c r="H2957" i="5"/>
  <c r="G2957" i="5"/>
  <c r="E2957" i="5"/>
  <c r="B2957" i="5"/>
  <c r="N2956" i="5"/>
  <c r="H2956" i="5"/>
  <c r="G2956" i="5"/>
  <c r="E2956" i="5"/>
  <c r="B2956" i="5"/>
  <c r="N2955" i="5"/>
  <c r="H2955" i="5"/>
  <c r="G2955" i="5"/>
  <c r="E2955" i="5"/>
  <c r="B2955" i="5"/>
  <c r="N2954" i="5"/>
  <c r="H2954" i="5"/>
  <c r="G2954" i="5"/>
  <c r="E2954" i="5"/>
  <c r="B2954" i="5"/>
  <c r="N2953" i="5"/>
  <c r="H2953" i="5"/>
  <c r="G2953" i="5"/>
  <c r="E2953" i="5"/>
  <c r="B2953" i="5"/>
  <c r="N2952" i="5"/>
  <c r="H2952" i="5"/>
  <c r="G2952" i="5"/>
  <c r="E2952" i="5"/>
  <c r="B2952" i="5"/>
  <c r="N2951" i="5"/>
  <c r="H2951" i="5"/>
  <c r="G2951" i="5"/>
  <c r="E2951" i="5"/>
  <c r="B2951" i="5"/>
  <c r="N2950" i="5"/>
  <c r="H2950" i="5"/>
  <c r="G2950" i="5"/>
  <c r="E2950" i="5"/>
  <c r="B2950" i="5"/>
  <c r="N2949" i="5"/>
  <c r="H2949" i="5"/>
  <c r="G2949" i="5"/>
  <c r="E2949" i="5"/>
  <c r="B2949" i="5"/>
  <c r="N2948" i="5"/>
  <c r="H2948" i="5"/>
  <c r="G2948" i="5"/>
  <c r="E2948" i="5"/>
  <c r="B2948" i="5"/>
  <c r="N2947" i="5"/>
  <c r="H2947" i="5"/>
  <c r="G2947" i="5"/>
  <c r="E2947" i="5"/>
  <c r="B2947" i="5"/>
  <c r="N2946" i="5"/>
  <c r="H2946" i="5"/>
  <c r="G2946" i="5"/>
  <c r="E2946" i="5"/>
  <c r="B2946" i="5"/>
  <c r="N2945" i="5"/>
  <c r="H2945" i="5"/>
  <c r="G2945" i="5"/>
  <c r="E2945" i="5"/>
  <c r="B2945" i="5"/>
  <c r="N2944" i="5"/>
  <c r="H2944" i="5"/>
  <c r="G2944" i="5"/>
  <c r="E2944" i="5"/>
  <c r="B2944" i="5"/>
  <c r="N2943" i="5"/>
  <c r="H2943" i="5"/>
  <c r="G2943" i="5"/>
  <c r="E2943" i="5"/>
  <c r="B2943" i="5"/>
  <c r="N2942" i="5"/>
  <c r="H2942" i="5"/>
  <c r="G2942" i="5"/>
  <c r="E2942" i="5"/>
  <c r="B2942" i="5"/>
  <c r="N2941" i="5"/>
  <c r="H2941" i="5"/>
  <c r="G2941" i="5"/>
  <c r="E2941" i="5"/>
  <c r="B2941" i="5"/>
  <c r="N2940" i="5"/>
  <c r="H2940" i="5"/>
  <c r="G2940" i="5"/>
  <c r="E2940" i="5"/>
  <c r="B2940" i="5"/>
  <c r="N2939" i="5"/>
  <c r="H2939" i="5"/>
  <c r="G2939" i="5"/>
  <c r="E2939" i="5"/>
  <c r="B2939" i="5"/>
  <c r="N2938" i="5"/>
  <c r="H2938" i="5"/>
  <c r="G2938" i="5"/>
  <c r="E2938" i="5"/>
  <c r="B2938" i="5"/>
  <c r="N2937" i="5"/>
  <c r="H2937" i="5"/>
  <c r="G2937" i="5"/>
  <c r="E2937" i="5"/>
  <c r="B2937" i="5"/>
  <c r="N2936" i="5"/>
  <c r="H2936" i="5"/>
  <c r="G2936" i="5"/>
  <c r="E2936" i="5"/>
  <c r="B2936" i="5"/>
  <c r="N2935" i="5"/>
  <c r="H2935" i="5"/>
  <c r="G2935" i="5"/>
  <c r="E2935" i="5"/>
  <c r="B2935" i="5"/>
  <c r="N2934" i="5"/>
  <c r="H2934" i="5"/>
  <c r="G2934" i="5"/>
  <c r="E2934" i="5"/>
  <c r="B2934" i="5"/>
  <c r="N2933" i="5"/>
  <c r="H2933" i="5"/>
  <c r="G2933" i="5"/>
  <c r="E2933" i="5"/>
  <c r="B2933" i="5"/>
  <c r="N2932" i="5"/>
  <c r="H2932" i="5"/>
  <c r="G2932" i="5"/>
  <c r="E2932" i="5"/>
  <c r="B2932" i="5"/>
  <c r="N2931" i="5"/>
  <c r="H2931" i="5"/>
  <c r="G2931" i="5"/>
  <c r="E2931" i="5"/>
  <c r="B2931" i="5"/>
  <c r="N2930" i="5"/>
  <c r="H2930" i="5"/>
  <c r="G2930" i="5"/>
  <c r="E2930" i="5"/>
  <c r="B2930" i="5"/>
  <c r="N2929" i="5"/>
  <c r="H2929" i="5"/>
  <c r="G2929" i="5"/>
  <c r="E2929" i="5"/>
  <c r="B2929" i="5"/>
  <c r="N2928" i="5"/>
  <c r="H2928" i="5"/>
  <c r="G2928" i="5"/>
  <c r="E2928" i="5"/>
  <c r="B2928" i="5"/>
  <c r="N2927" i="5"/>
  <c r="H2927" i="5"/>
  <c r="G2927" i="5"/>
  <c r="E2927" i="5"/>
  <c r="B2927" i="5"/>
  <c r="N2926" i="5"/>
  <c r="H2926" i="5"/>
  <c r="G2926" i="5"/>
  <c r="E2926" i="5"/>
  <c r="B2926" i="5"/>
  <c r="N2925" i="5"/>
  <c r="H2925" i="5"/>
  <c r="G2925" i="5"/>
  <c r="E2925" i="5"/>
  <c r="B2925" i="5"/>
  <c r="N2924" i="5"/>
  <c r="H2924" i="5"/>
  <c r="G2924" i="5"/>
  <c r="E2924" i="5"/>
  <c r="B2924" i="5"/>
  <c r="N2923" i="5"/>
  <c r="H2923" i="5"/>
  <c r="G2923" i="5"/>
  <c r="E2923" i="5"/>
  <c r="B2923" i="5"/>
  <c r="N2922" i="5"/>
  <c r="H2922" i="5"/>
  <c r="G2922" i="5"/>
  <c r="E2922" i="5"/>
  <c r="B2922" i="5"/>
  <c r="N2921" i="5"/>
  <c r="H2921" i="5"/>
  <c r="G2921" i="5"/>
  <c r="E2921" i="5"/>
  <c r="B2921" i="5"/>
  <c r="N2920" i="5"/>
  <c r="H2920" i="5"/>
  <c r="G2920" i="5"/>
  <c r="E2920" i="5"/>
  <c r="B2920" i="5"/>
  <c r="N2919" i="5"/>
  <c r="H2919" i="5"/>
  <c r="G2919" i="5"/>
  <c r="E2919" i="5"/>
  <c r="B2919" i="5"/>
  <c r="N2918" i="5"/>
  <c r="H2918" i="5"/>
  <c r="G2918" i="5"/>
  <c r="E2918" i="5"/>
  <c r="B2918" i="5"/>
  <c r="N2917" i="5"/>
  <c r="H2917" i="5"/>
  <c r="G2917" i="5"/>
  <c r="E2917" i="5"/>
  <c r="B2917" i="5"/>
  <c r="N2916" i="5"/>
  <c r="H2916" i="5"/>
  <c r="G2916" i="5"/>
  <c r="E2916" i="5"/>
  <c r="B2916" i="5"/>
  <c r="N2915" i="5"/>
  <c r="H2915" i="5"/>
  <c r="G2915" i="5"/>
  <c r="E2915" i="5"/>
  <c r="B2915" i="5"/>
  <c r="N2914" i="5"/>
  <c r="H2914" i="5"/>
  <c r="G2914" i="5"/>
  <c r="E2914" i="5"/>
  <c r="B2914" i="5"/>
  <c r="N2913" i="5"/>
  <c r="H2913" i="5"/>
  <c r="G2913" i="5"/>
  <c r="E2913" i="5"/>
  <c r="B2913" i="5"/>
  <c r="N2912" i="5"/>
  <c r="H2912" i="5"/>
  <c r="G2912" i="5"/>
  <c r="E2912" i="5"/>
  <c r="B2912" i="5"/>
  <c r="N2911" i="5"/>
  <c r="H2911" i="5"/>
  <c r="G2911" i="5"/>
  <c r="E2911" i="5"/>
  <c r="B2911" i="5"/>
  <c r="N2910" i="5"/>
  <c r="H2910" i="5"/>
  <c r="G2910" i="5"/>
  <c r="E2910" i="5"/>
  <c r="B2910" i="5"/>
  <c r="N2909" i="5"/>
  <c r="H2909" i="5"/>
  <c r="G2909" i="5"/>
  <c r="E2909" i="5"/>
  <c r="B2909" i="5"/>
  <c r="N2908" i="5"/>
  <c r="H2908" i="5"/>
  <c r="G2908" i="5"/>
  <c r="E2908" i="5"/>
  <c r="B2908" i="5"/>
  <c r="N2907" i="5"/>
  <c r="H2907" i="5"/>
  <c r="G2907" i="5"/>
  <c r="E2907" i="5"/>
  <c r="B2907" i="5"/>
  <c r="N2906" i="5"/>
  <c r="H2906" i="5"/>
  <c r="G2906" i="5"/>
  <c r="E2906" i="5"/>
  <c r="B2906" i="5"/>
  <c r="N2905" i="5"/>
  <c r="H2905" i="5"/>
  <c r="G2905" i="5"/>
  <c r="E2905" i="5"/>
  <c r="B2905" i="5"/>
  <c r="N2904" i="5"/>
  <c r="H2904" i="5"/>
  <c r="G2904" i="5"/>
  <c r="E2904" i="5"/>
  <c r="B2904" i="5"/>
  <c r="N2903" i="5"/>
  <c r="H2903" i="5"/>
  <c r="G2903" i="5"/>
  <c r="E2903" i="5"/>
  <c r="B2903" i="5"/>
  <c r="N2902" i="5"/>
  <c r="H2902" i="5"/>
  <c r="G2902" i="5"/>
  <c r="E2902" i="5"/>
  <c r="B2902" i="5"/>
  <c r="N2901" i="5"/>
  <c r="H2901" i="5"/>
  <c r="G2901" i="5"/>
  <c r="E2901" i="5"/>
  <c r="B2901" i="5"/>
  <c r="N2900" i="5"/>
  <c r="H2900" i="5"/>
  <c r="G2900" i="5"/>
  <c r="E2900" i="5"/>
  <c r="B2900" i="5"/>
  <c r="N2899" i="5"/>
  <c r="H2899" i="5"/>
  <c r="G2899" i="5"/>
  <c r="E2899" i="5"/>
  <c r="B2899" i="5"/>
  <c r="N2898" i="5"/>
  <c r="H2898" i="5"/>
  <c r="G2898" i="5"/>
  <c r="E2898" i="5"/>
  <c r="B2898" i="5"/>
  <c r="N2897" i="5"/>
  <c r="H2897" i="5"/>
  <c r="G2897" i="5"/>
  <c r="E2897" i="5"/>
  <c r="B2897" i="5"/>
  <c r="N2896" i="5"/>
  <c r="H2896" i="5"/>
  <c r="G2896" i="5"/>
  <c r="E2896" i="5"/>
  <c r="B2896" i="5"/>
  <c r="N2895" i="5"/>
  <c r="H2895" i="5"/>
  <c r="G2895" i="5"/>
  <c r="E2895" i="5"/>
  <c r="B2895" i="5"/>
  <c r="N2894" i="5"/>
  <c r="H2894" i="5"/>
  <c r="G2894" i="5"/>
  <c r="E2894" i="5"/>
  <c r="B2894" i="5"/>
  <c r="N2893" i="5"/>
  <c r="H2893" i="5"/>
  <c r="G2893" i="5"/>
  <c r="E2893" i="5"/>
  <c r="B2893" i="5"/>
  <c r="N2892" i="5"/>
  <c r="H2892" i="5"/>
  <c r="G2892" i="5"/>
  <c r="E2892" i="5"/>
  <c r="B2892" i="5"/>
  <c r="N2891" i="5"/>
  <c r="H2891" i="5"/>
  <c r="G2891" i="5"/>
  <c r="E2891" i="5"/>
  <c r="B2891" i="5"/>
  <c r="N2890" i="5"/>
  <c r="H2890" i="5"/>
  <c r="G2890" i="5"/>
  <c r="E2890" i="5"/>
  <c r="B2890" i="5"/>
  <c r="N2889" i="5"/>
  <c r="H2889" i="5"/>
  <c r="G2889" i="5"/>
  <c r="E2889" i="5"/>
  <c r="B2889" i="5"/>
  <c r="N2888" i="5"/>
  <c r="H2888" i="5"/>
  <c r="G2888" i="5"/>
  <c r="E2888" i="5"/>
  <c r="B2888" i="5"/>
  <c r="N2887" i="5"/>
  <c r="H2887" i="5"/>
  <c r="G2887" i="5"/>
  <c r="E2887" i="5"/>
  <c r="B2887" i="5"/>
  <c r="N2886" i="5"/>
  <c r="H2886" i="5"/>
  <c r="G2886" i="5"/>
  <c r="E2886" i="5"/>
  <c r="B2886" i="5"/>
  <c r="N2885" i="5"/>
  <c r="H2885" i="5"/>
  <c r="G2885" i="5"/>
  <c r="E2885" i="5"/>
  <c r="B2885" i="5"/>
  <c r="N2884" i="5"/>
  <c r="H2884" i="5"/>
  <c r="G2884" i="5"/>
  <c r="E2884" i="5"/>
  <c r="B2884" i="5"/>
  <c r="N2883" i="5"/>
  <c r="H2883" i="5"/>
  <c r="G2883" i="5"/>
  <c r="E2883" i="5"/>
  <c r="B2883" i="5"/>
  <c r="N2882" i="5"/>
  <c r="H2882" i="5"/>
  <c r="G2882" i="5"/>
  <c r="E2882" i="5"/>
  <c r="B2882" i="5"/>
  <c r="N2881" i="5"/>
  <c r="H2881" i="5"/>
  <c r="G2881" i="5"/>
  <c r="E2881" i="5"/>
  <c r="B2881" i="5"/>
  <c r="N2880" i="5"/>
  <c r="H2880" i="5"/>
  <c r="G2880" i="5"/>
  <c r="E2880" i="5"/>
  <c r="B2880" i="5"/>
  <c r="N2879" i="5"/>
  <c r="H2879" i="5"/>
  <c r="G2879" i="5"/>
  <c r="E2879" i="5"/>
  <c r="B2879" i="5"/>
  <c r="N2878" i="5"/>
  <c r="H2878" i="5"/>
  <c r="G2878" i="5"/>
  <c r="E2878" i="5"/>
  <c r="B2878" i="5"/>
  <c r="N2877" i="5"/>
  <c r="H2877" i="5"/>
  <c r="G2877" i="5"/>
  <c r="E2877" i="5"/>
  <c r="B2877" i="5"/>
  <c r="N2876" i="5"/>
  <c r="H2876" i="5"/>
  <c r="G2876" i="5"/>
  <c r="E2876" i="5"/>
  <c r="B2876" i="5"/>
  <c r="N2875" i="5"/>
  <c r="H2875" i="5"/>
  <c r="G2875" i="5"/>
  <c r="E2875" i="5"/>
  <c r="B2875" i="5"/>
  <c r="N2874" i="5"/>
  <c r="H2874" i="5"/>
  <c r="G2874" i="5"/>
  <c r="E2874" i="5"/>
  <c r="B2874" i="5"/>
  <c r="N2873" i="5"/>
  <c r="H2873" i="5"/>
  <c r="G2873" i="5"/>
  <c r="E2873" i="5"/>
  <c r="B2873" i="5"/>
  <c r="N2872" i="5"/>
  <c r="H2872" i="5"/>
  <c r="G2872" i="5"/>
  <c r="E2872" i="5"/>
  <c r="B2872" i="5"/>
  <c r="N2871" i="5"/>
  <c r="H2871" i="5"/>
  <c r="G2871" i="5"/>
  <c r="E2871" i="5"/>
  <c r="B2871" i="5"/>
  <c r="N2870" i="5"/>
  <c r="H2870" i="5"/>
  <c r="G2870" i="5"/>
  <c r="E2870" i="5"/>
  <c r="B2870" i="5"/>
  <c r="N2869" i="5"/>
  <c r="H2869" i="5"/>
  <c r="G2869" i="5"/>
  <c r="E2869" i="5"/>
  <c r="B2869" i="5"/>
  <c r="N2868" i="5"/>
  <c r="H2868" i="5"/>
  <c r="G2868" i="5"/>
  <c r="E2868" i="5"/>
  <c r="B2868" i="5"/>
  <c r="N2867" i="5"/>
  <c r="H2867" i="5"/>
  <c r="G2867" i="5"/>
  <c r="E2867" i="5"/>
  <c r="B2867" i="5"/>
  <c r="N2866" i="5"/>
  <c r="H2866" i="5"/>
  <c r="G2866" i="5"/>
  <c r="E2866" i="5"/>
  <c r="B2866" i="5"/>
  <c r="N2865" i="5"/>
  <c r="H2865" i="5"/>
  <c r="G2865" i="5"/>
  <c r="E2865" i="5"/>
  <c r="B2865" i="5"/>
  <c r="N2864" i="5"/>
  <c r="H2864" i="5"/>
  <c r="G2864" i="5"/>
  <c r="E2864" i="5"/>
  <c r="B2864" i="5"/>
  <c r="N2863" i="5"/>
  <c r="H2863" i="5"/>
  <c r="G2863" i="5"/>
  <c r="E2863" i="5"/>
  <c r="B2863" i="5"/>
  <c r="N2862" i="5"/>
  <c r="H2862" i="5"/>
  <c r="G2862" i="5"/>
  <c r="E2862" i="5"/>
  <c r="B2862" i="5"/>
  <c r="N2861" i="5"/>
  <c r="H2861" i="5"/>
  <c r="G2861" i="5"/>
  <c r="E2861" i="5"/>
  <c r="B2861" i="5"/>
  <c r="N2860" i="5"/>
  <c r="H2860" i="5"/>
  <c r="G2860" i="5"/>
  <c r="E2860" i="5"/>
  <c r="B2860" i="5"/>
  <c r="N2859" i="5"/>
  <c r="H2859" i="5"/>
  <c r="G2859" i="5"/>
  <c r="E2859" i="5"/>
  <c r="B2859" i="5"/>
  <c r="N2858" i="5"/>
  <c r="H2858" i="5"/>
  <c r="G2858" i="5"/>
  <c r="E2858" i="5"/>
  <c r="B2858" i="5"/>
  <c r="N2857" i="5"/>
  <c r="H2857" i="5"/>
  <c r="G2857" i="5"/>
  <c r="E2857" i="5"/>
  <c r="B2857" i="5"/>
  <c r="N2856" i="5"/>
  <c r="H2856" i="5"/>
  <c r="G2856" i="5"/>
  <c r="E2856" i="5"/>
  <c r="B2856" i="5"/>
  <c r="N2855" i="5"/>
  <c r="H2855" i="5"/>
  <c r="G2855" i="5"/>
  <c r="E2855" i="5"/>
  <c r="B2855" i="5"/>
  <c r="N2854" i="5"/>
  <c r="H2854" i="5"/>
  <c r="G2854" i="5"/>
  <c r="E2854" i="5"/>
  <c r="B2854" i="5"/>
  <c r="N2853" i="5"/>
  <c r="H2853" i="5"/>
  <c r="G2853" i="5"/>
  <c r="E2853" i="5"/>
  <c r="B2853" i="5"/>
  <c r="N2852" i="5"/>
  <c r="H2852" i="5"/>
  <c r="G2852" i="5"/>
  <c r="E2852" i="5"/>
  <c r="B2852" i="5"/>
  <c r="N2851" i="5"/>
  <c r="H2851" i="5"/>
  <c r="G2851" i="5"/>
  <c r="E2851" i="5"/>
  <c r="B2851" i="5"/>
  <c r="N2850" i="5"/>
  <c r="H2850" i="5"/>
  <c r="G2850" i="5"/>
  <c r="E2850" i="5"/>
  <c r="B2850" i="5"/>
  <c r="N2849" i="5"/>
  <c r="H2849" i="5"/>
  <c r="G2849" i="5"/>
  <c r="E2849" i="5"/>
  <c r="B2849" i="5"/>
  <c r="N2848" i="5"/>
  <c r="H2848" i="5"/>
  <c r="G2848" i="5"/>
  <c r="E2848" i="5"/>
  <c r="B2848" i="5"/>
  <c r="N2847" i="5"/>
  <c r="H2847" i="5"/>
  <c r="G2847" i="5"/>
  <c r="E2847" i="5"/>
  <c r="B2847" i="5"/>
  <c r="N2846" i="5"/>
  <c r="H2846" i="5"/>
  <c r="G2846" i="5"/>
  <c r="E2846" i="5"/>
  <c r="B2846" i="5"/>
  <c r="N2845" i="5"/>
  <c r="H2845" i="5"/>
  <c r="G2845" i="5"/>
  <c r="E2845" i="5"/>
  <c r="B2845" i="5"/>
  <c r="N2844" i="5"/>
  <c r="H2844" i="5"/>
  <c r="G2844" i="5"/>
  <c r="E2844" i="5"/>
  <c r="B2844" i="5"/>
  <c r="N2843" i="5"/>
  <c r="H2843" i="5"/>
  <c r="G2843" i="5"/>
  <c r="E2843" i="5"/>
  <c r="B2843" i="5"/>
  <c r="N2842" i="5"/>
  <c r="H2842" i="5"/>
  <c r="G2842" i="5"/>
  <c r="E2842" i="5"/>
  <c r="B2842" i="5"/>
  <c r="N2841" i="5"/>
  <c r="H2841" i="5"/>
  <c r="G2841" i="5"/>
  <c r="E2841" i="5"/>
  <c r="B2841" i="5"/>
  <c r="N2840" i="5"/>
  <c r="H2840" i="5"/>
  <c r="G2840" i="5"/>
  <c r="E2840" i="5"/>
  <c r="B2840" i="5"/>
  <c r="N2839" i="5"/>
  <c r="H2839" i="5"/>
  <c r="G2839" i="5"/>
  <c r="E2839" i="5"/>
  <c r="B2839" i="5"/>
  <c r="N2838" i="5"/>
  <c r="H2838" i="5"/>
  <c r="G2838" i="5"/>
  <c r="E2838" i="5"/>
  <c r="B2838" i="5"/>
  <c r="N2837" i="5"/>
  <c r="H2837" i="5"/>
  <c r="G2837" i="5"/>
  <c r="E2837" i="5"/>
  <c r="B2837" i="5"/>
  <c r="N2836" i="5"/>
  <c r="H2836" i="5"/>
  <c r="G2836" i="5"/>
  <c r="E2836" i="5"/>
  <c r="B2836" i="5"/>
  <c r="N2835" i="5"/>
  <c r="H2835" i="5"/>
  <c r="G2835" i="5"/>
  <c r="E2835" i="5"/>
  <c r="B2835" i="5"/>
  <c r="N2834" i="5"/>
  <c r="H2834" i="5"/>
  <c r="G2834" i="5"/>
  <c r="E2834" i="5"/>
  <c r="B2834" i="5"/>
  <c r="N2833" i="5"/>
  <c r="H2833" i="5"/>
  <c r="G2833" i="5"/>
  <c r="E2833" i="5"/>
  <c r="B2833" i="5"/>
  <c r="N2832" i="5"/>
  <c r="H2832" i="5"/>
  <c r="G2832" i="5"/>
  <c r="E2832" i="5"/>
  <c r="B2832" i="5"/>
  <c r="N2831" i="5"/>
  <c r="H2831" i="5"/>
  <c r="G2831" i="5"/>
  <c r="E2831" i="5"/>
  <c r="B2831" i="5"/>
  <c r="N2830" i="5"/>
  <c r="H2830" i="5"/>
  <c r="G2830" i="5"/>
  <c r="E2830" i="5"/>
  <c r="B2830" i="5"/>
  <c r="N2829" i="5"/>
  <c r="H2829" i="5"/>
  <c r="G2829" i="5"/>
  <c r="E2829" i="5"/>
  <c r="B2829" i="5"/>
  <c r="N2828" i="5"/>
  <c r="H2828" i="5"/>
  <c r="G2828" i="5"/>
  <c r="E2828" i="5"/>
  <c r="B2828" i="5"/>
  <c r="N2827" i="5"/>
  <c r="H2827" i="5"/>
  <c r="G2827" i="5"/>
  <c r="E2827" i="5"/>
  <c r="B2827" i="5"/>
  <c r="N2826" i="5"/>
  <c r="H2826" i="5"/>
  <c r="G2826" i="5"/>
  <c r="E2826" i="5"/>
  <c r="B2826" i="5"/>
  <c r="N2825" i="5"/>
  <c r="H2825" i="5"/>
  <c r="G2825" i="5"/>
  <c r="E2825" i="5"/>
  <c r="B2825" i="5"/>
  <c r="N2824" i="5"/>
  <c r="H2824" i="5"/>
  <c r="G2824" i="5"/>
  <c r="E2824" i="5"/>
  <c r="B2824" i="5"/>
  <c r="N2823" i="5"/>
  <c r="H2823" i="5"/>
  <c r="G2823" i="5"/>
  <c r="E2823" i="5"/>
  <c r="B2823" i="5"/>
  <c r="N2822" i="5"/>
  <c r="H2822" i="5"/>
  <c r="G2822" i="5"/>
  <c r="E2822" i="5"/>
  <c r="B2822" i="5"/>
  <c r="N2821" i="5"/>
  <c r="H2821" i="5"/>
  <c r="G2821" i="5"/>
  <c r="E2821" i="5"/>
  <c r="B2821" i="5"/>
  <c r="N2820" i="5"/>
  <c r="H2820" i="5"/>
  <c r="G2820" i="5"/>
  <c r="E2820" i="5"/>
  <c r="B2820" i="5"/>
  <c r="N2819" i="5"/>
  <c r="H2819" i="5"/>
  <c r="G2819" i="5"/>
  <c r="E2819" i="5"/>
  <c r="B2819" i="5"/>
  <c r="N2818" i="5"/>
  <c r="H2818" i="5"/>
  <c r="G2818" i="5"/>
  <c r="E2818" i="5"/>
  <c r="B2818" i="5"/>
  <c r="N2817" i="5"/>
  <c r="H2817" i="5"/>
  <c r="G2817" i="5"/>
  <c r="E2817" i="5"/>
  <c r="B2817" i="5"/>
  <c r="N2816" i="5"/>
  <c r="H2816" i="5"/>
  <c r="G2816" i="5"/>
  <c r="E2816" i="5"/>
  <c r="B2816" i="5"/>
  <c r="N2815" i="5"/>
  <c r="H2815" i="5"/>
  <c r="G2815" i="5"/>
  <c r="E2815" i="5"/>
  <c r="B2815" i="5"/>
  <c r="N2814" i="5"/>
  <c r="H2814" i="5"/>
  <c r="G2814" i="5"/>
  <c r="F2814" i="5"/>
  <c r="E2814" i="5"/>
  <c r="D2814" i="5" a="1"/>
  <c r="D2814" i="5" s="1"/>
  <c r="B2814" i="5"/>
  <c r="N2813" i="5"/>
  <c r="H2813" i="5"/>
  <c r="G2813" i="5"/>
  <c r="F2813" i="5"/>
  <c r="E2813" i="5"/>
  <c r="D2813" i="5" a="1"/>
  <c r="D2813" i="5" s="1"/>
  <c r="B2813" i="5"/>
  <c r="N2812" i="5"/>
  <c r="H2812" i="5"/>
  <c r="G2812" i="5"/>
  <c r="F2812" i="5"/>
  <c r="E2812" i="5"/>
  <c r="D2812" i="5" a="1"/>
  <c r="D2812" i="5" s="1"/>
  <c r="B2812" i="5"/>
  <c r="N2811" i="5"/>
  <c r="H2811" i="5"/>
  <c r="G2811" i="5"/>
  <c r="F2811" i="5"/>
  <c r="E2811" i="5"/>
  <c r="D2811" i="5" a="1"/>
  <c r="D2811" i="5" s="1"/>
  <c r="B2811" i="5"/>
  <c r="N2810" i="5"/>
  <c r="H2810" i="5"/>
  <c r="G2810" i="5"/>
  <c r="F2810" i="5"/>
  <c r="E2810" i="5"/>
  <c r="D2810" i="5" a="1"/>
  <c r="D2810" i="5" s="1"/>
  <c r="B2810" i="5"/>
  <c r="N2809" i="5"/>
  <c r="H2809" i="5"/>
  <c r="G2809" i="5"/>
  <c r="F2809" i="5"/>
  <c r="E2809" i="5"/>
  <c r="D2809" i="5" a="1"/>
  <c r="D2809" i="5" s="1"/>
  <c r="B2809" i="5"/>
  <c r="N2808" i="5"/>
  <c r="H2808" i="5"/>
  <c r="G2808" i="5"/>
  <c r="F2808" i="5"/>
  <c r="E2808" i="5"/>
  <c r="D2808" i="5" a="1"/>
  <c r="D2808" i="5" s="1"/>
  <c r="B2808" i="5"/>
  <c r="N2807" i="5"/>
  <c r="H2807" i="5"/>
  <c r="G2807" i="5"/>
  <c r="F2807" i="5"/>
  <c r="E2807" i="5"/>
  <c r="D2807" i="5" a="1"/>
  <c r="D2807" i="5" s="1"/>
  <c r="B2807" i="5"/>
  <c r="N2806" i="5"/>
  <c r="H2806" i="5"/>
  <c r="G2806" i="5"/>
  <c r="F2806" i="5"/>
  <c r="E2806" i="5"/>
  <c r="D2806" i="5" a="1"/>
  <c r="D2806" i="5" s="1"/>
  <c r="B2806" i="5"/>
  <c r="N2805" i="5"/>
  <c r="H2805" i="5"/>
  <c r="G2805" i="5"/>
  <c r="F2805" i="5"/>
  <c r="E2805" i="5"/>
  <c r="D2805" i="5" a="1"/>
  <c r="D2805" i="5" s="1"/>
  <c r="B2805" i="5"/>
  <c r="N2804" i="5"/>
  <c r="H2804" i="5"/>
  <c r="G2804" i="5"/>
  <c r="F2804" i="5"/>
  <c r="E2804" i="5"/>
  <c r="D2804" i="5" a="1"/>
  <c r="D2804" i="5" s="1"/>
  <c r="B2804" i="5"/>
  <c r="N2803" i="5"/>
  <c r="H2803" i="5"/>
  <c r="G2803" i="5"/>
  <c r="F2803" i="5"/>
  <c r="E2803" i="5"/>
  <c r="D2803" i="5" a="1"/>
  <c r="D2803" i="5" s="1"/>
  <c r="B2803" i="5"/>
  <c r="N2802" i="5"/>
  <c r="H2802" i="5"/>
  <c r="G2802" i="5"/>
  <c r="F2802" i="5"/>
  <c r="E2802" i="5"/>
  <c r="D2802" i="5" a="1"/>
  <c r="D2802" i="5" s="1"/>
  <c r="B2802" i="5"/>
  <c r="N2801" i="5"/>
  <c r="H2801" i="5"/>
  <c r="G2801" i="5"/>
  <c r="F2801" i="5"/>
  <c r="E2801" i="5"/>
  <c r="D2801" i="5" a="1"/>
  <c r="D2801" i="5" s="1"/>
  <c r="B2801" i="5"/>
  <c r="N2800" i="5"/>
  <c r="H2800" i="5"/>
  <c r="G2800" i="5"/>
  <c r="F2800" i="5"/>
  <c r="E2800" i="5"/>
  <c r="D2800" i="5" a="1"/>
  <c r="D2800" i="5" s="1"/>
  <c r="B2800" i="5"/>
  <c r="N2799" i="5"/>
  <c r="H2799" i="5"/>
  <c r="G2799" i="5"/>
  <c r="F2799" i="5"/>
  <c r="E2799" i="5"/>
  <c r="D2799" i="5" a="1"/>
  <c r="D2799" i="5" s="1"/>
  <c r="B2799" i="5"/>
  <c r="N2798" i="5"/>
  <c r="H2798" i="5"/>
  <c r="G2798" i="5"/>
  <c r="F2798" i="5"/>
  <c r="E2798" i="5"/>
  <c r="D2798" i="5" a="1"/>
  <c r="D2798" i="5" s="1"/>
  <c r="B2798" i="5"/>
  <c r="N2797" i="5"/>
  <c r="H2797" i="5"/>
  <c r="G2797" i="5"/>
  <c r="F2797" i="5"/>
  <c r="E2797" i="5"/>
  <c r="D2797" i="5" a="1"/>
  <c r="D2797" i="5" s="1"/>
  <c r="B2797" i="5"/>
  <c r="N2796" i="5"/>
  <c r="H2796" i="5"/>
  <c r="G2796" i="5"/>
  <c r="F2796" i="5"/>
  <c r="E2796" i="5"/>
  <c r="D2796" i="5" a="1"/>
  <c r="D2796" i="5" s="1"/>
  <c r="B2796" i="5"/>
  <c r="N2795" i="5"/>
  <c r="H2795" i="5"/>
  <c r="G2795" i="5"/>
  <c r="F2795" i="5"/>
  <c r="E2795" i="5"/>
  <c r="D2795" i="5" a="1"/>
  <c r="D2795" i="5" s="1"/>
  <c r="B2795" i="5"/>
  <c r="N2794" i="5"/>
  <c r="H2794" i="5"/>
  <c r="G2794" i="5"/>
  <c r="F2794" i="5"/>
  <c r="E2794" i="5"/>
  <c r="D2794" i="5" a="1"/>
  <c r="D2794" i="5" s="1"/>
  <c r="B2794" i="5"/>
  <c r="N2793" i="5"/>
  <c r="H2793" i="5"/>
  <c r="G2793" i="5"/>
  <c r="F2793" i="5"/>
  <c r="E2793" i="5"/>
  <c r="D2793" i="5" a="1"/>
  <c r="D2793" i="5" s="1"/>
  <c r="B2793" i="5"/>
  <c r="N2792" i="5"/>
  <c r="H2792" i="5"/>
  <c r="G2792" i="5"/>
  <c r="F2792" i="5"/>
  <c r="E2792" i="5"/>
  <c r="D2792" i="5" a="1"/>
  <c r="D2792" i="5" s="1"/>
  <c r="B2792" i="5"/>
  <c r="N2791" i="5"/>
  <c r="H2791" i="5"/>
  <c r="G2791" i="5"/>
  <c r="F2791" i="5"/>
  <c r="E2791" i="5"/>
  <c r="D2791" i="5" a="1"/>
  <c r="D2791" i="5" s="1"/>
  <c r="B2791" i="5"/>
  <c r="N2790" i="5"/>
  <c r="H2790" i="5"/>
  <c r="G2790" i="5"/>
  <c r="F2790" i="5"/>
  <c r="E2790" i="5"/>
  <c r="D2790" i="5" a="1"/>
  <c r="D2790" i="5" s="1"/>
  <c r="B2790" i="5"/>
  <c r="N2789" i="5"/>
  <c r="H2789" i="5"/>
  <c r="G2789" i="5"/>
  <c r="F2789" i="5"/>
  <c r="E2789" i="5"/>
  <c r="D2789" i="5" a="1"/>
  <c r="D2789" i="5" s="1"/>
  <c r="B2789" i="5"/>
  <c r="N2788" i="5"/>
  <c r="H2788" i="5"/>
  <c r="G2788" i="5"/>
  <c r="F2788" i="5"/>
  <c r="E2788" i="5"/>
  <c r="D2788" i="5" a="1"/>
  <c r="D2788" i="5" s="1"/>
  <c r="B2788" i="5"/>
  <c r="N2787" i="5"/>
  <c r="H2787" i="5"/>
  <c r="G2787" i="5"/>
  <c r="F2787" i="5"/>
  <c r="E2787" i="5"/>
  <c r="D2787" i="5" a="1"/>
  <c r="D2787" i="5" s="1"/>
  <c r="B2787" i="5"/>
  <c r="N2786" i="5"/>
  <c r="H2786" i="5"/>
  <c r="G2786" i="5"/>
  <c r="F2786" i="5"/>
  <c r="E2786" i="5"/>
  <c r="D2786" i="5" a="1"/>
  <c r="D2786" i="5" s="1"/>
  <c r="B2786" i="5"/>
  <c r="N2785" i="5"/>
  <c r="H2785" i="5"/>
  <c r="G2785" i="5"/>
  <c r="F2785" i="5"/>
  <c r="E2785" i="5"/>
  <c r="D2785" i="5" a="1"/>
  <c r="D2785" i="5" s="1"/>
  <c r="B2785" i="5"/>
  <c r="N2784" i="5"/>
  <c r="H2784" i="5"/>
  <c r="G2784" i="5"/>
  <c r="F2784" i="5"/>
  <c r="E2784" i="5"/>
  <c r="D2784" i="5" a="1"/>
  <c r="D2784" i="5" s="1"/>
  <c r="B2784" i="5"/>
  <c r="N2783" i="5"/>
  <c r="H2783" i="5"/>
  <c r="G2783" i="5"/>
  <c r="F2783" i="5"/>
  <c r="E2783" i="5"/>
  <c r="D2783" i="5" a="1"/>
  <c r="D2783" i="5" s="1"/>
  <c r="B2783" i="5"/>
  <c r="N2782" i="5"/>
  <c r="H2782" i="5"/>
  <c r="G2782" i="5"/>
  <c r="F2782" i="5"/>
  <c r="E2782" i="5"/>
  <c r="D2782" i="5" a="1"/>
  <c r="D2782" i="5" s="1"/>
  <c r="B2782" i="5"/>
  <c r="N2781" i="5"/>
  <c r="H2781" i="5"/>
  <c r="G2781" i="5"/>
  <c r="F2781" i="5"/>
  <c r="E2781" i="5"/>
  <c r="D2781" i="5" a="1"/>
  <c r="D2781" i="5" s="1"/>
  <c r="B2781" i="5"/>
  <c r="N2780" i="5"/>
  <c r="H2780" i="5"/>
  <c r="G2780" i="5"/>
  <c r="F2780" i="5"/>
  <c r="E2780" i="5"/>
  <c r="D2780" i="5" a="1"/>
  <c r="D2780" i="5" s="1"/>
  <c r="B2780" i="5"/>
  <c r="N2779" i="5"/>
  <c r="H2779" i="5"/>
  <c r="G2779" i="5"/>
  <c r="F2779" i="5"/>
  <c r="E2779" i="5"/>
  <c r="D2779" i="5" a="1"/>
  <c r="D2779" i="5" s="1"/>
  <c r="B2779" i="5"/>
  <c r="N2778" i="5"/>
  <c r="H2778" i="5"/>
  <c r="G2778" i="5"/>
  <c r="F2778" i="5"/>
  <c r="E2778" i="5"/>
  <c r="D2778" i="5" a="1"/>
  <c r="D2778" i="5" s="1"/>
  <c r="B2778" i="5"/>
  <c r="N2777" i="5"/>
  <c r="H2777" i="5"/>
  <c r="G2777" i="5"/>
  <c r="F2777" i="5"/>
  <c r="E2777" i="5"/>
  <c r="D2777" i="5" a="1"/>
  <c r="D2777" i="5" s="1"/>
  <c r="B2777" i="5"/>
  <c r="N2776" i="5"/>
  <c r="H2776" i="5"/>
  <c r="G2776" i="5"/>
  <c r="F2776" i="5"/>
  <c r="E2776" i="5"/>
  <c r="D2776" i="5" a="1"/>
  <c r="D2776" i="5" s="1"/>
  <c r="B2776" i="5"/>
  <c r="N2775" i="5"/>
  <c r="H2775" i="5"/>
  <c r="G2775" i="5"/>
  <c r="F2775" i="5"/>
  <c r="E2775" i="5"/>
  <c r="D2775" i="5" a="1"/>
  <c r="D2775" i="5" s="1"/>
  <c r="B2775" i="5"/>
  <c r="N2774" i="5"/>
  <c r="H2774" i="5"/>
  <c r="G2774" i="5"/>
  <c r="F2774" i="5"/>
  <c r="E2774" i="5"/>
  <c r="D2774" i="5" a="1"/>
  <c r="D2774" i="5" s="1"/>
  <c r="B2774" i="5"/>
  <c r="N2773" i="5"/>
  <c r="H2773" i="5"/>
  <c r="G2773" i="5"/>
  <c r="F2773" i="5"/>
  <c r="E2773" i="5"/>
  <c r="D2773" i="5" a="1"/>
  <c r="D2773" i="5" s="1"/>
  <c r="B2773" i="5"/>
  <c r="N2772" i="5"/>
  <c r="H2772" i="5"/>
  <c r="G2772" i="5"/>
  <c r="F2772" i="5"/>
  <c r="E2772" i="5"/>
  <c r="D2772" i="5" a="1"/>
  <c r="D2772" i="5" s="1"/>
  <c r="B2772" i="5"/>
  <c r="N2771" i="5"/>
  <c r="H2771" i="5"/>
  <c r="G2771" i="5"/>
  <c r="F2771" i="5"/>
  <c r="E2771" i="5"/>
  <c r="D2771" i="5" a="1"/>
  <c r="D2771" i="5" s="1"/>
  <c r="B2771" i="5"/>
  <c r="N2770" i="5"/>
  <c r="H2770" i="5"/>
  <c r="G2770" i="5"/>
  <c r="F2770" i="5"/>
  <c r="E2770" i="5"/>
  <c r="D2770" i="5" a="1"/>
  <c r="D2770" i="5" s="1"/>
  <c r="B2770" i="5"/>
  <c r="N2769" i="5"/>
  <c r="H2769" i="5"/>
  <c r="G2769" i="5"/>
  <c r="F2769" i="5"/>
  <c r="E2769" i="5"/>
  <c r="D2769" i="5" a="1"/>
  <c r="D2769" i="5" s="1"/>
  <c r="B2769" i="5"/>
  <c r="N2768" i="5"/>
  <c r="H2768" i="5"/>
  <c r="G2768" i="5"/>
  <c r="F2768" i="5"/>
  <c r="E2768" i="5"/>
  <c r="D2768" i="5" a="1"/>
  <c r="D2768" i="5" s="1"/>
  <c r="B2768" i="5"/>
  <c r="N2767" i="5"/>
  <c r="H2767" i="5"/>
  <c r="G2767" i="5"/>
  <c r="F2767" i="5"/>
  <c r="E2767" i="5"/>
  <c r="D2767" i="5" a="1"/>
  <c r="D2767" i="5" s="1"/>
  <c r="B2767" i="5"/>
  <c r="N2766" i="5"/>
  <c r="H2766" i="5"/>
  <c r="G2766" i="5"/>
  <c r="F2766" i="5"/>
  <c r="E2766" i="5"/>
  <c r="D2766" i="5" a="1"/>
  <c r="D2766" i="5" s="1"/>
  <c r="B2766" i="5"/>
  <c r="N2765" i="5"/>
  <c r="H2765" i="5"/>
  <c r="G2765" i="5"/>
  <c r="F2765" i="5"/>
  <c r="E2765" i="5"/>
  <c r="D2765" i="5" a="1"/>
  <c r="D2765" i="5" s="1"/>
  <c r="B2765" i="5"/>
  <c r="N2764" i="5"/>
  <c r="H2764" i="5"/>
  <c r="G2764" i="5"/>
  <c r="F2764" i="5"/>
  <c r="E2764" i="5"/>
  <c r="D2764" i="5" a="1"/>
  <c r="D2764" i="5" s="1"/>
  <c r="B2764" i="5"/>
  <c r="N2763" i="5"/>
  <c r="H2763" i="5"/>
  <c r="G2763" i="5"/>
  <c r="F2763" i="5"/>
  <c r="E2763" i="5"/>
  <c r="D2763" i="5" a="1"/>
  <c r="D2763" i="5" s="1"/>
  <c r="B2763" i="5"/>
  <c r="N2762" i="5"/>
  <c r="H2762" i="5"/>
  <c r="G2762" i="5"/>
  <c r="F2762" i="5"/>
  <c r="E2762" i="5"/>
  <c r="D2762" i="5" a="1"/>
  <c r="D2762" i="5" s="1"/>
  <c r="B2762" i="5"/>
  <c r="N2761" i="5"/>
  <c r="H2761" i="5"/>
  <c r="G2761" i="5"/>
  <c r="F2761" i="5"/>
  <c r="E2761" i="5"/>
  <c r="D2761" i="5" a="1"/>
  <c r="D2761" i="5" s="1"/>
  <c r="B2761" i="5"/>
  <c r="N2760" i="5"/>
  <c r="H2760" i="5"/>
  <c r="G2760" i="5"/>
  <c r="F2760" i="5"/>
  <c r="E2760" i="5"/>
  <c r="D2760" i="5" a="1"/>
  <c r="D2760" i="5" s="1"/>
  <c r="B2760" i="5"/>
  <c r="N2759" i="5"/>
  <c r="H2759" i="5"/>
  <c r="G2759" i="5"/>
  <c r="F2759" i="5"/>
  <c r="E2759" i="5"/>
  <c r="D2759" i="5" a="1"/>
  <c r="D2759" i="5" s="1"/>
  <c r="B2759" i="5"/>
  <c r="N2758" i="5"/>
  <c r="H2758" i="5"/>
  <c r="G2758" i="5"/>
  <c r="F2758" i="5"/>
  <c r="E2758" i="5"/>
  <c r="D2758" i="5" a="1"/>
  <c r="D2758" i="5" s="1"/>
  <c r="B2758" i="5"/>
  <c r="N2757" i="5"/>
  <c r="H2757" i="5"/>
  <c r="G2757" i="5"/>
  <c r="F2757" i="5"/>
  <c r="E2757" i="5"/>
  <c r="D2757" i="5" a="1"/>
  <c r="D2757" i="5" s="1"/>
  <c r="B2757" i="5"/>
  <c r="N2756" i="5"/>
  <c r="H2756" i="5"/>
  <c r="G2756" i="5"/>
  <c r="F2756" i="5"/>
  <c r="E2756" i="5"/>
  <c r="D2756" i="5" a="1"/>
  <c r="D2756" i="5" s="1"/>
  <c r="B2756" i="5"/>
  <c r="N2755" i="5"/>
  <c r="H2755" i="5"/>
  <c r="G2755" i="5"/>
  <c r="F2755" i="5"/>
  <c r="E2755" i="5"/>
  <c r="D2755" i="5" a="1"/>
  <c r="D2755" i="5" s="1"/>
  <c r="B2755" i="5"/>
  <c r="N2754" i="5"/>
  <c r="H2754" i="5"/>
  <c r="G2754" i="5"/>
  <c r="F2754" i="5"/>
  <c r="E2754" i="5"/>
  <c r="D2754" i="5" a="1"/>
  <c r="D2754" i="5" s="1"/>
  <c r="B2754" i="5"/>
  <c r="N2753" i="5"/>
  <c r="H2753" i="5"/>
  <c r="G2753" i="5"/>
  <c r="F2753" i="5"/>
  <c r="E2753" i="5"/>
  <c r="D2753" i="5" a="1"/>
  <c r="D2753" i="5" s="1"/>
  <c r="B2753" i="5"/>
  <c r="N2752" i="5"/>
  <c r="H2752" i="5"/>
  <c r="G2752" i="5"/>
  <c r="F2752" i="5"/>
  <c r="E2752" i="5"/>
  <c r="D2752" i="5" a="1"/>
  <c r="D2752" i="5" s="1"/>
  <c r="B2752" i="5"/>
  <c r="N2751" i="5"/>
  <c r="H2751" i="5"/>
  <c r="G2751" i="5"/>
  <c r="F2751" i="5"/>
  <c r="E2751" i="5"/>
  <c r="D2751" i="5" a="1"/>
  <c r="D2751" i="5" s="1"/>
  <c r="B2751" i="5"/>
  <c r="N2750" i="5"/>
  <c r="H2750" i="5"/>
  <c r="G2750" i="5"/>
  <c r="F2750" i="5"/>
  <c r="E2750" i="5"/>
  <c r="D2750" i="5" a="1"/>
  <c r="D2750" i="5" s="1"/>
  <c r="B2750" i="5"/>
  <c r="N2749" i="5"/>
  <c r="H2749" i="5"/>
  <c r="G2749" i="5"/>
  <c r="F2749" i="5"/>
  <c r="E2749" i="5"/>
  <c r="D2749" i="5" a="1"/>
  <c r="D2749" i="5" s="1"/>
  <c r="B2749" i="5"/>
  <c r="N2748" i="5"/>
  <c r="H2748" i="5"/>
  <c r="G2748" i="5"/>
  <c r="F2748" i="5"/>
  <c r="E2748" i="5"/>
  <c r="D2748" i="5" a="1"/>
  <c r="D2748" i="5" s="1"/>
  <c r="B2748" i="5"/>
  <c r="N2747" i="5"/>
  <c r="H2747" i="5"/>
  <c r="G2747" i="5"/>
  <c r="F2747" i="5"/>
  <c r="E2747" i="5"/>
  <c r="D2747" i="5" a="1"/>
  <c r="D2747" i="5" s="1"/>
  <c r="B2747" i="5"/>
  <c r="N2746" i="5"/>
  <c r="H2746" i="5"/>
  <c r="G2746" i="5"/>
  <c r="F2746" i="5"/>
  <c r="E2746" i="5"/>
  <c r="D2746" i="5" a="1"/>
  <c r="D2746" i="5" s="1"/>
  <c r="B2746" i="5"/>
  <c r="N2745" i="5"/>
  <c r="H2745" i="5"/>
  <c r="G2745" i="5"/>
  <c r="F2745" i="5"/>
  <c r="E2745" i="5"/>
  <c r="D2745" i="5" a="1"/>
  <c r="D2745" i="5" s="1"/>
  <c r="B2745" i="5"/>
  <c r="N2744" i="5"/>
  <c r="H2744" i="5"/>
  <c r="G2744" i="5"/>
  <c r="F2744" i="5"/>
  <c r="E2744" i="5"/>
  <c r="D2744" i="5" a="1"/>
  <c r="D2744" i="5" s="1"/>
  <c r="B2744" i="5"/>
  <c r="N2743" i="5"/>
  <c r="H2743" i="5"/>
  <c r="G2743" i="5"/>
  <c r="F2743" i="5"/>
  <c r="E2743" i="5"/>
  <c r="D2743" i="5" a="1"/>
  <c r="D2743" i="5" s="1"/>
  <c r="B2743" i="5"/>
  <c r="N2742" i="5"/>
  <c r="H2742" i="5"/>
  <c r="G2742" i="5"/>
  <c r="F2742" i="5"/>
  <c r="E2742" i="5"/>
  <c r="D2742" i="5" a="1"/>
  <c r="D2742" i="5" s="1"/>
  <c r="B2742" i="5"/>
  <c r="N2741" i="5"/>
  <c r="H2741" i="5"/>
  <c r="G2741" i="5"/>
  <c r="F2741" i="5"/>
  <c r="E2741" i="5"/>
  <c r="D2741" i="5" a="1"/>
  <c r="D2741" i="5" s="1"/>
  <c r="B2741" i="5"/>
  <c r="N2740" i="5"/>
  <c r="H2740" i="5"/>
  <c r="G2740" i="5"/>
  <c r="F2740" i="5"/>
  <c r="E2740" i="5"/>
  <c r="D2740" i="5" a="1"/>
  <c r="D2740" i="5" s="1"/>
  <c r="B2740" i="5"/>
  <c r="N2739" i="5"/>
  <c r="H2739" i="5"/>
  <c r="G2739" i="5"/>
  <c r="F2739" i="5"/>
  <c r="E2739" i="5"/>
  <c r="D2739" i="5" a="1"/>
  <c r="D2739" i="5" s="1"/>
  <c r="B2739" i="5"/>
  <c r="N2738" i="5"/>
  <c r="H2738" i="5"/>
  <c r="G2738" i="5"/>
  <c r="F2738" i="5"/>
  <c r="E2738" i="5"/>
  <c r="D2738" i="5" a="1"/>
  <c r="D2738" i="5" s="1"/>
  <c r="B2738" i="5"/>
  <c r="N2737" i="5"/>
  <c r="H2737" i="5"/>
  <c r="G2737" i="5"/>
  <c r="F2737" i="5"/>
  <c r="E2737" i="5"/>
  <c r="D2737" i="5" a="1"/>
  <c r="D2737" i="5" s="1"/>
  <c r="B2737" i="5"/>
  <c r="N2736" i="5"/>
  <c r="H2736" i="5"/>
  <c r="G2736" i="5"/>
  <c r="F2736" i="5"/>
  <c r="E2736" i="5"/>
  <c r="D2736" i="5" a="1"/>
  <c r="D2736" i="5" s="1"/>
  <c r="B2736" i="5"/>
  <c r="N2735" i="5"/>
  <c r="H2735" i="5"/>
  <c r="G2735" i="5"/>
  <c r="F2735" i="5"/>
  <c r="E2735" i="5"/>
  <c r="D2735" i="5" a="1"/>
  <c r="D2735" i="5" s="1"/>
  <c r="B2735" i="5"/>
  <c r="N2734" i="5"/>
  <c r="H2734" i="5"/>
  <c r="G2734" i="5"/>
  <c r="F2734" i="5"/>
  <c r="E2734" i="5"/>
  <c r="D2734" i="5" a="1"/>
  <c r="D2734" i="5" s="1"/>
  <c r="B2734" i="5"/>
  <c r="N2733" i="5"/>
  <c r="H2733" i="5"/>
  <c r="G2733" i="5"/>
  <c r="F2733" i="5"/>
  <c r="E2733" i="5"/>
  <c r="D2733" i="5" a="1"/>
  <c r="D2733" i="5" s="1"/>
  <c r="B2733" i="5"/>
  <c r="N2732" i="5"/>
  <c r="H2732" i="5"/>
  <c r="G2732" i="5"/>
  <c r="F2732" i="5"/>
  <c r="E2732" i="5"/>
  <c r="D2732" i="5" a="1"/>
  <c r="D2732" i="5" s="1"/>
  <c r="B2732" i="5"/>
  <c r="N2731" i="5"/>
  <c r="H2731" i="5"/>
  <c r="G2731" i="5"/>
  <c r="F2731" i="5"/>
  <c r="E2731" i="5"/>
  <c r="D2731" i="5" a="1"/>
  <c r="D2731" i="5" s="1"/>
  <c r="B2731" i="5"/>
  <c r="N2730" i="5"/>
  <c r="H2730" i="5"/>
  <c r="G2730" i="5"/>
  <c r="F2730" i="5"/>
  <c r="E2730" i="5"/>
  <c r="D2730" i="5" a="1"/>
  <c r="D2730" i="5" s="1"/>
  <c r="B2730" i="5"/>
  <c r="N2729" i="5"/>
  <c r="H2729" i="5"/>
  <c r="G2729" i="5"/>
  <c r="F2729" i="5"/>
  <c r="E2729" i="5"/>
  <c r="D2729" i="5" a="1"/>
  <c r="D2729" i="5" s="1"/>
  <c r="B2729" i="5"/>
  <c r="N2728" i="5"/>
  <c r="H2728" i="5"/>
  <c r="G2728" i="5"/>
  <c r="F2728" i="5"/>
  <c r="E2728" i="5"/>
  <c r="D2728" i="5" a="1"/>
  <c r="D2728" i="5" s="1"/>
  <c r="B2728" i="5"/>
  <c r="N2727" i="5"/>
  <c r="H2727" i="5"/>
  <c r="G2727" i="5"/>
  <c r="F2727" i="5"/>
  <c r="E2727" i="5"/>
  <c r="D2727" i="5" a="1"/>
  <c r="D2727" i="5" s="1"/>
  <c r="B2727" i="5"/>
  <c r="N2726" i="5"/>
  <c r="H2726" i="5"/>
  <c r="G2726" i="5"/>
  <c r="F2726" i="5"/>
  <c r="E2726" i="5"/>
  <c r="D2726" i="5" a="1"/>
  <c r="D2726" i="5" s="1"/>
  <c r="B2726" i="5"/>
  <c r="N2725" i="5"/>
  <c r="H2725" i="5"/>
  <c r="G2725" i="5"/>
  <c r="F2725" i="5"/>
  <c r="E2725" i="5"/>
  <c r="D2725" i="5" a="1"/>
  <c r="D2725" i="5" s="1"/>
  <c r="B2725" i="5"/>
  <c r="N2724" i="5"/>
  <c r="H2724" i="5"/>
  <c r="G2724" i="5"/>
  <c r="F2724" i="5"/>
  <c r="E2724" i="5"/>
  <c r="D2724" i="5" a="1"/>
  <c r="D2724" i="5" s="1"/>
  <c r="B2724" i="5"/>
  <c r="N2723" i="5"/>
  <c r="H2723" i="5"/>
  <c r="G2723" i="5"/>
  <c r="F2723" i="5"/>
  <c r="E2723" i="5"/>
  <c r="D2723" i="5" a="1"/>
  <c r="D2723" i="5" s="1"/>
  <c r="B2723" i="5"/>
  <c r="N2722" i="5"/>
  <c r="H2722" i="5"/>
  <c r="G2722" i="5"/>
  <c r="F2722" i="5"/>
  <c r="E2722" i="5"/>
  <c r="D2722" i="5" a="1"/>
  <c r="D2722" i="5" s="1"/>
  <c r="B2722" i="5"/>
  <c r="N2721" i="5"/>
  <c r="H2721" i="5"/>
  <c r="G2721" i="5"/>
  <c r="F2721" i="5"/>
  <c r="E2721" i="5"/>
  <c r="D2721" i="5" a="1"/>
  <c r="D2721" i="5" s="1"/>
  <c r="B2721" i="5"/>
  <c r="N2720" i="5"/>
  <c r="H2720" i="5"/>
  <c r="G2720" i="5"/>
  <c r="F2720" i="5"/>
  <c r="E2720" i="5"/>
  <c r="D2720" i="5" a="1"/>
  <c r="D2720" i="5" s="1"/>
  <c r="B2720" i="5"/>
  <c r="N2719" i="5"/>
  <c r="H2719" i="5"/>
  <c r="G2719" i="5"/>
  <c r="F2719" i="5"/>
  <c r="E2719" i="5"/>
  <c r="D2719" i="5" a="1"/>
  <c r="D2719" i="5" s="1"/>
  <c r="B2719" i="5"/>
  <c r="N2718" i="5"/>
  <c r="H2718" i="5"/>
  <c r="G2718" i="5"/>
  <c r="F2718" i="5"/>
  <c r="E2718" i="5"/>
  <c r="D2718" i="5" a="1"/>
  <c r="D2718" i="5" s="1"/>
  <c r="B2718" i="5"/>
  <c r="N2717" i="5"/>
  <c r="H2717" i="5"/>
  <c r="G2717" i="5"/>
  <c r="F2717" i="5"/>
  <c r="E2717" i="5"/>
  <c r="D2717" i="5" a="1"/>
  <c r="D2717" i="5" s="1"/>
  <c r="B2717" i="5"/>
  <c r="N2716" i="5"/>
  <c r="H2716" i="5"/>
  <c r="G2716" i="5"/>
  <c r="F2716" i="5"/>
  <c r="E2716" i="5"/>
  <c r="D2716" i="5" a="1"/>
  <c r="D2716" i="5" s="1"/>
  <c r="B2716" i="5"/>
  <c r="N2715" i="5"/>
  <c r="H2715" i="5"/>
  <c r="G2715" i="5"/>
  <c r="F2715" i="5"/>
  <c r="E2715" i="5"/>
  <c r="D2715" i="5" a="1"/>
  <c r="D2715" i="5" s="1"/>
  <c r="B2715" i="5"/>
  <c r="N2714" i="5"/>
  <c r="H2714" i="5"/>
  <c r="G2714" i="5"/>
  <c r="F2714" i="5"/>
  <c r="E2714" i="5"/>
  <c r="D2714" i="5" a="1"/>
  <c r="D2714" i="5" s="1"/>
  <c r="B2714" i="5"/>
  <c r="N2713" i="5"/>
  <c r="H2713" i="5"/>
  <c r="G2713" i="5"/>
  <c r="F2713" i="5"/>
  <c r="E2713" i="5"/>
  <c r="D2713" i="5" a="1"/>
  <c r="D2713" i="5" s="1"/>
  <c r="B2713" i="5"/>
  <c r="N2712" i="5"/>
  <c r="H2712" i="5"/>
  <c r="G2712" i="5"/>
  <c r="F2712" i="5"/>
  <c r="E2712" i="5"/>
  <c r="D2712" i="5" a="1"/>
  <c r="D2712" i="5" s="1"/>
  <c r="B2712" i="5"/>
  <c r="N2711" i="5"/>
  <c r="H2711" i="5"/>
  <c r="G2711" i="5"/>
  <c r="F2711" i="5"/>
  <c r="E2711" i="5"/>
  <c r="D2711" i="5" a="1"/>
  <c r="D2711" i="5" s="1"/>
  <c r="B2711" i="5"/>
  <c r="N2710" i="5"/>
  <c r="H2710" i="5"/>
  <c r="G2710" i="5"/>
  <c r="F2710" i="5"/>
  <c r="E2710" i="5"/>
  <c r="D2710" i="5" a="1"/>
  <c r="D2710" i="5" s="1"/>
  <c r="B2710" i="5"/>
  <c r="N2709" i="5"/>
  <c r="H2709" i="5"/>
  <c r="G2709" i="5"/>
  <c r="F2709" i="5"/>
  <c r="E2709" i="5"/>
  <c r="D2709" i="5" a="1"/>
  <c r="D2709" i="5" s="1"/>
  <c r="B2709" i="5"/>
  <c r="N2708" i="5"/>
  <c r="H2708" i="5"/>
  <c r="G2708" i="5"/>
  <c r="F2708" i="5"/>
  <c r="E2708" i="5"/>
  <c r="D2708" i="5" a="1"/>
  <c r="D2708" i="5" s="1"/>
  <c r="B2708" i="5"/>
  <c r="N2707" i="5"/>
  <c r="H2707" i="5"/>
  <c r="G2707" i="5"/>
  <c r="F2707" i="5"/>
  <c r="E2707" i="5"/>
  <c r="D2707" i="5" a="1"/>
  <c r="D2707" i="5" s="1"/>
  <c r="B2707" i="5"/>
  <c r="N2706" i="5"/>
  <c r="H2706" i="5"/>
  <c r="G2706" i="5"/>
  <c r="F2706" i="5"/>
  <c r="E2706" i="5"/>
  <c r="D2706" i="5" a="1"/>
  <c r="D2706" i="5" s="1"/>
  <c r="B2706" i="5"/>
  <c r="N2705" i="5"/>
  <c r="H2705" i="5"/>
  <c r="G2705" i="5"/>
  <c r="F2705" i="5"/>
  <c r="E2705" i="5"/>
  <c r="D2705" i="5" a="1"/>
  <c r="D2705" i="5" s="1"/>
  <c r="B2705" i="5"/>
  <c r="N2704" i="5"/>
  <c r="H2704" i="5"/>
  <c r="G2704" i="5"/>
  <c r="F2704" i="5"/>
  <c r="E2704" i="5"/>
  <c r="D2704" i="5" a="1"/>
  <c r="D2704" i="5" s="1"/>
  <c r="B2704" i="5"/>
  <c r="N2703" i="5"/>
  <c r="H2703" i="5"/>
  <c r="G2703" i="5"/>
  <c r="F2703" i="5"/>
  <c r="E2703" i="5"/>
  <c r="D2703" i="5" a="1"/>
  <c r="D2703" i="5" s="1"/>
  <c r="B2703" i="5"/>
  <c r="N2702" i="5"/>
  <c r="H2702" i="5"/>
  <c r="G2702" i="5"/>
  <c r="F2702" i="5"/>
  <c r="E2702" i="5"/>
  <c r="D2702" i="5" a="1"/>
  <c r="D2702" i="5" s="1"/>
  <c r="B2702" i="5"/>
  <c r="N2701" i="5"/>
  <c r="H2701" i="5"/>
  <c r="G2701" i="5"/>
  <c r="F2701" i="5"/>
  <c r="E2701" i="5"/>
  <c r="D2701" i="5" a="1"/>
  <c r="D2701" i="5" s="1"/>
  <c r="B2701" i="5"/>
  <c r="N2700" i="5"/>
  <c r="H2700" i="5"/>
  <c r="G2700" i="5"/>
  <c r="F2700" i="5"/>
  <c r="E2700" i="5"/>
  <c r="D2700" i="5" a="1"/>
  <c r="D2700" i="5" s="1"/>
  <c r="B2700" i="5"/>
  <c r="N2699" i="5"/>
  <c r="H2699" i="5"/>
  <c r="G2699" i="5"/>
  <c r="F2699" i="5"/>
  <c r="E2699" i="5"/>
  <c r="D2699" i="5" a="1"/>
  <c r="D2699" i="5" s="1"/>
  <c r="B2699" i="5"/>
  <c r="N2698" i="5"/>
  <c r="H2698" i="5"/>
  <c r="G2698" i="5"/>
  <c r="F2698" i="5"/>
  <c r="E2698" i="5"/>
  <c r="D2698" i="5" a="1"/>
  <c r="D2698" i="5" s="1"/>
  <c r="B2698" i="5"/>
  <c r="N2697" i="5"/>
  <c r="H2697" i="5"/>
  <c r="G2697" i="5"/>
  <c r="F2697" i="5"/>
  <c r="E2697" i="5"/>
  <c r="D2697" i="5" a="1"/>
  <c r="D2697" i="5" s="1"/>
  <c r="B2697" i="5"/>
  <c r="N2696" i="5"/>
  <c r="H2696" i="5"/>
  <c r="G2696" i="5"/>
  <c r="F2696" i="5"/>
  <c r="E2696" i="5"/>
  <c r="D2696" i="5" a="1"/>
  <c r="D2696" i="5" s="1"/>
  <c r="B2696" i="5"/>
  <c r="N2695" i="5"/>
  <c r="H2695" i="5"/>
  <c r="G2695" i="5"/>
  <c r="F2695" i="5"/>
  <c r="E2695" i="5"/>
  <c r="D2695" i="5" a="1"/>
  <c r="D2695" i="5" s="1"/>
  <c r="B2695" i="5"/>
  <c r="N2694" i="5"/>
  <c r="H2694" i="5"/>
  <c r="G2694" i="5"/>
  <c r="F2694" i="5"/>
  <c r="E2694" i="5"/>
  <c r="D2694" i="5" a="1"/>
  <c r="D2694" i="5" s="1"/>
  <c r="B2694" i="5"/>
  <c r="N2693" i="5"/>
  <c r="H2693" i="5"/>
  <c r="G2693" i="5"/>
  <c r="F2693" i="5"/>
  <c r="E2693" i="5"/>
  <c r="D2693" i="5" a="1"/>
  <c r="D2693" i="5" s="1"/>
  <c r="B2693" i="5"/>
  <c r="N2692" i="5"/>
  <c r="H2692" i="5"/>
  <c r="G2692" i="5"/>
  <c r="F2692" i="5"/>
  <c r="E2692" i="5"/>
  <c r="D2692" i="5" a="1"/>
  <c r="D2692" i="5" s="1"/>
  <c r="B2692" i="5"/>
  <c r="N2691" i="5"/>
  <c r="H2691" i="5"/>
  <c r="G2691" i="5"/>
  <c r="F2691" i="5"/>
  <c r="E2691" i="5"/>
  <c r="D2691" i="5" a="1"/>
  <c r="D2691" i="5" s="1"/>
  <c r="B2691" i="5"/>
  <c r="N2690" i="5"/>
  <c r="H2690" i="5"/>
  <c r="G2690" i="5"/>
  <c r="F2690" i="5"/>
  <c r="E2690" i="5"/>
  <c r="D2690" i="5" a="1"/>
  <c r="D2690" i="5" s="1"/>
  <c r="B2690" i="5"/>
  <c r="N2689" i="5"/>
  <c r="H2689" i="5"/>
  <c r="G2689" i="5"/>
  <c r="F2689" i="5"/>
  <c r="E2689" i="5"/>
  <c r="D2689" i="5" a="1"/>
  <c r="D2689" i="5" s="1"/>
  <c r="B2689" i="5"/>
  <c r="N2688" i="5"/>
  <c r="H2688" i="5"/>
  <c r="G2688" i="5"/>
  <c r="F2688" i="5"/>
  <c r="E2688" i="5"/>
  <c r="D2688" i="5" a="1"/>
  <c r="D2688" i="5" s="1"/>
  <c r="B2688" i="5"/>
  <c r="N2687" i="5"/>
  <c r="H2687" i="5"/>
  <c r="G2687" i="5"/>
  <c r="F2687" i="5"/>
  <c r="E2687" i="5"/>
  <c r="D2687" i="5" a="1"/>
  <c r="D2687" i="5" s="1"/>
  <c r="B2687" i="5"/>
  <c r="N2686" i="5"/>
  <c r="H2686" i="5"/>
  <c r="G2686" i="5"/>
  <c r="F2686" i="5"/>
  <c r="E2686" i="5"/>
  <c r="D2686" i="5" a="1"/>
  <c r="D2686" i="5" s="1"/>
  <c r="B2686" i="5"/>
  <c r="N2685" i="5"/>
  <c r="H2685" i="5"/>
  <c r="G2685" i="5"/>
  <c r="F2685" i="5"/>
  <c r="E2685" i="5"/>
  <c r="D2685" i="5" a="1"/>
  <c r="D2685" i="5" s="1"/>
  <c r="B2685" i="5"/>
  <c r="N2684" i="5"/>
  <c r="H2684" i="5"/>
  <c r="G2684" i="5"/>
  <c r="F2684" i="5"/>
  <c r="E2684" i="5"/>
  <c r="D2684" i="5" a="1"/>
  <c r="D2684" i="5" s="1"/>
  <c r="B2684" i="5"/>
  <c r="N2683" i="5"/>
  <c r="H2683" i="5"/>
  <c r="G2683" i="5"/>
  <c r="F2683" i="5"/>
  <c r="E2683" i="5"/>
  <c r="D2683" i="5" a="1"/>
  <c r="D2683" i="5" s="1"/>
  <c r="B2683" i="5"/>
  <c r="N2682" i="5"/>
  <c r="H2682" i="5"/>
  <c r="G2682" i="5"/>
  <c r="F2682" i="5"/>
  <c r="E2682" i="5"/>
  <c r="D2682" i="5" a="1"/>
  <c r="D2682" i="5" s="1"/>
  <c r="B2682" i="5"/>
  <c r="N2681" i="5"/>
  <c r="H2681" i="5"/>
  <c r="G2681" i="5"/>
  <c r="F2681" i="5"/>
  <c r="E2681" i="5"/>
  <c r="D2681" i="5" a="1"/>
  <c r="D2681" i="5" s="1"/>
  <c r="B2681" i="5"/>
  <c r="N2680" i="5"/>
  <c r="H2680" i="5"/>
  <c r="G2680" i="5"/>
  <c r="F2680" i="5"/>
  <c r="E2680" i="5"/>
  <c r="D2680" i="5" a="1"/>
  <c r="D2680" i="5" s="1"/>
  <c r="B2680" i="5"/>
  <c r="N2679" i="5"/>
  <c r="H2679" i="5"/>
  <c r="G2679" i="5"/>
  <c r="F2679" i="5"/>
  <c r="E2679" i="5"/>
  <c r="D2679" i="5" a="1"/>
  <c r="D2679" i="5" s="1"/>
  <c r="B2679" i="5"/>
  <c r="N2678" i="5"/>
  <c r="H2678" i="5"/>
  <c r="G2678" i="5"/>
  <c r="F2678" i="5"/>
  <c r="E2678" i="5"/>
  <c r="D2678" i="5" a="1"/>
  <c r="D2678" i="5" s="1"/>
  <c r="B2678" i="5"/>
  <c r="N2677" i="5"/>
  <c r="H2677" i="5"/>
  <c r="G2677" i="5"/>
  <c r="F2677" i="5"/>
  <c r="E2677" i="5"/>
  <c r="D2677" i="5" a="1"/>
  <c r="D2677" i="5" s="1"/>
  <c r="B2677" i="5"/>
  <c r="N2676" i="5"/>
  <c r="H2676" i="5"/>
  <c r="G2676" i="5"/>
  <c r="F2676" i="5"/>
  <c r="E2676" i="5"/>
  <c r="D2676" i="5" a="1"/>
  <c r="D2676" i="5" s="1"/>
  <c r="B2676" i="5"/>
  <c r="N2675" i="5"/>
  <c r="H2675" i="5"/>
  <c r="G2675" i="5"/>
  <c r="F2675" i="5"/>
  <c r="E2675" i="5"/>
  <c r="D2675" i="5" a="1"/>
  <c r="D2675" i="5" s="1"/>
  <c r="B2675" i="5"/>
  <c r="N2674" i="5"/>
  <c r="H2674" i="5"/>
  <c r="G2674" i="5"/>
  <c r="F2674" i="5"/>
  <c r="E2674" i="5"/>
  <c r="D2674" i="5" a="1"/>
  <c r="D2674" i="5" s="1"/>
  <c r="B2674" i="5"/>
  <c r="N2673" i="5"/>
  <c r="H2673" i="5"/>
  <c r="G2673" i="5"/>
  <c r="F2673" i="5"/>
  <c r="E2673" i="5"/>
  <c r="D2673" i="5" a="1"/>
  <c r="D2673" i="5" s="1"/>
  <c r="B2673" i="5"/>
  <c r="N2672" i="5"/>
  <c r="H2672" i="5"/>
  <c r="G2672" i="5"/>
  <c r="F2672" i="5"/>
  <c r="E2672" i="5"/>
  <c r="D2672" i="5" a="1"/>
  <c r="D2672" i="5" s="1"/>
  <c r="B2672" i="5"/>
  <c r="N2671" i="5"/>
  <c r="H2671" i="5"/>
  <c r="G2671" i="5"/>
  <c r="F2671" i="5"/>
  <c r="E2671" i="5"/>
  <c r="D2671" i="5" a="1"/>
  <c r="D2671" i="5" s="1"/>
  <c r="B2671" i="5"/>
  <c r="N2670" i="5"/>
  <c r="H2670" i="5"/>
  <c r="G2670" i="5"/>
  <c r="F2670" i="5"/>
  <c r="E2670" i="5"/>
  <c r="D2670" i="5" a="1"/>
  <c r="D2670" i="5" s="1"/>
  <c r="B2670" i="5"/>
  <c r="N2669" i="5"/>
  <c r="H2669" i="5"/>
  <c r="G2669" i="5"/>
  <c r="F2669" i="5"/>
  <c r="E2669" i="5"/>
  <c r="D2669" i="5" a="1"/>
  <c r="D2669" i="5" s="1"/>
  <c r="B2669" i="5"/>
  <c r="N2668" i="5"/>
  <c r="H2668" i="5"/>
  <c r="G2668" i="5"/>
  <c r="F2668" i="5"/>
  <c r="E2668" i="5"/>
  <c r="D2668" i="5" a="1"/>
  <c r="D2668" i="5" s="1"/>
  <c r="B2668" i="5"/>
  <c r="N2667" i="5"/>
  <c r="H2667" i="5"/>
  <c r="G2667" i="5"/>
  <c r="F2667" i="5"/>
  <c r="E2667" i="5"/>
  <c r="D2667" i="5" a="1"/>
  <c r="D2667" i="5" s="1"/>
  <c r="B2667" i="5"/>
  <c r="N2666" i="5"/>
  <c r="H2666" i="5"/>
  <c r="G2666" i="5"/>
  <c r="F2666" i="5"/>
  <c r="E2666" i="5"/>
  <c r="D2666" i="5" a="1"/>
  <c r="D2666" i="5" s="1"/>
  <c r="B2666" i="5"/>
  <c r="N2665" i="5"/>
  <c r="H2665" i="5"/>
  <c r="G2665" i="5"/>
  <c r="F2665" i="5"/>
  <c r="E2665" i="5"/>
  <c r="D2665" i="5" a="1"/>
  <c r="D2665" i="5" s="1"/>
  <c r="B2665" i="5"/>
  <c r="N2664" i="5"/>
  <c r="H2664" i="5"/>
  <c r="G2664" i="5"/>
  <c r="F2664" i="5"/>
  <c r="E2664" i="5"/>
  <c r="D2664" i="5" a="1"/>
  <c r="D2664" i="5" s="1"/>
  <c r="B2664" i="5"/>
  <c r="N2663" i="5"/>
  <c r="H2663" i="5"/>
  <c r="G2663" i="5"/>
  <c r="F2663" i="5"/>
  <c r="E2663" i="5"/>
  <c r="D2663" i="5" a="1"/>
  <c r="D2663" i="5" s="1"/>
  <c r="B2663" i="5"/>
  <c r="N2662" i="5"/>
  <c r="H2662" i="5"/>
  <c r="G2662" i="5"/>
  <c r="F2662" i="5"/>
  <c r="E2662" i="5"/>
  <c r="D2662" i="5" a="1"/>
  <c r="D2662" i="5" s="1"/>
  <c r="B2662" i="5"/>
  <c r="N2661" i="5"/>
  <c r="H2661" i="5"/>
  <c r="G2661" i="5"/>
  <c r="F2661" i="5"/>
  <c r="E2661" i="5"/>
  <c r="D2661" i="5" a="1"/>
  <c r="D2661" i="5" s="1"/>
  <c r="B2661" i="5"/>
  <c r="N2660" i="5"/>
  <c r="H2660" i="5"/>
  <c r="G2660" i="5"/>
  <c r="F2660" i="5"/>
  <c r="E2660" i="5"/>
  <c r="D2660" i="5" a="1"/>
  <c r="D2660" i="5" s="1"/>
  <c r="B2660" i="5"/>
  <c r="N2659" i="5"/>
  <c r="H2659" i="5"/>
  <c r="G2659" i="5"/>
  <c r="F2659" i="5"/>
  <c r="E2659" i="5"/>
  <c r="D2659" i="5" a="1"/>
  <c r="D2659" i="5" s="1"/>
  <c r="B2659" i="5"/>
  <c r="N2658" i="5"/>
  <c r="H2658" i="5"/>
  <c r="G2658" i="5"/>
  <c r="F2658" i="5"/>
  <c r="E2658" i="5"/>
  <c r="D2658" i="5" a="1"/>
  <c r="D2658" i="5" s="1"/>
  <c r="B2658" i="5"/>
  <c r="N2657" i="5"/>
  <c r="H2657" i="5"/>
  <c r="G2657" i="5"/>
  <c r="F2657" i="5"/>
  <c r="E2657" i="5"/>
  <c r="D2657" i="5" a="1"/>
  <c r="D2657" i="5" s="1"/>
  <c r="B2657" i="5"/>
  <c r="N2656" i="5"/>
  <c r="H2656" i="5"/>
  <c r="G2656" i="5"/>
  <c r="F2656" i="5"/>
  <c r="E2656" i="5"/>
  <c r="D2656" i="5" a="1"/>
  <c r="D2656" i="5" s="1"/>
  <c r="B2656" i="5"/>
  <c r="N2655" i="5"/>
  <c r="H2655" i="5"/>
  <c r="G2655" i="5"/>
  <c r="F2655" i="5"/>
  <c r="E2655" i="5"/>
  <c r="D2655" i="5" a="1"/>
  <c r="D2655" i="5" s="1"/>
  <c r="B2655" i="5"/>
  <c r="N2654" i="5"/>
  <c r="H2654" i="5"/>
  <c r="G2654" i="5"/>
  <c r="F2654" i="5"/>
  <c r="E2654" i="5"/>
  <c r="D2654" i="5" a="1"/>
  <c r="D2654" i="5" s="1"/>
  <c r="B2654" i="5"/>
  <c r="N2653" i="5"/>
  <c r="H2653" i="5"/>
  <c r="G2653" i="5"/>
  <c r="F2653" i="5"/>
  <c r="E2653" i="5"/>
  <c r="D2653" i="5" a="1"/>
  <c r="D2653" i="5" s="1"/>
  <c r="B2653" i="5"/>
  <c r="N2652" i="5"/>
  <c r="H2652" i="5"/>
  <c r="G2652" i="5"/>
  <c r="F2652" i="5"/>
  <c r="E2652" i="5"/>
  <c r="D2652" i="5" a="1"/>
  <c r="D2652" i="5" s="1"/>
  <c r="B2652" i="5"/>
  <c r="N2651" i="5"/>
  <c r="H2651" i="5"/>
  <c r="G2651" i="5"/>
  <c r="F2651" i="5"/>
  <c r="E2651" i="5"/>
  <c r="D2651" i="5" a="1"/>
  <c r="D2651" i="5" s="1"/>
  <c r="B2651" i="5"/>
  <c r="N2650" i="5"/>
  <c r="H2650" i="5"/>
  <c r="G2650" i="5"/>
  <c r="F2650" i="5"/>
  <c r="E2650" i="5"/>
  <c r="D2650" i="5" a="1"/>
  <c r="D2650" i="5" s="1"/>
  <c r="B2650" i="5"/>
  <c r="N2649" i="5"/>
  <c r="H2649" i="5"/>
  <c r="G2649" i="5"/>
  <c r="F2649" i="5"/>
  <c r="E2649" i="5"/>
  <c r="D2649" i="5" a="1"/>
  <c r="D2649" i="5" s="1"/>
  <c r="B2649" i="5"/>
  <c r="N2648" i="5"/>
  <c r="H2648" i="5"/>
  <c r="G2648" i="5"/>
  <c r="F2648" i="5"/>
  <c r="E2648" i="5"/>
  <c r="D2648" i="5" a="1"/>
  <c r="D2648" i="5" s="1"/>
  <c r="B2648" i="5"/>
  <c r="N2647" i="5"/>
  <c r="H2647" i="5"/>
  <c r="G2647" i="5"/>
  <c r="F2647" i="5"/>
  <c r="E2647" i="5"/>
  <c r="D2647" i="5" a="1"/>
  <c r="D2647" i="5" s="1"/>
  <c r="B2647" i="5"/>
  <c r="N2646" i="5"/>
  <c r="H2646" i="5"/>
  <c r="G2646" i="5"/>
  <c r="F2646" i="5"/>
  <c r="E2646" i="5"/>
  <c r="D2646" i="5" a="1"/>
  <c r="D2646" i="5" s="1"/>
  <c r="B2646" i="5"/>
  <c r="N2645" i="5"/>
  <c r="H2645" i="5"/>
  <c r="G2645" i="5"/>
  <c r="F2645" i="5"/>
  <c r="E2645" i="5"/>
  <c r="D2645" i="5" a="1"/>
  <c r="D2645" i="5" s="1"/>
  <c r="B2645" i="5"/>
  <c r="N2644" i="5"/>
  <c r="H2644" i="5"/>
  <c r="G2644" i="5"/>
  <c r="F2644" i="5"/>
  <c r="E2644" i="5"/>
  <c r="D2644" i="5" a="1"/>
  <c r="D2644" i="5" s="1"/>
  <c r="B2644" i="5"/>
  <c r="N2643" i="5"/>
  <c r="H2643" i="5"/>
  <c r="G2643" i="5"/>
  <c r="F2643" i="5"/>
  <c r="E2643" i="5"/>
  <c r="D2643" i="5" a="1"/>
  <c r="D2643" i="5" s="1"/>
  <c r="B2643" i="5"/>
  <c r="N2642" i="5"/>
  <c r="H2642" i="5"/>
  <c r="G2642" i="5"/>
  <c r="F2642" i="5"/>
  <c r="E2642" i="5"/>
  <c r="D2642" i="5" a="1"/>
  <c r="D2642" i="5" s="1"/>
  <c r="B2642" i="5"/>
  <c r="N2641" i="5"/>
  <c r="H2641" i="5"/>
  <c r="G2641" i="5"/>
  <c r="F2641" i="5"/>
  <c r="E2641" i="5"/>
  <c r="D2641" i="5" a="1"/>
  <c r="D2641" i="5" s="1"/>
  <c r="B2641" i="5"/>
  <c r="N2640" i="5"/>
  <c r="H2640" i="5"/>
  <c r="G2640" i="5"/>
  <c r="F2640" i="5"/>
  <c r="E2640" i="5"/>
  <c r="D2640" i="5" a="1"/>
  <c r="D2640" i="5" s="1"/>
  <c r="B2640" i="5"/>
  <c r="N2639" i="5"/>
  <c r="H2639" i="5"/>
  <c r="G2639" i="5"/>
  <c r="F2639" i="5"/>
  <c r="E2639" i="5"/>
  <c r="D2639" i="5" a="1"/>
  <c r="D2639" i="5" s="1"/>
  <c r="B2639" i="5"/>
  <c r="N2638" i="5"/>
  <c r="H2638" i="5"/>
  <c r="G2638" i="5"/>
  <c r="F2638" i="5"/>
  <c r="E2638" i="5"/>
  <c r="D2638" i="5" a="1"/>
  <c r="D2638" i="5" s="1"/>
  <c r="B2638" i="5"/>
  <c r="N2637" i="5"/>
  <c r="H2637" i="5"/>
  <c r="G2637" i="5"/>
  <c r="F2637" i="5"/>
  <c r="E2637" i="5"/>
  <c r="D2637" i="5" a="1"/>
  <c r="D2637" i="5" s="1"/>
  <c r="B2637" i="5"/>
  <c r="N2636" i="5"/>
  <c r="H2636" i="5"/>
  <c r="G2636" i="5"/>
  <c r="F2636" i="5"/>
  <c r="E2636" i="5"/>
  <c r="D2636" i="5" a="1"/>
  <c r="D2636" i="5" s="1"/>
  <c r="B2636" i="5"/>
  <c r="N2635" i="5"/>
  <c r="H2635" i="5"/>
  <c r="G2635" i="5"/>
  <c r="F2635" i="5"/>
  <c r="E2635" i="5"/>
  <c r="D2635" i="5" a="1"/>
  <c r="D2635" i="5" s="1"/>
  <c r="B2635" i="5"/>
  <c r="N2634" i="5"/>
  <c r="H2634" i="5"/>
  <c r="G2634" i="5"/>
  <c r="F2634" i="5"/>
  <c r="E2634" i="5"/>
  <c r="D2634" i="5" a="1"/>
  <c r="D2634" i="5" s="1"/>
  <c r="B2634" i="5"/>
  <c r="N2633" i="5"/>
  <c r="H2633" i="5"/>
  <c r="G2633" i="5"/>
  <c r="F2633" i="5"/>
  <c r="E2633" i="5"/>
  <c r="D2633" i="5" a="1"/>
  <c r="D2633" i="5" s="1"/>
  <c r="B2633" i="5"/>
  <c r="N2632" i="5"/>
  <c r="H2632" i="5"/>
  <c r="G2632" i="5"/>
  <c r="F2632" i="5"/>
  <c r="E2632" i="5"/>
  <c r="D2632" i="5" a="1"/>
  <c r="D2632" i="5" s="1"/>
  <c r="B2632" i="5"/>
  <c r="N2631" i="5"/>
  <c r="H2631" i="5"/>
  <c r="G2631" i="5"/>
  <c r="F2631" i="5"/>
  <c r="E2631" i="5"/>
  <c r="D2631" i="5" a="1"/>
  <c r="D2631" i="5" s="1"/>
  <c r="B2631" i="5"/>
  <c r="N2630" i="5"/>
  <c r="H2630" i="5"/>
  <c r="G2630" i="5"/>
  <c r="F2630" i="5"/>
  <c r="E2630" i="5"/>
  <c r="D2630" i="5" a="1"/>
  <c r="D2630" i="5" s="1"/>
  <c r="B2630" i="5"/>
  <c r="N2629" i="5"/>
  <c r="H2629" i="5"/>
  <c r="G2629" i="5"/>
  <c r="F2629" i="5"/>
  <c r="E2629" i="5"/>
  <c r="D2629" i="5" a="1"/>
  <c r="D2629" i="5" s="1"/>
  <c r="B2629" i="5"/>
  <c r="N2628" i="5"/>
  <c r="H2628" i="5"/>
  <c r="G2628" i="5"/>
  <c r="F2628" i="5"/>
  <c r="E2628" i="5"/>
  <c r="D2628" i="5" a="1"/>
  <c r="D2628" i="5" s="1"/>
  <c r="B2628" i="5"/>
  <c r="N2627" i="5"/>
  <c r="H2627" i="5"/>
  <c r="G2627" i="5"/>
  <c r="F2627" i="5"/>
  <c r="E2627" i="5"/>
  <c r="D2627" i="5" a="1"/>
  <c r="D2627" i="5" s="1"/>
  <c r="B2627" i="5"/>
  <c r="N2626" i="5"/>
  <c r="H2626" i="5"/>
  <c r="G2626" i="5"/>
  <c r="F2626" i="5"/>
  <c r="E2626" i="5"/>
  <c r="D2626" i="5" a="1"/>
  <c r="D2626" i="5" s="1"/>
  <c r="B2626" i="5"/>
  <c r="N2625" i="5"/>
  <c r="H2625" i="5"/>
  <c r="G2625" i="5"/>
  <c r="F2625" i="5"/>
  <c r="E2625" i="5"/>
  <c r="D2625" i="5" a="1"/>
  <c r="D2625" i="5" s="1"/>
  <c r="B2625" i="5"/>
  <c r="N2624" i="5"/>
  <c r="H2624" i="5"/>
  <c r="G2624" i="5"/>
  <c r="F2624" i="5"/>
  <c r="E2624" i="5"/>
  <c r="D2624" i="5" a="1"/>
  <c r="D2624" i="5" s="1"/>
  <c r="B2624" i="5"/>
  <c r="N2623" i="5"/>
  <c r="H2623" i="5"/>
  <c r="G2623" i="5"/>
  <c r="F2623" i="5"/>
  <c r="E2623" i="5"/>
  <c r="D2623" i="5" a="1"/>
  <c r="D2623" i="5" s="1"/>
  <c r="B2623" i="5"/>
  <c r="N2622" i="5"/>
  <c r="H2622" i="5"/>
  <c r="G2622" i="5"/>
  <c r="F2622" i="5"/>
  <c r="E2622" i="5"/>
  <c r="D2622" i="5" a="1"/>
  <c r="D2622" i="5" s="1"/>
  <c r="B2622" i="5"/>
  <c r="N2621" i="5"/>
  <c r="H2621" i="5"/>
  <c r="G2621" i="5"/>
  <c r="F2621" i="5"/>
  <c r="E2621" i="5"/>
  <c r="D2621" i="5" a="1"/>
  <c r="D2621" i="5" s="1"/>
  <c r="B2621" i="5"/>
  <c r="N2620" i="5"/>
  <c r="H2620" i="5"/>
  <c r="G2620" i="5"/>
  <c r="F2620" i="5"/>
  <c r="E2620" i="5"/>
  <c r="D2620" i="5" a="1"/>
  <c r="D2620" i="5" s="1"/>
  <c r="B2620" i="5"/>
  <c r="N2619" i="5"/>
  <c r="H2619" i="5"/>
  <c r="G2619" i="5"/>
  <c r="F2619" i="5"/>
  <c r="E2619" i="5"/>
  <c r="D2619" i="5" a="1"/>
  <c r="D2619" i="5" s="1"/>
  <c r="B2619" i="5"/>
  <c r="N2618" i="5"/>
  <c r="H2618" i="5"/>
  <c r="G2618" i="5"/>
  <c r="F2618" i="5"/>
  <c r="E2618" i="5"/>
  <c r="D2618" i="5" a="1"/>
  <c r="D2618" i="5" s="1"/>
  <c r="B2618" i="5"/>
  <c r="N2617" i="5"/>
  <c r="H2617" i="5"/>
  <c r="G2617" i="5"/>
  <c r="F2617" i="5"/>
  <c r="E2617" i="5"/>
  <c r="D2617" i="5" a="1"/>
  <c r="D2617" i="5" s="1"/>
  <c r="B2617" i="5"/>
  <c r="N2616" i="5"/>
  <c r="H2616" i="5"/>
  <c r="G2616" i="5"/>
  <c r="F2616" i="5"/>
  <c r="E2616" i="5"/>
  <c r="D2616" i="5" a="1"/>
  <c r="D2616" i="5" s="1"/>
  <c r="B2616" i="5"/>
  <c r="N2615" i="5"/>
  <c r="H2615" i="5"/>
  <c r="G2615" i="5"/>
  <c r="F2615" i="5"/>
  <c r="E2615" i="5"/>
  <c r="D2615" i="5" a="1"/>
  <c r="D2615" i="5" s="1"/>
  <c r="B2615" i="5"/>
  <c r="N2614" i="5"/>
  <c r="H2614" i="5"/>
  <c r="G2614" i="5"/>
  <c r="F2614" i="5"/>
  <c r="E2614" i="5"/>
  <c r="D2614" i="5" a="1"/>
  <c r="D2614" i="5" s="1"/>
  <c r="B2614" i="5"/>
  <c r="N2613" i="5"/>
  <c r="H2613" i="5"/>
  <c r="G2613" i="5"/>
  <c r="F2613" i="5"/>
  <c r="E2613" i="5"/>
  <c r="D2613" i="5" a="1"/>
  <c r="D2613" i="5" s="1"/>
  <c r="B2613" i="5"/>
  <c r="N2612" i="5"/>
  <c r="H2612" i="5"/>
  <c r="G2612" i="5"/>
  <c r="F2612" i="5"/>
  <c r="E2612" i="5"/>
  <c r="D2612" i="5" a="1"/>
  <c r="D2612" i="5" s="1"/>
  <c r="B2612" i="5"/>
  <c r="N2611" i="5"/>
  <c r="H2611" i="5"/>
  <c r="G2611" i="5"/>
  <c r="F2611" i="5"/>
  <c r="E2611" i="5"/>
  <c r="D2611" i="5" a="1"/>
  <c r="D2611" i="5" s="1"/>
  <c r="B2611" i="5"/>
  <c r="N2610" i="5"/>
  <c r="H2610" i="5"/>
  <c r="G2610" i="5"/>
  <c r="F2610" i="5"/>
  <c r="E2610" i="5"/>
  <c r="D2610" i="5" a="1"/>
  <c r="D2610" i="5" s="1"/>
  <c r="B2610" i="5"/>
  <c r="N2609" i="5"/>
  <c r="H2609" i="5"/>
  <c r="G2609" i="5"/>
  <c r="F2609" i="5"/>
  <c r="E2609" i="5"/>
  <c r="D2609" i="5" a="1"/>
  <c r="D2609" i="5" s="1"/>
  <c r="B2609" i="5"/>
  <c r="N2608" i="5"/>
  <c r="H2608" i="5"/>
  <c r="G2608" i="5"/>
  <c r="F2608" i="5"/>
  <c r="E2608" i="5"/>
  <c r="D2608" i="5" a="1"/>
  <c r="D2608" i="5" s="1"/>
  <c r="B2608" i="5"/>
  <c r="N2607" i="5"/>
  <c r="H2607" i="5"/>
  <c r="G2607" i="5"/>
  <c r="F2607" i="5"/>
  <c r="E2607" i="5"/>
  <c r="D2607" i="5" a="1"/>
  <c r="D2607" i="5" s="1"/>
  <c r="B2607" i="5"/>
  <c r="N2606" i="5"/>
  <c r="H2606" i="5"/>
  <c r="G2606" i="5"/>
  <c r="F2606" i="5"/>
  <c r="E2606" i="5"/>
  <c r="D2606" i="5" a="1"/>
  <c r="D2606" i="5" s="1"/>
  <c r="B2606" i="5"/>
  <c r="N2605" i="5"/>
  <c r="H2605" i="5"/>
  <c r="G2605" i="5"/>
  <c r="F2605" i="5"/>
  <c r="E2605" i="5"/>
  <c r="D2605" i="5" a="1"/>
  <c r="D2605" i="5" s="1"/>
  <c r="B2605" i="5"/>
  <c r="N2604" i="5"/>
  <c r="H2604" i="5"/>
  <c r="G2604" i="5"/>
  <c r="F2604" i="5"/>
  <c r="E2604" i="5"/>
  <c r="D2604" i="5" a="1"/>
  <c r="D2604" i="5" s="1"/>
  <c r="B2604" i="5"/>
  <c r="N2603" i="5"/>
  <c r="H2603" i="5"/>
  <c r="G2603" i="5"/>
  <c r="F2603" i="5"/>
  <c r="E2603" i="5"/>
  <c r="D2603" i="5" a="1"/>
  <c r="D2603" i="5" s="1"/>
  <c r="B2603" i="5"/>
  <c r="N2602" i="5"/>
  <c r="H2602" i="5"/>
  <c r="G2602" i="5"/>
  <c r="F2602" i="5"/>
  <c r="E2602" i="5"/>
  <c r="D2602" i="5" a="1"/>
  <c r="D2602" i="5" s="1"/>
  <c r="B2602" i="5"/>
  <c r="N2601" i="5"/>
  <c r="H2601" i="5"/>
  <c r="G2601" i="5"/>
  <c r="F2601" i="5"/>
  <c r="E2601" i="5"/>
  <c r="D2601" i="5" a="1"/>
  <c r="D2601" i="5" s="1"/>
  <c r="B2601" i="5"/>
  <c r="N2600" i="5"/>
  <c r="H2600" i="5"/>
  <c r="G2600" i="5"/>
  <c r="F2600" i="5"/>
  <c r="E2600" i="5"/>
  <c r="D2600" i="5" a="1"/>
  <c r="D2600" i="5" s="1"/>
  <c r="B2600" i="5"/>
  <c r="N2599" i="5"/>
  <c r="H2599" i="5"/>
  <c r="G2599" i="5"/>
  <c r="F2599" i="5"/>
  <c r="E2599" i="5"/>
  <c r="D2599" i="5" a="1"/>
  <c r="D2599" i="5" s="1"/>
  <c r="B2599" i="5"/>
  <c r="N2598" i="5"/>
  <c r="H2598" i="5"/>
  <c r="G2598" i="5"/>
  <c r="F2598" i="5"/>
  <c r="E2598" i="5"/>
  <c r="D2598" i="5" a="1"/>
  <c r="D2598" i="5" s="1"/>
  <c r="B2598" i="5"/>
  <c r="N2597" i="5"/>
  <c r="H2597" i="5"/>
  <c r="G2597" i="5"/>
  <c r="F2597" i="5"/>
  <c r="E2597" i="5"/>
  <c r="D2597" i="5" a="1"/>
  <c r="D2597" i="5" s="1"/>
  <c r="B2597" i="5"/>
  <c r="N2596" i="5"/>
  <c r="H2596" i="5"/>
  <c r="G2596" i="5"/>
  <c r="F2596" i="5"/>
  <c r="E2596" i="5"/>
  <c r="D2596" i="5" a="1"/>
  <c r="D2596" i="5" s="1"/>
  <c r="B2596" i="5"/>
  <c r="N2595" i="5"/>
  <c r="H2595" i="5"/>
  <c r="G2595" i="5"/>
  <c r="F2595" i="5"/>
  <c r="E2595" i="5"/>
  <c r="D2595" i="5" a="1"/>
  <c r="D2595" i="5" s="1"/>
  <c r="B2595" i="5"/>
  <c r="N2594" i="5"/>
  <c r="H2594" i="5"/>
  <c r="G2594" i="5"/>
  <c r="F2594" i="5"/>
  <c r="E2594" i="5"/>
  <c r="D2594" i="5" a="1"/>
  <c r="D2594" i="5" s="1"/>
  <c r="B2594" i="5"/>
  <c r="N2593" i="5"/>
  <c r="H2593" i="5"/>
  <c r="G2593" i="5"/>
  <c r="F2593" i="5"/>
  <c r="E2593" i="5"/>
  <c r="D2593" i="5" a="1"/>
  <c r="D2593" i="5" s="1"/>
  <c r="B2593" i="5"/>
  <c r="N2592" i="5"/>
  <c r="H2592" i="5"/>
  <c r="G2592" i="5"/>
  <c r="F2592" i="5"/>
  <c r="E2592" i="5"/>
  <c r="D2592" i="5" a="1"/>
  <c r="D2592" i="5" s="1"/>
  <c r="B2592" i="5"/>
  <c r="N2591" i="5"/>
  <c r="H2591" i="5"/>
  <c r="G2591" i="5"/>
  <c r="F2591" i="5"/>
  <c r="E2591" i="5"/>
  <c r="D2591" i="5" a="1"/>
  <c r="D2591" i="5" s="1"/>
  <c r="B2591" i="5"/>
  <c r="N2590" i="5"/>
  <c r="H2590" i="5"/>
  <c r="G2590" i="5"/>
  <c r="F2590" i="5"/>
  <c r="E2590" i="5"/>
  <c r="D2590" i="5" a="1"/>
  <c r="D2590" i="5" s="1"/>
  <c r="B2590" i="5"/>
  <c r="N2589" i="5"/>
  <c r="H2589" i="5"/>
  <c r="G2589" i="5"/>
  <c r="F2589" i="5"/>
  <c r="E2589" i="5"/>
  <c r="D2589" i="5" a="1"/>
  <c r="D2589" i="5" s="1"/>
  <c r="B2589" i="5"/>
  <c r="N2588" i="5"/>
  <c r="H2588" i="5"/>
  <c r="G2588" i="5"/>
  <c r="F2588" i="5"/>
  <c r="E2588" i="5"/>
  <c r="D2588" i="5" a="1"/>
  <c r="D2588" i="5" s="1"/>
  <c r="B2588" i="5"/>
  <c r="N2587" i="5"/>
  <c r="H2587" i="5"/>
  <c r="G2587" i="5"/>
  <c r="F2587" i="5"/>
  <c r="E2587" i="5"/>
  <c r="D2587" i="5" a="1"/>
  <c r="D2587" i="5" s="1"/>
  <c r="B2587" i="5"/>
  <c r="N2586" i="5"/>
  <c r="H2586" i="5"/>
  <c r="G2586" i="5"/>
  <c r="F2586" i="5"/>
  <c r="E2586" i="5"/>
  <c r="D2586" i="5" a="1"/>
  <c r="D2586" i="5" s="1"/>
  <c r="B2586" i="5"/>
  <c r="N2585" i="5"/>
  <c r="H2585" i="5"/>
  <c r="G2585" i="5"/>
  <c r="F2585" i="5"/>
  <c r="E2585" i="5"/>
  <c r="D2585" i="5" a="1"/>
  <c r="D2585" i="5" s="1"/>
  <c r="B2585" i="5"/>
  <c r="N2584" i="5"/>
  <c r="H2584" i="5"/>
  <c r="G2584" i="5"/>
  <c r="F2584" i="5"/>
  <c r="E2584" i="5"/>
  <c r="D2584" i="5" a="1"/>
  <c r="D2584" i="5" s="1"/>
  <c r="B2584" i="5"/>
  <c r="N2583" i="5"/>
  <c r="H2583" i="5"/>
  <c r="G2583" i="5"/>
  <c r="F2583" i="5"/>
  <c r="E2583" i="5"/>
  <c r="D2583" i="5" a="1"/>
  <c r="D2583" i="5" s="1"/>
  <c r="B2583" i="5"/>
  <c r="N2582" i="5"/>
  <c r="H2582" i="5"/>
  <c r="G2582" i="5"/>
  <c r="F2582" i="5"/>
  <c r="E2582" i="5"/>
  <c r="D2582" i="5" a="1"/>
  <c r="D2582" i="5" s="1"/>
  <c r="B2582" i="5"/>
  <c r="N2581" i="5"/>
  <c r="H2581" i="5"/>
  <c r="G2581" i="5"/>
  <c r="F2581" i="5"/>
  <c r="E2581" i="5"/>
  <c r="D2581" i="5" a="1"/>
  <c r="D2581" i="5" s="1"/>
  <c r="B2581" i="5"/>
  <c r="N2580" i="5"/>
  <c r="H2580" i="5"/>
  <c r="G2580" i="5"/>
  <c r="F2580" i="5"/>
  <c r="E2580" i="5"/>
  <c r="D2580" i="5" a="1"/>
  <c r="D2580" i="5" s="1"/>
  <c r="B2580" i="5"/>
  <c r="N2579" i="5"/>
  <c r="H2579" i="5"/>
  <c r="G2579" i="5"/>
  <c r="F2579" i="5"/>
  <c r="E2579" i="5"/>
  <c r="D2579" i="5" a="1"/>
  <c r="D2579" i="5" s="1"/>
  <c r="B2579" i="5"/>
  <c r="N2578" i="5"/>
  <c r="H2578" i="5"/>
  <c r="G2578" i="5"/>
  <c r="F2578" i="5"/>
  <c r="E2578" i="5"/>
  <c r="D2578" i="5" a="1"/>
  <c r="D2578" i="5" s="1"/>
  <c r="B2578" i="5"/>
  <c r="N2577" i="5"/>
  <c r="H2577" i="5"/>
  <c r="G2577" i="5"/>
  <c r="F2577" i="5"/>
  <c r="E2577" i="5"/>
  <c r="D2577" i="5" a="1"/>
  <c r="D2577" i="5" s="1"/>
  <c r="B2577" i="5"/>
  <c r="N2576" i="5"/>
  <c r="H2576" i="5"/>
  <c r="G2576" i="5"/>
  <c r="F2576" i="5"/>
  <c r="E2576" i="5"/>
  <c r="D2576" i="5" a="1"/>
  <c r="D2576" i="5" s="1"/>
  <c r="B2576" i="5"/>
  <c r="N2575" i="5"/>
  <c r="H2575" i="5"/>
  <c r="G2575" i="5"/>
  <c r="F2575" i="5"/>
  <c r="E2575" i="5"/>
  <c r="D2575" i="5" a="1"/>
  <c r="D2575" i="5" s="1"/>
  <c r="B2575" i="5"/>
  <c r="N2574" i="5"/>
  <c r="H2574" i="5"/>
  <c r="G2574" i="5"/>
  <c r="F2574" i="5"/>
  <c r="E2574" i="5"/>
  <c r="D2574" i="5" a="1"/>
  <c r="D2574" i="5" s="1"/>
  <c r="B2574" i="5"/>
  <c r="N2573" i="5"/>
  <c r="H2573" i="5"/>
  <c r="G2573" i="5"/>
  <c r="F2573" i="5"/>
  <c r="E2573" i="5"/>
  <c r="D2573" i="5" a="1"/>
  <c r="D2573" i="5" s="1"/>
  <c r="B2573" i="5"/>
  <c r="N2572" i="5"/>
  <c r="H2572" i="5"/>
  <c r="G2572" i="5"/>
  <c r="F2572" i="5"/>
  <c r="E2572" i="5"/>
  <c r="D2572" i="5" a="1"/>
  <c r="D2572" i="5" s="1"/>
  <c r="B2572" i="5"/>
  <c r="N2571" i="5"/>
  <c r="H2571" i="5"/>
  <c r="G2571" i="5"/>
  <c r="F2571" i="5"/>
  <c r="E2571" i="5"/>
  <c r="D2571" i="5" a="1"/>
  <c r="D2571" i="5" s="1"/>
  <c r="B2571" i="5"/>
  <c r="N2570" i="5"/>
  <c r="H2570" i="5"/>
  <c r="G2570" i="5"/>
  <c r="F2570" i="5"/>
  <c r="E2570" i="5"/>
  <c r="D2570" i="5" a="1"/>
  <c r="D2570" i="5" s="1"/>
  <c r="B2570" i="5"/>
  <c r="N2569" i="5"/>
  <c r="H2569" i="5"/>
  <c r="G2569" i="5"/>
  <c r="F2569" i="5"/>
  <c r="E2569" i="5"/>
  <c r="D2569" i="5" a="1"/>
  <c r="D2569" i="5" s="1"/>
  <c r="B2569" i="5"/>
  <c r="N2568" i="5"/>
  <c r="H2568" i="5"/>
  <c r="G2568" i="5"/>
  <c r="F2568" i="5"/>
  <c r="E2568" i="5"/>
  <c r="D2568" i="5" a="1"/>
  <c r="D2568" i="5" s="1"/>
  <c r="B2568" i="5"/>
  <c r="N2567" i="5"/>
  <c r="H2567" i="5"/>
  <c r="G2567" i="5"/>
  <c r="F2567" i="5"/>
  <c r="E2567" i="5"/>
  <c r="D2567" i="5" a="1"/>
  <c r="D2567" i="5" s="1"/>
  <c r="B2567" i="5"/>
  <c r="N2566" i="5"/>
  <c r="H2566" i="5"/>
  <c r="G2566" i="5"/>
  <c r="F2566" i="5"/>
  <c r="E2566" i="5"/>
  <c r="D2566" i="5" a="1"/>
  <c r="D2566" i="5" s="1"/>
  <c r="B2566" i="5"/>
  <c r="N2565" i="5"/>
  <c r="H2565" i="5"/>
  <c r="G2565" i="5"/>
  <c r="F2565" i="5"/>
  <c r="E2565" i="5"/>
  <c r="D2565" i="5" a="1"/>
  <c r="D2565" i="5" s="1"/>
  <c r="B2565" i="5"/>
  <c r="N2564" i="5"/>
  <c r="H2564" i="5"/>
  <c r="G2564" i="5"/>
  <c r="F2564" i="5"/>
  <c r="E2564" i="5"/>
  <c r="D2564" i="5" a="1"/>
  <c r="D2564" i="5" s="1"/>
  <c r="B2564" i="5"/>
  <c r="N2563" i="5"/>
  <c r="H2563" i="5"/>
  <c r="G2563" i="5"/>
  <c r="F2563" i="5"/>
  <c r="E2563" i="5"/>
  <c r="D2563" i="5" a="1"/>
  <c r="D2563" i="5" s="1"/>
  <c r="B2563" i="5"/>
  <c r="N2562" i="5"/>
  <c r="H2562" i="5"/>
  <c r="G2562" i="5"/>
  <c r="F2562" i="5"/>
  <c r="E2562" i="5"/>
  <c r="D2562" i="5" a="1"/>
  <c r="D2562" i="5" s="1"/>
  <c r="B2562" i="5"/>
  <c r="N2561" i="5"/>
  <c r="H2561" i="5"/>
  <c r="G2561" i="5"/>
  <c r="F2561" i="5"/>
  <c r="E2561" i="5"/>
  <c r="D2561" i="5" a="1"/>
  <c r="D2561" i="5" s="1"/>
  <c r="B2561" i="5"/>
  <c r="N2560" i="5"/>
  <c r="H2560" i="5"/>
  <c r="G2560" i="5"/>
  <c r="F2560" i="5"/>
  <c r="E2560" i="5"/>
  <c r="D2560" i="5" a="1"/>
  <c r="D2560" i="5" s="1"/>
  <c r="B2560" i="5"/>
  <c r="N2559" i="5"/>
  <c r="H2559" i="5"/>
  <c r="G2559" i="5"/>
  <c r="F2559" i="5"/>
  <c r="E2559" i="5"/>
  <c r="D2559" i="5" a="1"/>
  <c r="D2559" i="5" s="1"/>
  <c r="B2559" i="5"/>
  <c r="N2558" i="5"/>
  <c r="H2558" i="5"/>
  <c r="G2558" i="5"/>
  <c r="F2558" i="5"/>
  <c r="E2558" i="5"/>
  <c r="D2558" i="5" a="1"/>
  <c r="D2558" i="5" s="1"/>
  <c r="B2558" i="5"/>
  <c r="N2557" i="5"/>
  <c r="H2557" i="5"/>
  <c r="G2557" i="5"/>
  <c r="F2557" i="5"/>
  <c r="E2557" i="5"/>
  <c r="D2557" i="5" a="1"/>
  <c r="D2557" i="5" s="1"/>
  <c r="B2557" i="5"/>
  <c r="N2556" i="5"/>
  <c r="H2556" i="5"/>
  <c r="G2556" i="5"/>
  <c r="F2556" i="5"/>
  <c r="E2556" i="5"/>
  <c r="D2556" i="5" a="1"/>
  <c r="D2556" i="5" s="1"/>
  <c r="B2556" i="5"/>
  <c r="N2555" i="5"/>
  <c r="H2555" i="5"/>
  <c r="G2555" i="5"/>
  <c r="F2555" i="5"/>
  <c r="E2555" i="5"/>
  <c r="D2555" i="5" a="1"/>
  <c r="D2555" i="5" s="1"/>
  <c r="B2555" i="5"/>
  <c r="N2554" i="5"/>
  <c r="H2554" i="5"/>
  <c r="G2554" i="5"/>
  <c r="F2554" i="5"/>
  <c r="E2554" i="5"/>
  <c r="D2554" i="5" a="1"/>
  <c r="D2554" i="5" s="1"/>
  <c r="B2554" i="5"/>
  <c r="N2553" i="5"/>
  <c r="H2553" i="5"/>
  <c r="G2553" i="5"/>
  <c r="F2553" i="5"/>
  <c r="E2553" i="5"/>
  <c r="D2553" i="5" a="1"/>
  <c r="D2553" i="5" s="1"/>
  <c r="B2553" i="5"/>
  <c r="N2552" i="5"/>
  <c r="H2552" i="5"/>
  <c r="G2552" i="5"/>
  <c r="F2552" i="5"/>
  <c r="E2552" i="5"/>
  <c r="D2552" i="5" a="1"/>
  <c r="D2552" i="5" s="1"/>
  <c r="B2552" i="5"/>
  <c r="N2551" i="5"/>
  <c r="H2551" i="5"/>
  <c r="G2551" i="5"/>
  <c r="F2551" i="5"/>
  <c r="E2551" i="5"/>
  <c r="D2551" i="5" a="1"/>
  <c r="D2551" i="5" s="1"/>
  <c r="B2551" i="5"/>
  <c r="N2550" i="5"/>
  <c r="H2550" i="5"/>
  <c r="G2550" i="5"/>
  <c r="F2550" i="5"/>
  <c r="E2550" i="5"/>
  <c r="D2550" i="5" a="1"/>
  <c r="D2550" i="5" s="1"/>
  <c r="B2550" i="5"/>
  <c r="N2549" i="5"/>
  <c r="H2549" i="5"/>
  <c r="G2549" i="5"/>
  <c r="F2549" i="5"/>
  <c r="E2549" i="5"/>
  <c r="D2549" i="5" a="1"/>
  <c r="D2549" i="5" s="1"/>
  <c r="B2549" i="5"/>
  <c r="N2548" i="5"/>
  <c r="H2548" i="5"/>
  <c r="G2548" i="5"/>
  <c r="F2548" i="5"/>
  <c r="E2548" i="5"/>
  <c r="D2548" i="5" a="1"/>
  <c r="D2548" i="5" s="1"/>
  <c r="B2548" i="5"/>
  <c r="N2547" i="5"/>
  <c r="H2547" i="5"/>
  <c r="G2547" i="5"/>
  <c r="F2547" i="5"/>
  <c r="E2547" i="5"/>
  <c r="D2547" i="5" a="1"/>
  <c r="D2547" i="5" s="1"/>
  <c r="B2547" i="5"/>
  <c r="N2546" i="5"/>
  <c r="H2546" i="5"/>
  <c r="G2546" i="5"/>
  <c r="F2546" i="5"/>
  <c r="E2546" i="5"/>
  <c r="D2546" i="5" a="1"/>
  <c r="D2546" i="5" s="1"/>
  <c r="B2546" i="5"/>
  <c r="N2545" i="5"/>
  <c r="H2545" i="5"/>
  <c r="G2545" i="5"/>
  <c r="F2545" i="5"/>
  <c r="E2545" i="5"/>
  <c r="D2545" i="5" a="1"/>
  <c r="D2545" i="5" s="1"/>
  <c r="B2545" i="5"/>
  <c r="N2544" i="5"/>
  <c r="H2544" i="5"/>
  <c r="G2544" i="5"/>
  <c r="F2544" i="5"/>
  <c r="E2544" i="5"/>
  <c r="D2544" i="5" a="1"/>
  <c r="D2544" i="5" s="1"/>
  <c r="B2544" i="5"/>
  <c r="N2543" i="5"/>
  <c r="H2543" i="5"/>
  <c r="G2543" i="5"/>
  <c r="F2543" i="5"/>
  <c r="E2543" i="5"/>
  <c r="D2543" i="5" a="1"/>
  <c r="D2543" i="5" s="1"/>
  <c r="B2543" i="5"/>
  <c r="N2542" i="5"/>
  <c r="H2542" i="5"/>
  <c r="G2542" i="5"/>
  <c r="F2542" i="5"/>
  <c r="E2542" i="5"/>
  <c r="D2542" i="5" a="1"/>
  <c r="D2542" i="5" s="1"/>
  <c r="B2542" i="5"/>
  <c r="N2541" i="5"/>
  <c r="H2541" i="5"/>
  <c r="G2541" i="5"/>
  <c r="F2541" i="5"/>
  <c r="E2541" i="5"/>
  <c r="D2541" i="5" a="1"/>
  <c r="D2541" i="5" s="1"/>
  <c r="B2541" i="5"/>
  <c r="N2540" i="5"/>
  <c r="H2540" i="5"/>
  <c r="G2540" i="5"/>
  <c r="F2540" i="5"/>
  <c r="E2540" i="5"/>
  <c r="D2540" i="5" a="1"/>
  <c r="D2540" i="5" s="1"/>
  <c r="B2540" i="5"/>
  <c r="N2539" i="5"/>
  <c r="H2539" i="5"/>
  <c r="G2539" i="5"/>
  <c r="F2539" i="5"/>
  <c r="E2539" i="5"/>
  <c r="D2539" i="5" a="1"/>
  <c r="D2539" i="5" s="1"/>
  <c r="B2539" i="5"/>
  <c r="N2538" i="5"/>
  <c r="H2538" i="5"/>
  <c r="G2538" i="5"/>
  <c r="F2538" i="5"/>
  <c r="E2538" i="5"/>
  <c r="D2538" i="5" a="1"/>
  <c r="D2538" i="5" s="1"/>
  <c r="B2538" i="5"/>
  <c r="N2537" i="5"/>
  <c r="H2537" i="5"/>
  <c r="G2537" i="5"/>
  <c r="F2537" i="5"/>
  <c r="E2537" i="5"/>
  <c r="D2537" i="5" a="1"/>
  <c r="D2537" i="5" s="1"/>
  <c r="B2537" i="5"/>
  <c r="N2536" i="5"/>
  <c r="H2536" i="5"/>
  <c r="G2536" i="5"/>
  <c r="F2536" i="5"/>
  <c r="E2536" i="5"/>
  <c r="D2536" i="5" a="1"/>
  <c r="D2536" i="5" s="1"/>
  <c r="B2536" i="5"/>
  <c r="N2535" i="5"/>
  <c r="H2535" i="5"/>
  <c r="G2535" i="5"/>
  <c r="F2535" i="5"/>
  <c r="E2535" i="5"/>
  <c r="D2535" i="5" a="1"/>
  <c r="D2535" i="5" s="1"/>
  <c r="B2535" i="5"/>
  <c r="N2534" i="5"/>
  <c r="H2534" i="5"/>
  <c r="G2534" i="5"/>
  <c r="F2534" i="5"/>
  <c r="E2534" i="5"/>
  <c r="D2534" i="5" a="1"/>
  <c r="D2534" i="5" s="1"/>
  <c r="B2534" i="5"/>
  <c r="N2533" i="5"/>
  <c r="H2533" i="5"/>
  <c r="G2533" i="5"/>
  <c r="F2533" i="5"/>
  <c r="E2533" i="5"/>
  <c r="D2533" i="5" a="1"/>
  <c r="D2533" i="5" s="1"/>
  <c r="B2533" i="5"/>
  <c r="N2532" i="5"/>
  <c r="H2532" i="5"/>
  <c r="G2532" i="5"/>
  <c r="F2532" i="5"/>
  <c r="E2532" i="5"/>
  <c r="D2532" i="5" a="1"/>
  <c r="D2532" i="5" s="1"/>
  <c r="B2532" i="5"/>
  <c r="N2531" i="5"/>
  <c r="H2531" i="5"/>
  <c r="G2531" i="5"/>
  <c r="F2531" i="5"/>
  <c r="E2531" i="5"/>
  <c r="D2531" i="5" a="1"/>
  <c r="D2531" i="5" s="1"/>
  <c r="B2531" i="5"/>
  <c r="N2530" i="5"/>
  <c r="H2530" i="5"/>
  <c r="G2530" i="5"/>
  <c r="F2530" i="5"/>
  <c r="E2530" i="5"/>
  <c r="D2530" i="5" a="1"/>
  <c r="D2530" i="5" s="1"/>
  <c r="B2530" i="5"/>
  <c r="N2529" i="5"/>
  <c r="H2529" i="5"/>
  <c r="G2529" i="5"/>
  <c r="F2529" i="5"/>
  <c r="E2529" i="5"/>
  <c r="D2529" i="5" a="1"/>
  <c r="D2529" i="5" s="1"/>
  <c r="B2529" i="5"/>
  <c r="N2528" i="5"/>
  <c r="H2528" i="5"/>
  <c r="G2528" i="5"/>
  <c r="F2528" i="5"/>
  <c r="E2528" i="5"/>
  <c r="D2528" i="5" a="1"/>
  <c r="D2528" i="5" s="1"/>
  <c r="B2528" i="5"/>
  <c r="N2527" i="5"/>
  <c r="H2527" i="5"/>
  <c r="G2527" i="5"/>
  <c r="F2527" i="5"/>
  <c r="E2527" i="5"/>
  <c r="D2527" i="5" a="1"/>
  <c r="D2527" i="5" s="1"/>
  <c r="B2527" i="5"/>
  <c r="N2526" i="5"/>
  <c r="H2526" i="5"/>
  <c r="G2526" i="5"/>
  <c r="F2526" i="5"/>
  <c r="E2526" i="5"/>
  <c r="D2526" i="5" a="1"/>
  <c r="D2526" i="5" s="1"/>
  <c r="B2526" i="5"/>
  <c r="N2525" i="5"/>
  <c r="H2525" i="5"/>
  <c r="G2525" i="5"/>
  <c r="F2525" i="5"/>
  <c r="E2525" i="5"/>
  <c r="D2525" i="5" a="1"/>
  <c r="D2525" i="5" s="1"/>
  <c r="B2525" i="5"/>
  <c r="N2524" i="5"/>
  <c r="H2524" i="5"/>
  <c r="G2524" i="5"/>
  <c r="F2524" i="5"/>
  <c r="E2524" i="5"/>
  <c r="D2524" i="5" a="1"/>
  <c r="D2524" i="5" s="1"/>
  <c r="B2524" i="5"/>
  <c r="N2523" i="5"/>
  <c r="H2523" i="5"/>
  <c r="G2523" i="5"/>
  <c r="F2523" i="5"/>
  <c r="E2523" i="5"/>
  <c r="D2523" i="5" a="1"/>
  <c r="D2523" i="5" s="1"/>
  <c r="B2523" i="5"/>
  <c r="N2522" i="5"/>
  <c r="H2522" i="5"/>
  <c r="G2522" i="5"/>
  <c r="F2522" i="5"/>
  <c r="E2522" i="5"/>
  <c r="D2522" i="5" a="1"/>
  <c r="D2522" i="5" s="1"/>
  <c r="B2522" i="5"/>
  <c r="N2521" i="5"/>
  <c r="H2521" i="5"/>
  <c r="G2521" i="5"/>
  <c r="F2521" i="5"/>
  <c r="E2521" i="5"/>
  <c r="D2521" i="5" a="1"/>
  <c r="D2521" i="5" s="1"/>
  <c r="B2521" i="5"/>
  <c r="N2520" i="5"/>
  <c r="H2520" i="5"/>
  <c r="G2520" i="5"/>
  <c r="F2520" i="5"/>
  <c r="E2520" i="5"/>
  <c r="D2520" i="5" a="1"/>
  <c r="D2520" i="5" s="1"/>
  <c r="B2520" i="5"/>
  <c r="N2519" i="5"/>
  <c r="H2519" i="5"/>
  <c r="G2519" i="5"/>
  <c r="F2519" i="5"/>
  <c r="E2519" i="5"/>
  <c r="D2519" i="5" a="1"/>
  <c r="D2519" i="5" s="1"/>
  <c r="B2519" i="5"/>
  <c r="N2518" i="5"/>
  <c r="H2518" i="5"/>
  <c r="G2518" i="5"/>
  <c r="F2518" i="5"/>
  <c r="E2518" i="5"/>
  <c r="D2518" i="5" a="1"/>
  <c r="D2518" i="5" s="1"/>
  <c r="B2518" i="5"/>
  <c r="N2517" i="5"/>
  <c r="H2517" i="5"/>
  <c r="G2517" i="5"/>
  <c r="F2517" i="5"/>
  <c r="E2517" i="5"/>
  <c r="D2517" i="5" a="1"/>
  <c r="D2517" i="5" s="1"/>
  <c r="B2517" i="5"/>
  <c r="N2516" i="5"/>
  <c r="H2516" i="5"/>
  <c r="G2516" i="5"/>
  <c r="F2516" i="5"/>
  <c r="E2516" i="5"/>
  <c r="D2516" i="5" a="1"/>
  <c r="D2516" i="5" s="1"/>
  <c r="B2516" i="5"/>
  <c r="N2515" i="5"/>
  <c r="H2515" i="5"/>
  <c r="G2515" i="5"/>
  <c r="F2515" i="5"/>
  <c r="E2515" i="5"/>
  <c r="D2515" i="5" a="1"/>
  <c r="D2515" i="5" s="1"/>
  <c r="B2515" i="5"/>
  <c r="N2514" i="5"/>
  <c r="H2514" i="5"/>
  <c r="G2514" i="5"/>
  <c r="F2514" i="5"/>
  <c r="E2514" i="5"/>
  <c r="D2514" i="5" a="1"/>
  <c r="D2514" i="5" s="1"/>
  <c r="B2514" i="5"/>
  <c r="N2513" i="5"/>
  <c r="H2513" i="5"/>
  <c r="G2513" i="5"/>
  <c r="F2513" i="5"/>
  <c r="E2513" i="5"/>
  <c r="D2513" i="5" a="1"/>
  <c r="D2513" i="5" s="1"/>
  <c r="B2513" i="5"/>
  <c r="N2512" i="5"/>
  <c r="H2512" i="5"/>
  <c r="G2512" i="5"/>
  <c r="F2512" i="5"/>
  <c r="E2512" i="5"/>
  <c r="D2512" i="5" a="1"/>
  <c r="D2512" i="5" s="1"/>
  <c r="B2512" i="5"/>
  <c r="N2511" i="5"/>
  <c r="H2511" i="5"/>
  <c r="G2511" i="5"/>
  <c r="F2511" i="5"/>
  <c r="E2511" i="5"/>
  <c r="D2511" i="5" a="1"/>
  <c r="D2511" i="5" s="1"/>
  <c r="B2511" i="5"/>
  <c r="N2510" i="5"/>
  <c r="H2510" i="5"/>
  <c r="G2510" i="5"/>
  <c r="F2510" i="5"/>
  <c r="E2510" i="5"/>
  <c r="D2510" i="5" a="1"/>
  <c r="D2510" i="5" s="1"/>
  <c r="B2510" i="5"/>
  <c r="N2509" i="5"/>
  <c r="H2509" i="5"/>
  <c r="G2509" i="5"/>
  <c r="F2509" i="5"/>
  <c r="E2509" i="5"/>
  <c r="D2509" i="5" a="1"/>
  <c r="D2509" i="5" s="1"/>
  <c r="B2509" i="5"/>
  <c r="N2508" i="5"/>
  <c r="H2508" i="5"/>
  <c r="G2508" i="5"/>
  <c r="F2508" i="5"/>
  <c r="E2508" i="5"/>
  <c r="D2508" i="5" a="1"/>
  <c r="D2508" i="5" s="1"/>
  <c r="B2508" i="5"/>
  <c r="N2507" i="5"/>
  <c r="H2507" i="5"/>
  <c r="G2507" i="5"/>
  <c r="F2507" i="5"/>
  <c r="E2507" i="5"/>
  <c r="D2507" i="5" a="1"/>
  <c r="D2507" i="5" s="1"/>
  <c r="B2507" i="5"/>
  <c r="N2506" i="5"/>
  <c r="H2506" i="5"/>
  <c r="G2506" i="5"/>
  <c r="F2506" i="5"/>
  <c r="E2506" i="5"/>
  <c r="D2506" i="5" a="1"/>
  <c r="D2506" i="5" s="1"/>
  <c r="B2506" i="5"/>
  <c r="N2505" i="5"/>
  <c r="H2505" i="5"/>
  <c r="G2505" i="5"/>
  <c r="F2505" i="5"/>
  <c r="E2505" i="5"/>
  <c r="D2505" i="5" a="1"/>
  <c r="D2505" i="5" s="1"/>
  <c r="B2505" i="5"/>
  <c r="N2504" i="5"/>
  <c r="H2504" i="5"/>
  <c r="G2504" i="5"/>
  <c r="F2504" i="5"/>
  <c r="E2504" i="5"/>
  <c r="D2504" i="5" a="1"/>
  <c r="D2504" i="5" s="1"/>
  <c r="B2504" i="5"/>
  <c r="N2503" i="5"/>
  <c r="H2503" i="5"/>
  <c r="G2503" i="5"/>
  <c r="F2503" i="5"/>
  <c r="E2503" i="5"/>
  <c r="D2503" i="5" a="1"/>
  <c r="D2503" i="5" s="1"/>
  <c r="B2503" i="5"/>
  <c r="N2502" i="5"/>
  <c r="H2502" i="5"/>
  <c r="G2502" i="5"/>
  <c r="F2502" i="5"/>
  <c r="E2502" i="5"/>
  <c r="D2502" i="5" a="1"/>
  <c r="D2502" i="5" s="1"/>
  <c r="B2502" i="5"/>
  <c r="N2501" i="5"/>
  <c r="H2501" i="5"/>
  <c r="G2501" i="5"/>
  <c r="F2501" i="5"/>
  <c r="E2501" i="5"/>
  <c r="D2501" i="5" a="1"/>
  <c r="D2501" i="5" s="1"/>
  <c r="B2501" i="5"/>
  <c r="N2500" i="5"/>
  <c r="H2500" i="5"/>
  <c r="G2500" i="5"/>
  <c r="F2500" i="5"/>
  <c r="E2500" i="5"/>
  <c r="D2500" i="5" a="1"/>
  <c r="D2500" i="5" s="1"/>
  <c r="B2500" i="5"/>
  <c r="N2499" i="5"/>
  <c r="H2499" i="5"/>
  <c r="G2499" i="5"/>
  <c r="F2499" i="5"/>
  <c r="E2499" i="5"/>
  <c r="D2499" i="5" a="1"/>
  <c r="D2499" i="5" s="1"/>
  <c r="B2499" i="5"/>
  <c r="N2498" i="5"/>
  <c r="H2498" i="5"/>
  <c r="G2498" i="5"/>
  <c r="F2498" i="5"/>
  <c r="E2498" i="5"/>
  <c r="D2498" i="5" a="1"/>
  <c r="D2498" i="5" s="1"/>
  <c r="B2498" i="5"/>
  <c r="N2497" i="5"/>
  <c r="H2497" i="5"/>
  <c r="G2497" i="5"/>
  <c r="F2497" i="5"/>
  <c r="E2497" i="5"/>
  <c r="D2497" i="5" a="1"/>
  <c r="D2497" i="5" s="1"/>
  <c r="B2497" i="5"/>
  <c r="N2496" i="5"/>
  <c r="H2496" i="5"/>
  <c r="G2496" i="5"/>
  <c r="F2496" i="5"/>
  <c r="E2496" i="5"/>
  <c r="D2496" i="5" a="1"/>
  <c r="D2496" i="5" s="1"/>
  <c r="B2496" i="5"/>
  <c r="N2495" i="5"/>
  <c r="H2495" i="5"/>
  <c r="G2495" i="5"/>
  <c r="F2495" i="5"/>
  <c r="E2495" i="5"/>
  <c r="D2495" i="5" a="1"/>
  <c r="D2495" i="5" s="1"/>
  <c r="B2495" i="5"/>
  <c r="N2494" i="5"/>
  <c r="H2494" i="5"/>
  <c r="G2494" i="5"/>
  <c r="F2494" i="5"/>
  <c r="E2494" i="5"/>
  <c r="D2494" i="5" a="1"/>
  <c r="D2494" i="5" s="1"/>
  <c r="B2494" i="5"/>
  <c r="N2493" i="5"/>
  <c r="H2493" i="5"/>
  <c r="G2493" i="5"/>
  <c r="F2493" i="5"/>
  <c r="E2493" i="5"/>
  <c r="D2493" i="5" a="1"/>
  <c r="D2493" i="5" s="1"/>
  <c r="B2493" i="5"/>
  <c r="N2492" i="5"/>
  <c r="H2492" i="5"/>
  <c r="G2492" i="5"/>
  <c r="F2492" i="5"/>
  <c r="E2492" i="5"/>
  <c r="D2492" i="5" a="1"/>
  <c r="D2492" i="5" s="1"/>
  <c r="B2492" i="5"/>
  <c r="N2491" i="5"/>
  <c r="H2491" i="5"/>
  <c r="G2491" i="5"/>
  <c r="F2491" i="5"/>
  <c r="E2491" i="5"/>
  <c r="D2491" i="5" a="1"/>
  <c r="D2491" i="5" s="1"/>
  <c r="B2491" i="5"/>
  <c r="N2490" i="5"/>
  <c r="H2490" i="5"/>
  <c r="G2490" i="5"/>
  <c r="F2490" i="5"/>
  <c r="E2490" i="5"/>
  <c r="D2490" i="5" a="1"/>
  <c r="D2490" i="5" s="1"/>
  <c r="B2490" i="5"/>
  <c r="N2489" i="5"/>
  <c r="H2489" i="5"/>
  <c r="G2489" i="5"/>
  <c r="F2489" i="5"/>
  <c r="E2489" i="5"/>
  <c r="D2489" i="5" a="1"/>
  <c r="D2489" i="5" s="1"/>
  <c r="B2489" i="5"/>
  <c r="N2488" i="5"/>
  <c r="H2488" i="5"/>
  <c r="G2488" i="5"/>
  <c r="F2488" i="5"/>
  <c r="E2488" i="5"/>
  <c r="D2488" i="5" a="1"/>
  <c r="D2488" i="5" s="1"/>
  <c r="B2488" i="5"/>
  <c r="N2487" i="5"/>
  <c r="H2487" i="5"/>
  <c r="G2487" i="5"/>
  <c r="F2487" i="5"/>
  <c r="E2487" i="5"/>
  <c r="D2487" i="5" a="1"/>
  <c r="D2487" i="5" s="1"/>
  <c r="B2487" i="5"/>
  <c r="N2486" i="5"/>
  <c r="H2486" i="5"/>
  <c r="G2486" i="5"/>
  <c r="F2486" i="5"/>
  <c r="E2486" i="5"/>
  <c r="D2486" i="5" a="1"/>
  <c r="D2486" i="5" s="1"/>
  <c r="B2486" i="5"/>
  <c r="N2485" i="5"/>
  <c r="H2485" i="5"/>
  <c r="G2485" i="5"/>
  <c r="F2485" i="5"/>
  <c r="E2485" i="5"/>
  <c r="D2485" i="5" a="1"/>
  <c r="D2485" i="5" s="1"/>
  <c r="B2485" i="5"/>
  <c r="N2484" i="5"/>
  <c r="H2484" i="5"/>
  <c r="G2484" i="5"/>
  <c r="F2484" i="5"/>
  <c r="E2484" i="5"/>
  <c r="D2484" i="5" a="1"/>
  <c r="D2484" i="5" s="1"/>
  <c r="B2484" i="5"/>
  <c r="N2483" i="5"/>
  <c r="H2483" i="5"/>
  <c r="G2483" i="5"/>
  <c r="F2483" i="5"/>
  <c r="E2483" i="5"/>
  <c r="D2483" i="5" a="1"/>
  <c r="D2483" i="5" s="1"/>
  <c r="B2483" i="5"/>
  <c r="N2482" i="5"/>
  <c r="H2482" i="5"/>
  <c r="G2482" i="5"/>
  <c r="F2482" i="5"/>
  <c r="E2482" i="5"/>
  <c r="D2482" i="5" a="1"/>
  <c r="D2482" i="5" s="1"/>
  <c r="B2482" i="5"/>
  <c r="N2481" i="5"/>
  <c r="H2481" i="5"/>
  <c r="G2481" i="5"/>
  <c r="F2481" i="5"/>
  <c r="E2481" i="5"/>
  <c r="D2481" i="5" a="1"/>
  <c r="D2481" i="5" s="1"/>
  <c r="B2481" i="5"/>
  <c r="N2480" i="5"/>
  <c r="H2480" i="5"/>
  <c r="G2480" i="5"/>
  <c r="F2480" i="5"/>
  <c r="E2480" i="5"/>
  <c r="D2480" i="5" a="1"/>
  <c r="D2480" i="5" s="1"/>
  <c r="B2480" i="5"/>
  <c r="N2479" i="5"/>
  <c r="H2479" i="5"/>
  <c r="G2479" i="5"/>
  <c r="F2479" i="5"/>
  <c r="E2479" i="5"/>
  <c r="D2479" i="5" a="1"/>
  <c r="D2479" i="5" s="1"/>
  <c r="B2479" i="5"/>
  <c r="N2478" i="5"/>
  <c r="H2478" i="5"/>
  <c r="G2478" i="5"/>
  <c r="F2478" i="5"/>
  <c r="E2478" i="5"/>
  <c r="D2478" i="5" a="1"/>
  <c r="D2478" i="5" s="1"/>
  <c r="B2478" i="5"/>
  <c r="N2477" i="5"/>
  <c r="H2477" i="5"/>
  <c r="G2477" i="5"/>
  <c r="F2477" i="5"/>
  <c r="E2477" i="5"/>
  <c r="D2477" i="5" a="1"/>
  <c r="D2477" i="5" s="1"/>
  <c r="B2477" i="5"/>
  <c r="N2476" i="5"/>
  <c r="H2476" i="5"/>
  <c r="G2476" i="5"/>
  <c r="F2476" i="5"/>
  <c r="E2476" i="5"/>
  <c r="D2476" i="5" a="1"/>
  <c r="D2476" i="5" s="1"/>
  <c r="B2476" i="5"/>
  <c r="N2475" i="5"/>
  <c r="H2475" i="5"/>
  <c r="G2475" i="5"/>
  <c r="F2475" i="5"/>
  <c r="E2475" i="5"/>
  <c r="D2475" i="5" a="1"/>
  <c r="D2475" i="5" s="1"/>
  <c r="B2475" i="5"/>
  <c r="N2474" i="5"/>
  <c r="H2474" i="5"/>
  <c r="G2474" i="5"/>
  <c r="F2474" i="5"/>
  <c r="E2474" i="5"/>
  <c r="D2474" i="5" a="1"/>
  <c r="D2474" i="5" s="1"/>
  <c r="B2474" i="5"/>
  <c r="N2473" i="5"/>
  <c r="H2473" i="5"/>
  <c r="G2473" i="5"/>
  <c r="F2473" i="5"/>
  <c r="E2473" i="5"/>
  <c r="D2473" i="5" a="1"/>
  <c r="D2473" i="5" s="1"/>
  <c r="B2473" i="5"/>
  <c r="N2472" i="5"/>
  <c r="H2472" i="5"/>
  <c r="G2472" i="5"/>
  <c r="F2472" i="5"/>
  <c r="E2472" i="5"/>
  <c r="D2472" i="5" a="1"/>
  <c r="D2472" i="5" s="1"/>
  <c r="B2472" i="5"/>
  <c r="N2471" i="5"/>
  <c r="H2471" i="5"/>
  <c r="G2471" i="5"/>
  <c r="F2471" i="5"/>
  <c r="E2471" i="5"/>
  <c r="D2471" i="5" a="1"/>
  <c r="D2471" i="5" s="1"/>
  <c r="B2471" i="5"/>
  <c r="N2470" i="5"/>
  <c r="H2470" i="5"/>
  <c r="G2470" i="5"/>
  <c r="F2470" i="5"/>
  <c r="E2470" i="5"/>
  <c r="D2470" i="5" a="1"/>
  <c r="D2470" i="5" s="1"/>
  <c r="B2470" i="5"/>
  <c r="N2469" i="5"/>
  <c r="H2469" i="5"/>
  <c r="G2469" i="5"/>
  <c r="F2469" i="5"/>
  <c r="E2469" i="5"/>
  <c r="D2469" i="5" a="1"/>
  <c r="D2469" i="5" s="1"/>
  <c r="B2469" i="5"/>
  <c r="N2468" i="5"/>
  <c r="H2468" i="5"/>
  <c r="G2468" i="5"/>
  <c r="F2468" i="5"/>
  <c r="E2468" i="5"/>
  <c r="D2468" i="5" a="1"/>
  <c r="D2468" i="5" s="1"/>
  <c r="B2468" i="5"/>
  <c r="N2467" i="5"/>
  <c r="H2467" i="5"/>
  <c r="G2467" i="5"/>
  <c r="F2467" i="5"/>
  <c r="E2467" i="5"/>
  <c r="D2467" i="5" a="1"/>
  <c r="D2467" i="5" s="1"/>
  <c r="B2467" i="5"/>
  <c r="N2466" i="5"/>
  <c r="H2466" i="5"/>
  <c r="G2466" i="5"/>
  <c r="F2466" i="5"/>
  <c r="E2466" i="5"/>
  <c r="D2466" i="5" a="1"/>
  <c r="D2466" i="5" s="1"/>
  <c r="B2466" i="5"/>
  <c r="N2465" i="5"/>
  <c r="H2465" i="5"/>
  <c r="G2465" i="5"/>
  <c r="F2465" i="5"/>
  <c r="E2465" i="5"/>
  <c r="D2465" i="5" a="1"/>
  <c r="D2465" i="5" s="1"/>
  <c r="B2465" i="5"/>
  <c r="N2464" i="5"/>
  <c r="H2464" i="5"/>
  <c r="G2464" i="5"/>
  <c r="F2464" i="5"/>
  <c r="E2464" i="5"/>
  <c r="D2464" i="5" a="1"/>
  <c r="D2464" i="5" s="1"/>
  <c r="B2464" i="5"/>
  <c r="N2463" i="5"/>
  <c r="H2463" i="5"/>
  <c r="G2463" i="5"/>
  <c r="F2463" i="5"/>
  <c r="E2463" i="5"/>
  <c r="D2463" i="5" a="1"/>
  <c r="D2463" i="5" s="1"/>
  <c r="B2463" i="5"/>
  <c r="N2462" i="5"/>
  <c r="H2462" i="5"/>
  <c r="G2462" i="5"/>
  <c r="F2462" i="5"/>
  <c r="E2462" i="5"/>
  <c r="D2462" i="5" a="1"/>
  <c r="D2462" i="5" s="1"/>
  <c r="B2462" i="5"/>
  <c r="N2461" i="5"/>
  <c r="H2461" i="5"/>
  <c r="G2461" i="5"/>
  <c r="F2461" i="5"/>
  <c r="E2461" i="5"/>
  <c r="D2461" i="5" a="1"/>
  <c r="D2461" i="5" s="1"/>
  <c r="B2461" i="5"/>
  <c r="N2460" i="5"/>
  <c r="H2460" i="5"/>
  <c r="G2460" i="5"/>
  <c r="F2460" i="5"/>
  <c r="E2460" i="5"/>
  <c r="D2460" i="5" a="1"/>
  <c r="D2460" i="5" s="1"/>
  <c r="B2460" i="5"/>
  <c r="N2459" i="5"/>
  <c r="H2459" i="5"/>
  <c r="G2459" i="5"/>
  <c r="F2459" i="5"/>
  <c r="E2459" i="5"/>
  <c r="D2459" i="5" a="1"/>
  <c r="D2459" i="5" s="1"/>
  <c r="B2459" i="5"/>
  <c r="N2458" i="5"/>
  <c r="H2458" i="5"/>
  <c r="G2458" i="5"/>
  <c r="F2458" i="5"/>
  <c r="E2458" i="5"/>
  <c r="D2458" i="5" a="1"/>
  <c r="D2458" i="5" s="1"/>
  <c r="B2458" i="5"/>
  <c r="N2457" i="5"/>
  <c r="H2457" i="5"/>
  <c r="G2457" i="5"/>
  <c r="F2457" i="5"/>
  <c r="E2457" i="5"/>
  <c r="D2457" i="5" a="1"/>
  <c r="D2457" i="5" s="1"/>
  <c r="B2457" i="5"/>
  <c r="N2456" i="5"/>
  <c r="H2456" i="5"/>
  <c r="G2456" i="5"/>
  <c r="F2456" i="5"/>
  <c r="E2456" i="5"/>
  <c r="D2456" i="5" a="1"/>
  <c r="D2456" i="5" s="1"/>
  <c r="B2456" i="5"/>
  <c r="N2455" i="5"/>
  <c r="H2455" i="5"/>
  <c r="G2455" i="5"/>
  <c r="F2455" i="5"/>
  <c r="E2455" i="5"/>
  <c r="D2455" i="5" a="1"/>
  <c r="D2455" i="5" s="1"/>
  <c r="B2455" i="5"/>
  <c r="N2454" i="5"/>
  <c r="H2454" i="5"/>
  <c r="G2454" i="5"/>
  <c r="F2454" i="5"/>
  <c r="E2454" i="5"/>
  <c r="D2454" i="5" a="1"/>
  <c r="D2454" i="5" s="1"/>
  <c r="B2454" i="5"/>
  <c r="N2453" i="5"/>
  <c r="H2453" i="5"/>
  <c r="G2453" i="5"/>
  <c r="F2453" i="5"/>
  <c r="E2453" i="5"/>
  <c r="D2453" i="5" a="1"/>
  <c r="D2453" i="5" s="1"/>
  <c r="B2453" i="5"/>
  <c r="N2452" i="5"/>
  <c r="H2452" i="5"/>
  <c r="G2452" i="5"/>
  <c r="F2452" i="5"/>
  <c r="E2452" i="5"/>
  <c r="D2452" i="5" a="1"/>
  <c r="D2452" i="5" s="1"/>
  <c r="B2452" i="5"/>
  <c r="N2451" i="5"/>
  <c r="H2451" i="5"/>
  <c r="G2451" i="5"/>
  <c r="F2451" i="5"/>
  <c r="E2451" i="5"/>
  <c r="D2451" i="5" a="1"/>
  <c r="D2451" i="5" s="1"/>
  <c r="B2451" i="5"/>
  <c r="N2450" i="5"/>
  <c r="H2450" i="5"/>
  <c r="G2450" i="5"/>
  <c r="F2450" i="5"/>
  <c r="E2450" i="5"/>
  <c r="D2450" i="5" a="1"/>
  <c r="D2450" i="5" s="1"/>
  <c r="B2450" i="5"/>
  <c r="N2449" i="5"/>
  <c r="H2449" i="5"/>
  <c r="G2449" i="5"/>
  <c r="F2449" i="5"/>
  <c r="E2449" i="5"/>
  <c r="D2449" i="5" a="1"/>
  <c r="D2449" i="5" s="1"/>
  <c r="B2449" i="5"/>
  <c r="N2448" i="5"/>
  <c r="H2448" i="5"/>
  <c r="G2448" i="5"/>
  <c r="F2448" i="5"/>
  <c r="E2448" i="5"/>
  <c r="D2448" i="5" a="1"/>
  <c r="D2448" i="5" s="1"/>
  <c r="B2448" i="5"/>
  <c r="N2447" i="5"/>
  <c r="H2447" i="5"/>
  <c r="G2447" i="5"/>
  <c r="F2447" i="5"/>
  <c r="E2447" i="5"/>
  <c r="D2447" i="5" a="1"/>
  <c r="D2447" i="5" s="1"/>
  <c r="B2447" i="5"/>
  <c r="N2446" i="5"/>
  <c r="H2446" i="5"/>
  <c r="G2446" i="5"/>
  <c r="F2446" i="5"/>
  <c r="E2446" i="5"/>
  <c r="D2446" i="5" a="1"/>
  <c r="D2446" i="5" s="1"/>
  <c r="B2446" i="5"/>
  <c r="N2445" i="5"/>
  <c r="H2445" i="5"/>
  <c r="G2445" i="5"/>
  <c r="F2445" i="5"/>
  <c r="E2445" i="5"/>
  <c r="D2445" i="5" a="1"/>
  <c r="D2445" i="5" s="1"/>
  <c r="B2445" i="5"/>
  <c r="N2444" i="5"/>
  <c r="H2444" i="5"/>
  <c r="G2444" i="5"/>
  <c r="F2444" i="5"/>
  <c r="E2444" i="5"/>
  <c r="D2444" i="5" a="1"/>
  <c r="D2444" i="5" s="1"/>
  <c r="B2444" i="5"/>
  <c r="N2443" i="5"/>
  <c r="H2443" i="5"/>
  <c r="G2443" i="5"/>
  <c r="F2443" i="5"/>
  <c r="E2443" i="5"/>
  <c r="D2443" i="5" a="1"/>
  <c r="D2443" i="5" s="1"/>
  <c r="B2443" i="5"/>
  <c r="N2442" i="5"/>
  <c r="H2442" i="5"/>
  <c r="G2442" i="5"/>
  <c r="F2442" i="5"/>
  <c r="E2442" i="5"/>
  <c r="D2442" i="5" a="1"/>
  <c r="D2442" i="5" s="1"/>
  <c r="B2442" i="5"/>
  <c r="N2441" i="5"/>
  <c r="H2441" i="5"/>
  <c r="G2441" i="5"/>
  <c r="F2441" i="5"/>
  <c r="E2441" i="5"/>
  <c r="D2441" i="5" a="1"/>
  <c r="D2441" i="5" s="1"/>
  <c r="B2441" i="5"/>
  <c r="N2440" i="5"/>
  <c r="H2440" i="5"/>
  <c r="G2440" i="5"/>
  <c r="F2440" i="5"/>
  <c r="E2440" i="5"/>
  <c r="D2440" i="5" a="1"/>
  <c r="D2440" i="5" s="1"/>
  <c r="B2440" i="5"/>
  <c r="N2439" i="5"/>
  <c r="H2439" i="5"/>
  <c r="G2439" i="5"/>
  <c r="F2439" i="5"/>
  <c r="E2439" i="5"/>
  <c r="D2439" i="5" a="1"/>
  <c r="D2439" i="5" s="1"/>
  <c r="B2439" i="5"/>
  <c r="N2438" i="5"/>
  <c r="H2438" i="5"/>
  <c r="G2438" i="5"/>
  <c r="F2438" i="5"/>
  <c r="E2438" i="5"/>
  <c r="D2438" i="5" a="1"/>
  <c r="D2438" i="5" s="1"/>
  <c r="B2438" i="5"/>
  <c r="N2437" i="5"/>
  <c r="H2437" i="5"/>
  <c r="G2437" i="5"/>
  <c r="F2437" i="5"/>
  <c r="E2437" i="5"/>
  <c r="D2437" i="5" a="1"/>
  <c r="D2437" i="5" s="1"/>
  <c r="B2437" i="5"/>
  <c r="N2436" i="5"/>
  <c r="H2436" i="5"/>
  <c r="G2436" i="5"/>
  <c r="F2436" i="5"/>
  <c r="E2436" i="5"/>
  <c r="D2436" i="5" a="1"/>
  <c r="D2436" i="5" s="1"/>
  <c r="B2436" i="5"/>
  <c r="N2435" i="5"/>
  <c r="H2435" i="5"/>
  <c r="G2435" i="5"/>
  <c r="F2435" i="5"/>
  <c r="E2435" i="5"/>
  <c r="D2435" i="5" a="1"/>
  <c r="D2435" i="5" s="1"/>
  <c r="B2435" i="5"/>
  <c r="N2434" i="5"/>
  <c r="H2434" i="5"/>
  <c r="G2434" i="5"/>
  <c r="F2434" i="5"/>
  <c r="E2434" i="5"/>
  <c r="D2434" i="5" a="1"/>
  <c r="D2434" i="5" s="1"/>
  <c r="B2434" i="5"/>
  <c r="N2433" i="5"/>
  <c r="H2433" i="5"/>
  <c r="G2433" i="5"/>
  <c r="F2433" i="5"/>
  <c r="E2433" i="5"/>
  <c r="D2433" i="5" a="1"/>
  <c r="D2433" i="5" s="1"/>
  <c r="B2433" i="5"/>
  <c r="N2432" i="5"/>
  <c r="H2432" i="5"/>
  <c r="G2432" i="5"/>
  <c r="F2432" i="5"/>
  <c r="E2432" i="5"/>
  <c r="D2432" i="5" a="1"/>
  <c r="D2432" i="5" s="1"/>
  <c r="B2432" i="5"/>
  <c r="N2431" i="5"/>
  <c r="H2431" i="5"/>
  <c r="G2431" i="5"/>
  <c r="F2431" i="5"/>
  <c r="E2431" i="5"/>
  <c r="D2431" i="5" a="1"/>
  <c r="D2431" i="5" s="1"/>
  <c r="B2431" i="5"/>
  <c r="N2430" i="5"/>
  <c r="H2430" i="5"/>
  <c r="G2430" i="5"/>
  <c r="F2430" i="5"/>
  <c r="E2430" i="5"/>
  <c r="D2430" i="5" a="1"/>
  <c r="D2430" i="5" s="1"/>
  <c r="B2430" i="5"/>
  <c r="N2429" i="5"/>
  <c r="H2429" i="5"/>
  <c r="G2429" i="5"/>
  <c r="F2429" i="5"/>
  <c r="E2429" i="5"/>
  <c r="D2429" i="5" a="1"/>
  <c r="D2429" i="5" s="1"/>
  <c r="B2429" i="5"/>
  <c r="N2428" i="5"/>
  <c r="H2428" i="5"/>
  <c r="G2428" i="5"/>
  <c r="F2428" i="5"/>
  <c r="E2428" i="5"/>
  <c r="D2428" i="5" a="1"/>
  <c r="D2428" i="5" s="1"/>
  <c r="B2428" i="5"/>
  <c r="N2427" i="5"/>
  <c r="H2427" i="5"/>
  <c r="G2427" i="5"/>
  <c r="F2427" i="5"/>
  <c r="E2427" i="5"/>
  <c r="D2427" i="5" a="1"/>
  <c r="D2427" i="5" s="1"/>
  <c r="B2427" i="5"/>
  <c r="N2426" i="5"/>
  <c r="H2426" i="5"/>
  <c r="G2426" i="5"/>
  <c r="F2426" i="5"/>
  <c r="E2426" i="5"/>
  <c r="D2426" i="5" a="1"/>
  <c r="D2426" i="5" s="1"/>
  <c r="B2426" i="5"/>
  <c r="N2425" i="5"/>
  <c r="H2425" i="5"/>
  <c r="G2425" i="5"/>
  <c r="F2425" i="5"/>
  <c r="E2425" i="5"/>
  <c r="D2425" i="5" a="1"/>
  <c r="D2425" i="5" s="1"/>
  <c r="B2425" i="5"/>
  <c r="N2424" i="5"/>
  <c r="H2424" i="5"/>
  <c r="G2424" i="5"/>
  <c r="F2424" i="5"/>
  <c r="E2424" i="5"/>
  <c r="D2424" i="5" a="1"/>
  <c r="D2424" i="5" s="1"/>
  <c r="B2424" i="5"/>
  <c r="N2423" i="5"/>
  <c r="H2423" i="5"/>
  <c r="G2423" i="5"/>
  <c r="F2423" i="5"/>
  <c r="E2423" i="5"/>
  <c r="D2423" i="5" a="1"/>
  <c r="D2423" i="5" s="1"/>
  <c r="B2423" i="5"/>
  <c r="N2422" i="5"/>
  <c r="H2422" i="5"/>
  <c r="G2422" i="5"/>
  <c r="F2422" i="5"/>
  <c r="E2422" i="5"/>
  <c r="D2422" i="5" a="1"/>
  <c r="D2422" i="5" s="1"/>
  <c r="B2422" i="5"/>
  <c r="N2421" i="5"/>
  <c r="H2421" i="5"/>
  <c r="G2421" i="5"/>
  <c r="F2421" i="5"/>
  <c r="E2421" i="5"/>
  <c r="D2421" i="5" a="1"/>
  <c r="D2421" i="5" s="1"/>
  <c r="B2421" i="5"/>
  <c r="N2420" i="5"/>
  <c r="H2420" i="5"/>
  <c r="G2420" i="5"/>
  <c r="F2420" i="5"/>
  <c r="E2420" i="5"/>
  <c r="D2420" i="5" a="1"/>
  <c r="D2420" i="5" s="1"/>
  <c r="B2420" i="5"/>
  <c r="N2419" i="5"/>
  <c r="H2419" i="5"/>
  <c r="G2419" i="5"/>
  <c r="F2419" i="5"/>
  <c r="E2419" i="5"/>
  <c r="D2419" i="5" a="1"/>
  <c r="D2419" i="5" s="1"/>
  <c r="B2419" i="5"/>
  <c r="N2418" i="5"/>
  <c r="H2418" i="5"/>
  <c r="G2418" i="5"/>
  <c r="F2418" i="5"/>
  <c r="E2418" i="5"/>
  <c r="D2418" i="5" a="1"/>
  <c r="D2418" i="5" s="1"/>
  <c r="B2418" i="5"/>
  <c r="N2417" i="5"/>
  <c r="H2417" i="5"/>
  <c r="G2417" i="5"/>
  <c r="F2417" i="5"/>
  <c r="E2417" i="5"/>
  <c r="D2417" i="5" a="1"/>
  <c r="D2417" i="5" s="1"/>
  <c r="B2417" i="5"/>
  <c r="N2416" i="5"/>
  <c r="H2416" i="5"/>
  <c r="G2416" i="5"/>
  <c r="F2416" i="5"/>
  <c r="E2416" i="5"/>
  <c r="D2416" i="5" a="1"/>
  <c r="D2416" i="5" s="1"/>
  <c r="B2416" i="5"/>
  <c r="N2415" i="5"/>
  <c r="H2415" i="5"/>
  <c r="G2415" i="5"/>
  <c r="F2415" i="5"/>
  <c r="E2415" i="5"/>
  <c r="D2415" i="5" a="1"/>
  <c r="D2415" i="5" s="1"/>
  <c r="B2415" i="5"/>
  <c r="N2414" i="5"/>
  <c r="H2414" i="5"/>
  <c r="G2414" i="5"/>
  <c r="F2414" i="5"/>
  <c r="E2414" i="5"/>
  <c r="D2414" i="5" a="1"/>
  <c r="D2414" i="5" s="1"/>
  <c r="B2414" i="5"/>
  <c r="N2413" i="5"/>
  <c r="H2413" i="5"/>
  <c r="G2413" i="5"/>
  <c r="F2413" i="5"/>
  <c r="E2413" i="5"/>
  <c r="D2413" i="5" a="1"/>
  <c r="D2413" i="5" s="1"/>
  <c r="B2413" i="5"/>
  <c r="N2412" i="5"/>
  <c r="H2412" i="5"/>
  <c r="G2412" i="5"/>
  <c r="F2412" i="5"/>
  <c r="E2412" i="5"/>
  <c r="D2412" i="5" a="1"/>
  <c r="D2412" i="5" s="1"/>
  <c r="B2412" i="5"/>
  <c r="N2411" i="5"/>
  <c r="H2411" i="5"/>
  <c r="G2411" i="5"/>
  <c r="F2411" i="5"/>
  <c r="E2411" i="5"/>
  <c r="D2411" i="5" a="1"/>
  <c r="D2411" i="5" s="1"/>
  <c r="B2411" i="5"/>
  <c r="N2410" i="5"/>
  <c r="H2410" i="5"/>
  <c r="G2410" i="5"/>
  <c r="F2410" i="5"/>
  <c r="E2410" i="5"/>
  <c r="D2410" i="5" a="1"/>
  <c r="D2410" i="5" s="1"/>
  <c r="B2410" i="5"/>
  <c r="N2409" i="5"/>
  <c r="H2409" i="5"/>
  <c r="G2409" i="5"/>
  <c r="F2409" i="5"/>
  <c r="E2409" i="5"/>
  <c r="D2409" i="5" a="1"/>
  <c r="D2409" i="5" s="1"/>
  <c r="B2409" i="5"/>
  <c r="N2408" i="5"/>
  <c r="H2408" i="5"/>
  <c r="G2408" i="5"/>
  <c r="F2408" i="5"/>
  <c r="E2408" i="5"/>
  <c r="D2408" i="5" a="1"/>
  <c r="D2408" i="5" s="1"/>
  <c r="B2408" i="5"/>
  <c r="N2407" i="5"/>
  <c r="H2407" i="5"/>
  <c r="G2407" i="5"/>
  <c r="F2407" i="5"/>
  <c r="E2407" i="5"/>
  <c r="D2407" i="5" a="1"/>
  <c r="D2407" i="5" s="1"/>
  <c r="B2407" i="5"/>
  <c r="N2406" i="5"/>
  <c r="H2406" i="5"/>
  <c r="G2406" i="5"/>
  <c r="F2406" i="5"/>
  <c r="E2406" i="5"/>
  <c r="D2406" i="5" a="1"/>
  <c r="D2406" i="5" s="1"/>
  <c r="B2406" i="5"/>
  <c r="N2405" i="5"/>
  <c r="H2405" i="5"/>
  <c r="G2405" i="5"/>
  <c r="F2405" i="5"/>
  <c r="E2405" i="5"/>
  <c r="D2405" i="5" a="1"/>
  <c r="D2405" i="5" s="1"/>
  <c r="B2405" i="5"/>
  <c r="N2404" i="5"/>
  <c r="H2404" i="5"/>
  <c r="G2404" i="5"/>
  <c r="F2404" i="5"/>
  <c r="E2404" i="5"/>
  <c r="D2404" i="5" a="1"/>
  <c r="D2404" i="5" s="1"/>
  <c r="B2404" i="5"/>
  <c r="N2403" i="5"/>
  <c r="H2403" i="5"/>
  <c r="G2403" i="5"/>
  <c r="F2403" i="5"/>
  <c r="E2403" i="5"/>
  <c r="D2403" i="5" a="1"/>
  <c r="D2403" i="5" s="1"/>
  <c r="B2403" i="5"/>
  <c r="N2402" i="5"/>
  <c r="H2402" i="5"/>
  <c r="G2402" i="5"/>
  <c r="F2402" i="5"/>
  <c r="E2402" i="5"/>
  <c r="D2402" i="5" a="1"/>
  <c r="D2402" i="5" s="1"/>
  <c r="B2402" i="5"/>
  <c r="N2401" i="5"/>
  <c r="H2401" i="5"/>
  <c r="G2401" i="5"/>
  <c r="F2401" i="5"/>
  <c r="E2401" i="5"/>
  <c r="D2401" i="5" a="1"/>
  <c r="D2401" i="5" s="1"/>
  <c r="B2401" i="5"/>
  <c r="N2400" i="5"/>
  <c r="H2400" i="5"/>
  <c r="G2400" i="5"/>
  <c r="F2400" i="5"/>
  <c r="E2400" i="5"/>
  <c r="D2400" i="5" a="1"/>
  <c r="D2400" i="5" s="1"/>
  <c r="B2400" i="5"/>
  <c r="N2399" i="5"/>
  <c r="H2399" i="5"/>
  <c r="G2399" i="5"/>
  <c r="F2399" i="5"/>
  <c r="E2399" i="5"/>
  <c r="D2399" i="5" a="1"/>
  <c r="D2399" i="5" s="1"/>
  <c r="B2399" i="5"/>
  <c r="N2398" i="5"/>
  <c r="H2398" i="5"/>
  <c r="G2398" i="5"/>
  <c r="F2398" i="5"/>
  <c r="E2398" i="5"/>
  <c r="D2398" i="5" a="1"/>
  <c r="D2398" i="5" s="1"/>
  <c r="B2398" i="5"/>
  <c r="N2397" i="5"/>
  <c r="H2397" i="5"/>
  <c r="G2397" i="5"/>
  <c r="F2397" i="5"/>
  <c r="E2397" i="5"/>
  <c r="D2397" i="5" a="1"/>
  <c r="D2397" i="5" s="1"/>
  <c r="B2397" i="5"/>
  <c r="N2396" i="5"/>
  <c r="H2396" i="5"/>
  <c r="G2396" i="5"/>
  <c r="F2396" i="5"/>
  <c r="E2396" i="5"/>
  <c r="D2396" i="5" a="1"/>
  <c r="D2396" i="5" s="1"/>
  <c r="B2396" i="5"/>
  <c r="N2395" i="5"/>
  <c r="H2395" i="5"/>
  <c r="G2395" i="5"/>
  <c r="F2395" i="5"/>
  <c r="E2395" i="5"/>
  <c r="D2395" i="5" a="1"/>
  <c r="D2395" i="5" s="1"/>
  <c r="B2395" i="5"/>
  <c r="N2394" i="5"/>
  <c r="H2394" i="5"/>
  <c r="G2394" i="5"/>
  <c r="F2394" i="5"/>
  <c r="E2394" i="5"/>
  <c r="D2394" i="5" a="1"/>
  <c r="D2394" i="5" s="1"/>
  <c r="B2394" i="5"/>
  <c r="N2393" i="5"/>
  <c r="H2393" i="5"/>
  <c r="G2393" i="5"/>
  <c r="F2393" i="5"/>
  <c r="E2393" i="5"/>
  <c r="D2393" i="5" a="1"/>
  <c r="D2393" i="5" s="1"/>
  <c r="B2393" i="5"/>
  <c r="N2392" i="5"/>
  <c r="H2392" i="5"/>
  <c r="G2392" i="5"/>
  <c r="F2392" i="5"/>
  <c r="E2392" i="5"/>
  <c r="D2392" i="5" a="1"/>
  <c r="D2392" i="5" s="1"/>
  <c r="B2392" i="5"/>
  <c r="N2391" i="5"/>
  <c r="H2391" i="5"/>
  <c r="G2391" i="5"/>
  <c r="F2391" i="5"/>
  <c r="E2391" i="5"/>
  <c r="D2391" i="5" a="1"/>
  <c r="D2391" i="5" s="1"/>
  <c r="B2391" i="5"/>
  <c r="N2390" i="5"/>
  <c r="H2390" i="5"/>
  <c r="G2390" i="5"/>
  <c r="F2390" i="5"/>
  <c r="E2390" i="5"/>
  <c r="D2390" i="5" a="1"/>
  <c r="D2390" i="5" s="1"/>
  <c r="B2390" i="5"/>
  <c r="N2389" i="5"/>
  <c r="H2389" i="5"/>
  <c r="G2389" i="5"/>
  <c r="F2389" i="5"/>
  <c r="E2389" i="5"/>
  <c r="D2389" i="5" a="1"/>
  <c r="D2389" i="5" s="1"/>
  <c r="B2389" i="5"/>
  <c r="N2388" i="5"/>
  <c r="H2388" i="5"/>
  <c r="G2388" i="5"/>
  <c r="F2388" i="5"/>
  <c r="E2388" i="5"/>
  <c r="D2388" i="5" a="1"/>
  <c r="D2388" i="5" s="1"/>
  <c r="B2388" i="5"/>
  <c r="N2387" i="5"/>
  <c r="H2387" i="5"/>
  <c r="G2387" i="5"/>
  <c r="F2387" i="5"/>
  <c r="E2387" i="5"/>
  <c r="D2387" i="5" a="1"/>
  <c r="D2387" i="5" s="1"/>
  <c r="B2387" i="5"/>
  <c r="N2386" i="5"/>
  <c r="H2386" i="5"/>
  <c r="G2386" i="5"/>
  <c r="F2386" i="5"/>
  <c r="E2386" i="5"/>
  <c r="D2386" i="5" a="1"/>
  <c r="D2386" i="5" s="1"/>
  <c r="B2386" i="5"/>
  <c r="N2385" i="5"/>
  <c r="H2385" i="5"/>
  <c r="G2385" i="5"/>
  <c r="F2385" i="5"/>
  <c r="E2385" i="5"/>
  <c r="D2385" i="5" a="1"/>
  <c r="D2385" i="5" s="1"/>
  <c r="B2385" i="5"/>
  <c r="N2384" i="5"/>
  <c r="H2384" i="5"/>
  <c r="G2384" i="5"/>
  <c r="F2384" i="5"/>
  <c r="E2384" i="5"/>
  <c r="D2384" i="5" a="1"/>
  <c r="D2384" i="5" s="1"/>
  <c r="B2384" i="5"/>
  <c r="N2383" i="5"/>
  <c r="H2383" i="5"/>
  <c r="G2383" i="5"/>
  <c r="F2383" i="5"/>
  <c r="E2383" i="5"/>
  <c r="D2383" i="5" a="1"/>
  <c r="D2383" i="5" s="1"/>
  <c r="B2383" i="5"/>
  <c r="N2382" i="5"/>
  <c r="H2382" i="5"/>
  <c r="G2382" i="5"/>
  <c r="F2382" i="5"/>
  <c r="E2382" i="5"/>
  <c r="D2382" i="5" a="1"/>
  <c r="D2382" i="5" s="1"/>
  <c r="B2382" i="5"/>
  <c r="N2381" i="5"/>
  <c r="H2381" i="5"/>
  <c r="G2381" i="5"/>
  <c r="F2381" i="5"/>
  <c r="E2381" i="5"/>
  <c r="D2381" i="5" a="1"/>
  <c r="D2381" i="5" s="1"/>
  <c r="B2381" i="5"/>
  <c r="N2380" i="5"/>
  <c r="H2380" i="5"/>
  <c r="G2380" i="5"/>
  <c r="F2380" i="5"/>
  <c r="E2380" i="5"/>
  <c r="D2380" i="5" a="1"/>
  <c r="D2380" i="5" s="1"/>
  <c r="B2380" i="5"/>
  <c r="N2379" i="5"/>
  <c r="H2379" i="5"/>
  <c r="G2379" i="5"/>
  <c r="F2379" i="5"/>
  <c r="E2379" i="5"/>
  <c r="D2379" i="5" a="1"/>
  <c r="D2379" i="5" s="1"/>
  <c r="B2379" i="5"/>
  <c r="N2378" i="5"/>
  <c r="H2378" i="5"/>
  <c r="G2378" i="5"/>
  <c r="F2378" i="5"/>
  <c r="E2378" i="5"/>
  <c r="D2378" i="5" a="1"/>
  <c r="D2378" i="5" s="1"/>
  <c r="B2378" i="5"/>
  <c r="N2377" i="5"/>
  <c r="H2377" i="5"/>
  <c r="G2377" i="5"/>
  <c r="F2377" i="5"/>
  <c r="E2377" i="5"/>
  <c r="D2377" i="5" a="1"/>
  <c r="D2377" i="5" s="1"/>
  <c r="B2377" i="5"/>
  <c r="N2376" i="5"/>
  <c r="H2376" i="5"/>
  <c r="G2376" i="5"/>
  <c r="F2376" i="5"/>
  <c r="E2376" i="5"/>
  <c r="D2376" i="5" a="1"/>
  <c r="D2376" i="5" s="1"/>
  <c r="B2376" i="5"/>
  <c r="N2375" i="5"/>
  <c r="H2375" i="5"/>
  <c r="G2375" i="5"/>
  <c r="F2375" i="5"/>
  <c r="E2375" i="5"/>
  <c r="D2375" i="5" a="1"/>
  <c r="D2375" i="5" s="1"/>
  <c r="B2375" i="5"/>
  <c r="N2374" i="5"/>
  <c r="H2374" i="5"/>
  <c r="G2374" i="5"/>
  <c r="F2374" i="5"/>
  <c r="E2374" i="5"/>
  <c r="D2374" i="5" a="1"/>
  <c r="D2374" i="5" s="1"/>
  <c r="B2374" i="5"/>
  <c r="N2373" i="5"/>
  <c r="H2373" i="5"/>
  <c r="G2373" i="5"/>
  <c r="F2373" i="5"/>
  <c r="E2373" i="5"/>
  <c r="D2373" i="5" a="1"/>
  <c r="D2373" i="5" s="1"/>
  <c r="B2373" i="5"/>
  <c r="N2372" i="5"/>
  <c r="H2372" i="5"/>
  <c r="G2372" i="5"/>
  <c r="F2372" i="5"/>
  <c r="E2372" i="5"/>
  <c r="D2372" i="5" a="1"/>
  <c r="D2372" i="5" s="1"/>
  <c r="B2372" i="5"/>
  <c r="N2371" i="5"/>
  <c r="H2371" i="5"/>
  <c r="G2371" i="5"/>
  <c r="F2371" i="5"/>
  <c r="E2371" i="5"/>
  <c r="D2371" i="5" a="1"/>
  <c r="D2371" i="5" s="1"/>
  <c r="B2371" i="5"/>
  <c r="N2370" i="5"/>
  <c r="H2370" i="5"/>
  <c r="G2370" i="5"/>
  <c r="F2370" i="5"/>
  <c r="E2370" i="5"/>
  <c r="D2370" i="5" a="1"/>
  <c r="D2370" i="5" s="1"/>
  <c r="B2370" i="5"/>
  <c r="N2369" i="5"/>
  <c r="H2369" i="5"/>
  <c r="G2369" i="5"/>
  <c r="F2369" i="5"/>
  <c r="E2369" i="5"/>
  <c r="D2369" i="5" a="1"/>
  <c r="D2369" i="5" s="1"/>
  <c r="B2369" i="5"/>
  <c r="N2368" i="5"/>
  <c r="H2368" i="5"/>
  <c r="G2368" i="5"/>
  <c r="F2368" i="5"/>
  <c r="E2368" i="5"/>
  <c r="D2368" i="5" a="1"/>
  <c r="D2368" i="5" s="1"/>
  <c r="B2368" i="5"/>
  <c r="N2367" i="5"/>
  <c r="H2367" i="5"/>
  <c r="G2367" i="5"/>
  <c r="F2367" i="5"/>
  <c r="E2367" i="5"/>
  <c r="D2367" i="5" a="1"/>
  <c r="D2367" i="5" s="1"/>
  <c r="B2367" i="5"/>
  <c r="N2366" i="5"/>
  <c r="H2366" i="5"/>
  <c r="G2366" i="5"/>
  <c r="F2366" i="5"/>
  <c r="E2366" i="5"/>
  <c r="D2366" i="5" a="1"/>
  <c r="D2366" i="5" s="1"/>
  <c r="B2366" i="5"/>
  <c r="N2365" i="5"/>
  <c r="H2365" i="5"/>
  <c r="G2365" i="5"/>
  <c r="F2365" i="5"/>
  <c r="E2365" i="5"/>
  <c r="D2365" i="5" a="1"/>
  <c r="D2365" i="5" s="1"/>
  <c r="B2365" i="5"/>
  <c r="N2364" i="5"/>
  <c r="H2364" i="5"/>
  <c r="G2364" i="5"/>
  <c r="F2364" i="5"/>
  <c r="E2364" i="5"/>
  <c r="D2364" i="5" a="1"/>
  <c r="D2364" i="5" s="1"/>
  <c r="B2364" i="5"/>
  <c r="N2363" i="5"/>
  <c r="H2363" i="5"/>
  <c r="G2363" i="5"/>
  <c r="F2363" i="5"/>
  <c r="E2363" i="5"/>
  <c r="D2363" i="5" a="1"/>
  <c r="D2363" i="5" s="1"/>
  <c r="B2363" i="5"/>
  <c r="N2362" i="5"/>
  <c r="H2362" i="5"/>
  <c r="G2362" i="5"/>
  <c r="F2362" i="5"/>
  <c r="E2362" i="5"/>
  <c r="D2362" i="5" a="1"/>
  <c r="D2362" i="5" s="1"/>
  <c r="B2362" i="5"/>
  <c r="N2361" i="5"/>
  <c r="H2361" i="5"/>
  <c r="G2361" i="5"/>
  <c r="F2361" i="5"/>
  <c r="E2361" i="5"/>
  <c r="D2361" i="5" a="1"/>
  <c r="D2361" i="5" s="1"/>
  <c r="B2361" i="5"/>
  <c r="N2360" i="5"/>
  <c r="H2360" i="5"/>
  <c r="G2360" i="5"/>
  <c r="F2360" i="5"/>
  <c r="E2360" i="5"/>
  <c r="D2360" i="5" a="1"/>
  <c r="D2360" i="5" s="1"/>
  <c r="B2360" i="5"/>
  <c r="N2359" i="5"/>
  <c r="H2359" i="5"/>
  <c r="G2359" i="5"/>
  <c r="F2359" i="5"/>
  <c r="E2359" i="5"/>
  <c r="D2359" i="5" a="1"/>
  <c r="D2359" i="5" s="1"/>
  <c r="B2359" i="5"/>
  <c r="N2358" i="5"/>
  <c r="H2358" i="5"/>
  <c r="G2358" i="5"/>
  <c r="F2358" i="5"/>
  <c r="E2358" i="5"/>
  <c r="D2358" i="5" a="1"/>
  <c r="D2358" i="5" s="1"/>
  <c r="B2358" i="5"/>
  <c r="N2357" i="5"/>
  <c r="H2357" i="5"/>
  <c r="G2357" i="5"/>
  <c r="F2357" i="5"/>
  <c r="E2357" i="5"/>
  <c r="D2357" i="5" a="1"/>
  <c r="D2357" i="5" s="1"/>
  <c r="B2357" i="5"/>
  <c r="N2356" i="5"/>
  <c r="H2356" i="5"/>
  <c r="G2356" i="5"/>
  <c r="F2356" i="5"/>
  <c r="E2356" i="5"/>
  <c r="D2356" i="5" a="1"/>
  <c r="D2356" i="5" s="1"/>
  <c r="B2356" i="5"/>
  <c r="N2355" i="5"/>
  <c r="H2355" i="5"/>
  <c r="G2355" i="5"/>
  <c r="F2355" i="5"/>
  <c r="E2355" i="5"/>
  <c r="D2355" i="5" a="1"/>
  <c r="D2355" i="5" s="1"/>
  <c r="B2355" i="5"/>
  <c r="N2354" i="5"/>
  <c r="H2354" i="5"/>
  <c r="G2354" i="5"/>
  <c r="F2354" i="5"/>
  <c r="E2354" i="5"/>
  <c r="D2354" i="5" a="1"/>
  <c r="D2354" i="5" s="1"/>
  <c r="B2354" i="5"/>
  <c r="N2353" i="5"/>
  <c r="H2353" i="5"/>
  <c r="G2353" i="5"/>
  <c r="F2353" i="5"/>
  <c r="E2353" i="5"/>
  <c r="D2353" i="5" a="1"/>
  <c r="D2353" i="5" s="1"/>
  <c r="B2353" i="5"/>
  <c r="N2352" i="5"/>
  <c r="H2352" i="5"/>
  <c r="G2352" i="5"/>
  <c r="F2352" i="5"/>
  <c r="E2352" i="5"/>
  <c r="D2352" i="5" a="1"/>
  <c r="D2352" i="5" s="1"/>
  <c r="B2352" i="5"/>
  <c r="N2351" i="5"/>
  <c r="H2351" i="5"/>
  <c r="G2351" i="5"/>
  <c r="F2351" i="5"/>
  <c r="E2351" i="5"/>
  <c r="D2351" i="5" a="1"/>
  <c r="D2351" i="5" s="1"/>
  <c r="B2351" i="5"/>
  <c r="N2350" i="5"/>
  <c r="H2350" i="5"/>
  <c r="G2350" i="5"/>
  <c r="F2350" i="5"/>
  <c r="E2350" i="5"/>
  <c r="D2350" i="5" a="1"/>
  <c r="D2350" i="5" s="1"/>
  <c r="B2350" i="5"/>
  <c r="N2349" i="5"/>
  <c r="H2349" i="5"/>
  <c r="G2349" i="5"/>
  <c r="F2349" i="5"/>
  <c r="E2349" i="5"/>
  <c r="D2349" i="5" a="1"/>
  <c r="D2349" i="5" s="1"/>
  <c r="B2349" i="5"/>
  <c r="N2348" i="5"/>
  <c r="H2348" i="5"/>
  <c r="G2348" i="5"/>
  <c r="F2348" i="5"/>
  <c r="E2348" i="5"/>
  <c r="D2348" i="5" a="1"/>
  <c r="D2348" i="5" s="1"/>
  <c r="B2348" i="5"/>
  <c r="N2347" i="5"/>
  <c r="H2347" i="5"/>
  <c r="G2347" i="5"/>
  <c r="F2347" i="5"/>
  <c r="E2347" i="5"/>
  <c r="D2347" i="5" a="1"/>
  <c r="D2347" i="5" s="1"/>
  <c r="B2347" i="5"/>
  <c r="N2346" i="5"/>
  <c r="H2346" i="5"/>
  <c r="G2346" i="5"/>
  <c r="F2346" i="5"/>
  <c r="E2346" i="5"/>
  <c r="D2346" i="5" a="1"/>
  <c r="D2346" i="5" s="1"/>
  <c r="B2346" i="5"/>
  <c r="N2345" i="5"/>
  <c r="H2345" i="5"/>
  <c r="G2345" i="5"/>
  <c r="F2345" i="5"/>
  <c r="E2345" i="5"/>
  <c r="D2345" i="5" a="1"/>
  <c r="D2345" i="5" s="1"/>
  <c r="B2345" i="5"/>
  <c r="N2344" i="5"/>
  <c r="H2344" i="5"/>
  <c r="G2344" i="5"/>
  <c r="F2344" i="5"/>
  <c r="E2344" i="5"/>
  <c r="D2344" i="5" a="1"/>
  <c r="D2344" i="5" s="1"/>
  <c r="B2344" i="5"/>
  <c r="N2343" i="5"/>
  <c r="H2343" i="5"/>
  <c r="G2343" i="5"/>
  <c r="F2343" i="5"/>
  <c r="E2343" i="5"/>
  <c r="D2343" i="5" a="1"/>
  <c r="D2343" i="5" s="1"/>
  <c r="B2343" i="5"/>
  <c r="N2342" i="5"/>
  <c r="H2342" i="5"/>
  <c r="G2342" i="5"/>
  <c r="F2342" i="5"/>
  <c r="E2342" i="5"/>
  <c r="D2342" i="5" a="1"/>
  <c r="D2342" i="5" s="1"/>
  <c r="B2342" i="5"/>
  <c r="N2341" i="5"/>
  <c r="H2341" i="5"/>
  <c r="G2341" i="5"/>
  <c r="F2341" i="5"/>
  <c r="E2341" i="5"/>
  <c r="D2341" i="5" a="1"/>
  <c r="D2341" i="5" s="1"/>
  <c r="B2341" i="5"/>
  <c r="N2340" i="5"/>
  <c r="H2340" i="5"/>
  <c r="G2340" i="5"/>
  <c r="F2340" i="5"/>
  <c r="E2340" i="5"/>
  <c r="D2340" i="5" a="1"/>
  <c r="D2340" i="5" s="1"/>
  <c r="B2340" i="5"/>
  <c r="N2339" i="5"/>
  <c r="H2339" i="5"/>
  <c r="G2339" i="5"/>
  <c r="F2339" i="5"/>
  <c r="E2339" i="5"/>
  <c r="D2339" i="5" a="1"/>
  <c r="D2339" i="5" s="1"/>
  <c r="B2339" i="5"/>
  <c r="N2338" i="5"/>
  <c r="H2338" i="5"/>
  <c r="G2338" i="5"/>
  <c r="F2338" i="5"/>
  <c r="E2338" i="5"/>
  <c r="D2338" i="5" a="1"/>
  <c r="D2338" i="5" s="1"/>
  <c r="B2338" i="5"/>
  <c r="N2337" i="5"/>
  <c r="H2337" i="5"/>
  <c r="G2337" i="5"/>
  <c r="F2337" i="5"/>
  <c r="E2337" i="5"/>
  <c r="D2337" i="5" a="1"/>
  <c r="D2337" i="5" s="1"/>
  <c r="B2337" i="5"/>
  <c r="N2336" i="5"/>
  <c r="H2336" i="5"/>
  <c r="G2336" i="5"/>
  <c r="F2336" i="5"/>
  <c r="E2336" i="5"/>
  <c r="D2336" i="5" a="1"/>
  <c r="D2336" i="5" s="1"/>
  <c r="B2336" i="5"/>
  <c r="N2335" i="5"/>
  <c r="H2335" i="5"/>
  <c r="G2335" i="5"/>
  <c r="F2335" i="5"/>
  <c r="E2335" i="5"/>
  <c r="D2335" i="5" a="1"/>
  <c r="D2335" i="5" s="1"/>
  <c r="B2335" i="5"/>
  <c r="N2334" i="5"/>
  <c r="H2334" i="5"/>
  <c r="G2334" i="5"/>
  <c r="F2334" i="5"/>
  <c r="E2334" i="5"/>
  <c r="D2334" i="5" a="1"/>
  <c r="D2334" i="5" s="1"/>
  <c r="B2334" i="5"/>
  <c r="N2333" i="5"/>
  <c r="H2333" i="5"/>
  <c r="G2333" i="5"/>
  <c r="F2333" i="5"/>
  <c r="E2333" i="5"/>
  <c r="D2333" i="5" a="1"/>
  <c r="D2333" i="5" s="1"/>
  <c r="B2333" i="5"/>
  <c r="N2332" i="5"/>
  <c r="H2332" i="5"/>
  <c r="G2332" i="5"/>
  <c r="F2332" i="5"/>
  <c r="E2332" i="5"/>
  <c r="D2332" i="5" a="1"/>
  <c r="D2332" i="5" s="1"/>
  <c r="B2332" i="5"/>
  <c r="N2331" i="5"/>
  <c r="H2331" i="5"/>
  <c r="G2331" i="5"/>
  <c r="F2331" i="5"/>
  <c r="E2331" i="5"/>
  <c r="D2331" i="5" a="1"/>
  <c r="D2331" i="5" s="1"/>
  <c r="B2331" i="5"/>
  <c r="N2330" i="5"/>
  <c r="H2330" i="5"/>
  <c r="G2330" i="5"/>
  <c r="F2330" i="5"/>
  <c r="E2330" i="5"/>
  <c r="D2330" i="5" a="1"/>
  <c r="D2330" i="5" s="1"/>
  <c r="B2330" i="5"/>
  <c r="N2329" i="5"/>
  <c r="H2329" i="5"/>
  <c r="G2329" i="5"/>
  <c r="F2329" i="5"/>
  <c r="E2329" i="5"/>
  <c r="D2329" i="5" a="1"/>
  <c r="D2329" i="5" s="1"/>
  <c r="B2329" i="5"/>
  <c r="N2328" i="5"/>
  <c r="H2328" i="5"/>
  <c r="G2328" i="5"/>
  <c r="F2328" i="5"/>
  <c r="E2328" i="5"/>
  <c r="D2328" i="5" a="1"/>
  <c r="D2328" i="5" s="1"/>
  <c r="B2328" i="5"/>
  <c r="N2327" i="5"/>
  <c r="H2327" i="5"/>
  <c r="G2327" i="5"/>
  <c r="F2327" i="5"/>
  <c r="E2327" i="5"/>
  <c r="D2327" i="5" a="1"/>
  <c r="D2327" i="5" s="1"/>
  <c r="B2327" i="5"/>
  <c r="N2326" i="5"/>
  <c r="H2326" i="5"/>
  <c r="G2326" i="5"/>
  <c r="F2326" i="5"/>
  <c r="E2326" i="5"/>
  <c r="D2326" i="5" a="1"/>
  <c r="D2326" i="5" s="1"/>
  <c r="B2326" i="5"/>
  <c r="N2325" i="5"/>
  <c r="H2325" i="5"/>
  <c r="G2325" i="5"/>
  <c r="F2325" i="5"/>
  <c r="E2325" i="5"/>
  <c r="D2325" i="5" a="1"/>
  <c r="D2325" i="5" s="1"/>
  <c r="B2325" i="5"/>
  <c r="N2324" i="5"/>
  <c r="H2324" i="5"/>
  <c r="G2324" i="5"/>
  <c r="F2324" i="5"/>
  <c r="E2324" i="5"/>
  <c r="D2324" i="5" a="1"/>
  <c r="D2324" i="5" s="1"/>
  <c r="B2324" i="5"/>
  <c r="N2323" i="5"/>
  <c r="H2323" i="5"/>
  <c r="G2323" i="5"/>
  <c r="F2323" i="5"/>
  <c r="E2323" i="5"/>
  <c r="D2323" i="5" a="1"/>
  <c r="D2323" i="5" s="1"/>
  <c r="B2323" i="5"/>
  <c r="N2322" i="5"/>
  <c r="H2322" i="5"/>
  <c r="G2322" i="5"/>
  <c r="F2322" i="5"/>
  <c r="E2322" i="5"/>
  <c r="D2322" i="5" a="1"/>
  <c r="D2322" i="5" s="1"/>
  <c r="B2322" i="5"/>
  <c r="N2321" i="5"/>
  <c r="H2321" i="5"/>
  <c r="G2321" i="5"/>
  <c r="F2321" i="5"/>
  <c r="E2321" i="5"/>
  <c r="D2321" i="5" a="1"/>
  <c r="D2321" i="5" s="1"/>
  <c r="B2321" i="5"/>
  <c r="N2320" i="5"/>
  <c r="H2320" i="5"/>
  <c r="G2320" i="5"/>
  <c r="F2320" i="5"/>
  <c r="E2320" i="5"/>
  <c r="D2320" i="5" a="1"/>
  <c r="D2320" i="5" s="1"/>
  <c r="B2320" i="5"/>
  <c r="N2319" i="5"/>
  <c r="H2319" i="5"/>
  <c r="G2319" i="5"/>
  <c r="F2319" i="5"/>
  <c r="E2319" i="5"/>
  <c r="D2319" i="5" a="1"/>
  <c r="D2319" i="5" s="1"/>
  <c r="B2319" i="5"/>
  <c r="N2318" i="5"/>
  <c r="H2318" i="5"/>
  <c r="G2318" i="5"/>
  <c r="F2318" i="5"/>
  <c r="E2318" i="5"/>
  <c r="D2318" i="5" a="1"/>
  <c r="D2318" i="5" s="1"/>
  <c r="B2318" i="5"/>
  <c r="N2317" i="5"/>
  <c r="H2317" i="5"/>
  <c r="G2317" i="5"/>
  <c r="F2317" i="5"/>
  <c r="E2317" i="5"/>
  <c r="D2317" i="5" a="1"/>
  <c r="D2317" i="5" s="1"/>
  <c r="B2317" i="5"/>
  <c r="N2316" i="5"/>
  <c r="H2316" i="5"/>
  <c r="G2316" i="5"/>
  <c r="F2316" i="5"/>
  <c r="E2316" i="5"/>
  <c r="D2316" i="5" a="1"/>
  <c r="D2316" i="5" s="1"/>
  <c r="B2316" i="5"/>
  <c r="N2315" i="5"/>
  <c r="H2315" i="5"/>
  <c r="G2315" i="5"/>
  <c r="F2315" i="5"/>
  <c r="E2315" i="5"/>
  <c r="D2315" i="5" a="1"/>
  <c r="D2315" i="5" s="1"/>
  <c r="B2315" i="5"/>
  <c r="N2314" i="5"/>
  <c r="H2314" i="5"/>
  <c r="G2314" i="5"/>
  <c r="F2314" i="5"/>
  <c r="E2314" i="5"/>
  <c r="D2314" i="5" a="1"/>
  <c r="D2314" i="5" s="1"/>
  <c r="B2314" i="5"/>
  <c r="N2313" i="5"/>
  <c r="H2313" i="5"/>
  <c r="G2313" i="5"/>
  <c r="F2313" i="5"/>
  <c r="E2313" i="5"/>
  <c r="D2313" i="5" a="1"/>
  <c r="D2313" i="5" s="1"/>
  <c r="B2313" i="5"/>
  <c r="N2312" i="5"/>
  <c r="H2312" i="5"/>
  <c r="G2312" i="5"/>
  <c r="F2312" i="5"/>
  <c r="E2312" i="5"/>
  <c r="D2312" i="5" a="1"/>
  <c r="D2312" i="5" s="1"/>
  <c r="B2312" i="5"/>
  <c r="N2311" i="5"/>
  <c r="H2311" i="5"/>
  <c r="G2311" i="5"/>
  <c r="F2311" i="5"/>
  <c r="E2311" i="5"/>
  <c r="D2311" i="5" a="1"/>
  <c r="D2311" i="5" s="1"/>
  <c r="B2311" i="5"/>
  <c r="N2310" i="5"/>
  <c r="H2310" i="5"/>
  <c r="G2310" i="5"/>
  <c r="F2310" i="5"/>
  <c r="E2310" i="5"/>
  <c r="D2310" i="5" a="1"/>
  <c r="D2310" i="5" s="1"/>
  <c r="B2310" i="5"/>
  <c r="N2309" i="5"/>
  <c r="H2309" i="5"/>
  <c r="G2309" i="5"/>
  <c r="F2309" i="5"/>
  <c r="E2309" i="5"/>
  <c r="D2309" i="5" a="1"/>
  <c r="D2309" i="5" s="1"/>
  <c r="B2309" i="5"/>
  <c r="N2308" i="5"/>
  <c r="H2308" i="5"/>
  <c r="G2308" i="5"/>
  <c r="F2308" i="5"/>
  <c r="E2308" i="5"/>
  <c r="D2308" i="5" a="1"/>
  <c r="D2308" i="5" s="1"/>
  <c r="B2308" i="5"/>
  <c r="N2307" i="5"/>
  <c r="H2307" i="5"/>
  <c r="G2307" i="5"/>
  <c r="F2307" i="5"/>
  <c r="E2307" i="5"/>
  <c r="D2307" i="5" a="1"/>
  <c r="D2307" i="5" s="1"/>
  <c r="B2307" i="5"/>
  <c r="N2306" i="5"/>
  <c r="H2306" i="5"/>
  <c r="G2306" i="5"/>
  <c r="F2306" i="5"/>
  <c r="E2306" i="5"/>
  <c r="D2306" i="5" a="1"/>
  <c r="D2306" i="5" s="1"/>
  <c r="B2306" i="5"/>
  <c r="N2305" i="5"/>
  <c r="H2305" i="5"/>
  <c r="G2305" i="5"/>
  <c r="F2305" i="5"/>
  <c r="E2305" i="5"/>
  <c r="D2305" i="5" a="1"/>
  <c r="D2305" i="5" s="1"/>
  <c r="B2305" i="5"/>
  <c r="N2304" i="5"/>
  <c r="H2304" i="5"/>
  <c r="G2304" i="5"/>
  <c r="F2304" i="5"/>
  <c r="E2304" i="5"/>
  <c r="D2304" i="5" a="1"/>
  <c r="D2304" i="5" s="1"/>
  <c r="B2304" i="5"/>
  <c r="N2303" i="5"/>
  <c r="H2303" i="5"/>
  <c r="G2303" i="5"/>
  <c r="F2303" i="5"/>
  <c r="E2303" i="5"/>
  <c r="D2303" i="5" a="1"/>
  <c r="D2303" i="5" s="1"/>
  <c r="B2303" i="5"/>
  <c r="N2302" i="5"/>
  <c r="H2302" i="5"/>
  <c r="G2302" i="5"/>
  <c r="F2302" i="5"/>
  <c r="E2302" i="5"/>
  <c r="D2302" i="5" a="1"/>
  <c r="D2302" i="5" s="1"/>
  <c r="B2302" i="5"/>
  <c r="N2301" i="5"/>
  <c r="H2301" i="5"/>
  <c r="G2301" i="5"/>
  <c r="F2301" i="5"/>
  <c r="E2301" i="5"/>
  <c r="D2301" i="5" a="1"/>
  <c r="D2301" i="5" s="1"/>
  <c r="B2301" i="5"/>
  <c r="N2300" i="5"/>
  <c r="H2300" i="5"/>
  <c r="G2300" i="5"/>
  <c r="F2300" i="5"/>
  <c r="E2300" i="5"/>
  <c r="D2300" i="5" a="1"/>
  <c r="D2300" i="5" s="1"/>
  <c r="B2300" i="5"/>
  <c r="N2299" i="5"/>
  <c r="H2299" i="5"/>
  <c r="G2299" i="5"/>
  <c r="F2299" i="5"/>
  <c r="E2299" i="5"/>
  <c r="D2299" i="5" a="1"/>
  <c r="D2299" i="5" s="1"/>
  <c r="B2299" i="5"/>
  <c r="N2298" i="5"/>
  <c r="H2298" i="5"/>
  <c r="G2298" i="5"/>
  <c r="F2298" i="5"/>
  <c r="E2298" i="5"/>
  <c r="D2298" i="5" a="1"/>
  <c r="D2298" i="5" s="1"/>
  <c r="B2298" i="5"/>
  <c r="N2297" i="5"/>
  <c r="H2297" i="5"/>
  <c r="G2297" i="5"/>
  <c r="F2297" i="5"/>
  <c r="E2297" i="5"/>
  <c r="D2297" i="5" a="1"/>
  <c r="D2297" i="5" s="1"/>
  <c r="B2297" i="5"/>
  <c r="N2296" i="5"/>
  <c r="H2296" i="5"/>
  <c r="G2296" i="5"/>
  <c r="F2296" i="5"/>
  <c r="E2296" i="5"/>
  <c r="D2296" i="5" a="1"/>
  <c r="D2296" i="5" s="1"/>
  <c r="B2296" i="5"/>
  <c r="N2295" i="5"/>
  <c r="H2295" i="5"/>
  <c r="G2295" i="5"/>
  <c r="F2295" i="5"/>
  <c r="E2295" i="5"/>
  <c r="D2295" i="5" a="1"/>
  <c r="D2295" i="5" s="1"/>
  <c r="B2295" i="5"/>
  <c r="N2294" i="5"/>
  <c r="H2294" i="5"/>
  <c r="G2294" i="5"/>
  <c r="F2294" i="5"/>
  <c r="E2294" i="5"/>
  <c r="D2294" i="5" a="1"/>
  <c r="D2294" i="5" s="1"/>
  <c r="B2294" i="5"/>
  <c r="N2293" i="5"/>
  <c r="H2293" i="5"/>
  <c r="G2293" i="5"/>
  <c r="F2293" i="5"/>
  <c r="E2293" i="5"/>
  <c r="D2293" i="5" a="1"/>
  <c r="D2293" i="5" s="1"/>
  <c r="B2293" i="5"/>
  <c r="N2292" i="5"/>
  <c r="H2292" i="5"/>
  <c r="G2292" i="5"/>
  <c r="F2292" i="5"/>
  <c r="E2292" i="5"/>
  <c r="D2292" i="5" a="1"/>
  <c r="D2292" i="5" s="1"/>
  <c r="B2292" i="5"/>
  <c r="N2291" i="5"/>
  <c r="H2291" i="5"/>
  <c r="G2291" i="5"/>
  <c r="F2291" i="5"/>
  <c r="E2291" i="5"/>
  <c r="D2291" i="5" a="1"/>
  <c r="D2291" i="5" s="1"/>
  <c r="B2291" i="5"/>
  <c r="N2290" i="5"/>
  <c r="H2290" i="5"/>
  <c r="G2290" i="5"/>
  <c r="F2290" i="5"/>
  <c r="E2290" i="5"/>
  <c r="D2290" i="5" a="1"/>
  <c r="D2290" i="5" s="1"/>
  <c r="B2290" i="5"/>
  <c r="N2289" i="5"/>
  <c r="H2289" i="5"/>
  <c r="G2289" i="5"/>
  <c r="F2289" i="5"/>
  <c r="E2289" i="5"/>
  <c r="D2289" i="5" a="1"/>
  <c r="D2289" i="5" s="1"/>
  <c r="B2289" i="5"/>
  <c r="N2288" i="5"/>
  <c r="H2288" i="5"/>
  <c r="G2288" i="5"/>
  <c r="F2288" i="5"/>
  <c r="E2288" i="5"/>
  <c r="D2288" i="5" a="1"/>
  <c r="D2288" i="5" s="1"/>
  <c r="B2288" i="5"/>
  <c r="N2287" i="5"/>
  <c r="H2287" i="5"/>
  <c r="G2287" i="5"/>
  <c r="F2287" i="5"/>
  <c r="E2287" i="5"/>
  <c r="D2287" i="5" a="1"/>
  <c r="D2287" i="5" s="1"/>
  <c r="B2287" i="5"/>
  <c r="N2286" i="5"/>
  <c r="H2286" i="5"/>
  <c r="G2286" i="5"/>
  <c r="F2286" i="5"/>
  <c r="E2286" i="5"/>
  <c r="D2286" i="5" a="1"/>
  <c r="D2286" i="5" s="1"/>
  <c r="B2286" i="5"/>
  <c r="N2285" i="5"/>
  <c r="H2285" i="5"/>
  <c r="G2285" i="5"/>
  <c r="F2285" i="5"/>
  <c r="E2285" i="5"/>
  <c r="D2285" i="5" a="1"/>
  <c r="D2285" i="5" s="1"/>
  <c r="B2285" i="5"/>
  <c r="N2284" i="5"/>
  <c r="H2284" i="5"/>
  <c r="G2284" i="5"/>
  <c r="F2284" i="5"/>
  <c r="E2284" i="5"/>
  <c r="D2284" i="5" a="1"/>
  <c r="D2284" i="5" s="1"/>
  <c r="B2284" i="5"/>
  <c r="N2283" i="5"/>
  <c r="H2283" i="5"/>
  <c r="G2283" i="5"/>
  <c r="F2283" i="5"/>
  <c r="E2283" i="5"/>
  <c r="D2283" i="5" a="1"/>
  <c r="D2283" i="5" s="1"/>
  <c r="B2283" i="5"/>
  <c r="N2282" i="5"/>
  <c r="H2282" i="5"/>
  <c r="G2282" i="5"/>
  <c r="F2282" i="5"/>
  <c r="E2282" i="5"/>
  <c r="D2282" i="5" a="1"/>
  <c r="D2282" i="5" s="1"/>
  <c r="B2282" i="5"/>
  <c r="N2281" i="5"/>
  <c r="H2281" i="5"/>
  <c r="G2281" i="5"/>
  <c r="F2281" i="5"/>
  <c r="E2281" i="5"/>
  <c r="D2281" i="5" a="1"/>
  <c r="D2281" i="5" s="1"/>
  <c r="B2281" i="5"/>
  <c r="N2280" i="5"/>
  <c r="H2280" i="5"/>
  <c r="G2280" i="5"/>
  <c r="F2280" i="5"/>
  <c r="E2280" i="5"/>
  <c r="D2280" i="5" a="1"/>
  <c r="D2280" i="5" s="1"/>
  <c r="B2280" i="5"/>
  <c r="N2279" i="5"/>
  <c r="H2279" i="5"/>
  <c r="G2279" i="5"/>
  <c r="F2279" i="5"/>
  <c r="E2279" i="5"/>
  <c r="D2279" i="5" a="1"/>
  <c r="D2279" i="5" s="1"/>
  <c r="B2279" i="5"/>
  <c r="N2278" i="5"/>
  <c r="H2278" i="5"/>
  <c r="G2278" i="5"/>
  <c r="F2278" i="5"/>
  <c r="E2278" i="5"/>
  <c r="D2278" i="5" a="1"/>
  <c r="D2278" i="5" s="1"/>
  <c r="B2278" i="5"/>
  <c r="N2277" i="5"/>
  <c r="H2277" i="5"/>
  <c r="G2277" i="5"/>
  <c r="F2277" i="5"/>
  <c r="E2277" i="5"/>
  <c r="D2277" i="5" a="1"/>
  <c r="D2277" i="5" s="1"/>
  <c r="B2277" i="5"/>
  <c r="N2276" i="5"/>
  <c r="H2276" i="5"/>
  <c r="G2276" i="5"/>
  <c r="F2276" i="5"/>
  <c r="E2276" i="5"/>
  <c r="D2276" i="5" a="1"/>
  <c r="D2276" i="5" s="1"/>
  <c r="B2276" i="5"/>
  <c r="N2275" i="5"/>
  <c r="H2275" i="5"/>
  <c r="G2275" i="5"/>
  <c r="F2275" i="5"/>
  <c r="E2275" i="5"/>
  <c r="D2275" i="5" a="1"/>
  <c r="D2275" i="5" s="1"/>
  <c r="B2275" i="5"/>
  <c r="N2274" i="5"/>
  <c r="H2274" i="5"/>
  <c r="G2274" i="5"/>
  <c r="F2274" i="5"/>
  <c r="E2274" i="5"/>
  <c r="D2274" i="5" a="1"/>
  <c r="D2274" i="5" s="1"/>
  <c r="B2274" i="5"/>
  <c r="N2273" i="5"/>
  <c r="H2273" i="5"/>
  <c r="G2273" i="5"/>
  <c r="F2273" i="5"/>
  <c r="E2273" i="5"/>
  <c r="D2273" i="5" a="1"/>
  <c r="D2273" i="5" s="1"/>
  <c r="B2273" i="5"/>
  <c r="N2272" i="5"/>
  <c r="H2272" i="5"/>
  <c r="G2272" i="5"/>
  <c r="F2272" i="5"/>
  <c r="E2272" i="5"/>
  <c r="D2272" i="5" a="1"/>
  <c r="D2272" i="5" s="1"/>
  <c r="B2272" i="5"/>
  <c r="N2271" i="5"/>
  <c r="H2271" i="5"/>
  <c r="G2271" i="5"/>
  <c r="F2271" i="5"/>
  <c r="E2271" i="5"/>
  <c r="D2271" i="5" a="1"/>
  <c r="D2271" i="5" s="1"/>
  <c r="B2271" i="5"/>
  <c r="N2270" i="5"/>
  <c r="H2270" i="5"/>
  <c r="G2270" i="5"/>
  <c r="F2270" i="5"/>
  <c r="E2270" i="5"/>
  <c r="D2270" i="5" a="1"/>
  <c r="D2270" i="5" s="1"/>
  <c r="B2270" i="5"/>
  <c r="N2269" i="5"/>
  <c r="H2269" i="5"/>
  <c r="G2269" i="5"/>
  <c r="F2269" i="5"/>
  <c r="E2269" i="5"/>
  <c r="D2269" i="5" a="1"/>
  <c r="D2269" i="5" s="1"/>
  <c r="B2269" i="5"/>
  <c r="N2268" i="5"/>
  <c r="H2268" i="5"/>
  <c r="G2268" i="5"/>
  <c r="F2268" i="5"/>
  <c r="E2268" i="5"/>
  <c r="D2268" i="5" a="1"/>
  <c r="D2268" i="5" s="1"/>
  <c r="B2268" i="5"/>
  <c r="N2267" i="5"/>
  <c r="H2267" i="5"/>
  <c r="G2267" i="5"/>
  <c r="F2267" i="5"/>
  <c r="E2267" i="5"/>
  <c r="D2267" i="5" a="1"/>
  <c r="D2267" i="5" s="1"/>
  <c r="B2267" i="5"/>
  <c r="N2266" i="5"/>
  <c r="H2266" i="5"/>
  <c r="G2266" i="5"/>
  <c r="F2266" i="5"/>
  <c r="E2266" i="5"/>
  <c r="D2266" i="5" a="1"/>
  <c r="D2266" i="5" s="1"/>
  <c r="B2266" i="5"/>
  <c r="N2265" i="5"/>
  <c r="H2265" i="5"/>
  <c r="G2265" i="5"/>
  <c r="F2265" i="5"/>
  <c r="E2265" i="5"/>
  <c r="D2265" i="5" a="1"/>
  <c r="D2265" i="5" s="1"/>
  <c r="B2265" i="5"/>
  <c r="N2264" i="5"/>
  <c r="H2264" i="5"/>
  <c r="G2264" i="5"/>
  <c r="F2264" i="5"/>
  <c r="E2264" i="5"/>
  <c r="D2264" i="5" a="1"/>
  <c r="D2264" i="5" s="1"/>
  <c r="B2264" i="5"/>
  <c r="N2263" i="5"/>
  <c r="H2263" i="5"/>
  <c r="G2263" i="5"/>
  <c r="F2263" i="5"/>
  <c r="E2263" i="5"/>
  <c r="D2263" i="5" a="1"/>
  <c r="D2263" i="5" s="1"/>
  <c r="B2263" i="5"/>
  <c r="N2262" i="5"/>
  <c r="H2262" i="5"/>
  <c r="G2262" i="5"/>
  <c r="F2262" i="5"/>
  <c r="E2262" i="5"/>
  <c r="D2262" i="5" a="1"/>
  <c r="D2262" i="5" s="1"/>
  <c r="B2262" i="5"/>
  <c r="N2261" i="5"/>
  <c r="H2261" i="5"/>
  <c r="G2261" i="5"/>
  <c r="F2261" i="5"/>
  <c r="E2261" i="5"/>
  <c r="D2261" i="5" a="1"/>
  <c r="D2261" i="5" s="1"/>
  <c r="B2261" i="5"/>
  <c r="N2260" i="5"/>
  <c r="H2260" i="5"/>
  <c r="G2260" i="5"/>
  <c r="F2260" i="5"/>
  <c r="E2260" i="5"/>
  <c r="D2260" i="5" a="1"/>
  <c r="D2260" i="5" s="1"/>
  <c r="B2260" i="5"/>
  <c r="N2259" i="5"/>
  <c r="H2259" i="5"/>
  <c r="G2259" i="5"/>
  <c r="F2259" i="5"/>
  <c r="E2259" i="5"/>
  <c r="D2259" i="5" a="1"/>
  <c r="D2259" i="5" s="1"/>
  <c r="B2259" i="5"/>
  <c r="N2258" i="5"/>
  <c r="H2258" i="5"/>
  <c r="G2258" i="5"/>
  <c r="F2258" i="5"/>
  <c r="E2258" i="5"/>
  <c r="D2258" i="5" a="1"/>
  <c r="D2258" i="5" s="1"/>
  <c r="B2258" i="5"/>
  <c r="N2257" i="5"/>
  <c r="H2257" i="5"/>
  <c r="G2257" i="5"/>
  <c r="F2257" i="5"/>
  <c r="E2257" i="5"/>
  <c r="D2257" i="5" a="1"/>
  <c r="D2257" i="5" s="1"/>
  <c r="B2257" i="5"/>
  <c r="N2256" i="5"/>
  <c r="H2256" i="5"/>
  <c r="G2256" i="5"/>
  <c r="F2256" i="5"/>
  <c r="E2256" i="5"/>
  <c r="D2256" i="5" a="1"/>
  <c r="D2256" i="5" s="1"/>
  <c r="B2256" i="5"/>
  <c r="N2255" i="5"/>
  <c r="H2255" i="5"/>
  <c r="G2255" i="5"/>
  <c r="F2255" i="5"/>
  <c r="E2255" i="5"/>
  <c r="D2255" i="5" a="1"/>
  <c r="D2255" i="5" s="1"/>
  <c r="B2255" i="5"/>
  <c r="N2254" i="5"/>
  <c r="H2254" i="5"/>
  <c r="G2254" i="5"/>
  <c r="F2254" i="5"/>
  <c r="E2254" i="5"/>
  <c r="D2254" i="5" a="1"/>
  <c r="D2254" i="5" s="1"/>
  <c r="B2254" i="5"/>
  <c r="N2253" i="5"/>
  <c r="H2253" i="5"/>
  <c r="G2253" i="5"/>
  <c r="F2253" i="5"/>
  <c r="E2253" i="5"/>
  <c r="D2253" i="5" a="1"/>
  <c r="D2253" i="5" s="1"/>
  <c r="B2253" i="5"/>
  <c r="N2252" i="5"/>
  <c r="H2252" i="5"/>
  <c r="G2252" i="5"/>
  <c r="F2252" i="5"/>
  <c r="E2252" i="5"/>
  <c r="D2252" i="5" a="1"/>
  <c r="D2252" i="5" s="1"/>
  <c r="B2252" i="5"/>
  <c r="N2251" i="5"/>
  <c r="H2251" i="5"/>
  <c r="G2251" i="5"/>
  <c r="F2251" i="5"/>
  <c r="E2251" i="5"/>
  <c r="D2251" i="5" a="1"/>
  <c r="D2251" i="5" s="1"/>
  <c r="B2251" i="5"/>
  <c r="N2250" i="5"/>
  <c r="H2250" i="5"/>
  <c r="G2250" i="5"/>
  <c r="F2250" i="5"/>
  <c r="E2250" i="5"/>
  <c r="D2250" i="5" a="1"/>
  <c r="D2250" i="5" s="1"/>
  <c r="B2250" i="5"/>
  <c r="N2249" i="5"/>
  <c r="H2249" i="5"/>
  <c r="G2249" i="5"/>
  <c r="F2249" i="5"/>
  <c r="E2249" i="5"/>
  <c r="D2249" i="5" a="1"/>
  <c r="D2249" i="5" s="1"/>
  <c r="B2249" i="5"/>
  <c r="N2248" i="5"/>
  <c r="H2248" i="5"/>
  <c r="G2248" i="5"/>
  <c r="F2248" i="5"/>
  <c r="E2248" i="5"/>
  <c r="D2248" i="5" a="1"/>
  <c r="D2248" i="5" s="1"/>
  <c r="B2248" i="5"/>
  <c r="N2247" i="5"/>
  <c r="H2247" i="5"/>
  <c r="G2247" i="5"/>
  <c r="F2247" i="5"/>
  <c r="E2247" i="5"/>
  <c r="D2247" i="5" a="1"/>
  <c r="D2247" i="5" s="1"/>
  <c r="B2247" i="5"/>
  <c r="N2246" i="5"/>
  <c r="H2246" i="5"/>
  <c r="G2246" i="5"/>
  <c r="F2246" i="5"/>
  <c r="E2246" i="5"/>
  <c r="D2246" i="5" a="1"/>
  <c r="D2246" i="5" s="1"/>
  <c r="B2246" i="5"/>
  <c r="N2245" i="5"/>
  <c r="H2245" i="5"/>
  <c r="G2245" i="5"/>
  <c r="F2245" i="5"/>
  <c r="E2245" i="5"/>
  <c r="D2245" i="5" a="1"/>
  <c r="D2245" i="5" s="1"/>
  <c r="B2245" i="5"/>
  <c r="N2244" i="5"/>
  <c r="H2244" i="5"/>
  <c r="G2244" i="5"/>
  <c r="F2244" i="5"/>
  <c r="E2244" i="5"/>
  <c r="D2244" i="5" a="1"/>
  <c r="D2244" i="5" s="1"/>
  <c r="B2244" i="5"/>
  <c r="N2243" i="5"/>
  <c r="H2243" i="5"/>
  <c r="G2243" i="5"/>
  <c r="F2243" i="5"/>
  <c r="E2243" i="5"/>
  <c r="D2243" i="5" a="1"/>
  <c r="D2243" i="5" s="1"/>
  <c r="B2243" i="5"/>
  <c r="N2242" i="5"/>
  <c r="H2242" i="5"/>
  <c r="G2242" i="5"/>
  <c r="F2242" i="5"/>
  <c r="E2242" i="5"/>
  <c r="D2242" i="5" a="1"/>
  <c r="D2242" i="5" s="1"/>
  <c r="B2242" i="5"/>
  <c r="N2241" i="5"/>
  <c r="H2241" i="5"/>
  <c r="G2241" i="5"/>
  <c r="F2241" i="5"/>
  <c r="E2241" i="5"/>
  <c r="D2241" i="5" a="1"/>
  <c r="D2241" i="5" s="1"/>
  <c r="B2241" i="5"/>
  <c r="N2240" i="5"/>
  <c r="H2240" i="5"/>
  <c r="G2240" i="5"/>
  <c r="F2240" i="5"/>
  <c r="E2240" i="5"/>
  <c r="D2240" i="5" a="1"/>
  <c r="D2240" i="5" s="1"/>
  <c r="B2240" i="5"/>
  <c r="N2239" i="5"/>
  <c r="H2239" i="5"/>
  <c r="G2239" i="5"/>
  <c r="F2239" i="5"/>
  <c r="E2239" i="5"/>
  <c r="D2239" i="5" a="1"/>
  <c r="D2239" i="5" s="1"/>
  <c r="B2239" i="5"/>
  <c r="N2238" i="5"/>
  <c r="H2238" i="5"/>
  <c r="G2238" i="5"/>
  <c r="F2238" i="5"/>
  <c r="E2238" i="5"/>
  <c r="D2238" i="5" a="1"/>
  <c r="D2238" i="5" s="1"/>
  <c r="B2238" i="5"/>
  <c r="N2237" i="5"/>
  <c r="H2237" i="5"/>
  <c r="G2237" i="5"/>
  <c r="F2237" i="5"/>
  <c r="E2237" i="5"/>
  <c r="D2237" i="5" a="1"/>
  <c r="D2237" i="5" s="1"/>
  <c r="B2237" i="5"/>
  <c r="N2236" i="5"/>
  <c r="H2236" i="5"/>
  <c r="G2236" i="5"/>
  <c r="F2236" i="5"/>
  <c r="E2236" i="5"/>
  <c r="D2236" i="5" a="1"/>
  <c r="D2236" i="5" s="1"/>
  <c r="B2236" i="5"/>
  <c r="N2235" i="5"/>
  <c r="H2235" i="5"/>
  <c r="G2235" i="5"/>
  <c r="F2235" i="5"/>
  <c r="E2235" i="5"/>
  <c r="D2235" i="5" a="1"/>
  <c r="D2235" i="5" s="1"/>
  <c r="B2235" i="5"/>
  <c r="N2234" i="5"/>
  <c r="H2234" i="5"/>
  <c r="G2234" i="5"/>
  <c r="F2234" i="5"/>
  <c r="E2234" i="5"/>
  <c r="D2234" i="5" a="1"/>
  <c r="D2234" i="5" s="1"/>
  <c r="B2234" i="5"/>
  <c r="N2233" i="5"/>
  <c r="H2233" i="5"/>
  <c r="G2233" i="5"/>
  <c r="F2233" i="5"/>
  <c r="E2233" i="5"/>
  <c r="D2233" i="5" a="1"/>
  <c r="D2233" i="5" s="1"/>
  <c r="B2233" i="5"/>
  <c r="N2232" i="5"/>
  <c r="H2232" i="5"/>
  <c r="G2232" i="5"/>
  <c r="F2232" i="5"/>
  <c r="E2232" i="5"/>
  <c r="D2232" i="5" a="1"/>
  <c r="D2232" i="5" s="1"/>
  <c r="B2232" i="5"/>
  <c r="N2231" i="5"/>
  <c r="H2231" i="5"/>
  <c r="G2231" i="5"/>
  <c r="F2231" i="5"/>
  <c r="E2231" i="5"/>
  <c r="D2231" i="5" a="1"/>
  <c r="D2231" i="5" s="1"/>
  <c r="B2231" i="5"/>
  <c r="N2230" i="5"/>
  <c r="H2230" i="5"/>
  <c r="G2230" i="5"/>
  <c r="F2230" i="5"/>
  <c r="E2230" i="5"/>
  <c r="D2230" i="5" a="1"/>
  <c r="D2230" i="5" s="1"/>
  <c r="B2230" i="5"/>
  <c r="N2229" i="5"/>
  <c r="H2229" i="5"/>
  <c r="G2229" i="5"/>
  <c r="F2229" i="5"/>
  <c r="E2229" i="5"/>
  <c r="D2229" i="5" a="1"/>
  <c r="D2229" i="5" s="1"/>
  <c r="B2229" i="5"/>
  <c r="N2228" i="5"/>
  <c r="H2228" i="5"/>
  <c r="G2228" i="5"/>
  <c r="F2228" i="5"/>
  <c r="E2228" i="5"/>
  <c r="D2228" i="5" a="1"/>
  <c r="D2228" i="5" s="1"/>
  <c r="B2228" i="5"/>
  <c r="N2227" i="5"/>
  <c r="H2227" i="5"/>
  <c r="G2227" i="5"/>
  <c r="F2227" i="5"/>
  <c r="E2227" i="5"/>
  <c r="D2227" i="5" a="1"/>
  <c r="D2227" i="5" s="1"/>
  <c r="B2227" i="5"/>
  <c r="N2226" i="5"/>
  <c r="H2226" i="5"/>
  <c r="G2226" i="5"/>
  <c r="F2226" i="5"/>
  <c r="E2226" i="5"/>
  <c r="D2226" i="5" a="1"/>
  <c r="D2226" i="5" s="1"/>
  <c r="B2226" i="5"/>
  <c r="N2225" i="5"/>
  <c r="H2225" i="5"/>
  <c r="G2225" i="5"/>
  <c r="F2225" i="5"/>
  <c r="E2225" i="5"/>
  <c r="D2225" i="5" a="1"/>
  <c r="D2225" i="5" s="1"/>
  <c r="B2225" i="5"/>
  <c r="N2224" i="5"/>
  <c r="H2224" i="5"/>
  <c r="G2224" i="5"/>
  <c r="F2224" i="5"/>
  <c r="E2224" i="5"/>
  <c r="D2224" i="5" a="1"/>
  <c r="D2224" i="5" s="1"/>
  <c r="B2224" i="5"/>
  <c r="N2223" i="5"/>
  <c r="H2223" i="5"/>
  <c r="G2223" i="5"/>
  <c r="F2223" i="5"/>
  <c r="E2223" i="5"/>
  <c r="D2223" i="5" a="1"/>
  <c r="D2223" i="5" s="1"/>
  <c r="B2223" i="5"/>
  <c r="N2222" i="5"/>
  <c r="H2222" i="5"/>
  <c r="G2222" i="5"/>
  <c r="F2222" i="5"/>
  <c r="E2222" i="5"/>
  <c r="D2222" i="5" a="1"/>
  <c r="D2222" i="5" s="1"/>
  <c r="B2222" i="5"/>
  <c r="N2221" i="5"/>
  <c r="H2221" i="5"/>
  <c r="G2221" i="5"/>
  <c r="F2221" i="5"/>
  <c r="E2221" i="5"/>
  <c r="D2221" i="5" a="1"/>
  <c r="D2221" i="5" s="1"/>
  <c r="B2221" i="5"/>
  <c r="N2220" i="5"/>
  <c r="H2220" i="5"/>
  <c r="G2220" i="5"/>
  <c r="F2220" i="5"/>
  <c r="E2220" i="5"/>
  <c r="D2220" i="5" a="1"/>
  <c r="D2220" i="5" s="1"/>
  <c r="B2220" i="5"/>
  <c r="N2219" i="5"/>
  <c r="H2219" i="5"/>
  <c r="G2219" i="5"/>
  <c r="F2219" i="5"/>
  <c r="E2219" i="5"/>
  <c r="D2219" i="5" a="1"/>
  <c r="D2219" i="5" s="1"/>
  <c r="B2219" i="5"/>
  <c r="N2218" i="5"/>
  <c r="H2218" i="5"/>
  <c r="G2218" i="5"/>
  <c r="F2218" i="5"/>
  <c r="E2218" i="5"/>
  <c r="D2218" i="5" a="1"/>
  <c r="D2218" i="5" s="1"/>
  <c r="B2218" i="5"/>
  <c r="N2217" i="5"/>
  <c r="H2217" i="5"/>
  <c r="G2217" i="5"/>
  <c r="F2217" i="5"/>
  <c r="E2217" i="5"/>
  <c r="D2217" i="5" a="1"/>
  <c r="D2217" i="5" s="1"/>
  <c r="B2217" i="5"/>
  <c r="N2216" i="5"/>
  <c r="H2216" i="5"/>
  <c r="G2216" i="5"/>
  <c r="F2216" i="5"/>
  <c r="E2216" i="5"/>
  <c r="D2216" i="5" a="1"/>
  <c r="D2216" i="5" s="1"/>
  <c r="B2216" i="5"/>
  <c r="N2215" i="5"/>
  <c r="H2215" i="5"/>
  <c r="G2215" i="5"/>
  <c r="F2215" i="5"/>
  <c r="E2215" i="5"/>
  <c r="D2215" i="5" a="1"/>
  <c r="D2215" i="5" s="1"/>
  <c r="B2215" i="5"/>
  <c r="N2214" i="5"/>
  <c r="H2214" i="5"/>
  <c r="G2214" i="5"/>
  <c r="F2214" i="5"/>
  <c r="E2214" i="5"/>
  <c r="D2214" i="5" a="1"/>
  <c r="D2214" i="5" s="1"/>
  <c r="B2214" i="5"/>
  <c r="N2213" i="5"/>
  <c r="H2213" i="5"/>
  <c r="G2213" i="5"/>
  <c r="F2213" i="5"/>
  <c r="E2213" i="5"/>
  <c r="D2213" i="5" a="1"/>
  <c r="D2213" i="5" s="1"/>
  <c r="B2213" i="5"/>
  <c r="N2212" i="5"/>
  <c r="H2212" i="5"/>
  <c r="G2212" i="5"/>
  <c r="F2212" i="5"/>
  <c r="E2212" i="5"/>
  <c r="D2212" i="5" a="1"/>
  <c r="D2212" i="5" s="1"/>
  <c r="B2212" i="5"/>
  <c r="N2211" i="5"/>
  <c r="H2211" i="5"/>
  <c r="G2211" i="5"/>
  <c r="F2211" i="5"/>
  <c r="E2211" i="5"/>
  <c r="D2211" i="5" a="1"/>
  <c r="D2211" i="5" s="1"/>
  <c r="B2211" i="5"/>
  <c r="N2210" i="5"/>
  <c r="H2210" i="5"/>
  <c r="G2210" i="5"/>
  <c r="F2210" i="5"/>
  <c r="E2210" i="5"/>
  <c r="D2210" i="5" a="1"/>
  <c r="D2210" i="5" s="1"/>
  <c r="B2210" i="5"/>
  <c r="N2209" i="5"/>
  <c r="H2209" i="5"/>
  <c r="G2209" i="5"/>
  <c r="F2209" i="5"/>
  <c r="E2209" i="5"/>
  <c r="D2209" i="5" a="1"/>
  <c r="D2209" i="5" s="1"/>
  <c r="B2209" i="5"/>
  <c r="N2208" i="5"/>
  <c r="H2208" i="5"/>
  <c r="G2208" i="5"/>
  <c r="F2208" i="5"/>
  <c r="E2208" i="5"/>
  <c r="D2208" i="5" a="1"/>
  <c r="D2208" i="5" s="1"/>
  <c r="B2208" i="5"/>
  <c r="N2207" i="5"/>
  <c r="H2207" i="5"/>
  <c r="G2207" i="5"/>
  <c r="F2207" i="5"/>
  <c r="E2207" i="5"/>
  <c r="D2207" i="5" a="1"/>
  <c r="D2207" i="5" s="1"/>
  <c r="B2207" i="5"/>
  <c r="N2206" i="5"/>
  <c r="H2206" i="5"/>
  <c r="G2206" i="5"/>
  <c r="F2206" i="5"/>
  <c r="E2206" i="5"/>
  <c r="D2206" i="5" a="1"/>
  <c r="D2206" i="5" s="1"/>
  <c r="B2206" i="5"/>
  <c r="N2205" i="5"/>
  <c r="H2205" i="5"/>
  <c r="G2205" i="5"/>
  <c r="F2205" i="5"/>
  <c r="E2205" i="5"/>
  <c r="D2205" i="5" a="1"/>
  <c r="D2205" i="5" s="1"/>
  <c r="B2205" i="5"/>
  <c r="N2204" i="5"/>
  <c r="H2204" i="5"/>
  <c r="G2204" i="5"/>
  <c r="F2204" i="5"/>
  <c r="E2204" i="5"/>
  <c r="D2204" i="5" a="1"/>
  <c r="D2204" i="5" s="1"/>
  <c r="B2204" i="5"/>
  <c r="N2203" i="5"/>
  <c r="H2203" i="5"/>
  <c r="G2203" i="5"/>
  <c r="F2203" i="5"/>
  <c r="E2203" i="5"/>
  <c r="D2203" i="5" a="1"/>
  <c r="D2203" i="5" s="1"/>
  <c r="B2203" i="5"/>
  <c r="N2202" i="5"/>
  <c r="H2202" i="5"/>
  <c r="G2202" i="5"/>
  <c r="F2202" i="5"/>
  <c r="E2202" i="5"/>
  <c r="D2202" i="5" a="1"/>
  <c r="D2202" i="5" s="1"/>
  <c r="B2202" i="5"/>
  <c r="N2201" i="5"/>
  <c r="H2201" i="5"/>
  <c r="G2201" i="5"/>
  <c r="F2201" i="5"/>
  <c r="E2201" i="5"/>
  <c r="D2201" i="5" a="1"/>
  <c r="D2201" i="5" s="1"/>
  <c r="B2201" i="5"/>
  <c r="N2200" i="5"/>
  <c r="H2200" i="5"/>
  <c r="G2200" i="5"/>
  <c r="F2200" i="5"/>
  <c r="E2200" i="5"/>
  <c r="D2200" i="5" a="1"/>
  <c r="D2200" i="5" s="1"/>
  <c r="B2200" i="5"/>
  <c r="N2199" i="5"/>
  <c r="H2199" i="5"/>
  <c r="G2199" i="5"/>
  <c r="F2199" i="5"/>
  <c r="E2199" i="5"/>
  <c r="D2199" i="5" a="1"/>
  <c r="D2199" i="5" s="1"/>
  <c r="B2199" i="5"/>
  <c r="N2198" i="5"/>
  <c r="H2198" i="5"/>
  <c r="G2198" i="5"/>
  <c r="F2198" i="5"/>
  <c r="E2198" i="5"/>
  <c r="D2198" i="5" a="1"/>
  <c r="D2198" i="5" s="1"/>
  <c r="B2198" i="5"/>
  <c r="N2197" i="5"/>
  <c r="H2197" i="5"/>
  <c r="G2197" i="5"/>
  <c r="F2197" i="5"/>
  <c r="E2197" i="5"/>
  <c r="D2197" i="5" a="1"/>
  <c r="D2197" i="5" s="1"/>
  <c r="B2197" i="5"/>
  <c r="N2196" i="5"/>
  <c r="H2196" i="5"/>
  <c r="G2196" i="5"/>
  <c r="F2196" i="5"/>
  <c r="E2196" i="5"/>
  <c r="D2196" i="5" a="1"/>
  <c r="D2196" i="5" s="1"/>
  <c r="B2196" i="5"/>
  <c r="N2195" i="5"/>
  <c r="H2195" i="5"/>
  <c r="G2195" i="5"/>
  <c r="F2195" i="5"/>
  <c r="E2195" i="5"/>
  <c r="D2195" i="5" a="1"/>
  <c r="D2195" i="5" s="1"/>
  <c r="B2195" i="5"/>
  <c r="N2194" i="5"/>
  <c r="H2194" i="5"/>
  <c r="G2194" i="5"/>
  <c r="F2194" i="5"/>
  <c r="E2194" i="5"/>
  <c r="D2194" i="5" a="1"/>
  <c r="D2194" i="5" s="1"/>
  <c r="B2194" i="5"/>
  <c r="N2193" i="5"/>
  <c r="H2193" i="5"/>
  <c r="G2193" i="5"/>
  <c r="F2193" i="5"/>
  <c r="E2193" i="5"/>
  <c r="D2193" i="5" a="1"/>
  <c r="D2193" i="5" s="1"/>
  <c r="B2193" i="5"/>
  <c r="N2192" i="5"/>
  <c r="H2192" i="5"/>
  <c r="G2192" i="5"/>
  <c r="F2192" i="5"/>
  <c r="E2192" i="5"/>
  <c r="D2192" i="5" a="1"/>
  <c r="D2192" i="5" s="1"/>
  <c r="B2192" i="5"/>
  <c r="N2191" i="5"/>
  <c r="H2191" i="5"/>
  <c r="G2191" i="5"/>
  <c r="F2191" i="5"/>
  <c r="E2191" i="5"/>
  <c r="D2191" i="5" a="1"/>
  <c r="D2191" i="5" s="1"/>
  <c r="B2191" i="5"/>
  <c r="N2190" i="5"/>
  <c r="H2190" i="5"/>
  <c r="G2190" i="5"/>
  <c r="F2190" i="5"/>
  <c r="E2190" i="5"/>
  <c r="D2190" i="5" a="1"/>
  <c r="D2190" i="5" s="1"/>
  <c r="B2190" i="5"/>
  <c r="N2189" i="5"/>
  <c r="H2189" i="5"/>
  <c r="G2189" i="5"/>
  <c r="F2189" i="5"/>
  <c r="E2189" i="5"/>
  <c r="D2189" i="5" a="1"/>
  <c r="D2189" i="5" s="1"/>
  <c r="B2189" i="5"/>
  <c r="N2188" i="5"/>
  <c r="H2188" i="5"/>
  <c r="G2188" i="5"/>
  <c r="F2188" i="5"/>
  <c r="E2188" i="5"/>
  <c r="D2188" i="5" a="1"/>
  <c r="D2188" i="5" s="1"/>
  <c r="B2188" i="5"/>
  <c r="N2187" i="5"/>
  <c r="H2187" i="5"/>
  <c r="G2187" i="5"/>
  <c r="F2187" i="5"/>
  <c r="E2187" i="5"/>
  <c r="D2187" i="5" a="1"/>
  <c r="D2187" i="5" s="1"/>
  <c r="B2187" i="5"/>
  <c r="N2186" i="5"/>
  <c r="H2186" i="5"/>
  <c r="G2186" i="5"/>
  <c r="F2186" i="5"/>
  <c r="E2186" i="5"/>
  <c r="D2186" i="5" a="1"/>
  <c r="D2186" i="5" s="1"/>
  <c r="B2186" i="5"/>
  <c r="N2185" i="5"/>
  <c r="H2185" i="5"/>
  <c r="G2185" i="5"/>
  <c r="F2185" i="5"/>
  <c r="E2185" i="5"/>
  <c r="D2185" i="5" a="1"/>
  <c r="D2185" i="5" s="1"/>
  <c r="B2185" i="5"/>
  <c r="N2184" i="5"/>
  <c r="H2184" i="5"/>
  <c r="G2184" i="5"/>
  <c r="F2184" i="5"/>
  <c r="E2184" i="5"/>
  <c r="D2184" i="5" a="1"/>
  <c r="D2184" i="5" s="1"/>
  <c r="B2184" i="5"/>
  <c r="N2183" i="5"/>
  <c r="H2183" i="5"/>
  <c r="G2183" i="5"/>
  <c r="F2183" i="5"/>
  <c r="E2183" i="5"/>
  <c r="D2183" i="5" a="1"/>
  <c r="D2183" i="5" s="1"/>
  <c r="B2183" i="5"/>
  <c r="N2182" i="5"/>
  <c r="H2182" i="5"/>
  <c r="G2182" i="5"/>
  <c r="F2182" i="5"/>
  <c r="E2182" i="5"/>
  <c r="D2182" i="5" a="1"/>
  <c r="D2182" i="5" s="1"/>
  <c r="B2182" i="5"/>
  <c r="N2181" i="5"/>
  <c r="H2181" i="5"/>
  <c r="G2181" i="5"/>
  <c r="F2181" i="5"/>
  <c r="E2181" i="5"/>
  <c r="D2181" i="5" a="1"/>
  <c r="D2181" i="5" s="1"/>
  <c r="B2181" i="5"/>
  <c r="N2180" i="5"/>
  <c r="H2180" i="5"/>
  <c r="G2180" i="5"/>
  <c r="F2180" i="5"/>
  <c r="E2180" i="5"/>
  <c r="D2180" i="5" a="1"/>
  <c r="D2180" i="5" s="1"/>
  <c r="B2180" i="5"/>
  <c r="N2179" i="5"/>
  <c r="H2179" i="5"/>
  <c r="G2179" i="5"/>
  <c r="F2179" i="5"/>
  <c r="E2179" i="5"/>
  <c r="D2179" i="5" a="1"/>
  <c r="D2179" i="5" s="1"/>
  <c r="B2179" i="5"/>
  <c r="N2178" i="5"/>
  <c r="H2178" i="5"/>
  <c r="G2178" i="5"/>
  <c r="F2178" i="5"/>
  <c r="E2178" i="5"/>
  <c r="D2178" i="5" a="1"/>
  <c r="D2178" i="5" s="1"/>
  <c r="B2178" i="5"/>
  <c r="N2177" i="5"/>
  <c r="H2177" i="5"/>
  <c r="G2177" i="5"/>
  <c r="F2177" i="5"/>
  <c r="E2177" i="5"/>
  <c r="D2177" i="5" a="1"/>
  <c r="D2177" i="5" s="1"/>
  <c r="B2177" i="5"/>
  <c r="N2176" i="5"/>
  <c r="H2176" i="5"/>
  <c r="G2176" i="5"/>
  <c r="F2176" i="5"/>
  <c r="E2176" i="5"/>
  <c r="D2176" i="5" a="1"/>
  <c r="D2176" i="5" s="1"/>
  <c r="B2176" i="5"/>
  <c r="N2175" i="5"/>
  <c r="H2175" i="5"/>
  <c r="G2175" i="5"/>
  <c r="F2175" i="5"/>
  <c r="E2175" i="5"/>
  <c r="D2175" i="5" a="1"/>
  <c r="D2175" i="5" s="1"/>
  <c r="B2175" i="5"/>
  <c r="N2174" i="5"/>
  <c r="H2174" i="5"/>
  <c r="G2174" i="5"/>
  <c r="F2174" i="5"/>
  <c r="E2174" i="5"/>
  <c r="D2174" i="5" a="1"/>
  <c r="D2174" i="5" s="1"/>
  <c r="B2174" i="5"/>
  <c r="N2173" i="5"/>
  <c r="H2173" i="5"/>
  <c r="G2173" i="5"/>
  <c r="F2173" i="5"/>
  <c r="E2173" i="5"/>
  <c r="D2173" i="5" a="1"/>
  <c r="D2173" i="5" s="1"/>
  <c r="B2173" i="5"/>
  <c r="N2172" i="5"/>
  <c r="H2172" i="5"/>
  <c r="G2172" i="5"/>
  <c r="F2172" i="5"/>
  <c r="E2172" i="5"/>
  <c r="D2172" i="5" a="1"/>
  <c r="D2172" i="5" s="1"/>
  <c r="B2172" i="5"/>
  <c r="N2171" i="5"/>
  <c r="H2171" i="5"/>
  <c r="G2171" i="5"/>
  <c r="F2171" i="5"/>
  <c r="E2171" i="5"/>
  <c r="D2171" i="5" a="1"/>
  <c r="D2171" i="5" s="1"/>
  <c r="B2171" i="5"/>
  <c r="N2170" i="5"/>
  <c r="H2170" i="5"/>
  <c r="G2170" i="5"/>
  <c r="F2170" i="5"/>
  <c r="E2170" i="5"/>
  <c r="D2170" i="5" a="1"/>
  <c r="D2170" i="5" s="1"/>
  <c r="B2170" i="5"/>
  <c r="N2169" i="5"/>
  <c r="H2169" i="5"/>
  <c r="G2169" i="5"/>
  <c r="F2169" i="5"/>
  <c r="E2169" i="5"/>
  <c r="D2169" i="5" a="1"/>
  <c r="D2169" i="5" s="1"/>
  <c r="B2169" i="5"/>
  <c r="N2168" i="5"/>
  <c r="H2168" i="5"/>
  <c r="G2168" i="5"/>
  <c r="F2168" i="5"/>
  <c r="E2168" i="5"/>
  <c r="D2168" i="5" a="1"/>
  <c r="D2168" i="5" s="1"/>
  <c r="B2168" i="5"/>
  <c r="N2167" i="5"/>
  <c r="H2167" i="5"/>
  <c r="G2167" i="5"/>
  <c r="F2167" i="5"/>
  <c r="E2167" i="5"/>
  <c r="D2167" i="5" a="1"/>
  <c r="D2167" i="5" s="1"/>
  <c r="B2167" i="5"/>
  <c r="N2166" i="5"/>
  <c r="H2166" i="5"/>
  <c r="G2166" i="5"/>
  <c r="F2166" i="5"/>
  <c r="E2166" i="5"/>
  <c r="D2166" i="5" a="1"/>
  <c r="D2166" i="5" s="1"/>
  <c r="B2166" i="5"/>
  <c r="N2165" i="5"/>
  <c r="H2165" i="5"/>
  <c r="G2165" i="5"/>
  <c r="F2165" i="5"/>
  <c r="E2165" i="5"/>
  <c r="D2165" i="5" a="1"/>
  <c r="D2165" i="5" s="1"/>
  <c r="B2165" i="5"/>
  <c r="N2164" i="5"/>
  <c r="H2164" i="5"/>
  <c r="G2164" i="5"/>
  <c r="F2164" i="5"/>
  <c r="E2164" i="5"/>
  <c r="D2164" i="5" a="1"/>
  <c r="D2164" i="5" s="1"/>
  <c r="B2164" i="5"/>
  <c r="N2163" i="5"/>
  <c r="H2163" i="5"/>
  <c r="G2163" i="5"/>
  <c r="F2163" i="5"/>
  <c r="E2163" i="5"/>
  <c r="D2163" i="5" a="1"/>
  <c r="D2163" i="5" s="1"/>
  <c r="B2163" i="5"/>
  <c r="N2162" i="5"/>
  <c r="H2162" i="5"/>
  <c r="G2162" i="5"/>
  <c r="F2162" i="5"/>
  <c r="E2162" i="5"/>
  <c r="D2162" i="5" a="1"/>
  <c r="D2162" i="5" s="1"/>
  <c r="B2162" i="5"/>
  <c r="N2161" i="5"/>
  <c r="H2161" i="5"/>
  <c r="G2161" i="5"/>
  <c r="F2161" i="5"/>
  <c r="E2161" i="5"/>
  <c r="D2161" i="5" a="1"/>
  <c r="D2161" i="5" s="1"/>
  <c r="B2161" i="5"/>
  <c r="N2160" i="5"/>
  <c r="H2160" i="5"/>
  <c r="G2160" i="5"/>
  <c r="F2160" i="5"/>
  <c r="E2160" i="5"/>
  <c r="D2160" i="5" a="1"/>
  <c r="D2160" i="5" s="1"/>
  <c r="B2160" i="5"/>
  <c r="N2159" i="5"/>
  <c r="H2159" i="5"/>
  <c r="G2159" i="5"/>
  <c r="F2159" i="5"/>
  <c r="E2159" i="5"/>
  <c r="D2159" i="5" a="1"/>
  <c r="D2159" i="5" s="1"/>
  <c r="B2159" i="5"/>
  <c r="N2158" i="5"/>
  <c r="H2158" i="5"/>
  <c r="G2158" i="5"/>
  <c r="F2158" i="5"/>
  <c r="E2158" i="5"/>
  <c r="D2158" i="5" a="1"/>
  <c r="D2158" i="5" s="1"/>
  <c r="B2158" i="5"/>
  <c r="N2157" i="5"/>
  <c r="H2157" i="5"/>
  <c r="G2157" i="5"/>
  <c r="F2157" i="5"/>
  <c r="E2157" i="5"/>
  <c r="D2157" i="5" a="1"/>
  <c r="D2157" i="5" s="1"/>
  <c r="B2157" i="5"/>
  <c r="N2156" i="5"/>
  <c r="H2156" i="5"/>
  <c r="G2156" i="5"/>
  <c r="F2156" i="5"/>
  <c r="E2156" i="5"/>
  <c r="D2156" i="5" a="1"/>
  <c r="D2156" i="5" s="1"/>
  <c r="B2156" i="5"/>
  <c r="N2155" i="5"/>
  <c r="H2155" i="5"/>
  <c r="G2155" i="5"/>
  <c r="F2155" i="5"/>
  <c r="E2155" i="5"/>
  <c r="D2155" i="5" a="1"/>
  <c r="D2155" i="5" s="1"/>
  <c r="B2155" i="5"/>
  <c r="N2154" i="5"/>
  <c r="H2154" i="5"/>
  <c r="G2154" i="5"/>
  <c r="F2154" i="5"/>
  <c r="E2154" i="5"/>
  <c r="D2154" i="5" a="1"/>
  <c r="D2154" i="5" s="1"/>
  <c r="B2154" i="5"/>
  <c r="N2153" i="5"/>
  <c r="H2153" i="5"/>
  <c r="G2153" i="5"/>
  <c r="F2153" i="5"/>
  <c r="E2153" i="5"/>
  <c r="D2153" i="5" a="1"/>
  <c r="D2153" i="5" s="1"/>
  <c r="B2153" i="5"/>
  <c r="N2152" i="5"/>
  <c r="H2152" i="5"/>
  <c r="G2152" i="5"/>
  <c r="F2152" i="5"/>
  <c r="E2152" i="5"/>
  <c r="D2152" i="5" a="1"/>
  <c r="D2152" i="5" s="1"/>
  <c r="B2152" i="5"/>
  <c r="N2151" i="5"/>
  <c r="H2151" i="5"/>
  <c r="G2151" i="5"/>
  <c r="F2151" i="5"/>
  <c r="E2151" i="5"/>
  <c r="D2151" i="5" a="1"/>
  <c r="D2151" i="5" s="1"/>
  <c r="B2151" i="5"/>
  <c r="N2150" i="5"/>
  <c r="H2150" i="5"/>
  <c r="G2150" i="5"/>
  <c r="F2150" i="5"/>
  <c r="E2150" i="5"/>
  <c r="D2150" i="5" a="1"/>
  <c r="D2150" i="5" s="1"/>
  <c r="B2150" i="5"/>
  <c r="N2149" i="5"/>
  <c r="H2149" i="5"/>
  <c r="G2149" i="5"/>
  <c r="F2149" i="5"/>
  <c r="E2149" i="5"/>
  <c r="D2149" i="5" a="1"/>
  <c r="D2149" i="5" s="1"/>
  <c r="B2149" i="5"/>
  <c r="N2148" i="5"/>
  <c r="H2148" i="5"/>
  <c r="G2148" i="5"/>
  <c r="F2148" i="5"/>
  <c r="E2148" i="5"/>
  <c r="D2148" i="5" a="1"/>
  <c r="D2148" i="5" s="1"/>
  <c r="B2148" i="5"/>
  <c r="N2147" i="5"/>
  <c r="H2147" i="5"/>
  <c r="G2147" i="5"/>
  <c r="F2147" i="5"/>
  <c r="E2147" i="5"/>
  <c r="D2147" i="5" a="1"/>
  <c r="D2147" i="5" s="1"/>
  <c r="B2147" i="5"/>
  <c r="N2146" i="5"/>
  <c r="H2146" i="5"/>
  <c r="G2146" i="5"/>
  <c r="F2146" i="5"/>
  <c r="E2146" i="5"/>
  <c r="D2146" i="5" a="1"/>
  <c r="D2146" i="5" s="1"/>
  <c r="B2146" i="5"/>
  <c r="N2145" i="5"/>
  <c r="H2145" i="5"/>
  <c r="G2145" i="5"/>
  <c r="F2145" i="5"/>
  <c r="E2145" i="5"/>
  <c r="D2145" i="5" a="1"/>
  <c r="D2145" i="5" s="1"/>
  <c r="B2145" i="5"/>
  <c r="N2144" i="5"/>
  <c r="H2144" i="5"/>
  <c r="G2144" i="5"/>
  <c r="F2144" i="5"/>
  <c r="E2144" i="5"/>
  <c r="D2144" i="5" a="1"/>
  <c r="D2144" i="5" s="1"/>
  <c r="B2144" i="5"/>
  <c r="N2143" i="5"/>
  <c r="H2143" i="5"/>
  <c r="G2143" i="5"/>
  <c r="F2143" i="5"/>
  <c r="E2143" i="5"/>
  <c r="D2143" i="5" a="1"/>
  <c r="D2143" i="5" s="1"/>
  <c r="B2143" i="5"/>
  <c r="N2142" i="5"/>
  <c r="H2142" i="5"/>
  <c r="G2142" i="5"/>
  <c r="F2142" i="5"/>
  <c r="E2142" i="5"/>
  <c r="D2142" i="5" a="1"/>
  <c r="D2142" i="5" s="1"/>
  <c r="B2142" i="5"/>
  <c r="N2141" i="5"/>
  <c r="H2141" i="5"/>
  <c r="G2141" i="5"/>
  <c r="F2141" i="5"/>
  <c r="E2141" i="5"/>
  <c r="D2141" i="5" a="1"/>
  <c r="D2141" i="5" s="1"/>
  <c r="B2141" i="5"/>
  <c r="N2140" i="5"/>
  <c r="H2140" i="5"/>
  <c r="G2140" i="5"/>
  <c r="F2140" i="5"/>
  <c r="E2140" i="5"/>
  <c r="D2140" i="5" a="1"/>
  <c r="D2140" i="5" s="1"/>
  <c r="B2140" i="5"/>
  <c r="N2139" i="5"/>
  <c r="H2139" i="5"/>
  <c r="G2139" i="5"/>
  <c r="F2139" i="5"/>
  <c r="E2139" i="5"/>
  <c r="D2139" i="5" a="1"/>
  <c r="D2139" i="5" s="1"/>
  <c r="B2139" i="5"/>
  <c r="N2138" i="5"/>
  <c r="H2138" i="5"/>
  <c r="G2138" i="5"/>
  <c r="F2138" i="5"/>
  <c r="E2138" i="5"/>
  <c r="D2138" i="5" a="1"/>
  <c r="D2138" i="5" s="1"/>
  <c r="B2138" i="5"/>
  <c r="N2137" i="5"/>
  <c r="H2137" i="5"/>
  <c r="G2137" i="5"/>
  <c r="F2137" i="5"/>
  <c r="E2137" i="5"/>
  <c r="D2137" i="5" a="1"/>
  <c r="D2137" i="5" s="1"/>
  <c r="B2137" i="5"/>
  <c r="N2136" i="5"/>
  <c r="H2136" i="5"/>
  <c r="G2136" i="5"/>
  <c r="F2136" i="5"/>
  <c r="E2136" i="5"/>
  <c r="D2136" i="5" a="1"/>
  <c r="D2136" i="5" s="1"/>
  <c r="B2136" i="5"/>
  <c r="N2135" i="5"/>
  <c r="H2135" i="5"/>
  <c r="G2135" i="5"/>
  <c r="F2135" i="5"/>
  <c r="E2135" i="5"/>
  <c r="D2135" i="5" a="1"/>
  <c r="D2135" i="5" s="1"/>
  <c r="B2135" i="5"/>
  <c r="N2134" i="5"/>
  <c r="H2134" i="5"/>
  <c r="G2134" i="5"/>
  <c r="F2134" i="5"/>
  <c r="E2134" i="5"/>
  <c r="D2134" i="5" a="1"/>
  <c r="D2134" i="5" s="1"/>
  <c r="B2134" i="5"/>
  <c r="N2133" i="5"/>
  <c r="H2133" i="5"/>
  <c r="G2133" i="5"/>
  <c r="F2133" i="5"/>
  <c r="E2133" i="5"/>
  <c r="D2133" i="5" a="1"/>
  <c r="D2133" i="5" s="1"/>
  <c r="B2133" i="5"/>
  <c r="N2132" i="5"/>
  <c r="H2132" i="5"/>
  <c r="G2132" i="5"/>
  <c r="F2132" i="5"/>
  <c r="E2132" i="5"/>
  <c r="D2132" i="5" a="1"/>
  <c r="D2132" i="5" s="1"/>
  <c r="B2132" i="5"/>
  <c r="N2131" i="5"/>
  <c r="H2131" i="5"/>
  <c r="G2131" i="5"/>
  <c r="F2131" i="5"/>
  <c r="E2131" i="5"/>
  <c r="D2131" i="5" a="1"/>
  <c r="D2131" i="5" s="1"/>
  <c r="B2131" i="5"/>
  <c r="N2130" i="5"/>
  <c r="H2130" i="5"/>
  <c r="G2130" i="5"/>
  <c r="F2130" i="5"/>
  <c r="E2130" i="5"/>
  <c r="D2130" i="5" a="1"/>
  <c r="D2130" i="5" s="1"/>
  <c r="B2130" i="5"/>
  <c r="N2129" i="5"/>
  <c r="H2129" i="5"/>
  <c r="G2129" i="5"/>
  <c r="F2129" i="5"/>
  <c r="E2129" i="5"/>
  <c r="D2129" i="5" a="1"/>
  <c r="D2129" i="5" s="1"/>
  <c r="B2129" i="5"/>
  <c r="N2128" i="5"/>
  <c r="H2128" i="5"/>
  <c r="G2128" i="5"/>
  <c r="F2128" i="5"/>
  <c r="E2128" i="5"/>
  <c r="D2128" i="5" a="1"/>
  <c r="D2128" i="5" s="1"/>
  <c r="B2128" i="5"/>
  <c r="N2127" i="5"/>
  <c r="H2127" i="5"/>
  <c r="G2127" i="5"/>
  <c r="F2127" i="5"/>
  <c r="E2127" i="5"/>
  <c r="D2127" i="5" a="1"/>
  <c r="D2127" i="5" s="1"/>
  <c r="B2127" i="5"/>
  <c r="N2126" i="5"/>
  <c r="H2126" i="5"/>
  <c r="G2126" i="5"/>
  <c r="F2126" i="5"/>
  <c r="E2126" i="5"/>
  <c r="D2126" i="5" a="1"/>
  <c r="D2126" i="5" s="1"/>
  <c r="B2126" i="5"/>
  <c r="N2125" i="5"/>
  <c r="H2125" i="5"/>
  <c r="G2125" i="5"/>
  <c r="F2125" i="5"/>
  <c r="E2125" i="5"/>
  <c r="D2125" i="5" a="1"/>
  <c r="D2125" i="5" s="1"/>
  <c r="B2125" i="5"/>
  <c r="N2124" i="5"/>
  <c r="H2124" i="5"/>
  <c r="G2124" i="5"/>
  <c r="F2124" i="5"/>
  <c r="E2124" i="5"/>
  <c r="D2124" i="5" a="1"/>
  <c r="D2124" i="5" s="1"/>
  <c r="B2124" i="5"/>
  <c r="N2123" i="5"/>
  <c r="H2123" i="5"/>
  <c r="G2123" i="5"/>
  <c r="F2123" i="5"/>
  <c r="E2123" i="5"/>
  <c r="D2123" i="5" a="1"/>
  <c r="D2123" i="5" s="1"/>
  <c r="B2123" i="5"/>
  <c r="N2122" i="5"/>
  <c r="H2122" i="5"/>
  <c r="G2122" i="5"/>
  <c r="F2122" i="5"/>
  <c r="E2122" i="5"/>
  <c r="D2122" i="5" a="1"/>
  <c r="D2122" i="5" s="1"/>
  <c r="B2122" i="5"/>
  <c r="N2121" i="5"/>
  <c r="H2121" i="5"/>
  <c r="G2121" i="5"/>
  <c r="F2121" i="5"/>
  <c r="E2121" i="5"/>
  <c r="D2121" i="5" a="1"/>
  <c r="D2121" i="5" s="1"/>
  <c r="B2121" i="5"/>
  <c r="N2120" i="5"/>
  <c r="H2120" i="5"/>
  <c r="G2120" i="5"/>
  <c r="F2120" i="5"/>
  <c r="E2120" i="5"/>
  <c r="D2120" i="5" a="1"/>
  <c r="D2120" i="5" s="1"/>
  <c r="B2120" i="5"/>
  <c r="N2119" i="5"/>
  <c r="H2119" i="5"/>
  <c r="G2119" i="5"/>
  <c r="F2119" i="5"/>
  <c r="E2119" i="5"/>
  <c r="D2119" i="5" a="1"/>
  <c r="D2119" i="5" s="1"/>
  <c r="B2119" i="5"/>
  <c r="N2118" i="5"/>
  <c r="H2118" i="5"/>
  <c r="G2118" i="5"/>
  <c r="F2118" i="5"/>
  <c r="E2118" i="5"/>
  <c r="D2118" i="5" a="1"/>
  <c r="D2118" i="5" s="1"/>
  <c r="B2118" i="5"/>
  <c r="N2117" i="5"/>
  <c r="H2117" i="5"/>
  <c r="G2117" i="5"/>
  <c r="F2117" i="5"/>
  <c r="E2117" i="5"/>
  <c r="D2117" i="5" a="1"/>
  <c r="D2117" i="5" s="1"/>
  <c r="B2117" i="5"/>
  <c r="N2116" i="5"/>
  <c r="H2116" i="5"/>
  <c r="G2116" i="5"/>
  <c r="F2116" i="5"/>
  <c r="E2116" i="5"/>
  <c r="D2116" i="5" a="1"/>
  <c r="D2116" i="5" s="1"/>
  <c r="B2116" i="5"/>
  <c r="N2115" i="5"/>
  <c r="H2115" i="5"/>
  <c r="G2115" i="5"/>
  <c r="F2115" i="5"/>
  <c r="E2115" i="5"/>
  <c r="D2115" i="5" a="1"/>
  <c r="D2115" i="5" s="1"/>
  <c r="B2115" i="5"/>
  <c r="N2114" i="5"/>
  <c r="H2114" i="5"/>
  <c r="G2114" i="5"/>
  <c r="F2114" i="5"/>
  <c r="E2114" i="5"/>
  <c r="D2114" i="5" a="1"/>
  <c r="D2114" i="5" s="1"/>
  <c r="B2114" i="5"/>
  <c r="N2113" i="5"/>
  <c r="H2113" i="5"/>
  <c r="G2113" i="5"/>
  <c r="F2113" i="5"/>
  <c r="E2113" i="5"/>
  <c r="D2113" i="5" a="1"/>
  <c r="D2113" i="5" s="1"/>
  <c r="B2113" i="5"/>
  <c r="N2112" i="5"/>
  <c r="H2112" i="5"/>
  <c r="G2112" i="5"/>
  <c r="F2112" i="5"/>
  <c r="E2112" i="5"/>
  <c r="D2112" i="5" a="1"/>
  <c r="D2112" i="5" s="1"/>
  <c r="B2112" i="5"/>
  <c r="N2111" i="5"/>
  <c r="H2111" i="5"/>
  <c r="G2111" i="5"/>
  <c r="F2111" i="5"/>
  <c r="E2111" i="5"/>
  <c r="D2111" i="5" a="1"/>
  <c r="D2111" i="5" s="1"/>
  <c r="B2111" i="5"/>
  <c r="N2110" i="5"/>
  <c r="H2110" i="5"/>
  <c r="G2110" i="5"/>
  <c r="F2110" i="5"/>
  <c r="E2110" i="5"/>
  <c r="D2110" i="5" a="1"/>
  <c r="D2110" i="5" s="1"/>
  <c r="B2110" i="5"/>
  <c r="N2109" i="5"/>
  <c r="H2109" i="5"/>
  <c r="G2109" i="5"/>
  <c r="F2109" i="5"/>
  <c r="E2109" i="5"/>
  <c r="D2109" i="5" a="1"/>
  <c r="D2109" i="5" s="1"/>
  <c r="B2109" i="5"/>
  <c r="N2108" i="5"/>
  <c r="H2108" i="5"/>
  <c r="G2108" i="5"/>
  <c r="F2108" i="5"/>
  <c r="E2108" i="5"/>
  <c r="D2108" i="5" a="1"/>
  <c r="D2108" i="5" s="1"/>
  <c r="B2108" i="5"/>
  <c r="N2107" i="5"/>
  <c r="H2107" i="5"/>
  <c r="G2107" i="5"/>
  <c r="F2107" i="5"/>
  <c r="E2107" i="5"/>
  <c r="D2107" i="5" a="1"/>
  <c r="D2107" i="5" s="1"/>
  <c r="B2107" i="5"/>
  <c r="N2106" i="5"/>
  <c r="H2106" i="5"/>
  <c r="G2106" i="5"/>
  <c r="F2106" i="5"/>
  <c r="E2106" i="5"/>
  <c r="D2106" i="5" a="1"/>
  <c r="D2106" i="5" s="1"/>
  <c r="B2106" i="5"/>
  <c r="N2105" i="5"/>
  <c r="H2105" i="5"/>
  <c r="G2105" i="5"/>
  <c r="F2105" i="5"/>
  <c r="E2105" i="5"/>
  <c r="D2105" i="5" a="1"/>
  <c r="D2105" i="5" s="1"/>
  <c r="B2105" i="5"/>
  <c r="N2104" i="5"/>
  <c r="H2104" i="5"/>
  <c r="G2104" i="5"/>
  <c r="F2104" i="5"/>
  <c r="E2104" i="5"/>
  <c r="D2104" i="5" a="1"/>
  <c r="D2104" i="5" s="1"/>
  <c r="B2104" i="5"/>
  <c r="N2103" i="5"/>
  <c r="H2103" i="5"/>
  <c r="G2103" i="5"/>
  <c r="F2103" i="5"/>
  <c r="E2103" i="5"/>
  <c r="D2103" i="5" a="1"/>
  <c r="D2103" i="5" s="1"/>
  <c r="B2103" i="5"/>
  <c r="N2102" i="5"/>
  <c r="H2102" i="5"/>
  <c r="G2102" i="5"/>
  <c r="F2102" i="5"/>
  <c r="E2102" i="5"/>
  <c r="D2102" i="5" a="1"/>
  <c r="D2102" i="5" s="1"/>
  <c r="B2102" i="5"/>
  <c r="N2101" i="5"/>
  <c r="H2101" i="5"/>
  <c r="G2101" i="5"/>
  <c r="F2101" i="5"/>
  <c r="E2101" i="5"/>
  <c r="D2101" i="5" a="1"/>
  <c r="D2101" i="5" s="1"/>
  <c r="B2101" i="5"/>
  <c r="N2100" i="5"/>
  <c r="H2100" i="5"/>
  <c r="G2100" i="5"/>
  <c r="F2100" i="5"/>
  <c r="E2100" i="5"/>
  <c r="D2100" i="5" a="1"/>
  <c r="D2100" i="5" s="1"/>
  <c r="B2100" i="5"/>
  <c r="N2099" i="5"/>
  <c r="H2099" i="5"/>
  <c r="G2099" i="5"/>
  <c r="F2099" i="5"/>
  <c r="E2099" i="5"/>
  <c r="D2099" i="5" a="1"/>
  <c r="D2099" i="5" s="1"/>
  <c r="B2099" i="5"/>
  <c r="N2098" i="5"/>
  <c r="H2098" i="5"/>
  <c r="G2098" i="5"/>
  <c r="F2098" i="5"/>
  <c r="E2098" i="5"/>
  <c r="D2098" i="5" a="1"/>
  <c r="D2098" i="5" s="1"/>
  <c r="B2098" i="5"/>
  <c r="N2097" i="5"/>
  <c r="H2097" i="5"/>
  <c r="G2097" i="5"/>
  <c r="F2097" i="5"/>
  <c r="E2097" i="5"/>
  <c r="D2097" i="5" a="1"/>
  <c r="D2097" i="5" s="1"/>
  <c r="B2097" i="5"/>
  <c r="N2096" i="5"/>
  <c r="H2096" i="5"/>
  <c r="G2096" i="5"/>
  <c r="F2096" i="5"/>
  <c r="E2096" i="5"/>
  <c r="D2096" i="5" a="1"/>
  <c r="D2096" i="5" s="1"/>
  <c r="B2096" i="5"/>
  <c r="N2095" i="5"/>
  <c r="H2095" i="5"/>
  <c r="G2095" i="5"/>
  <c r="F2095" i="5"/>
  <c r="E2095" i="5"/>
  <c r="D2095" i="5" a="1"/>
  <c r="D2095" i="5" s="1"/>
  <c r="B2095" i="5"/>
  <c r="N2094" i="5"/>
  <c r="H2094" i="5"/>
  <c r="G2094" i="5"/>
  <c r="F2094" i="5"/>
  <c r="E2094" i="5"/>
  <c r="D2094" i="5" a="1"/>
  <c r="D2094" i="5" s="1"/>
  <c r="B2094" i="5"/>
  <c r="N2093" i="5"/>
  <c r="H2093" i="5"/>
  <c r="G2093" i="5"/>
  <c r="F2093" i="5"/>
  <c r="E2093" i="5"/>
  <c r="D2093" i="5" a="1"/>
  <c r="D2093" i="5" s="1"/>
  <c r="B2093" i="5"/>
  <c r="N2092" i="5"/>
  <c r="H2092" i="5"/>
  <c r="G2092" i="5"/>
  <c r="F2092" i="5"/>
  <c r="E2092" i="5"/>
  <c r="D2092" i="5" a="1"/>
  <c r="D2092" i="5" s="1"/>
  <c r="B2092" i="5"/>
  <c r="N2091" i="5"/>
  <c r="H2091" i="5"/>
  <c r="G2091" i="5"/>
  <c r="F2091" i="5"/>
  <c r="E2091" i="5"/>
  <c r="D2091" i="5" a="1"/>
  <c r="D2091" i="5" s="1"/>
  <c r="B2091" i="5"/>
  <c r="N2090" i="5"/>
  <c r="H2090" i="5"/>
  <c r="G2090" i="5"/>
  <c r="F2090" i="5"/>
  <c r="E2090" i="5"/>
  <c r="D2090" i="5" a="1"/>
  <c r="D2090" i="5" s="1"/>
  <c r="B2090" i="5"/>
  <c r="N2089" i="5"/>
  <c r="H2089" i="5"/>
  <c r="G2089" i="5"/>
  <c r="F2089" i="5"/>
  <c r="E2089" i="5"/>
  <c r="D2089" i="5" a="1"/>
  <c r="D2089" i="5" s="1"/>
  <c r="B2089" i="5"/>
  <c r="N2088" i="5"/>
  <c r="H2088" i="5"/>
  <c r="G2088" i="5"/>
  <c r="F2088" i="5"/>
  <c r="E2088" i="5"/>
  <c r="D2088" i="5" a="1"/>
  <c r="D2088" i="5" s="1"/>
  <c r="B2088" i="5"/>
  <c r="N2087" i="5"/>
  <c r="H2087" i="5"/>
  <c r="G2087" i="5"/>
  <c r="F2087" i="5"/>
  <c r="E2087" i="5"/>
  <c r="D2087" i="5" a="1"/>
  <c r="D2087" i="5" s="1"/>
  <c r="B2087" i="5"/>
  <c r="N2086" i="5"/>
  <c r="H2086" i="5"/>
  <c r="G2086" i="5"/>
  <c r="F2086" i="5"/>
  <c r="E2086" i="5"/>
  <c r="D2086" i="5" a="1"/>
  <c r="D2086" i="5" s="1"/>
  <c r="B2086" i="5"/>
  <c r="N2085" i="5"/>
  <c r="H2085" i="5"/>
  <c r="G2085" i="5"/>
  <c r="F2085" i="5"/>
  <c r="E2085" i="5"/>
  <c r="D2085" i="5" a="1"/>
  <c r="D2085" i="5" s="1"/>
  <c r="B2085" i="5"/>
  <c r="N2084" i="5"/>
  <c r="H2084" i="5"/>
  <c r="G2084" i="5"/>
  <c r="F2084" i="5"/>
  <c r="E2084" i="5"/>
  <c r="D2084" i="5" a="1"/>
  <c r="D2084" i="5" s="1"/>
  <c r="B2084" i="5"/>
  <c r="N2083" i="5"/>
  <c r="H2083" i="5"/>
  <c r="G2083" i="5"/>
  <c r="F2083" i="5"/>
  <c r="E2083" i="5"/>
  <c r="D2083" i="5" a="1"/>
  <c r="D2083" i="5" s="1"/>
  <c r="B2083" i="5"/>
  <c r="N2082" i="5"/>
  <c r="H2082" i="5"/>
  <c r="G2082" i="5"/>
  <c r="F2082" i="5"/>
  <c r="E2082" i="5"/>
  <c r="D2082" i="5" a="1"/>
  <c r="D2082" i="5" s="1"/>
  <c r="B2082" i="5"/>
  <c r="N2081" i="5"/>
  <c r="H2081" i="5"/>
  <c r="G2081" i="5"/>
  <c r="F2081" i="5"/>
  <c r="E2081" i="5"/>
  <c r="D2081" i="5" a="1"/>
  <c r="D2081" i="5" s="1"/>
  <c r="B2081" i="5"/>
  <c r="N2080" i="5"/>
  <c r="H2080" i="5"/>
  <c r="G2080" i="5"/>
  <c r="F2080" i="5"/>
  <c r="E2080" i="5"/>
  <c r="D2080" i="5" a="1"/>
  <c r="D2080" i="5" s="1"/>
  <c r="B2080" i="5"/>
  <c r="N2079" i="5"/>
  <c r="H2079" i="5"/>
  <c r="G2079" i="5"/>
  <c r="F2079" i="5"/>
  <c r="E2079" i="5"/>
  <c r="D2079" i="5" a="1"/>
  <c r="D2079" i="5" s="1"/>
  <c r="B2079" i="5"/>
  <c r="N2078" i="5"/>
  <c r="H2078" i="5"/>
  <c r="G2078" i="5"/>
  <c r="F2078" i="5"/>
  <c r="E2078" i="5"/>
  <c r="D2078" i="5" a="1"/>
  <c r="D2078" i="5" s="1"/>
  <c r="B2078" i="5"/>
  <c r="N2077" i="5"/>
  <c r="H2077" i="5"/>
  <c r="G2077" i="5"/>
  <c r="F2077" i="5"/>
  <c r="E2077" i="5"/>
  <c r="D2077" i="5" a="1"/>
  <c r="D2077" i="5" s="1"/>
  <c r="B2077" i="5"/>
  <c r="N2076" i="5"/>
  <c r="H2076" i="5"/>
  <c r="G2076" i="5"/>
  <c r="F2076" i="5"/>
  <c r="E2076" i="5"/>
  <c r="D2076" i="5" a="1"/>
  <c r="D2076" i="5" s="1"/>
  <c r="B2076" i="5"/>
  <c r="N2075" i="5"/>
  <c r="H2075" i="5"/>
  <c r="G2075" i="5"/>
  <c r="F2075" i="5"/>
  <c r="E2075" i="5"/>
  <c r="D2075" i="5" a="1"/>
  <c r="D2075" i="5" s="1"/>
  <c r="B2075" i="5"/>
  <c r="N2074" i="5"/>
  <c r="H2074" i="5"/>
  <c r="G2074" i="5"/>
  <c r="F2074" i="5"/>
  <c r="E2074" i="5"/>
  <c r="D2074" i="5" a="1"/>
  <c r="D2074" i="5" s="1"/>
  <c r="B2074" i="5"/>
  <c r="N2073" i="5"/>
  <c r="H2073" i="5"/>
  <c r="G2073" i="5"/>
  <c r="F2073" i="5"/>
  <c r="E2073" i="5"/>
  <c r="D2073" i="5" a="1"/>
  <c r="D2073" i="5" s="1"/>
  <c r="B2073" i="5"/>
  <c r="N2072" i="5"/>
  <c r="H2072" i="5"/>
  <c r="G2072" i="5"/>
  <c r="F2072" i="5"/>
  <c r="E2072" i="5"/>
  <c r="D2072" i="5" a="1"/>
  <c r="D2072" i="5" s="1"/>
  <c r="B2072" i="5"/>
  <c r="N2071" i="5"/>
  <c r="H2071" i="5"/>
  <c r="G2071" i="5"/>
  <c r="F2071" i="5"/>
  <c r="E2071" i="5"/>
  <c r="D2071" i="5" a="1"/>
  <c r="D2071" i="5" s="1"/>
  <c r="B2071" i="5"/>
  <c r="N2070" i="5"/>
  <c r="H2070" i="5"/>
  <c r="G2070" i="5"/>
  <c r="F2070" i="5"/>
  <c r="E2070" i="5"/>
  <c r="D2070" i="5" a="1"/>
  <c r="D2070" i="5" s="1"/>
  <c r="B2070" i="5"/>
  <c r="N2069" i="5"/>
  <c r="H2069" i="5"/>
  <c r="G2069" i="5"/>
  <c r="F2069" i="5"/>
  <c r="E2069" i="5"/>
  <c r="D2069" i="5" a="1"/>
  <c r="D2069" i="5" s="1"/>
  <c r="B2069" i="5"/>
  <c r="N2068" i="5"/>
  <c r="H2068" i="5"/>
  <c r="G2068" i="5"/>
  <c r="F2068" i="5"/>
  <c r="E2068" i="5"/>
  <c r="D2068" i="5" a="1"/>
  <c r="D2068" i="5" s="1"/>
  <c r="B2068" i="5"/>
  <c r="N2067" i="5"/>
  <c r="H2067" i="5"/>
  <c r="G2067" i="5"/>
  <c r="F2067" i="5"/>
  <c r="E2067" i="5"/>
  <c r="D2067" i="5" a="1"/>
  <c r="D2067" i="5" s="1"/>
  <c r="B2067" i="5"/>
  <c r="N2066" i="5"/>
  <c r="H2066" i="5"/>
  <c r="G2066" i="5"/>
  <c r="F2066" i="5"/>
  <c r="E2066" i="5"/>
  <c r="D2066" i="5" a="1"/>
  <c r="D2066" i="5" s="1"/>
  <c r="B2066" i="5"/>
  <c r="N2065" i="5"/>
  <c r="H2065" i="5"/>
  <c r="G2065" i="5"/>
  <c r="F2065" i="5"/>
  <c r="E2065" i="5"/>
  <c r="D2065" i="5" a="1"/>
  <c r="D2065" i="5" s="1"/>
  <c r="B2065" i="5"/>
  <c r="N2064" i="5"/>
  <c r="H2064" i="5"/>
  <c r="G2064" i="5"/>
  <c r="F2064" i="5"/>
  <c r="E2064" i="5"/>
  <c r="D2064" i="5" a="1"/>
  <c r="D2064" i="5" s="1"/>
  <c r="B2064" i="5"/>
  <c r="N2063" i="5"/>
  <c r="H2063" i="5"/>
  <c r="G2063" i="5"/>
  <c r="F2063" i="5"/>
  <c r="E2063" i="5"/>
  <c r="D2063" i="5" a="1"/>
  <c r="D2063" i="5" s="1"/>
  <c r="B2063" i="5"/>
  <c r="N2062" i="5"/>
  <c r="H2062" i="5"/>
  <c r="G2062" i="5"/>
  <c r="F2062" i="5"/>
  <c r="E2062" i="5"/>
  <c r="D2062" i="5" a="1"/>
  <c r="D2062" i="5" s="1"/>
  <c r="B2062" i="5"/>
  <c r="N2061" i="5"/>
  <c r="H2061" i="5"/>
  <c r="G2061" i="5"/>
  <c r="F2061" i="5"/>
  <c r="E2061" i="5"/>
  <c r="D2061" i="5" a="1"/>
  <c r="D2061" i="5" s="1"/>
  <c r="B2061" i="5"/>
  <c r="N2060" i="5"/>
  <c r="H2060" i="5"/>
  <c r="G2060" i="5"/>
  <c r="F2060" i="5"/>
  <c r="E2060" i="5"/>
  <c r="D2060" i="5" a="1"/>
  <c r="D2060" i="5" s="1"/>
  <c r="B2060" i="5"/>
  <c r="N2059" i="5"/>
  <c r="H2059" i="5"/>
  <c r="G2059" i="5"/>
  <c r="F2059" i="5"/>
  <c r="E2059" i="5"/>
  <c r="D2059" i="5" a="1"/>
  <c r="D2059" i="5" s="1"/>
  <c r="B2059" i="5"/>
  <c r="N2058" i="5"/>
  <c r="H2058" i="5"/>
  <c r="G2058" i="5"/>
  <c r="F2058" i="5"/>
  <c r="E2058" i="5"/>
  <c r="D2058" i="5" a="1"/>
  <c r="D2058" i="5" s="1"/>
  <c r="B2058" i="5"/>
  <c r="N2057" i="5"/>
  <c r="H2057" i="5"/>
  <c r="G2057" i="5"/>
  <c r="F2057" i="5"/>
  <c r="E2057" i="5"/>
  <c r="D2057" i="5" a="1"/>
  <c r="D2057" i="5" s="1"/>
  <c r="B2057" i="5"/>
  <c r="N2056" i="5"/>
  <c r="H2056" i="5"/>
  <c r="G2056" i="5"/>
  <c r="F2056" i="5"/>
  <c r="E2056" i="5"/>
  <c r="D2056" i="5" a="1"/>
  <c r="D2056" i="5" s="1"/>
  <c r="B2056" i="5"/>
  <c r="N2055" i="5"/>
  <c r="H2055" i="5"/>
  <c r="G2055" i="5"/>
  <c r="F2055" i="5"/>
  <c r="E2055" i="5"/>
  <c r="D2055" i="5" a="1"/>
  <c r="D2055" i="5" s="1"/>
  <c r="B2055" i="5"/>
  <c r="N2054" i="5"/>
  <c r="H2054" i="5"/>
  <c r="G2054" i="5"/>
  <c r="F2054" i="5"/>
  <c r="E2054" i="5"/>
  <c r="D2054" i="5" a="1"/>
  <c r="D2054" i="5" s="1"/>
  <c r="B2054" i="5"/>
  <c r="N2053" i="5"/>
  <c r="H2053" i="5"/>
  <c r="G2053" i="5"/>
  <c r="F2053" i="5"/>
  <c r="E2053" i="5"/>
  <c r="D2053" i="5" a="1"/>
  <c r="D2053" i="5" s="1"/>
  <c r="B2053" i="5"/>
  <c r="N2052" i="5"/>
  <c r="H2052" i="5"/>
  <c r="G2052" i="5"/>
  <c r="F2052" i="5"/>
  <c r="E2052" i="5"/>
  <c r="D2052" i="5" a="1"/>
  <c r="D2052" i="5" s="1"/>
  <c r="B2052" i="5"/>
  <c r="N2051" i="5"/>
  <c r="H2051" i="5"/>
  <c r="G2051" i="5"/>
  <c r="F2051" i="5"/>
  <c r="E2051" i="5"/>
  <c r="D2051" i="5" a="1"/>
  <c r="D2051" i="5" s="1"/>
  <c r="B2051" i="5"/>
  <c r="N2050" i="5"/>
  <c r="H2050" i="5"/>
  <c r="G2050" i="5"/>
  <c r="F2050" i="5"/>
  <c r="E2050" i="5"/>
  <c r="D2050" i="5" a="1"/>
  <c r="D2050" i="5" s="1"/>
  <c r="B2050" i="5"/>
  <c r="N2049" i="5"/>
  <c r="H2049" i="5"/>
  <c r="G2049" i="5"/>
  <c r="F2049" i="5"/>
  <c r="E2049" i="5"/>
  <c r="D2049" i="5" a="1"/>
  <c r="D2049" i="5" s="1"/>
  <c r="B2049" i="5"/>
  <c r="N2048" i="5"/>
  <c r="H2048" i="5"/>
  <c r="G2048" i="5"/>
  <c r="F2048" i="5"/>
  <c r="E2048" i="5"/>
  <c r="D2048" i="5" a="1"/>
  <c r="D2048" i="5" s="1"/>
  <c r="B2048" i="5"/>
  <c r="N2047" i="5"/>
  <c r="H2047" i="5"/>
  <c r="G2047" i="5"/>
  <c r="F2047" i="5"/>
  <c r="E2047" i="5"/>
  <c r="D2047" i="5" a="1"/>
  <c r="D2047" i="5" s="1"/>
  <c r="B2047" i="5"/>
  <c r="N2046" i="5"/>
  <c r="H2046" i="5"/>
  <c r="G2046" i="5"/>
  <c r="F2046" i="5"/>
  <c r="E2046" i="5"/>
  <c r="D2046" i="5" a="1"/>
  <c r="D2046" i="5" s="1"/>
  <c r="B2046" i="5"/>
  <c r="N2045" i="5"/>
  <c r="H2045" i="5"/>
  <c r="G2045" i="5"/>
  <c r="F2045" i="5"/>
  <c r="E2045" i="5"/>
  <c r="D2045" i="5" a="1"/>
  <c r="D2045" i="5" s="1"/>
  <c r="B2045" i="5"/>
  <c r="N2044" i="5"/>
  <c r="H2044" i="5"/>
  <c r="G2044" i="5"/>
  <c r="F2044" i="5"/>
  <c r="E2044" i="5"/>
  <c r="D2044" i="5" a="1"/>
  <c r="D2044" i="5" s="1"/>
  <c r="B2044" i="5"/>
  <c r="N2043" i="5"/>
  <c r="H2043" i="5"/>
  <c r="G2043" i="5"/>
  <c r="F2043" i="5"/>
  <c r="E2043" i="5"/>
  <c r="D2043" i="5" a="1"/>
  <c r="D2043" i="5" s="1"/>
  <c r="B2043" i="5"/>
  <c r="N2042" i="5"/>
  <c r="H2042" i="5"/>
  <c r="G2042" i="5"/>
  <c r="F2042" i="5"/>
  <c r="E2042" i="5"/>
  <c r="D2042" i="5" a="1"/>
  <c r="D2042" i="5" s="1"/>
  <c r="B2042" i="5"/>
  <c r="N2041" i="5"/>
  <c r="H2041" i="5"/>
  <c r="G2041" i="5"/>
  <c r="F2041" i="5"/>
  <c r="E2041" i="5"/>
  <c r="D2041" i="5" a="1"/>
  <c r="D2041" i="5" s="1"/>
  <c r="B2041" i="5"/>
  <c r="N2040" i="5"/>
  <c r="H2040" i="5"/>
  <c r="G2040" i="5"/>
  <c r="F2040" i="5"/>
  <c r="E2040" i="5"/>
  <c r="D2040" i="5" a="1"/>
  <c r="D2040" i="5" s="1"/>
  <c r="B2040" i="5"/>
  <c r="N2039" i="5"/>
  <c r="H2039" i="5"/>
  <c r="G2039" i="5"/>
  <c r="F2039" i="5"/>
  <c r="E2039" i="5"/>
  <c r="D2039" i="5" a="1"/>
  <c r="D2039" i="5" s="1"/>
  <c r="B2039" i="5"/>
  <c r="N2038" i="5"/>
  <c r="H2038" i="5"/>
  <c r="G2038" i="5"/>
  <c r="F2038" i="5"/>
  <c r="E2038" i="5"/>
  <c r="D2038" i="5" a="1"/>
  <c r="D2038" i="5" s="1"/>
  <c r="B2038" i="5"/>
  <c r="N2037" i="5"/>
  <c r="H2037" i="5"/>
  <c r="G2037" i="5"/>
  <c r="F2037" i="5"/>
  <c r="E2037" i="5"/>
  <c r="D2037" i="5" a="1"/>
  <c r="D2037" i="5" s="1"/>
  <c r="B2037" i="5"/>
  <c r="N2036" i="5"/>
  <c r="H2036" i="5"/>
  <c r="G2036" i="5"/>
  <c r="F2036" i="5"/>
  <c r="E2036" i="5"/>
  <c r="D2036" i="5" a="1"/>
  <c r="D2036" i="5" s="1"/>
  <c r="B2036" i="5"/>
  <c r="N2035" i="5"/>
  <c r="H2035" i="5"/>
  <c r="G2035" i="5"/>
  <c r="F2035" i="5"/>
  <c r="E2035" i="5"/>
  <c r="D2035" i="5" a="1"/>
  <c r="D2035" i="5" s="1"/>
  <c r="B2035" i="5"/>
  <c r="N2034" i="5"/>
  <c r="H2034" i="5"/>
  <c r="G2034" i="5"/>
  <c r="F2034" i="5"/>
  <c r="E2034" i="5"/>
  <c r="D2034" i="5" a="1"/>
  <c r="D2034" i="5" s="1"/>
  <c r="B2034" i="5"/>
  <c r="N2033" i="5"/>
  <c r="H2033" i="5"/>
  <c r="G2033" i="5"/>
  <c r="F2033" i="5"/>
  <c r="E2033" i="5"/>
  <c r="D2033" i="5" a="1"/>
  <c r="D2033" i="5" s="1"/>
  <c r="B2033" i="5"/>
  <c r="N2032" i="5"/>
  <c r="H2032" i="5"/>
  <c r="G2032" i="5"/>
  <c r="F2032" i="5"/>
  <c r="E2032" i="5"/>
  <c r="D2032" i="5" a="1"/>
  <c r="D2032" i="5" s="1"/>
  <c r="B2032" i="5"/>
  <c r="N2031" i="5"/>
  <c r="H2031" i="5"/>
  <c r="G2031" i="5"/>
  <c r="F2031" i="5"/>
  <c r="E2031" i="5"/>
  <c r="D2031" i="5" a="1"/>
  <c r="D2031" i="5" s="1"/>
  <c r="B2031" i="5"/>
  <c r="N2030" i="5"/>
  <c r="H2030" i="5"/>
  <c r="G2030" i="5"/>
  <c r="F2030" i="5"/>
  <c r="E2030" i="5"/>
  <c r="D2030" i="5" a="1"/>
  <c r="D2030" i="5" s="1"/>
  <c r="B2030" i="5"/>
  <c r="N2029" i="5"/>
  <c r="H2029" i="5"/>
  <c r="G2029" i="5"/>
  <c r="F2029" i="5"/>
  <c r="E2029" i="5"/>
  <c r="D2029" i="5" a="1"/>
  <c r="D2029" i="5" s="1"/>
  <c r="B2029" i="5"/>
  <c r="N2028" i="5"/>
  <c r="H2028" i="5"/>
  <c r="G2028" i="5"/>
  <c r="F2028" i="5"/>
  <c r="E2028" i="5"/>
  <c r="D2028" i="5" a="1"/>
  <c r="D2028" i="5" s="1"/>
  <c r="B2028" i="5"/>
  <c r="N2027" i="5"/>
  <c r="H2027" i="5"/>
  <c r="G2027" i="5"/>
  <c r="F2027" i="5"/>
  <c r="E2027" i="5"/>
  <c r="D2027" i="5" a="1"/>
  <c r="D2027" i="5" s="1"/>
  <c r="B2027" i="5"/>
  <c r="N2026" i="5"/>
  <c r="H2026" i="5"/>
  <c r="G2026" i="5"/>
  <c r="F2026" i="5"/>
  <c r="E2026" i="5"/>
  <c r="D2026" i="5" a="1"/>
  <c r="D2026" i="5" s="1"/>
  <c r="B2026" i="5"/>
  <c r="N2025" i="5"/>
  <c r="H2025" i="5"/>
  <c r="G2025" i="5"/>
  <c r="F2025" i="5"/>
  <c r="E2025" i="5"/>
  <c r="D2025" i="5" a="1"/>
  <c r="D2025" i="5" s="1"/>
  <c r="B2025" i="5"/>
  <c r="N2024" i="5"/>
  <c r="H2024" i="5"/>
  <c r="G2024" i="5"/>
  <c r="F2024" i="5"/>
  <c r="E2024" i="5"/>
  <c r="D2024" i="5" a="1"/>
  <c r="D2024" i="5" s="1"/>
  <c r="B2024" i="5"/>
  <c r="N2023" i="5"/>
  <c r="H2023" i="5"/>
  <c r="G2023" i="5"/>
  <c r="F2023" i="5"/>
  <c r="E2023" i="5"/>
  <c r="D2023" i="5" a="1"/>
  <c r="D2023" i="5" s="1"/>
  <c r="B2023" i="5"/>
  <c r="N2022" i="5"/>
  <c r="H2022" i="5"/>
  <c r="G2022" i="5"/>
  <c r="F2022" i="5"/>
  <c r="E2022" i="5"/>
  <c r="D2022" i="5" a="1"/>
  <c r="D2022" i="5" s="1"/>
  <c r="B2022" i="5"/>
  <c r="N2021" i="5"/>
  <c r="H2021" i="5"/>
  <c r="G2021" i="5"/>
  <c r="F2021" i="5"/>
  <c r="E2021" i="5"/>
  <c r="D2021" i="5" a="1"/>
  <c r="D2021" i="5" s="1"/>
  <c r="B2021" i="5"/>
  <c r="N2020" i="5"/>
  <c r="H2020" i="5"/>
  <c r="G2020" i="5"/>
  <c r="F2020" i="5"/>
  <c r="E2020" i="5"/>
  <c r="D2020" i="5" a="1"/>
  <c r="D2020" i="5" s="1"/>
  <c r="B2020" i="5"/>
  <c r="N2019" i="5"/>
  <c r="H2019" i="5"/>
  <c r="G2019" i="5"/>
  <c r="F2019" i="5"/>
  <c r="E2019" i="5"/>
  <c r="D2019" i="5" a="1"/>
  <c r="D2019" i="5" s="1"/>
  <c r="B2019" i="5"/>
  <c r="N2018" i="5"/>
  <c r="H2018" i="5"/>
  <c r="G2018" i="5"/>
  <c r="F2018" i="5"/>
  <c r="E2018" i="5"/>
  <c r="D2018" i="5" a="1"/>
  <c r="D2018" i="5" s="1"/>
  <c r="B2018" i="5"/>
  <c r="N2017" i="5"/>
  <c r="H2017" i="5"/>
  <c r="G2017" i="5"/>
  <c r="F2017" i="5"/>
  <c r="E2017" i="5"/>
  <c r="D2017" i="5" a="1"/>
  <c r="D2017" i="5" s="1"/>
  <c r="B2017" i="5"/>
  <c r="N2016" i="5"/>
  <c r="H2016" i="5"/>
  <c r="G2016" i="5"/>
  <c r="F2016" i="5"/>
  <c r="E2016" i="5"/>
  <c r="D2016" i="5" a="1"/>
  <c r="D2016" i="5" s="1"/>
  <c r="B2016" i="5"/>
  <c r="N2015" i="5"/>
  <c r="H2015" i="5"/>
  <c r="G2015" i="5"/>
  <c r="F2015" i="5"/>
  <c r="E2015" i="5"/>
  <c r="D2015" i="5" a="1"/>
  <c r="D2015" i="5" s="1"/>
  <c r="B2015" i="5"/>
  <c r="N2014" i="5"/>
  <c r="H2014" i="5"/>
  <c r="G2014" i="5"/>
  <c r="F2014" i="5"/>
  <c r="E2014" i="5"/>
  <c r="D2014" i="5" a="1"/>
  <c r="D2014" i="5" s="1"/>
  <c r="B2014" i="5"/>
  <c r="N2013" i="5"/>
  <c r="H2013" i="5"/>
  <c r="G2013" i="5"/>
  <c r="F2013" i="5"/>
  <c r="E2013" i="5"/>
  <c r="D2013" i="5" a="1"/>
  <c r="D2013" i="5" s="1"/>
  <c r="B2013" i="5"/>
  <c r="N2012" i="5"/>
  <c r="H2012" i="5"/>
  <c r="G2012" i="5"/>
  <c r="F2012" i="5"/>
  <c r="E2012" i="5"/>
  <c r="D2012" i="5" a="1"/>
  <c r="D2012" i="5" s="1"/>
  <c r="B2012" i="5"/>
  <c r="N2011" i="5"/>
  <c r="H2011" i="5"/>
  <c r="G2011" i="5"/>
  <c r="F2011" i="5"/>
  <c r="E2011" i="5"/>
  <c r="D2011" i="5" a="1"/>
  <c r="D2011" i="5" s="1"/>
  <c r="B2011" i="5"/>
  <c r="N2010" i="5"/>
  <c r="H2010" i="5"/>
  <c r="G2010" i="5"/>
  <c r="F2010" i="5"/>
  <c r="E2010" i="5"/>
  <c r="D2010" i="5" a="1"/>
  <c r="D2010" i="5" s="1"/>
  <c r="B2010" i="5"/>
  <c r="N2009" i="5"/>
  <c r="H2009" i="5"/>
  <c r="G2009" i="5"/>
  <c r="F2009" i="5"/>
  <c r="E2009" i="5"/>
  <c r="D2009" i="5" a="1"/>
  <c r="D2009" i="5" s="1"/>
  <c r="B2009" i="5"/>
  <c r="N2008" i="5"/>
  <c r="H2008" i="5"/>
  <c r="G2008" i="5"/>
  <c r="F2008" i="5"/>
  <c r="E2008" i="5"/>
  <c r="D2008" i="5" a="1"/>
  <c r="D2008" i="5" s="1"/>
  <c r="B2008" i="5"/>
  <c r="N2007" i="5"/>
  <c r="H2007" i="5"/>
  <c r="G2007" i="5"/>
  <c r="F2007" i="5"/>
  <c r="E2007" i="5"/>
  <c r="D2007" i="5" a="1"/>
  <c r="D2007" i="5" s="1"/>
  <c r="B2007" i="5"/>
  <c r="N2006" i="5"/>
  <c r="H2006" i="5"/>
  <c r="G2006" i="5"/>
  <c r="F2006" i="5"/>
  <c r="E2006" i="5"/>
  <c r="D2006" i="5" a="1"/>
  <c r="D2006" i="5" s="1"/>
  <c r="B2006" i="5"/>
  <c r="N2005" i="5"/>
  <c r="H2005" i="5"/>
  <c r="G2005" i="5"/>
  <c r="F2005" i="5"/>
  <c r="E2005" i="5"/>
  <c r="D2005" i="5" a="1"/>
  <c r="D2005" i="5" s="1"/>
  <c r="B2005" i="5"/>
  <c r="N2004" i="5"/>
  <c r="H2004" i="5"/>
  <c r="G2004" i="5"/>
  <c r="F2004" i="5"/>
  <c r="E2004" i="5"/>
  <c r="D2004" i="5" a="1"/>
  <c r="D2004" i="5" s="1"/>
  <c r="B2004" i="5"/>
  <c r="N2003" i="5"/>
  <c r="H2003" i="5"/>
  <c r="G2003" i="5"/>
  <c r="F2003" i="5"/>
  <c r="E2003" i="5"/>
  <c r="D2003" i="5" a="1"/>
  <c r="D2003" i="5" s="1"/>
  <c r="B2003" i="5"/>
  <c r="N2002" i="5"/>
  <c r="H2002" i="5"/>
  <c r="G2002" i="5"/>
  <c r="F2002" i="5"/>
  <c r="E2002" i="5"/>
  <c r="D2002" i="5" a="1"/>
  <c r="D2002" i="5" s="1"/>
  <c r="B2002" i="5"/>
  <c r="N2001" i="5"/>
  <c r="H2001" i="5"/>
  <c r="G2001" i="5"/>
  <c r="F2001" i="5"/>
  <c r="E2001" i="5"/>
  <c r="D2001" i="5" a="1"/>
  <c r="D2001" i="5" s="1"/>
  <c r="B2001" i="5"/>
  <c r="N2000" i="5"/>
  <c r="H2000" i="5"/>
  <c r="G2000" i="5"/>
  <c r="F2000" i="5"/>
  <c r="E2000" i="5"/>
  <c r="D2000" i="5" a="1"/>
  <c r="D2000" i="5" s="1"/>
  <c r="B2000" i="5"/>
  <c r="N1999" i="5"/>
  <c r="H1999" i="5"/>
  <c r="G1999" i="5"/>
  <c r="F1999" i="5"/>
  <c r="E1999" i="5"/>
  <c r="D1999" i="5" a="1"/>
  <c r="D1999" i="5" s="1"/>
  <c r="B1999" i="5"/>
  <c r="N1998" i="5"/>
  <c r="H1998" i="5"/>
  <c r="G1998" i="5"/>
  <c r="F1998" i="5"/>
  <c r="E1998" i="5"/>
  <c r="D1998" i="5" a="1"/>
  <c r="D1998" i="5" s="1"/>
  <c r="B1998" i="5"/>
  <c r="N1997" i="5"/>
  <c r="H1997" i="5"/>
  <c r="G1997" i="5"/>
  <c r="F1997" i="5"/>
  <c r="E1997" i="5"/>
  <c r="D1997" i="5" a="1"/>
  <c r="D1997" i="5" s="1"/>
  <c r="B1997" i="5"/>
  <c r="N1996" i="5"/>
  <c r="H1996" i="5"/>
  <c r="G1996" i="5"/>
  <c r="F1996" i="5"/>
  <c r="E1996" i="5"/>
  <c r="D1996" i="5" a="1"/>
  <c r="D1996" i="5" s="1"/>
  <c r="B1996" i="5"/>
  <c r="N1995" i="5"/>
  <c r="H1995" i="5"/>
  <c r="G1995" i="5"/>
  <c r="F1995" i="5"/>
  <c r="E1995" i="5"/>
  <c r="D1995" i="5" a="1"/>
  <c r="D1995" i="5" s="1"/>
  <c r="B1995" i="5"/>
  <c r="N1994" i="5"/>
  <c r="H1994" i="5"/>
  <c r="G1994" i="5"/>
  <c r="F1994" i="5"/>
  <c r="E1994" i="5"/>
  <c r="D1994" i="5" a="1"/>
  <c r="D1994" i="5" s="1"/>
  <c r="B1994" i="5"/>
  <c r="N1993" i="5"/>
  <c r="H1993" i="5"/>
  <c r="G1993" i="5"/>
  <c r="F1993" i="5"/>
  <c r="E1993" i="5"/>
  <c r="D1993" i="5" a="1"/>
  <c r="D1993" i="5" s="1"/>
  <c r="B1993" i="5"/>
  <c r="N1992" i="5"/>
  <c r="H1992" i="5"/>
  <c r="G1992" i="5"/>
  <c r="F1992" i="5"/>
  <c r="E1992" i="5"/>
  <c r="D1992" i="5" a="1"/>
  <c r="D1992" i="5" s="1"/>
  <c r="B1992" i="5"/>
  <c r="N1991" i="5"/>
  <c r="H1991" i="5"/>
  <c r="G1991" i="5"/>
  <c r="F1991" i="5"/>
  <c r="E1991" i="5"/>
  <c r="D1991" i="5" a="1"/>
  <c r="D1991" i="5" s="1"/>
  <c r="B1991" i="5"/>
  <c r="N1990" i="5"/>
  <c r="H1990" i="5"/>
  <c r="G1990" i="5"/>
  <c r="F1990" i="5"/>
  <c r="E1990" i="5"/>
  <c r="D1990" i="5" a="1"/>
  <c r="D1990" i="5" s="1"/>
  <c r="B1990" i="5"/>
  <c r="N1989" i="5"/>
  <c r="H1989" i="5"/>
  <c r="G1989" i="5"/>
  <c r="F1989" i="5"/>
  <c r="E1989" i="5"/>
  <c r="D1989" i="5" a="1"/>
  <c r="D1989" i="5" s="1"/>
  <c r="B1989" i="5"/>
  <c r="N1988" i="5"/>
  <c r="H1988" i="5"/>
  <c r="G1988" i="5"/>
  <c r="F1988" i="5"/>
  <c r="E1988" i="5"/>
  <c r="D1988" i="5" a="1"/>
  <c r="D1988" i="5" s="1"/>
  <c r="B1988" i="5"/>
  <c r="N1987" i="5"/>
  <c r="H1987" i="5"/>
  <c r="G1987" i="5"/>
  <c r="F1987" i="5"/>
  <c r="E1987" i="5"/>
  <c r="D1987" i="5" a="1"/>
  <c r="D1987" i="5" s="1"/>
  <c r="B1987" i="5"/>
  <c r="N1986" i="5"/>
  <c r="H1986" i="5"/>
  <c r="G1986" i="5"/>
  <c r="F1986" i="5"/>
  <c r="E1986" i="5"/>
  <c r="D1986" i="5" a="1"/>
  <c r="D1986" i="5" s="1"/>
  <c r="B1986" i="5"/>
  <c r="N1985" i="5"/>
  <c r="H1985" i="5"/>
  <c r="G1985" i="5"/>
  <c r="F1985" i="5"/>
  <c r="E1985" i="5"/>
  <c r="D1985" i="5" a="1"/>
  <c r="D1985" i="5" s="1"/>
  <c r="B1985" i="5"/>
  <c r="N1984" i="5"/>
  <c r="H1984" i="5"/>
  <c r="G1984" i="5"/>
  <c r="F1984" i="5"/>
  <c r="E1984" i="5"/>
  <c r="D1984" i="5" a="1"/>
  <c r="D1984" i="5" s="1"/>
  <c r="B1984" i="5"/>
  <c r="N1983" i="5"/>
  <c r="H1983" i="5"/>
  <c r="G1983" i="5"/>
  <c r="F1983" i="5"/>
  <c r="E1983" i="5"/>
  <c r="D1983" i="5" a="1"/>
  <c r="D1983" i="5" s="1"/>
  <c r="B1983" i="5"/>
  <c r="N1982" i="5"/>
  <c r="H1982" i="5"/>
  <c r="G1982" i="5"/>
  <c r="F1982" i="5"/>
  <c r="E1982" i="5"/>
  <c r="D1982" i="5" a="1"/>
  <c r="D1982" i="5" s="1"/>
  <c r="B1982" i="5"/>
  <c r="N1981" i="5"/>
  <c r="H1981" i="5"/>
  <c r="G1981" i="5"/>
  <c r="F1981" i="5"/>
  <c r="E1981" i="5"/>
  <c r="D1981" i="5" a="1"/>
  <c r="D1981" i="5" s="1"/>
  <c r="B1981" i="5"/>
  <c r="N1980" i="5"/>
  <c r="H1980" i="5"/>
  <c r="G1980" i="5"/>
  <c r="F1980" i="5"/>
  <c r="E1980" i="5"/>
  <c r="D1980" i="5" a="1"/>
  <c r="D1980" i="5" s="1"/>
  <c r="B1980" i="5"/>
  <c r="N1979" i="5"/>
  <c r="H1979" i="5"/>
  <c r="G1979" i="5"/>
  <c r="F1979" i="5"/>
  <c r="E1979" i="5"/>
  <c r="D1979" i="5" a="1"/>
  <c r="D1979" i="5" s="1"/>
  <c r="B1979" i="5"/>
  <c r="N1978" i="5"/>
  <c r="H1978" i="5"/>
  <c r="G1978" i="5"/>
  <c r="F1978" i="5"/>
  <c r="E1978" i="5"/>
  <c r="D1978" i="5" a="1"/>
  <c r="D1978" i="5" s="1"/>
  <c r="B1978" i="5"/>
  <c r="N1977" i="5"/>
  <c r="H1977" i="5"/>
  <c r="G1977" i="5"/>
  <c r="F1977" i="5"/>
  <c r="E1977" i="5"/>
  <c r="D1977" i="5" a="1"/>
  <c r="D1977" i="5" s="1"/>
  <c r="B1977" i="5"/>
  <c r="N1976" i="5"/>
  <c r="H1976" i="5"/>
  <c r="G1976" i="5"/>
  <c r="F1976" i="5"/>
  <c r="E1976" i="5"/>
  <c r="D1976" i="5" a="1"/>
  <c r="D1976" i="5" s="1"/>
  <c r="B1976" i="5"/>
  <c r="N1975" i="5"/>
  <c r="H1975" i="5"/>
  <c r="G1975" i="5"/>
  <c r="F1975" i="5"/>
  <c r="E1975" i="5"/>
  <c r="D1975" i="5" a="1"/>
  <c r="D1975" i="5" s="1"/>
  <c r="B1975" i="5"/>
  <c r="N1974" i="5"/>
  <c r="H1974" i="5"/>
  <c r="G1974" i="5"/>
  <c r="F1974" i="5"/>
  <c r="E1974" i="5"/>
  <c r="D1974" i="5" a="1"/>
  <c r="D1974" i="5" s="1"/>
  <c r="B1974" i="5"/>
  <c r="N1973" i="5"/>
  <c r="H1973" i="5"/>
  <c r="G1973" i="5"/>
  <c r="F1973" i="5"/>
  <c r="E1973" i="5"/>
  <c r="D1973" i="5" a="1"/>
  <c r="D1973" i="5" s="1"/>
  <c r="B1973" i="5"/>
  <c r="N1972" i="5"/>
  <c r="H1972" i="5"/>
  <c r="G1972" i="5"/>
  <c r="F1972" i="5"/>
  <c r="E1972" i="5"/>
  <c r="D1972" i="5" a="1"/>
  <c r="D1972" i="5" s="1"/>
  <c r="B1972" i="5"/>
  <c r="N1971" i="5"/>
  <c r="H1971" i="5"/>
  <c r="G1971" i="5"/>
  <c r="F1971" i="5"/>
  <c r="E1971" i="5"/>
  <c r="D1971" i="5" a="1"/>
  <c r="D1971" i="5" s="1"/>
  <c r="B1971" i="5"/>
  <c r="N1970" i="5"/>
  <c r="H1970" i="5"/>
  <c r="G1970" i="5"/>
  <c r="F1970" i="5"/>
  <c r="E1970" i="5"/>
  <c r="D1970" i="5" a="1"/>
  <c r="D1970" i="5" s="1"/>
  <c r="B1970" i="5"/>
  <c r="N1969" i="5"/>
  <c r="H1969" i="5"/>
  <c r="G1969" i="5"/>
  <c r="F1969" i="5"/>
  <c r="E1969" i="5"/>
  <c r="D1969" i="5" a="1"/>
  <c r="D1969" i="5" s="1"/>
  <c r="B1969" i="5"/>
  <c r="N1968" i="5"/>
  <c r="H1968" i="5"/>
  <c r="G1968" i="5"/>
  <c r="F1968" i="5"/>
  <c r="E1968" i="5"/>
  <c r="D1968" i="5" a="1"/>
  <c r="D1968" i="5" s="1"/>
  <c r="B1968" i="5"/>
  <c r="N1967" i="5"/>
  <c r="H1967" i="5"/>
  <c r="G1967" i="5"/>
  <c r="F1967" i="5"/>
  <c r="E1967" i="5"/>
  <c r="D1967" i="5" a="1"/>
  <c r="D1967" i="5" s="1"/>
  <c r="B1967" i="5"/>
  <c r="N1966" i="5"/>
  <c r="H1966" i="5"/>
  <c r="G1966" i="5"/>
  <c r="F1966" i="5"/>
  <c r="E1966" i="5"/>
  <c r="D1966" i="5" a="1"/>
  <c r="D1966" i="5" s="1"/>
  <c r="B1966" i="5"/>
  <c r="N1965" i="5"/>
  <c r="H1965" i="5"/>
  <c r="G1965" i="5"/>
  <c r="F1965" i="5"/>
  <c r="E1965" i="5"/>
  <c r="D1965" i="5" a="1"/>
  <c r="D1965" i="5" s="1"/>
  <c r="B1965" i="5"/>
  <c r="N1964" i="5"/>
  <c r="H1964" i="5"/>
  <c r="G1964" i="5"/>
  <c r="F1964" i="5"/>
  <c r="E1964" i="5"/>
  <c r="D1964" i="5" a="1"/>
  <c r="D1964" i="5" s="1"/>
  <c r="B1964" i="5"/>
  <c r="N1963" i="5"/>
  <c r="H1963" i="5"/>
  <c r="G1963" i="5"/>
  <c r="F1963" i="5"/>
  <c r="E1963" i="5"/>
  <c r="D1963" i="5" a="1"/>
  <c r="D1963" i="5" s="1"/>
  <c r="B1963" i="5"/>
  <c r="N1962" i="5"/>
  <c r="H1962" i="5"/>
  <c r="G1962" i="5"/>
  <c r="F1962" i="5"/>
  <c r="E1962" i="5"/>
  <c r="D1962" i="5" a="1"/>
  <c r="D1962" i="5" s="1"/>
  <c r="B1962" i="5"/>
  <c r="N1961" i="5"/>
  <c r="H1961" i="5"/>
  <c r="G1961" i="5"/>
  <c r="F1961" i="5"/>
  <c r="E1961" i="5"/>
  <c r="D1961" i="5" a="1"/>
  <c r="D1961" i="5" s="1"/>
  <c r="B1961" i="5"/>
  <c r="N1960" i="5"/>
  <c r="H1960" i="5"/>
  <c r="G1960" i="5"/>
  <c r="F1960" i="5"/>
  <c r="E1960" i="5"/>
  <c r="D1960" i="5" a="1"/>
  <c r="D1960" i="5" s="1"/>
  <c r="B1960" i="5"/>
  <c r="N1959" i="5"/>
  <c r="H1959" i="5"/>
  <c r="G1959" i="5"/>
  <c r="F1959" i="5"/>
  <c r="E1959" i="5"/>
  <c r="D1959" i="5" a="1"/>
  <c r="D1959" i="5" s="1"/>
  <c r="B1959" i="5"/>
  <c r="N1958" i="5"/>
  <c r="H1958" i="5"/>
  <c r="G1958" i="5"/>
  <c r="F1958" i="5"/>
  <c r="E1958" i="5"/>
  <c r="D1958" i="5" a="1"/>
  <c r="D1958" i="5" s="1"/>
  <c r="B1958" i="5"/>
  <c r="N1957" i="5"/>
  <c r="H1957" i="5"/>
  <c r="G1957" i="5"/>
  <c r="F1957" i="5"/>
  <c r="E1957" i="5"/>
  <c r="D1957" i="5" a="1"/>
  <c r="D1957" i="5" s="1"/>
  <c r="B1957" i="5"/>
  <c r="N1956" i="5"/>
  <c r="H1956" i="5"/>
  <c r="G1956" i="5"/>
  <c r="F1956" i="5"/>
  <c r="E1956" i="5"/>
  <c r="D1956" i="5" a="1"/>
  <c r="D1956" i="5" s="1"/>
  <c r="B1956" i="5"/>
  <c r="N1955" i="5"/>
  <c r="H1955" i="5"/>
  <c r="G1955" i="5"/>
  <c r="F1955" i="5"/>
  <c r="E1955" i="5"/>
  <c r="D1955" i="5" a="1"/>
  <c r="D1955" i="5" s="1"/>
  <c r="B1955" i="5"/>
  <c r="N1954" i="5"/>
  <c r="H1954" i="5"/>
  <c r="G1954" i="5"/>
  <c r="F1954" i="5"/>
  <c r="E1954" i="5"/>
  <c r="D1954" i="5" a="1"/>
  <c r="D1954" i="5" s="1"/>
  <c r="B1954" i="5"/>
  <c r="N1953" i="5"/>
  <c r="H1953" i="5"/>
  <c r="G1953" i="5"/>
  <c r="F1953" i="5"/>
  <c r="E1953" i="5"/>
  <c r="D1953" i="5" a="1"/>
  <c r="D1953" i="5" s="1"/>
  <c r="B1953" i="5"/>
  <c r="N1952" i="5"/>
  <c r="H1952" i="5"/>
  <c r="G1952" i="5"/>
  <c r="F1952" i="5"/>
  <c r="E1952" i="5"/>
  <c r="D1952" i="5" a="1"/>
  <c r="D1952" i="5" s="1"/>
  <c r="B1952" i="5"/>
  <c r="N1951" i="5"/>
  <c r="H1951" i="5"/>
  <c r="G1951" i="5"/>
  <c r="F1951" i="5"/>
  <c r="E1951" i="5"/>
  <c r="D1951" i="5" a="1"/>
  <c r="D1951" i="5" s="1"/>
  <c r="B1951" i="5"/>
  <c r="N1950" i="5"/>
  <c r="H1950" i="5"/>
  <c r="G1950" i="5"/>
  <c r="F1950" i="5"/>
  <c r="E1950" i="5"/>
  <c r="D1950" i="5" a="1"/>
  <c r="D1950" i="5" s="1"/>
  <c r="B1950" i="5"/>
  <c r="N1949" i="5"/>
  <c r="H1949" i="5"/>
  <c r="G1949" i="5"/>
  <c r="F1949" i="5"/>
  <c r="E1949" i="5"/>
  <c r="D1949" i="5" a="1"/>
  <c r="D1949" i="5" s="1"/>
  <c r="B1949" i="5"/>
  <c r="N1948" i="5"/>
  <c r="H1948" i="5"/>
  <c r="G1948" i="5"/>
  <c r="F1948" i="5"/>
  <c r="E1948" i="5"/>
  <c r="D1948" i="5" a="1"/>
  <c r="D1948" i="5" s="1"/>
  <c r="B1948" i="5"/>
  <c r="N1947" i="5"/>
  <c r="H1947" i="5"/>
  <c r="G1947" i="5"/>
  <c r="F1947" i="5"/>
  <c r="E1947" i="5"/>
  <c r="D1947" i="5" a="1"/>
  <c r="D1947" i="5" s="1"/>
  <c r="B1947" i="5"/>
  <c r="N1946" i="5"/>
  <c r="H1946" i="5"/>
  <c r="G1946" i="5"/>
  <c r="F1946" i="5"/>
  <c r="E1946" i="5"/>
  <c r="D1946" i="5" a="1"/>
  <c r="D1946" i="5" s="1"/>
  <c r="B1946" i="5"/>
  <c r="N1945" i="5"/>
  <c r="H1945" i="5"/>
  <c r="G1945" i="5"/>
  <c r="F1945" i="5"/>
  <c r="E1945" i="5"/>
  <c r="D1945" i="5" a="1"/>
  <c r="D1945" i="5" s="1"/>
  <c r="B1945" i="5"/>
  <c r="N1944" i="5"/>
  <c r="H1944" i="5"/>
  <c r="G1944" i="5"/>
  <c r="F1944" i="5"/>
  <c r="E1944" i="5"/>
  <c r="D1944" i="5" a="1"/>
  <c r="D1944" i="5" s="1"/>
  <c r="B1944" i="5"/>
  <c r="N1943" i="5"/>
  <c r="H1943" i="5"/>
  <c r="G1943" i="5"/>
  <c r="F1943" i="5"/>
  <c r="E1943" i="5"/>
  <c r="D1943" i="5" a="1"/>
  <c r="D1943" i="5" s="1"/>
  <c r="B1943" i="5"/>
  <c r="N1942" i="5"/>
  <c r="H1942" i="5"/>
  <c r="G1942" i="5"/>
  <c r="F1942" i="5"/>
  <c r="E1942" i="5"/>
  <c r="D1942" i="5" a="1"/>
  <c r="D1942" i="5" s="1"/>
  <c r="B1942" i="5"/>
  <c r="N1941" i="5"/>
  <c r="H1941" i="5"/>
  <c r="G1941" i="5"/>
  <c r="F1941" i="5"/>
  <c r="E1941" i="5"/>
  <c r="D1941" i="5" a="1"/>
  <c r="D1941" i="5" s="1"/>
  <c r="B1941" i="5"/>
  <c r="N1940" i="5"/>
  <c r="H1940" i="5"/>
  <c r="G1940" i="5"/>
  <c r="F1940" i="5"/>
  <c r="E1940" i="5"/>
  <c r="D1940" i="5" a="1"/>
  <c r="D1940" i="5" s="1"/>
  <c r="B1940" i="5"/>
  <c r="N1939" i="5"/>
  <c r="H1939" i="5"/>
  <c r="G1939" i="5"/>
  <c r="F1939" i="5"/>
  <c r="E1939" i="5"/>
  <c r="D1939" i="5" a="1"/>
  <c r="D1939" i="5" s="1"/>
  <c r="B1939" i="5"/>
  <c r="N1938" i="5"/>
  <c r="H1938" i="5"/>
  <c r="G1938" i="5"/>
  <c r="F1938" i="5"/>
  <c r="E1938" i="5"/>
  <c r="D1938" i="5" a="1"/>
  <c r="D1938" i="5" s="1"/>
  <c r="B1938" i="5"/>
  <c r="N1937" i="5"/>
  <c r="H1937" i="5"/>
  <c r="G1937" i="5"/>
  <c r="F1937" i="5"/>
  <c r="E1937" i="5"/>
  <c r="D1937" i="5" a="1"/>
  <c r="D1937" i="5" s="1"/>
  <c r="B1937" i="5"/>
  <c r="N1936" i="5"/>
  <c r="H1936" i="5"/>
  <c r="G1936" i="5"/>
  <c r="F1936" i="5"/>
  <c r="E1936" i="5"/>
  <c r="D1936" i="5" a="1"/>
  <c r="D1936" i="5" s="1"/>
  <c r="B1936" i="5"/>
  <c r="N1935" i="5"/>
  <c r="H1935" i="5"/>
  <c r="G1935" i="5"/>
  <c r="F1935" i="5"/>
  <c r="E1935" i="5"/>
  <c r="D1935" i="5" a="1"/>
  <c r="D1935" i="5" s="1"/>
  <c r="B1935" i="5"/>
  <c r="N1934" i="5"/>
  <c r="H1934" i="5"/>
  <c r="G1934" i="5"/>
  <c r="F1934" i="5"/>
  <c r="E1934" i="5"/>
  <c r="D1934" i="5" a="1"/>
  <c r="D1934" i="5" s="1"/>
  <c r="B1934" i="5"/>
  <c r="N1933" i="5"/>
  <c r="H1933" i="5"/>
  <c r="G1933" i="5"/>
  <c r="F1933" i="5"/>
  <c r="E1933" i="5"/>
  <c r="D1933" i="5" a="1"/>
  <c r="D1933" i="5" s="1"/>
  <c r="B1933" i="5"/>
  <c r="N1932" i="5"/>
  <c r="H1932" i="5"/>
  <c r="G1932" i="5"/>
  <c r="F1932" i="5"/>
  <c r="E1932" i="5"/>
  <c r="D1932" i="5" a="1"/>
  <c r="D1932" i="5" s="1"/>
  <c r="B1932" i="5"/>
  <c r="N1931" i="5"/>
  <c r="H1931" i="5"/>
  <c r="G1931" i="5"/>
  <c r="F1931" i="5"/>
  <c r="E1931" i="5"/>
  <c r="D1931" i="5" a="1"/>
  <c r="D1931" i="5" s="1"/>
  <c r="B1931" i="5"/>
  <c r="N1930" i="5"/>
  <c r="H1930" i="5"/>
  <c r="G1930" i="5"/>
  <c r="F1930" i="5"/>
  <c r="E1930" i="5"/>
  <c r="D1930" i="5" a="1"/>
  <c r="D1930" i="5" s="1"/>
  <c r="B1930" i="5"/>
  <c r="N1929" i="5"/>
  <c r="H1929" i="5"/>
  <c r="G1929" i="5"/>
  <c r="F1929" i="5"/>
  <c r="E1929" i="5"/>
  <c r="D1929" i="5" a="1"/>
  <c r="D1929" i="5" s="1"/>
  <c r="B1929" i="5"/>
  <c r="N1928" i="5"/>
  <c r="H1928" i="5"/>
  <c r="G1928" i="5"/>
  <c r="F1928" i="5"/>
  <c r="E1928" i="5"/>
  <c r="D1928" i="5" a="1"/>
  <c r="D1928" i="5" s="1"/>
  <c r="B1928" i="5"/>
  <c r="N1927" i="5"/>
  <c r="H1927" i="5"/>
  <c r="G1927" i="5"/>
  <c r="F1927" i="5"/>
  <c r="E1927" i="5"/>
  <c r="D1927" i="5" a="1"/>
  <c r="D1927" i="5" s="1"/>
  <c r="B1927" i="5"/>
  <c r="N1926" i="5"/>
  <c r="H1926" i="5"/>
  <c r="G1926" i="5"/>
  <c r="F1926" i="5"/>
  <c r="E1926" i="5"/>
  <c r="D1926" i="5" a="1"/>
  <c r="D1926" i="5" s="1"/>
  <c r="B1926" i="5"/>
  <c r="N1925" i="5"/>
  <c r="H1925" i="5"/>
  <c r="G1925" i="5"/>
  <c r="F1925" i="5"/>
  <c r="E1925" i="5"/>
  <c r="D1925" i="5" a="1"/>
  <c r="D1925" i="5" s="1"/>
  <c r="B1925" i="5"/>
  <c r="N1924" i="5"/>
  <c r="H1924" i="5"/>
  <c r="G1924" i="5"/>
  <c r="F1924" i="5"/>
  <c r="E1924" i="5"/>
  <c r="D1924" i="5" a="1"/>
  <c r="D1924" i="5" s="1"/>
  <c r="B1924" i="5"/>
  <c r="N1923" i="5"/>
  <c r="H1923" i="5"/>
  <c r="G1923" i="5"/>
  <c r="F1923" i="5"/>
  <c r="E1923" i="5"/>
  <c r="D1923" i="5" a="1"/>
  <c r="D1923" i="5" s="1"/>
  <c r="B1923" i="5"/>
  <c r="N1922" i="5"/>
  <c r="H1922" i="5"/>
  <c r="G1922" i="5"/>
  <c r="F1922" i="5"/>
  <c r="E1922" i="5"/>
  <c r="D1922" i="5" a="1"/>
  <c r="D1922" i="5" s="1"/>
  <c r="B1922" i="5"/>
  <c r="N1921" i="5"/>
  <c r="H1921" i="5"/>
  <c r="G1921" i="5"/>
  <c r="F1921" i="5"/>
  <c r="E1921" i="5"/>
  <c r="D1921" i="5" a="1"/>
  <c r="D1921" i="5" s="1"/>
  <c r="B1921" i="5"/>
  <c r="N1920" i="5"/>
  <c r="H1920" i="5"/>
  <c r="G1920" i="5"/>
  <c r="F1920" i="5"/>
  <c r="E1920" i="5"/>
  <c r="D1920" i="5" a="1"/>
  <c r="D1920" i="5" s="1"/>
  <c r="B1920" i="5"/>
  <c r="N1919" i="5"/>
  <c r="H1919" i="5"/>
  <c r="G1919" i="5"/>
  <c r="F1919" i="5"/>
  <c r="E1919" i="5"/>
  <c r="D1919" i="5" a="1"/>
  <c r="D1919" i="5" s="1"/>
  <c r="B1919" i="5"/>
  <c r="N1918" i="5"/>
  <c r="H1918" i="5"/>
  <c r="G1918" i="5"/>
  <c r="F1918" i="5"/>
  <c r="E1918" i="5"/>
  <c r="D1918" i="5" a="1"/>
  <c r="D1918" i="5" s="1"/>
  <c r="B1918" i="5"/>
  <c r="N1917" i="5"/>
  <c r="H1917" i="5"/>
  <c r="G1917" i="5"/>
  <c r="F1917" i="5"/>
  <c r="E1917" i="5"/>
  <c r="D1917" i="5" a="1"/>
  <c r="D1917" i="5" s="1"/>
  <c r="B1917" i="5"/>
  <c r="N1916" i="5"/>
  <c r="H1916" i="5"/>
  <c r="G1916" i="5"/>
  <c r="F1916" i="5"/>
  <c r="E1916" i="5"/>
  <c r="D1916" i="5" a="1"/>
  <c r="D1916" i="5" s="1"/>
  <c r="B1916" i="5"/>
  <c r="N1915" i="5"/>
  <c r="H1915" i="5"/>
  <c r="G1915" i="5"/>
  <c r="F1915" i="5"/>
  <c r="E1915" i="5"/>
  <c r="D1915" i="5" a="1"/>
  <c r="D1915" i="5" s="1"/>
  <c r="B1915" i="5"/>
  <c r="N1914" i="5"/>
  <c r="H1914" i="5"/>
  <c r="G1914" i="5"/>
  <c r="F1914" i="5"/>
  <c r="E1914" i="5"/>
  <c r="D1914" i="5" a="1"/>
  <c r="D1914" i="5" s="1"/>
  <c r="B1914" i="5"/>
  <c r="N1913" i="5"/>
  <c r="H1913" i="5"/>
  <c r="G1913" i="5"/>
  <c r="F1913" i="5"/>
  <c r="E1913" i="5"/>
  <c r="D1913" i="5" a="1"/>
  <c r="D1913" i="5" s="1"/>
  <c r="B1913" i="5"/>
  <c r="N1912" i="5"/>
  <c r="H1912" i="5"/>
  <c r="G1912" i="5"/>
  <c r="F1912" i="5"/>
  <c r="E1912" i="5"/>
  <c r="D1912" i="5" a="1"/>
  <c r="D1912" i="5" s="1"/>
  <c r="B1912" i="5"/>
  <c r="N1911" i="5"/>
  <c r="H1911" i="5"/>
  <c r="G1911" i="5"/>
  <c r="F1911" i="5"/>
  <c r="E1911" i="5"/>
  <c r="D1911" i="5" a="1"/>
  <c r="D1911" i="5" s="1"/>
  <c r="B1911" i="5"/>
  <c r="N1910" i="5"/>
  <c r="H1910" i="5"/>
  <c r="G1910" i="5"/>
  <c r="F1910" i="5"/>
  <c r="E1910" i="5"/>
  <c r="D1910" i="5" a="1"/>
  <c r="D1910" i="5" s="1"/>
  <c r="B1910" i="5"/>
  <c r="N1909" i="5"/>
  <c r="H1909" i="5"/>
  <c r="G1909" i="5"/>
  <c r="F1909" i="5"/>
  <c r="E1909" i="5"/>
  <c r="D1909" i="5" a="1"/>
  <c r="D1909" i="5" s="1"/>
  <c r="B1909" i="5"/>
  <c r="N1908" i="5"/>
  <c r="H1908" i="5"/>
  <c r="G1908" i="5"/>
  <c r="F1908" i="5"/>
  <c r="E1908" i="5"/>
  <c r="D1908" i="5" a="1"/>
  <c r="D1908" i="5" s="1"/>
  <c r="B1908" i="5"/>
  <c r="N1907" i="5"/>
  <c r="H1907" i="5"/>
  <c r="G1907" i="5"/>
  <c r="F1907" i="5"/>
  <c r="E1907" i="5"/>
  <c r="D1907" i="5" a="1"/>
  <c r="D1907" i="5" s="1"/>
  <c r="B1907" i="5"/>
  <c r="N1906" i="5"/>
  <c r="H1906" i="5"/>
  <c r="G1906" i="5"/>
  <c r="F1906" i="5"/>
  <c r="E1906" i="5"/>
  <c r="D1906" i="5" a="1"/>
  <c r="D1906" i="5" s="1"/>
  <c r="B1906" i="5"/>
  <c r="N1905" i="5"/>
  <c r="H1905" i="5"/>
  <c r="G1905" i="5"/>
  <c r="F1905" i="5"/>
  <c r="E1905" i="5"/>
  <c r="D1905" i="5" a="1"/>
  <c r="D1905" i="5" s="1"/>
  <c r="B1905" i="5"/>
  <c r="N1904" i="5"/>
  <c r="H1904" i="5"/>
  <c r="G1904" i="5"/>
  <c r="F1904" i="5"/>
  <c r="E1904" i="5"/>
  <c r="D1904" i="5" a="1"/>
  <c r="D1904" i="5" s="1"/>
  <c r="B1904" i="5"/>
  <c r="N1903" i="5"/>
  <c r="H1903" i="5"/>
  <c r="G1903" i="5"/>
  <c r="F1903" i="5"/>
  <c r="E1903" i="5"/>
  <c r="D1903" i="5" a="1"/>
  <c r="D1903" i="5" s="1"/>
  <c r="B1903" i="5"/>
  <c r="N1902" i="5"/>
  <c r="H1902" i="5"/>
  <c r="G1902" i="5"/>
  <c r="F1902" i="5"/>
  <c r="E1902" i="5"/>
  <c r="D1902" i="5" a="1"/>
  <c r="D1902" i="5" s="1"/>
  <c r="B1902" i="5"/>
  <c r="N1901" i="5"/>
  <c r="H1901" i="5"/>
  <c r="G1901" i="5"/>
  <c r="F1901" i="5"/>
  <c r="E1901" i="5"/>
  <c r="D1901" i="5" a="1"/>
  <c r="D1901" i="5" s="1"/>
  <c r="B1901" i="5"/>
  <c r="N1900" i="5"/>
  <c r="H1900" i="5"/>
  <c r="G1900" i="5"/>
  <c r="F1900" i="5"/>
  <c r="E1900" i="5"/>
  <c r="D1900" i="5" a="1"/>
  <c r="D1900" i="5" s="1"/>
  <c r="B1900" i="5"/>
  <c r="N1899" i="5"/>
  <c r="H1899" i="5"/>
  <c r="G1899" i="5"/>
  <c r="F1899" i="5"/>
  <c r="E1899" i="5"/>
  <c r="D1899" i="5" a="1"/>
  <c r="D1899" i="5" s="1"/>
  <c r="B1899" i="5"/>
  <c r="N1898" i="5"/>
  <c r="H1898" i="5"/>
  <c r="G1898" i="5"/>
  <c r="F1898" i="5"/>
  <c r="E1898" i="5"/>
  <c r="D1898" i="5" a="1"/>
  <c r="D1898" i="5" s="1"/>
  <c r="B1898" i="5"/>
  <c r="N1897" i="5"/>
  <c r="H1897" i="5"/>
  <c r="G1897" i="5"/>
  <c r="F1897" i="5"/>
  <c r="E1897" i="5"/>
  <c r="D1897" i="5" a="1"/>
  <c r="D1897" i="5" s="1"/>
  <c r="B1897" i="5"/>
  <c r="N1896" i="5"/>
  <c r="H1896" i="5"/>
  <c r="G1896" i="5"/>
  <c r="F1896" i="5"/>
  <c r="E1896" i="5"/>
  <c r="D1896" i="5" a="1"/>
  <c r="D1896" i="5" s="1"/>
  <c r="B1896" i="5"/>
  <c r="N1895" i="5"/>
  <c r="H1895" i="5"/>
  <c r="G1895" i="5"/>
  <c r="F1895" i="5"/>
  <c r="E1895" i="5"/>
  <c r="D1895" i="5" a="1"/>
  <c r="D1895" i="5" s="1"/>
  <c r="B1895" i="5"/>
  <c r="N1894" i="5"/>
  <c r="H1894" i="5"/>
  <c r="G1894" i="5"/>
  <c r="F1894" i="5"/>
  <c r="E1894" i="5"/>
  <c r="D1894" i="5" a="1"/>
  <c r="D1894" i="5" s="1"/>
  <c r="B1894" i="5"/>
  <c r="N1893" i="5"/>
  <c r="H1893" i="5"/>
  <c r="G1893" i="5"/>
  <c r="F1893" i="5"/>
  <c r="E1893" i="5"/>
  <c r="D1893" i="5" a="1"/>
  <c r="D1893" i="5" s="1"/>
  <c r="B1893" i="5"/>
  <c r="N1892" i="5"/>
  <c r="H1892" i="5"/>
  <c r="G1892" i="5"/>
  <c r="F1892" i="5"/>
  <c r="E1892" i="5"/>
  <c r="D1892" i="5" a="1"/>
  <c r="D1892" i="5" s="1"/>
  <c r="B1892" i="5"/>
  <c r="N1891" i="5"/>
  <c r="H1891" i="5"/>
  <c r="G1891" i="5"/>
  <c r="F1891" i="5"/>
  <c r="E1891" i="5"/>
  <c r="D1891" i="5" a="1"/>
  <c r="D1891" i="5" s="1"/>
  <c r="B1891" i="5"/>
  <c r="N1890" i="5"/>
  <c r="H1890" i="5"/>
  <c r="G1890" i="5"/>
  <c r="F1890" i="5"/>
  <c r="E1890" i="5"/>
  <c r="D1890" i="5" a="1"/>
  <c r="D1890" i="5" s="1"/>
  <c r="B1890" i="5"/>
  <c r="N1889" i="5"/>
  <c r="H1889" i="5"/>
  <c r="G1889" i="5"/>
  <c r="F1889" i="5"/>
  <c r="E1889" i="5"/>
  <c r="D1889" i="5" a="1"/>
  <c r="D1889" i="5" s="1"/>
  <c r="B1889" i="5"/>
  <c r="N1888" i="5"/>
  <c r="H1888" i="5"/>
  <c r="G1888" i="5"/>
  <c r="F1888" i="5"/>
  <c r="E1888" i="5"/>
  <c r="D1888" i="5" a="1"/>
  <c r="D1888" i="5" s="1"/>
  <c r="B1888" i="5"/>
  <c r="N1887" i="5"/>
  <c r="H1887" i="5"/>
  <c r="G1887" i="5"/>
  <c r="F1887" i="5"/>
  <c r="E1887" i="5"/>
  <c r="D1887" i="5" a="1"/>
  <c r="D1887" i="5" s="1"/>
  <c r="B1887" i="5"/>
  <c r="N1886" i="5"/>
  <c r="H1886" i="5"/>
  <c r="G1886" i="5"/>
  <c r="F1886" i="5"/>
  <c r="E1886" i="5"/>
  <c r="D1886" i="5" a="1"/>
  <c r="D1886" i="5" s="1"/>
  <c r="B1886" i="5"/>
  <c r="N1885" i="5"/>
  <c r="H1885" i="5"/>
  <c r="G1885" i="5"/>
  <c r="F1885" i="5"/>
  <c r="E1885" i="5"/>
  <c r="D1885" i="5" a="1"/>
  <c r="D1885" i="5" s="1"/>
  <c r="B1885" i="5"/>
  <c r="N1884" i="5"/>
  <c r="H1884" i="5"/>
  <c r="G1884" i="5"/>
  <c r="F1884" i="5"/>
  <c r="E1884" i="5"/>
  <c r="D1884" i="5" a="1"/>
  <c r="D1884" i="5" s="1"/>
  <c r="B1884" i="5"/>
  <c r="N1883" i="5"/>
  <c r="H1883" i="5"/>
  <c r="G1883" i="5"/>
  <c r="F1883" i="5"/>
  <c r="E1883" i="5"/>
  <c r="D1883" i="5" a="1"/>
  <c r="D1883" i="5" s="1"/>
  <c r="B1883" i="5"/>
  <c r="N1882" i="5"/>
  <c r="H1882" i="5"/>
  <c r="G1882" i="5"/>
  <c r="F1882" i="5"/>
  <c r="E1882" i="5"/>
  <c r="D1882" i="5" a="1"/>
  <c r="D1882" i="5" s="1"/>
  <c r="B1882" i="5"/>
  <c r="N1881" i="5"/>
  <c r="H1881" i="5"/>
  <c r="G1881" i="5"/>
  <c r="F1881" i="5"/>
  <c r="E1881" i="5"/>
  <c r="D1881" i="5" a="1"/>
  <c r="D1881" i="5" s="1"/>
  <c r="B1881" i="5"/>
  <c r="N1880" i="5"/>
  <c r="H1880" i="5"/>
  <c r="G1880" i="5"/>
  <c r="F1880" i="5"/>
  <c r="E1880" i="5"/>
  <c r="D1880" i="5" a="1"/>
  <c r="D1880" i="5" s="1"/>
  <c r="B1880" i="5"/>
  <c r="N1879" i="5"/>
  <c r="H1879" i="5"/>
  <c r="G1879" i="5"/>
  <c r="F1879" i="5"/>
  <c r="E1879" i="5"/>
  <c r="D1879" i="5" a="1"/>
  <c r="D1879" i="5" s="1"/>
  <c r="B1879" i="5"/>
  <c r="N1878" i="5"/>
  <c r="H1878" i="5"/>
  <c r="G1878" i="5"/>
  <c r="F1878" i="5"/>
  <c r="E1878" i="5"/>
  <c r="D1878" i="5" a="1"/>
  <c r="D1878" i="5" s="1"/>
  <c r="B1878" i="5"/>
  <c r="N1877" i="5"/>
  <c r="H1877" i="5"/>
  <c r="G1877" i="5"/>
  <c r="F1877" i="5"/>
  <c r="E1877" i="5"/>
  <c r="D1877" i="5" a="1"/>
  <c r="D1877" i="5" s="1"/>
  <c r="B1877" i="5"/>
  <c r="N1876" i="5"/>
  <c r="H1876" i="5"/>
  <c r="G1876" i="5"/>
  <c r="F1876" i="5"/>
  <c r="E1876" i="5"/>
  <c r="D1876" i="5" a="1"/>
  <c r="D1876" i="5" s="1"/>
  <c r="B1876" i="5"/>
  <c r="N1875" i="5"/>
  <c r="H1875" i="5"/>
  <c r="G1875" i="5"/>
  <c r="F1875" i="5"/>
  <c r="E1875" i="5"/>
  <c r="D1875" i="5" a="1"/>
  <c r="D1875" i="5" s="1"/>
  <c r="B1875" i="5"/>
  <c r="N1874" i="5"/>
  <c r="H1874" i="5"/>
  <c r="G1874" i="5"/>
  <c r="F1874" i="5"/>
  <c r="E1874" i="5"/>
  <c r="D1874" i="5" a="1"/>
  <c r="D1874" i="5" s="1"/>
  <c r="B1874" i="5"/>
  <c r="N1873" i="5"/>
  <c r="H1873" i="5"/>
  <c r="G1873" i="5"/>
  <c r="F1873" i="5"/>
  <c r="E1873" i="5"/>
  <c r="D1873" i="5" a="1"/>
  <c r="D1873" i="5" s="1"/>
  <c r="B1873" i="5"/>
  <c r="N1872" i="5"/>
  <c r="H1872" i="5"/>
  <c r="G1872" i="5"/>
  <c r="F1872" i="5"/>
  <c r="E1872" i="5"/>
  <c r="D1872" i="5" a="1"/>
  <c r="D1872" i="5" s="1"/>
  <c r="B1872" i="5"/>
  <c r="N1871" i="5"/>
  <c r="H1871" i="5"/>
  <c r="G1871" i="5"/>
  <c r="F1871" i="5"/>
  <c r="E1871" i="5"/>
  <c r="D1871" i="5" a="1"/>
  <c r="D1871" i="5" s="1"/>
  <c r="B1871" i="5"/>
  <c r="N1870" i="5"/>
  <c r="H1870" i="5"/>
  <c r="G1870" i="5"/>
  <c r="F1870" i="5"/>
  <c r="E1870" i="5"/>
  <c r="D1870" i="5" a="1"/>
  <c r="D1870" i="5" s="1"/>
  <c r="B1870" i="5"/>
  <c r="N1869" i="5"/>
  <c r="H1869" i="5"/>
  <c r="G1869" i="5"/>
  <c r="F1869" i="5"/>
  <c r="E1869" i="5"/>
  <c r="D1869" i="5" a="1"/>
  <c r="D1869" i="5" s="1"/>
  <c r="B1869" i="5"/>
  <c r="N1868" i="5"/>
  <c r="H1868" i="5"/>
  <c r="G1868" i="5"/>
  <c r="F1868" i="5"/>
  <c r="E1868" i="5"/>
  <c r="D1868" i="5" a="1"/>
  <c r="D1868" i="5" s="1"/>
  <c r="B1868" i="5"/>
  <c r="N1867" i="5"/>
  <c r="H1867" i="5"/>
  <c r="G1867" i="5"/>
  <c r="F1867" i="5"/>
  <c r="E1867" i="5"/>
  <c r="D1867" i="5" a="1"/>
  <c r="D1867" i="5" s="1"/>
  <c r="B1867" i="5"/>
  <c r="N1866" i="5"/>
  <c r="H1866" i="5"/>
  <c r="G1866" i="5"/>
  <c r="F1866" i="5"/>
  <c r="E1866" i="5"/>
  <c r="D1866" i="5" a="1"/>
  <c r="D1866" i="5" s="1"/>
  <c r="B1866" i="5"/>
  <c r="N1865" i="5"/>
  <c r="H1865" i="5"/>
  <c r="G1865" i="5"/>
  <c r="F1865" i="5"/>
  <c r="E1865" i="5"/>
  <c r="D1865" i="5" a="1"/>
  <c r="D1865" i="5" s="1"/>
  <c r="B1865" i="5"/>
  <c r="N1864" i="5"/>
  <c r="H1864" i="5"/>
  <c r="G1864" i="5"/>
  <c r="F1864" i="5"/>
  <c r="E1864" i="5"/>
  <c r="D1864" i="5" a="1"/>
  <c r="D1864" i="5" s="1"/>
  <c r="B1864" i="5"/>
  <c r="N1863" i="5"/>
  <c r="H1863" i="5"/>
  <c r="G1863" i="5"/>
  <c r="F1863" i="5"/>
  <c r="E1863" i="5"/>
  <c r="D1863" i="5" a="1"/>
  <c r="D1863" i="5" s="1"/>
  <c r="B1863" i="5"/>
  <c r="N1862" i="5"/>
  <c r="H1862" i="5"/>
  <c r="G1862" i="5"/>
  <c r="F1862" i="5"/>
  <c r="E1862" i="5"/>
  <c r="D1862" i="5" a="1"/>
  <c r="D1862" i="5" s="1"/>
  <c r="B1862" i="5"/>
  <c r="N1861" i="5"/>
  <c r="H1861" i="5"/>
  <c r="G1861" i="5"/>
  <c r="F1861" i="5"/>
  <c r="E1861" i="5"/>
  <c r="D1861" i="5" a="1"/>
  <c r="D1861" i="5" s="1"/>
  <c r="B1861" i="5"/>
  <c r="N1860" i="5"/>
  <c r="H1860" i="5"/>
  <c r="G1860" i="5"/>
  <c r="F1860" i="5"/>
  <c r="E1860" i="5"/>
  <c r="D1860" i="5" a="1"/>
  <c r="D1860" i="5" s="1"/>
  <c r="B1860" i="5"/>
  <c r="N1859" i="5"/>
  <c r="H1859" i="5"/>
  <c r="G1859" i="5"/>
  <c r="F1859" i="5"/>
  <c r="E1859" i="5"/>
  <c r="D1859" i="5" a="1"/>
  <c r="D1859" i="5" s="1"/>
  <c r="B1859" i="5"/>
  <c r="N1858" i="5"/>
  <c r="H1858" i="5"/>
  <c r="G1858" i="5"/>
  <c r="F1858" i="5"/>
  <c r="E1858" i="5"/>
  <c r="D1858" i="5" a="1"/>
  <c r="D1858" i="5" s="1"/>
  <c r="B1858" i="5"/>
  <c r="N1857" i="5"/>
  <c r="H1857" i="5"/>
  <c r="G1857" i="5"/>
  <c r="F1857" i="5"/>
  <c r="E1857" i="5"/>
  <c r="D1857" i="5" a="1"/>
  <c r="D1857" i="5" s="1"/>
  <c r="B1857" i="5"/>
  <c r="N1856" i="5"/>
  <c r="H1856" i="5"/>
  <c r="G1856" i="5"/>
  <c r="F1856" i="5"/>
  <c r="E1856" i="5"/>
  <c r="D1856" i="5" a="1"/>
  <c r="D1856" i="5" s="1"/>
  <c r="B1856" i="5"/>
  <c r="N1855" i="5"/>
  <c r="H1855" i="5"/>
  <c r="G1855" i="5"/>
  <c r="F1855" i="5"/>
  <c r="E1855" i="5"/>
  <c r="D1855" i="5" a="1"/>
  <c r="D1855" i="5" s="1"/>
  <c r="B1855" i="5"/>
  <c r="N1854" i="5"/>
  <c r="H1854" i="5"/>
  <c r="G1854" i="5"/>
  <c r="F1854" i="5"/>
  <c r="E1854" i="5"/>
  <c r="D1854" i="5" a="1"/>
  <c r="D1854" i="5" s="1"/>
  <c r="B1854" i="5"/>
  <c r="N1853" i="5"/>
  <c r="H1853" i="5"/>
  <c r="G1853" i="5"/>
  <c r="F1853" i="5"/>
  <c r="E1853" i="5"/>
  <c r="D1853" i="5" a="1"/>
  <c r="D1853" i="5" s="1"/>
  <c r="B1853" i="5"/>
  <c r="N1852" i="5"/>
  <c r="H1852" i="5"/>
  <c r="G1852" i="5"/>
  <c r="F1852" i="5"/>
  <c r="E1852" i="5"/>
  <c r="D1852" i="5" a="1"/>
  <c r="D1852" i="5" s="1"/>
  <c r="B1852" i="5"/>
  <c r="N1851" i="5"/>
  <c r="H1851" i="5"/>
  <c r="G1851" i="5"/>
  <c r="F1851" i="5"/>
  <c r="E1851" i="5"/>
  <c r="D1851" i="5" a="1"/>
  <c r="D1851" i="5" s="1"/>
  <c r="B1851" i="5"/>
  <c r="N1850" i="5"/>
  <c r="H1850" i="5"/>
  <c r="G1850" i="5"/>
  <c r="F1850" i="5"/>
  <c r="E1850" i="5"/>
  <c r="D1850" i="5" a="1"/>
  <c r="D1850" i="5" s="1"/>
  <c r="B1850" i="5"/>
  <c r="N1849" i="5"/>
  <c r="H1849" i="5"/>
  <c r="G1849" i="5"/>
  <c r="F1849" i="5"/>
  <c r="E1849" i="5"/>
  <c r="D1849" i="5" a="1"/>
  <c r="D1849" i="5" s="1"/>
  <c r="B1849" i="5"/>
  <c r="N1848" i="5"/>
  <c r="H1848" i="5"/>
  <c r="G1848" i="5"/>
  <c r="F1848" i="5"/>
  <c r="E1848" i="5"/>
  <c r="D1848" i="5" a="1"/>
  <c r="D1848" i="5" s="1"/>
  <c r="B1848" i="5"/>
  <c r="N1847" i="5"/>
  <c r="H1847" i="5"/>
  <c r="G1847" i="5"/>
  <c r="F1847" i="5"/>
  <c r="E1847" i="5"/>
  <c r="D1847" i="5" a="1"/>
  <c r="D1847" i="5" s="1"/>
  <c r="B1847" i="5"/>
  <c r="N1846" i="5"/>
  <c r="H1846" i="5"/>
  <c r="G1846" i="5"/>
  <c r="F1846" i="5"/>
  <c r="E1846" i="5"/>
  <c r="D1846" i="5" a="1"/>
  <c r="D1846" i="5" s="1"/>
  <c r="B1846" i="5"/>
  <c r="N1845" i="5"/>
  <c r="H1845" i="5"/>
  <c r="G1845" i="5"/>
  <c r="F1845" i="5"/>
  <c r="E1845" i="5"/>
  <c r="D1845" i="5" a="1"/>
  <c r="D1845" i="5" s="1"/>
  <c r="B1845" i="5"/>
  <c r="N1844" i="5"/>
  <c r="H1844" i="5"/>
  <c r="G1844" i="5"/>
  <c r="F1844" i="5"/>
  <c r="E1844" i="5"/>
  <c r="D1844" i="5" a="1"/>
  <c r="D1844" i="5" s="1"/>
  <c r="B1844" i="5"/>
  <c r="N1843" i="5"/>
  <c r="H1843" i="5"/>
  <c r="G1843" i="5"/>
  <c r="F1843" i="5"/>
  <c r="E1843" i="5"/>
  <c r="D1843" i="5" a="1"/>
  <c r="D1843" i="5" s="1"/>
  <c r="B1843" i="5"/>
  <c r="N1842" i="5"/>
  <c r="H1842" i="5"/>
  <c r="G1842" i="5"/>
  <c r="F1842" i="5"/>
  <c r="E1842" i="5"/>
  <c r="D1842" i="5" a="1"/>
  <c r="D1842" i="5" s="1"/>
  <c r="B1842" i="5"/>
  <c r="N1841" i="5"/>
  <c r="H1841" i="5"/>
  <c r="G1841" i="5"/>
  <c r="F1841" i="5"/>
  <c r="E1841" i="5"/>
  <c r="D1841" i="5" a="1"/>
  <c r="D1841" i="5" s="1"/>
  <c r="B1841" i="5"/>
  <c r="N1840" i="5"/>
  <c r="H1840" i="5"/>
  <c r="G1840" i="5"/>
  <c r="F1840" i="5"/>
  <c r="E1840" i="5"/>
  <c r="D1840" i="5" a="1"/>
  <c r="D1840" i="5" s="1"/>
  <c r="B1840" i="5"/>
  <c r="N1839" i="5"/>
  <c r="H1839" i="5"/>
  <c r="G1839" i="5"/>
  <c r="F1839" i="5"/>
  <c r="E1839" i="5"/>
  <c r="D1839" i="5" a="1"/>
  <c r="D1839" i="5" s="1"/>
  <c r="B1839" i="5"/>
  <c r="N1838" i="5"/>
  <c r="H1838" i="5"/>
  <c r="G1838" i="5"/>
  <c r="F1838" i="5"/>
  <c r="E1838" i="5"/>
  <c r="D1838" i="5" a="1"/>
  <c r="D1838" i="5" s="1"/>
  <c r="B1838" i="5"/>
  <c r="N1837" i="5"/>
  <c r="H1837" i="5"/>
  <c r="G1837" i="5"/>
  <c r="F1837" i="5"/>
  <c r="E1837" i="5"/>
  <c r="D1837" i="5" a="1"/>
  <c r="D1837" i="5" s="1"/>
  <c r="B1837" i="5"/>
  <c r="N1836" i="5"/>
  <c r="H1836" i="5"/>
  <c r="G1836" i="5"/>
  <c r="F1836" i="5"/>
  <c r="E1836" i="5"/>
  <c r="D1836" i="5" a="1"/>
  <c r="D1836" i="5" s="1"/>
  <c r="B1836" i="5"/>
  <c r="N1835" i="5"/>
  <c r="H1835" i="5"/>
  <c r="G1835" i="5"/>
  <c r="F1835" i="5"/>
  <c r="E1835" i="5"/>
  <c r="D1835" i="5" a="1"/>
  <c r="D1835" i="5" s="1"/>
  <c r="B1835" i="5"/>
  <c r="N1834" i="5"/>
  <c r="H1834" i="5"/>
  <c r="G1834" i="5"/>
  <c r="F1834" i="5"/>
  <c r="E1834" i="5"/>
  <c r="D1834" i="5" a="1"/>
  <c r="D1834" i="5" s="1"/>
  <c r="B1834" i="5"/>
  <c r="N1833" i="5"/>
  <c r="H1833" i="5"/>
  <c r="G1833" i="5"/>
  <c r="F1833" i="5"/>
  <c r="E1833" i="5"/>
  <c r="D1833" i="5" a="1"/>
  <c r="D1833" i="5" s="1"/>
  <c r="B1833" i="5"/>
  <c r="N1832" i="5"/>
  <c r="H1832" i="5"/>
  <c r="G1832" i="5"/>
  <c r="F1832" i="5"/>
  <c r="E1832" i="5"/>
  <c r="D1832" i="5" a="1"/>
  <c r="D1832" i="5" s="1"/>
  <c r="B1832" i="5"/>
  <c r="N1831" i="5"/>
  <c r="H1831" i="5"/>
  <c r="G1831" i="5"/>
  <c r="F1831" i="5"/>
  <c r="E1831" i="5"/>
  <c r="D1831" i="5" a="1"/>
  <c r="D1831" i="5" s="1"/>
  <c r="B1831" i="5"/>
  <c r="N1830" i="5"/>
  <c r="H1830" i="5"/>
  <c r="G1830" i="5"/>
  <c r="F1830" i="5"/>
  <c r="E1830" i="5"/>
  <c r="D1830" i="5" a="1"/>
  <c r="D1830" i="5" s="1"/>
  <c r="B1830" i="5"/>
  <c r="N1829" i="5"/>
  <c r="H1829" i="5"/>
  <c r="G1829" i="5"/>
  <c r="F1829" i="5"/>
  <c r="E1829" i="5"/>
  <c r="D1829" i="5" a="1"/>
  <c r="D1829" i="5" s="1"/>
  <c r="B1829" i="5"/>
  <c r="N1828" i="5"/>
  <c r="H1828" i="5"/>
  <c r="G1828" i="5"/>
  <c r="F1828" i="5"/>
  <c r="E1828" i="5"/>
  <c r="D1828" i="5" a="1"/>
  <c r="D1828" i="5" s="1"/>
  <c r="B1828" i="5"/>
  <c r="N1827" i="5"/>
  <c r="H1827" i="5"/>
  <c r="G1827" i="5"/>
  <c r="F1827" i="5"/>
  <c r="E1827" i="5"/>
  <c r="D1827" i="5" a="1"/>
  <c r="D1827" i="5" s="1"/>
  <c r="B1827" i="5"/>
  <c r="N1826" i="5"/>
  <c r="H1826" i="5"/>
  <c r="G1826" i="5"/>
  <c r="F1826" i="5"/>
  <c r="E1826" i="5"/>
  <c r="D1826" i="5" a="1"/>
  <c r="D1826" i="5" s="1"/>
  <c r="B1826" i="5"/>
  <c r="N1825" i="5"/>
  <c r="H1825" i="5"/>
  <c r="G1825" i="5"/>
  <c r="F1825" i="5"/>
  <c r="E1825" i="5"/>
  <c r="D1825" i="5" a="1"/>
  <c r="D1825" i="5" s="1"/>
  <c r="B1825" i="5"/>
  <c r="N1824" i="5"/>
  <c r="H1824" i="5"/>
  <c r="G1824" i="5"/>
  <c r="F1824" i="5"/>
  <c r="E1824" i="5"/>
  <c r="D1824" i="5" a="1"/>
  <c r="D1824" i="5" s="1"/>
  <c r="B1824" i="5"/>
  <c r="N1823" i="5"/>
  <c r="H1823" i="5"/>
  <c r="G1823" i="5"/>
  <c r="F1823" i="5"/>
  <c r="E1823" i="5"/>
  <c r="D1823" i="5" a="1"/>
  <c r="D1823" i="5" s="1"/>
  <c r="B1823" i="5"/>
  <c r="N1822" i="5"/>
  <c r="H1822" i="5"/>
  <c r="G1822" i="5"/>
  <c r="F1822" i="5"/>
  <c r="E1822" i="5"/>
  <c r="D1822" i="5" a="1"/>
  <c r="D1822" i="5" s="1"/>
  <c r="B1822" i="5"/>
  <c r="N1821" i="5"/>
  <c r="H1821" i="5"/>
  <c r="G1821" i="5"/>
  <c r="F1821" i="5"/>
  <c r="E1821" i="5"/>
  <c r="D1821" i="5" a="1"/>
  <c r="D1821" i="5" s="1"/>
  <c r="B1821" i="5"/>
  <c r="N1820" i="5"/>
  <c r="H1820" i="5"/>
  <c r="G1820" i="5"/>
  <c r="F1820" i="5"/>
  <c r="E1820" i="5"/>
  <c r="D1820" i="5" a="1"/>
  <c r="D1820" i="5" s="1"/>
  <c r="B1820" i="5"/>
  <c r="N1819" i="5"/>
  <c r="H1819" i="5"/>
  <c r="G1819" i="5"/>
  <c r="F1819" i="5"/>
  <c r="E1819" i="5"/>
  <c r="D1819" i="5" a="1"/>
  <c r="D1819" i="5" s="1"/>
  <c r="B1819" i="5"/>
  <c r="N1818" i="5"/>
  <c r="H1818" i="5"/>
  <c r="G1818" i="5"/>
  <c r="F1818" i="5"/>
  <c r="E1818" i="5"/>
  <c r="D1818" i="5" a="1"/>
  <c r="D1818" i="5" s="1"/>
  <c r="B1818" i="5"/>
  <c r="N1817" i="5"/>
  <c r="H1817" i="5"/>
  <c r="G1817" i="5"/>
  <c r="F1817" i="5"/>
  <c r="E1817" i="5"/>
  <c r="D1817" i="5" a="1"/>
  <c r="D1817" i="5" s="1"/>
  <c r="B1817" i="5"/>
  <c r="N1816" i="5"/>
  <c r="H1816" i="5"/>
  <c r="G1816" i="5"/>
  <c r="F1816" i="5"/>
  <c r="E1816" i="5"/>
  <c r="D1816" i="5" a="1"/>
  <c r="D1816" i="5" s="1"/>
  <c r="B1816" i="5"/>
  <c r="N1815" i="5"/>
  <c r="H1815" i="5"/>
  <c r="G1815" i="5"/>
  <c r="F1815" i="5"/>
  <c r="E1815" i="5"/>
  <c r="D1815" i="5" a="1"/>
  <c r="D1815" i="5" s="1"/>
  <c r="B1815" i="5"/>
  <c r="N1814" i="5"/>
  <c r="H1814" i="5"/>
  <c r="G1814" i="5"/>
  <c r="F1814" i="5"/>
  <c r="E1814" i="5"/>
  <c r="D1814" i="5" a="1"/>
  <c r="D1814" i="5" s="1"/>
  <c r="B1814" i="5"/>
  <c r="N1813" i="5"/>
  <c r="H1813" i="5"/>
  <c r="G1813" i="5"/>
  <c r="F1813" i="5"/>
  <c r="E1813" i="5"/>
  <c r="D1813" i="5" a="1"/>
  <c r="D1813" i="5" s="1"/>
  <c r="B1813" i="5"/>
  <c r="N1812" i="5"/>
  <c r="H1812" i="5"/>
  <c r="G1812" i="5"/>
  <c r="F1812" i="5"/>
  <c r="E1812" i="5"/>
  <c r="D1812" i="5" a="1"/>
  <c r="D1812" i="5" s="1"/>
  <c r="B1812" i="5"/>
  <c r="N1811" i="5"/>
  <c r="H1811" i="5"/>
  <c r="G1811" i="5"/>
  <c r="F1811" i="5"/>
  <c r="E1811" i="5"/>
  <c r="D1811" i="5" a="1"/>
  <c r="D1811" i="5" s="1"/>
  <c r="B1811" i="5"/>
  <c r="N1810" i="5"/>
  <c r="H1810" i="5"/>
  <c r="G1810" i="5"/>
  <c r="F1810" i="5"/>
  <c r="E1810" i="5"/>
  <c r="D1810" i="5" a="1"/>
  <c r="D1810" i="5" s="1"/>
  <c r="B1810" i="5"/>
  <c r="N1809" i="5"/>
  <c r="H1809" i="5"/>
  <c r="G1809" i="5"/>
  <c r="F1809" i="5"/>
  <c r="E1809" i="5"/>
  <c r="D1809" i="5" a="1"/>
  <c r="D1809" i="5" s="1"/>
  <c r="B1809" i="5"/>
  <c r="N1808" i="5"/>
  <c r="H1808" i="5"/>
  <c r="G1808" i="5"/>
  <c r="F1808" i="5"/>
  <c r="E1808" i="5"/>
  <c r="D1808" i="5" a="1"/>
  <c r="D1808" i="5" s="1"/>
  <c r="B1808" i="5"/>
  <c r="N1807" i="5"/>
  <c r="H1807" i="5"/>
  <c r="G1807" i="5"/>
  <c r="F1807" i="5"/>
  <c r="E1807" i="5"/>
  <c r="D1807" i="5" a="1"/>
  <c r="D1807" i="5" s="1"/>
  <c r="B1807" i="5"/>
  <c r="N1806" i="5"/>
  <c r="H1806" i="5"/>
  <c r="G1806" i="5"/>
  <c r="F1806" i="5"/>
  <c r="E1806" i="5"/>
  <c r="D1806" i="5" a="1"/>
  <c r="D1806" i="5" s="1"/>
  <c r="B1806" i="5"/>
  <c r="N1805" i="5"/>
  <c r="H1805" i="5"/>
  <c r="G1805" i="5"/>
  <c r="F1805" i="5"/>
  <c r="E1805" i="5"/>
  <c r="D1805" i="5" a="1"/>
  <c r="D1805" i="5" s="1"/>
  <c r="B1805" i="5"/>
  <c r="N1804" i="5"/>
  <c r="H1804" i="5"/>
  <c r="G1804" i="5"/>
  <c r="F1804" i="5"/>
  <c r="E1804" i="5"/>
  <c r="D1804" i="5" a="1"/>
  <c r="D1804" i="5" s="1"/>
  <c r="B1804" i="5"/>
  <c r="N1803" i="5"/>
  <c r="H1803" i="5"/>
  <c r="G1803" i="5"/>
  <c r="F1803" i="5"/>
  <c r="E1803" i="5"/>
  <c r="D1803" i="5" a="1"/>
  <c r="D1803" i="5" s="1"/>
  <c r="B1803" i="5"/>
  <c r="N1802" i="5"/>
  <c r="H1802" i="5"/>
  <c r="G1802" i="5"/>
  <c r="F1802" i="5"/>
  <c r="E1802" i="5"/>
  <c r="D1802" i="5" a="1"/>
  <c r="D1802" i="5" s="1"/>
  <c r="B1802" i="5"/>
  <c r="N1801" i="5"/>
  <c r="H1801" i="5"/>
  <c r="G1801" i="5"/>
  <c r="F1801" i="5"/>
  <c r="E1801" i="5"/>
  <c r="D1801" i="5" a="1"/>
  <c r="D1801" i="5" s="1"/>
  <c r="B1801" i="5"/>
  <c r="N1800" i="5"/>
  <c r="H1800" i="5"/>
  <c r="G1800" i="5"/>
  <c r="F1800" i="5"/>
  <c r="E1800" i="5"/>
  <c r="D1800" i="5" a="1"/>
  <c r="D1800" i="5" s="1"/>
  <c r="B1800" i="5"/>
  <c r="N1799" i="5"/>
  <c r="H1799" i="5"/>
  <c r="G1799" i="5"/>
  <c r="F1799" i="5"/>
  <c r="E1799" i="5"/>
  <c r="D1799" i="5" a="1"/>
  <c r="D1799" i="5" s="1"/>
  <c r="B1799" i="5"/>
  <c r="N1798" i="5"/>
  <c r="H1798" i="5"/>
  <c r="G1798" i="5"/>
  <c r="F1798" i="5"/>
  <c r="E1798" i="5"/>
  <c r="D1798" i="5" a="1"/>
  <c r="D1798" i="5" s="1"/>
  <c r="B1798" i="5"/>
  <c r="N1797" i="5"/>
  <c r="H1797" i="5"/>
  <c r="G1797" i="5"/>
  <c r="F1797" i="5"/>
  <c r="E1797" i="5"/>
  <c r="D1797" i="5" a="1"/>
  <c r="D1797" i="5" s="1"/>
  <c r="B1797" i="5"/>
  <c r="N1796" i="5"/>
  <c r="H1796" i="5"/>
  <c r="G1796" i="5"/>
  <c r="F1796" i="5"/>
  <c r="E1796" i="5"/>
  <c r="D1796" i="5" a="1"/>
  <c r="D1796" i="5" s="1"/>
  <c r="B1796" i="5"/>
  <c r="N1795" i="5"/>
  <c r="H1795" i="5"/>
  <c r="G1795" i="5"/>
  <c r="F1795" i="5"/>
  <c r="E1795" i="5"/>
  <c r="D1795" i="5" a="1"/>
  <c r="D1795" i="5" s="1"/>
  <c r="B1795" i="5"/>
  <c r="N1794" i="5"/>
  <c r="H1794" i="5"/>
  <c r="G1794" i="5"/>
  <c r="F1794" i="5"/>
  <c r="E1794" i="5"/>
  <c r="D1794" i="5" a="1"/>
  <c r="D1794" i="5" s="1"/>
  <c r="B1794" i="5"/>
  <c r="N1793" i="5"/>
  <c r="H1793" i="5"/>
  <c r="G1793" i="5"/>
  <c r="F1793" i="5"/>
  <c r="E1793" i="5"/>
  <c r="D1793" i="5" a="1"/>
  <c r="D1793" i="5" s="1"/>
  <c r="B1793" i="5"/>
  <c r="N1792" i="5"/>
  <c r="H1792" i="5"/>
  <c r="G1792" i="5"/>
  <c r="F1792" i="5"/>
  <c r="E1792" i="5"/>
  <c r="D1792" i="5" a="1"/>
  <c r="D1792" i="5" s="1"/>
  <c r="B1792" i="5"/>
  <c r="N1791" i="5"/>
  <c r="H1791" i="5"/>
  <c r="G1791" i="5"/>
  <c r="F1791" i="5"/>
  <c r="E1791" i="5"/>
  <c r="D1791" i="5" a="1"/>
  <c r="D1791" i="5" s="1"/>
  <c r="B1791" i="5"/>
  <c r="N1790" i="5"/>
  <c r="H1790" i="5"/>
  <c r="G1790" i="5"/>
  <c r="F1790" i="5"/>
  <c r="E1790" i="5"/>
  <c r="D1790" i="5" a="1"/>
  <c r="D1790" i="5" s="1"/>
  <c r="B1790" i="5"/>
  <c r="N1789" i="5"/>
  <c r="H1789" i="5"/>
  <c r="G1789" i="5"/>
  <c r="F1789" i="5"/>
  <c r="E1789" i="5"/>
  <c r="D1789" i="5" a="1"/>
  <c r="D1789" i="5" s="1"/>
  <c r="B1789" i="5"/>
  <c r="N1788" i="5"/>
  <c r="H1788" i="5"/>
  <c r="G1788" i="5"/>
  <c r="F1788" i="5"/>
  <c r="E1788" i="5"/>
  <c r="D1788" i="5" a="1"/>
  <c r="D1788" i="5" s="1"/>
  <c r="B1788" i="5"/>
  <c r="N1787" i="5"/>
  <c r="H1787" i="5"/>
  <c r="G1787" i="5"/>
  <c r="F1787" i="5"/>
  <c r="E1787" i="5"/>
  <c r="D1787" i="5" a="1"/>
  <c r="D1787" i="5" s="1"/>
  <c r="B1787" i="5"/>
  <c r="N1786" i="5"/>
  <c r="H1786" i="5"/>
  <c r="G1786" i="5"/>
  <c r="F1786" i="5"/>
  <c r="E1786" i="5"/>
  <c r="D1786" i="5" a="1"/>
  <c r="D1786" i="5" s="1"/>
  <c r="B1786" i="5"/>
  <c r="N1785" i="5"/>
  <c r="H1785" i="5"/>
  <c r="G1785" i="5"/>
  <c r="F1785" i="5"/>
  <c r="E1785" i="5"/>
  <c r="D1785" i="5" a="1"/>
  <c r="D1785" i="5" s="1"/>
  <c r="B1785" i="5"/>
  <c r="N1784" i="5"/>
  <c r="H1784" i="5"/>
  <c r="G1784" i="5"/>
  <c r="F1784" i="5"/>
  <c r="E1784" i="5"/>
  <c r="D1784" i="5" a="1"/>
  <c r="D1784" i="5" s="1"/>
  <c r="B1784" i="5"/>
  <c r="N1783" i="5"/>
  <c r="H1783" i="5"/>
  <c r="G1783" i="5"/>
  <c r="F1783" i="5"/>
  <c r="E1783" i="5"/>
  <c r="D1783" i="5" a="1"/>
  <c r="D1783" i="5" s="1"/>
  <c r="B1783" i="5"/>
  <c r="N1782" i="5"/>
  <c r="H1782" i="5"/>
  <c r="G1782" i="5"/>
  <c r="F1782" i="5"/>
  <c r="E1782" i="5"/>
  <c r="D1782" i="5" a="1"/>
  <c r="D1782" i="5" s="1"/>
  <c r="B1782" i="5"/>
  <c r="N1781" i="5"/>
  <c r="H1781" i="5"/>
  <c r="G1781" i="5"/>
  <c r="F1781" i="5"/>
  <c r="E1781" i="5"/>
  <c r="D1781" i="5" a="1"/>
  <c r="D1781" i="5" s="1"/>
  <c r="B1781" i="5"/>
  <c r="N1780" i="5"/>
  <c r="H1780" i="5"/>
  <c r="G1780" i="5"/>
  <c r="F1780" i="5"/>
  <c r="E1780" i="5"/>
  <c r="D1780" i="5" a="1"/>
  <c r="D1780" i="5" s="1"/>
  <c r="B1780" i="5"/>
  <c r="N1779" i="5"/>
  <c r="H1779" i="5"/>
  <c r="G1779" i="5"/>
  <c r="F1779" i="5"/>
  <c r="E1779" i="5"/>
  <c r="D1779" i="5" a="1"/>
  <c r="D1779" i="5" s="1"/>
  <c r="B1779" i="5"/>
  <c r="N1778" i="5"/>
  <c r="H1778" i="5"/>
  <c r="G1778" i="5"/>
  <c r="F1778" i="5"/>
  <c r="E1778" i="5"/>
  <c r="D1778" i="5" a="1"/>
  <c r="D1778" i="5" s="1"/>
  <c r="B1778" i="5"/>
  <c r="N1777" i="5"/>
  <c r="H1777" i="5"/>
  <c r="G1777" i="5"/>
  <c r="F1777" i="5"/>
  <c r="E1777" i="5"/>
  <c r="D1777" i="5" a="1"/>
  <c r="D1777" i="5" s="1"/>
  <c r="B1777" i="5"/>
  <c r="N1776" i="5"/>
  <c r="H1776" i="5"/>
  <c r="G1776" i="5"/>
  <c r="F1776" i="5"/>
  <c r="E1776" i="5"/>
  <c r="D1776" i="5" a="1"/>
  <c r="D1776" i="5" s="1"/>
  <c r="B1776" i="5"/>
  <c r="N1775" i="5"/>
  <c r="H1775" i="5"/>
  <c r="G1775" i="5"/>
  <c r="F1775" i="5"/>
  <c r="E1775" i="5"/>
  <c r="D1775" i="5" a="1"/>
  <c r="D1775" i="5" s="1"/>
  <c r="B1775" i="5"/>
  <c r="N1774" i="5"/>
  <c r="H1774" i="5"/>
  <c r="G1774" i="5"/>
  <c r="F1774" i="5"/>
  <c r="E1774" i="5"/>
  <c r="D1774" i="5" a="1"/>
  <c r="D1774" i="5" s="1"/>
  <c r="B1774" i="5"/>
  <c r="N1773" i="5"/>
  <c r="H1773" i="5"/>
  <c r="G1773" i="5"/>
  <c r="F1773" i="5"/>
  <c r="E1773" i="5"/>
  <c r="D1773" i="5" a="1"/>
  <c r="D1773" i="5" s="1"/>
  <c r="B1773" i="5"/>
  <c r="N1772" i="5"/>
  <c r="H1772" i="5"/>
  <c r="G1772" i="5"/>
  <c r="F1772" i="5"/>
  <c r="E1772" i="5"/>
  <c r="D1772" i="5" a="1"/>
  <c r="D1772" i="5" s="1"/>
  <c r="B1772" i="5"/>
  <c r="N1771" i="5"/>
  <c r="H1771" i="5"/>
  <c r="G1771" i="5"/>
  <c r="F1771" i="5"/>
  <c r="E1771" i="5"/>
  <c r="D1771" i="5" a="1"/>
  <c r="D1771" i="5" s="1"/>
  <c r="B1771" i="5"/>
  <c r="N1770" i="5"/>
  <c r="H1770" i="5"/>
  <c r="G1770" i="5"/>
  <c r="F1770" i="5"/>
  <c r="E1770" i="5"/>
  <c r="D1770" i="5" a="1"/>
  <c r="D1770" i="5" s="1"/>
  <c r="B1770" i="5"/>
  <c r="N1769" i="5"/>
  <c r="H1769" i="5"/>
  <c r="G1769" i="5"/>
  <c r="F1769" i="5"/>
  <c r="E1769" i="5"/>
  <c r="D1769" i="5" a="1"/>
  <c r="D1769" i="5" s="1"/>
  <c r="B1769" i="5"/>
  <c r="N1768" i="5"/>
  <c r="H1768" i="5"/>
  <c r="G1768" i="5"/>
  <c r="F1768" i="5"/>
  <c r="E1768" i="5"/>
  <c r="D1768" i="5" a="1"/>
  <c r="D1768" i="5" s="1"/>
  <c r="B1768" i="5"/>
  <c r="N1767" i="5"/>
  <c r="H1767" i="5"/>
  <c r="G1767" i="5"/>
  <c r="F1767" i="5"/>
  <c r="E1767" i="5"/>
  <c r="D1767" i="5" a="1"/>
  <c r="D1767" i="5" s="1"/>
  <c r="B1767" i="5"/>
  <c r="N1766" i="5"/>
  <c r="H1766" i="5"/>
  <c r="G1766" i="5"/>
  <c r="F1766" i="5"/>
  <c r="E1766" i="5"/>
  <c r="D1766" i="5" a="1"/>
  <c r="D1766" i="5" s="1"/>
  <c r="B1766" i="5"/>
  <c r="N1765" i="5"/>
  <c r="H1765" i="5"/>
  <c r="G1765" i="5"/>
  <c r="F1765" i="5"/>
  <c r="E1765" i="5"/>
  <c r="D1765" i="5" a="1"/>
  <c r="D1765" i="5" s="1"/>
  <c r="B1765" i="5"/>
  <c r="N1764" i="5"/>
  <c r="H1764" i="5"/>
  <c r="G1764" i="5"/>
  <c r="F1764" i="5"/>
  <c r="E1764" i="5"/>
  <c r="D1764" i="5" a="1"/>
  <c r="D1764" i="5" s="1"/>
  <c r="B1764" i="5"/>
  <c r="N1763" i="5"/>
  <c r="H1763" i="5"/>
  <c r="G1763" i="5"/>
  <c r="F1763" i="5"/>
  <c r="E1763" i="5"/>
  <c r="D1763" i="5" a="1"/>
  <c r="D1763" i="5" s="1"/>
  <c r="B1763" i="5"/>
  <c r="N1762" i="5"/>
  <c r="H1762" i="5"/>
  <c r="G1762" i="5"/>
  <c r="F1762" i="5"/>
  <c r="E1762" i="5"/>
  <c r="D1762" i="5" a="1"/>
  <c r="D1762" i="5" s="1"/>
  <c r="B1762" i="5"/>
  <c r="N1761" i="5"/>
  <c r="H1761" i="5"/>
  <c r="G1761" i="5"/>
  <c r="F1761" i="5"/>
  <c r="E1761" i="5"/>
  <c r="D1761" i="5" a="1"/>
  <c r="D1761" i="5" s="1"/>
  <c r="B1761" i="5"/>
  <c r="N1760" i="5"/>
  <c r="H1760" i="5"/>
  <c r="G1760" i="5"/>
  <c r="F1760" i="5"/>
  <c r="E1760" i="5"/>
  <c r="D1760" i="5" a="1"/>
  <c r="D1760" i="5" s="1"/>
  <c r="B1760" i="5"/>
  <c r="N1759" i="5"/>
  <c r="H1759" i="5"/>
  <c r="G1759" i="5"/>
  <c r="F1759" i="5"/>
  <c r="E1759" i="5"/>
  <c r="D1759" i="5" a="1"/>
  <c r="D1759" i="5" s="1"/>
  <c r="B1759" i="5"/>
  <c r="N1758" i="5"/>
  <c r="H1758" i="5"/>
  <c r="G1758" i="5"/>
  <c r="F1758" i="5"/>
  <c r="E1758" i="5"/>
  <c r="D1758" i="5" a="1"/>
  <c r="D1758" i="5" s="1"/>
  <c r="B1758" i="5"/>
  <c r="N1757" i="5"/>
  <c r="H1757" i="5"/>
  <c r="G1757" i="5"/>
  <c r="F1757" i="5"/>
  <c r="E1757" i="5"/>
  <c r="D1757" i="5" a="1"/>
  <c r="D1757" i="5" s="1"/>
  <c r="B1757" i="5"/>
  <c r="N1756" i="5"/>
  <c r="H1756" i="5"/>
  <c r="G1756" i="5"/>
  <c r="F1756" i="5"/>
  <c r="E1756" i="5"/>
  <c r="D1756" i="5" a="1"/>
  <c r="D1756" i="5" s="1"/>
  <c r="B1756" i="5"/>
  <c r="N1755" i="5"/>
  <c r="H1755" i="5"/>
  <c r="G1755" i="5"/>
  <c r="F1755" i="5"/>
  <c r="E1755" i="5"/>
  <c r="D1755" i="5" a="1"/>
  <c r="D1755" i="5" s="1"/>
  <c r="B1755" i="5"/>
  <c r="N1754" i="5"/>
  <c r="H1754" i="5"/>
  <c r="G1754" i="5"/>
  <c r="F1754" i="5"/>
  <c r="E1754" i="5"/>
  <c r="D1754" i="5" a="1"/>
  <c r="D1754" i="5" s="1"/>
  <c r="B1754" i="5"/>
  <c r="N1753" i="5"/>
  <c r="H1753" i="5"/>
  <c r="G1753" i="5"/>
  <c r="F1753" i="5"/>
  <c r="E1753" i="5"/>
  <c r="D1753" i="5" a="1"/>
  <c r="D1753" i="5" s="1"/>
  <c r="B1753" i="5"/>
  <c r="N1752" i="5"/>
  <c r="H1752" i="5"/>
  <c r="G1752" i="5"/>
  <c r="F1752" i="5"/>
  <c r="E1752" i="5"/>
  <c r="D1752" i="5" a="1"/>
  <c r="D1752" i="5" s="1"/>
  <c r="B1752" i="5"/>
  <c r="N1751" i="5"/>
  <c r="H1751" i="5"/>
  <c r="G1751" i="5"/>
  <c r="F1751" i="5"/>
  <c r="E1751" i="5"/>
  <c r="D1751" i="5" a="1"/>
  <c r="D1751" i="5" s="1"/>
  <c r="B1751" i="5"/>
  <c r="N1750" i="5"/>
  <c r="H1750" i="5"/>
  <c r="G1750" i="5"/>
  <c r="F1750" i="5"/>
  <c r="E1750" i="5"/>
  <c r="D1750" i="5" a="1"/>
  <c r="D1750" i="5" s="1"/>
  <c r="B1750" i="5"/>
  <c r="N1749" i="5"/>
  <c r="H1749" i="5"/>
  <c r="G1749" i="5"/>
  <c r="F1749" i="5"/>
  <c r="E1749" i="5"/>
  <c r="D1749" i="5" a="1"/>
  <c r="D1749" i="5" s="1"/>
  <c r="B1749" i="5"/>
  <c r="N1748" i="5"/>
  <c r="H1748" i="5"/>
  <c r="G1748" i="5"/>
  <c r="F1748" i="5"/>
  <c r="E1748" i="5"/>
  <c r="D1748" i="5" a="1"/>
  <c r="D1748" i="5" s="1"/>
  <c r="B1748" i="5"/>
  <c r="N1747" i="5"/>
  <c r="H1747" i="5"/>
  <c r="G1747" i="5"/>
  <c r="F1747" i="5"/>
  <c r="E1747" i="5"/>
  <c r="D1747" i="5" a="1"/>
  <c r="D1747" i="5" s="1"/>
  <c r="B1747" i="5"/>
  <c r="N1746" i="5"/>
  <c r="H1746" i="5"/>
  <c r="G1746" i="5"/>
  <c r="F1746" i="5"/>
  <c r="E1746" i="5"/>
  <c r="D1746" i="5" a="1"/>
  <c r="D1746" i="5" s="1"/>
  <c r="B1746" i="5"/>
  <c r="N1745" i="5"/>
  <c r="H1745" i="5"/>
  <c r="G1745" i="5"/>
  <c r="F1745" i="5"/>
  <c r="E1745" i="5"/>
  <c r="D1745" i="5" a="1"/>
  <c r="D1745" i="5" s="1"/>
  <c r="B1745" i="5"/>
  <c r="N1744" i="5"/>
  <c r="H1744" i="5"/>
  <c r="G1744" i="5"/>
  <c r="F1744" i="5"/>
  <c r="E1744" i="5"/>
  <c r="D1744" i="5" a="1"/>
  <c r="D1744" i="5" s="1"/>
  <c r="B1744" i="5"/>
  <c r="N1743" i="5"/>
  <c r="H1743" i="5"/>
  <c r="G1743" i="5"/>
  <c r="F1743" i="5"/>
  <c r="E1743" i="5"/>
  <c r="D1743" i="5" a="1"/>
  <c r="D1743" i="5" s="1"/>
  <c r="B1743" i="5"/>
  <c r="N1742" i="5"/>
  <c r="H1742" i="5"/>
  <c r="G1742" i="5"/>
  <c r="F1742" i="5"/>
  <c r="E1742" i="5"/>
  <c r="D1742" i="5" a="1"/>
  <c r="D1742" i="5" s="1"/>
  <c r="B1742" i="5"/>
  <c r="N1741" i="5"/>
  <c r="H1741" i="5"/>
  <c r="G1741" i="5"/>
  <c r="F1741" i="5"/>
  <c r="E1741" i="5"/>
  <c r="D1741" i="5" a="1"/>
  <c r="D1741" i="5" s="1"/>
  <c r="B1741" i="5"/>
  <c r="N1740" i="5"/>
  <c r="H1740" i="5"/>
  <c r="G1740" i="5"/>
  <c r="F1740" i="5"/>
  <c r="E1740" i="5"/>
  <c r="D1740" i="5" a="1"/>
  <c r="D1740" i="5" s="1"/>
  <c r="B1740" i="5"/>
  <c r="N1739" i="5"/>
  <c r="H1739" i="5"/>
  <c r="G1739" i="5"/>
  <c r="F1739" i="5"/>
  <c r="E1739" i="5"/>
  <c r="D1739" i="5" a="1"/>
  <c r="D1739" i="5" s="1"/>
  <c r="B1739" i="5"/>
  <c r="N1738" i="5"/>
  <c r="H1738" i="5"/>
  <c r="G1738" i="5"/>
  <c r="F1738" i="5"/>
  <c r="E1738" i="5"/>
  <c r="D1738" i="5" a="1"/>
  <c r="D1738" i="5" s="1"/>
  <c r="B1738" i="5"/>
  <c r="N1737" i="5"/>
  <c r="H1737" i="5"/>
  <c r="G1737" i="5"/>
  <c r="F1737" i="5"/>
  <c r="E1737" i="5"/>
  <c r="D1737" i="5" a="1"/>
  <c r="D1737" i="5" s="1"/>
  <c r="B1737" i="5"/>
  <c r="N1736" i="5"/>
  <c r="H1736" i="5"/>
  <c r="G1736" i="5"/>
  <c r="F1736" i="5"/>
  <c r="E1736" i="5"/>
  <c r="D1736" i="5" a="1"/>
  <c r="D1736" i="5" s="1"/>
  <c r="B1736" i="5"/>
  <c r="N1735" i="5"/>
  <c r="H1735" i="5"/>
  <c r="G1735" i="5"/>
  <c r="F1735" i="5"/>
  <c r="E1735" i="5"/>
  <c r="D1735" i="5" a="1"/>
  <c r="D1735" i="5" s="1"/>
  <c r="B1735" i="5"/>
  <c r="N1734" i="5"/>
  <c r="H1734" i="5"/>
  <c r="G1734" i="5"/>
  <c r="F1734" i="5"/>
  <c r="E1734" i="5"/>
  <c r="D1734" i="5" a="1"/>
  <c r="D1734" i="5" s="1"/>
  <c r="B1734" i="5"/>
  <c r="N1733" i="5"/>
  <c r="H1733" i="5"/>
  <c r="G1733" i="5"/>
  <c r="F1733" i="5"/>
  <c r="E1733" i="5"/>
  <c r="D1733" i="5" a="1"/>
  <c r="D1733" i="5" s="1"/>
  <c r="B1733" i="5"/>
  <c r="N1732" i="5"/>
  <c r="H1732" i="5"/>
  <c r="G1732" i="5"/>
  <c r="F1732" i="5"/>
  <c r="E1732" i="5"/>
  <c r="D1732" i="5" a="1"/>
  <c r="D1732" i="5" s="1"/>
  <c r="B1732" i="5"/>
  <c r="N1731" i="5"/>
  <c r="H1731" i="5"/>
  <c r="G1731" i="5"/>
  <c r="F1731" i="5"/>
  <c r="E1731" i="5"/>
  <c r="D1731" i="5" a="1"/>
  <c r="D1731" i="5" s="1"/>
  <c r="B1731" i="5"/>
  <c r="N1730" i="5"/>
  <c r="H1730" i="5"/>
  <c r="G1730" i="5"/>
  <c r="F1730" i="5"/>
  <c r="E1730" i="5"/>
  <c r="D1730" i="5" a="1"/>
  <c r="D1730" i="5" s="1"/>
  <c r="B1730" i="5"/>
  <c r="N1729" i="5"/>
  <c r="H1729" i="5"/>
  <c r="G1729" i="5"/>
  <c r="F1729" i="5"/>
  <c r="E1729" i="5"/>
  <c r="D1729" i="5" a="1"/>
  <c r="D1729" i="5" s="1"/>
  <c r="B1729" i="5"/>
  <c r="N1728" i="5"/>
  <c r="H1728" i="5"/>
  <c r="G1728" i="5"/>
  <c r="F1728" i="5"/>
  <c r="E1728" i="5"/>
  <c r="D1728" i="5" a="1"/>
  <c r="D1728" i="5" s="1"/>
  <c r="B1728" i="5"/>
  <c r="N1727" i="5"/>
  <c r="H1727" i="5"/>
  <c r="G1727" i="5"/>
  <c r="F1727" i="5"/>
  <c r="E1727" i="5"/>
  <c r="D1727" i="5" a="1"/>
  <c r="D1727" i="5" s="1"/>
  <c r="B1727" i="5"/>
  <c r="N1726" i="5"/>
  <c r="H1726" i="5"/>
  <c r="G1726" i="5"/>
  <c r="F1726" i="5"/>
  <c r="E1726" i="5"/>
  <c r="D1726" i="5" a="1"/>
  <c r="D1726" i="5" s="1"/>
  <c r="B1726" i="5"/>
  <c r="N1725" i="5"/>
  <c r="H1725" i="5"/>
  <c r="G1725" i="5"/>
  <c r="F1725" i="5"/>
  <c r="E1725" i="5"/>
  <c r="D1725" i="5" a="1"/>
  <c r="D1725" i="5" s="1"/>
  <c r="B1725" i="5"/>
  <c r="N1724" i="5"/>
  <c r="H1724" i="5"/>
  <c r="G1724" i="5"/>
  <c r="F1724" i="5"/>
  <c r="E1724" i="5"/>
  <c r="D1724" i="5" a="1"/>
  <c r="D1724" i="5" s="1"/>
  <c r="B1724" i="5"/>
  <c r="N1723" i="5"/>
  <c r="H1723" i="5"/>
  <c r="G1723" i="5"/>
  <c r="F1723" i="5"/>
  <c r="E1723" i="5"/>
  <c r="D1723" i="5" a="1"/>
  <c r="D1723" i="5" s="1"/>
  <c r="B1723" i="5"/>
  <c r="N1722" i="5"/>
  <c r="H1722" i="5"/>
  <c r="G1722" i="5"/>
  <c r="F1722" i="5"/>
  <c r="E1722" i="5"/>
  <c r="D1722" i="5" a="1"/>
  <c r="D1722" i="5" s="1"/>
  <c r="B1722" i="5"/>
  <c r="N1721" i="5"/>
  <c r="H1721" i="5"/>
  <c r="G1721" i="5"/>
  <c r="F1721" i="5"/>
  <c r="E1721" i="5"/>
  <c r="D1721" i="5" a="1"/>
  <c r="D1721" i="5" s="1"/>
  <c r="B1721" i="5"/>
  <c r="N1720" i="5"/>
  <c r="H1720" i="5"/>
  <c r="G1720" i="5"/>
  <c r="F1720" i="5"/>
  <c r="E1720" i="5"/>
  <c r="D1720" i="5" a="1"/>
  <c r="D1720" i="5" s="1"/>
  <c r="B1720" i="5"/>
  <c r="N1719" i="5"/>
  <c r="H1719" i="5"/>
  <c r="G1719" i="5"/>
  <c r="F1719" i="5"/>
  <c r="E1719" i="5"/>
  <c r="D1719" i="5" a="1"/>
  <c r="D1719" i="5" s="1"/>
  <c r="B1719" i="5"/>
  <c r="N1718" i="5"/>
  <c r="H1718" i="5"/>
  <c r="G1718" i="5"/>
  <c r="F1718" i="5"/>
  <c r="E1718" i="5"/>
  <c r="D1718" i="5" a="1"/>
  <c r="D1718" i="5" s="1"/>
  <c r="B1718" i="5"/>
  <c r="N1717" i="5"/>
  <c r="H1717" i="5"/>
  <c r="G1717" i="5"/>
  <c r="F1717" i="5"/>
  <c r="E1717" i="5"/>
  <c r="D1717" i="5" a="1"/>
  <c r="D1717" i="5" s="1"/>
  <c r="B1717" i="5"/>
  <c r="N1716" i="5"/>
  <c r="H1716" i="5"/>
  <c r="G1716" i="5"/>
  <c r="F1716" i="5"/>
  <c r="E1716" i="5"/>
  <c r="D1716" i="5" a="1"/>
  <c r="D1716" i="5" s="1"/>
  <c r="B1716" i="5"/>
  <c r="N1715" i="5"/>
  <c r="H1715" i="5"/>
  <c r="G1715" i="5"/>
  <c r="F1715" i="5"/>
  <c r="E1715" i="5"/>
  <c r="D1715" i="5" a="1"/>
  <c r="D1715" i="5" s="1"/>
  <c r="B1715" i="5"/>
  <c r="N1714" i="5"/>
  <c r="H1714" i="5"/>
  <c r="G1714" i="5"/>
  <c r="F1714" i="5"/>
  <c r="E1714" i="5"/>
  <c r="D1714" i="5" a="1"/>
  <c r="D1714" i="5" s="1"/>
  <c r="B1714" i="5"/>
  <c r="N1713" i="5"/>
  <c r="H1713" i="5"/>
  <c r="G1713" i="5"/>
  <c r="F1713" i="5"/>
  <c r="E1713" i="5"/>
  <c r="D1713" i="5" a="1"/>
  <c r="D1713" i="5" s="1"/>
  <c r="B1713" i="5"/>
  <c r="N1712" i="5"/>
  <c r="H1712" i="5"/>
  <c r="G1712" i="5"/>
  <c r="F1712" i="5"/>
  <c r="E1712" i="5"/>
  <c r="D1712" i="5" a="1"/>
  <c r="D1712" i="5" s="1"/>
  <c r="B1712" i="5"/>
  <c r="N1711" i="5"/>
  <c r="H1711" i="5"/>
  <c r="G1711" i="5"/>
  <c r="F1711" i="5"/>
  <c r="E1711" i="5"/>
  <c r="D1711" i="5" a="1"/>
  <c r="D1711" i="5" s="1"/>
  <c r="B1711" i="5"/>
  <c r="N1710" i="5"/>
  <c r="H1710" i="5"/>
  <c r="G1710" i="5"/>
  <c r="F1710" i="5"/>
  <c r="E1710" i="5"/>
  <c r="D1710" i="5" a="1"/>
  <c r="D1710" i="5" s="1"/>
  <c r="B1710" i="5"/>
  <c r="N1709" i="5"/>
  <c r="H1709" i="5"/>
  <c r="G1709" i="5"/>
  <c r="F1709" i="5"/>
  <c r="E1709" i="5"/>
  <c r="D1709" i="5" a="1"/>
  <c r="D1709" i="5" s="1"/>
  <c r="B1709" i="5"/>
  <c r="N1708" i="5"/>
  <c r="H1708" i="5"/>
  <c r="G1708" i="5"/>
  <c r="F1708" i="5"/>
  <c r="E1708" i="5"/>
  <c r="D1708" i="5" a="1"/>
  <c r="D1708" i="5" s="1"/>
  <c r="B1708" i="5"/>
  <c r="N1707" i="5"/>
  <c r="H1707" i="5"/>
  <c r="G1707" i="5"/>
  <c r="F1707" i="5"/>
  <c r="E1707" i="5"/>
  <c r="D1707" i="5" a="1"/>
  <c r="D1707" i="5" s="1"/>
  <c r="B1707" i="5"/>
  <c r="N1706" i="5"/>
  <c r="H1706" i="5"/>
  <c r="G1706" i="5"/>
  <c r="F1706" i="5"/>
  <c r="E1706" i="5"/>
  <c r="D1706" i="5" a="1"/>
  <c r="D1706" i="5" s="1"/>
  <c r="B1706" i="5"/>
  <c r="N1705" i="5"/>
  <c r="H1705" i="5"/>
  <c r="G1705" i="5"/>
  <c r="F1705" i="5"/>
  <c r="E1705" i="5"/>
  <c r="D1705" i="5" a="1"/>
  <c r="D1705" i="5" s="1"/>
  <c r="B1705" i="5"/>
  <c r="N1704" i="5"/>
  <c r="H1704" i="5"/>
  <c r="G1704" i="5"/>
  <c r="F1704" i="5"/>
  <c r="E1704" i="5"/>
  <c r="D1704" i="5" a="1"/>
  <c r="D1704" i="5" s="1"/>
  <c r="B1704" i="5"/>
  <c r="N1703" i="5"/>
  <c r="H1703" i="5"/>
  <c r="G1703" i="5"/>
  <c r="F1703" i="5"/>
  <c r="E1703" i="5"/>
  <c r="D1703" i="5" a="1"/>
  <c r="D1703" i="5" s="1"/>
  <c r="B1703" i="5"/>
  <c r="N1702" i="5"/>
  <c r="H1702" i="5"/>
  <c r="G1702" i="5"/>
  <c r="F1702" i="5"/>
  <c r="E1702" i="5"/>
  <c r="D1702" i="5" a="1"/>
  <c r="D1702" i="5" s="1"/>
  <c r="B1702" i="5"/>
  <c r="N1701" i="5"/>
  <c r="H1701" i="5"/>
  <c r="G1701" i="5"/>
  <c r="F1701" i="5"/>
  <c r="E1701" i="5"/>
  <c r="D1701" i="5" a="1"/>
  <c r="D1701" i="5" s="1"/>
  <c r="B1701" i="5"/>
  <c r="N1700" i="5"/>
  <c r="H1700" i="5"/>
  <c r="G1700" i="5"/>
  <c r="F1700" i="5"/>
  <c r="E1700" i="5"/>
  <c r="D1700" i="5" a="1"/>
  <c r="D1700" i="5" s="1"/>
  <c r="B1700" i="5"/>
  <c r="N1699" i="5"/>
  <c r="H1699" i="5"/>
  <c r="G1699" i="5"/>
  <c r="F1699" i="5"/>
  <c r="E1699" i="5"/>
  <c r="D1699" i="5" a="1"/>
  <c r="D1699" i="5" s="1"/>
  <c r="B1699" i="5"/>
  <c r="N1698" i="5"/>
  <c r="H1698" i="5"/>
  <c r="G1698" i="5"/>
  <c r="F1698" i="5"/>
  <c r="E1698" i="5"/>
  <c r="D1698" i="5" a="1"/>
  <c r="D1698" i="5" s="1"/>
  <c r="B1698" i="5"/>
  <c r="N1697" i="5"/>
  <c r="H1697" i="5"/>
  <c r="G1697" i="5"/>
  <c r="F1697" i="5"/>
  <c r="E1697" i="5"/>
  <c r="D1697" i="5" a="1"/>
  <c r="D1697" i="5" s="1"/>
  <c r="B1697" i="5"/>
  <c r="N1696" i="5"/>
  <c r="H1696" i="5"/>
  <c r="G1696" i="5"/>
  <c r="F1696" i="5"/>
  <c r="E1696" i="5"/>
  <c r="D1696" i="5" a="1"/>
  <c r="D1696" i="5" s="1"/>
  <c r="B1696" i="5"/>
  <c r="N1695" i="5"/>
  <c r="H1695" i="5"/>
  <c r="G1695" i="5"/>
  <c r="F1695" i="5"/>
  <c r="E1695" i="5"/>
  <c r="D1695" i="5" a="1"/>
  <c r="D1695" i="5" s="1"/>
  <c r="B1695" i="5"/>
  <c r="N1694" i="5"/>
  <c r="H1694" i="5"/>
  <c r="G1694" i="5"/>
  <c r="F1694" i="5"/>
  <c r="E1694" i="5"/>
  <c r="D1694" i="5" a="1"/>
  <c r="D1694" i="5" s="1"/>
  <c r="B1694" i="5"/>
  <c r="N1693" i="5"/>
  <c r="H1693" i="5"/>
  <c r="G1693" i="5"/>
  <c r="F1693" i="5"/>
  <c r="E1693" i="5"/>
  <c r="D1693" i="5" a="1"/>
  <c r="D1693" i="5" s="1"/>
  <c r="B1693" i="5"/>
  <c r="N1692" i="5"/>
  <c r="H1692" i="5"/>
  <c r="G1692" i="5"/>
  <c r="F1692" i="5"/>
  <c r="E1692" i="5"/>
  <c r="D1692" i="5" a="1"/>
  <c r="D1692" i="5" s="1"/>
  <c r="B1692" i="5"/>
  <c r="N1691" i="5"/>
  <c r="H1691" i="5"/>
  <c r="G1691" i="5"/>
  <c r="F1691" i="5"/>
  <c r="E1691" i="5"/>
  <c r="D1691" i="5" a="1"/>
  <c r="D1691" i="5" s="1"/>
  <c r="B1691" i="5"/>
  <c r="N1690" i="5"/>
  <c r="H1690" i="5"/>
  <c r="G1690" i="5"/>
  <c r="F1690" i="5"/>
  <c r="E1690" i="5"/>
  <c r="D1690" i="5" a="1"/>
  <c r="D1690" i="5" s="1"/>
  <c r="B1690" i="5"/>
  <c r="N1689" i="5"/>
  <c r="H1689" i="5"/>
  <c r="G1689" i="5"/>
  <c r="F1689" i="5"/>
  <c r="E1689" i="5"/>
  <c r="D1689" i="5" a="1"/>
  <c r="D1689" i="5" s="1"/>
  <c r="B1689" i="5"/>
  <c r="N1688" i="5"/>
  <c r="H1688" i="5"/>
  <c r="G1688" i="5"/>
  <c r="F1688" i="5"/>
  <c r="E1688" i="5"/>
  <c r="D1688" i="5" a="1"/>
  <c r="D1688" i="5" s="1"/>
  <c r="B1688" i="5"/>
  <c r="N1687" i="5"/>
  <c r="H1687" i="5"/>
  <c r="G1687" i="5"/>
  <c r="F1687" i="5"/>
  <c r="E1687" i="5"/>
  <c r="D1687" i="5" a="1"/>
  <c r="D1687" i="5" s="1"/>
  <c r="B1687" i="5"/>
  <c r="N1686" i="5"/>
  <c r="H1686" i="5"/>
  <c r="G1686" i="5"/>
  <c r="F1686" i="5"/>
  <c r="E1686" i="5"/>
  <c r="D1686" i="5" a="1"/>
  <c r="D1686" i="5" s="1"/>
  <c r="B1686" i="5"/>
  <c r="N1685" i="5"/>
  <c r="H1685" i="5"/>
  <c r="G1685" i="5"/>
  <c r="F1685" i="5"/>
  <c r="E1685" i="5"/>
  <c r="D1685" i="5" a="1"/>
  <c r="D1685" i="5" s="1"/>
  <c r="B1685" i="5"/>
  <c r="N1684" i="5"/>
  <c r="H1684" i="5"/>
  <c r="G1684" i="5"/>
  <c r="F1684" i="5"/>
  <c r="E1684" i="5"/>
  <c r="D1684" i="5" a="1"/>
  <c r="D1684" i="5" s="1"/>
  <c r="B1684" i="5"/>
  <c r="N1683" i="5"/>
  <c r="H1683" i="5"/>
  <c r="G1683" i="5"/>
  <c r="F1683" i="5"/>
  <c r="E1683" i="5"/>
  <c r="D1683" i="5" a="1"/>
  <c r="D1683" i="5" s="1"/>
  <c r="B1683" i="5"/>
  <c r="N1682" i="5"/>
  <c r="H1682" i="5"/>
  <c r="G1682" i="5"/>
  <c r="F1682" i="5"/>
  <c r="E1682" i="5"/>
  <c r="D1682" i="5" a="1"/>
  <c r="D1682" i="5" s="1"/>
  <c r="B1682" i="5"/>
  <c r="N1681" i="5"/>
  <c r="H1681" i="5"/>
  <c r="G1681" i="5"/>
  <c r="F1681" i="5"/>
  <c r="E1681" i="5"/>
  <c r="D1681" i="5" a="1"/>
  <c r="D1681" i="5" s="1"/>
  <c r="B1681" i="5"/>
  <c r="N1680" i="5"/>
  <c r="H1680" i="5"/>
  <c r="G1680" i="5"/>
  <c r="F1680" i="5"/>
  <c r="E1680" i="5"/>
  <c r="D1680" i="5" a="1"/>
  <c r="D1680" i="5" s="1"/>
  <c r="B1680" i="5"/>
  <c r="N1679" i="5"/>
  <c r="H1679" i="5"/>
  <c r="G1679" i="5"/>
  <c r="F1679" i="5"/>
  <c r="E1679" i="5"/>
  <c r="D1679" i="5" a="1"/>
  <c r="D1679" i="5" s="1"/>
  <c r="B1679" i="5"/>
  <c r="N1678" i="5"/>
  <c r="H1678" i="5"/>
  <c r="G1678" i="5"/>
  <c r="F1678" i="5"/>
  <c r="E1678" i="5"/>
  <c r="D1678" i="5" a="1"/>
  <c r="D1678" i="5" s="1"/>
  <c r="B1678" i="5"/>
  <c r="N1677" i="5"/>
  <c r="H1677" i="5"/>
  <c r="G1677" i="5"/>
  <c r="F1677" i="5"/>
  <c r="E1677" i="5"/>
  <c r="D1677" i="5" a="1"/>
  <c r="D1677" i="5" s="1"/>
  <c r="B1677" i="5"/>
  <c r="N1676" i="5"/>
  <c r="H1676" i="5"/>
  <c r="G1676" i="5"/>
  <c r="F1676" i="5"/>
  <c r="E1676" i="5"/>
  <c r="D1676" i="5" a="1"/>
  <c r="D1676" i="5" s="1"/>
  <c r="B1676" i="5"/>
  <c r="N1675" i="5"/>
  <c r="H1675" i="5"/>
  <c r="G1675" i="5"/>
  <c r="F1675" i="5"/>
  <c r="E1675" i="5"/>
  <c r="D1675" i="5" a="1"/>
  <c r="D1675" i="5" s="1"/>
  <c r="B1675" i="5"/>
  <c r="N1674" i="5"/>
  <c r="H1674" i="5"/>
  <c r="G1674" i="5"/>
  <c r="F1674" i="5"/>
  <c r="E1674" i="5"/>
  <c r="D1674" i="5" a="1"/>
  <c r="D1674" i="5" s="1"/>
  <c r="B1674" i="5"/>
  <c r="N1673" i="5"/>
  <c r="H1673" i="5"/>
  <c r="G1673" i="5"/>
  <c r="F1673" i="5"/>
  <c r="E1673" i="5"/>
  <c r="D1673" i="5" a="1"/>
  <c r="D1673" i="5" s="1"/>
  <c r="B1673" i="5"/>
  <c r="N1672" i="5"/>
  <c r="H1672" i="5"/>
  <c r="G1672" i="5"/>
  <c r="F1672" i="5"/>
  <c r="E1672" i="5"/>
  <c r="D1672" i="5" a="1"/>
  <c r="D1672" i="5" s="1"/>
  <c r="B1672" i="5"/>
  <c r="N1671" i="5"/>
  <c r="H1671" i="5"/>
  <c r="G1671" i="5"/>
  <c r="F1671" i="5"/>
  <c r="E1671" i="5"/>
  <c r="D1671" i="5" a="1"/>
  <c r="D1671" i="5" s="1"/>
  <c r="B1671" i="5"/>
  <c r="N1670" i="5"/>
  <c r="H1670" i="5"/>
  <c r="G1670" i="5"/>
  <c r="F1670" i="5"/>
  <c r="E1670" i="5"/>
  <c r="D1670" i="5" a="1"/>
  <c r="D1670" i="5" s="1"/>
  <c r="B1670" i="5"/>
  <c r="N1669" i="5"/>
  <c r="H1669" i="5"/>
  <c r="G1669" i="5"/>
  <c r="F1669" i="5"/>
  <c r="E1669" i="5"/>
  <c r="D1669" i="5" a="1"/>
  <c r="D1669" i="5" s="1"/>
  <c r="B1669" i="5"/>
  <c r="N1668" i="5"/>
  <c r="H1668" i="5"/>
  <c r="G1668" i="5"/>
  <c r="F1668" i="5"/>
  <c r="E1668" i="5"/>
  <c r="D1668" i="5" a="1"/>
  <c r="D1668" i="5" s="1"/>
  <c r="B1668" i="5"/>
  <c r="N1667" i="5"/>
  <c r="H1667" i="5"/>
  <c r="G1667" i="5"/>
  <c r="F1667" i="5"/>
  <c r="E1667" i="5"/>
  <c r="D1667" i="5" a="1"/>
  <c r="D1667" i="5" s="1"/>
  <c r="B1667" i="5"/>
  <c r="N1666" i="5"/>
  <c r="H1666" i="5"/>
  <c r="G1666" i="5"/>
  <c r="F1666" i="5"/>
  <c r="E1666" i="5"/>
  <c r="D1666" i="5" a="1"/>
  <c r="D1666" i="5" s="1"/>
  <c r="B1666" i="5"/>
  <c r="N1665" i="5"/>
  <c r="H1665" i="5"/>
  <c r="G1665" i="5"/>
  <c r="F1665" i="5"/>
  <c r="E1665" i="5"/>
  <c r="D1665" i="5" a="1"/>
  <c r="D1665" i="5" s="1"/>
  <c r="B1665" i="5"/>
  <c r="N1664" i="5"/>
  <c r="H1664" i="5"/>
  <c r="G1664" i="5"/>
  <c r="F1664" i="5"/>
  <c r="E1664" i="5"/>
  <c r="D1664" i="5" a="1"/>
  <c r="D1664" i="5" s="1"/>
  <c r="B1664" i="5"/>
  <c r="N1663" i="5"/>
  <c r="H1663" i="5"/>
  <c r="G1663" i="5"/>
  <c r="F1663" i="5"/>
  <c r="E1663" i="5"/>
  <c r="D1663" i="5" a="1"/>
  <c r="D1663" i="5" s="1"/>
  <c r="B1663" i="5"/>
  <c r="N1662" i="5"/>
  <c r="H1662" i="5"/>
  <c r="G1662" i="5"/>
  <c r="F1662" i="5"/>
  <c r="E1662" i="5"/>
  <c r="D1662" i="5" a="1"/>
  <c r="D1662" i="5" s="1"/>
  <c r="B1662" i="5"/>
  <c r="N1661" i="5"/>
  <c r="H1661" i="5"/>
  <c r="G1661" i="5"/>
  <c r="F1661" i="5"/>
  <c r="E1661" i="5"/>
  <c r="D1661" i="5" a="1"/>
  <c r="D1661" i="5" s="1"/>
  <c r="B1661" i="5"/>
  <c r="N1660" i="5"/>
  <c r="H1660" i="5"/>
  <c r="G1660" i="5"/>
  <c r="F1660" i="5"/>
  <c r="E1660" i="5"/>
  <c r="D1660" i="5" a="1"/>
  <c r="D1660" i="5" s="1"/>
  <c r="B1660" i="5"/>
  <c r="N1659" i="5"/>
  <c r="H1659" i="5"/>
  <c r="G1659" i="5"/>
  <c r="F1659" i="5"/>
  <c r="E1659" i="5"/>
  <c r="D1659" i="5" a="1"/>
  <c r="D1659" i="5" s="1"/>
  <c r="B1659" i="5"/>
  <c r="N1658" i="5"/>
  <c r="H1658" i="5"/>
  <c r="G1658" i="5"/>
  <c r="F1658" i="5"/>
  <c r="E1658" i="5"/>
  <c r="D1658" i="5" a="1"/>
  <c r="D1658" i="5" s="1"/>
  <c r="B1658" i="5"/>
  <c r="N1657" i="5"/>
  <c r="H1657" i="5"/>
  <c r="G1657" i="5"/>
  <c r="F1657" i="5"/>
  <c r="E1657" i="5"/>
  <c r="D1657" i="5" a="1"/>
  <c r="D1657" i="5" s="1"/>
  <c r="B1657" i="5"/>
  <c r="N1656" i="5"/>
  <c r="H1656" i="5"/>
  <c r="G1656" i="5"/>
  <c r="F1656" i="5"/>
  <c r="E1656" i="5"/>
  <c r="D1656" i="5" a="1"/>
  <c r="D1656" i="5" s="1"/>
  <c r="B1656" i="5"/>
  <c r="N1655" i="5"/>
  <c r="H1655" i="5"/>
  <c r="G1655" i="5"/>
  <c r="F1655" i="5"/>
  <c r="E1655" i="5"/>
  <c r="D1655" i="5" a="1"/>
  <c r="D1655" i="5" s="1"/>
  <c r="B1655" i="5"/>
  <c r="N1654" i="5"/>
  <c r="H1654" i="5"/>
  <c r="G1654" i="5"/>
  <c r="F1654" i="5"/>
  <c r="E1654" i="5"/>
  <c r="D1654" i="5" a="1"/>
  <c r="D1654" i="5" s="1"/>
  <c r="B1654" i="5"/>
  <c r="N1653" i="5"/>
  <c r="H1653" i="5"/>
  <c r="G1653" i="5"/>
  <c r="F1653" i="5"/>
  <c r="E1653" i="5"/>
  <c r="D1653" i="5" a="1"/>
  <c r="D1653" i="5" s="1"/>
  <c r="B1653" i="5"/>
  <c r="N1652" i="5"/>
  <c r="H1652" i="5"/>
  <c r="G1652" i="5"/>
  <c r="F1652" i="5"/>
  <c r="E1652" i="5"/>
  <c r="D1652" i="5" a="1"/>
  <c r="D1652" i="5" s="1"/>
  <c r="B1652" i="5"/>
  <c r="N1651" i="5"/>
  <c r="H1651" i="5"/>
  <c r="G1651" i="5"/>
  <c r="F1651" i="5"/>
  <c r="E1651" i="5"/>
  <c r="D1651" i="5" a="1"/>
  <c r="D1651" i="5" s="1"/>
  <c r="B1651" i="5"/>
  <c r="N1650" i="5"/>
  <c r="H1650" i="5"/>
  <c r="G1650" i="5"/>
  <c r="F1650" i="5"/>
  <c r="E1650" i="5"/>
  <c r="D1650" i="5" a="1"/>
  <c r="D1650" i="5" s="1"/>
  <c r="B1650" i="5"/>
  <c r="N1649" i="5"/>
  <c r="H1649" i="5"/>
  <c r="G1649" i="5"/>
  <c r="F1649" i="5"/>
  <c r="E1649" i="5"/>
  <c r="D1649" i="5" a="1"/>
  <c r="D1649" i="5" s="1"/>
  <c r="B1649" i="5"/>
  <c r="N1648" i="5"/>
  <c r="H1648" i="5"/>
  <c r="G1648" i="5"/>
  <c r="F1648" i="5"/>
  <c r="E1648" i="5"/>
  <c r="D1648" i="5" a="1"/>
  <c r="D1648" i="5" s="1"/>
  <c r="B1648" i="5"/>
  <c r="N1647" i="5"/>
  <c r="H1647" i="5"/>
  <c r="G1647" i="5"/>
  <c r="F1647" i="5"/>
  <c r="E1647" i="5"/>
  <c r="D1647" i="5" a="1"/>
  <c r="D1647" i="5" s="1"/>
  <c r="B1647" i="5"/>
  <c r="N1646" i="5"/>
  <c r="H1646" i="5"/>
  <c r="G1646" i="5"/>
  <c r="F1646" i="5"/>
  <c r="E1646" i="5"/>
  <c r="D1646" i="5" a="1"/>
  <c r="D1646" i="5" s="1"/>
  <c r="B1646" i="5"/>
  <c r="N1645" i="5"/>
  <c r="H1645" i="5"/>
  <c r="G1645" i="5"/>
  <c r="F1645" i="5"/>
  <c r="E1645" i="5"/>
  <c r="D1645" i="5" a="1"/>
  <c r="D1645" i="5" s="1"/>
  <c r="B1645" i="5"/>
  <c r="N1644" i="5"/>
  <c r="H1644" i="5"/>
  <c r="G1644" i="5"/>
  <c r="F1644" i="5"/>
  <c r="E1644" i="5"/>
  <c r="D1644" i="5" a="1"/>
  <c r="D1644" i="5" s="1"/>
  <c r="B1644" i="5"/>
  <c r="N1643" i="5"/>
  <c r="H1643" i="5"/>
  <c r="G1643" i="5"/>
  <c r="F1643" i="5"/>
  <c r="E1643" i="5"/>
  <c r="D1643" i="5" a="1"/>
  <c r="D1643" i="5" s="1"/>
  <c r="B1643" i="5"/>
  <c r="N1642" i="5"/>
  <c r="H1642" i="5"/>
  <c r="G1642" i="5"/>
  <c r="F1642" i="5"/>
  <c r="E1642" i="5"/>
  <c r="D1642" i="5" a="1"/>
  <c r="D1642" i="5" s="1"/>
  <c r="B1642" i="5"/>
  <c r="N1641" i="5"/>
  <c r="H1641" i="5"/>
  <c r="G1641" i="5"/>
  <c r="F1641" i="5"/>
  <c r="E1641" i="5"/>
  <c r="D1641" i="5" a="1"/>
  <c r="D1641" i="5" s="1"/>
  <c r="B1641" i="5"/>
  <c r="N1640" i="5"/>
  <c r="H1640" i="5"/>
  <c r="G1640" i="5"/>
  <c r="F1640" i="5"/>
  <c r="E1640" i="5"/>
  <c r="D1640" i="5" a="1"/>
  <c r="D1640" i="5" s="1"/>
  <c r="B1640" i="5"/>
  <c r="N1639" i="5"/>
  <c r="H1639" i="5"/>
  <c r="G1639" i="5"/>
  <c r="F1639" i="5"/>
  <c r="E1639" i="5"/>
  <c r="D1639" i="5" a="1"/>
  <c r="D1639" i="5" s="1"/>
  <c r="B1639" i="5"/>
  <c r="N1638" i="5"/>
  <c r="H1638" i="5"/>
  <c r="G1638" i="5"/>
  <c r="F1638" i="5"/>
  <c r="E1638" i="5"/>
  <c r="D1638" i="5" a="1"/>
  <c r="D1638" i="5" s="1"/>
  <c r="B1638" i="5"/>
  <c r="N1637" i="5"/>
  <c r="H1637" i="5"/>
  <c r="G1637" i="5"/>
  <c r="F1637" i="5"/>
  <c r="E1637" i="5"/>
  <c r="D1637" i="5" a="1"/>
  <c r="D1637" i="5" s="1"/>
  <c r="B1637" i="5"/>
  <c r="N1636" i="5"/>
  <c r="H1636" i="5"/>
  <c r="G1636" i="5"/>
  <c r="F1636" i="5"/>
  <c r="E1636" i="5"/>
  <c r="D1636" i="5" a="1"/>
  <c r="D1636" i="5" s="1"/>
  <c r="B1636" i="5"/>
  <c r="N1635" i="5"/>
  <c r="H1635" i="5"/>
  <c r="G1635" i="5"/>
  <c r="F1635" i="5"/>
  <c r="E1635" i="5"/>
  <c r="D1635" i="5" a="1"/>
  <c r="D1635" i="5" s="1"/>
  <c r="B1635" i="5"/>
  <c r="N1634" i="5"/>
  <c r="H1634" i="5"/>
  <c r="G1634" i="5"/>
  <c r="F1634" i="5"/>
  <c r="E1634" i="5"/>
  <c r="D1634" i="5" a="1"/>
  <c r="D1634" i="5" s="1"/>
  <c r="B1634" i="5"/>
  <c r="N1633" i="5"/>
  <c r="H1633" i="5"/>
  <c r="G1633" i="5"/>
  <c r="F1633" i="5"/>
  <c r="E1633" i="5"/>
  <c r="D1633" i="5" a="1"/>
  <c r="D1633" i="5" s="1"/>
  <c r="B1633" i="5"/>
  <c r="N1632" i="5"/>
  <c r="H1632" i="5"/>
  <c r="G1632" i="5"/>
  <c r="F1632" i="5"/>
  <c r="E1632" i="5"/>
  <c r="D1632" i="5" a="1"/>
  <c r="D1632" i="5" s="1"/>
  <c r="B1632" i="5"/>
  <c r="N1631" i="5"/>
  <c r="H1631" i="5"/>
  <c r="G1631" i="5"/>
  <c r="F1631" i="5"/>
  <c r="E1631" i="5"/>
  <c r="D1631" i="5" a="1"/>
  <c r="D1631" i="5" s="1"/>
  <c r="B1631" i="5"/>
  <c r="N1630" i="5"/>
  <c r="H1630" i="5"/>
  <c r="G1630" i="5"/>
  <c r="F1630" i="5"/>
  <c r="E1630" i="5"/>
  <c r="D1630" i="5" a="1"/>
  <c r="D1630" i="5" s="1"/>
  <c r="B1630" i="5"/>
  <c r="N1629" i="5"/>
  <c r="H1629" i="5"/>
  <c r="G1629" i="5"/>
  <c r="F1629" i="5"/>
  <c r="E1629" i="5"/>
  <c r="D1629" i="5" a="1"/>
  <c r="D1629" i="5" s="1"/>
  <c r="B1629" i="5"/>
  <c r="N1628" i="5"/>
  <c r="H1628" i="5"/>
  <c r="G1628" i="5"/>
  <c r="F1628" i="5"/>
  <c r="E1628" i="5"/>
  <c r="D1628" i="5" a="1"/>
  <c r="D1628" i="5" s="1"/>
  <c r="B1628" i="5"/>
  <c r="N1627" i="5"/>
  <c r="H1627" i="5"/>
  <c r="G1627" i="5"/>
  <c r="F1627" i="5"/>
  <c r="E1627" i="5"/>
  <c r="D1627" i="5" a="1"/>
  <c r="D1627" i="5" s="1"/>
  <c r="B1627" i="5"/>
  <c r="N1626" i="5"/>
  <c r="H1626" i="5"/>
  <c r="G1626" i="5"/>
  <c r="F1626" i="5"/>
  <c r="E1626" i="5"/>
  <c r="D1626" i="5" a="1"/>
  <c r="D1626" i="5" s="1"/>
  <c r="B1626" i="5"/>
  <c r="N1625" i="5"/>
  <c r="H1625" i="5"/>
  <c r="G1625" i="5"/>
  <c r="F1625" i="5"/>
  <c r="E1625" i="5"/>
  <c r="D1625" i="5" a="1"/>
  <c r="D1625" i="5" s="1"/>
  <c r="B1625" i="5"/>
  <c r="N1624" i="5"/>
  <c r="H1624" i="5"/>
  <c r="G1624" i="5"/>
  <c r="F1624" i="5"/>
  <c r="E1624" i="5"/>
  <c r="D1624" i="5" a="1"/>
  <c r="D1624" i="5" s="1"/>
  <c r="B1624" i="5"/>
  <c r="N1623" i="5"/>
  <c r="H1623" i="5"/>
  <c r="G1623" i="5"/>
  <c r="F1623" i="5"/>
  <c r="E1623" i="5"/>
  <c r="D1623" i="5" a="1"/>
  <c r="D1623" i="5" s="1"/>
  <c r="B1623" i="5"/>
  <c r="N1622" i="5"/>
  <c r="H1622" i="5"/>
  <c r="G1622" i="5"/>
  <c r="F1622" i="5"/>
  <c r="E1622" i="5"/>
  <c r="D1622" i="5" a="1"/>
  <c r="D1622" i="5" s="1"/>
  <c r="B1622" i="5"/>
  <c r="N1621" i="5"/>
  <c r="H1621" i="5"/>
  <c r="G1621" i="5"/>
  <c r="F1621" i="5"/>
  <c r="E1621" i="5"/>
  <c r="D1621" i="5" a="1"/>
  <c r="D1621" i="5" s="1"/>
  <c r="B1621" i="5"/>
  <c r="N1620" i="5"/>
  <c r="H1620" i="5"/>
  <c r="G1620" i="5"/>
  <c r="F1620" i="5"/>
  <c r="E1620" i="5"/>
  <c r="D1620" i="5" a="1"/>
  <c r="D1620" i="5" s="1"/>
  <c r="B1620" i="5"/>
  <c r="N1619" i="5"/>
  <c r="H1619" i="5"/>
  <c r="G1619" i="5"/>
  <c r="F1619" i="5"/>
  <c r="E1619" i="5"/>
  <c r="D1619" i="5" a="1"/>
  <c r="D1619" i="5" s="1"/>
  <c r="B1619" i="5"/>
  <c r="N1618" i="5"/>
  <c r="H1618" i="5"/>
  <c r="G1618" i="5"/>
  <c r="F1618" i="5"/>
  <c r="E1618" i="5"/>
  <c r="D1618" i="5" a="1"/>
  <c r="D1618" i="5" s="1"/>
  <c r="B1618" i="5"/>
  <c r="N1617" i="5"/>
  <c r="H1617" i="5"/>
  <c r="G1617" i="5"/>
  <c r="F1617" i="5"/>
  <c r="E1617" i="5"/>
  <c r="D1617" i="5" a="1"/>
  <c r="D1617" i="5" s="1"/>
  <c r="B1617" i="5"/>
  <c r="N1616" i="5"/>
  <c r="H1616" i="5"/>
  <c r="G1616" i="5"/>
  <c r="F1616" i="5"/>
  <c r="E1616" i="5"/>
  <c r="D1616" i="5" a="1"/>
  <c r="D1616" i="5" s="1"/>
  <c r="B1616" i="5"/>
  <c r="N1615" i="5"/>
  <c r="H1615" i="5"/>
  <c r="G1615" i="5"/>
  <c r="F1615" i="5"/>
  <c r="E1615" i="5"/>
  <c r="D1615" i="5" a="1"/>
  <c r="D1615" i="5" s="1"/>
  <c r="B1615" i="5"/>
  <c r="N1614" i="5"/>
  <c r="H1614" i="5"/>
  <c r="G1614" i="5"/>
  <c r="F1614" i="5"/>
  <c r="E1614" i="5"/>
  <c r="D1614" i="5" a="1"/>
  <c r="D1614" i="5" s="1"/>
  <c r="B1614" i="5"/>
  <c r="N1613" i="5"/>
  <c r="H1613" i="5"/>
  <c r="G1613" i="5"/>
  <c r="F1613" i="5"/>
  <c r="E1613" i="5"/>
  <c r="D1613" i="5" a="1"/>
  <c r="D1613" i="5" s="1"/>
  <c r="B1613" i="5"/>
  <c r="N1612" i="5"/>
  <c r="H1612" i="5"/>
  <c r="G1612" i="5"/>
  <c r="F1612" i="5"/>
  <c r="E1612" i="5"/>
  <c r="D1612" i="5" a="1"/>
  <c r="D1612" i="5" s="1"/>
  <c r="B1612" i="5"/>
  <c r="N1611" i="5"/>
  <c r="H1611" i="5"/>
  <c r="G1611" i="5"/>
  <c r="F1611" i="5"/>
  <c r="E1611" i="5"/>
  <c r="D1611" i="5" a="1"/>
  <c r="D1611" i="5" s="1"/>
  <c r="B1611" i="5"/>
  <c r="N1610" i="5"/>
  <c r="H1610" i="5"/>
  <c r="G1610" i="5"/>
  <c r="F1610" i="5"/>
  <c r="E1610" i="5"/>
  <c r="D1610" i="5" a="1"/>
  <c r="D1610" i="5" s="1"/>
  <c r="B1610" i="5"/>
  <c r="N1609" i="5"/>
  <c r="H1609" i="5"/>
  <c r="G1609" i="5"/>
  <c r="F1609" i="5"/>
  <c r="E1609" i="5"/>
  <c r="D1609" i="5" a="1"/>
  <c r="D1609" i="5" s="1"/>
  <c r="B1609" i="5"/>
  <c r="N1608" i="5"/>
  <c r="H1608" i="5"/>
  <c r="G1608" i="5"/>
  <c r="F1608" i="5"/>
  <c r="E1608" i="5"/>
  <c r="D1608" i="5" a="1"/>
  <c r="D1608" i="5" s="1"/>
  <c r="B1608" i="5"/>
  <c r="N1607" i="5"/>
  <c r="H1607" i="5"/>
  <c r="G1607" i="5"/>
  <c r="F1607" i="5"/>
  <c r="E1607" i="5"/>
  <c r="D1607" i="5" a="1"/>
  <c r="D1607" i="5" s="1"/>
  <c r="B1607" i="5"/>
  <c r="N1606" i="5"/>
  <c r="H1606" i="5"/>
  <c r="G1606" i="5"/>
  <c r="F1606" i="5"/>
  <c r="E1606" i="5"/>
  <c r="D1606" i="5" a="1"/>
  <c r="D1606" i="5" s="1"/>
  <c r="B1606" i="5"/>
  <c r="N1605" i="5"/>
  <c r="H1605" i="5"/>
  <c r="G1605" i="5"/>
  <c r="F1605" i="5"/>
  <c r="E1605" i="5"/>
  <c r="D1605" i="5" a="1"/>
  <c r="D1605" i="5" s="1"/>
  <c r="B1605" i="5"/>
  <c r="N1604" i="5"/>
  <c r="H1604" i="5"/>
  <c r="G1604" i="5"/>
  <c r="F1604" i="5"/>
  <c r="E1604" i="5"/>
  <c r="D1604" i="5" a="1"/>
  <c r="D1604" i="5" s="1"/>
  <c r="B1604" i="5"/>
  <c r="N1603" i="5"/>
  <c r="H1603" i="5"/>
  <c r="G1603" i="5"/>
  <c r="F1603" i="5"/>
  <c r="E1603" i="5"/>
  <c r="D1603" i="5" a="1"/>
  <c r="D1603" i="5" s="1"/>
  <c r="B1603" i="5"/>
  <c r="N1602" i="5"/>
  <c r="H1602" i="5"/>
  <c r="G1602" i="5"/>
  <c r="F1602" i="5"/>
  <c r="E1602" i="5"/>
  <c r="D1602" i="5" a="1"/>
  <c r="D1602" i="5" s="1"/>
  <c r="B1602" i="5"/>
  <c r="N1601" i="5"/>
  <c r="H1601" i="5"/>
  <c r="G1601" i="5"/>
  <c r="F1601" i="5"/>
  <c r="E1601" i="5"/>
  <c r="D1601" i="5" a="1"/>
  <c r="D1601" i="5" s="1"/>
  <c r="B1601" i="5"/>
  <c r="N1600" i="5"/>
  <c r="H1600" i="5"/>
  <c r="G1600" i="5"/>
  <c r="F1600" i="5"/>
  <c r="E1600" i="5"/>
  <c r="D1600" i="5" a="1"/>
  <c r="D1600" i="5" s="1"/>
  <c r="B1600" i="5"/>
  <c r="N1599" i="5"/>
  <c r="H1599" i="5"/>
  <c r="G1599" i="5"/>
  <c r="F1599" i="5"/>
  <c r="E1599" i="5"/>
  <c r="D1599" i="5" a="1"/>
  <c r="D1599" i="5" s="1"/>
  <c r="B1599" i="5"/>
  <c r="N1598" i="5"/>
  <c r="H1598" i="5"/>
  <c r="G1598" i="5"/>
  <c r="F1598" i="5"/>
  <c r="E1598" i="5"/>
  <c r="D1598" i="5" a="1"/>
  <c r="D1598" i="5" s="1"/>
  <c r="B1598" i="5"/>
  <c r="N1597" i="5"/>
  <c r="H1597" i="5"/>
  <c r="G1597" i="5"/>
  <c r="F1597" i="5"/>
  <c r="E1597" i="5"/>
  <c r="D1597" i="5" a="1"/>
  <c r="D1597" i="5" s="1"/>
  <c r="B1597" i="5"/>
  <c r="N1596" i="5"/>
  <c r="H1596" i="5"/>
  <c r="G1596" i="5"/>
  <c r="F1596" i="5"/>
  <c r="E1596" i="5"/>
  <c r="D1596" i="5" a="1"/>
  <c r="D1596" i="5" s="1"/>
  <c r="B1596" i="5"/>
  <c r="N1595" i="5"/>
  <c r="H1595" i="5"/>
  <c r="G1595" i="5"/>
  <c r="F1595" i="5"/>
  <c r="E1595" i="5"/>
  <c r="D1595" i="5" a="1"/>
  <c r="D1595" i="5" s="1"/>
  <c r="B1595" i="5"/>
  <c r="N1594" i="5"/>
  <c r="H1594" i="5"/>
  <c r="G1594" i="5"/>
  <c r="F1594" i="5"/>
  <c r="E1594" i="5"/>
  <c r="D1594" i="5" a="1"/>
  <c r="D1594" i="5" s="1"/>
  <c r="B1594" i="5"/>
  <c r="N1593" i="5"/>
  <c r="H1593" i="5"/>
  <c r="G1593" i="5"/>
  <c r="F1593" i="5"/>
  <c r="E1593" i="5"/>
  <c r="D1593" i="5" a="1"/>
  <c r="D1593" i="5" s="1"/>
  <c r="B1593" i="5"/>
  <c r="N1592" i="5"/>
  <c r="H1592" i="5"/>
  <c r="G1592" i="5"/>
  <c r="F1592" i="5"/>
  <c r="E1592" i="5"/>
  <c r="D1592" i="5" a="1"/>
  <c r="D1592" i="5" s="1"/>
  <c r="B1592" i="5"/>
  <c r="N1591" i="5"/>
  <c r="H1591" i="5"/>
  <c r="G1591" i="5"/>
  <c r="F1591" i="5"/>
  <c r="E1591" i="5"/>
  <c r="D1591" i="5" a="1"/>
  <c r="D1591" i="5" s="1"/>
  <c r="B1591" i="5"/>
  <c r="N1590" i="5"/>
  <c r="H1590" i="5"/>
  <c r="G1590" i="5"/>
  <c r="F1590" i="5"/>
  <c r="E1590" i="5"/>
  <c r="D1590" i="5" a="1"/>
  <c r="D1590" i="5" s="1"/>
  <c r="B1590" i="5"/>
  <c r="N1589" i="5"/>
  <c r="H1589" i="5"/>
  <c r="G1589" i="5"/>
  <c r="F1589" i="5"/>
  <c r="E1589" i="5"/>
  <c r="D1589" i="5" a="1"/>
  <c r="D1589" i="5" s="1"/>
  <c r="B1589" i="5"/>
  <c r="N1588" i="5"/>
  <c r="H1588" i="5"/>
  <c r="G1588" i="5"/>
  <c r="F1588" i="5"/>
  <c r="E1588" i="5"/>
  <c r="D1588" i="5" a="1"/>
  <c r="D1588" i="5" s="1"/>
  <c r="B1588" i="5"/>
  <c r="N1587" i="5"/>
  <c r="H1587" i="5"/>
  <c r="G1587" i="5"/>
  <c r="F1587" i="5"/>
  <c r="E1587" i="5"/>
  <c r="D1587" i="5" a="1"/>
  <c r="D1587" i="5" s="1"/>
  <c r="B1587" i="5"/>
  <c r="N1586" i="5"/>
  <c r="H1586" i="5"/>
  <c r="G1586" i="5"/>
  <c r="F1586" i="5"/>
  <c r="E1586" i="5"/>
  <c r="D1586" i="5" a="1"/>
  <c r="D1586" i="5" s="1"/>
  <c r="B1586" i="5"/>
  <c r="N1585" i="5"/>
  <c r="H1585" i="5"/>
  <c r="G1585" i="5"/>
  <c r="F1585" i="5"/>
  <c r="E1585" i="5"/>
  <c r="D1585" i="5" a="1"/>
  <c r="D1585" i="5" s="1"/>
  <c r="B1585" i="5"/>
  <c r="N1584" i="5"/>
  <c r="H1584" i="5"/>
  <c r="G1584" i="5"/>
  <c r="F1584" i="5"/>
  <c r="E1584" i="5"/>
  <c r="D1584" i="5" a="1"/>
  <c r="D1584" i="5" s="1"/>
  <c r="B1584" i="5"/>
  <c r="N1583" i="5"/>
  <c r="H1583" i="5"/>
  <c r="G1583" i="5"/>
  <c r="F1583" i="5"/>
  <c r="E1583" i="5"/>
  <c r="D1583" i="5" a="1"/>
  <c r="D1583" i="5" s="1"/>
  <c r="B1583" i="5"/>
  <c r="N1582" i="5"/>
  <c r="H1582" i="5"/>
  <c r="G1582" i="5"/>
  <c r="F1582" i="5"/>
  <c r="E1582" i="5"/>
  <c r="D1582" i="5" a="1"/>
  <c r="D1582" i="5" s="1"/>
  <c r="B1582" i="5"/>
  <c r="N1581" i="5"/>
  <c r="H1581" i="5"/>
  <c r="G1581" i="5"/>
  <c r="F1581" i="5"/>
  <c r="E1581" i="5"/>
  <c r="D1581" i="5" a="1"/>
  <c r="D1581" i="5" s="1"/>
  <c r="B1581" i="5"/>
  <c r="N1580" i="5"/>
  <c r="H1580" i="5"/>
  <c r="G1580" i="5"/>
  <c r="F1580" i="5"/>
  <c r="E1580" i="5"/>
  <c r="D1580" i="5" a="1"/>
  <c r="D1580" i="5" s="1"/>
  <c r="B1580" i="5"/>
  <c r="N1579" i="5"/>
  <c r="H1579" i="5"/>
  <c r="G1579" i="5"/>
  <c r="F1579" i="5"/>
  <c r="E1579" i="5"/>
  <c r="D1579" i="5" a="1"/>
  <c r="D1579" i="5" s="1"/>
  <c r="B1579" i="5"/>
  <c r="N1578" i="5"/>
  <c r="H1578" i="5"/>
  <c r="G1578" i="5"/>
  <c r="F1578" i="5"/>
  <c r="E1578" i="5"/>
  <c r="D1578" i="5" a="1"/>
  <c r="D1578" i="5" s="1"/>
  <c r="B1578" i="5"/>
  <c r="N1577" i="5"/>
  <c r="H1577" i="5"/>
  <c r="G1577" i="5"/>
  <c r="F1577" i="5"/>
  <c r="E1577" i="5"/>
  <c r="D1577" i="5" a="1"/>
  <c r="D1577" i="5" s="1"/>
  <c r="B1577" i="5"/>
  <c r="N1576" i="5"/>
  <c r="H1576" i="5"/>
  <c r="G1576" i="5"/>
  <c r="F1576" i="5"/>
  <c r="E1576" i="5"/>
  <c r="D1576" i="5" a="1"/>
  <c r="D1576" i="5" s="1"/>
  <c r="B1576" i="5"/>
  <c r="N1575" i="5"/>
  <c r="H1575" i="5"/>
  <c r="G1575" i="5"/>
  <c r="F1575" i="5"/>
  <c r="E1575" i="5"/>
  <c r="D1575" i="5" a="1"/>
  <c r="D1575" i="5" s="1"/>
  <c r="B1575" i="5"/>
  <c r="N1574" i="5"/>
  <c r="H1574" i="5"/>
  <c r="G1574" i="5"/>
  <c r="F1574" i="5"/>
  <c r="E1574" i="5"/>
  <c r="D1574" i="5" a="1"/>
  <c r="D1574" i="5" s="1"/>
  <c r="B1574" i="5"/>
  <c r="N1573" i="5"/>
  <c r="H1573" i="5"/>
  <c r="G1573" i="5"/>
  <c r="F1573" i="5"/>
  <c r="E1573" i="5"/>
  <c r="D1573" i="5" a="1"/>
  <c r="D1573" i="5" s="1"/>
  <c r="B1573" i="5"/>
  <c r="N1572" i="5"/>
  <c r="H1572" i="5"/>
  <c r="G1572" i="5"/>
  <c r="F1572" i="5"/>
  <c r="E1572" i="5"/>
  <c r="D1572" i="5" a="1"/>
  <c r="D1572" i="5" s="1"/>
  <c r="B1572" i="5"/>
  <c r="N1571" i="5"/>
  <c r="H1571" i="5"/>
  <c r="G1571" i="5"/>
  <c r="F1571" i="5"/>
  <c r="E1571" i="5"/>
  <c r="D1571" i="5" a="1"/>
  <c r="D1571" i="5" s="1"/>
  <c r="B1571" i="5"/>
  <c r="N1570" i="5"/>
  <c r="H1570" i="5"/>
  <c r="G1570" i="5"/>
  <c r="F1570" i="5"/>
  <c r="E1570" i="5"/>
  <c r="D1570" i="5" a="1"/>
  <c r="D1570" i="5" s="1"/>
  <c r="B1570" i="5"/>
  <c r="N1569" i="5"/>
  <c r="H1569" i="5"/>
  <c r="G1569" i="5"/>
  <c r="F1569" i="5"/>
  <c r="E1569" i="5"/>
  <c r="D1569" i="5" a="1"/>
  <c r="D1569" i="5" s="1"/>
  <c r="B1569" i="5"/>
  <c r="N1568" i="5"/>
  <c r="H1568" i="5"/>
  <c r="G1568" i="5"/>
  <c r="F1568" i="5"/>
  <c r="E1568" i="5"/>
  <c r="D1568" i="5" a="1"/>
  <c r="D1568" i="5" s="1"/>
  <c r="B1568" i="5"/>
  <c r="N1567" i="5"/>
  <c r="H1567" i="5"/>
  <c r="G1567" i="5"/>
  <c r="F1567" i="5"/>
  <c r="E1567" i="5"/>
  <c r="D1567" i="5" a="1"/>
  <c r="D1567" i="5" s="1"/>
  <c r="B1567" i="5"/>
  <c r="N1566" i="5"/>
  <c r="H1566" i="5"/>
  <c r="G1566" i="5"/>
  <c r="F1566" i="5"/>
  <c r="E1566" i="5"/>
  <c r="D1566" i="5" a="1"/>
  <c r="D1566" i="5" s="1"/>
  <c r="B1566" i="5"/>
  <c r="N1565" i="5"/>
  <c r="H1565" i="5"/>
  <c r="G1565" i="5"/>
  <c r="F1565" i="5"/>
  <c r="E1565" i="5"/>
  <c r="D1565" i="5" a="1"/>
  <c r="D1565" i="5" s="1"/>
  <c r="B1565" i="5"/>
  <c r="N1564" i="5"/>
  <c r="H1564" i="5"/>
  <c r="G1564" i="5"/>
  <c r="F1564" i="5"/>
  <c r="E1564" i="5"/>
  <c r="D1564" i="5" a="1"/>
  <c r="D1564" i="5" s="1"/>
  <c r="B1564" i="5"/>
  <c r="N1563" i="5"/>
  <c r="H1563" i="5"/>
  <c r="G1563" i="5"/>
  <c r="F1563" i="5"/>
  <c r="E1563" i="5"/>
  <c r="D1563" i="5" a="1"/>
  <c r="D1563" i="5" s="1"/>
  <c r="B1563" i="5"/>
  <c r="N1562" i="5"/>
  <c r="H1562" i="5"/>
  <c r="G1562" i="5"/>
  <c r="F1562" i="5"/>
  <c r="E1562" i="5"/>
  <c r="D1562" i="5" a="1"/>
  <c r="D1562" i="5" s="1"/>
  <c r="B1562" i="5"/>
  <c r="N1561" i="5"/>
  <c r="H1561" i="5"/>
  <c r="G1561" i="5"/>
  <c r="F1561" i="5"/>
  <c r="E1561" i="5"/>
  <c r="D1561" i="5" a="1"/>
  <c r="D1561" i="5" s="1"/>
  <c r="B1561" i="5"/>
  <c r="N1560" i="5"/>
  <c r="H1560" i="5"/>
  <c r="G1560" i="5"/>
  <c r="F1560" i="5"/>
  <c r="E1560" i="5"/>
  <c r="D1560" i="5" a="1"/>
  <c r="D1560" i="5" s="1"/>
  <c r="B1560" i="5"/>
  <c r="N1559" i="5"/>
  <c r="H1559" i="5"/>
  <c r="G1559" i="5"/>
  <c r="F1559" i="5"/>
  <c r="E1559" i="5"/>
  <c r="D1559" i="5" a="1"/>
  <c r="D1559" i="5" s="1"/>
  <c r="B1559" i="5"/>
  <c r="N1558" i="5"/>
  <c r="H1558" i="5"/>
  <c r="G1558" i="5"/>
  <c r="F1558" i="5"/>
  <c r="E1558" i="5"/>
  <c r="D1558" i="5" a="1"/>
  <c r="D1558" i="5" s="1"/>
  <c r="B1558" i="5"/>
  <c r="N1557" i="5"/>
  <c r="H1557" i="5"/>
  <c r="G1557" i="5"/>
  <c r="F1557" i="5"/>
  <c r="E1557" i="5"/>
  <c r="D1557" i="5" a="1"/>
  <c r="D1557" i="5" s="1"/>
  <c r="B1557" i="5"/>
  <c r="N1556" i="5"/>
  <c r="H1556" i="5"/>
  <c r="G1556" i="5"/>
  <c r="F1556" i="5"/>
  <c r="E1556" i="5"/>
  <c r="D1556" i="5" a="1"/>
  <c r="D1556" i="5" s="1"/>
  <c r="B1556" i="5"/>
  <c r="N1555" i="5"/>
  <c r="H1555" i="5"/>
  <c r="G1555" i="5"/>
  <c r="F1555" i="5"/>
  <c r="E1555" i="5"/>
  <c r="D1555" i="5" a="1"/>
  <c r="D1555" i="5" s="1"/>
  <c r="B1555" i="5"/>
  <c r="N1554" i="5"/>
  <c r="H1554" i="5"/>
  <c r="G1554" i="5"/>
  <c r="F1554" i="5"/>
  <c r="E1554" i="5"/>
  <c r="D1554" i="5" a="1"/>
  <c r="D1554" i="5" s="1"/>
  <c r="B1554" i="5"/>
  <c r="N1553" i="5"/>
  <c r="H1553" i="5"/>
  <c r="G1553" i="5"/>
  <c r="F1553" i="5"/>
  <c r="E1553" i="5"/>
  <c r="D1553" i="5" a="1"/>
  <c r="D1553" i="5" s="1"/>
  <c r="B1553" i="5"/>
  <c r="N1552" i="5"/>
  <c r="H1552" i="5"/>
  <c r="G1552" i="5"/>
  <c r="F1552" i="5"/>
  <c r="E1552" i="5"/>
  <c r="D1552" i="5" a="1"/>
  <c r="D1552" i="5" s="1"/>
  <c r="B1552" i="5"/>
  <c r="N1551" i="5"/>
  <c r="H1551" i="5"/>
  <c r="G1551" i="5"/>
  <c r="F1551" i="5"/>
  <c r="E1551" i="5"/>
  <c r="D1551" i="5" a="1"/>
  <c r="D1551" i="5" s="1"/>
  <c r="B1551" i="5"/>
  <c r="N1550" i="5"/>
  <c r="H1550" i="5"/>
  <c r="G1550" i="5"/>
  <c r="F1550" i="5"/>
  <c r="E1550" i="5"/>
  <c r="D1550" i="5" a="1"/>
  <c r="D1550" i="5" s="1"/>
  <c r="B1550" i="5"/>
  <c r="N1549" i="5"/>
  <c r="H1549" i="5"/>
  <c r="G1549" i="5"/>
  <c r="F1549" i="5"/>
  <c r="E1549" i="5"/>
  <c r="D1549" i="5" a="1"/>
  <c r="D1549" i="5" s="1"/>
  <c r="B1549" i="5"/>
  <c r="N1548" i="5"/>
  <c r="H1548" i="5"/>
  <c r="G1548" i="5"/>
  <c r="F1548" i="5"/>
  <c r="E1548" i="5"/>
  <c r="D1548" i="5" a="1"/>
  <c r="D1548" i="5" s="1"/>
  <c r="B1548" i="5"/>
  <c r="N1547" i="5"/>
  <c r="H1547" i="5"/>
  <c r="G1547" i="5"/>
  <c r="F1547" i="5"/>
  <c r="E1547" i="5"/>
  <c r="D1547" i="5" a="1"/>
  <c r="D1547" i="5" s="1"/>
  <c r="B1547" i="5"/>
  <c r="N1546" i="5"/>
  <c r="H1546" i="5"/>
  <c r="G1546" i="5"/>
  <c r="F1546" i="5"/>
  <c r="E1546" i="5"/>
  <c r="D1546" i="5" a="1"/>
  <c r="D1546" i="5" s="1"/>
  <c r="B1546" i="5"/>
  <c r="N1545" i="5"/>
  <c r="H1545" i="5"/>
  <c r="G1545" i="5"/>
  <c r="F1545" i="5"/>
  <c r="E1545" i="5"/>
  <c r="D1545" i="5" a="1"/>
  <c r="D1545" i="5" s="1"/>
  <c r="B1545" i="5"/>
  <c r="N1544" i="5"/>
  <c r="H1544" i="5"/>
  <c r="G1544" i="5"/>
  <c r="F1544" i="5"/>
  <c r="E1544" i="5"/>
  <c r="D1544" i="5" a="1"/>
  <c r="D1544" i="5" s="1"/>
  <c r="B1544" i="5"/>
  <c r="N1543" i="5"/>
  <c r="H1543" i="5"/>
  <c r="G1543" i="5"/>
  <c r="F1543" i="5"/>
  <c r="E1543" i="5"/>
  <c r="D1543" i="5" a="1"/>
  <c r="D1543" i="5" s="1"/>
  <c r="B1543" i="5"/>
  <c r="N1542" i="5"/>
  <c r="H1542" i="5"/>
  <c r="G1542" i="5"/>
  <c r="F1542" i="5"/>
  <c r="E1542" i="5"/>
  <c r="D1542" i="5" a="1"/>
  <c r="D1542" i="5" s="1"/>
  <c r="B1542" i="5"/>
  <c r="N1541" i="5"/>
  <c r="H1541" i="5"/>
  <c r="G1541" i="5"/>
  <c r="F1541" i="5"/>
  <c r="E1541" i="5"/>
  <c r="D1541" i="5" a="1"/>
  <c r="D1541" i="5" s="1"/>
  <c r="B1541" i="5"/>
  <c r="N1540" i="5"/>
  <c r="H1540" i="5"/>
  <c r="G1540" i="5"/>
  <c r="F1540" i="5"/>
  <c r="E1540" i="5"/>
  <c r="D1540" i="5" a="1"/>
  <c r="D1540" i="5" s="1"/>
  <c r="B1540" i="5"/>
  <c r="N1539" i="5"/>
  <c r="H1539" i="5"/>
  <c r="G1539" i="5"/>
  <c r="F1539" i="5"/>
  <c r="E1539" i="5"/>
  <c r="D1539" i="5" a="1"/>
  <c r="D1539" i="5" s="1"/>
  <c r="B1539" i="5"/>
  <c r="N1538" i="5"/>
  <c r="H1538" i="5"/>
  <c r="G1538" i="5"/>
  <c r="F1538" i="5"/>
  <c r="E1538" i="5"/>
  <c r="D1538" i="5" a="1"/>
  <c r="D1538" i="5" s="1"/>
  <c r="B1538" i="5"/>
  <c r="N1537" i="5"/>
  <c r="H1537" i="5"/>
  <c r="G1537" i="5"/>
  <c r="F1537" i="5"/>
  <c r="E1537" i="5"/>
  <c r="D1537" i="5" a="1"/>
  <c r="D1537" i="5" s="1"/>
  <c r="B1537" i="5"/>
  <c r="N1536" i="5"/>
  <c r="H1536" i="5"/>
  <c r="G1536" i="5"/>
  <c r="F1536" i="5"/>
  <c r="E1536" i="5"/>
  <c r="D1536" i="5" a="1"/>
  <c r="D1536" i="5" s="1"/>
  <c r="B1536" i="5"/>
  <c r="N1535" i="5"/>
  <c r="H1535" i="5"/>
  <c r="G1535" i="5"/>
  <c r="F1535" i="5"/>
  <c r="E1535" i="5"/>
  <c r="D1535" i="5" a="1"/>
  <c r="D1535" i="5" s="1"/>
  <c r="B1535" i="5"/>
  <c r="N1534" i="5"/>
  <c r="H1534" i="5"/>
  <c r="G1534" i="5"/>
  <c r="F1534" i="5"/>
  <c r="E1534" i="5"/>
  <c r="D1534" i="5" a="1"/>
  <c r="D1534" i="5" s="1"/>
  <c r="B1534" i="5"/>
  <c r="N1533" i="5"/>
  <c r="H1533" i="5"/>
  <c r="G1533" i="5"/>
  <c r="F1533" i="5"/>
  <c r="E1533" i="5"/>
  <c r="D1533" i="5" a="1"/>
  <c r="D1533" i="5" s="1"/>
  <c r="B1533" i="5"/>
  <c r="N1532" i="5"/>
  <c r="H1532" i="5"/>
  <c r="G1532" i="5"/>
  <c r="F1532" i="5"/>
  <c r="E1532" i="5"/>
  <c r="D1532" i="5" a="1"/>
  <c r="D1532" i="5" s="1"/>
  <c r="B1532" i="5"/>
  <c r="N1531" i="5"/>
  <c r="H1531" i="5"/>
  <c r="G1531" i="5"/>
  <c r="F1531" i="5"/>
  <c r="E1531" i="5"/>
  <c r="D1531" i="5" a="1"/>
  <c r="D1531" i="5" s="1"/>
  <c r="B1531" i="5"/>
  <c r="N1530" i="5"/>
  <c r="H1530" i="5"/>
  <c r="G1530" i="5"/>
  <c r="F1530" i="5"/>
  <c r="E1530" i="5"/>
  <c r="D1530" i="5" a="1"/>
  <c r="D1530" i="5" s="1"/>
  <c r="B1530" i="5"/>
  <c r="N1529" i="5"/>
  <c r="H1529" i="5"/>
  <c r="G1529" i="5"/>
  <c r="F1529" i="5"/>
  <c r="E1529" i="5"/>
  <c r="D1529" i="5" a="1"/>
  <c r="D1529" i="5" s="1"/>
  <c r="B1529" i="5"/>
  <c r="N1528" i="5"/>
  <c r="H1528" i="5"/>
  <c r="G1528" i="5"/>
  <c r="F1528" i="5"/>
  <c r="E1528" i="5"/>
  <c r="D1528" i="5" a="1"/>
  <c r="D1528" i="5" s="1"/>
  <c r="B1528" i="5"/>
  <c r="N1527" i="5"/>
  <c r="H1527" i="5"/>
  <c r="G1527" i="5"/>
  <c r="F1527" i="5"/>
  <c r="E1527" i="5"/>
  <c r="D1527" i="5" a="1"/>
  <c r="D1527" i="5" s="1"/>
  <c r="B1527" i="5"/>
  <c r="N1526" i="5"/>
  <c r="H1526" i="5"/>
  <c r="G1526" i="5"/>
  <c r="F1526" i="5"/>
  <c r="E1526" i="5"/>
  <c r="D1526" i="5" a="1"/>
  <c r="D1526" i="5" s="1"/>
  <c r="B1526" i="5"/>
  <c r="N1525" i="5"/>
  <c r="H1525" i="5"/>
  <c r="G1525" i="5"/>
  <c r="F1525" i="5"/>
  <c r="E1525" i="5"/>
  <c r="D1525" i="5" a="1"/>
  <c r="D1525" i="5" s="1"/>
  <c r="B1525" i="5"/>
  <c r="N1524" i="5"/>
  <c r="H1524" i="5"/>
  <c r="G1524" i="5"/>
  <c r="F1524" i="5"/>
  <c r="E1524" i="5"/>
  <c r="D1524" i="5" a="1"/>
  <c r="D1524" i="5" s="1"/>
  <c r="B1524" i="5"/>
  <c r="N1523" i="5"/>
  <c r="H1523" i="5"/>
  <c r="G1523" i="5"/>
  <c r="F1523" i="5"/>
  <c r="E1523" i="5"/>
  <c r="D1523" i="5" a="1"/>
  <c r="D1523" i="5" s="1"/>
  <c r="B1523" i="5"/>
  <c r="N1522" i="5"/>
  <c r="H1522" i="5"/>
  <c r="G1522" i="5"/>
  <c r="F1522" i="5"/>
  <c r="E1522" i="5"/>
  <c r="D1522" i="5" a="1"/>
  <c r="D1522" i="5" s="1"/>
  <c r="B1522" i="5"/>
  <c r="N1521" i="5"/>
  <c r="H1521" i="5"/>
  <c r="G1521" i="5"/>
  <c r="F1521" i="5"/>
  <c r="E1521" i="5"/>
  <c r="D1521" i="5" a="1"/>
  <c r="D1521" i="5" s="1"/>
  <c r="B1521" i="5"/>
  <c r="N1520" i="5"/>
  <c r="H1520" i="5"/>
  <c r="G1520" i="5"/>
  <c r="F1520" i="5"/>
  <c r="E1520" i="5"/>
  <c r="D1520" i="5" a="1"/>
  <c r="D1520" i="5" s="1"/>
  <c r="B1520" i="5"/>
  <c r="N1519" i="5"/>
  <c r="H1519" i="5"/>
  <c r="G1519" i="5"/>
  <c r="F1519" i="5"/>
  <c r="E1519" i="5"/>
  <c r="D1519" i="5" a="1"/>
  <c r="D1519" i="5" s="1"/>
  <c r="B1519" i="5"/>
  <c r="N1518" i="5"/>
  <c r="H1518" i="5"/>
  <c r="G1518" i="5"/>
  <c r="F1518" i="5"/>
  <c r="E1518" i="5"/>
  <c r="D1518" i="5" a="1"/>
  <c r="D1518" i="5" s="1"/>
  <c r="B1518" i="5"/>
  <c r="N1517" i="5"/>
  <c r="H1517" i="5"/>
  <c r="G1517" i="5"/>
  <c r="F1517" i="5"/>
  <c r="E1517" i="5"/>
  <c r="D1517" i="5" a="1"/>
  <c r="D1517" i="5" s="1"/>
  <c r="B1517" i="5"/>
  <c r="N1516" i="5"/>
  <c r="H1516" i="5"/>
  <c r="G1516" i="5"/>
  <c r="F1516" i="5"/>
  <c r="E1516" i="5"/>
  <c r="D1516" i="5" a="1"/>
  <c r="D1516" i="5" s="1"/>
  <c r="B1516" i="5"/>
  <c r="N1515" i="5"/>
  <c r="H1515" i="5"/>
  <c r="G1515" i="5"/>
  <c r="F1515" i="5"/>
  <c r="E1515" i="5"/>
  <c r="D1515" i="5" a="1"/>
  <c r="D1515" i="5" s="1"/>
  <c r="B1515" i="5"/>
  <c r="N1514" i="5"/>
  <c r="H1514" i="5"/>
  <c r="G1514" i="5"/>
  <c r="F1514" i="5"/>
  <c r="E1514" i="5"/>
  <c r="D1514" i="5" a="1"/>
  <c r="D1514" i="5" s="1"/>
  <c r="B1514" i="5"/>
  <c r="N1513" i="5"/>
  <c r="H1513" i="5"/>
  <c r="G1513" i="5"/>
  <c r="F1513" i="5"/>
  <c r="E1513" i="5"/>
  <c r="D1513" i="5" a="1"/>
  <c r="D1513" i="5" s="1"/>
  <c r="B1513" i="5"/>
  <c r="N1512" i="5"/>
  <c r="H1512" i="5"/>
  <c r="G1512" i="5"/>
  <c r="F1512" i="5"/>
  <c r="E1512" i="5"/>
  <c r="D1512" i="5" a="1"/>
  <c r="D1512" i="5" s="1"/>
  <c r="B1512" i="5"/>
  <c r="N1511" i="5"/>
  <c r="H1511" i="5"/>
  <c r="G1511" i="5"/>
  <c r="F1511" i="5"/>
  <c r="E1511" i="5"/>
  <c r="D1511" i="5" a="1"/>
  <c r="D1511" i="5" s="1"/>
  <c r="B1511" i="5"/>
  <c r="N1510" i="5"/>
  <c r="H1510" i="5"/>
  <c r="G1510" i="5"/>
  <c r="F1510" i="5"/>
  <c r="E1510" i="5"/>
  <c r="D1510" i="5" a="1"/>
  <c r="D1510" i="5" s="1"/>
  <c r="B1510" i="5"/>
  <c r="N1509" i="5"/>
  <c r="H1509" i="5"/>
  <c r="G1509" i="5"/>
  <c r="F1509" i="5"/>
  <c r="E1509" i="5"/>
  <c r="D1509" i="5" a="1"/>
  <c r="D1509" i="5" s="1"/>
  <c r="B1509" i="5"/>
  <c r="N1508" i="5"/>
  <c r="H1508" i="5"/>
  <c r="G1508" i="5"/>
  <c r="F1508" i="5"/>
  <c r="E1508" i="5"/>
  <c r="D1508" i="5" a="1"/>
  <c r="D1508" i="5" s="1"/>
  <c r="B1508" i="5"/>
  <c r="N1507" i="5"/>
  <c r="H1507" i="5"/>
  <c r="G1507" i="5"/>
  <c r="F1507" i="5"/>
  <c r="E1507" i="5"/>
  <c r="D1507" i="5" a="1"/>
  <c r="D1507" i="5" s="1"/>
  <c r="B1507" i="5"/>
  <c r="N1506" i="5"/>
  <c r="H1506" i="5"/>
  <c r="G1506" i="5"/>
  <c r="F1506" i="5"/>
  <c r="E1506" i="5"/>
  <c r="D1506" i="5" a="1"/>
  <c r="D1506" i="5" s="1"/>
  <c r="B1506" i="5"/>
  <c r="N1505" i="5"/>
  <c r="H1505" i="5"/>
  <c r="G1505" i="5"/>
  <c r="F1505" i="5"/>
  <c r="E1505" i="5"/>
  <c r="D1505" i="5" a="1"/>
  <c r="D1505" i="5" s="1"/>
  <c r="B1505" i="5"/>
  <c r="N1504" i="5"/>
  <c r="H1504" i="5"/>
  <c r="G1504" i="5"/>
  <c r="F1504" i="5"/>
  <c r="E1504" i="5"/>
  <c r="D1504" i="5" a="1"/>
  <c r="D1504" i="5" s="1"/>
  <c r="B1504" i="5"/>
  <c r="N1503" i="5"/>
  <c r="H1503" i="5"/>
  <c r="G1503" i="5"/>
  <c r="F1503" i="5"/>
  <c r="E1503" i="5"/>
  <c r="D1503" i="5" a="1"/>
  <c r="D1503" i="5" s="1"/>
  <c r="B1503" i="5"/>
  <c r="N1502" i="5"/>
  <c r="H1502" i="5"/>
  <c r="G1502" i="5"/>
  <c r="F1502" i="5"/>
  <c r="E1502" i="5"/>
  <c r="D1502" i="5" a="1"/>
  <c r="D1502" i="5" s="1"/>
  <c r="B1502" i="5"/>
  <c r="N1501" i="5"/>
  <c r="H1501" i="5"/>
  <c r="G1501" i="5"/>
  <c r="F1501" i="5"/>
  <c r="E1501" i="5"/>
  <c r="D1501" i="5" a="1"/>
  <c r="D1501" i="5" s="1"/>
  <c r="B1501" i="5"/>
  <c r="N1500" i="5"/>
  <c r="H1500" i="5"/>
  <c r="G1500" i="5"/>
  <c r="F1500" i="5"/>
  <c r="E1500" i="5"/>
  <c r="D1500" i="5" a="1"/>
  <c r="D1500" i="5" s="1"/>
  <c r="B1500" i="5"/>
  <c r="N1499" i="5"/>
  <c r="H1499" i="5"/>
  <c r="G1499" i="5"/>
  <c r="F1499" i="5"/>
  <c r="E1499" i="5"/>
  <c r="D1499" i="5" a="1"/>
  <c r="D1499" i="5" s="1"/>
  <c r="B1499" i="5"/>
  <c r="N1498" i="5"/>
  <c r="H1498" i="5"/>
  <c r="G1498" i="5"/>
  <c r="F1498" i="5"/>
  <c r="E1498" i="5"/>
  <c r="D1498" i="5" a="1"/>
  <c r="D1498" i="5" s="1"/>
  <c r="B1498" i="5"/>
  <c r="N1497" i="5"/>
  <c r="H1497" i="5"/>
  <c r="G1497" i="5"/>
  <c r="F1497" i="5"/>
  <c r="E1497" i="5"/>
  <c r="D1497" i="5" a="1"/>
  <c r="D1497" i="5" s="1"/>
  <c r="B1497" i="5"/>
  <c r="N1496" i="5"/>
  <c r="H1496" i="5"/>
  <c r="G1496" i="5"/>
  <c r="F1496" i="5"/>
  <c r="E1496" i="5"/>
  <c r="D1496" i="5" a="1"/>
  <c r="D1496" i="5" s="1"/>
  <c r="B1496" i="5"/>
  <c r="N1495" i="5"/>
  <c r="H1495" i="5"/>
  <c r="G1495" i="5"/>
  <c r="F1495" i="5"/>
  <c r="E1495" i="5"/>
  <c r="D1495" i="5" a="1"/>
  <c r="D1495" i="5" s="1"/>
  <c r="B1495" i="5"/>
  <c r="N1494" i="5"/>
  <c r="H1494" i="5"/>
  <c r="G1494" i="5"/>
  <c r="F1494" i="5"/>
  <c r="E1494" i="5"/>
  <c r="D1494" i="5" a="1"/>
  <c r="D1494" i="5" s="1"/>
  <c r="B1494" i="5"/>
  <c r="N1493" i="5"/>
  <c r="H1493" i="5"/>
  <c r="G1493" i="5"/>
  <c r="F1493" i="5"/>
  <c r="E1493" i="5"/>
  <c r="D1493" i="5" a="1"/>
  <c r="D1493" i="5" s="1"/>
  <c r="B1493" i="5"/>
  <c r="N1492" i="5"/>
  <c r="H1492" i="5"/>
  <c r="G1492" i="5"/>
  <c r="F1492" i="5"/>
  <c r="E1492" i="5"/>
  <c r="D1492" i="5" a="1"/>
  <c r="D1492" i="5" s="1"/>
  <c r="B1492" i="5"/>
  <c r="N1491" i="5"/>
  <c r="H1491" i="5"/>
  <c r="G1491" i="5"/>
  <c r="F1491" i="5"/>
  <c r="E1491" i="5"/>
  <c r="D1491" i="5" a="1"/>
  <c r="D1491" i="5" s="1"/>
  <c r="B1491" i="5"/>
  <c r="N1490" i="5"/>
  <c r="H1490" i="5"/>
  <c r="G1490" i="5"/>
  <c r="F1490" i="5"/>
  <c r="E1490" i="5"/>
  <c r="D1490" i="5" a="1"/>
  <c r="D1490" i="5" s="1"/>
  <c r="B1490" i="5"/>
  <c r="N1489" i="5"/>
  <c r="H1489" i="5"/>
  <c r="G1489" i="5"/>
  <c r="F1489" i="5"/>
  <c r="E1489" i="5"/>
  <c r="D1489" i="5" a="1"/>
  <c r="D1489" i="5" s="1"/>
  <c r="B1489" i="5"/>
  <c r="N1488" i="5"/>
  <c r="H1488" i="5"/>
  <c r="G1488" i="5"/>
  <c r="F1488" i="5"/>
  <c r="E1488" i="5"/>
  <c r="D1488" i="5" a="1"/>
  <c r="D1488" i="5" s="1"/>
  <c r="B1488" i="5"/>
  <c r="N1487" i="5"/>
  <c r="H1487" i="5"/>
  <c r="G1487" i="5"/>
  <c r="F1487" i="5"/>
  <c r="E1487" i="5"/>
  <c r="D1487" i="5" a="1"/>
  <c r="D1487" i="5" s="1"/>
  <c r="B1487" i="5"/>
  <c r="N1486" i="5"/>
  <c r="H1486" i="5"/>
  <c r="G1486" i="5"/>
  <c r="F1486" i="5"/>
  <c r="E1486" i="5"/>
  <c r="D1486" i="5" a="1"/>
  <c r="D1486" i="5" s="1"/>
  <c r="B1486" i="5"/>
  <c r="N1485" i="5"/>
  <c r="H1485" i="5"/>
  <c r="G1485" i="5"/>
  <c r="F1485" i="5"/>
  <c r="E1485" i="5"/>
  <c r="D1485" i="5" a="1"/>
  <c r="D1485" i="5" s="1"/>
  <c r="B1485" i="5"/>
  <c r="N1484" i="5"/>
  <c r="H1484" i="5"/>
  <c r="G1484" i="5"/>
  <c r="F1484" i="5"/>
  <c r="E1484" i="5"/>
  <c r="D1484" i="5" a="1"/>
  <c r="D1484" i="5" s="1"/>
  <c r="B1484" i="5"/>
  <c r="N1483" i="5"/>
  <c r="H1483" i="5"/>
  <c r="G1483" i="5"/>
  <c r="F1483" i="5"/>
  <c r="E1483" i="5"/>
  <c r="D1483" i="5" a="1"/>
  <c r="D1483" i="5" s="1"/>
  <c r="B1483" i="5"/>
  <c r="N1482" i="5"/>
  <c r="H1482" i="5"/>
  <c r="G1482" i="5"/>
  <c r="F1482" i="5"/>
  <c r="E1482" i="5"/>
  <c r="D1482" i="5" a="1"/>
  <c r="D1482" i="5" s="1"/>
  <c r="B1482" i="5"/>
  <c r="N1481" i="5"/>
  <c r="H1481" i="5"/>
  <c r="G1481" i="5"/>
  <c r="F1481" i="5"/>
  <c r="E1481" i="5"/>
  <c r="D1481" i="5" a="1"/>
  <c r="D1481" i="5" s="1"/>
  <c r="B1481" i="5"/>
  <c r="N1480" i="5"/>
  <c r="H1480" i="5"/>
  <c r="G1480" i="5"/>
  <c r="F1480" i="5"/>
  <c r="E1480" i="5"/>
  <c r="D1480" i="5" a="1"/>
  <c r="D1480" i="5" s="1"/>
  <c r="B1480" i="5"/>
  <c r="N1479" i="5"/>
  <c r="H1479" i="5"/>
  <c r="G1479" i="5"/>
  <c r="F1479" i="5"/>
  <c r="E1479" i="5"/>
  <c r="D1479" i="5" a="1"/>
  <c r="D1479" i="5" s="1"/>
  <c r="B1479" i="5"/>
  <c r="N1478" i="5"/>
  <c r="H1478" i="5"/>
  <c r="G1478" i="5"/>
  <c r="F1478" i="5"/>
  <c r="E1478" i="5"/>
  <c r="D1478" i="5" a="1"/>
  <c r="D1478" i="5" s="1"/>
  <c r="B1478" i="5"/>
  <c r="N1477" i="5"/>
  <c r="H1477" i="5"/>
  <c r="G1477" i="5"/>
  <c r="F1477" i="5"/>
  <c r="E1477" i="5"/>
  <c r="D1477" i="5" a="1"/>
  <c r="D1477" i="5" s="1"/>
  <c r="B1477" i="5"/>
  <c r="N1476" i="5"/>
  <c r="H1476" i="5"/>
  <c r="G1476" i="5"/>
  <c r="F1476" i="5"/>
  <c r="E1476" i="5"/>
  <c r="D1476" i="5" a="1"/>
  <c r="D1476" i="5" s="1"/>
  <c r="B1476" i="5"/>
  <c r="N1475" i="5"/>
  <c r="H1475" i="5"/>
  <c r="G1475" i="5"/>
  <c r="F1475" i="5"/>
  <c r="E1475" i="5"/>
  <c r="D1475" i="5" a="1"/>
  <c r="D1475" i="5" s="1"/>
  <c r="B1475" i="5"/>
  <c r="N1474" i="5"/>
  <c r="H1474" i="5"/>
  <c r="G1474" i="5"/>
  <c r="F1474" i="5"/>
  <c r="E1474" i="5"/>
  <c r="D1474" i="5" a="1"/>
  <c r="D1474" i="5" s="1"/>
  <c r="B1474" i="5"/>
  <c r="N1473" i="5"/>
  <c r="H1473" i="5"/>
  <c r="G1473" i="5"/>
  <c r="F1473" i="5"/>
  <c r="E1473" i="5"/>
  <c r="D1473" i="5" a="1"/>
  <c r="D1473" i="5" s="1"/>
  <c r="B1473" i="5"/>
  <c r="N1472" i="5"/>
  <c r="H1472" i="5"/>
  <c r="G1472" i="5"/>
  <c r="F1472" i="5"/>
  <c r="E1472" i="5"/>
  <c r="D1472" i="5" a="1"/>
  <c r="D1472" i="5" s="1"/>
  <c r="B1472" i="5"/>
  <c r="N1471" i="5"/>
  <c r="H1471" i="5"/>
  <c r="G1471" i="5"/>
  <c r="F1471" i="5"/>
  <c r="E1471" i="5"/>
  <c r="D1471" i="5" a="1"/>
  <c r="D1471" i="5" s="1"/>
  <c r="B1471" i="5"/>
  <c r="N1470" i="5"/>
  <c r="H1470" i="5"/>
  <c r="G1470" i="5"/>
  <c r="F1470" i="5"/>
  <c r="E1470" i="5"/>
  <c r="D1470" i="5" a="1"/>
  <c r="D1470" i="5" s="1"/>
  <c r="B1470" i="5"/>
  <c r="N1469" i="5"/>
  <c r="H1469" i="5"/>
  <c r="G1469" i="5"/>
  <c r="F1469" i="5"/>
  <c r="E1469" i="5"/>
  <c r="D1469" i="5" a="1"/>
  <c r="D1469" i="5" s="1"/>
  <c r="B1469" i="5"/>
  <c r="N1468" i="5"/>
  <c r="H1468" i="5"/>
  <c r="G1468" i="5"/>
  <c r="F1468" i="5"/>
  <c r="E1468" i="5"/>
  <c r="D1468" i="5" a="1"/>
  <c r="D1468" i="5" s="1"/>
  <c r="B1468" i="5"/>
  <c r="N1467" i="5"/>
  <c r="H1467" i="5"/>
  <c r="G1467" i="5"/>
  <c r="F1467" i="5"/>
  <c r="E1467" i="5"/>
  <c r="D1467" i="5" a="1"/>
  <c r="D1467" i="5" s="1"/>
  <c r="B1467" i="5"/>
  <c r="N1466" i="5"/>
  <c r="H1466" i="5"/>
  <c r="G1466" i="5"/>
  <c r="F1466" i="5"/>
  <c r="E1466" i="5"/>
  <c r="D1466" i="5" a="1"/>
  <c r="D1466" i="5" s="1"/>
  <c r="B1466" i="5"/>
  <c r="N1465" i="5"/>
  <c r="H1465" i="5"/>
  <c r="G1465" i="5"/>
  <c r="F1465" i="5"/>
  <c r="E1465" i="5"/>
  <c r="D1465" i="5" a="1"/>
  <c r="D1465" i="5" s="1"/>
  <c r="B1465" i="5"/>
  <c r="N1464" i="5"/>
  <c r="H1464" i="5"/>
  <c r="G1464" i="5"/>
  <c r="F1464" i="5"/>
  <c r="E1464" i="5"/>
  <c r="D1464" i="5" a="1"/>
  <c r="D1464" i="5" s="1"/>
  <c r="B1464" i="5"/>
  <c r="N1463" i="5"/>
  <c r="H1463" i="5"/>
  <c r="G1463" i="5"/>
  <c r="F1463" i="5"/>
  <c r="E1463" i="5"/>
  <c r="D1463" i="5" a="1"/>
  <c r="D1463" i="5" s="1"/>
  <c r="B1463" i="5"/>
  <c r="N1462" i="5"/>
  <c r="H1462" i="5"/>
  <c r="G1462" i="5"/>
  <c r="F1462" i="5"/>
  <c r="E1462" i="5"/>
  <c r="D1462" i="5" a="1"/>
  <c r="D1462" i="5" s="1"/>
  <c r="B1462" i="5"/>
  <c r="N1461" i="5"/>
  <c r="H1461" i="5"/>
  <c r="G1461" i="5"/>
  <c r="F1461" i="5"/>
  <c r="E1461" i="5"/>
  <c r="D1461" i="5" a="1"/>
  <c r="D1461" i="5" s="1"/>
  <c r="B1461" i="5"/>
  <c r="N1460" i="5"/>
  <c r="H1460" i="5"/>
  <c r="G1460" i="5"/>
  <c r="F1460" i="5"/>
  <c r="E1460" i="5"/>
  <c r="D1460" i="5" a="1"/>
  <c r="D1460" i="5" s="1"/>
  <c r="B1460" i="5"/>
  <c r="N1459" i="5"/>
  <c r="H1459" i="5"/>
  <c r="G1459" i="5"/>
  <c r="F1459" i="5"/>
  <c r="E1459" i="5"/>
  <c r="D1459" i="5" a="1"/>
  <c r="D1459" i="5" s="1"/>
  <c r="B1459" i="5"/>
  <c r="N1458" i="5"/>
  <c r="H1458" i="5"/>
  <c r="G1458" i="5"/>
  <c r="F1458" i="5"/>
  <c r="E1458" i="5"/>
  <c r="D1458" i="5" a="1"/>
  <c r="D1458" i="5" s="1"/>
  <c r="B1458" i="5"/>
  <c r="N1457" i="5"/>
  <c r="H1457" i="5"/>
  <c r="G1457" i="5"/>
  <c r="F1457" i="5"/>
  <c r="E1457" i="5"/>
  <c r="D1457" i="5" a="1"/>
  <c r="D1457" i="5" s="1"/>
  <c r="B1457" i="5"/>
  <c r="N1456" i="5"/>
  <c r="H1456" i="5"/>
  <c r="G1456" i="5"/>
  <c r="F1456" i="5"/>
  <c r="E1456" i="5"/>
  <c r="D1456" i="5" a="1"/>
  <c r="D1456" i="5" s="1"/>
  <c r="B1456" i="5"/>
  <c r="N1455" i="5"/>
  <c r="H1455" i="5"/>
  <c r="G1455" i="5"/>
  <c r="F1455" i="5"/>
  <c r="E1455" i="5"/>
  <c r="D1455" i="5" a="1"/>
  <c r="D1455" i="5" s="1"/>
  <c r="B1455" i="5"/>
  <c r="N1454" i="5"/>
  <c r="H1454" i="5"/>
  <c r="G1454" i="5"/>
  <c r="F1454" i="5"/>
  <c r="E1454" i="5"/>
  <c r="D1454" i="5" a="1"/>
  <c r="D1454" i="5" s="1"/>
  <c r="B1454" i="5"/>
  <c r="N1453" i="5"/>
  <c r="H1453" i="5"/>
  <c r="G1453" i="5"/>
  <c r="F1453" i="5"/>
  <c r="E1453" i="5"/>
  <c r="D1453" i="5" a="1"/>
  <c r="D1453" i="5" s="1"/>
  <c r="B1453" i="5"/>
  <c r="N1452" i="5"/>
  <c r="H1452" i="5"/>
  <c r="G1452" i="5"/>
  <c r="F1452" i="5"/>
  <c r="E1452" i="5"/>
  <c r="D1452" i="5" a="1"/>
  <c r="D1452" i="5" s="1"/>
  <c r="B1452" i="5"/>
  <c r="N1451" i="5"/>
  <c r="H1451" i="5"/>
  <c r="G1451" i="5"/>
  <c r="F1451" i="5"/>
  <c r="E1451" i="5"/>
  <c r="D1451" i="5" a="1"/>
  <c r="D1451" i="5" s="1"/>
  <c r="B1451" i="5"/>
  <c r="N1450" i="5"/>
  <c r="H1450" i="5"/>
  <c r="G1450" i="5"/>
  <c r="F1450" i="5"/>
  <c r="E1450" i="5"/>
  <c r="D1450" i="5" a="1"/>
  <c r="D1450" i="5" s="1"/>
  <c r="B1450" i="5"/>
  <c r="N1449" i="5"/>
  <c r="H1449" i="5"/>
  <c r="G1449" i="5"/>
  <c r="F1449" i="5"/>
  <c r="E1449" i="5"/>
  <c r="D1449" i="5" a="1"/>
  <c r="D1449" i="5" s="1"/>
  <c r="B1449" i="5"/>
  <c r="N1448" i="5"/>
  <c r="H1448" i="5"/>
  <c r="G1448" i="5"/>
  <c r="F1448" i="5"/>
  <c r="E1448" i="5"/>
  <c r="D1448" i="5" a="1"/>
  <c r="D1448" i="5" s="1"/>
  <c r="B1448" i="5"/>
  <c r="N1447" i="5"/>
  <c r="H1447" i="5"/>
  <c r="G1447" i="5"/>
  <c r="F1447" i="5"/>
  <c r="E1447" i="5"/>
  <c r="D1447" i="5" a="1"/>
  <c r="D1447" i="5" s="1"/>
  <c r="B1447" i="5"/>
  <c r="N1446" i="5"/>
  <c r="H1446" i="5"/>
  <c r="G1446" i="5"/>
  <c r="F1446" i="5"/>
  <c r="E1446" i="5"/>
  <c r="D1446" i="5" a="1"/>
  <c r="D1446" i="5" s="1"/>
  <c r="B1446" i="5"/>
  <c r="N1445" i="5"/>
  <c r="H1445" i="5"/>
  <c r="G1445" i="5"/>
  <c r="F1445" i="5"/>
  <c r="E1445" i="5"/>
  <c r="D1445" i="5" a="1"/>
  <c r="D1445" i="5" s="1"/>
  <c r="B1445" i="5"/>
  <c r="N1444" i="5"/>
  <c r="H1444" i="5"/>
  <c r="G1444" i="5"/>
  <c r="F1444" i="5"/>
  <c r="E1444" i="5"/>
  <c r="D1444" i="5" a="1"/>
  <c r="D1444" i="5" s="1"/>
  <c r="B1444" i="5"/>
  <c r="N1443" i="5"/>
  <c r="H1443" i="5"/>
  <c r="G1443" i="5"/>
  <c r="F1443" i="5"/>
  <c r="E1443" i="5"/>
  <c r="D1443" i="5" a="1"/>
  <c r="D1443" i="5" s="1"/>
  <c r="B1443" i="5"/>
  <c r="N1442" i="5"/>
  <c r="H1442" i="5"/>
  <c r="G1442" i="5"/>
  <c r="F1442" i="5"/>
  <c r="E1442" i="5"/>
  <c r="D1442" i="5" a="1"/>
  <c r="D1442" i="5" s="1"/>
  <c r="B1442" i="5"/>
  <c r="N1441" i="5"/>
  <c r="H1441" i="5"/>
  <c r="G1441" i="5"/>
  <c r="F1441" i="5"/>
  <c r="E1441" i="5"/>
  <c r="D1441" i="5" a="1"/>
  <c r="D1441" i="5" s="1"/>
  <c r="B1441" i="5"/>
  <c r="N1440" i="5"/>
  <c r="H1440" i="5"/>
  <c r="G1440" i="5"/>
  <c r="F1440" i="5"/>
  <c r="E1440" i="5"/>
  <c r="D1440" i="5" a="1"/>
  <c r="D1440" i="5" s="1"/>
  <c r="B1440" i="5"/>
  <c r="N1439" i="5"/>
  <c r="H1439" i="5"/>
  <c r="G1439" i="5"/>
  <c r="F1439" i="5"/>
  <c r="E1439" i="5"/>
  <c r="D1439" i="5" a="1"/>
  <c r="D1439" i="5" s="1"/>
  <c r="B1439" i="5"/>
  <c r="N1438" i="5"/>
  <c r="H1438" i="5"/>
  <c r="G1438" i="5"/>
  <c r="F1438" i="5"/>
  <c r="E1438" i="5"/>
  <c r="D1438" i="5" a="1"/>
  <c r="D1438" i="5" s="1"/>
  <c r="B1438" i="5"/>
  <c r="N1437" i="5"/>
  <c r="H1437" i="5"/>
  <c r="G1437" i="5"/>
  <c r="F1437" i="5"/>
  <c r="E1437" i="5"/>
  <c r="D1437" i="5" a="1"/>
  <c r="D1437" i="5" s="1"/>
  <c r="B1437" i="5"/>
  <c r="N1436" i="5"/>
  <c r="H1436" i="5"/>
  <c r="G1436" i="5"/>
  <c r="F1436" i="5"/>
  <c r="E1436" i="5"/>
  <c r="D1436" i="5" a="1"/>
  <c r="D1436" i="5" s="1"/>
  <c r="B1436" i="5"/>
  <c r="N1435" i="5"/>
  <c r="H1435" i="5"/>
  <c r="G1435" i="5"/>
  <c r="F1435" i="5"/>
  <c r="E1435" i="5"/>
  <c r="D1435" i="5" a="1"/>
  <c r="D1435" i="5" s="1"/>
  <c r="B1435" i="5"/>
  <c r="N1434" i="5"/>
  <c r="H1434" i="5"/>
  <c r="G1434" i="5"/>
  <c r="F1434" i="5"/>
  <c r="E1434" i="5"/>
  <c r="D1434" i="5" a="1"/>
  <c r="D1434" i="5" s="1"/>
  <c r="B1434" i="5"/>
  <c r="N1433" i="5"/>
  <c r="H1433" i="5"/>
  <c r="G1433" i="5"/>
  <c r="F1433" i="5"/>
  <c r="E1433" i="5"/>
  <c r="D1433" i="5" a="1"/>
  <c r="D1433" i="5" s="1"/>
  <c r="B1433" i="5"/>
  <c r="N1432" i="5"/>
  <c r="H1432" i="5"/>
  <c r="G1432" i="5"/>
  <c r="F1432" i="5"/>
  <c r="E1432" i="5"/>
  <c r="D1432" i="5" a="1"/>
  <c r="D1432" i="5" s="1"/>
  <c r="B1432" i="5"/>
  <c r="N1431" i="5"/>
  <c r="H1431" i="5"/>
  <c r="G1431" i="5"/>
  <c r="F1431" i="5"/>
  <c r="E1431" i="5"/>
  <c r="D1431" i="5" a="1"/>
  <c r="D1431" i="5" s="1"/>
  <c r="B1431" i="5"/>
  <c r="N1430" i="5"/>
  <c r="H1430" i="5"/>
  <c r="G1430" i="5"/>
  <c r="F1430" i="5"/>
  <c r="E1430" i="5"/>
  <c r="D1430" i="5" a="1"/>
  <c r="D1430" i="5" s="1"/>
  <c r="B1430" i="5"/>
  <c r="N1429" i="5"/>
  <c r="H1429" i="5"/>
  <c r="G1429" i="5"/>
  <c r="F1429" i="5"/>
  <c r="E1429" i="5"/>
  <c r="D1429" i="5" a="1"/>
  <c r="D1429" i="5" s="1"/>
  <c r="B1429" i="5"/>
  <c r="N1428" i="5"/>
  <c r="H1428" i="5"/>
  <c r="G1428" i="5"/>
  <c r="F1428" i="5"/>
  <c r="E1428" i="5"/>
  <c r="D1428" i="5" a="1"/>
  <c r="D1428" i="5" s="1"/>
  <c r="B1428" i="5"/>
  <c r="N1427" i="5"/>
  <c r="H1427" i="5"/>
  <c r="G1427" i="5"/>
  <c r="F1427" i="5"/>
  <c r="E1427" i="5"/>
  <c r="D1427" i="5" a="1"/>
  <c r="D1427" i="5" s="1"/>
  <c r="B1427" i="5"/>
  <c r="N1426" i="5"/>
  <c r="H1426" i="5"/>
  <c r="G1426" i="5"/>
  <c r="F1426" i="5"/>
  <c r="E1426" i="5"/>
  <c r="D1426" i="5" a="1"/>
  <c r="D1426" i="5" s="1"/>
  <c r="B1426" i="5"/>
  <c r="N1425" i="5"/>
  <c r="H1425" i="5"/>
  <c r="G1425" i="5"/>
  <c r="F1425" i="5"/>
  <c r="E1425" i="5"/>
  <c r="D1425" i="5" a="1"/>
  <c r="D1425" i="5" s="1"/>
  <c r="B1425" i="5"/>
  <c r="N1424" i="5"/>
  <c r="H1424" i="5"/>
  <c r="G1424" i="5"/>
  <c r="F1424" i="5"/>
  <c r="E1424" i="5"/>
  <c r="D1424" i="5" a="1"/>
  <c r="D1424" i="5" s="1"/>
  <c r="B1424" i="5"/>
  <c r="N1423" i="5"/>
  <c r="H1423" i="5"/>
  <c r="G1423" i="5"/>
  <c r="F1423" i="5"/>
  <c r="E1423" i="5"/>
  <c r="D1423" i="5" a="1"/>
  <c r="D1423" i="5" s="1"/>
  <c r="B1423" i="5"/>
  <c r="N1422" i="5"/>
  <c r="H1422" i="5"/>
  <c r="G1422" i="5"/>
  <c r="F1422" i="5"/>
  <c r="E1422" i="5"/>
  <c r="D1422" i="5" a="1"/>
  <c r="D1422" i="5" s="1"/>
  <c r="B1422" i="5"/>
  <c r="N1421" i="5"/>
  <c r="H1421" i="5"/>
  <c r="G1421" i="5"/>
  <c r="F1421" i="5"/>
  <c r="E1421" i="5"/>
  <c r="D1421" i="5" a="1"/>
  <c r="D1421" i="5" s="1"/>
  <c r="B1421" i="5"/>
  <c r="N1420" i="5"/>
  <c r="H1420" i="5"/>
  <c r="G1420" i="5"/>
  <c r="F1420" i="5"/>
  <c r="E1420" i="5"/>
  <c r="D1420" i="5" a="1"/>
  <c r="D1420" i="5" s="1"/>
  <c r="B1420" i="5"/>
  <c r="N1419" i="5"/>
  <c r="H1419" i="5"/>
  <c r="G1419" i="5"/>
  <c r="F1419" i="5"/>
  <c r="E1419" i="5"/>
  <c r="D1419" i="5" a="1"/>
  <c r="D1419" i="5" s="1"/>
  <c r="B1419" i="5"/>
  <c r="N1418" i="5"/>
  <c r="H1418" i="5"/>
  <c r="G1418" i="5"/>
  <c r="F1418" i="5"/>
  <c r="E1418" i="5"/>
  <c r="D1418" i="5" a="1"/>
  <c r="D1418" i="5" s="1"/>
  <c r="B1418" i="5"/>
  <c r="N1417" i="5"/>
  <c r="H1417" i="5"/>
  <c r="G1417" i="5"/>
  <c r="F1417" i="5"/>
  <c r="E1417" i="5"/>
  <c r="D1417" i="5" a="1"/>
  <c r="D1417" i="5" s="1"/>
  <c r="B1417" i="5"/>
  <c r="N1416" i="5"/>
  <c r="H1416" i="5"/>
  <c r="G1416" i="5"/>
  <c r="F1416" i="5"/>
  <c r="E1416" i="5"/>
  <c r="D1416" i="5" a="1"/>
  <c r="D1416" i="5" s="1"/>
  <c r="B1416" i="5"/>
  <c r="N1415" i="5"/>
  <c r="H1415" i="5"/>
  <c r="G1415" i="5"/>
  <c r="F1415" i="5"/>
  <c r="E1415" i="5"/>
  <c r="D1415" i="5" a="1"/>
  <c r="D1415" i="5" s="1"/>
  <c r="B1415" i="5"/>
  <c r="N1414" i="5"/>
  <c r="H1414" i="5"/>
  <c r="G1414" i="5"/>
  <c r="F1414" i="5"/>
  <c r="E1414" i="5"/>
  <c r="D1414" i="5" a="1"/>
  <c r="D1414" i="5" s="1"/>
  <c r="B1414" i="5"/>
  <c r="N1413" i="5"/>
  <c r="H1413" i="5"/>
  <c r="G1413" i="5"/>
  <c r="F1413" i="5"/>
  <c r="E1413" i="5"/>
  <c r="D1413" i="5" a="1"/>
  <c r="D1413" i="5" s="1"/>
  <c r="B1413" i="5"/>
  <c r="N1412" i="5"/>
  <c r="H1412" i="5"/>
  <c r="G1412" i="5"/>
  <c r="F1412" i="5"/>
  <c r="E1412" i="5"/>
  <c r="D1412" i="5" a="1"/>
  <c r="D1412" i="5" s="1"/>
  <c r="B1412" i="5"/>
  <c r="N1411" i="5"/>
  <c r="H1411" i="5"/>
  <c r="G1411" i="5"/>
  <c r="F1411" i="5"/>
  <c r="E1411" i="5"/>
  <c r="D1411" i="5" a="1"/>
  <c r="D1411" i="5" s="1"/>
  <c r="B1411" i="5"/>
  <c r="N1410" i="5"/>
  <c r="H1410" i="5"/>
  <c r="G1410" i="5"/>
  <c r="F1410" i="5"/>
  <c r="E1410" i="5"/>
  <c r="D1410" i="5" a="1"/>
  <c r="D1410" i="5" s="1"/>
  <c r="B1410" i="5"/>
  <c r="N1409" i="5"/>
  <c r="H1409" i="5"/>
  <c r="G1409" i="5"/>
  <c r="F1409" i="5"/>
  <c r="E1409" i="5"/>
  <c r="D1409" i="5" a="1"/>
  <c r="D1409" i="5" s="1"/>
  <c r="B1409" i="5"/>
  <c r="N1408" i="5"/>
  <c r="H1408" i="5"/>
  <c r="G1408" i="5"/>
  <c r="F1408" i="5"/>
  <c r="E1408" i="5"/>
  <c r="D1408" i="5" a="1"/>
  <c r="D1408" i="5" s="1"/>
  <c r="B1408" i="5"/>
  <c r="N1407" i="5"/>
  <c r="H1407" i="5"/>
  <c r="G1407" i="5"/>
  <c r="F1407" i="5"/>
  <c r="E1407" i="5"/>
  <c r="D1407" i="5" a="1"/>
  <c r="D1407" i="5" s="1"/>
  <c r="B1407" i="5"/>
  <c r="N1406" i="5"/>
  <c r="H1406" i="5"/>
  <c r="G1406" i="5"/>
  <c r="F1406" i="5"/>
  <c r="E1406" i="5"/>
  <c r="D1406" i="5" a="1"/>
  <c r="D1406" i="5" s="1"/>
  <c r="B1406" i="5"/>
  <c r="N1405" i="5"/>
  <c r="H1405" i="5"/>
  <c r="G1405" i="5"/>
  <c r="F1405" i="5"/>
  <c r="E1405" i="5"/>
  <c r="D1405" i="5" a="1"/>
  <c r="D1405" i="5" s="1"/>
  <c r="B1405" i="5"/>
  <c r="N1404" i="5"/>
  <c r="H1404" i="5"/>
  <c r="G1404" i="5"/>
  <c r="F1404" i="5"/>
  <c r="E1404" i="5"/>
  <c r="D1404" i="5" a="1"/>
  <c r="D1404" i="5" s="1"/>
  <c r="B1404" i="5"/>
  <c r="N1403" i="5"/>
  <c r="H1403" i="5"/>
  <c r="G1403" i="5"/>
  <c r="F1403" i="5"/>
  <c r="E1403" i="5"/>
  <c r="D1403" i="5" a="1"/>
  <c r="D1403" i="5" s="1"/>
  <c r="B1403" i="5"/>
  <c r="N1402" i="5"/>
  <c r="H1402" i="5"/>
  <c r="G1402" i="5"/>
  <c r="F1402" i="5"/>
  <c r="E1402" i="5"/>
  <c r="D1402" i="5" a="1"/>
  <c r="D1402" i="5" s="1"/>
  <c r="B1402" i="5"/>
  <c r="N1401" i="5"/>
  <c r="H1401" i="5"/>
  <c r="G1401" i="5"/>
  <c r="F1401" i="5"/>
  <c r="E1401" i="5"/>
  <c r="D1401" i="5" a="1"/>
  <c r="D1401" i="5" s="1"/>
  <c r="B1401" i="5"/>
  <c r="N1400" i="5"/>
  <c r="H1400" i="5"/>
  <c r="G1400" i="5"/>
  <c r="F1400" i="5"/>
  <c r="E1400" i="5"/>
  <c r="D1400" i="5" a="1"/>
  <c r="D1400" i="5" s="1"/>
  <c r="B1400" i="5"/>
  <c r="N1399" i="5"/>
  <c r="H1399" i="5"/>
  <c r="G1399" i="5"/>
  <c r="F1399" i="5"/>
  <c r="E1399" i="5"/>
  <c r="D1399" i="5" a="1"/>
  <c r="D1399" i="5" s="1"/>
  <c r="B1399" i="5"/>
  <c r="N1398" i="5"/>
  <c r="H1398" i="5"/>
  <c r="G1398" i="5"/>
  <c r="F1398" i="5"/>
  <c r="E1398" i="5"/>
  <c r="D1398" i="5" a="1"/>
  <c r="D1398" i="5" s="1"/>
  <c r="B1398" i="5"/>
  <c r="N1397" i="5"/>
  <c r="H1397" i="5"/>
  <c r="G1397" i="5"/>
  <c r="F1397" i="5"/>
  <c r="E1397" i="5"/>
  <c r="D1397" i="5" a="1"/>
  <c r="D1397" i="5" s="1"/>
  <c r="B1397" i="5"/>
  <c r="N1396" i="5"/>
  <c r="H1396" i="5"/>
  <c r="G1396" i="5"/>
  <c r="F1396" i="5"/>
  <c r="E1396" i="5"/>
  <c r="D1396" i="5" a="1"/>
  <c r="D1396" i="5" s="1"/>
  <c r="B1396" i="5"/>
  <c r="N1395" i="5"/>
  <c r="H1395" i="5"/>
  <c r="G1395" i="5"/>
  <c r="F1395" i="5"/>
  <c r="E1395" i="5"/>
  <c r="D1395" i="5" a="1"/>
  <c r="D1395" i="5" s="1"/>
  <c r="B1395" i="5"/>
  <c r="N1394" i="5"/>
  <c r="H1394" i="5"/>
  <c r="G1394" i="5"/>
  <c r="F1394" i="5"/>
  <c r="E1394" i="5"/>
  <c r="D1394" i="5" a="1"/>
  <c r="D1394" i="5" s="1"/>
  <c r="B1394" i="5"/>
  <c r="N1393" i="5"/>
  <c r="H1393" i="5"/>
  <c r="G1393" i="5"/>
  <c r="F1393" i="5"/>
  <c r="E1393" i="5"/>
  <c r="D1393" i="5" a="1"/>
  <c r="D1393" i="5" s="1"/>
  <c r="B1393" i="5"/>
  <c r="N1392" i="5"/>
  <c r="H1392" i="5"/>
  <c r="G1392" i="5"/>
  <c r="F1392" i="5"/>
  <c r="E1392" i="5"/>
  <c r="D1392" i="5" a="1"/>
  <c r="D1392" i="5" s="1"/>
  <c r="B1392" i="5"/>
  <c r="N1391" i="5"/>
  <c r="H1391" i="5"/>
  <c r="G1391" i="5"/>
  <c r="F1391" i="5"/>
  <c r="E1391" i="5"/>
  <c r="D1391" i="5" a="1"/>
  <c r="D1391" i="5" s="1"/>
  <c r="B1391" i="5"/>
  <c r="N1390" i="5"/>
  <c r="H1390" i="5"/>
  <c r="G1390" i="5"/>
  <c r="F1390" i="5"/>
  <c r="E1390" i="5"/>
  <c r="D1390" i="5" a="1"/>
  <c r="D1390" i="5" s="1"/>
  <c r="B1390" i="5"/>
  <c r="N1389" i="5"/>
  <c r="H1389" i="5"/>
  <c r="G1389" i="5"/>
  <c r="F1389" i="5"/>
  <c r="E1389" i="5"/>
  <c r="D1389" i="5" a="1"/>
  <c r="D1389" i="5" s="1"/>
  <c r="B1389" i="5"/>
  <c r="N1388" i="5"/>
  <c r="H1388" i="5"/>
  <c r="G1388" i="5"/>
  <c r="F1388" i="5"/>
  <c r="E1388" i="5"/>
  <c r="D1388" i="5" a="1"/>
  <c r="D1388" i="5" s="1"/>
  <c r="B1388" i="5"/>
  <c r="N1387" i="5"/>
  <c r="H1387" i="5"/>
  <c r="G1387" i="5"/>
  <c r="F1387" i="5"/>
  <c r="E1387" i="5"/>
  <c r="D1387" i="5" a="1"/>
  <c r="D1387" i="5" s="1"/>
  <c r="B1387" i="5"/>
  <c r="N1386" i="5"/>
  <c r="H1386" i="5"/>
  <c r="G1386" i="5"/>
  <c r="F1386" i="5"/>
  <c r="E1386" i="5"/>
  <c r="D1386" i="5" a="1"/>
  <c r="D1386" i="5" s="1"/>
  <c r="B1386" i="5"/>
  <c r="N1385" i="5"/>
  <c r="H1385" i="5"/>
  <c r="G1385" i="5"/>
  <c r="F1385" i="5"/>
  <c r="E1385" i="5"/>
  <c r="D1385" i="5" a="1"/>
  <c r="D1385" i="5" s="1"/>
  <c r="B1385" i="5"/>
  <c r="N1384" i="5"/>
  <c r="H1384" i="5"/>
  <c r="G1384" i="5"/>
  <c r="F1384" i="5"/>
  <c r="E1384" i="5"/>
  <c r="D1384" i="5" a="1"/>
  <c r="D1384" i="5" s="1"/>
  <c r="B1384" i="5"/>
  <c r="N1383" i="5"/>
  <c r="H1383" i="5"/>
  <c r="G1383" i="5"/>
  <c r="F1383" i="5"/>
  <c r="E1383" i="5"/>
  <c r="D1383" i="5" a="1"/>
  <c r="D1383" i="5" s="1"/>
  <c r="B1383" i="5"/>
  <c r="N1382" i="5"/>
  <c r="H1382" i="5"/>
  <c r="G1382" i="5"/>
  <c r="F1382" i="5"/>
  <c r="E1382" i="5"/>
  <c r="D1382" i="5" a="1"/>
  <c r="D1382" i="5" s="1"/>
  <c r="B1382" i="5"/>
  <c r="N1381" i="5"/>
  <c r="H1381" i="5"/>
  <c r="G1381" i="5"/>
  <c r="F1381" i="5"/>
  <c r="E1381" i="5"/>
  <c r="D1381" i="5" a="1"/>
  <c r="D1381" i="5" s="1"/>
  <c r="B1381" i="5"/>
  <c r="N1380" i="5"/>
  <c r="H1380" i="5"/>
  <c r="G1380" i="5"/>
  <c r="F1380" i="5"/>
  <c r="E1380" i="5"/>
  <c r="D1380" i="5" a="1"/>
  <c r="D1380" i="5" s="1"/>
  <c r="B1380" i="5"/>
  <c r="N1379" i="5"/>
  <c r="H1379" i="5"/>
  <c r="G1379" i="5"/>
  <c r="F1379" i="5"/>
  <c r="E1379" i="5"/>
  <c r="D1379" i="5" a="1"/>
  <c r="D1379" i="5" s="1"/>
  <c r="B1379" i="5"/>
  <c r="N1378" i="5"/>
  <c r="H1378" i="5"/>
  <c r="G1378" i="5"/>
  <c r="F1378" i="5"/>
  <c r="E1378" i="5"/>
  <c r="D1378" i="5" a="1"/>
  <c r="D1378" i="5" s="1"/>
  <c r="B1378" i="5"/>
  <c r="N1377" i="5"/>
  <c r="H1377" i="5"/>
  <c r="G1377" i="5"/>
  <c r="F1377" i="5"/>
  <c r="E1377" i="5"/>
  <c r="D1377" i="5" a="1"/>
  <c r="D1377" i="5" s="1"/>
  <c r="B1377" i="5"/>
  <c r="N1376" i="5"/>
  <c r="H1376" i="5"/>
  <c r="G1376" i="5"/>
  <c r="F1376" i="5"/>
  <c r="E1376" i="5"/>
  <c r="D1376" i="5" a="1"/>
  <c r="D1376" i="5" s="1"/>
  <c r="B1376" i="5"/>
  <c r="N1375" i="5"/>
  <c r="H1375" i="5"/>
  <c r="G1375" i="5"/>
  <c r="F1375" i="5"/>
  <c r="E1375" i="5"/>
  <c r="D1375" i="5" a="1"/>
  <c r="D1375" i="5" s="1"/>
  <c r="B1375" i="5"/>
  <c r="N1374" i="5"/>
  <c r="H1374" i="5"/>
  <c r="G1374" i="5"/>
  <c r="F1374" i="5"/>
  <c r="E1374" i="5"/>
  <c r="D1374" i="5" a="1"/>
  <c r="D1374" i="5" s="1"/>
  <c r="B1374" i="5"/>
  <c r="N1373" i="5"/>
  <c r="H1373" i="5"/>
  <c r="G1373" i="5"/>
  <c r="F1373" i="5"/>
  <c r="E1373" i="5"/>
  <c r="D1373" i="5" a="1"/>
  <c r="D1373" i="5" s="1"/>
  <c r="B1373" i="5"/>
  <c r="N1372" i="5"/>
  <c r="H1372" i="5"/>
  <c r="G1372" i="5"/>
  <c r="F1372" i="5"/>
  <c r="E1372" i="5"/>
  <c r="D1372" i="5" a="1"/>
  <c r="D1372" i="5" s="1"/>
  <c r="B1372" i="5"/>
  <c r="N1371" i="5"/>
  <c r="H1371" i="5"/>
  <c r="G1371" i="5"/>
  <c r="F1371" i="5"/>
  <c r="E1371" i="5"/>
  <c r="D1371" i="5" a="1"/>
  <c r="D1371" i="5" s="1"/>
  <c r="B1371" i="5"/>
  <c r="N1370" i="5"/>
  <c r="H1370" i="5"/>
  <c r="G1370" i="5"/>
  <c r="F1370" i="5"/>
  <c r="E1370" i="5"/>
  <c r="D1370" i="5" a="1"/>
  <c r="D1370" i="5" s="1"/>
  <c r="B1370" i="5"/>
  <c r="N1369" i="5"/>
  <c r="H1369" i="5"/>
  <c r="G1369" i="5"/>
  <c r="F1369" i="5"/>
  <c r="E1369" i="5"/>
  <c r="D1369" i="5" a="1"/>
  <c r="D1369" i="5" s="1"/>
  <c r="B1369" i="5"/>
  <c r="N1368" i="5"/>
  <c r="H1368" i="5"/>
  <c r="G1368" i="5"/>
  <c r="F1368" i="5"/>
  <c r="E1368" i="5"/>
  <c r="D1368" i="5" a="1"/>
  <c r="D1368" i="5" s="1"/>
  <c r="B1368" i="5"/>
  <c r="N1367" i="5"/>
  <c r="H1367" i="5"/>
  <c r="G1367" i="5"/>
  <c r="F1367" i="5"/>
  <c r="E1367" i="5"/>
  <c r="D1367" i="5" a="1"/>
  <c r="D1367" i="5" s="1"/>
  <c r="B1367" i="5"/>
  <c r="N1366" i="5"/>
  <c r="H1366" i="5"/>
  <c r="G1366" i="5"/>
  <c r="F1366" i="5"/>
  <c r="E1366" i="5"/>
  <c r="D1366" i="5" a="1"/>
  <c r="D1366" i="5" s="1"/>
  <c r="B1366" i="5"/>
  <c r="N1365" i="5"/>
  <c r="H1365" i="5"/>
  <c r="G1365" i="5"/>
  <c r="F1365" i="5"/>
  <c r="E1365" i="5"/>
  <c r="D1365" i="5" a="1"/>
  <c r="D1365" i="5" s="1"/>
  <c r="B1365" i="5"/>
  <c r="N1364" i="5"/>
  <c r="H1364" i="5"/>
  <c r="G1364" i="5"/>
  <c r="F1364" i="5"/>
  <c r="E1364" i="5"/>
  <c r="D1364" i="5" a="1"/>
  <c r="D1364" i="5" s="1"/>
  <c r="B1364" i="5"/>
  <c r="N1363" i="5"/>
  <c r="H1363" i="5"/>
  <c r="G1363" i="5"/>
  <c r="F1363" i="5"/>
  <c r="E1363" i="5"/>
  <c r="D1363" i="5" a="1"/>
  <c r="D1363" i="5" s="1"/>
  <c r="B1363" i="5"/>
  <c r="N1362" i="5"/>
  <c r="H1362" i="5"/>
  <c r="G1362" i="5"/>
  <c r="F1362" i="5"/>
  <c r="E1362" i="5"/>
  <c r="D1362" i="5" a="1"/>
  <c r="D1362" i="5" s="1"/>
  <c r="B1362" i="5"/>
  <c r="N1361" i="5"/>
  <c r="H1361" i="5"/>
  <c r="G1361" i="5"/>
  <c r="F1361" i="5"/>
  <c r="E1361" i="5"/>
  <c r="D1361" i="5" a="1"/>
  <c r="D1361" i="5" s="1"/>
  <c r="B1361" i="5"/>
  <c r="N1360" i="5"/>
  <c r="H1360" i="5"/>
  <c r="G1360" i="5"/>
  <c r="F1360" i="5"/>
  <c r="E1360" i="5"/>
  <c r="D1360" i="5" a="1"/>
  <c r="D1360" i="5" s="1"/>
  <c r="B1360" i="5"/>
  <c r="N1359" i="5"/>
  <c r="H1359" i="5"/>
  <c r="G1359" i="5"/>
  <c r="F1359" i="5"/>
  <c r="E1359" i="5"/>
  <c r="D1359" i="5" a="1"/>
  <c r="D1359" i="5" s="1"/>
  <c r="B1359" i="5"/>
  <c r="N1358" i="5"/>
  <c r="H1358" i="5"/>
  <c r="G1358" i="5"/>
  <c r="F1358" i="5"/>
  <c r="E1358" i="5"/>
  <c r="D1358" i="5" a="1"/>
  <c r="D1358" i="5" s="1"/>
  <c r="B1358" i="5"/>
  <c r="N1357" i="5"/>
  <c r="H1357" i="5"/>
  <c r="G1357" i="5"/>
  <c r="F1357" i="5"/>
  <c r="E1357" i="5"/>
  <c r="D1357" i="5" a="1"/>
  <c r="D1357" i="5" s="1"/>
  <c r="B1357" i="5"/>
  <c r="N1356" i="5"/>
  <c r="H1356" i="5"/>
  <c r="G1356" i="5"/>
  <c r="F1356" i="5"/>
  <c r="E1356" i="5"/>
  <c r="D1356" i="5" a="1"/>
  <c r="D1356" i="5" s="1"/>
  <c r="B1356" i="5"/>
  <c r="N1355" i="5"/>
  <c r="H1355" i="5"/>
  <c r="G1355" i="5"/>
  <c r="F1355" i="5"/>
  <c r="E1355" i="5"/>
  <c r="D1355" i="5" a="1"/>
  <c r="D1355" i="5" s="1"/>
  <c r="B1355" i="5"/>
  <c r="N1354" i="5"/>
  <c r="H1354" i="5"/>
  <c r="G1354" i="5"/>
  <c r="F1354" i="5"/>
  <c r="E1354" i="5"/>
  <c r="D1354" i="5" a="1"/>
  <c r="D1354" i="5" s="1"/>
  <c r="B1354" i="5"/>
  <c r="N1353" i="5"/>
  <c r="H1353" i="5"/>
  <c r="G1353" i="5"/>
  <c r="F1353" i="5"/>
  <c r="E1353" i="5"/>
  <c r="D1353" i="5" a="1"/>
  <c r="D1353" i="5" s="1"/>
  <c r="B1353" i="5"/>
  <c r="N1352" i="5"/>
  <c r="H1352" i="5"/>
  <c r="G1352" i="5"/>
  <c r="F1352" i="5"/>
  <c r="E1352" i="5"/>
  <c r="D1352" i="5" a="1"/>
  <c r="D1352" i="5" s="1"/>
  <c r="B1352" i="5"/>
  <c r="N1351" i="5"/>
  <c r="H1351" i="5"/>
  <c r="G1351" i="5"/>
  <c r="F1351" i="5"/>
  <c r="E1351" i="5"/>
  <c r="D1351" i="5" a="1"/>
  <c r="D1351" i="5" s="1"/>
  <c r="B1351" i="5"/>
  <c r="N1350" i="5"/>
  <c r="H1350" i="5"/>
  <c r="G1350" i="5"/>
  <c r="F1350" i="5"/>
  <c r="E1350" i="5"/>
  <c r="D1350" i="5" a="1"/>
  <c r="D1350" i="5" s="1"/>
  <c r="B1350" i="5"/>
  <c r="N1349" i="5"/>
  <c r="H1349" i="5"/>
  <c r="G1349" i="5"/>
  <c r="F1349" i="5"/>
  <c r="E1349" i="5"/>
  <c r="D1349" i="5" a="1"/>
  <c r="D1349" i="5" s="1"/>
  <c r="B1349" i="5"/>
  <c r="N1348" i="5"/>
  <c r="H1348" i="5"/>
  <c r="G1348" i="5"/>
  <c r="F1348" i="5"/>
  <c r="E1348" i="5"/>
  <c r="D1348" i="5" a="1"/>
  <c r="D1348" i="5" s="1"/>
  <c r="B1348" i="5"/>
  <c r="N1347" i="5"/>
  <c r="H1347" i="5"/>
  <c r="G1347" i="5"/>
  <c r="F1347" i="5"/>
  <c r="E1347" i="5"/>
  <c r="D1347" i="5" a="1"/>
  <c r="D1347" i="5" s="1"/>
  <c r="B1347" i="5"/>
  <c r="N1346" i="5"/>
  <c r="H1346" i="5"/>
  <c r="G1346" i="5"/>
  <c r="F1346" i="5"/>
  <c r="E1346" i="5"/>
  <c r="D1346" i="5" a="1"/>
  <c r="D1346" i="5" s="1"/>
  <c r="B1346" i="5"/>
  <c r="N1345" i="5"/>
  <c r="H1345" i="5"/>
  <c r="G1345" i="5"/>
  <c r="F1345" i="5"/>
  <c r="E1345" i="5"/>
  <c r="D1345" i="5" a="1"/>
  <c r="D1345" i="5" s="1"/>
  <c r="B1345" i="5"/>
  <c r="N1344" i="5"/>
  <c r="H1344" i="5"/>
  <c r="G1344" i="5"/>
  <c r="F1344" i="5"/>
  <c r="E1344" i="5"/>
  <c r="D1344" i="5" a="1"/>
  <c r="D1344" i="5" s="1"/>
  <c r="B1344" i="5"/>
  <c r="N1343" i="5"/>
  <c r="H1343" i="5"/>
  <c r="G1343" i="5"/>
  <c r="F1343" i="5"/>
  <c r="E1343" i="5"/>
  <c r="D1343" i="5" a="1"/>
  <c r="D1343" i="5" s="1"/>
  <c r="B1343" i="5"/>
  <c r="N1342" i="5"/>
  <c r="H1342" i="5"/>
  <c r="G1342" i="5"/>
  <c r="F1342" i="5"/>
  <c r="E1342" i="5"/>
  <c r="D1342" i="5" a="1"/>
  <c r="D1342" i="5" s="1"/>
  <c r="B1342" i="5"/>
  <c r="N1341" i="5"/>
  <c r="H1341" i="5"/>
  <c r="G1341" i="5"/>
  <c r="F1341" i="5"/>
  <c r="E1341" i="5"/>
  <c r="D1341" i="5" a="1"/>
  <c r="D1341" i="5" s="1"/>
  <c r="B1341" i="5"/>
  <c r="N1340" i="5"/>
  <c r="H1340" i="5"/>
  <c r="G1340" i="5"/>
  <c r="F1340" i="5"/>
  <c r="E1340" i="5"/>
  <c r="D1340" i="5" a="1"/>
  <c r="D1340" i="5" s="1"/>
  <c r="B1340" i="5"/>
  <c r="N1339" i="5"/>
  <c r="H1339" i="5"/>
  <c r="G1339" i="5"/>
  <c r="F1339" i="5"/>
  <c r="E1339" i="5"/>
  <c r="D1339" i="5" a="1"/>
  <c r="D1339" i="5" s="1"/>
  <c r="B1339" i="5"/>
  <c r="N1338" i="5"/>
  <c r="H1338" i="5"/>
  <c r="G1338" i="5"/>
  <c r="F1338" i="5"/>
  <c r="E1338" i="5"/>
  <c r="D1338" i="5" a="1"/>
  <c r="D1338" i="5" s="1"/>
  <c r="B1338" i="5"/>
  <c r="N1337" i="5"/>
  <c r="H1337" i="5"/>
  <c r="G1337" i="5"/>
  <c r="F1337" i="5"/>
  <c r="E1337" i="5"/>
  <c r="D1337" i="5" a="1"/>
  <c r="D1337" i="5" s="1"/>
  <c r="B1337" i="5"/>
  <c r="N1336" i="5"/>
  <c r="H1336" i="5"/>
  <c r="G1336" i="5"/>
  <c r="F1336" i="5"/>
  <c r="E1336" i="5"/>
  <c r="D1336" i="5" a="1"/>
  <c r="D1336" i="5" s="1"/>
  <c r="B1336" i="5"/>
  <c r="N1335" i="5"/>
  <c r="H1335" i="5"/>
  <c r="G1335" i="5"/>
  <c r="F1335" i="5"/>
  <c r="E1335" i="5"/>
  <c r="D1335" i="5" a="1"/>
  <c r="D1335" i="5" s="1"/>
  <c r="B1335" i="5"/>
  <c r="N1334" i="5"/>
  <c r="H1334" i="5"/>
  <c r="G1334" i="5"/>
  <c r="F1334" i="5"/>
  <c r="E1334" i="5"/>
  <c r="D1334" i="5" a="1"/>
  <c r="D1334" i="5" s="1"/>
  <c r="B1334" i="5"/>
  <c r="N1333" i="5"/>
  <c r="H1333" i="5"/>
  <c r="G1333" i="5"/>
  <c r="F1333" i="5"/>
  <c r="E1333" i="5"/>
  <c r="D1333" i="5" a="1"/>
  <c r="D1333" i="5" s="1"/>
  <c r="B1333" i="5"/>
  <c r="N1332" i="5"/>
  <c r="H1332" i="5"/>
  <c r="G1332" i="5"/>
  <c r="F1332" i="5"/>
  <c r="E1332" i="5"/>
  <c r="D1332" i="5" a="1"/>
  <c r="D1332" i="5" s="1"/>
  <c r="B1332" i="5"/>
  <c r="N1331" i="5"/>
  <c r="H1331" i="5"/>
  <c r="G1331" i="5"/>
  <c r="F1331" i="5"/>
  <c r="E1331" i="5"/>
  <c r="D1331" i="5" a="1"/>
  <c r="D1331" i="5" s="1"/>
  <c r="B1331" i="5"/>
  <c r="N1330" i="5"/>
  <c r="H1330" i="5"/>
  <c r="G1330" i="5"/>
  <c r="F1330" i="5"/>
  <c r="E1330" i="5"/>
  <c r="D1330" i="5" a="1"/>
  <c r="D1330" i="5" s="1"/>
  <c r="B1330" i="5"/>
  <c r="N1329" i="5"/>
  <c r="H1329" i="5"/>
  <c r="G1329" i="5"/>
  <c r="F1329" i="5"/>
  <c r="E1329" i="5"/>
  <c r="D1329" i="5" a="1"/>
  <c r="D1329" i="5" s="1"/>
  <c r="B1329" i="5"/>
  <c r="N1328" i="5"/>
  <c r="H1328" i="5"/>
  <c r="G1328" i="5"/>
  <c r="F1328" i="5"/>
  <c r="E1328" i="5"/>
  <c r="D1328" i="5" a="1"/>
  <c r="D1328" i="5" s="1"/>
  <c r="B1328" i="5"/>
  <c r="N1327" i="5"/>
  <c r="H1327" i="5"/>
  <c r="G1327" i="5"/>
  <c r="F1327" i="5"/>
  <c r="E1327" i="5"/>
  <c r="D1327" i="5" a="1"/>
  <c r="D1327" i="5" s="1"/>
  <c r="B1327" i="5"/>
  <c r="N1326" i="5"/>
  <c r="H1326" i="5"/>
  <c r="G1326" i="5"/>
  <c r="F1326" i="5"/>
  <c r="E1326" i="5"/>
  <c r="D1326" i="5" a="1"/>
  <c r="D1326" i="5" s="1"/>
  <c r="B1326" i="5"/>
  <c r="N1325" i="5"/>
  <c r="H1325" i="5"/>
  <c r="G1325" i="5"/>
  <c r="F1325" i="5"/>
  <c r="E1325" i="5"/>
  <c r="D1325" i="5" a="1"/>
  <c r="D1325" i="5" s="1"/>
  <c r="B1325" i="5"/>
  <c r="N1324" i="5"/>
  <c r="H1324" i="5"/>
  <c r="G1324" i="5"/>
  <c r="F1324" i="5"/>
  <c r="E1324" i="5"/>
  <c r="D1324" i="5" a="1"/>
  <c r="D1324" i="5" s="1"/>
  <c r="B1324" i="5"/>
  <c r="N1323" i="5"/>
  <c r="H1323" i="5"/>
  <c r="G1323" i="5"/>
  <c r="F1323" i="5"/>
  <c r="E1323" i="5"/>
  <c r="D1323" i="5" a="1"/>
  <c r="D1323" i="5" s="1"/>
  <c r="B1323" i="5"/>
  <c r="N1322" i="5"/>
  <c r="H1322" i="5"/>
  <c r="G1322" i="5"/>
  <c r="F1322" i="5"/>
  <c r="E1322" i="5"/>
  <c r="D1322" i="5" a="1"/>
  <c r="D1322" i="5" s="1"/>
  <c r="B1322" i="5"/>
  <c r="N1321" i="5"/>
  <c r="H1321" i="5"/>
  <c r="G1321" i="5"/>
  <c r="F1321" i="5"/>
  <c r="E1321" i="5"/>
  <c r="D1321" i="5" a="1"/>
  <c r="D1321" i="5" s="1"/>
  <c r="B1321" i="5"/>
  <c r="N1320" i="5"/>
  <c r="H1320" i="5"/>
  <c r="G1320" i="5"/>
  <c r="F1320" i="5"/>
  <c r="E1320" i="5"/>
  <c r="D1320" i="5" a="1"/>
  <c r="D1320" i="5" s="1"/>
  <c r="B1320" i="5"/>
  <c r="N1319" i="5"/>
  <c r="H1319" i="5"/>
  <c r="G1319" i="5"/>
  <c r="F1319" i="5"/>
  <c r="E1319" i="5"/>
  <c r="D1319" i="5" a="1"/>
  <c r="D1319" i="5" s="1"/>
  <c r="B1319" i="5"/>
  <c r="N1318" i="5"/>
  <c r="H1318" i="5"/>
  <c r="G1318" i="5"/>
  <c r="F1318" i="5"/>
  <c r="E1318" i="5"/>
  <c r="D1318" i="5" a="1"/>
  <c r="D1318" i="5" s="1"/>
  <c r="B1318" i="5"/>
  <c r="N1317" i="5"/>
  <c r="H1317" i="5"/>
  <c r="G1317" i="5"/>
  <c r="F1317" i="5"/>
  <c r="E1317" i="5"/>
  <c r="D1317" i="5" a="1"/>
  <c r="D1317" i="5" s="1"/>
  <c r="B1317" i="5"/>
  <c r="N1316" i="5"/>
  <c r="H1316" i="5"/>
  <c r="G1316" i="5"/>
  <c r="F1316" i="5"/>
  <c r="E1316" i="5"/>
  <c r="D1316" i="5" a="1"/>
  <c r="D1316" i="5" s="1"/>
  <c r="B1316" i="5"/>
  <c r="N1315" i="5"/>
  <c r="H1315" i="5"/>
  <c r="G1315" i="5"/>
  <c r="F1315" i="5"/>
  <c r="E1315" i="5"/>
  <c r="D1315" i="5" a="1"/>
  <c r="D1315" i="5" s="1"/>
  <c r="B1315" i="5"/>
  <c r="N1314" i="5"/>
  <c r="H1314" i="5"/>
  <c r="G1314" i="5"/>
  <c r="F1314" i="5"/>
  <c r="E1314" i="5"/>
  <c r="D1314" i="5" a="1"/>
  <c r="D1314" i="5" s="1"/>
  <c r="B1314" i="5"/>
  <c r="N1313" i="5"/>
  <c r="H1313" i="5"/>
  <c r="G1313" i="5"/>
  <c r="F1313" i="5"/>
  <c r="E1313" i="5"/>
  <c r="D1313" i="5" a="1"/>
  <c r="D1313" i="5" s="1"/>
  <c r="B1313" i="5"/>
  <c r="N1312" i="5"/>
  <c r="H1312" i="5"/>
  <c r="G1312" i="5"/>
  <c r="F1312" i="5"/>
  <c r="E1312" i="5"/>
  <c r="D1312" i="5" a="1"/>
  <c r="D1312" i="5" s="1"/>
  <c r="B1312" i="5"/>
  <c r="N1311" i="5"/>
  <c r="H1311" i="5"/>
  <c r="G1311" i="5"/>
  <c r="F1311" i="5"/>
  <c r="E1311" i="5"/>
  <c r="D1311" i="5" a="1"/>
  <c r="D1311" i="5" s="1"/>
  <c r="B1311" i="5"/>
  <c r="N1310" i="5"/>
  <c r="H1310" i="5"/>
  <c r="G1310" i="5"/>
  <c r="F1310" i="5"/>
  <c r="E1310" i="5"/>
  <c r="D1310" i="5" a="1"/>
  <c r="D1310" i="5" s="1"/>
  <c r="B1310" i="5"/>
  <c r="N1309" i="5"/>
  <c r="H1309" i="5"/>
  <c r="G1309" i="5"/>
  <c r="F1309" i="5"/>
  <c r="E1309" i="5"/>
  <c r="D1309" i="5" a="1"/>
  <c r="D1309" i="5" s="1"/>
  <c r="B1309" i="5"/>
  <c r="N1308" i="5"/>
  <c r="H1308" i="5"/>
  <c r="G1308" i="5"/>
  <c r="F1308" i="5"/>
  <c r="E1308" i="5"/>
  <c r="D1308" i="5" a="1"/>
  <c r="D1308" i="5" s="1"/>
  <c r="B1308" i="5"/>
  <c r="N1307" i="5"/>
  <c r="H1307" i="5"/>
  <c r="G1307" i="5"/>
  <c r="F1307" i="5"/>
  <c r="E1307" i="5"/>
  <c r="D1307" i="5" a="1"/>
  <c r="D1307" i="5" s="1"/>
  <c r="B1307" i="5"/>
  <c r="N1306" i="5"/>
  <c r="H1306" i="5"/>
  <c r="G1306" i="5"/>
  <c r="F1306" i="5"/>
  <c r="E1306" i="5"/>
  <c r="D1306" i="5" a="1"/>
  <c r="D1306" i="5" s="1"/>
  <c r="B1306" i="5"/>
  <c r="N1305" i="5"/>
  <c r="H1305" i="5"/>
  <c r="G1305" i="5"/>
  <c r="F1305" i="5"/>
  <c r="E1305" i="5"/>
  <c r="D1305" i="5" a="1"/>
  <c r="D1305" i="5" s="1"/>
  <c r="B1305" i="5"/>
  <c r="N1304" i="5"/>
  <c r="H1304" i="5"/>
  <c r="G1304" i="5"/>
  <c r="F1304" i="5"/>
  <c r="E1304" i="5"/>
  <c r="D1304" i="5" a="1"/>
  <c r="D1304" i="5" s="1"/>
  <c r="B1304" i="5"/>
  <c r="N1303" i="5"/>
  <c r="H1303" i="5"/>
  <c r="G1303" i="5"/>
  <c r="F1303" i="5"/>
  <c r="E1303" i="5"/>
  <c r="D1303" i="5" a="1"/>
  <c r="D1303" i="5" s="1"/>
  <c r="B1303" i="5"/>
  <c r="N1302" i="5"/>
  <c r="H1302" i="5"/>
  <c r="G1302" i="5"/>
  <c r="F1302" i="5"/>
  <c r="E1302" i="5"/>
  <c r="D1302" i="5" a="1"/>
  <c r="D1302" i="5" s="1"/>
  <c r="B1302" i="5"/>
  <c r="N1301" i="5"/>
  <c r="H1301" i="5"/>
  <c r="G1301" i="5"/>
  <c r="F1301" i="5"/>
  <c r="E1301" i="5"/>
  <c r="D1301" i="5" a="1"/>
  <c r="D1301" i="5" s="1"/>
  <c r="B1301" i="5"/>
  <c r="N1300" i="5"/>
  <c r="H1300" i="5"/>
  <c r="G1300" i="5"/>
  <c r="F1300" i="5"/>
  <c r="E1300" i="5"/>
  <c r="D1300" i="5" a="1"/>
  <c r="D1300" i="5" s="1"/>
  <c r="B1300" i="5"/>
  <c r="N1299" i="5"/>
  <c r="H1299" i="5"/>
  <c r="G1299" i="5"/>
  <c r="F1299" i="5"/>
  <c r="E1299" i="5"/>
  <c r="D1299" i="5" a="1"/>
  <c r="D1299" i="5" s="1"/>
  <c r="B1299" i="5"/>
  <c r="N1298" i="5"/>
  <c r="H1298" i="5"/>
  <c r="G1298" i="5"/>
  <c r="F1298" i="5"/>
  <c r="E1298" i="5"/>
  <c r="D1298" i="5" a="1"/>
  <c r="D1298" i="5" s="1"/>
  <c r="B1298" i="5"/>
  <c r="N1297" i="5"/>
  <c r="H1297" i="5"/>
  <c r="G1297" i="5"/>
  <c r="F1297" i="5"/>
  <c r="E1297" i="5"/>
  <c r="D1297" i="5" a="1"/>
  <c r="D1297" i="5" s="1"/>
  <c r="B1297" i="5"/>
  <c r="N1296" i="5"/>
  <c r="H1296" i="5"/>
  <c r="G1296" i="5"/>
  <c r="F1296" i="5"/>
  <c r="E1296" i="5"/>
  <c r="D1296" i="5" a="1"/>
  <c r="D1296" i="5" s="1"/>
  <c r="B1296" i="5"/>
  <c r="N1295" i="5"/>
  <c r="H1295" i="5"/>
  <c r="G1295" i="5"/>
  <c r="F1295" i="5"/>
  <c r="E1295" i="5"/>
  <c r="D1295" i="5" a="1"/>
  <c r="D1295" i="5" s="1"/>
  <c r="B1295" i="5"/>
  <c r="N1294" i="5"/>
  <c r="H1294" i="5"/>
  <c r="G1294" i="5"/>
  <c r="F1294" i="5"/>
  <c r="E1294" i="5"/>
  <c r="D1294" i="5" a="1"/>
  <c r="D1294" i="5" s="1"/>
  <c r="B1294" i="5"/>
  <c r="N1293" i="5"/>
  <c r="H1293" i="5"/>
  <c r="G1293" i="5"/>
  <c r="F1293" i="5"/>
  <c r="E1293" i="5"/>
  <c r="D1293" i="5" a="1"/>
  <c r="D1293" i="5" s="1"/>
  <c r="B1293" i="5"/>
  <c r="N1292" i="5"/>
  <c r="H1292" i="5"/>
  <c r="G1292" i="5"/>
  <c r="F1292" i="5"/>
  <c r="E1292" i="5"/>
  <c r="D1292" i="5" a="1"/>
  <c r="D1292" i="5" s="1"/>
  <c r="B1292" i="5"/>
  <c r="N1291" i="5"/>
  <c r="H1291" i="5"/>
  <c r="G1291" i="5"/>
  <c r="F1291" i="5"/>
  <c r="E1291" i="5"/>
  <c r="D1291" i="5" a="1"/>
  <c r="D1291" i="5" s="1"/>
  <c r="B1291" i="5"/>
  <c r="N1290" i="5"/>
  <c r="H1290" i="5"/>
  <c r="G1290" i="5"/>
  <c r="F1290" i="5"/>
  <c r="E1290" i="5"/>
  <c r="D1290" i="5" a="1"/>
  <c r="D1290" i="5" s="1"/>
  <c r="B1290" i="5"/>
  <c r="N1289" i="5"/>
  <c r="H1289" i="5"/>
  <c r="G1289" i="5"/>
  <c r="F1289" i="5"/>
  <c r="E1289" i="5"/>
  <c r="D1289" i="5" a="1"/>
  <c r="D1289" i="5" s="1"/>
  <c r="B1289" i="5"/>
  <c r="N1288" i="5"/>
  <c r="H1288" i="5"/>
  <c r="G1288" i="5"/>
  <c r="F1288" i="5"/>
  <c r="E1288" i="5"/>
  <c r="D1288" i="5" a="1"/>
  <c r="D1288" i="5" s="1"/>
  <c r="B1288" i="5"/>
  <c r="N1287" i="5"/>
  <c r="H1287" i="5"/>
  <c r="G1287" i="5"/>
  <c r="F1287" i="5"/>
  <c r="E1287" i="5"/>
  <c r="D1287" i="5" a="1"/>
  <c r="D1287" i="5" s="1"/>
  <c r="B1287" i="5"/>
  <c r="N1286" i="5"/>
  <c r="H1286" i="5"/>
  <c r="G1286" i="5"/>
  <c r="F1286" i="5"/>
  <c r="E1286" i="5"/>
  <c r="D1286" i="5" a="1"/>
  <c r="D1286" i="5" s="1"/>
  <c r="B1286" i="5"/>
  <c r="N1285" i="5"/>
  <c r="H1285" i="5"/>
  <c r="G1285" i="5"/>
  <c r="F1285" i="5"/>
  <c r="E1285" i="5"/>
  <c r="D1285" i="5" a="1"/>
  <c r="D1285" i="5" s="1"/>
  <c r="B1285" i="5"/>
  <c r="N1284" i="5"/>
  <c r="H1284" i="5"/>
  <c r="G1284" i="5"/>
  <c r="F1284" i="5"/>
  <c r="E1284" i="5"/>
  <c r="D1284" i="5" a="1"/>
  <c r="D1284" i="5" s="1"/>
  <c r="B1284" i="5"/>
  <c r="N1283" i="5"/>
  <c r="H1283" i="5"/>
  <c r="G1283" i="5"/>
  <c r="F1283" i="5"/>
  <c r="E1283" i="5"/>
  <c r="D1283" i="5" a="1"/>
  <c r="D1283" i="5" s="1"/>
  <c r="B1283" i="5"/>
  <c r="N1282" i="5"/>
  <c r="H1282" i="5"/>
  <c r="G1282" i="5"/>
  <c r="F1282" i="5"/>
  <c r="E1282" i="5"/>
  <c r="D1282" i="5" a="1"/>
  <c r="D1282" i="5" s="1"/>
  <c r="B1282" i="5"/>
  <c r="N1281" i="5"/>
  <c r="H1281" i="5"/>
  <c r="G1281" i="5"/>
  <c r="F1281" i="5"/>
  <c r="E1281" i="5"/>
  <c r="D1281" i="5" a="1"/>
  <c r="D1281" i="5" s="1"/>
  <c r="B1281" i="5"/>
  <c r="N1280" i="5"/>
  <c r="H1280" i="5"/>
  <c r="G1280" i="5"/>
  <c r="F1280" i="5"/>
  <c r="E1280" i="5"/>
  <c r="D1280" i="5" a="1"/>
  <c r="D1280" i="5" s="1"/>
  <c r="B1280" i="5"/>
  <c r="N1279" i="5"/>
  <c r="H1279" i="5"/>
  <c r="G1279" i="5"/>
  <c r="F1279" i="5"/>
  <c r="E1279" i="5"/>
  <c r="D1279" i="5" a="1"/>
  <c r="D1279" i="5" s="1"/>
  <c r="B1279" i="5"/>
  <c r="N1278" i="5"/>
  <c r="H1278" i="5"/>
  <c r="G1278" i="5"/>
  <c r="F1278" i="5"/>
  <c r="E1278" i="5"/>
  <c r="D1278" i="5" a="1"/>
  <c r="D1278" i="5" s="1"/>
  <c r="B1278" i="5"/>
  <c r="N1277" i="5"/>
  <c r="H1277" i="5"/>
  <c r="G1277" i="5"/>
  <c r="F1277" i="5"/>
  <c r="E1277" i="5"/>
  <c r="D1277" i="5" a="1"/>
  <c r="D1277" i="5" s="1"/>
  <c r="B1277" i="5"/>
  <c r="N1276" i="5"/>
  <c r="H1276" i="5"/>
  <c r="G1276" i="5"/>
  <c r="F1276" i="5"/>
  <c r="E1276" i="5"/>
  <c r="D1276" i="5" a="1"/>
  <c r="D1276" i="5" s="1"/>
  <c r="B1276" i="5"/>
  <c r="N1275" i="5"/>
  <c r="H1275" i="5"/>
  <c r="G1275" i="5"/>
  <c r="F1275" i="5"/>
  <c r="E1275" i="5"/>
  <c r="D1275" i="5" a="1"/>
  <c r="D1275" i="5" s="1"/>
  <c r="B1275" i="5"/>
  <c r="N1274" i="5"/>
  <c r="H1274" i="5"/>
  <c r="G1274" i="5"/>
  <c r="F1274" i="5"/>
  <c r="E1274" i="5"/>
  <c r="D1274" i="5" a="1"/>
  <c r="D1274" i="5" s="1"/>
  <c r="B1274" i="5"/>
  <c r="N1273" i="5"/>
  <c r="H1273" i="5"/>
  <c r="G1273" i="5"/>
  <c r="F1273" i="5"/>
  <c r="E1273" i="5"/>
  <c r="D1273" i="5" a="1"/>
  <c r="D1273" i="5" s="1"/>
  <c r="B1273" i="5"/>
  <c r="N1272" i="5"/>
  <c r="H1272" i="5"/>
  <c r="G1272" i="5"/>
  <c r="F1272" i="5"/>
  <c r="E1272" i="5"/>
  <c r="D1272" i="5" a="1"/>
  <c r="D1272" i="5" s="1"/>
  <c r="B1272" i="5"/>
  <c r="N1271" i="5"/>
  <c r="H1271" i="5"/>
  <c r="G1271" i="5"/>
  <c r="F1271" i="5"/>
  <c r="E1271" i="5"/>
  <c r="D1271" i="5" a="1"/>
  <c r="D1271" i="5" s="1"/>
  <c r="B1271" i="5"/>
  <c r="N1270" i="5"/>
  <c r="H1270" i="5"/>
  <c r="G1270" i="5"/>
  <c r="F1270" i="5"/>
  <c r="E1270" i="5"/>
  <c r="D1270" i="5" a="1"/>
  <c r="D1270" i="5" s="1"/>
  <c r="B1270" i="5"/>
  <c r="N1269" i="5"/>
  <c r="H1269" i="5"/>
  <c r="G1269" i="5"/>
  <c r="F1269" i="5"/>
  <c r="E1269" i="5"/>
  <c r="D1269" i="5" a="1"/>
  <c r="D1269" i="5" s="1"/>
  <c r="B1269" i="5"/>
  <c r="N1268" i="5"/>
  <c r="H1268" i="5"/>
  <c r="G1268" i="5"/>
  <c r="F1268" i="5"/>
  <c r="E1268" i="5"/>
  <c r="D1268" i="5" a="1"/>
  <c r="D1268" i="5" s="1"/>
  <c r="B1268" i="5"/>
  <c r="N1267" i="5"/>
  <c r="H1267" i="5"/>
  <c r="G1267" i="5"/>
  <c r="F1267" i="5"/>
  <c r="E1267" i="5"/>
  <c r="D1267" i="5" a="1"/>
  <c r="D1267" i="5" s="1"/>
  <c r="B1267" i="5"/>
  <c r="N1266" i="5"/>
  <c r="H1266" i="5"/>
  <c r="G1266" i="5"/>
  <c r="F1266" i="5"/>
  <c r="E1266" i="5"/>
  <c r="D1266" i="5" a="1"/>
  <c r="D1266" i="5" s="1"/>
  <c r="B1266" i="5"/>
  <c r="N1265" i="5"/>
  <c r="H1265" i="5"/>
  <c r="G1265" i="5"/>
  <c r="F1265" i="5"/>
  <c r="E1265" i="5"/>
  <c r="D1265" i="5" a="1"/>
  <c r="D1265" i="5" s="1"/>
  <c r="B1265" i="5"/>
  <c r="N1264" i="5"/>
  <c r="H1264" i="5"/>
  <c r="G1264" i="5"/>
  <c r="F1264" i="5"/>
  <c r="E1264" i="5"/>
  <c r="D1264" i="5" a="1"/>
  <c r="D1264" i="5" s="1"/>
  <c r="B1264" i="5"/>
  <c r="N1263" i="5"/>
  <c r="H1263" i="5"/>
  <c r="G1263" i="5"/>
  <c r="F1263" i="5"/>
  <c r="E1263" i="5"/>
  <c r="D1263" i="5" a="1"/>
  <c r="D1263" i="5" s="1"/>
  <c r="B1263" i="5"/>
  <c r="N1262" i="5"/>
  <c r="H1262" i="5"/>
  <c r="G1262" i="5"/>
  <c r="F1262" i="5"/>
  <c r="E1262" i="5"/>
  <c r="D1262" i="5" a="1"/>
  <c r="D1262" i="5" s="1"/>
  <c r="B1262" i="5"/>
  <c r="N1261" i="5"/>
  <c r="H1261" i="5"/>
  <c r="G1261" i="5"/>
  <c r="F1261" i="5"/>
  <c r="E1261" i="5"/>
  <c r="D1261" i="5" a="1"/>
  <c r="D1261" i="5" s="1"/>
  <c r="B1261" i="5"/>
  <c r="N1260" i="5"/>
  <c r="H1260" i="5"/>
  <c r="G1260" i="5"/>
  <c r="F1260" i="5"/>
  <c r="E1260" i="5"/>
  <c r="D1260" i="5" a="1"/>
  <c r="D1260" i="5" s="1"/>
  <c r="B1260" i="5"/>
  <c r="N1259" i="5"/>
  <c r="H1259" i="5"/>
  <c r="G1259" i="5"/>
  <c r="F1259" i="5"/>
  <c r="E1259" i="5"/>
  <c r="D1259" i="5" a="1"/>
  <c r="D1259" i="5" s="1"/>
  <c r="B1259" i="5"/>
  <c r="N1258" i="5"/>
  <c r="H1258" i="5"/>
  <c r="G1258" i="5"/>
  <c r="F1258" i="5"/>
  <c r="E1258" i="5"/>
  <c r="D1258" i="5" a="1"/>
  <c r="D1258" i="5" s="1"/>
  <c r="B1258" i="5"/>
  <c r="N1257" i="5"/>
  <c r="H1257" i="5"/>
  <c r="G1257" i="5"/>
  <c r="F1257" i="5"/>
  <c r="E1257" i="5"/>
  <c r="D1257" i="5" a="1"/>
  <c r="D1257" i="5" s="1"/>
  <c r="B1257" i="5"/>
  <c r="N1256" i="5"/>
  <c r="H1256" i="5"/>
  <c r="G1256" i="5"/>
  <c r="F1256" i="5"/>
  <c r="E1256" i="5"/>
  <c r="D1256" i="5" a="1"/>
  <c r="D1256" i="5" s="1"/>
  <c r="B1256" i="5"/>
  <c r="N1255" i="5"/>
  <c r="H1255" i="5"/>
  <c r="G1255" i="5"/>
  <c r="F1255" i="5"/>
  <c r="E1255" i="5"/>
  <c r="D1255" i="5" a="1"/>
  <c r="D1255" i="5" s="1"/>
  <c r="B1255" i="5"/>
  <c r="N1254" i="5"/>
  <c r="H1254" i="5"/>
  <c r="G1254" i="5"/>
  <c r="F1254" i="5"/>
  <c r="E1254" i="5"/>
  <c r="D1254" i="5" a="1"/>
  <c r="D1254" i="5" s="1"/>
  <c r="B1254" i="5"/>
  <c r="N1253" i="5"/>
  <c r="H1253" i="5"/>
  <c r="G1253" i="5"/>
  <c r="F1253" i="5"/>
  <c r="E1253" i="5"/>
  <c r="D1253" i="5" a="1"/>
  <c r="D1253" i="5" s="1"/>
  <c r="B1253" i="5"/>
  <c r="N1252" i="5"/>
  <c r="H1252" i="5"/>
  <c r="G1252" i="5"/>
  <c r="F1252" i="5"/>
  <c r="E1252" i="5"/>
  <c r="D1252" i="5" a="1"/>
  <c r="D1252" i="5" s="1"/>
  <c r="B1252" i="5"/>
  <c r="N1251" i="5"/>
  <c r="H1251" i="5"/>
  <c r="G1251" i="5"/>
  <c r="F1251" i="5"/>
  <c r="E1251" i="5"/>
  <c r="D1251" i="5" a="1"/>
  <c r="D1251" i="5" s="1"/>
  <c r="B1251" i="5"/>
  <c r="N1250" i="5"/>
  <c r="H1250" i="5"/>
  <c r="G1250" i="5"/>
  <c r="F1250" i="5"/>
  <c r="E1250" i="5"/>
  <c r="D1250" i="5" a="1"/>
  <c r="D1250" i="5" s="1"/>
  <c r="B1250" i="5"/>
  <c r="N1249" i="5"/>
  <c r="H1249" i="5"/>
  <c r="G1249" i="5"/>
  <c r="F1249" i="5"/>
  <c r="E1249" i="5"/>
  <c r="D1249" i="5" a="1"/>
  <c r="D1249" i="5" s="1"/>
  <c r="B1249" i="5"/>
  <c r="N1248" i="5"/>
  <c r="H1248" i="5"/>
  <c r="G1248" i="5"/>
  <c r="F1248" i="5"/>
  <c r="E1248" i="5"/>
  <c r="D1248" i="5" a="1"/>
  <c r="D1248" i="5" s="1"/>
  <c r="B1248" i="5"/>
  <c r="N1247" i="5"/>
  <c r="H1247" i="5"/>
  <c r="G1247" i="5"/>
  <c r="F1247" i="5"/>
  <c r="E1247" i="5"/>
  <c r="D1247" i="5" a="1"/>
  <c r="D1247" i="5" s="1"/>
  <c r="B1247" i="5"/>
  <c r="N1246" i="5"/>
  <c r="H1246" i="5"/>
  <c r="G1246" i="5"/>
  <c r="F1246" i="5"/>
  <c r="E1246" i="5"/>
  <c r="D1246" i="5" a="1"/>
  <c r="D1246" i="5" s="1"/>
  <c r="B1246" i="5"/>
  <c r="N1245" i="5"/>
  <c r="H1245" i="5"/>
  <c r="G1245" i="5"/>
  <c r="F1245" i="5"/>
  <c r="E1245" i="5"/>
  <c r="D1245" i="5" a="1"/>
  <c r="D1245" i="5" s="1"/>
  <c r="B1245" i="5"/>
  <c r="N1244" i="5"/>
  <c r="H1244" i="5"/>
  <c r="G1244" i="5"/>
  <c r="F1244" i="5"/>
  <c r="E1244" i="5"/>
  <c r="D1244" i="5" a="1"/>
  <c r="D1244" i="5" s="1"/>
  <c r="B1244" i="5"/>
  <c r="N1243" i="5"/>
  <c r="H1243" i="5"/>
  <c r="G1243" i="5"/>
  <c r="F1243" i="5"/>
  <c r="E1243" i="5"/>
  <c r="D1243" i="5" a="1"/>
  <c r="D1243" i="5" s="1"/>
  <c r="B1243" i="5"/>
  <c r="N1242" i="5"/>
  <c r="H1242" i="5"/>
  <c r="G1242" i="5"/>
  <c r="F1242" i="5"/>
  <c r="E1242" i="5"/>
  <c r="D1242" i="5" a="1"/>
  <c r="D1242" i="5" s="1"/>
  <c r="B1242" i="5"/>
  <c r="N1241" i="5"/>
  <c r="H1241" i="5"/>
  <c r="G1241" i="5"/>
  <c r="F1241" i="5"/>
  <c r="E1241" i="5"/>
  <c r="D1241" i="5" a="1"/>
  <c r="D1241" i="5" s="1"/>
  <c r="B1241" i="5"/>
  <c r="N1240" i="5"/>
  <c r="H1240" i="5"/>
  <c r="G1240" i="5"/>
  <c r="F1240" i="5"/>
  <c r="E1240" i="5"/>
  <c r="D1240" i="5" a="1"/>
  <c r="D1240" i="5" s="1"/>
  <c r="B1240" i="5"/>
  <c r="N1239" i="5"/>
  <c r="H1239" i="5"/>
  <c r="G1239" i="5"/>
  <c r="F1239" i="5"/>
  <c r="E1239" i="5"/>
  <c r="D1239" i="5" a="1"/>
  <c r="D1239" i="5" s="1"/>
  <c r="B1239" i="5"/>
  <c r="N1238" i="5"/>
  <c r="H1238" i="5"/>
  <c r="G1238" i="5"/>
  <c r="F1238" i="5"/>
  <c r="E1238" i="5"/>
  <c r="D1238" i="5" a="1"/>
  <c r="D1238" i="5" s="1"/>
  <c r="B1238" i="5"/>
  <c r="N1237" i="5"/>
  <c r="H1237" i="5"/>
  <c r="G1237" i="5"/>
  <c r="F1237" i="5"/>
  <c r="E1237" i="5"/>
  <c r="D1237" i="5" a="1"/>
  <c r="D1237" i="5" s="1"/>
  <c r="B1237" i="5"/>
  <c r="N1236" i="5"/>
  <c r="H1236" i="5"/>
  <c r="G1236" i="5"/>
  <c r="F1236" i="5"/>
  <c r="E1236" i="5"/>
  <c r="D1236" i="5" a="1"/>
  <c r="D1236" i="5" s="1"/>
  <c r="B1236" i="5"/>
  <c r="N1235" i="5"/>
  <c r="H1235" i="5"/>
  <c r="G1235" i="5"/>
  <c r="F1235" i="5"/>
  <c r="E1235" i="5"/>
  <c r="D1235" i="5" a="1"/>
  <c r="D1235" i="5" s="1"/>
  <c r="B1235" i="5"/>
  <c r="N1234" i="5"/>
  <c r="H1234" i="5"/>
  <c r="G1234" i="5"/>
  <c r="F1234" i="5"/>
  <c r="E1234" i="5"/>
  <c r="D1234" i="5" a="1"/>
  <c r="D1234" i="5" s="1"/>
  <c r="B1234" i="5"/>
  <c r="N1233" i="5"/>
  <c r="H1233" i="5"/>
  <c r="G1233" i="5"/>
  <c r="F1233" i="5"/>
  <c r="E1233" i="5"/>
  <c r="D1233" i="5" a="1"/>
  <c r="D1233" i="5" s="1"/>
  <c r="B1233" i="5"/>
  <c r="N1232" i="5"/>
  <c r="H1232" i="5"/>
  <c r="G1232" i="5"/>
  <c r="F1232" i="5"/>
  <c r="E1232" i="5"/>
  <c r="D1232" i="5" a="1"/>
  <c r="D1232" i="5" s="1"/>
  <c r="B1232" i="5"/>
  <c r="N1231" i="5"/>
  <c r="H1231" i="5"/>
  <c r="G1231" i="5"/>
  <c r="F1231" i="5"/>
  <c r="E1231" i="5"/>
  <c r="D1231" i="5" a="1"/>
  <c r="D1231" i="5" s="1"/>
  <c r="B1231" i="5"/>
  <c r="N1230" i="5"/>
  <c r="H1230" i="5"/>
  <c r="G1230" i="5"/>
  <c r="F1230" i="5"/>
  <c r="E1230" i="5"/>
  <c r="D1230" i="5" a="1"/>
  <c r="D1230" i="5" s="1"/>
  <c r="B1230" i="5"/>
  <c r="N1229" i="5"/>
  <c r="H1229" i="5"/>
  <c r="G1229" i="5"/>
  <c r="F1229" i="5"/>
  <c r="E1229" i="5"/>
  <c r="D1229" i="5" a="1"/>
  <c r="D1229" i="5" s="1"/>
  <c r="B1229" i="5"/>
  <c r="N1228" i="5"/>
  <c r="H1228" i="5"/>
  <c r="G1228" i="5"/>
  <c r="F1228" i="5"/>
  <c r="E1228" i="5"/>
  <c r="D1228" i="5" a="1"/>
  <c r="D1228" i="5" s="1"/>
  <c r="B1228" i="5"/>
  <c r="N1227" i="5"/>
  <c r="H1227" i="5"/>
  <c r="G1227" i="5"/>
  <c r="F1227" i="5"/>
  <c r="E1227" i="5"/>
  <c r="D1227" i="5" a="1"/>
  <c r="D1227" i="5" s="1"/>
  <c r="B1227" i="5"/>
  <c r="N1226" i="5"/>
  <c r="H1226" i="5"/>
  <c r="G1226" i="5"/>
  <c r="F1226" i="5"/>
  <c r="E1226" i="5"/>
  <c r="D1226" i="5" a="1"/>
  <c r="D1226" i="5" s="1"/>
  <c r="B1226" i="5"/>
  <c r="N1225" i="5"/>
  <c r="H1225" i="5"/>
  <c r="G1225" i="5"/>
  <c r="F1225" i="5"/>
  <c r="E1225" i="5"/>
  <c r="D1225" i="5" a="1"/>
  <c r="D1225" i="5" s="1"/>
  <c r="B1225" i="5"/>
  <c r="N1224" i="5"/>
  <c r="H1224" i="5"/>
  <c r="G1224" i="5"/>
  <c r="F1224" i="5"/>
  <c r="E1224" i="5"/>
  <c r="D1224" i="5" a="1"/>
  <c r="D1224" i="5" s="1"/>
  <c r="B1224" i="5"/>
  <c r="N1223" i="5"/>
  <c r="H1223" i="5"/>
  <c r="G1223" i="5"/>
  <c r="F1223" i="5"/>
  <c r="E1223" i="5"/>
  <c r="D1223" i="5" a="1"/>
  <c r="D1223" i="5" s="1"/>
  <c r="B1223" i="5"/>
  <c r="N1222" i="5"/>
  <c r="H1222" i="5"/>
  <c r="G1222" i="5"/>
  <c r="F1222" i="5"/>
  <c r="E1222" i="5"/>
  <c r="D1222" i="5" a="1"/>
  <c r="D1222" i="5" s="1"/>
  <c r="B1222" i="5"/>
  <c r="N1221" i="5"/>
  <c r="H1221" i="5"/>
  <c r="G1221" i="5"/>
  <c r="F1221" i="5"/>
  <c r="E1221" i="5"/>
  <c r="D1221" i="5" a="1"/>
  <c r="D1221" i="5" s="1"/>
  <c r="B1221" i="5"/>
  <c r="N1220" i="5"/>
  <c r="H1220" i="5"/>
  <c r="G1220" i="5"/>
  <c r="F1220" i="5"/>
  <c r="E1220" i="5"/>
  <c r="D1220" i="5" a="1"/>
  <c r="D1220" i="5" s="1"/>
  <c r="B1220" i="5"/>
  <c r="N1219" i="5"/>
  <c r="H1219" i="5"/>
  <c r="G1219" i="5"/>
  <c r="F1219" i="5"/>
  <c r="E1219" i="5"/>
  <c r="D1219" i="5" a="1"/>
  <c r="D1219" i="5" s="1"/>
  <c r="B1219" i="5"/>
  <c r="N1218" i="5"/>
  <c r="H1218" i="5"/>
  <c r="G1218" i="5"/>
  <c r="F1218" i="5"/>
  <c r="E1218" i="5"/>
  <c r="D1218" i="5" a="1"/>
  <c r="D1218" i="5" s="1"/>
  <c r="B1218" i="5"/>
  <c r="N1217" i="5"/>
  <c r="H1217" i="5"/>
  <c r="G1217" i="5"/>
  <c r="F1217" i="5"/>
  <c r="E1217" i="5"/>
  <c r="D1217" i="5" a="1"/>
  <c r="D1217" i="5" s="1"/>
  <c r="B1217" i="5"/>
  <c r="N1216" i="5"/>
  <c r="H1216" i="5"/>
  <c r="G1216" i="5"/>
  <c r="F1216" i="5"/>
  <c r="E1216" i="5"/>
  <c r="D1216" i="5" a="1"/>
  <c r="D1216" i="5" s="1"/>
  <c r="B1216" i="5"/>
  <c r="N1215" i="5"/>
  <c r="H1215" i="5"/>
  <c r="G1215" i="5"/>
  <c r="F1215" i="5"/>
  <c r="E1215" i="5"/>
  <c r="D1215" i="5" a="1"/>
  <c r="D1215" i="5" s="1"/>
  <c r="B1215" i="5"/>
  <c r="N1214" i="5"/>
  <c r="H1214" i="5"/>
  <c r="G1214" i="5"/>
  <c r="F1214" i="5"/>
  <c r="E1214" i="5"/>
  <c r="D1214" i="5" a="1"/>
  <c r="D1214" i="5" s="1"/>
  <c r="B1214" i="5"/>
  <c r="N1213" i="5"/>
  <c r="H1213" i="5"/>
  <c r="G1213" i="5"/>
  <c r="F1213" i="5"/>
  <c r="E1213" i="5"/>
  <c r="D1213" i="5" a="1"/>
  <c r="D1213" i="5" s="1"/>
  <c r="B1213" i="5"/>
  <c r="N1212" i="5"/>
  <c r="H1212" i="5"/>
  <c r="G1212" i="5"/>
  <c r="F1212" i="5"/>
  <c r="E1212" i="5"/>
  <c r="D1212" i="5" a="1"/>
  <c r="D1212" i="5" s="1"/>
  <c r="B1212" i="5"/>
  <c r="N1211" i="5"/>
  <c r="H1211" i="5"/>
  <c r="G1211" i="5"/>
  <c r="F1211" i="5"/>
  <c r="E1211" i="5"/>
  <c r="D1211" i="5" a="1"/>
  <c r="D1211" i="5" s="1"/>
  <c r="B1211" i="5"/>
  <c r="N1210" i="5"/>
  <c r="H1210" i="5"/>
  <c r="G1210" i="5"/>
  <c r="F1210" i="5"/>
  <c r="E1210" i="5"/>
  <c r="D1210" i="5" a="1"/>
  <c r="D1210" i="5" s="1"/>
  <c r="B1210" i="5"/>
  <c r="N1209" i="5"/>
  <c r="H1209" i="5"/>
  <c r="G1209" i="5"/>
  <c r="F1209" i="5"/>
  <c r="E1209" i="5"/>
  <c r="D1209" i="5" a="1"/>
  <c r="D1209" i="5" s="1"/>
  <c r="B1209" i="5"/>
  <c r="N1208" i="5"/>
  <c r="H1208" i="5"/>
  <c r="G1208" i="5"/>
  <c r="F1208" i="5"/>
  <c r="E1208" i="5"/>
  <c r="D1208" i="5" a="1"/>
  <c r="D1208" i="5" s="1"/>
  <c r="B1208" i="5"/>
  <c r="N1207" i="5"/>
  <c r="H1207" i="5"/>
  <c r="G1207" i="5"/>
  <c r="F1207" i="5"/>
  <c r="E1207" i="5"/>
  <c r="D1207" i="5" a="1"/>
  <c r="D1207" i="5" s="1"/>
  <c r="B1207" i="5"/>
  <c r="N1206" i="5"/>
  <c r="H1206" i="5"/>
  <c r="G1206" i="5"/>
  <c r="F1206" i="5"/>
  <c r="E1206" i="5"/>
  <c r="D1206" i="5" a="1"/>
  <c r="D1206" i="5" s="1"/>
  <c r="B1206" i="5"/>
  <c r="N1205" i="5"/>
  <c r="H1205" i="5"/>
  <c r="G1205" i="5"/>
  <c r="F1205" i="5"/>
  <c r="E1205" i="5"/>
  <c r="D1205" i="5" a="1"/>
  <c r="D1205" i="5" s="1"/>
  <c r="B1205" i="5"/>
  <c r="N1204" i="5"/>
  <c r="H1204" i="5"/>
  <c r="G1204" i="5"/>
  <c r="F1204" i="5"/>
  <c r="E1204" i="5"/>
  <c r="D1204" i="5" a="1"/>
  <c r="D1204" i="5" s="1"/>
  <c r="B1204" i="5"/>
  <c r="N1203" i="5"/>
  <c r="H1203" i="5"/>
  <c r="G1203" i="5"/>
  <c r="F1203" i="5"/>
  <c r="E1203" i="5"/>
  <c r="D1203" i="5" a="1"/>
  <c r="D1203" i="5" s="1"/>
  <c r="B1203" i="5"/>
  <c r="N1202" i="5"/>
  <c r="H1202" i="5"/>
  <c r="G1202" i="5"/>
  <c r="F1202" i="5"/>
  <c r="E1202" i="5"/>
  <c r="D1202" i="5" a="1"/>
  <c r="D1202" i="5" s="1"/>
  <c r="B1202" i="5"/>
  <c r="N1201" i="5"/>
  <c r="H1201" i="5"/>
  <c r="G1201" i="5"/>
  <c r="F1201" i="5"/>
  <c r="E1201" i="5"/>
  <c r="D1201" i="5" a="1"/>
  <c r="D1201" i="5" s="1"/>
  <c r="B1201" i="5"/>
  <c r="N1200" i="5"/>
  <c r="H1200" i="5"/>
  <c r="G1200" i="5"/>
  <c r="F1200" i="5"/>
  <c r="E1200" i="5"/>
  <c r="D1200" i="5" a="1"/>
  <c r="D1200" i="5" s="1"/>
  <c r="B1200" i="5"/>
  <c r="N1199" i="5"/>
  <c r="H1199" i="5"/>
  <c r="G1199" i="5"/>
  <c r="F1199" i="5"/>
  <c r="E1199" i="5"/>
  <c r="D1199" i="5" a="1"/>
  <c r="D1199" i="5" s="1"/>
  <c r="B1199" i="5"/>
  <c r="N1198" i="5"/>
  <c r="H1198" i="5"/>
  <c r="G1198" i="5"/>
  <c r="F1198" i="5"/>
  <c r="E1198" i="5"/>
  <c r="D1198" i="5" a="1"/>
  <c r="D1198" i="5" s="1"/>
  <c r="B1198" i="5"/>
  <c r="N1197" i="5"/>
  <c r="H1197" i="5"/>
  <c r="G1197" i="5"/>
  <c r="F1197" i="5"/>
  <c r="E1197" i="5"/>
  <c r="D1197" i="5" a="1"/>
  <c r="D1197" i="5" s="1"/>
  <c r="B1197" i="5"/>
  <c r="N1196" i="5"/>
  <c r="H1196" i="5"/>
  <c r="G1196" i="5"/>
  <c r="F1196" i="5"/>
  <c r="E1196" i="5"/>
  <c r="D1196" i="5" a="1"/>
  <c r="D1196" i="5" s="1"/>
  <c r="B1196" i="5"/>
  <c r="N1195" i="5"/>
  <c r="H1195" i="5"/>
  <c r="G1195" i="5"/>
  <c r="F1195" i="5"/>
  <c r="E1195" i="5"/>
  <c r="D1195" i="5" a="1"/>
  <c r="D1195" i="5" s="1"/>
  <c r="B1195" i="5"/>
  <c r="N1194" i="5"/>
  <c r="H1194" i="5"/>
  <c r="G1194" i="5"/>
  <c r="F1194" i="5"/>
  <c r="E1194" i="5"/>
  <c r="D1194" i="5" a="1"/>
  <c r="D1194" i="5" s="1"/>
  <c r="B1194" i="5"/>
  <c r="N1193" i="5"/>
  <c r="H1193" i="5"/>
  <c r="G1193" i="5"/>
  <c r="F1193" i="5"/>
  <c r="E1193" i="5"/>
  <c r="D1193" i="5" a="1"/>
  <c r="D1193" i="5" s="1"/>
  <c r="B1193" i="5"/>
  <c r="N1192" i="5"/>
  <c r="H1192" i="5"/>
  <c r="G1192" i="5"/>
  <c r="F1192" i="5"/>
  <c r="E1192" i="5"/>
  <c r="D1192" i="5" a="1"/>
  <c r="D1192" i="5" s="1"/>
  <c r="B1192" i="5"/>
  <c r="N1191" i="5"/>
  <c r="H1191" i="5"/>
  <c r="G1191" i="5"/>
  <c r="F1191" i="5"/>
  <c r="E1191" i="5"/>
  <c r="D1191" i="5" a="1"/>
  <c r="D1191" i="5" s="1"/>
  <c r="B1191" i="5"/>
  <c r="N1190" i="5"/>
  <c r="H1190" i="5"/>
  <c r="G1190" i="5"/>
  <c r="F1190" i="5"/>
  <c r="E1190" i="5"/>
  <c r="D1190" i="5" a="1"/>
  <c r="D1190" i="5" s="1"/>
  <c r="B1190" i="5"/>
  <c r="N1189" i="5"/>
  <c r="H1189" i="5"/>
  <c r="G1189" i="5"/>
  <c r="F1189" i="5"/>
  <c r="E1189" i="5"/>
  <c r="D1189" i="5" a="1"/>
  <c r="D1189" i="5" s="1"/>
  <c r="B1189" i="5"/>
  <c r="N1188" i="5"/>
  <c r="H1188" i="5"/>
  <c r="G1188" i="5"/>
  <c r="F1188" i="5"/>
  <c r="E1188" i="5"/>
  <c r="D1188" i="5" a="1"/>
  <c r="D1188" i="5" s="1"/>
  <c r="B1188" i="5"/>
  <c r="N1187" i="5"/>
  <c r="H1187" i="5"/>
  <c r="G1187" i="5"/>
  <c r="F1187" i="5"/>
  <c r="E1187" i="5"/>
  <c r="D1187" i="5" a="1"/>
  <c r="D1187" i="5" s="1"/>
  <c r="B1187" i="5"/>
  <c r="N1186" i="5"/>
  <c r="H1186" i="5"/>
  <c r="G1186" i="5"/>
  <c r="F1186" i="5"/>
  <c r="E1186" i="5"/>
  <c r="D1186" i="5" a="1"/>
  <c r="D1186" i="5" s="1"/>
  <c r="B1186" i="5"/>
  <c r="N1185" i="5"/>
  <c r="H1185" i="5"/>
  <c r="G1185" i="5"/>
  <c r="F1185" i="5"/>
  <c r="E1185" i="5"/>
  <c r="D1185" i="5" a="1"/>
  <c r="D1185" i="5" s="1"/>
  <c r="B1185" i="5"/>
  <c r="N1184" i="5"/>
  <c r="H1184" i="5"/>
  <c r="G1184" i="5"/>
  <c r="F1184" i="5"/>
  <c r="E1184" i="5"/>
  <c r="D1184" i="5" a="1"/>
  <c r="D1184" i="5" s="1"/>
  <c r="B1184" i="5"/>
  <c r="N1183" i="5"/>
  <c r="H1183" i="5"/>
  <c r="G1183" i="5"/>
  <c r="F1183" i="5"/>
  <c r="E1183" i="5"/>
  <c r="D1183" i="5" a="1"/>
  <c r="D1183" i="5" s="1"/>
  <c r="B1183" i="5"/>
  <c r="N1182" i="5"/>
  <c r="H1182" i="5"/>
  <c r="G1182" i="5"/>
  <c r="F1182" i="5"/>
  <c r="E1182" i="5"/>
  <c r="D1182" i="5" a="1"/>
  <c r="D1182" i="5" s="1"/>
  <c r="B1182" i="5"/>
  <c r="N1181" i="5"/>
  <c r="H1181" i="5"/>
  <c r="G1181" i="5"/>
  <c r="F1181" i="5"/>
  <c r="E1181" i="5"/>
  <c r="D1181" i="5" a="1"/>
  <c r="D1181" i="5" s="1"/>
  <c r="B1181" i="5"/>
  <c r="N1180" i="5"/>
  <c r="H1180" i="5"/>
  <c r="G1180" i="5"/>
  <c r="F1180" i="5"/>
  <c r="E1180" i="5"/>
  <c r="D1180" i="5" a="1"/>
  <c r="D1180" i="5" s="1"/>
  <c r="B1180" i="5"/>
  <c r="N1179" i="5"/>
  <c r="H1179" i="5"/>
  <c r="G1179" i="5"/>
  <c r="F1179" i="5"/>
  <c r="E1179" i="5"/>
  <c r="D1179" i="5" a="1"/>
  <c r="D1179" i="5" s="1"/>
  <c r="B1179" i="5"/>
  <c r="N1178" i="5"/>
  <c r="H1178" i="5"/>
  <c r="G1178" i="5"/>
  <c r="F1178" i="5"/>
  <c r="E1178" i="5"/>
  <c r="D1178" i="5" a="1"/>
  <c r="D1178" i="5" s="1"/>
  <c r="B1178" i="5"/>
  <c r="N1177" i="5"/>
  <c r="H1177" i="5"/>
  <c r="G1177" i="5"/>
  <c r="F1177" i="5"/>
  <c r="E1177" i="5"/>
  <c r="D1177" i="5" a="1"/>
  <c r="D1177" i="5" s="1"/>
  <c r="B1177" i="5"/>
  <c r="N1176" i="5"/>
  <c r="H1176" i="5"/>
  <c r="G1176" i="5"/>
  <c r="F1176" i="5"/>
  <c r="E1176" i="5"/>
  <c r="D1176" i="5" a="1"/>
  <c r="D1176" i="5" s="1"/>
  <c r="B1176" i="5"/>
  <c r="N1175" i="5"/>
  <c r="H1175" i="5"/>
  <c r="G1175" i="5"/>
  <c r="F1175" i="5"/>
  <c r="E1175" i="5"/>
  <c r="D1175" i="5" a="1"/>
  <c r="D1175" i="5" s="1"/>
  <c r="B1175" i="5"/>
  <c r="N1174" i="5"/>
  <c r="H1174" i="5"/>
  <c r="G1174" i="5"/>
  <c r="F1174" i="5"/>
  <c r="E1174" i="5"/>
  <c r="D1174" i="5" a="1"/>
  <c r="D1174" i="5" s="1"/>
  <c r="B1174" i="5"/>
  <c r="N1173" i="5"/>
  <c r="H1173" i="5"/>
  <c r="G1173" i="5"/>
  <c r="F1173" i="5"/>
  <c r="E1173" i="5"/>
  <c r="D1173" i="5" a="1"/>
  <c r="D1173" i="5" s="1"/>
  <c r="B1173" i="5"/>
  <c r="N1172" i="5"/>
  <c r="H1172" i="5"/>
  <c r="G1172" i="5"/>
  <c r="F1172" i="5"/>
  <c r="E1172" i="5"/>
  <c r="D1172" i="5" a="1"/>
  <c r="D1172" i="5" s="1"/>
  <c r="B1172" i="5"/>
  <c r="N1171" i="5"/>
  <c r="H1171" i="5"/>
  <c r="G1171" i="5"/>
  <c r="F1171" i="5"/>
  <c r="E1171" i="5"/>
  <c r="D1171" i="5" a="1"/>
  <c r="D1171" i="5" s="1"/>
  <c r="B1171" i="5"/>
  <c r="N1170" i="5"/>
  <c r="H1170" i="5"/>
  <c r="G1170" i="5"/>
  <c r="F1170" i="5"/>
  <c r="E1170" i="5"/>
  <c r="D1170" i="5" a="1"/>
  <c r="D1170" i="5" s="1"/>
  <c r="B1170" i="5"/>
  <c r="N1169" i="5"/>
  <c r="H1169" i="5"/>
  <c r="G1169" i="5"/>
  <c r="F1169" i="5"/>
  <c r="E1169" i="5"/>
  <c r="D1169" i="5" a="1"/>
  <c r="D1169" i="5" s="1"/>
  <c r="B1169" i="5"/>
  <c r="N1168" i="5"/>
  <c r="H1168" i="5"/>
  <c r="G1168" i="5"/>
  <c r="F1168" i="5"/>
  <c r="E1168" i="5"/>
  <c r="D1168" i="5" a="1"/>
  <c r="D1168" i="5" s="1"/>
  <c r="B1168" i="5"/>
  <c r="N1167" i="5"/>
  <c r="H1167" i="5"/>
  <c r="G1167" i="5"/>
  <c r="F1167" i="5"/>
  <c r="E1167" i="5"/>
  <c r="D1167" i="5" a="1"/>
  <c r="D1167" i="5" s="1"/>
  <c r="B1167" i="5"/>
  <c r="N1166" i="5"/>
  <c r="H1166" i="5"/>
  <c r="G1166" i="5"/>
  <c r="F1166" i="5"/>
  <c r="E1166" i="5"/>
  <c r="D1166" i="5" a="1"/>
  <c r="D1166" i="5" s="1"/>
  <c r="B1166" i="5"/>
  <c r="N1165" i="5"/>
  <c r="H1165" i="5"/>
  <c r="G1165" i="5"/>
  <c r="F1165" i="5"/>
  <c r="E1165" i="5"/>
  <c r="D1165" i="5" a="1"/>
  <c r="D1165" i="5" s="1"/>
  <c r="B1165" i="5"/>
  <c r="N1164" i="5"/>
  <c r="H1164" i="5"/>
  <c r="G1164" i="5"/>
  <c r="F1164" i="5"/>
  <c r="E1164" i="5"/>
  <c r="D1164" i="5" a="1"/>
  <c r="D1164" i="5" s="1"/>
  <c r="B1164" i="5"/>
  <c r="N1163" i="5"/>
  <c r="H1163" i="5"/>
  <c r="G1163" i="5"/>
  <c r="F1163" i="5"/>
  <c r="E1163" i="5"/>
  <c r="D1163" i="5" a="1"/>
  <c r="D1163" i="5" s="1"/>
  <c r="B1163" i="5"/>
  <c r="N1162" i="5"/>
  <c r="H1162" i="5"/>
  <c r="G1162" i="5"/>
  <c r="F1162" i="5"/>
  <c r="E1162" i="5"/>
  <c r="D1162" i="5" a="1"/>
  <c r="D1162" i="5" s="1"/>
  <c r="B1162" i="5"/>
  <c r="N1161" i="5"/>
  <c r="H1161" i="5"/>
  <c r="G1161" i="5"/>
  <c r="F1161" i="5"/>
  <c r="E1161" i="5"/>
  <c r="D1161" i="5" a="1"/>
  <c r="D1161" i="5" s="1"/>
  <c r="B1161" i="5"/>
  <c r="N1160" i="5"/>
  <c r="H1160" i="5"/>
  <c r="G1160" i="5"/>
  <c r="F1160" i="5"/>
  <c r="E1160" i="5"/>
  <c r="D1160" i="5" a="1"/>
  <c r="D1160" i="5" s="1"/>
  <c r="B1160" i="5"/>
  <c r="N1159" i="5"/>
  <c r="H1159" i="5"/>
  <c r="G1159" i="5"/>
  <c r="F1159" i="5"/>
  <c r="E1159" i="5"/>
  <c r="D1159" i="5" a="1"/>
  <c r="D1159" i="5" s="1"/>
  <c r="B1159" i="5"/>
  <c r="N1158" i="5"/>
  <c r="H1158" i="5"/>
  <c r="G1158" i="5"/>
  <c r="F1158" i="5"/>
  <c r="E1158" i="5"/>
  <c r="D1158" i="5" a="1"/>
  <c r="D1158" i="5" s="1"/>
  <c r="B1158" i="5"/>
  <c r="N1157" i="5"/>
  <c r="H1157" i="5"/>
  <c r="G1157" i="5"/>
  <c r="F1157" i="5"/>
  <c r="E1157" i="5"/>
  <c r="D1157" i="5" a="1"/>
  <c r="D1157" i="5" s="1"/>
  <c r="B1157" i="5"/>
  <c r="N1156" i="5"/>
  <c r="H1156" i="5"/>
  <c r="G1156" i="5"/>
  <c r="F1156" i="5"/>
  <c r="E1156" i="5"/>
  <c r="D1156" i="5" a="1"/>
  <c r="D1156" i="5" s="1"/>
  <c r="B1156" i="5"/>
  <c r="N1155" i="5"/>
  <c r="H1155" i="5"/>
  <c r="G1155" i="5"/>
  <c r="F1155" i="5"/>
  <c r="E1155" i="5"/>
  <c r="D1155" i="5" a="1"/>
  <c r="D1155" i="5" s="1"/>
  <c r="B1155" i="5"/>
  <c r="N1154" i="5"/>
  <c r="H1154" i="5"/>
  <c r="G1154" i="5"/>
  <c r="F1154" i="5"/>
  <c r="E1154" i="5"/>
  <c r="D1154" i="5" a="1"/>
  <c r="D1154" i="5" s="1"/>
  <c r="B1154" i="5"/>
  <c r="N1153" i="5"/>
  <c r="H1153" i="5"/>
  <c r="G1153" i="5"/>
  <c r="F1153" i="5"/>
  <c r="E1153" i="5"/>
  <c r="D1153" i="5" a="1"/>
  <c r="D1153" i="5" s="1"/>
  <c r="B1153" i="5"/>
  <c r="N1152" i="5"/>
  <c r="H1152" i="5"/>
  <c r="G1152" i="5"/>
  <c r="F1152" i="5"/>
  <c r="E1152" i="5"/>
  <c r="D1152" i="5" a="1"/>
  <c r="D1152" i="5" s="1"/>
  <c r="B1152" i="5"/>
  <c r="N1151" i="5"/>
  <c r="H1151" i="5"/>
  <c r="G1151" i="5"/>
  <c r="F1151" i="5"/>
  <c r="E1151" i="5"/>
  <c r="D1151" i="5" a="1"/>
  <c r="D1151" i="5" s="1"/>
  <c r="B1151" i="5"/>
  <c r="N1150" i="5"/>
  <c r="H1150" i="5"/>
  <c r="G1150" i="5"/>
  <c r="F1150" i="5"/>
  <c r="E1150" i="5"/>
  <c r="D1150" i="5" a="1"/>
  <c r="D1150" i="5" s="1"/>
  <c r="B1150" i="5"/>
  <c r="N1149" i="5"/>
  <c r="H1149" i="5"/>
  <c r="G1149" i="5"/>
  <c r="F1149" i="5"/>
  <c r="E1149" i="5"/>
  <c r="D1149" i="5" a="1"/>
  <c r="D1149" i="5" s="1"/>
  <c r="B1149" i="5"/>
  <c r="N1148" i="5"/>
  <c r="H1148" i="5"/>
  <c r="G1148" i="5"/>
  <c r="F1148" i="5"/>
  <c r="E1148" i="5"/>
  <c r="D1148" i="5" a="1"/>
  <c r="D1148" i="5" s="1"/>
  <c r="B1148" i="5"/>
  <c r="N1147" i="5"/>
  <c r="H1147" i="5"/>
  <c r="G1147" i="5"/>
  <c r="F1147" i="5"/>
  <c r="E1147" i="5"/>
  <c r="D1147" i="5" a="1"/>
  <c r="D1147" i="5" s="1"/>
  <c r="B1147" i="5"/>
  <c r="N1146" i="5"/>
  <c r="H1146" i="5"/>
  <c r="G1146" i="5"/>
  <c r="F1146" i="5"/>
  <c r="E1146" i="5"/>
  <c r="D1146" i="5" a="1"/>
  <c r="D1146" i="5" s="1"/>
  <c r="B1146" i="5"/>
  <c r="N1145" i="5"/>
  <c r="H1145" i="5"/>
  <c r="G1145" i="5"/>
  <c r="F1145" i="5"/>
  <c r="E1145" i="5"/>
  <c r="D1145" i="5" a="1"/>
  <c r="D1145" i="5" s="1"/>
  <c r="B1145" i="5"/>
  <c r="N1144" i="5"/>
  <c r="H1144" i="5"/>
  <c r="G1144" i="5"/>
  <c r="F1144" i="5"/>
  <c r="E1144" i="5"/>
  <c r="D1144" i="5" a="1"/>
  <c r="D1144" i="5" s="1"/>
  <c r="B1144" i="5"/>
  <c r="N1143" i="5"/>
  <c r="H1143" i="5"/>
  <c r="G1143" i="5"/>
  <c r="F1143" i="5"/>
  <c r="E1143" i="5"/>
  <c r="D1143" i="5" a="1"/>
  <c r="D1143" i="5" s="1"/>
  <c r="B1143" i="5"/>
  <c r="N1142" i="5"/>
  <c r="H1142" i="5"/>
  <c r="G1142" i="5"/>
  <c r="F1142" i="5"/>
  <c r="E1142" i="5"/>
  <c r="D1142" i="5" a="1"/>
  <c r="D1142" i="5" s="1"/>
  <c r="B1142" i="5"/>
  <c r="N1141" i="5"/>
  <c r="H1141" i="5"/>
  <c r="G1141" i="5"/>
  <c r="F1141" i="5"/>
  <c r="E1141" i="5"/>
  <c r="D1141" i="5" a="1"/>
  <c r="D1141" i="5" s="1"/>
  <c r="B1141" i="5"/>
  <c r="N1140" i="5"/>
  <c r="H1140" i="5"/>
  <c r="G1140" i="5"/>
  <c r="F1140" i="5"/>
  <c r="E1140" i="5"/>
  <c r="D1140" i="5" a="1"/>
  <c r="D1140" i="5" s="1"/>
  <c r="B1140" i="5"/>
  <c r="N1139" i="5"/>
  <c r="H1139" i="5"/>
  <c r="G1139" i="5"/>
  <c r="F1139" i="5"/>
  <c r="E1139" i="5"/>
  <c r="D1139" i="5" a="1"/>
  <c r="D1139" i="5" s="1"/>
  <c r="B1139" i="5"/>
  <c r="N1138" i="5"/>
  <c r="H1138" i="5"/>
  <c r="G1138" i="5"/>
  <c r="F1138" i="5"/>
  <c r="E1138" i="5"/>
  <c r="D1138" i="5" a="1"/>
  <c r="D1138" i="5" s="1"/>
  <c r="B1138" i="5"/>
  <c r="N1137" i="5"/>
  <c r="H1137" i="5"/>
  <c r="G1137" i="5"/>
  <c r="F1137" i="5"/>
  <c r="E1137" i="5"/>
  <c r="D1137" i="5" a="1"/>
  <c r="D1137" i="5" s="1"/>
  <c r="B1137" i="5"/>
  <c r="N1136" i="5"/>
  <c r="H1136" i="5"/>
  <c r="G1136" i="5"/>
  <c r="F1136" i="5"/>
  <c r="E1136" i="5"/>
  <c r="D1136" i="5" a="1"/>
  <c r="D1136" i="5" s="1"/>
  <c r="B1136" i="5"/>
  <c r="N1135" i="5"/>
  <c r="H1135" i="5"/>
  <c r="G1135" i="5"/>
  <c r="F1135" i="5"/>
  <c r="E1135" i="5"/>
  <c r="D1135" i="5" a="1"/>
  <c r="D1135" i="5" s="1"/>
  <c r="B1135" i="5"/>
  <c r="N1134" i="5"/>
  <c r="H1134" i="5"/>
  <c r="G1134" i="5"/>
  <c r="F1134" i="5"/>
  <c r="E1134" i="5"/>
  <c r="D1134" i="5" a="1"/>
  <c r="D1134" i="5" s="1"/>
  <c r="B1134" i="5"/>
  <c r="N1133" i="5"/>
  <c r="H1133" i="5"/>
  <c r="G1133" i="5"/>
  <c r="F1133" i="5"/>
  <c r="E1133" i="5"/>
  <c r="D1133" i="5" a="1"/>
  <c r="D1133" i="5" s="1"/>
  <c r="B1133" i="5"/>
  <c r="N1132" i="5"/>
  <c r="H1132" i="5"/>
  <c r="G1132" i="5"/>
  <c r="F1132" i="5"/>
  <c r="E1132" i="5"/>
  <c r="D1132" i="5" a="1"/>
  <c r="D1132" i="5" s="1"/>
  <c r="B1132" i="5"/>
  <c r="N1131" i="5"/>
  <c r="H1131" i="5"/>
  <c r="G1131" i="5"/>
  <c r="F1131" i="5"/>
  <c r="E1131" i="5"/>
  <c r="D1131" i="5" a="1"/>
  <c r="D1131" i="5" s="1"/>
  <c r="B1131" i="5"/>
  <c r="N1130" i="5"/>
  <c r="H1130" i="5"/>
  <c r="G1130" i="5"/>
  <c r="F1130" i="5"/>
  <c r="E1130" i="5"/>
  <c r="D1130" i="5" a="1"/>
  <c r="D1130" i="5" s="1"/>
  <c r="B1130" i="5"/>
  <c r="N1129" i="5"/>
  <c r="H1129" i="5"/>
  <c r="G1129" i="5"/>
  <c r="F1129" i="5"/>
  <c r="E1129" i="5"/>
  <c r="D1129" i="5" a="1"/>
  <c r="D1129" i="5" s="1"/>
  <c r="B1129" i="5"/>
  <c r="N1128" i="5"/>
  <c r="H1128" i="5"/>
  <c r="G1128" i="5"/>
  <c r="F1128" i="5"/>
  <c r="E1128" i="5"/>
  <c r="D1128" i="5" a="1"/>
  <c r="D1128" i="5" s="1"/>
  <c r="B1128" i="5"/>
  <c r="N1127" i="5"/>
  <c r="H1127" i="5"/>
  <c r="G1127" i="5"/>
  <c r="F1127" i="5"/>
  <c r="E1127" i="5"/>
  <c r="D1127" i="5" a="1"/>
  <c r="D1127" i="5" s="1"/>
  <c r="B1127" i="5"/>
  <c r="N1126" i="5"/>
  <c r="H1126" i="5"/>
  <c r="G1126" i="5"/>
  <c r="F1126" i="5"/>
  <c r="E1126" i="5"/>
  <c r="D1126" i="5" a="1"/>
  <c r="D1126" i="5" s="1"/>
  <c r="B1126" i="5"/>
  <c r="N1125" i="5"/>
  <c r="H1125" i="5"/>
  <c r="G1125" i="5"/>
  <c r="F1125" i="5"/>
  <c r="E1125" i="5"/>
  <c r="D1125" i="5" a="1"/>
  <c r="D1125" i="5" s="1"/>
  <c r="B1125" i="5"/>
  <c r="N1124" i="5"/>
  <c r="H1124" i="5"/>
  <c r="G1124" i="5"/>
  <c r="F1124" i="5"/>
  <c r="E1124" i="5"/>
  <c r="D1124" i="5" a="1"/>
  <c r="D1124" i="5" s="1"/>
  <c r="B1124" i="5"/>
  <c r="N1123" i="5"/>
  <c r="H1123" i="5"/>
  <c r="G1123" i="5"/>
  <c r="F1123" i="5"/>
  <c r="E1123" i="5"/>
  <c r="D1123" i="5" a="1"/>
  <c r="D1123" i="5" s="1"/>
  <c r="B1123" i="5"/>
  <c r="N1122" i="5"/>
  <c r="H1122" i="5"/>
  <c r="G1122" i="5"/>
  <c r="F1122" i="5"/>
  <c r="E1122" i="5"/>
  <c r="D1122" i="5" a="1"/>
  <c r="D1122" i="5" s="1"/>
  <c r="B1122" i="5"/>
  <c r="N1121" i="5"/>
  <c r="H1121" i="5"/>
  <c r="G1121" i="5"/>
  <c r="F1121" i="5"/>
  <c r="E1121" i="5"/>
  <c r="D1121" i="5" a="1"/>
  <c r="D1121" i="5" s="1"/>
  <c r="B1121" i="5"/>
  <c r="N1120" i="5"/>
  <c r="H1120" i="5"/>
  <c r="G1120" i="5"/>
  <c r="F1120" i="5"/>
  <c r="E1120" i="5"/>
  <c r="D1120" i="5" a="1"/>
  <c r="D1120" i="5" s="1"/>
  <c r="B1120" i="5"/>
  <c r="N1119" i="5"/>
  <c r="H1119" i="5"/>
  <c r="G1119" i="5"/>
  <c r="F1119" i="5"/>
  <c r="E1119" i="5"/>
  <c r="D1119" i="5" a="1"/>
  <c r="D1119" i="5" s="1"/>
  <c r="B1119" i="5"/>
  <c r="N1118" i="5"/>
  <c r="H1118" i="5"/>
  <c r="G1118" i="5"/>
  <c r="F1118" i="5"/>
  <c r="E1118" i="5"/>
  <c r="D1118" i="5" a="1"/>
  <c r="D1118" i="5" s="1"/>
  <c r="B1118" i="5"/>
  <c r="N1117" i="5"/>
  <c r="H1117" i="5"/>
  <c r="G1117" i="5"/>
  <c r="F1117" i="5"/>
  <c r="E1117" i="5"/>
  <c r="D1117" i="5" a="1"/>
  <c r="D1117" i="5" s="1"/>
  <c r="B1117" i="5"/>
  <c r="N1116" i="5"/>
  <c r="H1116" i="5"/>
  <c r="G1116" i="5"/>
  <c r="F1116" i="5"/>
  <c r="E1116" i="5"/>
  <c r="D1116" i="5" a="1"/>
  <c r="D1116" i="5" s="1"/>
  <c r="B1116" i="5"/>
  <c r="N1115" i="5"/>
  <c r="H1115" i="5"/>
  <c r="G1115" i="5"/>
  <c r="F1115" i="5"/>
  <c r="E1115" i="5"/>
  <c r="D1115" i="5" a="1"/>
  <c r="D1115" i="5" s="1"/>
  <c r="B1115" i="5"/>
  <c r="N1114" i="5"/>
  <c r="H1114" i="5"/>
  <c r="G1114" i="5"/>
  <c r="F1114" i="5"/>
  <c r="E1114" i="5"/>
  <c r="D1114" i="5" a="1"/>
  <c r="D1114" i="5" s="1"/>
  <c r="B1114" i="5"/>
  <c r="N1113" i="5"/>
  <c r="H1113" i="5"/>
  <c r="G1113" i="5"/>
  <c r="F1113" i="5"/>
  <c r="E1113" i="5"/>
  <c r="D1113" i="5" a="1"/>
  <c r="D1113" i="5" s="1"/>
  <c r="B1113" i="5"/>
  <c r="N1112" i="5"/>
  <c r="H1112" i="5"/>
  <c r="G1112" i="5"/>
  <c r="F1112" i="5"/>
  <c r="E1112" i="5"/>
  <c r="D1112" i="5" a="1"/>
  <c r="D1112" i="5" s="1"/>
  <c r="B1112" i="5"/>
  <c r="N1111" i="5"/>
  <c r="H1111" i="5"/>
  <c r="G1111" i="5"/>
  <c r="F1111" i="5"/>
  <c r="E1111" i="5"/>
  <c r="D1111" i="5" a="1"/>
  <c r="D1111" i="5" s="1"/>
  <c r="B1111" i="5"/>
  <c r="N1110" i="5"/>
  <c r="H1110" i="5"/>
  <c r="G1110" i="5"/>
  <c r="F1110" i="5"/>
  <c r="E1110" i="5"/>
  <c r="D1110" i="5" a="1"/>
  <c r="D1110" i="5" s="1"/>
  <c r="B1110" i="5"/>
  <c r="N1109" i="5"/>
  <c r="H1109" i="5"/>
  <c r="G1109" i="5"/>
  <c r="F1109" i="5"/>
  <c r="E1109" i="5"/>
  <c r="D1109" i="5" a="1"/>
  <c r="D1109" i="5" s="1"/>
  <c r="B1109" i="5"/>
  <c r="N1108" i="5"/>
  <c r="H1108" i="5"/>
  <c r="G1108" i="5"/>
  <c r="F1108" i="5"/>
  <c r="E1108" i="5"/>
  <c r="D1108" i="5" a="1"/>
  <c r="D1108" i="5" s="1"/>
  <c r="B1108" i="5"/>
  <c r="N1107" i="5"/>
  <c r="H1107" i="5"/>
  <c r="G1107" i="5"/>
  <c r="F1107" i="5"/>
  <c r="E1107" i="5"/>
  <c r="D1107" i="5" a="1"/>
  <c r="D1107" i="5" s="1"/>
  <c r="B1107" i="5"/>
  <c r="N1106" i="5"/>
  <c r="H1106" i="5"/>
  <c r="G1106" i="5"/>
  <c r="F1106" i="5"/>
  <c r="E1106" i="5"/>
  <c r="D1106" i="5" a="1"/>
  <c r="D1106" i="5" s="1"/>
  <c r="B1106" i="5"/>
  <c r="N1105" i="5"/>
  <c r="H1105" i="5"/>
  <c r="G1105" i="5"/>
  <c r="F1105" i="5"/>
  <c r="E1105" i="5"/>
  <c r="D1105" i="5" a="1"/>
  <c r="D1105" i="5" s="1"/>
  <c r="B1105" i="5"/>
  <c r="N1104" i="5"/>
  <c r="H1104" i="5"/>
  <c r="G1104" i="5"/>
  <c r="F1104" i="5"/>
  <c r="E1104" i="5"/>
  <c r="D1104" i="5" a="1"/>
  <c r="D1104" i="5" s="1"/>
  <c r="B1104" i="5"/>
  <c r="N1103" i="5"/>
  <c r="H1103" i="5"/>
  <c r="G1103" i="5"/>
  <c r="F1103" i="5"/>
  <c r="E1103" i="5"/>
  <c r="D1103" i="5" a="1"/>
  <c r="D1103" i="5" s="1"/>
  <c r="B1103" i="5"/>
  <c r="N1102" i="5"/>
  <c r="H1102" i="5"/>
  <c r="G1102" i="5"/>
  <c r="F1102" i="5"/>
  <c r="E1102" i="5"/>
  <c r="D1102" i="5" a="1"/>
  <c r="D1102" i="5" s="1"/>
  <c r="B1102" i="5"/>
  <c r="N1101" i="5"/>
  <c r="H1101" i="5"/>
  <c r="G1101" i="5"/>
  <c r="F1101" i="5"/>
  <c r="E1101" i="5"/>
  <c r="D1101" i="5" a="1"/>
  <c r="D1101" i="5" s="1"/>
  <c r="B1101" i="5"/>
  <c r="N1100" i="5"/>
  <c r="H1100" i="5"/>
  <c r="G1100" i="5"/>
  <c r="F1100" i="5"/>
  <c r="E1100" i="5"/>
  <c r="D1100" i="5" a="1"/>
  <c r="D1100" i="5" s="1"/>
  <c r="B1100" i="5"/>
  <c r="N1099" i="5"/>
  <c r="H1099" i="5"/>
  <c r="G1099" i="5"/>
  <c r="F1099" i="5"/>
  <c r="E1099" i="5"/>
  <c r="D1099" i="5" a="1"/>
  <c r="D1099" i="5" s="1"/>
  <c r="B1099" i="5"/>
  <c r="N1098" i="5"/>
  <c r="H1098" i="5"/>
  <c r="G1098" i="5"/>
  <c r="F1098" i="5"/>
  <c r="E1098" i="5"/>
  <c r="D1098" i="5" a="1"/>
  <c r="D1098" i="5" s="1"/>
  <c r="B1098" i="5"/>
  <c r="N1097" i="5"/>
  <c r="H1097" i="5"/>
  <c r="G1097" i="5"/>
  <c r="F1097" i="5"/>
  <c r="E1097" i="5"/>
  <c r="D1097" i="5" a="1"/>
  <c r="D1097" i="5" s="1"/>
  <c r="B1097" i="5"/>
  <c r="N1096" i="5"/>
  <c r="H1096" i="5"/>
  <c r="G1096" i="5"/>
  <c r="F1096" i="5"/>
  <c r="E1096" i="5"/>
  <c r="D1096" i="5" a="1"/>
  <c r="D1096" i="5" s="1"/>
  <c r="B1096" i="5"/>
  <c r="N1095" i="5"/>
  <c r="H1095" i="5"/>
  <c r="G1095" i="5"/>
  <c r="F1095" i="5"/>
  <c r="E1095" i="5"/>
  <c r="D1095" i="5" a="1"/>
  <c r="D1095" i="5" s="1"/>
  <c r="B1095" i="5"/>
  <c r="N1094" i="5"/>
  <c r="H1094" i="5"/>
  <c r="G1094" i="5"/>
  <c r="F1094" i="5"/>
  <c r="E1094" i="5"/>
  <c r="D1094" i="5" a="1"/>
  <c r="D1094" i="5" s="1"/>
  <c r="B1094" i="5"/>
  <c r="N1093" i="5"/>
  <c r="H1093" i="5"/>
  <c r="G1093" i="5"/>
  <c r="F1093" i="5"/>
  <c r="E1093" i="5"/>
  <c r="D1093" i="5" a="1"/>
  <c r="D1093" i="5" s="1"/>
  <c r="B1093" i="5"/>
  <c r="N1092" i="5"/>
  <c r="H1092" i="5"/>
  <c r="G1092" i="5"/>
  <c r="F1092" i="5"/>
  <c r="E1092" i="5"/>
  <c r="D1092" i="5" a="1"/>
  <c r="D1092" i="5" s="1"/>
  <c r="B1092" i="5"/>
  <c r="N1091" i="5"/>
  <c r="H1091" i="5"/>
  <c r="G1091" i="5"/>
  <c r="F1091" i="5"/>
  <c r="E1091" i="5"/>
  <c r="D1091" i="5" a="1"/>
  <c r="D1091" i="5" s="1"/>
  <c r="B1091" i="5"/>
  <c r="N1090" i="5"/>
  <c r="H1090" i="5"/>
  <c r="G1090" i="5"/>
  <c r="F1090" i="5"/>
  <c r="E1090" i="5"/>
  <c r="D1090" i="5" a="1"/>
  <c r="D1090" i="5" s="1"/>
  <c r="B1090" i="5"/>
  <c r="N1089" i="5"/>
  <c r="H1089" i="5"/>
  <c r="G1089" i="5"/>
  <c r="F1089" i="5"/>
  <c r="E1089" i="5"/>
  <c r="D1089" i="5" a="1"/>
  <c r="D1089" i="5" s="1"/>
  <c r="B1089" i="5"/>
  <c r="N1088" i="5"/>
  <c r="H1088" i="5"/>
  <c r="G1088" i="5"/>
  <c r="F1088" i="5"/>
  <c r="E1088" i="5"/>
  <c r="D1088" i="5" a="1"/>
  <c r="D1088" i="5" s="1"/>
  <c r="B1088" i="5"/>
  <c r="N1087" i="5"/>
  <c r="H1087" i="5"/>
  <c r="G1087" i="5"/>
  <c r="F1087" i="5"/>
  <c r="E1087" i="5"/>
  <c r="D1087" i="5" a="1"/>
  <c r="D1087" i="5" s="1"/>
  <c r="B1087" i="5"/>
  <c r="N1086" i="5"/>
  <c r="H1086" i="5"/>
  <c r="G1086" i="5"/>
  <c r="F1086" i="5"/>
  <c r="E1086" i="5"/>
  <c r="D1086" i="5" a="1"/>
  <c r="D1086" i="5" s="1"/>
  <c r="B1086" i="5"/>
  <c r="N1085" i="5"/>
  <c r="H1085" i="5"/>
  <c r="G1085" i="5"/>
  <c r="F1085" i="5"/>
  <c r="E1085" i="5"/>
  <c r="D1085" i="5" a="1"/>
  <c r="D1085" i="5" s="1"/>
  <c r="B1085" i="5"/>
  <c r="N1084" i="5"/>
  <c r="H1084" i="5"/>
  <c r="G1084" i="5"/>
  <c r="F1084" i="5"/>
  <c r="E1084" i="5"/>
  <c r="D1084" i="5" a="1"/>
  <c r="D1084" i="5" s="1"/>
  <c r="B1084" i="5"/>
  <c r="N1083" i="5"/>
  <c r="H1083" i="5"/>
  <c r="G1083" i="5"/>
  <c r="F1083" i="5"/>
  <c r="E1083" i="5"/>
  <c r="D1083" i="5" a="1"/>
  <c r="D1083" i="5" s="1"/>
  <c r="B1083" i="5"/>
  <c r="N1082" i="5"/>
  <c r="H1082" i="5"/>
  <c r="G1082" i="5"/>
  <c r="F1082" i="5"/>
  <c r="E1082" i="5"/>
  <c r="D1082" i="5" a="1"/>
  <c r="D1082" i="5" s="1"/>
  <c r="B1082" i="5"/>
  <c r="N1081" i="5"/>
  <c r="H1081" i="5"/>
  <c r="G1081" i="5"/>
  <c r="F1081" i="5"/>
  <c r="E1081" i="5"/>
  <c r="D1081" i="5" a="1"/>
  <c r="D1081" i="5" s="1"/>
  <c r="B1081" i="5"/>
  <c r="N1080" i="5"/>
  <c r="H1080" i="5"/>
  <c r="G1080" i="5"/>
  <c r="F1080" i="5"/>
  <c r="E1080" i="5"/>
  <c r="D1080" i="5" a="1"/>
  <c r="D1080" i="5" s="1"/>
  <c r="B1080" i="5"/>
  <c r="N1079" i="5"/>
  <c r="H1079" i="5"/>
  <c r="G1079" i="5"/>
  <c r="F1079" i="5"/>
  <c r="E1079" i="5"/>
  <c r="D1079" i="5" a="1"/>
  <c r="D1079" i="5" s="1"/>
  <c r="B1079" i="5"/>
  <c r="N1078" i="5"/>
  <c r="H1078" i="5"/>
  <c r="G1078" i="5"/>
  <c r="F1078" i="5"/>
  <c r="E1078" i="5"/>
  <c r="D1078" i="5" a="1"/>
  <c r="D1078" i="5" s="1"/>
  <c r="B1078" i="5"/>
  <c r="N1077" i="5"/>
  <c r="H1077" i="5"/>
  <c r="G1077" i="5"/>
  <c r="F1077" i="5"/>
  <c r="E1077" i="5"/>
  <c r="D1077" i="5" a="1"/>
  <c r="D1077" i="5" s="1"/>
  <c r="B1077" i="5"/>
  <c r="N1076" i="5"/>
  <c r="H1076" i="5"/>
  <c r="G1076" i="5"/>
  <c r="F1076" i="5"/>
  <c r="E1076" i="5"/>
  <c r="D1076" i="5" a="1"/>
  <c r="D1076" i="5" s="1"/>
  <c r="B1076" i="5"/>
  <c r="N1075" i="5"/>
  <c r="H1075" i="5"/>
  <c r="G1075" i="5"/>
  <c r="F1075" i="5"/>
  <c r="E1075" i="5"/>
  <c r="D1075" i="5" a="1"/>
  <c r="D1075" i="5" s="1"/>
  <c r="B1075" i="5"/>
  <c r="N1074" i="5"/>
  <c r="H1074" i="5"/>
  <c r="G1074" i="5"/>
  <c r="F1074" i="5"/>
  <c r="E1074" i="5"/>
  <c r="D1074" i="5" a="1"/>
  <c r="D1074" i="5" s="1"/>
  <c r="B1074" i="5"/>
  <c r="N1073" i="5"/>
  <c r="H1073" i="5"/>
  <c r="G1073" i="5"/>
  <c r="F1073" i="5"/>
  <c r="E1073" i="5"/>
  <c r="D1073" i="5" a="1"/>
  <c r="D1073" i="5" s="1"/>
  <c r="B1073" i="5"/>
  <c r="N1072" i="5"/>
  <c r="H1072" i="5"/>
  <c r="G1072" i="5"/>
  <c r="F1072" i="5"/>
  <c r="E1072" i="5"/>
  <c r="D1072" i="5" a="1"/>
  <c r="D1072" i="5" s="1"/>
  <c r="B1072" i="5"/>
  <c r="N1071" i="5"/>
  <c r="H1071" i="5"/>
  <c r="G1071" i="5"/>
  <c r="F1071" i="5"/>
  <c r="E1071" i="5"/>
  <c r="D1071" i="5" a="1"/>
  <c r="D1071" i="5" s="1"/>
  <c r="B1071" i="5"/>
  <c r="N1070" i="5"/>
  <c r="H1070" i="5"/>
  <c r="G1070" i="5"/>
  <c r="F1070" i="5"/>
  <c r="E1070" i="5"/>
  <c r="D1070" i="5" a="1"/>
  <c r="D1070" i="5" s="1"/>
  <c r="B1070" i="5"/>
  <c r="N1069" i="5"/>
  <c r="H1069" i="5"/>
  <c r="G1069" i="5"/>
  <c r="F1069" i="5"/>
  <c r="E1069" i="5"/>
  <c r="D1069" i="5" a="1"/>
  <c r="D1069" i="5" s="1"/>
  <c r="B1069" i="5"/>
  <c r="N1068" i="5"/>
  <c r="H1068" i="5"/>
  <c r="G1068" i="5"/>
  <c r="F1068" i="5"/>
  <c r="E1068" i="5"/>
  <c r="D1068" i="5" a="1"/>
  <c r="D1068" i="5" s="1"/>
  <c r="B1068" i="5"/>
  <c r="N1067" i="5"/>
  <c r="H1067" i="5"/>
  <c r="G1067" i="5"/>
  <c r="F1067" i="5"/>
  <c r="E1067" i="5"/>
  <c r="D1067" i="5" a="1"/>
  <c r="D1067" i="5" s="1"/>
  <c r="B1067" i="5"/>
  <c r="N1066" i="5"/>
  <c r="H1066" i="5"/>
  <c r="G1066" i="5"/>
  <c r="F1066" i="5"/>
  <c r="E1066" i="5"/>
  <c r="D1066" i="5" a="1"/>
  <c r="D1066" i="5" s="1"/>
  <c r="B1066" i="5"/>
  <c r="N1065" i="5"/>
  <c r="H1065" i="5"/>
  <c r="G1065" i="5"/>
  <c r="F1065" i="5"/>
  <c r="E1065" i="5"/>
  <c r="D1065" i="5" a="1"/>
  <c r="D1065" i="5" s="1"/>
  <c r="B1065" i="5"/>
  <c r="N1064" i="5"/>
  <c r="H1064" i="5"/>
  <c r="G1064" i="5"/>
  <c r="F1064" i="5"/>
  <c r="E1064" i="5"/>
  <c r="D1064" i="5" a="1"/>
  <c r="D1064" i="5" s="1"/>
  <c r="B1064" i="5"/>
  <c r="N1063" i="5"/>
  <c r="H1063" i="5"/>
  <c r="G1063" i="5"/>
  <c r="F1063" i="5"/>
  <c r="E1063" i="5"/>
  <c r="D1063" i="5" a="1"/>
  <c r="D1063" i="5" s="1"/>
  <c r="B1063" i="5"/>
  <c r="N1062" i="5"/>
  <c r="H1062" i="5"/>
  <c r="G1062" i="5"/>
  <c r="F1062" i="5"/>
  <c r="E1062" i="5"/>
  <c r="D1062" i="5" a="1"/>
  <c r="D1062" i="5" s="1"/>
  <c r="B1062" i="5"/>
  <c r="N1061" i="5"/>
  <c r="H1061" i="5"/>
  <c r="G1061" i="5"/>
  <c r="F1061" i="5"/>
  <c r="E1061" i="5"/>
  <c r="D1061" i="5" a="1"/>
  <c r="D1061" i="5" s="1"/>
  <c r="B1061" i="5"/>
  <c r="N1060" i="5"/>
  <c r="H1060" i="5"/>
  <c r="G1060" i="5"/>
  <c r="F1060" i="5"/>
  <c r="E1060" i="5"/>
  <c r="D1060" i="5" a="1"/>
  <c r="D1060" i="5" s="1"/>
  <c r="B1060" i="5"/>
  <c r="N1059" i="5"/>
  <c r="H1059" i="5"/>
  <c r="G1059" i="5"/>
  <c r="F1059" i="5"/>
  <c r="E1059" i="5"/>
  <c r="D1059" i="5" a="1"/>
  <c r="D1059" i="5" s="1"/>
  <c r="B1059" i="5"/>
  <c r="N1058" i="5"/>
  <c r="H1058" i="5"/>
  <c r="G1058" i="5"/>
  <c r="F1058" i="5"/>
  <c r="E1058" i="5"/>
  <c r="D1058" i="5" a="1"/>
  <c r="D1058" i="5" s="1"/>
  <c r="B1058" i="5"/>
  <c r="N1057" i="5"/>
  <c r="H1057" i="5"/>
  <c r="G1057" i="5"/>
  <c r="F1057" i="5"/>
  <c r="E1057" i="5"/>
  <c r="D1057" i="5" a="1"/>
  <c r="D1057" i="5" s="1"/>
  <c r="B1057" i="5"/>
  <c r="N1056" i="5"/>
  <c r="H1056" i="5"/>
  <c r="G1056" i="5"/>
  <c r="F1056" i="5"/>
  <c r="E1056" i="5"/>
  <c r="D1056" i="5" a="1"/>
  <c r="D1056" i="5" s="1"/>
  <c r="B1056" i="5"/>
  <c r="N1055" i="5"/>
  <c r="H1055" i="5"/>
  <c r="G1055" i="5"/>
  <c r="F1055" i="5"/>
  <c r="E1055" i="5"/>
  <c r="D1055" i="5" a="1"/>
  <c r="D1055" i="5" s="1"/>
  <c r="B1055" i="5"/>
  <c r="N1054" i="5"/>
  <c r="H1054" i="5"/>
  <c r="G1054" i="5"/>
  <c r="F1054" i="5"/>
  <c r="E1054" i="5"/>
  <c r="D1054" i="5" a="1"/>
  <c r="D1054" i="5" s="1"/>
  <c r="B1054" i="5"/>
  <c r="N1053" i="5"/>
  <c r="H1053" i="5"/>
  <c r="G1053" i="5"/>
  <c r="F1053" i="5"/>
  <c r="E1053" i="5"/>
  <c r="D1053" i="5" a="1"/>
  <c r="D1053" i="5" s="1"/>
  <c r="B1053" i="5"/>
  <c r="N1052" i="5"/>
  <c r="H1052" i="5"/>
  <c r="G1052" i="5"/>
  <c r="F1052" i="5"/>
  <c r="E1052" i="5"/>
  <c r="D1052" i="5" a="1"/>
  <c r="D1052" i="5" s="1"/>
  <c r="B1052" i="5"/>
  <c r="N1051" i="5"/>
  <c r="H1051" i="5"/>
  <c r="G1051" i="5"/>
  <c r="F1051" i="5"/>
  <c r="E1051" i="5"/>
  <c r="D1051" i="5" a="1"/>
  <c r="D1051" i="5" s="1"/>
  <c r="B1051" i="5"/>
  <c r="N1050" i="5"/>
  <c r="H1050" i="5"/>
  <c r="G1050" i="5"/>
  <c r="F1050" i="5"/>
  <c r="E1050" i="5"/>
  <c r="D1050" i="5" a="1"/>
  <c r="D1050" i="5" s="1"/>
  <c r="B1050" i="5"/>
  <c r="N1049" i="5"/>
  <c r="H1049" i="5"/>
  <c r="G1049" i="5"/>
  <c r="F1049" i="5"/>
  <c r="E1049" i="5"/>
  <c r="D1049" i="5" a="1"/>
  <c r="D1049" i="5" s="1"/>
  <c r="B1049" i="5"/>
  <c r="N1048" i="5"/>
  <c r="H1048" i="5"/>
  <c r="G1048" i="5"/>
  <c r="F1048" i="5"/>
  <c r="E1048" i="5"/>
  <c r="D1048" i="5" a="1"/>
  <c r="D1048" i="5" s="1"/>
  <c r="B1048" i="5"/>
  <c r="N1047" i="5"/>
  <c r="H1047" i="5"/>
  <c r="G1047" i="5"/>
  <c r="F1047" i="5"/>
  <c r="E1047" i="5"/>
  <c r="D1047" i="5" a="1"/>
  <c r="D1047" i="5" s="1"/>
  <c r="B1047" i="5"/>
  <c r="N1046" i="5"/>
  <c r="H1046" i="5"/>
  <c r="G1046" i="5"/>
  <c r="F1046" i="5"/>
  <c r="E1046" i="5"/>
  <c r="D1046" i="5" a="1"/>
  <c r="D1046" i="5" s="1"/>
  <c r="B1046" i="5"/>
  <c r="N1045" i="5"/>
  <c r="H1045" i="5"/>
  <c r="G1045" i="5"/>
  <c r="F1045" i="5"/>
  <c r="E1045" i="5"/>
  <c r="D1045" i="5" a="1"/>
  <c r="D1045" i="5" s="1"/>
  <c r="B1045" i="5"/>
  <c r="N1044" i="5"/>
  <c r="H1044" i="5"/>
  <c r="G1044" i="5"/>
  <c r="F1044" i="5"/>
  <c r="E1044" i="5"/>
  <c r="D1044" i="5" a="1"/>
  <c r="D1044" i="5" s="1"/>
  <c r="B1044" i="5"/>
  <c r="N1043" i="5"/>
  <c r="H1043" i="5"/>
  <c r="G1043" i="5"/>
  <c r="F1043" i="5"/>
  <c r="E1043" i="5"/>
  <c r="D1043" i="5" a="1"/>
  <c r="D1043" i="5" s="1"/>
  <c r="B1043" i="5"/>
  <c r="N1042" i="5"/>
  <c r="H1042" i="5"/>
  <c r="G1042" i="5"/>
  <c r="F1042" i="5"/>
  <c r="E1042" i="5"/>
  <c r="D1042" i="5" a="1"/>
  <c r="D1042" i="5" s="1"/>
  <c r="B1042" i="5"/>
  <c r="N1041" i="5"/>
  <c r="H1041" i="5"/>
  <c r="G1041" i="5"/>
  <c r="F1041" i="5"/>
  <c r="E1041" i="5"/>
  <c r="D1041" i="5" a="1"/>
  <c r="D1041" i="5" s="1"/>
  <c r="B1041" i="5"/>
  <c r="N1040" i="5"/>
  <c r="H1040" i="5"/>
  <c r="G1040" i="5"/>
  <c r="F1040" i="5"/>
  <c r="E1040" i="5"/>
  <c r="D1040" i="5" a="1"/>
  <c r="D1040" i="5" s="1"/>
  <c r="B1040" i="5"/>
  <c r="N1039" i="5"/>
  <c r="H1039" i="5"/>
  <c r="G1039" i="5"/>
  <c r="F1039" i="5"/>
  <c r="E1039" i="5"/>
  <c r="D1039" i="5" a="1"/>
  <c r="D1039" i="5" s="1"/>
  <c r="B1039" i="5"/>
  <c r="N1038" i="5"/>
  <c r="H1038" i="5"/>
  <c r="G1038" i="5"/>
  <c r="F1038" i="5"/>
  <c r="E1038" i="5"/>
  <c r="D1038" i="5" a="1"/>
  <c r="D1038" i="5" s="1"/>
  <c r="B1038" i="5"/>
  <c r="N1037" i="5"/>
  <c r="H1037" i="5"/>
  <c r="G1037" i="5"/>
  <c r="F1037" i="5"/>
  <c r="E1037" i="5"/>
  <c r="D1037" i="5" a="1"/>
  <c r="D1037" i="5" s="1"/>
  <c r="B1037" i="5"/>
  <c r="N1036" i="5"/>
  <c r="H1036" i="5"/>
  <c r="G1036" i="5"/>
  <c r="F1036" i="5"/>
  <c r="E1036" i="5"/>
  <c r="D1036" i="5" a="1"/>
  <c r="D1036" i="5" s="1"/>
  <c r="B1036" i="5"/>
  <c r="N1035" i="5"/>
  <c r="H1035" i="5"/>
  <c r="G1035" i="5"/>
  <c r="F1035" i="5"/>
  <c r="E1035" i="5"/>
  <c r="D1035" i="5" a="1"/>
  <c r="D1035" i="5" s="1"/>
  <c r="B1035" i="5"/>
  <c r="N1034" i="5"/>
  <c r="H1034" i="5"/>
  <c r="G1034" i="5"/>
  <c r="F1034" i="5"/>
  <c r="E1034" i="5"/>
  <c r="D1034" i="5" a="1"/>
  <c r="D1034" i="5" s="1"/>
  <c r="B1034" i="5"/>
  <c r="N1033" i="5"/>
  <c r="H1033" i="5"/>
  <c r="G1033" i="5"/>
  <c r="F1033" i="5"/>
  <c r="E1033" i="5"/>
  <c r="D1033" i="5" a="1"/>
  <c r="D1033" i="5" s="1"/>
  <c r="B1033" i="5"/>
  <c r="N1032" i="5"/>
  <c r="H1032" i="5"/>
  <c r="G1032" i="5"/>
  <c r="F1032" i="5"/>
  <c r="E1032" i="5"/>
  <c r="D1032" i="5" a="1"/>
  <c r="D1032" i="5" s="1"/>
  <c r="B1032" i="5"/>
  <c r="N1031" i="5"/>
  <c r="H1031" i="5"/>
  <c r="G1031" i="5"/>
  <c r="F1031" i="5"/>
  <c r="E1031" i="5"/>
  <c r="D1031" i="5" a="1"/>
  <c r="D1031" i="5" s="1"/>
  <c r="B1031" i="5"/>
  <c r="N1030" i="5"/>
  <c r="H1030" i="5"/>
  <c r="G1030" i="5"/>
  <c r="F1030" i="5"/>
  <c r="E1030" i="5"/>
  <c r="D1030" i="5" a="1"/>
  <c r="D1030" i="5" s="1"/>
  <c r="B1030" i="5"/>
  <c r="N1029" i="5"/>
  <c r="H1029" i="5"/>
  <c r="G1029" i="5"/>
  <c r="F1029" i="5"/>
  <c r="E1029" i="5"/>
  <c r="D1029" i="5" a="1"/>
  <c r="D1029" i="5" s="1"/>
  <c r="B1029" i="5"/>
  <c r="N1028" i="5"/>
  <c r="H1028" i="5"/>
  <c r="G1028" i="5"/>
  <c r="F1028" i="5"/>
  <c r="E1028" i="5"/>
  <c r="D1028" i="5" a="1"/>
  <c r="D1028" i="5" s="1"/>
  <c r="B1028" i="5"/>
  <c r="N1027" i="5"/>
  <c r="H1027" i="5"/>
  <c r="G1027" i="5"/>
  <c r="F1027" i="5"/>
  <c r="E1027" i="5"/>
  <c r="D1027" i="5" a="1"/>
  <c r="D1027" i="5" s="1"/>
  <c r="B1027" i="5"/>
  <c r="N1026" i="5"/>
  <c r="H1026" i="5"/>
  <c r="G1026" i="5"/>
  <c r="F1026" i="5"/>
  <c r="E1026" i="5"/>
  <c r="D1026" i="5" a="1"/>
  <c r="D1026" i="5" s="1"/>
  <c r="B1026" i="5"/>
  <c r="N1025" i="5"/>
  <c r="H1025" i="5"/>
  <c r="G1025" i="5"/>
  <c r="F1025" i="5"/>
  <c r="E1025" i="5"/>
  <c r="D1025" i="5" a="1"/>
  <c r="D1025" i="5" s="1"/>
  <c r="B1025" i="5"/>
  <c r="N1024" i="5"/>
  <c r="H1024" i="5"/>
  <c r="G1024" i="5"/>
  <c r="F1024" i="5"/>
  <c r="E1024" i="5"/>
  <c r="D1024" i="5" a="1"/>
  <c r="D1024" i="5" s="1"/>
  <c r="B1024" i="5"/>
  <c r="N1023" i="5"/>
  <c r="H1023" i="5"/>
  <c r="G1023" i="5"/>
  <c r="F1023" i="5"/>
  <c r="E1023" i="5"/>
  <c r="D1023" i="5" a="1"/>
  <c r="D1023" i="5" s="1"/>
  <c r="B1023" i="5"/>
  <c r="N1022" i="5"/>
  <c r="H1022" i="5"/>
  <c r="G1022" i="5"/>
  <c r="F1022" i="5"/>
  <c r="E1022" i="5"/>
  <c r="D1022" i="5" a="1"/>
  <c r="D1022" i="5" s="1"/>
  <c r="B1022" i="5"/>
  <c r="N1021" i="5"/>
  <c r="H1021" i="5"/>
  <c r="G1021" i="5"/>
  <c r="F1021" i="5"/>
  <c r="E1021" i="5"/>
  <c r="D1021" i="5" a="1"/>
  <c r="D1021" i="5" s="1"/>
  <c r="B1021" i="5"/>
  <c r="N1020" i="5"/>
  <c r="H1020" i="5"/>
  <c r="G1020" i="5"/>
  <c r="F1020" i="5"/>
  <c r="E1020" i="5"/>
  <c r="D1020" i="5" a="1"/>
  <c r="D1020" i="5" s="1"/>
  <c r="B1020" i="5"/>
  <c r="N1019" i="5"/>
  <c r="H1019" i="5"/>
  <c r="G1019" i="5"/>
  <c r="F1019" i="5"/>
  <c r="E1019" i="5"/>
  <c r="D1019" i="5" a="1"/>
  <c r="D1019" i="5" s="1"/>
  <c r="B1019" i="5"/>
  <c r="N1018" i="5"/>
  <c r="H1018" i="5"/>
  <c r="G1018" i="5"/>
  <c r="F1018" i="5"/>
  <c r="E1018" i="5"/>
  <c r="D1018" i="5" a="1"/>
  <c r="D1018" i="5" s="1"/>
  <c r="B1018" i="5"/>
  <c r="N1017" i="5"/>
  <c r="H1017" i="5"/>
  <c r="G1017" i="5"/>
  <c r="F1017" i="5"/>
  <c r="E1017" i="5"/>
  <c r="D1017" i="5" a="1"/>
  <c r="D1017" i="5" s="1"/>
  <c r="B1017" i="5"/>
  <c r="N1016" i="5"/>
  <c r="H1016" i="5"/>
  <c r="G1016" i="5"/>
  <c r="F1016" i="5"/>
  <c r="E1016" i="5"/>
  <c r="D1016" i="5" a="1"/>
  <c r="D1016" i="5" s="1"/>
  <c r="B1016" i="5"/>
  <c r="N1015" i="5"/>
  <c r="H1015" i="5"/>
  <c r="G1015" i="5"/>
  <c r="F1015" i="5"/>
  <c r="E1015" i="5"/>
  <c r="D1015" i="5" a="1"/>
  <c r="D1015" i="5" s="1"/>
  <c r="B1015" i="5"/>
  <c r="N1014" i="5"/>
  <c r="H1014" i="5"/>
  <c r="G1014" i="5"/>
  <c r="F1014" i="5"/>
  <c r="E1014" i="5"/>
  <c r="D1014" i="5" a="1"/>
  <c r="D1014" i="5" s="1"/>
  <c r="B1014" i="5"/>
  <c r="N1013" i="5"/>
  <c r="H1013" i="5"/>
  <c r="G1013" i="5"/>
  <c r="F1013" i="5"/>
  <c r="E1013" i="5"/>
  <c r="D1013" i="5" a="1"/>
  <c r="D1013" i="5" s="1"/>
  <c r="B1013" i="5"/>
  <c r="N1012" i="5"/>
  <c r="H1012" i="5"/>
  <c r="G1012" i="5"/>
  <c r="F1012" i="5"/>
  <c r="E1012" i="5"/>
  <c r="D1012" i="5" a="1"/>
  <c r="D1012" i="5" s="1"/>
  <c r="B1012" i="5"/>
  <c r="N1011" i="5"/>
  <c r="H1011" i="5"/>
  <c r="G1011" i="5"/>
  <c r="F1011" i="5"/>
  <c r="E1011" i="5"/>
  <c r="D1011" i="5" a="1"/>
  <c r="D1011" i="5" s="1"/>
  <c r="B1011" i="5"/>
  <c r="N1010" i="5"/>
  <c r="H1010" i="5"/>
  <c r="G1010" i="5"/>
  <c r="F1010" i="5"/>
  <c r="E1010" i="5"/>
  <c r="D1010" i="5" a="1"/>
  <c r="D1010" i="5" s="1"/>
  <c r="B1010" i="5"/>
  <c r="N1009" i="5"/>
  <c r="H1009" i="5"/>
  <c r="G1009" i="5"/>
  <c r="F1009" i="5"/>
  <c r="E1009" i="5"/>
  <c r="D1009" i="5" a="1"/>
  <c r="D1009" i="5" s="1"/>
  <c r="B1009" i="5"/>
  <c r="N1008" i="5"/>
  <c r="H1008" i="5"/>
  <c r="G1008" i="5"/>
  <c r="F1008" i="5"/>
  <c r="E1008" i="5"/>
  <c r="D1008" i="5" a="1"/>
  <c r="D1008" i="5" s="1"/>
  <c r="B1008" i="5"/>
  <c r="N1007" i="5"/>
  <c r="H1007" i="5"/>
  <c r="G1007" i="5"/>
  <c r="F1007" i="5"/>
  <c r="E1007" i="5"/>
  <c r="D1007" i="5" a="1"/>
  <c r="D1007" i="5" s="1"/>
  <c r="B1007" i="5"/>
  <c r="N1006" i="5"/>
  <c r="H1006" i="5"/>
  <c r="G1006" i="5"/>
  <c r="F1006" i="5"/>
  <c r="E1006" i="5"/>
  <c r="D1006" i="5" a="1"/>
  <c r="D1006" i="5" s="1"/>
  <c r="B1006" i="5"/>
  <c r="N1005" i="5"/>
  <c r="H1005" i="5"/>
  <c r="G1005" i="5"/>
  <c r="F1005" i="5"/>
  <c r="E1005" i="5"/>
  <c r="D1005" i="5" a="1"/>
  <c r="D1005" i="5" s="1"/>
  <c r="B1005" i="5"/>
  <c r="N1004" i="5"/>
  <c r="H1004" i="5"/>
  <c r="G1004" i="5"/>
  <c r="F1004" i="5"/>
  <c r="E1004" i="5"/>
  <c r="D1004" i="5" a="1"/>
  <c r="D1004" i="5" s="1"/>
  <c r="B1004" i="5"/>
  <c r="N1003" i="5"/>
  <c r="H1003" i="5"/>
  <c r="G1003" i="5"/>
  <c r="F1003" i="5"/>
  <c r="E1003" i="5"/>
  <c r="D1003" i="5" a="1"/>
  <c r="D1003" i="5" s="1"/>
  <c r="B1003" i="5"/>
  <c r="N1002" i="5"/>
  <c r="H1002" i="5"/>
  <c r="G1002" i="5"/>
  <c r="F1002" i="5"/>
  <c r="E1002" i="5"/>
  <c r="D1002" i="5" a="1"/>
  <c r="D1002" i="5" s="1"/>
  <c r="B1002" i="5"/>
  <c r="N1001" i="5"/>
  <c r="H1001" i="5"/>
  <c r="G1001" i="5"/>
  <c r="F1001" i="5"/>
  <c r="E1001" i="5"/>
  <c r="D1001" i="5" a="1"/>
  <c r="D1001" i="5" s="1"/>
  <c r="B1001" i="5"/>
  <c r="N1000" i="5"/>
  <c r="H1000" i="5"/>
  <c r="G1000" i="5"/>
  <c r="F1000" i="5"/>
  <c r="E1000" i="5"/>
  <c r="D1000" i="5" a="1"/>
  <c r="D1000" i="5" s="1"/>
  <c r="B1000" i="5"/>
  <c r="N999" i="5"/>
  <c r="H999" i="5"/>
  <c r="G999" i="5"/>
  <c r="F999" i="5"/>
  <c r="E999" i="5"/>
  <c r="D999" i="5" a="1"/>
  <c r="D999" i="5" s="1"/>
  <c r="B999" i="5"/>
  <c r="N998" i="5"/>
  <c r="H998" i="5"/>
  <c r="G998" i="5"/>
  <c r="F998" i="5"/>
  <c r="E998" i="5"/>
  <c r="D998" i="5" a="1"/>
  <c r="D998" i="5" s="1"/>
  <c r="B998" i="5"/>
  <c r="N997" i="5"/>
  <c r="H997" i="5"/>
  <c r="G997" i="5"/>
  <c r="F997" i="5"/>
  <c r="E997" i="5"/>
  <c r="D997" i="5" a="1"/>
  <c r="D997" i="5" s="1"/>
  <c r="B997" i="5"/>
  <c r="N996" i="5"/>
  <c r="H996" i="5"/>
  <c r="G996" i="5"/>
  <c r="F996" i="5"/>
  <c r="E996" i="5"/>
  <c r="D996" i="5" a="1"/>
  <c r="D996" i="5" s="1"/>
  <c r="B996" i="5"/>
  <c r="N995" i="5"/>
  <c r="H995" i="5"/>
  <c r="G995" i="5"/>
  <c r="F995" i="5"/>
  <c r="E995" i="5"/>
  <c r="D995" i="5" a="1"/>
  <c r="D995" i="5" s="1"/>
  <c r="B995" i="5"/>
  <c r="N994" i="5"/>
  <c r="H994" i="5"/>
  <c r="G994" i="5"/>
  <c r="F994" i="5"/>
  <c r="E994" i="5"/>
  <c r="D994" i="5" a="1"/>
  <c r="D994" i="5" s="1"/>
  <c r="B994" i="5"/>
  <c r="N993" i="5"/>
  <c r="H993" i="5"/>
  <c r="G993" i="5"/>
  <c r="F993" i="5"/>
  <c r="E993" i="5"/>
  <c r="D993" i="5" a="1"/>
  <c r="D993" i="5" s="1"/>
  <c r="B993" i="5"/>
  <c r="N992" i="5"/>
  <c r="H992" i="5"/>
  <c r="G992" i="5"/>
  <c r="F992" i="5"/>
  <c r="E992" i="5"/>
  <c r="D992" i="5" a="1"/>
  <c r="D992" i="5" s="1"/>
  <c r="B992" i="5"/>
  <c r="N991" i="5"/>
  <c r="H991" i="5"/>
  <c r="G991" i="5"/>
  <c r="F991" i="5"/>
  <c r="E991" i="5"/>
  <c r="D991" i="5" a="1"/>
  <c r="D991" i="5" s="1"/>
  <c r="B991" i="5"/>
  <c r="N990" i="5"/>
  <c r="H990" i="5"/>
  <c r="G990" i="5"/>
  <c r="F990" i="5"/>
  <c r="E990" i="5"/>
  <c r="D990" i="5" a="1"/>
  <c r="D990" i="5" s="1"/>
  <c r="B990" i="5"/>
  <c r="N989" i="5"/>
  <c r="H989" i="5"/>
  <c r="G989" i="5"/>
  <c r="F989" i="5"/>
  <c r="E989" i="5"/>
  <c r="D989" i="5" a="1"/>
  <c r="D989" i="5" s="1"/>
  <c r="B989" i="5"/>
  <c r="N988" i="5"/>
  <c r="H988" i="5"/>
  <c r="G988" i="5"/>
  <c r="F988" i="5"/>
  <c r="E988" i="5"/>
  <c r="D988" i="5" a="1"/>
  <c r="D988" i="5" s="1"/>
  <c r="B988" i="5"/>
  <c r="N987" i="5"/>
  <c r="H987" i="5"/>
  <c r="G987" i="5"/>
  <c r="F987" i="5"/>
  <c r="E987" i="5"/>
  <c r="D987" i="5" a="1"/>
  <c r="D987" i="5" s="1"/>
  <c r="B987" i="5"/>
  <c r="N986" i="5"/>
  <c r="H986" i="5"/>
  <c r="G986" i="5"/>
  <c r="F986" i="5"/>
  <c r="E986" i="5"/>
  <c r="D986" i="5" a="1"/>
  <c r="D986" i="5" s="1"/>
  <c r="B986" i="5"/>
  <c r="N985" i="5"/>
  <c r="H985" i="5"/>
  <c r="G985" i="5"/>
  <c r="F985" i="5"/>
  <c r="E985" i="5"/>
  <c r="D985" i="5" a="1"/>
  <c r="D985" i="5" s="1"/>
  <c r="B985" i="5"/>
  <c r="N984" i="5"/>
  <c r="H984" i="5"/>
  <c r="G984" i="5"/>
  <c r="F984" i="5"/>
  <c r="E984" i="5"/>
  <c r="D984" i="5" a="1"/>
  <c r="D984" i="5" s="1"/>
  <c r="B984" i="5"/>
  <c r="N983" i="5"/>
  <c r="H983" i="5"/>
  <c r="G983" i="5"/>
  <c r="F983" i="5"/>
  <c r="E983" i="5"/>
  <c r="D983" i="5" a="1"/>
  <c r="D983" i="5" s="1"/>
  <c r="B983" i="5"/>
  <c r="N982" i="5"/>
  <c r="H982" i="5"/>
  <c r="G982" i="5"/>
  <c r="F982" i="5"/>
  <c r="E982" i="5"/>
  <c r="D982" i="5" a="1"/>
  <c r="D982" i="5" s="1"/>
  <c r="B982" i="5"/>
  <c r="N981" i="5"/>
  <c r="H981" i="5"/>
  <c r="G981" i="5"/>
  <c r="F981" i="5"/>
  <c r="E981" i="5"/>
  <c r="D981" i="5" a="1"/>
  <c r="D981" i="5" s="1"/>
  <c r="B981" i="5"/>
  <c r="N980" i="5"/>
  <c r="H980" i="5"/>
  <c r="G980" i="5"/>
  <c r="F980" i="5"/>
  <c r="E980" i="5"/>
  <c r="D980" i="5" a="1"/>
  <c r="D980" i="5" s="1"/>
  <c r="B980" i="5"/>
  <c r="N979" i="5"/>
  <c r="H979" i="5"/>
  <c r="G979" i="5"/>
  <c r="F979" i="5"/>
  <c r="E979" i="5"/>
  <c r="D979" i="5" a="1"/>
  <c r="D979" i="5" s="1"/>
  <c r="B979" i="5"/>
  <c r="N978" i="5"/>
  <c r="H978" i="5"/>
  <c r="G978" i="5"/>
  <c r="F978" i="5"/>
  <c r="E978" i="5"/>
  <c r="D978" i="5" a="1"/>
  <c r="D978" i="5" s="1"/>
  <c r="B978" i="5"/>
  <c r="N977" i="5"/>
  <c r="H977" i="5"/>
  <c r="G977" i="5"/>
  <c r="F977" i="5"/>
  <c r="E977" i="5"/>
  <c r="D977" i="5" a="1"/>
  <c r="D977" i="5" s="1"/>
  <c r="B977" i="5"/>
  <c r="N976" i="5"/>
  <c r="H976" i="5"/>
  <c r="G976" i="5"/>
  <c r="F976" i="5"/>
  <c r="E976" i="5"/>
  <c r="D976" i="5" a="1"/>
  <c r="D976" i="5" s="1"/>
  <c r="B976" i="5"/>
  <c r="N975" i="5"/>
  <c r="H975" i="5"/>
  <c r="G975" i="5"/>
  <c r="F975" i="5"/>
  <c r="E975" i="5"/>
  <c r="D975" i="5" a="1"/>
  <c r="D975" i="5" s="1"/>
  <c r="B975" i="5"/>
  <c r="N974" i="5"/>
  <c r="H974" i="5"/>
  <c r="G974" i="5"/>
  <c r="F974" i="5"/>
  <c r="E974" i="5"/>
  <c r="D974" i="5" a="1"/>
  <c r="D974" i="5" s="1"/>
  <c r="B974" i="5"/>
  <c r="N973" i="5"/>
  <c r="H973" i="5"/>
  <c r="G973" i="5"/>
  <c r="F973" i="5"/>
  <c r="E973" i="5"/>
  <c r="D973" i="5" a="1"/>
  <c r="D973" i="5" s="1"/>
  <c r="B973" i="5"/>
  <c r="N972" i="5"/>
  <c r="H972" i="5"/>
  <c r="G972" i="5"/>
  <c r="F972" i="5"/>
  <c r="E972" i="5"/>
  <c r="D972" i="5" a="1"/>
  <c r="D972" i="5" s="1"/>
  <c r="B972" i="5"/>
  <c r="N971" i="5"/>
  <c r="H971" i="5"/>
  <c r="G971" i="5"/>
  <c r="F971" i="5"/>
  <c r="E971" i="5"/>
  <c r="D971" i="5" a="1"/>
  <c r="D971" i="5" s="1"/>
  <c r="B971" i="5"/>
  <c r="N970" i="5"/>
  <c r="H970" i="5"/>
  <c r="G970" i="5"/>
  <c r="F970" i="5"/>
  <c r="E970" i="5"/>
  <c r="D970" i="5" a="1"/>
  <c r="D970" i="5" s="1"/>
  <c r="B970" i="5"/>
  <c r="N969" i="5"/>
  <c r="H969" i="5"/>
  <c r="G969" i="5"/>
  <c r="F969" i="5"/>
  <c r="E969" i="5"/>
  <c r="D969" i="5" a="1"/>
  <c r="D969" i="5" s="1"/>
  <c r="B969" i="5"/>
  <c r="N968" i="5"/>
  <c r="H968" i="5"/>
  <c r="G968" i="5"/>
  <c r="F968" i="5"/>
  <c r="E968" i="5"/>
  <c r="D968" i="5" a="1"/>
  <c r="D968" i="5" s="1"/>
  <c r="B968" i="5"/>
  <c r="N967" i="5"/>
  <c r="H967" i="5"/>
  <c r="G967" i="5"/>
  <c r="F967" i="5"/>
  <c r="E967" i="5"/>
  <c r="D967" i="5" a="1"/>
  <c r="D967" i="5" s="1"/>
  <c r="B967" i="5"/>
  <c r="N966" i="5"/>
  <c r="H966" i="5"/>
  <c r="G966" i="5"/>
  <c r="F966" i="5"/>
  <c r="E966" i="5"/>
  <c r="D966" i="5" a="1"/>
  <c r="D966" i="5" s="1"/>
  <c r="B966" i="5"/>
  <c r="N965" i="5"/>
  <c r="H965" i="5"/>
  <c r="G965" i="5"/>
  <c r="F965" i="5"/>
  <c r="E965" i="5"/>
  <c r="D965" i="5" a="1"/>
  <c r="D965" i="5" s="1"/>
  <c r="B965" i="5"/>
  <c r="N964" i="5"/>
  <c r="H964" i="5"/>
  <c r="G964" i="5"/>
  <c r="F964" i="5"/>
  <c r="E964" i="5"/>
  <c r="D964" i="5" a="1"/>
  <c r="D964" i="5" s="1"/>
  <c r="B964" i="5"/>
  <c r="N963" i="5"/>
  <c r="H963" i="5"/>
  <c r="G963" i="5"/>
  <c r="F963" i="5"/>
  <c r="E963" i="5"/>
  <c r="D963" i="5" a="1"/>
  <c r="D963" i="5" s="1"/>
  <c r="B963" i="5"/>
  <c r="N962" i="5"/>
  <c r="H962" i="5"/>
  <c r="G962" i="5"/>
  <c r="F962" i="5"/>
  <c r="E962" i="5"/>
  <c r="D962" i="5" a="1"/>
  <c r="D962" i="5" s="1"/>
  <c r="B962" i="5"/>
  <c r="N961" i="5"/>
  <c r="H961" i="5"/>
  <c r="G961" i="5"/>
  <c r="F961" i="5"/>
  <c r="E961" i="5"/>
  <c r="D961" i="5" a="1"/>
  <c r="D961" i="5" s="1"/>
  <c r="B961" i="5"/>
  <c r="N960" i="5"/>
  <c r="H960" i="5"/>
  <c r="G960" i="5"/>
  <c r="F960" i="5"/>
  <c r="E960" i="5"/>
  <c r="D960" i="5" a="1"/>
  <c r="D960" i="5" s="1"/>
  <c r="B960" i="5"/>
  <c r="N959" i="5"/>
  <c r="H959" i="5"/>
  <c r="G959" i="5"/>
  <c r="F959" i="5"/>
  <c r="E959" i="5"/>
  <c r="D959" i="5" a="1"/>
  <c r="D959" i="5" s="1"/>
  <c r="B959" i="5"/>
  <c r="N958" i="5"/>
  <c r="H958" i="5"/>
  <c r="G958" i="5"/>
  <c r="F958" i="5"/>
  <c r="E958" i="5"/>
  <c r="D958" i="5" a="1"/>
  <c r="D958" i="5" s="1"/>
  <c r="B958" i="5"/>
  <c r="N957" i="5"/>
  <c r="H957" i="5"/>
  <c r="G957" i="5"/>
  <c r="F957" i="5"/>
  <c r="E957" i="5"/>
  <c r="D957" i="5" a="1"/>
  <c r="D957" i="5" s="1"/>
  <c r="B957" i="5"/>
  <c r="N956" i="5"/>
  <c r="H956" i="5"/>
  <c r="G956" i="5"/>
  <c r="F956" i="5"/>
  <c r="E956" i="5"/>
  <c r="D956" i="5" a="1"/>
  <c r="D956" i="5" s="1"/>
  <c r="B956" i="5"/>
  <c r="N955" i="5"/>
  <c r="H955" i="5"/>
  <c r="G955" i="5"/>
  <c r="F955" i="5"/>
  <c r="E955" i="5"/>
  <c r="D955" i="5" a="1"/>
  <c r="D955" i="5" s="1"/>
  <c r="B955" i="5"/>
  <c r="N954" i="5"/>
  <c r="H954" i="5"/>
  <c r="G954" i="5"/>
  <c r="F954" i="5"/>
  <c r="E954" i="5"/>
  <c r="D954" i="5" a="1"/>
  <c r="D954" i="5" s="1"/>
  <c r="B954" i="5"/>
  <c r="N953" i="5"/>
  <c r="H953" i="5"/>
  <c r="G953" i="5"/>
  <c r="F953" i="5"/>
  <c r="E953" i="5"/>
  <c r="D953" i="5" a="1"/>
  <c r="D953" i="5" s="1"/>
  <c r="B953" i="5"/>
  <c r="N952" i="5"/>
  <c r="H952" i="5"/>
  <c r="G952" i="5"/>
  <c r="F952" i="5"/>
  <c r="E952" i="5"/>
  <c r="D952" i="5" a="1"/>
  <c r="D952" i="5" s="1"/>
  <c r="B952" i="5"/>
  <c r="N951" i="5"/>
  <c r="H951" i="5"/>
  <c r="G951" i="5"/>
  <c r="F951" i="5"/>
  <c r="E951" i="5"/>
  <c r="D951" i="5" a="1"/>
  <c r="D951" i="5" s="1"/>
  <c r="B951" i="5"/>
  <c r="N950" i="5"/>
  <c r="H950" i="5"/>
  <c r="G950" i="5"/>
  <c r="F950" i="5"/>
  <c r="E950" i="5"/>
  <c r="D950" i="5" a="1"/>
  <c r="D950" i="5" s="1"/>
  <c r="B950" i="5"/>
  <c r="N949" i="5"/>
  <c r="H949" i="5"/>
  <c r="G949" i="5"/>
  <c r="F949" i="5"/>
  <c r="E949" i="5"/>
  <c r="D949" i="5" a="1"/>
  <c r="D949" i="5" s="1"/>
  <c r="B949" i="5"/>
  <c r="N948" i="5"/>
  <c r="H948" i="5"/>
  <c r="G948" i="5"/>
  <c r="F948" i="5"/>
  <c r="E948" i="5"/>
  <c r="D948" i="5" a="1"/>
  <c r="D948" i="5" s="1"/>
  <c r="B948" i="5"/>
  <c r="N947" i="5"/>
  <c r="H947" i="5"/>
  <c r="G947" i="5"/>
  <c r="F947" i="5"/>
  <c r="E947" i="5"/>
  <c r="D947" i="5" a="1"/>
  <c r="D947" i="5" s="1"/>
  <c r="B947" i="5"/>
  <c r="N946" i="5"/>
  <c r="H946" i="5"/>
  <c r="G946" i="5"/>
  <c r="F946" i="5"/>
  <c r="E946" i="5"/>
  <c r="D946" i="5" a="1"/>
  <c r="D946" i="5" s="1"/>
  <c r="B946" i="5"/>
  <c r="N945" i="5"/>
  <c r="H945" i="5"/>
  <c r="G945" i="5"/>
  <c r="F945" i="5"/>
  <c r="E945" i="5"/>
  <c r="D945" i="5" a="1"/>
  <c r="D945" i="5" s="1"/>
  <c r="B945" i="5"/>
  <c r="N944" i="5"/>
  <c r="H944" i="5"/>
  <c r="G944" i="5"/>
  <c r="F944" i="5"/>
  <c r="E944" i="5"/>
  <c r="D944" i="5" a="1"/>
  <c r="D944" i="5" s="1"/>
  <c r="B944" i="5"/>
  <c r="N943" i="5"/>
  <c r="H943" i="5"/>
  <c r="G943" i="5"/>
  <c r="F943" i="5"/>
  <c r="E943" i="5"/>
  <c r="D943" i="5" a="1"/>
  <c r="D943" i="5" s="1"/>
  <c r="B943" i="5"/>
  <c r="N942" i="5"/>
  <c r="H942" i="5"/>
  <c r="G942" i="5"/>
  <c r="F942" i="5"/>
  <c r="E942" i="5"/>
  <c r="D942" i="5" a="1"/>
  <c r="D942" i="5" s="1"/>
  <c r="B942" i="5"/>
  <c r="N941" i="5"/>
  <c r="H941" i="5"/>
  <c r="G941" i="5"/>
  <c r="F941" i="5"/>
  <c r="E941" i="5"/>
  <c r="D941" i="5" a="1"/>
  <c r="D941" i="5" s="1"/>
  <c r="B941" i="5"/>
  <c r="N940" i="5"/>
  <c r="H940" i="5"/>
  <c r="G940" i="5"/>
  <c r="F940" i="5"/>
  <c r="E940" i="5"/>
  <c r="D940" i="5" a="1"/>
  <c r="D940" i="5" s="1"/>
  <c r="B940" i="5"/>
  <c r="N939" i="5"/>
  <c r="H939" i="5"/>
  <c r="G939" i="5"/>
  <c r="F939" i="5"/>
  <c r="E939" i="5"/>
  <c r="D939" i="5" a="1"/>
  <c r="D939" i="5" s="1"/>
  <c r="B939" i="5"/>
  <c r="N938" i="5"/>
  <c r="H938" i="5"/>
  <c r="G938" i="5"/>
  <c r="F938" i="5"/>
  <c r="E938" i="5"/>
  <c r="D938" i="5" a="1"/>
  <c r="D938" i="5" s="1"/>
  <c r="B938" i="5"/>
  <c r="N937" i="5"/>
  <c r="H937" i="5"/>
  <c r="G937" i="5"/>
  <c r="F937" i="5"/>
  <c r="E937" i="5"/>
  <c r="D937" i="5" a="1"/>
  <c r="D937" i="5" s="1"/>
  <c r="B937" i="5"/>
  <c r="N936" i="5"/>
  <c r="H936" i="5"/>
  <c r="G936" i="5"/>
  <c r="F936" i="5"/>
  <c r="E936" i="5"/>
  <c r="D936" i="5" a="1"/>
  <c r="D936" i="5" s="1"/>
  <c r="B936" i="5"/>
  <c r="N935" i="5"/>
  <c r="H935" i="5"/>
  <c r="G935" i="5"/>
  <c r="F935" i="5"/>
  <c r="E935" i="5"/>
  <c r="D935" i="5" a="1"/>
  <c r="D935" i="5" s="1"/>
  <c r="B935" i="5"/>
  <c r="N934" i="5"/>
  <c r="H934" i="5"/>
  <c r="G934" i="5"/>
  <c r="F934" i="5"/>
  <c r="E934" i="5"/>
  <c r="D934" i="5" a="1"/>
  <c r="D934" i="5" s="1"/>
  <c r="B934" i="5"/>
  <c r="N933" i="5"/>
  <c r="H933" i="5"/>
  <c r="G933" i="5"/>
  <c r="F933" i="5"/>
  <c r="E933" i="5"/>
  <c r="D933" i="5" a="1"/>
  <c r="D933" i="5" s="1"/>
  <c r="B933" i="5"/>
  <c r="N932" i="5"/>
  <c r="H932" i="5"/>
  <c r="G932" i="5"/>
  <c r="F932" i="5"/>
  <c r="E932" i="5"/>
  <c r="D932" i="5" a="1"/>
  <c r="D932" i="5" s="1"/>
  <c r="B932" i="5"/>
  <c r="N931" i="5"/>
  <c r="H931" i="5"/>
  <c r="G931" i="5"/>
  <c r="F931" i="5"/>
  <c r="E931" i="5"/>
  <c r="D931" i="5" a="1"/>
  <c r="D931" i="5" s="1"/>
  <c r="B931" i="5"/>
  <c r="N930" i="5"/>
  <c r="H930" i="5"/>
  <c r="G930" i="5"/>
  <c r="F930" i="5"/>
  <c r="E930" i="5"/>
  <c r="D930" i="5" a="1"/>
  <c r="D930" i="5" s="1"/>
  <c r="B930" i="5"/>
  <c r="N929" i="5"/>
  <c r="H929" i="5"/>
  <c r="G929" i="5"/>
  <c r="F929" i="5"/>
  <c r="E929" i="5"/>
  <c r="D929" i="5" a="1"/>
  <c r="D929" i="5" s="1"/>
  <c r="B929" i="5"/>
  <c r="N928" i="5"/>
  <c r="H928" i="5"/>
  <c r="G928" i="5"/>
  <c r="F928" i="5"/>
  <c r="E928" i="5"/>
  <c r="D928" i="5" a="1"/>
  <c r="D928" i="5" s="1"/>
  <c r="B928" i="5"/>
  <c r="N927" i="5"/>
  <c r="H927" i="5"/>
  <c r="G927" i="5"/>
  <c r="F927" i="5"/>
  <c r="E927" i="5"/>
  <c r="D927" i="5" a="1"/>
  <c r="D927" i="5" s="1"/>
  <c r="B927" i="5"/>
  <c r="N926" i="5"/>
  <c r="H926" i="5"/>
  <c r="G926" i="5"/>
  <c r="F926" i="5"/>
  <c r="E926" i="5"/>
  <c r="D926" i="5" a="1"/>
  <c r="D926" i="5" s="1"/>
  <c r="B926" i="5"/>
  <c r="N925" i="5"/>
  <c r="H925" i="5"/>
  <c r="G925" i="5"/>
  <c r="F925" i="5"/>
  <c r="E925" i="5"/>
  <c r="D925" i="5" a="1"/>
  <c r="D925" i="5" s="1"/>
  <c r="B925" i="5"/>
  <c r="N924" i="5"/>
  <c r="H924" i="5"/>
  <c r="G924" i="5"/>
  <c r="F924" i="5"/>
  <c r="E924" i="5"/>
  <c r="D924" i="5" a="1"/>
  <c r="D924" i="5" s="1"/>
  <c r="B924" i="5"/>
  <c r="N923" i="5"/>
  <c r="H923" i="5"/>
  <c r="G923" i="5"/>
  <c r="F923" i="5"/>
  <c r="E923" i="5"/>
  <c r="D923" i="5" a="1"/>
  <c r="D923" i="5" s="1"/>
  <c r="B923" i="5"/>
  <c r="N922" i="5"/>
  <c r="H922" i="5"/>
  <c r="G922" i="5"/>
  <c r="F922" i="5"/>
  <c r="E922" i="5"/>
  <c r="D922" i="5" a="1"/>
  <c r="D922" i="5" s="1"/>
  <c r="B922" i="5"/>
  <c r="N921" i="5"/>
  <c r="H921" i="5"/>
  <c r="G921" i="5"/>
  <c r="F921" i="5"/>
  <c r="E921" i="5"/>
  <c r="D921" i="5" a="1"/>
  <c r="D921" i="5" s="1"/>
  <c r="B921" i="5"/>
  <c r="N920" i="5"/>
  <c r="H920" i="5"/>
  <c r="G920" i="5"/>
  <c r="F920" i="5"/>
  <c r="E920" i="5"/>
  <c r="D920" i="5" a="1"/>
  <c r="D920" i="5" s="1"/>
  <c r="B920" i="5"/>
  <c r="N919" i="5"/>
  <c r="H919" i="5"/>
  <c r="G919" i="5"/>
  <c r="F919" i="5"/>
  <c r="E919" i="5"/>
  <c r="D919" i="5" a="1"/>
  <c r="D919" i="5" s="1"/>
  <c r="B919" i="5"/>
  <c r="N918" i="5"/>
  <c r="H918" i="5"/>
  <c r="G918" i="5"/>
  <c r="F918" i="5"/>
  <c r="E918" i="5"/>
  <c r="D918" i="5" a="1"/>
  <c r="D918" i="5" s="1"/>
  <c r="B918" i="5"/>
  <c r="N917" i="5"/>
  <c r="H917" i="5"/>
  <c r="G917" i="5"/>
  <c r="F917" i="5"/>
  <c r="E917" i="5"/>
  <c r="D917" i="5" a="1"/>
  <c r="D917" i="5" s="1"/>
  <c r="B917" i="5"/>
  <c r="N916" i="5"/>
  <c r="H916" i="5"/>
  <c r="G916" i="5"/>
  <c r="F916" i="5"/>
  <c r="E916" i="5"/>
  <c r="D916" i="5" a="1"/>
  <c r="D916" i="5" s="1"/>
  <c r="B916" i="5"/>
  <c r="N915" i="5"/>
  <c r="H915" i="5"/>
  <c r="G915" i="5"/>
  <c r="F915" i="5"/>
  <c r="E915" i="5"/>
  <c r="D915" i="5" a="1"/>
  <c r="D915" i="5" s="1"/>
  <c r="B915" i="5"/>
  <c r="N914" i="5"/>
  <c r="H914" i="5"/>
  <c r="G914" i="5"/>
  <c r="F914" i="5"/>
  <c r="E914" i="5"/>
  <c r="D914" i="5" a="1"/>
  <c r="D914" i="5" s="1"/>
  <c r="B914" i="5"/>
  <c r="N913" i="5"/>
  <c r="H913" i="5"/>
  <c r="G913" i="5"/>
  <c r="F913" i="5"/>
  <c r="E913" i="5"/>
  <c r="D913" i="5" a="1"/>
  <c r="D913" i="5" s="1"/>
  <c r="B913" i="5"/>
  <c r="N912" i="5"/>
  <c r="H912" i="5"/>
  <c r="G912" i="5"/>
  <c r="F912" i="5"/>
  <c r="E912" i="5"/>
  <c r="D912" i="5" a="1"/>
  <c r="D912" i="5" s="1"/>
  <c r="B912" i="5"/>
  <c r="N911" i="5"/>
  <c r="H911" i="5"/>
  <c r="G911" i="5"/>
  <c r="F911" i="5"/>
  <c r="E911" i="5"/>
  <c r="D911" i="5" a="1"/>
  <c r="D911" i="5" s="1"/>
  <c r="B911" i="5"/>
  <c r="N910" i="5"/>
  <c r="H910" i="5"/>
  <c r="G910" i="5"/>
  <c r="F910" i="5"/>
  <c r="E910" i="5"/>
  <c r="D910" i="5" a="1"/>
  <c r="D910" i="5" s="1"/>
  <c r="B910" i="5"/>
  <c r="N909" i="5"/>
  <c r="H909" i="5"/>
  <c r="G909" i="5"/>
  <c r="F909" i="5"/>
  <c r="E909" i="5"/>
  <c r="D909" i="5" a="1"/>
  <c r="D909" i="5" s="1"/>
  <c r="B909" i="5"/>
  <c r="N908" i="5"/>
  <c r="H908" i="5"/>
  <c r="G908" i="5"/>
  <c r="F908" i="5"/>
  <c r="E908" i="5"/>
  <c r="D908" i="5" a="1"/>
  <c r="D908" i="5" s="1"/>
  <c r="B908" i="5"/>
  <c r="N907" i="5"/>
  <c r="H907" i="5"/>
  <c r="G907" i="5"/>
  <c r="F907" i="5"/>
  <c r="E907" i="5"/>
  <c r="D907" i="5" a="1"/>
  <c r="D907" i="5" s="1"/>
  <c r="B907" i="5"/>
  <c r="N906" i="5"/>
  <c r="H906" i="5"/>
  <c r="G906" i="5"/>
  <c r="F906" i="5"/>
  <c r="E906" i="5"/>
  <c r="D906" i="5" a="1"/>
  <c r="D906" i="5" s="1"/>
  <c r="B906" i="5"/>
  <c r="N905" i="5"/>
  <c r="H905" i="5"/>
  <c r="G905" i="5"/>
  <c r="F905" i="5"/>
  <c r="E905" i="5"/>
  <c r="D905" i="5" a="1"/>
  <c r="D905" i="5" s="1"/>
  <c r="B905" i="5"/>
  <c r="N904" i="5"/>
  <c r="H904" i="5"/>
  <c r="G904" i="5"/>
  <c r="F904" i="5"/>
  <c r="E904" i="5"/>
  <c r="D904" i="5" a="1"/>
  <c r="D904" i="5" s="1"/>
  <c r="B904" i="5"/>
  <c r="N903" i="5"/>
  <c r="H903" i="5"/>
  <c r="G903" i="5"/>
  <c r="F903" i="5"/>
  <c r="E903" i="5"/>
  <c r="D903" i="5" a="1"/>
  <c r="D903" i="5" s="1"/>
  <c r="B903" i="5"/>
  <c r="N902" i="5"/>
  <c r="H902" i="5"/>
  <c r="G902" i="5"/>
  <c r="F902" i="5"/>
  <c r="E902" i="5"/>
  <c r="D902" i="5" a="1"/>
  <c r="D902" i="5" s="1"/>
  <c r="B902" i="5"/>
  <c r="N901" i="5"/>
  <c r="H901" i="5"/>
  <c r="G901" i="5"/>
  <c r="F901" i="5"/>
  <c r="E901" i="5"/>
  <c r="D901" i="5" a="1"/>
  <c r="D901" i="5" s="1"/>
  <c r="B901" i="5"/>
  <c r="N900" i="5"/>
  <c r="H900" i="5"/>
  <c r="G900" i="5"/>
  <c r="F900" i="5"/>
  <c r="E900" i="5"/>
  <c r="D900" i="5" a="1"/>
  <c r="D900" i="5" s="1"/>
  <c r="B900" i="5"/>
  <c r="N899" i="5"/>
  <c r="H899" i="5"/>
  <c r="G899" i="5"/>
  <c r="F899" i="5"/>
  <c r="E899" i="5"/>
  <c r="D899" i="5" a="1"/>
  <c r="D899" i="5" s="1"/>
  <c r="B899" i="5"/>
  <c r="N898" i="5"/>
  <c r="H898" i="5"/>
  <c r="G898" i="5"/>
  <c r="F898" i="5"/>
  <c r="E898" i="5"/>
  <c r="D898" i="5" a="1"/>
  <c r="D898" i="5" s="1"/>
  <c r="B898" i="5"/>
  <c r="N897" i="5"/>
  <c r="H897" i="5"/>
  <c r="G897" i="5"/>
  <c r="F897" i="5"/>
  <c r="E897" i="5"/>
  <c r="D897" i="5" a="1"/>
  <c r="D897" i="5" s="1"/>
  <c r="B897" i="5"/>
  <c r="N896" i="5"/>
  <c r="H896" i="5"/>
  <c r="G896" i="5"/>
  <c r="F896" i="5"/>
  <c r="E896" i="5"/>
  <c r="D896" i="5" a="1"/>
  <c r="D896" i="5" s="1"/>
  <c r="B896" i="5"/>
  <c r="N895" i="5"/>
  <c r="H895" i="5"/>
  <c r="G895" i="5"/>
  <c r="F895" i="5"/>
  <c r="E895" i="5"/>
  <c r="D895" i="5" a="1"/>
  <c r="D895" i="5" s="1"/>
  <c r="B895" i="5"/>
  <c r="N894" i="5"/>
  <c r="H894" i="5"/>
  <c r="G894" i="5"/>
  <c r="F894" i="5"/>
  <c r="E894" i="5"/>
  <c r="D894" i="5" a="1"/>
  <c r="D894" i="5" s="1"/>
  <c r="B894" i="5"/>
  <c r="N893" i="5"/>
  <c r="H893" i="5"/>
  <c r="G893" i="5"/>
  <c r="F893" i="5"/>
  <c r="E893" i="5"/>
  <c r="D893" i="5" a="1"/>
  <c r="D893" i="5" s="1"/>
  <c r="B893" i="5"/>
  <c r="N892" i="5"/>
  <c r="H892" i="5"/>
  <c r="G892" i="5"/>
  <c r="F892" i="5"/>
  <c r="E892" i="5"/>
  <c r="D892" i="5" a="1"/>
  <c r="D892" i="5" s="1"/>
  <c r="B892" i="5"/>
  <c r="N891" i="5"/>
  <c r="H891" i="5"/>
  <c r="G891" i="5"/>
  <c r="F891" i="5"/>
  <c r="E891" i="5"/>
  <c r="D891" i="5" a="1"/>
  <c r="D891" i="5" s="1"/>
  <c r="B891" i="5"/>
  <c r="N890" i="5"/>
  <c r="H890" i="5"/>
  <c r="G890" i="5"/>
  <c r="F890" i="5"/>
  <c r="E890" i="5"/>
  <c r="D890" i="5" a="1"/>
  <c r="D890" i="5" s="1"/>
  <c r="B890" i="5"/>
  <c r="N889" i="5"/>
  <c r="H889" i="5"/>
  <c r="G889" i="5"/>
  <c r="F889" i="5"/>
  <c r="E889" i="5"/>
  <c r="D889" i="5" a="1"/>
  <c r="D889" i="5" s="1"/>
  <c r="B889" i="5"/>
  <c r="N888" i="5"/>
  <c r="H888" i="5"/>
  <c r="G888" i="5"/>
  <c r="F888" i="5"/>
  <c r="E888" i="5"/>
  <c r="D888" i="5" a="1"/>
  <c r="D888" i="5" s="1"/>
  <c r="B888" i="5"/>
  <c r="N887" i="5"/>
  <c r="H887" i="5"/>
  <c r="G887" i="5"/>
  <c r="F887" i="5"/>
  <c r="E887" i="5"/>
  <c r="D887" i="5" a="1"/>
  <c r="D887" i="5" s="1"/>
  <c r="B887" i="5"/>
  <c r="N886" i="5"/>
  <c r="H886" i="5"/>
  <c r="G886" i="5"/>
  <c r="F886" i="5"/>
  <c r="E886" i="5"/>
  <c r="D886" i="5" a="1"/>
  <c r="D886" i="5" s="1"/>
  <c r="B886" i="5"/>
  <c r="N885" i="5"/>
  <c r="H885" i="5"/>
  <c r="G885" i="5"/>
  <c r="F885" i="5"/>
  <c r="E885" i="5"/>
  <c r="D885" i="5" a="1"/>
  <c r="D885" i="5" s="1"/>
  <c r="B885" i="5"/>
  <c r="N884" i="5"/>
  <c r="H884" i="5"/>
  <c r="G884" i="5"/>
  <c r="F884" i="5"/>
  <c r="E884" i="5"/>
  <c r="D884" i="5" a="1"/>
  <c r="D884" i="5" s="1"/>
  <c r="B884" i="5"/>
  <c r="N883" i="5"/>
  <c r="H883" i="5"/>
  <c r="G883" i="5"/>
  <c r="F883" i="5"/>
  <c r="E883" i="5"/>
  <c r="D883" i="5" a="1"/>
  <c r="D883" i="5" s="1"/>
  <c r="B883" i="5"/>
  <c r="N882" i="5"/>
  <c r="H882" i="5"/>
  <c r="G882" i="5"/>
  <c r="F882" i="5"/>
  <c r="E882" i="5"/>
  <c r="D882" i="5" a="1"/>
  <c r="D882" i="5" s="1"/>
  <c r="B882" i="5"/>
  <c r="N881" i="5"/>
  <c r="H881" i="5"/>
  <c r="G881" i="5"/>
  <c r="F881" i="5"/>
  <c r="E881" i="5"/>
  <c r="D881" i="5" a="1"/>
  <c r="D881" i="5" s="1"/>
  <c r="B881" i="5"/>
  <c r="N880" i="5"/>
  <c r="H880" i="5"/>
  <c r="G880" i="5"/>
  <c r="F880" i="5"/>
  <c r="E880" i="5"/>
  <c r="D880" i="5" a="1"/>
  <c r="D880" i="5" s="1"/>
  <c r="B880" i="5"/>
  <c r="N879" i="5"/>
  <c r="H879" i="5"/>
  <c r="G879" i="5"/>
  <c r="F879" i="5"/>
  <c r="E879" i="5"/>
  <c r="D879" i="5" a="1"/>
  <c r="D879" i="5" s="1"/>
  <c r="B879" i="5"/>
  <c r="N878" i="5"/>
  <c r="H878" i="5"/>
  <c r="G878" i="5"/>
  <c r="F878" i="5"/>
  <c r="E878" i="5"/>
  <c r="D878" i="5" a="1"/>
  <c r="D878" i="5" s="1"/>
  <c r="B878" i="5"/>
  <c r="N877" i="5"/>
  <c r="H877" i="5"/>
  <c r="G877" i="5"/>
  <c r="F877" i="5"/>
  <c r="E877" i="5"/>
  <c r="D877" i="5" a="1"/>
  <c r="D877" i="5" s="1"/>
  <c r="B877" i="5"/>
  <c r="N876" i="5"/>
  <c r="H876" i="5"/>
  <c r="G876" i="5"/>
  <c r="F876" i="5"/>
  <c r="E876" i="5"/>
  <c r="D876" i="5" a="1"/>
  <c r="D876" i="5" s="1"/>
  <c r="B876" i="5"/>
  <c r="N875" i="5"/>
  <c r="H875" i="5"/>
  <c r="G875" i="5"/>
  <c r="F875" i="5"/>
  <c r="E875" i="5"/>
  <c r="D875" i="5" a="1"/>
  <c r="D875" i="5" s="1"/>
  <c r="B875" i="5"/>
  <c r="N874" i="5"/>
  <c r="H874" i="5"/>
  <c r="G874" i="5"/>
  <c r="F874" i="5"/>
  <c r="E874" i="5"/>
  <c r="D874" i="5" a="1"/>
  <c r="D874" i="5" s="1"/>
  <c r="B874" i="5"/>
  <c r="N873" i="5"/>
  <c r="H873" i="5"/>
  <c r="G873" i="5"/>
  <c r="F873" i="5"/>
  <c r="E873" i="5"/>
  <c r="D873" i="5" a="1"/>
  <c r="D873" i="5" s="1"/>
  <c r="B873" i="5"/>
  <c r="N872" i="5"/>
  <c r="H872" i="5"/>
  <c r="G872" i="5"/>
  <c r="F872" i="5"/>
  <c r="E872" i="5"/>
  <c r="D872" i="5" a="1"/>
  <c r="D872" i="5" s="1"/>
  <c r="B872" i="5"/>
  <c r="N871" i="5"/>
  <c r="H871" i="5"/>
  <c r="G871" i="5"/>
  <c r="F871" i="5"/>
  <c r="E871" i="5"/>
  <c r="D871" i="5" a="1"/>
  <c r="D871" i="5" s="1"/>
  <c r="B871" i="5"/>
  <c r="N870" i="5"/>
  <c r="H870" i="5"/>
  <c r="G870" i="5"/>
  <c r="F870" i="5"/>
  <c r="E870" i="5"/>
  <c r="D870" i="5" a="1"/>
  <c r="D870" i="5" s="1"/>
  <c r="B870" i="5"/>
  <c r="N869" i="5"/>
  <c r="H869" i="5"/>
  <c r="G869" i="5"/>
  <c r="F869" i="5"/>
  <c r="E869" i="5"/>
  <c r="D869" i="5" a="1"/>
  <c r="D869" i="5" s="1"/>
  <c r="B869" i="5"/>
  <c r="N868" i="5"/>
  <c r="H868" i="5"/>
  <c r="G868" i="5"/>
  <c r="F868" i="5"/>
  <c r="E868" i="5"/>
  <c r="D868" i="5" a="1"/>
  <c r="D868" i="5" s="1"/>
  <c r="B868" i="5"/>
  <c r="N867" i="5"/>
  <c r="H867" i="5"/>
  <c r="G867" i="5"/>
  <c r="F867" i="5"/>
  <c r="E867" i="5"/>
  <c r="D867" i="5" a="1"/>
  <c r="D867" i="5" s="1"/>
  <c r="B867" i="5"/>
  <c r="N866" i="5"/>
  <c r="H866" i="5"/>
  <c r="G866" i="5"/>
  <c r="F866" i="5"/>
  <c r="E866" i="5"/>
  <c r="D866" i="5" a="1"/>
  <c r="D866" i="5" s="1"/>
  <c r="B866" i="5"/>
  <c r="N865" i="5"/>
  <c r="H865" i="5"/>
  <c r="G865" i="5"/>
  <c r="F865" i="5"/>
  <c r="E865" i="5"/>
  <c r="D865" i="5" a="1"/>
  <c r="D865" i="5" s="1"/>
  <c r="B865" i="5"/>
  <c r="N864" i="5"/>
  <c r="H864" i="5"/>
  <c r="G864" i="5"/>
  <c r="F864" i="5"/>
  <c r="E864" i="5"/>
  <c r="D864" i="5" a="1"/>
  <c r="D864" i="5" s="1"/>
  <c r="B864" i="5"/>
  <c r="N863" i="5"/>
  <c r="H863" i="5"/>
  <c r="G863" i="5"/>
  <c r="F863" i="5"/>
  <c r="E863" i="5"/>
  <c r="D863" i="5" a="1"/>
  <c r="D863" i="5" s="1"/>
  <c r="B863" i="5"/>
  <c r="N862" i="5"/>
  <c r="H862" i="5"/>
  <c r="G862" i="5"/>
  <c r="F862" i="5"/>
  <c r="E862" i="5"/>
  <c r="D862" i="5" a="1"/>
  <c r="D862" i="5" s="1"/>
  <c r="B862" i="5"/>
  <c r="N861" i="5"/>
  <c r="H861" i="5"/>
  <c r="G861" i="5"/>
  <c r="F861" i="5"/>
  <c r="E861" i="5"/>
  <c r="D861" i="5" a="1"/>
  <c r="D861" i="5" s="1"/>
  <c r="B861" i="5"/>
  <c r="N860" i="5"/>
  <c r="H860" i="5"/>
  <c r="G860" i="5"/>
  <c r="F860" i="5"/>
  <c r="E860" i="5"/>
  <c r="D860" i="5" a="1"/>
  <c r="D860" i="5" s="1"/>
  <c r="B860" i="5"/>
  <c r="N859" i="5"/>
  <c r="H859" i="5"/>
  <c r="G859" i="5"/>
  <c r="F859" i="5"/>
  <c r="E859" i="5"/>
  <c r="D859" i="5" a="1"/>
  <c r="D859" i="5" s="1"/>
  <c r="B859" i="5"/>
  <c r="N858" i="5"/>
  <c r="H858" i="5"/>
  <c r="G858" i="5"/>
  <c r="F858" i="5"/>
  <c r="E858" i="5"/>
  <c r="D858" i="5" a="1"/>
  <c r="D858" i="5" s="1"/>
  <c r="B858" i="5"/>
  <c r="N857" i="5"/>
  <c r="H857" i="5"/>
  <c r="G857" i="5"/>
  <c r="F857" i="5"/>
  <c r="E857" i="5"/>
  <c r="D857" i="5" a="1"/>
  <c r="D857" i="5" s="1"/>
  <c r="B857" i="5"/>
  <c r="N856" i="5"/>
  <c r="H856" i="5"/>
  <c r="G856" i="5"/>
  <c r="F856" i="5"/>
  <c r="E856" i="5"/>
  <c r="D856" i="5" a="1"/>
  <c r="D856" i="5" s="1"/>
  <c r="B856" i="5"/>
  <c r="N855" i="5"/>
  <c r="H855" i="5"/>
  <c r="G855" i="5"/>
  <c r="F855" i="5"/>
  <c r="E855" i="5"/>
  <c r="D855" i="5" a="1"/>
  <c r="D855" i="5" s="1"/>
  <c r="B855" i="5"/>
  <c r="N854" i="5"/>
  <c r="H854" i="5"/>
  <c r="G854" i="5"/>
  <c r="F854" i="5"/>
  <c r="E854" i="5"/>
  <c r="D854" i="5" a="1"/>
  <c r="D854" i="5" s="1"/>
  <c r="B854" i="5"/>
  <c r="N853" i="5"/>
  <c r="H853" i="5"/>
  <c r="G853" i="5"/>
  <c r="F853" i="5"/>
  <c r="E853" i="5"/>
  <c r="D853" i="5" a="1"/>
  <c r="D853" i="5" s="1"/>
  <c r="B853" i="5"/>
  <c r="N852" i="5"/>
  <c r="H852" i="5"/>
  <c r="G852" i="5"/>
  <c r="F852" i="5"/>
  <c r="E852" i="5"/>
  <c r="D852" i="5" a="1"/>
  <c r="D852" i="5" s="1"/>
  <c r="B852" i="5"/>
  <c r="N851" i="5"/>
  <c r="H851" i="5"/>
  <c r="G851" i="5"/>
  <c r="F851" i="5"/>
  <c r="E851" i="5"/>
  <c r="D851" i="5" a="1"/>
  <c r="D851" i="5" s="1"/>
  <c r="B851" i="5"/>
  <c r="N850" i="5"/>
  <c r="H850" i="5"/>
  <c r="G850" i="5"/>
  <c r="F850" i="5"/>
  <c r="E850" i="5"/>
  <c r="D850" i="5" a="1"/>
  <c r="D850" i="5" s="1"/>
  <c r="B850" i="5"/>
  <c r="N849" i="5"/>
  <c r="H849" i="5"/>
  <c r="G849" i="5"/>
  <c r="F849" i="5"/>
  <c r="E849" i="5"/>
  <c r="D849" i="5" a="1"/>
  <c r="D849" i="5" s="1"/>
  <c r="B849" i="5"/>
  <c r="N848" i="5"/>
  <c r="H848" i="5"/>
  <c r="G848" i="5"/>
  <c r="F848" i="5"/>
  <c r="E848" i="5"/>
  <c r="D848" i="5" a="1"/>
  <c r="D848" i="5" s="1"/>
  <c r="B848" i="5"/>
  <c r="N847" i="5"/>
  <c r="H847" i="5"/>
  <c r="G847" i="5"/>
  <c r="F847" i="5"/>
  <c r="E847" i="5"/>
  <c r="D847" i="5" a="1"/>
  <c r="D847" i="5" s="1"/>
  <c r="B847" i="5"/>
  <c r="N846" i="5"/>
  <c r="H846" i="5"/>
  <c r="G846" i="5"/>
  <c r="F846" i="5"/>
  <c r="E846" i="5"/>
  <c r="D846" i="5" a="1"/>
  <c r="D846" i="5" s="1"/>
  <c r="B846" i="5"/>
  <c r="N845" i="5"/>
  <c r="H845" i="5"/>
  <c r="G845" i="5"/>
  <c r="F845" i="5"/>
  <c r="E845" i="5"/>
  <c r="D845" i="5" a="1"/>
  <c r="D845" i="5" s="1"/>
  <c r="B845" i="5"/>
  <c r="N844" i="5"/>
  <c r="H844" i="5"/>
  <c r="G844" i="5"/>
  <c r="F844" i="5"/>
  <c r="E844" i="5"/>
  <c r="D844" i="5" a="1"/>
  <c r="D844" i="5" s="1"/>
  <c r="B844" i="5"/>
  <c r="N843" i="5"/>
  <c r="H843" i="5"/>
  <c r="G843" i="5"/>
  <c r="F843" i="5"/>
  <c r="E843" i="5"/>
  <c r="D843" i="5" a="1"/>
  <c r="D843" i="5" s="1"/>
  <c r="B843" i="5"/>
  <c r="N842" i="5"/>
  <c r="H842" i="5"/>
  <c r="G842" i="5"/>
  <c r="F842" i="5"/>
  <c r="E842" i="5"/>
  <c r="D842" i="5" a="1"/>
  <c r="D842" i="5" s="1"/>
  <c r="B842" i="5"/>
  <c r="N841" i="5"/>
  <c r="H841" i="5"/>
  <c r="G841" i="5"/>
  <c r="F841" i="5"/>
  <c r="E841" i="5"/>
  <c r="D841" i="5" a="1"/>
  <c r="D841" i="5" s="1"/>
  <c r="B841" i="5"/>
  <c r="N840" i="5"/>
  <c r="H840" i="5"/>
  <c r="G840" i="5"/>
  <c r="F840" i="5"/>
  <c r="E840" i="5"/>
  <c r="D840" i="5" a="1"/>
  <c r="D840" i="5" s="1"/>
  <c r="B840" i="5"/>
  <c r="N839" i="5"/>
  <c r="H839" i="5"/>
  <c r="G839" i="5"/>
  <c r="F839" i="5"/>
  <c r="E839" i="5"/>
  <c r="D839" i="5" a="1"/>
  <c r="D839" i="5" s="1"/>
  <c r="B839" i="5"/>
  <c r="N838" i="5"/>
  <c r="H838" i="5"/>
  <c r="G838" i="5"/>
  <c r="F838" i="5"/>
  <c r="E838" i="5"/>
  <c r="D838" i="5" a="1"/>
  <c r="D838" i="5" s="1"/>
  <c r="B838" i="5"/>
  <c r="N837" i="5"/>
  <c r="H837" i="5"/>
  <c r="G837" i="5"/>
  <c r="F837" i="5"/>
  <c r="E837" i="5"/>
  <c r="D837" i="5" a="1"/>
  <c r="D837" i="5" s="1"/>
  <c r="B837" i="5"/>
  <c r="N836" i="5"/>
  <c r="H836" i="5"/>
  <c r="G836" i="5"/>
  <c r="F836" i="5"/>
  <c r="E836" i="5"/>
  <c r="D836" i="5" a="1"/>
  <c r="D836" i="5" s="1"/>
  <c r="B836" i="5"/>
  <c r="N835" i="5"/>
  <c r="H835" i="5"/>
  <c r="G835" i="5"/>
  <c r="F835" i="5"/>
  <c r="E835" i="5"/>
  <c r="D835" i="5" a="1"/>
  <c r="D835" i="5" s="1"/>
  <c r="B835" i="5"/>
  <c r="N834" i="5"/>
  <c r="H834" i="5"/>
  <c r="G834" i="5"/>
  <c r="F834" i="5"/>
  <c r="E834" i="5"/>
  <c r="D834" i="5" a="1"/>
  <c r="D834" i="5" s="1"/>
  <c r="B834" i="5"/>
  <c r="N833" i="5"/>
  <c r="H833" i="5"/>
  <c r="G833" i="5"/>
  <c r="F833" i="5"/>
  <c r="E833" i="5"/>
  <c r="D833" i="5" a="1"/>
  <c r="D833" i="5" s="1"/>
  <c r="B833" i="5"/>
  <c r="N832" i="5"/>
  <c r="H832" i="5"/>
  <c r="G832" i="5"/>
  <c r="F832" i="5"/>
  <c r="E832" i="5"/>
  <c r="D832" i="5" a="1"/>
  <c r="D832" i="5" s="1"/>
  <c r="B832" i="5"/>
  <c r="N831" i="5"/>
  <c r="H831" i="5"/>
  <c r="G831" i="5"/>
  <c r="F831" i="5"/>
  <c r="E831" i="5"/>
  <c r="D831" i="5" a="1"/>
  <c r="D831" i="5" s="1"/>
  <c r="B831" i="5"/>
  <c r="N830" i="5"/>
  <c r="H830" i="5"/>
  <c r="G830" i="5"/>
  <c r="F830" i="5"/>
  <c r="E830" i="5"/>
  <c r="D830" i="5" a="1"/>
  <c r="D830" i="5" s="1"/>
  <c r="B830" i="5"/>
  <c r="N829" i="5"/>
  <c r="H829" i="5"/>
  <c r="G829" i="5"/>
  <c r="F829" i="5"/>
  <c r="E829" i="5"/>
  <c r="D829" i="5" a="1"/>
  <c r="D829" i="5" s="1"/>
  <c r="B829" i="5"/>
  <c r="N828" i="5"/>
  <c r="H828" i="5"/>
  <c r="G828" i="5"/>
  <c r="F828" i="5"/>
  <c r="E828" i="5"/>
  <c r="D828" i="5" a="1"/>
  <c r="D828" i="5" s="1"/>
  <c r="B828" i="5"/>
  <c r="N827" i="5"/>
  <c r="H827" i="5"/>
  <c r="G827" i="5"/>
  <c r="F827" i="5"/>
  <c r="E827" i="5"/>
  <c r="D827" i="5" a="1"/>
  <c r="D827" i="5" s="1"/>
  <c r="B827" i="5"/>
  <c r="N826" i="5"/>
  <c r="H826" i="5"/>
  <c r="G826" i="5"/>
  <c r="F826" i="5"/>
  <c r="E826" i="5"/>
  <c r="D826" i="5" a="1"/>
  <c r="D826" i="5" s="1"/>
  <c r="B826" i="5"/>
  <c r="N825" i="5"/>
  <c r="H825" i="5"/>
  <c r="G825" i="5"/>
  <c r="F825" i="5"/>
  <c r="E825" i="5"/>
  <c r="D825" i="5" a="1"/>
  <c r="D825" i="5" s="1"/>
  <c r="B825" i="5"/>
  <c r="N824" i="5"/>
  <c r="H824" i="5"/>
  <c r="G824" i="5"/>
  <c r="F824" i="5"/>
  <c r="E824" i="5"/>
  <c r="D824" i="5" a="1"/>
  <c r="D824" i="5" s="1"/>
  <c r="B824" i="5"/>
  <c r="N823" i="5"/>
  <c r="H823" i="5"/>
  <c r="G823" i="5"/>
  <c r="F823" i="5"/>
  <c r="E823" i="5"/>
  <c r="D823" i="5" a="1"/>
  <c r="D823" i="5" s="1"/>
  <c r="B823" i="5"/>
  <c r="N822" i="5"/>
  <c r="H822" i="5"/>
  <c r="G822" i="5"/>
  <c r="F822" i="5"/>
  <c r="E822" i="5"/>
  <c r="D822" i="5" a="1"/>
  <c r="D822" i="5" s="1"/>
  <c r="B822" i="5"/>
  <c r="N821" i="5"/>
  <c r="H821" i="5"/>
  <c r="G821" i="5"/>
  <c r="F821" i="5"/>
  <c r="E821" i="5"/>
  <c r="D821" i="5" a="1"/>
  <c r="D821" i="5" s="1"/>
  <c r="B821" i="5"/>
  <c r="N820" i="5"/>
  <c r="H820" i="5"/>
  <c r="G820" i="5"/>
  <c r="F820" i="5"/>
  <c r="E820" i="5"/>
  <c r="D820" i="5" a="1"/>
  <c r="D820" i="5" s="1"/>
  <c r="B820" i="5"/>
  <c r="N819" i="5"/>
  <c r="H819" i="5"/>
  <c r="G819" i="5"/>
  <c r="F819" i="5"/>
  <c r="E819" i="5"/>
  <c r="D819" i="5" a="1"/>
  <c r="D819" i="5" s="1"/>
  <c r="B819" i="5"/>
  <c r="N818" i="5"/>
  <c r="H818" i="5"/>
  <c r="G818" i="5"/>
  <c r="F818" i="5"/>
  <c r="E818" i="5"/>
  <c r="D818" i="5" a="1"/>
  <c r="D818" i="5" s="1"/>
  <c r="B818" i="5"/>
  <c r="N817" i="5"/>
  <c r="H817" i="5"/>
  <c r="G817" i="5"/>
  <c r="F817" i="5"/>
  <c r="E817" i="5"/>
  <c r="D817" i="5" a="1"/>
  <c r="D817" i="5" s="1"/>
  <c r="B817" i="5"/>
  <c r="N816" i="5"/>
  <c r="H816" i="5"/>
  <c r="G816" i="5"/>
  <c r="F816" i="5"/>
  <c r="E816" i="5"/>
  <c r="D816" i="5" a="1"/>
  <c r="D816" i="5" s="1"/>
  <c r="B816" i="5"/>
  <c r="N815" i="5"/>
  <c r="H815" i="5"/>
  <c r="G815" i="5"/>
  <c r="F815" i="5"/>
  <c r="E815" i="5"/>
  <c r="D815" i="5" a="1"/>
  <c r="D815" i="5" s="1"/>
  <c r="B815" i="5"/>
  <c r="N814" i="5"/>
  <c r="H814" i="5"/>
  <c r="G814" i="5"/>
  <c r="F814" i="5"/>
  <c r="E814" i="5"/>
  <c r="D814" i="5" a="1"/>
  <c r="D814" i="5" s="1"/>
  <c r="B814" i="5"/>
  <c r="N813" i="5"/>
  <c r="H813" i="5"/>
  <c r="G813" i="5"/>
  <c r="F813" i="5"/>
  <c r="E813" i="5"/>
  <c r="D813" i="5" a="1"/>
  <c r="D813" i="5" s="1"/>
  <c r="B813" i="5"/>
  <c r="N812" i="5"/>
  <c r="H812" i="5"/>
  <c r="G812" i="5"/>
  <c r="F812" i="5"/>
  <c r="E812" i="5"/>
  <c r="D812" i="5" a="1"/>
  <c r="D812" i="5" s="1"/>
  <c r="B812" i="5"/>
  <c r="N811" i="5"/>
  <c r="H811" i="5"/>
  <c r="G811" i="5"/>
  <c r="F811" i="5"/>
  <c r="E811" i="5"/>
  <c r="D811" i="5" a="1"/>
  <c r="D811" i="5" s="1"/>
  <c r="B811" i="5"/>
  <c r="N810" i="5"/>
  <c r="H810" i="5"/>
  <c r="G810" i="5"/>
  <c r="F810" i="5"/>
  <c r="E810" i="5"/>
  <c r="D810" i="5" a="1"/>
  <c r="D810" i="5" s="1"/>
  <c r="B810" i="5"/>
  <c r="N809" i="5"/>
  <c r="H809" i="5"/>
  <c r="G809" i="5"/>
  <c r="F809" i="5"/>
  <c r="E809" i="5"/>
  <c r="D809" i="5" a="1"/>
  <c r="D809" i="5" s="1"/>
  <c r="B809" i="5"/>
  <c r="N808" i="5"/>
  <c r="H808" i="5"/>
  <c r="G808" i="5"/>
  <c r="F808" i="5"/>
  <c r="E808" i="5"/>
  <c r="D808" i="5" a="1"/>
  <c r="D808" i="5" s="1"/>
  <c r="B808" i="5"/>
  <c r="N807" i="5"/>
  <c r="H807" i="5"/>
  <c r="G807" i="5"/>
  <c r="F807" i="5"/>
  <c r="E807" i="5"/>
  <c r="D807" i="5" a="1"/>
  <c r="D807" i="5" s="1"/>
  <c r="B807" i="5"/>
  <c r="N806" i="5"/>
  <c r="H806" i="5"/>
  <c r="G806" i="5"/>
  <c r="F806" i="5"/>
  <c r="E806" i="5"/>
  <c r="D806" i="5" a="1"/>
  <c r="D806" i="5" s="1"/>
  <c r="B806" i="5"/>
  <c r="N805" i="5"/>
  <c r="H805" i="5"/>
  <c r="G805" i="5"/>
  <c r="F805" i="5"/>
  <c r="E805" i="5"/>
  <c r="D805" i="5" a="1"/>
  <c r="D805" i="5" s="1"/>
  <c r="B805" i="5"/>
  <c r="N804" i="5"/>
  <c r="H804" i="5"/>
  <c r="G804" i="5"/>
  <c r="F804" i="5"/>
  <c r="E804" i="5"/>
  <c r="D804" i="5" a="1"/>
  <c r="D804" i="5" s="1"/>
  <c r="B804" i="5"/>
  <c r="N803" i="5"/>
  <c r="H803" i="5"/>
  <c r="G803" i="5"/>
  <c r="F803" i="5"/>
  <c r="E803" i="5"/>
  <c r="D803" i="5" a="1"/>
  <c r="D803" i="5" s="1"/>
  <c r="B803" i="5"/>
  <c r="N802" i="5"/>
  <c r="H802" i="5"/>
  <c r="G802" i="5"/>
  <c r="F802" i="5"/>
  <c r="E802" i="5"/>
  <c r="D802" i="5" a="1"/>
  <c r="D802" i="5" s="1"/>
  <c r="B802" i="5"/>
  <c r="N801" i="5"/>
  <c r="H801" i="5"/>
  <c r="G801" i="5"/>
  <c r="F801" i="5"/>
  <c r="E801" i="5"/>
  <c r="D801" i="5" a="1"/>
  <c r="D801" i="5" s="1"/>
  <c r="B801" i="5"/>
  <c r="N800" i="5"/>
  <c r="H800" i="5"/>
  <c r="G800" i="5"/>
  <c r="F800" i="5"/>
  <c r="E800" i="5"/>
  <c r="D800" i="5" a="1"/>
  <c r="D800" i="5" s="1"/>
  <c r="B800" i="5"/>
  <c r="N799" i="5"/>
  <c r="H799" i="5"/>
  <c r="G799" i="5"/>
  <c r="F799" i="5"/>
  <c r="E799" i="5"/>
  <c r="D799" i="5" a="1"/>
  <c r="D799" i="5" s="1"/>
  <c r="B799" i="5"/>
  <c r="N798" i="5"/>
  <c r="H798" i="5"/>
  <c r="G798" i="5"/>
  <c r="F798" i="5"/>
  <c r="E798" i="5"/>
  <c r="D798" i="5" a="1"/>
  <c r="D798" i="5" s="1"/>
  <c r="B798" i="5"/>
  <c r="N797" i="5"/>
  <c r="H797" i="5"/>
  <c r="G797" i="5"/>
  <c r="F797" i="5"/>
  <c r="E797" i="5"/>
  <c r="D797" i="5" a="1"/>
  <c r="D797" i="5" s="1"/>
  <c r="B797" i="5"/>
  <c r="N796" i="5"/>
  <c r="H796" i="5"/>
  <c r="G796" i="5"/>
  <c r="F796" i="5"/>
  <c r="E796" i="5"/>
  <c r="D796" i="5" a="1"/>
  <c r="D796" i="5" s="1"/>
  <c r="B796" i="5"/>
  <c r="N795" i="5"/>
  <c r="H795" i="5"/>
  <c r="G795" i="5"/>
  <c r="F795" i="5"/>
  <c r="E795" i="5"/>
  <c r="D795" i="5" a="1"/>
  <c r="D795" i="5" s="1"/>
  <c r="B795" i="5"/>
  <c r="N794" i="5"/>
  <c r="H794" i="5"/>
  <c r="G794" i="5"/>
  <c r="F794" i="5"/>
  <c r="E794" i="5"/>
  <c r="D794" i="5" a="1"/>
  <c r="D794" i="5" s="1"/>
  <c r="B794" i="5"/>
  <c r="N793" i="5"/>
  <c r="H793" i="5"/>
  <c r="G793" i="5"/>
  <c r="F793" i="5"/>
  <c r="E793" i="5"/>
  <c r="D793" i="5" a="1"/>
  <c r="D793" i="5" s="1"/>
  <c r="B793" i="5"/>
  <c r="N792" i="5"/>
  <c r="H792" i="5"/>
  <c r="G792" i="5"/>
  <c r="F792" i="5"/>
  <c r="E792" i="5"/>
  <c r="D792" i="5" a="1"/>
  <c r="D792" i="5" s="1"/>
  <c r="B792" i="5"/>
  <c r="N791" i="5"/>
  <c r="H791" i="5"/>
  <c r="G791" i="5"/>
  <c r="F791" i="5"/>
  <c r="E791" i="5"/>
  <c r="D791" i="5" a="1"/>
  <c r="D791" i="5" s="1"/>
  <c r="B791" i="5"/>
  <c r="N790" i="5"/>
  <c r="H790" i="5"/>
  <c r="G790" i="5"/>
  <c r="F790" i="5"/>
  <c r="E790" i="5"/>
  <c r="D790" i="5" a="1"/>
  <c r="D790" i="5" s="1"/>
  <c r="B790" i="5"/>
  <c r="N789" i="5"/>
  <c r="H789" i="5"/>
  <c r="G789" i="5"/>
  <c r="F789" i="5"/>
  <c r="E789" i="5"/>
  <c r="D789" i="5" a="1"/>
  <c r="D789" i="5" s="1"/>
  <c r="B789" i="5"/>
  <c r="N788" i="5"/>
  <c r="H788" i="5"/>
  <c r="G788" i="5"/>
  <c r="F788" i="5"/>
  <c r="E788" i="5"/>
  <c r="D788" i="5" a="1"/>
  <c r="D788" i="5" s="1"/>
  <c r="B788" i="5"/>
  <c r="N787" i="5"/>
  <c r="H787" i="5"/>
  <c r="G787" i="5"/>
  <c r="F787" i="5"/>
  <c r="E787" i="5"/>
  <c r="D787" i="5" a="1"/>
  <c r="D787" i="5" s="1"/>
  <c r="B787" i="5"/>
  <c r="N786" i="5"/>
  <c r="H786" i="5"/>
  <c r="G786" i="5"/>
  <c r="F786" i="5"/>
  <c r="E786" i="5"/>
  <c r="D786" i="5" a="1"/>
  <c r="D786" i="5" s="1"/>
  <c r="B786" i="5"/>
  <c r="N785" i="5"/>
  <c r="H785" i="5"/>
  <c r="G785" i="5"/>
  <c r="F785" i="5"/>
  <c r="E785" i="5"/>
  <c r="D785" i="5" a="1"/>
  <c r="D785" i="5" s="1"/>
  <c r="B785" i="5"/>
  <c r="N784" i="5"/>
  <c r="H784" i="5"/>
  <c r="G784" i="5"/>
  <c r="F784" i="5"/>
  <c r="E784" i="5"/>
  <c r="D784" i="5" a="1"/>
  <c r="D784" i="5" s="1"/>
  <c r="B784" i="5"/>
  <c r="N783" i="5"/>
  <c r="H783" i="5"/>
  <c r="G783" i="5"/>
  <c r="F783" i="5"/>
  <c r="E783" i="5"/>
  <c r="D783" i="5" a="1"/>
  <c r="D783" i="5" s="1"/>
  <c r="B783" i="5"/>
  <c r="N782" i="5"/>
  <c r="H782" i="5"/>
  <c r="G782" i="5"/>
  <c r="F782" i="5"/>
  <c r="E782" i="5"/>
  <c r="D782" i="5" a="1"/>
  <c r="D782" i="5" s="1"/>
  <c r="B782" i="5"/>
  <c r="N781" i="5"/>
  <c r="H781" i="5"/>
  <c r="G781" i="5"/>
  <c r="F781" i="5"/>
  <c r="E781" i="5"/>
  <c r="D781" i="5" a="1"/>
  <c r="D781" i="5" s="1"/>
  <c r="B781" i="5"/>
  <c r="N780" i="5"/>
  <c r="H780" i="5"/>
  <c r="G780" i="5"/>
  <c r="F780" i="5"/>
  <c r="E780" i="5"/>
  <c r="D780" i="5" a="1"/>
  <c r="D780" i="5" s="1"/>
  <c r="B780" i="5"/>
  <c r="N779" i="5"/>
  <c r="H779" i="5"/>
  <c r="G779" i="5"/>
  <c r="F779" i="5"/>
  <c r="E779" i="5"/>
  <c r="D779" i="5" a="1"/>
  <c r="D779" i="5" s="1"/>
  <c r="B779" i="5"/>
  <c r="N778" i="5"/>
  <c r="H778" i="5"/>
  <c r="G778" i="5"/>
  <c r="F778" i="5"/>
  <c r="E778" i="5"/>
  <c r="D778" i="5" a="1"/>
  <c r="D778" i="5" s="1"/>
  <c r="B778" i="5"/>
  <c r="N777" i="5"/>
  <c r="H777" i="5"/>
  <c r="G777" i="5"/>
  <c r="F777" i="5"/>
  <c r="E777" i="5"/>
  <c r="D777" i="5" a="1"/>
  <c r="D777" i="5" s="1"/>
  <c r="B777" i="5"/>
  <c r="N776" i="5"/>
  <c r="H776" i="5"/>
  <c r="G776" i="5"/>
  <c r="F776" i="5"/>
  <c r="E776" i="5"/>
  <c r="D776" i="5" a="1"/>
  <c r="D776" i="5" s="1"/>
  <c r="B776" i="5"/>
  <c r="N775" i="5"/>
  <c r="H775" i="5"/>
  <c r="G775" i="5"/>
  <c r="F775" i="5"/>
  <c r="E775" i="5"/>
  <c r="D775" i="5" a="1"/>
  <c r="D775" i="5" s="1"/>
  <c r="B775" i="5"/>
  <c r="N774" i="5"/>
  <c r="H774" i="5"/>
  <c r="G774" i="5"/>
  <c r="F774" i="5"/>
  <c r="E774" i="5"/>
  <c r="D774" i="5" a="1"/>
  <c r="D774" i="5" s="1"/>
  <c r="B774" i="5"/>
  <c r="N773" i="5"/>
  <c r="H773" i="5"/>
  <c r="G773" i="5"/>
  <c r="F773" i="5"/>
  <c r="E773" i="5"/>
  <c r="D773" i="5" a="1"/>
  <c r="D773" i="5" s="1"/>
  <c r="B773" i="5"/>
  <c r="N772" i="5"/>
  <c r="H772" i="5"/>
  <c r="G772" i="5"/>
  <c r="F772" i="5"/>
  <c r="E772" i="5"/>
  <c r="D772" i="5" a="1"/>
  <c r="D772" i="5" s="1"/>
  <c r="B772" i="5"/>
  <c r="N771" i="5"/>
  <c r="H771" i="5"/>
  <c r="G771" i="5"/>
  <c r="F771" i="5"/>
  <c r="E771" i="5"/>
  <c r="D771" i="5" a="1"/>
  <c r="D771" i="5" s="1"/>
  <c r="B771" i="5"/>
  <c r="N770" i="5"/>
  <c r="H770" i="5"/>
  <c r="G770" i="5"/>
  <c r="F770" i="5"/>
  <c r="E770" i="5"/>
  <c r="D770" i="5" a="1"/>
  <c r="D770" i="5" s="1"/>
  <c r="B770" i="5"/>
  <c r="N769" i="5"/>
  <c r="H769" i="5"/>
  <c r="G769" i="5"/>
  <c r="F769" i="5"/>
  <c r="E769" i="5"/>
  <c r="D769" i="5" a="1"/>
  <c r="D769" i="5" s="1"/>
  <c r="B769" i="5"/>
  <c r="N768" i="5"/>
  <c r="H768" i="5"/>
  <c r="G768" i="5"/>
  <c r="F768" i="5"/>
  <c r="E768" i="5"/>
  <c r="D768" i="5" a="1"/>
  <c r="D768" i="5" s="1"/>
  <c r="B768" i="5"/>
  <c r="N767" i="5"/>
  <c r="H767" i="5"/>
  <c r="G767" i="5"/>
  <c r="F767" i="5"/>
  <c r="E767" i="5"/>
  <c r="D767" i="5" a="1"/>
  <c r="D767" i="5" s="1"/>
  <c r="B767" i="5"/>
  <c r="N766" i="5"/>
  <c r="H766" i="5"/>
  <c r="G766" i="5"/>
  <c r="F766" i="5"/>
  <c r="E766" i="5"/>
  <c r="D766" i="5" a="1"/>
  <c r="D766" i="5" s="1"/>
  <c r="B766" i="5"/>
  <c r="N765" i="5"/>
  <c r="H765" i="5"/>
  <c r="G765" i="5"/>
  <c r="F765" i="5"/>
  <c r="E765" i="5"/>
  <c r="D765" i="5" a="1"/>
  <c r="D765" i="5" s="1"/>
  <c r="B765" i="5"/>
  <c r="N764" i="5"/>
  <c r="H764" i="5"/>
  <c r="G764" i="5"/>
  <c r="F764" i="5"/>
  <c r="E764" i="5"/>
  <c r="D764" i="5" a="1"/>
  <c r="D764" i="5" s="1"/>
  <c r="B764" i="5"/>
  <c r="N763" i="5"/>
  <c r="H763" i="5"/>
  <c r="G763" i="5"/>
  <c r="F763" i="5"/>
  <c r="E763" i="5"/>
  <c r="D763" i="5" a="1"/>
  <c r="D763" i="5" s="1"/>
  <c r="B763" i="5"/>
  <c r="N762" i="5"/>
  <c r="H762" i="5"/>
  <c r="G762" i="5"/>
  <c r="F762" i="5"/>
  <c r="E762" i="5"/>
  <c r="D762" i="5" a="1"/>
  <c r="D762" i="5" s="1"/>
  <c r="B762" i="5"/>
  <c r="N761" i="5"/>
  <c r="H761" i="5"/>
  <c r="G761" i="5"/>
  <c r="F761" i="5"/>
  <c r="E761" i="5"/>
  <c r="D761" i="5" a="1"/>
  <c r="D761" i="5" s="1"/>
  <c r="B761" i="5"/>
  <c r="N760" i="5"/>
  <c r="H760" i="5"/>
  <c r="G760" i="5"/>
  <c r="F760" i="5"/>
  <c r="E760" i="5"/>
  <c r="D760" i="5" a="1"/>
  <c r="D760" i="5" s="1"/>
  <c r="B760" i="5"/>
  <c r="N759" i="5"/>
  <c r="H759" i="5"/>
  <c r="G759" i="5"/>
  <c r="F759" i="5"/>
  <c r="E759" i="5"/>
  <c r="D759" i="5" a="1"/>
  <c r="D759" i="5" s="1"/>
  <c r="B759" i="5"/>
  <c r="N758" i="5"/>
  <c r="H758" i="5"/>
  <c r="G758" i="5"/>
  <c r="F758" i="5"/>
  <c r="E758" i="5"/>
  <c r="D758" i="5" a="1"/>
  <c r="D758" i="5" s="1"/>
  <c r="B758" i="5"/>
  <c r="N757" i="5"/>
  <c r="H757" i="5"/>
  <c r="G757" i="5"/>
  <c r="F757" i="5"/>
  <c r="E757" i="5"/>
  <c r="D757" i="5" a="1"/>
  <c r="D757" i="5" s="1"/>
  <c r="B757" i="5"/>
  <c r="N756" i="5"/>
  <c r="H756" i="5"/>
  <c r="G756" i="5"/>
  <c r="F756" i="5"/>
  <c r="E756" i="5"/>
  <c r="D756" i="5" a="1"/>
  <c r="D756" i="5" s="1"/>
  <c r="B756" i="5"/>
  <c r="N755" i="5"/>
  <c r="H755" i="5"/>
  <c r="G755" i="5"/>
  <c r="F755" i="5"/>
  <c r="E755" i="5"/>
  <c r="D755" i="5" a="1"/>
  <c r="D755" i="5" s="1"/>
  <c r="B755" i="5"/>
  <c r="N754" i="5"/>
  <c r="H754" i="5"/>
  <c r="G754" i="5"/>
  <c r="F754" i="5"/>
  <c r="E754" i="5"/>
  <c r="D754" i="5" a="1"/>
  <c r="D754" i="5" s="1"/>
  <c r="B754" i="5"/>
  <c r="N753" i="5"/>
  <c r="H753" i="5"/>
  <c r="G753" i="5"/>
  <c r="F753" i="5"/>
  <c r="E753" i="5"/>
  <c r="D753" i="5" a="1"/>
  <c r="D753" i="5" s="1"/>
  <c r="B753" i="5"/>
  <c r="N752" i="5"/>
  <c r="H752" i="5"/>
  <c r="G752" i="5"/>
  <c r="F752" i="5"/>
  <c r="E752" i="5"/>
  <c r="D752" i="5" a="1"/>
  <c r="D752" i="5" s="1"/>
  <c r="B752" i="5"/>
  <c r="N751" i="5"/>
  <c r="H751" i="5"/>
  <c r="G751" i="5"/>
  <c r="F751" i="5"/>
  <c r="E751" i="5"/>
  <c r="D751" i="5" a="1"/>
  <c r="D751" i="5" s="1"/>
  <c r="B751" i="5"/>
  <c r="N750" i="5"/>
  <c r="H750" i="5"/>
  <c r="G750" i="5"/>
  <c r="F750" i="5"/>
  <c r="E750" i="5"/>
  <c r="D750" i="5" a="1"/>
  <c r="D750" i="5" s="1"/>
  <c r="B750" i="5"/>
  <c r="N749" i="5"/>
  <c r="H749" i="5"/>
  <c r="G749" i="5"/>
  <c r="F749" i="5"/>
  <c r="E749" i="5"/>
  <c r="D749" i="5" a="1"/>
  <c r="D749" i="5" s="1"/>
  <c r="B749" i="5"/>
  <c r="N748" i="5"/>
  <c r="H748" i="5"/>
  <c r="G748" i="5"/>
  <c r="F748" i="5"/>
  <c r="E748" i="5"/>
  <c r="D748" i="5" a="1"/>
  <c r="D748" i="5" s="1"/>
  <c r="B748" i="5"/>
  <c r="N747" i="5"/>
  <c r="H747" i="5"/>
  <c r="G747" i="5"/>
  <c r="F747" i="5"/>
  <c r="E747" i="5"/>
  <c r="D747" i="5" a="1"/>
  <c r="D747" i="5" s="1"/>
  <c r="B747" i="5"/>
  <c r="N746" i="5"/>
  <c r="H746" i="5"/>
  <c r="G746" i="5"/>
  <c r="F746" i="5"/>
  <c r="E746" i="5"/>
  <c r="D746" i="5" a="1"/>
  <c r="D746" i="5" s="1"/>
  <c r="B746" i="5"/>
  <c r="N745" i="5"/>
  <c r="H745" i="5"/>
  <c r="G745" i="5"/>
  <c r="F745" i="5"/>
  <c r="E745" i="5"/>
  <c r="D745" i="5" a="1"/>
  <c r="D745" i="5" s="1"/>
  <c r="B745" i="5"/>
  <c r="N744" i="5"/>
  <c r="H744" i="5"/>
  <c r="G744" i="5"/>
  <c r="F744" i="5"/>
  <c r="E744" i="5"/>
  <c r="D744" i="5" a="1"/>
  <c r="D744" i="5" s="1"/>
  <c r="B744" i="5"/>
  <c r="N743" i="5"/>
  <c r="H743" i="5"/>
  <c r="G743" i="5"/>
  <c r="F743" i="5"/>
  <c r="E743" i="5"/>
  <c r="D743" i="5" a="1"/>
  <c r="D743" i="5" s="1"/>
  <c r="B743" i="5"/>
  <c r="N742" i="5"/>
  <c r="H742" i="5"/>
  <c r="G742" i="5"/>
  <c r="F742" i="5"/>
  <c r="E742" i="5"/>
  <c r="D742" i="5" a="1"/>
  <c r="D742" i="5" s="1"/>
  <c r="B742" i="5"/>
  <c r="N741" i="5"/>
  <c r="H741" i="5"/>
  <c r="G741" i="5"/>
  <c r="F741" i="5"/>
  <c r="E741" i="5"/>
  <c r="D741" i="5" a="1"/>
  <c r="D741" i="5" s="1"/>
  <c r="B741" i="5"/>
  <c r="N740" i="5"/>
  <c r="H740" i="5"/>
  <c r="G740" i="5"/>
  <c r="F740" i="5"/>
  <c r="E740" i="5"/>
  <c r="D740" i="5" a="1"/>
  <c r="D740" i="5" s="1"/>
  <c r="B740" i="5"/>
  <c r="N739" i="5"/>
  <c r="H739" i="5"/>
  <c r="G739" i="5"/>
  <c r="F739" i="5"/>
  <c r="E739" i="5"/>
  <c r="D739" i="5" a="1"/>
  <c r="D739" i="5" s="1"/>
  <c r="B739" i="5"/>
  <c r="N738" i="5"/>
  <c r="H738" i="5"/>
  <c r="G738" i="5"/>
  <c r="F738" i="5"/>
  <c r="E738" i="5"/>
  <c r="D738" i="5" a="1"/>
  <c r="D738" i="5" s="1"/>
  <c r="B738" i="5"/>
  <c r="N737" i="5"/>
  <c r="H737" i="5"/>
  <c r="G737" i="5"/>
  <c r="F737" i="5"/>
  <c r="E737" i="5"/>
  <c r="D737" i="5" a="1"/>
  <c r="D737" i="5" s="1"/>
  <c r="B737" i="5"/>
  <c r="N736" i="5"/>
  <c r="H736" i="5"/>
  <c r="G736" i="5"/>
  <c r="F736" i="5"/>
  <c r="E736" i="5"/>
  <c r="D736" i="5" a="1"/>
  <c r="D736" i="5" s="1"/>
  <c r="B736" i="5"/>
  <c r="N735" i="5"/>
  <c r="H735" i="5"/>
  <c r="G735" i="5"/>
  <c r="F735" i="5"/>
  <c r="E735" i="5"/>
  <c r="D735" i="5" a="1"/>
  <c r="D735" i="5" s="1"/>
  <c r="B735" i="5"/>
  <c r="N734" i="5"/>
  <c r="H734" i="5"/>
  <c r="G734" i="5"/>
  <c r="F734" i="5"/>
  <c r="E734" i="5"/>
  <c r="D734" i="5" a="1"/>
  <c r="D734" i="5" s="1"/>
  <c r="B734" i="5"/>
  <c r="N733" i="5"/>
  <c r="H733" i="5"/>
  <c r="G733" i="5"/>
  <c r="F733" i="5"/>
  <c r="E733" i="5"/>
  <c r="D733" i="5" a="1"/>
  <c r="D733" i="5" s="1"/>
  <c r="B733" i="5"/>
  <c r="N732" i="5"/>
  <c r="H732" i="5"/>
  <c r="G732" i="5"/>
  <c r="F732" i="5"/>
  <c r="E732" i="5"/>
  <c r="D732" i="5" a="1"/>
  <c r="D732" i="5" s="1"/>
  <c r="B732" i="5"/>
  <c r="N731" i="5"/>
  <c r="H731" i="5"/>
  <c r="G731" i="5"/>
  <c r="F731" i="5"/>
  <c r="E731" i="5"/>
  <c r="D731" i="5" a="1"/>
  <c r="D731" i="5" s="1"/>
  <c r="B731" i="5"/>
  <c r="N730" i="5"/>
  <c r="H730" i="5"/>
  <c r="G730" i="5"/>
  <c r="F730" i="5"/>
  <c r="E730" i="5"/>
  <c r="D730" i="5" a="1"/>
  <c r="D730" i="5" s="1"/>
  <c r="B730" i="5"/>
  <c r="N729" i="5"/>
  <c r="H729" i="5"/>
  <c r="G729" i="5"/>
  <c r="F729" i="5"/>
  <c r="E729" i="5"/>
  <c r="D729" i="5" a="1"/>
  <c r="D729" i="5" s="1"/>
  <c r="B729" i="5"/>
  <c r="N728" i="5"/>
  <c r="H728" i="5"/>
  <c r="G728" i="5"/>
  <c r="F728" i="5"/>
  <c r="E728" i="5"/>
  <c r="D728" i="5" a="1"/>
  <c r="D728" i="5" s="1"/>
  <c r="B728" i="5"/>
  <c r="N727" i="5"/>
  <c r="H727" i="5"/>
  <c r="G727" i="5"/>
  <c r="F727" i="5"/>
  <c r="E727" i="5"/>
  <c r="D727" i="5" a="1"/>
  <c r="D727" i="5" s="1"/>
  <c r="B727" i="5"/>
  <c r="N726" i="5"/>
  <c r="H726" i="5"/>
  <c r="G726" i="5"/>
  <c r="F726" i="5"/>
  <c r="E726" i="5"/>
  <c r="D726" i="5" a="1"/>
  <c r="D726" i="5" s="1"/>
  <c r="B726" i="5"/>
  <c r="N725" i="5"/>
  <c r="H725" i="5"/>
  <c r="G725" i="5"/>
  <c r="F725" i="5"/>
  <c r="E725" i="5"/>
  <c r="D725" i="5" a="1"/>
  <c r="D725" i="5" s="1"/>
  <c r="B725" i="5"/>
  <c r="N724" i="5"/>
  <c r="H724" i="5"/>
  <c r="G724" i="5"/>
  <c r="F724" i="5"/>
  <c r="E724" i="5"/>
  <c r="D724" i="5" a="1"/>
  <c r="D724" i="5" s="1"/>
  <c r="B724" i="5"/>
  <c r="N723" i="5"/>
  <c r="H723" i="5"/>
  <c r="G723" i="5"/>
  <c r="F723" i="5"/>
  <c r="E723" i="5"/>
  <c r="D723" i="5" a="1"/>
  <c r="D723" i="5" s="1"/>
  <c r="B723" i="5"/>
  <c r="N722" i="5"/>
  <c r="H722" i="5"/>
  <c r="G722" i="5"/>
  <c r="F722" i="5"/>
  <c r="E722" i="5"/>
  <c r="D722" i="5" a="1"/>
  <c r="D722" i="5" s="1"/>
  <c r="B722" i="5"/>
  <c r="N721" i="5"/>
  <c r="H721" i="5"/>
  <c r="G721" i="5"/>
  <c r="F721" i="5"/>
  <c r="E721" i="5"/>
  <c r="D721" i="5" a="1"/>
  <c r="D721" i="5" s="1"/>
  <c r="B721" i="5"/>
  <c r="N720" i="5"/>
  <c r="H720" i="5"/>
  <c r="G720" i="5"/>
  <c r="F720" i="5"/>
  <c r="E720" i="5"/>
  <c r="D720" i="5" a="1"/>
  <c r="D720" i="5" s="1"/>
  <c r="B720" i="5"/>
  <c r="N719" i="5"/>
  <c r="H719" i="5"/>
  <c r="G719" i="5"/>
  <c r="F719" i="5"/>
  <c r="E719" i="5"/>
  <c r="D719" i="5" a="1"/>
  <c r="D719" i="5" s="1"/>
  <c r="B719" i="5"/>
  <c r="N718" i="5"/>
  <c r="H718" i="5"/>
  <c r="G718" i="5"/>
  <c r="F718" i="5"/>
  <c r="E718" i="5"/>
  <c r="D718" i="5" a="1"/>
  <c r="D718" i="5" s="1"/>
  <c r="B718" i="5"/>
  <c r="N717" i="5"/>
  <c r="H717" i="5"/>
  <c r="G717" i="5"/>
  <c r="F717" i="5"/>
  <c r="E717" i="5"/>
  <c r="D717" i="5" a="1"/>
  <c r="D717" i="5" s="1"/>
  <c r="B717" i="5"/>
  <c r="N716" i="5"/>
  <c r="H716" i="5"/>
  <c r="G716" i="5"/>
  <c r="F716" i="5"/>
  <c r="E716" i="5"/>
  <c r="D716" i="5" a="1"/>
  <c r="D716" i="5" s="1"/>
  <c r="B716" i="5"/>
  <c r="N715" i="5"/>
  <c r="H715" i="5"/>
  <c r="G715" i="5"/>
  <c r="F715" i="5"/>
  <c r="E715" i="5"/>
  <c r="D715" i="5" a="1"/>
  <c r="D715" i="5" s="1"/>
  <c r="B715" i="5"/>
  <c r="N714" i="5"/>
  <c r="H714" i="5"/>
  <c r="G714" i="5"/>
  <c r="F714" i="5"/>
  <c r="E714" i="5"/>
  <c r="D714" i="5" a="1"/>
  <c r="D714" i="5" s="1"/>
  <c r="B714" i="5"/>
  <c r="N713" i="5"/>
  <c r="H713" i="5"/>
  <c r="G713" i="5"/>
  <c r="F713" i="5"/>
  <c r="E713" i="5"/>
  <c r="D713" i="5" a="1"/>
  <c r="D713" i="5" s="1"/>
  <c r="B713" i="5"/>
  <c r="N712" i="5"/>
  <c r="H712" i="5"/>
  <c r="G712" i="5"/>
  <c r="F712" i="5"/>
  <c r="E712" i="5"/>
  <c r="D712" i="5" a="1"/>
  <c r="D712" i="5" s="1"/>
  <c r="B712" i="5"/>
  <c r="N711" i="5"/>
  <c r="H711" i="5"/>
  <c r="G711" i="5"/>
  <c r="F711" i="5"/>
  <c r="E711" i="5"/>
  <c r="D711" i="5" a="1"/>
  <c r="D711" i="5" s="1"/>
  <c r="B711" i="5"/>
  <c r="N710" i="5"/>
  <c r="H710" i="5"/>
  <c r="G710" i="5"/>
  <c r="F710" i="5"/>
  <c r="E710" i="5"/>
  <c r="D710" i="5" a="1"/>
  <c r="D710" i="5" s="1"/>
  <c r="B710" i="5"/>
  <c r="N709" i="5"/>
  <c r="H709" i="5"/>
  <c r="G709" i="5"/>
  <c r="F709" i="5"/>
  <c r="E709" i="5"/>
  <c r="D709" i="5" a="1"/>
  <c r="D709" i="5" s="1"/>
  <c r="B709" i="5"/>
  <c r="N708" i="5"/>
  <c r="H708" i="5"/>
  <c r="G708" i="5"/>
  <c r="F708" i="5"/>
  <c r="E708" i="5"/>
  <c r="D708" i="5" a="1"/>
  <c r="D708" i="5" s="1"/>
  <c r="B708" i="5"/>
  <c r="N707" i="5"/>
  <c r="H707" i="5"/>
  <c r="G707" i="5"/>
  <c r="F707" i="5"/>
  <c r="E707" i="5"/>
  <c r="D707" i="5" a="1"/>
  <c r="D707" i="5" s="1"/>
  <c r="B707" i="5"/>
  <c r="N706" i="5"/>
  <c r="H706" i="5"/>
  <c r="G706" i="5"/>
  <c r="F706" i="5"/>
  <c r="E706" i="5"/>
  <c r="D706" i="5" a="1"/>
  <c r="D706" i="5" s="1"/>
  <c r="B706" i="5"/>
  <c r="N705" i="5"/>
  <c r="H705" i="5"/>
  <c r="G705" i="5"/>
  <c r="F705" i="5"/>
  <c r="E705" i="5"/>
  <c r="D705" i="5" a="1"/>
  <c r="D705" i="5" s="1"/>
  <c r="B705" i="5"/>
  <c r="N704" i="5"/>
  <c r="H704" i="5"/>
  <c r="G704" i="5"/>
  <c r="F704" i="5"/>
  <c r="E704" i="5"/>
  <c r="D704" i="5" a="1"/>
  <c r="D704" i="5" s="1"/>
  <c r="B704" i="5"/>
  <c r="N703" i="5"/>
  <c r="H703" i="5"/>
  <c r="G703" i="5"/>
  <c r="F703" i="5"/>
  <c r="E703" i="5"/>
  <c r="D703" i="5" a="1"/>
  <c r="D703" i="5" s="1"/>
  <c r="B703" i="5"/>
  <c r="N702" i="5"/>
  <c r="H702" i="5"/>
  <c r="G702" i="5"/>
  <c r="F702" i="5"/>
  <c r="E702" i="5"/>
  <c r="D702" i="5" a="1"/>
  <c r="D702" i="5" s="1"/>
  <c r="B702" i="5"/>
  <c r="N701" i="5"/>
  <c r="H701" i="5"/>
  <c r="G701" i="5"/>
  <c r="F701" i="5"/>
  <c r="E701" i="5"/>
  <c r="D701" i="5" a="1"/>
  <c r="D701" i="5" s="1"/>
  <c r="B701" i="5"/>
  <c r="N700" i="5"/>
  <c r="H700" i="5"/>
  <c r="G700" i="5"/>
  <c r="F700" i="5"/>
  <c r="E700" i="5"/>
  <c r="D700" i="5" a="1"/>
  <c r="D700" i="5" s="1"/>
  <c r="B700" i="5"/>
  <c r="N699" i="5"/>
  <c r="H699" i="5"/>
  <c r="G699" i="5"/>
  <c r="F699" i="5"/>
  <c r="E699" i="5"/>
  <c r="D699" i="5" a="1"/>
  <c r="D699" i="5" s="1"/>
  <c r="B699" i="5"/>
  <c r="N698" i="5"/>
  <c r="H698" i="5"/>
  <c r="G698" i="5"/>
  <c r="F698" i="5"/>
  <c r="E698" i="5"/>
  <c r="D698" i="5" a="1"/>
  <c r="D698" i="5" s="1"/>
  <c r="B698" i="5"/>
  <c r="N697" i="5"/>
  <c r="H697" i="5"/>
  <c r="G697" i="5"/>
  <c r="F697" i="5"/>
  <c r="E697" i="5"/>
  <c r="D697" i="5" a="1"/>
  <c r="D697" i="5" s="1"/>
  <c r="B697" i="5"/>
  <c r="N696" i="5"/>
  <c r="H696" i="5"/>
  <c r="G696" i="5"/>
  <c r="F696" i="5"/>
  <c r="E696" i="5"/>
  <c r="D696" i="5" a="1"/>
  <c r="D696" i="5" s="1"/>
  <c r="B696" i="5"/>
  <c r="N695" i="5"/>
  <c r="H695" i="5"/>
  <c r="G695" i="5"/>
  <c r="F695" i="5"/>
  <c r="E695" i="5"/>
  <c r="D695" i="5" a="1"/>
  <c r="D695" i="5" s="1"/>
  <c r="B695" i="5"/>
  <c r="N694" i="5"/>
  <c r="H694" i="5"/>
  <c r="G694" i="5"/>
  <c r="F694" i="5"/>
  <c r="E694" i="5"/>
  <c r="D694" i="5" a="1"/>
  <c r="D694" i="5" s="1"/>
  <c r="B694" i="5"/>
  <c r="N693" i="5"/>
  <c r="H693" i="5"/>
  <c r="G693" i="5"/>
  <c r="F693" i="5"/>
  <c r="E693" i="5"/>
  <c r="D693" i="5" a="1"/>
  <c r="D693" i="5" s="1"/>
  <c r="B693" i="5"/>
  <c r="N692" i="5"/>
  <c r="H692" i="5"/>
  <c r="G692" i="5"/>
  <c r="F692" i="5"/>
  <c r="E692" i="5"/>
  <c r="D692" i="5" a="1"/>
  <c r="D692" i="5" s="1"/>
  <c r="B692" i="5"/>
  <c r="N691" i="5"/>
  <c r="H691" i="5"/>
  <c r="G691" i="5"/>
  <c r="F691" i="5"/>
  <c r="E691" i="5"/>
  <c r="D691" i="5" a="1"/>
  <c r="D691" i="5" s="1"/>
  <c r="B691" i="5"/>
  <c r="N690" i="5"/>
  <c r="H690" i="5"/>
  <c r="G690" i="5"/>
  <c r="F690" i="5"/>
  <c r="E690" i="5"/>
  <c r="D690" i="5" a="1"/>
  <c r="D690" i="5" s="1"/>
  <c r="B690" i="5"/>
  <c r="N689" i="5"/>
  <c r="H689" i="5"/>
  <c r="G689" i="5"/>
  <c r="F689" i="5"/>
  <c r="E689" i="5"/>
  <c r="D689" i="5" a="1"/>
  <c r="D689" i="5" s="1"/>
  <c r="B689" i="5"/>
  <c r="N688" i="5"/>
  <c r="H688" i="5"/>
  <c r="G688" i="5"/>
  <c r="F688" i="5"/>
  <c r="E688" i="5"/>
  <c r="D688" i="5" a="1"/>
  <c r="D688" i="5" s="1"/>
  <c r="B688" i="5"/>
  <c r="N687" i="5"/>
  <c r="H687" i="5"/>
  <c r="G687" i="5"/>
  <c r="F687" i="5"/>
  <c r="E687" i="5"/>
  <c r="D687" i="5" a="1"/>
  <c r="D687" i="5" s="1"/>
  <c r="B687" i="5"/>
  <c r="N686" i="5"/>
  <c r="H686" i="5"/>
  <c r="G686" i="5"/>
  <c r="F686" i="5"/>
  <c r="E686" i="5"/>
  <c r="D686" i="5" a="1"/>
  <c r="D686" i="5" s="1"/>
  <c r="B686" i="5"/>
  <c r="N685" i="5"/>
  <c r="H685" i="5"/>
  <c r="G685" i="5"/>
  <c r="F685" i="5"/>
  <c r="E685" i="5"/>
  <c r="D685" i="5" a="1"/>
  <c r="D685" i="5" s="1"/>
  <c r="B685" i="5"/>
  <c r="N684" i="5"/>
  <c r="H684" i="5"/>
  <c r="G684" i="5"/>
  <c r="F684" i="5"/>
  <c r="E684" i="5"/>
  <c r="D684" i="5" a="1"/>
  <c r="D684" i="5" s="1"/>
  <c r="B684" i="5"/>
  <c r="N683" i="5"/>
  <c r="H683" i="5"/>
  <c r="G683" i="5"/>
  <c r="F683" i="5"/>
  <c r="E683" i="5"/>
  <c r="D683" i="5" a="1"/>
  <c r="D683" i="5" s="1"/>
  <c r="B683" i="5"/>
  <c r="N682" i="5"/>
  <c r="H682" i="5"/>
  <c r="G682" i="5"/>
  <c r="F682" i="5"/>
  <c r="E682" i="5"/>
  <c r="D682" i="5" a="1"/>
  <c r="D682" i="5" s="1"/>
  <c r="B682" i="5"/>
  <c r="N681" i="5"/>
  <c r="H681" i="5"/>
  <c r="G681" i="5"/>
  <c r="F681" i="5"/>
  <c r="E681" i="5"/>
  <c r="D681" i="5" a="1"/>
  <c r="D681" i="5" s="1"/>
  <c r="B681" i="5"/>
  <c r="N680" i="5"/>
  <c r="H680" i="5"/>
  <c r="G680" i="5"/>
  <c r="F680" i="5"/>
  <c r="E680" i="5"/>
  <c r="D680" i="5" a="1"/>
  <c r="D680" i="5" s="1"/>
  <c r="B680" i="5"/>
  <c r="N679" i="5"/>
  <c r="H679" i="5"/>
  <c r="G679" i="5"/>
  <c r="F679" i="5"/>
  <c r="E679" i="5"/>
  <c r="D679" i="5" a="1"/>
  <c r="D679" i="5" s="1"/>
  <c r="B679" i="5"/>
  <c r="N678" i="5"/>
  <c r="H678" i="5"/>
  <c r="G678" i="5"/>
  <c r="F678" i="5"/>
  <c r="E678" i="5"/>
  <c r="D678" i="5" a="1"/>
  <c r="D678" i="5" s="1"/>
  <c r="B678" i="5"/>
  <c r="N677" i="5"/>
  <c r="H677" i="5"/>
  <c r="G677" i="5"/>
  <c r="F677" i="5"/>
  <c r="E677" i="5"/>
  <c r="D677" i="5" a="1"/>
  <c r="D677" i="5" s="1"/>
  <c r="B677" i="5"/>
  <c r="N676" i="5"/>
  <c r="H676" i="5"/>
  <c r="G676" i="5"/>
  <c r="F676" i="5"/>
  <c r="E676" i="5"/>
  <c r="D676" i="5" a="1"/>
  <c r="D676" i="5" s="1"/>
  <c r="B676" i="5"/>
  <c r="N675" i="5"/>
  <c r="H675" i="5"/>
  <c r="G675" i="5"/>
  <c r="F675" i="5"/>
  <c r="E675" i="5"/>
  <c r="D675" i="5" a="1"/>
  <c r="D675" i="5" s="1"/>
  <c r="B675" i="5"/>
  <c r="N674" i="5"/>
  <c r="H674" i="5"/>
  <c r="G674" i="5"/>
  <c r="F674" i="5"/>
  <c r="E674" i="5"/>
  <c r="D674" i="5" a="1"/>
  <c r="D674" i="5" s="1"/>
  <c r="B674" i="5"/>
  <c r="N673" i="5"/>
  <c r="H673" i="5"/>
  <c r="G673" i="5"/>
  <c r="F673" i="5"/>
  <c r="E673" i="5"/>
  <c r="D673" i="5" a="1"/>
  <c r="D673" i="5" s="1"/>
  <c r="B673" i="5"/>
  <c r="N672" i="5"/>
  <c r="H672" i="5"/>
  <c r="G672" i="5"/>
  <c r="F672" i="5"/>
  <c r="E672" i="5"/>
  <c r="D672" i="5" a="1"/>
  <c r="D672" i="5" s="1"/>
  <c r="B672" i="5"/>
  <c r="N671" i="5"/>
  <c r="H671" i="5"/>
  <c r="G671" i="5"/>
  <c r="F671" i="5"/>
  <c r="E671" i="5"/>
  <c r="D671" i="5" a="1"/>
  <c r="D671" i="5" s="1"/>
  <c r="B671" i="5"/>
  <c r="N670" i="5"/>
  <c r="H670" i="5"/>
  <c r="G670" i="5"/>
  <c r="F670" i="5"/>
  <c r="E670" i="5"/>
  <c r="D670" i="5" a="1"/>
  <c r="D670" i="5" s="1"/>
  <c r="B670" i="5"/>
  <c r="N669" i="5"/>
  <c r="H669" i="5"/>
  <c r="G669" i="5"/>
  <c r="F669" i="5"/>
  <c r="E669" i="5"/>
  <c r="D669" i="5" a="1"/>
  <c r="D669" i="5" s="1"/>
  <c r="B669" i="5"/>
  <c r="N668" i="5"/>
  <c r="H668" i="5"/>
  <c r="G668" i="5"/>
  <c r="F668" i="5"/>
  <c r="E668" i="5"/>
  <c r="D668" i="5" a="1"/>
  <c r="D668" i="5" s="1"/>
  <c r="B668" i="5"/>
  <c r="N667" i="5"/>
  <c r="H667" i="5"/>
  <c r="G667" i="5"/>
  <c r="F667" i="5"/>
  <c r="E667" i="5"/>
  <c r="D667" i="5" a="1"/>
  <c r="D667" i="5" s="1"/>
  <c r="B667" i="5"/>
  <c r="N666" i="5"/>
  <c r="H666" i="5"/>
  <c r="G666" i="5"/>
  <c r="F666" i="5"/>
  <c r="E666" i="5"/>
  <c r="D666" i="5" a="1"/>
  <c r="D666" i="5" s="1"/>
  <c r="B666" i="5"/>
  <c r="N665" i="5"/>
  <c r="H665" i="5"/>
  <c r="G665" i="5"/>
  <c r="F665" i="5"/>
  <c r="E665" i="5"/>
  <c r="D665" i="5" a="1"/>
  <c r="D665" i="5" s="1"/>
  <c r="B665" i="5"/>
  <c r="N664" i="5"/>
  <c r="H664" i="5"/>
  <c r="G664" i="5"/>
  <c r="F664" i="5"/>
  <c r="E664" i="5"/>
  <c r="D664" i="5" a="1"/>
  <c r="D664" i="5" s="1"/>
  <c r="B664" i="5"/>
  <c r="N663" i="5"/>
  <c r="H663" i="5"/>
  <c r="G663" i="5"/>
  <c r="F663" i="5"/>
  <c r="E663" i="5"/>
  <c r="D663" i="5" a="1"/>
  <c r="D663" i="5" s="1"/>
  <c r="B663" i="5"/>
  <c r="N662" i="5"/>
  <c r="H662" i="5"/>
  <c r="G662" i="5"/>
  <c r="F662" i="5"/>
  <c r="E662" i="5"/>
  <c r="D662" i="5" a="1"/>
  <c r="D662" i="5" s="1"/>
  <c r="B662" i="5"/>
  <c r="N661" i="5"/>
  <c r="H661" i="5"/>
  <c r="G661" i="5"/>
  <c r="F661" i="5"/>
  <c r="E661" i="5"/>
  <c r="D661" i="5" a="1"/>
  <c r="D661" i="5" s="1"/>
  <c r="B661" i="5"/>
  <c r="N660" i="5"/>
  <c r="H660" i="5"/>
  <c r="G660" i="5"/>
  <c r="F660" i="5"/>
  <c r="E660" i="5"/>
  <c r="D660" i="5" a="1"/>
  <c r="D660" i="5" s="1"/>
  <c r="B660" i="5"/>
  <c r="N659" i="5"/>
  <c r="H659" i="5"/>
  <c r="G659" i="5"/>
  <c r="F659" i="5"/>
  <c r="E659" i="5"/>
  <c r="D659" i="5" a="1"/>
  <c r="D659" i="5" s="1"/>
  <c r="B659" i="5"/>
  <c r="N658" i="5"/>
  <c r="H658" i="5"/>
  <c r="G658" i="5"/>
  <c r="F658" i="5"/>
  <c r="E658" i="5"/>
  <c r="D658" i="5" a="1"/>
  <c r="D658" i="5" s="1"/>
  <c r="B658" i="5"/>
  <c r="N657" i="5"/>
  <c r="H657" i="5"/>
  <c r="G657" i="5"/>
  <c r="F657" i="5"/>
  <c r="E657" i="5"/>
  <c r="D657" i="5" a="1"/>
  <c r="D657" i="5" s="1"/>
  <c r="B657" i="5"/>
  <c r="N656" i="5"/>
  <c r="H656" i="5"/>
  <c r="G656" i="5"/>
  <c r="F656" i="5"/>
  <c r="E656" i="5"/>
  <c r="D656" i="5" a="1"/>
  <c r="D656" i="5" s="1"/>
  <c r="B656" i="5"/>
  <c r="N655" i="5"/>
  <c r="H655" i="5"/>
  <c r="G655" i="5"/>
  <c r="F655" i="5"/>
  <c r="E655" i="5"/>
  <c r="D655" i="5" a="1"/>
  <c r="D655" i="5" s="1"/>
  <c r="B655" i="5"/>
  <c r="N654" i="5"/>
  <c r="H654" i="5"/>
  <c r="G654" i="5"/>
  <c r="F654" i="5"/>
  <c r="E654" i="5"/>
  <c r="D654" i="5" a="1"/>
  <c r="D654" i="5" s="1"/>
  <c r="B654" i="5"/>
  <c r="N653" i="5"/>
  <c r="H653" i="5"/>
  <c r="G653" i="5"/>
  <c r="F653" i="5"/>
  <c r="E653" i="5"/>
  <c r="D653" i="5" a="1"/>
  <c r="D653" i="5" s="1"/>
  <c r="B653" i="5"/>
  <c r="N652" i="5"/>
  <c r="H652" i="5"/>
  <c r="G652" i="5"/>
  <c r="F652" i="5"/>
  <c r="E652" i="5"/>
  <c r="D652" i="5" a="1"/>
  <c r="D652" i="5" s="1"/>
  <c r="B652" i="5"/>
  <c r="N651" i="5"/>
  <c r="H651" i="5"/>
  <c r="G651" i="5"/>
  <c r="F651" i="5"/>
  <c r="E651" i="5"/>
  <c r="D651" i="5" a="1"/>
  <c r="D651" i="5" s="1"/>
  <c r="B651" i="5"/>
  <c r="N650" i="5"/>
  <c r="H650" i="5"/>
  <c r="G650" i="5"/>
  <c r="F650" i="5"/>
  <c r="E650" i="5"/>
  <c r="D650" i="5" a="1"/>
  <c r="D650" i="5" s="1"/>
  <c r="B650" i="5"/>
  <c r="N649" i="5"/>
  <c r="H649" i="5"/>
  <c r="G649" i="5"/>
  <c r="F649" i="5"/>
  <c r="E649" i="5"/>
  <c r="D649" i="5" a="1"/>
  <c r="D649" i="5" s="1"/>
  <c r="B649" i="5"/>
  <c r="N648" i="5"/>
  <c r="H648" i="5"/>
  <c r="G648" i="5"/>
  <c r="F648" i="5"/>
  <c r="E648" i="5"/>
  <c r="D648" i="5" a="1"/>
  <c r="D648" i="5" s="1"/>
  <c r="B648" i="5"/>
  <c r="N647" i="5"/>
  <c r="H647" i="5"/>
  <c r="G647" i="5"/>
  <c r="F647" i="5"/>
  <c r="E647" i="5"/>
  <c r="D647" i="5" a="1"/>
  <c r="D647" i="5" s="1"/>
  <c r="B647" i="5"/>
  <c r="N646" i="5"/>
  <c r="H646" i="5"/>
  <c r="G646" i="5"/>
  <c r="F646" i="5"/>
  <c r="E646" i="5"/>
  <c r="D646" i="5" a="1"/>
  <c r="D646" i="5" s="1"/>
  <c r="B646" i="5"/>
  <c r="N645" i="5"/>
  <c r="H645" i="5"/>
  <c r="G645" i="5"/>
  <c r="F645" i="5"/>
  <c r="E645" i="5"/>
  <c r="D645" i="5" a="1"/>
  <c r="D645" i="5" s="1"/>
  <c r="B645" i="5"/>
  <c r="N644" i="5"/>
  <c r="H644" i="5"/>
  <c r="G644" i="5"/>
  <c r="F644" i="5"/>
  <c r="E644" i="5"/>
  <c r="D644" i="5" a="1"/>
  <c r="D644" i="5" s="1"/>
  <c r="B644" i="5"/>
  <c r="N643" i="5"/>
  <c r="H643" i="5"/>
  <c r="G643" i="5"/>
  <c r="F643" i="5"/>
  <c r="E643" i="5"/>
  <c r="D643" i="5" a="1"/>
  <c r="D643" i="5" s="1"/>
  <c r="B643" i="5"/>
  <c r="N642" i="5"/>
  <c r="H642" i="5"/>
  <c r="G642" i="5"/>
  <c r="F642" i="5"/>
  <c r="E642" i="5"/>
  <c r="D642" i="5" a="1"/>
  <c r="D642" i="5" s="1"/>
  <c r="B642" i="5"/>
  <c r="N641" i="5"/>
  <c r="H641" i="5"/>
  <c r="G641" i="5"/>
  <c r="F641" i="5"/>
  <c r="E641" i="5"/>
  <c r="D641" i="5" a="1"/>
  <c r="D641" i="5" s="1"/>
  <c r="B641" i="5"/>
  <c r="N640" i="5"/>
  <c r="H640" i="5"/>
  <c r="G640" i="5"/>
  <c r="F640" i="5"/>
  <c r="E640" i="5"/>
  <c r="D640" i="5" a="1"/>
  <c r="D640" i="5" s="1"/>
  <c r="B640" i="5"/>
  <c r="N639" i="5"/>
  <c r="H639" i="5"/>
  <c r="G639" i="5"/>
  <c r="F639" i="5"/>
  <c r="E639" i="5"/>
  <c r="D639" i="5" a="1"/>
  <c r="D639" i="5" s="1"/>
  <c r="B639" i="5"/>
  <c r="N638" i="5"/>
  <c r="H638" i="5"/>
  <c r="G638" i="5"/>
  <c r="F638" i="5"/>
  <c r="E638" i="5"/>
  <c r="D638" i="5" a="1"/>
  <c r="D638" i="5" s="1"/>
  <c r="B638" i="5"/>
  <c r="N637" i="5"/>
  <c r="H637" i="5"/>
  <c r="G637" i="5"/>
  <c r="F637" i="5"/>
  <c r="E637" i="5"/>
  <c r="D637" i="5" a="1"/>
  <c r="D637" i="5" s="1"/>
  <c r="B637" i="5"/>
  <c r="N636" i="5"/>
  <c r="H636" i="5"/>
  <c r="G636" i="5"/>
  <c r="F636" i="5"/>
  <c r="E636" i="5"/>
  <c r="D636" i="5" a="1"/>
  <c r="D636" i="5" s="1"/>
  <c r="B636" i="5"/>
  <c r="N635" i="5"/>
  <c r="H635" i="5"/>
  <c r="G635" i="5"/>
  <c r="F635" i="5"/>
  <c r="E635" i="5"/>
  <c r="D635" i="5" a="1"/>
  <c r="D635" i="5" s="1"/>
  <c r="B635" i="5"/>
  <c r="N634" i="5"/>
  <c r="H634" i="5"/>
  <c r="G634" i="5"/>
  <c r="F634" i="5"/>
  <c r="E634" i="5"/>
  <c r="D634" i="5" a="1"/>
  <c r="D634" i="5" s="1"/>
  <c r="B634" i="5"/>
  <c r="N633" i="5"/>
  <c r="H633" i="5"/>
  <c r="G633" i="5"/>
  <c r="F633" i="5"/>
  <c r="E633" i="5"/>
  <c r="D633" i="5" a="1"/>
  <c r="D633" i="5" s="1"/>
  <c r="B633" i="5"/>
  <c r="N632" i="5"/>
  <c r="H632" i="5"/>
  <c r="G632" i="5"/>
  <c r="F632" i="5"/>
  <c r="E632" i="5"/>
  <c r="D632" i="5" a="1"/>
  <c r="D632" i="5" s="1"/>
  <c r="B632" i="5"/>
  <c r="N631" i="5"/>
  <c r="H631" i="5"/>
  <c r="G631" i="5"/>
  <c r="F631" i="5"/>
  <c r="E631" i="5"/>
  <c r="D631" i="5" a="1"/>
  <c r="D631" i="5" s="1"/>
  <c r="B631" i="5"/>
  <c r="N630" i="5"/>
  <c r="H630" i="5"/>
  <c r="G630" i="5"/>
  <c r="F630" i="5"/>
  <c r="E630" i="5"/>
  <c r="D630" i="5" a="1"/>
  <c r="D630" i="5" s="1"/>
  <c r="B630" i="5"/>
  <c r="N629" i="5"/>
  <c r="H629" i="5"/>
  <c r="G629" i="5"/>
  <c r="F629" i="5"/>
  <c r="E629" i="5"/>
  <c r="D629" i="5" a="1"/>
  <c r="D629" i="5" s="1"/>
  <c r="B629" i="5"/>
  <c r="N628" i="5"/>
  <c r="H628" i="5"/>
  <c r="G628" i="5"/>
  <c r="F628" i="5"/>
  <c r="E628" i="5"/>
  <c r="D628" i="5" a="1"/>
  <c r="D628" i="5" s="1"/>
  <c r="B628" i="5"/>
  <c r="N627" i="5"/>
  <c r="H627" i="5"/>
  <c r="G627" i="5"/>
  <c r="F627" i="5"/>
  <c r="E627" i="5"/>
  <c r="D627" i="5" a="1"/>
  <c r="D627" i="5" s="1"/>
  <c r="B627" i="5"/>
  <c r="N626" i="5"/>
  <c r="H626" i="5"/>
  <c r="G626" i="5"/>
  <c r="F626" i="5"/>
  <c r="E626" i="5"/>
  <c r="D626" i="5" a="1"/>
  <c r="D626" i="5" s="1"/>
  <c r="B626" i="5"/>
  <c r="N625" i="5"/>
  <c r="H625" i="5"/>
  <c r="G625" i="5"/>
  <c r="F625" i="5"/>
  <c r="E625" i="5"/>
  <c r="D625" i="5" a="1"/>
  <c r="D625" i="5" s="1"/>
  <c r="B625" i="5"/>
  <c r="N624" i="5"/>
  <c r="H624" i="5"/>
  <c r="G624" i="5"/>
  <c r="F624" i="5"/>
  <c r="E624" i="5"/>
  <c r="D624" i="5" a="1"/>
  <c r="D624" i="5" s="1"/>
  <c r="B624" i="5"/>
  <c r="N623" i="5"/>
  <c r="H623" i="5"/>
  <c r="G623" i="5"/>
  <c r="F623" i="5"/>
  <c r="E623" i="5"/>
  <c r="D623" i="5" a="1"/>
  <c r="D623" i="5" s="1"/>
  <c r="B623" i="5"/>
  <c r="N622" i="5"/>
  <c r="H622" i="5"/>
  <c r="G622" i="5"/>
  <c r="F622" i="5"/>
  <c r="E622" i="5"/>
  <c r="D622" i="5" a="1"/>
  <c r="D622" i="5" s="1"/>
  <c r="B622" i="5"/>
  <c r="N621" i="5"/>
  <c r="H621" i="5"/>
  <c r="G621" i="5"/>
  <c r="F621" i="5"/>
  <c r="E621" i="5"/>
  <c r="D621" i="5" a="1"/>
  <c r="D621" i="5" s="1"/>
  <c r="B621" i="5"/>
  <c r="N620" i="5"/>
  <c r="H620" i="5"/>
  <c r="G620" i="5"/>
  <c r="F620" i="5"/>
  <c r="E620" i="5"/>
  <c r="D620" i="5" a="1"/>
  <c r="D620" i="5" s="1"/>
  <c r="B620" i="5"/>
  <c r="N619" i="5"/>
  <c r="H619" i="5"/>
  <c r="G619" i="5"/>
  <c r="F619" i="5"/>
  <c r="E619" i="5"/>
  <c r="D619" i="5" a="1"/>
  <c r="D619" i="5" s="1"/>
  <c r="B619" i="5"/>
  <c r="N618" i="5"/>
  <c r="H618" i="5"/>
  <c r="G618" i="5"/>
  <c r="F618" i="5"/>
  <c r="E618" i="5"/>
  <c r="D618" i="5" a="1"/>
  <c r="D618" i="5" s="1"/>
  <c r="B618" i="5"/>
  <c r="N617" i="5"/>
  <c r="H617" i="5"/>
  <c r="G617" i="5"/>
  <c r="F617" i="5"/>
  <c r="E617" i="5"/>
  <c r="D617" i="5" a="1"/>
  <c r="D617" i="5" s="1"/>
  <c r="B617" i="5"/>
  <c r="N616" i="5"/>
  <c r="H616" i="5"/>
  <c r="G616" i="5"/>
  <c r="F616" i="5"/>
  <c r="E616" i="5"/>
  <c r="D616" i="5" a="1"/>
  <c r="D616" i="5" s="1"/>
  <c r="B616" i="5"/>
  <c r="N615" i="5"/>
  <c r="H615" i="5"/>
  <c r="G615" i="5"/>
  <c r="F615" i="5"/>
  <c r="E615" i="5"/>
  <c r="D615" i="5" a="1"/>
  <c r="D615" i="5" s="1"/>
  <c r="B615" i="5"/>
  <c r="N614" i="5"/>
  <c r="H614" i="5"/>
  <c r="G614" i="5"/>
  <c r="F614" i="5"/>
  <c r="E614" i="5"/>
  <c r="D614" i="5" a="1"/>
  <c r="D614" i="5" s="1"/>
  <c r="B614" i="5"/>
  <c r="N613" i="5"/>
  <c r="H613" i="5"/>
  <c r="G613" i="5"/>
  <c r="F613" i="5"/>
  <c r="E613" i="5"/>
  <c r="D613" i="5" a="1"/>
  <c r="D613" i="5" s="1"/>
  <c r="B613" i="5"/>
  <c r="N612" i="5"/>
  <c r="H612" i="5"/>
  <c r="G612" i="5"/>
  <c r="F612" i="5"/>
  <c r="E612" i="5"/>
  <c r="D612" i="5" a="1"/>
  <c r="D612" i="5" s="1"/>
  <c r="B612" i="5"/>
  <c r="N611" i="5"/>
  <c r="H611" i="5"/>
  <c r="G611" i="5"/>
  <c r="F611" i="5"/>
  <c r="E611" i="5"/>
  <c r="D611" i="5" a="1"/>
  <c r="D611" i="5" s="1"/>
  <c r="B611" i="5"/>
  <c r="N610" i="5"/>
  <c r="H610" i="5"/>
  <c r="G610" i="5"/>
  <c r="F610" i="5"/>
  <c r="E610" i="5"/>
  <c r="D610" i="5" a="1"/>
  <c r="D610" i="5" s="1"/>
  <c r="B610" i="5"/>
  <c r="N609" i="5"/>
  <c r="H609" i="5"/>
  <c r="G609" i="5"/>
  <c r="F609" i="5"/>
  <c r="E609" i="5"/>
  <c r="D609" i="5" a="1"/>
  <c r="D609" i="5" s="1"/>
  <c r="B609" i="5"/>
  <c r="N608" i="5"/>
  <c r="H608" i="5"/>
  <c r="G608" i="5"/>
  <c r="F608" i="5"/>
  <c r="E608" i="5"/>
  <c r="D608" i="5" a="1"/>
  <c r="D608" i="5" s="1"/>
  <c r="B608" i="5"/>
  <c r="N607" i="5"/>
  <c r="H607" i="5"/>
  <c r="G607" i="5"/>
  <c r="F607" i="5"/>
  <c r="E607" i="5"/>
  <c r="D607" i="5" a="1"/>
  <c r="D607" i="5" s="1"/>
  <c r="B607" i="5"/>
  <c r="N606" i="5"/>
  <c r="H606" i="5"/>
  <c r="G606" i="5"/>
  <c r="F606" i="5"/>
  <c r="E606" i="5"/>
  <c r="D606" i="5" a="1"/>
  <c r="D606" i="5" s="1"/>
  <c r="B606" i="5"/>
  <c r="N605" i="5"/>
  <c r="H605" i="5"/>
  <c r="G605" i="5"/>
  <c r="F605" i="5"/>
  <c r="E605" i="5"/>
  <c r="D605" i="5" a="1"/>
  <c r="D605" i="5" s="1"/>
  <c r="B605" i="5"/>
  <c r="N604" i="5"/>
  <c r="H604" i="5"/>
  <c r="G604" i="5"/>
  <c r="F604" i="5"/>
  <c r="E604" i="5"/>
  <c r="D604" i="5" a="1"/>
  <c r="D604" i="5" s="1"/>
  <c r="B604" i="5"/>
  <c r="N603" i="5"/>
  <c r="H603" i="5"/>
  <c r="G603" i="5"/>
  <c r="F603" i="5"/>
  <c r="E603" i="5"/>
  <c r="D603" i="5" a="1"/>
  <c r="D603" i="5" s="1"/>
  <c r="B603" i="5"/>
  <c r="N602" i="5"/>
  <c r="H602" i="5"/>
  <c r="G602" i="5"/>
  <c r="F602" i="5"/>
  <c r="E602" i="5"/>
  <c r="D602" i="5" a="1"/>
  <c r="D602" i="5" s="1"/>
  <c r="B602" i="5"/>
  <c r="N601" i="5"/>
  <c r="H601" i="5"/>
  <c r="G601" i="5"/>
  <c r="F601" i="5"/>
  <c r="E601" i="5"/>
  <c r="D601" i="5" a="1"/>
  <c r="D601" i="5" s="1"/>
  <c r="B601" i="5"/>
  <c r="N600" i="5"/>
  <c r="H600" i="5"/>
  <c r="G600" i="5"/>
  <c r="F600" i="5"/>
  <c r="E600" i="5"/>
  <c r="D600" i="5" a="1"/>
  <c r="D600" i="5" s="1"/>
  <c r="B600" i="5"/>
  <c r="N599" i="5"/>
  <c r="H599" i="5"/>
  <c r="G599" i="5"/>
  <c r="F599" i="5"/>
  <c r="E599" i="5"/>
  <c r="D599" i="5" a="1"/>
  <c r="D599" i="5" s="1"/>
  <c r="B599" i="5"/>
  <c r="N598" i="5"/>
  <c r="H598" i="5"/>
  <c r="G598" i="5"/>
  <c r="F598" i="5"/>
  <c r="E598" i="5"/>
  <c r="D598" i="5" a="1"/>
  <c r="D598" i="5" s="1"/>
  <c r="B598" i="5"/>
  <c r="N597" i="5"/>
  <c r="H597" i="5"/>
  <c r="G597" i="5"/>
  <c r="F597" i="5"/>
  <c r="E597" i="5"/>
  <c r="D597" i="5" a="1"/>
  <c r="D597" i="5" s="1"/>
  <c r="B597" i="5"/>
  <c r="N596" i="5"/>
  <c r="H596" i="5"/>
  <c r="G596" i="5"/>
  <c r="F596" i="5"/>
  <c r="E596" i="5"/>
  <c r="D596" i="5" a="1"/>
  <c r="D596" i="5" s="1"/>
  <c r="B596" i="5"/>
  <c r="N595" i="5"/>
  <c r="H595" i="5"/>
  <c r="G595" i="5"/>
  <c r="F595" i="5"/>
  <c r="E595" i="5"/>
  <c r="D595" i="5" a="1"/>
  <c r="D595" i="5" s="1"/>
  <c r="B595" i="5"/>
  <c r="N594" i="5"/>
  <c r="H594" i="5"/>
  <c r="G594" i="5"/>
  <c r="F594" i="5"/>
  <c r="E594" i="5"/>
  <c r="D594" i="5" a="1"/>
  <c r="D594" i="5" s="1"/>
  <c r="B594" i="5"/>
  <c r="N593" i="5"/>
  <c r="H593" i="5"/>
  <c r="G593" i="5"/>
  <c r="F593" i="5"/>
  <c r="E593" i="5"/>
  <c r="D593" i="5" a="1"/>
  <c r="D593" i="5" s="1"/>
  <c r="B593" i="5"/>
  <c r="N592" i="5"/>
  <c r="H592" i="5"/>
  <c r="G592" i="5"/>
  <c r="F592" i="5"/>
  <c r="E592" i="5"/>
  <c r="D592" i="5" a="1"/>
  <c r="D592" i="5" s="1"/>
  <c r="B592" i="5"/>
  <c r="N591" i="5"/>
  <c r="H591" i="5"/>
  <c r="G591" i="5"/>
  <c r="F591" i="5"/>
  <c r="E591" i="5"/>
  <c r="D591" i="5" a="1"/>
  <c r="D591" i="5" s="1"/>
  <c r="B591" i="5"/>
  <c r="N590" i="5"/>
  <c r="H590" i="5"/>
  <c r="G590" i="5"/>
  <c r="F590" i="5"/>
  <c r="E590" i="5"/>
  <c r="D590" i="5" a="1"/>
  <c r="D590" i="5" s="1"/>
  <c r="B590" i="5"/>
  <c r="N589" i="5"/>
  <c r="H589" i="5"/>
  <c r="G589" i="5"/>
  <c r="F589" i="5"/>
  <c r="E589" i="5"/>
  <c r="D589" i="5" a="1"/>
  <c r="D589" i="5" s="1"/>
  <c r="B589" i="5"/>
  <c r="N588" i="5"/>
  <c r="H588" i="5"/>
  <c r="G588" i="5"/>
  <c r="F588" i="5"/>
  <c r="E588" i="5"/>
  <c r="D588" i="5" a="1"/>
  <c r="D588" i="5" s="1"/>
  <c r="B588" i="5"/>
  <c r="N587" i="5"/>
  <c r="H587" i="5"/>
  <c r="G587" i="5"/>
  <c r="F587" i="5"/>
  <c r="E587" i="5"/>
  <c r="D587" i="5" a="1"/>
  <c r="D587" i="5" s="1"/>
  <c r="B587" i="5"/>
  <c r="N586" i="5"/>
  <c r="H586" i="5"/>
  <c r="G586" i="5"/>
  <c r="F586" i="5"/>
  <c r="E586" i="5"/>
  <c r="D586" i="5" a="1"/>
  <c r="D586" i="5" s="1"/>
  <c r="B586" i="5"/>
  <c r="N585" i="5"/>
  <c r="H585" i="5"/>
  <c r="G585" i="5"/>
  <c r="F585" i="5"/>
  <c r="E585" i="5"/>
  <c r="D585" i="5" a="1"/>
  <c r="D585" i="5" s="1"/>
  <c r="B585" i="5"/>
  <c r="N584" i="5"/>
  <c r="H584" i="5"/>
  <c r="G584" i="5"/>
  <c r="F584" i="5"/>
  <c r="E584" i="5"/>
  <c r="D584" i="5" a="1"/>
  <c r="D584" i="5" s="1"/>
  <c r="B584" i="5"/>
  <c r="N583" i="5"/>
  <c r="H583" i="5"/>
  <c r="G583" i="5"/>
  <c r="F583" i="5"/>
  <c r="E583" i="5"/>
  <c r="D583" i="5" a="1"/>
  <c r="D583" i="5" s="1"/>
  <c r="B583" i="5"/>
  <c r="N582" i="5"/>
  <c r="H582" i="5"/>
  <c r="G582" i="5"/>
  <c r="F582" i="5"/>
  <c r="E582" i="5"/>
  <c r="D582" i="5" a="1"/>
  <c r="D582" i="5" s="1"/>
  <c r="B582" i="5"/>
  <c r="N581" i="5"/>
  <c r="H581" i="5"/>
  <c r="G581" i="5"/>
  <c r="F581" i="5"/>
  <c r="E581" i="5"/>
  <c r="D581" i="5" a="1"/>
  <c r="D581" i="5" s="1"/>
  <c r="B581" i="5"/>
  <c r="N580" i="5"/>
  <c r="H580" i="5"/>
  <c r="G580" i="5"/>
  <c r="F580" i="5"/>
  <c r="E580" i="5"/>
  <c r="D580" i="5" a="1"/>
  <c r="D580" i="5" s="1"/>
  <c r="B580" i="5"/>
  <c r="N579" i="5"/>
  <c r="H579" i="5"/>
  <c r="G579" i="5"/>
  <c r="F579" i="5"/>
  <c r="E579" i="5"/>
  <c r="D579" i="5" a="1"/>
  <c r="D579" i="5" s="1"/>
  <c r="B579" i="5"/>
  <c r="N578" i="5"/>
  <c r="H578" i="5"/>
  <c r="G578" i="5"/>
  <c r="F578" i="5"/>
  <c r="E578" i="5"/>
  <c r="D578" i="5" a="1"/>
  <c r="D578" i="5" s="1"/>
  <c r="B578" i="5"/>
  <c r="N577" i="5"/>
  <c r="H577" i="5"/>
  <c r="G577" i="5"/>
  <c r="F577" i="5"/>
  <c r="E577" i="5"/>
  <c r="D577" i="5" a="1"/>
  <c r="D577" i="5" s="1"/>
  <c r="B577" i="5"/>
  <c r="N576" i="5"/>
  <c r="H576" i="5"/>
  <c r="G576" i="5"/>
  <c r="F576" i="5"/>
  <c r="E576" i="5"/>
  <c r="D576" i="5" a="1"/>
  <c r="D576" i="5" s="1"/>
  <c r="B576" i="5"/>
  <c r="N575" i="5"/>
  <c r="H575" i="5"/>
  <c r="G575" i="5"/>
  <c r="F575" i="5"/>
  <c r="E575" i="5"/>
  <c r="D575" i="5" a="1"/>
  <c r="D575" i="5" s="1"/>
  <c r="B575" i="5"/>
  <c r="N574" i="5"/>
  <c r="H574" i="5"/>
  <c r="G574" i="5"/>
  <c r="F574" i="5"/>
  <c r="E574" i="5"/>
  <c r="D574" i="5" a="1"/>
  <c r="D574" i="5" s="1"/>
  <c r="B574" i="5"/>
  <c r="N573" i="5"/>
  <c r="H573" i="5"/>
  <c r="G573" i="5"/>
  <c r="F573" i="5"/>
  <c r="E573" i="5"/>
  <c r="D573" i="5" a="1"/>
  <c r="D573" i="5" s="1"/>
  <c r="B573" i="5"/>
  <c r="N572" i="5"/>
  <c r="H572" i="5"/>
  <c r="G572" i="5"/>
  <c r="F572" i="5"/>
  <c r="E572" i="5"/>
  <c r="D572" i="5" a="1"/>
  <c r="D572" i="5" s="1"/>
  <c r="B572" i="5"/>
  <c r="N571" i="5"/>
  <c r="H571" i="5"/>
  <c r="G571" i="5"/>
  <c r="F571" i="5"/>
  <c r="E571" i="5"/>
  <c r="D571" i="5" a="1"/>
  <c r="D571" i="5" s="1"/>
  <c r="B571" i="5"/>
  <c r="N570" i="5"/>
  <c r="H570" i="5"/>
  <c r="G570" i="5"/>
  <c r="F570" i="5"/>
  <c r="E570" i="5"/>
  <c r="D570" i="5" a="1"/>
  <c r="D570" i="5" s="1"/>
  <c r="B570" i="5"/>
  <c r="N569" i="5"/>
  <c r="H569" i="5"/>
  <c r="G569" i="5"/>
  <c r="F569" i="5"/>
  <c r="E569" i="5"/>
  <c r="D569" i="5" a="1"/>
  <c r="D569" i="5" s="1"/>
  <c r="B569" i="5"/>
  <c r="N568" i="5"/>
  <c r="H568" i="5"/>
  <c r="G568" i="5"/>
  <c r="F568" i="5"/>
  <c r="E568" i="5"/>
  <c r="D568" i="5" a="1"/>
  <c r="D568" i="5" s="1"/>
  <c r="B568" i="5"/>
  <c r="N567" i="5"/>
  <c r="H567" i="5"/>
  <c r="G567" i="5"/>
  <c r="F567" i="5"/>
  <c r="E567" i="5"/>
  <c r="D567" i="5" a="1"/>
  <c r="D567" i="5" s="1"/>
  <c r="B567" i="5"/>
  <c r="N566" i="5"/>
  <c r="H566" i="5"/>
  <c r="G566" i="5"/>
  <c r="F566" i="5"/>
  <c r="E566" i="5"/>
  <c r="D566" i="5" a="1"/>
  <c r="D566" i="5" s="1"/>
  <c r="B566" i="5"/>
  <c r="N565" i="5"/>
  <c r="H565" i="5"/>
  <c r="G565" i="5"/>
  <c r="F565" i="5"/>
  <c r="E565" i="5"/>
  <c r="D565" i="5" a="1"/>
  <c r="D565" i="5" s="1"/>
  <c r="B565" i="5"/>
  <c r="N564" i="5"/>
  <c r="H564" i="5"/>
  <c r="G564" i="5"/>
  <c r="F564" i="5"/>
  <c r="E564" i="5"/>
  <c r="D564" i="5" a="1"/>
  <c r="D564" i="5" s="1"/>
  <c r="B564" i="5"/>
  <c r="N563" i="5"/>
  <c r="H563" i="5"/>
  <c r="G563" i="5"/>
  <c r="F563" i="5"/>
  <c r="E563" i="5"/>
  <c r="D563" i="5" a="1"/>
  <c r="D563" i="5" s="1"/>
  <c r="B563" i="5"/>
  <c r="N562" i="5"/>
  <c r="H562" i="5"/>
  <c r="G562" i="5"/>
  <c r="F562" i="5"/>
  <c r="E562" i="5"/>
  <c r="D562" i="5" a="1"/>
  <c r="D562" i="5" s="1"/>
  <c r="B562" i="5"/>
  <c r="N561" i="5"/>
  <c r="H561" i="5"/>
  <c r="G561" i="5"/>
  <c r="F561" i="5"/>
  <c r="E561" i="5"/>
  <c r="D561" i="5" a="1"/>
  <c r="D561" i="5" s="1"/>
  <c r="B561" i="5"/>
  <c r="N560" i="5"/>
  <c r="H560" i="5"/>
  <c r="G560" i="5"/>
  <c r="F560" i="5"/>
  <c r="E560" i="5"/>
  <c r="D560" i="5" a="1"/>
  <c r="D560" i="5" s="1"/>
  <c r="B560" i="5"/>
  <c r="N559" i="5"/>
  <c r="H559" i="5"/>
  <c r="G559" i="5"/>
  <c r="F559" i="5"/>
  <c r="E559" i="5"/>
  <c r="D559" i="5" a="1"/>
  <c r="D559" i="5" s="1"/>
  <c r="B559" i="5"/>
  <c r="N558" i="5"/>
  <c r="H558" i="5"/>
  <c r="G558" i="5"/>
  <c r="F558" i="5"/>
  <c r="E558" i="5"/>
  <c r="D558" i="5" a="1"/>
  <c r="D558" i="5" s="1"/>
  <c r="B558" i="5"/>
  <c r="N557" i="5"/>
  <c r="H557" i="5"/>
  <c r="G557" i="5"/>
  <c r="F557" i="5"/>
  <c r="E557" i="5"/>
  <c r="D557" i="5" a="1"/>
  <c r="D557" i="5" s="1"/>
  <c r="B557" i="5"/>
  <c r="N556" i="5"/>
  <c r="H556" i="5"/>
  <c r="G556" i="5"/>
  <c r="F556" i="5"/>
  <c r="E556" i="5"/>
  <c r="D556" i="5" a="1"/>
  <c r="D556" i="5" s="1"/>
  <c r="B556" i="5"/>
  <c r="N555" i="5"/>
  <c r="H555" i="5"/>
  <c r="G555" i="5"/>
  <c r="F555" i="5"/>
  <c r="E555" i="5"/>
  <c r="D555" i="5" a="1"/>
  <c r="D555" i="5" s="1"/>
  <c r="B555" i="5"/>
  <c r="N554" i="5"/>
  <c r="H554" i="5"/>
  <c r="G554" i="5"/>
  <c r="F554" i="5"/>
  <c r="E554" i="5"/>
  <c r="D554" i="5" a="1"/>
  <c r="D554" i="5" s="1"/>
  <c r="B554" i="5"/>
  <c r="N553" i="5"/>
  <c r="H553" i="5"/>
  <c r="G553" i="5"/>
  <c r="F553" i="5"/>
  <c r="E553" i="5"/>
  <c r="D553" i="5" a="1"/>
  <c r="D553" i="5" s="1"/>
  <c r="B553" i="5"/>
  <c r="N552" i="5"/>
  <c r="H552" i="5"/>
  <c r="G552" i="5"/>
  <c r="F552" i="5"/>
  <c r="E552" i="5"/>
  <c r="D552" i="5" a="1"/>
  <c r="D552" i="5" s="1"/>
  <c r="B552" i="5"/>
  <c r="N551" i="5"/>
  <c r="H551" i="5"/>
  <c r="G551" i="5"/>
  <c r="F551" i="5"/>
  <c r="E551" i="5"/>
  <c r="D551" i="5" a="1"/>
  <c r="D551" i="5" s="1"/>
  <c r="B551" i="5"/>
  <c r="N550" i="5"/>
  <c r="H550" i="5"/>
  <c r="G550" i="5"/>
  <c r="F550" i="5"/>
  <c r="E550" i="5"/>
  <c r="D550" i="5" a="1"/>
  <c r="D550" i="5" s="1"/>
  <c r="B550" i="5"/>
  <c r="N549" i="5"/>
  <c r="H549" i="5"/>
  <c r="G549" i="5"/>
  <c r="F549" i="5"/>
  <c r="E549" i="5"/>
  <c r="D549" i="5" a="1"/>
  <c r="D549" i="5" s="1"/>
  <c r="B549" i="5"/>
  <c r="N548" i="5"/>
  <c r="H548" i="5"/>
  <c r="G548" i="5"/>
  <c r="F548" i="5"/>
  <c r="E548" i="5"/>
  <c r="D548" i="5" a="1"/>
  <c r="D548" i="5" s="1"/>
  <c r="B548" i="5"/>
  <c r="N547" i="5"/>
  <c r="H547" i="5"/>
  <c r="G547" i="5"/>
  <c r="F547" i="5"/>
  <c r="E547" i="5"/>
  <c r="D547" i="5" a="1"/>
  <c r="D547" i="5" s="1"/>
  <c r="B547" i="5"/>
  <c r="N546" i="5"/>
  <c r="H546" i="5"/>
  <c r="G546" i="5"/>
  <c r="F546" i="5"/>
  <c r="E546" i="5"/>
  <c r="D546" i="5" a="1"/>
  <c r="D546" i="5" s="1"/>
  <c r="B546" i="5"/>
  <c r="N545" i="5"/>
  <c r="H545" i="5"/>
  <c r="G545" i="5"/>
  <c r="F545" i="5"/>
  <c r="E545" i="5"/>
  <c r="D545" i="5" a="1"/>
  <c r="D545" i="5" s="1"/>
  <c r="B545" i="5"/>
  <c r="N544" i="5"/>
  <c r="H544" i="5"/>
  <c r="G544" i="5"/>
  <c r="F544" i="5"/>
  <c r="E544" i="5"/>
  <c r="D544" i="5" a="1"/>
  <c r="D544" i="5" s="1"/>
  <c r="B544" i="5"/>
  <c r="N543" i="5"/>
  <c r="H543" i="5"/>
  <c r="G543" i="5"/>
  <c r="F543" i="5"/>
  <c r="E543" i="5"/>
  <c r="D543" i="5" a="1"/>
  <c r="D543" i="5" s="1"/>
  <c r="B543" i="5"/>
  <c r="N542" i="5"/>
  <c r="H542" i="5"/>
  <c r="G542" i="5"/>
  <c r="F542" i="5"/>
  <c r="E542" i="5"/>
  <c r="D542" i="5" a="1"/>
  <c r="D542" i="5" s="1"/>
  <c r="B542" i="5"/>
  <c r="N541" i="5"/>
  <c r="H541" i="5"/>
  <c r="G541" i="5"/>
  <c r="F541" i="5"/>
  <c r="E541" i="5"/>
  <c r="D541" i="5" a="1"/>
  <c r="D541" i="5" s="1"/>
  <c r="B541" i="5"/>
  <c r="N540" i="5"/>
  <c r="H540" i="5"/>
  <c r="G540" i="5"/>
  <c r="F540" i="5"/>
  <c r="E540" i="5"/>
  <c r="D540" i="5" a="1"/>
  <c r="D540" i="5" s="1"/>
  <c r="B540" i="5"/>
  <c r="N539" i="5"/>
  <c r="H539" i="5"/>
  <c r="G539" i="5"/>
  <c r="F539" i="5"/>
  <c r="E539" i="5"/>
  <c r="D539" i="5" a="1"/>
  <c r="D539" i="5" s="1"/>
  <c r="B539" i="5"/>
  <c r="N538" i="5"/>
  <c r="H538" i="5"/>
  <c r="G538" i="5"/>
  <c r="F538" i="5"/>
  <c r="E538" i="5"/>
  <c r="D538" i="5" a="1"/>
  <c r="D538" i="5" s="1"/>
  <c r="B538" i="5"/>
  <c r="N537" i="5"/>
  <c r="H537" i="5"/>
  <c r="G537" i="5"/>
  <c r="F537" i="5"/>
  <c r="E537" i="5"/>
  <c r="D537" i="5" a="1"/>
  <c r="D537" i="5" s="1"/>
  <c r="B537" i="5"/>
  <c r="N536" i="5"/>
  <c r="H536" i="5"/>
  <c r="G536" i="5"/>
  <c r="F536" i="5"/>
  <c r="E536" i="5"/>
  <c r="D536" i="5" a="1"/>
  <c r="D536" i="5" s="1"/>
  <c r="B536" i="5"/>
  <c r="N535" i="5"/>
  <c r="H535" i="5"/>
  <c r="G535" i="5"/>
  <c r="F535" i="5"/>
  <c r="E535" i="5"/>
  <c r="D535" i="5" a="1"/>
  <c r="D535" i="5" s="1"/>
  <c r="B535" i="5"/>
  <c r="N534" i="5"/>
  <c r="H534" i="5"/>
  <c r="G534" i="5"/>
  <c r="F534" i="5"/>
  <c r="E534" i="5"/>
  <c r="D534" i="5" a="1"/>
  <c r="D534" i="5" s="1"/>
  <c r="B534" i="5"/>
  <c r="N533" i="5"/>
  <c r="H533" i="5"/>
  <c r="G533" i="5"/>
  <c r="F533" i="5"/>
  <c r="E533" i="5"/>
  <c r="D533" i="5" a="1"/>
  <c r="D533" i="5" s="1"/>
  <c r="B533" i="5"/>
  <c r="N532" i="5"/>
  <c r="H532" i="5"/>
  <c r="G532" i="5"/>
  <c r="F532" i="5"/>
  <c r="E532" i="5"/>
  <c r="D532" i="5" a="1"/>
  <c r="D532" i="5" s="1"/>
  <c r="B532" i="5"/>
  <c r="N531" i="5"/>
  <c r="H531" i="5"/>
  <c r="G531" i="5"/>
  <c r="F531" i="5"/>
  <c r="E531" i="5"/>
  <c r="D531" i="5" a="1"/>
  <c r="D531" i="5" s="1"/>
  <c r="B531" i="5"/>
  <c r="N530" i="5"/>
  <c r="H530" i="5"/>
  <c r="G530" i="5"/>
  <c r="F530" i="5"/>
  <c r="E530" i="5"/>
  <c r="D530" i="5" a="1"/>
  <c r="D530" i="5" s="1"/>
  <c r="B530" i="5"/>
  <c r="N529" i="5"/>
  <c r="H529" i="5"/>
  <c r="G529" i="5"/>
  <c r="F529" i="5"/>
  <c r="E529" i="5"/>
  <c r="D529" i="5" a="1"/>
  <c r="D529" i="5" s="1"/>
  <c r="B529" i="5"/>
  <c r="N528" i="5"/>
  <c r="H528" i="5"/>
  <c r="G528" i="5"/>
  <c r="F528" i="5"/>
  <c r="E528" i="5"/>
  <c r="D528" i="5" a="1"/>
  <c r="D528" i="5" s="1"/>
  <c r="B528" i="5"/>
  <c r="N527" i="5"/>
  <c r="H527" i="5"/>
  <c r="G527" i="5"/>
  <c r="F527" i="5"/>
  <c r="E527" i="5"/>
  <c r="D527" i="5" a="1"/>
  <c r="D527" i="5" s="1"/>
  <c r="B527" i="5"/>
  <c r="N526" i="5"/>
  <c r="H526" i="5"/>
  <c r="G526" i="5"/>
  <c r="F526" i="5"/>
  <c r="E526" i="5"/>
  <c r="D526" i="5" a="1"/>
  <c r="D526" i="5" s="1"/>
  <c r="B526" i="5"/>
  <c r="N525" i="5"/>
  <c r="H525" i="5"/>
  <c r="G525" i="5"/>
  <c r="F525" i="5"/>
  <c r="E525" i="5"/>
  <c r="D525" i="5" a="1"/>
  <c r="D525" i="5" s="1"/>
  <c r="B525" i="5"/>
  <c r="N524" i="5"/>
  <c r="H524" i="5"/>
  <c r="G524" i="5"/>
  <c r="F524" i="5"/>
  <c r="E524" i="5"/>
  <c r="D524" i="5" a="1"/>
  <c r="D524" i="5" s="1"/>
  <c r="B524" i="5"/>
  <c r="N523" i="5"/>
  <c r="H523" i="5"/>
  <c r="G523" i="5"/>
  <c r="F523" i="5"/>
  <c r="E523" i="5"/>
  <c r="D523" i="5" a="1"/>
  <c r="D523" i="5" s="1"/>
  <c r="B523" i="5"/>
  <c r="N522" i="5"/>
  <c r="H522" i="5"/>
  <c r="G522" i="5"/>
  <c r="F522" i="5"/>
  <c r="E522" i="5"/>
  <c r="D522" i="5" a="1"/>
  <c r="D522" i="5" s="1"/>
  <c r="B522" i="5"/>
  <c r="N521" i="5"/>
  <c r="H521" i="5"/>
  <c r="G521" i="5"/>
  <c r="F521" i="5"/>
  <c r="E521" i="5"/>
  <c r="D521" i="5" a="1"/>
  <c r="D521" i="5" s="1"/>
  <c r="B521" i="5"/>
  <c r="N520" i="5"/>
  <c r="H520" i="5"/>
  <c r="G520" i="5"/>
  <c r="F520" i="5"/>
  <c r="E520" i="5"/>
  <c r="D520" i="5" a="1"/>
  <c r="D520" i="5" s="1"/>
  <c r="B520" i="5"/>
  <c r="N519" i="5"/>
  <c r="H519" i="5"/>
  <c r="G519" i="5"/>
  <c r="F519" i="5"/>
  <c r="E519" i="5"/>
  <c r="D519" i="5" a="1"/>
  <c r="D519" i="5" s="1"/>
  <c r="B519" i="5"/>
  <c r="N518" i="5"/>
  <c r="H518" i="5"/>
  <c r="G518" i="5"/>
  <c r="F518" i="5"/>
  <c r="E518" i="5"/>
  <c r="D518" i="5" a="1"/>
  <c r="D518" i="5" s="1"/>
  <c r="B518" i="5"/>
  <c r="N517" i="5"/>
  <c r="H517" i="5"/>
  <c r="G517" i="5"/>
  <c r="F517" i="5"/>
  <c r="E517" i="5"/>
  <c r="D517" i="5" a="1"/>
  <c r="D517" i="5" s="1"/>
  <c r="B517" i="5"/>
  <c r="N516" i="5"/>
  <c r="H516" i="5"/>
  <c r="G516" i="5"/>
  <c r="F516" i="5"/>
  <c r="E516" i="5"/>
  <c r="D516" i="5" a="1"/>
  <c r="D516" i="5" s="1"/>
  <c r="B516" i="5"/>
  <c r="N515" i="5"/>
  <c r="H515" i="5"/>
  <c r="G515" i="5"/>
  <c r="F515" i="5"/>
  <c r="E515" i="5"/>
  <c r="D515" i="5" a="1"/>
  <c r="D515" i="5" s="1"/>
  <c r="B515" i="5"/>
  <c r="N514" i="5"/>
  <c r="H514" i="5"/>
  <c r="G514" i="5"/>
  <c r="F514" i="5"/>
  <c r="E514" i="5"/>
  <c r="D514" i="5" a="1"/>
  <c r="D514" i="5" s="1"/>
  <c r="B514" i="5"/>
  <c r="N513" i="5"/>
  <c r="H513" i="5"/>
  <c r="G513" i="5"/>
  <c r="F513" i="5"/>
  <c r="E513" i="5"/>
  <c r="D513" i="5" a="1"/>
  <c r="D513" i="5" s="1"/>
  <c r="B513" i="5"/>
  <c r="N512" i="5"/>
  <c r="H512" i="5"/>
  <c r="G512" i="5"/>
  <c r="F512" i="5"/>
  <c r="E512" i="5"/>
  <c r="D512" i="5" a="1"/>
  <c r="D512" i="5" s="1"/>
  <c r="B512" i="5"/>
  <c r="N511" i="5"/>
  <c r="H511" i="5"/>
  <c r="G511" i="5"/>
  <c r="F511" i="5"/>
  <c r="E511" i="5"/>
  <c r="D511" i="5" a="1"/>
  <c r="D511" i="5" s="1"/>
  <c r="B511" i="5"/>
  <c r="N510" i="5"/>
  <c r="H510" i="5"/>
  <c r="G510" i="5"/>
  <c r="F510" i="5"/>
  <c r="E510" i="5"/>
  <c r="D510" i="5" a="1"/>
  <c r="D510" i="5" s="1"/>
  <c r="B510" i="5"/>
  <c r="N509" i="5"/>
  <c r="H509" i="5"/>
  <c r="G509" i="5"/>
  <c r="F509" i="5"/>
  <c r="E509" i="5"/>
  <c r="D509" i="5" a="1"/>
  <c r="D509" i="5" s="1"/>
  <c r="B509" i="5"/>
  <c r="N508" i="5"/>
  <c r="H508" i="5"/>
  <c r="G508" i="5"/>
  <c r="F508" i="5"/>
  <c r="E508" i="5"/>
  <c r="D508" i="5" a="1"/>
  <c r="D508" i="5" s="1"/>
  <c r="B508" i="5"/>
  <c r="N507" i="5"/>
  <c r="H507" i="5"/>
  <c r="G507" i="5"/>
  <c r="F507" i="5"/>
  <c r="E507" i="5"/>
  <c r="D507" i="5" a="1"/>
  <c r="D507" i="5" s="1"/>
  <c r="B507" i="5"/>
  <c r="N506" i="5"/>
  <c r="H506" i="5"/>
  <c r="G506" i="5"/>
  <c r="F506" i="5"/>
  <c r="E506" i="5"/>
  <c r="D506" i="5" a="1"/>
  <c r="D506" i="5" s="1"/>
  <c r="B506" i="5"/>
  <c r="N505" i="5"/>
  <c r="H505" i="5"/>
  <c r="G505" i="5"/>
  <c r="F505" i="5"/>
  <c r="E505" i="5"/>
  <c r="D505" i="5" a="1"/>
  <c r="D505" i="5" s="1"/>
  <c r="B505" i="5"/>
  <c r="N504" i="5"/>
  <c r="H504" i="5"/>
  <c r="G504" i="5"/>
  <c r="F504" i="5"/>
  <c r="E504" i="5"/>
  <c r="D504" i="5" a="1"/>
  <c r="D504" i="5" s="1"/>
  <c r="B504" i="5"/>
  <c r="N503" i="5"/>
  <c r="H503" i="5"/>
  <c r="G503" i="5"/>
  <c r="F503" i="5"/>
  <c r="E503" i="5"/>
  <c r="D503" i="5" a="1"/>
  <c r="D503" i="5" s="1"/>
  <c r="B503" i="5"/>
  <c r="N502" i="5"/>
  <c r="H502" i="5"/>
  <c r="G502" i="5"/>
  <c r="F502" i="5"/>
  <c r="E502" i="5"/>
  <c r="D502" i="5" a="1"/>
  <c r="D502" i="5" s="1"/>
  <c r="B502" i="5"/>
  <c r="N501" i="5"/>
  <c r="H501" i="5"/>
  <c r="G501" i="5"/>
  <c r="F501" i="5"/>
  <c r="E501" i="5"/>
  <c r="D501" i="5" a="1"/>
  <c r="D501" i="5" s="1"/>
  <c r="B501" i="5"/>
  <c r="N500" i="5"/>
  <c r="H500" i="5"/>
  <c r="G500" i="5"/>
  <c r="F500" i="5"/>
  <c r="E500" i="5"/>
  <c r="D500" i="5" a="1"/>
  <c r="D500" i="5" s="1"/>
  <c r="B500" i="5"/>
  <c r="N499" i="5"/>
  <c r="H499" i="5"/>
  <c r="G499" i="5"/>
  <c r="F499" i="5"/>
  <c r="E499" i="5"/>
  <c r="D499" i="5" a="1"/>
  <c r="D499" i="5" s="1"/>
  <c r="B499" i="5"/>
  <c r="N498" i="5"/>
  <c r="H498" i="5"/>
  <c r="G498" i="5"/>
  <c r="F498" i="5"/>
  <c r="E498" i="5"/>
  <c r="D498" i="5" a="1"/>
  <c r="D498" i="5" s="1"/>
  <c r="B498" i="5"/>
  <c r="N497" i="5"/>
  <c r="H497" i="5"/>
  <c r="G497" i="5"/>
  <c r="F497" i="5"/>
  <c r="E497" i="5"/>
  <c r="D497" i="5" a="1"/>
  <c r="D497" i="5" s="1"/>
  <c r="B497" i="5"/>
  <c r="N496" i="5"/>
  <c r="H496" i="5"/>
  <c r="G496" i="5"/>
  <c r="F496" i="5"/>
  <c r="E496" i="5"/>
  <c r="D496" i="5" a="1"/>
  <c r="D496" i="5" s="1"/>
  <c r="B496" i="5"/>
  <c r="N495" i="5"/>
  <c r="H495" i="5"/>
  <c r="G495" i="5"/>
  <c r="F495" i="5"/>
  <c r="E495" i="5"/>
  <c r="D495" i="5" a="1"/>
  <c r="D495" i="5" s="1"/>
  <c r="B495" i="5"/>
  <c r="N494" i="5"/>
  <c r="H494" i="5"/>
  <c r="G494" i="5"/>
  <c r="F494" i="5"/>
  <c r="E494" i="5"/>
  <c r="D494" i="5" a="1"/>
  <c r="D494" i="5" s="1"/>
  <c r="B494" i="5"/>
  <c r="N493" i="5"/>
  <c r="H493" i="5"/>
  <c r="G493" i="5"/>
  <c r="F493" i="5"/>
  <c r="E493" i="5"/>
  <c r="D493" i="5" a="1"/>
  <c r="D493" i="5" s="1"/>
  <c r="B493" i="5"/>
  <c r="N492" i="5"/>
  <c r="H492" i="5"/>
  <c r="G492" i="5"/>
  <c r="F492" i="5"/>
  <c r="E492" i="5"/>
  <c r="D492" i="5" a="1"/>
  <c r="D492" i="5" s="1"/>
  <c r="B492" i="5"/>
  <c r="N491" i="5"/>
  <c r="H491" i="5"/>
  <c r="G491" i="5"/>
  <c r="F491" i="5"/>
  <c r="E491" i="5"/>
  <c r="D491" i="5" a="1"/>
  <c r="D491" i="5" s="1"/>
  <c r="B491" i="5"/>
  <c r="N490" i="5"/>
  <c r="H490" i="5"/>
  <c r="G490" i="5"/>
  <c r="F490" i="5"/>
  <c r="E490" i="5"/>
  <c r="D490" i="5" a="1"/>
  <c r="D490" i="5" s="1"/>
  <c r="B490" i="5"/>
  <c r="N489" i="5"/>
  <c r="H489" i="5"/>
  <c r="G489" i="5"/>
  <c r="F489" i="5"/>
  <c r="E489" i="5"/>
  <c r="D489" i="5" a="1"/>
  <c r="D489" i="5" s="1"/>
  <c r="B489" i="5"/>
  <c r="N488" i="5"/>
  <c r="H488" i="5"/>
  <c r="G488" i="5"/>
  <c r="F488" i="5"/>
  <c r="E488" i="5"/>
  <c r="D488" i="5" a="1"/>
  <c r="D488" i="5" s="1"/>
  <c r="B488" i="5"/>
  <c r="N487" i="5"/>
  <c r="H487" i="5"/>
  <c r="G487" i="5"/>
  <c r="F487" i="5"/>
  <c r="E487" i="5"/>
  <c r="D487" i="5" a="1"/>
  <c r="D487" i="5" s="1"/>
  <c r="B487" i="5"/>
  <c r="N486" i="5"/>
  <c r="H486" i="5"/>
  <c r="G486" i="5"/>
  <c r="F486" i="5"/>
  <c r="E486" i="5"/>
  <c r="D486" i="5" a="1"/>
  <c r="D486" i="5" s="1"/>
  <c r="B486" i="5"/>
  <c r="N485" i="5"/>
  <c r="H485" i="5"/>
  <c r="G485" i="5"/>
  <c r="F485" i="5"/>
  <c r="E485" i="5"/>
  <c r="D485" i="5" a="1"/>
  <c r="D485" i="5" s="1"/>
  <c r="B485" i="5"/>
  <c r="N484" i="5"/>
  <c r="H484" i="5"/>
  <c r="G484" i="5"/>
  <c r="F484" i="5"/>
  <c r="E484" i="5"/>
  <c r="D484" i="5" a="1"/>
  <c r="D484" i="5" s="1"/>
  <c r="B484" i="5"/>
  <c r="N483" i="5"/>
  <c r="H483" i="5"/>
  <c r="G483" i="5"/>
  <c r="F483" i="5"/>
  <c r="E483" i="5"/>
  <c r="D483" i="5" a="1"/>
  <c r="D483" i="5" s="1"/>
  <c r="B483" i="5"/>
  <c r="N482" i="5"/>
  <c r="H482" i="5"/>
  <c r="G482" i="5"/>
  <c r="F482" i="5"/>
  <c r="E482" i="5"/>
  <c r="D482" i="5" a="1"/>
  <c r="D482" i="5" s="1"/>
  <c r="B482" i="5"/>
  <c r="N481" i="5"/>
  <c r="H481" i="5"/>
  <c r="G481" i="5"/>
  <c r="F481" i="5"/>
  <c r="E481" i="5"/>
  <c r="D481" i="5" a="1"/>
  <c r="D481" i="5" s="1"/>
  <c r="B481" i="5"/>
  <c r="N480" i="5"/>
  <c r="H480" i="5"/>
  <c r="G480" i="5"/>
  <c r="F480" i="5"/>
  <c r="E480" i="5"/>
  <c r="D480" i="5" a="1"/>
  <c r="D480" i="5" s="1"/>
  <c r="B480" i="5"/>
  <c r="N479" i="5"/>
  <c r="H479" i="5"/>
  <c r="G479" i="5"/>
  <c r="F479" i="5"/>
  <c r="E479" i="5"/>
  <c r="D479" i="5" a="1"/>
  <c r="D479" i="5" s="1"/>
  <c r="B479" i="5"/>
  <c r="N478" i="5"/>
  <c r="H478" i="5"/>
  <c r="G478" i="5"/>
  <c r="F478" i="5"/>
  <c r="E478" i="5"/>
  <c r="D478" i="5" a="1"/>
  <c r="D478" i="5" s="1"/>
  <c r="B478" i="5"/>
  <c r="N477" i="5"/>
  <c r="H477" i="5"/>
  <c r="G477" i="5"/>
  <c r="F477" i="5"/>
  <c r="E477" i="5"/>
  <c r="D477" i="5" a="1"/>
  <c r="D477" i="5" s="1"/>
  <c r="B477" i="5"/>
  <c r="N476" i="5"/>
  <c r="H476" i="5"/>
  <c r="G476" i="5"/>
  <c r="F476" i="5"/>
  <c r="E476" i="5"/>
  <c r="D476" i="5" a="1"/>
  <c r="D476" i="5" s="1"/>
  <c r="B476" i="5"/>
  <c r="N475" i="5"/>
  <c r="H475" i="5"/>
  <c r="G475" i="5"/>
  <c r="F475" i="5"/>
  <c r="E475" i="5"/>
  <c r="D475" i="5" a="1"/>
  <c r="D475" i="5" s="1"/>
  <c r="B475" i="5"/>
  <c r="N474" i="5"/>
  <c r="H474" i="5"/>
  <c r="G474" i="5"/>
  <c r="F474" i="5"/>
  <c r="E474" i="5"/>
  <c r="D474" i="5" a="1"/>
  <c r="D474" i="5" s="1"/>
  <c r="B474" i="5"/>
  <c r="N473" i="5"/>
  <c r="H473" i="5"/>
  <c r="G473" i="5"/>
  <c r="F473" i="5"/>
  <c r="E473" i="5"/>
  <c r="D473" i="5" a="1"/>
  <c r="D473" i="5" s="1"/>
  <c r="B473" i="5"/>
  <c r="N472" i="5"/>
  <c r="H472" i="5"/>
  <c r="G472" i="5"/>
  <c r="F472" i="5"/>
  <c r="E472" i="5"/>
  <c r="D472" i="5" a="1"/>
  <c r="D472" i="5" s="1"/>
  <c r="B472" i="5"/>
  <c r="N471" i="5"/>
  <c r="H471" i="5"/>
  <c r="G471" i="5"/>
  <c r="F471" i="5"/>
  <c r="E471" i="5"/>
  <c r="D471" i="5" a="1"/>
  <c r="D471" i="5" s="1"/>
  <c r="B471" i="5"/>
  <c r="N470" i="5"/>
  <c r="H470" i="5"/>
  <c r="G470" i="5"/>
  <c r="F470" i="5"/>
  <c r="E470" i="5"/>
  <c r="D470" i="5" a="1"/>
  <c r="D470" i="5" s="1"/>
  <c r="B470" i="5"/>
  <c r="N469" i="5"/>
  <c r="H469" i="5"/>
  <c r="G469" i="5"/>
  <c r="F469" i="5"/>
  <c r="E469" i="5"/>
  <c r="D469" i="5" a="1"/>
  <c r="D469" i="5" s="1"/>
  <c r="B469" i="5"/>
  <c r="N468" i="5"/>
  <c r="H468" i="5"/>
  <c r="G468" i="5"/>
  <c r="F468" i="5"/>
  <c r="E468" i="5"/>
  <c r="D468" i="5" a="1"/>
  <c r="D468" i="5" s="1"/>
  <c r="B468" i="5"/>
  <c r="N467" i="5"/>
  <c r="H467" i="5"/>
  <c r="G467" i="5"/>
  <c r="F467" i="5"/>
  <c r="E467" i="5"/>
  <c r="D467" i="5" a="1"/>
  <c r="D467" i="5" s="1"/>
  <c r="B467" i="5"/>
  <c r="N466" i="5"/>
  <c r="H466" i="5"/>
  <c r="G466" i="5"/>
  <c r="F466" i="5"/>
  <c r="E466" i="5"/>
  <c r="D466" i="5" a="1"/>
  <c r="D466" i="5" s="1"/>
  <c r="B466" i="5"/>
  <c r="N465" i="5"/>
  <c r="H465" i="5"/>
  <c r="G465" i="5"/>
  <c r="F465" i="5"/>
  <c r="E465" i="5"/>
  <c r="D465" i="5" a="1"/>
  <c r="D465" i="5" s="1"/>
  <c r="B465" i="5"/>
  <c r="N464" i="5"/>
  <c r="H464" i="5"/>
  <c r="G464" i="5"/>
  <c r="F464" i="5"/>
  <c r="E464" i="5"/>
  <c r="D464" i="5" a="1"/>
  <c r="D464" i="5" s="1"/>
  <c r="B464" i="5"/>
  <c r="N463" i="5"/>
  <c r="H463" i="5"/>
  <c r="G463" i="5"/>
  <c r="F463" i="5"/>
  <c r="E463" i="5"/>
  <c r="D463" i="5" a="1"/>
  <c r="D463" i="5" s="1"/>
  <c r="B463" i="5"/>
  <c r="N462" i="5"/>
  <c r="H462" i="5"/>
  <c r="G462" i="5"/>
  <c r="F462" i="5"/>
  <c r="E462" i="5"/>
  <c r="D462" i="5" a="1"/>
  <c r="D462" i="5" s="1"/>
  <c r="B462" i="5"/>
  <c r="N461" i="5"/>
  <c r="H461" i="5"/>
  <c r="G461" i="5"/>
  <c r="F461" i="5"/>
  <c r="E461" i="5"/>
  <c r="D461" i="5" a="1"/>
  <c r="D461" i="5" s="1"/>
  <c r="B461" i="5"/>
  <c r="N460" i="5"/>
  <c r="H460" i="5"/>
  <c r="G460" i="5"/>
  <c r="F460" i="5"/>
  <c r="E460" i="5"/>
  <c r="D460" i="5" a="1"/>
  <c r="D460" i="5" s="1"/>
  <c r="B460" i="5"/>
  <c r="N459" i="5"/>
  <c r="H459" i="5"/>
  <c r="G459" i="5"/>
  <c r="F459" i="5"/>
  <c r="E459" i="5"/>
  <c r="D459" i="5" a="1"/>
  <c r="D459" i="5" s="1"/>
  <c r="B459" i="5"/>
  <c r="N458" i="5"/>
  <c r="H458" i="5"/>
  <c r="G458" i="5"/>
  <c r="F458" i="5"/>
  <c r="E458" i="5"/>
  <c r="D458" i="5" a="1"/>
  <c r="D458" i="5" s="1"/>
  <c r="B458" i="5"/>
  <c r="N457" i="5"/>
  <c r="H457" i="5"/>
  <c r="G457" i="5"/>
  <c r="F457" i="5"/>
  <c r="E457" i="5"/>
  <c r="D457" i="5" a="1"/>
  <c r="D457" i="5" s="1"/>
  <c r="B457" i="5"/>
  <c r="N456" i="5"/>
  <c r="H456" i="5"/>
  <c r="G456" i="5"/>
  <c r="F456" i="5"/>
  <c r="E456" i="5"/>
  <c r="D456" i="5" a="1"/>
  <c r="D456" i="5" s="1"/>
  <c r="B456" i="5"/>
  <c r="N455" i="5"/>
  <c r="H455" i="5"/>
  <c r="G455" i="5"/>
  <c r="F455" i="5"/>
  <c r="E455" i="5"/>
  <c r="D455" i="5" a="1"/>
  <c r="D455" i="5" s="1"/>
  <c r="B455" i="5"/>
  <c r="N454" i="5"/>
  <c r="H454" i="5"/>
  <c r="G454" i="5"/>
  <c r="F454" i="5"/>
  <c r="E454" i="5"/>
  <c r="D454" i="5" a="1"/>
  <c r="D454" i="5" s="1"/>
  <c r="B454" i="5"/>
  <c r="N453" i="5"/>
  <c r="H453" i="5"/>
  <c r="G453" i="5"/>
  <c r="F453" i="5"/>
  <c r="E453" i="5"/>
  <c r="D453" i="5" a="1"/>
  <c r="D453" i="5" s="1"/>
  <c r="B453" i="5"/>
  <c r="N452" i="5"/>
  <c r="H452" i="5"/>
  <c r="G452" i="5"/>
  <c r="F452" i="5"/>
  <c r="E452" i="5"/>
  <c r="D452" i="5" a="1"/>
  <c r="D452" i="5" s="1"/>
  <c r="B452" i="5"/>
  <c r="N451" i="5"/>
  <c r="H451" i="5"/>
  <c r="G451" i="5"/>
  <c r="F451" i="5"/>
  <c r="E451" i="5"/>
  <c r="D451" i="5" a="1"/>
  <c r="D451" i="5" s="1"/>
  <c r="B451" i="5"/>
  <c r="N450" i="5"/>
  <c r="H450" i="5"/>
  <c r="G450" i="5"/>
  <c r="F450" i="5"/>
  <c r="E450" i="5"/>
  <c r="D450" i="5" a="1"/>
  <c r="D450" i="5" s="1"/>
  <c r="B450" i="5"/>
  <c r="N449" i="5"/>
  <c r="H449" i="5"/>
  <c r="G449" i="5"/>
  <c r="F449" i="5"/>
  <c r="E449" i="5"/>
  <c r="D449" i="5" a="1"/>
  <c r="D449" i="5" s="1"/>
  <c r="B449" i="5"/>
  <c r="N448" i="5"/>
  <c r="H448" i="5"/>
  <c r="G448" i="5"/>
  <c r="F448" i="5"/>
  <c r="E448" i="5"/>
  <c r="D448" i="5" a="1"/>
  <c r="D448" i="5" s="1"/>
  <c r="B448" i="5"/>
  <c r="N447" i="5"/>
  <c r="H447" i="5"/>
  <c r="G447" i="5"/>
  <c r="F447" i="5"/>
  <c r="E447" i="5"/>
  <c r="D447" i="5" a="1"/>
  <c r="D447" i="5" s="1"/>
  <c r="B447" i="5"/>
  <c r="N446" i="5"/>
  <c r="H446" i="5"/>
  <c r="G446" i="5"/>
  <c r="F446" i="5"/>
  <c r="E446" i="5"/>
  <c r="D446" i="5" a="1"/>
  <c r="D446" i="5" s="1"/>
  <c r="B446" i="5"/>
  <c r="N445" i="5"/>
  <c r="H445" i="5"/>
  <c r="G445" i="5"/>
  <c r="F445" i="5"/>
  <c r="E445" i="5"/>
  <c r="D445" i="5" a="1"/>
  <c r="D445" i="5" s="1"/>
  <c r="B445" i="5"/>
  <c r="N444" i="5"/>
  <c r="H444" i="5"/>
  <c r="G444" i="5"/>
  <c r="F444" i="5"/>
  <c r="E444" i="5"/>
  <c r="D444" i="5" a="1"/>
  <c r="D444" i="5" s="1"/>
  <c r="B444" i="5"/>
  <c r="N443" i="5"/>
  <c r="H443" i="5"/>
  <c r="G443" i="5"/>
  <c r="F443" i="5"/>
  <c r="E443" i="5"/>
  <c r="D443" i="5" a="1"/>
  <c r="D443" i="5" s="1"/>
  <c r="B443" i="5"/>
  <c r="N442" i="5"/>
  <c r="H442" i="5"/>
  <c r="G442" i="5"/>
  <c r="F442" i="5"/>
  <c r="E442" i="5"/>
  <c r="D442" i="5" a="1"/>
  <c r="D442" i="5" s="1"/>
  <c r="B442" i="5"/>
  <c r="N441" i="5"/>
  <c r="H441" i="5"/>
  <c r="G441" i="5"/>
  <c r="F441" i="5"/>
  <c r="E441" i="5"/>
  <c r="D441" i="5" a="1"/>
  <c r="D441" i="5" s="1"/>
  <c r="B441" i="5"/>
  <c r="N440" i="5"/>
  <c r="H440" i="5"/>
  <c r="G440" i="5"/>
  <c r="F440" i="5"/>
  <c r="E440" i="5"/>
  <c r="D440" i="5" a="1"/>
  <c r="D440" i="5" s="1"/>
  <c r="B440" i="5"/>
  <c r="N439" i="5"/>
  <c r="H439" i="5"/>
  <c r="G439" i="5"/>
  <c r="F439" i="5"/>
  <c r="E439" i="5"/>
  <c r="D439" i="5" a="1"/>
  <c r="D439" i="5" s="1"/>
  <c r="B439" i="5"/>
  <c r="N438" i="5"/>
  <c r="H438" i="5"/>
  <c r="G438" i="5"/>
  <c r="F438" i="5"/>
  <c r="E438" i="5"/>
  <c r="D438" i="5" a="1"/>
  <c r="D438" i="5" s="1"/>
  <c r="B438" i="5"/>
  <c r="N437" i="5"/>
  <c r="H437" i="5"/>
  <c r="G437" i="5"/>
  <c r="F437" i="5"/>
  <c r="E437" i="5"/>
  <c r="D437" i="5" a="1"/>
  <c r="D437" i="5" s="1"/>
  <c r="B437" i="5"/>
  <c r="N436" i="5"/>
  <c r="H436" i="5"/>
  <c r="G436" i="5"/>
  <c r="F436" i="5"/>
  <c r="E436" i="5"/>
  <c r="D436" i="5" a="1"/>
  <c r="D436" i="5" s="1"/>
  <c r="B436" i="5"/>
  <c r="N435" i="5"/>
  <c r="H435" i="5"/>
  <c r="G435" i="5"/>
  <c r="F435" i="5"/>
  <c r="E435" i="5"/>
  <c r="D435" i="5" a="1"/>
  <c r="D435" i="5" s="1"/>
  <c r="B435" i="5"/>
  <c r="N434" i="5"/>
  <c r="H434" i="5"/>
  <c r="G434" i="5"/>
  <c r="F434" i="5"/>
  <c r="E434" i="5"/>
  <c r="D434" i="5" a="1"/>
  <c r="D434" i="5" s="1"/>
  <c r="B434" i="5"/>
  <c r="N433" i="5"/>
  <c r="H433" i="5"/>
  <c r="G433" i="5"/>
  <c r="F433" i="5"/>
  <c r="E433" i="5"/>
  <c r="D433" i="5" a="1"/>
  <c r="D433" i="5" s="1"/>
  <c r="B433" i="5"/>
  <c r="N432" i="5"/>
  <c r="H432" i="5"/>
  <c r="G432" i="5"/>
  <c r="F432" i="5"/>
  <c r="E432" i="5"/>
  <c r="D432" i="5" a="1"/>
  <c r="D432" i="5" s="1"/>
  <c r="B432" i="5"/>
  <c r="N431" i="5"/>
  <c r="H431" i="5"/>
  <c r="G431" i="5"/>
  <c r="F431" i="5"/>
  <c r="E431" i="5"/>
  <c r="D431" i="5" a="1"/>
  <c r="D431" i="5" s="1"/>
  <c r="B431" i="5"/>
  <c r="N430" i="5"/>
  <c r="H430" i="5"/>
  <c r="G430" i="5"/>
  <c r="F430" i="5"/>
  <c r="E430" i="5"/>
  <c r="D430" i="5" a="1"/>
  <c r="D430" i="5" s="1"/>
  <c r="B430" i="5"/>
  <c r="N429" i="5"/>
  <c r="H429" i="5"/>
  <c r="G429" i="5"/>
  <c r="F429" i="5"/>
  <c r="E429" i="5"/>
  <c r="D429" i="5" a="1"/>
  <c r="D429" i="5" s="1"/>
  <c r="B429" i="5"/>
  <c r="N428" i="5"/>
  <c r="H428" i="5"/>
  <c r="G428" i="5"/>
  <c r="F428" i="5"/>
  <c r="E428" i="5"/>
  <c r="D428" i="5" a="1"/>
  <c r="D428" i="5" s="1"/>
  <c r="B428" i="5"/>
  <c r="N427" i="5"/>
  <c r="H427" i="5"/>
  <c r="G427" i="5"/>
  <c r="F427" i="5"/>
  <c r="E427" i="5"/>
  <c r="D427" i="5" a="1"/>
  <c r="D427" i="5" s="1"/>
  <c r="B427" i="5"/>
  <c r="N426" i="5"/>
  <c r="H426" i="5"/>
  <c r="G426" i="5"/>
  <c r="F426" i="5"/>
  <c r="E426" i="5"/>
  <c r="D426" i="5" a="1"/>
  <c r="D426" i="5" s="1"/>
  <c r="B426" i="5"/>
  <c r="N425" i="5"/>
  <c r="H425" i="5"/>
  <c r="G425" i="5"/>
  <c r="F425" i="5"/>
  <c r="E425" i="5"/>
  <c r="D425" i="5" a="1"/>
  <c r="D425" i="5" s="1"/>
  <c r="B425" i="5"/>
  <c r="N424" i="5"/>
  <c r="H424" i="5"/>
  <c r="G424" i="5"/>
  <c r="F424" i="5"/>
  <c r="E424" i="5"/>
  <c r="D424" i="5" a="1"/>
  <c r="D424" i="5" s="1"/>
  <c r="B424" i="5"/>
  <c r="N423" i="5"/>
  <c r="H423" i="5"/>
  <c r="G423" i="5"/>
  <c r="F423" i="5"/>
  <c r="E423" i="5"/>
  <c r="D423" i="5" a="1"/>
  <c r="D423" i="5" s="1"/>
  <c r="B423" i="5"/>
  <c r="N422" i="5"/>
  <c r="H422" i="5"/>
  <c r="G422" i="5"/>
  <c r="F422" i="5"/>
  <c r="E422" i="5"/>
  <c r="D422" i="5" a="1"/>
  <c r="D422" i="5" s="1"/>
  <c r="B422" i="5"/>
  <c r="N421" i="5"/>
  <c r="H421" i="5"/>
  <c r="G421" i="5"/>
  <c r="F421" i="5"/>
  <c r="E421" i="5"/>
  <c r="D421" i="5" a="1"/>
  <c r="D421" i="5" s="1"/>
  <c r="B421" i="5"/>
  <c r="N420" i="5"/>
  <c r="H420" i="5"/>
  <c r="G420" i="5"/>
  <c r="F420" i="5"/>
  <c r="E420" i="5"/>
  <c r="D420" i="5" a="1"/>
  <c r="D420" i="5" s="1"/>
  <c r="B420" i="5"/>
  <c r="N419" i="5"/>
  <c r="H419" i="5"/>
  <c r="G419" i="5"/>
  <c r="F419" i="5"/>
  <c r="E419" i="5"/>
  <c r="D419" i="5" a="1"/>
  <c r="D419" i="5" s="1"/>
  <c r="B419" i="5"/>
  <c r="N418" i="5"/>
  <c r="H418" i="5"/>
  <c r="G418" i="5"/>
  <c r="F418" i="5"/>
  <c r="E418" i="5"/>
  <c r="D418" i="5" a="1"/>
  <c r="D418" i="5" s="1"/>
  <c r="B418" i="5"/>
  <c r="N417" i="5"/>
  <c r="H417" i="5"/>
  <c r="G417" i="5"/>
  <c r="F417" i="5"/>
  <c r="E417" i="5"/>
  <c r="D417" i="5" a="1"/>
  <c r="D417" i="5" s="1"/>
  <c r="B417" i="5"/>
  <c r="N416" i="5"/>
  <c r="H416" i="5"/>
  <c r="G416" i="5"/>
  <c r="F416" i="5"/>
  <c r="E416" i="5"/>
  <c r="D416" i="5" a="1"/>
  <c r="D416" i="5" s="1"/>
  <c r="B416" i="5"/>
  <c r="N415" i="5"/>
  <c r="H415" i="5"/>
  <c r="G415" i="5"/>
  <c r="F415" i="5"/>
  <c r="E415" i="5"/>
  <c r="D415" i="5" a="1"/>
  <c r="D415" i="5" s="1"/>
  <c r="B415" i="5"/>
  <c r="N414" i="5"/>
  <c r="H414" i="5"/>
  <c r="G414" i="5"/>
  <c r="F414" i="5"/>
  <c r="E414" i="5"/>
  <c r="D414" i="5" a="1"/>
  <c r="D414" i="5" s="1"/>
  <c r="B414" i="5"/>
  <c r="N413" i="5"/>
  <c r="H413" i="5"/>
  <c r="G413" i="5"/>
  <c r="F413" i="5"/>
  <c r="E413" i="5"/>
  <c r="D413" i="5" a="1"/>
  <c r="D413" i="5" s="1"/>
  <c r="B413" i="5"/>
  <c r="N412" i="5"/>
  <c r="H412" i="5"/>
  <c r="G412" i="5"/>
  <c r="F412" i="5"/>
  <c r="E412" i="5"/>
  <c r="D412" i="5" a="1"/>
  <c r="D412" i="5" s="1"/>
  <c r="B412" i="5"/>
  <c r="N411" i="5"/>
  <c r="H411" i="5"/>
  <c r="G411" i="5"/>
  <c r="F411" i="5"/>
  <c r="E411" i="5"/>
  <c r="D411" i="5" a="1"/>
  <c r="D411" i="5" s="1"/>
  <c r="B411" i="5"/>
  <c r="N410" i="5"/>
  <c r="H410" i="5"/>
  <c r="G410" i="5"/>
  <c r="F410" i="5"/>
  <c r="E410" i="5"/>
  <c r="D410" i="5" a="1"/>
  <c r="D410" i="5" s="1"/>
  <c r="B410" i="5"/>
  <c r="N409" i="5"/>
  <c r="H409" i="5"/>
  <c r="G409" i="5"/>
  <c r="F409" i="5"/>
  <c r="E409" i="5"/>
  <c r="D409" i="5" a="1"/>
  <c r="D409" i="5" s="1"/>
  <c r="B409" i="5"/>
  <c r="N408" i="5"/>
  <c r="H408" i="5"/>
  <c r="G408" i="5"/>
  <c r="F408" i="5"/>
  <c r="E408" i="5"/>
  <c r="D408" i="5" a="1"/>
  <c r="D408" i="5" s="1"/>
  <c r="B408" i="5"/>
  <c r="N407" i="5"/>
  <c r="H407" i="5"/>
  <c r="G407" i="5"/>
  <c r="F407" i="5"/>
  <c r="E407" i="5"/>
  <c r="D407" i="5" a="1"/>
  <c r="D407" i="5" s="1"/>
  <c r="B407" i="5"/>
  <c r="N406" i="5"/>
  <c r="H406" i="5"/>
  <c r="G406" i="5"/>
  <c r="F406" i="5"/>
  <c r="E406" i="5"/>
  <c r="D406" i="5" a="1"/>
  <c r="D406" i="5" s="1"/>
  <c r="B406" i="5"/>
  <c r="N405" i="5"/>
  <c r="H405" i="5"/>
  <c r="G405" i="5"/>
  <c r="F405" i="5"/>
  <c r="E405" i="5"/>
  <c r="D405" i="5" a="1"/>
  <c r="D405" i="5" s="1"/>
  <c r="B405" i="5"/>
  <c r="N404" i="5"/>
  <c r="H404" i="5"/>
  <c r="G404" i="5"/>
  <c r="F404" i="5"/>
  <c r="E404" i="5"/>
  <c r="D404" i="5" a="1"/>
  <c r="D404" i="5" s="1"/>
  <c r="B404" i="5"/>
  <c r="N403" i="5"/>
  <c r="H403" i="5"/>
  <c r="G403" i="5"/>
  <c r="F403" i="5"/>
  <c r="E403" i="5"/>
  <c r="D403" i="5" a="1"/>
  <c r="D403" i="5" s="1"/>
  <c r="B403" i="5"/>
  <c r="N402" i="5"/>
  <c r="H402" i="5"/>
  <c r="G402" i="5"/>
  <c r="F402" i="5"/>
  <c r="E402" i="5"/>
  <c r="D402" i="5" a="1"/>
  <c r="D402" i="5" s="1"/>
  <c r="B402" i="5"/>
  <c r="N401" i="5"/>
  <c r="H401" i="5"/>
  <c r="G401" i="5"/>
  <c r="F401" i="5"/>
  <c r="E401" i="5"/>
  <c r="D401" i="5" a="1"/>
  <c r="D401" i="5" s="1"/>
  <c r="B401" i="5"/>
  <c r="N400" i="5"/>
  <c r="H400" i="5"/>
  <c r="G400" i="5"/>
  <c r="F400" i="5"/>
  <c r="E400" i="5"/>
  <c r="D400" i="5" a="1"/>
  <c r="D400" i="5" s="1"/>
  <c r="B400" i="5"/>
  <c r="N399" i="5"/>
  <c r="H399" i="5"/>
  <c r="G399" i="5"/>
  <c r="F399" i="5"/>
  <c r="E399" i="5"/>
  <c r="D399" i="5" a="1"/>
  <c r="D399" i="5" s="1"/>
  <c r="B399" i="5"/>
  <c r="N398" i="5"/>
  <c r="H398" i="5"/>
  <c r="G398" i="5"/>
  <c r="F398" i="5"/>
  <c r="E398" i="5"/>
  <c r="D398" i="5" a="1"/>
  <c r="D398" i="5" s="1"/>
  <c r="B398" i="5"/>
  <c r="N397" i="5"/>
  <c r="H397" i="5"/>
  <c r="G397" i="5"/>
  <c r="F397" i="5"/>
  <c r="E397" i="5"/>
  <c r="D397" i="5" a="1"/>
  <c r="D397" i="5" s="1"/>
  <c r="B397" i="5"/>
  <c r="N396" i="5"/>
  <c r="H396" i="5"/>
  <c r="G396" i="5"/>
  <c r="F396" i="5"/>
  <c r="E396" i="5"/>
  <c r="D396" i="5" a="1"/>
  <c r="D396" i="5" s="1"/>
  <c r="B396" i="5"/>
  <c r="N395" i="5"/>
  <c r="H395" i="5"/>
  <c r="G395" i="5"/>
  <c r="F395" i="5"/>
  <c r="E395" i="5"/>
  <c r="D395" i="5" a="1"/>
  <c r="D395" i="5" s="1"/>
  <c r="B395" i="5"/>
  <c r="N394" i="5"/>
  <c r="H394" i="5"/>
  <c r="G394" i="5"/>
  <c r="F394" i="5"/>
  <c r="E394" i="5"/>
  <c r="D394" i="5" a="1"/>
  <c r="D394" i="5" s="1"/>
  <c r="B394" i="5"/>
  <c r="N393" i="5"/>
  <c r="H393" i="5"/>
  <c r="G393" i="5"/>
  <c r="F393" i="5"/>
  <c r="E393" i="5"/>
  <c r="D393" i="5" a="1"/>
  <c r="D393" i="5" s="1"/>
  <c r="B393" i="5"/>
  <c r="N392" i="5"/>
  <c r="H392" i="5"/>
  <c r="G392" i="5"/>
  <c r="F392" i="5"/>
  <c r="E392" i="5"/>
  <c r="D392" i="5" a="1"/>
  <c r="D392" i="5" s="1"/>
  <c r="B392" i="5"/>
  <c r="N391" i="5"/>
  <c r="H391" i="5"/>
  <c r="G391" i="5"/>
  <c r="F391" i="5"/>
  <c r="E391" i="5"/>
  <c r="D391" i="5" a="1"/>
  <c r="D391" i="5" s="1"/>
  <c r="B391" i="5"/>
  <c r="N390" i="5"/>
  <c r="H390" i="5"/>
  <c r="G390" i="5"/>
  <c r="F390" i="5"/>
  <c r="E390" i="5"/>
  <c r="D390" i="5" a="1"/>
  <c r="D390" i="5" s="1"/>
  <c r="B390" i="5"/>
  <c r="N389" i="5"/>
  <c r="H389" i="5"/>
  <c r="G389" i="5"/>
  <c r="F389" i="5"/>
  <c r="E389" i="5"/>
  <c r="D389" i="5" a="1"/>
  <c r="D389" i="5" s="1"/>
  <c r="B389" i="5"/>
  <c r="N388" i="5"/>
  <c r="H388" i="5"/>
  <c r="G388" i="5"/>
  <c r="F388" i="5"/>
  <c r="E388" i="5"/>
  <c r="D388" i="5" a="1"/>
  <c r="D388" i="5" s="1"/>
  <c r="B388" i="5"/>
  <c r="N387" i="5"/>
  <c r="H387" i="5"/>
  <c r="G387" i="5"/>
  <c r="F387" i="5"/>
  <c r="E387" i="5"/>
  <c r="D387" i="5" a="1"/>
  <c r="D387" i="5" s="1"/>
  <c r="B387" i="5"/>
  <c r="N386" i="5"/>
  <c r="H386" i="5"/>
  <c r="G386" i="5"/>
  <c r="F386" i="5"/>
  <c r="E386" i="5"/>
  <c r="D386" i="5" a="1"/>
  <c r="D386" i="5" s="1"/>
  <c r="B386" i="5"/>
  <c r="N385" i="5"/>
  <c r="H385" i="5"/>
  <c r="G385" i="5"/>
  <c r="F385" i="5"/>
  <c r="E385" i="5"/>
  <c r="D385" i="5" a="1"/>
  <c r="D385" i="5" s="1"/>
  <c r="B385" i="5"/>
  <c r="N384" i="5"/>
  <c r="H384" i="5"/>
  <c r="G384" i="5"/>
  <c r="F384" i="5"/>
  <c r="E384" i="5"/>
  <c r="D384" i="5" a="1"/>
  <c r="D384" i="5" s="1"/>
  <c r="B384" i="5"/>
  <c r="N383" i="5"/>
  <c r="H383" i="5"/>
  <c r="G383" i="5"/>
  <c r="F383" i="5"/>
  <c r="E383" i="5"/>
  <c r="D383" i="5" a="1"/>
  <c r="D383" i="5" s="1"/>
  <c r="B383" i="5"/>
  <c r="N382" i="5"/>
  <c r="H382" i="5"/>
  <c r="G382" i="5"/>
  <c r="F382" i="5"/>
  <c r="E382" i="5"/>
  <c r="D382" i="5" a="1"/>
  <c r="D382" i="5" s="1"/>
  <c r="B382" i="5"/>
  <c r="N381" i="5"/>
  <c r="H381" i="5"/>
  <c r="G381" i="5"/>
  <c r="F381" i="5"/>
  <c r="E381" i="5"/>
  <c r="D381" i="5" a="1"/>
  <c r="D381" i="5" s="1"/>
  <c r="B381" i="5"/>
  <c r="N380" i="5"/>
  <c r="H380" i="5"/>
  <c r="G380" i="5"/>
  <c r="F380" i="5"/>
  <c r="E380" i="5"/>
  <c r="D380" i="5" a="1"/>
  <c r="D380" i="5" s="1"/>
  <c r="B380" i="5"/>
  <c r="N379" i="5"/>
  <c r="H379" i="5"/>
  <c r="G379" i="5"/>
  <c r="F379" i="5"/>
  <c r="E379" i="5"/>
  <c r="D379" i="5" a="1"/>
  <c r="D379" i="5" s="1"/>
  <c r="B379" i="5"/>
  <c r="N378" i="5"/>
  <c r="H378" i="5"/>
  <c r="G378" i="5"/>
  <c r="F378" i="5"/>
  <c r="E378" i="5"/>
  <c r="D378" i="5" a="1"/>
  <c r="D378" i="5" s="1"/>
  <c r="B378" i="5"/>
  <c r="N377" i="5"/>
  <c r="H377" i="5"/>
  <c r="G377" i="5"/>
  <c r="F377" i="5"/>
  <c r="E377" i="5"/>
  <c r="D377" i="5" a="1"/>
  <c r="D377" i="5" s="1"/>
  <c r="B377" i="5"/>
  <c r="N376" i="5"/>
  <c r="H376" i="5"/>
  <c r="G376" i="5"/>
  <c r="F376" i="5"/>
  <c r="E376" i="5"/>
  <c r="D376" i="5" a="1"/>
  <c r="D376" i="5" s="1"/>
  <c r="B376" i="5"/>
  <c r="N375" i="5"/>
  <c r="H375" i="5"/>
  <c r="G375" i="5"/>
  <c r="F375" i="5"/>
  <c r="E375" i="5"/>
  <c r="D375" i="5" a="1"/>
  <c r="D375" i="5" s="1"/>
  <c r="B375" i="5"/>
  <c r="N374" i="5"/>
  <c r="H374" i="5"/>
  <c r="G374" i="5"/>
  <c r="F374" i="5"/>
  <c r="E374" i="5"/>
  <c r="D374" i="5" a="1"/>
  <c r="D374" i="5" s="1"/>
  <c r="B374" i="5"/>
  <c r="N373" i="5"/>
  <c r="H373" i="5"/>
  <c r="G373" i="5"/>
  <c r="F373" i="5"/>
  <c r="E373" i="5"/>
  <c r="D373" i="5" a="1"/>
  <c r="D373" i="5" s="1"/>
  <c r="B373" i="5"/>
  <c r="N372" i="5"/>
  <c r="H372" i="5"/>
  <c r="G372" i="5"/>
  <c r="F372" i="5"/>
  <c r="E372" i="5"/>
  <c r="D372" i="5" a="1"/>
  <c r="D372" i="5" s="1"/>
  <c r="B372" i="5"/>
  <c r="N371" i="5"/>
  <c r="H371" i="5"/>
  <c r="G371" i="5"/>
  <c r="F371" i="5"/>
  <c r="E371" i="5"/>
  <c r="D371" i="5" a="1"/>
  <c r="D371" i="5" s="1"/>
  <c r="B371" i="5"/>
  <c r="N370" i="5"/>
  <c r="H370" i="5"/>
  <c r="G370" i="5"/>
  <c r="F370" i="5"/>
  <c r="E370" i="5"/>
  <c r="D370" i="5" a="1"/>
  <c r="D370" i="5" s="1"/>
  <c r="B370" i="5"/>
  <c r="N369" i="5"/>
  <c r="H369" i="5"/>
  <c r="G369" i="5"/>
  <c r="F369" i="5"/>
  <c r="E369" i="5"/>
  <c r="D369" i="5" a="1"/>
  <c r="D369" i="5" s="1"/>
  <c r="B369" i="5"/>
  <c r="N368" i="5"/>
  <c r="H368" i="5"/>
  <c r="G368" i="5"/>
  <c r="F368" i="5"/>
  <c r="E368" i="5"/>
  <c r="D368" i="5" a="1"/>
  <c r="D368" i="5" s="1"/>
  <c r="B368" i="5"/>
  <c r="N367" i="5"/>
  <c r="H367" i="5"/>
  <c r="G367" i="5"/>
  <c r="F367" i="5"/>
  <c r="E367" i="5"/>
  <c r="D367" i="5" a="1"/>
  <c r="D367" i="5" s="1"/>
  <c r="B367" i="5"/>
  <c r="N366" i="5"/>
  <c r="H366" i="5"/>
  <c r="G366" i="5"/>
  <c r="F366" i="5"/>
  <c r="E366" i="5"/>
  <c r="D366" i="5" a="1"/>
  <c r="D366" i="5" s="1"/>
  <c r="B366" i="5"/>
  <c r="N365" i="5"/>
  <c r="H365" i="5"/>
  <c r="G365" i="5"/>
  <c r="F365" i="5"/>
  <c r="E365" i="5"/>
  <c r="D365" i="5" a="1"/>
  <c r="D365" i="5" s="1"/>
  <c r="B365" i="5"/>
  <c r="N364" i="5"/>
  <c r="H364" i="5"/>
  <c r="G364" i="5"/>
  <c r="F364" i="5"/>
  <c r="E364" i="5"/>
  <c r="D364" i="5" a="1"/>
  <c r="D364" i="5" s="1"/>
  <c r="B364" i="5"/>
  <c r="N363" i="5"/>
  <c r="H363" i="5"/>
  <c r="G363" i="5"/>
  <c r="F363" i="5"/>
  <c r="E363" i="5"/>
  <c r="D363" i="5" a="1"/>
  <c r="D363" i="5" s="1"/>
  <c r="B363" i="5"/>
  <c r="N362" i="5"/>
  <c r="H362" i="5"/>
  <c r="G362" i="5"/>
  <c r="F362" i="5"/>
  <c r="E362" i="5"/>
  <c r="D362" i="5" a="1"/>
  <c r="D362" i="5" s="1"/>
  <c r="B362" i="5"/>
  <c r="N361" i="5"/>
  <c r="H361" i="5"/>
  <c r="G361" i="5"/>
  <c r="F361" i="5"/>
  <c r="E361" i="5"/>
  <c r="D361" i="5" a="1"/>
  <c r="D361" i="5" s="1"/>
  <c r="B361" i="5"/>
  <c r="N360" i="5"/>
  <c r="H360" i="5"/>
  <c r="G360" i="5"/>
  <c r="F360" i="5"/>
  <c r="E360" i="5"/>
  <c r="D360" i="5" a="1"/>
  <c r="D360" i="5" s="1"/>
  <c r="B360" i="5"/>
  <c r="N359" i="5"/>
  <c r="H359" i="5"/>
  <c r="G359" i="5"/>
  <c r="F359" i="5"/>
  <c r="E359" i="5"/>
  <c r="D359" i="5" a="1"/>
  <c r="D359" i="5" s="1"/>
  <c r="B359" i="5"/>
  <c r="N358" i="5"/>
  <c r="H358" i="5"/>
  <c r="G358" i="5"/>
  <c r="F358" i="5"/>
  <c r="E358" i="5"/>
  <c r="D358" i="5" a="1"/>
  <c r="D358" i="5" s="1"/>
  <c r="B358" i="5"/>
  <c r="N357" i="5"/>
  <c r="H357" i="5"/>
  <c r="G357" i="5"/>
  <c r="F357" i="5"/>
  <c r="E357" i="5"/>
  <c r="D357" i="5" a="1"/>
  <c r="D357" i="5" s="1"/>
  <c r="B357" i="5"/>
  <c r="N356" i="5"/>
  <c r="H356" i="5"/>
  <c r="G356" i="5"/>
  <c r="F356" i="5"/>
  <c r="E356" i="5"/>
  <c r="D356" i="5" a="1"/>
  <c r="D356" i="5" s="1"/>
  <c r="B356" i="5"/>
  <c r="N355" i="5"/>
  <c r="H355" i="5"/>
  <c r="G355" i="5"/>
  <c r="F355" i="5"/>
  <c r="E355" i="5"/>
  <c r="D355" i="5" a="1"/>
  <c r="D355" i="5" s="1"/>
  <c r="B355" i="5"/>
  <c r="N354" i="5"/>
  <c r="H354" i="5"/>
  <c r="G354" i="5"/>
  <c r="F354" i="5"/>
  <c r="E354" i="5"/>
  <c r="D354" i="5" a="1"/>
  <c r="D354" i="5" s="1"/>
  <c r="B354" i="5"/>
  <c r="N353" i="5"/>
  <c r="H353" i="5"/>
  <c r="G353" i="5"/>
  <c r="F353" i="5"/>
  <c r="E353" i="5"/>
  <c r="D353" i="5" a="1"/>
  <c r="D353" i="5" s="1"/>
  <c r="B353" i="5"/>
  <c r="N352" i="5"/>
  <c r="H352" i="5"/>
  <c r="G352" i="5"/>
  <c r="F352" i="5"/>
  <c r="E352" i="5"/>
  <c r="D352" i="5" a="1"/>
  <c r="D352" i="5" s="1"/>
  <c r="B352" i="5"/>
  <c r="N351" i="5"/>
  <c r="H351" i="5"/>
  <c r="G351" i="5"/>
  <c r="F351" i="5"/>
  <c r="E351" i="5"/>
  <c r="D351" i="5" a="1"/>
  <c r="D351" i="5" s="1"/>
  <c r="B351" i="5"/>
  <c r="N350" i="5"/>
  <c r="H350" i="5"/>
  <c r="G350" i="5"/>
  <c r="F350" i="5"/>
  <c r="E350" i="5"/>
  <c r="D350" i="5" a="1"/>
  <c r="D350" i="5" s="1"/>
  <c r="B350" i="5"/>
  <c r="N349" i="5"/>
  <c r="H349" i="5"/>
  <c r="G349" i="5"/>
  <c r="F349" i="5"/>
  <c r="E349" i="5"/>
  <c r="D349" i="5" a="1"/>
  <c r="D349" i="5" s="1"/>
  <c r="B349" i="5"/>
  <c r="N348" i="5"/>
  <c r="H348" i="5"/>
  <c r="G348" i="5"/>
  <c r="F348" i="5"/>
  <c r="E348" i="5"/>
  <c r="D348" i="5" a="1"/>
  <c r="D348" i="5" s="1"/>
  <c r="B348" i="5"/>
  <c r="N347" i="5"/>
  <c r="H347" i="5"/>
  <c r="G347" i="5"/>
  <c r="F347" i="5"/>
  <c r="E347" i="5"/>
  <c r="D347" i="5" a="1"/>
  <c r="D347" i="5" s="1"/>
  <c r="B347" i="5"/>
  <c r="N346" i="5"/>
  <c r="H346" i="5"/>
  <c r="G346" i="5"/>
  <c r="F346" i="5"/>
  <c r="E346" i="5"/>
  <c r="D346" i="5" a="1"/>
  <c r="D346" i="5" s="1"/>
  <c r="B346" i="5"/>
  <c r="N345" i="5"/>
  <c r="H345" i="5"/>
  <c r="G345" i="5"/>
  <c r="F345" i="5"/>
  <c r="E345" i="5"/>
  <c r="D345" i="5" a="1"/>
  <c r="D345" i="5" s="1"/>
  <c r="B345" i="5"/>
  <c r="N344" i="5"/>
  <c r="H344" i="5"/>
  <c r="G344" i="5"/>
  <c r="F344" i="5"/>
  <c r="E344" i="5"/>
  <c r="D344" i="5" a="1"/>
  <c r="D344" i="5" s="1"/>
  <c r="B344" i="5"/>
  <c r="N343" i="5"/>
  <c r="H343" i="5"/>
  <c r="G343" i="5"/>
  <c r="F343" i="5"/>
  <c r="E343" i="5"/>
  <c r="D343" i="5" a="1"/>
  <c r="D343" i="5" s="1"/>
  <c r="B343" i="5"/>
  <c r="N342" i="5"/>
  <c r="H342" i="5"/>
  <c r="G342" i="5"/>
  <c r="F342" i="5"/>
  <c r="E342" i="5"/>
  <c r="D342" i="5" a="1"/>
  <c r="D342" i="5" s="1"/>
  <c r="B342" i="5"/>
  <c r="N341" i="5"/>
  <c r="H341" i="5"/>
  <c r="G341" i="5"/>
  <c r="F341" i="5"/>
  <c r="E341" i="5"/>
  <c r="D341" i="5" a="1"/>
  <c r="D341" i="5" s="1"/>
  <c r="B341" i="5"/>
  <c r="N340" i="5"/>
  <c r="H340" i="5"/>
  <c r="G340" i="5"/>
  <c r="F340" i="5"/>
  <c r="E340" i="5"/>
  <c r="D340" i="5" a="1"/>
  <c r="D340" i="5" s="1"/>
  <c r="B340" i="5"/>
  <c r="N339" i="5"/>
  <c r="H339" i="5"/>
  <c r="G339" i="5"/>
  <c r="F339" i="5"/>
  <c r="E339" i="5"/>
  <c r="D339" i="5" a="1"/>
  <c r="D339" i="5" s="1"/>
  <c r="B339" i="5"/>
  <c r="N338" i="5"/>
  <c r="H338" i="5"/>
  <c r="G338" i="5"/>
  <c r="F338" i="5"/>
  <c r="E338" i="5"/>
  <c r="D338" i="5" a="1"/>
  <c r="D338" i="5" s="1"/>
  <c r="B338" i="5"/>
  <c r="N337" i="5"/>
  <c r="H337" i="5"/>
  <c r="G337" i="5"/>
  <c r="F337" i="5"/>
  <c r="E337" i="5"/>
  <c r="D337" i="5" a="1"/>
  <c r="D337" i="5" s="1"/>
  <c r="B337" i="5"/>
  <c r="N336" i="5"/>
  <c r="H336" i="5"/>
  <c r="G336" i="5"/>
  <c r="F336" i="5"/>
  <c r="E336" i="5"/>
  <c r="D336" i="5" a="1"/>
  <c r="D336" i="5" s="1"/>
  <c r="B336" i="5"/>
  <c r="N335" i="5"/>
  <c r="H335" i="5"/>
  <c r="G335" i="5"/>
  <c r="F335" i="5"/>
  <c r="E335" i="5"/>
  <c r="D335" i="5" a="1"/>
  <c r="D335" i="5" s="1"/>
  <c r="B335" i="5"/>
  <c r="N334" i="5"/>
  <c r="H334" i="5"/>
  <c r="G334" i="5"/>
  <c r="F334" i="5"/>
  <c r="E334" i="5"/>
  <c r="D334" i="5" a="1"/>
  <c r="D334" i="5" s="1"/>
  <c r="B334" i="5"/>
  <c r="N333" i="5"/>
  <c r="H333" i="5"/>
  <c r="G333" i="5"/>
  <c r="F333" i="5"/>
  <c r="E333" i="5"/>
  <c r="D333" i="5" a="1"/>
  <c r="D333" i="5" s="1"/>
  <c r="B333" i="5"/>
  <c r="N332" i="5"/>
  <c r="H332" i="5"/>
  <c r="G332" i="5"/>
  <c r="F332" i="5"/>
  <c r="E332" i="5"/>
  <c r="D332" i="5" a="1"/>
  <c r="D332" i="5" s="1"/>
  <c r="B332" i="5"/>
  <c r="N331" i="5"/>
  <c r="H331" i="5"/>
  <c r="G331" i="5"/>
  <c r="F331" i="5"/>
  <c r="E331" i="5"/>
  <c r="D331" i="5" a="1"/>
  <c r="D331" i="5" s="1"/>
  <c r="B331" i="5"/>
  <c r="N330" i="5"/>
  <c r="H330" i="5"/>
  <c r="G330" i="5"/>
  <c r="F330" i="5"/>
  <c r="E330" i="5"/>
  <c r="D330" i="5" a="1"/>
  <c r="D330" i="5" s="1"/>
  <c r="B330" i="5"/>
  <c r="N329" i="5"/>
  <c r="H329" i="5"/>
  <c r="G329" i="5"/>
  <c r="F329" i="5"/>
  <c r="E329" i="5"/>
  <c r="D329" i="5" a="1"/>
  <c r="D329" i="5" s="1"/>
  <c r="B329" i="5"/>
  <c r="N328" i="5"/>
  <c r="H328" i="5"/>
  <c r="G328" i="5"/>
  <c r="F328" i="5"/>
  <c r="E328" i="5"/>
  <c r="D328" i="5" a="1"/>
  <c r="D328" i="5" s="1"/>
  <c r="B328" i="5"/>
  <c r="N327" i="5"/>
  <c r="H327" i="5"/>
  <c r="G327" i="5"/>
  <c r="F327" i="5"/>
  <c r="E327" i="5"/>
  <c r="D327" i="5" a="1"/>
  <c r="D327" i="5" s="1"/>
  <c r="B327" i="5"/>
  <c r="N326" i="5"/>
  <c r="H326" i="5"/>
  <c r="G326" i="5"/>
  <c r="F326" i="5"/>
  <c r="E326" i="5"/>
  <c r="D326" i="5" a="1"/>
  <c r="D326" i="5" s="1"/>
  <c r="B326" i="5"/>
  <c r="N325" i="5"/>
  <c r="H325" i="5"/>
  <c r="G325" i="5"/>
  <c r="F325" i="5"/>
  <c r="E325" i="5"/>
  <c r="D325" i="5" a="1"/>
  <c r="D325" i="5" s="1"/>
  <c r="B325" i="5"/>
  <c r="N324" i="5"/>
  <c r="H324" i="5"/>
  <c r="G324" i="5"/>
  <c r="F324" i="5"/>
  <c r="E324" i="5"/>
  <c r="D324" i="5" a="1"/>
  <c r="D324" i="5" s="1"/>
  <c r="B324" i="5"/>
  <c r="N323" i="5"/>
  <c r="H323" i="5"/>
  <c r="G323" i="5"/>
  <c r="F323" i="5"/>
  <c r="E323" i="5"/>
  <c r="D323" i="5" a="1"/>
  <c r="D323" i="5" s="1"/>
  <c r="B323" i="5"/>
  <c r="N322" i="5"/>
  <c r="H322" i="5"/>
  <c r="G322" i="5"/>
  <c r="F322" i="5"/>
  <c r="E322" i="5"/>
  <c r="D322" i="5" a="1"/>
  <c r="D322" i="5" s="1"/>
  <c r="B322" i="5"/>
  <c r="N321" i="5"/>
  <c r="H321" i="5"/>
  <c r="G321" i="5"/>
  <c r="F321" i="5"/>
  <c r="E321" i="5"/>
  <c r="D321" i="5" a="1"/>
  <c r="D321" i="5" s="1"/>
  <c r="B321" i="5"/>
  <c r="N320" i="5"/>
  <c r="H320" i="5"/>
  <c r="G320" i="5"/>
  <c r="F320" i="5"/>
  <c r="E320" i="5"/>
  <c r="D320" i="5" a="1"/>
  <c r="D320" i="5" s="1"/>
  <c r="B320" i="5"/>
  <c r="N319" i="5"/>
  <c r="H319" i="5"/>
  <c r="G319" i="5"/>
  <c r="F319" i="5"/>
  <c r="E319" i="5"/>
  <c r="D319" i="5" a="1"/>
  <c r="D319" i="5" s="1"/>
  <c r="B319" i="5"/>
  <c r="N318" i="5"/>
  <c r="H318" i="5"/>
  <c r="G318" i="5"/>
  <c r="F318" i="5"/>
  <c r="E318" i="5"/>
  <c r="D318" i="5" a="1"/>
  <c r="D318" i="5" s="1"/>
  <c r="B318" i="5"/>
  <c r="N317" i="5"/>
  <c r="H317" i="5"/>
  <c r="G317" i="5"/>
  <c r="F317" i="5"/>
  <c r="E317" i="5"/>
  <c r="D317" i="5" a="1"/>
  <c r="D317" i="5" s="1"/>
  <c r="B317" i="5"/>
  <c r="N316" i="5"/>
  <c r="H316" i="5"/>
  <c r="G316" i="5"/>
  <c r="F316" i="5"/>
  <c r="E316" i="5"/>
  <c r="D316" i="5" a="1"/>
  <c r="D316" i="5" s="1"/>
  <c r="B316" i="5"/>
  <c r="N315" i="5"/>
  <c r="H315" i="5"/>
  <c r="G315" i="5"/>
  <c r="F315" i="5"/>
  <c r="E315" i="5"/>
  <c r="D315" i="5" a="1"/>
  <c r="D315" i="5" s="1"/>
  <c r="B315" i="5"/>
  <c r="N314" i="5"/>
  <c r="H314" i="5"/>
  <c r="G314" i="5"/>
  <c r="F314" i="5"/>
  <c r="E314" i="5"/>
  <c r="D314" i="5" a="1"/>
  <c r="D314" i="5" s="1"/>
  <c r="B314" i="5"/>
  <c r="N313" i="5"/>
  <c r="H313" i="5"/>
  <c r="G313" i="5"/>
  <c r="F313" i="5"/>
  <c r="E313" i="5"/>
  <c r="D313" i="5" a="1"/>
  <c r="D313" i="5" s="1"/>
  <c r="B313" i="5"/>
  <c r="N312" i="5"/>
  <c r="H312" i="5"/>
  <c r="G312" i="5"/>
  <c r="F312" i="5"/>
  <c r="E312" i="5"/>
  <c r="D312" i="5" a="1"/>
  <c r="D312" i="5" s="1"/>
  <c r="B312" i="5"/>
  <c r="N311" i="5"/>
  <c r="H311" i="5"/>
  <c r="G311" i="5"/>
  <c r="F311" i="5"/>
  <c r="E311" i="5"/>
  <c r="D311" i="5" a="1"/>
  <c r="D311" i="5" s="1"/>
  <c r="B311" i="5"/>
  <c r="N310" i="5"/>
  <c r="H310" i="5"/>
  <c r="G310" i="5"/>
  <c r="F310" i="5"/>
  <c r="E310" i="5"/>
  <c r="D310" i="5" a="1"/>
  <c r="D310" i="5" s="1"/>
  <c r="B310" i="5"/>
  <c r="N309" i="5"/>
  <c r="H309" i="5"/>
  <c r="G309" i="5"/>
  <c r="F309" i="5"/>
  <c r="E309" i="5"/>
  <c r="D309" i="5" a="1"/>
  <c r="D309" i="5" s="1"/>
  <c r="B309" i="5"/>
  <c r="N308" i="5"/>
  <c r="H308" i="5"/>
  <c r="G308" i="5"/>
  <c r="F308" i="5"/>
  <c r="E308" i="5"/>
  <c r="D308" i="5" a="1"/>
  <c r="D308" i="5" s="1"/>
  <c r="B308" i="5"/>
  <c r="N307" i="5"/>
  <c r="H307" i="5"/>
  <c r="G307" i="5"/>
  <c r="F307" i="5"/>
  <c r="E307" i="5"/>
  <c r="D307" i="5" a="1"/>
  <c r="D307" i="5" s="1"/>
  <c r="B307" i="5"/>
  <c r="N306" i="5"/>
  <c r="H306" i="5"/>
  <c r="G306" i="5"/>
  <c r="F306" i="5"/>
  <c r="E306" i="5"/>
  <c r="D306" i="5" a="1"/>
  <c r="D306" i="5" s="1"/>
  <c r="B306" i="5"/>
  <c r="N305" i="5"/>
  <c r="H305" i="5"/>
  <c r="G305" i="5"/>
  <c r="F305" i="5"/>
  <c r="E305" i="5"/>
  <c r="D305" i="5" a="1"/>
  <c r="D305" i="5" s="1"/>
  <c r="B305" i="5"/>
  <c r="N304" i="5"/>
  <c r="H304" i="5"/>
  <c r="G304" i="5"/>
  <c r="F304" i="5"/>
  <c r="E304" i="5"/>
  <c r="D304" i="5" a="1"/>
  <c r="D304" i="5" s="1"/>
  <c r="B304" i="5"/>
  <c r="N303" i="5"/>
  <c r="H303" i="5"/>
  <c r="G303" i="5"/>
  <c r="F303" i="5"/>
  <c r="E303" i="5"/>
  <c r="D303" i="5" a="1"/>
  <c r="D303" i="5" s="1"/>
  <c r="B303" i="5"/>
  <c r="N302" i="5"/>
  <c r="H302" i="5"/>
  <c r="G302" i="5"/>
  <c r="F302" i="5"/>
  <c r="E302" i="5"/>
  <c r="D302" i="5" a="1"/>
  <c r="D302" i="5" s="1"/>
  <c r="B302" i="5"/>
  <c r="N301" i="5"/>
  <c r="H301" i="5"/>
  <c r="G301" i="5"/>
  <c r="F301" i="5"/>
  <c r="E301" i="5"/>
  <c r="D301" i="5" a="1"/>
  <c r="D301" i="5" s="1"/>
  <c r="B301" i="5"/>
  <c r="N300" i="5"/>
  <c r="H300" i="5"/>
  <c r="G300" i="5"/>
  <c r="F300" i="5"/>
  <c r="E300" i="5"/>
  <c r="D300" i="5" a="1"/>
  <c r="D300" i="5" s="1"/>
  <c r="B300" i="5"/>
  <c r="N299" i="5"/>
  <c r="H299" i="5"/>
  <c r="G299" i="5"/>
  <c r="F299" i="5"/>
  <c r="E299" i="5"/>
  <c r="D299" i="5" a="1"/>
  <c r="D299" i="5" s="1"/>
  <c r="B299" i="5"/>
  <c r="N298" i="5"/>
  <c r="H298" i="5"/>
  <c r="G298" i="5"/>
  <c r="F298" i="5"/>
  <c r="E298" i="5"/>
  <c r="D298" i="5" a="1"/>
  <c r="D298" i="5" s="1"/>
  <c r="B298" i="5"/>
  <c r="N297" i="5"/>
  <c r="H297" i="5"/>
  <c r="G297" i="5"/>
  <c r="F297" i="5"/>
  <c r="E297" i="5"/>
  <c r="D297" i="5" a="1"/>
  <c r="D297" i="5" s="1"/>
  <c r="B297" i="5"/>
  <c r="N296" i="5"/>
  <c r="H296" i="5"/>
  <c r="G296" i="5"/>
  <c r="F296" i="5"/>
  <c r="E296" i="5"/>
  <c r="D296" i="5" a="1"/>
  <c r="D296" i="5" s="1"/>
  <c r="B296" i="5"/>
  <c r="N295" i="5"/>
  <c r="H295" i="5"/>
  <c r="G295" i="5"/>
  <c r="F295" i="5"/>
  <c r="E295" i="5"/>
  <c r="D295" i="5" a="1"/>
  <c r="D295" i="5" s="1"/>
  <c r="B295" i="5"/>
  <c r="N294" i="5"/>
  <c r="H294" i="5"/>
  <c r="G294" i="5"/>
  <c r="F294" i="5"/>
  <c r="E294" i="5"/>
  <c r="D294" i="5" a="1"/>
  <c r="D294" i="5" s="1"/>
  <c r="B294" i="5"/>
  <c r="N293" i="5"/>
  <c r="H293" i="5"/>
  <c r="G293" i="5"/>
  <c r="F293" i="5"/>
  <c r="E293" i="5"/>
  <c r="D293" i="5" a="1"/>
  <c r="D293" i="5" s="1"/>
  <c r="B293" i="5"/>
  <c r="N292" i="5"/>
  <c r="H292" i="5"/>
  <c r="G292" i="5"/>
  <c r="F292" i="5"/>
  <c r="E292" i="5"/>
  <c r="D292" i="5" a="1"/>
  <c r="D292" i="5" s="1"/>
  <c r="B292" i="5"/>
  <c r="N291" i="5"/>
  <c r="H291" i="5"/>
  <c r="G291" i="5"/>
  <c r="F291" i="5"/>
  <c r="E291" i="5"/>
  <c r="D291" i="5" a="1"/>
  <c r="D291" i="5" s="1"/>
  <c r="B291" i="5"/>
  <c r="N290" i="5"/>
  <c r="H290" i="5"/>
  <c r="G290" i="5"/>
  <c r="F290" i="5"/>
  <c r="E290" i="5"/>
  <c r="D290" i="5" a="1"/>
  <c r="D290" i="5" s="1"/>
  <c r="B290" i="5"/>
  <c r="N289" i="5"/>
  <c r="H289" i="5"/>
  <c r="G289" i="5"/>
  <c r="F289" i="5"/>
  <c r="E289" i="5"/>
  <c r="D289" i="5" a="1"/>
  <c r="D289" i="5" s="1"/>
  <c r="B289" i="5"/>
  <c r="N288" i="5"/>
  <c r="H288" i="5"/>
  <c r="G288" i="5"/>
  <c r="F288" i="5"/>
  <c r="E288" i="5"/>
  <c r="D288" i="5" a="1"/>
  <c r="D288" i="5" s="1"/>
  <c r="B288" i="5"/>
  <c r="N287" i="5"/>
  <c r="H287" i="5"/>
  <c r="G287" i="5"/>
  <c r="F287" i="5"/>
  <c r="E287" i="5"/>
  <c r="D287" i="5" a="1"/>
  <c r="D287" i="5" s="1"/>
  <c r="B287" i="5"/>
  <c r="N286" i="5"/>
  <c r="H286" i="5"/>
  <c r="G286" i="5"/>
  <c r="F286" i="5"/>
  <c r="E286" i="5"/>
  <c r="D286" i="5" a="1"/>
  <c r="D286" i="5" s="1"/>
  <c r="B286" i="5"/>
  <c r="N285" i="5"/>
  <c r="H285" i="5"/>
  <c r="G285" i="5"/>
  <c r="F285" i="5"/>
  <c r="E285" i="5"/>
  <c r="D285" i="5" a="1"/>
  <c r="D285" i="5" s="1"/>
  <c r="B285" i="5"/>
  <c r="N284" i="5"/>
  <c r="H284" i="5"/>
  <c r="G284" i="5"/>
  <c r="F284" i="5"/>
  <c r="E284" i="5"/>
  <c r="D284" i="5" a="1"/>
  <c r="D284" i="5" s="1"/>
  <c r="B284" i="5"/>
  <c r="N283" i="5"/>
  <c r="H283" i="5"/>
  <c r="G283" i="5"/>
  <c r="F283" i="5"/>
  <c r="E283" i="5"/>
  <c r="D283" i="5" a="1"/>
  <c r="D283" i="5" s="1"/>
  <c r="B283" i="5"/>
  <c r="N282" i="5"/>
  <c r="H282" i="5"/>
  <c r="G282" i="5"/>
  <c r="F282" i="5"/>
  <c r="E282" i="5"/>
  <c r="D282" i="5" a="1"/>
  <c r="D282" i="5" s="1"/>
  <c r="B282" i="5"/>
  <c r="N281" i="5"/>
  <c r="H281" i="5"/>
  <c r="G281" i="5"/>
  <c r="F281" i="5"/>
  <c r="E281" i="5"/>
  <c r="D281" i="5" a="1"/>
  <c r="D281" i="5" s="1"/>
  <c r="B281" i="5"/>
  <c r="N280" i="5"/>
  <c r="H280" i="5"/>
  <c r="G280" i="5"/>
  <c r="F280" i="5"/>
  <c r="E280" i="5"/>
  <c r="D280" i="5" a="1"/>
  <c r="D280" i="5" s="1"/>
  <c r="B280" i="5"/>
  <c r="N279" i="5"/>
  <c r="H279" i="5"/>
  <c r="G279" i="5"/>
  <c r="F279" i="5"/>
  <c r="E279" i="5"/>
  <c r="D279" i="5" a="1"/>
  <c r="D279" i="5" s="1"/>
  <c r="B279" i="5"/>
  <c r="N278" i="5"/>
  <c r="H278" i="5"/>
  <c r="G278" i="5"/>
  <c r="F278" i="5"/>
  <c r="E278" i="5"/>
  <c r="D278" i="5" a="1"/>
  <c r="D278" i="5" s="1"/>
  <c r="B278" i="5"/>
  <c r="N277" i="5"/>
  <c r="H277" i="5"/>
  <c r="G277" i="5"/>
  <c r="F277" i="5"/>
  <c r="E277" i="5"/>
  <c r="D277" i="5" a="1"/>
  <c r="D277" i="5" s="1"/>
  <c r="B277" i="5"/>
  <c r="N276" i="5"/>
  <c r="H276" i="5"/>
  <c r="G276" i="5"/>
  <c r="F276" i="5"/>
  <c r="E276" i="5"/>
  <c r="D276" i="5" a="1"/>
  <c r="D276" i="5" s="1"/>
  <c r="B276" i="5"/>
  <c r="N275" i="5"/>
  <c r="H275" i="5"/>
  <c r="G275" i="5"/>
  <c r="F275" i="5"/>
  <c r="E275" i="5"/>
  <c r="D275" i="5" a="1"/>
  <c r="D275" i="5" s="1"/>
  <c r="B275" i="5"/>
  <c r="N274" i="5"/>
  <c r="H274" i="5"/>
  <c r="G274" i="5"/>
  <c r="F274" i="5"/>
  <c r="E274" i="5"/>
  <c r="D274" i="5" a="1"/>
  <c r="D274" i="5" s="1"/>
  <c r="B274" i="5"/>
  <c r="N273" i="5"/>
  <c r="H273" i="5"/>
  <c r="G273" i="5"/>
  <c r="F273" i="5"/>
  <c r="E273" i="5"/>
  <c r="D273" i="5" a="1"/>
  <c r="D273" i="5" s="1"/>
  <c r="B273" i="5"/>
  <c r="N272" i="5"/>
  <c r="H272" i="5"/>
  <c r="G272" i="5"/>
  <c r="F272" i="5"/>
  <c r="E272" i="5"/>
  <c r="D272" i="5" a="1"/>
  <c r="D272" i="5" s="1"/>
  <c r="B272" i="5"/>
  <c r="N271" i="5"/>
  <c r="H271" i="5"/>
  <c r="G271" i="5"/>
  <c r="F271" i="5"/>
  <c r="E271" i="5"/>
  <c r="D271" i="5" a="1"/>
  <c r="D271" i="5" s="1"/>
  <c r="B271" i="5"/>
  <c r="N270" i="5"/>
  <c r="H270" i="5"/>
  <c r="G270" i="5"/>
  <c r="F270" i="5"/>
  <c r="E270" i="5"/>
  <c r="D270" i="5" a="1"/>
  <c r="D270" i="5" s="1"/>
  <c r="B270" i="5"/>
  <c r="N269" i="5"/>
  <c r="H269" i="5"/>
  <c r="G269" i="5"/>
  <c r="F269" i="5"/>
  <c r="E269" i="5"/>
  <c r="D269" i="5" a="1"/>
  <c r="D269" i="5" s="1"/>
  <c r="B269" i="5"/>
  <c r="N268" i="5"/>
  <c r="H268" i="5"/>
  <c r="G268" i="5"/>
  <c r="F268" i="5"/>
  <c r="E268" i="5"/>
  <c r="D268" i="5" a="1"/>
  <c r="D268" i="5" s="1"/>
  <c r="B268" i="5"/>
  <c r="N267" i="5"/>
  <c r="H267" i="5"/>
  <c r="G267" i="5"/>
  <c r="F267" i="5"/>
  <c r="E267" i="5"/>
  <c r="D267" i="5" a="1"/>
  <c r="D267" i="5" s="1"/>
  <c r="B267" i="5"/>
  <c r="N266" i="5"/>
  <c r="H266" i="5"/>
  <c r="G266" i="5"/>
  <c r="F266" i="5"/>
  <c r="E266" i="5"/>
  <c r="D266" i="5" a="1"/>
  <c r="D266" i="5" s="1"/>
  <c r="B266" i="5"/>
  <c r="N265" i="5"/>
  <c r="H265" i="5"/>
  <c r="G265" i="5"/>
  <c r="F265" i="5"/>
  <c r="E265" i="5"/>
  <c r="D265" i="5" a="1"/>
  <c r="D265" i="5" s="1"/>
  <c r="B265" i="5"/>
  <c r="N264" i="5"/>
  <c r="H264" i="5"/>
  <c r="G264" i="5"/>
  <c r="F264" i="5"/>
  <c r="E264" i="5"/>
  <c r="D264" i="5" a="1"/>
  <c r="D264" i="5" s="1"/>
  <c r="B264" i="5"/>
  <c r="N263" i="5"/>
  <c r="H263" i="5"/>
  <c r="G263" i="5"/>
  <c r="F263" i="5"/>
  <c r="E263" i="5"/>
  <c r="D263" i="5" a="1"/>
  <c r="D263" i="5" s="1"/>
  <c r="B263" i="5"/>
  <c r="N262" i="5"/>
  <c r="H262" i="5"/>
  <c r="G262" i="5"/>
  <c r="F262" i="5"/>
  <c r="E262" i="5"/>
  <c r="D262" i="5" a="1"/>
  <c r="D262" i="5" s="1"/>
  <c r="B262" i="5"/>
  <c r="N261" i="5"/>
  <c r="H261" i="5"/>
  <c r="G261" i="5"/>
  <c r="F261" i="5"/>
  <c r="E261" i="5"/>
  <c r="D261" i="5" a="1"/>
  <c r="D261" i="5" s="1"/>
  <c r="B261" i="5"/>
  <c r="N260" i="5"/>
  <c r="H260" i="5"/>
  <c r="G260" i="5"/>
  <c r="F260" i="5"/>
  <c r="E260" i="5"/>
  <c r="D260" i="5" a="1"/>
  <c r="D260" i="5" s="1"/>
  <c r="B260" i="5"/>
  <c r="N259" i="5"/>
  <c r="H259" i="5"/>
  <c r="G259" i="5"/>
  <c r="F259" i="5"/>
  <c r="E259" i="5"/>
  <c r="D259" i="5" a="1"/>
  <c r="D259" i="5" s="1"/>
  <c r="B259" i="5"/>
  <c r="N258" i="5"/>
  <c r="H258" i="5"/>
  <c r="G258" i="5"/>
  <c r="F258" i="5"/>
  <c r="E258" i="5"/>
  <c r="D258" i="5" a="1"/>
  <c r="D258" i="5" s="1"/>
  <c r="B258" i="5"/>
  <c r="N257" i="5"/>
  <c r="H257" i="5"/>
  <c r="G257" i="5"/>
  <c r="F257" i="5"/>
  <c r="E257" i="5"/>
  <c r="D257" i="5" a="1"/>
  <c r="D257" i="5" s="1"/>
  <c r="B257" i="5"/>
  <c r="N256" i="5"/>
  <c r="H256" i="5"/>
  <c r="G256" i="5"/>
  <c r="F256" i="5"/>
  <c r="E256" i="5"/>
  <c r="D256" i="5" a="1"/>
  <c r="D256" i="5" s="1"/>
  <c r="B256" i="5"/>
  <c r="N255" i="5"/>
  <c r="H255" i="5"/>
  <c r="G255" i="5"/>
  <c r="F255" i="5"/>
  <c r="E255" i="5"/>
  <c r="D255" i="5" a="1"/>
  <c r="D255" i="5" s="1"/>
  <c r="B255" i="5"/>
  <c r="N254" i="5"/>
  <c r="H254" i="5"/>
  <c r="G254" i="5"/>
  <c r="F254" i="5"/>
  <c r="E254" i="5"/>
  <c r="D254" i="5" a="1"/>
  <c r="D254" i="5" s="1"/>
  <c r="B254" i="5"/>
  <c r="N253" i="5"/>
  <c r="H253" i="5"/>
  <c r="G253" i="5"/>
  <c r="F253" i="5"/>
  <c r="E253" i="5"/>
  <c r="D253" i="5" a="1"/>
  <c r="D253" i="5" s="1"/>
  <c r="B253" i="5"/>
  <c r="N252" i="5"/>
  <c r="H252" i="5"/>
  <c r="G252" i="5"/>
  <c r="F252" i="5"/>
  <c r="E252" i="5"/>
  <c r="D252" i="5" a="1"/>
  <c r="D252" i="5" s="1"/>
  <c r="B252" i="5"/>
  <c r="N251" i="5"/>
  <c r="H251" i="5"/>
  <c r="G251" i="5"/>
  <c r="F251" i="5"/>
  <c r="E251" i="5"/>
  <c r="D251" i="5" a="1"/>
  <c r="D251" i="5" s="1"/>
  <c r="B251" i="5"/>
  <c r="N250" i="5"/>
  <c r="H250" i="5"/>
  <c r="G250" i="5"/>
  <c r="F250" i="5"/>
  <c r="E250" i="5"/>
  <c r="D250" i="5" a="1"/>
  <c r="D250" i="5" s="1"/>
  <c r="B250" i="5"/>
  <c r="N249" i="5"/>
  <c r="H249" i="5"/>
  <c r="G249" i="5"/>
  <c r="F249" i="5"/>
  <c r="E249" i="5"/>
  <c r="D249" i="5" a="1"/>
  <c r="D249" i="5" s="1"/>
  <c r="B249" i="5"/>
  <c r="N248" i="5"/>
  <c r="H248" i="5"/>
  <c r="G248" i="5"/>
  <c r="F248" i="5"/>
  <c r="E248" i="5"/>
  <c r="D248" i="5" a="1"/>
  <c r="D248" i="5" s="1"/>
  <c r="B248" i="5"/>
  <c r="N247" i="5"/>
  <c r="H247" i="5"/>
  <c r="G247" i="5"/>
  <c r="F247" i="5"/>
  <c r="E247" i="5"/>
  <c r="D247" i="5" a="1"/>
  <c r="D247" i="5" s="1"/>
  <c r="B247" i="5"/>
  <c r="N246" i="5"/>
  <c r="H246" i="5"/>
  <c r="G246" i="5"/>
  <c r="F246" i="5"/>
  <c r="E246" i="5"/>
  <c r="D246" i="5" a="1"/>
  <c r="D246" i="5" s="1"/>
  <c r="B246" i="5"/>
  <c r="N245" i="5"/>
  <c r="H245" i="5"/>
  <c r="G245" i="5"/>
  <c r="F245" i="5"/>
  <c r="E245" i="5"/>
  <c r="D245" i="5" a="1"/>
  <c r="D245" i="5" s="1"/>
  <c r="B245" i="5"/>
  <c r="N244" i="5"/>
  <c r="H244" i="5"/>
  <c r="G244" i="5"/>
  <c r="F244" i="5"/>
  <c r="E244" i="5"/>
  <c r="D244" i="5" a="1"/>
  <c r="D244" i="5" s="1"/>
  <c r="B244" i="5"/>
  <c r="N243" i="5"/>
  <c r="H243" i="5"/>
  <c r="G243" i="5"/>
  <c r="F243" i="5"/>
  <c r="E243" i="5"/>
  <c r="D243" i="5" a="1"/>
  <c r="D243" i="5" s="1"/>
  <c r="B243" i="5"/>
  <c r="N242" i="5"/>
  <c r="H242" i="5"/>
  <c r="G242" i="5"/>
  <c r="F242" i="5"/>
  <c r="E242" i="5"/>
  <c r="D242" i="5" a="1"/>
  <c r="D242" i="5" s="1"/>
  <c r="B242" i="5"/>
  <c r="N241" i="5"/>
  <c r="H241" i="5"/>
  <c r="G241" i="5"/>
  <c r="F241" i="5"/>
  <c r="E241" i="5"/>
  <c r="D241" i="5" a="1"/>
  <c r="D241" i="5" s="1"/>
  <c r="B241" i="5"/>
  <c r="N240" i="5"/>
  <c r="H240" i="5"/>
  <c r="G240" i="5"/>
  <c r="F240" i="5"/>
  <c r="E240" i="5"/>
  <c r="D240" i="5" a="1"/>
  <c r="D240" i="5" s="1"/>
  <c r="B240" i="5"/>
  <c r="N239" i="5"/>
  <c r="H239" i="5"/>
  <c r="G239" i="5"/>
  <c r="F239" i="5"/>
  <c r="E239" i="5"/>
  <c r="D239" i="5" a="1"/>
  <c r="D239" i="5" s="1"/>
  <c r="B239" i="5"/>
  <c r="N238" i="5"/>
  <c r="H238" i="5"/>
  <c r="G238" i="5"/>
  <c r="F238" i="5"/>
  <c r="E238" i="5"/>
  <c r="D238" i="5" a="1"/>
  <c r="D238" i="5" s="1"/>
  <c r="B238" i="5"/>
  <c r="N237" i="5"/>
  <c r="H237" i="5"/>
  <c r="G237" i="5"/>
  <c r="F237" i="5"/>
  <c r="E237" i="5"/>
  <c r="D237" i="5" a="1"/>
  <c r="D237" i="5" s="1"/>
  <c r="B237" i="5"/>
  <c r="N236" i="5"/>
  <c r="H236" i="5"/>
  <c r="G236" i="5"/>
  <c r="F236" i="5"/>
  <c r="E236" i="5"/>
  <c r="D236" i="5" a="1"/>
  <c r="D236" i="5" s="1"/>
  <c r="B236" i="5"/>
  <c r="N235" i="5"/>
  <c r="H235" i="5"/>
  <c r="G235" i="5"/>
  <c r="F235" i="5"/>
  <c r="E235" i="5"/>
  <c r="D235" i="5" a="1"/>
  <c r="D235" i="5" s="1"/>
  <c r="B235" i="5"/>
  <c r="N234" i="5"/>
  <c r="H234" i="5"/>
  <c r="G234" i="5"/>
  <c r="F234" i="5"/>
  <c r="E234" i="5"/>
  <c r="D234" i="5" a="1"/>
  <c r="D234" i="5" s="1"/>
  <c r="B234" i="5"/>
  <c r="N233" i="5"/>
  <c r="H233" i="5"/>
  <c r="G233" i="5"/>
  <c r="F233" i="5"/>
  <c r="E233" i="5"/>
  <c r="D233" i="5" a="1"/>
  <c r="D233" i="5" s="1"/>
  <c r="B233" i="5"/>
  <c r="N232" i="5"/>
  <c r="H232" i="5"/>
  <c r="G232" i="5"/>
  <c r="F232" i="5"/>
  <c r="E232" i="5"/>
  <c r="D232" i="5" a="1"/>
  <c r="D232" i="5" s="1"/>
  <c r="B232" i="5"/>
  <c r="N231" i="5"/>
  <c r="H231" i="5"/>
  <c r="G231" i="5"/>
  <c r="F231" i="5"/>
  <c r="E231" i="5"/>
  <c r="D231" i="5" a="1"/>
  <c r="D231" i="5" s="1"/>
  <c r="B231" i="5"/>
  <c r="N230" i="5"/>
  <c r="H230" i="5"/>
  <c r="G230" i="5"/>
  <c r="F230" i="5"/>
  <c r="E230" i="5"/>
  <c r="D230" i="5" a="1"/>
  <c r="D230" i="5" s="1"/>
  <c r="B230" i="5"/>
  <c r="N229" i="5"/>
  <c r="H229" i="5"/>
  <c r="G229" i="5"/>
  <c r="F229" i="5"/>
  <c r="E229" i="5"/>
  <c r="D229" i="5" a="1"/>
  <c r="D229" i="5" s="1"/>
  <c r="B229" i="5"/>
  <c r="N228" i="5"/>
  <c r="H228" i="5"/>
  <c r="G228" i="5"/>
  <c r="F228" i="5"/>
  <c r="E228" i="5"/>
  <c r="D228" i="5" a="1"/>
  <c r="D228" i="5" s="1"/>
  <c r="B228" i="5"/>
  <c r="N227" i="5"/>
  <c r="H227" i="5"/>
  <c r="G227" i="5"/>
  <c r="F227" i="5"/>
  <c r="E227" i="5"/>
  <c r="D227" i="5" a="1"/>
  <c r="D227" i="5" s="1"/>
  <c r="B227" i="5"/>
  <c r="N226" i="5"/>
  <c r="H226" i="5"/>
  <c r="G226" i="5"/>
  <c r="F226" i="5"/>
  <c r="E226" i="5"/>
  <c r="D226" i="5" a="1"/>
  <c r="D226" i="5" s="1"/>
  <c r="B226" i="5"/>
  <c r="N225" i="5"/>
  <c r="H225" i="5"/>
  <c r="G225" i="5"/>
  <c r="F225" i="5"/>
  <c r="E225" i="5"/>
  <c r="D225" i="5" a="1"/>
  <c r="D225" i="5" s="1"/>
  <c r="B225" i="5"/>
  <c r="N224" i="5"/>
  <c r="H224" i="5"/>
  <c r="G224" i="5"/>
  <c r="F224" i="5"/>
  <c r="E224" i="5"/>
  <c r="D224" i="5" a="1"/>
  <c r="D224" i="5" s="1"/>
  <c r="B224" i="5"/>
  <c r="N223" i="5"/>
  <c r="H223" i="5"/>
  <c r="G223" i="5"/>
  <c r="F223" i="5"/>
  <c r="E223" i="5"/>
  <c r="D223" i="5" a="1"/>
  <c r="D223" i="5" s="1"/>
  <c r="B223" i="5"/>
  <c r="N222" i="5"/>
  <c r="H222" i="5"/>
  <c r="G222" i="5"/>
  <c r="F222" i="5"/>
  <c r="E222" i="5"/>
  <c r="D222" i="5" a="1"/>
  <c r="D222" i="5" s="1"/>
  <c r="B222" i="5"/>
  <c r="N221" i="5"/>
  <c r="H221" i="5"/>
  <c r="G221" i="5"/>
  <c r="F221" i="5"/>
  <c r="E221" i="5"/>
  <c r="D221" i="5" a="1"/>
  <c r="D221" i="5" s="1"/>
  <c r="B221" i="5"/>
  <c r="N220" i="5"/>
  <c r="H220" i="5"/>
  <c r="G220" i="5"/>
  <c r="F220" i="5"/>
  <c r="E220" i="5"/>
  <c r="D220" i="5" a="1"/>
  <c r="D220" i="5" s="1"/>
  <c r="B220" i="5"/>
  <c r="N219" i="5"/>
  <c r="H219" i="5"/>
  <c r="G219" i="5"/>
  <c r="F219" i="5"/>
  <c r="E219" i="5"/>
  <c r="D219" i="5" a="1"/>
  <c r="D219" i="5" s="1"/>
  <c r="B219" i="5"/>
  <c r="N218" i="5"/>
  <c r="H218" i="5"/>
  <c r="G218" i="5"/>
  <c r="F218" i="5"/>
  <c r="E218" i="5"/>
  <c r="D218" i="5" a="1"/>
  <c r="D218" i="5" s="1"/>
  <c r="B218" i="5"/>
  <c r="N217" i="5"/>
  <c r="H217" i="5"/>
  <c r="G217" i="5"/>
  <c r="F217" i="5"/>
  <c r="E217" i="5"/>
  <c r="D217" i="5" a="1"/>
  <c r="D217" i="5" s="1"/>
  <c r="B217" i="5"/>
  <c r="N216" i="5"/>
  <c r="H216" i="5"/>
  <c r="G216" i="5"/>
  <c r="F216" i="5"/>
  <c r="E216" i="5"/>
  <c r="D216" i="5" a="1"/>
  <c r="D216" i="5" s="1"/>
  <c r="B216" i="5"/>
  <c r="N215" i="5"/>
  <c r="H215" i="5"/>
  <c r="G215" i="5"/>
  <c r="F215" i="5"/>
  <c r="E215" i="5"/>
  <c r="D215" i="5" a="1"/>
  <c r="D215" i="5" s="1"/>
  <c r="B215" i="5"/>
  <c r="N214" i="5"/>
  <c r="H214" i="5"/>
  <c r="G214" i="5"/>
  <c r="F214" i="5"/>
  <c r="E214" i="5"/>
  <c r="D214" i="5" a="1"/>
  <c r="D214" i="5" s="1"/>
  <c r="B214" i="5"/>
  <c r="N213" i="5"/>
  <c r="H213" i="5"/>
  <c r="G213" i="5"/>
  <c r="F213" i="5"/>
  <c r="E213" i="5"/>
  <c r="D213" i="5" a="1"/>
  <c r="D213" i="5" s="1"/>
  <c r="B213" i="5"/>
  <c r="N212" i="5"/>
  <c r="H212" i="5"/>
  <c r="G212" i="5"/>
  <c r="F212" i="5"/>
  <c r="E212" i="5"/>
  <c r="D212" i="5" a="1"/>
  <c r="D212" i="5" s="1"/>
  <c r="B212" i="5"/>
  <c r="N211" i="5"/>
  <c r="H211" i="5"/>
  <c r="G211" i="5"/>
  <c r="F211" i="5"/>
  <c r="E211" i="5"/>
  <c r="D211" i="5" a="1"/>
  <c r="D211" i="5" s="1"/>
  <c r="B211" i="5"/>
  <c r="N210" i="5"/>
  <c r="H210" i="5"/>
  <c r="G210" i="5"/>
  <c r="F210" i="5"/>
  <c r="E210" i="5"/>
  <c r="D210" i="5" a="1"/>
  <c r="D210" i="5" s="1"/>
  <c r="B210" i="5"/>
  <c r="N209" i="5"/>
  <c r="H209" i="5"/>
  <c r="G209" i="5"/>
  <c r="F209" i="5"/>
  <c r="E209" i="5"/>
  <c r="D209" i="5" a="1"/>
  <c r="D209" i="5" s="1"/>
  <c r="B209" i="5"/>
  <c r="N208" i="5"/>
  <c r="H208" i="5"/>
  <c r="G208" i="5"/>
  <c r="F208" i="5"/>
  <c r="E208" i="5"/>
  <c r="D208" i="5" a="1"/>
  <c r="D208" i="5" s="1"/>
  <c r="B208" i="5"/>
  <c r="N207" i="5"/>
  <c r="H207" i="5"/>
  <c r="G207" i="5"/>
  <c r="F207" i="5"/>
  <c r="E207" i="5"/>
  <c r="D207" i="5" a="1"/>
  <c r="D207" i="5" s="1"/>
  <c r="B207" i="5"/>
  <c r="N206" i="5"/>
  <c r="H206" i="5"/>
  <c r="G206" i="5"/>
  <c r="F206" i="5"/>
  <c r="E206" i="5"/>
  <c r="D206" i="5" a="1"/>
  <c r="D206" i="5" s="1"/>
  <c r="B206" i="5"/>
  <c r="N205" i="5"/>
  <c r="H205" i="5"/>
  <c r="G205" i="5"/>
  <c r="F205" i="5"/>
  <c r="E205" i="5"/>
  <c r="D205" i="5" a="1"/>
  <c r="D205" i="5" s="1"/>
  <c r="B205" i="5"/>
  <c r="N204" i="5"/>
  <c r="H204" i="5"/>
  <c r="G204" i="5"/>
  <c r="F204" i="5"/>
  <c r="E204" i="5"/>
  <c r="D204" i="5" a="1"/>
  <c r="D204" i="5" s="1"/>
  <c r="B204" i="5"/>
  <c r="N203" i="5"/>
  <c r="H203" i="5"/>
  <c r="G203" i="5"/>
  <c r="F203" i="5"/>
  <c r="E203" i="5"/>
  <c r="D203" i="5" a="1"/>
  <c r="D203" i="5" s="1"/>
  <c r="B203" i="5"/>
  <c r="N202" i="5"/>
  <c r="H202" i="5"/>
  <c r="G202" i="5"/>
  <c r="F202" i="5"/>
  <c r="E202" i="5"/>
  <c r="D202" i="5" a="1"/>
  <c r="D202" i="5" s="1"/>
  <c r="B202" i="5"/>
  <c r="N201" i="5"/>
  <c r="H201" i="5"/>
  <c r="G201" i="5"/>
  <c r="F201" i="5"/>
  <c r="E201" i="5"/>
  <c r="D201" i="5" a="1"/>
  <c r="D201" i="5" s="1"/>
  <c r="B201" i="5"/>
  <c r="N200" i="5"/>
  <c r="H200" i="5"/>
  <c r="G200" i="5"/>
  <c r="F200" i="5"/>
  <c r="E200" i="5"/>
  <c r="D200" i="5" a="1"/>
  <c r="D200" i="5" s="1"/>
  <c r="B200" i="5"/>
  <c r="N199" i="5"/>
  <c r="H199" i="5"/>
  <c r="G199" i="5"/>
  <c r="F199" i="5"/>
  <c r="E199" i="5"/>
  <c r="D199" i="5" a="1"/>
  <c r="D199" i="5" s="1"/>
  <c r="B199" i="5"/>
  <c r="N198" i="5"/>
  <c r="H198" i="5"/>
  <c r="G198" i="5"/>
  <c r="F198" i="5"/>
  <c r="E198" i="5"/>
  <c r="D198" i="5" a="1"/>
  <c r="D198" i="5" s="1"/>
  <c r="B198" i="5"/>
  <c r="N197" i="5"/>
  <c r="H197" i="5"/>
  <c r="G197" i="5"/>
  <c r="F197" i="5"/>
  <c r="E197" i="5"/>
  <c r="D197" i="5" a="1"/>
  <c r="D197" i="5" s="1"/>
  <c r="B197" i="5"/>
  <c r="N196" i="5"/>
  <c r="H196" i="5"/>
  <c r="G196" i="5"/>
  <c r="F196" i="5"/>
  <c r="E196" i="5"/>
  <c r="D196" i="5" a="1"/>
  <c r="D196" i="5" s="1"/>
  <c r="B196" i="5"/>
  <c r="N195" i="5"/>
  <c r="H195" i="5"/>
  <c r="G195" i="5"/>
  <c r="F195" i="5"/>
  <c r="E195" i="5"/>
  <c r="D195" i="5" a="1"/>
  <c r="D195" i="5" s="1"/>
  <c r="B195" i="5"/>
  <c r="N194" i="5"/>
  <c r="H194" i="5"/>
  <c r="G194" i="5"/>
  <c r="F194" i="5"/>
  <c r="E194" i="5"/>
  <c r="D194" i="5" a="1"/>
  <c r="D194" i="5" s="1"/>
  <c r="B194" i="5"/>
  <c r="N193" i="5"/>
  <c r="H193" i="5"/>
  <c r="G193" i="5"/>
  <c r="F193" i="5"/>
  <c r="E193" i="5"/>
  <c r="D193" i="5" a="1"/>
  <c r="D193" i="5" s="1"/>
  <c r="B193" i="5"/>
  <c r="N192" i="5"/>
  <c r="H192" i="5"/>
  <c r="G192" i="5"/>
  <c r="F192" i="5"/>
  <c r="E192" i="5"/>
  <c r="D192" i="5" a="1"/>
  <c r="D192" i="5" s="1"/>
  <c r="B192" i="5"/>
  <c r="N191" i="5"/>
  <c r="H191" i="5"/>
  <c r="G191" i="5"/>
  <c r="F191" i="5"/>
  <c r="E191" i="5"/>
  <c r="D191" i="5" a="1"/>
  <c r="D191" i="5" s="1"/>
  <c r="B191" i="5"/>
  <c r="N190" i="5"/>
  <c r="H190" i="5"/>
  <c r="G190" i="5"/>
  <c r="F190" i="5"/>
  <c r="E190" i="5"/>
  <c r="D190" i="5" a="1"/>
  <c r="D190" i="5" s="1"/>
  <c r="B190" i="5"/>
  <c r="N189" i="5"/>
  <c r="H189" i="5"/>
  <c r="G189" i="5"/>
  <c r="F189" i="5"/>
  <c r="E189" i="5"/>
  <c r="D189" i="5" a="1"/>
  <c r="D189" i="5" s="1"/>
  <c r="B189" i="5"/>
  <c r="N188" i="5"/>
  <c r="H188" i="5"/>
  <c r="G188" i="5"/>
  <c r="F188" i="5"/>
  <c r="E188" i="5"/>
  <c r="D188" i="5" a="1"/>
  <c r="D188" i="5" s="1"/>
  <c r="B188" i="5"/>
  <c r="N187" i="5"/>
  <c r="H187" i="5"/>
  <c r="G187" i="5"/>
  <c r="F187" i="5"/>
  <c r="E187" i="5"/>
  <c r="D187" i="5" a="1"/>
  <c r="D187" i="5" s="1"/>
  <c r="B187" i="5"/>
  <c r="N186" i="5"/>
  <c r="H186" i="5"/>
  <c r="G186" i="5"/>
  <c r="F186" i="5"/>
  <c r="E186" i="5"/>
  <c r="D186" i="5" a="1"/>
  <c r="D186" i="5" s="1"/>
  <c r="B186" i="5"/>
  <c r="N185" i="5"/>
  <c r="H185" i="5"/>
  <c r="G185" i="5"/>
  <c r="F185" i="5"/>
  <c r="E185" i="5"/>
  <c r="D185" i="5" a="1"/>
  <c r="D185" i="5" s="1"/>
  <c r="B185" i="5"/>
  <c r="N184" i="5"/>
  <c r="H184" i="5"/>
  <c r="G184" i="5"/>
  <c r="F184" i="5"/>
  <c r="E184" i="5"/>
  <c r="D184" i="5" a="1"/>
  <c r="D184" i="5" s="1"/>
  <c r="B184" i="5"/>
  <c r="N183" i="5"/>
  <c r="H183" i="5"/>
  <c r="G183" i="5"/>
  <c r="F183" i="5"/>
  <c r="E183" i="5"/>
  <c r="D183" i="5" a="1"/>
  <c r="D183" i="5" s="1"/>
  <c r="B183" i="5"/>
  <c r="N182" i="5"/>
  <c r="H182" i="5"/>
  <c r="G182" i="5"/>
  <c r="F182" i="5"/>
  <c r="E182" i="5"/>
  <c r="D182" i="5" a="1"/>
  <c r="D182" i="5" s="1"/>
  <c r="B182" i="5"/>
  <c r="N181" i="5"/>
  <c r="H181" i="5"/>
  <c r="G181" i="5"/>
  <c r="F181" i="5"/>
  <c r="E181" i="5"/>
  <c r="D181" i="5" a="1"/>
  <c r="D181" i="5" s="1"/>
  <c r="B181" i="5"/>
  <c r="N180" i="5"/>
  <c r="H180" i="5"/>
  <c r="G180" i="5"/>
  <c r="F180" i="5"/>
  <c r="E180" i="5"/>
  <c r="D180" i="5" a="1"/>
  <c r="D180" i="5" s="1"/>
  <c r="B180" i="5"/>
  <c r="N179" i="5"/>
  <c r="H179" i="5"/>
  <c r="G179" i="5"/>
  <c r="F179" i="5"/>
  <c r="E179" i="5"/>
  <c r="D179" i="5" a="1"/>
  <c r="D179" i="5" s="1"/>
  <c r="B179" i="5"/>
  <c r="N178" i="5"/>
  <c r="H178" i="5"/>
  <c r="G178" i="5"/>
  <c r="F178" i="5"/>
  <c r="E178" i="5"/>
  <c r="D178" i="5" a="1"/>
  <c r="D178" i="5" s="1"/>
  <c r="B178" i="5"/>
  <c r="N177" i="5"/>
  <c r="H177" i="5"/>
  <c r="G177" i="5"/>
  <c r="F177" i="5"/>
  <c r="E177" i="5"/>
  <c r="D177" i="5" a="1"/>
  <c r="D177" i="5" s="1"/>
  <c r="B177" i="5"/>
  <c r="N176" i="5"/>
  <c r="H176" i="5"/>
  <c r="G176" i="5"/>
  <c r="F176" i="5"/>
  <c r="E176" i="5"/>
  <c r="D176" i="5" a="1"/>
  <c r="D176" i="5" s="1"/>
  <c r="B176" i="5"/>
  <c r="N175" i="5"/>
  <c r="H175" i="5"/>
  <c r="G175" i="5"/>
  <c r="F175" i="5"/>
  <c r="E175" i="5"/>
  <c r="D175" i="5" a="1"/>
  <c r="D175" i="5" s="1"/>
  <c r="B175" i="5"/>
  <c r="N174" i="5"/>
  <c r="H174" i="5"/>
  <c r="G174" i="5"/>
  <c r="F174" i="5"/>
  <c r="E174" i="5"/>
  <c r="D174" i="5" a="1"/>
  <c r="D174" i="5" s="1"/>
  <c r="B174" i="5"/>
  <c r="N173" i="5"/>
  <c r="H173" i="5"/>
  <c r="G173" i="5"/>
  <c r="F173" i="5"/>
  <c r="E173" i="5"/>
  <c r="D173" i="5" a="1"/>
  <c r="D173" i="5" s="1"/>
  <c r="B173" i="5"/>
  <c r="N172" i="5"/>
  <c r="H172" i="5"/>
  <c r="G172" i="5"/>
  <c r="F172" i="5"/>
  <c r="E172" i="5"/>
  <c r="D172" i="5" a="1"/>
  <c r="D172" i="5" s="1"/>
  <c r="B172" i="5"/>
  <c r="N171" i="5"/>
  <c r="H171" i="5"/>
  <c r="G171" i="5"/>
  <c r="F171" i="5"/>
  <c r="E171" i="5"/>
  <c r="D171" i="5" a="1"/>
  <c r="D171" i="5" s="1"/>
  <c r="B171" i="5"/>
  <c r="N170" i="5"/>
  <c r="H170" i="5"/>
  <c r="G170" i="5"/>
  <c r="F170" i="5"/>
  <c r="E170" i="5"/>
  <c r="D170" i="5" a="1"/>
  <c r="D170" i="5" s="1"/>
  <c r="B170" i="5"/>
  <c r="N169" i="5"/>
  <c r="H169" i="5"/>
  <c r="G169" i="5"/>
  <c r="F169" i="5"/>
  <c r="E169" i="5"/>
  <c r="D169" i="5" a="1"/>
  <c r="D169" i="5" s="1"/>
  <c r="B169" i="5"/>
  <c r="N168" i="5"/>
  <c r="H168" i="5"/>
  <c r="G168" i="5"/>
  <c r="F168" i="5"/>
  <c r="E168" i="5"/>
  <c r="D168" i="5" a="1"/>
  <c r="D168" i="5" s="1"/>
  <c r="B168" i="5"/>
  <c r="N167" i="5"/>
  <c r="H167" i="5"/>
  <c r="G167" i="5"/>
  <c r="F167" i="5"/>
  <c r="E167" i="5"/>
  <c r="D167" i="5" a="1"/>
  <c r="D167" i="5" s="1"/>
  <c r="B167" i="5"/>
  <c r="N166" i="5"/>
  <c r="H166" i="5"/>
  <c r="G166" i="5"/>
  <c r="F166" i="5"/>
  <c r="E166" i="5"/>
  <c r="D166" i="5" a="1"/>
  <c r="D166" i="5" s="1"/>
  <c r="B166" i="5"/>
  <c r="N165" i="5"/>
  <c r="H165" i="5"/>
  <c r="G165" i="5"/>
  <c r="F165" i="5"/>
  <c r="E165" i="5"/>
  <c r="D165" i="5" a="1"/>
  <c r="D165" i="5" s="1"/>
  <c r="B165" i="5"/>
  <c r="N164" i="5"/>
  <c r="H164" i="5"/>
  <c r="G164" i="5"/>
  <c r="F164" i="5"/>
  <c r="E164" i="5"/>
  <c r="D164" i="5" a="1"/>
  <c r="D164" i="5" s="1"/>
  <c r="B164" i="5"/>
  <c r="N163" i="5"/>
  <c r="H163" i="5"/>
  <c r="G163" i="5"/>
  <c r="F163" i="5"/>
  <c r="E163" i="5"/>
  <c r="D163" i="5" a="1"/>
  <c r="D163" i="5" s="1"/>
  <c r="B163" i="5"/>
  <c r="N162" i="5"/>
  <c r="H162" i="5"/>
  <c r="G162" i="5"/>
  <c r="F162" i="5"/>
  <c r="E162" i="5"/>
  <c r="D162" i="5" a="1"/>
  <c r="D162" i="5" s="1"/>
  <c r="B162" i="5"/>
  <c r="N161" i="5"/>
  <c r="H161" i="5"/>
  <c r="G161" i="5"/>
  <c r="F161" i="5"/>
  <c r="E161" i="5"/>
  <c r="D161" i="5" a="1"/>
  <c r="D161" i="5" s="1"/>
  <c r="B161" i="5"/>
  <c r="N160" i="5"/>
  <c r="H160" i="5"/>
  <c r="G160" i="5"/>
  <c r="F160" i="5"/>
  <c r="E160" i="5"/>
  <c r="D160" i="5" a="1"/>
  <c r="D160" i="5" s="1"/>
  <c r="B160" i="5"/>
  <c r="N159" i="5"/>
  <c r="H159" i="5"/>
  <c r="G159" i="5"/>
  <c r="F159" i="5"/>
  <c r="E159" i="5"/>
  <c r="D159" i="5" a="1"/>
  <c r="D159" i="5" s="1"/>
  <c r="B159" i="5"/>
  <c r="N158" i="5"/>
  <c r="H158" i="5"/>
  <c r="G158" i="5"/>
  <c r="F158" i="5"/>
  <c r="E158" i="5"/>
  <c r="D158" i="5" a="1"/>
  <c r="D158" i="5" s="1"/>
  <c r="B158" i="5"/>
  <c r="N157" i="5"/>
  <c r="H157" i="5"/>
  <c r="G157" i="5"/>
  <c r="F157" i="5"/>
  <c r="E157" i="5"/>
  <c r="D157" i="5" a="1"/>
  <c r="D157" i="5" s="1"/>
  <c r="B157" i="5"/>
  <c r="N156" i="5"/>
  <c r="H156" i="5"/>
  <c r="G156" i="5"/>
  <c r="F156" i="5"/>
  <c r="E156" i="5"/>
  <c r="D156" i="5" a="1"/>
  <c r="D156" i="5" s="1"/>
  <c r="B156" i="5"/>
  <c r="N155" i="5"/>
  <c r="H155" i="5"/>
  <c r="G155" i="5"/>
  <c r="F155" i="5"/>
  <c r="E155" i="5"/>
  <c r="D155" i="5" a="1"/>
  <c r="D155" i="5" s="1"/>
  <c r="B155" i="5"/>
  <c r="N154" i="5"/>
  <c r="H154" i="5"/>
  <c r="G154" i="5"/>
  <c r="F154" i="5"/>
  <c r="E154" i="5"/>
  <c r="D154" i="5" a="1"/>
  <c r="D154" i="5" s="1"/>
  <c r="B154" i="5"/>
  <c r="N153" i="5"/>
  <c r="H153" i="5"/>
  <c r="G153" i="5"/>
  <c r="F153" i="5"/>
  <c r="E153" i="5"/>
  <c r="D153" i="5" a="1"/>
  <c r="D153" i="5" s="1"/>
  <c r="B153" i="5"/>
  <c r="N152" i="5"/>
  <c r="H152" i="5"/>
  <c r="G152" i="5"/>
  <c r="F152" i="5"/>
  <c r="E152" i="5"/>
  <c r="D152" i="5" a="1"/>
  <c r="D152" i="5" s="1"/>
  <c r="B152" i="5"/>
  <c r="N151" i="5"/>
  <c r="H151" i="5"/>
  <c r="G151" i="5"/>
  <c r="F151" i="5"/>
  <c r="E151" i="5"/>
  <c r="D151" i="5" a="1"/>
  <c r="D151" i="5" s="1"/>
  <c r="B151" i="5"/>
  <c r="N150" i="5"/>
  <c r="H150" i="5"/>
  <c r="G150" i="5"/>
  <c r="F150" i="5"/>
  <c r="E150" i="5"/>
  <c r="D150" i="5" a="1"/>
  <c r="D150" i="5" s="1"/>
  <c r="B150" i="5"/>
  <c r="N149" i="5"/>
  <c r="H149" i="5"/>
  <c r="G149" i="5"/>
  <c r="F149" i="5"/>
  <c r="E149" i="5"/>
  <c r="D149" i="5" a="1"/>
  <c r="D149" i="5" s="1"/>
  <c r="B149" i="5"/>
  <c r="N148" i="5"/>
  <c r="H148" i="5"/>
  <c r="G148" i="5"/>
  <c r="F148" i="5"/>
  <c r="E148" i="5"/>
  <c r="D148" i="5" a="1"/>
  <c r="D148" i="5" s="1"/>
  <c r="B148" i="5"/>
  <c r="N147" i="5"/>
  <c r="H147" i="5"/>
  <c r="G147" i="5"/>
  <c r="F147" i="5"/>
  <c r="E147" i="5"/>
  <c r="D147" i="5" a="1"/>
  <c r="D147" i="5" s="1"/>
  <c r="B147" i="5"/>
  <c r="N146" i="5"/>
  <c r="H146" i="5"/>
  <c r="G146" i="5"/>
  <c r="F146" i="5"/>
  <c r="E146" i="5"/>
  <c r="D146" i="5" a="1"/>
  <c r="D146" i="5" s="1"/>
  <c r="B146" i="5"/>
  <c r="N145" i="5"/>
  <c r="H145" i="5"/>
  <c r="G145" i="5"/>
  <c r="F145" i="5"/>
  <c r="E145" i="5"/>
  <c r="D145" i="5" a="1"/>
  <c r="D145" i="5" s="1"/>
  <c r="B145" i="5"/>
  <c r="N144" i="5"/>
  <c r="H144" i="5"/>
  <c r="G144" i="5"/>
  <c r="F144" i="5"/>
  <c r="E144" i="5"/>
  <c r="D144" i="5" a="1"/>
  <c r="D144" i="5" s="1"/>
  <c r="B144" i="5"/>
  <c r="N143" i="5"/>
  <c r="H143" i="5"/>
  <c r="G143" i="5"/>
  <c r="F143" i="5"/>
  <c r="E143" i="5"/>
  <c r="D143" i="5" a="1"/>
  <c r="D143" i="5" s="1"/>
  <c r="B143" i="5"/>
  <c r="N142" i="5"/>
  <c r="H142" i="5"/>
  <c r="G142" i="5"/>
  <c r="F142" i="5"/>
  <c r="E142" i="5"/>
  <c r="D142" i="5" a="1"/>
  <c r="D142" i="5" s="1"/>
  <c r="B142" i="5"/>
  <c r="N141" i="5"/>
  <c r="H141" i="5"/>
  <c r="G141" i="5"/>
  <c r="F141" i="5"/>
  <c r="E141" i="5"/>
  <c r="D141" i="5" a="1"/>
  <c r="D141" i="5" s="1"/>
  <c r="B141" i="5"/>
  <c r="N140" i="5"/>
  <c r="H140" i="5"/>
  <c r="G140" i="5"/>
  <c r="F140" i="5"/>
  <c r="E140" i="5"/>
  <c r="D140" i="5" a="1"/>
  <c r="D140" i="5" s="1"/>
  <c r="B140" i="5"/>
  <c r="N139" i="5"/>
  <c r="H139" i="5"/>
  <c r="G139" i="5"/>
  <c r="F139" i="5"/>
  <c r="E139" i="5"/>
  <c r="D139" i="5" a="1"/>
  <c r="D139" i="5" s="1"/>
  <c r="B139" i="5"/>
  <c r="N138" i="5"/>
  <c r="H138" i="5"/>
  <c r="G138" i="5"/>
  <c r="F138" i="5"/>
  <c r="E138" i="5"/>
  <c r="D138" i="5" a="1"/>
  <c r="D138" i="5" s="1"/>
  <c r="B138" i="5"/>
  <c r="N137" i="5"/>
  <c r="H137" i="5"/>
  <c r="G137" i="5"/>
  <c r="F137" i="5"/>
  <c r="E137" i="5"/>
  <c r="D137" i="5" a="1"/>
  <c r="D137" i="5" s="1"/>
  <c r="B137" i="5"/>
  <c r="N136" i="5"/>
  <c r="H136" i="5"/>
  <c r="G136" i="5"/>
  <c r="F136" i="5"/>
  <c r="E136" i="5"/>
  <c r="D136" i="5" a="1"/>
  <c r="D136" i="5" s="1"/>
  <c r="B136" i="5"/>
  <c r="N135" i="5"/>
  <c r="H135" i="5"/>
  <c r="G135" i="5"/>
  <c r="F135" i="5"/>
  <c r="E135" i="5"/>
  <c r="D135" i="5" a="1"/>
  <c r="D135" i="5" s="1"/>
  <c r="B135" i="5"/>
  <c r="N134" i="5"/>
  <c r="H134" i="5"/>
  <c r="G134" i="5"/>
  <c r="F134" i="5"/>
  <c r="E134" i="5"/>
  <c r="D134" i="5" a="1"/>
  <c r="D134" i="5" s="1"/>
  <c r="B134" i="5"/>
  <c r="N133" i="5"/>
  <c r="H133" i="5"/>
  <c r="G133" i="5"/>
  <c r="F133" i="5"/>
  <c r="E133" i="5"/>
  <c r="D133" i="5" a="1"/>
  <c r="D133" i="5" s="1"/>
  <c r="B133" i="5"/>
  <c r="N132" i="5"/>
  <c r="H132" i="5"/>
  <c r="G132" i="5"/>
  <c r="F132" i="5"/>
  <c r="E132" i="5"/>
  <c r="D132" i="5" a="1"/>
  <c r="D132" i="5" s="1"/>
  <c r="B132" i="5"/>
  <c r="N131" i="5"/>
  <c r="H131" i="5"/>
  <c r="G131" i="5"/>
  <c r="F131" i="5"/>
  <c r="E131" i="5"/>
  <c r="D131" i="5" a="1"/>
  <c r="D131" i="5" s="1"/>
  <c r="B131" i="5"/>
  <c r="N130" i="5"/>
  <c r="H130" i="5"/>
  <c r="G130" i="5"/>
  <c r="F130" i="5"/>
  <c r="E130" i="5"/>
  <c r="D130" i="5" a="1"/>
  <c r="D130" i="5" s="1"/>
  <c r="B130" i="5"/>
  <c r="N129" i="5"/>
  <c r="H129" i="5"/>
  <c r="G129" i="5"/>
  <c r="F129" i="5"/>
  <c r="E129" i="5"/>
  <c r="D129" i="5" a="1"/>
  <c r="D129" i="5" s="1"/>
  <c r="B129" i="5"/>
  <c r="N128" i="5"/>
  <c r="H128" i="5"/>
  <c r="G128" i="5"/>
  <c r="F128" i="5"/>
  <c r="E128" i="5"/>
  <c r="D128" i="5" a="1"/>
  <c r="D128" i="5" s="1"/>
  <c r="B128" i="5"/>
  <c r="N127" i="5"/>
  <c r="H127" i="5"/>
  <c r="G127" i="5"/>
  <c r="F127" i="5"/>
  <c r="E127" i="5"/>
  <c r="D127" i="5" a="1"/>
  <c r="D127" i="5" s="1"/>
  <c r="B127" i="5"/>
  <c r="N126" i="5"/>
  <c r="H126" i="5"/>
  <c r="G126" i="5"/>
  <c r="F126" i="5"/>
  <c r="E126" i="5"/>
  <c r="D126" i="5" a="1"/>
  <c r="D126" i="5" s="1"/>
  <c r="B126" i="5"/>
  <c r="N125" i="5"/>
  <c r="H125" i="5"/>
  <c r="G125" i="5"/>
  <c r="F125" i="5"/>
  <c r="E125" i="5"/>
  <c r="D125" i="5" a="1"/>
  <c r="D125" i="5" s="1"/>
  <c r="B125" i="5"/>
  <c r="N124" i="5"/>
  <c r="H124" i="5"/>
  <c r="G124" i="5"/>
  <c r="F124" i="5"/>
  <c r="E124" i="5"/>
  <c r="D124" i="5" a="1"/>
  <c r="D124" i="5" s="1"/>
  <c r="B124" i="5"/>
  <c r="N123" i="5"/>
  <c r="H123" i="5"/>
  <c r="G123" i="5"/>
  <c r="F123" i="5"/>
  <c r="E123" i="5"/>
  <c r="D123" i="5" a="1"/>
  <c r="D123" i="5" s="1"/>
  <c r="B123" i="5"/>
  <c r="N122" i="5"/>
  <c r="H122" i="5"/>
  <c r="G122" i="5"/>
  <c r="F122" i="5"/>
  <c r="E122" i="5"/>
  <c r="D122" i="5" a="1"/>
  <c r="D122" i="5" s="1"/>
  <c r="B122" i="5"/>
  <c r="N121" i="5"/>
  <c r="H121" i="5"/>
  <c r="G121" i="5"/>
  <c r="F121" i="5"/>
  <c r="E121" i="5"/>
  <c r="D121" i="5" a="1"/>
  <c r="D121" i="5" s="1"/>
  <c r="B121" i="5"/>
  <c r="N120" i="5"/>
  <c r="H120" i="5"/>
  <c r="G120" i="5"/>
  <c r="F120" i="5"/>
  <c r="E120" i="5"/>
  <c r="D120" i="5" a="1"/>
  <c r="D120" i="5" s="1"/>
  <c r="B120" i="5"/>
  <c r="N119" i="5"/>
  <c r="H119" i="5"/>
  <c r="G119" i="5"/>
  <c r="F119" i="5"/>
  <c r="E119" i="5"/>
  <c r="D119" i="5" a="1"/>
  <c r="D119" i="5" s="1"/>
  <c r="B119" i="5"/>
  <c r="N118" i="5"/>
  <c r="H118" i="5"/>
  <c r="G118" i="5"/>
  <c r="F118" i="5"/>
  <c r="E118" i="5"/>
  <c r="D118" i="5" a="1"/>
  <c r="D118" i="5" s="1"/>
  <c r="B118" i="5"/>
  <c r="N117" i="5"/>
  <c r="H117" i="5"/>
  <c r="G117" i="5"/>
  <c r="F117" i="5"/>
  <c r="E117" i="5"/>
  <c r="D117" i="5" a="1"/>
  <c r="D117" i="5" s="1"/>
  <c r="B117" i="5"/>
  <c r="N116" i="5"/>
  <c r="H116" i="5"/>
  <c r="G116" i="5"/>
  <c r="F116" i="5"/>
  <c r="E116" i="5"/>
  <c r="D116" i="5" a="1"/>
  <c r="D116" i="5" s="1"/>
  <c r="B116" i="5"/>
  <c r="N115" i="5"/>
  <c r="H115" i="5"/>
  <c r="G115" i="5"/>
  <c r="F115" i="5"/>
  <c r="E115" i="5"/>
  <c r="D115" i="5" a="1"/>
  <c r="D115" i="5" s="1"/>
  <c r="B115" i="5"/>
  <c r="N114" i="5"/>
  <c r="H114" i="5"/>
  <c r="G114" i="5"/>
  <c r="F114" i="5"/>
  <c r="E114" i="5"/>
  <c r="D114" i="5" a="1"/>
  <c r="D114" i="5" s="1"/>
  <c r="B114" i="5"/>
  <c r="N113" i="5"/>
  <c r="H113" i="5"/>
  <c r="G113" i="5"/>
  <c r="F113" i="5"/>
  <c r="E113" i="5"/>
  <c r="D113" i="5" a="1"/>
  <c r="D113" i="5" s="1"/>
  <c r="B113" i="5"/>
  <c r="N112" i="5"/>
  <c r="H112" i="5"/>
  <c r="G112" i="5"/>
  <c r="F112" i="5"/>
  <c r="E112" i="5"/>
  <c r="D112" i="5" a="1"/>
  <c r="D112" i="5" s="1"/>
  <c r="B112" i="5"/>
  <c r="N111" i="5"/>
  <c r="H111" i="5"/>
  <c r="G111" i="5"/>
  <c r="F111" i="5"/>
  <c r="E111" i="5"/>
  <c r="D111" i="5" a="1"/>
  <c r="D111" i="5" s="1"/>
  <c r="B111" i="5"/>
  <c r="N110" i="5"/>
  <c r="H110" i="5"/>
  <c r="G110" i="5"/>
  <c r="F110" i="5"/>
  <c r="E110" i="5"/>
  <c r="D110" i="5" a="1"/>
  <c r="D110" i="5" s="1"/>
  <c r="B110" i="5"/>
  <c r="N109" i="5"/>
  <c r="H109" i="5"/>
  <c r="G109" i="5"/>
  <c r="F109" i="5"/>
  <c r="E109" i="5"/>
  <c r="D109" i="5" a="1"/>
  <c r="D109" i="5" s="1"/>
  <c r="B109" i="5"/>
  <c r="N108" i="5"/>
  <c r="H108" i="5"/>
  <c r="G108" i="5"/>
  <c r="F108" i="5"/>
  <c r="E108" i="5"/>
  <c r="D108" i="5" a="1"/>
  <c r="D108" i="5" s="1"/>
  <c r="B108" i="5"/>
  <c r="N107" i="5"/>
  <c r="H107" i="5"/>
  <c r="G107" i="5"/>
  <c r="F107" i="5"/>
  <c r="E107" i="5"/>
  <c r="D107" i="5" a="1"/>
  <c r="D107" i="5" s="1"/>
  <c r="B107" i="5"/>
  <c r="N106" i="5"/>
  <c r="H106" i="5"/>
  <c r="G106" i="5"/>
  <c r="F106" i="5"/>
  <c r="E106" i="5"/>
  <c r="D106" i="5" a="1"/>
  <c r="D106" i="5" s="1"/>
  <c r="B106" i="5"/>
  <c r="N105" i="5"/>
  <c r="H105" i="5"/>
  <c r="G105" i="5"/>
  <c r="F105" i="5"/>
  <c r="E105" i="5"/>
  <c r="D105" i="5" a="1"/>
  <c r="D105" i="5" s="1"/>
  <c r="B105" i="5"/>
  <c r="N104" i="5"/>
  <c r="H104" i="5"/>
  <c r="G104" i="5"/>
  <c r="F104" i="5"/>
  <c r="E104" i="5"/>
  <c r="D104" i="5" a="1"/>
  <c r="D104" i="5" s="1"/>
  <c r="B104" i="5"/>
  <c r="N103" i="5"/>
  <c r="H103" i="5"/>
  <c r="G103" i="5"/>
  <c r="F103" i="5"/>
  <c r="E103" i="5"/>
  <c r="D103" i="5" a="1"/>
  <c r="D103" i="5" s="1"/>
  <c r="B103" i="5"/>
  <c r="N102" i="5"/>
  <c r="H102" i="5"/>
  <c r="G102" i="5"/>
  <c r="F102" i="5"/>
  <c r="E102" i="5"/>
  <c r="D102" i="5" a="1"/>
  <c r="D102" i="5" s="1"/>
  <c r="B102" i="5"/>
  <c r="N101" i="5"/>
  <c r="H101" i="5"/>
  <c r="G101" i="5"/>
  <c r="F101" i="5"/>
  <c r="E101" i="5"/>
  <c r="D101" i="5" a="1"/>
  <c r="D101" i="5" s="1"/>
  <c r="B101" i="5"/>
  <c r="N100" i="5"/>
  <c r="H100" i="5"/>
  <c r="G100" i="5"/>
  <c r="F100" i="5"/>
  <c r="E100" i="5"/>
  <c r="D100" i="5" a="1"/>
  <c r="D100" i="5" s="1"/>
  <c r="B100" i="5"/>
  <c r="N99" i="5"/>
  <c r="H99" i="5"/>
  <c r="G99" i="5"/>
  <c r="F99" i="5"/>
  <c r="E99" i="5"/>
  <c r="D99" i="5" a="1"/>
  <c r="D99" i="5" s="1"/>
  <c r="B99" i="5"/>
  <c r="N98" i="5"/>
  <c r="H98" i="5"/>
  <c r="G98" i="5"/>
  <c r="F98" i="5"/>
  <c r="E98" i="5"/>
  <c r="D98" i="5" a="1"/>
  <c r="D98" i="5" s="1"/>
  <c r="B98" i="5"/>
  <c r="N97" i="5"/>
  <c r="H97" i="5"/>
  <c r="G97" i="5"/>
  <c r="F97" i="5"/>
  <c r="E97" i="5"/>
  <c r="D97" i="5" a="1"/>
  <c r="D97" i="5" s="1"/>
  <c r="B97" i="5"/>
  <c r="N96" i="5"/>
  <c r="H96" i="5"/>
  <c r="G96" i="5"/>
  <c r="F96" i="5"/>
  <c r="E96" i="5"/>
  <c r="D96" i="5" a="1"/>
  <c r="D96" i="5" s="1"/>
  <c r="B96" i="5"/>
  <c r="N95" i="5"/>
  <c r="H95" i="5"/>
  <c r="G95" i="5"/>
  <c r="F95" i="5"/>
  <c r="E95" i="5"/>
  <c r="D95" i="5" a="1"/>
  <c r="D95" i="5" s="1"/>
  <c r="B95" i="5"/>
  <c r="N94" i="5"/>
  <c r="H94" i="5"/>
  <c r="G94" i="5"/>
  <c r="F94" i="5"/>
  <c r="E94" i="5"/>
  <c r="D94" i="5" a="1"/>
  <c r="D94" i="5" s="1"/>
  <c r="B94" i="5"/>
  <c r="N93" i="5"/>
  <c r="H93" i="5"/>
  <c r="G93" i="5"/>
  <c r="F93" i="5"/>
  <c r="E93" i="5"/>
  <c r="D93" i="5" a="1"/>
  <c r="D93" i="5" s="1"/>
  <c r="B93" i="5"/>
  <c r="N92" i="5"/>
  <c r="H92" i="5"/>
  <c r="G92" i="5"/>
  <c r="F92" i="5"/>
  <c r="E92" i="5"/>
  <c r="D92" i="5" a="1"/>
  <c r="D92" i="5" s="1"/>
  <c r="B92" i="5"/>
  <c r="N91" i="5"/>
  <c r="H91" i="5"/>
  <c r="G91" i="5"/>
  <c r="F91" i="5"/>
  <c r="E91" i="5"/>
  <c r="D91" i="5" a="1"/>
  <c r="D91" i="5" s="1"/>
  <c r="B91" i="5"/>
  <c r="N90" i="5"/>
  <c r="H90" i="5"/>
  <c r="G90" i="5"/>
  <c r="F90" i="5"/>
  <c r="E90" i="5"/>
  <c r="D90" i="5" a="1"/>
  <c r="D90" i="5" s="1"/>
  <c r="B90" i="5"/>
  <c r="N89" i="5"/>
  <c r="H89" i="5"/>
  <c r="G89" i="5"/>
  <c r="F89" i="5"/>
  <c r="E89" i="5"/>
  <c r="D89" i="5" a="1"/>
  <c r="D89" i="5" s="1"/>
  <c r="B89" i="5"/>
  <c r="N88" i="5"/>
  <c r="H88" i="5"/>
  <c r="G88" i="5"/>
  <c r="F88" i="5"/>
  <c r="E88" i="5"/>
  <c r="D88" i="5" a="1"/>
  <c r="D88" i="5" s="1"/>
  <c r="B88" i="5"/>
  <c r="N87" i="5"/>
  <c r="H87" i="5"/>
  <c r="G87" i="5"/>
  <c r="F87" i="5"/>
  <c r="E87" i="5"/>
  <c r="D87" i="5" a="1"/>
  <c r="D87" i="5" s="1"/>
  <c r="B87" i="5"/>
  <c r="N86" i="5"/>
  <c r="H86" i="5"/>
  <c r="G86" i="5"/>
  <c r="F86" i="5"/>
  <c r="E86" i="5"/>
  <c r="D86" i="5" a="1"/>
  <c r="D86" i="5" s="1"/>
  <c r="B86" i="5"/>
  <c r="N85" i="5"/>
  <c r="H85" i="5"/>
  <c r="G85" i="5"/>
  <c r="F85" i="5"/>
  <c r="E85" i="5"/>
  <c r="D85" i="5" a="1"/>
  <c r="D85" i="5" s="1"/>
  <c r="B85" i="5"/>
  <c r="N84" i="5"/>
  <c r="H84" i="5"/>
  <c r="G84" i="5"/>
  <c r="F84" i="5"/>
  <c r="E84" i="5"/>
  <c r="D84" i="5" a="1"/>
  <c r="D84" i="5" s="1"/>
  <c r="B84" i="5"/>
  <c r="N83" i="5"/>
  <c r="H83" i="5"/>
  <c r="G83" i="5"/>
  <c r="F83" i="5"/>
  <c r="E83" i="5"/>
  <c r="D83" i="5" a="1"/>
  <c r="D83" i="5" s="1"/>
  <c r="B83" i="5"/>
  <c r="N82" i="5"/>
  <c r="H82" i="5"/>
  <c r="G82" i="5"/>
  <c r="F82" i="5"/>
  <c r="E82" i="5"/>
  <c r="D82" i="5" a="1"/>
  <c r="D82" i="5" s="1"/>
  <c r="B82" i="5"/>
  <c r="N81" i="5"/>
  <c r="H81" i="5"/>
  <c r="G81" i="5"/>
  <c r="F81" i="5"/>
  <c r="E81" i="5"/>
  <c r="D81" i="5" a="1"/>
  <c r="D81" i="5" s="1"/>
  <c r="B81" i="5"/>
  <c r="N80" i="5"/>
  <c r="H80" i="5"/>
  <c r="G80" i="5"/>
  <c r="F80" i="5"/>
  <c r="E80" i="5"/>
  <c r="D80" i="5" a="1"/>
  <c r="D80" i="5" s="1"/>
  <c r="B80" i="5"/>
  <c r="N79" i="5"/>
  <c r="H79" i="5"/>
  <c r="G79" i="5"/>
  <c r="F79" i="5"/>
  <c r="E79" i="5"/>
  <c r="D79" i="5" a="1"/>
  <c r="D79" i="5" s="1"/>
  <c r="B79" i="5"/>
  <c r="N78" i="5"/>
  <c r="H78" i="5"/>
  <c r="G78" i="5"/>
  <c r="F78" i="5"/>
  <c r="E78" i="5"/>
  <c r="D78" i="5" a="1"/>
  <c r="D78" i="5" s="1"/>
  <c r="B78" i="5"/>
  <c r="N77" i="5"/>
  <c r="H77" i="5"/>
  <c r="G77" i="5"/>
  <c r="F77" i="5"/>
  <c r="E77" i="5"/>
  <c r="D77" i="5" a="1"/>
  <c r="D77" i="5" s="1"/>
  <c r="B77" i="5"/>
  <c r="N76" i="5"/>
  <c r="H76" i="5"/>
  <c r="G76" i="5"/>
  <c r="F76" i="5"/>
  <c r="E76" i="5"/>
  <c r="D76" i="5" a="1"/>
  <c r="D76" i="5" s="1"/>
  <c r="B76" i="5"/>
  <c r="N75" i="5"/>
  <c r="H75" i="5"/>
  <c r="G75" i="5"/>
  <c r="F75" i="5"/>
  <c r="E75" i="5"/>
  <c r="D75" i="5" a="1"/>
  <c r="D75" i="5" s="1"/>
  <c r="B75" i="5"/>
  <c r="N74" i="5"/>
  <c r="H74" i="5"/>
  <c r="G74" i="5"/>
  <c r="F74" i="5"/>
  <c r="E74" i="5"/>
  <c r="D74" i="5" a="1"/>
  <c r="D74" i="5" s="1"/>
  <c r="B74" i="5"/>
  <c r="N73" i="5"/>
  <c r="H73" i="5"/>
  <c r="G73" i="5"/>
  <c r="F73" i="5"/>
  <c r="E73" i="5"/>
  <c r="D73" i="5" a="1"/>
  <c r="D73" i="5" s="1"/>
  <c r="B73" i="5"/>
  <c r="N72" i="5"/>
  <c r="H72" i="5"/>
  <c r="G72" i="5"/>
  <c r="F72" i="5"/>
  <c r="E72" i="5"/>
  <c r="D72" i="5" a="1"/>
  <c r="D72" i="5" s="1"/>
  <c r="B72" i="5"/>
  <c r="N71" i="5"/>
  <c r="H71" i="5"/>
  <c r="G71" i="5"/>
  <c r="F71" i="5"/>
  <c r="E71" i="5"/>
  <c r="D71" i="5" a="1"/>
  <c r="D71" i="5" s="1"/>
  <c r="B71" i="5"/>
  <c r="N70" i="5"/>
  <c r="H70" i="5"/>
  <c r="G70" i="5"/>
  <c r="F70" i="5"/>
  <c r="E70" i="5"/>
  <c r="D70" i="5" a="1"/>
  <c r="D70" i="5" s="1"/>
  <c r="B70" i="5"/>
  <c r="N69" i="5"/>
  <c r="H69" i="5"/>
  <c r="G69" i="5"/>
  <c r="F69" i="5"/>
  <c r="E69" i="5"/>
  <c r="D69" i="5" a="1"/>
  <c r="D69" i="5" s="1"/>
  <c r="B69" i="5"/>
  <c r="N68" i="5"/>
  <c r="H68" i="5"/>
  <c r="G68" i="5"/>
  <c r="F68" i="5"/>
  <c r="E68" i="5"/>
  <c r="D68" i="5" a="1"/>
  <c r="D68" i="5" s="1"/>
  <c r="B68" i="5"/>
  <c r="N67" i="5"/>
  <c r="H67" i="5"/>
  <c r="G67" i="5"/>
  <c r="F67" i="5"/>
  <c r="E67" i="5"/>
  <c r="D67" i="5" a="1"/>
  <c r="D67" i="5" s="1"/>
  <c r="B67" i="5"/>
  <c r="N66" i="5"/>
  <c r="H66" i="5"/>
  <c r="G66" i="5"/>
  <c r="F66" i="5"/>
  <c r="E66" i="5"/>
  <c r="D66" i="5" a="1"/>
  <c r="D66" i="5" s="1"/>
  <c r="B66" i="5"/>
  <c r="N65" i="5"/>
  <c r="H65" i="5"/>
  <c r="G65" i="5"/>
  <c r="F65" i="5"/>
  <c r="E65" i="5"/>
  <c r="D65" i="5" a="1"/>
  <c r="D65" i="5" s="1"/>
  <c r="B65" i="5"/>
  <c r="N64" i="5"/>
  <c r="H64" i="5"/>
  <c r="G64" i="5"/>
  <c r="F64" i="5"/>
  <c r="E64" i="5"/>
  <c r="D64" i="5" a="1"/>
  <c r="D64" i="5" s="1"/>
  <c r="B64" i="5"/>
  <c r="N63" i="5"/>
  <c r="H63" i="5"/>
  <c r="G63" i="5"/>
  <c r="F63" i="5"/>
  <c r="E63" i="5"/>
  <c r="D63" i="5" a="1"/>
  <c r="D63" i="5" s="1"/>
  <c r="B63" i="5"/>
  <c r="N62" i="5"/>
  <c r="H62" i="5"/>
  <c r="G62" i="5"/>
  <c r="F62" i="5"/>
  <c r="E62" i="5"/>
  <c r="D62" i="5" a="1"/>
  <c r="D62" i="5" s="1"/>
  <c r="B62" i="5"/>
  <c r="N61" i="5"/>
  <c r="H61" i="5"/>
  <c r="G61" i="5"/>
  <c r="F61" i="5"/>
  <c r="E61" i="5"/>
  <c r="D61" i="5" a="1"/>
  <c r="D61" i="5" s="1"/>
  <c r="B61" i="5"/>
  <c r="N60" i="5"/>
  <c r="H60" i="5"/>
  <c r="G60" i="5"/>
  <c r="F60" i="5"/>
  <c r="E60" i="5"/>
  <c r="D60" i="5" a="1"/>
  <c r="D60" i="5" s="1"/>
  <c r="B60" i="5"/>
  <c r="N59" i="5"/>
  <c r="H59" i="5"/>
  <c r="G59" i="5"/>
  <c r="F59" i="5"/>
  <c r="E59" i="5"/>
  <c r="D59" i="5" a="1"/>
  <c r="D59" i="5" s="1"/>
  <c r="B59" i="5"/>
  <c r="N58" i="5"/>
  <c r="H58" i="5"/>
  <c r="G58" i="5"/>
  <c r="F58" i="5"/>
  <c r="E58" i="5"/>
  <c r="D58" i="5" a="1"/>
  <c r="D58" i="5" s="1"/>
  <c r="B58" i="5"/>
  <c r="N57" i="5"/>
  <c r="H57" i="5"/>
  <c r="G57" i="5"/>
  <c r="F57" i="5"/>
  <c r="E57" i="5"/>
  <c r="D57" i="5" a="1"/>
  <c r="D57" i="5" s="1"/>
  <c r="B57" i="5"/>
  <c r="N56" i="5"/>
  <c r="H56" i="5"/>
  <c r="G56" i="5"/>
  <c r="F56" i="5"/>
  <c r="E56" i="5"/>
  <c r="D56" i="5" a="1"/>
  <c r="D56" i="5" s="1"/>
  <c r="B56" i="5"/>
  <c r="N55" i="5"/>
  <c r="H55" i="5"/>
  <c r="G55" i="5"/>
  <c r="F55" i="5"/>
  <c r="E55" i="5"/>
  <c r="D55" i="5" a="1"/>
  <c r="D55" i="5" s="1"/>
  <c r="B55" i="5"/>
  <c r="N54" i="5"/>
  <c r="H54" i="5"/>
  <c r="G54" i="5"/>
  <c r="F54" i="5"/>
  <c r="E54" i="5"/>
  <c r="D54" i="5" a="1"/>
  <c r="D54" i="5" s="1"/>
  <c r="B54" i="5"/>
  <c r="N53" i="5"/>
  <c r="H53" i="5"/>
  <c r="G53" i="5"/>
  <c r="F53" i="5"/>
  <c r="E53" i="5"/>
  <c r="D53" i="5" a="1"/>
  <c r="D53" i="5" s="1"/>
  <c r="B53" i="5"/>
  <c r="N52" i="5"/>
  <c r="H52" i="5"/>
  <c r="G52" i="5"/>
  <c r="F52" i="5"/>
  <c r="E52" i="5"/>
  <c r="D52" i="5" a="1"/>
  <c r="D52" i="5" s="1"/>
  <c r="B52" i="5"/>
  <c r="N51" i="5"/>
  <c r="H51" i="5"/>
  <c r="G51" i="5"/>
  <c r="F51" i="5"/>
  <c r="E51" i="5"/>
  <c r="D51" i="5" a="1"/>
  <c r="D51" i="5" s="1"/>
  <c r="B51" i="5"/>
  <c r="N50" i="5"/>
  <c r="H50" i="5"/>
  <c r="G50" i="5"/>
  <c r="F50" i="5"/>
  <c r="E50" i="5"/>
  <c r="D50" i="5" a="1"/>
  <c r="D50" i="5" s="1"/>
  <c r="B50" i="5"/>
  <c r="N49" i="5"/>
  <c r="H49" i="5"/>
  <c r="G49" i="5"/>
  <c r="F49" i="5"/>
  <c r="E49" i="5"/>
  <c r="D49" i="5" a="1"/>
  <c r="D49" i="5" s="1"/>
  <c r="B49" i="5"/>
  <c r="N48" i="5"/>
  <c r="H48" i="5"/>
  <c r="G48" i="5"/>
  <c r="F48" i="5"/>
  <c r="E48" i="5"/>
  <c r="D48" i="5" a="1"/>
  <c r="D48" i="5" s="1"/>
  <c r="B48" i="5"/>
  <c r="N47" i="5"/>
  <c r="H47" i="5"/>
  <c r="G47" i="5"/>
  <c r="F47" i="5"/>
  <c r="E47" i="5"/>
  <c r="D47" i="5" a="1"/>
  <c r="D47" i="5" s="1"/>
  <c r="B47" i="5"/>
  <c r="N46" i="5"/>
  <c r="H46" i="5"/>
  <c r="G46" i="5"/>
  <c r="F46" i="5"/>
  <c r="E46" i="5"/>
  <c r="D46" i="5" a="1"/>
  <c r="D46" i="5" s="1"/>
  <c r="B46" i="5"/>
  <c r="N45" i="5"/>
  <c r="H45" i="5"/>
  <c r="G45" i="5"/>
  <c r="F45" i="5"/>
  <c r="E45" i="5"/>
  <c r="D45" i="5" a="1"/>
  <c r="D45" i="5" s="1"/>
  <c r="B45" i="5"/>
  <c r="N44" i="5"/>
  <c r="H44" i="5"/>
  <c r="G44" i="5"/>
  <c r="F44" i="5"/>
  <c r="E44" i="5"/>
  <c r="D44" i="5" a="1"/>
  <c r="D44" i="5" s="1"/>
  <c r="B44" i="5"/>
  <c r="N43" i="5"/>
  <c r="H43" i="5"/>
  <c r="G43" i="5"/>
  <c r="F43" i="5"/>
  <c r="E43" i="5"/>
  <c r="D43" i="5" a="1"/>
  <c r="D43" i="5" s="1"/>
  <c r="B43" i="5"/>
  <c r="N42" i="5"/>
  <c r="H42" i="5"/>
  <c r="G42" i="5"/>
  <c r="F42" i="5"/>
  <c r="E42" i="5"/>
  <c r="D42" i="5" a="1"/>
  <c r="D42" i="5" s="1"/>
  <c r="B42" i="5"/>
  <c r="N41" i="5"/>
  <c r="H41" i="5"/>
  <c r="G41" i="5"/>
  <c r="F41" i="5"/>
  <c r="E41" i="5"/>
  <c r="D41" i="5" a="1"/>
  <c r="D41" i="5" s="1"/>
  <c r="B41" i="5"/>
  <c r="N40" i="5"/>
  <c r="H40" i="5"/>
  <c r="G40" i="5"/>
  <c r="F40" i="5"/>
  <c r="E40" i="5"/>
  <c r="D40" i="5" a="1"/>
  <c r="D40" i="5" s="1"/>
  <c r="B40" i="5"/>
  <c r="N39" i="5"/>
  <c r="H39" i="5"/>
  <c r="G39" i="5"/>
  <c r="F39" i="5"/>
  <c r="E39" i="5"/>
  <c r="D39" i="5" a="1"/>
  <c r="D39" i="5" s="1"/>
  <c r="B39" i="5"/>
  <c r="N38" i="5"/>
  <c r="H38" i="5"/>
  <c r="G38" i="5"/>
  <c r="F38" i="5"/>
  <c r="E38" i="5"/>
  <c r="D38" i="5" a="1"/>
  <c r="D38" i="5" s="1"/>
  <c r="B38" i="5"/>
  <c r="N37" i="5"/>
  <c r="H37" i="5"/>
  <c r="G37" i="5"/>
  <c r="F37" i="5"/>
  <c r="E37" i="5"/>
  <c r="D37" i="5" a="1"/>
  <c r="D37" i="5" s="1"/>
  <c r="B37" i="5"/>
  <c r="N36" i="5"/>
  <c r="H36" i="5"/>
  <c r="G36" i="5"/>
  <c r="F36" i="5"/>
  <c r="E36" i="5"/>
  <c r="D36" i="5" a="1"/>
  <c r="D36" i="5" s="1"/>
  <c r="B36" i="5"/>
  <c r="N35" i="5"/>
  <c r="H35" i="5"/>
  <c r="G35" i="5"/>
  <c r="F35" i="5"/>
  <c r="E35" i="5"/>
  <c r="D35" i="5" a="1"/>
  <c r="D35" i="5" s="1"/>
  <c r="B35" i="5"/>
  <c r="N34" i="5"/>
  <c r="H34" i="5"/>
  <c r="G34" i="5"/>
  <c r="F34" i="5"/>
  <c r="E34" i="5"/>
  <c r="D34" i="5" a="1"/>
  <c r="D34" i="5" s="1"/>
  <c r="B34" i="5"/>
  <c r="N33" i="5"/>
  <c r="H33" i="5"/>
  <c r="G33" i="5"/>
  <c r="F33" i="5"/>
  <c r="E33" i="5"/>
  <c r="D33" i="5" a="1"/>
  <c r="D33" i="5" s="1"/>
  <c r="B33" i="5"/>
  <c r="N32" i="5"/>
  <c r="H32" i="5"/>
  <c r="G32" i="5"/>
  <c r="F32" i="5"/>
  <c r="E32" i="5"/>
  <c r="D32" i="5" a="1"/>
  <c r="D32" i="5" s="1"/>
  <c r="B32" i="5"/>
  <c r="N31" i="5"/>
  <c r="H31" i="5"/>
  <c r="G31" i="5"/>
  <c r="F31" i="5"/>
  <c r="E31" i="5"/>
  <c r="D31" i="5" a="1"/>
  <c r="D31" i="5" s="1"/>
  <c r="B31" i="5"/>
  <c r="N30" i="5"/>
  <c r="H30" i="5"/>
  <c r="G30" i="5"/>
  <c r="F30" i="5"/>
  <c r="E30" i="5"/>
  <c r="D30" i="5" a="1"/>
  <c r="D30" i="5" s="1"/>
  <c r="B30" i="5"/>
  <c r="N29" i="5"/>
  <c r="H29" i="5"/>
  <c r="G29" i="5"/>
  <c r="F29" i="5"/>
  <c r="E29" i="5"/>
  <c r="D29" i="5" a="1"/>
  <c r="D29" i="5" s="1"/>
  <c r="B29" i="5"/>
  <c r="N28" i="5"/>
  <c r="H28" i="5"/>
  <c r="G28" i="5"/>
  <c r="F28" i="5"/>
  <c r="E28" i="5"/>
  <c r="D28" i="5" a="1"/>
  <c r="D28" i="5" s="1"/>
  <c r="B28" i="5"/>
  <c r="N27" i="5"/>
  <c r="H27" i="5"/>
  <c r="G27" i="5"/>
  <c r="F27" i="5"/>
  <c r="E27" i="5"/>
  <c r="D27" i="5" a="1"/>
  <c r="D27" i="5" s="1"/>
  <c r="B27" i="5"/>
  <c r="N26" i="5"/>
  <c r="H26" i="5"/>
  <c r="G26" i="5"/>
  <c r="F26" i="5"/>
  <c r="E26" i="5"/>
  <c r="D26" i="5" a="1"/>
  <c r="D26" i="5" s="1"/>
  <c r="B26" i="5"/>
  <c r="N25" i="5"/>
  <c r="H25" i="5"/>
  <c r="G25" i="5"/>
  <c r="F25" i="5"/>
  <c r="E25" i="5"/>
  <c r="D25" i="5" a="1"/>
  <c r="D25" i="5" s="1"/>
  <c r="B25" i="5"/>
  <c r="N24" i="5"/>
  <c r="H24" i="5"/>
  <c r="G24" i="5"/>
  <c r="F24" i="5"/>
  <c r="E24" i="5"/>
  <c r="D24" i="5" a="1"/>
  <c r="D24" i="5" s="1"/>
  <c r="B24" i="5"/>
  <c r="N23" i="5"/>
  <c r="H23" i="5"/>
  <c r="G23" i="5"/>
  <c r="F23" i="5"/>
  <c r="E23" i="5"/>
  <c r="D23" i="5" a="1"/>
  <c r="D23" i="5" s="1"/>
  <c r="B23" i="5"/>
  <c r="N22" i="5"/>
  <c r="H22" i="5"/>
  <c r="G22" i="5"/>
  <c r="F22" i="5"/>
  <c r="E22" i="5"/>
  <c r="D22" i="5" a="1"/>
  <c r="D22" i="5" s="1"/>
  <c r="B22" i="5"/>
  <c r="N21" i="5"/>
  <c r="H21" i="5"/>
  <c r="G21" i="5"/>
  <c r="F21" i="5"/>
  <c r="E21" i="5"/>
  <c r="D21" i="5" a="1"/>
  <c r="D21" i="5" s="1"/>
  <c r="B21" i="5"/>
  <c r="N20" i="5"/>
  <c r="H20" i="5"/>
  <c r="G20" i="5"/>
  <c r="F20" i="5"/>
  <c r="E20" i="5"/>
  <c r="D20" i="5" a="1"/>
  <c r="D20" i="5" s="1"/>
  <c r="B20" i="5"/>
  <c r="N19" i="5"/>
  <c r="H19" i="5"/>
  <c r="G19" i="5"/>
  <c r="F19" i="5"/>
  <c r="E19" i="5"/>
  <c r="D19" i="5" a="1"/>
  <c r="D19" i="5" s="1"/>
  <c r="B19" i="5"/>
  <c r="N18" i="5"/>
  <c r="H18" i="5"/>
  <c r="G18" i="5"/>
  <c r="F18" i="5"/>
  <c r="E18" i="5"/>
  <c r="D18" i="5" a="1"/>
  <c r="D18" i="5" s="1"/>
  <c r="B18" i="5"/>
  <c r="N17" i="5"/>
  <c r="H17" i="5"/>
  <c r="G17" i="5"/>
  <c r="F17" i="5"/>
  <c r="E17" i="5"/>
  <c r="D17" i="5" a="1"/>
  <c r="D17" i="5" s="1"/>
  <c r="B17" i="5"/>
  <c r="N16" i="5"/>
  <c r="H16" i="5"/>
  <c r="G16" i="5"/>
  <c r="F16" i="5"/>
  <c r="E16" i="5"/>
  <c r="D16" i="5" a="1"/>
  <c r="D16" i="5" s="1"/>
  <c r="B16" i="5"/>
  <c r="N15" i="5"/>
  <c r="H15" i="5"/>
  <c r="G15" i="5"/>
  <c r="F15" i="5"/>
  <c r="E15" i="5"/>
  <c r="D15" i="5" a="1"/>
  <c r="D15" i="5" s="1"/>
  <c r="B15" i="5"/>
  <c r="N14" i="5"/>
  <c r="H14" i="5"/>
  <c r="G14" i="5"/>
  <c r="F14" i="5"/>
  <c r="E14" i="5"/>
  <c r="D14" i="5" a="1"/>
  <c r="D14" i="5" s="1"/>
  <c r="B14" i="5"/>
  <c r="N13" i="5"/>
  <c r="H13" i="5"/>
  <c r="G13" i="5"/>
  <c r="F13" i="5"/>
  <c r="E13" i="5"/>
  <c r="D13" i="5" a="1"/>
  <c r="D13" i="5" s="1"/>
  <c r="B13" i="5"/>
  <c r="N12" i="5"/>
  <c r="H12" i="5"/>
  <c r="G12" i="5"/>
  <c r="F12" i="5"/>
  <c r="E12" i="5"/>
  <c r="D12" i="5" a="1"/>
  <c r="D12" i="5" s="1"/>
  <c r="B12" i="5"/>
  <c r="N11" i="5"/>
  <c r="H11" i="5"/>
  <c r="G11" i="5"/>
  <c r="F11" i="5"/>
  <c r="E11" i="5"/>
  <c r="D11" i="5" a="1"/>
  <c r="D11" i="5" s="1"/>
  <c r="B11" i="5"/>
  <c r="N10" i="5"/>
  <c r="H10" i="5"/>
  <c r="G10" i="5"/>
  <c r="F10" i="5"/>
  <c r="E10" i="5"/>
  <c r="D10" i="5" a="1"/>
  <c r="D10" i="5" s="1"/>
  <c r="B10" i="5"/>
  <c r="N9" i="5"/>
  <c r="H9" i="5"/>
  <c r="G9" i="5"/>
  <c r="F9" i="5"/>
  <c r="E9" i="5"/>
  <c r="D9" i="5" a="1"/>
  <c r="D9" i="5" s="1"/>
  <c r="B9" i="5"/>
  <c r="N8" i="5"/>
  <c r="H8" i="5"/>
  <c r="G8" i="5"/>
  <c r="F8" i="5"/>
  <c r="E8" i="5"/>
  <c r="D8" i="5" a="1"/>
  <c r="D8" i="5" s="1"/>
  <c r="B8" i="5"/>
  <c r="N7" i="5"/>
  <c r="H7" i="5"/>
  <c r="G7" i="5"/>
  <c r="F7" i="5"/>
  <c r="E7" i="5"/>
  <c r="D7" i="5" a="1"/>
  <c r="D7" i="5" s="1"/>
  <c r="B7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R869" i="6"/>
  <c r="R868" i="6"/>
  <c r="R867" i="6"/>
  <c r="R866" i="6"/>
  <c r="R865" i="6"/>
  <c r="G865" i="6"/>
  <c r="F865" i="6"/>
  <c r="E865" i="6"/>
  <c r="D865" i="6"/>
  <c r="R864" i="6"/>
  <c r="G864" i="6"/>
  <c r="F864" i="6"/>
  <c r="E864" i="6"/>
  <c r="D864" i="6"/>
  <c r="R863" i="6"/>
  <c r="G863" i="6"/>
  <c r="F863" i="6"/>
  <c r="E863" i="6"/>
  <c r="D863" i="6"/>
  <c r="R862" i="6"/>
  <c r="G862" i="6"/>
  <c r="F862" i="6"/>
  <c r="E862" i="6"/>
  <c r="D862" i="6"/>
  <c r="R861" i="6"/>
  <c r="G861" i="6"/>
  <c r="F861" i="6"/>
  <c r="E861" i="6"/>
  <c r="D861" i="6"/>
  <c r="R860" i="6"/>
  <c r="M860" i="6"/>
  <c r="G860" i="6"/>
  <c r="F860" i="6"/>
  <c r="E860" i="6"/>
  <c r="D860" i="6"/>
  <c r="R859" i="6"/>
  <c r="M859" i="6"/>
  <c r="R858" i="6"/>
  <c r="M858" i="6"/>
  <c r="R857" i="6"/>
  <c r="M857" i="6"/>
  <c r="G857" i="6"/>
  <c r="F857" i="6"/>
  <c r="E857" i="6"/>
  <c r="D857" i="6"/>
  <c r="R856" i="6"/>
  <c r="M856" i="6"/>
  <c r="G856" i="6"/>
  <c r="F856" i="6"/>
  <c r="E856" i="6"/>
  <c r="D856" i="6"/>
  <c r="R855" i="6"/>
  <c r="M855" i="6"/>
  <c r="G855" i="6"/>
  <c r="F855" i="6"/>
  <c r="E855" i="6"/>
  <c r="D855" i="6"/>
  <c r="R854" i="6"/>
  <c r="M854" i="6"/>
  <c r="G854" i="6"/>
  <c r="F854" i="6"/>
  <c r="E854" i="6"/>
  <c r="D854" i="6"/>
  <c r="R853" i="6"/>
  <c r="M853" i="6"/>
  <c r="G853" i="6"/>
  <c r="F853" i="6"/>
  <c r="E853" i="6"/>
  <c r="D853" i="6"/>
  <c r="R852" i="6"/>
  <c r="M852" i="6"/>
  <c r="G852" i="6"/>
  <c r="F852" i="6"/>
  <c r="E852" i="6"/>
  <c r="D852" i="6"/>
  <c r="R851" i="6"/>
  <c r="M851" i="6"/>
  <c r="G851" i="6"/>
  <c r="F851" i="6"/>
  <c r="E851" i="6"/>
  <c r="D851" i="6"/>
  <c r="R850" i="6"/>
  <c r="M850" i="6"/>
  <c r="G850" i="6"/>
  <c r="F850" i="6"/>
  <c r="E850" i="6"/>
  <c r="D850" i="6"/>
  <c r="R849" i="6"/>
  <c r="M849" i="6"/>
  <c r="G849" i="6"/>
  <c r="F849" i="6"/>
  <c r="E849" i="6"/>
  <c r="D849" i="6"/>
  <c r="R848" i="6"/>
  <c r="M848" i="6"/>
  <c r="G848" i="6"/>
  <c r="F848" i="6"/>
  <c r="E848" i="6"/>
  <c r="D848" i="6"/>
  <c r="R847" i="6"/>
  <c r="M847" i="6"/>
  <c r="G847" i="6"/>
  <c r="F847" i="6"/>
  <c r="E847" i="6"/>
  <c r="D847" i="6"/>
  <c r="R846" i="6"/>
  <c r="M846" i="6"/>
  <c r="R845" i="6"/>
  <c r="M845" i="6"/>
  <c r="G845" i="6"/>
  <c r="F845" i="6"/>
  <c r="E845" i="6"/>
  <c r="D845" i="6"/>
  <c r="R844" i="6"/>
  <c r="M844" i="6"/>
  <c r="G844" i="6"/>
  <c r="F844" i="6"/>
  <c r="E844" i="6"/>
  <c r="D844" i="6"/>
  <c r="R843" i="6"/>
  <c r="M843" i="6"/>
  <c r="R842" i="6"/>
  <c r="M842" i="6"/>
  <c r="R841" i="6"/>
  <c r="M841" i="6"/>
  <c r="R840" i="6"/>
  <c r="M840" i="6"/>
  <c r="G840" i="6"/>
  <c r="F840" i="6"/>
  <c r="E840" i="6"/>
  <c r="D840" i="6"/>
  <c r="R839" i="6"/>
  <c r="M839" i="6"/>
  <c r="G839" i="6"/>
  <c r="F839" i="6"/>
  <c r="E839" i="6"/>
  <c r="D839" i="6"/>
  <c r="R838" i="6"/>
  <c r="M838" i="6"/>
  <c r="R837" i="6"/>
  <c r="M837" i="6"/>
  <c r="R836" i="6"/>
  <c r="M836" i="6"/>
  <c r="G836" i="6"/>
  <c r="F836" i="6"/>
  <c r="E836" i="6"/>
  <c r="D836" i="6"/>
  <c r="R835" i="6"/>
  <c r="M835" i="6"/>
  <c r="R834" i="6"/>
  <c r="M834" i="6"/>
  <c r="R833" i="6"/>
  <c r="M833" i="6"/>
  <c r="G833" i="6"/>
  <c r="F833" i="6"/>
  <c r="E833" i="6"/>
  <c r="D833" i="6"/>
  <c r="R832" i="6"/>
  <c r="M832" i="6"/>
  <c r="G832" i="6"/>
  <c r="F832" i="6"/>
  <c r="E832" i="6"/>
  <c r="D832" i="6"/>
  <c r="R831" i="6"/>
  <c r="M831" i="6"/>
  <c r="G831" i="6"/>
  <c r="F831" i="6"/>
  <c r="E831" i="6"/>
  <c r="D831" i="6"/>
  <c r="R830" i="6"/>
  <c r="M830" i="6"/>
  <c r="G830" i="6"/>
  <c r="F830" i="6"/>
  <c r="E830" i="6"/>
  <c r="D830" i="6"/>
  <c r="R829" i="6"/>
  <c r="M829" i="6"/>
  <c r="G829" i="6"/>
  <c r="F829" i="6"/>
  <c r="E829" i="6"/>
  <c r="D829" i="6"/>
  <c r="R828" i="6"/>
  <c r="M828" i="6"/>
  <c r="G828" i="6"/>
  <c r="F828" i="6"/>
  <c r="E828" i="6"/>
  <c r="D828" i="6"/>
  <c r="R827" i="6"/>
  <c r="M827" i="6"/>
  <c r="G827" i="6"/>
  <c r="F827" i="6"/>
  <c r="E827" i="6"/>
  <c r="D827" i="6"/>
  <c r="R826" i="6"/>
  <c r="M826" i="6"/>
  <c r="G826" i="6"/>
  <c r="F826" i="6"/>
  <c r="E826" i="6"/>
  <c r="D826" i="6"/>
  <c r="R825" i="6"/>
  <c r="M825" i="6"/>
  <c r="G825" i="6"/>
  <c r="F825" i="6"/>
  <c r="E825" i="6"/>
  <c r="D825" i="6"/>
  <c r="R824" i="6"/>
  <c r="M824" i="6"/>
  <c r="G824" i="6"/>
  <c r="F824" i="6"/>
  <c r="E824" i="6"/>
  <c r="D824" i="6"/>
  <c r="R823" i="6"/>
  <c r="M823" i="6"/>
  <c r="G823" i="6"/>
  <c r="F823" i="6"/>
  <c r="E823" i="6"/>
  <c r="D823" i="6"/>
  <c r="R822" i="6"/>
  <c r="M822" i="6"/>
  <c r="G822" i="6"/>
  <c r="F822" i="6"/>
  <c r="E822" i="6"/>
  <c r="D822" i="6"/>
  <c r="R821" i="6"/>
  <c r="M821" i="6"/>
  <c r="G821" i="6"/>
  <c r="F821" i="6"/>
  <c r="E821" i="6"/>
  <c r="D821" i="6"/>
  <c r="R820" i="6"/>
  <c r="M820" i="6"/>
  <c r="G820" i="6"/>
  <c r="F820" i="6"/>
  <c r="E820" i="6"/>
  <c r="D820" i="6"/>
  <c r="R819" i="6"/>
  <c r="M819" i="6"/>
  <c r="G819" i="6"/>
  <c r="F819" i="6"/>
  <c r="E819" i="6"/>
  <c r="D819" i="6"/>
  <c r="R818" i="6"/>
  <c r="M818" i="6"/>
  <c r="G818" i="6"/>
  <c r="F818" i="6"/>
  <c r="E818" i="6"/>
  <c r="D818" i="6"/>
  <c r="R817" i="6"/>
  <c r="M817" i="6"/>
  <c r="G817" i="6"/>
  <c r="F817" i="6"/>
  <c r="E817" i="6"/>
  <c r="D817" i="6"/>
  <c r="R816" i="6"/>
  <c r="M816" i="6"/>
  <c r="G816" i="6"/>
  <c r="F816" i="6"/>
  <c r="E816" i="6"/>
  <c r="D816" i="6"/>
  <c r="R815" i="6"/>
  <c r="M815" i="6"/>
  <c r="G815" i="6"/>
  <c r="F815" i="6"/>
  <c r="E815" i="6"/>
  <c r="D815" i="6"/>
  <c r="R814" i="6"/>
  <c r="M814" i="6"/>
  <c r="G814" i="6"/>
  <c r="F814" i="6"/>
  <c r="E814" i="6"/>
  <c r="D814" i="6"/>
  <c r="R813" i="6"/>
  <c r="M813" i="6"/>
  <c r="G813" i="6"/>
  <c r="F813" i="6"/>
  <c r="E813" i="6"/>
  <c r="D813" i="6"/>
  <c r="R812" i="6"/>
  <c r="M812" i="6"/>
  <c r="G812" i="6"/>
  <c r="F812" i="6"/>
  <c r="E812" i="6"/>
  <c r="D812" i="6"/>
  <c r="R811" i="6"/>
  <c r="M811" i="6"/>
  <c r="G811" i="6"/>
  <c r="F811" i="6"/>
  <c r="E811" i="6"/>
  <c r="D811" i="6"/>
  <c r="R810" i="6"/>
  <c r="M810" i="6"/>
  <c r="G810" i="6"/>
  <c r="F810" i="6"/>
  <c r="E810" i="6"/>
  <c r="D810" i="6"/>
  <c r="R809" i="6"/>
  <c r="M809" i="6"/>
  <c r="G809" i="6"/>
  <c r="F809" i="6"/>
  <c r="E809" i="6"/>
  <c r="D809" i="6"/>
  <c r="R808" i="6"/>
  <c r="M808" i="6"/>
  <c r="G808" i="6"/>
  <c r="F808" i="6"/>
  <c r="E808" i="6"/>
  <c r="D808" i="6"/>
  <c r="R807" i="6"/>
  <c r="M807" i="6"/>
  <c r="G807" i="6"/>
  <c r="F807" i="6"/>
  <c r="E807" i="6"/>
  <c r="D807" i="6"/>
  <c r="R806" i="6"/>
  <c r="M806" i="6"/>
  <c r="G806" i="6"/>
  <c r="F806" i="6"/>
  <c r="E806" i="6"/>
  <c r="D806" i="6"/>
  <c r="R805" i="6"/>
  <c r="M805" i="6"/>
  <c r="G805" i="6"/>
  <c r="F805" i="6"/>
  <c r="E805" i="6"/>
  <c r="D805" i="6"/>
  <c r="R804" i="6"/>
  <c r="M804" i="6"/>
  <c r="G804" i="6"/>
  <c r="F804" i="6"/>
  <c r="E804" i="6"/>
  <c r="D804" i="6"/>
  <c r="R803" i="6"/>
  <c r="M803" i="6"/>
  <c r="G803" i="6"/>
  <c r="F803" i="6"/>
  <c r="E803" i="6"/>
  <c r="D803" i="6"/>
  <c r="R802" i="6"/>
  <c r="M802" i="6"/>
  <c r="G802" i="6"/>
  <c r="F802" i="6"/>
  <c r="E802" i="6"/>
  <c r="D802" i="6"/>
  <c r="R801" i="6"/>
  <c r="M801" i="6"/>
  <c r="G801" i="6"/>
  <c r="F801" i="6"/>
  <c r="E801" i="6"/>
  <c r="D801" i="6"/>
  <c r="R800" i="6"/>
  <c r="M800" i="6"/>
  <c r="G800" i="6"/>
  <c r="F800" i="6"/>
  <c r="E800" i="6"/>
  <c r="D800" i="6"/>
  <c r="R799" i="6"/>
  <c r="M799" i="6"/>
  <c r="G799" i="6"/>
  <c r="F799" i="6"/>
  <c r="E799" i="6"/>
  <c r="D799" i="6"/>
  <c r="R798" i="6"/>
  <c r="M798" i="6"/>
  <c r="G798" i="6"/>
  <c r="F798" i="6"/>
  <c r="E798" i="6"/>
  <c r="D798" i="6"/>
  <c r="R797" i="6"/>
  <c r="M797" i="6"/>
  <c r="G797" i="6"/>
  <c r="F797" i="6"/>
  <c r="E797" i="6"/>
  <c r="D797" i="6"/>
  <c r="R796" i="6"/>
  <c r="M796" i="6"/>
  <c r="G796" i="6"/>
  <c r="F796" i="6"/>
  <c r="E796" i="6"/>
  <c r="D796" i="6"/>
  <c r="R795" i="6"/>
  <c r="M795" i="6"/>
  <c r="G795" i="6"/>
  <c r="F795" i="6"/>
  <c r="E795" i="6"/>
  <c r="D795" i="6"/>
  <c r="R794" i="6"/>
  <c r="M794" i="6"/>
  <c r="G794" i="6"/>
  <c r="F794" i="6"/>
  <c r="E794" i="6"/>
  <c r="D794" i="6"/>
  <c r="R793" i="6"/>
  <c r="M793" i="6"/>
  <c r="G793" i="6"/>
  <c r="F793" i="6"/>
  <c r="E793" i="6"/>
  <c r="D793" i="6"/>
  <c r="R792" i="6"/>
  <c r="M792" i="6"/>
  <c r="G792" i="6"/>
  <c r="F792" i="6"/>
  <c r="E792" i="6"/>
  <c r="D792" i="6"/>
  <c r="R791" i="6"/>
  <c r="M791" i="6"/>
  <c r="G791" i="6"/>
  <c r="F791" i="6"/>
  <c r="E791" i="6"/>
  <c r="D791" i="6"/>
  <c r="R790" i="6"/>
  <c r="M790" i="6"/>
  <c r="G790" i="6"/>
  <c r="F790" i="6"/>
  <c r="E790" i="6"/>
  <c r="D790" i="6"/>
  <c r="R789" i="6"/>
  <c r="M789" i="6"/>
  <c r="G789" i="6"/>
  <c r="F789" i="6"/>
  <c r="E789" i="6"/>
  <c r="D789" i="6"/>
  <c r="R788" i="6"/>
  <c r="M788" i="6"/>
  <c r="G788" i="6"/>
  <c r="F788" i="6"/>
  <c r="E788" i="6"/>
  <c r="D788" i="6"/>
  <c r="R787" i="6"/>
  <c r="M787" i="6"/>
  <c r="G787" i="6"/>
  <c r="F787" i="6"/>
  <c r="E787" i="6"/>
  <c r="D787" i="6"/>
  <c r="R786" i="6"/>
  <c r="M786" i="6"/>
  <c r="G786" i="6"/>
  <c r="F786" i="6"/>
  <c r="E786" i="6"/>
  <c r="D786" i="6"/>
  <c r="R785" i="6"/>
  <c r="M785" i="6"/>
  <c r="G785" i="6"/>
  <c r="F785" i="6"/>
  <c r="E785" i="6"/>
  <c r="D785" i="6"/>
  <c r="R784" i="6"/>
  <c r="M784" i="6"/>
  <c r="G784" i="6"/>
  <c r="F784" i="6"/>
  <c r="E784" i="6"/>
  <c r="D784" i="6"/>
  <c r="R783" i="6"/>
  <c r="M783" i="6"/>
  <c r="G783" i="6"/>
  <c r="F783" i="6"/>
  <c r="E783" i="6"/>
  <c r="D783" i="6"/>
  <c r="R782" i="6"/>
  <c r="M782" i="6"/>
  <c r="G782" i="6"/>
  <c r="F782" i="6"/>
  <c r="E782" i="6"/>
  <c r="D782" i="6"/>
  <c r="R781" i="6"/>
  <c r="M781" i="6"/>
  <c r="G781" i="6"/>
  <c r="F781" i="6"/>
  <c r="E781" i="6"/>
  <c r="D781" i="6"/>
  <c r="R780" i="6"/>
  <c r="M780" i="6"/>
  <c r="G780" i="6"/>
  <c r="F780" i="6"/>
  <c r="E780" i="6"/>
  <c r="D780" i="6"/>
  <c r="R779" i="6"/>
  <c r="M779" i="6"/>
  <c r="G779" i="6"/>
  <c r="F779" i="6"/>
  <c r="E779" i="6"/>
  <c r="D779" i="6"/>
  <c r="R778" i="6"/>
  <c r="M778" i="6"/>
  <c r="G778" i="6"/>
  <c r="F778" i="6"/>
  <c r="E778" i="6"/>
  <c r="D778" i="6"/>
  <c r="R777" i="6"/>
  <c r="M777" i="6"/>
  <c r="G777" i="6"/>
  <c r="F777" i="6"/>
  <c r="E777" i="6"/>
  <c r="D777" i="6"/>
  <c r="R776" i="6"/>
  <c r="M776" i="6"/>
  <c r="G776" i="6"/>
  <c r="F776" i="6"/>
  <c r="E776" i="6"/>
  <c r="D776" i="6"/>
  <c r="R775" i="6"/>
  <c r="M775" i="6"/>
  <c r="G775" i="6"/>
  <c r="F775" i="6"/>
  <c r="E775" i="6"/>
  <c r="D775" i="6"/>
  <c r="R774" i="6"/>
  <c r="M774" i="6"/>
  <c r="G774" i="6"/>
  <c r="F774" i="6"/>
  <c r="E774" i="6"/>
  <c r="D774" i="6"/>
  <c r="R773" i="6"/>
  <c r="M773" i="6"/>
  <c r="G773" i="6"/>
  <c r="F773" i="6"/>
  <c r="E773" i="6"/>
  <c r="D773" i="6"/>
  <c r="R772" i="6"/>
  <c r="M772" i="6"/>
  <c r="G772" i="6"/>
  <c r="F772" i="6"/>
  <c r="E772" i="6"/>
  <c r="D772" i="6"/>
  <c r="R771" i="6"/>
  <c r="M771" i="6"/>
  <c r="G771" i="6"/>
  <c r="F771" i="6"/>
  <c r="E771" i="6"/>
  <c r="D771" i="6"/>
  <c r="R770" i="6"/>
  <c r="M770" i="6"/>
  <c r="G770" i="6"/>
  <c r="F770" i="6"/>
  <c r="E770" i="6"/>
  <c r="D770" i="6"/>
  <c r="R769" i="6"/>
  <c r="M769" i="6"/>
  <c r="R768" i="6"/>
  <c r="M768" i="6"/>
  <c r="R767" i="6"/>
  <c r="M767" i="6"/>
  <c r="R766" i="6"/>
  <c r="M766" i="6"/>
  <c r="R765" i="6"/>
  <c r="M765" i="6"/>
  <c r="R764" i="6"/>
  <c r="M764" i="6"/>
  <c r="G764" i="6"/>
  <c r="F764" i="6"/>
  <c r="E764" i="6"/>
  <c r="D764" i="6"/>
  <c r="B764" i="6"/>
  <c r="R763" i="6"/>
  <c r="M763" i="6"/>
  <c r="G763" i="6"/>
  <c r="F763" i="6"/>
  <c r="E763" i="6"/>
  <c r="D763" i="6"/>
  <c r="B763" i="6"/>
  <c r="R762" i="6"/>
  <c r="M762" i="6"/>
  <c r="G762" i="6"/>
  <c r="F762" i="6"/>
  <c r="E762" i="6"/>
  <c r="D762" i="6"/>
  <c r="B762" i="6"/>
  <c r="R761" i="6"/>
  <c r="M761" i="6"/>
  <c r="G761" i="6"/>
  <c r="F761" i="6"/>
  <c r="E761" i="6"/>
  <c r="D761" i="6"/>
  <c r="B761" i="6"/>
  <c r="R760" i="6"/>
  <c r="M760" i="6"/>
  <c r="G760" i="6"/>
  <c r="F760" i="6"/>
  <c r="E760" i="6"/>
  <c r="D760" i="6"/>
  <c r="B760" i="6"/>
  <c r="R759" i="6"/>
  <c r="M759" i="6"/>
  <c r="G759" i="6"/>
  <c r="F759" i="6"/>
  <c r="E759" i="6"/>
  <c r="D759" i="6"/>
  <c r="B759" i="6"/>
  <c r="R758" i="6"/>
  <c r="M758" i="6"/>
  <c r="G758" i="6"/>
  <c r="F758" i="6"/>
  <c r="E758" i="6"/>
  <c r="D758" i="6"/>
  <c r="B758" i="6"/>
  <c r="R757" i="6"/>
  <c r="M757" i="6"/>
  <c r="G757" i="6"/>
  <c r="F757" i="6"/>
  <c r="E757" i="6"/>
  <c r="D757" i="6"/>
  <c r="B757" i="6"/>
  <c r="R756" i="6"/>
  <c r="M756" i="6"/>
  <c r="G756" i="6"/>
  <c r="F756" i="6"/>
  <c r="E756" i="6"/>
  <c r="D756" i="6"/>
  <c r="B756" i="6"/>
  <c r="R755" i="6"/>
  <c r="M755" i="6"/>
  <c r="G755" i="6"/>
  <c r="F755" i="6"/>
  <c r="E755" i="6"/>
  <c r="D755" i="6"/>
  <c r="B755" i="6"/>
  <c r="R754" i="6"/>
  <c r="M754" i="6"/>
  <c r="G754" i="6"/>
  <c r="F754" i="6"/>
  <c r="E754" i="6"/>
  <c r="D754" i="6"/>
  <c r="B754" i="6"/>
  <c r="R753" i="6"/>
  <c r="M753" i="6"/>
  <c r="G753" i="6"/>
  <c r="F753" i="6"/>
  <c r="E753" i="6"/>
  <c r="D753" i="6"/>
  <c r="B753" i="6"/>
  <c r="R752" i="6"/>
  <c r="M752" i="6"/>
  <c r="G752" i="6"/>
  <c r="F752" i="6"/>
  <c r="E752" i="6"/>
  <c r="D752" i="6"/>
  <c r="B752" i="6"/>
  <c r="R751" i="6"/>
  <c r="M751" i="6"/>
  <c r="G751" i="6"/>
  <c r="F751" i="6"/>
  <c r="E751" i="6"/>
  <c r="D751" i="6"/>
  <c r="B751" i="6"/>
  <c r="R750" i="6"/>
  <c r="M750" i="6"/>
  <c r="G750" i="6"/>
  <c r="F750" i="6"/>
  <c r="E750" i="6"/>
  <c r="D750" i="6"/>
  <c r="B750" i="6"/>
  <c r="R749" i="6"/>
  <c r="M749" i="6"/>
  <c r="G749" i="6"/>
  <c r="F749" i="6"/>
  <c r="E749" i="6"/>
  <c r="D749" i="6"/>
  <c r="B749" i="6"/>
  <c r="R748" i="6"/>
  <c r="M748" i="6"/>
  <c r="G748" i="6"/>
  <c r="F748" i="6"/>
  <c r="E748" i="6"/>
  <c r="D748" i="6"/>
  <c r="B748" i="6"/>
  <c r="R747" i="6"/>
  <c r="M747" i="6"/>
  <c r="G747" i="6"/>
  <c r="F747" i="6"/>
  <c r="E747" i="6"/>
  <c r="D747" i="6"/>
  <c r="B747" i="6"/>
  <c r="R746" i="6"/>
  <c r="M746" i="6"/>
  <c r="G746" i="6"/>
  <c r="F746" i="6"/>
  <c r="E746" i="6"/>
  <c r="D746" i="6"/>
  <c r="B746" i="6"/>
  <c r="R745" i="6"/>
  <c r="M745" i="6"/>
  <c r="G745" i="6"/>
  <c r="F745" i="6"/>
  <c r="E745" i="6"/>
  <c r="D745" i="6"/>
  <c r="B745" i="6"/>
  <c r="R744" i="6"/>
  <c r="M744" i="6"/>
  <c r="G744" i="6"/>
  <c r="F744" i="6"/>
  <c r="E744" i="6"/>
  <c r="D744" i="6"/>
  <c r="B744" i="6"/>
  <c r="R743" i="6"/>
  <c r="M743" i="6"/>
  <c r="G743" i="6"/>
  <c r="F743" i="6"/>
  <c r="E743" i="6"/>
  <c r="D743" i="6"/>
  <c r="B743" i="6"/>
  <c r="R742" i="6"/>
  <c r="M742" i="6"/>
  <c r="G742" i="6"/>
  <c r="F742" i="6"/>
  <c r="E742" i="6"/>
  <c r="D742" i="6"/>
  <c r="B742" i="6"/>
  <c r="R741" i="6"/>
  <c r="M741" i="6"/>
  <c r="G741" i="6"/>
  <c r="F741" i="6"/>
  <c r="E741" i="6"/>
  <c r="D741" i="6"/>
  <c r="B741" i="6"/>
  <c r="R740" i="6"/>
  <c r="M740" i="6"/>
  <c r="G740" i="6"/>
  <c r="F740" i="6"/>
  <c r="E740" i="6"/>
  <c r="D740" i="6"/>
  <c r="B740" i="6"/>
  <c r="R739" i="6"/>
  <c r="M739" i="6"/>
  <c r="G739" i="6"/>
  <c r="F739" i="6"/>
  <c r="E739" i="6"/>
  <c r="D739" i="6"/>
  <c r="B739" i="6"/>
  <c r="R738" i="6"/>
  <c r="M738" i="6"/>
  <c r="G738" i="6"/>
  <c r="F738" i="6"/>
  <c r="E738" i="6"/>
  <c r="D738" i="6"/>
  <c r="B738" i="6"/>
  <c r="R737" i="6"/>
  <c r="M737" i="6"/>
  <c r="G737" i="6"/>
  <c r="F737" i="6"/>
  <c r="E737" i="6"/>
  <c r="D737" i="6"/>
  <c r="B737" i="6"/>
  <c r="R736" i="6"/>
  <c r="M736" i="6"/>
  <c r="G736" i="6"/>
  <c r="F736" i="6"/>
  <c r="E736" i="6"/>
  <c r="D736" i="6"/>
  <c r="B736" i="6"/>
  <c r="R735" i="6"/>
  <c r="M735" i="6"/>
  <c r="G735" i="6"/>
  <c r="F735" i="6"/>
  <c r="E735" i="6"/>
  <c r="D735" i="6"/>
  <c r="B735" i="6"/>
  <c r="R734" i="6"/>
  <c r="M734" i="6"/>
  <c r="G734" i="6"/>
  <c r="F734" i="6"/>
  <c r="E734" i="6"/>
  <c r="D734" i="6"/>
  <c r="B734" i="6"/>
  <c r="R733" i="6"/>
  <c r="M733" i="6"/>
  <c r="G733" i="6"/>
  <c r="F733" i="6"/>
  <c r="E733" i="6"/>
  <c r="D733" i="6"/>
  <c r="B733" i="6"/>
  <c r="R732" i="6"/>
  <c r="M732" i="6"/>
  <c r="G732" i="6"/>
  <c r="F732" i="6"/>
  <c r="E732" i="6"/>
  <c r="D732" i="6"/>
  <c r="B732" i="6"/>
  <c r="R731" i="6"/>
  <c r="M731" i="6"/>
  <c r="G731" i="6"/>
  <c r="F731" i="6"/>
  <c r="E731" i="6"/>
  <c r="D731" i="6"/>
  <c r="B731" i="6"/>
  <c r="R730" i="6"/>
  <c r="M730" i="6"/>
  <c r="G730" i="6"/>
  <c r="F730" i="6"/>
  <c r="E730" i="6"/>
  <c r="D730" i="6"/>
  <c r="B730" i="6"/>
  <c r="R729" i="6"/>
  <c r="M729" i="6"/>
  <c r="G729" i="6"/>
  <c r="F729" i="6"/>
  <c r="E729" i="6"/>
  <c r="D729" i="6"/>
  <c r="B729" i="6"/>
  <c r="R728" i="6"/>
  <c r="M728" i="6"/>
  <c r="G728" i="6"/>
  <c r="F728" i="6"/>
  <c r="E728" i="6"/>
  <c r="D728" i="6"/>
  <c r="B728" i="6"/>
  <c r="R727" i="6"/>
  <c r="M727" i="6"/>
  <c r="G727" i="6"/>
  <c r="F727" i="6"/>
  <c r="E727" i="6"/>
  <c r="D727" i="6"/>
  <c r="B727" i="6"/>
  <c r="R726" i="6"/>
  <c r="M726" i="6"/>
  <c r="G726" i="6"/>
  <c r="F726" i="6"/>
  <c r="E726" i="6"/>
  <c r="D726" i="6"/>
  <c r="B726" i="6"/>
  <c r="R725" i="6"/>
  <c r="M725" i="6"/>
  <c r="G725" i="6"/>
  <c r="F725" i="6"/>
  <c r="E725" i="6"/>
  <c r="D725" i="6"/>
  <c r="B725" i="6"/>
  <c r="R724" i="6"/>
  <c r="M724" i="6"/>
  <c r="G724" i="6"/>
  <c r="F724" i="6"/>
  <c r="E724" i="6"/>
  <c r="D724" i="6"/>
  <c r="B724" i="6"/>
  <c r="R723" i="6"/>
  <c r="M723" i="6"/>
  <c r="G723" i="6"/>
  <c r="F723" i="6"/>
  <c r="E723" i="6"/>
  <c r="D723" i="6"/>
  <c r="B723" i="6"/>
  <c r="R722" i="6"/>
  <c r="M722" i="6"/>
  <c r="G722" i="6"/>
  <c r="F722" i="6"/>
  <c r="E722" i="6"/>
  <c r="D722" i="6"/>
  <c r="B722" i="6"/>
  <c r="R721" i="6"/>
  <c r="M721" i="6"/>
  <c r="G721" i="6"/>
  <c r="F721" i="6"/>
  <c r="E721" i="6"/>
  <c r="D721" i="6"/>
  <c r="B721" i="6"/>
  <c r="R720" i="6"/>
  <c r="M720" i="6"/>
  <c r="G720" i="6"/>
  <c r="F720" i="6"/>
  <c r="E720" i="6"/>
  <c r="D720" i="6"/>
  <c r="B720" i="6"/>
  <c r="R719" i="6"/>
  <c r="M719" i="6"/>
  <c r="G719" i="6"/>
  <c r="F719" i="6"/>
  <c r="E719" i="6"/>
  <c r="D719" i="6"/>
  <c r="B719" i="6"/>
  <c r="R718" i="6"/>
  <c r="M718" i="6"/>
  <c r="G718" i="6"/>
  <c r="F718" i="6"/>
  <c r="E718" i="6"/>
  <c r="D718" i="6"/>
  <c r="B718" i="6"/>
  <c r="R717" i="6"/>
  <c r="M717" i="6"/>
  <c r="G717" i="6"/>
  <c r="F717" i="6"/>
  <c r="E717" i="6"/>
  <c r="D717" i="6"/>
  <c r="B717" i="6"/>
  <c r="R716" i="6"/>
  <c r="M716" i="6"/>
  <c r="G716" i="6"/>
  <c r="F716" i="6"/>
  <c r="E716" i="6"/>
  <c r="D716" i="6"/>
  <c r="B716" i="6"/>
  <c r="R715" i="6"/>
  <c r="M715" i="6"/>
  <c r="G715" i="6"/>
  <c r="F715" i="6"/>
  <c r="E715" i="6"/>
  <c r="D715" i="6"/>
  <c r="B715" i="6"/>
  <c r="R714" i="6"/>
  <c r="M714" i="6"/>
  <c r="G714" i="6"/>
  <c r="F714" i="6"/>
  <c r="E714" i="6"/>
  <c r="D714" i="6"/>
  <c r="B714" i="6"/>
  <c r="R713" i="6"/>
  <c r="M713" i="6"/>
  <c r="G713" i="6"/>
  <c r="F713" i="6"/>
  <c r="E713" i="6"/>
  <c r="D713" i="6"/>
  <c r="B713" i="6"/>
  <c r="R712" i="6"/>
  <c r="M712" i="6"/>
  <c r="G712" i="6"/>
  <c r="F712" i="6"/>
  <c r="E712" i="6"/>
  <c r="D712" i="6"/>
  <c r="B712" i="6"/>
  <c r="R711" i="6"/>
  <c r="M711" i="6"/>
  <c r="G711" i="6"/>
  <c r="F711" i="6"/>
  <c r="E711" i="6"/>
  <c r="D711" i="6"/>
  <c r="B711" i="6"/>
  <c r="R710" i="6"/>
  <c r="M710" i="6"/>
  <c r="G710" i="6"/>
  <c r="F710" i="6"/>
  <c r="E710" i="6"/>
  <c r="D710" i="6"/>
  <c r="B710" i="6"/>
  <c r="R709" i="6"/>
  <c r="M709" i="6"/>
  <c r="G709" i="6"/>
  <c r="F709" i="6"/>
  <c r="E709" i="6"/>
  <c r="D709" i="6"/>
  <c r="B709" i="6"/>
  <c r="R708" i="6"/>
  <c r="M708" i="6"/>
  <c r="G708" i="6"/>
  <c r="F708" i="6"/>
  <c r="E708" i="6"/>
  <c r="D708" i="6"/>
  <c r="B708" i="6"/>
  <c r="R707" i="6"/>
  <c r="M707" i="6"/>
  <c r="G707" i="6"/>
  <c r="F707" i="6"/>
  <c r="E707" i="6"/>
  <c r="D707" i="6"/>
  <c r="B707" i="6"/>
  <c r="R706" i="6"/>
  <c r="M706" i="6"/>
  <c r="G706" i="6"/>
  <c r="F706" i="6"/>
  <c r="E706" i="6"/>
  <c r="D706" i="6"/>
  <c r="B706" i="6"/>
  <c r="R705" i="6"/>
  <c r="M705" i="6"/>
  <c r="G705" i="6"/>
  <c r="F705" i="6"/>
  <c r="E705" i="6"/>
  <c r="D705" i="6"/>
  <c r="B705" i="6"/>
  <c r="R704" i="6"/>
  <c r="M704" i="6"/>
  <c r="G704" i="6"/>
  <c r="F704" i="6"/>
  <c r="E704" i="6"/>
  <c r="D704" i="6"/>
  <c r="B704" i="6"/>
  <c r="R703" i="6"/>
  <c r="M703" i="6"/>
  <c r="G703" i="6"/>
  <c r="F703" i="6"/>
  <c r="E703" i="6"/>
  <c r="D703" i="6"/>
  <c r="B703" i="6"/>
  <c r="R702" i="6"/>
  <c r="M702" i="6"/>
  <c r="G702" i="6"/>
  <c r="F702" i="6"/>
  <c r="E702" i="6"/>
  <c r="D702" i="6"/>
  <c r="B702" i="6"/>
  <c r="R701" i="6"/>
  <c r="M701" i="6"/>
  <c r="G701" i="6"/>
  <c r="F701" i="6"/>
  <c r="E701" i="6"/>
  <c r="D701" i="6"/>
  <c r="B701" i="6"/>
  <c r="R700" i="6"/>
  <c r="M700" i="6"/>
  <c r="G700" i="6"/>
  <c r="F700" i="6"/>
  <c r="E700" i="6"/>
  <c r="D700" i="6"/>
  <c r="B700" i="6"/>
  <c r="R699" i="6"/>
  <c r="M699" i="6"/>
  <c r="G699" i="6"/>
  <c r="F699" i="6"/>
  <c r="E699" i="6"/>
  <c r="D699" i="6"/>
  <c r="B699" i="6"/>
  <c r="R698" i="6"/>
  <c r="M698" i="6"/>
  <c r="G698" i="6"/>
  <c r="F698" i="6"/>
  <c r="E698" i="6"/>
  <c r="D698" i="6"/>
  <c r="B698" i="6"/>
  <c r="R697" i="6"/>
  <c r="M697" i="6"/>
  <c r="G697" i="6"/>
  <c r="F697" i="6"/>
  <c r="E697" i="6"/>
  <c r="D697" i="6"/>
  <c r="B697" i="6"/>
  <c r="R696" i="6"/>
  <c r="M696" i="6"/>
  <c r="G696" i="6"/>
  <c r="F696" i="6"/>
  <c r="E696" i="6"/>
  <c r="D696" i="6"/>
  <c r="B696" i="6"/>
  <c r="R695" i="6"/>
  <c r="M695" i="6"/>
  <c r="G695" i="6"/>
  <c r="F695" i="6"/>
  <c r="E695" i="6"/>
  <c r="D695" i="6"/>
  <c r="B695" i="6"/>
  <c r="R694" i="6"/>
  <c r="M694" i="6"/>
  <c r="G694" i="6"/>
  <c r="F694" i="6"/>
  <c r="E694" i="6"/>
  <c r="D694" i="6"/>
  <c r="B694" i="6"/>
  <c r="R693" i="6"/>
  <c r="M693" i="6"/>
  <c r="G693" i="6"/>
  <c r="F693" i="6"/>
  <c r="E693" i="6"/>
  <c r="D693" i="6"/>
  <c r="B693" i="6"/>
  <c r="R692" i="6"/>
  <c r="M692" i="6"/>
  <c r="G692" i="6"/>
  <c r="F692" i="6"/>
  <c r="E692" i="6"/>
  <c r="D692" i="6"/>
  <c r="B692" i="6"/>
  <c r="R691" i="6"/>
  <c r="M691" i="6"/>
  <c r="G691" i="6"/>
  <c r="F691" i="6"/>
  <c r="E691" i="6"/>
  <c r="D691" i="6"/>
  <c r="B691" i="6"/>
  <c r="R690" i="6"/>
  <c r="M690" i="6"/>
  <c r="G690" i="6"/>
  <c r="F690" i="6"/>
  <c r="E690" i="6"/>
  <c r="D690" i="6"/>
  <c r="B690" i="6"/>
  <c r="R689" i="6"/>
  <c r="M689" i="6"/>
  <c r="G689" i="6"/>
  <c r="F689" i="6"/>
  <c r="E689" i="6"/>
  <c r="D689" i="6"/>
  <c r="B689" i="6"/>
  <c r="R688" i="6"/>
  <c r="M688" i="6"/>
  <c r="G688" i="6"/>
  <c r="F688" i="6"/>
  <c r="E688" i="6"/>
  <c r="D688" i="6"/>
  <c r="B688" i="6"/>
  <c r="R687" i="6"/>
  <c r="M687" i="6"/>
  <c r="G687" i="6"/>
  <c r="F687" i="6"/>
  <c r="E687" i="6"/>
  <c r="D687" i="6"/>
  <c r="B687" i="6"/>
  <c r="R686" i="6"/>
  <c r="M686" i="6"/>
  <c r="G686" i="6"/>
  <c r="F686" i="6"/>
  <c r="E686" i="6"/>
  <c r="D686" i="6"/>
  <c r="B686" i="6"/>
  <c r="R685" i="6"/>
  <c r="M685" i="6"/>
  <c r="G685" i="6"/>
  <c r="F685" i="6"/>
  <c r="E685" i="6"/>
  <c r="D685" i="6"/>
  <c r="B685" i="6"/>
  <c r="R684" i="6"/>
  <c r="M684" i="6"/>
  <c r="G684" i="6"/>
  <c r="F684" i="6"/>
  <c r="E684" i="6"/>
  <c r="D684" i="6"/>
  <c r="B684" i="6"/>
  <c r="R683" i="6"/>
  <c r="M683" i="6"/>
  <c r="G683" i="6"/>
  <c r="F683" i="6"/>
  <c r="E683" i="6"/>
  <c r="D683" i="6"/>
  <c r="B683" i="6"/>
  <c r="R682" i="6"/>
  <c r="M682" i="6"/>
  <c r="G682" i="6"/>
  <c r="F682" i="6"/>
  <c r="E682" i="6"/>
  <c r="D682" i="6"/>
  <c r="B682" i="6"/>
  <c r="R681" i="6"/>
  <c r="M681" i="6"/>
  <c r="G681" i="6"/>
  <c r="F681" i="6"/>
  <c r="E681" i="6"/>
  <c r="D681" i="6"/>
  <c r="B681" i="6"/>
  <c r="R680" i="6"/>
  <c r="M680" i="6"/>
  <c r="G680" i="6"/>
  <c r="F680" i="6"/>
  <c r="E680" i="6"/>
  <c r="D680" i="6"/>
  <c r="B680" i="6"/>
  <c r="R679" i="6"/>
  <c r="M679" i="6"/>
  <c r="G679" i="6"/>
  <c r="F679" i="6"/>
  <c r="E679" i="6"/>
  <c r="D679" i="6"/>
  <c r="B679" i="6"/>
  <c r="R678" i="6"/>
  <c r="M678" i="6"/>
  <c r="G678" i="6"/>
  <c r="F678" i="6"/>
  <c r="E678" i="6"/>
  <c r="D678" i="6"/>
  <c r="B678" i="6"/>
  <c r="R677" i="6"/>
  <c r="M677" i="6"/>
  <c r="G677" i="6"/>
  <c r="F677" i="6"/>
  <c r="E677" i="6"/>
  <c r="D677" i="6"/>
  <c r="B677" i="6"/>
  <c r="R676" i="6"/>
  <c r="M676" i="6"/>
  <c r="G676" i="6"/>
  <c r="F676" i="6"/>
  <c r="E676" i="6"/>
  <c r="D676" i="6"/>
  <c r="B676" i="6"/>
  <c r="R675" i="6"/>
  <c r="M675" i="6"/>
  <c r="R674" i="6"/>
  <c r="M674" i="6"/>
  <c r="R673" i="6"/>
  <c r="M673" i="6"/>
  <c r="R672" i="6"/>
  <c r="M672" i="6"/>
  <c r="R671" i="6"/>
  <c r="M671" i="6"/>
  <c r="R670" i="6"/>
  <c r="M670" i="6"/>
  <c r="R669" i="6"/>
  <c r="M669" i="6"/>
  <c r="R668" i="6"/>
  <c r="M668" i="6"/>
  <c r="R667" i="6"/>
  <c r="M667" i="6"/>
  <c r="R666" i="6"/>
  <c r="M666" i="6"/>
  <c r="R665" i="6"/>
  <c r="M665" i="6"/>
  <c r="R664" i="6"/>
  <c r="M664" i="6"/>
  <c r="R663" i="6"/>
  <c r="M663" i="6"/>
  <c r="R662" i="6"/>
  <c r="M662" i="6"/>
  <c r="R661" i="6"/>
  <c r="M661" i="6"/>
  <c r="R660" i="6"/>
  <c r="M660" i="6"/>
  <c r="R659" i="6"/>
  <c r="M659" i="6"/>
  <c r="R658" i="6"/>
  <c r="M658" i="6"/>
  <c r="R657" i="6"/>
  <c r="M657" i="6"/>
  <c r="R656" i="6"/>
  <c r="M656" i="6"/>
  <c r="R655" i="6"/>
  <c r="M655" i="6"/>
  <c r="R654" i="6"/>
  <c r="M654" i="6"/>
  <c r="R653" i="6"/>
  <c r="M653" i="6"/>
  <c r="R652" i="6"/>
  <c r="M652" i="6"/>
  <c r="R651" i="6"/>
  <c r="M651" i="6"/>
  <c r="R650" i="6"/>
  <c r="M650" i="6"/>
  <c r="R649" i="6"/>
  <c r="M649" i="6"/>
  <c r="R648" i="6"/>
  <c r="M648" i="6"/>
  <c r="R647" i="6"/>
  <c r="M647" i="6"/>
  <c r="R646" i="6"/>
  <c r="M646" i="6"/>
  <c r="R645" i="6"/>
  <c r="M645" i="6"/>
  <c r="R644" i="6"/>
  <c r="M644" i="6"/>
  <c r="R643" i="6"/>
  <c r="M643" i="6"/>
  <c r="R642" i="6"/>
  <c r="M642" i="6"/>
  <c r="R641" i="6"/>
  <c r="M641" i="6"/>
  <c r="R640" i="6"/>
  <c r="M640" i="6"/>
  <c r="R639" i="6"/>
  <c r="M639" i="6"/>
  <c r="R638" i="6"/>
  <c r="M638" i="6"/>
  <c r="R637" i="6"/>
  <c r="M637" i="6"/>
  <c r="R636" i="6"/>
  <c r="M636" i="6"/>
  <c r="R635" i="6"/>
  <c r="M635" i="6"/>
  <c r="R634" i="6"/>
  <c r="M634" i="6"/>
  <c r="R633" i="6"/>
  <c r="M633" i="6"/>
  <c r="R632" i="6"/>
  <c r="M632" i="6"/>
  <c r="R631" i="6"/>
  <c r="M631" i="6"/>
  <c r="R630" i="6"/>
  <c r="M630" i="6"/>
  <c r="R629" i="6"/>
  <c r="M629" i="6"/>
  <c r="R628" i="6"/>
  <c r="M628" i="6"/>
  <c r="R627" i="6"/>
  <c r="M627" i="6"/>
  <c r="R626" i="6"/>
  <c r="M626" i="6"/>
  <c r="R625" i="6"/>
  <c r="M625" i="6"/>
  <c r="R624" i="6"/>
  <c r="M624" i="6"/>
  <c r="R623" i="6"/>
  <c r="M623" i="6"/>
  <c r="R622" i="6"/>
  <c r="M622" i="6"/>
  <c r="R621" i="6"/>
  <c r="M621" i="6"/>
  <c r="R620" i="6"/>
  <c r="M620" i="6"/>
  <c r="R619" i="6"/>
  <c r="M619" i="6"/>
  <c r="R618" i="6"/>
  <c r="M618" i="6"/>
  <c r="R617" i="6"/>
  <c r="M617" i="6"/>
  <c r="R616" i="6"/>
  <c r="M616" i="6"/>
  <c r="R615" i="6"/>
  <c r="M615" i="6"/>
  <c r="R614" i="6"/>
  <c r="M614" i="6"/>
  <c r="R613" i="6"/>
  <c r="M613" i="6"/>
  <c r="R612" i="6"/>
  <c r="M612" i="6"/>
  <c r="R611" i="6"/>
  <c r="M611" i="6"/>
  <c r="R610" i="6"/>
  <c r="M610" i="6"/>
  <c r="R609" i="6"/>
  <c r="M609" i="6"/>
  <c r="R608" i="6"/>
  <c r="M608" i="6"/>
  <c r="R607" i="6"/>
  <c r="M607" i="6"/>
  <c r="R606" i="6"/>
  <c r="M606" i="6"/>
  <c r="R605" i="6"/>
  <c r="M605" i="6"/>
  <c r="R604" i="6"/>
  <c r="M604" i="6"/>
  <c r="R603" i="6"/>
  <c r="M603" i="6"/>
  <c r="R602" i="6"/>
  <c r="M602" i="6"/>
  <c r="R601" i="6"/>
  <c r="M601" i="6"/>
  <c r="R600" i="6"/>
  <c r="M600" i="6"/>
  <c r="R599" i="6"/>
  <c r="M599" i="6"/>
  <c r="R598" i="6"/>
  <c r="M598" i="6"/>
  <c r="R597" i="6"/>
  <c r="M597" i="6"/>
  <c r="R596" i="6"/>
  <c r="M596" i="6"/>
  <c r="R595" i="6"/>
  <c r="M595" i="6"/>
  <c r="R594" i="6"/>
  <c r="M594" i="6"/>
  <c r="R593" i="6"/>
  <c r="M593" i="6"/>
  <c r="R592" i="6"/>
  <c r="M592" i="6"/>
  <c r="R591" i="6"/>
  <c r="M591" i="6"/>
  <c r="R590" i="6"/>
  <c r="M590" i="6"/>
  <c r="R589" i="6"/>
  <c r="M589" i="6"/>
  <c r="R588" i="6"/>
  <c r="M588" i="6"/>
  <c r="R587" i="6"/>
  <c r="M587" i="6"/>
  <c r="R586" i="6"/>
  <c r="M586" i="6"/>
  <c r="R585" i="6"/>
  <c r="M585" i="6"/>
  <c r="R584" i="6"/>
  <c r="M584" i="6"/>
  <c r="R583" i="6"/>
  <c r="M583" i="6"/>
  <c r="R582" i="6"/>
  <c r="M582" i="6"/>
  <c r="R581" i="6"/>
  <c r="M581" i="6"/>
  <c r="R580" i="6"/>
  <c r="M580" i="6"/>
  <c r="R579" i="6"/>
  <c r="M579" i="6"/>
  <c r="R578" i="6"/>
  <c r="M578" i="6"/>
  <c r="R577" i="6"/>
  <c r="M577" i="6"/>
  <c r="R576" i="6"/>
  <c r="M576" i="6"/>
  <c r="R575" i="6"/>
  <c r="M575" i="6"/>
  <c r="R574" i="6"/>
  <c r="M574" i="6"/>
  <c r="R573" i="6"/>
  <c r="M573" i="6"/>
  <c r="R572" i="6"/>
  <c r="M572" i="6"/>
  <c r="R571" i="6"/>
  <c r="M571" i="6"/>
  <c r="R570" i="6"/>
  <c r="M570" i="6"/>
  <c r="R569" i="6"/>
  <c r="M569" i="6"/>
  <c r="R568" i="6"/>
  <c r="M568" i="6"/>
  <c r="R567" i="6"/>
  <c r="M567" i="6"/>
  <c r="R566" i="6"/>
  <c r="M566" i="6"/>
  <c r="R565" i="6"/>
  <c r="M565" i="6"/>
  <c r="R564" i="6"/>
  <c r="M564" i="6"/>
  <c r="R563" i="6"/>
  <c r="M563" i="6"/>
  <c r="R562" i="6"/>
  <c r="M562" i="6"/>
  <c r="R561" i="6"/>
  <c r="M561" i="6"/>
  <c r="R560" i="6"/>
  <c r="M560" i="6"/>
  <c r="R559" i="6"/>
  <c r="M559" i="6"/>
  <c r="R558" i="6"/>
  <c r="M558" i="6"/>
  <c r="R557" i="6"/>
  <c r="M557" i="6"/>
  <c r="R556" i="6"/>
  <c r="M556" i="6"/>
  <c r="R555" i="6"/>
  <c r="M555" i="6"/>
  <c r="R554" i="6"/>
  <c r="M554" i="6"/>
  <c r="R553" i="6"/>
  <c r="M553" i="6"/>
  <c r="R552" i="6"/>
  <c r="M552" i="6"/>
  <c r="R551" i="6"/>
  <c r="M551" i="6"/>
  <c r="R550" i="6"/>
  <c r="M550" i="6"/>
  <c r="R549" i="6"/>
  <c r="M549" i="6"/>
  <c r="R548" i="6"/>
  <c r="M548" i="6"/>
  <c r="R547" i="6"/>
  <c r="M547" i="6"/>
  <c r="R546" i="6"/>
  <c r="M546" i="6"/>
  <c r="R545" i="6"/>
  <c r="M545" i="6"/>
  <c r="R544" i="6"/>
  <c r="M544" i="6"/>
  <c r="R543" i="6"/>
  <c r="M543" i="6"/>
  <c r="R542" i="6"/>
  <c r="M542" i="6"/>
  <c r="R541" i="6"/>
  <c r="M541" i="6"/>
  <c r="R540" i="6"/>
  <c r="M540" i="6"/>
  <c r="R539" i="6"/>
  <c r="M539" i="6"/>
  <c r="R538" i="6"/>
  <c r="M538" i="6"/>
  <c r="R537" i="6"/>
  <c r="M537" i="6"/>
  <c r="R536" i="6"/>
  <c r="M536" i="6"/>
  <c r="R535" i="6"/>
  <c r="M535" i="6"/>
  <c r="R534" i="6"/>
  <c r="M534" i="6"/>
  <c r="R533" i="6"/>
  <c r="M533" i="6"/>
  <c r="R532" i="6"/>
  <c r="M532" i="6"/>
  <c r="R531" i="6"/>
  <c r="M531" i="6"/>
  <c r="R530" i="6"/>
  <c r="M530" i="6"/>
  <c r="R529" i="6"/>
  <c r="M529" i="6"/>
  <c r="R528" i="6"/>
  <c r="M528" i="6"/>
  <c r="R527" i="6"/>
  <c r="M527" i="6"/>
  <c r="R526" i="6"/>
  <c r="M526" i="6"/>
  <c r="R525" i="6"/>
  <c r="M525" i="6"/>
  <c r="R524" i="6"/>
  <c r="M524" i="6"/>
  <c r="R523" i="6"/>
  <c r="M523" i="6"/>
  <c r="R522" i="6"/>
  <c r="M522" i="6"/>
  <c r="R521" i="6"/>
  <c r="M521" i="6"/>
  <c r="R520" i="6"/>
  <c r="M520" i="6"/>
  <c r="R519" i="6"/>
  <c r="M519" i="6"/>
  <c r="R518" i="6"/>
  <c r="M518" i="6"/>
  <c r="G518" i="6"/>
  <c r="F518" i="6"/>
  <c r="E518" i="6"/>
  <c r="D518" i="6"/>
  <c r="B518" i="6"/>
  <c r="R517" i="6"/>
  <c r="M517" i="6"/>
  <c r="G517" i="6"/>
  <c r="F517" i="6"/>
  <c r="E517" i="6"/>
  <c r="D517" i="6"/>
  <c r="B517" i="6"/>
  <c r="R516" i="6"/>
  <c r="M516" i="6"/>
  <c r="G516" i="6"/>
  <c r="F516" i="6"/>
  <c r="E516" i="6"/>
  <c r="D516" i="6"/>
  <c r="B516" i="6"/>
  <c r="R515" i="6"/>
  <c r="M515" i="6"/>
  <c r="G515" i="6"/>
  <c r="F515" i="6"/>
  <c r="E515" i="6"/>
  <c r="D515" i="6"/>
  <c r="B515" i="6"/>
  <c r="R514" i="6"/>
  <c r="M514" i="6"/>
  <c r="G514" i="6"/>
  <c r="F514" i="6"/>
  <c r="E514" i="6"/>
  <c r="D514" i="6"/>
  <c r="B514" i="6"/>
  <c r="R513" i="6"/>
  <c r="M513" i="6"/>
  <c r="G513" i="6"/>
  <c r="F513" i="6"/>
  <c r="E513" i="6"/>
  <c r="D513" i="6"/>
  <c r="B513" i="6"/>
  <c r="R512" i="6"/>
  <c r="M512" i="6"/>
  <c r="G512" i="6"/>
  <c r="F512" i="6"/>
  <c r="E512" i="6"/>
  <c r="D512" i="6"/>
  <c r="B512" i="6"/>
  <c r="R511" i="6"/>
  <c r="M511" i="6"/>
  <c r="G511" i="6"/>
  <c r="F511" i="6"/>
  <c r="E511" i="6"/>
  <c r="D511" i="6"/>
  <c r="B511" i="6"/>
  <c r="R510" i="6"/>
  <c r="M510" i="6"/>
  <c r="G510" i="6"/>
  <c r="F510" i="6"/>
  <c r="E510" i="6"/>
  <c r="D510" i="6"/>
  <c r="B510" i="6"/>
  <c r="R509" i="6"/>
  <c r="M509" i="6"/>
  <c r="G509" i="6"/>
  <c r="F509" i="6"/>
  <c r="E509" i="6"/>
  <c r="D509" i="6"/>
  <c r="B509" i="6"/>
  <c r="R508" i="6"/>
  <c r="M508" i="6"/>
  <c r="G508" i="6"/>
  <c r="F508" i="6"/>
  <c r="E508" i="6"/>
  <c r="D508" i="6"/>
  <c r="B508" i="6"/>
  <c r="R507" i="6"/>
  <c r="M507" i="6"/>
  <c r="G507" i="6"/>
  <c r="F507" i="6"/>
  <c r="E507" i="6"/>
  <c r="D507" i="6"/>
  <c r="B507" i="6"/>
  <c r="R506" i="6"/>
  <c r="M506" i="6"/>
  <c r="G506" i="6"/>
  <c r="F506" i="6"/>
  <c r="E506" i="6"/>
  <c r="D506" i="6"/>
  <c r="B506" i="6"/>
  <c r="R505" i="6"/>
  <c r="M505" i="6"/>
  <c r="G505" i="6"/>
  <c r="F505" i="6"/>
  <c r="E505" i="6"/>
  <c r="D505" i="6"/>
  <c r="B505" i="6"/>
  <c r="R504" i="6"/>
  <c r="M504" i="6"/>
  <c r="G504" i="6"/>
  <c r="F504" i="6"/>
  <c r="E504" i="6"/>
  <c r="D504" i="6"/>
  <c r="B504" i="6"/>
  <c r="R503" i="6"/>
  <c r="M503" i="6"/>
  <c r="G503" i="6"/>
  <c r="F503" i="6"/>
  <c r="E503" i="6"/>
  <c r="D503" i="6"/>
  <c r="B503" i="6"/>
  <c r="R502" i="6"/>
  <c r="M502" i="6"/>
  <c r="G502" i="6"/>
  <c r="F502" i="6"/>
  <c r="E502" i="6"/>
  <c r="D502" i="6"/>
  <c r="B502" i="6"/>
  <c r="R501" i="6"/>
  <c r="M501" i="6"/>
  <c r="G501" i="6"/>
  <c r="F501" i="6"/>
  <c r="E501" i="6"/>
  <c r="D501" i="6"/>
  <c r="B501" i="6"/>
  <c r="R500" i="6"/>
  <c r="M500" i="6"/>
  <c r="G500" i="6"/>
  <c r="F500" i="6"/>
  <c r="E500" i="6"/>
  <c r="D500" i="6"/>
  <c r="B500" i="6"/>
  <c r="R499" i="6"/>
  <c r="M499" i="6"/>
  <c r="G499" i="6"/>
  <c r="F499" i="6"/>
  <c r="E499" i="6"/>
  <c r="D499" i="6"/>
  <c r="B499" i="6"/>
  <c r="R498" i="6"/>
  <c r="M498" i="6"/>
  <c r="G498" i="6"/>
  <c r="F498" i="6"/>
  <c r="E498" i="6"/>
  <c r="D498" i="6"/>
  <c r="B498" i="6"/>
  <c r="R497" i="6"/>
  <c r="M497" i="6"/>
  <c r="G497" i="6"/>
  <c r="F497" i="6"/>
  <c r="E497" i="6"/>
  <c r="D497" i="6"/>
  <c r="B497" i="6"/>
  <c r="R496" i="6"/>
  <c r="M496" i="6"/>
  <c r="G496" i="6"/>
  <c r="F496" i="6"/>
  <c r="E496" i="6"/>
  <c r="D496" i="6"/>
  <c r="B496" i="6"/>
  <c r="R495" i="6"/>
  <c r="M495" i="6"/>
  <c r="G495" i="6"/>
  <c r="F495" i="6"/>
  <c r="E495" i="6"/>
  <c r="D495" i="6"/>
  <c r="B495" i="6"/>
  <c r="R494" i="6"/>
  <c r="M494" i="6"/>
  <c r="G494" i="6"/>
  <c r="F494" i="6"/>
  <c r="E494" i="6"/>
  <c r="D494" i="6"/>
  <c r="B494" i="6"/>
  <c r="R493" i="6"/>
  <c r="M493" i="6"/>
  <c r="G493" i="6"/>
  <c r="F493" i="6"/>
  <c r="E493" i="6"/>
  <c r="D493" i="6"/>
  <c r="B493" i="6"/>
  <c r="R492" i="6"/>
  <c r="M492" i="6"/>
  <c r="G492" i="6"/>
  <c r="F492" i="6"/>
  <c r="E492" i="6"/>
  <c r="D492" i="6"/>
  <c r="B492" i="6"/>
  <c r="R491" i="6"/>
  <c r="M491" i="6"/>
  <c r="G491" i="6"/>
  <c r="F491" i="6"/>
  <c r="E491" i="6"/>
  <c r="D491" i="6"/>
  <c r="B491" i="6"/>
  <c r="R490" i="6"/>
  <c r="M490" i="6"/>
  <c r="G490" i="6"/>
  <c r="F490" i="6"/>
  <c r="E490" i="6"/>
  <c r="D490" i="6"/>
  <c r="B490" i="6"/>
  <c r="R489" i="6"/>
  <c r="M489" i="6"/>
  <c r="G489" i="6"/>
  <c r="F489" i="6"/>
  <c r="E489" i="6"/>
  <c r="D489" i="6"/>
  <c r="B489" i="6"/>
  <c r="R488" i="6"/>
  <c r="M488" i="6"/>
  <c r="G488" i="6"/>
  <c r="F488" i="6"/>
  <c r="E488" i="6"/>
  <c r="D488" i="6"/>
  <c r="B488" i="6"/>
  <c r="R487" i="6"/>
  <c r="M487" i="6"/>
  <c r="G487" i="6"/>
  <c r="F487" i="6"/>
  <c r="E487" i="6"/>
  <c r="D487" i="6"/>
  <c r="B487" i="6"/>
  <c r="R486" i="6"/>
  <c r="M486" i="6"/>
  <c r="G486" i="6"/>
  <c r="F486" i="6"/>
  <c r="E486" i="6"/>
  <c r="D486" i="6"/>
  <c r="B486" i="6"/>
  <c r="R485" i="6"/>
  <c r="M485" i="6"/>
  <c r="G485" i="6"/>
  <c r="F485" i="6"/>
  <c r="E485" i="6"/>
  <c r="D485" i="6"/>
  <c r="B485" i="6"/>
  <c r="R484" i="6"/>
  <c r="M484" i="6"/>
  <c r="G484" i="6"/>
  <c r="F484" i="6"/>
  <c r="E484" i="6"/>
  <c r="D484" i="6"/>
  <c r="B484" i="6"/>
  <c r="R483" i="6"/>
  <c r="M483" i="6"/>
  <c r="G483" i="6"/>
  <c r="F483" i="6"/>
  <c r="E483" i="6"/>
  <c r="D483" i="6"/>
  <c r="B483" i="6"/>
  <c r="R482" i="6"/>
  <c r="M482" i="6"/>
  <c r="G482" i="6"/>
  <c r="F482" i="6"/>
  <c r="E482" i="6"/>
  <c r="D482" i="6"/>
  <c r="B482" i="6"/>
  <c r="R481" i="6"/>
  <c r="M481" i="6"/>
  <c r="G481" i="6"/>
  <c r="F481" i="6"/>
  <c r="E481" i="6"/>
  <c r="D481" i="6"/>
  <c r="B481" i="6"/>
  <c r="R480" i="6"/>
  <c r="M480" i="6"/>
  <c r="G480" i="6"/>
  <c r="F480" i="6"/>
  <c r="E480" i="6"/>
  <c r="D480" i="6"/>
  <c r="B480" i="6"/>
  <c r="R479" i="6"/>
  <c r="M479" i="6"/>
  <c r="G479" i="6"/>
  <c r="F479" i="6"/>
  <c r="E479" i="6"/>
  <c r="D479" i="6"/>
  <c r="B479" i="6"/>
  <c r="R478" i="6"/>
  <c r="M478" i="6"/>
  <c r="G478" i="6"/>
  <c r="F478" i="6"/>
  <c r="E478" i="6"/>
  <c r="D478" i="6"/>
  <c r="B478" i="6"/>
  <c r="R477" i="6"/>
  <c r="M477" i="6"/>
  <c r="G477" i="6"/>
  <c r="F477" i="6"/>
  <c r="E477" i="6"/>
  <c r="D477" i="6"/>
  <c r="B477" i="6"/>
  <c r="R476" i="6"/>
  <c r="M476" i="6"/>
  <c r="G476" i="6"/>
  <c r="F476" i="6"/>
  <c r="E476" i="6"/>
  <c r="D476" i="6"/>
  <c r="B476" i="6"/>
  <c r="R475" i="6"/>
  <c r="M475" i="6"/>
  <c r="G475" i="6"/>
  <c r="F475" i="6"/>
  <c r="E475" i="6"/>
  <c r="D475" i="6"/>
  <c r="B475" i="6"/>
  <c r="R474" i="6"/>
  <c r="M474" i="6"/>
  <c r="G474" i="6"/>
  <c r="F474" i="6"/>
  <c r="E474" i="6"/>
  <c r="D474" i="6"/>
  <c r="B474" i="6"/>
  <c r="R473" i="6"/>
  <c r="M473" i="6"/>
  <c r="G473" i="6"/>
  <c r="F473" i="6"/>
  <c r="E473" i="6"/>
  <c r="D473" i="6"/>
  <c r="B473" i="6"/>
  <c r="R472" i="6"/>
  <c r="M472" i="6"/>
  <c r="G472" i="6"/>
  <c r="F472" i="6"/>
  <c r="E472" i="6"/>
  <c r="D472" i="6"/>
  <c r="B472" i="6"/>
  <c r="R471" i="6"/>
  <c r="M471" i="6"/>
  <c r="G471" i="6"/>
  <c r="F471" i="6"/>
  <c r="E471" i="6"/>
  <c r="D471" i="6"/>
  <c r="B471" i="6"/>
  <c r="R470" i="6"/>
  <c r="M470" i="6"/>
  <c r="G470" i="6"/>
  <c r="F470" i="6"/>
  <c r="E470" i="6"/>
  <c r="D470" i="6"/>
  <c r="B470" i="6"/>
  <c r="R469" i="6"/>
  <c r="M469" i="6"/>
  <c r="G469" i="6"/>
  <c r="F469" i="6"/>
  <c r="E469" i="6"/>
  <c r="D469" i="6"/>
  <c r="B469" i="6"/>
  <c r="R468" i="6"/>
  <c r="M468" i="6"/>
  <c r="G468" i="6"/>
  <c r="F468" i="6"/>
  <c r="E468" i="6"/>
  <c r="D468" i="6"/>
  <c r="B468" i="6"/>
  <c r="R467" i="6"/>
  <c r="M467" i="6"/>
  <c r="G467" i="6"/>
  <c r="F467" i="6"/>
  <c r="E467" i="6"/>
  <c r="D467" i="6"/>
  <c r="B467" i="6"/>
  <c r="R466" i="6"/>
  <c r="M466" i="6"/>
  <c r="G466" i="6"/>
  <c r="F466" i="6"/>
  <c r="E466" i="6"/>
  <c r="D466" i="6"/>
  <c r="B466" i="6"/>
  <c r="R465" i="6"/>
  <c r="M465" i="6"/>
  <c r="G465" i="6"/>
  <c r="F465" i="6"/>
  <c r="E465" i="6"/>
  <c r="D465" i="6"/>
  <c r="B465" i="6"/>
  <c r="R464" i="6"/>
  <c r="M464" i="6"/>
  <c r="G464" i="6"/>
  <c r="F464" i="6"/>
  <c r="E464" i="6"/>
  <c r="D464" i="6"/>
  <c r="B464" i="6"/>
  <c r="R463" i="6"/>
  <c r="M463" i="6"/>
  <c r="G463" i="6"/>
  <c r="F463" i="6"/>
  <c r="E463" i="6"/>
  <c r="D463" i="6"/>
  <c r="B463" i="6"/>
  <c r="R462" i="6"/>
  <c r="M462" i="6"/>
  <c r="G462" i="6"/>
  <c r="F462" i="6"/>
  <c r="E462" i="6"/>
  <c r="D462" i="6"/>
  <c r="B462" i="6"/>
  <c r="R461" i="6"/>
  <c r="M461" i="6"/>
  <c r="G461" i="6"/>
  <c r="F461" i="6"/>
  <c r="E461" i="6"/>
  <c r="D461" i="6"/>
  <c r="B461" i="6"/>
  <c r="R460" i="6"/>
  <c r="M460" i="6"/>
  <c r="G460" i="6"/>
  <c r="F460" i="6"/>
  <c r="E460" i="6"/>
  <c r="D460" i="6"/>
  <c r="B460" i="6"/>
  <c r="R459" i="6"/>
  <c r="M459" i="6"/>
  <c r="G459" i="6"/>
  <c r="F459" i="6"/>
  <c r="E459" i="6"/>
  <c r="D459" i="6"/>
  <c r="B459" i="6"/>
  <c r="R458" i="6"/>
  <c r="M458" i="6"/>
  <c r="G458" i="6"/>
  <c r="F458" i="6"/>
  <c r="E458" i="6"/>
  <c r="D458" i="6"/>
  <c r="B458" i="6"/>
  <c r="R457" i="6"/>
  <c r="M457" i="6"/>
  <c r="G457" i="6"/>
  <c r="F457" i="6"/>
  <c r="E457" i="6"/>
  <c r="D457" i="6"/>
  <c r="B457" i="6"/>
  <c r="R456" i="6"/>
  <c r="M456" i="6"/>
  <c r="G456" i="6"/>
  <c r="F456" i="6"/>
  <c r="E456" i="6"/>
  <c r="D456" i="6"/>
  <c r="B456" i="6"/>
  <c r="R455" i="6"/>
  <c r="M455" i="6"/>
  <c r="G455" i="6"/>
  <c r="F455" i="6"/>
  <c r="E455" i="6"/>
  <c r="D455" i="6"/>
  <c r="B455" i="6"/>
  <c r="R454" i="6"/>
  <c r="M454" i="6"/>
  <c r="G454" i="6"/>
  <c r="F454" i="6"/>
  <c r="E454" i="6"/>
  <c r="D454" i="6"/>
  <c r="B454" i="6"/>
  <c r="R453" i="6"/>
  <c r="M453" i="6"/>
  <c r="G453" i="6"/>
  <c r="F453" i="6"/>
  <c r="E453" i="6"/>
  <c r="D453" i="6"/>
  <c r="B453" i="6"/>
  <c r="R452" i="6"/>
  <c r="M452" i="6"/>
  <c r="G452" i="6"/>
  <c r="F452" i="6"/>
  <c r="E452" i="6"/>
  <c r="D452" i="6"/>
  <c r="B452" i="6"/>
  <c r="R451" i="6"/>
  <c r="M451" i="6"/>
  <c r="G451" i="6"/>
  <c r="F451" i="6"/>
  <c r="E451" i="6"/>
  <c r="D451" i="6"/>
  <c r="B451" i="6"/>
  <c r="R450" i="6"/>
  <c r="M450" i="6"/>
  <c r="G450" i="6"/>
  <c r="F450" i="6"/>
  <c r="E450" i="6"/>
  <c r="D450" i="6"/>
  <c r="B450" i="6"/>
  <c r="R449" i="6"/>
  <c r="M449" i="6"/>
  <c r="G449" i="6"/>
  <c r="F449" i="6"/>
  <c r="E449" i="6"/>
  <c r="D449" i="6"/>
  <c r="B449" i="6"/>
  <c r="R448" i="6"/>
  <c r="M448" i="6"/>
  <c r="G448" i="6"/>
  <c r="F448" i="6"/>
  <c r="E448" i="6"/>
  <c r="D448" i="6"/>
  <c r="B448" i="6"/>
  <c r="R447" i="6"/>
  <c r="M447" i="6"/>
  <c r="G447" i="6"/>
  <c r="F447" i="6"/>
  <c r="E447" i="6"/>
  <c r="D447" i="6"/>
  <c r="B447" i="6"/>
  <c r="R446" i="6"/>
  <c r="M446" i="6"/>
  <c r="G446" i="6"/>
  <c r="F446" i="6"/>
  <c r="E446" i="6"/>
  <c r="D446" i="6"/>
  <c r="B446" i="6"/>
  <c r="R445" i="6"/>
  <c r="M445" i="6"/>
  <c r="G445" i="6"/>
  <c r="F445" i="6"/>
  <c r="E445" i="6"/>
  <c r="D445" i="6"/>
  <c r="B445" i="6"/>
  <c r="R444" i="6"/>
  <c r="M444" i="6"/>
  <c r="G444" i="6"/>
  <c r="F444" i="6"/>
  <c r="E444" i="6"/>
  <c r="D444" i="6"/>
  <c r="B444" i="6"/>
  <c r="R443" i="6"/>
  <c r="M443" i="6"/>
  <c r="G443" i="6"/>
  <c r="F443" i="6"/>
  <c r="E443" i="6"/>
  <c r="D443" i="6"/>
  <c r="B443" i="6"/>
  <c r="R442" i="6"/>
  <c r="M442" i="6"/>
  <c r="G442" i="6"/>
  <c r="F442" i="6"/>
  <c r="E442" i="6"/>
  <c r="D442" i="6"/>
  <c r="B442" i="6"/>
  <c r="R441" i="6"/>
  <c r="M441" i="6"/>
  <c r="G441" i="6"/>
  <c r="F441" i="6"/>
  <c r="E441" i="6"/>
  <c r="D441" i="6"/>
  <c r="B441" i="6"/>
  <c r="R440" i="6"/>
  <c r="M440" i="6"/>
  <c r="G440" i="6"/>
  <c r="F440" i="6"/>
  <c r="E440" i="6"/>
  <c r="D440" i="6"/>
  <c r="B440" i="6"/>
  <c r="R439" i="6"/>
  <c r="M439" i="6"/>
  <c r="G439" i="6"/>
  <c r="F439" i="6"/>
  <c r="E439" i="6"/>
  <c r="D439" i="6"/>
  <c r="B439" i="6"/>
  <c r="R438" i="6"/>
  <c r="M438" i="6"/>
  <c r="G438" i="6"/>
  <c r="F438" i="6"/>
  <c r="E438" i="6"/>
  <c r="D438" i="6"/>
  <c r="B438" i="6"/>
  <c r="R437" i="6"/>
  <c r="M437" i="6"/>
  <c r="G437" i="6"/>
  <c r="F437" i="6"/>
  <c r="E437" i="6"/>
  <c r="D437" i="6"/>
  <c r="B437" i="6"/>
  <c r="R436" i="6"/>
  <c r="M436" i="6"/>
  <c r="G436" i="6"/>
  <c r="F436" i="6"/>
  <c r="E436" i="6"/>
  <c r="D436" i="6"/>
  <c r="B436" i="6"/>
  <c r="R435" i="6"/>
  <c r="M435" i="6"/>
  <c r="G435" i="6"/>
  <c r="F435" i="6"/>
  <c r="E435" i="6"/>
  <c r="D435" i="6"/>
  <c r="B435" i="6"/>
  <c r="R434" i="6"/>
  <c r="M434" i="6"/>
  <c r="G434" i="6"/>
  <c r="F434" i="6"/>
  <c r="E434" i="6"/>
  <c r="D434" i="6"/>
  <c r="B434" i="6"/>
  <c r="R433" i="6"/>
  <c r="M433" i="6"/>
  <c r="G433" i="6"/>
  <c r="F433" i="6"/>
  <c r="E433" i="6"/>
  <c r="D433" i="6"/>
  <c r="B433" i="6"/>
  <c r="R432" i="6"/>
  <c r="M432" i="6"/>
  <c r="G432" i="6"/>
  <c r="F432" i="6"/>
  <c r="E432" i="6"/>
  <c r="D432" i="6"/>
  <c r="B432" i="6"/>
  <c r="R431" i="6"/>
  <c r="M431" i="6"/>
  <c r="G431" i="6"/>
  <c r="F431" i="6"/>
  <c r="E431" i="6"/>
  <c r="D431" i="6"/>
  <c r="B431" i="6"/>
  <c r="R430" i="6"/>
  <c r="M430" i="6"/>
  <c r="G430" i="6"/>
  <c r="F430" i="6"/>
  <c r="E430" i="6"/>
  <c r="D430" i="6"/>
  <c r="B430" i="6"/>
  <c r="R429" i="6"/>
  <c r="M429" i="6"/>
  <c r="G429" i="6"/>
  <c r="F429" i="6"/>
  <c r="E429" i="6"/>
  <c r="D429" i="6"/>
  <c r="B429" i="6"/>
  <c r="R428" i="6"/>
  <c r="M428" i="6"/>
  <c r="G428" i="6"/>
  <c r="F428" i="6"/>
  <c r="E428" i="6"/>
  <c r="D428" i="6"/>
  <c r="B428" i="6"/>
  <c r="R427" i="6"/>
  <c r="M427" i="6"/>
  <c r="G427" i="6"/>
  <c r="F427" i="6"/>
  <c r="E427" i="6"/>
  <c r="D427" i="6"/>
  <c r="B427" i="6"/>
  <c r="R426" i="6"/>
  <c r="M426" i="6"/>
  <c r="G426" i="6"/>
  <c r="F426" i="6"/>
  <c r="E426" i="6"/>
  <c r="D426" i="6"/>
  <c r="B426" i="6"/>
  <c r="R425" i="6"/>
  <c r="M425" i="6"/>
  <c r="R424" i="6"/>
  <c r="M424" i="6"/>
  <c r="R423" i="6"/>
  <c r="M423" i="6"/>
  <c r="R422" i="6"/>
  <c r="M422" i="6"/>
  <c r="R421" i="6"/>
  <c r="M421" i="6"/>
  <c r="R420" i="6"/>
  <c r="M420" i="6"/>
  <c r="R419" i="6"/>
  <c r="M419" i="6"/>
  <c r="R418" i="6"/>
  <c r="M418" i="6"/>
  <c r="R417" i="6"/>
  <c r="M417" i="6"/>
  <c r="R416" i="6"/>
  <c r="M416" i="6"/>
  <c r="R415" i="6"/>
  <c r="M415" i="6"/>
  <c r="R414" i="6"/>
  <c r="M414" i="6"/>
  <c r="R413" i="6"/>
  <c r="M413" i="6"/>
  <c r="R412" i="6"/>
  <c r="M412" i="6"/>
  <c r="R411" i="6"/>
  <c r="M411" i="6"/>
  <c r="R410" i="6"/>
  <c r="M410" i="6"/>
  <c r="R409" i="6"/>
  <c r="M409" i="6"/>
  <c r="R408" i="6"/>
  <c r="M408" i="6"/>
  <c r="R407" i="6"/>
  <c r="M407" i="6"/>
  <c r="R406" i="6"/>
  <c r="M406" i="6"/>
  <c r="R405" i="6"/>
  <c r="M405" i="6"/>
  <c r="R404" i="6"/>
  <c r="M404" i="6"/>
  <c r="R403" i="6"/>
  <c r="M403" i="6"/>
  <c r="R402" i="6"/>
  <c r="M402" i="6"/>
  <c r="R401" i="6"/>
  <c r="M401" i="6"/>
  <c r="R400" i="6"/>
  <c r="M400" i="6"/>
  <c r="R399" i="6"/>
  <c r="M399" i="6"/>
  <c r="R398" i="6"/>
  <c r="M398" i="6"/>
  <c r="R397" i="6"/>
  <c r="M397" i="6"/>
  <c r="R396" i="6"/>
  <c r="M396" i="6"/>
  <c r="R395" i="6"/>
  <c r="M395" i="6"/>
  <c r="R394" i="6"/>
  <c r="M394" i="6"/>
  <c r="R393" i="6"/>
  <c r="M393" i="6"/>
  <c r="R392" i="6"/>
  <c r="M392" i="6"/>
  <c r="R391" i="6"/>
  <c r="M391" i="6"/>
  <c r="R390" i="6"/>
  <c r="M390" i="6"/>
  <c r="R389" i="6"/>
  <c r="M389" i="6"/>
  <c r="R388" i="6"/>
  <c r="M388" i="6"/>
  <c r="R387" i="6"/>
  <c r="M387" i="6"/>
  <c r="R386" i="6"/>
  <c r="M386" i="6"/>
  <c r="R385" i="6"/>
  <c r="M385" i="6"/>
  <c r="R384" i="6"/>
  <c r="M384" i="6"/>
  <c r="R383" i="6"/>
  <c r="M383" i="6"/>
  <c r="R382" i="6"/>
  <c r="M382" i="6"/>
  <c r="R381" i="6"/>
  <c r="M381" i="6"/>
  <c r="R380" i="6"/>
  <c r="M380" i="6"/>
  <c r="R379" i="6"/>
  <c r="M379" i="6"/>
  <c r="R378" i="6"/>
  <c r="M378" i="6"/>
  <c r="R377" i="6"/>
  <c r="M377" i="6"/>
  <c r="R376" i="6"/>
  <c r="M376" i="6"/>
  <c r="R375" i="6"/>
  <c r="M375" i="6"/>
  <c r="R374" i="6"/>
  <c r="M374" i="6"/>
  <c r="R373" i="6"/>
  <c r="M373" i="6"/>
  <c r="R372" i="6"/>
  <c r="M372" i="6"/>
  <c r="R371" i="6"/>
  <c r="M371" i="6"/>
  <c r="R370" i="6"/>
  <c r="M370" i="6"/>
  <c r="R369" i="6"/>
  <c r="M369" i="6"/>
  <c r="R368" i="6"/>
  <c r="M368" i="6"/>
  <c r="R367" i="6"/>
  <c r="M367" i="6"/>
  <c r="R366" i="6"/>
  <c r="M366" i="6"/>
  <c r="R365" i="6"/>
  <c r="M365" i="6"/>
  <c r="R364" i="6"/>
  <c r="M364" i="6"/>
  <c r="R363" i="6"/>
  <c r="M363" i="6"/>
  <c r="R362" i="6"/>
  <c r="M362" i="6"/>
  <c r="R361" i="6"/>
  <c r="M361" i="6"/>
  <c r="R360" i="6"/>
  <c r="M360" i="6"/>
  <c r="R359" i="6"/>
  <c r="M359" i="6"/>
  <c r="R358" i="6"/>
  <c r="M358" i="6"/>
  <c r="R357" i="6"/>
  <c r="M357" i="6"/>
  <c r="R356" i="6"/>
  <c r="M356" i="6"/>
  <c r="R355" i="6"/>
  <c r="M355" i="6"/>
  <c r="R354" i="6"/>
  <c r="M354" i="6"/>
  <c r="R353" i="6"/>
  <c r="M353" i="6"/>
  <c r="R352" i="6"/>
  <c r="M352" i="6"/>
  <c r="R351" i="6"/>
  <c r="M351" i="6"/>
  <c r="R350" i="6"/>
  <c r="M350" i="6"/>
  <c r="R349" i="6"/>
  <c r="M349" i="6"/>
  <c r="R348" i="6"/>
  <c r="M348" i="6"/>
  <c r="R347" i="6"/>
  <c r="M347" i="6"/>
  <c r="R346" i="6"/>
  <c r="M346" i="6"/>
  <c r="R345" i="6"/>
  <c r="M345" i="6"/>
  <c r="R344" i="6"/>
  <c r="M344" i="6"/>
  <c r="R343" i="6"/>
  <c r="M343" i="6"/>
  <c r="R342" i="6"/>
  <c r="M342" i="6"/>
  <c r="R341" i="6"/>
  <c r="M341" i="6"/>
  <c r="R340" i="6"/>
  <c r="M340" i="6"/>
  <c r="R339" i="6"/>
  <c r="M339" i="6"/>
  <c r="R338" i="6"/>
  <c r="M338" i="6"/>
  <c r="R337" i="6"/>
  <c r="M337" i="6"/>
  <c r="R336" i="6"/>
  <c r="M336" i="6"/>
  <c r="R335" i="6"/>
  <c r="M335" i="6"/>
  <c r="R334" i="6"/>
  <c r="M334" i="6"/>
  <c r="R333" i="6"/>
  <c r="M333" i="6"/>
  <c r="R332" i="6"/>
  <c r="M332" i="6"/>
  <c r="R331" i="6"/>
  <c r="M331" i="6"/>
  <c r="R330" i="6"/>
  <c r="M330" i="6"/>
  <c r="R329" i="6"/>
  <c r="M329" i="6"/>
  <c r="R328" i="6"/>
  <c r="M328" i="6"/>
  <c r="R327" i="6"/>
  <c r="M327" i="6"/>
  <c r="R326" i="6"/>
  <c r="M326" i="6"/>
  <c r="R325" i="6"/>
  <c r="M325" i="6"/>
  <c r="R324" i="6"/>
  <c r="M324" i="6"/>
  <c r="R323" i="6"/>
  <c r="M323" i="6"/>
  <c r="R322" i="6"/>
  <c r="M322" i="6"/>
  <c r="B322" i="6"/>
  <c r="R321" i="6"/>
  <c r="M321" i="6"/>
  <c r="B321" i="6"/>
  <c r="R320" i="6"/>
  <c r="M320" i="6"/>
  <c r="B320" i="6"/>
  <c r="R319" i="6"/>
  <c r="M319" i="6"/>
  <c r="B319" i="6"/>
  <c r="R318" i="6"/>
  <c r="M318" i="6"/>
  <c r="B318" i="6"/>
  <c r="R317" i="6"/>
  <c r="M317" i="6"/>
  <c r="B317" i="6"/>
  <c r="R316" i="6"/>
  <c r="M316" i="6"/>
  <c r="B316" i="6"/>
  <c r="R315" i="6"/>
  <c r="M315" i="6"/>
  <c r="B315" i="6"/>
  <c r="R314" i="6"/>
  <c r="M314" i="6"/>
  <c r="B314" i="6"/>
  <c r="R313" i="6"/>
  <c r="M313" i="6"/>
  <c r="B313" i="6"/>
  <c r="R312" i="6"/>
  <c r="M312" i="6"/>
  <c r="B312" i="6"/>
  <c r="R311" i="6"/>
  <c r="M311" i="6"/>
  <c r="B311" i="6"/>
  <c r="R310" i="6"/>
  <c r="M310" i="6"/>
  <c r="B310" i="6"/>
  <c r="R309" i="6"/>
  <c r="M309" i="6"/>
  <c r="B309" i="6"/>
  <c r="R308" i="6"/>
  <c r="M308" i="6"/>
  <c r="B308" i="6"/>
  <c r="R307" i="6"/>
  <c r="M307" i="6"/>
  <c r="B307" i="6"/>
  <c r="R306" i="6"/>
  <c r="M306" i="6"/>
  <c r="B306" i="6"/>
  <c r="R305" i="6"/>
  <c r="M305" i="6"/>
  <c r="B305" i="6"/>
  <c r="R304" i="6"/>
  <c r="M304" i="6"/>
  <c r="B304" i="6"/>
  <c r="R303" i="6"/>
  <c r="M303" i="6"/>
  <c r="B303" i="6"/>
  <c r="R302" i="6"/>
  <c r="M302" i="6"/>
  <c r="B302" i="6"/>
  <c r="R301" i="6"/>
  <c r="M301" i="6"/>
  <c r="B301" i="6"/>
  <c r="R300" i="6"/>
  <c r="M300" i="6"/>
  <c r="B300" i="6"/>
  <c r="R299" i="6"/>
  <c r="M299" i="6"/>
  <c r="B299" i="6"/>
  <c r="R298" i="6"/>
  <c r="M298" i="6"/>
  <c r="B298" i="6"/>
  <c r="R297" i="6"/>
  <c r="M297" i="6"/>
  <c r="B297" i="6"/>
  <c r="R296" i="6"/>
  <c r="M296" i="6"/>
  <c r="B296" i="6"/>
  <c r="R295" i="6"/>
  <c r="M295" i="6"/>
  <c r="B295" i="6"/>
  <c r="R294" i="6"/>
  <c r="M294" i="6"/>
  <c r="B294" i="6"/>
  <c r="R293" i="6"/>
  <c r="M293" i="6"/>
  <c r="B293" i="6"/>
  <c r="R292" i="6"/>
  <c r="M292" i="6"/>
  <c r="B292" i="6"/>
  <c r="R291" i="6"/>
  <c r="M291" i="6"/>
  <c r="B291" i="6"/>
  <c r="R290" i="6"/>
  <c r="M290" i="6"/>
  <c r="B290" i="6"/>
  <c r="R289" i="6"/>
  <c r="M289" i="6"/>
  <c r="B289" i="6"/>
  <c r="R288" i="6"/>
  <c r="M288" i="6"/>
  <c r="B288" i="6"/>
  <c r="R287" i="6"/>
  <c r="M287" i="6"/>
  <c r="B287" i="6"/>
  <c r="R286" i="6"/>
  <c r="M286" i="6"/>
  <c r="G286" i="6"/>
  <c r="F286" i="6"/>
  <c r="E286" i="6"/>
  <c r="D286" i="6"/>
  <c r="B286" i="6"/>
  <c r="R285" i="6"/>
  <c r="M285" i="6"/>
  <c r="G285" i="6"/>
  <c r="F285" i="6"/>
  <c r="E285" i="6"/>
  <c r="D285" i="6"/>
  <c r="B285" i="6"/>
  <c r="R284" i="6"/>
  <c r="M284" i="6"/>
  <c r="G284" i="6"/>
  <c r="F284" i="6"/>
  <c r="E284" i="6"/>
  <c r="D284" i="6"/>
  <c r="B284" i="6"/>
  <c r="R283" i="6"/>
  <c r="M283" i="6"/>
  <c r="G283" i="6"/>
  <c r="F283" i="6"/>
  <c r="E283" i="6"/>
  <c r="D283" i="6"/>
  <c r="B283" i="6"/>
  <c r="R282" i="6"/>
  <c r="M282" i="6"/>
  <c r="G282" i="6"/>
  <c r="F282" i="6"/>
  <c r="E282" i="6"/>
  <c r="D282" i="6"/>
  <c r="B282" i="6"/>
  <c r="R281" i="6"/>
  <c r="M281" i="6"/>
  <c r="G281" i="6"/>
  <c r="F281" i="6"/>
  <c r="E281" i="6"/>
  <c r="D281" i="6"/>
  <c r="B281" i="6"/>
  <c r="R280" i="6"/>
  <c r="M280" i="6"/>
  <c r="G280" i="6"/>
  <c r="F280" i="6"/>
  <c r="E280" i="6"/>
  <c r="D280" i="6"/>
  <c r="B280" i="6"/>
  <c r="R279" i="6"/>
  <c r="M279" i="6"/>
  <c r="G279" i="6"/>
  <c r="F279" i="6"/>
  <c r="E279" i="6"/>
  <c r="D279" i="6"/>
  <c r="B279" i="6"/>
  <c r="R278" i="6"/>
  <c r="M278" i="6"/>
  <c r="G278" i="6"/>
  <c r="F278" i="6"/>
  <c r="E278" i="6"/>
  <c r="D278" i="6"/>
  <c r="B278" i="6"/>
  <c r="R277" i="6"/>
  <c r="M277" i="6"/>
  <c r="G277" i="6"/>
  <c r="F277" i="6"/>
  <c r="E277" i="6"/>
  <c r="D277" i="6"/>
  <c r="B277" i="6"/>
  <c r="R276" i="6"/>
  <c r="M276" i="6"/>
  <c r="G276" i="6"/>
  <c r="F276" i="6"/>
  <c r="E276" i="6"/>
  <c r="D276" i="6"/>
  <c r="B276" i="6"/>
  <c r="R275" i="6"/>
  <c r="M275" i="6"/>
  <c r="G275" i="6"/>
  <c r="F275" i="6"/>
  <c r="E275" i="6"/>
  <c r="D275" i="6"/>
  <c r="B275" i="6"/>
  <c r="R274" i="6"/>
  <c r="M274" i="6"/>
  <c r="G274" i="6"/>
  <c r="F274" i="6"/>
  <c r="E274" i="6"/>
  <c r="D274" i="6"/>
  <c r="B274" i="6"/>
  <c r="R273" i="6"/>
  <c r="M273" i="6"/>
  <c r="G273" i="6"/>
  <c r="F273" i="6"/>
  <c r="E273" i="6"/>
  <c r="D273" i="6"/>
  <c r="B273" i="6"/>
  <c r="R272" i="6"/>
  <c r="M272" i="6"/>
  <c r="G272" i="6"/>
  <c r="F272" i="6"/>
  <c r="E272" i="6"/>
  <c r="D272" i="6"/>
  <c r="B272" i="6"/>
  <c r="R271" i="6"/>
  <c r="M271" i="6"/>
  <c r="G271" i="6"/>
  <c r="F271" i="6"/>
  <c r="E271" i="6"/>
  <c r="D271" i="6"/>
  <c r="B271" i="6"/>
  <c r="R270" i="6"/>
  <c r="M270" i="6"/>
  <c r="G270" i="6"/>
  <c r="F270" i="6"/>
  <c r="E270" i="6"/>
  <c r="D270" i="6"/>
  <c r="B270" i="6"/>
  <c r="R269" i="6"/>
  <c r="M269" i="6"/>
  <c r="G269" i="6"/>
  <c r="F269" i="6"/>
  <c r="E269" i="6"/>
  <c r="D269" i="6"/>
  <c r="B269" i="6"/>
  <c r="R268" i="6"/>
  <c r="M268" i="6"/>
  <c r="G268" i="6"/>
  <c r="F268" i="6"/>
  <c r="E268" i="6"/>
  <c r="D268" i="6"/>
  <c r="B268" i="6"/>
  <c r="R267" i="6"/>
  <c r="M267" i="6"/>
  <c r="G267" i="6"/>
  <c r="F267" i="6"/>
  <c r="E267" i="6"/>
  <c r="D267" i="6"/>
  <c r="B267" i="6"/>
  <c r="R266" i="6"/>
  <c r="M266" i="6"/>
  <c r="G266" i="6"/>
  <c r="F266" i="6"/>
  <c r="E266" i="6"/>
  <c r="D266" i="6"/>
  <c r="B266" i="6"/>
  <c r="R265" i="6"/>
  <c r="M265" i="6"/>
  <c r="G265" i="6"/>
  <c r="F265" i="6"/>
  <c r="E265" i="6"/>
  <c r="D265" i="6"/>
  <c r="B265" i="6"/>
  <c r="R264" i="6"/>
  <c r="M264" i="6"/>
  <c r="G264" i="6"/>
  <c r="F264" i="6"/>
  <c r="E264" i="6"/>
  <c r="D264" i="6"/>
  <c r="B264" i="6"/>
  <c r="R263" i="6"/>
  <c r="M263" i="6"/>
  <c r="G263" i="6"/>
  <c r="F263" i="6"/>
  <c r="E263" i="6"/>
  <c r="D263" i="6"/>
  <c r="B263" i="6"/>
  <c r="R262" i="6"/>
  <c r="M262" i="6"/>
  <c r="G262" i="6"/>
  <c r="F262" i="6"/>
  <c r="E262" i="6"/>
  <c r="D262" i="6"/>
  <c r="B262" i="6"/>
  <c r="R261" i="6"/>
  <c r="M261" i="6"/>
  <c r="G261" i="6"/>
  <c r="F261" i="6"/>
  <c r="E261" i="6"/>
  <c r="D261" i="6"/>
  <c r="B261" i="6"/>
  <c r="R260" i="6"/>
  <c r="M260" i="6"/>
  <c r="G260" i="6"/>
  <c r="F260" i="6"/>
  <c r="E260" i="6"/>
  <c r="D260" i="6"/>
  <c r="B260" i="6"/>
  <c r="R259" i="6"/>
  <c r="M259" i="6"/>
  <c r="G259" i="6"/>
  <c r="F259" i="6"/>
  <c r="E259" i="6"/>
  <c r="D259" i="6"/>
  <c r="B259" i="6"/>
  <c r="R258" i="6"/>
  <c r="M258" i="6"/>
  <c r="G258" i="6"/>
  <c r="F258" i="6"/>
  <c r="E258" i="6"/>
  <c r="D258" i="6"/>
  <c r="B258" i="6"/>
  <c r="R257" i="6"/>
  <c r="M257" i="6"/>
  <c r="G257" i="6"/>
  <c r="F257" i="6"/>
  <c r="E257" i="6"/>
  <c r="D257" i="6"/>
  <c r="B257" i="6"/>
  <c r="R256" i="6"/>
  <c r="M256" i="6"/>
  <c r="G256" i="6"/>
  <c r="F256" i="6"/>
  <c r="E256" i="6"/>
  <c r="D256" i="6"/>
  <c r="B256" i="6"/>
  <c r="R255" i="6"/>
  <c r="M255" i="6"/>
  <c r="G255" i="6"/>
  <c r="F255" i="6"/>
  <c r="E255" i="6"/>
  <c r="D255" i="6"/>
  <c r="B255" i="6"/>
  <c r="R254" i="6"/>
  <c r="M254" i="6"/>
  <c r="G254" i="6"/>
  <c r="F254" i="6"/>
  <c r="E254" i="6"/>
  <c r="D254" i="6"/>
  <c r="B254" i="6"/>
  <c r="R253" i="6"/>
  <c r="M253" i="6"/>
  <c r="G253" i="6"/>
  <c r="F253" i="6"/>
  <c r="E253" i="6"/>
  <c r="D253" i="6"/>
  <c r="B253" i="6"/>
  <c r="R252" i="6"/>
  <c r="M252" i="6"/>
  <c r="G252" i="6"/>
  <c r="F252" i="6"/>
  <c r="E252" i="6"/>
  <c r="D252" i="6"/>
  <c r="B252" i="6"/>
  <c r="R251" i="6"/>
  <c r="M251" i="6"/>
  <c r="G251" i="6"/>
  <c r="F251" i="6"/>
  <c r="E251" i="6"/>
  <c r="D251" i="6"/>
  <c r="B251" i="6"/>
  <c r="R250" i="6"/>
  <c r="M250" i="6"/>
  <c r="G250" i="6"/>
  <c r="F250" i="6"/>
  <c r="E250" i="6"/>
  <c r="D250" i="6"/>
  <c r="B250" i="6"/>
  <c r="R249" i="6"/>
  <c r="M249" i="6"/>
  <c r="G249" i="6"/>
  <c r="F249" i="6"/>
  <c r="E249" i="6"/>
  <c r="D249" i="6"/>
  <c r="B249" i="6"/>
  <c r="R248" i="6"/>
  <c r="M248" i="6"/>
  <c r="G248" i="6"/>
  <c r="F248" i="6"/>
  <c r="E248" i="6"/>
  <c r="D248" i="6"/>
  <c r="B248" i="6"/>
  <c r="R247" i="6"/>
  <c r="M247" i="6"/>
  <c r="G247" i="6"/>
  <c r="F247" i="6"/>
  <c r="E247" i="6"/>
  <c r="D247" i="6"/>
  <c r="B247" i="6"/>
  <c r="R246" i="6"/>
  <c r="M246" i="6"/>
  <c r="G246" i="6"/>
  <c r="F246" i="6"/>
  <c r="E246" i="6"/>
  <c r="D246" i="6"/>
  <c r="B246" i="6"/>
  <c r="R245" i="6"/>
  <c r="M245" i="6"/>
  <c r="G245" i="6"/>
  <c r="F245" i="6"/>
  <c r="E245" i="6"/>
  <c r="D245" i="6"/>
  <c r="B245" i="6"/>
  <c r="R244" i="6"/>
  <c r="M244" i="6"/>
  <c r="G244" i="6"/>
  <c r="F244" i="6"/>
  <c r="E244" i="6"/>
  <c r="D244" i="6"/>
  <c r="B244" i="6"/>
  <c r="R243" i="6"/>
  <c r="M243" i="6"/>
  <c r="G243" i="6"/>
  <c r="F243" i="6"/>
  <c r="E243" i="6"/>
  <c r="D243" i="6"/>
  <c r="B243" i="6"/>
  <c r="R242" i="6"/>
  <c r="M242" i="6"/>
  <c r="G242" i="6"/>
  <c r="F242" i="6"/>
  <c r="E242" i="6"/>
  <c r="D242" i="6"/>
  <c r="B242" i="6"/>
  <c r="R241" i="6"/>
  <c r="M241" i="6"/>
  <c r="G241" i="6"/>
  <c r="F241" i="6"/>
  <c r="E241" i="6"/>
  <c r="D241" i="6"/>
  <c r="B241" i="6"/>
  <c r="R240" i="6"/>
  <c r="M240" i="6"/>
  <c r="G240" i="6"/>
  <c r="F240" i="6"/>
  <c r="E240" i="6"/>
  <c r="D240" i="6"/>
  <c r="B240" i="6"/>
  <c r="R239" i="6"/>
  <c r="M239" i="6"/>
  <c r="G239" i="6"/>
  <c r="F239" i="6"/>
  <c r="E239" i="6"/>
  <c r="D239" i="6"/>
  <c r="B239" i="6"/>
  <c r="R238" i="6"/>
  <c r="M238" i="6"/>
  <c r="G238" i="6"/>
  <c r="F238" i="6"/>
  <c r="E238" i="6"/>
  <c r="D238" i="6"/>
  <c r="B238" i="6"/>
  <c r="R237" i="6"/>
  <c r="M237" i="6"/>
  <c r="G237" i="6"/>
  <c r="F237" i="6"/>
  <c r="E237" i="6"/>
  <c r="D237" i="6"/>
  <c r="B237" i="6"/>
  <c r="R236" i="6"/>
  <c r="M236" i="6"/>
  <c r="G236" i="6"/>
  <c r="F236" i="6"/>
  <c r="E236" i="6"/>
  <c r="D236" i="6"/>
  <c r="B236" i="6"/>
  <c r="R235" i="6"/>
  <c r="M235" i="6"/>
  <c r="G235" i="6"/>
  <c r="F235" i="6"/>
  <c r="E235" i="6"/>
  <c r="D235" i="6"/>
  <c r="B235" i="6"/>
  <c r="R234" i="6"/>
  <c r="M234" i="6"/>
  <c r="G234" i="6"/>
  <c r="F234" i="6"/>
  <c r="E234" i="6"/>
  <c r="D234" i="6"/>
  <c r="B234" i="6"/>
  <c r="R233" i="6"/>
  <c r="M233" i="6"/>
  <c r="G233" i="6"/>
  <c r="F233" i="6"/>
  <c r="E233" i="6"/>
  <c r="D233" i="6"/>
  <c r="B233" i="6"/>
  <c r="R232" i="6"/>
  <c r="M232" i="6"/>
  <c r="G232" i="6"/>
  <c r="F232" i="6"/>
  <c r="E232" i="6"/>
  <c r="D232" i="6"/>
  <c r="B232" i="6"/>
  <c r="R231" i="6"/>
  <c r="M231" i="6"/>
  <c r="G231" i="6"/>
  <c r="F231" i="6"/>
  <c r="E231" i="6"/>
  <c r="D231" i="6"/>
  <c r="B231" i="6"/>
  <c r="R230" i="6"/>
  <c r="M230" i="6"/>
  <c r="G230" i="6"/>
  <c r="F230" i="6"/>
  <c r="E230" i="6"/>
  <c r="D230" i="6"/>
  <c r="B230" i="6"/>
  <c r="R229" i="6"/>
  <c r="M229" i="6"/>
  <c r="G229" i="6"/>
  <c r="F229" i="6"/>
  <c r="E229" i="6"/>
  <c r="D229" i="6"/>
  <c r="B229" i="6"/>
  <c r="R228" i="6"/>
  <c r="M228" i="6"/>
  <c r="G228" i="6"/>
  <c r="F228" i="6"/>
  <c r="E228" i="6"/>
  <c r="D228" i="6"/>
  <c r="B228" i="6"/>
  <c r="R227" i="6"/>
  <c r="M227" i="6"/>
  <c r="G227" i="6"/>
  <c r="F227" i="6"/>
  <c r="E227" i="6"/>
  <c r="D227" i="6"/>
  <c r="B227" i="6"/>
  <c r="R226" i="6"/>
  <c r="M226" i="6"/>
  <c r="G226" i="6"/>
  <c r="F226" i="6"/>
  <c r="E226" i="6"/>
  <c r="D226" i="6"/>
  <c r="B226" i="6"/>
  <c r="R225" i="6"/>
  <c r="M225" i="6"/>
  <c r="G225" i="6"/>
  <c r="F225" i="6"/>
  <c r="E225" i="6"/>
  <c r="D225" i="6"/>
  <c r="B225" i="6"/>
  <c r="R224" i="6"/>
  <c r="M224" i="6"/>
  <c r="G224" i="6"/>
  <c r="F224" i="6"/>
  <c r="E224" i="6"/>
  <c r="D224" i="6"/>
  <c r="B224" i="6"/>
  <c r="R223" i="6"/>
  <c r="M223" i="6"/>
  <c r="G223" i="6"/>
  <c r="F223" i="6"/>
  <c r="E223" i="6"/>
  <c r="D223" i="6"/>
  <c r="B223" i="6"/>
  <c r="R222" i="6"/>
  <c r="M222" i="6"/>
  <c r="G222" i="6"/>
  <c r="F222" i="6"/>
  <c r="E222" i="6"/>
  <c r="D222" i="6"/>
  <c r="B222" i="6"/>
  <c r="R221" i="6"/>
  <c r="M221" i="6"/>
  <c r="G221" i="6"/>
  <c r="F221" i="6"/>
  <c r="E221" i="6"/>
  <c r="D221" i="6"/>
  <c r="B221" i="6"/>
  <c r="R220" i="6"/>
  <c r="M220" i="6"/>
  <c r="G220" i="6"/>
  <c r="F220" i="6"/>
  <c r="E220" i="6"/>
  <c r="D220" i="6"/>
  <c r="B220" i="6"/>
  <c r="R219" i="6"/>
  <c r="M219" i="6"/>
  <c r="G219" i="6"/>
  <c r="F219" i="6"/>
  <c r="E219" i="6"/>
  <c r="D219" i="6"/>
  <c r="B219" i="6"/>
  <c r="R218" i="6"/>
  <c r="M218" i="6"/>
  <c r="G218" i="6"/>
  <c r="F218" i="6"/>
  <c r="E218" i="6"/>
  <c r="D218" i="6"/>
  <c r="B218" i="6"/>
  <c r="R217" i="6"/>
  <c r="M217" i="6"/>
  <c r="G217" i="6"/>
  <c r="F217" i="6"/>
  <c r="E217" i="6"/>
  <c r="D217" i="6"/>
  <c r="B217" i="6"/>
  <c r="R216" i="6"/>
  <c r="M216" i="6"/>
  <c r="G216" i="6"/>
  <c r="F216" i="6"/>
  <c r="E216" i="6"/>
  <c r="D216" i="6"/>
  <c r="B216" i="6"/>
  <c r="R215" i="6"/>
  <c r="M215" i="6"/>
  <c r="G215" i="6"/>
  <c r="F215" i="6"/>
  <c r="E215" i="6"/>
  <c r="D215" i="6"/>
  <c r="B215" i="6"/>
  <c r="R214" i="6"/>
  <c r="M214" i="6"/>
  <c r="G214" i="6"/>
  <c r="F214" i="6"/>
  <c r="E214" i="6"/>
  <c r="D214" i="6"/>
  <c r="B214" i="6"/>
  <c r="R213" i="6"/>
  <c r="M213" i="6"/>
  <c r="G213" i="6"/>
  <c r="F213" i="6"/>
  <c r="E213" i="6"/>
  <c r="D213" i="6"/>
  <c r="B213" i="6"/>
  <c r="R212" i="6"/>
  <c r="M212" i="6"/>
  <c r="G212" i="6"/>
  <c r="F212" i="6"/>
  <c r="E212" i="6"/>
  <c r="D212" i="6"/>
  <c r="B212" i="6"/>
  <c r="R211" i="6"/>
  <c r="M211" i="6"/>
  <c r="G211" i="6"/>
  <c r="F211" i="6"/>
  <c r="E211" i="6"/>
  <c r="D211" i="6"/>
  <c r="B211" i="6"/>
  <c r="R210" i="6"/>
  <c r="M210" i="6"/>
  <c r="G210" i="6"/>
  <c r="F210" i="6"/>
  <c r="E210" i="6"/>
  <c r="D210" i="6"/>
  <c r="B210" i="6"/>
  <c r="R209" i="6"/>
  <c r="M209" i="6"/>
  <c r="G209" i="6"/>
  <c r="F209" i="6"/>
  <c r="E209" i="6"/>
  <c r="D209" i="6"/>
  <c r="B209" i="6"/>
  <c r="R208" i="6"/>
  <c r="M208" i="6"/>
  <c r="G208" i="6"/>
  <c r="F208" i="6"/>
  <c r="E208" i="6"/>
  <c r="D208" i="6"/>
  <c r="B208" i="6"/>
  <c r="R207" i="6"/>
  <c r="M207" i="6"/>
  <c r="G207" i="6"/>
  <c r="F207" i="6"/>
  <c r="E207" i="6"/>
  <c r="D207" i="6"/>
  <c r="B207" i="6"/>
  <c r="R206" i="6"/>
  <c r="M206" i="6"/>
  <c r="G206" i="6"/>
  <c r="F206" i="6"/>
  <c r="E206" i="6"/>
  <c r="D206" i="6"/>
  <c r="B206" i="6"/>
  <c r="R205" i="6"/>
  <c r="M205" i="6"/>
  <c r="G205" i="6"/>
  <c r="F205" i="6"/>
  <c r="E205" i="6"/>
  <c r="D205" i="6"/>
  <c r="B205" i="6"/>
  <c r="R204" i="6"/>
  <c r="M204" i="6"/>
  <c r="G204" i="6"/>
  <c r="F204" i="6"/>
  <c r="E204" i="6"/>
  <c r="D204" i="6"/>
  <c r="B204" i="6"/>
  <c r="R203" i="6"/>
  <c r="M203" i="6"/>
  <c r="G203" i="6"/>
  <c r="F203" i="6"/>
  <c r="E203" i="6"/>
  <c r="D203" i="6"/>
  <c r="B203" i="6"/>
  <c r="R202" i="6"/>
  <c r="M202" i="6"/>
  <c r="G202" i="6"/>
  <c r="F202" i="6"/>
  <c r="E202" i="6"/>
  <c r="D202" i="6"/>
  <c r="B202" i="6"/>
  <c r="R201" i="6"/>
  <c r="M201" i="6"/>
  <c r="G201" i="6"/>
  <c r="F201" i="6"/>
  <c r="E201" i="6"/>
  <c r="D201" i="6"/>
  <c r="B201" i="6"/>
  <c r="R200" i="6"/>
  <c r="M200" i="6"/>
  <c r="G200" i="6"/>
  <c r="F200" i="6"/>
  <c r="E200" i="6"/>
  <c r="D200" i="6"/>
  <c r="B200" i="6"/>
  <c r="R199" i="6"/>
  <c r="M199" i="6"/>
  <c r="G199" i="6"/>
  <c r="F199" i="6"/>
  <c r="E199" i="6"/>
  <c r="D199" i="6"/>
  <c r="B199" i="6"/>
  <c r="R198" i="6"/>
  <c r="M198" i="6"/>
  <c r="G198" i="6"/>
  <c r="F198" i="6"/>
  <c r="E198" i="6"/>
  <c r="D198" i="6"/>
  <c r="B198" i="6"/>
  <c r="R197" i="6"/>
  <c r="M197" i="6"/>
  <c r="G197" i="6"/>
  <c r="F197" i="6"/>
  <c r="E197" i="6"/>
  <c r="D197" i="6"/>
  <c r="B197" i="6"/>
  <c r="R196" i="6"/>
  <c r="M196" i="6"/>
  <c r="G196" i="6"/>
  <c r="F196" i="6"/>
  <c r="E196" i="6"/>
  <c r="D196" i="6"/>
  <c r="B196" i="6"/>
  <c r="R195" i="6"/>
  <c r="M195" i="6"/>
  <c r="G195" i="6"/>
  <c r="F195" i="6"/>
  <c r="E195" i="6"/>
  <c r="D195" i="6"/>
  <c r="B195" i="6"/>
  <c r="R194" i="6"/>
  <c r="M194" i="6"/>
  <c r="G194" i="6"/>
  <c r="F194" i="6"/>
  <c r="E194" i="6"/>
  <c r="D194" i="6"/>
  <c r="B194" i="6"/>
  <c r="R193" i="6"/>
  <c r="M193" i="6"/>
  <c r="G193" i="6"/>
  <c r="F193" i="6"/>
  <c r="E193" i="6"/>
  <c r="D193" i="6"/>
  <c r="B193" i="6"/>
  <c r="R192" i="6"/>
  <c r="M192" i="6"/>
  <c r="G192" i="6"/>
  <c r="F192" i="6"/>
  <c r="E192" i="6"/>
  <c r="D192" i="6"/>
  <c r="B192" i="6"/>
  <c r="R191" i="6"/>
  <c r="M191" i="6"/>
  <c r="G191" i="6"/>
  <c r="F191" i="6"/>
  <c r="E191" i="6"/>
  <c r="D191" i="6"/>
  <c r="B191" i="6"/>
  <c r="R190" i="6"/>
  <c r="M190" i="6"/>
  <c r="G190" i="6"/>
  <c r="F190" i="6"/>
  <c r="E190" i="6"/>
  <c r="D190" i="6"/>
  <c r="B190" i="6"/>
  <c r="R189" i="6"/>
  <c r="M189" i="6"/>
  <c r="G189" i="6"/>
  <c r="F189" i="6"/>
  <c r="E189" i="6"/>
  <c r="D189" i="6"/>
  <c r="B189" i="6"/>
  <c r="R188" i="6"/>
  <c r="M188" i="6"/>
  <c r="G188" i="6"/>
  <c r="F188" i="6"/>
  <c r="E188" i="6"/>
  <c r="D188" i="6"/>
  <c r="B188" i="6"/>
  <c r="R187" i="6"/>
  <c r="M187" i="6"/>
  <c r="G187" i="6"/>
  <c r="F187" i="6"/>
  <c r="E187" i="6"/>
  <c r="D187" i="6"/>
  <c r="B187" i="6"/>
  <c r="R186" i="6"/>
  <c r="M186" i="6"/>
  <c r="G186" i="6"/>
  <c r="F186" i="6"/>
  <c r="E186" i="6"/>
  <c r="D186" i="6"/>
  <c r="B186" i="6"/>
  <c r="R185" i="6"/>
  <c r="M185" i="6"/>
  <c r="G185" i="6"/>
  <c r="F185" i="6"/>
  <c r="E185" i="6"/>
  <c r="D185" i="6"/>
  <c r="B185" i="6"/>
  <c r="R184" i="6"/>
  <c r="M184" i="6"/>
  <c r="G184" i="6"/>
  <c r="F184" i="6"/>
  <c r="E184" i="6"/>
  <c r="D184" i="6"/>
  <c r="B184" i="6"/>
  <c r="R183" i="6"/>
  <c r="M183" i="6"/>
  <c r="G183" i="6"/>
  <c r="F183" i="6"/>
  <c r="E183" i="6"/>
  <c r="D183" i="6"/>
  <c r="B183" i="6"/>
  <c r="R182" i="6"/>
  <c r="M182" i="6"/>
  <c r="G182" i="6"/>
  <c r="F182" i="6"/>
  <c r="E182" i="6"/>
  <c r="D182" i="6"/>
  <c r="B182" i="6"/>
  <c r="R181" i="6"/>
  <c r="M181" i="6"/>
  <c r="G181" i="6"/>
  <c r="F181" i="6"/>
  <c r="E181" i="6"/>
  <c r="D181" i="6"/>
  <c r="B181" i="6"/>
  <c r="R180" i="6"/>
  <c r="M180" i="6"/>
  <c r="G180" i="6"/>
  <c r="F180" i="6"/>
  <c r="E180" i="6"/>
  <c r="D180" i="6"/>
  <c r="B180" i="6"/>
  <c r="R179" i="6"/>
  <c r="M179" i="6"/>
  <c r="B179" i="6"/>
  <c r="R178" i="6"/>
  <c r="M178" i="6"/>
  <c r="B178" i="6"/>
  <c r="R177" i="6"/>
  <c r="M177" i="6"/>
  <c r="G177" i="6"/>
  <c r="F177" i="6"/>
  <c r="E177" i="6"/>
  <c r="D177" i="6"/>
  <c r="B177" i="6"/>
  <c r="R176" i="6"/>
  <c r="M176" i="6"/>
  <c r="G176" i="6"/>
  <c r="F176" i="6"/>
  <c r="E176" i="6"/>
  <c r="D176" i="6"/>
  <c r="B176" i="6"/>
  <c r="R175" i="6"/>
  <c r="M175" i="6"/>
  <c r="G175" i="6"/>
  <c r="F175" i="6"/>
  <c r="E175" i="6"/>
  <c r="D175" i="6"/>
  <c r="B175" i="6"/>
  <c r="R174" i="6"/>
  <c r="M174" i="6"/>
  <c r="G174" i="6"/>
  <c r="F174" i="6"/>
  <c r="E174" i="6"/>
  <c r="D174" i="6"/>
  <c r="B174" i="6"/>
  <c r="R173" i="6"/>
  <c r="M173" i="6"/>
  <c r="G173" i="6"/>
  <c r="F173" i="6"/>
  <c r="E173" i="6"/>
  <c r="D173" i="6"/>
  <c r="B173" i="6"/>
  <c r="R172" i="6"/>
  <c r="M172" i="6"/>
  <c r="G172" i="6"/>
  <c r="F172" i="6"/>
  <c r="E172" i="6"/>
  <c r="D172" i="6"/>
  <c r="B172" i="6"/>
  <c r="R171" i="6"/>
  <c r="M171" i="6"/>
  <c r="G171" i="6"/>
  <c r="F171" i="6"/>
  <c r="E171" i="6"/>
  <c r="D171" i="6"/>
  <c r="B171" i="6"/>
  <c r="R170" i="6"/>
  <c r="M170" i="6"/>
  <c r="G170" i="6"/>
  <c r="F170" i="6"/>
  <c r="E170" i="6"/>
  <c r="D170" i="6"/>
  <c r="B170" i="6"/>
  <c r="R169" i="6"/>
  <c r="M169" i="6"/>
  <c r="G169" i="6"/>
  <c r="F169" i="6"/>
  <c r="E169" i="6"/>
  <c r="D169" i="6"/>
  <c r="B169" i="6"/>
  <c r="R168" i="6"/>
  <c r="M168" i="6"/>
  <c r="G168" i="6"/>
  <c r="F168" i="6"/>
  <c r="E168" i="6"/>
  <c r="D168" i="6"/>
  <c r="B168" i="6"/>
  <c r="R167" i="6"/>
  <c r="M167" i="6"/>
  <c r="G167" i="6"/>
  <c r="F167" i="6"/>
  <c r="E167" i="6"/>
  <c r="D167" i="6"/>
  <c r="B167" i="6"/>
  <c r="R166" i="6"/>
  <c r="M166" i="6"/>
  <c r="G166" i="6"/>
  <c r="F166" i="6"/>
  <c r="E166" i="6"/>
  <c r="D166" i="6"/>
  <c r="B166" i="6"/>
  <c r="R165" i="6"/>
  <c r="M165" i="6"/>
  <c r="G165" i="6"/>
  <c r="F165" i="6"/>
  <c r="E165" i="6"/>
  <c r="D165" i="6"/>
  <c r="B165" i="6"/>
  <c r="R164" i="6"/>
  <c r="M164" i="6"/>
  <c r="G164" i="6"/>
  <c r="F164" i="6"/>
  <c r="E164" i="6"/>
  <c r="D164" i="6"/>
  <c r="B164" i="6"/>
  <c r="R163" i="6"/>
  <c r="M163" i="6"/>
  <c r="G163" i="6"/>
  <c r="F163" i="6"/>
  <c r="E163" i="6"/>
  <c r="D163" i="6"/>
  <c r="B163" i="6"/>
  <c r="R162" i="6"/>
  <c r="M162" i="6"/>
  <c r="G162" i="6"/>
  <c r="F162" i="6"/>
  <c r="E162" i="6"/>
  <c r="D162" i="6"/>
  <c r="B162" i="6"/>
  <c r="R161" i="6"/>
  <c r="M161" i="6"/>
  <c r="G161" i="6"/>
  <c r="F161" i="6"/>
  <c r="E161" i="6"/>
  <c r="D161" i="6"/>
  <c r="B161" i="6"/>
  <c r="R160" i="6"/>
  <c r="M160" i="6"/>
  <c r="G160" i="6"/>
  <c r="F160" i="6"/>
  <c r="E160" i="6"/>
  <c r="D160" i="6"/>
  <c r="B160" i="6"/>
  <c r="R159" i="6"/>
  <c r="M159" i="6"/>
  <c r="G159" i="6"/>
  <c r="F159" i="6"/>
  <c r="E159" i="6"/>
  <c r="D159" i="6"/>
  <c r="B159" i="6"/>
  <c r="R158" i="6"/>
  <c r="M158" i="6"/>
  <c r="G158" i="6"/>
  <c r="F158" i="6"/>
  <c r="E158" i="6"/>
  <c r="D158" i="6"/>
  <c r="B158" i="6"/>
  <c r="R157" i="6"/>
  <c r="M157" i="6"/>
  <c r="G157" i="6"/>
  <c r="F157" i="6"/>
  <c r="E157" i="6"/>
  <c r="D157" i="6"/>
  <c r="B157" i="6"/>
  <c r="R156" i="6"/>
  <c r="M156" i="6"/>
  <c r="G156" i="6"/>
  <c r="F156" i="6"/>
  <c r="E156" i="6"/>
  <c r="D156" i="6"/>
  <c r="B156" i="6"/>
  <c r="R155" i="6"/>
  <c r="M155" i="6"/>
  <c r="G155" i="6"/>
  <c r="F155" i="6"/>
  <c r="E155" i="6"/>
  <c r="D155" i="6"/>
  <c r="B155" i="6"/>
  <c r="R154" i="6"/>
  <c r="M154" i="6"/>
  <c r="G154" i="6"/>
  <c r="F154" i="6"/>
  <c r="E154" i="6"/>
  <c r="D154" i="6"/>
  <c r="B154" i="6"/>
  <c r="R153" i="6"/>
  <c r="M153" i="6"/>
  <c r="G153" i="6"/>
  <c r="F153" i="6"/>
  <c r="E153" i="6"/>
  <c r="D153" i="6"/>
  <c r="B153" i="6"/>
  <c r="R152" i="6"/>
  <c r="M152" i="6"/>
  <c r="G152" i="6"/>
  <c r="F152" i="6"/>
  <c r="E152" i="6"/>
  <c r="D152" i="6"/>
  <c r="B152" i="6"/>
  <c r="R151" i="6"/>
  <c r="M151" i="6"/>
  <c r="G151" i="6"/>
  <c r="F151" i="6"/>
  <c r="E151" i="6"/>
  <c r="D151" i="6"/>
  <c r="B151" i="6"/>
  <c r="R150" i="6"/>
  <c r="M150" i="6"/>
  <c r="G150" i="6"/>
  <c r="F150" i="6"/>
  <c r="E150" i="6"/>
  <c r="D150" i="6"/>
  <c r="B150" i="6"/>
  <c r="R149" i="6"/>
  <c r="M149" i="6"/>
  <c r="G149" i="6"/>
  <c r="F149" i="6"/>
  <c r="E149" i="6"/>
  <c r="D149" i="6"/>
  <c r="B149" i="6"/>
  <c r="R148" i="6"/>
  <c r="M148" i="6"/>
  <c r="G148" i="6"/>
  <c r="F148" i="6"/>
  <c r="E148" i="6"/>
  <c r="D148" i="6"/>
  <c r="B148" i="6"/>
  <c r="R147" i="6"/>
  <c r="M147" i="6"/>
  <c r="G147" i="6"/>
  <c r="F147" i="6"/>
  <c r="E147" i="6"/>
  <c r="D147" i="6"/>
  <c r="B147" i="6"/>
  <c r="R146" i="6"/>
  <c r="M146" i="6"/>
  <c r="G146" i="6"/>
  <c r="F146" i="6"/>
  <c r="E146" i="6"/>
  <c r="D146" i="6"/>
  <c r="B146" i="6"/>
  <c r="R145" i="6"/>
  <c r="M145" i="6"/>
  <c r="G145" i="6"/>
  <c r="F145" i="6"/>
  <c r="E145" i="6"/>
  <c r="D145" i="6"/>
  <c r="B145" i="6"/>
  <c r="R144" i="6"/>
  <c r="M144" i="6"/>
  <c r="G144" i="6"/>
  <c r="F144" i="6"/>
  <c r="E144" i="6"/>
  <c r="D144" i="6"/>
  <c r="B144" i="6"/>
  <c r="R143" i="6"/>
  <c r="M143" i="6"/>
  <c r="G143" i="6"/>
  <c r="F143" i="6"/>
  <c r="E143" i="6"/>
  <c r="D143" i="6"/>
  <c r="B143" i="6"/>
  <c r="R142" i="6"/>
  <c r="M142" i="6"/>
  <c r="G142" i="6"/>
  <c r="F142" i="6"/>
  <c r="E142" i="6"/>
  <c r="D142" i="6"/>
  <c r="B142" i="6"/>
  <c r="R141" i="6"/>
  <c r="M141" i="6"/>
  <c r="G141" i="6"/>
  <c r="F141" i="6"/>
  <c r="E141" i="6"/>
  <c r="D141" i="6"/>
  <c r="B141" i="6"/>
  <c r="R140" i="6"/>
  <c r="M140" i="6"/>
  <c r="G140" i="6"/>
  <c r="F140" i="6"/>
  <c r="E140" i="6"/>
  <c r="D140" i="6"/>
  <c r="B140" i="6"/>
  <c r="R139" i="6"/>
  <c r="M139" i="6"/>
  <c r="G139" i="6"/>
  <c r="F139" i="6"/>
  <c r="E139" i="6"/>
  <c r="D139" i="6"/>
  <c r="B139" i="6"/>
  <c r="R138" i="6"/>
  <c r="M138" i="6"/>
  <c r="G138" i="6"/>
  <c r="F138" i="6"/>
  <c r="E138" i="6"/>
  <c r="D138" i="6"/>
  <c r="B138" i="6"/>
  <c r="R137" i="6"/>
  <c r="M137" i="6"/>
  <c r="G137" i="6"/>
  <c r="F137" i="6"/>
  <c r="E137" i="6"/>
  <c r="D137" i="6"/>
  <c r="B137" i="6"/>
  <c r="R136" i="6"/>
  <c r="M136" i="6"/>
  <c r="G136" i="6"/>
  <c r="F136" i="6"/>
  <c r="E136" i="6"/>
  <c r="D136" i="6"/>
  <c r="B136" i="6"/>
  <c r="R135" i="6"/>
  <c r="M135" i="6"/>
  <c r="G135" i="6"/>
  <c r="F135" i="6"/>
  <c r="E135" i="6"/>
  <c r="D135" i="6"/>
  <c r="B135" i="6"/>
  <c r="R134" i="6"/>
  <c r="M134" i="6"/>
  <c r="G134" i="6"/>
  <c r="F134" i="6"/>
  <c r="E134" i="6"/>
  <c r="D134" i="6"/>
  <c r="B134" i="6"/>
  <c r="R133" i="6"/>
  <c r="M133" i="6"/>
  <c r="G133" i="6"/>
  <c r="F133" i="6"/>
  <c r="E133" i="6"/>
  <c r="D133" i="6"/>
  <c r="B133" i="6"/>
  <c r="R132" i="6"/>
  <c r="M132" i="6"/>
  <c r="G132" i="6"/>
  <c r="F132" i="6"/>
  <c r="E132" i="6"/>
  <c r="D132" i="6"/>
  <c r="B132" i="6"/>
  <c r="R131" i="6"/>
  <c r="M131" i="6"/>
  <c r="G131" i="6"/>
  <c r="F131" i="6"/>
  <c r="E131" i="6"/>
  <c r="D131" i="6"/>
  <c r="B131" i="6"/>
  <c r="R130" i="6"/>
  <c r="M130" i="6"/>
  <c r="G130" i="6"/>
  <c r="F130" i="6"/>
  <c r="E130" i="6"/>
  <c r="D130" i="6"/>
  <c r="B130" i="6"/>
  <c r="R129" i="6"/>
  <c r="M129" i="6"/>
  <c r="G129" i="6"/>
  <c r="F129" i="6"/>
  <c r="E129" i="6"/>
  <c r="D129" i="6"/>
  <c r="B129" i="6"/>
  <c r="R128" i="6"/>
  <c r="M128" i="6"/>
  <c r="G128" i="6"/>
  <c r="F128" i="6"/>
  <c r="E128" i="6"/>
  <c r="D128" i="6"/>
  <c r="B128" i="6"/>
  <c r="R127" i="6"/>
  <c r="M127" i="6"/>
  <c r="G127" i="6"/>
  <c r="F127" i="6"/>
  <c r="E127" i="6"/>
  <c r="D127" i="6"/>
  <c r="B127" i="6"/>
  <c r="R126" i="6"/>
  <c r="M126" i="6"/>
  <c r="G126" i="6"/>
  <c r="F126" i="6"/>
  <c r="E126" i="6"/>
  <c r="D126" i="6"/>
  <c r="B126" i="6"/>
  <c r="R125" i="6"/>
  <c r="M125" i="6"/>
  <c r="G125" i="6"/>
  <c r="F125" i="6"/>
  <c r="E125" i="6"/>
  <c r="D125" i="6"/>
  <c r="B125" i="6"/>
  <c r="R124" i="6"/>
  <c r="M124" i="6"/>
  <c r="G124" i="6"/>
  <c r="F124" i="6"/>
  <c r="E124" i="6"/>
  <c r="D124" i="6"/>
  <c r="B124" i="6"/>
  <c r="R123" i="6"/>
  <c r="M123" i="6"/>
  <c r="G123" i="6"/>
  <c r="F123" i="6"/>
  <c r="E123" i="6"/>
  <c r="D123" i="6"/>
  <c r="B123" i="6"/>
  <c r="R122" i="6"/>
  <c r="M122" i="6"/>
  <c r="G122" i="6"/>
  <c r="F122" i="6"/>
  <c r="E122" i="6"/>
  <c r="D122" i="6"/>
  <c r="B122" i="6"/>
  <c r="R121" i="6"/>
  <c r="M121" i="6"/>
  <c r="G121" i="6"/>
  <c r="F121" i="6"/>
  <c r="E121" i="6"/>
  <c r="D121" i="6"/>
  <c r="B121" i="6"/>
  <c r="R120" i="6"/>
  <c r="M120" i="6"/>
  <c r="G120" i="6"/>
  <c r="F120" i="6"/>
  <c r="E120" i="6"/>
  <c r="D120" i="6"/>
  <c r="B120" i="6"/>
  <c r="R119" i="6"/>
  <c r="M119" i="6"/>
  <c r="G119" i="6"/>
  <c r="F119" i="6"/>
  <c r="E119" i="6"/>
  <c r="D119" i="6"/>
  <c r="B119" i="6"/>
  <c r="R118" i="6"/>
  <c r="M118" i="6"/>
  <c r="G118" i="6"/>
  <c r="F118" i="6"/>
  <c r="E118" i="6"/>
  <c r="D118" i="6"/>
  <c r="B118" i="6"/>
  <c r="R117" i="6"/>
  <c r="M117" i="6"/>
  <c r="G117" i="6"/>
  <c r="F117" i="6"/>
  <c r="E117" i="6"/>
  <c r="D117" i="6"/>
  <c r="B117" i="6"/>
  <c r="R116" i="6"/>
  <c r="M116" i="6"/>
  <c r="G116" i="6"/>
  <c r="F116" i="6"/>
  <c r="E116" i="6"/>
  <c r="D116" i="6"/>
  <c r="B116" i="6"/>
  <c r="R115" i="6"/>
  <c r="M115" i="6"/>
  <c r="G115" i="6"/>
  <c r="F115" i="6"/>
  <c r="E115" i="6"/>
  <c r="D115" i="6"/>
  <c r="B115" i="6"/>
  <c r="R114" i="6"/>
  <c r="M114" i="6"/>
  <c r="G114" i="6"/>
  <c r="F114" i="6"/>
  <c r="E114" i="6"/>
  <c r="D114" i="6"/>
  <c r="B114" i="6"/>
  <c r="R113" i="6"/>
  <c r="M113" i="6"/>
  <c r="G113" i="6"/>
  <c r="F113" i="6"/>
  <c r="E113" i="6"/>
  <c r="D113" i="6"/>
  <c r="B113" i="6"/>
  <c r="R112" i="6"/>
  <c r="M112" i="6"/>
  <c r="G112" i="6"/>
  <c r="F112" i="6"/>
  <c r="E112" i="6"/>
  <c r="D112" i="6"/>
  <c r="B112" i="6"/>
  <c r="R111" i="6"/>
  <c r="M111" i="6"/>
  <c r="G111" i="6"/>
  <c r="F111" i="6"/>
  <c r="E111" i="6"/>
  <c r="D111" i="6"/>
  <c r="B111" i="6"/>
  <c r="R110" i="6"/>
  <c r="M110" i="6"/>
  <c r="G110" i="6"/>
  <c r="F110" i="6"/>
  <c r="E110" i="6"/>
  <c r="D110" i="6"/>
  <c r="B110" i="6"/>
  <c r="R109" i="6"/>
  <c r="M109" i="6"/>
  <c r="G109" i="6"/>
  <c r="F109" i="6"/>
  <c r="E109" i="6"/>
  <c r="D109" i="6"/>
  <c r="B109" i="6"/>
  <c r="R108" i="6"/>
  <c r="M108" i="6"/>
  <c r="G108" i="6"/>
  <c r="F108" i="6"/>
  <c r="E108" i="6"/>
  <c r="D108" i="6"/>
  <c r="B108" i="6"/>
  <c r="R107" i="6"/>
  <c r="M107" i="6"/>
  <c r="G107" i="6"/>
  <c r="F107" i="6"/>
  <c r="E107" i="6"/>
  <c r="D107" i="6"/>
  <c r="B107" i="6"/>
  <c r="R106" i="6"/>
  <c r="M106" i="6"/>
  <c r="G106" i="6"/>
  <c r="F106" i="6"/>
  <c r="E106" i="6"/>
  <c r="D106" i="6"/>
  <c r="B106" i="6"/>
  <c r="R105" i="6"/>
  <c r="M105" i="6"/>
  <c r="G105" i="6"/>
  <c r="F105" i="6"/>
  <c r="E105" i="6"/>
  <c r="D105" i="6"/>
  <c r="B105" i="6"/>
  <c r="R104" i="6"/>
  <c r="M104" i="6"/>
  <c r="G104" i="6"/>
  <c r="F104" i="6"/>
  <c r="E104" i="6"/>
  <c r="D104" i="6"/>
  <c r="B104" i="6"/>
  <c r="R103" i="6"/>
  <c r="M103" i="6"/>
  <c r="G103" i="6"/>
  <c r="F103" i="6"/>
  <c r="E103" i="6"/>
  <c r="D103" i="6"/>
  <c r="B103" i="6"/>
  <c r="R102" i="6"/>
  <c r="M102" i="6"/>
  <c r="G102" i="6"/>
  <c r="F102" i="6"/>
  <c r="E102" i="6"/>
  <c r="D102" i="6"/>
  <c r="B102" i="6"/>
  <c r="R101" i="6"/>
  <c r="M101" i="6"/>
  <c r="G101" i="6"/>
  <c r="F101" i="6"/>
  <c r="E101" i="6"/>
  <c r="D101" i="6"/>
  <c r="B101" i="6"/>
  <c r="R100" i="6"/>
  <c r="M100" i="6"/>
  <c r="G100" i="6"/>
  <c r="F100" i="6"/>
  <c r="E100" i="6"/>
  <c r="D100" i="6"/>
  <c r="B100" i="6"/>
  <c r="R99" i="6"/>
  <c r="M99" i="6"/>
  <c r="G99" i="6"/>
  <c r="F99" i="6"/>
  <c r="E99" i="6"/>
  <c r="D99" i="6"/>
  <c r="B99" i="6"/>
  <c r="R98" i="6"/>
  <c r="M98" i="6"/>
  <c r="G98" i="6"/>
  <c r="F98" i="6"/>
  <c r="E98" i="6"/>
  <c r="D98" i="6"/>
  <c r="B98" i="6"/>
  <c r="R97" i="6"/>
  <c r="M97" i="6"/>
  <c r="G97" i="6"/>
  <c r="F97" i="6"/>
  <c r="E97" i="6"/>
  <c r="D97" i="6"/>
  <c r="B97" i="6"/>
  <c r="R96" i="6"/>
  <c r="M96" i="6"/>
  <c r="G96" i="6"/>
  <c r="F96" i="6"/>
  <c r="E96" i="6"/>
  <c r="D96" i="6"/>
  <c r="B96" i="6"/>
  <c r="R95" i="6"/>
  <c r="M95" i="6"/>
  <c r="G95" i="6"/>
  <c r="F95" i="6"/>
  <c r="E95" i="6"/>
  <c r="D95" i="6"/>
  <c r="B95" i="6"/>
  <c r="R94" i="6"/>
  <c r="M94" i="6"/>
  <c r="G94" i="6"/>
  <c r="F94" i="6"/>
  <c r="E94" i="6"/>
  <c r="D94" i="6"/>
  <c r="B94" i="6"/>
  <c r="R93" i="6"/>
  <c r="M93" i="6"/>
  <c r="G93" i="6"/>
  <c r="F93" i="6"/>
  <c r="E93" i="6"/>
  <c r="D93" i="6"/>
  <c r="B93" i="6"/>
  <c r="R92" i="6"/>
  <c r="M92" i="6"/>
  <c r="G92" i="6"/>
  <c r="F92" i="6"/>
  <c r="E92" i="6"/>
  <c r="D92" i="6"/>
  <c r="B92" i="6"/>
  <c r="R91" i="6"/>
  <c r="M91" i="6"/>
  <c r="G91" i="6"/>
  <c r="F91" i="6"/>
  <c r="E91" i="6"/>
  <c r="D91" i="6"/>
  <c r="B91" i="6"/>
  <c r="R90" i="6"/>
  <c r="M90" i="6"/>
  <c r="G90" i="6"/>
  <c r="F90" i="6"/>
  <c r="E90" i="6"/>
  <c r="D90" i="6"/>
  <c r="B90" i="6"/>
  <c r="R89" i="6"/>
  <c r="M89" i="6"/>
  <c r="G89" i="6"/>
  <c r="F89" i="6"/>
  <c r="E89" i="6"/>
  <c r="D89" i="6"/>
  <c r="B89" i="6"/>
  <c r="R88" i="6"/>
  <c r="M88" i="6"/>
  <c r="G88" i="6"/>
  <c r="F88" i="6"/>
  <c r="E88" i="6"/>
  <c r="D88" i="6"/>
  <c r="B88" i="6"/>
  <c r="R87" i="6"/>
  <c r="M87" i="6"/>
  <c r="G87" i="6"/>
  <c r="F87" i="6"/>
  <c r="E87" i="6"/>
  <c r="D87" i="6"/>
  <c r="B87" i="6"/>
  <c r="R86" i="6"/>
  <c r="M86" i="6"/>
  <c r="G86" i="6"/>
  <c r="F86" i="6"/>
  <c r="E86" i="6"/>
  <c r="D86" i="6"/>
  <c r="B86" i="6"/>
  <c r="R85" i="6"/>
  <c r="M85" i="6"/>
  <c r="G85" i="6"/>
  <c r="F85" i="6"/>
  <c r="E85" i="6"/>
  <c r="D85" i="6"/>
  <c r="B85" i="6"/>
  <c r="R84" i="6"/>
  <c r="M84" i="6"/>
  <c r="G84" i="6"/>
  <c r="F84" i="6"/>
  <c r="E84" i="6"/>
  <c r="D84" i="6"/>
  <c r="B84" i="6"/>
  <c r="R83" i="6"/>
  <c r="M83" i="6"/>
  <c r="G83" i="6"/>
  <c r="F83" i="6"/>
  <c r="E83" i="6"/>
  <c r="D83" i="6"/>
  <c r="B83" i="6"/>
  <c r="R82" i="6"/>
  <c r="M82" i="6"/>
  <c r="G82" i="6"/>
  <c r="F82" i="6"/>
  <c r="E82" i="6"/>
  <c r="D82" i="6"/>
  <c r="B82" i="6"/>
  <c r="R81" i="6"/>
  <c r="M81" i="6"/>
  <c r="G81" i="6"/>
  <c r="F81" i="6"/>
  <c r="E81" i="6"/>
  <c r="D81" i="6"/>
  <c r="B81" i="6"/>
  <c r="R80" i="6"/>
  <c r="M80" i="6"/>
  <c r="G80" i="6"/>
  <c r="F80" i="6"/>
  <c r="E80" i="6"/>
  <c r="D80" i="6"/>
  <c r="B80" i="6"/>
  <c r="R79" i="6"/>
  <c r="M79" i="6"/>
  <c r="G79" i="6"/>
  <c r="F79" i="6"/>
  <c r="E79" i="6"/>
  <c r="D79" i="6"/>
  <c r="B79" i="6"/>
  <c r="R78" i="6"/>
  <c r="M78" i="6"/>
  <c r="G78" i="6"/>
  <c r="F78" i="6"/>
  <c r="E78" i="6"/>
  <c r="D78" i="6"/>
  <c r="B78" i="6"/>
  <c r="R77" i="6"/>
  <c r="M77" i="6"/>
  <c r="G77" i="6"/>
  <c r="F77" i="6"/>
  <c r="E77" i="6"/>
  <c r="D77" i="6"/>
  <c r="B77" i="6"/>
  <c r="R76" i="6"/>
  <c r="M76" i="6"/>
  <c r="G76" i="6"/>
  <c r="F76" i="6"/>
  <c r="E76" i="6"/>
  <c r="D76" i="6"/>
  <c r="B76" i="6"/>
  <c r="R75" i="6"/>
  <c r="M75" i="6"/>
  <c r="G75" i="6"/>
  <c r="F75" i="6"/>
  <c r="E75" i="6"/>
  <c r="D75" i="6"/>
  <c r="B75" i="6"/>
  <c r="R74" i="6"/>
  <c r="M74" i="6"/>
  <c r="G74" i="6"/>
  <c r="F74" i="6"/>
  <c r="E74" i="6"/>
  <c r="D74" i="6"/>
  <c r="B74" i="6"/>
  <c r="R73" i="6"/>
  <c r="M73" i="6"/>
  <c r="G73" i="6"/>
  <c r="F73" i="6"/>
  <c r="E73" i="6"/>
  <c r="D73" i="6"/>
  <c r="B73" i="6"/>
  <c r="R72" i="6"/>
  <c r="M72" i="6"/>
  <c r="G72" i="6"/>
  <c r="F72" i="6"/>
  <c r="E72" i="6"/>
  <c r="D72" i="6"/>
  <c r="B72" i="6"/>
  <c r="R71" i="6"/>
  <c r="M71" i="6"/>
  <c r="G71" i="6"/>
  <c r="F71" i="6"/>
  <c r="E71" i="6"/>
  <c r="D71" i="6"/>
  <c r="B71" i="6"/>
  <c r="R70" i="6"/>
  <c r="M70" i="6"/>
  <c r="G70" i="6"/>
  <c r="F70" i="6"/>
  <c r="E70" i="6"/>
  <c r="D70" i="6"/>
  <c r="B70" i="6"/>
  <c r="R69" i="6"/>
  <c r="M69" i="6"/>
  <c r="G69" i="6"/>
  <c r="F69" i="6"/>
  <c r="E69" i="6"/>
  <c r="D69" i="6"/>
  <c r="B69" i="6"/>
  <c r="R68" i="6"/>
  <c r="M68" i="6"/>
  <c r="G68" i="6"/>
  <c r="F68" i="6"/>
  <c r="E68" i="6"/>
  <c r="D68" i="6"/>
  <c r="B68" i="6"/>
  <c r="R67" i="6"/>
  <c r="M67" i="6"/>
  <c r="G67" i="6"/>
  <c r="F67" i="6"/>
  <c r="E67" i="6"/>
  <c r="D67" i="6"/>
  <c r="B67" i="6"/>
  <c r="R66" i="6"/>
  <c r="M66" i="6"/>
  <c r="G66" i="6"/>
  <c r="F66" i="6"/>
  <c r="E66" i="6"/>
  <c r="D66" i="6"/>
  <c r="B66" i="6"/>
  <c r="R65" i="6"/>
  <c r="M65" i="6"/>
  <c r="G65" i="6"/>
  <c r="F65" i="6"/>
  <c r="E65" i="6"/>
  <c r="D65" i="6"/>
  <c r="B65" i="6"/>
  <c r="R64" i="6"/>
  <c r="M64" i="6"/>
  <c r="G64" i="6"/>
  <c r="F64" i="6"/>
  <c r="E64" i="6"/>
  <c r="D64" i="6"/>
  <c r="B64" i="6"/>
  <c r="R63" i="6"/>
  <c r="M63" i="6"/>
  <c r="G63" i="6"/>
  <c r="F63" i="6"/>
  <c r="E63" i="6"/>
  <c r="D63" i="6"/>
  <c r="B63" i="6"/>
  <c r="R62" i="6"/>
  <c r="M62" i="6"/>
  <c r="G62" i="6"/>
  <c r="F62" i="6"/>
  <c r="E62" i="6"/>
  <c r="D62" i="6"/>
  <c r="B62" i="6"/>
  <c r="R61" i="6"/>
  <c r="M61" i="6"/>
  <c r="G61" i="6"/>
  <c r="F61" i="6"/>
  <c r="E61" i="6"/>
  <c r="D61" i="6"/>
  <c r="B61" i="6"/>
  <c r="R60" i="6"/>
  <c r="M60" i="6"/>
  <c r="G60" i="6"/>
  <c r="F60" i="6"/>
  <c r="E60" i="6"/>
  <c r="D60" i="6"/>
  <c r="B60" i="6"/>
  <c r="R59" i="6"/>
  <c r="M59" i="6"/>
  <c r="G59" i="6"/>
  <c r="F59" i="6"/>
  <c r="E59" i="6"/>
  <c r="D59" i="6"/>
  <c r="B59" i="6"/>
  <c r="R58" i="6"/>
  <c r="M58" i="6"/>
  <c r="G58" i="6"/>
  <c r="F58" i="6"/>
  <c r="E58" i="6"/>
  <c r="D58" i="6"/>
  <c r="B58" i="6"/>
  <c r="R57" i="6"/>
  <c r="M57" i="6"/>
  <c r="G57" i="6"/>
  <c r="F57" i="6"/>
  <c r="E57" i="6"/>
  <c r="D57" i="6"/>
  <c r="B57" i="6"/>
  <c r="R56" i="6"/>
  <c r="M56" i="6"/>
  <c r="G56" i="6"/>
  <c r="F56" i="6"/>
  <c r="E56" i="6"/>
  <c r="D56" i="6"/>
  <c r="B56" i="6"/>
  <c r="R55" i="6"/>
  <c r="M55" i="6"/>
  <c r="G55" i="6"/>
  <c r="F55" i="6"/>
  <c r="E55" i="6"/>
  <c r="D55" i="6"/>
  <c r="B55" i="6"/>
  <c r="R54" i="6"/>
  <c r="M54" i="6"/>
  <c r="G54" i="6"/>
  <c r="F54" i="6"/>
  <c r="E54" i="6"/>
  <c r="D54" i="6"/>
  <c r="B54" i="6"/>
  <c r="R53" i="6"/>
  <c r="M53" i="6"/>
  <c r="G53" i="6"/>
  <c r="F53" i="6"/>
  <c r="E53" i="6"/>
  <c r="D53" i="6"/>
  <c r="B53" i="6"/>
  <c r="R52" i="6"/>
  <c r="M52" i="6"/>
  <c r="G52" i="6"/>
  <c r="F52" i="6"/>
  <c r="E52" i="6"/>
  <c r="D52" i="6"/>
  <c r="B52" i="6"/>
  <c r="R51" i="6"/>
  <c r="M51" i="6"/>
  <c r="G51" i="6"/>
  <c r="F51" i="6"/>
  <c r="E51" i="6"/>
  <c r="D51" i="6"/>
  <c r="B51" i="6"/>
  <c r="R50" i="6"/>
  <c r="M50" i="6"/>
  <c r="G50" i="6"/>
  <c r="F50" i="6"/>
  <c r="E50" i="6"/>
  <c r="D50" i="6"/>
  <c r="B50" i="6"/>
  <c r="R49" i="6"/>
  <c r="M49" i="6"/>
  <c r="G49" i="6"/>
  <c r="F49" i="6"/>
  <c r="E49" i="6"/>
  <c r="D49" i="6"/>
  <c r="B49" i="6"/>
  <c r="R48" i="6"/>
  <c r="M48" i="6"/>
  <c r="G48" i="6"/>
  <c r="F48" i="6"/>
  <c r="E48" i="6"/>
  <c r="D48" i="6"/>
  <c r="B48" i="6"/>
  <c r="R47" i="6"/>
  <c r="M47" i="6"/>
  <c r="G47" i="6"/>
  <c r="F47" i="6"/>
  <c r="E47" i="6"/>
  <c r="D47" i="6"/>
  <c r="B47" i="6"/>
  <c r="R46" i="6"/>
  <c r="M46" i="6"/>
  <c r="G46" i="6"/>
  <c r="F46" i="6"/>
  <c r="E46" i="6"/>
  <c r="D46" i="6"/>
  <c r="B46" i="6"/>
  <c r="R45" i="6"/>
  <c r="M45" i="6"/>
  <c r="G45" i="6"/>
  <c r="F45" i="6"/>
  <c r="E45" i="6"/>
  <c r="D45" i="6"/>
  <c r="B45" i="6"/>
  <c r="R44" i="6"/>
  <c r="M44" i="6"/>
  <c r="G44" i="6"/>
  <c r="F44" i="6"/>
  <c r="E44" i="6"/>
  <c r="D44" i="6"/>
  <c r="B44" i="6"/>
  <c r="R43" i="6"/>
  <c r="M43" i="6"/>
  <c r="G43" i="6"/>
  <c r="F43" i="6"/>
  <c r="E43" i="6"/>
  <c r="D43" i="6"/>
  <c r="B43" i="6"/>
  <c r="R42" i="6"/>
  <c r="M42" i="6"/>
  <c r="G42" i="6"/>
  <c r="F42" i="6"/>
  <c r="E42" i="6"/>
  <c r="D42" i="6"/>
  <c r="B42" i="6"/>
  <c r="R41" i="6"/>
  <c r="M41" i="6"/>
  <c r="G41" i="6"/>
  <c r="F41" i="6"/>
  <c r="E41" i="6"/>
  <c r="D41" i="6"/>
  <c r="B41" i="6"/>
  <c r="R40" i="6"/>
  <c r="M40" i="6"/>
  <c r="G40" i="6"/>
  <c r="F40" i="6"/>
  <c r="E40" i="6"/>
  <c r="D40" i="6"/>
  <c r="B40" i="6"/>
  <c r="R39" i="6"/>
  <c r="M39" i="6"/>
  <c r="G39" i="6"/>
  <c r="F39" i="6"/>
  <c r="E39" i="6"/>
  <c r="D39" i="6"/>
  <c r="B39" i="6"/>
  <c r="R38" i="6"/>
  <c r="M38" i="6"/>
  <c r="G38" i="6"/>
  <c r="F38" i="6"/>
  <c r="E38" i="6"/>
  <c r="D38" i="6"/>
  <c r="B38" i="6"/>
  <c r="R37" i="6"/>
  <c r="M37" i="6"/>
  <c r="G37" i="6"/>
  <c r="F37" i="6"/>
  <c r="E37" i="6"/>
  <c r="D37" i="6"/>
  <c r="B37" i="6"/>
  <c r="R36" i="6"/>
  <c r="M36" i="6"/>
  <c r="G36" i="6"/>
  <c r="F36" i="6"/>
  <c r="E36" i="6"/>
  <c r="D36" i="6"/>
  <c r="B36" i="6"/>
  <c r="R35" i="6"/>
  <c r="M35" i="6"/>
  <c r="G35" i="6"/>
  <c r="F35" i="6"/>
  <c r="E35" i="6"/>
  <c r="D35" i="6"/>
  <c r="B35" i="6"/>
  <c r="R34" i="6"/>
  <c r="M34" i="6"/>
  <c r="G34" i="6"/>
  <c r="F34" i="6"/>
  <c r="E34" i="6"/>
  <c r="D34" i="6"/>
  <c r="B34" i="6"/>
  <c r="R33" i="6"/>
  <c r="M33" i="6"/>
  <c r="G33" i="6"/>
  <c r="F33" i="6"/>
  <c r="E33" i="6"/>
  <c r="D33" i="6"/>
  <c r="B33" i="6"/>
  <c r="R32" i="6"/>
  <c r="M32" i="6"/>
  <c r="G32" i="6"/>
  <c r="F32" i="6"/>
  <c r="E32" i="6"/>
  <c r="D32" i="6"/>
  <c r="B32" i="6"/>
  <c r="R31" i="6"/>
  <c r="M31" i="6"/>
  <c r="G31" i="6"/>
  <c r="F31" i="6"/>
  <c r="E31" i="6"/>
  <c r="D31" i="6"/>
  <c r="B31" i="6"/>
  <c r="R30" i="6"/>
  <c r="M30" i="6"/>
  <c r="G30" i="6"/>
  <c r="F30" i="6"/>
  <c r="E30" i="6"/>
  <c r="D30" i="6"/>
  <c r="B30" i="6"/>
  <c r="R29" i="6"/>
  <c r="M29" i="6"/>
  <c r="G29" i="6"/>
  <c r="F29" i="6"/>
  <c r="E29" i="6"/>
  <c r="D29" i="6"/>
  <c r="B29" i="6"/>
  <c r="R28" i="6"/>
  <c r="M28" i="6"/>
  <c r="G28" i="6"/>
  <c r="F28" i="6"/>
  <c r="E28" i="6"/>
  <c r="D28" i="6"/>
  <c r="B28" i="6"/>
  <c r="R27" i="6"/>
  <c r="M27" i="6"/>
  <c r="G27" i="6"/>
  <c r="F27" i="6"/>
  <c r="E27" i="6"/>
  <c r="D27" i="6"/>
  <c r="B27" i="6"/>
  <c r="R26" i="6"/>
  <c r="M26" i="6"/>
  <c r="G26" i="6"/>
  <c r="F26" i="6"/>
  <c r="E26" i="6"/>
  <c r="D26" i="6"/>
  <c r="B26" i="6"/>
  <c r="R25" i="6"/>
  <c r="M25" i="6"/>
  <c r="G25" i="6"/>
  <c r="F25" i="6"/>
  <c r="E25" i="6"/>
  <c r="D25" i="6"/>
  <c r="B25" i="6"/>
  <c r="R24" i="6"/>
  <c r="M24" i="6"/>
  <c r="G24" i="6"/>
  <c r="F24" i="6"/>
  <c r="E24" i="6"/>
  <c r="D24" i="6"/>
  <c r="B24" i="6"/>
  <c r="R23" i="6"/>
  <c r="M23" i="6"/>
  <c r="G23" i="6"/>
  <c r="F23" i="6"/>
  <c r="E23" i="6"/>
  <c r="D23" i="6"/>
  <c r="B23" i="6"/>
  <c r="R22" i="6"/>
  <c r="M22" i="6"/>
  <c r="G22" i="6"/>
  <c r="F22" i="6"/>
  <c r="E22" i="6"/>
  <c r="D22" i="6"/>
  <c r="B22" i="6"/>
  <c r="R21" i="6"/>
  <c r="M21" i="6"/>
  <c r="G21" i="6"/>
  <c r="F21" i="6"/>
  <c r="E21" i="6"/>
  <c r="D21" i="6"/>
  <c r="B21" i="6"/>
  <c r="R20" i="6"/>
  <c r="M20" i="6"/>
  <c r="G20" i="6"/>
  <c r="F20" i="6"/>
  <c r="E20" i="6"/>
  <c r="D20" i="6"/>
  <c r="B20" i="6"/>
  <c r="R19" i="6"/>
  <c r="M19" i="6"/>
  <c r="G19" i="6"/>
  <c r="F19" i="6"/>
  <c r="E19" i="6"/>
  <c r="D19" i="6"/>
  <c r="B19" i="6"/>
  <c r="R18" i="6"/>
  <c r="M18" i="6"/>
  <c r="G18" i="6"/>
  <c r="F18" i="6"/>
  <c r="E18" i="6"/>
  <c r="D18" i="6"/>
  <c r="B18" i="6"/>
  <c r="R17" i="6"/>
  <c r="M17" i="6"/>
  <c r="G17" i="6"/>
  <c r="F17" i="6"/>
  <c r="E17" i="6"/>
  <c r="D17" i="6"/>
  <c r="B17" i="6"/>
  <c r="R16" i="6"/>
  <c r="M16" i="6"/>
  <c r="G16" i="6"/>
  <c r="F16" i="6"/>
  <c r="E16" i="6"/>
  <c r="D16" i="6"/>
  <c r="B16" i="6"/>
  <c r="R15" i="6"/>
  <c r="M15" i="6"/>
  <c r="G15" i="6"/>
  <c r="F15" i="6"/>
  <c r="E15" i="6"/>
  <c r="D15" i="6"/>
  <c r="B15" i="6"/>
  <c r="R14" i="6"/>
  <c r="M14" i="6"/>
  <c r="G14" i="6"/>
  <c r="F14" i="6"/>
  <c r="E14" i="6"/>
  <c r="D14" i="6"/>
  <c r="B14" i="6"/>
  <c r="R13" i="6"/>
  <c r="M13" i="6"/>
  <c r="G13" i="6"/>
  <c r="F13" i="6"/>
  <c r="E13" i="6"/>
  <c r="D13" i="6"/>
  <c r="B13" i="6"/>
  <c r="R12" i="6"/>
  <c r="M12" i="6"/>
  <c r="G12" i="6"/>
  <c r="F12" i="6"/>
  <c r="E12" i="6"/>
  <c r="D12" i="6"/>
  <c r="B12" i="6"/>
  <c r="R11" i="6"/>
  <c r="M11" i="6"/>
  <c r="G11" i="6"/>
  <c r="F11" i="6"/>
  <c r="E11" i="6"/>
  <c r="D11" i="6"/>
  <c r="B11" i="6"/>
  <c r="R10" i="6"/>
  <c r="M10" i="6"/>
  <c r="G10" i="6"/>
  <c r="F10" i="6"/>
  <c r="E10" i="6"/>
  <c r="D10" i="6"/>
  <c r="B10" i="6"/>
  <c r="R9" i="6"/>
  <c r="M9" i="6"/>
  <c r="G9" i="6"/>
  <c r="F9" i="6"/>
  <c r="E9" i="6"/>
  <c r="D9" i="6"/>
  <c r="B9" i="6"/>
  <c r="R8" i="6"/>
  <c r="M8" i="6"/>
  <c r="G8" i="6"/>
  <c r="F8" i="6"/>
  <c r="E8" i="6"/>
  <c r="D8" i="6"/>
  <c r="B8" i="6"/>
  <c r="R7" i="6"/>
  <c r="M7" i="6"/>
  <c r="G7" i="6"/>
  <c r="F7" i="6"/>
  <c r="E7" i="6"/>
  <c r="D7" i="6"/>
  <c r="B7" i="6"/>
</calcChain>
</file>

<file path=xl/sharedStrings.xml><?xml version="1.0" encoding="utf-8"?>
<sst xmlns="http://schemas.openxmlformats.org/spreadsheetml/2006/main" count="18815" uniqueCount="305">
  <si>
    <t>REPORT MONITORING STOK GMM WOW SPAGHETTI JAWA BARAT</t>
  </si>
  <si>
    <t>*Pengisian dengan huruf CAPITAL</t>
  </si>
  <si>
    <t>: Jangan copas/edit ke tanda berwarna ini!</t>
  </si>
  <si>
    <t>WEEK</t>
  </si>
  <si>
    <t>BULAN</t>
  </si>
  <si>
    <t>TANGGAL</t>
  </si>
  <si>
    <t>GRSM</t>
  </si>
  <si>
    <t>AREA</t>
  </si>
  <si>
    <t>NAMA TL</t>
  </si>
  <si>
    <t>CHANNEL GROUP</t>
  </si>
  <si>
    <t>NAMA TOKO</t>
  </si>
  <si>
    <t>STOK AWAL (IN PCS)</t>
  </si>
  <si>
    <t>STOK AKHIR (IN PCS)</t>
  </si>
  <si>
    <t>AGLIO OLIO</t>
  </si>
  <si>
    <t>CARBONARA</t>
  </si>
  <si>
    <t>BOLOGNESE</t>
  </si>
  <si>
    <t>GORENG</t>
  </si>
  <si>
    <t>TOTAL (ALL VARIAN)</t>
  </si>
  <si>
    <t>KAIRO</t>
  </si>
  <si>
    <t>MITRA INDAH</t>
  </si>
  <si>
    <t>YOGYA CIAMIS *</t>
  </si>
  <si>
    <t>-</t>
  </si>
  <si>
    <t>MULTI GROSIR STASIUN</t>
  </si>
  <si>
    <t>PRATAMA PUTRA BANYURESMI</t>
  </si>
  <si>
    <t>M ZAMZAM TK (M2)</t>
  </si>
  <si>
    <t>FAJAR JALAKSANA</t>
  </si>
  <si>
    <t>GRIYA SUMEDANG</t>
  </si>
  <si>
    <t>KAIRO MAJALAYA</t>
  </si>
  <si>
    <t>SAMUDRA BANJAR</t>
  </si>
  <si>
    <t>ASIA PLAZA TASIKMALAYA</t>
  </si>
  <si>
    <t>SAHABAT</t>
  </si>
  <si>
    <t>TOKMA CADIKA SM.</t>
  </si>
  <si>
    <t>YOGYA HZ*</t>
  </si>
  <si>
    <t>RITA MALL TEGAL</t>
  </si>
  <si>
    <t>YOGYA BANJAR*</t>
  </si>
  <si>
    <t>ASIA GARUT</t>
  </si>
  <si>
    <t>RITA A PURWOKERTO</t>
  </si>
  <si>
    <t>RITA SUPERMALL</t>
  </si>
  <si>
    <t>RITA D WONOSOBO</t>
  </si>
  <si>
    <t>GRSM 4</t>
  </si>
  <si>
    <t>BANJAR</t>
  </si>
  <si>
    <t>FAHMI LUKMANUL HAKIM</t>
  </si>
  <si>
    <t>GMM</t>
  </si>
  <si>
    <t>TASIKMALAYA</t>
  </si>
  <si>
    <t>KUNINGAN</t>
  </si>
  <si>
    <t>GRSM 6</t>
  </si>
  <si>
    <t>MOJOKERTO</t>
  </si>
  <si>
    <t>WINDA</t>
  </si>
  <si>
    <t>SANRIO</t>
  </si>
  <si>
    <t>PASURUAN</t>
  </si>
  <si>
    <t>SANDANG AYU 2</t>
  </si>
  <si>
    <t>PROBOLINGGO</t>
  </si>
  <si>
    <t>KDS PROBOLINGGO</t>
  </si>
  <si>
    <t>DIVA SWALAYAN</t>
  </si>
  <si>
    <t>RIA SWALAYAN</t>
  </si>
  <si>
    <t>JUL</t>
  </si>
  <si>
    <t>GARUT</t>
  </si>
  <si>
    <t>PRATAMA PUTRA CIHUNI</t>
  </si>
  <si>
    <t>SUBANG</t>
  </si>
  <si>
    <t>GRSM 5</t>
  </si>
  <si>
    <t>TEGAL</t>
  </si>
  <si>
    <t>SUPRIYATI</t>
  </si>
  <si>
    <t>WONOGIRI</t>
  </si>
  <si>
    <t>PURWOKERTO</t>
  </si>
  <si>
    <t>BANYUWANGI</t>
  </si>
  <si>
    <t>ROXY BANYUWANGI</t>
  </si>
  <si>
    <t>CV SURYA ASIA PASIFIK</t>
  </si>
  <si>
    <t>YOGYA BANJAR *</t>
  </si>
  <si>
    <t>ASIA PLAZA TASIK</t>
  </si>
  <si>
    <t>CV ROXY BANYUWANGI</t>
  </si>
  <si>
    <t>IRIAN MARELAN</t>
  </si>
  <si>
    <t>BRASTAGI GATOT SUBROTO</t>
  </si>
  <si>
    <t>IRIAN SETIA BUDI</t>
  </si>
  <si>
    <t>BRASTAGI CEMARA</t>
  </si>
  <si>
    <t>CHANDRA TANJUNG KARANG</t>
  </si>
  <si>
    <t>GRSM 1</t>
  </si>
  <si>
    <t>MEDAN</t>
  </si>
  <si>
    <t>AFNITA SARI</t>
  </si>
  <si>
    <t>MT</t>
  </si>
  <si>
    <t>GRSM 2</t>
  </si>
  <si>
    <t>LAMPUNG</t>
  </si>
  <si>
    <t>AUG</t>
  </si>
  <si>
    <t>GRSM 7</t>
  </si>
  <si>
    <t>BANJARMASIN</t>
  </si>
  <si>
    <t>VENY YULIANA</t>
  </si>
  <si>
    <t>#.PINUS MM BANJARBARU</t>
  </si>
  <si>
    <t>NKA</t>
  </si>
  <si>
    <t>ASIA TOSERBA CIHIDENG</t>
  </si>
  <si>
    <t>BASA BANJARAN</t>
  </si>
  <si>
    <t>TULUNGAGUNG</t>
  </si>
  <si>
    <t>MARTIKA MINTOROWATI</t>
  </si>
  <si>
    <t>BRAVO SUPERMARKET TULUNGAGUNG</t>
  </si>
  <si>
    <t>PURBALINGGA</t>
  </si>
  <si>
    <t>EKA SURYA PLAZA</t>
  </si>
  <si>
    <t>CIAMIS</t>
  </si>
  <si>
    <t>GUNASALMA 1 KAWALI</t>
  </si>
  <si>
    <t>GUNASALMA 3</t>
  </si>
  <si>
    <t>ISTANA TOSERBA</t>
  </si>
  <si>
    <t>MAJALAYA</t>
  </si>
  <si>
    <t>LANGGAN MAJALAYA</t>
  </si>
  <si>
    <t>GRSM 3A</t>
  </si>
  <si>
    <t>CIANJUR</t>
  </si>
  <si>
    <t>MG CIANJUR</t>
  </si>
  <si>
    <t>MITRA BUANA PASAR WETAN</t>
  </si>
  <si>
    <t>MUTIARA CAHAYA MEJASEM</t>
  </si>
  <si>
    <t>NGANJUK</t>
  </si>
  <si>
    <t>PRIMA SWALAYAN</t>
  </si>
  <si>
    <t>KEDIRI</t>
  </si>
  <si>
    <t>SUPERTOP PARE</t>
  </si>
  <si>
    <t>TOP SWALAYAN</t>
  </si>
  <si>
    <t>MAGELANG</t>
  </si>
  <si>
    <t>TRIO PLAZA</t>
  </si>
  <si>
    <t>YOGYA GRAND SUBANG</t>
  </si>
  <si>
    <t>LUWES GROUP</t>
  </si>
  <si>
    <t>SAMARINDA</t>
  </si>
  <si>
    <t>YULIANA DEWI</t>
  </si>
  <si>
    <t>PLANET SWALAYAN.MM</t>
  </si>
  <si>
    <t>ADIJAYA TELUK</t>
  </si>
  <si>
    <t>BRAVO SWALAYAN JATENG</t>
  </si>
  <si>
    <t>LUWES PURWODADI</t>
  </si>
  <si>
    <t>MAXI REGENCY</t>
  </si>
  <si>
    <t>TRIO WONOSOBO</t>
  </si>
  <si>
    <t>YOVA GUNUNG MALANG</t>
  </si>
  <si>
    <t>AGU</t>
  </si>
  <si>
    <t>SAMI LARIS CILACAP</t>
  </si>
  <si>
    <t>TRIO JAYA WONOSOBO</t>
  </si>
  <si>
    <t>BLORA</t>
  </si>
  <si>
    <t>BRAVO SUPERMARKET</t>
  </si>
  <si>
    <t>LUWES GRUP</t>
  </si>
  <si>
    <t>NO</t>
  </si>
  <si>
    <t>PRODUCT</t>
  </si>
  <si>
    <t>VARIANT</t>
  </si>
  <si>
    <t>WOW</t>
  </si>
  <si>
    <t>SUKABUMI</t>
  </si>
  <si>
    <t>TASIK</t>
  </si>
  <si>
    <t>BANDUNG</t>
  </si>
  <si>
    <t>CV EKA DINA NUGRAHA PURBALINGGA</t>
  </si>
  <si>
    <t>CILACAP</t>
  </si>
  <si>
    <t>CV. VIO JAYA</t>
  </si>
  <si>
    <t>KARUNIA DAMAI SEJATI</t>
  </si>
  <si>
    <t>GENTENG</t>
  </si>
  <si>
    <t>CV. BOROBUDUR SWALAYAN</t>
  </si>
  <si>
    <t>KEDIRI KOTA</t>
  </si>
  <si>
    <t>SARIKAT JAYA</t>
  </si>
  <si>
    <t>LAMONGAN</t>
  </si>
  <si>
    <t>CV TOP</t>
  </si>
  <si>
    <t>PARE</t>
  </si>
  <si>
    <t>INDRI</t>
  </si>
  <si>
    <t>REMBANG</t>
  </si>
  <si>
    <t>BALIKPAPAN</t>
  </si>
  <si>
    <t>WONOSOBO</t>
  </si>
  <si>
    <t>PURWAKARTA</t>
  </si>
  <si>
    <t xml:space="preserve">GRSM </t>
  </si>
  <si>
    <t xml:space="preserve">RSM </t>
  </si>
  <si>
    <t xml:space="preserve">Kode Subdist </t>
  </si>
  <si>
    <t xml:space="preserve">Kode Outlet </t>
  </si>
  <si>
    <t xml:space="preserve">Nama Toko </t>
  </si>
  <si>
    <t>Target Sell Out SPG/day (value)</t>
  </si>
  <si>
    <t>BANJARNEGARA</t>
  </si>
  <si>
    <t>CV TRIO JAYA(M2)</t>
  </si>
  <si>
    <t>DEMAK</t>
  </si>
  <si>
    <t>ANEKA JAYA HADIWIJAYA</t>
  </si>
  <si>
    <t>KENDAL</t>
  </si>
  <si>
    <t>RB MANTEP 2</t>
  </si>
  <si>
    <t>PT. HASTA KENCANA SAKTI</t>
  </si>
  <si>
    <t>BRAYAN MAJU BOJONG</t>
  </si>
  <si>
    <t>INDAR,TK</t>
  </si>
  <si>
    <t>JEPARA</t>
  </si>
  <si>
    <t>Sum of TOTAL SELLING (RP)</t>
  </si>
  <si>
    <t>Column Labels</t>
  </si>
  <si>
    <t>Row Labels</t>
  </si>
  <si>
    <t>Grand Total</t>
  </si>
  <si>
    <t>BUNGA</t>
  </si>
  <si>
    <t>MAULIDA FHATIRRAHMAN</t>
  </si>
  <si>
    <t>NURLAELA SITI SALEHA</t>
  </si>
  <si>
    <t>RISKA APRILIANI</t>
  </si>
  <si>
    <t>LIA NUR FITRIANI</t>
  </si>
  <si>
    <t>YULIAWATI</t>
  </si>
  <si>
    <t>MEISYA AYU ANDREANI</t>
  </si>
  <si>
    <t>SINTA NURLAELA</t>
  </si>
  <si>
    <t>ALYA MULIA</t>
  </si>
  <si>
    <t>DEVI SRI ANJANI</t>
  </si>
  <si>
    <t>MIA MEILANI</t>
  </si>
  <si>
    <t>YUNIAR RAHMAWATI</t>
  </si>
  <si>
    <t>TITIN NURJANAH</t>
  </si>
  <si>
    <t>TUTI NURHASANAH</t>
  </si>
  <si>
    <t>ISMI NURBAITI</t>
  </si>
  <si>
    <t>RINA OCTAVIA</t>
  </si>
  <si>
    <t>MIRA SARASWATI</t>
  </si>
  <si>
    <t>NITA ARDIANTI</t>
  </si>
  <si>
    <t>YUNI</t>
  </si>
  <si>
    <t>NAMA SPG</t>
  </si>
  <si>
    <t>NENG NURJANAH</t>
  </si>
  <si>
    <t>ELSA TIAS NURPADILAH</t>
  </si>
  <si>
    <t>LIANI ISMIATI</t>
  </si>
  <si>
    <t>ALDA AGUSTINA</t>
  </si>
  <si>
    <t>MEGA FITRIA</t>
  </si>
  <si>
    <t>DITA NINDIA</t>
  </si>
  <si>
    <t>YUNIATI</t>
  </si>
  <si>
    <t>SHOFA DWINA</t>
  </si>
  <si>
    <t>GITA DEWI MEIYANI</t>
  </si>
  <si>
    <t>HANA</t>
  </si>
  <si>
    <t>FHARADILLA APRIZIAH WARDANI</t>
  </si>
  <si>
    <t>SELLY SRI WULANDARI</t>
  </si>
  <si>
    <t>SUGIARTI</t>
  </si>
  <si>
    <t>SRI PUJIYATI</t>
  </si>
  <si>
    <t>FENNI ROSANTI</t>
  </si>
  <si>
    <t>AINUN NAJIKHA</t>
  </si>
  <si>
    <t>SHEILLA NAVISYA</t>
  </si>
  <si>
    <t>SALSHABILLA PUTERI HARIANTO</t>
  </si>
  <si>
    <t>ISNAWATI</t>
  </si>
  <si>
    <t>INDRIANING PUJI ASTUTI</t>
  </si>
  <si>
    <t>GADIS</t>
  </si>
  <si>
    <t>SUCITRAMADHANI MUKTHI</t>
  </si>
  <si>
    <t>JENNITA PUSPITA SARI</t>
  </si>
  <si>
    <t>AYU FITRI WULANDARI</t>
  </si>
  <si>
    <t>RATNA DYAH OKTAVIANA</t>
  </si>
  <si>
    <t>SUSMIATI</t>
  </si>
  <si>
    <t>ELY NURAINI</t>
  </si>
  <si>
    <t>SITI KUSNUL</t>
  </si>
  <si>
    <t>IKA PUSPITA YULIANI</t>
  </si>
  <si>
    <t>SUSI SUSANTI</t>
  </si>
  <si>
    <t>YUNNYTA VINA LISTIA</t>
  </si>
  <si>
    <t>VIKA AMANDA WULANDARI</t>
  </si>
  <si>
    <t>LINA YUNIVA</t>
  </si>
  <si>
    <t>NANIK PRIYANTINI</t>
  </si>
  <si>
    <t>LUTFI OKITA RIZQI</t>
  </si>
  <si>
    <t>FELIA INES SAPUTRI</t>
  </si>
  <si>
    <t>AYUDIA NOVA ARSILLA MAHARDANI</t>
  </si>
  <si>
    <t>MAIA ANDIEN AGUSTINA</t>
  </si>
  <si>
    <t>EVI VADILLA NUR CAHYANTI</t>
  </si>
  <si>
    <t>LILIN INDAH SARI</t>
  </si>
  <si>
    <t>ADELIA MEILYNA PUTRI</t>
  </si>
  <si>
    <t>NADIA SILVIANA DEWI</t>
  </si>
  <si>
    <t>DAHLYA RUSDIANTI</t>
  </si>
  <si>
    <t>AHDA MARDIYAH</t>
  </si>
  <si>
    <t>RENI SETIANA</t>
  </si>
  <si>
    <t>HAULA LUTFIA MANSYAH</t>
  </si>
  <si>
    <t>LINDA JULIANTI</t>
  </si>
  <si>
    <t>DIANA TRISNA SARI</t>
  </si>
  <si>
    <t>ELA KOMALASARI</t>
  </si>
  <si>
    <t>DAILY REPORT GMM WOW SPAGHETTI JSM</t>
  </si>
  <si>
    <t>ISI MANUAL</t>
  </si>
  <si>
    <t>RUMUS</t>
  </si>
  <si>
    <t>isi manual dengan format "18/05/26"</t>
  </si>
  <si>
    <t>Pilihan</t>
  </si>
  <si>
    <t>HARGA JUAL (PCS)</t>
  </si>
  <si>
    <t>QTY SELLING (PCS)</t>
  </si>
  <si>
    <t>TOTAL SELLING (RP)</t>
  </si>
  <si>
    <t>SAMPLING YANG KELUAR (CUP)</t>
  </si>
  <si>
    <t>GINA FITRIANTI NUGRAHA</t>
  </si>
  <si>
    <t>WINDIANINGSIH</t>
  </si>
  <si>
    <t>NURMALA RUSTAMALIA</t>
  </si>
  <si>
    <t>HANNA AFTINA LISTYANI</t>
  </si>
  <si>
    <t>MUTHYA NADHIFAH</t>
  </si>
  <si>
    <t>GITA DESIANTI NUGRAHA</t>
  </si>
  <si>
    <t>NISYANA NOVIANTI</t>
  </si>
  <si>
    <t>PERAWATI</t>
  </si>
  <si>
    <t>ANISA RUHAMA ASYIDA</t>
  </si>
  <si>
    <t>WIWI NIRMAWATI</t>
  </si>
  <si>
    <t>NUR ELIDAH</t>
  </si>
  <si>
    <t>SELY SRI WULANDARI</t>
  </si>
  <si>
    <t>EVI</t>
  </si>
  <si>
    <t>ERSA BENING NAWANGSARI</t>
  </si>
  <si>
    <t>KRISNA AYU WULANDARI</t>
  </si>
  <si>
    <t>META WASIATI</t>
  </si>
  <si>
    <t xml:space="preserve">NABIILAH IFFATUL KHASANAH </t>
  </si>
  <si>
    <t>NUR FATIMAH MUCHRIYANI</t>
  </si>
  <si>
    <t>RINI NUR ASIYAH</t>
  </si>
  <si>
    <t>ARUM ERISKA</t>
  </si>
  <si>
    <t>DIANA NILU WARDANI</t>
  </si>
  <si>
    <t>NAFISAH RIDHOTI</t>
  </si>
  <si>
    <t>LILIK NAZLIA FIDAROINI</t>
  </si>
  <si>
    <t>AGUSTIN TRI WULANDARI</t>
  </si>
  <si>
    <t>NUR KARISMA RIZEKI PUTRI</t>
  </si>
  <si>
    <t>DESI ANDIKA SARI</t>
  </si>
  <si>
    <t>DESI ANGGRAENI</t>
  </si>
  <si>
    <t>NUR LAILIYAH</t>
  </si>
  <si>
    <t>REVITA DWI ANGGRAENI</t>
  </si>
  <si>
    <t xml:space="preserve">INDI NOSYAL RISWANTO </t>
  </si>
  <si>
    <t>NOVANDA SHINTA DEWI</t>
  </si>
  <si>
    <t xml:space="preserve">VEELA SINDI DIAH FADILAH WATI </t>
  </si>
  <si>
    <t>ADEA UMI ULIVIA</t>
  </si>
  <si>
    <t xml:space="preserve">YENI RETNO WIDYASTUTIK </t>
  </si>
  <si>
    <t>KUSDIANI</t>
  </si>
  <si>
    <t>AINI</t>
  </si>
  <si>
    <t>REKA NOVIANI</t>
  </si>
  <si>
    <t>ELGA NUR ROHMAN</t>
  </si>
  <si>
    <t>NABIILAH IFFATUL KHASANAH</t>
  </si>
  <si>
    <t>RISKA YULITA</t>
  </si>
  <si>
    <t>TIUR MEWANI</t>
  </si>
  <si>
    <t>KRISTINA BR SINAGA</t>
  </si>
  <si>
    <t>RATIH DEWI SARI BR TAMBA</t>
  </si>
  <si>
    <t>ROSNANI</t>
  </si>
  <si>
    <t>MAYANG SARI</t>
  </si>
  <si>
    <t>RAHMI SYAHFITRI</t>
  </si>
  <si>
    <t>RADYA ALIZA</t>
  </si>
  <si>
    <t>PEBYA PUTRI TITIAN VANESA</t>
  </si>
  <si>
    <t>AINA YURITA</t>
  </si>
  <si>
    <t>RINI</t>
  </si>
  <si>
    <t>SITI KUSNUL KHOTIMAH</t>
  </si>
  <si>
    <t>INDAH HAMIDAH</t>
  </si>
  <si>
    <t>ARTI (BACKUP)</t>
  </si>
  <si>
    <t>ADE NOVILIANTI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</si>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</sst>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"/>
    <numFmt numFmtId="165" formatCode="_-* #,##0_-;\-* #,##0_-;_-* \-??_-;_-@"/>
    <numFmt numFmtId="166" formatCode="_-* #,##0_-;\-* #,##0_-;_-* \-_-;_-@"/>
    <numFmt numFmtId="167" formatCode="_-[$Rp-421]* #,##0_-;\-[$Rp-421]* #,##0_-;_-[$Rp-421]* &quot;-&quot;_-;_-@_-"/>
  </numFmts>
  <fonts count="10" x14ac:knownFonts="1">
    <font>
      <sz val="11"/>
      <color theme="1"/>
      <name val="Calibri"/>
      <charset val="1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i/>
      <sz val="11"/>
      <color rgb="FF2F5496"/>
      <name val="Calibri"/>
      <family val="2"/>
    </font>
    <font>
      <b/>
      <i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  <font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/>
        <bgColor rgb="FFFEF2CB"/>
      </patternFill>
    </fill>
    <fill>
      <patternFill patternType="solid">
        <fgColor rgb="FFFEF2CB"/>
        <bgColor rgb="FFFFE598"/>
      </patternFill>
    </fill>
    <fill>
      <patternFill patternType="solid">
        <fgColor rgb="FFFFE598"/>
        <bgColor rgb="FFFEF2CB"/>
      </patternFill>
    </fill>
    <fill>
      <patternFill patternType="solid">
        <fgColor rgb="FFF7CAAC"/>
        <bgColor rgb="FFFFE598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FE598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2">
    <xf numFmtId="0" fontId="0" fillId="0" borderId="7"/>
    <xf numFmtId="0" fontId="6" fillId="0" borderId="7">
      <alignment vertical="center"/>
    </xf>
  </cellStyleXfs>
  <cellXfs count="82"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Border="1"/>
    <xf numFmtId="0" fontId="0" fillId="0" borderId="0" xfId="0" applyBorder="1" applyAlignment="1">
      <alignment horizontal="left" vertical="center"/>
    </xf>
    <xf numFmtId="164" fontId="0" fillId="0" borderId="0" xfId="0" applyNumberFormat="1" applyBorder="1"/>
    <xf numFmtId="0" fontId="0" fillId="0" borderId="0" xfId="0" applyBorder="1" applyAlignment="1">
      <alignment horizontal="center" vertical="center"/>
    </xf>
    <xf numFmtId="0" fontId="3" fillId="3" borderId="0" xfId="0" applyFont="1" applyFill="1" applyBorder="1"/>
    <xf numFmtId="0" fontId="0" fillId="3" borderId="0" xfId="0" applyFill="1" applyBorder="1" applyAlignment="1">
      <alignment vertical="center" wrapText="1"/>
    </xf>
    <xf numFmtId="164" fontId="0" fillId="3" borderId="0" xfId="0" applyNumberFormat="1" applyFill="1" applyBorder="1" applyAlignment="1">
      <alignment vertical="center" wrapText="1"/>
    </xf>
    <xf numFmtId="0" fontId="0" fillId="3" borderId="0" xfId="0" applyFill="1" applyBorder="1" applyAlignment="1">
      <alignment horizontal="left" vertical="center" wrapText="1"/>
    </xf>
    <xf numFmtId="0" fontId="0" fillId="4" borderId="0" xfId="0" applyFill="1" applyBorder="1" applyAlignment="1">
      <alignment vertical="center" wrapText="1"/>
    </xf>
    <xf numFmtId="0" fontId="1" fillId="3" borderId="0" xfId="0" applyFont="1" applyFill="1" applyBorder="1" applyAlignment="1">
      <alignment vertical="center"/>
    </xf>
    <xf numFmtId="0" fontId="0" fillId="3" borderId="0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5" fillId="4" borderId="2" xfId="0" applyFont="1" applyFill="1" applyBorder="1" applyAlignment="1">
      <alignment horizontal="left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4" borderId="2" xfId="0" applyNumberFormat="1" applyFill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center"/>
    </xf>
    <xf numFmtId="3" fontId="0" fillId="0" borderId="0" xfId="0" applyNumberForma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 vertical="center"/>
    </xf>
    <xf numFmtId="166" fontId="0" fillId="4" borderId="2" xfId="0" applyNumberFormat="1" applyFill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166" fontId="0" fillId="0" borderId="2" xfId="0" applyNumberFormat="1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3" xfId="0" applyFill="1" applyBorder="1"/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/>
    </xf>
    <xf numFmtId="0" fontId="7" fillId="0" borderId="2" xfId="0" applyFont="1" applyBorder="1"/>
    <xf numFmtId="0" fontId="0" fillId="7" borderId="2" xfId="0" applyFill="1" applyBorder="1"/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0" borderId="2" xfId="0" applyBorder="1"/>
    <xf numFmtId="0" fontId="0" fillId="4" borderId="3" xfId="0" applyFill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0" fontId="5" fillId="4" borderId="3" xfId="0" applyFont="1" applyFill="1" applyBorder="1" applyAlignment="1">
      <alignment horizontal="left"/>
    </xf>
    <xf numFmtId="0" fontId="7" fillId="0" borderId="3" xfId="0" applyFont="1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inden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Border="1"/>
    <xf numFmtId="14" fontId="0" fillId="0" borderId="0" xfId="0" applyNumberFormat="1" applyBorder="1"/>
    <xf numFmtId="0" fontId="8" fillId="0" borderId="7" xfId="0" applyFont="1"/>
    <xf numFmtId="0" fontId="9" fillId="0" borderId="7" xfId="0" applyFont="1"/>
    <xf numFmtId="0" fontId="0" fillId="4" borderId="4" xfId="0" applyFill="1" applyBorder="1" applyAlignment="1">
      <alignment horizontal="left" vertical="center"/>
    </xf>
    <xf numFmtId="0" fontId="8" fillId="0" borderId="2" xfId="0" applyFont="1" applyBorder="1"/>
    <xf numFmtId="0" fontId="9" fillId="0" borderId="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7" xfId="0"/>
    <xf numFmtId="0" fontId="0" fillId="0" borderId="0" xfId="0" applyBorder="1"/>
    <xf numFmtId="0" fontId="1" fillId="5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164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4">
    <dxf>
      <numFmt numFmtId="167" formatCode="_-[$Rp-421]* #,##0_-;\-[$Rp-421]* #,##0_-;_-[$Rp-421]* &quot;-&quot;_-;_-@_-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8"/>
      <rgbColor rgb="FF99CCFF"/>
      <rgbColor rgb="FFFF99CC"/>
      <rgbColor rgb="FFCC99FF"/>
      <rgbColor rgb="FFF7CAAC"/>
      <rgbColor rgb="FF3366FF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MT "/>
      <sheetName val="Summary By Brand (rev)"/>
      <sheetName val="Summary Kelapa"/>
      <sheetName val="Summary MAL"/>
      <sheetName val="Summary MAR"/>
      <sheetName val="Summary BET"/>
      <sheetName val="Summary DANIS"/>
      <sheetName val="Summary SLAI"/>
      <sheetName val="Summary OTHERS"/>
      <sheetName val="Summary ATL"/>
      <sheetName val="KELAPA"/>
      <sheetName val="DETAIL KELAPA"/>
      <sheetName val="EXPL KELAPA"/>
      <sheetName val=" Chart KELAPA"/>
      <sheetName val="MALK"/>
      <sheetName val="DETAIL  MALKIST"/>
      <sheetName val="EXPL MALKIST"/>
      <sheetName val="MALKIST Chart"/>
      <sheetName val="MAR"/>
      <sheetName val="DETAIL MAR"/>
      <sheetName val="EXPL MAR"/>
      <sheetName val="explain Bgt"/>
      <sheetName val="explain 2"/>
      <sheetName val="MAR CHART"/>
      <sheetName val="BETT"/>
      <sheetName val="DETAIL  Better"/>
      <sheetName val="Expl BET"/>
      <sheetName val="Better Goes To School"/>
      <sheetName val="BET CHART"/>
      <sheetName val="SLAI"/>
      <sheetName val="DETAIL SLAI  IDEAL"/>
      <sheetName val="EXPL SLAI"/>
      <sheetName val="produksi SLAI"/>
      <sheetName val=" SLAI  CHART"/>
      <sheetName val="Danisa"/>
      <sheetName val="DETAIL  DANISA"/>
      <sheetName val="Expl DANIS"/>
      <sheetName val="DANIS CHART"/>
      <sheetName val="Others"/>
      <sheetName val="BOL CHART"/>
      <sheetName val="NSPM"/>
      <sheetName val="Biaya  BTL'06"/>
      <sheetName val="Time table"/>
      <sheetName val="HCO"/>
      <sheetName val="BANDUNG KIDUL"/>
      <sheetName val="CIBIRU"/>
      <sheetName val="Data"/>
      <sheetName val="TT TO"/>
      <sheetName val="TT MOTORIS _2_"/>
      <sheetName val="TT GDG"/>
      <sheetName val="TT EKSP"/>
      <sheetName val="FAA"/>
      <sheetName val="DATA ARMADA"/>
      <sheetName val="Sheet1"/>
      <sheetName val="Sheet4"/>
      <sheetName val="DKI"/>
      <sheetName val="REKAP"/>
      <sheetName val="STKBB"/>
      <sheetName val="APR"/>
      <sheetName val="Menu"/>
      <sheetName val="TANJUNG KERTA"/>
      <sheetName val="RANCAEKEK"/>
      <sheetName val="TYPE A &amp; B"/>
      <sheetName val="DB"/>
      <sheetName val="F-01"/>
      <sheetName val="F-02 GP Bulanan"/>
      <sheetName val="F-02 GP Harian"/>
      <sheetName val="F-03"/>
      <sheetName val="F-04"/>
      <sheetName val="F-05"/>
      <sheetName val="F-06"/>
      <sheetName val="F-10"/>
      <sheetName val="F-10A"/>
      <sheetName val="F-12 GP Bulanan"/>
      <sheetName val="F-12 GP Harian"/>
      <sheetName val="TYPE C"/>
      <sheetName val="F-01 C"/>
      <sheetName val="F-02 C GP Bulanan"/>
      <sheetName val="F-02 C GP Harian"/>
      <sheetName val="F-03 C"/>
      <sheetName val="F-04 C"/>
      <sheetName val="F-05 C"/>
      <sheetName val="F-06 C"/>
      <sheetName val="F-10 C"/>
      <sheetName val="F-10A C"/>
      <sheetName val="F-12 C GP Bulanan"/>
      <sheetName val="F-12 C GP Harian"/>
      <sheetName val="Payroll BCA"/>
      <sheetName val="Diah"/>
      <sheetName val="Titik"/>
      <sheetName val="Novi"/>
      <sheetName val="Data2"/>
      <sheetName val="Personil"/>
      <sheetName val="BNI"/>
      <sheetName val="Mandiri"/>
      <sheetName val="Mas Rek"/>
      <sheetName val="PPH 21"/>
      <sheetName val="Slip (2)"/>
      <sheetName val="Slip"/>
      <sheetName val="Rekap Slip Gaji"/>
      <sheetName val="Manual"/>
      <sheetName val="Honor"/>
      <sheetName val="Gaji Pokok"/>
      <sheetName val="Invoice"/>
      <sheetName val="Cover"/>
      <sheetName val="Payroll Mandiri"/>
      <sheetName val="lampiran Mandiri"/>
      <sheetName val="Dosniroha"/>
      <sheetName val="Bdg"/>
      <sheetName val="Cirebon"/>
      <sheetName val="Sheet5"/>
      <sheetName val="Sheet2"/>
      <sheetName val="Sheet3"/>
      <sheetName val="TABEL"/>
      <sheetName val="PEGAWAI"/>
      <sheetName val="1721"/>
      <sheetName val="1721-A"/>
      <sheetName val="1721-A1"/>
      <sheetName val="1721-A1 (2)"/>
      <sheetName val="1721-A2"/>
      <sheetName val="1721-B"/>
      <sheetName val="1721-C"/>
      <sheetName val="C-II"/>
      <sheetName val="#REF"/>
      <sheetName val="GT"/>
      <sheetName val="MT"/>
      <sheetName val="R1"/>
      <sheetName val="R2"/>
      <sheetName val="R3"/>
      <sheetName val="R4"/>
      <sheetName val="R5"/>
      <sheetName val="R6"/>
      <sheetName val="MT (2)"/>
      <sheetName val="Dumtk"/>
      <sheetName val="1a"/>
      <sheetName val="1c"/>
      <sheetName val="Upah"/>
      <sheetName val="Rincian Iuran"/>
      <sheetName val="Data Rekon"/>
      <sheetName val="Premi Iuran"/>
      <sheetName val="QUAKER DRV"/>
      <sheetName val="QUAKER HIZRIAN"/>
      <sheetName val="QUAKER OFC"/>
      <sheetName val="QUAKER PRISLIAN"/>
      <sheetName val="IN HOUSE MJN"/>
      <sheetName val=".."/>
      <sheetName val="absen perpanjangan"/>
      <sheetName val="absen"/>
      <sheetName val="NC"/>
      <sheetName val="GS"/>
      <sheetName val="P&amp;G,MONDELEZ"/>
      <sheetName val="BDF"/>
      <sheetName val="FORMULIR"/>
      <sheetName val="GS JPN"/>
      <sheetName val="BTB JPN"/>
      <sheetName val="BTB"/>
      <sheetName val="TF"/>
      <sheetName val="API "/>
      <sheetName val="DATA INDUK"/>
      <sheetName val="HistoTbl"/>
      <sheetName val="PERUBAHAN ID"/>
      <sheetName val="DATABASE MDJ"/>
      <sheetName val="DATABASE KALBE"/>
      <sheetName val="ROHANA OTO 1"/>
      <sheetName val="SUSWANTI OTO 2"/>
      <sheetName val="SRI HARWATI OTO 3"/>
      <sheetName val="NOVA YANTI OTO 3"/>
      <sheetName val="SRI MULYATI OTO 4"/>
      <sheetName val="NURADHAN HANDAYANI OTO 4"/>
      <sheetName val="YULI ANGGERAINI OTO 5"/>
      <sheetName val="REZANIA SUBAGYA OTO 5"/>
      <sheetName val="DIAN RAHMAYANTI OTO 6"/>
      <sheetName val="DIAN LESTARI OTO 6"/>
      <sheetName val="EKA OKTAVIANI OTO 7"/>
      <sheetName val="NELSA FEBRIANI OTO 7"/>
      <sheetName val="MIMIN SUMINI OTO 8"/>
      <sheetName val="MAYA MAI SAROH OTO 8"/>
      <sheetName val="DIAH KAPITASARI OTO 9"/>
      <sheetName val="UKHTI MAESHITOH OTO 9"/>
      <sheetName val="SULASTRI FOOD 1"/>
      <sheetName val="TATY HAYATI FOOD 2"/>
      <sheetName val="KLINIK 1"/>
      <sheetName val="KLINIK 2"/>
      <sheetName val="KLINIK 3"/>
      <sheetName val="REKAP REPORT"/>
      <sheetName val="ACTUAL SALES"/>
      <sheetName val="PICAPA"/>
      <sheetName val="06GS JKT,YGA,SMRG,BDG,MDN,PKU"/>
      <sheetName val="06GS MND"/>
      <sheetName val="06GS MKS"/>
      <sheetName val="06GS BALI"/>
      <sheetName val="06GS SBY"/>
      <sheetName val="06GS SUMSEL"/>
      <sheetName val="06BTB JKT,YGA,SMRG,BDG,MDN,PKU"/>
      <sheetName val="06BTB MND"/>
      <sheetName val="06BTB MKS"/>
      <sheetName val="06BTB BALI"/>
      <sheetName val="06BTB SBY"/>
      <sheetName val="06BTB SUMSEL"/>
      <sheetName val="NBC BMC"/>
      <sheetName val="beiersdorf Attendance (51)"/>
      <sheetName val="Pot Tab Wajib"/>
      <sheetName val="O1.13"/>
      <sheetName val="F1.01"/>
      <sheetName val="F1.02"/>
      <sheetName val="F1.02 BMC"/>
      <sheetName val="F1.03"/>
      <sheetName val="F1.04 INDAH"/>
      <sheetName val="F1.04 RIMA"/>
      <sheetName val="F1.04 YETI"/>
      <sheetName val="F1.04 WENI"/>
      <sheetName val="F1.04 EVI "/>
      <sheetName val="F1.04 asih"/>
      <sheetName val="F1.04  TRI"/>
      <sheetName val="F1.04  YUDA"/>
      <sheetName val="F1.04  DESI R"/>
      <sheetName val="F1.04 SWANDI"/>
      <sheetName val="F1.04 RICA"/>
      <sheetName val="F1.06"/>
      <sheetName val="F-07"/>
      <sheetName val="F-07A"/>
      <sheetName val="F-08"/>
      <sheetName val="F-08A"/>
      <sheetName val="F-09"/>
      <sheetName val="F1.07"/>
      <sheetName val="F1.08"/>
      <sheetName val="F-13B Payroll BCA"/>
      <sheetName val="Form Transfer Manual"/>
      <sheetName val="F-12 GP Bulanan INVOICE"/>
      <sheetName val="F-12 GP Harian INVOICE"/>
      <sheetName val="OPSF"/>
      <sheetName val="TRANSFER MANUAL"/>
      <sheetName val="Slip Gaji"/>
      <sheetName val="F1.11"/>
      <sheetName val="F1.12"/>
      <sheetName val="Lembur Hari Besar"/>
      <sheetName val="JOIN DATE"/>
      <sheetName val="01GS JKT,JABAR,YGA,PKU"/>
      <sheetName val="01BTB JKT,JABAR,YGA,PKU"/>
      <sheetName val="F-02 GP Susulan"/>
      <sheetName val="OPS-F"/>
      <sheetName val="THR"/>
      <sheetName val="GELDIS"/>
      <sheetName val="DWI LESTARI - TL"/>
      <sheetName val="DWI LESTARI - MPS"/>
      <sheetName val="LIA ELVANI - TL"/>
      <sheetName val="LIA ELVANI - MPS"/>
      <sheetName val="HM"/>
      <sheetName val="PKB"/>
      <sheetName val="HFN"/>
      <sheetName val="SALES"/>
      <sheetName val="EC"/>
      <sheetName val="MSL"/>
      <sheetName val="VISIBILITY"/>
      <sheetName val="Insentive MD"/>
      <sheetName val="Insentive TL"/>
      <sheetName val="P7"/>
      <sheetName val="SUMMARY"/>
      <sheetName val="P7 "/>
      <sheetName val="SUM 2"/>
      <sheetName val="F-01 (Absen)"/>
      <sheetName val="F1.04 ARDI"/>
      <sheetName val="F1.4 SUBASTIAN"/>
      <sheetName val="F1.04 JOKO"/>
      <sheetName val="F-04 BASTIAI"/>
      <sheetName val="F-05 (TL"/>
      <sheetName val="F-05 MD"/>
      <sheetName val="F-13A Payroll Mandiri"/>
      <sheetName val="F-13 lampiran Mandiri"/>
      <sheetName val="F1.09"/>
      <sheetName val="F-11 (2)"/>
      <sheetName val="F-11A (2)"/>
      <sheetName val="PERHITUNGAN SALES"/>
      <sheetName val="INKA OTO 9"/>
      <sheetName val="EKA OKTAVIANI OTO 10"/>
      <sheetName val="SUSWANTI OTO 10"/>
      <sheetName val="YENIWATI 11"/>
      <sheetName val="MIMIN S.OTO 12"/>
      <sheetName val="MAYA OTO 12"/>
      <sheetName val="DIAH 13"/>
      <sheetName val="UKHTI OTO 13"/>
      <sheetName val="VACANT 2"/>
      <sheetName val="SARI OTO 14"/>
      <sheetName val="EKA YULI 14"/>
      <sheetName val="SRI HARWATI"/>
      <sheetName val="KEYLA OTO 15"/>
      <sheetName val="VACANT"/>
      <sheetName val="VACANT 4"/>
      <sheetName val="PUJI OTO 16"/>
      <sheetName val="MASRIFAH OTO 16"/>
      <sheetName val="Contribution Information"/>
      <sheetName val="Analysis"/>
      <sheetName val="000000000"/>
      <sheetName val="SA"/>
      <sheetName val="Mondelez"/>
      <sheetName val="ILO Event"/>
      <sheetName val="ILO GT Chiller Hawker"/>
      <sheetName val="MD IFL"/>
      <sheetName val="Quaker"/>
      <sheetName val="IN-Indomilk"/>
      <sheetName val="IN-NSF"/>
      <sheetName val="IN-Trenz"/>
      <sheetName val="IN-Pepsi"/>
      <sheetName val="Abbott"/>
      <sheetName val="KAR-NSF"/>
      <sheetName val="Juarindo"/>
      <sheetName val="Total"/>
      <sheetName val="MPS-Noodle"/>
      <sheetName val="MPS-IFL"/>
      <sheetName val="MPS-Bimoli"/>
      <sheetName val="Bimoli"/>
      <sheetName val="Aqua"/>
      <sheetName val="Borwita"/>
      <sheetName val="Mowilex"/>
      <sheetName val="P&amp;G"/>
      <sheetName val="Calpico"/>
      <sheetName val="Prambanan"/>
      <sheetName val="Essilor"/>
      <sheetName val="AQUAPROOF"/>
      <sheetName val="NICI"/>
      <sheetName val="MDS GT IFL"/>
      <sheetName val="KEWPIE"/>
      <sheetName val="SARI ROTI"/>
      <sheetName val="EVENT SIMP"/>
      <sheetName val="EVENT NOODLE"/>
      <sheetName val="SMD BISKUIT"/>
      <sheetName val="MD MM IASB (TIRTA) "/>
      <sheetName val="MD MM IASB"/>
      <sheetName val="JNE"/>
      <sheetName val="MOKO-MOKO"/>
      <sheetName val="Rekap Inv"/>
      <sheetName val="Analisa umur piutang"/>
      <sheetName val="F-02 "/>
      <sheetName val="Summary Aging"/>
      <sheetName val="Image"/>
      <sheetName val="Barang Masuk "/>
      <sheetName val="Handcary "/>
      <sheetName val="Kiriman "/>
      <sheetName val="DAERAH"/>
      <sheetName val="Master POP"/>
      <sheetName val="DATA DISCOUNTINIUE"/>
      <sheetName val="Master"/>
      <sheetName val="Timeline"/>
      <sheetName val="Loyalty Point"/>
      <sheetName val="Member Reg"/>
      <sheetName val="Workshop Reg"/>
      <sheetName val="Sosmed Activity"/>
      <sheetName val="Socialization "/>
      <sheetName val="Workshop Schedule"/>
      <sheetName val="Design Needed"/>
      <sheetName val="MoM"/>
      <sheetName val="Rundown Workshop"/>
      <sheetName val="ASPR"/>
      <sheetName val="BTB nonJPN"/>
      <sheetName val="BTB dgJPN"/>
      <sheetName val="GS nonJPN"/>
      <sheetName val="GS dgJPN"/>
      <sheetName val="TASKFORCE"/>
      <sheetName val="INDOLAKTO"/>
      <sheetName val="ABC"/>
      <sheetName val="Sheet6"/>
      <sheetName val="SEP-GS"/>
      <sheetName val="OKT-GS"/>
      <sheetName val="NOP-GS"/>
      <sheetName val="DES-GS"/>
      <sheetName val="JAN-GS"/>
      <sheetName val="SEP-BTB"/>
      <sheetName val="OKT-BTB"/>
      <sheetName val="NOP-BTB"/>
      <sheetName val="NOP"/>
      <sheetName val="DES-BTB"/>
      <sheetName val="jan 19"/>
      <sheetName val="DES2010"/>
      <sheetName val="FEB-GS"/>
      <sheetName val="MAR-GS"/>
      <sheetName val="APR-GS"/>
      <sheetName val="MEI-GS"/>
      <sheetName val="JUN-GS"/>
      <sheetName val="JUL-GS"/>
      <sheetName val="AGUST-GS"/>
      <sheetName val="SEPT-GS"/>
      <sheetName val="OKTB-GS"/>
      <sheetName val="NOV-GS"/>
      <sheetName val="DES-GS "/>
      <sheetName val="JAN-BTB"/>
      <sheetName val="FEB-BTB"/>
      <sheetName val="peb1"/>
      <sheetName val="JAN2019"/>
      <sheetName val="MAR-BTB"/>
      <sheetName val="Ferb 19"/>
      <sheetName val="APR-BTB"/>
      <sheetName val="MEI-BTB"/>
      <sheetName val="JUN-BTB"/>
      <sheetName val="JUL-BTB"/>
      <sheetName val="JUL 19"/>
      <sheetName val="JUN'19"/>
      <sheetName val="Juni"/>
      <sheetName val="MARET"/>
      <sheetName val="Mei"/>
      <sheetName val="AGUST-BTB"/>
      <sheetName val="SEPT-BTB"/>
      <sheetName val="AGUSTUS 2019 IN-OUT"/>
      <sheetName val="OKTB-BTB"/>
      <sheetName val="NOV-BTB"/>
      <sheetName val="DESBTB"/>
      <sheetName val="Okt 19"/>
      <sheetName val="OKT 2019"/>
      <sheetName val="DATABASE"/>
      <sheetName val="F-02 GP Bulanan (2)"/>
      <sheetName val="Pot. TW "/>
      <sheetName val="Pot Tab MOVILEX"/>
      <sheetName val="RAPEL"/>
      <sheetName val="P-09 Estu Priyasti"/>
      <sheetName val="P-09 Milisa Nataliya Jaya"/>
      <sheetName val="P-09 LUSI VERONIKA"/>
      <sheetName val="P-09 MISBAH UDIN"/>
      <sheetName val="P-09 Agatha Ari Dwi Susanti"/>
      <sheetName val="TANDA TERIMA SLIP GAJI"/>
      <sheetName val="F-02"/>
      <sheetName val="F-12"/>
      <sheetName val="F-02 C"/>
      <sheetName val="F-12 C"/>
      <sheetName val="Rekap data kelua jakarta update"/>
      <sheetName val="TYPE_A_&amp;_B"/>
      <sheetName val="TYPE_C"/>
      <sheetName val="F-01_C"/>
      <sheetName val="F-02_C"/>
      <sheetName val="F-03_C"/>
      <sheetName val="F-04_C"/>
      <sheetName val="F-05_C"/>
      <sheetName val="F-06_C"/>
      <sheetName val="F-10_C"/>
      <sheetName val="F-10A_C"/>
      <sheetName val="F-12_C"/>
      <sheetName val="AREA HIERARKI STORE (ICI)"/>
      <sheetName val="F1.01 TL&amp;MD Project"/>
      <sheetName val="F1.03 Project"/>
      <sheetName val="O1.13 MD&amp;TL Project"/>
      <sheetName val="F1.04"/>
      <sheetName val="F1.05"/>
      <sheetName val="F1.06 Project"/>
      <sheetName val="Lembur PIC"/>
      <sheetName val="O.14"/>
      <sheetName val="List Store Divider"/>
      <sheetName val="Standee parung"/>
      <sheetName val="List Store Door Sticker MD"/>
      <sheetName val="Lembar8"/>
      <sheetName val="DC JULI"/>
      <sheetName val="DC AGUSTUS"/>
      <sheetName val="DC SEPT"/>
      <sheetName val="Lembar10"/>
      <sheetName val="DC OKT"/>
      <sheetName val="Hasil FU"/>
      <sheetName val="Lembar6"/>
      <sheetName val="BTB21"/>
      <sheetName val="GS21"/>
      <sheetName val="DATABASE STORE (2)"/>
      <sheetName val="DATABASE STORE"/>
      <sheetName val="STORE BARU"/>
      <sheetName val="Sheet1 (2)"/>
      <sheetName val="BRAND OWN &amp; COMPETITOR (2)"/>
      <sheetName val="AREA HIRARKI"/>
      <sheetName val="CHANNEL HIRARKI"/>
      <sheetName val="ACCOUNT BY REGION"/>
      <sheetName val="Database Sistem"/>
      <sheetName val="ONE"/>
      <sheetName val="Guidence kategori"/>
      <sheetName val="ID USER"/>
      <sheetName val="PJP FEB 21 SMG "/>
      <sheetName val="OPSFF"/>
      <sheetName val="Lembur"/>
      <sheetName val="TW"/>
      <sheetName val="COMPARATTIVE"/>
      <sheetName val="vendorjun04"/>
      <sheetName val="INVTJUN04"/>
      <sheetName val="invt_jun03 (2)"/>
      <sheetName val="ytd"/>
      <sheetName val="BUDGET"/>
      <sheetName val="Comperative_by_Vendor jan_may"/>
      <sheetName val="invt_jun03 _2_"/>
      <sheetName val="Recap RKI Commercial"/>
      <sheetName val="Recap KPI (Hna)"/>
      <sheetName val="KPI SCCE"/>
      <sheetName val="KPI HoC"/>
      <sheetName val="KPI SCCD"/>
      <sheetName val="KPI D&amp;S"/>
      <sheetName val="KPI RC"/>
      <sheetName val="KPI Vit."/>
      <sheetName val="KPI H2"/>
      <sheetName val="Recap KPI"/>
      <sheetName val="KPI BOSM Indo-1"/>
      <sheetName val="KPI BOSM Indo-2"/>
      <sheetName val="KPI NKAM"/>
      <sheetName val="KPI Subdist"/>
      <sheetName val="KPI Commex"/>
      <sheetName val="KPI Digital Manager"/>
      <sheetName val="KPI DNA"/>
      <sheetName val="KPI HPO"/>
      <sheetName val="KPI Branch"/>
      <sheetName val="EP Per Dept (FY ONLY)"/>
      <sheetName val="#eff. acc Brand &amp; LOB"/>
      <sheetName val="#eff. acc"/>
      <sheetName val="SO PLANNING"/>
      <sheetName val="Target by Branch"/>
      <sheetName val="Cost Expense"/>
      <sheetName val="PL SO BY BRAND (REV)"/>
      <sheetName val="Target Subdist"/>
      <sheetName val="F1.04 NOFIA SARI"/>
      <sheetName val="F1.04 DEWI AGUSTINI"/>
      <sheetName val="F1.04 SEFTIA"/>
      <sheetName val="F1.04 RAFIKA"/>
      <sheetName val="F1.04 BAYU RESPAT"/>
      <sheetName val="F1.04 SYLVIA REVINA SARI"/>
      <sheetName val="F1.04 AYU ANDIKA"/>
      <sheetName val="F1.04 JOKO.."/>
      <sheetName val="F1.04 IBAS."/>
      <sheetName val="INCENTIVE MPS"/>
      <sheetName val="F1.04 ANGGEL"/>
      <sheetName val="F1.04 RIKA"/>
      <sheetName val="F1.04 DEVI"/>
      <sheetName val="F1-16"/>
      <sheetName val="INCENTIVE MPS JUNI"/>
      <sheetName val="INCENTIF TL"/>
      <sheetName val="INCENTIVE TL JUNI"/>
      <sheetName val="F1.09 NEW"/>
      <sheetName val="INCENTV FEB"/>
      <sheetName val="INCENTIVE APRIL"/>
      <sheetName val="INCENTIVE MEI"/>
      <sheetName val="INCENTIVE JUNI"/>
      <sheetName val="INCENTIVE JULI"/>
      <sheetName val="incentive agustus"/>
      <sheetName val="INCENTIVE SEPTEMBER "/>
      <sheetName val="INCENTIVE OKTOBER"/>
      <sheetName val="Update 1810"/>
      <sheetName val="Update 2210"/>
      <sheetName val="F-11"/>
      <sheetName val="F-11A"/>
      <sheetName val="F-04  PITI"/>
      <sheetName val="F-04  HALIMAH"/>
      <sheetName val="F-04  WIKO)"/>
      <sheetName val="F-04 YAN"/>
      <sheetName val="F-04 RIDHO "/>
      <sheetName val="+- Mei"/>
      <sheetName val="+- Juni"/>
      <sheetName val="+- Mei (2)"/>
      <sheetName val="+- Juni (2)"/>
      <sheetName val="Rapel Palembang"/>
      <sheetName val="THR Palembang"/>
      <sheetName val="RAPELAN"/>
      <sheetName val="MDN"/>
      <sheetName val="F1-09"/>
      <sheetName val="08GS JKT,BDG,KLMT,YGY"/>
      <sheetName val="08GS MND"/>
      <sheetName val="08GS SOLO"/>
      <sheetName val="08GS JATIM"/>
      <sheetName val="08GS BALI"/>
      <sheetName val="08GS PKU"/>
      <sheetName val="08GS MKS"/>
      <sheetName val="08GS SMR"/>
      <sheetName val="08GS MDN"/>
      <sheetName val="08GS CRB"/>
      <sheetName val="08GS PLB"/>
      <sheetName val="08BTB JKT,BDG,KLMT,YGY"/>
      <sheetName val="08BTB MND"/>
      <sheetName val="08BTB SOLO"/>
      <sheetName val="08BTB JATIM"/>
      <sheetName val="08BTB BALI"/>
      <sheetName val="08BTB PKU"/>
      <sheetName val="08BTB MKS"/>
      <sheetName val="08BTB SMR"/>
      <sheetName val="08BTB MDN"/>
      <sheetName val="08BTB CRB"/>
      <sheetName val="06BTB PLB"/>
      <sheetName val="PC"/>
      <sheetName val="IKE"/>
      <sheetName val="RETNO"/>
      <sheetName val="TIKAH"/>
      <sheetName val="F1.04 RIANTI"/>
      <sheetName val="F1.04yudi"/>
      <sheetName val="F1.04 rodewi"/>
      <sheetName val="F1.04erni"/>
      <sheetName val="F1.04  (DEWI)"/>
      <sheetName val="F1.04  (DEFANTRI"/>
      <sheetName val="F1.04  (YULINDA)"/>
      <sheetName val="F1.04  HAIRUDIN"/>
      <sheetName val="F-05 ( RIANTI)"/>
      <sheetName val="F-05 APRIYANTO"/>
      <sheetName val="F1.04 NURHALIMI"/>
      <sheetName val="F1.04 APRIYANTO"/>
      <sheetName val="THR Palembang &amp; Lampung"/>
      <sheetName val="F-15"/>
      <sheetName val="F-05 (IRFAN)"/>
      <sheetName val="F-05 (MUH. HAIRUDIN)"/>
      <sheetName val="F-05 (YUDI)"/>
      <sheetName val="DASBOARD"/>
      <sheetName val="Jakarta"/>
      <sheetName val="CRB"/>
      <sheetName val="SMG"/>
      <sheetName val="DIY"/>
      <sheetName val="SOLO"/>
      <sheetName val="SBY"/>
      <sheetName val="MLG"/>
      <sheetName val="JBR"/>
      <sheetName val="DPS"/>
      <sheetName val="MND"/>
      <sheetName val="MKS"/>
      <sheetName val="KDR"/>
      <sheetName val="KLM"/>
      <sheetName val="PKU"/>
      <sheetName val="PDG"/>
      <sheetName val="BTM"/>
      <sheetName val="PLM"/>
      <sheetName val="LMP"/>
      <sheetName val="JMB"/>
      <sheetName val="BKL"/>
      <sheetName val="BNJRM"/>
      <sheetName val="PTK"/>
      <sheetName val="PerPackCost"/>
      <sheetName val="Dt(A)"/>
      <sheetName val="SnOP National"/>
      <sheetName val="SnOP Consumer Dry(inCtn&amp;MT)"/>
      <sheetName val="SnOP Consumer Dry(inRP)"/>
      <sheetName val="SnOP Consumer Chiller"/>
      <sheetName val="SnOP by Warehouse"/>
      <sheetName val="SnOP for Finance"/>
      <sheetName val="Special Alloc."/>
      <sheetName val="F1.01 "/>
      <sheetName val="F1.02 "/>
      <sheetName val="F1.03 "/>
      <sheetName val="F1.06 "/>
      <sheetName val="F-15 "/>
      <sheetName val="F1.10"/>
      <sheetName val="F-13B"/>
      <sheetName val="F-05 "/>
      <sheetName val="F-04 "/>
      <sheetName val="F1-04"/>
      <sheetName val="LAMP-SLIP"/>
      <sheetName val="rapeel"/>
      <sheetName val="Honor 16 - 31 Des 2016"/>
      <sheetName val="JAN"/>
      <sheetName val="FEB"/>
      <sheetName val="ABSEN DIGITAL DESI"/>
      <sheetName val="ABSEN DIGITAL RIZKY"/>
      <sheetName val="ABSEN DIGITAL SULASIH"/>
      <sheetName val="ABSEN DIGITAL SWANDI"/>
      <sheetName val="ABSEN DIGITAL FITRIYANI"/>
      <sheetName val="ABSEN DIGITAL LIA"/>
      <sheetName val="ABSEN DIGITAL SABRINA"/>
      <sheetName val="ABSEN DIGITAL SARI"/>
      <sheetName val="ABSEN DIGITAL HARMOKO"/>
      <sheetName val="ABSEN DIGITAL YOES "/>
      <sheetName val="ABSEN DIGITAL NURLAILA"/>
      <sheetName val="Rekap Incentive Festive 2019"/>
      <sheetName val="Rekap Incentive Valentine 2019"/>
      <sheetName val="Rekap Incentive April"/>
      <sheetName val="REKAP INCENTIVE MEI 2020"/>
      <sheetName val="REKAP INCENTIVE COC MTI"/>
      <sheetName val="REKAP INCENTIVE MY SNACK"/>
      <sheetName val="F1.04 DEWI"/>
      <sheetName val="F1.04 Sulasih"/>
      <sheetName val="F1.04  DEWI"/>
      <sheetName val="Rekap Incentive Desember 2019"/>
      <sheetName val="F-13B Payroll BCA - MD"/>
      <sheetName val="F-02 (GP Bulanan)"/>
      <sheetName val="F-03 (Biaya)"/>
      <sheetName val="F1-01"/>
      <sheetName val="F1-02"/>
      <sheetName val="F1-03"/>
      <sheetName val="RAPEL 01 Jan - 15 Jan 2020"/>
      <sheetName val="RAPEL 16 Jan - 15 Feb 2020"/>
      <sheetName val="SUMARSONO TL"/>
      <sheetName val="EKO RUSMANTO"/>
      <sheetName val="WAHYU SETIAWAN"/>
      <sheetName val="ERICO FREDIYANTO PRATAMA"/>
      <sheetName val="CHRISTIAN ANTON WIBOWO"/>
      <sheetName val="RIWAN ISTIYANTO"/>
      <sheetName val="MUHAMMAD NUR ATMAJI"/>
      <sheetName val="YONAL PURWANTO"/>
      <sheetName val="O1.20"/>
      <sheetName val="Perhitungan Lembur "/>
      <sheetName val="FI.07 Payroll Mandiri"/>
      <sheetName val="F1-08 lampiran Mandiri"/>
      <sheetName val="Validasi Soft Copy"/>
      <sheetName val="Rekap Slip"/>
      <sheetName val="Mersi"/>
      <sheetName val="Jakarta GT"/>
      <sheetName val="Asih S"/>
      <sheetName val="Fungie"/>
      <sheetName val="Nurjanah"/>
      <sheetName val="Luwih"/>
      <sheetName val="Yanti"/>
      <sheetName val="Indri Astuti"/>
      <sheetName val="Deni N"/>
      <sheetName val="Pencapaian Modul Training"/>
      <sheetName val="O1.32 CHEESE"/>
      <sheetName val="O1.42 CHEESE"/>
      <sheetName val="01"/>
      <sheetName val="L01"/>
      <sheetName val="02"/>
      <sheetName val="L02"/>
      <sheetName val="03"/>
      <sheetName val="L03"/>
      <sheetName val="04"/>
      <sheetName val="L04"/>
      <sheetName val="05"/>
      <sheetName val="L05"/>
      <sheetName val="06"/>
      <sheetName val="L06"/>
      <sheetName val="07"/>
      <sheetName val="L07"/>
      <sheetName val="08"/>
      <sheetName val="L08"/>
      <sheetName val="09"/>
      <sheetName val="L09"/>
      <sheetName val="cuti"/>
      <sheetName val="10"/>
      <sheetName val="L10"/>
      <sheetName val="F-01 SP &amp; MD"/>
      <sheetName val="F-01 TL &amp; PC"/>
      <sheetName val="SUMMARY P7 TEAM"/>
      <sheetName val="SUMMARY P7 TL"/>
      <sheetName val="SUMMARY P7 PC"/>
      <sheetName val="RAWDATA"/>
      <sheetName val="SELLING OUT"/>
      <sheetName val="TIDAK JUAL COKLAT"/>
      <sheetName val="10GS JKT,BDG,KLMT,YGY"/>
      <sheetName val="10GS MND"/>
      <sheetName val="10GS SOLO"/>
      <sheetName val="10GS JATIM"/>
      <sheetName val="10GS BALI"/>
      <sheetName val="10GS PKU"/>
      <sheetName val="10GS MKS"/>
      <sheetName val="10GS SMR"/>
      <sheetName val="10GS MDN"/>
      <sheetName val="10GS CRB"/>
      <sheetName val="10GS PLB"/>
      <sheetName val="10BTB JKT,BDG,KLMT,YGY"/>
      <sheetName val="10BTB MND"/>
      <sheetName val="10BTB SOLO"/>
      <sheetName val="10BTB JATIM"/>
      <sheetName val="10BTB BALI"/>
      <sheetName val="10BTB PKU"/>
      <sheetName val="10BTB MKS"/>
      <sheetName val="10BTB SMR"/>
      <sheetName val="10BTB MDN"/>
      <sheetName val="10BTB CRB"/>
      <sheetName val="10BTB PLB"/>
      <sheetName val="Dashboard"/>
      <sheetName val="Name_Range"/>
      <sheetName val="Mkt Share1"/>
      <sheetName val="PL Charts"/>
      <sheetName val="BS-Trend"/>
      <sheetName val="P&amp;L-Trend"/>
      <sheetName val="Cash Flow"/>
      <sheetName val="P&amp;L-Local"/>
      <sheetName val="P&amp;L-India"/>
      <sheetName val="Reclass"/>
      <sheetName val="EXP Reco FTM"/>
      <sheetName val="P&amp;L-AOP"/>
      <sheetName val="P&amp;L-IntAOP"/>
      <sheetName val="BS-Comparison"/>
      <sheetName val="jurnal"/>
      <sheetName val="BS"/>
      <sheetName val="P&amp;L"/>
      <sheetName val="Elimination"/>
      <sheetName val="Intra Inventory"/>
      <sheetName val="bs interco"/>
      <sheetName val="with subs"/>
      <sheetName val="Indovest"/>
      <sheetName val="Sarico"/>
      <sheetName val="Rental"/>
      <sheetName val="BS-AOP"/>
      <sheetName val="Exp Budget"/>
      <sheetName val="Exp BVA"/>
      <sheetName val="Exp Elimination"/>
      <sheetName val="Intra-Summary"/>
      <sheetName val="Intra-Expense Analysis"/>
      <sheetName val="Intra-PLBS"/>
      <sheetName val="Intra-TB Grouping"/>
      <sheetName val="Intra eMerge TB"/>
      <sheetName val="Intra-Grouping"/>
      <sheetName val="Intra-TB History"/>
      <sheetName val="Intra-Budget"/>
      <sheetName val="Mega-Summary"/>
      <sheetName val="Mega-PLBS"/>
      <sheetName val="Mega-Expense Analysis"/>
      <sheetName val="Mega-Grouping"/>
      <sheetName val="Mega eMerge TB"/>
      <sheetName val="Mega-TB History"/>
      <sheetName val="EXP Reco"/>
      <sheetName val="Mega-Budget"/>
      <sheetName val="SI-Summary"/>
      <sheetName val="SI-PLBS"/>
      <sheetName val="SI-Budget"/>
      <sheetName val="SI-Expense Analysis"/>
      <sheetName val="SI-Grouping"/>
      <sheetName val="SI eMerge TB"/>
      <sheetName val="SI-TB History"/>
      <sheetName val="SJ-Summary"/>
      <sheetName val="SJ-Budget"/>
      <sheetName val="SJ-Grouping"/>
      <sheetName val="SJ eMerge TB"/>
      <sheetName val="SJ-PLBS"/>
      <sheetName val="SJ-Expense Analysis"/>
      <sheetName val="SJ-TB History"/>
      <sheetName val="Ekamas-Summary"/>
      <sheetName val="Ekamas-Budget"/>
      <sheetName val="Ekamas-PLBS"/>
      <sheetName val="Ekamas-Expense Analysis"/>
      <sheetName val="Ekamas-TB History"/>
      <sheetName val="Ekamas-Grouping"/>
      <sheetName val="Ekamas eMerge TB"/>
      <sheetName val="Simba-Summary"/>
      <sheetName val="Simba-PLBS"/>
      <sheetName val="Simba-Grouping"/>
      <sheetName val="Simba eMerge TB"/>
      <sheetName val="Simba-Expense Analysis"/>
      <sheetName val="Simba-TB History"/>
      <sheetName val="Simba-Budget"/>
      <sheetName val="Indovest-Summary"/>
      <sheetName val="Indovest-Expense Analysis"/>
      <sheetName val="Indovest-PLBS"/>
      <sheetName val="Indovest-Grouping"/>
      <sheetName val="Indovest eMerge TB"/>
      <sheetName val="Indovest-TB History"/>
      <sheetName val="Indovest-Budget"/>
      <sheetName val="MIS - 0313 - Audited India Simb"/>
      <sheetName val="Mkt_Share1"/>
      <sheetName val="PL_Charts"/>
      <sheetName val="Cash_Flow"/>
      <sheetName val="EXP_Reco_FTM"/>
      <sheetName val="Intra_Inventory"/>
      <sheetName val="bs_interco"/>
      <sheetName val="with_subs"/>
      <sheetName val="Exp_Budget"/>
      <sheetName val="Exp_BVA"/>
      <sheetName val="Exp_Elimination"/>
      <sheetName val="Intra-Expense_Analysis"/>
      <sheetName val="Intra-TB_Grouping"/>
      <sheetName val="Intra_eMerge_TB"/>
      <sheetName val="Intra-TB_History"/>
      <sheetName val="Mega-Expense_Analysis"/>
      <sheetName val="Mega_eMerge_TB"/>
      <sheetName val="Mega-TB_History"/>
      <sheetName val="EXP_Reco"/>
      <sheetName val="SI-Expense_Analysis"/>
      <sheetName val="SI_eMerge_TB"/>
      <sheetName val="SI-TB_History"/>
      <sheetName val="SJ_eMerge_TB"/>
      <sheetName val="SJ-Expense_Analysis"/>
      <sheetName val="SJ-TB_History"/>
      <sheetName val="Ekamas-Expense_Analysis"/>
      <sheetName val="Ekamas-TB_History"/>
      <sheetName val="Ekamas_eMerge_TB"/>
      <sheetName val="Simba_eMerge_TB"/>
      <sheetName val="Simba-Expense_Analysis"/>
      <sheetName val="Simba-TB_History"/>
      <sheetName val="Indovest-Expense_Analysis"/>
      <sheetName val="Indovest_eMerge_TB"/>
      <sheetName val="Indovest-TB_History"/>
      <sheetName val="MIS_-_0313_-_Audited_India_Simb"/>
      <sheetName val="Mkt_Share11"/>
      <sheetName val="PL_Charts1"/>
      <sheetName val="Cash_Flow1"/>
      <sheetName val="EXP_Reco_FTM1"/>
      <sheetName val="Intra_Inventory1"/>
      <sheetName val="bs_interco1"/>
      <sheetName val="with_subs1"/>
      <sheetName val="Exp_Budget1"/>
      <sheetName val="Exp_BVA1"/>
      <sheetName val="Exp_Elimination1"/>
      <sheetName val="Intra-Expense_Analysis1"/>
      <sheetName val="Intra-TB_Grouping1"/>
      <sheetName val="Intra_eMerge_TB1"/>
      <sheetName val="Intra-TB_History1"/>
      <sheetName val="Mega-Expense_Analysis1"/>
      <sheetName val="Mega_eMerge_TB1"/>
      <sheetName val="Mega-TB_History1"/>
      <sheetName val="EXP_Reco1"/>
      <sheetName val="SI-Expense_Analysis1"/>
      <sheetName val="SI_eMerge_TB1"/>
      <sheetName val="SI-TB_History1"/>
      <sheetName val="SJ_eMerge_TB1"/>
      <sheetName val="SJ-Expense_Analysis1"/>
      <sheetName val="SJ-TB_History1"/>
      <sheetName val="Ekamas-Expense_Analysis1"/>
      <sheetName val="Ekamas-TB_History1"/>
      <sheetName val="Ekamas_eMerge_TB1"/>
      <sheetName val="Simba_eMerge_TB1"/>
      <sheetName val="Simba-Expense_Analysis1"/>
      <sheetName val="Simba-TB_History1"/>
      <sheetName val="Indovest-Expense_Analysis1"/>
      <sheetName val="Indovest_eMerge_TB1"/>
      <sheetName val="Indovest-TB_History1"/>
      <sheetName val="MIS_-_0313_-_Audited_India_Sim1"/>
      <sheetName val="Mkt_Share12"/>
      <sheetName val="PL_Charts2"/>
      <sheetName val="Cash_Flow2"/>
      <sheetName val="EXP_Reco_FTM2"/>
      <sheetName val="Intra_Inventory2"/>
      <sheetName val="bs_interco2"/>
      <sheetName val="with_subs2"/>
      <sheetName val="Exp_Budget2"/>
      <sheetName val="Exp_BVA2"/>
      <sheetName val="Exp_Elimination2"/>
      <sheetName val="Intra-Expense_Analysis2"/>
      <sheetName val="Intra-TB_Grouping2"/>
      <sheetName val="Intra_eMerge_TB2"/>
      <sheetName val="Intra-TB_History2"/>
      <sheetName val="Mega-Expense_Analysis2"/>
      <sheetName val="Mega_eMerge_TB2"/>
      <sheetName val="Mega-TB_History2"/>
      <sheetName val="EXP_Reco2"/>
      <sheetName val="SI-Expense_Analysis2"/>
      <sheetName val="SI_eMerge_TB2"/>
      <sheetName val="SI-TB_History2"/>
      <sheetName val="SJ_eMerge_TB2"/>
      <sheetName val="SJ-Expense_Analysis2"/>
      <sheetName val="SJ-TB_History2"/>
      <sheetName val="Ekamas-Expense_Analysis2"/>
      <sheetName val="Ekamas-TB_History2"/>
      <sheetName val="Ekamas_eMerge_TB2"/>
      <sheetName val="Simba_eMerge_TB2"/>
      <sheetName val="Simba-Expense_Analysis2"/>
      <sheetName val="Simba-TB_History2"/>
      <sheetName val="Indovest-Expense_Analysis2"/>
      <sheetName val="Indovest_eMerge_TB2"/>
      <sheetName val="Indovest-TB_History2"/>
      <sheetName val="MIS_-_0313_-_Audited_India_Sim2"/>
      <sheetName val="Mkt_Share13"/>
      <sheetName val="PL_Charts3"/>
      <sheetName val="Cash_Flow3"/>
      <sheetName val="EXP_Reco_FTM3"/>
      <sheetName val="Intra_Inventory3"/>
      <sheetName val="bs_interco3"/>
      <sheetName val="with_subs3"/>
      <sheetName val="Exp_Budget3"/>
      <sheetName val="Exp_BVA3"/>
      <sheetName val="Exp_Elimination3"/>
      <sheetName val="Intra-Expense_Analysis3"/>
      <sheetName val="Intra-TB_Grouping3"/>
      <sheetName val="Intra_eMerge_TB3"/>
      <sheetName val="Intra-TB_History3"/>
      <sheetName val="Mega-Expense_Analysis3"/>
      <sheetName val="Mega_eMerge_TB3"/>
      <sheetName val="Mega-TB_History3"/>
      <sheetName val="EXP_Reco3"/>
      <sheetName val="SI-Expense_Analysis3"/>
      <sheetName val="SI_eMerge_TB3"/>
      <sheetName val="SI-TB_History3"/>
      <sheetName val="SJ_eMerge_TB3"/>
      <sheetName val="SJ-Expense_Analysis3"/>
      <sheetName val="SJ-TB_History3"/>
      <sheetName val="Ekamas-Expense_Analysis3"/>
      <sheetName val="Ekamas-TB_History3"/>
      <sheetName val="Ekamas_eMerge_TB3"/>
      <sheetName val="Simba_eMerge_TB3"/>
      <sheetName val="Simba-Expense_Analysis3"/>
      <sheetName val="Simba-TB_History3"/>
      <sheetName val="Indovest-Expense_Analysis3"/>
      <sheetName val="Indovest_eMerge_TB3"/>
      <sheetName val="Indovest-TB_History3"/>
      <sheetName val="MIS_-_0313_-_Audited_India_Sim3"/>
      <sheetName val="Mkt_Share14"/>
      <sheetName val="PL_Charts4"/>
      <sheetName val="Cash_Flow4"/>
      <sheetName val="EXP_Reco_FTM4"/>
      <sheetName val="Intra_Inventory4"/>
      <sheetName val="bs_interco4"/>
      <sheetName val="with_subs4"/>
      <sheetName val="Exp_Budget4"/>
      <sheetName val="Exp_BVA4"/>
      <sheetName val="Exp_Elimination4"/>
      <sheetName val="Intra-Expense_Analysis4"/>
      <sheetName val="Intra-TB_Grouping4"/>
      <sheetName val="Intra_eMerge_TB4"/>
      <sheetName val="Intra-TB_History4"/>
      <sheetName val="Mega-Expense_Analysis4"/>
      <sheetName val="Mega_eMerge_TB4"/>
      <sheetName val="Mega-TB_History4"/>
      <sheetName val="EXP_Reco4"/>
      <sheetName val="SI-Expense_Analysis4"/>
      <sheetName val="SI_eMerge_TB4"/>
      <sheetName val="SI-TB_History4"/>
      <sheetName val="SJ_eMerge_TB4"/>
      <sheetName val="SJ-Expense_Analysis4"/>
      <sheetName val="SJ-TB_History4"/>
      <sheetName val="Ekamas-Expense_Analysis4"/>
      <sheetName val="Ekamas-TB_History4"/>
      <sheetName val="Ekamas_eMerge_TB4"/>
      <sheetName val="Simba_eMerge_TB4"/>
      <sheetName val="Simba-Expense_Analysis4"/>
      <sheetName val="Simba-TB_History4"/>
      <sheetName val="Indovest-Expense_Analysis4"/>
      <sheetName val="Indovest_eMerge_TB4"/>
      <sheetName val="Indovest-TB_History4"/>
      <sheetName val="MIS_-_0313_-_Audited_India_Sim4"/>
      <sheetName val="Mkt_Share15"/>
      <sheetName val="PL_Charts5"/>
      <sheetName val="Cash_Flow5"/>
      <sheetName val="EXP_Reco_FTM5"/>
      <sheetName val="Intra_Inventory5"/>
      <sheetName val="bs_interco5"/>
      <sheetName val="with_subs5"/>
      <sheetName val="Exp_Budget5"/>
      <sheetName val="Exp_BVA5"/>
      <sheetName val="Exp_Elimination5"/>
      <sheetName val="Intra-Expense_Analysis5"/>
      <sheetName val="Intra-TB_Grouping5"/>
      <sheetName val="Intra_eMerge_TB5"/>
      <sheetName val="Intra-TB_History5"/>
      <sheetName val="Mega-Expense_Analysis5"/>
      <sheetName val="Mega_eMerge_TB5"/>
      <sheetName val="Mega-TB_History5"/>
      <sheetName val="EXP_Reco5"/>
      <sheetName val="SI-Expense_Analysis5"/>
      <sheetName val="SI_eMerge_TB5"/>
      <sheetName val="SI-TB_History5"/>
      <sheetName val="SJ_eMerge_TB5"/>
      <sheetName val="SJ-Expense_Analysis5"/>
      <sheetName val="SJ-TB_History5"/>
      <sheetName val="Ekamas-Expense_Analysis5"/>
      <sheetName val="Ekamas-TB_History5"/>
      <sheetName val="Ekamas_eMerge_TB5"/>
      <sheetName val="Simba_eMerge_TB5"/>
      <sheetName val="Simba-Expense_Analysis5"/>
      <sheetName val="Simba-TB_History5"/>
      <sheetName val="Indovest-Expense_Analysis5"/>
      <sheetName val="Indovest_eMerge_TB5"/>
      <sheetName val="Indovest-TB_History5"/>
      <sheetName val="MIS_-_0313_-_Audited_India_Sim5"/>
      <sheetName val="PRESFMS"/>
      <sheetName val="mancount"/>
      <sheetName val="Drop Down Lists"/>
      <sheetName val="OPS-F "/>
      <sheetName val="Inctv Agst"/>
      <sheetName val="Hnr Mowilex"/>
      <sheetName val="Abs Mowilex"/>
      <sheetName val="Klaim.Mowilex"/>
      <sheetName val="Pot. TW"/>
      <sheetName val="Note"/>
      <sheetName val="F-01 AQUA MT"/>
      <sheetName val="F-02 GP AQUA MT"/>
      <sheetName val="F-03 AQUA MT"/>
      <sheetName val="Payroll Mandiri MT"/>
      <sheetName val="lampiran Mandiri MT"/>
      <sheetName val="Hnr"/>
      <sheetName val="Absn"/>
      <sheetName val="Biaya"/>
      <sheetName val="F-01 ARCO"/>
      <sheetName val="F-02 ARCO"/>
      <sheetName val="F-03 ARCO"/>
      <sheetName val="F-01 Sby1"/>
      <sheetName val="F-02 Sby1"/>
      <sheetName val="F-03 Sby1"/>
      <sheetName val="F-01 Sby2."/>
      <sheetName val="F-02 Sby2."/>
      <sheetName val="F-03 Sby2."/>
      <sheetName val="F-01 Sby3."/>
      <sheetName val="F-02 Sby3."/>
      <sheetName val="F-03 Sby3."/>
      <sheetName val="TW Aktif"/>
      <sheetName val="TW1"/>
      <sheetName val="TW2"/>
      <sheetName val="POS-F ArCo"/>
      <sheetName val="OPS-F Sindy"/>
      <sheetName val="OPS-F Wahyu"/>
      <sheetName val="OPS-F Indah"/>
      <sheetName val="Abs MPS"/>
      <sheetName val="Klaim MPS"/>
      <sheetName val="Transp&amp;Lmbur"/>
      <sheetName val="MPS"/>
      <sheetName val="Tab. Wajib"/>
      <sheetName val="DS"/>
      <sheetName val="Scheme INSTORE"/>
      <sheetName val="Scheme SMD"/>
      <sheetName val="Incentive H2 Executive"/>
      <sheetName val="Produk Fokus"/>
      <sheetName val="Resume"/>
      <sheetName val="Produk Fokus (2)"/>
      <sheetName val="PDU"/>
      <sheetName val="WINDA"/>
      <sheetName val="RENY"/>
      <sheetName val="FITRI"/>
      <sheetName val="RIYATIN"/>
      <sheetName val="DIAN"/>
      <sheetName val="HENI"/>
      <sheetName val="ERIKHA"/>
      <sheetName val="DEWI"/>
      <sheetName val="SMD (2)"/>
      <sheetName val="EVENT-REGULAR"/>
      <sheetName val="GT-REGULAR"/>
      <sheetName val="GT-EXECUTIVE"/>
      <sheetName val="INSTORE"/>
      <sheetName val="SMD"/>
      <sheetName val="INCENTIVE H2E "/>
      <sheetName val="INCENTIVE PRODUK FOKUS"/>
      <sheetName val="TRIWULAN"/>
      <sheetName val="Form Insentive"/>
      <sheetName val="01.17 PALEMBANG"/>
      <sheetName val="01.17 LAMPUNG"/>
      <sheetName val="Rekap Insentive Lampung"/>
      <sheetName val="Rekap Insentive Palembang"/>
      <sheetName val="KPI "/>
      <sheetName val="Visit"/>
      <sheetName val="ISM-03"/>
      <sheetName val="A"/>
      <sheetName val="Assumptions"/>
      <sheetName val="CapacityPlan"/>
      <sheetName val="StorageReq"/>
      <sheetName val="LandBuild"/>
      <sheetName val="CapEx"/>
      <sheetName val="ManPower"/>
      <sheetName val="RMLandedCost"/>
      <sheetName val="Factory COGS"/>
      <sheetName val="GP1 Summary"/>
      <sheetName val="Profit &amp; Loss"/>
      <sheetName val="P-06"/>
      <sheetName val="RESUM"/>
      <sheetName val="mix"/>
      <sheetName val="tk keluar"/>
      <sheetName val="tk masuk"/>
      <sheetName val="skm upah"/>
      <sheetName val="_REF_"/>
      <sheetName val="F-02 AMPR"/>
      <sheetName val="PrmDat"/>
      <sheetName val="#REF!"/>
      <sheetName val="Serang"/>
      <sheetName val="w-04"/>
      <sheetName val="notas"/>
      <sheetName val="Novedades"/>
      <sheetName val="DATOS"/>
      <sheetName val="BriefMes"/>
      <sheetName val="BriefAño"/>
      <sheetName val="DOS"/>
      <sheetName val="anterior"/>
      <sheetName val="gaps"/>
      <sheetName val="Forecast"/>
      <sheetName val="Inventarios.TONS"/>
      <sheetName val="Ocupación+TurnosRESUMEN"/>
      <sheetName val="Ocupación+TurnosDetalle"/>
      <sheetName val="MODxLINEA"/>
      <sheetName val="ManodeObraRESUMEN"/>
      <sheetName val="MODxLINEA (2)"/>
      <sheetName val="Ref"/>
      <sheetName val="LIST"/>
      <sheetName val="Inventarios_TONS1"/>
      <sheetName val="MODxLINEA_(2)1"/>
      <sheetName val="Inventarios_TONS"/>
      <sheetName val="MODxLINEA_(2)"/>
      <sheetName val="Inventarios_TONS2"/>
      <sheetName val="MODxLINEA_(2)2"/>
      <sheetName val="Inventarios_TONS3"/>
      <sheetName val="MODxLINEA_(2)3"/>
      <sheetName val="Inventarios_TONS4"/>
      <sheetName val="MODxLINEA_(2)4"/>
      <sheetName val="Inventarios_TONS5"/>
      <sheetName val="MODxLINEA_(2)5"/>
      <sheetName val="Inventarios_TONS6"/>
      <sheetName val="MODxLINEA_(2)6"/>
      <sheetName val="Inventarios_TONS7"/>
      <sheetName val="MODxLINEA_(2)7"/>
      <sheetName val="Inventarios_TONS8"/>
      <sheetName val="MODxLINEA_(2)8"/>
      <sheetName val="Inventarios_TONS12"/>
      <sheetName val="MODxLINEA_(2)12"/>
      <sheetName val="Inventarios_TONS9"/>
      <sheetName val="MODxLINEA_(2)9"/>
      <sheetName val="Inventarios_TONS10"/>
      <sheetName val="MODxLINEA_(2)10"/>
      <sheetName val="Inventarios_TONS11"/>
      <sheetName val="MODxLINEA_(2)11"/>
      <sheetName val="Inventarios_TONS13"/>
      <sheetName val="MODxLINEA_(2)13"/>
      <sheetName val="Inventarios_TONS16"/>
      <sheetName val="MODxLINEA_(2)16"/>
      <sheetName val="Inventarios_TONS15"/>
      <sheetName val="MODxLINEA_(2)15"/>
      <sheetName val="Inventarios_TONS14"/>
      <sheetName val="MODxLINEA_(2)14"/>
      <sheetName val="Inventarios_TONS18"/>
      <sheetName val="MODxLINEA_(2)18"/>
      <sheetName val="Inventarios_TONS17"/>
      <sheetName val="MODxLINEA_(2)17"/>
      <sheetName val="Inventarios_TONS19"/>
      <sheetName val="MODxLINEA_(2)19"/>
      <sheetName val="Inventarios_TONS20"/>
      <sheetName val="MODxLINEA_(2)20"/>
      <sheetName val="Inventarios_TONS21"/>
      <sheetName val="MODxLINEA_(2)21"/>
      <sheetName val="Account"/>
      <sheetName val="Product"/>
      <sheetName val="Channel"/>
      <sheetName val="Entity"/>
      <sheetName val="010"/>
      <sheetName val="Rekap Inv. 010"/>
      <sheetName val="Medan"/>
      <sheetName val="Pontianak"/>
      <sheetName val="KET"/>
      <sheetName val="Kode Outlet dan Target Toko"/>
      <sheetName val="DAILY REPORT"/>
      <sheetName val="MONITORING ST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INSENTIVE SMD DAN SPG MONDELEZ TT NASIONAL PERIODE SEPTEMBER 2019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1">
          <cell r="A1" t="str">
            <v>INSENTIVE SMD DAN SPG MONDELEZ TT NASIONAL PERIODE SEPTEMBER 2019</v>
          </cell>
        </row>
      </sheetData>
      <sheetData sheetId="63">
        <row r="1">
          <cell r="A1" t="str">
            <v>INSENTIVE SMD DAN SPG MONDELEZ TT NASIONAL PERIODE SEPTEMBER 2019</v>
          </cell>
        </row>
      </sheetData>
      <sheetData sheetId="64">
        <row r="1">
          <cell r="A1" t="str">
            <v>INSENTIVE SMD DAN SPG MONDELEZ TT NASIONAL PERIODE SEPTEMBER 2019</v>
          </cell>
        </row>
      </sheetData>
      <sheetData sheetId="65" refreshError="1"/>
      <sheetData sheetId="66">
        <row r="1">
          <cell r="A1" t="str">
            <v>INSENTIVE SMD DAN SPG MONDELEZ TT NASIONAL PERIODE SEPTEMBER 2019</v>
          </cell>
        </row>
      </sheetData>
      <sheetData sheetId="67">
        <row r="1">
          <cell r="A1" t="str">
            <v>REKAPITULASI PENYESUAIAN HONOR PT. OJI INDO MAKMUR PERKASA</v>
          </cell>
        </row>
      </sheetData>
      <sheetData sheetId="68">
        <row r="1">
          <cell r="A1" t="str">
            <v>REKAPITULASI PENYESUAIAN HONOR PT. INDO OJI SUKSES PRATAMA</v>
          </cell>
        </row>
      </sheetData>
      <sheetData sheetId="69">
        <row r="1">
          <cell r="A1" t="str">
            <v>REKAPITULASI PENYESUAIAN HONOR PT. OJI INDO MAKMUR PERKASA</v>
          </cell>
        </row>
      </sheetData>
      <sheetData sheetId="70">
        <row r="1">
          <cell r="A1" t="str">
            <v>INSENTIVE SMD DAN SPG MONDELEZ TT NASIONAL PERIODE SEPTEMBER 2019</v>
          </cell>
        </row>
      </sheetData>
      <sheetData sheetId="71">
        <row r="1">
          <cell r="A1" t="str">
            <v>INSENTIVE SMD DAN SPG MONDELEZ TT NASIONAL PERIODE SEPTEMBER 2019</v>
          </cell>
        </row>
      </sheetData>
      <sheetData sheetId="72">
        <row r="1">
          <cell r="A1" t="str">
            <v>INSENTIVE SMD DAN SPG MONDELEZ TT NASIONAL PERIODE SEPTEMBER 2019</v>
          </cell>
        </row>
      </sheetData>
      <sheetData sheetId="73">
        <row r="1">
          <cell r="A1" t="str">
            <v>INSENTIVE SMD DAN SPG MONDELEZ TT NASIONAL PERIODE SEPTEMBER 2019</v>
          </cell>
        </row>
      </sheetData>
      <sheetData sheetId="74">
        <row r="1">
          <cell r="A1" t="str">
            <v>INSENTIVE SMD DAN SPG MONDELEZ TT NASIONAL PERIODE SEPTEMBER 2019</v>
          </cell>
        </row>
      </sheetData>
      <sheetData sheetId="75">
        <row r="1">
          <cell r="A1" t="str">
            <v>INSENTIVE SMD DAN SPG MONDELEZ TT NASIONAL PERIODE SEPTEMBER 2019</v>
          </cell>
        </row>
      </sheetData>
      <sheetData sheetId="76">
        <row r="1">
          <cell r="A1" t="str">
            <v>REKAPITULASI PENYESUAIAN HONOR PT. OJI INDO MAKMUR PERKASA</v>
          </cell>
        </row>
      </sheetData>
      <sheetData sheetId="77">
        <row r="1">
          <cell r="A1" t="str">
            <v>REKAPITULASI PENYESUAIAN HONOR PT. INDO OJI SUKSES PRATAMA</v>
          </cell>
        </row>
      </sheetData>
      <sheetData sheetId="78">
        <row r="1">
          <cell r="A1" t="str">
            <v>INSENTIVE SMD DAN SPG MONDELEZ TT NASIONAL PERIODE SEPTEMBER 2019</v>
          </cell>
        </row>
      </sheetData>
      <sheetData sheetId="79">
        <row r="1">
          <cell r="A1" t="str">
            <v>INSENTIVE SMD DAN SPG MONDELEZ TT NASIONAL PERIODE SEPTEMBER 2019</v>
          </cell>
        </row>
      </sheetData>
      <sheetData sheetId="80">
        <row r="1">
          <cell r="A1" t="str">
            <v>INSENTIVE SMD DAN SPG MONDELEZ TT NASIONAL PERIODE SEPTEMBER 2019</v>
          </cell>
        </row>
      </sheetData>
      <sheetData sheetId="81">
        <row r="1">
          <cell r="A1" t="str">
            <v>INSENTIVE SMD DAN SPG MONDELEZ TT NASIONAL PERIODE SEPTEMBER 2019</v>
          </cell>
        </row>
      </sheetData>
      <sheetData sheetId="82">
        <row r="1">
          <cell r="A1" t="str">
            <v>INSENTIVE SMD DAN SPG MONDELEZ TT NASIONAL PERIODE SEPTEMBER 2019</v>
          </cell>
        </row>
      </sheetData>
      <sheetData sheetId="83">
        <row r="1">
          <cell r="A1" t="str">
            <v>REKAPITULASI PENYESUAIAN HONOR PT. INDO OJI SUKSES PRATAMA</v>
          </cell>
        </row>
      </sheetData>
      <sheetData sheetId="84">
        <row r="1">
          <cell r="A1" t="str">
            <v>REKAPITULASI PENYESUAIAN HONOR PT. INDO OJI SUKSES PRATAMA</v>
          </cell>
        </row>
      </sheetData>
      <sheetData sheetId="85">
        <row r="1">
          <cell r="A1" t="str">
            <v>REKAPITULASI PENYESUAIAN HONOR PT. OJI INDO MAKMUR PERKASA</v>
          </cell>
        </row>
      </sheetData>
      <sheetData sheetId="86">
        <row r="1">
          <cell r="A1" t="str">
            <v>INSENTIVE SMD DAN SPG MONDELEZ TT NASIONAL PERIODE SEPTEMBER 2019</v>
          </cell>
        </row>
      </sheetData>
      <sheetData sheetId="87">
        <row r="1">
          <cell r="A1" t="str">
            <v>INSENTIVE SMD DAN SPG MONDELEZ TT NASIONAL PERIODE SEPTEMBER 2019</v>
          </cell>
        </row>
      </sheetData>
      <sheetData sheetId="88">
        <row r="1">
          <cell r="A1" t="str">
            <v>INSENTIVE SMD DAN SPG MONDELEZ TT NASIONAL PERIODE SEPTEMBER 2019</v>
          </cell>
        </row>
      </sheetData>
      <sheetData sheetId="89">
        <row r="1">
          <cell r="A1" t="str">
            <v>INSENTIVE SMD DAN SPG MONDELEZ TT NASIONAL PERIODE SEPTEMBER 2019</v>
          </cell>
        </row>
      </sheetData>
      <sheetData sheetId="90">
        <row r="1">
          <cell r="A1" t="str">
            <v>INSENTIVE SMD DAN SPG MONDELEZ TT NASIONAL PERIODE SEPTEMBER 2019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1">
          <cell r="A1" t="str">
            <v>INSENTIVE SMD DAN SPG MONDELEZ TT NASIONAL PERIODE SEPTEMBER 2019</v>
          </cell>
        </row>
      </sheetData>
      <sheetData sheetId="514">
        <row r="1">
          <cell r="A1" t="str">
            <v>INSENTIVE SMD DAN SPG MONDELEZ TT NASIONAL PERIODE SEPTEMBER 2019</v>
          </cell>
        </row>
      </sheetData>
      <sheetData sheetId="515">
        <row r="2">
          <cell r="B2">
            <v>0</v>
          </cell>
        </row>
      </sheetData>
      <sheetData sheetId="516">
        <row r="1">
          <cell r="A1" t="str">
            <v>INSENTIVE SMD DAN SPG MONDELEZ TT NASIONAL PERIODE SEPTEMBER 2019</v>
          </cell>
        </row>
      </sheetData>
      <sheetData sheetId="517">
        <row r="1">
          <cell r="A1" t="str">
            <v>INSENTIVE SMD DAN SPG MONDELEZ TT NASIONAL PERIODE SEPTEMBER 2019</v>
          </cell>
        </row>
      </sheetData>
      <sheetData sheetId="518">
        <row r="1">
          <cell r="A1" t="str">
            <v>INSENTIVE SMD DAN SPG MONDELEZ TT NASIONAL PERIODE SEPTEMBER 2019</v>
          </cell>
        </row>
      </sheetData>
      <sheetData sheetId="519">
        <row r="1">
          <cell r="A1" t="str">
            <v>INSENTIVE SMD DAN SPG MONDELEZ TT NASIONAL PERIODE SEPTEMBER 2019</v>
          </cell>
        </row>
      </sheetData>
      <sheetData sheetId="520"/>
      <sheetData sheetId="521"/>
      <sheetData sheetId="522"/>
      <sheetData sheetId="523"/>
      <sheetData sheetId="524"/>
      <sheetData sheetId="525">
        <row r="2">
          <cell r="B2">
            <v>0</v>
          </cell>
        </row>
      </sheetData>
      <sheetData sheetId="526">
        <row r="1">
          <cell r="A1" t="str">
            <v>INSENTIVE SMD DAN SPG MONDELEZ TT NASIONAL PERIODE SEPTEMBER 2019</v>
          </cell>
        </row>
      </sheetData>
      <sheetData sheetId="527">
        <row r="2">
          <cell r="B2">
            <v>0</v>
          </cell>
        </row>
      </sheetData>
      <sheetData sheetId="528">
        <row r="1">
          <cell r="A1" t="str">
            <v>INSENTIVE SMD DAN SPG MONDELEZ TT NASIONAL PERIODE SEPTEMBER 2019</v>
          </cell>
        </row>
      </sheetData>
      <sheetData sheetId="529">
        <row r="2">
          <cell r="B2">
            <v>0</v>
          </cell>
        </row>
      </sheetData>
      <sheetData sheetId="530">
        <row r="2">
          <cell r="B2">
            <v>0</v>
          </cell>
        </row>
      </sheetData>
      <sheetData sheetId="531">
        <row r="11">
          <cell r="AI11">
            <v>0</v>
          </cell>
        </row>
      </sheetData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>
        <row r="2">
          <cell r="B2" t="str">
            <v>EMG</v>
          </cell>
        </row>
      </sheetData>
      <sheetData sheetId="580">
        <row r="2">
          <cell r="B2">
            <v>0</v>
          </cell>
        </row>
      </sheetData>
      <sheetData sheetId="581">
        <row r="1">
          <cell r="A1" t="str">
            <v>INSENTIVE SMD DAN SPG MONDELEZ TT NASIONAL PERIODE SEPTEMBER 2019</v>
          </cell>
        </row>
      </sheetData>
      <sheetData sheetId="582">
        <row r="1">
          <cell r="A1" t="str">
            <v>INSENTIVE SMD DAN SPG MONDELEZ TT NASIONAL PERIODE SEPTEMBER 2019</v>
          </cell>
        </row>
      </sheetData>
      <sheetData sheetId="583">
        <row r="2">
          <cell r="B2" t="str">
            <v>EMG</v>
          </cell>
        </row>
      </sheetData>
      <sheetData sheetId="584">
        <row r="2">
          <cell r="B2">
            <v>0</v>
          </cell>
        </row>
      </sheetData>
      <sheetData sheetId="585">
        <row r="2">
          <cell r="B2">
            <v>0</v>
          </cell>
        </row>
      </sheetData>
      <sheetData sheetId="586">
        <row r="2">
          <cell r="B2">
            <v>0</v>
          </cell>
        </row>
      </sheetData>
      <sheetData sheetId="587">
        <row r="1">
          <cell r="A1" t="str">
            <v>INSENTIVE SMD DAN SPG MONDELEZ TT NASIONAL PERIODE SEPTEMBER 2019</v>
          </cell>
        </row>
      </sheetData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>
        <row r="3">
          <cell r="C3" t="str">
            <v>16 Desember s.d 31 Desember 2021</v>
          </cell>
        </row>
      </sheetData>
      <sheetData sheetId="619">
        <row r="1">
          <cell r="A1" t="str">
            <v>INSENTIVE SMD DAN SPG MONDELEZ TT NASIONAL PERIODE SEPTEMBER 2019</v>
          </cell>
        </row>
      </sheetData>
      <sheetData sheetId="620">
        <row r="1">
          <cell r="A1" t="str">
            <v>REKAPITULASI PENYESUAIAN HONOR PT. OJI INDO MAKMUR PERKASA</v>
          </cell>
        </row>
      </sheetData>
      <sheetData sheetId="621">
        <row r="1">
          <cell r="A1" t="str">
            <v>REKAPITULASI PENYESUAIAN HONOR PT. INDO OJI SUKSES PRATAMA</v>
          </cell>
        </row>
      </sheetData>
      <sheetData sheetId="622">
        <row r="1">
          <cell r="A1" t="str">
            <v>REKAPITULASI PENYESUAIAN HONOR PT. OJI INDO MAKMUR PERKASA</v>
          </cell>
        </row>
      </sheetData>
      <sheetData sheetId="623">
        <row r="1">
          <cell r="A1" t="str">
            <v>INSENTIVE SMD DAN SPG MONDELEZ TT NASIONAL PERIODE SEPTEMBER 2019</v>
          </cell>
        </row>
      </sheetData>
      <sheetData sheetId="624">
        <row r="1">
          <cell r="A1" t="str">
            <v>INSENTIVE SMD DAN SPG MONDELEZ TT NASIONAL PERIODE SEPTEMBER 2019</v>
          </cell>
        </row>
      </sheetData>
      <sheetData sheetId="625">
        <row r="1">
          <cell r="A1" t="str">
            <v>INSENTIVE SMD DAN SPG MONDELEZ TT NASIONAL PERIODE SEPTEMBER 2019</v>
          </cell>
        </row>
      </sheetData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1">
          <cell r="A1" t="str">
            <v>INSENTIVE SMD DAN SPG MONDELEZ TT NASIONAL PERIODE SEPTEMBER 2019</v>
          </cell>
        </row>
      </sheetData>
      <sheetData sheetId="638">
        <row r="1">
          <cell r="A1" t="str">
            <v>REKAPITULASI PENYESUAIAN HONOR PT. INDO OJI SUKSES PRATAMA</v>
          </cell>
        </row>
      </sheetData>
      <sheetData sheetId="639">
        <row r="1">
          <cell r="A1" t="str">
            <v>INSENTIVE SMD DAN SPG MONDELEZ TT NASIONAL PERIODE SEPTEMBER 2019</v>
          </cell>
        </row>
      </sheetData>
      <sheetData sheetId="640">
        <row r="1">
          <cell r="A1" t="str">
            <v>INSENTIVE SMD DAN SPG MONDELEZ TT NASIONAL PERIODE SEPTEMBER 2019</v>
          </cell>
        </row>
      </sheetData>
      <sheetData sheetId="641">
        <row r="1">
          <cell r="A1" t="str">
            <v>INSENTIVE SMD DAN SPG MONDELEZ TT NASIONAL PERIODE SEPTEMBER 2019</v>
          </cell>
        </row>
      </sheetData>
      <sheetData sheetId="642"/>
      <sheetData sheetId="643">
        <row r="3">
          <cell r="C3" t="str">
            <v>16 Desember s.d 31 Desember 2021</v>
          </cell>
        </row>
      </sheetData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>
        <row r="1">
          <cell r="A1" t="str">
            <v>INSENTIVE SMD DAN SPG MONDELEZ TT NASIONAL PERIODE SEPTEMBER 2019</v>
          </cell>
        </row>
      </sheetData>
      <sheetData sheetId="658"/>
      <sheetData sheetId="659"/>
      <sheetData sheetId="660"/>
      <sheetData sheetId="661"/>
      <sheetData sheetId="662">
        <row r="1">
          <cell r="A1" t="str">
            <v>INSENTIVE SMD DAN SPG MONDELEZ TT NASIONAL PERIODE SEPTEMBER 2019</v>
          </cell>
        </row>
      </sheetData>
      <sheetData sheetId="663">
        <row r="1">
          <cell r="A1" t="str">
            <v>INSENTIVE SMD DAN SPG MONDELEZ TT NASIONAL PERIODE SEPTEMBER 2019</v>
          </cell>
        </row>
      </sheetData>
      <sheetData sheetId="664">
        <row r="2">
          <cell r="B2">
            <v>0</v>
          </cell>
        </row>
      </sheetData>
      <sheetData sheetId="665">
        <row r="3">
          <cell r="C3" t="str">
            <v>16 Desember s.d 31 Desember 2021</v>
          </cell>
        </row>
      </sheetData>
      <sheetData sheetId="666"/>
      <sheetData sheetId="667">
        <row r="1">
          <cell r="A1" t="str">
            <v>INSENTIVE SMD DAN SPG MONDELEZ TT NASIONAL PERIODE SEPTEMBER 2019</v>
          </cell>
        </row>
      </sheetData>
      <sheetData sheetId="668">
        <row r="1">
          <cell r="A1" t="str">
            <v>INSENTIVE SMD DAN SPG MONDELEZ TT NASIONAL PERIODE SEPTEMBER 2019</v>
          </cell>
        </row>
      </sheetData>
      <sheetData sheetId="669">
        <row r="1">
          <cell r="A1" t="str">
            <v>INSENTIVE SMD DAN SPG MONDELEZ TT NASIONAL PERIODE SEPTEMBER 2019</v>
          </cell>
        </row>
      </sheetData>
      <sheetData sheetId="670">
        <row r="1">
          <cell r="A1" t="str">
            <v>INSENTIVE SMD DAN SPG MONDELEZ TT NASIONAL PERIODE SEPTEMBER 2019</v>
          </cell>
        </row>
      </sheetData>
      <sheetData sheetId="671">
        <row r="2">
          <cell r="B2">
            <v>0</v>
          </cell>
        </row>
      </sheetData>
      <sheetData sheetId="672">
        <row r="1">
          <cell r="A1" t="str">
            <v>INSENTIVE SMD DAN SPG MONDELEZ TT NASIONAL PERIODE SEPTEMBER 2019</v>
          </cell>
        </row>
      </sheetData>
      <sheetData sheetId="673">
        <row r="1">
          <cell r="A1" t="str">
            <v>REKAPITULASI PENYESUAIAN HONOR PT. OJI INDO MAKMUR PERKASA</v>
          </cell>
        </row>
      </sheetData>
      <sheetData sheetId="674">
        <row r="1">
          <cell r="A1" t="str">
            <v>REKAPITULASI PENYESUAIAN HONOR PT. INDO OJI SUKSES PRATAMA</v>
          </cell>
        </row>
      </sheetData>
      <sheetData sheetId="675">
        <row r="1">
          <cell r="A1" t="str">
            <v>INSENTIVE SMD DAN SPG MONDELEZ TT NASIONAL PERIODE SEPTEMBER 2019</v>
          </cell>
        </row>
      </sheetData>
      <sheetData sheetId="676">
        <row r="1">
          <cell r="A1" t="str">
            <v>INSENTIVE SMD DAN SPG MONDELEZ TT NASIONAL PERIODE SEPTEMBER 2019</v>
          </cell>
        </row>
      </sheetData>
      <sheetData sheetId="677">
        <row r="1">
          <cell r="A1" t="str">
            <v>REKAPITULASI PENYESUAIAN HONOR PT. INDO OJI SUKSES PRATAMA</v>
          </cell>
        </row>
      </sheetData>
      <sheetData sheetId="678">
        <row r="1">
          <cell r="A1" t="str">
            <v>INSENTIVE SMD DAN SPG MONDELEZ TT NASIONAL PERIODE SEPTEMBER 2019</v>
          </cell>
        </row>
      </sheetData>
      <sheetData sheetId="679">
        <row r="1">
          <cell r="A1" t="str">
            <v>INSENTIVE SMD DAN SPG MONDELEZ TT NASIONAL PERIODE SEPTEMBER 2019</v>
          </cell>
        </row>
      </sheetData>
      <sheetData sheetId="680">
        <row r="1">
          <cell r="A1" t="str">
            <v>REKAPITULASI PENYESUAIAN HONOR PT. INDO OJI SUKSES PRATAMA</v>
          </cell>
        </row>
      </sheetData>
      <sheetData sheetId="681">
        <row r="1">
          <cell r="A1" t="str">
            <v>INSENTIVE SMD DAN SPG MONDELEZ TT NASIONAL PERIODE SEPTEMBER 2019</v>
          </cell>
        </row>
      </sheetData>
      <sheetData sheetId="682">
        <row r="1">
          <cell r="A1" t="str">
            <v>INSENTIVE SMD DAN SPG MONDELEZ TT NASIONAL PERIODE SEPTEMBER 2019</v>
          </cell>
        </row>
      </sheetData>
      <sheetData sheetId="683">
        <row r="1">
          <cell r="A1" t="str">
            <v>REKAPITULASI PENYESUAIAN HONOR PT. INDO OJI SUKSES PRATAMA</v>
          </cell>
        </row>
      </sheetData>
      <sheetData sheetId="684">
        <row r="11">
          <cell r="AI11">
            <v>0</v>
          </cell>
        </row>
      </sheetData>
      <sheetData sheetId="685">
        <row r="2">
          <cell r="B2">
            <v>0</v>
          </cell>
        </row>
      </sheetData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2">
          <cell r="B2">
            <v>41000</v>
          </cell>
        </row>
      </sheetData>
      <sheetData sheetId="726">
        <row r="2">
          <cell r="B2" t="str">
            <v>HI - Aerosol</v>
          </cell>
        </row>
      </sheetData>
      <sheetData sheetId="727">
        <row r="2">
          <cell r="B2" t="str">
            <v>HI - Aerosol</v>
          </cell>
        </row>
      </sheetData>
      <sheetData sheetId="728">
        <row r="2">
          <cell r="B2" t="str">
            <v>HI - Aerosol</v>
          </cell>
        </row>
      </sheetData>
      <sheetData sheetId="729">
        <row r="2">
          <cell r="B2" t="str">
            <v>HI - Aerosol</v>
          </cell>
        </row>
      </sheetData>
      <sheetData sheetId="730">
        <row r="2">
          <cell r="B2">
            <v>41000</v>
          </cell>
        </row>
      </sheetData>
      <sheetData sheetId="731">
        <row r="2">
          <cell r="B2">
            <v>41000</v>
          </cell>
        </row>
      </sheetData>
      <sheetData sheetId="732">
        <row r="2">
          <cell r="B2">
            <v>41000</v>
          </cell>
        </row>
      </sheetData>
      <sheetData sheetId="733">
        <row r="2">
          <cell r="B2">
            <v>41000</v>
          </cell>
        </row>
      </sheetData>
      <sheetData sheetId="734">
        <row r="2">
          <cell r="B2">
            <v>41000</v>
          </cell>
        </row>
      </sheetData>
      <sheetData sheetId="735">
        <row r="2">
          <cell r="B2">
            <v>41000</v>
          </cell>
        </row>
      </sheetData>
      <sheetData sheetId="736">
        <row r="2">
          <cell r="B2" t="str">
            <v>HI - Aerosol</v>
          </cell>
        </row>
      </sheetData>
      <sheetData sheetId="737">
        <row r="2">
          <cell r="B2">
            <v>41000</v>
          </cell>
        </row>
      </sheetData>
      <sheetData sheetId="738">
        <row r="2">
          <cell r="B2" t="str">
            <v>HI - Aerosol</v>
          </cell>
        </row>
      </sheetData>
      <sheetData sheetId="739">
        <row r="2">
          <cell r="B2" t="str">
            <v>HI - Aerosol</v>
          </cell>
        </row>
      </sheetData>
      <sheetData sheetId="740">
        <row r="2">
          <cell r="B2">
            <v>41000</v>
          </cell>
        </row>
      </sheetData>
      <sheetData sheetId="741">
        <row r="2">
          <cell r="B2" t="str">
            <v>HI - Aerosol</v>
          </cell>
        </row>
      </sheetData>
      <sheetData sheetId="742">
        <row r="2">
          <cell r="B2" t="str">
            <v>HI - Aerosol</v>
          </cell>
        </row>
      </sheetData>
      <sheetData sheetId="743">
        <row r="2">
          <cell r="B2" t="str">
            <v>HI - Aerosol</v>
          </cell>
        </row>
      </sheetData>
      <sheetData sheetId="744">
        <row r="2">
          <cell r="B2" t="str">
            <v>HI - Aerosol</v>
          </cell>
        </row>
      </sheetData>
      <sheetData sheetId="745">
        <row r="2">
          <cell r="B2" t="str">
            <v>HI - Aerosol</v>
          </cell>
        </row>
      </sheetData>
      <sheetData sheetId="746">
        <row r="2">
          <cell r="B2" t="str">
            <v>HI - Aerosol</v>
          </cell>
        </row>
      </sheetData>
      <sheetData sheetId="747">
        <row r="2">
          <cell r="B2">
            <v>41000</v>
          </cell>
        </row>
      </sheetData>
      <sheetData sheetId="748">
        <row r="2">
          <cell r="B2" t="str">
            <v>HI - Aerosol</v>
          </cell>
        </row>
      </sheetData>
      <sheetData sheetId="749">
        <row r="2">
          <cell r="B2" t="str">
            <v>HI - Aerosol</v>
          </cell>
        </row>
      </sheetData>
      <sheetData sheetId="750">
        <row r="2">
          <cell r="B2" t="str">
            <v>HI - Aerosol</v>
          </cell>
        </row>
      </sheetData>
      <sheetData sheetId="751">
        <row r="2">
          <cell r="B2" t="str">
            <v>HI - Aerosol</v>
          </cell>
        </row>
      </sheetData>
      <sheetData sheetId="752">
        <row r="2">
          <cell r="B2">
            <v>41000</v>
          </cell>
        </row>
      </sheetData>
      <sheetData sheetId="753">
        <row r="2">
          <cell r="B2">
            <v>41000</v>
          </cell>
        </row>
      </sheetData>
      <sheetData sheetId="754">
        <row r="2">
          <cell r="B2">
            <v>41000</v>
          </cell>
        </row>
      </sheetData>
      <sheetData sheetId="755">
        <row r="2">
          <cell r="B2">
            <v>41000</v>
          </cell>
        </row>
      </sheetData>
      <sheetData sheetId="756">
        <row r="2">
          <cell r="B2" t="str">
            <v>HI - Aerosol</v>
          </cell>
        </row>
      </sheetData>
      <sheetData sheetId="757">
        <row r="2">
          <cell r="B2">
            <v>41000</v>
          </cell>
        </row>
      </sheetData>
      <sheetData sheetId="758">
        <row r="2">
          <cell r="B2" t="str">
            <v>HI - Aerosol</v>
          </cell>
        </row>
      </sheetData>
      <sheetData sheetId="759">
        <row r="2">
          <cell r="B2">
            <v>41000</v>
          </cell>
        </row>
      </sheetData>
      <sheetData sheetId="760">
        <row r="2">
          <cell r="B2">
            <v>41000</v>
          </cell>
        </row>
      </sheetData>
      <sheetData sheetId="761">
        <row r="2">
          <cell r="B2" t="str">
            <v>HI - Aerosol</v>
          </cell>
        </row>
      </sheetData>
      <sheetData sheetId="762">
        <row r="2">
          <cell r="B2">
            <v>41000</v>
          </cell>
        </row>
      </sheetData>
      <sheetData sheetId="763">
        <row r="2">
          <cell r="B2">
            <v>41000</v>
          </cell>
        </row>
      </sheetData>
      <sheetData sheetId="764">
        <row r="2">
          <cell r="B2">
            <v>41000</v>
          </cell>
        </row>
      </sheetData>
      <sheetData sheetId="765">
        <row r="2">
          <cell r="B2" t="str">
            <v>HI - Aerosol</v>
          </cell>
        </row>
      </sheetData>
      <sheetData sheetId="766">
        <row r="2">
          <cell r="B2">
            <v>41000</v>
          </cell>
        </row>
      </sheetData>
      <sheetData sheetId="767">
        <row r="2">
          <cell r="B2" t="str">
            <v>HI - Aerosol</v>
          </cell>
        </row>
      </sheetData>
      <sheetData sheetId="768">
        <row r="2">
          <cell r="B2" t="str">
            <v>HI - Aerosol</v>
          </cell>
        </row>
      </sheetData>
      <sheetData sheetId="769">
        <row r="2">
          <cell r="B2" t="str">
            <v>HI - Aerosol</v>
          </cell>
        </row>
      </sheetData>
      <sheetData sheetId="770">
        <row r="2">
          <cell r="B2" t="str">
            <v>HI - Aerosol</v>
          </cell>
        </row>
      </sheetData>
      <sheetData sheetId="771">
        <row r="2">
          <cell r="B2">
            <v>41000</v>
          </cell>
        </row>
      </sheetData>
      <sheetData sheetId="772">
        <row r="2">
          <cell r="B2">
            <v>41000</v>
          </cell>
        </row>
      </sheetData>
      <sheetData sheetId="773">
        <row r="2">
          <cell r="B2">
            <v>41000</v>
          </cell>
        </row>
      </sheetData>
      <sheetData sheetId="774">
        <row r="2">
          <cell r="B2">
            <v>41000</v>
          </cell>
        </row>
      </sheetData>
      <sheetData sheetId="775">
        <row r="2">
          <cell r="B2" t="str">
            <v>HI - Aerosol</v>
          </cell>
        </row>
      </sheetData>
      <sheetData sheetId="776">
        <row r="2">
          <cell r="B2">
            <v>41000</v>
          </cell>
        </row>
      </sheetData>
      <sheetData sheetId="777">
        <row r="2">
          <cell r="B2" t="str">
            <v>HI - Aerosol</v>
          </cell>
        </row>
      </sheetData>
      <sheetData sheetId="778">
        <row r="2">
          <cell r="B2">
            <v>41000</v>
          </cell>
        </row>
      </sheetData>
      <sheetData sheetId="779">
        <row r="2">
          <cell r="B2">
            <v>41000</v>
          </cell>
        </row>
      </sheetData>
      <sheetData sheetId="780">
        <row r="2">
          <cell r="B2">
            <v>41000</v>
          </cell>
        </row>
      </sheetData>
      <sheetData sheetId="781">
        <row r="2">
          <cell r="B2">
            <v>41000</v>
          </cell>
        </row>
      </sheetData>
      <sheetData sheetId="782">
        <row r="2">
          <cell r="B2" t="str">
            <v>HI - Aerosol</v>
          </cell>
        </row>
      </sheetData>
      <sheetData sheetId="783">
        <row r="2">
          <cell r="B2">
            <v>41000</v>
          </cell>
        </row>
      </sheetData>
      <sheetData sheetId="784">
        <row r="2">
          <cell r="B2" t="str">
            <v>HI - Aerosol</v>
          </cell>
        </row>
      </sheetData>
      <sheetData sheetId="785">
        <row r="2">
          <cell r="B2">
            <v>41000</v>
          </cell>
        </row>
      </sheetData>
      <sheetData sheetId="786">
        <row r="2">
          <cell r="B2">
            <v>41000</v>
          </cell>
        </row>
      </sheetData>
      <sheetData sheetId="787">
        <row r="2">
          <cell r="B2" t="str">
            <v>HI - Aerosol</v>
          </cell>
        </row>
      </sheetData>
      <sheetData sheetId="788">
        <row r="2">
          <cell r="B2" t="str">
            <v>HI - Aerosol</v>
          </cell>
        </row>
      </sheetData>
      <sheetData sheetId="789">
        <row r="2">
          <cell r="B2" t="str">
            <v>HI - Aerosol</v>
          </cell>
        </row>
      </sheetData>
      <sheetData sheetId="790">
        <row r="2">
          <cell r="B2" t="str">
            <v>HI - Aerosol</v>
          </cell>
        </row>
      </sheetData>
      <sheetData sheetId="791">
        <row r="2">
          <cell r="B2">
            <v>41000</v>
          </cell>
        </row>
      </sheetData>
      <sheetData sheetId="792">
        <row r="2">
          <cell r="B2" t="str">
            <v>HI - Aerosol</v>
          </cell>
        </row>
      </sheetData>
      <sheetData sheetId="793">
        <row r="2">
          <cell r="B2">
            <v>41000</v>
          </cell>
        </row>
      </sheetData>
      <sheetData sheetId="794">
        <row r="2">
          <cell r="B2" t="str">
            <v>HI - Aerosol</v>
          </cell>
        </row>
      </sheetData>
      <sheetData sheetId="795">
        <row r="2">
          <cell r="B2">
            <v>41000</v>
          </cell>
        </row>
      </sheetData>
      <sheetData sheetId="796">
        <row r="2">
          <cell r="B2" t="str">
            <v>HI - Aerosol</v>
          </cell>
        </row>
      </sheetData>
      <sheetData sheetId="797">
        <row r="2">
          <cell r="B2">
            <v>41000</v>
          </cell>
        </row>
      </sheetData>
      <sheetData sheetId="798">
        <row r="2">
          <cell r="B2">
            <v>41000</v>
          </cell>
        </row>
      </sheetData>
      <sheetData sheetId="799">
        <row r="2">
          <cell r="B2">
            <v>41000</v>
          </cell>
        </row>
      </sheetData>
      <sheetData sheetId="800">
        <row r="2">
          <cell r="B2">
            <v>41000</v>
          </cell>
        </row>
      </sheetData>
      <sheetData sheetId="801">
        <row r="2">
          <cell r="B2">
            <v>41000</v>
          </cell>
        </row>
      </sheetData>
      <sheetData sheetId="802">
        <row r="2">
          <cell r="B2" t="str">
            <v>HI - Aerosol</v>
          </cell>
        </row>
      </sheetData>
      <sheetData sheetId="803">
        <row r="2">
          <cell r="B2">
            <v>41000</v>
          </cell>
        </row>
      </sheetData>
      <sheetData sheetId="804">
        <row r="2">
          <cell r="B2" t="str">
            <v>HI - Aerosol</v>
          </cell>
        </row>
      </sheetData>
      <sheetData sheetId="805">
        <row r="2">
          <cell r="B2">
            <v>41000</v>
          </cell>
        </row>
      </sheetData>
      <sheetData sheetId="806">
        <row r="2">
          <cell r="B2" t="str">
            <v>HI - Aerosol</v>
          </cell>
        </row>
      </sheetData>
      <sheetData sheetId="807">
        <row r="2">
          <cell r="B2">
            <v>41000</v>
          </cell>
        </row>
      </sheetData>
      <sheetData sheetId="808">
        <row r="1">
          <cell r="A1" t="str">
            <v>INSENTIVE SMD DAN SPG MONDELEZ TT NASIONAL PERIODE SEPTEMBER 2019</v>
          </cell>
        </row>
      </sheetData>
      <sheetData sheetId="809">
        <row r="2">
          <cell r="B2" t="str">
            <v>HI - Aerosol</v>
          </cell>
        </row>
      </sheetData>
      <sheetData sheetId="810">
        <row r="1">
          <cell r="A1" t="str">
            <v>INSENTIVE SMD DAN SPG MONDELEZ TT NASIONAL PERIODE SEPTEMBER 2019</v>
          </cell>
        </row>
      </sheetData>
      <sheetData sheetId="811">
        <row r="2">
          <cell r="B2" t="str">
            <v>HI - Aerosol</v>
          </cell>
        </row>
      </sheetData>
      <sheetData sheetId="812">
        <row r="2">
          <cell r="B2" t="str">
            <v>HI - Aerosol</v>
          </cell>
        </row>
      </sheetData>
      <sheetData sheetId="813">
        <row r="2">
          <cell r="B2">
            <v>41000</v>
          </cell>
        </row>
      </sheetData>
      <sheetData sheetId="814">
        <row r="2">
          <cell r="B2" t="str">
            <v>HI - Aerosol</v>
          </cell>
        </row>
      </sheetData>
      <sheetData sheetId="815">
        <row r="2">
          <cell r="B2">
            <v>41000</v>
          </cell>
        </row>
      </sheetData>
      <sheetData sheetId="816">
        <row r="2">
          <cell r="B2" t="str">
            <v>HI - Aerosol</v>
          </cell>
        </row>
      </sheetData>
      <sheetData sheetId="817">
        <row r="2">
          <cell r="B2">
            <v>41000</v>
          </cell>
        </row>
      </sheetData>
      <sheetData sheetId="818">
        <row r="2">
          <cell r="B2" t="str">
            <v>HI - Aerosol</v>
          </cell>
        </row>
      </sheetData>
      <sheetData sheetId="819">
        <row r="2">
          <cell r="B2">
            <v>41000</v>
          </cell>
        </row>
      </sheetData>
      <sheetData sheetId="820">
        <row r="1">
          <cell r="A1" t="str">
            <v>INSENTIVE SMD DAN SPG MONDELEZ TT NASIONAL PERIODE SEPTEMBER 2019</v>
          </cell>
        </row>
      </sheetData>
      <sheetData sheetId="821">
        <row r="2">
          <cell r="B2" t="str">
            <v>HI - Aerosol</v>
          </cell>
        </row>
      </sheetData>
      <sheetData sheetId="822">
        <row r="1">
          <cell r="A1" t="str">
            <v>INSENTIVE SMD DAN SPG MONDELEZ TT NASIONAL PERIODE SEPTEMBER 2019</v>
          </cell>
        </row>
      </sheetData>
      <sheetData sheetId="823">
        <row r="1">
          <cell r="A1" t="str">
            <v>INSENTIVE SMD DAN SPG MONDELEZ TT NASIONAL PERIODE SEPTEMBER 2019</v>
          </cell>
        </row>
      </sheetData>
      <sheetData sheetId="824">
        <row r="2">
          <cell r="B2" t="str">
            <v>EMG</v>
          </cell>
        </row>
      </sheetData>
      <sheetData sheetId="825">
        <row r="1">
          <cell r="A1" t="str">
            <v>INSENTIVE SMD DAN SPG MONDELEZ TT NASIONAL PERIODE SEPTEMBER 2019</v>
          </cell>
        </row>
      </sheetData>
      <sheetData sheetId="826" refreshError="1"/>
      <sheetData sheetId="827">
        <row r="1">
          <cell r="A1" t="str">
            <v>INSENTIVE SMD DAN SPG MONDELEZ TT NASIONAL PERIODE SEPTEMBER 2019</v>
          </cell>
        </row>
      </sheetData>
      <sheetData sheetId="828">
        <row r="2">
          <cell r="B2" t="str">
            <v>HI - Aerosol</v>
          </cell>
        </row>
      </sheetData>
      <sheetData sheetId="829">
        <row r="2">
          <cell r="B2">
            <v>41000</v>
          </cell>
        </row>
      </sheetData>
      <sheetData sheetId="830">
        <row r="2">
          <cell r="B2" t="str">
            <v>HI - Aerosol</v>
          </cell>
        </row>
      </sheetData>
      <sheetData sheetId="831">
        <row r="2">
          <cell r="B2" t="str">
            <v>HI - Aerosol</v>
          </cell>
        </row>
      </sheetData>
      <sheetData sheetId="832">
        <row r="1">
          <cell r="A1" t="str">
            <v>INSENTIVE SMD DAN SPG MONDELEZ TT NASIONAL PERIODE SEPTEMBER 2019</v>
          </cell>
        </row>
      </sheetData>
      <sheetData sheetId="833">
        <row r="2">
          <cell r="B2" t="str">
            <v>HI - Aerosol</v>
          </cell>
        </row>
      </sheetData>
      <sheetData sheetId="834">
        <row r="2">
          <cell r="B2">
            <v>41000</v>
          </cell>
        </row>
      </sheetData>
      <sheetData sheetId="835">
        <row r="1">
          <cell r="A1" t="str">
            <v>INSENTIVE SMD DAN SPG MONDELEZ TT NASIONAL PERIODE SEPTEMBER 2019</v>
          </cell>
        </row>
      </sheetData>
      <sheetData sheetId="836">
        <row r="2">
          <cell r="B2">
            <v>41000</v>
          </cell>
        </row>
      </sheetData>
      <sheetData sheetId="837">
        <row r="2">
          <cell r="B2" t="str">
            <v>HI - Aerosol</v>
          </cell>
        </row>
      </sheetData>
      <sheetData sheetId="838">
        <row r="2">
          <cell r="B2">
            <v>41000</v>
          </cell>
        </row>
      </sheetData>
      <sheetData sheetId="839">
        <row r="2">
          <cell r="B2">
            <v>41000</v>
          </cell>
        </row>
      </sheetData>
      <sheetData sheetId="840">
        <row r="2">
          <cell r="B2">
            <v>41000</v>
          </cell>
        </row>
      </sheetData>
      <sheetData sheetId="841">
        <row r="2">
          <cell r="B2">
            <v>41000</v>
          </cell>
        </row>
      </sheetData>
      <sheetData sheetId="842">
        <row r="2">
          <cell r="B2">
            <v>41000</v>
          </cell>
        </row>
      </sheetData>
      <sheetData sheetId="843">
        <row r="2">
          <cell r="B2" t="str">
            <v>HI - Aerosol</v>
          </cell>
        </row>
      </sheetData>
      <sheetData sheetId="844">
        <row r="2">
          <cell r="B2">
            <v>41000</v>
          </cell>
        </row>
      </sheetData>
      <sheetData sheetId="845">
        <row r="2">
          <cell r="B2" t="str">
            <v>HI - Aerosol</v>
          </cell>
        </row>
      </sheetData>
      <sheetData sheetId="846">
        <row r="2">
          <cell r="B2">
            <v>0</v>
          </cell>
        </row>
      </sheetData>
      <sheetData sheetId="847">
        <row r="1">
          <cell r="A1" t="str">
            <v>INSENTIVE SMD DAN SPG MONDELEZ TT NASIONAL PERIODE SEPTEMBER 2019</v>
          </cell>
        </row>
      </sheetData>
      <sheetData sheetId="848">
        <row r="2">
          <cell r="B2" t="str">
            <v>EMG</v>
          </cell>
        </row>
      </sheetData>
      <sheetData sheetId="849">
        <row r="1">
          <cell r="A1" t="str">
            <v>INSENTIVE SMD DAN SPG MONDELEZ TT NASIONAL PERIODE SEPTEMBER 2019</v>
          </cell>
        </row>
      </sheetData>
      <sheetData sheetId="850">
        <row r="2">
          <cell r="B2">
            <v>0</v>
          </cell>
        </row>
      </sheetData>
      <sheetData sheetId="851">
        <row r="1">
          <cell r="A1" t="str">
            <v>INSENTIVE SMD DAN SPG MONDELEZ TT NASIONAL PERIODE SEPTEMBER 2019</v>
          </cell>
        </row>
      </sheetData>
      <sheetData sheetId="852">
        <row r="2">
          <cell r="B2">
            <v>0</v>
          </cell>
        </row>
      </sheetData>
      <sheetData sheetId="853">
        <row r="2">
          <cell r="B2">
            <v>0</v>
          </cell>
        </row>
      </sheetData>
      <sheetData sheetId="854">
        <row r="2">
          <cell r="B2">
            <v>0</v>
          </cell>
        </row>
      </sheetData>
      <sheetData sheetId="855">
        <row r="2">
          <cell r="B2">
            <v>0</v>
          </cell>
        </row>
      </sheetData>
      <sheetData sheetId="856">
        <row r="2">
          <cell r="B2">
            <v>41000</v>
          </cell>
        </row>
      </sheetData>
      <sheetData sheetId="857">
        <row r="2">
          <cell r="B2" t="str">
            <v>HI - Aerosol</v>
          </cell>
        </row>
      </sheetData>
      <sheetData sheetId="858">
        <row r="2">
          <cell r="B2">
            <v>0</v>
          </cell>
        </row>
      </sheetData>
      <sheetData sheetId="859">
        <row r="1">
          <cell r="A1" t="str">
            <v>INSENTIVE SMD DAN SPG MONDELEZ TT NASIONAL PERIODE SEPTEMBER 2019</v>
          </cell>
        </row>
      </sheetData>
      <sheetData sheetId="860">
        <row r="2">
          <cell r="B2" t="str">
            <v>EMG</v>
          </cell>
        </row>
      </sheetData>
      <sheetData sheetId="861">
        <row r="1">
          <cell r="A1" t="str">
            <v>INSENTIVE SMD DAN SPG MONDELEZ TT NASIONAL PERIODE SEPTEMBER 2019</v>
          </cell>
        </row>
      </sheetData>
      <sheetData sheetId="862">
        <row r="2">
          <cell r="B2">
            <v>0</v>
          </cell>
        </row>
      </sheetData>
      <sheetData sheetId="863">
        <row r="1">
          <cell r="A1" t="str">
            <v>INSENTIVE SMD DAN SPG MONDELEZ TT NASIONAL PERIODE SEPTEMBER 2019</v>
          </cell>
        </row>
      </sheetData>
      <sheetData sheetId="864">
        <row r="2">
          <cell r="B2">
            <v>0</v>
          </cell>
        </row>
      </sheetData>
      <sheetData sheetId="865">
        <row r="2">
          <cell r="B2">
            <v>0</v>
          </cell>
        </row>
      </sheetData>
      <sheetData sheetId="866">
        <row r="2">
          <cell r="B2">
            <v>41000</v>
          </cell>
        </row>
      </sheetData>
      <sheetData sheetId="867">
        <row r="2">
          <cell r="B2">
            <v>0</v>
          </cell>
        </row>
      </sheetData>
      <sheetData sheetId="868">
        <row r="2">
          <cell r="B2">
            <v>41000</v>
          </cell>
        </row>
      </sheetData>
      <sheetData sheetId="869">
        <row r="2">
          <cell r="B2" t="str">
            <v>HI - Aerosol</v>
          </cell>
        </row>
      </sheetData>
      <sheetData sheetId="870">
        <row r="2">
          <cell r="B2" t="str">
            <v>HI - Aerosol</v>
          </cell>
        </row>
      </sheetData>
      <sheetData sheetId="871">
        <row r="1">
          <cell r="A1" t="str">
            <v>INSENTIVE SMD DAN SPG MONDELEZ TT NASIONAL PERIODE SEPTEMBER 2019</v>
          </cell>
        </row>
      </sheetData>
      <sheetData sheetId="872">
        <row r="2">
          <cell r="B2" t="str">
            <v>HI - Aerosol</v>
          </cell>
        </row>
      </sheetData>
      <sheetData sheetId="873">
        <row r="1">
          <cell r="A1" t="str">
            <v>INSENTIVE SMD DAN SPG MONDELEZ TT NASIONAL PERIODE SEPTEMBER 2019</v>
          </cell>
        </row>
      </sheetData>
      <sheetData sheetId="874">
        <row r="2">
          <cell r="B2" t="str">
            <v>HI - Aerosol</v>
          </cell>
        </row>
      </sheetData>
      <sheetData sheetId="875">
        <row r="2">
          <cell r="B2">
            <v>41000</v>
          </cell>
        </row>
      </sheetData>
      <sheetData sheetId="876">
        <row r="2">
          <cell r="B2" t="str">
            <v>HI - Aerosol</v>
          </cell>
        </row>
      </sheetData>
      <sheetData sheetId="877">
        <row r="2">
          <cell r="B2">
            <v>0</v>
          </cell>
        </row>
      </sheetData>
      <sheetData sheetId="878">
        <row r="3">
          <cell r="B3">
            <v>128.91988638461203</v>
          </cell>
        </row>
      </sheetData>
      <sheetData sheetId="879">
        <row r="4">
          <cell r="B4">
            <v>226436708441</v>
          </cell>
        </row>
      </sheetData>
      <sheetData sheetId="880">
        <row r="2">
          <cell r="B2">
            <v>41000</v>
          </cell>
        </row>
      </sheetData>
      <sheetData sheetId="881">
        <row r="2">
          <cell r="B2">
            <v>41000</v>
          </cell>
        </row>
      </sheetData>
      <sheetData sheetId="882">
        <row r="3">
          <cell r="V3">
            <v>2295.1302524210005</v>
          </cell>
        </row>
      </sheetData>
      <sheetData sheetId="883">
        <row r="2">
          <cell r="B2">
            <v>41000</v>
          </cell>
        </row>
      </sheetData>
      <sheetData sheetId="884">
        <row r="2">
          <cell r="B2" t="str">
            <v>HI - Aerosol</v>
          </cell>
        </row>
      </sheetData>
      <sheetData sheetId="885">
        <row r="2">
          <cell r="B2">
            <v>41000</v>
          </cell>
        </row>
      </sheetData>
      <sheetData sheetId="886">
        <row r="1">
          <cell r="A1" t="str">
            <v>INSENTIVE SMD DAN SPG MONDELEZ TT NASIONAL PERIODE SEPTEMBER 2019</v>
          </cell>
        </row>
      </sheetData>
      <sheetData sheetId="887">
        <row r="2">
          <cell r="B2">
            <v>0</v>
          </cell>
        </row>
      </sheetData>
      <sheetData sheetId="888">
        <row r="1">
          <cell r="A1" t="str">
            <v>INSENTIVE SMD DAN SPG MONDELEZ TT NASIONAL PERIODE SEPTEMBER 2019</v>
          </cell>
        </row>
      </sheetData>
      <sheetData sheetId="889">
        <row r="2">
          <cell r="B2" t="str">
            <v>EMG</v>
          </cell>
        </row>
      </sheetData>
      <sheetData sheetId="890">
        <row r="1">
          <cell r="A1" t="str">
            <v>INSENTIVE SMD DAN SPG MONDELEZ TT NASIONAL PERIODE SEPTEMBER 2019</v>
          </cell>
        </row>
      </sheetData>
      <sheetData sheetId="891">
        <row r="2">
          <cell r="B2">
            <v>0</v>
          </cell>
        </row>
      </sheetData>
      <sheetData sheetId="892">
        <row r="2">
          <cell r="B2">
            <v>0</v>
          </cell>
        </row>
      </sheetData>
      <sheetData sheetId="893">
        <row r="2">
          <cell r="B2">
            <v>0</v>
          </cell>
        </row>
      </sheetData>
      <sheetData sheetId="894">
        <row r="2">
          <cell r="B2">
            <v>0</v>
          </cell>
        </row>
      </sheetData>
      <sheetData sheetId="895">
        <row r="2">
          <cell r="B2">
            <v>41000</v>
          </cell>
        </row>
      </sheetData>
      <sheetData sheetId="896">
        <row r="12">
          <cell r="A12">
            <v>40188</v>
          </cell>
        </row>
      </sheetData>
      <sheetData sheetId="897">
        <row r="2">
          <cell r="B2">
            <v>41000</v>
          </cell>
        </row>
      </sheetData>
      <sheetData sheetId="898">
        <row r="1">
          <cell r="A1" t="str">
            <v>INSENTIVE SMD DAN SPG MONDELEZ TT NASIONAL PERIODE SEPTEMBER 2019</v>
          </cell>
        </row>
      </sheetData>
      <sheetData sheetId="899">
        <row r="2">
          <cell r="B2">
            <v>0</v>
          </cell>
        </row>
      </sheetData>
      <sheetData sheetId="900">
        <row r="1">
          <cell r="A1" t="str">
            <v>INSENTIVE SMD DAN SPG MONDELEZ TT NASIONAL PERIODE SEPTEMBER 2019</v>
          </cell>
        </row>
      </sheetData>
      <sheetData sheetId="901">
        <row r="2">
          <cell r="B2" t="str">
            <v>EMG</v>
          </cell>
        </row>
      </sheetData>
      <sheetData sheetId="902">
        <row r="1">
          <cell r="A1" t="str">
            <v>INSENTIVE SMD DAN SPG MONDELEZ TT NASIONAL PERIODE SEPTEMBER 2019</v>
          </cell>
        </row>
      </sheetData>
      <sheetData sheetId="903">
        <row r="2">
          <cell r="B2">
            <v>0</v>
          </cell>
        </row>
      </sheetData>
      <sheetData sheetId="904">
        <row r="2">
          <cell r="B2">
            <v>0</v>
          </cell>
        </row>
      </sheetData>
      <sheetData sheetId="905">
        <row r="2">
          <cell r="B2">
            <v>0</v>
          </cell>
        </row>
      </sheetData>
      <sheetData sheetId="906">
        <row r="2">
          <cell r="B2">
            <v>0</v>
          </cell>
        </row>
      </sheetData>
      <sheetData sheetId="907">
        <row r="3">
          <cell r="B3">
            <v>128.91988638461203</v>
          </cell>
        </row>
      </sheetData>
      <sheetData sheetId="908">
        <row r="12">
          <cell r="A12">
            <v>40188</v>
          </cell>
        </row>
      </sheetData>
      <sheetData sheetId="909">
        <row r="2">
          <cell r="B2">
            <v>41000</v>
          </cell>
        </row>
      </sheetData>
      <sheetData sheetId="910">
        <row r="12">
          <cell r="A12">
            <v>40188</v>
          </cell>
        </row>
      </sheetData>
      <sheetData sheetId="911">
        <row r="2">
          <cell r="B2">
            <v>0</v>
          </cell>
        </row>
      </sheetData>
      <sheetData sheetId="912">
        <row r="1">
          <cell r="A1" t="str">
            <v>INSENTIVE SMD DAN SPG MONDELEZ TT NASIONAL PERIODE SEPTEMBER 2019</v>
          </cell>
        </row>
      </sheetData>
      <sheetData sheetId="913">
        <row r="2">
          <cell r="B2" t="str">
            <v>EMG</v>
          </cell>
        </row>
      </sheetData>
      <sheetData sheetId="914">
        <row r="2">
          <cell r="B2">
            <v>41000</v>
          </cell>
        </row>
      </sheetData>
      <sheetData sheetId="915">
        <row r="2">
          <cell r="B2">
            <v>0</v>
          </cell>
        </row>
      </sheetData>
      <sheetData sheetId="916">
        <row r="2">
          <cell r="B2">
            <v>0</v>
          </cell>
        </row>
      </sheetData>
      <sheetData sheetId="917">
        <row r="5">
          <cell r="B5">
            <v>130401383318</v>
          </cell>
        </row>
      </sheetData>
      <sheetData sheetId="918">
        <row r="4">
          <cell r="B4">
            <v>226436708441</v>
          </cell>
        </row>
      </sheetData>
      <sheetData sheetId="919">
        <row r="12">
          <cell r="A12">
            <v>40188</v>
          </cell>
        </row>
      </sheetData>
      <sheetData sheetId="920">
        <row r="12">
          <cell r="A12">
            <v>40188</v>
          </cell>
        </row>
      </sheetData>
      <sheetData sheetId="921">
        <row r="12">
          <cell r="A12">
            <v>40188</v>
          </cell>
        </row>
      </sheetData>
      <sheetData sheetId="922">
        <row r="12">
          <cell r="A12">
            <v>40188</v>
          </cell>
        </row>
      </sheetData>
      <sheetData sheetId="923">
        <row r="12">
          <cell r="A12">
            <v>40188</v>
          </cell>
        </row>
      </sheetData>
      <sheetData sheetId="924">
        <row r="3">
          <cell r="C3" t="str">
            <v>16 Desember s.d 31 Desember 2021</v>
          </cell>
        </row>
      </sheetData>
      <sheetData sheetId="925">
        <row r="12">
          <cell r="A12">
            <v>40188</v>
          </cell>
        </row>
      </sheetData>
      <sheetData sheetId="926">
        <row r="3">
          <cell r="C3" t="str">
            <v>16 Desember s.d 31 Desember 2021</v>
          </cell>
        </row>
      </sheetData>
      <sheetData sheetId="927">
        <row r="3">
          <cell r="C3" t="str">
            <v>16 Desember s.d 31 Desember 2021</v>
          </cell>
        </row>
      </sheetData>
      <sheetData sheetId="928">
        <row r="3">
          <cell r="C3" t="str">
            <v>16 Desember s.d 31 Desember 2021</v>
          </cell>
        </row>
      </sheetData>
      <sheetData sheetId="929">
        <row r="3">
          <cell r="C3" t="str">
            <v>16 Desember s.d 31 Desember 2021</v>
          </cell>
        </row>
      </sheetData>
      <sheetData sheetId="930">
        <row r="12">
          <cell r="A12">
            <v>40188</v>
          </cell>
        </row>
      </sheetData>
      <sheetData sheetId="931">
        <row r="3">
          <cell r="C3" t="str">
            <v>16 Desember s.d 31 Desember 2021</v>
          </cell>
        </row>
      </sheetData>
      <sheetData sheetId="932">
        <row r="12">
          <cell r="A12">
            <v>40188</v>
          </cell>
        </row>
      </sheetData>
      <sheetData sheetId="933">
        <row r="12">
          <cell r="A12">
            <v>40188</v>
          </cell>
        </row>
      </sheetData>
      <sheetData sheetId="934">
        <row r="12">
          <cell r="A12">
            <v>40188</v>
          </cell>
        </row>
      </sheetData>
      <sheetData sheetId="935">
        <row r="12">
          <cell r="A12">
            <v>40188</v>
          </cell>
        </row>
      </sheetData>
      <sheetData sheetId="936">
        <row r="3">
          <cell r="C3" t="str">
            <v>16 Desember s.d 31 Desember 2021</v>
          </cell>
        </row>
      </sheetData>
      <sheetData sheetId="937">
        <row r="12">
          <cell r="A12">
            <v>40188</v>
          </cell>
        </row>
      </sheetData>
      <sheetData sheetId="938">
        <row r="3">
          <cell r="C3" t="str">
            <v>16 Desember s.d 31 Desember 2021</v>
          </cell>
        </row>
      </sheetData>
      <sheetData sheetId="939">
        <row r="3">
          <cell r="C3" t="str">
            <v>16 Desember s.d 31 Desember 2021</v>
          </cell>
        </row>
      </sheetData>
      <sheetData sheetId="940">
        <row r="12">
          <cell r="A12">
            <v>40188</v>
          </cell>
        </row>
      </sheetData>
      <sheetData sheetId="941">
        <row r="12">
          <cell r="A12">
            <v>40188</v>
          </cell>
        </row>
      </sheetData>
      <sheetData sheetId="942">
        <row r="12">
          <cell r="A12">
            <v>40188</v>
          </cell>
        </row>
      </sheetData>
      <sheetData sheetId="943">
        <row r="12">
          <cell r="A12">
            <v>40188</v>
          </cell>
        </row>
      </sheetData>
      <sheetData sheetId="944">
        <row r="12">
          <cell r="A12">
            <v>40188</v>
          </cell>
        </row>
      </sheetData>
      <sheetData sheetId="945">
        <row r="12">
          <cell r="A12">
            <v>40188</v>
          </cell>
        </row>
      </sheetData>
      <sheetData sheetId="946">
        <row r="12">
          <cell r="A12">
            <v>40188</v>
          </cell>
        </row>
      </sheetData>
      <sheetData sheetId="947">
        <row r="12">
          <cell r="A12">
            <v>40188</v>
          </cell>
        </row>
      </sheetData>
      <sheetData sheetId="948">
        <row r="12">
          <cell r="A12">
            <v>40188</v>
          </cell>
        </row>
      </sheetData>
      <sheetData sheetId="949">
        <row r="12">
          <cell r="A12">
            <v>40188</v>
          </cell>
        </row>
      </sheetData>
      <sheetData sheetId="950">
        <row r="12">
          <cell r="A12">
            <v>40188</v>
          </cell>
        </row>
      </sheetData>
      <sheetData sheetId="951">
        <row r="3">
          <cell r="C3" t="str">
            <v>16 Desember s.d 31 Desember 2021</v>
          </cell>
        </row>
      </sheetData>
      <sheetData sheetId="952">
        <row r="12">
          <cell r="A12">
            <v>40188</v>
          </cell>
        </row>
      </sheetData>
      <sheetData sheetId="953">
        <row r="3">
          <cell r="C3" t="str">
            <v>16 Desember s.d 31 Desember 2021</v>
          </cell>
        </row>
      </sheetData>
      <sheetData sheetId="954">
        <row r="12">
          <cell r="A12">
            <v>40188</v>
          </cell>
        </row>
      </sheetData>
      <sheetData sheetId="955">
        <row r="2">
          <cell r="B2" t="str">
            <v>HI - Aerosol</v>
          </cell>
        </row>
      </sheetData>
      <sheetData sheetId="956">
        <row r="12">
          <cell r="A12">
            <v>40188</v>
          </cell>
        </row>
      </sheetData>
      <sheetData sheetId="957">
        <row r="12">
          <cell r="A12">
            <v>40188</v>
          </cell>
        </row>
      </sheetData>
      <sheetData sheetId="958">
        <row r="12">
          <cell r="A12">
            <v>40188</v>
          </cell>
        </row>
      </sheetData>
      <sheetData sheetId="959">
        <row r="3">
          <cell r="B3">
            <v>128.91988638461203</v>
          </cell>
        </row>
      </sheetData>
      <sheetData sheetId="960">
        <row r="12">
          <cell r="A12">
            <v>40188</v>
          </cell>
        </row>
      </sheetData>
      <sheetData sheetId="961">
        <row r="3">
          <cell r="V3">
            <v>2295.1302524210005</v>
          </cell>
        </row>
      </sheetData>
      <sheetData sheetId="962">
        <row r="12">
          <cell r="A12">
            <v>40188</v>
          </cell>
        </row>
      </sheetData>
      <sheetData sheetId="963">
        <row r="3">
          <cell r="C3" t="str">
            <v>16 Desember s.d 31 Desember 2021</v>
          </cell>
        </row>
      </sheetData>
      <sheetData sheetId="964">
        <row r="12">
          <cell r="A12">
            <v>40188</v>
          </cell>
        </row>
      </sheetData>
      <sheetData sheetId="965">
        <row r="3">
          <cell r="C3" t="str">
            <v>16 Desember s.d 31 Desember 2021</v>
          </cell>
        </row>
      </sheetData>
      <sheetData sheetId="966">
        <row r="2">
          <cell r="B2">
            <v>41000</v>
          </cell>
        </row>
      </sheetData>
      <sheetData sheetId="967">
        <row r="2">
          <cell r="B2" t="str">
            <v>HI - Aerosol</v>
          </cell>
        </row>
      </sheetData>
      <sheetData sheetId="968">
        <row r="12">
          <cell r="A12">
            <v>40188</v>
          </cell>
        </row>
      </sheetData>
      <sheetData sheetId="969">
        <row r="5">
          <cell r="B5">
            <v>130401383318</v>
          </cell>
        </row>
      </sheetData>
      <sheetData sheetId="970">
        <row r="4">
          <cell r="B4">
            <v>226436708441</v>
          </cell>
        </row>
      </sheetData>
      <sheetData sheetId="971">
        <row r="3">
          <cell r="B3">
            <v>128.91988638461203</v>
          </cell>
        </row>
      </sheetData>
      <sheetData sheetId="972">
        <row r="12">
          <cell r="A12">
            <v>40188</v>
          </cell>
        </row>
      </sheetData>
      <sheetData sheetId="973">
        <row r="2">
          <cell r="B2" t="str">
            <v>HI - Aerosol</v>
          </cell>
        </row>
      </sheetData>
      <sheetData sheetId="974">
        <row r="12">
          <cell r="A12">
            <v>40188</v>
          </cell>
        </row>
      </sheetData>
      <sheetData sheetId="975">
        <row r="2">
          <cell r="B2" t="str">
            <v>HI - Aerosol</v>
          </cell>
        </row>
      </sheetData>
      <sheetData sheetId="976">
        <row r="12">
          <cell r="A12">
            <v>40188</v>
          </cell>
        </row>
      </sheetData>
      <sheetData sheetId="977">
        <row r="2">
          <cell r="B2" t="str">
            <v>HI - Aerosol</v>
          </cell>
        </row>
      </sheetData>
      <sheetData sheetId="978">
        <row r="2">
          <cell r="B2">
            <v>41000</v>
          </cell>
        </row>
      </sheetData>
      <sheetData sheetId="979">
        <row r="3">
          <cell r="B3">
            <v>128.91988638461203</v>
          </cell>
        </row>
      </sheetData>
      <sheetData sheetId="980">
        <row r="12">
          <cell r="A12">
            <v>40188</v>
          </cell>
        </row>
      </sheetData>
      <sheetData sheetId="981">
        <row r="3">
          <cell r="B3">
            <v>128.91988638461203</v>
          </cell>
        </row>
      </sheetData>
      <sheetData sheetId="982">
        <row r="4">
          <cell r="B4">
            <v>226436708441</v>
          </cell>
        </row>
      </sheetData>
      <sheetData sheetId="983">
        <row r="3">
          <cell r="V3">
            <v>2295.1302524210005</v>
          </cell>
        </row>
      </sheetData>
      <sheetData sheetId="984">
        <row r="2">
          <cell r="B2">
            <v>41000</v>
          </cell>
        </row>
      </sheetData>
      <sheetData sheetId="985">
        <row r="2">
          <cell r="B2" t="str">
            <v>HI - Aerosol</v>
          </cell>
        </row>
      </sheetData>
      <sheetData sheetId="986">
        <row r="2">
          <cell r="B2">
            <v>41000</v>
          </cell>
        </row>
      </sheetData>
      <sheetData sheetId="987">
        <row r="2">
          <cell r="B2" t="str">
            <v>HI - Aerosol</v>
          </cell>
        </row>
      </sheetData>
      <sheetData sheetId="988">
        <row r="2">
          <cell r="B2" t="str">
            <v>HI - Aerosol</v>
          </cell>
        </row>
      </sheetData>
      <sheetData sheetId="989">
        <row r="2">
          <cell r="B2" t="str">
            <v>HI - Aerosol</v>
          </cell>
        </row>
      </sheetData>
      <sheetData sheetId="990">
        <row r="2">
          <cell r="B2" t="str">
            <v>HI - Aerosol</v>
          </cell>
        </row>
      </sheetData>
      <sheetData sheetId="991">
        <row r="3">
          <cell r="B3">
            <v>128.91988638461203</v>
          </cell>
        </row>
      </sheetData>
      <sheetData sheetId="992">
        <row r="2">
          <cell r="B2" t="str">
            <v>HI - Aerosol</v>
          </cell>
        </row>
      </sheetData>
      <sheetData sheetId="993">
        <row r="3">
          <cell r="B3">
            <v>128.91988638461203</v>
          </cell>
        </row>
      </sheetData>
      <sheetData sheetId="994">
        <row r="2">
          <cell r="B2" t="str">
            <v>HI - Aerosol</v>
          </cell>
        </row>
      </sheetData>
      <sheetData sheetId="995">
        <row r="3">
          <cell r="V3">
            <v>2295.1302524210005</v>
          </cell>
        </row>
      </sheetData>
      <sheetData sheetId="996">
        <row r="2">
          <cell r="B2">
            <v>41000</v>
          </cell>
        </row>
      </sheetData>
      <sheetData sheetId="997">
        <row r="2">
          <cell r="B2" t="str">
            <v>HI - Aerosol</v>
          </cell>
        </row>
      </sheetData>
      <sheetData sheetId="998">
        <row r="2">
          <cell r="B2">
            <v>41000</v>
          </cell>
        </row>
      </sheetData>
      <sheetData sheetId="999">
        <row r="2">
          <cell r="B2">
            <v>41000</v>
          </cell>
        </row>
      </sheetData>
      <sheetData sheetId="1000">
        <row r="2">
          <cell r="B2" t="str">
            <v>HI - Aerosol</v>
          </cell>
        </row>
      </sheetData>
      <sheetData sheetId="1001">
        <row r="2">
          <cell r="B2">
            <v>41000</v>
          </cell>
        </row>
      </sheetData>
      <sheetData sheetId="1002">
        <row r="3">
          <cell r="B3">
            <v>128.91988638461203</v>
          </cell>
        </row>
      </sheetData>
      <sheetData sheetId="1003">
        <row r="2">
          <cell r="B2">
            <v>41000</v>
          </cell>
        </row>
      </sheetData>
      <sheetData sheetId="1004">
        <row r="2">
          <cell r="B2">
            <v>41000</v>
          </cell>
        </row>
      </sheetData>
      <sheetData sheetId="1005">
        <row r="2">
          <cell r="B2">
            <v>41000</v>
          </cell>
        </row>
      </sheetData>
      <sheetData sheetId="1006">
        <row r="2">
          <cell r="B2">
            <v>41000</v>
          </cell>
        </row>
      </sheetData>
      <sheetData sheetId="1007">
        <row r="2">
          <cell r="B2" t="str">
            <v>HI - Aerosol</v>
          </cell>
        </row>
      </sheetData>
      <sheetData sheetId="1008">
        <row r="4">
          <cell r="B4">
            <v>226436708441</v>
          </cell>
        </row>
      </sheetData>
      <sheetData sheetId="1009">
        <row r="2">
          <cell r="B2" t="str">
            <v>HI - Aerosol</v>
          </cell>
        </row>
      </sheetData>
      <sheetData sheetId="1010">
        <row r="2">
          <cell r="B2" t="str">
            <v>HI - Aerosol</v>
          </cell>
        </row>
      </sheetData>
      <sheetData sheetId="1011">
        <row r="2">
          <cell r="B2">
            <v>41000</v>
          </cell>
        </row>
      </sheetData>
      <sheetData sheetId="1012">
        <row r="2">
          <cell r="B2" t="str">
            <v>HI - Aerosol</v>
          </cell>
        </row>
      </sheetData>
      <sheetData sheetId="1013">
        <row r="3">
          <cell r="B3">
            <v>128.91988638461203</v>
          </cell>
        </row>
      </sheetData>
      <sheetData sheetId="1014">
        <row r="2">
          <cell r="B2" t="str">
            <v>HI - Aerosol</v>
          </cell>
        </row>
      </sheetData>
      <sheetData sheetId="1015">
        <row r="2">
          <cell r="B2" t="str">
            <v>HI - Aerosol</v>
          </cell>
        </row>
      </sheetData>
      <sheetData sheetId="1016">
        <row r="2">
          <cell r="B2" t="str">
            <v>HI - Aerosol</v>
          </cell>
        </row>
      </sheetData>
      <sheetData sheetId="1017">
        <row r="2">
          <cell r="B2">
            <v>41000</v>
          </cell>
        </row>
      </sheetData>
      <sheetData sheetId="1018">
        <row r="2">
          <cell r="B2">
            <v>41000</v>
          </cell>
        </row>
      </sheetData>
      <sheetData sheetId="1019">
        <row r="2">
          <cell r="B2" t="str">
            <v>HI - Aerosol</v>
          </cell>
        </row>
      </sheetData>
      <sheetData sheetId="1020">
        <row r="2">
          <cell r="B2" t="str">
            <v>HI - Aerosol</v>
          </cell>
        </row>
      </sheetData>
      <sheetData sheetId="1021">
        <row r="3">
          <cell r="B3">
            <v>128.91988638461203</v>
          </cell>
        </row>
      </sheetData>
      <sheetData sheetId="1022">
        <row r="2">
          <cell r="B2" t="str">
            <v>HI - Aerosol</v>
          </cell>
        </row>
      </sheetData>
      <sheetData sheetId="1023">
        <row r="2">
          <cell r="B2">
            <v>41000</v>
          </cell>
        </row>
      </sheetData>
      <sheetData sheetId="1024">
        <row r="2">
          <cell r="B2" t="str">
            <v>HI - Aerosol</v>
          </cell>
        </row>
      </sheetData>
      <sheetData sheetId="1025">
        <row r="2">
          <cell r="B2">
            <v>41000</v>
          </cell>
        </row>
      </sheetData>
      <sheetData sheetId="1026">
        <row r="2">
          <cell r="B2" t="str">
            <v>HI - Aerosol</v>
          </cell>
        </row>
      </sheetData>
      <sheetData sheetId="1027">
        <row r="2">
          <cell r="B2">
            <v>41000</v>
          </cell>
        </row>
      </sheetData>
      <sheetData sheetId="1028">
        <row r="2">
          <cell r="B2" t="str">
            <v>HI - Aerosol</v>
          </cell>
        </row>
      </sheetData>
      <sheetData sheetId="1029">
        <row r="2">
          <cell r="B2" t="str">
            <v>HI - Aerosol</v>
          </cell>
        </row>
      </sheetData>
      <sheetData sheetId="1030">
        <row r="2">
          <cell r="B2" t="str">
            <v>HI - Aerosol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>
        <row r="2">
          <cell r="B2" t="str">
            <v>HI - Aerosol</v>
          </cell>
        </row>
      </sheetData>
      <sheetData sheetId="1037">
        <row r="2">
          <cell r="B2" t="str">
            <v>HI - Aerosol</v>
          </cell>
        </row>
      </sheetData>
      <sheetData sheetId="1038">
        <row r="2">
          <cell r="B2" t="str">
            <v>HI - Aerosol</v>
          </cell>
        </row>
      </sheetData>
      <sheetData sheetId="1039">
        <row r="2">
          <cell r="B2" t="str">
            <v>HI - Aerosol</v>
          </cell>
        </row>
      </sheetData>
      <sheetData sheetId="1040">
        <row r="2">
          <cell r="B2">
            <v>41000</v>
          </cell>
        </row>
      </sheetData>
      <sheetData sheetId="1041">
        <row r="2">
          <cell r="B2">
            <v>41000</v>
          </cell>
        </row>
      </sheetData>
      <sheetData sheetId="1042">
        <row r="2">
          <cell r="B2" t="str">
            <v>HI - Aerosol</v>
          </cell>
        </row>
      </sheetData>
      <sheetData sheetId="1043">
        <row r="2">
          <cell r="B2" t="str">
            <v>HI - Aerosol</v>
          </cell>
        </row>
      </sheetData>
      <sheetData sheetId="1044">
        <row r="2">
          <cell r="B2" t="str">
            <v>HI - Aerosol</v>
          </cell>
        </row>
      </sheetData>
      <sheetData sheetId="1045">
        <row r="2">
          <cell r="B2" t="str">
            <v>HI - Aerosol</v>
          </cell>
        </row>
      </sheetData>
      <sheetData sheetId="1046">
        <row r="2">
          <cell r="B2">
            <v>41000</v>
          </cell>
        </row>
      </sheetData>
      <sheetData sheetId="1047">
        <row r="2">
          <cell r="B2" t="str">
            <v>HI - Aerosol</v>
          </cell>
        </row>
      </sheetData>
      <sheetData sheetId="1048" refreshError="1"/>
      <sheetData sheetId="1049">
        <row r="2">
          <cell r="B2">
            <v>41000</v>
          </cell>
        </row>
      </sheetData>
      <sheetData sheetId="1050" refreshError="1"/>
      <sheetData sheetId="1051">
        <row r="2">
          <cell r="B2" t="str">
            <v>HI - Aerosol</v>
          </cell>
        </row>
      </sheetData>
      <sheetData sheetId="1052">
        <row r="2">
          <cell r="B2">
            <v>41000</v>
          </cell>
        </row>
      </sheetData>
      <sheetData sheetId="1053">
        <row r="2">
          <cell r="B2">
            <v>41000</v>
          </cell>
        </row>
      </sheetData>
      <sheetData sheetId="1054">
        <row r="2">
          <cell r="B2">
            <v>41000</v>
          </cell>
        </row>
      </sheetData>
      <sheetData sheetId="1055">
        <row r="2">
          <cell r="B2">
            <v>41000</v>
          </cell>
        </row>
      </sheetData>
      <sheetData sheetId="1056">
        <row r="2">
          <cell r="B2" t="str">
            <v>HI - Aerosol</v>
          </cell>
        </row>
      </sheetData>
      <sheetData sheetId="1057">
        <row r="2">
          <cell r="B2" t="str">
            <v>HI - Aerosol</v>
          </cell>
        </row>
      </sheetData>
      <sheetData sheetId="1058">
        <row r="2">
          <cell r="B2">
            <v>41000</v>
          </cell>
        </row>
      </sheetData>
      <sheetData sheetId="1059">
        <row r="2">
          <cell r="B2" t="str">
            <v>HI - Aerosol</v>
          </cell>
        </row>
      </sheetData>
      <sheetData sheetId="1060">
        <row r="2">
          <cell r="B2" t="str">
            <v>HI - Aerosol</v>
          </cell>
        </row>
      </sheetData>
      <sheetData sheetId="1061">
        <row r="2">
          <cell r="B2">
            <v>41000</v>
          </cell>
        </row>
      </sheetData>
      <sheetData sheetId="1062">
        <row r="2">
          <cell r="B2">
            <v>41000</v>
          </cell>
        </row>
      </sheetData>
      <sheetData sheetId="1063">
        <row r="2">
          <cell r="B2">
            <v>41000</v>
          </cell>
        </row>
      </sheetData>
      <sheetData sheetId="1064">
        <row r="2">
          <cell r="B2" t="str">
            <v>HI - Aerosol</v>
          </cell>
        </row>
      </sheetData>
      <sheetData sheetId="1065">
        <row r="2">
          <cell r="B2">
            <v>41000</v>
          </cell>
        </row>
      </sheetData>
      <sheetData sheetId="1066">
        <row r="2">
          <cell r="B2">
            <v>41000</v>
          </cell>
        </row>
      </sheetData>
      <sheetData sheetId="1067">
        <row r="2">
          <cell r="B2">
            <v>41000</v>
          </cell>
        </row>
      </sheetData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>
        <row r="1">
          <cell r="A1" t="str">
            <v>INSENTIVE SMD DAN SPG MONDELEZ TT NASIONAL PERIODE SEPTEMBER 2019</v>
          </cell>
        </row>
      </sheetData>
      <sheetData sheetId="1109">
        <row r="1">
          <cell r="A1" t="str">
            <v>INSENTIVE SMD DAN SPG MONDELEZ TT NASIONAL PERIODE SEPTEMBER 2019</v>
          </cell>
        </row>
      </sheetData>
      <sheetData sheetId="1110">
        <row r="2">
          <cell r="B2" t="str">
            <v>EMG</v>
          </cell>
        </row>
      </sheetData>
      <sheetData sheetId="1111">
        <row r="2">
          <cell r="A2" t="str">
            <v>Tahun : 2017</v>
          </cell>
        </row>
      </sheetData>
      <sheetData sheetId="1112">
        <row r="3">
          <cell r="V3">
            <v>2295.1302524210005</v>
          </cell>
        </row>
      </sheetData>
      <sheetData sheetId="1113">
        <row r="1">
          <cell r="A1" t="str">
            <v>INSENTIVE SMD DAN SPG MONDELEZ TT NASIONAL PERIODE SEPTEMBER 2019</v>
          </cell>
        </row>
      </sheetData>
      <sheetData sheetId="1114">
        <row r="2">
          <cell r="B2" t="str">
            <v>HI - Aerosol</v>
          </cell>
        </row>
      </sheetData>
      <sheetData sheetId="1115">
        <row r="2">
          <cell r="B2">
            <v>41000</v>
          </cell>
        </row>
      </sheetData>
      <sheetData sheetId="1116">
        <row r="2">
          <cell r="B2">
            <v>41000</v>
          </cell>
        </row>
      </sheetData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>
        <row r="1">
          <cell r="A1" t="str">
            <v>INSENTIVE SMD DAN SPG MONDELEZ TT NASIONAL PERIODE SEPTEMBER 2019</v>
          </cell>
        </row>
      </sheetData>
      <sheetData sheetId="1130">
        <row r="1">
          <cell r="A1" t="str">
            <v>INSENTIVE SMD DAN SPG MONDELEZ TT NASIONAL PERIODE SEPTEMBER 2019</v>
          </cell>
        </row>
      </sheetData>
      <sheetData sheetId="1131">
        <row r="1">
          <cell r="A1" t="str">
            <v>INSENTIVE SMD DAN SPG MONDELEZ TT NASIONAL PERIODE SEPTEMBER 2019</v>
          </cell>
        </row>
      </sheetData>
      <sheetData sheetId="1132">
        <row r="1">
          <cell r="A1" t="str">
            <v>REKAPITULASI PENYESUAIAN HONOR PT. INDO OJI SUKSES PRATAMA</v>
          </cell>
        </row>
      </sheetData>
      <sheetData sheetId="1133">
        <row r="1">
          <cell r="A1" t="str">
            <v>INSENTIVE SMD DAN SPG MONDELEZ TT NASIONAL PERIODE SEPTEMBER 2019</v>
          </cell>
        </row>
      </sheetData>
      <sheetData sheetId="1134">
        <row r="1">
          <cell r="A1" t="str">
            <v>REKAPITULASI PENYESUAIAN HONOR PT. OJI INDO MAKMUR PERKASA</v>
          </cell>
        </row>
      </sheetData>
      <sheetData sheetId="1135">
        <row r="1">
          <cell r="A1" t="str">
            <v>REKAPITULASI PENYESUAIAN HONOR PT. INDO OJI SUKSES PRATAMA</v>
          </cell>
        </row>
      </sheetData>
      <sheetData sheetId="1136">
        <row r="1">
          <cell r="A1" t="str">
            <v>REKAPITULASI PENYESUAIAN HONOR PT. INDO OJI SUKSES PRATAMA</v>
          </cell>
        </row>
      </sheetData>
      <sheetData sheetId="1137">
        <row r="1">
          <cell r="A1" t="str">
            <v>INSENTIVE SMD DAN SPG MONDELEZ TT NASIONAL PERIODE SEPTEMBER 2019</v>
          </cell>
        </row>
      </sheetData>
      <sheetData sheetId="1138">
        <row r="1">
          <cell r="A1" t="str">
            <v>INSENTIVE SMD DAN SPG MONDELEZ TT NASIONAL PERIODE SEPTEMBER 2019</v>
          </cell>
        </row>
      </sheetData>
      <sheetData sheetId="1139">
        <row r="1">
          <cell r="A1" t="str">
            <v>INSENTIVE SMD DAN SPG MONDELEZ TT NASIONAL PERIODE SEPTEMBER 2019</v>
          </cell>
        </row>
      </sheetData>
      <sheetData sheetId="1140">
        <row r="1">
          <cell r="A1" t="str">
            <v>INSENTIVE SMD DAN SPG MONDELEZ TT NASIONAL PERIODE SEPTEMBER 2019</v>
          </cell>
        </row>
      </sheetData>
      <sheetData sheetId="1141">
        <row r="1">
          <cell r="A1" t="str">
            <v>INSENTIVE SMD DAN SPG MONDELEZ TT NASIONAL PERIODE SEPTEMBER 2019</v>
          </cell>
        </row>
      </sheetData>
      <sheetData sheetId="1142">
        <row r="1">
          <cell r="A1" t="str">
            <v>REKAPITULASI PENYESUAIAN HONOR PT. OJI INDO MAKMUR PERKASA</v>
          </cell>
        </row>
      </sheetData>
      <sheetData sheetId="1143">
        <row r="1">
          <cell r="A1" t="str">
            <v>REKAPITULASI PENYESUAIAN HONOR PT. OJI INDO MAKMUR PERKASA</v>
          </cell>
        </row>
      </sheetData>
      <sheetData sheetId="1144">
        <row r="1">
          <cell r="A1" t="str">
            <v>REKAPITULASI PENYESUAIAN HONOR PT. INDO OJI SUKSES PRATAMA</v>
          </cell>
        </row>
      </sheetData>
      <sheetData sheetId="1145">
        <row r="1">
          <cell r="A1" t="str">
            <v>REKAPITULASI PENYESUAIAN HONOR PT. INDO OJI SUKSES PRATAMA</v>
          </cell>
        </row>
      </sheetData>
      <sheetData sheetId="1146">
        <row r="1">
          <cell r="A1" t="str">
            <v>INSENTIVE SMD DAN SPG MONDELEZ TT NASIONAL PERIODE SEPTEMBER 2019</v>
          </cell>
        </row>
      </sheetData>
      <sheetData sheetId="1147">
        <row r="1">
          <cell r="A1" t="str">
            <v>INSENTIVE SMD DAN SPG MONDELEZ TT NASIONAL PERIODE SEPTEMBER 2019</v>
          </cell>
        </row>
      </sheetData>
      <sheetData sheetId="1148">
        <row r="1">
          <cell r="A1" t="str">
            <v>INSENTIVE SMD DAN SPG MONDELEZ TT NASIONAL PERIODE SEPTEMBER 2019</v>
          </cell>
        </row>
      </sheetData>
      <sheetData sheetId="1149">
        <row r="1">
          <cell r="A1" t="str">
            <v>INSENTIVE SMD DAN SPG MONDELEZ TT NASIONAL PERIODE SEPTEMBER 2019</v>
          </cell>
        </row>
      </sheetData>
      <sheetData sheetId="1150">
        <row r="1">
          <cell r="A1" t="str">
            <v>REKAPITULASI PENYESUAIAN HONOR PT. OJI INDO MAKMUR PERKASA</v>
          </cell>
        </row>
      </sheetData>
      <sheetData sheetId="1151">
        <row r="1">
          <cell r="A1" t="str">
            <v>REKAPITULASI PENYESUAIAN HONOR PT. OJI INDO MAKMUR PERKASA</v>
          </cell>
        </row>
      </sheetData>
      <sheetData sheetId="1152">
        <row r="1">
          <cell r="A1" t="str">
            <v>REKAPITULASI PENYESUAIAN HONOR PT. INDO OJI SUKSES PRATAMA</v>
          </cell>
        </row>
      </sheetData>
      <sheetData sheetId="1153">
        <row r="1">
          <cell r="A1" t="str">
            <v>REKAPITULASI PENYESUAIAN HONOR PT. INDO OJI SUKSES PRATAMA</v>
          </cell>
        </row>
      </sheetData>
      <sheetData sheetId="1154">
        <row r="1">
          <cell r="A1" t="str">
            <v>INSENTIVE SMD DAN SPG MONDELEZ TT NASIONAL PERIODE SEPTEMBER 2019</v>
          </cell>
        </row>
      </sheetData>
      <sheetData sheetId="1155">
        <row r="1">
          <cell r="A1" t="str">
            <v>INSENTIVE SMD DAN SPG MONDELEZ TT NASIONAL PERIODE SEPTEMBER 2019</v>
          </cell>
        </row>
      </sheetData>
      <sheetData sheetId="1156">
        <row r="1">
          <cell r="A1" t="str">
            <v>INSENTIVE SMD DAN SPG MONDELEZ TT NASIONAL PERIODE SEPTEMBER 2019</v>
          </cell>
        </row>
      </sheetData>
      <sheetData sheetId="1157">
        <row r="1">
          <cell r="A1" t="str">
            <v>INSENTIVE SMD DAN SPG MONDELEZ TT NASIONAL PERIODE SEPTEMBER 2019</v>
          </cell>
        </row>
      </sheetData>
      <sheetData sheetId="1158">
        <row r="2">
          <cell r="B2" t="str">
            <v>EMG</v>
          </cell>
        </row>
      </sheetData>
      <sheetData sheetId="1159">
        <row r="2">
          <cell r="A2" t="str">
            <v>Tahun : 2017</v>
          </cell>
        </row>
      </sheetData>
      <sheetData sheetId="1160">
        <row r="8">
          <cell r="D8">
            <v>633085</v>
          </cell>
        </row>
      </sheetData>
      <sheetData sheetId="1161">
        <row r="1">
          <cell r="A1" t="str">
            <v>INSENTIVE SMD DAN SPG MONDELEZ TT NASIONAL PERIODE SEPTEMBER 2019</v>
          </cell>
        </row>
      </sheetData>
      <sheetData sheetId="1162">
        <row r="2">
          <cell r="B2" t="str">
            <v>EMG</v>
          </cell>
        </row>
      </sheetData>
      <sheetData sheetId="1163">
        <row r="2">
          <cell r="B2" t="str">
            <v>EMG</v>
          </cell>
        </row>
      </sheetData>
      <sheetData sheetId="1164">
        <row r="607">
          <cell r="O607">
            <v>90862716</v>
          </cell>
        </row>
      </sheetData>
      <sheetData sheetId="1165">
        <row r="8">
          <cell r="D8">
            <v>633085</v>
          </cell>
        </row>
      </sheetData>
      <sheetData sheetId="1166">
        <row r="230">
          <cell r="O230">
            <v>28258557</v>
          </cell>
        </row>
      </sheetData>
      <sheetData sheetId="1167">
        <row r="2">
          <cell r="B2">
            <v>0</v>
          </cell>
        </row>
      </sheetData>
      <sheetData sheetId="1168">
        <row r="1">
          <cell r="A1" t="str">
            <v>INSENTIVE SMD DAN SPG MONDELEZ TT NASIONAL PERIODE SEPTEMBER 2019</v>
          </cell>
        </row>
      </sheetData>
      <sheetData sheetId="1169">
        <row r="2">
          <cell r="B2">
            <v>0</v>
          </cell>
        </row>
      </sheetData>
      <sheetData sheetId="1170">
        <row r="1">
          <cell r="A1" t="str">
            <v>INSENTIVE SMD DAN SPG MONDELEZ TT NASIONAL PERIODE SEPTEMBER 2019</v>
          </cell>
        </row>
      </sheetData>
      <sheetData sheetId="1171">
        <row r="2">
          <cell r="B2">
            <v>0</v>
          </cell>
        </row>
      </sheetData>
      <sheetData sheetId="1172">
        <row r="2">
          <cell r="B2">
            <v>0</v>
          </cell>
        </row>
      </sheetData>
      <sheetData sheetId="1173">
        <row r="11">
          <cell r="AI11">
            <v>0</v>
          </cell>
        </row>
      </sheetData>
      <sheetData sheetId="1174">
        <row r="11">
          <cell r="AI11">
            <v>0</v>
          </cell>
        </row>
      </sheetData>
      <sheetData sheetId="1175">
        <row r="1">
          <cell r="A1" t="str">
            <v>INSENTIVE SMD DAN SPG MONDELEZ TT NASIONAL PERIODE SEPTEMBER 2019</v>
          </cell>
        </row>
      </sheetData>
      <sheetData sheetId="1176">
        <row r="1">
          <cell r="A1" t="str">
            <v>INSENTIVE SMD DAN SPG MONDELEZ TT NASIONAL PERIODE SEPTEMBER 2019</v>
          </cell>
        </row>
      </sheetData>
      <sheetData sheetId="1177">
        <row r="1">
          <cell r="A1" t="str">
            <v>REKAPITULASI PENYESUAIAN HONOR PT. OJI INDO MAKMUR PERKASA</v>
          </cell>
        </row>
      </sheetData>
      <sheetData sheetId="1178">
        <row r="1">
          <cell r="A1" t="str">
            <v>INSENTIVE SMD DAN SPG MONDELEZ TT NASIONAL PERIODE SEPTEMBER 2019</v>
          </cell>
        </row>
      </sheetData>
      <sheetData sheetId="1179">
        <row r="2">
          <cell r="A2" t="str">
            <v>Periode : Maret 2020</v>
          </cell>
        </row>
      </sheetData>
      <sheetData sheetId="1180">
        <row r="1">
          <cell r="A1" t="str">
            <v>INSENTIVE SMD DAN SPG MONDELEZ TT NASIONAL PERIODE SEPTEMBER 2019</v>
          </cell>
        </row>
      </sheetData>
      <sheetData sheetId="1181">
        <row r="1">
          <cell r="A1" t="str">
            <v>INSENTIVE SMD DAN SPG MONDELEZ TT NASIONAL PERIODE SEPTEMBER 2019</v>
          </cell>
        </row>
      </sheetData>
      <sheetData sheetId="1182">
        <row r="1">
          <cell r="A1" t="str">
            <v>INSENTIVE SMD DAN SPG MONDELEZ TT NASIONAL PERIODE SEPTEMBER 2019</v>
          </cell>
        </row>
      </sheetData>
      <sheetData sheetId="1183">
        <row r="1">
          <cell r="A1" t="str">
            <v>INSENTIVE SMD DAN SPG MONDELEZ TT NASIONAL PERIODE SEPTEMBER 2019</v>
          </cell>
        </row>
      </sheetData>
      <sheetData sheetId="1184">
        <row r="2">
          <cell r="B2">
            <v>0</v>
          </cell>
        </row>
      </sheetData>
      <sheetData sheetId="1185">
        <row r="1">
          <cell r="B1" t="str">
            <v>SBU CHD2</v>
          </cell>
        </row>
      </sheetData>
      <sheetData sheetId="1186">
        <row r="1">
          <cell r="A1" t="str">
            <v>REKAPITULASI PENYESUAIAN HONOR PT. OJI INDO MAKMUR PERKASA</v>
          </cell>
        </row>
      </sheetData>
      <sheetData sheetId="1187">
        <row r="1">
          <cell r="A1" t="str">
            <v>REKAPITULASI PENYESUAIAN HONOR PT. INDO OJI SUKSES PRATAMA</v>
          </cell>
        </row>
      </sheetData>
      <sheetData sheetId="1188">
        <row r="1">
          <cell r="B1" t="str">
            <v>SBU CHD2</v>
          </cell>
        </row>
      </sheetData>
      <sheetData sheetId="1189">
        <row r="1">
          <cell r="A1" t="str">
            <v>INSENTIVE SMD DAN SPG MONDELEZ TT NASIONAL PERIODE SEPTEMBER 2019</v>
          </cell>
        </row>
      </sheetData>
      <sheetData sheetId="1190">
        <row r="1">
          <cell r="A1" t="str">
            <v>INSENTIVE SMD DAN SPG MONDELEZ TT NASIONAL PERIODE SEPTEMBER 2019</v>
          </cell>
        </row>
      </sheetData>
      <sheetData sheetId="1191">
        <row r="1">
          <cell r="A1" t="str">
            <v>INSENTIVE SMD DAN SPG MONDELEZ TT NASIONAL PERIODE SEPTEMBER 2019</v>
          </cell>
        </row>
      </sheetData>
      <sheetData sheetId="1192">
        <row r="1">
          <cell r="A1" t="str">
            <v>INSENTIVE SMD DAN SPG MONDELEZ TT NASIONAL PERIODE SEPTEMBER 2019</v>
          </cell>
        </row>
      </sheetData>
      <sheetData sheetId="1193">
        <row r="2">
          <cell r="B2">
            <v>0</v>
          </cell>
        </row>
      </sheetData>
      <sheetData sheetId="1194"/>
      <sheetData sheetId="1195">
        <row r="8">
          <cell r="B8" t="str">
            <v>Area Medan</v>
          </cell>
        </row>
      </sheetData>
      <sheetData sheetId="1196"/>
      <sheetData sheetId="1197"/>
      <sheetData sheetId="1198">
        <row r="1">
          <cell r="B1" t="str">
            <v>NAMA TOKO</v>
          </cell>
          <cell r="C1" t="str">
            <v>GRSM</v>
          </cell>
          <cell r="D1" t="str">
            <v>AREA</v>
          </cell>
          <cell r="E1" t="str">
            <v>NAMA TL</v>
          </cell>
          <cell r="F1" t="str">
            <v>CHANNEL GROUP</v>
          </cell>
        </row>
        <row r="2">
          <cell r="B2" t="str">
            <v>MG CIANJUR</v>
          </cell>
          <cell r="C2" t="str">
            <v>GRSM 3A</v>
          </cell>
          <cell r="D2" t="str">
            <v>CIANJUR</v>
          </cell>
          <cell r="E2" t="str">
            <v>FAHMI LUKMANUL HAKIM</v>
          </cell>
          <cell r="F2" t="str">
            <v>GMM</v>
          </cell>
        </row>
        <row r="3">
          <cell r="B3" t="str">
            <v>MULTI GROSIR STASIUN</v>
          </cell>
          <cell r="C3" t="str">
            <v>GRSM 3A</v>
          </cell>
          <cell r="D3" t="str">
            <v>SUKABUMI</v>
          </cell>
          <cell r="E3" t="str">
            <v>FAHMI LUKMANUL HAKIM</v>
          </cell>
          <cell r="F3" t="str">
            <v>GMM</v>
          </cell>
        </row>
        <row r="4">
          <cell r="B4" t="str">
            <v>M ZAMZAM TK (M2)</v>
          </cell>
          <cell r="C4" t="str">
            <v>GRSM 4</v>
          </cell>
          <cell r="D4" t="str">
            <v>TASIK</v>
          </cell>
          <cell r="E4" t="str">
            <v>FAHMI LUKMANUL HAKIM</v>
          </cell>
          <cell r="F4" t="str">
            <v>GMM</v>
          </cell>
        </row>
        <row r="5">
          <cell r="B5" t="str">
            <v>SAMUDRA BANJAR</v>
          </cell>
          <cell r="C5" t="str">
            <v>GRSM 4</v>
          </cell>
          <cell r="D5" t="str">
            <v>BANJAR</v>
          </cell>
          <cell r="E5" t="str">
            <v>FAHMI LUKMANUL HAKIM</v>
          </cell>
          <cell r="F5" t="str">
            <v>GMM</v>
          </cell>
        </row>
        <row r="6">
          <cell r="B6" t="str">
            <v>MITRA INDAH</v>
          </cell>
          <cell r="C6" t="str">
            <v>GRSM 4</v>
          </cell>
          <cell r="D6" t="str">
            <v>KUNINGAN</v>
          </cell>
          <cell r="E6" t="str">
            <v>FAHMI LUKMANUL HAKIM</v>
          </cell>
          <cell r="F6" t="str">
            <v>GMM</v>
          </cell>
        </row>
        <row r="7">
          <cell r="B7" t="str">
            <v>FAJAR JALAKSANA</v>
          </cell>
          <cell r="C7" t="str">
            <v>GRSM 4</v>
          </cell>
          <cell r="D7" t="str">
            <v>KUNINGAN</v>
          </cell>
          <cell r="E7" t="str">
            <v>FAHMI LUKMANUL HAKIM</v>
          </cell>
          <cell r="F7" t="str">
            <v>GMM</v>
          </cell>
        </row>
        <row r="8">
          <cell r="B8" t="str">
            <v>PRATAMA PUTRA BANYURESMI</v>
          </cell>
          <cell r="C8" t="str">
            <v>GRSM 4</v>
          </cell>
          <cell r="D8" t="str">
            <v>GARUT</v>
          </cell>
          <cell r="E8" t="str">
            <v>FAHMI LUKMANUL HAKIM</v>
          </cell>
          <cell r="F8" t="str">
            <v>GMM</v>
          </cell>
        </row>
        <row r="9">
          <cell r="B9" t="str">
            <v>PRATAMA PUTRA CIHUNI</v>
          </cell>
          <cell r="C9" t="str">
            <v>GRSM 4</v>
          </cell>
          <cell r="D9" t="str">
            <v>GARUT</v>
          </cell>
          <cell r="E9" t="str">
            <v>FAHMI LUKMANUL HAKIM</v>
          </cell>
          <cell r="F9" t="str">
            <v>GMM</v>
          </cell>
        </row>
        <row r="10">
          <cell r="B10" t="str">
            <v>ASIA GARUT</v>
          </cell>
          <cell r="C10" t="str">
            <v>GRSM 4</v>
          </cell>
          <cell r="D10" t="str">
            <v>GARUT</v>
          </cell>
          <cell r="E10" t="str">
            <v>FAHMI LUKMANUL HAKIM</v>
          </cell>
          <cell r="F10" t="str">
            <v>GMM</v>
          </cell>
        </row>
        <row r="11">
          <cell r="B11" t="str">
            <v>KAIRO</v>
          </cell>
          <cell r="C11" t="str">
            <v>GRSM 4</v>
          </cell>
          <cell r="D11" t="str">
            <v>TASIK</v>
          </cell>
          <cell r="E11" t="str">
            <v>FAHMI LUKMANUL HAKIM</v>
          </cell>
          <cell r="F11" t="str">
            <v>GMM</v>
          </cell>
        </row>
        <row r="12">
          <cell r="B12" t="str">
            <v>KAIRO MAJALAYA</v>
          </cell>
          <cell r="C12" t="str">
            <v>GRSM 4</v>
          </cell>
          <cell r="D12" t="str">
            <v>MAJALAYA</v>
          </cell>
          <cell r="E12" t="str">
            <v>FAHMI LUKMANUL HAKIM</v>
          </cell>
          <cell r="F12" t="str">
            <v>GMM</v>
          </cell>
        </row>
        <row r="13">
          <cell r="B13" t="str">
            <v>GRIYA SUMEDANG</v>
          </cell>
          <cell r="C13" t="str">
            <v>GRSM 4</v>
          </cell>
          <cell r="D13" t="str">
            <v>BANDUNG</v>
          </cell>
          <cell r="E13" t="str">
            <v>FAHMI LUKMANUL HAKIM</v>
          </cell>
          <cell r="F13" t="str">
            <v>NKA</v>
          </cell>
        </row>
        <row r="14">
          <cell r="B14" t="str">
            <v>ASIA PLAZA TASIK</v>
          </cell>
          <cell r="C14" t="str">
            <v>GRSM 4</v>
          </cell>
          <cell r="D14" t="str">
            <v>TASIKMALAYA</v>
          </cell>
          <cell r="E14" t="str">
            <v>FAHMI LUKMANUL HAKIM</v>
          </cell>
          <cell r="F14" t="str">
            <v>GMM</v>
          </cell>
        </row>
        <row r="15">
          <cell r="B15" t="str">
            <v>SAHABAT</v>
          </cell>
          <cell r="C15" t="str">
            <v>GRSM 4</v>
          </cell>
          <cell r="D15" t="str">
            <v>KUNINGAN</v>
          </cell>
          <cell r="E15" t="str">
            <v>FAHMI LUKMANUL HAKIM</v>
          </cell>
          <cell r="F15" t="str">
            <v>GMM</v>
          </cell>
        </row>
        <row r="16">
          <cell r="B16" t="str">
            <v>TOKMA CADIKA SM.</v>
          </cell>
          <cell r="C16" t="str">
            <v>GRSM 4</v>
          </cell>
          <cell r="D16" t="str">
            <v>SUBANG</v>
          </cell>
          <cell r="E16" t="str">
            <v>FAHMI LUKMANUL HAKIM</v>
          </cell>
          <cell r="F16" t="str">
            <v>GMM</v>
          </cell>
        </row>
        <row r="17">
          <cell r="B17" t="str">
            <v>YOGYA HZ*</v>
          </cell>
          <cell r="C17" t="str">
            <v>GRSM 4</v>
          </cell>
          <cell r="D17" t="str">
            <v>TASIKMALAYA</v>
          </cell>
          <cell r="E17" t="str">
            <v>FAHMI LUKMANUL HAKIM</v>
          </cell>
          <cell r="F17" t="str">
            <v>GMM</v>
          </cell>
        </row>
        <row r="18">
          <cell r="B18" t="str">
            <v>YOGYA BANJAR *</v>
          </cell>
          <cell r="C18" t="str">
            <v>GRSM 4</v>
          </cell>
          <cell r="D18" t="str">
            <v>BANJAR</v>
          </cell>
          <cell r="E18" t="str">
            <v>FAHMI LUKMANUL HAKIM</v>
          </cell>
          <cell r="F18" t="str">
            <v>GMM</v>
          </cell>
        </row>
        <row r="19">
          <cell r="B19" t="str">
            <v>RITA SUPERMALL</v>
          </cell>
          <cell r="C19" t="str">
            <v>GRSM 5</v>
          </cell>
          <cell r="D19" t="str">
            <v>PURWOKERTO</v>
          </cell>
          <cell r="E19" t="str">
            <v>SUPRIYATI</v>
          </cell>
          <cell r="F19" t="str">
            <v>GMM</v>
          </cell>
        </row>
        <row r="20">
          <cell r="B20" t="str">
            <v>RITA A PURWOKERTO</v>
          </cell>
          <cell r="C20" t="str">
            <v>GRSM 5</v>
          </cell>
          <cell r="D20" t="str">
            <v>PURWOKERTO</v>
          </cell>
          <cell r="E20" t="str">
            <v>SUPRIYATI</v>
          </cell>
          <cell r="F20" t="str">
            <v>GMM</v>
          </cell>
        </row>
        <row r="21">
          <cell r="B21" t="str">
            <v>RITA MALL TEGAL</v>
          </cell>
          <cell r="C21" t="str">
            <v>GRSM 5</v>
          </cell>
          <cell r="D21" t="str">
            <v>TEGAL</v>
          </cell>
          <cell r="E21" t="str">
            <v>SUPRIYATI</v>
          </cell>
          <cell r="F21" t="str">
            <v>GMM</v>
          </cell>
        </row>
        <row r="22">
          <cell r="B22" t="str">
            <v>RITA D WONOSOBO</v>
          </cell>
          <cell r="C22" t="str">
            <v>GRSM 5</v>
          </cell>
          <cell r="D22" t="str">
            <v>WONOGIRI</v>
          </cell>
          <cell r="E22" t="str">
            <v>SUPRIYATI</v>
          </cell>
          <cell r="F22" t="str">
            <v>GMM</v>
          </cell>
        </row>
        <row r="23">
          <cell r="B23" t="str">
            <v>YOGYA CIAMIS *</v>
          </cell>
          <cell r="C23" t="str">
            <v>GRSM 4</v>
          </cell>
          <cell r="D23" t="str">
            <v>TASIK</v>
          </cell>
          <cell r="E23" t="str">
            <v>FAHMI LUKMANUL HAKIM</v>
          </cell>
          <cell r="F23" t="str">
            <v>GMM</v>
          </cell>
        </row>
        <row r="24">
          <cell r="B24" t="str">
            <v>CV. VIO JAYA</v>
          </cell>
          <cell r="C24" t="str">
            <v>GRSM 6</v>
          </cell>
          <cell r="D24" t="str">
            <v>BANYUWANGI</v>
          </cell>
          <cell r="F24" t="str">
            <v>GMM</v>
          </cell>
        </row>
        <row r="25">
          <cell r="B25" t="str">
            <v>KARUNIA DAMAI SEJATI</v>
          </cell>
          <cell r="C25" t="str">
            <v>GRSM 6</v>
          </cell>
          <cell r="D25" t="str">
            <v>GENTENG</v>
          </cell>
          <cell r="F25" t="str">
            <v>GMM</v>
          </cell>
        </row>
        <row r="26">
          <cell r="B26" t="str">
            <v>CV. BOROBUDUR SWALAYAN</v>
          </cell>
          <cell r="C26" t="str">
            <v>GRSM 6</v>
          </cell>
          <cell r="D26" t="str">
            <v>KEDIRI KOTA</v>
          </cell>
          <cell r="F26" t="str">
            <v>GMM</v>
          </cell>
        </row>
        <row r="27">
          <cell r="B27" t="str">
            <v>SARIKAT JAYA</v>
          </cell>
          <cell r="C27" t="str">
            <v>GRSM 6</v>
          </cell>
          <cell r="D27" t="str">
            <v>LAMONGAN</v>
          </cell>
          <cell r="F27" t="str">
            <v>GMM</v>
          </cell>
        </row>
        <row r="28">
          <cell r="B28" t="str">
            <v>LUWES GROUP</v>
          </cell>
          <cell r="C28" t="str">
            <v>GRSM 6</v>
          </cell>
          <cell r="D28" t="str">
            <v>NGANJUK</v>
          </cell>
          <cell r="F28" t="str">
            <v>GMM</v>
          </cell>
        </row>
        <row r="29">
          <cell r="B29" t="str">
            <v>CV TOP</v>
          </cell>
          <cell r="C29" t="str">
            <v>GRSM 6</v>
          </cell>
          <cell r="D29" t="str">
            <v>PARE</v>
          </cell>
          <cell r="F29" t="str">
            <v>GMM</v>
          </cell>
        </row>
        <row r="30">
          <cell r="B30" t="str">
            <v>DIVA SWALAYAN</v>
          </cell>
          <cell r="C30" t="str">
            <v>GRSM 6</v>
          </cell>
          <cell r="D30" t="str">
            <v>PROBOLINGGO</v>
          </cell>
          <cell r="E30" t="str">
            <v>WINDA</v>
          </cell>
          <cell r="F30" t="str">
            <v>GMM</v>
          </cell>
        </row>
        <row r="31">
          <cell r="B31" t="str">
            <v>SANRIO</v>
          </cell>
          <cell r="C31" t="str">
            <v>GRSM 6</v>
          </cell>
          <cell r="D31" t="str">
            <v>MOJOKERTO</v>
          </cell>
          <cell r="E31" t="str">
            <v>WINDA</v>
          </cell>
          <cell r="F31" t="str">
            <v>GMM</v>
          </cell>
        </row>
        <row r="32">
          <cell r="B32" t="str">
            <v>SANDANG AYU 2</v>
          </cell>
          <cell r="C32" t="str">
            <v>GRSM 6</v>
          </cell>
          <cell r="D32" t="str">
            <v>PASURUAN</v>
          </cell>
          <cell r="E32" t="str">
            <v>WINDA</v>
          </cell>
          <cell r="F32" t="str">
            <v>GMM</v>
          </cell>
        </row>
        <row r="33">
          <cell r="B33" t="str">
            <v>KDS PROBOLINGGO</v>
          </cell>
          <cell r="C33" t="str">
            <v>GRSM 6</v>
          </cell>
          <cell r="D33" t="str">
            <v>PROBOLINGGO</v>
          </cell>
          <cell r="E33" t="str">
            <v>WINDA</v>
          </cell>
          <cell r="F33" t="str">
            <v>GMM</v>
          </cell>
        </row>
        <row r="34">
          <cell r="B34" t="str">
            <v>RIA SWALAYAN</v>
          </cell>
          <cell r="C34" t="str">
            <v>GRSM 6</v>
          </cell>
          <cell r="D34" t="str">
            <v>MOJOKERTO</v>
          </cell>
          <cell r="E34" t="str">
            <v>WINDA</v>
          </cell>
          <cell r="F34" t="str">
            <v>GMM</v>
          </cell>
        </row>
        <row r="35">
          <cell r="B35" t="str">
            <v>CV SURYA ASIA PASIFIK</v>
          </cell>
          <cell r="C35" t="str">
            <v>GRSM 6</v>
          </cell>
          <cell r="D35" t="str">
            <v>PASURUAN</v>
          </cell>
          <cell r="E35" t="str">
            <v>WINDA</v>
          </cell>
          <cell r="F35" t="str">
            <v>GMM</v>
          </cell>
        </row>
        <row r="36">
          <cell r="B36" t="str">
            <v>CV ROXY BANYUWANGI</v>
          </cell>
          <cell r="C36" t="str">
            <v>GRSM 6</v>
          </cell>
          <cell r="D36" t="str">
            <v>BANYUWANGI</v>
          </cell>
          <cell r="E36" t="str">
            <v>WINDA</v>
          </cell>
          <cell r="F36" t="str">
            <v>GMM</v>
          </cell>
        </row>
        <row r="37">
          <cell r="B37" t="str">
            <v>BRASTAGI CEMARA</v>
          </cell>
          <cell r="C37" t="str">
            <v>GRSM 1</v>
          </cell>
          <cell r="D37" t="str">
            <v>MEDAN</v>
          </cell>
          <cell r="E37" t="str">
            <v>AFNITA SARI</v>
          </cell>
          <cell r="F37" t="str">
            <v>MT</v>
          </cell>
        </row>
        <row r="38">
          <cell r="B38" t="str">
            <v>BRASTAGI GATOT SUBROTO</v>
          </cell>
          <cell r="C38" t="str">
            <v>GRSM 1</v>
          </cell>
          <cell r="D38" t="str">
            <v>MEDAN</v>
          </cell>
          <cell r="E38" t="str">
            <v>AFNITA SARI</v>
          </cell>
          <cell r="F38" t="str">
            <v>MT</v>
          </cell>
        </row>
        <row r="39">
          <cell r="B39" t="str">
            <v>IRIAN MARELAN</v>
          </cell>
          <cell r="C39" t="str">
            <v>GRSM 1</v>
          </cell>
          <cell r="D39" t="str">
            <v>MEDAN</v>
          </cell>
          <cell r="E39" t="str">
            <v>AFNITA SARI</v>
          </cell>
          <cell r="F39" t="str">
            <v>MT</v>
          </cell>
        </row>
        <row r="40">
          <cell r="B40" t="str">
            <v>IRIAN SETIA BUDI</v>
          </cell>
          <cell r="C40" t="str">
            <v>GRSM 1</v>
          </cell>
          <cell r="D40" t="str">
            <v>MEDAN</v>
          </cell>
          <cell r="E40" t="str">
            <v>AFNITA SARI</v>
          </cell>
          <cell r="F40" t="str">
            <v>MT</v>
          </cell>
        </row>
        <row r="41">
          <cell r="B41" t="str">
            <v>CHANDRA TANJUNG KARANG</v>
          </cell>
          <cell r="C41" t="str">
            <v>GRSM 2</v>
          </cell>
          <cell r="D41" t="str">
            <v>LAMPUNG</v>
          </cell>
          <cell r="E41" t="str">
            <v>AFNITA SARI</v>
          </cell>
          <cell r="F41" t="str">
            <v>MT</v>
          </cell>
        </row>
      </sheetData>
      <sheetData sheetId="1199">
        <row r="1">
          <cell r="A1" t="str">
            <v xml:space="preserve">GRSM </v>
          </cell>
          <cell r="E1" t="str">
            <v xml:space="preserve">Nama Toko </v>
          </cell>
        </row>
        <row r="2">
          <cell r="A2" t="str">
            <v>GRSM 3A</v>
          </cell>
          <cell r="E2" t="str">
            <v>MG CIANJUR</v>
          </cell>
        </row>
        <row r="3">
          <cell r="A3" t="str">
            <v>GRSM 3A</v>
          </cell>
          <cell r="E3" t="str">
            <v>MULTI GROSIR STASIUN</v>
          </cell>
        </row>
        <row r="4">
          <cell r="A4" t="str">
            <v>GRSM 4</v>
          </cell>
          <cell r="E4" t="str">
            <v>M ZAMZAM TK (M2)</v>
          </cell>
        </row>
        <row r="5">
          <cell r="A5" t="str">
            <v>GRSM 4</v>
          </cell>
          <cell r="E5" t="str">
            <v>SAMUDRA BANJAR</v>
          </cell>
        </row>
        <row r="6">
          <cell r="A6" t="str">
            <v>GRSM 4</v>
          </cell>
          <cell r="E6" t="str">
            <v>MITRA INDAH</v>
          </cell>
        </row>
        <row r="7">
          <cell r="A7" t="str">
            <v>GRSM 4</v>
          </cell>
          <cell r="E7" t="str">
            <v>FAJAR JALAKSANA</v>
          </cell>
        </row>
        <row r="8">
          <cell r="A8" t="str">
            <v>GRSM 4</v>
          </cell>
          <cell r="E8" t="str">
            <v>KAIRO</v>
          </cell>
        </row>
        <row r="9">
          <cell r="A9" t="str">
            <v>GRSM 4</v>
          </cell>
          <cell r="E9" t="str">
            <v>GRIYA SUMEDANG</v>
          </cell>
        </row>
        <row r="10">
          <cell r="A10" t="str">
            <v>GRSM 4</v>
          </cell>
          <cell r="E10" t="str">
            <v>KAIRO MAJALAYA</v>
          </cell>
        </row>
        <row r="11">
          <cell r="A11" t="str">
            <v>GRSM 4</v>
          </cell>
          <cell r="E11" t="str">
            <v>ASIA GARUT</v>
          </cell>
        </row>
        <row r="12">
          <cell r="A12" t="str">
            <v>GRSM 4</v>
          </cell>
          <cell r="E12" t="str">
            <v>PRATAMA PUTRA BANYURESMI</v>
          </cell>
        </row>
        <row r="13">
          <cell r="A13" t="str">
            <v>GRSM 4</v>
          </cell>
          <cell r="E13" t="str">
            <v>PRATAMA PUTRA CIHUNI</v>
          </cell>
        </row>
        <row r="14">
          <cell r="A14" t="str">
            <v>GRSM 4</v>
          </cell>
          <cell r="E14" t="str">
            <v>ASIA PLAZA TASIK</v>
          </cell>
        </row>
        <row r="15">
          <cell r="A15" t="str">
            <v>GRSM 4</v>
          </cell>
          <cell r="E15" t="str">
            <v>SAHABAT</v>
          </cell>
        </row>
        <row r="16">
          <cell r="A16" t="str">
            <v>GRSM 4</v>
          </cell>
          <cell r="E16" t="str">
            <v>TOKMA CADIKA SM.</v>
          </cell>
        </row>
        <row r="17">
          <cell r="A17" t="str">
            <v>GRSM 4</v>
          </cell>
          <cell r="E17" t="str">
            <v>ASIA PLAZA TASIK</v>
          </cell>
        </row>
        <row r="18">
          <cell r="A18" t="str">
            <v>GRSM 4</v>
          </cell>
          <cell r="E18" t="str">
            <v>YOGYA HZ*</v>
          </cell>
        </row>
        <row r="19">
          <cell r="A19" t="str">
            <v>GRSM 4</v>
          </cell>
          <cell r="E19" t="str">
            <v>YOGYA BANJAR *</v>
          </cell>
        </row>
        <row r="20">
          <cell r="A20" t="str">
            <v>GRSM 5</v>
          </cell>
          <cell r="E20" t="str">
            <v>CV TRIO JAYA(M2)</v>
          </cell>
        </row>
        <row r="21">
          <cell r="A21" t="str">
            <v>GRSM 5</v>
          </cell>
          <cell r="E21" t="str">
            <v>ANEKA JAYA HADIWIJAYA</v>
          </cell>
        </row>
        <row r="22">
          <cell r="A22" t="str">
            <v>GRSM 5</v>
          </cell>
          <cell r="E22" t="str">
            <v>RB MANTEP 2</v>
          </cell>
        </row>
        <row r="23">
          <cell r="A23" t="str">
            <v>GRSM 5</v>
          </cell>
          <cell r="E23" t="str">
            <v>PT. HASTA KENCANA SAKTI</v>
          </cell>
        </row>
        <row r="24">
          <cell r="A24" t="str">
            <v>GRSM 5</v>
          </cell>
          <cell r="E24" t="str">
            <v>BRAYAN MAJU BOJONG</v>
          </cell>
        </row>
        <row r="25">
          <cell r="A25" t="str">
            <v>GRSM 5</v>
          </cell>
          <cell r="E25" t="str">
            <v>MUTIARA CAHAYA MEJASEM</v>
          </cell>
        </row>
        <row r="26">
          <cell r="A26" t="str">
            <v>GRSM 5</v>
          </cell>
          <cell r="E26" t="str">
            <v>RITA MALL TEGAL</v>
          </cell>
        </row>
        <row r="27">
          <cell r="A27" t="str">
            <v>GRSM 5</v>
          </cell>
          <cell r="E27" t="str">
            <v>RITA SUPERMALL</v>
          </cell>
        </row>
        <row r="28">
          <cell r="A28" t="str">
            <v>GRSM 5</v>
          </cell>
          <cell r="E28" t="str">
            <v>RITA A PURWOKERTO</v>
          </cell>
        </row>
        <row r="29">
          <cell r="A29" t="str">
            <v>GRSM 5</v>
          </cell>
          <cell r="E29" t="str">
            <v>RITA MALL TEGAL</v>
          </cell>
        </row>
        <row r="30">
          <cell r="A30" t="str">
            <v>GRSM 5</v>
          </cell>
          <cell r="E30" t="str">
            <v>RITA D WONOSOBO</v>
          </cell>
        </row>
        <row r="31">
          <cell r="A31" t="str">
            <v>GRSM 5</v>
          </cell>
          <cell r="E31" t="str">
            <v>INDAR,TK</v>
          </cell>
        </row>
        <row r="32">
          <cell r="A32" t="str">
            <v>GRSM 4</v>
          </cell>
          <cell r="E32" t="str">
            <v>YOGYA CIAMIS *</v>
          </cell>
        </row>
        <row r="33">
          <cell r="A33" t="str">
            <v>GRSM 6</v>
          </cell>
          <cell r="E33" t="str">
            <v>CV. VIO JAYA</v>
          </cell>
        </row>
        <row r="34">
          <cell r="A34" t="str">
            <v>GRSM 6</v>
          </cell>
          <cell r="E34" t="str">
            <v>KARUNIA DAMAI SEJATI</v>
          </cell>
        </row>
        <row r="35">
          <cell r="A35" t="str">
            <v>GRSM 6</v>
          </cell>
          <cell r="E35" t="str">
            <v>CV. BOROBUDUR SWALAYAN</v>
          </cell>
        </row>
        <row r="36">
          <cell r="A36" t="str">
            <v>GRSM 6</v>
          </cell>
          <cell r="E36" t="str">
            <v>SARIKAT JAYA</v>
          </cell>
        </row>
        <row r="37">
          <cell r="A37" t="str">
            <v>GRSM 6</v>
          </cell>
          <cell r="E37" t="str">
            <v>LUWES GROUP</v>
          </cell>
        </row>
        <row r="38">
          <cell r="A38" t="str">
            <v>GRSM 6</v>
          </cell>
          <cell r="E38" t="str">
            <v>CV TOP</v>
          </cell>
        </row>
        <row r="39">
          <cell r="A39" t="str">
            <v>GRSM 6</v>
          </cell>
          <cell r="E39" t="str">
            <v>DIVA SWALAYAN</v>
          </cell>
        </row>
        <row r="40">
          <cell r="A40" t="str">
            <v>GRSM 6</v>
          </cell>
          <cell r="E40" t="str">
            <v>SANRIO</v>
          </cell>
        </row>
        <row r="41">
          <cell r="A41" t="str">
            <v>GRSM 6</v>
          </cell>
          <cell r="E41" t="str">
            <v>SANDANG AYU 2</v>
          </cell>
        </row>
        <row r="42">
          <cell r="A42" t="str">
            <v>GRSM 6</v>
          </cell>
          <cell r="E42" t="str">
            <v>KDS PROBOLINGGO</v>
          </cell>
        </row>
        <row r="43">
          <cell r="A43" t="str">
            <v>GRSM 6</v>
          </cell>
          <cell r="E43" t="str">
            <v>RIA SWALAYAN</v>
          </cell>
        </row>
        <row r="44">
          <cell r="A44" t="str">
            <v>GRSM 6</v>
          </cell>
          <cell r="E44" t="str">
            <v>CV SURYA ASIA PASIFIK</v>
          </cell>
        </row>
        <row r="45">
          <cell r="A45" t="str">
            <v>GRSM 6</v>
          </cell>
          <cell r="E45" t="str">
            <v>CV ROXY BANYUWANGI</v>
          </cell>
        </row>
        <row r="46">
          <cell r="A46" t="str">
            <v>GRSM 1</v>
          </cell>
          <cell r="E46" t="str">
            <v>BRASTAGI CEMARA</v>
          </cell>
        </row>
        <row r="47">
          <cell r="A47" t="str">
            <v>GRSM 1</v>
          </cell>
          <cell r="E47" t="str">
            <v>BRASTAGI GATOT SUBROTO</v>
          </cell>
        </row>
        <row r="48">
          <cell r="A48" t="str">
            <v>GRSM 1</v>
          </cell>
          <cell r="E48" t="str">
            <v>IRIAN MARELAN</v>
          </cell>
        </row>
        <row r="49">
          <cell r="A49" t="str">
            <v>GRSM 1</v>
          </cell>
          <cell r="E49" t="str">
            <v>IRIAN SETIA BUDI</v>
          </cell>
        </row>
        <row r="50">
          <cell r="A50" t="str">
            <v>GRSM 2</v>
          </cell>
          <cell r="E50" t="str">
            <v>CHANDRA TANJUNG KARANG</v>
          </cell>
        </row>
      </sheetData>
      <sheetData sheetId="1200">
        <row r="2495">
          <cell r="I2495" t="str">
            <v>CHANDRA TANJUNG KARANG</v>
          </cell>
        </row>
      </sheetData>
      <sheetData sheetId="120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lham Ependi" refreshedDate="46258.413094675932" createdVersion="7" refreshedVersion="8" minRefreshableVersion="3" recordCount="4329" xr:uid="{00000000-000A-0000-FFFF-FFFF00000000}">
  <cacheSource type="worksheet">
    <worksheetSource ref="A6:O1048576" sheet="DAILY REPORT"/>
  </cacheSource>
  <cacheFields count="15">
    <cacheField name="WEEK" numFmtId="0">
      <sharedItems containsString="0" containsBlank="1" containsNumber="1" containsInteger="1" minValue="22" maxValue="34" count="14">
        <n v="22"/>
        <n v="23"/>
        <n v="24"/>
        <n v="25"/>
        <n v="26"/>
        <n v="27"/>
        <n v="28"/>
        <n v="29"/>
        <n v="30"/>
        <n v="31"/>
        <n v="32"/>
        <n v="33"/>
        <n v="34"/>
        <m/>
      </sharedItems>
    </cacheField>
    <cacheField name="BULAN" numFmtId="0">
      <sharedItems containsBlank="1"/>
    </cacheField>
    <cacheField name="TANGGAL" numFmtId="0">
      <sharedItems containsNonDate="0" containsDate="1" containsString="0" containsBlank="1" minDate="2026-05-29T00:00:00" maxDate="2026-08-24T00:00:00" count="46">
        <d v="2026-05-29T00:00:00"/>
        <d v="2026-05-30T00:00:00"/>
        <d v="2026-05-31T00:00:00"/>
        <d v="2026-06-05T00:00:00"/>
        <d v="2026-06-06T00:00:00"/>
        <d v="2026-06-07T00:00:00"/>
        <d v="2026-06-08T00:00:00"/>
        <d v="2026-06-12T00:00:00"/>
        <d v="2026-06-13T00:00:00"/>
        <d v="2026-06-14T00:00:00"/>
        <d v="2026-06-15T00:00:00"/>
        <d v="2026-06-19T00:00:00"/>
        <d v="2026-06-20T00:00:00"/>
        <d v="2026-06-21T00:00:00"/>
        <d v="2026-06-26T00:00:00"/>
        <d v="2026-06-27T00:00:00"/>
        <d v="2026-06-28T00:00:00"/>
        <d v="2026-07-03T00:00:00"/>
        <d v="2026-07-04T00:00:00"/>
        <d v="2026-07-05T00:00:00"/>
        <d v="2026-06-22T00:00:00"/>
        <d v="2026-06-29T00:00:00"/>
        <d v="2026-07-10T00:00:00"/>
        <d v="2026-07-11T00:00:00"/>
        <d v="2026-07-12T00:00:00"/>
        <d v="2026-07-17T00:00:00"/>
        <d v="2026-07-18T00:00:00"/>
        <d v="2026-07-19T00:00:00"/>
        <d v="2026-07-24T00:00:00"/>
        <d v="2026-07-25T00:00:00"/>
        <d v="2026-07-26T00:00:00"/>
        <d v="2026-07-27T00:00:00"/>
        <d v="2026-07-31T00:00:00"/>
        <d v="2026-08-01T00:00:00"/>
        <d v="2026-08-02T00:00:00"/>
        <d v="2026-08-07T00:00:00"/>
        <d v="2026-08-08T00:00:00"/>
        <d v="2026-08-09T00:00:00"/>
        <d v="2026-08-14T00:00:00"/>
        <d v="2026-08-15T00:00:00"/>
        <d v="2026-08-16T00:00:00"/>
        <d v="2026-08-23T00:00:00"/>
        <d v="2026-08-18T00:00:00"/>
        <d v="2026-08-21T00:00:00"/>
        <d v="2026-08-22T00:00:00"/>
        <m/>
      </sharedItems>
    </cacheField>
    <cacheField name="GRSM" numFmtId="0">
      <sharedItems containsBlank="1"/>
    </cacheField>
    <cacheField name="NAMA TL" numFmtId="0">
      <sharedItems containsBlank="1" containsMixedTypes="1" containsNumber="1" containsInteger="1" minValue="0" maxValue="0" count="9">
        <s v="FAHMI LUKMANUL HAKIM"/>
        <s v="SUPRIYATI"/>
        <s v="WINDA"/>
        <s v="AFNITA SARI"/>
        <s v=""/>
        <s v="INDRI"/>
        <s v="MARTIKA MINTOROWATI"/>
        <m/>
        <n v="0" u="1"/>
      </sharedItems>
    </cacheField>
    <cacheField name="CHANNEL GROUP" numFmtId="0">
      <sharedItems containsBlank="1"/>
    </cacheField>
    <cacheField name="Kode Subdist " numFmtId="0">
      <sharedItems containsString="0" containsBlank="1" containsNumber="1" containsInteger="1" minValue="0" maxValue="490034"/>
    </cacheField>
    <cacheField name="Kode Outlet " numFmtId="0">
      <sharedItems containsString="0" containsBlank="1" containsNumber="1" containsInteger="1" minValue="0" maxValue="9210369"/>
    </cacheField>
    <cacheField name="NAMA TOKO" numFmtId="0">
      <sharedItems containsBlank="1" count="64">
        <s v="KAIRO"/>
        <s v="MITRA INDAH"/>
        <s v="YOGYA CIAMIS *"/>
        <s v="MULTI GROSIR STASIUN"/>
        <s v="PRATAMA PUTRA BANYURESMI"/>
        <s v="M ZAMZAM TK (M2)"/>
        <s v="FAJAR JALAKSANA"/>
        <s v="KAIRO MAJALAYA"/>
        <s v="GRIYA SUMEDANG"/>
        <s v="SAMUDRA BANJAR"/>
        <s v="ASIA PLAZA TASIK"/>
        <s v="SAHABAT"/>
        <s v="TOKMA CADIKA SM."/>
        <s v="YOGYA HZ*"/>
        <s v="YOGYA BANJAR*"/>
        <s v="RITA MALL TEGAL"/>
        <s v="ASIA GARUT"/>
        <s v="RITA A PURWOKERTO"/>
        <s v="RITA SUPERMALL"/>
        <s v="RITA D WONOSOBO"/>
        <s v="SANRIO"/>
        <s v="SANDANG AYU 2"/>
        <s v="KDS PROBOLINGGO"/>
        <s v="DIVA SWALAYAN"/>
        <s v="RIA SWALAYAN"/>
        <s v="PRATAMA PUTRA CIHUNI"/>
        <s v="CV ROXY BANYUWANGI"/>
        <s v="CV SURYA ASIA PASIFIK"/>
        <s v="YOGYA BANJAR *"/>
        <s v="IRIAN MARELAN"/>
        <s v="BRASTAGI GATOT SUBROTO"/>
        <s v="IRIAN SETIA BUDI"/>
        <s v="BRASTAGI CEMARA"/>
        <s v="CHANDRA TANJUNG KARANG"/>
        <s v="MG CIANJUR"/>
        <s v="LANGGAN MAJALAYA"/>
        <s v="ASIA TOSERBA CIHIDENG"/>
        <s v="MITRA BUANA PASAR WETAN"/>
        <s v="YOGYA GRAND SUBANG"/>
        <s v="GUNASALMA 3"/>
        <s v="GUNASALMA 1 KAWALI"/>
        <s v="BASA BANJARAN"/>
        <s v="TRIO PLAZA"/>
        <s v="CV EKA DINA NUGRAHA PURBALINGGA"/>
        <s v="MUTIARA CAHAYA MEJASEM"/>
        <s v="#.PINUS MM BANJARBARU"/>
        <s v="PLANET SWALAYAN.MM"/>
        <s v="TOP SWALAYAN"/>
        <s v="BRAVO SUPERMARKET TULUNGAGUNG"/>
        <s v="PRIMA SWALAYAN"/>
        <s v="CV TOP"/>
        <s v="ISTANA TOSERBA"/>
        <s v="LUWES GROUP"/>
        <s v="EKA SURYA PLAZA"/>
        <s v="ADIJAYA TELUK"/>
        <s v="BRAVO SWALAYAN JATENG"/>
        <s v="LUWES PURWODADI"/>
        <s v="TRIO WONOSOBO"/>
        <s v="YOVA GUNUNG MALANG"/>
        <s v="MAXI REGENCY"/>
        <s v="SUPERTOP PARE"/>
        <s v="SAMI LARIS CILACAP"/>
        <s v="TRIO JAYA WONOSOBO"/>
        <m/>
      </sharedItems>
    </cacheField>
    <cacheField name="NAMA SPG" numFmtId="0">
      <sharedItems containsBlank="1" count="125">
        <s v="GINA FITRIANTI NUGRAHA"/>
        <s v="MEGA FITRIA"/>
        <s v="WINDIANINGSIH"/>
        <s v="NURMALA RUSTAMALIA"/>
        <s v="YUNIATI"/>
        <s v="HANNA AFTINA LISTYANI"/>
        <s v="MUTHYA NADHIFAH"/>
        <s v="ALYA MULIA"/>
        <s v="DEVI SRI ANJANI"/>
        <s v="MIRA SARASWATI"/>
        <s v="GITA DESIANTI NUGRAHA"/>
        <s v="NISYANA NOVIANTI"/>
        <s v="YUNIAR RAHMAWATI"/>
        <s v="PERAWATI"/>
        <s v="NITA ARDIANTI"/>
        <s v="NURLAELA SITI SALEHA"/>
        <s v="ANISA RUHAMA ASYIDA"/>
        <s v="SINTA NURLAELA"/>
        <s v="LIA NUR FITRIANI"/>
        <s v="YULIAWATI"/>
        <s v="WIWI NIRMAWATI"/>
        <s v="MEISYA AYU ANDREANI"/>
        <s v="RINA OCTAVIA"/>
        <s v="ISMI NURBAITI"/>
        <s v="RISKA APRILIANI"/>
        <s v="MIA MEILANI"/>
        <s v="TITIN NURJANAH"/>
        <s v="TUTI NURHASANAH"/>
        <s v="NUR ELIDAH"/>
        <s v="SELY SRI WULANDARI"/>
        <s v="EVI"/>
        <s v="MAULIDA FHATIRRAHMAN"/>
        <s v="BUNGA"/>
        <s v="ERSA BENING NAWANGSARI"/>
        <s v="KRISNA AYU WULANDARI"/>
        <s v="META WASIATI"/>
        <s v="NABIILAH IFFATUL KHASANAH "/>
        <s v="NUR FATIMAH MUCHRIYANI"/>
        <s v="RINI NUR ASIYAH"/>
        <s v="YUNI"/>
        <s v="ARUM ERISKA"/>
        <s v="DIANA NILU WARDANI"/>
        <s v="NAFISAH RIDHOTI"/>
        <s v="LILIK NAZLIA FIDAROINI"/>
        <s v="AGUSTIN TRI WULANDARI"/>
        <s v="NUR KARISMA RIZEKI PUTRI"/>
        <s v="DESI ANDIKA SARI"/>
        <s v="DESI ANGGRAENI"/>
        <s v="NUR LAILIYAH"/>
        <s v="REVITA DWI ANGGRAENI"/>
        <s v="INDI NOSYAL RISWANTO "/>
        <s v="NOVANDA SHINTA DEWI"/>
        <s v="VEELA SINDI DIAH FADILAH WATI "/>
        <s v="ADEA UMI ULIVIA"/>
        <s v="YENI RETNO WIDYASTUTIK "/>
        <s v="KUSDIANI"/>
        <s v="AINI"/>
        <s v="REKA NOVIANI"/>
        <s v="ELGA NUR ROHMAN"/>
        <s v="NABIILAH IFFATUL KHASANAH"/>
        <s v="RISKA YULITA"/>
        <s v="TIUR MEWANI"/>
        <s v="KRISTINA BR SINAGA"/>
        <s v="RATIH DEWI SARI BR TAMBA"/>
        <s v="ROSNANI"/>
        <s v="MAYANG SARI"/>
        <s v="RAHMI SYAHFITRI"/>
        <s v="RADYA ALIZA"/>
        <s v="PEBYA PUTRI TITIAN VANESA"/>
        <s v="AINA YURITA"/>
        <s v="LIANI ISMIATI"/>
        <s v="ALDA AGUSTINA"/>
        <s v="NENG NURJANAH"/>
        <s v="GITA DEWI MEIYANI"/>
        <s v="RINI"/>
        <s v="DITA NINDIA"/>
        <s v="FHARADILLA APRIZIAH WARDANI"/>
        <s v="SELLY SRI WULANDARI"/>
        <s v="SRI PUJIYATI"/>
        <s v="FENNI ROSANTI"/>
        <s v="LUTFI OKITA RIZQI"/>
        <s v="FELIA INES SAPUTRI"/>
        <s v="AINUN NAJIKHA"/>
        <s v="SHEILLA NAVISYA"/>
        <s v="SALSHABILLA PUTERI HARIANTO"/>
        <s v="ISNAWATI"/>
        <s v="GADIS"/>
        <s v="SUCITRAMADHANI MUKTHI"/>
        <s v="JENNITA PUSPITA SARI"/>
        <s v="AYU FITRI WULANDARI"/>
        <s v="RATNA DYAH OKTAVIANA"/>
        <s v="SUSMIATI"/>
        <s v="SITI KUSNUL KHOTIMAH"/>
        <s v="ELY NURAINI"/>
        <s v="IKA PUSPITA YULIANI"/>
        <s v="SUSI SUSANTI"/>
        <s v="YUNNYTA VINA LISTIA"/>
        <s v="VIKA AMANDA WULANDARI"/>
        <s v="LINA YUNIVA"/>
        <s v="NANIK PRIYANTINI"/>
        <s v="SHOFA DWINA"/>
        <s v="INDAH HAMIDAH"/>
        <s v="ARTI (BACKUP)"/>
        <s v="AYUDIA NOVA ARSILLA MAHARDANI"/>
        <s v="MAIA ANDIEN AGUSTINA"/>
        <s v="EVI VADILLA NUR CAHYANTI"/>
        <s v="LILIN INDAH SARI"/>
        <s v="HANA"/>
        <s v="ADELIA MEILYNA PUTRI"/>
        <s v="NADIA SILVIANA DEWI"/>
        <s v="DIANA TRISNA SARI"/>
        <s v="ELA KOMALASARI"/>
        <s v="DAHLYA RUSDIANTI"/>
        <s v="AHDA MARDIYAH"/>
        <s v="RENI SETIANA"/>
        <s v="MARTIKA MINTOROWATI"/>
        <s v="HAULA LUTFIA MANSYAH"/>
        <s v="LINDA JULIANTI"/>
        <s v="ELSA TIAS NURPADILAH"/>
        <m/>
        <s v="SHANTY" u="1"/>
        <s v="SHOFI" u="1"/>
        <s v="ELLA KUMALA" u="1"/>
        <s v="YUNIAR RAHMA" u="1"/>
        <s v="RINA" u="1"/>
      </sharedItems>
    </cacheField>
    <cacheField name="VARIANT" numFmtId="0">
      <sharedItems containsBlank="1"/>
    </cacheField>
    <cacheField name="HARGA JUAL (PCS)" numFmtId="0">
      <sharedItems containsString="0" containsBlank="1" containsNumber="1" containsInteger="1" minValue="3" maxValue="7000"/>
    </cacheField>
    <cacheField name="QTY SELLING (PCS)" numFmtId="0">
      <sharedItems containsString="0" containsBlank="1" containsNumber="1" containsInteger="1" minValue="0" maxValue="690"/>
    </cacheField>
    <cacheField name="TOTAL SELLING (RP)" numFmtId="0">
      <sharedItems containsString="0" containsBlank="1" containsNumber="1" containsInteger="1" minValue="-60" maxValue="2075104"/>
    </cacheField>
    <cacheField name="SAMPLING YANG KELUAR (CUP)" numFmtId="0">
      <sharedItems containsString="0" containsBlank="1" containsNumber="1" containsInteger="1" minValue="0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lham Ependi" refreshedDate="46261.578263773146" createdVersion="8" refreshedVersion="8" minRefreshableVersion="3" recordCount="4760" xr:uid="{00000000-000A-0000-FFFF-FFFF01000000}">
  <cacheSource type="worksheet">
    <worksheetSource ref="A6:O4766" sheet="DAILY REPORT"/>
  </cacheSource>
  <cacheFields count="15">
    <cacheField name="WEEK" numFmtId="0">
      <sharedItems containsSemiMixedTypes="0" containsString="0" containsNumber="1" containsInteger="1" minValue="22" maxValue="34" count="13">
        <n v="22"/>
        <n v="23"/>
        <n v="24"/>
        <n v="25"/>
        <n v="26"/>
        <n v="27"/>
        <n v="28"/>
        <n v="29"/>
        <n v="30"/>
        <n v="31"/>
        <n v="32"/>
        <n v="33"/>
        <n v="34"/>
      </sharedItems>
    </cacheField>
    <cacheField name="BULAN" numFmtId="0">
      <sharedItems/>
    </cacheField>
    <cacheField name="TANGGAL" numFmtId="164">
      <sharedItems containsSemiMixedTypes="0" containsNonDate="0" containsDate="1" containsString="0" minDate="2026-05-29T00:00:00" maxDate="2026-08-24T00:00:00" count="45">
        <d v="2026-05-29T00:00:00"/>
        <d v="2026-05-30T00:00:00"/>
        <d v="2026-05-31T00:00:00"/>
        <d v="2026-06-05T00:00:00"/>
        <d v="2026-06-06T00:00:00"/>
        <d v="2026-06-07T00:00:00"/>
        <d v="2026-06-08T00:00:00"/>
        <d v="2026-06-12T00:00:00"/>
        <d v="2026-06-13T00:00:00"/>
        <d v="2026-06-14T00:00:00"/>
        <d v="2026-06-15T00:00:00"/>
        <d v="2026-06-19T00:00:00"/>
        <d v="2026-06-20T00:00:00"/>
        <d v="2026-06-21T00:00:00"/>
        <d v="2026-06-26T00:00:00"/>
        <d v="2026-06-27T00:00:00"/>
        <d v="2026-06-28T00:00:00"/>
        <d v="2026-07-03T00:00:00"/>
        <d v="2026-07-04T00:00:00"/>
        <d v="2026-07-05T00:00:00"/>
        <d v="2026-06-22T00:00:00"/>
        <d v="2026-06-29T00:00:00"/>
        <d v="2026-07-10T00:00:00"/>
        <d v="2026-07-11T00:00:00"/>
        <d v="2026-07-12T00:00:00"/>
        <d v="2026-07-17T00:00:00"/>
        <d v="2026-07-18T00:00:00"/>
        <d v="2026-07-19T00:00:00"/>
        <d v="2026-07-24T00:00:00"/>
        <d v="2026-07-25T00:00:00"/>
        <d v="2026-07-26T00:00:00"/>
        <d v="2026-07-27T00:00:00"/>
        <d v="2026-07-31T00:00:00"/>
        <d v="2026-08-01T00:00:00"/>
        <d v="2026-08-02T00:00:00"/>
        <d v="2026-08-07T00:00:00"/>
        <d v="2026-08-08T00:00:00"/>
        <d v="2026-08-09T00:00:00"/>
        <d v="2026-08-14T00:00:00"/>
        <d v="2026-08-15T00:00:00"/>
        <d v="2026-08-16T00:00:00"/>
        <d v="2026-08-21T00:00:00"/>
        <d v="2026-08-22T00:00:00"/>
        <d v="2026-08-23T00:00:00"/>
        <d v="2026-08-18T00:00:00"/>
      </sharedItems>
    </cacheField>
    <cacheField name="GRSM" numFmtId="0">
      <sharedItems/>
    </cacheField>
    <cacheField name="NAMA TL" numFmtId="0">
      <sharedItems count="6">
        <s v="FAHMI LUKMANUL HAKIM"/>
        <s v="SUPRIYATI"/>
        <s v="WINDA"/>
        <s v="AFNITA SARI"/>
        <s v="INDRI"/>
        <s v="MARTIKA MINTOROWATI"/>
      </sharedItems>
    </cacheField>
    <cacheField name="CHANNEL GROUP" numFmtId="0">
      <sharedItems/>
    </cacheField>
    <cacheField name="Kode Subdist " numFmtId="0">
      <sharedItems containsSemiMixedTypes="0" containsString="0" containsNumber="1" containsInteger="1" minValue="0" maxValue="490034"/>
    </cacheField>
    <cacheField name="Kode Outlet " numFmtId="0">
      <sharedItems containsSemiMixedTypes="0" containsString="0" containsNumber="1" containsInteger="1" minValue="0" maxValue="9210369"/>
    </cacheField>
    <cacheField name="NAMA TOKO" numFmtId="0">
      <sharedItems count="61">
        <s v="KAIRO"/>
        <s v="MITRA INDAH"/>
        <s v="YOGYA CIAMIS *"/>
        <s v="MULTI GROSIR STASIUN"/>
        <s v="PRATAMA PUTRA BANYURESMI"/>
        <s v="M ZAMZAM TK (M2)"/>
        <s v="FAJAR JALAKSANA"/>
        <s v="KAIRO MAJALAYA"/>
        <s v="GRIYA SUMEDANG"/>
        <s v="SAMUDRA BANJAR"/>
        <s v="ASIA PLAZA TASIK"/>
        <s v="SAHABAT"/>
        <s v="TOKMA CADIKA SM."/>
        <s v="YOGYA HZ*"/>
        <s v="YOGYA BANJAR*"/>
        <s v="RITA MALL TEGAL"/>
        <s v="ASIA GARUT"/>
        <s v="RITA A PURWOKERTO"/>
        <s v="RITA SUPERMALL"/>
        <s v="RITA D WONOSOBO"/>
        <s v="SANRIO"/>
        <s v="SANDANG AYU 2"/>
        <s v="KDS PROBOLINGGO"/>
        <s v="DIVA SWALAYAN"/>
        <s v="RIA SWALAYAN"/>
        <s v="PRATAMA PUTRA CIHUNI"/>
        <s v="CV ROXY BANYUWANGI"/>
        <s v="CV SURYA ASIA PASIFIK"/>
        <s v="IRIAN MARELAN"/>
        <s v="BRASTAGI GATOT SUBROTO"/>
        <s v="IRIAN SETIA BUDI"/>
        <s v="BRASTAGI CEMARA"/>
        <s v="CHANDRA TANJUNG KARANG"/>
        <s v="MG CIANJUR"/>
        <s v="LANGGAN MAJALAYA"/>
        <s v="ASIA TOSERBA CIHIDENG"/>
        <s v="MITRA BUANA PASAR WETAN"/>
        <s v="YOGYA GRAND SUBANG"/>
        <s v="GUNASALMA 3"/>
        <s v="GUNASALMA 1 KAWALI"/>
        <s v="BASA BANJARAN"/>
        <s v="TRIO PLAZA"/>
        <s v="CV EKA DINA NUGRAHA PURBALINGGA"/>
        <s v="MUTIARA CAHAYA MEJASEM"/>
        <s v="#.PINUS MM BANJARBARU"/>
        <s v="PLANET SWALAYAN.MM"/>
        <s v="TOP SWALAYAN"/>
        <s v="BRAVO SUPERMARKET TULUNGAGUNG"/>
        <s v="PRIMA SWALAYAN"/>
        <s v="CV TOP"/>
        <s v="ISTANA TOSERBA"/>
        <s v="LUWES GROUP"/>
        <s v="EKA SURYA PLAZA"/>
        <s v="ADIJAYA TELUK"/>
        <s v="BRAVO SWALAYAN JATENG"/>
        <s v="LUWES PURWODADI"/>
        <s v="TRIO WONOSOBO"/>
        <s v="YOVA GUNUNG MALANG"/>
        <s v="MAXI REGENCY"/>
        <s v="SAMI LARIS CILACAP"/>
        <s v="TRIO JAYA WONOSOBO"/>
      </sharedItems>
    </cacheField>
    <cacheField name="NAMA SPG" numFmtId="0">
      <sharedItems count="122">
        <s v="GINA FITRIANTI NUGRAHA"/>
        <s v="MEGA FITRIA"/>
        <s v="WINDIANINGSIH"/>
        <s v="NURMALA RUSTAMALIA"/>
        <s v="YUNIATI"/>
        <s v="HANNA AFTINA LISTYANI"/>
        <s v="MUTHYA NADHIFAH"/>
        <s v="ALYA MULIA"/>
        <s v="DEVI SRI ANJANI"/>
        <s v="MIRA SARASWATI"/>
        <s v="GITA DESIANTI NUGRAHA"/>
        <s v="NISYANA NOVIANTI"/>
        <s v="YUNIAR RAHMAWATI"/>
        <s v="PERAWATI"/>
        <s v="NITA ARDIANTI"/>
        <s v="NURLAELA SITI SALEHA"/>
        <s v="ANISA RUHAMA ASYIDA"/>
        <s v="SINTA NURLAELA"/>
        <s v="LIA NUR FITRIANI"/>
        <s v="YULIAWATI"/>
        <s v="WIWI NIRMAWATI"/>
        <s v="MEISYA AYU ANDREANI"/>
        <s v="RINA OCTAVIA"/>
        <s v="ISMI NURBAITI"/>
        <s v="RISKA APRILIANI"/>
        <s v="MIA MEILANI"/>
        <s v="TITIN NURJANAH"/>
        <s v="TUTI NURHASANAH"/>
        <s v="NUR ELIDAH"/>
        <s v="SELY SRI WULANDARI"/>
        <s v="EVI"/>
        <s v="MAULIDA FHATIRRAHMAN"/>
        <s v="BUNGA"/>
        <s v="ERSA BENING NAWANGSARI"/>
        <s v="KRISNA AYU WULANDARI"/>
        <s v="META WASIATI"/>
        <s v="NABIILAH IFFATUL KHASANAH "/>
        <s v="NUR FATIMAH MUCHRIYANI"/>
        <s v="RINI NUR ASIYAH"/>
        <s v="YUNI"/>
        <s v="ARUM ERISKA"/>
        <s v="DIANA NILU WARDANI"/>
        <s v="NAFISAH RIDHOTI"/>
        <s v="LILIK NAZLIA FIDAROINI"/>
        <s v="AGUSTIN TRI WULANDARI"/>
        <s v="NUR KARISMA RIZEKI PUTRI"/>
        <s v="DESI ANDIKA SARI"/>
        <s v="DESI ANGGRAENI"/>
        <s v="NUR LAILIYAH"/>
        <s v="REVITA DWI ANGGRAENI"/>
        <s v="INDI NOSYAL RISWANTO "/>
        <s v="NOVANDA SHINTA DEWI"/>
        <s v="VEELA SINDI DIAH FADILAH WATI "/>
        <s v="ADEA UMI ULIVIA"/>
        <s v="YENI RETNO WIDYASTUTIK "/>
        <s v="KUSDIANI"/>
        <s v="AINI"/>
        <s v="REKA NOVIANI"/>
        <s v="ELGA NUR ROHMAN"/>
        <s v="NABIILAH IFFATUL KHASANAH"/>
        <s v="RISKA YULITA"/>
        <s v="TIUR MEWANI"/>
        <s v="KRISTINA BR SINAGA"/>
        <s v="RATIH DEWI SARI BR TAMBA"/>
        <s v="ROSNANI"/>
        <s v="MAYANG SARI"/>
        <s v="RAHMI SYAHFITRI"/>
        <s v="RADYA ALIZA"/>
        <s v="PEBYA PUTRI TITIAN VANESA"/>
        <s v="AINA YURITA"/>
        <s v="LIANI ISMIATI"/>
        <s v="ALDA AGUSTINA"/>
        <s v="NENG NURJANAH"/>
        <s v="GITA DEWI MEIYANI"/>
        <s v="RINI"/>
        <s v="DITA NINDIA"/>
        <s v="FHARADILLA APRIZIAH WARDANI"/>
        <s v="SELLY SRI WULANDARI"/>
        <s v="SRI PUJIYATI"/>
        <s v="FENNI ROSANTI"/>
        <s v="LUTFI OKITA RIZQI"/>
        <s v="FELIA INES SAPUTRI"/>
        <s v="AINUN NAJIKHA"/>
        <s v="SHEILLA NAVISYA"/>
        <s v="SALSHABILLA PUTERI HARIANTO"/>
        <s v="ISNAWATI"/>
        <s v="GADIS"/>
        <s v="SUCITRAMADHANI MUKTHI"/>
        <s v="JENNITA PUSPITA SARI"/>
        <s v="AYU FITRI WULANDARI"/>
        <s v="RATNA DYAH OKTAVIANA"/>
        <s v="SUSMIATI"/>
        <s v="SITI KUSNUL KHOTIMAH"/>
        <s v="ELY NURAINI"/>
        <s v="IKA PUSPITA YULIANI"/>
        <s v="SUSI SUSANTI"/>
        <s v="YUNNYTA VINA LISTIA"/>
        <s v="VIKA AMANDA WULANDARI"/>
        <s v="LINA YUNIVA"/>
        <s v="NANIK PRIYANTINI"/>
        <s v="SHOFA DWINA"/>
        <s v="INDAH HAMIDAH"/>
        <s v="ARTI (BACKUP)"/>
        <s v="AYUDIA NOVA ARSILLA MAHARDANI"/>
        <s v="MAIA ANDIEN AGUSTINA"/>
        <s v="EVI VADILLA NUR CAHYANTI"/>
        <s v="LILIN INDAH SARI"/>
        <s v="HANA"/>
        <s v="ADELIA MEILYNA PUTRI"/>
        <s v="NADIA SILVIANA DEWI"/>
        <s v="DIANA TRISNA SARI"/>
        <s v="ELA KOMALASARI"/>
        <s v="ADE NOVILIANTI"/>
        <s v="DAHLYA RUSDIANTI"/>
        <s v="AHDA MARDIYAH"/>
        <s v="RENI SETIANA"/>
        <s v="HAULA LUTFIA MANSYAH"/>
        <s v="LINDA JULIANTI"/>
        <s v="SUGIARTI"/>
        <s v="ELSA TIAS NURPADILAH"/>
        <s v="INDRIANING PUJI ASTUTI"/>
        <s v="SITI KUSNUL"/>
      </sharedItems>
    </cacheField>
    <cacheField name="VARIANT" numFmtId="0">
      <sharedItems/>
    </cacheField>
    <cacheField name="HARGA JUAL (PCS)" numFmtId="0">
      <sharedItems containsSemiMixedTypes="0" containsString="0" containsNumber="1" containsInteger="1" minValue="3" maxValue="7000"/>
    </cacheField>
    <cacheField name="QTY SELLING (PCS)" numFmtId="0">
      <sharedItems containsString="0" containsBlank="1" containsNumber="1" containsInteger="1" minValue="0" maxValue="690"/>
    </cacheField>
    <cacheField name="TOTAL SELLING (RP)" numFmtId="165">
      <sharedItems containsSemiMixedTypes="0" containsString="0" containsNumber="1" containsInteger="1" minValue="0" maxValue="2074830"/>
    </cacheField>
    <cacheField name="SAMPLING YANG KELUAR (CUP)" numFmtId="0">
      <sharedItems containsString="0" containsBlank="1" containsNumber="1" containsInteger="1" minValue="0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329">
  <r>
    <x v="0"/>
    <s v="MAY"/>
    <x v="0"/>
    <s v="GRSM 4"/>
    <x v="0"/>
    <s v="GMM"/>
    <n v="103259"/>
    <n v="9029389"/>
    <x v="0"/>
    <x v="0"/>
    <s v="CARBONARA"/>
    <n v="2000"/>
    <n v="63"/>
    <n v="126000"/>
    <m/>
  </r>
  <r>
    <x v="0"/>
    <s v="MAY"/>
    <x v="0"/>
    <s v="GRSM 4"/>
    <x v="0"/>
    <s v="GMM"/>
    <n v="103259"/>
    <n v="9029389"/>
    <x v="0"/>
    <x v="0"/>
    <s v="AGLIO OLIO"/>
    <n v="2000"/>
    <n v="27"/>
    <n v="54000"/>
    <m/>
  </r>
  <r>
    <x v="0"/>
    <s v="MAY"/>
    <x v="0"/>
    <s v="GRSM 4"/>
    <x v="0"/>
    <s v="GMM"/>
    <n v="103259"/>
    <n v="9029389"/>
    <x v="0"/>
    <x v="0"/>
    <s v="GORENG"/>
    <n v="2000"/>
    <n v="189"/>
    <n v="378000"/>
    <m/>
  </r>
  <r>
    <x v="0"/>
    <s v="MAY"/>
    <x v="0"/>
    <s v="GRSM 4"/>
    <x v="0"/>
    <s v="GMM"/>
    <n v="103259"/>
    <n v="9029389"/>
    <x v="0"/>
    <x v="1"/>
    <s v="BOLOGNESE"/>
    <n v="2000"/>
    <n v="51"/>
    <n v="102000"/>
    <n v="120"/>
  </r>
  <r>
    <x v="0"/>
    <s v="MAY"/>
    <x v="0"/>
    <s v="GRSM 4"/>
    <x v="0"/>
    <s v="GMM"/>
    <n v="103259"/>
    <n v="9029389"/>
    <x v="0"/>
    <x v="1"/>
    <s v="CARBONARA"/>
    <n v="2000"/>
    <n v="54"/>
    <n v="108000"/>
    <m/>
  </r>
  <r>
    <x v="0"/>
    <s v="MAY"/>
    <x v="0"/>
    <s v="GRSM 4"/>
    <x v="0"/>
    <s v="GMM"/>
    <n v="103259"/>
    <n v="9029389"/>
    <x v="0"/>
    <x v="1"/>
    <s v="AGLIO OLIO"/>
    <n v="2000"/>
    <n v="39"/>
    <n v="78000"/>
    <m/>
  </r>
  <r>
    <x v="0"/>
    <s v="MAY"/>
    <x v="0"/>
    <s v="GRSM 4"/>
    <x v="0"/>
    <s v="GMM"/>
    <n v="103259"/>
    <n v="9029389"/>
    <x v="0"/>
    <x v="1"/>
    <s v="GORENG"/>
    <n v="2000"/>
    <n v="129"/>
    <n v="258000"/>
    <m/>
  </r>
  <r>
    <x v="0"/>
    <s v="MAY"/>
    <x v="0"/>
    <s v="GRSM 4"/>
    <x v="0"/>
    <s v="GMM"/>
    <n v="103259"/>
    <n v="9029389"/>
    <x v="0"/>
    <x v="0"/>
    <s v="BOLOGNESE"/>
    <n v="2000"/>
    <n v="75"/>
    <n v="150000"/>
    <n v="120"/>
  </r>
  <r>
    <x v="0"/>
    <s v="MAY"/>
    <x v="1"/>
    <s v="GRSM 4"/>
    <x v="0"/>
    <s v="GMM"/>
    <n v="103259"/>
    <n v="9029389"/>
    <x v="0"/>
    <x v="0"/>
    <s v="CARBONARA"/>
    <n v="2000"/>
    <n v="84"/>
    <n v="168000"/>
    <m/>
  </r>
  <r>
    <x v="0"/>
    <s v="MAY"/>
    <x v="1"/>
    <s v="GRSM 4"/>
    <x v="0"/>
    <s v="GMM"/>
    <n v="103259"/>
    <n v="9029389"/>
    <x v="0"/>
    <x v="0"/>
    <s v="AGLIO OLIO"/>
    <n v="2000"/>
    <n v="54"/>
    <n v="108000"/>
    <m/>
  </r>
  <r>
    <x v="0"/>
    <s v="MAY"/>
    <x v="1"/>
    <s v="GRSM 4"/>
    <x v="0"/>
    <s v="GMM"/>
    <n v="103259"/>
    <n v="9029389"/>
    <x v="0"/>
    <x v="0"/>
    <s v="GORENG"/>
    <n v="2000"/>
    <n v="90"/>
    <n v="180000"/>
    <m/>
  </r>
  <r>
    <x v="0"/>
    <s v="MAY"/>
    <x v="1"/>
    <s v="GRSM 4"/>
    <x v="0"/>
    <s v="GMM"/>
    <n v="103259"/>
    <n v="9029389"/>
    <x v="0"/>
    <x v="1"/>
    <s v="BOLOGNESE"/>
    <n v="2000"/>
    <n v="81"/>
    <n v="162000"/>
    <n v="160"/>
  </r>
  <r>
    <x v="0"/>
    <s v="MAY"/>
    <x v="1"/>
    <s v="GRSM 4"/>
    <x v="0"/>
    <s v="GMM"/>
    <n v="103259"/>
    <n v="9029389"/>
    <x v="0"/>
    <x v="1"/>
    <s v="CARBONARA"/>
    <n v="2000"/>
    <n v="69"/>
    <n v="138000"/>
    <m/>
  </r>
  <r>
    <x v="0"/>
    <s v="MAY"/>
    <x v="1"/>
    <s v="GRSM 4"/>
    <x v="0"/>
    <s v="GMM"/>
    <n v="103259"/>
    <n v="9029389"/>
    <x v="0"/>
    <x v="1"/>
    <s v="AGLIO OLIO"/>
    <n v="2000"/>
    <n v="57"/>
    <n v="114000"/>
    <m/>
  </r>
  <r>
    <x v="0"/>
    <s v="MAY"/>
    <x v="1"/>
    <s v="GRSM 4"/>
    <x v="0"/>
    <s v="GMM"/>
    <n v="103259"/>
    <n v="9029389"/>
    <x v="0"/>
    <x v="1"/>
    <s v="GORENG"/>
    <n v="2000"/>
    <n v="72"/>
    <n v="144000"/>
    <m/>
  </r>
  <r>
    <x v="0"/>
    <s v="MAY"/>
    <x v="1"/>
    <s v="GRSM 4"/>
    <x v="0"/>
    <s v="GMM"/>
    <n v="103259"/>
    <n v="9029389"/>
    <x v="0"/>
    <x v="1"/>
    <s v="BOLOGNESE"/>
    <n v="2000"/>
    <n v="72"/>
    <n v="144000"/>
    <n v="160"/>
  </r>
  <r>
    <x v="0"/>
    <s v="MAY"/>
    <x v="2"/>
    <s v="GRSM 4"/>
    <x v="0"/>
    <s v="GMM"/>
    <n v="103259"/>
    <n v="9029389"/>
    <x v="0"/>
    <x v="1"/>
    <s v="CARBONARA"/>
    <n v="2000"/>
    <n v="63"/>
    <n v="126000"/>
    <m/>
  </r>
  <r>
    <x v="0"/>
    <s v="MAY"/>
    <x v="2"/>
    <s v="GRSM 4"/>
    <x v="0"/>
    <s v="GMM"/>
    <n v="103259"/>
    <n v="9029389"/>
    <x v="0"/>
    <x v="1"/>
    <s v="AGLIO OLIO"/>
    <n v="2000"/>
    <n v="36"/>
    <n v="72000"/>
    <m/>
  </r>
  <r>
    <x v="0"/>
    <s v="MAY"/>
    <x v="2"/>
    <s v="GRSM 4"/>
    <x v="0"/>
    <s v="GMM"/>
    <n v="103259"/>
    <n v="9029389"/>
    <x v="0"/>
    <x v="1"/>
    <s v="GORENG"/>
    <n v="2000"/>
    <n v="93"/>
    <n v="186000"/>
    <m/>
  </r>
  <r>
    <x v="0"/>
    <s v="MAY"/>
    <x v="2"/>
    <s v="GRSM 4"/>
    <x v="0"/>
    <s v="GMM"/>
    <n v="103259"/>
    <n v="9029389"/>
    <x v="0"/>
    <x v="0"/>
    <s v="BOLOGNESE"/>
    <n v="2000"/>
    <n v="87"/>
    <n v="174000"/>
    <n v="160"/>
  </r>
  <r>
    <x v="0"/>
    <s v="MAY"/>
    <x v="2"/>
    <s v="GRSM 4"/>
    <x v="0"/>
    <s v="GMM"/>
    <n v="103259"/>
    <n v="9029389"/>
    <x v="0"/>
    <x v="0"/>
    <s v="CARBONARA"/>
    <n v="2000"/>
    <n v="60"/>
    <n v="120000"/>
    <m/>
  </r>
  <r>
    <x v="0"/>
    <s v="MAY"/>
    <x v="2"/>
    <s v="GRSM 4"/>
    <x v="0"/>
    <s v="GMM"/>
    <n v="103259"/>
    <n v="9029389"/>
    <x v="0"/>
    <x v="0"/>
    <s v="AGLIO OLIO"/>
    <n v="2000"/>
    <n v="66"/>
    <n v="132000"/>
    <m/>
  </r>
  <r>
    <x v="0"/>
    <s v="MAY"/>
    <x v="2"/>
    <s v="GRSM 4"/>
    <x v="0"/>
    <s v="GMM"/>
    <n v="103259"/>
    <n v="9029389"/>
    <x v="0"/>
    <x v="0"/>
    <s v="GORENG"/>
    <n v="2000"/>
    <n v="57"/>
    <n v="114000"/>
    <m/>
  </r>
  <r>
    <x v="0"/>
    <s v="MAY"/>
    <x v="2"/>
    <s v="GRSM 4"/>
    <x v="0"/>
    <s v="GMM"/>
    <n v="103277"/>
    <n v="6300538"/>
    <x v="1"/>
    <x v="2"/>
    <s v="BOLOGNESE"/>
    <n v="2975"/>
    <n v="33"/>
    <n v="98175"/>
    <n v="160"/>
  </r>
  <r>
    <x v="0"/>
    <s v="MAY"/>
    <x v="2"/>
    <s v="GRSM 4"/>
    <x v="0"/>
    <s v="GMM"/>
    <n v="103277"/>
    <n v="6300538"/>
    <x v="1"/>
    <x v="2"/>
    <s v="CARBONARA"/>
    <n v="2975"/>
    <n v="88"/>
    <n v="261800"/>
    <m/>
  </r>
  <r>
    <x v="0"/>
    <s v="MAY"/>
    <x v="2"/>
    <s v="GRSM 4"/>
    <x v="0"/>
    <s v="GMM"/>
    <n v="103277"/>
    <n v="6300538"/>
    <x v="1"/>
    <x v="2"/>
    <s v="AGLIO OLIO"/>
    <n v="2975"/>
    <n v="60"/>
    <n v="178500"/>
    <m/>
  </r>
  <r>
    <x v="0"/>
    <s v="MAY"/>
    <x v="2"/>
    <s v="GRSM 4"/>
    <x v="0"/>
    <s v="GMM"/>
    <n v="103277"/>
    <n v="6300538"/>
    <x v="1"/>
    <x v="2"/>
    <s v="GORENG"/>
    <n v="2975"/>
    <n v="149"/>
    <n v="443275"/>
    <m/>
  </r>
  <r>
    <x v="0"/>
    <s v="MAY"/>
    <x v="2"/>
    <s v="GRSM 4"/>
    <x v="0"/>
    <s v="GMM"/>
    <n v="103277"/>
    <n v="6300538"/>
    <x v="1"/>
    <x v="3"/>
    <s v="BOLOGNESE"/>
    <n v="2975"/>
    <n v="29"/>
    <n v="86275"/>
    <n v="147"/>
  </r>
  <r>
    <x v="0"/>
    <s v="MAY"/>
    <x v="2"/>
    <s v="GRSM 4"/>
    <x v="0"/>
    <s v="GMM"/>
    <n v="103277"/>
    <n v="6300538"/>
    <x v="1"/>
    <x v="3"/>
    <s v="CARBONARA"/>
    <n v="2975"/>
    <n v="81"/>
    <n v="240975"/>
    <m/>
  </r>
  <r>
    <x v="0"/>
    <s v="MAY"/>
    <x v="2"/>
    <s v="GRSM 4"/>
    <x v="0"/>
    <s v="GMM"/>
    <n v="103277"/>
    <n v="6300538"/>
    <x v="1"/>
    <x v="3"/>
    <s v="AGLIO OLIO"/>
    <n v="2975"/>
    <n v="47"/>
    <n v="139825"/>
    <m/>
  </r>
  <r>
    <x v="0"/>
    <s v="MAY"/>
    <x v="2"/>
    <s v="GRSM 4"/>
    <x v="0"/>
    <s v="GMM"/>
    <n v="103277"/>
    <n v="6300538"/>
    <x v="1"/>
    <x v="3"/>
    <s v="GORENG"/>
    <n v="2975"/>
    <n v="151"/>
    <n v="449225"/>
    <m/>
  </r>
  <r>
    <x v="0"/>
    <s v="MAY"/>
    <x v="2"/>
    <s v="GRSM 4"/>
    <x v="0"/>
    <s v="GMM"/>
    <n v="189901"/>
    <n v="1602020"/>
    <x v="2"/>
    <x v="4"/>
    <s v="BOLOGNESE"/>
    <n v="2200"/>
    <n v="65"/>
    <n v="143000"/>
    <n v="147"/>
  </r>
  <r>
    <x v="0"/>
    <s v="MAY"/>
    <x v="2"/>
    <s v="GRSM 4"/>
    <x v="0"/>
    <s v="GMM"/>
    <n v="189901"/>
    <n v="1602020"/>
    <x v="2"/>
    <x v="4"/>
    <s v="CARBONARA"/>
    <n v="2200"/>
    <n v="136"/>
    <n v="299200"/>
    <m/>
  </r>
  <r>
    <x v="0"/>
    <s v="MAY"/>
    <x v="2"/>
    <s v="GRSM 4"/>
    <x v="0"/>
    <s v="GMM"/>
    <n v="189901"/>
    <n v="1602020"/>
    <x v="2"/>
    <x v="4"/>
    <s v="AGLIO OLIO"/>
    <n v="2200"/>
    <n v="42"/>
    <n v="92400"/>
    <m/>
  </r>
  <r>
    <x v="0"/>
    <s v="MAY"/>
    <x v="2"/>
    <s v="GRSM 4"/>
    <x v="0"/>
    <s v="GMM"/>
    <n v="189901"/>
    <n v="1602020"/>
    <x v="2"/>
    <x v="5"/>
    <s v="BOLOGNESE"/>
    <n v="2200"/>
    <n v="63"/>
    <n v="138600"/>
    <n v="120"/>
  </r>
  <r>
    <x v="0"/>
    <s v="MAY"/>
    <x v="2"/>
    <s v="GRSM 4"/>
    <x v="0"/>
    <s v="GMM"/>
    <n v="189901"/>
    <n v="1602020"/>
    <x v="2"/>
    <x v="5"/>
    <s v="CARBONARA"/>
    <n v="2200"/>
    <n v="141"/>
    <n v="310200"/>
    <m/>
  </r>
  <r>
    <x v="0"/>
    <s v="MAY"/>
    <x v="2"/>
    <s v="GRSM 4"/>
    <x v="0"/>
    <s v="GMM"/>
    <n v="189901"/>
    <n v="1602020"/>
    <x v="2"/>
    <x v="5"/>
    <s v="AGLIO OLIO"/>
    <n v="2200"/>
    <n v="36"/>
    <n v="79200"/>
    <m/>
  </r>
  <r>
    <x v="0"/>
    <s v="MAY"/>
    <x v="2"/>
    <s v="GRSM 4"/>
    <x v="0"/>
    <s v="GMM"/>
    <n v="189901"/>
    <n v="1602020"/>
    <x v="2"/>
    <x v="5"/>
    <s v="BOLOGNESE"/>
    <n v="2200"/>
    <n v="54"/>
    <n v="118800"/>
    <n v="120"/>
  </r>
  <r>
    <x v="0"/>
    <s v="MAY"/>
    <x v="0"/>
    <s v="GRSM 4"/>
    <x v="0"/>
    <s v="GMM"/>
    <n v="189901"/>
    <n v="1602020"/>
    <x v="2"/>
    <x v="5"/>
    <s v="CARBONARA"/>
    <n v="2200"/>
    <n v="63"/>
    <n v="138600"/>
    <m/>
  </r>
  <r>
    <x v="0"/>
    <s v="MAY"/>
    <x v="0"/>
    <s v="GRSM 4"/>
    <x v="0"/>
    <s v="GMM"/>
    <n v="189901"/>
    <n v="1602020"/>
    <x v="2"/>
    <x v="5"/>
    <s v="AGLIO OLIO"/>
    <n v="2200"/>
    <n v="48"/>
    <n v="105600"/>
    <m/>
  </r>
  <r>
    <x v="0"/>
    <s v="MAY"/>
    <x v="0"/>
    <s v="GRSM 4"/>
    <x v="0"/>
    <s v="GMM"/>
    <n v="189901"/>
    <n v="1602020"/>
    <x v="2"/>
    <x v="4"/>
    <s v="BOLOGNESE"/>
    <n v="2200"/>
    <n v="57"/>
    <n v="125400"/>
    <n v="72"/>
  </r>
  <r>
    <x v="0"/>
    <s v="MAY"/>
    <x v="0"/>
    <s v="GRSM 4"/>
    <x v="0"/>
    <s v="GMM"/>
    <n v="189901"/>
    <n v="1602020"/>
    <x v="2"/>
    <x v="4"/>
    <s v="CARBONARA"/>
    <n v="2200"/>
    <n v="54"/>
    <n v="118800"/>
    <m/>
  </r>
  <r>
    <x v="0"/>
    <s v="MAY"/>
    <x v="0"/>
    <s v="GRSM 4"/>
    <x v="0"/>
    <s v="GMM"/>
    <n v="189901"/>
    <n v="1602020"/>
    <x v="2"/>
    <x v="4"/>
    <s v="AGLIO OLIO"/>
    <n v="2200"/>
    <n v="42"/>
    <n v="92400"/>
    <m/>
  </r>
  <r>
    <x v="0"/>
    <s v="MAY"/>
    <x v="0"/>
    <s v="GRSM 4"/>
    <x v="0"/>
    <s v="GMM"/>
    <n v="189901"/>
    <n v="1602020"/>
    <x v="2"/>
    <x v="5"/>
    <s v="BOLOGNESE"/>
    <n v="2200"/>
    <n v="70"/>
    <n v="154000"/>
    <n v="72"/>
  </r>
  <r>
    <x v="0"/>
    <s v="MAY"/>
    <x v="1"/>
    <s v="GRSM 4"/>
    <x v="0"/>
    <s v="GMM"/>
    <n v="189901"/>
    <n v="1602020"/>
    <x v="2"/>
    <x v="5"/>
    <s v="CARBONARA"/>
    <n v="2200"/>
    <n v="148"/>
    <n v="325600"/>
    <m/>
  </r>
  <r>
    <x v="0"/>
    <s v="MAY"/>
    <x v="1"/>
    <s v="GRSM 4"/>
    <x v="0"/>
    <s v="GMM"/>
    <n v="189901"/>
    <n v="1602020"/>
    <x v="2"/>
    <x v="5"/>
    <s v="AGLIO OLIO"/>
    <n v="2200"/>
    <n v="87"/>
    <n v="191400"/>
    <m/>
  </r>
  <r>
    <x v="0"/>
    <s v="MAY"/>
    <x v="1"/>
    <s v="GRSM 4"/>
    <x v="0"/>
    <s v="GMM"/>
    <n v="189901"/>
    <n v="1602020"/>
    <x v="2"/>
    <x v="4"/>
    <s v="BOLOGNESE"/>
    <n v="2200"/>
    <n v="80"/>
    <n v="176000"/>
    <n v="120"/>
  </r>
  <r>
    <x v="0"/>
    <s v="MAY"/>
    <x v="1"/>
    <s v="GRSM 4"/>
    <x v="0"/>
    <s v="GMM"/>
    <n v="189901"/>
    <n v="1602020"/>
    <x v="2"/>
    <x v="4"/>
    <s v="CARBONARA"/>
    <n v="2200"/>
    <n v="154"/>
    <n v="338800"/>
    <m/>
  </r>
  <r>
    <x v="0"/>
    <s v="MAY"/>
    <x v="1"/>
    <s v="GRSM 4"/>
    <x v="0"/>
    <s v="GMM"/>
    <n v="189901"/>
    <n v="1602020"/>
    <x v="2"/>
    <x v="4"/>
    <s v="AGLIO OLIO"/>
    <n v="2200"/>
    <n v="74"/>
    <n v="162800"/>
    <m/>
  </r>
  <r>
    <x v="0"/>
    <s v="MAY"/>
    <x v="1"/>
    <s v="GRSM 4"/>
    <x v="0"/>
    <s v="GMM"/>
    <n v="103277"/>
    <n v="6300538"/>
    <x v="1"/>
    <x v="2"/>
    <s v="BOLOGNESE"/>
    <n v="5139"/>
    <n v="33"/>
    <n v="169587"/>
    <n v="120"/>
  </r>
  <r>
    <x v="0"/>
    <s v="MAY"/>
    <x v="0"/>
    <s v="GRSM 4"/>
    <x v="0"/>
    <s v="GMM"/>
    <n v="103277"/>
    <n v="6300538"/>
    <x v="1"/>
    <x v="2"/>
    <s v="CARBONARA"/>
    <n v="3414"/>
    <n v="61"/>
    <n v="208254"/>
    <m/>
  </r>
  <r>
    <x v="0"/>
    <s v="MAY"/>
    <x v="0"/>
    <s v="GRSM 4"/>
    <x v="0"/>
    <s v="GMM"/>
    <n v="103277"/>
    <n v="6300538"/>
    <x v="1"/>
    <x v="2"/>
    <s v="AGLIO OLIO"/>
    <n v="2219"/>
    <n v="63"/>
    <n v="139797"/>
    <m/>
  </r>
  <r>
    <x v="0"/>
    <s v="MAY"/>
    <x v="0"/>
    <s v="GRSM 4"/>
    <x v="0"/>
    <s v="GMM"/>
    <n v="103277"/>
    <n v="6300538"/>
    <x v="1"/>
    <x v="2"/>
    <s v="GORENG"/>
    <n v="3176"/>
    <n v="74"/>
    <n v="235024"/>
    <m/>
  </r>
  <r>
    <x v="0"/>
    <s v="MAY"/>
    <x v="0"/>
    <s v="GRSM 4"/>
    <x v="0"/>
    <s v="GMM"/>
    <n v="103277"/>
    <n v="6300538"/>
    <x v="1"/>
    <x v="3"/>
    <s v="BOLOGNESE"/>
    <n v="2975"/>
    <n v="61"/>
    <n v="181475"/>
    <n v="112"/>
  </r>
  <r>
    <x v="0"/>
    <s v="MAY"/>
    <x v="0"/>
    <s v="GRSM 4"/>
    <x v="0"/>
    <s v="GMM"/>
    <n v="103277"/>
    <n v="6300538"/>
    <x v="1"/>
    <x v="3"/>
    <s v="CARBONARA"/>
    <n v="2975"/>
    <n v="63"/>
    <n v="187425"/>
    <m/>
  </r>
  <r>
    <x v="0"/>
    <s v="MAY"/>
    <x v="0"/>
    <s v="GRSM 4"/>
    <x v="0"/>
    <s v="GMM"/>
    <n v="103277"/>
    <n v="6300538"/>
    <x v="1"/>
    <x v="3"/>
    <s v="AGLIO OLIO"/>
    <n v="2975"/>
    <n v="33"/>
    <n v="98175"/>
    <m/>
  </r>
  <r>
    <x v="0"/>
    <s v="MAY"/>
    <x v="0"/>
    <s v="GRSM 4"/>
    <x v="0"/>
    <s v="GMM"/>
    <n v="103277"/>
    <n v="6300538"/>
    <x v="1"/>
    <x v="3"/>
    <s v="GORENG"/>
    <n v="3332"/>
    <n v="84"/>
    <n v="279888"/>
    <m/>
  </r>
  <r>
    <x v="0"/>
    <s v="MAY"/>
    <x v="0"/>
    <s v="GRSM 4"/>
    <x v="0"/>
    <s v="GMM"/>
    <n v="103277"/>
    <n v="6300538"/>
    <x v="1"/>
    <x v="2"/>
    <s v="BOLOGNESE"/>
    <n v="2975"/>
    <n v="29"/>
    <n v="86275"/>
    <n v="112"/>
  </r>
  <r>
    <x v="0"/>
    <s v="MAY"/>
    <x v="1"/>
    <s v="GRSM 4"/>
    <x v="0"/>
    <s v="GMM"/>
    <n v="103277"/>
    <n v="6300538"/>
    <x v="1"/>
    <x v="2"/>
    <s v="CARBONARA"/>
    <n v="2975"/>
    <n v="76"/>
    <n v="226100"/>
    <m/>
  </r>
  <r>
    <x v="0"/>
    <s v="MAY"/>
    <x v="1"/>
    <s v="GRSM 4"/>
    <x v="0"/>
    <s v="GMM"/>
    <n v="103277"/>
    <n v="6300538"/>
    <x v="1"/>
    <x v="2"/>
    <s v="AGLIO OLIO"/>
    <n v="2975"/>
    <n v="57"/>
    <n v="169575"/>
    <m/>
  </r>
  <r>
    <x v="0"/>
    <s v="MAY"/>
    <x v="1"/>
    <s v="GRSM 4"/>
    <x v="0"/>
    <s v="GMM"/>
    <n v="103277"/>
    <n v="6300538"/>
    <x v="1"/>
    <x v="2"/>
    <s v="GORENG"/>
    <n v="2975"/>
    <n v="127"/>
    <n v="377825"/>
    <m/>
  </r>
  <r>
    <x v="0"/>
    <s v="MAY"/>
    <x v="1"/>
    <s v="GRSM 4"/>
    <x v="0"/>
    <s v="GMM"/>
    <n v="103277"/>
    <n v="6300538"/>
    <x v="1"/>
    <x v="3"/>
    <s v="BOLOGNESE"/>
    <n v="2975"/>
    <n v="24"/>
    <n v="71400"/>
    <n v="120"/>
  </r>
  <r>
    <x v="0"/>
    <s v="MAY"/>
    <x v="1"/>
    <s v="GRSM 4"/>
    <x v="0"/>
    <s v="GMM"/>
    <n v="103277"/>
    <n v="6300538"/>
    <x v="1"/>
    <x v="3"/>
    <s v="CARBONARA"/>
    <n v="2975"/>
    <n v="74"/>
    <n v="220150"/>
    <m/>
  </r>
  <r>
    <x v="0"/>
    <s v="MAY"/>
    <x v="1"/>
    <s v="GRSM 4"/>
    <x v="0"/>
    <s v="GMM"/>
    <n v="103277"/>
    <n v="6300538"/>
    <x v="1"/>
    <x v="3"/>
    <s v="AGLIO OLIO"/>
    <n v="2975"/>
    <n v="43"/>
    <n v="127925"/>
    <m/>
  </r>
  <r>
    <x v="0"/>
    <s v="MAY"/>
    <x v="1"/>
    <s v="GRSM 4"/>
    <x v="0"/>
    <s v="GMM"/>
    <n v="103277"/>
    <n v="6300538"/>
    <x v="1"/>
    <x v="3"/>
    <s v="GORENG"/>
    <n v="2975"/>
    <n v="131"/>
    <n v="389725"/>
    <m/>
  </r>
  <r>
    <x v="0"/>
    <s v="MAY"/>
    <x v="1"/>
    <s v="GRSM 4"/>
    <x v="0"/>
    <s v="GMM"/>
    <n v="103259"/>
    <n v="9029389"/>
    <x v="0"/>
    <x v="1"/>
    <s v="BOLOGNESE"/>
    <n v="2000"/>
    <n v="57"/>
    <n v="114000"/>
    <n v="120"/>
  </r>
  <r>
    <x v="1"/>
    <s v="JUN"/>
    <x v="3"/>
    <s v="GRSM 4"/>
    <x v="0"/>
    <s v="GMM"/>
    <n v="103259"/>
    <n v="9029389"/>
    <x v="0"/>
    <x v="1"/>
    <s v="CARBONARA"/>
    <n v="2000"/>
    <n v="66"/>
    <n v="132000"/>
    <m/>
  </r>
  <r>
    <x v="1"/>
    <s v="JUN"/>
    <x v="3"/>
    <s v="GRSM 4"/>
    <x v="0"/>
    <s v="GMM"/>
    <n v="103259"/>
    <n v="9029389"/>
    <x v="0"/>
    <x v="1"/>
    <s v="AGLIO OLIO"/>
    <n v="2000"/>
    <n v="30"/>
    <n v="60000"/>
    <m/>
  </r>
  <r>
    <x v="1"/>
    <s v="JUN"/>
    <x v="3"/>
    <s v="GRSM 4"/>
    <x v="0"/>
    <s v="GMM"/>
    <n v="103259"/>
    <n v="9029389"/>
    <x v="0"/>
    <x v="1"/>
    <s v="GORENG"/>
    <n v="2000"/>
    <n v="60"/>
    <n v="120000"/>
    <m/>
  </r>
  <r>
    <x v="1"/>
    <s v="JUN"/>
    <x v="3"/>
    <s v="GRSM 4"/>
    <x v="0"/>
    <s v="GMM"/>
    <n v="103259"/>
    <n v="9029389"/>
    <x v="0"/>
    <x v="0"/>
    <s v="BOLOGNESE"/>
    <n v="2000"/>
    <n v="63"/>
    <n v="126000"/>
    <n v="160"/>
  </r>
  <r>
    <x v="1"/>
    <s v="JUN"/>
    <x v="3"/>
    <s v="GRSM 4"/>
    <x v="0"/>
    <s v="GMM"/>
    <n v="103259"/>
    <n v="9029389"/>
    <x v="0"/>
    <x v="0"/>
    <s v="CARBONARA"/>
    <n v="2000"/>
    <n v="54"/>
    <n v="108000"/>
    <m/>
  </r>
  <r>
    <x v="1"/>
    <s v="JUN"/>
    <x v="3"/>
    <s v="GRSM 4"/>
    <x v="0"/>
    <s v="GMM"/>
    <n v="103259"/>
    <n v="9029389"/>
    <x v="0"/>
    <x v="0"/>
    <s v="AGLIO OLIO"/>
    <n v="2000"/>
    <n v="30"/>
    <n v="60000"/>
    <m/>
  </r>
  <r>
    <x v="1"/>
    <s v="JUN"/>
    <x v="3"/>
    <s v="GRSM 4"/>
    <x v="0"/>
    <s v="GMM"/>
    <n v="103259"/>
    <n v="9029389"/>
    <x v="0"/>
    <x v="0"/>
    <s v="GORENG"/>
    <n v="2000"/>
    <n v="120"/>
    <n v="240000"/>
    <m/>
  </r>
  <r>
    <x v="1"/>
    <s v="JUN"/>
    <x v="3"/>
    <s v="GRSM 3A"/>
    <x v="0"/>
    <s v="GMM"/>
    <n v="103272"/>
    <n v="1178"/>
    <x v="3"/>
    <x v="6"/>
    <s v="BOLOGNESE"/>
    <n v="3145"/>
    <n v="13"/>
    <n v="40885"/>
    <n v="160"/>
  </r>
  <r>
    <x v="1"/>
    <s v="JUN"/>
    <x v="3"/>
    <s v="GRSM 3A"/>
    <x v="0"/>
    <s v="GMM"/>
    <n v="103272"/>
    <n v="1178"/>
    <x v="3"/>
    <x v="6"/>
    <s v="CARBONARA"/>
    <n v="3145"/>
    <n v="28"/>
    <n v="88060"/>
    <m/>
  </r>
  <r>
    <x v="1"/>
    <s v="JUN"/>
    <x v="3"/>
    <s v="GRSM 3A"/>
    <x v="0"/>
    <s v="GMM"/>
    <n v="103272"/>
    <n v="1178"/>
    <x v="3"/>
    <x v="6"/>
    <s v="AGLIO OLIO"/>
    <n v="3145"/>
    <n v="9"/>
    <n v="28305"/>
    <m/>
  </r>
  <r>
    <x v="1"/>
    <s v="JUN"/>
    <x v="3"/>
    <s v="GRSM 3A"/>
    <x v="0"/>
    <s v="GMM"/>
    <n v="103272"/>
    <n v="1178"/>
    <x v="3"/>
    <x v="6"/>
    <s v="GORENG"/>
    <n v="3145"/>
    <n v="45"/>
    <n v="141525"/>
    <m/>
  </r>
  <r>
    <x v="1"/>
    <s v="JUN"/>
    <x v="3"/>
    <s v="GRSM 4"/>
    <x v="0"/>
    <s v="GMM"/>
    <n v="103277"/>
    <n v="6300538"/>
    <x v="1"/>
    <x v="3"/>
    <s v="BOLOGNESE"/>
    <n v="2975"/>
    <n v="50"/>
    <n v="148750"/>
    <n v="100"/>
  </r>
  <r>
    <x v="1"/>
    <s v="JUN"/>
    <x v="3"/>
    <s v="GRSM 4"/>
    <x v="0"/>
    <s v="GMM"/>
    <n v="103277"/>
    <n v="6300538"/>
    <x v="1"/>
    <x v="3"/>
    <s v="CARBONARA"/>
    <n v="2975"/>
    <n v="41"/>
    <n v="121975"/>
    <m/>
  </r>
  <r>
    <x v="1"/>
    <s v="JUN"/>
    <x v="3"/>
    <s v="GRSM 4"/>
    <x v="0"/>
    <s v="GMM"/>
    <n v="103277"/>
    <n v="6300538"/>
    <x v="1"/>
    <x v="3"/>
    <s v="AGLIO OLIO"/>
    <n v="2975"/>
    <n v="39"/>
    <n v="116025"/>
    <m/>
  </r>
  <r>
    <x v="1"/>
    <s v="JUN"/>
    <x v="3"/>
    <s v="GRSM 4"/>
    <x v="0"/>
    <s v="GMM"/>
    <n v="103277"/>
    <n v="6300538"/>
    <x v="1"/>
    <x v="3"/>
    <s v="GORENG"/>
    <n v="2975"/>
    <n v="147"/>
    <n v="437325"/>
    <m/>
  </r>
  <r>
    <x v="1"/>
    <s v="JUN"/>
    <x v="3"/>
    <s v="GRSM 4"/>
    <x v="0"/>
    <s v="GMM"/>
    <n v="103277"/>
    <n v="6300538"/>
    <x v="1"/>
    <x v="2"/>
    <s v="BOLOGNESE"/>
    <n v="2975"/>
    <n v="57"/>
    <n v="169575"/>
    <n v="132"/>
  </r>
  <r>
    <x v="1"/>
    <s v="JUN"/>
    <x v="3"/>
    <s v="GRSM 4"/>
    <x v="0"/>
    <s v="GMM"/>
    <n v="103277"/>
    <n v="6300538"/>
    <x v="1"/>
    <x v="2"/>
    <s v="CARBONARA"/>
    <n v="2975"/>
    <n v="73"/>
    <n v="217175"/>
    <m/>
  </r>
  <r>
    <x v="1"/>
    <s v="JUN"/>
    <x v="3"/>
    <s v="GRSM 4"/>
    <x v="0"/>
    <s v="GMM"/>
    <n v="103277"/>
    <n v="6300538"/>
    <x v="1"/>
    <x v="2"/>
    <s v="AGLIO OLIO"/>
    <n v="2975"/>
    <n v="51"/>
    <n v="151725"/>
    <m/>
  </r>
  <r>
    <x v="1"/>
    <s v="JUN"/>
    <x v="3"/>
    <s v="GRSM 4"/>
    <x v="0"/>
    <s v="GMM"/>
    <n v="103277"/>
    <n v="6300538"/>
    <x v="1"/>
    <x v="2"/>
    <s v="GORENG"/>
    <n v="2975"/>
    <n v="165"/>
    <n v="490875"/>
    <m/>
  </r>
  <r>
    <x v="1"/>
    <s v="JUN"/>
    <x v="3"/>
    <s v="GRSM 4"/>
    <x v="0"/>
    <s v="GMM"/>
    <n v="103257"/>
    <n v="9162509"/>
    <x v="4"/>
    <x v="7"/>
    <s v="BOLOGNESE"/>
    <n v="3200"/>
    <n v="40"/>
    <n v="128000"/>
    <n v="132"/>
  </r>
  <r>
    <x v="1"/>
    <s v="JUN"/>
    <x v="3"/>
    <s v="GRSM 4"/>
    <x v="0"/>
    <s v="GMM"/>
    <n v="103257"/>
    <n v="9162509"/>
    <x v="4"/>
    <x v="7"/>
    <s v="CARBONARA"/>
    <n v="3200"/>
    <n v="35"/>
    <n v="112000"/>
    <m/>
  </r>
  <r>
    <x v="1"/>
    <s v="JUN"/>
    <x v="3"/>
    <s v="GRSM 4"/>
    <x v="0"/>
    <s v="GMM"/>
    <n v="103257"/>
    <n v="9162509"/>
    <x v="4"/>
    <x v="7"/>
    <s v="AGLIO OLIO"/>
    <n v="3200"/>
    <n v="30"/>
    <n v="96000"/>
    <m/>
  </r>
  <r>
    <x v="1"/>
    <s v="JUN"/>
    <x v="3"/>
    <s v="GRSM 4"/>
    <x v="0"/>
    <s v="GMM"/>
    <n v="103257"/>
    <n v="9162509"/>
    <x v="4"/>
    <x v="7"/>
    <s v="GORENG"/>
    <n v="3200"/>
    <n v="105"/>
    <n v="336000"/>
    <m/>
  </r>
  <r>
    <x v="1"/>
    <s v="JUN"/>
    <x v="3"/>
    <s v="GRSM 4"/>
    <x v="0"/>
    <s v="GMM"/>
    <n v="103257"/>
    <n v="9162509"/>
    <x v="4"/>
    <x v="8"/>
    <s v="BOLOGNESE"/>
    <n v="3200"/>
    <n v="35"/>
    <n v="112000"/>
    <n v="160"/>
  </r>
  <r>
    <x v="1"/>
    <s v="JUN"/>
    <x v="3"/>
    <s v="GRSM 4"/>
    <x v="0"/>
    <s v="GMM"/>
    <n v="103257"/>
    <n v="9162509"/>
    <x v="4"/>
    <x v="8"/>
    <s v="CARBONARA"/>
    <n v="3200"/>
    <n v="30"/>
    <n v="96000"/>
    <m/>
  </r>
  <r>
    <x v="1"/>
    <s v="JUN"/>
    <x v="3"/>
    <s v="GRSM 4"/>
    <x v="0"/>
    <s v="GMM"/>
    <n v="103257"/>
    <n v="9162509"/>
    <x v="4"/>
    <x v="8"/>
    <s v="AGLIO OLIO"/>
    <n v="3200"/>
    <n v="25"/>
    <n v="80000"/>
    <m/>
  </r>
  <r>
    <x v="1"/>
    <s v="JUN"/>
    <x v="3"/>
    <s v="GRSM 4"/>
    <x v="0"/>
    <s v="GMM"/>
    <n v="103257"/>
    <n v="9162509"/>
    <x v="4"/>
    <x v="8"/>
    <s v="GORENG"/>
    <n v="3200"/>
    <n v="100"/>
    <n v="320000"/>
    <m/>
  </r>
  <r>
    <x v="1"/>
    <s v="JUN"/>
    <x v="3"/>
    <s v="GRSM 4"/>
    <x v="0"/>
    <s v="GMM"/>
    <n v="103259"/>
    <n v="9013525"/>
    <x v="5"/>
    <x v="9"/>
    <s v="BOLOGNESE"/>
    <n v="1203"/>
    <n v="140"/>
    <n v="168420"/>
    <n v="160"/>
  </r>
  <r>
    <x v="1"/>
    <s v="JUN"/>
    <x v="4"/>
    <s v="GRSM 4"/>
    <x v="0"/>
    <s v="GMM"/>
    <n v="103259"/>
    <n v="9013525"/>
    <x v="5"/>
    <x v="9"/>
    <s v="CARBONARA"/>
    <n v="1200"/>
    <n v="140"/>
    <n v="168000"/>
    <m/>
  </r>
  <r>
    <x v="1"/>
    <s v="JUN"/>
    <x v="4"/>
    <s v="GRSM 4"/>
    <x v="0"/>
    <s v="GMM"/>
    <n v="103259"/>
    <n v="9013525"/>
    <x v="5"/>
    <x v="9"/>
    <s v="AGLIO OLIO"/>
    <n v="1000"/>
    <n v="120"/>
    <n v="120000"/>
    <m/>
  </r>
  <r>
    <x v="1"/>
    <s v="JUN"/>
    <x v="4"/>
    <s v="GRSM 4"/>
    <x v="0"/>
    <s v="GMM"/>
    <n v="103259"/>
    <n v="9013525"/>
    <x v="5"/>
    <x v="9"/>
    <s v="GORENG"/>
    <n v="1875"/>
    <n v="216"/>
    <n v="405000"/>
    <m/>
  </r>
  <r>
    <x v="1"/>
    <s v="JUN"/>
    <x v="4"/>
    <s v="GRSM 4"/>
    <x v="0"/>
    <s v="GMM"/>
    <n v="103259"/>
    <n v="9029389"/>
    <x v="0"/>
    <x v="1"/>
    <s v="BOLOGNESE"/>
    <n v="2000"/>
    <n v="57"/>
    <n v="114000"/>
    <n v="160"/>
  </r>
  <r>
    <x v="1"/>
    <s v="JUN"/>
    <x v="4"/>
    <s v="GRSM 4"/>
    <x v="0"/>
    <s v="GMM"/>
    <n v="103259"/>
    <n v="9029389"/>
    <x v="0"/>
    <x v="1"/>
    <s v="CARBONARA"/>
    <n v="2000"/>
    <n v="81"/>
    <n v="162000"/>
    <m/>
  </r>
  <r>
    <x v="1"/>
    <s v="JUN"/>
    <x v="4"/>
    <s v="GRSM 4"/>
    <x v="0"/>
    <s v="GMM"/>
    <n v="103259"/>
    <n v="9029389"/>
    <x v="0"/>
    <x v="1"/>
    <s v="AGLIO OLIO"/>
    <n v="2000"/>
    <n v="30"/>
    <n v="60000"/>
    <m/>
  </r>
  <r>
    <x v="1"/>
    <s v="JUN"/>
    <x v="4"/>
    <s v="GRSM 4"/>
    <x v="0"/>
    <s v="GMM"/>
    <n v="103259"/>
    <n v="9029389"/>
    <x v="0"/>
    <x v="1"/>
    <s v="GORENG"/>
    <n v="2000"/>
    <n v="99"/>
    <n v="198000"/>
    <m/>
  </r>
  <r>
    <x v="1"/>
    <s v="JUN"/>
    <x v="4"/>
    <s v="GRSM 4"/>
    <x v="0"/>
    <s v="GMM"/>
    <n v="103259"/>
    <n v="9029389"/>
    <x v="0"/>
    <x v="10"/>
    <s v="BOLOGNESE"/>
    <n v="2000"/>
    <n v="72"/>
    <n v="144000"/>
    <n v="160"/>
  </r>
  <r>
    <x v="1"/>
    <s v="JUN"/>
    <x v="4"/>
    <s v="GRSM 4"/>
    <x v="0"/>
    <s v="GMM"/>
    <n v="103259"/>
    <n v="9029389"/>
    <x v="0"/>
    <x v="10"/>
    <s v="CARBONARA"/>
    <n v="2000"/>
    <n v="60"/>
    <n v="120000"/>
    <m/>
  </r>
  <r>
    <x v="1"/>
    <s v="JUN"/>
    <x v="4"/>
    <s v="GRSM 4"/>
    <x v="0"/>
    <s v="GMM"/>
    <n v="103259"/>
    <n v="9029389"/>
    <x v="0"/>
    <x v="10"/>
    <s v="AGLIO OLIO"/>
    <n v="2000"/>
    <n v="39"/>
    <n v="78000"/>
    <m/>
  </r>
  <r>
    <x v="1"/>
    <s v="JUN"/>
    <x v="4"/>
    <s v="GRSM 4"/>
    <x v="0"/>
    <s v="GMM"/>
    <n v="103259"/>
    <n v="9029389"/>
    <x v="0"/>
    <x v="10"/>
    <s v="GORENG"/>
    <n v="2000"/>
    <n v="81"/>
    <n v="162000"/>
    <m/>
  </r>
  <r>
    <x v="1"/>
    <s v="JUN"/>
    <x v="4"/>
    <s v="GRSM 4"/>
    <x v="0"/>
    <s v="GMM"/>
    <n v="103257"/>
    <n v="9162509"/>
    <x v="4"/>
    <x v="8"/>
    <s v="BOLOGNESE"/>
    <n v="3200"/>
    <n v="40"/>
    <n v="128000"/>
    <n v="160"/>
  </r>
  <r>
    <x v="1"/>
    <s v="JUN"/>
    <x v="4"/>
    <s v="GRSM 4"/>
    <x v="0"/>
    <s v="GMM"/>
    <n v="103257"/>
    <n v="9162509"/>
    <x v="4"/>
    <x v="8"/>
    <s v="CARBONARA"/>
    <n v="3200"/>
    <n v="35"/>
    <n v="112000"/>
    <m/>
  </r>
  <r>
    <x v="1"/>
    <s v="JUN"/>
    <x v="4"/>
    <s v="GRSM 4"/>
    <x v="0"/>
    <s v="GMM"/>
    <n v="103257"/>
    <n v="9162509"/>
    <x v="4"/>
    <x v="8"/>
    <s v="AGLIO OLIO"/>
    <n v="3200"/>
    <n v="40"/>
    <n v="128000"/>
    <m/>
  </r>
  <r>
    <x v="1"/>
    <s v="JUN"/>
    <x v="4"/>
    <s v="GRSM 4"/>
    <x v="0"/>
    <s v="GMM"/>
    <n v="103257"/>
    <n v="9162509"/>
    <x v="4"/>
    <x v="8"/>
    <s v="GORENG"/>
    <n v="3200"/>
    <n v="130"/>
    <n v="416000"/>
    <m/>
  </r>
  <r>
    <x v="1"/>
    <s v="JUN"/>
    <x v="4"/>
    <s v="GRSM 4"/>
    <x v="0"/>
    <s v="GMM"/>
    <n v="103257"/>
    <n v="9162509"/>
    <x v="4"/>
    <x v="7"/>
    <s v="BOLOGNESE"/>
    <n v="3200"/>
    <n v="45"/>
    <n v="144000"/>
    <n v="160"/>
  </r>
  <r>
    <x v="1"/>
    <s v="JUN"/>
    <x v="4"/>
    <s v="GRSM 4"/>
    <x v="0"/>
    <s v="GMM"/>
    <n v="103257"/>
    <n v="9162509"/>
    <x v="4"/>
    <x v="7"/>
    <s v="CARBONARA"/>
    <n v="3200"/>
    <n v="40"/>
    <n v="128000"/>
    <m/>
  </r>
  <r>
    <x v="1"/>
    <s v="JUN"/>
    <x v="4"/>
    <s v="GRSM 4"/>
    <x v="0"/>
    <s v="GMM"/>
    <n v="103257"/>
    <n v="9162509"/>
    <x v="4"/>
    <x v="7"/>
    <s v="AGLIO OLIO"/>
    <n v="3200"/>
    <n v="45"/>
    <n v="144000"/>
    <m/>
  </r>
  <r>
    <x v="1"/>
    <s v="JUN"/>
    <x v="4"/>
    <s v="GRSM 4"/>
    <x v="0"/>
    <s v="GMM"/>
    <n v="103257"/>
    <n v="9162509"/>
    <x v="4"/>
    <x v="7"/>
    <s v="GORENG"/>
    <n v="3200"/>
    <n v="135"/>
    <n v="432000"/>
    <m/>
  </r>
  <r>
    <x v="1"/>
    <s v="JUN"/>
    <x v="4"/>
    <s v="GRSM 4"/>
    <x v="0"/>
    <s v="GMM"/>
    <n v="103277"/>
    <n v="6300538"/>
    <x v="1"/>
    <x v="3"/>
    <s v="BOLOGNESE"/>
    <n v="2975"/>
    <n v="48"/>
    <n v="142800"/>
    <n v="160"/>
  </r>
  <r>
    <x v="1"/>
    <s v="JUN"/>
    <x v="4"/>
    <s v="GRSM 4"/>
    <x v="0"/>
    <s v="GMM"/>
    <n v="103277"/>
    <n v="6300538"/>
    <x v="1"/>
    <x v="3"/>
    <s v="CARBONARA"/>
    <n v="2975"/>
    <n v="24"/>
    <n v="71400"/>
    <m/>
  </r>
  <r>
    <x v="1"/>
    <s v="JUN"/>
    <x v="4"/>
    <s v="GRSM 4"/>
    <x v="0"/>
    <s v="GMM"/>
    <n v="103277"/>
    <n v="6300538"/>
    <x v="1"/>
    <x v="3"/>
    <s v="AGLIO OLIO"/>
    <n v="2975"/>
    <n v="43"/>
    <n v="127925"/>
    <m/>
  </r>
  <r>
    <x v="1"/>
    <s v="JUN"/>
    <x v="4"/>
    <s v="GRSM 4"/>
    <x v="0"/>
    <s v="GMM"/>
    <n v="103277"/>
    <n v="6300538"/>
    <x v="1"/>
    <x v="3"/>
    <s v="GORENG"/>
    <n v="2975"/>
    <n v="156"/>
    <n v="464100"/>
    <m/>
  </r>
  <r>
    <x v="1"/>
    <s v="JUN"/>
    <x v="4"/>
    <s v="GRSM 4"/>
    <x v="0"/>
    <s v="GMM"/>
    <n v="103277"/>
    <n v="6300538"/>
    <x v="1"/>
    <x v="2"/>
    <s v="BOLOGNESE"/>
    <n v="2975"/>
    <n v="52"/>
    <n v="154700"/>
    <n v="141"/>
  </r>
  <r>
    <x v="1"/>
    <s v="JUN"/>
    <x v="4"/>
    <s v="GRSM 4"/>
    <x v="0"/>
    <s v="GMM"/>
    <n v="103277"/>
    <n v="6300538"/>
    <x v="1"/>
    <x v="2"/>
    <s v="CARBONARA"/>
    <n v="2975"/>
    <n v="27"/>
    <n v="80325"/>
    <m/>
  </r>
  <r>
    <x v="1"/>
    <s v="JUN"/>
    <x v="4"/>
    <s v="GRSM 4"/>
    <x v="0"/>
    <s v="GMM"/>
    <n v="103277"/>
    <n v="6300538"/>
    <x v="1"/>
    <x v="2"/>
    <s v="AGLIO OLIO"/>
    <n v="2975"/>
    <n v="54"/>
    <n v="160650"/>
    <m/>
  </r>
  <r>
    <x v="1"/>
    <s v="JUN"/>
    <x v="4"/>
    <s v="GRSM 4"/>
    <x v="0"/>
    <s v="GMM"/>
    <n v="103277"/>
    <n v="6300538"/>
    <x v="1"/>
    <x v="2"/>
    <s v="GORENG"/>
    <n v="2975"/>
    <n v="154"/>
    <n v="458150"/>
    <m/>
  </r>
  <r>
    <x v="1"/>
    <s v="JUN"/>
    <x v="4"/>
    <s v="GRSM 3A"/>
    <x v="0"/>
    <s v="GMM"/>
    <n v="103272"/>
    <n v="1178"/>
    <x v="3"/>
    <x v="6"/>
    <s v="BOLOGNESE"/>
    <n v="3145"/>
    <n v="27"/>
    <n v="84915"/>
    <n v="141"/>
  </r>
  <r>
    <x v="1"/>
    <s v="JUN"/>
    <x v="4"/>
    <s v="GRSM 3A"/>
    <x v="0"/>
    <s v="GMM"/>
    <n v="103272"/>
    <n v="1178"/>
    <x v="3"/>
    <x v="6"/>
    <s v="CARBONARA"/>
    <n v="3145"/>
    <n v="24"/>
    <n v="75480"/>
    <m/>
  </r>
  <r>
    <x v="1"/>
    <s v="JUN"/>
    <x v="4"/>
    <s v="GRSM 3A"/>
    <x v="0"/>
    <s v="GMM"/>
    <n v="103272"/>
    <n v="1178"/>
    <x v="3"/>
    <x v="6"/>
    <s v="AGLIO OLIO"/>
    <n v="3145"/>
    <n v="26"/>
    <n v="81770"/>
    <m/>
  </r>
  <r>
    <x v="1"/>
    <s v="JUN"/>
    <x v="4"/>
    <s v="GRSM 3A"/>
    <x v="0"/>
    <s v="GMM"/>
    <n v="103272"/>
    <n v="1178"/>
    <x v="3"/>
    <x v="6"/>
    <s v="GORENG"/>
    <n v="3145"/>
    <n v="63"/>
    <n v="198135"/>
    <m/>
  </r>
  <r>
    <x v="1"/>
    <s v="JUN"/>
    <x v="4"/>
    <s v="GRSM 3A"/>
    <x v="0"/>
    <s v="GMM"/>
    <n v="103272"/>
    <n v="1178"/>
    <x v="3"/>
    <x v="11"/>
    <s v="BOLOGNESE"/>
    <n v="3145"/>
    <n v="27"/>
    <n v="84915"/>
    <n v="120"/>
  </r>
  <r>
    <x v="1"/>
    <s v="JUN"/>
    <x v="4"/>
    <s v="GRSM 3A"/>
    <x v="0"/>
    <s v="GMM"/>
    <n v="103272"/>
    <n v="1178"/>
    <x v="3"/>
    <x v="11"/>
    <s v="CARBONARA"/>
    <n v="3145"/>
    <n v="24"/>
    <n v="75480"/>
    <m/>
  </r>
  <r>
    <x v="1"/>
    <s v="JUN"/>
    <x v="4"/>
    <s v="GRSM 3A"/>
    <x v="0"/>
    <s v="GMM"/>
    <n v="103272"/>
    <n v="1178"/>
    <x v="3"/>
    <x v="11"/>
    <s v="AGLIO OLIO"/>
    <n v="3145"/>
    <n v="24"/>
    <n v="75480"/>
    <m/>
  </r>
  <r>
    <x v="1"/>
    <s v="JUN"/>
    <x v="4"/>
    <s v="GRSM 3A"/>
    <x v="0"/>
    <s v="GMM"/>
    <n v="103272"/>
    <n v="1178"/>
    <x v="3"/>
    <x v="11"/>
    <s v="GORENG"/>
    <n v="3145"/>
    <n v="63"/>
    <n v="198135"/>
    <m/>
  </r>
  <r>
    <x v="1"/>
    <s v="JUN"/>
    <x v="4"/>
    <s v="GRSM 4"/>
    <x v="0"/>
    <s v="GMM"/>
    <n v="189901"/>
    <n v="1602020"/>
    <x v="2"/>
    <x v="4"/>
    <s v="BOLOGNESE"/>
    <n v="2200"/>
    <n v="49"/>
    <n v="107800"/>
    <n v="120"/>
  </r>
  <r>
    <x v="1"/>
    <s v="JUN"/>
    <x v="4"/>
    <s v="GRSM 4"/>
    <x v="0"/>
    <s v="GMM"/>
    <n v="189901"/>
    <n v="1602020"/>
    <x v="2"/>
    <x v="4"/>
    <s v="CARBONARA"/>
    <n v="2200"/>
    <n v="85"/>
    <n v="187000"/>
    <m/>
  </r>
  <r>
    <x v="1"/>
    <s v="JUN"/>
    <x v="4"/>
    <s v="GRSM 4"/>
    <x v="0"/>
    <s v="GMM"/>
    <n v="189901"/>
    <n v="1602020"/>
    <x v="2"/>
    <x v="4"/>
    <s v="AGLIO OLIO"/>
    <n v="2200"/>
    <n v="34"/>
    <n v="74800"/>
    <m/>
  </r>
  <r>
    <x v="1"/>
    <s v="JUN"/>
    <x v="4"/>
    <s v="GRSM 4"/>
    <x v="0"/>
    <s v="GMM"/>
    <n v="103259"/>
    <n v="9013525"/>
    <x v="5"/>
    <x v="9"/>
    <s v="BOLOGNESE"/>
    <n v="1871"/>
    <n v="90"/>
    <n v="168390"/>
    <n v="120"/>
  </r>
  <r>
    <x v="1"/>
    <s v="JUN"/>
    <x v="5"/>
    <s v="GRSM 4"/>
    <x v="0"/>
    <s v="GMM"/>
    <n v="103259"/>
    <n v="9013525"/>
    <x v="5"/>
    <x v="9"/>
    <s v="CARBONARA"/>
    <n v="2000"/>
    <n v="90"/>
    <n v="180000"/>
    <m/>
  </r>
  <r>
    <x v="1"/>
    <s v="JUN"/>
    <x v="5"/>
    <s v="GRSM 4"/>
    <x v="0"/>
    <s v="GMM"/>
    <n v="103259"/>
    <n v="9013525"/>
    <x v="5"/>
    <x v="9"/>
    <s v="AGLIO OLIO"/>
    <n v="2000"/>
    <n v="72"/>
    <n v="144000"/>
    <m/>
  </r>
  <r>
    <x v="1"/>
    <s v="JUN"/>
    <x v="5"/>
    <s v="GRSM 4"/>
    <x v="0"/>
    <s v="GMM"/>
    <n v="103259"/>
    <n v="9013525"/>
    <x v="5"/>
    <x v="9"/>
    <s v="CARBONARA"/>
    <n v="1875"/>
    <n v="360"/>
    <n v="675000"/>
    <m/>
  </r>
  <r>
    <x v="1"/>
    <s v="JUN"/>
    <x v="5"/>
    <s v="GRSM 4"/>
    <x v="0"/>
    <s v="GMM"/>
    <n v="103259"/>
    <n v="9029389"/>
    <x v="0"/>
    <x v="10"/>
    <s v="BOLOGNESE"/>
    <n v="2000"/>
    <n v="72"/>
    <n v="144000"/>
    <n v="160"/>
  </r>
  <r>
    <x v="1"/>
    <s v="JUN"/>
    <x v="5"/>
    <s v="GRSM 4"/>
    <x v="0"/>
    <s v="GMM"/>
    <n v="103259"/>
    <n v="9029389"/>
    <x v="0"/>
    <x v="10"/>
    <s v="AGLIO OLIO"/>
    <n v="2000"/>
    <n v="63"/>
    <n v="126000"/>
    <m/>
  </r>
  <r>
    <x v="1"/>
    <s v="JUN"/>
    <x v="5"/>
    <s v="GRSM 4"/>
    <x v="0"/>
    <s v="GMM"/>
    <n v="103259"/>
    <n v="9029389"/>
    <x v="0"/>
    <x v="10"/>
    <s v="AGLIO OLIO"/>
    <n v="2000"/>
    <n v="33"/>
    <n v="66000"/>
    <m/>
  </r>
  <r>
    <x v="1"/>
    <s v="JUN"/>
    <x v="5"/>
    <s v="GRSM 4"/>
    <x v="0"/>
    <s v="GMM"/>
    <n v="103259"/>
    <n v="9029389"/>
    <x v="0"/>
    <x v="10"/>
    <s v="GORENG"/>
    <n v="2000"/>
    <n v="111"/>
    <n v="222000"/>
    <m/>
  </r>
  <r>
    <x v="1"/>
    <s v="JUN"/>
    <x v="5"/>
    <s v="GRSM 4"/>
    <x v="0"/>
    <s v="GMM"/>
    <n v="103259"/>
    <n v="9029389"/>
    <x v="0"/>
    <x v="1"/>
    <s v="BOLOGNESE"/>
    <n v="2000"/>
    <n v="60"/>
    <n v="120000"/>
    <n v="160"/>
  </r>
  <r>
    <x v="1"/>
    <s v="JUN"/>
    <x v="5"/>
    <s v="GRSM 4"/>
    <x v="0"/>
    <s v="GMM"/>
    <n v="103259"/>
    <n v="9029389"/>
    <x v="0"/>
    <x v="1"/>
    <s v="CARBONARA"/>
    <n v="2000"/>
    <n v="54"/>
    <n v="108000"/>
    <m/>
  </r>
  <r>
    <x v="1"/>
    <s v="JUN"/>
    <x v="5"/>
    <s v="GRSM 4"/>
    <x v="0"/>
    <s v="GMM"/>
    <n v="103259"/>
    <n v="9029389"/>
    <x v="0"/>
    <x v="1"/>
    <s v="AGLIO OLIO"/>
    <n v="2000"/>
    <n v="27"/>
    <n v="54000"/>
    <m/>
  </r>
  <r>
    <x v="1"/>
    <s v="JUN"/>
    <x v="5"/>
    <s v="GRSM 4"/>
    <x v="0"/>
    <s v="GMM"/>
    <n v="103259"/>
    <n v="9029389"/>
    <x v="0"/>
    <x v="1"/>
    <s v="GORENG"/>
    <n v="2000"/>
    <n v="60"/>
    <n v="120000"/>
    <m/>
  </r>
  <r>
    <x v="1"/>
    <s v="JUN"/>
    <x v="5"/>
    <s v="GRSM 4"/>
    <x v="0"/>
    <s v="GMM"/>
    <n v="103277"/>
    <n v="6300538"/>
    <x v="1"/>
    <x v="3"/>
    <s v="BOLOGNESE"/>
    <n v="2975"/>
    <n v="47"/>
    <n v="139825"/>
    <n v="160"/>
  </r>
  <r>
    <x v="1"/>
    <s v="JUN"/>
    <x v="5"/>
    <s v="GRSM 4"/>
    <x v="0"/>
    <s v="GMM"/>
    <n v="103277"/>
    <n v="6300538"/>
    <x v="1"/>
    <x v="3"/>
    <s v="CARBONARA"/>
    <n v="2975"/>
    <n v="45"/>
    <n v="133875"/>
    <m/>
  </r>
  <r>
    <x v="1"/>
    <s v="JUN"/>
    <x v="5"/>
    <s v="GRSM 4"/>
    <x v="0"/>
    <s v="GMM"/>
    <n v="103277"/>
    <n v="6300538"/>
    <x v="1"/>
    <x v="3"/>
    <s v="AGLIO OLIO"/>
    <n v="2975"/>
    <n v="28"/>
    <n v="83300"/>
    <m/>
  </r>
  <r>
    <x v="1"/>
    <s v="JUN"/>
    <x v="5"/>
    <s v="GRSM 4"/>
    <x v="0"/>
    <s v="GMM"/>
    <n v="103277"/>
    <n v="6300538"/>
    <x v="1"/>
    <x v="3"/>
    <s v="GORENG"/>
    <n v="2975"/>
    <n v="185"/>
    <n v="550375"/>
    <m/>
  </r>
  <r>
    <x v="1"/>
    <s v="JUN"/>
    <x v="5"/>
    <s v="GRSM 4"/>
    <x v="0"/>
    <s v="GMM"/>
    <n v="103277"/>
    <n v="6300538"/>
    <x v="1"/>
    <x v="2"/>
    <s v="BOLOGNESE"/>
    <n v="2975"/>
    <n v="53"/>
    <n v="157675"/>
    <n v="155"/>
  </r>
  <r>
    <x v="1"/>
    <s v="JUN"/>
    <x v="5"/>
    <s v="GRSM 4"/>
    <x v="0"/>
    <s v="GMM"/>
    <n v="103277"/>
    <n v="6300538"/>
    <x v="1"/>
    <x v="2"/>
    <s v="CARBONARA"/>
    <n v="2975"/>
    <n v="41"/>
    <n v="121975"/>
    <m/>
  </r>
  <r>
    <x v="1"/>
    <s v="JUN"/>
    <x v="5"/>
    <s v="GRSM 4"/>
    <x v="0"/>
    <s v="GMM"/>
    <n v="103277"/>
    <n v="6300538"/>
    <x v="1"/>
    <x v="2"/>
    <s v="AGLIO OLIO"/>
    <n v="2975"/>
    <n v="39"/>
    <n v="116025"/>
    <m/>
  </r>
  <r>
    <x v="1"/>
    <s v="JUN"/>
    <x v="5"/>
    <s v="GRSM 4"/>
    <x v="0"/>
    <s v="GMM"/>
    <n v="103277"/>
    <n v="6300538"/>
    <x v="1"/>
    <x v="2"/>
    <s v="GORENG"/>
    <n v="2975"/>
    <n v="172"/>
    <n v="511700"/>
    <m/>
  </r>
  <r>
    <x v="1"/>
    <s v="JUN"/>
    <x v="5"/>
    <s v="GRSM 4"/>
    <x v="0"/>
    <s v="GMM"/>
    <n v="103257"/>
    <n v="9162509"/>
    <x v="4"/>
    <x v="8"/>
    <s v="BOLOGNESE"/>
    <n v="3200"/>
    <n v="35"/>
    <n v="112000"/>
    <n v="155"/>
  </r>
  <r>
    <x v="1"/>
    <s v="JUN"/>
    <x v="5"/>
    <s v="GRSM 4"/>
    <x v="0"/>
    <s v="GMM"/>
    <n v="103257"/>
    <n v="9162509"/>
    <x v="4"/>
    <x v="8"/>
    <s v="CARBONARA"/>
    <n v="3200"/>
    <n v="33"/>
    <n v="105600"/>
    <m/>
  </r>
  <r>
    <x v="1"/>
    <s v="JUN"/>
    <x v="5"/>
    <s v="GRSM 4"/>
    <x v="0"/>
    <s v="GMM"/>
    <n v="103257"/>
    <n v="9162509"/>
    <x v="4"/>
    <x v="8"/>
    <s v="AGLIO OLIO"/>
    <n v="3200"/>
    <n v="39"/>
    <n v="124800"/>
    <m/>
  </r>
  <r>
    <x v="1"/>
    <s v="JUN"/>
    <x v="5"/>
    <s v="GRSM 4"/>
    <x v="0"/>
    <s v="GMM"/>
    <n v="103257"/>
    <n v="9162509"/>
    <x v="4"/>
    <x v="8"/>
    <s v="GORENG"/>
    <n v="3200"/>
    <n v="135"/>
    <n v="432000"/>
    <m/>
  </r>
  <r>
    <x v="1"/>
    <s v="JUN"/>
    <x v="5"/>
    <s v="GRSM 4"/>
    <x v="0"/>
    <s v="GMM"/>
    <n v="103257"/>
    <n v="9162509"/>
    <x v="4"/>
    <x v="7"/>
    <s v="BOLOGNESE"/>
    <n v="3200"/>
    <n v="40"/>
    <n v="128000"/>
    <n v="160"/>
  </r>
  <r>
    <x v="1"/>
    <s v="JUN"/>
    <x v="5"/>
    <s v="GRSM 4"/>
    <x v="0"/>
    <s v="GMM"/>
    <n v="103257"/>
    <n v="9162509"/>
    <x v="4"/>
    <x v="7"/>
    <s v="CARBONARA"/>
    <n v="3200"/>
    <n v="35"/>
    <n v="112000"/>
    <m/>
  </r>
  <r>
    <x v="1"/>
    <s v="JUN"/>
    <x v="5"/>
    <s v="GRSM 4"/>
    <x v="0"/>
    <s v="GMM"/>
    <n v="103257"/>
    <n v="9162509"/>
    <x v="4"/>
    <x v="7"/>
    <s v="AGLIO OLIO"/>
    <n v="3200"/>
    <n v="55"/>
    <n v="176000"/>
    <m/>
  </r>
  <r>
    <x v="1"/>
    <s v="JUN"/>
    <x v="5"/>
    <s v="GRSM 4"/>
    <x v="0"/>
    <s v="GMM"/>
    <n v="103257"/>
    <n v="9162509"/>
    <x v="4"/>
    <x v="7"/>
    <s v="GORENG"/>
    <n v="3200"/>
    <n v="145"/>
    <n v="464000"/>
    <m/>
  </r>
  <r>
    <x v="1"/>
    <s v="JUN"/>
    <x v="3"/>
    <s v="GRSM 3A"/>
    <x v="0"/>
    <s v="GMM"/>
    <n v="103272"/>
    <n v="1178"/>
    <x v="3"/>
    <x v="11"/>
    <s v="BOLOGNESE"/>
    <n v="3145"/>
    <n v="14"/>
    <n v="44030"/>
    <n v="160"/>
  </r>
  <r>
    <x v="1"/>
    <s v="JUN"/>
    <x v="3"/>
    <s v="GRSM 3A"/>
    <x v="0"/>
    <s v="GMM"/>
    <n v="103272"/>
    <n v="1178"/>
    <x v="3"/>
    <x v="11"/>
    <s v="CARBONARA"/>
    <n v="3145"/>
    <n v="28"/>
    <n v="88060"/>
    <m/>
  </r>
  <r>
    <x v="1"/>
    <s v="JUN"/>
    <x v="3"/>
    <s v="GRSM 3A"/>
    <x v="0"/>
    <s v="GMM"/>
    <n v="103272"/>
    <n v="1178"/>
    <x v="3"/>
    <x v="11"/>
    <s v="AGLIO OLIO"/>
    <n v="3145"/>
    <n v="9"/>
    <n v="28305"/>
    <m/>
  </r>
  <r>
    <x v="1"/>
    <s v="JUN"/>
    <x v="3"/>
    <s v="GRSM 3A"/>
    <x v="0"/>
    <s v="GMM"/>
    <n v="103272"/>
    <n v="1178"/>
    <x v="3"/>
    <x v="11"/>
    <s v="GORENG"/>
    <n v="3145"/>
    <n v="45"/>
    <n v="141525"/>
    <m/>
  </r>
  <r>
    <x v="1"/>
    <s v="JUN"/>
    <x v="3"/>
    <s v="GRSM 4"/>
    <x v="0"/>
    <s v="GMM"/>
    <n v="189901"/>
    <n v="1602020"/>
    <x v="2"/>
    <x v="4"/>
    <s v="BOLOGNESE"/>
    <n v="2200"/>
    <n v="62"/>
    <n v="136400"/>
    <n v="100"/>
  </r>
  <r>
    <x v="1"/>
    <s v="JUN"/>
    <x v="3"/>
    <s v="GRSM 4"/>
    <x v="0"/>
    <s v="GMM"/>
    <n v="189901"/>
    <n v="1602020"/>
    <x v="2"/>
    <x v="4"/>
    <s v="CARBONARA"/>
    <n v="2200"/>
    <n v="59"/>
    <n v="129800"/>
    <m/>
  </r>
  <r>
    <x v="1"/>
    <s v="JUN"/>
    <x v="3"/>
    <s v="GRSM 4"/>
    <x v="0"/>
    <s v="GMM"/>
    <n v="189901"/>
    <n v="1602020"/>
    <x v="2"/>
    <x v="4"/>
    <s v="AGLIO OLIO"/>
    <n v="2200"/>
    <n v="40"/>
    <n v="88000"/>
    <m/>
  </r>
  <r>
    <x v="1"/>
    <s v="JUN"/>
    <x v="3"/>
    <s v="GRSM 4"/>
    <x v="0"/>
    <s v="GMM"/>
    <n v="189901"/>
    <n v="1602020"/>
    <x v="2"/>
    <x v="4"/>
    <s v="BOLOGNESE"/>
    <n v="2200"/>
    <n v="82"/>
    <n v="180400"/>
    <n v="120"/>
  </r>
  <r>
    <x v="1"/>
    <s v="JUN"/>
    <x v="5"/>
    <s v="GRSM 4"/>
    <x v="0"/>
    <s v="GMM"/>
    <n v="189901"/>
    <n v="1602020"/>
    <x v="2"/>
    <x v="4"/>
    <s v="CARBONARA"/>
    <n v="2200"/>
    <n v="101"/>
    <n v="222200"/>
    <m/>
  </r>
  <r>
    <x v="1"/>
    <s v="JUN"/>
    <x v="5"/>
    <s v="GRSM 4"/>
    <x v="0"/>
    <s v="GMM"/>
    <n v="189901"/>
    <n v="1602020"/>
    <x v="2"/>
    <x v="4"/>
    <s v="AGLIO OLIO"/>
    <n v="2200"/>
    <n v="23"/>
    <n v="50600"/>
    <m/>
  </r>
  <r>
    <x v="1"/>
    <s v="JUN"/>
    <x v="5"/>
    <s v="GRSM 4"/>
    <x v="0"/>
    <s v="GMM"/>
    <n v="103259"/>
    <n v="9013525"/>
    <x v="5"/>
    <x v="9"/>
    <s v="CARBONARA"/>
    <n v="2000"/>
    <n v="110"/>
    <n v="220000"/>
    <n v="120"/>
  </r>
  <r>
    <x v="1"/>
    <s v="JUN"/>
    <x v="3"/>
    <s v="GRSM 4"/>
    <x v="0"/>
    <s v="GMM"/>
    <n v="103259"/>
    <n v="9013525"/>
    <x v="5"/>
    <x v="9"/>
    <s v="BOLOGNESE"/>
    <n v="2000"/>
    <n v="130"/>
    <n v="260000"/>
    <m/>
  </r>
  <r>
    <x v="1"/>
    <s v="JUN"/>
    <x v="3"/>
    <s v="GRSM 4"/>
    <x v="0"/>
    <s v="GMM"/>
    <n v="103259"/>
    <n v="9013525"/>
    <x v="5"/>
    <x v="9"/>
    <s v="AGLIO OLIO"/>
    <n v="2000"/>
    <n v="120"/>
    <n v="240000"/>
    <m/>
  </r>
  <r>
    <x v="1"/>
    <s v="JUN"/>
    <x v="3"/>
    <s v="GRSM 4"/>
    <x v="0"/>
    <s v="GMM"/>
    <n v="189901"/>
    <n v="1602020"/>
    <x v="2"/>
    <x v="5"/>
    <s v="CARBONARA"/>
    <n v="2200"/>
    <n v="48"/>
    <n v="105600"/>
    <m/>
  </r>
  <r>
    <x v="1"/>
    <s v="JUN"/>
    <x v="3"/>
    <s v="GRSM 4"/>
    <x v="0"/>
    <s v="GMM"/>
    <n v="189901"/>
    <n v="1602020"/>
    <x v="2"/>
    <x v="5"/>
    <s v="BOLOGNESE"/>
    <n v="2200"/>
    <n v="64"/>
    <n v="140800"/>
    <m/>
  </r>
  <r>
    <x v="1"/>
    <s v="JUN"/>
    <x v="3"/>
    <s v="GRSM 4"/>
    <x v="0"/>
    <s v="GMM"/>
    <n v="189901"/>
    <n v="1602020"/>
    <x v="2"/>
    <x v="5"/>
    <s v="AGLIO OLIO"/>
    <n v="2200"/>
    <n v="45"/>
    <n v="99000"/>
    <m/>
  </r>
  <r>
    <x v="1"/>
    <s v="JUN"/>
    <x v="3"/>
    <s v="GRSM 4"/>
    <x v="0"/>
    <s v="GMM"/>
    <n v="189901"/>
    <n v="1602020"/>
    <x v="2"/>
    <x v="5"/>
    <s v="GORENG"/>
    <n v="2200"/>
    <m/>
    <n v="0"/>
    <m/>
  </r>
  <r>
    <x v="1"/>
    <s v="JUN"/>
    <x v="3"/>
    <s v="GRSM 4"/>
    <x v="0"/>
    <s v="GMM"/>
    <n v="189901"/>
    <n v="1602020"/>
    <x v="2"/>
    <x v="5"/>
    <s v="CARBONARA"/>
    <n v="2200"/>
    <n v="77"/>
    <n v="169400"/>
    <n v="120"/>
  </r>
  <r>
    <x v="1"/>
    <s v="JUN"/>
    <x v="4"/>
    <s v="GRSM 4"/>
    <x v="0"/>
    <s v="GMM"/>
    <n v="189901"/>
    <n v="1602020"/>
    <x v="2"/>
    <x v="5"/>
    <s v="BOLOGNESE"/>
    <n v="2200"/>
    <n v="57"/>
    <n v="125400"/>
    <m/>
  </r>
  <r>
    <x v="1"/>
    <s v="JUN"/>
    <x v="4"/>
    <s v="GRSM 4"/>
    <x v="0"/>
    <s v="GMM"/>
    <n v="189901"/>
    <n v="1602020"/>
    <x v="2"/>
    <x v="5"/>
    <s v="AGLIO OLIO"/>
    <n v="2200"/>
    <n v="38"/>
    <n v="83600"/>
    <m/>
  </r>
  <r>
    <x v="1"/>
    <s v="JUN"/>
    <x v="4"/>
    <s v="GRSM 4"/>
    <x v="0"/>
    <s v="GMM"/>
    <n v="189901"/>
    <n v="1602020"/>
    <x v="2"/>
    <x v="5"/>
    <s v="GORENG"/>
    <n v="2200"/>
    <m/>
    <n v="0"/>
    <m/>
  </r>
  <r>
    <x v="1"/>
    <s v="JUN"/>
    <x v="4"/>
    <s v="GRSM 4"/>
    <x v="0"/>
    <s v="GMM"/>
    <n v="189901"/>
    <n v="1602020"/>
    <x v="2"/>
    <x v="5"/>
    <s v="CARBONARA"/>
    <n v="2200"/>
    <n v="101"/>
    <n v="222200"/>
    <n v="120"/>
  </r>
  <r>
    <x v="1"/>
    <s v="JUN"/>
    <x v="5"/>
    <s v="GRSM 4"/>
    <x v="0"/>
    <s v="GMM"/>
    <n v="189901"/>
    <n v="1602020"/>
    <x v="2"/>
    <x v="5"/>
    <s v="BOLOGNESE"/>
    <n v="2200"/>
    <n v="82"/>
    <n v="180400"/>
    <m/>
  </r>
  <r>
    <x v="1"/>
    <s v="JUN"/>
    <x v="5"/>
    <s v="GRSM 4"/>
    <x v="0"/>
    <s v="GMM"/>
    <n v="189901"/>
    <n v="1602020"/>
    <x v="2"/>
    <x v="5"/>
    <s v="AGLIO OLIO"/>
    <n v="2200"/>
    <n v="23"/>
    <n v="50600"/>
    <m/>
  </r>
  <r>
    <x v="1"/>
    <s v="JUN"/>
    <x v="5"/>
    <s v="GRSM 4"/>
    <x v="0"/>
    <s v="GMM"/>
    <n v="189901"/>
    <n v="1602020"/>
    <x v="2"/>
    <x v="5"/>
    <s v="GORENG"/>
    <n v="2200"/>
    <m/>
    <n v="0"/>
    <m/>
  </r>
  <r>
    <x v="1"/>
    <s v="JUN"/>
    <x v="5"/>
    <s v="GRSM 4"/>
    <x v="0"/>
    <s v="GMM"/>
    <n v="103277"/>
    <n v="6301424"/>
    <x v="6"/>
    <x v="12"/>
    <s v="CARBONARA"/>
    <n v="3000"/>
    <n v="10"/>
    <n v="30000"/>
    <n v="120"/>
  </r>
  <r>
    <x v="1"/>
    <s v="JUN"/>
    <x v="3"/>
    <s v="GRSM 4"/>
    <x v="0"/>
    <s v="GMM"/>
    <n v="103277"/>
    <n v="6301424"/>
    <x v="6"/>
    <x v="12"/>
    <s v="BOLOGNESE"/>
    <n v="3000"/>
    <n v="15"/>
    <n v="45000"/>
    <m/>
  </r>
  <r>
    <x v="1"/>
    <s v="JUN"/>
    <x v="3"/>
    <s v="GRSM 4"/>
    <x v="0"/>
    <s v="GMM"/>
    <n v="103277"/>
    <n v="6301424"/>
    <x v="6"/>
    <x v="12"/>
    <s v="AGLIO OLIO"/>
    <n v="3000"/>
    <n v="10"/>
    <n v="30000"/>
    <m/>
  </r>
  <r>
    <x v="1"/>
    <s v="JUN"/>
    <x v="3"/>
    <s v="GRSM 4"/>
    <x v="0"/>
    <s v="GMM"/>
    <n v="103277"/>
    <n v="6301424"/>
    <x v="6"/>
    <x v="12"/>
    <s v="GORENG"/>
    <n v="3000"/>
    <n v="200"/>
    <n v="600000"/>
    <m/>
  </r>
  <r>
    <x v="1"/>
    <s v="JUN"/>
    <x v="3"/>
    <s v="GRSM 4"/>
    <x v="0"/>
    <s v="GMM"/>
    <n v="103277"/>
    <n v="6301424"/>
    <x v="6"/>
    <x v="13"/>
    <s v="CARBONARA"/>
    <n v="3000"/>
    <n v="15"/>
    <n v="45000"/>
    <n v="100"/>
  </r>
  <r>
    <x v="1"/>
    <s v="JUN"/>
    <x v="3"/>
    <s v="GRSM 4"/>
    <x v="0"/>
    <s v="GMM"/>
    <n v="103277"/>
    <n v="6301424"/>
    <x v="6"/>
    <x v="13"/>
    <s v="BOLOGNESE"/>
    <n v="3000"/>
    <n v="20"/>
    <n v="60000"/>
    <m/>
  </r>
  <r>
    <x v="1"/>
    <s v="JUN"/>
    <x v="3"/>
    <s v="GRSM 4"/>
    <x v="0"/>
    <s v="GMM"/>
    <n v="103277"/>
    <n v="6301424"/>
    <x v="6"/>
    <x v="13"/>
    <s v="AGLIO OLIO"/>
    <n v="3000"/>
    <n v="10"/>
    <n v="30000"/>
    <m/>
  </r>
  <r>
    <x v="1"/>
    <s v="JUN"/>
    <x v="3"/>
    <s v="GRSM 4"/>
    <x v="0"/>
    <s v="GMM"/>
    <n v="103277"/>
    <n v="6301424"/>
    <x v="6"/>
    <x v="13"/>
    <s v="GORENG"/>
    <n v="3000"/>
    <n v="200"/>
    <n v="600000"/>
    <m/>
  </r>
  <r>
    <x v="1"/>
    <s v="JUN"/>
    <x v="3"/>
    <s v="GRSM 4"/>
    <x v="0"/>
    <s v="GMM"/>
    <n v="103277"/>
    <n v="6301424"/>
    <x v="6"/>
    <x v="12"/>
    <s v="CARBONARA"/>
    <n v="3000"/>
    <n v="120"/>
    <n v="360000"/>
    <n v="100"/>
  </r>
  <r>
    <x v="1"/>
    <s v="JUN"/>
    <x v="4"/>
    <s v="GRSM 4"/>
    <x v="0"/>
    <s v="GMM"/>
    <n v="103277"/>
    <n v="6301424"/>
    <x v="6"/>
    <x v="12"/>
    <s v="BOLOGNESE"/>
    <n v="3000"/>
    <n v="20"/>
    <n v="60000"/>
    <m/>
  </r>
  <r>
    <x v="1"/>
    <s v="JUN"/>
    <x v="4"/>
    <s v="GRSM 4"/>
    <x v="0"/>
    <s v="GMM"/>
    <n v="103277"/>
    <n v="6301424"/>
    <x v="6"/>
    <x v="12"/>
    <s v="AGLIO OLIO"/>
    <n v="3000"/>
    <n v="20"/>
    <n v="60000"/>
    <m/>
  </r>
  <r>
    <x v="1"/>
    <s v="JUN"/>
    <x v="4"/>
    <s v="GRSM 4"/>
    <x v="0"/>
    <s v="GMM"/>
    <n v="103277"/>
    <n v="6301424"/>
    <x v="6"/>
    <x v="12"/>
    <s v="GORENG"/>
    <n v="3000"/>
    <n v="100"/>
    <n v="300000"/>
    <m/>
  </r>
  <r>
    <x v="1"/>
    <s v="JUN"/>
    <x v="4"/>
    <s v="GRSM 4"/>
    <x v="0"/>
    <s v="GMM"/>
    <n v="103277"/>
    <n v="6301424"/>
    <x v="6"/>
    <x v="13"/>
    <s v="CARBONARA"/>
    <n v="3000"/>
    <n v="100"/>
    <n v="300000"/>
    <n v="160"/>
  </r>
  <r>
    <x v="1"/>
    <s v="JUN"/>
    <x v="4"/>
    <s v="GRSM 4"/>
    <x v="0"/>
    <s v="GMM"/>
    <n v="103277"/>
    <n v="6301424"/>
    <x v="6"/>
    <x v="13"/>
    <s v="BOLOGNESE"/>
    <n v="3000"/>
    <n v="20"/>
    <n v="60000"/>
    <m/>
  </r>
  <r>
    <x v="1"/>
    <s v="JUN"/>
    <x v="4"/>
    <s v="GRSM 4"/>
    <x v="0"/>
    <s v="GMM"/>
    <n v="103277"/>
    <n v="6301424"/>
    <x v="6"/>
    <x v="13"/>
    <s v="AGLIO OLIO"/>
    <n v="3000"/>
    <n v="20"/>
    <n v="60000"/>
    <m/>
  </r>
  <r>
    <x v="1"/>
    <s v="JUN"/>
    <x v="4"/>
    <s v="GRSM 4"/>
    <x v="0"/>
    <s v="GMM"/>
    <n v="103277"/>
    <n v="6301424"/>
    <x v="6"/>
    <x v="13"/>
    <s v="GORENG"/>
    <n v="3000"/>
    <n v="70"/>
    <n v="210000"/>
    <m/>
  </r>
  <r>
    <x v="1"/>
    <s v="JUN"/>
    <x v="4"/>
    <s v="GRSM 4"/>
    <x v="0"/>
    <s v="GMM"/>
    <n v="103277"/>
    <n v="6301424"/>
    <x v="6"/>
    <x v="12"/>
    <s v="CARBONARA"/>
    <n v="3000"/>
    <n v="89"/>
    <n v="267000"/>
    <n v="160"/>
  </r>
  <r>
    <x v="1"/>
    <s v="JUN"/>
    <x v="5"/>
    <s v="GRSM 4"/>
    <x v="0"/>
    <s v="GMM"/>
    <n v="103277"/>
    <n v="6301424"/>
    <x v="6"/>
    <x v="12"/>
    <s v="BOLOGNESE"/>
    <n v="3000"/>
    <n v="30"/>
    <n v="90000"/>
    <m/>
  </r>
  <r>
    <x v="1"/>
    <s v="JUN"/>
    <x v="5"/>
    <s v="GRSM 4"/>
    <x v="0"/>
    <s v="GMM"/>
    <n v="103277"/>
    <n v="6301424"/>
    <x v="6"/>
    <x v="12"/>
    <s v="AGLIO OLIO"/>
    <n v="3000"/>
    <n v="20"/>
    <n v="60000"/>
    <m/>
  </r>
  <r>
    <x v="1"/>
    <s v="JUN"/>
    <x v="5"/>
    <s v="GRSM 4"/>
    <x v="0"/>
    <s v="GMM"/>
    <n v="103277"/>
    <n v="6301424"/>
    <x v="6"/>
    <x v="12"/>
    <s v="GORENG"/>
    <n v="3000"/>
    <n v="135"/>
    <n v="405000"/>
    <m/>
  </r>
  <r>
    <x v="1"/>
    <s v="JUN"/>
    <x v="5"/>
    <s v="GRSM 4"/>
    <x v="0"/>
    <s v="GMM"/>
    <n v="103277"/>
    <n v="6301424"/>
    <x v="6"/>
    <x v="13"/>
    <s v="CARBONARA"/>
    <n v="3000"/>
    <n v="90"/>
    <n v="270000"/>
    <n v="150"/>
  </r>
  <r>
    <x v="1"/>
    <s v="JUN"/>
    <x v="5"/>
    <s v="GRSM 4"/>
    <x v="0"/>
    <s v="GMM"/>
    <n v="103277"/>
    <n v="6301424"/>
    <x v="6"/>
    <x v="13"/>
    <s v="BOLOGNESE"/>
    <n v="3000"/>
    <n v="23"/>
    <n v="69000"/>
    <m/>
  </r>
  <r>
    <x v="1"/>
    <s v="JUN"/>
    <x v="5"/>
    <s v="GRSM 4"/>
    <x v="0"/>
    <s v="GMM"/>
    <n v="103277"/>
    <n v="6301424"/>
    <x v="6"/>
    <x v="13"/>
    <s v="AGLIO OLIO"/>
    <n v="3000"/>
    <n v="25"/>
    <n v="75000"/>
    <m/>
  </r>
  <r>
    <x v="1"/>
    <s v="JUN"/>
    <x v="5"/>
    <s v="GRSM 4"/>
    <x v="0"/>
    <s v="GMM"/>
    <n v="103277"/>
    <n v="6301424"/>
    <x v="6"/>
    <x v="13"/>
    <s v="GORENG"/>
    <n v="3000"/>
    <n v="130"/>
    <n v="390000"/>
    <m/>
  </r>
  <r>
    <x v="2"/>
    <s v="JUN"/>
    <x v="6"/>
    <s v="GRSM 3A"/>
    <x v="0"/>
    <s v="GMM"/>
    <n v="103272"/>
    <n v="1178"/>
    <x v="3"/>
    <x v="11"/>
    <s v="BOLOGNESE"/>
    <n v="3145"/>
    <n v="15"/>
    <n v="47175"/>
    <n v="150"/>
  </r>
  <r>
    <x v="2"/>
    <s v="JUN"/>
    <x v="6"/>
    <s v="GRSM 3A"/>
    <x v="0"/>
    <s v="GMM"/>
    <n v="103272"/>
    <n v="1178"/>
    <x v="3"/>
    <x v="11"/>
    <s v="CARBONARA"/>
    <n v="3145"/>
    <n v="20"/>
    <n v="62900"/>
    <m/>
  </r>
  <r>
    <x v="2"/>
    <s v="JUN"/>
    <x v="6"/>
    <s v="GRSM 3A"/>
    <x v="0"/>
    <s v="GMM"/>
    <n v="103272"/>
    <n v="1178"/>
    <x v="3"/>
    <x v="11"/>
    <s v="AGLIO OLIO"/>
    <n v="3145"/>
    <n v="9"/>
    <n v="28305"/>
    <m/>
  </r>
  <r>
    <x v="2"/>
    <s v="JUN"/>
    <x v="6"/>
    <s v="GRSM 3A"/>
    <x v="0"/>
    <s v="GMM"/>
    <n v="103272"/>
    <n v="1178"/>
    <x v="3"/>
    <x v="11"/>
    <s v="GORENG"/>
    <n v="3145"/>
    <n v="39"/>
    <n v="122655"/>
    <m/>
  </r>
  <r>
    <x v="2"/>
    <s v="JUN"/>
    <x v="6"/>
    <s v="GRSM 3A"/>
    <x v="0"/>
    <s v="GMM"/>
    <n v="103272"/>
    <n v="1178"/>
    <x v="3"/>
    <x v="6"/>
    <s v="BOLOGNESE"/>
    <n v="3145"/>
    <n v="15"/>
    <n v="47175"/>
    <n v="100"/>
  </r>
  <r>
    <x v="2"/>
    <s v="JUN"/>
    <x v="6"/>
    <s v="GRSM 3A"/>
    <x v="0"/>
    <s v="GMM"/>
    <n v="103272"/>
    <n v="1178"/>
    <x v="3"/>
    <x v="6"/>
    <s v="CARBONARA"/>
    <n v="3145"/>
    <n v="20"/>
    <n v="62900"/>
    <m/>
  </r>
  <r>
    <x v="2"/>
    <s v="JUN"/>
    <x v="6"/>
    <s v="GRSM 3A"/>
    <x v="0"/>
    <s v="GMM"/>
    <n v="103272"/>
    <n v="1178"/>
    <x v="3"/>
    <x v="6"/>
    <s v="AGLIO OLIO"/>
    <n v="3145"/>
    <n v="9"/>
    <n v="28305"/>
    <m/>
  </r>
  <r>
    <x v="2"/>
    <s v="JUN"/>
    <x v="6"/>
    <s v="GRSM 3A"/>
    <x v="0"/>
    <s v="GMM"/>
    <n v="103272"/>
    <n v="1178"/>
    <x v="3"/>
    <x v="6"/>
    <s v="GORENG"/>
    <n v="3145"/>
    <n v="39"/>
    <n v="122655"/>
    <m/>
  </r>
  <r>
    <x v="2"/>
    <s v="JUN"/>
    <x v="6"/>
    <s v="GRSM 4"/>
    <x v="0"/>
    <s v="GMM"/>
    <n v="103257"/>
    <n v="9162509"/>
    <x v="4"/>
    <x v="7"/>
    <s v="BOLOGNESE"/>
    <n v="3200"/>
    <n v="33"/>
    <n v="105600"/>
    <n v="100"/>
  </r>
  <r>
    <x v="2"/>
    <s v="JUN"/>
    <x v="7"/>
    <s v="GRSM 4"/>
    <x v="0"/>
    <s v="GMM"/>
    <n v="103257"/>
    <n v="9162509"/>
    <x v="4"/>
    <x v="7"/>
    <s v="CARBONARA"/>
    <n v="3200"/>
    <n v="35"/>
    <n v="112000"/>
    <m/>
  </r>
  <r>
    <x v="2"/>
    <s v="JUN"/>
    <x v="7"/>
    <s v="GRSM 4"/>
    <x v="0"/>
    <s v="GMM"/>
    <n v="103257"/>
    <n v="9162509"/>
    <x v="4"/>
    <x v="7"/>
    <s v="AGLIO OLIO"/>
    <n v="3200"/>
    <n v="30"/>
    <n v="96000"/>
    <m/>
  </r>
  <r>
    <x v="2"/>
    <s v="JUN"/>
    <x v="7"/>
    <s v="GRSM 4"/>
    <x v="0"/>
    <s v="GMM"/>
    <n v="103257"/>
    <n v="9162509"/>
    <x v="4"/>
    <x v="7"/>
    <s v="GORENG"/>
    <n v="3200"/>
    <n v="95"/>
    <n v="304000"/>
    <m/>
  </r>
  <r>
    <x v="2"/>
    <s v="JUN"/>
    <x v="7"/>
    <s v="GRSM 4"/>
    <x v="0"/>
    <s v="GMM"/>
    <n v="103257"/>
    <n v="9162509"/>
    <x v="4"/>
    <x v="8"/>
    <s v="BOLOGNESE"/>
    <n v="3200"/>
    <n v="30"/>
    <n v="96000"/>
    <n v="160"/>
  </r>
  <r>
    <x v="2"/>
    <s v="JUN"/>
    <x v="7"/>
    <s v="GRSM 4"/>
    <x v="0"/>
    <s v="GMM"/>
    <n v="103257"/>
    <n v="9162509"/>
    <x v="4"/>
    <x v="8"/>
    <s v="CARBONARA"/>
    <n v="3200"/>
    <n v="33"/>
    <n v="105600"/>
    <m/>
  </r>
  <r>
    <x v="2"/>
    <s v="JUN"/>
    <x v="7"/>
    <s v="GRSM 4"/>
    <x v="0"/>
    <s v="GMM"/>
    <n v="103257"/>
    <n v="9162509"/>
    <x v="4"/>
    <x v="8"/>
    <s v="AGLIO OLIO"/>
    <n v="3200"/>
    <n v="30"/>
    <n v="96000"/>
    <m/>
  </r>
  <r>
    <x v="2"/>
    <s v="JUN"/>
    <x v="7"/>
    <s v="GRSM 4"/>
    <x v="0"/>
    <s v="GMM"/>
    <n v="103257"/>
    <n v="9162509"/>
    <x v="4"/>
    <x v="8"/>
    <s v="GORENG"/>
    <n v="3200"/>
    <n v="93"/>
    <n v="297600"/>
    <m/>
  </r>
  <r>
    <x v="2"/>
    <s v="JUN"/>
    <x v="7"/>
    <s v="GRSM 4"/>
    <x v="0"/>
    <s v="GMM"/>
    <n v="103277"/>
    <n v="6300538"/>
    <x v="1"/>
    <x v="2"/>
    <s v="BOLOGNESE"/>
    <n v="2975"/>
    <n v="57"/>
    <n v="169575"/>
    <n v="160"/>
  </r>
  <r>
    <x v="2"/>
    <s v="JUN"/>
    <x v="7"/>
    <s v="GRSM 4"/>
    <x v="0"/>
    <s v="GMM"/>
    <n v="103277"/>
    <n v="6300538"/>
    <x v="1"/>
    <x v="2"/>
    <s v="CARBONARA"/>
    <n v="2975"/>
    <n v="66"/>
    <n v="196350"/>
    <m/>
  </r>
  <r>
    <x v="2"/>
    <s v="JUN"/>
    <x v="7"/>
    <s v="GRSM 4"/>
    <x v="0"/>
    <s v="GMM"/>
    <n v="103277"/>
    <n v="6300538"/>
    <x v="1"/>
    <x v="2"/>
    <s v="AGLIO OLIO"/>
    <n v="2975"/>
    <n v="40"/>
    <n v="119000"/>
    <m/>
  </r>
  <r>
    <x v="2"/>
    <s v="JUN"/>
    <x v="7"/>
    <s v="GRSM 4"/>
    <x v="0"/>
    <s v="GMM"/>
    <n v="103277"/>
    <n v="6300538"/>
    <x v="1"/>
    <x v="2"/>
    <s v="GORENG"/>
    <n v="2975"/>
    <n v="188"/>
    <n v="559300"/>
    <n v="120"/>
  </r>
  <r>
    <x v="2"/>
    <s v="JUN"/>
    <x v="7"/>
    <s v="GRSM 4"/>
    <x v="0"/>
    <s v="GMM"/>
    <n v="103277"/>
    <n v="6300538"/>
    <x v="1"/>
    <x v="3"/>
    <s v="BOLOGNESE"/>
    <n v="2975"/>
    <n v="50"/>
    <n v="148750"/>
    <m/>
  </r>
  <r>
    <x v="2"/>
    <s v="JUN"/>
    <x v="7"/>
    <s v="GRSM 4"/>
    <x v="0"/>
    <s v="GMM"/>
    <n v="103277"/>
    <n v="6300538"/>
    <x v="1"/>
    <x v="3"/>
    <s v="CARBONARA"/>
    <n v="2975"/>
    <n v="67"/>
    <n v="199325"/>
    <m/>
  </r>
  <r>
    <x v="2"/>
    <s v="JUN"/>
    <x v="7"/>
    <s v="GRSM 4"/>
    <x v="0"/>
    <s v="GMM"/>
    <n v="103277"/>
    <n v="6300538"/>
    <x v="1"/>
    <x v="3"/>
    <s v="AGLIO OLIO"/>
    <n v="2975"/>
    <n v="33"/>
    <n v="98175"/>
    <m/>
  </r>
  <r>
    <x v="2"/>
    <s v="JUN"/>
    <x v="7"/>
    <s v="GRSM 4"/>
    <x v="0"/>
    <s v="GMM"/>
    <n v="103277"/>
    <n v="6300538"/>
    <x v="1"/>
    <x v="3"/>
    <s v="GORENG"/>
    <n v="2975"/>
    <n v="174"/>
    <n v="517650"/>
    <n v="160"/>
  </r>
  <r>
    <x v="2"/>
    <s v="JUN"/>
    <x v="7"/>
    <s v="GRSM 3A"/>
    <x v="0"/>
    <s v="GMM"/>
    <n v="103272"/>
    <n v="1178"/>
    <x v="3"/>
    <x v="6"/>
    <s v="BOLOGNESE"/>
    <n v="3145"/>
    <n v="27"/>
    <n v="84915"/>
    <m/>
  </r>
  <r>
    <x v="2"/>
    <s v="JUN"/>
    <x v="7"/>
    <s v="GRSM 3A"/>
    <x v="0"/>
    <s v="GMM"/>
    <n v="103272"/>
    <n v="1178"/>
    <x v="3"/>
    <x v="6"/>
    <s v="CARBONARA"/>
    <n v="3145"/>
    <n v="24"/>
    <n v="75480"/>
    <m/>
  </r>
  <r>
    <x v="2"/>
    <s v="JUN"/>
    <x v="7"/>
    <s v="GRSM 3A"/>
    <x v="0"/>
    <s v="GMM"/>
    <n v="103272"/>
    <n v="1178"/>
    <x v="3"/>
    <x v="6"/>
    <s v="AGLIO OLIO"/>
    <n v="3145"/>
    <n v="14"/>
    <n v="44030"/>
    <m/>
  </r>
  <r>
    <x v="2"/>
    <s v="JUN"/>
    <x v="7"/>
    <s v="GRSM 3A"/>
    <x v="0"/>
    <s v="GMM"/>
    <n v="103272"/>
    <n v="1178"/>
    <x v="3"/>
    <x v="6"/>
    <s v="GORENG"/>
    <n v="3145"/>
    <n v="35"/>
    <n v="110075"/>
    <n v="160"/>
  </r>
  <r>
    <x v="2"/>
    <s v="JUN"/>
    <x v="7"/>
    <s v="GRSM 3A"/>
    <x v="0"/>
    <s v="GMM"/>
    <n v="103272"/>
    <n v="1178"/>
    <x v="3"/>
    <x v="11"/>
    <s v="BOLOGNESE"/>
    <n v="3145"/>
    <n v="27"/>
    <n v="84915"/>
    <m/>
  </r>
  <r>
    <x v="2"/>
    <s v="JUN"/>
    <x v="7"/>
    <s v="GRSM 3A"/>
    <x v="0"/>
    <s v="GMM"/>
    <n v="103272"/>
    <n v="1178"/>
    <x v="3"/>
    <x v="11"/>
    <s v="CARBONARA"/>
    <n v="3145"/>
    <n v="24"/>
    <n v="75480"/>
    <m/>
  </r>
  <r>
    <x v="2"/>
    <s v="JUN"/>
    <x v="7"/>
    <s v="GRSM 3A"/>
    <x v="0"/>
    <s v="GMM"/>
    <n v="103272"/>
    <n v="1178"/>
    <x v="3"/>
    <x v="11"/>
    <s v="AGLIO OLIO"/>
    <n v="3145"/>
    <n v="14"/>
    <n v="44030"/>
    <m/>
  </r>
  <r>
    <x v="2"/>
    <s v="JUN"/>
    <x v="7"/>
    <s v="GRSM 3A"/>
    <x v="0"/>
    <s v="GMM"/>
    <n v="103272"/>
    <n v="1178"/>
    <x v="3"/>
    <x v="11"/>
    <s v="GORENG"/>
    <n v="3145"/>
    <n v="35"/>
    <n v="110075"/>
    <n v="155"/>
  </r>
  <r>
    <x v="2"/>
    <s v="JUN"/>
    <x v="7"/>
    <s v="GRSM 4"/>
    <x v="0"/>
    <s v="GMM"/>
    <n v="103259"/>
    <n v="9013525"/>
    <x v="5"/>
    <x v="9"/>
    <s v="BOLOGNESE"/>
    <n v="2000"/>
    <n v="48"/>
    <n v="96000"/>
    <m/>
  </r>
  <r>
    <x v="2"/>
    <s v="JUN"/>
    <x v="7"/>
    <s v="GRSM 4"/>
    <x v="0"/>
    <s v="GMM"/>
    <n v="103259"/>
    <n v="9013525"/>
    <x v="5"/>
    <x v="9"/>
    <s v="CARBONARA"/>
    <n v="2000"/>
    <n v="48"/>
    <n v="96000"/>
    <m/>
  </r>
  <r>
    <x v="2"/>
    <s v="JUN"/>
    <x v="7"/>
    <s v="GRSM 4"/>
    <x v="0"/>
    <s v="GMM"/>
    <n v="103259"/>
    <n v="9013525"/>
    <x v="5"/>
    <x v="9"/>
    <s v="AGLIO OLIO"/>
    <n v="2000"/>
    <n v="30"/>
    <n v="60000"/>
    <m/>
  </r>
  <r>
    <x v="2"/>
    <s v="JUN"/>
    <x v="7"/>
    <s v="GRSM 4"/>
    <x v="0"/>
    <s v="GMM"/>
    <n v="103259"/>
    <n v="9013525"/>
    <x v="5"/>
    <x v="9"/>
    <s v="GORENG"/>
    <n v="2000"/>
    <n v="144"/>
    <n v="288000"/>
    <n v="155"/>
  </r>
  <r>
    <x v="2"/>
    <s v="JUN"/>
    <x v="7"/>
    <s v="GRSM 4"/>
    <x v="0"/>
    <s v="GMM"/>
    <n v="103259"/>
    <n v="9013525"/>
    <x v="5"/>
    <x v="14"/>
    <s v="BOLOGNESE"/>
    <n v="2000"/>
    <n v="48"/>
    <n v="96000"/>
    <m/>
  </r>
  <r>
    <x v="2"/>
    <s v="JUN"/>
    <x v="7"/>
    <s v="GRSM 4"/>
    <x v="0"/>
    <s v="GMM"/>
    <n v="103259"/>
    <n v="9013525"/>
    <x v="5"/>
    <x v="14"/>
    <s v="CARBONARA"/>
    <n v="2000"/>
    <n v="48"/>
    <n v="96000"/>
    <m/>
  </r>
  <r>
    <x v="2"/>
    <s v="JUN"/>
    <x v="7"/>
    <s v="GRSM 4"/>
    <x v="0"/>
    <s v="GMM"/>
    <n v="103259"/>
    <n v="9013525"/>
    <x v="5"/>
    <x v="14"/>
    <s v="AGLIO OLIO"/>
    <n v="2000"/>
    <n v="30"/>
    <n v="60000"/>
    <m/>
  </r>
  <r>
    <x v="2"/>
    <s v="JUN"/>
    <x v="7"/>
    <s v="GRSM 4"/>
    <x v="0"/>
    <s v="GMM"/>
    <n v="103259"/>
    <n v="9013525"/>
    <x v="5"/>
    <x v="14"/>
    <s v="GORENG"/>
    <n v="2000"/>
    <n v="153"/>
    <n v="306000"/>
    <n v="160"/>
  </r>
  <r>
    <x v="2"/>
    <s v="JUN"/>
    <x v="7"/>
    <s v="GRSM 4"/>
    <x v="0"/>
    <s v="GMM"/>
    <n v="189901"/>
    <n v="1602020"/>
    <x v="2"/>
    <x v="4"/>
    <s v="BOLOGNESE"/>
    <n v="2200"/>
    <n v="57"/>
    <n v="125400"/>
    <m/>
  </r>
  <r>
    <x v="2"/>
    <s v="JUN"/>
    <x v="7"/>
    <s v="GRSM 4"/>
    <x v="0"/>
    <s v="GMM"/>
    <n v="189901"/>
    <n v="1602020"/>
    <x v="2"/>
    <x v="4"/>
    <s v="CARBONARA"/>
    <n v="2200"/>
    <n v="108"/>
    <n v="237600"/>
    <m/>
  </r>
  <r>
    <x v="2"/>
    <s v="JUN"/>
    <x v="7"/>
    <s v="GRSM 4"/>
    <x v="0"/>
    <s v="GMM"/>
    <n v="189901"/>
    <n v="1602020"/>
    <x v="2"/>
    <x v="4"/>
    <s v="AGLIO OLIO"/>
    <n v="2200"/>
    <n v="36"/>
    <n v="79200"/>
    <m/>
  </r>
  <r>
    <x v="2"/>
    <s v="JUN"/>
    <x v="7"/>
    <s v="GRSM 4"/>
    <x v="0"/>
    <s v="GMM"/>
    <n v="103259"/>
    <n v="9029389"/>
    <x v="0"/>
    <x v="1"/>
    <s v="BOLOGNESE"/>
    <n v="2000"/>
    <n v="45"/>
    <n v="90000"/>
    <n v="160"/>
  </r>
  <r>
    <x v="2"/>
    <s v="JUN"/>
    <x v="7"/>
    <s v="GRSM 4"/>
    <x v="0"/>
    <s v="GMM"/>
    <n v="103259"/>
    <n v="9029389"/>
    <x v="0"/>
    <x v="1"/>
    <s v="CARBONARA"/>
    <n v="2000"/>
    <n v="63"/>
    <n v="126000"/>
    <m/>
  </r>
  <r>
    <x v="2"/>
    <s v="JUN"/>
    <x v="7"/>
    <s v="GRSM 4"/>
    <x v="0"/>
    <s v="GMM"/>
    <n v="103259"/>
    <n v="9029389"/>
    <x v="0"/>
    <x v="1"/>
    <s v="AGLIO OLIO"/>
    <n v="2000"/>
    <n v="45"/>
    <n v="90000"/>
    <m/>
  </r>
  <r>
    <x v="2"/>
    <s v="JUN"/>
    <x v="7"/>
    <s v="GRSM 4"/>
    <x v="0"/>
    <s v="GMM"/>
    <n v="103259"/>
    <n v="9029389"/>
    <x v="0"/>
    <x v="1"/>
    <s v="GORENG"/>
    <n v="2000"/>
    <n v="66"/>
    <n v="132000"/>
    <m/>
  </r>
  <r>
    <x v="2"/>
    <s v="JUN"/>
    <x v="7"/>
    <s v="GRSM 4"/>
    <x v="0"/>
    <s v="GMM"/>
    <n v="103259"/>
    <n v="9029389"/>
    <x v="0"/>
    <x v="15"/>
    <s v="BOLOGNESE"/>
    <n v="2000"/>
    <n v="51"/>
    <n v="102000"/>
    <n v="160"/>
  </r>
  <r>
    <x v="2"/>
    <s v="JUN"/>
    <x v="7"/>
    <s v="GRSM 4"/>
    <x v="0"/>
    <s v="GMM"/>
    <n v="103259"/>
    <n v="9029389"/>
    <x v="0"/>
    <x v="15"/>
    <s v="CARBONARA"/>
    <n v="2000"/>
    <n v="48"/>
    <n v="96000"/>
    <m/>
  </r>
  <r>
    <x v="2"/>
    <s v="JUN"/>
    <x v="7"/>
    <s v="GRSM 4"/>
    <x v="0"/>
    <s v="GMM"/>
    <n v="103259"/>
    <n v="9029389"/>
    <x v="0"/>
    <x v="15"/>
    <s v="AGLIO OLIO"/>
    <n v="2000"/>
    <n v="21"/>
    <n v="42000"/>
    <m/>
  </r>
  <r>
    <x v="2"/>
    <s v="JUN"/>
    <x v="7"/>
    <s v="GRSM 4"/>
    <x v="0"/>
    <s v="GMM"/>
    <n v="103259"/>
    <n v="9029389"/>
    <x v="0"/>
    <x v="15"/>
    <s v="GORENG"/>
    <n v="2000"/>
    <n v="87"/>
    <n v="174000"/>
    <m/>
  </r>
  <r>
    <x v="2"/>
    <s v="JUN"/>
    <x v="7"/>
    <s v="GRSM 4"/>
    <x v="0"/>
    <s v="GMM"/>
    <n v="103277"/>
    <n v="6300538"/>
    <x v="1"/>
    <x v="2"/>
    <s v="BOLOGNESE"/>
    <n v="2975"/>
    <n v="63"/>
    <n v="187425"/>
    <n v="160"/>
  </r>
  <r>
    <x v="2"/>
    <s v="JUN"/>
    <x v="8"/>
    <s v="GRSM 4"/>
    <x v="0"/>
    <s v="GMM"/>
    <n v="103277"/>
    <n v="6300538"/>
    <x v="1"/>
    <x v="2"/>
    <s v="CARBONARA"/>
    <n v="2975"/>
    <n v="71"/>
    <n v="211225"/>
    <m/>
  </r>
  <r>
    <x v="2"/>
    <s v="JUN"/>
    <x v="8"/>
    <s v="GRSM 4"/>
    <x v="0"/>
    <s v="GMM"/>
    <n v="103277"/>
    <n v="6300538"/>
    <x v="1"/>
    <x v="2"/>
    <s v="AGLIO OLIO"/>
    <n v="2975"/>
    <n v="44"/>
    <n v="130900"/>
    <m/>
  </r>
  <r>
    <x v="2"/>
    <s v="JUN"/>
    <x v="8"/>
    <s v="GRSM 4"/>
    <x v="0"/>
    <s v="GMM"/>
    <n v="103277"/>
    <n v="6300538"/>
    <x v="1"/>
    <x v="2"/>
    <s v="GORENG"/>
    <n v="2975"/>
    <n v="191"/>
    <n v="568225"/>
    <m/>
  </r>
  <r>
    <x v="2"/>
    <s v="JUN"/>
    <x v="8"/>
    <s v="GRSM 4"/>
    <x v="0"/>
    <s v="GMM"/>
    <n v="103277"/>
    <n v="6300538"/>
    <x v="1"/>
    <x v="3"/>
    <s v="BOLOGNESE"/>
    <n v="2975"/>
    <n v="59"/>
    <n v="175525"/>
    <n v="100"/>
  </r>
  <r>
    <x v="2"/>
    <s v="JUN"/>
    <x v="8"/>
    <s v="GRSM 4"/>
    <x v="0"/>
    <s v="GMM"/>
    <n v="103277"/>
    <n v="6300538"/>
    <x v="1"/>
    <x v="3"/>
    <s v="CARBONARA"/>
    <n v="2975"/>
    <n v="68"/>
    <n v="202300"/>
    <m/>
  </r>
  <r>
    <x v="2"/>
    <s v="JUN"/>
    <x v="8"/>
    <s v="GRSM 4"/>
    <x v="0"/>
    <s v="GMM"/>
    <n v="103277"/>
    <n v="6300538"/>
    <x v="1"/>
    <x v="3"/>
    <s v="AGLIO OLIO"/>
    <n v="2975"/>
    <n v="31"/>
    <n v="92225"/>
    <m/>
  </r>
  <r>
    <x v="2"/>
    <s v="JUN"/>
    <x v="8"/>
    <s v="GRSM 4"/>
    <x v="0"/>
    <s v="GMM"/>
    <n v="103277"/>
    <n v="6300538"/>
    <x v="1"/>
    <x v="3"/>
    <s v="GORENG"/>
    <n v="2975"/>
    <n v="171"/>
    <n v="508725"/>
    <m/>
  </r>
  <r>
    <x v="2"/>
    <s v="JUN"/>
    <x v="8"/>
    <s v="GRSM 4"/>
    <x v="0"/>
    <s v="GMM"/>
    <n v="103257"/>
    <n v="9162509"/>
    <x v="4"/>
    <x v="8"/>
    <s v="BOLOGNESE"/>
    <n v="3200"/>
    <n v="35"/>
    <n v="112000"/>
    <n v="100"/>
  </r>
  <r>
    <x v="2"/>
    <s v="JUN"/>
    <x v="8"/>
    <s v="GRSM 4"/>
    <x v="0"/>
    <s v="GMM"/>
    <n v="103257"/>
    <n v="9162509"/>
    <x v="4"/>
    <x v="8"/>
    <s v="CARBONARA"/>
    <n v="3200"/>
    <n v="42"/>
    <n v="134400"/>
    <m/>
  </r>
  <r>
    <x v="2"/>
    <s v="JUN"/>
    <x v="8"/>
    <s v="GRSM 4"/>
    <x v="0"/>
    <s v="GMM"/>
    <n v="103257"/>
    <n v="9162509"/>
    <x v="4"/>
    <x v="8"/>
    <s v="AGLIO OLIO"/>
    <n v="3200"/>
    <n v="38"/>
    <n v="121600"/>
    <m/>
  </r>
  <r>
    <x v="2"/>
    <s v="JUN"/>
    <x v="8"/>
    <s v="GRSM 4"/>
    <x v="0"/>
    <s v="GMM"/>
    <n v="103257"/>
    <n v="9162509"/>
    <x v="4"/>
    <x v="8"/>
    <s v="GORENG"/>
    <n v="3200"/>
    <n v="120"/>
    <n v="384000"/>
    <m/>
  </r>
  <r>
    <x v="2"/>
    <s v="JUN"/>
    <x v="8"/>
    <s v="GRSM 4"/>
    <x v="0"/>
    <s v="GMM"/>
    <n v="103257"/>
    <n v="9162509"/>
    <x v="4"/>
    <x v="7"/>
    <s v="BOLOGNESE"/>
    <n v="3200"/>
    <n v="40"/>
    <n v="128000"/>
    <n v="160"/>
  </r>
  <r>
    <x v="2"/>
    <s v="JUN"/>
    <x v="8"/>
    <s v="GRSM 4"/>
    <x v="0"/>
    <s v="GMM"/>
    <n v="103257"/>
    <n v="9162509"/>
    <x v="4"/>
    <x v="7"/>
    <s v="CARBONARA"/>
    <n v="3200"/>
    <n v="45"/>
    <n v="144000"/>
    <m/>
  </r>
  <r>
    <x v="2"/>
    <s v="JUN"/>
    <x v="8"/>
    <s v="GRSM 4"/>
    <x v="0"/>
    <s v="GMM"/>
    <n v="103257"/>
    <n v="9162509"/>
    <x v="4"/>
    <x v="7"/>
    <s v="AGLIO OLIO"/>
    <n v="3200"/>
    <n v="43"/>
    <n v="137600"/>
    <m/>
  </r>
  <r>
    <x v="2"/>
    <s v="JUN"/>
    <x v="8"/>
    <s v="GRSM 4"/>
    <x v="0"/>
    <s v="GMM"/>
    <n v="103257"/>
    <n v="9162509"/>
    <x v="4"/>
    <x v="7"/>
    <s v="GORENG"/>
    <n v="3200"/>
    <n v="124"/>
    <n v="396800"/>
    <m/>
  </r>
  <r>
    <x v="2"/>
    <s v="JUN"/>
    <x v="8"/>
    <s v="GRSM 4"/>
    <x v="0"/>
    <s v="GMM"/>
    <n v="103259"/>
    <n v="9029389"/>
    <x v="0"/>
    <x v="1"/>
    <s v="BOLOGNESE"/>
    <n v="2000"/>
    <n v="66"/>
    <n v="132000"/>
    <n v="160"/>
  </r>
  <r>
    <x v="2"/>
    <s v="JUN"/>
    <x v="8"/>
    <s v="GRSM 4"/>
    <x v="0"/>
    <s v="GMM"/>
    <n v="103259"/>
    <n v="9029389"/>
    <x v="0"/>
    <x v="1"/>
    <s v="CARBONARA"/>
    <n v="2000"/>
    <n v="60"/>
    <n v="120000"/>
    <m/>
  </r>
  <r>
    <x v="2"/>
    <s v="JUN"/>
    <x v="8"/>
    <s v="GRSM 4"/>
    <x v="0"/>
    <s v="GMM"/>
    <n v="103259"/>
    <n v="9029389"/>
    <x v="0"/>
    <x v="1"/>
    <s v="AGLIO OLIO"/>
    <n v="2000"/>
    <n v="21"/>
    <n v="42000"/>
    <m/>
  </r>
  <r>
    <x v="2"/>
    <s v="JUN"/>
    <x v="8"/>
    <s v="GRSM 4"/>
    <x v="0"/>
    <s v="GMM"/>
    <n v="103259"/>
    <n v="9029389"/>
    <x v="0"/>
    <x v="1"/>
    <s v="GORENG"/>
    <n v="2000"/>
    <n v="102"/>
    <n v="204000"/>
    <m/>
  </r>
  <r>
    <x v="2"/>
    <s v="JUN"/>
    <x v="8"/>
    <s v="GRSM 4"/>
    <x v="0"/>
    <s v="GMM"/>
    <n v="103259"/>
    <n v="9029389"/>
    <x v="0"/>
    <x v="15"/>
    <s v="BOLOGNESE"/>
    <n v="2000"/>
    <n v="72"/>
    <n v="144000"/>
    <n v="160"/>
  </r>
  <r>
    <x v="2"/>
    <s v="JUN"/>
    <x v="8"/>
    <s v="GRSM 4"/>
    <x v="0"/>
    <s v="GMM"/>
    <n v="103259"/>
    <n v="9029389"/>
    <x v="0"/>
    <x v="15"/>
    <s v="CARBONARA"/>
    <n v="2000"/>
    <n v="54"/>
    <n v="108000"/>
    <m/>
  </r>
  <r>
    <x v="2"/>
    <s v="JUN"/>
    <x v="8"/>
    <s v="GRSM 4"/>
    <x v="0"/>
    <s v="GMM"/>
    <n v="103259"/>
    <n v="9029389"/>
    <x v="0"/>
    <x v="15"/>
    <s v="AGLIO OLIO"/>
    <n v="2000"/>
    <n v="45"/>
    <n v="90000"/>
    <m/>
  </r>
  <r>
    <x v="2"/>
    <s v="JUN"/>
    <x v="8"/>
    <s v="GRSM 4"/>
    <x v="0"/>
    <s v="GMM"/>
    <n v="103259"/>
    <n v="9029389"/>
    <x v="0"/>
    <x v="15"/>
    <s v="GORENG"/>
    <n v="2000"/>
    <n v="141"/>
    <n v="282000"/>
    <m/>
  </r>
  <r>
    <x v="2"/>
    <s v="JUN"/>
    <x v="8"/>
    <s v="GRSM 3A"/>
    <x v="0"/>
    <s v="GMM"/>
    <n v="103272"/>
    <n v="1178"/>
    <x v="3"/>
    <x v="11"/>
    <s v="BOLOGNESE"/>
    <n v="3145"/>
    <n v="30"/>
    <n v="94350"/>
    <n v="160"/>
  </r>
  <r>
    <x v="2"/>
    <s v="JUN"/>
    <x v="8"/>
    <s v="GRSM 3A"/>
    <x v="0"/>
    <s v="GMM"/>
    <n v="103272"/>
    <n v="1178"/>
    <x v="3"/>
    <x v="11"/>
    <s v="CARBONARA"/>
    <n v="3145"/>
    <n v="23"/>
    <n v="72335"/>
    <m/>
  </r>
  <r>
    <x v="2"/>
    <s v="JUN"/>
    <x v="8"/>
    <s v="GRSM 3A"/>
    <x v="0"/>
    <s v="GMM"/>
    <n v="103272"/>
    <n v="1178"/>
    <x v="3"/>
    <x v="11"/>
    <s v="AGLIO OLIO"/>
    <n v="3145"/>
    <n v="6"/>
    <n v="18870"/>
    <m/>
  </r>
  <r>
    <x v="2"/>
    <s v="JUN"/>
    <x v="8"/>
    <s v="GRSM 3A"/>
    <x v="0"/>
    <s v="GMM"/>
    <n v="103272"/>
    <n v="1178"/>
    <x v="3"/>
    <x v="11"/>
    <s v="GORENG"/>
    <n v="3145"/>
    <n v="60"/>
    <n v="188700"/>
    <m/>
  </r>
  <r>
    <x v="2"/>
    <s v="JUN"/>
    <x v="8"/>
    <s v="GRSM 3A"/>
    <x v="0"/>
    <s v="GMM"/>
    <n v="103272"/>
    <n v="1178"/>
    <x v="3"/>
    <x v="6"/>
    <s v="BOLOGNESE"/>
    <n v="3145"/>
    <n v="30"/>
    <n v="94350"/>
    <n v="160"/>
  </r>
  <r>
    <x v="2"/>
    <s v="JUN"/>
    <x v="8"/>
    <s v="GRSM 3A"/>
    <x v="0"/>
    <s v="GMM"/>
    <n v="103272"/>
    <n v="1178"/>
    <x v="3"/>
    <x v="6"/>
    <s v="CARBONARA"/>
    <n v="3145"/>
    <n v="23"/>
    <n v="72335"/>
    <m/>
  </r>
  <r>
    <x v="2"/>
    <s v="JUN"/>
    <x v="8"/>
    <s v="GRSM 3A"/>
    <x v="0"/>
    <s v="GMM"/>
    <n v="103272"/>
    <n v="1178"/>
    <x v="3"/>
    <x v="6"/>
    <s v="AGLIO OLIO"/>
    <n v="3145"/>
    <n v="6"/>
    <n v="18870"/>
    <m/>
  </r>
  <r>
    <x v="2"/>
    <s v="JUN"/>
    <x v="8"/>
    <s v="GRSM 3A"/>
    <x v="0"/>
    <s v="GMM"/>
    <n v="103272"/>
    <n v="1178"/>
    <x v="3"/>
    <x v="6"/>
    <s v="GORENG"/>
    <n v="3145"/>
    <n v="60"/>
    <n v="188700"/>
    <m/>
  </r>
  <r>
    <x v="2"/>
    <s v="JUN"/>
    <x v="8"/>
    <s v="GRSM 4"/>
    <x v="0"/>
    <s v="GMM"/>
    <n v="103259"/>
    <n v="9013525"/>
    <x v="5"/>
    <x v="9"/>
    <s v="BOLOGNESE"/>
    <n v="2000"/>
    <n v="60"/>
    <n v="120000"/>
    <n v="160"/>
  </r>
  <r>
    <x v="2"/>
    <s v="JUN"/>
    <x v="8"/>
    <s v="GRSM 4"/>
    <x v="0"/>
    <s v="GMM"/>
    <n v="103259"/>
    <n v="9013525"/>
    <x v="5"/>
    <x v="9"/>
    <s v="CARBONARA"/>
    <n v="2000"/>
    <n v="60"/>
    <n v="120000"/>
    <m/>
  </r>
  <r>
    <x v="2"/>
    <s v="JUN"/>
    <x v="8"/>
    <s v="GRSM 4"/>
    <x v="0"/>
    <s v="GMM"/>
    <n v="103259"/>
    <n v="9013525"/>
    <x v="5"/>
    <x v="9"/>
    <s v="AGLIO OLIO"/>
    <n v="2000"/>
    <n v="60"/>
    <n v="120000"/>
    <m/>
  </r>
  <r>
    <x v="2"/>
    <s v="JUN"/>
    <x v="8"/>
    <s v="GRSM 4"/>
    <x v="0"/>
    <s v="GMM"/>
    <n v="103259"/>
    <n v="9013525"/>
    <x v="5"/>
    <x v="9"/>
    <s v="GORENG"/>
    <n v="2000"/>
    <n v="180"/>
    <n v="360000"/>
    <m/>
  </r>
  <r>
    <x v="2"/>
    <s v="JUN"/>
    <x v="8"/>
    <s v="GRSM 4"/>
    <x v="0"/>
    <s v="GMM"/>
    <n v="103259"/>
    <n v="9013525"/>
    <x v="5"/>
    <x v="14"/>
    <s v="BOLOGNESE"/>
    <n v="2000"/>
    <n v="60"/>
    <n v="120000"/>
    <n v="160"/>
  </r>
  <r>
    <x v="2"/>
    <s v="JUN"/>
    <x v="8"/>
    <s v="GRSM 4"/>
    <x v="0"/>
    <s v="GMM"/>
    <n v="103259"/>
    <n v="9013525"/>
    <x v="5"/>
    <x v="14"/>
    <s v="CARBONARA"/>
    <n v="2000"/>
    <n v="48"/>
    <n v="96000"/>
    <m/>
  </r>
  <r>
    <x v="2"/>
    <s v="JUN"/>
    <x v="8"/>
    <s v="GRSM 4"/>
    <x v="0"/>
    <s v="GMM"/>
    <n v="103259"/>
    <n v="9013525"/>
    <x v="5"/>
    <x v="14"/>
    <s v="AGLIO OLIO"/>
    <n v="2000"/>
    <n v="36"/>
    <n v="72000"/>
    <m/>
  </r>
  <r>
    <x v="2"/>
    <s v="JUN"/>
    <x v="8"/>
    <s v="GRSM 4"/>
    <x v="0"/>
    <s v="GMM"/>
    <n v="103259"/>
    <n v="9013525"/>
    <x v="5"/>
    <x v="14"/>
    <s v="GORENG"/>
    <n v="2000"/>
    <n v="180"/>
    <n v="360000"/>
    <m/>
  </r>
  <r>
    <x v="2"/>
    <s v="JUN"/>
    <x v="8"/>
    <s v="GRSM 4"/>
    <x v="0"/>
    <s v="GMM"/>
    <n v="103257"/>
    <n v="9162509"/>
    <x v="4"/>
    <x v="7"/>
    <s v="BOLOGNESE"/>
    <n v="3200"/>
    <n v="80"/>
    <n v="256000"/>
    <n v="160"/>
  </r>
  <r>
    <x v="2"/>
    <s v="JUN"/>
    <x v="9"/>
    <s v="GRSM 4"/>
    <x v="0"/>
    <s v="GMM"/>
    <n v="103257"/>
    <n v="9162509"/>
    <x v="4"/>
    <x v="7"/>
    <s v="CARBONARA"/>
    <n v="3200"/>
    <n v="47"/>
    <n v="150400"/>
    <m/>
  </r>
  <r>
    <x v="2"/>
    <s v="JUN"/>
    <x v="9"/>
    <s v="GRSM 4"/>
    <x v="0"/>
    <s v="GMM"/>
    <n v="103257"/>
    <n v="9162509"/>
    <x v="4"/>
    <x v="7"/>
    <s v="AGLIO OLIO"/>
    <n v="3200"/>
    <n v="55"/>
    <n v="176000"/>
    <m/>
  </r>
  <r>
    <x v="2"/>
    <s v="JUN"/>
    <x v="9"/>
    <s v="GRSM 4"/>
    <x v="0"/>
    <s v="GMM"/>
    <n v="103257"/>
    <n v="9162509"/>
    <x v="4"/>
    <x v="7"/>
    <s v="GORENG"/>
    <n v="3200"/>
    <n v="182"/>
    <n v="582400"/>
    <m/>
  </r>
  <r>
    <x v="2"/>
    <s v="JUN"/>
    <x v="9"/>
    <s v="GRSM 4"/>
    <x v="0"/>
    <s v="GMM"/>
    <n v="103257"/>
    <n v="9162509"/>
    <x v="4"/>
    <x v="8"/>
    <s v="BOLOGNESE"/>
    <n v="3200"/>
    <n v="72"/>
    <n v="230400"/>
    <n v="160"/>
  </r>
  <r>
    <x v="2"/>
    <s v="JUN"/>
    <x v="9"/>
    <s v="GRSM 4"/>
    <x v="0"/>
    <s v="GMM"/>
    <n v="103257"/>
    <n v="9162509"/>
    <x v="4"/>
    <x v="8"/>
    <s v="CARBONARA"/>
    <n v="3200"/>
    <n v="39"/>
    <n v="124800"/>
    <m/>
  </r>
  <r>
    <x v="2"/>
    <s v="JUN"/>
    <x v="9"/>
    <s v="GRSM 4"/>
    <x v="0"/>
    <s v="GMM"/>
    <n v="103257"/>
    <n v="9162509"/>
    <x v="4"/>
    <x v="8"/>
    <s v="AGLIO OLIO"/>
    <n v="3200"/>
    <n v="51"/>
    <n v="163200"/>
    <m/>
  </r>
  <r>
    <x v="2"/>
    <s v="JUN"/>
    <x v="9"/>
    <s v="GRSM 4"/>
    <x v="0"/>
    <s v="GMM"/>
    <n v="103257"/>
    <n v="9162509"/>
    <x v="4"/>
    <x v="8"/>
    <s v="GORENG"/>
    <n v="3200"/>
    <n v="150"/>
    <n v="480000"/>
    <m/>
  </r>
  <r>
    <x v="2"/>
    <s v="JUN"/>
    <x v="9"/>
    <s v="GRSM 4"/>
    <x v="0"/>
    <s v="GMM"/>
    <n v="103277"/>
    <n v="6300538"/>
    <x v="1"/>
    <x v="2"/>
    <s v="BOLOGNESE"/>
    <n v="2975"/>
    <n v="65"/>
    <n v="193375"/>
    <n v="160"/>
  </r>
  <r>
    <x v="2"/>
    <s v="JUN"/>
    <x v="9"/>
    <s v="GRSM 4"/>
    <x v="0"/>
    <s v="GMM"/>
    <n v="103277"/>
    <n v="6300538"/>
    <x v="1"/>
    <x v="2"/>
    <s v="CARBONARA"/>
    <n v="2975"/>
    <n v="75"/>
    <n v="223125"/>
    <m/>
  </r>
  <r>
    <x v="2"/>
    <s v="JUN"/>
    <x v="9"/>
    <s v="GRSM 4"/>
    <x v="0"/>
    <s v="GMM"/>
    <n v="103277"/>
    <n v="6300538"/>
    <x v="1"/>
    <x v="2"/>
    <s v="AGLIO OLIO"/>
    <n v="2975"/>
    <n v="48"/>
    <n v="142800"/>
    <m/>
  </r>
  <r>
    <x v="2"/>
    <s v="JUN"/>
    <x v="9"/>
    <s v="GRSM 4"/>
    <x v="0"/>
    <s v="GMM"/>
    <n v="103277"/>
    <n v="6300538"/>
    <x v="1"/>
    <x v="2"/>
    <s v="GORENG"/>
    <n v="2975"/>
    <n v="194"/>
    <n v="577150"/>
    <m/>
  </r>
  <r>
    <x v="2"/>
    <s v="JUN"/>
    <x v="9"/>
    <s v="GRSM 4"/>
    <x v="0"/>
    <s v="GMM"/>
    <n v="103277"/>
    <n v="6300538"/>
    <x v="1"/>
    <x v="3"/>
    <s v="BOLOGNESE"/>
    <n v="2975"/>
    <n v="50"/>
    <n v="148750"/>
    <m/>
  </r>
  <r>
    <x v="2"/>
    <s v="JUN"/>
    <x v="9"/>
    <s v="GRSM 4"/>
    <x v="0"/>
    <s v="GMM"/>
    <n v="103277"/>
    <n v="6300538"/>
    <x v="1"/>
    <x v="3"/>
    <s v="CARBONARA"/>
    <n v="2975"/>
    <n v="66"/>
    <n v="196350"/>
    <m/>
  </r>
  <r>
    <x v="2"/>
    <s v="JUN"/>
    <x v="9"/>
    <s v="GRSM 4"/>
    <x v="0"/>
    <s v="GMM"/>
    <n v="103277"/>
    <n v="6300538"/>
    <x v="1"/>
    <x v="3"/>
    <s v="AGLIO OLIO"/>
    <n v="2975"/>
    <n v="53"/>
    <n v="157675"/>
    <m/>
  </r>
  <r>
    <x v="2"/>
    <s v="JUN"/>
    <x v="9"/>
    <s v="GRSM 4"/>
    <x v="0"/>
    <s v="GMM"/>
    <n v="103277"/>
    <n v="6300538"/>
    <x v="1"/>
    <x v="3"/>
    <s v="GORENG"/>
    <n v="2975"/>
    <n v="189"/>
    <n v="562275"/>
    <m/>
  </r>
  <r>
    <x v="2"/>
    <s v="JUN"/>
    <x v="9"/>
    <s v="GRSM 4"/>
    <x v="0"/>
    <s v="GMM"/>
    <n v="103259"/>
    <n v="9029389"/>
    <x v="0"/>
    <x v="1"/>
    <s v="BOLOGNESE"/>
    <n v="2000"/>
    <n v="78"/>
    <n v="156000"/>
    <m/>
  </r>
  <r>
    <x v="2"/>
    <s v="JUN"/>
    <x v="9"/>
    <s v="GRSM 4"/>
    <x v="0"/>
    <s v="GMM"/>
    <n v="103259"/>
    <n v="9029389"/>
    <x v="0"/>
    <x v="1"/>
    <s v="CARBONARA"/>
    <n v="2000"/>
    <n v="72"/>
    <n v="144000"/>
    <m/>
  </r>
  <r>
    <x v="2"/>
    <s v="JUN"/>
    <x v="9"/>
    <s v="GRSM 4"/>
    <x v="0"/>
    <s v="GMM"/>
    <n v="103259"/>
    <n v="9029389"/>
    <x v="0"/>
    <x v="1"/>
    <s v="AGLIO OLIO"/>
    <n v="2000"/>
    <n v="33"/>
    <n v="66000"/>
    <m/>
  </r>
  <r>
    <x v="2"/>
    <s v="JUN"/>
    <x v="9"/>
    <s v="GRSM 4"/>
    <x v="0"/>
    <s v="GMM"/>
    <n v="103259"/>
    <n v="9029389"/>
    <x v="0"/>
    <x v="1"/>
    <s v="GORENG"/>
    <n v="2000"/>
    <n v="93"/>
    <n v="186000"/>
    <m/>
  </r>
  <r>
    <x v="2"/>
    <s v="JUN"/>
    <x v="9"/>
    <s v="GRSM 4"/>
    <x v="0"/>
    <s v="GMM"/>
    <n v="103259"/>
    <n v="9029389"/>
    <x v="0"/>
    <x v="15"/>
    <s v="BOLOGNESE"/>
    <n v="2000"/>
    <n v="48"/>
    <n v="96000"/>
    <n v="120"/>
  </r>
  <r>
    <x v="2"/>
    <s v="JUN"/>
    <x v="9"/>
    <s v="GRSM 4"/>
    <x v="0"/>
    <s v="GMM"/>
    <n v="103259"/>
    <n v="9029389"/>
    <x v="0"/>
    <x v="15"/>
    <s v="CARBONARA"/>
    <n v="2000"/>
    <n v="60"/>
    <n v="120000"/>
    <m/>
  </r>
  <r>
    <x v="2"/>
    <s v="JUN"/>
    <x v="9"/>
    <s v="GRSM 4"/>
    <x v="0"/>
    <s v="GMM"/>
    <n v="103259"/>
    <n v="9029389"/>
    <x v="0"/>
    <x v="15"/>
    <s v="AGLIO OLIO"/>
    <n v="2000"/>
    <n v="48"/>
    <n v="96000"/>
    <m/>
  </r>
  <r>
    <x v="2"/>
    <s v="JUN"/>
    <x v="9"/>
    <s v="GRSM 4"/>
    <x v="0"/>
    <s v="GMM"/>
    <n v="103259"/>
    <n v="9029389"/>
    <x v="0"/>
    <x v="15"/>
    <s v="GORENG"/>
    <n v="2000"/>
    <n v="57"/>
    <n v="114000"/>
    <n v="120"/>
  </r>
  <r>
    <x v="2"/>
    <s v="JUN"/>
    <x v="9"/>
    <s v="GRSM 4"/>
    <x v="0"/>
    <s v="GMM"/>
    <n v="103259"/>
    <n v="9013525"/>
    <x v="5"/>
    <x v="9"/>
    <s v="BOLOGNESE"/>
    <n v="2000"/>
    <n v="72"/>
    <n v="144000"/>
    <m/>
  </r>
  <r>
    <x v="2"/>
    <s v="JUN"/>
    <x v="9"/>
    <s v="GRSM 4"/>
    <x v="0"/>
    <s v="GMM"/>
    <n v="103259"/>
    <n v="9013525"/>
    <x v="5"/>
    <x v="9"/>
    <s v="CARBONARA"/>
    <n v="2000"/>
    <n v="60"/>
    <n v="120000"/>
    <m/>
  </r>
  <r>
    <x v="2"/>
    <s v="JUN"/>
    <x v="9"/>
    <s v="GRSM 4"/>
    <x v="0"/>
    <s v="GMM"/>
    <n v="103259"/>
    <n v="9013525"/>
    <x v="5"/>
    <x v="9"/>
    <s v="AGLIO OLIO"/>
    <n v="2000"/>
    <n v="36"/>
    <n v="72000"/>
    <m/>
  </r>
  <r>
    <x v="2"/>
    <s v="JUN"/>
    <x v="9"/>
    <s v="GRSM 4"/>
    <x v="0"/>
    <s v="GMM"/>
    <n v="103259"/>
    <n v="9013525"/>
    <x v="5"/>
    <x v="9"/>
    <s v="GORENG"/>
    <n v="2000"/>
    <n v="204"/>
    <n v="408000"/>
    <n v="160"/>
  </r>
  <r>
    <x v="2"/>
    <s v="JUN"/>
    <x v="9"/>
    <s v="GRSM 4"/>
    <x v="0"/>
    <s v="GMM"/>
    <n v="103259"/>
    <n v="9013525"/>
    <x v="5"/>
    <x v="14"/>
    <s v="BOLOGNESE"/>
    <n v="2000"/>
    <n v="60"/>
    <n v="120000"/>
    <m/>
  </r>
  <r>
    <x v="2"/>
    <s v="JUN"/>
    <x v="9"/>
    <s v="GRSM 4"/>
    <x v="0"/>
    <s v="GMM"/>
    <n v="103259"/>
    <n v="9013525"/>
    <x v="5"/>
    <x v="14"/>
    <s v="CARBONARA"/>
    <n v="2000"/>
    <n v="60"/>
    <n v="120000"/>
    <m/>
  </r>
  <r>
    <x v="2"/>
    <s v="JUN"/>
    <x v="9"/>
    <s v="GRSM 4"/>
    <x v="0"/>
    <s v="GMM"/>
    <n v="103259"/>
    <n v="9013525"/>
    <x v="5"/>
    <x v="14"/>
    <s v="AGLIO OLIO"/>
    <n v="2000"/>
    <n v="60"/>
    <n v="120000"/>
    <m/>
  </r>
  <r>
    <x v="2"/>
    <s v="JUN"/>
    <x v="9"/>
    <s v="GRSM 4"/>
    <x v="0"/>
    <s v="GMM"/>
    <n v="103259"/>
    <n v="9013525"/>
    <x v="5"/>
    <x v="14"/>
    <s v="GORENG"/>
    <n v="2000"/>
    <n v="180"/>
    <n v="360000"/>
    <n v="160"/>
  </r>
  <r>
    <x v="2"/>
    <s v="JUN"/>
    <x v="9"/>
    <s v="GRSM 4"/>
    <x v="0"/>
    <s v="GMM"/>
    <n v="189901"/>
    <n v="1602020"/>
    <x v="2"/>
    <x v="5"/>
    <s v="BOLOGNESE"/>
    <n v="2200"/>
    <n v="51"/>
    <n v="112200"/>
    <m/>
  </r>
  <r>
    <x v="2"/>
    <s v="JUN"/>
    <x v="7"/>
    <s v="GRSM 4"/>
    <x v="0"/>
    <s v="GMM"/>
    <n v="189901"/>
    <n v="1602020"/>
    <x v="2"/>
    <x v="5"/>
    <s v="CARBONARA"/>
    <n v="2200"/>
    <n v="125"/>
    <n v="275000"/>
    <m/>
  </r>
  <r>
    <x v="2"/>
    <s v="JUN"/>
    <x v="7"/>
    <s v="GRSM 4"/>
    <x v="0"/>
    <s v="GMM"/>
    <n v="189901"/>
    <n v="1602020"/>
    <x v="2"/>
    <x v="5"/>
    <s v="AGLIO OLIO"/>
    <n v="2200"/>
    <n v="49"/>
    <n v="107800"/>
    <n v="160"/>
  </r>
  <r>
    <x v="2"/>
    <s v="JUN"/>
    <x v="7"/>
    <s v="GRSM 4"/>
    <x v="0"/>
    <s v="GMM"/>
    <n v="189901"/>
    <n v="1602020"/>
    <x v="2"/>
    <x v="4"/>
    <s v="BOLOGNESE"/>
    <n v="2200"/>
    <n v="73"/>
    <n v="160600"/>
    <m/>
  </r>
  <r>
    <x v="2"/>
    <s v="JUN"/>
    <x v="8"/>
    <s v="GRSM 4"/>
    <x v="0"/>
    <s v="GMM"/>
    <n v="189901"/>
    <n v="1602020"/>
    <x v="2"/>
    <x v="4"/>
    <s v="CARBONARA"/>
    <n v="2200"/>
    <n v="106"/>
    <n v="233200"/>
    <m/>
  </r>
  <r>
    <x v="2"/>
    <s v="JUN"/>
    <x v="8"/>
    <s v="GRSM 4"/>
    <x v="0"/>
    <s v="GMM"/>
    <n v="189901"/>
    <n v="1602020"/>
    <x v="2"/>
    <x v="4"/>
    <s v="AGLIO OLIO"/>
    <n v="2200"/>
    <n v="39"/>
    <n v="85800"/>
    <m/>
  </r>
  <r>
    <x v="2"/>
    <s v="JUN"/>
    <x v="8"/>
    <s v="GRSM 4"/>
    <x v="0"/>
    <s v="GMM"/>
    <n v="189901"/>
    <n v="1602020"/>
    <x v="2"/>
    <x v="5"/>
    <s v="BOLOGNESE"/>
    <n v="2200"/>
    <n v="67"/>
    <n v="147400"/>
    <n v="160"/>
  </r>
  <r>
    <x v="2"/>
    <s v="JUN"/>
    <x v="8"/>
    <s v="GRSM 4"/>
    <x v="0"/>
    <s v="GMM"/>
    <n v="189901"/>
    <n v="1602020"/>
    <x v="2"/>
    <x v="5"/>
    <s v="CARBONARA"/>
    <n v="2200"/>
    <n v="98"/>
    <n v="215600"/>
    <m/>
  </r>
  <r>
    <x v="2"/>
    <s v="JUN"/>
    <x v="8"/>
    <s v="GRSM 4"/>
    <x v="0"/>
    <s v="GMM"/>
    <n v="189901"/>
    <n v="1602020"/>
    <x v="2"/>
    <x v="5"/>
    <s v="AGLIO OLIO"/>
    <n v="2200"/>
    <n v="45"/>
    <n v="99000"/>
    <m/>
  </r>
  <r>
    <x v="2"/>
    <s v="JUN"/>
    <x v="8"/>
    <s v="GRSM 4"/>
    <x v="0"/>
    <s v="GMM"/>
    <n v="189901"/>
    <n v="1602020"/>
    <x v="2"/>
    <x v="4"/>
    <s v="BOLOGNESE"/>
    <n v="2200"/>
    <n v="121"/>
    <n v="266200"/>
    <m/>
  </r>
  <r>
    <x v="2"/>
    <s v="JUN"/>
    <x v="9"/>
    <s v="GRSM 4"/>
    <x v="0"/>
    <s v="GMM"/>
    <n v="189901"/>
    <n v="1602020"/>
    <x v="2"/>
    <x v="4"/>
    <s v="CARBONARA"/>
    <n v="2200"/>
    <n v="85"/>
    <n v="187000"/>
    <n v="160"/>
  </r>
  <r>
    <x v="2"/>
    <s v="JUN"/>
    <x v="9"/>
    <s v="GRSM 4"/>
    <x v="0"/>
    <s v="GMM"/>
    <n v="189901"/>
    <n v="1602020"/>
    <x v="2"/>
    <x v="4"/>
    <s v="AGLIO OLIO"/>
    <n v="2200"/>
    <n v="31"/>
    <n v="68200"/>
    <m/>
  </r>
  <r>
    <x v="2"/>
    <s v="JUN"/>
    <x v="9"/>
    <s v="GRSM 4"/>
    <x v="0"/>
    <s v="GMM"/>
    <n v="189901"/>
    <n v="1602020"/>
    <x v="2"/>
    <x v="5"/>
    <s v="BOLOGNESE"/>
    <n v="2200"/>
    <n v="96"/>
    <n v="211200"/>
    <m/>
  </r>
  <r>
    <x v="2"/>
    <s v="JUN"/>
    <x v="9"/>
    <s v="GRSM 4"/>
    <x v="0"/>
    <s v="GMM"/>
    <n v="189901"/>
    <n v="1602020"/>
    <x v="2"/>
    <x v="5"/>
    <s v="CARBONARA"/>
    <n v="2200"/>
    <n v="117"/>
    <n v="257400"/>
    <m/>
  </r>
  <r>
    <x v="2"/>
    <s v="JUN"/>
    <x v="9"/>
    <s v="GRSM 4"/>
    <x v="0"/>
    <s v="GMM"/>
    <n v="189901"/>
    <n v="1602020"/>
    <x v="2"/>
    <x v="5"/>
    <s v="AGLIO OLIO"/>
    <n v="2200"/>
    <n v="24"/>
    <n v="52800"/>
    <n v="160"/>
  </r>
  <r>
    <x v="3"/>
    <s v="JUN"/>
    <x v="10"/>
    <s v="GRSM 3A"/>
    <x v="0"/>
    <s v="GMM"/>
    <n v="103272"/>
    <n v="1178"/>
    <x v="3"/>
    <x v="11"/>
    <s v="BOLOGNESE"/>
    <n v="3145"/>
    <n v="16"/>
    <n v="50320"/>
    <m/>
  </r>
  <r>
    <x v="2"/>
    <s v="JUN"/>
    <x v="7"/>
    <s v="GRSM 4"/>
    <x v="0"/>
    <s v="GMM"/>
    <n v="103277"/>
    <n v="6301424"/>
    <x v="6"/>
    <x v="12"/>
    <s v="CARBONARA"/>
    <n v="3000"/>
    <n v="10"/>
    <n v="30000"/>
    <m/>
  </r>
  <r>
    <x v="2"/>
    <s v="JUN"/>
    <x v="7"/>
    <s v="GRSM 4"/>
    <x v="0"/>
    <s v="GMM"/>
    <n v="103277"/>
    <n v="6301424"/>
    <x v="6"/>
    <x v="12"/>
    <s v="AGLIO OLIO"/>
    <n v="3000"/>
    <n v="10"/>
    <n v="30000"/>
    <m/>
  </r>
  <r>
    <x v="2"/>
    <s v="JUN"/>
    <x v="7"/>
    <s v="GRSM 4"/>
    <x v="0"/>
    <s v="GMM"/>
    <n v="103277"/>
    <n v="6301424"/>
    <x v="6"/>
    <x v="12"/>
    <s v="GORENG"/>
    <n v="3000"/>
    <n v="200"/>
    <n v="600000"/>
    <n v="120"/>
  </r>
  <r>
    <x v="2"/>
    <s v="JUN"/>
    <x v="7"/>
    <s v="GRSM 4"/>
    <x v="0"/>
    <s v="GMM"/>
    <n v="103277"/>
    <n v="6301424"/>
    <x v="6"/>
    <x v="13"/>
    <s v="BOLOGNESE"/>
    <n v="3000"/>
    <n v="20"/>
    <n v="60000"/>
    <m/>
  </r>
  <r>
    <x v="2"/>
    <s v="JUN"/>
    <x v="7"/>
    <s v="GRSM 4"/>
    <x v="0"/>
    <s v="GMM"/>
    <n v="103277"/>
    <n v="6301424"/>
    <x v="6"/>
    <x v="13"/>
    <s v="CARBONARA"/>
    <n v="3000"/>
    <n v="15"/>
    <n v="45000"/>
    <m/>
  </r>
  <r>
    <x v="2"/>
    <s v="JUN"/>
    <x v="7"/>
    <s v="GRSM 4"/>
    <x v="0"/>
    <s v="GMM"/>
    <n v="103277"/>
    <n v="6301424"/>
    <x v="6"/>
    <x v="13"/>
    <s v="AGLIO OLIO"/>
    <n v="3000"/>
    <n v="10"/>
    <n v="30000"/>
    <m/>
  </r>
  <r>
    <x v="2"/>
    <s v="JUN"/>
    <x v="7"/>
    <s v="GRSM 4"/>
    <x v="0"/>
    <s v="GMM"/>
    <n v="103277"/>
    <n v="6301424"/>
    <x v="6"/>
    <x v="13"/>
    <s v="GORENG"/>
    <n v="3000"/>
    <n v="200"/>
    <n v="600000"/>
    <n v="120"/>
  </r>
  <r>
    <x v="2"/>
    <s v="JUN"/>
    <x v="7"/>
    <s v="GRSM 4"/>
    <x v="0"/>
    <s v="GMM"/>
    <n v="103277"/>
    <n v="6301424"/>
    <x v="6"/>
    <x v="12"/>
    <s v="BOLOGNESE"/>
    <n v="3000"/>
    <n v="60"/>
    <n v="180000"/>
    <m/>
  </r>
  <r>
    <x v="2"/>
    <s v="JUN"/>
    <x v="8"/>
    <s v="GRSM 4"/>
    <x v="0"/>
    <s v="GMM"/>
    <n v="103277"/>
    <n v="6301424"/>
    <x v="6"/>
    <x v="12"/>
    <s v="CARBONARA"/>
    <n v="3000"/>
    <n v="95"/>
    <n v="285000"/>
    <m/>
  </r>
  <r>
    <x v="2"/>
    <s v="JUN"/>
    <x v="8"/>
    <s v="GRSM 4"/>
    <x v="0"/>
    <s v="GMM"/>
    <n v="103277"/>
    <n v="6301424"/>
    <x v="6"/>
    <x v="12"/>
    <s v="AGLIO OLIO"/>
    <n v="3000"/>
    <n v="25"/>
    <n v="75000"/>
    <m/>
  </r>
  <r>
    <x v="2"/>
    <s v="JUN"/>
    <x v="8"/>
    <s v="GRSM 4"/>
    <x v="0"/>
    <s v="GMM"/>
    <n v="103277"/>
    <n v="6301424"/>
    <x v="6"/>
    <x v="12"/>
    <s v="GORENG"/>
    <n v="3000"/>
    <n v="130"/>
    <n v="390000"/>
    <n v="120"/>
  </r>
  <r>
    <x v="2"/>
    <s v="JUN"/>
    <x v="8"/>
    <s v="GRSM 4"/>
    <x v="0"/>
    <s v="GMM"/>
    <n v="103277"/>
    <n v="6301424"/>
    <x v="6"/>
    <x v="13"/>
    <s v="BOLOGNESE"/>
    <n v="3000"/>
    <n v="64"/>
    <n v="192000"/>
    <m/>
  </r>
  <r>
    <x v="2"/>
    <s v="JUN"/>
    <x v="8"/>
    <s v="GRSM 4"/>
    <x v="0"/>
    <s v="GMM"/>
    <n v="103277"/>
    <n v="6301424"/>
    <x v="6"/>
    <x v="13"/>
    <s v="CARBONARA"/>
    <n v="3000"/>
    <n v="90"/>
    <n v="270000"/>
    <m/>
  </r>
  <r>
    <x v="2"/>
    <s v="JUN"/>
    <x v="8"/>
    <s v="GRSM 4"/>
    <x v="0"/>
    <s v="GMM"/>
    <n v="103277"/>
    <n v="6301424"/>
    <x v="6"/>
    <x v="13"/>
    <s v="AGLIO OLIO"/>
    <n v="3000"/>
    <n v="20"/>
    <n v="60000"/>
    <m/>
  </r>
  <r>
    <x v="2"/>
    <s v="JUN"/>
    <x v="8"/>
    <s v="GRSM 4"/>
    <x v="0"/>
    <s v="GMM"/>
    <n v="103277"/>
    <n v="6301424"/>
    <x v="6"/>
    <x v="13"/>
    <s v="GORENG"/>
    <n v="3000"/>
    <n v="120"/>
    <n v="360000"/>
    <n v="120"/>
  </r>
  <r>
    <x v="2"/>
    <s v="JUN"/>
    <x v="8"/>
    <s v="GRSM 4"/>
    <x v="0"/>
    <s v="GMM"/>
    <n v="103277"/>
    <n v="6301424"/>
    <x v="6"/>
    <x v="12"/>
    <s v="BOLOGNESE"/>
    <n v="3000"/>
    <n v="31"/>
    <n v="93000"/>
    <m/>
  </r>
  <r>
    <x v="2"/>
    <s v="JUN"/>
    <x v="9"/>
    <s v="GRSM 4"/>
    <x v="0"/>
    <s v="GMM"/>
    <n v="103277"/>
    <n v="6301424"/>
    <x v="6"/>
    <x v="12"/>
    <s v="CARBONARA"/>
    <n v="3000"/>
    <n v="80"/>
    <n v="240000"/>
    <m/>
  </r>
  <r>
    <x v="2"/>
    <s v="JUN"/>
    <x v="9"/>
    <s v="GRSM 4"/>
    <x v="0"/>
    <s v="GMM"/>
    <n v="103277"/>
    <n v="6301424"/>
    <x v="6"/>
    <x v="12"/>
    <s v="AGLIO OLIO"/>
    <n v="3000"/>
    <n v="20"/>
    <n v="60000"/>
    <m/>
  </r>
  <r>
    <x v="2"/>
    <s v="JUN"/>
    <x v="9"/>
    <s v="GRSM 4"/>
    <x v="0"/>
    <s v="GMM"/>
    <n v="103277"/>
    <n v="6301424"/>
    <x v="6"/>
    <x v="12"/>
    <s v="GORENG"/>
    <n v="3000"/>
    <n v="160"/>
    <n v="480000"/>
    <n v="120"/>
  </r>
  <r>
    <x v="2"/>
    <s v="JUN"/>
    <x v="9"/>
    <s v="GRSM 4"/>
    <x v="0"/>
    <s v="GMM"/>
    <n v="103277"/>
    <n v="6301424"/>
    <x v="6"/>
    <x v="13"/>
    <s v="BOLOGNESE"/>
    <n v="3000"/>
    <n v="35"/>
    <n v="105000"/>
    <m/>
  </r>
  <r>
    <x v="2"/>
    <s v="JUN"/>
    <x v="9"/>
    <s v="GRSM 4"/>
    <x v="0"/>
    <s v="GMM"/>
    <n v="103277"/>
    <n v="6301424"/>
    <x v="6"/>
    <x v="13"/>
    <s v="CARBONARA"/>
    <n v="3000"/>
    <n v="85"/>
    <n v="255000"/>
    <m/>
  </r>
  <r>
    <x v="2"/>
    <s v="JUN"/>
    <x v="9"/>
    <s v="GRSM 4"/>
    <x v="0"/>
    <s v="GMM"/>
    <n v="103277"/>
    <n v="6301424"/>
    <x v="6"/>
    <x v="13"/>
    <s v="AGLIO OLIO"/>
    <n v="3000"/>
    <n v="23"/>
    <n v="69000"/>
    <m/>
  </r>
  <r>
    <x v="2"/>
    <s v="JUN"/>
    <x v="9"/>
    <s v="GRSM 4"/>
    <x v="0"/>
    <s v="GMM"/>
    <n v="103277"/>
    <n v="6301424"/>
    <x v="6"/>
    <x v="13"/>
    <s v="GORENG"/>
    <n v="3000"/>
    <n v="152"/>
    <n v="456000"/>
    <n v="120"/>
  </r>
  <r>
    <x v="3"/>
    <s v="JUN"/>
    <x v="10"/>
    <s v="GRSM 3A"/>
    <x v="0"/>
    <s v="GMM"/>
    <n v="103272"/>
    <n v="1178"/>
    <x v="3"/>
    <x v="11"/>
    <s v="CARBONARA"/>
    <n v="3145"/>
    <n v="25"/>
    <n v="78625"/>
    <m/>
  </r>
  <r>
    <x v="3"/>
    <s v="JUN"/>
    <x v="10"/>
    <s v="GRSM 3A"/>
    <x v="0"/>
    <s v="GMM"/>
    <n v="103272"/>
    <n v="1178"/>
    <x v="3"/>
    <x v="11"/>
    <s v="AGLIO OLIO"/>
    <n v="3145"/>
    <n v="12"/>
    <n v="37740"/>
    <m/>
  </r>
  <r>
    <x v="3"/>
    <s v="JUN"/>
    <x v="10"/>
    <s v="GRSM 3A"/>
    <x v="0"/>
    <s v="GMM"/>
    <n v="103272"/>
    <n v="1178"/>
    <x v="3"/>
    <x v="11"/>
    <s v="GORENG"/>
    <n v="3145"/>
    <n v="45"/>
    <n v="141525"/>
    <n v="120"/>
  </r>
  <r>
    <x v="3"/>
    <s v="JUN"/>
    <x v="10"/>
    <s v="GRSM 3A"/>
    <x v="0"/>
    <s v="GMM"/>
    <n v="103272"/>
    <n v="1178"/>
    <x v="3"/>
    <x v="6"/>
    <s v="BOLOGNESE"/>
    <n v="3145"/>
    <n v="16"/>
    <n v="50320"/>
    <m/>
  </r>
  <r>
    <x v="3"/>
    <s v="JUN"/>
    <x v="10"/>
    <s v="GRSM 3A"/>
    <x v="0"/>
    <s v="GMM"/>
    <n v="103272"/>
    <n v="1178"/>
    <x v="3"/>
    <x v="6"/>
    <s v="CARBONARA"/>
    <n v="3145"/>
    <n v="25"/>
    <n v="78625"/>
    <m/>
  </r>
  <r>
    <x v="3"/>
    <s v="JUN"/>
    <x v="10"/>
    <s v="GRSM 3A"/>
    <x v="0"/>
    <s v="GMM"/>
    <n v="103272"/>
    <n v="1178"/>
    <x v="3"/>
    <x v="6"/>
    <s v="AGLIO OLIO"/>
    <n v="3145"/>
    <n v="12"/>
    <n v="37740"/>
    <m/>
  </r>
  <r>
    <x v="3"/>
    <s v="JUN"/>
    <x v="10"/>
    <s v="GRSM 3A"/>
    <x v="0"/>
    <s v="GMM"/>
    <n v="103272"/>
    <n v="1178"/>
    <x v="3"/>
    <x v="6"/>
    <s v="GORENG"/>
    <n v="3145"/>
    <n v="45"/>
    <n v="141525"/>
    <n v="120"/>
  </r>
  <r>
    <x v="3"/>
    <s v="JUN"/>
    <x v="11"/>
    <s v="GRSM 4"/>
    <x v="0"/>
    <s v="GMM"/>
    <n v="103259"/>
    <n v="9029389"/>
    <x v="0"/>
    <x v="1"/>
    <s v="BOLOGNESE"/>
    <n v="2000"/>
    <n v="45"/>
    <n v="90000"/>
    <m/>
  </r>
  <r>
    <x v="3"/>
    <s v="JUN"/>
    <x v="11"/>
    <s v="GRSM 4"/>
    <x v="0"/>
    <s v="GMM"/>
    <n v="103259"/>
    <n v="9029389"/>
    <x v="0"/>
    <x v="1"/>
    <s v="CARBONARA"/>
    <n v="2000"/>
    <n v="5"/>
    <n v="10000"/>
    <m/>
  </r>
  <r>
    <x v="3"/>
    <s v="JUN"/>
    <x v="11"/>
    <s v="GRSM 4"/>
    <x v="0"/>
    <s v="GMM"/>
    <n v="103259"/>
    <n v="9029389"/>
    <x v="0"/>
    <x v="1"/>
    <s v="AGLIO OLIO"/>
    <n v="2000"/>
    <n v="36"/>
    <n v="72000"/>
    <m/>
  </r>
  <r>
    <x v="3"/>
    <s v="JUN"/>
    <x v="11"/>
    <s v="GRSM 4"/>
    <x v="0"/>
    <s v="GMM"/>
    <n v="103259"/>
    <n v="9029389"/>
    <x v="0"/>
    <x v="1"/>
    <s v="GORENG"/>
    <n v="2000"/>
    <n v="123"/>
    <n v="246000"/>
    <n v="160"/>
  </r>
  <r>
    <x v="3"/>
    <s v="JUN"/>
    <x v="11"/>
    <s v="GRSM 4"/>
    <x v="0"/>
    <s v="GMM"/>
    <n v="103259"/>
    <n v="9029389"/>
    <x v="0"/>
    <x v="15"/>
    <s v="BOLOGNESE"/>
    <n v="2000"/>
    <n v="54"/>
    <n v="108000"/>
    <m/>
  </r>
  <r>
    <x v="3"/>
    <s v="JUN"/>
    <x v="11"/>
    <s v="GRSM 4"/>
    <x v="0"/>
    <s v="GMM"/>
    <n v="103259"/>
    <n v="9029389"/>
    <x v="0"/>
    <x v="15"/>
    <s v="CARBONARA"/>
    <n v="2000"/>
    <n v="63"/>
    <n v="126000"/>
    <m/>
  </r>
  <r>
    <x v="3"/>
    <s v="JUN"/>
    <x v="11"/>
    <s v="GRSM 4"/>
    <x v="0"/>
    <s v="GMM"/>
    <n v="103259"/>
    <n v="9029389"/>
    <x v="0"/>
    <x v="15"/>
    <s v="AGLIO OLIO"/>
    <n v="2000"/>
    <n v="27"/>
    <n v="54000"/>
    <m/>
  </r>
  <r>
    <x v="3"/>
    <s v="JUN"/>
    <x v="11"/>
    <s v="GRSM 4"/>
    <x v="0"/>
    <s v="GMM"/>
    <n v="103259"/>
    <n v="9029389"/>
    <x v="0"/>
    <x v="15"/>
    <s v="GORENG"/>
    <n v="2000"/>
    <n v="78"/>
    <n v="156000"/>
    <n v="160"/>
  </r>
  <r>
    <x v="3"/>
    <s v="JUN"/>
    <x v="11"/>
    <s v="GRSM 4"/>
    <x v="0"/>
    <s v="GMM"/>
    <n v="103259"/>
    <n v="9013525"/>
    <x v="5"/>
    <x v="9"/>
    <s v="BOLOGNESE"/>
    <n v="2000"/>
    <n v="60"/>
    <n v="120000"/>
    <m/>
  </r>
  <r>
    <x v="3"/>
    <s v="JUN"/>
    <x v="11"/>
    <s v="GRSM 4"/>
    <x v="0"/>
    <s v="GMM"/>
    <n v="103259"/>
    <n v="9013525"/>
    <x v="5"/>
    <x v="9"/>
    <s v="CARBONARA"/>
    <n v="2000"/>
    <n v="48"/>
    <n v="96000"/>
    <m/>
  </r>
  <r>
    <x v="3"/>
    <s v="JUN"/>
    <x v="11"/>
    <s v="GRSM 4"/>
    <x v="0"/>
    <s v="GMM"/>
    <n v="103259"/>
    <n v="9013525"/>
    <x v="5"/>
    <x v="9"/>
    <s v="AGLIO OLIO"/>
    <n v="2000"/>
    <n v="42"/>
    <n v="84000"/>
    <m/>
  </r>
  <r>
    <x v="3"/>
    <s v="JUN"/>
    <x v="11"/>
    <s v="GRSM 4"/>
    <x v="0"/>
    <s v="GMM"/>
    <n v="103259"/>
    <n v="9013525"/>
    <x v="5"/>
    <x v="9"/>
    <s v="GORENG"/>
    <n v="2000"/>
    <n v="120"/>
    <n v="240000"/>
    <n v="150"/>
  </r>
  <r>
    <x v="3"/>
    <s v="JUN"/>
    <x v="11"/>
    <s v="GRSM 4"/>
    <x v="0"/>
    <s v="GMM"/>
    <n v="103259"/>
    <n v="9013525"/>
    <x v="5"/>
    <x v="14"/>
    <s v="BOLOGNESE"/>
    <n v="2000"/>
    <n v="60"/>
    <n v="120000"/>
    <m/>
  </r>
  <r>
    <x v="3"/>
    <s v="JUN"/>
    <x v="11"/>
    <s v="GRSM 4"/>
    <x v="0"/>
    <s v="GMM"/>
    <n v="103259"/>
    <n v="9013525"/>
    <x v="5"/>
    <x v="14"/>
    <s v="CARBONARA"/>
    <n v="2000"/>
    <n v="48"/>
    <n v="96000"/>
    <m/>
  </r>
  <r>
    <x v="3"/>
    <s v="JUN"/>
    <x v="11"/>
    <s v="GRSM 4"/>
    <x v="0"/>
    <s v="GMM"/>
    <n v="103259"/>
    <n v="9013525"/>
    <x v="5"/>
    <x v="14"/>
    <s v="AGLIO OLIO"/>
    <n v="2000"/>
    <n v="42"/>
    <n v="84000"/>
    <m/>
  </r>
  <r>
    <x v="3"/>
    <s v="JUN"/>
    <x v="11"/>
    <s v="GRSM 4"/>
    <x v="0"/>
    <s v="GMM"/>
    <n v="103259"/>
    <n v="9013525"/>
    <x v="5"/>
    <x v="14"/>
    <s v="GORENG"/>
    <n v="2000"/>
    <n v="120"/>
    <n v="240000"/>
    <n v="150"/>
  </r>
  <r>
    <x v="3"/>
    <s v="JUN"/>
    <x v="11"/>
    <s v="GRSM 4"/>
    <x v="0"/>
    <s v="GMM"/>
    <n v="189901"/>
    <n v="1602020"/>
    <x v="2"/>
    <x v="4"/>
    <s v="BOLOGNESE"/>
    <n v="2200"/>
    <n v="42"/>
    <n v="92400"/>
    <m/>
  </r>
  <r>
    <x v="3"/>
    <s v="JUN"/>
    <x v="11"/>
    <s v="GRSM 4"/>
    <x v="0"/>
    <s v="GMM"/>
    <n v="189901"/>
    <n v="1602020"/>
    <x v="2"/>
    <x v="4"/>
    <s v="CARBONARA"/>
    <n v="2200"/>
    <n v="71"/>
    <n v="156200"/>
    <m/>
  </r>
  <r>
    <x v="3"/>
    <s v="JUN"/>
    <x v="11"/>
    <s v="GRSM 4"/>
    <x v="0"/>
    <s v="GMM"/>
    <n v="189901"/>
    <n v="1602020"/>
    <x v="2"/>
    <x v="4"/>
    <s v="AGLIO OLIO"/>
    <n v="2200"/>
    <n v="35"/>
    <n v="77000"/>
    <m/>
  </r>
  <r>
    <x v="3"/>
    <s v="JUN"/>
    <x v="11"/>
    <s v="GRSM 4"/>
    <x v="0"/>
    <s v="GMM"/>
    <n v="189901"/>
    <n v="1602020"/>
    <x v="2"/>
    <x v="4"/>
    <s v="GORENG"/>
    <n v="2200"/>
    <n v="85"/>
    <n v="187000"/>
    <n v="120"/>
  </r>
  <r>
    <x v="3"/>
    <s v="JUN"/>
    <x v="11"/>
    <s v="GRSM 4"/>
    <x v="0"/>
    <s v="GMM"/>
    <n v="189901"/>
    <n v="1602020"/>
    <x v="2"/>
    <x v="5"/>
    <s v="BOLOGNESE"/>
    <n v="2200"/>
    <n v="34"/>
    <n v="74800"/>
    <m/>
  </r>
  <r>
    <x v="3"/>
    <s v="JUN"/>
    <x v="11"/>
    <s v="GRSM 4"/>
    <x v="0"/>
    <s v="GMM"/>
    <n v="189901"/>
    <n v="1602020"/>
    <x v="2"/>
    <x v="5"/>
    <s v="CARBONARA"/>
    <n v="2200"/>
    <n v="57"/>
    <n v="125400"/>
    <m/>
  </r>
  <r>
    <x v="3"/>
    <s v="JUN"/>
    <x v="11"/>
    <s v="GRSM 4"/>
    <x v="0"/>
    <s v="GMM"/>
    <n v="189901"/>
    <n v="1602020"/>
    <x v="2"/>
    <x v="5"/>
    <s v="AGLIO OLIO"/>
    <n v="2200"/>
    <n v="39"/>
    <n v="85800"/>
    <m/>
  </r>
  <r>
    <x v="3"/>
    <s v="JUN"/>
    <x v="11"/>
    <s v="GRSM 4"/>
    <x v="0"/>
    <s v="GMM"/>
    <n v="189901"/>
    <n v="1602020"/>
    <x v="2"/>
    <x v="5"/>
    <s v="GORENG"/>
    <n v="2200"/>
    <n v="79"/>
    <n v="173800"/>
    <n v="120"/>
  </r>
  <r>
    <x v="3"/>
    <s v="JUN"/>
    <x v="11"/>
    <s v="GRSM 4"/>
    <x v="0"/>
    <s v="GMM"/>
    <n v="103257"/>
    <n v="9162509"/>
    <x v="4"/>
    <x v="7"/>
    <s v="BOLOGNESE"/>
    <n v="3200"/>
    <n v="39"/>
    <n v="124800"/>
    <m/>
  </r>
  <r>
    <x v="3"/>
    <s v="JUN"/>
    <x v="11"/>
    <s v="GRSM 4"/>
    <x v="0"/>
    <s v="GMM"/>
    <n v="103257"/>
    <n v="9162509"/>
    <x v="4"/>
    <x v="7"/>
    <s v="CARBONARA"/>
    <n v="3200"/>
    <n v="32"/>
    <n v="102400"/>
    <m/>
  </r>
  <r>
    <x v="3"/>
    <s v="JUN"/>
    <x v="11"/>
    <s v="GRSM 4"/>
    <x v="0"/>
    <s v="GMM"/>
    <n v="103257"/>
    <n v="9162509"/>
    <x v="4"/>
    <x v="7"/>
    <s v="AGLIO OLIO"/>
    <n v="3200"/>
    <n v="33"/>
    <n v="105600"/>
    <m/>
  </r>
  <r>
    <x v="3"/>
    <s v="JUN"/>
    <x v="11"/>
    <s v="GRSM 4"/>
    <x v="0"/>
    <s v="GMM"/>
    <n v="103257"/>
    <n v="9162509"/>
    <x v="4"/>
    <x v="7"/>
    <s v="GORENG"/>
    <n v="3200"/>
    <n v="83"/>
    <n v="265600"/>
    <n v="160"/>
  </r>
  <r>
    <x v="3"/>
    <s v="JUN"/>
    <x v="11"/>
    <s v="GRSM 4"/>
    <x v="0"/>
    <s v="GMM"/>
    <n v="103257"/>
    <n v="9162509"/>
    <x v="4"/>
    <x v="8"/>
    <s v="BOLOGNESE"/>
    <n v="3200"/>
    <n v="38"/>
    <n v="121600"/>
    <m/>
  </r>
  <r>
    <x v="3"/>
    <s v="JUN"/>
    <x v="11"/>
    <s v="GRSM 4"/>
    <x v="0"/>
    <s v="GMM"/>
    <n v="103257"/>
    <n v="9162509"/>
    <x v="4"/>
    <x v="8"/>
    <s v="CARBONARA"/>
    <n v="3200"/>
    <n v="32"/>
    <n v="102400"/>
    <m/>
  </r>
  <r>
    <x v="3"/>
    <s v="JUN"/>
    <x v="11"/>
    <s v="GRSM 4"/>
    <x v="0"/>
    <s v="GMM"/>
    <n v="103257"/>
    <n v="9162509"/>
    <x v="4"/>
    <x v="8"/>
    <s v="AGLIO OLIO"/>
    <n v="3200"/>
    <n v="30"/>
    <n v="96000"/>
    <m/>
  </r>
  <r>
    <x v="3"/>
    <s v="JUN"/>
    <x v="11"/>
    <s v="GRSM 4"/>
    <x v="0"/>
    <s v="GMM"/>
    <n v="103257"/>
    <n v="9162509"/>
    <x v="4"/>
    <x v="8"/>
    <s v="GORENG"/>
    <n v="3200"/>
    <n v="80"/>
    <n v="256000"/>
    <n v="160"/>
  </r>
  <r>
    <x v="3"/>
    <s v="JUN"/>
    <x v="11"/>
    <s v="GRSM 4"/>
    <x v="0"/>
    <s v="GMM"/>
    <n v="103277"/>
    <n v="6300538"/>
    <x v="1"/>
    <x v="2"/>
    <s v="BOLOGNESE"/>
    <n v="2975"/>
    <n v="67"/>
    <n v="199325"/>
    <m/>
  </r>
  <r>
    <x v="3"/>
    <s v="JUN"/>
    <x v="11"/>
    <s v="GRSM 4"/>
    <x v="0"/>
    <s v="GMM"/>
    <n v="103277"/>
    <n v="6300538"/>
    <x v="1"/>
    <x v="2"/>
    <s v="CARBONARA"/>
    <n v="2975"/>
    <n v="77"/>
    <n v="229075"/>
    <m/>
  </r>
  <r>
    <x v="3"/>
    <s v="JUN"/>
    <x v="11"/>
    <s v="GRSM 4"/>
    <x v="0"/>
    <s v="GMM"/>
    <n v="103277"/>
    <n v="6300538"/>
    <x v="1"/>
    <x v="2"/>
    <s v="AGLIO OLIO"/>
    <n v="2975"/>
    <n v="56"/>
    <n v="166600"/>
    <m/>
  </r>
  <r>
    <x v="3"/>
    <s v="JUN"/>
    <x v="11"/>
    <s v="GRSM 4"/>
    <x v="0"/>
    <s v="GMM"/>
    <n v="103277"/>
    <n v="6300538"/>
    <x v="1"/>
    <x v="2"/>
    <s v="GORENG"/>
    <n v="2975"/>
    <n v="201"/>
    <n v="597975"/>
    <n v="160"/>
  </r>
  <r>
    <x v="3"/>
    <s v="JUN"/>
    <x v="11"/>
    <s v="GRSM 4"/>
    <x v="0"/>
    <s v="GMM"/>
    <n v="103277"/>
    <n v="6300538"/>
    <x v="1"/>
    <x v="3"/>
    <s v="BOLOGNESE"/>
    <n v="2975"/>
    <n v="50"/>
    <n v="148750"/>
    <m/>
  </r>
  <r>
    <x v="3"/>
    <s v="JUN"/>
    <x v="11"/>
    <s v="GRSM 4"/>
    <x v="0"/>
    <s v="GMM"/>
    <n v="103277"/>
    <n v="6300538"/>
    <x v="1"/>
    <x v="3"/>
    <s v="CARBONARA"/>
    <n v="2975"/>
    <n v="75"/>
    <n v="223125"/>
    <m/>
  </r>
  <r>
    <x v="3"/>
    <s v="JUN"/>
    <x v="11"/>
    <s v="GRSM 4"/>
    <x v="0"/>
    <s v="GMM"/>
    <n v="103277"/>
    <n v="6300538"/>
    <x v="1"/>
    <x v="3"/>
    <s v="AGLIO OLIO"/>
    <n v="2975"/>
    <n v="46"/>
    <n v="136850"/>
    <m/>
  </r>
  <r>
    <x v="3"/>
    <s v="JUN"/>
    <x v="11"/>
    <s v="GRSM 4"/>
    <x v="0"/>
    <s v="GMM"/>
    <n v="103277"/>
    <n v="6300538"/>
    <x v="1"/>
    <x v="3"/>
    <s v="GORENG"/>
    <n v="2975"/>
    <n v="97"/>
    <n v="288575"/>
    <n v="160"/>
  </r>
  <r>
    <x v="3"/>
    <s v="JUN"/>
    <x v="11"/>
    <s v="GRSM 4"/>
    <x v="0"/>
    <s v="GMM"/>
    <n v="103277"/>
    <n v="6301424"/>
    <x v="6"/>
    <x v="12"/>
    <s v="BOLOGNESE"/>
    <n v="3000"/>
    <n v="38"/>
    <n v="114000"/>
    <m/>
  </r>
  <r>
    <x v="3"/>
    <s v="JUN"/>
    <x v="11"/>
    <s v="GRSM 4"/>
    <x v="0"/>
    <s v="GMM"/>
    <n v="103277"/>
    <n v="6301424"/>
    <x v="6"/>
    <x v="12"/>
    <s v="CARBONARA"/>
    <n v="3000"/>
    <n v="86"/>
    <n v="258000"/>
    <m/>
  </r>
  <r>
    <x v="3"/>
    <s v="JUN"/>
    <x v="11"/>
    <s v="GRSM 4"/>
    <x v="0"/>
    <s v="GMM"/>
    <n v="103277"/>
    <n v="6301424"/>
    <x v="6"/>
    <x v="12"/>
    <s v="AGLIO OLIO"/>
    <n v="3000"/>
    <n v="42"/>
    <n v="126000"/>
    <m/>
  </r>
  <r>
    <x v="3"/>
    <s v="JUN"/>
    <x v="11"/>
    <s v="GRSM 4"/>
    <x v="0"/>
    <s v="GMM"/>
    <n v="103277"/>
    <n v="6301424"/>
    <x v="6"/>
    <x v="12"/>
    <s v="GORENG"/>
    <n v="3000"/>
    <n v="110"/>
    <n v="330000"/>
    <m/>
  </r>
  <r>
    <x v="3"/>
    <s v="JUN"/>
    <x v="11"/>
    <s v="GRSM 4"/>
    <x v="0"/>
    <s v="GMM"/>
    <n v="103277"/>
    <n v="6301424"/>
    <x v="6"/>
    <x v="13"/>
    <s v="BOLOGNESE"/>
    <n v="3000"/>
    <n v="40"/>
    <n v="120000"/>
    <n v="160"/>
  </r>
  <r>
    <x v="3"/>
    <s v="JUN"/>
    <x v="11"/>
    <s v="GRSM 4"/>
    <x v="0"/>
    <s v="GMM"/>
    <n v="103277"/>
    <n v="6301424"/>
    <x v="6"/>
    <x v="13"/>
    <s v="CARBONARA"/>
    <n v="3000"/>
    <n v="81"/>
    <n v="243000"/>
    <m/>
  </r>
  <r>
    <x v="3"/>
    <s v="JUN"/>
    <x v="11"/>
    <s v="GRSM 4"/>
    <x v="0"/>
    <s v="GMM"/>
    <n v="103277"/>
    <n v="6301424"/>
    <x v="6"/>
    <x v="13"/>
    <s v="AGLIO OLIO"/>
    <n v="3000"/>
    <n v="36"/>
    <n v="108000"/>
    <m/>
  </r>
  <r>
    <x v="3"/>
    <s v="JUN"/>
    <x v="11"/>
    <s v="GRSM 4"/>
    <x v="0"/>
    <s v="GMM"/>
    <n v="103277"/>
    <n v="6301424"/>
    <x v="6"/>
    <x v="13"/>
    <s v="GORENG"/>
    <n v="3000"/>
    <n v="114"/>
    <n v="342000"/>
    <m/>
  </r>
  <r>
    <x v="3"/>
    <s v="JUN"/>
    <x v="11"/>
    <s v="GRSM 3A"/>
    <x v="0"/>
    <s v="GMM"/>
    <n v="103272"/>
    <n v="1178"/>
    <x v="3"/>
    <x v="11"/>
    <s v="BOLOGNESE"/>
    <n v="3145"/>
    <n v="13"/>
    <n v="40885"/>
    <n v="160"/>
  </r>
  <r>
    <x v="3"/>
    <s v="JUN"/>
    <x v="11"/>
    <s v="GRSM 3A"/>
    <x v="0"/>
    <s v="GMM"/>
    <n v="103272"/>
    <n v="1178"/>
    <x v="3"/>
    <x v="11"/>
    <s v="CARBONARA"/>
    <n v="3145"/>
    <n v="15"/>
    <n v="47175"/>
    <m/>
  </r>
  <r>
    <x v="3"/>
    <s v="JUN"/>
    <x v="11"/>
    <s v="GRSM 3A"/>
    <x v="0"/>
    <s v="GMM"/>
    <n v="103272"/>
    <n v="1178"/>
    <x v="3"/>
    <x v="11"/>
    <s v="AGLIO OLIO"/>
    <n v="3145"/>
    <n v="12"/>
    <n v="37740"/>
    <m/>
  </r>
  <r>
    <x v="3"/>
    <s v="JUN"/>
    <x v="11"/>
    <s v="GRSM 3A"/>
    <x v="0"/>
    <s v="GMM"/>
    <n v="103272"/>
    <n v="1178"/>
    <x v="3"/>
    <x v="11"/>
    <s v="GORENG"/>
    <n v="3145"/>
    <n v="25"/>
    <n v="78625"/>
    <m/>
  </r>
  <r>
    <x v="3"/>
    <s v="JUN"/>
    <x v="11"/>
    <s v="GRSM 3A"/>
    <x v="0"/>
    <s v="GMM"/>
    <n v="103272"/>
    <n v="1178"/>
    <x v="3"/>
    <x v="6"/>
    <s v="BOLOGNESE"/>
    <n v="3145"/>
    <n v="13"/>
    <n v="40885"/>
    <n v="160"/>
  </r>
  <r>
    <x v="3"/>
    <s v="JUN"/>
    <x v="11"/>
    <s v="GRSM 3A"/>
    <x v="0"/>
    <s v="GMM"/>
    <n v="103272"/>
    <n v="1178"/>
    <x v="3"/>
    <x v="6"/>
    <s v="CARBONARA"/>
    <n v="3145"/>
    <n v="15"/>
    <n v="47175"/>
    <m/>
  </r>
  <r>
    <x v="3"/>
    <s v="JUN"/>
    <x v="11"/>
    <s v="GRSM 3A"/>
    <x v="0"/>
    <s v="GMM"/>
    <n v="103272"/>
    <n v="1178"/>
    <x v="3"/>
    <x v="6"/>
    <s v="AGLIO OLIO"/>
    <n v="3145"/>
    <n v="12"/>
    <n v="37740"/>
    <m/>
  </r>
  <r>
    <x v="3"/>
    <s v="JUN"/>
    <x v="11"/>
    <s v="GRSM 3A"/>
    <x v="0"/>
    <s v="GMM"/>
    <n v="103272"/>
    <n v="1178"/>
    <x v="3"/>
    <x v="6"/>
    <s v="GORENG"/>
    <n v="3145"/>
    <n v="25"/>
    <n v="78625"/>
    <m/>
  </r>
  <r>
    <x v="3"/>
    <s v="JUN"/>
    <x v="11"/>
    <s v="GRSM 4"/>
    <x v="0"/>
    <s v="GMM"/>
    <n v="103259"/>
    <n v="9029389"/>
    <x v="7"/>
    <x v="16"/>
    <s v="BOLOGNESE"/>
    <n v="3000"/>
    <n v="60"/>
    <n v="180000"/>
    <n v="160"/>
  </r>
  <r>
    <x v="3"/>
    <s v="JUN"/>
    <x v="11"/>
    <s v="GRSM 4"/>
    <x v="0"/>
    <s v="GMM"/>
    <n v="103259"/>
    <n v="9029389"/>
    <x v="7"/>
    <x v="16"/>
    <s v="CARBONARA"/>
    <n v="3000"/>
    <n v="45"/>
    <n v="135000"/>
    <m/>
  </r>
  <r>
    <x v="3"/>
    <s v="JUN"/>
    <x v="11"/>
    <s v="GRSM 4"/>
    <x v="0"/>
    <s v="GMM"/>
    <n v="103259"/>
    <n v="9029389"/>
    <x v="7"/>
    <x v="16"/>
    <s v="AGLIO OLIO"/>
    <n v="3000"/>
    <n v="37"/>
    <n v="111000"/>
    <m/>
  </r>
  <r>
    <x v="3"/>
    <s v="JUN"/>
    <x v="11"/>
    <s v="GRSM 4"/>
    <x v="0"/>
    <s v="GMM"/>
    <n v="103259"/>
    <n v="9029389"/>
    <x v="7"/>
    <x v="16"/>
    <s v="GORENG"/>
    <n v="3000"/>
    <n v="130"/>
    <n v="390000"/>
    <m/>
  </r>
  <r>
    <x v="3"/>
    <s v="JUN"/>
    <x v="11"/>
    <s v="GRSM 4"/>
    <x v="0"/>
    <s v="GMM"/>
    <n v="103259"/>
    <n v="9029389"/>
    <x v="7"/>
    <x v="17"/>
    <s v="BOLOGNESE"/>
    <n v="3000"/>
    <n v="50"/>
    <n v="150000"/>
    <n v="160"/>
  </r>
  <r>
    <x v="3"/>
    <s v="JUN"/>
    <x v="11"/>
    <s v="GRSM 4"/>
    <x v="0"/>
    <s v="GMM"/>
    <n v="103259"/>
    <n v="9029389"/>
    <x v="7"/>
    <x v="17"/>
    <s v="CARBONARA"/>
    <n v="3000"/>
    <n v="40"/>
    <n v="120000"/>
    <m/>
  </r>
  <r>
    <x v="3"/>
    <s v="JUN"/>
    <x v="11"/>
    <s v="GRSM 4"/>
    <x v="0"/>
    <s v="GMM"/>
    <n v="103259"/>
    <n v="9029389"/>
    <x v="7"/>
    <x v="17"/>
    <s v="AGLIO OLIO"/>
    <n v="3000"/>
    <n v="35"/>
    <n v="105000"/>
    <m/>
  </r>
  <r>
    <x v="3"/>
    <s v="JUN"/>
    <x v="11"/>
    <s v="GRSM 4"/>
    <x v="0"/>
    <s v="GMM"/>
    <n v="103259"/>
    <n v="9029389"/>
    <x v="7"/>
    <x v="17"/>
    <s v="GORENG"/>
    <n v="3000"/>
    <n v="165"/>
    <n v="495000"/>
    <m/>
  </r>
  <r>
    <x v="3"/>
    <s v="JUN"/>
    <x v="11"/>
    <s v="GRSM 4"/>
    <x v="0"/>
    <s v="NKA"/>
    <n v="490034"/>
    <n v="209554"/>
    <x v="8"/>
    <x v="18"/>
    <s v="BOLOGNESE"/>
    <n v="3275"/>
    <n v="60"/>
    <n v="196500"/>
    <n v="160"/>
  </r>
  <r>
    <x v="3"/>
    <s v="JUN"/>
    <x v="11"/>
    <s v="GRSM 4"/>
    <x v="0"/>
    <s v="NKA"/>
    <n v="490034"/>
    <n v="209554"/>
    <x v="8"/>
    <x v="18"/>
    <s v="CARBONARA"/>
    <n v="3275"/>
    <n v="90"/>
    <n v="294750"/>
    <m/>
  </r>
  <r>
    <x v="3"/>
    <s v="JUN"/>
    <x v="11"/>
    <s v="GRSM 4"/>
    <x v="0"/>
    <s v="NKA"/>
    <n v="490034"/>
    <n v="209554"/>
    <x v="8"/>
    <x v="18"/>
    <s v="AGLIO OLIO"/>
    <n v="3275"/>
    <n v="40"/>
    <n v="131000"/>
    <m/>
  </r>
  <r>
    <x v="3"/>
    <s v="JUN"/>
    <x v="11"/>
    <s v="GRSM 4"/>
    <x v="0"/>
    <s v="NKA"/>
    <n v="490034"/>
    <n v="209554"/>
    <x v="8"/>
    <x v="18"/>
    <s v="GORENG"/>
    <n v="3275"/>
    <n v="100"/>
    <n v="327500"/>
    <m/>
  </r>
  <r>
    <x v="3"/>
    <s v="JUN"/>
    <x v="11"/>
    <s v="GRSM 4"/>
    <x v="0"/>
    <s v="NKA"/>
    <n v="490034"/>
    <n v="209554"/>
    <x v="8"/>
    <x v="19"/>
    <s v="BOLOGNESE"/>
    <n v="3275"/>
    <n v="60"/>
    <n v="196500"/>
    <n v="120"/>
  </r>
  <r>
    <x v="3"/>
    <s v="JUN"/>
    <x v="11"/>
    <s v="GRSM 4"/>
    <x v="0"/>
    <s v="NKA"/>
    <n v="490034"/>
    <n v="209554"/>
    <x v="8"/>
    <x v="19"/>
    <s v="CARBONARA"/>
    <n v="3275"/>
    <n v="90"/>
    <n v="294750"/>
    <m/>
  </r>
  <r>
    <x v="3"/>
    <s v="JUN"/>
    <x v="11"/>
    <s v="GRSM 4"/>
    <x v="0"/>
    <s v="NKA"/>
    <n v="490034"/>
    <n v="209554"/>
    <x v="8"/>
    <x v="19"/>
    <s v="AGLIO OLIO"/>
    <n v="3275"/>
    <n v="40"/>
    <n v="131000"/>
    <m/>
  </r>
  <r>
    <x v="3"/>
    <s v="JUN"/>
    <x v="11"/>
    <s v="GRSM 4"/>
    <x v="0"/>
    <s v="NKA"/>
    <n v="490034"/>
    <n v="209554"/>
    <x v="8"/>
    <x v="19"/>
    <s v="GORENG"/>
    <n v="3275"/>
    <n v="100"/>
    <n v="327500"/>
    <m/>
  </r>
  <r>
    <x v="3"/>
    <s v="JUN"/>
    <x v="11"/>
    <s v="GRSM 4"/>
    <x v="0"/>
    <s v="GMM"/>
    <n v="103259"/>
    <n v="9029389"/>
    <x v="0"/>
    <x v="1"/>
    <s v="BOLOGNESE"/>
    <n v="2000"/>
    <n v="48"/>
    <n v="96000"/>
    <n v="120"/>
  </r>
  <r>
    <x v="3"/>
    <s v="JUN"/>
    <x v="12"/>
    <s v="GRSM 4"/>
    <x v="0"/>
    <s v="GMM"/>
    <n v="103259"/>
    <n v="9029389"/>
    <x v="0"/>
    <x v="1"/>
    <s v="CARBONARA"/>
    <n v="2000"/>
    <n v="57"/>
    <n v="114000"/>
    <m/>
  </r>
  <r>
    <x v="3"/>
    <s v="JUN"/>
    <x v="12"/>
    <s v="GRSM 4"/>
    <x v="0"/>
    <s v="GMM"/>
    <n v="103259"/>
    <n v="9029389"/>
    <x v="0"/>
    <x v="1"/>
    <s v="AGLIO OLIO"/>
    <n v="2000"/>
    <n v="33"/>
    <n v="66000"/>
    <m/>
  </r>
  <r>
    <x v="3"/>
    <s v="JUN"/>
    <x v="12"/>
    <s v="GRSM 4"/>
    <x v="0"/>
    <s v="GMM"/>
    <n v="103259"/>
    <n v="9029389"/>
    <x v="0"/>
    <x v="1"/>
    <s v="GORENG"/>
    <n v="2000"/>
    <n v="87"/>
    <n v="174000"/>
    <m/>
  </r>
  <r>
    <x v="3"/>
    <s v="JUN"/>
    <x v="12"/>
    <s v="GRSM 4"/>
    <x v="0"/>
    <s v="GMM"/>
    <n v="103259"/>
    <n v="9029389"/>
    <x v="0"/>
    <x v="15"/>
    <s v="BOLOGNESE"/>
    <n v="2000"/>
    <n v="55"/>
    <n v="110000"/>
    <n v="160"/>
  </r>
  <r>
    <x v="3"/>
    <s v="JUN"/>
    <x v="12"/>
    <s v="GRSM 4"/>
    <x v="0"/>
    <s v="GMM"/>
    <n v="103259"/>
    <n v="9029389"/>
    <x v="0"/>
    <x v="15"/>
    <s v="CARBONARA"/>
    <n v="2000"/>
    <n v="43"/>
    <n v="86000"/>
    <m/>
  </r>
  <r>
    <x v="3"/>
    <s v="JUN"/>
    <x v="12"/>
    <s v="GRSM 4"/>
    <x v="0"/>
    <s v="GMM"/>
    <n v="103259"/>
    <n v="9029389"/>
    <x v="0"/>
    <x v="15"/>
    <s v="AGLIO OLIO"/>
    <n v="2000"/>
    <n v="41"/>
    <n v="82000"/>
    <m/>
  </r>
  <r>
    <x v="3"/>
    <s v="JUN"/>
    <x v="12"/>
    <s v="GRSM 4"/>
    <x v="0"/>
    <s v="GMM"/>
    <n v="103259"/>
    <n v="9029389"/>
    <x v="0"/>
    <x v="15"/>
    <s v="GORENG"/>
    <n v="2000"/>
    <n v="195"/>
    <n v="390000"/>
    <m/>
  </r>
  <r>
    <x v="3"/>
    <s v="JUN"/>
    <x v="12"/>
    <s v="GRSM 4"/>
    <x v="0"/>
    <s v="GMM"/>
    <n v="103259"/>
    <n v="9013525"/>
    <x v="5"/>
    <x v="9"/>
    <s v="BOLOGNESE"/>
    <n v="2000"/>
    <n v="54"/>
    <n v="108000"/>
    <n v="160"/>
  </r>
  <r>
    <x v="3"/>
    <s v="JUN"/>
    <x v="12"/>
    <s v="GRSM 4"/>
    <x v="0"/>
    <s v="GMM"/>
    <n v="103259"/>
    <n v="9013525"/>
    <x v="5"/>
    <x v="9"/>
    <s v="CARBONARA"/>
    <n v="2000"/>
    <n v="48"/>
    <n v="96000"/>
    <m/>
  </r>
  <r>
    <x v="3"/>
    <s v="JUN"/>
    <x v="12"/>
    <s v="GRSM 4"/>
    <x v="0"/>
    <s v="GMM"/>
    <n v="103259"/>
    <n v="9013525"/>
    <x v="5"/>
    <x v="9"/>
    <s v="AGLIO OLIO"/>
    <n v="2000"/>
    <n v="42"/>
    <n v="84000"/>
    <m/>
  </r>
  <r>
    <x v="3"/>
    <s v="JUN"/>
    <x v="12"/>
    <s v="GRSM 4"/>
    <x v="0"/>
    <s v="GMM"/>
    <n v="103259"/>
    <n v="9013525"/>
    <x v="5"/>
    <x v="9"/>
    <s v="GORENG"/>
    <n v="2000"/>
    <n v="132"/>
    <n v="264000"/>
    <m/>
  </r>
  <r>
    <x v="3"/>
    <s v="JUN"/>
    <x v="12"/>
    <s v="GRSM 4"/>
    <x v="0"/>
    <s v="GMM"/>
    <n v="103259"/>
    <n v="9013525"/>
    <x v="5"/>
    <x v="14"/>
    <s v="BOLOGNESE"/>
    <n v="2000"/>
    <n v="60"/>
    <n v="120000"/>
    <n v="150"/>
  </r>
  <r>
    <x v="3"/>
    <s v="JUN"/>
    <x v="12"/>
    <s v="GRSM 4"/>
    <x v="0"/>
    <s v="GMM"/>
    <n v="103259"/>
    <n v="9013525"/>
    <x v="5"/>
    <x v="14"/>
    <s v="CARBONARA"/>
    <n v="2000"/>
    <n v="42"/>
    <n v="84000"/>
    <m/>
  </r>
  <r>
    <x v="3"/>
    <s v="JUN"/>
    <x v="12"/>
    <s v="GRSM 4"/>
    <x v="0"/>
    <s v="GMM"/>
    <n v="103259"/>
    <n v="9013525"/>
    <x v="5"/>
    <x v="14"/>
    <s v="AGLIO OLIO"/>
    <n v="2000"/>
    <n v="42"/>
    <n v="84000"/>
    <m/>
  </r>
  <r>
    <x v="3"/>
    <s v="JUN"/>
    <x v="12"/>
    <s v="GRSM 4"/>
    <x v="0"/>
    <s v="GMM"/>
    <n v="103259"/>
    <n v="9013525"/>
    <x v="5"/>
    <x v="14"/>
    <s v="GORENG"/>
    <n v="2000"/>
    <n v="120"/>
    <n v="240000"/>
    <m/>
  </r>
  <r>
    <x v="3"/>
    <s v="JUN"/>
    <x v="12"/>
    <s v="GRSM 4"/>
    <x v="0"/>
    <s v="GMM"/>
    <n v="189901"/>
    <n v="1602020"/>
    <x v="2"/>
    <x v="4"/>
    <s v="BOLOGNESE"/>
    <n v="2200"/>
    <n v="54"/>
    <n v="118800"/>
    <n v="150"/>
  </r>
  <r>
    <x v="3"/>
    <s v="JUN"/>
    <x v="12"/>
    <s v="GRSM 4"/>
    <x v="0"/>
    <s v="GMM"/>
    <n v="189901"/>
    <n v="1602020"/>
    <x v="2"/>
    <x v="4"/>
    <s v="CARBONARA"/>
    <n v="2200"/>
    <n v="69"/>
    <n v="151800"/>
    <m/>
  </r>
  <r>
    <x v="3"/>
    <s v="JUN"/>
    <x v="12"/>
    <s v="GRSM 4"/>
    <x v="0"/>
    <s v="GMM"/>
    <n v="189901"/>
    <n v="1602020"/>
    <x v="2"/>
    <x v="4"/>
    <s v="AGLIO OLIO"/>
    <n v="2200"/>
    <n v="33"/>
    <n v="72600"/>
    <m/>
  </r>
  <r>
    <x v="3"/>
    <s v="JUN"/>
    <x v="12"/>
    <s v="GRSM 4"/>
    <x v="0"/>
    <s v="GMM"/>
    <n v="189901"/>
    <n v="1602020"/>
    <x v="2"/>
    <x v="4"/>
    <s v="GORENG"/>
    <n v="2200"/>
    <n v="70"/>
    <n v="154000"/>
    <m/>
  </r>
  <r>
    <x v="3"/>
    <s v="JUN"/>
    <x v="12"/>
    <s v="GRSM 4"/>
    <x v="0"/>
    <s v="GMM"/>
    <n v="189901"/>
    <n v="1602020"/>
    <x v="2"/>
    <x v="5"/>
    <s v="BOLOGNESE"/>
    <n v="2200"/>
    <n v="62"/>
    <n v="136400"/>
    <n v="120"/>
  </r>
  <r>
    <x v="3"/>
    <s v="JUN"/>
    <x v="12"/>
    <s v="GRSM 4"/>
    <x v="0"/>
    <s v="GMM"/>
    <n v="189901"/>
    <n v="1602020"/>
    <x v="2"/>
    <x v="5"/>
    <s v="CARBONARA"/>
    <n v="2200"/>
    <n v="71"/>
    <n v="156200"/>
    <m/>
  </r>
  <r>
    <x v="3"/>
    <s v="JUN"/>
    <x v="12"/>
    <s v="GRSM 4"/>
    <x v="0"/>
    <s v="GMM"/>
    <n v="189901"/>
    <n v="1602020"/>
    <x v="2"/>
    <x v="5"/>
    <s v="AGLIO OLIO"/>
    <n v="2200"/>
    <n v="30"/>
    <n v="66000"/>
    <m/>
  </r>
  <r>
    <x v="3"/>
    <s v="JUN"/>
    <x v="12"/>
    <s v="GRSM 4"/>
    <x v="0"/>
    <s v="GMM"/>
    <n v="189901"/>
    <n v="1602020"/>
    <x v="2"/>
    <x v="5"/>
    <s v="GORENG"/>
    <n v="2200"/>
    <n v="89"/>
    <n v="195800"/>
    <m/>
  </r>
  <r>
    <x v="3"/>
    <s v="JUN"/>
    <x v="12"/>
    <s v="GRSM 4"/>
    <x v="0"/>
    <s v="GMM"/>
    <n v="103257"/>
    <n v="9162509"/>
    <x v="4"/>
    <x v="7"/>
    <s v="BOLOGNESE"/>
    <n v="3200"/>
    <n v="68"/>
    <n v="217600"/>
    <n v="120"/>
  </r>
  <r>
    <x v="3"/>
    <s v="JUN"/>
    <x v="12"/>
    <s v="GRSM 4"/>
    <x v="0"/>
    <s v="GMM"/>
    <n v="103257"/>
    <n v="9162509"/>
    <x v="4"/>
    <x v="7"/>
    <s v="CARBONARA"/>
    <n v="3200"/>
    <n v="53"/>
    <n v="169600"/>
    <m/>
  </r>
  <r>
    <x v="3"/>
    <s v="JUN"/>
    <x v="12"/>
    <s v="GRSM 4"/>
    <x v="0"/>
    <s v="GMM"/>
    <n v="103257"/>
    <n v="9162509"/>
    <x v="4"/>
    <x v="7"/>
    <s v="AGLIO OLIO"/>
    <n v="3200"/>
    <n v="73"/>
    <n v="233600"/>
    <m/>
  </r>
  <r>
    <x v="3"/>
    <s v="JUN"/>
    <x v="12"/>
    <s v="GRSM 4"/>
    <x v="0"/>
    <s v="GMM"/>
    <n v="103257"/>
    <n v="9162509"/>
    <x v="4"/>
    <x v="7"/>
    <s v="GORENG"/>
    <n v="3200"/>
    <n v="97"/>
    <n v="310400"/>
    <m/>
  </r>
  <r>
    <x v="3"/>
    <s v="JUN"/>
    <x v="12"/>
    <s v="GRSM 4"/>
    <x v="0"/>
    <s v="GMM"/>
    <n v="103257"/>
    <n v="9162509"/>
    <x v="4"/>
    <x v="8"/>
    <s v="BOLOGNESE"/>
    <n v="3200"/>
    <n v="63"/>
    <n v="201600"/>
    <n v="160"/>
  </r>
  <r>
    <x v="3"/>
    <s v="JUN"/>
    <x v="12"/>
    <s v="GRSM 4"/>
    <x v="0"/>
    <s v="GMM"/>
    <n v="103257"/>
    <n v="9162509"/>
    <x v="4"/>
    <x v="8"/>
    <s v="CARBONARA"/>
    <n v="3200"/>
    <n v="50"/>
    <n v="160000"/>
    <m/>
  </r>
  <r>
    <x v="3"/>
    <s v="JUN"/>
    <x v="12"/>
    <s v="GRSM 4"/>
    <x v="0"/>
    <s v="GMM"/>
    <n v="103257"/>
    <n v="9162509"/>
    <x v="4"/>
    <x v="8"/>
    <s v="AGLIO OLIO"/>
    <n v="3200"/>
    <n v="70"/>
    <n v="224000"/>
    <m/>
  </r>
  <r>
    <x v="3"/>
    <s v="JUN"/>
    <x v="12"/>
    <s v="GRSM 4"/>
    <x v="0"/>
    <s v="GMM"/>
    <n v="103257"/>
    <n v="9162509"/>
    <x v="4"/>
    <x v="8"/>
    <s v="GORENG"/>
    <n v="3200"/>
    <n v="93"/>
    <n v="297600"/>
    <m/>
  </r>
  <r>
    <x v="3"/>
    <s v="JUN"/>
    <x v="12"/>
    <s v="GRSM 4"/>
    <x v="0"/>
    <s v="GMM"/>
    <n v="103277"/>
    <n v="6300538"/>
    <x v="1"/>
    <x v="2"/>
    <s v="BOLOGNESE"/>
    <n v="2975"/>
    <n v="66"/>
    <n v="196350"/>
    <n v="160"/>
  </r>
  <r>
    <x v="3"/>
    <s v="JUN"/>
    <x v="12"/>
    <s v="GRSM 4"/>
    <x v="0"/>
    <s v="GMM"/>
    <n v="103277"/>
    <n v="6300538"/>
    <x v="1"/>
    <x v="2"/>
    <s v="CARBONARA"/>
    <n v="2975"/>
    <n v="65"/>
    <n v="193375"/>
    <m/>
  </r>
  <r>
    <x v="3"/>
    <s v="JUN"/>
    <x v="12"/>
    <s v="GRSM 4"/>
    <x v="0"/>
    <s v="GMM"/>
    <n v="103277"/>
    <n v="6300538"/>
    <x v="1"/>
    <x v="2"/>
    <s v="AGLIO OLIO"/>
    <n v="2975"/>
    <n v="47"/>
    <n v="139825"/>
    <m/>
  </r>
  <r>
    <x v="3"/>
    <s v="JUN"/>
    <x v="12"/>
    <s v="GRSM 4"/>
    <x v="0"/>
    <s v="GMM"/>
    <n v="103277"/>
    <n v="6300538"/>
    <x v="1"/>
    <x v="2"/>
    <s v="GORENG"/>
    <n v="2975"/>
    <n v="209"/>
    <n v="621775"/>
    <m/>
  </r>
  <r>
    <x v="3"/>
    <s v="JUN"/>
    <x v="12"/>
    <s v="GRSM 4"/>
    <x v="0"/>
    <s v="GMM"/>
    <n v="103277"/>
    <n v="6300538"/>
    <x v="1"/>
    <x v="3"/>
    <s v="BOLOGNESE"/>
    <n v="2975"/>
    <n v="55"/>
    <n v="163625"/>
    <n v="160"/>
  </r>
  <r>
    <x v="3"/>
    <s v="JUN"/>
    <x v="12"/>
    <s v="GRSM 4"/>
    <x v="0"/>
    <s v="GMM"/>
    <n v="103277"/>
    <n v="6300538"/>
    <x v="1"/>
    <x v="3"/>
    <s v="CARBONARA"/>
    <n v="2975"/>
    <n v="43"/>
    <n v="127925"/>
    <m/>
  </r>
  <r>
    <x v="3"/>
    <s v="JUN"/>
    <x v="12"/>
    <s v="GRSM 4"/>
    <x v="0"/>
    <s v="GMM"/>
    <n v="103277"/>
    <n v="6300538"/>
    <x v="1"/>
    <x v="3"/>
    <s v="AGLIO OLIO"/>
    <n v="2975"/>
    <n v="41"/>
    <n v="121975"/>
    <m/>
  </r>
  <r>
    <x v="3"/>
    <s v="JUN"/>
    <x v="12"/>
    <s v="GRSM 4"/>
    <x v="0"/>
    <s v="GMM"/>
    <n v="103277"/>
    <n v="6300538"/>
    <x v="1"/>
    <x v="3"/>
    <s v="GORENG"/>
    <n v="2975"/>
    <n v="195"/>
    <n v="580125"/>
    <m/>
  </r>
  <r>
    <x v="3"/>
    <s v="JUN"/>
    <x v="12"/>
    <s v="GRSM 4"/>
    <x v="0"/>
    <s v="GMM"/>
    <n v="103277"/>
    <n v="6301424"/>
    <x v="6"/>
    <x v="12"/>
    <s v="BOLOGNESE"/>
    <n v="3000"/>
    <n v="74"/>
    <n v="222000"/>
    <n v="160"/>
  </r>
  <r>
    <x v="3"/>
    <s v="JUN"/>
    <x v="12"/>
    <s v="GRSM 4"/>
    <x v="0"/>
    <s v="GMM"/>
    <n v="103277"/>
    <n v="6301424"/>
    <x v="6"/>
    <x v="12"/>
    <s v="CARBONARA"/>
    <n v="3000"/>
    <n v="46"/>
    <n v="138000"/>
    <m/>
  </r>
  <r>
    <x v="3"/>
    <s v="JUN"/>
    <x v="12"/>
    <s v="GRSM 4"/>
    <x v="0"/>
    <s v="GMM"/>
    <n v="103277"/>
    <n v="6301424"/>
    <x v="6"/>
    <x v="12"/>
    <s v="AGLIO OLIO"/>
    <n v="3000"/>
    <n v="28"/>
    <n v="84000"/>
    <m/>
  </r>
  <r>
    <x v="3"/>
    <s v="JUN"/>
    <x v="12"/>
    <s v="GRSM 4"/>
    <x v="0"/>
    <s v="GMM"/>
    <n v="103277"/>
    <n v="6301424"/>
    <x v="6"/>
    <x v="12"/>
    <s v="GORENG"/>
    <n v="3000"/>
    <n v="154"/>
    <n v="462000"/>
    <m/>
  </r>
  <r>
    <x v="3"/>
    <s v="JUN"/>
    <x v="12"/>
    <s v="GRSM 4"/>
    <x v="0"/>
    <s v="GMM"/>
    <n v="103277"/>
    <n v="6301424"/>
    <x v="6"/>
    <x v="13"/>
    <s v="BOLOGNESE"/>
    <n v="3000"/>
    <n v="80"/>
    <n v="240000"/>
    <n v="160"/>
  </r>
  <r>
    <x v="3"/>
    <s v="JUN"/>
    <x v="12"/>
    <s v="GRSM 4"/>
    <x v="0"/>
    <s v="GMM"/>
    <n v="103277"/>
    <n v="6301424"/>
    <x v="6"/>
    <x v="13"/>
    <s v="CARBONARA"/>
    <n v="3000"/>
    <n v="48"/>
    <n v="144000"/>
    <m/>
  </r>
  <r>
    <x v="3"/>
    <s v="JUN"/>
    <x v="12"/>
    <s v="GRSM 4"/>
    <x v="0"/>
    <s v="GMM"/>
    <n v="103277"/>
    <n v="6301424"/>
    <x v="6"/>
    <x v="13"/>
    <s v="AGLIO OLIO"/>
    <n v="3000"/>
    <n v="26"/>
    <n v="78000"/>
    <m/>
  </r>
  <r>
    <x v="3"/>
    <s v="JUN"/>
    <x v="12"/>
    <s v="GRSM 4"/>
    <x v="0"/>
    <s v="GMM"/>
    <n v="103277"/>
    <n v="6301424"/>
    <x v="6"/>
    <x v="13"/>
    <s v="GORENG"/>
    <n v="3000"/>
    <n v="160"/>
    <n v="480000"/>
    <m/>
  </r>
  <r>
    <x v="3"/>
    <s v="JUN"/>
    <x v="12"/>
    <s v="GRSM 3A"/>
    <x v="0"/>
    <s v="GMM"/>
    <n v="103272"/>
    <n v="1178"/>
    <x v="3"/>
    <x v="20"/>
    <s v="BOLOGNESE"/>
    <n v="3145"/>
    <n v="18"/>
    <n v="56610"/>
    <n v="160"/>
  </r>
  <r>
    <x v="3"/>
    <s v="JUN"/>
    <x v="12"/>
    <s v="GRSM 3A"/>
    <x v="0"/>
    <s v="GMM"/>
    <n v="103272"/>
    <n v="1178"/>
    <x v="3"/>
    <x v="20"/>
    <s v="CARBONARA"/>
    <n v="3145"/>
    <n v="34"/>
    <n v="106930"/>
    <m/>
  </r>
  <r>
    <x v="3"/>
    <s v="JUN"/>
    <x v="12"/>
    <s v="GRSM 3A"/>
    <x v="0"/>
    <s v="GMM"/>
    <n v="103272"/>
    <n v="1178"/>
    <x v="3"/>
    <x v="20"/>
    <s v="AGLIO OLIO"/>
    <n v="3145"/>
    <n v="15"/>
    <n v="47175"/>
    <m/>
  </r>
  <r>
    <x v="3"/>
    <s v="JUN"/>
    <x v="12"/>
    <s v="GRSM 3A"/>
    <x v="0"/>
    <s v="GMM"/>
    <n v="103272"/>
    <n v="1178"/>
    <x v="3"/>
    <x v="20"/>
    <s v="GORENG"/>
    <n v="3145"/>
    <n v="34"/>
    <n v="106930"/>
    <m/>
  </r>
  <r>
    <x v="3"/>
    <s v="JUN"/>
    <x v="12"/>
    <s v="GRSM 3A"/>
    <x v="0"/>
    <s v="GMM"/>
    <n v="103272"/>
    <n v="1178"/>
    <x v="3"/>
    <x v="6"/>
    <s v="BOLOGNESE"/>
    <n v="3145"/>
    <n v="18"/>
    <n v="56610"/>
    <n v="160"/>
  </r>
  <r>
    <x v="3"/>
    <s v="JUN"/>
    <x v="12"/>
    <s v="GRSM 3A"/>
    <x v="0"/>
    <s v="GMM"/>
    <n v="103272"/>
    <n v="1178"/>
    <x v="3"/>
    <x v="6"/>
    <s v="CARBONARA"/>
    <n v="3145"/>
    <n v="34"/>
    <n v="106930"/>
    <m/>
  </r>
  <r>
    <x v="3"/>
    <s v="JUN"/>
    <x v="12"/>
    <s v="GRSM 3A"/>
    <x v="0"/>
    <s v="GMM"/>
    <n v="103272"/>
    <n v="1178"/>
    <x v="3"/>
    <x v="6"/>
    <s v="AGLIO OLIO"/>
    <n v="3145"/>
    <n v="15"/>
    <n v="47175"/>
    <m/>
  </r>
  <r>
    <x v="3"/>
    <s v="JUN"/>
    <x v="12"/>
    <s v="GRSM 3A"/>
    <x v="0"/>
    <s v="GMM"/>
    <n v="103272"/>
    <n v="1178"/>
    <x v="3"/>
    <x v="6"/>
    <s v="GORENG"/>
    <n v="3145"/>
    <n v="34"/>
    <n v="106930"/>
    <m/>
  </r>
  <r>
    <x v="3"/>
    <s v="JUN"/>
    <x v="12"/>
    <s v="GRSM 4"/>
    <x v="0"/>
    <s v="GMM"/>
    <n v="103259"/>
    <n v="9029389"/>
    <x v="7"/>
    <x v="16"/>
    <s v="BOLOGNESE"/>
    <n v="3000"/>
    <n v="55"/>
    <n v="165000"/>
    <n v="160"/>
  </r>
  <r>
    <x v="3"/>
    <s v="JUN"/>
    <x v="12"/>
    <s v="GRSM 4"/>
    <x v="0"/>
    <s v="GMM"/>
    <n v="103259"/>
    <n v="9029389"/>
    <x v="7"/>
    <x v="16"/>
    <s v="CARBONARA"/>
    <n v="3000"/>
    <n v="88"/>
    <n v="264000"/>
    <m/>
  </r>
  <r>
    <x v="3"/>
    <s v="JUN"/>
    <x v="12"/>
    <s v="GRSM 4"/>
    <x v="0"/>
    <s v="GMM"/>
    <n v="103259"/>
    <n v="9029389"/>
    <x v="7"/>
    <x v="16"/>
    <s v="AGLIO OLIO"/>
    <n v="3000"/>
    <n v="25"/>
    <n v="75000"/>
    <m/>
  </r>
  <r>
    <x v="3"/>
    <s v="JUN"/>
    <x v="12"/>
    <s v="GRSM 4"/>
    <x v="0"/>
    <s v="GMM"/>
    <n v="103259"/>
    <n v="9029389"/>
    <x v="7"/>
    <x v="16"/>
    <s v="GORENG"/>
    <n v="3000"/>
    <n v="170"/>
    <n v="510000"/>
    <m/>
  </r>
  <r>
    <x v="3"/>
    <s v="JUN"/>
    <x v="12"/>
    <s v="GRSM 4"/>
    <x v="0"/>
    <s v="GMM"/>
    <n v="103259"/>
    <n v="9029389"/>
    <x v="7"/>
    <x v="17"/>
    <s v="BOLOGNESE"/>
    <n v="3000"/>
    <n v="35"/>
    <n v="105000"/>
    <n v="160"/>
  </r>
  <r>
    <x v="3"/>
    <s v="JUN"/>
    <x v="12"/>
    <s v="GRSM 4"/>
    <x v="0"/>
    <s v="GMM"/>
    <n v="103259"/>
    <n v="9029389"/>
    <x v="7"/>
    <x v="17"/>
    <s v="CARBONARA"/>
    <n v="3000"/>
    <n v="42"/>
    <n v="126000"/>
    <m/>
  </r>
  <r>
    <x v="3"/>
    <s v="JUN"/>
    <x v="12"/>
    <s v="GRSM 4"/>
    <x v="0"/>
    <s v="GMM"/>
    <n v="103259"/>
    <n v="9029389"/>
    <x v="7"/>
    <x v="17"/>
    <s v="AGLIO OLIO"/>
    <n v="3000"/>
    <n v="60"/>
    <n v="180000"/>
    <m/>
  </r>
  <r>
    <x v="3"/>
    <s v="JUN"/>
    <x v="12"/>
    <s v="GRSM 4"/>
    <x v="0"/>
    <s v="GMM"/>
    <n v="103259"/>
    <n v="9029389"/>
    <x v="7"/>
    <x v="17"/>
    <s v="GORENG"/>
    <n v="3000"/>
    <n v="170"/>
    <n v="510000"/>
    <m/>
  </r>
  <r>
    <x v="3"/>
    <s v="JUN"/>
    <x v="12"/>
    <s v="GRSM 4"/>
    <x v="0"/>
    <s v="NKA"/>
    <n v="490034"/>
    <n v="209554"/>
    <x v="8"/>
    <x v="18"/>
    <s v="BOLOGNESE"/>
    <n v="3275"/>
    <n v="90"/>
    <n v="294750"/>
    <n v="160"/>
  </r>
  <r>
    <x v="3"/>
    <s v="JUN"/>
    <x v="12"/>
    <s v="GRSM 4"/>
    <x v="0"/>
    <s v="NKA"/>
    <n v="490034"/>
    <n v="209554"/>
    <x v="8"/>
    <x v="18"/>
    <s v="CARBONARA"/>
    <n v="3275"/>
    <n v="120"/>
    <n v="393000"/>
    <m/>
  </r>
  <r>
    <x v="3"/>
    <s v="JUN"/>
    <x v="12"/>
    <s v="GRSM 4"/>
    <x v="0"/>
    <s v="NKA"/>
    <n v="490034"/>
    <n v="209554"/>
    <x v="8"/>
    <x v="18"/>
    <s v="AGLIO OLIO"/>
    <n v="3275"/>
    <n v="20"/>
    <n v="65500"/>
    <m/>
  </r>
  <r>
    <x v="3"/>
    <s v="JUN"/>
    <x v="12"/>
    <s v="GRSM 4"/>
    <x v="0"/>
    <s v="NKA"/>
    <n v="490034"/>
    <n v="209554"/>
    <x v="8"/>
    <x v="18"/>
    <s v="GORENG"/>
    <n v="3275"/>
    <n v="130"/>
    <n v="425750"/>
    <m/>
  </r>
  <r>
    <x v="3"/>
    <s v="JUN"/>
    <x v="12"/>
    <s v="GRSM 4"/>
    <x v="0"/>
    <s v="NKA"/>
    <n v="490034"/>
    <n v="209554"/>
    <x v="8"/>
    <x v="19"/>
    <s v="BOLOGNESE"/>
    <n v="3275"/>
    <n v="90"/>
    <n v="294750"/>
    <n v="120"/>
  </r>
  <r>
    <x v="3"/>
    <s v="JUN"/>
    <x v="12"/>
    <s v="GRSM 4"/>
    <x v="0"/>
    <s v="NKA"/>
    <n v="490034"/>
    <n v="209554"/>
    <x v="8"/>
    <x v="19"/>
    <s v="CARBONARA"/>
    <n v="3275"/>
    <n v="120"/>
    <n v="393000"/>
    <m/>
  </r>
  <r>
    <x v="3"/>
    <s v="JUN"/>
    <x v="12"/>
    <s v="GRSM 4"/>
    <x v="0"/>
    <s v="NKA"/>
    <n v="490034"/>
    <n v="209554"/>
    <x v="8"/>
    <x v="19"/>
    <s v="AGLIO OLIO"/>
    <n v="3275"/>
    <n v="20"/>
    <n v="65500"/>
    <m/>
  </r>
  <r>
    <x v="3"/>
    <s v="JUN"/>
    <x v="12"/>
    <s v="GRSM 4"/>
    <x v="0"/>
    <s v="NKA"/>
    <n v="490034"/>
    <n v="209554"/>
    <x v="8"/>
    <x v="19"/>
    <s v="GORENG"/>
    <n v="3275"/>
    <n v="130"/>
    <n v="425750"/>
    <m/>
  </r>
  <r>
    <x v="3"/>
    <s v="JUN"/>
    <x v="12"/>
    <s v="GRSM 4"/>
    <x v="0"/>
    <s v="GMM"/>
    <n v="103259"/>
    <n v="9029389"/>
    <x v="0"/>
    <x v="1"/>
    <s v="BOLOGNESE"/>
    <n v="2000"/>
    <n v="48"/>
    <n v="96000"/>
    <n v="120"/>
  </r>
  <r>
    <x v="3"/>
    <s v="JUN"/>
    <x v="13"/>
    <s v="GRSM 4"/>
    <x v="0"/>
    <s v="GMM"/>
    <n v="103259"/>
    <n v="9029389"/>
    <x v="0"/>
    <x v="1"/>
    <s v="CARBONARA"/>
    <n v="2000"/>
    <n v="57"/>
    <n v="114000"/>
    <m/>
  </r>
  <r>
    <x v="3"/>
    <s v="JUN"/>
    <x v="13"/>
    <s v="GRSM 4"/>
    <x v="0"/>
    <s v="GMM"/>
    <n v="103259"/>
    <n v="9029389"/>
    <x v="0"/>
    <x v="1"/>
    <s v="AGLIO OLIO"/>
    <n v="2000"/>
    <n v="33"/>
    <n v="66000"/>
    <m/>
  </r>
  <r>
    <x v="3"/>
    <s v="JUN"/>
    <x v="13"/>
    <s v="GRSM 4"/>
    <x v="0"/>
    <s v="GMM"/>
    <n v="103259"/>
    <n v="9029389"/>
    <x v="0"/>
    <x v="1"/>
    <s v="GORENG"/>
    <n v="2000"/>
    <n v="102"/>
    <n v="204000"/>
    <m/>
  </r>
  <r>
    <x v="3"/>
    <s v="JUN"/>
    <x v="13"/>
    <s v="GRSM 4"/>
    <x v="0"/>
    <s v="GMM"/>
    <n v="103259"/>
    <n v="9029389"/>
    <x v="0"/>
    <x v="15"/>
    <s v="BOLOGNESE"/>
    <n v="2000"/>
    <n v="63"/>
    <n v="126000"/>
    <n v="160"/>
  </r>
  <r>
    <x v="3"/>
    <s v="JUN"/>
    <x v="13"/>
    <s v="GRSM 4"/>
    <x v="0"/>
    <s v="GMM"/>
    <n v="103259"/>
    <n v="9029389"/>
    <x v="0"/>
    <x v="15"/>
    <s v="CARBONARA"/>
    <n v="2000"/>
    <n v="51"/>
    <n v="102000"/>
    <m/>
  </r>
  <r>
    <x v="3"/>
    <s v="JUN"/>
    <x v="13"/>
    <s v="GRSM 4"/>
    <x v="0"/>
    <s v="GMM"/>
    <n v="103259"/>
    <n v="9029389"/>
    <x v="0"/>
    <x v="15"/>
    <s v="AGLIO OLIO"/>
    <n v="2000"/>
    <n v="42"/>
    <n v="84000"/>
    <m/>
  </r>
  <r>
    <x v="3"/>
    <s v="JUN"/>
    <x v="13"/>
    <s v="GRSM 4"/>
    <x v="0"/>
    <s v="GMM"/>
    <n v="103259"/>
    <n v="9029389"/>
    <x v="0"/>
    <x v="15"/>
    <s v="GORENG"/>
    <n v="2000"/>
    <n v="117"/>
    <n v="234000"/>
    <m/>
  </r>
  <r>
    <x v="3"/>
    <s v="JUN"/>
    <x v="13"/>
    <s v="GRSM 4"/>
    <x v="0"/>
    <s v="GMM"/>
    <n v="103259"/>
    <n v="9013525"/>
    <x v="5"/>
    <x v="9"/>
    <s v="BOLOGNESE"/>
    <n v="2000"/>
    <n v="72"/>
    <n v="144000"/>
    <n v="160"/>
  </r>
  <r>
    <x v="3"/>
    <s v="JUN"/>
    <x v="13"/>
    <s v="GRSM 4"/>
    <x v="0"/>
    <s v="GMM"/>
    <n v="103259"/>
    <n v="9013525"/>
    <x v="5"/>
    <x v="9"/>
    <s v="CARBONARA"/>
    <n v="2000"/>
    <n v="72"/>
    <n v="144000"/>
    <m/>
  </r>
  <r>
    <x v="3"/>
    <s v="JUN"/>
    <x v="13"/>
    <s v="GRSM 4"/>
    <x v="0"/>
    <s v="GMM"/>
    <n v="103259"/>
    <n v="9013525"/>
    <x v="5"/>
    <x v="9"/>
    <s v="AGLIO OLIO"/>
    <n v="2000"/>
    <n v="90"/>
    <n v="180000"/>
    <m/>
  </r>
  <r>
    <x v="3"/>
    <s v="JUN"/>
    <x v="13"/>
    <s v="GRSM 4"/>
    <x v="0"/>
    <s v="GMM"/>
    <n v="103259"/>
    <n v="9013525"/>
    <x v="5"/>
    <x v="9"/>
    <s v="GORENG"/>
    <n v="2000"/>
    <n v="192"/>
    <n v="384000"/>
    <m/>
  </r>
  <r>
    <x v="3"/>
    <s v="JUN"/>
    <x v="13"/>
    <s v="GRSM 4"/>
    <x v="0"/>
    <s v="GMM"/>
    <n v="103259"/>
    <n v="9013525"/>
    <x v="5"/>
    <x v="14"/>
    <s v="BOLOGNESE"/>
    <n v="2000"/>
    <n v="60"/>
    <n v="120000"/>
    <n v="150"/>
  </r>
  <r>
    <x v="3"/>
    <s v="JUN"/>
    <x v="13"/>
    <s v="GRSM 4"/>
    <x v="0"/>
    <s v="GMM"/>
    <n v="103259"/>
    <n v="9013525"/>
    <x v="5"/>
    <x v="14"/>
    <s v="CARBONARA"/>
    <n v="2000"/>
    <n v="60"/>
    <n v="120000"/>
    <m/>
  </r>
  <r>
    <x v="3"/>
    <s v="JUN"/>
    <x v="13"/>
    <s v="GRSM 4"/>
    <x v="0"/>
    <s v="GMM"/>
    <n v="103259"/>
    <n v="9013525"/>
    <x v="5"/>
    <x v="14"/>
    <s v="AGLIO OLIO"/>
    <n v="2000"/>
    <n v="102"/>
    <n v="204000"/>
    <m/>
  </r>
  <r>
    <x v="3"/>
    <s v="JUN"/>
    <x v="13"/>
    <s v="GRSM 4"/>
    <x v="0"/>
    <s v="GMM"/>
    <n v="103259"/>
    <n v="9013525"/>
    <x v="5"/>
    <x v="14"/>
    <s v="GORENG"/>
    <n v="2000"/>
    <n v="168"/>
    <n v="336000"/>
    <m/>
  </r>
  <r>
    <x v="3"/>
    <s v="JUN"/>
    <x v="13"/>
    <s v="GRSM 4"/>
    <x v="0"/>
    <s v="GMM"/>
    <n v="189901"/>
    <n v="1602020"/>
    <x v="2"/>
    <x v="4"/>
    <s v="BOLOGNESE"/>
    <n v="2200"/>
    <n v="45"/>
    <n v="99000"/>
    <n v="150"/>
  </r>
  <r>
    <x v="3"/>
    <s v="JUN"/>
    <x v="13"/>
    <s v="GRSM 4"/>
    <x v="0"/>
    <s v="GMM"/>
    <n v="189901"/>
    <n v="1602020"/>
    <x v="2"/>
    <x v="4"/>
    <s v="CARBONARA"/>
    <n v="2200"/>
    <n v="57"/>
    <n v="125400"/>
    <m/>
  </r>
  <r>
    <x v="3"/>
    <s v="JUN"/>
    <x v="13"/>
    <s v="GRSM 4"/>
    <x v="0"/>
    <s v="GMM"/>
    <n v="189901"/>
    <n v="1602020"/>
    <x v="2"/>
    <x v="4"/>
    <s v="AGLIO OLIO"/>
    <n v="2200"/>
    <n v="29"/>
    <n v="63800"/>
    <m/>
  </r>
  <r>
    <x v="3"/>
    <s v="JUN"/>
    <x v="13"/>
    <s v="GRSM 4"/>
    <x v="0"/>
    <s v="GMM"/>
    <n v="189901"/>
    <n v="1602020"/>
    <x v="2"/>
    <x v="4"/>
    <s v="GORENG"/>
    <n v="2200"/>
    <n v="80"/>
    <n v="176000"/>
    <m/>
  </r>
  <r>
    <x v="3"/>
    <s v="JUN"/>
    <x v="13"/>
    <s v="GRSM 4"/>
    <x v="0"/>
    <s v="GMM"/>
    <n v="189901"/>
    <n v="1602020"/>
    <x v="2"/>
    <x v="5"/>
    <s v="BOLOGNESE"/>
    <n v="2200"/>
    <n v="39"/>
    <n v="85800"/>
    <n v="120"/>
  </r>
  <r>
    <x v="3"/>
    <s v="JUN"/>
    <x v="13"/>
    <s v="GRSM 4"/>
    <x v="0"/>
    <s v="GMM"/>
    <n v="189901"/>
    <n v="1602020"/>
    <x v="2"/>
    <x v="5"/>
    <s v="CARBONARA"/>
    <n v="2200"/>
    <n v="46"/>
    <n v="101200"/>
    <m/>
  </r>
  <r>
    <x v="3"/>
    <s v="JUN"/>
    <x v="13"/>
    <s v="GRSM 4"/>
    <x v="0"/>
    <s v="GMM"/>
    <n v="189901"/>
    <n v="1602020"/>
    <x v="2"/>
    <x v="5"/>
    <s v="AGLIO OLIO"/>
    <n v="2200"/>
    <n v="30"/>
    <n v="66000"/>
    <m/>
  </r>
  <r>
    <x v="3"/>
    <s v="JUN"/>
    <x v="13"/>
    <s v="GRSM 4"/>
    <x v="0"/>
    <s v="GMM"/>
    <n v="189901"/>
    <n v="1602020"/>
    <x v="2"/>
    <x v="5"/>
    <s v="GORENG"/>
    <n v="2200"/>
    <n v="88"/>
    <n v="193600"/>
    <m/>
  </r>
  <r>
    <x v="3"/>
    <s v="JUN"/>
    <x v="13"/>
    <s v="GRSM 4"/>
    <x v="0"/>
    <s v="GMM"/>
    <n v="103257"/>
    <n v="9162509"/>
    <x v="4"/>
    <x v="7"/>
    <s v="BOLOGNESE"/>
    <n v="3200"/>
    <n v="63"/>
    <n v="201600"/>
    <n v="120"/>
  </r>
  <r>
    <x v="3"/>
    <s v="JUN"/>
    <x v="13"/>
    <s v="GRSM 4"/>
    <x v="0"/>
    <s v="GMM"/>
    <n v="103257"/>
    <n v="9162509"/>
    <x v="4"/>
    <x v="7"/>
    <s v="CARBONARA"/>
    <n v="3200"/>
    <n v="59"/>
    <n v="188800"/>
    <m/>
  </r>
  <r>
    <x v="3"/>
    <s v="JUN"/>
    <x v="13"/>
    <s v="GRSM 4"/>
    <x v="0"/>
    <s v="GMM"/>
    <n v="103257"/>
    <n v="9162509"/>
    <x v="4"/>
    <x v="7"/>
    <s v="AGLIO OLIO"/>
    <n v="3200"/>
    <n v="69"/>
    <n v="220800"/>
    <m/>
  </r>
  <r>
    <x v="3"/>
    <s v="JUN"/>
    <x v="13"/>
    <s v="GRSM 4"/>
    <x v="0"/>
    <s v="GMM"/>
    <n v="103257"/>
    <n v="9162509"/>
    <x v="4"/>
    <x v="7"/>
    <s v="GORENG"/>
    <n v="3200"/>
    <n v="120"/>
    <n v="384000"/>
    <m/>
  </r>
  <r>
    <x v="3"/>
    <s v="JUN"/>
    <x v="13"/>
    <s v="GRSM 4"/>
    <x v="0"/>
    <s v="GMM"/>
    <n v="103257"/>
    <n v="9162509"/>
    <x v="4"/>
    <x v="8"/>
    <s v="BOLOGNESE"/>
    <n v="3200"/>
    <n v="60"/>
    <n v="192000"/>
    <n v="160"/>
  </r>
  <r>
    <x v="3"/>
    <s v="JUN"/>
    <x v="13"/>
    <s v="GRSM 4"/>
    <x v="0"/>
    <s v="GMM"/>
    <n v="103257"/>
    <n v="9162509"/>
    <x v="4"/>
    <x v="8"/>
    <s v="CARBONARA"/>
    <n v="3200"/>
    <n v="53"/>
    <n v="169600"/>
    <m/>
  </r>
  <r>
    <x v="3"/>
    <s v="JUN"/>
    <x v="13"/>
    <s v="GRSM 4"/>
    <x v="0"/>
    <s v="GMM"/>
    <n v="103257"/>
    <n v="9162509"/>
    <x v="4"/>
    <x v="8"/>
    <s v="AGLIO OLIO"/>
    <n v="3200"/>
    <n v="63"/>
    <n v="201600"/>
    <m/>
  </r>
  <r>
    <x v="3"/>
    <s v="JUN"/>
    <x v="13"/>
    <s v="GRSM 4"/>
    <x v="0"/>
    <s v="GMM"/>
    <n v="103257"/>
    <n v="9162509"/>
    <x v="4"/>
    <x v="8"/>
    <s v="GORENG"/>
    <n v="3200"/>
    <n v="110"/>
    <n v="352000"/>
    <m/>
  </r>
  <r>
    <x v="3"/>
    <s v="JUN"/>
    <x v="13"/>
    <s v="GRSM 4"/>
    <x v="0"/>
    <s v="GMM"/>
    <n v="103277"/>
    <n v="6300538"/>
    <x v="1"/>
    <x v="2"/>
    <s v="BOLOGNESE"/>
    <n v="2975"/>
    <n v="48"/>
    <n v="142800"/>
    <n v="160"/>
  </r>
  <r>
    <x v="3"/>
    <s v="JUN"/>
    <x v="13"/>
    <s v="GRSM 4"/>
    <x v="0"/>
    <s v="GMM"/>
    <n v="103277"/>
    <n v="6300538"/>
    <x v="1"/>
    <x v="2"/>
    <s v="CARBONARA"/>
    <n v="2975"/>
    <n v="72"/>
    <n v="214200"/>
    <m/>
  </r>
  <r>
    <x v="3"/>
    <s v="JUN"/>
    <x v="13"/>
    <s v="GRSM 4"/>
    <x v="0"/>
    <s v="GMM"/>
    <n v="103277"/>
    <n v="6300538"/>
    <x v="1"/>
    <x v="2"/>
    <s v="AGLIO OLIO"/>
    <n v="2975"/>
    <n v="53"/>
    <n v="157675"/>
    <m/>
  </r>
  <r>
    <x v="3"/>
    <s v="JUN"/>
    <x v="13"/>
    <s v="GRSM 4"/>
    <x v="0"/>
    <s v="GMM"/>
    <n v="103277"/>
    <n v="6300538"/>
    <x v="1"/>
    <x v="2"/>
    <s v="GORENG"/>
    <n v="2975"/>
    <n v="215"/>
    <n v="639625"/>
    <m/>
  </r>
  <r>
    <x v="3"/>
    <s v="JUN"/>
    <x v="13"/>
    <s v="GRSM 4"/>
    <x v="0"/>
    <s v="GMM"/>
    <n v="103277"/>
    <n v="6300538"/>
    <x v="1"/>
    <x v="3"/>
    <s v="BOLOGNESE"/>
    <n v="2975"/>
    <n v="45"/>
    <n v="133875"/>
    <n v="160"/>
  </r>
  <r>
    <x v="3"/>
    <s v="JUN"/>
    <x v="13"/>
    <s v="GRSM 4"/>
    <x v="0"/>
    <s v="GMM"/>
    <n v="103277"/>
    <n v="6300538"/>
    <x v="1"/>
    <x v="3"/>
    <s v="CARBONARA"/>
    <n v="2975"/>
    <n v="65"/>
    <n v="193375"/>
    <m/>
  </r>
  <r>
    <x v="3"/>
    <s v="JUN"/>
    <x v="13"/>
    <s v="GRSM 4"/>
    <x v="0"/>
    <s v="GMM"/>
    <n v="103277"/>
    <n v="6300538"/>
    <x v="1"/>
    <x v="3"/>
    <s v="AGLIO OLIO"/>
    <n v="2975"/>
    <n v="55"/>
    <n v="163625"/>
    <m/>
  </r>
  <r>
    <x v="3"/>
    <s v="JUN"/>
    <x v="13"/>
    <s v="GRSM 4"/>
    <x v="0"/>
    <s v="GMM"/>
    <n v="103277"/>
    <n v="6300538"/>
    <x v="1"/>
    <x v="3"/>
    <s v="GORENG"/>
    <n v="2975"/>
    <n v="205"/>
    <n v="609875"/>
    <m/>
  </r>
  <r>
    <x v="3"/>
    <s v="JUN"/>
    <x v="13"/>
    <s v="GRSM 4"/>
    <x v="0"/>
    <s v="GMM"/>
    <n v="103277"/>
    <n v="6301424"/>
    <x v="6"/>
    <x v="12"/>
    <s v="BOLOGNESE"/>
    <n v="3000"/>
    <n v="116"/>
    <n v="348000"/>
    <n v="160"/>
  </r>
  <r>
    <x v="3"/>
    <s v="JUN"/>
    <x v="13"/>
    <s v="GRSM 4"/>
    <x v="0"/>
    <s v="GMM"/>
    <n v="103277"/>
    <n v="6301424"/>
    <x v="6"/>
    <x v="12"/>
    <s v="CARBONARA"/>
    <n v="3000"/>
    <n v="40"/>
    <n v="120000"/>
    <n v="160"/>
  </r>
  <r>
    <x v="3"/>
    <s v="JUN"/>
    <x v="13"/>
    <s v="GRSM 4"/>
    <x v="0"/>
    <s v="GMM"/>
    <n v="103277"/>
    <n v="6301424"/>
    <x v="6"/>
    <x v="12"/>
    <s v="AGLIO OLIO"/>
    <n v="3000"/>
    <n v="82"/>
    <n v="246000"/>
    <n v="160"/>
  </r>
  <r>
    <x v="3"/>
    <s v="JUN"/>
    <x v="13"/>
    <s v="GRSM 4"/>
    <x v="0"/>
    <s v="GMM"/>
    <n v="103277"/>
    <n v="6301424"/>
    <x v="6"/>
    <x v="12"/>
    <s v="GORENG"/>
    <n v="3000"/>
    <n v="126"/>
    <n v="378000"/>
    <n v="160"/>
  </r>
  <r>
    <x v="3"/>
    <s v="JUN"/>
    <x v="13"/>
    <s v="GRSM 4"/>
    <x v="0"/>
    <s v="GMM"/>
    <n v="103277"/>
    <n v="6301424"/>
    <x v="6"/>
    <x v="13"/>
    <s v="BOLOGNESE"/>
    <n v="3000"/>
    <n v="118"/>
    <n v="354000"/>
    <n v="160"/>
  </r>
  <r>
    <x v="3"/>
    <s v="JUN"/>
    <x v="13"/>
    <s v="GRSM 4"/>
    <x v="0"/>
    <s v="GMM"/>
    <n v="103277"/>
    <n v="6301424"/>
    <x v="6"/>
    <x v="13"/>
    <s v="CARBONARA"/>
    <n v="3000"/>
    <n v="42"/>
    <n v="126000"/>
    <n v="160"/>
  </r>
  <r>
    <x v="3"/>
    <s v="JUN"/>
    <x v="13"/>
    <s v="GRSM 4"/>
    <x v="0"/>
    <s v="GMM"/>
    <n v="103277"/>
    <n v="6301424"/>
    <x v="6"/>
    <x v="13"/>
    <s v="AGLIO OLIO"/>
    <n v="3000"/>
    <n v="76"/>
    <n v="228000"/>
    <n v="160"/>
  </r>
  <r>
    <x v="3"/>
    <s v="JUN"/>
    <x v="13"/>
    <s v="GRSM 4"/>
    <x v="0"/>
    <s v="GMM"/>
    <n v="103277"/>
    <n v="6301424"/>
    <x v="6"/>
    <x v="13"/>
    <s v="GORENG"/>
    <n v="3000"/>
    <n v="122"/>
    <n v="366000"/>
    <n v="160"/>
  </r>
  <r>
    <x v="3"/>
    <s v="JUN"/>
    <x v="13"/>
    <s v="GRSM 4"/>
    <x v="0"/>
    <s v="GMM"/>
    <n v="103259"/>
    <n v="9029389"/>
    <x v="7"/>
    <x v="16"/>
    <s v="BOLOGNESE"/>
    <n v="3000"/>
    <n v="60"/>
    <n v="180000"/>
    <n v="160"/>
  </r>
  <r>
    <x v="3"/>
    <s v="JUN"/>
    <x v="13"/>
    <s v="GRSM 4"/>
    <x v="0"/>
    <s v="GMM"/>
    <n v="103259"/>
    <n v="9029389"/>
    <x v="7"/>
    <x v="16"/>
    <s v="CARBONARA"/>
    <n v="3000"/>
    <n v="82"/>
    <n v="246000"/>
    <n v="160"/>
  </r>
  <r>
    <x v="3"/>
    <s v="JUN"/>
    <x v="13"/>
    <s v="GRSM 4"/>
    <x v="0"/>
    <s v="GMM"/>
    <n v="103259"/>
    <n v="9029389"/>
    <x v="7"/>
    <x v="16"/>
    <s v="AGLIO OLIO"/>
    <n v="3000"/>
    <n v="38"/>
    <n v="114000"/>
    <n v="160"/>
  </r>
  <r>
    <x v="3"/>
    <s v="JUN"/>
    <x v="13"/>
    <s v="GRSM 4"/>
    <x v="0"/>
    <s v="GMM"/>
    <n v="103259"/>
    <n v="9029389"/>
    <x v="7"/>
    <x v="16"/>
    <s v="GORENG"/>
    <n v="3000"/>
    <n v="182"/>
    <n v="546000"/>
    <n v="160"/>
  </r>
  <r>
    <x v="3"/>
    <s v="JUN"/>
    <x v="13"/>
    <s v="GRSM 4"/>
    <x v="0"/>
    <s v="GMM"/>
    <n v="103259"/>
    <n v="9029389"/>
    <x v="7"/>
    <x v="17"/>
    <s v="BOLOGNESE"/>
    <n v="3000"/>
    <n v="50"/>
    <n v="150000"/>
    <n v="160"/>
  </r>
  <r>
    <x v="3"/>
    <s v="JUN"/>
    <x v="13"/>
    <s v="GRSM 4"/>
    <x v="0"/>
    <s v="GMM"/>
    <n v="103259"/>
    <n v="9029389"/>
    <x v="7"/>
    <x v="17"/>
    <s v="CARBONARA"/>
    <n v="3000"/>
    <n v="55"/>
    <n v="165000"/>
    <n v="160"/>
  </r>
  <r>
    <x v="3"/>
    <s v="JUN"/>
    <x v="13"/>
    <s v="GRSM 4"/>
    <x v="0"/>
    <s v="GMM"/>
    <n v="103259"/>
    <n v="9029389"/>
    <x v="7"/>
    <x v="17"/>
    <s v="AGLIO OLIO"/>
    <n v="3000"/>
    <n v="46"/>
    <n v="138000"/>
    <n v="160"/>
  </r>
  <r>
    <x v="3"/>
    <s v="JUN"/>
    <x v="13"/>
    <s v="GRSM 4"/>
    <x v="0"/>
    <s v="GMM"/>
    <n v="103259"/>
    <n v="9029389"/>
    <x v="7"/>
    <x v="17"/>
    <s v="GORENG"/>
    <n v="3000"/>
    <n v="202"/>
    <n v="606000"/>
    <n v="160"/>
  </r>
  <r>
    <x v="3"/>
    <s v="JUN"/>
    <x v="13"/>
    <s v="GRSM 4"/>
    <x v="0"/>
    <s v="NKA"/>
    <n v="490034"/>
    <n v="209554"/>
    <x v="8"/>
    <x v="18"/>
    <s v="BOLOGNESE"/>
    <n v="3275"/>
    <n v="30"/>
    <n v="98250"/>
    <n v="160"/>
  </r>
  <r>
    <x v="3"/>
    <s v="JUN"/>
    <x v="13"/>
    <s v="GRSM 4"/>
    <x v="0"/>
    <s v="NKA"/>
    <n v="490034"/>
    <n v="209554"/>
    <x v="8"/>
    <x v="18"/>
    <s v="CARBONARA"/>
    <n v="3275"/>
    <n v="70"/>
    <n v="229250"/>
    <n v="160"/>
  </r>
  <r>
    <x v="3"/>
    <s v="JUN"/>
    <x v="13"/>
    <s v="GRSM 4"/>
    <x v="0"/>
    <s v="NKA"/>
    <n v="490034"/>
    <n v="209554"/>
    <x v="8"/>
    <x v="18"/>
    <s v="AGLIO OLIO"/>
    <n v="3275"/>
    <n v="30"/>
    <n v="98250"/>
    <n v="160"/>
  </r>
  <r>
    <x v="3"/>
    <s v="JUN"/>
    <x v="13"/>
    <s v="GRSM 4"/>
    <x v="0"/>
    <s v="NKA"/>
    <n v="490034"/>
    <n v="209554"/>
    <x v="8"/>
    <x v="18"/>
    <s v="GORENG"/>
    <n v="3275"/>
    <n v="160"/>
    <n v="524000"/>
    <n v="160"/>
  </r>
  <r>
    <x v="3"/>
    <s v="JUN"/>
    <x v="13"/>
    <s v="GRSM 4"/>
    <x v="0"/>
    <s v="NKA"/>
    <n v="490034"/>
    <n v="209554"/>
    <x v="8"/>
    <x v="19"/>
    <s v="BOLOGNESE"/>
    <n v="3275"/>
    <n v="30"/>
    <n v="98250"/>
    <n v="160"/>
  </r>
  <r>
    <x v="3"/>
    <s v="JUN"/>
    <x v="13"/>
    <s v="GRSM 4"/>
    <x v="0"/>
    <s v="NKA"/>
    <n v="490034"/>
    <n v="209554"/>
    <x v="8"/>
    <x v="19"/>
    <s v="CARBONARA"/>
    <n v="3275"/>
    <n v="70"/>
    <n v="229250"/>
    <n v="160"/>
  </r>
  <r>
    <x v="3"/>
    <s v="JUN"/>
    <x v="13"/>
    <s v="GRSM 4"/>
    <x v="0"/>
    <s v="NKA"/>
    <n v="490034"/>
    <n v="209554"/>
    <x v="8"/>
    <x v="19"/>
    <s v="AGLIO OLIO"/>
    <n v="3275"/>
    <n v="30"/>
    <n v="98250"/>
    <n v="160"/>
  </r>
  <r>
    <x v="3"/>
    <s v="JUN"/>
    <x v="13"/>
    <s v="GRSM 4"/>
    <x v="0"/>
    <s v="NKA"/>
    <n v="490034"/>
    <n v="209554"/>
    <x v="8"/>
    <x v="19"/>
    <s v="GORENG"/>
    <n v="3275"/>
    <n v="160"/>
    <n v="524000"/>
    <n v="160"/>
  </r>
  <r>
    <x v="3"/>
    <s v="JUN"/>
    <x v="13"/>
    <s v="GRSM 4"/>
    <x v="0"/>
    <s v="GMM"/>
    <n v="103277"/>
    <n v="6301424"/>
    <x v="6"/>
    <x v="12"/>
    <s v="BOLOGNESE"/>
    <n v="3000"/>
    <n v="15"/>
    <n v="45000"/>
    <m/>
  </r>
  <r>
    <x v="4"/>
    <s v="JUN"/>
    <x v="14"/>
    <s v="GRSM 4"/>
    <x v="0"/>
    <s v="GMM"/>
    <n v="103257"/>
    <n v="9162509"/>
    <x v="4"/>
    <x v="7"/>
    <s v="BOLOGNESE"/>
    <n v="3200"/>
    <n v="58"/>
    <n v="185600"/>
    <m/>
  </r>
  <r>
    <x v="4"/>
    <s v="JUN"/>
    <x v="14"/>
    <s v="GRSM 4"/>
    <x v="0"/>
    <s v="GMM"/>
    <n v="103257"/>
    <n v="9162509"/>
    <x v="4"/>
    <x v="7"/>
    <s v="CARBONARA"/>
    <n v="3200"/>
    <n v="64"/>
    <n v="204800"/>
    <m/>
  </r>
  <r>
    <x v="4"/>
    <s v="JUN"/>
    <x v="14"/>
    <s v="GRSM 4"/>
    <x v="0"/>
    <s v="GMM"/>
    <n v="103257"/>
    <n v="9162509"/>
    <x v="4"/>
    <x v="7"/>
    <s v="AGLIO OLIO"/>
    <n v="3200"/>
    <n v="55"/>
    <n v="176000"/>
    <m/>
  </r>
  <r>
    <x v="4"/>
    <s v="JUN"/>
    <x v="14"/>
    <s v="GRSM 4"/>
    <x v="0"/>
    <s v="GMM"/>
    <n v="103257"/>
    <n v="9162509"/>
    <x v="4"/>
    <x v="7"/>
    <s v="GORENG"/>
    <n v="3200"/>
    <n v="93"/>
    <n v="297600"/>
    <n v="160"/>
  </r>
  <r>
    <x v="4"/>
    <s v="JUN"/>
    <x v="14"/>
    <s v="GRSM 4"/>
    <x v="0"/>
    <s v="GMM"/>
    <n v="103257"/>
    <n v="9162509"/>
    <x v="4"/>
    <x v="8"/>
    <s v="BOLOGNESE"/>
    <n v="3200"/>
    <n v="55"/>
    <n v="176000"/>
    <m/>
  </r>
  <r>
    <x v="4"/>
    <s v="JUN"/>
    <x v="14"/>
    <s v="GRSM 4"/>
    <x v="0"/>
    <s v="GMM"/>
    <n v="103257"/>
    <n v="9162509"/>
    <x v="4"/>
    <x v="8"/>
    <s v="CARBONARA"/>
    <n v="3200"/>
    <n v="62"/>
    <n v="198400"/>
    <m/>
  </r>
  <r>
    <x v="4"/>
    <s v="JUN"/>
    <x v="14"/>
    <s v="GRSM 4"/>
    <x v="0"/>
    <s v="GMM"/>
    <n v="103257"/>
    <n v="9162509"/>
    <x v="4"/>
    <x v="8"/>
    <s v="AGLIO OLIO"/>
    <n v="3200"/>
    <n v="53"/>
    <n v="169600"/>
    <m/>
  </r>
  <r>
    <x v="4"/>
    <s v="JUN"/>
    <x v="14"/>
    <s v="GRSM 4"/>
    <x v="0"/>
    <s v="GMM"/>
    <n v="103257"/>
    <n v="9162509"/>
    <x v="4"/>
    <x v="8"/>
    <s v="GORENG"/>
    <n v="3200"/>
    <n v="91"/>
    <n v="291200"/>
    <n v="160"/>
  </r>
  <r>
    <x v="4"/>
    <s v="JUN"/>
    <x v="14"/>
    <s v="GRSM 3A"/>
    <x v="0"/>
    <s v="GMM"/>
    <n v="103272"/>
    <n v="1178"/>
    <x v="3"/>
    <x v="20"/>
    <s v="BOLOGNESE"/>
    <n v="3145"/>
    <n v="18"/>
    <n v="56610"/>
    <m/>
  </r>
  <r>
    <x v="4"/>
    <s v="JUN"/>
    <x v="14"/>
    <s v="GRSM 3A"/>
    <x v="0"/>
    <s v="GMM"/>
    <n v="103272"/>
    <n v="1178"/>
    <x v="3"/>
    <x v="20"/>
    <s v="CARBONARA"/>
    <n v="3145"/>
    <n v="39"/>
    <n v="122655"/>
    <m/>
  </r>
  <r>
    <x v="4"/>
    <s v="JUN"/>
    <x v="14"/>
    <s v="GRSM 3A"/>
    <x v="0"/>
    <s v="GMM"/>
    <n v="103272"/>
    <n v="1178"/>
    <x v="3"/>
    <x v="20"/>
    <s v="AGLIO OLIO"/>
    <n v="3145"/>
    <n v="10"/>
    <n v="31450"/>
    <m/>
  </r>
  <r>
    <x v="4"/>
    <s v="JUN"/>
    <x v="14"/>
    <s v="GRSM 3A"/>
    <x v="0"/>
    <s v="GMM"/>
    <n v="103272"/>
    <n v="1178"/>
    <x v="3"/>
    <x v="20"/>
    <s v="GORENG"/>
    <n v="3145"/>
    <n v="131"/>
    <n v="411995"/>
    <n v="100"/>
  </r>
  <r>
    <x v="4"/>
    <s v="JUN"/>
    <x v="14"/>
    <s v="GRSM 3A"/>
    <x v="0"/>
    <s v="GMM"/>
    <n v="103272"/>
    <n v="1178"/>
    <x v="3"/>
    <x v="6"/>
    <s v="BOLOGNESE"/>
    <n v="3145"/>
    <n v="18"/>
    <n v="56610"/>
    <m/>
  </r>
  <r>
    <x v="4"/>
    <s v="JUN"/>
    <x v="14"/>
    <s v="GRSM 3A"/>
    <x v="0"/>
    <s v="GMM"/>
    <n v="103272"/>
    <n v="1178"/>
    <x v="3"/>
    <x v="6"/>
    <s v="CARBONARA"/>
    <n v="3145"/>
    <n v="39"/>
    <n v="122655"/>
    <m/>
  </r>
  <r>
    <x v="4"/>
    <s v="JUN"/>
    <x v="14"/>
    <s v="GRSM 3A"/>
    <x v="0"/>
    <s v="GMM"/>
    <n v="103272"/>
    <n v="1178"/>
    <x v="3"/>
    <x v="6"/>
    <s v="AGLIO OLIO"/>
    <n v="3145"/>
    <n v="10"/>
    <n v="31450"/>
    <m/>
  </r>
  <r>
    <x v="4"/>
    <s v="JUN"/>
    <x v="14"/>
    <s v="GRSM 3A"/>
    <x v="0"/>
    <s v="GMM"/>
    <n v="103272"/>
    <n v="1178"/>
    <x v="3"/>
    <x v="6"/>
    <s v="GORENG"/>
    <n v="3145"/>
    <n v="131"/>
    <n v="411995"/>
    <n v="100"/>
  </r>
  <r>
    <x v="4"/>
    <s v="JUN"/>
    <x v="14"/>
    <s v="GRSM 4"/>
    <x v="0"/>
    <s v="GMM"/>
    <n v="103259"/>
    <n v="9013525"/>
    <x v="5"/>
    <x v="9"/>
    <s v="BOLOGNESE"/>
    <n v="2000"/>
    <n v="84"/>
    <n v="168000"/>
    <m/>
  </r>
  <r>
    <x v="4"/>
    <s v="JUN"/>
    <x v="14"/>
    <s v="GRSM 4"/>
    <x v="0"/>
    <s v="GMM"/>
    <n v="103259"/>
    <n v="9013525"/>
    <x v="5"/>
    <x v="9"/>
    <s v="CARBONARA"/>
    <n v="2000"/>
    <n v="96"/>
    <n v="192000"/>
    <m/>
  </r>
  <r>
    <x v="4"/>
    <s v="JUN"/>
    <x v="14"/>
    <s v="GRSM 4"/>
    <x v="0"/>
    <s v="GMM"/>
    <n v="103259"/>
    <n v="9013525"/>
    <x v="5"/>
    <x v="9"/>
    <s v="AGLIO OLIO"/>
    <n v="2000"/>
    <n v="96"/>
    <n v="192000"/>
    <m/>
  </r>
  <r>
    <x v="4"/>
    <s v="JUN"/>
    <x v="14"/>
    <s v="GRSM 4"/>
    <x v="0"/>
    <s v="GMM"/>
    <n v="103259"/>
    <n v="9013525"/>
    <x v="5"/>
    <x v="9"/>
    <s v="GORENG"/>
    <n v="2000"/>
    <n v="144"/>
    <n v="288000"/>
    <n v="160"/>
  </r>
  <r>
    <x v="4"/>
    <s v="JUN"/>
    <x v="14"/>
    <s v="GRSM 4"/>
    <x v="0"/>
    <s v="GMM"/>
    <n v="103259"/>
    <n v="9013525"/>
    <x v="5"/>
    <x v="14"/>
    <s v="BOLOGNESE"/>
    <n v="2000"/>
    <n v="96"/>
    <n v="192000"/>
    <m/>
  </r>
  <r>
    <x v="4"/>
    <s v="JUN"/>
    <x v="14"/>
    <s v="GRSM 4"/>
    <x v="0"/>
    <s v="GMM"/>
    <n v="103259"/>
    <n v="9013525"/>
    <x v="5"/>
    <x v="14"/>
    <s v="CARBONARA"/>
    <n v="2000"/>
    <n v="120"/>
    <n v="240000"/>
    <m/>
  </r>
  <r>
    <x v="4"/>
    <s v="JUN"/>
    <x v="14"/>
    <s v="GRSM 4"/>
    <x v="0"/>
    <s v="GMM"/>
    <n v="103259"/>
    <n v="9013525"/>
    <x v="5"/>
    <x v="14"/>
    <s v="AGLIO OLIO"/>
    <n v="2000"/>
    <n v="30"/>
    <n v="60000"/>
    <m/>
  </r>
  <r>
    <x v="4"/>
    <s v="JUN"/>
    <x v="14"/>
    <s v="GRSM 4"/>
    <x v="0"/>
    <s v="GMM"/>
    <n v="103259"/>
    <n v="9013525"/>
    <x v="5"/>
    <x v="14"/>
    <s v="GORENG"/>
    <n v="2000"/>
    <n v="144"/>
    <n v="288000"/>
    <n v="160"/>
  </r>
  <r>
    <x v="4"/>
    <s v="JUN"/>
    <x v="14"/>
    <s v="GRSM 4"/>
    <x v="0"/>
    <s v="GMM"/>
    <n v="103277"/>
    <n v="6300538"/>
    <x v="1"/>
    <x v="2"/>
    <s v="BOLOGNESE"/>
    <n v="2975"/>
    <n v="71"/>
    <n v="211225"/>
    <m/>
  </r>
  <r>
    <x v="4"/>
    <s v="JUN"/>
    <x v="14"/>
    <s v="GRSM 4"/>
    <x v="0"/>
    <s v="GMM"/>
    <n v="103277"/>
    <n v="6300538"/>
    <x v="1"/>
    <x v="2"/>
    <s v="CARBONARA"/>
    <n v="2975"/>
    <n v="68"/>
    <n v="202300"/>
    <m/>
  </r>
  <r>
    <x v="4"/>
    <s v="JUN"/>
    <x v="14"/>
    <s v="GRSM 4"/>
    <x v="0"/>
    <s v="GMM"/>
    <n v="103277"/>
    <n v="6300538"/>
    <x v="1"/>
    <x v="2"/>
    <s v="AGLIO OLIO"/>
    <n v="2975"/>
    <n v="62"/>
    <n v="184450"/>
    <m/>
  </r>
  <r>
    <x v="4"/>
    <s v="JUN"/>
    <x v="14"/>
    <s v="GRSM 4"/>
    <x v="0"/>
    <s v="GMM"/>
    <n v="103277"/>
    <n v="6300538"/>
    <x v="1"/>
    <x v="2"/>
    <s v="GORENG"/>
    <n v="2975"/>
    <n v="221"/>
    <n v="657475"/>
    <n v="146"/>
  </r>
  <r>
    <x v="4"/>
    <s v="JUN"/>
    <x v="14"/>
    <s v="GRSM 4"/>
    <x v="0"/>
    <s v="GMM"/>
    <n v="103277"/>
    <n v="6300538"/>
    <x v="1"/>
    <x v="3"/>
    <s v="BOLOGNESE"/>
    <n v="2975"/>
    <n v="69"/>
    <n v="205275"/>
    <m/>
  </r>
  <r>
    <x v="4"/>
    <s v="JUN"/>
    <x v="14"/>
    <s v="GRSM 4"/>
    <x v="0"/>
    <s v="GMM"/>
    <n v="103277"/>
    <n v="6300538"/>
    <x v="1"/>
    <x v="3"/>
    <s v="CARBONARA"/>
    <n v="2975"/>
    <n v="65"/>
    <n v="193375"/>
    <m/>
  </r>
  <r>
    <x v="4"/>
    <s v="JUN"/>
    <x v="14"/>
    <s v="GRSM 4"/>
    <x v="0"/>
    <s v="GMM"/>
    <n v="103277"/>
    <n v="6300538"/>
    <x v="1"/>
    <x v="3"/>
    <s v="AGLIO OLIO"/>
    <n v="2975"/>
    <n v="54"/>
    <n v="160650"/>
    <m/>
  </r>
  <r>
    <x v="4"/>
    <s v="JUN"/>
    <x v="14"/>
    <s v="GRSM 4"/>
    <x v="0"/>
    <s v="GMM"/>
    <n v="103277"/>
    <n v="6300538"/>
    <x v="1"/>
    <x v="3"/>
    <s v="GORENG"/>
    <n v="2975"/>
    <n v="215"/>
    <n v="639625"/>
    <n v="146"/>
  </r>
  <r>
    <x v="4"/>
    <s v="JUN"/>
    <x v="14"/>
    <s v="GRSM 4"/>
    <x v="0"/>
    <s v="GMM"/>
    <n v="103259"/>
    <n v="9029389"/>
    <x v="7"/>
    <x v="21"/>
    <s v="BOLOGNESE"/>
    <n v="2000"/>
    <n v="39"/>
    <n v="78000"/>
    <m/>
  </r>
  <r>
    <x v="4"/>
    <s v="JUN"/>
    <x v="14"/>
    <s v="GRSM 4"/>
    <x v="0"/>
    <s v="GMM"/>
    <n v="103259"/>
    <n v="9029389"/>
    <x v="7"/>
    <x v="21"/>
    <s v="CARBONARA"/>
    <n v="2000"/>
    <n v="57"/>
    <n v="114000"/>
    <m/>
  </r>
  <r>
    <x v="4"/>
    <s v="JUN"/>
    <x v="14"/>
    <s v="GRSM 4"/>
    <x v="0"/>
    <s v="GMM"/>
    <n v="103259"/>
    <n v="9029389"/>
    <x v="7"/>
    <x v="21"/>
    <s v="AGLIO OLIO"/>
    <n v="2000"/>
    <n v="23"/>
    <n v="46000"/>
    <m/>
  </r>
  <r>
    <x v="4"/>
    <s v="JUN"/>
    <x v="14"/>
    <s v="GRSM 4"/>
    <x v="0"/>
    <s v="GMM"/>
    <n v="103259"/>
    <n v="9029389"/>
    <x v="7"/>
    <x v="21"/>
    <s v="GORENG"/>
    <n v="2000"/>
    <n v="128"/>
    <n v="256000"/>
    <n v="160"/>
  </r>
  <r>
    <x v="4"/>
    <s v="JUN"/>
    <x v="14"/>
    <s v="GRSM 4"/>
    <x v="0"/>
    <s v="GMM"/>
    <n v="103259"/>
    <n v="9029389"/>
    <x v="7"/>
    <x v="17"/>
    <s v="BOLOGNESE"/>
    <n v="2000"/>
    <n v="40"/>
    <n v="80000"/>
    <m/>
  </r>
  <r>
    <x v="4"/>
    <s v="JUN"/>
    <x v="14"/>
    <s v="GRSM 4"/>
    <x v="0"/>
    <s v="GMM"/>
    <n v="103259"/>
    <n v="9029389"/>
    <x v="7"/>
    <x v="17"/>
    <s v="CARBONARA"/>
    <n v="2000"/>
    <n v="50"/>
    <n v="100000"/>
    <m/>
  </r>
  <r>
    <x v="4"/>
    <s v="JUN"/>
    <x v="14"/>
    <s v="GRSM 4"/>
    <x v="0"/>
    <s v="GMM"/>
    <n v="103259"/>
    <n v="9029389"/>
    <x v="7"/>
    <x v="17"/>
    <s v="AGLIO OLIO"/>
    <n v="2000"/>
    <n v="30"/>
    <n v="60000"/>
    <m/>
  </r>
  <r>
    <x v="4"/>
    <s v="JUN"/>
    <x v="14"/>
    <s v="GRSM 4"/>
    <x v="0"/>
    <s v="GMM"/>
    <n v="103259"/>
    <n v="9029389"/>
    <x v="7"/>
    <x v="17"/>
    <s v="GORENG"/>
    <n v="2000"/>
    <n v="130"/>
    <n v="260000"/>
    <n v="160"/>
  </r>
  <r>
    <x v="4"/>
    <s v="JUN"/>
    <x v="14"/>
    <s v="GRSM 4"/>
    <x v="0"/>
    <s v="GMM"/>
    <n v="103259"/>
    <n v="9029389"/>
    <x v="0"/>
    <x v="15"/>
    <s v="BOLOGNESE"/>
    <n v="2000"/>
    <n v="66"/>
    <n v="132000"/>
    <m/>
  </r>
  <r>
    <x v="4"/>
    <s v="JUN"/>
    <x v="14"/>
    <s v="GRSM 4"/>
    <x v="0"/>
    <s v="GMM"/>
    <n v="103259"/>
    <n v="9029389"/>
    <x v="0"/>
    <x v="15"/>
    <s v="CARBONARA"/>
    <n v="2000"/>
    <n v="57"/>
    <n v="114000"/>
    <m/>
  </r>
  <r>
    <x v="4"/>
    <s v="JUN"/>
    <x v="14"/>
    <s v="GRSM 4"/>
    <x v="0"/>
    <s v="GMM"/>
    <n v="103259"/>
    <n v="9029389"/>
    <x v="0"/>
    <x v="15"/>
    <s v="AGLIO OLIO"/>
    <n v="2000"/>
    <n v="45"/>
    <n v="90000"/>
    <m/>
  </r>
  <r>
    <x v="4"/>
    <s v="JUN"/>
    <x v="14"/>
    <s v="GRSM 4"/>
    <x v="0"/>
    <s v="GMM"/>
    <n v="103259"/>
    <n v="9029389"/>
    <x v="0"/>
    <x v="15"/>
    <s v="GORENG"/>
    <n v="2000"/>
    <n v="120"/>
    <n v="240000"/>
    <n v="160"/>
  </r>
  <r>
    <x v="4"/>
    <s v="JUN"/>
    <x v="14"/>
    <s v="GRSM 4"/>
    <x v="0"/>
    <s v="GMM"/>
    <n v="103277"/>
    <n v="6301424"/>
    <x v="6"/>
    <x v="13"/>
    <s v="BOLOGNESE"/>
    <n v="3000"/>
    <n v="78"/>
    <n v="234000"/>
    <m/>
  </r>
  <r>
    <x v="4"/>
    <s v="JUN"/>
    <x v="14"/>
    <s v="GRSM 4"/>
    <x v="0"/>
    <s v="GMM"/>
    <n v="103277"/>
    <n v="6301424"/>
    <x v="6"/>
    <x v="13"/>
    <s v="CARBONARA"/>
    <n v="3000"/>
    <n v="82"/>
    <n v="246000"/>
    <m/>
  </r>
  <r>
    <x v="4"/>
    <s v="JUN"/>
    <x v="14"/>
    <s v="GRSM 4"/>
    <x v="0"/>
    <s v="GMM"/>
    <n v="103277"/>
    <n v="6301424"/>
    <x v="6"/>
    <x v="13"/>
    <s v="AGLIO OLIO"/>
    <n v="3000"/>
    <n v="38"/>
    <n v="114000"/>
    <m/>
  </r>
  <r>
    <x v="4"/>
    <s v="JUN"/>
    <x v="14"/>
    <s v="GRSM 4"/>
    <x v="0"/>
    <s v="GMM"/>
    <n v="103277"/>
    <n v="6301424"/>
    <x v="6"/>
    <x v="13"/>
    <s v="GORENG"/>
    <n v="3000"/>
    <n v="122"/>
    <n v="366000"/>
    <n v="120"/>
  </r>
  <r>
    <x v="4"/>
    <s v="JUN"/>
    <x v="14"/>
    <s v="GRSM 4"/>
    <x v="0"/>
    <s v="GMM"/>
    <n v="103277"/>
    <n v="6301424"/>
    <x v="6"/>
    <x v="12"/>
    <s v="BOLOGNESE"/>
    <n v="3000"/>
    <n v="82"/>
    <n v="246000"/>
    <m/>
  </r>
  <r>
    <x v="4"/>
    <s v="JUN"/>
    <x v="14"/>
    <s v="GRSM 4"/>
    <x v="0"/>
    <s v="GMM"/>
    <n v="103277"/>
    <n v="6301424"/>
    <x v="6"/>
    <x v="12"/>
    <s v="CARBONARA"/>
    <n v="3000"/>
    <n v="84"/>
    <n v="252000"/>
    <m/>
  </r>
  <r>
    <x v="4"/>
    <s v="JUN"/>
    <x v="14"/>
    <s v="GRSM 4"/>
    <x v="0"/>
    <s v="GMM"/>
    <n v="103277"/>
    <n v="6301424"/>
    <x v="6"/>
    <x v="12"/>
    <s v="AGLIO OLIO"/>
    <n v="3000"/>
    <n v="40"/>
    <n v="120000"/>
    <m/>
  </r>
  <r>
    <x v="4"/>
    <s v="JUN"/>
    <x v="14"/>
    <s v="GRSM 4"/>
    <x v="0"/>
    <s v="GMM"/>
    <n v="103277"/>
    <n v="6301424"/>
    <x v="6"/>
    <x v="12"/>
    <s v="GORENG"/>
    <n v="3000"/>
    <n v="126"/>
    <n v="378000"/>
    <n v="120"/>
  </r>
  <r>
    <x v="4"/>
    <s v="JUN"/>
    <x v="14"/>
    <s v="GRSM 4"/>
    <x v="0"/>
    <s v="NKA"/>
    <n v="490034"/>
    <n v="209554"/>
    <x v="8"/>
    <x v="19"/>
    <s v="BOLOGNESE"/>
    <n v="3275"/>
    <n v="30"/>
    <n v="98250"/>
    <m/>
  </r>
  <r>
    <x v="4"/>
    <s v="JUN"/>
    <x v="14"/>
    <s v="GRSM 4"/>
    <x v="0"/>
    <s v="NKA"/>
    <n v="490034"/>
    <n v="209554"/>
    <x v="8"/>
    <x v="19"/>
    <s v="CARBONARA"/>
    <n v="3275"/>
    <n v="42"/>
    <n v="137550"/>
    <m/>
  </r>
  <r>
    <x v="4"/>
    <s v="JUN"/>
    <x v="14"/>
    <s v="GRSM 4"/>
    <x v="0"/>
    <s v="NKA"/>
    <n v="490034"/>
    <n v="209554"/>
    <x v="8"/>
    <x v="19"/>
    <s v="AGLIO OLIO"/>
    <n v="3275"/>
    <n v="24"/>
    <n v="78600"/>
    <m/>
  </r>
  <r>
    <x v="4"/>
    <s v="JUN"/>
    <x v="14"/>
    <s v="GRSM 4"/>
    <x v="0"/>
    <s v="NKA"/>
    <n v="490034"/>
    <n v="209554"/>
    <x v="8"/>
    <x v="19"/>
    <s v="GORENG"/>
    <n v="3275"/>
    <n v="234"/>
    <n v="766350"/>
    <n v="160"/>
  </r>
  <r>
    <x v="4"/>
    <s v="JUN"/>
    <x v="14"/>
    <s v="GRSM 4"/>
    <x v="0"/>
    <s v="NKA"/>
    <n v="490034"/>
    <n v="209554"/>
    <x v="8"/>
    <x v="18"/>
    <s v="BOLOGNESE"/>
    <n v="3275"/>
    <n v="30"/>
    <n v="98250"/>
    <m/>
  </r>
  <r>
    <x v="4"/>
    <s v="JUN"/>
    <x v="14"/>
    <s v="GRSM 4"/>
    <x v="0"/>
    <s v="NKA"/>
    <n v="490034"/>
    <n v="209554"/>
    <x v="8"/>
    <x v="18"/>
    <s v="CARBONARA"/>
    <n v="3275"/>
    <n v="42"/>
    <n v="137550"/>
    <m/>
  </r>
  <r>
    <x v="4"/>
    <s v="JUN"/>
    <x v="14"/>
    <s v="GRSM 4"/>
    <x v="0"/>
    <s v="NKA"/>
    <n v="490034"/>
    <n v="209554"/>
    <x v="8"/>
    <x v="18"/>
    <s v="AGLIO OLIO"/>
    <n v="3275"/>
    <n v="24"/>
    <n v="78600"/>
    <m/>
  </r>
  <r>
    <x v="4"/>
    <s v="JUN"/>
    <x v="14"/>
    <s v="GRSM 4"/>
    <x v="0"/>
    <s v="NKA"/>
    <n v="490034"/>
    <n v="209554"/>
    <x v="8"/>
    <x v="18"/>
    <s v="GORENG"/>
    <n v="3275"/>
    <n v="234"/>
    <n v="766350"/>
    <n v="160"/>
  </r>
  <r>
    <x v="4"/>
    <s v="JUN"/>
    <x v="14"/>
    <s v="GRSM 4"/>
    <x v="0"/>
    <s v="GMM"/>
    <n v="189901"/>
    <n v="1602020"/>
    <x v="2"/>
    <x v="5"/>
    <s v="BOLOGNESE"/>
    <n v="2200"/>
    <n v="36"/>
    <n v="79200"/>
    <m/>
  </r>
  <r>
    <x v="4"/>
    <s v="JUN"/>
    <x v="14"/>
    <s v="GRSM 4"/>
    <x v="0"/>
    <s v="GMM"/>
    <n v="189901"/>
    <n v="1602020"/>
    <x v="2"/>
    <x v="5"/>
    <s v="CARBONARA"/>
    <n v="2200"/>
    <n v="49"/>
    <n v="107800"/>
    <m/>
  </r>
  <r>
    <x v="4"/>
    <s v="JUN"/>
    <x v="14"/>
    <s v="GRSM 4"/>
    <x v="0"/>
    <s v="GMM"/>
    <n v="189901"/>
    <n v="1602020"/>
    <x v="2"/>
    <x v="5"/>
    <s v="AGLIO OLIO"/>
    <n v="2200"/>
    <n v="12"/>
    <n v="26400"/>
    <m/>
  </r>
  <r>
    <x v="4"/>
    <s v="JUN"/>
    <x v="14"/>
    <s v="GRSM 4"/>
    <x v="0"/>
    <s v="GMM"/>
    <n v="189901"/>
    <n v="1602020"/>
    <x v="2"/>
    <x v="5"/>
    <s v="GORENG"/>
    <n v="2200"/>
    <n v="110"/>
    <n v="242000"/>
    <n v="120"/>
  </r>
  <r>
    <x v="4"/>
    <s v="JUN"/>
    <x v="14"/>
    <s v="GRSM 4"/>
    <x v="0"/>
    <s v="GMM"/>
    <n v="103258"/>
    <n v="9210369"/>
    <x v="9"/>
    <x v="22"/>
    <s v="BOLOGNESE"/>
    <n v="3500"/>
    <n v="30"/>
    <n v="105000"/>
    <m/>
  </r>
  <r>
    <x v="4"/>
    <s v="JUN"/>
    <x v="14"/>
    <s v="GRSM 4"/>
    <x v="0"/>
    <s v="GMM"/>
    <n v="103258"/>
    <n v="9210369"/>
    <x v="9"/>
    <x v="22"/>
    <s v="CARBONARA"/>
    <n v="3500"/>
    <n v="25"/>
    <n v="87500"/>
    <m/>
  </r>
  <r>
    <x v="4"/>
    <s v="JUN"/>
    <x v="14"/>
    <s v="GRSM 4"/>
    <x v="0"/>
    <s v="GMM"/>
    <n v="103258"/>
    <n v="9210369"/>
    <x v="9"/>
    <x v="22"/>
    <s v="AGLIO OLIO"/>
    <n v="3500"/>
    <n v="15"/>
    <n v="52500"/>
    <m/>
  </r>
  <r>
    <x v="4"/>
    <s v="JUN"/>
    <x v="14"/>
    <s v="GRSM 4"/>
    <x v="0"/>
    <s v="GMM"/>
    <n v="103258"/>
    <n v="9210369"/>
    <x v="9"/>
    <x v="22"/>
    <s v="GORENG"/>
    <n v="3500"/>
    <n v="45"/>
    <n v="157500"/>
    <n v="160"/>
  </r>
  <r>
    <x v="4"/>
    <s v="JUN"/>
    <x v="15"/>
    <s v="GRSM 4"/>
    <x v="0"/>
    <s v="GMM"/>
    <n v="103259"/>
    <n v="9029389"/>
    <x v="0"/>
    <x v="1"/>
    <s v="BOLOGNESE"/>
    <n v="2000"/>
    <n v="72"/>
    <n v="144000"/>
    <m/>
  </r>
  <r>
    <x v="4"/>
    <s v="JUN"/>
    <x v="15"/>
    <s v="GRSM 4"/>
    <x v="0"/>
    <s v="GMM"/>
    <n v="103259"/>
    <n v="9029389"/>
    <x v="0"/>
    <x v="1"/>
    <s v="CARBONARA"/>
    <n v="2000"/>
    <n v="57"/>
    <n v="114000"/>
    <m/>
  </r>
  <r>
    <x v="4"/>
    <s v="JUN"/>
    <x v="15"/>
    <s v="GRSM 4"/>
    <x v="0"/>
    <s v="GMM"/>
    <n v="103259"/>
    <n v="9029389"/>
    <x v="0"/>
    <x v="1"/>
    <s v="AGLIO OLIO"/>
    <n v="2000"/>
    <n v="51"/>
    <n v="102000"/>
    <m/>
  </r>
  <r>
    <x v="4"/>
    <s v="JUN"/>
    <x v="15"/>
    <s v="GRSM 4"/>
    <x v="0"/>
    <s v="GMM"/>
    <n v="103259"/>
    <n v="9029389"/>
    <x v="0"/>
    <x v="1"/>
    <s v="GORENG"/>
    <n v="2000"/>
    <n v="138"/>
    <n v="276000"/>
    <n v="160"/>
  </r>
  <r>
    <x v="4"/>
    <s v="JUN"/>
    <x v="15"/>
    <s v="GRSM 4"/>
    <x v="0"/>
    <s v="GMM"/>
    <n v="103259"/>
    <n v="9029389"/>
    <x v="0"/>
    <x v="15"/>
    <s v="BOLOGNESE"/>
    <n v="2000"/>
    <n v="81"/>
    <n v="162000"/>
    <m/>
  </r>
  <r>
    <x v="4"/>
    <s v="JUN"/>
    <x v="15"/>
    <s v="GRSM 4"/>
    <x v="0"/>
    <s v="GMM"/>
    <n v="103259"/>
    <n v="9029389"/>
    <x v="0"/>
    <x v="15"/>
    <s v="CARBONARA"/>
    <n v="2000"/>
    <n v="66"/>
    <n v="132000"/>
    <m/>
  </r>
  <r>
    <x v="4"/>
    <s v="JUN"/>
    <x v="15"/>
    <s v="GRSM 4"/>
    <x v="0"/>
    <s v="GMM"/>
    <n v="103259"/>
    <n v="9029389"/>
    <x v="0"/>
    <x v="15"/>
    <s v="AGLIO OLIO"/>
    <n v="2000"/>
    <n v="42"/>
    <n v="84000"/>
    <m/>
  </r>
  <r>
    <x v="4"/>
    <s v="JUN"/>
    <x v="15"/>
    <s v="GRSM 4"/>
    <x v="0"/>
    <s v="GMM"/>
    <n v="103259"/>
    <n v="9029389"/>
    <x v="0"/>
    <x v="15"/>
    <s v="GORENG"/>
    <n v="2000"/>
    <n v="144"/>
    <n v="288000"/>
    <n v="160"/>
  </r>
  <r>
    <x v="4"/>
    <s v="JUN"/>
    <x v="15"/>
    <s v="GRSM 4"/>
    <x v="0"/>
    <s v="GMM"/>
    <n v="103259"/>
    <n v="9029389"/>
    <x v="7"/>
    <x v="17"/>
    <s v="BOLOGNESE"/>
    <n v="3000"/>
    <n v="60"/>
    <n v="180000"/>
    <m/>
  </r>
  <r>
    <x v="4"/>
    <s v="JUN"/>
    <x v="15"/>
    <s v="GRSM 4"/>
    <x v="0"/>
    <s v="GMM"/>
    <n v="103259"/>
    <n v="9029389"/>
    <x v="7"/>
    <x v="17"/>
    <s v="CARBONARA"/>
    <n v="3000"/>
    <n v="80"/>
    <n v="240000"/>
    <m/>
  </r>
  <r>
    <x v="4"/>
    <s v="JUN"/>
    <x v="15"/>
    <s v="GRSM 4"/>
    <x v="0"/>
    <s v="GMM"/>
    <n v="103259"/>
    <n v="9029389"/>
    <x v="7"/>
    <x v="17"/>
    <s v="AGLIO OLIO"/>
    <n v="3000"/>
    <n v="52"/>
    <n v="156000"/>
    <m/>
  </r>
  <r>
    <x v="4"/>
    <s v="JUN"/>
    <x v="15"/>
    <s v="GRSM 4"/>
    <x v="0"/>
    <s v="GMM"/>
    <n v="103259"/>
    <n v="9029389"/>
    <x v="7"/>
    <x v="17"/>
    <s v="GORENG"/>
    <n v="3000"/>
    <n v="178"/>
    <n v="534000"/>
    <n v="160"/>
  </r>
  <r>
    <x v="4"/>
    <s v="JUN"/>
    <x v="15"/>
    <s v="GRSM 4"/>
    <x v="0"/>
    <s v="GMM"/>
    <n v="103259"/>
    <n v="9029389"/>
    <x v="7"/>
    <x v="21"/>
    <s v="BOLOGNESE"/>
    <n v="3000"/>
    <n v="65"/>
    <n v="195000"/>
    <m/>
  </r>
  <r>
    <x v="4"/>
    <s v="JUN"/>
    <x v="15"/>
    <s v="GRSM 4"/>
    <x v="0"/>
    <s v="GMM"/>
    <n v="103259"/>
    <n v="9029389"/>
    <x v="7"/>
    <x v="21"/>
    <s v="CARBONARA"/>
    <n v="3000"/>
    <n v="93"/>
    <n v="279000"/>
    <m/>
  </r>
  <r>
    <x v="4"/>
    <s v="JUN"/>
    <x v="15"/>
    <s v="GRSM 4"/>
    <x v="0"/>
    <s v="GMM"/>
    <n v="103259"/>
    <n v="9029389"/>
    <x v="7"/>
    <x v="21"/>
    <s v="AGLIO OLIO"/>
    <n v="3000"/>
    <n v="56"/>
    <n v="168000"/>
    <m/>
  </r>
  <r>
    <x v="4"/>
    <s v="JUN"/>
    <x v="15"/>
    <s v="GRSM 4"/>
    <x v="0"/>
    <s v="GMM"/>
    <n v="103259"/>
    <n v="9029389"/>
    <x v="7"/>
    <x v="21"/>
    <s v="GORENG"/>
    <n v="3000"/>
    <n v="219"/>
    <n v="657000"/>
    <n v="160"/>
  </r>
  <r>
    <x v="4"/>
    <s v="JUN"/>
    <x v="15"/>
    <s v="GRSM 4"/>
    <x v="0"/>
    <s v="GMM"/>
    <n v="103277"/>
    <n v="6300538"/>
    <x v="1"/>
    <x v="2"/>
    <s v="BOLOGNESE"/>
    <n v="2975"/>
    <n v="68"/>
    <n v="202300"/>
    <m/>
  </r>
  <r>
    <x v="4"/>
    <s v="JUN"/>
    <x v="15"/>
    <s v="GRSM 4"/>
    <x v="0"/>
    <s v="GMM"/>
    <n v="103277"/>
    <n v="6300538"/>
    <x v="1"/>
    <x v="2"/>
    <s v="CARBONARA"/>
    <n v="2975"/>
    <n v="63"/>
    <n v="187425"/>
    <m/>
  </r>
  <r>
    <x v="4"/>
    <s v="JUN"/>
    <x v="15"/>
    <s v="GRSM 4"/>
    <x v="0"/>
    <s v="GMM"/>
    <n v="103277"/>
    <n v="6300538"/>
    <x v="1"/>
    <x v="2"/>
    <s v="AGLIO OLIO"/>
    <n v="2975"/>
    <n v="56"/>
    <n v="166600"/>
    <m/>
  </r>
  <r>
    <x v="4"/>
    <s v="JUN"/>
    <x v="15"/>
    <s v="GRSM 4"/>
    <x v="0"/>
    <s v="GMM"/>
    <n v="103277"/>
    <n v="6300538"/>
    <x v="1"/>
    <x v="2"/>
    <s v="GORENG"/>
    <n v="2975"/>
    <n v="224"/>
    <n v="666400"/>
    <n v="150"/>
  </r>
  <r>
    <x v="4"/>
    <s v="JUN"/>
    <x v="15"/>
    <s v="GRSM 4"/>
    <x v="0"/>
    <s v="GMM"/>
    <n v="103277"/>
    <n v="6300538"/>
    <x v="1"/>
    <x v="3"/>
    <s v="BOLOGNESE"/>
    <n v="2975"/>
    <n v="63"/>
    <n v="187425"/>
    <m/>
  </r>
  <r>
    <x v="4"/>
    <s v="JUN"/>
    <x v="15"/>
    <s v="GRSM 4"/>
    <x v="0"/>
    <s v="GMM"/>
    <n v="103277"/>
    <n v="6300538"/>
    <x v="1"/>
    <x v="3"/>
    <s v="CARBONARA"/>
    <n v="2975"/>
    <n v="59"/>
    <n v="175525"/>
    <m/>
  </r>
  <r>
    <x v="4"/>
    <s v="JUN"/>
    <x v="15"/>
    <s v="GRSM 4"/>
    <x v="0"/>
    <s v="GMM"/>
    <n v="103277"/>
    <n v="6300538"/>
    <x v="1"/>
    <x v="3"/>
    <s v="AGLIO OLIO"/>
    <n v="2975"/>
    <n v="55"/>
    <n v="163625"/>
    <m/>
  </r>
  <r>
    <x v="4"/>
    <s v="JUN"/>
    <x v="15"/>
    <s v="GRSM 4"/>
    <x v="0"/>
    <s v="GMM"/>
    <n v="103277"/>
    <n v="6300538"/>
    <x v="1"/>
    <x v="3"/>
    <s v="GORENG"/>
    <n v="2975"/>
    <n v="222"/>
    <n v="660450"/>
    <n v="150"/>
  </r>
  <r>
    <x v="4"/>
    <s v="JUN"/>
    <x v="15"/>
    <s v="GRSM 3A"/>
    <x v="0"/>
    <s v="GMM"/>
    <n v="103272"/>
    <n v="1178"/>
    <x v="3"/>
    <x v="20"/>
    <s v="BOLOGNESE"/>
    <n v="3145"/>
    <n v="14"/>
    <n v="44030"/>
    <m/>
  </r>
  <r>
    <x v="4"/>
    <s v="JUN"/>
    <x v="15"/>
    <s v="GRSM 3A"/>
    <x v="0"/>
    <s v="GMM"/>
    <n v="103272"/>
    <n v="1178"/>
    <x v="3"/>
    <x v="20"/>
    <s v="CARBONARA"/>
    <n v="3145"/>
    <n v="33"/>
    <n v="103785"/>
    <m/>
  </r>
  <r>
    <x v="4"/>
    <s v="JUN"/>
    <x v="15"/>
    <s v="GRSM 3A"/>
    <x v="0"/>
    <s v="GMM"/>
    <n v="103272"/>
    <n v="1178"/>
    <x v="3"/>
    <x v="20"/>
    <s v="AGLIO OLIO"/>
    <n v="3145"/>
    <n v="5"/>
    <n v="15725"/>
    <m/>
  </r>
  <r>
    <x v="4"/>
    <s v="JUN"/>
    <x v="15"/>
    <s v="GRSM 3A"/>
    <x v="0"/>
    <s v="GMM"/>
    <n v="103272"/>
    <n v="1178"/>
    <x v="3"/>
    <x v="20"/>
    <s v="GORENG"/>
    <n v="3145"/>
    <n v="86"/>
    <n v="270470"/>
    <n v="100"/>
  </r>
  <r>
    <x v="4"/>
    <s v="JUN"/>
    <x v="15"/>
    <s v="GRSM 3A"/>
    <x v="0"/>
    <s v="GMM"/>
    <n v="103272"/>
    <n v="1178"/>
    <x v="3"/>
    <x v="6"/>
    <s v="BOLOGNESE"/>
    <n v="3145"/>
    <n v="14"/>
    <n v="44030"/>
    <m/>
  </r>
  <r>
    <x v="4"/>
    <s v="JUN"/>
    <x v="15"/>
    <s v="GRSM 3A"/>
    <x v="0"/>
    <s v="GMM"/>
    <n v="103272"/>
    <n v="1178"/>
    <x v="3"/>
    <x v="6"/>
    <s v="CARBONARA"/>
    <n v="3145"/>
    <n v="33"/>
    <n v="103785"/>
    <m/>
  </r>
  <r>
    <x v="4"/>
    <s v="JUN"/>
    <x v="15"/>
    <s v="GRSM 3A"/>
    <x v="0"/>
    <s v="GMM"/>
    <n v="103272"/>
    <n v="1178"/>
    <x v="3"/>
    <x v="6"/>
    <s v="AGLIO OLIO"/>
    <n v="3145"/>
    <n v="5"/>
    <n v="15725"/>
    <m/>
  </r>
  <r>
    <x v="4"/>
    <s v="JUN"/>
    <x v="15"/>
    <s v="GRSM 3A"/>
    <x v="0"/>
    <s v="GMM"/>
    <n v="103272"/>
    <n v="1178"/>
    <x v="3"/>
    <x v="6"/>
    <s v="GORENG"/>
    <n v="3145"/>
    <n v="86"/>
    <n v="270470"/>
    <n v="100"/>
  </r>
  <r>
    <x v="4"/>
    <s v="JUN"/>
    <x v="15"/>
    <s v="GRSM 4"/>
    <x v="0"/>
    <s v="GMM"/>
    <n v="103277"/>
    <n v="6301424"/>
    <x v="6"/>
    <x v="13"/>
    <s v="BOLOGNESE"/>
    <n v="3000"/>
    <n v="82"/>
    <n v="246000"/>
    <m/>
  </r>
  <r>
    <x v="4"/>
    <s v="JUN"/>
    <x v="15"/>
    <s v="GRSM 4"/>
    <x v="0"/>
    <s v="GMM"/>
    <n v="103277"/>
    <n v="6301424"/>
    <x v="6"/>
    <x v="13"/>
    <s v="CARBONARA"/>
    <n v="3000"/>
    <n v="120"/>
    <n v="360000"/>
    <m/>
  </r>
  <r>
    <x v="4"/>
    <s v="JUN"/>
    <x v="15"/>
    <s v="GRSM 4"/>
    <x v="0"/>
    <s v="GMM"/>
    <n v="103277"/>
    <n v="6301424"/>
    <x v="6"/>
    <x v="13"/>
    <s v="AGLIO OLIO"/>
    <n v="3000"/>
    <n v="40"/>
    <n v="120000"/>
    <m/>
  </r>
  <r>
    <x v="4"/>
    <s v="JUN"/>
    <x v="15"/>
    <s v="GRSM 4"/>
    <x v="0"/>
    <s v="GMM"/>
    <n v="103277"/>
    <n v="6301424"/>
    <x v="6"/>
    <x v="13"/>
    <s v="GORENG"/>
    <n v="3000"/>
    <n v="120"/>
    <n v="360000"/>
    <n v="120"/>
  </r>
  <r>
    <x v="4"/>
    <s v="JUN"/>
    <x v="15"/>
    <s v="GRSM 4"/>
    <x v="0"/>
    <s v="GMM"/>
    <n v="103277"/>
    <n v="6301424"/>
    <x v="6"/>
    <x v="12"/>
    <s v="BOLOGNESE"/>
    <n v="3000"/>
    <n v="85"/>
    <n v="255000"/>
    <m/>
  </r>
  <r>
    <x v="4"/>
    <s v="JUN"/>
    <x v="15"/>
    <s v="GRSM 4"/>
    <x v="0"/>
    <s v="GMM"/>
    <n v="103277"/>
    <n v="6301424"/>
    <x v="6"/>
    <x v="12"/>
    <s v="CARBONARA"/>
    <n v="3000"/>
    <n v="112"/>
    <n v="336000"/>
    <m/>
  </r>
  <r>
    <x v="4"/>
    <s v="JUN"/>
    <x v="15"/>
    <s v="GRSM 4"/>
    <x v="0"/>
    <s v="GMM"/>
    <n v="103277"/>
    <n v="6301424"/>
    <x v="6"/>
    <x v="12"/>
    <s v="AGLIO OLIO"/>
    <n v="3000"/>
    <n v="38"/>
    <n v="114000"/>
    <m/>
  </r>
  <r>
    <x v="4"/>
    <s v="JUN"/>
    <x v="15"/>
    <s v="GRSM 4"/>
    <x v="0"/>
    <s v="GMM"/>
    <n v="103277"/>
    <n v="6301424"/>
    <x v="6"/>
    <x v="12"/>
    <s v="GORENG"/>
    <n v="3000"/>
    <n v="122"/>
    <n v="366000"/>
    <n v="120"/>
  </r>
  <r>
    <x v="4"/>
    <s v="JUN"/>
    <x v="15"/>
    <s v="GRSM 4"/>
    <x v="0"/>
    <s v="NKA"/>
    <n v="490034"/>
    <n v="209554"/>
    <x v="8"/>
    <x v="19"/>
    <s v="BOLOGNESE"/>
    <n v="3275"/>
    <n v="30"/>
    <n v="98250"/>
    <m/>
  </r>
  <r>
    <x v="4"/>
    <s v="JUN"/>
    <x v="15"/>
    <s v="GRSM 4"/>
    <x v="0"/>
    <s v="NKA"/>
    <n v="490034"/>
    <n v="209554"/>
    <x v="8"/>
    <x v="19"/>
    <s v="CARBONARA"/>
    <n v="3275"/>
    <n v="60"/>
    <n v="196500"/>
    <m/>
  </r>
  <r>
    <x v="4"/>
    <s v="JUN"/>
    <x v="15"/>
    <s v="GRSM 4"/>
    <x v="0"/>
    <s v="NKA"/>
    <n v="490034"/>
    <n v="209554"/>
    <x v="8"/>
    <x v="19"/>
    <s v="AGLIO OLIO"/>
    <n v="3275"/>
    <n v="20"/>
    <n v="65500"/>
    <m/>
  </r>
  <r>
    <x v="4"/>
    <s v="JUN"/>
    <x v="15"/>
    <s v="GRSM 4"/>
    <x v="0"/>
    <s v="NKA"/>
    <n v="490034"/>
    <n v="209554"/>
    <x v="8"/>
    <x v="19"/>
    <s v="GORENG"/>
    <n v="3275"/>
    <n v="126"/>
    <n v="412650"/>
    <n v="160"/>
  </r>
  <r>
    <x v="4"/>
    <s v="JUN"/>
    <x v="15"/>
    <s v="GRSM 4"/>
    <x v="0"/>
    <s v="NKA"/>
    <n v="490034"/>
    <n v="209554"/>
    <x v="8"/>
    <x v="18"/>
    <s v="BOLOGNESE"/>
    <n v="3275"/>
    <n v="30"/>
    <n v="98250"/>
    <m/>
  </r>
  <r>
    <x v="4"/>
    <s v="JUN"/>
    <x v="15"/>
    <s v="GRSM 4"/>
    <x v="0"/>
    <s v="NKA"/>
    <n v="490034"/>
    <n v="209554"/>
    <x v="8"/>
    <x v="18"/>
    <s v="CARBONARA"/>
    <n v="3275"/>
    <n v="60"/>
    <n v="196500"/>
    <m/>
  </r>
  <r>
    <x v="4"/>
    <s v="JUN"/>
    <x v="15"/>
    <s v="GRSM 4"/>
    <x v="0"/>
    <s v="NKA"/>
    <n v="490034"/>
    <n v="209554"/>
    <x v="8"/>
    <x v="18"/>
    <s v="AGLIO OLIO"/>
    <n v="3275"/>
    <n v="20"/>
    <n v="65500"/>
    <m/>
  </r>
  <r>
    <x v="4"/>
    <s v="JUN"/>
    <x v="15"/>
    <s v="GRSM 4"/>
    <x v="0"/>
    <s v="NKA"/>
    <n v="490034"/>
    <n v="209554"/>
    <x v="8"/>
    <x v="18"/>
    <s v="GORENG"/>
    <n v="3275"/>
    <n v="126"/>
    <n v="412650"/>
    <n v="160"/>
  </r>
  <r>
    <x v="4"/>
    <s v="JUN"/>
    <x v="15"/>
    <s v="GRSM 4"/>
    <x v="0"/>
    <s v="GMM"/>
    <n v="103257"/>
    <n v="9162509"/>
    <x v="4"/>
    <x v="7"/>
    <s v="BOLOGNESE"/>
    <n v="3200"/>
    <n v="64"/>
    <n v="204800"/>
    <m/>
  </r>
  <r>
    <x v="4"/>
    <s v="JUN"/>
    <x v="15"/>
    <s v="GRSM 4"/>
    <x v="0"/>
    <s v="GMM"/>
    <n v="103257"/>
    <n v="9162509"/>
    <x v="4"/>
    <x v="7"/>
    <s v="CARBONARA"/>
    <n v="3200"/>
    <n v="72"/>
    <n v="230400"/>
    <m/>
  </r>
  <r>
    <x v="4"/>
    <s v="JUN"/>
    <x v="15"/>
    <s v="GRSM 4"/>
    <x v="0"/>
    <s v="GMM"/>
    <n v="103257"/>
    <n v="9162509"/>
    <x v="4"/>
    <x v="7"/>
    <s v="AGLIO OLIO"/>
    <n v="3200"/>
    <n v="60"/>
    <n v="192000"/>
    <m/>
  </r>
  <r>
    <x v="4"/>
    <s v="JUN"/>
    <x v="15"/>
    <s v="GRSM 4"/>
    <x v="0"/>
    <s v="GMM"/>
    <n v="103257"/>
    <n v="9162509"/>
    <x v="4"/>
    <x v="7"/>
    <s v="GORENG"/>
    <n v="3200"/>
    <n v="98"/>
    <n v="313600"/>
    <n v="160"/>
  </r>
  <r>
    <x v="4"/>
    <s v="JUN"/>
    <x v="16"/>
    <s v="GRSM 4"/>
    <x v="0"/>
    <s v="GMM"/>
    <n v="103257"/>
    <n v="9162509"/>
    <x v="4"/>
    <x v="7"/>
    <s v="BOLOGNESE"/>
    <n v="3200"/>
    <n v="55"/>
    <n v="176000"/>
    <m/>
  </r>
  <r>
    <x v="4"/>
    <s v="JUN"/>
    <x v="16"/>
    <s v="GRSM 4"/>
    <x v="0"/>
    <s v="GMM"/>
    <n v="103257"/>
    <n v="9162509"/>
    <x v="4"/>
    <x v="7"/>
    <s v="CARBONARA"/>
    <n v="3200"/>
    <n v="62"/>
    <n v="198400"/>
    <m/>
  </r>
  <r>
    <x v="4"/>
    <s v="JUN"/>
    <x v="16"/>
    <s v="GRSM 4"/>
    <x v="0"/>
    <s v="GMM"/>
    <n v="103257"/>
    <n v="9162509"/>
    <x v="4"/>
    <x v="7"/>
    <s v="AGLIO OLIO"/>
    <n v="3200"/>
    <n v="53"/>
    <n v="169600"/>
    <m/>
  </r>
  <r>
    <x v="4"/>
    <s v="JUN"/>
    <x v="16"/>
    <s v="GRSM 4"/>
    <x v="0"/>
    <s v="GMM"/>
    <n v="103257"/>
    <n v="9162509"/>
    <x v="4"/>
    <x v="7"/>
    <s v="GORENG"/>
    <n v="3200"/>
    <n v="91"/>
    <n v="291200"/>
    <n v="160"/>
  </r>
  <r>
    <x v="4"/>
    <s v="JUN"/>
    <x v="15"/>
    <s v="GRSM 4"/>
    <x v="0"/>
    <s v="GMM"/>
    <n v="103257"/>
    <n v="9162509"/>
    <x v="4"/>
    <x v="8"/>
    <s v="GORENG"/>
    <n v="3200"/>
    <n v="60"/>
    <n v="192000"/>
    <m/>
  </r>
  <r>
    <x v="4"/>
    <s v="JUN"/>
    <x v="15"/>
    <s v="GRSM 4"/>
    <x v="0"/>
    <s v="GMM"/>
    <n v="103257"/>
    <n v="9162509"/>
    <x v="4"/>
    <x v="8"/>
    <s v="CARBONARA"/>
    <n v="3200"/>
    <n v="69"/>
    <n v="220800"/>
    <m/>
  </r>
  <r>
    <x v="4"/>
    <s v="JUN"/>
    <x v="15"/>
    <s v="GRSM 4"/>
    <x v="0"/>
    <s v="GMM"/>
    <n v="103257"/>
    <n v="9162509"/>
    <x v="4"/>
    <x v="8"/>
    <s v="AGLIO OLIO"/>
    <n v="3200"/>
    <n v="58"/>
    <n v="185600"/>
    <m/>
  </r>
  <r>
    <x v="4"/>
    <s v="JUN"/>
    <x v="15"/>
    <s v="GRSM 4"/>
    <x v="0"/>
    <s v="GMM"/>
    <n v="103257"/>
    <n v="9162509"/>
    <x v="4"/>
    <x v="8"/>
    <s v="GORENG"/>
    <n v="3200"/>
    <n v="95"/>
    <n v="304000"/>
    <n v="160"/>
  </r>
  <r>
    <x v="4"/>
    <s v="JUN"/>
    <x v="15"/>
    <s v="GRSM 4"/>
    <x v="0"/>
    <s v="GMM"/>
    <n v="189901"/>
    <n v="1602020"/>
    <x v="2"/>
    <x v="5"/>
    <s v="BOLOGNESE"/>
    <n v="2200"/>
    <n v="38"/>
    <n v="83600"/>
    <m/>
  </r>
  <r>
    <x v="4"/>
    <s v="JUN"/>
    <x v="15"/>
    <s v="GRSM 4"/>
    <x v="0"/>
    <s v="GMM"/>
    <n v="189901"/>
    <n v="1602020"/>
    <x v="2"/>
    <x v="5"/>
    <s v="CARBONARA"/>
    <n v="2200"/>
    <n v="49"/>
    <n v="107800"/>
    <m/>
  </r>
  <r>
    <x v="4"/>
    <s v="JUN"/>
    <x v="15"/>
    <s v="GRSM 4"/>
    <x v="0"/>
    <s v="GMM"/>
    <n v="189901"/>
    <n v="1602020"/>
    <x v="2"/>
    <x v="5"/>
    <s v="AGLIO OLIO"/>
    <n v="2200"/>
    <n v="13"/>
    <n v="28600"/>
    <m/>
  </r>
  <r>
    <x v="4"/>
    <s v="JUN"/>
    <x v="15"/>
    <s v="GRSM 4"/>
    <x v="0"/>
    <s v="GMM"/>
    <n v="189901"/>
    <n v="1602020"/>
    <x v="2"/>
    <x v="5"/>
    <s v="GORENG"/>
    <n v="2200"/>
    <n v="151"/>
    <n v="332200"/>
    <n v="120"/>
  </r>
  <r>
    <x v="4"/>
    <s v="JUN"/>
    <x v="15"/>
    <s v="GRSM 4"/>
    <x v="0"/>
    <s v="GMM"/>
    <n v="189901"/>
    <n v="1602020"/>
    <x v="2"/>
    <x v="4"/>
    <s v="BOLOGNESE"/>
    <n v="2200"/>
    <n v="40"/>
    <n v="88000"/>
    <m/>
  </r>
  <r>
    <x v="4"/>
    <s v="JUN"/>
    <x v="15"/>
    <s v="GRSM 4"/>
    <x v="0"/>
    <s v="GMM"/>
    <n v="189901"/>
    <n v="1602020"/>
    <x v="2"/>
    <x v="4"/>
    <s v="CARBONARA"/>
    <n v="2200"/>
    <n v="51"/>
    <n v="112200"/>
    <m/>
  </r>
  <r>
    <x v="4"/>
    <s v="JUN"/>
    <x v="15"/>
    <s v="GRSM 4"/>
    <x v="0"/>
    <s v="GMM"/>
    <n v="189901"/>
    <n v="1602020"/>
    <x v="2"/>
    <x v="4"/>
    <s v="AGLIO OLIO"/>
    <n v="2200"/>
    <n v="10"/>
    <n v="22000"/>
    <m/>
  </r>
  <r>
    <x v="4"/>
    <s v="JUN"/>
    <x v="15"/>
    <s v="GRSM 4"/>
    <x v="0"/>
    <s v="GMM"/>
    <n v="189901"/>
    <n v="1602020"/>
    <x v="2"/>
    <x v="4"/>
    <s v="GORENG"/>
    <n v="2200"/>
    <n v="148"/>
    <n v="325600"/>
    <n v="120"/>
  </r>
  <r>
    <x v="4"/>
    <s v="JUN"/>
    <x v="15"/>
    <s v="GRSM 4"/>
    <x v="0"/>
    <s v="GMM"/>
    <n v="103258"/>
    <n v="9210369"/>
    <x v="9"/>
    <x v="22"/>
    <s v="BOLOGNESE"/>
    <n v="3500"/>
    <n v="35"/>
    <n v="122500"/>
    <m/>
  </r>
  <r>
    <x v="4"/>
    <s v="JUN"/>
    <x v="15"/>
    <s v="GRSM 4"/>
    <x v="0"/>
    <s v="GMM"/>
    <n v="103258"/>
    <n v="9210369"/>
    <x v="9"/>
    <x v="22"/>
    <s v="CARBONARA"/>
    <n v="3500"/>
    <n v="45"/>
    <n v="157500"/>
    <m/>
  </r>
  <r>
    <x v="4"/>
    <s v="JUN"/>
    <x v="15"/>
    <s v="GRSM 4"/>
    <x v="0"/>
    <s v="GMM"/>
    <n v="103258"/>
    <n v="9210369"/>
    <x v="9"/>
    <x v="22"/>
    <s v="AGLIO OLIO"/>
    <n v="3500"/>
    <n v="30"/>
    <n v="105000"/>
    <m/>
  </r>
  <r>
    <x v="4"/>
    <s v="JUN"/>
    <x v="15"/>
    <s v="GRSM 4"/>
    <x v="0"/>
    <s v="GMM"/>
    <n v="103258"/>
    <n v="9210369"/>
    <x v="9"/>
    <x v="22"/>
    <s v="GORENG"/>
    <n v="3500"/>
    <n v="25"/>
    <n v="87500"/>
    <m/>
  </r>
  <r>
    <x v="4"/>
    <s v="JUN"/>
    <x v="14"/>
    <s v="GRSM 4"/>
    <x v="0"/>
    <s v="GMM"/>
    <n v="103258"/>
    <n v="9210369"/>
    <x v="9"/>
    <x v="23"/>
    <s v="BOLOGNESE"/>
    <n v="3500"/>
    <n v="33"/>
    <n v="115500"/>
    <m/>
  </r>
  <r>
    <x v="4"/>
    <s v="JUN"/>
    <x v="14"/>
    <s v="GRSM 4"/>
    <x v="0"/>
    <s v="GMM"/>
    <n v="103258"/>
    <n v="9210369"/>
    <x v="9"/>
    <x v="23"/>
    <s v="CARBONARA"/>
    <n v="3500"/>
    <n v="30"/>
    <n v="105000"/>
    <m/>
  </r>
  <r>
    <x v="4"/>
    <s v="JUN"/>
    <x v="14"/>
    <s v="GRSM 4"/>
    <x v="0"/>
    <s v="GMM"/>
    <n v="103258"/>
    <n v="9210369"/>
    <x v="9"/>
    <x v="23"/>
    <s v="AGLIO OLIO"/>
    <n v="3500"/>
    <n v="15"/>
    <n v="52500"/>
    <m/>
  </r>
  <r>
    <x v="4"/>
    <s v="JUN"/>
    <x v="14"/>
    <s v="GRSM 4"/>
    <x v="0"/>
    <s v="GMM"/>
    <n v="103258"/>
    <n v="9210369"/>
    <x v="9"/>
    <x v="23"/>
    <s v="GORENG"/>
    <n v="3500"/>
    <n v="45"/>
    <n v="157500"/>
    <n v="160"/>
  </r>
  <r>
    <x v="4"/>
    <s v="JUN"/>
    <x v="15"/>
    <s v="GRSM 4"/>
    <x v="0"/>
    <s v="GMM"/>
    <n v="103258"/>
    <n v="9210369"/>
    <x v="9"/>
    <x v="23"/>
    <s v="BOLOGNESE"/>
    <n v="3500"/>
    <n v="40"/>
    <n v="140000"/>
    <m/>
  </r>
  <r>
    <x v="4"/>
    <s v="JUN"/>
    <x v="15"/>
    <s v="GRSM 4"/>
    <x v="0"/>
    <s v="GMM"/>
    <n v="103258"/>
    <n v="9210369"/>
    <x v="9"/>
    <x v="23"/>
    <s v="CARBONARA"/>
    <n v="3500"/>
    <n v="50"/>
    <n v="175000"/>
    <m/>
  </r>
  <r>
    <x v="4"/>
    <s v="JUN"/>
    <x v="15"/>
    <s v="GRSM 4"/>
    <x v="0"/>
    <s v="GMM"/>
    <n v="103258"/>
    <n v="9210369"/>
    <x v="9"/>
    <x v="23"/>
    <s v="AGLIO OLIO"/>
    <n v="3500"/>
    <n v="30"/>
    <n v="105000"/>
    <m/>
  </r>
  <r>
    <x v="4"/>
    <s v="JUN"/>
    <x v="15"/>
    <s v="GRSM 4"/>
    <x v="0"/>
    <s v="GMM"/>
    <n v="103258"/>
    <n v="9210369"/>
    <x v="9"/>
    <x v="23"/>
    <s v="GORENG"/>
    <n v="3500"/>
    <n v="25"/>
    <n v="87500"/>
    <n v="160"/>
  </r>
  <r>
    <x v="4"/>
    <s v="JUN"/>
    <x v="15"/>
    <s v="GRSM 4"/>
    <x v="0"/>
    <s v="GMM"/>
    <n v="103259"/>
    <n v="9013525"/>
    <x v="5"/>
    <x v="14"/>
    <s v="BOLOGNESE"/>
    <n v="2000"/>
    <n v="36"/>
    <n v="72000"/>
    <m/>
  </r>
  <r>
    <x v="4"/>
    <s v="JUN"/>
    <x v="15"/>
    <s v="GRSM 4"/>
    <x v="0"/>
    <s v="GMM"/>
    <n v="103259"/>
    <n v="9013525"/>
    <x v="5"/>
    <x v="14"/>
    <s v="CARBONARA"/>
    <n v="2000"/>
    <n v="180"/>
    <n v="360000"/>
    <m/>
  </r>
  <r>
    <x v="4"/>
    <s v="JUN"/>
    <x v="15"/>
    <s v="GRSM 4"/>
    <x v="0"/>
    <s v="GMM"/>
    <n v="103259"/>
    <n v="9013525"/>
    <x v="5"/>
    <x v="14"/>
    <s v="AGLIO OLIO"/>
    <n v="2000"/>
    <n v="18"/>
    <n v="36000"/>
    <m/>
  </r>
  <r>
    <x v="4"/>
    <s v="JUN"/>
    <x v="15"/>
    <s v="GRSM 4"/>
    <x v="0"/>
    <s v="GMM"/>
    <n v="103259"/>
    <n v="9013525"/>
    <x v="5"/>
    <x v="14"/>
    <s v="GORENG"/>
    <n v="2000"/>
    <n v="300"/>
    <n v="600000"/>
    <n v="160"/>
  </r>
  <r>
    <x v="4"/>
    <s v="JUN"/>
    <x v="16"/>
    <s v="GRSM 4"/>
    <x v="0"/>
    <s v="GMM"/>
    <n v="103259"/>
    <n v="9029389"/>
    <x v="0"/>
    <x v="1"/>
    <s v="BOLOGNESE"/>
    <n v="2000"/>
    <n v="87"/>
    <n v="174000"/>
    <m/>
  </r>
  <r>
    <x v="4"/>
    <s v="JUN"/>
    <x v="16"/>
    <s v="GRSM 4"/>
    <x v="0"/>
    <s v="GMM"/>
    <n v="103259"/>
    <n v="9029389"/>
    <x v="0"/>
    <x v="1"/>
    <s v="CARBONARA"/>
    <n v="2000"/>
    <n v="69"/>
    <n v="138000"/>
    <m/>
  </r>
  <r>
    <x v="4"/>
    <s v="JUN"/>
    <x v="16"/>
    <s v="GRSM 4"/>
    <x v="0"/>
    <s v="GMM"/>
    <n v="103259"/>
    <n v="9029389"/>
    <x v="0"/>
    <x v="1"/>
    <s v="AGLIO OLIO"/>
    <n v="2000"/>
    <n v="57"/>
    <n v="114000"/>
    <m/>
  </r>
  <r>
    <x v="4"/>
    <s v="JUN"/>
    <x v="16"/>
    <s v="GRSM 4"/>
    <x v="0"/>
    <s v="GMM"/>
    <n v="103259"/>
    <n v="9029389"/>
    <x v="0"/>
    <x v="1"/>
    <s v="GORENG"/>
    <n v="2000"/>
    <n v="111"/>
    <n v="222000"/>
    <n v="160"/>
  </r>
  <r>
    <x v="4"/>
    <s v="JUN"/>
    <x v="16"/>
    <s v="GRSM 4"/>
    <x v="0"/>
    <s v="GMM"/>
    <n v="103259"/>
    <n v="9029389"/>
    <x v="0"/>
    <x v="15"/>
    <s v="BOLOGNESE"/>
    <n v="2000"/>
    <n v="57"/>
    <n v="114000"/>
    <m/>
  </r>
  <r>
    <x v="4"/>
    <s v="JUN"/>
    <x v="16"/>
    <s v="GRSM 4"/>
    <x v="0"/>
    <s v="GMM"/>
    <n v="103259"/>
    <n v="9029389"/>
    <x v="0"/>
    <x v="15"/>
    <s v="CARBONARA"/>
    <n v="2000"/>
    <n v="78"/>
    <n v="156000"/>
    <m/>
  </r>
  <r>
    <x v="4"/>
    <s v="JUN"/>
    <x v="16"/>
    <s v="GRSM 4"/>
    <x v="0"/>
    <s v="GMM"/>
    <n v="103259"/>
    <n v="9029389"/>
    <x v="0"/>
    <x v="15"/>
    <s v="AGLIO OLIO"/>
    <n v="2000"/>
    <n v="60"/>
    <n v="120000"/>
    <m/>
  </r>
  <r>
    <x v="4"/>
    <s v="JUN"/>
    <x v="16"/>
    <s v="GRSM 4"/>
    <x v="0"/>
    <s v="GMM"/>
    <n v="103259"/>
    <n v="9029389"/>
    <x v="0"/>
    <x v="15"/>
    <s v="GORENG"/>
    <n v="2000"/>
    <n v="114"/>
    <n v="228000"/>
    <n v="160"/>
  </r>
  <r>
    <x v="4"/>
    <s v="JUN"/>
    <x v="16"/>
    <s v="GRSM 4"/>
    <x v="0"/>
    <s v="GMM"/>
    <n v="103259"/>
    <n v="9013525"/>
    <x v="5"/>
    <x v="9"/>
    <s v="BOLOGNESE"/>
    <n v="2000"/>
    <n v="24"/>
    <n v="48000"/>
    <m/>
  </r>
  <r>
    <x v="4"/>
    <s v="JUN"/>
    <x v="16"/>
    <s v="GRSM 4"/>
    <x v="0"/>
    <s v="GMM"/>
    <n v="103259"/>
    <n v="9013525"/>
    <x v="5"/>
    <x v="9"/>
    <s v="CARBONARA"/>
    <n v="2000"/>
    <n v="210"/>
    <n v="420000"/>
    <m/>
  </r>
  <r>
    <x v="4"/>
    <s v="JUN"/>
    <x v="16"/>
    <s v="GRSM 4"/>
    <x v="0"/>
    <s v="GMM"/>
    <n v="103259"/>
    <n v="9013525"/>
    <x v="5"/>
    <x v="9"/>
    <s v="AGLIO OLIO"/>
    <n v="2000"/>
    <n v="12"/>
    <n v="24000"/>
    <m/>
  </r>
  <r>
    <x v="4"/>
    <s v="JUN"/>
    <x v="16"/>
    <s v="GRSM 4"/>
    <x v="0"/>
    <s v="GMM"/>
    <n v="103259"/>
    <n v="9013525"/>
    <x v="5"/>
    <x v="9"/>
    <s v="GORENG"/>
    <n v="2000"/>
    <n v="300"/>
    <n v="600000"/>
    <n v="160"/>
  </r>
  <r>
    <x v="4"/>
    <s v="JUN"/>
    <x v="16"/>
    <s v="GRSM 4"/>
    <x v="0"/>
    <s v="GMM"/>
    <n v="103259"/>
    <n v="9029389"/>
    <x v="7"/>
    <x v="17"/>
    <s v="BOLOGNESE"/>
    <n v="3000"/>
    <n v="62"/>
    <n v="186000"/>
    <m/>
  </r>
  <r>
    <x v="4"/>
    <s v="JUN"/>
    <x v="16"/>
    <s v="GRSM 4"/>
    <x v="0"/>
    <s v="GMM"/>
    <n v="103259"/>
    <n v="9029389"/>
    <x v="7"/>
    <x v="17"/>
    <s v="CARBONARA"/>
    <n v="3000"/>
    <n v="75"/>
    <n v="225000"/>
    <m/>
  </r>
  <r>
    <x v="4"/>
    <s v="JUN"/>
    <x v="16"/>
    <s v="GRSM 4"/>
    <x v="0"/>
    <s v="GMM"/>
    <n v="103259"/>
    <n v="9029389"/>
    <x v="7"/>
    <x v="17"/>
    <s v="AGLIO OLIO"/>
    <n v="3000"/>
    <n v="67"/>
    <n v="201000"/>
    <m/>
  </r>
  <r>
    <x v="4"/>
    <s v="JUN"/>
    <x v="16"/>
    <s v="GRSM 4"/>
    <x v="0"/>
    <s v="GMM"/>
    <n v="103259"/>
    <n v="9029389"/>
    <x v="7"/>
    <x v="17"/>
    <s v="GORENG"/>
    <n v="3000"/>
    <n v="197"/>
    <n v="591000"/>
    <n v="160"/>
  </r>
  <r>
    <x v="4"/>
    <s v="JUN"/>
    <x v="16"/>
    <s v="GRSM 4"/>
    <x v="0"/>
    <s v="GMM"/>
    <n v="103259"/>
    <n v="9029389"/>
    <x v="7"/>
    <x v="21"/>
    <s v="BOLOGNESE"/>
    <n v="3000"/>
    <n v="54"/>
    <n v="162000"/>
    <m/>
  </r>
  <r>
    <x v="4"/>
    <s v="JUN"/>
    <x v="16"/>
    <s v="GRSM 4"/>
    <x v="0"/>
    <s v="GMM"/>
    <n v="103259"/>
    <n v="9029389"/>
    <x v="7"/>
    <x v="21"/>
    <s v="CARBONARA"/>
    <n v="3000"/>
    <n v="77"/>
    <n v="231000"/>
    <m/>
  </r>
  <r>
    <x v="4"/>
    <s v="JUN"/>
    <x v="16"/>
    <s v="GRSM 4"/>
    <x v="0"/>
    <s v="GMM"/>
    <n v="103259"/>
    <n v="9029389"/>
    <x v="7"/>
    <x v="21"/>
    <s v="AGLIO OLIO"/>
    <n v="3000"/>
    <n v="52"/>
    <n v="156000"/>
    <m/>
  </r>
  <r>
    <x v="4"/>
    <s v="JUN"/>
    <x v="16"/>
    <s v="GRSM 4"/>
    <x v="0"/>
    <s v="GMM"/>
    <n v="103259"/>
    <n v="9029389"/>
    <x v="7"/>
    <x v="21"/>
    <s v="GORENG"/>
    <n v="3000"/>
    <n v="190"/>
    <n v="570000"/>
    <n v="160"/>
  </r>
  <r>
    <x v="4"/>
    <s v="JUN"/>
    <x v="16"/>
    <s v="GRSM 4"/>
    <x v="0"/>
    <s v="GMM"/>
    <n v="103277"/>
    <n v="6300538"/>
    <x v="1"/>
    <x v="2"/>
    <s v="BOLOGNESE"/>
    <n v="2975"/>
    <n v="82"/>
    <n v="243950"/>
    <m/>
  </r>
  <r>
    <x v="4"/>
    <s v="JUN"/>
    <x v="16"/>
    <s v="GRSM 4"/>
    <x v="0"/>
    <s v="GMM"/>
    <n v="103277"/>
    <n v="6300538"/>
    <x v="1"/>
    <x v="2"/>
    <s v="CARBONARA"/>
    <n v="2975"/>
    <n v="74"/>
    <n v="220150"/>
    <m/>
  </r>
  <r>
    <x v="4"/>
    <s v="JUN"/>
    <x v="16"/>
    <s v="GRSM 4"/>
    <x v="0"/>
    <s v="GMM"/>
    <n v="103277"/>
    <n v="6300538"/>
    <x v="1"/>
    <x v="2"/>
    <s v="AGLIO OLIO"/>
    <n v="2975"/>
    <n v="52"/>
    <n v="154700"/>
    <m/>
  </r>
  <r>
    <x v="4"/>
    <s v="JUN"/>
    <x v="16"/>
    <s v="GRSM 4"/>
    <x v="0"/>
    <s v="GMM"/>
    <n v="103277"/>
    <n v="6300538"/>
    <x v="1"/>
    <x v="2"/>
    <s v="GORENG"/>
    <n v="2975"/>
    <n v="227"/>
    <n v="675325"/>
    <n v="160"/>
  </r>
  <r>
    <x v="4"/>
    <s v="JUN"/>
    <x v="16"/>
    <s v="GRSM 4"/>
    <x v="0"/>
    <s v="GMM"/>
    <n v="103277"/>
    <n v="6300538"/>
    <x v="1"/>
    <x v="3"/>
    <s v="BOLOGNESE"/>
    <n v="2975"/>
    <n v="72"/>
    <n v="214200"/>
    <m/>
  </r>
  <r>
    <x v="4"/>
    <s v="JUN"/>
    <x v="16"/>
    <s v="GRSM 4"/>
    <x v="0"/>
    <s v="GMM"/>
    <n v="103277"/>
    <n v="6300538"/>
    <x v="1"/>
    <x v="3"/>
    <s v="CARBONARA"/>
    <n v="2975"/>
    <n v="72"/>
    <n v="214200"/>
    <m/>
  </r>
  <r>
    <x v="4"/>
    <s v="JUN"/>
    <x v="16"/>
    <s v="GRSM 4"/>
    <x v="0"/>
    <s v="GMM"/>
    <n v="103277"/>
    <n v="6300538"/>
    <x v="1"/>
    <x v="3"/>
    <s v="AGLIO OLIO"/>
    <n v="2975"/>
    <n v="53"/>
    <n v="157675"/>
    <m/>
  </r>
  <r>
    <x v="4"/>
    <s v="JUN"/>
    <x v="16"/>
    <s v="GRSM 4"/>
    <x v="0"/>
    <s v="GMM"/>
    <n v="103277"/>
    <n v="6300538"/>
    <x v="1"/>
    <x v="3"/>
    <s v="GORENG"/>
    <n v="2975"/>
    <n v="220"/>
    <n v="654500"/>
    <n v="160"/>
  </r>
  <r>
    <x v="4"/>
    <s v="JUN"/>
    <x v="16"/>
    <s v="GRSM 4"/>
    <x v="0"/>
    <s v="GMM"/>
    <n v="103277"/>
    <n v="6301424"/>
    <x v="6"/>
    <x v="13"/>
    <s v="BOLOGNESE"/>
    <n v="3000"/>
    <n v="78"/>
    <n v="234000"/>
    <m/>
  </r>
  <r>
    <x v="4"/>
    <s v="JUN"/>
    <x v="16"/>
    <s v="GRSM 4"/>
    <x v="0"/>
    <s v="GMM"/>
    <n v="103277"/>
    <n v="6301424"/>
    <x v="6"/>
    <x v="13"/>
    <s v="CARBONARA"/>
    <n v="3000"/>
    <n v="86"/>
    <n v="258000"/>
    <m/>
  </r>
  <r>
    <x v="4"/>
    <s v="JUN"/>
    <x v="16"/>
    <s v="GRSM 4"/>
    <x v="0"/>
    <s v="GMM"/>
    <n v="103277"/>
    <n v="6301424"/>
    <x v="6"/>
    <x v="13"/>
    <s v="AGLIO OLIO"/>
    <n v="3000"/>
    <n v="74"/>
    <n v="222000"/>
    <m/>
  </r>
  <r>
    <x v="4"/>
    <s v="JUN"/>
    <x v="16"/>
    <s v="GRSM 4"/>
    <x v="0"/>
    <s v="GMM"/>
    <n v="103277"/>
    <n v="6301424"/>
    <x v="6"/>
    <x v="13"/>
    <s v="GORENG"/>
    <n v="3000"/>
    <n v="158"/>
    <n v="474000"/>
    <n v="120"/>
  </r>
  <r>
    <x v="4"/>
    <s v="JUN"/>
    <x v="16"/>
    <s v="GRSM 4"/>
    <x v="0"/>
    <s v="GMM"/>
    <n v="103277"/>
    <n v="6301424"/>
    <x v="6"/>
    <x v="12"/>
    <s v="BOLOGNESE"/>
    <n v="3000"/>
    <n v="80"/>
    <n v="240000"/>
    <m/>
  </r>
  <r>
    <x v="4"/>
    <s v="JUN"/>
    <x v="16"/>
    <s v="GRSM 4"/>
    <x v="0"/>
    <s v="GMM"/>
    <n v="103277"/>
    <n v="6301424"/>
    <x v="6"/>
    <x v="12"/>
    <s v="CARBONARA"/>
    <n v="3000"/>
    <n v="84"/>
    <n v="252000"/>
    <m/>
  </r>
  <r>
    <x v="4"/>
    <s v="JUN"/>
    <x v="16"/>
    <s v="GRSM 4"/>
    <x v="0"/>
    <s v="GMM"/>
    <n v="103277"/>
    <n v="6301424"/>
    <x v="6"/>
    <x v="12"/>
    <s v="AGLIO OLIO"/>
    <n v="3000"/>
    <n v="80"/>
    <n v="240000"/>
    <m/>
  </r>
  <r>
    <x v="4"/>
    <s v="JUN"/>
    <x v="16"/>
    <s v="GRSM 4"/>
    <x v="0"/>
    <s v="GMM"/>
    <n v="103277"/>
    <n v="6301424"/>
    <x v="6"/>
    <x v="12"/>
    <s v="GORENG"/>
    <n v="3000"/>
    <n v="158"/>
    <n v="474000"/>
    <n v="120"/>
  </r>
  <r>
    <x v="4"/>
    <s v="JUN"/>
    <x v="16"/>
    <s v="GRSM 4"/>
    <x v="0"/>
    <s v="NKA"/>
    <n v="490034"/>
    <n v="209554"/>
    <x v="8"/>
    <x v="18"/>
    <s v="BOLOGNESE"/>
    <n v="3275"/>
    <n v="20"/>
    <n v="65500"/>
    <m/>
  </r>
  <r>
    <x v="4"/>
    <s v="JUN"/>
    <x v="16"/>
    <s v="GRSM 4"/>
    <x v="0"/>
    <s v="NKA"/>
    <n v="490034"/>
    <n v="209554"/>
    <x v="8"/>
    <x v="18"/>
    <s v="CARBONARA"/>
    <n v="3275"/>
    <n v="18"/>
    <n v="58950"/>
    <m/>
  </r>
  <r>
    <x v="4"/>
    <s v="JUN"/>
    <x v="16"/>
    <s v="GRSM 4"/>
    <x v="0"/>
    <s v="NKA"/>
    <n v="490034"/>
    <n v="209554"/>
    <x v="8"/>
    <x v="18"/>
    <s v="AGLIO OLIO"/>
    <n v="3275"/>
    <n v="10"/>
    <n v="32750"/>
    <m/>
  </r>
  <r>
    <x v="4"/>
    <s v="JUN"/>
    <x v="16"/>
    <s v="GRSM 4"/>
    <x v="0"/>
    <s v="NKA"/>
    <n v="490034"/>
    <n v="209554"/>
    <x v="8"/>
    <x v="18"/>
    <s v="GORENG"/>
    <n v="3275"/>
    <n v="203"/>
    <n v="664825"/>
    <n v="160"/>
  </r>
  <r>
    <x v="4"/>
    <s v="JUN"/>
    <x v="16"/>
    <s v="GRSM 4"/>
    <x v="0"/>
    <s v="NKA"/>
    <n v="490034"/>
    <n v="209554"/>
    <x v="8"/>
    <x v="19"/>
    <s v="BOLOGNESE"/>
    <n v="3275"/>
    <n v="20"/>
    <n v="65500"/>
    <m/>
  </r>
  <r>
    <x v="4"/>
    <s v="JUN"/>
    <x v="16"/>
    <s v="GRSM 4"/>
    <x v="0"/>
    <s v="NKA"/>
    <n v="490034"/>
    <n v="209554"/>
    <x v="8"/>
    <x v="19"/>
    <s v="CARBONARA"/>
    <n v="3275"/>
    <n v="18"/>
    <n v="58950"/>
    <m/>
  </r>
  <r>
    <x v="4"/>
    <s v="JUN"/>
    <x v="16"/>
    <s v="GRSM 4"/>
    <x v="0"/>
    <s v="NKA"/>
    <n v="490034"/>
    <n v="209554"/>
    <x v="8"/>
    <x v="19"/>
    <s v="AGLIO OLIO"/>
    <n v="3275"/>
    <n v="10"/>
    <n v="32750"/>
    <m/>
  </r>
  <r>
    <x v="4"/>
    <s v="JUN"/>
    <x v="16"/>
    <s v="GRSM 4"/>
    <x v="0"/>
    <s v="NKA"/>
    <n v="490034"/>
    <n v="209554"/>
    <x v="8"/>
    <x v="19"/>
    <s v="GORENG"/>
    <n v="3275"/>
    <n v="203"/>
    <n v="664825"/>
    <n v="160"/>
  </r>
  <r>
    <x v="4"/>
    <s v="JUN"/>
    <x v="16"/>
    <s v="GRSM 4"/>
    <x v="0"/>
    <s v="GMM"/>
    <n v="103257"/>
    <n v="9162509"/>
    <x v="4"/>
    <x v="8"/>
    <s v="BOLOGNESE"/>
    <n v="3200"/>
    <n v="52"/>
    <n v="166400"/>
    <m/>
  </r>
  <r>
    <x v="4"/>
    <s v="JUN"/>
    <x v="16"/>
    <s v="GRSM 4"/>
    <x v="0"/>
    <s v="GMM"/>
    <n v="103257"/>
    <n v="9162509"/>
    <x v="4"/>
    <x v="8"/>
    <s v="CARBONARA"/>
    <n v="3200"/>
    <n v="59"/>
    <n v="188800"/>
    <m/>
  </r>
  <r>
    <x v="4"/>
    <s v="JUN"/>
    <x v="16"/>
    <s v="GRSM 4"/>
    <x v="0"/>
    <s v="GMM"/>
    <n v="103257"/>
    <n v="9162509"/>
    <x v="4"/>
    <x v="8"/>
    <s v="AGLIO OLIO"/>
    <n v="3200"/>
    <n v="50"/>
    <n v="160000"/>
    <m/>
  </r>
  <r>
    <x v="4"/>
    <s v="JUN"/>
    <x v="16"/>
    <s v="GRSM 4"/>
    <x v="0"/>
    <s v="GMM"/>
    <n v="103257"/>
    <n v="9162509"/>
    <x v="4"/>
    <x v="8"/>
    <s v="GORENG"/>
    <n v="3200"/>
    <n v="88"/>
    <n v="281600"/>
    <n v="160"/>
  </r>
  <r>
    <x v="4"/>
    <s v="JUN"/>
    <x v="16"/>
    <s v="GRSM 4"/>
    <x v="0"/>
    <s v="GMM"/>
    <n v="189901"/>
    <n v="1602020"/>
    <x v="2"/>
    <x v="5"/>
    <s v="BOLOGNESE"/>
    <n v="2200"/>
    <n v="46"/>
    <n v="101200"/>
    <m/>
  </r>
  <r>
    <x v="4"/>
    <s v="JUN"/>
    <x v="16"/>
    <s v="GRSM 4"/>
    <x v="0"/>
    <s v="GMM"/>
    <n v="189901"/>
    <n v="1602020"/>
    <x v="2"/>
    <x v="5"/>
    <s v="CARBONARA"/>
    <n v="2200"/>
    <n v="30"/>
    <n v="66000"/>
    <m/>
  </r>
  <r>
    <x v="4"/>
    <s v="JUN"/>
    <x v="16"/>
    <s v="GRSM 4"/>
    <x v="0"/>
    <s v="GMM"/>
    <n v="189901"/>
    <n v="1602020"/>
    <x v="2"/>
    <x v="5"/>
    <s v="AGLIO OLIO"/>
    <n v="2200"/>
    <n v="6"/>
    <n v="13200"/>
    <m/>
  </r>
  <r>
    <x v="4"/>
    <s v="JUN"/>
    <x v="16"/>
    <s v="GRSM 4"/>
    <x v="0"/>
    <s v="GMM"/>
    <n v="189901"/>
    <n v="1602020"/>
    <x v="2"/>
    <x v="5"/>
    <s v="GORENG"/>
    <n v="2200"/>
    <n v="183"/>
    <n v="402600"/>
    <n v="120"/>
  </r>
  <r>
    <x v="4"/>
    <s v="JUN"/>
    <x v="16"/>
    <s v="GRSM 4"/>
    <x v="0"/>
    <s v="GMM"/>
    <n v="189901"/>
    <n v="1602020"/>
    <x v="2"/>
    <x v="4"/>
    <s v="BOLOGNESE"/>
    <n v="2200"/>
    <n v="40"/>
    <n v="88000"/>
    <m/>
  </r>
  <r>
    <x v="4"/>
    <s v="JUN"/>
    <x v="16"/>
    <s v="GRSM 4"/>
    <x v="0"/>
    <s v="GMM"/>
    <n v="189901"/>
    <n v="1602020"/>
    <x v="2"/>
    <x v="4"/>
    <s v="CARBONARA"/>
    <n v="2200"/>
    <n v="42"/>
    <n v="92400"/>
    <m/>
  </r>
  <r>
    <x v="4"/>
    <s v="JUN"/>
    <x v="16"/>
    <s v="GRSM 4"/>
    <x v="0"/>
    <s v="GMM"/>
    <n v="189901"/>
    <n v="1602020"/>
    <x v="2"/>
    <x v="4"/>
    <s v="AGLIO OLIO"/>
    <n v="2200"/>
    <n v="8"/>
    <n v="17600"/>
    <m/>
  </r>
  <r>
    <x v="4"/>
    <s v="JUN"/>
    <x v="16"/>
    <s v="GRSM 4"/>
    <x v="0"/>
    <s v="GMM"/>
    <n v="189901"/>
    <n v="1602020"/>
    <x v="2"/>
    <x v="4"/>
    <s v="GORENG"/>
    <n v="2200"/>
    <n v="179"/>
    <n v="393800"/>
    <n v="120"/>
  </r>
  <r>
    <x v="4"/>
    <s v="JUN"/>
    <x v="15"/>
    <s v="GRSM 4"/>
    <x v="0"/>
    <s v="GMM"/>
    <n v="103259"/>
    <n v="9013525"/>
    <x v="5"/>
    <x v="9"/>
    <s v="BOLOGNESE"/>
    <n v="2000"/>
    <n v="48"/>
    <n v="96000"/>
    <m/>
  </r>
  <r>
    <x v="4"/>
    <s v="JUN"/>
    <x v="15"/>
    <s v="GRSM 4"/>
    <x v="0"/>
    <s v="GMM"/>
    <n v="103259"/>
    <n v="9013525"/>
    <x v="5"/>
    <x v="9"/>
    <s v="CARBONARA"/>
    <n v="2000"/>
    <n v="210"/>
    <n v="420000"/>
    <m/>
  </r>
  <r>
    <x v="4"/>
    <s v="JUN"/>
    <x v="15"/>
    <s v="GRSM 4"/>
    <x v="0"/>
    <s v="GMM"/>
    <n v="103259"/>
    <n v="9013525"/>
    <x v="5"/>
    <x v="9"/>
    <s v="AGLIO OLIO"/>
    <n v="2000"/>
    <n v="18"/>
    <n v="36000"/>
    <m/>
  </r>
  <r>
    <x v="4"/>
    <s v="JUN"/>
    <x v="15"/>
    <s v="GRSM 4"/>
    <x v="0"/>
    <s v="GMM"/>
    <n v="103259"/>
    <n v="9013525"/>
    <x v="5"/>
    <x v="9"/>
    <s v="GORENG"/>
    <n v="2000"/>
    <n v="264"/>
    <n v="528000"/>
    <n v="160"/>
  </r>
  <r>
    <x v="4"/>
    <s v="JUN"/>
    <x v="16"/>
    <s v="GRSM 4"/>
    <x v="0"/>
    <s v="GMM"/>
    <n v="103259"/>
    <n v="9013525"/>
    <x v="5"/>
    <x v="14"/>
    <s v="BOLOGNESE"/>
    <n v="2000"/>
    <n v="24"/>
    <n v="48000"/>
    <m/>
  </r>
  <r>
    <x v="4"/>
    <s v="JUN"/>
    <x v="16"/>
    <s v="GRSM 4"/>
    <x v="0"/>
    <s v="GMM"/>
    <n v="103259"/>
    <n v="9013525"/>
    <x v="5"/>
    <x v="14"/>
    <s v="CARBONARA"/>
    <n v="2000"/>
    <n v="240"/>
    <n v="480000"/>
    <m/>
  </r>
  <r>
    <x v="4"/>
    <s v="JUN"/>
    <x v="16"/>
    <s v="GRSM 4"/>
    <x v="0"/>
    <s v="GMM"/>
    <n v="103259"/>
    <n v="9013525"/>
    <x v="5"/>
    <x v="14"/>
    <s v="AGLIO OLIO"/>
    <n v="2000"/>
    <n v="12"/>
    <n v="24000"/>
    <m/>
  </r>
  <r>
    <x v="4"/>
    <s v="JUN"/>
    <x v="16"/>
    <s v="GRSM 4"/>
    <x v="0"/>
    <s v="GMM"/>
    <n v="103259"/>
    <n v="9013525"/>
    <x v="5"/>
    <x v="14"/>
    <s v="GORENG"/>
    <n v="2000"/>
    <n v="340"/>
    <n v="680000"/>
    <n v="160"/>
  </r>
  <r>
    <x v="4"/>
    <s v="JUN"/>
    <x v="16"/>
    <s v="GRSM 4"/>
    <x v="0"/>
    <s v="GMM"/>
    <n v="103257"/>
    <n v="9162509"/>
    <x v="4"/>
    <x v="8"/>
    <s v="BOLOGNESE"/>
    <n v="3200"/>
    <n v="55"/>
    <n v="176000"/>
    <m/>
  </r>
  <r>
    <x v="4"/>
    <s v="JUN"/>
    <x v="16"/>
    <s v="GRSM 4"/>
    <x v="0"/>
    <s v="GMM"/>
    <n v="103257"/>
    <n v="9162509"/>
    <x v="4"/>
    <x v="8"/>
    <s v="CARBONARA"/>
    <n v="3200"/>
    <n v="62"/>
    <n v="198400"/>
    <m/>
  </r>
  <r>
    <x v="4"/>
    <s v="JUN"/>
    <x v="16"/>
    <s v="GRSM 4"/>
    <x v="0"/>
    <s v="GMM"/>
    <n v="103257"/>
    <n v="9162509"/>
    <x v="4"/>
    <x v="8"/>
    <s v="AGLIO OLIO"/>
    <n v="3200"/>
    <n v="53"/>
    <n v="169600"/>
    <m/>
  </r>
  <r>
    <x v="4"/>
    <s v="JUN"/>
    <x v="16"/>
    <s v="GRSM 4"/>
    <x v="0"/>
    <s v="GMM"/>
    <n v="103257"/>
    <n v="9162509"/>
    <x v="4"/>
    <x v="8"/>
    <s v="GORENG"/>
    <n v="3200"/>
    <n v="91"/>
    <n v="291200"/>
    <n v="160"/>
  </r>
  <r>
    <x v="4"/>
    <s v="JUN"/>
    <x v="14"/>
    <s v="GRSM 4"/>
    <x v="0"/>
    <s v="GMM"/>
    <n v="189901"/>
    <n v="1602020"/>
    <x v="2"/>
    <x v="4"/>
    <s v="BOLOGNESE"/>
    <n v="2200"/>
    <n v="34"/>
    <n v="74800"/>
    <m/>
  </r>
  <r>
    <x v="4"/>
    <s v="JUN"/>
    <x v="14"/>
    <s v="GRSM 4"/>
    <x v="0"/>
    <s v="GMM"/>
    <n v="189901"/>
    <n v="1602020"/>
    <x v="2"/>
    <x v="4"/>
    <s v="CARBONARA"/>
    <n v="2200"/>
    <n v="52"/>
    <n v="114400"/>
    <m/>
  </r>
  <r>
    <x v="4"/>
    <s v="JUN"/>
    <x v="14"/>
    <s v="GRSM 4"/>
    <x v="0"/>
    <s v="GMM"/>
    <n v="189901"/>
    <n v="1602020"/>
    <x v="2"/>
    <x v="4"/>
    <s v="AGLIO OLIO"/>
    <n v="2200"/>
    <n v="9"/>
    <n v="19800"/>
    <m/>
  </r>
  <r>
    <x v="4"/>
    <s v="JUN"/>
    <x v="14"/>
    <s v="GRSM 4"/>
    <x v="0"/>
    <s v="GMM"/>
    <n v="189901"/>
    <n v="1602020"/>
    <x v="2"/>
    <x v="4"/>
    <s v="GORENG"/>
    <n v="2200"/>
    <n v="127"/>
    <n v="279400"/>
    <n v="120"/>
  </r>
  <r>
    <x v="4"/>
    <s v="JUN"/>
    <x v="14"/>
    <s v="GRSM 4"/>
    <x v="0"/>
    <s v="GMM"/>
    <n v="103259"/>
    <n v="9029389"/>
    <x v="0"/>
    <x v="1"/>
    <s v="BOLOGNESE"/>
    <n v="2000"/>
    <n v="51"/>
    <n v="102000"/>
    <m/>
  </r>
  <r>
    <x v="4"/>
    <s v="JUN"/>
    <x v="14"/>
    <s v="GRSM 4"/>
    <x v="0"/>
    <s v="GMM"/>
    <n v="103259"/>
    <n v="9029389"/>
    <x v="0"/>
    <x v="1"/>
    <s v="CARBONARA"/>
    <n v="2000"/>
    <n v="57"/>
    <n v="114000"/>
    <m/>
  </r>
  <r>
    <x v="4"/>
    <s v="JUN"/>
    <x v="14"/>
    <s v="GRSM 4"/>
    <x v="0"/>
    <s v="GMM"/>
    <n v="103259"/>
    <n v="9029389"/>
    <x v="0"/>
    <x v="1"/>
    <s v="AGLIO OLIO"/>
    <n v="2000"/>
    <n v="27"/>
    <n v="54000"/>
    <m/>
  </r>
  <r>
    <x v="4"/>
    <s v="JUN"/>
    <x v="14"/>
    <s v="GRSM 4"/>
    <x v="0"/>
    <s v="GMM"/>
    <n v="103259"/>
    <n v="9029389"/>
    <x v="0"/>
    <x v="1"/>
    <s v="GORENG"/>
    <n v="2000"/>
    <n v="72"/>
    <n v="144000"/>
    <n v="160"/>
  </r>
  <r>
    <x v="4"/>
    <s v="JUN"/>
    <x v="16"/>
    <s v="GRSM 4"/>
    <x v="0"/>
    <s v="GMM"/>
    <n v="103258"/>
    <n v="9210369"/>
    <x v="9"/>
    <x v="22"/>
    <s v="BOLOGNESE"/>
    <n v="3500"/>
    <n v="35"/>
    <n v="122500"/>
    <m/>
  </r>
  <r>
    <x v="4"/>
    <s v="JUN"/>
    <x v="16"/>
    <s v="GRSM 4"/>
    <x v="0"/>
    <s v="GMM"/>
    <n v="103258"/>
    <n v="9210369"/>
    <x v="9"/>
    <x v="22"/>
    <s v="CARBONARA"/>
    <n v="3500"/>
    <n v="45"/>
    <n v="157500"/>
    <m/>
  </r>
  <r>
    <x v="4"/>
    <s v="JUN"/>
    <x v="16"/>
    <s v="GRSM 4"/>
    <x v="0"/>
    <s v="GMM"/>
    <n v="103258"/>
    <n v="9210369"/>
    <x v="9"/>
    <x v="22"/>
    <s v="AGLIO OLIO"/>
    <n v="3500"/>
    <n v="25"/>
    <n v="87500"/>
    <m/>
  </r>
  <r>
    <x v="4"/>
    <s v="JUN"/>
    <x v="16"/>
    <s v="GRSM 4"/>
    <x v="0"/>
    <s v="GMM"/>
    <n v="103258"/>
    <n v="9210369"/>
    <x v="9"/>
    <x v="22"/>
    <s v="GORENG"/>
    <n v="3500"/>
    <n v="15"/>
    <n v="52500"/>
    <n v="160"/>
  </r>
  <r>
    <x v="4"/>
    <s v="JUN"/>
    <x v="16"/>
    <s v="GRSM 4"/>
    <x v="0"/>
    <s v="GMM"/>
    <n v="103258"/>
    <n v="9210369"/>
    <x v="9"/>
    <x v="23"/>
    <s v="BOLOGNESE"/>
    <n v="3500"/>
    <n v="40"/>
    <n v="140000"/>
    <m/>
  </r>
  <r>
    <x v="4"/>
    <s v="JUN"/>
    <x v="16"/>
    <s v="GRSM 4"/>
    <x v="0"/>
    <s v="GMM"/>
    <n v="103258"/>
    <n v="9210369"/>
    <x v="9"/>
    <x v="23"/>
    <s v="CARBONARA"/>
    <n v="3500"/>
    <n v="45"/>
    <n v="157500"/>
    <m/>
  </r>
  <r>
    <x v="4"/>
    <s v="JUN"/>
    <x v="16"/>
    <s v="GRSM 4"/>
    <x v="0"/>
    <s v="GMM"/>
    <n v="103258"/>
    <n v="9210369"/>
    <x v="9"/>
    <x v="23"/>
    <s v="AGLIO OLIO"/>
    <n v="3500"/>
    <n v="25"/>
    <n v="87500"/>
    <m/>
  </r>
  <r>
    <x v="4"/>
    <s v="JUN"/>
    <x v="16"/>
    <s v="GRSM 4"/>
    <x v="0"/>
    <s v="GMM"/>
    <n v="103258"/>
    <n v="9210369"/>
    <x v="9"/>
    <x v="23"/>
    <s v="GORENG"/>
    <n v="3500"/>
    <n v="15"/>
    <n v="52500"/>
    <n v="160"/>
  </r>
  <r>
    <x v="5"/>
    <s v="JUL"/>
    <x v="17"/>
    <s v="GRSM 4"/>
    <x v="0"/>
    <s v="GMM"/>
    <n v="103257"/>
    <n v="9162509"/>
    <x v="4"/>
    <x v="7"/>
    <s v="BOLOGNESE"/>
    <n v="3100"/>
    <n v="47"/>
    <n v="145700"/>
    <m/>
  </r>
  <r>
    <x v="5"/>
    <s v="JUL"/>
    <x v="17"/>
    <s v="GRSM 4"/>
    <x v="0"/>
    <s v="GMM"/>
    <n v="103257"/>
    <n v="9162509"/>
    <x v="4"/>
    <x v="7"/>
    <s v="CARBONARA"/>
    <n v="3100"/>
    <n v="37"/>
    <n v="114700"/>
    <m/>
  </r>
  <r>
    <x v="5"/>
    <s v="JUL"/>
    <x v="17"/>
    <s v="GRSM 4"/>
    <x v="0"/>
    <s v="GMM"/>
    <n v="103257"/>
    <n v="9162509"/>
    <x v="4"/>
    <x v="7"/>
    <s v="AGLIO OLIO"/>
    <n v="3100"/>
    <n v="51"/>
    <n v="158100"/>
    <m/>
  </r>
  <r>
    <x v="5"/>
    <s v="JUL"/>
    <x v="17"/>
    <s v="GRSM 4"/>
    <x v="0"/>
    <s v="GMM"/>
    <n v="103257"/>
    <n v="9162509"/>
    <x v="4"/>
    <x v="7"/>
    <s v="GORENG"/>
    <n v="3100"/>
    <n v="53"/>
    <n v="164300"/>
    <n v="160"/>
  </r>
  <r>
    <x v="5"/>
    <s v="JUL"/>
    <x v="17"/>
    <s v="GRSM 4"/>
    <x v="0"/>
    <s v="GMM"/>
    <n v="103257"/>
    <n v="9162509"/>
    <x v="4"/>
    <x v="8"/>
    <s v="BOLOGNESE"/>
    <n v="3100"/>
    <n v="44"/>
    <n v="136400"/>
    <m/>
  </r>
  <r>
    <x v="5"/>
    <s v="JUL"/>
    <x v="17"/>
    <s v="GRSM 4"/>
    <x v="0"/>
    <s v="GMM"/>
    <n v="103257"/>
    <n v="9162509"/>
    <x v="4"/>
    <x v="8"/>
    <s v="CARBONARA"/>
    <n v="3100"/>
    <n v="34"/>
    <n v="105400"/>
    <m/>
  </r>
  <r>
    <x v="5"/>
    <s v="JUL"/>
    <x v="17"/>
    <s v="GRSM 4"/>
    <x v="0"/>
    <s v="GMM"/>
    <n v="103257"/>
    <n v="9162509"/>
    <x v="4"/>
    <x v="8"/>
    <s v="AGLIO OLIO"/>
    <n v="3100"/>
    <n v="52"/>
    <n v="161200"/>
    <m/>
  </r>
  <r>
    <x v="5"/>
    <s v="JUL"/>
    <x v="17"/>
    <s v="GRSM 4"/>
    <x v="0"/>
    <s v="GMM"/>
    <n v="103257"/>
    <n v="9162509"/>
    <x v="4"/>
    <x v="8"/>
    <s v="GORENG"/>
    <n v="3100"/>
    <n v="51"/>
    <n v="158100"/>
    <n v="160"/>
  </r>
  <r>
    <x v="5"/>
    <s v="JUL"/>
    <x v="17"/>
    <s v="GRSM 4"/>
    <x v="0"/>
    <s v="GMM"/>
    <n v="189901"/>
    <n v="1602057"/>
    <x v="10"/>
    <x v="24"/>
    <s v="BOLOGNESE"/>
    <n v="2150"/>
    <n v="126"/>
    <n v="270900"/>
    <m/>
  </r>
  <r>
    <x v="5"/>
    <s v="JUL"/>
    <x v="17"/>
    <s v="GRSM 4"/>
    <x v="0"/>
    <s v="GMM"/>
    <n v="189901"/>
    <n v="1602057"/>
    <x v="10"/>
    <x v="24"/>
    <s v="CARBONARA"/>
    <n v="2150"/>
    <n v="156"/>
    <n v="335400"/>
    <m/>
  </r>
  <r>
    <x v="5"/>
    <s v="JUL"/>
    <x v="17"/>
    <s v="GRSM 4"/>
    <x v="0"/>
    <s v="GMM"/>
    <n v="189901"/>
    <n v="1602057"/>
    <x v="10"/>
    <x v="24"/>
    <s v="AGLIO OLIO"/>
    <n v="2150"/>
    <n v="108"/>
    <n v="232200"/>
    <m/>
  </r>
  <r>
    <x v="5"/>
    <s v="JUL"/>
    <x v="17"/>
    <s v="GRSM 4"/>
    <x v="0"/>
    <s v="GMM"/>
    <n v="189901"/>
    <n v="1602057"/>
    <x v="10"/>
    <x v="24"/>
    <s v="GORENG"/>
    <n v="2150"/>
    <n v="183"/>
    <n v="393450"/>
    <n v="160"/>
  </r>
  <r>
    <x v="5"/>
    <s v="JUL"/>
    <x v="17"/>
    <s v="GRSM 4"/>
    <x v="0"/>
    <s v="GMM"/>
    <n v="189901"/>
    <n v="1602057"/>
    <x v="10"/>
    <x v="15"/>
    <s v="BOLOGNESE"/>
    <n v="3000"/>
    <n v="73"/>
    <n v="219000"/>
    <m/>
  </r>
  <r>
    <x v="5"/>
    <s v="JUL"/>
    <x v="17"/>
    <s v="GRSM 4"/>
    <x v="0"/>
    <s v="GMM"/>
    <n v="189901"/>
    <n v="1602057"/>
    <x v="10"/>
    <x v="15"/>
    <s v="CARBONARA"/>
    <n v="3000"/>
    <n v="90"/>
    <n v="270000"/>
    <m/>
  </r>
  <r>
    <x v="5"/>
    <s v="JUL"/>
    <x v="17"/>
    <s v="GRSM 4"/>
    <x v="0"/>
    <s v="GMM"/>
    <n v="189901"/>
    <n v="1602057"/>
    <x v="10"/>
    <x v="15"/>
    <s v="AGLIO OLIO"/>
    <n v="3000"/>
    <n v="55"/>
    <n v="165000"/>
    <m/>
  </r>
  <r>
    <x v="5"/>
    <s v="JUL"/>
    <x v="17"/>
    <s v="GRSM 4"/>
    <x v="0"/>
    <s v="GMM"/>
    <n v="189901"/>
    <n v="1602057"/>
    <x v="10"/>
    <x v="15"/>
    <s v="GORENG"/>
    <n v="3000"/>
    <n v="202"/>
    <n v="606000"/>
    <n v="160"/>
  </r>
  <r>
    <x v="5"/>
    <s v="JUL"/>
    <x v="17"/>
    <s v="GRSM 4"/>
    <x v="0"/>
    <s v="NKA"/>
    <n v="490034"/>
    <n v="209554"/>
    <x v="8"/>
    <x v="18"/>
    <s v="BOLOGNESE"/>
    <n v="3275"/>
    <n v="20"/>
    <n v="65500"/>
    <m/>
  </r>
  <r>
    <x v="5"/>
    <s v="JUL"/>
    <x v="17"/>
    <s v="GRSM 4"/>
    <x v="0"/>
    <s v="NKA"/>
    <n v="490034"/>
    <n v="209554"/>
    <x v="8"/>
    <x v="18"/>
    <s v="CARBONARA"/>
    <n v="3275"/>
    <n v="40"/>
    <n v="131000"/>
    <m/>
  </r>
  <r>
    <x v="5"/>
    <s v="JUL"/>
    <x v="17"/>
    <s v="GRSM 4"/>
    <x v="0"/>
    <s v="NKA"/>
    <n v="490034"/>
    <n v="209554"/>
    <x v="8"/>
    <x v="18"/>
    <s v="AGLIO OLIO"/>
    <n v="3275"/>
    <n v="10"/>
    <n v="32750"/>
    <m/>
  </r>
  <r>
    <x v="5"/>
    <s v="JUL"/>
    <x v="17"/>
    <s v="GRSM 4"/>
    <x v="0"/>
    <s v="NKA"/>
    <n v="490034"/>
    <n v="209554"/>
    <x v="8"/>
    <x v="18"/>
    <s v="GORENG"/>
    <n v="3275"/>
    <n v="60"/>
    <n v="196500"/>
    <n v="160"/>
  </r>
  <r>
    <x v="5"/>
    <s v="JUL"/>
    <x v="17"/>
    <s v="GRSM 4"/>
    <x v="0"/>
    <s v="NKA"/>
    <n v="490034"/>
    <n v="209554"/>
    <x v="8"/>
    <x v="19"/>
    <s v="BOLOGNESE"/>
    <n v="3275"/>
    <n v="20"/>
    <n v="65500"/>
    <m/>
  </r>
  <r>
    <x v="5"/>
    <s v="JUL"/>
    <x v="17"/>
    <s v="GRSM 4"/>
    <x v="0"/>
    <s v="NKA"/>
    <n v="490034"/>
    <n v="209554"/>
    <x v="8"/>
    <x v="19"/>
    <s v="CARBONARA"/>
    <n v="3275"/>
    <n v="40"/>
    <n v="131000"/>
    <m/>
  </r>
  <r>
    <x v="5"/>
    <s v="JUL"/>
    <x v="17"/>
    <s v="GRSM 4"/>
    <x v="0"/>
    <s v="NKA"/>
    <n v="490034"/>
    <n v="209554"/>
    <x v="8"/>
    <x v="19"/>
    <s v="AGLIO OLIO"/>
    <n v="3275"/>
    <n v="10"/>
    <n v="32750"/>
    <m/>
  </r>
  <r>
    <x v="5"/>
    <s v="JUL"/>
    <x v="17"/>
    <s v="GRSM 4"/>
    <x v="0"/>
    <s v="NKA"/>
    <n v="490034"/>
    <n v="209554"/>
    <x v="8"/>
    <x v="19"/>
    <s v="GORENG"/>
    <n v="3275"/>
    <n v="60"/>
    <n v="196500"/>
    <n v="160"/>
  </r>
  <r>
    <x v="5"/>
    <s v="JUL"/>
    <x v="17"/>
    <s v="GRSM 4"/>
    <x v="0"/>
    <s v="GMM"/>
    <n v="189901"/>
    <n v="1602057"/>
    <x v="10"/>
    <x v="15"/>
    <s v="BOLOGNESE"/>
    <n v="2150"/>
    <n v="141"/>
    <n v="303150"/>
    <m/>
  </r>
  <r>
    <x v="5"/>
    <s v="JUL"/>
    <x v="17"/>
    <s v="GRSM 4"/>
    <x v="0"/>
    <s v="GMM"/>
    <n v="189901"/>
    <n v="1602057"/>
    <x v="10"/>
    <x v="15"/>
    <s v="CARBONARA"/>
    <n v="2150"/>
    <n v="156"/>
    <n v="335400"/>
    <m/>
  </r>
  <r>
    <x v="5"/>
    <s v="JUL"/>
    <x v="17"/>
    <s v="GRSM 4"/>
    <x v="0"/>
    <s v="GMM"/>
    <n v="189901"/>
    <n v="1602057"/>
    <x v="10"/>
    <x v="15"/>
    <s v="AGLIO OLIO"/>
    <n v="2150"/>
    <n v="126"/>
    <n v="270900"/>
    <m/>
  </r>
  <r>
    <x v="5"/>
    <s v="JUL"/>
    <x v="17"/>
    <s v="GRSM 4"/>
    <x v="0"/>
    <s v="GMM"/>
    <n v="189901"/>
    <n v="1602057"/>
    <x v="10"/>
    <x v="15"/>
    <s v="GORENG"/>
    <n v="2150"/>
    <n v="228"/>
    <n v="490200"/>
    <n v="160"/>
  </r>
  <r>
    <x v="5"/>
    <s v="JUL"/>
    <x v="17"/>
    <s v="GRSM 4"/>
    <x v="0"/>
    <s v="GMM"/>
    <n v="103277"/>
    <n v="6300700"/>
    <x v="11"/>
    <x v="25"/>
    <s v="BOLOGNESE"/>
    <n v="3000"/>
    <n v="25"/>
    <n v="75000"/>
    <m/>
  </r>
  <r>
    <x v="5"/>
    <s v="JUL"/>
    <x v="17"/>
    <s v="GRSM 4"/>
    <x v="0"/>
    <s v="GMM"/>
    <n v="103277"/>
    <n v="6300700"/>
    <x v="11"/>
    <x v="25"/>
    <s v="CARBONARA"/>
    <n v="3000"/>
    <n v="42"/>
    <n v="126000"/>
    <m/>
  </r>
  <r>
    <x v="5"/>
    <s v="JUL"/>
    <x v="17"/>
    <s v="GRSM 4"/>
    <x v="0"/>
    <s v="GMM"/>
    <n v="103277"/>
    <n v="6300700"/>
    <x v="11"/>
    <x v="25"/>
    <s v="AGLIO OLIO"/>
    <n v="3000"/>
    <n v="45"/>
    <n v="135000"/>
    <m/>
  </r>
  <r>
    <x v="5"/>
    <s v="JUL"/>
    <x v="17"/>
    <s v="GRSM 4"/>
    <x v="0"/>
    <s v="GMM"/>
    <n v="103277"/>
    <n v="6300700"/>
    <x v="11"/>
    <x v="25"/>
    <s v="GORENG"/>
    <n v="3000"/>
    <n v="200"/>
    <n v="600000"/>
    <n v="120"/>
  </r>
  <r>
    <x v="5"/>
    <s v="JUL"/>
    <x v="17"/>
    <s v="GRSM 4"/>
    <x v="0"/>
    <s v="GMM"/>
    <n v="103259"/>
    <n v="9029389"/>
    <x v="7"/>
    <x v="21"/>
    <s v="BOLOGNESE"/>
    <n v="3000"/>
    <n v="70"/>
    <n v="210000"/>
    <m/>
  </r>
  <r>
    <x v="5"/>
    <s v="JUL"/>
    <x v="17"/>
    <s v="GRSM 4"/>
    <x v="0"/>
    <s v="GMM"/>
    <n v="103259"/>
    <n v="9029389"/>
    <x v="7"/>
    <x v="21"/>
    <s v="CARBONARA"/>
    <n v="3000"/>
    <n v="88"/>
    <n v="264000"/>
    <m/>
  </r>
  <r>
    <x v="5"/>
    <s v="JUL"/>
    <x v="17"/>
    <s v="GRSM 4"/>
    <x v="0"/>
    <s v="GMM"/>
    <n v="103259"/>
    <n v="9029389"/>
    <x v="7"/>
    <x v="21"/>
    <s v="AGLIO OLIO"/>
    <n v="3000"/>
    <n v="46"/>
    <n v="138000"/>
    <m/>
  </r>
  <r>
    <x v="5"/>
    <s v="JUL"/>
    <x v="17"/>
    <s v="GRSM 4"/>
    <x v="0"/>
    <s v="GMM"/>
    <n v="103259"/>
    <n v="9029389"/>
    <x v="7"/>
    <x v="21"/>
    <s v="GORENG"/>
    <n v="3000"/>
    <n v="197"/>
    <n v="591000"/>
    <n v="160"/>
  </r>
  <r>
    <x v="5"/>
    <s v="JUL"/>
    <x v="17"/>
    <s v="GRSM 4"/>
    <x v="0"/>
    <s v="GMM"/>
    <n v="103277"/>
    <n v="6300700"/>
    <x v="11"/>
    <x v="12"/>
    <s v="BOLOGNESE"/>
    <n v="3000"/>
    <n v="30"/>
    <n v="90000"/>
    <m/>
  </r>
  <r>
    <x v="5"/>
    <s v="JUL"/>
    <x v="17"/>
    <s v="GRSM 4"/>
    <x v="0"/>
    <s v="GMM"/>
    <n v="103277"/>
    <n v="6300700"/>
    <x v="11"/>
    <x v="12"/>
    <s v="CARBONARA"/>
    <n v="3000"/>
    <n v="50"/>
    <n v="150000"/>
    <m/>
  </r>
  <r>
    <x v="5"/>
    <s v="JUL"/>
    <x v="17"/>
    <s v="GRSM 4"/>
    <x v="0"/>
    <s v="GMM"/>
    <n v="103277"/>
    <n v="6300700"/>
    <x v="11"/>
    <x v="12"/>
    <s v="AGLIO OLIO"/>
    <n v="3000"/>
    <n v="40"/>
    <n v="120000"/>
    <m/>
  </r>
  <r>
    <x v="5"/>
    <s v="JUL"/>
    <x v="17"/>
    <s v="GRSM 4"/>
    <x v="0"/>
    <s v="GMM"/>
    <n v="103277"/>
    <n v="6300700"/>
    <x v="11"/>
    <x v="12"/>
    <s v="GORENG"/>
    <n v="3000"/>
    <n v="200"/>
    <n v="600000"/>
    <n v="120"/>
  </r>
  <r>
    <x v="5"/>
    <s v="JUL"/>
    <x v="17"/>
    <s v="GRSM 4"/>
    <x v="0"/>
    <s v="GMM"/>
    <n v="121409"/>
    <n v="5205014"/>
    <x v="12"/>
    <x v="26"/>
    <s v="BOLOGNESE"/>
    <n v="2100"/>
    <n v="80"/>
    <n v="168000"/>
    <m/>
  </r>
  <r>
    <x v="5"/>
    <s v="JUL"/>
    <x v="17"/>
    <s v="GRSM 4"/>
    <x v="0"/>
    <s v="GMM"/>
    <n v="121409"/>
    <n v="5205014"/>
    <x v="12"/>
    <x v="26"/>
    <s v="CARBONARA"/>
    <n v="2100"/>
    <n v="105"/>
    <n v="220500"/>
    <m/>
  </r>
  <r>
    <x v="5"/>
    <s v="JUL"/>
    <x v="17"/>
    <s v="GRSM 4"/>
    <x v="0"/>
    <s v="GMM"/>
    <n v="121409"/>
    <n v="5205014"/>
    <x v="12"/>
    <x v="26"/>
    <s v="AGLIO OLIO"/>
    <n v="2100"/>
    <n v="83"/>
    <n v="174300"/>
    <m/>
  </r>
  <r>
    <x v="5"/>
    <s v="JUL"/>
    <x v="17"/>
    <s v="GRSM 4"/>
    <x v="0"/>
    <s v="GMM"/>
    <n v="121409"/>
    <n v="5205014"/>
    <x v="12"/>
    <x v="26"/>
    <s v="GORENG"/>
    <n v="2100"/>
    <n v="347"/>
    <n v="728700"/>
    <n v="160"/>
  </r>
  <r>
    <x v="5"/>
    <s v="JUL"/>
    <x v="17"/>
    <s v="GRSM 4"/>
    <x v="0"/>
    <s v="GMM"/>
    <n v="121409"/>
    <n v="5205014"/>
    <x v="12"/>
    <x v="27"/>
    <s v="BOLOGNESE"/>
    <n v="2100"/>
    <n v="80"/>
    <n v="168000"/>
    <m/>
  </r>
  <r>
    <x v="5"/>
    <s v="JUL"/>
    <x v="17"/>
    <s v="GRSM 4"/>
    <x v="0"/>
    <s v="GMM"/>
    <n v="121409"/>
    <n v="5205014"/>
    <x v="12"/>
    <x v="27"/>
    <s v="CARBONARA"/>
    <n v="2100"/>
    <n v="105"/>
    <n v="220500"/>
    <m/>
  </r>
  <r>
    <x v="5"/>
    <s v="JUL"/>
    <x v="17"/>
    <s v="GRSM 4"/>
    <x v="0"/>
    <s v="GMM"/>
    <n v="121409"/>
    <n v="5205014"/>
    <x v="12"/>
    <x v="27"/>
    <s v="AGLIO OLIO"/>
    <n v="2100"/>
    <n v="83"/>
    <n v="174300"/>
    <m/>
  </r>
  <r>
    <x v="5"/>
    <s v="JUL"/>
    <x v="17"/>
    <s v="GRSM 4"/>
    <x v="0"/>
    <s v="GMM"/>
    <n v="121409"/>
    <n v="5205014"/>
    <x v="12"/>
    <x v="27"/>
    <s v="GORENG"/>
    <n v="2100"/>
    <n v="347"/>
    <n v="728700"/>
    <n v="160"/>
  </r>
  <r>
    <x v="5"/>
    <s v="JUL"/>
    <x v="18"/>
    <s v="GRSM 4"/>
    <x v="0"/>
    <s v="GMM"/>
    <n v="121409"/>
    <n v="5205014"/>
    <x v="12"/>
    <x v="27"/>
    <s v="BOLOGNESE"/>
    <n v="2100"/>
    <n v="125"/>
    <n v="262500"/>
    <m/>
  </r>
  <r>
    <x v="5"/>
    <s v="JUL"/>
    <x v="18"/>
    <s v="GRSM 4"/>
    <x v="0"/>
    <s v="GMM"/>
    <n v="121409"/>
    <n v="5205014"/>
    <x v="12"/>
    <x v="27"/>
    <s v="CARBONARA"/>
    <n v="2100"/>
    <n v="85"/>
    <n v="178500"/>
    <m/>
  </r>
  <r>
    <x v="5"/>
    <s v="JUL"/>
    <x v="18"/>
    <s v="GRSM 4"/>
    <x v="0"/>
    <s v="GMM"/>
    <n v="121409"/>
    <n v="5205014"/>
    <x v="12"/>
    <x v="27"/>
    <s v="AGLIO OLIO"/>
    <n v="2100"/>
    <n v="97"/>
    <n v="203700"/>
    <m/>
  </r>
  <r>
    <x v="5"/>
    <s v="JUL"/>
    <x v="18"/>
    <s v="GRSM 4"/>
    <x v="0"/>
    <s v="GMM"/>
    <n v="121409"/>
    <n v="5205014"/>
    <x v="12"/>
    <x v="27"/>
    <s v="GORENG"/>
    <n v="2100"/>
    <n v="341"/>
    <n v="716100"/>
    <n v="160"/>
  </r>
  <r>
    <x v="5"/>
    <s v="JUL"/>
    <x v="18"/>
    <s v="GRSM 4"/>
    <x v="0"/>
    <s v="GMM"/>
    <n v="121409"/>
    <n v="5205014"/>
    <x v="12"/>
    <x v="26"/>
    <s v="BOLOGNESE"/>
    <n v="2100"/>
    <n v="125"/>
    <n v="262500"/>
    <m/>
  </r>
  <r>
    <x v="5"/>
    <s v="JUL"/>
    <x v="18"/>
    <s v="GRSM 4"/>
    <x v="0"/>
    <s v="GMM"/>
    <n v="121409"/>
    <n v="5205014"/>
    <x v="12"/>
    <x v="26"/>
    <s v="CARBONARA"/>
    <n v="2100"/>
    <n v="85"/>
    <n v="178500"/>
    <m/>
  </r>
  <r>
    <x v="5"/>
    <s v="JUL"/>
    <x v="18"/>
    <s v="GRSM 4"/>
    <x v="0"/>
    <s v="GMM"/>
    <n v="121409"/>
    <n v="5205014"/>
    <x v="12"/>
    <x v="26"/>
    <s v="AGLIO OLIO"/>
    <n v="2100"/>
    <n v="97"/>
    <n v="203700"/>
    <m/>
  </r>
  <r>
    <x v="5"/>
    <s v="JUL"/>
    <x v="18"/>
    <s v="GRSM 4"/>
    <x v="0"/>
    <s v="GMM"/>
    <n v="121409"/>
    <n v="5205014"/>
    <x v="12"/>
    <x v="26"/>
    <s v="GORENG"/>
    <n v="2100"/>
    <n v="341"/>
    <n v="716100"/>
    <n v="160"/>
  </r>
  <r>
    <x v="5"/>
    <s v="JUL"/>
    <x v="18"/>
    <s v="GRSM 4"/>
    <x v="0"/>
    <s v="GMM"/>
    <n v="103277"/>
    <n v="6300700"/>
    <x v="11"/>
    <x v="25"/>
    <s v="BOLOGNESE"/>
    <n v="3000"/>
    <n v="45"/>
    <n v="135000"/>
    <m/>
  </r>
  <r>
    <x v="5"/>
    <s v="JUL"/>
    <x v="18"/>
    <s v="GRSM 4"/>
    <x v="0"/>
    <s v="GMM"/>
    <n v="103277"/>
    <n v="6300700"/>
    <x v="11"/>
    <x v="25"/>
    <s v="CARBONARA"/>
    <n v="3000"/>
    <n v="50"/>
    <n v="150000"/>
    <m/>
  </r>
  <r>
    <x v="5"/>
    <s v="JUL"/>
    <x v="18"/>
    <s v="GRSM 4"/>
    <x v="0"/>
    <s v="GMM"/>
    <n v="103277"/>
    <n v="6300700"/>
    <x v="11"/>
    <x v="25"/>
    <s v="AGLIO OLIO"/>
    <n v="3000"/>
    <n v="35"/>
    <n v="105000"/>
    <m/>
  </r>
  <r>
    <x v="5"/>
    <s v="JUL"/>
    <x v="18"/>
    <s v="GRSM 4"/>
    <x v="0"/>
    <s v="GMM"/>
    <n v="103277"/>
    <n v="6300700"/>
    <x v="11"/>
    <x v="25"/>
    <s v="GORENG"/>
    <n v="3000"/>
    <n v="150"/>
    <n v="450000"/>
    <n v="130"/>
  </r>
  <r>
    <x v="5"/>
    <s v="JUL"/>
    <x v="18"/>
    <s v="GRSM 4"/>
    <x v="0"/>
    <s v="GMM"/>
    <n v="103257"/>
    <n v="9162509"/>
    <x v="4"/>
    <x v="7"/>
    <s v="BOLOGNESE"/>
    <n v="3100"/>
    <n v="43"/>
    <n v="133300"/>
    <m/>
  </r>
  <r>
    <x v="5"/>
    <s v="JUL"/>
    <x v="18"/>
    <s v="GRSM 4"/>
    <x v="0"/>
    <s v="GMM"/>
    <n v="103257"/>
    <n v="9162509"/>
    <x v="4"/>
    <x v="7"/>
    <s v="CARBONARA"/>
    <n v="3100"/>
    <n v="54"/>
    <n v="167400"/>
    <m/>
  </r>
  <r>
    <x v="5"/>
    <s v="JUL"/>
    <x v="18"/>
    <s v="GRSM 4"/>
    <x v="0"/>
    <s v="GMM"/>
    <n v="103257"/>
    <n v="9162509"/>
    <x v="4"/>
    <x v="7"/>
    <s v="AGLIO OLIO"/>
    <n v="3100"/>
    <n v="48"/>
    <n v="148800"/>
    <m/>
  </r>
  <r>
    <x v="5"/>
    <s v="JUL"/>
    <x v="18"/>
    <s v="GRSM 4"/>
    <x v="0"/>
    <s v="GMM"/>
    <n v="103257"/>
    <n v="9162509"/>
    <x v="4"/>
    <x v="7"/>
    <s v="GORENG"/>
    <n v="3100"/>
    <n v="53"/>
    <n v="164300"/>
    <n v="160"/>
  </r>
  <r>
    <x v="5"/>
    <s v="JUL"/>
    <x v="18"/>
    <s v="GRSM 4"/>
    <x v="0"/>
    <s v="GMM"/>
    <n v="103257"/>
    <n v="9162509"/>
    <x v="4"/>
    <x v="8"/>
    <s v="BOLOGNESE"/>
    <n v="3100"/>
    <n v="40"/>
    <n v="124000"/>
    <m/>
  </r>
  <r>
    <x v="5"/>
    <s v="JUL"/>
    <x v="18"/>
    <s v="GRSM 4"/>
    <x v="0"/>
    <s v="GMM"/>
    <n v="103257"/>
    <n v="9162509"/>
    <x v="4"/>
    <x v="8"/>
    <s v="CARBONARA"/>
    <n v="3100"/>
    <n v="51"/>
    <n v="158100"/>
    <m/>
  </r>
  <r>
    <x v="5"/>
    <s v="JUL"/>
    <x v="18"/>
    <s v="GRSM 4"/>
    <x v="0"/>
    <s v="GMM"/>
    <n v="103257"/>
    <n v="9162509"/>
    <x v="4"/>
    <x v="8"/>
    <s v="AGLIO OLIO"/>
    <n v="3100"/>
    <n v="44"/>
    <n v="136400"/>
    <m/>
  </r>
  <r>
    <x v="5"/>
    <s v="JUL"/>
    <x v="18"/>
    <s v="GRSM 4"/>
    <x v="0"/>
    <s v="GMM"/>
    <n v="103257"/>
    <n v="9162509"/>
    <x v="4"/>
    <x v="8"/>
    <s v="GORENG"/>
    <n v="3100"/>
    <n v="52"/>
    <n v="161200"/>
    <n v="160"/>
  </r>
  <r>
    <x v="5"/>
    <s v="JUL"/>
    <x v="18"/>
    <s v="GRSM 4"/>
    <x v="0"/>
    <s v="GMM"/>
    <n v="103259"/>
    <n v="9029389"/>
    <x v="7"/>
    <x v="21"/>
    <s v="BOLOGNESE"/>
    <n v="3000"/>
    <n v="71"/>
    <n v="213000"/>
    <m/>
  </r>
  <r>
    <x v="5"/>
    <s v="JUL"/>
    <x v="18"/>
    <s v="GRSM 4"/>
    <x v="0"/>
    <s v="GMM"/>
    <n v="103259"/>
    <n v="9029389"/>
    <x v="7"/>
    <x v="21"/>
    <s v="CARBONARA"/>
    <n v="3000"/>
    <n v="87"/>
    <n v="261000"/>
    <m/>
  </r>
  <r>
    <x v="5"/>
    <s v="JUL"/>
    <x v="18"/>
    <s v="GRSM 4"/>
    <x v="0"/>
    <s v="GMM"/>
    <n v="103259"/>
    <n v="9029389"/>
    <x v="7"/>
    <x v="21"/>
    <s v="AGLIO OLIO"/>
    <n v="3000"/>
    <n v="53"/>
    <n v="159000"/>
    <m/>
  </r>
  <r>
    <x v="5"/>
    <s v="JUL"/>
    <x v="18"/>
    <s v="GRSM 4"/>
    <x v="0"/>
    <s v="GMM"/>
    <n v="103259"/>
    <n v="9029389"/>
    <x v="7"/>
    <x v="21"/>
    <s v="GORENG"/>
    <n v="3000"/>
    <n v="223"/>
    <n v="669000"/>
    <n v="160"/>
  </r>
  <r>
    <x v="5"/>
    <s v="JUL"/>
    <x v="18"/>
    <s v="GRSM 4"/>
    <x v="0"/>
    <s v="GMM"/>
    <n v="189901"/>
    <n v="1602057"/>
    <x v="10"/>
    <x v="15"/>
    <s v="BOLOGNESE"/>
    <n v="3000"/>
    <n v="66"/>
    <n v="198000"/>
    <m/>
  </r>
  <r>
    <x v="5"/>
    <s v="JUL"/>
    <x v="18"/>
    <s v="GRSM 4"/>
    <x v="0"/>
    <s v="GMM"/>
    <n v="189901"/>
    <n v="1602057"/>
    <x v="10"/>
    <x v="15"/>
    <s v="CARBONARA"/>
    <n v="3000"/>
    <n v="78"/>
    <n v="234000"/>
    <m/>
  </r>
  <r>
    <x v="5"/>
    <s v="JUL"/>
    <x v="18"/>
    <s v="GRSM 4"/>
    <x v="0"/>
    <s v="GMM"/>
    <n v="189901"/>
    <n v="1602057"/>
    <x v="10"/>
    <x v="15"/>
    <s v="AGLIO OLIO"/>
    <n v="3000"/>
    <n v="60"/>
    <n v="180000"/>
    <m/>
  </r>
  <r>
    <x v="5"/>
    <s v="JUL"/>
    <x v="18"/>
    <s v="GRSM 4"/>
    <x v="0"/>
    <s v="GMM"/>
    <n v="189901"/>
    <n v="1602057"/>
    <x v="10"/>
    <x v="15"/>
    <s v="GORENG"/>
    <n v="3000"/>
    <n v="212"/>
    <n v="636000"/>
    <n v="160"/>
  </r>
  <r>
    <x v="5"/>
    <s v="JUL"/>
    <x v="18"/>
    <s v="GRSM 4"/>
    <x v="0"/>
    <s v="NKA"/>
    <n v="490034"/>
    <n v="209554"/>
    <x v="8"/>
    <x v="19"/>
    <s v="BOLOGNESE"/>
    <n v="3275"/>
    <n v="43"/>
    <n v="140825"/>
    <m/>
  </r>
  <r>
    <x v="5"/>
    <s v="JUL"/>
    <x v="18"/>
    <s v="GRSM 4"/>
    <x v="0"/>
    <s v="NKA"/>
    <n v="490034"/>
    <n v="209554"/>
    <x v="8"/>
    <x v="19"/>
    <s v="CARBONARA"/>
    <n v="3275"/>
    <n v="31"/>
    <n v="101525"/>
    <m/>
  </r>
  <r>
    <x v="5"/>
    <s v="JUL"/>
    <x v="18"/>
    <s v="GRSM 4"/>
    <x v="0"/>
    <s v="NKA"/>
    <n v="490034"/>
    <n v="209554"/>
    <x v="8"/>
    <x v="19"/>
    <s v="AGLIO OLIO"/>
    <n v="3275"/>
    <n v="16"/>
    <n v="52400"/>
    <m/>
  </r>
  <r>
    <x v="5"/>
    <s v="JUL"/>
    <x v="18"/>
    <s v="GRSM 4"/>
    <x v="0"/>
    <s v="NKA"/>
    <n v="490034"/>
    <n v="209554"/>
    <x v="8"/>
    <x v="19"/>
    <s v="GORENG"/>
    <n v="3275"/>
    <n v="154"/>
    <n v="504350"/>
    <n v="160"/>
  </r>
  <r>
    <x v="5"/>
    <s v="JUL"/>
    <x v="18"/>
    <s v="GRSM 4"/>
    <x v="0"/>
    <s v="GMM"/>
    <n v="189901"/>
    <n v="1602057"/>
    <x v="10"/>
    <x v="24"/>
    <s v="BOLOGNESE"/>
    <n v="2150"/>
    <n v="132"/>
    <n v="283800"/>
    <m/>
  </r>
  <r>
    <x v="5"/>
    <s v="JUL"/>
    <x v="18"/>
    <s v="GRSM 4"/>
    <x v="0"/>
    <s v="GMM"/>
    <n v="189901"/>
    <n v="1602057"/>
    <x v="10"/>
    <x v="24"/>
    <s v="CARBONARA"/>
    <n v="2150"/>
    <n v="160"/>
    <n v="344000"/>
    <m/>
  </r>
  <r>
    <x v="5"/>
    <s v="JUL"/>
    <x v="18"/>
    <s v="GRSM 4"/>
    <x v="0"/>
    <s v="GMM"/>
    <n v="189901"/>
    <n v="1602057"/>
    <x v="10"/>
    <x v="24"/>
    <s v="AGLIO OLIO"/>
    <n v="2150"/>
    <n v="95"/>
    <n v="204250"/>
    <m/>
  </r>
  <r>
    <x v="5"/>
    <s v="JUL"/>
    <x v="18"/>
    <s v="GRSM 4"/>
    <x v="0"/>
    <s v="GMM"/>
    <n v="189901"/>
    <n v="1602057"/>
    <x v="10"/>
    <x v="24"/>
    <s v="GORENG"/>
    <n v="2150"/>
    <n v="196"/>
    <n v="421400"/>
    <n v="160"/>
  </r>
  <r>
    <x v="5"/>
    <s v="JUL"/>
    <x v="18"/>
    <s v="GRSM 4"/>
    <x v="0"/>
    <s v="GMM"/>
    <n v="189901"/>
    <n v="1602057"/>
    <x v="10"/>
    <x v="15"/>
    <s v="BOLOGNESE"/>
    <n v="2150"/>
    <n v="151"/>
    <n v="324650"/>
    <m/>
  </r>
  <r>
    <x v="5"/>
    <s v="JUL"/>
    <x v="18"/>
    <s v="GRSM 4"/>
    <x v="0"/>
    <s v="GMM"/>
    <n v="189901"/>
    <n v="1602057"/>
    <x v="10"/>
    <x v="15"/>
    <s v="CARBONARA"/>
    <n v="2150"/>
    <n v="147"/>
    <n v="316050"/>
    <m/>
  </r>
  <r>
    <x v="5"/>
    <s v="JUL"/>
    <x v="18"/>
    <s v="GRSM 4"/>
    <x v="0"/>
    <s v="GMM"/>
    <n v="189901"/>
    <n v="1602057"/>
    <x v="10"/>
    <x v="15"/>
    <s v="AGLIO OLIO"/>
    <n v="2150"/>
    <n v="112"/>
    <n v="240800"/>
    <m/>
  </r>
  <r>
    <x v="5"/>
    <s v="JUL"/>
    <x v="18"/>
    <s v="GRSM 4"/>
    <x v="0"/>
    <s v="GMM"/>
    <n v="189901"/>
    <n v="1602057"/>
    <x v="10"/>
    <x v="15"/>
    <s v="GORENG"/>
    <n v="2150"/>
    <n v="235"/>
    <n v="505250"/>
    <n v="160"/>
  </r>
  <r>
    <x v="5"/>
    <s v="JUL"/>
    <x v="19"/>
    <s v="GRSM 4"/>
    <x v="0"/>
    <s v="GMM"/>
    <n v="121409"/>
    <n v="5205014"/>
    <x v="12"/>
    <x v="27"/>
    <s v="BOLOGNESE"/>
    <n v="2100"/>
    <n v="108"/>
    <n v="226800"/>
    <m/>
  </r>
  <r>
    <x v="5"/>
    <s v="JUL"/>
    <x v="19"/>
    <s v="GRSM 4"/>
    <x v="0"/>
    <s v="GMM"/>
    <n v="121409"/>
    <n v="5205014"/>
    <x v="12"/>
    <x v="27"/>
    <s v="CARBONARA"/>
    <n v="2100"/>
    <n v="133"/>
    <n v="279300"/>
    <m/>
  </r>
  <r>
    <x v="5"/>
    <s v="JUL"/>
    <x v="19"/>
    <s v="GRSM 4"/>
    <x v="0"/>
    <s v="GMM"/>
    <n v="121409"/>
    <n v="5205014"/>
    <x v="12"/>
    <x v="27"/>
    <s v="AGLIO OLIO"/>
    <n v="2100"/>
    <n v="95"/>
    <n v="199500"/>
    <m/>
  </r>
  <r>
    <x v="5"/>
    <s v="JUL"/>
    <x v="19"/>
    <s v="GRSM 4"/>
    <x v="0"/>
    <s v="GMM"/>
    <n v="121409"/>
    <n v="5205014"/>
    <x v="12"/>
    <x v="27"/>
    <s v="GORENG"/>
    <n v="2100"/>
    <n v="323"/>
    <n v="678300"/>
    <n v="160"/>
  </r>
  <r>
    <x v="5"/>
    <s v="JUL"/>
    <x v="19"/>
    <s v="GRSM 4"/>
    <x v="0"/>
    <s v="GMM"/>
    <n v="121409"/>
    <n v="5205014"/>
    <x v="12"/>
    <x v="26"/>
    <s v="BOLOGNESE"/>
    <n v="2100"/>
    <n v="108"/>
    <n v="226800"/>
    <m/>
  </r>
  <r>
    <x v="5"/>
    <s v="JUL"/>
    <x v="19"/>
    <s v="GRSM 4"/>
    <x v="0"/>
    <s v="GMM"/>
    <n v="121409"/>
    <n v="5205014"/>
    <x v="12"/>
    <x v="26"/>
    <s v="CARBONARA"/>
    <n v="2100"/>
    <n v="133"/>
    <n v="279300"/>
    <m/>
  </r>
  <r>
    <x v="5"/>
    <s v="JUL"/>
    <x v="19"/>
    <s v="GRSM 4"/>
    <x v="0"/>
    <s v="GMM"/>
    <n v="121409"/>
    <n v="5205014"/>
    <x v="12"/>
    <x v="26"/>
    <s v="AGLIO OLIO"/>
    <n v="2100"/>
    <n v="95"/>
    <n v="199500"/>
    <m/>
  </r>
  <r>
    <x v="5"/>
    <s v="JUL"/>
    <x v="19"/>
    <s v="GRSM 4"/>
    <x v="0"/>
    <s v="GMM"/>
    <n v="121409"/>
    <n v="5205014"/>
    <x v="12"/>
    <x v="26"/>
    <s v="GORENG"/>
    <n v="2100"/>
    <n v="323"/>
    <n v="678300"/>
    <n v="160"/>
  </r>
  <r>
    <x v="5"/>
    <s v="JUL"/>
    <x v="19"/>
    <s v="GRSM 4"/>
    <x v="0"/>
    <s v="GMM"/>
    <n v="103257"/>
    <n v="9162509"/>
    <x v="4"/>
    <x v="7"/>
    <s v="BOLOGNESE"/>
    <n v="3100"/>
    <n v="46"/>
    <n v="142600"/>
    <m/>
  </r>
  <r>
    <x v="5"/>
    <s v="JUL"/>
    <x v="19"/>
    <s v="GRSM 4"/>
    <x v="0"/>
    <s v="GMM"/>
    <n v="103257"/>
    <n v="9162509"/>
    <x v="4"/>
    <x v="7"/>
    <s v="CARBONARA"/>
    <n v="3100"/>
    <n v="53"/>
    <n v="164300"/>
    <m/>
  </r>
  <r>
    <x v="5"/>
    <s v="JUL"/>
    <x v="19"/>
    <s v="GRSM 4"/>
    <x v="0"/>
    <s v="GMM"/>
    <n v="103257"/>
    <n v="9162509"/>
    <x v="4"/>
    <x v="7"/>
    <s v="AGLIO OLIO"/>
    <n v="3100"/>
    <n v="58"/>
    <n v="179800"/>
    <m/>
  </r>
  <r>
    <x v="5"/>
    <s v="JUL"/>
    <x v="19"/>
    <s v="GRSM 4"/>
    <x v="0"/>
    <s v="GMM"/>
    <n v="103257"/>
    <n v="9162509"/>
    <x v="4"/>
    <x v="7"/>
    <s v="GORENG"/>
    <n v="3100"/>
    <n v="51"/>
    <n v="158100"/>
    <n v="160"/>
  </r>
  <r>
    <x v="5"/>
    <s v="JUL"/>
    <x v="19"/>
    <s v="GRSM 4"/>
    <x v="0"/>
    <s v="GMM"/>
    <n v="103257"/>
    <n v="9162509"/>
    <x v="4"/>
    <x v="8"/>
    <s v="BOLOGNESE"/>
    <n v="3100"/>
    <n v="42"/>
    <n v="130200"/>
    <m/>
  </r>
  <r>
    <x v="5"/>
    <s v="JUL"/>
    <x v="19"/>
    <s v="GRSM 4"/>
    <x v="0"/>
    <s v="GMM"/>
    <n v="103257"/>
    <n v="9162509"/>
    <x v="4"/>
    <x v="8"/>
    <s v="CARBONARA"/>
    <n v="3100"/>
    <n v="51"/>
    <n v="158100"/>
    <m/>
  </r>
  <r>
    <x v="5"/>
    <s v="JUL"/>
    <x v="19"/>
    <s v="GRSM 4"/>
    <x v="0"/>
    <s v="GMM"/>
    <n v="103257"/>
    <n v="9162509"/>
    <x v="4"/>
    <x v="8"/>
    <s v="AGLIO OLIO"/>
    <n v="3100"/>
    <n v="55"/>
    <n v="170500"/>
    <m/>
  </r>
  <r>
    <x v="5"/>
    <s v="JUL"/>
    <x v="19"/>
    <s v="GRSM 4"/>
    <x v="0"/>
    <s v="GMM"/>
    <n v="103257"/>
    <n v="9162509"/>
    <x v="4"/>
    <x v="8"/>
    <s v="GORENG"/>
    <n v="3100"/>
    <n v="48"/>
    <n v="148800"/>
    <n v="160"/>
  </r>
  <r>
    <x v="5"/>
    <s v="JUL"/>
    <x v="19"/>
    <s v="GRSM 4"/>
    <x v="0"/>
    <s v="GMM"/>
    <n v="103259"/>
    <n v="9029389"/>
    <x v="7"/>
    <x v="21"/>
    <s v="BOLOGNESE"/>
    <n v="3000"/>
    <n v="53"/>
    <n v="159000"/>
    <m/>
  </r>
  <r>
    <x v="5"/>
    <s v="JUL"/>
    <x v="19"/>
    <s v="GRSM 4"/>
    <x v="0"/>
    <s v="GMM"/>
    <n v="103259"/>
    <n v="9029389"/>
    <x v="7"/>
    <x v="21"/>
    <s v="CARBONARA"/>
    <n v="3000"/>
    <n v="82"/>
    <n v="246000"/>
    <m/>
  </r>
  <r>
    <x v="5"/>
    <s v="JUL"/>
    <x v="19"/>
    <s v="GRSM 4"/>
    <x v="0"/>
    <s v="GMM"/>
    <n v="103259"/>
    <n v="9029389"/>
    <x v="7"/>
    <x v="21"/>
    <s v="AGLIO OLIO"/>
    <n v="3000"/>
    <n v="49"/>
    <n v="147000"/>
    <m/>
  </r>
  <r>
    <x v="5"/>
    <s v="JUL"/>
    <x v="19"/>
    <s v="GRSM 4"/>
    <x v="0"/>
    <s v="GMM"/>
    <n v="103259"/>
    <n v="9029389"/>
    <x v="7"/>
    <x v="21"/>
    <s v="GORENG"/>
    <n v="3000"/>
    <n v="206"/>
    <n v="618000"/>
    <n v="160"/>
  </r>
  <r>
    <x v="5"/>
    <s v="JUL"/>
    <x v="19"/>
    <s v="GRSM 4"/>
    <x v="0"/>
    <s v="GMM"/>
    <n v="103277"/>
    <n v="6300700"/>
    <x v="11"/>
    <x v="25"/>
    <s v="BOLOGNESE"/>
    <n v="3000"/>
    <n v="69"/>
    <n v="207000"/>
    <m/>
  </r>
  <r>
    <x v="5"/>
    <s v="JUL"/>
    <x v="19"/>
    <s v="GRSM 4"/>
    <x v="0"/>
    <s v="GMM"/>
    <n v="103277"/>
    <n v="6300700"/>
    <x v="11"/>
    <x v="25"/>
    <s v="CARBONARA"/>
    <n v="3000"/>
    <n v="72"/>
    <n v="216000"/>
    <m/>
  </r>
  <r>
    <x v="5"/>
    <s v="JUL"/>
    <x v="19"/>
    <s v="GRSM 4"/>
    <x v="0"/>
    <s v="GMM"/>
    <n v="103277"/>
    <n v="6300700"/>
    <x v="11"/>
    <x v="25"/>
    <s v="AGLIO OLIO"/>
    <n v="3000"/>
    <n v="70"/>
    <n v="210000"/>
    <m/>
  </r>
  <r>
    <x v="5"/>
    <s v="JUL"/>
    <x v="19"/>
    <s v="GRSM 4"/>
    <x v="0"/>
    <s v="GMM"/>
    <n v="103277"/>
    <n v="6300700"/>
    <x v="11"/>
    <x v="25"/>
    <s v="GORENG"/>
    <n v="3000"/>
    <n v="185"/>
    <n v="555000"/>
    <n v="160"/>
  </r>
  <r>
    <x v="5"/>
    <s v="JUL"/>
    <x v="17"/>
    <s v="GRSM 4"/>
    <x v="0"/>
    <s v="GMM"/>
    <n v="189901"/>
    <n v="1602008"/>
    <x v="13"/>
    <x v="9"/>
    <s v="BOLOGNESE"/>
    <n v="3300"/>
    <n v="40"/>
    <n v="132000"/>
    <m/>
  </r>
  <r>
    <x v="5"/>
    <s v="JUL"/>
    <x v="17"/>
    <s v="GRSM 4"/>
    <x v="0"/>
    <s v="GMM"/>
    <n v="189901"/>
    <n v="1602008"/>
    <x v="13"/>
    <x v="9"/>
    <s v="CARBONARA"/>
    <n v="3300"/>
    <n v="40"/>
    <n v="132000"/>
    <m/>
  </r>
  <r>
    <x v="5"/>
    <s v="JUL"/>
    <x v="17"/>
    <s v="GRSM 4"/>
    <x v="0"/>
    <s v="GMM"/>
    <n v="189901"/>
    <n v="1602008"/>
    <x v="13"/>
    <x v="9"/>
    <s v="AGLIO OLIO"/>
    <n v="3300"/>
    <n v="40"/>
    <n v="132000"/>
    <m/>
  </r>
  <r>
    <x v="5"/>
    <s v="JUL"/>
    <x v="17"/>
    <s v="GRSM 4"/>
    <x v="0"/>
    <s v="GMM"/>
    <n v="189901"/>
    <n v="1602008"/>
    <x v="13"/>
    <x v="9"/>
    <s v="GORENG"/>
    <n v="3300"/>
    <n v="105"/>
    <n v="346500"/>
    <n v="160"/>
  </r>
  <r>
    <x v="5"/>
    <s v="JUL"/>
    <x v="19"/>
    <s v="GRSM 4"/>
    <x v="0"/>
    <s v="GMM"/>
    <n v="189901"/>
    <n v="1602008"/>
    <x v="13"/>
    <x v="9"/>
    <s v="BOLOGNESE"/>
    <n v="3300"/>
    <n v="50"/>
    <n v="165000"/>
    <m/>
  </r>
  <r>
    <x v="5"/>
    <s v="JUL"/>
    <x v="19"/>
    <s v="GRSM 4"/>
    <x v="0"/>
    <s v="GMM"/>
    <n v="189901"/>
    <n v="1602008"/>
    <x v="13"/>
    <x v="9"/>
    <s v="CARBONARA"/>
    <n v="3300"/>
    <n v="50"/>
    <n v="165000"/>
    <m/>
  </r>
  <r>
    <x v="5"/>
    <s v="JUL"/>
    <x v="19"/>
    <s v="GRSM 4"/>
    <x v="0"/>
    <s v="GMM"/>
    <n v="189901"/>
    <n v="1602008"/>
    <x v="13"/>
    <x v="9"/>
    <s v="AGLIO OLIO"/>
    <n v="3300"/>
    <n v="50"/>
    <n v="165000"/>
    <m/>
  </r>
  <r>
    <x v="5"/>
    <s v="JUL"/>
    <x v="19"/>
    <s v="GRSM 4"/>
    <x v="0"/>
    <s v="GMM"/>
    <n v="189901"/>
    <n v="1602008"/>
    <x v="13"/>
    <x v="9"/>
    <s v="GORENG"/>
    <n v="3300"/>
    <n v="160"/>
    <n v="528000"/>
    <n v="160"/>
  </r>
  <r>
    <x v="5"/>
    <s v="JUL"/>
    <x v="18"/>
    <s v="GRSM 4"/>
    <x v="0"/>
    <s v="GMM"/>
    <n v="189901"/>
    <n v="1602008"/>
    <x v="13"/>
    <x v="9"/>
    <s v="BOLOGNESE"/>
    <n v="3300"/>
    <n v="40"/>
    <n v="132000"/>
    <m/>
  </r>
  <r>
    <x v="5"/>
    <s v="JUL"/>
    <x v="18"/>
    <s v="GRSM 4"/>
    <x v="0"/>
    <s v="GMM"/>
    <n v="189901"/>
    <n v="1602008"/>
    <x v="13"/>
    <x v="9"/>
    <s v="CARBONARA"/>
    <n v="3300"/>
    <n v="40"/>
    <n v="132000"/>
    <m/>
  </r>
  <r>
    <x v="5"/>
    <s v="JUL"/>
    <x v="18"/>
    <s v="GRSM 4"/>
    <x v="0"/>
    <s v="GMM"/>
    <n v="189901"/>
    <n v="1602008"/>
    <x v="13"/>
    <x v="9"/>
    <s v="AGLIO OLIO"/>
    <n v="3300"/>
    <n v="30"/>
    <n v="99000"/>
    <m/>
  </r>
  <r>
    <x v="5"/>
    <s v="JUL"/>
    <x v="18"/>
    <s v="GRSM 4"/>
    <x v="0"/>
    <s v="GMM"/>
    <n v="189901"/>
    <n v="1602008"/>
    <x v="13"/>
    <x v="9"/>
    <s v="GORENG"/>
    <n v="3300"/>
    <n v="110"/>
    <n v="363000"/>
    <n v="160"/>
  </r>
  <r>
    <x v="5"/>
    <s v="JUL"/>
    <x v="17"/>
    <s v="GRSM 4"/>
    <x v="0"/>
    <s v="GMM"/>
    <n v="103259"/>
    <n v="9029389"/>
    <x v="7"/>
    <x v="17"/>
    <s v="BOLOGNESE"/>
    <n v="3300"/>
    <n v="73"/>
    <n v="240900"/>
    <m/>
  </r>
  <r>
    <x v="5"/>
    <s v="JUL"/>
    <x v="17"/>
    <s v="GRSM 4"/>
    <x v="0"/>
    <s v="GMM"/>
    <n v="103259"/>
    <n v="9029389"/>
    <x v="7"/>
    <x v="17"/>
    <s v="CARBONARA"/>
    <n v="3300"/>
    <n v="90"/>
    <n v="297000"/>
    <m/>
  </r>
  <r>
    <x v="5"/>
    <s v="JUL"/>
    <x v="17"/>
    <s v="GRSM 4"/>
    <x v="0"/>
    <s v="GMM"/>
    <n v="103259"/>
    <n v="9029389"/>
    <x v="7"/>
    <x v="17"/>
    <s v="AGLIO OLIO"/>
    <n v="3300"/>
    <n v="55"/>
    <n v="181500"/>
    <m/>
  </r>
  <r>
    <x v="5"/>
    <s v="JUL"/>
    <x v="17"/>
    <s v="GRSM 4"/>
    <x v="0"/>
    <s v="GMM"/>
    <n v="103259"/>
    <n v="9029389"/>
    <x v="7"/>
    <x v="17"/>
    <s v="GORENG"/>
    <n v="3300"/>
    <n v="212"/>
    <n v="699600"/>
    <m/>
  </r>
  <r>
    <x v="5"/>
    <s v="JUL"/>
    <x v="18"/>
    <s v="GRSM 4"/>
    <x v="0"/>
    <s v="GMM"/>
    <n v="103259"/>
    <n v="9029389"/>
    <x v="7"/>
    <x v="17"/>
    <s v="BOLOGNESE"/>
    <n v="3300"/>
    <n v="66"/>
    <n v="217800"/>
    <m/>
  </r>
  <r>
    <x v="5"/>
    <s v="JUL"/>
    <x v="18"/>
    <s v="GRSM 4"/>
    <x v="0"/>
    <s v="GMM"/>
    <n v="103259"/>
    <n v="9029389"/>
    <x v="7"/>
    <x v="17"/>
    <s v="CARBONARA"/>
    <n v="3300"/>
    <n v="78"/>
    <n v="257400"/>
    <m/>
  </r>
  <r>
    <x v="5"/>
    <s v="JUL"/>
    <x v="18"/>
    <s v="GRSM 4"/>
    <x v="0"/>
    <s v="GMM"/>
    <n v="103259"/>
    <n v="9029389"/>
    <x v="7"/>
    <x v="17"/>
    <s v="AGLIO OLIO"/>
    <n v="3300"/>
    <n v="60"/>
    <n v="198000"/>
    <m/>
  </r>
  <r>
    <x v="5"/>
    <s v="JUL"/>
    <x v="18"/>
    <s v="GRSM 4"/>
    <x v="0"/>
    <s v="GMM"/>
    <n v="103259"/>
    <n v="9029389"/>
    <x v="7"/>
    <x v="17"/>
    <s v="GORENG"/>
    <n v="3300"/>
    <n v="202"/>
    <n v="666600"/>
    <m/>
  </r>
  <r>
    <x v="5"/>
    <s v="JUL"/>
    <x v="19"/>
    <s v="GRSM 4"/>
    <x v="0"/>
    <s v="GMM"/>
    <n v="103259"/>
    <n v="9029389"/>
    <x v="7"/>
    <x v="17"/>
    <s v="BOLOGNESE"/>
    <n v="3300"/>
    <n v="60"/>
    <n v="198000"/>
    <m/>
  </r>
  <r>
    <x v="5"/>
    <s v="JUL"/>
    <x v="19"/>
    <s v="GRSM 4"/>
    <x v="0"/>
    <s v="GMM"/>
    <n v="103259"/>
    <n v="9029389"/>
    <x v="7"/>
    <x v="17"/>
    <s v="CARBONARA"/>
    <n v="3000"/>
    <n v="89"/>
    <n v="267000"/>
    <m/>
  </r>
  <r>
    <x v="5"/>
    <s v="JUL"/>
    <x v="19"/>
    <s v="GRSM 4"/>
    <x v="0"/>
    <s v="GMM"/>
    <n v="103259"/>
    <n v="9029389"/>
    <x v="7"/>
    <x v="17"/>
    <s v="AGLIO OLIO"/>
    <n v="3000"/>
    <n v="53"/>
    <n v="159000"/>
    <m/>
  </r>
  <r>
    <x v="5"/>
    <s v="JUL"/>
    <x v="19"/>
    <s v="GRSM 4"/>
    <x v="0"/>
    <s v="GMM"/>
    <n v="103259"/>
    <n v="9029389"/>
    <x v="7"/>
    <x v="17"/>
    <s v="GORENG"/>
    <n v="3000"/>
    <n v="205"/>
    <n v="615000"/>
    <n v="160"/>
  </r>
  <r>
    <x v="5"/>
    <s v="JUL"/>
    <x v="18"/>
    <s v="GRSM 4"/>
    <x v="0"/>
    <s v="NKA"/>
    <n v="490034"/>
    <n v="209554"/>
    <x v="8"/>
    <x v="19"/>
    <s v="BOLOGNESE"/>
    <n v="3275"/>
    <n v="52"/>
    <n v="170300"/>
    <m/>
  </r>
  <r>
    <x v="5"/>
    <s v="JUL"/>
    <x v="18"/>
    <s v="GRSM 4"/>
    <x v="0"/>
    <s v="NKA"/>
    <n v="490034"/>
    <n v="209554"/>
    <x v="8"/>
    <x v="19"/>
    <s v="CARBONARA"/>
    <n v="3275"/>
    <n v="58"/>
    <n v="189950"/>
    <m/>
  </r>
  <r>
    <x v="5"/>
    <s v="JUL"/>
    <x v="18"/>
    <s v="GRSM 4"/>
    <x v="0"/>
    <s v="NKA"/>
    <n v="490034"/>
    <n v="209554"/>
    <x v="8"/>
    <x v="19"/>
    <s v="AGLIO OLIO"/>
    <n v="3275"/>
    <n v="37"/>
    <n v="121175"/>
    <m/>
  </r>
  <r>
    <x v="5"/>
    <s v="JUL"/>
    <x v="18"/>
    <s v="GRSM 4"/>
    <x v="0"/>
    <s v="NKA"/>
    <n v="490034"/>
    <n v="209554"/>
    <x v="8"/>
    <x v="19"/>
    <s v="GORENG"/>
    <n v="3275"/>
    <n v="119"/>
    <n v="389725"/>
    <n v="160"/>
  </r>
  <r>
    <x v="5"/>
    <s v="JUL"/>
    <x v="19"/>
    <s v="GRSM 4"/>
    <x v="0"/>
    <s v="GMM"/>
    <n v="189901"/>
    <n v="1602057"/>
    <x v="10"/>
    <x v="15"/>
    <s v="BOLOGNESE"/>
    <n v="2150"/>
    <n v="143"/>
    <n v="307450"/>
    <m/>
  </r>
  <r>
    <x v="5"/>
    <s v="JUL"/>
    <x v="19"/>
    <s v="GRSM 4"/>
    <x v="0"/>
    <s v="GMM"/>
    <n v="189901"/>
    <n v="1602057"/>
    <x v="10"/>
    <x v="15"/>
    <s v="CARBONARA"/>
    <n v="2150"/>
    <n v="133"/>
    <n v="285950"/>
    <m/>
  </r>
  <r>
    <x v="5"/>
    <s v="JUL"/>
    <x v="19"/>
    <s v="GRSM 4"/>
    <x v="0"/>
    <s v="GMM"/>
    <n v="189901"/>
    <n v="1602057"/>
    <x v="10"/>
    <x v="15"/>
    <s v="AGLIO OLIO"/>
    <n v="2150"/>
    <n v="151"/>
    <n v="324650"/>
    <m/>
  </r>
  <r>
    <x v="5"/>
    <s v="JUL"/>
    <x v="19"/>
    <s v="GRSM 4"/>
    <x v="0"/>
    <s v="GMM"/>
    <n v="189901"/>
    <n v="1602057"/>
    <x v="10"/>
    <x v="15"/>
    <s v="GORENG"/>
    <n v="2150"/>
    <n v="197"/>
    <n v="423550"/>
    <n v="160"/>
  </r>
  <r>
    <x v="5"/>
    <s v="JUL"/>
    <x v="19"/>
    <s v="GRSM 4"/>
    <x v="0"/>
    <s v="GMM"/>
    <n v="189901"/>
    <n v="1602057"/>
    <x v="10"/>
    <x v="24"/>
    <s v="BOLOGNESE"/>
    <n v="2150"/>
    <n v="124"/>
    <n v="266600"/>
    <m/>
  </r>
  <r>
    <x v="5"/>
    <s v="JUL"/>
    <x v="19"/>
    <s v="GRSM 4"/>
    <x v="0"/>
    <s v="GMM"/>
    <n v="189901"/>
    <n v="1602057"/>
    <x v="10"/>
    <x v="24"/>
    <s v="CARBONARA"/>
    <n v="2150"/>
    <n v="141"/>
    <n v="303150"/>
    <m/>
  </r>
  <r>
    <x v="5"/>
    <s v="JUL"/>
    <x v="19"/>
    <s v="GRSM 4"/>
    <x v="0"/>
    <s v="GMM"/>
    <n v="189901"/>
    <n v="1602057"/>
    <x v="10"/>
    <x v="24"/>
    <s v="AGLIO OLIO"/>
    <n v="2150"/>
    <n v="146"/>
    <n v="313900"/>
    <m/>
  </r>
  <r>
    <x v="5"/>
    <s v="JUL"/>
    <x v="19"/>
    <s v="GRSM 4"/>
    <x v="0"/>
    <s v="GMM"/>
    <n v="189901"/>
    <n v="1602057"/>
    <x v="10"/>
    <x v="24"/>
    <s v="GORENG"/>
    <n v="2150"/>
    <n v="209"/>
    <n v="449350"/>
    <n v="160"/>
  </r>
  <r>
    <x v="5"/>
    <s v="JUL"/>
    <x v="19"/>
    <s v="GRSM 4"/>
    <x v="0"/>
    <s v="GMM"/>
    <n v="189901"/>
    <n v="1602018"/>
    <x v="14"/>
    <x v="23"/>
    <s v="BOLOGNESE"/>
    <n v="3500"/>
    <n v="20"/>
    <n v="70000"/>
    <m/>
  </r>
  <r>
    <x v="5"/>
    <s v="JUL"/>
    <x v="19"/>
    <s v="GRSM 4"/>
    <x v="0"/>
    <s v="GMM"/>
    <n v="189901"/>
    <n v="1602018"/>
    <x v="14"/>
    <x v="23"/>
    <s v="CARBONARA"/>
    <n v="3500"/>
    <n v="20"/>
    <n v="70000"/>
    <m/>
  </r>
  <r>
    <x v="5"/>
    <s v="JUL"/>
    <x v="19"/>
    <s v="GRSM 4"/>
    <x v="0"/>
    <s v="GMM"/>
    <n v="189901"/>
    <n v="1602018"/>
    <x v="14"/>
    <x v="23"/>
    <s v="AGLIO OLIO"/>
    <n v="3500"/>
    <n v="15"/>
    <n v="52500"/>
    <m/>
  </r>
  <r>
    <x v="5"/>
    <s v="JUL"/>
    <x v="19"/>
    <s v="GRSM 4"/>
    <x v="0"/>
    <s v="GMM"/>
    <n v="189901"/>
    <n v="1602018"/>
    <x v="14"/>
    <x v="23"/>
    <s v="GORENG"/>
    <n v="3500"/>
    <n v="60"/>
    <n v="210000"/>
    <n v="160"/>
  </r>
  <r>
    <x v="5"/>
    <s v="JUL"/>
    <x v="17"/>
    <s v="GRSM 5"/>
    <x v="1"/>
    <s v="GMM"/>
    <n v="170220"/>
    <n v="9000015"/>
    <x v="15"/>
    <x v="28"/>
    <s v="BOLOGNESE"/>
    <n v="3300"/>
    <n v="63"/>
    <n v="207900"/>
    <m/>
  </r>
  <r>
    <x v="5"/>
    <s v="JUL"/>
    <x v="17"/>
    <s v="GRSM 5"/>
    <x v="1"/>
    <s v="GMM"/>
    <n v="170220"/>
    <n v="9000015"/>
    <x v="15"/>
    <x v="28"/>
    <s v="CARBONARA"/>
    <n v="3300"/>
    <n v="85"/>
    <n v="280500"/>
    <m/>
  </r>
  <r>
    <x v="5"/>
    <s v="JUL"/>
    <x v="17"/>
    <s v="GRSM 5"/>
    <x v="1"/>
    <s v="GMM"/>
    <n v="170220"/>
    <n v="9000015"/>
    <x v="15"/>
    <x v="28"/>
    <s v="AGLIO OLIO"/>
    <n v="3300"/>
    <n v="34"/>
    <n v="112200"/>
    <n v="50"/>
  </r>
  <r>
    <x v="5"/>
    <s v="JUL"/>
    <x v="18"/>
    <s v="GRSM 5"/>
    <x v="1"/>
    <s v="GMM"/>
    <n v="170220"/>
    <n v="9000015"/>
    <x v="15"/>
    <x v="28"/>
    <s v="BOLOGNESE"/>
    <n v="3300"/>
    <n v="128"/>
    <n v="422400"/>
    <m/>
  </r>
  <r>
    <x v="5"/>
    <s v="JUL"/>
    <x v="18"/>
    <s v="GRSM 5"/>
    <x v="1"/>
    <s v="GMM"/>
    <n v="170220"/>
    <n v="9000015"/>
    <x v="15"/>
    <x v="28"/>
    <s v="CARBONARA"/>
    <n v="3300"/>
    <n v="62"/>
    <n v="204600"/>
    <m/>
  </r>
  <r>
    <x v="5"/>
    <s v="JUL"/>
    <x v="18"/>
    <s v="GRSM 5"/>
    <x v="1"/>
    <s v="GMM"/>
    <n v="170220"/>
    <n v="9000015"/>
    <x v="15"/>
    <x v="28"/>
    <s v="AGLIO OLIO"/>
    <n v="3300"/>
    <n v="34"/>
    <n v="112200"/>
    <m/>
  </r>
  <r>
    <x v="5"/>
    <s v="JUL"/>
    <x v="18"/>
    <s v="GRSM 5"/>
    <x v="1"/>
    <s v="GMM"/>
    <n v="170220"/>
    <n v="9000015"/>
    <x v="15"/>
    <x v="28"/>
    <s v="GORENG"/>
    <n v="3300"/>
    <n v="58"/>
    <n v="191400"/>
    <n v="50"/>
  </r>
  <r>
    <x v="5"/>
    <s v="JUL"/>
    <x v="19"/>
    <s v="GRSM 5"/>
    <x v="1"/>
    <s v="GMM"/>
    <n v="170220"/>
    <n v="9000015"/>
    <x v="15"/>
    <x v="28"/>
    <s v="BOLOGNESE"/>
    <n v="3300"/>
    <n v="127"/>
    <n v="419100"/>
    <m/>
  </r>
  <r>
    <x v="5"/>
    <s v="JUL"/>
    <x v="19"/>
    <s v="GRSM 5"/>
    <x v="1"/>
    <s v="GMM"/>
    <n v="170220"/>
    <n v="9000015"/>
    <x v="15"/>
    <x v="28"/>
    <s v="CARBONARA"/>
    <n v="3300"/>
    <n v="78"/>
    <n v="257400"/>
    <m/>
  </r>
  <r>
    <x v="5"/>
    <s v="JUL"/>
    <x v="19"/>
    <s v="GRSM 5"/>
    <x v="1"/>
    <s v="GMM"/>
    <n v="170220"/>
    <n v="9000015"/>
    <x v="15"/>
    <x v="28"/>
    <s v="AGLIO OLIO"/>
    <n v="3300"/>
    <n v="44"/>
    <n v="145200"/>
    <m/>
  </r>
  <r>
    <x v="5"/>
    <s v="JUL"/>
    <x v="19"/>
    <s v="GRSM 5"/>
    <x v="1"/>
    <s v="GMM"/>
    <n v="170220"/>
    <n v="9000015"/>
    <x v="15"/>
    <x v="28"/>
    <s v="GORENG"/>
    <n v="3300"/>
    <n v="255"/>
    <n v="841500"/>
    <n v="50"/>
  </r>
  <r>
    <x v="5"/>
    <s v="JUL"/>
    <x v="17"/>
    <s v="GRSM 5"/>
    <x v="1"/>
    <s v="GMM"/>
    <n v="170220"/>
    <n v="9000015"/>
    <x v="15"/>
    <x v="29"/>
    <s v="BOLOGNESE"/>
    <n v="3300"/>
    <n v="63"/>
    <n v="207900"/>
    <m/>
  </r>
  <r>
    <x v="5"/>
    <s v="JUL"/>
    <x v="17"/>
    <s v="GRSM 5"/>
    <x v="1"/>
    <s v="GMM"/>
    <n v="170220"/>
    <n v="9000015"/>
    <x v="15"/>
    <x v="29"/>
    <s v="CARBONARA"/>
    <n v="3300"/>
    <n v="85"/>
    <n v="280500"/>
    <m/>
  </r>
  <r>
    <x v="5"/>
    <s v="JUL"/>
    <x v="17"/>
    <s v="GRSM 5"/>
    <x v="1"/>
    <s v="GMM"/>
    <n v="170220"/>
    <n v="9000015"/>
    <x v="15"/>
    <x v="29"/>
    <s v="AGLIO OLIO"/>
    <n v="3300"/>
    <n v="34"/>
    <n v="112200"/>
    <n v="50"/>
  </r>
  <r>
    <x v="5"/>
    <s v="JUL"/>
    <x v="18"/>
    <s v="GRSM 5"/>
    <x v="1"/>
    <s v="GMM"/>
    <n v="170220"/>
    <n v="9000015"/>
    <x v="15"/>
    <x v="29"/>
    <s v="BOLOGNESE"/>
    <n v="3300"/>
    <n v="128"/>
    <n v="422400"/>
    <m/>
  </r>
  <r>
    <x v="5"/>
    <s v="JUL"/>
    <x v="18"/>
    <s v="GRSM 5"/>
    <x v="1"/>
    <s v="GMM"/>
    <n v="170220"/>
    <n v="9000015"/>
    <x v="15"/>
    <x v="29"/>
    <s v="CARBONARA"/>
    <n v="3300"/>
    <n v="62"/>
    <n v="204600"/>
    <m/>
  </r>
  <r>
    <x v="5"/>
    <s v="JUL"/>
    <x v="18"/>
    <s v="GRSM 5"/>
    <x v="1"/>
    <s v="GMM"/>
    <n v="170220"/>
    <n v="9000015"/>
    <x v="15"/>
    <x v="29"/>
    <s v="AGLIO OLIO"/>
    <n v="3300"/>
    <n v="34"/>
    <n v="112200"/>
    <m/>
  </r>
  <r>
    <x v="5"/>
    <s v="JUL"/>
    <x v="18"/>
    <s v="GRSM 5"/>
    <x v="1"/>
    <s v="GMM"/>
    <n v="170220"/>
    <n v="9000015"/>
    <x v="15"/>
    <x v="29"/>
    <s v="GORENG"/>
    <n v="3300"/>
    <n v="58"/>
    <n v="191400"/>
    <n v="50"/>
  </r>
  <r>
    <x v="5"/>
    <s v="JUL"/>
    <x v="19"/>
    <s v="GRSM 5"/>
    <x v="1"/>
    <s v="GMM"/>
    <n v="170220"/>
    <n v="9000015"/>
    <x v="15"/>
    <x v="29"/>
    <s v="BOLOGNESE"/>
    <n v="3300"/>
    <n v="127"/>
    <n v="419100"/>
    <m/>
  </r>
  <r>
    <x v="5"/>
    <s v="JUL"/>
    <x v="19"/>
    <s v="GRSM 5"/>
    <x v="1"/>
    <s v="GMM"/>
    <n v="170220"/>
    <n v="9000015"/>
    <x v="15"/>
    <x v="29"/>
    <s v="CARBONARA"/>
    <n v="3300"/>
    <n v="78"/>
    <n v="257400"/>
    <m/>
  </r>
  <r>
    <x v="5"/>
    <s v="JUL"/>
    <x v="19"/>
    <s v="GRSM 5"/>
    <x v="1"/>
    <s v="GMM"/>
    <n v="170220"/>
    <n v="9000015"/>
    <x v="15"/>
    <x v="29"/>
    <s v="AGLIO OLIO"/>
    <n v="3300"/>
    <n v="44"/>
    <n v="145200"/>
    <m/>
  </r>
  <r>
    <x v="5"/>
    <s v="JUL"/>
    <x v="19"/>
    <s v="GRSM 5"/>
    <x v="1"/>
    <s v="GMM"/>
    <n v="170220"/>
    <n v="9000015"/>
    <x v="15"/>
    <x v="29"/>
    <s v="GORENG"/>
    <n v="3300"/>
    <n v="255"/>
    <n v="841500"/>
    <n v="50"/>
  </r>
  <r>
    <x v="4"/>
    <s v="JUN"/>
    <x v="20"/>
    <s v="GRSM 3A"/>
    <x v="0"/>
    <s v="GMM"/>
    <n v="103272"/>
    <n v="1178"/>
    <x v="3"/>
    <x v="6"/>
    <s v="BOLOGNESE"/>
    <n v="3145"/>
    <n v="14"/>
    <n v="44030"/>
    <m/>
  </r>
  <r>
    <x v="4"/>
    <s v="JUN"/>
    <x v="20"/>
    <s v="GRSM 3A"/>
    <x v="0"/>
    <s v="GMM"/>
    <n v="103272"/>
    <n v="1178"/>
    <x v="3"/>
    <x v="6"/>
    <s v="CARBONARA"/>
    <n v="3145"/>
    <n v="20"/>
    <n v="62900"/>
    <m/>
  </r>
  <r>
    <x v="4"/>
    <s v="JUN"/>
    <x v="20"/>
    <s v="GRSM 3A"/>
    <x v="0"/>
    <s v="GMM"/>
    <n v="103272"/>
    <n v="1178"/>
    <x v="3"/>
    <x v="6"/>
    <s v="AGLIO OLIO"/>
    <n v="3145"/>
    <n v="9"/>
    <n v="28305"/>
    <m/>
  </r>
  <r>
    <x v="4"/>
    <s v="JUN"/>
    <x v="20"/>
    <s v="GRSM 3A"/>
    <x v="0"/>
    <s v="GMM"/>
    <n v="103272"/>
    <n v="1178"/>
    <x v="3"/>
    <x v="6"/>
    <s v="GORENG"/>
    <n v="3145"/>
    <n v="42"/>
    <n v="132090"/>
    <n v="100"/>
  </r>
  <r>
    <x v="4"/>
    <s v="JUN"/>
    <x v="20"/>
    <s v="GRSM 3A"/>
    <x v="0"/>
    <s v="GMM"/>
    <n v="103272"/>
    <n v="1178"/>
    <x v="3"/>
    <x v="20"/>
    <s v="BOLOGNESE"/>
    <n v="3145"/>
    <n v="14"/>
    <n v="44030"/>
    <m/>
  </r>
  <r>
    <x v="4"/>
    <s v="JUN"/>
    <x v="20"/>
    <s v="GRSM 3A"/>
    <x v="0"/>
    <s v="GMM"/>
    <n v="103272"/>
    <n v="1178"/>
    <x v="3"/>
    <x v="20"/>
    <s v="CARBONARA"/>
    <n v="3145"/>
    <n v="20"/>
    <n v="62900"/>
    <m/>
  </r>
  <r>
    <x v="4"/>
    <s v="JUN"/>
    <x v="20"/>
    <s v="GRSM 3A"/>
    <x v="0"/>
    <s v="GMM"/>
    <n v="103272"/>
    <n v="1178"/>
    <x v="3"/>
    <x v="20"/>
    <s v="AGLIO OLIO"/>
    <n v="3145"/>
    <n v="9"/>
    <n v="28305"/>
    <m/>
  </r>
  <r>
    <x v="4"/>
    <s v="JUN"/>
    <x v="20"/>
    <s v="GRSM 3A"/>
    <x v="0"/>
    <s v="GMM"/>
    <n v="103272"/>
    <n v="1178"/>
    <x v="3"/>
    <x v="20"/>
    <s v="GORENG"/>
    <n v="3145"/>
    <n v="42"/>
    <n v="132090"/>
    <n v="100"/>
  </r>
  <r>
    <x v="5"/>
    <s v="JUN"/>
    <x v="21"/>
    <s v="GRSM 3A"/>
    <x v="0"/>
    <s v="GMM"/>
    <n v="103272"/>
    <n v="1178"/>
    <x v="3"/>
    <x v="6"/>
    <s v="BOLOGNESE"/>
    <n v="3145"/>
    <n v="10"/>
    <n v="31450"/>
    <m/>
  </r>
  <r>
    <x v="5"/>
    <s v="JUN"/>
    <x v="21"/>
    <s v="GRSM 3A"/>
    <x v="0"/>
    <s v="GMM"/>
    <n v="103272"/>
    <n v="1178"/>
    <x v="3"/>
    <x v="6"/>
    <s v="CARBONARA"/>
    <n v="3145"/>
    <n v="40"/>
    <n v="125800"/>
    <m/>
  </r>
  <r>
    <x v="5"/>
    <s v="JUN"/>
    <x v="21"/>
    <s v="GRSM 3A"/>
    <x v="0"/>
    <s v="GMM"/>
    <n v="103272"/>
    <n v="1178"/>
    <x v="3"/>
    <x v="6"/>
    <s v="AGLIO OLIO"/>
    <n v="3145"/>
    <n v="7"/>
    <n v="22015"/>
    <m/>
  </r>
  <r>
    <x v="5"/>
    <s v="JUN"/>
    <x v="21"/>
    <s v="GRSM 3A"/>
    <x v="0"/>
    <s v="GMM"/>
    <n v="103272"/>
    <n v="1178"/>
    <x v="3"/>
    <x v="6"/>
    <s v="GORENG"/>
    <n v="3145"/>
    <n v="43"/>
    <n v="135235"/>
    <n v="100"/>
  </r>
  <r>
    <x v="5"/>
    <s v="JUN"/>
    <x v="21"/>
    <s v="GRSM 3A"/>
    <x v="0"/>
    <s v="GMM"/>
    <n v="103272"/>
    <n v="1178"/>
    <x v="3"/>
    <x v="20"/>
    <s v="BOLOGNESE"/>
    <n v="3145"/>
    <n v="10"/>
    <n v="31450"/>
    <m/>
  </r>
  <r>
    <x v="5"/>
    <s v="JUN"/>
    <x v="21"/>
    <s v="GRSM 3A"/>
    <x v="0"/>
    <s v="GMM"/>
    <n v="103272"/>
    <n v="1178"/>
    <x v="3"/>
    <x v="20"/>
    <s v="CARBONARA"/>
    <n v="3145"/>
    <n v="40"/>
    <n v="125800"/>
    <m/>
  </r>
  <r>
    <x v="5"/>
    <s v="JUN"/>
    <x v="21"/>
    <s v="GRSM 3A"/>
    <x v="0"/>
    <s v="GMM"/>
    <n v="103272"/>
    <n v="1178"/>
    <x v="3"/>
    <x v="20"/>
    <s v="AGLIO OLIO"/>
    <n v="3145"/>
    <n v="7"/>
    <n v="22015"/>
    <m/>
  </r>
  <r>
    <x v="5"/>
    <s v="JUN"/>
    <x v="21"/>
    <s v="GRSM 3A"/>
    <x v="0"/>
    <s v="GMM"/>
    <n v="103272"/>
    <n v="1178"/>
    <x v="3"/>
    <x v="20"/>
    <s v="GORENG"/>
    <n v="3145"/>
    <n v="43"/>
    <n v="135235"/>
    <n v="100"/>
  </r>
  <r>
    <x v="5"/>
    <s v="JUL"/>
    <x v="17"/>
    <s v="GRSM 4"/>
    <x v="0"/>
    <s v="GMM"/>
    <n v="189901"/>
    <n v="1602018"/>
    <x v="14"/>
    <x v="23"/>
    <s v="BOLOGNESE"/>
    <n v="3500"/>
    <n v="25"/>
    <n v="87500"/>
    <m/>
  </r>
  <r>
    <x v="5"/>
    <s v="JUL"/>
    <x v="17"/>
    <s v="GRSM 4"/>
    <x v="0"/>
    <s v="GMM"/>
    <n v="189901"/>
    <n v="1602018"/>
    <x v="14"/>
    <x v="23"/>
    <s v="CARBONARA"/>
    <n v="3500"/>
    <n v="25"/>
    <n v="87500"/>
    <m/>
  </r>
  <r>
    <x v="5"/>
    <s v="JUL"/>
    <x v="17"/>
    <s v="GRSM 4"/>
    <x v="0"/>
    <s v="GMM"/>
    <n v="189901"/>
    <n v="1602018"/>
    <x v="14"/>
    <x v="23"/>
    <s v="AGLIO OLIO"/>
    <n v="3500"/>
    <n v="23"/>
    <n v="80500"/>
    <m/>
  </r>
  <r>
    <x v="5"/>
    <s v="JUL"/>
    <x v="17"/>
    <s v="GRSM 4"/>
    <x v="0"/>
    <s v="GMM"/>
    <n v="189901"/>
    <n v="1602018"/>
    <x v="14"/>
    <x v="23"/>
    <s v="GORENG"/>
    <n v="3500"/>
    <n v="40"/>
    <n v="140000"/>
    <n v="160"/>
  </r>
  <r>
    <x v="5"/>
    <s v="JUL"/>
    <x v="18"/>
    <s v="GRSM 4"/>
    <x v="0"/>
    <s v="GMM"/>
    <n v="189901"/>
    <n v="1602018"/>
    <x v="14"/>
    <x v="23"/>
    <s v="BOLOGNESE"/>
    <n v="3500"/>
    <n v="20"/>
    <n v="70000"/>
    <m/>
  </r>
  <r>
    <x v="5"/>
    <s v="JUL"/>
    <x v="18"/>
    <s v="GRSM 4"/>
    <x v="0"/>
    <s v="GMM"/>
    <n v="189901"/>
    <n v="1602018"/>
    <x v="14"/>
    <x v="23"/>
    <s v="CARBONARA"/>
    <n v="3500"/>
    <n v="25"/>
    <n v="87500"/>
    <m/>
  </r>
  <r>
    <x v="5"/>
    <s v="JUL"/>
    <x v="18"/>
    <s v="GRSM 4"/>
    <x v="0"/>
    <s v="GMM"/>
    <n v="189901"/>
    <n v="1602018"/>
    <x v="14"/>
    <x v="23"/>
    <s v="AGLIO OLIO"/>
    <n v="3500"/>
    <n v="15"/>
    <n v="52500"/>
    <m/>
  </r>
  <r>
    <x v="5"/>
    <s v="JUL"/>
    <x v="18"/>
    <s v="GRSM 4"/>
    <x v="0"/>
    <s v="GMM"/>
    <n v="189901"/>
    <n v="1602018"/>
    <x v="14"/>
    <x v="23"/>
    <s v="GORENG"/>
    <n v="3500"/>
    <n v="40"/>
    <n v="140000"/>
    <n v="160"/>
  </r>
  <r>
    <x v="5"/>
    <s v="JUL"/>
    <x v="18"/>
    <s v="GRSM 4"/>
    <x v="0"/>
    <s v="NKA"/>
    <n v="490034"/>
    <n v="209554"/>
    <x v="8"/>
    <x v="18"/>
    <s v="BOLOGNESE"/>
    <n v="3275"/>
    <n v="43"/>
    <n v="140825"/>
    <m/>
  </r>
  <r>
    <x v="5"/>
    <s v="JUL"/>
    <x v="18"/>
    <s v="GRSM 4"/>
    <x v="0"/>
    <s v="NKA"/>
    <n v="490034"/>
    <n v="209554"/>
    <x v="8"/>
    <x v="18"/>
    <s v="CARBONARA"/>
    <n v="3275"/>
    <n v="31"/>
    <n v="101525"/>
    <m/>
  </r>
  <r>
    <x v="5"/>
    <s v="JUL"/>
    <x v="18"/>
    <s v="GRSM 4"/>
    <x v="0"/>
    <s v="NKA"/>
    <n v="490034"/>
    <n v="209554"/>
    <x v="8"/>
    <x v="18"/>
    <s v="AGLIO OLIO"/>
    <n v="3275"/>
    <n v="16"/>
    <n v="52400"/>
    <m/>
  </r>
  <r>
    <x v="5"/>
    <s v="JUL"/>
    <x v="18"/>
    <s v="GRSM 4"/>
    <x v="0"/>
    <s v="NKA"/>
    <n v="490034"/>
    <n v="209554"/>
    <x v="8"/>
    <x v="18"/>
    <s v="GORENG"/>
    <n v="3275"/>
    <n v="154"/>
    <n v="504350"/>
    <n v="160"/>
  </r>
  <r>
    <x v="5"/>
    <s v="JUL"/>
    <x v="18"/>
    <s v="GRSM 4"/>
    <x v="0"/>
    <s v="GMM"/>
    <n v="103277"/>
    <n v="6300700"/>
    <x v="11"/>
    <x v="12"/>
    <s v="BOLOGNESE"/>
    <n v="3000"/>
    <n v="45"/>
    <n v="135000"/>
    <m/>
  </r>
  <r>
    <x v="5"/>
    <s v="JUL"/>
    <x v="18"/>
    <s v="GRSM 4"/>
    <x v="0"/>
    <s v="GMM"/>
    <n v="103277"/>
    <n v="6300700"/>
    <x v="11"/>
    <x v="12"/>
    <s v="CARBONARA"/>
    <n v="3000"/>
    <n v="50"/>
    <n v="150000"/>
    <m/>
  </r>
  <r>
    <x v="5"/>
    <s v="JUL"/>
    <x v="18"/>
    <s v="GRSM 4"/>
    <x v="0"/>
    <s v="GMM"/>
    <n v="103277"/>
    <n v="6300700"/>
    <x v="11"/>
    <x v="12"/>
    <s v="AGLIO OLIO"/>
    <n v="3000"/>
    <n v="35"/>
    <n v="105000"/>
    <m/>
  </r>
  <r>
    <x v="5"/>
    <s v="JUL"/>
    <x v="18"/>
    <s v="GRSM 4"/>
    <x v="0"/>
    <s v="GMM"/>
    <n v="103277"/>
    <n v="6300700"/>
    <x v="11"/>
    <x v="12"/>
    <s v="GORENG"/>
    <n v="3000"/>
    <n v="150"/>
    <n v="450000"/>
    <m/>
  </r>
  <r>
    <x v="5"/>
    <s v="JUL"/>
    <x v="19"/>
    <s v="GRSM 4"/>
    <x v="0"/>
    <s v="GMM"/>
    <n v="103277"/>
    <n v="6300700"/>
    <x v="11"/>
    <x v="12"/>
    <s v="BOLOGNESE"/>
    <n v="3000"/>
    <n v="69"/>
    <n v="207000"/>
    <m/>
  </r>
  <r>
    <x v="5"/>
    <s v="JUL"/>
    <x v="19"/>
    <s v="GRSM 4"/>
    <x v="0"/>
    <s v="GMM"/>
    <n v="103277"/>
    <n v="6300700"/>
    <x v="11"/>
    <x v="12"/>
    <s v="CARBONARA"/>
    <n v="3000"/>
    <n v="72"/>
    <n v="216000"/>
    <m/>
  </r>
  <r>
    <x v="5"/>
    <s v="JUL"/>
    <x v="19"/>
    <s v="GRSM 4"/>
    <x v="0"/>
    <s v="GMM"/>
    <n v="103277"/>
    <n v="6300700"/>
    <x v="11"/>
    <x v="12"/>
    <s v="AGLIO OLIO"/>
    <n v="3000"/>
    <n v="70"/>
    <n v="210000"/>
    <m/>
  </r>
  <r>
    <x v="5"/>
    <s v="JUL"/>
    <x v="19"/>
    <s v="GRSM 4"/>
    <x v="0"/>
    <s v="GMM"/>
    <n v="103277"/>
    <n v="6300700"/>
    <x v="11"/>
    <x v="12"/>
    <s v="GORENG"/>
    <n v="3000"/>
    <n v="185"/>
    <n v="555000"/>
    <n v="160"/>
  </r>
  <r>
    <x v="5"/>
    <s v="JUL"/>
    <x v="19"/>
    <s v="GRSM 4"/>
    <x v="0"/>
    <s v="NKA"/>
    <n v="490034"/>
    <n v="209554"/>
    <x v="8"/>
    <x v="18"/>
    <s v="BOLOGNESE"/>
    <n v="3275"/>
    <n v="52"/>
    <n v="170300"/>
    <m/>
  </r>
  <r>
    <x v="5"/>
    <s v="JUL"/>
    <x v="19"/>
    <s v="GRSM 4"/>
    <x v="0"/>
    <s v="NKA"/>
    <n v="490034"/>
    <n v="209554"/>
    <x v="8"/>
    <x v="18"/>
    <s v="CARBONARA"/>
    <n v="3275"/>
    <n v="58"/>
    <n v="189950"/>
    <m/>
  </r>
  <r>
    <x v="5"/>
    <s v="JUL"/>
    <x v="19"/>
    <s v="GRSM 4"/>
    <x v="0"/>
    <s v="NKA"/>
    <n v="490034"/>
    <n v="209554"/>
    <x v="8"/>
    <x v="18"/>
    <s v="AGLIO OLIO"/>
    <n v="3275"/>
    <n v="37"/>
    <n v="121175"/>
    <m/>
  </r>
  <r>
    <x v="5"/>
    <s v="JUL"/>
    <x v="19"/>
    <s v="GRSM 4"/>
    <x v="0"/>
    <s v="NKA"/>
    <n v="490034"/>
    <n v="209554"/>
    <x v="8"/>
    <x v="18"/>
    <s v="GORENG"/>
    <n v="3275"/>
    <n v="119"/>
    <n v="389725"/>
    <n v="160"/>
  </r>
  <r>
    <x v="5"/>
    <s v="JUL"/>
    <x v="19"/>
    <s v="GRSM 4"/>
    <x v="0"/>
    <s v="NKA"/>
    <n v="490034"/>
    <n v="209554"/>
    <x v="8"/>
    <x v="19"/>
    <s v="BOLOGNESE"/>
    <n v="3275"/>
    <n v="52"/>
    <n v="170300"/>
    <m/>
  </r>
  <r>
    <x v="5"/>
    <s v="JUL"/>
    <x v="19"/>
    <s v="GRSM 4"/>
    <x v="0"/>
    <s v="NKA"/>
    <n v="490034"/>
    <n v="209554"/>
    <x v="8"/>
    <x v="19"/>
    <s v="CARBONARA"/>
    <n v="3275"/>
    <n v="58"/>
    <n v="189950"/>
    <m/>
  </r>
  <r>
    <x v="5"/>
    <s v="JUL"/>
    <x v="19"/>
    <s v="GRSM 4"/>
    <x v="0"/>
    <s v="NKA"/>
    <n v="490034"/>
    <n v="209554"/>
    <x v="8"/>
    <x v="19"/>
    <s v="AGLIO OLIO"/>
    <n v="3275"/>
    <n v="37"/>
    <n v="121175"/>
    <m/>
  </r>
  <r>
    <x v="5"/>
    <s v="JUL"/>
    <x v="19"/>
    <s v="GRSM 4"/>
    <x v="0"/>
    <s v="NKA"/>
    <n v="490034"/>
    <n v="209554"/>
    <x v="8"/>
    <x v="19"/>
    <s v="GORENG"/>
    <n v="3275"/>
    <n v="119"/>
    <n v="389725"/>
    <n v="160"/>
  </r>
  <r>
    <x v="5"/>
    <s v="JUL"/>
    <x v="17"/>
    <s v="GRSM 4"/>
    <x v="0"/>
    <s v="GMM"/>
    <n v="189901"/>
    <n v="1602008"/>
    <x v="13"/>
    <x v="14"/>
    <s v="BOLOGNESE"/>
    <n v="3300"/>
    <n v="40"/>
    <n v="132000"/>
    <m/>
  </r>
  <r>
    <x v="5"/>
    <s v="JUL"/>
    <x v="17"/>
    <s v="GRSM 4"/>
    <x v="0"/>
    <s v="GMM"/>
    <n v="189901"/>
    <n v="1602008"/>
    <x v="13"/>
    <x v="14"/>
    <s v="CARBONARA"/>
    <n v="3300"/>
    <n v="40"/>
    <n v="132000"/>
    <m/>
  </r>
  <r>
    <x v="5"/>
    <s v="JUL"/>
    <x v="17"/>
    <s v="GRSM 4"/>
    <x v="0"/>
    <s v="GMM"/>
    <n v="189901"/>
    <n v="1602008"/>
    <x v="13"/>
    <x v="14"/>
    <s v="AGLIO OLIO"/>
    <n v="3300"/>
    <n v="40"/>
    <n v="132000"/>
    <m/>
  </r>
  <r>
    <x v="5"/>
    <s v="JUL"/>
    <x v="17"/>
    <s v="GRSM 4"/>
    <x v="0"/>
    <s v="GMM"/>
    <n v="189901"/>
    <n v="1602008"/>
    <x v="13"/>
    <x v="14"/>
    <s v="GORENG"/>
    <n v="3300"/>
    <n v="100"/>
    <n v="330000"/>
    <n v="160"/>
  </r>
  <r>
    <x v="5"/>
    <s v="JUL"/>
    <x v="18"/>
    <s v="GRSM 4"/>
    <x v="0"/>
    <s v="GMM"/>
    <n v="189901"/>
    <n v="1602008"/>
    <x v="13"/>
    <x v="14"/>
    <s v="BOLOGNESE"/>
    <n v="3300"/>
    <n v="30"/>
    <n v="99000"/>
    <m/>
  </r>
  <r>
    <x v="5"/>
    <s v="JUL"/>
    <x v="18"/>
    <s v="GRSM 4"/>
    <x v="0"/>
    <s v="GMM"/>
    <n v="189901"/>
    <n v="1602008"/>
    <x v="13"/>
    <x v="14"/>
    <s v="CARBONARA"/>
    <n v="3300"/>
    <n v="30"/>
    <n v="99000"/>
    <m/>
  </r>
  <r>
    <x v="5"/>
    <s v="JUL"/>
    <x v="18"/>
    <s v="GRSM 4"/>
    <x v="0"/>
    <s v="GMM"/>
    <n v="189901"/>
    <n v="1602008"/>
    <x v="13"/>
    <x v="14"/>
    <s v="AGLIO OLIO"/>
    <n v="3300"/>
    <n v="40"/>
    <n v="132000"/>
    <m/>
  </r>
  <r>
    <x v="5"/>
    <s v="JUL"/>
    <x v="18"/>
    <s v="GRSM 4"/>
    <x v="0"/>
    <s v="GMM"/>
    <n v="189901"/>
    <n v="1602008"/>
    <x v="13"/>
    <x v="14"/>
    <s v="GORENG"/>
    <n v="3300"/>
    <n v="120"/>
    <n v="396000"/>
    <n v="160"/>
  </r>
  <r>
    <x v="5"/>
    <s v="JUL"/>
    <x v="19"/>
    <s v="GRSM 4"/>
    <x v="0"/>
    <s v="GMM"/>
    <n v="189901"/>
    <n v="1602008"/>
    <x v="13"/>
    <x v="14"/>
    <s v="BOLOGNESE"/>
    <n v="3300"/>
    <n v="50"/>
    <n v="165000"/>
    <m/>
  </r>
  <r>
    <x v="5"/>
    <s v="JUL"/>
    <x v="19"/>
    <s v="GRSM 4"/>
    <x v="0"/>
    <s v="GMM"/>
    <n v="189901"/>
    <n v="1602008"/>
    <x v="13"/>
    <x v="14"/>
    <s v="CARBONARA"/>
    <n v="3300"/>
    <n v="50"/>
    <n v="165000"/>
    <m/>
  </r>
  <r>
    <x v="5"/>
    <s v="JUL"/>
    <x v="19"/>
    <s v="GRSM 4"/>
    <x v="0"/>
    <s v="GMM"/>
    <n v="189901"/>
    <n v="1602008"/>
    <x v="13"/>
    <x v="14"/>
    <s v="AGLIO OLIO"/>
    <n v="3300"/>
    <n v="50"/>
    <n v="165000"/>
    <m/>
  </r>
  <r>
    <x v="5"/>
    <s v="JUL"/>
    <x v="19"/>
    <s v="GRSM 4"/>
    <x v="0"/>
    <s v="GMM"/>
    <n v="189901"/>
    <n v="1602008"/>
    <x v="13"/>
    <x v="14"/>
    <s v="GORENG"/>
    <n v="3300"/>
    <n v="170"/>
    <n v="561000"/>
    <n v="160"/>
  </r>
  <r>
    <x v="5"/>
    <s v="JUL"/>
    <x v="17"/>
    <s v="GRSM 4"/>
    <x v="0"/>
    <s v="GMM"/>
    <n v="189901"/>
    <n v="1602018"/>
    <x v="14"/>
    <x v="30"/>
    <s v="BOLOGNESE"/>
    <n v="3500"/>
    <n v="25"/>
    <n v="87500"/>
    <m/>
  </r>
  <r>
    <x v="5"/>
    <s v="JUL"/>
    <x v="17"/>
    <s v="GRSM 4"/>
    <x v="0"/>
    <s v="GMM"/>
    <n v="189901"/>
    <n v="1602018"/>
    <x v="14"/>
    <x v="30"/>
    <s v="CARBONARA"/>
    <n v="3500"/>
    <n v="25"/>
    <n v="87500"/>
    <m/>
  </r>
  <r>
    <x v="5"/>
    <s v="JUL"/>
    <x v="17"/>
    <s v="GRSM 4"/>
    <x v="0"/>
    <s v="GMM"/>
    <n v="189901"/>
    <n v="1602018"/>
    <x v="14"/>
    <x v="30"/>
    <s v="AGLIO OLIO"/>
    <n v="3500"/>
    <n v="23"/>
    <n v="80500"/>
    <m/>
  </r>
  <r>
    <x v="5"/>
    <s v="JUL"/>
    <x v="17"/>
    <s v="GRSM 4"/>
    <x v="0"/>
    <s v="GMM"/>
    <n v="189901"/>
    <n v="1602018"/>
    <x v="14"/>
    <x v="30"/>
    <s v="GORENG"/>
    <n v="3500"/>
    <n v="40"/>
    <n v="140000"/>
    <n v="160"/>
  </r>
  <r>
    <x v="5"/>
    <s v="JUL"/>
    <x v="18"/>
    <s v="GRSM 4"/>
    <x v="0"/>
    <s v="GMM"/>
    <n v="189901"/>
    <n v="1602018"/>
    <x v="14"/>
    <x v="30"/>
    <s v="BOLOGNESE"/>
    <n v="3500"/>
    <n v="20"/>
    <n v="70000"/>
    <m/>
  </r>
  <r>
    <x v="5"/>
    <s v="JUL"/>
    <x v="18"/>
    <s v="GRSM 4"/>
    <x v="0"/>
    <s v="GMM"/>
    <n v="189901"/>
    <n v="1602018"/>
    <x v="14"/>
    <x v="30"/>
    <s v="CARBONARA"/>
    <n v="3500"/>
    <n v="25"/>
    <n v="87500"/>
    <m/>
  </r>
  <r>
    <x v="5"/>
    <s v="JUL"/>
    <x v="18"/>
    <s v="GRSM 4"/>
    <x v="0"/>
    <s v="GMM"/>
    <n v="189901"/>
    <n v="1602018"/>
    <x v="14"/>
    <x v="30"/>
    <s v="AGLIO OLIO"/>
    <n v="3500"/>
    <n v="15"/>
    <n v="52500"/>
    <m/>
  </r>
  <r>
    <x v="5"/>
    <s v="JUL"/>
    <x v="18"/>
    <s v="GRSM 4"/>
    <x v="0"/>
    <s v="GMM"/>
    <n v="189901"/>
    <n v="1602018"/>
    <x v="14"/>
    <x v="30"/>
    <s v="GORENG"/>
    <n v="3500"/>
    <n v="40"/>
    <n v="140000"/>
    <n v="160"/>
  </r>
  <r>
    <x v="5"/>
    <s v="JUL"/>
    <x v="19"/>
    <s v="GRSM 4"/>
    <x v="0"/>
    <s v="GMM"/>
    <n v="189901"/>
    <n v="1602018"/>
    <x v="14"/>
    <x v="30"/>
    <s v="BOLOGNESE"/>
    <n v="3500"/>
    <n v="20"/>
    <n v="70000"/>
    <m/>
  </r>
  <r>
    <x v="5"/>
    <s v="JUL"/>
    <x v="19"/>
    <s v="GRSM 4"/>
    <x v="0"/>
    <s v="GMM"/>
    <n v="189901"/>
    <n v="1602018"/>
    <x v="14"/>
    <x v="30"/>
    <s v="CARBONARA"/>
    <n v="3500"/>
    <n v="20"/>
    <n v="70000"/>
    <m/>
  </r>
  <r>
    <x v="5"/>
    <s v="JUL"/>
    <x v="19"/>
    <s v="GRSM 4"/>
    <x v="0"/>
    <s v="GMM"/>
    <n v="189901"/>
    <n v="1602018"/>
    <x v="14"/>
    <x v="30"/>
    <s v="AGLIO OLIO"/>
    <n v="3500"/>
    <n v="15"/>
    <n v="52500"/>
    <m/>
  </r>
  <r>
    <x v="5"/>
    <s v="JUL"/>
    <x v="19"/>
    <s v="GRSM 4"/>
    <x v="0"/>
    <s v="GMM"/>
    <n v="189901"/>
    <n v="1602018"/>
    <x v="14"/>
    <x v="30"/>
    <s v="GORENG"/>
    <n v="3500"/>
    <n v="60"/>
    <n v="210000"/>
    <n v="160"/>
  </r>
  <r>
    <x v="6"/>
    <s v="JUL"/>
    <x v="22"/>
    <s v="GRSM 4"/>
    <x v="0"/>
    <s v="GMM"/>
    <n v="121409"/>
    <n v="5205014"/>
    <x v="12"/>
    <x v="26"/>
    <s v="BOLOGNESE"/>
    <n v="2100"/>
    <n v="89"/>
    <n v="186900"/>
    <m/>
  </r>
  <r>
    <x v="6"/>
    <s v="JUL"/>
    <x v="22"/>
    <s v="GRSM 4"/>
    <x v="0"/>
    <s v="GMM"/>
    <n v="121409"/>
    <n v="5205014"/>
    <x v="12"/>
    <x v="26"/>
    <s v="CARBONARA"/>
    <n v="2100"/>
    <n v="92"/>
    <n v="193200"/>
    <m/>
  </r>
  <r>
    <x v="6"/>
    <s v="JUL"/>
    <x v="22"/>
    <s v="GRSM 4"/>
    <x v="0"/>
    <s v="GMM"/>
    <n v="121409"/>
    <n v="5205014"/>
    <x v="12"/>
    <x v="26"/>
    <s v="AGLIO OLIO"/>
    <n v="2100"/>
    <n v="100"/>
    <n v="210000"/>
    <m/>
  </r>
  <r>
    <x v="6"/>
    <s v="JUL"/>
    <x v="22"/>
    <s v="GRSM 4"/>
    <x v="0"/>
    <s v="GMM"/>
    <n v="121409"/>
    <n v="5205014"/>
    <x v="12"/>
    <x v="26"/>
    <s v="GORENG"/>
    <n v="2100"/>
    <n v="171"/>
    <n v="359100"/>
    <n v="160"/>
  </r>
  <r>
    <x v="6"/>
    <s v="JUL"/>
    <x v="22"/>
    <s v="GRSM 4"/>
    <x v="0"/>
    <s v="GMM"/>
    <n v="121409"/>
    <n v="5205014"/>
    <x v="12"/>
    <x v="27"/>
    <s v="BOLOGNESE"/>
    <n v="2100"/>
    <n v="89"/>
    <n v="186900"/>
    <m/>
  </r>
  <r>
    <x v="6"/>
    <s v="JUL"/>
    <x v="22"/>
    <s v="GRSM 4"/>
    <x v="0"/>
    <s v="GMM"/>
    <n v="121409"/>
    <n v="5205014"/>
    <x v="12"/>
    <x v="27"/>
    <s v="CARBONARA"/>
    <n v="2100"/>
    <n v="92"/>
    <n v="193200"/>
    <m/>
  </r>
  <r>
    <x v="6"/>
    <s v="JUL"/>
    <x v="22"/>
    <s v="GRSM 4"/>
    <x v="0"/>
    <s v="GMM"/>
    <n v="121409"/>
    <n v="5205014"/>
    <x v="12"/>
    <x v="27"/>
    <s v="AGLIO OLIO"/>
    <n v="2100"/>
    <n v="100"/>
    <n v="210000"/>
    <m/>
  </r>
  <r>
    <x v="6"/>
    <s v="JUL"/>
    <x v="22"/>
    <s v="GRSM 4"/>
    <x v="0"/>
    <s v="GMM"/>
    <n v="121409"/>
    <n v="5205014"/>
    <x v="12"/>
    <x v="27"/>
    <s v="GORENG"/>
    <n v="2100"/>
    <n v="171"/>
    <n v="359100"/>
    <n v="160"/>
  </r>
  <r>
    <x v="6"/>
    <s v="JUL"/>
    <x v="22"/>
    <s v="GRSM 4"/>
    <x v="0"/>
    <s v="GMM"/>
    <n v="189901"/>
    <n v="1602057"/>
    <x v="10"/>
    <x v="15"/>
    <s v="BOLOGNESE"/>
    <n v="2150"/>
    <n v="101"/>
    <n v="217150"/>
    <m/>
  </r>
  <r>
    <x v="6"/>
    <s v="JUL"/>
    <x v="22"/>
    <s v="GRSM 4"/>
    <x v="0"/>
    <s v="GMM"/>
    <n v="189901"/>
    <n v="1602057"/>
    <x v="10"/>
    <x v="15"/>
    <s v="CARBONARA"/>
    <n v="2150"/>
    <n v="119"/>
    <n v="255850"/>
    <m/>
  </r>
  <r>
    <x v="6"/>
    <s v="JUL"/>
    <x v="22"/>
    <s v="GRSM 4"/>
    <x v="0"/>
    <s v="GMM"/>
    <n v="189901"/>
    <n v="1602057"/>
    <x v="10"/>
    <x v="15"/>
    <s v="AGLIO OLIO"/>
    <n v="2150"/>
    <n v="129"/>
    <n v="277350"/>
    <m/>
  </r>
  <r>
    <x v="6"/>
    <s v="JUL"/>
    <x v="22"/>
    <s v="GRSM 4"/>
    <x v="0"/>
    <s v="GMM"/>
    <n v="189901"/>
    <n v="1602057"/>
    <x v="10"/>
    <x v="15"/>
    <s v="GORENG"/>
    <n v="2150"/>
    <n v="185"/>
    <n v="397750"/>
    <n v="160"/>
  </r>
  <r>
    <x v="6"/>
    <s v="JUL"/>
    <x v="22"/>
    <s v="GRSM 4"/>
    <x v="0"/>
    <s v="GMM"/>
    <n v="189901"/>
    <n v="1602057"/>
    <x v="10"/>
    <x v="24"/>
    <s v="BOLOGNESE"/>
    <n v="2150"/>
    <n v="98"/>
    <n v="210700"/>
    <m/>
  </r>
  <r>
    <x v="6"/>
    <s v="JUL"/>
    <x v="22"/>
    <s v="GRSM 4"/>
    <x v="0"/>
    <s v="GMM"/>
    <n v="189901"/>
    <n v="1602057"/>
    <x v="10"/>
    <x v="24"/>
    <s v="CARBONARA"/>
    <n v="2150"/>
    <n v="123"/>
    <n v="264450"/>
    <m/>
  </r>
  <r>
    <x v="6"/>
    <s v="JUL"/>
    <x v="22"/>
    <s v="GRSM 4"/>
    <x v="0"/>
    <s v="GMM"/>
    <n v="189901"/>
    <n v="1602057"/>
    <x v="10"/>
    <x v="24"/>
    <s v="AGLIO OLIO"/>
    <n v="2150"/>
    <n v="133"/>
    <n v="285950"/>
    <m/>
  </r>
  <r>
    <x v="6"/>
    <s v="JUL"/>
    <x v="22"/>
    <s v="GRSM 4"/>
    <x v="0"/>
    <s v="GMM"/>
    <n v="189901"/>
    <n v="1602057"/>
    <x v="10"/>
    <x v="24"/>
    <s v="GORENG"/>
    <n v="2150"/>
    <n v="197"/>
    <n v="423550"/>
    <n v="160"/>
  </r>
  <r>
    <x v="6"/>
    <s v="JUL"/>
    <x v="22"/>
    <s v="GRSM 4"/>
    <x v="0"/>
    <s v="GMM"/>
    <n v="103259"/>
    <n v="9029389"/>
    <x v="7"/>
    <x v="17"/>
    <s v="BOLOGNESE"/>
    <n v="3000"/>
    <n v="53"/>
    <n v="159000"/>
    <m/>
  </r>
  <r>
    <x v="6"/>
    <s v="JUL"/>
    <x v="22"/>
    <s v="GRSM 4"/>
    <x v="0"/>
    <s v="GMM"/>
    <n v="103259"/>
    <n v="9029389"/>
    <x v="7"/>
    <x v="17"/>
    <s v="CARBONARA"/>
    <n v="3000"/>
    <n v="72"/>
    <n v="216000"/>
    <m/>
  </r>
  <r>
    <x v="6"/>
    <s v="JUL"/>
    <x v="22"/>
    <s v="GRSM 4"/>
    <x v="0"/>
    <s v="GMM"/>
    <n v="103259"/>
    <n v="9029389"/>
    <x v="7"/>
    <x v="17"/>
    <s v="AGLIO OLIO"/>
    <n v="3000"/>
    <n v="47"/>
    <n v="141000"/>
    <m/>
  </r>
  <r>
    <x v="6"/>
    <s v="JUL"/>
    <x v="22"/>
    <s v="GRSM 4"/>
    <x v="0"/>
    <s v="GMM"/>
    <n v="103259"/>
    <n v="9029389"/>
    <x v="7"/>
    <x v="17"/>
    <s v="GORENG"/>
    <n v="3000"/>
    <n v="204"/>
    <n v="612000"/>
    <n v="160"/>
  </r>
  <r>
    <x v="6"/>
    <s v="JUL"/>
    <x v="22"/>
    <s v="GRSM 4"/>
    <x v="0"/>
    <s v="GMM"/>
    <n v="103259"/>
    <n v="9029389"/>
    <x v="7"/>
    <x v="21"/>
    <s v="BOLOGNESE"/>
    <n v="3000"/>
    <n v="59"/>
    <n v="177000"/>
    <m/>
  </r>
  <r>
    <x v="6"/>
    <s v="JUL"/>
    <x v="22"/>
    <s v="GRSM 4"/>
    <x v="0"/>
    <s v="GMM"/>
    <n v="103259"/>
    <n v="9029389"/>
    <x v="7"/>
    <x v="21"/>
    <s v="CARBONARA"/>
    <n v="3000"/>
    <n v="81"/>
    <n v="243000"/>
    <m/>
  </r>
  <r>
    <x v="6"/>
    <s v="JUL"/>
    <x v="22"/>
    <s v="GRSM 4"/>
    <x v="0"/>
    <s v="GMM"/>
    <n v="103259"/>
    <n v="9029389"/>
    <x v="7"/>
    <x v="21"/>
    <s v="AGLIO OLIO"/>
    <n v="3000"/>
    <n v="49"/>
    <n v="147000"/>
    <m/>
  </r>
  <r>
    <x v="6"/>
    <s v="JUL"/>
    <x v="22"/>
    <s v="GRSM 4"/>
    <x v="0"/>
    <s v="GMM"/>
    <n v="103259"/>
    <n v="9029389"/>
    <x v="7"/>
    <x v="21"/>
    <s v="GORENG"/>
    <n v="3000"/>
    <n v="214"/>
    <n v="642000"/>
    <n v="160"/>
  </r>
  <r>
    <x v="6"/>
    <s v="JUL"/>
    <x v="22"/>
    <s v="GRSM 4"/>
    <x v="0"/>
    <s v="NKA"/>
    <n v="490034"/>
    <n v="209554"/>
    <x v="8"/>
    <x v="19"/>
    <s v="BOLOGNESE"/>
    <n v="3275"/>
    <n v="36"/>
    <n v="117900"/>
    <m/>
  </r>
  <r>
    <x v="6"/>
    <s v="JUL"/>
    <x v="22"/>
    <s v="GRSM 4"/>
    <x v="0"/>
    <s v="NKA"/>
    <n v="490034"/>
    <n v="209554"/>
    <x v="8"/>
    <x v="19"/>
    <s v="CARBONARA"/>
    <n v="3275"/>
    <n v="48"/>
    <n v="157200"/>
    <m/>
  </r>
  <r>
    <x v="6"/>
    <s v="JUL"/>
    <x v="22"/>
    <s v="GRSM 4"/>
    <x v="0"/>
    <s v="NKA"/>
    <n v="490034"/>
    <n v="209554"/>
    <x v="8"/>
    <x v="19"/>
    <s v="AGLIO OLIO"/>
    <n v="3275"/>
    <n v="24"/>
    <n v="78600"/>
    <m/>
  </r>
  <r>
    <x v="6"/>
    <s v="JUL"/>
    <x v="22"/>
    <s v="GRSM 4"/>
    <x v="0"/>
    <s v="NKA"/>
    <n v="490034"/>
    <n v="209554"/>
    <x v="8"/>
    <x v="19"/>
    <s v="GORENG"/>
    <n v="3275"/>
    <n v="135"/>
    <n v="442125"/>
    <n v="160"/>
  </r>
  <r>
    <x v="6"/>
    <s v="JUL"/>
    <x v="22"/>
    <s v="GRSM 4"/>
    <x v="0"/>
    <s v="NKA"/>
    <n v="490034"/>
    <n v="209554"/>
    <x v="8"/>
    <x v="18"/>
    <s v="BOLOGNESE"/>
    <n v="3275"/>
    <n v="36"/>
    <n v="117900"/>
    <m/>
  </r>
  <r>
    <x v="6"/>
    <s v="JUL"/>
    <x v="22"/>
    <s v="GRSM 4"/>
    <x v="0"/>
    <s v="NKA"/>
    <n v="490034"/>
    <n v="209554"/>
    <x v="8"/>
    <x v="18"/>
    <s v="CARBONARA"/>
    <n v="3275"/>
    <n v="48"/>
    <n v="157200"/>
    <m/>
  </r>
  <r>
    <x v="6"/>
    <s v="JUL"/>
    <x v="22"/>
    <s v="GRSM 4"/>
    <x v="0"/>
    <s v="NKA"/>
    <n v="490034"/>
    <n v="209554"/>
    <x v="8"/>
    <x v="18"/>
    <s v="AGLIO OLIO"/>
    <n v="3275"/>
    <n v="24"/>
    <n v="78600"/>
    <m/>
  </r>
  <r>
    <x v="6"/>
    <s v="JUL"/>
    <x v="22"/>
    <s v="GRSM 4"/>
    <x v="0"/>
    <s v="NKA"/>
    <n v="490034"/>
    <n v="209554"/>
    <x v="8"/>
    <x v="18"/>
    <s v="GORENG"/>
    <n v="3275"/>
    <n v="135"/>
    <n v="442125"/>
    <n v="160"/>
  </r>
  <r>
    <x v="6"/>
    <s v="JUL"/>
    <x v="22"/>
    <s v="GRSM 4"/>
    <x v="0"/>
    <s v="GMM"/>
    <n v="103277"/>
    <n v="6300700"/>
    <x v="11"/>
    <x v="25"/>
    <s v="BOLOGNESE"/>
    <n v="3000"/>
    <n v="55"/>
    <n v="165000"/>
    <m/>
  </r>
  <r>
    <x v="6"/>
    <s v="JUL"/>
    <x v="22"/>
    <s v="GRSM 4"/>
    <x v="0"/>
    <s v="GMM"/>
    <n v="103277"/>
    <n v="6300700"/>
    <x v="11"/>
    <x v="25"/>
    <s v="CARBONARA"/>
    <n v="3000"/>
    <n v="40"/>
    <n v="120000"/>
    <m/>
  </r>
  <r>
    <x v="6"/>
    <s v="JUL"/>
    <x v="22"/>
    <s v="GRSM 4"/>
    <x v="0"/>
    <s v="GMM"/>
    <n v="103277"/>
    <n v="6300700"/>
    <x v="11"/>
    <x v="25"/>
    <s v="AGLIO OLIO"/>
    <n v="3000"/>
    <n v="40"/>
    <n v="120000"/>
    <m/>
  </r>
  <r>
    <x v="6"/>
    <s v="JUL"/>
    <x v="22"/>
    <s v="GRSM 4"/>
    <x v="0"/>
    <s v="GMM"/>
    <n v="103277"/>
    <n v="6300700"/>
    <x v="11"/>
    <x v="25"/>
    <s v="GORENG"/>
    <n v="3000"/>
    <n v="150"/>
    <n v="450000"/>
    <n v="160"/>
  </r>
  <r>
    <x v="6"/>
    <s v="JUL"/>
    <x v="22"/>
    <s v="GRSM 4"/>
    <x v="0"/>
    <s v="GMM"/>
    <n v="103257"/>
    <n v="9162509"/>
    <x v="4"/>
    <x v="7"/>
    <s v="BOLOGNESE"/>
    <n v="3100"/>
    <n v="53"/>
    <n v="164300"/>
    <m/>
  </r>
  <r>
    <x v="6"/>
    <s v="JUL"/>
    <x v="22"/>
    <s v="GRSM 4"/>
    <x v="0"/>
    <s v="GMM"/>
    <n v="103257"/>
    <n v="9162509"/>
    <x v="4"/>
    <x v="7"/>
    <s v="CARBONARA"/>
    <n v="3100"/>
    <n v="48"/>
    <n v="148800"/>
    <m/>
  </r>
  <r>
    <x v="6"/>
    <s v="JUL"/>
    <x v="22"/>
    <s v="GRSM 4"/>
    <x v="0"/>
    <s v="GMM"/>
    <n v="103257"/>
    <n v="9162509"/>
    <x v="4"/>
    <x v="7"/>
    <s v="AGLIO OLIO"/>
    <n v="3100"/>
    <n v="36"/>
    <n v="111600"/>
    <m/>
  </r>
  <r>
    <x v="6"/>
    <s v="JUL"/>
    <x v="22"/>
    <s v="GRSM 4"/>
    <x v="0"/>
    <s v="GMM"/>
    <n v="103257"/>
    <n v="9162509"/>
    <x v="4"/>
    <x v="7"/>
    <s v="GORENG"/>
    <n v="3100"/>
    <n v="41"/>
    <n v="127100"/>
    <n v="160"/>
  </r>
  <r>
    <x v="6"/>
    <s v="JUL"/>
    <x v="22"/>
    <s v="GRSM 4"/>
    <x v="0"/>
    <s v="GMM"/>
    <n v="103257"/>
    <n v="9162509"/>
    <x v="4"/>
    <x v="8"/>
    <s v="BOLOGNESE"/>
    <n v="3100"/>
    <n v="50"/>
    <n v="155000"/>
    <m/>
  </r>
  <r>
    <x v="6"/>
    <s v="JUL"/>
    <x v="22"/>
    <s v="GRSM 4"/>
    <x v="0"/>
    <s v="GMM"/>
    <n v="103257"/>
    <n v="9162509"/>
    <x v="4"/>
    <x v="8"/>
    <s v="CARBONARA"/>
    <n v="3100"/>
    <n v="45"/>
    <n v="139500"/>
    <m/>
  </r>
  <r>
    <x v="6"/>
    <s v="JUL"/>
    <x v="22"/>
    <s v="GRSM 4"/>
    <x v="0"/>
    <s v="GMM"/>
    <n v="103257"/>
    <n v="9162509"/>
    <x v="4"/>
    <x v="8"/>
    <s v="AGLIO OLIO"/>
    <n v="3100"/>
    <n v="30"/>
    <n v="93000"/>
    <m/>
  </r>
  <r>
    <x v="6"/>
    <s v="JUL"/>
    <x v="22"/>
    <s v="GRSM 4"/>
    <x v="0"/>
    <s v="GMM"/>
    <n v="103257"/>
    <n v="9162509"/>
    <x v="4"/>
    <x v="8"/>
    <s v="GORENG"/>
    <n v="3100"/>
    <n v="39"/>
    <n v="120900"/>
    <n v="160"/>
  </r>
  <r>
    <x v="6"/>
    <s v="JUL"/>
    <x v="22"/>
    <s v="GRSM 4"/>
    <x v="0"/>
    <s v="GMM"/>
    <n v="189901"/>
    <n v="1602016"/>
    <x v="16"/>
    <x v="31"/>
    <s v="BOLOGNESE"/>
    <n v="3400"/>
    <n v="87"/>
    <n v="295800"/>
    <m/>
  </r>
  <r>
    <x v="6"/>
    <s v="JUL"/>
    <x v="22"/>
    <s v="GRSM 4"/>
    <x v="0"/>
    <s v="GMM"/>
    <n v="189901"/>
    <n v="1602016"/>
    <x v="16"/>
    <x v="31"/>
    <s v="CARBONARA"/>
    <n v="3400"/>
    <n v="100"/>
    <n v="340000"/>
    <m/>
  </r>
  <r>
    <x v="6"/>
    <s v="JUL"/>
    <x v="22"/>
    <s v="GRSM 4"/>
    <x v="0"/>
    <s v="GMM"/>
    <n v="189901"/>
    <n v="1602016"/>
    <x v="16"/>
    <x v="31"/>
    <s v="AGLIO OLIO"/>
    <n v="3400"/>
    <n v="80"/>
    <n v="272000"/>
    <m/>
  </r>
  <r>
    <x v="6"/>
    <s v="JUL"/>
    <x v="22"/>
    <s v="GRSM 4"/>
    <x v="0"/>
    <s v="GMM"/>
    <n v="189901"/>
    <n v="1602016"/>
    <x v="16"/>
    <x v="31"/>
    <s v="GORENG"/>
    <n v="3400"/>
    <n v="199"/>
    <n v="676600"/>
    <n v="160"/>
  </r>
  <r>
    <x v="6"/>
    <s v="JUL"/>
    <x v="23"/>
    <s v="GRSM 4"/>
    <x v="0"/>
    <s v="GMM"/>
    <n v="121409"/>
    <n v="5205014"/>
    <x v="12"/>
    <x v="26"/>
    <s v="BOLOGNESE"/>
    <n v="2100"/>
    <n v="153"/>
    <n v="321300"/>
    <m/>
  </r>
  <r>
    <x v="6"/>
    <s v="JUL"/>
    <x v="23"/>
    <s v="GRSM 4"/>
    <x v="0"/>
    <s v="GMM"/>
    <n v="121409"/>
    <n v="5205014"/>
    <x v="12"/>
    <x v="26"/>
    <s v="CARBONARA"/>
    <n v="2100"/>
    <n v="145"/>
    <n v="304500"/>
    <m/>
  </r>
  <r>
    <x v="6"/>
    <s v="JUL"/>
    <x v="23"/>
    <s v="GRSM 4"/>
    <x v="0"/>
    <s v="GMM"/>
    <n v="121409"/>
    <n v="5205014"/>
    <x v="12"/>
    <x v="26"/>
    <s v="AGLIO OLIO"/>
    <n v="2100"/>
    <n v="143"/>
    <n v="300300"/>
    <m/>
  </r>
  <r>
    <x v="6"/>
    <s v="JUL"/>
    <x v="23"/>
    <s v="GRSM 4"/>
    <x v="0"/>
    <s v="GMM"/>
    <n v="121409"/>
    <n v="5205014"/>
    <x v="12"/>
    <x v="26"/>
    <s v="GORENG"/>
    <n v="2100"/>
    <n v="315"/>
    <n v="661500"/>
    <n v="160"/>
  </r>
  <r>
    <x v="6"/>
    <s v="JUL"/>
    <x v="23"/>
    <s v="GRSM 4"/>
    <x v="0"/>
    <s v="GMM"/>
    <n v="121409"/>
    <n v="5205014"/>
    <x v="12"/>
    <x v="27"/>
    <s v="BOLOGNESE"/>
    <n v="2100"/>
    <n v="153"/>
    <n v="321300"/>
    <m/>
  </r>
  <r>
    <x v="6"/>
    <s v="JUL"/>
    <x v="23"/>
    <s v="GRSM 4"/>
    <x v="0"/>
    <s v="GMM"/>
    <n v="121409"/>
    <n v="5205014"/>
    <x v="12"/>
    <x v="27"/>
    <s v="CARBONARA"/>
    <n v="2100"/>
    <n v="145"/>
    <n v="304500"/>
    <m/>
  </r>
  <r>
    <x v="6"/>
    <s v="JUL"/>
    <x v="23"/>
    <s v="GRSM 4"/>
    <x v="0"/>
    <s v="GMM"/>
    <n v="121409"/>
    <n v="5205014"/>
    <x v="12"/>
    <x v="27"/>
    <s v="AGLIO OLIO"/>
    <n v="2100"/>
    <n v="143"/>
    <n v="300300"/>
    <m/>
  </r>
  <r>
    <x v="6"/>
    <s v="JUL"/>
    <x v="23"/>
    <s v="GRSM 4"/>
    <x v="0"/>
    <s v="GMM"/>
    <n v="121409"/>
    <n v="5205014"/>
    <x v="12"/>
    <x v="27"/>
    <s v="GORENG"/>
    <n v="2100"/>
    <n v="315"/>
    <n v="661500"/>
    <n v="160"/>
  </r>
  <r>
    <x v="6"/>
    <s v="JUL"/>
    <x v="23"/>
    <s v="GRSM 4"/>
    <x v="0"/>
    <s v="GMM"/>
    <n v="103259"/>
    <n v="9029389"/>
    <x v="7"/>
    <x v="21"/>
    <s v="BOLOGNESE"/>
    <n v="3000"/>
    <n v="51"/>
    <n v="153000"/>
    <m/>
  </r>
  <r>
    <x v="6"/>
    <s v="JUL"/>
    <x v="23"/>
    <s v="GRSM 4"/>
    <x v="0"/>
    <s v="GMM"/>
    <n v="103259"/>
    <n v="9029389"/>
    <x v="7"/>
    <x v="21"/>
    <s v="CARBONARA"/>
    <n v="3000"/>
    <n v="80"/>
    <n v="240000"/>
    <m/>
  </r>
  <r>
    <x v="6"/>
    <s v="JUL"/>
    <x v="23"/>
    <s v="GRSM 4"/>
    <x v="0"/>
    <s v="GMM"/>
    <n v="103259"/>
    <n v="9029389"/>
    <x v="7"/>
    <x v="21"/>
    <s v="AGLIO OLIO"/>
    <n v="3000"/>
    <n v="40"/>
    <n v="120000"/>
    <m/>
  </r>
  <r>
    <x v="6"/>
    <s v="JUL"/>
    <x v="23"/>
    <s v="GRSM 4"/>
    <x v="0"/>
    <s v="GMM"/>
    <n v="103259"/>
    <n v="9029389"/>
    <x v="7"/>
    <x v="21"/>
    <s v="GORENG"/>
    <n v="3000"/>
    <n v="206"/>
    <n v="618000"/>
    <n v="160"/>
  </r>
  <r>
    <x v="6"/>
    <s v="JUL"/>
    <x v="23"/>
    <s v="GRSM 4"/>
    <x v="0"/>
    <s v="GMM"/>
    <n v="103259"/>
    <n v="9029389"/>
    <x v="7"/>
    <x v="17"/>
    <s v="BOLOGNESE"/>
    <n v="3000"/>
    <n v="51"/>
    <n v="153000"/>
    <m/>
  </r>
  <r>
    <x v="6"/>
    <s v="JUL"/>
    <x v="23"/>
    <s v="GRSM 4"/>
    <x v="0"/>
    <s v="GMM"/>
    <n v="103259"/>
    <n v="9029389"/>
    <x v="7"/>
    <x v="17"/>
    <s v="CARBONARA"/>
    <n v="3000"/>
    <n v="82"/>
    <n v="246000"/>
    <m/>
  </r>
  <r>
    <x v="6"/>
    <s v="JUL"/>
    <x v="23"/>
    <s v="GRSM 4"/>
    <x v="0"/>
    <s v="GMM"/>
    <n v="103259"/>
    <n v="9029389"/>
    <x v="7"/>
    <x v="17"/>
    <s v="AGLIO OLIO"/>
    <n v="3000"/>
    <n v="48"/>
    <n v="144000"/>
    <m/>
  </r>
  <r>
    <x v="6"/>
    <s v="JUL"/>
    <x v="23"/>
    <s v="GRSM 4"/>
    <x v="0"/>
    <s v="GMM"/>
    <n v="103259"/>
    <n v="9029389"/>
    <x v="7"/>
    <x v="17"/>
    <s v="GORENG"/>
    <n v="3000"/>
    <n v="213"/>
    <n v="639000"/>
    <n v="160"/>
  </r>
  <r>
    <x v="6"/>
    <s v="JUL"/>
    <x v="22"/>
    <s v="GRSM 4"/>
    <x v="0"/>
    <s v="GMM"/>
    <n v="189901"/>
    <n v="1602016"/>
    <x v="16"/>
    <x v="32"/>
    <s v="BOLOGNESE"/>
    <n v="3400"/>
    <n v="87"/>
    <n v="295800"/>
    <m/>
  </r>
  <r>
    <x v="6"/>
    <s v="JUL"/>
    <x v="22"/>
    <s v="GRSM 4"/>
    <x v="0"/>
    <s v="GMM"/>
    <n v="189901"/>
    <n v="1602016"/>
    <x v="16"/>
    <x v="32"/>
    <s v="CARBONARA"/>
    <n v="3400"/>
    <n v="100"/>
    <n v="340000"/>
    <m/>
  </r>
  <r>
    <x v="6"/>
    <s v="JUL"/>
    <x v="22"/>
    <s v="GRSM 4"/>
    <x v="0"/>
    <s v="GMM"/>
    <n v="189901"/>
    <n v="1602016"/>
    <x v="16"/>
    <x v="32"/>
    <s v="AGLIO OLIO"/>
    <n v="3400"/>
    <n v="80"/>
    <n v="272000"/>
    <m/>
  </r>
  <r>
    <x v="6"/>
    <s v="JUL"/>
    <x v="22"/>
    <s v="GRSM 4"/>
    <x v="0"/>
    <s v="GMM"/>
    <n v="189901"/>
    <n v="1602016"/>
    <x v="16"/>
    <x v="32"/>
    <s v="GORENG"/>
    <n v="3400"/>
    <n v="199"/>
    <n v="676600"/>
    <m/>
  </r>
  <r>
    <x v="6"/>
    <s v="JUL"/>
    <x v="23"/>
    <s v="GRSM 4"/>
    <x v="0"/>
    <s v="GMM"/>
    <n v="189901"/>
    <n v="1602016"/>
    <x v="16"/>
    <x v="31"/>
    <s v="BOLOGNESE"/>
    <n v="3400"/>
    <n v="120"/>
    <n v="408000"/>
    <m/>
  </r>
  <r>
    <x v="6"/>
    <s v="JUL"/>
    <x v="23"/>
    <s v="GRSM 4"/>
    <x v="0"/>
    <s v="GMM"/>
    <n v="189901"/>
    <n v="1602016"/>
    <x v="16"/>
    <x v="31"/>
    <s v="CARBONARA"/>
    <n v="3400"/>
    <n v="120"/>
    <n v="408000"/>
    <m/>
  </r>
  <r>
    <x v="6"/>
    <s v="JUL"/>
    <x v="23"/>
    <s v="GRSM 4"/>
    <x v="0"/>
    <s v="GMM"/>
    <n v="189901"/>
    <n v="1602016"/>
    <x v="16"/>
    <x v="31"/>
    <s v="AGLIO OLIO"/>
    <n v="3400"/>
    <n v="60"/>
    <n v="204000"/>
    <m/>
  </r>
  <r>
    <x v="6"/>
    <s v="JUL"/>
    <x v="23"/>
    <s v="GRSM 4"/>
    <x v="0"/>
    <s v="GMM"/>
    <n v="189901"/>
    <n v="1602016"/>
    <x v="16"/>
    <x v="31"/>
    <s v="GORENG"/>
    <n v="3400"/>
    <n v="120"/>
    <n v="408000"/>
    <m/>
  </r>
  <r>
    <x v="6"/>
    <s v="JUL"/>
    <x v="23"/>
    <s v="GRSM 4"/>
    <x v="0"/>
    <s v="GMM"/>
    <n v="189901"/>
    <n v="1602016"/>
    <x v="16"/>
    <x v="32"/>
    <s v="BOLOGNESE"/>
    <n v="3400"/>
    <n v="120"/>
    <n v="408000"/>
    <m/>
  </r>
  <r>
    <x v="6"/>
    <s v="JUL"/>
    <x v="23"/>
    <s v="GRSM 4"/>
    <x v="0"/>
    <s v="GMM"/>
    <n v="189901"/>
    <n v="1602016"/>
    <x v="16"/>
    <x v="32"/>
    <s v="CARBONARA"/>
    <n v="3400"/>
    <n v="120"/>
    <n v="408000"/>
    <m/>
  </r>
  <r>
    <x v="6"/>
    <s v="JUL"/>
    <x v="23"/>
    <s v="GRSM 4"/>
    <x v="0"/>
    <s v="GMM"/>
    <n v="189901"/>
    <n v="1602016"/>
    <x v="16"/>
    <x v="32"/>
    <s v="AGLIO OLIO"/>
    <n v="3400"/>
    <n v="60"/>
    <n v="204000"/>
    <m/>
  </r>
  <r>
    <x v="6"/>
    <s v="JUL"/>
    <x v="23"/>
    <s v="GRSM 4"/>
    <x v="0"/>
    <s v="GMM"/>
    <n v="189901"/>
    <n v="1602016"/>
    <x v="16"/>
    <x v="32"/>
    <s v="GORENG"/>
    <n v="3400"/>
    <n v="120"/>
    <n v="408000"/>
    <n v="160"/>
  </r>
  <r>
    <x v="6"/>
    <s v="JUL"/>
    <x v="23"/>
    <s v="GRSM 4"/>
    <x v="0"/>
    <s v="NKA"/>
    <n v="490034"/>
    <n v="209554"/>
    <x v="8"/>
    <x v="18"/>
    <s v="BOLOGNESE"/>
    <n v="3275"/>
    <n v="45"/>
    <n v="147375"/>
    <m/>
  </r>
  <r>
    <x v="6"/>
    <s v="JUL"/>
    <x v="23"/>
    <s v="GRSM 4"/>
    <x v="0"/>
    <s v="NKA"/>
    <n v="490034"/>
    <n v="209554"/>
    <x v="8"/>
    <x v="18"/>
    <s v="CARBONARA"/>
    <n v="3275"/>
    <n v="53"/>
    <n v="173575"/>
    <m/>
  </r>
  <r>
    <x v="6"/>
    <s v="JUL"/>
    <x v="23"/>
    <s v="GRSM 4"/>
    <x v="0"/>
    <s v="NKA"/>
    <n v="490034"/>
    <n v="209554"/>
    <x v="8"/>
    <x v="18"/>
    <s v="AGLIO OLIO"/>
    <n v="3275"/>
    <n v="31"/>
    <n v="101525"/>
    <m/>
  </r>
  <r>
    <x v="6"/>
    <s v="JUL"/>
    <x v="23"/>
    <s v="GRSM 4"/>
    <x v="0"/>
    <s v="NKA"/>
    <n v="490034"/>
    <n v="209554"/>
    <x v="8"/>
    <x v="18"/>
    <s v="GORENG"/>
    <n v="3275"/>
    <n v="180"/>
    <n v="589500"/>
    <n v="160"/>
  </r>
  <r>
    <x v="6"/>
    <s v="JUL"/>
    <x v="23"/>
    <s v="GRSM 4"/>
    <x v="0"/>
    <s v="NKA"/>
    <n v="490034"/>
    <n v="209554"/>
    <x v="8"/>
    <x v="19"/>
    <s v="BOLOGNESE"/>
    <n v="3275"/>
    <n v="45"/>
    <n v="147375"/>
    <m/>
  </r>
  <r>
    <x v="6"/>
    <s v="JUL"/>
    <x v="23"/>
    <s v="GRSM 4"/>
    <x v="0"/>
    <s v="NKA"/>
    <n v="490034"/>
    <n v="209554"/>
    <x v="8"/>
    <x v="19"/>
    <s v="CARBONARA"/>
    <n v="3275"/>
    <n v="53"/>
    <n v="173575"/>
    <m/>
  </r>
  <r>
    <x v="6"/>
    <s v="JUL"/>
    <x v="23"/>
    <s v="GRSM 4"/>
    <x v="0"/>
    <s v="NKA"/>
    <n v="490034"/>
    <n v="209554"/>
    <x v="8"/>
    <x v="19"/>
    <s v="AGLIO OLIO"/>
    <n v="3275"/>
    <n v="31"/>
    <n v="101525"/>
    <m/>
  </r>
  <r>
    <x v="6"/>
    <s v="JUL"/>
    <x v="23"/>
    <s v="GRSM 4"/>
    <x v="0"/>
    <s v="NKA"/>
    <n v="490034"/>
    <n v="209554"/>
    <x v="8"/>
    <x v="19"/>
    <s v="GORENG"/>
    <n v="3275"/>
    <n v="180"/>
    <n v="589500"/>
    <n v="160"/>
  </r>
  <r>
    <x v="6"/>
    <s v="JUL"/>
    <x v="23"/>
    <s v="GRSM 4"/>
    <x v="0"/>
    <s v="GMM"/>
    <n v="103257"/>
    <n v="9162509"/>
    <x v="4"/>
    <x v="8"/>
    <s v="BOLOGNESE"/>
    <n v="3100"/>
    <n v="49"/>
    <n v="151900"/>
    <m/>
  </r>
  <r>
    <x v="6"/>
    <s v="JUL"/>
    <x v="23"/>
    <s v="GRSM 4"/>
    <x v="0"/>
    <s v="GMM"/>
    <n v="103257"/>
    <n v="9162509"/>
    <x v="4"/>
    <x v="8"/>
    <s v="CARBONARA"/>
    <n v="3100"/>
    <n v="45"/>
    <n v="139500"/>
    <m/>
  </r>
  <r>
    <x v="6"/>
    <s v="JUL"/>
    <x v="23"/>
    <s v="GRSM 4"/>
    <x v="0"/>
    <s v="GMM"/>
    <n v="103257"/>
    <n v="9162509"/>
    <x v="4"/>
    <x v="8"/>
    <s v="AGLIO OLIO"/>
    <n v="3100"/>
    <n v="56"/>
    <n v="173600"/>
    <m/>
  </r>
  <r>
    <x v="6"/>
    <s v="JUL"/>
    <x v="23"/>
    <s v="GRSM 4"/>
    <x v="0"/>
    <s v="GMM"/>
    <n v="103257"/>
    <n v="9162509"/>
    <x v="4"/>
    <x v="8"/>
    <s v="GORENG"/>
    <n v="3100"/>
    <n v="70"/>
    <n v="217000"/>
    <n v="160"/>
  </r>
  <r>
    <x v="6"/>
    <s v="JUL"/>
    <x v="23"/>
    <s v="GRSM 4"/>
    <x v="0"/>
    <s v="GMM"/>
    <n v="103257"/>
    <n v="9162509"/>
    <x v="4"/>
    <x v="7"/>
    <s v="BOLOGNESE"/>
    <n v="3100"/>
    <n v="52"/>
    <n v="161200"/>
    <m/>
  </r>
  <r>
    <x v="6"/>
    <s v="JUL"/>
    <x v="23"/>
    <s v="GRSM 4"/>
    <x v="0"/>
    <s v="GMM"/>
    <n v="103257"/>
    <n v="9162509"/>
    <x v="4"/>
    <x v="7"/>
    <s v="CARBONARA"/>
    <n v="3100"/>
    <n v="47"/>
    <n v="145700"/>
    <m/>
  </r>
  <r>
    <x v="6"/>
    <s v="JUL"/>
    <x v="23"/>
    <s v="GRSM 4"/>
    <x v="0"/>
    <s v="GMM"/>
    <n v="103257"/>
    <n v="9162509"/>
    <x v="4"/>
    <x v="7"/>
    <s v="AGLIO OLIO"/>
    <n v="3100"/>
    <n v="59"/>
    <n v="182900"/>
    <m/>
  </r>
  <r>
    <x v="6"/>
    <s v="JUL"/>
    <x v="23"/>
    <s v="GRSM 4"/>
    <x v="0"/>
    <s v="GMM"/>
    <n v="103257"/>
    <n v="9162509"/>
    <x v="4"/>
    <x v="7"/>
    <s v="GORENG"/>
    <n v="3100"/>
    <n v="72"/>
    <n v="223200"/>
    <n v="160"/>
  </r>
  <r>
    <x v="6"/>
    <s v="JUL"/>
    <x v="23"/>
    <s v="GRSM 4"/>
    <x v="0"/>
    <s v="GMM"/>
    <n v="189901"/>
    <n v="1602057"/>
    <x v="10"/>
    <x v="15"/>
    <s v="BOLOGNESE"/>
    <n v="2150"/>
    <n v="87"/>
    <n v="187050"/>
    <m/>
  </r>
  <r>
    <x v="6"/>
    <s v="JUL"/>
    <x v="23"/>
    <s v="GRSM 4"/>
    <x v="0"/>
    <s v="GMM"/>
    <n v="189901"/>
    <n v="1602057"/>
    <x v="10"/>
    <x v="15"/>
    <s v="CARBONARA"/>
    <n v="2150"/>
    <n v="139"/>
    <n v="298850"/>
    <m/>
  </r>
  <r>
    <x v="6"/>
    <s v="JUL"/>
    <x v="23"/>
    <s v="GRSM 4"/>
    <x v="0"/>
    <s v="GMM"/>
    <n v="189901"/>
    <n v="1602057"/>
    <x v="10"/>
    <x v="15"/>
    <s v="AGLIO OLIO"/>
    <n v="2150"/>
    <n v="76"/>
    <n v="163400"/>
    <m/>
  </r>
  <r>
    <x v="6"/>
    <s v="JUL"/>
    <x v="23"/>
    <s v="GRSM 4"/>
    <x v="0"/>
    <s v="GMM"/>
    <n v="189901"/>
    <n v="1602057"/>
    <x v="10"/>
    <x v="15"/>
    <s v="GORENG"/>
    <n v="2150"/>
    <n v="233"/>
    <n v="500950"/>
    <n v="160"/>
  </r>
  <r>
    <x v="6"/>
    <s v="JUL"/>
    <x v="23"/>
    <s v="GRSM 4"/>
    <x v="0"/>
    <s v="GMM"/>
    <n v="189901"/>
    <n v="1602057"/>
    <x v="10"/>
    <x v="24"/>
    <s v="BOLOGNESE"/>
    <n v="2150"/>
    <n v="91"/>
    <n v="195650"/>
    <m/>
  </r>
  <r>
    <x v="6"/>
    <s v="JUL"/>
    <x v="23"/>
    <s v="GRSM 4"/>
    <x v="0"/>
    <s v="GMM"/>
    <n v="189901"/>
    <n v="1602057"/>
    <x v="10"/>
    <x v="24"/>
    <s v="CARBONARA"/>
    <n v="2150"/>
    <n v="131"/>
    <n v="281650"/>
    <m/>
  </r>
  <r>
    <x v="6"/>
    <s v="JUL"/>
    <x v="23"/>
    <s v="GRSM 4"/>
    <x v="0"/>
    <s v="GMM"/>
    <n v="189901"/>
    <n v="1602057"/>
    <x v="10"/>
    <x v="24"/>
    <s v="AGLIO OLIO"/>
    <n v="2150"/>
    <n v="69"/>
    <n v="148350"/>
    <m/>
  </r>
  <r>
    <x v="6"/>
    <s v="JUL"/>
    <x v="23"/>
    <s v="GRSM 4"/>
    <x v="0"/>
    <s v="GMM"/>
    <n v="189901"/>
    <n v="1602057"/>
    <x v="10"/>
    <x v="24"/>
    <s v="GORENG"/>
    <n v="2150"/>
    <n v="228"/>
    <n v="490200"/>
    <n v="160"/>
  </r>
  <r>
    <x v="6"/>
    <s v="JUL"/>
    <x v="23"/>
    <s v="GRSM 4"/>
    <x v="0"/>
    <s v="GMM"/>
    <n v="103277"/>
    <n v="6300700"/>
    <x v="11"/>
    <x v="25"/>
    <s v="BOLOGNESE"/>
    <n v="3000"/>
    <n v="50"/>
    <n v="150000"/>
    <m/>
  </r>
  <r>
    <x v="6"/>
    <s v="JUL"/>
    <x v="23"/>
    <s v="GRSM 4"/>
    <x v="0"/>
    <s v="GMM"/>
    <n v="103277"/>
    <n v="6300700"/>
    <x v="11"/>
    <x v="25"/>
    <s v="CARBONARA"/>
    <n v="3000"/>
    <n v="45"/>
    <n v="135000"/>
    <m/>
  </r>
  <r>
    <x v="6"/>
    <s v="JUL"/>
    <x v="23"/>
    <s v="GRSM 4"/>
    <x v="0"/>
    <s v="GMM"/>
    <n v="103277"/>
    <n v="6300700"/>
    <x v="11"/>
    <x v="25"/>
    <s v="AGLIO OLIO"/>
    <n v="3000"/>
    <n v="35"/>
    <n v="105000"/>
    <m/>
  </r>
  <r>
    <x v="6"/>
    <s v="JUL"/>
    <x v="23"/>
    <s v="GRSM 4"/>
    <x v="0"/>
    <s v="GMM"/>
    <n v="103277"/>
    <n v="6300700"/>
    <x v="11"/>
    <x v="25"/>
    <s v="GORENG"/>
    <n v="3000"/>
    <n v="150"/>
    <n v="450000"/>
    <n v="160"/>
  </r>
  <r>
    <x v="6"/>
    <s v="JUL"/>
    <x v="24"/>
    <s v="GRSM 4"/>
    <x v="0"/>
    <s v="GMM"/>
    <n v="103277"/>
    <n v="6300700"/>
    <x v="11"/>
    <x v="25"/>
    <s v="BOLOGNESE"/>
    <n v="3000"/>
    <n v="50"/>
    <n v="150000"/>
    <m/>
  </r>
  <r>
    <x v="6"/>
    <s v="JUL"/>
    <x v="24"/>
    <s v="GRSM 4"/>
    <x v="0"/>
    <s v="GMM"/>
    <n v="103277"/>
    <n v="6300700"/>
    <x v="11"/>
    <x v="25"/>
    <s v="CARBONARA"/>
    <n v="3000"/>
    <n v="60"/>
    <n v="180000"/>
    <m/>
  </r>
  <r>
    <x v="6"/>
    <s v="JUL"/>
    <x v="24"/>
    <s v="GRSM 4"/>
    <x v="0"/>
    <s v="GMM"/>
    <n v="103277"/>
    <n v="6300700"/>
    <x v="11"/>
    <x v="25"/>
    <s v="AGLIO OLIO"/>
    <n v="3000"/>
    <n v="50"/>
    <n v="150000"/>
    <m/>
  </r>
  <r>
    <x v="6"/>
    <s v="JUL"/>
    <x v="24"/>
    <s v="GRSM 4"/>
    <x v="0"/>
    <s v="GMM"/>
    <n v="103277"/>
    <n v="6300700"/>
    <x v="11"/>
    <x v="25"/>
    <s v="GORENG"/>
    <n v="3000"/>
    <n v="120"/>
    <n v="360000"/>
    <n v="160"/>
  </r>
  <r>
    <x v="6"/>
    <s v="JUL"/>
    <x v="22"/>
    <s v="GRSM 4"/>
    <x v="0"/>
    <s v="GMM"/>
    <n v="189901"/>
    <n v="1602018"/>
    <x v="14"/>
    <x v="23"/>
    <s v="BOLOGNESE"/>
    <n v="3500"/>
    <n v="30"/>
    <n v="105000"/>
    <m/>
  </r>
  <r>
    <x v="6"/>
    <s v="JUL"/>
    <x v="22"/>
    <s v="GRSM 4"/>
    <x v="0"/>
    <s v="GMM"/>
    <n v="189901"/>
    <n v="1602018"/>
    <x v="14"/>
    <x v="23"/>
    <s v="CARBONARA"/>
    <n v="3500"/>
    <n v="30"/>
    <n v="105000"/>
    <m/>
  </r>
  <r>
    <x v="6"/>
    <s v="JUL"/>
    <x v="22"/>
    <s v="GRSM 4"/>
    <x v="0"/>
    <s v="GMM"/>
    <n v="189901"/>
    <n v="1602018"/>
    <x v="14"/>
    <x v="23"/>
    <s v="AGLIO OLIO"/>
    <n v="3500"/>
    <n v="15"/>
    <n v="52500"/>
    <m/>
  </r>
  <r>
    <x v="6"/>
    <s v="JUL"/>
    <x v="22"/>
    <s v="GRSM 4"/>
    <x v="0"/>
    <s v="GMM"/>
    <n v="189901"/>
    <n v="1602018"/>
    <x v="14"/>
    <x v="23"/>
    <s v="GORENG"/>
    <n v="3500"/>
    <n v="40"/>
    <n v="140000"/>
    <n v="160"/>
  </r>
  <r>
    <x v="6"/>
    <s v="JUL"/>
    <x v="23"/>
    <s v="GRSM 4"/>
    <x v="0"/>
    <s v="GMM"/>
    <n v="189901"/>
    <n v="1602018"/>
    <x v="14"/>
    <x v="23"/>
    <s v="BOLOGNESE"/>
    <n v="3500"/>
    <n v="25"/>
    <n v="87500"/>
    <m/>
  </r>
  <r>
    <x v="6"/>
    <s v="JUL"/>
    <x v="23"/>
    <s v="GRSM 4"/>
    <x v="0"/>
    <s v="GMM"/>
    <n v="189901"/>
    <n v="1602018"/>
    <x v="14"/>
    <x v="23"/>
    <s v="CARBONARA"/>
    <n v="3500"/>
    <n v="20"/>
    <n v="70000"/>
    <m/>
  </r>
  <r>
    <x v="6"/>
    <s v="JUL"/>
    <x v="23"/>
    <s v="GRSM 4"/>
    <x v="0"/>
    <s v="GMM"/>
    <n v="189901"/>
    <n v="1602018"/>
    <x v="14"/>
    <x v="23"/>
    <s v="AGLIO OLIO"/>
    <n v="3500"/>
    <n v="15"/>
    <n v="52500"/>
    <m/>
  </r>
  <r>
    <x v="6"/>
    <s v="JUL"/>
    <x v="23"/>
    <s v="GRSM 4"/>
    <x v="0"/>
    <s v="GMM"/>
    <n v="189901"/>
    <n v="1602018"/>
    <x v="14"/>
    <x v="23"/>
    <s v="GORENG"/>
    <n v="3500"/>
    <n v="40"/>
    <n v="140000"/>
    <n v="160"/>
  </r>
  <r>
    <x v="6"/>
    <s v="JUL"/>
    <x v="24"/>
    <s v="GRSM 4"/>
    <x v="0"/>
    <s v="GMM"/>
    <n v="121409"/>
    <n v="5205014"/>
    <x v="12"/>
    <x v="26"/>
    <s v="BOLOGNESE"/>
    <n v="2100"/>
    <n v="198"/>
    <n v="415800"/>
    <m/>
  </r>
  <r>
    <x v="6"/>
    <s v="JUL"/>
    <x v="24"/>
    <s v="GRSM 4"/>
    <x v="0"/>
    <s v="GMM"/>
    <n v="121409"/>
    <n v="5205014"/>
    <x v="12"/>
    <x v="26"/>
    <s v="CARBONARA"/>
    <n v="2100"/>
    <n v="155"/>
    <n v="325500"/>
    <m/>
  </r>
  <r>
    <x v="6"/>
    <s v="JUL"/>
    <x v="24"/>
    <s v="GRSM 4"/>
    <x v="0"/>
    <s v="GMM"/>
    <n v="121409"/>
    <n v="5205014"/>
    <x v="12"/>
    <x v="26"/>
    <s v="AGLIO OLIO"/>
    <n v="2100"/>
    <n v="173"/>
    <n v="363300"/>
    <m/>
  </r>
  <r>
    <x v="6"/>
    <s v="JUL"/>
    <x v="24"/>
    <s v="GRSM 4"/>
    <x v="0"/>
    <s v="GMM"/>
    <n v="121409"/>
    <n v="5205014"/>
    <x v="12"/>
    <x v="26"/>
    <s v="GORENG"/>
    <n v="2100"/>
    <n v="248"/>
    <n v="520800"/>
    <n v="160"/>
  </r>
  <r>
    <x v="6"/>
    <s v="JUL"/>
    <x v="24"/>
    <s v="GRSM 4"/>
    <x v="0"/>
    <s v="GMM"/>
    <n v="121409"/>
    <n v="5205014"/>
    <x v="12"/>
    <x v="27"/>
    <s v="BOLOGNESE"/>
    <n v="2100"/>
    <n v="198"/>
    <n v="415800"/>
    <m/>
  </r>
  <r>
    <x v="6"/>
    <s v="JUL"/>
    <x v="24"/>
    <s v="GRSM 4"/>
    <x v="0"/>
    <s v="GMM"/>
    <n v="121409"/>
    <n v="5205014"/>
    <x v="12"/>
    <x v="27"/>
    <s v="CARBONARA"/>
    <n v="2100"/>
    <n v="155"/>
    <n v="325500"/>
    <m/>
  </r>
  <r>
    <x v="6"/>
    <s v="JUL"/>
    <x v="24"/>
    <s v="GRSM 4"/>
    <x v="0"/>
    <s v="GMM"/>
    <n v="121409"/>
    <n v="5205014"/>
    <x v="12"/>
    <x v="27"/>
    <s v="AGLIO OLIO"/>
    <n v="2100"/>
    <n v="173"/>
    <n v="363300"/>
    <m/>
  </r>
  <r>
    <x v="6"/>
    <s v="JUL"/>
    <x v="24"/>
    <s v="GRSM 4"/>
    <x v="0"/>
    <s v="GMM"/>
    <n v="121409"/>
    <n v="5205014"/>
    <x v="12"/>
    <x v="27"/>
    <s v="GORENG"/>
    <n v="2100"/>
    <n v="248"/>
    <n v="520800"/>
    <n v="160"/>
  </r>
  <r>
    <x v="6"/>
    <s v="JUL"/>
    <x v="24"/>
    <s v="GRSM 4"/>
    <x v="0"/>
    <s v="GMM"/>
    <n v="103257"/>
    <n v="9162509"/>
    <x v="4"/>
    <x v="7"/>
    <s v="BOLOGNESE"/>
    <n v="3100"/>
    <n v="83"/>
    <n v="257300"/>
    <m/>
  </r>
  <r>
    <x v="6"/>
    <s v="JUL"/>
    <x v="24"/>
    <s v="GRSM 4"/>
    <x v="0"/>
    <s v="GMM"/>
    <n v="103257"/>
    <n v="9162509"/>
    <x v="4"/>
    <x v="7"/>
    <s v="CARBONARA"/>
    <n v="3100"/>
    <n v="75"/>
    <n v="232500"/>
    <m/>
  </r>
  <r>
    <x v="6"/>
    <s v="JUL"/>
    <x v="24"/>
    <s v="GRSM 4"/>
    <x v="0"/>
    <s v="GMM"/>
    <n v="103257"/>
    <n v="9162509"/>
    <x v="4"/>
    <x v="7"/>
    <s v="AGLIO OLIO"/>
    <n v="3100"/>
    <n v="53"/>
    <n v="164300"/>
    <m/>
  </r>
  <r>
    <x v="6"/>
    <s v="JUL"/>
    <x v="24"/>
    <s v="GRSM 4"/>
    <x v="0"/>
    <s v="GMM"/>
    <n v="103257"/>
    <n v="9162509"/>
    <x v="4"/>
    <x v="7"/>
    <s v="GORENG"/>
    <n v="3100"/>
    <n v="96"/>
    <n v="297600"/>
    <n v="160"/>
  </r>
  <r>
    <x v="6"/>
    <s v="JUL"/>
    <x v="24"/>
    <s v="GRSM 4"/>
    <x v="0"/>
    <s v="GMM"/>
    <n v="103257"/>
    <n v="9162509"/>
    <x v="4"/>
    <x v="8"/>
    <s v="BOLOGNESE"/>
    <n v="3100"/>
    <n v="83"/>
    <n v="257300"/>
    <m/>
  </r>
  <r>
    <x v="6"/>
    <s v="JUL"/>
    <x v="24"/>
    <s v="GRSM 4"/>
    <x v="0"/>
    <s v="GMM"/>
    <n v="103257"/>
    <n v="9162509"/>
    <x v="4"/>
    <x v="8"/>
    <s v="CARBONARA"/>
    <n v="3100"/>
    <n v="75"/>
    <n v="232500"/>
    <m/>
  </r>
  <r>
    <x v="6"/>
    <s v="JUL"/>
    <x v="24"/>
    <s v="GRSM 4"/>
    <x v="0"/>
    <s v="GMM"/>
    <n v="103257"/>
    <n v="9162509"/>
    <x v="4"/>
    <x v="8"/>
    <s v="AGLIO OLIO"/>
    <n v="3100"/>
    <n v="53"/>
    <n v="164300"/>
    <m/>
  </r>
  <r>
    <x v="6"/>
    <s v="JUL"/>
    <x v="24"/>
    <s v="GRSM 4"/>
    <x v="0"/>
    <s v="GMM"/>
    <n v="103257"/>
    <n v="9162509"/>
    <x v="4"/>
    <x v="8"/>
    <s v="GORENG"/>
    <n v="3100"/>
    <n v="96"/>
    <n v="297600"/>
    <n v="160"/>
  </r>
  <r>
    <x v="6"/>
    <s v="JUL"/>
    <x v="24"/>
    <s v="GRSM 4"/>
    <x v="0"/>
    <s v="GMM"/>
    <n v="189901"/>
    <n v="1602057"/>
    <x v="10"/>
    <x v="15"/>
    <s v="BOLOGNESE"/>
    <n v="2150"/>
    <n v="128"/>
    <n v="275200"/>
    <m/>
  </r>
  <r>
    <x v="6"/>
    <s v="JUL"/>
    <x v="24"/>
    <s v="GRSM 4"/>
    <x v="0"/>
    <s v="GMM"/>
    <n v="189901"/>
    <n v="1602057"/>
    <x v="10"/>
    <x v="15"/>
    <s v="CARBONARA"/>
    <n v="2150"/>
    <n v="153"/>
    <n v="328950"/>
    <m/>
  </r>
  <r>
    <x v="6"/>
    <s v="JUL"/>
    <x v="24"/>
    <s v="GRSM 4"/>
    <x v="0"/>
    <s v="GMM"/>
    <n v="189901"/>
    <n v="1602057"/>
    <x v="10"/>
    <x v="15"/>
    <s v="AGLIO OLIO"/>
    <n v="2150"/>
    <n v="117"/>
    <n v="251550"/>
    <m/>
  </r>
  <r>
    <x v="6"/>
    <s v="JUL"/>
    <x v="24"/>
    <s v="GRSM 4"/>
    <x v="0"/>
    <s v="GMM"/>
    <n v="189901"/>
    <n v="1602057"/>
    <x v="10"/>
    <x v="15"/>
    <s v="GORENG"/>
    <n v="2150"/>
    <n v="253"/>
    <n v="543950"/>
    <n v="160"/>
  </r>
  <r>
    <x v="6"/>
    <s v="JUL"/>
    <x v="24"/>
    <s v="GRSM 4"/>
    <x v="0"/>
    <s v="GMM"/>
    <n v="189901"/>
    <n v="1602057"/>
    <x v="10"/>
    <x v="24"/>
    <s v="BOLOGNESE"/>
    <n v="2150"/>
    <n v="124"/>
    <n v="266600"/>
    <m/>
  </r>
  <r>
    <x v="6"/>
    <s v="JUL"/>
    <x v="24"/>
    <s v="GRSM 4"/>
    <x v="0"/>
    <s v="GMM"/>
    <n v="189901"/>
    <n v="1602057"/>
    <x v="10"/>
    <x v="24"/>
    <s v="CARBONARA"/>
    <n v="2150"/>
    <n v="149"/>
    <n v="320350"/>
    <m/>
  </r>
  <r>
    <x v="6"/>
    <s v="JUL"/>
    <x v="24"/>
    <s v="GRSM 4"/>
    <x v="0"/>
    <s v="GMM"/>
    <n v="189901"/>
    <n v="1602057"/>
    <x v="10"/>
    <x v="24"/>
    <s v="AGLIO OLIO"/>
    <n v="2150"/>
    <n v="110"/>
    <n v="236500"/>
    <m/>
  </r>
  <r>
    <x v="6"/>
    <s v="JUL"/>
    <x v="24"/>
    <s v="GRSM 4"/>
    <x v="0"/>
    <s v="GMM"/>
    <n v="189901"/>
    <n v="1602057"/>
    <x v="10"/>
    <x v="24"/>
    <s v="GORENG"/>
    <n v="2150"/>
    <n v="248"/>
    <n v="533200"/>
    <n v="160"/>
  </r>
  <r>
    <x v="6"/>
    <s v="JUL"/>
    <x v="24"/>
    <s v="GRSM 4"/>
    <x v="0"/>
    <s v="GMM"/>
    <n v="189901"/>
    <n v="1602016"/>
    <x v="16"/>
    <x v="32"/>
    <s v="BOLOGNESE"/>
    <n v="3400"/>
    <n v="120"/>
    <n v="408000"/>
    <m/>
  </r>
  <r>
    <x v="6"/>
    <s v="JUL"/>
    <x v="24"/>
    <s v="GRSM 4"/>
    <x v="0"/>
    <s v="GMM"/>
    <n v="189901"/>
    <n v="1602016"/>
    <x v="16"/>
    <x v="32"/>
    <s v="CARBONARA"/>
    <n v="3400"/>
    <n v="140"/>
    <n v="476000"/>
    <m/>
  </r>
  <r>
    <x v="6"/>
    <s v="JUL"/>
    <x v="24"/>
    <s v="GRSM 4"/>
    <x v="0"/>
    <s v="GMM"/>
    <n v="189901"/>
    <n v="1602016"/>
    <x v="16"/>
    <x v="32"/>
    <s v="AGLIO OLIO"/>
    <n v="3400"/>
    <n v="80"/>
    <n v="272000"/>
    <m/>
  </r>
  <r>
    <x v="6"/>
    <s v="JUL"/>
    <x v="24"/>
    <s v="GRSM 4"/>
    <x v="0"/>
    <s v="GMM"/>
    <n v="189901"/>
    <n v="1602016"/>
    <x v="16"/>
    <x v="32"/>
    <s v="GORENG"/>
    <n v="3400"/>
    <n v="160"/>
    <n v="544000"/>
    <n v="160"/>
  </r>
  <r>
    <x v="6"/>
    <s v="JUL"/>
    <x v="24"/>
    <s v="GRSM 4"/>
    <x v="0"/>
    <s v="GMM"/>
    <n v="189901"/>
    <n v="1602016"/>
    <x v="16"/>
    <x v="31"/>
    <s v="BOLOGNESE"/>
    <n v="3400"/>
    <n v="120"/>
    <n v="408000"/>
    <m/>
  </r>
  <r>
    <x v="6"/>
    <s v="JUL"/>
    <x v="24"/>
    <s v="GRSM 4"/>
    <x v="0"/>
    <s v="GMM"/>
    <n v="189901"/>
    <n v="1602016"/>
    <x v="16"/>
    <x v="31"/>
    <s v="CARBONARA"/>
    <n v="3400"/>
    <n v="140"/>
    <n v="476000"/>
    <m/>
  </r>
  <r>
    <x v="6"/>
    <s v="JUL"/>
    <x v="24"/>
    <s v="GRSM 4"/>
    <x v="0"/>
    <s v="GMM"/>
    <n v="189901"/>
    <n v="1602016"/>
    <x v="16"/>
    <x v="31"/>
    <s v="AGLIO OLIO"/>
    <n v="3400"/>
    <n v="80"/>
    <n v="272000"/>
    <m/>
  </r>
  <r>
    <x v="6"/>
    <s v="JUL"/>
    <x v="24"/>
    <s v="GRSM 4"/>
    <x v="0"/>
    <s v="GMM"/>
    <n v="189901"/>
    <n v="1602016"/>
    <x v="16"/>
    <x v="31"/>
    <s v="GORENG"/>
    <n v="3400"/>
    <n v="160"/>
    <n v="544000"/>
    <n v="160"/>
  </r>
  <r>
    <x v="6"/>
    <s v="JUL"/>
    <x v="24"/>
    <s v="GRSM 4"/>
    <x v="0"/>
    <s v="GMM"/>
    <n v="103259"/>
    <n v="9029389"/>
    <x v="7"/>
    <x v="17"/>
    <s v="BOLOGNESE"/>
    <n v="3000"/>
    <n v="72"/>
    <n v="216000"/>
    <m/>
  </r>
  <r>
    <x v="6"/>
    <s v="JUL"/>
    <x v="24"/>
    <s v="GRSM 4"/>
    <x v="0"/>
    <s v="GMM"/>
    <n v="103259"/>
    <n v="9029389"/>
    <x v="7"/>
    <x v="17"/>
    <s v="CARBONARA"/>
    <n v="3000"/>
    <n v="88"/>
    <n v="264000"/>
    <m/>
  </r>
  <r>
    <x v="6"/>
    <s v="JUL"/>
    <x v="24"/>
    <s v="GRSM 4"/>
    <x v="0"/>
    <s v="GMM"/>
    <n v="103259"/>
    <n v="9029389"/>
    <x v="7"/>
    <x v="17"/>
    <s v="AGLIO OLIO"/>
    <n v="3000"/>
    <n v="50"/>
    <n v="150000"/>
    <m/>
  </r>
  <r>
    <x v="6"/>
    <s v="JUL"/>
    <x v="24"/>
    <s v="GRSM 4"/>
    <x v="0"/>
    <s v="GMM"/>
    <n v="103259"/>
    <n v="9029389"/>
    <x v="7"/>
    <x v="17"/>
    <s v="GORENG"/>
    <n v="3000"/>
    <n v="220"/>
    <n v="660000"/>
    <n v="160"/>
  </r>
  <r>
    <x v="6"/>
    <s v="JUL"/>
    <x v="24"/>
    <s v="GRSM 4"/>
    <x v="0"/>
    <s v="GMM"/>
    <n v="103259"/>
    <n v="9029389"/>
    <x v="7"/>
    <x v="21"/>
    <s v="BOLOGNESE"/>
    <n v="3000"/>
    <n v="71"/>
    <n v="213000"/>
    <m/>
  </r>
  <r>
    <x v="6"/>
    <s v="JUL"/>
    <x v="24"/>
    <s v="GRSM 4"/>
    <x v="0"/>
    <s v="GMM"/>
    <n v="103259"/>
    <n v="9029389"/>
    <x v="7"/>
    <x v="21"/>
    <s v="CARBONARA"/>
    <n v="3000"/>
    <n v="86"/>
    <n v="258000"/>
    <m/>
  </r>
  <r>
    <x v="6"/>
    <s v="JUL"/>
    <x v="24"/>
    <s v="GRSM 4"/>
    <x v="0"/>
    <s v="GMM"/>
    <n v="103259"/>
    <n v="9029389"/>
    <x v="7"/>
    <x v="21"/>
    <s v="AGLIO OLIO"/>
    <n v="3000"/>
    <n v="42"/>
    <n v="126000"/>
    <m/>
  </r>
  <r>
    <x v="6"/>
    <s v="JUL"/>
    <x v="24"/>
    <s v="GRSM 4"/>
    <x v="0"/>
    <s v="GMM"/>
    <n v="103259"/>
    <n v="9029389"/>
    <x v="7"/>
    <x v="21"/>
    <s v="GORENG"/>
    <n v="3000"/>
    <n v="218"/>
    <n v="654000"/>
    <n v="160"/>
  </r>
  <r>
    <x v="6"/>
    <s v="JUL"/>
    <x v="24"/>
    <s v="GRSM 4"/>
    <x v="0"/>
    <s v="NKA"/>
    <n v="490034"/>
    <n v="209554"/>
    <x v="8"/>
    <x v="19"/>
    <s v="BOLOGNESE"/>
    <n v="3275"/>
    <n v="43"/>
    <n v="140825"/>
    <m/>
  </r>
  <r>
    <x v="6"/>
    <s v="JUL"/>
    <x v="24"/>
    <s v="GRSM 4"/>
    <x v="0"/>
    <s v="NKA"/>
    <n v="490034"/>
    <n v="209554"/>
    <x v="8"/>
    <x v="19"/>
    <s v="CARBONARA"/>
    <n v="3275"/>
    <n v="61"/>
    <n v="199775"/>
    <m/>
  </r>
  <r>
    <x v="6"/>
    <s v="JUL"/>
    <x v="24"/>
    <s v="GRSM 4"/>
    <x v="0"/>
    <s v="NKA"/>
    <n v="490034"/>
    <n v="209554"/>
    <x v="8"/>
    <x v="19"/>
    <s v="AGLIO OLIO"/>
    <n v="3275"/>
    <n v="25"/>
    <n v="81875"/>
    <m/>
  </r>
  <r>
    <x v="6"/>
    <s v="JUL"/>
    <x v="24"/>
    <s v="GRSM 4"/>
    <x v="0"/>
    <s v="NKA"/>
    <n v="490034"/>
    <n v="209554"/>
    <x v="8"/>
    <x v="19"/>
    <s v="GORENG"/>
    <n v="3275"/>
    <n v="166"/>
    <n v="543650"/>
    <n v="160"/>
  </r>
  <r>
    <x v="6"/>
    <s v="JUL"/>
    <x v="24"/>
    <s v="GRSM 4"/>
    <x v="0"/>
    <s v="NKA"/>
    <n v="490034"/>
    <n v="209554"/>
    <x v="8"/>
    <x v="18"/>
    <s v="BOLOGNESE"/>
    <n v="3275"/>
    <n v="43"/>
    <n v="140825"/>
    <m/>
  </r>
  <r>
    <x v="6"/>
    <s v="JUL"/>
    <x v="24"/>
    <s v="GRSM 4"/>
    <x v="0"/>
    <s v="NKA"/>
    <n v="490034"/>
    <n v="209554"/>
    <x v="8"/>
    <x v="18"/>
    <s v="CARBONARA"/>
    <n v="3275"/>
    <n v="61"/>
    <n v="199775"/>
    <m/>
  </r>
  <r>
    <x v="6"/>
    <s v="JUL"/>
    <x v="24"/>
    <s v="GRSM 4"/>
    <x v="0"/>
    <s v="NKA"/>
    <n v="490034"/>
    <n v="209554"/>
    <x v="8"/>
    <x v="18"/>
    <s v="AGLIO OLIO"/>
    <n v="3275"/>
    <n v="25"/>
    <n v="81875"/>
    <m/>
  </r>
  <r>
    <x v="6"/>
    <s v="JUL"/>
    <x v="24"/>
    <s v="GRSM 4"/>
    <x v="0"/>
    <s v="NKA"/>
    <n v="490034"/>
    <n v="209554"/>
    <x v="8"/>
    <x v="18"/>
    <s v="GORENG"/>
    <n v="3275"/>
    <n v="166"/>
    <n v="543650"/>
    <n v="160"/>
  </r>
  <r>
    <x v="6"/>
    <s v="JUL"/>
    <x v="24"/>
    <s v="GRSM 4"/>
    <x v="0"/>
    <s v="GMM"/>
    <n v="189901"/>
    <n v="1602018"/>
    <x v="14"/>
    <x v="23"/>
    <s v="BOLOGNESE"/>
    <n v="3500"/>
    <n v="15"/>
    <n v="52500"/>
    <m/>
  </r>
  <r>
    <x v="6"/>
    <s v="JUL"/>
    <x v="24"/>
    <s v="GRSM 4"/>
    <x v="0"/>
    <s v="GMM"/>
    <n v="189901"/>
    <n v="1602018"/>
    <x v="14"/>
    <x v="23"/>
    <s v="CARBONARA"/>
    <n v="3500"/>
    <n v="20"/>
    <n v="70000"/>
    <m/>
  </r>
  <r>
    <x v="6"/>
    <s v="JUL"/>
    <x v="24"/>
    <s v="GRSM 4"/>
    <x v="0"/>
    <s v="GMM"/>
    <n v="189901"/>
    <n v="1602018"/>
    <x v="14"/>
    <x v="23"/>
    <s v="AGLIO OLIO"/>
    <n v="3500"/>
    <n v="5"/>
    <n v="17500"/>
    <m/>
  </r>
  <r>
    <x v="6"/>
    <s v="JUL"/>
    <x v="22"/>
    <s v="GRSM 4"/>
    <x v="0"/>
    <s v="GMM"/>
    <n v="189901"/>
    <n v="1602018"/>
    <x v="14"/>
    <x v="23"/>
    <s v="GORENG"/>
    <n v="3500"/>
    <n v="70"/>
    <n v="245000"/>
    <m/>
  </r>
  <r>
    <x v="6"/>
    <s v="JUL"/>
    <x v="22"/>
    <s v="GRSM 5"/>
    <x v="1"/>
    <s v="GMM"/>
    <n v="170220"/>
    <n v="9000015"/>
    <x v="15"/>
    <x v="28"/>
    <s v="BOLOGNESE"/>
    <n v="2200"/>
    <n v="119"/>
    <n v="261800"/>
    <m/>
  </r>
  <r>
    <x v="6"/>
    <s v="JUL"/>
    <x v="22"/>
    <s v="GRSM 5"/>
    <x v="1"/>
    <s v="GMM"/>
    <n v="170220"/>
    <n v="9000015"/>
    <x v="15"/>
    <x v="28"/>
    <s v="CARBONARA"/>
    <n v="2200"/>
    <n v="91"/>
    <n v="200200"/>
    <m/>
  </r>
  <r>
    <x v="6"/>
    <s v="JUL"/>
    <x v="22"/>
    <s v="GRSM 5"/>
    <x v="1"/>
    <s v="GMM"/>
    <n v="170220"/>
    <n v="9000015"/>
    <x v="15"/>
    <x v="28"/>
    <s v="AGLIO OLIO"/>
    <n v="2200"/>
    <n v="39"/>
    <n v="85800"/>
    <m/>
  </r>
  <r>
    <x v="6"/>
    <s v="JUL"/>
    <x v="22"/>
    <s v="GRSM 5"/>
    <x v="1"/>
    <s v="GMM"/>
    <n v="170220"/>
    <n v="9000015"/>
    <x v="15"/>
    <x v="28"/>
    <s v="GORENG"/>
    <n v="2200"/>
    <n v="395"/>
    <n v="869000"/>
    <n v="120"/>
  </r>
  <r>
    <x v="6"/>
    <s v="JUL"/>
    <x v="22"/>
    <s v="GRSM 5"/>
    <x v="1"/>
    <s v="GMM"/>
    <n v="170220"/>
    <n v="9000015"/>
    <x v="15"/>
    <x v="29"/>
    <s v="BOLOGNESE"/>
    <n v="2200"/>
    <n v="119"/>
    <n v="261800"/>
    <m/>
  </r>
  <r>
    <x v="6"/>
    <s v="JUL"/>
    <x v="22"/>
    <s v="GRSM 5"/>
    <x v="1"/>
    <s v="GMM"/>
    <n v="170220"/>
    <n v="9000015"/>
    <x v="15"/>
    <x v="29"/>
    <s v="CARBONARA"/>
    <n v="2200"/>
    <n v="91"/>
    <n v="200200"/>
    <m/>
  </r>
  <r>
    <x v="6"/>
    <s v="JUL"/>
    <x v="22"/>
    <s v="GRSM 5"/>
    <x v="1"/>
    <s v="GMM"/>
    <n v="170220"/>
    <n v="9000015"/>
    <x v="15"/>
    <x v="29"/>
    <s v="AGLIO OLIO"/>
    <n v="2200"/>
    <n v="39"/>
    <n v="85800"/>
    <m/>
  </r>
  <r>
    <x v="6"/>
    <s v="JUL"/>
    <x v="22"/>
    <s v="GRSM 5"/>
    <x v="1"/>
    <s v="GMM"/>
    <n v="170220"/>
    <n v="9000015"/>
    <x v="15"/>
    <x v="29"/>
    <s v="GORENG"/>
    <n v="2200"/>
    <n v="395"/>
    <n v="869000"/>
    <n v="120"/>
  </r>
  <r>
    <x v="6"/>
    <s v="JUL"/>
    <x v="22"/>
    <s v="GRSM 5"/>
    <x v="1"/>
    <s v="GMM"/>
    <n v="170220"/>
    <n v="1901004"/>
    <x v="17"/>
    <x v="33"/>
    <s v="BOLOGNESE"/>
    <n v="2200"/>
    <n v="47"/>
    <n v="103400"/>
    <m/>
  </r>
  <r>
    <x v="6"/>
    <s v="JUL"/>
    <x v="22"/>
    <s v="GRSM 5"/>
    <x v="1"/>
    <s v="GMM"/>
    <n v="170220"/>
    <n v="1901004"/>
    <x v="17"/>
    <x v="33"/>
    <s v="CARBONARA"/>
    <n v="2200"/>
    <n v="83"/>
    <n v="182600"/>
    <m/>
  </r>
  <r>
    <x v="6"/>
    <s v="JUL"/>
    <x v="22"/>
    <s v="GRSM 5"/>
    <x v="1"/>
    <s v="GMM"/>
    <n v="170220"/>
    <n v="1901004"/>
    <x v="17"/>
    <x v="33"/>
    <s v="AGLIO OLIO"/>
    <n v="2200"/>
    <n v="44"/>
    <n v="96800"/>
    <m/>
  </r>
  <r>
    <x v="6"/>
    <s v="JUL"/>
    <x v="22"/>
    <s v="GRSM 5"/>
    <x v="1"/>
    <s v="GMM"/>
    <n v="170220"/>
    <n v="1901004"/>
    <x v="17"/>
    <x v="33"/>
    <s v="GORENG"/>
    <n v="2200"/>
    <n v="97"/>
    <n v="213400"/>
    <n v="104"/>
  </r>
  <r>
    <x v="6"/>
    <s v="JUL"/>
    <x v="22"/>
    <s v="GRSM 5"/>
    <x v="1"/>
    <s v="GMM"/>
    <n v="170220"/>
    <n v="1901004"/>
    <x v="17"/>
    <x v="34"/>
    <s v="BOLOGNESE"/>
    <n v="2200"/>
    <n v="47"/>
    <n v="103400"/>
    <m/>
  </r>
  <r>
    <x v="6"/>
    <s v="JUL"/>
    <x v="22"/>
    <s v="GRSM 5"/>
    <x v="1"/>
    <s v="GMM"/>
    <n v="170220"/>
    <n v="1901004"/>
    <x v="17"/>
    <x v="34"/>
    <s v="CARBONARA"/>
    <n v="2200"/>
    <n v="83"/>
    <n v="182600"/>
    <m/>
  </r>
  <r>
    <x v="6"/>
    <s v="JUL"/>
    <x v="22"/>
    <s v="GRSM 5"/>
    <x v="1"/>
    <s v="GMM"/>
    <n v="170220"/>
    <n v="1901004"/>
    <x v="17"/>
    <x v="34"/>
    <s v="AGLIO OLIO"/>
    <n v="2200"/>
    <n v="44"/>
    <n v="96800"/>
    <m/>
  </r>
  <r>
    <x v="6"/>
    <s v="JUL"/>
    <x v="22"/>
    <s v="GRSM 5"/>
    <x v="1"/>
    <s v="GMM"/>
    <n v="170220"/>
    <n v="1901004"/>
    <x v="17"/>
    <x v="34"/>
    <s v="GORENG"/>
    <n v="2200"/>
    <n v="97"/>
    <n v="213400"/>
    <n v="104"/>
  </r>
  <r>
    <x v="6"/>
    <s v="JUL"/>
    <x v="22"/>
    <s v="GRSM 5"/>
    <x v="1"/>
    <s v="GMM"/>
    <n v="170220"/>
    <n v="9000015"/>
    <x v="18"/>
    <x v="35"/>
    <s v="BOLOGNESE"/>
    <n v="2200"/>
    <n v="81"/>
    <n v="178200"/>
    <m/>
  </r>
  <r>
    <x v="6"/>
    <s v="JUL"/>
    <x v="22"/>
    <s v="GRSM 5"/>
    <x v="1"/>
    <s v="GMM"/>
    <n v="170220"/>
    <n v="9000015"/>
    <x v="18"/>
    <x v="35"/>
    <s v="CARBONARA"/>
    <n v="2200"/>
    <n v="239"/>
    <n v="525800"/>
    <m/>
  </r>
  <r>
    <x v="6"/>
    <s v="JUL"/>
    <x v="22"/>
    <s v="GRSM 5"/>
    <x v="1"/>
    <s v="GMM"/>
    <n v="170220"/>
    <n v="9000015"/>
    <x v="18"/>
    <x v="35"/>
    <s v="AGLIO OLIO"/>
    <n v="2200"/>
    <n v="80"/>
    <n v="176000"/>
    <m/>
  </r>
  <r>
    <x v="6"/>
    <s v="JUL"/>
    <x v="22"/>
    <s v="GRSM 5"/>
    <x v="1"/>
    <s v="GMM"/>
    <n v="170220"/>
    <n v="9000015"/>
    <x v="18"/>
    <x v="35"/>
    <s v="GORENG"/>
    <n v="2200"/>
    <n v="240"/>
    <n v="528000"/>
    <n v="120"/>
  </r>
  <r>
    <x v="6"/>
    <s v="JUL"/>
    <x v="22"/>
    <s v="GRSM 5"/>
    <x v="1"/>
    <s v="GMM"/>
    <n v="170220"/>
    <n v="9000015"/>
    <x v="18"/>
    <x v="36"/>
    <s v="BOLOGNESE"/>
    <n v="2200"/>
    <n v="81"/>
    <n v="178200"/>
    <m/>
  </r>
  <r>
    <x v="6"/>
    <s v="JUL"/>
    <x v="22"/>
    <s v="GRSM 5"/>
    <x v="1"/>
    <s v="GMM"/>
    <n v="170220"/>
    <n v="9000015"/>
    <x v="18"/>
    <x v="36"/>
    <s v="CARBONARA"/>
    <n v="2200"/>
    <n v="239"/>
    <n v="525800"/>
    <m/>
  </r>
  <r>
    <x v="6"/>
    <s v="JUL"/>
    <x v="22"/>
    <s v="GRSM 5"/>
    <x v="1"/>
    <s v="GMM"/>
    <n v="170220"/>
    <n v="9000015"/>
    <x v="18"/>
    <x v="36"/>
    <s v="AGLIO OLIO"/>
    <n v="2200"/>
    <n v="80"/>
    <n v="176000"/>
    <m/>
  </r>
  <r>
    <x v="6"/>
    <s v="JUL"/>
    <x v="22"/>
    <s v="GRSM 5"/>
    <x v="1"/>
    <s v="GMM"/>
    <n v="170220"/>
    <n v="9000015"/>
    <x v="18"/>
    <x v="36"/>
    <s v="GORENG"/>
    <n v="2200"/>
    <n v="240"/>
    <n v="528000"/>
    <n v="120"/>
  </r>
  <r>
    <x v="6"/>
    <s v="JUL"/>
    <x v="22"/>
    <s v="GRSM 5"/>
    <x v="1"/>
    <s v="GMM"/>
    <n v="170220"/>
    <n v="1901019"/>
    <x v="19"/>
    <x v="37"/>
    <s v="BOLOGNESE"/>
    <n v="2200"/>
    <n v="71"/>
    <n v="156200"/>
    <m/>
  </r>
  <r>
    <x v="6"/>
    <s v="JUL"/>
    <x v="22"/>
    <s v="GRSM 5"/>
    <x v="1"/>
    <s v="GMM"/>
    <n v="170220"/>
    <n v="1901019"/>
    <x v="19"/>
    <x v="37"/>
    <s v="CARBONARA"/>
    <n v="2200"/>
    <n v="135"/>
    <n v="297000"/>
    <m/>
  </r>
  <r>
    <x v="6"/>
    <s v="JUL"/>
    <x v="22"/>
    <s v="GRSM 5"/>
    <x v="1"/>
    <s v="GMM"/>
    <n v="170220"/>
    <n v="1901019"/>
    <x v="19"/>
    <x v="37"/>
    <s v="AGLIO OLIO"/>
    <n v="2200"/>
    <n v="42"/>
    <n v="92400"/>
    <m/>
  </r>
  <r>
    <x v="6"/>
    <s v="JUL"/>
    <x v="22"/>
    <s v="GRSM 5"/>
    <x v="1"/>
    <s v="GMM"/>
    <n v="170220"/>
    <n v="1901019"/>
    <x v="19"/>
    <x v="37"/>
    <s v="GORENG"/>
    <n v="2200"/>
    <n v="93"/>
    <n v="204600"/>
    <m/>
  </r>
  <r>
    <x v="6"/>
    <s v="JUL"/>
    <x v="22"/>
    <s v="GRSM 5"/>
    <x v="1"/>
    <s v="GMM"/>
    <n v="170220"/>
    <n v="1901019"/>
    <x v="19"/>
    <x v="38"/>
    <s v="BOLOGNESE"/>
    <n v="2200"/>
    <n v="71"/>
    <n v="156200"/>
    <m/>
  </r>
  <r>
    <x v="6"/>
    <s v="JUL"/>
    <x v="22"/>
    <s v="GRSM 5"/>
    <x v="1"/>
    <s v="GMM"/>
    <n v="170220"/>
    <n v="1901019"/>
    <x v="19"/>
    <x v="38"/>
    <s v="CARBONARA"/>
    <n v="2200"/>
    <n v="135"/>
    <n v="297000"/>
    <m/>
  </r>
  <r>
    <x v="6"/>
    <s v="JUL"/>
    <x v="22"/>
    <s v="GRSM 5"/>
    <x v="1"/>
    <s v="GMM"/>
    <n v="170220"/>
    <n v="1901019"/>
    <x v="19"/>
    <x v="38"/>
    <s v="AGLIO OLIO"/>
    <n v="2200"/>
    <n v="42"/>
    <n v="92400"/>
    <m/>
  </r>
  <r>
    <x v="6"/>
    <s v="JUL"/>
    <x v="22"/>
    <s v="GRSM 5"/>
    <x v="1"/>
    <s v="GMM"/>
    <n v="170220"/>
    <n v="1901019"/>
    <x v="19"/>
    <x v="38"/>
    <s v="GORENG"/>
    <n v="2200"/>
    <n v="93"/>
    <n v="204600"/>
    <n v="0"/>
  </r>
  <r>
    <x v="6"/>
    <s v="JUL"/>
    <x v="23"/>
    <s v="GRSM 5"/>
    <x v="1"/>
    <s v="GMM"/>
    <n v="170220"/>
    <n v="9000015"/>
    <x v="15"/>
    <x v="28"/>
    <s v="BOLOGNESE"/>
    <n v="2200"/>
    <n v="75"/>
    <n v="165000"/>
    <m/>
  </r>
  <r>
    <x v="6"/>
    <s v="JUL"/>
    <x v="23"/>
    <s v="GRSM 5"/>
    <x v="1"/>
    <s v="GMM"/>
    <n v="170220"/>
    <n v="9000015"/>
    <x v="15"/>
    <x v="28"/>
    <s v="CARBONARA"/>
    <n v="2200"/>
    <n v="103"/>
    <n v="226600"/>
    <m/>
  </r>
  <r>
    <x v="6"/>
    <s v="JUL"/>
    <x v="23"/>
    <s v="GRSM 5"/>
    <x v="1"/>
    <s v="GMM"/>
    <n v="170220"/>
    <n v="9000015"/>
    <x v="15"/>
    <x v="28"/>
    <s v="AGLIO OLIO"/>
    <n v="2200"/>
    <n v="53"/>
    <n v="116600"/>
    <m/>
  </r>
  <r>
    <x v="6"/>
    <s v="JUL"/>
    <x v="23"/>
    <s v="GRSM 5"/>
    <x v="1"/>
    <s v="GMM"/>
    <n v="170220"/>
    <n v="9000015"/>
    <x v="15"/>
    <x v="28"/>
    <s v="GORENG"/>
    <n v="2200"/>
    <n v="187"/>
    <n v="411400"/>
    <n v="120"/>
  </r>
  <r>
    <x v="6"/>
    <s v="JUL"/>
    <x v="23"/>
    <s v="GRSM 5"/>
    <x v="1"/>
    <s v="GMM"/>
    <n v="170220"/>
    <n v="9000015"/>
    <x v="15"/>
    <x v="29"/>
    <s v="BOLOGNESE"/>
    <n v="2200"/>
    <n v="75"/>
    <n v="165000"/>
    <m/>
  </r>
  <r>
    <x v="6"/>
    <s v="JUL"/>
    <x v="23"/>
    <s v="GRSM 5"/>
    <x v="1"/>
    <s v="GMM"/>
    <n v="170220"/>
    <n v="9000015"/>
    <x v="15"/>
    <x v="29"/>
    <s v="CARBONARA"/>
    <n v="2200"/>
    <n v="103"/>
    <n v="226600"/>
    <m/>
  </r>
  <r>
    <x v="6"/>
    <s v="JUL"/>
    <x v="23"/>
    <s v="GRSM 5"/>
    <x v="1"/>
    <s v="GMM"/>
    <n v="170220"/>
    <n v="9000015"/>
    <x v="15"/>
    <x v="29"/>
    <s v="AGLIO OLIO"/>
    <n v="2200"/>
    <n v="53"/>
    <n v="116600"/>
    <m/>
  </r>
  <r>
    <x v="6"/>
    <s v="JUL"/>
    <x v="23"/>
    <s v="GRSM 5"/>
    <x v="1"/>
    <s v="GMM"/>
    <n v="170220"/>
    <n v="9000015"/>
    <x v="15"/>
    <x v="29"/>
    <s v="GORENG"/>
    <n v="2200"/>
    <n v="187"/>
    <n v="411400"/>
    <n v="120"/>
  </r>
  <r>
    <x v="6"/>
    <s v="JUL"/>
    <x v="23"/>
    <s v="GRSM 5"/>
    <x v="1"/>
    <s v="GMM"/>
    <n v="170220"/>
    <n v="1901019"/>
    <x v="19"/>
    <x v="37"/>
    <s v="BOLOGNESE"/>
    <n v="2200"/>
    <n v="93"/>
    <n v="204600"/>
    <m/>
  </r>
  <r>
    <x v="6"/>
    <s v="JUL"/>
    <x v="23"/>
    <s v="GRSM 5"/>
    <x v="1"/>
    <s v="GMM"/>
    <n v="170220"/>
    <n v="1901019"/>
    <x v="19"/>
    <x v="37"/>
    <s v="CARBONARA"/>
    <n v="2200"/>
    <n v="97"/>
    <n v="213400"/>
    <m/>
  </r>
  <r>
    <x v="6"/>
    <s v="JUL"/>
    <x v="23"/>
    <s v="GRSM 5"/>
    <x v="1"/>
    <s v="GMM"/>
    <n v="170220"/>
    <n v="1901019"/>
    <x v="19"/>
    <x v="37"/>
    <s v="AGLIO OLIO"/>
    <n v="2200"/>
    <n v="101"/>
    <n v="222200"/>
    <m/>
  </r>
  <r>
    <x v="6"/>
    <s v="JUL"/>
    <x v="23"/>
    <s v="GRSM 5"/>
    <x v="1"/>
    <s v="GMM"/>
    <n v="170220"/>
    <n v="1901019"/>
    <x v="19"/>
    <x v="37"/>
    <s v="GORENG"/>
    <n v="2200"/>
    <n v="255"/>
    <n v="561000"/>
    <n v="100"/>
  </r>
  <r>
    <x v="6"/>
    <s v="JUL"/>
    <x v="23"/>
    <s v="GRSM 5"/>
    <x v="1"/>
    <s v="GMM"/>
    <n v="170220"/>
    <n v="1901019"/>
    <x v="19"/>
    <x v="38"/>
    <s v="BOLOGNESE"/>
    <n v="2200"/>
    <n v="93"/>
    <n v="204600"/>
    <m/>
  </r>
  <r>
    <x v="6"/>
    <s v="JUL"/>
    <x v="23"/>
    <s v="GRSM 5"/>
    <x v="1"/>
    <s v="GMM"/>
    <n v="170220"/>
    <n v="1901019"/>
    <x v="19"/>
    <x v="38"/>
    <s v="CARBONARA"/>
    <n v="2200"/>
    <n v="97"/>
    <n v="213400"/>
    <m/>
  </r>
  <r>
    <x v="6"/>
    <s v="JUL"/>
    <x v="23"/>
    <s v="GRSM 5"/>
    <x v="1"/>
    <s v="GMM"/>
    <n v="170220"/>
    <n v="1901019"/>
    <x v="19"/>
    <x v="38"/>
    <s v="AGLIO OLIO"/>
    <n v="2200"/>
    <n v="101"/>
    <n v="222200"/>
    <m/>
  </r>
  <r>
    <x v="6"/>
    <s v="JUL"/>
    <x v="23"/>
    <s v="GRSM 5"/>
    <x v="1"/>
    <s v="GMM"/>
    <n v="170220"/>
    <n v="1901019"/>
    <x v="19"/>
    <x v="38"/>
    <s v="GORENG"/>
    <n v="2200"/>
    <n v="255"/>
    <n v="561000"/>
    <n v="100"/>
  </r>
  <r>
    <x v="6"/>
    <s v="JUL"/>
    <x v="23"/>
    <s v="GRSM 5"/>
    <x v="1"/>
    <s v="GMM"/>
    <n v="170220"/>
    <n v="9000015"/>
    <x v="18"/>
    <x v="35"/>
    <s v="BOLOGNESE"/>
    <n v="2200"/>
    <n v="87"/>
    <n v="191400"/>
    <m/>
  </r>
  <r>
    <x v="6"/>
    <s v="JUL"/>
    <x v="23"/>
    <s v="GRSM 5"/>
    <x v="1"/>
    <s v="GMM"/>
    <n v="170220"/>
    <n v="9000015"/>
    <x v="18"/>
    <x v="35"/>
    <s v="CARBONARA"/>
    <n v="2200"/>
    <n v="281"/>
    <n v="618200"/>
    <m/>
  </r>
  <r>
    <x v="6"/>
    <s v="JUL"/>
    <x v="23"/>
    <s v="GRSM 5"/>
    <x v="1"/>
    <s v="GMM"/>
    <n v="170220"/>
    <n v="9000015"/>
    <x v="18"/>
    <x v="35"/>
    <s v="AGLIO OLIO"/>
    <n v="2200"/>
    <n v="52"/>
    <n v="114400"/>
    <m/>
  </r>
  <r>
    <x v="6"/>
    <s v="JUL"/>
    <x v="23"/>
    <s v="GRSM 5"/>
    <x v="1"/>
    <s v="GMM"/>
    <n v="170220"/>
    <n v="9000015"/>
    <x v="18"/>
    <x v="35"/>
    <s v="GORENG"/>
    <n v="2200"/>
    <n v="310"/>
    <n v="682000"/>
    <n v="160"/>
  </r>
  <r>
    <x v="6"/>
    <s v="JUL"/>
    <x v="23"/>
    <s v="GRSM 5"/>
    <x v="1"/>
    <s v="GMM"/>
    <n v="170220"/>
    <n v="9000015"/>
    <x v="18"/>
    <x v="36"/>
    <s v="BOLOGNESE"/>
    <n v="2200"/>
    <n v="87"/>
    <n v="191400"/>
    <m/>
  </r>
  <r>
    <x v="6"/>
    <s v="JUL"/>
    <x v="23"/>
    <s v="GRSM 5"/>
    <x v="1"/>
    <s v="GMM"/>
    <n v="170220"/>
    <n v="9000015"/>
    <x v="18"/>
    <x v="36"/>
    <s v="CARBONARA"/>
    <n v="2200"/>
    <n v="281"/>
    <n v="618200"/>
    <m/>
  </r>
  <r>
    <x v="6"/>
    <s v="JUL"/>
    <x v="23"/>
    <s v="GRSM 5"/>
    <x v="1"/>
    <s v="GMM"/>
    <n v="170220"/>
    <n v="9000015"/>
    <x v="18"/>
    <x v="36"/>
    <s v="AGLIO OLIO"/>
    <n v="2200"/>
    <n v="52"/>
    <n v="114400"/>
    <m/>
  </r>
  <r>
    <x v="6"/>
    <s v="JUL"/>
    <x v="23"/>
    <s v="GRSM 5"/>
    <x v="1"/>
    <s v="GMM"/>
    <n v="170220"/>
    <n v="9000015"/>
    <x v="18"/>
    <x v="36"/>
    <s v="GORENG"/>
    <n v="2200"/>
    <n v="310"/>
    <n v="682000"/>
    <n v="160"/>
  </r>
  <r>
    <x v="6"/>
    <s v="JUL"/>
    <x v="23"/>
    <s v="GRSM 5"/>
    <x v="1"/>
    <s v="GMM"/>
    <n v="170220"/>
    <n v="1901004"/>
    <x v="17"/>
    <x v="33"/>
    <s v="BOLOGNESE"/>
    <n v="2200"/>
    <n v="103"/>
    <n v="226600"/>
    <m/>
  </r>
  <r>
    <x v="6"/>
    <s v="JUL"/>
    <x v="23"/>
    <s v="GRSM 5"/>
    <x v="1"/>
    <s v="GMM"/>
    <n v="170220"/>
    <n v="1901004"/>
    <x v="17"/>
    <x v="33"/>
    <s v="CARBONARA"/>
    <n v="2200"/>
    <n v="309"/>
    <n v="679800"/>
    <m/>
  </r>
  <r>
    <x v="6"/>
    <s v="JUL"/>
    <x v="23"/>
    <s v="GRSM 5"/>
    <x v="1"/>
    <s v="GMM"/>
    <n v="170220"/>
    <n v="1901004"/>
    <x v="17"/>
    <x v="33"/>
    <s v="AGLIO OLIO"/>
    <n v="2200"/>
    <n v="73"/>
    <n v="160600"/>
    <m/>
  </r>
  <r>
    <x v="6"/>
    <s v="JUL"/>
    <x v="23"/>
    <s v="GRSM 5"/>
    <x v="1"/>
    <s v="GMM"/>
    <n v="170220"/>
    <n v="1901004"/>
    <x v="17"/>
    <x v="33"/>
    <s v="GORENG"/>
    <n v="2200"/>
    <n v="277"/>
    <n v="609400"/>
    <n v="120"/>
  </r>
  <r>
    <x v="6"/>
    <s v="JUL"/>
    <x v="23"/>
    <s v="GRSM 5"/>
    <x v="1"/>
    <s v="GMM"/>
    <n v="170220"/>
    <n v="1901004"/>
    <x v="17"/>
    <x v="34"/>
    <s v="BOLOGNESE"/>
    <n v="2200"/>
    <n v="103"/>
    <n v="226600"/>
    <m/>
  </r>
  <r>
    <x v="6"/>
    <s v="JUL"/>
    <x v="23"/>
    <s v="GRSM 5"/>
    <x v="1"/>
    <s v="GMM"/>
    <n v="170220"/>
    <n v="1901004"/>
    <x v="17"/>
    <x v="34"/>
    <s v="CARBONARA"/>
    <n v="2200"/>
    <n v="309"/>
    <n v="679800"/>
    <m/>
  </r>
  <r>
    <x v="6"/>
    <s v="JUL"/>
    <x v="23"/>
    <s v="GRSM 5"/>
    <x v="1"/>
    <s v="GMM"/>
    <n v="170220"/>
    <n v="1901004"/>
    <x v="17"/>
    <x v="34"/>
    <s v="AGLIO OLIO"/>
    <n v="2200"/>
    <n v="73"/>
    <n v="160600"/>
    <m/>
  </r>
  <r>
    <x v="6"/>
    <s v="JUL"/>
    <x v="23"/>
    <s v="GRSM 5"/>
    <x v="1"/>
    <s v="GMM"/>
    <n v="170220"/>
    <n v="1901004"/>
    <x v="17"/>
    <x v="34"/>
    <s v="GORENG"/>
    <n v="2200"/>
    <n v="277"/>
    <n v="609400"/>
    <n v="120"/>
  </r>
  <r>
    <x v="6"/>
    <s v="JUL"/>
    <x v="24"/>
    <s v="GRSM 5"/>
    <x v="1"/>
    <s v="GMM"/>
    <n v="170220"/>
    <n v="9000015"/>
    <x v="15"/>
    <x v="28"/>
    <s v="BOLOGNESE"/>
    <n v="2200"/>
    <n v="148"/>
    <n v="325600"/>
    <m/>
  </r>
  <r>
    <x v="6"/>
    <s v="JUL"/>
    <x v="24"/>
    <s v="GRSM 5"/>
    <x v="1"/>
    <s v="GMM"/>
    <n v="170220"/>
    <n v="9000015"/>
    <x v="15"/>
    <x v="28"/>
    <s v="CARBONARA"/>
    <n v="2200"/>
    <n v="142"/>
    <n v="312400"/>
    <m/>
  </r>
  <r>
    <x v="6"/>
    <s v="JUL"/>
    <x v="24"/>
    <s v="GRSM 5"/>
    <x v="1"/>
    <s v="GMM"/>
    <n v="170220"/>
    <n v="9000015"/>
    <x v="15"/>
    <x v="28"/>
    <s v="AGLIO OLIO"/>
    <n v="2200"/>
    <n v="91"/>
    <n v="200200"/>
    <m/>
  </r>
  <r>
    <x v="6"/>
    <s v="JUL"/>
    <x v="24"/>
    <s v="GRSM 5"/>
    <x v="1"/>
    <s v="GMM"/>
    <n v="170220"/>
    <n v="9000015"/>
    <x v="15"/>
    <x v="28"/>
    <s v="GORENG"/>
    <n v="2200"/>
    <n v="352"/>
    <n v="774400"/>
    <n v="120"/>
  </r>
  <r>
    <x v="6"/>
    <s v="JUL"/>
    <x v="24"/>
    <s v="GRSM 5"/>
    <x v="1"/>
    <s v="GMM"/>
    <n v="170220"/>
    <n v="9000015"/>
    <x v="15"/>
    <x v="29"/>
    <s v="BOLOGNESE"/>
    <n v="2200"/>
    <n v="148"/>
    <n v="325600"/>
    <m/>
  </r>
  <r>
    <x v="6"/>
    <s v="JUL"/>
    <x v="24"/>
    <s v="GRSM 5"/>
    <x v="1"/>
    <s v="GMM"/>
    <n v="170220"/>
    <n v="9000015"/>
    <x v="15"/>
    <x v="29"/>
    <s v="CARBONARA"/>
    <n v="2200"/>
    <n v="142"/>
    <n v="312400"/>
    <m/>
  </r>
  <r>
    <x v="6"/>
    <s v="JUL"/>
    <x v="24"/>
    <s v="GRSM 5"/>
    <x v="1"/>
    <s v="GMM"/>
    <n v="170220"/>
    <n v="9000015"/>
    <x v="15"/>
    <x v="29"/>
    <s v="AGLIO OLIO"/>
    <n v="2200"/>
    <n v="91"/>
    <n v="200200"/>
    <m/>
  </r>
  <r>
    <x v="6"/>
    <s v="JUL"/>
    <x v="24"/>
    <s v="GRSM 5"/>
    <x v="1"/>
    <s v="GMM"/>
    <n v="170220"/>
    <n v="9000015"/>
    <x v="15"/>
    <x v="29"/>
    <s v="GORENG"/>
    <n v="2200"/>
    <n v="352"/>
    <n v="774400"/>
    <n v="120"/>
  </r>
  <r>
    <x v="6"/>
    <s v="JUL"/>
    <x v="24"/>
    <s v="GRSM 5"/>
    <x v="1"/>
    <s v="GMM"/>
    <n v="170220"/>
    <n v="1901019"/>
    <x v="19"/>
    <x v="37"/>
    <s v="BOLOGNESE"/>
    <n v="2200"/>
    <n v="96"/>
    <n v="211200"/>
    <m/>
  </r>
  <r>
    <x v="6"/>
    <s v="JUL"/>
    <x v="24"/>
    <s v="GRSM 5"/>
    <x v="1"/>
    <s v="GMM"/>
    <n v="170220"/>
    <n v="1901019"/>
    <x v="19"/>
    <x v="37"/>
    <s v="CARBONARA"/>
    <n v="2200"/>
    <n v="175"/>
    <n v="385000"/>
    <m/>
  </r>
  <r>
    <x v="6"/>
    <s v="JUL"/>
    <x v="24"/>
    <s v="GRSM 5"/>
    <x v="1"/>
    <s v="GMM"/>
    <n v="170220"/>
    <n v="1901019"/>
    <x v="19"/>
    <x v="37"/>
    <s v="AGLIO OLIO"/>
    <n v="2200"/>
    <n v="172"/>
    <n v="378400"/>
    <m/>
  </r>
  <r>
    <x v="6"/>
    <s v="JUL"/>
    <x v="24"/>
    <s v="GRSM 5"/>
    <x v="1"/>
    <s v="GMM"/>
    <n v="170220"/>
    <n v="1901019"/>
    <x v="19"/>
    <x v="37"/>
    <s v="GORENG"/>
    <n v="2200"/>
    <n v="380"/>
    <n v="836000"/>
    <n v="142"/>
  </r>
  <r>
    <x v="6"/>
    <s v="JUL"/>
    <x v="24"/>
    <s v="GRSM 5"/>
    <x v="1"/>
    <s v="GMM"/>
    <n v="170220"/>
    <n v="1901019"/>
    <x v="19"/>
    <x v="38"/>
    <s v="BOLOGNESE"/>
    <n v="2200"/>
    <n v="96"/>
    <n v="211200"/>
    <m/>
  </r>
  <r>
    <x v="6"/>
    <s v="JUL"/>
    <x v="24"/>
    <s v="GRSM 5"/>
    <x v="1"/>
    <s v="GMM"/>
    <n v="170220"/>
    <n v="1901019"/>
    <x v="19"/>
    <x v="38"/>
    <s v="CARBONARA"/>
    <n v="2200"/>
    <n v="175"/>
    <n v="385000"/>
    <m/>
  </r>
  <r>
    <x v="6"/>
    <s v="JUL"/>
    <x v="24"/>
    <s v="GRSM 5"/>
    <x v="1"/>
    <s v="GMM"/>
    <n v="170220"/>
    <n v="1901019"/>
    <x v="19"/>
    <x v="38"/>
    <s v="AGLIO OLIO"/>
    <n v="2200"/>
    <n v="172"/>
    <n v="378400"/>
    <m/>
  </r>
  <r>
    <x v="6"/>
    <s v="JUL"/>
    <x v="24"/>
    <s v="GRSM 5"/>
    <x v="1"/>
    <s v="GMM"/>
    <n v="170220"/>
    <n v="1901019"/>
    <x v="19"/>
    <x v="38"/>
    <s v="GORENG"/>
    <n v="2200"/>
    <n v="380"/>
    <n v="836000"/>
    <n v="142"/>
  </r>
  <r>
    <x v="6"/>
    <s v="JUL"/>
    <x v="24"/>
    <s v="GRSM 5"/>
    <x v="1"/>
    <s v="GMM"/>
    <n v="170220"/>
    <n v="1901004"/>
    <x v="17"/>
    <x v="33"/>
    <s v="BOLOGNESE"/>
    <n v="2200"/>
    <n v="120"/>
    <n v="264000"/>
    <m/>
  </r>
  <r>
    <x v="6"/>
    <s v="JUL"/>
    <x v="24"/>
    <s v="GRSM 5"/>
    <x v="1"/>
    <s v="GMM"/>
    <n v="170220"/>
    <n v="1901004"/>
    <x v="17"/>
    <x v="33"/>
    <s v="CARBONARA"/>
    <n v="2200"/>
    <n v="280"/>
    <n v="616000"/>
    <m/>
  </r>
  <r>
    <x v="6"/>
    <s v="JUL"/>
    <x v="24"/>
    <s v="GRSM 5"/>
    <x v="1"/>
    <s v="GMM"/>
    <n v="170220"/>
    <n v="1901004"/>
    <x v="17"/>
    <x v="33"/>
    <s v="AGLIO OLIO"/>
    <n v="2200"/>
    <n v="120"/>
    <n v="264000"/>
    <m/>
  </r>
  <r>
    <x v="6"/>
    <s v="JUL"/>
    <x v="24"/>
    <s v="GRSM 5"/>
    <x v="1"/>
    <s v="GMM"/>
    <n v="170220"/>
    <n v="1901004"/>
    <x v="17"/>
    <x v="33"/>
    <s v="GORENG"/>
    <n v="2200"/>
    <n v="240"/>
    <n v="528000"/>
    <n v="120"/>
  </r>
  <r>
    <x v="6"/>
    <s v="JUL"/>
    <x v="24"/>
    <s v="GRSM 5"/>
    <x v="1"/>
    <s v="GMM"/>
    <n v="170220"/>
    <n v="1901004"/>
    <x v="17"/>
    <x v="34"/>
    <s v="BOLOGNESE"/>
    <n v="2200"/>
    <n v="120"/>
    <n v="264000"/>
    <m/>
  </r>
  <r>
    <x v="6"/>
    <s v="JUL"/>
    <x v="24"/>
    <s v="GRSM 5"/>
    <x v="1"/>
    <s v="GMM"/>
    <n v="170220"/>
    <n v="1901004"/>
    <x v="17"/>
    <x v="34"/>
    <s v="CARBONARA"/>
    <n v="2200"/>
    <n v="280"/>
    <n v="616000"/>
    <m/>
  </r>
  <r>
    <x v="6"/>
    <s v="JUL"/>
    <x v="24"/>
    <s v="GRSM 5"/>
    <x v="1"/>
    <s v="GMM"/>
    <n v="170220"/>
    <n v="1901004"/>
    <x v="17"/>
    <x v="34"/>
    <s v="AGLIO OLIO"/>
    <n v="2200"/>
    <n v="120"/>
    <n v="264000"/>
    <m/>
  </r>
  <r>
    <x v="6"/>
    <s v="JUL"/>
    <x v="24"/>
    <s v="GRSM 5"/>
    <x v="1"/>
    <s v="GMM"/>
    <n v="170220"/>
    <n v="1901004"/>
    <x v="17"/>
    <x v="34"/>
    <s v="GORENG"/>
    <n v="2200"/>
    <n v="240"/>
    <n v="528000"/>
    <n v="120"/>
  </r>
  <r>
    <x v="6"/>
    <s v="JUL"/>
    <x v="24"/>
    <s v="GRSM 5"/>
    <x v="1"/>
    <s v="GMM"/>
    <n v="170220"/>
    <n v="9000015"/>
    <x v="18"/>
    <x v="35"/>
    <s v="BOLOGNESE"/>
    <n v="2200"/>
    <n v="126"/>
    <n v="277200"/>
    <m/>
  </r>
  <r>
    <x v="6"/>
    <s v="JUL"/>
    <x v="24"/>
    <s v="GRSM 5"/>
    <x v="1"/>
    <s v="GMM"/>
    <n v="170220"/>
    <n v="9000015"/>
    <x v="18"/>
    <x v="35"/>
    <s v="CARBONARA"/>
    <n v="2200"/>
    <n v="248"/>
    <n v="545600"/>
    <m/>
  </r>
  <r>
    <x v="6"/>
    <s v="JUL"/>
    <x v="24"/>
    <s v="GRSM 5"/>
    <x v="1"/>
    <s v="GMM"/>
    <n v="170220"/>
    <n v="9000015"/>
    <x v="18"/>
    <x v="35"/>
    <s v="AGLIO OLIO"/>
    <n v="2200"/>
    <n v="117"/>
    <n v="257400"/>
    <m/>
  </r>
  <r>
    <x v="6"/>
    <s v="JUL"/>
    <x v="24"/>
    <s v="GRSM 5"/>
    <x v="1"/>
    <s v="GMM"/>
    <n v="170220"/>
    <n v="9000015"/>
    <x v="18"/>
    <x v="35"/>
    <s v="GORENG"/>
    <n v="2200"/>
    <n v="279"/>
    <n v="613800"/>
    <n v="153"/>
  </r>
  <r>
    <x v="6"/>
    <s v="JUL"/>
    <x v="24"/>
    <s v="GRSM 5"/>
    <x v="1"/>
    <s v="GMM"/>
    <n v="170220"/>
    <n v="9000015"/>
    <x v="18"/>
    <x v="36"/>
    <s v="BOLOGNESE"/>
    <n v="2200"/>
    <n v="126"/>
    <n v="277200"/>
    <m/>
  </r>
  <r>
    <x v="6"/>
    <s v="JUL"/>
    <x v="24"/>
    <s v="GRSM 5"/>
    <x v="1"/>
    <s v="GMM"/>
    <n v="170220"/>
    <n v="9000015"/>
    <x v="18"/>
    <x v="36"/>
    <s v="CARBONARA"/>
    <n v="2200"/>
    <n v="248"/>
    <n v="545600"/>
    <m/>
  </r>
  <r>
    <x v="6"/>
    <s v="JUL"/>
    <x v="24"/>
    <s v="GRSM 5"/>
    <x v="1"/>
    <s v="GMM"/>
    <n v="170220"/>
    <n v="9000015"/>
    <x v="18"/>
    <x v="36"/>
    <s v="AGLIO OLIO"/>
    <n v="2200"/>
    <n v="117"/>
    <n v="257400"/>
    <m/>
  </r>
  <r>
    <x v="6"/>
    <s v="JUL"/>
    <x v="24"/>
    <s v="GRSM 5"/>
    <x v="1"/>
    <s v="GMM"/>
    <n v="170220"/>
    <n v="9000015"/>
    <x v="18"/>
    <x v="36"/>
    <s v="GORENG"/>
    <n v="2200"/>
    <n v="279"/>
    <n v="613800"/>
    <n v="153"/>
  </r>
  <r>
    <x v="6"/>
    <s v="JUL"/>
    <x v="22"/>
    <s v="GRSM 4"/>
    <x v="0"/>
    <s v="GMM"/>
    <n v="189901"/>
    <n v="1602018"/>
    <x v="14"/>
    <x v="22"/>
    <s v="BOLOGNESE"/>
    <n v="3500"/>
    <n v="30"/>
    <n v="105000"/>
    <m/>
  </r>
  <r>
    <x v="6"/>
    <s v="JUL"/>
    <x v="22"/>
    <s v="GRSM 4"/>
    <x v="0"/>
    <s v="GMM"/>
    <n v="189901"/>
    <n v="1602018"/>
    <x v="14"/>
    <x v="22"/>
    <s v="CARBONARA"/>
    <n v="3500"/>
    <n v="30"/>
    <n v="105000"/>
    <m/>
  </r>
  <r>
    <x v="6"/>
    <s v="JUL"/>
    <x v="22"/>
    <s v="GRSM 4"/>
    <x v="0"/>
    <s v="GMM"/>
    <n v="189901"/>
    <n v="1602018"/>
    <x v="14"/>
    <x v="22"/>
    <s v="AGLIO OLIO"/>
    <n v="3500"/>
    <n v="15"/>
    <n v="52500"/>
    <m/>
  </r>
  <r>
    <x v="6"/>
    <s v="JUL"/>
    <x v="22"/>
    <s v="GRSM 4"/>
    <x v="0"/>
    <s v="GMM"/>
    <n v="189901"/>
    <n v="1602018"/>
    <x v="14"/>
    <x v="22"/>
    <s v="GORENG"/>
    <n v="3500"/>
    <n v="40"/>
    <n v="140000"/>
    <n v="160"/>
  </r>
  <r>
    <x v="6"/>
    <s v="JUL"/>
    <x v="23"/>
    <s v="GRSM 4"/>
    <x v="0"/>
    <s v="GMM"/>
    <n v="189901"/>
    <n v="1602018"/>
    <x v="14"/>
    <x v="22"/>
    <s v="BOLOGNESE"/>
    <n v="3500"/>
    <n v="25"/>
    <n v="87500"/>
    <m/>
  </r>
  <r>
    <x v="6"/>
    <s v="JUL"/>
    <x v="23"/>
    <s v="GRSM 4"/>
    <x v="0"/>
    <s v="GMM"/>
    <n v="189901"/>
    <n v="1602018"/>
    <x v="14"/>
    <x v="22"/>
    <s v="CARBONARA"/>
    <n v="3500"/>
    <n v="20"/>
    <n v="70000"/>
    <m/>
  </r>
  <r>
    <x v="6"/>
    <s v="JUL"/>
    <x v="23"/>
    <s v="GRSM 4"/>
    <x v="0"/>
    <s v="GMM"/>
    <n v="189901"/>
    <n v="1602018"/>
    <x v="14"/>
    <x v="22"/>
    <s v="AGLIO OLIO"/>
    <n v="3500"/>
    <n v="15"/>
    <n v="52500"/>
    <m/>
  </r>
  <r>
    <x v="6"/>
    <s v="JUL"/>
    <x v="23"/>
    <s v="GRSM 4"/>
    <x v="0"/>
    <s v="GMM"/>
    <n v="189901"/>
    <n v="1602018"/>
    <x v="14"/>
    <x v="22"/>
    <s v="GORENG"/>
    <n v="3500"/>
    <n v="40"/>
    <n v="140000"/>
    <n v="160"/>
  </r>
  <r>
    <x v="6"/>
    <s v="JUL"/>
    <x v="24"/>
    <s v="GRSM 4"/>
    <x v="0"/>
    <s v="GMM"/>
    <n v="189901"/>
    <n v="1602018"/>
    <x v="14"/>
    <x v="22"/>
    <s v="BOLOGNESE"/>
    <n v="3500"/>
    <n v="15"/>
    <n v="52500"/>
    <m/>
  </r>
  <r>
    <x v="6"/>
    <s v="JUL"/>
    <x v="24"/>
    <s v="GRSM 4"/>
    <x v="0"/>
    <s v="GMM"/>
    <n v="189901"/>
    <n v="1602018"/>
    <x v="14"/>
    <x v="22"/>
    <s v="CARBONARA"/>
    <n v="3500"/>
    <n v="20"/>
    <n v="70000"/>
    <m/>
  </r>
  <r>
    <x v="6"/>
    <s v="JUL"/>
    <x v="24"/>
    <s v="GRSM 4"/>
    <x v="0"/>
    <s v="GMM"/>
    <n v="189901"/>
    <n v="1602018"/>
    <x v="14"/>
    <x v="22"/>
    <s v="AGLIO OLIO"/>
    <n v="3500"/>
    <n v="5"/>
    <n v="17500"/>
    <m/>
  </r>
  <r>
    <x v="6"/>
    <s v="JUL"/>
    <x v="24"/>
    <s v="GRSM 4"/>
    <x v="0"/>
    <s v="GMM"/>
    <n v="189901"/>
    <n v="1602018"/>
    <x v="14"/>
    <x v="22"/>
    <s v="GORENG"/>
    <n v="3500"/>
    <n v="70"/>
    <n v="245000"/>
    <n v="160"/>
  </r>
  <r>
    <x v="6"/>
    <s v="JUL"/>
    <x v="22"/>
    <s v="GRSM 4"/>
    <x v="0"/>
    <s v="GMM"/>
    <n v="189901"/>
    <n v="1602008"/>
    <x v="13"/>
    <x v="14"/>
    <s v="BOLOGNESE"/>
    <n v="3300"/>
    <n v="50"/>
    <n v="165000"/>
    <m/>
  </r>
  <r>
    <x v="6"/>
    <s v="JUL"/>
    <x v="22"/>
    <s v="GRSM 4"/>
    <x v="0"/>
    <s v="GMM"/>
    <n v="189901"/>
    <n v="1602008"/>
    <x v="13"/>
    <x v="14"/>
    <s v="CARBONARA"/>
    <n v="3300"/>
    <n v="60"/>
    <n v="198000"/>
    <m/>
  </r>
  <r>
    <x v="6"/>
    <s v="JUL"/>
    <x v="22"/>
    <s v="GRSM 4"/>
    <x v="0"/>
    <s v="GMM"/>
    <n v="189901"/>
    <n v="1602008"/>
    <x v="13"/>
    <x v="14"/>
    <s v="AGLIO OLIO"/>
    <n v="3300"/>
    <n v="60"/>
    <n v="198000"/>
    <m/>
  </r>
  <r>
    <x v="6"/>
    <s v="JUL"/>
    <x v="22"/>
    <s v="GRSM 4"/>
    <x v="0"/>
    <s v="GMM"/>
    <n v="189901"/>
    <n v="1602008"/>
    <x v="13"/>
    <x v="14"/>
    <s v="GORENG"/>
    <n v="3300"/>
    <n v="80"/>
    <n v="264000"/>
    <n v="160"/>
  </r>
  <r>
    <x v="6"/>
    <s v="JUL"/>
    <x v="23"/>
    <s v="GRSM 4"/>
    <x v="0"/>
    <s v="GMM"/>
    <n v="189901"/>
    <n v="1602008"/>
    <x v="13"/>
    <x v="14"/>
    <s v="BOLOGNESE"/>
    <n v="3300"/>
    <n v="100"/>
    <n v="330000"/>
    <m/>
  </r>
  <r>
    <x v="6"/>
    <s v="JUL"/>
    <x v="23"/>
    <s v="GRSM 4"/>
    <x v="0"/>
    <s v="GMM"/>
    <n v="189901"/>
    <n v="1602008"/>
    <x v="13"/>
    <x v="14"/>
    <s v="CARBONARA"/>
    <n v="3300"/>
    <n v="60"/>
    <n v="198000"/>
    <m/>
  </r>
  <r>
    <x v="6"/>
    <s v="JUL"/>
    <x v="23"/>
    <s v="GRSM 4"/>
    <x v="0"/>
    <s v="GMM"/>
    <n v="189901"/>
    <n v="1602008"/>
    <x v="13"/>
    <x v="14"/>
    <s v="AGLIO OLIO"/>
    <n v="3300"/>
    <n v="100"/>
    <n v="330000"/>
    <m/>
  </r>
  <r>
    <x v="6"/>
    <s v="JUL"/>
    <x v="23"/>
    <s v="GRSM 4"/>
    <x v="0"/>
    <s v="GMM"/>
    <n v="189901"/>
    <n v="1602008"/>
    <x v="13"/>
    <x v="14"/>
    <s v="GORENG"/>
    <n v="3300"/>
    <n v="80"/>
    <n v="264000"/>
    <n v="160"/>
  </r>
  <r>
    <x v="6"/>
    <s v="JUL"/>
    <x v="24"/>
    <s v="GRSM 4"/>
    <x v="0"/>
    <s v="GMM"/>
    <n v="189901"/>
    <n v="1602008"/>
    <x v="13"/>
    <x v="14"/>
    <s v="BOLOGNESE"/>
    <n v="3300"/>
    <n v="50"/>
    <n v="165000"/>
    <m/>
  </r>
  <r>
    <x v="6"/>
    <s v="JUL"/>
    <x v="24"/>
    <s v="GRSM 4"/>
    <x v="0"/>
    <s v="GMM"/>
    <n v="189901"/>
    <n v="1602008"/>
    <x v="13"/>
    <x v="14"/>
    <s v="CARBONARA"/>
    <n v="3300"/>
    <n v="50"/>
    <n v="165000"/>
    <m/>
  </r>
  <r>
    <x v="6"/>
    <s v="JUL"/>
    <x v="24"/>
    <s v="GRSM 4"/>
    <x v="0"/>
    <s v="GMM"/>
    <n v="189901"/>
    <n v="1602008"/>
    <x v="13"/>
    <x v="14"/>
    <s v="AGLIO OLIO"/>
    <n v="3300"/>
    <n v="50"/>
    <n v="165000"/>
    <m/>
  </r>
  <r>
    <x v="6"/>
    <s v="JUL"/>
    <x v="24"/>
    <s v="GRSM 4"/>
    <x v="0"/>
    <s v="GMM"/>
    <n v="189901"/>
    <n v="1602008"/>
    <x v="13"/>
    <x v="14"/>
    <s v="GORENG"/>
    <n v="3300"/>
    <n v="50"/>
    <n v="165000"/>
    <n v="160"/>
  </r>
  <r>
    <x v="6"/>
    <s v="JUL"/>
    <x v="22"/>
    <s v="GRSM 4"/>
    <x v="0"/>
    <s v="GMM"/>
    <n v="103277"/>
    <n v="6300700"/>
    <x v="11"/>
    <x v="12"/>
    <s v="BOLOGNESE"/>
    <n v="3300"/>
    <n v="50"/>
    <n v="165000"/>
    <m/>
  </r>
  <r>
    <x v="6"/>
    <s v="JUL"/>
    <x v="22"/>
    <s v="GRSM 4"/>
    <x v="0"/>
    <s v="GMM"/>
    <n v="103277"/>
    <n v="6300700"/>
    <x v="11"/>
    <x v="12"/>
    <s v="CARBONARA"/>
    <n v="3300"/>
    <n v="45"/>
    <n v="148500"/>
    <m/>
  </r>
  <r>
    <x v="6"/>
    <s v="JUL"/>
    <x v="22"/>
    <s v="GRSM 4"/>
    <x v="0"/>
    <s v="GMM"/>
    <n v="103277"/>
    <n v="6300700"/>
    <x v="11"/>
    <x v="12"/>
    <s v="AGLIO OLIO"/>
    <n v="3300"/>
    <n v="35"/>
    <n v="115500"/>
    <m/>
  </r>
  <r>
    <x v="6"/>
    <s v="JUL"/>
    <x v="22"/>
    <s v="GRSM 4"/>
    <x v="0"/>
    <s v="GMM"/>
    <n v="103277"/>
    <n v="6300700"/>
    <x v="11"/>
    <x v="12"/>
    <s v="GORENG"/>
    <n v="3300"/>
    <n v="150"/>
    <n v="495000"/>
    <n v="160"/>
  </r>
  <r>
    <x v="6"/>
    <s v="JUL"/>
    <x v="23"/>
    <s v="GRSM 4"/>
    <x v="0"/>
    <s v="GMM"/>
    <n v="103277"/>
    <n v="6300700"/>
    <x v="11"/>
    <x v="12"/>
    <s v="BOLOGNESE"/>
    <n v="3300"/>
    <n v="55"/>
    <n v="181500"/>
    <m/>
  </r>
  <r>
    <x v="6"/>
    <s v="JUL"/>
    <x v="23"/>
    <s v="GRSM 4"/>
    <x v="0"/>
    <s v="GMM"/>
    <n v="103277"/>
    <n v="6300700"/>
    <x v="11"/>
    <x v="12"/>
    <s v="CARBONARA"/>
    <n v="3300"/>
    <n v="40"/>
    <n v="132000"/>
    <m/>
  </r>
  <r>
    <x v="6"/>
    <s v="JUL"/>
    <x v="23"/>
    <s v="GRSM 4"/>
    <x v="0"/>
    <s v="GMM"/>
    <n v="103277"/>
    <n v="6300700"/>
    <x v="11"/>
    <x v="12"/>
    <s v="AGLIO OLIO"/>
    <n v="3300"/>
    <n v="40"/>
    <n v="132000"/>
    <m/>
  </r>
  <r>
    <x v="6"/>
    <s v="JUL"/>
    <x v="23"/>
    <s v="GRSM 4"/>
    <x v="0"/>
    <s v="GMM"/>
    <n v="103277"/>
    <n v="6300700"/>
    <x v="11"/>
    <x v="12"/>
    <s v="GORENG"/>
    <n v="3300"/>
    <n v="150"/>
    <n v="495000"/>
    <n v="160"/>
  </r>
  <r>
    <x v="6"/>
    <s v="JUL"/>
    <x v="24"/>
    <s v="GRSM 4"/>
    <x v="0"/>
    <s v="GMM"/>
    <n v="103277"/>
    <n v="6300700"/>
    <x v="11"/>
    <x v="12"/>
    <s v="BOLOGNESE"/>
    <n v="3300"/>
    <n v="60"/>
    <n v="198000"/>
    <m/>
  </r>
  <r>
    <x v="6"/>
    <s v="JUL"/>
    <x v="24"/>
    <s v="GRSM 4"/>
    <x v="0"/>
    <s v="GMM"/>
    <n v="103277"/>
    <n v="6300700"/>
    <x v="11"/>
    <x v="12"/>
    <s v="CARBONARA"/>
    <n v="3300"/>
    <n v="50"/>
    <n v="165000"/>
    <m/>
  </r>
  <r>
    <x v="6"/>
    <s v="JUL"/>
    <x v="24"/>
    <s v="GRSM 4"/>
    <x v="0"/>
    <s v="GMM"/>
    <n v="103277"/>
    <n v="6300700"/>
    <x v="11"/>
    <x v="12"/>
    <s v="AGLIO OLIO"/>
    <n v="3300"/>
    <n v="50"/>
    <n v="165000"/>
    <m/>
  </r>
  <r>
    <x v="6"/>
    <s v="JUL"/>
    <x v="24"/>
    <s v="GRSM 4"/>
    <x v="0"/>
    <s v="GMM"/>
    <n v="103277"/>
    <n v="6300700"/>
    <x v="11"/>
    <x v="12"/>
    <s v="GORENG"/>
    <n v="3300"/>
    <n v="130"/>
    <n v="429000"/>
    <n v="160"/>
  </r>
  <r>
    <x v="6"/>
    <s v="JUL"/>
    <x v="22"/>
    <s v="GRSM 4"/>
    <x v="0"/>
    <s v="GMM"/>
    <n v="189901"/>
    <n v="1602008"/>
    <x v="13"/>
    <x v="9"/>
    <s v="BOLOGNESE"/>
    <n v="3300"/>
    <n v="60"/>
    <n v="198000"/>
    <m/>
  </r>
  <r>
    <x v="6"/>
    <s v="JUL"/>
    <x v="22"/>
    <s v="GRSM 4"/>
    <x v="0"/>
    <s v="GMM"/>
    <n v="189901"/>
    <n v="1602008"/>
    <x v="13"/>
    <x v="9"/>
    <s v="CARBONARA"/>
    <n v="3300"/>
    <n v="60"/>
    <n v="198000"/>
    <m/>
  </r>
  <r>
    <x v="6"/>
    <s v="JUL"/>
    <x v="22"/>
    <s v="GRSM 4"/>
    <x v="0"/>
    <s v="GMM"/>
    <n v="189901"/>
    <n v="1602008"/>
    <x v="13"/>
    <x v="9"/>
    <s v="AGLIO OLIO"/>
    <n v="3300"/>
    <n v="60"/>
    <n v="198000"/>
    <m/>
  </r>
  <r>
    <x v="6"/>
    <s v="JUL"/>
    <x v="22"/>
    <s v="GRSM 4"/>
    <x v="0"/>
    <s v="GMM"/>
    <n v="189901"/>
    <n v="1602008"/>
    <x v="13"/>
    <x v="9"/>
    <s v="GORENG"/>
    <n v="3300"/>
    <n v="70"/>
    <n v="231000"/>
    <n v="160"/>
  </r>
  <r>
    <x v="6"/>
    <s v="JUL"/>
    <x v="23"/>
    <s v="GRSM 4"/>
    <x v="0"/>
    <s v="GMM"/>
    <n v="189901"/>
    <n v="1602008"/>
    <x v="13"/>
    <x v="9"/>
    <s v="BOLOGNESE"/>
    <n v="3300"/>
    <n v="100"/>
    <n v="330000"/>
    <m/>
  </r>
  <r>
    <x v="6"/>
    <s v="JUL"/>
    <x v="23"/>
    <s v="GRSM 4"/>
    <x v="0"/>
    <s v="GMM"/>
    <n v="189901"/>
    <n v="1602008"/>
    <x v="13"/>
    <x v="9"/>
    <s v="CARBONARA"/>
    <n v="3300"/>
    <n v="70"/>
    <n v="231000"/>
    <m/>
  </r>
  <r>
    <x v="6"/>
    <s v="JUL"/>
    <x v="23"/>
    <s v="GRSM 4"/>
    <x v="0"/>
    <s v="GMM"/>
    <n v="189901"/>
    <n v="1602008"/>
    <x v="13"/>
    <x v="9"/>
    <s v="AGLIO OLIO"/>
    <n v="3300"/>
    <n v="60"/>
    <n v="198000"/>
    <m/>
  </r>
  <r>
    <x v="6"/>
    <s v="JUL"/>
    <x v="23"/>
    <s v="GRSM 4"/>
    <x v="0"/>
    <s v="GMM"/>
    <n v="189901"/>
    <n v="1602008"/>
    <x v="13"/>
    <x v="9"/>
    <s v="GORENG"/>
    <n v="3300"/>
    <n v="100"/>
    <n v="330000"/>
    <n v="160"/>
  </r>
  <r>
    <x v="6"/>
    <s v="JUL"/>
    <x v="24"/>
    <s v="GRSM 4"/>
    <x v="0"/>
    <s v="GMM"/>
    <n v="189901"/>
    <n v="1602008"/>
    <x v="13"/>
    <x v="39"/>
    <s v="BOLOGNESE"/>
    <n v="3300"/>
    <n v="50"/>
    <n v="165000"/>
    <m/>
  </r>
  <r>
    <x v="6"/>
    <s v="JUL"/>
    <x v="24"/>
    <s v="GRSM 4"/>
    <x v="0"/>
    <s v="GMM"/>
    <n v="189901"/>
    <n v="1602008"/>
    <x v="13"/>
    <x v="39"/>
    <s v="CARBONARA"/>
    <n v="3300"/>
    <n v="50"/>
    <n v="165000"/>
    <m/>
  </r>
  <r>
    <x v="6"/>
    <s v="JUL"/>
    <x v="24"/>
    <s v="GRSM 4"/>
    <x v="0"/>
    <s v="GMM"/>
    <n v="189901"/>
    <n v="1602008"/>
    <x v="13"/>
    <x v="39"/>
    <s v="AGLIO OLIO"/>
    <n v="3300"/>
    <n v="50"/>
    <n v="165000"/>
    <m/>
  </r>
  <r>
    <x v="6"/>
    <s v="JUL"/>
    <x v="24"/>
    <s v="GRSM 4"/>
    <x v="0"/>
    <s v="GMM"/>
    <n v="189901"/>
    <n v="1602008"/>
    <x v="13"/>
    <x v="39"/>
    <s v="GORENG"/>
    <n v="3300"/>
    <n v="50"/>
    <n v="165000"/>
    <n v="160"/>
  </r>
  <r>
    <x v="6"/>
    <s v="JUL"/>
    <x v="23"/>
    <s v="GRSM 6"/>
    <x v="2"/>
    <s v="GMM"/>
    <n v="103765"/>
    <n v="4307038"/>
    <x v="20"/>
    <x v="40"/>
    <s v="BOLOGNESE"/>
    <n v="2000"/>
    <n v="159"/>
    <n v="318000"/>
    <m/>
  </r>
  <r>
    <x v="6"/>
    <s v="JUL"/>
    <x v="23"/>
    <s v="GRSM 6"/>
    <x v="2"/>
    <s v="GMM"/>
    <n v="103765"/>
    <n v="4307038"/>
    <x v="20"/>
    <x v="40"/>
    <s v="CARBONARA"/>
    <n v="2000"/>
    <n v="180"/>
    <n v="360000"/>
    <m/>
  </r>
  <r>
    <x v="6"/>
    <s v="JUL"/>
    <x v="23"/>
    <s v="GRSM 6"/>
    <x v="2"/>
    <s v="GMM"/>
    <n v="103765"/>
    <n v="4307038"/>
    <x v="20"/>
    <x v="40"/>
    <s v="AGLIO OLIO"/>
    <n v="2000"/>
    <n v="171"/>
    <n v="342000"/>
    <m/>
  </r>
  <r>
    <x v="6"/>
    <s v="JUL"/>
    <x v="23"/>
    <s v="GRSM 6"/>
    <x v="2"/>
    <s v="GMM"/>
    <n v="103765"/>
    <n v="4307038"/>
    <x v="20"/>
    <x v="40"/>
    <s v="GORENG"/>
    <n v="2000"/>
    <n v="195"/>
    <n v="390000"/>
    <n v="160"/>
  </r>
  <r>
    <x v="6"/>
    <s v="JUL"/>
    <x v="23"/>
    <s v="GRSM 6"/>
    <x v="2"/>
    <s v="GMM"/>
    <n v="103765"/>
    <n v="4307038"/>
    <x v="20"/>
    <x v="41"/>
    <s v="BOLOGNESE"/>
    <n v="2000"/>
    <n v="159"/>
    <n v="318000"/>
    <m/>
  </r>
  <r>
    <x v="6"/>
    <s v="JUL"/>
    <x v="23"/>
    <s v="GRSM 6"/>
    <x v="2"/>
    <s v="GMM"/>
    <n v="103765"/>
    <n v="4307038"/>
    <x v="20"/>
    <x v="41"/>
    <s v="CARBONARA"/>
    <n v="2000"/>
    <n v="180"/>
    <n v="360000"/>
    <m/>
  </r>
  <r>
    <x v="6"/>
    <s v="JUL"/>
    <x v="23"/>
    <s v="GRSM 6"/>
    <x v="2"/>
    <s v="GMM"/>
    <n v="103765"/>
    <n v="4307038"/>
    <x v="20"/>
    <x v="41"/>
    <s v="AGLIO OLIO"/>
    <n v="2000"/>
    <n v="171"/>
    <n v="342000"/>
    <m/>
  </r>
  <r>
    <x v="6"/>
    <s v="JUL"/>
    <x v="23"/>
    <s v="GRSM 6"/>
    <x v="2"/>
    <s v="GMM"/>
    <n v="103765"/>
    <n v="4307038"/>
    <x v="20"/>
    <x v="41"/>
    <s v="GORENG"/>
    <n v="2000"/>
    <n v="195"/>
    <n v="390000"/>
    <n v="160"/>
  </r>
  <r>
    <x v="6"/>
    <s v="JUL"/>
    <x v="22"/>
    <s v="GRSM 6"/>
    <x v="2"/>
    <s v="GMM"/>
    <n v="211033"/>
    <n v="6467246"/>
    <x v="21"/>
    <x v="42"/>
    <s v="BOLOGNESE"/>
    <n v="2900"/>
    <n v="20"/>
    <n v="58000"/>
    <m/>
  </r>
  <r>
    <x v="6"/>
    <s v="JUL"/>
    <x v="22"/>
    <s v="GRSM 6"/>
    <x v="2"/>
    <s v="GMM"/>
    <n v="211033"/>
    <n v="6467246"/>
    <x v="21"/>
    <x v="42"/>
    <s v="CARBONARA"/>
    <n v="2900"/>
    <n v="56"/>
    <n v="162400"/>
    <m/>
  </r>
  <r>
    <x v="6"/>
    <s v="JUL"/>
    <x v="22"/>
    <s v="GRSM 6"/>
    <x v="2"/>
    <s v="GMM"/>
    <n v="211033"/>
    <n v="6467246"/>
    <x v="21"/>
    <x v="42"/>
    <s v="AGLIO OLIO"/>
    <n v="2900"/>
    <n v="21"/>
    <n v="60900"/>
    <m/>
  </r>
  <r>
    <x v="6"/>
    <s v="JUL"/>
    <x v="22"/>
    <s v="GRSM 6"/>
    <x v="2"/>
    <s v="GMM"/>
    <n v="211033"/>
    <n v="6467246"/>
    <x v="21"/>
    <x v="42"/>
    <s v="GORENG"/>
    <n v="2900"/>
    <n v="295"/>
    <n v="855500"/>
    <n v="160"/>
  </r>
  <r>
    <x v="6"/>
    <s v="JUL"/>
    <x v="22"/>
    <s v="GRSM 6"/>
    <x v="2"/>
    <s v="GMM"/>
    <n v="211033"/>
    <n v="6467246"/>
    <x v="21"/>
    <x v="43"/>
    <s v="BOLOGNESE"/>
    <n v="2900"/>
    <n v="20"/>
    <n v="58000"/>
    <m/>
  </r>
  <r>
    <x v="6"/>
    <s v="JUL"/>
    <x v="22"/>
    <s v="GRSM 6"/>
    <x v="2"/>
    <s v="GMM"/>
    <n v="211033"/>
    <n v="6467246"/>
    <x v="21"/>
    <x v="43"/>
    <s v="CARBONARA"/>
    <n v="2900"/>
    <n v="56"/>
    <n v="162400"/>
    <m/>
  </r>
  <r>
    <x v="6"/>
    <s v="JUL"/>
    <x v="22"/>
    <s v="GRSM 6"/>
    <x v="2"/>
    <s v="GMM"/>
    <n v="211033"/>
    <n v="6467246"/>
    <x v="21"/>
    <x v="43"/>
    <s v="AGLIO OLIO"/>
    <n v="2900"/>
    <n v="21"/>
    <n v="60900"/>
    <m/>
  </r>
  <r>
    <x v="6"/>
    <s v="JUL"/>
    <x v="22"/>
    <s v="GRSM 6"/>
    <x v="2"/>
    <s v="GMM"/>
    <n v="211033"/>
    <n v="6467246"/>
    <x v="21"/>
    <x v="43"/>
    <s v="GORENG"/>
    <n v="2900"/>
    <n v="295"/>
    <n v="855500"/>
    <n v="160"/>
  </r>
  <r>
    <x v="6"/>
    <s v="JUL"/>
    <x v="23"/>
    <s v="GRSM 6"/>
    <x v="2"/>
    <s v="GMM"/>
    <n v="211033"/>
    <n v="6467246"/>
    <x v="21"/>
    <x v="42"/>
    <s v="CARBONARA"/>
    <n v="2900"/>
    <n v="95"/>
    <n v="275500"/>
    <m/>
  </r>
  <r>
    <x v="6"/>
    <s v="JUL"/>
    <x v="23"/>
    <s v="GRSM 6"/>
    <x v="2"/>
    <s v="GMM"/>
    <n v="211033"/>
    <n v="6467246"/>
    <x v="21"/>
    <x v="42"/>
    <s v="AGLIO OLIO"/>
    <n v="2900"/>
    <n v="30"/>
    <n v="87000"/>
    <m/>
  </r>
  <r>
    <x v="6"/>
    <s v="JUL"/>
    <x v="23"/>
    <s v="GRSM 6"/>
    <x v="2"/>
    <s v="GMM"/>
    <n v="211033"/>
    <n v="6467246"/>
    <x v="21"/>
    <x v="42"/>
    <s v="GORENG"/>
    <n v="2900"/>
    <n v="320"/>
    <n v="928000"/>
    <n v="160"/>
  </r>
  <r>
    <x v="6"/>
    <s v="JUL"/>
    <x v="23"/>
    <s v="GRSM 6"/>
    <x v="2"/>
    <s v="GMM"/>
    <n v="211033"/>
    <n v="6467246"/>
    <x v="21"/>
    <x v="43"/>
    <s v="BOLOGNESE"/>
    <n v="2900"/>
    <n v="75"/>
    <n v="217500"/>
    <m/>
  </r>
  <r>
    <x v="6"/>
    <s v="JUL"/>
    <x v="23"/>
    <s v="GRSM 6"/>
    <x v="2"/>
    <s v="GMM"/>
    <n v="211033"/>
    <n v="6467246"/>
    <x v="21"/>
    <x v="43"/>
    <s v="CARBONARA"/>
    <n v="2900"/>
    <n v="95"/>
    <n v="275500"/>
    <m/>
  </r>
  <r>
    <x v="6"/>
    <s v="JUL"/>
    <x v="23"/>
    <s v="GRSM 6"/>
    <x v="2"/>
    <s v="GMM"/>
    <n v="211033"/>
    <n v="6467246"/>
    <x v="21"/>
    <x v="43"/>
    <s v="AGLIO OLIO"/>
    <n v="2900"/>
    <n v="30"/>
    <n v="87000"/>
    <m/>
  </r>
  <r>
    <x v="6"/>
    <s v="JUL"/>
    <x v="23"/>
    <s v="GRSM 6"/>
    <x v="2"/>
    <s v="GMM"/>
    <n v="211033"/>
    <n v="6467246"/>
    <x v="21"/>
    <x v="43"/>
    <s v="GORENG"/>
    <n v="2900"/>
    <n v="320"/>
    <n v="928000"/>
    <n v="160"/>
  </r>
  <r>
    <x v="6"/>
    <s v="JUL"/>
    <x v="23"/>
    <s v="GRSM 6"/>
    <x v="2"/>
    <s v="GMM"/>
    <n v="211163"/>
    <n v="3703219"/>
    <x v="22"/>
    <x v="44"/>
    <s v="BOLOGNESE"/>
    <n v="2900"/>
    <n v="68"/>
    <n v="197200"/>
    <m/>
  </r>
  <r>
    <x v="6"/>
    <s v="JUL"/>
    <x v="23"/>
    <s v="GRSM 6"/>
    <x v="2"/>
    <s v="GMM"/>
    <n v="211163"/>
    <n v="3703219"/>
    <x v="22"/>
    <x v="44"/>
    <s v="CARBONARA"/>
    <n v="2900"/>
    <n v="98"/>
    <n v="284200"/>
    <m/>
  </r>
  <r>
    <x v="6"/>
    <s v="JUL"/>
    <x v="23"/>
    <s v="GRSM 6"/>
    <x v="2"/>
    <s v="GMM"/>
    <n v="211163"/>
    <n v="3703219"/>
    <x v="22"/>
    <x v="44"/>
    <s v="AGLIO OLIO"/>
    <n v="2900"/>
    <n v="0"/>
    <n v="0"/>
    <m/>
  </r>
  <r>
    <x v="6"/>
    <s v="JUL"/>
    <x v="23"/>
    <s v="GRSM 6"/>
    <x v="2"/>
    <s v="GMM"/>
    <n v="211163"/>
    <n v="3703219"/>
    <x v="22"/>
    <x v="44"/>
    <s v="GORENG"/>
    <n v="2900"/>
    <n v="98"/>
    <n v="284200"/>
    <n v="70"/>
  </r>
  <r>
    <x v="6"/>
    <s v="JUL"/>
    <x v="23"/>
    <s v="GRSM 6"/>
    <x v="2"/>
    <s v="GMM"/>
    <n v="211163"/>
    <n v="3703219"/>
    <x v="22"/>
    <x v="45"/>
    <s v="BOLOGNESE"/>
    <n v="2900"/>
    <n v="68"/>
    <n v="197200"/>
    <m/>
  </r>
  <r>
    <x v="6"/>
    <s v="JUL"/>
    <x v="23"/>
    <s v="GRSM 6"/>
    <x v="2"/>
    <s v="GMM"/>
    <n v="211163"/>
    <n v="3703219"/>
    <x v="22"/>
    <x v="45"/>
    <s v="CARBONARA"/>
    <n v="2900"/>
    <n v="98"/>
    <n v="284200"/>
    <m/>
  </r>
  <r>
    <x v="6"/>
    <s v="JUL"/>
    <x v="23"/>
    <s v="GRSM 6"/>
    <x v="2"/>
    <s v="GMM"/>
    <n v="211163"/>
    <n v="3703219"/>
    <x v="22"/>
    <x v="45"/>
    <s v="AGLIO OLIO"/>
    <n v="2900"/>
    <n v="0"/>
    <n v="0"/>
    <m/>
  </r>
  <r>
    <x v="6"/>
    <s v="JUL"/>
    <x v="23"/>
    <s v="GRSM 6"/>
    <x v="2"/>
    <s v="GMM"/>
    <n v="211163"/>
    <n v="3703219"/>
    <x v="22"/>
    <x v="45"/>
    <s v="GORENG"/>
    <n v="2900"/>
    <n v="98"/>
    <n v="284200"/>
    <n v="70"/>
  </r>
  <r>
    <x v="6"/>
    <s v="JUL"/>
    <x v="23"/>
    <s v="GRSM 6"/>
    <x v="2"/>
    <s v="GMM"/>
    <n v="211163"/>
    <n v="3703215"/>
    <x v="23"/>
    <x v="46"/>
    <s v="BOLOGNESE"/>
    <n v="5800"/>
    <n v="0"/>
    <n v="0"/>
    <m/>
  </r>
  <r>
    <x v="6"/>
    <s v="JUL"/>
    <x v="23"/>
    <s v="GRSM 6"/>
    <x v="2"/>
    <s v="GMM"/>
    <n v="211163"/>
    <n v="3703215"/>
    <x v="23"/>
    <x v="46"/>
    <s v="CARBONARA"/>
    <n v="5800"/>
    <n v="4"/>
    <n v="23200"/>
    <m/>
  </r>
  <r>
    <x v="6"/>
    <s v="JUL"/>
    <x v="23"/>
    <s v="GRSM 6"/>
    <x v="2"/>
    <s v="GMM"/>
    <n v="211163"/>
    <n v="3703215"/>
    <x v="23"/>
    <x v="46"/>
    <s v="AGLIO OLIO"/>
    <n v="5800"/>
    <n v="2"/>
    <n v="11600"/>
    <m/>
  </r>
  <r>
    <x v="6"/>
    <s v="JUL"/>
    <x v="23"/>
    <s v="GRSM 6"/>
    <x v="2"/>
    <s v="GMM"/>
    <n v="211163"/>
    <n v="3703215"/>
    <x v="23"/>
    <x v="46"/>
    <s v="GORENG"/>
    <n v="5800"/>
    <n v="72"/>
    <n v="417600"/>
    <n v="30"/>
  </r>
  <r>
    <x v="6"/>
    <s v="JUL"/>
    <x v="23"/>
    <s v="GRSM 6"/>
    <x v="2"/>
    <s v="GMM"/>
    <n v="211163"/>
    <n v="3703215"/>
    <x v="23"/>
    <x v="47"/>
    <s v="BOLOGNESE"/>
    <n v="5800"/>
    <n v="0"/>
    <n v="0"/>
    <m/>
  </r>
  <r>
    <x v="6"/>
    <s v="JUL"/>
    <x v="23"/>
    <s v="GRSM 6"/>
    <x v="2"/>
    <s v="GMM"/>
    <n v="211163"/>
    <n v="3703215"/>
    <x v="23"/>
    <x v="47"/>
    <s v="CARBONARA"/>
    <n v="5800"/>
    <n v="4"/>
    <n v="23200"/>
    <m/>
  </r>
  <r>
    <x v="6"/>
    <s v="JUL"/>
    <x v="23"/>
    <s v="GRSM 6"/>
    <x v="2"/>
    <s v="GMM"/>
    <n v="211163"/>
    <n v="3703215"/>
    <x v="23"/>
    <x v="47"/>
    <s v="AGLIO OLIO"/>
    <n v="5800"/>
    <n v="2"/>
    <n v="11600"/>
    <m/>
  </r>
  <r>
    <x v="6"/>
    <s v="JUL"/>
    <x v="23"/>
    <s v="GRSM 6"/>
    <x v="2"/>
    <s v="GMM"/>
    <n v="211163"/>
    <n v="3703215"/>
    <x v="23"/>
    <x v="47"/>
    <s v="GORENG"/>
    <n v="5800"/>
    <n v="72"/>
    <n v="417600"/>
    <n v="30"/>
  </r>
  <r>
    <x v="6"/>
    <s v="JUL"/>
    <x v="23"/>
    <s v="GRSM 6"/>
    <x v="2"/>
    <s v="GMM"/>
    <n v="103765"/>
    <n v="4305267"/>
    <x v="24"/>
    <x v="48"/>
    <s v="BOLOGNESE"/>
    <n v="3000"/>
    <n v="168"/>
    <n v="504000"/>
    <m/>
  </r>
  <r>
    <x v="6"/>
    <s v="JUL"/>
    <x v="23"/>
    <s v="GRSM 6"/>
    <x v="2"/>
    <s v="GMM"/>
    <n v="103765"/>
    <n v="4305267"/>
    <x v="24"/>
    <x v="48"/>
    <s v="CARBONARA"/>
    <n v="3000"/>
    <n v="80"/>
    <n v="240000"/>
    <m/>
  </r>
  <r>
    <x v="6"/>
    <s v="JUL"/>
    <x v="23"/>
    <s v="GRSM 6"/>
    <x v="2"/>
    <s v="GMM"/>
    <n v="103765"/>
    <n v="4305267"/>
    <x v="24"/>
    <x v="48"/>
    <s v="AGLIO OLIO"/>
    <n v="3000"/>
    <n v="150"/>
    <n v="450000"/>
    <m/>
  </r>
  <r>
    <x v="6"/>
    <s v="JUL"/>
    <x v="23"/>
    <s v="GRSM 6"/>
    <x v="2"/>
    <s v="GMM"/>
    <n v="103765"/>
    <n v="4305267"/>
    <x v="24"/>
    <x v="48"/>
    <s v="GORENG"/>
    <n v="3000"/>
    <n v="120"/>
    <n v="360000"/>
    <n v="100"/>
  </r>
  <r>
    <x v="6"/>
    <s v="JUL"/>
    <x v="23"/>
    <s v="GRSM 6"/>
    <x v="2"/>
    <s v="GMM"/>
    <n v="103765"/>
    <n v="4305267"/>
    <x v="24"/>
    <x v="49"/>
    <s v="BOLOGNESE"/>
    <n v="3000"/>
    <n v="168"/>
    <n v="504000"/>
    <m/>
  </r>
  <r>
    <x v="6"/>
    <s v="JUL"/>
    <x v="23"/>
    <s v="GRSM 6"/>
    <x v="2"/>
    <s v="GMM"/>
    <n v="103765"/>
    <n v="4305267"/>
    <x v="24"/>
    <x v="49"/>
    <s v="CARBONARA"/>
    <n v="3000"/>
    <n v="80"/>
    <n v="240000"/>
    <m/>
  </r>
  <r>
    <x v="6"/>
    <s v="JUL"/>
    <x v="23"/>
    <s v="GRSM 6"/>
    <x v="2"/>
    <s v="GMM"/>
    <n v="103765"/>
    <n v="4305267"/>
    <x v="24"/>
    <x v="49"/>
    <s v="AGLIO OLIO"/>
    <n v="3000"/>
    <n v="150"/>
    <n v="450000"/>
    <m/>
  </r>
  <r>
    <x v="6"/>
    <s v="JUL"/>
    <x v="23"/>
    <s v="GRSM 6"/>
    <x v="2"/>
    <s v="GMM"/>
    <n v="103765"/>
    <n v="4305267"/>
    <x v="24"/>
    <x v="49"/>
    <s v="GORENG"/>
    <n v="3000"/>
    <n v="120"/>
    <n v="360000"/>
    <n v="100"/>
  </r>
  <r>
    <x v="6"/>
    <s v="JUL"/>
    <x v="24"/>
    <s v="GRSM 6"/>
    <x v="2"/>
    <s v="GMM"/>
    <n v="211033"/>
    <n v="6467246"/>
    <x v="21"/>
    <x v="42"/>
    <s v="BOLOGNESE"/>
    <n v="2900"/>
    <n v="81"/>
    <n v="234900"/>
    <m/>
  </r>
  <r>
    <x v="6"/>
    <s v="JUL"/>
    <x v="24"/>
    <s v="GRSM 6"/>
    <x v="2"/>
    <s v="GMM"/>
    <n v="211033"/>
    <n v="6467246"/>
    <x v="21"/>
    <x v="42"/>
    <s v="CARBONARA"/>
    <n v="2900"/>
    <n v="142"/>
    <n v="411800"/>
    <m/>
  </r>
  <r>
    <x v="6"/>
    <s v="JUL"/>
    <x v="24"/>
    <s v="GRSM 6"/>
    <x v="2"/>
    <s v="GMM"/>
    <n v="211033"/>
    <n v="6467246"/>
    <x v="21"/>
    <x v="42"/>
    <s v="AGLIO OLIO"/>
    <n v="2900"/>
    <n v="54"/>
    <n v="156600"/>
    <m/>
  </r>
  <r>
    <x v="6"/>
    <s v="JUL"/>
    <x v="24"/>
    <s v="GRSM 6"/>
    <x v="2"/>
    <s v="GMM"/>
    <n v="211033"/>
    <n v="6467246"/>
    <x v="21"/>
    <x v="42"/>
    <s v="GORENG"/>
    <n v="2900"/>
    <n v="184"/>
    <n v="533600"/>
    <n v="160"/>
  </r>
  <r>
    <x v="6"/>
    <s v="JUL"/>
    <x v="24"/>
    <s v="GRSM 6"/>
    <x v="2"/>
    <s v="GMM"/>
    <n v="211033"/>
    <n v="6467246"/>
    <x v="21"/>
    <x v="43"/>
    <s v="BOLOGNESE"/>
    <n v="2900"/>
    <n v="81"/>
    <n v="234900"/>
    <m/>
  </r>
  <r>
    <x v="6"/>
    <s v="JUL"/>
    <x v="24"/>
    <s v="GRSM 6"/>
    <x v="2"/>
    <s v="GMM"/>
    <n v="211033"/>
    <n v="6467246"/>
    <x v="21"/>
    <x v="43"/>
    <s v="CARBONARA"/>
    <n v="2900"/>
    <n v="142"/>
    <n v="411800"/>
    <m/>
  </r>
  <r>
    <x v="6"/>
    <s v="JUL"/>
    <x v="24"/>
    <s v="GRSM 6"/>
    <x v="2"/>
    <s v="GMM"/>
    <n v="211033"/>
    <n v="6467246"/>
    <x v="21"/>
    <x v="43"/>
    <s v="AGLIO OLIO"/>
    <n v="2900"/>
    <n v="54"/>
    <n v="156600"/>
    <m/>
  </r>
  <r>
    <x v="6"/>
    <s v="JUL"/>
    <x v="24"/>
    <s v="GRSM 6"/>
    <x v="2"/>
    <s v="GMM"/>
    <n v="211033"/>
    <n v="6467246"/>
    <x v="21"/>
    <x v="43"/>
    <s v="GORENG"/>
    <n v="2900"/>
    <n v="184"/>
    <n v="533600"/>
    <n v="160"/>
  </r>
  <r>
    <x v="6"/>
    <s v="JUL"/>
    <x v="24"/>
    <s v="GRSM 6"/>
    <x v="2"/>
    <s v="GMM"/>
    <n v="103765"/>
    <n v="4307038"/>
    <x v="20"/>
    <x v="40"/>
    <s v="BOLOGNESE"/>
    <n v="2000"/>
    <n v="171"/>
    <n v="342000"/>
    <m/>
  </r>
  <r>
    <x v="6"/>
    <s v="JUL"/>
    <x v="24"/>
    <s v="GRSM 6"/>
    <x v="2"/>
    <s v="GMM"/>
    <n v="103765"/>
    <n v="4307038"/>
    <x v="20"/>
    <x v="40"/>
    <s v="CARBONARA"/>
    <n v="2000"/>
    <n v="159"/>
    <n v="318000"/>
    <m/>
  </r>
  <r>
    <x v="6"/>
    <s v="JUL"/>
    <x v="24"/>
    <s v="GRSM 6"/>
    <x v="2"/>
    <s v="GMM"/>
    <n v="103765"/>
    <n v="4307038"/>
    <x v="20"/>
    <x v="40"/>
    <s v="AGLIO OLIO"/>
    <n v="2000"/>
    <n v="165"/>
    <n v="330000"/>
    <m/>
  </r>
  <r>
    <x v="6"/>
    <s v="JUL"/>
    <x v="24"/>
    <s v="GRSM 6"/>
    <x v="2"/>
    <s v="GMM"/>
    <n v="103765"/>
    <n v="4307038"/>
    <x v="20"/>
    <x v="40"/>
    <s v="GORENG"/>
    <n v="2000"/>
    <n v="150"/>
    <n v="300000"/>
    <n v="130"/>
  </r>
  <r>
    <x v="6"/>
    <s v="JUL"/>
    <x v="24"/>
    <s v="GRSM 6"/>
    <x v="2"/>
    <s v="GMM"/>
    <n v="103765"/>
    <n v="4307038"/>
    <x v="20"/>
    <x v="41"/>
    <s v="BOLOGNESE"/>
    <n v="2000"/>
    <n v="171"/>
    <n v="342000"/>
    <m/>
  </r>
  <r>
    <x v="6"/>
    <s v="JUL"/>
    <x v="24"/>
    <s v="GRSM 6"/>
    <x v="2"/>
    <s v="GMM"/>
    <n v="103765"/>
    <n v="4307038"/>
    <x v="20"/>
    <x v="41"/>
    <s v="CARBONARA"/>
    <n v="2000"/>
    <n v="159"/>
    <n v="318000"/>
    <m/>
  </r>
  <r>
    <x v="6"/>
    <s v="JUL"/>
    <x v="24"/>
    <s v="GRSM 6"/>
    <x v="2"/>
    <s v="GMM"/>
    <n v="103765"/>
    <n v="4307038"/>
    <x v="20"/>
    <x v="41"/>
    <s v="AGLIO OLIO"/>
    <n v="2000"/>
    <n v="165"/>
    <n v="330000"/>
    <m/>
  </r>
  <r>
    <x v="6"/>
    <s v="JUL"/>
    <x v="24"/>
    <s v="GRSM 6"/>
    <x v="2"/>
    <s v="GMM"/>
    <n v="103765"/>
    <n v="4307038"/>
    <x v="20"/>
    <x v="41"/>
    <s v="GORENG"/>
    <n v="2000"/>
    <n v="150"/>
    <n v="300000"/>
    <n v="130"/>
  </r>
  <r>
    <x v="6"/>
    <s v="JUL"/>
    <x v="24"/>
    <s v="GRSM 6"/>
    <x v="2"/>
    <s v="GMM"/>
    <n v="211163"/>
    <n v="3703219"/>
    <x v="22"/>
    <x v="44"/>
    <s v="BOLOGNESE"/>
    <n v="2900"/>
    <n v="132"/>
    <n v="382800"/>
    <m/>
  </r>
  <r>
    <x v="6"/>
    <s v="JUL"/>
    <x v="24"/>
    <s v="GRSM 6"/>
    <x v="2"/>
    <s v="GMM"/>
    <n v="211163"/>
    <n v="3703219"/>
    <x v="22"/>
    <x v="44"/>
    <s v="CARBONARA"/>
    <n v="2900"/>
    <n v="156"/>
    <n v="452400"/>
    <m/>
  </r>
  <r>
    <x v="6"/>
    <s v="JUL"/>
    <x v="24"/>
    <s v="GRSM 6"/>
    <x v="2"/>
    <s v="GMM"/>
    <n v="211163"/>
    <n v="3703219"/>
    <x v="22"/>
    <x v="44"/>
    <s v="AGLIO OLIO"/>
    <n v="2900"/>
    <n v="0"/>
    <n v="0"/>
    <m/>
  </r>
  <r>
    <x v="6"/>
    <s v="JUL"/>
    <x v="24"/>
    <s v="GRSM 6"/>
    <x v="2"/>
    <s v="GMM"/>
    <n v="211163"/>
    <n v="3703219"/>
    <x v="22"/>
    <x v="44"/>
    <s v="GORENG"/>
    <n v="2900"/>
    <n v="273"/>
    <n v="791700"/>
    <n v="160"/>
  </r>
  <r>
    <x v="6"/>
    <s v="JUL"/>
    <x v="24"/>
    <s v="GRSM 6"/>
    <x v="2"/>
    <s v="GMM"/>
    <n v="211163"/>
    <n v="3703219"/>
    <x v="22"/>
    <x v="45"/>
    <s v="BOLOGNESE"/>
    <n v="2900"/>
    <n v="132"/>
    <n v="382800"/>
    <m/>
  </r>
  <r>
    <x v="6"/>
    <s v="JUL"/>
    <x v="24"/>
    <s v="GRSM 6"/>
    <x v="2"/>
    <s v="GMM"/>
    <n v="211163"/>
    <n v="3703219"/>
    <x v="22"/>
    <x v="45"/>
    <s v="CARBONARA"/>
    <n v="2900"/>
    <n v="156"/>
    <n v="452400"/>
    <m/>
  </r>
  <r>
    <x v="6"/>
    <s v="JUL"/>
    <x v="24"/>
    <s v="GRSM 6"/>
    <x v="2"/>
    <s v="GMM"/>
    <n v="211163"/>
    <n v="3703219"/>
    <x v="22"/>
    <x v="45"/>
    <s v="AGLIO OLIO"/>
    <n v="2900"/>
    <n v="0"/>
    <n v="0"/>
    <m/>
  </r>
  <r>
    <x v="6"/>
    <s v="JUL"/>
    <x v="24"/>
    <s v="GRSM 6"/>
    <x v="2"/>
    <s v="GMM"/>
    <n v="211163"/>
    <n v="3703219"/>
    <x v="22"/>
    <x v="45"/>
    <s v="GORENG"/>
    <n v="2900"/>
    <n v="273"/>
    <n v="791700"/>
    <n v="160"/>
  </r>
  <r>
    <x v="6"/>
    <s v="JUL"/>
    <x v="24"/>
    <s v="GRSM 6"/>
    <x v="2"/>
    <s v="GMM"/>
    <n v="103765"/>
    <n v="4305267"/>
    <x v="24"/>
    <x v="48"/>
    <s v="BOLOGNESE"/>
    <n v="3000"/>
    <n v="40"/>
    <n v="120000"/>
    <m/>
  </r>
  <r>
    <x v="6"/>
    <s v="JUL"/>
    <x v="24"/>
    <s v="GRSM 6"/>
    <x v="2"/>
    <s v="GMM"/>
    <n v="103765"/>
    <n v="4305267"/>
    <x v="24"/>
    <x v="48"/>
    <s v="CARBONARA"/>
    <n v="3000"/>
    <n v="220"/>
    <n v="660000"/>
    <m/>
  </r>
  <r>
    <x v="6"/>
    <s v="JUL"/>
    <x v="24"/>
    <s v="GRSM 6"/>
    <x v="2"/>
    <s v="GMM"/>
    <n v="103765"/>
    <n v="4305267"/>
    <x v="24"/>
    <x v="48"/>
    <s v="AGLIO OLIO"/>
    <n v="3000"/>
    <n v="180"/>
    <n v="540000"/>
    <m/>
  </r>
  <r>
    <x v="6"/>
    <s v="JUL"/>
    <x v="24"/>
    <s v="GRSM 6"/>
    <x v="2"/>
    <s v="GMM"/>
    <n v="103765"/>
    <n v="4305267"/>
    <x v="24"/>
    <x v="48"/>
    <s v="GORENG"/>
    <n v="3000"/>
    <n v="175"/>
    <n v="525000"/>
    <n v="150"/>
  </r>
  <r>
    <x v="6"/>
    <s v="JUL"/>
    <x v="24"/>
    <s v="GRSM 6"/>
    <x v="2"/>
    <s v="GMM"/>
    <n v="103765"/>
    <n v="4305267"/>
    <x v="24"/>
    <x v="49"/>
    <s v="BOLOGNESE"/>
    <n v="3000"/>
    <n v="40"/>
    <n v="120000"/>
    <m/>
  </r>
  <r>
    <x v="6"/>
    <s v="JUL"/>
    <x v="24"/>
    <s v="GRSM 6"/>
    <x v="2"/>
    <s v="GMM"/>
    <n v="103765"/>
    <n v="4305267"/>
    <x v="24"/>
    <x v="49"/>
    <s v="CARBONARA"/>
    <n v="3000"/>
    <n v="220"/>
    <n v="660000"/>
    <m/>
  </r>
  <r>
    <x v="6"/>
    <s v="JUL"/>
    <x v="24"/>
    <s v="GRSM 6"/>
    <x v="2"/>
    <s v="GMM"/>
    <n v="103765"/>
    <n v="4305267"/>
    <x v="24"/>
    <x v="49"/>
    <s v="AGLIO OLIO"/>
    <n v="3000"/>
    <n v="180"/>
    <n v="540000"/>
    <m/>
  </r>
  <r>
    <x v="6"/>
    <s v="JUL"/>
    <x v="24"/>
    <s v="GRSM 6"/>
    <x v="2"/>
    <s v="GMM"/>
    <n v="103765"/>
    <n v="4305267"/>
    <x v="24"/>
    <x v="49"/>
    <s v="GORENG"/>
    <n v="3000"/>
    <n v="175"/>
    <n v="525000"/>
    <n v="150"/>
  </r>
  <r>
    <x v="6"/>
    <s v="JUL"/>
    <x v="24"/>
    <s v="GRSM 6"/>
    <x v="2"/>
    <s v="GMM"/>
    <n v="211163"/>
    <n v="3703215"/>
    <x v="23"/>
    <x v="46"/>
    <s v="BOLOGNESE"/>
    <n v="5800"/>
    <n v="19"/>
    <n v="110200"/>
    <m/>
  </r>
  <r>
    <x v="6"/>
    <s v="JUL"/>
    <x v="24"/>
    <s v="GRSM 6"/>
    <x v="2"/>
    <s v="GMM"/>
    <n v="211163"/>
    <n v="3703215"/>
    <x v="23"/>
    <x v="46"/>
    <s v="CARBONARA"/>
    <n v="5800"/>
    <n v="33"/>
    <n v="191400"/>
    <m/>
  </r>
  <r>
    <x v="6"/>
    <s v="JUL"/>
    <x v="24"/>
    <s v="GRSM 6"/>
    <x v="2"/>
    <s v="GMM"/>
    <n v="211163"/>
    <n v="3703215"/>
    <x v="23"/>
    <x v="46"/>
    <s v="AGLIO OLIO"/>
    <n v="5800"/>
    <n v="0"/>
    <n v="0"/>
    <m/>
  </r>
  <r>
    <x v="6"/>
    <s v="JUL"/>
    <x v="24"/>
    <s v="GRSM 6"/>
    <x v="2"/>
    <s v="GMM"/>
    <n v="211163"/>
    <n v="3703215"/>
    <x v="23"/>
    <x v="46"/>
    <s v="GORENG"/>
    <n v="5800"/>
    <n v="110"/>
    <n v="638000"/>
    <n v="147"/>
  </r>
  <r>
    <x v="6"/>
    <s v="JUL"/>
    <x v="24"/>
    <s v="GRSM 6"/>
    <x v="2"/>
    <s v="GMM"/>
    <n v="211163"/>
    <n v="3703215"/>
    <x v="23"/>
    <x v="47"/>
    <s v="BOLOGNESE"/>
    <n v="5800"/>
    <n v="19"/>
    <n v="110200"/>
    <m/>
  </r>
  <r>
    <x v="6"/>
    <s v="JUL"/>
    <x v="24"/>
    <s v="GRSM 6"/>
    <x v="2"/>
    <s v="GMM"/>
    <n v="211163"/>
    <n v="3703215"/>
    <x v="23"/>
    <x v="47"/>
    <s v="CARBONARA"/>
    <n v="5800"/>
    <n v="33"/>
    <n v="191400"/>
    <m/>
  </r>
  <r>
    <x v="6"/>
    <s v="JUL"/>
    <x v="24"/>
    <s v="GRSM 6"/>
    <x v="2"/>
    <s v="GMM"/>
    <n v="211163"/>
    <n v="3703215"/>
    <x v="23"/>
    <x v="47"/>
    <s v="AGLIO OLIO"/>
    <n v="5800"/>
    <n v="0"/>
    <n v="0"/>
    <m/>
  </r>
  <r>
    <x v="6"/>
    <s v="JUL"/>
    <x v="24"/>
    <s v="GRSM 6"/>
    <x v="2"/>
    <s v="GMM"/>
    <n v="211163"/>
    <n v="3703215"/>
    <x v="23"/>
    <x v="47"/>
    <s v="GORENG"/>
    <n v="5800"/>
    <n v="110"/>
    <n v="638000"/>
    <n v="147"/>
  </r>
  <r>
    <x v="6"/>
    <s v="JUL"/>
    <x v="22"/>
    <s v="GRSM 6"/>
    <x v="2"/>
    <s v="GMM"/>
    <n v="103765"/>
    <n v="4305267"/>
    <x v="24"/>
    <x v="48"/>
    <s v="BOLOGNESE"/>
    <n v="3000"/>
    <n v="120"/>
    <n v="360000"/>
    <m/>
  </r>
  <r>
    <x v="6"/>
    <s v="JUL"/>
    <x v="22"/>
    <s v="GRSM 6"/>
    <x v="2"/>
    <s v="GMM"/>
    <n v="103765"/>
    <n v="4305267"/>
    <x v="24"/>
    <x v="48"/>
    <s v="CARBONARA"/>
    <n v="3000"/>
    <n v="180"/>
    <n v="540000"/>
    <m/>
  </r>
  <r>
    <x v="6"/>
    <s v="JUL"/>
    <x v="22"/>
    <s v="GRSM 6"/>
    <x v="2"/>
    <s v="GMM"/>
    <n v="103765"/>
    <n v="4305267"/>
    <x v="24"/>
    <x v="48"/>
    <s v="AGLIO OLIO"/>
    <n v="3000"/>
    <n v="60"/>
    <n v="180000"/>
    <m/>
  </r>
  <r>
    <x v="6"/>
    <s v="JUL"/>
    <x v="22"/>
    <s v="GRSM 6"/>
    <x v="2"/>
    <s v="GMM"/>
    <n v="103765"/>
    <n v="4305267"/>
    <x v="24"/>
    <x v="48"/>
    <s v="GORENG"/>
    <n v="3000"/>
    <n v="230"/>
    <n v="690000"/>
    <n v="130"/>
  </r>
  <r>
    <x v="6"/>
    <s v="JUL"/>
    <x v="22"/>
    <s v="GRSM 6"/>
    <x v="2"/>
    <s v="GMM"/>
    <n v="103765"/>
    <n v="4305267"/>
    <x v="24"/>
    <x v="49"/>
    <s v="BOLOGNESE"/>
    <n v="3000"/>
    <n v="120"/>
    <n v="360000"/>
    <m/>
  </r>
  <r>
    <x v="6"/>
    <s v="JUL"/>
    <x v="22"/>
    <s v="GRSM 6"/>
    <x v="2"/>
    <s v="GMM"/>
    <n v="103765"/>
    <n v="4305267"/>
    <x v="24"/>
    <x v="49"/>
    <s v="CARBONARA"/>
    <n v="3000"/>
    <n v="180"/>
    <n v="540000"/>
    <m/>
  </r>
  <r>
    <x v="6"/>
    <s v="JUL"/>
    <x v="22"/>
    <s v="GRSM 6"/>
    <x v="2"/>
    <s v="GMM"/>
    <n v="103765"/>
    <n v="4305267"/>
    <x v="24"/>
    <x v="49"/>
    <s v="AGLIO OLIO"/>
    <n v="3000"/>
    <n v="60"/>
    <n v="180000"/>
    <m/>
  </r>
  <r>
    <x v="6"/>
    <s v="JUL"/>
    <x v="22"/>
    <s v="GRSM 6"/>
    <x v="2"/>
    <s v="GMM"/>
    <n v="103765"/>
    <n v="4305267"/>
    <x v="24"/>
    <x v="49"/>
    <s v="GORENG"/>
    <n v="3000"/>
    <n v="230"/>
    <n v="690000"/>
    <n v="130"/>
  </r>
  <r>
    <x v="6"/>
    <s v="JUL"/>
    <x v="22"/>
    <s v="GRSM 6"/>
    <x v="2"/>
    <s v="GMM"/>
    <n v="211163"/>
    <n v="3703219"/>
    <x v="22"/>
    <x v="44"/>
    <s v="BOLOGNESE"/>
    <n v="2900"/>
    <n v="21"/>
    <n v="60900"/>
    <m/>
  </r>
  <r>
    <x v="6"/>
    <s v="JUL"/>
    <x v="22"/>
    <s v="GRSM 6"/>
    <x v="2"/>
    <s v="GMM"/>
    <n v="211163"/>
    <n v="3703219"/>
    <x v="22"/>
    <x v="44"/>
    <s v="CARBONARA"/>
    <n v="2900"/>
    <n v="60"/>
    <n v="174000"/>
    <m/>
  </r>
  <r>
    <x v="6"/>
    <s v="JUL"/>
    <x v="22"/>
    <s v="GRSM 6"/>
    <x v="2"/>
    <s v="GMM"/>
    <n v="211163"/>
    <n v="3703219"/>
    <x v="22"/>
    <x v="44"/>
    <s v="AGLIO OLIO"/>
    <n v="2900"/>
    <n v="0"/>
    <n v="0"/>
    <m/>
  </r>
  <r>
    <x v="6"/>
    <s v="JUL"/>
    <x v="22"/>
    <s v="GRSM 6"/>
    <x v="2"/>
    <s v="GMM"/>
    <n v="211163"/>
    <n v="3703219"/>
    <x v="22"/>
    <x v="44"/>
    <s v="GORENG"/>
    <n v="2900"/>
    <n v="65"/>
    <n v="188500"/>
    <n v="120"/>
  </r>
  <r>
    <x v="6"/>
    <s v="JUL"/>
    <x v="22"/>
    <s v="GRSM 6"/>
    <x v="2"/>
    <s v="GMM"/>
    <n v="211163"/>
    <n v="3703219"/>
    <x v="22"/>
    <x v="45"/>
    <s v="BOLOGNESE"/>
    <n v="2900"/>
    <n v="21"/>
    <n v="60900"/>
    <m/>
  </r>
  <r>
    <x v="6"/>
    <s v="JUL"/>
    <x v="22"/>
    <s v="GRSM 6"/>
    <x v="2"/>
    <s v="GMM"/>
    <n v="211163"/>
    <n v="3703219"/>
    <x v="22"/>
    <x v="45"/>
    <s v="CARBONARA"/>
    <n v="2900"/>
    <n v="60"/>
    <n v="174000"/>
    <m/>
  </r>
  <r>
    <x v="6"/>
    <s v="JUL"/>
    <x v="22"/>
    <s v="GRSM 6"/>
    <x v="2"/>
    <s v="GMM"/>
    <n v="211163"/>
    <n v="3703219"/>
    <x v="22"/>
    <x v="45"/>
    <s v="AGLIO OLIO"/>
    <n v="2900"/>
    <n v="0"/>
    <n v="0"/>
    <m/>
  </r>
  <r>
    <x v="6"/>
    <s v="JUL"/>
    <x v="22"/>
    <s v="GRSM 6"/>
    <x v="2"/>
    <s v="GMM"/>
    <n v="211163"/>
    <n v="3703219"/>
    <x v="22"/>
    <x v="45"/>
    <s v="GORENG"/>
    <n v="2900"/>
    <n v="65"/>
    <n v="188500"/>
    <n v="120"/>
  </r>
  <r>
    <x v="6"/>
    <s v="JUL"/>
    <x v="22"/>
    <s v="GRSM 6"/>
    <x v="2"/>
    <s v="GMM"/>
    <n v="103765"/>
    <n v="4307038"/>
    <x v="20"/>
    <x v="40"/>
    <s v="BOLOGNESE"/>
    <n v="2000"/>
    <n v="165"/>
    <n v="330000"/>
    <m/>
  </r>
  <r>
    <x v="6"/>
    <s v="JUL"/>
    <x v="22"/>
    <s v="GRSM 6"/>
    <x v="2"/>
    <s v="GMM"/>
    <n v="103765"/>
    <n v="4307038"/>
    <x v="20"/>
    <x v="40"/>
    <s v="CARBONARA"/>
    <n v="2000"/>
    <n v="150"/>
    <n v="300000"/>
    <m/>
  </r>
  <r>
    <x v="6"/>
    <s v="JUL"/>
    <x v="22"/>
    <s v="GRSM 6"/>
    <x v="2"/>
    <s v="GMM"/>
    <n v="103765"/>
    <n v="4307038"/>
    <x v="20"/>
    <x v="40"/>
    <s v="AGLIO OLIO"/>
    <n v="2000"/>
    <n v="168"/>
    <n v="336000"/>
    <m/>
  </r>
  <r>
    <x v="6"/>
    <s v="JUL"/>
    <x v="22"/>
    <s v="GRSM 6"/>
    <x v="2"/>
    <s v="GMM"/>
    <n v="103765"/>
    <n v="4307038"/>
    <x v="20"/>
    <x v="40"/>
    <s v="GORENG"/>
    <n v="2000"/>
    <n v="210"/>
    <n v="420000"/>
    <n v="140"/>
  </r>
  <r>
    <x v="6"/>
    <s v="JUL"/>
    <x v="22"/>
    <s v="GRSM 6"/>
    <x v="2"/>
    <s v="GMM"/>
    <n v="103765"/>
    <n v="4307038"/>
    <x v="20"/>
    <x v="41"/>
    <s v="BOLOGNESE"/>
    <n v="2000"/>
    <n v="165"/>
    <n v="330000"/>
    <m/>
  </r>
  <r>
    <x v="6"/>
    <s v="JUL"/>
    <x v="22"/>
    <s v="GRSM 6"/>
    <x v="2"/>
    <s v="GMM"/>
    <n v="103765"/>
    <n v="4307038"/>
    <x v="20"/>
    <x v="41"/>
    <s v="CARBONARA"/>
    <n v="2000"/>
    <n v="150"/>
    <n v="300000"/>
    <m/>
  </r>
  <r>
    <x v="6"/>
    <s v="JUL"/>
    <x v="22"/>
    <s v="GRSM 6"/>
    <x v="2"/>
    <s v="GMM"/>
    <n v="103765"/>
    <n v="4307038"/>
    <x v="20"/>
    <x v="41"/>
    <s v="AGLIO OLIO"/>
    <n v="2000"/>
    <n v="168"/>
    <n v="336000"/>
    <m/>
  </r>
  <r>
    <x v="6"/>
    <s v="JUL"/>
    <x v="22"/>
    <s v="GRSM 6"/>
    <x v="2"/>
    <s v="GMM"/>
    <n v="103765"/>
    <n v="4307038"/>
    <x v="20"/>
    <x v="41"/>
    <s v="GORENG"/>
    <n v="2000"/>
    <n v="210"/>
    <n v="420000"/>
    <n v="140"/>
  </r>
  <r>
    <x v="7"/>
    <s v="JUL"/>
    <x v="25"/>
    <s v="GRSM 4"/>
    <x v="0"/>
    <s v="GMM"/>
    <n v="103257"/>
    <n v="9162509"/>
    <x v="25"/>
    <x v="8"/>
    <s v="BOLOGNESE"/>
    <n v="3200"/>
    <n v="63"/>
    <n v="201600"/>
    <m/>
  </r>
  <r>
    <x v="7"/>
    <s v="JUL"/>
    <x v="25"/>
    <s v="GRSM 4"/>
    <x v="0"/>
    <s v="GMM"/>
    <n v="103257"/>
    <n v="9162509"/>
    <x v="25"/>
    <x v="8"/>
    <s v="CARBONARA"/>
    <n v="3200"/>
    <n v="59"/>
    <n v="188800"/>
    <m/>
  </r>
  <r>
    <x v="7"/>
    <s v="JUL"/>
    <x v="25"/>
    <s v="GRSM 4"/>
    <x v="0"/>
    <s v="GMM"/>
    <n v="103257"/>
    <n v="9162509"/>
    <x v="25"/>
    <x v="8"/>
    <s v="AGLIO OLIO"/>
    <n v="3200"/>
    <n v="47"/>
    <n v="150400"/>
    <m/>
  </r>
  <r>
    <x v="7"/>
    <s v="JUL"/>
    <x v="25"/>
    <s v="GRSM 4"/>
    <x v="0"/>
    <s v="GMM"/>
    <n v="103257"/>
    <n v="9162509"/>
    <x v="25"/>
    <x v="8"/>
    <s v="GORENG"/>
    <n v="3200"/>
    <n v="89"/>
    <n v="284800"/>
    <n v="160"/>
  </r>
  <r>
    <x v="7"/>
    <s v="JUL"/>
    <x v="25"/>
    <s v="GRSM 4"/>
    <x v="0"/>
    <s v="GMM"/>
    <n v="103277"/>
    <n v="6300700"/>
    <x v="11"/>
    <x v="25"/>
    <s v="BOLOGNESE"/>
    <n v="3000"/>
    <n v="35"/>
    <n v="105000"/>
    <m/>
  </r>
  <r>
    <x v="7"/>
    <s v="JUL"/>
    <x v="25"/>
    <s v="GRSM 4"/>
    <x v="0"/>
    <s v="GMM"/>
    <n v="103277"/>
    <n v="6300700"/>
    <x v="11"/>
    <x v="25"/>
    <s v="CARBONARA"/>
    <n v="3000"/>
    <n v="45"/>
    <n v="135000"/>
    <m/>
  </r>
  <r>
    <x v="7"/>
    <s v="JUL"/>
    <x v="25"/>
    <s v="GRSM 4"/>
    <x v="0"/>
    <s v="GMM"/>
    <n v="103277"/>
    <n v="6300700"/>
    <x v="11"/>
    <x v="25"/>
    <s v="AGLIO OLIO"/>
    <n v="3000"/>
    <n v="30"/>
    <n v="90000"/>
    <m/>
  </r>
  <r>
    <x v="7"/>
    <s v="JUL"/>
    <x v="25"/>
    <s v="GRSM 4"/>
    <x v="0"/>
    <s v="GMM"/>
    <n v="103277"/>
    <n v="6300700"/>
    <x v="11"/>
    <x v="25"/>
    <s v="GORENG"/>
    <n v="3000"/>
    <n v="130"/>
    <n v="390000"/>
    <n v="160"/>
  </r>
  <r>
    <x v="7"/>
    <s v="JUL"/>
    <x v="25"/>
    <s v="GRSM 4"/>
    <x v="0"/>
    <s v="GMM"/>
    <n v="103277"/>
    <n v="6300700"/>
    <x v="11"/>
    <x v="12"/>
    <s v="BOLOGNESE"/>
    <n v="3000"/>
    <n v="30"/>
    <n v="90000"/>
    <m/>
  </r>
  <r>
    <x v="7"/>
    <s v="JUL"/>
    <x v="25"/>
    <s v="GRSM 4"/>
    <x v="0"/>
    <s v="GMM"/>
    <n v="103277"/>
    <n v="6300700"/>
    <x v="11"/>
    <x v="12"/>
    <s v="CARBONARA"/>
    <n v="3000"/>
    <n v="35"/>
    <n v="105000"/>
    <m/>
  </r>
  <r>
    <x v="7"/>
    <s v="JUL"/>
    <x v="25"/>
    <s v="GRSM 4"/>
    <x v="0"/>
    <s v="GMM"/>
    <n v="103277"/>
    <n v="6300700"/>
    <x v="11"/>
    <x v="12"/>
    <s v="AGLIO OLIO"/>
    <n v="3000"/>
    <n v="25"/>
    <n v="75000"/>
    <m/>
  </r>
  <r>
    <x v="7"/>
    <s v="JUL"/>
    <x v="25"/>
    <s v="GRSM 4"/>
    <x v="0"/>
    <s v="GMM"/>
    <n v="103277"/>
    <n v="6300700"/>
    <x v="11"/>
    <x v="12"/>
    <s v="GORENG"/>
    <n v="3000"/>
    <n v="110"/>
    <n v="330000"/>
    <n v="160"/>
  </r>
  <r>
    <x v="7"/>
    <s v="JUL"/>
    <x v="25"/>
    <s v="GRSM 4"/>
    <x v="0"/>
    <s v="GMM"/>
    <n v="189901"/>
    <n v="1602008"/>
    <x v="13"/>
    <x v="9"/>
    <s v="BOLOGNESE"/>
    <n v="3300"/>
    <n v="50"/>
    <n v="165000"/>
    <m/>
  </r>
  <r>
    <x v="7"/>
    <s v="JUL"/>
    <x v="25"/>
    <s v="GRSM 4"/>
    <x v="0"/>
    <s v="GMM"/>
    <n v="189901"/>
    <n v="1602008"/>
    <x v="13"/>
    <x v="9"/>
    <s v="CARBONARA"/>
    <n v="3300"/>
    <n v="50"/>
    <n v="165000"/>
    <m/>
  </r>
  <r>
    <x v="7"/>
    <s v="JUL"/>
    <x v="25"/>
    <s v="GRSM 4"/>
    <x v="0"/>
    <s v="GMM"/>
    <n v="189901"/>
    <n v="1602008"/>
    <x v="13"/>
    <x v="9"/>
    <s v="AGLIO OLIO"/>
    <n v="3300"/>
    <n v="50"/>
    <n v="165000"/>
    <m/>
  </r>
  <r>
    <x v="7"/>
    <s v="JUL"/>
    <x v="25"/>
    <s v="GRSM 4"/>
    <x v="0"/>
    <s v="GMM"/>
    <n v="189901"/>
    <n v="1602008"/>
    <x v="13"/>
    <x v="9"/>
    <s v="GORENG"/>
    <n v="3300"/>
    <n v="110"/>
    <n v="363000"/>
    <n v="160"/>
  </r>
  <r>
    <x v="7"/>
    <s v="JUL"/>
    <x v="25"/>
    <s v="GRSM 4"/>
    <x v="0"/>
    <s v="GMM"/>
    <n v="189901"/>
    <n v="1602008"/>
    <x v="13"/>
    <x v="14"/>
    <s v="BOLOGNESE"/>
    <n v="3300"/>
    <n v="70"/>
    <n v="231000"/>
    <m/>
  </r>
  <r>
    <x v="7"/>
    <s v="JUL"/>
    <x v="25"/>
    <s v="GRSM 4"/>
    <x v="0"/>
    <s v="GMM"/>
    <n v="189901"/>
    <n v="1602008"/>
    <x v="13"/>
    <x v="14"/>
    <s v="CARBONARA"/>
    <n v="3300"/>
    <n v="40"/>
    <n v="132000"/>
    <m/>
  </r>
  <r>
    <x v="7"/>
    <s v="JUL"/>
    <x v="25"/>
    <s v="GRSM 4"/>
    <x v="0"/>
    <s v="GMM"/>
    <n v="189901"/>
    <n v="1602008"/>
    <x v="13"/>
    <x v="14"/>
    <s v="AGLIO OLIO"/>
    <n v="3300"/>
    <n v="50"/>
    <n v="165000"/>
    <m/>
  </r>
  <r>
    <x v="7"/>
    <s v="JUL"/>
    <x v="25"/>
    <s v="GRSM 4"/>
    <x v="0"/>
    <s v="GMM"/>
    <n v="189901"/>
    <n v="1602008"/>
    <x v="13"/>
    <x v="14"/>
    <s v="GORENG"/>
    <n v="3300"/>
    <n v="100"/>
    <n v="330000"/>
    <n v="160"/>
  </r>
  <r>
    <x v="7"/>
    <s v="JUL"/>
    <x v="25"/>
    <s v="GRSM 4"/>
    <x v="0"/>
    <s v="GMM"/>
    <n v="121409"/>
    <n v="5205014"/>
    <x v="12"/>
    <x v="27"/>
    <s v="BOLOGNESE"/>
    <n v="2100"/>
    <n v="77"/>
    <n v="161700"/>
    <m/>
  </r>
  <r>
    <x v="7"/>
    <s v="JUL"/>
    <x v="25"/>
    <s v="GRSM 4"/>
    <x v="0"/>
    <s v="GMM"/>
    <n v="121409"/>
    <n v="5205014"/>
    <x v="12"/>
    <x v="27"/>
    <s v="CARBONARA"/>
    <n v="2100"/>
    <n v="95"/>
    <n v="199500"/>
    <m/>
  </r>
  <r>
    <x v="7"/>
    <s v="JUL"/>
    <x v="25"/>
    <s v="GRSM 4"/>
    <x v="0"/>
    <s v="GMM"/>
    <n v="121409"/>
    <n v="5205014"/>
    <x v="12"/>
    <x v="27"/>
    <s v="AGLIO OLIO"/>
    <n v="2100"/>
    <n v="92"/>
    <n v="193200"/>
    <m/>
  </r>
  <r>
    <x v="7"/>
    <s v="JUL"/>
    <x v="25"/>
    <s v="GRSM 4"/>
    <x v="0"/>
    <s v="GMM"/>
    <n v="121409"/>
    <n v="5205014"/>
    <x v="12"/>
    <x v="27"/>
    <s v="GORENG"/>
    <n v="2100"/>
    <n v="49"/>
    <n v="102900"/>
    <n v="160"/>
  </r>
  <r>
    <x v="7"/>
    <s v="JUL"/>
    <x v="25"/>
    <s v="GRSM 4"/>
    <x v="0"/>
    <s v="GMM"/>
    <n v="189901"/>
    <n v="1602057"/>
    <x v="10"/>
    <x v="15"/>
    <s v="BOLOGNESE"/>
    <n v="2150"/>
    <n v="117"/>
    <n v="251550"/>
    <m/>
  </r>
  <r>
    <x v="7"/>
    <s v="JUL"/>
    <x v="25"/>
    <s v="GRSM 4"/>
    <x v="0"/>
    <s v="GMM"/>
    <n v="189901"/>
    <n v="1602057"/>
    <x v="10"/>
    <x v="15"/>
    <s v="CARBONARA"/>
    <n v="2150"/>
    <n v="98"/>
    <n v="210700"/>
    <m/>
  </r>
  <r>
    <x v="7"/>
    <s v="JUL"/>
    <x v="25"/>
    <s v="GRSM 4"/>
    <x v="0"/>
    <s v="GMM"/>
    <n v="189901"/>
    <n v="1602057"/>
    <x v="10"/>
    <x v="15"/>
    <s v="AGLIO OLIO"/>
    <n v="2150"/>
    <n v="105"/>
    <n v="225750"/>
    <m/>
  </r>
  <r>
    <x v="7"/>
    <s v="JUL"/>
    <x v="25"/>
    <s v="GRSM 4"/>
    <x v="0"/>
    <s v="GMM"/>
    <n v="189901"/>
    <n v="1602057"/>
    <x v="10"/>
    <x v="15"/>
    <s v="GORENG"/>
    <n v="2000"/>
    <n v="175"/>
    <n v="350000"/>
    <n v="160"/>
  </r>
  <r>
    <x v="7"/>
    <s v="JUL"/>
    <x v="25"/>
    <s v="GRSM 4"/>
    <x v="0"/>
    <s v="GMM"/>
    <n v="121409"/>
    <n v="5205014"/>
    <x v="12"/>
    <x v="26"/>
    <s v="BOLOGNESE"/>
    <n v="2100"/>
    <n v="77"/>
    <n v="161700"/>
    <m/>
  </r>
  <r>
    <x v="7"/>
    <s v="JUL"/>
    <x v="25"/>
    <s v="GRSM 4"/>
    <x v="0"/>
    <s v="GMM"/>
    <n v="121409"/>
    <n v="5205014"/>
    <x v="12"/>
    <x v="26"/>
    <s v="CARBONARA"/>
    <n v="2100"/>
    <n v="95"/>
    <n v="199500"/>
    <m/>
  </r>
  <r>
    <x v="7"/>
    <s v="JUL"/>
    <x v="25"/>
    <s v="GRSM 4"/>
    <x v="0"/>
    <s v="GMM"/>
    <n v="121409"/>
    <n v="5205014"/>
    <x v="12"/>
    <x v="26"/>
    <s v="AGLIO OLIO"/>
    <n v="2100"/>
    <n v="92"/>
    <n v="193200"/>
    <m/>
  </r>
  <r>
    <x v="7"/>
    <s v="JUL"/>
    <x v="25"/>
    <s v="GRSM 4"/>
    <x v="0"/>
    <s v="GMM"/>
    <n v="121409"/>
    <n v="5205014"/>
    <x v="12"/>
    <x v="26"/>
    <s v="GORENG"/>
    <n v="2100"/>
    <n v="49"/>
    <n v="102900"/>
    <n v="160"/>
  </r>
  <r>
    <x v="7"/>
    <s v="JUL"/>
    <x v="25"/>
    <s v="GRSM 4"/>
    <x v="0"/>
    <s v="GMM"/>
    <n v="189901"/>
    <n v="1602016"/>
    <x v="16"/>
    <x v="31"/>
    <s v="BOLOGNESE"/>
    <n v="3400"/>
    <n v="90"/>
    <n v="306000"/>
    <m/>
  </r>
  <r>
    <x v="7"/>
    <s v="JUL"/>
    <x v="25"/>
    <s v="GRSM 4"/>
    <x v="0"/>
    <s v="GMM"/>
    <n v="189901"/>
    <n v="1602016"/>
    <x v="16"/>
    <x v="31"/>
    <s v="CARBONARA"/>
    <n v="3400"/>
    <n v="110"/>
    <n v="374000"/>
    <m/>
  </r>
  <r>
    <x v="7"/>
    <s v="JUL"/>
    <x v="25"/>
    <s v="GRSM 4"/>
    <x v="0"/>
    <s v="GMM"/>
    <n v="189901"/>
    <n v="1602016"/>
    <x v="16"/>
    <x v="31"/>
    <s v="AGLIO OLIO"/>
    <n v="3400"/>
    <n v="80"/>
    <n v="272000"/>
    <m/>
  </r>
  <r>
    <x v="7"/>
    <s v="JUL"/>
    <x v="25"/>
    <s v="GRSM 4"/>
    <x v="0"/>
    <s v="GMM"/>
    <n v="189901"/>
    <n v="1602016"/>
    <x v="16"/>
    <x v="31"/>
    <s v="GORENG"/>
    <n v="3400"/>
    <n v="140"/>
    <n v="476000"/>
    <n v="160"/>
  </r>
  <r>
    <x v="7"/>
    <s v="JUL"/>
    <x v="25"/>
    <s v="GRSM 4"/>
    <x v="0"/>
    <s v="GMM"/>
    <n v="189901"/>
    <n v="1602057"/>
    <x v="10"/>
    <x v="24"/>
    <s v="BOLOGNESE"/>
    <n v="2150"/>
    <n v="105"/>
    <n v="225750"/>
    <m/>
  </r>
  <r>
    <x v="7"/>
    <s v="JUL"/>
    <x v="25"/>
    <s v="GRSM 4"/>
    <x v="0"/>
    <s v="GMM"/>
    <n v="189901"/>
    <n v="1602057"/>
    <x v="10"/>
    <x v="24"/>
    <s v="CARBONARA"/>
    <n v="2150"/>
    <n v="101"/>
    <n v="217150"/>
    <m/>
  </r>
  <r>
    <x v="7"/>
    <s v="JUL"/>
    <x v="25"/>
    <s v="GRSM 4"/>
    <x v="0"/>
    <s v="GMM"/>
    <n v="189901"/>
    <n v="1602057"/>
    <x v="10"/>
    <x v="24"/>
    <s v="AGLIO OLIO"/>
    <n v="2150"/>
    <n v="93"/>
    <n v="199950"/>
    <m/>
  </r>
  <r>
    <x v="7"/>
    <s v="JUL"/>
    <x v="25"/>
    <s v="GRSM 4"/>
    <x v="0"/>
    <s v="GMM"/>
    <n v="189901"/>
    <n v="1602057"/>
    <x v="10"/>
    <x v="24"/>
    <s v="GORENG"/>
    <n v="2000"/>
    <n v="169"/>
    <n v="338000"/>
    <n v="160"/>
  </r>
  <r>
    <x v="7"/>
    <s v="JUL"/>
    <x v="25"/>
    <s v="GRSM 4"/>
    <x v="0"/>
    <s v="GMM"/>
    <n v="189901"/>
    <n v="1602018"/>
    <x v="14"/>
    <x v="22"/>
    <s v="BOLOGNESE"/>
    <n v="3500"/>
    <n v="40"/>
    <n v="140000"/>
    <m/>
  </r>
  <r>
    <x v="7"/>
    <s v="JUL"/>
    <x v="25"/>
    <s v="GRSM 4"/>
    <x v="0"/>
    <s v="GMM"/>
    <n v="189901"/>
    <n v="1602018"/>
    <x v="14"/>
    <x v="22"/>
    <s v="CARBONARA"/>
    <n v="3500"/>
    <n v="40"/>
    <n v="140000"/>
    <m/>
  </r>
  <r>
    <x v="7"/>
    <s v="JUL"/>
    <x v="25"/>
    <s v="GRSM 4"/>
    <x v="0"/>
    <s v="GMM"/>
    <n v="189901"/>
    <n v="1602018"/>
    <x v="14"/>
    <x v="22"/>
    <s v="AGLIO OLIO"/>
    <n v="3500"/>
    <n v="35"/>
    <n v="122500"/>
    <m/>
  </r>
  <r>
    <x v="7"/>
    <s v="JUL"/>
    <x v="25"/>
    <s v="GRSM 4"/>
    <x v="0"/>
    <s v="GMM"/>
    <n v="189901"/>
    <n v="1602018"/>
    <x v="14"/>
    <x v="22"/>
    <s v="GORENG"/>
    <n v="3500"/>
    <n v="80"/>
    <n v="280000"/>
    <n v="160"/>
  </r>
  <r>
    <x v="7"/>
    <s v="JUL"/>
    <x v="26"/>
    <s v="GRSM 4"/>
    <x v="0"/>
    <s v="GMM"/>
    <n v="121409"/>
    <n v="5205014"/>
    <x v="12"/>
    <x v="27"/>
    <s v="BOLOGNESE"/>
    <n v="2100"/>
    <n v="120"/>
    <n v="252000"/>
    <m/>
  </r>
  <r>
    <x v="7"/>
    <s v="JUL"/>
    <x v="26"/>
    <s v="GRSM 4"/>
    <x v="0"/>
    <s v="GMM"/>
    <n v="121409"/>
    <n v="5205014"/>
    <x v="12"/>
    <x v="27"/>
    <s v="CARBONARA"/>
    <n v="2100"/>
    <n v="176"/>
    <n v="369600"/>
    <m/>
  </r>
  <r>
    <x v="7"/>
    <s v="JUL"/>
    <x v="26"/>
    <s v="GRSM 4"/>
    <x v="0"/>
    <s v="GMM"/>
    <n v="121409"/>
    <n v="5205014"/>
    <x v="12"/>
    <x v="27"/>
    <s v="AGLIO OLIO"/>
    <n v="2100"/>
    <n v="98"/>
    <n v="205800"/>
    <m/>
  </r>
  <r>
    <x v="7"/>
    <s v="JUL"/>
    <x v="26"/>
    <s v="GRSM 4"/>
    <x v="0"/>
    <s v="GMM"/>
    <n v="121409"/>
    <n v="5205014"/>
    <x v="12"/>
    <x v="27"/>
    <s v="GORENG"/>
    <n v="2100"/>
    <n v="189"/>
    <n v="396900"/>
    <n v="160"/>
  </r>
  <r>
    <x v="7"/>
    <s v="JUL"/>
    <x v="26"/>
    <s v="GRSM 4"/>
    <x v="0"/>
    <s v="GMM"/>
    <n v="121409"/>
    <n v="5205014"/>
    <x v="12"/>
    <x v="26"/>
    <s v="BOLOGNESE"/>
    <n v="2100"/>
    <n v="120"/>
    <n v="252000"/>
    <m/>
  </r>
  <r>
    <x v="7"/>
    <s v="JUL"/>
    <x v="26"/>
    <s v="GRSM 4"/>
    <x v="0"/>
    <s v="GMM"/>
    <n v="121409"/>
    <n v="5205014"/>
    <x v="12"/>
    <x v="26"/>
    <s v="CARBONARA"/>
    <n v="2100"/>
    <n v="176"/>
    <n v="369600"/>
    <m/>
  </r>
  <r>
    <x v="7"/>
    <s v="JUL"/>
    <x v="26"/>
    <s v="GRSM 4"/>
    <x v="0"/>
    <s v="GMM"/>
    <n v="121409"/>
    <n v="5205014"/>
    <x v="12"/>
    <x v="26"/>
    <s v="AGLIO OLIO"/>
    <n v="2100"/>
    <n v="98"/>
    <n v="205800"/>
    <m/>
  </r>
  <r>
    <x v="7"/>
    <s v="JUL"/>
    <x v="26"/>
    <s v="GRSM 4"/>
    <x v="0"/>
    <s v="GMM"/>
    <n v="121409"/>
    <n v="5205014"/>
    <x v="12"/>
    <x v="26"/>
    <s v="GORENG"/>
    <n v="2100"/>
    <n v="189"/>
    <n v="396900"/>
    <n v="160"/>
  </r>
  <r>
    <x v="7"/>
    <s v="JUL"/>
    <x v="26"/>
    <s v="GRSM 4"/>
    <x v="0"/>
    <s v="GMM"/>
    <n v="103277"/>
    <n v="6300700"/>
    <x v="11"/>
    <x v="25"/>
    <s v="BOLOGNESE"/>
    <n v="3000"/>
    <n v="45"/>
    <n v="135000"/>
    <m/>
  </r>
  <r>
    <x v="7"/>
    <s v="JUL"/>
    <x v="26"/>
    <s v="GRSM 4"/>
    <x v="0"/>
    <s v="GMM"/>
    <n v="103277"/>
    <n v="6300700"/>
    <x v="11"/>
    <x v="25"/>
    <s v="CARBONARA"/>
    <n v="3000"/>
    <n v="49"/>
    <n v="147000"/>
    <m/>
  </r>
  <r>
    <x v="7"/>
    <s v="JUL"/>
    <x v="26"/>
    <s v="GRSM 4"/>
    <x v="0"/>
    <s v="GMM"/>
    <n v="103277"/>
    <n v="6300700"/>
    <x v="11"/>
    <x v="25"/>
    <s v="AGLIO OLIO"/>
    <n v="3000"/>
    <n v="35"/>
    <n v="105000"/>
    <m/>
  </r>
  <r>
    <x v="7"/>
    <s v="JUL"/>
    <x v="26"/>
    <s v="GRSM 4"/>
    <x v="0"/>
    <s v="GMM"/>
    <n v="103277"/>
    <n v="6300700"/>
    <x v="11"/>
    <x v="25"/>
    <s v="GORENG"/>
    <n v="3000"/>
    <n v="151"/>
    <n v="453000"/>
    <n v="160"/>
  </r>
  <r>
    <x v="7"/>
    <s v="JUL"/>
    <x v="26"/>
    <s v="GRSM 4"/>
    <x v="0"/>
    <s v="GMM"/>
    <n v="103277"/>
    <n v="6300700"/>
    <x v="11"/>
    <x v="12"/>
    <s v="BOLOGNESE"/>
    <n v="3000"/>
    <n v="50"/>
    <n v="150000"/>
    <m/>
  </r>
  <r>
    <x v="7"/>
    <s v="JUL"/>
    <x v="26"/>
    <s v="GRSM 4"/>
    <x v="0"/>
    <s v="GMM"/>
    <n v="103277"/>
    <n v="6300700"/>
    <x v="11"/>
    <x v="12"/>
    <s v="CARBONARA"/>
    <n v="3000"/>
    <n v="50"/>
    <n v="150000"/>
    <m/>
  </r>
  <r>
    <x v="7"/>
    <s v="JUL"/>
    <x v="26"/>
    <s v="GRSM 4"/>
    <x v="0"/>
    <s v="GMM"/>
    <n v="103277"/>
    <n v="6300700"/>
    <x v="11"/>
    <x v="12"/>
    <s v="AGLIO OLIO"/>
    <n v="3000"/>
    <n v="35"/>
    <n v="105000"/>
    <m/>
  </r>
  <r>
    <x v="7"/>
    <s v="JUL"/>
    <x v="26"/>
    <s v="GRSM 4"/>
    <x v="0"/>
    <s v="GMM"/>
    <n v="103277"/>
    <n v="6300700"/>
    <x v="11"/>
    <x v="12"/>
    <s v="GORENG"/>
    <n v="3000"/>
    <n v="185"/>
    <n v="555000"/>
    <n v="160"/>
  </r>
  <r>
    <x v="7"/>
    <s v="JUL"/>
    <x v="26"/>
    <s v="GRSM 4"/>
    <x v="0"/>
    <s v="GMM"/>
    <n v="103257"/>
    <n v="9162509"/>
    <x v="25"/>
    <x v="8"/>
    <s v="BOLOGNESE"/>
    <n v="3200"/>
    <n v="76"/>
    <n v="243200"/>
    <m/>
  </r>
  <r>
    <x v="7"/>
    <s v="JUL"/>
    <x v="26"/>
    <s v="GRSM 4"/>
    <x v="0"/>
    <s v="GMM"/>
    <n v="103257"/>
    <n v="9162509"/>
    <x v="25"/>
    <x v="8"/>
    <s v="CARBONARA"/>
    <n v="3200"/>
    <n v="65"/>
    <n v="208000"/>
    <m/>
  </r>
  <r>
    <x v="7"/>
    <s v="JUL"/>
    <x v="26"/>
    <s v="GRSM 4"/>
    <x v="0"/>
    <s v="GMM"/>
    <n v="103257"/>
    <n v="9162509"/>
    <x v="25"/>
    <x v="8"/>
    <s v="AGLIO OLIO"/>
    <n v="3200"/>
    <n v="69"/>
    <n v="220800"/>
    <m/>
  </r>
  <r>
    <x v="7"/>
    <s v="JUL"/>
    <x v="26"/>
    <s v="GRSM 4"/>
    <x v="0"/>
    <s v="GMM"/>
    <n v="103257"/>
    <n v="9162509"/>
    <x v="25"/>
    <x v="8"/>
    <s v="GORENG"/>
    <n v="3200"/>
    <n v="94"/>
    <n v="300800"/>
    <n v="160"/>
  </r>
  <r>
    <x v="7"/>
    <s v="JUL"/>
    <x v="26"/>
    <s v="GRSM 4"/>
    <x v="0"/>
    <s v="GMM"/>
    <n v="189901"/>
    <n v="1602008"/>
    <x v="13"/>
    <x v="14"/>
    <s v="BOLOGNESE"/>
    <n v="3300"/>
    <n v="40"/>
    <n v="132000"/>
    <m/>
  </r>
  <r>
    <x v="7"/>
    <s v="JUL"/>
    <x v="26"/>
    <s v="GRSM 4"/>
    <x v="0"/>
    <s v="GMM"/>
    <n v="189901"/>
    <n v="1602008"/>
    <x v="13"/>
    <x v="14"/>
    <s v="CARBONARA"/>
    <n v="3300"/>
    <n v="40"/>
    <n v="132000"/>
    <m/>
  </r>
  <r>
    <x v="7"/>
    <s v="JUL"/>
    <x v="26"/>
    <s v="GRSM 4"/>
    <x v="0"/>
    <s v="GMM"/>
    <n v="189901"/>
    <n v="1602008"/>
    <x v="13"/>
    <x v="14"/>
    <s v="AGLIO OLIO"/>
    <n v="3300"/>
    <n v="40"/>
    <n v="132000"/>
    <m/>
  </r>
  <r>
    <x v="7"/>
    <s v="JUL"/>
    <x v="26"/>
    <s v="GRSM 4"/>
    <x v="0"/>
    <s v="GMM"/>
    <n v="189901"/>
    <n v="1602008"/>
    <x v="13"/>
    <x v="14"/>
    <s v="GORENG"/>
    <n v="3300"/>
    <n v="110"/>
    <n v="363000"/>
    <n v="160"/>
  </r>
  <r>
    <x v="7"/>
    <s v="JUL"/>
    <x v="26"/>
    <s v="GRSM 4"/>
    <x v="0"/>
    <s v="GMM"/>
    <n v="189901"/>
    <n v="1602008"/>
    <x v="13"/>
    <x v="9"/>
    <s v="BOLOGNESE"/>
    <n v="3300"/>
    <n v="40"/>
    <n v="132000"/>
    <m/>
  </r>
  <r>
    <x v="7"/>
    <s v="JUL"/>
    <x v="26"/>
    <s v="GRSM 4"/>
    <x v="0"/>
    <s v="GMM"/>
    <n v="189901"/>
    <n v="1602008"/>
    <x v="13"/>
    <x v="9"/>
    <s v="CARBONARA"/>
    <n v="3300"/>
    <n v="40"/>
    <n v="132000"/>
    <m/>
  </r>
  <r>
    <x v="7"/>
    <s v="JUL"/>
    <x v="26"/>
    <s v="GRSM 4"/>
    <x v="0"/>
    <s v="GMM"/>
    <n v="189901"/>
    <n v="1602008"/>
    <x v="13"/>
    <x v="9"/>
    <s v="AGLIO OLIO"/>
    <n v="3300"/>
    <n v="40"/>
    <n v="132000"/>
    <m/>
  </r>
  <r>
    <x v="7"/>
    <s v="JUL"/>
    <x v="26"/>
    <s v="GRSM 4"/>
    <x v="0"/>
    <s v="GMM"/>
    <n v="189901"/>
    <n v="1602008"/>
    <x v="13"/>
    <x v="9"/>
    <s v="GORENG"/>
    <n v="3300"/>
    <n v="110"/>
    <n v="363000"/>
    <n v="160"/>
  </r>
  <r>
    <x v="7"/>
    <s v="JUL"/>
    <x v="27"/>
    <s v="GRSM 4"/>
    <x v="0"/>
    <s v="GMM"/>
    <n v="189901"/>
    <n v="1602008"/>
    <x v="13"/>
    <x v="39"/>
    <s v="BOLOGNESE"/>
    <n v="3300"/>
    <n v="50"/>
    <n v="165000"/>
    <m/>
  </r>
  <r>
    <x v="7"/>
    <s v="JUL"/>
    <x v="27"/>
    <s v="GRSM 4"/>
    <x v="0"/>
    <s v="GMM"/>
    <n v="189901"/>
    <n v="1602008"/>
    <x v="13"/>
    <x v="39"/>
    <s v="CARBONARA"/>
    <n v="3300"/>
    <n v="50"/>
    <n v="165000"/>
    <m/>
  </r>
  <r>
    <x v="7"/>
    <s v="JUL"/>
    <x v="27"/>
    <s v="GRSM 4"/>
    <x v="0"/>
    <s v="GMM"/>
    <n v="189901"/>
    <n v="1602008"/>
    <x v="13"/>
    <x v="39"/>
    <s v="AGLIO OLIO"/>
    <n v="3300"/>
    <n v="50"/>
    <n v="165000"/>
    <m/>
  </r>
  <r>
    <x v="7"/>
    <s v="JUL"/>
    <x v="27"/>
    <s v="GRSM 4"/>
    <x v="0"/>
    <s v="GMM"/>
    <n v="189901"/>
    <n v="1602008"/>
    <x v="13"/>
    <x v="39"/>
    <s v="GORENG"/>
    <n v="3300"/>
    <n v="105"/>
    <n v="346500"/>
    <n v="160"/>
  </r>
  <r>
    <x v="7"/>
    <s v="JUL"/>
    <x v="25"/>
    <s v="GRSM 4"/>
    <x v="0"/>
    <s v="GMM"/>
    <n v="189901"/>
    <n v="1602016"/>
    <x v="16"/>
    <x v="32"/>
    <s v="BOLOGNESE"/>
    <n v="3400"/>
    <n v="90"/>
    <n v="306000"/>
    <m/>
  </r>
  <r>
    <x v="7"/>
    <s v="JUL"/>
    <x v="25"/>
    <s v="GRSM 4"/>
    <x v="0"/>
    <s v="GMM"/>
    <n v="189901"/>
    <n v="1602016"/>
    <x v="16"/>
    <x v="32"/>
    <s v="CARBONARA"/>
    <n v="3400"/>
    <n v="110"/>
    <n v="374000"/>
    <m/>
  </r>
  <r>
    <x v="7"/>
    <s v="JUL"/>
    <x v="25"/>
    <s v="GRSM 4"/>
    <x v="0"/>
    <s v="GMM"/>
    <n v="189901"/>
    <n v="1602016"/>
    <x v="16"/>
    <x v="32"/>
    <s v="AGLIO OLIO"/>
    <n v="3400"/>
    <n v="80"/>
    <n v="272000"/>
    <m/>
  </r>
  <r>
    <x v="7"/>
    <s v="JUL"/>
    <x v="25"/>
    <s v="GRSM 4"/>
    <x v="0"/>
    <s v="GMM"/>
    <n v="189901"/>
    <n v="1602016"/>
    <x v="16"/>
    <x v="32"/>
    <s v="GORENG"/>
    <n v="3400"/>
    <n v="140"/>
    <n v="476000"/>
    <n v="160"/>
  </r>
  <r>
    <x v="7"/>
    <s v="JUL"/>
    <x v="26"/>
    <s v="GRSM 4"/>
    <x v="0"/>
    <s v="GMM"/>
    <n v="189901"/>
    <n v="1602018"/>
    <x v="14"/>
    <x v="22"/>
    <s v="BOLOGNESE"/>
    <n v="3500"/>
    <n v="45"/>
    <n v="157500"/>
    <m/>
  </r>
  <r>
    <x v="7"/>
    <s v="JUL"/>
    <x v="26"/>
    <s v="GRSM 4"/>
    <x v="0"/>
    <s v="GMM"/>
    <n v="189901"/>
    <n v="1602018"/>
    <x v="14"/>
    <x v="22"/>
    <s v="CARBONARA"/>
    <n v="3500"/>
    <n v="45"/>
    <n v="157500"/>
    <m/>
  </r>
  <r>
    <x v="7"/>
    <s v="JUL"/>
    <x v="26"/>
    <s v="GRSM 4"/>
    <x v="0"/>
    <s v="GMM"/>
    <n v="189901"/>
    <n v="1602018"/>
    <x v="14"/>
    <x v="22"/>
    <s v="AGLIO OLIO"/>
    <n v="3500"/>
    <n v="30"/>
    <n v="105000"/>
    <m/>
  </r>
  <r>
    <x v="7"/>
    <s v="JUL"/>
    <x v="26"/>
    <s v="GRSM 4"/>
    <x v="0"/>
    <s v="GMM"/>
    <n v="189901"/>
    <n v="1602018"/>
    <x v="14"/>
    <x v="22"/>
    <s v="GORENG"/>
    <n v="3500"/>
    <n v="120"/>
    <n v="420000"/>
    <n v="160"/>
  </r>
  <r>
    <x v="7"/>
    <s v="JUL"/>
    <x v="26"/>
    <s v="GRSM 4"/>
    <x v="0"/>
    <s v="GMM"/>
    <n v="189901"/>
    <n v="1602057"/>
    <x v="10"/>
    <x v="15"/>
    <s v="BOLOGNESE"/>
    <n v="2150"/>
    <n v="115"/>
    <n v="247250"/>
    <m/>
  </r>
  <r>
    <x v="7"/>
    <s v="JUL"/>
    <x v="26"/>
    <s v="GRSM 4"/>
    <x v="0"/>
    <s v="GMM"/>
    <n v="189901"/>
    <n v="1602057"/>
    <x v="10"/>
    <x v="15"/>
    <s v="CARBONARA"/>
    <n v="2150"/>
    <n v="111"/>
    <n v="238650"/>
    <m/>
  </r>
  <r>
    <x v="7"/>
    <s v="JUL"/>
    <x v="26"/>
    <s v="GRSM 4"/>
    <x v="0"/>
    <s v="GMM"/>
    <n v="189901"/>
    <n v="1602057"/>
    <x v="10"/>
    <x v="15"/>
    <s v="AGLIO OLIO"/>
    <n v="2150"/>
    <n v="103"/>
    <n v="221450"/>
    <m/>
  </r>
  <r>
    <x v="7"/>
    <s v="JUL"/>
    <x v="26"/>
    <s v="GRSM 4"/>
    <x v="0"/>
    <s v="GMM"/>
    <n v="189901"/>
    <n v="1602057"/>
    <x v="10"/>
    <x v="15"/>
    <s v="GORENG"/>
    <n v="2000"/>
    <n v="188"/>
    <n v="376000"/>
    <n v="160"/>
  </r>
  <r>
    <x v="7"/>
    <s v="JUL"/>
    <x v="26"/>
    <s v="GRSM 4"/>
    <x v="0"/>
    <s v="GMM"/>
    <n v="189901"/>
    <n v="1602057"/>
    <x v="10"/>
    <x v="24"/>
    <s v="BOLOGNESE"/>
    <n v="2150"/>
    <n v="108"/>
    <n v="232200"/>
    <m/>
  </r>
  <r>
    <x v="7"/>
    <s v="JUL"/>
    <x v="26"/>
    <s v="GRSM 4"/>
    <x v="0"/>
    <s v="GMM"/>
    <n v="189901"/>
    <n v="1602057"/>
    <x v="10"/>
    <x v="24"/>
    <s v="CARBONARA"/>
    <n v="2150"/>
    <n v="105"/>
    <n v="225750"/>
    <m/>
  </r>
  <r>
    <x v="7"/>
    <s v="JUL"/>
    <x v="26"/>
    <s v="GRSM 4"/>
    <x v="0"/>
    <s v="GMM"/>
    <n v="189901"/>
    <n v="1602057"/>
    <x v="10"/>
    <x v="24"/>
    <s v="AGLIO OLIO"/>
    <n v="2150"/>
    <n v="97"/>
    <n v="208550"/>
    <m/>
  </r>
  <r>
    <x v="7"/>
    <s v="JUL"/>
    <x v="26"/>
    <s v="GRSM 4"/>
    <x v="0"/>
    <s v="GMM"/>
    <n v="189901"/>
    <n v="1602057"/>
    <x v="10"/>
    <x v="24"/>
    <s v="GORENG"/>
    <n v="2000"/>
    <n v="177"/>
    <n v="354000"/>
    <n v="160"/>
  </r>
  <r>
    <x v="7"/>
    <s v="JUL"/>
    <x v="26"/>
    <s v="GRSM 4"/>
    <x v="0"/>
    <s v="GMM"/>
    <n v="189901"/>
    <n v="1602018"/>
    <x v="14"/>
    <x v="23"/>
    <s v="BOLOGNESE"/>
    <n v="3500"/>
    <n v="45"/>
    <n v="157500"/>
    <m/>
  </r>
  <r>
    <x v="7"/>
    <s v="JUL"/>
    <x v="26"/>
    <s v="GRSM 4"/>
    <x v="0"/>
    <s v="GMM"/>
    <n v="189901"/>
    <n v="1602018"/>
    <x v="14"/>
    <x v="23"/>
    <s v="CARBONARA"/>
    <n v="3500"/>
    <n v="45"/>
    <n v="157500"/>
    <m/>
  </r>
  <r>
    <x v="7"/>
    <s v="JUL"/>
    <x v="26"/>
    <s v="GRSM 4"/>
    <x v="0"/>
    <s v="GMM"/>
    <n v="189901"/>
    <n v="1602018"/>
    <x v="14"/>
    <x v="23"/>
    <s v="AGLIO OLIO"/>
    <n v="3500"/>
    <n v="30"/>
    <n v="105000"/>
    <m/>
  </r>
  <r>
    <x v="7"/>
    <s v="JUL"/>
    <x v="26"/>
    <s v="GRSM 4"/>
    <x v="0"/>
    <s v="GMM"/>
    <n v="189901"/>
    <n v="1602018"/>
    <x v="14"/>
    <x v="23"/>
    <s v="GORENG"/>
    <n v="3500"/>
    <n v="120"/>
    <n v="420000"/>
    <n v="160"/>
  </r>
  <r>
    <x v="7"/>
    <s v="JUL"/>
    <x v="27"/>
    <s v="GRSM 4"/>
    <x v="0"/>
    <s v="GMM"/>
    <n v="121409"/>
    <n v="5205014"/>
    <x v="12"/>
    <x v="27"/>
    <s v="BOLOGNESE"/>
    <n v="2100"/>
    <n v="142"/>
    <n v="298200"/>
    <m/>
  </r>
  <r>
    <x v="7"/>
    <s v="JUL"/>
    <x v="27"/>
    <s v="GRSM 4"/>
    <x v="0"/>
    <s v="GMM"/>
    <n v="121409"/>
    <n v="5205014"/>
    <x v="12"/>
    <x v="27"/>
    <s v="CARBONARA"/>
    <n v="2100"/>
    <n v="232"/>
    <n v="487200"/>
    <m/>
  </r>
  <r>
    <x v="7"/>
    <s v="JUL"/>
    <x v="27"/>
    <s v="GRSM 4"/>
    <x v="0"/>
    <s v="GMM"/>
    <n v="121409"/>
    <n v="5205014"/>
    <x v="12"/>
    <x v="27"/>
    <s v="AGLIO OLIO"/>
    <n v="2100"/>
    <n v="105"/>
    <n v="220500"/>
    <m/>
  </r>
  <r>
    <x v="7"/>
    <s v="JUL"/>
    <x v="27"/>
    <s v="GRSM 4"/>
    <x v="0"/>
    <s v="GMM"/>
    <n v="121409"/>
    <n v="5205014"/>
    <x v="12"/>
    <x v="27"/>
    <s v="GORENG"/>
    <n v="2100"/>
    <n v="243"/>
    <n v="510300"/>
    <n v="160"/>
  </r>
  <r>
    <x v="7"/>
    <s v="JUL"/>
    <x v="27"/>
    <s v="GRSM 4"/>
    <x v="0"/>
    <s v="GMM"/>
    <n v="121409"/>
    <n v="5205014"/>
    <x v="12"/>
    <x v="26"/>
    <s v="BOLOGNESE"/>
    <n v="2100"/>
    <n v="142"/>
    <n v="298200"/>
    <m/>
  </r>
  <r>
    <x v="7"/>
    <s v="JUL"/>
    <x v="27"/>
    <s v="GRSM 4"/>
    <x v="0"/>
    <s v="GMM"/>
    <n v="121409"/>
    <n v="5205014"/>
    <x v="12"/>
    <x v="26"/>
    <s v="CARBONARA"/>
    <n v="2100"/>
    <n v="232"/>
    <n v="487200"/>
    <m/>
  </r>
  <r>
    <x v="7"/>
    <s v="JUL"/>
    <x v="27"/>
    <s v="GRSM 4"/>
    <x v="0"/>
    <s v="GMM"/>
    <n v="121409"/>
    <n v="5205014"/>
    <x v="12"/>
    <x v="26"/>
    <s v="AGLIO OLIO"/>
    <n v="2100"/>
    <n v="105"/>
    <n v="220500"/>
    <m/>
  </r>
  <r>
    <x v="7"/>
    <s v="JUL"/>
    <x v="27"/>
    <s v="GRSM 4"/>
    <x v="0"/>
    <s v="GMM"/>
    <n v="121409"/>
    <n v="5205014"/>
    <x v="12"/>
    <x v="26"/>
    <s v="GORENG"/>
    <n v="2100"/>
    <n v="243"/>
    <n v="510300"/>
    <n v="160"/>
  </r>
  <r>
    <x v="7"/>
    <s v="JUL"/>
    <x v="27"/>
    <s v="GRSM 4"/>
    <x v="0"/>
    <s v="GMM"/>
    <n v="103277"/>
    <n v="6300700"/>
    <x v="11"/>
    <x v="25"/>
    <s v="BOLOGNESE"/>
    <n v="3000"/>
    <n v="90"/>
    <n v="270000"/>
    <m/>
  </r>
  <r>
    <x v="7"/>
    <s v="JUL"/>
    <x v="27"/>
    <s v="GRSM 4"/>
    <x v="0"/>
    <s v="GMM"/>
    <n v="103277"/>
    <n v="6300700"/>
    <x v="11"/>
    <x v="25"/>
    <s v="CARBONARA"/>
    <n v="3000"/>
    <n v="70"/>
    <n v="210000"/>
    <m/>
  </r>
  <r>
    <x v="7"/>
    <s v="JUL"/>
    <x v="27"/>
    <s v="GRSM 4"/>
    <x v="0"/>
    <s v="GMM"/>
    <n v="103277"/>
    <n v="6300700"/>
    <x v="11"/>
    <x v="25"/>
    <s v="AGLIO OLIO"/>
    <n v="3000"/>
    <n v="70"/>
    <n v="210000"/>
    <m/>
  </r>
  <r>
    <x v="7"/>
    <s v="JUL"/>
    <x v="27"/>
    <s v="GRSM 4"/>
    <x v="0"/>
    <s v="GMM"/>
    <n v="103277"/>
    <n v="6300700"/>
    <x v="11"/>
    <x v="25"/>
    <s v="GORENG"/>
    <n v="3000"/>
    <n v="120"/>
    <n v="360000"/>
    <n v="160"/>
  </r>
  <r>
    <x v="7"/>
    <s v="JUL"/>
    <x v="27"/>
    <s v="GRSM 4"/>
    <x v="0"/>
    <s v="GMM"/>
    <n v="103277"/>
    <n v="6300700"/>
    <x v="11"/>
    <x v="12"/>
    <s v="BOLOGNESE"/>
    <n v="3000"/>
    <n v="100"/>
    <n v="300000"/>
    <m/>
  </r>
  <r>
    <x v="7"/>
    <s v="JUL"/>
    <x v="27"/>
    <s v="GRSM 4"/>
    <x v="0"/>
    <s v="GMM"/>
    <n v="103277"/>
    <n v="6300700"/>
    <x v="11"/>
    <x v="12"/>
    <s v="CARBONARA"/>
    <n v="3000"/>
    <n v="80"/>
    <n v="240000"/>
    <m/>
  </r>
  <r>
    <x v="7"/>
    <s v="JUL"/>
    <x v="27"/>
    <s v="GRSM 4"/>
    <x v="0"/>
    <s v="GMM"/>
    <n v="103277"/>
    <n v="6300700"/>
    <x v="11"/>
    <x v="12"/>
    <s v="AGLIO OLIO"/>
    <n v="3000"/>
    <n v="55"/>
    <n v="165000"/>
    <m/>
  </r>
  <r>
    <x v="7"/>
    <s v="JUL"/>
    <x v="27"/>
    <s v="GRSM 4"/>
    <x v="0"/>
    <s v="GMM"/>
    <n v="103277"/>
    <n v="6300700"/>
    <x v="11"/>
    <x v="12"/>
    <s v="GORENG"/>
    <n v="3000"/>
    <n v="125"/>
    <n v="375000"/>
    <n v="160"/>
  </r>
  <r>
    <x v="7"/>
    <s v="JUL"/>
    <x v="26"/>
    <s v="GRSM 4"/>
    <x v="0"/>
    <s v="GMM"/>
    <n v="189901"/>
    <n v="1602016"/>
    <x v="16"/>
    <x v="31"/>
    <s v="BOLOGNESE"/>
    <n v="3400"/>
    <n v="90"/>
    <n v="306000"/>
    <m/>
  </r>
  <r>
    <x v="7"/>
    <s v="JUL"/>
    <x v="26"/>
    <s v="GRSM 4"/>
    <x v="0"/>
    <s v="GMM"/>
    <n v="189901"/>
    <n v="1602016"/>
    <x v="16"/>
    <x v="31"/>
    <s v="CARBONARA"/>
    <n v="3400"/>
    <n v="110"/>
    <n v="374000"/>
    <m/>
  </r>
  <r>
    <x v="7"/>
    <s v="JUL"/>
    <x v="26"/>
    <s v="GRSM 4"/>
    <x v="0"/>
    <s v="GMM"/>
    <n v="189901"/>
    <n v="1602016"/>
    <x v="16"/>
    <x v="31"/>
    <s v="AGLIO OLIO"/>
    <n v="3400"/>
    <n v="80"/>
    <n v="272000"/>
    <m/>
  </r>
  <r>
    <x v="7"/>
    <s v="JUL"/>
    <x v="26"/>
    <s v="GRSM 4"/>
    <x v="0"/>
    <s v="GMM"/>
    <n v="189901"/>
    <n v="1602016"/>
    <x v="16"/>
    <x v="31"/>
    <s v="GORENG"/>
    <n v="3400"/>
    <n v="140"/>
    <n v="476000"/>
    <n v="160"/>
  </r>
  <r>
    <x v="7"/>
    <s v="JUL"/>
    <x v="26"/>
    <s v="GRSM 4"/>
    <x v="0"/>
    <s v="GMM"/>
    <n v="189901"/>
    <n v="1602016"/>
    <x v="16"/>
    <x v="32"/>
    <s v="BOLOGNESE"/>
    <n v="3400"/>
    <n v="90"/>
    <n v="306000"/>
    <m/>
  </r>
  <r>
    <x v="7"/>
    <s v="JUL"/>
    <x v="26"/>
    <s v="GRSM 4"/>
    <x v="0"/>
    <s v="GMM"/>
    <n v="189901"/>
    <n v="1602016"/>
    <x v="16"/>
    <x v="32"/>
    <s v="CARBONARA"/>
    <n v="3400"/>
    <n v="110"/>
    <n v="374000"/>
    <m/>
  </r>
  <r>
    <x v="7"/>
    <s v="JUL"/>
    <x v="26"/>
    <s v="GRSM 4"/>
    <x v="0"/>
    <s v="GMM"/>
    <n v="189901"/>
    <n v="1602016"/>
    <x v="16"/>
    <x v="32"/>
    <s v="AGLIO OLIO"/>
    <n v="3400"/>
    <n v="80"/>
    <n v="272000"/>
    <m/>
  </r>
  <r>
    <x v="7"/>
    <s v="JUL"/>
    <x v="26"/>
    <s v="GRSM 4"/>
    <x v="0"/>
    <s v="GMM"/>
    <n v="189901"/>
    <n v="1602016"/>
    <x v="16"/>
    <x v="32"/>
    <s v="GORENG"/>
    <n v="3400"/>
    <n v="140"/>
    <n v="476000"/>
    <n v="160"/>
  </r>
  <r>
    <x v="7"/>
    <s v="JUL"/>
    <x v="27"/>
    <s v="GRSM 4"/>
    <x v="0"/>
    <s v="GMM"/>
    <n v="189901"/>
    <n v="1602016"/>
    <x v="16"/>
    <x v="31"/>
    <s v="BOLOGNESE"/>
    <n v="3400"/>
    <n v="200"/>
    <n v="680000"/>
    <m/>
  </r>
  <r>
    <x v="7"/>
    <s v="JUL"/>
    <x v="27"/>
    <s v="GRSM 4"/>
    <x v="0"/>
    <s v="GMM"/>
    <n v="189901"/>
    <n v="1602016"/>
    <x v="16"/>
    <x v="31"/>
    <s v="CARBONARA"/>
    <n v="3400"/>
    <n v="210"/>
    <n v="714000"/>
    <m/>
  </r>
  <r>
    <x v="7"/>
    <s v="JUL"/>
    <x v="27"/>
    <s v="GRSM 4"/>
    <x v="0"/>
    <s v="GMM"/>
    <n v="189901"/>
    <n v="1602016"/>
    <x v="16"/>
    <x v="31"/>
    <s v="AGLIO OLIO"/>
    <n v="3400"/>
    <n v="180"/>
    <n v="612000"/>
    <m/>
  </r>
  <r>
    <x v="7"/>
    <s v="JUL"/>
    <x v="27"/>
    <s v="GRSM 4"/>
    <x v="0"/>
    <s v="GMM"/>
    <n v="189901"/>
    <n v="1602016"/>
    <x v="16"/>
    <x v="31"/>
    <s v="GORENG"/>
    <n v="3400"/>
    <n v="360"/>
    <n v="1224000"/>
    <n v="160"/>
  </r>
  <r>
    <x v="7"/>
    <s v="JUL"/>
    <x v="27"/>
    <s v="GRSM 4"/>
    <x v="0"/>
    <s v="GMM"/>
    <n v="189901"/>
    <n v="1602057"/>
    <x v="10"/>
    <x v="15"/>
    <s v="BOLOGNESE"/>
    <n v="2150"/>
    <n v="107"/>
    <n v="230050"/>
    <m/>
  </r>
  <r>
    <x v="7"/>
    <s v="JUL"/>
    <x v="27"/>
    <s v="GRSM 4"/>
    <x v="0"/>
    <s v="GMM"/>
    <n v="189901"/>
    <n v="1602057"/>
    <x v="10"/>
    <x v="15"/>
    <s v="CARBONARA"/>
    <n v="2150"/>
    <n v="102"/>
    <n v="219300"/>
    <m/>
  </r>
  <r>
    <x v="7"/>
    <s v="JUL"/>
    <x v="27"/>
    <s v="GRSM 4"/>
    <x v="0"/>
    <s v="GMM"/>
    <n v="189901"/>
    <n v="1602057"/>
    <x v="10"/>
    <x v="15"/>
    <s v="AGLIO OLIO"/>
    <n v="2150"/>
    <n v="106"/>
    <n v="227900"/>
    <m/>
  </r>
  <r>
    <x v="7"/>
    <s v="JUL"/>
    <x v="27"/>
    <s v="GRSM 4"/>
    <x v="0"/>
    <s v="GMM"/>
    <n v="189901"/>
    <n v="1602057"/>
    <x v="10"/>
    <x v="15"/>
    <s v="GORENG"/>
    <n v="2000"/>
    <n v="191"/>
    <n v="382000"/>
    <n v="160"/>
  </r>
  <r>
    <x v="7"/>
    <s v="JUL"/>
    <x v="27"/>
    <s v="GRSM 4"/>
    <x v="0"/>
    <s v="GMM"/>
    <n v="189901"/>
    <n v="1602057"/>
    <x v="10"/>
    <x v="24"/>
    <s v="BOLOGNESE"/>
    <n v="2150"/>
    <n v="115"/>
    <n v="247250"/>
    <m/>
  </r>
  <r>
    <x v="7"/>
    <s v="JUL"/>
    <x v="27"/>
    <s v="GRSM 4"/>
    <x v="0"/>
    <s v="GMM"/>
    <n v="189901"/>
    <n v="1602057"/>
    <x v="10"/>
    <x v="24"/>
    <s v="CARBONARA"/>
    <n v="2150"/>
    <n v="108"/>
    <n v="232200"/>
    <m/>
  </r>
  <r>
    <x v="7"/>
    <s v="JUL"/>
    <x v="27"/>
    <s v="GRSM 4"/>
    <x v="0"/>
    <s v="GMM"/>
    <n v="189901"/>
    <n v="1602057"/>
    <x v="10"/>
    <x v="24"/>
    <s v="AGLIO OLIO"/>
    <n v="2150"/>
    <n v="112"/>
    <n v="240800"/>
    <m/>
  </r>
  <r>
    <x v="7"/>
    <s v="JUL"/>
    <x v="27"/>
    <s v="GRSM 4"/>
    <x v="0"/>
    <s v="GMM"/>
    <n v="189901"/>
    <n v="1602057"/>
    <x v="10"/>
    <x v="24"/>
    <s v="GORENG"/>
    <n v="2000"/>
    <n v="201"/>
    <n v="402000"/>
    <n v="160"/>
  </r>
  <r>
    <x v="7"/>
    <s v="JUL"/>
    <x v="27"/>
    <s v="GRSM 4"/>
    <x v="0"/>
    <s v="GMM"/>
    <n v="103257"/>
    <n v="9162509"/>
    <x v="25"/>
    <x v="8"/>
    <s v="BOLOGNESE"/>
    <n v="3200"/>
    <n v="90"/>
    <n v="288000"/>
    <m/>
  </r>
  <r>
    <x v="7"/>
    <s v="JUL"/>
    <x v="27"/>
    <s v="GRSM 4"/>
    <x v="0"/>
    <s v="GMM"/>
    <n v="103257"/>
    <n v="9162509"/>
    <x v="25"/>
    <x v="8"/>
    <s v="CARBONARA"/>
    <n v="3200"/>
    <n v="85"/>
    <n v="272000"/>
    <m/>
  </r>
  <r>
    <x v="7"/>
    <s v="JUL"/>
    <x v="27"/>
    <s v="GRSM 4"/>
    <x v="0"/>
    <s v="GMM"/>
    <n v="103257"/>
    <n v="9162509"/>
    <x v="25"/>
    <x v="8"/>
    <s v="AGLIO OLIO"/>
    <n v="3200"/>
    <n v="88"/>
    <n v="281600"/>
    <m/>
  </r>
  <r>
    <x v="7"/>
    <s v="JUL"/>
    <x v="27"/>
    <s v="GRSM 4"/>
    <x v="0"/>
    <s v="GMM"/>
    <n v="103257"/>
    <n v="9162509"/>
    <x v="25"/>
    <x v="8"/>
    <s v="GORENG"/>
    <n v="3200"/>
    <n v="97"/>
    <n v="310400"/>
    <n v="160"/>
  </r>
  <r>
    <x v="7"/>
    <s v="JUL"/>
    <x v="27"/>
    <s v="GRSM 4"/>
    <x v="0"/>
    <s v="GMM"/>
    <n v="189901"/>
    <n v="1602018"/>
    <x v="14"/>
    <x v="22"/>
    <s v="BOLOGNESE"/>
    <n v="3500"/>
    <n v="40"/>
    <n v="140000"/>
    <m/>
  </r>
  <r>
    <x v="7"/>
    <s v="JUL"/>
    <x v="27"/>
    <s v="GRSM 4"/>
    <x v="0"/>
    <s v="GMM"/>
    <n v="189901"/>
    <n v="1602018"/>
    <x v="14"/>
    <x v="22"/>
    <s v="CARBONARA"/>
    <n v="3500"/>
    <n v="40"/>
    <n v="140000"/>
    <m/>
  </r>
  <r>
    <x v="7"/>
    <s v="JUL"/>
    <x v="27"/>
    <s v="GRSM 4"/>
    <x v="0"/>
    <s v="GMM"/>
    <n v="189901"/>
    <n v="1602018"/>
    <x v="14"/>
    <x v="22"/>
    <s v="AGLIO OLIO"/>
    <n v="3500"/>
    <n v="35"/>
    <n v="122500"/>
    <m/>
  </r>
  <r>
    <x v="7"/>
    <s v="JUL"/>
    <x v="27"/>
    <s v="GRSM 4"/>
    <x v="0"/>
    <s v="GMM"/>
    <n v="189901"/>
    <n v="1602018"/>
    <x v="14"/>
    <x v="22"/>
    <s v="GORENG"/>
    <n v="3500"/>
    <n v="150"/>
    <n v="525000"/>
    <n v="160"/>
  </r>
  <r>
    <x v="7"/>
    <s v="JUL"/>
    <x v="27"/>
    <s v="GRSM 4"/>
    <x v="0"/>
    <s v="GMM"/>
    <n v="189901"/>
    <n v="1602008"/>
    <x v="13"/>
    <x v="14"/>
    <s v="BOLOGNESE"/>
    <n v="3300"/>
    <n v="35"/>
    <n v="115500"/>
    <m/>
  </r>
  <r>
    <x v="7"/>
    <s v="JUL"/>
    <x v="27"/>
    <s v="GRSM 4"/>
    <x v="0"/>
    <s v="GMM"/>
    <n v="189901"/>
    <n v="1602008"/>
    <x v="13"/>
    <x v="14"/>
    <s v="CARBONARA"/>
    <n v="3300"/>
    <n v="50"/>
    <n v="165000"/>
    <m/>
  </r>
  <r>
    <x v="7"/>
    <s v="JUL"/>
    <x v="27"/>
    <s v="GRSM 4"/>
    <x v="0"/>
    <s v="GMM"/>
    <n v="189901"/>
    <n v="1602008"/>
    <x v="13"/>
    <x v="14"/>
    <s v="AGLIO OLIO"/>
    <n v="3300"/>
    <n v="20"/>
    <n v="66000"/>
    <m/>
  </r>
  <r>
    <x v="7"/>
    <s v="JUL"/>
    <x v="27"/>
    <s v="GRSM 4"/>
    <x v="0"/>
    <s v="GMM"/>
    <n v="189901"/>
    <n v="1602008"/>
    <x v="13"/>
    <x v="14"/>
    <s v="GORENG"/>
    <n v="3300"/>
    <n v="105"/>
    <n v="346500"/>
    <n v="160"/>
  </r>
  <r>
    <x v="7"/>
    <s v="JUL"/>
    <x v="25"/>
    <s v="GRSM 4"/>
    <x v="0"/>
    <s v="GMM"/>
    <n v="103257"/>
    <n v="9162509"/>
    <x v="25"/>
    <x v="50"/>
    <s v="BOLOGNESE"/>
    <n v="3200"/>
    <n v="63"/>
    <n v="201600"/>
    <m/>
  </r>
  <r>
    <x v="7"/>
    <s v="JUL"/>
    <x v="25"/>
    <s v="GRSM 4"/>
    <x v="0"/>
    <s v="GMM"/>
    <n v="103257"/>
    <n v="9162509"/>
    <x v="25"/>
    <x v="50"/>
    <s v="CARBONARA"/>
    <n v="3200"/>
    <n v="59"/>
    <n v="188800"/>
    <m/>
  </r>
  <r>
    <x v="7"/>
    <s v="JUL"/>
    <x v="25"/>
    <s v="GRSM 4"/>
    <x v="0"/>
    <s v="GMM"/>
    <n v="103257"/>
    <n v="9162509"/>
    <x v="25"/>
    <x v="50"/>
    <s v="AGLIO OLIO"/>
    <n v="3200"/>
    <n v="47"/>
    <n v="150400"/>
    <m/>
  </r>
  <r>
    <x v="7"/>
    <s v="JUL"/>
    <x v="25"/>
    <s v="GRSM 4"/>
    <x v="0"/>
    <s v="GMM"/>
    <n v="103257"/>
    <n v="9162509"/>
    <x v="25"/>
    <x v="50"/>
    <s v="GORENG"/>
    <n v="3200"/>
    <n v="89"/>
    <n v="284800"/>
    <n v="160"/>
  </r>
  <r>
    <x v="7"/>
    <s v="JUL"/>
    <x v="25"/>
    <s v="GRSM 4"/>
    <x v="0"/>
    <s v="GMM"/>
    <n v="189901"/>
    <n v="1602018"/>
    <x v="14"/>
    <x v="23"/>
    <s v="BOLOGNESE"/>
    <n v="3500"/>
    <n v="40"/>
    <n v="140000"/>
    <m/>
  </r>
  <r>
    <x v="7"/>
    <s v="JUL"/>
    <x v="25"/>
    <s v="GRSM 4"/>
    <x v="0"/>
    <s v="GMM"/>
    <n v="189901"/>
    <n v="1602018"/>
    <x v="14"/>
    <x v="23"/>
    <s v="CARBONARA"/>
    <n v="3500"/>
    <n v="40"/>
    <n v="140000"/>
    <m/>
  </r>
  <r>
    <x v="7"/>
    <s v="JUL"/>
    <x v="25"/>
    <s v="GRSM 4"/>
    <x v="0"/>
    <s v="GMM"/>
    <n v="189901"/>
    <n v="1602018"/>
    <x v="14"/>
    <x v="23"/>
    <s v="AGLIO OLIO"/>
    <n v="3500"/>
    <n v="35"/>
    <n v="122500"/>
    <m/>
  </r>
  <r>
    <x v="7"/>
    <s v="JUL"/>
    <x v="25"/>
    <s v="GRSM 4"/>
    <x v="0"/>
    <s v="GMM"/>
    <n v="189901"/>
    <n v="1602018"/>
    <x v="14"/>
    <x v="23"/>
    <s v="GORENG"/>
    <n v="3500"/>
    <n v="80"/>
    <n v="280000"/>
    <n v="160"/>
  </r>
  <r>
    <x v="7"/>
    <s v="JUL"/>
    <x v="26"/>
    <s v="GRSM 4"/>
    <x v="0"/>
    <s v="GMM"/>
    <n v="103257"/>
    <n v="9162509"/>
    <x v="25"/>
    <x v="50"/>
    <s v="BOLOGNESE"/>
    <n v="3200"/>
    <n v="76"/>
    <n v="243200"/>
    <m/>
  </r>
  <r>
    <x v="7"/>
    <s v="JUL"/>
    <x v="26"/>
    <s v="GRSM 4"/>
    <x v="0"/>
    <s v="GMM"/>
    <n v="103257"/>
    <n v="9162509"/>
    <x v="25"/>
    <x v="50"/>
    <s v="CARBONARA"/>
    <n v="3200"/>
    <n v="65"/>
    <n v="208000"/>
    <m/>
  </r>
  <r>
    <x v="7"/>
    <s v="JUL"/>
    <x v="26"/>
    <s v="GRSM 4"/>
    <x v="0"/>
    <s v="GMM"/>
    <n v="103257"/>
    <n v="9162509"/>
    <x v="25"/>
    <x v="50"/>
    <s v="AGLIO OLIO"/>
    <n v="3200"/>
    <n v="69"/>
    <n v="220800"/>
    <m/>
  </r>
  <r>
    <x v="7"/>
    <s v="JUL"/>
    <x v="26"/>
    <s v="GRSM 4"/>
    <x v="0"/>
    <s v="GMM"/>
    <n v="103257"/>
    <n v="9162509"/>
    <x v="25"/>
    <x v="50"/>
    <s v="GORENG"/>
    <n v="3200"/>
    <n v="94"/>
    <n v="300800"/>
    <n v="160"/>
  </r>
  <r>
    <x v="7"/>
    <s v="JUL"/>
    <x v="27"/>
    <s v="GRSM 4"/>
    <x v="0"/>
    <s v="GMM"/>
    <n v="103257"/>
    <n v="9162509"/>
    <x v="25"/>
    <x v="50"/>
    <s v="BOLOGNESE"/>
    <n v="3200"/>
    <n v="90"/>
    <n v="288000"/>
    <m/>
  </r>
  <r>
    <x v="7"/>
    <s v="JUL"/>
    <x v="27"/>
    <s v="GRSM 4"/>
    <x v="0"/>
    <s v="GMM"/>
    <n v="103257"/>
    <n v="9162509"/>
    <x v="25"/>
    <x v="50"/>
    <s v="CARBONARA"/>
    <n v="3200"/>
    <n v="85"/>
    <n v="272000"/>
    <m/>
  </r>
  <r>
    <x v="7"/>
    <s v="JUL"/>
    <x v="27"/>
    <s v="GRSM 4"/>
    <x v="0"/>
    <s v="GMM"/>
    <n v="103257"/>
    <n v="9162509"/>
    <x v="25"/>
    <x v="50"/>
    <s v="AGLIO OLIO"/>
    <n v="3200"/>
    <n v="88"/>
    <n v="281600"/>
    <m/>
  </r>
  <r>
    <x v="7"/>
    <s v="JUL"/>
    <x v="27"/>
    <s v="GRSM 4"/>
    <x v="0"/>
    <s v="GMM"/>
    <n v="103257"/>
    <n v="9162509"/>
    <x v="25"/>
    <x v="50"/>
    <s v="GORENG"/>
    <n v="3200"/>
    <n v="97"/>
    <n v="310400"/>
    <n v="160"/>
  </r>
  <r>
    <x v="7"/>
    <s v="JUL"/>
    <x v="27"/>
    <s v="GRSM 4"/>
    <x v="0"/>
    <s v="GMM"/>
    <n v="189901"/>
    <n v="1602016"/>
    <x v="16"/>
    <x v="32"/>
    <s v="BOLOGNESE"/>
    <n v="3400"/>
    <n v="200"/>
    <n v="680000"/>
    <m/>
  </r>
  <r>
    <x v="7"/>
    <s v="JUL"/>
    <x v="27"/>
    <s v="GRSM 4"/>
    <x v="0"/>
    <s v="GMM"/>
    <n v="189901"/>
    <n v="1602016"/>
    <x v="16"/>
    <x v="32"/>
    <s v="CARBONARA"/>
    <n v="3400"/>
    <n v="210"/>
    <n v="714000"/>
    <m/>
  </r>
  <r>
    <x v="7"/>
    <s v="JUL"/>
    <x v="27"/>
    <s v="GRSM 4"/>
    <x v="0"/>
    <s v="GMM"/>
    <n v="189901"/>
    <n v="1602016"/>
    <x v="16"/>
    <x v="32"/>
    <s v="AGLIO OLIO"/>
    <n v="3400"/>
    <n v="180"/>
    <n v="612000"/>
    <m/>
  </r>
  <r>
    <x v="7"/>
    <s v="JUL"/>
    <x v="27"/>
    <s v="GRSM 4"/>
    <x v="0"/>
    <s v="GMM"/>
    <n v="189901"/>
    <n v="1602016"/>
    <x v="16"/>
    <x v="32"/>
    <s v="GORENG"/>
    <n v="3400"/>
    <n v="360"/>
    <n v="1224000"/>
    <n v="160"/>
  </r>
  <r>
    <x v="7"/>
    <s v="JUL"/>
    <x v="27"/>
    <s v="GRSM 4"/>
    <x v="0"/>
    <s v="GMM"/>
    <n v="189901"/>
    <n v="1602018"/>
    <x v="14"/>
    <x v="30"/>
    <s v="BOLOGNESE"/>
    <n v="3500"/>
    <n v="40"/>
    <n v="140000"/>
    <m/>
  </r>
  <r>
    <x v="7"/>
    <s v="JUL"/>
    <x v="27"/>
    <s v="GRSM 4"/>
    <x v="0"/>
    <s v="GMM"/>
    <n v="189901"/>
    <n v="1602018"/>
    <x v="14"/>
    <x v="30"/>
    <s v="CARBONARA"/>
    <n v="3500"/>
    <n v="40"/>
    <n v="140000"/>
    <m/>
  </r>
  <r>
    <x v="7"/>
    <s v="JUL"/>
    <x v="27"/>
    <s v="GRSM 4"/>
    <x v="0"/>
    <s v="GMM"/>
    <n v="189901"/>
    <n v="1602018"/>
    <x v="14"/>
    <x v="30"/>
    <s v="AGLIO OLIO"/>
    <n v="3500"/>
    <n v="35"/>
    <n v="122500"/>
    <m/>
  </r>
  <r>
    <x v="7"/>
    <s v="JUL"/>
    <x v="27"/>
    <s v="GRSM 4"/>
    <x v="0"/>
    <s v="GMM"/>
    <n v="189901"/>
    <n v="1602018"/>
    <x v="14"/>
    <x v="30"/>
    <s v="GORENG"/>
    <n v="3500"/>
    <n v="150"/>
    <n v="525000"/>
    <n v="160"/>
  </r>
  <r>
    <x v="7"/>
    <s v="JUL"/>
    <x v="25"/>
    <s v="GRSM 5"/>
    <x v="1"/>
    <s v="GMM"/>
    <n v="170220"/>
    <n v="9000015"/>
    <x v="15"/>
    <x v="29"/>
    <s v="BOLOGNESE"/>
    <n v="2200"/>
    <n v="59"/>
    <n v="129800"/>
    <m/>
  </r>
  <r>
    <x v="7"/>
    <s v="JUL"/>
    <x v="25"/>
    <s v="GRSM 5"/>
    <x v="1"/>
    <s v="GMM"/>
    <n v="170220"/>
    <n v="9000015"/>
    <x v="15"/>
    <x v="29"/>
    <s v="CARBONARA"/>
    <n v="2200"/>
    <n v="48"/>
    <n v="105600"/>
    <m/>
  </r>
  <r>
    <x v="7"/>
    <s v="JUL"/>
    <x v="25"/>
    <s v="GRSM 5"/>
    <x v="1"/>
    <s v="GMM"/>
    <n v="170220"/>
    <n v="9000015"/>
    <x v="15"/>
    <x v="29"/>
    <s v="AGLIO OLIO"/>
    <n v="2200"/>
    <n v="23"/>
    <n v="50600"/>
    <m/>
  </r>
  <r>
    <x v="7"/>
    <s v="JUL"/>
    <x v="25"/>
    <s v="GRSM 5"/>
    <x v="1"/>
    <s v="GMM"/>
    <n v="170220"/>
    <n v="9000015"/>
    <x v="15"/>
    <x v="29"/>
    <s v="GORENG"/>
    <n v="2200"/>
    <n v="487"/>
    <n v="1071400"/>
    <n v="72"/>
  </r>
  <r>
    <x v="7"/>
    <s v="JUL"/>
    <x v="25"/>
    <s v="GRSM 5"/>
    <x v="1"/>
    <s v="GMM"/>
    <n v="170220"/>
    <n v="1901019"/>
    <x v="19"/>
    <x v="37"/>
    <s v="BOLOGNESE"/>
    <n v="2200"/>
    <n v="72"/>
    <n v="158400"/>
    <m/>
  </r>
  <r>
    <x v="7"/>
    <s v="JUL"/>
    <x v="25"/>
    <s v="GRSM 5"/>
    <x v="1"/>
    <s v="GMM"/>
    <n v="170220"/>
    <n v="1901019"/>
    <x v="19"/>
    <x v="37"/>
    <s v="CARBONARA"/>
    <n v="2200"/>
    <n v="56"/>
    <n v="123200"/>
    <m/>
  </r>
  <r>
    <x v="7"/>
    <s v="JUL"/>
    <x v="25"/>
    <s v="GRSM 5"/>
    <x v="1"/>
    <s v="GMM"/>
    <n v="170220"/>
    <n v="1901019"/>
    <x v="19"/>
    <x v="37"/>
    <s v="AGLIO OLIO"/>
    <n v="2200"/>
    <n v="92"/>
    <n v="202400"/>
    <m/>
  </r>
  <r>
    <x v="7"/>
    <s v="JUL"/>
    <x v="25"/>
    <s v="GRSM 5"/>
    <x v="1"/>
    <s v="GMM"/>
    <n v="170220"/>
    <n v="1901019"/>
    <x v="19"/>
    <x v="37"/>
    <s v="GORENG"/>
    <n v="2200"/>
    <n v="176"/>
    <n v="387200"/>
    <n v="160"/>
  </r>
  <r>
    <x v="7"/>
    <s v="JUL"/>
    <x v="25"/>
    <s v="GRSM 5"/>
    <x v="1"/>
    <s v="GMM"/>
    <n v="170220"/>
    <n v="1901019"/>
    <x v="19"/>
    <x v="38"/>
    <s v="BOLOGNESE"/>
    <n v="2200"/>
    <n v="72"/>
    <n v="158400"/>
    <m/>
  </r>
  <r>
    <x v="7"/>
    <s v="JUL"/>
    <x v="25"/>
    <s v="GRSM 5"/>
    <x v="1"/>
    <s v="GMM"/>
    <n v="170220"/>
    <n v="1901019"/>
    <x v="19"/>
    <x v="38"/>
    <s v="CARBONARA"/>
    <n v="2200"/>
    <n v="56"/>
    <n v="123200"/>
    <m/>
  </r>
  <r>
    <x v="7"/>
    <s v="JUL"/>
    <x v="25"/>
    <s v="GRSM 5"/>
    <x v="1"/>
    <s v="GMM"/>
    <n v="170220"/>
    <n v="1901019"/>
    <x v="19"/>
    <x v="38"/>
    <s v="AGLIO OLIO"/>
    <n v="2200"/>
    <n v="92"/>
    <n v="202400"/>
    <m/>
  </r>
  <r>
    <x v="7"/>
    <s v="JUL"/>
    <x v="25"/>
    <s v="GRSM 5"/>
    <x v="1"/>
    <s v="GMM"/>
    <n v="170220"/>
    <n v="1901019"/>
    <x v="19"/>
    <x v="38"/>
    <s v="GORENG"/>
    <n v="2200"/>
    <n v="176"/>
    <n v="387200"/>
    <n v="160"/>
  </r>
  <r>
    <x v="7"/>
    <s v="JUL"/>
    <x v="25"/>
    <s v="GRSM 5"/>
    <x v="1"/>
    <s v="GMM"/>
    <n v="170220"/>
    <n v="9000015"/>
    <x v="18"/>
    <x v="35"/>
    <s v="BOLOGNESE"/>
    <n v="2200"/>
    <n v="120"/>
    <n v="264000"/>
    <m/>
  </r>
  <r>
    <x v="7"/>
    <s v="JUL"/>
    <x v="25"/>
    <s v="GRSM 5"/>
    <x v="1"/>
    <s v="GMM"/>
    <n v="170220"/>
    <n v="9000015"/>
    <x v="18"/>
    <x v="35"/>
    <s v="CARBONARA"/>
    <n v="2200"/>
    <n v="236"/>
    <n v="519200"/>
    <m/>
  </r>
  <r>
    <x v="7"/>
    <s v="JUL"/>
    <x v="25"/>
    <s v="GRSM 5"/>
    <x v="1"/>
    <s v="GMM"/>
    <n v="170220"/>
    <n v="9000015"/>
    <x v="18"/>
    <x v="35"/>
    <s v="AGLIO OLIO"/>
    <n v="2200"/>
    <n v="47"/>
    <n v="103400"/>
    <m/>
  </r>
  <r>
    <x v="7"/>
    <s v="JUL"/>
    <x v="25"/>
    <s v="GRSM 5"/>
    <x v="1"/>
    <s v="GMM"/>
    <n v="170220"/>
    <n v="9000015"/>
    <x v="18"/>
    <x v="35"/>
    <s v="GORENG"/>
    <n v="2200"/>
    <n v="361"/>
    <n v="794200"/>
    <n v="160"/>
  </r>
  <r>
    <x v="7"/>
    <s v="JUL"/>
    <x v="25"/>
    <s v="GRSM 5"/>
    <x v="1"/>
    <s v="GMM"/>
    <n v="170220"/>
    <n v="9000015"/>
    <x v="18"/>
    <x v="36"/>
    <s v="BOLOGNESE"/>
    <n v="2200"/>
    <n v="120"/>
    <n v="264000"/>
    <m/>
  </r>
  <r>
    <x v="7"/>
    <s v="JUL"/>
    <x v="25"/>
    <s v="GRSM 5"/>
    <x v="1"/>
    <s v="GMM"/>
    <n v="170220"/>
    <n v="9000015"/>
    <x v="18"/>
    <x v="36"/>
    <s v="CARBONARA"/>
    <n v="2200"/>
    <n v="236"/>
    <n v="519200"/>
    <m/>
  </r>
  <r>
    <x v="7"/>
    <s v="JUL"/>
    <x v="25"/>
    <s v="GRSM 5"/>
    <x v="1"/>
    <s v="GMM"/>
    <n v="170220"/>
    <n v="9000015"/>
    <x v="18"/>
    <x v="36"/>
    <s v="AGLIO OLIO"/>
    <n v="2200"/>
    <n v="47"/>
    <n v="103400"/>
    <m/>
  </r>
  <r>
    <x v="7"/>
    <s v="JUL"/>
    <x v="25"/>
    <s v="GRSM 5"/>
    <x v="1"/>
    <s v="GMM"/>
    <n v="170220"/>
    <n v="9000015"/>
    <x v="18"/>
    <x v="36"/>
    <s v="GORENG"/>
    <n v="2200"/>
    <n v="361"/>
    <n v="794200"/>
    <n v="160"/>
  </r>
  <r>
    <x v="7"/>
    <s v="JUL"/>
    <x v="25"/>
    <s v="GRSM 5"/>
    <x v="1"/>
    <s v="GMM"/>
    <n v="170220"/>
    <n v="1901004"/>
    <x v="17"/>
    <x v="34"/>
    <s v="BOLOGNESE"/>
    <n v="2200"/>
    <n v="40"/>
    <n v="88000"/>
    <m/>
  </r>
  <r>
    <x v="7"/>
    <s v="JUL"/>
    <x v="25"/>
    <s v="GRSM 5"/>
    <x v="1"/>
    <s v="GMM"/>
    <n v="170220"/>
    <n v="1901004"/>
    <x v="17"/>
    <x v="34"/>
    <s v="CARBONARA"/>
    <n v="2200"/>
    <n v="160"/>
    <n v="352000"/>
    <m/>
  </r>
  <r>
    <x v="7"/>
    <s v="JUL"/>
    <x v="25"/>
    <s v="GRSM 5"/>
    <x v="1"/>
    <s v="GMM"/>
    <n v="170220"/>
    <n v="1901004"/>
    <x v="17"/>
    <x v="34"/>
    <s v="AGLIO OLIO"/>
    <n v="2200"/>
    <n v="80"/>
    <n v="176000"/>
    <m/>
  </r>
  <r>
    <x v="7"/>
    <s v="JUL"/>
    <x v="25"/>
    <s v="GRSM 5"/>
    <x v="1"/>
    <s v="GMM"/>
    <n v="170220"/>
    <n v="1901004"/>
    <x v="17"/>
    <x v="34"/>
    <s v="GORENG"/>
    <n v="2200"/>
    <n v="200"/>
    <n v="440000"/>
    <n v="160"/>
  </r>
  <r>
    <x v="7"/>
    <s v="JUL"/>
    <x v="25"/>
    <s v="GRSM 5"/>
    <x v="1"/>
    <s v="GMM"/>
    <n v="170220"/>
    <n v="1901004"/>
    <x v="17"/>
    <x v="51"/>
    <s v="BOLOGNESE"/>
    <n v="2200"/>
    <n v="40"/>
    <n v="88000"/>
    <m/>
  </r>
  <r>
    <x v="7"/>
    <s v="JUL"/>
    <x v="25"/>
    <s v="GRSM 5"/>
    <x v="1"/>
    <s v="GMM"/>
    <n v="170220"/>
    <n v="1901004"/>
    <x v="17"/>
    <x v="51"/>
    <s v="CARBONARA"/>
    <n v="2200"/>
    <n v="160"/>
    <n v="352000"/>
    <m/>
  </r>
  <r>
    <x v="7"/>
    <s v="JUL"/>
    <x v="25"/>
    <s v="GRSM 5"/>
    <x v="1"/>
    <s v="GMM"/>
    <n v="170220"/>
    <n v="1901004"/>
    <x v="17"/>
    <x v="51"/>
    <s v="AGLIO OLIO"/>
    <n v="2200"/>
    <n v="80"/>
    <n v="176000"/>
    <m/>
  </r>
  <r>
    <x v="7"/>
    <s v="JUL"/>
    <x v="25"/>
    <s v="GRSM 5"/>
    <x v="1"/>
    <s v="GMM"/>
    <n v="170220"/>
    <n v="1901004"/>
    <x v="17"/>
    <x v="51"/>
    <s v="GORENG"/>
    <n v="2200"/>
    <n v="200"/>
    <n v="440000"/>
    <n v="160"/>
  </r>
  <r>
    <x v="7"/>
    <s v="JUL"/>
    <x v="26"/>
    <s v="GRSM 5"/>
    <x v="1"/>
    <s v="GMM"/>
    <n v="170220"/>
    <n v="9000015"/>
    <x v="15"/>
    <x v="29"/>
    <s v="BOLOGNESE"/>
    <n v="2200"/>
    <n v="53"/>
    <n v="116600"/>
    <m/>
  </r>
  <r>
    <x v="7"/>
    <s v="JUL"/>
    <x v="26"/>
    <s v="GRSM 5"/>
    <x v="1"/>
    <s v="GMM"/>
    <n v="170220"/>
    <n v="9000015"/>
    <x v="15"/>
    <x v="29"/>
    <s v="CARBONARA"/>
    <n v="2200"/>
    <n v="90"/>
    <n v="198000"/>
    <m/>
  </r>
  <r>
    <x v="7"/>
    <s v="JUL"/>
    <x v="26"/>
    <s v="GRSM 5"/>
    <x v="1"/>
    <s v="GMM"/>
    <n v="170220"/>
    <n v="9000015"/>
    <x v="15"/>
    <x v="29"/>
    <s v="AGLIO OLIO"/>
    <n v="2200"/>
    <n v="31"/>
    <n v="68200"/>
    <m/>
  </r>
  <r>
    <x v="7"/>
    <s v="JUL"/>
    <x v="26"/>
    <s v="GRSM 5"/>
    <x v="1"/>
    <s v="GMM"/>
    <n v="170220"/>
    <n v="9000015"/>
    <x v="15"/>
    <x v="29"/>
    <s v="GORENG"/>
    <n v="2200"/>
    <n v="195"/>
    <n v="429000"/>
    <n v="120"/>
  </r>
  <r>
    <x v="7"/>
    <s v="JUL"/>
    <x v="26"/>
    <s v="GRSM 5"/>
    <x v="1"/>
    <s v="GMM"/>
    <n v="170220"/>
    <n v="9000015"/>
    <x v="15"/>
    <x v="28"/>
    <s v="BOLOGNESE"/>
    <n v="2200"/>
    <n v="53"/>
    <n v="116600"/>
    <m/>
  </r>
  <r>
    <x v="7"/>
    <s v="JUL"/>
    <x v="26"/>
    <s v="GRSM 5"/>
    <x v="1"/>
    <s v="GMM"/>
    <n v="170220"/>
    <n v="9000015"/>
    <x v="15"/>
    <x v="28"/>
    <s v="CARBONARA"/>
    <n v="2200"/>
    <n v="90"/>
    <n v="198000"/>
    <m/>
  </r>
  <r>
    <x v="7"/>
    <s v="JUL"/>
    <x v="26"/>
    <s v="GRSM 5"/>
    <x v="1"/>
    <s v="GMM"/>
    <n v="170220"/>
    <n v="9000015"/>
    <x v="15"/>
    <x v="28"/>
    <s v="AGLIO OLIO"/>
    <n v="2200"/>
    <n v="31"/>
    <n v="68200"/>
    <m/>
  </r>
  <r>
    <x v="7"/>
    <s v="JUL"/>
    <x v="26"/>
    <s v="GRSM 5"/>
    <x v="1"/>
    <s v="GMM"/>
    <n v="170220"/>
    <n v="9000015"/>
    <x v="15"/>
    <x v="28"/>
    <s v="GORENG"/>
    <n v="2200"/>
    <n v="195"/>
    <n v="429000"/>
    <n v="120"/>
  </r>
  <r>
    <x v="7"/>
    <s v="JUL"/>
    <x v="26"/>
    <s v="GRSM 5"/>
    <x v="1"/>
    <s v="GMM"/>
    <n v="170220"/>
    <n v="9000015"/>
    <x v="18"/>
    <x v="35"/>
    <s v="BOLOGNESE"/>
    <n v="2200"/>
    <n v="119"/>
    <n v="261800"/>
    <m/>
  </r>
  <r>
    <x v="7"/>
    <s v="JUL"/>
    <x v="26"/>
    <s v="GRSM 5"/>
    <x v="1"/>
    <s v="GMM"/>
    <n v="170220"/>
    <n v="9000015"/>
    <x v="18"/>
    <x v="35"/>
    <s v="CARBONARA"/>
    <n v="2200"/>
    <n v="281"/>
    <n v="618200"/>
    <m/>
  </r>
  <r>
    <x v="7"/>
    <s v="JUL"/>
    <x v="26"/>
    <s v="GRSM 5"/>
    <x v="1"/>
    <s v="GMM"/>
    <n v="170220"/>
    <n v="9000015"/>
    <x v="18"/>
    <x v="35"/>
    <s v="AGLIO OLIO"/>
    <n v="2200"/>
    <n v="82"/>
    <n v="180400"/>
    <m/>
  </r>
  <r>
    <x v="7"/>
    <s v="JUL"/>
    <x v="26"/>
    <s v="GRSM 5"/>
    <x v="1"/>
    <s v="GMM"/>
    <n v="170220"/>
    <n v="9000015"/>
    <x v="18"/>
    <x v="35"/>
    <s v="GORENG"/>
    <n v="2200"/>
    <n v="320"/>
    <n v="704000"/>
    <n v="160"/>
  </r>
  <r>
    <x v="7"/>
    <s v="JUL"/>
    <x v="26"/>
    <s v="GRSM 5"/>
    <x v="1"/>
    <s v="GMM"/>
    <n v="170220"/>
    <n v="9000015"/>
    <x v="18"/>
    <x v="36"/>
    <s v="BOLOGNESE"/>
    <n v="2200"/>
    <n v="119"/>
    <n v="261800"/>
    <m/>
  </r>
  <r>
    <x v="7"/>
    <s v="JUL"/>
    <x v="26"/>
    <s v="GRSM 5"/>
    <x v="1"/>
    <s v="GMM"/>
    <n v="170220"/>
    <n v="9000015"/>
    <x v="18"/>
    <x v="36"/>
    <s v="CARBONARA"/>
    <n v="2200"/>
    <n v="281"/>
    <n v="618200"/>
    <m/>
  </r>
  <r>
    <x v="7"/>
    <s v="JUL"/>
    <x v="26"/>
    <s v="GRSM 5"/>
    <x v="1"/>
    <s v="GMM"/>
    <n v="170220"/>
    <n v="9000015"/>
    <x v="18"/>
    <x v="36"/>
    <s v="AGLIO OLIO"/>
    <n v="2200"/>
    <n v="82"/>
    <n v="180400"/>
    <m/>
  </r>
  <r>
    <x v="7"/>
    <s v="JUL"/>
    <x v="26"/>
    <s v="GRSM 5"/>
    <x v="1"/>
    <s v="GMM"/>
    <n v="170220"/>
    <n v="9000015"/>
    <x v="18"/>
    <x v="36"/>
    <s v="GORENG"/>
    <n v="2200"/>
    <n v="320"/>
    <n v="704000"/>
    <n v="160"/>
  </r>
  <r>
    <x v="7"/>
    <s v="JUL"/>
    <x v="26"/>
    <s v="GRSM 5"/>
    <x v="1"/>
    <s v="GMM"/>
    <n v="170220"/>
    <n v="1901004"/>
    <x v="17"/>
    <x v="34"/>
    <s v="BOLOGNESE"/>
    <n v="2200"/>
    <n v="120"/>
    <n v="264000"/>
    <m/>
  </r>
  <r>
    <x v="7"/>
    <s v="JUL"/>
    <x v="26"/>
    <s v="GRSM 5"/>
    <x v="1"/>
    <s v="GMM"/>
    <n v="170220"/>
    <n v="1901004"/>
    <x v="17"/>
    <x v="34"/>
    <s v="CARBONARA"/>
    <n v="2200"/>
    <n v="200"/>
    <n v="440000"/>
    <m/>
  </r>
  <r>
    <x v="7"/>
    <s v="JUL"/>
    <x v="26"/>
    <s v="GRSM 5"/>
    <x v="1"/>
    <s v="GMM"/>
    <n v="170220"/>
    <n v="1901004"/>
    <x v="17"/>
    <x v="34"/>
    <s v="AGLIO OLIO"/>
    <n v="2200"/>
    <n v="80"/>
    <n v="176000"/>
    <m/>
  </r>
  <r>
    <x v="7"/>
    <s v="JUL"/>
    <x v="26"/>
    <s v="GRSM 5"/>
    <x v="1"/>
    <s v="GMM"/>
    <n v="170220"/>
    <n v="1901004"/>
    <x v="17"/>
    <x v="34"/>
    <s v="GORENG"/>
    <n v="2200"/>
    <n v="280"/>
    <n v="616000"/>
    <n v="160"/>
  </r>
  <r>
    <x v="7"/>
    <s v="JUL"/>
    <x v="26"/>
    <s v="GRSM 5"/>
    <x v="1"/>
    <s v="GMM"/>
    <n v="170220"/>
    <n v="1901004"/>
    <x v="17"/>
    <x v="33"/>
    <s v="BOLOGNESE"/>
    <n v="2200"/>
    <n v="120"/>
    <n v="264000"/>
    <m/>
  </r>
  <r>
    <x v="7"/>
    <s v="JUL"/>
    <x v="26"/>
    <s v="GRSM 5"/>
    <x v="1"/>
    <s v="GMM"/>
    <n v="170220"/>
    <n v="1901004"/>
    <x v="17"/>
    <x v="33"/>
    <s v="CARBONARA"/>
    <n v="2200"/>
    <n v="200"/>
    <n v="440000"/>
    <m/>
  </r>
  <r>
    <x v="7"/>
    <s v="JUL"/>
    <x v="26"/>
    <s v="GRSM 5"/>
    <x v="1"/>
    <s v="GMM"/>
    <n v="170220"/>
    <n v="1901004"/>
    <x v="17"/>
    <x v="33"/>
    <s v="AGLIO OLIO"/>
    <n v="2200"/>
    <n v="80"/>
    <n v="176000"/>
    <m/>
  </r>
  <r>
    <x v="7"/>
    <s v="JUL"/>
    <x v="26"/>
    <s v="GRSM 5"/>
    <x v="1"/>
    <s v="GMM"/>
    <n v="170220"/>
    <n v="1901004"/>
    <x v="17"/>
    <x v="33"/>
    <s v="GORENG"/>
    <n v="2200"/>
    <n v="280"/>
    <n v="616000"/>
    <n v="160"/>
  </r>
  <r>
    <x v="7"/>
    <s v="JUL"/>
    <x v="26"/>
    <s v="GRSM 5"/>
    <x v="1"/>
    <s v="GMM"/>
    <n v="170220"/>
    <n v="1901019"/>
    <x v="19"/>
    <x v="37"/>
    <s v="BOLOGNESE"/>
    <n v="2200"/>
    <n v="126"/>
    <n v="277200"/>
    <m/>
  </r>
  <r>
    <x v="7"/>
    <s v="JUL"/>
    <x v="26"/>
    <s v="GRSM 5"/>
    <x v="1"/>
    <s v="GMM"/>
    <n v="170220"/>
    <n v="1901019"/>
    <x v="19"/>
    <x v="37"/>
    <s v="CARBONARA"/>
    <n v="2200"/>
    <n v="97"/>
    <n v="213400"/>
    <m/>
  </r>
  <r>
    <x v="7"/>
    <s v="JUL"/>
    <x v="26"/>
    <s v="GRSM 5"/>
    <x v="1"/>
    <s v="GMM"/>
    <n v="170220"/>
    <n v="1901019"/>
    <x v="19"/>
    <x v="37"/>
    <s v="AGLIO OLIO"/>
    <n v="2200"/>
    <n v="195"/>
    <n v="429000"/>
    <m/>
  </r>
  <r>
    <x v="7"/>
    <s v="JUL"/>
    <x v="26"/>
    <s v="GRSM 5"/>
    <x v="1"/>
    <s v="GMM"/>
    <n v="170220"/>
    <n v="1901019"/>
    <x v="19"/>
    <x v="37"/>
    <s v="GORENG"/>
    <n v="2200"/>
    <n v="310"/>
    <n v="682000"/>
    <n v="160"/>
  </r>
  <r>
    <x v="7"/>
    <s v="JUL"/>
    <x v="26"/>
    <s v="GRSM 5"/>
    <x v="1"/>
    <s v="GMM"/>
    <n v="170220"/>
    <n v="1901019"/>
    <x v="19"/>
    <x v="38"/>
    <s v="BOLOGNESE"/>
    <n v="2200"/>
    <n v="126"/>
    <n v="277200"/>
    <m/>
  </r>
  <r>
    <x v="7"/>
    <s v="JUL"/>
    <x v="26"/>
    <s v="GRSM 5"/>
    <x v="1"/>
    <s v="GMM"/>
    <n v="170220"/>
    <n v="1901019"/>
    <x v="19"/>
    <x v="38"/>
    <s v="CARBONARA"/>
    <n v="2200"/>
    <n v="97"/>
    <n v="213400"/>
    <m/>
  </r>
  <r>
    <x v="7"/>
    <s v="JUL"/>
    <x v="26"/>
    <s v="GRSM 5"/>
    <x v="1"/>
    <s v="GMM"/>
    <n v="170220"/>
    <n v="1901019"/>
    <x v="19"/>
    <x v="38"/>
    <s v="AGLIO OLIO"/>
    <n v="2200"/>
    <n v="195"/>
    <n v="429000"/>
    <m/>
  </r>
  <r>
    <x v="7"/>
    <s v="JUL"/>
    <x v="26"/>
    <s v="GRSM 5"/>
    <x v="1"/>
    <s v="GMM"/>
    <n v="170220"/>
    <n v="1901019"/>
    <x v="19"/>
    <x v="38"/>
    <s v="GORENG"/>
    <n v="2200"/>
    <n v="310"/>
    <n v="682000"/>
    <n v="160"/>
  </r>
  <r>
    <x v="7"/>
    <s v="JUL"/>
    <x v="27"/>
    <s v="GRSM 5"/>
    <x v="1"/>
    <s v="GMM"/>
    <n v="170220"/>
    <n v="1901004"/>
    <x v="17"/>
    <x v="34"/>
    <s v="BOLOGNESE"/>
    <n v="2200"/>
    <n v="80"/>
    <n v="176000"/>
    <m/>
  </r>
  <r>
    <x v="7"/>
    <s v="JUL"/>
    <x v="27"/>
    <s v="GRSM 5"/>
    <x v="1"/>
    <s v="GMM"/>
    <n v="170220"/>
    <n v="1901004"/>
    <x v="17"/>
    <x v="34"/>
    <s v="CARBONARA"/>
    <n v="2200"/>
    <n v="203"/>
    <n v="446600"/>
    <m/>
  </r>
  <r>
    <x v="7"/>
    <s v="JUL"/>
    <x v="27"/>
    <s v="GRSM 5"/>
    <x v="1"/>
    <s v="GMM"/>
    <n v="170220"/>
    <n v="1901004"/>
    <x v="17"/>
    <x v="34"/>
    <s v="AGLIO OLIO"/>
    <n v="2200"/>
    <n v="160"/>
    <n v="352000"/>
    <m/>
  </r>
  <r>
    <x v="7"/>
    <s v="JUL"/>
    <x v="27"/>
    <s v="GRSM 5"/>
    <x v="1"/>
    <s v="GMM"/>
    <n v="170220"/>
    <n v="1901004"/>
    <x v="17"/>
    <x v="34"/>
    <s v="GORENG"/>
    <n v="2200"/>
    <n v="287"/>
    <n v="631400"/>
    <n v="160"/>
  </r>
  <r>
    <x v="7"/>
    <s v="JUL"/>
    <x v="27"/>
    <s v="GRSM 5"/>
    <x v="1"/>
    <s v="GMM"/>
    <n v="170220"/>
    <n v="1901004"/>
    <x v="17"/>
    <x v="33"/>
    <s v="BOLOGNESE"/>
    <n v="2200"/>
    <n v="80"/>
    <n v="176000"/>
    <m/>
  </r>
  <r>
    <x v="7"/>
    <s v="JUL"/>
    <x v="27"/>
    <s v="GRSM 5"/>
    <x v="1"/>
    <s v="GMM"/>
    <n v="170220"/>
    <n v="1901004"/>
    <x v="17"/>
    <x v="33"/>
    <s v="CARBONARA"/>
    <n v="2200"/>
    <n v="203"/>
    <n v="446600"/>
    <m/>
  </r>
  <r>
    <x v="7"/>
    <s v="JUL"/>
    <x v="27"/>
    <s v="GRSM 5"/>
    <x v="1"/>
    <s v="GMM"/>
    <n v="170220"/>
    <n v="1901004"/>
    <x v="17"/>
    <x v="33"/>
    <s v="AGLIO OLIO"/>
    <n v="2200"/>
    <n v="160"/>
    <n v="352000"/>
    <m/>
  </r>
  <r>
    <x v="7"/>
    <s v="JUL"/>
    <x v="27"/>
    <s v="GRSM 5"/>
    <x v="1"/>
    <s v="GMM"/>
    <n v="170220"/>
    <n v="1901004"/>
    <x v="17"/>
    <x v="33"/>
    <s v="GORENG"/>
    <n v="2200"/>
    <n v="287"/>
    <n v="631400"/>
    <n v="160"/>
  </r>
  <r>
    <x v="7"/>
    <s v="JUL"/>
    <x v="27"/>
    <s v="GRSM 5"/>
    <x v="1"/>
    <s v="GMM"/>
    <n v="170220"/>
    <n v="9000015"/>
    <x v="15"/>
    <x v="29"/>
    <s v="BOLOGNESE"/>
    <n v="2200"/>
    <n v="112"/>
    <n v="246400"/>
    <m/>
  </r>
  <r>
    <x v="7"/>
    <s v="JUL"/>
    <x v="27"/>
    <s v="GRSM 5"/>
    <x v="1"/>
    <s v="GMM"/>
    <n v="170220"/>
    <n v="9000015"/>
    <x v="15"/>
    <x v="29"/>
    <s v="CARBONARA"/>
    <n v="2200"/>
    <n v="140"/>
    <n v="308000"/>
    <m/>
  </r>
  <r>
    <x v="7"/>
    <s v="JUL"/>
    <x v="27"/>
    <s v="GRSM 5"/>
    <x v="1"/>
    <s v="GMM"/>
    <n v="170220"/>
    <n v="9000015"/>
    <x v="15"/>
    <x v="29"/>
    <s v="AGLIO OLIO"/>
    <n v="2200"/>
    <n v="78"/>
    <n v="171600"/>
    <m/>
  </r>
  <r>
    <x v="7"/>
    <s v="JUL"/>
    <x v="27"/>
    <s v="GRSM 5"/>
    <x v="1"/>
    <s v="GMM"/>
    <n v="170220"/>
    <n v="9000015"/>
    <x v="15"/>
    <x v="29"/>
    <s v="GORENG"/>
    <n v="2200"/>
    <n v="374"/>
    <n v="822800"/>
    <n v="120"/>
  </r>
  <r>
    <x v="7"/>
    <s v="JUL"/>
    <x v="27"/>
    <s v="GRSM 5"/>
    <x v="1"/>
    <s v="GMM"/>
    <n v="170220"/>
    <n v="9000015"/>
    <x v="15"/>
    <x v="28"/>
    <s v="BOLOGNESE"/>
    <n v="2200"/>
    <n v="112"/>
    <n v="246400"/>
    <m/>
  </r>
  <r>
    <x v="7"/>
    <s v="JUL"/>
    <x v="27"/>
    <s v="GRSM 5"/>
    <x v="1"/>
    <s v="GMM"/>
    <n v="170220"/>
    <n v="9000015"/>
    <x v="15"/>
    <x v="28"/>
    <s v="CARBONARA"/>
    <n v="2200"/>
    <n v="140"/>
    <n v="308000"/>
    <m/>
  </r>
  <r>
    <x v="7"/>
    <s v="JUL"/>
    <x v="27"/>
    <s v="GRSM 5"/>
    <x v="1"/>
    <s v="GMM"/>
    <n v="170220"/>
    <n v="9000015"/>
    <x v="15"/>
    <x v="28"/>
    <s v="AGLIO OLIO"/>
    <n v="2200"/>
    <n v="78"/>
    <n v="171600"/>
    <m/>
  </r>
  <r>
    <x v="7"/>
    <s v="JUL"/>
    <x v="27"/>
    <s v="GRSM 5"/>
    <x v="1"/>
    <s v="GMM"/>
    <n v="170220"/>
    <n v="9000015"/>
    <x v="15"/>
    <x v="28"/>
    <s v="GORENG"/>
    <n v="2200"/>
    <n v="374"/>
    <n v="822800"/>
    <n v="120"/>
  </r>
  <r>
    <x v="7"/>
    <s v="JUL"/>
    <x v="27"/>
    <s v="GRSM 5"/>
    <x v="1"/>
    <s v="GMM"/>
    <n v="170220"/>
    <n v="1901019"/>
    <x v="19"/>
    <x v="37"/>
    <s v="BOLOGNESE"/>
    <n v="2200"/>
    <n v="126"/>
    <n v="277200"/>
    <m/>
  </r>
  <r>
    <x v="7"/>
    <s v="JUL"/>
    <x v="27"/>
    <s v="GRSM 5"/>
    <x v="1"/>
    <s v="GMM"/>
    <n v="170220"/>
    <n v="1901019"/>
    <x v="19"/>
    <x v="37"/>
    <s v="CARBONARA"/>
    <n v="2200"/>
    <n v="111"/>
    <n v="244200"/>
    <m/>
  </r>
  <r>
    <x v="7"/>
    <s v="JUL"/>
    <x v="27"/>
    <s v="GRSM 5"/>
    <x v="1"/>
    <s v="GMM"/>
    <n v="170220"/>
    <n v="1901019"/>
    <x v="19"/>
    <x v="37"/>
    <s v="AGLIO OLIO"/>
    <n v="2200"/>
    <n v="151"/>
    <n v="332200"/>
    <m/>
  </r>
  <r>
    <x v="7"/>
    <s v="JUL"/>
    <x v="27"/>
    <s v="GRSM 5"/>
    <x v="1"/>
    <s v="GMM"/>
    <n v="170220"/>
    <n v="1901019"/>
    <x v="19"/>
    <x v="37"/>
    <s v="GORENG"/>
    <n v="2200"/>
    <n v="324"/>
    <n v="712800"/>
    <n v="160"/>
  </r>
  <r>
    <x v="7"/>
    <s v="JUL"/>
    <x v="27"/>
    <s v="GRSM 5"/>
    <x v="1"/>
    <s v="GMM"/>
    <n v="170220"/>
    <n v="1901019"/>
    <x v="19"/>
    <x v="38"/>
    <s v="BOLOGNESE"/>
    <n v="2200"/>
    <n v="126"/>
    <n v="277200"/>
    <m/>
  </r>
  <r>
    <x v="7"/>
    <s v="JUL"/>
    <x v="27"/>
    <s v="GRSM 5"/>
    <x v="1"/>
    <s v="GMM"/>
    <n v="170220"/>
    <n v="1901019"/>
    <x v="19"/>
    <x v="38"/>
    <s v="CARBONARA"/>
    <n v="2200"/>
    <n v="111"/>
    <n v="244200"/>
    <m/>
  </r>
  <r>
    <x v="7"/>
    <s v="JUL"/>
    <x v="27"/>
    <s v="GRSM 5"/>
    <x v="1"/>
    <s v="GMM"/>
    <n v="170220"/>
    <n v="1901019"/>
    <x v="19"/>
    <x v="38"/>
    <s v="AGLIO OLIO"/>
    <n v="2200"/>
    <n v="151"/>
    <n v="332200"/>
    <m/>
  </r>
  <r>
    <x v="7"/>
    <s v="JUL"/>
    <x v="27"/>
    <s v="GRSM 5"/>
    <x v="1"/>
    <s v="GMM"/>
    <n v="170220"/>
    <n v="1901019"/>
    <x v="19"/>
    <x v="38"/>
    <s v="GORENG"/>
    <n v="2200"/>
    <n v="324"/>
    <n v="712800"/>
    <n v="160"/>
  </r>
  <r>
    <x v="7"/>
    <s v="JUL"/>
    <x v="27"/>
    <s v="GRSM 5"/>
    <x v="1"/>
    <s v="GMM"/>
    <n v="170220"/>
    <n v="9000015"/>
    <x v="18"/>
    <x v="35"/>
    <s v="BOLOGNESE"/>
    <n v="2200"/>
    <n v="240"/>
    <n v="528000"/>
    <m/>
  </r>
  <r>
    <x v="7"/>
    <s v="JUL"/>
    <x v="27"/>
    <s v="GRSM 5"/>
    <x v="1"/>
    <s v="GMM"/>
    <n v="170220"/>
    <n v="9000015"/>
    <x v="18"/>
    <x v="35"/>
    <s v="CARBONARA"/>
    <n v="2200"/>
    <n v="128"/>
    <n v="281600"/>
    <m/>
  </r>
  <r>
    <x v="7"/>
    <s v="JUL"/>
    <x v="27"/>
    <s v="GRSM 5"/>
    <x v="1"/>
    <s v="GMM"/>
    <n v="170220"/>
    <n v="9000015"/>
    <x v="18"/>
    <x v="35"/>
    <s v="AGLIO OLIO"/>
    <n v="2200"/>
    <n v="88"/>
    <n v="193600"/>
    <m/>
  </r>
  <r>
    <x v="7"/>
    <s v="JUL"/>
    <x v="27"/>
    <s v="GRSM 5"/>
    <x v="1"/>
    <s v="GMM"/>
    <n v="170220"/>
    <n v="9000015"/>
    <x v="18"/>
    <x v="35"/>
    <s v="GORENG"/>
    <n v="2200"/>
    <n v="423"/>
    <n v="930600"/>
    <n v="160"/>
  </r>
  <r>
    <x v="7"/>
    <s v="JUL"/>
    <x v="27"/>
    <s v="GRSM 5"/>
    <x v="1"/>
    <s v="GMM"/>
    <n v="170220"/>
    <n v="9000015"/>
    <x v="18"/>
    <x v="36"/>
    <s v="BOLOGNESE"/>
    <n v="2200"/>
    <n v="240"/>
    <n v="528000"/>
    <m/>
  </r>
  <r>
    <x v="7"/>
    <s v="JUL"/>
    <x v="27"/>
    <s v="GRSM 5"/>
    <x v="1"/>
    <s v="GMM"/>
    <n v="170220"/>
    <n v="9000015"/>
    <x v="18"/>
    <x v="36"/>
    <s v="CARBONARA"/>
    <n v="2200"/>
    <n v="128"/>
    <n v="281600"/>
    <m/>
  </r>
  <r>
    <x v="7"/>
    <s v="JUL"/>
    <x v="27"/>
    <s v="GRSM 5"/>
    <x v="1"/>
    <s v="GMM"/>
    <n v="170220"/>
    <n v="9000015"/>
    <x v="18"/>
    <x v="36"/>
    <s v="AGLIO OLIO"/>
    <n v="2200"/>
    <n v="88"/>
    <n v="193600"/>
    <m/>
  </r>
  <r>
    <x v="7"/>
    <s v="JUL"/>
    <x v="27"/>
    <s v="GRSM 5"/>
    <x v="1"/>
    <s v="GMM"/>
    <n v="170220"/>
    <n v="9000015"/>
    <x v="18"/>
    <x v="36"/>
    <s v="GORENG"/>
    <n v="2200"/>
    <n v="423"/>
    <n v="930600"/>
    <n v="160"/>
  </r>
  <r>
    <x v="7"/>
    <s v="JUL"/>
    <x v="25"/>
    <s v="GRSM 5"/>
    <x v="1"/>
    <s v="GMM"/>
    <n v="170220"/>
    <n v="9000015"/>
    <x v="15"/>
    <x v="28"/>
    <s v="BOLOGNESE"/>
    <n v="2200"/>
    <n v="59"/>
    <n v="129800"/>
    <m/>
  </r>
  <r>
    <x v="7"/>
    <s v="JUL"/>
    <x v="25"/>
    <s v="GRSM 5"/>
    <x v="1"/>
    <s v="GMM"/>
    <n v="170220"/>
    <n v="9000015"/>
    <x v="15"/>
    <x v="28"/>
    <s v="CARBONARA"/>
    <n v="2200"/>
    <n v="48"/>
    <n v="105600"/>
    <m/>
  </r>
  <r>
    <x v="7"/>
    <s v="JUL"/>
    <x v="25"/>
    <s v="GRSM 5"/>
    <x v="1"/>
    <s v="GMM"/>
    <n v="170220"/>
    <n v="9000015"/>
    <x v="15"/>
    <x v="28"/>
    <s v="AGLIO OLIO"/>
    <n v="2200"/>
    <n v="23"/>
    <n v="50600"/>
    <m/>
  </r>
  <r>
    <x v="7"/>
    <s v="JUL"/>
    <x v="25"/>
    <s v="GRSM 5"/>
    <x v="1"/>
    <s v="GMM"/>
    <n v="170220"/>
    <n v="9000015"/>
    <x v="15"/>
    <x v="28"/>
    <s v="GORENG"/>
    <n v="2200"/>
    <n v="487"/>
    <n v="1071400"/>
    <n v="72"/>
  </r>
  <r>
    <x v="7"/>
    <s v="JUL"/>
    <x v="25"/>
    <s v="GRSM 6"/>
    <x v="2"/>
    <s v="GMM"/>
    <n v="103765"/>
    <n v="4307038"/>
    <x v="20"/>
    <x v="40"/>
    <s v="BOLOGNESE"/>
    <n v="3000"/>
    <n v="102"/>
    <n v="306000"/>
    <m/>
  </r>
  <r>
    <x v="7"/>
    <s v="JUL"/>
    <x v="25"/>
    <s v="GRSM 6"/>
    <x v="2"/>
    <s v="GMM"/>
    <n v="103765"/>
    <n v="4307038"/>
    <x v="20"/>
    <x v="40"/>
    <s v="CARBONARA"/>
    <n v="3000"/>
    <n v="140"/>
    <n v="420000"/>
    <m/>
  </r>
  <r>
    <x v="7"/>
    <s v="JUL"/>
    <x v="25"/>
    <s v="GRSM 6"/>
    <x v="2"/>
    <s v="GMM"/>
    <n v="103765"/>
    <n v="4307038"/>
    <x v="20"/>
    <x v="40"/>
    <s v="AGLIO OLIO"/>
    <n v="3000"/>
    <n v="60"/>
    <n v="180000"/>
    <m/>
  </r>
  <r>
    <x v="7"/>
    <s v="JUL"/>
    <x v="25"/>
    <s v="GRSM 6"/>
    <x v="2"/>
    <s v="GMM"/>
    <n v="103765"/>
    <n v="4307038"/>
    <x v="20"/>
    <x v="40"/>
    <s v="GORENG"/>
    <n v="3000"/>
    <n v="200"/>
    <n v="600000"/>
    <n v="180"/>
  </r>
  <r>
    <x v="7"/>
    <s v="JUL"/>
    <x v="25"/>
    <s v="GRSM 6"/>
    <x v="2"/>
    <s v="GMM"/>
    <n v="103765"/>
    <n v="4307038"/>
    <x v="20"/>
    <x v="41"/>
    <s v="BOLOGNESE"/>
    <n v="3000"/>
    <n v="102"/>
    <n v="306000"/>
    <m/>
  </r>
  <r>
    <x v="7"/>
    <s v="JUL"/>
    <x v="25"/>
    <s v="GRSM 6"/>
    <x v="2"/>
    <s v="GMM"/>
    <n v="103765"/>
    <n v="4307038"/>
    <x v="20"/>
    <x v="41"/>
    <s v="CARBONARA"/>
    <n v="3000"/>
    <n v="140"/>
    <n v="420000"/>
    <m/>
  </r>
  <r>
    <x v="7"/>
    <s v="JUL"/>
    <x v="25"/>
    <s v="GRSM 6"/>
    <x v="2"/>
    <s v="GMM"/>
    <n v="103765"/>
    <n v="4307038"/>
    <x v="20"/>
    <x v="41"/>
    <s v="AGLIO OLIO"/>
    <n v="3000"/>
    <n v="60"/>
    <n v="180000"/>
    <m/>
  </r>
  <r>
    <x v="7"/>
    <s v="JUL"/>
    <x v="25"/>
    <s v="GRSM 6"/>
    <x v="2"/>
    <s v="GMM"/>
    <n v="103765"/>
    <n v="4307038"/>
    <x v="20"/>
    <x v="41"/>
    <s v="GORENG"/>
    <n v="3000"/>
    <n v="200"/>
    <n v="600000"/>
    <n v="180"/>
  </r>
  <r>
    <x v="7"/>
    <s v="JUL"/>
    <x v="25"/>
    <s v="GRSM 6"/>
    <x v="2"/>
    <s v="GMM"/>
    <n v="211163"/>
    <n v="3703219"/>
    <x v="22"/>
    <x v="44"/>
    <s v="BOLOGNESE"/>
    <n v="2900"/>
    <n v="84"/>
    <n v="243600"/>
    <m/>
  </r>
  <r>
    <x v="7"/>
    <s v="JUL"/>
    <x v="25"/>
    <s v="GRSM 6"/>
    <x v="2"/>
    <s v="GMM"/>
    <n v="211163"/>
    <n v="3703219"/>
    <x v="22"/>
    <x v="44"/>
    <s v="CARBONARA"/>
    <n v="2900"/>
    <n v="120"/>
    <n v="348000"/>
    <m/>
  </r>
  <r>
    <x v="7"/>
    <s v="JUL"/>
    <x v="25"/>
    <s v="GRSM 6"/>
    <x v="2"/>
    <s v="GMM"/>
    <n v="211163"/>
    <n v="3703219"/>
    <x v="22"/>
    <x v="44"/>
    <s v="AGLIO OLIO"/>
    <n v="2900"/>
    <n v="0"/>
    <n v="0"/>
    <m/>
  </r>
  <r>
    <x v="7"/>
    <s v="JUL"/>
    <x v="25"/>
    <s v="GRSM 6"/>
    <x v="2"/>
    <s v="GMM"/>
    <n v="211163"/>
    <n v="3703219"/>
    <x v="22"/>
    <x v="44"/>
    <s v="GORENG"/>
    <n v="2900"/>
    <n v="148"/>
    <n v="429200"/>
    <n v="160"/>
  </r>
  <r>
    <x v="7"/>
    <s v="JUL"/>
    <x v="25"/>
    <s v="GRSM 6"/>
    <x v="2"/>
    <s v="GMM"/>
    <n v="211163"/>
    <n v="3703219"/>
    <x v="22"/>
    <x v="45"/>
    <s v="BOLOGNESE"/>
    <n v="2900"/>
    <n v="84"/>
    <n v="243600"/>
    <m/>
  </r>
  <r>
    <x v="7"/>
    <s v="JUL"/>
    <x v="25"/>
    <s v="GRSM 6"/>
    <x v="2"/>
    <s v="GMM"/>
    <n v="211163"/>
    <n v="3703219"/>
    <x v="22"/>
    <x v="45"/>
    <s v="CARBONARA"/>
    <n v="2900"/>
    <n v="120"/>
    <n v="348000"/>
    <m/>
  </r>
  <r>
    <x v="7"/>
    <s v="JUL"/>
    <x v="25"/>
    <s v="GRSM 6"/>
    <x v="2"/>
    <s v="GMM"/>
    <n v="211163"/>
    <n v="3703219"/>
    <x v="22"/>
    <x v="45"/>
    <s v="AGLIO OLIO"/>
    <n v="2900"/>
    <n v="0"/>
    <n v="0"/>
    <m/>
  </r>
  <r>
    <x v="7"/>
    <s v="JUL"/>
    <x v="25"/>
    <s v="GRSM 6"/>
    <x v="2"/>
    <s v="GMM"/>
    <n v="211163"/>
    <n v="3703219"/>
    <x v="22"/>
    <x v="45"/>
    <s v="GORENG"/>
    <n v="2900"/>
    <n v="148"/>
    <n v="429200"/>
    <n v="160"/>
  </r>
  <r>
    <x v="7"/>
    <s v="JUL"/>
    <x v="25"/>
    <s v="GRSM 6"/>
    <x v="2"/>
    <s v="GMM"/>
    <n v="211163"/>
    <n v="3703215"/>
    <x v="23"/>
    <x v="46"/>
    <s v="BOLOGNESE"/>
    <n v="5800"/>
    <n v="22"/>
    <n v="127600"/>
    <m/>
  </r>
  <r>
    <x v="7"/>
    <s v="JUL"/>
    <x v="25"/>
    <s v="GRSM 6"/>
    <x v="2"/>
    <s v="GMM"/>
    <n v="211163"/>
    <n v="3703215"/>
    <x v="23"/>
    <x v="46"/>
    <s v="CARBONARA"/>
    <n v="5800"/>
    <n v="76"/>
    <n v="440800"/>
    <m/>
  </r>
  <r>
    <x v="7"/>
    <s v="JUL"/>
    <x v="25"/>
    <s v="GRSM 6"/>
    <x v="2"/>
    <s v="GMM"/>
    <n v="211163"/>
    <n v="3703215"/>
    <x v="23"/>
    <x v="46"/>
    <s v="AGLIO OLIO"/>
    <n v="5800"/>
    <n v="0"/>
    <n v="0"/>
    <m/>
  </r>
  <r>
    <x v="7"/>
    <s v="JUL"/>
    <x v="25"/>
    <s v="GRSM 6"/>
    <x v="2"/>
    <s v="GMM"/>
    <n v="211163"/>
    <n v="3703215"/>
    <x v="23"/>
    <x v="46"/>
    <s v="GORENG"/>
    <n v="5800"/>
    <n v="128"/>
    <n v="742400"/>
    <n v="160"/>
  </r>
  <r>
    <x v="7"/>
    <s v="JUL"/>
    <x v="25"/>
    <s v="GRSM 6"/>
    <x v="2"/>
    <s v="GMM"/>
    <n v="211163"/>
    <n v="3703215"/>
    <x v="23"/>
    <x v="47"/>
    <s v="BOLOGNESE"/>
    <n v="5800"/>
    <n v="22"/>
    <n v="127600"/>
    <m/>
  </r>
  <r>
    <x v="7"/>
    <s v="JUL"/>
    <x v="25"/>
    <s v="GRSM 6"/>
    <x v="2"/>
    <s v="GMM"/>
    <n v="211163"/>
    <n v="3703215"/>
    <x v="23"/>
    <x v="47"/>
    <s v="CARBONARA"/>
    <n v="5800"/>
    <n v="76"/>
    <n v="440800"/>
    <m/>
  </r>
  <r>
    <x v="7"/>
    <s v="JUL"/>
    <x v="25"/>
    <s v="GRSM 6"/>
    <x v="2"/>
    <s v="GMM"/>
    <n v="211163"/>
    <n v="3703215"/>
    <x v="23"/>
    <x v="47"/>
    <s v="AGLIO OLIO"/>
    <n v="5800"/>
    <n v="0"/>
    <n v="0"/>
    <m/>
  </r>
  <r>
    <x v="7"/>
    <s v="JUL"/>
    <x v="25"/>
    <s v="GRSM 6"/>
    <x v="2"/>
    <s v="GMM"/>
    <n v="211163"/>
    <n v="3703215"/>
    <x v="23"/>
    <x v="47"/>
    <s v="GORENG"/>
    <n v="5800"/>
    <n v="128"/>
    <n v="742400"/>
    <n v="160"/>
  </r>
  <r>
    <x v="7"/>
    <s v="JUL"/>
    <x v="25"/>
    <s v="GRSM 6"/>
    <x v="2"/>
    <s v="GMM"/>
    <n v="103765"/>
    <n v="4305267"/>
    <x v="24"/>
    <x v="48"/>
    <s v="BOLOGNESE"/>
    <n v="3000"/>
    <n v="110"/>
    <n v="330000"/>
    <m/>
  </r>
  <r>
    <x v="7"/>
    <s v="JUL"/>
    <x v="25"/>
    <s v="GRSM 6"/>
    <x v="2"/>
    <s v="GMM"/>
    <n v="103765"/>
    <n v="4305267"/>
    <x v="24"/>
    <x v="48"/>
    <s v="CARBONARA"/>
    <n v="3000"/>
    <n v="125"/>
    <n v="375000"/>
    <m/>
  </r>
  <r>
    <x v="7"/>
    <s v="JUL"/>
    <x v="25"/>
    <s v="GRSM 6"/>
    <x v="2"/>
    <s v="GMM"/>
    <n v="103765"/>
    <n v="4305267"/>
    <x v="24"/>
    <x v="48"/>
    <s v="AGLIO OLIO"/>
    <n v="3000"/>
    <n v="75"/>
    <n v="225000"/>
    <m/>
  </r>
  <r>
    <x v="7"/>
    <s v="JUL"/>
    <x v="25"/>
    <s v="GRSM 6"/>
    <x v="2"/>
    <s v="GMM"/>
    <n v="103765"/>
    <n v="4305267"/>
    <x v="24"/>
    <x v="48"/>
    <s v="GORENG"/>
    <n v="3000"/>
    <n v="160"/>
    <n v="480000"/>
    <n v="160"/>
  </r>
  <r>
    <x v="7"/>
    <s v="JUL"/>
    <x v="25"/>
    <s v="GRSM 6"/>
    <x v="2"/>
    <s v="GMM"/>
    <n v="103765"/>
    <n v="4305267"/>
    <x v="24"/>
    <x v="49"/>
    <s v="BOLOGNESE"/>
    <n v="3000"/>
    <n v="110"/>
    <n v="330000"/>
    <m/>
  </r>
  <r>
    <x v="7"/>
    <s v="JUL"/>
    <x v="25"/>
    <s v="GRSM 6"/>
    <x v="2"/>
    <s v="GMM"/>
    <n v="103765"/>
    <n v="4305267"/>
    <x v="24"/>
    <x v="49"/>
    <s v="CARBONARA"/>
    <n v="3000"/>
    <n v="125"/>
    <n v="375000"/>
    <m/>
  </r>
  <r>
    <x v="7"/>
    <s v="JUL"/>
    <x v="25"/>
    <s v="GRSM 6"/>
    <x v="2"/>
    <s v="GMM"/>
    <n v="103765"/>
    <n v="4305267"/>
    <x v="24"/>
    <x v="49"/>
    <s v="AGLIO OLIO"/>
    <n v="3000"/>
    <n v="75"/>
    <n v="225000"/>
    <m/>
  </r>
  <r>
    <x v="7"/>
    <s v="JUL"/>
    <x v="25"/>
    <s v="GRSM 6"/>
    <x v="2"/>
    <s v="GMM"/>
    <n v="103765"/>
    <n v="4305267"/>
    <x v="24"/>
    <x v="49"/>
    <s v="GORENG"/>
    <n v="3000"/>
    <n v="160"/>
    <n v="480000"/>
    <n v="160"/>
  </r>
  <r>
    <x v="7"/>
    <s v="JUL"/>
    <x v="25"/>
    <s v="GRSM 6"/>
    <x v="2"/>
    <s v="GMM"/>
    <n v="211139"/>
    <n v="3604550"/>
    <x v="26"/>
    <x v="52"/>
    <s v="BOLOGNESE"/>
    <n v="2800"/>
    <n v="38"/>
    <n v="106400"/>
    <m/>
  </r>
  <r>
    <x v="7"/>
    <s v="JUL"/>
    <x v="25"/>
    <s v="GRSM 6"/>
    <x v="2"/>
    <s v="GMM"/>
    <n v="211139"/>
    <n v="3604550"/>
    <x v="26"/>
    <x v="52"/>
    <s v="CARBONARA"/>
    <n v="2800"/>
    <n v="98"/>
    <n v="274400"/>
    <m/>
  </r>
  <r>
    <x v="7"/>
    <s v="JUL"/>
    <x v="25"/>
    <s v="GRSM 6"/>
    <x v="2"/>
    <s v="GMM"/>
    <n v="211139"/>
    <n v="3604550"/>
    <x v="26"/>
    <x v="52"/>
    <s v="AGLIO OLIO"/>
    <n v="2800"/>
    <n v="23"/>
    <n v="64400"/>
    <m/>
  </r>
  <r>
    <x v="7"/>
    <s v="JUL"/>
    <x v="25"/>
    <s v="GRSM 6"/>
    <x v="2"/>
    <s v="GMM"/>
    <n v="211139"/>
    <n v="3604550"/>
    <x v="26"/>
    <x v="52"/>
    <s v="GORENG"/>
    <n v="2800"/>
    <n v="199"/>
    <n v="557200"/>
    <n v="160"/>
  </r>
  <r>
    <x v="7"/>
    <s v="JUL"/>
    <x v="25"/>
    <s v="GRSM 6"/>
    <x v="2"/>
    <s v="GMM"/>
    <n v="211139"/>
    <n v="3604550"/>
    <x v="26"/>
    <x v="53"/>
    <s v="BOLOGNESE"/>
    <n v="2800"/>
    <n v="38"/>
    <n v="106400"/>
    <m/>
  </r>
  <r>
    <x v="7"/>
    <s v="JUL"/>
    <x v="25"/>
    <s v="GRSM 6"/>
    <x v="2"/>
    <s v="GMM"/>
    <n v="211139"/>
    <n v="3604550"/>
    <x v="26"/>
    <x v="53"/>
    <s v="CARBONARA"/>
    <n v="2800"/>
    <n v="98"/>
    <n v="274400"/>
    <m/>
  </r>
  <r>
    <x v="7"/>
    <s v="JUL"/>
    <x v="25"/>
    <s v="GRSM 6"/>
    <x v="2"/>
    <s v="GMM"/>
    <n v="211139"/>
    <n v="3604550"/>
    <x v="26"/>
    <x v="53"/>
    <s v="AGLIO OLIO"/>
    <n v="2800"/>
    <n v="23"/>
    <n v="64400"/>
    <m/>
  </r>
  <r>
    <x v="7"/>
    <s v="JUL"/>
    <x v="25"/>
    <s v="GRSM 6"/>
    <x v="2"/>
    <s v="GMM"/>
    <n v="211139"/>
    <n v="3604550"/>
    <x v="26"/>
    <x v="53"/>
    <s v="GORENG"/>
    <n v="2800"/>
    <n v="199"/>
    <n v="557200"/>
    <n v="160"/>
  </r>
  <r>
    <x v="7"/>
    <s v="JUL"/>
    <x v="25"/>
    <s v="GRSM 6"/>
    <x v="2"/>
    <s v="GMM"/>
    <n v="211033"/>
    <n v="6467246"/>
    <x v="21"/>
    <x v="42"/>
    <s v="BOLOGNESE"/>
    <n v="2900"/>
    <n v="131"/>
    <n v="379900"/>
    <m/>
  </r>
  <r>
    <x v="7"/>
    <s v="JUL"/>
    <x v="25"/>
    <s v="GRSM 6"/>
    <x v="2"/>
    <s v="GMM"/>
    <n v="211033"/>
    <n v="6467246"/>
    <x v="21"/>
    <x v="42"/>
    <s v="CARBONARA"/>
    <n v="2900"/>
    <n v="119"/>
    <n v="345100"/>
    <m/>
  </r>
  <r>
    <x v="7"/>
    <s v="JUL"/>
    <x v="25"/>
    <s v="GRSM 6"/>
    <x v="2"/>
    <s v="GMM"/>
    <n v="211033"/>
    <n v="6467246"/>
    <x v="21"/>
    <x v="42"/>
    <s v="AGLIO OLIO"/>
    <n v="2900"/>
    <n v="96"/>
    <n v="278400"/>
    <m/>
  </r>
  <r>
    <x v="7"/>
    <s v="JUL"/>
    <x v="25"/>
    <s v="GRSM 6"/>
    <x v="2"/>
    <s v="GMM"/>
    <n v="211033"/>
    <n v="6467246"/>
    <x v="21"/>
    <x v="42"/>
    <s v="GORENG"/>
    <n v="2900"/>
    <n v="213"/>
    <n v="617700"/>
    <n v="140"/>
  </r>
  <r>
    <x v="7"/>
    <s v="JUL"/>
    <x v="25"/>
    <s v="GRSM 6"/>
    <x v="2"/>
    <s v="GMM"/>
    <n v="211033"/>
    <n v="6467246"/>
    <x v="21"/>
    <x v="43"/>
    <s v="BOLOGNESE"/>
    <n v="2900"/>
    <n v="131"/>
    <n v="379900"/>
    <m/>
  </r>
  <r>
    <x v="7"/>
    <s v="JUL"/>
    <x v="25"/>
    <s v="GRSM 6"/>
    <x v="2"/>
    <s v="GMM"/>
    <n v="211033"/>
    <n v="6467246"/>
    <x v="21"/>
    <x v="43"/>
    <s v="CARBONARA"/>
    <n v="2900"/>
    <n v="119"/>
    <n v="345100"/>
    <m/>
  </r>
  <r>
    <x v="7"/>
    <s v="JUL"/>
    <x v="25"/>
    <s v="GRSM 6"/>
    <x v="2"/>
    <s v="GMM"/>
    <n v="211033"/>
    <n v="6467246"/>
    <x v="21"/>
    <x v="43"/>
    <s v="AGLIO OLIO"/>
    <n v="2900"/>
    <n v="96"/>
    <n v="278400"/>
    <m/>
  </r>
  <r>
    <x v="7"/>
    <s v="JUL"/>
    <x v="25"/>
    <s v="GRSM 6"/>
    <x v="2"/>
    <s v="GMM"/>
    <n v="211033"/>
    <n v="6467246"/>
    <x v="21"/>
    <x v="43"/>
    <s v="GORENG"/>
    <n v="2900"/>
    <n v="213"/>
    <n v="617700"/>
    <n v="140"/>
  </r>
  <r>
    <x v="7"/>
    <s v="JUL"/>
    <x v="26"/>
    <s v="GRSM 6"/>
    <x v="2"/>
    <s v="GMM"/>
    <n v="103765"/>
    <n v="4307038"/>
    <x v="20"/>
    <x v="40"/>
    <s v="BOLOGNESE"/>
    <n v="3000"/>
    <n v="90"/>
    <n v="270000"/>
    <m/>
  </r>
  <r>
    <x v="7"/>
    <s v="JUL"/>
    <x v="26"/>
    <s v="GRSM 6"/>
    <x v="2"/>
    <s v="GMM"/>
    <n v="103765"/>
    <n v="4307038"/>
    <x v="20"/>
    <x v="40"/>
    <s v="CARBONARA"/>
    <n v="3000"/>
    <n v="120"/>
    <n v="360000"/>
    <m/>
  </r>
  <r>
    <x v="7"/>
    <s v="JUL"/>
    <x v="26"/>
    <s v="GRSM 6"/>
    <x v="2"/>
    <s v="GMM"/>
    <n v="103765"/>
    <n v="4307038"/>
    <x v="20"/>
    <x v="40"/>
    <s v="AGLIO OLIO"/>
    <n v="3000"/>
    <n v="54"/>
    <n v="162000"/>
    <m/>
  </r>
  <r>
    <x v="7"/>
    <s v="JUL"/>
    <x v="26"/>
    <s v="GRSM 6"/>
    <x v="2"/>
    <s v="GMM"/>
    <n v="103765"/>
    <n v="4307038"/>
    <x v="20"/>
    <x v="40"/>
    <s v="GORENG"/>
    <n v="3000"/>
    <n v="216"/>
    <n v="648000"/>
    <n v="180"/>
  </r>
  <r>
    <x v="7"/>
    <s v="JUL"/>
    <x v="26"/>
    <s v="GRSM 6"/>
    <x v="2"/>
    <s v="GMM"/>
    <n v="103765"/>
    <n v="4307038"/>
    <x v="20"/>
    <x v="41"/>
    <s v="BOLOGNESE"/>
    <n v="3000"/>
    <n v="90"/>
    <n v="270000"/>
    <m/>
  </r>
  <r>
    <x v="7"/>
    <s v="JUL"/>
    <x v="26"/>
    <s v="GRSM 6"/>
    <x v="2"/>
    <s v="GMM"/>
    <n v="103765"/>
    <n v="4307038"/>
    <x v="20"/>
    <x v="41"/>
    <s v="CARBONARA"/>
    <n v="3000"/>
    <n v="120"/>
    <n v="360000"/>
    <m/>
  </r>
  <r>
    <x v="7"/>
    <s v="JUL"/>
    <x v="26"/>
    <s v="GRSM 6"/>
    <x v="2"/>
    <s v="GMM"/>
    <n v="103765"/>
    <n v="4307038"/>
    <x v="20"/>
    <x v="41"/>
    <s v="AGLIO OLIO"/>
    <n v="3000"/>
    <n v="54"/>
    <n v="162000"/>
    <m/>
  </r>
  <r>
    <x v="7"/>
    <s v="JUL"/>
    <x v="26"/>
    <s v="GRSM 6"/>
    <x v="2"/>
    <s v="GMM"/>
    <n v="103765"/>
    <n v="4307038"/>
    <x v="20"/>
    <x v="41"/>
    <s v="GORENG"/>
    <n v="3000"/>
    <n v="216"/>
    <n v="648000"/>
    <n v="180"/>
  </r>
  <r>
    <x v="7"/>
    <s v="JUL"/>
    <x v="26"/>
    <s v="GRSM 6"/>
    <x v="2"/>
    <s v="GMM"/>
    <n v="211033"/>
    <n v="6467246"/>
    <x v="21"/>
    <x v="42"/>
    <s v="BOLOGNESE"/>
    <n v="2900"/>
    <n v="121"/>
    <n v="350900"/>
    <m/>
  </r>
  <r>
    <x v="7"/>
    <s v="JUL"/>
    <x v="26"/>
    <s v="GRSM 6"/>
    <x v="2"/>
    <s v="GMM"/>
    <n v="211033"/>
    <n v="6467246"/>
    <x v="21"/>
    <x v="42"/>
    <s v="CARBONARA"/>
    <n v="2900"/>
    <n v="94"/>
    <n v="272600"/>
    <m/>
  </r>
  <r>
    <x v="7"/>
    <s v="JUL"/>
    <x v="26"/>
    <s v="GRSM 6"/>
    <x v="2"/>
    <s v="GMM"/>
    <n v="211033"/>
    <n v="6467246"/>
    <x v="21"/>
    <x v="42"/>
    <s v="AGLIO OLIO"/>
    <n v="2900"/>
    <n v="58"/>
    <n v="168200"/>
    <m/>
  </r>
  <r>
    <x v="7"/>
    <s v="JUL"/>
    <x v="26"/>
    <s v="GRSM 6"/>
    <x v="2"/>
    <s v="GMM"/>
    <n v="211033"/>
    <n v="6467246"/>
    <x v="21"/>
    <x v="42"/>
    <s v="GORENG"/>
    <n v="2900"/>
    <n v="269"/>
    <n v="780100"/>
    <n v="160"/>
  </r>
  <r>
    <x v="7"/>
    <s v="JUL"/>
    <x v="26"/>
    <s v="GRSM 6"/>
    <x v="2"/>
    <s v="GMM"/>
    <n v="211033"/>
    <n v="6467246"/>
    <x v="21"/>
    <x v="43"/>
    <s v="BOLOGNESE"/>
    <n v="2900"/>
    <n v="121"/>
    <n v="350900"/>
    <m/>
  </r>
  <r>
    <x v="7"/>
    <s v="JUL"/>
    <x v="26"/>
    <s v="GRSM 6"/>
    <x v="2"/>
    <s v="GMM"/>
    <n v="211033"/>
    <n v="6467246"/>
    <x v="21"/>
    <x v="43"/>
    <s v="CARBONARA"/>
    <n v="2900"/>
    <n v="94"/>
    <n v="272600"/>
    <m/>
  </r>
  <r>
    <x v="7"/>
    <s v="JUL"/>
    <x v="26"/>
    <s v="GRSM 6"/>
    <x v="2"/>
    <s v="GMM"/>
    <n v="211033"/>
    <n v="6467246"/>
    <x v="21"/>
    <x v="43"/>
    <s v="AGLIO OLIO"/>
    <n v="2900"/>
    <n v="58"/>
    <n v="168200"/>
    <m/>
  </r>
  <r>
    <x v="7"/>
    <s v="JUL"/>
    <x v="26"/>
    <s v="GRSM 6"/>
    <x v="2"/>
    <s v="GMM"/>
    <n v="211033"/>
    <n v="6467246"/>
    <x v="21"/>
    <x v="43"/>
    <s v="GORENG"/>
    <n v="2900"/>
    <n v="269"/>
    <n v="780100"/>
    <n v="160"/>
  </r>
  <r>
    <x v="7"/>
    <s v="JUL"/>
    <x v="26"/>
    <s v="GRSM 6"/>
    <x v="2"/>
    <s v="GMM"/>
    <n v="211033"/>
    <n v="2001021"/>
    <x v="27"/>
    <x v="54"/>
    <s v="BOLOGNESE"/>
    <n v="3100"/>
    <n v="25"/>
    <n v="77500"/>
    <m/>
  </r>
  <r>
    <x v="7"/>
    <s v="JUL"/>
    <x v="26"/>
    <s v="GRSM 6"/>
    <x v="2"/>
    <s v="GMM"/>
    <n v="211033"/>
    <n v="2001021"/>
    <x v="27"/>
    <x v="54"/>
    <s v="CARBONARA"/>
    <n v="3100"/>
    <n v="50"/>
    <n v="155000"/>
    <m/>
  </r>
  <r>
    <x v="7"/>
    <s v="JUL"/>
    <x v="26"/>
    <s v="GRSM 6"/>
    <x v="2"/>
    <s v="GMM"/>
    <n v="211033"/>
    <n v="2001021"/>
    <x v="27"/>
    <x v="54"/>
    <s v="AGLIO OLIO"/>
    <n v="3100"/>
    <n v="30"/>
    <n v="93000"/>
    <m/>
  </r>
  <r>
    <x v="7"/>
    <s v="JUL"/>
    <x v="26"/>
    <s v="GRSM 6"/>
    <x v="2"/>
    <s v="GMM"/>
    <n v="211033"/>
    <n v="2001021"/>
    <x v="27"/>
    <x v="54"/>
    <s v="GORENG"/>
    <n v="3100"/>
    <n v="250"/>
    <n v="775000"/>
    <n v="160"/>
  </r>
  <r>
    <x v="7"/>
    <s v="JUL"/>
    <x v="26"/>
    <s v="GRSM 6"/>
    <x v="2"/>
    <s v="GMM"/>
    <n v="211033"/>
    <n v="2001021"/>
    <x v="27"/>
    <x v="55"/>
    <s v="BOLOGNESE"/>
    <n v="3100"/>
    <n v="25"/>
    <n v="77500"/>
    <m/>
  </r>
  <r>
    <x v="7"/>
    <s v="JUL"/>
    <x v="26"/>
    <s v="GRSM 6"/>
    <x v="2"/>
    <s v="GMM"/>
    <n v="211033"/>
    <n v="2001021"/>
    <x v="27"/>
    <x v="55"/>
    <s v="CARBONARA"/>
    <n v="3100"/>
    <n v="50"/>
    <n v="155000"/>
    <m/>
  </r>
  <r>
    <x v="7"/>
    <s v="JUL"/>
    <x v="26"/>
    <s v="GRSM 6"/>
    <x v="2"/>
    <s v="GMM"/>
    <n v="211033"/>
    <n v="2001021"/>
    <x v="27"/>
    <x v="55"/>
    <s v="AGLIO OLIO"/>
    <n v="3100"/>
    <n v="30"/>
    <n v="93000"/>
    <m/>
  </r>
  <r>
    <x v="7"/>
    <s v="JUL"/>
    <x v="26"/>
    <s v="GRSM 6"/>
    <x v="2"/>
    <s v="GMM"/>
    <n v="211033"/>
    <n v="2001021"/>
    <x v="27"/>
    <x v="55"/>
    <s v="GORENG"/>
    <n v="3100"/>
    <n v="250"/>
    <n v="775000"/>
    <n v="160"/>
  </r>
  <r>
    <x v="7"/>
    <s v="JUL"/>
    <x v="26"/>
    <s v="GRSM 6"/>
    <x v="2"/>
    <s v="GMM"/>
    <n v="211163"/>
    <n v="3703219"/>
    <x v="22"/>
    <x v="44"/>
    <s v="BOLOGNESE"/>
    <n v="2900"/>
    <n v="80"/>
    <n v="232000"/>
    <m/>
  </r>
  <r>
    <x v="7"/>
    <s v="JUL"/>
    <x v="26"/>
    <s v="GRSM 6"/>
    <x v="2"/>
    <s v="GMM"/>
    <n v="211163"/>
    <n v="3703219"/>
    <x v="22"/>
    <x v="44"/>
    <s v="CARBONARA"/>
    <n v="2900"/>
    <n v="134"/>
    <n v="388600"/>
    <m/>
  </r>
  <r>
    <x v="7"/>
    <s v="JUL"/>
    <x v="26"/>
    <s v="GRSM 6"/>
    <x v="2"/>
    <s v="GMM"/>
    <n v="211163"/>
    <n v="3703219"/>
    <x v="22"/>
    <x v="44"/>
    <s v="AGLIO OLIO"/>
    <n v="2900"/>
    <n v="0"/>
    <n v="0"/>
    <m/>
  </r>
  <r>
    <x v="7"/>
    <s v="JUL"/>
    <x v="26"/>
    <s v="GRSM 6"/>
    <x v="2"/>
    <s v="GMM"/>
    <n v="211163"/>
    <n v="3703219"/>
    <x v="22"/>
    <x v="44"/>
    <s v="GORENG"/>
    <n v="2900"/>
    <n v="146"/>
    <n v="423400"/>
    <n v="170"/>
  </r>
  <r>
    <x v="7"/>
    <s v="JUL"/>
    <x v="26"/>
    <s v="GRSM 6"/>
    <x v="2"/>
    <s v="GMM"/>
    <n v="211163"/>
    <n v="3703219"/>
    <x v="22"/>
    <x v="45"/>
    <s v="BOLOGNESE"/>
    <n v="2900"/>
    <n v="80"/>
    <n v="232000"/>
    <m/>
  </r>
  <r>
    <x v="7"/>
    <s v="JUL"/>
    <x v="26"/>
    <s v="GRSM 6"/>
    <x v="2"/>
    <s v="GMM"/>
    <n v="211163"/>
    <n v="3703219"/>
    <x v="22"/>
    <x v="45"/>
    <s v="CARBONARA"/>
    <n v="2900"/>
    <n v="134"/>
    <n v="388600"/>
    <m/>
  </r>
  <r>
    <x v="7"/>
    <s v="JUL"/>
    <x v="26"/>
    <s v="GRSM 6"/>
    <x v="2"/>
    <s v="GMM"/>
    <n v="211163"/>
    <n v="3703219"/>
    <x v="22"/>
    <x v="45"/>
    <s v="AGLIO OLIO"/>
    <n v="2900"/>
    <n v="0"/>
    <n v="0"/>
    <m/>
  </r>
  <r>
    <x v="7"/>
    <s v="JUL"/>
    <x v="26"/>
    <s v="GRSM 6"/>
    <x v="2"/>
    <s v="GMM"/>
    <n v="211163"/>
    <n v="3703219"/>
    <x v="22"/>
    <x v="45"/>
    <s v="GORENG"/>
    <n v="2900"/>
    <n v="146"/>
    <n v="423400"/>
    <n v="170"/>
  </r>
  <r>
    <x v="7"/>
    <s v="JUL"/>
    <x v="26"/>
    <s v="GRSM 6"/>
    <x v="2"/>
    <s v="GMM"/>
    <n v="211139"/>
    <n v="3604550"/>
    <x v="26"/>
    <x v="52"/>
    <s v="BOLOGNESE"/>
    <n v="2800"/>
    <n v="48"/>
    <n v="134400"/>
    <m/>
  </r>
  <r>
    <x v="7"/>
    <s v="JUL"/>
    <x v="26"/>
    <s v="GRSM 6"/>
    <x v="2"/>
    <s v="GMM"/>
    <n v="211139"/>
    <n v="3604550"/>
    <x v="26"/>
    <x v="52"/>
    <s v="CARBONARA"/>
    <n v="2800"/>
    <n v="140"/>
    <n v="392000"/>
    <m/>
  </r>
  <r>
    <x v="7"/>
    <s v="JUL"/>
    <x v="26"/>
    <s v="GRSM 6"/>
    <x v="2"/>
    <s v="GMM"/>
    <n v="211139"/>
    <n v="3604550"/>
    <x v="26"/>
    <x v="52"/>
    <s v="AGLIO OLIO"/>
    <n v="2800"/>
    <n v="12"/>
    <n v="33600"/>
    <m/>
  </r>
  <r>
    <x v="7"/>
    <s v="JUL"/>
    <x v="26"/>
    <s v="GRSM 6"/>
    <x v="2"/>
    <s v="GMM"/>
    <n v="211139"/>
    <n v="3604550"/>
    <x v="26"/>
    <x v="52"/>
    <s v="GORENG"/>
    <n v="2800"/>
    <n v="240"/>
    <n v="672000"/>
    <n v="160"/>
  </r>
  <r>
    <x v="7"/>
    <s v="JUL"/>
    <x v="26"/>
    <s v="GRSM 6"/>
    <x v="2"/>
    <s v="GMM"/>
    <n v="211139"/>
    <n v="3604550"/>
    <x v="26"/>
    <x v="53"/>
    <s v="BOLOGNESE"/>
    <n v="2800"/>
    <n v="48"/>
    <n v="134400"/>
    <m/>
  </r>
  <r>
    <x v="7"/>
    <s v="JUL"/>
    <x v="26"/>
    <s v="GRSM 6"/>
    <x v="2"/>
    <s v="GMM"/>
    <n v="211139"/>
    <n v="3604550"/>
    <x v="26"/>
    <x v="53"/>
    <s v="CARBONARA"/>
    <n v="2800"/>
    <n v="140"/>
    <n v="392000"/>
    <m/>
  </r>
  <r>
    <x v="7"/>
    <s v="JUL"/>
    <x v="26"/>
    <s v="GRSM 6"/>
    <x v="2"/>
    <s v="GMM"/>
    <n v="211139"/>
    <n v="3604550"/>
    <x v="26"/>
    <x v="53"/>
    <s v="AGLIO OLIO"/>
    <n v="2800"/>
    <n v="12"/>
    <n v="33600"/>
    <m/>
  </r>
  <r>
    <x v="7"/>
    <s v="JUL"/>
    <x v="26"/>
    <s v="GRSM 6"/>
    <x v="2"/>
    <s v="GMM"/>
    <n v="211139"/>
    <n v="3604550"/>
    <x v="26"/>
    <x v="53"/>
    <s v="GORENG"/>
    <n v="2800"/>
    <n v="240"/>
    <n v="672000"/>
    <n v="160"/>
  </r>
  <r>
    <x v="7"/>
    <s v="JUL"/>
    <x v="26"/>
    <s v="GRSM 6"/>
    <x v="2"/>
    <s v="GMM"/>
    <n v="103765"/>
    <n v="4305267"/>
    <x v="24"/>
    <x v="48"/>
    <s v="BOLOGNESE"/>
    <n v="3000"/>
    <n v="58"/>
    <n v="174000"/>
    <m/>
  </r>
  <r>
    <x v="7"/>
    <s v="JUL"/>
    <x v="26"/>
    <s v="GRSM 6"/>
    <x v="2"/>
    <s v="GMM"/>
    <n v="103765"/>
    <n v="4305267"/>
    <x v="24"/>
    <x v="48"/>
    <s v="CARBONARA"/>
    <n v="3000"/>
    <n v="120"/>
    <n v="360000"/>
    <m/>
  </r>
  <r>
    <x v="7"/>
    <s v="JUL"/>
    <x v="26"/>
    <s v="GRSM 6"/>
    <x v="2"/>
    <s v="GMM"/>
    <n v="103765"/>
    <n v="4305267"/>
    <x v="24"/>
    <x v="48"/>
    <s v="AGLIO OLIO"/>
    <n v="3000"/>
    <n v="88"/>
    <n v="264000"/>
    <m/>
  </r>
  <r>
    <x v="7"/>
    <s v="JUL"/>
    <x v="26"/>
    <s v="GRSM 6"/>
    <x v="2"/>
    <s v="GMM"/>
    <n v="103765"/>
    <n v="4305267"/>
    <x v="24"/>
    <x v="48"/>
    <s v="GORENG"/>
    <n v="3000"/>
    <n v="235"/>
    <n v="705000"/>
    <n v="160"/>
  </r>
  <r>
    <x v="7"/>
    <s v="JUL"/>
    <x v="26"/>
    <s v="GRSM 6"/>
    <x v="2"/>
    <s v="GMM"/>
    <n v="103765"/>
    <n v="4305267"/>
    <x v="24"/>
    <x v="49"/>
    <s v="BOLOGNESE"/>
    <n v="3000"/>
    <n v="58"/>
    <n v="174000"/>
    <m/>
  </r>
  <r>
    <x v="7"/>
    <s v="JUL"/>
    <x v="26"/>
    <s v="GRSM 6"/>
    <x v="2"/>
    <s v="GMM"/>
    <n v="103765"/>
    <n v="4305267"/>
    <x v="24"/>
    <x v="49"/>
    <s v="CARBONARA"/>
    <n v="3000"/>
    <n v="120"/>
    <n v="360000"/>
    <m/>
  </r>
  <r>
    <x v="7"/>
    <s v="JUL"/>
    <x v="26"/>
    <s v="GRSM 6"/>
    <x v="2"/>
    <s v="GMM"/>
    <n v="103765"/>
    <n v="4305267"/>
    <x v="24"/>
    <x v="49"/>
    <s v="AGLIO OLIO"/>
    <n v="3000"/>
    <n v="88"/>
    <n v="264000"/>
    <m/>
  </r>
  <r>
    <x v="7"/>
    <s v="JUL"/>
    <x v="26"/>
    <s v="GRSM 6"/>
    <x v="2"/>
    <s v="GMM"/>
    <n v="103765"/>
    <n v="4305267"/>
    <x v="24"/>
    <x v="49"/>
    <s v="GORENG"/>
    <n v="3000"/>
    <n v="235"/>
    <n v="705000"/>
    <n v="160"/>
  </r>
  <r>
    <x v="7"/>
    <s v="JUL"/>
    <x v="26"/>
    <s v="GRSM 6"/>
    <x v="2"/>
    <s v="GMM"/>
    <n v="211163"/>
    <n v="3703215"/>
    <x v="23"/>
    <x v="46"/>
    <s v="BOLOGNESE"/>
    <n v="5800"/>
    <n v="60"/>
    <n v="348000"/>
    <m/>
  </r>
  <r>
    <x v="7"/>
    <s v="JUL"/>
    <x v="26"/>
    <s v="GRSM 6"/>
    <x v="2"/>
    <s v="GMM"/>
    <n v="211163"/>
    <n v="3703215"/>
    <x v="23"/>
    <x v="46"/>
    <s v="CARBONARA"/>
    <n v="5800"/>
    <n v="70"/>
    <n v="406000"/>
    <m/>
  </r>
  <r>
    <x v="7"/>
    <s v="JUL"/>
    <x v="26"/>
    <s v="GRSM 6"/>
    <x v="2"/>
    <s v="GMM"/>
    <n v="211163"/>
    <n v="3703215"/>
    <x v="23"/>
    <x v="46"/>
    <s v="AGLIO OLIO"/>
    <n v="5800"/>
    <n v="0"/>
    <n v="0"/>
    <m/>
  </r>
  <r>
    <x v="7"/>
    <s v="JUL"/>
    <x v="26"/>
    <s v="GRSM 6"/>
    <x v="2"/>
    <s v="GMM"/>
    <n v="211163"/>
    <n v="3703215"/>
    <x v="23"/>
    <x v="46"/>
    <s v="GORENG"/>
    <n v="5800"/>
    <n v="122"/>
    <n v="707600"/>
    <n v="166"/>
  </r>
  <r>
    <x v="7"/>
    <s v="JUL"/>
    <x v="26"/>
    <s v="GRSM 6"/>
    <x v="2"/>
    <s v="GMM"/>
    <n v="211163"/>
    <n v="3703215"/>
    <x v="23"/>
    <x v="47"/>
    <s v="BOLOGNESE"/>
    <n v="5800"/>
    <n v="60"/>
    <n v="348000"/>
    <m/>
  </r>
  <r>
    <x v="7"/>
    <s v="JUL"/>
    <x v="26"/>
    <s v="GRSM 6"/>
    <x v="2"/>
    <s v="GMM"/>
    <n v="211163"/>
    <n v="3703215"/>
    <x v="23"/>
    <x v="47"/>
    <s v="CARBONARA"/>
    <n v="5800"/>
    <n v="70"/>
    <n v="406000"/>
    <m/>
  </r>
  <r>
    <x v="7"/>
    <s v="JUL"/>
    <x v="26"/>
    <s v="GRSM 6"/>
    <x v="2"/>
    <s v="GMM"/>
    <n v="211163"/>
    <n v="3703215"/>
    <x v="23"/>
    <x v="47"/>
    <s v="AGLIO OLIO"/>
    <n v="5800"/>
    <n v="0"/>
    <n v="0"/>
    <m/>
  </r>
  <r>
    <x v="7"/>
    <s v="JUL"/>
    <x v="26"/>
    <s v="GRSM 6"/>
    <x v="2"/>
    <s v="GMM"/>
    <n v="211163"/>
    <n v="3703215"/>
    <x v="23"/>
    <x v="47"/>
    <s v="GORENG"/>
    <n v="5800"/>
    <n v="122"/>
    <n v="707600"/>
    <n v="166"/>
  </r>
  <r>
    <x v="7"/>
    <s v="JUL"/>
    <x v="27"/>
    <s v="GRSM 6"/>
    <x v="2"/>
    <s v="GMM"/>
    <n v="211033"/>
    <n v="2001021"/>
    <x v="27"/>
    <x v="54"/>
    <s v="BOLOGNESE"/>
    <n v="3100"/>
    <n v="59"/>
    <n v="182900"/>
    <m/>
  </r>
  <r>
    <x v="7"/>
    <s v="JUL"/>
    <x v="27"/>
    <s v="GRSM 6"/>
    <x v="2"/>
    <s v="GMM"/>
    <n v="211033"/>
    <n v="2001021"/>
    <x v="27"/>
    <x v="54"/>
    <s v="CARBONARA"/>
    <n v="3100"/>
    <n v="84"/>
    <n v="260400"/>
    <m/>
  </r>
  <r>
    <x v="7"/>
    <s v="JUL"/>
    <x v="27"/>
    <s v="GRSM 6"/>
    <x v="2"/>
    <s v="GMM"/>
    <n v="211033"/>
    <n v="2001021"/>
    <x v="27"/>
    <x v="54"/>
    <s v="AGLIO OLIO"/>
    <n v="3100"/>
    <n v="71"/>
    <n v="220100"/>
    <m/>
  </r>
  <r>
    <x v="7"/>
    <s v="JUL"/>
    <x v="27"/>
    <s v="GRSM 6"/>
    <x v="2"/>
    <s v="GMM"/>
    <n v="211033"/>
    <n v="2001021"/>
    <x v="27"/>
    <x v="54"/>
    <s v="GORENG"/>
    <n v="3100"/>
    <n v="200"/>
    <n v="620000"/>
    <n v="160"/>
  </r>
  <r>
    <x v="7"/>
    <s v="JUL"/>
    <x v="27"/>
    <s v="GRSM 6"/>
    <x v="2"/>
    <s v="GMM"/>
    <n v="211033"/>
    <n v="2001021"/>
    <x v="27"/>
    <x v="55"/>
    <s v="BOLOGNESE"/>
    <n v="3100"/>
    <n v="59"/>
    <n v="182900"/>
    <m/>
  </r>
  <r>
    <x v="7"/>
    <s v="JUL"/>
    <x v="27"/>
    <s v="GRSM 6"/>
    <x v="2"/>
    <s v="GMM"/>
    <n v="211033"/>
    <n v="2001021"/>
    <x v="27"/>
    <x v="55"/>
    <s v="CARBONARA"/>
    <n v="3100"/>
    <n v="84"/>
    <n v="260400"/>
    <m/>
  </r>
  <r>
    <x v="7"/>
    <s v="JUL"/>
    <x v="27"/>
    <s v="GRSM 6"/>
    <x v="2"/>
    <s v="GMM"/>
    <n v="211033"/>
    <n v="2001021"/>
    <x v="27"/>
    <x v="55"/>
    <s v="AGLIO OLIO"/>
    <n v="3100"/>
    <n v="71"/>
    <n v="220100"/>
    <m/>
  </r>
  <r>
    <x v="7"/>
    <s v="JUL"/>
    <x v="27"/>
    <s v="GRSM 6"/>
    <x v="2"/>
    <s v="GMM"/>
    <n v="211033"/>
    <n v="2001021"/>
    <x v="27"/>
    <x v="55"/>
    <s v="GORENG"/>
    <n v="3100"/>
    <n v="200"/>
    <n v="620000"/>
    <n v="160"/>
  </r>
  <r>
    <x v="7"/>
    <s v="JUL"/>
    <x v="27"/>
    <s v="GRSM 6"/>
    <x v="2"/>
    <s v="GMM"/>
    <n v="211139"/>
    <n v="3604550"/>
    <x v="26"/>
    <x v="52"/>
    <s v="BOLOGNESE"/>
    <n v="2800"/>
    <n v="52"/>
    <n v="145600"/>
    <m/>
  </r>
  <r>
    <x v="7"/>
    <s v="JUL"/>
    <x v="27"/>
    <s v="GRSM 6"/>
    <x v="2"/>
    <s v="GMM"/>
    <n v="211139"/>
    <n v="3604550"/>
    <x v="26"/>
    <x v="52"/>
    <s v="CARBONARA"/>
    <n v="2800"/>
    <n v="162"/>
    <n v="453600"/>
    <m/>
  </r>
  <r>
    <x v="7"/>
    <s v="JUL"/>
    <x v="27"/>
    <s v="GRSM 6"/>
    <x v="2"/>
    <s v="GMM"/>
    <n v="211139"/>
    <n v="3604550"/>
    <x v="26"/>
    <x v="52"/>
    <s v="AGLIO OLIO"/>
    <n v="2800"/>
    <n v="20"/>
    <n v="56000"/>
    <m/>
  </r>
  <r>
    <x v="7"/>
    <s v="JUL"/>
    <x v="27"/>
    <s v="GRSM 6"/>
    <x v="2"/>
    <s v="GMM"/>
    <n v="211139"/>
    <n v="3604550"/>
    <x v="26"/>
    <x v="52"/>
    <s v="GORENG"/>
    <n v="2800"/>
    <n v="268"/>
    <n v="750400"/>
    <n v="160"/>
  </r>
  <r>
    <x v="7"/>
    <s v="JUL"/>
    <x v="27"/>
    <s v="GRSM 6"/>
    <x v="2"/>
    <s v="GMM"/>
    <n v="211139"/>
    <n v="3604550"/>
    <x v="26"/>
    <x v="53"/>
    <s v="BOLOGNESE"/>
    <n v="2800"/>
    <n v="52"/>
    <n v="145600"/>
    <m/>
  </r>
  <r>
    <x v="7"/>
    <s v="JUL"/>
    <x v="27"/>
    <s v="GRSM 6"/>
    <x v="2"/>
    <s v="GMM"/>
    <n v="211139"/>
    <n v="3604550"/>
    <x v="26"/>
    <x v="53"/>
    <s v="CARBONARA"/>
    <n v="2800"/>
    <n v="162"/>
    <n v="453600"/>
    <m/>
  </r>
  <r>
    <x v="7"/>
    <s v="JUL"/>
    <x v="27"/>
    <s v="GRSM 6"/>
    <x v="2"/>
    <s v="GMM"/>
    <n v="211139"/>
    <n v="3604550"/>
    <x v="26"/>
    <x v="53"/>
    <s v="AGLIO OLIO"/>
    <n v="2800"/>
    <n v="20"/>
    <n v="56000"/>
    <m/>
  </r>
  <r>
    <x v="7"/>
    <s v="JUL"/>
    <x v="27"/>
    <s v="GRSM 6"/>
    <x v="2"/>
    <s v="GMM"/>
    <n v="211139"/>
    <n v="3604550"/>
    <x v="26"/>
    <x v="53"/>
    <s v="GORENG"/>
    <n v="2800"/>
    <n v="268"/>
    <n v="750400"/>
    <n v="160"/>
  </r>
  <r>
    <x v="7"/>
    <s v="JUL"/>
    <x v="27"/>
    <s v="GRSM 6"/>
    <x v="2"/>
    <s v="GMM"/>
    <n v="211033"/>
    <n v="6467246"/>
    <x v="21"/>
    <x v="42"/>
    <s v="BOLOGNESE"/>
    <n v="2900"/>
    <n v="60"/>
    <n v="174000"/>
    <m/>
  </r>
  <r>
    <x v="7"/>
    <s v="JUL"/>
    <x v="27"/>
    <s v="GRSM 6"/>
    <x v="2"/>
    <s v="GMM"/>
    <n v="211033"/>
    <n v="6467246"/>
    <x v="21"/>
    <x v="42"/>
    <s v="CARBONARA"/>
    <n v="2900"/>
    <n v="92"/>
    <n v="266800"/>
    <m/>
  </r>
  <r>
    <x v="7"/>
    <s v="JUL"/>
    <x v="27"/>
    <s v="GRSM 6"/>
    <x v="2"/>
    <s v="GMM"/>
    <n v="211033"/>
    <n v="6467246"/>
    <x v="21"/>
    <x v="42"/>
    <s v="AGLIO OLIO"/>
    <n v="2900"/>
    <n v="52"/>
    <n v="150800"/>
    <m/>
  </r>
  <r>
    <x v="7"/>
    <s v="JUL"/>
    <x v="27"/>
    <s v="GRSM 6"/>
    <x v="2"/>
    <s v="GMM"/>
    <n v="211033"/>
    <n v="6467246"/>
    <x v="21"/>
    <x v="42"/>
    <s v="GORENG"/>
    <n v="2900"/>
    <n v="364"/>
    <n v="1055600"/>
    <n v="160"/>
  </r>
  <r>
    <x v="7"/>
    <s v="JUL"/>
    <x v="27"/>
    <s v="GRSM 6"/>
    <x v="2"/>
    <s v="GMM"/>
    <n v="211033"/>
    <n v="6467246"/>
    <x v="21"/>
    <x v="43"/>
    <s v="BOLOGNESE"/>
    <n v="2900"/>
    <n v="60"/>
    <n v="174000"/>
    <m/>
  </r>
  <r>
    <x v="7"/>
    <s v="JUL"/>
    <x v="27"/>
    <s v="GRSM 6"/>
    <x v="2"/>
    <s v="GMM"/>
    <n v="211033"/>
    <n v="6467246"/>
    <x v="21"/>
    <x v="43"/>
    <s v="CARBONARA"/>
    <n v="2900"/>
    <n v="92"/>
    <n v="266800"/>
    <m/>
  </r>
  <r>
    <x v="7"/>
    <s v="JUL"/>
    <x v="27"/>
    <s v="GRSM 6"/>
    <x v="2"/>
    <s v="GMM"/>
    <n v="211033"/>
    <n v="6467246"/>
    <x v="21"/>
    <x v="43"/>
    <s v="AGLIO OLIO"/>
    <n v="2900"/>
    <n v="52"/>
    <n v="150800"/>
    <m/>
  </r>
  <r>
    <x v="7"/>
    <s v="JUL"/>
    <x v="27"/>
    <s v="GRSM 6"/>
    <x v="2"/>
    <s v="GMM"/>
    <n v="211033"/>
    <n v="6467246"/>
    <x v="21"/>
    <x v="43"/>
    <s v="GORENG"/>
    <n v="2900"/>
    <n v="364"/>
    <n v="1055600"/>
    <n v="160"/>
  </r>
  <r>
    <x v="7"/>
    <s v="JUL"/>
    <x v="27"/>
    <s v="GRSM 6"/>
    <x v="2"/>
    <s v="GMM"/>
    <n v="103765"/>
    <n v="4307038"/>
    <x v="20"/>
    <x v="40"/>
    <s v="BOLOGNESE"/>
    <n v="3000"/>
    <n v="92"/>
    <n v="276000"/>
    <m/>
  </r>
  <r>
    <x v="7"/>
    <s v="JUL"/>
    <x v="27"/>
    <s v="GRSM 6"/>
    <x v="2"/>
    <s v="GMM"/>
    <n v="103765"/>
    <n v="4307038"/>
    <x v="20"/>
    <x v="40"/>
    <s v="CARBONARA"/>
    <n v="3000"/>
    <n v="118"/>
    <n v="354000"/>
    <m/>
  </r>
  <r>
    <x v="7"/>
    <s v="JUL"/>
    <x v="27"/>
    <s v="GRSM 6"/>
    <x v="2"/>
    <s v="GMM"/>
    <n v="103765"/>
    <n v="4307038"/>
    <x v="20"/>
    <x v="40"/>
    <s v="AGLIO OLIO"/>
    <n v="3000"/>
    <n v="4"/>
    <n v="12000"/>
    <m/>
  </r>
  <r>
    <x v="7"/>
    <s v="JUL"/>
    <x v="27"/>
    <s v="GRSM 6"/>
    <x v="2"/>
    <s v="GMM"/>
    <n v="103765"/>
    <n v="4307038"/>
    <x v="20"/>
    <x v="40"/>
    <s v="GORENG"/>
    <n v="3000"/>
    <n v="260"/>
    <n v="780000"/>
    <n v="180"/>
  </r>
  <r>
    <x v="7"/>
    <s v="JUL"/>
    <x v="27"/>
    <s v="GRSM 6"/>
    <x v="2"/>
    <s v="GMM"/>
    <n v="103765"/>
    <n v="4307038"/>
    <x v="20"/>
    <x v="41"/>
    <s v="BOLOGNESE"/>
    <n v="3000"/>
    <n v="92"/>
    <n v="276000"/>
    <m/>
  </r>
  <r>
    <x v="7"/>
    <s v="JUL"/>
    <x v="27"/>
    <s v="GRSM 6"/>
    <x v="2"/>
    <s v="GMM"/>
    <n v="103765"/>
    <n v="4307038"/>
    <x v="20"/>
    <x v="41"/>
    <s v="CARBONARA"/>
    <n v="3000"/>
    <n v="118"/>
    <n v="354000"/>
    <m/>
  </r>
  <r>
    <x v="7"/>
    <s v="JUL"/>
    <x v="27"/>
    <s v="GRSM 6"/>
    <x v="2"/>
    <s v="GMM"/>
    <n v="103765"/>
    <n v="4307038"/>
    <x v="20"/>
    <x v="41"/>
    <s v="AGLIO OLIO"/>
    <n v="3000"/>
    <n v="4"/>
    <n v="12000"/>
    <m/>
  </r>
  <r>
    <x v="7"/>
    <s v="JUL"/>
    <x v="27"/>
    <s v="GRSM 6"/>
    <x v="2"/>
    <s v="GMM"/>
    <n v="103765"/>
    <n v="4307038"/>
    <x v="20"/>
    <x v="41"/>
    <s v="GORENG"/>
    <n v="3000"/>
    <n v="260"/>
    <n v="780000"/>
    <n v="180"/>
  </r>
  <r>
    <x v="7"/>
    <s v="JUL"/>
    <x v="27"/>
    <s v="GRSM 6"/>
    <x v="2"/>
    <s v="GMM"/>
    <n v="211163"/>
    <n v="3703219"/>
    <x v="22"/>
    <x v="44"/>
    <s v="BOLOGNESE"/>
    <n v="2900"/>
    <n v="125"/>
    <n v="362500"/>
    <m/>
  </r>
  <r>
    <x v="7"/>
    <s v="JUL"/>
    <x v="27"/>
    <s v="GRSM 6"/>
    <x v="2"/>
    <s v="GMM"/>
    <n v="211163"/>
    <n v="3703219"/>
    <x v="22"/>
    <x v="44"/>
    <s v="CARBONARA"/>
    <n v="2900"/>
    <n v="139"/>
    <n v="403100"/>
    <m/>
  </r>
  <r>
    <x v="7"/>
    <s v="JUL"/>
    <x v="27"/>
    <s v="GRSM 6"/>
    <x v="2"/>
    <s v="GMM"/>
    <n v="211163"/>
    <n v="3703219"/>
    <x v="22"/>
    <x v="44"/>
    <s v="AGLIO OLIO"/>
    <n v="2900"/>
    <n v="0"/>
    <n v="0"/>
    <m/>
  </r>
  <r>
    <x v="7"/>
    <s v="JUL"/>
    <x v="27"/>
    <s v="GRSM 6"/>
    <x v="2"/>
    <s v="GMM"/>
    <n v="211163"/>
    <n v="3703219"/>
    <x v="22"/>
    <x v="44"/>
    <s v="GORENG"/>
    <n v="2900"/>
    <n v="228"/>
    <n v="661200"/>
    <n v="160"/>
  </r>
  <r>
    <x v="7"/>
    <s v="JUL"/>
    <x v="27"/>
    <s v="GRSM 6"/>
    <x v="2"/>
    <s v="GMM"/>
    <n v="211163"/>
    <n v="3703219"/>
    <x v="22"/>
    <x v="45"/>
    <s v="BOLOGNESE"/>
    <n v="2900"/>
    <n v="125"/>
    <n v="362500"/>
    <m/>
  </r>
  <r>
    <x v="7"/>
    <s v="JUL"/>
    <x v="27"/>
    <s v="GRSM 6"/>
    <x v="2"/>
    <s v="GMM"/>
    <n v="211163"/>
    <n v="3703219"/>
    <x v="22"/>
    <x v="45"/>
    <s v="CARBONARA"/>
    <n v="2900"/>
    <n v="139"/>
    <n v="403100"/>
    <m/>
  </r>
  <r>
    <x v="7"/>
    <s v="JUL"/>
    <x v="27"/>
    <s v="GRSM 6"/>
    <x v="2"/>
    <s v="GMM"/>
    <n v="211163"/>
    <n v="3703219"/>
    <x v="22"/>
    <x v="45"/>
    <s v="AGLIO OLIO"/>
    <n v="2900"/>
    <n v="0"/>
    <n v="0"/>
    <m/>
  </r>
  <r>
    <x v="7"/>
    <s v="JUL"/>
    <x v="27"/>
    <s v="GRSM 6"/>
    <x v="2"/>
    <s v="GMM"/>
    <n v="211163"/>
    <n v="3703219"/>
    <x v="22"/>
    <x v="45"/>
    <s v="GORENG"/>
    <n v="2900"/>
    <n v="228"/>
    <n v="661200"/>
    <n v="160"/>
  </r>
  <r>
    <x v="7"/>
    <s v="JUL"/>
    <x v="27"/>
    <s v="GRSM 6"/>
    <x v="2"/>
    <s v="GMM"/>
    <n v="211163"/>
    <n v="3703215"/>
    <x v="23"/>
    <x v="46"/>
    <s v="BOLOGNESE"/>
    <n v="5800"/>
    <n v="34"/>
    <n v="197200"/>
    <m/>
  </r>
  <r>
    <x v="7"/>
    <s v="JUL"/>
    <x v="27"/>
    <s v="GRSM 6"/>
    <x v="2"/>
    <s v="GMM"/>
    <n v="211163"/>
    <n v="3703215"/>
    <x v="23"/>
    <x v="46"/>
    <s v="CARBONARA"/>
    <n v="5800"/>
    <n v="48"/>
    <n v="278400"/>
    <m/>
  </r>
  <r>
    <x v="7"/>
    <s v="JUL"/>
    <x v="27"/>
    <s v="GRSM 6"/>
    <x v="2"/>
    <s v="GMM"/>
    <n v="211163"/>
    <n v="3703215"/>
    <x v="23"/>
    <x v="46"/>
    <s v="AGLIO OLIO"/>
    <n v="5800"/>
    <n v="0"/>
    <n v="0"/>
    <m/>
  </r>
  <r>
    <x v="7"/>
    <s v="JUL"/>
    <x v="27"/>
    <s v="GRSM 6"/>
    <x v="2"/>
    <s v="GMM"/>
    <n v="211163"/>
    <n v="3703215"/>
    <x v="23"/>
    <x v="46"/>
    <s v="GORENG"/>
    <n v="5800"/>
    <n v="96"/>
    <n v="556800"/>
    <n v="154"/>
  </r>
  <r>
    <x v="7"/>
    <s v="JUL"/>
    <x v="27"/>
    <s v="GRSM 6"/>
    <x v="2"/>
    <s v="GMM"/>
    <n v="211163"/>
    <n v="3703215"/>
    <x v="23"/>
    <x v="47"/>
    <s v="BOLOGNESE"/>
    <n v="5800"/>
    <n v="34"/>
    <n v="197200"/>
    <m/>
  </r>
  <r>
    <x v="7"/>
    <s v="JUL"/>
    <x v="27"/>
    <s v="GRSM 6"/>
    <x v="2"/>
    <s v="GMM"/>
    <n v="211163"/>
    <n v="3703215"/>
    <x v="23"/>
    <x v="47"/>
    <s v="CARBONARA"/>
    <n v="5800"/>
    <n v="48"/>
    <n v="278400"/>
    <m/>
  </r>
  <r>
    <x v="7"/>
    <s v="JUL"/>
    <x v="27"/>
    <s v="GRSM 6"/>
    <x v="2"/>
    <s v="GMM"/>
    <n v="211163"/>
    <n v="3703215"/>
    <x v="23"/>
    <x v="47"/>
    <s v="AGLIO OLIO"/>
    <n v="5800"/>
    <n v="0"/>
    <n v="0"/>
    <m/>
  </r>
  <r>
    <x v="7"/>
    <s v="JUL"/>
    <x v="27"/>
    <s v="GRSM 6"/>
    <x v="2"/>
    <s v="GMM"/>
    <n v="211163"/>
    <n v="3703215"/>
    <x v="23"/>
    <x v="47"/>
    <s v="GORENG"/>
    <n v="5800"/>
    <n v="96"/>
    <n v="556800"/>
    <n v="154"/>
  </r>
  <r>
    <x v="7"/>
    <s v="JUL"/>
    <x v="27"/>
    <s v="GRSM 6"/>
    <x v="2"/>
    <s v="GMM"/>
    <n v="103765"/>
    <n v="4305267"/>
    <x v="24"/>
    <x v="48"/>
    <s v="BOLOGNESE"/>
    <n v="3000"/>
    <n v="145"/>
    <n v="435000"/>
    <m/>
  </r>
  <r>
    <x v="7"/>
    <s v="JUL"/>
    <x v="27"/>
    <s v="GRSM 6"/>
    <x v="2"/>
    <s v="GMM"/>
    <n v="103765"/>
    <n v="4305267"/>
    <x v="24"/>
    <x v="48"/>
    <s v="CARBONARA"/>
    <n v="3000"/>
    <n v="101"/>
    <n v="303000"/>
    <m/>
  </r>
  <r>
    <x v="7"/>
    <s v="JUL"/>
    <x v="27"/>
    <s v="GRSM 6"/>
    <x v="2"/>
    <s v="GMM"/>
    <n v="103765"/>
    <n v="4305267"/>
    <x v="24"/>
    <x v="48"/>
    <s v="AGLIO OLIO"/>
    <n v="3000"/>
    <n v="72"/>
    <n v="216000"/>
    <m/>
  </r>
  <r>
    <x v="7"/>
    <s v="JUL"/>
    <x v="27"/>
    <s v="GRSM 6"/>
    <x v="2"/>
    <s v="GMM"/>
    <n v="103765"/>
    <n v="4305267"/>
    <x v="24"/>
    <x v="48"/>
    <s v="GORENG"/>
    <n v="3000"/>
    <n v="185"/>
    <n v="555000"/>
    <n v="160"/>
  </r>
  <r>
    <x v="7"/>
    <s v="JUL"/>
    <x v="27"/>
    <s v="GRSM 6"/>
    <x v="2"/>
    <s v="GMM"/>
    <n v="103765"/>
    <n v="4305267"/>
    <x v="24"/>
    <x v="49"/>
    <s v="BOLOGNESE"/>
    <n v="3000"/>
    <n v="145"/>
    <n v="435000"/>
    <m/>
  </r>
  <r>
    <x v="7"/>
    <s v="JUL"/>
    <x v="27"/>
    <s v="GRSM 6"/>
    <x v="2"/>
    <s v="GMM"/>
    <n v="103765"/>
    <n v="4305267"/>
    <x v="24"/>
    <x v="49"/>
    <s v="CARBONARA"/>
    <n v="3000"/>
    <n v="101"/>
    <n v="303000"/>
    <m/>
  </r>
  <r>
    <x v="7"/>
    <s v="JUL"/>
    <x v="27"/>
    <s v="GRSM 6"/>
    <x v="2"/>
    <s v="GMM"/>
    <n v="103765"/>
    <n v="4305267"/>
    <x v="24"/>
    <x v="49"/>
    <s v="AGLIO OLIO"/>
    <n v="3000"/>
    <n v="72"/>
    <n v="216000"/>
    <m/>
  </r>
  <r>
    <x v="7"/>
    <s v="JUL"/>
    <x v="27"/>
    <s v="GRSM 6"/>
    <x v="2"/>
    <s v="GMM"/>
    <n v="103765"/>
    <n v="4305267"/>
    <x v="24"/>
    <x v="49"/>
    <s v="GORENG"/>
    <n v="3000"/>
    <n v="185"/>
    <n v="555000"/>
    <n v="160"/>
  </r>
  <r>
    <x v="8"/>
    <s v="JUL"/>
    <x v="28"/>
    <s v="GRSM 4"/>
    <x v="0"/>
    <s v="GMM"/>
    <n v="121409"/>
    <n v="5205014"/>
    <x v="12"/>
    <x v="26"/>
    <s v="AGLIO OLIO"/>
    <n v="2100"/>
    <n v="73"/>
    <n v="153300"/>
    <m/>
  </r>
  <r>
    <x v="8"/>
    <s v="JUL"/>
    <x v="28"/>
    <s v="GRSM 4"/>
    <x v="0"/>
    <s v="GMM"/>
    <n v="121409"/>
    <n v="5205014"/>
    <x v="12"/>
    <x v="26"/>
    <s v="CARBONARA"/>
    <n v="2100"/>
    <n v="77"/>
    <n v="161700"/>
    <m/>
  </r>
  <r>
    <x v="8"/>
    <s v="JUL"/>
    <x v="28"/>
    <s v="GRSM 4"/>
    <x v="0"/>
    <s v="GMM"/>
    <n v="121409"/>
    <n v="5205014"/>
    <x v="12"/>
    <x v="26"/>
    <s v="BOLOGNESE"/>
    <n v="2100"/>
    <n v="56"/>
    <n v="117600"/>
    <m/>
  </r>
  <r>
    <x v="8"/>
    <s v="JUL"/>
    <x v="28"/>
    <s v="GRSM 4"/>
    <x v="0"/>
    <s v="GMM"/>
    <n v="121409"/>
    <n v="5205014"/>
    <x v="12"/>
    <x v="26"/>
    <s v="GORENG"/>
    <n v="2100"/>
    <n v="139"/>
    <n v="291900"/>
    <n v="160"/>
  </r>
  <r>
    <x v="8"/>
    <s v="JUL"/>
    <x v="28"/>
    <s v="GRSM 4"/>
    <x v="0"/>
    <s v="GMM"/>
    <n v="121409"/>
    <n v="5205014"/>
    <x v="12"/>
    <x v="27"/>
    <s v="AGLIO OLIO"/>
    <n v="2100"/>
    <n v="73"/>
    <n v="153300"/>
    <m/>
  </r>
  <r>
    <x v="8"/>
    <s v="JUL"/>
    <x v="28"/>
    <s v="GRSM 4"/>
    <x v="0"/>
    <s v="GMM"/>
    <n v="121409"/>
    <n v="5205014"/>
    <x v="12"/>
    <x v="27"/>
    <s v="CARBONARA"/>
    <n v="2100"/>
    <n v="77"/>
    <n v="161700"/>
    <m/>
  </r>
  <r>
    <x v="8"/>
    <s v="JUL"/>
    <x v="28"/>
    <s v="GRSM 4"/>
    <x v="0"/>
    <s v="GMM"/>
    <n v="121409"/>
    <n v="5205014"/>
    <x v="12"/>
    <x v="27"/>
    <s v="BOLOGNESE"/>
    <n v="2100"/>
    <n v="56"/>
    <n v="117600"/>
    <m/>
  </r>
  <r>
    <x v="8"/>
    <s v="JUL"/>
    <x v="28"/>
    <s v="GRSM 4"/>
    <x v="0"/>
    <s v="GMM"/>
    <n v="121409"/>
    <n v="5205014"/>
    <x v="12"/>
    <x v="27"/>
    <s v="GORENG"/>
    <n v="2100"/>
    <n v="139"/>
    <n v="291900"/>
    <n v="160"/>
  </r>
  <r>
    <x v="8"/>
    <s v="JUL"/>
    <x v="28"/>
    <s v="GRSM 4"/>
    <x v="0"/>
    <s v="GMM"/>
    <n v="103277"/>
    <n v="6300700"/>
    <x v="11"/>
    <x v="25"/>
    <s v="AGLIO OLIO"/>
    <n v="3000"/>
    <n v="35"/>
    <n v="105000"/>
    <m/>
  </r>
  <r>
    <x v="8"/>
    <s v="JUL"/>
    <x v="28"/>
    <s v="GRSM 4"/>
    <x v="0"/>
    <s v="GMM"/>
    <n v="103277"/>
    <n v="6300700"/>
    <x v="11"/>
    <x v="25"/>
    <s v="CARBONARA"/>
    <n v="3000"/>
    <n v="50"/>
    <n v="150000"/>
    <m/>
  </r>
  <r>
    <x v="8"/>
    <s v="JUL"/>
    <x v="28"/>
    <s v="GRSM 4"/>
    <x v="0"/>
    <s v="GMM"/>
    <n v="103277"/>
    <n v="6300700"/>
    <x v="11"/>
    <x v="25"/>
    <s v="BOLOGNESE"/>
    <n v="3000"/>
    <n v="50"/>
    <n v="150000"/>
    <m/>
  </r>
  <r>
    <x v="8"/>
    <s v="JUL"/>
    <x v="28"/>
    <s v="GRSM 4"/>
    <x v="0"/>
    <s v="GMM"/>
    <n v="103277"/>
    <n v="6300700"/>
    <x v="11"/>
    <x v="25"/>
    <s v="GORENG"/>
    <n v="3000"/>
    <n v="145"/>
    <n v="435000"/>
    <n v="160"/>
  </r>
  <r>
    <x v="8"/>
    <s v="JUL"/>
    <x v="28"/>
    <s v="GRSM 4"/>
    <x v="0"/>
    <s v="GMM"/>
    <n v="189901"/>
    <n v="1602016"/>
    <x v="16"/>
    <x v="32"/>
    <s v="AGLIO OLIO"/>
    <n v="3400"/>
    <n v="100"/>
    <n v="340000"/>
    <m/>
  </r>
  <r>
    <x v="8"/>
    <s v="JUL"/>
    <x v="28"/>
    <s v="GRSM 4"/>
    <x v="0"/>
    <s v="GMM"/>
    <n v="189901"/>
    <n v="1602016"/>
    <x v="16"/>
    <x v="32"/>
    <s v="CARBONARA"/>
    <n v="3400"/>
    <n v="110"/>
    <n v="374000"/>
    <m/>
  </r>
  <r>
    <x v="8"/>
    <s v="JUL"/>
    <x v="28"/>
    <s v="GRSM 4"/>
    <x v="0"/>
    <s v="GMM"/>
    <n v="189901"/>
    <n v="1602016"/>
    <x v="16"/>
    <x v="32"/>
    <s v="BOLOGNESE"/>
    <n v="3400"/>
    <n v="100"/>
    <n v="340000"/>
    <m/>
  </r>
  <r>
    <x v="8"/>
    <s v="JUL"/>
    <x v="28"/>
    <s v="GRSM 4"/>
    <x v="0"/>
    <s v="GMM"/>
    <n v="189901"/>
    <n v="1602016"/>
    <x v="16"/>
    <x v="32"/>
    <s v="GORENG"/>
    <n v="3400"/>
    <n v="140"/>
    <n v="476000"/>
    <n v="80"/>
  </r>
  <r>
    <x v="8"/>
    <s v="JUL"/>
    <x v="28"/>
    <s v="GRSM 4"/>
    <x v="0"/>
    <s v="GMM"/>
    <n v="189901"/>
    <n v="1602016"/>
    <x v="16"/>
    <x v="31"/>
    <s v="AGLIO OLIO"/>
    <n v="3400"/>
    <n v="100"/>
    <n v="340000"/>
    <m/>
  </r>
  <r>
    <x v="8"/>
    <s v="JUL"/>
    <x v="28"/>
    <s v="GRSM 4"/>
    <x v="0"/>
    <s v="GMM"/>
    <n v="189901"/>
    <n v="1602016"/>
    <x v="16"/>
    <x v="31"/>
    <s v="CARBONARA"/>
    <n v="3400"/>
    <n v="100"/>
    <n v="340000"/>
    <m/>
  </r>
  <r>
    <x v="8"/>
    <s v="JUL"/>
    <x v="28"/>
    <s v="GRSM 4"/>
    <x v="0"/>
    <s v="GMM"/>
    <n v="189901"/>
    <n v="1602016"/>
    <x v="16"/>
    <x v="31"/>
    <s v="BOLOGNESE"/>
    <n v="3400"/>
    <n v="110"/>
    <n v="374000"/>
    <m/>
  </r>
  <r>
    <x v="8"/>
    <s v="JUL"/>
    <x v="28"/>
    <s v="GRSM 4"/>
    <x v="0"/>
    <s v="GMM"/>
    <n v="189901"/>
    <n v="1602016"/>
    <x v="16"/>
    <x v="31"/>
    <s v="GORENG"/>
    <n v="3400"/>
    <n v="130"/>
    <n v="442000"/>
    <n v="80"/>
  </r>
  <r>
    <x v="8"/>
    <s v="JUL"/>
    <x v="28"/>
    <s v="GRSM 4"/>
    <x v="0"/>
    <s v="GMM"/>
    <n v="103277"/>
    <n v="6300700"/>
    <x v="11"/>
    <x v="12"/>
    <s v="AGLIO OLIO"/>
    <n v="2100"/>
    <n v="50"/>
    <n v="105000"/>
    <m/>
  </r>
  <r>
    <x v="8"/>
    <s v="JUL"/>
    <x v="28"/>
    <s v="GRSM 4"/>
    <x v="0"/>
    <s v="GMM"/>
    <n v="103277"/>
    <n v="6300700"/>
    <x v="11"/>
    <x v="12"/>
    <s v="CARBONARA"/>
    <n v="2100"/>
    <n v="60"/>
    <n v="126000"/>
    <m/>
  </r>
  <r>
    <x v="8"/>
    <s v="JUL"/>
    <x v="28"/>
    <s v="GRSM 4"/>
    <x v="0"/>
    <s v="GMM"/>
    <n v="103277"/>
    <n v="6300700"/>
    <x v="11"/>
    <x v="12"/>
    <s v="BOLOGNESE"/>
    <n v="2100"/>
    <n v="65"/>
    <n v="136500"/>
    <m/>
  </r>
  <r>
    <x v="8"/>
    <s v="JUL"/>
    <x v="28"/>
    <s v="GRSM 4"/>
    <x v="0"/>
    <s v="GMM"/>
    <n v="103277"/>
    <n v="6300700"/>
    <x v="11"/>
    <x v="12"/>
    <s v="GORENG"/>
    <n v="2100"/>
    <n v="105"/>
    <n v="220500"/>
    <n v="160"/>
  </r>
  <r>
    <x v="8"/>
    <s v="JUL"/>
    <x v="28"/>
    <s v="GRSM 4"/>
    <x v="0"/>
    <s v="GMM"/>
    <n v="189901"/>
    <n v="1602018"/>
    <x v="28"/>
    <x v="22"/>
    <s v="AGLIO OLIO"/>
    <n v="3500"/>
    <n v="20"/>
    <n v="70000"/>
    <m/>
  </r>
  <r>
    <x v="8"/>
    <s v="JUL"/>
    <x v="28"/>
    <s v="GRSM 4"/>
    <x v="0"/>
    <s v="GMM"/>
    <n v="189901"/>
    <n v="1602018"/>
    <x v="28"/>
    <x v="22"/>
    <s v="CARBONARA"/>
    <n v="3500"/>
    <n v="25"/>
    <n v="87500"/>
    <m/>
  </r>
  <r>
    <x v="8"/>
    <s v="JUL"/>
    <x v="28"/>
    <s v="GRSM 4"/>
    <x v="0"/>
    <s v="GMM"/>
    <n v="189901"/>
    <n v="1602018"/>
    <x v="28"/>
    <x v="22"/>
    <s v="BOLOGNESE"/>
    <n v="3500"/>
    <n v="30"/>
    <n v="105000"/>
    <m/>
  </r>
  <r>
    <x v="8"/>
    <s v="JUL"/>
    <x v="28"/>
    <s v="GRSM 4"/>
    <x v="0"/>
    <s v="GMM"/>
    <n v="189901"/>
    <n v="1602018"/>
    <x v="28"/>
    <x v="22"/>
    <s v="GORENG"/>
    <n v="3500"/>
    <n v="43"/>
    <n v="150500"/>
    <n v="160"/>
  </r>
  <r>
    <x v="8"/>
    <s v="JUL"/>
    <x v="28"/>
    <s v="GRSM 4"/>
    <x v="0"/>
    <s v="GMM"/>
    <n v="189901"/>
    <n v="1602008"/>
    <x v="13"/>
    <x v="14"/>
    <s v="AGLIO OLIO"/>
    <n v="3300"/>
    <n v="90"/>
    <n v="297000"/>
    <m/>
  </r>
  <r>
    <x v="8"/>
    <s v="JUL"/>
    <x v="28"/>
    <s v="GRSM 4"/>
    <x v="0"/>
    <s v="GMM"/>
    <n v="189901"/>
    <n v="1602008"/>
    <x v="13"/>
    <x v="14"/>
    <s v="CARBONARA"/>
    <n v="3300"/>
    <n v="78"/>
    <n v="257400"/>
    <m/>
  </r>
  <r>
    <x v="8"/>
    <s v="JUL"/>
    <x v="28"/>
    <s v="GRSM 4"/>
    <x v="0"/>
    <s v="GMM"/>
    <n v="189901"/>
    <n v="1602008"/>
    <x v="13"/>
    <x v="14"/>
    <s v="BOLOGNESE"/>
    <n v="3300"/>
    <n v="89"/>
    <n v="293700"/>
    <m/>
  </r>
  <r>
    <x v="8"/>
    <s v="JUL"/>
    <x v="28"/>
    <s v="GRSM 4"/>
    <x v="0"/>
    <s v="GMM"/>
    <n v="189901"/>
    <n v="1602008"/>
    <x v="13"/>
    <x v="14"/>
    <s v="GORENG"/>
    <n v="3300"/>
    <n v="150"/>
    <n v="495000"/>
    <n v="160"/>
  </r>
  <r>
    <x v="8"/>
    <s v="JUL"/>
    <x v="28"/>
    <s v="GRSM 4"/>
    <x v="0"/>
    <s v="GMM"/>
    <n v="189901"/>
    <n v="1602008"/>
    <x v="13"/>
    <x v="56"/>
    <s v="AGLIO OLIO"/>
    <n v="3300"/>
    <n v="50"/>
    <n v="165000"/>
    <m/>
  </r>
  <r>
    <x v="8"/>
    <s v="JUL"/>
    <x v="28"/>
    <s v="GRSM 4"/>
    <x v="0"/>
    <s v="GMM"/>
    <n v="189901"/>
    <n v="1602008"/>
    <x v="13"/>
    <x v="56"/>
    <s v="CARBONARA"/>
    <n v="3300"/>
    <n v="50"/>
    <n v="165000"/>
    <m/>
  </r>
  <r>
    <x v="8"/>
    <s v="JUL"/>
    <x v="28"/>
    <s v="GRSM 4"/>
    <x v="0"/>
    <s v="GMM"/>
    <n v="189901"/>
    <n v="1602008"/>
    <x v="13"/>
    <x v="56"/>
    <s v="BOLOGNESE"/>
    <n v="3300"/>
    <n v="60"/>
    <n v="198000"/>
    <m/>
  </r>
  <r>
    <x v="8"/>
    <s v="JUL"/>
    <x v="28"/>
    <s v="GRSM 4"/>
    <x v="0"/>
    <s v="GMM"/>
    <n v="189901"/>
    <n v="1602008"/>
    <x v="13"/>
    <x v="56"/>
    <s v="GORENG"/>
    <n v="3300"/>
    <n v="110"/>
    <n v="363000"/>
    <n v="160"/>
  </r>
  <r>
    <x v="8"/>
    <s v="JUL"/>
    <x v="28"/>
    <s v="GRSM 4"/>
    <x v="0"/>
    <s v="GMM"/>
    <n v="189901"/>
    <n v="1602057"/>
    <x v="10"/>
    <x v="15"/>
    <s v="AGLIO OLIO"/>
    <n v="2150"/>
    <n v="96"/>
    <n v="206400"/>
    <m/>
  </r>
  <r>
    <x v="8"/>
    <s v="JUL"/>
    <x v="28"/>
    <s v="GRSM 4"/>
    <x v="0"/>
    <s v="GMM"/>
    <n v="189901"/>
    <n v="1602057"/>
    <x v="10"/>
    <x v="15"/>
    <s v="CARBONARA"/>
    <n v="2150"/>
    <n v="144"/>
    <n v="309600"/>
    <m/>
  </r>
  <r>
    <x v="8"/>
    <s v="JUL"/>
    <x v="28"/>
    <s v="GRSM 4"/>
    <x v="0"/>
    <s v="GMM"/>
    <n v="189901"/>
    <n v="1602057"/>
    <x v="10"/>
    <x v="15"/>
    <s v="BOLOGNESE"/>
    <n v="2150"/>
    <n v="132"/>
    <n v="283800"/>
    <m/>
  </r>
  <r>
    <x v="8"/>
    <s v="JUL"/>
    <x v="28"/>
    <s v="GRSM 4"/>
    <x v="0"/>
    <s v="GMM"/>
    <n v="189901"/>
    <n v="1602057"/>
    <x v="10"/>
    <x v="15"/>
    <s v="GORENG"/>
    <n v="2150"/>
    <n v="174"/>
    <n v="374100"/>
    <n v="160"/>
  </r>
  <r>
    <x v="8"/>
    <s v="JUL"/>
    <x v="29"/>
    <s v="GRSM 4"/>
    <x v="0"/>
    <s v="GMM"/>
    <n v="103257"/>
    <n v="9162509"/>
    <x v="25"/>
    <x v="57"/>
    <s v="AGLIO OLIO"/>
    <n v="3100"/>
    <n v="50"/>
    <n v="155000"/>
    <m/>
  </r>
  <r>
    <x v="8"/>
    <s v="JUL"/>
    <x v="29"/>
    <s v="GRSM 4"/>
    <x v="0"/>
    <s v="GMM"/>
    <n v="103257"/>
    <n v="9162509"/>
    <x v="25"/>
    <x v="57"/>
    <s v="CARBONARA"/>
    <n v="3100"/>
    <n v="55"/>
    <n v="170500"/>
    <m/>
  </r>
  <r>
    <x v="8"/>
    <s v="JUL"/>
    <x v="29"/>
    <s v="GRSM 4"/>
    <x v="0"/>
    <s v="GMM"/>
    <n v="103257"/>
    <n v="9162509"/>
    <x v="25"/>
    <x v="57"/>
    <s v="BOLOGNESE"/>
    <n v="3100"/>
    <n v="60"/>
    <n v="186000"/>
    <m/>
  </r>
  <r>
    <x v="8"/>
    <s v="JUL"/>
    <x v="29"/>
    <s v="GRSM 4"/>
    <x v="0"/>
    <s v="GMM"/>
    <n v="103257"/>
    <n v="9162509"/>
    <x v="25"/>
    <x v="57"/>
    <s v="GORENG"/>
    <n v="3100"/>
    <n v="40"/>
    <n v="124000"/>
    <n v="160"/>
  </r>
  <r>
    <x v="8"/>
    <s v="JUL"/>
    <x v="29"/>
    <s v="GRSM 4"/>
    <x v="0"/>
    <s v="GMM"/>
    <n v="103257"/>
    <n v="9162509"/>
    <x v="25"/>
    <x v="58"/>
    <s v="AGLIO OLIO"/>
    <n v="3100"/>
    <n v="40"/>
    <n v="124000"/>
    <m/>
  </r>
  <r>
    <x v="8"/>
    <s v="JUL"/>
    <x v="29"/>
    <s v="GRSM 4"/>
    <x v="0"/>
    <s v="GMM"/>
    <n v="103257"/>
    <n v="9162509"/>
    <x v="25"/>
    <x v="58"/>
    <s v="CARBONARA"/>
    <n v="3100"/>
    <n v="52"/>
    <n v="161200"/>
    <m/>
  </r>
  <r>
    <x v="8"/>
    <s v="JUL"/>
    <x v="29"/>
    <s v="GRSM 4"/>
    <x v="0"/>
    <s v="GMM"/>
    <n v="103257"/>
    <n v="9162509"/>
    <x v="25"/>
    <x v="58"/>
    <s v="BOLOGNESE"/>
    <n v="3100"/>
    <n v="55"/>
    <n v="170500"/>
    <m/>
  </r>
  <r>
    <x v="8"/>
    <s v="JUL"/>
    <x v="29"/>
    <s v="GRSM 4"/>
    <x v="0"/>
    <s v="GMM"/>
    <n v="103257"/>
    <n v="9162509"/>
    <x v="25"/>
    <x v="58"/>
    <s v="GORENG"/>
    <n v="3100"/>
    <n v="33"/>
    <n v="102300"/>
    <n v="160"/>
  </r>
  <r>
    <x v="8"/>
    <s v="JUL"/>
    <x v="28"/>
    <s v="GRSM 4"/>
    <x v="0"/>
    <s v="GMM"/>
    <n v="189901"/>
    <n v="1602018"/>
    <x v="28"/>
    <x v="23"/>
    <s v="AGLIO OLIO"/>
    <n v="3500"/>
    <n v="20"/>
    <n v="70000"/>
    <m/>
  </r>
  <r>
    <x v="8"/>
    <s v="JUL"/>
    <x v="28"/>
    <s v="GRSM 4"/>
    <x v="0"/>
    <s v="GMM"/>
    <n v="189901"/>
    <n v="1602018"/>
    <x v="28"/>
    <x v="23"/>
    <s v="CARBONARA"/>
    <n v="3500"/>
    <n v="25"/>
    <n v="87500"/>
    <m/>
  </r>
  <r>
    <x v="8"/>
    <s v="JUL"/>
    <x v="28"/>
    <s v="GRSM 4"/>
    <x v="0"/>
    <s v="GMM"/>
    <n v="189901"/>
    <n v="1602018"/>
    <x v="28"/>
    <x v="23"/>
    <s v="BOLOGNESE"/>
    <n v="3500"/>
    <n v="30"/>
    <n v="105000"/>
    <m/>
  </r>
  <r>
    <x v="8"/>
    <s v="JUL"/>
    <x v="28"/>
    <s v="GRSM 4"/>
    <x v="0"/>
    <s v="GMM"/>
    <n v="189901"/>
    <n v="1602018"/>
    <x v="28"/>
    <x v="23"/>
    <s v="GORENG"/>
    <n v="3500"/>
    <n v="40"/>
    <n v="140000"/>
    <n v="160"/>
  </r>
  <r>
    <x v="8"/>
    <s v="JUL"/>
    <x v="28"/>
    <s v="GRSM 4"/>
    <x v="0"/>
    <s v="GMM"/>
    <n v="189901"/>
    <n v="1602057"/>
    <x v="10"/>
    <x v="24"/>
    <s v="AGLIO OLIO"/>
    <n v="2150"/>
    <n v="96"/>
    <n v="206400"/>
    <m/>
  </r>
  <r>
    <x v="8"/>
    <s v="JUL"/>
    <x v="28"/>
    <s v="GRSM 4"/>
    <x v="0"/>
    <s v="GMM"/>
    <n v="189901"/>
    <n v="1602057"/>
    <x v="10"/>
    <x v="24"/>
    <s v="CARBONARA"/>
    <n v="2150"/>
    <n v="114"/>
    <n v="245100"/>
    <m/>
  </r>
  <r>
    <x v="8"/>
    <s v="JUL"/>
    <x v="28"/>
    <s v="GRSM 4"/>
    <x v="0"/>
    <s v="GMM"/>
    <n v="189901"/>
    <n v="1602057"/>
    <x v="10"/>
    <x v="24"/>
    <s v="BOLOGNESE"/>
    <n v="2150"/>
    <n v="123"/>
    <n v="264450"/>
    <m/>
  </r>
  <r>
    <x v="8"/>
    <s v="JUL"/>
    <x v="28"/>
    <s v="GRSM 4"/>
    <x v="0"/>
    <s v="GMM"/>
    <n v="189901"/>
    <n v="1602057"/>
    <x v="10"/>
    <x v="24"/>
    <s v="GORENG"/>
    <n v="2150"/>
    <n v="138"/>
    <n v="296700"/>
    <n v="160"/>
  </r>
  <r>
    <x v="8"/>
    <s v="JUL"/>
    <x v="29"/>
    <s v="GRSM 4"/>
    <x v="0"/>
    <s v="GMM"/>
    <n v="103277"/>
    <n v="6300700"/>
    <x v="11"/>
    <x v="25"/>
    <s v="AGLIO OLIO"/>
    <n v="3000"/>
    <n v="90"/>
    <n v="270000"/>
    <m/>
  </r>
  <r>
    <x v="8"/>
    <s v="JUL"/>
    <x v="29"/>
    <s v="GRSM 4"/>
    <x v="0"/>
    <s v="GMM"/>
    <n v="103277"/>
    <n v="6300700"/>
    <x v="11"/>
    <x v="25"/>
    <s v="CARBONARA"/>
    <n v="3000"/>
    <n v="85"/>
    <n v="255000"/>
    <m/>
  </r>
  <r>
    <x v="8"/>
    <s v="JUL"/>
    <x v="29"/>
    <s v="GRSM 4"/>
    <x v="0"/>
    <s v="GMM"/>
    <n v="103277"/>
    <n v="6300700"/>
    <x v="11"/>
    <x v="25"/>
    <s v="BOLOGNESE"/>
    <n v="3000"/>
    <n v="98"/>
    <n v="294000"/>
    <m/>
  </r>
  <r>
    <x v="8"/>
    <s v="JUL"/>
    <x v="29"/>
    <s v="GRSM 4"/>
    <x v="0"/>
    <s v="GMM"/>
    <n v="103277"/>
    <n v="6300700"/>
    <x v="11"/>
    <x v="25"/>
    <s v="GORENG"/>
    <n v="3000"/>
    <n v="17"/>
    <n v="51000"/>
    <n v="160"/>
  </r>
  <r>
    <x v="8"/>
    <s v="JUL"/>
    <x v="29"/>
    <s v="GRSM 4"/>
    <x v="0"/>
    <s v="GMM"/>
    <n v="103277"/>
    <n v="6300700"/>
    <x v="11"/>
    <x v="12"/>
    <s v="AGLIO OLIO"/>
    <n v="3000"/>
    <n v="90"/>
    <n v="270000"/>
    <m/>
  </r>
  <r>
    <x v="8"/>
    <s v="JUL"/>
    <x v="29"/>
    <s v="GRSM 4"/>
    <x v="0"/>
    <s v="GMM"/>
    <n v="103277"/>
    <n v="6300700"/>
    <x v="11"/>
    <x v="12"/>
    <s v="CARBONARA"/>
    <n v="3000"/>
    <n v="85"/>
    <n v="255000"/>
    <m/>
  </r>
  <r>
    <x v="8"/>
    <s v="JUL"/>
    <x v="29"/>
    <s v="GRSM 4"/>
    <x v="0"/>
    <s v="GMM"/>
    <n v="103277"/>
    <n v="6300700"/>
    <x v="11"/>
    <x v="12"/>
    <s v="BOLOGNESE"/>
    <n v="3000"/>
    <n v="98"/>
    <n v="294000"/>
    <m/>
  </r>
  <r>
    <x v="8"/>
    <s v="JUL"/>
    <x v="29"/>
    <s v="GRSM 4"/>
    <x v="0"/>
    <s v="GMM"/>
    <n v="103277"/>
    <n v="6300700"/>
    <x v="11"/>
    <x v="12"/>
    <s v="GORENG"/>
    <n v="3000"/>
    <n v="17"/>
    <n v="51000"/>
    <n v="160"/>
  </r>
  <r>
    <x v="8"/>
    <s v="JUL"/>
    <x v="29"/>
    <s v="GRSM 4"/>
    <x v="0"/>
    <s v="GMM"/>
    <n v="121409"/>
    <n v="5205014"/>
    <x v="12"/>
    <x v="27"/>
    <s v="AGLIO OLIO"/>
    <n v="2100"/>
    <n v="60"/>
    <n v="126000"/>
    <m/>
  </r>
  <r>
    <x v="8"/>
    <s v="JUL"/>
    <x v="29"/>
    <s v="GRSM 4"/>
    <x v="0"/>
    <s v="GMM"/>
    <n v="121409"/>
    <n v="5205014"/>
    <x v="12"/>
    <x v="27"/>
    <s v="CARBONARA"/>
    <n v="2100"/>
    <n v="242"/>
    <n v="508200"/>
    <m/>
  </r>
  <r>
    <x v="8"/>
    <s v="JUL"/>
    <x v="29"/>
    <s v="GRSM 4"/>
    <x v="0"/>
    <s v="GMM"/>
    <n v="121409"/>
    <n v="5205014"/>
    <x v="12"/>
    <x v="27"/>
    <s v="BOLOGNESE"/>
    <n v="2100"/>
    <n v="148"/>
    <n v="310800"/>
    <m/>
  </r>
  <r>
    <x v="8"/>
    <s v="JUL"/>
    <x v="29"/>
    <s v="GRSM 4"/>
    <x v="0"/>
    <s v="GMM"/>
    <n v="121409"/>
    <n v="5205014"/>
    <x v="12"/>
    <x v="27"/>
    <s v="GORENG"/>
    <n v="2100"/>
    <n v="298"/>
    <n v="625800"/>
    <n v="160"/>
  </r>
  <r>
    <x v="8"/>
    <s v="JUL"/>
    <x v="29"/>
    <s v="GRSM 4"/>
    <x v="0"/>
    <s v="GMM"/>
    <n v="121409"/>
    <n v="5205014"/>
    <x v="12"/>
    <x v="26"/>
    <s v="AGLIO OLIO"/>
    <n v="2100"/>
    <n v="60"/>
    <n v="126000"/>
    <m/>
  </r>
  <r>
    <x v="8"/>
    <s v="JUL"/>
    <x v="29"/>
    <s v="GRSM 4"/>
    <x v="0"/>
    <s v="GMM"/>
    <n v="121409"/>
    <n v="5205014"/>
    <x v="12"/>
    <x v="26"/>
    <s v="CARBONARA"/>
    <n v="2100"/>
    <n v="242"/>
    <n v="508200"/>
    <m/>
  </r>
  <r>
    <x v="8"/>
    <s v="JUL"/>
    <x v="29"/>
    <s v="GRSM 4"/>
    <x v="0"/>
    <s v="GMM"/>
    <n v="121409"/>
    <n v="5205014"/>
    <x v="12"/>
    <x v="26"/>
    <s v="BOLOGNESE"/>
    <n v="2100"/>
    <n v="148"/>
    <n v="310800"/>
    <m/>
  </r>
  <r>
    <x v="8"/>
    <s v="JUL"/>
    <x v="29"/>
    <s v="GRSM 4"/>
    <x v="0"/>
    <s v="GMM"/>
    <n v="121409"/>
    <n v="5205014"/>
    <x v="12"/>
    <x v="26"/>
    <s v="GORENG"/>
    <n v="2100"/>
    <n v="298"/>
    <n v="625800"/>
    <n v="160"/>
  </r>
  <r>
    <x v="8"/>
    <s v="JUL"/>
    <x v="29"/>
    <s v="GRSM 4"/>
    <x v="0"/>
    <s v="GMM"/>
    <n v="189901"/>
    <n v="1602057"/>
    <x v="10"/>
    <x v="15"/>
    <s v="AGLIO OLIO"/>
    <n v="2150"/>
    <n v="144"/>
    <n v="309600"/>
    <m/>
  </r>
  <r>
    <x v="8"/>
    <s v="JUL"/>
    <x v="29"/>
    <s v="GRSM 4"/>
    <x v="0"/>
    <s v="GMM"/>
    <n v="189901"/>
    <n v="1602057"/>
    <x v="10"/>
    <x v="15"/>
    <s v="CARBONARA"/>
    <n v="2150"/>
    <n v="171"/>
    <n v="367650"/>
    <m/>
  </r>
  <r>
    <x v="8"/>
    <s v="JUL"/>
    <x v="29"/>
    <s v="GRSM 4"/>
    <x v="0"/>
    <s v="GMM"/>
    <n v="189901"/>
    <n v="1602057"/>
    <x v="10"/>
    <x v="15"/>
    <s v="BOLOGNESE"/>
    <n v="2150"/>
    <n v="165"/>
    <n v="354750"/>
    <m/>
  </r>
  <r>
    <x v="8"/>
    <s v="JUL"/>
    <x v="29"/>
    <s v="GRSM 4"/>
    <x v="0"/>
    <s v="GMM"/>
    <n v="189901"/>
    <n v="1602057"/>
    <x v="10"/>
    <x v="15"/>
    <s v="GORENG"/>
    <n v="2150"/>
    <n v="225"/>
    <n v="483750"/>
    <n v="160"/>
  </r>
  <r>
    <x v="8"/>
    <s v="JUL"/>
    <x v="29"/>
    <s v="GRSM 4"/>
    <x v="0"/>
    <s v="GMM"/>
    <n v="189901"/>
    <n v="1602057"/>
    <x v="10"/>
    <x v="24"/>
    <s v="AGLIO OLIO"/>
    <n v="2150"/>
    <n v="135"/>
    <n v="290250"/>
    <m/>
  </r>
  <r>
    <x v="8"/>
    <s v="JUL"/>
    <x v="29"/>
    <s v="GRSM 4"/>
    <x v="0"/>
    <s v="GMM"/>
    <n v="189901"/>
    <n v="1602057"/>
    <x v="10"/>
    <x v="24"/>
    <s v="CARBONARA"/>
    <n v="2150"/>
    <n v="150"/>
    <n v="322500"/>
    <m/>
  </r>
  <r>
    <x v="8"/>
    <s v="JUL"/>
    <x v="29"/>
    <s v="GRSM 4"/>
    <x v="0"/>
    <s v="GMM"/>
    <n v="189901"/>
    <n v="1602057"/>
    <x v="10"/>
    <x v="24"/>
    <s v="BOLOGNESE"/>
    <n v="2150"/>
    <n v="147"/>
    <n v="316050"/>
    <m/>
  </r>
  <r>
    <x v="8"/>
    <s v="JUL"/>
    <x v="29"/>
    <s v="GRSM 4"/>
    <x v="0"/>
    <s v="GMM"/>
    <n v="189901"/>
    <n v="1602057"/>
    <x v="10"/>
    <x v="24"/>
    <s v="GORENG"/>
    <n v="2150"/>
    <n v="237"/>
    <n v="509550"/>
    <n v="160"/>
  </r>
  <r>
    <x v="8"/>
    <s v="JUL"/>
    <x v="29"/>
    <s v="GRSM 4"/>
    <x v="0"/>
    <s v="GMM"/>
    <n v="103257"/>
    <n v="9162509"/>
    <x v="25"/>
    <x v="57"/>
    <s v="AGLIO OLIO"/>
    <n v="3100"/>
    <n v="22"/>
    <n v="68200"/>
    <m/>
  </r>
  <r>
    <x v="8"/>
    <s v="JUL"/>
    <x v="29"/>
    <s v="GRSM 4"/>
    <x v="0"/>
    <s v="GMM"/>
    <n v="103257"/>
    <n v="9162509"/>
    <x v="25"/>
    <x v="57"/>
    <s v="CARBONARA"/>
    <n v="3100"/>
    <n v="25"/>
    <n v="77500"/>
    <m/>
  </r>
  <r>
    <x v="8"/>
    <s v="JUL"/>
    <x v="29"/>
    <s v="GRSM 4"/>
    <x v="0"/>
    <s v="GMM"/>
    <n v="103257"/>
    <n v="9162509"/>
    <x v="25"/>
    <x v="57"/>
    <s v="BOLOGNESE"/>
    <n v="3100"/>
    <n v="30"/>
    <n v="93000"/>
    <m/>
  </r>
  <r>
    <x v="8"/>
    <s v="JUL"/>
    <x v="29"/>
    <s v="GRSM 4"/>
    <x v="0"/>
    <s v="GMM"/>
    <n v="103257"/>
    <n v="9162509"/>
    <x v="25"/>
    <x v="57"/>
    <s v="GORENG"/>
    <n v="3100"/>
    <n v="26"/>
    <n v="80600"/>
    <n v="160"/>
  </r>
  <r>
    <x v="8"/>
    <s v="JUL"/>
    <x v="29"/>
    <s v="GRSM 4"/>
    <x v="0"/>
    <s v="GMM"/>
    <n v="103257"/>
    <n v="9162509"/>
    <x v="25"/>
    <x v="58"/>
    <s v="AGLIO OLIO"/>
    <n v="3100"/>
    <n v="22"/>
    <n v="68200"/>
    <m/>
  </r>
  <r>
    <x v="8"/>
    <s v="JUL"/>
    <x v="29"/>
    <s v="GRSM 4"/>
    <x v="0"/>
    <s v="GMM"/>
    <n v="103257"/>
    <n v="9162509"/>
    <x v="25"/>
    <x v="58"/>
    <s v="CARBONARA"/>
    <n v="3100"/>
    <n v="28"/>
    <n v="86800"/>
    <m/>
  </r>
  <r>
    <x v="8"/>
    <s v="JUL"/>
    <x v="29"/>
    <s v="GRSM 4"/>
    <x v="0"/>
    <s v="GMM"/>
    <n v="103257"/>
    <n v="9162509"/>
    <x v="25"/>
    <x v="58"/>
    <s v="BOLOGNESE"/>
    <n v="3100"/>
    <n v="35"/>
    <n v="108500"/>
    <m/>
  </r>
  <r>
    <x v="8"/>
    <s v="JUL"/>
    <x v="29"/>
    <s v="GRSM 4"/>
    <x v="0"/>
    <s v="GMM"/>
    <n v="103257"/>
    <n v="9162509"/>
    <x v="25"/>
    <x v="58"/>
    <s v="GORENG"/>
    <n v="3100"/>
    <n v="35"/>
    <n v="108500"/>
    <n v="160"/>
  </r>
  <r>
    <x v="8"/>
    <s v="JUL"/>
    <x v="29"/>
    <s v="GRSM 4"/>
    <x v="0"/>
    <s v="GMM"/>
    <n v="189901"/>
    <n v="1602018"/>
    <x v="28"/>
    <x v="23"/>
    <s v="AGLIO OLIO"/>
    <n v="3500"/>
    <n v="30"/>
    <n v="105000"/>
    <m/>
  </r>
  <r>
    <x v="8"/>
    <s v="JUL"/>
    <x v="29"/>
    <s v="GRSM 4"/>
    <x v="0"/>
    <s v="GMM"/>
    <n v="189901"/>
    <n v="1602018"/>
    <x v="28"/>
    <x v="23"/>
    <s v="CARBONARA"/>
    <n v="3500"/>
    <n v="35"/>
    <n v="122500"/>
    <m/>
  </r>
  <r>
    <x v="8"/>
    <s v="JUL"/>
    <x v="29"/>
    <s v="GRSM 4"/>
    <x v="0"/>
    <s v="GMM"/>
    <n v="189901"/>
    <n v="1602018"/>
    <x v="28"/>
    <x v="23"/>
    <s v="BOLOGNESE"/>
    <n v="3500"/>
    <n v="60"/>
    <n v="210000"/>
    <m/>
  </r>
  <r>
    <x v="8"/>
    <s v="JUL"/>
    <x v="29"/>
    <s v="GRSM 4"/>
    <x v="0"/>
    <s v="GMM"/>
    <n v="189901"/>
    <n v="1602018"/>
    <x v="28"/>
    <x v="23"/>
    <s v="GORENG"/>
    <n v="3500"/>
    <n v="80"/>
    <n v="280000"/>
    <n v="160"/>
  </r>
  <r>
    <x v="8"/>
    <s v="JUL"/>
    <x v="29"/>
    <s v="GRSM 4"/>
    <x v="0"/>
    <s v="GMM"/>
    <n v="189901"/>
    <n v="1602018"/>
    <x v="28"/>
    <x v="22"/>
    <s v="AGLIO OLIO"/>
    <n v="3500"/>
    <n v="30"/>
    <n v="105000"/>
    <m/>
  </r>
  <r>
    <x v="8"/>
    <s v="JUL"/>
    <x v="29"/>
    <s v="GRSM 4"/>
    <x v="0"/>
    <s v="GMM"/>
    <n v="189901"/>
    <n v="1602018"/>
    <x v="28"/>
    <x v="22"/>
    <s v="CARBONARA"/>
    <n v="3500"/>
    <n v="35"/>
    <n v="122500"/>
    <m/>
  </r>
  <r>
    <x v="8"/>
    <s v="JUL"/>
    <x v="29"/>
    <s v="GRSM 4"/>
    <x v="0"/>
    <s v="GMM"/>
    <n v="189901"/>
    <n v="1602018"/>
    <x v="28"/>
    <x v="22"/>
    <s v="BOLOGNESE"/>
    <n v="3500"/>
    <n v="60"/>
    <n v="210000"/>
    <m/>
  </r>
  <r>
    <x v="8"/>
    <s v="JUL"/>
    <x v="29"/>
    <s v="GRSM 4"/>
    <x v="0"/>
    <s v="GMM"/>
    <n v="189901"/>
    <n v="1602018"/>
    <x v="28"/>
    <x v="22"/>
    <s v="GORENG"/>
    <n v="3500"/>
    <n v="80"/>
    <n v="280000"/>
    <n v="160"/>
  </r>
  <r>
    <x v="8"/>
    <s v="JUL"/>
    <x v="29"/>
    <s v="GRSM 4"/>
    <x v="0"/>
    <s v="GMM"/>
    <n v="189901"/>
    <n v="1602008"/>
    <x v="13"/>
    <x v="14"/>
    <s v="AGLIO OLIO"/>
    <n v="3300"/>
    <n v="45"/>
    <n v="148500"/>
    <m/>
  </r>
  <r>
    <x v="8"/>
    <s v="JUL"/>
    <x v="29"/>
    <s v="GRSM 4"/>
    <x v="0"/>
    <s v="GMM"/>
    <n v="189901"/>
    <n v="1602008"/>
    <x v="13"/>
    <x v="14"/>
    <s v="CARBONARA"/>
    <n v="3300"/>
    <n v="35"/>
    <n v="115500"/>
    <m/>
  </r>
  <r>
    <x v="8"/>
    <s v="JUL"/>
    <x v="29"/>
    <s v="GRSM 4"/>
    <x v="0"/>
    <s v="GMM"/>
    <n v="189901"/>
    <n v="1602008"/>
    <x v="13"/>
    <x v="14"/>
    <s v="BOLOGNESE"/>
    <n v="3300"/>
    <n v="40"/>
    <n v="132000"/>
    <m/>
  </r>
  <r>
    <x v="8"/>
    <s v="JUL"/>
    <x v="29"/>
    <s v="GRSM 4"/>
    <x v="0"/>
    <s v="GMM"/>
    <n v="189901"/>
    <n v="1602008"/>
    <x v="13"/>
    <x v="14"/>
    <s v="GORENG"/>
    <n v="3300"/>
    <n v="110"/>
    <n v="363000"/>
    <n v="160"/>
  </r>
  <r>
    <x v="8"/>
    <s v="JUL"/>
    <x v="29"/>
    <s v="GRSM 4"/>
    <x v="0"/>
    <s v="GMM"/>
    <n v="189901"/>
    <n v="1602008"/>
    <x v="13"/>
    <x v="56"/>
    <s v="AGLIO OLIO"/>
    <n v="3300"/>
    <n v="50"/>
    <n v="165000"/>
    <m/>
  </r>
  <r>
    <x v="8"/>
    <s v="JUL"/>
    <x v="29"/>
    <s v="GRSM 4"/>
    <x v="0"/>
    <s v="GMM"/>
    <n v="189901"/>
    <n v="1602008"/>
    <x v="13"/>
    <x v="56"/>
    <s v="CARBONARA"/>
    <n v="3300"/>
    <n v="60"/>
    <n v="198000"/>
    <m/>
  </r>
  <r>
    <x v="8"/>
    <s v="JUL"/>
    <x v="29"/>
    <s v="GRSM 4"/>
    <x v="0"/>
    <s v="GMM"/>
    <n v="189901"/>
    <n v="1602008"/>
    <x v="13"/>
    <x v="56"/>
    <s v="BOLOGNESE"/>
    <n v="3300"/>
    <n v="30"/>
    <n v="99000"/>
    <m/>
  </r>
  <r>
    <x v="8"/>
    <s v="JUL"/>
    <x v="29"/>
    <s v="GRSM 4"/>
    <x v="0"/>
    <s v="GMM"/>
    <n v="189901"/>
    <n v="1602008"/>
    <x v="13"/>
    <x v="56"/>
    <s v="GORENG"/>
    <n v="3300"/>
    <n v="105"/>
    <n v="346500"/>
    <n v="160"/>
  </r>
  <r>
    <x v="8"/>
    <s v="JUL"/>
    <x v="30"/>
    <s v="GRSM 4"/>
    <x v="0"/>
    <s v="GMM"/>
    <n v="103277"/>
    <n v="6300700"/>
    <x v="11"/>
    <x v="25"/>
    <s v="AGLIO OLIO"/>
    <n v="3000"/>
    <n v="129"/>
    <n v="387000"/>
    <m/>
  </r>
  <r>
    <x v="8"/>
    <s v="JUL"/>
    <x v="30"/>
    <s v="GRSM 4"/>
    <x v="0"/>
    <s v="GMM"/>
    <n v="103277"/>
    <n v="6300700"/>
    <x v="11"/>
    <x v="25"/>
    <s v="CARBONARA"/>
    <n v="3000"/>
    <n v="82"/>
    <n v="246000"/>
    <m/>
  </r>
  <r>
    <x v="8"/>
    <s v="JUL"/>
    <x v="30"/>
    <s v="GRSM 4"/>
    <x v="0"/>
    <s v="GMM"/>
    <n v="103277"/>
    <n v="6300700"/>
    <x v="11"/>
    <x v="25"/>
    <s v="BOLOGNESE"/>
    <n v="3000"/>
    <n v="105"/>
    <n v="315000"/>
    <m/>
  </r>
  <r>
    <x v="8"/>
    <s v="JUL"/>
    <x v="30"/>
    <s v="GRSM 4"/>
    <x v="0"/>
    <s v="GMM"/>
    <n v="103277"/>
    <n v="6300700"/>
    <x v="11"/>
    <x v="25"/>
    <s v="GORENG"/>
    <n v="3000"/>
    <n v="0"/>
    <n v="0"/>
    <n v="160"/>
  </r>
  <r>
    <x v="8"/>
    <s v="JUL"/>
    <x v="30"/>
    <s v="GRSM 4"/>
    <x v="0"/>
    <s v="GMM"/>
    <n v="121409"/>
    <n v="5205014"/>
    <x v="12"/>
    <x v="27"/>
    <s v="AGLIO OLIO"/>
    <n v="2100"/>
    <n v="226"/>
    <n v="474600"/>
    <m/>
  </r>
  <r>
    <x v="8"/>
    <s v="JUL"/>
    <x v="30"/>
    <s v="GRSM 4"/>
    <x v="0"/>
    <s v="GMM"/>
    <n v="121409"/>
    <n v="5205014"/>
    <x v="12"/>
    <x v="27"/>
    <s v="CARBONARA"/>
    <n v="2100"/>
    <n v="171"/>
    <n v="359100"/>
    <m/>
  </r>
  <r>
    <x v="8"/>
    <s v="JUL"/>
    <x v="30"/>
    <s v="GRSM 4"/>
    <x v="0"/>
    <s v="GMM"/>
    <n v="121409"/>
    <n v="5205014"/>
    <x v="12"/>
    <x v="27"/>
    <s v="BOLOGNESE"/>
    <n v="2100"/>
    <n v="198"/>
    <n v="415800"/>
    <m/>
  </r>
  <r>
    <x v="8"/>
    <s v="JUL"/>
    <x v="30"/>
    <s v="GRSM 4"/>
    <x v="0"/>
    <s v="GMM"/>
    <n v="121409"/>
    <n v="5205014"/>
    <x v="12"/>
    <x v="27"/>
    <s v="GORENG"/>
    <n v="2100"/>
    <n v="395"/>
    <n v="829500"/>
    <n v="160"/>
  </r>
  <r>
    <x v="8"/>
    <s v="JUL"/>
    <x v="30"/>
    <s v="GRSM 4"/>
    <x v="0"/>
    <s v="GMM"/>
    <n v="121409"/>
    <n v="5205014"/>
    <x v="12"/>
    <x v="26"/>
    <s v="AGLIO OLIO"/>
    <n v="2100"/>
    <n v="226"/>
    <n v="474600"/>
    <m/>
  </r>
  <r>
    <x v="8"/>
    <s v="JUL"/>
    <x v="30"/>
    <s v="GRSM 4"/>
    <x v="0"/>
    <s v="GMM"/>
    <n v="121409"/>
    <n v="5205014"/>
    <x v="12"/>
    <x v="26"/>
    <s v="CARBONARA"/>
    <n v="2100"/>
    <n v="171"/>
    <n v="359100"/>
    <m/>
  </r>
  <r>
    <x v="8"/>
    <s v="JUL"/>
    <x v="30"/>
    <s v="GRSM 4"/>
    <x v="0"/>
    <s v="GMM"/>
    <n v="121409"/>
    <n v="5205014"/>
    <x v="12"/>
    <x v="26"/>
    <s v="BOLOGNESE"/>
    <n v="2100"/>
    <n v="198"/>
    <n v="415800"/>
    <m/>
  </r>
  <r>
    <x v="8"/>
    <s v="JUL"/>
    <x v="30"/>
    <s v="GRSM 4"/>
    <x v="0"/>
    <s v="GMM"/>
    <n v="121409"/>
    <n v="5205014"/>
    <x v="12"/>
    <x v="26"/>
    <s v="GORENG"/>
    <n v="2100"/>
    <n v="395"/>
    <n v="829500"/>
    <n v="160"/>
  </r>
  <r>
    <x v="8"/>
    <s v="JUL"/>
    <x v="30"/>
    <s v="GRSM 4"/>
    <x v="0"/>
    <s v="GMM"/>
    <n v="189901"/>
    <n v="1602057"/>
    <x v="10"/>
    <x v="15"/>
    <s v="AGLIO OLIO"/>
    <n v="2150"/>
    <n v="153"/>
    <n v="328950"/>
    <m/>
  </r>
  <r>
    <x v="8"/>
    <s v="JUL"/>
    <x v="30"/>
    <s v="GRSM 4"/>
    <x v="0"/>
    <s v="GMM"/>
    <n v="189901"/>
    <n v="1602057"/>
    <x v="10"/>
    <x v="15"/>
    <s v="CARBONARA"/>
    <n v="2150"/>
    <n v="183"/>
    <n v="393450"/>
    <m/>
  </r>
  <r>
    <x v="8"/>
    <s v="JUL"/>
    <x v="30"/>
    <s v="GRSM 4"/>
    <x v="0"/>
    <s v="GMM"/>
    <n v="189901"/>
    <n v="1602057"/>
    <x v="10"/>
    <x v="15"/>
    <s v="BOLOGNESE"/>
    <n v="2150"/>
    <n v="174"/>
    <n v="374100"/>
    <m/>
  </r>
  <r>
    <x v="8"/>
    <s v="JUL"/>
    <x v="30"/>
    <s v="GRSM 4"/>
    <x v="0"/>
    <s v="GMM"/>
    <n v="189901"/>
    <n v="1602057"/>
    <x v="10"/>
    <x v="15"/>
    <s v="GORENG"/>
    <n v="2150"/>
    <n v="252"/>
    <n v="541800"/>
    <n v="160"/>
  </r>
  <r>
    <x v="8"/>
    <s v="JUL"/>
    <x v="30"/>
    <s v="GRSM 4"/>
    <x v="0"/>
    <s v="GMM"/>
    <n v="189901"/>
    <n v="1602057"/>
    <x v="10"/>
    <x v="24"/>
    <s v="AGLIO OLIO"/>
    <n v="2150"/>
    <n v="144"/>
    <n v="309600"/>
    <m/>
  </r>
  <r>
    <x v="8"/>
    <s v="JUL"/>
    <x v="30"/>
    <s v="GRSM 4"/>
    <x v="0"/>
    <s v="GMM"/>
    <n v="189901"/>
    <n v="1602057"/>
    <x v="10"/>
    <x v="24"/>
    <s v="CARBONARA"/>
    <n v="2150"/>
    <n v="177"/>
    <n v="380550"/>
    <m/>
  </r>
  <r>
    <x v="8"/>
    <s v="JUL"/>
    <x v="30"/>
    <s v="GRSM 4"/>
    <x v="0"/>
    <s v="GMM"/>
    <n v="189901"/>
    <n v="1602057"/>
    <x v="10"/>
    <x v="24"/>
    <s v="BOLOGNESE"/>
    <n v="2150"/>
    <n v="168"/>
    <n v="361200"/>
    <m/>
  </r>
  <r>
    <x v="8"/>
    <s v="JUL"/>
    <x v="30"/>
    <s v="GRSM 4"/>
    <x v="0"/>
    <s v="GMM"/>
    <n v="189901"/>
    <n v="1602057"/>
    <x v="10"/>
    <x v="24"/>
    <s v="GORENG"/>
    <n v="2150"/>
    <n v="264"/>
    <n v="567600"/>
    <n v="160"/>
  </r>
  <r>
    <x v="8"/>
    <s v="JUL"/>
    <x v="30"/>
    <s v="GRSM 4"/>
    <x v="0"/>
    <s v="GMM"/>
    <n v="189901"/>
    <n v="1602018"/>
    <x v="28"/>
    <x v="22"/>
    <s v="AGLIO OLIO"/>
    <n v="3500"/>
    <n v="55"/>
    <n v="192500"/>
    <m/>
  </r>
  <r>
    <x v="8"/>
    <s v="JUL"/>
    <x v="30"/>
    <s v="GRSM 4"/>
    <x v="0"/>
    <s v="GMM"/>
    <n v="189901"/>
    <n v="1602018"/>
    <x v="28"/>
    <x v="22"/>
    <s v="CARBONARA"/>
    <n v="3500"/>
    <n v="97"/>
    <n v="339500"/>
    <m/>
  </r>
  <r>
    <x v="8"/>
    <s v="JUL"/>
    <x v="30"/>
    <s v="GRSM 4"/>
    <x v="0"/>
    <s v="GMM"/>
    <n v="189901"/>
    <n v="1602018"/>
    <x v="28"/>
    <x v="22"/>
    <s v="BOLOGNESE"/>
    <n v="3500"/>
    <n v="65"/>
    <n v="227500"/>
    <m/>
  </r>
  <r>
    <x v="8"/>
    <s v="JUL"/>
    <x v="30"/>
    <s v="GRSM 4"/>
    <x v="0"/>
    <s v="GMM"/>
    <n v="189901"/>
    <n v="1602018"/>
    <x v="28"/>
    <x v="22"/>
    <s v="GORENG"/>
    <n v="3500"/>
    <n v="120"/>
    <n v="420000"/>
    <n v="160"/>
  </r>
  <r>
    <x v="8"/>
    <s v="JUL"/>
    <x v="30"/>
    <s v="GRSM 4"/>
    <x v="0"/>
    <s v="GMM"/>
    <n v="189901"/>
    <n v="1602018"/>
    <x v="28"/>
    <x v="23"/>
    <s v="AGLIO OLIO"/>
    <n v="3500"/>
    <n v="55"/>
    <n v="192500"/>
    <m/>
  </r>
  <r>
    <x v="8"/>
    <s v="JUL"/>
    <x v="30"/>
    <s v="GRSM 4"/>
    <x v="0"/>
    <s v="GMM"/>
    <n v="189901"/>
    <n v="1602018"/>
    <x v="28"/>
    <x v="23"/>
    <s v="CARBONARA"/>
    <n v="3500"/>
    <n v="97"/>
    <n v="339500"/>
    <m/>
  </r>
  <r>
    <x v="8"/>
    <s v="JUL"/>
    <x v="30"/>
    <s v="GRSM 4"/>
    <x v="0"/>
    <s v="GMM"/>
    <n v="189901"/>
    <n v="1602018"/>
    <x v="28"/>
    <x v="23"/>
    <s v="BOLOGNESE"/>
    <n v="3500"/>
    <n v="65"/>
    <n v="227500"/>
    <m/>
  </r>
  <r>
    <x v="8"/>
    <s v="JUL"/>
    <x v="30"/>
    <s v="GRSM 4"/>
    <x v="0"/>
    <s v="GMM"/>
    <n v="189901"/>
    <n v="1602018"/>
    <x v="28"/>
    <x v="23"/>
    <s v="GORENG"/>
    <n v="3500"/>
    <n v="120"/>
    <n v="420000"/>
    <n v="160"/>
  </r>
  <r>
    <x v="8"/>
    <s v="JUL"/>
    <x v="30"/>
    <s v="GRSM 4"/>
    <x v="0"/>
    <s v="GMM"/>
    <n v="103257"/>
    <n v="9162509"/>
    <x v="25"/>
    <x v="58"/>
    <s v="AGLIO OLIO"/>
    <n v="3100"/>
    <n v="40"/>
    <n v="124000"/>
    <m/>
  </r>
  <r>
    <x v="8"/>
    <s v="JUL"/>
    <x v="30"/>
    <s v="GRSM 4"/>
    <x v="0"/>
    <s v="GMM"/>
    <n v="103257"/>
    <n v="9162509"/>
    <x v="25"/>
    <x v="58"/>
    <s v="CARBONARA"/>
    <n v="3100"/>
    <n v="40"/>
    <n v="124000"/>
    <m/>
  </r>
  <r>
    <x v="8"/>
    <s v="JUL"/>
    <x v="30"/>
    <s v="GRSM 4"/>
    <x v="0"/>
    <s v="GMM"/>
    <n v="103257"/>
    <n v="9162509"/>
    <x v="25"/>
    <x v="58"/>
    <s v="BOLOGNESE"/>
    <n v="3100"/>
    <n v="30"/>
    <n v="93000"/>
    <m/>
  </r>
  <r>
    <x v="8"/>
    <s v="JUL"/>
    <x v="30"/>
    <s v="GRSM 4"/>
    <x v="0"/>
    <s v="GMM"/>
    <n v="103257"/>
    <n v="9162509"/>
    <x v="25"/>
    <x v="58"/>
    <s v="GORENG"/>
    <n v="3100"/>
    <n v="35"/>
    <n v="108500"/>
    <n v="160"/>
  </r>
  <r>
    <x v="8"/>
    <s v="JUL"/>
    <x v="30"/>
    <s v="GRSM 4"/>
    <x v="0"/>
    <s v="GMM"/>
    <n v="103257"/>
    <n v="9162509"/>
    <x v="25"/>
    <x v="57"/>
    <s v="AGLIO OLIO"/>
    <n v="3100"/>
    <n v="40"/>
    <n v="124000"/>
    <m/>
  </r>
  <r>
    <x v="8"/>
    <s v="JUL"/>
    <x v="30"/>
    <s v="GRSM 4"/>
    <x v="0"/>
    <s v="GMM"/>
    <n v="103257"/>
    <n v="9162509"/>
    <x v="25"/>
    <x v="57"/>
    <s v="CARBONARA"/>
    <n v="3100"/>
    <n v="40"/>
    <n v="124000"/>
    <m/>
  </r>
  <r>
    <x v="8"/>
    <s v="JUL"/>
    <x v="30"/>
    <s v="GRSM 4"/>
    <x v="0"/>
    <s v="GMM"/>
    <n v="103257"/>
    <n v="9162509"/>
    <x v="25"/>
    <x v="57"/>
    <s v="BOLOGNESE"/>
    <n v="3100"/>
    <n v="30"/>
    <n v="93000"/>
    <m/>
  </r>
  <r>
    <x v="8"/>
    <s v="JUL"/>
    <x v="30"/>
    <s v="GRSM 4"/>
    <x v="0"/>
    <s v="GMM"/>
    <n v="103257"/>
    <n v="9162509"/>
    <x v="25"/>
    <x v="57"/>
    <s v="GORENG"/>
    <n v="3100"/>
    <n v="45"/>
    <n v="139500"/>
    <n v="160"/>
  </r>
  <r>
    <x v="8"/>
    <s v="JUL"/>
    <x v="30"/>
    <s v="GRSM 4"/>
    <x v="0"/>
    <s v="GMM"/>
    <n v="103277"/>
    <n v="6300700"/>
    <x v="11"/>
    <x v="12"/>
    <s v="AGLIO OLIO"/>
    <n v="3000"/>
    <n v="129"/>
    <n v="387000"/>
    <m/>
  </r>
  <r>
    <x v="8"/>
    <s v="JUL"/>
    <x v="30"/>
    <s v="GRSM 4"/>
    <x v="0"/>
    <s v="GMM"/>
    <n v="103277"/>
    <n v="6300700"/>
    <x v="11"/>
    <x v="12"/>
    <s v="CARBONARA"/>
    <n v="3000"/>
    <n v="82"/>
    <n v="246000"/>
    <m/>
  </r>
  <r>
    <x v="8"/>
    <s v="JUL"/>
    <x v="30"/>
    <s v="GRSM 4"/>
    <x v="0"/>
    <s v="GMM"/>
    <n v="103277"/>
    <n v="6300700"/>
    <x v="11"/>
    <x v="12"/>
    <s v="BOLOGNESE"/>
    <n v="3000"/>
    <n v="105"/>
    <n v="315000"/>
    <m/>
  </r>
  <r>
    <x v="8"/>
    <s v="JUL"/>
    <x v="30"/>
    <s v="GRSM 4"/>
    <x v="0"/>
    <s v="GMM"/>
    <n v="103277"/>
    <n v="6300700"/>
    <x v="11"/>
    <x v="12"/>
    <s v="GORENG"/>
    <n v="3000"/>
    <n v="0"/>
    <n v="0"/>
    <n v="160"/>
  </r>
  <r>
    <x v="8"/>
    <s v="JUL"/>
    <x v="30"/>
    <s v="GRSM 4"/>
    <x v="0"/>
    <s v="GMM"/>
    <n v="189901"/>
    <n v="1602016"/>
    <x v="16"/>
    <x v="32"/>
    <s v="AGLIO OLIO"/>
    <n v="3400"/>
    <n v="90"/>
    <n v="306000"/>
    <m/>
  </r>
  <r>
    <x v="8"/>
    <s v="JUL"/>
    <x v="30"/>
    <s v="GRSM 4"/>
    <x v="0"/>
    <s v="GMM"/>
    <n v="189901"/>
    <n v="1602016"/>
    <x v="16"/>
    <x v="32"/>
    <s v="CARBONARA"/>
    <n v="3400"/>
    <n v="120"/>
    <n v="408000"/>
    <m/>
  </r>
  <r>
    <x v="8"/>
    <s v="JUL"/>
    <x v="30"/>
    <s v="GRSM 4"/>
    <x v="0"/>
    <s v="GMM"/>
    <n v="189901"/>
    <n v="1602016"/>
    <x v="16"/>
    <x v="32"/>
    <s v="BOLOGNESE"/>
    <n v="3400"/>
    <n v="100"/>
    <n v="340000"/>
    <m/>
  </r>
  <r>
    <x v="8"/>
    <s v="JUL"/>
    <x v="30"/>
    <s v="GRSM 4"/>
    <x v="0"/>
    <s v="GMM"/>
    <n v="189901"/>
    <n v="1602016"/>
    <x v="16"/>
    <x v="32"/>
    <s v="GORENG"/>
    <n v="3400"/>
    <n v="130"/>
    <n v="442000"/>
    <n v="80"/>
  </r>
  <r>
    <x v="8"/>
    <s v="JUL"/>
    <x v="30"/>
    <s v="GRSM 4"/>
    <x v="0"/>
    <s v="GMM"/>
    <n v="189901"/>
    <n v="1602016"/>
    <x v="16"/>
    <x v="31"/>
    <s v="AGLIO OLIO"/>
    <n v="3400"/>
    <n v="90"/>
    <n v="306000"/>
    <m/>
  </r>
  <r>
    <x v="8"/>
    <s v="JUL"/>
    <x v="30"/>
    <s v="GRSM 4"/>
    <x v="0"/>
    <s v="GMM"/>
    <n v="189901"/>
    <n v="1602016"/>
    <x v="16"/>
    <x v="31"/>
    <s v="CARBONARA"/>
    <n v="3400"/>
    <n v="110"/>
    <n v="374000"/>
    <m/>
  </r>
  <r>
    <x v="8"/>
    <s v="JUL"/>
    <x v="30"/>
    <s v="GRSM 4"/>
    <x v="0"/>
    <s v="GMM"/>
    <n v="189901"/>
    <n v="1602016"/>
    <x v="16"/>
    <x v="31"/>
    <s v="BOLOGNESE"/>
    <n v="3400"/>
    <n v="100"/>
    <n v="340000"/>
    <m/>
  </r>
  <r>
    <x v="8"/>
    <s v="JUL"/>
    <x v="30"/>
    <s v="GRSM 4"/>
    <x v="0"/>
    <s v="GMM"/>
    <n v="189901"/>
    <n v="1602016"/>
    <x v="16"/>
    <x v="31"/>
    <s v="GORENG"/>
    <n v="3400"/>
    <n v="130"/>
    <n v="442000"/>
    <n v="80"/>
  </r>
  <r>
    <x v="8"/>
    <s v="JUL"/>
    <x v="28"/>
    <s v="GRSM 5"/>
    <x v="1"/>
    <s v="GMM"/>
    <n v="170220"/>
    <n v="9000015"/>
    <x v="15"/>
    <x v="29"/>
    <s v="AGLIO OLIO"/>
    <n v="2200"/>
    <n v="113"/>
    <n v="248600"/>
    <m/>
  </r>
  <r>
    <x v="8"/>
    <s v="JUL"/>
    <x v="28"/>
    <s v="GRSM 5"/>
    <x v="1"/>
    <s v="GMM"/>
    <n v="170220"/>
    <n v="9000015"/>
    <x v="15"/>
    <x v="29"/>
    <s v="CARBONARA"/>
    <n v="2200"/>
    <n v="117"/>
    <n v="257400"/>
    <m/>
  </r>
  <r>
    <x v="8"/>
    <s v="JUL"/>
    <x v="28"/>
    <s v="GRSM 5"/>
    <x v="1"/>
    <s v="GMM"/>
    <n v="170220"/>
    <n v="9000015"/>
    <x v="15"/>
    <x v="29"/>
    <s v="BOLOGNESE"/>
    <n v="2200"/>
    <n v="110"/>
    <n v="242000"/>
    <m/>
  </r>
  <r>
    <x v="8"/>
    <s v="JUL"/>
    <x v="28"/>
    <s v="GRSM 5"/>
    <x v="1"/>
    <s v="GMM"/>
    <n v="170220"/>
    <n v="9000015"/>
    <x v="15"/>
    <x v="29"/>
    <s v="GORENG"/>
    <n v="2200"/>
    <n v="237"/>
    <n v="521400"/>
    <n v="120"/>
  </r>
  <r>
    <x v="8"/>
    <s v="JUL"/>
    <x v="28"/>
    <s v="GRSM 5"/>
    <x v="1"/>
    <s v="GMM"/>
    <n v="170220"/>
    <n v="9000015"/>
    <x v="15"/>
    <x v="28"/>
    <s v="AGLIO OLIO"/>
    <n v="2200"/>
    <n v="113"/>
    <n v="248600"/>
    <m/>
  </r>
  <r>
    <x v="8"/>
    <s v="JUL"/>
    <x v="28"/>
    <s v="GRSM 5"/>
    <x v="1"/>
    <s v="GMM"/>
    <n v="170220"/>
    <n v="9000015"/>
    <x v="15"/>
    <x v="28"/>
    <s v="CARBONARA"/>
    <n v="2200"/>
    <n v="117"/>
    <n v="257400"/>
    <m/>
  </r>
  <r>
    <x v="8"/>
    <s v="JUL"/>
    <x v="28"/>
    <s v="GRSM 5"/>
    <x v="1"/>
    <s v="GMM"/>
    <n v="170220"/>
    <n v="9000015"/>
    <x v="15"/>
    <x v="28"/>
    <s v="BOLOGNESE"/>
    <n v="2200"/>
    <n v="110"/>
    <n v="242000"/>
    <m/>
  </r>
  <r>
    <x v="8"/>
    <s v="JUL"/>
    <x v="28"/>
    <s v="GRSM 5"/>
    <x v="1"/>
    <s v="GMM"/>
    <n v="170220"/>
    <n v="9000015"/>
    <x v="15"/>
    <x v="28"/>
    <s v="GORENG"/>
    <n v="2200"/>
    <n v="237"/>
    <n v="521400"/>
    <n v="120"/>
  </r>
  <r>
    <x v="8"/>
    <s v="JUL"/>
    <x v="28"/>
    <s v="GRSM 5"/>
    <x v="1"/>
    <s v="GMM"/>
    <n v="170220"/>
    <n v="1901004"/>
    <x v="17"/>
    <x v="33"/>
    <s v="AGLIO OLIO"/>
    <n v="2200"/>
    <n v="73"/>
    <n v="160600"/>
    <m/>
  </r>
  <r>
    <x v="8"/>
    <s v="JUL"/>
    <x v="28"/>
    <s v="GRSM 5"/>
    <x v="1"/>
    <s v="GMM"/>
    <n v="170220"/>
    <n v="1901004"/>
    <x v="17"/>
    <x v="33"/>
    <s v="CARBONARA"/>
    <n v="2200"/>
    <n v="200"/>
    <n v="440000"/>
    <m/>
  </r>
  <r>
    <x v="8"/>
    <s v="JUL"/>
    <x v="28"/>
    <s v="GRSM 5"/>
    <x v="1"/>
    <s v="GMM"/>
    <n v="170220"/>
    <n v="1901004"/>
    <x v="17"/>
    <x v="33"/>
    <s v="BOLOGNESE"/>
    <n v="2200"/>
    <n v="114"/>
    <n v="250800"/>
    <m/>
  </r>
  <r>
    <x v="8"/>
    <s v="JUL"/>
    <x v="28"/>
    <s v="GRSM 5"/>
    <x v="1"/>
    <s v="GMM"/>
    <n v="170220"/>
    <n v="1901004"/>
    <x v="17"/>
    <x v="33"/>
    <s v="GORENG"/>
    <n v="2200"/>
    <n v="347"/>
    <n v="763400"/>
    <n v="240"/>
  </r>
  <r>
    <x v="8"/>
    <s v="JUL"/>
    <x v="28"/>
    <s v="GRSM 5"/>
    <x v="1"/>
    <s v="GMM"/>
    <n v="170220"/>
    <n v="1901004"/>
    <x v="17"/>
    <x v="34"/>
    <s v="AGLIO OLIO"/>
    <n v="2200"/>
    <n v="73"/>
    <n v="160600"/>
    <m/>
  </r>
  <r>
    <x v="8"/>
    <s v="JUL"/>
    <x v="28"/>
    <s v="GRSM 5"/>
    <x v="1"/>
    <s v="GMM"/>
    <n v="170220"/>
    <n v="1901004"/>
    <x v="17"/>
    <x v="34"/>
    <s v="CARBONARA"/>
    <n v="2200"/>
    <n v="200"/>
    <n v="440000"/>
    <m/>
  </r>
  <r>
    <x v="8"/>
    <s v="JUL"/>
    <x v="28"/>
    <s v="GRSM 5"/>
    <x v="1"/>
    <s v="GMM"/>
    <n v="170220"/>
    <n v="1901004"/>
    <x v="17"/>
    <x v="34"/>
    <s v="BOLOGNESE"/>
    <n v="2200"/>
    <n v="114"/>
    <n v="250800"/>
    <m/>
  </r>
  <r>
    <x v="8"/>
    <s v="JUL"/>
    <x v="28"/>
    <s v="GRSM 5"/>
    <x v="1"/>
    <s v="GMM"/>
    <n v="170220"/>
    <n v="1901004"/>
    <x v="17"/>
    <x v="34"/>
    <s v="GORENG"/>
    <n v="2200"/>
    <n v="347"/>
    <n v="763400"/>
    <n v="240"/>
  </r>
  <r>
    <x v="8"/>
    <s v="JUL"/>
    <x v="28"/>
    <s v="GRSM 5"/>
    <x v="1"/>
    <s v="GMM"/>
    <n v="170220"/>
    <n v="9000015"/>
    <x v="18"/>
    <x v="35"/>
    <s v="AGLIO OLIO"/>
    <n v="2200"/>
    <n v="62"/>
    <n v="136400"/>
    <m/>
  </r>
  <r>
    <x v="8"/>
    <s v="JUL"/>
    <x v="28"/>
    <s v="GRSM 5"/>
    <x v="1"/>
    <s v="GMM"/>
    <n v="170220"/>
    <n v="9000015"/>
    <x v="18"/>
    <x v="35"/>
    <s v="CARBONARA"/>
    <n v="2200"/>
    <n v="240"/>
    <n v="528000"/>
    <m/>
  </r>
  <r>
    <x v="8"/>
    <s v="JUL"/>
    <x v="28"/>
    <s v="GRSM 5"/>
    <x v="1"/>
    <s v="GMM"/>
    <n v="170220"/>
    <n v="9000015"/>
    <x v="18"/>
    <x v="35"/>
    <s v="BOLOGNESE"/>
    <n v="2200"/>
    <n v="114"/>
    <n v="250800"/>
    <m/>
  </r>
  <r>
    <x v="8"/>
    <s v="JUL"/>
    <x v="28"/>
    <s v="GRSM 5"/>
    <x v="1"/>
    <s v="GMM"/>
    <n v="170220"/>
    <n v="9000015"/>
    <x v="18"/>
    <x v="35"/>
    <s v="GORENG"/>
    <n v="2200"/>
    <n v="364"/>
    <n v="800800"/>
    <n v="200"/>
  </r>
  <r>
    <x v="8"/>
    <s v="JUL"/>
    <x v="28"/>
    <s v="GRSM 5"/>
    <x v="1"/>
    <s v="GMM"/>
    <n v="170220"/>
    <n v="9000015"/>
    <x v="18"/>
    <x v="59"/>
    <s v="AGLIO OLIO"/>
    <n v="2200"/>
    <n v="62"/>
    <n v="136400"/>
    <m/>
  </r>
  <r>
    <x v="8"/>
    <s v="JUL"/>
    <x v="28"/>
    <s v="GRSM 5"/>
    <x v="1"/>
    <s v="GMM"/>
    <n v="170220"/>
    <n v="9000015"/>
    <x v="18"/>
    <x v="59"/>
    <s v="CARBONARA"/>
    <n v="2200"/>
    <n v="240"/>
    <n v="528000"/>
    <m/>
  </r>
  <r>
    <x v="8"/>
    <s v="JUL"/>
    <x v="28"/>
    <s v="GRSM 5"/>
    <x v="1"/>
    <s v="GMM"/>
    <n v="170220"/>
    <n v="9000015"/>
    <x v="18"/>
    <x v="59"/>
    <s v="BOLOGNESE"/>
    <n v="2200"/>
    <n v="114"/>
    <n v="250800"/>
    <m/>
  </r>
  <r>
    <x v="8"/>
    <s v="JUL"/>
    <x v="28"/>
    <s v="GRSM 5"/>
    <x v="1"/>
    <s v="GMM"/>
    <n v="170220"/>
    <n v="9000015"/>
    <x v="18"/>
    <x v="59"/>
    <s v="GORENG"/>
    <n v="2200"/>
    <n v="364"/>
    <n v="800800"/>
    <n v="200"/>
  </r>
  <r>
    <x v="8"/>
    <s v="JUL"/>
    <x v="28"/>
    <s v="GRSM 5"/>
    <x v="1"/>
    <s v="GMM"/>
    <n v="170220"/>
    <n v="1901019"/>
    <x v="19"/>
    <x v="37"/>
    <s v="AGLIO OLIO"/>
    <n v="2200"/>
    <n v="112"/>
    <n v="246400"/>
    <m/>
  </r>
  <r>
    <x v="8"/>
    <s v="JUL"/>
    <x v="28"/>
    <s v="GRSM 5"/>
    <x v="1"/>
    <s v="GMM"/>
    <n v="170220"/>
    <n v="1901019"/>
    <x v="19"/>
    <x v="37"/>
    <s v="CARBONARA"/>
    <n v="2200"/>
    <n v="84"/>
    <n v="184800"/>
    <m/>
  </r>
  <r>
    <x v="8"/>
    <s v="JUL"/>
    <x v="28"/>
    <s v="GRSM 5"/>
    <x v="1"/>
    <s v="GMM"/>
    <n v="170220"/>
    <n v="1901019"/>
    <x v="19"/>
    <x v="37"/>
    <s v="BOLOGNESE"/>
    <n v="2200"/>
    <n v="137"/>
    <n v="301400"/>
    <m/>
  </r>
  <r>
    <x v="8"/>
    <s v="JUL"/>
    <x v="28"/>
    <s v="GRSM 5"/>
    <x v="1"/>
    <s v="GMM"/>
    <n v="170220"/>
    <n v="1901019"/>
    <x v="19"/>
    <x v="37"/>
    <s v="GORENG"/>
    <n v="2200"/>
    <n v="326"/>
    <n v="717200"/>
    <n v="213"/>
  </r>
  <r>
    <x v="8"/>
    <s v="JUL"/>
    <x v="28"/>
    <s v="GRSM 5"/>
    <x v="1"/>
    <s v="GMM"/>
    <n v="170220"/>
    <n v="1901019"/>
    <x v="19"/>
    <x v="38"/>
    <s v="AGLIO OLIO"/>
    <n v="2200"/>
    <n v="112"/>
    <n v="246400"/>
    <m/>
  </r>
  <r>
    <x v="8"/>
    <s v="JUL"/>
    <x v="28"/>
    <s v="GRSM 5"/>
    <x v="1"/>
    <s v="GMM"/>
    <n v="170220"/>
    <n v="1901019"/>
    <x v="19"/>
    <x v="38"/>
    <s v="CARBONARA"/>
    <n v="2200"/>
    <n v="84"/>
    <n v="184800"/>
    <m/>
  </r>
  <r>
    <x v="8"/>
    <s v="JUL"/>
    <x v="28"/>
    <s v="GRSM 5"/>
    <x v="1"/>
    <s v="GMM"/>
    <n v="170220"/>
    <n v="1901019"/>
    <x v="19"/>
    <x v="38"/>
    <s v="BOLOGNESE"/>
    <n v="2200"/>
    <n v="137"/>
    <n v="301400"/>
    <m/>
  </r>
  <r>
    <x v="8"/>
    <s v="JUL"/>
    <x v="28"/>
    <s v="GRSM 5"/>
    <x v="1"/>
    <s v="GMM"/>
    <n v="170220"/>
    <n v="1901019"/>
    <x v="19"/>
    <x v="38"/>
    <s v="GORENG"/>
    <n v="2200"/>
    <n v="326"/>
    <n v="717200"/>
    <n v="213"/>
  </r>
  <r>
    <x v="8"/>
    <s v="JUL"/>
    <x v="29"/>
    <s v="GRSM 5"/>
    <x v="1"/>
    <s v="GMM"/>
    <n v="170220"/>
    <n v="9000015"/>
    <x v="15"/>
    <x v="29"/>
    <s v="AGLIO OLIO"/>
    <n v="2200"/>
    <n v="88"/>
    <n v="193600"/>
    <m/>
  </r>
  <r>
    <x v="8"/>
    <s v="JUL"/>
    <x v="29"/>
    <s v="GRSM 5"/>
    <x v="1"/>
    <s v="GMM"/>
    <n v="170220"/>
    <n v="9000015"/>
    <x v="15"/>
    <x v="29"/>
    <s v="CARBONARA"/>
    <n v="2200"/>
    <n v="164"/>
    <n v="360800"/>
    <m/>
  </r>
  <r>
    <x v="8"/>
    <s v="JUL"/>
    <x v="29"/>
    <s v="GRSM 5"/>
    <x v="1"/>
    <s v="GMM"/>
    <n v="170220"/>
    <n v="9000015"/>
    <x v="15"/>
    <x v="29"/>
    <s v="BOLOGNESE"/>
    <n v="2200"/>
    <n v="108"/>
    <n v="237600"/>
    <m/>
  </r>
  <r>
    <x v="8"/>
    <s v="JUL"/>
    <x v="29"/>
    <s v="GRSM 5"/>
    <x v="1"/>
    <s v="GMM"/>
    <n v="170220"/>
    <n v="9000015"/>
    <x v="15"/>
    <x v="29"/>
    <s v="GORENG"/>
    <n v="2200"/>
    <n v="231"/>
    <n v="508200"/>
    <n v="240"/>
  </r>
  <r>
    <x v="8"/>
    <s v="JUL"/>
    <x v="29"/>
    <s v="GRSM 5"/>
    <x v="1"/>
    <s v="GMM"/>
    <n v="170220"/>
    <n v="9000015"/>
    <x v="15"/>
    <x v="28"/>
    <s v="AGLIO OLIO"/>
    <n v="2200"/>
    <n v="88"/>
    <n v="193600"/>
    <m/>
  </r>
  <r>
    <x v="8"/>
    <s v="JUL"/>
    <x v="29"/>
    <s v="GRSM 5"/>
    <x v="1"/>
    <s v="GMM"/>
    <n v="170220"/>
    <n v="9000015"/>
    <x v="15"/>
    <x v="28"/>
    <s v="CARBONARA"/>
    <n v="2200"/>
    <n v="164"/>
    <n v="360800"/>
    <m/>
  </r>
  <r>
    <x v="8"/>
    <s v="JUL"/>
    <x v="29"/>
    <s v="GRSM 5"/>
    <x v="1"/>
    <s v="GMM"/>
    <n v="170220"/>
    <n v="9000015"/>
    <x v="15"/>
    <x v="28"/>
    <s v="BOLOGNESE"/>
    <n v="2200"/>
    <n v="108"/>
    <n v="237600"/>
    <m/>
  </r>
  <r>
    <x v="8"/>
    <s v="JUL"/>
    <x v="29"/>
    <s v="GRSM 5"/>
    <x v="1"/>
    <s v="GMM"/>
    <n v="170220"/>
    <n v="9000015"/>
    <x v="15"/>
    <x v="28"/>
    <s v="GORENG"/>
    <n v="2200"/>
    <n v="231"/>
    <n v="508200"/>
    <n v="240"/>
  </r>
  <r>
    <x v="8"/>
    <s v="JUL"/>
    <x v="29"/>
    <s v="GRSM 5"/>
    <x v="1"/>
    <s v="GMM"/>
    <n v="170220"/>
    <n v="1901019"/>
    <x v="19"/>
    <x v="37"/>
    <s v="AGLIO OLIO"/>
    <n v="2200"/>
    <n v="87"/>
    <n v="191400"/>
    <m/>
  </r>
  <r>
    <x v="8"/>
    <s v="JUL"/>
    <x v="29"/>
    <s v="GRSM 5"/>
    <x v="1"/>
    <s v="GMM"/>
    <n v="170220"/>
    <n v="1901019"/>
    <x v="19"/>
    <x v="37"/>
    <s v="CARBONARA"/>
    <n v="2200"/>
    <n v="72"/>
    <n v="158400"/>
    <m/>
  </r>
  <r>
    <x v="8"/>
    <s v="JUL"/>
    <x v="29"/>
    <s v="GRSM 5"/>
    <x v="1"/>
    <s v="GMM"/>
    <n v="170220"/>
    <n v="1901019"/>
    <x v="19"/>
    <x v="37"/>
    <s v="BOLOGNESE"/>
    <n v="2200"/>
    <n v="83"/>
    <n v="182600"/>
    <m/>
  </r>
  <r>
    <x v="8"/>
    <s v="JUL"/>
    <x v="29"/>
    <s v="GRSM 5"/>
    <x v="1"/>
    <s v="GMM"/>
    <n v="170220"/>
    <n v="1901019"/>
    <x v="19"/>
    <x v="37"/>
    <s v="GORENG"/>
    <n v="2200"/>
    <n v="294"/>
    <n v="646800"/>
    <n v="193"/>
  </r>
  <r>
    <x v="8"/>
    <s v="JUL"/>
    <x v="29"/>
    <s v="GRSM 5"/>
    <x v="1"/>
    <s v="GMM"/>
    <n v="170220"/>
    <n v="1901019"/>
    <x v="19"/>
    <x v="38"/>
    <s v="AGLIO OLIO"/>
    <n v="2200"/>
    <n v="87"/>
    <n v="191400"/>
    <m/>
  </r>
  <r>
    <x v="8"/>
    <s v="JUL"/>
    <x v="29"/>
    <s v="GRSM 5"/>
    <x v="1"/>
    <s v="GMM"/>
    <n v="170220"/>
    <n v="1901019"/>
    <x v="19"/>
    <x v="38"/>
    <s v="CARBONARA"/>
    <n v="2200"/>
    <n v="72"/>
    <n v="158400"/>
    <m/>
  </r>
  <r>
    <x v="8"/>
    <s v="JUL"/>
    <x v="29"/>
    <s v="GRSM 5"/>
    <x v="1"/>
    <s v="GMM"/>
    <n v="170220"/>
    <n v="1901019"/>
    <x v="19"/>
    <x v="38"/>
    <s v="BOLOGNESE"/>
    <n v="2200"/>
    <n v="83"/>
    <n v="182600"/>
    <m/>
  </r>
  <r>
    <x v="8"/>
    <s v="JUL"/>
    <x v="29"/>
    <s v="GRSM 5"/>
    <x v="1"/>
    <s v="GMM"/>
    <n v="170220"/>
    <n v="1901019"/>
    <x v="19"/>
    <x v="38"/>
    <s v="GORENG"/>
    <n v="2200"/>
    <n v="294"/>
    <n v="646800"/>
    <n v="193"/>
  </r>
  <r>
    <x v="8"/>
    <s v="JUL"/>
    <x v="29"/>
    <s v="GRSM 5"/>
    <x v="1"/>
    <s v="GMM"/>
    <n v="170220"/>
    <n v="1901004"/>
    <x v="17"/>
    <x v="33"/>
    <s v="AGLIO OLIO"/>
    <n v="2200"/>
    <n v="40"/>
    <n v="88000"/>
    <m/>
  </r>
  <r>
    <x v="8"/>
    <s v="JUL"/>
    <x v="29"/>
    <s v="GRSM 5"/>
    <x v="1"/>
    <s v="GMM"/>
    <n v="170220"/>
    <n v="1901004"/>
    <x v="17"/>
    <x v="33"/>
    <s v="CARBONARA"/>
    <n v="2200"/>
    <n v="280"/>
    <n v="616000"/>
    <m/>
  </r>
  <r>
    <x v="8"/>
    <s v="JUL"/>
    <x v="29"/>
    <s v="GRSM 5"/>
    <x v="1"/>
    <s v="GMM"/>
    <n v="170220"/>
    <n v="1901004"/>
    <x v="17"/>
    <x v="33"/>
    <s v="BOLOGNESE"/>
    <n v="2200"/>
    <n v="120"/>
    <n v="264000"/>
    <m/>
  </r>
  <r>
    <x v="8"/>
    <s v="JUL"/>
    <x v="29"/>
    <s v="GRSM 5"/>
    <x v="1"/>
    <s v="GMM"/>
    <n v="170220"/>
    <n v="1901004"/>
    <x v="17"/>
    <x v="33"/>
    <s v="GORENG"/>
    <n v="2200"/>
    <n v="440"/>
    <n v="968000"/>
    <n v="320"/>
  </r>
  <r>
    <x v="8"/>
    <s v="JUL"/>
    <x v="29"/>
    <s v="GRSM 5"/>
    <x v="1"/>
    <s v="GMM"/>
    <n v="170220"/>
    <n v="1901004"/>
    <x v="17"/>
    <x v="34"/>
    <s v="AGLIO OLIO"/>
    <n v="2200"/>
    <n v="40"/>
    <n v="88000"/>
    <m/>
  </r>
  <r>
    <x v="8"/>
    <s v="JUL"/>
    <x v="29"/>
    <s v="GRSM 5"/>
    <x v="1"/>
    <s v="GMM"/>
    <n v="170220"/>
    <n v="1901004"/>
    <x v="17"/>
    <x v="34"/>
    <s v="CARBONARA"/>
    <n v="2200"/>
    <n v="280"/>
    <n v="616000"/>
    <m/>
  </r>
  <r>
    <x v="8"/>
    <s v="JUL"/>
    <x v="29"/>
    <s v="GRSM 5"/>
    <x v="1"/>
    <s v="GMM"/>
    <n v="170220"/>
    <n v="1901004"/>
    <x v="17"/>
    <x v="34"/>
    <s v="BOLOGNESE"/>
    <n v="2200"/>
    <n v="120"/>
    <n v="264000"/>
    <m/>
  </r>
  <r>
    <x v="8"/>
    <s v="JUL"/>
    <x v="29"/>
    <s v="GRSM 5"/>
    <x v="1"/>
    <s v="GMM"/>
    <n v="170220"/>
    <n v="1901004"/>
    <x v="17"/>
    <x v="34"/>
    <s v="GORENG"/>
    <n v="2200"/>
    <n v="440"/>
    <n v="968000"/>
    <n v="320"/>
  </r>
  <r>
    <x v="8"/>
    <s v="JUL"/>
    <x v="29"/>
    <s v="GRSM 5"/>
    <x v="1"/>
    <s v="GMM"/>
    <n v="170220"/>
    <n v="9000015"/>
    <x v="18"/>
    <x v="35"/>
    <s v="AGLIO OLIO"/>
    <n v="2217"/>
    <n v="81"/>
    <n v="179577"/>
    <m/>
  </r>
  <r>
    <x v="8"/>
    <s v="JUL"/>
    <x v="29"/>
    <s v="GRSM 5"/>
    <x v="1"/>
    <s v="GMM"/>
    <n v="170220"/>
    <n v="9000015"/>
    <x v="18"/>
    <x v="35"/>
    <s v="CARBONARA"/>
    <n v="2217"/>
    <n v="359"/>
    <n v="795903"/>
    <m/>
  </r>
  <r>
    <x v="8"/>
    <s v="JUL"/>
    <x v="29"/>
    <s v="GRSM 5"/>
    <x v="1"/>
    <s v="GMM"/>
    <n v="170220"/>
    <n v="9000015"/>
    <x v="18"/>
    <x v="35"/>
    <s v="BOLOGNESE"/>
    <n v="2217"/>
    <n v="125"/>
    <n v="277125"/>
    <m/>
  </r>
  <r>
    <x v="8"/>
    <s v="JUL"/>
    <x v="29"/>
    <s v="GRSM 5"/>
    <x v="1"/>
    <s v="GMM"/>
    <n v="170220"/>
    <n v="9000015"/>
    <x v="18"/>
    <x v="35"/>
    <s v="GORENG"/>
    <n v="2217"/>
    <n v="370"/>
    <n v="820290"/>
    <n v="255"/>
  </r>
  <r>
    <x v="8"/>
    <s v="JUL"/>
    <x v="29"/>
    <s v="GRSM 5"/>
    <x v="1"/>
    <s v="GMM"/>
    <n v="170220"/>
    <n v="9000015"/>
    <x v="18"/>
    <x v="59"/>
    <s v="AGLIO OLIO"/>
    <n v="2217"/>
    <n v="81"/>
    <n v="179577"/>
    <m/>
  </r>
  <r>
    <x v="8"/>
    <s v="JUL"/>
    <x v="29"/>
    <s v="GRSM 5"/>
    <x v="1"/>
    <s v="GMM"/>
    <n v="170220"/>
    <n v="9000015"/>
    <x v="18"/>
    <x v="59"/>
    <s v="CARBONARA"/>
    <n v="2217"/>
    <n v="359"/>
    <n v="795903"/>
    <m/>
  </r>
  <r>
    <x v="8"/>
    <s v="JUL"/>
    <x v="29"/>
    <s v="GRSM 5"/>
    <x v="1"/>
    <s v="GMM"/>
    <n v="170220"/>
    <n v="9000015"/>
    <x v="18"/>
    <x v="59"/>
    <s v="BOLOGNESE"/>
    <n v="2217"/>
    <n v="125"/>
    <n v="277125"/>
    <m/>
  </r>
  <r>
    <x v="8"/>
    <s v="JUL"/>
    <x v="29"/>
    <s v="GRSM 5"/>
    <x v="1"/>
    <s v="GMM"/>
    <n v="170220"/>
    <n v="9000015"/>
    <x v="18"/>
    <x v="59"/>
    <s v="GORENG"/>
    <n v="2217"/>
    <n v="370"/>
    <n v="820290"/>
    <n v="255"/>
  </r>
  <r>
    <x v="8"/>
    <s v="JUL"/>
    <x v="30"/>
    <s v="GRSM 5"/>
    <x v="1"/>
    <s v="GMM"/>
    <n v="170220"/>
    <n v="9000015"/>
    <x v="18"/>
    <x v="35"/>
    <s v="AGLIO OLIO"/>
    <n v="2200"/>
    <n v="95"/>
    <n v="209000"/>
    <m/>
  </r>
  <r>
    <x v="8"/>
    <s v="JUL"/>
    <x v="30"/>
    <s v="GRSM 5"/>
    <x v="1"/>
    <s v="GMM"/>
    <n v="170220"/>
    <n v="9000015"/>
    <x v="18"/>
    <x v="35"/>
    <s v="CARBONARA"/>
    <n v="2200"/>
    <n v="348"/>
    <n v="765600"/>
    <m/>
  </r>
  <r>
    <x v="8"/>
    <s v="JUL"/>
    <x v="30"/>
    <s v="GRSM 5"/>
    <x v="1"/>
    <s v="GMM"/>
    <n v="170220"/>
    <n v="9000015"/>
    <x v="18"/>
    <x v="35"/>
    <s v="BOLOGNESE"/>
    <n v="2200"/>
    <n v="102"/>
    <n v="224400"/>
    <m/>
  </r>
  <r>
    <x v="8"/>
    <s v="JUL"/>
    <x v="30"/>
    <s v="GRSM 5"/>
    <x v="1"/>
    <s v="GMM"/>
    <n v="170220"/>
    <n v="9000015"/>
    <x v="18"/>
    <x v="35"/>
    <s v="GORENG"/>
    <n v="2200"/>
    <n v="421"/>
    <n v="926200"/>
    <n v="300"/>
  </r>
  <r>
    <x v="8"/>
    <s v="JUL"/>
    <x v="30"/>
    <s v="GRSM 5"/>
    <x v="1"/>
    <s v="GMM"/>
    <n v="170220"/>
    <n v="9000015"/>
    <x v="18"/>
    <x v="59"/>
    <s v="AGLIO OLIO"/>
    <n v="2200"/>
    <n v="95"/>
    <n v="209000"/>
    <m/>
  </r>
  <r>
    <x v="8"/>
    <s v="JUL"/>
    <x v="30"/>
    <s v="GRSM 5"/>
    <x v="1"/>
    <s v="GMM"/>
    <n v="170220"/>
    <n v="9000015"/>
    <x v="18"/>
    <x v="59"/>
    <s v="CARBONARA"/>
    <n v="2200"/>
    <n v="348"/>
    <n v="765600"/>
    <m/>
  </r>
  <r>
    <x v="8"/>
    <s v="JUL"/>
    <x v="30"/>
    <s v="GRSM 5"/>
    <x v="1"/>
    <s v="GMM"/>
    <n v="170220"/>
    <n v="9000015"/>
    <x v="18"/>
    <x v="59"/>
    <s v="BOLOGNESE"/>
    <n v="2200"/>
    <n v="102"/>
    <n v="224400"/>
    <m/>
  </r>
  <r>
    <x v="8"/>
    <s v="JUL"/>
    <x v="30"/>
    <s v="GRSM 5"/>
    <x v="1"/>
    <s v="GMM"/>
    <n v="170220"/>
    <n v="9000015"/>
    <x v="18"/>
    <x v="59"/>
    <s v="GORENG"/>
    <n v="2200"/>
    <n v="421"/>
    <n v="926200"/>
    <n v="300"/>
  </r>
  <r>
    <x v="8"/>
    <s v="JUL"/>
    <x v="30"/>
    <s v="GRSM 5"/>
    <x v="1"/>
    <s v="GMM"/>
    <n v="170220"/>
    <n v="9000015"/>
    <x v="15"/>
    <x v="29"/>
    <s v="AGLIO OLIO"/>
    <n v="2200"/>
    <n v="124"/>
    <n v="272800"/>
    <m/>
  </r>
  <r>
    <x v="8"/>
    <s v="JUL"/>
    <x v="30"/>
    <s v="GRSM 5"/>
    <x v="1"/>
    <s v="GMM"/>
    <n v="170220"/>
    <n v="9000015"/>
    <x v="15"/>
    <x v="29"/>
    <s v="CARBONARA"/>
    <n v="2200"/>
    <n v="209"/>
    <n v="459800"/>
    <m/>
  </r>
  <r>
    <x v="8"/>
    <s v="JUL"/>
    <x v="30"/>
    <s v="GRSM 5"/>
    <x v="1"/>
    <s v="GMM"/>
    <n v="170220"/>
    <n v="9000015"/>
    <x v="15"/>
    <x v="29"/>
    <s v="BOLOGNESE"/>
    <n v="2200"/>
    <n v="198"/>
    <n v="435600"/>
    <m/>
  </r>
  <r>
    <x v="8"/>
    <s v="JUL"/>
    <x v="30"/>
    <s v="GRSM 5"/>
    <x v="1"/>
    <s v="GMM"/>
    <n v="170220"/>
    <n v="9000015"/>
    <x v="15"/>
    <x v="29"/>
    <s v="GORENG"/>
    <n v="2200"/>
    <n v="311"/>
    <n v="684200"/>
    <n v="240"/>
  </r>
  <r>
    <x v="8"/>
    <s v="JUL"/>
    <x v="30"/>
    <s v="GRSM 5"/>
    <x v="1"/>
    <s v="GMM"/>
    <n v="170220"/>
    <n v="9000015"/>
    <x v="15"/>
    <x v="28"/>
    <s v="AGLIO OLIO"/>
    <n v="2200"/>
    <n v="124"/>
    <n v="272800"/>
    <m/>
  </r>
  <r>
    <x v="8"/>
    <s v="JUL"/>
    <x v="30"/>
    <s v="GRSM 5"/>
    <x v="1"/>
    <s v="GMM"/>
    <n v="170220"/>
    <n v="9000015"/>
    <x v="15"/>
    <x v="28"/>
    <s v="CARBONARA"/>
    <n v="2200"/>
    <n v="209"/>
    <n v="459800"/>
    <m/>
  </r>
  <r>
    <x v="8"/>
    <s v="JUL"/>
    <x v="30"/>
    <s v="GRSM 5"/>
    <x v="1"/>
    <s v="GMM"/>
    <n v="170220"/>
    <n v="9000015"/>
    <x v="15"/>
    <x v="28"/>
    <s v="BOLOGNESE"/>
    <n v="2200"/>
    <n v="198"/>
    <n v="435600"/>
    <m/>
  </r>
  <r>
    <x v="8"/>
    <s v="JUL"/>
    <x v="30"/>
    <s v="GRSM 5"/>
    <x v="1"/>
    <s v="GMM"/>
    <n v="170220"/>
    <n v="9000015"/>
    <x v="15"/>
    <x v="28"/>
    <s v="GORENG"/>
    <n v="2200"/>
    <n v="311"/>
    <n v="684200"/>
    <n v="240"/>
  </r>
  <r>
    <x v="8"/>
    <s v="JUL"/>
    <x v="30"/>
    <s v="GRSM 5"/>
    <x v="1"/>
    <s v="GMM"/>
    <n v="170220"/>
    <n v="1901019"/>
    <x v="19"/>
    <x v="37"/>
    <s v="AGLIO OLIO"/>
    <n v="2200"/>
    <n v="77"/>
    <n v="169400"/>
    <m/>
  </r>
  <r>
    <x v="8"/>
    <s v="JUL"/>
    <x v="30"/>
    <s v="GRSM 5"/>
    <x v="1"/>
    <s v="GMM"/>
    <n v="170220"/>
    <n v="1901019"/>
    <x v="19"/>
    <x v="37"/>
    <s v="CARBONARA"/>
    <n v="2200"/>
    <n v="79"/>
    <n v="173800"/>
    <m/>
  </r>
  <r>
    <x v="8"/>
    <s v="JUL"/>
    <x v="30"/>
    <s v="GRSM 5"/>
    <x v="1"/>
    <s v="GMM"/>
    <n v="170220"/>
    <n v="1901019"/>
    <x v="19"/>
    <x v="37"/>
    <s v="BOLOGNESE"/>
    <n v="2200"/>
    <n v="203"/>
    <n v="446600"/>
    <m/>
  </r>
  <r>
    <x v="8"/>
    <s v="JUL"/>
    <x v="30"/>
    <s v="GRSM 5"/>
    <x v="1"/>
    <s v="GMM"/>
    <n v="170220"/>
    <n v="1901019"/>
    <x v="19"/>
    <x v="37"/>
    <s v="GORENG"/>
    <n v="2200"/>
    <n v="413"/>
    <n v="908600"/>
    <n v="223"/>
  </r>
  <r>
    <x v="8"/>
    <s v="JUL"/>
    <x v="30"/>
    <s v="GRSM 5"/>
    <x v="1"/>
    <s v="GMM"/>
    <n v="170220"/>
    <n v="1901019"/>
    <x v="19"/>
    <x v="38"/>
    <s v="AGLIO OLIO"/>
    <n v="2200"/>
    <n v="77"/>
    <n v="169400"/>
    <m/>
  </r>
  <r>
    <x v="8"/>
    <s v="JUL"/>
    <x v="30"/>
    <s v="GRSM 5"/>
    <x v="1"/>
    <s v="GMM"/>
    <n v="170220"/>
    <n v="1901019"/>
    <x v="19"/>
    <x v="38"/>
    <s v="CARBONARA"/>
    <n v="2200"/>
    <n v="79"/>
    <n v="173800"/>
    <m/>
  </r>
  <r>
    <x v="8"/>
    <s v="JUL"/>
    <x v="30"/>
    <s v="GRSM 5"/>
    <x v="1"/>
    <s v="GMM"/>
    <n v="170220"/>
    <n v="1901019"/>
    <x v="19"/>
    <x v="38"/>
    <s v="BOLOGNESE"/>
    <n v="2200"/>
    <n v="203"/>
    <n v="446600"/>
    <m/>
  </r>
  <r>
    <x v="8"/>
    <s v="JUL"/>
    <x v="30"/>
    <s v="GRSM 5"/>
    <x v="1"/>
    <s v="GMM"/>
    <n v="170220"/>
    <n v="1901019"/>
    <x v="19"/>
    <x v="38"/>
    <s v="GORENG"/>
    <n v="2200"/>
    <n v="413"/>
    <n v="908600"/>
    <n v="223"/>
  </r>
  <r>
    <x v="8"/>
    <s v="JUL"/>
    <x v="30"/>
    <s v="GRSM 5"/>
    <x v="1"/>
    <s v="GMM"/>
    <n v="170220"/>
    <n v="1901004"/>
    <x v="17"/>
    <x v="33"/>
    <s v="AGLIO OLIO"/>
    <n v="2200"/>
    <n v="55"/>
    <n v="121000"/>
    <m/>
  </r>
  <r>
    <x v="8"/>
    <s v="JUL"/>
    <x v="30"/>
    <s v="GRSM 5"/>
    <x v="1"/>
    <s v="GMM"/>
    <n v="170220"/>
    <n v="1901004"/>
    <x v="17"/>
    <x v="33"/>
    <s v="CARBONARA"/>
    <n v="2200"/>
    <n v="269"/>
    <n v="591800"/>
    <m/>
  </r>
  <r>
    <x v="8"/>
    <s v="JUL"/>
    <x v="30"/>
    <s v="GRSM 5"/>
    <x v="1"/>
    <s v="GMM"/>
    <n v="170220"/>
    <n v="1901004"/>
    <x v="17"/>
    <x v="33"/>
    <s v="BOLOGNESE"/>
    <n v="2200"/>
    <n v="133"/>
    <n v="292600"/>
    <m/>
  </r>
  <r>
    <x v="8"/>
    <s v="JUL"/>
    <x v="30"/>
    <s v="GRSM 5"/>
    <x v="1"/>
    <s v="GMM"/>
    <n v="170220"/>
    <n v="1901004"/>
    <x v="17"/>
    <x v="33"/>
    <s v="GORENG"/>
    <n v="2200"/>
    <n v="417"/>
    <n v="917400"/>
    <n v="320"/>
  </r>
  <r>
    <x v="8"/>
    <s v="JUL"/>
    <x v="30"/>
    <s v="GRSM 5"/>
    <x v="1"/>
    <s v="GMM"/>
    <n v="170220"/>
    <n v="1901004"/>
    <x v="17"/>
    <x v="34"/>
    <s v="AGLIO OLIO"/>
    <n v="2200"/>
    <n v="55"/>
    <n v="121000"/>
    <m/>
  </r>
  <r>
    <x v="8"/>
    <s v="JUL"/>
    <x v="30"/>
    <s v="GRSM 5"/>
    <x v="1"/>
    <s v="GMM"/>
    <n v="170220"/>
    <n v="1901004"/>
    <x v="17"/>
    <x v="34"/>
    <s v="CARBONARA"/>
    <n v="2200"/>
    <n v="269"/>
    <n v="591800"/>
    <m/>
  </r>
  <r>
    <x v="8"/>
    <s v="JUL"/>
    <x v="30"/>
    <s v="GRSM 5"/>
    <x v="1"/>
    <s v="GMM"/>
    <n v="170220"/>
    <n v="1901004"/>
    <x v="17"/>
    <x v="34"/>
    <s v="BOLOGNESE"/>
    <n v="2200"/>
    <n v="133"/>
    <n v="292600"/>
    <m/>
  </r>
  <r>
    <x v="8"/>
    <s v="JUL"/>
    <x v="30"/>
    <s v="GRSM 5"/>
    <x v="1"/>
    <s v="GMM"/>
    <n v="170220"/>
    <n v="1901004"/>
    <x v="17"/>
    <x v="34"/>
    <s v="GORENG"/>
    <n v="2200"/>
    <n v="417"/>
    <n v="917400"/>
    <n v="320"/>
  </r>
  <r>
    <x v="8"/>
    <s v="JUL"/>
    <x v="28"/>
    <s v="GRSM 6"/>
    <x v="2"/>
    <s v="GMM"/>
    <n v="103765"/>
    <n v="4307038"/>
    <x v="20"/>
    <x v="40"/>
    <s v="AGLIO OLIO"/>
    <n v="3000"/>
    <n v="2"/>
    <n v="6000"/>
    <m/>
  </r>
  <r>
    <x v="8"/>
    <s v="JUL"/>
    <x v="28"/>
    <s v="GRSM 6"/>
    <x v="2"/>
    <s v="GMM"/>
    <n v="103765"/>
    <n v="4307038"/>
    <x v="20"/>
    <x v="40"/>
    <s v="CARBONARA"/>
    <n v="3000"/>
    <n v="120"/>
    <n v="360000"/>
    <m/>
  </r>
  <r>
    <x v="8"/>
    <s v="JUL"/>
    <x v="28"/>
    <s v="GRSM 6"/>
    <x v="2"/>
    <s v="GMM"/>
    <n v="103765"/>
    <n v="4307038"/>
    <x v="20"/>
    <x v="40"/>
    <s v="BOLOGNESE"/>
    <n v="3000"/>
    <n v="90"/>
    <n v="270000"/>
    <m/>
  </r>
  <r>
    <x v="8"/>
    <s v="JUL"/>
    <x v="28"/>
    <s v="GRSM 6"/>
    <x v="2"/>
    <s v="GMM"/>
    <n v="103765"/>
    <n v="4307038"/>
    <x v="20"/>
    <x v="40"/>
    <s v="GORENG"/>
    <n v="3000"/>
    <n v="262"/>
    <n v="786000"/>
    <m/>
  </r>
  <r>
    <x v="8"/>
    <s v="JUL"/>
    <x v="28"/>
    <s v="GRSM 6"/>
    <x v="2"/>
    <s v="GMM"/>
    <n v="103765"/>
    <n v="4307038"/>
    <x v="20"/>
    <x v="41"/>
    <s v="AGLIO OLIO"/>
    <n v="3000"/>
    <n v="2"/>
    <n v="6000"/>
    <m/>
  </r>
  <r>
    <x v="8"/>
    <s v="JUL"/>
    <x v="28"/>
    <s v="GRSM 6"/>
    <x v="2"/>
    <s v="GMM"/>
    <n v="103765"/>
    <n v="4307038"/>
    <x v="20"/>
    <x v="41"/>
    <s v="CARBONARA"/>
    <n v="3000"/>
    <n v="120"/>
    <n v="360000"/>
    <m/>
  </r>
  <r>
    <x v="8"/>
    <s v="JUL"/>
    <x v="28"/>
    <s v="GRSM 6"/>
    <x v="2"/>
    <s v="GMM"/>
    <n v="103765"/>
    <n v="4307038"/>
    <x v="20"/>
    <x v="41"/>
    <s v="BOLOGNESE"/>
    <n v="3000"/>
    <n v="90"/>
    <n v="270000"/>
    <m/>
  </r>
  <r>
    <x v="8"/>
    <s v="JUL"/>
    <x v="28"/>
    <s v="GRSM 6"/>
    <x v="2"/>
    <s v="GMM"/>
    <n v="103765"/>
    <n v="4307038"/>
    <x v="20"/>
    <x v="41"/>
    <s v="GORENG"/>
    <n v="3000"/>
    <n v="262"/>
    <n v="786000"/>
    <m/>
  </r>
  <r>
    <x v="8"/>
    <s v="JUL"/>
    <x v="28"/>
    <s v="GRSM 6"/>
    <x v="2"/>
    <s v="GMM"/>
    <n v="211139"/>
    <n v="3604550"/>
    <x v="26"/>
    <x v="52"/>
    <s v="AGLIO OLIO"/>
    <n v="2800"/>
    <n v="58"/>
    <n v="162400"/>
    <m/>
  </r>
  <r>
    <x v="8"/>
    <s v="JUL"/>
    <x v="28"/>
    <s v="GRSM 6"/>
    <x v="2"/>
    <s v="GMM"/>
    <n v="211139"/>
    <n v="3604550"/>
    <x v="26"/>
    <x v="52"/>
    <s v="CARBONARA"/>
    <n v="2800"/>
    <n v="62"/>
    <n v="173600"/>
    <m/>
  </r>
  <r>
    <x v="8"/>
    <s v="JUL"/>
    <x v="28"/>
    <s v="GRSM 6"/>
    <x v="2"/>
    <s v="GMM"/>
    <n v="211139"/>
    <n v="3604550"/>
    <x v="26"/>
    <x v="52"/>
    <s v="BOLOGNESE"/>
    <n v="2800"/>
    <n v="68"/>
    <n v="190400"/>
    <m/>
  </r>
  <r>
    <x v="8"/>
    <s v="JUL"/>
    <x v="28"/>
    <s v="GRSM 6"/>
    <x v="2"/>
    <s v="GMM"/>
    <n v="211139"/>
    <n v="3604550"/>
    <x v="26"/>
    <x v="52"/>
    <s v="GORENG"/>
    <n v="2800"/>
    <n v="164"/>
    <n v="459200"/>
    <n v="80"/>
  </r>
  <r>
    <x v="8"/>
    <s v="JUL"/>
    <x v="28"/>
    <s v="GRSM 6"/>
    <x v="2"/>
    <s v="GMM"/>
    <n v="211139"/>
    <n v="3604550"/>
    <x v="26"/>
    <x v="53"/>
    <s v="AGLIO OLIO"/>
    <n v="2800"/>
    <n v="60"/>
    <n v="168000"/>
    <m/>
  </r>
  <r>
    <x v="8"/>
    <s v="JUL"/>
    <x v="28"/>
    <s v="GRSM 6"/>
    <x v="2"/>
    <s v="GMM"/>
    <n v="211139"/>
    <n v="3604550"/>
    <x v="26"/>
    <x v="53"/>
    <s v="CARBONARA"/>
    <n v="2800"/>
    <n v="62"/>
    <n v="173600"/>
    <m/>
  </r>
  <r>
    <x v="8"/>
    <s v="JUL"/>
    <x v="28"/>
    <s v="GRSM 6"/>
    <x v="2"/>
    <s v="GMM"/>
    <n v="211139"/>
    <n v="3604550"/>
    <x v="26"/>
    <x v="53"/>
    <s v="BOLOGNESE"/>
    <n v="2800"/>
    <n v="64"/>
    <n v="179200"/>
    <m/>
  </r>
  <r>
    <x v="8"/>
    <s v="JUL"/>
    <x v="28"/>
    <s v="GRSM 6"/>
    <x v="2"/>
    <s v="GMM"/>
    <n v="211139"/>
    <n v="3604550"/>
    <x v="26"/>
    <x v="53"/>
    <s v="GORENG"/>
    <n v="2800"/>
    <n v="180"/>
    <n v="504000"/>
    <n v="80"/>
  </r>
  <r>
    <x v="8"/>
    <s v="JUL"/>
    <x v="28"/>
    <s v="GRSM 6"/>
    <x v="2"/>
    <s v="GMM"/>
    <n v="211163"/>
    <n v="3703215"/>
    <x v="23"/>
    <x v="46"/>
    <s v="AGLIO OLIO"/>
    <n v="3000"/>
    <n v="0"/>
    <n v="0"/>
    <m/>
  </r>
  <r>
    <x v="8"/>
    <s v="JUL"/>
    <x v="28"/>
    <s v="GRSM 6"/>
    <x v="2"/>
    <s v="GMM"/>
    <n v="211163"/>
    <n v="3703215"/>
    <x v="23"/>
    <x v="46"/>
    <s v="CARBONARA"/>
    <n v="3000"/>
    <n v="132"/>
    <n v="396000"/>
    <m/>
  </r>
  <r>
    <x v="8"/>
    <s v="JUL"/>
    <x v="28"/>
    <s v="GRSM 6"/>
    <x v="2"/>
    <s v="GMM"/>
    <n v="211163"/>
    <n v="3703215"/>
    <x v="23"/>
    <x v="46"/>
    <s v="BOLOGNESE"/>
    <n v="3000"/>
    <n v="122"/>
    <n v="366000"/>
    <m/>
  </r>
  <r>
    <x v="8"/>
    <s v="JUL"/>
    <x v="28"/>
    <s v="GRSM 6"/>
    <x v="2"/>
    <s v="GMM"/>
    <n v="211163"/>
    <n v="3703215"/>
    <x v="23"/>
    <x v="46"/>
    <s v="GORENG"/>
    <n v="3000"/>
    <n v="168"/>
    <n v="504000"/>
    <n v="80"/>
  </r>
  <r>
    <x v="8"/>
    <s v="JUL"/>
    <x v="28"/>
    <s v="GRSM 6"/>
    <x v="2"/>
    <s v="GMM"/>
    <n v="211163"/>
    <n v="3703215"/>
    <x v="23"/>
    <x v="47"/>
    <s v="AGLIO OLIO"/>
    <n v="3000"/>
    <n v="0"/>
    <n v="0"/>
    <m/>
  </r>
  <r>
    <x v="8"/>
    <s v="JUL"/>
    <x v="28"/>
    <s v="GRSM 6"/>
    <x v="2"/>
    <s v="GMM"/>
    <n v="211163"/>
    <n v="3703215"/>
    <x v="23"/>
    <x v="47"/>
    <s v="CARBONARA"/>
    <n v="3000"/>
    <n v="132"/>
    <n v="396000"/>
    <m/>
  </r>
  <r>
    <x v="8"/>
    <s v="JUL"/>
    <x v="28"/>
    <s v="GRSM 6"/>
    <x v="2"/>
    <s v="GMM"/>
    <n v="211163"/>
    <n v="3703215"/>
    <x v="23"/>
    <x v="47"/>
    <s v="BOLOGNESE"/>
    <n v="3000"/>
    <n v="122"/>
    <n v="366000"/>
    <m/>
  </r>
  <r>
    <x v="8"/>
    <s v="JUL"/>
    <x v="28"/>
    <s v="GRSM 6"/>
    <x v="2"/>
    <s v="GMM"/>
    <n v="211163"/>
    <n v="3703215"/>
    <x v="23"/>
    <x v="47"/>
    <s v="GORENG"/>
    <n v="3000"/>
    <n v="168"/>
    <n v="504000"/>
    <n v="80"/>
  </r>
  <r>
    <x v="8"/>
    <s v="JUL"/>
    <x v="28"/>
    <s v="GRSM 6"/>
    <x v="2"/>
    <s v="GMM"/>
    <n v="211163"/>
    <n v="3703219"/>
    <x v="22"/>
    <x v="45"/>
    <s v="AGLIO OLIO"/>
    <n v="2900"/>
    <n v="0"/>
    <n v="0"/>
    <m/>
  </r>
  <r>
    <x v="8"/>
    <s v="JUL"/>
    <x v="28"/>
    <s v="GRSM 6"/>
    <x v="2"/>
    <s v="GMM"/>
    <n v="211163"/>
    <n v="3703219"/>
    <x v="22"/>
    <x v="45"/>
    <s v="CARBONARA"/>
    <n v="2900"/>
    <n v="224"/>
    <n v="649600"/>
    <m/>
  </r>
  <r>
    <x v="8"/>
    <s v="JUL"/>
    <x v="28"/>
    <s v="GRSM 6"/>
    <x v="2"/>
    <s v="GMM"/>
    <n v="211163"/>
    <n v="3703219"/>
    <x v="22"/>
    <x v="45"/>
    <s v="BOLOGNESE"/>
    <n v="2900"/>
    <n v="216"/>
    <n v="626400"/>
    <m/>
  </r>
  <r>
    <x v="8"/>
    <s v="JUL"/>
    <x v="28"/>
    <s v="GRSM 6"/>
    <x v="2"/>
    <s v="GMM"/>
    <n v="211163"/>
    <n v="3703219"/>
    <x v="22"/>
    <x v="45"/>
    <s v="GORENG"/>
    <n v="2900"/>
    <n v="438"/>
    <n v="1270200"/>
    <m/>
  </r>
  <r>
    <x v="8"/>
    <s v="JUL"/>
    <x v="28"/>
    <s v="GRSM 6"/>
    <x v="2"/>
    <s v="GMM"/>
    <n v="211163"/>
    <n v="3703219"/>
    <x v="22"/>
    <x v="44"/>
    <s v="AGLIO OLIO"/>
    <n v="2900"/>
    <n v="0"/>
    <n v="0"/>
    <m/>
  </r>
  <r>
    <x v="8"/>
    <s v="JUL"/>
    <x v="28"/>
    <s v="GRSM 6"/>
    <x v="2"/>
    <s v="GMM"/>
    <n v="211163"/>
    <n v="3703219"/>
    <x v="22"/>
    <x v="44"/>
    <s v="CARBONARA"/>
    <n v="2900"/>
    <n v="224"/>
    <n v="649600"/>
    <m/>
  </r>
  <r>
    <x v="8"/>
    <s v="JUL"/>
    <x v="28"/>
    <s v="GRSM 6"/>
    <x v="2"/>
    <s v="GMM"/>
    <n v="211163"/>
    <n v="3703219"/>
    <x v="22"/>
    <x v="44"/>
    <s v="BOLOGNESE"/>
    <n v="2900"/>
    <n v="216"/>
    <n v="626400"/>
    <m/>
  </r>
  <r>
    <x v="8"/>
    <s v="JUL"/>
    <x v="28"/>
    <s v="GRSM 6"/>
    <x v="2"/>
    <s v="GMM"/>
    <n v="211163"/>
    <n v="3703219"/>
    <x v="22"/>
    <x v="44"/>
    <s v="GORENG"/>
    <n v="2900"/>
    <n v="438"/>
    <n v="1270200"/>
    <m/>
  </r>
  <r>
    <x v="8"/>
    <s v="JUL"/>
    <x v="28"/>
    <s v="GRSM 6"/>
    <x v="2"/>
    <s v="GMM"/>
    <n v="211033"/>
    <n v="6467246"/>
    <x v="21"/>
    <x v="42"/>
    <s v="AGLIO OLIO"/>
    <n v="3000"/>
    <n v="68"/>
    <n v="204000"/>
    <m/>
  </r>
  <r>
    <x v="8"/>
    <s v="JUL"/>
    <x v="28"/>
    <s v="GRSM 6"/>
    <x v="2"/>
    <s v="GMM"/>
    <n v="211033"/>
    <n v="6467246"/>
    <x v="21"/>
    <x v="42"/>
    <s v="CARBONARA"/>
    <n v="3000"/>
    <n v="80"/>
    <n v="240000"/>
    <m/>
  </r>
  <r>
    <x v="8"/>
    <s v="JUL"/>
    <x v="28"/>
    <s v="GRSM 6"/>
    <x v="2"/>
    <s v="GMM"/>
    <n v="211033"/>
    <n v="6467246"/>
    <x v="21"/>
    <x v="42"/>
    <s v="BOLOGNESE"/>
    <n v="3000"/>
    <n v="76"/>
    <n v="228000"/>
    <m/>
  </r>
  <r>
    <x v="8"/>
    <s v="JUL"/>
    <x v="28"/>
    <s v="GRSM 6"/>
    <x v="2"/>
    <s v="GMM"/>
    <n v="211033"/>
    <n v="6467246"/>
    <x v="21"/>
    <x v="42"/>
    <s v="GORENG"/>
    <n v="3000"/>
    <n v="260"/>
    <n v="780000"/>
    <m/>
  </r>
  <r>
    <x v="8"/>
    <s v="JUL"/>
    <x v="28"/>
    <s v="GRSM 6"/>
    <x v="2"/>
    <s v="GMM"/>
    <n v="211033"/>
    <n v="6467246"/>
    <x v="21"/>
    <x v="43"/>
    <s v="AGLIO OLIO"/>
    <n v="3000"/>
    <n v="68"/>
    <n v="204000"/>
    <m/>
  </r>
  <r>
    <x v="8"/>
    <s v="JUL"/>
    <x v="28"/>
    <s v="GRSM 6"/>
    <x v="2"/>
    <s v="GMM"/>
    <n v="211033"/>
    <n v="6467246"/>
    <x v="21"/>
    <x v="43"/>
    <s v="CARBONARA"/>
    <n v="3000"/>
    <n v="80"/>
    <n v="240000"/>
    <m/>
  </r>
  <r>
    <x v="8"/>
    <s v="JUL"/>
    <x v="28"/>
    <s v="GRSM 6"/>
    <x v="2"/>
    <s v="GMM"/>
    <n v="211033"/>
    <n v="6467246"/>
    <x v="21"/>
    <x v="43"/>
    <s v="BOLOGNESE"/>
    <n v="3000"/>
    <n v="76"/>
    <n v="228000"/>
    <m/>
  </r>
  <r>
    <x v="8"/>
    <s v="JUL"/>
    <x v="28"/>
    <s v="GRSM 6"/>
    <x v="2"/>
    <s v="GMM"/>
    <n v="211033"/>
    <n v="6467246"/>
    <x v="21"/>
    <x v="43"/>
    <s v="GORENG"/>
    <n v="3000"/>
    <n v="260"/>
    <n v="780000"/>
    <m/>
  </r>
  <r>
    <x v="8"/>
    <s v="JUL"/>
    <x v="28"/>
    <s v="GRSM 6"/>
    <x v="2"/>
    <s v="GMM"/>
    <n v="211033"/>
    <n v="2001021"/>
    <x v="27"/>
    <x v="54"/>
    <s v="AGLIO OLIO"/>
    <n v="3000"/>
    <n v="107"/>
    <n v="321000"/>
    <m/>
  </r>
  <r>
    <x v="8"/>
    <s v="JUL"/>
    <x v="28"/>
    <s v="GRSM 6"/>
    <x v="2"/>
    <s v="GMM"/>
    <n v="211033"/>
    <n v="2001021"/>
    <x v="27"/>
    <x v="54"/>
    <s v="CARBONARA"/>
    <n v="3000"/>
    <n v="114"/>
    <n v="342000"/>
    <m/>
  </r>
  <r>
    <x v="8"/>
    <s v="JUL"/>
    <x v="28"/>
    <s v="GRSM 6"/>
    <x v="2"/>
    <s v="GMM"/>
    <n v="211033"/>
    <n v="2001021"/>
    <x v="27"/>
    <x v="54"/>
    <s v="BOLOGNESE"/>
    <n v="3000"/>
    <n v="14"/>
    <n v="42000"/>
    <m/>
  </r>
  <r>
    <x v="8"/>
    <s v="JUL"/>
    <x v="28"/>
    <s v="GRSM 6"/>
    <x v="2"/>
    <s v="GMM"/>
    <n v="211033"/>
    <n v="2001021"/>
    <x v="27"/>
    <x v="54"/>
    <s v="GORENG"/>
    <n v="3000"/>
    <n v="209"/>
    <n v="627000"/>
    <m/>
  </r>
  <r>
    <x v="8"/>
    <s v="JUL"/>
    <x v="28"/>
    <s v="GRSM 6"/>
    <x v="2"/>
    <s v="GMM"/>
    <n v="211033"/>
    <n v="2001021"/>
    <x v="27"/>
    <x v="55"/>
    <s v="AGLIO OLIO"/>
    <n v="3000"/>
    <n v="107"/>
    <n v="321000"/>
    <m/>
  </r>
  <r>
    <x v="8"/>
    <s v="JUL"/>
    <x v="28"/>
    <s v="GRSM 6"/>
    <x v="2"/>
    <s v="GMM"/>
    <n v="211033"/>
    <n v="2001021"/>
    <x v="27"/>
    <x v="55"/>
    <s v="CARBONARA"/>
    <n v="3000"/>
    <n v="114"/>
    <n v="342000"/>
    <m/>
  </r>
  <r>
    <x v="8"/>
    <s v="JUL"/>
    <x v="28"/>
    <s v="GRSM 6"/>
    <x v="2"/>
    <s v="GMM"/>
    <n v="211033"/>
    <n v="2001021"/>
    <x v="27"/>
    <x v="55"/>
    <s v="BOLOGNESE"/>
    <n v="3000"/>
    <n v="14"/>
    <n v="42000"/>
    <m/>
  </r>
  <r>
    <x v="8"/>
    <s v="JUL"/>
    <x v="28"/>
    <s v="GRSM 6"/>
    <x v="2"/>
    <s v="GMM"/>
    <n v="211033"/>
    <n v="2001021"/>
    <x v="27"/>
    <x v="55"/>
    <s v="GORENG"/>
    <n v="3000"/>
    <n v="209"/>
    <n v="627000"/>
    <m/>
  </r>
  <r>
    <x v="8"/>
    <s v="JUL"/>
    <x v="29"/>
    <s v="GRSM 6"/>
    <x v="2"/>
    <s v="GMM"/>
    <n v="211139"/>
    <n v="3604550"/>
    <x v="26"/>
    <x v="53"/>
    <s v="AGLIO OLIO"/>
    <n v="1377"/>
    <n v="122"/>
    <n v="167994"/>
    <m/>
  </r>
  <r>
    <x v="8"/>
    <s v="JUL"/>
    <x v="29"/>
    <s v="GRSM 6"/>
    <x v="2"/>
    <s v="GMM"/>
    <n v="211139"/>
    <n v="3604550"/>
    <x v="26"/>
    <x v="53"/>
    <s v="CARBONARA"/>
    <n v="1377"/>
    <n v="128"/>
    <n v="176256"/>
    <m/>
  </r>
  <r>
    <x v="8"/>
    <s v="JUL"/>
    <x v="29"/>
    <s v="GRSM 6"/>
    <x v="2"/>
    <s v="GMM"/>
    <n v="211139"/>
    <n v="3604550"/>
    <x v="26"/>
    <x v="53"/>
    <s v="BOLOGNESE"/>
    <n v="1377"/>
    <n v="130"/>
    <n v="179010"/>
    <m/>
  </r>
  <r>
    <x v="8"/>
    <s v="JUL"/>
    <x v="29"/>
    <s v="GRSM 6"/>
    <x v="2"/>
    <s v="GMM"/>
    <n v="211139"/>
    <n v="3604550"/>
    <x v="26"/>
    <x v="53"/>
    <s v="GORENG"/>
    <n v="1377"/>
    <n v="286"/>
    <n v="393822"/>
    <n v="80"/>
  </r>
  <r>
    <x v="8"/>
    <s v="JUL"/>
    <x v="29"/>
    <s v="GRSM 6"/>
    <x v="2"/>
    <s v="GMM"/>
    <n v="211139"/>
    <n v="3604550"/>
    <x v="26"/>
    <x v="52"/>
    <s v="AGLIO OLIO"/>
    <n v="1377"/>
    <n v="122"/>
    <n v="167994"/>
    <m/>
  </r>
  <r>
    <x v="8"/>
    <s v="JUL"/>
    <x v="29"/>
    <s v="GRSM 6"/>
    <x v="2"/>
    <s v="GMM"/>
    <n v="211139"/>
    <n v="3604550"/>
    <x v="26"/>
    <x v="52"/>
    <s v="CARBONARA"/>
    <n v="1377"/>
    <n v="128"/>
    <n v="176256"/>
    <m/>
  </r>
  <r>
    <x v="8"/>
    <s v="JUL"/>
    <x v="29"/>
    <s v="GRSM 6"/>
    <x v="2"/>
    <s v="GMM"/>
    <n v="211139"/>
    <n v="3604550"/>
    <x v="26"/>
    <x v="52"/>
    <s v="BOLOGNESE"/>
    <n v="1377"/>
    <n v="130"/>
    <n v="179010"/>
    <m/>
  </r>
  <r>
    <x v="8"/>
    <s v="JUL"/>
    <x v="29"/>
    <s v="GRSM 6"/>
    <x v="2"/>
    <s v="GMM"/>
    <n v="211139"/>
    <n v="3604550"/>
    <x v="26"/>
    <x v="52"/>
    <s v="GORENG"/>
    <n v="1377"/>
    <n v="286"/>
    <n v="393822"/>
    <n v="80"/>
  </r>
  <r>
    <x v="8"/>
    <s v="JUL"/>
    <x v="29"/>
    <s v="GRSM 6"/>
    <x v="2"/>
    <s v="GMM"/>
    <n v="103765"/>
    <n v="4307038"/>
    <x v="20"/>
    <x v="40"/>
    <s v="AGLIO OLIO"/>
    <n v="3000"/>
    <n v="0"/>
    <n v="0"/>
    <m/>
  </r>
  <r>
    <x v="8"/>
    <s v="JUL"/>
    <x v="29"/>
    <s v="GRSM 6"/>
    <x v="2"/>
    <s v="GMM"/>
    <n v="103765"/>
    <n v="4307038"/>
    <x v="20"/>
    <x v="40"/>
    <s v="CARBONARA"/>
    <n v="3000"/>
    <n v="110"/>
    <n v="330000"/>
    <m/>
  </r>
  <r>
    <x v="8"/>
    <s v="JUL"/>
    <x v="29"/>
    <s v="GRSM 6"/>
    <x v="2"/>
    <s v="GMM"/>
    <n v="103765"/>
    <n v="4307038"/>
    <x v="20"/>
    <x v="40"/>
    <s v="BOLOGNESE"/>
    <n v="3000"/>
    <n v="100"/>
    <n v="300000"/>
    <m/>
  </r>
  <r>
    <x v="8"/>
    <s v="JUL"/>
    <x v="29"/>
    <s v="GRSM 6"/>
    <x v="2"/>
    <s v="GMM"/>
    <n v="103765"/>
    <n v="4307038"/>
    <x v="20"/>
    <x v="40"/>
    <s v="GORENG"/>
    <n v="3000"/>
    <n v="262"/>
    <n v="786000"/>
    <m/>
  </r>
  <r>
    <x v="8"/>
    <s v="JUL"/>
    <x v="29"/>
    <s v="GRSM 6"/>
    <x v="2"/>
    <s v="GMM"/>
    <n v="103765"/>
    <n v="4307038"/>
    <x v="20"/>
    <x v="41"/>
    <s v="AGLIO OLIO"/>
    <n v="3000"/>
    <n v="0"/>
    <n v="0"/>
    <m/>
  </r>
  <r>
    <x v="8"/>
    <s v="JUL"/>
    <x v="29"/>
    <s v="GRSM 6"/>
    <x v="2"/>
    <s v="GMM"/>
    <n v="103765"/>
    <n v="4307038"/>
    <x v="20"/>
    <x v="41"/>
    <s v="CARBONARA"/>
    <n v="3000"/>
    <n v="110"/>
    <n v="330000"/>
    <m/>
  </r>
  <r>
    <x v="8"/>
    <s v="JUL"/>
    <x v="29"/>
    <s v="GRSM 6"/>
    <x v="2"/>
    <s v="GMM"/>
    <n v="103765"/>
    <n v="4307038"/>
    <x v="20"/>
    <x v="41"/>
    <s v="BOLOGNESE"/>
    <n v="3000"/>
    <n v="100"/>
    <n v="300000"/>
    <m/>
  </r>
  <r>
    <x v="8"/>
    <s v="JUL"/>
    <x v="29"/>
    <s v="GRSM 6"/>
    <x v="2"/>
    <s v="GMM"/>
    <n v="103765"/>
    <n v="4307038"/>
    <x v="20"/>
    <x v="41"/>
    <s v="GORENG"/>
    <n v="3000"/>
    <n v="262"/>
    <n v="786000"/>
    <m/>
  </r>
  <r>
    <x v="8"/>
    <s v="JUL"/>
    <x v="29"/>
    <s v="GRSM 6"/>
    <x v="2"/>
    <s v="GMM"/>
    <n v="211163"/>
    <n v="3703215"/>
    <x v="23"/>
    <x v="46"/>
    <s v="AGLIO OLIO"/>
    <n v="3000"/>
    <n v="0"/>
    <n v="0"/>
    <m/>
  </r>
  <r>
    <x v="8"/>
    <s v="JUL"/>
    <x v="29"/>
    <s v="GRSM 6"/>
    <x v="2"/>
    <s v="GMM"/>
    <n v="211163"/>
    <n v="3703215"/>
    <x v="23"/>
    <x v="46"/>
    <s v="CARBONARA"/>
    <n v="3000"/>
    <n v="131"/>
    <n v="393000"/>
    <m/>
  </r>
  <r>
    <x v="8"/>
    <s v="JUL"/>
    <x v="29"/>
    <s v="GRSM 6"/>
    <x v="2"/>
    <s v="GMM"/>
    <n v="211163"/>
    <n v="3703215"/>
    <x v="23"/>
    <x v="46"/>
    <s v="BOLOGNESE"/>
    <n v="3000"/>
    <n v="127"/>
    <n v="381000"/>
    <m/>
  </r>
  <r>
    <x v="8"/>
    <s v="JUL"/>
    <x v="29"/>
    <s v="GRSM 6"/>
    <x v="2"/>
    <s v="GMM"/>
    <n v="211163"/>
    <n v="3703215"/>
    <x v="23"/>
    <x v="46"/>
    <s v="GORENG"/>
    <n v="3000"/>
    <n v="221"/>
    <n v="663000"/>
    <n v="80"/>
  </r>
  <r>
    <x v="8"/>
    <s v="JUL"/>
    <x v="29"/>
    <s v="GRSM 6"/>
    <x v="2"/>
    <s v="GMM"/>
    <n v="211163"/>
    <n v="3703215"/>
    <x v="23"/>
    <x v="47"/>
    <s v="AGLIO OLIO"/>
    <n v="3000"/>
    <n v="0"/>
    <n v="0"/>
    <m/>
  </r>
  <r>
    <x v="8"/>
    <s v="JUL"/>
    <x v="29"/>
    <s v="GRSM 6"/>
    <x v="2"/>
    <s v="GMM"/>
    <n v="211163"/>
    <n v="3703215"/>
    <x v="23"/>
    <x v="47"/>
    <s v="CARBONARA"/>
    <n v="3000"/>
    <n v="131"/>
    <n v="393000"/>
    <m/>
  </r>
  <r>
    <x v="8"/>
    <s v="JUL"/>
    <x v="29"/>
    <s v="GRSM 6"/>
    <x v="2"/>
    <s v="GMM"/>
    <n v="211163"/>
    <n v="3703215"/>
    <x v="23"/>
    <x v="47"/>
    <s v="BOLOGNESE"/>
    <n v="3000"/>
    <n v="127"/>
    <n v="381000"/>
    <m/>
  </r>
  <r>
    <x v="8"/>
    <s v="JUL"/>
    <x v="29"/>
    <s v="GRSM 6"/>
    <x v="2"/>
    <s v="GMM"/>
    <n v="211163"/>
    <n v="3703215"/>
    <x v="23"/>
    <x v="47"/>
    <s v="GORENG"/>
    <n v="3000"/>
    <n v="221"/>
    <n v="663000"/>
    <n v="80"/>
  </r>
  <r>
    <x v="8"/>
    <s v="JUL"/>
    <x v="29"/>
    <s v="GRSM 6"/>
    <x v="2"/>
    <s v="GMM"/>
    <n v="211163"/>
    <n v="3703219"/>
    <x v="22"/>
    <x v="45"/>
    <s v="AGLIO OLIO"/>
    <n v="2900"/>
    <n v="0"/>
    <n v="0"/>
    <m/>
  </r>
  <r>
    <x v="8"/>
    <s v="JUL"/>
    <x v="29"/>
    <s v="GRSM 6"/>
    <x v="2"/>
    <s v="GMM"/>
    <n v="211163"/>
    <n v="3703219"/>
    <x v="22"/>
    <x v="45"/>
    <s v="CARBONARA"/>
    <n v="2900"/>
    <n v="186"/>
    <n v="539400"/>
    <m/>
  </r>
  <r>
    <x v="8"/>
    <s v="JUL"/>
    <x v="29"/>
    <s v="GRSM 6"/>
    <x v="2"/>
    <s v="GMM"/>
    <n v="211163"/>
    <n v="3703219"/>
    <x v="22"/>
    <x v="45"/>
    <s v="BOLOGNESE"/>
    <n v="2900"/>
    <n v="174"/>
    <n v="504600"/>
    <m/>
  </r>
  <r>
    <x v="8"/>
    <s v="JUL"/>
    <x v="29"/>
    <s v="GRSM 6"/>
    <x v="2"/>
    <s v="GMM"/>
    <n v="211163"/>
    <n v="3703219"/>
    <x v="22"/>
    <x v="45"/>
    <s v="GORENG"/>
    <n v="2900"/>
    <n v="330"/>
    <n v="957000"/>
    <m/>
  </r>
  <r>
    <x v="8"/>
    <s v="JUL"/>
    <x v="29"/>
    <s v="GRSM 6"/>
    <x v="2"/>
    <s v="GMM"/>
    <n v="211163"/>
    <n v="3703219"/>
    <x v="22"/>
    <x v="44"/>
    <s v="AGLIO OLIO"/>
    <n v="2900"/>
    <n v="0"/>
    <n v="0"/>
    <m/>
  </r>
  <r>
    <x v="8"/>
    <s v="JUL"/>
    <x v="29"/>
    <s v="GRSM 6"/>
    <x v="2"/>
    <s v="GMM"/>
    <n v="211163"/>
    <n v="3703219"/>
    <x v="22"/>
    <x v="44"/>
    <s v="CARBONARA"/>
    <n v="2900"/>
    <n v="186"/>
    <n v="539400"/>
    <m/>
  </r>
  <r>
    <x v="8"/>
    <s v="JUL"/>
    <x v="29"/>
    <s v="GRSM 6"/>
    <x v="2"/>
    <s v="GMM"/>
    <n v="211163"/>
    <n v="3703219"/>
    <x v="22"/>
    <x v="44"/>
    <s v="BOLOGNESE"/>
    <n v="2900"/>
    <n v="174"/>
    <n v="504600"/>
    <m/>
  </r>
  <r>
    <x v="8"/>
    <s v="JUL"/>
    <x v="29"/>
    <s v="GRSM 6"/>
    <x v="2"/>
    <s v="GMM"/>
    <n v="211163"/>
    <n v="3703219"/>
    <x v="22"/>
    <x v="44"/>
    <s v="GORENG"/>
    <n v="2900"/>
    <n v="330"/>
    <n v="957000"/>
    <m/>
  </r>
  <r>
    <x v="8"/>
    <s v="JUL"/>
    <x v="29"/>
    <s v="GRSM 6"/>
    <x v="2"/>
    <s v="GMM"/>
    <n v="211033"/>
    <n v="6467246"/>
    <x v="21"/>
    <x v="42"/>
    <s v="AGLIO OLIO"/>
    <n v="3100"/>
    <n v="80"/>
    <n v="248000"/>
    <m/>
  </r>
  <r>
    <x v="8"/>
    <s v="JUL"/>
    <x v="29"/>
    <s v="GRSM 6"/>
    <x v="2"/>
    <s v="GMM"/>
    <n v="211033"/>
    <n v="6467246"/>
    <x v="21"/>
    <x v="42"/>
    <s v="CARBONARA"/>
    <n v="3100"/>
    <n v="221"/>
    <n v="685100"/>
    <m/>
  </r>
  <r>
    <x v="8"/>
    <s v="JUL"/>
    <x v="29"/>
    <s v="GRSM 6"/>
    <x v="2"/>
    <s v="GMM"/>
    <n v="211033"/>
    <n v="6467246"/>
    <x v="21"/>
    <x v="42"/>
    <s v="BOLOGNESE"/>
    <n v="3100"/>
    <n v="86"/>
    <n v="266600"/>
    <m/>
  </r>
  <r>
    <x v="8"/>
    <s v="JUL"/>
    <x v="29"/>
    <s v="GRSM 6"/>
    <x v="2"/>
    <s v="GMM"/>
    <n v="211033"/>
    <n v="6467246"/>
    <x v="21"/>
    <x v="42"/>
    <s v="GORENG"/>
    <n v="3100"/>
    <n v="312"/>
    <n v="967200"/>
    <n v="160"/>
  </r>
  <r>
    <x v="8"/>
    <s v="JUL"/>
    <x v="29"/>
    <s v="GRSM 6"/>
    <x v="2"/>
    <s v="GMM"/>
    <n v="211033"/>
    <n v="6467246"/>
    <x v="21"/>
    <x v="43"/>
    <s v="AGLIO OLIO"/>
    <n v="3100"/>
    <n v="80"/>
    <n v="248000"/>
    <m/>
  </r>
  <r>
    <x v="8"/>
    <s v="JUL"/>
    <x v="29"/>
    <s v="GRSM 6"/>
    <x v="2"/>
    <s v="GMM"/>
    <n v="211033"/>
    <n v="6467246"/>
    <x v="21"/>
    <x v="43"/>
    <s v="CARBONARA"/>
    <n v="3100"/>
    <n v="221"/>
    <n v="685100"/>
    <m/>
  </r>
  <r>
    <x v="8"/>
    <s v="JUL"/>
    <x v="29"/>
    <s v="GRSM 6"/>
    <x v="2"/>
    <s v="GMM"/>
    <n v="211033"/>
    <n v="6467246"/>
    <x v="21"/>
    <x v="43"/>
    <s v="BOLOGNESE"/>
    <n v="3100"/>
    <n v="86"/>
    <n v="266600"/>
    <m/>
  </r>
  <r>
    <x v="8"/>
    <s v="JUL"/>
    <x v="29"/>
    <s v="GRSM 6"/>
    <x v="2"/>
    <s v="GMM"/>
    <n v="211033"/>
    <n v="6467246"/>
    <x v="21"/>
    <x v="43"/>
    <s v="GORENG"/>
    <n v="3100"/>
    <n v="312"/>
    <n v="967200"/>
    <n v="160"/>
  </r>
  <r>
    <x v="8"/>
    <s v="JUL"/>
    <x v="29"/>
    <s v="GRSM 6"/>
    <x v="2"/>
    <s v="GMM"/>
    <n v="211033"/>
    <n v="2001021"/>
    <x v="27"/>
    <x v="54"/>
    <s v="AGLIO OLIO"/>
    <n v="3000"/>
    <n v="109"/>
    <n v="327000"/>
    <m/>
  </r>
  <r>
    <x v="8"/>
    <s v="JUL"/>
    <x v="29"/>
    <s v="GRSM 6"/>
    <x v="2"/>
    <s v="GMM"/>
    <n v="211033"/>
    <n v="2001021"/>
    <x v="27"/>
    <x v="54"/>
    <s v="CARBONARA"/>
    <n v="3000"/>
    <n v="36"/>
    <n v="108000"/>
    <m/>
  </r>
  <r>
    <x v="8"/>
    <s v="JUL"/>
    <x v="29"/>
    <s v="GRSM 6"/>
    <x v="2"/>
    <s v="GMM"/>
    <n v="211033"/>
    <n v="2001021"/>
    <x v="27"/>
    <x v="54"/>
    <s v="BOLOGNESE"/>
    <n v="3000"/>
    <n v="79"/>
    <n v="237000"/>
    <m/>
  </r>
  <r>
    <x v="8"/>
    <s v="JUL"/>
    <x v="29"/>
    <s v="GRSM 6"/>
    <x v="2"/>
    <s v="GMM"/>
    <n v="211033"/>
    <n v="2001021"/>
    <x v="27"/>
    <x v="54"/>
    <s v="GORENG"/>
    <n v="3000"/>
    <n v="235"/>
    <n v="705000"/>
    <m/>
  </r>
  <r>
    <x v="8"/>
    <s v="JUL"/>
    <x v="29"/>
    <s v="GRSM 6"/>
    <x v="2"/>
    <s v="GMM"/>
    <n v="211033"/>
    <n v="2001021"/>
    <x v="27"/>
    <x v="55"/>
    <s v="AGLIO OLIO"/>
    <n v="3000"/>
    <n v="109"/>
    <n v="327000"/>
    <m/>
  </r>
  <r>
    <x v="8"/>
    <s v="JUL"/>
    <x v="29"/>
    <s v="GRSM 6"/>
    <x v="2"/>
    <s v="GMM"/>
    <n v="211033"/>
    <n v="2001021"/>
    <x v="27"/>
    <x v="55"/>
    <s v="CARBONARA"/>
    <n v="3000"/>
    <n v="36"/>
    <n v="108000"/>
    <m/>
  </r>
  <r>
    <x v="8"/>
    <s v="JUL"/>
    <x v="29"/>
    <s v="GRSM 6"/>
    <x v="2"/>
    <s v="GMM"/>
    <n v="211033"/>
    <n v="2001021"/>
    <x v="27"/>
    <x v="55"/>
    <s v="BOLOGNESE"/>
    <n v="3000"/>
    <n v="79"/>
    <n v="237000"/>
    <m/>
  </r>
  <r>
    <x v="8"/>
    <s v="JUL"/>
    <x v="29"/>
    <s v="GRSM 6"/>
    <x v="2"/>
    <s v="GMM"/>
    <n v="211033"/>
    <n v="2001021"/>
    <x v="27"/>
    <x v="55"/>
    <s v="GORENG"/>
    <n v="3000"/>
    <n v="235"/>
    <n v="705000"/>
    <m/>
  </r>
  <r>
    <x v="8"/>
    <s v="JUL"/>
    <x v="29"/>
    <s v="GRSM 6"/>
    <x v="2"/>
    <s v="GMM"/>
    <n v="103765"/>
    <n v="4305267"/>
    <x v="24"/>
    <x v="49"/>
    <s v="AGLIO OLIO"/>
    <n v="3000"/>
    <n v="30"/>
    <n v="90000"/>
    <m/>
  </r>
  <r>
    <x v="8"/>
    <s v="JUL"/>
    <x v="29"/>
    <s v="GRSM 6"/>
    <x v="2"/>
    <s v="GMM"/>
    <n v="103765"/>
    <n v="4305267"/>
    <x v="24"/>
    <x v="49"/>
    <s v="CARBONARA"/>
    <n v="3000"/>
    <n v="120"/>
    <n v="360000"/>
    <m/>
  </r>
  <r>
    <x v="8"/>
    <s v="JUL"/>
    <x v="29"/>
    <s v="GRSM 6"/>
    <x v="2"/>
    <s v="GMM"/>
    <n v="103765"/>
    <n v="4305267"/>
    <x v="24"/>
    <x v="49"/>
    <s v="BOLOGNESE"/>
    <n v="3000"/>
    <n v="130"/>
    <n v="390000"/>
    <m/>
  </r>
  <r>
    <x v="8"/>
    <s v="JUL"/>
    <x v="29"/>
    <s v="GRSM 6"/>
    <x v="2"/>
    <s v="GMM"/>
    <n v="103765"/>
    <n v="4305267"/>
    <x v="24"/>
    <x v="49"/>
    <s v="GORENG"/>
    <n v="3000"/>
    <n v="215"/>
    <n v="645000"/>
    <m/>
  </r>
  <r>
    <x v="8"/>
    <s v="JUL"/>
    <x v="29"/>
    <s v="GRSM 6"/>
    <x v="2"/>
    <s v="GMM"/>
    <n v="103765"/>
    <n v="4305267"/>
    <x v="24"/>
    <x v="48"/>
    <s v="AGLIO OLIO"/>
    <n v="3000"/>
    <n v="30"/>
    <n v="90000"/>
    <m/>
  </r>
  <r>
    <x v="8"/>
    <s v="JUL"/>
    <x v="29"/>
    <s v="GRSM 6"/>
    <x v="2"/>
    <s v="GMM"/>
    <n v="103765"/>
    <n v="4305267"/>
    <x v="24"/>
    <x v="48"/>
    <s v="CARBONARA"/>
    <n v="3000"/>
    <n v="120"/>
    <n v="360000"/>
    <m/>
  </r>
  <r>
    <x v="8"/>
    <s v="JUL"/>
    <x v="29"/>
    <s v="GRSM 6"/>
    <x v="2"/>
    <s v="GMM"/>
    <n v="103765"/>
    <n v="4305267"/>
    <x v="24"/>
    <x v="48"/>
    <s v="BOLOGNESE"/>
    <n v="3000"/>
    <n v="130"/>
    <n v="390000"/>
    <m/>
  </r>
  <r>
    <x v="8"/>
    <s v="JUL"/>
    <x v="29"/>
    <s v="GRSM 6"/>
    <x v="2"/>
    <s v="GMM"/>
    <n v="103765"/>
    <n v="4305267"/>
    <x v="24"/>
    <x v="48"/>
    <s v="GORENG"/>
    <n v="3000"/>
    <n v="215"/>
    <n v="645000"/>
    <m/>
  </r>
  <r>
    <x v="8"/>
    <s v="JUL"/>
    <x v="30"/>
    <s v="GRSM 6"/>
    <x v="2"/>
    <s v="GMM"/>
    <n v="211163"/>
    <n v="3703215"/>
    <x v="23"/>
    <x v="46"/>
    <s v="AGLIO OLIO"/>
    <n v="3000"/>
    <n v="0"/>
    <n v="0"/>
    <m/>
  </r>
  <r>
    <x v="8"/>
    <s v="JUL"/>
    <x v="30"/>
    <s v="GRSM 6"/>
    <x v="2"/>
    <s v="GMM"/>
    <n v="211163"/>
    <n v="3703215"/>
    <x v="23"/>
    <x v="46"/>
    <s v="CARBONARA"/>
    <n v="3000"/>
    <n v="129"/>
    <n v="387000"/>
    <m/>
  </r>
  <r>
    <x v="8"/>
    <s v="JUL"/>
    <x v="30"/>
    <s v="GRSM 6"/>
    <x v="2"/>
    <s v="GMM"/>
    <n v="211163"/>
    <n v="3703215"/>
    <x v="23"/>
    <x v="46"/>
    <s v="BOLOGNESE"/>
    <n v="3000"/>
    <n v="109"/>
    <n v="327000"/>
    <m/>
  </r>
  <r>
    <x v="8"/>
    <s v="JUL"/>
    <x v="30"/>
    <s v="GRSM 6"/>
    <x v="2"/>
    <s v="GMM"/>
    <n v="211163"/>
    <n v="3703215"/>
    <x v="23"/>
    <x v="46"/>
    <s v="GORENG"/>
    <n v="3000"/>
    <n v="155"/>
    <n v="465000"/>
    <n v="102"/>
  </r>
  <r>
    <x v="8"/>
    <s v="JUL"/>
    <x v="30"/>
    <s v="GRSM 6"/>
    <x v="2"/>
    <s v="GMM"/>
    <n v="211163"/>
    <n v="3703215"/>
    <x v="23"/>
    <x v="47"/>
    <s v="AGLIO OLIO"/>
    <n v="3000"/>
    <n v="0"/>
    <n v="0"/>
    <m/>
  </r>
  <r>
    <x v="8"/>
    <s v="JUL"/>
    <x v="30"/>
    <s v="GRSM 6"/>
    <x v="2"/>
    <s v="GMM"/>
    <n v="211163"/>
    <n v="3703215"/>
    <x v="23"/>
    <x v="47"/>
    <s v="CARBONARA"/>
    <n v="3000"/>
    <n v="129"/>
    <n v="387000"/>
    <m/>
  </r>
  <r>
    <x v="8"/>
    <s v="JUL"/>
    <x v="30"/>
    <s v="GRSM 6"/>
    <x v="2"/>
    <s v="GMM"/>
    <n v="211163"/>
    <n v="3703215"/>
    <x v="23"/>
    <x v="47"/>
    <s v="BOLOGNESE"/>
    <n v="3000"/>
    <n v="109"/>
    <n v="327000"/>
    <m/>
  </r>
  <r>
    <x v="8"/>
    <s v="JUL"/>
    <x v="30"/>
    <s v="GRSM 6"/>
    <x v="2"/>
    <s v="GMM"/>
    <n v="211163"/>
    <n v="3703215"/>
    <x v="23"/>
    <x v="47"/>
    <s v="GORENG"/>
    <n v="3000"/>
    <n v="155"/>
    <n v="465000"/>
    <n v="102"/>
  </r>
  <r>
    <x v="8"/>
    <s v="JUL"/>
    <x v="30"/>
    <s v="GRSM 6"/>
    <x v="2"/>
    <s v="GMM"/>
    <n v="211139"/>
    <n v="3604550"/>
    <x v="26"/>
    <x v="52"/>
    <s v="AGLIO OLIO"/>
    <n v="2800"/>
    <n v="100"/>
    <n v="280000"/>
    <m/>
  </r>
  <r>
    <x v="8"/>
    <s v="JUL"/>
    <x v="30"/>
    <s v="GRSM 6"/>
    <x v="2"/>
    <s v="GMM"/>
    <n v="211139"/>
    <n v="3604550"/>
    <x v="26"/>
    <x v="52"/>
    <s v="CARBONARA"/>
    <n v="2800"/>
    <n v="130"/>
    <n v="364000"/>
    <m/>
  </r>
  <r>
    <x v="8"/>
    <s v="JUL"/>
    <x v="30"/>
    <s v="GRSM 6"/>
    <x v="2"/>
    <s v="GMM"/>
    <n v="211139"/>
    <n v="3604550"/>
    <x v="26"/>
    <x v="52"/>
    <s v="BOLOGNESE"/>
    <n v="2800"/>
    <n v="118"/>
    <n v="330400"/>
    <m/>
  </r>
  <r>
    <x v="8"/>
    <s v="JUL"/>
    <x v="30"/>
    <s v="GRSM 6"/>
    <x v="2"/>
    <s v="GMM"/>
    <n v="211139"/>
    <n v="3604550"/>
    <x v="26"/>
    <x v="52"/>
    <s v="GORENG"/>
    <n v="2800"/>
    <n v="270"/>
    <n v="756000"/>
    <n v="160"/>
  </r>
  <r>
    <x v="8"/>
    <s v="JUL"/>
    <x v="30"/>
    <s v="GRSM 6"/>
    <x v="2"/>
    <s v="GMM"/>
    <n v="211139"/>
    <n v="3604550"/>
    <x v="26"/>
    <x v="53"/>
    <s v="AGLIO OLIO"/>
    <n v="2800"/>
    <n v="100"/>
    <n v="280000"/>
    <m/>
  </r>
  <r>
    <x v="8"/>
    <s v="JUL"/>
    <x v="30"/>
    <s v="GRSM 6"/>
    <x v="2"/>
    <s v="GMM"/>
    <n v="211139"/>
    <n v="3604550"/>
    <x v="26"/>
    <x v="53"/>
    <s v="CARBONARA"/>
    <n v="2800"/>
    <n v="130"/>
    <n v="364000"/>
    <m/>
  </r>
  <r>
    <x v="8"/>
    <s v="JUL"/>
    <x v="30"/>
    <s v="GRSM 6"/>
    <x v="2"/>
    <s v="GMM"/>
    <n v="211139"/>
    <n v="3604550"/>
    <x v="26"/>
    <x v="53"/>
    <s v="BOLOGNESE"/>
    <n v="2800"/>
    <n v="118"/>
    <n v="330400"/>
    <m/>
  </r>
  <r>
    <x v="8"/>
    <s v="JUL"/>
    <x v="30"/>
    <s v="GRSM 6"/>
    <x v="2"/>
    <s v="GMM"/>
    <n v="211139"/>
    <n v="3604550"/>
    <x v="26"/>
    <x v="53"/>
    <s v="GORENG"/>
    <n v="2800"/>
    <n v="270"/>
    <n v="756000"/>
    <n v="160"/>
  </r>
  <r>
    <x v="8"/>
    <s v="JUL"/>
    <x v="30"/>
    <s v="GRSM 6"/>
    <x v="2"/>
    <s v="GMM"/>
    <n v="211139"/>
    <n v="3604550"/>
    <x v="26"/>
    <x v="52"/>
    <s v="AGLIO OLIO"/>
    <n v="2800"/>
    <n v="100"/>
    <n v="280000"/>
    <m/>
  </r>
  <r>
    <x v="8"/>
    <s v="JUL"/>
    <x v="30"/>
    <s v="GRSM 6"/>
    <x v="2"/>
    <s v="GMM"/>
    <n v="211139"/>
    <n v="3604550"/>
    <x v="26"/>
    <x v="52"/>
    <s v="CARBONARA"/>
    <n v="2800"/>
    <n v="130"/>
    <n v="364000"/>
    <m/>
  </r>
  <r>
    <x v="8"/>
    <s v="JUL"/>
    <x v="30"/>
    <s v="GRSM 6"/>
    <x v="2"/>
    <s v="GMM"/>
    <n v="211139"/>
    <n v="3604550"/>
    <x v="26"/>
    <x v="52"/>
    <s v="BOLOGNESE"/>
    <n v="2800"/>
    <n v="118"/>
    <n v="330400"/>
    <m/>
  </r>
  <r>
    <x v="8"/>
    <s v="JUL"/>
    <x v="30"/>
    <s v="GRSM 6"/>
    <x v="2"/>
    <s v="GMM"/>
    <n v="211139"/>
    <n v="3604550"/>
    <x v="26"/>
    <x v="52"/>
    <s v="GORENG"/>
    <n v="2800"/>
    <n v="270"/>
    <n v="756000"/>
    <n v="160"/>
  </r>
  <r>
    <x v="8"/>
    <s v="JUL"/>
    <x v="30"/>
    <s v="GRSM 6"/>
    <x v="2"/>
    <s v="GMM"/>
    <n v="211139"/>
    <n v="3604550"/>
    <x v="26"/>
    <x v="53"/>
    <s v="AGLIO OLIO"/>
    <n v="2800"/>
    <n v="100"/>
    <n v="280000"/>
    <m/>
  </r>
  <r>
    <x v="8"/>
    <s v="JUL"/>
    <x v="30"/>
    <s v="GRSM 6"/>
    <x v="2"/>
    <s v="GMM"/>
    <n v="211139"/>
    <n v="3604550"/>
    <x v="26"/>
    <x v="53"/>
    <s v="CARBONARA"/>
    <n v="2800"/>
    <n v="130"/>
    <n v="364000"/>
    <m/>
  </r>
  <r>
    <x v="8"/>
    <s v="JUL"/>
    <x v="30"/>
    <s v="GRSM 6"/>
    <x v="2"/>
    <s v="GMM"/>
    <n v="211139"/>
    <n v="3604550"/>
    <x v="26"/>
    <x v="53"/>
    <s v="BOLOGNESE"/>
    <n v="2800"/>
    <n v="118"/>
    <n v="330400"/>
    <m/>
  </r>
  <r>
    <x v="8"/>
    <s v="JUL"/>
    <x v="30"/>
    <s v="GRSM 6"/>
    <x v="2"/>
    <s v="GMM"/>
    <n v="211139"/>
    <n v="3604550"/>
    <x v="26"/>
    <x v="53"/>
    <s v="GORENG"/>
    <n v="2800"/>
    <n v="270"/>
    <n v="756000"/>
    <n v="160"/>
  </r>
  <r>
    <x v="8"/>
    <s v="JUL"/>
    <x v="30"/>
    <s v="GRSM 6"/>
    <x v="2"/>
    <s v="GMM"/>
    <n v="103765"/>
    <n v="4307038"/>
    <x v="20"/>
    <x v="40"/>
    <s v="AGLIO OLIO"/>
    <n v="3000"/>
    <n v="6"/>
    <n v="18000"/>
    <m/>
  </r>
  <r>
    <x v="8"/>
    <s v="JUL"/>
    <x v="30"/>
    <s v="GRSM 6"/>
    <x v="2"/>
    <s v="GMM"/>
    <n v="103765"/>
    <n v="4307038"/>
    <x v="20"/>
    <x v="40"/>
    <s v="CARBONARA"/>
    <n v="3000"/>
    <n v="100"/>
    <n v="300000"/>
    <m/>
  </r>
  <r>
    <x v="8"/>
    <s v="JUL"/>
    <x v="30"/>
    <s v="GRSM 6"/>
    <x v="2"/>
    <s v="GMM"/>
    <n v="103765"/>
    <n v="4307038"/>
    <x v="20"/>
    <x v="40"/>
    <s v="BOLOGNESE"/>
    <n v="3000"/>
    <n v="130"/>
    <n v="390000"/>
    <m/>
  </r>
  <r>
    <x v="8"/>
    <s v="JUL"/>
    <x v="30"/>
    <s v="GRSM 6"/>
    <x v="2"/>
    <s v="GMM"/>
    <n v="103765"/>
    <n v="4307038"/>
    <x v="20"/>
    <x v="40"/>
    <s v="GORENG"/>
    <n v="3000"/>
    <n v="254"/>
    <n v="762000"/>
    <m/>
  </r>
  <r>
    <x v="8"/>
    <s v="JUL"/>
    <x v="30"/>
    <s v="GRSM 6"/>
    <x v="2"/>
    <s v="GMM"/>
    <n v="103765"/>
    <n v="4307038"/>
    <x v="20"/>
    <x v="41"/>
    <s v="AGLIO OLIO"/>
    <n v="3000"/>
    <n v="6"/>
    <n v="18000"/>
    <m/>
  </r>
  <r>
    <x v="8"/>
    <s v="JUL"/>
    <x v="30"/>
    <s v="GRSM 6"/>
    <x v="2"/>
    <s v="GMM"/>
    <n v="103765"/>
    <n v="4307038"/>
    <x v="20"/>
    <x v="41"/>
    <s v="CARBONARA"/>
    <n v="3000"/>
    <n v="100"/>
    <n v="300000"/>
    <m/>
  </r>
  <r>
    <x v="8"/>
    <s v="JUL"/>
    <x v="30"/>
    <s v="GRSM 6"/>
    <x v="2"/>
    <s v="GMM"/>
    <n v="103765"/>
    <n v="4307038"/>
    <x v="20"/>
    <x v="41"/>
    <s v="BOLOGNESE"/>
    <n v="3000"/>
    <n v="130"/>
    <n v="390000"/>
    <m/>
  </r>
  <r>
    <x v="8"/>
    <s v="JUL"/>
    <x v="30"/>
    <s v="GRSM 6"/>
    <x v="2"/>
    <s v="GMM"/>
    <n v="103765"/>
    <n v="4307038"/>
    <x v="20"/>
    <x v="41"/>
    <s v="GORENG"/>
    <n v="3000"/>
    <n v="254"/>
    <n v="762000"/>
    <m/>
  </r>
  <r>
    <x v="8"/>
    <s v="JUL"/>
    <x v="30"/>
    <s v="GRSM 6"/>
    <x v="2"/>
    <s v="GMM"/>
    <n v="211033"/>
    <n v="2001021"/>
    <x v="27"/>
    <x v="54"/>
    <s v="AGLIO OLIO"/>
    <n v="3000"/>
    <n v="99"/>
    <n v="297000"/>
    <m/>
  </r>
  <r>
    <x v="8"/>
    <s v="JUL"/>
    <x v="30"/>
    <s v="GRSM 6"/>
    <x v="2"/>
    <s v="GMM"/>
    <n v="211033"/>
    <n v="2001021"/>
    <x v="27"/>
    <x v="54"/>
    <s v="CARBONARA"/>
    <n v="3000"/>
    <n v="138"/>
    <n v="414000"/>
    <m/>
  </r>
  <r>
    <x v="8"/>
    <s v="JUL"/>
    <x v="30"/>
    <s v="GRSM 6"/>
    <x v="2"/>
    <s v="GMM"/>
    <n v="211033"/>
    <n v="2001021"/>
    <x v="27"/>
    <x v="54"/>
    <s v="BOLOGNESE"/>
    <n v="3000"/>
    <n v="105"/>
    <n v="315000"/>
    <m/>
  </r>
  <r>
    <x v="8"/>
    <s v="JUL"/>
    <x v="30"/>
    <s v="GRSM 6"/>
    <x v="2"/>
    <s v="GMM"/>
    <n v="211033"/>
    <n v="2001021"/>
    <x v="27"/>
    <x v="54"/>
    <s v="GORENG"/>
    <n v="3000"/>
    <n v="222"/>
    <n v="666000"/>
    <m/>
  </r>
  <r>
    <x v="8"/>
    <s v="JUL"/>
    <x v="30"/>
    <s v="GRSM 6"/>
    <x v="2"/>
    <s v="GMM"/>
    <n v="211033"/>
    <n v="2001021"/>
    <x v="27"/>
    <x v="55"/>
    <s v="AGLIO OLIO"/>
    <n v="3000"/>
    <n v="99"/>
    <n v="297000"/>
    <m/>
  </r>
  <r>
    <x v="8"/>
    <s v="JUL"/>
    <x v="30"/>
    <s v="GRSM 6"/>
    <x v="2"/>
    <s v="GMM"/>
    <n v="211033"/>
    <n v="2001021"/>
    <x v="27"/>
    <x v="55"/>
    <s v="CARBONARA"/>
    <n v="3000"/>
    <n v="138"/>
    <n v="414000"/>
    <m/>
  </r>
  <r>
    <x v="8"/>
    <s v="JUL"/>
    <x v="30"/>
    <s v="GRSM 6"/>
    <x v="2"/>
    <s v="GMM"/>
    <n v="211033"/>
    <n v="2001021"/>
    <x v="27"/>
    <x v="55"/>
    <s v="BOLOGNESE"/>
    <n v="3000"/>
    <n v="105"/>
    <n v="315000"/>
    <m/>
  </r>
  <r>
    <x v="8"/>
    <s v="JUL"/>
    <x v="30"/>
    <s v="GRSM 6"/>
    <x v="2"/>
    <s v="GMM"/>
    <n v="211033"/>
    <n v="2001021"/>
    <x v="27"/>
    <x v="55"/>
    <s v="GORENG"/>
    <n v="3000"/>
    <n v="222"/>
    <n v="666000"/>
    <m/>
  </r>
  <r>
    <x v="8"/>
    <s v="JUL"/>
    <x v="30"/>
    <s v="GRSM 6"/>
    <x v="2"/>
    <s v="GMM"/>
    <n v="211163"/>
    <n v="3703219"/>
    <x v="22"/>
    <x v="45"/>
    <s v="AGLIO OLIO"/>
    <n v="2900"/>
    <n v="0"/>
    <n v="0"/>
    <m/>
  </r>
  <r>
    <x v="8"/>
    <s v="JUL"/>
    <x v="30"/>
    <s v="GRSM 6"/>
    <x v="2"/>
    <s v="GMM"/>
    <n v="211163"/>
    <n v="3703219"/>
    <x v="22"/>
    <x v="45"/>
    <s v="CARBONARA"/>
    <n v="2900"/>
    <n v="226"/>
    <n v="655400"/>
    <m/>
  </r>
  <r>
    <x v="8"/>
    <s v="JUL"/>
    <x v="30"/>
    <s v="GRSM 6"/>
    <x v="2"/>
    <s v="GMM"/>
    <n v="211163"/>
    <n v="3703219"/>
    <x v="22"/>
    <x v="45"/>
    <s v="BOLOGNESE"/>
    <n v="2900"/>
    <n v="184"/>
    <n v="533600"/>
    <m/>
  </r>
  <r>
    <x v="8"/>
    <s v="JUL"/>
    <x v="30"/>
    <s v="GRSM 6"/>
    <x v="2"/>
    <s v="GMM"/>
    <n v="211163"/>
    <n v="3703219"/>
    <x v="22"/>
    <x v="45"/>
    <s v="GORENG"/>
    <n v="2900"/>
    <n v="380"/>
    <n v="1102000"/>
    <m/>
  </r>
  <r>
    <x v="8"/>
    <s v="JUL"/>
    <x v="30"/>
    <s v="GRSM 6"/>
    <x v="2"/>
    <s v="GMM"/>
    <n v="211163"/>
    <n v="3703219"/>
    <x v="22"/>
    <x v="44"/>
    <s v="AGLIO OLIO"/>
    <n v="2900"/>
    <n v="0"/>
    <n v="0"/>
    <m/>
  </r>
  <r>
    <x v="8"/>
    <s v="JUL"/>
    <x v="30"/>
    <s v="GRSM 6"/>
    <x v="2"/>
    <s v="GMM"/>
    <n v="211163"/>
    <n v="3703219"/>
    <x v="22"/>
    <x v="44"/>
    <s v="CARBONARA"/>
    <n v="2900"/>
    <n v="226"/>
    <n v="655400"/>
    <m/>
  </r>
  <r>
    <x v="8"/>
    <s v="JUL"/>
    <x v="30"/>
    <s v="GRSM 6"/>
    <x v="2"/>
    <s v="GMM"/>
    <n v="211163"/>
    <n v="3703219"/>
    <x v="22"/>
    <x v="44"/>
    <s v="BOLOGNESE"/>
    <n v="2900"/>
    <n v="184"/>
    <n v="533600"/>
    <m/>
  </r>
  <r>
    <x v="8"/>
    <s v="JUL"/>
    <x v="30"/>
    <s v="GRSM 6"/>
    <x v="2"/>
    <s v="GMM"/>
    <n v="211163"/>
    <n v="3703219"/>
    <x v="22"/>
    <x v="44"/>
    <s v="GORENG"/>
    <n v="2900"/>
    <n v="380"/>
    <n v="1102000"/>
    <m/>
  </r>
  <r>
    <x v="8"/>
    <s v="JUL"/>
    <x v="30"/>
    <s v="GRSM 6"/>
    <x v="2"/>
    <s v="GMM"/>
    <n v="211033"/>
    <n v="6467246"/>
    <x v="21"/>
    <x v="42"/>
    <s v="AGLIO OLIO"/>
    <n v="3100"/>
    <n v="98"/>
    <n v="303800"/>
    <m/>
  </r>
  <r>
    <x v="8"/>
    <s v="JUL"/>
    <x v="30"/>
    <s v="GRSM 6"/>
    <x v="2"/>
    <s v="GMM"/>
    <n v="211033"/>
    <n v="6467246"/>
    <x v="21"/>
    <x v="42"/>
    <s v="CARBONARA"/>
    <n v="3100"/>
    <n v="268"/>
    <n v="830800"/>
    <m/>
  </r>
  <r>
    <x v="8"/>
    <s v="JUL"/>
    <x v="30"/>
    <s v="GRSM 6"/>
    <x v="2"/>
    <s v="GMM"/>
    <n v="211033"/>
    <n v="6467246"/>
    <x v="21"/>
    <x v="42"/>
    <s v="BOLOGNESE"/>
    <n v="3100"/>
    <n v="118"/>
    <n v="365800"/>
    <m/>
  </r>
  <r>
    <x v="8"/>
    <s v="JUL"/>
    <x v="30"/>
    <s v="GRSM 6"/>
    <x v="2"/>
    <s v="GMM"/>
    <n v="211033"/>
    <n v="6467246"/>
    <x v="21"/>
    <x v="42"/>
    <s v="GORENG"/>
    <n v="3100"/>
    <n v="495"/>
    <n v="1534500"/>
    <n v="160"/>
  </r>
  <r>
    <x v="8"/>
    <s v="JUL"/>
    <x v="30"/>
    <s v="GRSM 6"/>
    <x v="2"/>
    <s v="GMM"/>
    <n v="211033"/>
    <n v="6467246"/>
    <x v="21"/>
    <x v="43"/>
    <s v="AGLIO OLIO"/>
    <n v="3100"/>
    <n v="98"/>
    <n v="303800"/>
    <m/>
  </r>
  <r>
    <x v="8"/>
    <s v="JUL"/>
    <x v="30"/>
    <s v="GRSM 6"/>
    <x v="2"/>
    <s v="GMM"/>
    <n v="211033"/>
    <n v="6467246"/>
    <x v="21"/>
    <x v="43"/>
    <s v="CARBONARA"/>
    <n v="3100"/>
    <n v="268"/>
    <n v="830800"/>
    <m/>
  </r>
  <r>
    <x v="8"/>
    <s v="JUL"/>
    <x v="30"/>
    <s v="GRSM 6"/>
    <x v="2"/>
    <s v="GMM"/>
    <n v="211033"/>
    <n v="6467246"/>
    <x v="21"/>
    <x v="43"/>
    <s v="BOLOGNESE"/>
    <n v="3100"/>
    <n v="118"/>
    <n v="365800"/>
    <m/>
  </r>
  <r>
    <x v="8"/>
    <s v="JUL"/>
    <x v="30"/>
    <s v="GRSM 6"/>
    <x v="2"/>
    <s v="GMM"/>
    <n v="211033"/>
    <n v="6467246"/>
    <x v="21"/>
    <x v="43"/>
    <s v="GORENG"/>
    <n v="3100"/>
    <n v="495"/>
    <n v="1534500"/>
    <n v="160"/>
  </r>
  <r>
    <x v="8"/>
    <s v="JUL"/>
    <x v="30"/>
    <s v="GRSM 6"/>
    <x v="2"/>
    <s v="GMM"/>
    <n v="103765"/>
    <n v="4305267"/>
    <x v="24"/>
    <x v="49"/>
    <s v="AGLIO OLIO"/>
    <n v="3000"/>
    <n v="30"/>
    <n v="90000"/>
    <m/>
  </r>
  <r>
    <x v="8"/>
    <s v="JUL"/>
    <x v="30"/>
    <s v="GRSM 6"/>
    <x v="2"/>
    <s v="GMM"/>
    <n v="103765"/>
    <n v="4305267"/>
    <x v="24"/>
    <x v="49"/>
    <s v="CARBONARA"/>
    <n v="3000"/>
    <n v="56"/>
    <n v="168000"/>
    <m/>
  </r>
  <r>
    <x v="8"/>
    <s v="JUL"/>
    <x v="30"/>
    <s v="GRSM 6"/>
    <x v="2"/>
    <s v="GMM"/>
    <n v="103765"/>
    <n v="4305267"/>
    <x v="24"/>
    <x v="49"/>
    <s v="BOLOGNESE"/>
    <n v="3000"/>
    <n v="110"/>
    <n v="330000"/>
    <m/>
  </r>
  <r>
    <x v="8"/>
    <s v="JUL"/>
    <x v="30"/>
    <s v="GRSM 6"/>
    <x v="2"/>
    <s v="GMM"/>
    <n v="103765"/>
    <n v="4305267"/>
    <x v="24"/>
    <x v="49"/>
    <s v="GORENG"/>
    <n v="3000"/>
    <n v="240"/>
    <n v="720000"/>
    <m/>
  </r>
  <r>
    <x v="8"/>
    <s v="JUL"/>
    <x v="30"/>
    <s v="GRSM 6"/>
    <x v="2"/>
    <s v="GMM"/>
    <n v="103765"/>
    <n v="4305267"/>
    <x v="24"/>
    <x v="48"/>
    <s v="AGLIO OLIO"/>
    <n v="3000"/>
    <n v="30"/>
    <n v="90000"/>
    <m/>
  </r>
  <r>
    <x v="8"/>
    <s v="JUL"/>
    <x v="30"/>
    <s v="GRSM 6"/>
    <x v="2"/>
    <s v="GMM"/>
    <n v="103765"/>
    <n v="4305267"/>
    <x v="24"/>
    <x v="48"/>
    <s v="CARBONARA"/>
    <n v="3000"/>
    <n v="56"/>
    <n v="168000"/>
    <m/>
  </r>
  <r>
    <x v="8"/>
    <s v="JUL"/>
    <x v="30"/>
    <s v="GRSM 6"/>
    <x v="2"/>
    <s v="GMM"/>
    <n v="103765"/>
    <n v="4305267"/>
    <x v="24"/>
    <x v="48"/>
    <s v="BOLOGNESE"/>
    <n v="3000"/>
    <n v="110"/>
    <n v="330000"/>
    <m/>
  </r>
  <r>
    <x v="8"/>
    <s v="JUL"/>
    <x v="30"/>
    <s v="GRSM 6"/>
    <x v="2"/>
    <s v="GMM"/>
    <n v="103765"/>
    <n v="4305267"/>
    <x v="24"/>
    <x v="48"/>
    <s v="GORENG"/>
    <n v="3000"/>
    <n v="240"/>
    <n v="720000"/>
    <m/>
  </r>
  <r>
    <x v="8"/>
    <s v="JUL"/>
    <x v="28"/>
    <s v="GRSM 1"/>
    <x v="3"/>
    <s v="MT"/>
    <n v="122506"/>
    <n v="202879"/>
    <x v="29"/>
    <x v="60"/>
    <s v="AGLIO OLIO"/>
    <n v="6400"/>
    <n v="30"/>
    <n v="192000"/>
    <m/>
  </r>
  <r>
    <x v="8"/>
    <s v="JUL"/>
    <x v="28"/>
    <s v="GRSM 1"/>
    <x v="3"/>
    <s v="MT"/>
    <n v="122506"/>
    <n v="202879"/>
    <x v="29"/>
    <x v="60"/>
    <s v="CARBONARA"/>
    <n v="6400"/>
    <n v="40"/>
    <n v="256000"/>
    <m/>
  </r>
  <r>
    <x v="8"/>
    <s v="JUL"/>
    <x v="28"/>
    <s v="GRSM 1"/>
    <x v="3"/>
    <s v="MT"/>
    <n v="122506"/>
    <n v="202879"/>
    <x v="29"/>
    <x v="60"/>
    <s v="BOLOGNESE"/>
    <n v="6400"/>
    <n v="37"/>
    <n v="236800"/>
    <m/>
  </r>
  <r>
    <x v="8"/>
    <s v="JUL"/>
    <x v="28"/>
    <s v="GRSM 1"/>
    <x v="3"/>
    <s v="MT"/>
    <n v="122506"/>
    <n v="202879"/>
    <x v="29"/>
    <x v="60"/>
    <s v="GORENG"/>
    <n v="6400"/>
    <n v="87"/>
    <n v="556800"/>
    <n v="160"/>
  </r>
  <r>
    <x v="8"/>
    <s v="JUL"/>
    <x v="28"/>
    <s v="GRSM 1"/>
    <x v="3"/>
    <s v="MT"/>
    <n v="122506"/>
    <n v="202879"/>
    <x v="29"/>
    <x v="61"/>
    <s v="AGLIO OLIO"/>
    <n v="6400"/>
    <n v="30"/>
    <n v="192000"/>
    <m/>
  </r>
  <r>
    <x v="8"/>
    <s v="JUL"/>
    <x v="28"/>
    <s v="GRSM 1"/>
    <x v="3"/>
    <s v="MT"/>
    <n v="122506"/>
    <n v="202879"/>
    <x v="29"/>
    <x v="61"/>
    <s v="CARBONARA"/>
    <n v="6400"/>
    <n v="40"/>
    <n v="256000"/>
    <m/>
  </r>
  <r>
    <x v="8"/>
    <s v="JUL"/>
    <x v="28"/>
    <s v="GRSM 1"/>
    <x v="3"/>
    <s v="MT"/>
    <n v="122506"/>
    <n v="202879"/>
    <x v="29"/>
    <x v="61"/>
    <s v="BOLOGNESE"/>
    <n v="6400"/>
    <n v="37"/>
    <n v="236800"/>
    <m/>
  </r>
  <r>
    <x v="8"/>
    <s v="JUL"/>
    <x v="28"/>
    <s v="GRSM 1"/>
    <x v="3"/>
    <s v="MT"/>
    <n v="122506"/>
    <n v="202879"/>
    <x v="29"/>
    <x v="61"/>
    <s v="GORENG"/>
    <n v="6400"/>
    <n v="87"/>
    <n v="556800"/>
    <n v="160"/>
  </r>
  <r>
    <x v="8"/>
    <s v="JUL"/>
    <x v="28"/>
    <s v="GRSM 1"/>
    <x v="3"/>
    <s v="MT"/>
    <n v="122506"/>
    <n v="202816"/>
    <x v="30"/>
    <x v="62"/>
    <s v="AGLIO OLIO"/>
    <n v="7000"/>
    <n v="40"/>
    <n v="280000"/>
    <m/>
  </r>
  <r>
    <x v="8"/>
    <s v="JUL"/>
    <x v="28"/>
    <s v="GRSM 1"/>
    <x v="3"/>
    <s v="MT"/>
    <n v="122506"/>
    <n v="202816"/>
    <x v="30"/>
    <x v="62"/>
    <s v="CARBONARA"/>
    <n v="7000"/>
    <n v="50"/>
    <n v="350000"/>
    <m/>
  </r>
  <r>
    <x v="8"/>
    <s v="JUL"/>
    <x v="28"/>
    <s v="GRSM 1"/>
    <x v="3"/>
    <s v="MT"/>
    <n v="122506"/>
    <n v="202816"/>
    <x v="30"/>
    <x v="62"/>
    <s v="BOLOGNESE"/>
    <n v="7000"/>
    <n v="25"/>
    <n v="175000"/>
    <m/>
  </r>
  <r>
    <x v="8"/>
    <s v="JUL"/>
    <x v="28"/>
    <s v="GRSM 1"/>
    <x v="3"/>
    <s v="MT"/>
    <n v="122506"/>
    <n v="202816"/>
    <x v="30"/>
    <x v="62"/>
    <s v="GORENG"/>
    <n v="7000"/>
    <n v="70"/>
    <n v="490000"/>
    <n v="160"/>
  </r>
  <r>
    <x v="8"/>
    <s v="JUL"/>
    <x v="28"/>
    <s v="GRSM 1"/>
    <x v="3"/>
    <s v="MT"/>
    <n v="122506"/>
    <n v="202816"/>
    <x v="30"/>
    <x v="63"/>
    <s v="AGLIO OLIO"/>
    <n v="7000"/>
    <n v="40"/>
    <n v="280000"/>
    <m/>
  </r>
  <r>
    <x v="8"/>
    <s v="JUL"/>
    <x v="28"/>
    <s v="GRSM 1"/>
    <x v="3"/>
    <s v="MT"/>
    <n v="122506"/>
    <n v="202816"/>
    <x v="30"/>
    <x v="63"/>
    <s v="CARBONARA"/>
    <n v="7000"/>
    <n v="50"/>
    <n v="350000"/>
    <m/>
  </r>
  <r>
    <x v="8"/>
    <s v="JUL"/>
    <x v="28"/>
    <s v="GRSM 1"/>
    <x v="3"/>
    <s v="MT"/>
    <n v="122506"/>
    <n v="202816"/>
    <x v="30"/>
    <x v="63"/>
    <s v="BOLOGNESE"/>
    <n v="7000"/>
    <n v="25"/>
    <n v="175000"/>
    <m/>
  </r>
  <r>
    <x v="8"/>
    <s v="JUL"/>
    <x v="28"/>
    <s v="GRSM 1"/>
    <x v="3"/>
    <s v="MT"/>
    <n v="122506"/>
    <n v="202816"/>
    <x v="30"/>
    <x v="63"/>
    <s v="GORENG"/>
    <n v="7000"/>
    <n v="70"/>
    <n v="490000"/>
    <n v="160"/>
  </r>
  <r>
    <x v="8"/>
    <s v="JUL"/>
    <x v="28"/>
    <s v="GRSM 1"/>
    <x v="3"/>
    <s v="MT"/>
    <n v="122506"/>
    <n v="202816"/>
    <x v="30"/>
    <x v="62"/>
    <s v="AGLIO OLIO"/>
    <n v="7000"/>
    <n v="40"/>
    <n v="280000"/>
    <m/>
  </r>
  <r>
    <x v="8"/>
    <s v="JUL"/>
    <x v="28"/>
    <s v="GRSM 1"/>
    <x v="3"/>
    <s v="MT"/>
    <n v="122506"/>
    <n v="202816"/>
    <x v="30"/>
    <x v="62"/>
    <s v="CARBONARA"/>
    <n v="7000"/>
    <n v="50"/>
    <n v="350000"/>
    <m/>
  </r>
  <r>
    <x v="8"/>
    <s v="JUL"/>
    <x v="28"/>
    <s v="GRSM 1"/>
    <x v="3"/>
    <s v="MT"/>
    <n v="122506"/>
    <n v="202816"/>
    <x v="30"/>
    <x v="62"/>
    <s v="BOLOGNESE"/>
    <n v="7000"/>
    <n v="25"/>
    <n v="175000"/>
    <m/>
  </r>
  <r>
    <x v="8"/>
    <s v="JUL"/>
    <x v="28"/>
    <s v="GRSM 1"/>
    <x v="3"/>
    <s v="MT"/>
    <n v="122506"/>
    <n v="202816"/>
    <x v="30"/>
    <x v="62"/>
    <s v="GORENG"/>
    <n v="7000"/>
    <n v="70"/>
    <n v="490000"/>
    <n v="160"/>
  </r>
  <r>
    <x v="8"/>
    <s v="JUL"/>
    <x v="28"/>
    <s v="GRSM 1"/>
    <x v="3"/>
    <s v="MT"/>
    <n v="122506"/>
    <n v="202816"/>
    <x v="30"/>
    <x v="63"/>
    <s v="AGLIO OLIO"/>
    <n v="7000"/>
    <n v="40"/>
    <n v="280000"/>
    <m/>
  </r>
  <r>
    <x v="8"/>
    <s v="JUL"/>
    <x v="28"/>
    <s v="GRSM 1"/>
    <x v="3"/>
    <s v="MT"/>
    <n v="122506"/>
    <n v="202816"/>
    <x v="30"/>
    <x v="63"/>
    <s v="CARBONARA"/>
    <n v="7000"/>
    <n v="50"/>
    <n v="350000"/>
    <m/>
  </r>
  <r>
    <x v="8"/>
    <s v="JUL"/>
    <x v="28"/>
    <s v="GRSM 1"/>
    <x v="3"/>
    <s v="MT"/>
    <n v="122506"/>
    <n v="202816"/>
    <x v="30"/>
    <x v="63"/>
    <s v="BOLOGNESE"/>
    <n v="7000"/>
    <n v="25"/>
    <n v="175000"/>
    <m/>
  </r>
  <r>
    <x v="8"/>
    <s v="JUL"/>
    <x v="28"/>
    <s v="GRSM 1"/>
    <x v="3"/>
    <s v="MT"/>
    <n v="122506"/>
    <n v="202816"/>
    <x v="30"/>
    <x v="63"/>
    <s v="GORENG"/>
    <n v="7000"/>
    <n v="70"/>
    <n v="490000"/>
    <n v="160"/>
  </r>
  <r>
    <x v="8"/>
    <s v="JUL"/>
    <x v="28"/>
    <s v="GRSM 1"/>
    <x v="3"/>
    <s v="MT"/>
    <n v="122506"/>
    <n v="214422"/>
    <x v="31"/>
    <x v="64"/>
    <s v="AGLIO OLIO"/>
    <n v="6400"/>
    <n v="0"/>
    <n v="0"/>
    <m/>
  </r>
  <r>
    <x v="8"/>
    <s v="JUL"/>
    <x v="28"/>
    <s v="GRSM 1"/>
    <x v="3"/>
    <s v="MT"/>
    <n v="122506"/>
    <n v="214422"/>
    <x v="31"/>
    <x v="64"/>
    <s v="CARBONARA"/>
    <n v="6400"/>
    <n v="42"/>
    <n v="268800"/>
    <m/>
  </r>
  <r>
    <x v="8"/>
    <s v="JUL"/>
    <x v="28"/>
    <s v="GRSM 1"/>
    <x v="3"/>
    <s v="MT"/>
    <n v="122506"/>
    <n v="214422"/>
    <x v="31"/>
    <x v="64"/>
    <s v="BOLOGNESE"/>
    <n v="6400"/>
    <n v="40"/>
    <n v="256000"/>
    <m/>
  </r>
  <r>
    <x v="8"/>
    <s v="JUL"/>
    <x v="28"/>
    <s v="GRSM 1"/>
    <x v="3"/>
    <s v="MT"/>
    <n v="122506"/>
    <n v="214422"/>
    <x v="31"/>
    <x v="64"/>
    <s v="GORENG"/>
    <n v="6400"/>
    <n v="84"/>
    <n v="537600"/>
    <n v="160"/>
  </r>
  <r>
    <x v="8"/>
    <s v="JUL"/>
    <x v="28"/>
    <s v="GRSM 1"/>
    <x v="3"/>
    <s v="MT"/>
    <n v="122506"/>
    <n v="214422"/>
    <x v="31"/>
    <x v="65"/>
    <s v="AGLIO OLIO"/>
    <n v="6400"/>
    <n v="0"/>
    <n v="0"/>
    <m/>
  </r>
  <r>
    <x v="8"/>
    <s v="JUL"/>
    <x v="28"/>
    <s v="GRSM 1"/>
    <x v="3"/>
    <s v="MT"/>
    <n v="122506"/>
    <n v="214422"/>
    <x v="31"/>
    <x v="65"/>
    <s v="CARBONARA"/>
    <n v="6400"/>
    <n v="42"/>
    <n v="268800"/>
    <m/>
  </r>
  <r>
    <x v="8"/>
    <s v="JUL"/>
    <x v="28"/>
    <s v="GRSM 1"/>
    <x v="3"/>
    <s v="MT"/>
    <n v="122506"/>
    <n v="214422"/>
    <x v="31"/>
    <x v="65"/>
    <s v="BOLOGNESE"/>
    <n v="6400"/>
    <n v="40"/>
    <n v="256000"/>
    <m/>
  </r>
  <r>
    <x v="8"/>
    <s v="JUL"/>
    <x v="28"/>
    <s v="GRSM 1"/>
    <x v="3"/>
    <s v="MT"/>
    <n v="122506"/>
    <n v="214422"/>
    <x v="31"/>
    <x v="65"/>
    <s v="GORENG"/>
    <n v="6400"/>
    <n v="84"/>
    <n v="537600"/>
    <n v="160"/>
  </r>
  <r>
    <x v="8"/>
    <s v="JUL"/>
    <x v="29"/>
    <s v="GRSM 1"/>
    <x v="3"/>
    <s v="MT"/>
    <n v="122506"/>
    <n v="202879"/>
    <x v="29"/>
    <x v="60"/>
    <s v="AGLIO OLIO"/>
    <n v="6400"/>
    <n v="49"/>
    <n v="313600"/>
    <m/>
  </r>
  <r>
    <x v="8"/>
    <s v="JUL"/>
    <x v="29"/>
    <s v="GRSM 1"/>
    <x v="3"/>
    <s v="MT"/>
    <n v="122506"/>
    <n v="202879"/>
    <x v="29"/>
    <x v="60"/>
    <s v="CARBONARA"/>
    <n v="6400"/>
    <n v="40"/>
    <n v="256000"/>
    <m/>
  </r>
  <r>
    <x v="8"/>
    <s v="JUL"/>
    <x v="29"/>
    <s v="GRSM 1"/>
    <x v="3"/>
    <s v="MT"/>
    <n v="122506"/>
    <n v="202879"/>
    <x v="29"/>
    <x v="60"/>
    <s v="BOLOGNESE"/>
    <n v="6400"/>
    <n v="37"/>
    <n v="236800"/>
    <m/>
  </r>
  <r>
    <x v="8"/>
    <s v="JUL"/>
    <x v="29"/>
    <s v="GRSM 1"/>
    <x v="3"/>
    <s v="MT"/>
    <n v="122506"/>
    <n v="202879"/>
    <x v="29"/>
    <x v="60"/>
    <s v="GORENG"/>
    <n v="6400"/>
    <n v="87"/>
    <n v="556800"/>
    <n v="160"/>
  </r>
  <r>
    <x v="8"/>
    <s v="JUL"/>
    <x v="29"/>
    <s v="GRSM 1"/>
    <x v="3"/>
    <s v="MT"/>
    <n v="122506"/>
    <n v="202879"/>
    <x v="29"/>
    <x v="61"/>
    <s v="AGLIO OLIO"/>
    <n v="6400"/>
    <n v="49"/>
    <n v="313600"/>
    <m/>
  </r>
  <r>
    <x v="8"/>
    <s v="JUL"/>
    <x v="29"/>
    <s v="GRSM 1"/>
    <x v="3"/>
    <s v="MT"/>
    <n v="122506"/>
    <n v="202879"/>
    <x v="29"/>
    <x v="61"/>
    <s v="CARBONARA"/>
    <n v="6400"/>
    <n v="40"/>
    <n v="256000"/>
    <m/>
  </r>
  <r>
    <x v="8"/>
    <s v="JUL"/>
    <x v="29"/>
    <s v="GRSM 1"/>
    <x v="3"/>
    <s v="MT"/>
    <n v="122506"/>
    <n v="202879"/>
    <x v="29"/>
    <x v="61"/>
    <s v="BOLOGNESE"/>
    <n v="6400"/>
    <n v="37"/>
    <n v="236800"/>
    <m/>
  </r>
  <r>
    <x v="8"/>
    <s v="JUL"/>
    <x v="29"/>
    <s v="GRSM 1"/>
    <x v="3"/>
    <s v="MT"/>
    <n v="122506"/>
    <n v="202879"/>
    <x v="29"/>
    <x v="61"/>
    <s v="GORENG"/>
    <n v="6400"/>
    <n v="87"/>
    <n v="556800"/>
    <n v="160"/>
  </r>
  <r>
    <x v="8"/>
    <s v="JUL"/>
    <x v="29"/>
    <s v="GRSM 1"/>
    <x v="3"/>
    <s v="MT"/>
    <n v="122506"/>
    <n v="202816"/>
    <x v="30"/>
    <x v="62"/>
    <s v="AGLIO OLIO"/>
    <n v="7000"/>
    <n v="44"/>
    <n v="308000"/>
    <m/>
  </r>
  <r>
    <x v="8"/>
    <s v="JUL"/>
    <x v="29"/>
    <s v="GRSM 1"/>
    <x v="3"/>
    <s v="MT"/>
    <n v="122506"/>
    <n v="202816"/>
    <x v="30"/>
    <x v="62"/>
    <s v="CARBONARA"/>
    <n v="7000"/>
    <n v="42"/>
    <n v="294000"/>
    <m/>
  </r>
  <r>
    <x v="8"/>
    <s v="JUL"/>
    <x v="29"/>
    <s v="GRSM 1"/>
    <x v="3"/>
    <s v="MT"/>
    <n v="122506"/>
    <n v="202816"/>
    <x v="30"/>
    <x v="62"/>
    <s v="BOLOGNESE"/>
    <n v="7000"/>
    <n v="30"/>
    <n v="210000"/>
    <m/>
  </r>
  <r>
    <x v="8"/>
    <s v="JUL"/>
    <x v="29"/>
    <s v="GRSM 1"/>
    <x v="3"/>
    <s v="MT"/>
    <n v="122506"/>
    <n v="202816"/>
    <x v="30"/>
    <x v="62"/>
    <s v="GORENG"/>
    <n v="7000"/>
    <n v="80"/>
    <n v="560000"/>
    <n v="160"/>
  </r>
  <r>
    <x v="8"/>
    <s v="JUL"/>
    <x v="29"/>
    <s v="GRSM 1"/>
    <x v="3"/>
    <s v="MT"/>
    <n v="122506"/>
    <n v="202816"/>
    <x v="30"/>
    <x v="63"/>
    <s v="AGLIO OLIO"/>
    <n v="7000"/>
    <n v="44"/>
    <n v="308000"/>
    <m/>
  </r>
  <r>
    <x v="8"/>
    <s v="JUL"/>
    <x v="29"/>
    <s v="GRSM 1"/>
    <x v="3"/>
    <s v="MT"/>
    <n v="122506"/>
    <n v="202816"/>
    <x v="30"/>
    <x v="63"/>
    <s v="CARBONARA"/>
    <n v="7000"/>
    <n v="42"/>
    <n v="294000"/>
    <m/>
  </r>
  <r>
    <x v="8"/>
    <s v="JUL"/>
    <x v="29"/>
    <s v="GRSM 1"/>
    <x v="3"/>
    <s v="MT"/>
    <n v="122506"/>
    <n v="202816"/>
    <x v="30"/>
    <x v="63"/>
    <s v="BOLOGNESE"/>
    <n v="7000"/>
    <n v="30"/>
    <n v="210000"/>
    <m/>
  </r>
  <r>
    <x v="8"/>
    <s v="JUL"/>
    <x v="29"/>
    <s v="GRSM 1"/>
    <x v="3"/>
    <s v="MT"/>
    <n v="122506"/>
    <n v="202816"/>
    <x v="30"/>
    <x v="63"/>
    <s v="GORENG"/>
    <n v="7000"/>
    <n v="80"/>
    <n v="560000"/>
    <n v="160"/>
  </r>
  <r>
    <x v="8"/>
    <s v="JUL"/>
    <x v="29"/>
    <s v="GRSM 1"/>
    <x v="3"/>
    <s v="MT"/>
    <n v="122506"/>
    <n v="202816"/>
    <x v="30"/>
    <x v="62"/>
    <s v="AGLIO OLIO"/>
    <n v="7000"/>
    <n v="44"/>
    <n v="308000"/>
    <m/>
  </r>
  <r>
    <x v="8"/>
    <s v="JUL"/>
    <x v="29"/>
    <s v="GRSM 1"/>
    <x v="3"/>
    <s v="MT"/>
    <n v="122506"/>
    <n v="202816"/>
    <x v="30"/>
    <x v="62"/>
    <s v="CARBONARA"/>
    <n v="7000"/>
    <n v="42"/>
    <n v="294000"/>
    <m/>
  </r>
  <r>
    <x v="8"/>
    <s v="JUL"/>
    <x v="29"/>
    <s v="GRSM 1"/>
    <x v="3"/>
    <s v="MT"/>
    <n v="122506"/>
    <n v="202816"/>
    <x v="30"/>
    <x v="62"/>
    <s v="BOLOGNESE"/>
    <n v="7000"/>
    <n v="30"/>
    <n v="210000"/>
    <m/>
  </r>
  <r>
    <x v="8"/>
    <s v="JUL"/>
    <x v="29"/>
    <s v="GRSM 1"/>
    <x v="3"/>
    <s v="MT"/>
    <n v="122506"/>
    <n v="202816"/>
    <x v="30"/>
    <x v="62"/>
    <s v="GORENG"/>
    <n v="7000"/>
    <n v="80"/>
    <n v="560000"/>
    <n v="160"/>
  </r>
  <r>
    <x v="8"/>
    <s v="JUL"/>
    <x v="29"/>
    <s v="GRSM 1"/>
    <x v="3"/>
    <s v="MT"/>
    <n v="122506"/>
    <n v="202816"/>
    <x v="30"/>
    <x v="63"/>
    <s v="AGLIO OLIO"/>
    <n v="7000"/>
    <n v="44"/>
    <n v="308000"/>
    <m/>
  </r>
  <r>
    <x v="8"/>
    <s v="JUL"/>
    <x v="29"/>
    <s v="GRSM 1"/>
    <x v="3"/>
    <s v="MT"/>
    <n v="122506"/>
    <n v="202816"/>
    <x v="30"/>
    <x v="63"/>
    <s v="CARBONARA"/>
    <n v="7000"/>
    <n v="42"/>
    <n v="294000"/>
    <m/>
  </r>
  <r>
    <x v="8"/>
    <s v="JUL"/>
    <x v="29"/>
    <s v="GRSM 1"/>
    <x v="3"/>
    <s v="MT"/>
    <n v="122506"/>
    <n v="202816"/>
    <x v="30"/>
    <x v="63"/>
    <s v="BOLOGNESE"/>
    <n v="7000"/>
    <n v="30"/>
    <n v="210000"/>
    <m/>
  </r>
  <r>
    <x v="8"/>
    <s v="JUL"/>
    <x v="29"/>
    <s v="GRSM 1"/>
    <x v="3"/>
    <s v="MT"/>
    <n v="122506"/>
    <n v="202816"/>
    <x v="30"/>
    <x v="63"/>
    <s v="GORENG"/>
    <n v="7000"/>
    <n v="80"/>
    <n v="560000"/>
    <n v="160"/>
  </r>
  <r>
    <x v="8"/>
    <s v="JUL"/>
    <x v="29"/>
    <s v="GRSM 1"/>
    <x v="3"/>
    <s v="MT"/>
    <n v="122506"/>
    <n v="214300"/>
    <x v="32"/>
    <x v="66"/>
    <s v="AGLIO OLIO"/>
    <n v="7000"/>
    <n v="12"/>
    <n v="84000"/>
    <m/>
  </r>
  <r>
    <x v="8"/>
    <s v="JUL"/>
    <x v="29"/>
    <s v="GRSM 1"/>
    <x v="3"/>
    <s v="MT"/>
    <n v="122506"/>
    <n v="214300"/>
    <x v="32"/>
    <x v="66"/>
    <s v="CARBONARA"/>
    <n v="7000"/>
    <n v="18"/>
    <n v="126000"/>
    <m/>
  </r>
  <r>
    <x v="8"/>
    <s v="JUL"/>
    <x v="29"/>
    <s v="GRSM 1"/>
    <x v="3"/>
    <s v="MT"/>
    <n v="122506"/>
    <n v="214300"/>
    <x v="32"/>
    <x v="66"/>
    <s v="BOLOGNESE"/>
    <n v="7000"/>
    <n v="13"/>
    <n v="91000"/>
    <m/>
  </r>
  <r>
    <x v="8"/>
    <s v="JUL"/>
    <x v="29"/>
    <s v="GRSM 1"/>
    <x v="3"/>
    <s v="MT"/>
    <n v="122506"/>
    <n v="214300"/>
    <x v="32"/>
    <x v="66"/>
    <s v="GORENG"/>
    <n v="7000"/>
    <n v="32"/>
    <n v="224000"/>
    <n v="160"/>
  </r>
  <r>
    <x v="8"/>
    <s v="JUL"/>
    <x v="29"/>
    <s v="GRSM 1"/>
    <x v="3"/>
    <s v="MT"/>
    <n v="122506"/>
    <n v="214300"/>
    <x v="32"/>
    <x v="67"/>
    <s v="AGLIO OLIO"/>
    <n v="7000"/>
    <n v="12"/>
    <n v="84000"/>
    <m/>
  </r>
  <r>
    <x v="8"/>
    <s v="JUL"/>
    <x v="29"/>
    <s v="GRSM 1"/>
    <x v="3"/>
    <s v="MT"/>
    <n v="122506"/>
    <n v="214300"/>
    <x v="32"/>
    <x v="67"/>
    <s v="CARBONARA"/>
    <n v="7000"/>
    <n v="18"/>
    <n v="126000"/>
    <m/>
  </r>
  <r>
    <x v="8"/>
    <s v="JUL"/>
    <x v="29"/>
    <s v="GRSM 1"/>
    <x v="3"/>
    <s v="MT"/>
    <n v="122506"/>
    <n v="214300"/>
    <x v="32"/>
    <x v="67"/>
    <s v="BOLOGNESE"/>
    <n v="7000"/>
    <n v="13"/>
    <n v="91000"/>
    <m/>
  </r>
  <r>
    <x v="8"/>
    <s v="JUL"/>
    <x v="29"/>
    <s v="GRSM 1"/>
    <x v="3"/>
    <s v="MT"/>
    <n v="122506"/>
    <n v="214300"/>
    <x v="32"/>
    <x v="67"/>
    <s v="GORENG"/>
    <n v="7000"/>
    <n v="32"/>
    <n v="224000"/>
    <n v="160"/>
  </r>
  <r>
    <x v="8"/>
    <s v="JUL"/>
    <x v="29"/>
    <s v="GRSM 2"/>
    <x v="3"/>
    <s v="MT"/>
    <n v="175700"/>
    <n v="1370001"/>
    <x v="33"/>
    <x v="68"/>
    <s v="AGLIO OLIO"/>
    <n v="2210"/>
    <n v="80"/>
    <n v="176800"/>
    <m/>
  </r>
  <r>
    <x v="8"/>
    <s v="JUL"/>
    <x v="29"/>
    <s v="GRSM 2"/>
    <x v="3"/>
    <s v="MT"/>
    <n v="175700"/>
    <n v="1370001"/>
    <x v="33"/>
    <x v="68"/>
    <s v="CARBONARA"/>
    <n v="2210"/>
    <n v="120"/>
    <n v="265200"/>
    <m/>
  </r>
  <r>
    <x v="8"/>
    <s v="JUL"/>
    <x v="29"/>
    <s v="GRSM 2"/>
    <x v="3"/>
    <s v="MT"/>
    <n v="175700"/>
    <n v="1370001"/>
    <x v="33"/>
    <x v="68"/>
    <s v="BOLOGNESE"/>
    <n v="2210"/>
    <n v="80"/>
    <n v="176800"/>
    <m/>
  </r>
  <r>
    <x v="8"/>
    <s v="JUL"/>
    <x v="29"/>
    <s v="GRSM 2"/>
    <x v="3"/>
    <s v="MT"/>
    <n v="175700"/>
    <n v="1370001"/>
    <x v="33"/>
    <x v="68"/>
    <s v="GORENG"/>
    <n v="2210"/>
    <n v="160"/>
    <n v="353600"/>
    <n v="80"/>
  </r>
  <r>
    <x v="8"/>
    <s v="JUL"/>
    <x v="29"/>
    <s v="GRSM 2"/>
    <x v="3"/>
    <s v="MT"/>
    <n v="175700"/>
    <n v="1370001"/>
    <x v="33"/>
    <x v="69"/>
    <s v="AGLIO OLIO"/>
    <n v="2210"/>
    <n v="80"/>
    <n v="176800"/>
    <m/>
  </r>
  <r>
    <x v="8"/>
    <s v="JUL"/>
    <x v="29"/>
    <s v="GRSM 2"/>
    <x v="3"/>
    <s v="MT"/>
    <n v="175700"/>
    <n v="1370001"/>
    <x v="33"/>
    <x v="69"/>
    <s v="CARBONARA"/>
    <n v="2210"/>
    <n v="120"/>
    <n v="265200"/>
    <m/>
  </r>
  <r>
    <x v="8"/>
    <s v="JUL"/>
    <x v="29"/>
    <s v="GRSM 2"/>
    <x v="3"/>
    <s v="MT"/>
    <n v="175700"/>
    <n v="1370001"/>
    <x v="33"/>
    <x v="69"/>
    <s v="BOLOGNESE"/>
    <n v="2210"/>
    <n v="80"/>
    <n v="176800"/>
    <m/>
  </r>
  <r>
    <x v="8"/>
    <s v="JUL"/>
    <x v="29"/>
    <s v="GRSM 2"/>
    <x v="3"/>
    <s v="MT"/>
    <n v="175700"/>
    <n v="1370001"/>
    <x v="33"/>
    <x v="69"/>
    <s v="GORENG"/>
    <n v="2210"/>
    <n v="160"/>
    <n v="353600"/>
    <n v="80"/>
  </r>
  <r>
    <x v="8"/>
    <s v="JUL"/>
    <x v="29"/>
    <s v="GRSM 1"/>
    <x v="3"/>
    <s v="MT"/>
    <n v="122506"/>
    <n v="214422"/>
    <x v="31"/>
    <x v="65"/>
    <s v="AGLIO OLIO"/>
    <n v="3200"/>
    <n v="86"/>
    <n v="275200"/>
    <m/>
  </r>
  <r>
    <x v="8"/>
    <s v="JUL"/>
    <x v="29"/>
    <s v="GRSM 1"/>
    <x v="3"/>
    <s v="MT"/>
    <n v="122506"/>
    <n v="214422"/>
    <x v="31"/>
    <x v="65"/>
    <s v="CARBONARA"/>
    <n v="3200"/>
    <n v="42"/>
    <n v="134400"/>
    <m/>
  </r>
  <r>
    <x v="8"/>
    <s v="JUL"/>
    <x v="29"/>
    <s v="GRSM 1"/>
    <x v="3"/>
    <s v="MT"/>
    <n v="122506"/>
    <n v="214422"/>
    <x v="31"/>
    <x v="65"/>
    <s v="BOLOGNESE"/>
    <n v="3200"/>
    <n v="40"/>
    <n v="128000"/>
    <m/>
  </r>
  <r>
    <x v="8"/>
    <s v="JUL"/>
    <x v="29"/>
    <s v="GRSM 1"/>
    <x v="3"/>
    <s v="MT"/>
    <n v="122506"/>
    <n v="214422"/>
    <x v="31"/>
    <x v="65"/>
    <s v="GORENG"/>
    <n v="3200"/>
    <n v="84"/>
    <n v="268800"/>
    <n v="160"/>
  </r>
  <r>
    <x v="8"/>
    <s v="JUL"/>
    <x v="29"/>
    <s v="GRSM 1"/>
    <x v="3"/>
    <s v="MT"/>
    <n v="122506"/>
    <n v="214422"/>
    <x v="31"/>
    <x v="64"/>
    <s v="AGLIO OLIO"/>
    <n v="3200"/>
    <n v="86"/>
    <n v="275200"/>
    <m/>
  </r>
  <r>
    <x v="8"/>
    <s v="JUL"/>
    <x v="29"/>
    <s v="GRSM 1"/>
    <x v="3"/>
    <s v="MT"/>
    <n v="122506"/>
    <n v="214422"/>
    <x v="31"/>
    <x v="64"/>
    <s v="CARBONARA"/>
    <n v="3200"/>
    <n v="42"/>
    <n v="134400"/>
    <m/>
  </r>
  <r>
    <x v="8"/>
    <s v="JUL"/>
    <x v="29"/>
    <s v="GRSM 1"/>
    <x v="3"/>
    <s v="MT"/>
    <n v="122506"/>
    <n v="214422"/>
    <x v="31"/>
    <x v="64"/>
    <s v="BOLOGNESE"/>
    <n v="3200"/>
    <n v="40"/>
    <n v="128000"/>
    <m/>
  </r>
  <r>
    <x v="8"/>
    <s v="JUL"/>
    <x v="29"/>
    <s v="GRSM 1"/>
    <x v="3"/>
    <s v="MT"/>
    <n v="122506"/>
    <n v="214422"/>
    <x v="31"/>
    <x v="64"/>
    <s v="GORENG"/>
    <n v="3200"/>
    <n v="84"/>
    <n v="268800"/>
    <n v="160"/>
  </r>
  <r>
    <x v="8"/>
    <s v="JUL"/>
    <x v="30"/>
    <s v="GRSM 1"/>
    <x v="3"/>
    <s v="MT"/>
    <n v="122506"/>
    <n v="202879"/>
    <x v="29"/>
    <x v="60"/>
    <s v="AGLIO OLIO"/>
    <n v="6400"/>
    <n v="26"/>
    <n v="166400"/>
    <m/>
  </r>
  <r>
    <x v="8"/>
    <s v="JUL"/>
    <x v="30"/>
    <s v="GRSM 1"/>
    <x v="3"/>
    <s v="MT"/>
    <n v="122506"/>
    <n v="202879"/>
    <x v="29"/>
    <x v="60"/>
    <s v="CARBONARA"/>
    <n v="6400"/>
    <n v="40"/>
    <n v="256000"/>
    <m/>
  </r>
  <r>
    <x v="8"/>
    <s v="JUL"/>
    <x v="30"/>
    <s v="GRSM 1"/>
    <x v="3"/>
    <s v="MT"/>
    <n v="122506"/>
    <n v="202879"/>
    <x v="29"/>
    <x v="60"/>
    <s v="BOLOGNESE"/>
    <n v="6400"/>
    <n v="37"/>
    <n v="236800"/>
    <m/>
  </r>
  <r>
    <x v="8"/>
    <s v="JUL"/>
    <x v="30"/>
    <s v="GRSM 1"/>
    <x v="3"/>
    <s v="MT"/>
    <n v="122506"/>
    <n v="202879"/>
    <x v="29"/>
    <x v="60"/>
    <s v="GORENG"/>
    <n v="6400"/>
    <n v="87"/>
    <n v="556800"/>
    <n v="160"/>
  </r>
  <r>
    <x v="8"/>
    <s v="JUL"/>
    <x v="30"/>
    <s v="GRSM 1"/>
    <x v="3"/>
    <s v="MT"/>
    <n v="122506"/>
    <n v="202879"/>
    <x v="29"/>
    <x v="61"/>
    <s v="AGLIO OLIO"/>
    <n v="6400"/>
    <n v="26"/>
    <n v="166400"/>
    <m/>
  </r>
  <r>
    <x v="8"/>
    <s v="JUL"/>
    <x v="30"/>
    <s v="GRSM 1"/>
    <x v="3"/>
    <s v="MT"/>
    <n v="122506"/>
    <n v="202879"/>
    <x v="29"/>
    <x v="61"/>
    <s v="CARBONARA"/>
    <n v="6400"/>
    <n v="40"/>
    <n v="256000"/>
    <m/>
  </r>
  <r>
    <x v="8"/>
    <s v="JUL"/>
    <x v="30"/>
    <s v="GRSM 1"/>
    <x v="3"/>
    <s v="MT"/>
    <n v="122506"/>
    <n v="202879"/>
    <x v="29"/>
    <x v="61"/>
    <s v="BOLOGNESE"/>
    <n v="6400"/>
    <n v="37"/>
    <n v="236800"/>
    <m/>
  </r>
  <r>
    <x v="8"/>
    <s v="JUL"/>
    <x v="30"/>
    <s v="GRSM 1"/>
    <x v="3"/>
    <s v="MT"/>
    <n v="122506"/>
    <n v="202879"/>
    <x v="29"/>
    <x v="61"/>
    <s v="GORENG"/>
    <n v="6400"/>
    <n v="87"/>
    <n v="556800"/>
    <n v="160"/>
  </r>
  <r>
    <x v="8"/>
    <s v="JUL"/>
    <x v="30"/>
    <s v="GRSM 2"/>
    <x v="3"/>
    <s v="MT"/>
    <n v="175700"/>
    <n v="1370001"/>
    <x v="33"/>
    <x v="68"/>
    <s v="AGLIO OLIO"/>
    <n v="2210"/>
    <n v="80"/>
    <n v="176800"/>
    <m/>
  </r>
  <r>
    <x v="8"/>
    <s v="JUL"/>
    <x v="30"/>
    <s v="GRSM 2"/>
    <x v="3"/>
    <s v="MT"/>
    <n v="175700"/>
    <n v="1370001"/>
    <x v="33"/>
    <x v="68"/>
    <s v="CARBONARA"/>
    <n v="2210"/>
    <n v="120"/>
    <n v="265200"/>
    <m/>
  </r>
  <r>
    <x v="8"/>
    <s v="JUL"/>
    <x v="30"/>
    <s v="GRSM 2"/>
    <x v="3"/>
    <s v="MT"/>
    <n v="175700"/>
    <n v="1370001"/>
    <x v="33"/>
    <x v="68"/>
    <s v="BOLOGNESE"/>
    <n v="2210"/>
    <n v="120"/>
    <n v="265200"/>
    <m/>
  </r>
  <r>
    <x v="8"/>
    <s v="JUL"/>
    <x v="30"/>
    <s v="GRSM 2"/>
    <x v="3"/>
    <s v="MT"/>
    <n v="175700"/>
    <n v="1370001"/>
    <x v="33"/>
    <x v="68"/>
    <s v="GORENG"/>
    <n v="2210"/>
    <n v="160"/>
    <n v="353600"/>
    <n v="120"/>
  </r>
  <r>
    <x v="8"/>
    <s v="JUL"/>
    <x v="30"/>
    <s v="GRSM 2"/>
    <x v="3"/>
    <s v="MT"/>
    <n v="175700"/>
    <n v="1370001"/>
    <x v="33"/>
    <x v="69"/>
    <s v="AGLIO OLIO"/>
    <n v="2210"/>
    <n v="80"/>
    <n v="176800"/>
    <m/>
  </r>
  <r>
    <x v="8"/>
    <s v="JUL"/>
    <x v="30"/>
    <s v="GRSM 2"/>
    <x v="3"/>
    <s v="MT"/>
    <n v="175700"/>
    <n v="1370001"/>
    <x v="33"/>
    <x v="69"/>
    <s v="CARBONARA"/>
    <n v="2210"/>
    <n v="120"/>
    <n v="265200"/>
    <m/>
  </r>
  <r>
    <x v="8"/>
    <s v="JUL"/>
    <x v="30"/>
    <s v="GRSM 2"/>
    <x v="3"/>
    <s v="MT"/>
    <n v="175700"/>
    <n v="1370001"/>
    <x v="33"/>
    <x v="69"/>
    <s v="BOLOGNESE"/>
    <n v="2210"/>
    <n v="120"/>
    <n v="265200"/>
    <m/>
  </r>
  <r>
    <x v="8"/>
    <s v="JUL"/>
    <x v="30"/>
    <s v="GRSM 2"/>
    <x v="3"/>
    <s v="MT"/>
    <n v="175700"/>
    <n v="1370001"/>
    <x v="33"/>
    <x v="69"/>
    <s v="GORENG"/>
    <n v="2210"/>
    <n v="160"/>
    <n v="353600"/>
    <n v="120"/>
  </r>
  <r>
    <x v="8"/>
    <s v="JUL"/>
    <x v="30"/>
    <s v="GRSM 1"/>
    <x v="3"/>
    <s v="MT"/>
    <n v="122506"/>
    <n v="202816"/>
    <x v="30"/>
    <x v="66"/>
    <s v="AGLIO OLIO"/>
    <n v="7000"/>
    <n v="40"/>
    <n v="280000"/>
    <m/>
  </r>
  <r>
    <x v="8"/>
    <s v="JUL"/>
    <x v="30"/>
    <s v="GRSM 1"/>
    <x v="3"/>
    <s v="MT"/>
    <n v="122506"/>
    <n v="202816"/>
    <x v="30"/>
    <x v="66"/>
    <s v="CARBONARA"/>
    <n v="7000"/>
    <n v="59"/>
    <n v="413000"/>
    <m/>
  </r>
  <r>
    <x v="8"/>
    <s v="JUL"/>
    <x v="30"/>
    <s v="GRSM 1"/>
    <x v="3"/>
    <s v="MT"/>
    <n v="122506"/>
    <n v="202816"/>
    <x v="30"/>
    <x v="66"/>
    <s v="BOLOGNESE"/>
    <n v="7000"/>
    <n v="48"/>
    <n v="336000"/>
    <m/>
  </r>
  <r>
    <x v="8"/>
    <s v="JUL"/>
    <x v="30"/>
    <s v="GRSM 1"/>
    <x v="3"/>
    <s v="MT"/>
    <n v="122506"/>
    <n v="202816"/>
    <x v="30"/>
    <x v="66"/>
    <s v="GORENG"/>
    <n v="7000"/>
    <n v="81"/>
    <n v="567000"/>
    <n v="160"/>
  </r>
  <r>
    <x v="8"/>
    <s v="JUL"/>
    <x v="30"/>
    <s v="GRSM 1"/>
    <x v="3"/>
    <s v="MT"/>
    <n v="122506"/>
    <n v="202816"/>
    <x v="30"/>
    <x v="67"/>
    <s v="AGLIO OLIO"/>
    <n v="7000"/>
    <n v="40"/>
    <n v="280000"/>
    <m/>
  </r>
  <r>
    <x v="8"/>
    <s v="JUL"/>
    <x v="30"/>
    <s v="GRSM 1"/>
    <x v="3"/>
    <s v="MT"/>
    <n v="122506"/>
    <n v="202816"/>
    <x v="30"/>
    <x v="67"/>
    <s v="CARBONARA"/>
    <n v="7000"/>
    <n v="59"/>
    <n v="413000"/>
    <m/>
  </r>
  <r>
    <x v="8"/>
    <s v="JUL"/>
    <x v="30"/>
    <s v="GRSM 1"/>
    <x v="3"/>
    <s v="MT"/>
    <n v="122506"/>
    <n v="202816"/>
    <x v="30"/>
    <x v="67"/>
    <s v="BOLOGNESE"/>
    <n v="7000"/>
    <n v="48"/>
    <n v="336000"/>
    <m/>
  </r>
  <r>
    <x v="8"/>
    <s v="JUL"/>
    <x v="30"/>
    <s v="GRSM 1"/>
    <x v="3"/>
    <s v="MT"/>
    <n v="122506"/>
    <n v="202816"/>
    <x v="30"/>
    <x v="67"/>
    <s v="GORENG"/>
    <n v="7000"/>
    <n v="81"/>
    <n v="567000"/>
    <n v="160"/>
  </r>
  <r>
    <x v="8"/>
    <s v="JUL"/>
    <x v="30"/>
    <s v="GRSM 1"/>
    <x v="3"/>
    <s v="MT"/>
    <n v="122506"/>
    <n v="214422"/>
    <x v="31"/>
    <x v="65"/>
    <s v="AGLIO OLIO"/>
    <n v="3200"/>
    <n v="52"/>
    <n v="166400"/>
    <m/>
  </r>
  <r>
    <x v="8"/>
    <s v="JUL"/>
    <x v="30"/>
    <s v="GRSM 1"/>
    <x v="3"/>
    <s v="MT"/>
    <n v="122506"/>
    <n v="214422"/>
    <x v="31"/>
    <x v="65"/>
    <s v="CARBONARA"/>
    <n v="3200"/>
    <n v="42"/>
    <n v="134400"/>
    <m/>
  </r>
  <r>
    <x v="8"/>
    <s v="JUL"/>
    <x v="30"/>
    <s v="GRSM 1"/>
    <x v="3"/>
    <s v="MT"/>
    <n v="122506"/>
    <n v="214422"/>
    <x v="31"/>
    <x v="65"/>
    <s v="BOLOGNESE"/>
    <n v="3200"/>
    <n v="40"/>
    <n v="128000"/>
    <m/>
  </r>
  <r>
    <x v="8"/>
    <s v="JUL"/>
    <x v="30"/>
    <s v="GRSM 1"/>
    <x v="3"/>
    <s v="MT"/>
    <n v="122506"/>
    <n v="214422"/>
    <x v="31"/>
    <x v="65"/>
    <s v="GORENG"/>
    <n v="3200"/>
    <n v="84"/>
    <n v="268800"/>
    <n v="160"/>
  </r>
  <r>
    <x v="8"/>
    <s v="JUL"/>
    <x v="30"/>
    <s v="GRSM 1"/>
    <x v="3"/>
    <s v="MT"/>
    <n v="122506"/>
    <n v="214422"/>
    <x v="31"/>
    <x v="64"/>
    <s v="AGLIO OLIO"/>
    <n v="3200"/>
    <n v="52"/>
    <n v="166400"/>
    <m/>
  </r>
  <r>
    <x v="8"/>
    <s v="JUL"/>
    <x v="30"/>
    <s v="GRSM 1"/>
    <x v="3"/>
    <s v="MT"/>
    <n v="122506"/>
    <n v="214422"/>
    <x v="31"/>
    <x v="64"/>
    <s v="CARBONARA"/>
    <n v="3200"/>
    <n v="42"/>
    <n v="134400"/>
    <m/>
  </r>
  <r>
    <x v="8"/>
    <s v="JUL"/>
    <x v="30"/>
    <s v="GRSM 1"/>
    <x v="3"/>
    <s v="MT"/>
    <n v="122506"/>
    <n v="214422"/>
    <x v="31"/>
    <x v="64"/>
    <s v="BOLOGNESE"/>
    <n v="3200"/>
    <n v="40"/>
    <n v="128000"/>
    <m/>
  </r>
  <r>
    <x v="8"/>
    <s v="JUL"/>
    <x v="30"/>
    <s v="GRSM 1"/>
    <x v="3"/>
    <s v="MT"/>
    <n v="122506"/>
    <n v="214422"/>
    <x v="31"/>
    <x v="64"/>
    <s v="GORENG"/>
    <n v="3200"/>
    <n v="84"/>
    <n v="268800"/>
    <n v="160"/>
  </r>
  <r>
    <x v="8"/>
    <s v="JUL"/>
    <x v="28"/>
    <s v="GRSM 1"/>
    <x v="3"/>
    <s v="MT"/>
    <n v="122506"/>
    <n v="214300"/>
    <x v="32"/>
    <x v="66"/>
    <s v="AGLIO OLIO"/>
    <n v="7000"/>
    <n v="16"/>
    <n v="112000"/>
    <m/>
  </r>
  <r>
    <x v="8"/>
    <s v="JUL"/>
    <x v="28"/>
    <s v="GRSM 1"/>
    <x v="3"/>
    <s v="MT"/>
    <n v="122506"/>
    <n v="214300"/>
    <x v="32"/>
    <x v="66"/>
    <s v="CARBONARA"/>
    <n v="7000"/>
    <n v="22"/>
    <n v="154000"/>
    <m/>
  </r>
  <r>
    <x v="8"/>
    <s v="JUL"/>
    <x v="28"/>
    <s v="GRSM 1"/>
    <x v="3"/>
    <s v="MT"/>
    <n v="122506"/>
    <n v="214300"/>
    <x v="32"/>
    <x v="66"/>
    <s v="BOLOGNESE"/>
    <n v="7000"/>
    <n v="17"/>
    <n v="119000"/>
    <m/>
  </r>
  <r>
    <x v="8"/>
    <s v="JUL"/>
    <x v="28"/>
    <s v="GRSM 1"/>
    <x v="3"/>
    <s v="MT"/>
    <n v="122506"/>
    <n v="214300"/>
    <x v="32"/>
    <x v="66"/>
    <s v="GORENG"/>
    <n v="7000"/>
    <n v="50"/>
    <n v="350000"/>
    <n v="160"/>
  </r>
  <r>
    <x v="8"/>
    <s v="JUL"/>
    <x v="28"/>
    <s v="GRSM 1"/>
    <x v="3"/>
    <s v="MT"/>
    <n v="122506"/>
    <n v="214300"/>
    <x v="32"/>
    <x v="67"/>
    <s v="AGLIO OLIO"/>
    <n v="7000"/>
    <n v="16"/>
    <n v="112000"/>
    <m/>
  </r>
  <r>
    <x v="8"/>
    <s v="JUL"/>
    <x v="28"/>
    <s v="GRSM 1"/>
    <x v="3"/>
    <s v="MT"/>
    <n v="122506"/>
    <n v="214300"/>
    <x v="32"/>
    <x v="67"/>
    <s v="CARBONARA"/>
    <n v="7000"/>
    <n v="22"/>
    <n v="154000"/>
    <m/>
  </r>
  <r>
    <x v="8"/>
    <s v="JUL"/>
    <x v="28"/>
    <s v="GRSM 1"/>
    <x v="3"/>
    <s v="MT"/>
    <n v="122506"/>
    <n v="214300"/>
    <x v="32"/>
    <x v="67"/>
    <s v="BOLOGNESE"/>
    <n v="7000"/>
    <n v="17"/>
    <n v="119000"/>
    <m/>
  </r>
  <r>
    <x v="8"/>
    <s v="JUL"/>
    <x v="28"/>
    <s v="GRSM 1"/>
    <x v="3"/>
    <s v="MT"/>
    <n v="122506"/>
    <n v="214300"/>
    <x v="32"/>
    <x v="67"/>
    <s v="GORENG"/>
    <n v="7000"/>
    <n v="50"/>
    <n v="350000"/>
    <n v="160"/>
  </r>
  <r>
    <x v="8"/>
    <s v="JUL"/>
    <x v="29"/>
    <s v="GRSM 4"/>
    <x v="0"/>
    <s v="GMM"/>
    <n v="189901"/>
    <n v="1602016"/>
    <x v="16"/>
    <x v="32"/>
    <s v="AGLIO OLIO"/>
    <n v="3400"/>
    <n v="100"/>
    <n v="340000"/>
    <m/>
  </r>
  <r>
    <x v="8"/>
    <s v="JUL"/>
    <x v="29"/>
    <s v="GRSM 4"/>
    <x v="0"/>
    <s v="GMM"/>
    <n v="189901"/>
    <n v="1602016"/>
    <x v="16"/>
    <x v="32"/>
    <s v="CARBONARA"/>
    <n v="3400"/>
    <n v="110"/>
    <n v="374000"/>
    <m/>
  </r>
  <r>
    <x v="8"/>
    <s v="JUL"/>
    <x v="29"/>
    <s v="GRSM 4"/>
    <x v="0"/>
    <s v="GMM"/>
    <n v="189901"/>
    <n v="1602016"/>
    <x v="16"/>
    <x v="32"/>
    <s v="BOLOGNESE"/>
    <n v="3400"/>
    <n v="110"/>
    <n v="374000"/>
    <m/>
  </r>
  <r>
    <x v="8"/>
    <s v="JUL"/>
    <x v="29"/>
    <s v="GRSM 4"/>
    <x v="0"/>
    <s v="GMM"/>
    <n v="189901"/>
    <n v="1602016"/>
    <x v="16"/>
    <x v="32"/>
    <s v="GORENG"/>
    <n v="3400"/>
    <n v="140"/>
    <n v="476000"/>
    <n v="80"/>
  </r>
  <r>
    <x v="8"/>
    <s v="JUL"/>
    <x v="29"/>
    <s v="GRSM 4"/>
    <x v="0"/>
    <s v="GMM"/>
    <n v="189901"/>
    <n v="1602016"/>
    <x v="16"/>
    <x v="31"/>
    <s v="AGLIO OLIO"/>
    <n v="3400"/>
    <n v="100"/>
    <n v="340000"/>
    <m/>
  </r>
  <r>
    <x v="8"/>
    <s v="JUL"/>
    <x v="29"/>
    <s v="GRSM 4"/>
    <x v="0"/>
    <s v="GMM"/>
    <n v="189901"/>
    <n v="1602016"/>
    <x v="16"/>
    <x v="31"/>
    <s v="CARBONARA"/>
    <n v="3400"/>
    <n v="120"/>
    <n v="408000"/>
    <m/>
  </r>
  <r>
    <x v="8"/>
    <s v="JUL"/>
    <x v="29"/>
    <s v="GRSM 4"/>
    <x v="0"/>
    <s v="GMM"/>
    <n v="189901"/>
    <n v="1602016"/>
    <x v="16"/>
    <x v="31"/>
    <s v="BOLOGNESE"/>
    <n v="3400"/>
    <n v="110"/>
    <n v="374000"/>
    <m/>
  </r>
  <r>
    <x v="8"/>
    <s v="JUL"/>
    <x v="29"/>
    <s v="GRSM 4"/>
    <x v="0"/>
    <s v="GMM"/>
    <n v="189901"/>
    <n v="1602016"/>
    <x v="16"/>
    <x v="31"/>
    <s v="GORENG"/>
    <n v="3400"/>
    <n v="140"/>
    <n v="476000"/>
    <n v="80"/>
  </r>
  <r>
    <x v="8"/>
    <s v="JUL"/>
    <x v="30"/>
    <s v="GRSM 1"/>
    <x v="3"/>
    <s v="MT"/>
    <n v="122506"/>
    <n v="214300"/>
    <x v="32"/>
    <x v="62"/>
    <s v="AGLIO OLIO"/>
    <n v="7000"/>
    <n v="35"/>
    <n v="245000"/>
    <m/>
  </r>
  <r>
    <x v="8"/>
    <s v="JUL"/>
    <x v="30"/>
    <s v="GRSM 1"/>
    <x v="3"/>
    <s v="MT"/>
    <n v="122506"/>
    <n v="214300"/>
    <x v="32"/>
    <x v="62"/>
    <s v="CARBONARA"/>
    <n v="7000"/>
    <n v="55"/>
    <n v="385000"/>
    <m/>
  </r>
  <r>
    <x v="8"/>
    <s v="JUL"/>
    <x v="30"/>
    <s v="GRSM 1"/>
    <x v="3"/>
    <s v="MT"/>
    <n v="122506"/>
    <n v="214300"/>
    <x v="32"/>
    <x v="62"/>
    <s v="BOLOGNESE"/>
    <n v="7000"/>
    <n v="35"/>
    <n v="245000"/>
    <m/>
  </r>
  <r>
    <x v="8"/>
    <s v="JUL"/>
    <x v="30"/>
    <s v="GRSM 1"/>
    <x v="3"/>
    <s v="MT"/>
    <n v="122506"/>
    <n v="214300"/>
    <x v="32"/>
    <x v="62"/>
    <s v="GORENG"/>
    <n v="7000"/>
    <n v="86"/>
    <n v="602000"/>
    <n v="160"/>
  </r>
  <r>
    <x v="8"/>
    <s v="JUL"/>
    <x v="30"/>
    <s v="GRSM 1"/>
    <x v="3"/>
    <s v="MT"/>
    <n v="122506"/>
    <n v="214300"/>
    <x v="32"/>
    <x v="63"/>
    <s v="AGLIO OLIO"/>
    <n v="7000"/>
    <n v="35"/>
    <n v="245000"/>
    <m/>
  </r>
  <r>
    <x v="8"/>
    <s v="JUL"/>
    <x v="30"/>
    <s v="GRSM 1"/>
    <x v="3"/>
    <s v="MT"/>
    <n v="122506"/>
    <n v="214300"/>
    <x v="32"/>
    <x v="63"/>
    <s v="CARBONARA"/>
    <n v="7000"/>
    <n v="55"/>
    <n v="385000"/>
    <m/>
  </r>
  <r>
    <x v="8"/>
    <s v="JUL"/>
    <x v="30"/>
    <s v="GRSM 1"/>
    <x v="3"/>
    <s v="MT"/>
    <n v="122506"/>
    <n v="214300"/>
    <x v="32"/>
    <x v="63"/>
    <s v="BOLOGNESE"/>
    <n v="7000"/>
    <n v="35"/>
    <n v="245000"/>
    <m/>
  </r>
  <r>
    <x v="8"/>
    <s v="JUL"/>
    <x v="30"/>
    <s v="GRSM 1"/>
    <x v="3"/>
    <s v="MT"/>
    <n v="122506"/>
    <n v="214300"/>
    <x v="32"/>
    <x v="63"/>
    <s v="GORENG"/>
    <n v="7000"/>
    <n v="86"/>
    <n v="602000"/>
    <n v="160"/>
  </r>
  <r>
    <x v="8"/>
    <s v="JUL"/>
    <x v="28"/>
    <s v="GRSM 6"/>
    <x v="2"/>
    <s v="GMM"/>
    <n v="103765"/>
    <n v="4305267"/>
    <x v="24"/>
    <x v="48"/>
    <s v="AGLIO OLIO"/>
    <n v="3000"/>
    <n v="52"/>
    <n v="156000"/>
    <m/>
  </r>
  <r>
    <x v="8"/>
    <s v="JUL"/>
    <x v="28"/>
    <s v="GRSM 6"/>
    <x v="2"/>
    <s v="GMM"/>
    <n v="103765"/>
    <n v="4305267"/>
    <x v="24"/>
    <x v="48"/>
    <s v="CARBONARA"/>
    <n v="3000"/>
    <n v="170"/>
    <n v="510000"/>
    <m/>
  </r>
  <r>
    <x v="8"/>
    <s v="JUL"/>
    <x v="28"/>
    <s v="GRSM 6"/>
    <x v="2"/>
    <s v="GMM"/>
    <n v="103765"/>
    <n v="4305267"/>
    <x v="24"/>
    <x v="48"/>
    <s v="BOLOGNESE"/>
    <n v="3000"/>
    <n v="120"/>
    <n v="360000"/>
    <m/>
  </r>
  <r>
    <x v="8"/>
    <s v="JUL"/>
    <x v="28"/>
    <s v="GRSM 6"/>
    <x v="2"/>
    <s v="GMM"/>
    <n v="103765"/>
    <n v="4305267"/>
    <x v="24"/>
    <x v="48"/>
    <s v="GORENG"/>
    <n v="3000"/>
    <n v="130"/>
    <n v="390000"/>
    <n v="160"/>
  </r>
  <r>
    <x v="8"/>
    <s v="JUL"/>
    <x v="28"/>
    <s v="GRSM 6"/>
    <x v="2"/>
    <s v="GMM"/>
    <n v="103765"/>
    <n v="4305267"/>
    <x v="24"/>
    <x v="49"/>
    <s v="AGLIO OLIO"/>
    <n v="3000"/>
    <n v="52"/>
    <n v="156000"/>
    <m/>
  </r>
  <r>
    <x v="8"/>
    <s v="JUL"/>
    <x v="28"/>
    <s v="GRSM 6"/>
    <x v="2"/>
    <s v="GMM"/>
    <n v="103765"/>
    <n v="4305267"/>
    <x v="24"/>
    <x v="49"/>
    <s v="CARBONARA"/>
    <n v="3000"/>
    <n v="170"/>
    <n v="510000"/>
    <m/>
  </r>
  <r>
    <x v="8"/>
    <s v="JUL"/>
    <x v="28"/>
    <s v="GRSM 6"/>
    <x v="2"/>
    <s v="GMM"/>
    <n v="103765"/>
    <n v="4305267"/>
    <x v="24"/>
    <x v="49"/>
    <s v="BOLOGNESE"/>
    <n v="3000"/>
    <n v="120"/>
    <n v="360000"/>
    <m/>
  </r>
  <r>
    <x v="8"/>
    <s v="JUL"/>
    <x v="28"/>
    <s v="GRSM 6"/>
    <x v="2"/>
    <s v="GMM"/>
    <n v="103765"/>
    <n v="4305267"/>
    <x v="24"/>
    <x v="49"/>
    <s v="GORENG"/>
    <n v="3000"/>
    <n v="130"/>
    <n v="390000"/>
    <n v="160"/>
  </r>
  <r>
    <x v="8"/>
    <s v="JUL"/>
    <x v="28"/>
    <s v="GRSM 4"/>
    <x v="0"/>
    <s v="GMM"/>
    <n v="103257"/>
    <n v="9162509"/>
    <x v="25"/>
    <x v="57"/>
    <s v="AGLIO OLIO"/>
    <n v="3100"/>
    <n v="50"/>
    <n v="155000"/>
    <m/>
  </r>
  <r>
    <x v="8"/>
    <s v="JUL"/>
    <x v="28"/>
    <s v="GRSM 4"/>
    <x v="0"/>
    <s v="GMM"/>
    <n v="103257"/>
    <n v="9162509"/>
    <x v="25"/>
    <x v="57"/>
    <s v="CARBONARA"/>
    <n v="3100"/>
    <n v="55"/>
    <n v="170500"/>
    <m/>
  </r>
  <r>
    <x v="8"/>
    <s v="JUL"/>
    <x v="28"/>
    <s v="GRSM 4"/>
    <x v="0"/>
    <s v="GMM"/>
    <n v="103257"/>
    <n v="9162509"/>
    <x v="25"/>
    <x v="57"/>
    <s v="BOLOGNESE"/>
    <n v="3100"/>
    <n v="60"/>
    <n v="186000"/>
    <m/>
  </r>
  <r>
    <x v="8"/>
    <s v="JUL"/>
    <x v="28"/>
    <s v="GRSM 4"/>
    <x v="0"/>
    <s v="GMM"/>
    <n v="103257"/>
    <n v="9162509"/>
    <x v="25"/>
    <x v="57"/>
    <s v="GORENG"/>
    <n v="3100"/>
    <n v="40"/>
    <n v="124000"/>
    <n v="160"/>
  </r>
  <r>
    <x v="8"/>
    <s v="JUL"/>
    <x v="28"/>
    <s v="GRSM 4"/>
    <x v="0"/>
    <s v="GMM"/>
    <n v="103257"/>
    <n v="9162509"/>
    <x v="25"/>
    <x v="58"/>
    <s v="AGLIO OLIO"/>
    <n v="3100"/>
    <n v="40"/>
    <n v="124000"/>
    <m/>
  </r>
  <r>
    <x v="8"/>
    <s v="JUL"/>
    <x v="28"/>
    <s v="GRSM 4"/>
    <x v="0"/>
    <s v="GMM"/>
    <n v="103257"/>
    <n v="9162509"/>
    <x v="25"/>
    <x v="58"/>
    <s v="CARBONARA"/>
    <n v="3100"/>
    <n v="52"/>
    <n v="161200"/>
    <m/>
  </r>
  <r>
    <x v="8"/>
    <s v="JUL"/>
    <x v="28"/>
    <s v="GRSM 4"/>
    <x v="0"/>
    <s v="GMM"/>
    <n v="103257"/>
    <n v="9162509"/>
    <x v="25"/>
    <x v="58"/>
    <s v="BOLOGNESE"/>
    <n v="3100"/>
    <n v="55"/>
    <n v="170500"/>
    <m/>
  </r>
  <r>
    <x v="8"/>
    <s v="JUL"/>
    <x v="28"/>
    <s v="GRSM 4"/>
    <x v="0"/>
    <s v="GMM"/>
    <n v="103257"/>
    <n v="9162509"/>
    <x v="25"/>
    <x v="58"/>
    <s v="GORENG"/>
    <n v="3100"/>
    <n v="33"/>
    <n v="102300"/>
    <n v="160"/>
  </r>
  <r>
    <x v="8"/>
    <s v="JUL"/>
    <x v="30"/>
    <s v="GRSM 4"/>
    <x v="0"/>
    <s v="GMM"/>
    <n v="189901"/>
    <n v="1602008"/>
    <x v="13"/>
    <x v="14"/>
    <s v="AGLIO OLIO"/>
    <n v="3300"/>
    <n v="60"/>
    <n v="198000"/>
    <m/>
  </r>
  <r>
    <x v="8"/>
    <s v="JUL"/>
    <x v="30"/>
    <s v="GRSM 4"/>
    <x v="0"/>
    <s v="GMM"/>
    <n v="189901"/>
    <n v="1602008"/>
    <x v="13"/>
    <x v="14"/>
    <s v="CARBONARA"/>
    <n v="3300"/>
    <n v="40"/>
    <n v="132000"/>
    <m/>
  </r>
  <r>
    <x v="8"/>
    <s v="JUL"/>
    <x v="30"/>
    <s v="GRSM 4"/>
    <x v="0"/>
    <s v="GMM"/>
    <n v="189901"/>
    <n v="1602008"/>
    <x v="13"/>
    <x v="14"/>
    <s v="BOLOGNESE"/>
    <n v="3300"/>
    <n v="35"/>
    <n v="115500"/>
    <m/>
  </r>
  <r>
    <x v="8"/>
    <s v="JUL"/>
    <x v="30"/>
    <s v="GRSM 4"/>
    <x v="0"/>
    <s v="GMM"/>
    <n v="189901"/>
    <n v="1602008"/>
    <x v="13"/>
    <x v="14"/>
    <s v="GORENG"/>
    <n v="3300"/>
    <n v="141"/>
    <n v="465300"/>
    <n v="160"/>
  </r>
  <r>
    <x v="8"/>
    <s v="JUL"/>
    <x v="30"/>
    <s v="GRSM 4"/>
    <x v="0"/>
    <s v="GMM"/>
    <n v="189901"/>
    <n v="1602008"/>
    <x v="13"/>
    <x v="56"/>
    <s v="AGLIO OLIO"/>
    <n v="3300"/>
    <n v="60"/>
    <n v="198000"/>
    <m/>
  </r>
  <r>
    <x v="8"/>
    <s v="JUL"/>
    <x v="30"/>
    <s v="GRSM 4"/>
    <x v="0"/>
    <s v="GMM"/>
    <n v="189901"/>
    <n v="1602008"/>
    <x v="13"/>
    <x v="56"/>
    <s v="CARBONARA"/>
    <n v="3300"/>
    <n v="40"/>
    <n v="132000"/>
    <m/>
  </r>
  <r>
    <x v="8"/>
    <s v="JUL"/>
    <x v="30"/>
    <s v="GRSM 4"/>
    <x v="0"/>
    <s v="GMM"/>
    <n v="189901"/>
    <n v="1602008"/>
    <x v="13"/>
    <x v="56"/>
    <s v="BOLOGNESE"/>
    <n v="3300"/>
    <n v="35"/>
    <n v="115500"/>
    <m/>
  </r>
  <r>
    <x v="8"/>
    <s v="JUL"/>
    <x v="30"/>
    <s v="GRSM 4"/>
    <x v="0"/>
    <s v="GMM"/>
    <n v="189901"/>
    <n v="1602008"/>
    <x v="13"/>
    <x v="56"/>
    <s v="GORENG"/>
    <n v="3300"/>
    <n v="141"/>
    <n v="465300"/>
    <n v="160"/>
  </r>
  <r>
    <x v="9"/>
    <s v="JUL"/>
    <x v="31"/>
    <s v="GRSM 2"/>
    <x v="3"/>
    <s v="MT"/>
    <n v="175700"/>
    <n v="1370001"/>
    <x v="33"/>
    <x v="68"/>
    <s v="AGLIO OLIO"/>
    <n v="2210"/>
    <n v="80"/>
    <n v="176800"/>
    <m/>
  </r>
  <r>
    <x v="9"/>
    <s v="JUL"/>
    <x v="31"/>
    <s v="GRSM 2"/>
    <x v="3"/>
    <s v="MT"/>
    <n v="175700"/>
    <n v="1370001"/>
    <x v="33"/>
    <x v="68"/>
    <s v="CARBONARA"/>
    <n v="2210"/>
    <n v="120"/>
    <n v="265200"/>
    <m/>
  </r>
  <r>
    <x v="9"/>
    <s v="JUL"/>
    <x v="31"/>
    <s v="GRSM 2"/>
    <x v="3"/>
    <s v="MT"/>
    <n v="175700"/>
    <n v="1370001"/>
    <x v="33"/>
    <x v="68"/>
    <s v="BOLOGNESE"/>
    <n v="2210"/>
    <n v="80"/>
    <n v="176800"/>
    <m/>
  </r>
  <r>
    <x v="9"/>
    <s v="JUL"/>
    <x v="31"/>
    <s v="GRSM 2"/>
    <x v="3"/>
    <s v="MT"/>
    <n v="175700"/>
    <n v="1370001"/>
    <x v="33"/>
    <x v="68"/>
    <s v="GORENG"/>
    <n v="2210"/>
    <n v="160"/>
    <n v="353600"/>
    <n v="80"/>
  </r>
  <r>
    <x v="9"/>
    <s v="JUL"/>
    <x v="31"/>
    <s v="GRSM 2"/>
    <x v="3"/>
    <s v="MT"/>
    <n v="175700"/>
    <n v="1370001"/>
    <x v="33"/>
    <x v="69"/>
    <s v="AGLIO OLIO"/>
    <n v="2210"/>
    <n v="80"/>
    <n v="176800"/>
    <m/>
  </r>
  <r>
    <x v="9"/>
    <s v="JUL"/>
    <x v="31"/>
    <s v="GRSM 2"/>
    <x v="3"/>
    <s v="MT"/>
    <n v="175700"/>
    <n v="1370001"/>
    <x v="33"/>
    <x v="69"/>
    <s v="CARBONARA"/>
    <n v="2210"/>
    <n v="120"/>
    <n v="265200"/>
    <m/>
  </r>
  <r>
    <x v="9"/>
    <s v="JUL"/>
    <x v="31"/>
    <s v="GRSM 2"/>
    <x v="3"/>
    <s v="MT"/>
    <n v="175700"/>
    <n v="1370001"/>
    <x v="33"/>
    <x v="69"/>
    <s v="BOLOGNESE"/>
    <n v="2210"/>
    <n v="80"/>
    <n v="176800"/>
    <m/>
  </r>
  <r>
    <x v="9"/>
    <s v="JUL"/>
    <x v="31"/>
    <s v="GRSM 2"/>
    <x v="3"/>
    <s v="MT"/>
    <n v="175700"/>
    <n v="1370001"/>
    <x v="33"/>
    <x v="69"/>
    <s v="GORENG"/>
    <n v="2210"/>
    <n v="160"/>
    <n v="353600"/>
    <n v="80"/>
  </r>
  <r>
    <x v="9"/>
    <s v="JUL"/>
    <x v="32"/>
    <s v="GRSM 5"/>
    <x v="1"/>
    <s v="GMM"/>
    <n v="170220"/>
    <n v="9000015"/>
    <x v="18"/>
    <x v="35"/>
    <s v="BOLOGNESE"/>
    <n v="2200"/>
    <n v="131"/>
    <n v="288200"/>
    <m/>
  </r>
  <r>
    <x v="9"/>
    <s v="JUL"/>
    <x v="32"/>
    <s v="GRSM 5"/>
    <x v="1"/>
    <s v="GMM"/>
    <n v="170220"/>
    <n v="9000015"/>
    <x v="18"/>
    <x v="35"/>
    <s v="CARBONARA"/>
    <n v="2200"/>
    <n v="204"/>
    <n v="448800"/>
    <m/>
  </r>
  <r>
    <x v="9"/>
    <s v="JUL"/>
    <x v="32"/>
    <s v="GRSM 5"/>
    <x v="1"/>
    <s v="GMM"/>
    <n v="170220"/>
    <n v="9000015"/>
    <x v="18"/>
    <x v="35"/>
    <s v="AGLIO OLIO"/>
    <n v="2200"/>
    <n v="67"/>
    <n v="147400"/>
    <m/>
  </r>
  <r>
    <x v="9"/>
    <s v="JUL"/>
    <x v="32"/>
    <s v="GRSM 5"/>
    <x v="1"/>
    <s v="GMM"/>
    <n v="170220"/>
    <n v="9000015"/>
    <x v="18"/>
    <x v="35"/>
    <s v="GORENG"/>
    <n v="2200"/>
    <n v="302"/>
    <n v="664400"/>
    <n v="320"/>
  </r>
  <r>
    <x v="9"/>
    <s v="JUL"/>
    <x v="32"/>
    <s v="GRSM 5"/>
    <x v="1"/>
    <s v="GMM"/>
    <n v="170220"/>
    <n v="9000015"/>
    <x v="18"/>
    <x v="59"/>
    <s v="BOLOGNESE"/>
    <n v="2200"/>
    <n v="131"/>
    <n v="288200"/>
    <m/>
  </r>
  <r>
    <x v="9"/>
    <s v="JUL"/>
    <x v="32"/>
    <s v="GRSM 5"/>
    <x v="1"/>
    <s v="GMM"/>
    <n v="170220"/>
    <n v="9000015"/>
    <x v="18"/>
    <x v="59"/>
    <s v="CARBONARA"/>
    <n v="2200"/>
    <n v="204"/>
    <n v="448800"/>
    <m/>
  </r>
  <r>
    <x v="9"/>
    <s v="JUL"/>
    <x v="32"/>
    <s v="GRSM 5"/>
    <x v="1"/>
    <s v="GMM"/>
    <n v="170220"/>
    <n v="9000015"/>
    <x v="18"/>
    <x v="59"/>
    <s v="AGLIO OLIO"/>
    <n v="2200"/>
    <n v="67"/>
    <n v="147400"/>
    <m/>
  </r>
  <r>
    <x v="9"/>
    <s v="JUL"/>
    <x v="32"/>
    <s v="GRSM 5"/>
    <x v="1"/>
    <s v="GMM"/>
    <n v="170220"/>
    <n v="9000015"/>
    <x v="18"/>
    <x v="59"/>
    <s v="GORENG"/>
    <n v="2200"/>
    <n v="302"/>
    <n v="664400"/>
    <n v="320"/>
  </r>
  <r>
    <x v="9"/>
    <s v="JUL"/>
    <x v="32"/>
    <s v="GRSM 5"/>
    <x v="1"/>
    <s v="GMM"/>
    <n v="170220"/>
    <n v="1901019"/>
    <x v="19"/>
    <x v="38"/>
    <s v="BOLOGNESE"/>
    <n v="2200"/>
    <n v="87"/>
    <n v="191400"/>
    <m/>
  </r>
  <r>
    <x v="9"/>
    <s v="JUL"/>
    <x v="32"/>
    <s v="GRSM 5"/>
    <x v="1"/>
    <s v="GMM"/>
    <n v="170220"/>
    <n v="1901019"/>
    <x v="19"/>
    <x v="38"/>
    <s v="CARBONARA"/>
    <n v="2200"/>
    <n v="91"/>
    <n v="200200"/>
    <m/>
  </r>
  <r>
    <x v="9"/>
    <s v="JUL"/>
    <x v="32"/>
    <s v="GRSM 5"/>
    <x v="1"/>
    <s v="GMM"/>
    <n v="170220"/>
    <n v="1901019"/>
    <x v="19"/>
    <x v="38"/>
    <s v="AGLIO OLIO"/>
    <n v="2200"/>
    <n v="111"/>
    <n v="244200"/>
    <m/>
  </r>
  <r>
    <x v="9"/>
    <s v="JUL"/>
    <x v="32"/>
    <s v="GRSM 5"/>
    <x v="1"/>
    <s v="GMM"/>
    <n v="170220"/>
    <n v="1901019"/>
    <x v="19"/>
    <x v="38"/>
    <s v="GORENG"/>
    <n v="2200"/>
    <n v="271"/>
    <n v="596200"/>
    <n v="223"/>
  </r>
  <r>
    <x v="9"/>
    <s v="JUL"/>
    <x v="32"/>
    <s v="GRSM 5"/>
    <x v="1"/>
    <s v="GMM"/>
    <n v="170220"/>
    <n v="1901019"/>
    <x v="19"/>
    <x v="37"/>
    <s v="BOLOGNESE"/>
    <n v="2200"/>
    <n v="87"/>
    <n v="191400"/>
    <m/>
  </r>
  <r>
    <x v="9"/>
    <s v="JUL"/>
    <x v="32"/>
    <s v="GRSM 5"/>
    <x v="1"/>
    <s v="GMM"/>
    <n v="170220"/>
    <n v="1901019"/>
    <x v="19"/>
    <x v="37"/>
    <s v="CARBONARA"/>
    <n v="2200"/>
    <n v="91"/>
    <n v="200200"/>
    <m/>
  </r>
  <r>
    <x v="9"/>
    <s v="JUL"/>
    <x v="32"/>
    <s v="GRSM 5"/>
    <x v="1"/>
    <s v="GMM"/>
    <n v="170220"/>
    <n v="1901019"/>
    <x v="19"/>
    <x v="37"/>
    <s v="AGLIO OLIO"/>
    <n v="2200"/>
    <n v="111"/>
    <n v="244200"/>
    <m/>
  </r>
  <r>
    <x v="9"/>
    <s v="JUL"/>
    <x v="32"/>
    <s v="GRSM 5"/>
    <x v="1"/>
    <s v="GMM"/>
    <n v="170220"/>
    <n v="1901019"/>
    <x v="19"/>
    <x v="37"/>
    <s v="GORENG"/>
    <n v="2200"/>
    <n v="271"/>
    <n v="596200"/>
    <n v="223"/>
  </r>
  <r>
    <x v="9"/>
    <s v="JUL"/>
    <x v="32"/>
    <s v="GRSM 5"/>
    <x v="1"/>
    <s v="GMM"/>
    <n v="170220"/>
    <n v="1901004"/>
    <x v="17"/>
    <x v="33"/>
    <s v="BOLOGNESE"/>
    <n v="2200"/>
    <n v="120"/>
    <n v="264000"/>
    <m/>
  </r>
  <r>
    <x v="9"/>
    <s v="JUL"/>
    <x v="32"/>
    <s v="GRSM 5"/>
    <x v="1"/>
    <s v="GMM"/>
    <n v="170220"/>
    <n v="1901004"/>
    <x v="17"/>
    <x v="33"/>
    <s v="CARBONARA"/>
    <n v="2200"/>
    <n v="240"/>
    <n v="528000"/>
    <m/>
  </r>
  <r>
    <x v="9"/>
    <s v="JUL"/>
    <x v="32"/>
    <s v="GRSM 5"/>
    <x v="1"/>
    <s v="GMM"/>
    <n v="170220"/>
    <n v="1901004"/>
    <x v="17"/>
    <x v="33"/>
    <s v="AGLIO OLIO"/>
    <n v="2200"/>
    <n v="40"/>
    <n v="88000"/>
    <m/>
  </r>
  <r>
    <x v="9"/>
    <s v="JUL"/>
    <x v="32"/>
    <s v="GRSM 5"/>
    <x v="1"/>
    <s v="GMM"/>
    <n v="170220"/>
    <n v="1901004"/>
    <x v="17"/>
    <x v="33"/>
    <s v="GORENG"/>
    <n v="2200"/>
    <n v="280"/>
    <n v="616000"/>
    <n v="320"/>
  </r>
  <r>
    <x v="9"/>
    <s v="JUL"/>
    <x v="32"/>
    <s v="GRSM 5"/>
    <x v="1"/>
    <s v="GMM"/>
    <n v="170220"/>
    <n v="1901004"/>
    <x v="17"/>
    <x v="34"/>
    <s v="BOLOGNESE"/>
    <n v="2200"/>
    <n v="120"/>
    <n v="264000"/>
    <m/>
  </r>
  <r>
    <x v="9"/>
    <s v="JUL"/>
    <x v="32"/>
    <s v="GRSM 5"/>
    <x v="1"/>
    <s v="GMM"/>
    <n v="170220"/>
    <n v="1901004"/>
    <x v="17"/>
    <x v="34"/>
    <s v="CARBONARA"/>
    <n v="2200"/>
    <n v="240"/>
    <n v="528000"/>
    <m/>
  </r>
  <r>
    <x v="9"/>
    <s v="JUL"/>
    <x v="32"/>
    <s v="GRSM 5"/>
    <x v="1"/>
    <s v="GMM"/>
    <n v="170220"/>
    <n v="1901004"/>
    <x v="17"/>
    <x v="34"/>
    <s v="AGLIO OLIO"/>
    <n v="2200"/>
    <n v="40"/>
    <n v="88000"/>
    <m/>
  </r>
  <r>
    <x v="9"/>
    <s v="JUL"/>
    <x v="32"/>
    <s v="GRSM 5"/>
    <x v="1"/>
    <s v="GMM"/>
    <n v="170220"/>
    <n v="1901004"/>
    <x v="17"/>
    <x v="34"/>
    <s v="GORENG"/>
    <n v="2200"/>
    <n v="280"/>
    <n v="616000"/>
    <n v="320"/>
  </r>
  <r>
    <x v="9"/>
    <s v="JUL"/>
    <x v="32"/>
    <s v="GRSM 1"/>
    <x v="3"/>
    <s v="MT"/>
    <n v="122506"/>
    <n v="214300"/>
    <x v="32"/>
    <x v="62"/>
    <s v="BOLOGNESE"/>
    <n v="7000"/>
    <n v="38"/>
    <n v="266000"/>
    <m/>
  </r>
  <r>
    <x v="9"/>
    <s v="JUL"/>
    <x v="32"/>
    <s v="GRSM 1"/>
    <x v="3"/>
    <s v="MT"/>
    <n v="122506"/>
    <n v="214300"/>
    <x v="32"/>
    <x v="62"/>
    <s v="CARBONARA"/>
    <n v="7000"/>
    <n v="26"/>
    <n v="182000"/>
    <m/>
  </r>
  <r>
    <x v="9"/>
    <s v="JUL"/>
    <x v="32"/>
    <s v="GRSM 1"/>
    <x v="3"/>
    <s v="MT"/>
    <n v="122506"/>
    <n v="214300"/>
    <x v="32"/>
    <x v="62"/>
    <s v="AGLIO OLIO"/>
    <n v="7000"/>
    <n v="26"/>
    <n v="182000"/>
    <m/>
  </r>
  <r>
    <x v="9"/>
    <s v="JUL"/>
    <x v="32"/>
    <s v="GRSM 1"/>
    <x v="3"/>
    <s v="MT"/>
    <n v="122506"/>
    <n v="214300"/>
    <x v="32"/>
    <x v="62"/>
    <s v="GORENG"/>
    <n v="7000"/>
    <n v="80"/>
    <n v="560000"/>
    <n v="160"/>
  </r>
  <r>
    <x v="9"/>
    <s v="JUL"/>
    <x v="32"/>
    <s v="GRSM 1"/>
    <x v="3"/>
    <s v="MT"/>
    <n v="122506"/>
    <n v="214300"/>
    <x v="32"/>
    <x v="63"/>
    <s v="BOLOGNESE"/>
    <n v="7000"/>
    <n v="38"/>
    <n v="266000"/>
    <m/>
  </r>
  <r>
    <x v="9"/>
    <s v="JUL"/>
    <x v="32"/>
    <s v="GRSM 1"/>
    <x v="3"/>
    <s v="MT"/>
    <n v="122506"/>
    <n v="214300"/>
    <x v="32"/>
    <x v="63"/>
    <s v="CARBONARA"/>
    <n v="7000"/>
    <n v="26"/>
    <n v="182000"/>
    <m/>
  </r>
  <r>
    <x v="9"/>
    <s v="JUL"/>
    <x v="32"/>
    <s v="GRSM 1"/>
    <x v="3"/>
    <s v="MT"/>
    <n v="122506"/>
    <n v="214300"/>
    <x v="32"/>
    <x v="63"/>
    <s v="AGLIO OLIO"/>
    <n v="7000"/>
    <n v="26"/>
    <n v="182000"/>
    <m/>
  </r>
  <r>
    <x v="9"/>
    <s v="JUL"/>
    <x v="32"/>
    <s v="GRSM 1"/>
    <x v="3"/>
    <s v="MT"/>
    <n v="122506"/>
    <n v="214300"/>
    <x v="32"/>
    <x v="63"/>
    <s v="GORENG"/>
    <n v="7000"/>
    <n v="80"/>
    <n v="560000"/>
    <n v="160"/>
  </r>
  <r>
    <x v="9"/>
    <s v="JUL"/>
    <x v="32"/>
    <s v="GRSM 1"/>
    <x v="3"/>
    <s v="MT"/>
    <n v="122506"/>
    <n v="202879"/>
    <x v="29"/>
    <x v="60"/>
    <s v="BOLOGNESE"/>
    <n v="6400"/>
    <n v="37"/>
    <n v="236800"/>
    <m/>
  </r>
  <r>
    <x v="9"/>
    <s v="JUL"/>
    <x v="32"/>
    <s v="GRSM 1"/>
    <x v="3"/>
    <s v="MT"/>
    <n v="122506"/>
    <n v="202879"/>
    <x v="29"/>
    <x v="60"/>
    <s v="CARBONARA"/>
    <n v="6400"/>
    <n v="40"/>
    <n v="256000"/>
    <m/>
  </r>
  <r>
    <x v="9"/>
    <s v="JUL"/>
    <x v="32"/>
    <s v="GRSM 1"/>
    <x v="3"/>
    <s v="MT"/>
    <n v="122506"/>
    <n v="202879"/>
    <x v="29"/>
    <x v="60"/>
    <s v="AGLIO OLIO"/>
    <n v="6400"/>
    <n v="22"/>
    <n v="140800"/>
    <m/>
  </r>
  <r>
    <x v="9"/>
    <s v="JUL"/>
    <x v="32"/>
    <s v="GRSM 1"/>
    <x v="3"/>
    <s v="MT"/>
    <n v="122506"/>
    <n v="202879"/>
    <x v="29"/>
    <x v="60"/>
    <s v="GORENG"/>
    <n v="6400"/>
    <n v="87"/>
    <n v="556800"/>
    <n v="160"/>
  </r>
  <r>
    <x v="9"/>
    <s v="JUL"/>
    <x v="32"/>
    <s v="GRSM 1"/>
    <x v="3"/>
    <s v="MT"/>
    <n v="122506"/>
    <n v="202879"/>
    <x v="29"/>
    <x v="61"/>
    <s v="BOLOGNESE"/>
    <n v="6400"/>
    <n v="37"/>
    <n v="236800"/>
    <m/>
  </r>
  <r>
    <x v="9"/>
    <s v="JUL"/>
    <x v="32"/>
    <s v="GRSM 1"/>
    <x v="3"/>
    <s v="MT"/>
    <n v="122506"/>
    <n v="202879"/>
    <x v="29"/>
    <x v="61"/>
    <s v="CARBONARA"/>
    <n v="6400"/>
    <n v="40"/>
    <n v="256000"/>
    <m/>
  </r>
  <r>
    <x v="9"/>
    <s v="JUL"/>
    <x v="32"/>
    <s v="GRSM 1"/>
    <x v="3"/>
    <s v="MT"/>
    <n v="122506"/>
    <n v="202879"/>
    <x v="29"/>
    <x v="61"/>
    <s v="AGLIO OLIO"/>
    <n v="6400"/>
    <n v="22"/>
    <n v="140800"/>
    <m/>
  </r>
  <r>
    <x v="9"/>
    <s v="JUL"/>
    <x v="32"/>
    <s v="GRSM 1"/>
    <x v="3"/>
    <s v="MT"/>
    <n v="122506"/>
    <n v="202879"/>
    <x v="29"/>
    <x v="61"/>
    <s v="GORENG"/>
    <n v="6400"/>
    <n v="87"/>
    <n v="556800"/>
    <n v="160"/>
  </r>
  <r>
    <x v="9"/>
    <s v="JUL"/>
    <x v="32"/>
    <s v="GRSM 1"/>
    <x v="3"/>
    <s v="MT"/>
    <n v="122506"/>
    <n v="202816"/>
    <x v="30"/>
    <x v="66"/>
    <s v="BOLOGNESE"/>
    <n v="7000"/>
    <n v="43"/>
    <n v="301000"/>
    <m/>
  </r>
  <r>
    <x v="9"/>
    <s v="JUL"/>
    <x v="32"/>
    <s v="GRSM 1"/>
    <x v="3"/>
    <s v="MT"/>
    <n v="122506"/>
    <n v="202816"/>
    <x v="30"/>
    <x v="66"/>
    <s v="CARBONARA"/>
    <n v="7000"/>
    <n v="52"/>
    <n v="364000"/>
    <m/>
  </r>
  <r>
    <x v="9"/>
    <s v="JUL"/>
    <x v="32"/>
    <s v="GRSM 1"/>
    <x v="3"/>
    <s v="MT"/>
    <n v="122506"/>
    <n v="202816"/>
    <x v="30"/>
    <x v="66"/>
    <s v="AGLIO OLIO"/>
    <n v="7000"/>
    <n v="14"/>
    <n v="98000"/>
    <m/>
  </r>
  <r>
    <x v="9"/>
    <s v="JUL"/>
    <x v="32"/>
    <s v="GRSM 1"/>
    <x v="3"/>
    <s v="MT"/>
    <n v="122506"/>
    <n v="202816"/>
    <x v="30"/>
    <x v="66"/>
    <s v="GORENG"/>
    <n v="7000"/>
    <n v="66"/>
    <n v="462000"/>
    <n v="160"/>
  </r>
  <r>
    <x v="9"/>
    <s v="JUL"/>
    <x v="32"/>
    <s v="GRSM 1"/>
    <x v="3"/>
    <s v="MT"/>
    <n v="122506"/>
    <n v="202816"/>
    <x v="30"/>
    <x v="67"/>
    <s v="BOLOGNESE"/>
    <n v="7000"/>
    <n v="43"/>
    <n v="301000"/>
    <m/>
  </r>
  <r>
    <x v="9"/>
    <s v="JUL"/>
    <x v="32"/>
    <s v="GRSM 1"/>
    <x v="3"/>
    <s v="MT"/>
    <n v="122506"/>
    <n v="202816"/>
    <x v="30"/>
    <x v="67"/>
    <s v="CARBONARA"/>
    <n v="7000"/>
    <n v="52"/>
    <n v="364000"/>
    <m/>
  </r>
  <r>
    <x v="9"/>
    <s v="JUL"/>
    <x v="32"/>
    <s v="GRSM 1"/>
    <x v="3"/>
    <s v="MT"/>
    <n v="122506"/>
    <n v="202816"/>
    <x v="30"/>
    <x v="67"/>
    <s v="AGLIO OLIO"/>
    <n v="7000"/>
    <n v="14"/>
    <n v="98000"/>
    <m/>
  </r>
  <r>
    <x v="9"/>
    <s v="JUL"/>
    <x v="32"/>
    <s v="GRSM 1"/>
    <x v="3"/>
    <s v="MT"/>
    <n v="122506"/>
    <n v="202816"/>
    <x v="30"/>
    <x v="67"/>
    <s v="GORENG"/>
    <n v="7000"/>
    <n v="66"/>
    <n v="462000"/>
    <n v="160"/>
  </r>
  <r>
    <x v="9"/>
    <s v="JUL"/>
    <x v="32"/>
    <s v="GRSM 1"/>
    <x v="3"/>
    <s v="MT"/>
    <n v="122506"/>
    <n v="214422"/>
    <x v="31"/>
    <x v="65"/>
    <s v="BOLOGNESE"/>
    <n v="3200"/>
    <n v="40"/>
    <n v="128000"/>
    <m/>
  </r>
  <r>
    <x v="9"/>
    <s v="JUL"/>
    <x v="32"/>
    <s v="GRSM 1"/>
    <x v="3"/>
    <s v="MT"/>
    <n v="122506"/>
    <n v="214422"/>
    <x v="31"/>
    <x v="65"/>
    <s v="CARBONARA"/>
    <n v="3200"/>
    <n v="42"/>
    <n v="134400"/>
    <m/>
  </r>
  <r>
    <x v="9"/>
    <s v="JUL"/>
    <x v="32"/>
    <s v="GRSM 1"/>
    <x v="3"/>
    <s v="MT"/>
    <n v="122506"/>
    <n v="214422"/>
    <x v="31"/>
    <x v="65"/>
    <s v="AGLIO OLIO"/>
    <n v="3200"/>
    <n v="80"/>
    <n v="256000"/>
    <m/>
  </r>
  <r>
    <x v="9"/>
    <s v="JUL"/>
    <x v="32"/>
    <s v="GRSM 1"/>
    <x v="3"/>
    <s v="MT"/>
    <n v="122506"/>
    <n v="214422"/>
    <x v="31"/>
    <x v="65"/>
    <s v="GORENG"/>
    <n v="3200"/>
    <n v="84"/>
    <n v="268800"/>
    <n v="160"/>
  </r>
  <r>
    <x v="9"/>
    <s v="JUL"/>
    <x v="32"/>
    <s v="GRSM 1"/>
    <x v="3"/>
    <s v="MT"/>
    <n v="122506"/>
    <n v="214422"/>
    <x v="31"/>
    <x v="64"/>
    <s v="BOLOGNESE"/>
    <n v="3200"/>
    <n v="40"/>
    <n v="128000"/>
    <m/>
  </r>
  <r>
    <x v="9"/>
    <s v="JUL"/>
    <x v="32"/>
    <s v="GRSM 1"/>
    <x v="3"/>
    <s v="MT"/>
    <n v="122506"/>
    <n v="214422"/>
    <x v="31"/>
    <x v="64"/>
    <s v="CARBONARA"/>
    <n v="3200"/>
    <n v="42"/>
    <n v="134400"/>
    <m/>
  </r>
  <r>
    <x v="9"/>
    <s v="JUL"/>
    <x v="32"/>
    <s v="GRSM 1"/>
    <x v="3"/>
    <s v="MT"/>
    <n v="122506"/>
    <n v="214422"/>
    <x v="31"/>
    <x v="64"/>
    <s v="AGLIO OLIO"/>
    <n v="3200"/>
    <n v="80"/>
    <n v="256000"/>
    <m/>
  </r>
  <r>
    <x v="9"/>
    <s v="JUL"/>
    <x v="32"/>
    <s v="GRSM 1"/>
    <x v="3"/>
    <s v="MT"/>
    <n v="122506"/>
    <n v="214422"/>
    <x v="31"/>
    <x v="64"/>
    <s v="GORENG"/>
    <n v="3200"/>
    <n v="84"/>
    <n v="268800"/>
    <n v="160"/>
  </r>
  <r>
    <x v="9"/>
    <s v="JUL"/>
    <x v="32"/>
    <s v="GRSM 2"/>
    <x v="3"/>
    <s v="MT"/>
    <n v="175700"/>
    <n v="1370001"/>
    <x v="33"/>
    <x v="68"/>
    <s v="BOLOGNESE"/>
    <n v="2210"/>
    <n v="80"/>
    <n v="176800"/>
    <m/>
  </r>
  <r>
    <x v="9"/>
    <s v="JUL"/>
    <x v="32"/>
    <s v="GRSM 2"/>
    <x v="3"/>
    <s v="MT"/>
    <n v="175700"/>
    <n v="1370001"/>
    <x v="33"/>
    <x v="68"/>
    <s v="CARBONARA"/>
    <n v="2210"/>
    <n v="120"/>
    <n v="265200"/>
    <m/>
  </r>
  <r>
    <x v="9"/>
    <s v="JUL"/>
    <x v="32"/>
    <s v="GRSM 2"/>
    <x v="3"/>
    <s v="MT"/>
    <n v="175700"/>
    <n v="1370001"/>
    <x v="33"/>
    <x v="68"/>
    <s v="AGLIO OLIO"/>
    <n v="2210"/>
    <n v="80"/>
    <n v="176800"/>
    <m/>
  </r>
  <r>
    <x v="9"/>
    <s v="JUL"/>
    <x v="32"/>
    <s v="GRSM 2"/>
    <x v="3"/>
    <s v="MT"/>
    <n v="175700"/>
    <n v="1370001"/>
    <x v="33"/>
    <x v="68"/>
    <s v="GORENG"/>
    <n v="2210"/>
    <n v="120"/>
    <n v="265200"/>
    <n v="90"/>
  </r>
  <r>
    <x v="9"/>
    <s v="JUL"/>
    <x v="32"/>
    <s v="GRSM 2"/>
    <x v="3"/>
    <s v="MT"/>
    <n v="175700"/>
    <n v="1370001"/>
    <x v="33"/>
    <x v="69"/>
    <s v="BOLOGNESE"/>
    <n v="2210"/>
    <n v="80"/>
    <n v="176800"/>
    <m/>
  </r>
  <r>
    <x v="9"/>
    <s v="JUL"/>
    <x v="32"/>
    <s v="GRSM 2"/>
    <x v="3"/>
    <s v="MT"/>
    <n v="175700"/>
    <n v="1370001"/>
    <x v="33"/>
    <x v="69"/>
    <s v="CARBONARA"/>
    <n v="2210"/>
    <n v="120"/>
    <n v="265200"/>
    <m/>
  </r>
  <r>
    <x v="9"/>
    <s v="JUL"/>
    <x v="32"/>
    <s v="GRSM 2"/>
    <x v="3"/>
    <s v="MT"/>
    <n v="175700"/>
    <n v="1370001"/>
    <x v="33"/>
    <x v="69"/>
    <s v="AGLIO OLIO"/>
    <n v="2210"/>
    <n v="80"/>
    <n v="176800"/>
    <m/>
  </r>
  <r>
    <x v="9"/>
    <s v="JUL"/>
    <x v="32"/>
    <s v="GRSM 2"/>
    <x v="3"/>
    <s v="MT"/>
    <n v="175700"/>
    <n v="1370001"/>
    <x v="33"/>
    <x v="69"/>
    <s v="GORENG"/>
    <n v="2210"/>
    <n v="120"/>
    <n v="265200"/>
    <n v="90"/>
  </r>
  <r>
    <x v="9"/>
    <s v="JUL"/>
    <x v="32"/>
    <s v="GRSM 6"/>
    <x v="2"/>
    <s v="GMM"/>
    <n v="211033"/>
    <n v="6467246"/>
    <x v="21"/>
    <x v="42"/>
    <s v="BOLOGNESE"/>
    <n v="3100"/>
    <n v="113"/>
    <n v="350300"/>
    <m/>
  </r>
  <r>
    <x v="9"/>
    <s v="JUL"/>
    <x v="32"/>
    <s v="GRSM 6"/>
    <x v="2"/>
    <s v="GMM"/>
    <n v="211033"/>
    <n v="6467246"/>
    <x v="21"/>
    <x v="42"/>
    <s v="CARBONARA"/>
    <n v="3100"/>
    <n v="149"/>
    <n v="461900"/>
    <m/>
  </r>
  <r>
    <x v="9"/>
    <s v="JUL"/>
    <x v="32"/>
    <s v="GRSM 6"/>
    <x v="2"/>
    <s v="GMM"/>
    <n v="211033"/>
    <n v="6467246"/>
    <x v="21"/>
    <x v="42"/>
    <s v="AGLIO OLIO"/>
    <n v="3100"/>
    <n v="142"/>
    <n v="440200"/>
    <m/>
  </r>
  <r>
    <x v="9"/>
    <s v="JUL"/>
    <x v="32"/>
    <s v="GRSM 6"/>
    <x v="2"/>
    <s v="GMM"/>
    <n v="211033"/>
    <n v="6467246"/>
    <x v="21"/>
    <x v="42"/>
    <s v="GORENG"/>
    <n v="3100"/>
    <n v="313"/>
    <n v="970300"/>
    <n v="160"/>
  </r>
  <r>
    <x v="9"/>
    <s v="JUL"/>
    <x v="32"/>
    <s v="GRSM 6"/>
    <x v="2"/>
    <s v="GMM"/>
    <n v="211033"/>
    <n v="6467246"/>
    <x v="21"/>
    <x v="43"/>
    <s v="BOLOGNESE"/>
    <n v="3100"/>
    <n v="113"/>
    <n v="350300"/>
    <m/>
  </r>
  <r>
    <x v="9"/>
    <s v="JUL"/>
    <x v="32"/>
    <s v="GRSM 6"/>
    <x v="2"/>
    <s v="GMM"/>
    <n v="211033"/>
    <n v="6467246"/>
    <x v="21"/>
    <x v="43"/>
    <s v="CARBONARA"/>
    <n v="3100"/>
    <n v="149"/>
    <n v="461900"/>
    <m/>
  </r>
  <r>
    <x v="9"/>
    <s v="JUL"/>
    <x v="32"/>
    <s v="GRSM 6"/>
    <x v="2"/>
    <s v="GMM"/>
    <n v="211033"/>
    <n v="6467246"/>
    <x v="21"/>
    <x v="43"/>
    <s v="AGLIO OLIO"/>
    <n v="3100"/>
    <n v="142"/>
    <n v="440200"/>
    <m/>
  </r>
  <r>
    <x v="9"/>
    <s v="JUL"/>
    <x v="32"/>
    <s v="GRSM 6"/>
    <x v="2"/>
    <s v="GMM"/>
    <n v="211033"/>
    <n v="6467246"/>
    <x v="21"/>
    <x v="43"/>
    <s v="GORENG"/>
    <n v="3100"/>
    <n v="313"/>
    <n v="970300"/>
    <n v="160"/>
  </r>
  <r>
    <x v="9"/>
    <s v="JUL"/>
    <x v="32"/>
    <s v="GRSM 6"/>
    <x v="2"/>
    <s v="GMM"/>
    <n v="211163"/>
    <n v="3703215"/>
    <x v="23"/>
    <x v="46"/>
    <s v="BOLOGNESE"/>
    <n v="3000"/>
    <n v="107"/>
    <n v="321000"/>
    <m/>
  </r>
  <r>
    <x v="9"/>
    <s v="JUL"/>
    <x v="32"/>
    <s v="GRSM 6"/>
    <x v="2"/>
    <s v="GMM"/>
    <n v="211163"/>
    <n v="3703215"/>
    <x v="23"/>
    <x v="46"/>
    <s v="CARBONARA"/>
    <n v="3000"/>
    <n v="79"/>
    <n v="237000"/>
    <m/>
  </r>
  <r>
    <x v="9"/>
    <s v="JUL"/>
    <x v="32"/>
    <s v="GRSM 6"/>
    <x v="2"/>
    <s v="GMM"/>
    <n v="211163"/>
    <n v="3703215"/>
    <x v="23"/>
    <x v="46"/>
    <s v="AGLIO OLIO"/>
    <n v="3000"/>
    <n v="0"/>
    <n v="0"/>
    <m/>
  </r>
  <r>
    <x v="9"/>
    <s v="JUL"/>
    <x v="32"/>
    <s v="GRSM 6"/>
    <x v="2"/>
    <s v="GMM"/>
    <n v="211163"/>
    <n v="3703215"/>
    <x v="23"/>
    <x v="46"/>
    <s v="GORENG"/>
    <n v="3000"/>
    <n v="165"/>
    <n v="495000"/>
    <n v="82"/>
  </r>
  <r>
    <x v="9"/>
    <s v="JUL"/>
    <x v="32"/>
    <s v="GRSM 6"/>
    <x v="2"/>
    <s v="GMM"/>
    <n v="211163"/>
    <n v="3703215"/>
    <x v="23"/>
    <x v="47"/>
    <s v="BOLOGNESE"/>
    <n v="3000"/>
    <n v="107"/>
    <n v="321000"/>
    <m/>
  </r>
  <r>
    <x v="9"/>
    <s v="JUL"/>
    <x v="32"/>
    <s v="GRSM 6"/>
    <x v="2"/>
    <s v="GMM"/>
    <n v="211163"/>
    <n v="3703215"/>
    <x v="23"/>
    <x v="47"/>
    <s v="CARBONARA"/>
    <n v="3000"/>
    <n v="79"/>
    <n v="237000"/>
    <m/>
  </r>
  <r>
    <x v="9"/>
    <s v="JUL"/>
    <x v="32"/>
    <s v="GRSM 6"/>
    <x v="2"/>
    <s v="GMM"/>
    <n v="211163"/>
    <n v="3703215"/>
    <x v="23"/>
    <x v="47"/>
    <s v="AGLIO OLIO"/>
    <n v="3000"/>
    <n v="0"/>
    <n v="0"/>
    <m/>
  </r>
  <r>
    <x v="9"/>
    <s v="JUL"/>
    <x v="32"/>
    <s v="GRSM 6"/>
    <x v="2"/>
    <s v="GMM"/>
    <n v="211163"/>
    <n v="3703215"/>
    <x v="23"/>
    <x v="47"/>
    <s v="GORENG"/>
    <n v="3000"/>
    <n v="165"/>
    <n v="495000"/>
    <n v="82"/>
  </r>
  <r>
    <x v="9"/>
    <s v="JUL"/>
    <x v="32"/>
    <s v="GRSM 6"/>
    <x v="2"/>
    <s v="GMM"/>
    <n v="211139"/>
    <n v="3604550"/>
    <x v="26"/>
    <x v="53"/>
    <s v="BOLOGNESE"/>
    <n v="2800"/>
    <n v="78"/>
    <n v="218400"/>
    <m/>
  </r>
  <r>
    <x v="9"/>
    <s v="JUL"/>
    <x v="32"/>
    <s v="GRSM 6"/>
    <x v="2"/>
    <s v="GMM"/>
    <n v="211139"/>
    <n v="3604550"/>
    <x v="26"/>
    <x v="53"/>
    <s v="CARBONARA"/>
    <n v="2800"/>
    <n v="112"/>
    <n v="313600"/>
    <m/>
  </r>
  <r>
    <x v="9"/>
    <s v="JUL"/>
    <x v="32"/>
    <s v="GRSM 6"/>
    <x v="2"/>
    <s v="GMM"/>
    <n v="211139"/>
    <n v="3604550"/>
    <x v="26"/>
    <x v="53"/>
    <s v="AGLIO OLIO"/>
    <n v="2800"/>
    <n v="58"/>
    <n v="162400"/>
    <m/>
  </r>
  <r>
    <x v="9"/>
    <s v="JUL"/>
    <x v="32"/>
    <s v="GRSM 6"/>
    <x v="2"/>
    <s v="GMM"/>
    <n v="211139"/>
    <n v="3604550"/>
    <x v="26"/>
    <x v="53"/>
    <s v="GORENG"/>
    <n v="2800"/>
    <n v="186"/>
    <n v="520800"/>
    <n v="160"/>
  </r>
  <r>
    <x v="9"/>
    <s v="JUL"/>
    <x v="32"/>
    <s v="GRSM 6"/>
    <x v="2"/>
    <s v="GMM"/>
    <n v="211139"/>
    <n v="3604550"/>
    <x v="26"/>
    <x v="52"/>
    <s v="BOLOGNESE"/>
    <n v="2800"/>
    <n v="78"/>
    <n v="218400"/>
    <m/>
  </r>
  <r>
    <x v="9"/>
    <s v="JUL"/>
    <x v="32"/>
    <s v="GRSM 6"/>
    <x v="2"/>
    <s v="GMM"/>
    <n v="211139"/>
    <n v="3604550"/>
    <x v="26"/>
    <x v="52"/>
    <s v="CARBONARA"/>
    <n v="2800"/>
    <n v="112"/>
    <n v="313600"/>
    <m/>
  </r>
  <r>
    <x v="9"/>
    <s v="JUL"/>
    <x v="32"/>
    <s v="GRSM 6"/>
    <x v="2"/>
    <s v="GMM"/>
    <n v="211139"/>
    <n v="3604550"/>
    <x v="26"/>
    <x v="52"/>
    <s v="AGLIO OLIO"/>
    <n v="2800"/>
    <n v="58"/>
    <n v="162400"/>
    <m/>
  </r>
  <r>
    <x v="9"/>
    <s v="JUL"/>
    <x v="32"/>
    <s v="GRSM 6"/>
    <x v="2"/>
    <s v="GMM"/>
    <n v="211139"/>
    <n v="3604550"/>
    <x v="26"/>
    <x v="52"/>
    <s v="GORENG"/>
    <n v="2800"/>
    <n v="186"/>
    <n v="520800"/>
    <n v="160"/>
  </r>
  <r>
    <x v="9"/>
    <s v="JUL"/>
    <x v="32"/>
    <s v="GRSM 6"/>
    <x v="2"/>
    <s v="GMM"/>
    <n v="211033"/>
    <n v="2001021"/>
    <x v="27"/>
    <x v="54"/>
    <s v="BOLOGNESE"/>
    <n v="3000"/>
    <n v="65"/>
    <n v="195000"/>
    <m/>
  </r>
  <r>
    <x v="9"/>
    <s v="JUL"/>
    <x v="32"/>
    <s v="GRSM 6"/>
    <x v="2"/>
    <s v="GMM"/>
    <n v="211033"/>
    <n v="2001021"/>
    <x v="27"/>
    <x v="54"/>
    <s v="CARBONARA"/>
    <n v="3000"/>
    <n v="68"/>
    <n v="204000"/>
    <m/>
  </r>
  <r>
    <x v="9"/>
    <s v="JUL"/>
    <x v="32"/>
    <s v="GRSM 6"/>
    <x v="2"/>
    <s v="GMM"/>
    <n v="211033"/>
    <n v="2001021"/>
    <x v="27"/>
    <x v="54"/>
    <s v="AGLIO OLIO"/>
    <n v="3000"/>
    <n v="55"/>
    <n v="165000"/>
    <m/>
  </r>
  <r>
    <x v="9"/>
    <s v="JUL"/>
    <x v="32"/>
    <s v="GRSM 6"/>
    <x v="2"/>
    <s v="GMM"/>
    <n v="211033"/>
    <n v="2001021"/>
    <x v="27"/>
    <x v="54"/>
    <s v="GORENG"/>
    <n v="3000"/>
    <n v="214"/>
    <n v="642000"/>
    <n v="160"/>
  </r>
  <r>
    <x v="9"/>
    <s v="JUL"/>
    <x v="32"/>
    <s v="GRSM 6"/>
    <x v="2"/>
    <s v="GMM"/>
    <n v="211033"/>
    <n v="2001021"/>
    <x v="27"/>
    <x v="55"/>
    <s v="BOLOGNESE"/>
    <n v="3000"/>
    <n v="65"/>
    <n v="195000"/>
    <m/>
  </r>
  <r>
    <x v="9"/>
    <s v="JUL"/>
    <x v="32"/>
    <s v="GRSM 6"/>
    <x v="2"/>
    <s v="GMM"/>
    <n v="211033"/>
    <n v="2001021"/>
    <x v="27"/>
    <x v="55"/>
    <s v="CARBONARA"/>
    <n v="3000"/>
    <n v="68"/>
    <n v="204000"/>
    <m/>
  </r>
  <r>
    <x v="9"/>
    <s v="JUL"/>
    <x v="32"/>
    <s v="GRSM 6"/>
    <x v="2"/>
    <s v="GMM"/>
    <n v="211033"/>
    <n v="2001021"/>
    <x v="27"/>
    <x v="55"/>
    <s v="AGLIO OLIO"/>
    <n v="3000"/>
    <n v="55"/>
    <n v="165000"/>
    <m/>
  </r>
  <r>
    <x v="9"/>
    <s v="JUL"/>
    <x v="32"/>
    <s v="GRSM 6"/>
    <x v="2"/>
    <s v="GMM"/>
    <n v="211033"/>
    <n v="2001021"/>
    <x v="27"/>
    <x v="55"/>
    <s v="GORENG"/>
    <n v="3000"/>
    <n v="214"/>
    <n v="642000"/>
    <n v="160"/>
  </r>
  <r>
    <x v="9"/>
    <s v="JUL"/>
    <x v="32"/>
    <s v="GRSM 6"/>
    <x v="2"/>
    <s v="GMM"/>
    <n v="211163"/>
    <n v="3703219"/>
    <x v="22"/>
    <x v="45"/>
    <s v="BOLOGNESE"/>
    <n v="2900"/>
    <n v="0"/>
    <n v="0"/>
    <m/>
  </r>
  <r>
    <x v="9"/>
    <s v="JUL"/>
    <x v="32"/>
    <s v="GRSM 6"/>
    <x v="2"/>
    <s v="GMM"/>
    <n v="211163"/>
    <n v="3703219"/>
    <x v="22"/>
    <x v="45"/>
    <s v="CARBONARA"/>
    <n v="2900"/>
    <n v="193"/>
    <n v="559700"/>
    <m/>
  </r>
  <r>
    <x v="9"/>
    <s v="JUL"/>
    <x v="32"/>
    <s v="GRSM 6"/>
    <x v="2"/>
    <s v="GMM"/>
    <n v="211163"/>
    <n v="3703219"/>
    <x v="22"/>
    <x v="45"/>
    <s v="AGLIO OLIO"/>
    <n v="2900"/>
    <n v="0"/>
    <n v="0"/>
    <m/>
  </r>
  <r>
    <x v="9"/>
    <s v="JUL"/>
    <x v="32"/>
    <s v="GRSM 6"/>
    <x v="2"/>
    <s v="GMM"/>
    <n v="211163"/>
    <n v="3703219"/>
    <x v="22"/>
    <x v="45"/>
    <s v="GORENG"/>
    <n v="2900"/>
    <n v="375"/>
    <n v="1087500"/>
    <n v="160"/>
  </r>
  <r>
    <x v="9"/>
    <s v="JUL"/>
    <x v="32"/>
    <s v="GRSM 6"/>
    <x v="2"/>
    <s v="GMM"/>
    <n v="211163"/>
    <n v="3703219"/>
    <x v="22"/>
    <x v="44"/>
    <s v="BOLOGNESE"/>
    <n v="2900"/>
    <n v="0"/>
    <n v="0"/>
    <m/>
  </r>
  <r>
    <x v="9"/>
    <s v="JUL"/>
    <x v="32"/>
    <s v="GRSM 6"/>
    <x v="2"/>
    <s v="GMM"/>
    <n v="211163"/>
    <n v="3703219"/>
    <x v="22"/>
    <x v="44"/>
    <s v="CARBONARA"/>
    <n v="2900"/>
    <n v="193"/>
    <n v="559700"/>
    <m/>
  </r>
  <r>
    <x v="9"/>
    <s v="JUL"/>
    <x v="32"/>
    <s v="GRSM 6"/>
    <x v="2"/>
    <s v="GMM"/>
    <n v="211163"/>
    <n v="3703219"/>
    <x v="22"/>
    <x v="44"/>
    <s v="AGLIO OLIO"/>
    <n v="2900"/>
    <n v="0"/>
    <n v="0"/>
    <m/>
  </r>
  <r>
    <x v="9"/>
    <s v="JUL"/>
    <x v="32"/>
    <s v="GRSM 6"/>
    <x v="2"/>
    <s v="GMM"/>
    <n v="211163"/>
    <n v="3703219"/>
    <x v="22"/>
    <x v="44"/>
    <s v="GORENG"/>
    <n v="2900"/>
    <n v="375"/>
    <n v="1087500"/>
    <n v="160"/>
  </r>
  <r>
    <x v="9"/>
    <s v="AUG"/>
    <x v="33"/>
    <s v="GRSM 1"/>
    <x v="3"/>
    <s v="MT"/>
    <n v="122506"/>
    <n v="202879"/>
    <x v="29"/>
    <x v="60"/>
    <s v="BOLOGNESE"/>
    <n v="6400"/>
    <n v="37"/>
    <n v="236800"/>
    <m/>
  </r>
  <r>
    <x v="9"/>
    <s v="AUG"/>
    <x v="33"/>
    <s v="GRSM 1"/>
    <x v="3"/>
    <s v="MT"/>
    <n v="122506"/>
    <n v="202879"/>
    <x v="29"/>
    <x v="60"/>
    <s v="CARBONARA"/>
    <n v="6400"/>
    <n v="40"/>
    <n v="256000"/>
    <m/>
  </r>
  <r>
    <x v="9"/>
    <s v="AUG"/>
    <x v="33"/>
    <s v="GRSM 1"/>
    <x v="3"/>
    <s v="MT"/>
    <n v="122506"/>
    <n v="202879"/>
    <x v="29"/>
    <x v="60"/>
    <s v="AGLIO OLIO"/>
    <n v="6400"/>
    <n v="51"/>
    <n v="326400"/>
    <m/>
  </r>
  <r>
    <x v="9"/>
    <s v="AUG"/>
    <x v="33"/>
    <s v="GRSM 1"/>
    <x v="3"/>
    <s v="MT"/>
    <n v="122506"/>
    <n v="202879"/>
    <x v="29"/>
    <x v="60"/>
    <s v="GORENG"/>
    <n v="6400"/>
    <n v="87"/>
    <n v="556800"/>
    <n v="160"/>
  </r>
  <r>
    <x v="9"/>
    <s v="AUG"/>
    <x v="33"/>
    <s v="GRSM 1"/>
    <x v="3"/>
    <s v="MT"/>
    <n v="122506"/>
    <n v="202879"/>
    <x v="29"/>
    <x v="61"/>
    <s v="BOLOGNESE"/>
    <n v="6400"/>
    <n v="37"/>
    <n v="236800"/>
    <m/>
  </r>
  <r>
    <x v="9"/>
    <s v="AUG"/>
    <x v="33"/>
    <s v="GRSM 1"/>
    <x v="3"/>
    <s v="MT"/>
    <n v="122506"/>
    <n v="202879"/>
    <x v="29"/>
    <x v="61"/>
    <s v="CARBONARA"/>
    <n v="6400"/>
    <n v="40"/>
    <n v="256000"/>
    <m/>
  </r>
  <r>
    <x v="9"/>
    <s v="AUG"/>
    <x v="33"/>
    <s v="GRSM 1"/>
    <x v="3"/>
    <s v="MT"/>
    <n v="122506"/>
    <n v="202879"/>
    <x v="29"/>
    <x v="61"/>
    <s v="AGLIO OLIO"/>
    <n v="6400"/>
    <n v="51"/>
    <n v="326400"/>
    <m/>
  </r>
  <r>
    <x v="9"/>
    <s v="AUG"/>
    <x v="33"/>
    <s v="GRSM 1"/>
    <x v="3"/>
    <s v="MT"/>
    <n v="122506"/>
    <n v="202879"/>
    <x v="29"/>
    <x v="61"/>
    <s v="GORENG"/>
    <n v="6400"/>
    <n v="87"/>
    <n v="556800"/>
    <n v="160"/>
  </r>
  <r>
    <x v="9"/>
    <s v="AUG"/>
    <x v="33"/>
    <s v="GRSM 2"/>
    <x v="3"/>
    <s v="MT"/>
    <n v="175700"/>
    <n v="1370001"/>
    <x v="33"/>
    <x v="68"/>
    <s v="BOLOGNESE"/>
    <n v="2210"/>
    <n v="120"/>
    <n v="265200"/>
    <m/>
  </r>
  <r>
    <x v="9"/>
    <s v="AUG"/>
    <x v="33"/>
    <s v="GRSM 2"/>
    <x v="3"/>
    <s v="MT"/>
    <n v="175700"/>
    <n v="1370001"/>
    <x v="33"/>
    <x v="68"/>
    <s v="CARBONARA"/>
    <n v="2210"/>
    <n v="120"/>
    <n v="265200"/>
    <m/>
  </r>
  <r>
    <x v="9"/>
    <s v="AUG"/>
    <x v="33"/>
    <s v="GRSM 2"/>
    <x v="3"/>
    <s v="MT"/>
    <n v="175700"/>
    <n v="1370001"/>
    <x v="33"/>
    <x v="68"/>
    <s v="AGLIO OLIO"/>
    <n v="2210"/>
    <n v="80"/>
    <n v="176800"/>
    <m/>
  </r>
  <r>
    <x v="9"/>
    <s v="AUG"/>
    <x v="33"/>
    <s v="GRSM 2"/>
    <x v="3"/>
    <s v="MT"/>
    <n v="175700"/>
    <n v="1370001"/>
    <x v="33"/>
    <x v="68"/>
    <s v="GORENG"/>
    <n v="2210"/>
    <n v="180"/>
    <n v="397800"/>
    <n v="96"/>
  </r>
  <r>
    <x v="9"/>
    <s v="AUG"/>
    <x v="33"/>
    <s v="GRSM 2"/>
    <x v="3"/>
    <s v="MT"/>
    <n v="175700"/>
    <n v="1370001"/>
    <x v="33"/>
    <x v="69"/>
    <s v="BOLOGNESE"/>
    <n v="2210"/>
    <n v="120"/>
    <n v="265200"/>
    <m/>
  </r>
  <r>
    <x v="9"/>
    <s v="AUG"/>
    <x v="33"/>
    <s v="GRSM 2"/>
    <x v="3"/>
    <s v="MT"/>
    <n v="175700"/>
    <n v="1370001"/>
    <x v="33"/>
    <x v="69"/>
    <s v="CARBONARA"/>
    <n v="2210"/>
    <n v="120"/>
    <n v="265200"/>
    <m/>
  </r>
  <r>
    <x v="9"/>
    <s v="AUG"/>
    <x v="33"/>
    <s v="GRSM 2"/>
    <x v="3"/>
    <s v="MT"/>
    <n v="175700"/>
    <n v="1370001"/>
    <x v="33"/>
    <x v="69"/>
    <s v="AGLIO OLIO"/>
    <n v="2210"/>
    <n v="80"/>
    <n v="176800"/>
    <m/>
  </r>
  <r>
    <x v="9"/>
    <s v="AUG"/>
    <x v="33"/>
    <s v="GRSM 2"/>
    <x v="3"/>
    <s v="MT"/>
    <n v="175700"/>
    <n v="1370001"/>
    <x v="33"/>
    <x v="69"/>
    <s v="GORENG"/>
    <n v="2210"/>
    <n v="180"/>
    <n v="397800"/>
    <n v="96"/>
  </r>
  <r>
    <x v="9"/>
    <s v="AUG"/>
    <x v="33"/>
    <s v="GRSM 1"/>
    <x v="3"/>
    <s v="MT"/>
    <n v="122506"/>
    <n v="202816"/>
    <x v="30"/>
    <x v="66"/>
    <s v="BOLOGNESE"/>
    <n v="7000"/>
    <n v="31"/>
    <n v="217000"/>
    <m/>
  </r>
  <r>
    <x v="9"/>
    <s v="AUG"/>
    <x v="33"/>
    <s v="GRSM 1"/>
    <x v="3"/>
    <s v="MT"/>
    <n v="122506"/>
    <n v="202816"/>
    <x v="30"/>
    <x v="66"/>
    <s v="CARBONARA"/>
    <n v="7000"/>
    <n v="42"/>
    <n v="294000"/>
    <m/>
  </r>
  <r>
    <x v="9"/>
    <s v="AUG"/>
    <x v="33"/>
    <s v="GRSM 1"/>
    <x v="3"/>
    <s v="MT"/>
    <n v="122506"/>
    <n v="202816"/>
    <x v="30"/>
    <x v="66"/>
    <s v="AGLIO OLIO"/>
    <n v="7000"/>
    <n v="11"/>
    <n v="77000"/>
    <m/>
  </r>
  <r>
    <x v="9"/>
    <s v="AUG"/>
    <x v="33"/>
    <s v="GRSM 1"/>
    <x v="3"/>
    <s v="MT"/>
    <n v="122506"/>
    <n v="202816"/>
    <x v="30"/>
    <x v="66"/>
    <s v="GORENG"/>
    <n v="7000"/>
    <n v="49"/>
    <n v="343000"/>
    <n v="160"/>
  </r>
  <r>
    <x v="9"/>
    <s v="AUG"/>
    <x v="33"/>
    <s v="GRSM 1"/>
    <x v="3"/>
    <s v="MT"/>
    <n v="122506"/>
    <n v="202816"/>
    <x v="30"/>
    <x v="67"/>
    <s v="BOLOGNESE"/>
    <n v="7000"/>
    <n v="31"/>
    <n v="217000"/>
    <m/>
  </r>
  <r>
    <x v="9"/>
    <s v="AUG"/>
    <x v="33"/>
    <s v="GRSM 1"/>
    <x v="3"/>
    <s v="MT"/>
    <n v="122506"/>
    <n v="202816"/>
    <x v="30"/>
    <x v="67"/>
    <s v="CARBONARA"/>
    <n v="7000"/>
    <n v="42"/>
    <n v="294000"/>
    <m/>
  </r>
  <r>
    <x v="9"/>
    <s v="AUG"/>
    <x v="33"/>
    <s v="GRSM 1"/>
    <x v="3"/>
    <s v="MT"/>
    <n v="122506"/>
    <n v="202816"/>
    <x v="30"/>
    <x v="67"/>
    <s v="AGLIO OLIO"/>
    <n v="7000"/>
    <n v="11"/>
    <n v="77000"/>
    <m/>
  </r>
  <r>
    <x v="9"/>
    <s v="AUG"/>
    <x v="33"/>
    <s v="GRSM 1"/>
    <x v="3"/>
    <s v="MT"/>
    <n v="122506"/>
    <n v="202816"/>
    <x v="30"/>
    <x v="67"/>
    <s v="GORENG"/>
    <n v="7000"/>
    <n v="49"/>
    <n v="343000"/>
    <n v="160"/>
  </r>
  <r>
    <x v="9"/>
    <s v="AUG"/>
    <x v="33"/>
    <s v="GRSM 1"/>
    <x v="3"/>
    <s v="MT"/>
    <n v="122506"/>
    <n v="214300"/>
    <x v="32"/>
    <x v="62"/>
    <s v="BOLOGNESE"/>
    <n v="7000"/>
    <n v="30"/>
    <n v="210000"/>
    <m/>
  </r>
  <r>
    <x v="9"/>
    <s v="AUG"/>
    <x v="33"/>
    <s v="GRSM 1"/>
    <x v="3"/>
    <s v="MT"/>
    <n v="122506"/>
    <n v="214300"/>
    <x v="32"/>
    <x v="62"/>
    <s v="CARBONARA"/>
    <n v="7000"/>
    <n v="40"/>
    <n v="280000"/>
    <m/>
  </r>
  <r>
    <x v="9"/>
    <s v="AUG"/>
    <x v="33"/>
    <s v="GRSM 1"/>
    <x v="3"/>
    <s v="MT"/>
    <n v="122506"/>
    <n v="214300"/>
    <x v="32"/>
    <x v="62"/>
    <s v="AGLIO OLIO"/>
    <n v="7000"/>
    <n v="28"/>
    <n v="196000"/>
    <m/>
  </r>
  <r>
    <x v="9"/>
    <s v="AUG"/>
    <x v="33"/>
    <s v="GRSM 1"/>
    <x v="3"/>
    <s v="MT"/>
    <n v="122506"/>
    <n v="214300"/>
    <x v="32"/>
    <x v="62"/>
    <s v="GORENG"/>
    <n v="7000"/>
    <n v="88"/>
    <n v="616000"/>
    <n v="160"/>
  </r>
  <r>
    <x v="9"/>
    <s v="AUG"/>
    <x v="33"/>
    <s v="GRSM 1"/>
    <x v="3"/>
    <s v="MT"/>
    <n v="122506"/>
    <n v="214300"/>
    <x v="32"/>
    <x v="63"/>
    <s v="BOLOGNESE"/>
    <n v="7000"/>
    <n v="30"/>
    <n v="210000"/>
    <m/>
  </r>
  <r>
    <x v="9"/>
    <s v="AUG"/>
    <x v="33"/>
    <s v="GRSM 1"/>
    <x v="3"/>
    <s v="MT"/>
    <n v="122506"/>
    <n v="214300"/>
    <x v="32"/>
    <x v="63"/>
    <s v="CARBONARA"/>
    <n v="7000"/>
    <n v="40"/>
    <n v="280000"/>
    <m/>
  </r>
  <r>
    <x v="9"/>
    <s v="AUG"/>
    <x v="33"/>
    <s v="GRSM 1"/>
    <x v="3"/>
    <s v="MT"/>
    <n v="122506"/>
    <n v="214300"/>
    <x v="32"/>
    <x v="63"/>
    <s v="AGLIO OLIO"/>
    <n v="7000"/>
    <n v="28"/>
    <n v="196000"/>
    <m/>
  </r>
  <r>
    <x v="9"/>
    <s v="AUG"/>
    <x v="33"/>
    <s v="GRSM 1"/>
    <x v="3"/>
    <s v="MT"/>
    <n v="122506"/>
    <n v="214300"/>
    <x v="32"/>
    <x v="63"/>
    <s v="GORENG"/>
    <n v="7000"/>
    <n v="88"/>
    <n v="616000"/>
    <n v="160"/>
  </r>
  <r>
    <x v="9"/>
    <s v="AUG"/>
    <x v="33"/>
    <s v="GRSM 1"/>
    <x v="3"/>
    <s v="MT"/>
    <n v="122506"/>
    <n v="214422"/>
    <x v="31"/>
    <x v="65"/>
    <s v="BOLOGNESE"/>
    <n v="3200"/>
    <n v="40"/>
    <n v="128000"/>
    <m/>
  </r>
  <r>
    <x v="9"/>
    <s v="AUG"/>
    <x v="33"/>
    <s v="GRSM 1"/>
    <x v="3"/>
    <s v="MT"/>
    <n v="122506"/>
    <n v="214422"/>
    <x v="31"/>
    <x v="65"/>
    <s v="CARBONARA"/>
    <n v="3200"/>
    <n v="42"/>
    <n v="134400"/>
    <m/>
  </r>
  <r>
    <x v="9"/>
    <s v="AUG"/>
    <x v="33"/>
    <s v="GRSM 1"/>
    <x v="3"/>
    <s v="MT"/>
    <n v="122506"/>
    <n v="214422"/>
    <x v="31"/>
    <x v="65"/>
    <s v="AGLIO OLIO"/>
    <n v="3200"/>
    <n v="102"/>
    <n v="326400"/>
    <m/>
  </r>
  <r>
    <x v="9"/>
    <s v="AUG"/>
    <x v="33"/>
    <s v="GRSM 1"/>
    <x v="3"/>
    <s v="MT"/>
    <n v="122506"/>
    <n v="214422"/>
    <x v="31"/>
    <x v="65"/>
    <s v="GORENG"/>
    <n v="3200"/>
    <n v="84"/>
    <n v="268800"/>
    <n v="160"/>
  </r>
  <r>
    <x v="9"/>
    <s v="AUG"/>
    <x v="33"/>
    <s v="GRSM 1"/>
    <x v="3"/>
    <s v="MT"/>
    <n v="122506"/>
    <n v="214422"/>
    <x v="31"/>
    <x v="64"/>
    <s v="BOLOGNESE"/>
    <n v="3200"/>
    <n v="40"/>
    <n v="128000"/>
    <m/>
  </r>
  <r>
    <x v="9"/>
    <s v="AUG"/>
    <x v="33"/>
    <s v="GRSM 1"/>
    <x v="3"/>
    <s v="MT"/>
    <n v="122506"/>
    <n v="214422"/>
    <x v="31"/>
    <x v="64"/>
    <s v="CARBONARA"/>
    <n v="3200"/>
    <n v="42"/>
    <n v="134400"/>
    <m/>
  </r>
  <r>
    <x v="9"/>
    <s v="AUG"/>
    <x v="33"/>
    <s v="GRSM 1"/>
    <x v="3"/>
    <s v="MT"/>
    <n v="122506"/>
    <n v="214422"/>
    <x v="31"/>
    <x v="64"/>
    <s v="AGLIO OLIO"/>
    <n v="3200"/>
    <n v="102"/>
    <n v="326400"/>
    <m/>
  </r>
  <r>
    <x v="9"/>
    <s v="AUG"/>
    <x v="33"/>
    <s v="GRSM 1"/>
    <x v="3"/>
    <s v="MT"/>
    <n v="122506"/>
    <n v="214422"/>
    <x v="31"/>
    <x v="64"/>
    <s v="GORENG"/>
    <n v="3200"/>
    <n v="84"/>
    <n v="268800"/>
    <n v="160"/>
  </r>
  <r>
    <x v="9"/>
    <s v="AUG"/>
    <x v="34"/>
    <s v="GRSM 1"/>
    <x v="3"/>
    <s v="MT"/>
    <n v="122506"/>
    <n v="202879"/>
    <x v="29"/>
    <x v="60"/>
    <s v="BOLOGNESE"/>
    <n v="6400"/>
    <n v="37"/>
    <n v="236800"/>
    <m/>
  </r>
  <r>
    <x v="9"/>
    <s v="AUG"/>
    <x v="34"/>
    <s v="GRSM 1"/>
    <x v="3"/>
    <s v="MT"/>
    <n v="122506"/>
    <n v="202879"/>
    <x v="29"/>
    <x v="60"/>
    <s v="CARBONARA"/>
    <n v="6400"/>
    <n v="40"/>
    <n v="256000"/>
    <m/>
  </r>
  <r>
    <x v="9"/>
    <s v="AUG"/>
    <x v="34"/>
    <s v="GRSM 1"/>
    <x v="3"/>
    <s v="MT"/>
    <n v="122506"/>
    <n v="202879"/>
    <x v="29"/>
    <x v="60"/>
    <s v="AGLIO OLIO"/>
    <n v="6400"/>
    <n v="187"/>
    <n v="1196800"/>
    <m/>
  </r>
  <r>
    <x v="9"/>
    <s v="AUG"/>
    <x v="34"/>
    <s v="GRSM 1"/>
    <x v="3"/>
    <s v="MT"/>
    <n v="122506"/>
    <n v="202879"/>
    <x v="29"/>
    <x v="60"/>
    <s v="GORENG"/>
    <n v="6400"/>
    <n v="87"/>
    <n v="556800"/>
    <n v="160"/>
  </r>
  <r>
    <x v="9"/>
    <s v="AUG"/>
    <x v="34"/>
    <s v="GRSM 1"/>
    <x v="3"/>
    <s v="MT"/>
    <n v="122506"/>
    <n v="202879"/>
    <x v="29"/>
    <x v="61"/>
    <s v="BOLOGNESE"/>
    <n v="6400"/>
    <n v="37"/>
    <n v="236800"/>
    <m/>
  </r>
  <r>
    <x v="9"/>
    <s v="AUG"/>
    <x v="34"/>
    <s v="GRSM 1"/>
    <x v="3"/>
    <s v="MT"/>
    <n v="122506"/>
    <n v="202879"/>
    <x v="29"/>
    <x v="61"/>
    <s v="CARBONARA"/>
    <n v="6400"/>
    <n v="40"/>
    <n v="256000"/>
    <m/>
  </r>
  <r>
    <x v="9"/>
    <s v="AUG"/>
    <x v="34"/>
    <s v="GRSM 1"/>
    <x v="3"/>
    <s v="MT"/>
    <n v="122506"/>
    <n v="202879"/>
    <x v="29"/>
    <x v="61"/>
    <s v="AGLIO OLIO"/>
    <n v="6400"/>
    <n v="187"/>
    <n v="1196800"/>
    <m/>
  </r>
  <r>
    <x v="9"/>
    <s v="AUG"/>
    <x v="34"/>
    <s v="GRSM 1"/>
    <x v="3"/>
    <s v="MT"/>
    <n v="122506"/>
    <n v="202879"/>
    <x v="29"/>
    <x v="61"/>
    <s v="GORENG"/>
    <n v="6400"/>
    <n v="87"/>
    <n v="556800"/>
    <n v="160"/>
  </r>
  <r>
    <x v="9"/>
    <s v="AUG"/>
    <x v="34"/>
    <s v="GRSM 2"/>
    <x v="3"/>
    <s v="MT"/>
    <n v="175700"/>
    <n v="1370001"/>
    <x v="33"/>
    <x v="68"/>
    <s v="BOLOGNESE"/>
    <n v="2210"/>
    <n v="120"/>
    <n v="265200"/>
    <m/>
  </r>
  <r>
    <x v="9"/>
    <s v="AUG"/>
    <x v="34"/>
    <s v="GRSM 2"/>
    <x v="3"/>
    <s v="MT"/>
    <n v="175700"/>
    <n v="1370001"/>
    <x v="33"/>
    <x v="68"/>
    <s v="CARBONARA"/>
    <n v="2210"/>
    <n v="120"/>
    <n v="265200"/>
    <m/>
  </r>
  <r>
    <x v="9"/>
    <s v="AUG"/>
    <x v="34"/>
    <s v="GRSM 2"/>
    <x v="3"/>
    <s v="MT"/>
    <n v="175700"/>
    <n v="1370001"/>
    <x v="33"/>
    <x v="68"/>
    <s v="AGLIO OLIO"/>
    <n v="2210"/>
    <n v="80"/>
    <n v="176800"/>
    <m/>
  </r>
  <r>
    <x v="9"/>
    <s v="AUG"/>
    <x v="34"/>
    <s v="GRSM 2"/>
    <x v="3"/>
    <s v="MT"/>
    <n v="175700"/>
    <n v="1370001"/>
    <x v="33"/>
    <x v="68"/>
    <s v="GORENG"/>
    <n v="2210"/>
    <n v="80"/>
    <n v="176800"/>
    <n v="92"/>
  </r>
  <r>
    <x v="9"/>
    <s v="AUG"/>
    <x v="34"/>
    <s v="GRSM 2"/>
    <x v="3"/>
    <s v="MT"/>
    <n v="175700"/>
    <n v="1370001"/>
    <x v="33"/>
    <x v="69"/>
    <s v="BOLOGNESE"/>
    <n v="2210"/>
    <n v="120"/>
    <n v="265200"/>
    <m/>
  </r>
  <r>
    <x v="9"/>
    <s v="AUG"/>
    <x v="34"/>
    <s v="GRSM 2"/>
    <x v="3"/>
    <s v="MT"/>
    <n v="175700"/>
    <n v="1370001"/>
    <x v="33"/>
    <x v="69"/>
    <s v="CARBONARA"/>
    <n v="2210"/>
    <n v="120"/>
    <n v="265200"/>
    <m/>
  </r>
  <r>
    <x v="9"/>
    <s v="AUG"/>
    <x v="34"/>
    <s v="GRSM 2"/>
    <x v="3"/>
    <s v="MT"/>
    <n v="175700"/>
    <n v="1370001"/>
    <x v="33"/>
    <x v="69"/>
    <s v="AGLIO OLIO"/>
    <n v="2210"/>
    <n v="80"/>
    <n v="176800"/>
    <m/>
  </r>
  <r>
    <x v="9"/>
    <s v="AUG"/>
    <x v="34"/>
    <s v="GRSM 2"/>
    <x v="3"/>
    <s v="MT"/>
    <n v="175700"/>
    <n v="1370001"/>
    <x v="33"/>
    <x v="69"/>
    <s v="GORENG"/>
    <n v="2210"/>
    <n v="80"/>
    <n v="176800"/>
    <n v="92"/>
  </r>
  <r>
    <x v="9"/>
    <s v="AUG"/>
    <x v="34"/>
    <s v="GRSM 1"/>
    <x v="3"/>
    <s v="MT"/>
    <n v="122506"/>
    <n v="214300"/>
    <x v="32"/>
    <x v="62"/>
    <s v="BOLOGNESE"/>
    <n v="7000"/>
    <n v="28"/>
    <n v="196000"/>
    <m/>
  </r>
  <r>
    <x v="9"/>
    <s v="AUG"/>
    <x v="34"/>
    <s v="GRSM 1"/>
    <x v="3"/>
    <s v="MT"/>
    <n v="122506"/>
    <n v="214300"/>
    <x v="32"/>
    <x v="62"/>
    <s v="CARBONARA"/>
    <n v="7000"/>
    <n v="50"/>
    <n v="350000"/>
    <m/>
  </r>
  <r>
    <x v="9"/>
    <s v="AUG"/>
    <x v="34"/>
    <s v="GRSM 1"/>
    <x v="3"/>
    <s v="MT"/>
    <n v="122506"/>
    <n v="214300"/>
    <x v="32"/>
    <x v="62"/>
    <s v="AGLIO OLIO"/>
    <n v="7000"/>
    <n v="40"/>
    <n v="280000"/>
    <m/>
  </r>
  <r>
    <x v="9"/>
    <s v="AUG"/>
    <x v="34"/>
    <s v="GRSM 1"/>
    <x v="3"/>
    <s v="MT"/>
    <n v="122506"/>
    <n v="214300"/>
    <x v="32"/>
    <x v="62"/>
    <s v="GORENG"/>
    <n v="7000"/>
    <n v="94"/>
    <n v="658000"/>
    <n v="160"/>
  </r>
  <r>
    <x v="9"/>
    <s v="AUG"/>
    <x v="34"/>
    <s v="GRSM 1"/>
    <x v="3"/>
    <s v="MT"/>
    <n v="122506"/>
    <n v="214300"/>
    <x v="32"/>
    <x v="63"/>
    <s v="BOLOGNESE"/>
    <n v="7000"/>
    <n v="28"/>
    <n v="196000"/>
    <m/>
  </r>
  <r>
    <x v="9"/>
    <s v="AUG"/>
    <x v="34"/>
    <s v="GRSM 1"/>
    <x v="3"/>
    <s v="MT"/>
    <n v="122506"/>
    <n v="214300"/>
    <x v="32"/>
    <x v="63"/>
    <s v="CARBONARA"/>
    <n v="7000"/>
    <n v="50"/>
    <n v="350000"/>
    <m/>
  </r>
  <r>
    <x v="9"/>
    <s v="AUG"/>
    <x v="34"/>
    <s v="GRSM 1"/>
    <x v="3"/>
    <s v="MT"/>
    <n v="122506"/>
    <n v="214300"/>
    <x v="32"/>
    <x v="63"/>
    <s v="AGLIO OLIO"/>
    <n v="7000"/>
    <n v="40"/>
    <n v="280000"/>
    <m/>
  </r>
  <r>
    <x v="9"/>
    <s v="AUG"/>
    <x v="34"/>
    <s v="GRSM 1"/>
    <x v="3"/>
    <s v="MT"/>
    <n v="122506"/>
    <n v="214300"/>
    <x v="32"/>
    <x v="63"/>
    <s v="GORENG"/>
    <n v="7000"/>
    <n v="94"/>
    <n v="658000"/>
    <n v="160"/>
  </r>
  <r>
    <x v="9"/>
    <s v="AUG"/>
    <x v="34"/>
    <s v="GRSM 1"/>
    <x v="3"/>
    <s v="MT"/>
    <n v="122506"/>
    <n v="214422"/>
    <x v="31"/>
    <x v="65"/>
    <s v="BOLOGNESE"/>
    <n v="3200"/>
    <n v="40"/>
    <n v="128000"/>
    <m/>
  </r>
  <r>
    <x v="9"/>
    <s v="AUG"/>
    <x v="34"/>
    <s v="GRSM 1"/>
    <x v="3"/>
    <s v="MT"/>
    <n v="122506"/>
    <n v="214422"/>
    <x v="31"/>
    <x v="65"/>
    <s v="CARBONARA"/>
    <n v="3200"/>
    <n v="42"/>
    <n v="134400"/>
    <m/>
  </r>
  <r>
    <x v="9"/>
    <s v="AUG"/>
    <x v="34"/>
    <s v="GRSM 1"/>
    <x v="3"/>
    <s v="MT"/>
    <n v="122506"/>
    <n v="214422"/>
    <x v="31"/>
    <x v="65"/>
    <s v="AGLIO OLIO"/>
    <n v="3200"/>
    <n v="82"/>
    <n v="262400"/>
    <m/>
  </r>
  <r>
    <x v="9"/>
    <s v="AUG"/>
    <x v="34"/>
    <s v="GRSM 1"/>
    <x v="3"/>
    <s v="MT"/>
    <n v="122506"/>
    <n v="214422"/>
    <x v="31"/>
    <x v="65"/>
    <s v="GORENG"/>
    <n v="3200"/>
    <n v="84"/>
    <n v="268800"/>
    <n v="160"/>
  </r>
  <r>
    <x v="9"/>
    <s v="AUG"/>
    <x v="34"/>
    <s v="GRSM 1"/>
    <x v="3"/>
    <s v="MT"/>
    <n v="122506"/>
    <n v="214422"/>
    <x v="31"/>
    <x v="64"/>
    <s v="BOLOGNESE"/>
    <n v="3200"/>
    <n v="40"/>
    <n v="128000"/>
    <m/>
  </r>
  <r>
    <x v="9"/>
    <s v="AUG"/>
    <x v="34"/>
    <s v="GRSM 1"/>
    <x v="3"/>
    <s v="MT"/>
    <n v="122506"/>
    <n v="214422"/>
    <x v="31"/>
    <x v="64"/>
    <s v="CARBONARA"/>
    <n v="3200"/>
    <n v="42"/>
    <n v="134400"/>
    <m/>
  </r>
  <r>
    <x v="9"/>
    <s v="AUG"/>
    <x v="34"/>
    <s v="GRSM 1"/>
    <x v="3"/>
    <s v="MT"/>
    <n v="122506"/>
    <n v="214422"/>
    <x v="31"/>
    <x v="64"/>
    <s v="AGLIO OLIO"/>
    <n v="3200"/>
    <n v="82"/>
    <n v="262400"/>
    <m/>
  </r>
  <r>
    <x v="9"/>
    <s v="AUG"/>
    <x v="34"/>
    <s v="GRSM 1"/>
    <x v="3"/>
    <s v="MT"/>
    <n v="122506"/>
    <n v="214422"/>
    <x v="31"/>
    <x v="64"/>
    <s v="GORENG"/>
    <n v="3200"/>
    <n v="84"/>
    <n v="268800"/>
    <n v="160"/>
  </r>
  <r>
    <x v="9"/>
    <s v="AUG"/>
    <x v="34"/>
    <s v="GRSM 1"/>
    <x v="3"/>
    <s v="MT"/>
    <n v="122506"/>
    <n v="202816"/>
    <x v="30"/>
    <x v="66"/>
    <s v="BOLOGNESE"/>
    <n v="7000"/>
    <n v="55"/>
    <n v="385000"/>
    <m/>
  </r>
  <r>
    <x v="9"/>
    <s v="AUG"/>
    <x v="34"/>
    <s v="GRSM 1"/>
    <x v="3"/>
    <s v="MT"/>
    <n v="122506"/>
    <n v="202816"/>
    <x v="30"/>
    <x v="66"/>
    <s v="CARBONARA"/>
    <n v="7000"/>
    <n v="66"/>
    <n v="462000"/>
    <m/>
  </r>
  <r>
    <x v="9"/>
    <s v="AUG"/>
    <x v="34"/>
    <s v="GRSM 1"/>
    <x v="3"/>
    <s v="MT"/>
    <n v="122506"/>
    <n v="202816"/>
    <x v="30"/>
    <x v="66"/>
    <s v="AGLIO OLIO"/>
    <n v="7000"/>
    <n v="20"/>
    <n v="140000"/>
    <m/>
  </r>
  <r>
    <x v="9"/>
    <s v="AUG"/>
    <x v="34"/>
    <s v="GRSM 1"/>
    <x v="3"/>
    <s v="MT"/>
    <n v="122506"/>
    <n v="202816"/>
    <x v="30"/>
    <x v="66"/>
    <s v="GORENG"/>
    <n v="7000"/>
    <n v="86"/>
    <n v="602000"/>
    <n v="160"/>
  </r>
  <r>
    <x v="9"/>
    <s v="AUG"/>
    <x v="34"/>
    <s v="GRSM 1"/>
    <x v="3"/>
    <s v="MT"/>
    <n v="122506"/>
    <n v="202816"/>
    <x v="30"/>
    <x v="67"/>
    <s v="BOLOGNESE"/>
    <n v="7000"/>
    <n v="55"/>
    <n v="385000"/>
    <m/>
  </r>
  <r>
    <x v="9"/>
    <s v="AUG"/>
    <x v="34"/>
    <s v="GRSM 1"/>
    <x v="3"/>
    <s v="MT"/>
    <n v="122506"/>
    <n v="202816"/>
    <x v="30"/>
    <x v="67"/>
    <s v="CARBONARA"/>
    <n v="7000"/>
    <n v="66"/>
    <n v="462000"/>
    <m/>
  </r>
  <r>
    <x v="9"/>
    <s v="AUG"/>
    <x v="34"/>
    <s v="GRSM 1"/>
    <x v="3"/>
    <s v="MT"/>
    <n v="122506"/>
    <n v="202816"/>
    <x v="30"/>
    <x v="67"/>
    <s v="AGLIO OLIO"/>
    <n v="7000"/>
    <n v="20"/>
    <n v="140000"/>
    <m/>
  </r>
  <r>
    <x v="9"/>
    <s v="AUG"/>
    <x v="34"/>
    <s v="GRSM 1"/>
    <x v="3"/>
    <s v="MT"/>
    <n v="122506"/>
    <n v="202816"/>
    <x v="30"/>
    <x v="67"/>
    <s v="GORENG"/>
    <n v="7000"/>
    <n v="86"/>
    <n v="602000"/>
    <n v="160"/>
  </r>
  <r>
    <x v="9"/>
    <s v="AUG"/>
    <x v="33"/>
    <s v="GRSM 6"/>
    <x v="2"/>
    <s v="GMM"/>
    <n v="211163"/>
    <n v="3703215"/>
    <x v="23"/>
    <x v="46"/>
    <s v="BOLOGNESE"/>
    <n v="3000"/>
    <n v="153"/>
    <n v="459000"/>
    <m/>
  </r>
  <r>
    <x v="9"/>
    <s v="AUG"/>
    <x v="33"/>
    <s v="GRSM 6"/>
    <x v="2"/>
    <s v="GMM"/>
    <n v="211163"/>
    <n v="3703215"/>
    <x v="23"/>
    <x v="46"/>
    <s v="CARBONARA"/>
    <n v="3000"/>
    <n v="132"/>
    <n v="396000"/>
    <m/>
  </r>
  <r>
    <x v="9"/>
    <s v="AUG"/>
    <x v="33"/>
    <s v="GRSM 6"/>
    <x v="2"/>
    <s v="GMM"/>
    <n v="211163"/>
    <n v="3703215"/>
    <x v="23"/>
    <x v="46"/>
    <s v="AGLIO OLIO"/>
    <n v="3000"/>
    <n v="0"/>
    <n v="0"/>
    <m/>
  </r>
  <r>
    <x v="9"/>
    <s v="AUG"/>
    <x v="33"/>
    <s v="GRSM 6"/>
    <x v="2"/>
    <s v="GMM"/>
    <n v="211163"/>
    <n v="3703215"/>
    <x v="23"/>
    <x v="46"/>
    <s v="GORENG"/>
    <n v="3000"/>
    <n v="208"/>
    <n v="624000"/>
    <n v="85"/>
  </r>
  <r>
    <x v="9"/>
    <s v="AUG"/>
    <x v="33"/>
    <s v="GRSM 6"/>
    <x v="2"/>
    <s v="GMM"/>
    <n v="211163"/>
    <n v="3703215"/>
    <x v="23"/>
    <x v="47"/>
    <s v="BOLOGNESE"/>
    <n v="3000"/>
    <n v="153"/>
    <n v="459000"/>
    <m/>
  </r>
  <r>
    <x v="9"/>
    <s v="AUG"/>
    <x v="33"/>
    <s v="GRSM 6"/>
    <x v="2"/>
    <s v="GMM"/>
    <n v="211163"/>
    <n v="3703215"/>
    <x v="23"/>
    <x v="47"/>
    <s v="CARBONARA"/>
    <n v="3000"/>
    <n v="132"/>
    <n v="396000"/>
    <m/>
  </r>
  <r>
    <x v="9"/>
    <s v="AUG"/>
    <x v="33"/>
    <s v="GRSM 6"/>
    <x v="2"/>
    <s v="GMM"/>
    <n v="211163"/>
    <n v="3703215"/>
    <x v="23"/>
    <x v="47"/>
    <s v="AGLIO OLIO"/>
    <n v="3000"/>
    <n v="0"/>
    <n v="0"/>
    <m/>
  </r>
  <r>
    <x v="9"/>
    <s v="AUG"/>
    <x v="33"/>
    <s v="GRSM 6"/>
    <x v="2"/>
    <s v="GMM"/>
    <n v="211163"/>
    <n v="3703215"/>
    <x v="23"/>
    <x v="47"/>
    <s v="GORENG"/>
    <n v="3000"/>
    <n v="208"/>
    <n v="624000"/>
    <n v="85"/>
  </r>
  <r>
    <x v="9"/>
    <s v="AUG"/>
    <x v="33"/>
    <s v="GRSM 6"/>
    <x v="2"/>
    <s v="GMM"/>
    <n v="211139"/>
    <n v="3604550"/>
    <x v="26"/>
    <x v="52"/>
    <s v="BOLOGNESE"/>
    <n v="2800"/>
    <n v="70"/>
    <n v="196000"/>
    <m/>
  </r>
  <r>
    <x v="9"/>
    <s v="AUG"/>
    <x v="33"/>
    <s v="GRSM 6"/>
    <x v="2"/>
    <s v="GMM"/>
    <n v="211139"/>
    <n v="3604550"/>
    <x v="26"/>
    <x v="52"/>
    <s v="CARBONARA"/>
    <n v="2800"/>
    <n v="238"/>
    <n v="666400"/>
    <m/>
  </r>
  <r>
    <x v="9"/>
    <s v="AUG"/>
    <x v="33"/>
    <s v="GRSM 6"/>
    <x v="2"/>
    <s v="GMM"/>
    <n v="211139"/>
    <n v="3604550"/>
    <x v="26"/>
    <x v="52"/>
    <s v="AGLIO OLIO"/>
    <n v="2800"/>
    <n v="40"/>
    <n v="112000"/>
    <m/>
  </r>
  <r>
    <x v="9"/>
    <s v="AUG"/>
    <x v="33"/>
    <s v="GRSM 6"/>
    <x v="2"/>
    <s v="GMM"/>
    <n v="211139"/>
    <n v="3604550"/>
    <x v="26"/>
    <x v="52"/>
    <s v="GORENG"/>
    <n v="2800"/>
    <n v="224"/>
    <n v="627200"/>
    <n v="160"/>
  </r>
  <r>
    <x v="9"/>
    <s v="AUG"/>
    <x v="33"/>
    <s v="GRSM 6"/>
    <x v="2"/>
    <s v="GMM"/>
    <n v="211139"/>
    <n v="3604550"/>
    <x v="26"/>
    <x v="53"/>
    <s v="BOLOGNESE"/>
    <n v="2800"/>
    <n v="70"/>
    <n v="196000"/>
    <m/>
  </r>
  <r>
    <x v="9"/>
    <s v="AUG"/>
    <x v="33"/>
    <s v="GRSM 6"/>
    <x v="2"/>
    <s v="GMM"/>
    <n v="211139"/>
    <n v="3604550"/>
    <x v="26"/>
    <x v="53"/>
    <s v="CARBONARA"/>
    <n v="2800"/>
    <n v="238"/>
    <n v="666400"/>
    <m/>
  </r>
  <r>
    <x v="9"/>
    <s v="AUG"/>
    <x v="33"/>
    <s v="GRSM 6"/>
    <x v="2"/>
    <s v="GMM"/>
    <n v="211139"/>
    <n v="3604550"/>
    <x v="26"/>
    <x v="53"/>
    <s v="AGLIO OLIO"/>
    <n v="2800"/>
    <n v="40"/>
    <n v="112000"/>
    <m/>
  </r>
  <r>
    <x v="9"/>
    <s v="AUG"/>
    <x v="33"/>
    <s v="GRSM 6"/>
    <x v="2"/>
    <s v="GMM"/>
    <n v="211139"/>
    <n v="3604550"/>
    <x v="26"/>
    <x v="53"/>
    <s v="GORENG"/>
    <n v="2800"/>
    <n v="224"/>
    <n v="627200"/>
    <n v="160"/>
  </r>
  <r>
    <x v="9"/>
    <s v="AUG"/>
    <x v="33"/>
    <s v="GRSM 6"/>
    <x v="2"/>
    <s v="GMM"/>
    <n v="211033"/>
    <n v="2001021"/>
    <x v="27"/>
    <x v="54"/>
    <s v="BOLOGNESE"/>
    <n v="3000"/>
    <n v="105"/>
    <n v="315000"/>
    <m/>
  </r>
  <r>
    <x v="9"/>
    <s v="AUG"/>
    <x v="33"/>
    <s v="GRSM 6"/>
    <x v="2"/>
    <s v="GMM"/>
    <n v="211033"/>
    <n v="2001021"/>
    <x v="27"/>
    <x v="54"/>
    <s v="CARBONARA"/>
    <n v="3000"/>
    <n v="105"/>
    <n v="315000"/>
    <m/>
  </r>
  <r>
    <x v="9"/>
    <s v="AUG"/>
    <x v="33"/>
    <s v="GRSM 6"/>
    <x v="2"/>
    <s v="GMM"/>
    <n v="211033"/>
    <n v="2001021"/>
    <x v="27"/>
    <x v="54"/>
    <s v="AGLIO OLIO"/>
    <n v="3000"/>
    <n v="75"/>
    <n v="225000"/>
    <m/>
  </r>
  <r>
    <x v="9"/>
    <s v="AUG"/>
    <x v="33"/>
    <s v="GRSM 6"/>
    <x v="2"/>
    <s v="GMM"/>
    <n v="211033"/>
    <n v="2001021"/>
    <x v="27"/>
    <x v="54"/>
    <s v="GORENG"/>
    <n v="3000"/>
    <n v="210"/>
    <n v="630000"/>
    <n v="160"/>
  </r>
  <r>
    <x v="9"/>
    <s v="AUG"/>
    <x v="33"/>
    <s v="GRSM 6"/>
    <x v="2"/>
    <s v="GMM"/>
    <n v="211033"/>
    <n v="2001021"/>
    <x v="27"/>
    <x v="55"/>
    <s v="BOLOGNESE"/>
    <n v="3000"/>
    <n v="105"/>
    <n v="315000"/>
    <m/>
  </r>
  <r>
    <x v="9"/>
    <s v="AUG"/>
    <x v="33"/>
    <s v="GRSM 6"/>
    <x v="2"/>
    <s v="GMM"/>
    <n v="211033"/>
    <n v="2001021"/>
    <x v="27"/>
    <x v="55"/>
    <s v="CARBONARA"/>
    <n v="3000"/>
    <n v="105"/>
    <n v="315000"/>
    <m/>
  </r>
  <r>
    <x v="9"/>
    <s v="AUG"/>
    <x v="33"/>
    <s v="GRSM 6"/>
    <x v="2"/>
    <s v="GMM"/>
    <n v="211033"/>
    <n v="2001021"/>
    <x v="27"/>
    <x v="55"/>
    <s v="AGLIO OLIO"/>
    <n v="3000"/>
    <n v="75"/>
    <n v="225000"/>
    <m/>
  </r>
  <r>
    <x v="9"/>
    <s v="AUG"/>
    <x v="33"/>
    <s v="GRSM 6"/>
    <x v="2"/>
    <s v="GMM"/>
    <n v="211033"/>
    <n v="2001021"/>
    <x v="27"/>
    <x v="55"/>
    <s v="GORENG"/>
    <n v="3000"/>
    <n v="210"/>
    <n v="630000"/>
    <n v="160"/>
  </r>
  <r>
    <x v="9"/>
    <s v="AUG"/>
    <x v="33"/>
    <s v="GRSM 6"/>
    <x v="2"/>
    <s v="GMM"/>
    <n v="211033"/>
    <n v="6467246"/>
    <x v="21"/>
    <x v="42"/>
    <s v="BOLOGNESE"/>
    <n v="3100"/>
    <n v="181"/>
    <n v="561100"/>
    <m/>
  </r>
  <r>
    <x v="9"/>
    <s v="AUG"/>
    <x v="33"/>
    <s v="GRSM 6"/>
    <x v="2"/>
    <s v="GMM"/>
    <n v="211033"/>
    <n v="6467246"/>
    <x v="21"/>
    <x v="42"/>
    <s v="CARBONARA"/>
    <n v="3100"/>
    <n v="174"/>
    <n v="539400"/>
    <m/>
  </r>
  <r>
    <x v="9"/>
    <s v="AUG"/>
    <x v="33"/>
    <s v="GRSM 6"/>
    <x v="2"/>
    <s v="GMM"/>
    <n v="211033"/>
    <n v="6467246"/>
    <x v="21"/>
    <x v="42"/>
    <s v="AGLIO OLIO"/>
    <n v="3100"/>
    <n v="74"/>
    <n v="229400"/>
    <m/>
  </r>
  <r>
    <x v="9"/>
    <s v="AUG"/>
    <x v="33"/>
    <s v="GRSM 6"/>
    <x v="2"/>
    <s v="GMM"/>
    <n v="211033"/>
    <n v="6467246"/>
    <x v="21"/>
    <x v="42"/>
    <s v="GORENG"/>
    <n v="3100"/>
    <n v="292"/>
    <n v="905200"/>
    <n v="160"/>
  </r>
  <r>
    <x v="9"/>
    <s v="AUG"/>
    <x v="33"/>
    <s v="GRSM 6"/>
    <x v="2"/>
    <s v="GMM"/>
    <n v="211033"/>
    <n v="6467246"/>
    <x v="21"/>
    <x v="43"/>
    <s v="BOLOGNESE"/>
    <n v="3100"/>
    <n v="181"/>
    <n v="561100"/>
    <m/>
  </r>
  <r>
    <x v="9"/>
    <s v="AUG"/>
    <x v="33"/>
    <s v="GRSM 6"/>
    <x v="2"/>
    <s v="GMM"/>
    <n v="211033"/>
    <n v="6467246"/>
    <x v="21"/>
    <x v="43"/>
    <s v="CARBONARA"/>
    <n v="3100"/>
    <n v="174"/>
    <n v="539400"/>
    <m/>
  </r>
  <r>
    <x v="9"/>
    <s v="AUG"/>
    <x v="33"/>
    <s v="GRSM 6"/>
    <x v="2"/>
    <s v="GMM"/>
    <n v="211033"/>
    <n v="6467246"/>
    <x v="21"/>
    <x v="43"/>
    <s v="AGLIO OLIO"/>
    <n v="3100"/>
    <n v="74"/>
    <n v="229400"/>
    <m/>
  </r>
  <r>
    <x v="9"/>
    <s v="AUG"/>
    <x v="33"/>
    <s v="GRSM 6"/>
    <x v="2"/>
    <s v="GMM"/>
    <n v="211033"/>
    <n v="6467246"/>
    <x v="21"/>
    <x v="43"/>
    <s v="GORENG"/>
    <n v="3100"/>
    <n v="292"/>
    <n v="905200"/>
    <n v="160"/>
  </r>
  <r>
    <x v="9"/>
    <s v="AUG"/>
    <x v="34"/>
    <s v="GRSM 6"/>
    <x v="2"/>
    <s v="GMM"/>
    <n v="211033"/>
    <n v="6467246"/>
    <x v="21"/>
    <x v="42"/>
    <s v="BOLOGNESE"/>
    <n v="3100"/>
    <n v="94"/>
    <n v="291400"/>
    <m/>
  </r>
  <r>
    <x v="9"/>
    <s v="AUG"/>
    <x v="34"/>
    <s v="GRSM 6"/>
    <x v="2"/>
    <s v="GMM"/>
    <n v="211033"/>
    <n v="6467246"/>
    <x v="21"/>
    <x v="42"/>
    <s v="CARBONARA"/>
    <n v="3100"/>
    <n v="174"/>
    <n v="539400"/>
    <m/>
  </r>
  <r>
    <x v="9"/>
    <s v="AUG"/>
    <x v="34"/>
    <s v="GRSM 6"/>
    <x v="2"/>
    <s v="GMM"/>
    <n v="211033"/>
    <n v="6467246"/>
    <x v="21"/>
    <x v="42"/>
    <s v="AGLIO OLIO"/>
    <n v="3100"/>
    <n v="90"/>
    <n v="279000"/>
    <m/>
  </r>
  <r>
    <x v="9"/>
    <s v="AUG"/>
    <x v="34"/>
    <s v="GRSM 6"/>
    <x v="2"/>
    <s v="GMM"/>
    <n v="211033"/>
    <n v="6467246"/>
    <x v="21"/>
    <x v="42"/>
    <s v="GORENG"/>
    <n v="3100"/>
    <n v="383"/>
    <n v="1187300"/>
    <n v="160"/>
  </r>
  <r>
    <x v="9"/>
    <s v="AUG"/>
    <x v="34"/>
    <s v="GRSM 6"/>
    <x v="2"/>
    <s v="GMM"/>
    <n v="211033"/>
    <n v="6467246"/>
    <x v="21"/>
    <x v="43"/>
    <s v="BOLOGNESE"/>
    <n v="3100"/>
    <n v="94"/>
    <n v="291400"/>
    <m/>
  </r>
  <r>
    <x v="9"/>
    <s v="AUG"/>
    <x v="34"/>
    <s v="GRSM 6"/>
    <x v="2"/>
    <s v="GMM"/>
    <n v="211033"/>
    <n v="6467246"/>
    <x v="21"/>
    <x v="43"/>
    <s v="CARBONARA"/>
    <n v="3100"/>
    <n v="174"/>
    <n v="539400"/>
    <m/>
  </r>
  <r>
    <x v="9"/>
    <s v="AUG"/>
    <x v="34"/>
    <s v="GRSM 6"/>
    <x v="2"/>
    <s v="GMM"/>
    <n v="211033"/>
    <n v="6467246"/>
    <x v="21"/>
    <x v="43"/>
    <s v="AGLIO OLIO"/>
    <n v="3100"/>
    <n v="90"/>
    <n v="279000"/>
    <m/>
  </r>
  <r>
    <x v="9"/>
    <s v="AUG"/>
    <x v="34"/>
    <s v="GRSM 6"/>
    <x v="2"/>
    <s v="GMM"/>
    <n v="211033"/>
    <n v="6467246"/>
    <x v="21"/>
    <x v="43"/>
    <s v="GORENG"/>
    <n v="3100"/>
    <n v="383"/>
    <n v="1187300"/>
    <n v="160"/>
  </r>
  <r>
    <x v="9"/>
    <s v="AUG"/>
    <x v="34"/>
    <s v="GRSM 6"/>
    <x v="2"/>
    <s v="GMM"/>
    <n v="211163"/>
    <n v="3703215"/>
    <x v="23"/>
    <x v="46"/>
    <s v="BOLOGNESE"/>
    <n v="3000"/>
    <n v="110"/>
    <n v="330000"/>
    <m/>
  </r>
  <r>
    <x v="9"/>
    <s v="AUG"/>
    <x v="34"/>
    <s v="GRSM 6"/>
    <x v="2"/>
    <s v="GMM"/>
    <n v="211163"/>
    <n v="3703215"/>
    <x v="23"/>
    <x v="46"/>
    <s v="CARBONARA"/>
    <n v="3000"/>
    <n v="85"/>
    <n v="255000"/>
    <m/>
  </r>
  <r>
    <x v="9"/>
    <s v="AUG"/>
    <x v="34"/>
    <s v="GRSM 6"/>
    <x v="2"/>
    <s v="GMM"/>
    <n v="211163"/>
    <n v="3703215"/>
    <x v="23"/>
    <x v="46"/>
    <s v="AGLIO OLIO"/>
    <n v="3000"/>
    <n v="0"/>
    <n v="0"/>
    <m/>
  </r>
  <r>
    <x v="9"/>
    <s v="AUG"/>
    <x v="34"/>
    <s v="GRSM 6"/>
    <x v="2"/>
    <s v="GMM"/>
    <n v="211163"/>
    <n v="3703215"/>
    <x v="23"/>
    <x v="46"/>
    <s v="GORENG"/>
    <n v="3000"/>
    <n v="155"/>
    <n v="465000"/>
    <n v="80"/>
  </r>
  <r>
    <x v="9"/>
    <s v="AUG"/>
    <x v="34"/>
    <s v="GRSM 6"/>
    <x v="2"/>
    <s v="GMM"/>
    <n v="211163"/>
    <n v="3703215"/>
    <x v="23"/>
    <x v="47"/>
    <s v="BOLOGNESE"/>
    <n v="3000"/>
    <n v="110"/>
    <n v="330000"/>
    <m/>
  </r>
  <r>
    <x v="9"/>
    <s v="AUG"/>
    <x v="34"/>
    <s v="GRSM 6"/>
    <x v="2"/>
    <s v="GMM"/>
    <n v="211163"/>
    <n v="3703215"/>
    <x v="23"/>
    <x v="47"/>
    <s v="CARBONARA"/>
    <n v="3000"/>
    <n v="85"/>
    <n v="255000"/>
    <m/>
  </r>
  <r>
    <x v="9"/>
    <s v="AUG"/>
    <x v="34"/>
    <s v="GRSM 6"/>
    <x v="2"/>
    <s v="GMM"/>
    <n v="211163"/>
    <n v="3703215"/>
    <x v="23"/>
    <x v="47"/>
    <s v="AGLIO OLIO"/>
    <n v="3000"/>
    <n v="0"/>
    <n v="0"/>
    <m/>
  </r>
  <r>
    <x v="9"/>
    <s v="AUG"/>
    <x v="34"/>
    <s v="GRSM 6"/>
    <x v="2"/>
    <s v="GMM"/>
    <n v="211163"/>
    <n v="3703215"/>
    <x v="23"/>
    <x v="47"/>
    <s v="GORENG"/>
    <n v="3000"/>
    <n v="155"/>
    <n v="465000"/>
    <n v="80"/>
  </r>
  <r>
    <x v="9"/>
    <s v="AUG"/>
    <x v="34"/>
    <s v="GRSM 6"/>
    <x v="2"/>
    <s v="GMM"/>
    <n v="211163"/>
    <n v="3703219"/>
    <x v="22"/>
    <x v="45"/>
    <s v="BOLOGNESE"/>
    <n v="2900"/>
    <n v="118"/>
    <n v="342200"/>
    <m/>
  </r>
  <r>
    <x v="9"/>
    <s v="AUG"/>
    <x v="34"/>
    <s v="GRSM 6"/>
    <x v="2"/>
    <s v="GMM"/>
    <n v="211163"/>
    <n v="3703219"/>
    <x v="22"/>
    <x v="45"/>
    <s v="CARBONARA"/>
    <n v="2900"/>
    <n v="199"/>
    <n v="577100"/>
    <m/>
  </r>
  <r>
    <x v="9"/>
    <s v="AUG"/>
    <x v="34"/>
    <s v="GRSM 6"/>
    <x v="2"/>
    <s v="GMM"/>
    <n v="211163"/>
    <n v="3703219"/>
    <x v="22"/>
    <x v="45"/>
    <s v="AGLIO OLIO"/>
    <n v="2900"/>
    <n v="0"/>
    <n v="0"/>
    <m/>
  </r>
  <r>
    <x v="9"/>
    <s v="AUG"/>
    <x v="34"/>
    <s v="GRSM 6"/>
    <x v="2"/>
    <s v="GMM"/>
    <n v="211163"/>
    <n v="3703219"/>
    <x v="22"/>
    <x v="45"/>
    <s v="GORENG"/>
    <n v="2900"/>
    <n v="377"/>
    <n v="1093300"/>
    <n v="160"/>
  </r>
  <r>
    <x v="9"/>
    <s v="AUG"/>
    <x v="34"/>
    <s v="GRSM 6"/>
    <x v="2"/>
    <s v="GMM"/>
    <n v="211163"/>
    <n v="3703219"/>
    <x v="22"/>
    <x v="44"/>
    <s v="BOLOGNESE"/>
    <n v="2900"/>
    <n v="118"/>
    <n v="342200"/>
    <m/>
  </r>
  <r>
    <x v="9"/>
    <s v="AUG"/>
    <x v="34"/>
    <s v="GRSM 6"/>
    <x v="2"/>
    <s v="GMM"/>
    <n v="211163"/>
    <n v="3703219"/>
    <x v="22"/>
    <x v="44"/>
    <s v="CARBONARA"/>
    <n v="2900"/>
    <n v="199"/>
    <n v="577100"/>
    <m/>
  </r>
  <r>
    <x v="9"/>
    <s v="AUG"/>
    <x v="34"/>
    <s v="GRSM 6"/>
    <x v="2"/>
    <s v="GMM"/>
    <n v="211163"/>
    <n v="3703219"/>
    <x v="22"/>
    <x v="44"/>
    <s v="AGLIO OLIO"/>
    <n v="2900"/>
    <n v="0"/>
    <n v="0"/>
    <m/>
  </r>
  <r>
    <x v="9"/>
    <s v="AUG"/>
    <x v="34"/>
    <s v="GRSM 6"/>
    <x v="2"/>
    <s v="GMM"/>
    <n v="211163"/>
    <n v="3703219"/>
    <x v="22"/>
    <x v="44"/>
    <s v="GORENG"/>
    <n v="2900"/>
    <n v="377"/>
    <n v="1093300"/>
    <n v="160"/>
  </r>
  <r>
    <x v="9"/>
    <s v="AUG"/>
    <x v="34"/>
    <s v="GRSM 6"/>
    <x v="2"/>
    <s v="GMM"/>
    <n v="211139"/>
    <n v="3604550"/>
    <x v="26"/>
    <x v="52"/>
    <s v="BOLOGNESE"/>
    <n v="2800"/>
    <n v="84"/>
    <n v="235200"/>
    <m/>
  </r>
  <r>
    <x v="9"/>
    <s v="AUG"/>
    <x v="34"/>
    <s v="GRSM 6"/>
    <x v="2"/>
    <s v="GMM"/>
    <n v="211139"/>
    <n v="3604550"/>
    <x v="26"/>
    <x v="52"/>
    <s v="CARBONARA"/>
    <n v="2800"/>
    <n v="248"/>
    <n v="694400"/>
    <m/>
  </r>
  <r>
    <x v="9"/>
    <s v="AUG"/>
    <x v="34"/>
    <s v="GRSM 6"/>
    <x v="2"/>
    <s v="GMM"/>
    <n v="211139"/>
    <n v="3604550"/>
    <x v="26"/>
    <x v="52"/>
    <s v="AGLIO OLIO"/>
    <n v="2800"/>
    <n v="58"/>
    <n v="162400"/>
    <m/>
  </r>
  <r>
    <x v="9"/>
    <s v="AUG"/>
    <x v="34"/>
    <s v="GRSM 6"/>
    <x v="2"/>
    <s v="GMM"/>
    <n v="211139"/>
    <n v="3604550"/>
    <x v="26"/>
    <x v="52"/>
    <s v="GORENG"/>
    <n v="2800"/>
    <n v="194"/>
    <n v="543200"/>
    <n v="160"/>
  </r>
  <r>
    <x v="9"/>
    <s v="AUG"/>
    <x v="34"/>
    <s v="GRSM 6"/>
    <x v="2"/>
    <s v="GMM"/>
    <n v="211139"/>
    <n v="3604550"/>
    <x v="26"/>
    <x v="53"/>
    <s v="BOLOGNESE"/>
    <n v="2800"/>
    <n v="84"/>
    <n v="235200"/>
    <m/>
  </r>
  <r>
    <x v="9"/>
    <s v="AUG"/>
    <x v="34"/>
    <s v="GRSM 6"/>
    <x v="2"/>
    <s v="GMM"/>
    <n v="211139"/>
    <n v="3604550"/>
    <x v="26"/>
    <x v="53"/>
    <s v="CARBONARA"/>
    <n v="2800"/>
    <n v="248"/>
    <n v="694400"/>
    <m/>
  </r>
  <r>
    <x v="9"/>
    <s v="AUG"/>
    <x v="34"/>
    <s v="GRSM 6"/>
    <x v="2"/>
    <s v="GMM"/>
    <n v="211139"/>
    <n v="3604550"/>
    <x v="26"/>
    <x v="53"/>
    <s v="AGLIO OLIO"/>
    <n v="2800"/>
    <n v="58"/>
    <n v="162400"/>
    <m/>
  </r>
  <r>
    <x v="9"/>
    <s v="AUG"/>
    <x v="34"/>
    <s v="GRSM 6"/>
    <x v="2"/>
    <s v="GMM"/>
    <n v="211139"/>
    <n v="3604550"/>
    <x v="26"/>
    <x v="53"/>
    <s v="GORENG"/>
    <n v="2800"/>
    <n v="194"/>
    <n v="543200"/>
    <n v="160"/>
  </r>
  <r>
    <x v="9"/>
    <s v="AUG"/>
    <x v="33"/>
    <s v="GRSM 6"/>
    <x v="2"/>
    <s v="GMM"/>
    <n v="211163"/>
    <n v="3703219"/>
    <x v="22"/>
    <x v="45"/>
    <s v="BOLOGNESE"/>
    <n v="2900"/>
    <n v="235"/>
    <n v="681500"/>
    <m/>
  </r>
  <r>
    <x v="9"/>
    <s v="AUG"/>
    <x v="33"/>
    <s v="GRSM 6"/>
    <x v="2"/>
    <s v="GMM"/>
    <n v="211163"/>
    <n v="3703219"/>
    <x v="22"/>
    <x v="45"/>
    <s v="CARBONARA"/>
    <n v="2900"/>
    <n v="248"/>
    <n v="719200"/>
    <m/>
  </r>
  <r>
    <x v="9"/>
    <s v="AUG"/>
    <x v="33"/>
    <s v="GRSM 6"/>
    <x v="2"/>
    <s v="GMM"/>
    <n v="211163"/>
    <n v="3703219"/>
    <x v="22"/>
    <x v="45"/>
    <s v="AGLIO OLIO"/>
    <n v="2900"/>
    <n v="0"/>
    <n v="0"/>
    <m/>
  </r>
  <r>
    <x v="9"/>
    <s v="AUG"/>
    <x v="33"/>
    <s v="GRSM 6"/>
    <x v="2"/>
    <s v="GMM"/>
    <n v="211163"/>
    <n v="3703219"/>
    <x v="22"/>
    <x v="45"/>
    <s v="GORENG"/>
    <n v="2900"/>
    <n v="374"/>
    <n v="1084600"/>
    <n v="160"/>
  </r>
  <r>
    <x v="9"/>
    <s v="AUG"/>
    <x v="33"/>
    <s v="GRSM 6"/>
    <x v="2"/>
    <s v="GMM"/>
    <n v="211163"/>
    <n v="3703219"/>
    <x v="22"/>
    <x v="44"/>
    <s v="BOLOGNESE"/>
    <n v="2900"/>
    <n v="235"/>
    <n v="681500"/>
    <m/>
  </r>
  <r>
    <x v="9"/>
    <s v="AUG"/>
    <x v="33"/>
    <s v="GRSM 6"/>
    <x v="2"/>
    <s v="GMM"/>
    <n v="211163"/>
    <n v="3703219"/>
    <x v="22"/>
    <x v="44"/>
    <s v="CARBONARA"/>
    <n v="2900"/>
    <n v="248"/>
    <n v="719200"/>
    <m/>
  </r>
  <r>
    <x v="9"/>
    <s v="AUG"/>
    <x v="33"/>
    <s v="GRSM 6"/>
    <x v="2"/>
    <s v="GMM"/>
    <n v="211163"/>
    <n v="3703219"/>
    <x v="22"/>
    <x v="44"/>
    <s v="AGLIO OLIO"/>
    <n v="2900"/>
    <n v="0"/>
    <n v="0"/>
    <m/>
  </r>
  <r>
    <x v="9"/>
    <s v="AUG"/>
    <x v="33"/>
    <s v="GRSM 6"/>
    <x v="2"/>
    <s v="GMM"/>
    <n v="211163"/>
    <n v="3703219"/>
    <x v="22"/>
    <x v="44"/>
    <s v="GORENG"/>
    <n v="2900"/>
    <n v="374"/>
    <n v="1084600"/>
    <n v="160"/>
  </r>
  <r>
    <x v="9"/>
    <s v="AUG"/>
    <x v="34"/>
    <s v="GRSM 6"/>
    <x v="2"/>
    <s v="GMM"/>
    <n v="211033"/>
    <n v="2001021"/>
    <x v="27"/>
    <x v="54"/>
    <s v="BOLOGNESE"/>
    <n v="3000"/>
    <n v="82"/>
    <n v="246000"/>
    <m/>
  </r>
  <r>
    <x v="9"/>
    <s v="AUG"/>
    <x v="34"/>
    <s v="GRSM 6"/>
    <x v="2"/>
    <s v="GMM"/>
    <n v="211033"/>
    <n v="2001021"/>
    <x v="27"/>
    <x v="54"/>
    <s v="CARBONARA"/>
    <n v="3000"/>
    <n v="126"/>
    <n v="378000"/>
    <m/>
  </r>
  <r>
    <x v="9"/>
    <s v="AUG"/>
    <x v="34"/>
    <s v="GRSM 6"/>
    <x v="2"/>
    <s v="GMM"/>
    <n v="211033"/>
    <n v="2001021"/>
    <x v="27"/>
    <x v="54"/>
    <s v="AGLIO OLIO"/>
    <n v="3000"/>
    <n v="120"/>
    <n v="360000"/>
    <m/>
  </r>
  <r>
    <x v="9"/>
    <s v="AUG"/>
    <x v="34"/>
    <s v="GRSM 6"/>
    <x v="2"/>
    <s v="GMM"/>
    <n v="211033"/>
    <n v="2001021"/>
    <x v="27"/>
    <x v="54"/>
    <s v="GORENG"/>
    <n v="3000"/>
    <n v="254"/>
    <n v="762000"/>
    <n v="160"/>
  </r>
  <r>
    <x v="9"/>
    <s v="AUG"/>
    <x v="34"/>
    <s v="GRSM 6"/>
    <x v="2"/>
    <s v="GMM"/>
    <n v="211033"/>
    <n v="2001021"/>
    <x v="27"/>
    <x v="55"/>
    <s v="BOLOGNESE"/>
    <n v="3000"/>
    <n v="82"/>
    <n v="246000"/>
    <m/>
  </r>
  <r>
    <x v="9"/>
    <s v="AUG"/>
    <x v="34"/>
    <s v="GRSM 6"/>
    <x v="2"/>
    <s v="GMM"/>
    <n v="211033"/>
    <n v="2001021"/>
    <x v="27"/>
    <x v="55"/>
    <s v="CARBONARA"/>
    <n v="3000"/>
    <n v="126"/>
    <n v="378000"/>
    <m/>
  </r>
  <r>
    <x v="9"/>
    <s v="AUG"/>
    <x v="34"/>
    <s v="GRSM 6"/>
    <x v="2"/>
    <s v="GMM"/>
    <n v="211033"/>
    <n v="2001021"/>
    <x v="27"/>
    <x v="55"/>
    <s v="AGLIO OLIO"/>
    <n v="3000"/>
    <n v="120"/>
    <n v="360000"/>
    <m/>
  </r>
  <r>
    <x v="9"/>
    <s v="AUG"/>
    <x v="34"/>
    <s v="GRSM 6"/>
    <x v="2"/>
    <s v="GMM"/>
    <n v="211033"/>
    <n v="2001021"/>
    <x v="27"/>
    <x v="55"/>
    <s v="GORENG"/>
    <n v="3000"/>
    <n v="254"/>
    <n v="762000"/>
    <n v="160"/>
  </r>
  <r>
    <x v="9"/>
    <s v="AUG"/>
    <x v="33"/>
    <s v="GRSM 5"/>
    <x v="1"/>
    <s v="GMM"/>
    <n v="170220"/>
    <n v="1901019"/>
    <x v="19"/>
    <x v="38"/>
    <s v="BOLOGNESE"/>
    <n v="2200"/>
    <n v="110"/>
    <n v="242000"/>
    <m/>
  </r>
  <r>
    <x v="9"/>
    <s v="AUG"/>
    <x v="33"/>
    <s v="GRSM 5"/>
    <x v="1"/>
    <s v="GMM"/>
    <n v="170220"/>
    <n v="1901019"/>
    <x v="19"/>
    <x v="38"/>
    <s v="CARBONARA"/>
    <n v="2200"/>
    <n v="121"/>
    <n v="266200"/>
    <m/>
  </r>
  <r>
    <x v="9"/>
    <s v="AUG"/>
    <x v="33"/>
    <s v="GRSM 5"/>
    <x v="1"/>
    <s v="GMM"/>
    <n v="170220"/>
    <n v="1901019"/>
    <x v="19"/>
    <x v="38"/>
    <s v="AGLIO OLIO"/>
    <n v="2200"/>
    <n v="88"/>
    <n v="193600"/>
    <m/>
  </r>
  <r>
    <x v="9"/>
    <s v="AUG"/>
    <x v="33"/>
    <s v="GRSM 5"/>
    <x v="1"/>
    <s v="GMM"/>
    <n v="170220"/>
    <n v="1901019"/>
    <x v="19"/>
    <x v="38"/>
    <s v="GORENG"/>
    <n v="2200"/>
    <n v="298"/>
    <n v="655600"/>
    <n v="223"/>
  </r>
  <r>
    <x v="9"/>
    <s v="AUG"/>
    <x v="33"/>
    <s v="GRSM 5"/>
    <x v="1"/>
    <s v="GMM"/>
    <n v="170220"/>
    <n v="1901019"/>
    <x v="19"/>
    <x v="37"/>
    <s v="BOLOGNESE"/>
    <n v="2200"/>
    <n v="110"/>
    <n v="242000"/>
    <m/>
  </r>
  <r>
    <x v="9"/>
    <s v="AUG"/>
    <x v="33"/>
    <s v="GRSM 5"/>
    <x v="1"/>
    <s v="GMM"/>
    <n v="170220"/>
    <n v="1901019"/>
    <x v="19"/>
    <x v="37"/>
    <s v="CARBONARA"/>
    <n v="2200"/>
    <n v="121"/>
    <n v="266200"/>
    <m/>
  </r>
  <r>
    <x v="9"/>
    <s v="AUG"/>
    <x v="33"/>
    <s v="GRSM 5"/>
    <x v="1"/>
    <s v="GMM"/>
    <n v="170220"/>
    <n v="1901019"/>
    <x v="19"/>
    <x v="37"/>
    <s v="AGLIO OLIO"/>
    <n v="2200"/>
    <n v="88"/>
    <n v="193600"/>
    <m/>
  </r>
  <r>
    <x v="9"/>
    <s v="AUG"/>
    <x v="33"/>
    <s v="GRSM 5"/>
    <x v="1"/>
    <s v="GMM"/>
    <n v="170220"/>
    <n v="1901019"/>
    <x v="19"/>
    <x v="37"/>
    <s v="GORENG"/>
    <n v="2200"/>
    <n v="298"/>
    <n v="655600"/>
    <n v="223"/>
  </r>
  <r>
    <x v="9"/>
    <s v="AUG"/>
    <x v="33"/>
    <s v="GRSM 5"/>
    <x v="1"/>
    <s v="GMM"/>
    <n v="170220"/>
    <n v="1901004"/>
    <x v="17"/>
    <x v="33"/>
    <s v="BOLOGNESE"/>
    <n v="2200"/>
    <n v="80"/>
    <n v="176000"/>
    <m/>
  </r>
  <r>
    <x v="9"/>
    <s v="AUG"/>
    <x v="33"/>
    <s v="GRSM 5"/>
    <x v="1"/>
    <s v="GMM"/>
    <n v="170220"/>
    <n v="1901004"/>
    <x v="17"/>
    <x v="33"/>
    <s v="CARBONARA"/>
    <n v="2200"/>
    <n v="280"/>
    <n v="616000"/>
    <m/>
  </r>
  <r>
    <x v="9"/>
    <s v="AUG"/>
    <x v="33"/>
    <s v="GRSM 5"/>
    <x v="1"/>
    <s v="GMM"/>
    <n v="170220"/>
    <n v="1901004"/>
    <x v="17"/>
    <x v="33"/>
    <s v="AGLIO OLIO"/>
    <n v="2200"/>
    <n v="20"/>
    <n v="44000"/>
    <m/>
  </r>
  <r>
    <x v="9"/>
    <s v="AUG"/>
    <x v="33"/>
    <s v="GRSM 5"/>
    <x v="1"/>
    <s v="GMM"/>
    <n v="170220"/>
    <n v="1901004"/>
    <x v="17"/>
    <x v="33"/>
    <s v="GORENG"/>
    <n v="2200"/>
    <n v="340"/>
    <n v="748000"/>
    <n v="320"/>
  </r>
  <r>
    <x v="9"/>
    <s v="AUG"/>
    <x v="33"/>
    <s v="GRSM 5"/>
    <x v="1"/>
    <s v="GMM"/>
    <n v="170220"/>
    <n v="1901004"/>
    <x v="17"/>
    <x v="34"/>
    <s v="BOLOGNESE"/>
    <n v="2200"/>
    <n v="80"/>
    <n v="176000"/>
    <m/>
  </r>
  <r>
    <x v="9"/>
    <s v="AUG"/>
    <x v="33"/>
    <s v="GRSM 5"/>
    <x v="1"/>
    <s v="GMM"/>
    <n v="170220"/>
    <n v="1901004"/>
    <x v="17"/>
    <x v="34"/>
    <s v="CARBONARA"/>
    <n v="2200"/>
    <n v="280"/>
    <n v="616000"/>
    <m/>
  </r>
  <r>
    <x v="9"/>
    <s v="AUG"/>
    <x v="33"/>
    <s v="GRSM 5"/>
    <x v="1"/>
    <s v="GMM"/>
    <n v="170220"/>
    <n v="1901004"/>
    <x v="17"/>
    <x v="34"/>
    <s v="AGLIO OLIO"/>
    <n v="2200"/>
    <n v="20"/>
    <n v="44000"/>
    <m/>
  </r>
  <r>
    <x v="9"/>
    <s v="AUG"/>
    <x v="33"/>
    <s v="GRSM 5"/>
    <x v="1"/>
    <s v="GMM"/>
    <n v="170220"/>
    <n v="1901004"/>
    <x v="17"/>
    <x v="34"/>
    <s v="GORENG"/>
    <n v="2200"/>
    <n v="340"/>
    <n v="748000"/>
    <n v="320"/>
  </r>
  <r>
    <x v="9"/>
    <s v="AUG"/>
    <x v="33"/>
    <s v="GRSM 5"/>
    <x v="1"/>
    <s v="GMM"/>
    <n v="170220"/>
    <n v="9000015"/>
    <x v="18"/>
    <x v="35"/>
    <s v="BOLOGNESE"/>
    <n v="2200"/>
    <n v="149"/>
    <n v="327800"/>
    <m/>
  </r>
  <r>
    <x v="9"/>
    <s v="AUG"/>
    <x v="33"/>
    <s v="GRSM 5"/>
    <x v="1"/>
    <s v="GMM"/>
    <n v="170220"/>
    <n v="9000015"/>
    <x v="18"/>
    <x v="35"/>
    <s v="CARBONARA"/>
    <n v="2200"/>
    <n v="276"/>
    <n v="607200"/>
    <m/>
  </r>
  <r>
    <x v="9"/>
    <s v="AUG"/>
    <x v="33"/>
    <s v="GRSM 5"/>
    <x v="1"/>
    <s v="GMM"/>
    <n v="170220"/>
    <n v="9000015"/>
    <x v="18"/>
    <x v="35"/>
    <s v="AGLIO OLIO"/>
    <n v="2200"/>
    <n v="173"/>
    <n v="380600"/>
    <m/>
  </r>
  <r>
    <x v="9"/>
    <s v="AUG"/>
    <x v="33"/>
    <s v="GRSM 5"/>
    <x v="1"/>
    <s v="GMM"/>
    <n v="170220"/>
    <n v="9000015"/>
    <x v="18"/>
    <x v="35"/>
    <s v="GORENG"/>
    <n v="2200"/>
    <n v="378"/>
    <n v="831600"/>
    <n v="320"/>
  </r>
  <r>
    <x v="9"/>
    <s v="AUG"/>
    <x v="33"/>
    <s v="GRSM 5"/>
    <x v="1"/>
    <s v="GMM"/>
    <n v="170220"/>
    <n v="9000015"/>
    <x v="18"/>
    <x v="59"/>
    <s v="BOLOGNESE"/>
    <n v="2200"/>
    <n v="149"/>
    <n v="327800"/>
    <m/>
  </r>
  <r>
    <x v="9"/>
    <s v="AUG"/>
    <x v="33"/>
    <s v="GRSM 5"/>
    <x v="1"/>
    <s v="GMM"/>
    <n v="170220"/>
    <n v="9000015"/>
    <x v="18"/>
    <x v="59"/>
    <s v="CARBONARA"/>
    <n v="2200"/>
    <n v="276"/>
    <n v="607200"/>
    <m/>
  </r>
  <r>
    <x v="9"/>
    <s v="AUG"/>
    <x v="33"/>
    <s v="GRSM 5"/>
    <x v="1"/>
    <s v="GMM"/>
    <n v="170220"/>
    <n v="9000015"/>
    <x v="18"/>
    <x v="59"/>
    <s v="AGLIO OLIO"/>
    <n v="2200"/>
    <n v="173"/>
    <n v="380600"/>
    <m/>
  </r>
  <r>
    <x v="9"/>
    <s v="AUG"/>
    <x v="33"/>
    <s v="GRSM 5"/>
    <x v="1"/>
    <s v="GMM"/>
    <n v="170220"/>
    <n v="9000015"/>
    <x v="18"/>
    <x v="59"/>
    <s v="GORENG"/>
    <n v="2200"/>
    <n v="378"/>
    <n v="831600"/>
    <n v="320"/>
  </r>
  <r>
    <x v="9"/>
    <s v="AUG"/>
    <x v="34"/>
    <s v="GRSM 5"/>
    <x v="1"/>
    <s v="GMM"/>
    <n v="170220"/>
    <n v="9000015"/>
    <x v="18"/>
    <x v="35"/>
    <s v="BOLOGNESE"/>
    <n v="2200"/>
    <n v="199"/>
    <n v="437800"/>
    <m/>
  </r>
  <r>
    <x v="9"/>
    <s v="AUG"/>
    <x v="34"/>
    <s v="GRSM 5"/>
    <x v="1"/>
    <s v="GMM"/>
    <n v="170220"/>
    <n v="9000015"/>
    <x v="18"/>
    <x v="35"/>
    <s v="CARBONARA"/>
    <n v="2200"/>
    <n v="263"/>
    <n v="578600"/>
    <m/>
  </r>
  <r>
    <x v="9"/>
    <s v="AUG"/>
    <x v="34"/>
    <s v="GRSM 5"/>
    <x v="1"/>
    <s v="GMM"/>
    <n v="170220"/>
    <n v="9000015"/>
    <x v="18"/>
    <x v="35"/>
    <s v="AGLIO OLIO"/>
    <n v="2200"/>
    <n v="162"/>
    <n v="356400"/>
    <m/>
  </r>
  <r>
    <x v="9"/>
    <s v="AUG"/>
    <x v="34"/>
    <s v="GRSM 5"/>
    <x v="1"/>
    <s v="GMM"/>
    <n v="170220"/>
    <n v="9000015"/>
    <x v="18"/>
    <x v="35"/>
    <s v="GORENG"/>
    <n v="2200"/>
    <n v="388"/>
    <n v="853600"/>
    <n v="320"/>
  </r>
  <r>
    <x v="9"/>
    <s v="AUG"/>
    <x v="34"/>
    <s v="GRSM 5"/>
    <x v="1"/>
    <s v="GMM"/>
    <n v="170220"/>
    <n v="9000015"/>
    <x v="18"/>
    <x v="59"/>
    <s v="BOLOGNESE"/>
    <n v="2200"/>
    <n v="199"/>
    <n v="437800"/>
    <m/>
  </r>
  <r>
    <x v="9"/>
    <s v="AUG"/>
    <x v="34"/>
    <s v="GRSM 5"/>
    <x v="1"/>
    <s v="GMM"/>
    <n v="170220"/>
    <n v="9000015"/>
    <x v="18"/>
    <x v="59"/>
    <s v="CARBONARA"/>
    <n v="2200"/>
    <n v="263"/>
    <n v="578600"/>
    <m/>
  </r>
  <r>
    <x v="9"/>
    <s v="AUG"/>
    <x v="34"/>
    <s v="GRSM 5"/>
    <x v="1"/>
    <s v="GMM"/>
    <n v="170220"/>
    <n v="9000015"/>
    <x v="18"/>
    <x v="59"/>
    <s v="AGLIO OLIO"/>
    <n v="2200"/>
    <n v="162"/>
    <n v="356400"/>
    <m/>
  </r>
  <r>
    <x v="9"/>
    <s v="AUG"/>
    <x v="34"/>
    <s v="GRSM 5"/>
    <x v="1"/>
    <s v="GMM"/>
    <n v="170220"/>
    <n v="9000015"/>
    <x v="18"/>
    <x v="59"/>
    <s v="GORENG"/>
    <n v="2200"/>
    <n v="388"/>
    <n v="853600"/>
    <n v="320"/>
  </r>
  <r>
    <x v="9"/>
    <s v="AUG"/>
    <x v="34"/>
    <s v="GRSM 5"/>
    <x v="1"/>
    <s v="GMM"/>
    <n v="170220"/>
    <n v="1901019"/>
    <x v="19"/>
    <x v="38"/>
    <s v="BOLOGNESE"/>
    <n v="2200"/>
    <n v="110"/>
    <n v="242000"/>
    <m/>
  </r>
  <r>
    <x v="9"/>
    <s v="AUG"/>
    <x v="34"/>
    <s v="GRSM 5"/>
    <x v="1"/>
    <s v="GMM"/>
    <n v="170220"/>
    <n v="1901019"/>
    <x v="19"/>
    <x v="38"/>
    <s v="CARBONARA"/>
    <n v="2200"/>
    <n v="118"/>
    <n v="259600"/>
    <m/>
  </r>
  <r>
    <x v="9"/>
    <s v="AUG"/>
    <x v="34"/>
    <s v="GRSM 5"/>
    <x v="1"/>
    <s v="GMM"/>
    <n v="170220"/>
    <n v="1901019"/>
    <x v="19"/>
    <x v="38"/>
    <s v="AGLIO OLIO"/>
    <n v="2200"/>
    <n v="83"/>
    <n v="182600"/>
    <m/>
  </r>
  <r>
    <x v="9"/>
    <s v="AUG"/>
    <x v="34"/>
    <s v="GRSM 5"/>
    <x v="1"/>
    <s v="GMM"/>
    <n v="170220"/>
    <n v="1901019"/>
    <x v="19"/>
    <x v="38"/>
    <s v="GORENG"/>
    <n v="2200"/>
    <n v="321"/>
    <n v="706200"/>
    <n v="211"/>
  </r>
  <r>
    <x v="9"/>
    <s v="AUG"/>
    <x v="34"/>
    <s v="GRSM 5"/>
    <x v="1"/>
    <s v="GMM"/>
    <n v="170220"/>
    <n v="1901019"/>
    <x v="19"/>
    <x v="37"/>
    <s v="BOLOGNESE"/>
    <n v="2200"/>
    <n v="110"/>
    <n v="242000"/>
    <m/>
  </r>
  <r>
    <x v="9"/>
    <s v="AUG"/>
    <x v="34"/>
    <s v="GRSM 5"/>
    <x v="1"/>
    <s v="GMM"/>
    <n v="170220"/>
    <n v="1901019"/>
    <x v="19"/>
    <x v="37"/>
    <s v="CARBONARA"/>
    <n v="2200"/>
    <n v="118"/>
    <n v="259600"/>
    <m/>
  </r>
  <r>
    <x v="9"/>
    <s v="AUG"/>
    <x v="34"/>
    <s v="GRSM 5"/>
    <x v="1"/>
    <s v="GMM"/>
    <n v="170220"/>
    <n v="1901019"/>
    <x v="19"/>
    <x v="37"/>
    <s v="AGLIO OLIO"/>
    <n v="2200"/>
    <n v="83"/>
    <n v="182600"/>
    <m/>
  </r>
  <r>
    <x v="9"/>
    <s v="AUG"/>
    <x v="34"/>
    <s v="GRSM 5"/>
    <x v="1"/>
    <s v="GMM"/>
    <n v="170220"/>
    <n v="1901019"/>
    <x v="19"/>
    <x v="37"/>
    <s v="GORENG"/>
    <n v="2200"/>
    <n v="321"/>
    <n v="706200"/>
    <n v="211"/>
  </r>
  <r>
    <x v="9"/>
    <s v="AUG"/>
    <x v="34"/>
    <s v="GRSM 5"/>
    <x v="1"/>
    <s v="GMM"/>
    <n v="170220"/>
    <n v="1901004"/>
    <x v="17"/>
    <x v="33"/>
    <s v="BOLOGNESE"/>
    <n v="2200"/>
    <n v="100"/>
    <n v="220000"/>
    <m/>
  </r>
  <r>
    <x v="9"/>
    <s v="AUG"/>
    <x v="34"/>
    <s v="GRSM 5"/>
    <x v="1"/>
    <s v="GMM"/>
    <n v="170220"/>
    <n v="1901004"/>
    <x v="17"/>
    <x v="33"/>
    <s v="CARBONARA"/>
    <n v="2200"/>
    <n v="320"/>
    <n v="704000"/>
    <m/>
  </r>
  <r>
    <x v="9"/>
    <s v="AUG"/>
    <x v="34"/>
    <s v="GRSM 5"/>
    <x v="1"/>
    <s v="GMM"/>
    <n v="170220"/>
    <n v="1901004"/>
    <x v="17"/>
    <x v="33"/>
    <s v="AGLIO OLIO"/>
    <n v="2200"/>
    <n v="20"/>
    <n v="44000"/>
    <m/>
  </r>
  <r>
    <x v="9"/>
    <s v="AUG"/>
    <x v="34"/>
    <s v="GRSM 5"/>
    <x v="1"/>
    <s v="GMM"/>
    <n v="170220"/>
    <n v="1901004"/>
    <x v="17"/>
    <x v="33"/>
    <s v="GORENG"/>
    <n v="2200"/>
    <n v="400"/>
    <n v="880000"/>
    <n v="320"/>
  </r>
  <r>
    <x v="9"/>
    <s v="AUG"/>
    <x v="34"/>
    <s v="GRSM 5"/>
    <x v="1"/>
    <s v="GMM"/>
    <n v="170220"/>
    <n v="1901004"/>
    <x v="17"/>
    <x v="34"/>
    <s v="BOLOGNESE"/>
    <n v="2200"/>
    <n v="100"/>
    <n v="220000"/>
    <m/>
  </r>
  <r>
    <x v="9"/>
    <s v="AUG"/>
    <x v="34"/>
    <s v="GRSM 5"/>
    <x v="1"/>
    <s v="GMM"/>
    <n v="170220"/>
    <n v="1901004"/>
    <x v="17"/>
    <x v="34"/>
    <s v="CARBONARA"/>
    <n v="2200"/>
    <n v="320"/>
    <n v="704000"/>
    <m/>
  </r>
  <r>
    <x v="9"/>
    <s v="AUG"/>
    <x v="34"/>
    <s v="GRSM 5"/>
    <x v="1"/>
    <s v="GMM"/>
    <n v="170220"/>
    <n v="1901004"/>
    <x v="17"/>
    <x v="34"/>
    <s v="AGLIO OLIO"/>
    <n v="2200"/>
    <n v="20"/>
    <n v="44000"/>
    <m/>
  </r>
  <r>
    <x v="9"/>
    <s v="AUG"/>
    <x v="34"/>
    <s v="GRSM 5"/>
    <x v="1"/>
    <s v="GMM"/>
    <n v="170220"/>
    <n v="1901004"/>
    <x v="17"/>
    <x v="34"/>
    <s v="GORENG"/>
    <n v="2200"/>
    <n v="400"/>
    <n v="880000"/>
    <n v="320"/>
  </r>
  <r>
    <x v="10"/>
    <s v="AUG"/>
    <x v="35"/>
    <s v="GRSM 3A"/>
    <x v="0"/>
    <s v="GMM"/>
    <n v="211019"/>
    <n v="1556924"/>
    <x v="34"/>
    <x v="70"/>
    <s v="BOLOGNESE"/>
    <n v="2200"/>
    <n v="52"/>
    <n v="114400"/>
    <m/>
  </r>
  <r>
    <x v="10"/>
    <s v="AUG"/>
    <x v="35"/>
    <s v="GRSM 3A"/>
    <x v="0"/>
    <s v="GMM"/>
    <n v="211019"/>
    <n v="1556924"/>
    <x v="34"/>
    <x v="70"/>
    <s v="CARBONARA"/>
    <n v="2200"/>
    <n v="40"/>
    <n v="88000"/>
    <m/>
  </r>
  <r>
    <x v="10"/>
    <s v="AUG"/>
    <x v="35"/>
    <s v="GRSM 3A"/>
    <x v="0"/>
    <s v="GMM"/>
    <n v="211019"/>
    <n v="1556924"/>
    <x v="34"/>
    <x v="70"/>
    <s v="AGLIO OLIO"/>
    <n v="2200"/>
    <n v="9"/>
    <n v="19800"/>
    <m/>
  </r>
  <r>
    <x v="10"/>
    <s v="AUG"/>
    <x v="35"/>
    <s v="GRSM 3A"/>
    <x v="0"/>
    <s v="GMM"/>
    <n v="211019"/>
    <n v="1556924"/>
    <x v="34"/>
    <x v="70"/>
    <s v="GORENG"/>
    <n v="2200"/>
    <n v="186"/>
    <n v="409200"/>
    <n v="120"/>
  </r>
  <r>
    <x v="10"/>
    <s v="AUG"/>
    <x v="35"/>
    <s v="GRSM 3A"/>
    <x v="0"/>
    <s v="GMM"/>
    <n v="211019"/>
    <n v="1556924"/>
    <x v="34"/>
    <x v="71"/>
    <s v="BOLOGNESE"/>
    <n v="2200"/>
    <n v="52"/>
    <n v="114400"/>
    <m/>
  </r>
  <r>
    <x v="10"/>
    <s v="AUG"/>
    <x v="35"/>
    <s v="GRSM 3A"/>
    <x v="0"/>
    <s v="GMM"/>
    <n v="211019"/>
    <n v="1556924"/>
    <x v="34"/>
    <x v="71"/>
    <s v="CARBONARA"/>
    <n v="2200"/>
    <n v="40"/>
    <n v="88000"/>
    <m/>
  </r>
  <r>
    <x v="10"/>
    <s v="AUG"/>
    <x v="35"/>
    <s v="GRSM 3A"/>
    <x v="0"/>
    <s v="GMM"/>
    <n v="211019"/>
    <n v="1556924"/>
    <x v="34"/>
    <x v="71"/>
    <s v="AGLIO OLIO"/>
    <n v="2200"/>
    <n v="9"/>
    <n v="19800"/>
    <m/>
  </r>
  <r>
    <x v="10"/>
    <s v="AUG"/>
    <x v="35"/>
    <s v="GRSM 3A"/>
    <x v="0"/>
    <s v="GMM"/>
    <n v="211019"/>
    <n v="1556924"/>
    <x v="34"/>
    <x v="71"/>
    <s v="GORENG"/>
    <n v="2200"/>
    <n v="186"/>
    <n v="409200"/>
    <n v="120"/>
  </r>
  <r>
    <x v="10"/>
    <s v="AUG"/>
    <x v="35"/>
    <s v="GRSM 4"/>
    <x v="0"/>
    <s v="GMM"/>
    <n v="103259"/>
    <n v="9029389"/>
    <x v="35"/>
    <x v="21"/>
    <s v="BOLOGNESE"/>
    <n v="3000"/>
    <n v="30"/>
    <n v="90000"/>
    <m/>
  </r>
  <r>
    <x v="10"/>
    <s v="AUG"/>
    <x v="35"/>
    <s v="GRSM 4"/>
    <x v="0"/>
    <s v="GMM"/>
    <n v="103259"/>
    <n v="9029389"/>
    <x v="35"/>
    <x v="21"/>
    <s v="CARBONARA"/>
    <n v="3000"/>
    <n v="49"/>
    <n v="147000"/>
    <m/>
  </r>
  <r>
    <x v="10"/>
    <s v="AUG"/>
    <x v="35"/>
    <s v="GRSM 4"/>
    <x v="0"/>
    <s v="GMM"/>
    <n v="103259"/>
    <n v="9029389"/>
    <x v="35"/>
    <x v="21"/>
    <s v="AGLIO OLIO"/>
    <n v="3000"/>
    <n v="29"/>
    <n v="87000"/>
    <m/>
  </r>
  <r>
    <x v="10"/>
    <s v="AUG"/>
    <x v="35"/>
    <s v="GRSM 4"/>
    <x v="0"/>
    <s v="GMM"/>
    <n v="103259"/>
    <n v="9029389"/>
    <x v="35"/>
    <x v="21"/>
    <s v="GORENG"/>
    <n v="3000"/>
    <n v="119"/>
    <n v="357000"/>
    <n v="160"/>
  </r>
  <r>
    <x v="10"/>
    <s v="AUG"/>
    <x v="35"/>
    <s v="GRSM 4"/>
    <x v="0"/>
    <s v="GMM"/>
    <n v="103259"/>
    <n v="9029389"/>
    <x v="35"/>
    <x v="17"/>
    <s v="BOLOGNESE"/>
    <n v="3000"/>
    <n v="30"/>
    <n v="90000"/>
    <m/>
  </r>
  <r>
    <x v="10"/>
    <s v="AUG"/>
    <x v="35"/>
    <s v="GRSM 4"/>
    <x v="0"/>
    <s v="GMM"/>
    <n v="103259"/>
    <n v="9029389"/>
    <x v="35"/>
    <x v="17"/>
    <s v="CARBONARA"/>
    <n v="3000"/>
    <n v="49"/>
    <n v="147000"/>
    <m/>
  </r>
  <r>
    <x v="10"/>
    <s v="AUG"/>
    <x v="35"/>
    <s v="GRSM 4"/>
    <x v="0"/>
    <s v="GMM"/>
    <n v="103259"/>
    <n v="9029389"/>
    <x v="35"/>
    <x v="17"/>
    <s v="AGLIO OLIO"/>
    <n v="3000"/>
    <n v="32"/>
    <n v="96000"/>
    <m/>
  </r>
  <r>
    <x v="10"/>
    <s v="AUG"/>
    <x v="35"/>
    <s v="GRSM 4"/>
    <x v="0"/>
    <s v="GMM"/>
    <n v="103259"/>
    <n v="9029389"/>
    <x v="35"/>
    <x v="17"/>
    <s v="GORENG"/>
    <n v="3000"/>
    <n v="119"/>
    <n v="357000"/>
    <n v="160"/>
  </r>
  <r>
    <x v="10"/>
    <s v="AUG"/>
    <x v="35"/>
    <s v="GRSM 4"/>
    <x v="0"/>
    <s v="NKA"/>
    <n v="189901"/>
    <n v="1602057"/>
    <x v="36"/>
    <x v="15"/>
    <s v="BOLOGNESE"/>
    <n v="2150"/>
    <n v="69"/>
    <n v="148350"/>
    <m/>
  </r>
  <r>
    <x v="10"/>
    <s v="AUG"/>
    <x v="35"/>
    <s v="GRSM 4"/>
    <x v="0"/>
    <s v="NKA"/>
    <n v="189901"/>
    <n v="1602057"/>
    <x v="36"/>
    <x v="15"/>
    <s v="CARBONARA"/>
    <n v="2150"/>
    <n v="63"/>
    <n v="135450"/>
    <m/>
  </r>
  <r>
    <x v="10"/>
    <s v="AUG"/>
    <x v="35"/>
    <s v="GRSM 4"/>
    <x v="0"/>
    <s v="NKA"/>
    <n v="189901"/>
    <n v="1602057"/>
    <x v="36"/>
    <x v="15"/>
    <s v="AGLIO OLIO"/>
    <n v="2150"/>
    <n v="39"/>
    <n v="83850"/>
    <m/>
  </r>
  <r>
    <x v="10"/>
    <s v="AUG"/>
    <x v="35"/>
    <s v="GRSM 4"/>
    <x v="0"/>
    <s v="NKA"/>
    <n v="189901"/>
    <n v="1602057"/>
    <x v="36"/>
    <x v="15"/>
    <s v="GORENG"/>
    <n v="2150"/>
    <n v="90"/>
    <n v="193500"/>
    <n v="160"/>
  </r>
  <r>
    <x v="10"/>
    <s v="AUG"/>
    <x v="35"/>
    <s v="GRSM 4"/>
    <x v="0"/>
    <s v="NKA"/>
    <n v="189901"/>
    <n v="1602057"/>
    <x v="36"/>
    <x v="24"/>
    <s v="BOLOGNESE"/>
    <n v="2150"/>
    <n v="69"/>
    <n v="148350"/>
    <m/>
  </r>
  <r>
    <x v="10"/>
    <s v="AUG"/>
    <x v="35"/>
    <s v="GRSM 4"/>
    <x v="0"/>
    <s v="NKA"/>
    <n v="189901"/>
    <n v="1602057"/>
    <x v="36"/>
    <x v="24"/>
    <s v="CARBONARA"/>
    <n v="2150"/>
    <n v="63"/>
    <n v="135450"/>
    <m/>
  </r>
  <r>
    <x v="10"/>
    <s v="AUG"/>
    <x v="35"/>
    <s v="GRSM 4"/>
    <x v="0"/>
    <s v="NKA"/>
    <n v="189901"/>
    <n v="1602057"/>
    <x v="36"/>
    <x v="24"/>
    <s v="AGLIO OLIO"/>
    <n v="2150"/>
    <n v="35"/>
    <n v="75250"/>
    <m/>
  </r>
  <r>
    <x v="10"/>
    <s v="AUG"/>
    <x v="35"/>
    <s v="GRSM 4"/>
    <x v="0"/>
    <s v="NKA"/>
    <n v="189901"/>
    <n v="1602057"/>
    <x v="36"/>
    <x v="24"/>
    <s v="GORENG"/>
    <n v="2150"/>
    <n v="90"/>
    <n v="193500"/>
    <n v="160"/>
  </r>
  <r>
    <x v="10"/>
    <s v="AUG"/>
    <x v="35"/>
    <s v="GRSM 4"/>
    <x v="0"/>
    <s v="GMM"/>
    <n v="103257"/>
    <n v="9162509"/>
    <x v="25"/>
    <x v="58"/>
    <s v="BOLOGNESE"/>
    <n v="3200"/>
    <n v="35"/>
    <n v="112000"/>
    <m/>
  </r>
  <r>
    <x v="10"/>
    <s v="AUG"/>
    <x v="35"/>
    <s v="GRSM 4"/>
    <x v="0"/>
    <s v="GMM"/>
    <n v="103257"/>
    <n v="9162509"/>
    <x v="25"/>
    <x v="58"/>
    <s v="CARBONARA"/>
    <n v="3200"/>
    <n v="26"/>
    <n v="83200"/>
    <m/>
  </r>
  <r>
    <x v="10"/>
    <s v="AUG"/>
    <x v="35"/>
    <s v="GRSM 4"/>
    <x v="0"/>
    <s v="GMM"/>
    <n v="103257"/>
    <n v="9162509"/>
    <x v="25"/>
    <x v="58"/>
    <s v="AGLIO OLIO"/>
    <n v="3200"/>
    <n v="77"/>
    <n v="246400"/>
    <m/>
  </r>
  <r>
    <x v="10"/>
    <s v="AUG"/>
    <x v="35"/>
    <s v="GRSM 4"/>
    <x v="0"/>
    <s v="GMM"/>
    <n v="103257"/>
    <n v="9162509"/>
    <x v="25"/>
    <x v="58"/>
    <s v="GORENG"/>
    <n v="3200"/>
    <n v="34"/>
    <n v="108800"/>
    <n v="160"/>
  </r>
  <r>
    <x v="10"/>
    <s v="AUG"/>
    <x v="35"/>
    <s v="GRSM 4"/>
    <x v="0"/>
    <s v="GMM"/>
    <n v="103257"/>
    <n v="9162509"/>
    <x v="25"/>
    <x v="72"/>
    <s v="BOLOGNESE"/>
    <n v="3200"/>
    <n v="25"/>
    <n v="80000"/>
    <m/>
  </r>
  <r>
    <x v="10"/>
    <s v="AUG"/>
    <x v="35"/>
    <s v="GRSM 4"/>
    <x v="0"/>
    <s v="GMM"/>
    <n v="103257"/>
    <n v="9162509"/>
    <x v="25"/>
    <x v="72"/>
    <s v="CARBONARA"/>
    <n v="3200"/>
    <n v="34"/>
    <n v="108800"/>
    <m/>
  </r>
  <r>
    <x v="10"/>
    <s v="AUG"/>
    <x v="35"/>
    <s v="GRSM 4"/>
    <x v="0"/>
    <s v="GMM"/>
    <n v="103257"/>
    <n v="9162509"/>
    <x v="25"/>
    <x v="72"/>
    <s v="AGLIO OLIO"/>
    <n v="3200"/>
    <n v="43"/>
    <n v="137600"/>
    <m/>
  </r>
  <r>
    <x v="10"/>
    <s v="AUG"/>
    <x v="35"/>
    <s v="GRSM 4"/>
    <x v="0"/>
    <s v="GMM"/>
    <n v="103257"/>
    <n v="9162509"/>
    <x v="25"/>
    <x v="72"/>
    <s v="GORENG"/>
    <n v="3200"/>
    <n v="26"/>
    <n v="83200"/>
    <n v="160"/>
  </r>
  <r>
    <x v="10"/>
    <s v="AUG"/>
    <x v="35"/>
    <s v="GRSM 4"/>
    <x v="0"/>
    <s v="GMM"/>
    <n v="103259"/>
    <n v="9002359"/>
    <x v="37"/>
    <x v="1"/>
    <s v="BOLOGNESE"/>
    <n v="3000"/>
    <n v="42"/>
    <n v="126000"/>
    <m/>
  </r>
  <r>
    <x v="10"/>
    <s v="AUG"/>
    <x v="35"/>
    <s v="GRSM 4"/>
    <x v="0"/>
    <s v="GMM"/>
    <n v="103259"/>
    <n v="9002359"/>
    <x v="37"/>
    <x v="1"/>
    <s v="CARBONARA"/>
    <n v="3000"/>
    <n v="0"/>
    <n v="0"/>
    <m/>
  </r>
  <r>
    <x v="10"/>
    <s v="AUG"/>
    <x v="35"/>
    <s v="GRSM 4"/>
    <x v="0"/>
    <s v="GMM"/>
    <n v="103259"/>
    <n v="9002359"/>
    <x v="37"/>
    <x v="1"/>
    <s v="AGLIO OLIO"/>
    <n v="3000"/>
    <n v="0"/>
    <n v="0"/>
    <m/>
  </r>
  <r>
    <x v="10"/>
    <s v="AUG"/>
    <x v="35"/>
    <s v="GRSM 4"/>
    <x v="0"/>
    <s v="GMM"/>
    <n v="103259"/>
    <n v="9002359"/>
    <x v="37"/>
    <x v="1"/>
    <s v="GORENG"/>
    <n v="3000"/>
    <n v="240"/>
    <n v="720000"/>
    <m/>
  </r>
  <r>
    <x v="10"/>
    <s v="AUG"/>
    <x v="35"/>
    <s v="GRSM 4"/>
    <x v="0"/>
    <s v="NKA"/>
    <n v="121409"/>
    <n v="5025004"/>
    <x v="38"/>
    <x v="26"/>
    <s v="BOLOGNESE"/>
    <n v="2100"/>
    <n v="65"/>
    <n v="136500"/>
    <m/>
  </r>
  <r>
    <x v="10"/>
    <s v="AUG"/>
    <x v="35"/>
    <s v="GRSM 4"/>
    <x v="0"/>
    <s v="NKA"/>
    <n v="121409"/>
    <n v="5025004"/>
    <x v="38"/>
    <x v="26"/>
    <s v="CARBONARA"/>
    <n v="2100"/>
    <n v="74"/>
    <n v="155400"/>
    <m/>
  </r>
  <r>
    <x v="10"/>
    <s v="AUG"/>
    <x v="35"/>
    <s v="GRSM 4"/>
    <x v="0"/>
    <s v="NKA"/>
    <n v="121409"/>
    <n v="5025004"/>
    <x v="38"/>
    <x v="26"/>
    <s v="AGLIO OLIO"/>
    <n v="2100"/>
    <n v="63"/>
    <n v="132300"/>
    <m/>
  </r>
  <r>
    <x v="10"/>
    <s v="AUG"/>
    <x v="35"/>
    <s v="GRSM 4"/>
    <x v="0"/>
    <s v="NKA"/>
    <n v="121409"/>
    <n v="5025004"/>
    <x v="38"/>
    <x v="26"/>
    <s v="GORENG"/>
    <n v="2100"/>
    <n v="85"/>
    <n v="178500"/>
    <m/>
  </r>
  <r>
    <x v="10"/>
    <s v="AUG"/>
    <x v="35"/>
    <s v="GRSM 4"/>
    <x v="0"/>
    <s v="NKA"/>
    <n v="121409"/>
    <n v="5025004"/>
    <x v="38"/>
    <x v="27"/>
    <s v="BOLOGNESE"/>
    <n v="2100"/>
    <n v="65"/>
    <n v="136500"/>
    <m/>
  </r>
  <r>
    <x v="10"/>
    <s v="AUG"/>
    <x v="35"/>
    <s v="GRSM 4"/>
    <x v="0"/>
    <s v="NKA"/>
    <n v="121409"/>
    <n v="5025004"/>
    <x v="38"/>
    <x v="27"/>
    <s v="CARBONARA"/>
    <n v="2100"/>
    <n v="74"/>
    <n v="155400"/>
    <m/>
  </r>
  <r>
    <x v="10"/>
    <s v="AUG"/>
    <x v="35"/>
    <s v="GRSM 4"/>
    <x v="0"/>
    <s v="NKA"/>
    <n v="121409"/>
    <n v="5025004"/>
    <x v="38"/>
    <x v="27"/>
    <s v="AGLIO OLIO"/>
    <n v="2100"/>
    <n v="63"/>
    <n v="132300"/>
    <m/>
  </r>
  <r>
    <x v="10"/>
    <s v="AUG"/>
    <x v="35"/>
    <s v="GRSM 4"/>
    <x v="0"/>
    <s v="NKA"/>
    <n v="121409"/>
    <n v="5025004"/>
    <x v="38"/>
    <x v="27"/>
    <s v="GORENG"/>
    <n v="2100"/>
    <n v="85"/>
    <n v="178500"/>
    <m/>
  </r>
  <r>
    <x v="10"/>
    <s v="AUG"/>
    <x v="35"/>
    <s v="GRSM 4"/>
    <x v="0"/>
    <s v="GMM"/>
    <n v="103259"/>
    <n v="9006219"/>
    <x v="39"/>
    <x v="5"/>
    <s v="BOLOGNESE"/>
    <n v="2200"/>
    <n v="45"/>
    <n v="99000"/>
    <m/>
  </r>
  <r>
    <x v="10"/>
    <s v="AUG"/>
    <x v="35"/>
    <s v="GRSM 4"/>
    <x v="0"/>
    <s v="GMM"/>
    <n v="103259"/>
    <n v="9006219"/>
    <x v="39"/>
    <x v="5"/>
    <s v="CARBONARA"/>
    <n v="2200"/>
    <n v="47"/>
    <n v="103400"/>
    <m/>
  </r>
  <r>
    <x v="10"/>
    <s v="AUG"/>
    <x v="35"/>
    <s v="GRSM 4"/>
    <x v="0"/>
    <s v="GMM"/>
    <n v="103259"/>
    <n v="9006219"/>
    <x v="39"/>
    <x v="5"/>
    <s v="AGLIO OLIO"/>
    <n v="2200"/>
    <n v="40"/>
    <n v="88000"/>
    <m/>
  </r>
  <r>
    <x v="10"/>
    <s v="AUG"/>
    <x v="35"/>
    <s v="GRSM 4"/>
    <x v="0"/>
    <s v="GMM"/>
    <n v="103259"/>
    <n v="9006219"/>
    <x v="39"/>
    <x v="5"/>
    <s v="GORENG"/>
    <n v="2200"/>
    <n v="75"/>
    <n v="165000"/>
    <n v="160"/>
  </r>
  <r>
    <x v="10"/>
    <s v="AUG"/>
    <x v="35"/>
    <s v="GRSM 4"/>
    <x v="0"/>
    <s v="GMM"/>
    <n v="103259"/>
    <n v="9006219"/>
    <x v="39"/>
    <x v="4"/>
    <s v="BOLOGNESE"/>
    <n v="2200"/>
    <n v="45"/>
    <n v="99000"/>
    <m/>
  </r>
  <r>
    <x v="10"/>
    <s v="AUG"/>
    <x v="35"/>
    <s v="GRSM 4"/>
    <x v="0"/>
    <s v="GMM"/>
    <n v="103259"/>
    <n v="9006219"/>
    <x v="39"/>
    <x v="4"/>
    <s v="CARBONARA"/>
    <n v="2200"/>
    <n v="47"/>
    <n v="103400"/>
    <m/>
  </r>
  <r>
    <x v="10"/>
    <s v="AUG"/>
    <x v="35"/>
    <s v="GRSM 4"/>
    <x v="0"/>
    <s v="GMM"/>
    <n v="103259"/>
    <n v="9006219"/>
    <x v="39"/>
    <x v="4"/>
    <s v="AGLIO OLIO"/>
    <n v="2200"/>
    <n v="36"/>
    <n v="79200"/>
    <m/>
  </r>
  <r>
    <x v="10"/>
    <s v="AUG"/>
    <x v="35"/>
    <s v="GRSM 4"/>
    <x v="0"/>
    <s v="GMM"/>
    <n v="103259"/>
    <n v="9006219"/>
    <x v="39"/>
    <x v="4"/>
    <s v="GORENG"/>
    <n v="2200"/>
    <n v="75"/>
    <n v="165000"/>
    <n v="160"/>
  </r>
  <r>
    <x v="10"/>
    <s v="AUG"/>
    <x v="35"/>
    <s v="GRSM 4"/>
    <x v="0"/>
    <s v="GMM"/>
    <n v="103258"/>
    <n v="9201924"/>
    <x v="40"/>
    <x v="73"/>
    <s v="BOLOGNESE"/>
    <n v="2200"/>
    <n v="180"/>
    <n v="396000"/>
    <m/>
  </r>
  <r>
    <x v="10"/>
    <s v="AUG"/>
    <x v="35"/>
    <s v="GRSM 4"/>
    <x v="0"/>
    <s v="GMM"/>
    <n v="103258"/>
    <n v="9201924"/>
    <x v="40"/>
    <x v="73"/>
    <s v="CARBONARA"/>
    <n v="2200"/>
    <n v="180"/>
    <n v="396000"/>
    <m/>
  </r>
  <r>
    <x v="10"/>
    <s v="AUG"/>
    <x v="35"/>
    <s v="GRSM 4"/>
    <x v="0"/>
    <s v="GMM"/>
    <n v="103258"/>
    <n v="9201924"/>
    <x v="40"/>
    <x v="73"/>
    <s v="AGLIO OLIO"/>
    <n v="2200"/>
    <n v="0"/>
    <n v="0"/>
    <m/>
  </r>
  <r>
    <x v="10"/>
    <s v="AUG"/>
    <x v="35"/>
    <s v="GRSM 4"/>
    <x v="0"/>
    <s v="GMM"/>
    <n v="103258"/>
    <n v="9201924"/>
    <x v="40"/>
    <x v="73"/>
    <s v="GORENG"/>
    <n v="2200"/>
    <n v="0"/>
    <n v="0"/>
    <n v="10"/>
  </r>
  <r>
    <x v="10"/>
    <s v="AUG"/>
    <x v="35"/>
    <s v="GRSM 4"/>
    <x v="0"/>
    <s v="GMM"/>
    <n v="103258"/>
    <n v="9201924"/>
    <x v="40"/>
    <x v="74"/>
    <s v="BOLOGNESE"/>
    <n v="2200"/>
    <n v="180"/>
    <n v="396000"/>
    <m/>
  </r>
  <r>
    <x v="10"/>
    <s v="AUG"/>
    <x v="35"/>
    <s v="GRSM 4"/>
    <x v="0"/>
    <s v="GMM"/>
    <n v="103258"/>
    <n v="9201924"/>
    <x v="40"/>
    <x v="74"/>
    <s v="CARBONARA"/>
    <n v="2200"/>
    <n v="180"/>
    <n v="396000"/>
    <m/>
  </r>
  <r>
    <x v="10"/>
    <s v="AUG"/>
    <x v="35"/>
    <s v="GRSM 4"/>
    <x v="0"/>
    <s v="GMM"/>
    <n v="103258"/>
    <n v="9201924"/>
    <x v="40"/>
    <x v="74"/>
    <s v="AGLIO OLIO"/>
    <n v="2200"/>
    <n v="0"/>
    <n v="0"/>
    <m/>
  </r>
  <r>
    <x v="10"/>
    <s v="AUG"/>
    <x v="35"/>
    <s v="GRSM 4"/>
    <x v="0"/>
    <s v="GMM"/>
    <n v="103258"/>
    <n v="9201924"/>
    <x v="40"/>
    <x v="74"/>
    <s v="GORENG"/>
    <n v="2200"/>
    <n v="0"/>
    <n v="0"/>
    <n v="10"/>
  </r>
  <r>
    <x v="10"/>
    <s v="AUG"/>
    <x v="36"/>
    <s v="GRSM 4"/>
    <x v="0"/>
    <s v="GMM"/>
    <n v="103259"/>
    <n v="9002359"/>
    <x v="37"/>
    <x v="1"/>
    <s v="BOLOGNESE"/>
    <n v="3000"/>
    <n v="42"/>
    <n v="126000"/>
    <m/>
  </r>
  <r>
    <x v="10"/>
    <s v="AUG"/>
    <x v="36"/>
    <s v="GRSM 4"/>
    <x v="0"/>
    <s v="GMM"/>
    <n v="103259"/>
    <n v="9002359"/>
    <x v="37"/>
    <x v="1"/>
    <s v="CARBONARA"/>
    <n v="3000"/>
    <n v="0"/>
    <n v="0"/>
    <m/>
  </r>
  <r>
    <x v="10"/>
    <s v="AUG"/>
    <x v="36"/>
    <s v="GRSM 4"/>
    <x v="0"/>
    <s v="GMM"/>
    <n v="103259"/>
    <n v="9002359"/>
    <x v="37"/>
    <x v="1"/>
    <s v="AGLIO OLIO"/>
    <n v="3000"/>
    <n v="0"/>
    <n v="0"/>
    <m/>
  </r>
  <r>
    <x v="10"/>
    <s v="AUG"/>
    <x v="36"/>
    <s v="GRSM 4"/>
    <x v="0"/>
    <s v="GMM"/>
    <n v="103259"/>
    <n v="9002359"/>
    <x v="37"/>
    <x v="1"/>
    <s v="GORENG"/>
    <n v="3000"/>
    <n v="240"/>
    <n v="720000"/>
    <n v="160"/>
  </r>
  <r>
    <x v="10"/>
    <s v="AUG"/>
    <x v="36"/>
    <s v="GRSM 4"/>
    <x v="0"/>
    <s v="GMM"/>
    <n v="103259"/>
    <n v="9002359"/>
    <x v="37"/>
    <x v="75"/>
    <s v="BOLOGNESE"/>
    <n v="3000"/>
    <n v="42"/>
    <n v="126000"/>
    <m/>
  </r>
  <r>
    <x v="10"/>
    <s v="AUG"/>
    <x v="36"/>
    <s v="GRSM 4"/>
    <x v="0"/>
    <s v="GMM"/>
    <n v="103259"/>
    <n v="9002359"/>
    <x v="37"/>
    <x v="75"/>
    <s v="CARBONARA"/>
    <n v="3000"/>
    <n v="0"/>
    <n v="0"/>
    <m/>
  </r>
  <r>
    <x v="10"/>
    <s v="AUG"/>
    <x v="36"/>
    <s v="GRSM 4"/>
    <x v="0"/>
    <s v="GMM"/>
    <n v="103259"/>
    <n v="9002359"/>
    <x v="37"/>
    <x v="75"/>
    <s v="AGLIO OLIO"/>
    <n v="3000"/>
    <n v="0"/>
    <n v="0"/>
    <m/>
  </r>
  <r>
    <x v="10"/>
    <s v="AUG"/>
    <x v="36"/>
    <s v="GRSM 4"/>
    <x v="0"/>
    <s v="GMM"/>
    <n v="103259"/>
    <n v="9002359"/>
    <x v="37"/>
    <x v="75"/>
    <s v="GORENG"/>
    <n v="3000"/>
    <n v="240"/>
    <n v="720000"/>
    <n v="160"/>
  </r>
  <r>
    <x v="10"/>
    <s v="AUG"/>
    <x v="36"/>
    <s v="GRSM 3A"/>
    <x v="0"/>
    <s v="GMM"/>
    <n v="211019"/>
    <n v="1556924"/>
    <x v="34"/>
    <x v="70"/>
    <s v="BOLOGNESE"/>
    <n v="2200"/>
    <n v="74"/>
    <n v="162800"/>
    <m/>
  </r>
  <r>
    <x v="10"/>
    <s v="AUG"/>
    <x v="36"/>
    <s v="GRSM 3A"/>
    <x v="0"/>
    <s v="GMM"/>
    <n v="211019"/>
    <n v="1556924"/>
    <x v="34"/>
    <x v="70"/>
    <s v="CARBONARA"/>
    <n v="2200"/>
    <n v="50"/>
    <n v="110000"/>
    <m/>
  </r>
  <r>
    <x v="10"/>
    <s v="AUG"/>
    <x v="36"/>
    <s v="GRSM 3A"/>
    <x v="0"/>
    <s v="GMM"/>
    <n v="211019"/>
    <n v="1556924"/>
    <x v="34"/>
    <x v="70"/>
    <s v="AGLIO OLIO"/>
    <n v="2200"/>
    <n v="22"/>
    <n v="48400"/>
    <m/>
  </r>
  <r>
    <x v="10"/>
    <s v="AUG"/>
    <x v="36"/>
    <s v="GRSM 3A"/>
    <x v="0"/>
    <s v="GMM"/>
    <n v="211019"/>
    <n v="1556924"/>
    <x v="34"/>
    <x v="70"/>
    <s v="GORENG"/>
    <n v="2200"/>
    <n v="90"/>
    <n v="198000"/>
    <n v="125"/>
  </r>
  <r>
    <x v="10"/>
    <s v="AUG"/>
    <x v="36"/>
    <s v="GRSM 3A"/>
    <x v="0"/>
    <s v="GMM"/>
    <n v="211019"/>
    <n v="1556924"/>
    <x v="34"/>
    <x v="71"/>
    <s v="BOLOGNESE"/>
    <n v="2200"/>
    <n v="73"/>
    <n v="160600"/>
    <m/>
  </r>
  <r>
    <x v="10"/>
    <s v="AUG"/>
    <x v="36"/>
    <s v="GRSM 3A"/>
    <x v="0"/>
    <s v="GMM"/>
    <n v="211019"/>
    <n v="1556924"/>
    <x v="34"/>
    <x v="71"/>
    <s v="CARBONARA"/>
    <n v="2200"/>
    <n v="50"/>
    <n v="110000"/>
    <m/>
  </r>
  <r>
    <x v="10"/>
    <s v="AUG"/>
    <x v="36"/>
    <s v="GRSM 3A"/>
    <x v="0"/>
    <s v="GMM"/>
    <n v="211019"/>
    <n v="1556924"/>
    <x v="34"/>
    <x v="71"/>
    <s v="AGLIO OLIO"/>
    <n v="2200"/>
    <n v="22"/>
    <n v="48400"/>
    <m/>
  </r>
  <r>
    <x v="10"/>
    <s v="AUG"/>
    <x v="36"/>
    <s v="GRSM 3A"/>
    <x v="0"/>
    <s v="GMM"/>
    <n v="211019"/>
    <n v="1556924"/>
    <x v="34"/>
    <x v="71"/>
    <s v="GORENG"/>
    <n v="2200"/>
    <n v="90"/>
    <n v="198000"/>
    <n v="125"/>
  </r>
  <r>
    <x v="10"/>
    <s v="AUG"/>
    <x v="36"/>
    <s v="GRSM 4"/>
    <x v="0"/>
    <s v="GMM"/>
    <n v="103259"/>
    <n v="9029389"/>
    <x v="35"/>
    <x v="21"/>
    <s v="BOLOGNESE"/>
    <n v="3000"/>
    <n v="30"/>
    <n v="90000"/>
    <m/>
  </r>
  <r>
    <x v="10"/>
    <s v="AUG"/>
    <x v="36"/>
    <s v="GRSM 4"/>
    <x v="0"/>
    <s v="GMM"/>
    <n v="103259"/>
    <n v="9029389"/>
    <x v="35"/>
    <x v="21"/>
    <s v="CARBONARA"/>
    <n v="3000"/>
    <n v="49"/>
    <n v="147000"/>
    <m/>
  </r>
  <r>
    <x v="10"/>
    <s v="AUG"/>
    <x v="36"/>
    <s v="GRSM 4"/>
    <x v="0"/>
    <s v="GMM"/>
    <n v="103259"/>
    <n v="9029389"/>
    <x v="35"/>
    <x v="21"/>
    <s v="AGLIO OLIO"/>
    <n v="3000"/>
    <n v="27"/>
    <n v="81000"/>
    <m/>
  </r>
  <r>
    <x v="10"/>
    <s v="AUG"/>
    <x v="36"/>
    <s v="GRSM 4"/>
    <x v="0"/>
    <s v="GMM"/>
    <n v="103259"/>
    <n v="9029389"/>
    <x v="35"/>
    <x v="21"/>
    <s v="GORENG"/>
    <n v="3000"/>
    <n v="119"/>
    <n v="357000"/>
    <n v="160"/>
  </r>
  <r>
    <x v="10"/>
    <s v="AUG"/>
    <x v="36"/>
    <s v="GRSM 4"/>
    <x v="0"/>
    <s v="GMM"/>
    <n v="103259"/>
    <n v="9029389"/>
    <x v="35"/>
    <x v="17"/>
    <s v="BOLOGNESE"/>
    <n v="3000"/>
    <n v="30"/>
    <n v="90000"/>
    <m/>
  </r>
  <r>
    <x v="10"/>
    <s v="AUG"/>
    <x v="36"/>
    <s v="GRSM 4"/>
    <x v="0"/>
    <s v="GMM"/>
    <n v="103259"/>
    <n v="9029389"/>
    <x v="35"/>
    <x v="17"/>
    <s v="CARBONARA"/>
    <n v="3000"/>
    <n v="49"/>
    <n v="147000"/>
    <m/>
  </r>
  <r>
    <x v="10"/>
    <s v="AUG"/>
    <x v="36"/>
    <s v="GRSM 4"/>
    <x v="0"/>
    <s v="GMM"/>
    <n v="103259"/>
    <n v="9029389"/>
    <x v="35"/>
    <x v="17"/>
    <s v="AGLIO OLIO"/>
    <n v="3000"/>
    <n v="25"/>
    <n v="75000"/>
    <m/>
  </r>
  <r>
    <x v="10"/>
    <s v="AUG"/>
    <x v="36"/>
    <s v="GRSM 4"/>
    <x v="0"/>
    <s v="GMM"/>
    <n v="103259"/>
    <n v="9029389"/>
    <x v="35"/>
    <x v="17"/>
    <s v="GORENG"/>
    <n v="3000"/>
    <n v="119"/>
    <n v="357000"/>
    <n v="160"/>
  </r>
  <r>
    <x v="10"/>
    <s v="AUG"/>
    <x v="36"/>
    <s v="GRSM 4"/>
    <x v="0"/>
    <s v="NKA"/>
    <n v="121409"/>
    <n v="5025004"/>
    <x v="38"/>
    <x v="26"/>
    <s v="BOLOGNESE"/>
    <n v="2100"/>
    <n v="65"/>
    <n v="136500"/>
    <m/>
  </r>
  <r>
    <x v="10"/>
    <s v="AUG"/>
    <x v="36"/>
    <s v="GRSM 4"/>
    <x v="0"/>
    <s v="NKA"/>
    <n v="121409"/>
    <n v="5025004"/>
    <x v="38"/>
    <x v="26"/>
    <s v="CARBONARA"/>
    <n v="2100"/>
    <n v="74"/>
    <n v="155400"/>
    <m/>
  </r>
  <r>
    <x v="10"/>
    <s v="AUG"/>
    <x v="36"/>
    <s v="GRSM 4"/>
    <x v="0"/>
    <s v="NKA"/>
    <n v="121409"/>
    <n v="5025004"/>
    <x v="38"/>
    <x v="26"/>
    <s v="AGLIO OLIO"/>
    <n v="2100"/>
    <n v="76"/>
    <n v="159600"/>
    <m/>
  </r>
  <r>
    <x v="10"/>
    <s v="AUG"/>
    <x v="36"/>
    <s v="GRSM 4"/>
    <x v="0"/>
    <s v="NKA"/>
    <n v="121409"/>
    <n v="5025004"/>
    <x v="38"/>
    <x v="26"/>
    <s v="GORENG"/>
    <n v="2100"/>
    <n v="85"/>
    <n v="178500"/>
    <n v="160"/>
  </r>
  <r>
    <x v="10"/>
    <s v="AUG"/>
    <x v="36"/>
    <s v="GRSM 4"/>
    <x v="0"/>
    <s v="NKA"/>
    <n v="121409"/>
    <n v="5025004"/>
    <x v="38"/>
    <x v="27"/>
    <s v="BOLOGNESE"/>
    <n v="2100"/>
    <n v="65"/>
    <n v="136500"/>
    <m/>
  </r>
  <r>
    <x v="10"/>
    <s v="AUG"/>
    <x v="36"/>
    <s v="GRSM 4"/>
    <x v="0"/>
    <s v="NKA"/>
    <n v="121409"/>
    <n v="5025004"/>
    <x v="38"/>
    <x v="27"/>
    <s v="CARBONARA"/>
    <n v="2100"/>
    <n v="74"/>
    <n v="155400"/>
    <m/>
  </r>
  <r>
    <x v="10"/>
    <s v="AUG"/>
    <x v="36"/>
    <s v="GRSM 4"/>
    <x v="0"/>
    <s v="NKA"/>
    <n v="121409"/>
    <n v="5025004"/>
    <x v="38"/>
    <x v="27"/>
    <s v="AGLIO OLIO"/>
    <n v="2100"/>
    <n v="76"/>
    <n v="159600"/>
    <m/>
  </r>
  <r>
    <x v="10"/>
    <s v="AUG"/>
    <x v="36"/>
    <s v="GRSM 4"/>
    <x v="0"/>
    <s v="NKA"/>
    <n v="121409"/>
    <n v="5025004"/>
    <x v="38"/>
    <x v="27"/>
    <s v="GORENG"/>
    <n v="2100"/>
    <n v="85"/>
    <n v="178500"/>
    <n v="160"/>
  </r>
  <r>
    <x v="10"/>
    <s v="AUG"/>
    <x v="36"/>
    <s v="GRSM 4"/>
    <x v="0"/>
    <s v="GMM"/>
    <n v="103257"/>
    <n v="9162509"/>
    <x v="25"/>
    <x v="58"/>
    <s v="BOLOGNESE"/>
    <n v="3200"/>
    <n v="45"/>
    <n v="144000"/>
    <m/>
  </r>
  <r>
    <x v="10"/>
    <s v="AUG"/>
    <x v="36"/>
    <s v="GRSM 4"/>
    <x v="0"/>
    <s v="GMM"/>
    <n v="103257"/>
    <n v="9162509"/>
    <x v="25"/>
    <x v="58"/>
    <s v="CARBONARA"/>
    <n v="3200"/>
    <n v="35"/>
    <n v="112000"/>
    <m/>
  </r>
  <r>
    <x v="10"/>
    <s v="AUG"/>
    <x v="36"/>
    <s v="GRSM 4"/>
    <x v="0"/>
    <s v="GMM"/>
    <n v="103257"/>
    <n v="9162509"/>
    <x v="25"/>
    <x v="58"/>
    <s v="AGLIO OLIO"/>
    <n v="3200"/>
    <n v="0"/>
    <n v="0"/>
    <m/>
  </r>
  <r>
    <x v="10"/>
    <s v="AUG"/>
    <x v="36"/>
    <s v="GRSM 4"/>
    <x v="0"/>
    <s v="GMM"/>
    <n v="103257"/>
    <n v="9162509"/>
    <x v="25"/>
    <x v="58"/>
    <s v="GORENG"/>
    <n v="3200"/>
    <n v="33"/>
    <n v="105600"/>
    <n v="160"/>
  </r>
  <r>
    <x v="10"/>
    <s v="AUG"/>
    <x v="36"/>
    <s v="GRSM 4"/>
    <x v="0"/>
    <s v="NKA"/>
    <n v="189901"/>
    <n v="1602057"/>
    <x v="36"/>
    <x v="15"/>
    <s v="BOLOGNESE"/>
    <n v="2150"/>
    <n v="69"/>
    <n v="148350"/>
    <m/>
  </r>
  <r>
    <x v="10"/>
    <s v="AUG"/>
    <x v="36"/>
    <s v="GRSM 4"/>
    <x v="0"/>
    <s v="NKA"/>
    <n v="189901"/>
    <n v="1602057"/>
    <x v="36"/>
    <x v="15"/>
    <s v="CARBONARA"/>
    <n v="2150"/>
    <n v="63"/>
    <n v="135450"/>
    <m/>
  </r>
  <r>
    <x v="10"/>
    <s v="AUG"/>
    <x v="36"/>
    <s v="GRSM 4"/>
    <x v="0"/>
    <s v="NKA"/>
    <n v="189901"/>
    <n v="1602057"/>
    <x v="36"/>
    <x v="15"/>
    <s v="AGLIO OLIO"/>
    <n v="2150"/>
    <n v="45"/>
    <n v="96750"/>
    <m/>
  </r>
  <r>
    <x v="10"/>
    <s v="AUG"/>
    <x v="36"/>
    <s v="GRSM 4"/>
    <x v="0"/>
    <s v="NKA"/>
    <n v="189901"/>
    <n v="1602057"/>
    <x v="36"/>
    <x v="15"/>
    <s v="GORENG"/>
    <n v="2150"/>
    <n v="90"/>
    <n v="193500"/>
    <n v="160"/>
  </r>
  <r>
    <x v="10"/>
    <s v="AUG"/>
    <x v="36"/>
    <s v="GRSM 4"/>
    <x v="0"/>
    <s v="NKA"/>
    <n v="189901"/>
    <n v="1602057"/>
    <x v="36"/>
    <x v="24"/>
    <s v="BOLOGNESE"/>
    <n v="2150"/>
    <n v="69"/>
    <n v="148350"/>
    <m/>
  </r>
  <r>
    <x v="10"/>
    <s v="AUG"/>
    <x v="36"/>
    <s v="GRSM 4"/>
    <x v="0"/>
    <s v="NKA"/>
    <n v="189901"/>
    <n v="1602057"/>
    <x v="36"/>
    <x v="24"/>
    <s v="CARBONARA"/>
    <n v="2150"/>
    <n v="63"/>
    <n v="135450"/>
    <m/>
  </r>
  <r>
    <x v="10"/>
    <s v="AUG"/>
    <x v="36"/>
    <s v="GRSM 4"/>
    <x v="0"/>
    <s v="NKA"/>
    <n v="189901"/>
    <n v="1602057"/>
    <x v="36"/>
    <x v="24"/>
    <s v="AGLIO OLIO"/>
    <n v="2150"/>
    <n v="41"/>
    <n v="88150"/>
    <m/>
  </r>
  <r>
    <x v="10"/>
    <s v="AUG"/>
    <x v="36"/>
    <s v="GRSM 4"/>
    <x v="0"/>
    <s v="NKA"/>
    <n v="189901"/>
    <n v="1602057"/>
    <x v="36"/>
    <x v="24"/>
    <s v="GORENG"/>
    <n v="2150"/>
    <n v="90"/>
    <n v="193500"/>
    <n v="160"/>
  </r>
  <r>
    <x v="10"/>
    <s v="AUG"/>
    <x v="36"/>
    <s v="GRSM 4"/>
    <x v="0"/>
    <s v="GMM"/>
    <n v="103259"/>
    <n v="9006219"/>
    <x v="39"/>
    <x v="5"/>
    <s v="BOLOGNESE"/>
    <n v="2200"/>
    <n v="45"/>
    <n v="99000"/>
    <m/>
  </r>
  <r>
    <x v="10"/>
    <s v="AUG"/>
    <x v="36"/>
    <s v="GRSM 4"/>
    <x v="0"/>
    <s v="GMM"/>
    <n v="103259"/>
    <n v="9006219"/>
    <x v="39"/>
    <x v="5"/>
    <s v="CARBONARA"/>
    <n v="2200"/>
    <n v="47"/>
    <n v="103400"/>
    <m/>
  </r>
  <r>
    <x v="10"/>
    <s v="AUG"/>
    <x v="36"/>
    <s v="GRSM 4"/>
    <x v="0"/>
    <s v="GMM"/>
    <n v="103259"/>
    <n v="9006219"/>
    <x v="39"/>
    <x v="5"/>
    <s v="AGLIO OLIO"/>
    <n v="2200"/>
    <n v="24"/>
    <n v="52800"/>
    <m/>
  </r>
  <r>
    <x v="10"/>
    <s v="AUG"/>
    <x v="36"/>
    <s v="GRSM 4"/>
    <x v="0"/>
    <s v="GMM"/>
    <n v="103259"/>
    <n v="9006219"/>
    <x v="39"/>
    <x v="5"/>
    <s v="GORENG"/>
    <n v="2200"/>
    <n v="75"/>
    <n v="165000"/>
    <n v="160"/>
  </r>
  <r>
    <x v="10"/>
    <s v="AUG"/>
    <x v="36"/>
    <s v="GRSM 4"/>
    <x v="0"/>
    <s v="GMM"/>
    <n v="103259"/>
    <n v="9006219"/>
    <x v="39"/>
    <x v="4"/>
    <s v="BOLOGNESE"/>
    <n v="2200"/>
    <n v="45"/>
    <n v="99000"/>
    <m/>
  </r>
  <r>
    <x v="10"/>
    <s v="AUG"/>
    <x v="36"/>
    <s v="GRSM 4"/>
    <x v="0"/>
    <s v="GMM"/>
    <n v="103259"/>
    <n v="9006219"/>
    <x v="39"/>
    <x v="4"/>
    <s v="CARBONARA"/>
    <n v="2200"/>
    <n v="47"/>
    <n v="103400"/>
    <m/>
  </r>
  <r>
    <x v="10"/>
    <s v="AUG"/>
    <x v="36"/>
    <s v="GRSM 4"/>
    <x v="0"/>
    <s v="GMM"/>
    <n v="103259"/>
    <n v="9006219"/>
    <x v="39"/>
    <x v="4"/>
    <s v="AGLIO OLIO"/>
    <n v="2200"/>
    <n v="18"/>
    <n v="39600"/>
    <m/>
  </r>
  <r>
    <x v="10"/>
    <s v="AUG"/>
    <x v="36"/>
    <s v="GRSM 4"/>
    <x v="0"/>
    <s v="GMM"/>
    <n v="103259"/>
    <n v="9006219"/>
    <x v="39"/>
    <x v="4"/>
    <s v="GORENG"/>
    <n v="2200"/>
    <n v="75"/>
    <n v="165000"/>
    <n v="160"/>
  </r>
  <r>
    <x v="10"/>
    <s v="AUG"/>
    <x v="37"/>
    <s v="GRSM 4"/>
    <x v="0"/>
    <s v="NKA"/>
    <n v="121409"/>
    <n v="5025004"/>
    <x v="38"/>
    <x v="27"/>
    <s v="BOLOGNESE"/>
    <n v="2100"/>
    <n v="65"/>
    <n v="136500"/>
    <m/>
  </r>
  <r>
    <x v="10"/>
    <s v="AUG"/>
    <x v="37"/>
    <s v="GRSM 4"/>
    <x v="0"/>
    <s v="NKA"/>
    <n v="121409"/>
    <n v="5025004"/>
    <x v="38"/>
    <x v="27"/>
    <s v="CARBONARA"/>
    <n v="2100"/>
    <n v="74"/>
    <n v="155400"/>
    <m/>
  </r>
  <r>
    <x v="10"/>
    <s v="AUG"/>
    <x v="37"/>
    <s v="GRSM 4"/>
    <x v="0"/>
    <s v="NKA"/>
    <n v="121409"/>
    <n v="5025004"/>
    <x v="38"/>
    <x v="27"/>
    <s v="AGLIO OLIO"/>
    <n v="2100"/>
    <n v="84"/>
    <n v="176400"/>
    <m/>
  </r>
  <r>
    <x v="10"/>
    <s v="AUG"/>
    <x v="37"/>
    <s v="GRSM 4"/>
    <x v="0"/>
    <s v="NKA"/>
    <n v="121409"/>
    <n v="5025004"/>
    <x v="38"/>
    <x v="27"/>
    <s v="GORENG"/>
    <n v="2100"/>
    <n v="85"/>
    <n v="178500"/>
    <n v="160"/>
  </r>
  <r>
    <x v="10"/>
    <s v="AUG"/>
    <x v="37"/>
    <s v="GRSM 4"/>
    <x v="0"/>
    <s v="NKA"/>
    <n v="121409"/>
    <n v="5025004"/>
    <x v="38"/>
    <x v="26"/>
    <s v="BOLOGNESE"/>
    <n v="2100"/>
    <n v="65"/>
    <n v="136500"/>
    <m/>
  </r>
  <r>
    <x v="10"/>
    <s v="AUG"/>
    <x v="37"/>
    <s v="GRSM 4"/>
    <x v="0"/>
    <s v="NKA"/>
    <n v="121409"/>
    <n v="5025004"/>
    <x v="38"/>
    <x v="26"/>
    <s v="CARBONARA"/>
    <n v="2100"/>
    <n v="74"/>
    <n v="155400"/>
    <m/>
  </r>
  <r>
    <x v="10"/>
    <s v="AUG"/>
    <x v="37"/>
    <s v="GRSM 4"/>
    <x v="0"/>
    <s v="NKA"/>
    <n v="121409"/>
    <n v="5025004"/>
    <x v="38"/>
    <x v="26"/>
    <s v="AGLIO OLIO"/>
    <n v="2100"/>
    <n v="84"/>
    <n v="176400"/>
    <m/>
  </r>
  <r>
    <x v="10"/>
    <s v="AUG"/>
    <x v="37"/>
    <s v="GRSM 4"/>
    <x v="0"/>
    <s v="NKA"/>
    <n v="121409"/>
    <n v="5025004"/>
    <x v="38"/>
    <x v="26"/>
    <s v="GORENG"/>
    <n v="2100"/>
    <n v="85"/>
    <n v="178500"/>
    <n v="160"/>
  </r>
  <r>
    <x v="10"/>
    <s v="AUG"/>
    <x v="37"/>
    <s v="GRSM 4"/>
    <x v="0"/>
    <s v="GMM"/>
    <n v="103259"/>
    <n v="9002359"/>
    <x v="37"/>
    <x v="1"/>
    <s v="BOLOGNESE"/>
    <n v="3000"/>
    <n v="42"/>
    <n v="126000"/>
    <m/>
  </r>
  <r>
    <x v="10"/>
    <s v="AUG"/>
    <x v="37"/>
    <s v="GRSM 4"/>
    <x v="0"/>
    <s v="GMM"/>
    <n v="103259"/>
    <n v="9002359"/>
    <x v="37"/>
    <x v="1"/>
    <s v="CARBONARA"/>
    <n v="3000"/>
    <n v="0"/>
    <n v="0"/>
    <m/>
  </r>
  <r>
    <x v="10"/>
    <s v="AUG"/>
    <x v="37"/>
    <s v="GRSM 4"/>
    <x v="0"/>
    <s v="GMM"/>
    <n v="103259"/>
    <n v="9002359"/>
    <x v="37"/>
    <x v="1"/>
    <s v="AGLIO OLIO"/>
    <n v="3000"/>
    <n v="0"/>
    <n v="0"/>
    <m/>
  </r>
  <r>
    <x v="10"/>
    <s v="AUG"/>
    <x v="37"/>
    <s v="GRSM 4"/>
    <x v="0"/>
    <s v="GMM"/>
    <n v="103259"/>
    <n v="9002359"/>
    <x v="37"/>
    <x v="1"/>
    <s v="GORENG"/>
    <n v="3000"/>
    <n v="240"/>
    <n v="720000"/>
    <m/>
  </r>
  <r>
    <x v="10"/>
    <s v="AUG"/>
    <x v="37"/>
    <s v="GRSM 4"/>
    <x v="0"/>
    <s v="GMM"/>
    <n v="103259"/>
    <n v="9002359"/>
    <x v="37"/>
    <x v="75"/>
    <s v="BOLOGNESE"/>
    <n v="3000"/>
    <n v="42"/>
    <n v="126000"/>
    <m/>
  </r>
  <r>
    <x v="10"/>
    <s v="AUG"/>
    <x v="37"/>
    <s v="GRSM 4"/>
    <x v="0"/>
    <s v="GMM"/>
    <n v="103259"/>
    <n v="9002359"/>
    <x v="37"/>
    <x v="75"/>
    <s v="CARBONARA"/>
    <n v="3000"/>
    <n v="0"/>
    <n v="0"/>
    <m/>
  </r>
  <r>
    <x v="10"/>
    <s v="AUG"/>
    <x v="37"/>
    <s v="GRSM 4"/>
    <x v="0"/>
    <s v="GMM"/>
    <n v="103259"/>
    <n v="9002359"/>
    <x v="37"/>
    <x v="75"/>
    <s v="AGLIO OLIO"/>
    <n v="3000"/>
    <n v="0"/>
    <n v="0"/>
    <m/>
  </r>
  <r>
    <x v="10"/>
    <s v="AUG"/>
    <x v="37"/>
    <s v="GRSM 4"/>
    <x v="0"/>
    <s v="GMM"/>
    <n v="103259"/>
    <n v="9002359"/>
    <x v="37"/>
    <x v="75"/>
    <s v="GORENG"/>
    <n v="3000"/>
    <n v="240"/>
    <n v="720000"/>
    <m/>
  </r>
  <r>
    <x v="10"/>
    <s v="AUG"/>
    <x v="37"/>
    <s v="GRSM 4"/>
    <x v="0"/>
    <s v="NKA"/>
    <n v="189901"/>
    <n v="1602057"/>
    <x v="36"/>
    <x v="15"/>
    <s v="BOLOGNESE"/>
    <n v="2150"/>
    <n v="69"/>
    <n v="148350"/>
    <m/>
  </r>
  <r>
    <x v="10"/>
    <s v="AUG"/>
    <x v="37"/>
    <s v="GRSM 4"/>
    <x v="0"/>
    <s v="NKA"/>
    <n v="189901"/>
    <n v="1602057"/>
    <x v="36"/>
    <x v="15"/>
    <s v="CARBONARA"/>
    <n v="2150"/>
    <n v="63"/>
    <n v="135450"/>
    <m/>
  </r>
  <r>
    <x v="10"/>
    <s v="AUG"/>
    <x v="37"/>
    <s v="GRSM 4"/>
    <x v="0"/>
    <s v="NKA"/>
    <n v="189901"/>
    <n v="1602057"/>
    <x v="36"/>
    <x v="15"/>
    <s v="AGLIO OLIO"/>
    <n v="2150"/>
    <n v="51"/>
    <n v="109650"/>
    <m/>
  </r>
  <r>
    <x v="10"/>
    <s v="AUG"/>
    <x v="37"/>
    <s v="GRSM 4"/>
    <x v="0"/>
    <s v="NKA"/>
    <n v="189901"/>
    <n v="1602057"/>
    <x v="36"/>
    <x v="15"/>
    <s v="GORENG"/>
    <n v="2150"/>
    <n v="90"/>
    <n v="193500"/>
    <n v="160"/>
  </r>
  <r>
    <x v="10"/>
    <s v="AUG"/>
    <x v="37"/>
    <s v="GRSM 4"/>
    <x v="0"/>
    <s v="NKA"/>
    <n v="189901"/>
    <n v="1602057"/>
    <x v="36"/>
    <x v="24"/>
    <s v="BOLOGNESE"/>
    <n v="2150"/>
    <n v="69"/>
    <n v="148350"/>
    <m/>
  </r>
  <r>
    <x v="10"/>
    <s v="AUG"/>
    <x v="37"/>
    <s v="GRSM 4"/>
    <x v="0"/>
    <s v="NKA"/>
    <n v="189901"/>
    <n v="1602057"/>
    <x v="36"/>
    <x v="24"/>
    <s v="CARBONARA"/>
    <n v="2150"/>
    <n v="63"/>
    <n v="135450"/>
    <m/>
  </r>
  <r>
    <x v="10"/>
    <s v="AUG"/>
    <x v="37"/>
    <s v="GRSM 4"/>
    <x v="0"/>
    <s v="NKA"/>
    <n v="189901"/>
    <n v="1602057"/>
    <x v="36"/>
    <x v="24"/>
    <s v="AGLIO OLIO"/>
    <n v="2150"/>
    <n v="48"/>
    <n v="103200"/>
    <m/>
  </r>
  <r>
    <x v="10"/>
    <s v="AUG"/>
    <x v="37"/>
    <s v="GRSM 4"/>
    <x v="0"/>
    <s v="NKA"/>
    <n v="189901"/>
    <n v="1602057"/>
    <x v="36"/>
    <x v="24"/>
    <s v="GORENG"/>
    <n v="2150"/>
    <n v="90"/>
    <n v="193500"/>
    <n v="160"/>
  </r>
  <r>
    <x v="10"/>
    <s v="AUG"/>
    <x v="37"/>
    <s v="GRSM 4"/>
    <x v="0"/>
    <s v="GMM"/>
    <n v="103259"/>
    <n v="9029389"/>
    <x v="35"/>
    <x v="17"/>
    <s v="BOLOGNESE"/>
    <n v="3000"/>
    <n v="30"/>
    <n v="90000"/>
    <m/>
  </r>
  <r>
    <x v="10"/>
    <s v="AUG"/>
    <x v="37"/>
    <s v="GRSM 4"/>
    <x v="0"/>
    <s v="GMM"/>
    <n v="103259"/>
    <n v="9029389"/>
    <x v="35"/>
    <x v="17"/>
    <s v="CARBONARA"/>
    <n v="3000"/>
    <n v="49"/>
    <n v="147000"/>
    <m/>
  </r>
  <r>
    <x v="10"/>
    <s v="AUG"/>
    <x v="37"/>
    <s v="GRSM 4"/>
    <x v="0"/>
    <s v="GMM"/>
    <n v="103259"/>
    <n v="9029389"/>
    <x v="35"/>
    <x v="17"/>
    <s v="AGLIO OLIO"/>
    <n v="3000"/>
    <n v="22"/>
    <n v="66000"/>
    <m/>
  </r>
  <r>
    <x v="10"/>
    <s v="AUG"/>
    <x v="37"/>
    <s v="GRSM 4"/>
    <x v="0"/>
    <s v="GMM"/>
    <n v="103259"/>
    <n v="9029389"/>
    <x v="35"/>
    <x v="17"/>
    <s v="GORENG"/>
    <n v="3000"/>
    <n v="119"/>
    <n v="357000"/>
    <n v="160"/>
  </r>
  <r>
    <x v="10"/>
    <s v="AUG"/>
    <x v="37"/>
    <s v="GRSM 4"/>
    <x v="0"/>
    <s v="GMM"/>
    <n v="103259"/>
    <n v="9029389"/>
    <x v="35"/>
    <x v="21"/>
    <s v="BOLOGNESE"/>
    <n v="3000"/>
    <n v="30"/>
    <n v="90000"/>
    <m/>
  </r>
  <r>
    <x v="10"/>
    <s v="AUG"/>
    <x v="37"/>
    <s v="GRSM 4"/>
    <x v="0"/>
    <s v="GMM"/>
    <n v="103259"/>
    <n v="9029389"/>
    <x v="35"/>
    <x v="21"/>
    <s v="CARBONARA"/>
    <n v="3000"/>
    <n v="49"/>
    <n v="147000"/>
    <m/>
  </r>
  <r>
    <x v="10"/>
    <s v="AUG"/>
    <x v="37"/>
    <s v="GRSM 4"/>
    <x v="0"/>
    <s v="GMM"/>
    <n v="103259"/>
    <n v="9029389"/>
    <x v="35"/>
    <x v="21"/>
    <s v="AGLIO OLIO"/>
    <n v="3000"/>
    <n v="24"/>
    <n v="72000"/>
    <m/>
  </r>
  <r>
    <x v="10"/>
    <s v="AUG"/>
    <x v="37"/>
    <s v="GRSM 4"/>
    <x v="0"/>
    <s v="GMM"/>
    <n v="103259"/>
    <n v="9029389"/>
    <x v="35"/>
    <x v="21"/>
    <s v="GORENG"/>
    <n v="3000"/>
    <n v="119"/>
    <n v="357000"/>
    <n v="160"/>
  </r>
  <r>
    <x v="10"/>
    <s v="AUG"/>
    <x v="37"/>
    <s v="GRSM 4"/>
    <x v="0"/>
    <s v="GMM"/>
    <n v="103257"/>
    <n v="9162509"/>
    <x v="25"/>
    <x v="72"/>
    <s v="BOLOGNESE"/>
    <n v="3200"/>
    <n v="23"/>
    <n v="73600"/>
    <m/>
  </r>
  <r>
    <x v="10"/>
    <s v="AUG"/>
    <x v="37"/>
    <s v="GRSM 4"/>
    <x v="0"/>
    <s v="GMM"/>
    <n v="103257"/>
    <n v="9162509"/>
    <x v="25"/>
    <x v="72"/>
    <s v="CARBONARA"/>
    <n v="3200"/>
    <n v="28"/>
    <n v="89600"/>
    <m/>
  </r>
  <r>
    <x v="10"/>
    <s v="AUG"/>
    <x v="37"/>
    <s v="GRSM 4"/>
    <x v="0"/>
    <s v="GMM"/>
    <n v="103257"/>
    <n v="9162509"/>
    <x v="25"/>
    <x v="72"/>
    <s v="AGLIO OLIO"/>
    <n v="3200"/>
    <n v="26"/>
    <n v="83200"/>
    <m/>
  </r>
  <r>
    <x v="10"/>
    <s v="AUG"/>
    <x v="37"/>
    <s v="GRSM 4"/>
    <x v="0"/>
    <s v="GMM"/>
    <n v="103257"/>
    <n v="9162509"/>
    <x v="25"/>
    <x v="72"/>
    <s v="GORENG"/>
    <n v="3200"/>
    <n v="15"/>
    <n v="48000"/>
    <n v="160"/>
  </r>
  <r>
    <x v="10"/>
    <s v="AUG"/>
    <x v="37"/>
    <s v="GRSM 4"/>
    <x v="0"/>
    <s v="GMM"/>
    <n v="103259"/>
    <n v="9006219"/>
    <x v="39"/>
    <x v="5"/>
    <s v="BOLOGNESE"/>
    <n v="2200"/>
    <n v="45"/>
    <n v="99000"/>
    <m/>
  </r>
  <r>
    <x v="10"/>
    <s v="AUG"/>
    <x v="37"/>
    <s v="GRSM 4"/>
    <x v="0"/>
    <s v="GMM"/>
    <n v="103259"/>
    <n v="9006219"/>
    <x v="39"/>
    <x v="5"/>
    <s v="CARBONARA"/>
    <n v="2200"/>
    <n v="47"/>
    <n v="103400"/>
    <m/>
  </r>
  <r>
    <x v="10"/>
    <s v="AUG"/>
    <x v="37"/>
    <s v="GRSM 4"/>
    <x v="0"/>
    <s v="GMM"/>
    <n v="103259"/>
    <n v="9006219"/>
    <x v="39"/>
    <x v="5"/>
    <s v="AGLIO OLIO"/>
    <n v="2200"/>
    <n v="21"/>
    <n v="46200"/>
    <m/>
  </r>
  <r>
    <x v="10"/>
    <s v="AUG"/>
    <x v="37"/>
    <s v="GRSM 4"/>
    <x v="0"/>
    <s v="GMM"/>
    <n v="103259"/>
    <n v="9006219"/>
    <x v="39"/>
    <x v="5"/>
    <s v="GORENG"/>
    <n v="2200"/>
    <n v="75"/>
    <n v="165000"/>
    <n v="160"/>
  </r>
  <r>
    <x v="10"/>
    <s v="AUG"/>
    <x v="37"/>
    <s v="GRSM 4"/>
    <x v="0"/>
    <s v="GMM"/>
    <n v="103259"/>
    <n v="9006219"/>
    <x v="39"/>
    <x v="4"/>
    <s v="BOLOGNESE"/>
    <n v="2200"/>
    <n v="45"/>
    <n v="99000"/>
    <m/>
  </r>
  <r>
    <x v="10"/>
    <s v="AUG"/>
    <x v="37"/>
    <s v="GRSM 4"/>
    <x v="0"/>
    <s v="GMM"/>
    <n v="103259"/>
    <n v="9006219"/>
    <x v="39"/>
    <x v="4"/>
    <s v="CARBONARA"/>
    <n v="2200"/>
    <n v="47"/>
    <n v="103400"/>
    <m/>
  </r>
  <r>
    <x v="10"/>
    <s v="AUG"/>
    <x v="37"/>
    <s v="GRSM 4"/>
    <x v="0"/>
    <s v="GMM"/>
    <n v="103259"/>
    <n v="9006219"/>
    <x v="39"/>
    <x v="4"/>
    <s v="AGLIO OLIO"/>
    <n v="2200"/>
    <n v="24"/>
    <n v="52800"/>
    <m/>
  </r>
  <r>
    <x v="10"/>
    <s v="AUG"/>
    <x v="37"/>
    <s v="GRSM 4"/>
    <x v="0"/>
    <s v="GMM"/>
    <n v="103259"/>
    <n v="9006219"/>
    <x v="39"/>
    <x v="4"/>
    <s v="GORENG"/>
    <n v="2200"/>
    <n v="75"/>
    <n v="165000"/>
    <n v="160"/>
  </r>
  <r>
    <x v="10"/>
    <s v="AUG"/>
    <x v="36"/>
    <s v="GRSM 4"/>
    <x v="0"/>
    <s v="GMM"/>
    <n v="103258"/>
    <n v="9201924"/>
    <x v="40"/>
    <x v="73"/>
    <s v="BOLOGNESE"/>
    <n v="2200"/>
    <n v="180"/>
    <n v="396000"/>
    <m/>
  </r>
  <r>
    <x v="10"/>
    <s v="AUG"/>
    <x v="36"/>
    <s v="GRSM 4"/>
    <x v="0"/>
    <s v="GMM"/>
    <n v="103258"/>
    <n v="9201924"/>
    <x v="40"/>
    <x v="73"/>
    <s v="CARBONARA"/>
    <n v="2200"/>
    <n v="180"/>
    <n v="396000"/>
    <m/>
  </r>
  <r>
    <x v="10"/>
    <s v="AUG"/>
    <x v="36"/>
    <s v="GRSM 4"/>
    <x v="0"/>
    <s v="GMM"/>
    <n v="103258"/>
    <n v="9201924"/>
    <x v="40"/>
    <x v="73"/>
    <s v="AGLIO OLIO"/>
    <n v="2200"/>
    <n v="0"/>
    <n v="0"/>
    <m/>
  </r>
  <r>
    <x v="10"/>
    <s v="AUG"/>
    <x v="36"/>
    <s v="GRSM 4"/>
    <x v="0"/>
    <s v="GMM"/>
    <n v="103258"/>
    <n v="9201924"/>
    <x v="40"/>
    <x v="73"/>
    <s v="GORENG"/>
    <n v="2200"/>
    <n v="0"/>
    <n v="0"/>
    <n v="100"/>
  </r>
  <r>
    <x v="10"/>
    <s v="AUG"/>
    <x v="36"/>
    <s v="GRSM 4"/>
    <x v="0"/>
    <s v="GMM"/>
    <n v="103258"/>
    <n v="9201924"/>
    <x v="40"/>
    <x v="74"/>
    <s v="BOLOGNESE"/>
    <n v="2200"/>
    <n v="180"/>
    <n v="396000"/>
    <m/>
  </r>
  <r>
    <x v="10"/>
    <s v="AUG"/>
    <x v="36"/>
    <s v="GRSM 4"/>
    <x v="0"/>
    <s v="GMM"/>
    <n v="103258"/>
    <n v="9201924"/>
    <x v="40"/>
    <x v="74"/>
    <s v="CARBONARA"/>
    <n v="2200"/>
    <n v="180"/>
    <n v="396000"/>
    <m/>
  </r>
  <r>
    <x v="10"/>
    <s v="AUG"/>
    <x v="36"/>
    <s v="GRSM 4"/>
    <x v="0"/>
    <s v="GMM"/>
    <n v="103258"/>
    <n v="9201924"/>
    <x v="40"/>
    <x v="74"/>
    <s v="AGLIO OLIO"/>
    <n v="2200"/>
    <n v="0"/>
    <n v="0"/>
    <m/>
  </r>
  <r>
    <x v="10"/>
    <s v="AUG"/>
    <x v="36"/>
    <s v="GRSM 4"/>
    <x v="0"/>
    <s v="GMM"/>
    <n v="103258"/>
    <n v="9201924"/>
    <x v="40"/>
    <x v="74"/>
    <s v="GORENG"/>
    <n v="2200"/>
    <n v="0"/>
    <n v="0"/>
    <n v="100"/>
  </r>
  <r>
    <x v="10"/>
    <s v="AUG"/>
    <x v="37"/>
    <s v="GRSM 4"/>
    <x v="0"/>
    <s v="GMM"/>
    <n v="103258"/>
    <n v="9201924"/>
    <x v="40"/>
    <x v="73"/>
    <s v="BOLOGNESE"/>
    <n v="2200"/>
    <n v="180"/>
    <n v="396000"/>
    <m/>
  </r>
  <r>
    <x v="10"/>
    <s v="AUG"/>
    <x v="37"/>
    <s v="GRSM 4"/>
    <x v="0"/>
    <s v="GMM"/>
    <n v="103258"/>
    <n v="9201924"/>
    <x v="40"/>
    <x v="73"/>
    <s v="CARBONARA"/>
    <n v="2200"/>
    <n v="180"/>
    <n v="396000"/>
    <m/>
  </r>
  <r>
    <x v="10"/>
    <s v="AUG"/>
    <x v="37"/>
    <s v="GRSM 4"/>
    <x v="0"/>
    <s v="GMM"/>
    <n v="103258"/>
    <n v="9201924"/>
    <x v="40"/>
    <x v="73"/>
    <s v="AGLIO OLIO"/>
    <n v="2200"/>
    <n v="0"/>
    <n v="0"/>
    <m/>
  </r>
  <r>
    <x v="10"/>
    <s v="AUG"/>
    <x v="37"/>
    <s v="GRSM 4"/>
    <x v="0"/>
    <s v="GMM"/>
    <n v="103258"/>
    <n v="9201924"/>
    <x v="40"/>
    <x v="73"/>
    <s v="GORENG"/>
    <n v="2200"/>
    <n v="0"/>
    <n v="0"/>
    <n v="160"/>
  </r>
  <r>
    <x v="10"/>
    <s v="AUG"/>
    <x v="37"/>
    <s v="GRSM 4"/>
    <x v="0"/>
    <s v="GMM"/>
    <n v="103258"/>
    <n v="9201924"/>
    <x v="40"/>
    <x v="74"/>
    <s v="BOLOGNESE"/>
    <n v="2200"/>
    <n v="180"/>
    <n v="396000"/>
    <m/>
  </r>
  <r>
    <x v="10"/>
    <s v="AUG"/>
    <x v="37"/>
    <s v="GRSM 4"/>
    <x v="0"/>
    <s v="GMM"/>
    <n v="103258"/>
    <n v="9201924"/>
    <x v="40"/>
    <x v="74"/>
    <s v="CARBONARA"/>
    <n v="2200"/>
    <n v="180"/>
    <n v="396000"/>
    <m/>
  </r>
  <r>
    <x v="10"/>
    <s v="AUG"/>
    <x v="37"/>
    <s v="GRSM 4"/>
    <x v="0"/>
    <s v="GMM"/>
    <n v="103258"/>
    <n v="9201924"/>
    <x v="40"/>
    <x v="74"/>
    <s v="AGLIO OLIO"/>
    <n v="2200"/>
    <n v="0"/>
    <n v="0"/>
    <m/>
  </r>
  <r>
    <x v="10"/>
    <s v="AUG"/>
    <x v="37"/>
    <s v="GRSM 4"/>
    <x v="0"/>
    <s v="GMM"/>
    <n v="103258"/>
    <n v="9201924"/>
    <x v="40"/>
    <x v="74"/>
    <s v="GORENG"/>
    <n v="2200"/>
    <n v="0"/>
    <n v="0"/>
    <n v="160"/>
  </r>
  <r>
    <x v="10"/>
    <s v="AUG"/>
    <x v="35"/>
    <s v="GRSM 1"/>
    <x v="3"/>
    <s v="MT"/>
    <n v="122506"/>
    <n v="202879"/>
    <x v="29"/>
    <x v="60"/>
    <s v="BOLOGNESE"/>
    <n v="6400"/>
    <n v="37"/>
    <n v="236800"/>
    <m/>
  </r>
  <r>
    <x v="10"/>
    <s v="AUG"/>
    <x v="35"/>
    <s v="GRSM 1"/>
    <x v="3"/>
    <s v="MT"/>
    <n v="122506"/>
    <n v="202879"/>
    <x v="29"/>
    <x v="60"/>
    <s v="CARBONARA"/>
    <n v="6400"/>
    <n v="40"/>
    <n v="256000"/>
    <m/>
  </r>
  <r>
    <x v="10"/>
    <s v="AUG"/>
    <x v="35"/>
    <s v="GRSM 1"/>
    <x v="3"/>
    <s v="MT"/>
    <n v="122506"/>
    <n v="202879"/>
    <x v="29"/>
    <x v="60"/>
    <s v="AGLIO OLIO"/>
    <n v="6400"/>
    <n v="13"/>
    <n v="83200"/>
    <m/>
  </r>
  <r>
    <x v="10"/>
    <s v="AUG"/>
    <x v="35"/>
    <s v="GRSM 1"/>
    <x v="3"/>
    <s v="MT"/>
    <n v="122506"/>
    <n v="202879"/>
    <x v="29"/>
    <x v="60"/>
    <s v="GORENG"/>
    <n v="6400"/>
    <n v="87"/>
    <n v="556800"/>
    <n v="160"/>
  </r>
  <r>
    <x v="10"/>
    <s v="AUG"/>
    <x v="35"/>
    <s v="GRSM 1"/>
    <x v="3"/>
    <s v="MT"/>
    <n v="122506"/>
    <n v="202879"/>
    <x v="29"/>
    <x v="61"/>
    <s v="BOLOGNESE"/>
    <n v="6400"/>
    <n v="37"/>
    <n v="236800"/>
    <m/>
  </r>
  <r>
    <x v="10"/>
    <s v="AUG"/>
    <x v="35"/>
    <s v="GRSM 1"/>
    <x v="3"/>
    <s v="MT"/>
    <n v="122506"/>
    <n v="202879"/>
    <x v="29"/>
    <x v="61"/>
    <s v="CARBONARA"/>
    <n v="6400"/>
    <n v="40"/>
    <n v="256000"/>
    <m/>
  </r>
  <r>
    <x v="10"/>
    <s v="AUG"/>
    <x v="35"/>
    <s v="GRSM 1"/>
    <x v="3"/>
    <s v="MT"/>
    <n v="122506"/>
    <n v="202879"/>
    <x v="29"/>
    <x v="61"/>
    <s v="AGLIO OLIO"/>
    <n v="6400"/>
    <n v="12"/>
    <n v="76800"/>
    <m/>
  </r>
  <r>
    <x v="10"/>
    <s v="AUG"/>
    <x v="35"/>
    <s v="GRSM 1"/>
    <x v="3"/>
    <s v="MT"/>
    <n v="122506"/>
    <n v="202879"/>
    <x v="29"/>
    <x v="61"/>
    <s v="GORENG"/>
    <n v="6400"/>
    <n v="87"/>
    <n v="556800"/>
    <n v="160"/>
  </r>
  <r>
    <x v="10"/>
    <s v="AUG"/>
    <x v="35"/>
    <s v="GRSM 1"/>
    <x v="3"/>
    <s v="MT"/>
    <n v="122506"/>
    <n v="214300"/>
    <x v="32"/>
    <x v="62"/>
    <s v="BOLOGNESE"/>
    <n v="7000"/>
    <n v="10"/>
    <n v="70000"/>
    <m/>
  </r>
  <r>
    <x v="10"/>
    <s v="AUG"/>
    <x v="35"/>
    <s v="GRSM 1"/>
    <x v="3"/>
    <s v="MT"/>
    <n v="122506"/>
    <n v="214300"/>
    <x v="32"/>
    <x v="62"/>
    <s v="CARBONARA"/>
    <n v="7000"/>
    <n v="10"/>
    <n v="70000"/>
    <m/>
  </r>
  <r>
    <x v="10"/>
    <s v="AUG"/>
    <x v="35"/>
    <s v="GRSM 1"/>
    <x v="3"/>
    <s v="MT"/>
    <n v="122506"/>
    <n v="214300"/>
    <x v="32"/>
    <x v="62"/>
    <s v="AGLIO OLIO"/>
    <n v="7000"/>
    <n v="15"/>
    <n v="105000"/>
    <m/>
  </r>
  <r>
    <x v="10"/>
    <s v="AUG"/>
    <x v="35"/>
    <s v="GRSM 1"/>
    <x v="3"/>
    <s v="MT"/>
    <n v="122506"/>
    <n v="214300"/>
    <x v="32"/>
    <x v="62"/>
    <s v="GORENG"/>
    <n v="7000"/>
    <n v="23"/>
    <n v="161000"/>
    <n v="160"/>
  </r>
  <r>
    <x v="10"/>
    <s v="AUG"/>
    <x v="35"/>
    <s v="GRSM 1"/>
    <x v="3"/>
    <s v="MT"/>
    <n v="122506"/>
    <n v="214300"/>
    <x v="32"/>
    <x v="63"/>
    <s v="BOLOGNESE"/>
    <n v="7000"/>
    <n v="10"/>
    <n v="70000"/>
    <m/>
  </r>
  <r>
    <x v="10"/>
    <s v="AUG"/>
    <x v="35"/>
    <s v="GRSM 1"/>
    <x v="3"/>
    <s v="MT"/>
    <n v="122506"/>
    <n v="214300"/>
    <x v="32"/>
    <x v="63"/>
    <s v="CARBONARA"/>
    <n v="7000"/>
    <n v="10"/>
    <n v="70000"/>
    <m/>
  </r>
  <r>
    <x v="10"/>
    <s v="AUG"/>
    <x v="35"/>
    <s v="GRSM 1"/>
    <x v="3"/>
    <s v="MT"/>
    <n v="122506"/>
    <n v="214300"/>
    <x v="32"/>
    <x v="63"/>
    <s v="AGLIO OLIO"/>
    <n v="7000"/>
    <n v="15"/>
    <n v="105000"/>
    <m/>
  </r>
  <r>
    <x v="10"/>
    <s v="AUG"/>
    <x v="35"/>
    <s v="GRSM 1"/>
    <x v="3"/>
    <s v="MT"/>
    <n v="122506"/>
    <n v="214300"/>
    <x v="32"/>
    <x v="63"/>
    <s v="GORENG"/>
    <n v="7000"/>
    <n v="22"/>
    <n v="154000"/>
    <n v="160"/>
  </r>
  <r>
    <x v="10"/>
    <s v="AUG"/>
    <x v="35"/>
    <s v="GRSM 2"/>
    <x v="3"/>
    <s v="MT"/>
    <n v="175700"/>
    <n v="1370001"/>
    <x v="33"/>
    <x v="68"/>
    <s v="BOLOGNESE"/>
    <n v="2210"/>
    <n v="40"/>
    <n v="88400"/>
    <m/>
  </r>
  <r>
    <x v="10"/>
    <s v="AUG"/>
    <x v="35"/>
    <s v="GRSM 2"/>
    <x v="3"/>
    <s v="MT"/>
    <n v="175700"/>
    <n v="1370001"/>
    <x v="33"/>
    <x v="68"/>
    <s v="CARBONARA"/>
    <n v="2210"/>
    <n v="60"/>
    <n v="132600"/>
    <m/>
  </r>
  <r>
    <x v="10"/>
    <s v="AUG"/>
    <x v="35"/>
    <s v="GRSM 2"/>
    <x v="3"/>
    <s v="MT"/>
    <n v="175700"/>
    <n v="1370001"/>
    <x v="33"/>
    <x v="68"/>
    <s v="AGLIO OLIO"/>
    <n v="2210"/>
    <n v="40"/>
    <n v="88400"/>
    <m/>
  </r>
  <r>
    <x v="10"/>
    <s v="AUG"/>
    <x v="35"/>
    <s v="GRSM 2"/>
    <x v="3"/>
    <s v="MT"/>
    <n v="175700"/>
    <n v="1370001"/>
    <x v="33"/>
    <x v="68"/>
    <s v="GORENG"/>
    <n v="2210"/>
    <n v="60"/>
    <n v="132600"/>
    <n v="78"/>
  </r>
  <r>
    <x v="10"/>
    <s v="AUG"/>
    <x v="35"/>
    <s v="GRSM 2"/>
    <x v="3"/>
    <s v="MT"/>
    <n v="175700"/>
    <n v="1370001"/>
    <x v="33"/>
    <x v="69"/>
    <s v="BOLOGNESE"/>
    <n v="2210"/>
    <n v="40"/>
    <n v="88400"/>
    <m/>
  </r>
  <r>
    <x v="10"/>
    <s v="AUG"/>
    <x v="35"/>
    <s v="GRSM 2"/>
    <x v="3"/>
    <s v="MT"/>
    <n v="175700"/>
    <n v="1370001"/>
    <x v="33"/>
    <x v="69"/>
    <s v="CARBONARA"/>
    <n v="2210"/>
    <n v="60"/>
    <n v="132600"/>
    <m/>
  </r>
  <r>
    <x v="10"/>
    <s v="AUG"/>
    <x v="35"/>
    <s v="GRSM 2"/>
    <x v="3"/>
    <s v="MT"/>
    <n v="175700"/>
    <n v="1370001"/>
    <x v="33"/>
    <x v="69"/>
    <s v="AGLIO OLIO"/>
    <n v="2210"/>
    <n v="40"/>
    <n v="88400"/>
    <m/>
  </r>
  <r>
    <x v="10"/>
    <s v="AUG"/>
    <x v="35"/>
    <s v="GRSM 2"/>
    <x v="3"/>
    <s v="MT"/>
    <n v="175700"/>
    <n v="1370001"/>
    <x v="33"/>
    <x v="69"/>
    <s v="GORENG"/>
    <n v="2210"/>
    <n v="60"/>
    <n v="132600"/>
    <n v="78"/>
  </r>
  <r>
    <x v="10"/>
    <s v="AUG"/>
    <x v="35"/>
    <s v="GRSM 1"/>
    <x v="3"/>
    <s v="MT"/>
    <n v="122506"/>
    <n v="214422"/>
    <x v="31"/>
    <x v="64"/>
    <s v="BOLOGNESE"/>
    <n v="6400"/>
    <n v="40"/>
    <n v="256000"/>
    <m/>
  </r>
  <r>
    <x v="10"/>
    <s v="AUG"/>
    <x v="35"/>
    <s v="GRSM 1"/>
    <x v="3"/>
    <s v="MT"/>
    <n v="122506"/>
    <n v="214422"/>
    <x v="31"/>
    <x v="64"/>
    <s v="CARBONARA"/>
    <n v="6400"/>
    <n v="42"/>
    <n v="268800"/>
    <m/>
  </r>
  <r>
    <x v="10"/>
    <s v="AUG"/>
    <x v="35"/>
    <s v="GRSM 1"/>
    <x v="3"/>
    <s v="MT"/>
    <n v="122506"/>
    <n v="214422"/>
    <x v="31"/>
    <x v="64"/>
    <s v="AGLIO OLIO"/>
    <n v="6400"/>
    <n v="20"/>
    <n v="128000"/>
    <m/>
  </r>
  <r>
    <x v="10"/>
    <s v="AUG"/>
    <x v="35"/>
    <s v="GRSM 1"/>
    <x v="3"/>
    <s v="MT"/>
    <n v="122506"/>
    <n v="214422"/>
    <x v="31"/>
    <x v="64"/>
    <s v="GORENG"/>
    <n v="6400"/>
    <n v="84"/>
    <n v="537600"/>
    <n v="160"/>
  </r>
  <r>
    <x v="10"/>
    <s v="AUG"/>
    <x v="35"/>
    <s v="GRSM 1"/>
    <x v="3"/>
    <s v="MT"/>
    <n v="122506"/>
    <n v="214422"/>
    <x v="31"/>
    <x v="65"/>
    <s v="BOLOGNESE"/>
    <n v="6400"/>
    <n v="40"/>
    <n v="256000"/>
    <m/>
  </r>
  <r>
    <x v="10"/>
    <s v="AUG"/>
    <x v="35"/>
    <s v="GRSM 1"/>
    <x v="3"/>
    <s v="MT"/>
    <n v="122506"/>
    <n v="214422"/>
    <x v="31"/>
    <x v="65"/>
    <s v="CARBONARA"/>
    <n v="6400"/>
    <n v="42"/>
    <n v="268800"/>
    <m/>
  </r>
  <r>
    <x v="10"/>
    <s v="AUG"/>
    <x v="35"/>
    <s v="GRSM 1"/>
    <x v="3"/>
    <s v="MT"/>
    <n v="122506"/>
    <n v="214422"/>
    <x v="31"/>
    <x v="65"/>
    <s v="AGLIO OLIO"/>
    <n v="6400"/>
    <n v="20"/>
    <n v="128000"/>
    <m/>
  </r>
  <r>
    <x v="10"/>
    <s v="AUG"/>
    <x v="35"/>
    <s v="GRSM 1"/>
    <x v="3"/>
    <s v="MT"/>
    <n v="122506"/>
    <n v="214422"/>
    <x v="31"/>
    <x v="65"/>
    <s v="GORENG"/>
    <n v="6400"/>
    <n v="84"/>
    <n v="537600"/>
    <n v="160"/>
  </r>
  <r>
    <x v="10"/>
    <s v="AUG"/>
    <x v="36"/>
    <s v="GRSM 2"/>
    <x v="3"/>
    <s v="MT"/>
    <n v="175700"/>
    <n v="1370001"/>
    <x v="33"/>
    <x v="68"/>
    <s v="BOLOGNESE"/>
    <n v="2210"/>
    <n v="90"/>
    <n v="198900"/>
    <m/>
  </r>
  <r>
    <x v="10"/>
    <s v="AUG"/>
    <x v="36"/>
    <s v="GRSM 2"/>
    <x v="3"/>
    <s v="MT"/>
    <n v="175700"/>
    <n v="1370001"/>
    <x v="33"/>
    <x v="68"/>
    <s v="CARBONARA"/>
    <n v="2210"/>
    <n v="40"/>
    <n v="88400"/>
    <m/>
  </r>
  <r>
    <x v="10"/>
    <s v="AUG"/>
    <x v="36"/>
    <s v="GRSM 2"/>
    <x v="3"/>
    <s v="MT"/>
    <n v="175700"/>
    <n v="1370001"/>
    <x v="33"/>
    <x v="68"/>
    <s v="AGLIO OLIO"/>
    <n v="2210"/>
    <n v="43"/>
    <n v="95030"/>
    <m/>
  </r>
  <r>
    <x v="10"/>
    <s v="AUG"/>
    <x v="36"/>
    <s v="GRSM 2"/>
    <x v="3"/>
    <s v="MT"/>
    <n v="175700"/>
    <n v="1370001"/>
    <x v="33"/>
    <x v="68"/>
    <s v="GORENG"/>
    <n v="2210"/>
    <n v="60"/>
    <n v="132600"/>
    <n v="90"/>
  </r>
  <r>
    <x v="10"/>
    <s v="AUG"/>
    <x v="36"/>
    <s v="GRSM 2"/>
    <x v="3"/>
    <s v="MT"/>
    <n v="175700"/>
    <n v="1370001"/>
    <x v="33"/>
    <x v="69"/>
    <s v="BOLOGNESE"/>
    <n v="2210"/>
    <n v="90"/>
    <n v="198900"/>
    <m/>
  </r>
  <r>
    <x v="10"/>
    <s v="AUG"/>
    <x v="36"/>
    <s v="GRSM 2"/>
    <x v="3"/>
    <s v="MT"/>
    <n v="175700"/>
    <n v="1370001"/>
    <x v="33"/>
    <x v="69"/>
    <s v="CARBONARA"/>
    <n v="2210"/>
    <n v="40"/>
    <n v="88400"/>
    <m/>
  </r>
  <r>
    <x v="10"/>
    <s v="AUG"/>
    <x v="36"/>
    <s v="GRSM 2"/>
    <x v="3"/>
    <s v="MT"/>
    <n v="175700"/>
    <n v="1370001"/>
    <x v="33"/>
    <x v="69"/>
    <s v="AGLIO OLIO"/>
    <n v="2210"/>
    <n v="42"/>
    <n v="92820"/>
    <m/>
  </r>
  <r>
    <x v="10"/>
    <s v="AUG"/>
    <x v="36"/>
    <s v="GRSM 2"/>
    <x v="3"/>
    <s v="MT"/>
    <n v="175700"/>
    <n v="1370001"/>
    <x v="33"/>
    <x v="69"/>
    <s v="GORENG"/>
    <n v="2210"/>
    <n v="60"/>
    <n v="132600"/>
    <n v="90"/>
  </r>
  <r>
    <x v="10"/>
    <s v="AUG"/>
    <x v="36"/>
    <s v="GRSM 1"/>
    <x v="3"/>
    <s v="MT"/>
    <n v="122506"/>
    <n v="214300"/>
    <x v="32"/>
    <x v="62"/>
    <s v="BOLOGNESE"/>
    <n v="7000"/>
    <n v="15"/>
    <n v="105000"/>
    <m/>
  </r>
  <r>
    <x v="10"/>
    <s v="AUG"/>
    <x v="36"/>
    <s v="GRSM 1"/>
    <x v="3"/>
    <s v="MT"/>
    <n v="122506"/>
    <n v="214300"/>
    <x v="32"/>
    <x v="62"/>
    <s v="CARBONARA"/>
    <n v="7000"/>
    <n v="25"/>
    <n v="175000"/>
    <m/>
  </r>
  <r>
    <x v="10"/>
    <s v="AUG"/>
    <x v="36"/>
    <s v="GRSM 1"/>
    <x v="3"/>
    <s v="MT"/>
    <n v="122506"/>
    <n v="214300"/>
    <x v="32"/>
    <x v="62"/>
    <s v="AGLIO OLIO"/>
    <n v="7000"/>
    <n v="23"/>
    <n v="161000"/>
    <m/>
  </r>
  <r>
    <x v="10"/>
    <s v="AUG"/>
    <x v="36"/>
    <s v="GRSM 1"/>
    <x v="3"/>
    <s v="MT"/>
    <n v="122506"/>
    <n v="214300"/>
    <x v="32"/>
    <x v="62"/>
    <s v="GORENG"/>
    <n v="7000"/>
    <n v="40"/>
    <n v="280000"/>
    <n v="160"/>
  </r>
  <r>
    <x v="10"/>
    <s v="AUG"/>
    <x v="36"/>
    <s v="GRSM 1"/>
    <x v="3"/>
    <s v="MT"/>
    <n v="122506"/>
    <n v="214300"/>
    <x v="32"/>
    <x v="63"/>
    <s v="BOLOGNESE"/>
    <n v="7000"/>
    <n v="15"/>
    <n v="105000"/>
    <m/>
  </r>
  <r>
    <x v="10"/>
    <s v="AUG"/>
    <x v="36"/>
    <s v="GRSM 1"/>
    <x v="3"/>
    <s v="MT"/>
    <n v="122506"/>
    <n v="214300"/>
    <x v="32"/>
    <x v="63"/>
    <s v="CARBONARA"/>
    <n v="7000"/>
    <n v="25"/>
    <n v="175000"/>
    <m/>
  </r>
  <r>
    <x v="10"/>
    <s v="AUG"/>
    <x v="36"/>
    <s v="GRSM 1"/>
    <x v="3"/>
    <s v="MT"/>
    <n v="122506"/>
    <n v="214300"/>
    <x v="32"/>
    <x v="63"/>
    <s v="AGLIO OLIO"/>
    <n v="7000"/>
    <n v="23"/>
    <n v="161000"/>
    <m/>
  </r>
  <r>
    <x v="10"/>
    <s v="AUG"/>
    <x v="36"/>
    <s v="GRSM 1"/>
    <x v="3"/>
    <s v="MT"/>
    <n v="122506"/>
    <n v="214300"/>
    <x v="32"/>
    <x v="63"/>
    <s v="GORENG"/>
    <n v="7000"/>
    <n v="40"/>
    <n v="280000"/>
    <n v="160"/>
  </r>
  <r>
    <x v="10"/>
    <s v="AUG"/>
    <x v="36"/>
    <s v="GRSM 1"/>
    <x v="3"/>
    <s v="MT"/>
    <n v="122506"/>
    <n v="202879"/>
    <x v="29"/>
    <x v="60"/>
    <s v="BOLOGNESE"/>
    <n v="6400"/>
    <n v="37"/>
    <n v="236800"/>
    <m/>
  </r>
  <r>
    <x v="10"/>
    <s v="AUG"/>
    <x v="36"/>
    <s v="GRSM 1"/>
    <x v="3"/>
    <s v="MT"/>
    <n v="122506"/>
    <n v="202879"/>
    <x v="29"/>
    <x v="60"/>
    <s v="CARBONARA"/>
    <n v="6400"/>
    <n v="40"/>
    <n v="256000"/>
    <m/>
  </r>
  <r>
    <x v="10"/>
    <s v="AUG"/>
    <x v="36"/>
    <s v="GRSM 1"/>
    <x v="3"/>
    <s v="MT"/>
    <n v="122506"/>
    <n v="202879"/>
    <x v="29"/>
    <x v="60"/>
    <s v="AGLIO OLIO"/>
    <n v="6400"/>
    <n v="54"/>
    <n v="345600"/>
    <m/>
  </r>
  <r>
    <x v="10"/>
    <s v="AUG"/>
    <x v="36"/>
    <s v="GRSM 1"/>
    <x v="3"/>
    <s v="MT"/>
    <n v="122506"/>
    <n v="202879"/>
    <x v="29"/>
    <x v="60"/>
    <s v="GORENG"/>
    <n v="6400"/>
    <n v="87"/>
    <n v="556800"/>
    <n v="160"/>
  </r>
  <r>
    <x v="10"/>
    <s v="AUG"/>
    <x v="36"/>
    <s v="GRSM 1"/>
    <x v="3"/>
    <s v="MT"/>
    <n v="122506"/>
    <n v="202879"/>
    <x v="29"/>
    <x v="61"/>
    <s v="BOLOGNESE"/>
    <n v="6400"/>
    <n v="37"/>
    <n v="236800"/>
    <m/>
  </r>
  <r>
    <x v="10"/>
    <s v="AUG"/>
    <x v="36"/>
    <s v="GRSM 1"/>
    <x v="3"/>
    <s v="MT"/>
    <n v="122506"/>
    <n v="202879"/>
    <x v="29"/>
    <x v="61"/>
    <s v="CARBONARA"/>
    <n v="6400"/>
    <n v="40"/>
    <n v="256000"/>
    <m/>
  </r>
  <r>
    <x v="10"/>
    <s v="AUG"/>
    <x v="36"/>
    <s v="GRSM 1"/>
    <x v="3"/>
    <s v="MT"/>
    <n v="122506"/>
    <n v="202879"/>
    <x v="29"/>
    <x v="61"/>
    <s v="AGLIO OLIO"/>
    <n v="6400"/>
    <n v="53"/>
    <n v="339200"/>
    <m/>
  </r>
  <r>
    <x v="10"/>
    <s v="AUG"/>
    <x v="36"/>
    <s v="GRSM 1"/>
    <x v="3"/>
    <s v="MT"/>
    <n v="122506"/>
    <n v="202879"/>
    <x v="29"/>
    <x v="61"/>
    <s v="GORENG"/>
    <n v="6400"/>
    <n v="87"/>
    <n v="556800"/>
    <n v="160"/>
  </r>
  <r>
    <x v="10"/>
    <s v="AUG"/>
    <x v="36"/>
    <s v="GRSM 1"/>
    <x v="3"/>
    <s v="MT"/>
    <n v="122506"/>
    <n v="214422"/>
    <x v="31"/>
    <x v="65"/>
    <s v="BOLOGNESE"/>
    <n v="6400"/>
    <n v="40"/>
    <n v="256000"/>
    <m/>
  </r>
  <r>
    <x v="10"/>
    <s v="AUG"/>
    <x v="36"/>
    <s v="GRSM 1"/>
    <x v="3"/>
    <s v="MT"/>
    <n v="122506"/>
    <n v="214422"/>
    <x v="31"/>
    <x v="65"/>
    <s v="CARBONARA"/>
    <n v="6400"/>
    <n v="42"/>
    <n v="268800"/>
    <m/>
  </r>
  <r>
    <x v="10"/>
    <s v="AUG"/>
    <x v="36"/>
    <s v="GRSM 1"/>
    <x v="3"/>
    <s v="MT"/>
    <n v="122506"/>
    <n v="214422"/>
    <x v="31"/>
    <x v="65"/>
    <s v="AGLIO OLIO"/>
    <n v="6400"/>
    <n v="37"/>
    <n v="236800"/>
    <m/>
  </r>
  <r>
    <x v="10"/>
    <s v="AUG"/>
    <x v="36"/>
    <s v="GRSM 1"/>
    <x v="3"/>
    <s v="MT"/>
    <n v="122506"/>
    <n v="214422"/>
    <x v="31"/>
    <x v="65"/>
    <s v="GORENG"/>
    <n v="6400"/>
    <n v="84"/>
    <n v="537600"/>
    <n v="160"/>
  </r>
  <r>
    <x v="10"/>
    <s v="AUG"/>
    <x v="36"/>
    <s v="GRSM 1"/>
    <x v="3"/>
    <s v="MT"/>
    <n v="122506"/>
    <n v="214422"/>
    <x v="31"/>
    <x v="64"/>
    <s v="BOLOGNESE"/>
    <n v="6400"/>
    <n v="40"/>
    <n v="256000"/>
    <m/>
  </r>
  <r>
    <x v="10"/>
    <s v="AUG"/>
    <x v="36"/>
    <s v="GRSM 1"/>
    <x v="3"/>
    <s v="MT"/>
    <n v="122506"/>
    <n v="214422"/>
    <x v="31"/>
    <x v="64"/>
    <s v="CARBONARA"/>
    <n v="6400"/>
    <n v="42"/>
    <n v="268800"/>
    <m/>
  </r>
  <r>
    <x v="10"/>
    <s v="AUG"/>
    <x v="36"/>
    <s v="GRSM 1"/>
    <x v="3"/>
    <s v="MT"/>
    <n v="122506"/>
    <n v="214422"/>
    <x v="31"/>
    <x v="64"/>
    <s v="AGLIO OLIO"/>
    <n v="6400"/>
    <n v="37"/>
    <n v="236800"/>
    <m/>
  </r>
  <r>
    <x v="10"/>
    <s v="AUG"/>
    <x v="36"/>
    <s v="GRSM 1"/>
    <x v="3"/>
    <s v="MT"/>
    <n v="122506"/>
    <n v="214422"/>
    <x v="31"/>
    <x v="64"/>
    <s v="GORENG"/>
    <n v="6400"/>
    <n v="84"/>
    <n v="537600"/>
    <n v="160"/>
  </r>
  <r>
    <x v="10"/>
    <s v="AUG"/>
    <x v="36"/>
    <s v="GRSM 1"/>
    <x v="3"/>
    <s v="MT"/>
    <n v="122506"/>
    <n v="202816"/>
    <x v="30"/>
    <x v="66"/>
    <s v="BOLOGNESE"/>
    <n v="7000"/>
    <n v="11"/>
    <n v="77000"/>
    <m/>
  </r>
  <r>
    <x v="10"/>
    <s v="AUG"/>
    <x v="36"/>
    <s v="GRSM 1"/>
    <x v="3"/>
    <s v="MT"/>
    <n v="122506"/>
    <n v="202816"/>
    <x v="30"/>
    <x v="66"/>
    <s v="CARBONARA"/>
    <n v="7000"/>
    <n v="11"/>
    <n v="77000"/>
    <m/>
  </r>
  <r>
    <x v="10"/>
    <s v="AUG"/>
    <x v="36"/>
    <s v="GRSM 1"/>
    <x v="3"/>
    <s v="MT"/>
    <n v="122506"/>
    <n v="202816"/>
    <x v="30"/>
    <x v="66"/>
    <s v="AGLIO OLIO"/>
    <n v="7000"/>
    <n v="10"/>
    <n v="70000"/>
    <m/>
  </r>
  <r>
    <x v="10"/>
    <s v="AUG"/>
    <x v="36"/>
    <s v="GRSM 1"/>
    <x v="3"/>
    <s v="MT"/>
    <n v="122506"/>
    <n v="202816"/>
    <x v="30"/>
    <x v="66"/>
    <s v="GORENG"/>
    <n v="7000"/>
    <n v="23"/>
    <n v="161000"/>
    <n v="160"/>
  </r>
  <r>
    <x v="10"/>
    <s v="AUG"/>
    <x v="36"/>
    <s v="GRSM 1"/>
    <x v="3"/>
    <s v="MT"/>
    <n v="122506"/>
    <n v="202816"/>
    <x v="30"/>
    <x v="67"/>
    <s v="BOLOGNESE"/>
    <n v="7000"/>
    <n v="11"/>
    <n v="77000"/>
    <m/>
  </r>
  <r>
    <x v="10"/>
    <s v="AUG"/>
    <x v="36"/>
    <s v="GRSM 1"/>
    <x v="3"/>
    <s v="MT"/>
    <n v="122506"/>
    <n v="202816"/>
    <x v="30"/>
    <x v="67"/>
    <s v="CARBONARA"/>
    <n v="7000"/>
    <n v="10"/>
    <n v="70000"/>
    <m/>
  </r>
  <r>
    <x v="10"/>
    <s v="AUG"/>
    <x v="36"/>
    <s v="GRSM 1"/>
    <x v="3"/>
    <s v="MT"/>
    <n v="122506"/>
    <n v="202816"/>
    <x v="30"/>
    <x v="67"/>
    <s v="AGLIO OLIO"/>
    <n v="7000"/>
    <n v="9"/>
    <n v="63000"/>
    <m/>
  </r>
  <r>
    <x v="10"/>
    <s v="AUG"/>
    <x v="36"/>
    <s v="GRSM 1"/>
    <x v="3"/>
    <s v="MT"/>
    <n v="122506"/>
    <n v="202816"/>
    <x v="30"/>
    <x v="67"/>
    <s v="GORENG"/>
    <n v="7000"/>
    <n v="23"/>
    <n v="161000"/>
    <n v="160"/>
  </r>
  <r>
    <x v="10"/>
    <s v="AUG"/>
    <x v="37"/>
    <s v="GRSM 1"/>
    <x v="3"/>
    <s v="MT"/>
    <n v="122506"/>
    <n v="202879"/>
    <x v="29"/>
    <x v="60"/>
    <s v="BOLOGNESE"/>
    <n v="6400"/>
    <n v="37"/>
    <n v="236800"/>
    <m/>
  </r>
  <r>
    <x v="10"/>
    <s v="AUG"/>
    <x v="37"/>
    <s v="GRSM 1"/>
    <x v="3"/>
    <s v="MT"/>
    <n v="122506"/>
    <n v="202879"/>
    <x v="29"/>
    <x v="60"/>
    <s v="CARBONARA"/>
    <n v="6400"/>
    <n v="40"/>
    <n v="256000"/>
    <m/>
  </r>
  <r>
    <x v="10"/>
    <s v="AUG"/>
    <x v="37"/>
    <s v="GRSM 1"/>
    <x v="3"/>
    <s v="MT"/>
    <n v="122506"/>
    <n v="202879"/>
    <x v="29"/>
    <x v="60"/>
    <s v="AGLIO OLIO"/>
    <n v="6400"/>
    <n v="20"/>
    <n v="128000"/>
    <m/>
  </r>
  <r>
    <x v="10"/>
    <s v="AUG"/>
    <x v="37"/>
    <s v="GRSM 1"/>
    <x v="3"/>
    <s v="MT"/>
    <n v="122506"/>
    <n v="202879"/>
    <x v="29"/>
    <x v="60"/>
    <s v="GORENG"/>
    <n v="6400"/>
    <n v="87"/>
    <n v="556800"/>
    <n v="160"/>
  </r>
  <r>
    <x v="10"/>
    <s v="AUG"/>
    <x v="37"/>
    <s v="GRSM 1"/>
    <x v="3"/>
    <s v="MT"/>
    <n v="122506"/>
    <n v="202879"/>
    <x v="29"/>
    <x v="61"/>
    <s v="BOLOGNESE"/>
    <n v="6400"/>
    <n v="37"/>
    <n v="236800"/>
    <m/>
  </r>
  <r>
    <x v="10"/>
    <s v="AUG"/>
    <x v="37"/>
    <s v="GRSM 1"/>
    <x v="3"/>
    <s v="MT"/>
    <n v="122506"/>
    <n v="202879"/>
    <x v="29"/>
    <x v="61"/>
    <s v="CARBONARA"/>
    <n v="6400"/>
    <n v="40"/>
    <n v="256000"/>
    <m/>
  </r>
  <r>
    <x v="10"/>
    <s v="AUG"/>
    <x v="37"/>
    <s v="GRSM 1"/>
    <x v="3"/>
    <s v="MT"/>
    <n v="122506"/>
    <n v="202879"/>
    <x v="29"/>
    <x v="61"/>
    <s v="AGLIO OLIO"/>
    <n v="6400"/>
    <n v="20"/>
    <n v="128000"/>
    <m/>
  </r>
  <r>
    <x v="10"/>
    <s v="AUG"/>
    <x v="37"/>
    <s v="GRSM 1"/>
    <x v="3"/>
    <s v="MT"/>
    <n v="122506"/>
    <n v="202879"/>
    <x v="29"/>
    <x v="61"/>
    <s v="GORENG"/>
    <n v="6400"/>
    <n v="87"/>
    <n v="556800"/>
    <n v="160"/>
  </r>
  <r>
    <x v="10"/>
    <s v="AUG"/>
    <x v="37"/>
    <s v="GRSM 1"/>
    <x v="3"/>
    <s v="MT"/>
    <n v="122506"/>
    <n v="202816"/>
    <x v="30"/>
    <x v="66"/>
    <s v="BOLOGNESE"/>
    <n v="7000"/>
    <n v="10"/>
    <n v="70000"/>
    <m/>
  </r>
  <r>
    <x v="10"/>
    <s v="AUG"/>
    <x v="37"/>
    <s v="GRSM 1"/>
    <x v="3"/>
    <s v="MT"/>
    <n v="122506"/>
    <n v="202816"/>
    <x v="30"/>
    <x v="66"/>
    <s v="CARBONARA"/>
    <n v="7000"/>
    <n v="13"/>
    <n v="91000"/>
    <m/>
  </r>
  <r>
    <x v="10"/>
    <s v="AUG"/>
    <x v="37"/>
    <s v="GRSM 1"/>
    <x v="3"/>
    <s v="MT"/>
    <n v="122506"/>
    <n v="202816"/>
    <x v="30"/>
    <x v="66"/>
    <s v="AGLIO OLIO"/>
    <n v="7000"/>
    <n v="8"/>
    <n v="56000"/>
    <m/>
  </r>
  <r>
    <x v="10"/>
    <s v="AUG"/>
    <x v="37"/>
    <s v="GRSM 1"/>
    <x v="3"/>
    <s v="MT"/>
    <n v="122506"/>
    <n v="202816"/>
    <x v="30"/>
    <x v="66"/>
    <s v="GORENG"/>
    <n v="7000"/>
    <n v="29"/>
    <n v="203000"/>
    <n v="160"/>
  </r>
  <r>
    <x v="10"/>
    <s v="AUG"/>
    <x v="37"/>
    <s v="GRSM 1"/>
    <x v="3"/>
    <s v="MT"/>
    <n v="122506"/>
    <n v="202816"/>
    <x v="30"/>
    <x v="67"/>
    <s v="BOLOGNESE"/>
    <n v="7000"/>
    <n v="10"/>
    <n v="70000"/>
    <m/>
  </r>
  <r>
    <x v="10"/>
    <s v="AUG"/>
    <x v="37"/>
    <s v="GRSM 1"/>
    <x v="3"/>
    <s v="MT"/>
    <n v="122506"/>
    <n v="202816"/>
    <x v="30"/>
    <x v="67"/>
    <s v="CARBONARA"/>
    <n v="7000"/>
    <n v="13"/>
    <n v="91000"/>
    <m/>
  </r>
  <r>
    <x v="10"/>
    <s v="AUG"/>
    <x v="37"/>
    <s v="GRSM 1"/>
    <x v="3"/>
    <s v="MT"/>
    <n v="122506"/>
    <n v="202816"/>
    <x v="30"/>
    <x v="67"/>
    <s v="AGLIO OLIO"/>
    <n v="7000"/>
    <n v="7"/>
    <n v="49000"/>
    <m/>
  </r>
  <r>
    <x v="10"/>
    <s v="AUG"/>
    <x v="37"/>
    <s v="GRSM 1"/>
    <x v="3"/>
    <s v="MT"/>
    <n v="122506"/>
    <n v="202816"/>
    <x v="30"/>
    <x v="67"/>
    <s v="GORENG"/>
    <n v="7000"/>
    <n v="29"/>
    <n v="203000"/>
    <n v="160"/>
  </r>
  <r>
    <x v="10"/>
    <s v="AUG"/>
    <x v="37"/>
    <s v="GRSM 1"/>
    <x v="3"/>
    <s v="MT"/>
    <n v="122506"/>
    <n v="214300"/>
    <x v="32"/>
    <x v="62"/>
    <s v="BOLOGNESE"/>
    <n v="7000"/>
    <n v="20"/>
    <n v="140000"/>
    <m/>
  </r>
  <r>
    <x v="10"/>
    <s v="AUG"/>
    <x v="37"/>
    <s v="GRSM 1"/>
    <x v="3"/>
    <s v="MT"/>
    <n v="122506"/>
    <n v="214300"/>
    <x v="32"/>
    <x v="62"/>
    <s v="CARBONARA"/>
    <n v="7000"/>
    <n v="26"/>
    <n v="182000"/>
    <m/>
  </r>
  <r>
    <x v="10"/>
    <s v="AUG"/>
    <x v="37"/>
    <s v="GRSM 1"/>
    <x v="3"/>
    <s v="MT"/>
    <n v="122506"/>
    <n v="214300"/>
    <x v="32"/>
    <x v="62"/>
    <s v="AGLIO OLIO"/>
    <n v="7000"/>
    <n v="15"/>
    <n v="105000"/>
    <m/>
  </r>
  <r>
    <x v="10"/>
    <s v="AUG"/>
    <x v="37"/>
    <s v="GRSM 1"/>
    <x v="3"/>
    <s v="MT"/>
    <n v="122506"/>
    <n v="214300"/>
    <x v="32"/>
    <x v="62"/>
    <s v="GORENG"/>
    <n v="7000"/>
    <n v="45"/>
    <n v="315000"/>
    <n v="160"/>
  </r>
  <r>
    <x v="10"/>
    <s v="AUG"/>
    <x v="37"/>
    <s v="GRSM 1"/>
    <x v="3"/>
    <s v="MT"/>
    <n v="122506"/>
    <n v="214300"/>
    <x v="32"/>
    <x v="63"/>
    <s v="BOLOGNESE"/>
    <n v="7000"/>
    <n v="20"/>
    <n v="140000"/>
    <m/>
  </r>
  <r>
    <x v="10"/>
    <s v="AUG"/>
    <x v="37"/>
    <s v="GRSM 1"/>
    <x v="3"/>
    <s v="MT"/>
    <n v="122506"/>
    <n v="214300"/>
    <x v="32"/>
    <x v="63"/>
    <s v="CARBONARA"/>
    <n v="7000"/>
    <n v="26"/>
    <n v="182000"/>
    <m/>
  </r>
  <r>
    <x v="10"/>
    <s v="AUG"/>
    <x v="37"/>
    <s v="GRSM 1"/>
    <x v="3"/>
    <s v="MT"/>
    <n v="122506"/>
    <n v="214300"/>
    <x v="32"/>
    <x v="63"/>
    <s v="AGLIO OLIO"/>
    <n v="7000"/>
    <n v="15"/>
    <n v="105000"/>
    <m/>
  </r>
  <r>
    <x v="10"/>
    <s v="AUG"/>
    <x v="37"/>
    <s v="GRSM 1"/>
    <x v="3"/>
    <s v="MT"/>
    <n v="122506"/>
    <n v="214300"/>
    <x v="32"/>
    <x v="63"/>
    <s v="GORENG"/>
    <n v="7000"/>
    <n v="45"/>
    <n v="315000"/>
    <n v="160"/>
  </r>
  <r>
    <x v="10"/>
    <s v="AUG"/>
    <x v="37"/>
    <s v="GRSM 1"/>
    <x v="3"/>
    <s v="MT"/>
    <n v="122506"/>
    <n v="214422"/>
    <x v="31"/>
    <x v="65"/>
    <s v="BOLOGNESE"/>
    <n v="6400"/>
    <n v="40"/>
    <n v="256000"/>
    <m/>
  </r>
  <r>
    <x v="10"/>
    <s v="AUG"/>
    <x v="37"/>
    <s v="GRSM 1"/>
    <x v="3"/>
    <s v="MT"/>
    <n v="122506"/>
    <n v="214422"/>
    <x v="31"/>
    <x v="65"/>
    <s v="CARBONARA"/>
    <n v="6400"/>
    <n v="42"/>
    <n v="268800"/>
    <m/>
  </r>
  <r>
    <x v="10"/>
    <s v="AUG"/>
    <x v="37"/>
    <s v="GRSM 1"/>
    <x v="3"/>
    <s v="MT"/>
    <n v="122506"/>
    <n v="214422"/>
    <x v="31"/>
    <x v="65"/>
    <s v="AGLIO OLIO"/>
    <n v="6400"/>
    <n v="20"/>
    <n v="128000"/>
    <m/>
  </r>
  <r>
    <x v="10"/>
    <s v="AUG"/>
    <x v="37"/>
    <s v="GRSM 1"/>
    <x v="3"/>
    <s v="MT"/>
    <n v="122506"/>
    <n v="214422"/>
    <x v="31"/>
    <x v="65"/>
    <s v="GORENG"/>
    <n v="6400"/>
    <n v="84"/>
    <n v="537600"/>
    <n v="160"/>
  </r>
  <r>
    <x v="10"/>
    <s v="AUG"/>
    <x v="37"/>
    <s v="GRSM 1"/>
    <x v="3"/>
    <s v="MT"/>
    <n v="122506"/>
    <n v="214422"/>
    <x v="31"/>
    <x v="64"/>
    <s v="BOLOGNESE"/>
    <n v="6400"/>
    <n v="40"/>
    <n v="256000"/>
    <m/>
  </r>
  <r>
    <x v="10"/>
    <s v="AUG"/>
    <x v="37"/>
    <s v="GRSM 1"/>
    <x v="3"/>
    <s v="MT"/>
    <n v="122506"/>
    <n v="214422"/>
    <x v="31"/>
    <x v="64"/>
    <s v="CARBONARA"/>
    <n v="6400"/>
    <n v="42"/>
    <n v="268800"/>
    <m/>
  </r>
  <r>
    <x v="10"/>
    <s v="AUG"/>
    <x v="37"/>
    <s v="GRSM 1"/>
    <x v="3"/>
    <s v="MT"/>
    <n v="122506"/>
    <n v="214422"/>
    <x v="31"/>
    <x v="64"/>
    <s v="AGLIO OLIO"/>
    <n v="6400"/>
    <n v="20"/>
    <n v="128000"/>
    <m/>
  </r>
  <r>
    <x v="10"/>
    <s v="AUG"/>
    <x v="37"/>
    <s v="GRSM 1"/>
    <x v="3"/>
    <s v="MT"/>
    <n v="122506"/>
    <n v="214422"/>
    <x v="31"/>
    <x v="64"/>
    <s v="GORENG"/>
    <n v="6400"/>
    <n v="84"/>
    <n v="537600"/>
    <n v="160"/>
  </r>
  <r>
    <x v="10"/>
    <s v="AUG"/>
    <x v="35"/>
    <s v="GRSM 1"/>
    <x v="3"/>
    <s v="MT"/>
    <n v="122506"/>
    <n v="202816"/>
    <x v="30"/>
    <x v="66"/>
    <s v="BOLOGNESE"/>
    <n v="7000"/>
    <n v="9"/>
    <n v="63000"/>
    <m/>
  </r>
  <r>
    <x v="10"/>
    <s v="AUG"/>
    <x v="35"/>
    <s v="GRSM 1"/>
    <x v="3"/>
    <s v="MT"/>
    <n v="122506"/>
    <n v="202816"/>
    <x v="30"/>
    <x v="66"/>
    <s v="CARBONARA"/>
    <n v="7000"/>
    <n v="21"/>
    <n v="147000"/>
    <m/>
  </r>
  <r>
    <x v="10"/>
    <s v="AUG"/>
    <x v="35"/>
    <s v="GRSM 1"/>
    <x v="3"/>
    <s v="MT"/>
    <n v="122506"/>
    <n v="202816"/>
    <x v="30"/>
    <x v="66"/>
    <s v="AGLIO OLIO"/>
    <n v="7000"/>
    <n v="7"/>
    <n v="49000"/>
    <m/>
  </r>
  <r>
    <x v="10"/>
    <s v="AUG"/>
    <x v="35"/>
    <s v="GRSM 1"/>
    <x v="3"/>
    <s v="MT"/>
    <n v="122506"/>
    <n v="202816"/>
    <x v="30"/>
    <x v="66"/>
    <s v="GORENG"/>
    <n v="7000"/>
    <n v="26"/>
    <n v="182000"/>
    <n v="160"/>
  </r>
  <r>
    <x v="10"/>
    <s v="AUG"/>
    <x v="35"/>
    <s v="GRSM 1"/>
    <x v="3"/>
    <s v="MT"/>
    <n v="122506"/>
    <n v="202816"/>
    <x v="30"/>
    <x v="67"/>
    <s v="BOLOGNESE"/>
    <n v="7000"/>
    <n v="8"/>
    <n v="56000"/>
    <m/>
  </r>
  <r>
    <x v="10"/>
    <s v="AUG"/>
    <x v="35"/>
    <s v="GRSM 1"/>
    <x v="3"/>
    <s v="MT"/>
    <n v="122506"/>
    <n v="202816"/>
    <x v="30"/>
    <x v="67"/>
    <s v="CARBONARA"/>
    <n v="7000"/>
    <n v="20"/>
    <n v="140000"/>
    <m/>
  </r>
  <r>
    <x v="10"/>
    <s v="AUG"/>
    <x v="35"/>
    <s v="GRSM 1"/>
    <x v="3"/>
    <s v="MT"/>
    <n v="122506"/>
    <n v="202816"/>
    <x v="30"/>
    <x v="67"/>
    <s v="AGLIO OLIO"/>
    <n v="7000"/>
    <n v="6"/>
    <n v="42000"/>
    <m/>
  </r>
  <r>
    <x v="10"/>
    <s v="AUG"/>
    <x v="35"/>
    <s v="GRSM 1"/>
    <x v="3"/>
    <s v="MT"/>
    <n v="122506"/>
    <n v="202816"/>
    <x v="30"/>
    <x v="67"/>
    <s v="GORENG"/>
    <n v="7000"/>
    <n v="25"/>
    <n v="175000"/>
    <n v="160"/>
  </r>
  <r>
    <x v="10"/>
    <s v="AUG"/>
    <x v="35"/>
    <s v="GRSM 5"/>
    <x v="1"/>
    <s v="GMM"/>
    <n v="103222"/>
    <n v="106426"/>
    <x v="41"/>
    <x v="76"/>
    <s v="BOLOGNESE"/>
    <n v="3000"/>
    <n v="83"/>
    <n v="249000"/>
    <m/>
  </r>
  <r>
    <x v="10"/>
    <s v="AUG"/>
    <x v="35"/>
    <s v="GRSM 5"/>
    <x v="1"/>
    <s v="GMM"/>
    <n v="103222"/>
    <n v="106426"/>
    <x v="41"/>
    <x v="76"/>
    <s v="CARBONARA"/>
    <n v="3000"/>
    <n v="98"/>
    <n v="294000"/>
    <m/>
  </r>
  <r>
    <x v="10"/>
    <s v="AUG"/>
    <x v="35"/>
    <s v="GRSM 5"/>
    <x v="1"/>
    <s v="GMM"/>
    <n v="103222"/>
    <n v="106426"/>
    <x v="41"/>
    <x v="76"/>
    <s v="AGLIO OLIO"/>
    <n v="3000"/>
    <n v="11"/>
    <n v="33000"/>
    <m/>
  </r>
  <r>
    <x v="10"/>
    <s v="AUG"/>
    <x v="35"/>
    <s v="GRSM 5"/>
    <x v="1"/>
    <s v="GMM"/>
    <n v="103222"/>
    <n v="106426"/>
    <x v="41"/>
    <x v="76"/>
    <s v="GORENG"/>
    <n v="3000"/>
    <n v="284"/>
    <n v="852000"/>
    <n v="160"/>
  </r>
  <r>
    <x v="10"/>
    <s v="AUG"/>
    <x v="35"/>
    <s v="GRSM 5"/>
    <x v="1"/>
    <s v="GMM"/>
    <n v="103222"/>
    <n v="106426"/>
    <x v="41"/>
    <x v="77"/>
    <s v="BOLOGNESE"/>
    <n v="3000"/>
    <n v="83"/>
    <n v="249000"/>
    <m/>
  </r>
  <r>
    <x v="10"/>
    <s v="AUG"/>
    <x v="35"/>
    <s v="GRSM 5"/>
    <x v="1"/>
    <s v="GMM"/>
    <n v="103222"/>
    <n v="106426"/>
    <x v="41"/>
    <x v="77"/>
    <s v="CARBONARA"/>
    <n v="3000"/>
    <n v="98"/>
    <n v="294000"/>
    <m/>
  </r>
  <r>
    <x v="10"/>
    <s v="AUG"/>
    <x v="35"/>
    <s v="GRSM 5"/>
    <x v="1"/>
    <s v="GMM"/>
    <n v="103222"/>
    <n v="106426"/>
    <x v="41"/>
    <x v="77"/>
    <s v="AGLIO OLIO"/>
    <n v="3000"/>
    <n v="10"/>
    <n v="30000"/>
    <m/>
  </r>
  <r>
    <x v="10"/>
    <s v="AUG"/>
    <x v="35"/>
    <s v="GRSM 5"/>
    <x v="1"/>
    <s v="GMM"/>
    <n v="103222"/>
    <n v="106426"/>
    <x v="41"/>
    <x v="77"/>
    <s v="GORENG"/>
    <n v="3000"/>
    <n v="284"/>
    <n v="852000"/>
    <n v="160"/>
  </r>
  <r>
    <x v="10"/>
    <s v="AUG"/>
    <x v="35"/>
    <s v="GRSM 5"/>
    <x v="1"/>
    <s v="GMM"/>
    <n v="103274"/>
    <n v="1301319"/>
    <x v="42"/>
    <x v="78"/>
    <s v="BOLOGNESE"/>
    <n v="3145"/>
    <n v="114"/>
    <n v="358530"/>
    <m/>
  </r>
  <r>
    <x v="10"/>
    <s v="AUG"/>
    <x v="35"/>
    <s v="GRSM 5"/>
    <x v="1"/>
    <s v="GMM"/>
    <n v="103274"/>
    <n v="1301319"/>
    <x v="42"/>
    <x v="78"/>
    <s v="CARBONARA"/>
    <n v="3145"/>
    <n v="54"/>
    <n v="169830"/>
    <m/>
  </r>
  <r>
    <x v="10"/>
    <s v="AUG"/>
    <x v="35"/>
    <s v="GRSM 5"/>
    <x v="1"/>
    <s v="GMM"/>
    <n v="103274"/>
    <n v="1301319"/>
    <x v="42"/>
    <x v="78"/>
    <s v="AGLIO OLIO"/>
    <n v="3145"/>
    <n v="0"/>
    <n v="0"/>
    <m/>
  </r>
  <r>
    <x v="10"/>
    <s v="AUG"/>
    <x v="35"/>
    <s v="GRSM 5"/>
    <x v="1"/>
    <s v="GMM"/>
    <n v="103274"/>
    <n v="1301319"/>
    <x v="42"/>
    <x v="78"/>
    <s v="GORENG"/>
    <n v="3145"/>
    <n v="89"/>
    <n v="279905"/>
    <n v="160"/>
  </r>
  <r>
    <x v="10"/>
    <s v="AUG"/>
    <x v="35"/>
    <s v="GRSM 5"/>
    <x v="1"/>
    <s v="GMM"/>
    <n v="103274"/>
    <n v="1301319"/>
    <x v="42"/>
    <x v="79"/>
    <s v="BOLOGNESE"/>
    <n v="3145"/>
    <n v="114"/>
    <n v="358530"/>
    <m/>
  </r>
  <r>
    <x v="10"/>
    <s v="AUG"/>
    <x v="35"/>
    <s v="GRSM 5"/>
    <x v="1"/>
    <s v="GMM"/>
    <n v="103274"/>
    <n v="1301319"/>
    <x v="42"/>
    <x v="79"/>
    <s v="CARBONARA"/>
    <n v="3145"/>
    <n v="54"/>
    <n v="169830"/>
    <m/>
  </r>
  <r>
    <x v="10"/>
    <s v="AUG"/>
    <x v="35"/>
    <s v="GRSM 5"/>
    <x v="1"/>
    <s v="GMM"/>
    <n v="103274"/>
    <n v="1301319"/>
    <x v="42"/>
    <x v="79"/>
    <s v="AGLIO OLIO"/>
    <n v="3145"/>
    <n v="0"/>
    <n v="0"/>
    <m/>
  </r>
  <r>
    <x v="10"/>
    <s v="AUG"/>
    <x v="35"/>
    <s v="GRSM 5"/>
    <x v="1"/>
    <s v="GMM"/>
    <n v="103274"/>
    <n v="1301319"/>
    <x v="42"/>
    <x v="79"/>
    <s v="GORENG"/>
    <n v="3145"/>
    <n v="89"/>
    <n v="279905"/>
    <n v="160"/>
  </r>
  <r>
    <x v="10"/>
    <s v="AUG"/>
    <x v="35"/>
    <s v="GRSM 5"/>
    <x v="4"/>
    <s v="GMM"/>
    <n v="211110"/>
    <n v="2109143"/>
    <x v="43"/>
    <x v="80"/>
    <s v="BOLOGNESE"/>
    <n v="3000"/>
    <n v="17"/>
    <n v="51000"/>
    <m/>
  </r>
  <r>
    <x v="10"/>
    <s v="AUG"/>
    <x v="35"/>
    <s v="GRSM 5"/>
    <x v="4"/>
    <s v="GMM"/>
    <n v="211110"/>
    <n v="2109143"/>
    <x v="43"/>
    <x v="80"/>
    <s v="CARBONARA"/>
    <n v="3000"/>
    <n v="12"/>
    <n v="36000"/>
    <m/>
  </r>
  <r>
    <x v="10"/>
    <s v="AUG"/>
    <x v="35"/>
    <s v="GRSM 5"/>
    <x v="4"/>
    <s v="GMM"/>
    <n v="211110"/>
    <n v="2109143"/>
    <x v="43"/>
    <x v="80"/>
    <s v="AGLIO OLIO"/>
    <n v="3000"/>
    <n v="18"/>
    <n v="54000"/>
    <m/>
  </r>
  <r>
    <x v="10"/>
    <s v="AUG"/>
    <x v="35"/>
    <s v="GRSM 5"/>
    <x v="4"/>
    <s v="GMM"/>
    <n v="211110"/>
    <n v="2109143"/>
    <x v="43"/>
    <x v="80"/>
    <s v="GORENG"/>
    <n v="3000"/>
    <n v="81"/>
    <n v="243000"/>
    <n v="160"/>
  </r>
  <r>
    <x v="10"/>
    <s v="AUG"/>
    <x v="35"/>
    <s v="GRSM 5"/>
    <x v="4"/>
    <s v="GMM"/>
    <n v="211110"/>
    <n v="2109143"/>
    <x v="43"/>
    <x v="81"/>
    <s v="BOLOGNESE"/>
    <n v="3000"/>
    <n v="16"/>
    <n v="48000"/>
    <m/>
  </r>
  <r>
    <x v="10"/>
    <s v="AUG"/>
    <x v="35"/>
    <s v="GRSM 5"/>
    <x v="4"/>
    <s v="GMM"/>
    <n v="211110"/>
    <n v="2109143"/>
    <x v="43"/>
    <x v="81"/>
    <s v="CARBONARA"/>
    <n v="3000"/>
    <n v="12"/>
    <n v="36000"/>
    <m/>
  </r>
  <r>
    <x v="10"/>
    <s v="AUG"/>
    <x v="35"/>
    <s v="GRSM 5"/>
    <x v="4"/>
    <s v="GMM"/>
    <n v="211110"/>
    <n v="2109143"/>
    <x v="43"/>
    <x v="81"/>
    <s v="AGLIO OLIO"/>
    <n v="3000"/>
    <n v="18"/>
    <n v="54000"/>
    <m/>
  </r>
  <r>
    <x v="10"/>
    <s v="AUG"/>
    <x v="35"/>
    <s v="GRSM 5"/>
    <x v="4"/>
    <s v="GMM"/>
    <n v="211110"/>
    <n v="2109143"/>
    <x v="43"/>
    <x v="81"/>
    <s v="GORENG"/>
    <n v="3000"/>
    <n v="81"/>
    <n v="243000"/>
    <n v="160"/>
  </r>
  <r>
    <x v="10"/>
    <s v="AUG"/>
    <x v="35"/>
    <s v="GRSM 5"/>
    <x v="1"/>
    <s v="GMM"/>
    <n v="103222"/>
    <n v="106437"/>
    <x v="44"/>
    <x v="82"/>
    <s v="BOLOGNESE"/>
    <n v="3000"/>
    <n v="53"/>
    <n v="159000"/>
    <m/>
  </r>
  <r>
    <x v="10"/>
    <s v="AUG"/>
    <x v="35"/>
    <s v="GRSM 5"/>
    <x v="1"/>
    <s v="GMM"/>
    <n v="103222"/>
    <n v="106437"/>
    <x v="44"/>
    <x v="82"/>
    <s v="CARBONARA"/>
    <n v="3000"/>
    <n v="58"/>
    <n v="174000"/>
    <m/>
  </r>
  <r>
    <x v="10"/>
    <s v="AUG"/>
    <x v="35"/>
    <s v="GRSM 5"/>
    <x v="1"/>
    <s v="GMM"/>
    <n v="103222"/>
    <n v="106437"/>
    <x v="44"/>
    <x v="82"/>
    <s v="AGLIO OLIO"/>
    <n v="3000"/>
    <n v="0"/>
    <n v="0"/>
    <m/>
  </r>
  <r>
    <x v="10"/>
    <s v="AUG"/>
    <x v="35"/>
    <s v="GRSM 5"/>
    <x v="1"/>
    <s v="GMM"/>
    <n v="103222"/>
    <n v="106437"/>
    <x v="44"/>
    <x v="82"/>
    <s v="GORENG"/>
    <n v="3000"/>
    <n v="65"/>
    <n v="195000"/>
    <n v="96"/>
  </r>
  <r>
    <x v="10"/>
    <s v="AUG"/>
    <x v="35"/>
    <s v="GRSM 5"/>
    <x v="1"/>
    <s v="GMM"/>
    <n v="103222"/>
    <n v="106437"/>
    <x v="44"/>
    <x v="83"/>
    <s v="BOLOGNESE"/>
    <n v="3000"/>
    <n v="52"/>
    <n v="156000"/>
    <m/>
  </r>
  <r>
    <x v="10"/>
    <s v="AUG"/>
    <x v="35"/>
    <s v="GRSM 5"/>
    <x v="1"/>
    <s v="GMM"/>
    <n v="103222"/>
    <n v="106437"/>
    <x v="44"/>
    <x v="83"/>
    <s v="CARBONARA"/>
    <n v="3000"/>
    <n v="57"/>
    <n v="171000"/>
    <m/>
  </r>
  <r>
    <x v="10"/>
    <s v="AUG"/>
    <x v="35"/>
    <s v="GRSM 5"/>
    <x v="1"/>
    <s v="GMM"/>
    <n v="103222"/>
    <n v="106437"/>
    <x v="44"/>
    <x v="83"/>
    <s v="AGLIO OLIO"/>
    <n v="3000"/>
    <n v="0"/>
    <n v="0"/>
    <m/>
  </r>
  <r>
    <x v="10"/>
    <s v="AUG"/>
    <x v="35"/>
    <s v="GRSM 5"/>
    <x v="1"/>
    <s v="GMM"/>
    <n v="103222"/>
    <n v="106437"/>
    <x v="44"/>
    <x v="83"/>
    <s v="GORENG"/>
    <n v="3000"/>
    <n v="65"/>
    <n v="195000"/>
    <n v="96"/>
  </r>
  <r>
    <x v="10"/>
    <s v="AUG"/>
    <x v="36"/>
    <s v="GRSM 5"/>
    <x v="1"/>
    <s v="GMM"/>
    <n v="103274"/>
    <n v="1301319"/>
    <x v="42"/>
    <x v="78"/>
    <s v="BOLOGNESE"/>
    <n v="3145"/>
    <n v="114"/>
    <n v="358530"/>
    <m/>
  </r>
  <r>
    <x v="10"/>
    <s v="AUG"/>
    <x v="36"/>
    <s v="GRSM 5"/>
    <x v="1"/>
    <s v="GMM"/>
    <n v="103274"/>
    <n v="1301319"/>
    <x v="42"/>
    <x v="78"/>
    <s v="CARBONARA"/>
    <n v="3145"/>
    <n v="54"/>
    <n v="169830"/>
    <m/>
  </r>
  <r>
    <x v="10"/>
    <s v="AUG"/>
    <x v="36"/>
    <s v="GRSM 5"/>
    <x v="1"/>
    <s v="GMM"/>
    <n v="103274"/>
    <n v="1301319"/>
    <x v="42"/>
    <x v="78"/>
    <s v="AGLIO OLIO"/>
    <n v="3145"/>
    <n v="5"/>
    <n v="15725"/>
    <m/>
  </r>
  <r>
    <x v="10"/>
    <s v="AUG"/>
    <x v="36"/>
    <s v="GRSM 5"/>
    <x v="1"/>
    <s v="GMM"/>
    <n v="103274"/>
    <n v="1301319"/>
    <x v="42"/>
    <x v="78"/>
    <s v="GORENG"/>
    <n v="3145"/>
    <n v="89"/>
    <n v="279905"/>
    <n v="160"/>
  </r>
  <r>
    <x v="10"/>
    <s v="AUG"/>
    <x v="36"/>
    <s v="GRSM 5"/>
    <x v="1"/>
    <s v="GMM"/>
    <n v="103274"/>
    <n v="1301319"/>
    <x v="42"/>
    <x v="79"/>
    <s v="BOLOGNESE"/>
    <n v="3145"/>
    <n v="114"/>
    <n v="358530"/>
    <m/>
  </r>
  <r>
    <x v="10"/>
    <s v="AUG"/>
    <x v="36"/>
    <s v="GRSM 5"/>
    <x v="1"/>
    <s v="GMM"/>
    <n v="103274"/>
    <n v="1301319"/>
    <x v="42"/>
    <x v="79"/>
    <s v="CARBONARA"/>
    <n v="3145"/>
    <n v="54"/>
    <n v="169830"/>
    <m/>
  </r>
  <r>
    <x v="10"/>
    <s v="AUG"/>
    <x v="36"/>
    <s v="GRSM 5"/>
    <x v="1"/>
    <s v="GMM"/>
    <n v="103274"/>
    <n v="1301319"/>
    <x v="42"/>
    <x v="79"/>
    <s v="AGLIO OLIO"/>
    <n v="3145"/>
    <n v="5"/>
    <n v="15725"/>
    <m/>
  </r>
  <r>
    <x v="10"/>
    <s v="AUG"/>
    <x v="36"/>
    <s v="GRSM 5"/>
    <x v="1"/>
    <s v="GMM"/>
    <n v="103274"/>
    <n v="1301319"/>
    <x v="42"/>
    <x v="79"/>
    <s v="GORENG"/>
    <n v="3145"/>
    <n v="89"/>
    <n v="279905"/>
    <n v="160"/>
  </r>
  <r>
    <x v="10"/>
    <s v="AUG"/>
    <x v="36"/>
    <s v="GRSM 5"/>
    <x v="1"/>
    <s v="GMM"/>
    <n v="103222"/>
    <n v="106426"/>
    <x v="41"/>
    <x v="76"/>
    <s v="BOLOGNESE"/>
    <n v="3000"/>
    <n v="83"/>
    <n v="249000"/>
    <m/>
  </r>
  <r>
    <x v="10"/>
    <s v="AUG"/>
    <x v="36"/>
    <s v="GRSM 5"/>
    <x v="1"/>
    <s v="GMM"/>
    <n v="103222"/>
    <n v="106426"/>
    <x v="41"/>
    <x v="76"/>
    <s v="CARBONARA"/>
    <n v="3000"/>
    <n v="98"/>
    <n v="294000"/>
    <m/>
  </r>
  <r>
    <x v="10"/>
    <s v="AUG"/>
    <x v="36"/>
    <s v="GRSM 5"/>
    <x v="1"/>
    <s v="GMM"/>
    <n v="103222"/>
    <n v="106426"/>
    <x v="41"/>
    <x v="76"/>
    <s v="AGLIO OLIO"/>
    <n v="3000"/>
    <n v="13"/>
    <n v="39000"/>
    <m/>
  </r>
  <r>
    <x v="10"/>
    <s v="AUG"/>
    <x v="36"/>
    <s v="GRSM 5"/>
    <x v="1"/>
    <s v="GMM"/>
    <n v="103222"/>
    <n v="106426"/>
    <x v="41"/>
    <x v="76"/>
    <s v="GORENG"/>
    <n v="3000"/>
    <n v="284"/>
    <n v="852000"/>
    <n v="160"/>
  </r>
  <r>
    <x v="10"/>
    <s v="AUG"/>
    <x v="36"/>
    <s v="GRSM 5"/>
    <x v="1"/>
    <s v="GMM"/>
    <n v="103222"/>
    <n v="106426"/>
    <x v="41"/>
    <x v="77"/>
    <s v="BOLOGNESE"/>
    <n v="3000"/>
    <n v="83"/>
    <n v="249000"/>
    <m/>
  </r>
  <r>
    <x v="10"/>
    <s v="AUG"/>
    <x v="36"/>
    <s v="GRSM 5"/>
    <x v="1"/>
    <s v="GMM"/>
    <n v="103222"/>
    <n v="106426"/>
    <x v="41"/>
    <x v="77"/>
    <s v="CARBONARA"/>
    <n v="3000"/>
    <n v="98"/>
    <n v="294000"/>
    <m/>
  </r>
  <r>
    <x v="10"/>
    <s v="AUG"/>
    <x v="36"/>
    <s v="GRSM 5"/>
    <x v="1"/>
    <s v="GMM"/>
    <n v="103222"/>
    <n v="106426"/>
    <x v="41"/>
    <x v="77"/>
    <s v="AGLIO OLIO"/>
    <n v="3000"/>
    <n v="13"/>
    <n v="39000"/>
    <m/>
  </r>
  <r>
    <x v="10"/>
    <s v="AUG"/>
    <x v="36"/>
    <s v="GRSM 5"/>
    <x v="1"/>
    <s v="GMM"/>
    <n v="103222"/>
    <n v="106426"/>
    <x v="41"/>
    <x v="77"/>
    <s v="GORENG"/>
    <n v="3000"/>
    <n v="284"/>
    <n v="852000"/>
    <n v="160"/>
  </r>
  <r>
    <x v="10"/>
    <s v="AUG"/>
    <x v="36"/>
    <s v="GRSM 5"/>
    <x v="4"/>
    <s v="GMM"/>
    <n v="211110"/>
    <n v="2109143"/>
    <x v="43"/>
    <x v="80"/>
    <s v="BOLOGNESE"/>
    <n v="3000"/>
    <n v="18"/>
    <n v="54000"/>
    <m/>
  </r>
  <r>
    <x v="10"/>
    <s v="AUG"/>
    <x v="36"/>
    <s v="GRSM 5"/>
    <x v="4"/>
    <s v="GMM"/>
    <n v="211110"/>
    <n v="2109143"/>
    <x v="43"/>
    <x v="80"/>
    <s v="CARBONARA"/>
    <n v="3000"/>
    <n v="23"/>
    <n v="69000"/>
    <m/>
  </r>
  <r>
    <x v="10"/>
    <s v="AUG"/>
    <x v="36"/>
    <s v="GRSM 5"/>
    <x v="4"/>
    <s v="GMM"/>
    <n v="211110"/>
    <n v="2109143"/>
    <x v="43"/>
    <x v="80"/>
    <s v="AGLIO OLIO"/>
    <n v="3000"/>
    <n v="27"/>
    <n v="81000"/>
    <m/>
  </r>
  <r>
    <x v="10"/>
    <s v="AUG"/>
    <x v="36"/>
    <s v="GRSM 5"/>
    <x v="4"/>
    <s v="GMM"/>
    <n v="211110"/>
    <n v="2109143"/>
    <x v="43"/>
    <x v="80"/>
    <s v="GORENG"/>
    <n v="3000"/>
    <n v="98"/>
    <n v="294000"/>
    <n v="160"/>
  </r>
  <r>
    <x v="10"/>
    <s v="AUG"/>
    <x v="36"/>
    <s v="GRSM 5"/>
    <x v="4"/>
    <s v="GMM"/>
    <n v="211110"/>
    <n v="2109143"/>
    <x v="43"/>
    <x v="81"/>
    <s v="BOLOGNESE"/>
    <n v="3000"/>
    <n v="18"/>
    <n v="54000"/>
    <m/>
  </r>
  <r>
    <x v="10"/>
    <s v="AUG"/>
    <x v="36"/>
    <s v="GRSM 5"/>
    <x v="4"/>
    <s v="GMM"/>
    <n v="211110"/>
    <n v="2109143"/>
    <x v="43"/>
    <x v="81"/>
    <s v="CARBONARA"/>
    <n v="3000"/>
    <n v="22"/>
    <n v="66000"/>
    <m/>
  </r>
  <r>
    <x v="10"/>
    <s v="AUG"/>
    <x v="36"/>
    <s v="GRSM 5"/>
    <x v="4"/>
    <s v="GMM"/>
    <n v="211110"/>
    <n v="2109143"/>
    <x v="43"/>
    <x v="81"/>
    <s v="AGLIO OLIO"/>
    <n v="3000"/>
    <n v="27"/>
    <n v="81000"/>
    <m/>
  </r>
  <r>
    <x v="10"/>
    <s v="AUG"/>
    <x v="36"/>
    <s v="GRSM 5"/>
    <x v="4"/>
    <s v="GMM"/>
    <n v="211110"/>
    <n v="2109143"/>
    <x v="43"/>
    <x v="81"/>
    <s v="GORENG"/>
    <n v="3000"/>
    <n v="97"/>
    <n v="291000"/>
    <n v="160"/>
  </r>
  <r>
    <x v="10"/>
    <s v="AUG"/>
    <x v="36"/>
    <s v="GRSM 5"/>
    <x v="1"/>
    <s v="GMM"/>
    <n v="103222"/>
    <n v="106437"/>
    <x v="44"/>
    <x v="82"/>
    <s v="BOLOGNESE"/>
    <n v="3000"/>
    <n v="55"/>
    <n v="165000"/>
    <m/>
  </r>
  <r>
    <x v="10"/>
    <s v="AUG"/>
    <x v="36"/>
    <s v="GRSM 5"/>
    <x v="1"/>
    <s v="GMM"/>
    <n v="103222"/>
    <n v="106437"/>
    <x v="44"/>
    <x v="82"/>
    <s v="CARBONARA"/>
    <n v="3000"/>
    <n v="60"/>
    <n v="180000"/>
    <m/>
  </r>
  <r>
    <x v="10"/>
    <s v="AUG"/>
    <x v="36"/>
    <s v="GRSM 5"/>
    <x v="1"/>
    <s v="GMM"/>
    <n v="103222"/>
    <n v="106437"/>
    <x v="44"/>
    <x v="82"/>
    <s v="AGLIO OLIO"/>
    <n v="3000"/>
    <n v="0"/>
    <n v="0"/>
    <m/>
  </r>
  <r>
    <x v="10"/>
    <s v="AUG"/>
    <x v="36"/>
    <s v="GRSM 5"/>
    <x v="1"/>
    <s v="GMM"/>
    <n v="103222"/>
    <n v="106437"/>
    <x v="44"/>
    <x v="82"/>
    <s v="GORENG"/>
    <n v="3000"/>
    <n v="68"/>
    <n v="204000"/>
    <n v="160"/>
  </r>
  <r>
    <x v="10"/>
    <s v="AUG"/>
    <x v="36"/>
    <s v="GRSM 5"/>
    <x v="1"/>
    <s v="GMM"/>
    <n v="103222"/>
    <n v="106437"/>
    <x v="44"/>
    <x v="83"/>
    <s v="BOLOGNESE"/>
    <n v="3000"/>
    <n v="55"/>
    <n v="165000"/>
    <m/>
  </r>
  <r>
    <x v="10"/>
    <s v="AUG"/>
    <x v="36"/>
    <s v="GRSM 5"/>
    <x v="1"/>
    <s v="GMM"/>
    <n v="103222"/>
    <n v="106437"/>
    <x v="44"/>
    <x v="83"/>
    <s v="CARBONARA"/>
    <n v="3000"/>
    <n v="60"/>
    <n v="180000"/>
    <m/>
  </r>
  <r>
    <x v="10"/>
    <s v="AUG"/>
    <x v="36"/>
    <s v="GRSM 5"/>
    <x v="1"/>
    <s v="GMM"/>
    <n v="103222"/>
    <n v="106437"/>
    <x v="44"/>
    <x v="83"/>
    <s v="AGLIO OLIO"/>
    <n v="3000"/>
    <n v="0"/>
    <n v="0"/>
    <m/>
  </r>
  <r>
    <x v="10"/>
    <s v="AUG"/>
    <x v="36"/>
    <s v="GRSM 5"/>
    <x v="1"/>
    <s v="GMM"/>
    <n v="103222"/>
    <n v="106437"/>
    <x v="44"/>
    <x v="83"/>
    <s v="GORENG"/>
    <n v="3000"/>
    <n v="67"/>
    <n v="201000"/>
    <n v="160"/>
  </r>
  <r>
    <x v="10"/>
    <s v="AUG"/>
    <x v="37"/>
    <s v="GRSM 5"/>
    <x v="1"/>
    <s v="GMM"/>
    <n v="103274"/>
    <n v="1301319"/>
    <x v="42"/>
    <x v="78"/>
    <s v="BOLOGNESE"/>
    <n v="3145"/>
    <n v="114"/>
    <n v="358530"/>
    <m/>
  </r>
  <r>
    <x v="10"/>
    <s v="AUG"/>
    <x v="37"/>
    <s v="GRSM 5"/>
    <x v="1"/>
    <s v="GMM"/>
    <n v="103274"/>
    <n v="1301319"/>
    <x v="42"/>
    <x v="78"/>
    <s v="CARBONARA"/>
    <n v="3145"/>
    <n v="54"/>
    <n v="169830"/>
    <m/>
  </r>
  <r>
    <x v="10"/>
    <s v="AUG"/>
    <x v="37"/>
    <s v="GRSM 5"/>
    <x v="1"/>
    <s v="GMM"/>
    <n v="103274"/>
    <n v="1301319"/>
    <x v="42"/>
    <x v="78"/>
    <s v="AGLIO OLIO"/>
    <n v="3145"/>
    <n v="20"/>
    <n v="62900"/>
    <m/>
  </r>
  <r>
    <x v="10"/>
    <s v="AUG"/>
    <x v="37"/>
    <s v="GRSM 5"/>
    <x v="1"/>
    <s v="GMM"/>
    <n v="103274"/>
    <n v="1301319"/>
    <x v="42"/>
    <x v="78"/>
    <s v="GORENG"/>
    <n v="3145"/>
    <n v="89"/>
    <n v="279905"/>
    <n v="160"/>
  </r>
  <r>
    <x v="10"/>
    <s v="AUG"/>
    <x v="37"/>
    <s v="GRSM 5"/>
    <x v="1"/>
    <s v="GMM"/>
    <n v="103274"/>
    <n v="1301319"/>
    <x v="42"/>
    <x v="79"/>
    <s v="BOLOGNESE"/>
    <n v="3145"/>
    <n v="114"/>
    <n v="358530"/>
    <m/>
  </r>
  <r>
    <x v="10"/>
    <s v="AUG"/>
    <x v="37"/>
    <s v="GRSM 5"/>
    <x v="1"/>
    <s v="GMM"/>
    <n v="103274"/>
    <n v="1301319"/>
    <x v="42"/>
    <x v="79"/>
    <s v="CARBONARA"/>
    <n v="3145"/>
    <n v="54"/>
    <n v="169830"/>
    <m/>
  </r>
  <r>
    <x v="10"/>
    <s v="AUG"/>
    <x v="37"/>
    <s v="GRSM 5"/>
    <x v="1"/>
    <s v="GMM"/>
    <n v="103274"/>
    <n v="1301319"/>
    <x v="42"/>
    <x v="79"/>
    <s v="AGLIO OLIO"/>
    <n v="3145"/>
    <n v="20"/>
    <n v="62900"/>
    <m/>
  </r>
  <r>
    <x v="10"/>
    <s v="AUG"/>
    <x v="37"/>
    <s v="GRSM 5"/>
    <x v="1"/>
    <s v="GMM"/>
    <n v="103274"/>
    <n v="1301319"/>
    <x v="42"/>
    <x v="79"/>
    <s v="GORENG"/>
    <n v="3145"/>
    <n v="89"/>
    <n v="279905"/>
    <n v="160"/>
  </r>
  <r>
    <x v="10"/>
    <s v="AUG"/>
    <x v="37"/>
    <s v="GRSM 5"/>
    <x v="4"/>
    <s v="GMM"/>
    <n v="211110"/>
    <n v="2109143"/>
    <x v="43"/>
    <x v="80"/>
    <s v="BOLOGNESE"/>
    <n v="3000"/>
    <n v="62"/>
    <n v="186000"/>
    <m/>
  </r>
  <r>
    <x v="10"/>
    <s v="AUG"/>
    <x v="37"/>
    <s v="GRSM 5"/>
    <x v="4"/>
    <s v="GMM"/>
    <n v="211110"/>
    <n v="2109143"/>
    <x v="43"/>
    <x v="80"/>
    <s v="CARBONARA"/>
    <n v="3000"/>
    <n v="6"/>
    <n v="18000"/>
    <m/>
  </r>
  <r>
    <x v="10"/>
    <s v="AUG"/>
    <x v="37"/>
    <s v="GRSM 5"/>
    <x v="4"/>
    <s v="GMM"/>
    <n v="211110"/>
    <n v="2109143"/>
    <x v="43"/>
    <x v="80"/>
    <s v="AGLIO OLIO"/>
    <n v="3000"/>
    <n v="48"/>
    <n v="144000"/>
    <m/>
  </r>
  <r>
    <x v="10"/>
    <s v="AUG"/>
    <x v="37"/>
    <s v="GRSM 5"/>
    <x v="4"/>
    <s v="GMM"/>
    <n v="211110"/>
    <n v="2109143"/>
    <x v="43"/>
    <x v="80"/>
    <s v="GORENG"/>
    <n v="3000"/>
    <n v="126"/>
    <n v="378000"/>
    <n v="160"/>
  </r>
  <r>
    <x v="10"/>
    <s v="AUG"/>
    <x v="37"/>
    <s v="GRSM 5"/>
    <x v="4"/>
    <s v="GMM"/>
    <n v="211110"/>
    <n v="2109143"/>
    <x v="43"/>
    <x v="81"/>
    <s v="BOLOGNESE"/>
    <n v="3000"/>
    <n v="61"/>
    <n v="183000"/>
    <m/>
  </r>
  <r>
    <x v="10"/>
    <s v="AUG"/>
    <x v="37"/>
    <s v="GRSM 5"/>
    <x v="4"/>
    <s v="GMM"/>
    <n v="211110"/>
    <n v="2109143"/>
    <x v="43"/>
    <x v="81"/>
    <s v="CARBONARA"/>
    <n v="3000"/>
    <n v="6"/>
    <n v="18000"/>
    <m/>
  </r>
  <r>
    <x v="10"/>
    <s v="AUG"/>
    <x v="37"/>
    <s v="GRSM 5"/>
    <x v="4"/>
    <s v="GMM"/>
    <n v="211110"/>
    <n v="2109143"/>
    <x v="43"/>
    <x v="81"/>
    <s v="AGLIO OLIO"/>
    <n v="3000"/>
    <n v="48"/>
    <n v="144000"/>
    <m/>
  </r>
  <r>
    <x v="10"/>
    <s v="AUG"/>
    <x v="37"/>
    <s v="GRSM 5"/>
    <x v="4"/>
    <s v="GMM"/>
    <n v="211110"/>
    <n v="2109143"/>
    <x v="43"/>
    <x v="81"/>
    <s v="GORENG"/>
    <n v="3000"/>
    <n v="126"/>
    <n v="378000"/>
    <n v="160"/>
  </r>
  <r>
    <x v="10"/>
    <s v="AUG"/>
    <x v="37"/>
    <s v="GRSM 5"/>
    <x v="1"/>
    <s v="GMM"/>
    <n v="103222"/>
    <n v="106426"/>
    <x v="41"/>
    <x v="76"/>
    <s v="BOLOGNESE"/>
    <n v="3000"/>
    <n v="83"/>
    <n v="249000"/>
    <m/>
  </r>
  <r>
    <x v="10"/>
    <s v="AUG"/>
    <x v="37"/>
    <s v="GRSM 5"/>
    <x v="1"/>
    <s v="GMM"/>
    <n v="103222"/>
    <n v="106426"/>
    <x v="41"/>
    <x v="76"/>
    <s v="CARBONARA"/>
    <n v="3000"/>
    <n v="98"/>
    <n v="294000"/>
    <m/>
  </r>
  <r>
    <x v="10"/>
    <s v="AUG"/>
    <x v="37"/>
    <s v="GRSM 5"/>
    <x v="1"/>
    <s v="GMM"/>
    <n v="103222"/>
    <n v="106426"/>
    <x v="41"/>
    <x v="76"/>
    <s v="AGLIO OLIO"/>
    <n v="3000"/>
    <n v="29"/>
    <n v="87000"/>
    <m/>
  </r>
  <r>
    <x v="10"/>
    <s v="AUG"/>
    <x v="37"/>
    <s v="GRSM 5"/>
    <x v="1"/>
    <s v="GMM"/>
    <n v="103222"/>
    <n v="106426"/>
    <x v="41"/>
    <x v="76"/>
    <s v="GORENG"/>
    <n v="3000"/>
    <n v="284"/>
    <n v="852000"/>
    <n v="160"/>
  </r>
  <r>
    <x v="10"/>
    <s v="AUG"/>
    <x v="37"/>
    <s v="GRSM 5"/>
    <x v="1"/>
    <s v="GMM"/>
    <n v="103222"/>
    <n v="106426"/>
    <x v="41"/>
    <x v="77"/>
    <s v="BOLOGNESE"/>
    <n v="3000"/>
    <n v="83"/>
    <n v="249000"/>
    <m/>
  </r>
  <r>
    <x v="10"/>
    <s v="AUG"/>
    <x v="37"/>
    <s v="GRSM 5"/>
    <x v="1"/>
    <s v="GMM"/>
    <n v="103222"/>
    <n v="106426"/>
    <x v="41"/>
    <x v="77"/>
    <s v="CARBONARA"/>
    <n v="3000"/>
    <n v="98"/>
    <n v="294000"/>
    <m/>
  </r>
  <r>
    <x v="10"/>
    <s v="AUG"/>
    <x v="37"/>
    <s v="GRSM 5"/>
    <x v="1"/>
    <s v="GMM"/>
    <n v="103222"/>
    <n v="106426"/>
    <x v="41"/>
    <x v="77"/>
    <s v="AGLIO OLIO"/>
    <n v="3000"/>
    <n v="29"/>
    <n v="87000"/>
    <m/>
  </r>
  <r>
    <x v="10"/>
    <s v="AUG"/>
    <x v="37"/>
    <s v="GRSM 5"/>
    <x v="1"/>
    <s v="GMM"/>
    <n v="103222"/>
    <n v="106426"/>
    <x v="41"/>
    <x v="77"/>
    <s v="GORENG"/>
    <n v="3000"/>
    <n v="284"/>
    <n v="852000"/>
    <n v="160"/>
  </r>
  <r>
    <x v="10"/>
    <s v="AUG"/>
    <x v="37"/>
    <s v="GRSM 5"/>
    <x v="1"/>
    <s v="GMM"/>
    <n v="103222"/>
    <n v="106437"/>
    <x v="44"/>
    <x v="82"/>
    <s v="BOLOGNESE"/>
    <n v="3000"/>
    <n v="60"/>
    <n v="180000"/>
    <m/>
  </r>
  <r>
    <x v="10"/>
    <s v="AUG"/>
    <x v="37"/>
    <s v="GRSM 5"/>
    <x v="1"/>
    <s v="GMM"/>
    <n v="103222"/>
    <n v="106437"/>
    <x v="44"/>
    <x v="82"/>
    <s v="CARBONARA"/>
    <n v="3000"/>
    <n v="58"/>
    <n v="174000"/>
    <m/>
  </r>
  <r>
    <x v="10"/>
    <s v="AUG"/>
    <x v="37"/>
    <s v="GRSM 5"/>
    <x v="1"/>
    <s v="GMM"/>
    <n v="103222"/>
    <n v="106437"/>
    <x v="44"/>
    <x v="82"/>
    <s v="AGLIO OLIO"/>
    <n v="3000"/>
    <n v="0"/>
    <n v="0"/>
    <m/>
  </r>
  <r>
    <x v="10"/>
    <s v="AUG"/>
    <x v="37"/>
    <s v="GRSM 5"/>
    <x v="1"/>
    <s v="GMM"/>
    <n v="103222"/>
    <n v="106437"/>
    <x v="44"/>
    <x v="82"/>
    <s v="GORENG"/>
    <n v="3000"/>
    <n v="73"/>
    <n v="219000"/>
    <n v="160"/>
  </r>
  <r>
    <x v="10"/>
    <s v="AUG"/>
    <x v="37"/>
    <s v="GRSM 5"/>
    <x v="1"/>
    <s v="GMM"/>
    <n v="103222"/>
    <n v="106437"/>
    <x v="44"/>
    <x v="83"/>
    <s v="BOLOGNESE"/>
    <n v="3000"/>
    <n v="60"/>
    <n v="180000"/>
    <m/>
  </r>
  <r>
    <x v="10"/>
    <s v="AUG"/>
    <x v="37"/>
    <s v="GRSM 5"/>
    <x v="1"/>
    <s v="GMM"/>
    <n v="103222"/>
    <n v="106437"/>
    <x v="44"/>
    <x v="83"/>
    <s v="CARBONARA"/>
    <n v="3000"/>
    <n v="57"/>
    <n v="171000"/>
    <m/>
  </r>
  <r>
    <x v="10"/>
    <s v="AUG"/>
    <x v="37"/>
    <s v="GRSM 5"/>
    <x v="1"/>
    <s v="GMM"/>
    <n v="103222"/>
    <n v="106437"/>
    <x v="44"/>
    <x v="83"/>
    <s v="AGLIO OLIO"/>
    <n v="3000"/>
    <n v="0"/>
    <n v="0"/>
    <m/>
  </r>
  <r>
    <x v="10"/>
    <s v="AUG"/>
    <x v="37"/>
    <s v="GRSM 5"/>
    <x v="1"/>
    <s v="GMM"/>
    <n v="103222"/>
    <n v="106437"/>
    <x v="44"/>
    <x v="83"/>
    <s v="GORENG"/>
    <n v="3000"/>
    <n v="72"/>
    <n v="216000"/>
    <n v="160"/>
  </r>
  <r>
    <x v="10"/>
    <s v="AUG"/>
    <x v="35"/>
    <s v="GRSM 7"/>
    <x v="5"/>
    <s v="GMM"/>
    <n v="211074"/>
    <n v="2217375"/>
    <x v="45"/>
    <x v="84"/>
    <s v="BOLOGNESE"/>
    <n v="3200"/>
    <n v="48"/>
    <n v="153600"/>
    <m/>
  </r>
  <r>
    <x v="10"/>
    <s v="AUG"/>
    <x v="35"/>
    <s v="GRSM 7"/>
    <x v="5"/>
    <s v="GMM"/>
    <n v="211074"/>
    <n v="2217375"/>
    <x v="45"/>
    <x v="84"/>
    <s v="CARBONARA"/>
    <n v="3200"/>
    <n v="62"/>
    <n v="198400"/>
    <m/>
  </r>
  <r>
    <x v="10"/>
    <s v="AUG"/>
    <x v="35"/>
    <s v="GRSM 7"/>
    <x v="5"/>
    <s v="GMM"/>
    <n v="211074"/>
    <n v="2217375"/>
    <x v="45"/>
    <x v="84"/>
    <s v="AGLIO OLIO"/>
    <n v="3200"/>
    <n v="12"/>
    <n v="38400"/>
    <m/>
  </r>
  <r>
    <x v="10"/>
    <s v="AUG"/>
    <x v="35"/>
    <s v="GRSM 7"/>
    <x v="5"/>
    <s v="GMM"/>
    <n v="211074"/>
    <n v="2217375"/>
    <x v="45"/>
    <x v="84"/>
    <s v="GORENG"/>
    <n v="3200"/>
    <n v="112"/>
    <n v="358400"/>
    <n v="160"/>
  </r>
  <r>
    <x v="10"/>
    <s v="AUG"/>
    <x v="35"/>
    <s v="GRSM 7"/>
    <x v="5"/>
    <s v="GMM"/>
    <n v="211074"/>
    <n v="2217375"/>
    <x v="45"/>
    <x v="85"/>
    <s v="BOLOGNESE"/>
    <n v="3200"/>
    <n v="48"/>
    <n v="153600"/>
    <m/>
  </r>
  <r>
    <x v="10"/>
    <s v="AUG"/>
    <x v="35"/>
    <s v="GRSM 7"/>
    <x v="5"/>
    <s v="GMM"/>
    <n v="211074"/>
    <n v="2217375"/>
    <x v="45"/>
    <x v="85"/>
    <s v="CARBONARA"/>
    <n v="3200"/>
    <n v="62"/>
    <n v="198400"/>
    <m/>
  </r>
  <r>
    <x v="10"/>
    <s v="AUG"/>
    <x v="35"/>
    <s v="GRSM 7"/>
    <x v="5"/>
    <s v="GMM"/>
    <n v="211074"/>
    <n v="2217375"/>
    <x v="45"/>
    <x v="85"/>
    <s v="AGLIO OLIO"/>
    <n v="3200"/>
    <n v="12"/>
    <n v="38400"/>
    <m/>
  </r>
  <r>
    <x v="10"/>
    <s v="AUG"/>
    <x v="35"/>
    <s v="GRSM 7"/>
    <x v="5"/>
    <s v="GMM"/>
    <n v="211074"/>
    <n v="2217375"/>
    <x v="45"/>
    <x v="85"/>
    <s v="GORENG"/>
    <n v="3200"/>
    <n v="112"/>
    <n v="358400"/>
    <n v="160"/>
  </r>
  <r>
    <x v="10"/>
    <s v="AUG"/>
    <x v="36"/>
    <s v="GRSM 7"/>
    <x v="5"/>
    <s v="GMM"/>
    <n v="211074"/>
    <n v="2217375"/>
    <x v="45"/>
    <x v="84"/>
    <s v="BOLOGNESE"/>
    <n v="3200"/>
    <n v="26"/>
    <n v="83200"/>
    <m/>
  </r>
  <r>
    <x v="10"/>
    <s v="AUG"/>
    <x v="36"/>
    <s v="GRSM 7"/>
    <x v="5"/>
    <s v="GMM"/>
    <n v="211074"/>
    <n v="2217375"/>
    <x v="45"/>
    <x v="84"/>
    <s v="CARBONARA"/>
    <n v="3200"/>
    <n v="24"/>
    <n v="76800"/>
    <m/>
  </r>
  <r>
    <x v="10"/>
    <s v="AUG"/>
    <x v="36"/>
    <s v="GRSM 7"/>
    <x v="5"/>
    <s v="GMM"/>
    <n v="211074"/>
    <n v="2217375"/>
    <x v="45"/>
    <x v="84"/>
    <s v="AGLIO OLIO"/>
    <n v="3200"/>
    <n v="12"/>
    <n v="38400"/>
    <m/>
  </r>
  <r>
    <x v="10"/>
    <s v="AUG"/>
    <x v="36"/>
    <s v="GRSM 7"/>
    <x v="5"/>
    <s v="GMM"/>
    <n v="211074"/>
    <n v="2217375"/>
    <x v="45"/>
    <x v="84"/>
    <s v="GORENG"/>
    <n v="3200"/>
    <n v="109"/>
    <n v="348800"/>
    <n v="160"/>
  </r>
  <r>
    <x v="10"/>
    <s v="AUG"/>
    <x v="36"/>
    <s v="GRSM 7"/>
    <x v="5"/>
    <s v="GMM"/>
    <n v="211074"/>
    <n v="2217375"/>
    <x v="45"/>
    <x v="85"/>
    <s v="BOLOGNESE"/>
    <n v="3200"/>
    <n v="26"/>
    <n v="83200"/>
    <m/>
  </r>
  <r>
    <x v="10"/>
    <s v="AUG"/>
    <x v="36"/>
    <s v="GRSM 7"/>
    <x v="5"/>
    <s v="GMM"/>
    <n v="211074"/>
    <n v="2217375"/>
    <x v="45"/>
    <x v="85"/>
    <s v="CARBONARA"/>
    <n v="3200"/>
    <n v="24"/>
    <n v="76800"/>
    <m/>
  </r>
  <r>
    <x v="10"/>
    <s v="AUG"/>
    <x v="36"/>
    <s v="GRSM 7"/>
    <x v="5"/>
    <s v="GMM"/>
    <n v="211074"/>
    <n v="2217375"/>
    <x v="45"/>
    <x v="85"/>
    <s v="AGLIO OLIO"/>
    <n v="3200"/>
    <n v="12"/>
    <n v="38400"/>
    <m/>
  </r>
  <r>
    <x v="10"/>
    <s v="AUG"/>
    <x v="36"/>
    <s v="GRSM 7"/>
    <x v="5"/>
    <s v="GMM"/>
    <n v="211074"/>
    <n v="2217375"/>
    <x v="45"/>
    <x v="85"/>
    <s v="GORENG"/>
    <n v="3200"/>
    <n v="109"/>
    <n v="348800"/>
    <n v="160"/>
  </r>
  <r>
    <x v="10"/>
    <s v="AUG"/>
    <x v="36"/>
    <s v="GRSM 7"/>
    <x v="5"/>
    <s v="GMM"/>
    <n v="103240"/>
    <n v="7112059"/>
    <x v="46"/>
    <x v="86"/>
    <s v="BOLOGNESE"/>
    <n v="3200"/>
    <n v="192"/>
    <n v="614400"/>
    <m/>
  </r>
  <r>
    <x v="10"/>
    <s v="AUG"/>
    <x v="36"/>
    <s v="GRSM 7"/>
    <x v="5"/>
    <s v="GMM"/>
    <n v="103240"/>
    <n v="7112059"/>
    <x v="46"/>
    <x v="86"/>
    <s v="CARBONARA"/>
    <n v="3200"/>
    <n v="88"/>
    <n v="281600"/>
    <m/>
  </r>
  <r>
    <x v="10"/>
    <s v="AUG"/>
    <x v="36"/>
    <s v="GRSM 7"/>
    <x v="5"/>
    <s v="GMM"/>
    <n v="103240"/>
    <n v="7112059"/>
    <x v="46"/>
    <x v="86"/>
    <s v="AGLIO OLIO"/>
    <n v="3200"/>
    <n v="33"/>
    <n v="105600"/>
    <m/>
  </r>
  <r>
    <x v="10"/>
    <s v="AUG"/>
    <x v="36"/>
    <s v="GRSM 7"/>
    <x v="5"/>
    <s v="GMM"/>
    <n v="103240"/>
    <n v="7112059"/>
    <x v="46"/>
    <x v="86"/>
    <s v="GORENG"/>
    <n v="3200"/>
    <n v="102"/>
    <n v="326400"/>
    <n v="160"/>
  </r>
  <r>
    <x v="10"/>
    <s v="AUG"/>
    <x v="36"/>
    <s v="GRSM 7"/>
    <x v="5"/>
    <s v="GMM"/>
    <n v="103240"/>
    <n v="7112059"/>
    <x v="46"/>
    <x v="87"/>
    <s v="BOLOGNESE"/>
    <n v="3200"/>
    <n v="192"/>
    <n v="614400"/>
    <m/>
  </r>
  <r>
    <x v="10"/>
    <s v="AUG"/>
    <x v="36"/>
    <s v="GRSM 7"/>
    <x v="5"/>
    <s v="GMM"/>
    <n v="103240"/>
    <n v="7112059"/>
    <x v="46"/>
    <x v="87"/>
    <s v="CARBONARA"/>
    <n v="3200"/>
    <n v="88"/>
    <n v="281600"/>
    <m/>
  </r>
  <r>
    <x v="10"/>
    <s v="AUG"/>
    <x v="36"/>
    <s v="GRSM 7"/>
    <x v="5"/>
    <s v="GMM"/>
    <n v="103240"/>
    <n v="7112059"/>
    <x v="46"/>
    <x v="87"/>
    <s v="AGLIO OLIO"/>
    <n v="3200"/>
    <n v="33"/>
    <n v="105600"/>
    <m/>
  </r>
  <r>
    <x v="10"/>
    <s v="AUG"/>
    <x v="36"/>
    <s v="GRSM 7"/>
    <x v="5"/>
    <s v="GMM"/>
    <n v="103240"/>
    <n v="7112059"/>
    <x v="46"/>
    <x v="87"/>
    <s v="GORENG"/>
    <n v="3200"/>
    <n v="102"/>
    <n v="326400"/>
    <n v="160"/>
  </r>
  <r>
    <x v="10"/>
    <s v="AUG"/>
    <x v="37"/>
    <s v="GRSM 7"/>
    <x v="5"/>
    <s v="GMM"/>
    <n v="103240"/>
    <n v="7112059"/>
    <x v="46"/>
    <x v="86"/>
    <s v="BOLOGNESE"/>
    <n v="3200"/>
    <n v="192"/>
    <n v="614400"/>
    <m/>
  </r>
  <r>
    <x v="10"/>
    <s v="AUG"/>
    <x v="37"/>
    <s v="GRSM 7"/>
    <x v="5"/>
    <s v="GMM"/>
    <n v="103240"/>
    <n v="7112059"/>
    <x v="46"/>
    <x v="86"/>
    <s v="CARBONARA"/>
    <n v="3200"/>
    <n v="88"/>
    <n v="281600"/>
    <m/>
  </r>
  <r>
    <x v="10"/>
    <s v="AUG"/>
    <x v="37"/>
    <s v="GRSM 7"/>
    <x v="5"/>
    <s v="GMM"/>
    <n v="103240"/>
    <n v="7112059"/>
    <x v="46"/>
    <x v="86"/>
    <s v="AGLIO OLIO"/>
    <n v="3200"/>
    <n v="10"/>
    <n v="32000"/>
    <m/>
  </r>
  <r>
    <x v="10"/>
    <s v="AUG"/>
    <x v="37"/>
    <s v="GRSM 7"/>
    <x v="5"/>
    <s v="GMM"/>
    <n v="103240"/>
    <n v="7112059"/>
    <x v="46"/>
    <x v="86"/>
    <s v="GORENG"/>
    <n v="3200"/>
    <n v="102"/>
    <n v="326400"/>
    <n v="160"/>
  </r>
  <r>
    <x v="10"/>
    <s v="AUG"/>
    <x v="37"/>
    <s v="GRSM 7"/>
    <x v="5"/>
    <s v="GMM"/>
    <n v="103240"/>
    <n v="7112059"/>
    <x v="46"/>
    <x v="87"/>
    <s v="BOLOGNESE"/>
    <n v="3200"/>
    <n v="192"/>
    <n v="614400"/>
    <m/>
  </r>
  <r>
    <x v="10"/>
    <s v="AUG"/>
    <x v="37"/>
    <s v="GRSM 7"/>
    <x v="5"/>
    <s v="GMM"/>
    <n v="103240"/>
    <n v="7112059"/>
    <x v="46"/>
    <x v="87"/>
    <s v="CARBONARA"/>
    <n v="3200"/>
    <n v="88"/>
    <n v="281600"/>
    <m/>
  </r>
  <r>
    <x v="10"/>
    <s v="AUG"/>
    <x v="37"/>
    <s v="GRSM 7"/>
    <x v="5"/>
    <s v="GMM"/>
    <n v="103240"/>
    <n v="7112059"/>
    <x v="46"/>
    <x v="87"/>
    <s v="AGLIO OLIO"/>
    <n v="3200"/>
    <n v="10"/>
    <n v="32000"/>
    <m/>
  </r>
  <r>
    <x v="10"/>
    <s v="AUG"/>
    <x v="37"/>
    <s v="GRSM 7"/>
    <x v="5"/>
    <s v="GMM"/>
    <n v="103240"/>
    <n v="7112059"/>
    <x v="46"/>
    <x v="87"/>
    <s v="GORENG"/>
    <n v="3200"/>
    <n v="102"/>
    <n v="326400"/>
    <n v="160"/>
  </r>
  <r>
    <x v="10"/>
    <s v="AUG"/>
    <x v="37"/>
    <s v="GRSM 7"/>
    <x v="5"/>
    <s v="GMM"/>
    <n v="211074"/>
    <n v="2217375"/>
    <x v="45"/>
    <x v="84"/>
    <s v="BOLOGNESE"/>
    <n v="3200"/>
    <n v="26"/>
    <n v="83200"/>
    <m/>
  </r>
  <r>
    <x v="10"/>
    <s v="AUG"/>
    <x v="37"/>
    <s v="GRSM 7"/>
    <x v="5"/>
    <s v="GMM"/>
    <n v="211074"/>
    <n v="2217375"/>
    <x v="45"/>
    <x v="84"/>
    <s v="CARBONARA"/>
    <n v="3200"/>
    <n v="24"/>
    <n v="76800"/>
    <m/>
  </r>
  <r>
    <x v="10"/>
    <s v="AUG"/>
    <x v="37"/>
    <s v="GRSM 7"/>
    <x v="5"/>
    <s v="GMM"/>
    <n v="211074"/>
    <n v="2217375"/>
    <x v="45"/>
    <x v="84"/>
    <s v="AGLIO OLIO"/>
    <n v="3200"/>
    <n v="12"/>
    <n v="38400"/>
    <m/>
  </r>
  <r>
    <x v="10"/>
    <s v="AUG"/>
    <x v="37"/>
    <s v="GRSM 7"/>
    <x v="5"/>
    <s v="GMM"/>
    <n v="211074"/>
    <n v="2217375"/>
    <x v="45"/>
    <x v="84"/>
    <s v="GORENG"/>
    <n v="3200"/>
    <n v="109"/>
    <n v="348800"/>
    <n v="160"/>
  </r>
  <r>
    <x v="10"/>
    <s v="AUG"/>
    <x v="37"/>
    <s v="GRSM 7"/>
    <x v="5"/>
    <s v="GMM"/>
    <n v="211074"/>
    <n v="2217375"/>
    <x v="45"/>
    <x v="85"/>
    <s v="BOLOGNESE"/>
    <n v="3200"/>
    <n v="26"/>
    <n v="83200"/>
    <m/>
  </r>
  <r>
    <x v="10"/>
    <s v="AUG"/>
    <x v="37"/>
    <s v="GRSM 7"/>
    <x v="5"/>
    <s v="GMM"/>
    <n v="211074"/>
    <n v="2217375"/>
    <x v="45"/>
    <x v="85"/>
    <s v="CARBONARA"/>
    <n v="3200"/>
    <n v="24"/>
    <n v="76800"/>
    <m/>
  </r>
  <r>
    <x v="10"/>
    <s v="AUG"/>
    <x v="37"/>
    <s v="GRSM 7"/>
    <x v="5"/>
    <s v="GMM"/>
    <n v="211074"/>
    <n v="2217375"/>
    <x v="45"/>
    <x v="85"/>
    <s v="AGLIO OLIO"/>
    <n v="3200"/>
    <n v="12"/>
    <n v="38400"/>
    <m/>
  </r>
  <r>
    <x v="10"/>
    <s v="AUG"/>
    <x v="37"/>
    <s v="GRSM 7"/>
    <x v="5"/>
    <s v="GMM"/>
    <n v="211074"/>
    <n v="2217375"/>
    <x v="45"/>
    <x v="85"/>
    <s v="GORENG"/>
    <n v="3200"/>
    <n v="109"/>
    <n v="348800"/>
    <n v="160"/>
  </r>
  <r>
    <x v="10"/>
    <s v="AUG"/>
    <x v="35"/>
    <s v="GRSM 6"/>
    <x v="6"/>
    <s v="GMM"/>
    <n v="211030"/>
    <n v="5765011"/>
    <x v="47"/>
    <x v="88"/>
    <s v="BOLOGNESE"/>
    <n v="2950"/>
    <n v="75"/>
    <n v="221250"/>
    <m/>
  </r>
  <r>
    <x v="10"/>
    <s v="AUG"/>
    <x v="35"/>
    <s v="GRSM 6"/>
    <x v="6"/>
    <s v="GMM"/>
    <n v="211030"/>
    <n v="5765011"/>
    <x v="47"/>
    <x v="88"/>
    <s v="CARBONARA"/>
    <n v="2950"/>
    <n v="102"/>
    <n v="300900"/>
    <m/>
  </r>
  <r>
    <x v="10"/>
    <s v="AUG"/>
    <x v="35"/>
    <s v="GRSM 6"/>
    <x v="6"/>
    <s v="GMM"/>
    <n v="211030"/>
    <n v="5765011"/>
    <x v="47"/>
    <x v="88"/>
    <s v="AGLIO OLIO"/>
    <n v="2950"/>
    <n v="39"/>
    <n v="115050"/>
    <m/>
  </r>
  <r>
    <x v="10"/>
    <s v="AUG"/>
    <x v="35"/>
    <s v="GRSM 6"/>
    <x v="6"/>
    <s v="GMM"/>
    <n v="211030"/>
    <n v="5765011"/>
    <x v="47"/>
    <x v="88"/>
    <s v="GORENG"/>
    <n v="2950"/>
    <n v="303"/>
    <n v="893850"/>
    <n v="160"/>
  </r>
  <r>
    <x v="10"/>
    <s v="AUG"/>
    <x v="35"/>
    <s v="GRSM 6"/>
    <x v="6"/>
    <s v="GMM"/>
    <n v="211030"/>
    <n v="5765011"/>
    <x v="47"/>
    <x v="89"/>
    <s v="BOLOGNESE"/>
    <n v="2950"/>
    <n v="75"/>
    <n v="221250"/>
    <m/>
  </r>
  <r>
    <x v="10"/>
    <s v="AUG"/>
    <x v="35"/>
    <s v="GRSM 6"/>
    <x v="6"/>
    <s v="GMM"/>
    <n v="211030"/>
    <n v="5765011"/>
    <x v="47"/>
    <x v="89"/>
    <s v="CARBONARA"/>
    <n v="2950"/>
    <n v="102"/>
    <n v="300900"/>
    <m/>
  </r>
  <r>
    <x v="10"/>
    <s v="AUG"/>
    <x v="35"/>
    <s v="GRSM 6"/>
    <x v="6"/>
    <s v="GMM"/>
    <n v="211030"/>
    <n v="5765011"/>
    <x v="47"/>
    <x v="89"/>
    <s v="AGLIO OLIO"/>
    <n v="2950"/>
    <n v="39"/>
    <n v="115050"/>
    <m/>
  </r>
  <r>
    <x v="10"/>
    <s v="AUG"/>
    <x v="35"/>
    <s v="GRSM 6"/>
    <x v="6"/>
    <s v="GMM"/>
    <n v="211030"/>
    <n v="5765011"/>
    <x v="47"/>
    <x v="89"/>
    <s v="GORENG"/>
    <n v="2950"/>
    <n v="303"/>
    <n v="893850"/>
    <n v="160"/>
  </r>
  <r>
    <x v="10"/>
    <s v="AUG"/>
    <x v="35"/>
    <s v="GRSM 6"/>
    <x v="6"/>
    <s v="GMM"/>
    <n v="211161"/>
    <n v="7103"/>
    <x v="48"/>
    <x v="90"/>
    <s v="BOLOGNESE"/>
    <n v="2100"/>
    <n v="96"/>
    <n v="201600"/>
    <m/>
  </r>
  <r>
    <x v="10"/>
    <s v="AUG"/>
    <x v="35"/>
    <s v="GRSM 6"/>
    <x v="6"/>
    <s v="GMM"/>
    <n v="211161"/>
    <n v="7103"/>
    <x v="48"/>
    <x v="90"/>
    <s v="CARBONARA"/>
    <n v="2100"/>
    <n v="105"/>
    <n v="220500"/>
    <m/>
  </r>
  <r>
    <x v="10"/>
    <s v="AUG"/>
    <x v="35"/>
    <s v="GRSM 6"/>
    <x v="6"/>
    <s v="GMM"/>
    <n v="211161"/>
    <n v="7103"/>
    <x v="48"/>
    <x v="90"/>
    <s v="AGLIO OLIO"/>
    <n v="2100"/>
    <n v="300"/>
    <n v="630000"/>
    <m/>
  </r>
  <r>
    <x v="10"/>
    <s v="AUG"/>
    <x v="35"/>
    <s v="GRSM 6"/>
    <x v="6"/>
    <s v="GMM"/>
    <n v="211161"/>
    <n v="7103"/>
    <x v="48"/>
    <x v="90"/>
    <s v="GORENG"/>
    <n v="2100"/>
    <n v="142"/>
    <n v="298200"/>
    <m/>
  </r>
  <r>
    <x v="10"/>
    <s v="AUG"/>
    <x v="35"/>
    <s v="GRSM 6"/>
    <x v="6"/>
    <s v="GMM"/>
    <n v="211161"/>
    <n v="7103"/>
    <x v="48"/>
    <x v="91"/>
    <s v="BOLOGNESE"/>
    <n v="2100"/>
    <n v="96"/>
    <n v="201600"/>
    <m/>
  </r>
  <r>
    <x v="10"/>
    <s v="AUG"/>
    <x v="35"/>
    <s v="GRSM 6"/>
    <x v="6"/>
    <s v="GMM"/>
    <n v="211161"/>
    <n v="7103"/>
    <x v="48"/>
    <x v="91"/>
    <s v="CARBONARA"/>
    <n v="2100"/>
    <n v="105"/>
    <n v="220500"/>
    <m/>
  </r>
  <r>
    <x v="10"/>
    <s v="AUG"/>
    <x v="35"/>
    <s v="GRSM 6"/>
    <x v="6"/>
    <s v="GMM"/>
    <n v="211161"/>
    <n v="7103"/>
    <x v="48"/>
    <x v="91"/>
    <s v="AGLIO OLIO"/>
    <n v="2100"/>
    <n v="300"/>
    <n v="630000"/>
    <m/>
  </r>
  <r>
    <x v="10"/>
    <s v="AUG"/>
    <x v="35"/>
    <s v="GRSM 6"/>
    <x v="6"/>
    <s v="GMM"/>
    <n v="211161"/>
    <n v="7103"/>
    <x v="48"/>
    <x v="91"/>
    <s v="GORENG"/>
    <n v="2100"/>
    <n v="142"/>
    <n v="298200"/>
    <m/>
  </r>
  <r>
    <x v="10"/>
    <s v="AUG"/>
    <x v="35"/>
    <s v="GRSM 6"/>
    <x v="6"/>
    <s v="GMM"/>
    <n v="211030"/>
    <n v="5766116"/>
    <x v="49"/>
    <x v="92"/>
    <s v="BOLOGNESE"/>
    <n v="2950"/>
    <n v="56"/>
    <n v="165200"/>
    <m/>
  </r>
  <r>
    <x v="10"/>
    <s v="AUG"/>
    <x v="35"/>
    <s v="GRSM 6"/>
    <x v="6"/>
    <s v="GMM"/>
    <n v="211030"/>
    <n v="5766116"/>
    <x v="49"/>
    <x v="92"/>
    <s v="CARBONARA"/>
    <n v="2950"/>
    <n v="57"/>
    <n v="168150"/>
    <m/>
  </r>
  <r>
    <x v="10"/>
    <s v="AUG"/>
    <x v="35"/>
    <s v="GRSM 6"/>
    <x v="6"/>
    <s v="GMM"/>
    <n v="211030"/>
    <n v="5766116"/>
    <x v="49"/>
    <x v="92"/>
    <s v="AGLIO OLIO"/>
    <n v="2950"/>
    <n v="29"/>
    <n v="85550"/>
    <m/>
  </r>
  <r>
    <x v="10"/>
    <s v="AUG"/>
    <x v="35"/>
    <s v="GRSM 6"/>
    <x v="6"/>
    <s v="GMM"/>
    <n v="211030"/>
    <n v="5766116"/>
    <x v="49"/>
    <x v="92"/>
    <s v="GORENG"/>
    <n v="2950"/>
    <n v="77"/>
    <n v="227150"/>
    <n v="160"/>
  </r>
  <r>
    <x v="10"/>
    <s v="AUG"/>
    <x v="35"/>
    <s v="GRSM 6"/>
    <x v="6"/>
    <s v="GMM"/>
    <n v="211030"/>
    <n v="5766116"/>
    <x v="49"/>
    <x v="93"/>
    <s v="BOLOGNESE"/>
    <n v="2950"/>
    <n v="56"/>
    <n v="165200"/>
    <m/>
  </r>
  <r>
    <x v="10"/>
    <s v="AUG"/>
    <x v="35"/>
    <s v="GRSM 6"/>
    <x v="6"/>
    <s v="GMM"/>
    <n v="211030"/>
    <n v="5766116"/>
    <x v="49"/>
    <x v="93"/>
    <s v="CARBONARA"/>
    <n v="2950"/>
    <n v="57"/>
    <n v="168150"/>
    <m/>
  </r>
  <r>
    <x v="10"/>
    <s v="AUG"/>
    <x v="35"/>
    <s v="GRSM 6"/>
    <x v="6"/>
    <s v="GMM"/>
    <n v="211030"/>
    <n v="5766116"/>
    <x v="49"/>
    <x v="93"/>
    <s v="AGLIO OLIO"/>
    <n v="2950"/>
    <n v="29"/>
    <n v="85550"/>
    <m/>
  </r>
  <r>
    <x v="10"/>
    <s v="AUG"/>
    <x v="35"/>
    <s v="GRSM 6"/>
    <x v="6"/>
    <s v="GMM"/>
    <n v="211030"/>
    <n v="5766116"/>
    <x v="49"/>
    <x v="93"/>
    <s v="GORENG"/>
    <n v="2950"/>
    <n v="77"/>
    <n v="227150"/>
    <n v="160"/>
  </r>
  <r>
    <x v="10"/>
    <s v="AUG"/>
    <x v="35"/>
    <s v="GRSM 6"/>
    <x v="6"/>
    <s v="GMM"/>
    <n v="211181"/>
    <n v="3208670"/>
    <x v="50"/>
    <x v="94"/>
    <s v="BOLOGNESE"/>
    <n v="2950"/>
    <n v="20"/>
    <n v="59000"/>
    <m/>
  </r>
  <r>
    <x v="10"/>
    <s v="AUG"/>
    <x v="35"/>
    <s v="GRSM 6"/>
    <x v="6"/>
    <s v="GMM"/>
    <n v="211181"/>
    <n v="3208670"/>
    <x v="50"/>
    <x v="94"/>
    <s v="CARBONARA"/>
    <n v="2950"/>
    <n v="25"/>
    <n v="73750"/>
    <m/>
  </r>
  <r>
    <x v="10"/>
    <s v="AUG"/>
    <x v="35"/>
    <s v="GRSM 6"/>
    <x v="6"/>
    <s v="GMM"/>
    <n v="211181"/>
    <n v="3208670"/>
    <x v="50"/>
    <x v="94"/>
    <s v="AGLIO OLIO"/>
    <n v="2950"/>
    <n v="19"/>
    <n v="56050"/>
    <m/>
  </r>
  <r>
    <x v="10"/>
    <s v="AUG"/>
    <x v="35"/>
    <s v="GRSM 6"/>
    <x v="6"/>
    <s v="GMM"/>
    <n v="211181"/>
    <n v="3208670"/>
    <x v="50"/>
    <x v="94"/>
    <s v="GORENG"/>
    <n v="2950"/>
    <n v="39"/>
    <n v="115050"/>
    <n v="160"/>
  </r>
  <r>
    <x v="10"/>
    <s v="AUG"/>
    <x v="35"/>
    <s v="GRSM 6"/>
    <x v="6"/>
    <s v="GMM"/>
    <n v="211181"/>
    <n v="3208670"/>
    <x v="50"/>
    <x v="95"/>
    <s v="BOLOGNESE"/>
    <n v="2950"/>
    <n v="20"/>
    <n v="59000"/>
    <m/>
  </r>
  <r>
    <x v="10"/>
    <s v="AUG"/>
    <x v="35"/>
    <s v="GRSM 6"/>
    <x v="6"/>
    <s v="GMM"/>
    <n v="211181"/>
    <n v="3208670"/>
    <x v="50"/>
    <x v="95"/>
    <s v="CARBONARA"/>
    <n v="2950"/>
    <n v="24"/>
    <n v="70800"/>
    <m/>
  </r>
  <r>
    <x v="10"/>
    <s v="AUG"/>
    <x v="35"/>
    <s v="GRSM 6"/>
    <x v="6"/>
    <s v="GMM"/>
    <n v="211181"/>
    <n v="3208670"/>
    <x v="50"/>
    <x v="95"/>
    <s v="AGLIO OLIO"/>
    <n v="2950"/>
    <n v="18"/>
    <n v="53100"/>
    <m/>
  </r>
  <r>
    <x v="10"/>
    <s v="AUG"/>
    <x v="35"/>
    <s v="GRSM 6"/>
    <x v="6"/>
    <s v="GMM"/>
    <n v="211181"/>
    <n v="3208670"/>
    <x v="50"/>
    <x v="95"/>
    <s v="GORENG"/>
    <n v="2950"/>
    <n v="39"/>
    <n v="115050"/>
    <n v="160"/>
  </r>
  <r>
    <x v="10"/>
    <s v="AUG"/>
    <x v="35"/>
    <s v="GRSM 6"/>
    <x v="6"/>
    <s v="GMM"/>
    <n v="103696"/>
    <n v="4216343"/>
    <x v="51"/>
    <x v="96"/>
    <s v="BOLOGNESE"/>
    <n v="2950"/>
    <n v="20"/>
    <n v="59000"/>
    <m/>
  </r>
  <r>
    <x v="10"/>
    <s v="AUG"/>
    <x v="35"/>
    <s v="GRSM 6"/>
    <x v="6"/>
    <s v="GMM"/>
    <n v="103696"/>
    <n v="4216343"/>
    <x v="51"/>
    <x v="96"/>
    <s v="CARBONARA"/>
    <n v="2950"/>
    <n v="25"/>
    <n v="73750"/>
    <m/>
  </r>
  <r>
    <x v="10"/>
    <s v="AUG"/>
    <x v="35"/>
    <s v="GRSM 6"/>
    <x v="6"/>
    <s v="GMM"/>
    <n v="103696"/>
    <n v="4216343"/>
    <x v="51"/>
    <x v="96"/>
    <s v="AGLIO OLIO"/>
    <n v="2950"/>
    <n v="10"/>
    <n v="29500"/>
    <m/>
  </r>
  <r>
    <x v="10"/>
    <s v="AUG"/>
    <x v="35"/>
    <s v="GRSM 6"/>
    <x v="6"/>
    <s v="GMM"/>
    <n v="103696"/>
    <n v="4216343"/>
    <x v="51"/>
    <x v="96"/>
    <s v="GORENG"/>
    <n v="2950"/>
    <n v="112"/>
    <n v="330400"/>
    <n v="130"/>
  </r>
  <r>
    <x v="10"/>
    <s v="AUG"/>
    <x v="35"/>
    <s v="GRSM 6"/>
    <x v="6"/>
    <s v="GMM"/>
    <n v="103696"/>
    <n v="4216343"/>
    <x v="51"/>
    <x v="97"/>
    <s v="BOLOGNESE"/>
    <n v="2950"/>
    <n v="20"/>
    <n v="59000"/>
    <m/>
  </r>
  <r>
    <x v="10"/>
    <s v="AUG"/>
    <x v="35"/>
    <s v="GRSM 6"/>
    <x v="6"/>
    <s v="GMM"/>
    <n v="103696"/>
    <n v="4216343"/>
    <x v="51"/>
    <x v="97"/>
    <s v="CARBONARA"/>
    <n v="2950"/>
    <n v="25"/>
    <n v="73750"/>
    <m/>
  </r>
  <r>
    <x v="10"/>
    <s v="AUG"/>
    <x v="35"/>
    <s v="GRSM 6"/>
    <x v="6"/>
    <s v="GMM"/>
    <n v="103696"/>
    <n v="4216343"/>
    <x v="51"/>
    <x v="97"/>
    <s v="AGLIO OLIO"/>
    <n v="2950"/>
    <n v="10"/>
    <n v="29500"/>
    <m/>
  </r>
  <r>
    <x v="10"/>
    <s v="AUG"/>
    <x v="35"/>
    <s v="GRSM 6"/>
    <x v="6"/>
    <s v="GMM"/>
    <n v="103696"/>
    <n v="4216343"/>
    <x v="51"/>
    <x v="97"/>
    <s v="GORENG"/>
    <n v="2950"/>
    <n v="112"/>
    <n v="330400"/>
    <n v="130"/>
  </r>
  <r>
    <x v="10"/>
    <s v="AUG"/>
    <x v="36"/>
    <s v="GRSM 6"/>
    <x v="6"/>
    <s v="GMM"/>
    <n v="211161"/>
    <n v="7103"/>
    <x v="48"/>
    <x v="91"/>
    <s v="BOLOGNESE"/>
    <n v="2100"/>
    <n v="96"/>
    <n v="201600"/>
    <m/>
  </r>
  <r>
    <x v="10"/>
    <s v="AUG"/>
    <x v="36"/>
    <s v="GRSM 6"/>
    <x v="6"/>
    <s v="GMM"/>
    <n v="211161"/>
    <n v="7103"/>
    <x v="48"/>
    <x v="91"/>
    <s v="CARBONARA"/>
    <n v="2100"/>
    <n v="105"/>
    <n v="220500"/>
    <m/>
  </r>
  <r>
    <x v="10"/>
    <s v="AUG"/>
    <x v="36"/>
    <s v="GRSM 6"/>
    <x v="6"/>
    <s v="GMM"/>
    <n v="211161"/>
    <n v="7103"/>
    <x v="48"/>
    <x v="91"/>
    <s v="AGLIO OLIO"/>
    <n v="2100"/>
    <n v="180"/>
    <n v="378000"/>
    <m/>
  </r>
  <r>
    <x v="10"/>
    <s v="AUG"/>
    <x v="36"/>
    <s v="GRSM 6"/>
    <x v="6"/>
    <s v="GMM"/>
    <n v="211161"/>
    <n v="7103"/>
    <x v="48"/>
    <x v="91"/>
    <s v="GORENG"/>
    <n v="2100"/>
    <n v="142"/>
    <n v="298200"/>
    <m/>
  </r>
  <r>
    <x v="10"/>
    <s v="AUG"/>
    <x v="36"/>
    <s v="GRSM 6"/>
    <x v="6"/>
    <s v="GMM"/>
    <n v="211161"/>
    <n v="7103"/>
    <x v="48"/>
    <x v="90"/>
    <s v="BOLOGNESE"/>
    <n v="2100"/>
    <n v="96"/>
    <n v="201600"/>
    <m/>
  </r>
  <r>
    <x v="10"/>
    <s v="AUG"/>
    <x v="36"/>
    <s v="GRSM 6"/>
    <x v="6"/>
    <s v="GMM"/>
    <n v="211161"/>
    <n v="7103"/>
    <x v="48"/>
    <x v="90"/>
    <s v="CARBONARA"/>
    <n v="2100"/>
    <n v="105"/>
    <n v="220500"/>
    <m/>
  </r>
  <r>
    <x v="10"/>
    <s v="AUG"/>
    <x v="36"/>
    <s v="GRSM 6"/>
    <x v="6"/>
    <s v="GMM"/>
    <n v="211161"/>
    <n v="7103"/>
    <x v="48"/>
    <x v="90"/>
    <s v="AGLIO OLIO"/>
    <n v="2100"/>
    <n v="60"/>
    <n v="126000"/>
    <m/>
  </r>
  <r>
    <x v="10"/>
    <s v="AUG"/>
    <x v="36"/>
    <s v="GRSM 6"/>
    <x v="6"/>
    <s v="GMM"/>
    <n v="211161"/>
    <n v="7103"/>
    <x v="48"/>
    <x v="90"/>
    <s v="GORENG"/>
    <n v="2100"/>
    <n v="142"/>
    <n v="298200"/>
    <m/>
  </r>
  <r>
    <x v="10"/>
    <s v="AUG"/>
    <x v="36"/>
    <s v="GRSM 6"/>
    <x v="6"/>
    <s v="GMM"/>
    <n v="211030"/>
    <n v="5765011"/>
    <x v="47"/>
    <x v="88"/>
    <s v="BOLOGNESE"/>
    <n v="2950"/>
    <n v="75"/>
    <n v="221250"/>
    <m/>
  </r>
  <r>
    <x v="10"/>
    <s v="AUG"/>
    <x v="36"/>
    <s v="GRSM 6"/>
    <x v="6"/>
    <s v="GMM"/>
    <n v="211030"/>
    <n v="5765011"/>
    <x v="47"/>
    <x v="88"/>
    <s v="CARBONARA"/>
    <n v="2950"/>
    <n v="102"/>
    <n v="300900"/>
    <m/>
  </r>
  <r>
    <x v="10"/>
    <s v="AUG"/>
    <x v="36"/>
    <s v="GRSM 6"/>
    <x v="6"/>
    <s v="GMM"/>
    <n v="211030"/>
    <n v="5765011"/>
    <x v="47"/>
    <x v="88"/>
    <s v="AGLIO OLIO"/>
    <n v="2950"/>
    <n v="34"/>
    <n v="100300"/>
    <m/>
  </r>
  <r>
    <x v="10"/>
    <s v="AUG"/>
    <x v="36"/>
    <s v="GRSM 6"/>
    <x v="6"/>
    <s v="GMM"/>
    <n v="211030"/>
    <n v="5765011"/>
    <x v="47"/>
    <x v="88"/>
    <s v="GORENG"/>
    <n v="2950"/>
    <n v="303"/>
    <n v="893850"/>
    <n v="160"/>
  </r>
  <r>
    <x v="10"/>
    <s v="AUG"/>
    <x v="36"/>
    <s v="GRSM 6"/>
    <x v="6"/>
    <s v="GMM"/>
    <n v="211030"/>
    <n v="5765011"/>
    <x v="47"/>
    <x v="89"/>
    <s v="BOLOGNESE"/>
    <n v="2950"/>
    <n v="75"/>
    <n v="221250"/>
    <m/>
  </r>
  <r>
    <x v="10"/>
    <s v="AUG"/>
    <x v="36"/>
    <s v="GRSM 6"/>
    <x v="6"/>
    <s v="GMM"/>
    <n v="211030"/>
    <n v="5765011"/>
    <x v="47"/>
    <x v="89"/>
    <s v="CARBONARA"/>
    <n v="2950"/>
    <n v="102"/>
    <n v="300900"/>
    <m/>
  </r>
  <r>
    <x v="10"/>
    <s v="AUG"/>
    <x v="36"/>
    <s v="GRSM 6"/>
    <x v="6"/>
    <s v="GMM"/>
    <n v="211030"/>
    <n v="5765011"/>
    <x v="47"/>
    <x v="89"/>
    <s v="AGLIO OLIO"/>
    <n v="2950"/>
    <n v="34"/>
    <n v="100300"/>
    <m/>
  </r>
  <r>
    <x v="10"/>
    <s v="AUG"/>
    <x v="36"/>
    <s v="GRSM 6"/>
    <x v="6"/>
    <s v="GMM"/>
    <n v="211030"/>
    <n v="5765011"/>
    <x v="47"/>
    <x v="89"/>
    <s v="GORENG"/>
    <n v="2950"/>
    <n v="303"/>
    <n v="893850"/>
    <n v="160"/>
  </r>
  <r>
    <x v="10"/>
    <s v="AUG"/>
    <x v="36"/>
    <s v="GRSM 6"/>
    <x v="6"/>
    <s v="GMM"/>
    <n v="211030"/>
    <n v="5766116"/>
    <x v="49"/>
    <x v="92"/>
    <s v="BOLOGNESE"/>
    <n v="2950"/>
    <n v="56"/>
    <n v="165200"/>
    <m/>
  </r>
  <r>
    <x v="10"/>
    <s v="AUG"/>
    <x v="36"/>
    <s v="GRSM 6"/>
    <x v="6"/>
    <s v="GMM"/>
    <n v="211030"/>
    <n v="5766116"/>
    <x v="49"/>
    <x v="92"/>
    <s v="CARBONARA"/>
    <n v="2950"/>
    <n v="57"/>
    <n v="168150"/>
    <m/>
  </r>
  <r>
    <x v="10"/>
    <s v="AUG"/>
    <x v="36"/>
    <s v="GRSM 6"/>
    <x v="6"/>
    <s v="GMM"/>
    <n v="211030"/>
    <n v="5766116"/>
    <x v="49"/>
    <x v="92"/>
    <s v="AGLIO OLIO"/>
    <n v="2950"/>
    <n v="34"/>
    <n v="100300"/>
    <m/>
  </r>
  <r>
    <x v="10"/>
    <s v="AUG"/>
    <x v="36"/>
    <s v="GRSM 6"/>
    <x v="6"/>
    <s v="GMM"/>
    <n v="211030"/>
    <n v="5766116"/>
    <x v="49"/>
    <x v="92"/>
    <s v="GORENG"/>
    <n v="2950"/>
    <n v="77"/>
    <n v="227150"/>
    <m/>
  </r>
  <r>
    <x v="10"/>
    <s v="AUG"/>
    <x v="36"/>
    <s v="GRSM 6"/>
    <x v="6"/>
    <s v="GMM"/>
    <n v="211030"/>
    <n v="5766116"/>
    <x v="49"/>
    <x v="93"/>
    <s v="BOLOGNESE"/>
    <n v="2950"/>
    <n v="56"/>
    <n v="165200"/>
    <m/>
  </r>
  <r>
    <x v="10"/>
    <s v="AUG"/>
    <x v="36"/>
    <s v="GRSM 6"/>
    <x v="6"/>
    <s v="GMM"/>
    <n v="211030"/>
    <n v="5766116"/>
    <x v="49"/>
    <x v="93"/>
    <s v="CARBONARA"/>
    <n v="2950"/>
    <n v="57"/>
    <n v="168150"/>
    <m/>
  </r>
  <r>
    <x v="10"/>
    <s v="AUG"/>
    <x v="36"/>
    <s v="GRSM 6"/>
    <x v="6"/>
    <s v="GMM"/>
    <n v="211030"/>
    <n v="5766116"/>
    <x v="49"/>
    <x v="93"/>
    <s v="AGLIO OLIO"/>
    <n v="2950"/>
    <n v="33"/>
    <n v="97350"/>
    <m/>
  </r>
  <r>
    <x v="10"/>
    <s v="AUG"/>
    <x v="36"/>
    <s v="GRSM 6"/>
    <x v="6"/>
    <s v="GMM"/>
    <n v="211030"/>
    <n v="5766116"/>
    <x v="49"/>
    <x v="93"/>
    <s v="GORENG"/>
    <n v="2950"/>
    <n v="77"/>
    <n v="227150"/>
    <m/>
  </r>
  <r>
    <x v="10"/>
    <s v="AUG"/>
    <x v="36"/>
    <s v="GRSM 6"/>
    <x v="6"/>
    <s v="GMM"/>
    <n v="211030"/>
    <n v="5765035"/>
    <x v="52"/>
    <x v="98"/>
    <s v="BOLOGNESE"/>
    <n v="3145"/>
    <n v="10"/>
    <n v="31450"/>
    <m/>
  </r>
  <r>
    <x v="10"/>
    <s v="AUG"/>
    <x v="36"/>
    <s v="GRSM 6"/>
    <x v="6"/>
    <s v="GMM"/>
    <n v="211030"/>
    <n v="5765035"/>
    <x v="52"/>
    <x v="98"/>
    <s v="CARBONARA"/>
    <n v="3145"/>
    <n v="16"/>
    <n v="50320"/>
    <m/>
  </r>
  <r>
    <x v="10"/>
    <s v="AUG"/>
    <x v="36"/>
    <s v="GRSM 6"/>
    <x v="6"/>
    <s v="GMM"/>
    <n v="211030"/>
    <n v="5765035"/>
    <x v="52"/>
    <x v="98"/>
    <s v="AGLIO OLIO"/>
    <n v="3145"/>
    <n v="3"/>
    <n v="9435"/>
    <m/>
  </r>
  <r>
    <x v="10"/>
    <s v="AUG"/>
    <x v="36"/>
    <s v="GRSM 6"/>
    <x v="6"/>
    <s v="GMM"/>
    <n v="211030"/>
    <n v="5765035"/>
    <x v="52"/>
    <x v="98"/>
    <s v="GORENG"/>
    <n v="3145"/>
    <n v="63"/>
    <n v="198135"/>
    <n v="160"/>
  </r>
  <r>
    <x v="10"/>
    <s v="AUG"/>
    <x v="36"/>
    <s v="GRSM 6"/>
    <x v="6"/>
    <s v="GMM"/>
    <n v="211030"/>
    <n v="5765035"/>
    <x v="52"/>
    <x v="99"/>
    <s v="BOLOGNESE"/>
    <n v="3145"/>
    <n v="9"/>
    <n v="28305"/>
    <m/>
  </r>
  <r>
    <x v="10"/>
    <s v="AUG"/>
    <x v="36"/>
    <s v="GRSM 6"/>
    <x v="6"/>
    <s v="GMM"/>
    <n v="211030"/>
    <n v="5765035"/>
    <x v="52"/>
    <x v="99"/>
    <s v="CARBONARA"/>
    <n v="3145"/>
    <n v="16"/>
    <n v="50320"/>
    <m/>
  </r>
  <r>
    <x v="10"/>
    <s v="AUG"/>
    <x v="36"/>
    <s v="GRSM 6"/>
    <x v="6"/>
    <s v="GMM"/>
    <n v="211030"/>
    <n v="5765035"/>
    <x v="52"/>
    <x v="99"/>
    <s v="AGLIO OLIO"/>
    <n v="3145"/>
    <n v="2"/>
    <n v="6290"/>
    <m/>
  </r>
  <r>
    <x v="10"/>
    <s v="AUG"/>
    <x v="36"/>
    <s v="GRSM 6"/>
    <x v="6"/>
    <s v="GMM"/>
    <n v="211030"/>
    <n v="5765035"/>
    <x v="52"/>
    <x v="99"/>
    <s v="GORENG"/>
    <n v="3145"/>
    <n v="63"/>
    <n v="198135"/>
    <n v="160"/>
  </r>
  <r>
    <x v="10"/>
    <s v="AUG"/>
    <x v="37"/>
    <s v="GRSM 6"/>
    <x v="6"/>
    <s v="GMM"/>
    <n v="211161"/>
    <n v="7103"/>
    <x v="48"/>
    <x v="91"/>
    <s v="BOLOGNESE"/>
    <n v="2100"/>
    <n v="96"/>
    <n v="201600"/>
    <m/>
  </r>
  <r>
    <x v="10"/>
    <s v="AUG"/>
    <x v="37"/>
    <s v="GRSM 6"/>
    <x v="6"/>
    <s v="GMM"/>
    <n v="211161"/>
    <n v="7103"/>
    <x v="48"/>
    <x v="91"/>
    <s v="CARBONARA"/>
    <n v="2100"/>
    <n v="105"/>
    <n v="220500"/>
    <m/>
  </r>
  <r>
    <x v="10"/>
    <s v="AUG"/>
    <x v="37"/>
    <s v="GRSM 6"/>
    <x v="6"/>
    <s v="GMM"/>
    <n v="211161"/>
    <n v="7103"/>
    <x v="48"/>
    <x v="91"/>
    <s v="AGLIO OLIO"/>
    <n v="2100"/>
    <n v="42"/>
    <n v="88200"/>
    <m/>
  </r>
  <r>
    <x v="10"/>
    <s v="AUG"/>
    <x v="37"/>
    <s v="GRSM 6"/>
    <x v="6"/>
    <s v="GMM"/>
    <n v="211161"/>
    <n v="7103"/>
    <x v="48"/>
    <x v="91"/>
    <s v="GORENG"/>
    <n v="2100"/>
    <n v="142"/>
    <n v="298200"/>
    <m/>
  </r>
  <r>
    <x v="10"/>
    <s v="AUG"/>
    <x v="37"/>
    <s v="GRSM 6"/>
    <x v="6"/>
    <s v="GMM"/>
    <n v="211161"/>
    <n v="7103"/>
    <x v="48"/>
    <x v="90"/>
    <s v="BOLOGNESE"/>
    <n v="2100"/>
    <n v="96"/>
    <n v="201600"/>
    <m/>
  </r>
  <r>
    <x v="10"/>
    <s v="AUG"/>
    <x v="37"/>
    <s v="GRSM 6"/>
    <x v="6"/>
    <s v="GMM"/>
    <n v="211161"/>
    <n v="7103"/>
    <x v="48"/>
    <x v="90"/>
    <s v="CARBONARA"/>
    <n v="2100"/>
    <n v="105"/>
    <n v="220500"/>
    <m/>
  </r>
  <r>
    <x v="10"/>
    <s v="AUG"/>
    <x v="37"/>
    <s v="GRSM 6"/>
    <x v="6"/>
    <s v="GMM"/>
    <n v="211161"/>
    <n v="7103"/>
    <x v="48"/>
    <x v="90"/>
    <s v="AGLIO OLIO"/>
    <n v="2100"/>
    <n v="14"/>
    <n v="29400"/>
    <m/>
  </r>
  <r>
    <x v="10"/>
    <s v="AUG"/>
    <x v="37"/>
    <s v="GRSM 6"/>
    <x v="6"/>
    <s v="GMM"/>
    <n v="211161"/>
    <n v="7103"/>
    <x v="48"/>
    <x v="90"/>
    <s v="GORENG"/>
    <n v="2100"/>
    <n v="142"/>
    <n v="298200"/>
    <m/>
  </r>
  <r>
    <x v="10"/>
    <s v="AUG"/>
    <x v="37"/>
    <s v="GRSM 6"/>
    <x v="6"/>
    <s v="GMM"/>
    <n v="103696"/>
    <n v="4216343"/>
    <x v="51"/>
    <x v="96"/>
    <s v="BOLOGNESE"/>
    <n v="2950"/>
    <n v="20"/>
    <n v="59000"/>
    <m/>
  </r>
  <r>
    <x v="10"/>
    <s v="AUG"/>
    <x v="37"/>
    <s v="GRSM 6"/>
    <x v="6"/>
    <s v="GMM"/>
    <n v="103696"/>
    <n v="4216343"/>
    <x v="51"/>
    <x v="96"/>
    <s v="CARBONARA"/>
    <n v="2950"/>
    <n v="25"/>
    <n v="73750"/>
    <m/>
  </r>
  <r>
    <x v="10"/>
    <s v="AUG"/>
    <x v="37"/>
    <s v="GRSM 6"/>
    <x v="6"/>
    <s v="GMM"/>
    <n v="103696"/>
    <n v="4216343"/>
    <x v="51"/>
    <x v="96"/>
    <s v="AGLIO OLIO"/>
    <n v="2950"/>
    <n v="19"/>
    <n v="56050"/>
    <m/>
  </r>
  <r>
    <x v="10"/>
    <s v="AUG"/>
    <x v="37"/>
    <s v="GRSM 6"/>
    <x v="6"/>
    <s v="GMM"/>
    <n v="103696"/>
    <n v="4216343"/>
    <x v="51"/>
    <x v="96"/>
    <s v="GORENG"/>
    <n v="2950"/>
    <n v="112"/>
    <n v="330400"/>
    <n v="120"/>
  </r>
  <r>
    <x v="10"/>
    <s v="AUG"/>
    <x v="37"/>
    <s v="GRSM 6"/>
    <x v="6"/>
    <s v="GMM"/>
    <n v="103696"/>
    <n v="4216343"/>
    <x v="51"/>
    <x v="97"/>
    <s v="BOLOGNESE"/>
    <n v="2950"/>
    <n v="20"/>
    <n v="59000"/>
    <m/>
  </r>
  <r>
    <x v="10"/>
    <s v="AUG"/>
    <x v="37"/>
    <s v="GRSM 6"/>
    <x v="6"/>
    <s v="GMM"/>
    <n v="103696"/>
    <n v="4216343"/>
    <x v="51"/>
    <x v="97"/>
    <s v="CARBONARA"/>
    <n v="2950"/>
    <n v="25"/>
    <n v="73750"/>
    <m/>
  </r>
  <r>
    <x v="10"/>
    <s v="AUG"/>
    <x v="37"/>
    <s v="GRSM 6"/>
    <x v="6"/>
    <s v="GMM"/>
    <n v="103696"/>
    <n v="4216343"/>
    <x v="51"/>
    <x v="97"/>
    <s v="AGLIO OLIO"/>
    <n v="2950"/>
    <n v="19"/>
    <n v="56050"/>
    <m/>
  </r>
  <r>
    <x v="10"/>
    <s v="AUG"/>
    <x v="37"/>
    <s v="GRSM 6"/>
    <x v="6"/>
    <s v="GMM"/>
    <n v="103696"/>
    <n v="4216343"/>
    <x v="51"/>
    <x v="97"/>
    <s v="GORENG"/>
    <n v="2950"/>
    <n v="112"/>
    <n v="330400"/>
    <n v="120"/>
  </r>
  <r>
    <x v="10"/>
    <s v="AUG"/>
    <x v="37"/>
    <s v="GRSM 6"/>
    <x v="6"/>
    <s v="GMM"/>
    <n v="211181"/>
    <n v="3208670"/>
    <x v="50"/>
    <x v="94"/>
    <s v="BOLOGNESE"/>
    <n v="2950"/>
    <n v="29"/>
    <n v="85550"/>
    <m/>
  </r>
  <r>
    <x v="10"/>
    <s v="AUG"/>
    <x v="37"/>
    <s v="GRSM 6"/>
    <x v="6"/>
    <s v="GMM"/>
    <n v="211181"/>
    <n v="3208670"/>
    <x v="50"/>
    <x v="94"/>
    <s v="CARBONARA"/>
    <n v="2950"/>
    <n v="34"/>
    <n v="100300"/>
    <m/>
  </r>
  <r>
    <x v="10"/>
    <s v="AUG"/>
    <x v="37"/>
    <s v="GRSM 6"/>
    <x v="6"/>
    <s v="GMM"/>
    <n v="211181"/>
    <n v="3208670"/>
    <x v="50"/>
    <x v="94"/>
    <s v="AGLIO OLIO"/>
    <n v="2950"/>
    <n v="24"/>
    <n v="70800"/>
    <m/>
  </r>
  <r>
    <x v="10"/>
    <s v="AUG"/>
    <x v="37"/>
    <s v="GRSM 6"/>
    <x v="6"/>
    <s v="GMM"/>
    <n v="211181"/>
    <n v="3208670"/>
    <x v="50"/>
    <x v="94"/>
    <s v="GORENG"/>
    <n v="2950"/>
    <n v="52"/>
    <n v="153400"/>
    <n v="160"/>
  </r>
  <r>
    <x v="10"/>
    <s v="AUG"/>
    <x v="37"/>
    <s v="GRSM 6"/>
    <x v="6"/>
    <s v="GMM"/>
    <n v="211181"/>
    <n v="3208670"/>
    <x v="50"/>
    <x v="95"/>
    <s v="BOLOGNESE"/>
    <n v="2950"/>
    <n v="28"/>
    <n v="82600"/>
    <m/>
  </r>
  <r>
    <x v="10"/>
    <s v="AUG"/>
    <x v="37"/>
    <s v="GRSM 6"/>
    <x v="6"/>
    <s v="GMM"/>
    <n v="211181"/>
    <n v="3208670"/>
    <x v="50"/>
    <x v="95"/>
    <s v="CARBONARA"/>
    <n v="2950"/>
    <n v="34"/>
    <n v="100300"/>
    <m/>
  </r>
  <r>
    <x v="10"/>
    <s v="AUG"/>
    <x v="37"/>
    <s v="GRSM 6"/>
    <x v="6"/>
    <s v="GMM"/>
    <n v="211181"/>
    <n v="3208670"/>
    <x v="50"/>
    <x v="95"/>
    <s v="AGLIO OLIO"/>
    <n v="2950"/>
    <n v="23"/>
    <n v="67850"/>
    <m/>
  </r>
  <r>
    <x v="10"/>
    <s v="AUG"/>
    <x v="37"/>
    <s v="GRSM 6"/>
    <x v="6"/>
    <s v="GMM"/>
    <n v="211181"/>
    <n v="3208670"/>
    <x v="50"/>
    <x v="95"/>
    <s v="GORENG"/>
    <n v="2950"/>
    <n v="52"/>
    <n v="153400"/>
    <n v="160"/>
  </r>
  <r>
    <x v="10"/>
    <s v="AUG"/>
    <x v="37"/>
    <s v="GRSM 6"/>
    <x v="6"/>
    <s v="GMM"/>
    <n v="211030"/>
    <n v="5765011"/>
    <x v="47"/>
    <x v="88"/>
    <s v="BOLOGNESE"/>
    <n v="2950"/>
    <n v="75"/>
    <n v="221250"/>
    <m/>
  </r>
  <r>
    <x v="10"/>
    <s v="AUG"/>
    <x v="37"/>
    <s v="GRSM 6"/>
    <x v="6"/>
    <s v="GMM"/>
    <n v="211030"/>
    <n v="5765011"/>
    <x v="47"/>
    <x v="88"/>
    <s v="CARBONARA"/>
    <n v="2950"/>
    <n v="102"/>
    <n v="300900"/>
    <m/>
  </r>
  <r>
    <x v="10"/>
    <s v="AUG"/>
    <x v="37"/>
    <s v="GRSM 6"/>
    <x v="6"/>
    <s v="GMM"/>
    <n v="211030"/>
    <n v="5765011"/>
    <x v="47"/>
    <x v="88"/>
    <s v="AGLIO OLIO"/>
    <n v="2950"/>
    <n v="44"/>
    <n v="129800"/>
    <m/>
  </r>
  <r>
    <x v="10"/>
    <s v="AUG"/>
    <x v="37"/>
    <s v="GRSM 6"/>
    <x v="6"/>
    <s v="GMM"/>
    <n v="211030"/>
    <n v="5765011"/>
    <x v="47"/>
    <x v="88"/>
    <s v="GORENG"/>
    <n v="2950"/>
    <n v="303"/>
    <n v="893850"/>
    <n v="160"/>
  </r>
  <r>
    <x v="10"/>
    <s v="AUG"/>
    <x v="37"/>
    <s v="GRSM 6"/>
    <x v="6"/>
    <s v="GMM"/>
    <n v="211030"/>
    <n v="5765011"/>
    <x v="47"/>
    <x v="89"/>
    <s v="BOLOGNESE"/>
    <n v="2950"/>
    <n v="75"/>
    <n v="221250"/>
    <m/>
  </r>
  <r>
    <x v="10"/>
    <s v="AUG"/>
    <x v="37"/>
    <s v="GRSM 6"/>
    <x v="6"/>
    <s v="GMM"/>
    <n v="211030"/>
    <n v="5765011"/>
    <x v="47"/>
    <x v="89"/>
    <s v="CARBONARA"/>
    <n v="2950"/>
    <n v="102"/>
    <n v="300900"/>
    <m/>
  </r>
  <r>
    <x v="10"/>
    <s v="AUG"/>
    <x v="37"/>
    <s v="GRSM 6"/>
    <x v="6"/>
    <s v="GMM"/>
    <n v="211030"/>
    <n v="5765011"/>
    <x v="47"/>
    <x v="89"/>
    <s v="AGLIO OLIO"/>
    <n v="2950"/>
    <n v="44"/>
    <n v="129800"/>
    <m/>
  </r>
  <r>
    <x v="10"/>
    <s v="AUG"/>
    <x v="37"/>
    <s v="GRSM 6"/>
    <x v="6"/>
    <s v="GMM"/>
    <n v="211030"/>
    <n v="5765011"/>
    <x v="47"/>
    <x v="89"/>
    <s v="GORENG"/>
    <n v="2950"/>
    <n v="303"/>
    <n v="893850"/>
    <n v="160"/>
  </r>
  <r>
    <x v="10"/>
    <s v="AUG"/>
    <x v="37"/>
    <s v="GRSM 6"/>
    <x v="6"/>
    <s v="GMM"/>
    <n v="211030"/>
    <n v="5766116"/>
    <x v="49"/>
    <x v="92"/>
    <s v="BOLOGNESE"/>
    <n v="2950"/>
    <n v="56"/>
    <n v="165200"/>
    <m/>
  </r>
  <r>
    <x v="10"/>
    <s v="AUG"/>
    <x v="37"/>
    <s v="GRSM 6"/>
    <x v="6"/>
    <s v="GMM"/>
    <n v="211030"/>
    <n v="5766116"/>
    <x v="49"/>
    <x v="92"/>
    <s v="CARBONARA"/>
    <n v="2950"/>
    <n v="57"/>
    <n v="168150"/>
    <m/>
  </r>
  <r>
    <x v="10"/>
    <s v="AUG"/>
    <x v="37"/>
    <s v="GRSM 6"/>
    <x v="6"/>
    <s v="GMM"/>
    <n v="211030"/>
    <n v="5766116"/>
    <x v="49"/>
    <x v="92"/>
    <s v="AGLIO OLIO"/>
    <n v="2950"/>
    <n v="12"/>
    <n v="35400"/>
    <m/>
  </r>
  <r>
    <x v="10"/>
    <s v="AUG"/>
    <x v="37"/>
    <s v="GRSM 6"/>
    <x v="6"/>
    <s v="GMM"/>
    <n v="211030"/>
    <n v="5766116"/>
    <x v="49"/>
    <x v="92"/>
    <s v="GORENG"/>
    <n v="2950"/>
    <n v="77"/>
    <n v="227150"/>
    <m/>
  </r>
  <r>
    <x v="10"/>
    <s v="AUG"/>
    <x v="37"/>
    <s v="GRSM 6"/>
    <x v="6"/>
    <s v="GMM"/>
    <n v="211030"/>
    <n v="5766116"/>
    <x v="49"/>
    <x v="93"/>
    <s v="BOLOGNESE"/>
    <n v="2950"/>
    <n v="56"/>
    <n v="165200"/>
    <m/>
  </r>
  <r>
    <x v="10"/>
    <s v="AUG"/>
    <x v="37"/>
    <s v="GRSM 6"/>
    <x v="6"/>
    <s v="GMM"/>
    <n v="211030"/>
    <n v="5766116"/>
    <x v="49"/>
    <x v="93"/>
    <s v="CARBONARA"/>
    <n v="2950"/>
    <n v="57"/>
    <n v="168150"/>
    <m/>
  </r>
  <r>
    <x v="10"/>
    <s v="AUG"/>
    <x v="37"/>
    <s v="GRSM 6"/>
    <x v="6"/>
    <s v="GMM"/>
    <n v="211030"/>
    <n v="5766116"/>
    <x v="49"/>
    <x v="93"/>
    <s v="AGLIO OLIO"/>
    <n v="2950"/>
    <n v="12"/>
    <n v="35400"/>
    <m/>
  </r>
  <r>
    <x v="10"/>
    <s v="AUG"/>
    <x v="37"/>
    <s v="GRSM 6"/>
    <x v="6"/>
    <s v="GMM"/>
    <n v="211030"/>
    <n v="5766116"/>
    <x v="49"/>
    <x v="93"/>
    <s v="GORENG"/>
    <n v="2950"/>
    <n v="77"/>
    <n v="227150"/>
    <m/>
  </r>
  <r>
    <x v="10"/>
    <s v="AUG"/>
    <x v="37"/>
    <s v="GRSM 6"/>
    <x v="6"/>
    <s v="GMM"/>
    <n v="211030"/>
    <n v="5765035"/>
    <x v="52"/>
    <x v="98"/>
    <s v="BOLOGNESE"/>
    <n v="3145"/>
    <n v="11"/>
    <n v="34595"/>
    <m/>
  </r>
  <r>
    <x v="10"/>
    <s v="AUG"/>
    <x v="37"/>
    <s v="GRSM 6"/>
    <x v="6"/>
    <s v="GMM"/>
    <n v="211030"/>
    <n v="5765035"/>
    <x v="52"/>
    <x v="98"/>
    <s v="CARBONARA"/>
    <n v="3145"/>
    <n v="15"/>
    <n v="47175"/>
    <m/>
  </r>
  <r>
    <x v="10"/>
    <s v="AUG"/>
    <x v="37"/>
    <s v="GRSM 6"/>
    <x v="6"/>
    <s v="GMM"/>
    <n v="211030"/>
    <n v="5765035"/>
    <x v="52"/>
    <x v="98"/>
    <s v="AGLIO OLIO"/>
    <n v="3145"/>
    <n v="6"/>
    <n v="18870"/>
    <m/>
  </r>
  <r>
    <x v="10"/>
    <s v="AUG"/>
    <x v="37"/>
    <s v="GRSM 6"/>
    <x v="6"/>
    <s v="GMM"/>
    <n v="211030"/>
    <n v="5765035"/>
    <x v="52"/>
    <x v="98"/>
    <s v="GORENG"/>
    <n v="3145"/>
    <n v="86"/>
    <n v="270470"/>
    <n v="160"/>
  </r>
  <r>
    <x v="10"/>
    <s v="AUG"/>
    <x v="37"/>
    <s v="GRSM 6"/>
    <x v="6"/>
    <s v="GMM"/>
    <n v="211030"/>
    <n v="5765035"/>
    <x v="52"/>
    <x v="99"/>
    <s v="BOLOGNESE"/>
    <n v="3145"/>
    <n v="10"/>
    <n v="31450"/>
    <m/>
  </r>
  <r>
    <x v="10"/>
    <s v="AUG"/>
    <x v="37"/>
    <s v="GRSM 6"/>
    <x v="6"/>
    <s v="GMM"/>
    <n v="211030"/>
    <n v="5765035"/>
    <x v="52"/>
    <x v="99"/>
    <s v="CARBONARA"/>
    <n v="3145"/>
    <n v="15"/>
    <n v="47175"/>
    <m/>
  </r>
  <r>
    <x v="10"/>
    <s v="AUG"/>
    <x v="37"/>
    <s v="GRSM 6"/>
    <x v="6"/>
    <s v="GMM"/>
    <n v="211030"/>
    <n v="5765035"/>
    <x v="52"/>
    <x v="99"/>
    <s v="AGLIO OLIO"/>
    <n v="3145"/>
    <n v="6"/>
    <n v="18870"/>
    <m/>
  </r>
  <r>
    <x v="10"/>
    <s v="AUG"/>
    <x v="37"/>
    <s v="GRSM 6"/>
    <x v="6"/>
    <s v="GMM"/>
    <n v="211030"/>
    <n v="5765035"/>
    <x v="52"/>
    <x v="99"/>
    <s v="GORENG"/>
    <n v="3145"/>
    <n v="86"/>
    <n v="270470"/>
    <n v="160"/>
  </r>
  <r>
    <x v="10"/>
    <s v="AUG"/>
    <x v="36"/>
    <s v="GRSM 6"/>
    <x v="6"/>
    <s v="GMM"/>
    <n v="211181"/>
    <n v="3208670"/>
    <x v="50"/>
    <x v="94"/>
    <s v="BOLOGNESE"/>
    <n v="2950"/>
    <n v="55"/>
    <n v="162250"/>
    <m/>
  </r>
  <r>
    <x v="10"/>
    <s v="AUG"/>
    <x v="36"/>
    <s v="GRSM 6"/>
    <x v="6"/>
    <s v="GMM"/>
    <n v="211181"/>
    <n v="3208670"/>
    <x v="50"/>
    <x v="94"/>
    <s v="CARBONARA"/>
    <n v="2950"/>
    <n v="52"/>
    <n v="153400"/>
    <m/>
  </r>
  <r>
    <x v="10"/>
    <s v="AUG"/>
    <x v="36"/>
    <s v="GRSM 6"/>
    <x v="6"/>
    <s v="GMM"/>
    <n v="211181"/>
    <n v="3208670"/>
    <x v="50"/>
    <x v="94"/>
    <s v="AGLIO OLIO"/>
    <n v="2950"/>
    <n v="44"/>
    <n v="129800"/>
    <m/>
  </r>
  <r>
    <x v="10"/>
    <s v="AUG"/>
    <x v="36"/>
    <s v="GRSM 6"/>
    <x v="6"/>
    <s v="GMM"/>
    <n v="211181"/>
    <n v="3208670"/>
    <x v="50"/>
    <x v="94"/>
    <s v="GORENG"/>
    <n v="2950"/>
    <n v="98"/>
    <n v="289100"/>
    <n v="160"/>
  </r>
  <r>
    <x v="10"/>
    <s v="AUG"/>
    <x v="36"/>
    <s v="GRSM 6"/>
    <x v="6"/>
    <s v="GMM"/>
    <n v="211181"/>
    <n v="3208670"/>
    <x v="50"/>
    <x v="95"/>
    <s v="BOLOGNESE"/>
    <n v="2950"/>
    <n v="55"/>
    <n v="162250"/>
    <m/>
  </r>
  <r>
    <x v="10"/>
    <s v="AUG"/>
    <x v="36"/>
    <s v="GRSM 6"/>
    <x v="6"/>
    <s v="GMM"/>
    <n v="211181"/>
    <n v="3208670"/>
    <x v="50"/>
    <x v="95"/>
    <s v="CARBONARA"/>
    <n v="2950"/>
    <n v="52"/>
    <n v="153400"/>
    <m/>
  </r>
  <r>
    <x v="10"/>
    <s v="AUG"/>
    <x v="36"/>
    <s v="GRSM 6"/>
    <x v="6"/>
    <s v="GMM"/>
    <n v="211181"/>
    <n v="3208670"/>
    <x v="50"/>
    <x v="95"/>
    <s v="AGLIO OLIO"/>
    <n v="2950"/>
    <n v="44"/>
    <n v="129800"/>
    <m/>
  </r>
  <r>
    <x v="10"/>
    <s v="AUG"/>
    <x v="36"/>
    <s v="GRSM 6"/>
    <x v="6"/>
    <s v="GMM"/>
    <n v="211181"/>
    <n v="3208670"/>
    <x v="50"/>
    <x v="95"/>
    <s v="GORENG"/>
    <n v="2950"/>
    <n v="98"/>
    <n v="289100"/>
    <n v="160"/>
  </r>
  <r>
    <x v="10"/>
    <s v="AUG"/>
    <x v="36"/>
    <s v="GRSM 6"/>
    <x v="6"/>
    <s v="GMM"/>
    <n v="103696"/>
    <n v="4216343"/>
    <x v="51"/>
    <x v="96"/>
    <s v="BOLOGNESE"/>
    <n v="2950"/>
    <n v="20"/>
    <n v="59000"/>
    <m/>
  </r>
  <r>
    <x v="10"/>
    <s v="AUG"/>
    <x v="36"/>
    <s v="GRSM 6"/>
    <x v="6"/>
    <s v="GMM"/>
    <n v="103696"/>
    <n v="4216343"/>
    <x v="51"/>
    <x v="96"/>
    <s v="CARBONARA"/>
    <n v="2950"/>
    <n v="25"/>
    <n v="73750"/>
    <m/>
  </r>
  <r>
    <x v="10"/>
    <s v="AUG"/>
    <x v="36"/>
    <s v="GRSM 6"/>
    <x v="6"/>
    <s v="GMM"/>
    <n v="103696"/>
    <n v="4216343"/>
    <x v="51"/>
    <x v="96"/>
    <s v="AGLIO OLIO"/>
    <n v="2950"/>
    <n v="12"/>
    <n v="35400"/>
    <m/>
  </r>
  <r>
    <x v="10"/>
    <s v="AUG"/>
    <x v="36"/>
    <s v="GRSM 6"/>
    <x v="6"/>
    <s v="GMM"/>
    <n v="103696"/>
    <n v="4216343"/>
    <x v="51"/>
    <x v="96"/>
    <s v="GORENG"/>
    <n v="2950"/>
    <n v="112"/>
    <n v="330400"/>
    <n v="70"/>
  </r>
  <r>
    <x v="10"/>
    <s v="AUG"/>
    <x v="36"/>
    <s v="GRSM 6"/>
    <x v="6"/>
    <s v="GMM"/>
    <n v="103696"/>
    <n v="4216343"/>
    <x v="51"/>
    <x v="97"/>
    <s v="BOLOGNESE"/>
    <n v="2950"/>
    <n v="20"/>
    <n v="59000"/>
    <m/>
  </r>
  <r>
    <x v="10"/>
    <s v="AUG"/>
    <x v="36"/>
    <s v="GRSM 6"/>
    <x v="6"/>
    <s v="GMM"/>
    <n v="103696"/>
    <n v="4216343"/>
    <x v="51"/>
    <x v="97"/>
    <s v="CARBONARA"/>
    <n v="2950"/>
    <n v="25"/>
    <n v="73750"/>
    <m/>
  </r>
  <r>
    <x v="10"/>
    <s v="AUG"/>
    <x v="36"/>
    <s v="GRSM 6"/>
    <x v="6"/>
    <s v="GMM"/>
    <n v="103696"/>
    <n v="4216343"/>
    <x v="51"/>
    <x v="97"/>
    <s v="AGLIO OLIO"/>
    <n v="2950"/>
    <n v="12"/>
    <n v="35400"/>
    <m/>
  </r>
  <r>
    <x v="10"/>
    <s v="AUG"/>
    <x v="36"/>
    <s v="GRSM 6"/>
    <x v="6"/>
    <s v="GMM"/>
    <n v="103696"/>
    <n v="4216343"/>
    <x v="51"/>
    <x v="97"/>
    <s v="GORENG"/>
    <n v="2950"/>
    <n v="112"/>
    <n v="330400"/>
    <n v="70"/>
  </r>
  <r>
    <x v="10"/>
    <s v="AUG"/>
    <x v="36"/>
    <s v="GRSM 4"/>
    <x v="0"/>
    <s v="GMM"/>
    <n v="103257"/>
    <n v="9162509"/>
    <x v="25"/>
    <x v="72"/>
    <s v="BOLOGNESE"/>
    <n v="3200"/>
    <n v="40"/>
    <n v="128000"/>
    <m/>
  </r>
  <r>
    <x v="10"/>
    <s v="AUG"/>
    <x v="36"/>
    <s v="GRSM 4"/>
    <x v="0"/>
    <s v="GMM"/>
    <n v="103257"/>
    <n v="9162509"/>
    <x v="25"/>
    <x v="72"/>
    <s v="CARBONARA"/>
    <n v="3200"/>
    <n v="30"/>
    <n v="96000"/>
    <m/>
  </r>
  <r>
    <x v="10"/>
    <s v="AUG"/>
    <x v="36"/>
    <s v="GRSM 4"/>
    <x v="0"/>
    <s v="GMM"/>
    <n v="103257"/>
    <n v="9162509"/>
    <x v="25"/>
    <x v="72"/>
    <s v="AGLIO OLIO"/>
    <n v="3200"/>
    <n v="0"/>
    <n v="0"/>
    <m/>
  </r>
  <r>
    <x v="10"/>
    <s v="AUG"/>
    <x v="36"/>
    <s v="GRSM 4"/>
    <x v="0"/>
    <s v="GMM"/>
    <n v="103257"/>
    <n v="9162509"/>
    <x v="25"/>
    <x v="72"/>
    <s v="GORENG"/>
    <n v="3200"/>
    <n v="17"/>
    <n v="54400"/>
    <n v="160"/>
  </r>
  <r>
    <x v="10"/>
    <s v="AUG"/>
    <x v="37"/>
    <s v="GRSM 4"/>
    <x v="0"/>
    <s v="GMM"/>
    <n v="103257"/>
    <n v="9162509"/>
    <x v="25"/>
    <x v="58"/>
    <s v="BOLOGNESE"/>
    <n v="3200"/>
    <n v="25"/>
    <n v="80000"/>
    <m/>
  </r>
  <r>
    <x v="10"/>
    <s v="AUG"/>
    <x v="37"/>
    <s v="GRSM 4"/>
    <x v="0"/>
    <s v="GMM"/>
    <n v="103257"/>
    <n v="9162509"/>
    <x v="25"/>
    <x v="58"/>
    <s v="CARBONARA"/>
    <n v="3200"/>
    <n v="30"/>
    <n v="96000"/>
    <m/>
  </r>
  <r>
    <x v="10"/>
    <s v="AUG"/>
    <x v="37"/>
    <s v="GRSM 4"/>
    <x v="0"/>
    <s v="GMM"/>
    <n v="103257"/>
    <n v="9162509"/>
    <x v="25"/>
    <x v="58"/>
    <s v="AGLIO OLIO"/>
    <n v="3200"/>
    <n v="28"/>
    <n v="89600"/>
    <m/>
  </r>
  <r>
    <x v="10"/>
    <s v="AUG"/>
    <x v="37"/>
    <s v="GRSM 4"/>
    <x v="0"/>
    <s v="GMM"/>
    <n v="103257"/>
    <n v="9162509"/>
    <x v="25"/>
    <x v="58"/>
    <s v="GORENG"/>
    <n v="3200"/>
    <n v="17"/>
    <n v="54400"/>
    <n v="160"/>
  </r>
  <r>
    <x v="10"/>
    <s v="AUG"/>
    <x v="35"/>
    <s v="GRSM 6"/>
    <x v="6"/>
    <s v="GMM"/>
    <n v="211030"/>
    <n v="5765035"/>
    <x v="52"/>
    <x v="98"/>
    <s v="BOLOGNESE"/>
    <n v="3145"/>
    <n v="21"/>
    <n v="66045"/>
    <m/>
  </r>
  <r>
    <x v="10"/>
    <s v="AUG"/>
    <x v="35"/>
    <s v="GRSM 6"/>
    <x v="6"/>
    <s v="GMM"/>
    <n v="211030"/>
    <n v="5765035"/>
    <x v="52"/>
    <x v="98"/>
    <s v="CARBONARA"/>
    <n v="3145"/>
    <n v="39"/>
    <n v="122655"/>
    <m/>
  </r>
  <r>
    <x v="10"/>
    <s v="AUG"/>
    <x v="35"/>
    <s v="GRSM 6"/>
    <x v="6"/>
    <s v="GMM"/>
    <n v="211030"/>
    <n v="5765035"/>
    <x v="52"/>
    <x v="98"/>
    <s v="AGLIO OLIO"/>
    <n v="3145"/>
    <n v="15"/>
    <n v="47175"/>
    <m/>
  </r>
  <r>
    <x v="10"/>
    <s v="AUG"/>
    <x v="35"/>
    <s v="GRSM 6"/>
    <x v="6"/>
    <s v="GMM"/>
    <n v="211030"/>
    <n v="5765035"/>
    <x v="52"/>
    <x v="98"/>
    <s v="GORENG"/>
    <n v="3145"/>
    <n v="105"/>
    <n v="330225"/>
    <n v="150"/>
  </r>
  <r>
    <x v="10"/>
    <s v="AUG"/>
    <x v="35"/>
    <s v="GRSM 6"/>
    <x v="6"/>
    <s v="GMM"/>
    <n v="211030"/>
    <n v="5765035"/>
    <x v="52"/>
    <x v="99"/>
    <s v="BOLOGNESE"/>
    <n v="3145"/>
    <n v="21"/>
    <n v="66045"/>
    <m/>
  </r>
  <r>
    <x v="10"/>
    <s v="AUG"/>
    <x v="35"/>
    <s v="GRSM 6"/>
    <x v="6"/>
    <s v="GMM"/>
    <n v="211030"/>
    <n v="5765035"/>
    <x v="52"/>
    <x v="99"/>
    <s v="CARBONARA"/>
    <n v="3145"/>
    <n v="39"/>
    <n v="122655"/>
    <m/>
  </r>
  <r>
    <x v="10"/>
    <s v="AUG"/>
    <x v="35"/>
    <s v="GRSM 6"/>
    <x v="6"/>
    <s v="GMM"/>
    <n v="211030"/>
    <n v="5765035"/>
    <x v="52"/>
    <x v="99"/>
    <s v="AGLIO OLIO"/>
    <n v="3145"/>
    <n v="15"/>
    <n v="47175"/>
    <m/>
  </r>
  <r>
    <x v="10"/>
    <s v="AUG"/>
    <x v="35"/>
    <s v="GRSM 6"/>
    <x v="6"/>
    <s v="GMM"/>
    <n v="211030"/>
    <n v="5765035"/>
    <x v="52"/>
    <x v="99"/>
    <s v="GORENG"/>
    <n v="3145"/>
    <n v="105"/>
    <n v="330225"/>
    <n v="150"/>
  </r>
  <r>
    <x v="11"/>
    <s v="AUG"/>
    <x v="38"/>
    <s v="GRSM 4"/>
    <x v="0"/>
    <s v="GMM"/>
    <n v="103258"/>
    <n v="9201924"/>
    <x v="40"/>
    <x v="5"/>
    <s v="BOLOGNESE"/>
    <n v="2000"/>
    <n v="24"/>
    <n v="48000"/>
    <m/>
  </r>
  <r>
    <x v="11"/>
    <s v="AUG"/>
    <x v="38"/>
    <s v="GRSM 4"/>
    <x v="0"/>
    <s v="GMM"/>
    <n v="103258"/>
    <n v="9201924"/>
    <x v="40"/>
    <x v="5"/>
    <s v="CARBONARA"/>
    <n v="2000"/>
    <n v="60"/>
    <n v="120000"/>
    <m/>
  </r>
  <r>
    <x v="11"/>
    <s v="AUG"/>
    <x v="38"/>
    <s v="GRSM 4"/>
    <x v="0"/>
    <s v="GMM"/>
    <n v="103258"/>
    <n v="9201924"/>
    <x v="40"/>
    <x v="5"/>
    <s v="AGLIO OLIO"/>
    <n v="2000"/>
    <n v="0"/>
    <n v="0"/>
    <m/>
  </r>
  <r>
    <x v="11"/>
    <s v="AUG"/>
    <x v="38"/>
    <s v="GRSM 4"/>
    <x v="0"/>
    <s v="GMM"/>
    <n v="103258"/>
    <n v="9201924"/>
    <x v="40"/>
    <x v="5"/>
    <s v="GORENG"/>
    <n v="2000"/>
    <n v="180"/>
    <n v="360000"/>
    <n v="160"/>
  </r>
  <r>
    <x v="11"/>
    <s v="AUG"/>
    <x v="38"/>
    <s v="GRSM 4"/>
    <x v="0"/>
    <s v="GMM"/>
    <n v="103258"/>
    <n v="9201924"/>
    <x v="40"/>
    <x v="73"/>
    <s v="BOLOGNESE"/>
    <n v="2000"/>
    <n v="24"/>
    <n v="48000"/>
    <m/>
  </r>
  <r>
    <x v="11"/>
    <s v="AUG"/>
    <x v="38"/>
    <s v="GRSM 4"/>
    <x v="0"/>
    <s v="GMM"/>
    <n v="103258"/>
    <n v="9201924"/>
    <x v="40"/>
    <x v="73"/>
    <s v="CARBONARA"/>
    <n v="2000"/>
    <n v="60"/>
    <n v="120000"/>
    <m/>
  </r>
  <r>
    <x v="11"/>
    <s v="AUG"/>
    <x v="38"/>
    <s v="GRSM 4"/>
    <x v="0"/>
    <s v="GMM"/>
    <n v="103258"/>
    <n v="9201924"/>
    <x v="40"/>
    <x v="73"/>
    <s v="AGLIO OLIO"/>
    <n v="2000"/>
    <n v="0"/>
    <n v="0"/>
    <m/>
  </r>
  <r>
    <x v="11"/>
    <s v="AUG"/>
    <x v="38"/>
    <s v="GRSM 4"/>
    <x v="0"/>
    <s v="GMM"/>
    <n v="103258"/>
    <n v="9201924"/>
    <x v="40"/>
    <x v="73"/>
    <s v="GORENG"/>
    <n v="2000"/>
    <n v="180"/>
    <n v="360000"/>
    <n v="160"/>
  </r>
  <r>
    <x v="11"/>
    <s v="AUG"/>
    <x v="38"/>
    <s v="GRSM 3A"/>
    <x v="0"/>
    <s v="GMM"/>
    <n v="211019"/>
    <n v="1556924"/>
    <x v="34"/>
    <x v="70"/>
    <s v="BOLOGNESE"/>
    <n v="3000"/>
    <n v="40"/>
    <n v="120000"/>
    <m/>
  </r>
  <r>
    <x v="11"/>
    <s v="AUG"/>
    <x v="38"/>
    <s v="GRSM 3A"/>
    <x v="0"/>
    <s v="GMM"/>
    <n v="211019"/>
    <n v="1556924"/>
    <x v="34"/>
    <x v="70"/>
    <s v="CARBONARA"/>
    <n v="3000"/>
    <n v="35"/>
    <n v="105000"/>
    <m/>
  </r>
  <r>
    <x v="11"/>
    <s v="AUG"/>
    <x v="38"/>
    <s v="GRSM 3A"/>
    <x v="0"/>
    <s v="GMM"/>
    <n v="211019"/>
    <n v="1556924"/>
    <x v="34"/>
    <x v="70"/>
    <s v="AGLIO OLIO"/>
    <n v="3000"/>
    <n v="22"/>
    <n v="66000"/>
    <m/>
  </r>
  <r>
    <x v="11"/>
    <s v="AUG"/>
    <x v="38"/>
    <s v="GRSM 3A"/>
    <x v="0"/>
    <s v="GMM"/>
    <n v="211019"/>
    <n v="1556924"/>
    <x v="34"/>
    <x v="70"/>
    <s v="GORENG"/>
    <n v="3000"/>
    <n v="74"/>
    <n v="222000"/>
    <n v="40"/>
  </r>
  <r>
    <x v="11"/>
    <s v="AUG"/>
    <x v="38"/>
    <s v="GRSM 3A"/>
    <x v="0"/>
    <s v="GMM"/>
    <n v="211019"/>
    <n v="1556924"/>
    <x v="34"/>
    <x v="71"/>
    <s v="BOLOGNESE"/>
    <n v="3000"/>
    <n v="40"/>
    <n v="120000"/>
    <m/>
  </r>
  <r>
    <x v="11"/>
    <s v="AUG"/>
    <x v="38"/>
    <s v="GRSM 3A"/>
    <x v="0"/>
    <s v="GMM"/>
    <n v="211019"/>
    <n v="1556924"/>
    <x v="34"/>
    <x v="71"/>
    <s v="CARBONARA"/>
    <n v="3000"/>
    <n v="35"/>
    <n v="105000"/>
    <m/>
  </r>
  <r>
    <x v="11"/>
    <s v="AUG"/>
    <x v="38"/>
    <s v="GRSM 3A"/>
    <x v="0"/>
    <s v="GMM"/>
    <n v="211019"/>
    <n v="1556924"/>
    <x v="34"/>
    <x v="71"/>
    <s v="AGLIO OLIO"/>
    <n v="3000"/>
    <n v="22"/>
    <n v="66000"/>
    <m/>
  </r>
  <r>
    <x v="11"/>
    <s v="AUG"/>
    <x v="38"/>
    <s v="GRSM 3A"/>
    <x v="0"/>
    <s v="GMM"/>
    <n v="211019"/>
    <n v="1556924"/>
    <x v="34"/>
    <x v="71"/>
    <s v="GORENG"/>
    <n v="3000"/>
    <n v="74"/>
    <n v="222000"/>
    <n v="40"/>
  </r>
  <r>
    <x v="11"/>
    <s v="AUG"/>
    <x v="38"/>
    <s v="GRSM 4"/>
    <x v="0"/>
    <s v="GMM"/>
    <n v="103712"/>
    <n v="4404677"/>
    <x v="35"/>
    <x v="17"/>
    <s v="BOLOGNESE"/>
    <n v="3000"/>
    <n v="30"/>
    <n v="90000"/>
    <m/>
  </r>
  <r>
    <x v="11"/>
    <s v="AUG"/>
    <x v="38"/>
    <s v="GRSM 4"/>
    <x v="0"/>
    <s v="GMM"/>
    <n v="103712"/>
    <n v="4404677"/>
    <x v="35"/>
    <x v="17"/>
    <s v="CARBONARA"/>
    <n v="3000"/>
    <n v="39"/>
    <n v="117000"/>
    <m/>
  </r>
  <r>
    <x v="11"/>
    <s v="AUG"/>
    <x v="38"/>
    <s v="GRSM 4"/>
    <x v="0"/>
    <s v="GMM"/>
    <n v="103712"/>
    <n v="4404677"/>
    <x v="35"/>
    <x v="17"/>
    <s v="AGLIO OLIO"/>
    <n v="3000"/>
    <n v="27"/>
    <n v="81000"/>
    <m/>
  </r>
  <r>
    <x v="11"/>
    <s v="AUG"/>
    <x v="38"/>
    <s v="GRSM 4"/>
    <x v="0"/>
    <s v="GMM"/>
    <n v="103712"/>
    <n v="4404677"/>
    <x v="35"/>
    <x v="17"/>
    <s v="GORENG"/>
    <n v="3000"/>
    <n v="110"/>
    <n v="330000"/>
    <n v="160"/>
  </r>
  <r>
    <x v="11"/>
    <s v="AUG"/>
    <x v="38"/>
    <s v="GRSM 4"/>
    <x v="0"/>
    <s v="GMM"/>
    <n v="103712"/>
    <n v="4404677"/>
    <x v="35"/>
    <x v="21"/>
    <s v="BOLOGNESE"/>
    <n v="3000"/>
    <n v="30"/>
    <n v="90000"/>
    <m/>
  </r>
  <r>
    <x v="11"/>
    <s v="AUG"/>
    <x v="38"/>
    <s v="GRSM 4"/>
    <x v="0"/>
    <s v="GMM"/>
    <n v="103712"/>
    <n v="4404677"/>
    <x v="35"/>
    <x v="21"/>
    <s v="CARBONARA"/>
    <n v="3000"/>
    <n v="34"/>
    <n v="102000"/>
    <m/>
  </r>
  <r>
    <x v="11"/>
    <s v="AUG"/>
    <x v="38"/>
    <s v="GRSM 4"/>
    <x v="0"/>
    <s v="GMM"/>
    <n v="103712"/>
    <n v="4404677"/>
    <x v="35"/>
    <x v="21"/>
    <s v="AGLIO OLIO"/>
    <n v="3000"/>
    <n v="26"/>
    <n v="78000"/>
    <m/>
  </r>
  <r>
    <x v="11"/>
    <s v="AUG"/>
    <x v="38"/>
    <s v="GRSM 4"/>
    <x v="0"/>
    <s v="GMM"/>
    <n v="103712"/>
    <n v="4404677"/>
    <x v="35"/>
    <x v="21"/>
    <s v="GORENG"/>
    <n v="3000"/>
    <n v="129"/>
    <n v="387000"/>
    <n v="160"/>
  </r>
  <r>
    <x v="11"/>
    <s v="AUG"/>
    <x v="38"/>
    <s v="GRSM 4"/>
    <x v="0"/>
    <s v="NKA"/>
    <n v="121409"/>
    <n v="5025004"/>
    <x v="38"/>
    <x v="27"/>
    <s v="BOLOGNESE"/>
    <n v="3275"/>
    <n v="33"/>
    <n v="108075"/>
    <m/>
  </r>
  <r>
    <x v="11"/>
    <s v="AUG"/>
    <x v="38"/>
    <s v="GRSM 4"/>
    <x v="0"/>
    <s v="NKA"/>
    <n v="121409"/>
    <n v="5025004"/>
    <x v="38"/>
    <x v="27"/>
    <s v="CARBONARA"/>
    <n v="3275"/>
    <n v="32"/>
    <n v="104800"/>
    <m/>
  </r>
  <r>
    <x v="11"/>
    <s v="AUG"/>
    <x v="38"/>
    <s v="GRSM 4"/>
    <x v="0"/>
    <s v="NKA"/>
    <n v="121409"/>
    <n v="5025004"/>
    <x v="38"/>
    <x v="27"/>
    <s v="AGLIO OLIO"/>
    <n v="3275"/>
    <n v="35"/>
    <n v="114625"/>
    <m/>
  </r>
  <r>
    <x v="11"/>
    <s v="AUG"/>
    <x v="38"/>
    <s v="GRSM 4"/>
    <x v="0"/>
    <s v="NKA"/>
    <n v="121409"/>
    <n v="5025004"/>
    <x v="38"/>
    <x v="27"/>
    <s v="GORENG"/>
    <n v="3275"/>
    <n v="95"/>
    <n v="311125"/>
    <n v="160"/>
  </r>
  <r>
    <x v="11"/>
    <s v="AUG"/>
    <x v="38"/>
    <s v="GRSM 4"/>
    <x v="0"/>
    <s v="NKA"/>
    <n v="121409"/>
    <n v="5025004"/>
    <x v="38"/>
    <x v="26"/>
    <s v="BOLOGNESE"/>
    <n v="3275"/>
    <n v="33"/>
    <n v="108075"/>
    <m/>
  </r>
  <r>
    <x v="11"/>
    <s v="AUG"/>
    <x v="38"/>
    <s v="GRSM 4"/>
    <x v="0"/>
    <s v="NKA"/>
    <n v="121409"/>
    <n v="5025004"/>
    <x v="38"/>
    <x v="26"/>
    <s v="CARBONARA"/>
    <n v="3275"/>
    <n v="32"/>
    <n v="104800"/>
    <m/>
  </r>
  <r>
    <x v="11"/>
    <s v="AUG"/>
    <x v="38"/>
    <s v="GRSM 4"/>
    <x v="0"/>
    <s v="NKA"/>
    <n v="121409"/>
    <n v="5025004"/>
    <x v="38"/>
    <x v="26"/>
    <s v="AGLIO OLIO"/>
    <n v="3275"/>
    <n v="35"/>
    <n v="114625"/>
    <m/>
  </r>
  <r>
    <x v="11"/>
    <s v="AUG"/>
    <x v="38"/>
    <s v="GRSM 4"/>
    <x v="0"/>
    <s v="NKA"/>
    <n v="121409"/>
    <n v="5025004"/>
    <x v="38"/>
    <x v="26"/>
    <s v="GORENG"/>
    <n v="3275"/>
    <n v="95"/>
    <n v="311125"/>
    <n v="160"/>
  </r>
  <r>
    <x v="11"/>
    <s v="AUG"/>
    <x v="38"/>
    <s v="GRSM 4"/>
    <x v="0"/>
    <s v="NKA"/>
    <n v="195403"/>
    <n v="1600007"/>
    <x v="36"/>
    <x v="15"/>
    <s v="BOLOGNESE"/>
    <n v="2150"/>
    <n v="87"/>
    <n v="187050"/>
    <m/>
  </r>
  <r>
    <x v="11"/>
    <s v="AUG"/>
    <x v="38"/>
    <s v="GRSM 4"/>
    <x v="0"/>
    <s v="NKA"/>
    <n v="195403"/>
    <n v="1600007"/>
    <x v="36"/>
    <x v="15"/>
    <s v="CARBONARA"/>
    <n v="2150"/>
    <n v="93"/>
    <n v="199950"/>
    <m/>
  </r>
  <r>
    <x v="11"/>
    <s v="AUG"/>
    <x v="38"/>
    <s v="GRSM 4"/>
    <x v="0"/>
    <s v="NKA"/>
    <n v="195403"/>
    <n v="1600007"/>
    <x v="36"/>
    <x v="15"/>
    <s v="AGLIO OLIO"/>
    <n v="2150"/>
    <n v="54"/>
    <n v="116100"/>
    <m/>
  </r>
  <r>
    <x v="11"/>
    <s v="AUG"/>
    <x v="38"/>
    <s v="GRSM 4"/>
    <x v="0"/>
    <s v="NKA"/>
    <n v="195403"/>
    <n v="1600007"/>
    <x v="36"/>
    <x v="15"/>
    <s v="GORENG"/>
    <n v="2150"/>
    <n v="120"/>
    <n v="258000"/>
    <n v="160"/>
  </r>
  <r>
    <x v="11"/>
    <s v="AUG"/>
    <x v="38"/>
    <s v="GRSM 4"/>
    <x v="0"/>
    <s v="GMM"/>
    <n v="103259"/>
    <n v="9002359"/>
    <x v="37"/>
    <x v="1"/>
    <s v="BOLOGNESE"/>
    <n v="1970"/>
    <n v="150"/>
    <n v="295500"/>
    <m/>
  </r>
  <r>
    <x v="11"/>
    <s v="AUG"/>
    <x v="38"/>
    <s v="GRSM 4"/>
    <x v="0"/>
    <s v="GMM"/>
    <n v="103259"/>
    <n v="9002359"/>
    <x v="37"/>
    <x v="1"/>
    <s v="CARBONARA"/>
    <n v="1970"/>
    <n v="0"/>
    <n v="0"/>
    <m/>
  </r>
  <r>
    <x v="11"/>
    <s v="AUG"/>
    <x v="38"/>
    <s v="GRSM 4"/>
    <x v="0"/>
    <s v="GMM"/>
    <n v="103259"/>
    <n v="9002359"/>
    <x v="37"/>
    <x v="1"/>
    <s v="AGLIO OLIO"/>
    <n v="1970"/>
    <n v="0"/>
    <n v="0"/>
    <m/>
  </r>
  <r>
    <x v="11"/>
    <s v="AUG"/>
    <x v="38"/>
    <s v="GRSM 4"/>
    <x v="0"/>
    <s v="GMM"/>
    <n v="103259"/>
    <n v="9002359"/>
    <x v="37"/>
    <x v="1"/>
    <s v="GORENG"/>
    <n v="1970"/>
    <n v="0"/>
    <n v="0"/>
    <m/>
  </r>
  <r>
    <x v="11"/>
    <s v="AUG"/>
    <x v="38"/>
    <s v="GRSM 4"/>
    <x v="0"/>
    <s v="GMM"/>
    <n v="103259"/>
    <n v="9002359"/>
    <x v="37"/>
    <x v="75"/>
    <s v="BOLOGNESE"/>
    <n v="1950"/>
    <n v="132"/>
    <n v="257400"/>
    <m/>
  </r>
  <r>
    <x v="11"/>
    <s v="AUG"/>
    <x v="38"/>
    <s v="GRSM 4"/>
    <x v="0"/>
    <s v="GMM"/>
    <n v="103259"/>
    <n v="9002359"/>
    <x v="37"/>
    <x v="75"/>
    <s v="CARBONARA"/>
    <n v="1950"/>
    <n v="0"/>
    <n v="0"/>
    <m/>
  </r>
  <r>
    <x v="11"/>
    <s v="AUG"/>
    <x v="38"/>
    <s v="GRSM 4"/>
    <x v="0"/>
    <s v="GMM"/>
    <n v="103259"/>
    <n v="9002359"/>
    <x v="37"/>
    <x v="75"/>
    <s v="AGLIO OLIO"/>
    <n v="1950"/>
    <n v="0"/>
    <n v="0"/>
    <m/>
  </r>
  <r>
    <x v="11"/>
    <s v="AUG"/>
    <x v="38"/>
    <s v="GRSM 4"/>
    <x v="0"/>
    <s v="GMM"/>
    <n v="103259"/>
    <n v="9002359"/>
    <x v="37"/>
    <x v="75"/>
    <s v="GORENG"/>
    <n v="1950"/>
    <n v="0"/>
    <n v="0"/>
    <n v="160"/>
  </r>
  <r>
    <x v="11"/>
    <s v="AUG"/>
    <x v="38"/>
    <s v="GRSM 4"/>
    <x v="0"/>
    <s v="GMM"/>
    <n v="103259"/>
    <n v="9006219"/>
    <x v="39"/>
    <x v="4"/>
    <s v="BOLOGNESE"/>
    <n v="2000"/>
    <n v="42"/>
    <n v="84000"/>
    <m/>
  </r>
  <r>
    <x v="11"/>
    <s v="AUG"/>
    <x v="38"/>
    <s v="GRSM 4"/>
    <x v="0"/>
    <s v="GMM"/>
    <n v="103259"/>
    <n v="9006219"/>
    <x v="39"/>
    <x v="4"/>
    <s v="CARBONARA"/>
    <n v="2000"/>
    <n v="33"/>
    <n v="66000"/>
    <m/>
  </r>
  <r>
    <x v="11"/>
    <s v="AUG"/>
    <x v="38"/>
    <s v="GRSM 4"/>
    <x v="0"/>
    <s v="GMM"/>
    <n v="103259"/>
    <n v="9006219"/>
    <x v="39"/>
    <x v="4"/>
    <s v="AGLIO OLIO"/>
    <n v="2000"/>
    <n v="27"/>
    <n v="54000"/>
    <m/>
  </r>
  <r>
    <x v="11"/>
    <s v="AUG"/>
    <x v="38"/>
    <s v="GRSM 4"/>
    <x v="0"/>
    <s v="GMM"/>
    <n v="103259"/>
    <n v="9006219"/>
    <x v="39"/>
    <x v="4"/>
    <s v="GORENG"/>
    <n v="2000"/>
    <n v="219"/>
    <n v="438000"/>
    <n v="160"/>
  </r>
  <r>
    <x v="11"/>
    <s v="AUG"/>
    <x v="38"/>
    <s v="GRSM 4"/>
    <x v="0"/>
    <s v="GMM"/>
    <n v="103259"/>
    <n v="9006219"/>
    <x v="39"/>
    <x v="100"/>
    <s v="BOLOGNESE"/>
    <n v="2000"/>
    <n v="42"/>
    <n v="84000"/>
    <m/>
  </r>
  <r>
    <x v="11"/>
    <s v="AUG"/>
    <x v="38"/>
    <s v="GRSM 4"/>
    <x v="0"/>
    <s v="GMM"/>
    <n v="103259"/>
    <n v="9006219"/>
    <x v="39"/>
    <x v="100"/>
    <s v="CARBONARA"/>
    <n v="2000"/>
    <n v="33"/>
    <n v="66000"/>
    <m/>
  </r>
  <r>
    <x v="11"/>
    <s v="AUG"/>
    <x v="38"/>
    <s v="GRSM 4"/>
    <x v="0"/>
    <s v="GMM"/>
    <n v="103259"/>
    <n v="9006219"/>
    <x v="39"/>
    <x v="100"/>
    <s v="AGLIO OLIO"/>
    <n v="2000"/>
    <n v="27"/>
    <n v="54000"/>
    <m/>
  </r>
  <r>
    <x v="11"/>
    <s v="AUG"/>
    <x v="38"/>
    <s v="GRSM 4"/>
    <x v="0"/>
    <s v="GMM"/>
    <n v="103259"/>
    <n v="9006219"/>
    <x v="39"/>
    <x v="100"/>
    <s v="GORENG"/>
    <n v="2000"/>
    <n v="219"/>
    <n v="438000"/>
    <n v="160"/>
  </r>
  <r>
    <x v="11"/>
    <s v="AUG"/>
    <x v="38"/>
    <s v="GRSM 4"/>
    <x v="0"/>
    <s v="NKA"/>
    <n v="195403"/>
    <n v="1600007"/>
    <x v="36"/>
    <x v="24"/>
    <s v="BOLOGNESE"/>
    <n v="2150"/>
    <n v="83"/>
    <n v="178450"/>
    <m/>
  </r>
  <r>
    <x v="11"/>
    <s v="AUG"/>
    <x v="38"/>
    <s v="GRSM 4"/>
    <x v="0"/>
    <s v="NKA"/>
    <n v="195403"/>
    <n v="1600007"/>
    <x v="36"/>
    <x v="24"/>
    <s v="CARBONARA"/>
    <n v="2150"/>
    <n v="91"/>
    <n v="195650"/>
    <m/>
  </r>
  <r>
    <x v="11"/>
    <s v="AUG"/>
    <x v="38"/>
    <s v="GRSM 4"/>
    <x v="0"/>
    <s v="NKA"/>
    <n v="195403"/>
    <n v="1600007"/>
    <x v="36"/>
    <x v="24"/>
    <s v="AGLIO OLIO"/>
    <n v="2150"/>
    <n v="50"/>
    <n v="107500"/>
    <m/>
  </r>
  <r>
    <x v="11"/>
    <s v="AUG"/>
    <x v="38"/>
    <s v="GRSM 4"/>
    <x v="0"/>
    <s v="NKA"/>
    <n v="195403"/>
    <n v="1600007"/>
    <x v="36"/>
    <x v="24"/>
    <s v="GORENG"/>
    <n v="2150"/>
    <n v="124"/>
    <n v="266600"/>
    <n v="160"/>
  </r>
  <r>
    <x v="11"/>
    <s v="AUG"/>
    <x v="38"/>
    <s v="GRSM 4"/>
    <x v="0"/>
    <s v="GMM"/>
    <n v="103257"/>
    <n v="9162509"/>
    <x v="25"/>
    <x v="101"/>
    <s v="BOLOGNESE"/>
    <n v="3100"/>
    <n v="68"/>
    <n v="210800"/>
    <m/>
  </r>
  <r>
    <x v="11"/>
    <s v="AUG"/>
    <x v="38"/>
    <s v="GRSM 4"/>
    <x v="0"/>
    <s v="GMM"/>
    <n v="103257"/>
    <n v="9162509"/>
    <x v="25"/>
    <x v="101"/>
    <s v="CARBONARA"/>
    <n v="3100"/>
    <n v="70"/>
    <n v="217000"/>
    <m/>
  </r>
  <r>
    <x v="11"/>
    <s v="AUG"/>
    <x v="38"/>
    <s v="GRSM 4"/>
    <x v="0"/>
    <s v="GMM"/>
    <n v="103257"/>
    <n v="9162509"/>
    <x v="25"/>
    <x v="101"/>
    <s v="AGLIO OLIO"/>
    <n v="3100"/>
    <n v="0"/>
    <n v="0"/>
    <m/>
  </r>
  <r>
    <x v="11"/>
    <s v="AUG"/>
    <x v="38"/>
    <s v="GRSM 4"/>
    <x v="0"/>
    <s v="GMM"/>
    <n v="103257"/>
    <n v="9162509"/>
    <x v="25"/>
    <x v="101"/>
    <s v="GORENG"/>
    <n v="3100"/>
    <n v="0"/>
    <n v="0"/>
    <n v="160"/>
  </r>
  <r>
    <x v="11"/>
    <s v="AUG"/>
    <x v="38"/>
    <s v="GRSM 4"/>
    <x v="0"/>
    <s v="GMM"/>
    <n v="103257"/>
    <n v="9162509"/>
    <x v="25"/>
    <x v="72"/>
    <s v="BOLOGNESE"/>
    <n v="3100"/>
    <n v="62"/>
    <n v="192200"/>
    <m/>
  </r>
  <r>
    <x v="11"/>
    <s v="AUG"/>
    <x v="38"/>
    <s v="GRSM 4"/>
    <x v="0"/>
    <s v="GMM"/>
    <n v="103257"/>
    <n v="9162509"/>
    <x v="25"/>
    <x v="72"/>
    <s v="CARBONARA"/>
    <n v="3100"/>
    <n v="65"/>
    <n v="201500"/>
    <m/>
  </r>
  <r>
    <x v="11"/>
    <s v="AUG"/>
    <x v="38"/>
    <s v="GRSM 4"/>
    <x v="0"/>
    <s v="GMM"/>
    <n v="103257"/>
    <n v="9162509"/>
    <x v="25"/>
    <x v="72"/>
    <s v="AGLIO OLIO"/>
    <n v="3100"/>
    <n v="0"/>
    <n v="0"/>
    <m/>
  </r>
  <r>
    <x v="11"/>
    <s v="AUG"/>
    <x v="38"/>
    <s v="GRSM 4"/>
    <x v="0"/>
    <s v="GMM"/>
    <n v="103257"/>
    <n v="9162509"/>
    <x v="25"/>
    <x v="72"/>
    <s v="GORENG"/>
    <n v="3100"/>
    <n v="0"/>
    <n v="0"/>
    <n v="160"/>
  </r>
  <r>
    <x v="11"/>
    <s v="AUG"/>
    <x v="39"/>
    <s v="GRSM 3A"/>
    <x v="0"/>
    <s v="GMM"/>
    <n v="211019"/>
    <n v="1556924"/>
    <x v="34"/>
    <x v="70"/>
    <s v="BOLOGNESE"/>
    <n v="3000"/>
    <n v="70"/>
    <n v="210000"/>
    <m/>
  </r>
  <r>
    <x v="11"/>
    <s v="AUG"/>
    <x v="39"/>
    <s v="GRSM 3A"/>
    <x v="0"/>
    <s v="GMM"/>
    <n v="211019"/>
    <n v="1556924"/>
    <x v="34"/>
    <x v="70"/>
    <s v="CARBONARA"/>
    <n v="3000"/>
    <n v="256"/>
    <n v="768000"/>
    <m/>
  </r>
  <r>
    <x v="11"/>
    <s v="AUG"/>
    <x v="39"/>
    <s v="GRSM 3A"/>
    <x v="0"/>
    <s v="GMM"/>
    <n v="211019"/>
    <n v="1556924"/>
    <x v="34"/>
    <x v="70"/>
    <s v="AGLIO OLIO"/>
    <n v="3000"/>
    <n v="96"/>
    <n v="288000"/>
    <m/>
  </r>
  <r>
    <x v="11"/>
    <s v="AUG"/>
    <x v="39"/>
    <s v="GRSM 3A"/>
    <x v="0"/>
    <s v="GMM"/>
    <n v="211019"/>
    <n v="1556924"/>
    <x v="34"/>
    <x v="70"/>
    <s v="GORENG"/>
    <n v="3000"/>
    <n v="116"/>
    <n v="348000"/>
    <n v="115"/>
  </r>
  <r>
    <x v="11"/>
    <s v="AUG"/>
    <x v="39"/>
    <s v="GRSM 3A"/>
    <x v="0"/>
    <s v="GMM"/>
    <n v="211019"/>
    <n v="1556924"/>
    <x v="34"/>
    <x v="71"/>
    <s v="BOLOGNESE"/>
    <n v="3000"/>
    <n v="70"/>
    <n v="210000"/>
    <m/>
  </r>
  <r>
    <x v="11"/>
    <s v="AUG"/>
    <x v="39"/>
    <s v="GRSM 3A"/>
    <x v="0"/>
    <s v="GMM"/>
    <n v="211019"/>
    <n v="1556924"/>
    <x v="34"/>
    <x v="71"/>
    <s v="CARBONARA"/>
    <n v="3000"/>
    <n v="256"/>
    <n v="768000"/>
    <m/>
  </r>
  <r>
    <x v="11"/>
    <s v="AUG"/>
    <x v="39"/>
    <s v="GRSM 3A"/>
    <x v="0"/>
    <s v="GMM"/>
    <n v="211019"/>
    <n v="1556924"/>
    <x v="34"/>
    <x v="71"/>
    <s v="AGLIO OLIO"/>
    <n v="3000"/>
    <n v="96"/>
    <n v="288000"/>
    <m/>
  </r>
  <r>
    <x v="11"/>
    <s v="AUG"/>
    <x v="39"/>
    <s v="GRSM 3A"/>
    <x v="0"/>
    <s v="GMM"/>
    <n v="211019"/>
    <n v="1556924"/>
    <x v="34"/>
    <x v="71"/>
    <s v="GORENG"/>
    <n v="3000"/>
    <n v="116"/>
    <n v="348000"/>
    <n v="115"/>
  </r>
  <r>
    <x v="11"/>
    <s v="AUG"/>
    <x v="39"/>
    <s v="GRSM 4"/>
    <x v="0"/>
    <s v="NKA"/>
    <n v="121409"/>
    <n v="5025004"/>
    <x v="38"/>
    <x v="27"/>
    <s v="BOLOGNESE"/>
    <n v="3275"/>
    <n v="39"/>
    <n v="127725"/>
    <m/>
  </r>
  <r>
    <x v="11"/>
    <s v="AUG"/>
    <x v="39"/>
    <s v="GRSM 4"/>
    <x v="0"/>
    <s v="NKA"/>
    <n v="121409"/>
    <n v="5025004"/>
    <x v="38"/>
    <x v="27"/>
    <s v="CARBONARA"/>
    <n v="3275"/>
    <n v="40"/>
    <n v="131000"/>
    <m/>
  </r>
  <r>
    <x v="11"/>
    <s v="AUG"/>
    <x v="39"/>
    <s v="GRSM 4"/>
    <x v="0"/>
    <s v="NKA"/>
    <n v="121409"/>
    <n v="5025004"/>
    <x v="38"/>
    <x v="27"/>
    <s v="AGLIO OLIO"/>
    <n v="3275"/>
    <n v="51"/>
    <n v="167025"/>
    <m/>
  </r>
  <r>
    <x v="11"/>
    <s v="AUG"/>
    <x v="39"/>
    <s v="GRSM 4"/>
    <x v="0"/>
    <s v="NKA"/>
    <n v="121409"/>
    <n v="5025004"/>
    <x v="38"/>
    <x v="27"/>
    <s v="GORENG"/>
    <n v="3275"/>
    <n v="110"/>
    <n v="360250"/>
    <n v="160"/>
  </r>
  <r>
    <x v="11"/>
    <s v="AUG"/>
    <x v="39"/>
    <s v="GRSM 4"/>
    <x v="0"/>
    <s v="NKA"/>
    <n v="121409"/>
    <n v="5025004"/>
    <x v="38"/>
    <x v="26"/>
    <s v="BOLOGNESE"/>
    <n v="3275"/>
    <n v="39"/>
    <n v="127725"/>
    <m/>
  </r>
  <r>
    <x v="11"/>
    <s v="AUG"/>
    <x v="39"/>
    <s v="GRSM 4"/>
    <x v="0"/>
    <s v="NKA"/>
    <n v="121409"/>
    <n v="5025004"/>
    <x v="38"/>
    <x v="26"/>
    <s v="CARBONARA"/>
    <n v="3275"/>
    <n v="40"/>
    <n v="131000"/>
    <m/>
  </r>
  <r>
    <x v="11"/>
    <s v="AUG"/>
    <x v="39"/>
    <s v="GRSM 4"/>
    <x v="0"/>
    <s v="NKA"/>
    <n v="121409"/>
    <n v="5025004"/>
    <x v="38"/>
    <x v="26"/>
    <s v="AGLIO OLIO"/>
    <n v="3275"/>
    <n v="51"/>
    <n v="167025"/>
    <m/>
  </r>
  <r>
    <x v="11"/>
    <s v="AUG"/>
    <x v="39"/>
    <s v="GRSM 4"/>
    <x v="0"/>
    <s v="NKA"/>
    <n v="121409"/>
    <n v="5025004"/>
    <x v="38"/>
    <x v="26"/>
    <s v="GORENG"/>
    <n v="3275"/>
    <n v="110"/>
    <n v="360250"/>
    <n v="160"/>
  </r>
  <r>
    <x v="11"/>
    <s v="AUG"/>
    <x v="39"/>
    <s v="GRSM 4"/>
    <x v="0"/>
    <s v="NKA"/>
    <n v="195403"/>
    <n v="1600007"/>
    <x v="36"/>
    <x v="15"/>
    <s v="BOLOGNESE"/>
    <n v="2150"/>
    <n v="88"/>
    <n v="189200"/>
    <m/>
  </r>
  <r>
    <x v="11"/>
    <s v="AUG"/>
    <x v="39"/>
    <s v="GRSM 4"/>
    <x v="0"/>
    <s v="NKA"/>
    <n v="195403"/>
    <n v="1600007"/>
    <x v="36"/>
    <x v="15"/>
    <s v="CARBONARA"/>
    <n v="2150"/>
    <n v="97"/>
    <n v="208550"/>
    <m/>
  </r>
  <r>
    <x v="11"/>
    <s v="AUG"/>
    <x v="39"/>
    <s v="GRSM 4"/>
    <x v="0"/>
    <s v="NKA"/>
    <n v="195403"/>
    <n v="1600007"/>
    <x v="36"/>
    <x v="15"/>
    <s v="AGLIO OLIO"/>
    <n v="2150"/>
    <n v="65"/>
    <n v="139750"/>
    <m/>
  </r>
  <r>
    <x v="11"/>
    <s v="AUG"/>
    <x v="39"/>
    <s v="GRSM 4"/>
    <x v="0"/>
    <s v="NKA"/>
    <n v="195403"/>
    <n v="1600007"/>
    <x v="36"/>
    <x v="15"/>
    <s v="GORENG"/>
    <n v="2150"/>
    <n v="124"/>
    <n v="266600"/>
    <n v="160"/>
  </r>
  <r>
    <x v="11"/>
    <s v="AUG"/>
    <x v="39"/>
    <s v="GRSM 4"/>
    <x v="0"/>
    <s v="GMM"/>
    <n v="103712"/>
    <n v="4404677"/>
    <x v="35"/>
    <x v="21"/>
    <s v="BOLOGNESE"/>
    <n v="3000"/>
    <n v="27"/>
    <n v="81000"/>
    <m/>
  </r>
  <r>
    <x v="11"/>
    <s v="AUG"/>
    <x v="39"/>
    <s v="GRSM 4"/>
    <x v="0"/>
    <s v="GMM"/>
    <n v="103712"/>
    <n v="4404677"/>
    <x v="35"/>
    <x v="21"/>
    <s v="CARBONARA"/>
    <n v="3000"/>
    <n v="41"/>
    <n v="123000"/>
    <m/>
  </r>
  <r>
    <x v="11"/>
    <s v="AUG"/>
    <x v="39"/>
    <s v="GRSM 4"/>
    <x v="0"/>
    <s v="GMM"/>
    <n v="103712"/>
    <n v="4404677"/>
    <x v="35"/>
    <x v="21"/>
    <s v="AGLIO OLIO"/>
    <n v="3000"/>
    <n v="23"/>
    <n v="69000"/>
    <m/>
  </r>
  <r>
    <x v="11"/>
    <s v="AUG"/>
    <x v="39"/>
    <s v="GRSM 4"/>
    <x v="0"/>
    <s v="GMM"/>
    <n v="103712"/>
    <n v="4404677"/>
    <x v="35"/>
    <x v="21"/>
    <s v="GORENG"/>
    <n v="3000"/>
    <n v="138"/>
    <n v="414000"/>
    <n v="160"/>
  </r>
  <r>
    <x v="11"/>
    <s v="AUG"/>
    <x v="39"/>
    <s v="GRSM 4"/>
    <x v="0"/>
    <s v="GMM"/>
    <n v="103712"/>
    <n v="4404677"/>
    <x v="35"/>
    <x v="17"/>
    <s v="BOLOGNESE"/>
    <n v="3000"/>
    <n v="28"/>
    <n v="84000"/>
    <m/>
  </r>
  <r>
    <x v="11"/>
    <s v="AUG"/>
    <x v="39"/>
    <s v="GRSM 4"/>
    <x v="0"/>
    <s v="GMM"/>
    <n v="103712"/>
    <n v="4404677"/>
    <x v="35"/>
    <x v="17"/>
    <s v="CARBONARA"/>
    <n v="3000"/>
    <n v="42"/>
    <n v="126000"/>
    <m/>
  </r>
  <r>
    <x v="11"/>
    <s v="AUG"/>
    <x v="39"/>
    <s v="GRSM 4"/>
    <x v="0"/>
    <s v="GMM"/>
    <n v="103712"/>
    <n v="4404677"/>
    <x v="35"/>
    <x v="17"/>
    <s v="AGLIO OLIO"/>
    <n v="3000"/>
    <n v="28"/>
    <n v="84000"/>
    <m/>
  </r>
  <r>
    <x v="11"/>
    <s v="AUG"/>
    <x v="39"/>
    <s v="GRSM 4"/>
    <x v="0"/>
    <s v="GMM"/>
    <n v="103712"/>
    <n v="4404677"/>
    <x v="35"/>
    <x v="17"/>
    <s v="GORENG"/>
    <n v="3000"/>
    <n v="142"/>
    <n v="426000"/>
    <n v="160"/>
  </r>
  <r>
    <x v="11"/>
    <s v="AUG"/>
    <x v="39"/>
    <s v="GRSM 4"/>
    <x v="0"/>
    <s v="GMM"/>
    <n v="103257"/>
    <n v="9162509"/>
    <x v="25"/>
    <x v="72"/>
    <s v="BOLOGNESE"/>
    <n v="3100"/>
    <n v="62"/>
    <n v="192200"/>
    <m/>
  </r>
  <r>
    <x v="11"/>
    <s v="AUG"/>
    <x v="39"/>
    <s v="GRSM 4"/>
    <x v="0"/>
    <s v="GMM"/>
    <n v="103257"/>
    <n v="9162509"/>
    <x v="25"/>
    <x v="72"/>
    <s v="CARBONARA"/>
    <n v="3100"/>
    <n v="40"/>
    <n v="124000"/>
    <m/>
  </r>
  <r>
    <x v="11"/>
    <s v="AUG"/>
    <x v="39"/>
    <s v="GRSM 4"/>
    <x v="0"/>
    <s v="GMM"/>
    <n v="103257"/>
    <n v="9162509"/>
    <x v="25"/>
    <x v="72"/>
    <s v="AGLIO OLIO"/>
    <n v="3100"/>
    <n v="0"/>
    <n v="0"/>
    <m/>
  </r>
  <r>
    <x v="11"/>
    <s v="AUG"/>
    <x v="39"/>
    <s v="GRSM 4"/>
    <x v="0"/>
    <s v="GMM"/>
    <n v="103257"/>
    <n v="9162509"/>
    <x v="25"/>
    <x v="72"/>
    <s v="GORENG"/>
    <n v="3100"/>
    <n v="28"/>
    <n v="86800"/>
    <n v="160"/>
  </r>
  <r>
    <x v="11"/>
    <s v="AUG"/>
    <x v="39"/>
    <s v="GRSM 4"/>
    <x v="0"/>
    <s v="GMM"/>
    <n v="103258"/>
    <n v="9201924"/>
    <x v="40"/>
    <x v="5"/>
    <s v="BOLOGNESE"/>
    <n v="2000"/>
    <n v="38"/>
    <n v="76000"/>
    <m/>
  </r>
  <r>
    <x v="11"/>
    <s v="AUG"/>
    <x v="39"/>
    <s v="GRSM 4"/>
    <x v="0"/>
    <s v="GMM"/>
    <n v="103258"/>
    <n v="9201924"/>
    <x v="40"/>
    <x v="5"/>
    <s v="CARBONARA"/>
    <n v="2000"/>
    <n v="45"/>
    <n v="90000"/>
    <m/>
  </r>
  <r>
    <x v="11"/>
    <s v="AUG"/>
    <x v="39"/>
    <s v="GRSM 4"/>
    <x v="0"/>
    <s v="GMM"/>
    <n v="103258"/>
    <n v="9201924"/>
    <x v="40"/>
    <x v="5"/>
    <s v="AGLIO OLIO"/>
    <n v="2000"/>
    <n v="27"/>
    <n v="54000"/>
    <m/>
  </r>
  <r>
    <x v="11"/>
    <s v="AUG"/>
    <x v="39"/>
    <s v="GRSM 4"/>
    <x v="0"/>
    <s v="GMM"/>
    <n v="103258"/>
    <n v="9201924"/>
    <x v="40"/>
    <x v="5"/>
    <s v="GORENG"/>
    <n v="2000"/>
    <n v="100"/>
    <n v="200000"/>
    <n v="160"/>
  </r>
  <r>
    <x v="11"/>
    <s v="AUG"/>
    <x v="39"/>
    <s v="GRSM 4"/>
    <x v="0"/>
    <s v="GMM"/>
    <n v="103258"/>
    <n v="9201924"/>
    <x v="40"/>
    <x v="73"/>
    <s v="BOLOGNESE"/>
    <n v="2000"/>
    <n v="38"/>
    <n v="76000"/>
    <m/>
  </r>
  <r>
    <x v="11"/>
    <s v="AUG"/>
    <x v="39"/>
    <s v="GRSM 4"/>
    <x v="0"/>
    <s v="GMM"/>
    <n v="103258"/>
    <n v="9201924"/>
    <x v="40"/>
    <x v="73"/>
    <s v="CARBONARA"/>
    <n v="2000"/>
    <n v="45"/>
    <n v="90000"/>
    <m/>
  </r>
  <r>
    <x v="11"/>
    <s v="AUG"/>
    <x v="39"/>
    <s v="GRSM 4"/>
    <x v="0"/>
    <s v="GMM"/>
    <n v="103258"/>
    <n v="9201924"/>
    <x v="40"/>
    <x v="73"/>
    <s v="AGLIO OLIO"/>
    <n v="2000"/>
    <n v="27"/>
    <n v="54000"/>
    <m/>
  </r>
  <r>
    <x v="11"/>
    <s v="AUG"/>
    <x v="39"/>
    <s v="GRSM 4"/>
    <x v="0"/>
    <s v="GMM"/>
    <n v="103258"/>
    <n v="9201924"/>
    <x v="40"/>
    <x v="73"/>
    <s v="GORENG"/>
    <n v="2000"/>
    <n v="100"/>
    <n v="200000"/>
    <n v="160"/>
  </r>
  <r>
    <x v="11"/>
    <s v="AUG"/>
    <x v="39"/>
    <s v="GRSM 4"/>
    <x v="0"/>
    <s v="NKA"/>
    <n v="195403"/>
    <n v="1600007"/>
    <x v="36"/>
    <x v="24"/>
    <s v="BOLOGNESE"/>
    <n v="2150"/>
    <n v="92"/>
    <n v="197800"/>
    <m/>
  </r>
  <r>
    <x v="11"/>
    <s v="AUG"/>
    <x v="39"/>
    <s v="GRSM 4"/>
    <x v="0"/>
    <s v="NKA"/>
    <n v="195403"/>
    <n v="1600007"/>
    <x v="36"/>
    <x v="24"/>
    <s v="CARBONARA"/>
    <n v="2150"/>
    <n v="98"/>
    <n v="210700"/>
    <m/>
  </r>
  <r>
    <x v="11"/>
    <s v="AUG"/>
    <x v="39"/>
    <s v="GRSM 4"/>
    <x v="0"/>
    <s v="NKA"/>
    <n v="195403"/>
    <n v="1600007"/>
    <x v="36"/>
    <x v="24"/>
    <s v="AGLIO OLIO"/>
    <n v="2150"/>
    <n v="73"/>
    <n v="156950"/>
    <m/>
  </r>
  <r>
    <x v="11"/>
    <s v="AUG"/>
    <x v="39"/>
    <s v="GRSM 4"/>
    <x v="0"/>
    <s v="NKA"/>
    <n v="195403"/>
    <n v="1600007"/>
    <x v="36"/>
    <x v="24"/>
    <s v="GORENG"/>
    <n v="2150"/>
    <n v="130"/>
    <n v="279500"/>
    <n v="160"/>
  </r>
  <r>
    <x v="11"/>
    <s v="AUG"/>
    <x v="39"/>
    <s v="GRSM 4"/>
    <x v="0"/>
    <s v="GMM"/>
    <n v="103259"/>
    <n v="9002359"/>
    <x v="37"/>
    <x v="1"/>
    <s v="BOLOGNESE"/>
    <n v="1950"/>
    <n v="162"/>
    <n v="315900"/>
    <m/>
  </r>
  <r>
    <x v="11"/>
    <s v="AUG"/>
    <x v="39"/>
    <s v="GRSM 4"/>
    <x v="0"/>
    <s v="GMM"/>
    <n v="103259"/>
    <n v="9002359"/>
    <x v="37"/>
    <x v="1"/>
    <s v="CARBONARA"/>
    <n v="1950"/>
    <n v="0"/>
    <n v="0"/>
    <m/>
  </r>
  <r>
    <x v="11"/>
    <s v="AUG"/>
    <x v="39"/>
    <s v="GRSM 4"/>
    <x v="0"/>
    <s v="GMM"/>
    <n v="103259"/>
    <n v="9002359"/>
    <x v="37"/>
    <x v="1"/>
    <s v="AGLIO OLIO"/>
    <n v="1950"/>
    <n v="0"/>
    <n v="0"/>
    <m/>
  </r>
  <r>
    <x v="11"/>
    <s v="AUG"/>
    <x v="39"/>
    <s v="GRSM 4"/>
    <x v="0"/>
    <s v="GMM"/>
    <n v="103259"/>
    <n v="9002359"/>
    <x v="37"/>
    <x v="1"/>
    <s v="GORENG"/>
    <n v="1950"/>
    <n v="0"/>
    <n v="0"/>
    <n v="160"/>
  </r>
  <r>
    <x v="11"/>
    <s v="AUG"/>
    <x v="39"/>
    <s v="GRSM 4"/>
    <x v="0"/>
    <s v="GMM"/>
    <n v="103259"/>
    <n v="9002359"/>
    <x v="37"/>
    <x v="75"/>
    <s v="BOLOGNESE"/>
    <n v="1950"/>
    <n v="129"/>
    <n v="251550"/>
    <m/>
  </r>
  <r>
    <x v="11"/>
    <s v="AUG"/>
    <x v="39"/>
    <s v="GRSM 4"/>
    <x v="0"/>
    <s v="GMM"/>
    <n v="103259"/>
    <n v="9002359"/>
    <x v="37"/>
    <x v="75"/>
    <s v="CARBONARA"/>
    <n v="1950"/>
    <n v="0"/>
    <n v="0"/>
    <m/>
  </r>
  <r>
    <x v="11"/>
    <s v="AUG"/>
    <x v="39"/>
    <s v="GRSM 4"/>
    <x v="0"/>
    <s v="GMM"/>
    <n v="103259"/>
    <n v="9002359"/>
    <x v="37"/>
    <x v="75"/>
    <s v="AGLIO OLIO"/>
    <n v="1950"/>
    <n v="0"/>
    <n v="0"/>
    <m/>
  </r>
  <r>
    <x v="11"/>
    <s v="AUG"/>
    <x v="39"/>
    <s v="GRSM 4"/>
    <x v="0"/>
    <s v="GMM"/>
    <n v="103259"/>
    <n v="9002359"/>
    <x v="37"/>
    <x v="75"/>
    <s v="GORENG"/>
    <n v="1950"/>
    <n v="0"/>
    <n v="0"/>
    <n v="160"/>
  </r>
  <r>
    <x v="11"/>
    <s v="AUG"/>
    <x v="39"/>
    <s v="GRSM 4"/>
    <x v="0"/>
    <s v="GMM"/>
    <n v="103259"/>
    <n v="9006219"/>
    <x v="39"/>
    <x v="4"/>
    <s v="BOLOGNESE"/>
    <n v="2000"/>
    <n v="29"/>
    <n v="58000"/>
    <m/>
  </r>
  <r>
    <x v="11"/>
    <s v="AUG"/>
    <x v="39"/>
    <s v="GRSM 4"/>
    <x v="0"/>
    <s v="GMM"/>
    <n v="103259"/>
    <n v="9006219"/>
    <x v="39"/>
    <x v="4"/>
    <s v="CARBONARA"/>
    <n v="2000"/>
    <n v="26"/>
    <n v="52000"/>
    <m/>
  </r>
  <r>
    <x v="11"/>
    <s v="AUG"/>
    <x v="39"/>
    <s v="GRSM 4"/>
    <x v="0"/>
    <s v="GMM"/>
    <n v="103259"/>
    <n v="9006219"/>
    <x v="39"/>
    <x v="4"/>
    <s v="AGLIO OLIO"/>
    <n v="2000"/>
    <n v="20"/>
    <n v="40000"/>
    <m/>
  </r>
  <r>
    <x v="11"/>
    <s v="AUG"/>
    <x v="39"/>
    <s v="GRSM 4"/>
    <x v="0"/>
    <s v="GMM"/>
    <n v="103259"/>
    <n v="9006219"/>
    <x v="39"/>
    <x v="4"/>
    <s v="GORENG"/>
    <n v="2000"/>
    <n v="128"/>
    <n v="256000"/>
    <n v="160"/>
  </r>
  <r>
    <x v="11"/>
    <s v="AUG"/>
    <x v="39"/>
    <s v="GRSM 4"/>
    <x v="0"/>
    <s v="GMM"/>
    <n v="103259"/>
    <n v="9006219"/>
    <x v="39"/>
    <x v="100"/>
    <s v="BOLOGNESE"/>
    <n v="2000"/>
    <n v="29"/>
    <n v="58000"/>
    <m/>
  </r>
  <r>
    <x v="11"/>
    <s v="AUG"/>
    <x v="39"/>
    <s v="GRSM 4"/>
    <x v="0"/>
    <s v="GMM"/>
    <n v="103259"/>
    <n v="9006219"/>
    <x v="39"/>
    <x v="100"/>
    <s v="CARBONARA"/>
    <n v="2000"/>
    <n v="26"/>
    <n v="52000"/>
    <m/>
  </r>
  <r>
    <x v="11"/>
    <s v="AUG"/>
    <x v="39"/>
    <s v="GRSM 4"/>
    <x v="0"/>
    <s v="GMM"/>
    <n v="103259"/>
    <n v="9006219"/>
    <x v="39"/>
    <x v="100"/>
    <s v="AGLIO OLIO"/>
    <n v="2000"/>
    <n v="20"/>
    <n v="40000"/>
    <m/>
  </r>
  <r>
    <x v="11"/>
    <s v="AUG"/>
    <x v="39"/>
    <s v="GRSM 4"/>
    <x v="0"/>
    <s v="GMM"/>
    <n v="103259"/>
    <n v="9006219"/>
    <x v="39"/>
    <x v="100"/>
    <s v="GORENG"/>
    <n v="2000"/>
    <n v="128"/>
    <n v="256000"/>
    <n v="160"/>
  </r>
  <r>
    <x v="11"/>
    <s v="AUG"/>
    <x v="39"/>
    <s v="GRSM 4"/>
    <x v="0"/>
    <s v="GMM"/>
    <n v="103257"/>
    <n v="9162509"/>
    <x v="25"/>
    <x v="101"/>
    <s v="BOLOGNESE"/>
    <n v="3100"/>
    <n v="60"/>
    <n v="186000"/>
    <m/>
  </r>
  <r>
    <x v="11"/>
    <s v="AUG"/>
    <x v="39"/>
    <s v="GRSM 4"/>
    <x v="0"/>
    <s v="GMM"/>
    <n v="103257"/>
    <n v="9162509"/>
    <x v="25"/>
    <x v="101"/>
    <s v="CARBONARA"/>
    <n v="3100"/>
    <n v="45"/>
    <n v="139500"/>
    <m/>
  </r>
  <r>
    <x v="11"/>
    <s v="AUG"/>
    <x v="39"/>
    <s v="GRSM 4"/>
    <x v="0"/>
    <s v="GMM"/>
    <n v="103257"/>
    <n v="9162509"/>
    <x v="25"/>
    <x v="101"/>
    <s v="AGLIO OLIO"/>
    <n v="3100"/>
    <n v="0"/>
    <n v="0"/>
    <m/>
  </r>
  <r>
    <x v="11"/>
    <s v="AUG"/>
    <x v="39"/>
    <s v="GRSM 4"/>
    <x v="0"/>
    <s v="GMM"/>
    <n v="103257"/>
    <n v="9162509"/>
    <x v="25"/>
    <x v="101"/>
    <s v="GORENG"/>
    <n v="3100"/>
    <n v="27"/>
    <n v="83700"/>
    <n v="160"/>
  </r>
  <r>
    <x v="11"/>
    <s v="AUG"/>
    <x v="40"/>
    <s v="GRSM 4"/>
    <x v="0"/>
    <s v="GMM"/>
    <n v="103258"/>
    <n v="9201924"/>
    <x v="40"/>
    <x v="5"/>
    <s v="BOLOGNESE"/>
    <n v="2000"/>
    <n v="54"/>
    <n v="108000"/>
    <m/>
  </r>
  <r>
    <x v="11"/>
    <s v="AUG"/>
    <x v="40"/>
    <s v="GRSM 4"/>
    <x v="0"/>
    <s v="GMM"/>
    <n v="103258"/>
    <n v="9201924"/>
    <x v="40"/>
    <x v="5"/>
    <s v="CARBONARA"/>
    <n v="2000"/>
    <n v="49"/>
    <n v="98000"/>
    <m/>
  </r>
  <r>
    <x v="11"/>
    <s v="AUG"/>
    <x v="40"/>
    <s v="GRSM 4"/>
    <x v="0"/>
    <s v="GMM"/>
    <n v="103258"/>
    <n v="9201924"/>
    <x v="40"/>
    <x v="5"/>
    <s v="AGLIO OLIO"/>
    <n v="2000"/>
    <n v="33"/>
    <n v="66000"/>
    <m/>
  </r>
  <r>
    <x v="11"/>
    <s v="AUG"/>
    <x v="40"/>
    <s v="GRSM 4"/>
    <x v="0"/>
    <s v="GMM"/>
    <n v="103258"/>
    <n v="9201924"/>
    <x v="40"/>
    <x v="5"/>
    <s v="GORENG"/>
    <n v="2000"/>
    <n v="80"/>
    <n v="160000"/>
    <n v="160"/>
  </r>
  <r>
    <x v="11"/>
    <s v="AUG"/>
    <x v="40"/>
    <s v="GRSM 4"/>
    <x v="0"/>
    <s v="GMM"/>
    <n v="103258"/>
    <n v="9201924"/>
    <x v="40"/>
    <x v="73"/>
    <s v="BOLOGNESE"/>
    <n v="2000"/>
    <n v="54"/>
    <n v="108000"/>
    <m/>
  </r>
  <r>
    <x v="11"/>
    <s v="AUG"/>
    <x v="40"/>
    <s v="GRSM 4"/>
    <x v="0"/>
    <s v="GMM"/>
    <n v="103258"/>
    <n v="9201924"/>
    <x v="40"/>
    <x v="73"/>
    <s v="CARBONARA"/>
    <n v="2000"/>
    <n v="49"/>
    <n v="98000"/>
    <m/>
  </r>
  <r>
    <x v="11"/>
    <s v="AUG"/>
    <x v="40"/>
    <s v="GRSM 4"/>
    <x v="0"/>
    <s v="GMM"/>
    <n v="103258"/>
    <n v="9201924"/>
    <x v="40"/>
    <x v="73"/>
    <s v="AGLIO OLIO"/>
    <n v="2000"/>
    <n v="33"/>
    <n v="66000"/>
    <m/>
  </r>
  <r>
    <x v="11"/>
    <s v="AUG"/>
    <x v="40"/>
    <s v="GRSM 4"/>
    <x v="0"/>
    <s v="GMM"/>
    <n v="103258"/>
    <n v="9201924"/>
    <x v="40"/>
    <x v="73"/>
    <s v="GORENG"/>
    <n v="2000"/>
    <n v="80"/>
    <n v="160000"/>
    <n v="160"/>
  </r>
  <r>
    <x v="11"/>
    <s v="AUG"/>
    <x v="40"/>
    <s v="GRSM 4"/>
    <x v="0"/>
    <s v="GMM"/>
    <n v="103712"/>
    <n v="4404677"/>
    <x v="35"/>
    <x v="17"/>
    <s v="BOLOGNESE"/>
    <n v="3000"/>
    <n v="32"/>
    <n v="96000"/>
    <m/>
  </r>
  <r>
    <x v="11"/>
    <s v="AUG"/>
    <x v="40"/>
    <s v="GRSM 4"/>
    <x v="0"/>
    <s v="GMM"/>
    <n v="103712"/>
    <n v="4404677"/>
    <x v="35"/>
    <x v="17"/>
    <s v="CARBONARA"/>
    <n v="3000"/>
    <n v="40"/>
    <n v="120000"/>
    <m/>
  </r>
  <r>
    <x v="11"/>
    <s v="AUG"/>
    <x v="40"/>
    <s v="GRSM 4"/>
    <x v="0"/>
    <s v="GMM"/>
    <n v="103712"/>
    <n v="4404677"/>
    <x v="35"/>
    <x v="17"/>
    <s v="AGLIO OLIO"/>
    <n v="3000"/>
    <n v="30"/>
    <n v="90000"/>
    <m/>
  </r>
  <r>
    <x v="11"/>
    <s v="AUG"/>
    <x v="40"/>
    <s v="GRSM 4"/>
    <x v="0"/>
    <s v="GMM"/>
    <n v="103712"/>
    <n v="4404677"/>
    <x v="35"/>
    <x v="17"/>
    <s v="GORENG"/>
    <n v="3000"/>
    <n v="129"/>
    <n v="387000"/>
    <n v="160"/>
  </r>
  <r>
    <x v="11"/>
    <s v="AUG"/>
    <x v="40"/>
    <s v="GRSM 4"/>
    <x v="0"/>
    <s v="NKA"/>
    <n v="121409"/>
    <n v="5025004"/>
    <x v="38"/>
    <x v="27"/>
    <s v="BOLOGNESE"/>
    <n v="3275"/>
    <n v="80"/>
    <n v="262000"/>
    <m/>
  </r>
  <r>
    <x v="11"/>
    <s v="AUG"/>
    <x v="40"/>
    <s v="GRSM 4"/>
    <x v="0"/>
    <s v="NKA"/>
    <n v="121409"/>
    <n v="5025004"/>
    <x v="38"/>
    <x v="27"/>
    <s v="CARBONARA"/>
    <n v="3275"/>
    <n v="84"/>
    <n v="275100"/>
    <m/>
  </r>
  <r>
    <x v="11"/>
    <s v="AUG"/>
    <x v="40"/>
    <s v="GRSM 4"/>
    <x v="0"/>
    <s v="NKA"/>
    <n v="121409"/>
    <n v="5025004"/>
    <x v="38"/>
    <x v="27"/>
    <s v="AGLIO OLIO"/>
    <n v="3275"/>
    <n v="49"/>
    <n v="160475"/>
    <m/>
  </r>
  <r>
    <x v="11"/>
    <s v="AUG"/>
    <x v="40"/>
    <s v="GRSM 4"/>
    <x v="0"/>
    <s v="NKA"/>
    <n v="121409"/>
    <n v="5025004"/>
    <x v="38"/>
    <x v="27"/>
    <s v="GORENG"/>
    <n v="3275"/>
    <n v="203"/>
    <n v="664825"/>
    <n v="160"/>
  </r>
  <r>
    <x v="11"/>
    <s v="AUG"/>
    <x v="40"/>
    <s v="GRSM 4"/>
    <x v="0"/>
    <s v="NKA"/>
    <n v="121409"/>
    <n v="5025004"/>
    <x v="38"/>
    <x v="26"/>
    <s v="BOLOGNESE"/>
    <n v="3275"/>
    <n v="80"/>
    <n v="262000"/>
    <m/>
  </r>
  <r>
    <x v="11"/>
    <s v="AUG"/>
    <x v="40"/>
    <s v="GRSM 4"/>
    <x v="0"/>
    <s v="NKA"/>
    <n v="121409"/>
    <n v="5025004"/>
    <x v="38"/>
    <x v="26"/>
    <s v="CARBONARA"/>
    <n v="3275"/>
    <n v="84"/>
    <n v="275100"/>
    <m/>
  </r>
  <r>
    <x v="11"/>
    <s v="AUG"/>
    <x v="40"/>
    <s v="GRSM 4"/>
    <x v="0"/>
    <s v="NKA"/>
    <n v="121409"/>
    <n v="5025004"/>
    <x v="38"/>
    <x v="26"/>
    <s v="AGLIO OLIO"/>
    <n v="3275"/>
    <n v="49"/>
    <n v="160475"/>
    <m/>
  </r>
  <r>
    <x v="11"/>
    <s v="AUG"/>
    <x v="40"/>
    <s v="GRSM 4"/>
    <x v="0"/>
    <s v="NKA"/>
    <n v="121409"/>
    <n v="5025004"/>
    <x v="38"/>
    <x v="26"/>
    <s v="GORENG"/>
    <n v="3275"/>
    <n v="203"/>
    <n v="664825"/>
    <n v="160"/>
  </r>
  <r>
    <x v="11"/>
    <s v="AUG"/>
    <x v="40"/>
    <s v="GRSM 4"/>
    <x v="0"/>
    <s v="GMM"/>
    <n v="103712"/>
    <n v="4404677"/>
    <x v="35"/>
    <x v="21"/>
    <s v="BOLOGNESE"/>
    <n v="3000"/>
    <n v="30"/>
    <n v="90000"/>
    <m/>
  </r>
  <r>
    <x v="11"/>
    <s v="AUG"/>
    <x v="40"/>
    <s v="GRSM 4"/>
    <x v="0"/>
    <s v="GMM"/>
    <n v="103712"/>
    <n v="4404677"/>
    <x v="35"/>
    <x v="21"/>
    <s v="CARBONARA"/>
    <n v="3000"/>
    <n v="40"/>
    <n v="120000"/>
    <m/>
  </r>
  <r>
    <x v="11"/>
    <s v="AUG"/>
    <x v="40"/>
    <s v="GRSM 4"/>
    <x v="0"/>
    <s v="GMM"/>
    <n v="103712"/>
    <n v="4404677"/>
    <x v="35"/>
    <x v="21"/>
    <s v="AGLIO OLIO"/>
    <n v="3000"/>
    <n v="29"/>
    <n v="87000"/>
    <m/>
  </r>
  <r>
    <x v="11"/>
    <s v="AUG"/>
    <x v="40"/>
    <s v="GRSM 4"/>
    <x v="0"/>
    <s v="GMM"/>
    <n v="103712"/>
    <n v="4404677"/>
    <x v="35"/>
    <x v="21"/>
    <s v="GORENG"/>
    <n v="3000"/>
    <n v="139"/>
    <n v="417000"/>
    <n v="160"/>
  </r>
  <r>
    <x v="11"/>
    <s v="AUG"/>
    <x v="40"/>
    <s v="GRSM 4"/>
    <x v="0"/>
    <s v="NKA"/>
    <n v="195403"/>
    <n v="1600007"/>
    <x v="36"/>
    <x v="24"/>
    <s v="BOLOGNESE"/>
    <n v="2150"/>
    <n v="86"/>
    <n v="184900"/>
    <m/>
  </r>
  <r>
    <x v="11"/>
    <s v="AUG"/>
    <x v="40"/>
    <s v="GRSM 4"/>
    <x v="0"/>
    <s v="NKA"/>
    <n v="195403"/>
    <n v="1600007"/>
    <x v="36"/>
    <x v="24"/>
    <s v="CARBONARA"/>
    <n v="2150"/>
    <n v="87"/>
    <n v="187050"/>
    <m/>
  </r>
  <r>
    <x v="11"/>
    <s v="AUG"/>
    <x v="40"/>
    <s v="GRSM 4"/>
    <x v="0"/>
    <s v="NKA"/>
    <n v="195403"/>
    <n v="1600007"/>
    <x v="36"/>
    <x v="24"/>
    <s v="AGLIO OLIO"/>
    <n v="2150"/>
    <n v="69"/>
    <n v="148350"/>
    <m/>
  </r>
  <r>
    <x v="11"/>
    <s v="AUG"/>
    <x v="40"/>
    <s v="GRSM 4"/>
    <x v="0"/>
    <s v="NKA"/>
    <n v="195403"/>
    <n v="1600007"/>
    <x v="36"/>
    <x v="24"/>
    <s v="GORENG"/>
    <n v="2150"/>
    <n v="94"/>
    <n v="202100"/>
    <n v="160"/>
  </r>
  <r>
    <x v="11"/>
    <s v="AUG"/>
    <x v="40"/>
    <s v="GRSM 4"/>
    <x v="0"/>
    <s v="NKA"/>
    <n v="195403"/>
    <n v="1600007"/>
    <x v="36"/>
    <x v="15"/>
    <s v="BOLOGNESE"/>
    <n v="2150"/>
    <n v="88"/>
    <n v="189200"/>
    <m/>
  </r>
  <r>
    <x v="11"/>
    <s v="AUG"/>
    <x v="40"/>
    <s v="GRSM 4"/>
    <x v="0"/>
    <s v="NKA"/>
    <n v="195403"/>
    <n v="1600007"/>
    <x v="36"/>
    <x v="15"/>
    <s v="CARBONARA"/>
    <n v="2150"/>
    <n v="91"/>
    <n v="195650"/>
    <m/>
  </r>
  <r>
    <x v="11"/>
    <s v="AUG"/>
    <x v="40"/>
    <s v="GRSM 4"/>
    <x v="0"/>
    <s v="NKA"/>
    <n v="195403"/>
    <n v="1600007"/>
    <x v="36"/>
    <x v="15"/>
    <s v="AGLIO OLIO"/>
    <n v="2150"/>
    <n v="72"/>
    <n v="154800"/>
    <m/>
  </r>
  <r>
    <x v="11"/>
    <s v="AUG"/>
    <x v="40"/>
    <s v="GRSM 4"/>
    <x v="0"/>
    <s v="NKA"/>
    <n v="195403"/>
    <n v="1600007"/>
    <x v="36"/>
    <x v="15"/>
    <s v="GORENG"/>
    <n v="2150"/>
    <n v="99"/>
    <n v="212850"/>
    <n v="160"/>
  </r>
  <r>
    <x v="11"/>
    <s v="AUG"/>
    <x v="40"/>
    <s v="GRSM 4"/>
    <x v="0"/>
    <s v="GMM"/>
    <n v="103257"/>
    <n v="9162509"/>
    <x v="25"/>
    <x v="72"/>
    <s v="BOLOGNESE"/>
    <n v="3200"/>
    <n v="95"/>
    <n v="304000"/>
    <m/>
  </r>
  <r>
    <x v="11"/>
    <s v="AUG"/>
    <x v="40"/>
    <s v="GRSM 4"/>
    <x v="0"/>
    <s v="GMM"/>
    <n v="103257"/>
    <n v="9162509"/>
    <x v="25"/>
    <x v="72"/>
    <s v="CARBONARA"/>
    <n v="3200"/>
    <n v="88"/>
    <n v="281600"/>
    <m/>
  </r>
  <r>
    <x v="11"/>
    <s v="AUG"/>
    <x v="40"/>
    <s v="GRSM 4"/>
    <x v="0"/>
    <s v="GMM"/>
    <n v="103257"/>
    <n v="9162509"/>
    <x v="25"/>
    <x v="72"/>
    <s v="AGLIO OLIO"/>
    <n v="3200"/>
    <n v="0"/>
    <n v="0"/>
    <m/>
  </r>
  <r>
    <x v="11"/>
    <s v="AUG"/>
    <x v="40"/>
    <s v="GRSM 4"/>
    <x v="0"/>
    <s v="GMM"/>
    <n v="103257"/>
    <n v="9162509"/>
    <x v="25"/>
    <x v="72"/>
    <s v="GORENG"/>
    <n v="3200"/>
    <n v="0"/>
    <n v="0"/>
    <n v="160"/>
  </r>
  <r>
    <x v="11"/>
    <s v="AUG"/>
    <x v="40"/>
    <s v="GRSM 4"/>
    <x v="0"/>
    <s v="GMM"/>
    <n v="103259"/>
    <n v="9002359"/>
    <x v="37"/>
    <x v="1"/>
    <s v="BOLOGNESE"/>
    <n v="2086"/>
    <n v="132"/>
    <n v="275352"/>
    <m/>
  </r>
  <r>
    <x v="11"/>
    <s v="AUG"/>
    <x v="40"/>
    <s v="GRSM 4"/>
    <x v="0"/>
    <s v="GMM"/>
    <n v="103259"/>
    <n v="9002359"/>
    <x v="37"/>
    <x v="1"/>
    <s v="CARBONARA"/>
    <n v="2086"/>
    <n v="0"/>
    <n v="0"/>
    <m/>
  </r>
  <r>
    <x v="11"/>
    <s v="AUG"/>
    <x v="40"/>
    <s v="GRSM 4"/>
    <x v="0"/>
    <s v="GMM"/>
    <n v="103259"/>
    <n v="9002359"/>
    <x v="37"/>
    <x v="1"/>
    <s v="AGLIO OLIO"/>
    <n v="2086"/>
    <n v="0"/>
    <n v="0"/>
    <m/>
  </r>
  <r>
    <x v="11"/>
    <s v="AUG"/>
    <x v="40"/>
    <s v="GRSM 4"/>
    <x v="0"/>
    <s v="GMM"/>
    <n v="103259"/>
    <n v="9002359"/>
    <x v="37"/>
    <x v="1"/>
    <s v="GORENG"/>
    <n v="2086"/>
    <n v="0"/>
    <n v="0"/>
    <m/>
  </r>
  <r>
    <x v="11"/>
    <s v="AUG"/>
    <x v="40"/>
    <s v="GRSM 4"/>
    <x v="0"/>
    <s v="GMM"/>
    <n v="103259"/>
    <n v="9002359"/>
    <x v="37"/>
    <x v="75"/>
    <s v="BOLOGNESE"/>
    <n v="1980"/>
    <n v="129"/>
    <n v="255420"/>
    <m/>
  </r>
  <r>
    <x v="11"/>
    <s v="AUG"/>
    <x v="40"/>
    <s v="GRSM 4"/>
    <x v="0"/>
    <s v="GMM"/>
    <n v="103259"/>
    <n v="9002359"/>
    <x v="37"/>
    <x v="75"/>
    <s v="CARBONARA"/>
    <n v="1980"/>
    <n v="0"/>
    <n v="0"/>
    <m/>
  </r>
  <r>
    <x v="11"/>
    <s v="AUG"/>
    <x v="40"/>
    <s v="GRSM 4"/>
    <x v="0"/>
    <s v="GMM"/>
    <n v="103259"/>
    <n v="9002359"/>
    <x v="37"/>
    <x v="75"/>
    <s v="AGLIO OLIO"/>
    <n v="1980"/>
    <n v="0"/>
    <n v="0"/>
    <m/>
  </r>
  <r>
    <x v="11"/>
    <s v="AUG"/>
    <x v="40"/>
    <s v="GRSM 4"/>
    <x v="0"/>
    <s v="GMM"/>
    <n v="103259"/>
    <n v="9002359"/>
    <x v="37"/>
    <x v="75"/>
    <s v="GORENG"/>
    <n v="1980"/>
    <n v="0"/>
    <n v="0"/>
    <m/>
  </r>
  <r>
    <x v="11"/>
    <s v="AUG"/>
    <x v="40"/>
    <s v="GRSM 4"/>
    <x v="0"/>
    <s v="GMM"/>
    <n v="103259"/>
    <n v="9006219"/>
    <x v="39"/>
    <x v="4"/>
    <s v="BOLOGNESE"/>
    <n v="2000"/>
    <n v="26"/>
    <n v="52000"/>
    <m/>
  </r>
  <r>
    <x v="11"/>
    <s v="AUG"/>
    <x v="40"/>
    <s v="GRSM 4"/>
    <x v="0"/>
    <s v="GMM"/>
    <n v="103259"/>
    <n v="9006219"/>
    <x v="39"/>
    <x v="4"/>
    <s v="CARBONARA"/>
    <n v="2000"/>
    <n v="20"/>
    <n v="40000"/>
    <m/>
  </r>
  <r>
    <x v="11"/>
    <s v="AUG"/>
    <x v="40"/>
    <s v="GRSM 4"/>
    <x v="0"/>
    <s v="GMM"/>
    <n v="103259"/>
    <n v="9006219"/>
    <x v="39"/>
    <x v="4"/>
    <s v="AGLIO OLIO"/>
    <n v="2000"/>
    <n v="60"/>
    <n v="120000"/>
    <m/>
  </r>
  <r>
    <x v="11"/>
    <s v="AUG"/>
    <x v="40"/>
    <s v="GRSM 4"/>
    <x v="0"/>
    <s v="GMM"/>
    <n v="103259"/>
    <n v="9006219"/>
    <x v="39"/>
    <x v="4"/>
    <s v="GORENG"/>
    <n v="2000"/>
    <n v="107"/>
    <n v="214000"/>
    <n v="160"/>
  </r>
  <r>
    <x v="11"/>
    <s v="AUG"/>
    <x v="40"/>
    <s v="GRSM 4"/>
    <x v="0"/>
    <s v="GMM"/>
    <n v="103257"/>
    <n v="9162509"/>
    <x v="25"/>
    <x v="101"/>
    <s v="BOLOGNESE"/>
    <n v="3096"/>
    <n v="85"/>
    <n v="263160"/>
    <m/>
  </r>
  <r>
    <x v="11"/>
    <s v="AUG"/>
    <x v="40"/>
    <s v="GRSM 4"/>
    <x v="0"/>
    <s v="GMM"/>
    <n v="103257"/>
    <n v="9162509"/>
    <x v="25"/>
    <x v="101"/>
    <s v="CARBONARA"/>
    <n v="3096"/>
    <n v="92"/>
    <n v="284832"/>
    <m/>
  </r>
  <r>
    <x v="11"/>
    <s v="AUG"/>
    <x v="40"/>
    <s v="GRSM 4"/>
    <x v="0"/>
    <s v="GMM"/>
    <n v="103257"/>
    <n v="9162509"/>
    <x v="25"/>
    <x v="101"/>
    <s v="AGLIO OLIO"/>
    <n v="3096"/>
    <n v="0"/>
    <n v="0"/>
    <m/>
  </r>
  <r>
    <x v="11"/>
    <s v="AUG"/>
    <x v="40"/>
    <s v="GRSM 4"/>
    <x v="0"/>
    <s v="GMM"/>
    <n v="103257"/>
    <n v="9162509"/>
    <x v="25"/>
    <x v="101"/>
    <s v="GORENG"/>
    <n v="3096"/>
    <n v="0"/>
    <n v="0"/>
    <n v="160"/>
  </r>
  <r>
    <x v="11"/>
    <s v="AUG"/>
    <x v="40"/>
    <s v="GRSM 4"/>
    <x v="0"/>
    <s v="GMM"/>
    <n v="103259"/>
    <n v="9006219"/>
    <x v="39"/>
    <x v="100"/>
    <s v="BOLOGNESE"/>
    <n v="2000"/>
    <n v="26"/>
    <n v="52000"/>
    <m/>
  </r>
  <r>
    <x v="11"/>
    <s v="AUG"/>
    <x v="40"/>
    <s v="GRSM 4"/>
    <x v="0"/>
    <s v="GMM"/>
    <n v="103259"/>
    <n v="9006219"/>
    <x v="39"/>
    <x v="100"/>
    <s v="CARBONARA"/>
    <n v="2000"/>
    <n v="20"/>
    <n v="40000"/>
    <m/>
  </r>
  <r>
    <x v="11"/>
    <s v="AUG"/>
    <x v="40"/>
    <s v="GRSM 4"/>
    <x v="0"/>
    <s v="GMM"/>
    <n v="103259"/>
    <n v="9006219"/>
    <x v="39"/>
    <x v="100"/>
    <s v="AGLIO OLIO"/>
    <n v="2000"/>
    <n v="60"/>
    <n v="120000"/>
    <m/>
  </r>
  <r>
    <x v="11"/>
    <s v="AUG"/>
    <x v="40"/>
    <s v="GRSM 4"/>
    <x v="0"/>
    <s v="GMM"/>
    <n v="103259"/>
    <n v="9006219"/>
    <x v="39"/>
    <x v="100"/>
    <s v="GORENG"/>
    <n v="2000"/>
    <n v="107"/>
    <n v="214000"/>
    <n v="160"/>
  </r>
  <r>
    <x v="11"/>
    <s v="AUG"/>
    <x v="38"/>
    <s v="GRSM 1"/>
    <x v="3"/>
    <s v="MT"/>
    <n v="122506"/>
    <n v="214300"/>
    <x v="32"/>
    <x v="62"/>
    <s v="BOLOGNESE"/>
    <n v="7000"/>
    <n v="25"/>
    <n v="175000"/>
    <m/>
  </r>
  <r>
    <x v="11"/>
    <s v="AUG"/>
    <x v="38"/>
    <s v="GRSM 1"/>
    <x v="3"/>
    <s v="MT"/>
    <n v="122506"/>
    <n v="214300"/>
    <x v="32"/>
    <x v="62"/>
    <s v="CARBONARA"/>
    <n v="7000"/>
    <n v="35"/>
    <n v="245000"/>
    <m/>
  </r>
  <r>
    <x v="11"/>
    <s v="AUG"/>
    <x v="38"/>
    <s v="GRSM 1"/>
    <x v="3"/>
    <s v="MT"/>
    <n v="122506"/>
    <n v="214300"/>
    <x v="32"/>
    <x v="62"/>
    <s v="AGLIO OLIO"/>
    <n v="7000"/>
    <n v="25"/>
    <n v="175000"/>
    <m/>
  </r>
  <r>
    <x v="11"/>
    <s v="AUG"/>
    <x v="38"/>
    <s v="GRSM 1"/>
    <x v="3"/>
    <s v="MT"/>
    <n v="122506"/>
    <n v="214300"/>
    <x v="32"/>
    <x v="62"/>
    <s v="GORENG"/>
    <n v="7000"/>
    <n v="50"/>
    <n v="350000"/>
    <n v="160"/>
  </r>
  <r>
    <x v="11"/>
    <s v="AUG"/>
    <x v="38"/>
    <s v="GRSM 1"/>
    <x v="3"/>
    <s v="MT"/>
    <n v="122506"/>
    <n v="214300"/>
    <x v="32"/>
    <x v="63"/>
    <s v="BOLOGNESE"/>
    <n v="7000"/>
    <n v="25"/>
    <n v="175000"/>
    <m/>
  </r>
  <r>
    <x v="11"/>
    <s v="AUG"/>
    <x v="38"/>
    <s v="GRSM 1"/>
    <x v="3"/>
    <s v="MT"/>
    <n v="122506"/>
    <n v="214300"/>
    <x v="32"/>
    <x v="63"/>
    <s v="CARBONARA"/>
    <n v="7000"/>
    <n v="35"/>
    <n v="245000"/>
    <m/>
  </r>
  <r>
    <x v="11"/>
    <s v="AUG"/>
    <x v="38"/>
    <s v="GRSM 1"/>
    <x v="3"/>
    <s v="MT"/>
    <n v="122506"/>
    <n v="214300"/>
    <x v="32"/>
    <x v="63"/>
    <s v="AGLIO OLIO"/>
    <n v="7000"/>
    <n v="25"/>
    <n v="175000"/>
    <m/>
  </r>
  <r>
    <x v="11"/>
    <s v="AUG"/>
    <x v="38"/>
    <s v="GRSM 1"/>
    <x v="3"/>
    <s v="MT"/>
    <n v="122506"/>
    <n v="214300"/>
    <x v="32"/>
    <x v="63"/>
    <s v="GORENG"/>
    <n v="7000"/>
    <n v="50"/>
    <n v="350000"/>
    <n v="160"/>
  </r>
  <r>
    <x v="11"/>
    <s v="AUG"/>
    <x v="38"/>
    <s v="GRSM 1"/>
    <x v="3"/>
    <s v="MT"/>
    <n v="122506"/>
    <n v="202816"/>
    <x v="30"/>
    <x v="66"/>
    <s v="BOLOGNESE"/>
    <n v="7000"/>
    <n v="38"/>
    <n v="266000"/>
    <m/>
  </r>
  <r>
    <x v="11"/>
    <s v="AUG"/>
    <x v="38"/>
    <s v="GRSM 1"/>
    <x v="3"/>
    <s v="MT"/>
    <n v="122506"/>
    <n v="202816"/>
    <x v="30"/>
    <x v="66"/>
    <s v="CARBONARA"/>
    <n v="7000"/>
    <n v="22"/>
    <n v="154000"/>
    <m/>
  </r>
  <r>
    <x v="11"/>
    <s v="AUG"/>
    <x v="38"/>
    <s v="GRSM 1"/>
    <x v="3"/>
    <s v="MT"/>
    <n v="122506"/>
    <n v="202816"/>
    <x v="30"/>
    <x v="66"/>
    <s v="AGLIO OLIO"/>
    <n v="7000"/>
    <n v="31"/>
    <n v="217000"/>
    <m/>
  </r>
  <r>
    <x v="11"/>
    <s v="AUG"/>
    <x v="38"/>
    <s v="GRSM 1"/>
    <x v="3"/>
    <s v="MT"/>
    <n v="122506"/>
    <n v="202816"/>
    <x v="30"/>
    <x v="66"/>
    <s v="GORENG"/>
    <n v="7000"/>
    <n v="43"/>
    <n v="301000"/>
    <n v="160"/>
  </r>
  <r>
    <x v="11"/>
    <s v="AUG"/>
    <x v="38"/>
    <s v="GRSM 1"/>
    <x v="3"/>
    <s v="MT"/>
    <n v="122506"/>
    <n v="202816"/>
    <x v="30"/>
    <x v="67"/>
    <s v="BOLOGNESE"/>
    <n v="7000"/>
    <n v="38"/>
    <n v="266000"/>
    <m/>
  </r>
  <r>
    <x v="11"/>
    <s v="AUG"/>
    <x v="38"/>
    <s v="GRSM 1"/>
    <x v="3"/>
    <s v="MT"/>
    <n v="122506"/>
    <n v="202816"/>
    <x v="30"/>
    <x v="67"/>
    <s v="CARBONARA"/>
    <n v="7000"/>
    <n v="22"/>
    <n v="154000"/>
    <m/>
  </r>
  <r>
    <x v="11"/>
    <s v="AUG"/>
    <x v="38"/>
    <s v="GRSM 1"/>
    <x v="3"/>
    <s v="MT"/>
    <n v="122506"/>
    <n v="202816"/>
    <x v="30"/>
    <x v="67"/>
    <s v="AGLIO OLIO"/>
    <n v="7000"/>
    <n v="31"/>
    <n v="217000"/>
    <m/>
  </r>
  <r>
    <x v="11"/>
    <s v="AUG"/>
    <x v="38"/>
    <s v="GRSM 1"/>
    <x v="3"/>
    <s v="MT"/>
    <n v="122506"/>
    <n v="202816"/>
    <x v="30"/>
    <x v="67"/>
    <s v="GORENG"/>
    <n v="7000"/>
    <n v="43"/>
    <n v="301000"/>
    <n v="160"/>
  </r>
  <r>
    <x v="11"/>
    <s v="AUG"/>
    <x v="38"/>
    <s v="GRSM 1"/>
    <x v="3"/>
    <s v="MT"/>
    <n v="122506"/>
    <n v="214422"/>
    <x v="31"/>
    <x v="65"/>
    <s v="BOLOGNESE"/>
    <n v="3199"/>
    <n v="80"/>
    <n v="255920"/>
    <m/>
  </r>
  <r>
    <x v="11"/>
    <s v="AUG"/>
    <x v="38"/>
    <s v="GRSM 1"/>
    <x v="3"/>
    <s v="MT"/>
    <n v="122506"/>
    <n v="214422"/>
    <x v="31"/>
    <x v="65"/>
    <s v="CARBONARA"/>
    <n v="3199"/>
    <n v="46"/>
    <n v="147154"/>
    <m/>
  </r>
  <r>
    <x v="11"/>
    <s v="AUG"/>
    <x v="38"/>
    <s v="GRSM 1"/>
    <x v="3"/>
    <s v="MT"/>
    <n v="122506"/>
    <n v="214422"/>
    <x v="31"/>
    <x v="65"/>
    <s v="AGLIO OLIO"/>
    <n v="3199"/>
    <n v="38"/>
    <n v="121562"/>
    <m/>
  </r>
  <r>
    <x v="11"/>
    <s v="AUG"/>
    <x v="38"/>
    <s v="GRSM 1"/>
    <x v="3"/>
    <s v="MT"/>
    <n v="122506"/>
    <n v="214422"/>
    <x v="31"/>
    <x v="65"/>
    <s v="GORENG"/>
    <n v="3199"/>
    <n v="52"/>
    <n v="166348"/>
    <n v="160"/>
  </r>
  <r>
    <x v="11"/>
    <s v="AUG"/>
    <x v="38"/>
    <s v="GRSM 1"/>
    <x v="3"/>
    <s v="MT"/>
    <n v="122506"/>
    <n v="214422"/>
    <x v="31"/>
    <x v="64"/>
    <s v="BOLOGNESE"/>
    <n v="3199"/>
    <n v="80"/>
    <n v="255920"/>
    <m/>
  </r>
  <r>
    <x v="11"/>
    <s v="AUG"/>
    <x v="38"/>
    <s v="GRSM 1"/>
    <x v="3"/>
    <s v="MT"/>
    <n v="122506"/>
    <n v="214422"/>
    <x v="31"/>
    <x v="64"/>
    <s v="CARBONARA"/>
    <n v="3199"/>
    <n v="46"/>
    <n v="147154"/>
    <m/>
  </r>
  <r>
    <x v="11"/>
    <s v="AUG"/>
    <x v="38"/>
    <s v="GRSM 1"/>
    <x v="3"/>
    <s v="MT"/>
    <n v="122506"/>
    <n v="214422"/>
    <x v="31"/>
    <x v="64"/>
    <s v="AGLIO OLIO"/>
    <n v="3199"/>
    <n v="38"/>
    <n v="121562"/>
    <m/>
  </r>
  <r>
    <x v="11"/>
    <s v="AUG"/>
    <x v="38"/>
    <s v="GRSM 1"/>
    <x v="3"/>
    <s v="MT"/>
    <n v="122506"/>
    <n v="214422"/>
    <x v="31"/>
    <x v="64"/>
    <s v="GORENG"/>
    <n v="3199"/>
    <n v="52"/>
    <n v="166348"/>
    <n v="160"/>
  </r>
  <r>
    <x v="11"/>
    <s v="AUG"/>
    <x v="38"/>
    <s v="GRSM 1"/>
    <x v="3"/>
    <s v="MT"/>
    <n v="122506"/>
    <n v="202879"/>
    <x v="29"/>
    <x v="60"/>
    <s v="BOLOGNESE"/>
    <n v="6400"/>
    <n v="41"/>
    <n v="262400"/>
    <m/>
  </r>
  <r>
    <x v="11"/>
    <s v="AUG"/>
    <x v="38"/>
    <s v="GRSM 1"/>
    <x v="3"/>
    <s v="MT"/>
    <n v="122506"/>
    <n v="202879"/>
    <x v="29"/>
    <x v="60"/>
    <s v="CARBONARA"/>
    <n v="6400"/>
    <n v="43"/>
    <n v="275200"/>
    <m/>
  </r>
  <r>
    <x v="11"/>
    <s v="AUG"/>
    <x v="38"/>
    <s v="GRSM 1"/>
    <x v="3"/>
    <s v="MT"/>
    <n v="122506"/>
    <n v="202879"/>
    <x v="29"/>
    <x v="60"/>
    <s v="AGLIO OLIO"/>
    <n v="6400"/>
    <n v="17"/>
    <n v="108800"/>
    <m/>
  </r>
  <r>
    <x v="11"/>
    <s v="AUG"/>
    <x v="38"/>
    <s v="GRSM 1"/>
    <x v="3"/>
    <s v="MT"/>
    <n v="122506"/>
    <n v="202879"/>
    <x v="29"/>
    <x v="60"/>
    <s v="GORENG"/>
    <n v="6400"/>
    <n v="76"/>
    <n v="486400"/>
    <n v="160"/>
  </r>
  <r>
    <x v="11"/>
    <s v="AUG"/>
    <x v="38"/>
    <s v="GRSM 1"/>
    <x v="3"/>
    <s v="MT"/>
    <n v="122506"/>
    <n v="202879"/>
    <x v="29"/>
    <x v="61"/>
    <s v="BOLOGNESE"/>
    <n v="6400"/>
    <n v="41"/>
    <n v="262400"/>
    <m/>
  </r>
  <r>
    <x v="11"/>
    <s v="AUG"/>
    <x v="38"/>
    <s v="GRSM 1"/>
    <x v="3"/>
    <s v="MT"/>
    <n v="122506"/>
    <n v="202879"/>
    <x v="29"/>
    <x v="61"/>
    <s v="CARBONARA"/>
    <n v="6400"/>
    <n v="43"/>
    <n v="275200"/>
    <m/>
  </r>
  <r>
    <x v="11"/>
    <s v="AUG"/>
    <x v="38"/>
    <s v="GRSM 1"/>
    <x v="3"/>
    <s v="MT"/>
    <n v="122506"/>
    <n v="202879"/>
    <x v="29"/>
    <x v="61"/>
    <s v="AGLIO OLIO"/>
    <n v="6400"/>
    <n v="17"/>
    <n v="108800"/>
    <m/>
  </r>
  <r>
    <x v="11"/>
    <s v="AUG"/>
    <x v="38"/>
    <s v="GRSM 1"/>
    <x v="3"/>
    <s v="MT"/>
    <n v="122506"/>
    <n v="202879"/>
    <x v="29"/>
    <x v="61"/>
    <s v="GORENG"/>
    <n v="6400"/>
    <n v="76"/>
    <n v="486400"/>
    <n v="160"/>
  </r>
  <r>
    <x v="11"/>
    <s v="AUG"/>
    <x v="39"/>
    <s v="GRSM 1"/>
    <x v="3"/>
    <s v="MT"/>
    <n v="122506"/>
    <n v="214300"/>
    <x v="32"/>
    <x v="62"/>
    <s v="BOLOGNESE"/>
    <n v="7000"/>
    <n v="20"/>
    <n v="140000"/>
    <m/>
  </r>
  <r>
    <x v="11"/>
    <s v="AUG"/>
    <x v="39"/>
    <s v="GRSM 1"/>
    <x v="3"/>
    <s v="MT"/>
    <n v="122506"/>
    <n v="214300"/>
    <x v="32"/>
    <x v="62"/>
    <s v="CARBONARA"/>
    <n v="7000"/>
    <n v="38"/>
    <n v="266000"/>
    <m/>
  </r>
  <r>
    <x v="11"/>
    <s v="AUG"/>
    <x v="39"/>
    <s v="GRSM 1"/>
    <x v="3"/>
    <s v="MT"/>
    <n v="122506"/>
    <n v="214300"/>
    <x v="32"/>
    <x v="62"/>
    <s v="AGLIO OLIO"/>
    <n v="7000"/>
    <n v="25"/>
    <n v="175000"/>
    <m/>
  </r>
  <r>
    <x v="11"/>
    <s v="AUG"/>
    <x v="39"/>
    <s v="GRSM 1"/>
    <x v="3"/>
    <s v="MT"/>
    <n v="122506"/>
    <n v="214300"/>
    <x v="32"/>
    <x v="62"/>
    <s v="GORENG"/>
    <n v="7000"/>
    <n v="55"/>
    <n v="385000"/>
    <n v="160"/>
  </r>
  <r>
    <x v="11"/>
    <s v="AUG"/>
    <x v="39"/>
    <s v="GRSM 1"/>
    <x v="3"/>
    <s v="MT"/>
    <n v="122506"/>
    <n v="214300"/>
    <x v="32"/>
    <x v="63"/>
    <s v="BOLOGNESE"/>
    <n v="7000"/>
    <n v="20"/>
    <n v="140000"/>
    <m/>
  </r>
  <r>
    <x v="11"/>
    <s v="AUG"/>
    <x v="39"/>
    <s v="GRSM 1"/>
    <x v="3"/>
    <s v="MT"/>
    <n v="122506"/>
    <n v="214300"/>
    <x v="32"/>
    <x v="63"/>
    <s v="CARBONARA"/>
    <n v="7000"/>
    <n v="38"/>
    <n v="266000"/>
    <m/>
  </r>
  <r>
    <x v="11"/>
    <s v="AUG"/>
    <x v="39"/>
    <s v="GRSM 1"/>
    <x v="3"/>
    <s v="MT"/>
    <n v="122506"/>
    <n v="214300"/>
    <x v="32"/>
    <x v="63"/>
    <s v="AGLIO OLIO"/>
    <n v="7000"/>
    <n v="25"/>
    <n v="175000"/>
    <m/>
  </r>
  <r>
    <x v="11"/>
    <s v="AUG"/>
    <x v="39"/>
    <s v="GRSM 1"/>
    <x v="3"/>
    <s v="MT"/>
    <n v="122506"/>
    <n v="214300"/>
    <x v="32"/>
    <x v="63"/>
    <s v="GORENG"/>
    <n v="7000"/>
    <n v="55"/>
    <n v="385000"/>
    <n v="160"/>
  </r>
  <r>
    <x v="11"/>
    <s v="AUG"/>
    <x v="39"/>
    <s v="GRSM 1"/>
    <x v="3"/>
    <s v="MT"/>
    <n v="122506"/>
    <n v="202816"/>
    <x v="30"/>
    <x v="66"/>
    <s v="BOLOGNESE"/>
    <n v="7000"/>
    <n v="35"/>
    <n v="245000"/>
    <m/>
  </r>
  <r>
    <x v="11"/>
    <s v="AUG"/>
    <x v="39"/>
    <s v="GRSM 1"/>
    <x v="3"/>
    <s v="MT"/>
    <n v="122506"/>
    <n v="202816"/>
    <x v="30"/>
    <x v="66"/>
    <s v="CARBONARA"/>
    <n v="7000"/>
    <n v="41"/>
    <n v="287000"/>
    <m/>
  </r>
  <r>
    <x v="11"/>
    <s v="AUG"/>
    <x v="39"/>
    <s v="GRSM 1"/>
    <x v="3"/>
    <s v="MT"/>
    <n v="122506"/>
    <n v="202816"/>
    <x v="30"/>
    <x v="66"/>
    <s v="AGLIO OLIO"/>
    <n v="7000"/>
    <n v="17"/>
    <n v="119000"/>
    <m/>
  </r>
  <r>
    <x v="11"/>
    <s v="AUG"/>
    <x v="39"/>
    <s v="GRSM 1"/>
    <x v="3"/>
    <s v="MT"/>
    <n v="122506"/>
    <n v="202816"/>
    <x v="30"/>
    <x v="66"/>
    <s v="GORENG"/>
    <n v="7000"/>
    <n v="57"/>
    <n v="399000"/>
    <n v="160"/>
  </r>
  <r>
    <x v="11"/>
    <s v="AUG"/>
    <x v="39"/>
    <s v="GRSM 1"/>
    <x v="3"/>
    <s v="MT"/>
    <n v="122506"/>
    <n v="202816"/>
    <x v="30"/>
    <x v="67"/>
    <s v="BOLOGNESE"/>
    <n v="7000"/>
    <n v="35"/>
    <n v="245000"/>
    <m/>
  </r>
  <r>
    <x v="11"/>
    <s v="AUG"/>
    <x v="39"/>
    <s v="GRSM 1"/>
    <x v="3"/>
    <s v="MT"/>
    <n v="122506"/>
    <n v="202816"/>
    <x v="30"/>
    <x v="67"/>
    <s v="CARBONARA"/>
    <n v="7000"/>
    <n v="41"/>
    <n v="287000"/>
    <m/>
  </r>
  <r>
    <x v="11"/>
    <s v="AUG"/>
    <x v="39"/>
    <s v="GRSM 1"/>
    <x v="3"/>
    <s v="MT"/>
    <n v="122506"/>
    <n v="202816"/>
    <x v="30"/>
    <x v="67"/>
    <s v="AGLIO OLIO"/>
    <n v="7000"/>
    <n v="17"/>
    <n v="119000"/>
    <m/>
  </r>
  <r>
    <x v="11"/>
    <s v="AUG"/>
    <x v="39"/>
    <s v="GRSM 1"/>
    <x v="3"/>
    <s v="MT"/>
    <n v="122506"/>
    <n v="202816"/>
    <x v="30"/>
    <x v="67"/>
    <s v="GORENG"/>
    <n v="7000"/>
    <n v="57"/>
    <n v="399000"/>
    <n v="160"/>
  </r>
  <r>
    <x v="11"/>
    <s v="AUG"/>
    <x v="39"/>
    <s v="GRSM 1"/>
    <x v="3"/>
    <s v="MT"/>
    <n v="122506"/>
    <n v="202879"/>
    <x v="29"/>
    <x v="60"/>
    <s v="BOLOGNESE"/>
    <n v="6400"/>
    <n v="59"/>
    <n v="377600"/>
    <m/>
  </r>
  <r>
    <x v="11"/>
    <s v="AUG"/>
    <x v="39"/>
    <s v="GRSM 1"/>
    <x v="3"/>
    <s v="MT"/>
    <n v="122506"/>
    <n v="202879"/>
    <x v="29"/>
    <x v="60"/>
    <s v="CARBONARA"/>
    <n v="6400"/>
    <n v="59"/>
    <n v="377600"/>
    <m/>
  </r>
  <r>
    <x v="11"/>
    <s v="AUG"/>
    <x v="39"/>
    <s v="GRSM 1"/>
    <x v="3"/>
    <s v="MT"/>
    <n v="122506"/>
    <n v="202879"/>
    <x v="29"/>
    <x v="60"/>
    <s v="AGLIO OLIO"/>
    <n v="6400"/>
    <n v="24"/>
    <n v="153600"/>
    <m/>
  </r>
  <r>
    <x v="11"/>
    <s v="AUG"/>
    <x v="39"/>
    <s v="GRSM 1"/>
    <x v="3"/>
    <s v="MT"/>
    <n v="122506"/>
    <n v="202879"/>
    <x v="29"/>
    <x v="60"/>
    <s v="GORENG"/>
    <n v="6400"/>
    <n v="158"/>
    <n v="1011200"/>
    <n v="160"/>
  </r>
  <r>
    <x v="11"/>
    <s v="AUG"/>
    <x v="39"/>
    <s v="GRSM 1"/>
    <x v="3"/>
    <s v="MT"/>
    <n v="122506"/>
    <n v="202879"/>
    <x v="29"/>
    <x v="61"/>
    <s v="BOLOGNESE"/>
    <n v="6400"/>
    <n v="59"/>
    <n v="377600"/>
    <m/>
  </r>
  <r>
    <x v="11"/>
    <s v="AUG"/>
    <x v="39"/>
    <s v="GRSM 1"/>
    <x v="3"/>
    <s v="MT"/>
    <n v="122506"/>
    <n v="202879"/>
    <x v="29"/>
    <x v="61"/>
    <s v="CARBONARA"/>
    <n v="6400"/>
    <n v="59"/>
    <n v="377600"/>
    <m/>
  </r>
  <r>
    <x v="11"/>
    <s v="AUG"/>
    <x v="39"/>
    <s v="GRSM 1"/>
    <x v="3"/>
    <s v="MT"/>
    <n v="122506"/>
    <n v="202879"/>
    <x v="29"/>
    <x v="61"/>
    <s v="AGLIO OLIO"/>
    <n v="6400"/>
    <n v="24"/>
    <n v="153600"/>
    <m/>
  </r>
  <r>
    <x v="11"/>
    <s v="AUG"/>
    <x v="39"/>
    <s v="GRSM 1"/>
    <x v="3"/>
    <s v="MT"/>
    <n v="122506"/>
    <n v="202879"/>
    <x v="29"/>
    <x v="61"/>
    <s v="GORENG"/>
    <n v="6400"/>
    <n v="158"/>
    <n v="1011200"/>
    <n v="160"/>
  </r>
  <r>
    <x v="11"/>
    <s v="AUG"/>
    <x v="39"/>
    <s v="GRSM 1"/>
    <x v="3"/>
    <s v="MT"/>
    <n v="122506"/>
    <n v="214422"/>
    <x v="31"/>
    <x v="65"/>
    <s v="BOLOGNESE"/>
    <n v="3200"/>
    <n v="46"/>
    <n v="147200"/>
    <m/>
  </r>
  <r>
    <x v="11"/>
    <s v="AUG"/>
    <x v="39"/>
    <s v="GRSM 1"/>
    <x v="3"/>
    <s v="MT"/>
    <n v="122506"/>
    <n v="214422"/>
    <x v="31"/>
    <x v="65"/>
    <s v="CARBONARA"/>
    <n v="3200"/>
    <n v="98"/>
    <n v="313600"/>
    <m/>
  </r>
  <r>
    <x v="11"/>
    <s v="AUG"/>
    <x v="39"/>
    <s v="GRSM 1"/>
    <x v="3"/>
    <s v="MT"/>
    <n v="122506"/>
    <n v="214422"/>
    <x v="31"/>
    <x v="65"/>
    <s v="AGLIO OLIO"/>
    <n v="3200"/>
    <n v="76"/>
    <n v="243200"/>
    <m/>
  </r>
  <r>
    <x v="11"/>
    <s v="AUG"/>
    <x v="39"/>
    <s v="GRSM 1"/>
    <x v="3"/>
    <s v="MT"/>
    <n v="122506"/>
    <n v="214422"/>
    <x v="31"/>
    <x v="65"/>
    <s v="GORENG"/>
    <n v="3200"/>
    <n v="122"/>
    <n v="390400"/>
    <n v="160"/>
  </r>
  <r>
    <x v="11"/>
    <s v="AUG"/>
    <x v="39"/>
    <s v="GRSM 1"/>
    <x v="3"/>
    <s v="MT"/>
    <n v="122506"/>
    <n v="214422"/>
    <x v="31"/>
    <x v="64"/>
    <s v="BOLOGNESE"/>
    <n v="3200"/>
    <n v="46"/>
    <n v="147200"/>
    <m/>
  </r>
  <r>
    <x v="11"/>
    <s v="AUG"/>
    <x v="39"/>
    <s v="GRSM 1"/>
    <x v="3"/>
    <s v="MT"/>
    <n v="122506"/>
    <n v="214422"/>
    <x v="31"/>
    <x v="64"/>
    <s v="CARBONARA"/>
    <n v="3200"/>
    <n v="98"/>
    <n v="313600"/>
    <m/>
  </r>
  <r>
    <x v="11"/>
    <s v="AUG"/>
    <x v="39"/>
    <s v="GRSM 1"/>
    <x v="3"/>
    <s v="MT"/>
    <n v="122506"/>
    <n v="214422"/>
    <x v="31"/>
    <x v="64"/>
    <s v="AGLIO OLIO"/>
    <n v="3200"/>
    <n v="76"/>
    <n v="243200"/>
    <m/>
  </r>
  <r>
    <x v="11"/>
    <s v="AUG"/>
    <x v="39"/>
    <s v="GRSM 1"/>
    <x v="3"/>
    <s v="MT"/>
    <n v="122506"/>
    <n v="214422"/>
    <x v="31"/>
    <x v="64"/>
    <s v="GORENG"/>
    <n v="3200"/>
    <n v="122"/>
    <n v="390400"/>
    <n v="160"/>
  </r>
  <r>
    <x v="11"/>
    <s v="AUG"/>
    <x v="40"/>
    <s v="GRSM 1"/>
    <x v="3"/>
    <s v="MT"/>
    <n v="122506"/>
    <n v="202879"/>
    <x v="29"/>
    <x v="60"/>
    <s v="BOLOGNESE"/>
    <n v="6400"/>
    <n v="106"/>
    <n v="678400"/>
    <m/>
  </r>
  <r>
    <x v="11"/>
    <s v="AUG"/>
    <x v="40"/>
    <s v="GRSM 1"/>
    <x v="3"/>
    <s v="MT"/>
    <n v="122506"/>
    <n v="202879"/>
    <x v="29"/>
    <x v="60"/>
    <s v="CARBONARA"/>
    <n v="6400"/>
    <n v="89"/>
    <n v="569600"/>
    <m/>
  </r>
  <r>
    <x v="11"/>
    <s v="AUG"/>
    <x v="40"/>
    <s v="GRSM 1"/>
    <x v="3"/>
    <s v="MT"/>
    <n v="122506"/>
    <n v="202879"/>
    <x v="29"/>
    <x v="60"/>
    <s v="AGLIO OLIO"/>
    <n v="6400"/>
    <n v="34"/>
    <n v="217600"/>
    <m/>
  </r>
  <r>
    <x v="11"/>
    <s v="AUG"/>
    <x v="40"/>
    <s v="GRSM 1"/>
    <x v="3"/>
    <s v="MT"/>
    <n v="122506"/>
    <n v="202879"/>
    <x v="29"/>
    <x v="60"/>
    <s v="GORENG"/>
    <n v="6400"/>
    <n v="160"/>
    <n v="1024000"/>
    <n v="160"/>
  </r>
  <r>
    <x v="11"/>
    <s v="AUG"/>
    <x v="40"/>
    <s v="GRSM 1"/>
    <x v="3"/>
    <s v="MT"/>
    <n v="122506"/>
    <n v="202879"/>
    <x v="29"/>
    <x v="61"/>
    <s v="BOLOGNESE"/>
    <n v="6400"/>
    <n v="106"/>
    <n v="678400"/>
    <m/>
  </r>
  <r>
    <x v="11"/>
    <s v="AUG"/>
    <x v="40"/>
    <s v="GRSM 1"/>
    <x v="3"/>
    <s v="MT"/>
    <n v="122506"/>
    <n v="202879"/>
    <x v="29"/>
    <x v="61"/>
    <s v="CARBONARA"/>
    <n v="6400"/>
    <n v="89"/>
    <n v="569600"/>
    <m/>
  </r>
  <r>
    <x v="11"/>
    <s v="AUG"/>
    <x v="40"/>
    <s v="GRSM 1"/>
    <x v="3"/>
    <s v="MT"/>
    <n v="122506"/>
    <n v="202879"/>
    <x v="29"/>
    <x v="61"/>
    <s v="AGLIO OLIO"/>
    <n v="6400"/>
    <n v="34"/>
    <n v="217600"/>
    <m/>
  </r>
  <r>
    <x v="11"/>
    <s v="AUG"/>
    <x v="40"/>
    <s v="GRSM 1"/>
    <x v="3"/>
    <s v="MT"/>
    <n v="122506"/>
    <n v="202879"/>
    <x v="29"/>
    <x v="61"/>
    <s v="GORENG"/>
    <n v="6400"/>
    <n v="160"/>
    <n v="1024000"/>
    <n v="160"/>
  </r>
  <r>
    <x v="11"/>
    <s v="AUG"/>
    <x v="40"/>
    <s v="GRSM 1"/>
    <x v="3"/>
    <s v="MT"/>
    <n v="122506"/>
    <n v="202816"/>
    <x v="30"/>
    <x v="66"/>
    <s v="BOLOGNESE"/>
    <n v="7000"/>
    <n v="37"/>
    <n v="259000"/>
    <m/>
  </r>
  <r>
    <x v="11"/>
    <s v="AUG"/>
    <x v="40"/>
    <s v="GRSM 1"/>
    <x v="3"/>
    <s v="MT"/>
    <n v="122506"/>
    <n v="202816"/>
    <x v="30"/>
    <x v="66"/>
    <s v="CARBONARA"/>
    <n v="7000"/>
    <n v="47"/>
    <n v="329000"/>
    <m/>
  </r>
  <r>
    <x v="11"/>
    <s v="AUG"/>
    <x v="40"/>
    <s v="GRSM 1"/>
    <x v="3"/>
    <s v="MT"/>
    <n v="122506"/>
    <n v="202816"/>
    <x v="30"/>
    <x v="66"/>
    <s v="AGLIO OLIO"/>
    <n v="7000"/>
    <n v="20"/>
    <n v="140000"/>
    <m/>
  </r>
  <r>
    <x v="11"/>
    <s v="AUG"/>
    <x v="40"/>
    <s v="GRSM 1"/>
    <x v="3"/>
    <s v="MT"/>
    <n v="122506"/>
    <n v="202816"/>
    <x v="30"/>
    <x v="66"/>
    <s v="GORENG"/>
    <n v="7000"/>
    <n v="69"/>
    <n v="483000"/>
    <n v="160"/>
  </r>
  <r>
    <x v="11"/>
    <s v="AUG"/>
    <x v="40"/>
    <s v="GRSM 1"/>
    <x v="3"/>
    <s v="MT"/>
    <n v="122506"/>
    <n v="202816"/>
    <x v="30"/>
    <x v="67"/>
    <s v="BOLOGNESE"/>
    <n v="7000"/>
    <n v="37"/>
    <n v="259000"/>
    <m/>
  </r>
  <r>
    <x v="11"/>
    <s v="AUG"/>
    <x v="40"/>
    <s v="GRSM 1"/>
    <x v="3"/>
    <s v="MT"/>
    <n v="122506"/>
    <n v="202816"/>
    <x v="30"/>
    <x v="67"/>
    <s v="CARBONARA"/>
    <n v="7000"/>
    <n v="47"/>
    <n v="329000"/>
    <m/>
  </r>
  <r>
    <x v="11"/>
    <s v="AUG"/>
    <x v="40"/>
    <s v="GRSM 1"/>
    <x v="3"/>
    <s v="MT"/>
    <n v="122506"/>
    <n v="202816"/>
    <x v="30"/>
    <x v="67"/>
    <s v="AGLIO OLIO"/>
    <n v="7000"/>
    <n v="20"/>
    <n v="140000"/>
    <m/>
  </r>
  <r>
    <x v="11"/>
    <s v="AUG"/>
    <x v="40"/>
    <s v="GRSM 1"/>
    <x v="3"/>
    <s v="MT"/>
    <n v="122506"/>
    <n v="202816"/>
    <x v="30"/>
    <x v="67"/>
    <s v="GORENG"/>
    <n v="7000"/>
    <n v="69"/>
    <n v="483000"/>
    <n v="160"/>
  </r>
  <r>
    <x v="11"/>
    <s v="AUG"/>
    <x v="40"/>
    <s v="GRSM 1"/>
    <x v="3"/>
    <s v="MT"/>
    <n v="122506"/>
    <n v="214422"/>
    <x v="31"/>
    <x v="65"/>
    <s v="BOLOGNESE"/>
    <n v="3200"/>
    <n v="104"/>
    <n v="332800"/>
    <m/>
  </r>
  <r>
    <x v="11"/>
    <s v="AUG"/>
    <x v="40"/>
    <s v="GRSM 1"/>
    <x v="3"/>
    <s v="MT"/>
    <n v="122506"/>
    <n v="214422"/>
    <x v="31"/>
    <x v="65"/>
    <s v="CARBONARA"/>
    <n v="3200"/>
    <n v="96"/>
    <n v="307200"/>
    <m/>
  </r>
  <r>
    <x v="11"/>
    <s v="AUG"/>
    <x v="40"/>
    <s v="GRSM 1"/>
    <x v="3"/>
    <s v="MT"/>
    <n v="122506"/>
    <n v="214422"/>
    <x v="31"/>
    <x v="65"/>
    <s v="AGLIO OLIO"/>
    <n v="3200"/>
    <n v="74"/>
    <n v="236800"/>
    <m/>
  </r>
  <r>
    <x v="11"/>
    <s v="AUG"/>
    <x v="40"/>
    <s v="GRSM 1"/>
    <x v="3"/>
    <s v="MT"/>
    <n v="122506"/>
    <n v="214422"/>
    <x v="31"/>
    <x v="65"/>
    <s v="GORENG"/>
    <n v="3200"/>
    <n v="178"/>
    <n v="569600"/>
    <n v="160"/>
  </r>
  <r>
    <x v="11"/>
    <s v="AUG"/>
    <x v="40"/>
    <s v="GRSM 1"/>
    <x v="3"/>
    <s v="MT"/>
    <n v="122506"/>
    <n v="214422"/>
    <x v="31"/>
    <x v="64"/>
    <s v="BOLOGNESE"/>
    <n v="3200"/>
    <n v="104"/>
    <n v="332800"/>
    <m/>
  </r>
  <r>
    <x v="11"/>
    <s v="AUG"/>
    <x v="40"/>
    <s v="GRSM 1"/>
    <x v="3"/>
    <s v="MT"/>
    <n v="122506"/>
    <n v="214422"/>
    <x v="31"/>
    <x v="64"/>
    <s v="CARBONARA"/>
    <n v="3200"/>
    <n v="96"/>
    <n v="307200"/>
    <m/>
  </r>
  <r>
    <x v="11"/>
    <s v="AUG"/>
    <x v="40"/>
    <s v="GRSM 1"/>
    <x v="3"/>
    <s v="MT"/>
    <n v="122506"/>
    <n v="214422"/>
    <x v="31"/>
    <x v="64"/>
    <s v="AGLIO OLIO"/>
    <n v="3200"/>
    <n v="74"/>
    <n v="236800"/>
    <m/>
  </r>
  <r>
    <x v="11"/>
    <s v="AUG"/>
    <x v="40"/>
    <s v="GRSM 1"/>
    <x v="3"/>
    <s v="MT"/>
    <n v="122506"/>
    <n v="214422"/>
    <x v="31"/>
    <x v="64"/>
    <s v="GORENG"/>
    <n v="3200"/>
    <n v="178"/>
    <n v="569600"/>
    <n v="160"/>
  </r>
  <r>
    <x v="11"/>
    <s v="AUG"/>
    <x v="40"/>
    <s v="GRSM 1"/>
    <x v="3"/>
    <s v="MT"/>
    <n v="122506"/>
    <n v="214300"/>
    <x v="32"/>
    <x v="62"/>
    <s v="BOLOGNESE"/>
    <n v="7000"/>
    <n v="26"/>
    <n v="182000"/>
    <m/>
  </r>
  <r>
    <x v="11"/>
    <s v="AUG"/>
    <x v="40"/>
    <s v="GRSM 1"/>
    <x v="3"/>
    <s v="MT"/>
    <n v="122506"/>
    <n v="214300"/>
    <x v="32"/>
    <x v="62"/>
    <s v="CARBONARA"/>
    <n v="7000"/>
    <n v="42"/>
    <n v="294000"/>
    <m/>
  </r>
  <r>
    <x v="11"/>
    <s v="AUG"/>
    <x v="40"/>
    <s v="GRSM 1"/>
    <x v="3"/>
    <s v="MT"/>
    <n v="122506"/>
    <n v="214300"/>
    <x v="32"/>
    <x v="62"/>
    <s v="AGLIO OLIO"/>
    <n v="7000"/>
    <n v="30"/>
    <n v="210000"/>
    <m/>
  </r>
  <r>
    <x v="11"/>
    <s v="AUG"/>
    <x v="40"/>
    <s v="GRSM 1"/>
    <x v="3"/>
    <s v="MT"/>
    <n v="122506"/>
    <n v="214300"/>
    <x v="32"/>
    <x v="62"/>
    <s v="GORENG"/>
    <n v="7000"/>
    <n v="64"/>
    <n v="448000"/>
    <n v="160"/>
  </r>
  <r>
    <x v="11"/>
    <s v="AUG"/>
    <x v="40"/>
    <s v="GRSM 1"/>
    <x v="3"/>
    <s v="MT"/>
    <n v="122506"/>
    <n v="214300"/>
    <x v="32"/>
    <x v="63"/>
    <s v="BOLOGNESE"/>
    <n v="7000"/>
    <n v="26"/>
    <n v="182000"/>
    <m/>
  </r>
  <r>
    <x v="11"/>
    <s v="AUG"/>
    <x v="40"/>
    <s v="GRSM 1"/>
    <x v="3"/>
    <s v="MT"/>
    <n v="122506"/>
    <n v="214300"/>
    <x v="32"/>
    <x v="63"/>
    <s v="CARBONARA"/>
    <n v="7000"/>
    <n v="42"/>
    <n v="294000"/>
    <m/>
  </r>
  <r>
    <x v="11"/>
    <s v="AUG"/>
    <x v="40"/>
    <s v="GRSM 1"/>
    <x v="3"/>
    <s v="MT"/>
    <n v="122506"/>
    <n v="214300"/>
    <x v="32"/>
    <x v="63"/>
    <s v="AGLIO OLIO"/>
    <n v="7000"/>
    <n v="30"/>
    <n v="210000"/>
    <m/>
  </r>
  <r>
    <x v="11"/>
    <s v="AUG"/>
    <x v="40"/>
    <s v="GRSM 1"/>
    <x v="3"/>
    <s v="MT"/>
    <n v="122506"/>
    <n v="214300"/>
    <x v="32"/>
    <x v="63"/>
    <s v="GORENG"/>
    <n v="7000"/>
    <n v="64"/>
    <n v="448000"/>
    <n v="160"/>
  </r>
  <r>
    <x v="11"/>
    <s v="AUG"/>
    <x v="38"/>
    <s v="GRSM 5"/>
    <x v="1"/>
    <s v="GMM"/>
    <n v="103274"/>
    <n v="1301399"/>
    <x v="42"/>
    <x v="78"/>
    <s v="BOLOGNESE"/>
    <n v="3117"/>
    <n v="80"/>
    <n v="249360"/>
    <m/>
  </r>
  <r>
    <x v="11"/>
    <s v="AUG"/>
    <x v="38"/>
    <s v="GRSM 5"/>
    <x v="1"/>
    <s v="GMM"/>
    <n v="103274"/>
    <n v="1301399"/>
    <x v="42"/>
    <x v="78"/>
    <s v="CARBONARA"/>
    <n v="3117"/>
    <n v="80"/>
    <n v="249360"/>
    <m/>
  </r>
  <r>
    <x v="11"/>
    <s v="AUG"/>
    <x v="38"/>
    <s v="GRSM 5"/>
    <x v="1"/>
    <s v="GMM"/>
    <n v="103274"/>
    <n v="1301399"/>
    <x v="42"/>
    <x v="78"/>
    <s v="AGLIO OLIO"/>
    <n v="3117"/>
    <n v="8"/>
    <n v="24936"/>
    <m/>
  </r>
  <r>
    <x v="11"/>
    <s v="AUG"/>
    <x v="38"/>
    <s v="GRSM 5"/>
    <x v="1"/>
    <s v="GMM"/>
    <n v="103274"/>
    <n v="1301399"/>
    <x v="42"/>
    <x v="78"/>
    <s v="GORENG"/>
    <n v="3117"/>
    <n v="120"/>
    <n v="374040"/>
    <n v="160"/>
  </r>
  <r>
    <x v="11"/>
    <s v="AUG"/>
    <x v="38"/>
    <s v="GRSM 5"/>
    <x v="1"/>
    <s v="GMM"/>
    <n v="103274"/>
    <n v="1301399"/>
    <x v="42"/>
    <x v="79"/>
    <s v="BOLOGNESE"/>
    <n v="3117"/>
    <n v="80"/>
    <n v="249360"/>
    <m/>
  </r>
  <r>
    <x v="11"/>
    <s v="AUG"/>
    <x v="38"/>
    <s v="GRSM 5"/>
    <x v="1"/>
    <s v="GMM"/>
    <n v="103274"/>
    <n v="1301399"/>
    <x v="42"/>
    <x v="79"/>
    <s v="CARBONARA"/>
    <n v="3117"/>
    <n v="80"/>
    <n v="249360"/>
    <m/>
  </r>
  <r>
    <x v="11"/>
    <s v="AUG"/>
    <x v="38"/>
    <s v="GRSM 5"/>
    <x v="1"/>
    <s v="GMM"/>
    <n v="103274"/>
    <n v="1301399"/>
    <x v="42"/>
    <x v="79"/>
    <s v="AGLIO OLIO"/>
    <n v="3117"/>
    <n v="8"/>
    <n v="24936"/>
    <m/>
  </r>
  <r>
    <x v="11"/>
    <s v="AUG"/>
    <x v="38"/>
    <s v="GRSM 5"/>
    <x v="1"/>
    <s v="GMM"/>
    <n v="103274"/>
    <n v="1301399"/>
    <x v="42"/>
    <x v="79"/>
    <s v="GORENG"/>
    <n v="3117"/>
    <n v="120"/>
    <n v="374040"/>
    <n v="160"/>
  </r>
  <r>
    <x v="11"/>
    <s v="AUG"/>
    <x v="38"/>
    <s v="GRSM 5"/>
    <x v="1"/>
    <s v="GMM"/>
    <n v="211050"/>
    <n v="2910733"/>
    <x v="53"/>
    <x v="80"/>
    <s v="BOLOGNESE"/>
    <n v="3000"/>
    <n v="33"/>
    <n v="99000"/>
    <m/>
  </r>
  <r>
    <x v="11"/>
    <s v="AUG"/>
    <x v="38"/>
    <s v="GRSM 5"/>
    <x v="1"/>
    <s v="GMM"/>
    <n v="211050"/>
    <n v="2910733"/>
    <x v="53"/>
    <x v="80"/>
    <s v="CARBONARA"/>
    <n v="3000"/>
    <n v="39"/>
    <n v="117000"/>
    <m/>
  </r>
  <r>
    <x v="11"/>
    <s v="AUG"/>
    <x v="38"/>
    <s v="GRSM 5"/>
    <x v="1"/>
    <s v="GMM"/>
    <n v="211050"/>
    <n v="2910733"/>
    <x v="53"/>
    <x v="80"/>
    <s v="AGLIO OLIO"/>
    <n v="3000"/>
    <n v="24"/>
    <n v="72000"/>
    <m/>
  </r>
  <r>
    <x v="11"/>
    <s v="AUG"/>
    <x v="38"/>
    <s v="GRSM 5"/>
    <x v="1"/>
    <s v="GMM"/>
    <n v="211050"/>
    <n v="2910733"/>
    <x v="53"/>
    <x v="80"/>
    <s v="GORENG"/>
    <n v="3000"/>
    <n v="126"/>
    <n v="378000"/>
    <n v="160"/>
  </r>
  <r>
    <x v="11"/>
    <s v="AUG"/>
    <x v="38"/>
    <s v="GRSM 5"/>
    <x v="1"/>
    <s v="GMM"/>
    <n v="211050"/>
    <n v="2910733"/>
    <x v="53"/>
    <x v="81"/>
    <s v="BOLOGNESE"/>
    <n v="3000"/>
    <n v="33"/>
    <n v="99000"/>
    <m/>
  </r>
  <r>
    <x v="11"/>
    <s v="AUG"/>
    <x v="38"/>
    <s v="GRSM 5"/>
    <x v="1"/>
    <s v="GMM"/>
    <n v="211050"/>
    <n v="2910733"/>
    <x v="53"/>
    <x v="81"/>
    <s v="CARBONARA"/>
    <n v="3000"/>
    <n v="39"/>
    <n v="117000"/>
    <m/>
  </r>
  <r>
    <x v="11"/>
    <s v="AUG"/>
    <x v="38"/>
    <s v="GRSM 5"/>
    <x v="1"/>
    <s v="GMM"/>
    <n v="211050"/>
    <n v="2910733"/>
    <x v="53"/>
    <x v="81"/>
    <s v="AGLIO OLIO"/>
    <n v="3000"/>
    <n v="24"/>
    <n v="72000"/>
    <m/>
  </r>
  <r>
    <x v="11"/>
    <s v="AUG"/>
    <x v="38"/>
    <s v="GRSM 5"/>
    <x v="1"/>
    <s v="GMM"/>
    <n v="211050"/>
    <n v="2910733"/>
    <x v="53"/>
    <x v="81"/>
    <s v="GORENG"/>
    <n v="3000"/>
    <n v="126"/>
    <n v="378000"/>
    <n v="160"/>
  </r>
  <r>
    <x v="11"/>
    <s v="AUG"/>
    <x v="38"/>
    <s v="GRSM 5"/>
    <x v="1"/>
    <s v="GMM"/>
    <n v="211051"/>
    <n v="5580008"/>
    <x v="41"/>
    <x v="77"/>
    <s v="BOLOGNESE"/>
    <n v="2989"/>
    <n v="76"/>
    <n v="227164"/>
    <m/>
  </r>
  <r>
    <x v="11"/>
    <s v="AUG"/>
    <x v="38"/>
    <s v="GRSM 5"/>
    <x v="1"/>
    <s v="GMM"/>
    <n v="211051"/>
    <n v="5580008"/>
    <x v="41"/>
    <x v="77"/>
    <s v="CARBONARA"/>
    <n v="2989"/>
    <n v="112"/>
    <n v="334768"/>
    <m/>
  </r>
  <r>
    <x v="11"/>
    <s v="AUG"/>
    <x v="38"/>
    <s v="GRSM 5"/>
    <x v="1"/>
    <s v="GMM"/>
    <n v="211051"/>
    <n v="5580008"/>
    <x v="41"/>
    <x v="77"/>
    <s v="AGLIO OLIO"/>
    <n v="2989"/>
    <n v="18"/>
    <n v="53802"/>
    <m/>
  </r>
  <r>
    <x v="11"/>
    <s v="AUG"/>
    <x v="38"/>
    <s v="GRSM 5"/>
    <x v="1"/>
    <s v="GMM"/>
    <n v="211051"/>
    <n v="5580008"/>
    <x v="41"/>
    <x v="77"/>
    <s v="GORENG"/>
    <n v="2989"/>
    <n v="182"/>
    <n v="543998"/>
    <n v="160"/>
  </r>
  <r>
    <x v="11"/>
    <s v="AUG"/>
    <x v="38"/>
    <s v="GRSM 5"/>
    <x v="1"/>
    <s v="GMM"/>
    <n v="211051"/>
    <n v="5580008"/>
    <x v="41"/>
    <x v="102"/>
    <s v="BOLOGNESE"/>
    <n v="2989"/>
    <n v="76"/>
    <n v="227164"/>
    <m/>
  </r>
  <r>
    <x v="11"/>
    <s v="AUG"/>
    <x v="38"/>
    <s v="GRSM 5"/>
    <x v="1"/>
    <s v="GMM"/>
    <n v="211051"/>
    <n v="5580008"/>
    <x v="41"/>
    <x v="102"/>
    <s v="CARBONARA"/>
    <n v="2989"/>
    <n v="112"/>
    <n v="334768"/>
    <m/>
  </r>
  <r>
    <x v="11"/>
    <s v="AUG"/>
    <x v="38"/>
    <s v="GRSM 5"/>
    <x v="1"/>
    <s v="GMM"/>
    <n v="211051"/>
    <n v="5580008"/>
    <x v="41"/>
    <x v="102"/>
    <s v="AGLIO OLIO"/>
    <n v="2989"/>
    <n v="18"/>
    <n v="53802"/>
    <m/>
  </r>
  <r>
    <x v="11"/>
    <s v="AUG"/>
    <x v="38"/>
    <s v="GRSM 5"/>
    <x v="1"/>
    <s v="GMM"/>
    <n v="211051"/>
    <n v="5580008"/>
    <x v="41"/>
    <x v="102"/>
    <s v="GORENG"/>
    <n v="2989"/>
    <n v="182"/>
    <n v="543998"/>
    <n v="160"/>
  </r>
  <r>
    <x v="11"/>
    <s v="AUG"/>
    <x v="38"/>
    <s v="GRSM 5"/>
    <x v="1"/>
    <s v="GMM"/>
    <n v="0"/>
    <n v="0"/>
    <x v="54"/>
    <x v="103"/>
    <s v="BOLOGNESE"/>
    <n v="3200"/>
    <n v="0"/>
    <n v="0"/>
    <m/>
  </r>
  <r>
    <x v="11"/>
    <s v="AUG"/>
    <x v="38"/>
    <s v="GRSM 5"/>
    <x v="1"/>
    <s v="GMM"/>
    <n v="0"/>
    <n v="0"/>
    <x v="54"/>
    <x v="103"/>
    <s v="CARBONARA"/>
    <n v="3200"/>
    <n v="0"/>
    <n v="0"/>
    <m/>
  </r>
  <r>
    <x v="11"/>
    <s v="AUG"/>
    <x v="38"/>
    <s v="GRSM 5"/>
    <x v="1"/>
    <s v="GMM"/>
    <n v="0"/>
    <n v="0"/>
    <x v="54"/>
    <x v="103"/>
    <s v="AGLIO OLIO"/>
    <n v="3200"/>
    <n v="0"/>
    <n v="0"/>
    <m/>
  </r>
  <r>
    <x v="11"/>
    <s v="AUG"/>
    <x v="38"/>
    <s v="GRSM 5"/>
    <x v="1"/>
    <s v="GMM"/>
    <n v="0"/>
    <n v="0"/>
    <x v="54"/>
    <x v="103"/>
    <s v="GORENG"/>
    <n v="3200"/>
    <n v="72"/>
    <n v="230400"/>
    <n v="320"/>
  </r>
  <r>
    <x v="11"/>
    <s v="AUG"/>
    <x v="38"/>
    <s v="GRSM 5"/>
    <x v="1"/>
    <s v="GMM"/>
    <n v="0"/>
    <n v="0"/>
    <x v="54"/>
    <x v="104"/>
    <s v="BOLOGNESE"/>
    <n v="3200"/>
    <n v="0"/>
    <n v="0"/>
    <m/>
  </r>
  <r>
    <x v="11"/>
    <s v="AUG"/>
    <x v="38"/>
    <s v="GRSM 5"/>
    <x v="1"/>
    <s v="GMM"/>
    <n v="0"/>
    <n v="0"/>
    <x v="54"/>
    <x v="104"/>
    <s v="CARBONARA"/>
    <n v="3200"/>
    <n v="0"/>
    <n v="0"/>
    <m/>
  </r>
  <r>
    <x v="11"/>
    <s v="AUG"/>
    <x v="38"/>
    <s v="GRSM 5"/>
    <x v="1"/>
    <s v="GMM"/>
    <n v="0"/>
    <n v="0"/>
    <x v="54"/>
    <x v="104"/>
    <s v="AGLIO OLIO"/>
    <n v="3200"/>
    <n v="0"/>
    <n v="0"/>
    <m/>
  </r>
  <r>
    <x v="11"/>
    <s v="AUG"/>
    <x v="38"/>
    <s v="GRSM 5"/>
    <x v="1"/>
    <s v="GMM"/>
    <n v="0"/>
    <n v="0"/>
    <x v="54"/>
    <x v="104"/>
    <s v="GORENG"/>
    <n v="3200"/>
    <n v="72"/>
    <n v="230400"/>
    <n v="320"/>
  </r>
  <r>
    <x v="11"/>
    <s v="AUG"/>
    <x v="38"/>
    <s v="GRSM 5"/>
    <x v="1"/>
    <s v="GMM"/>
    <n v="211009"/>
    <n v="2100003"/>
    <x v="55"/>
    <x v="105"/>
    <s v="BOLOGNESE"/>
    <n v="2900"/>
    <n v="42"/>
    <n v="121800"/>
    <m/>
  </r>
  <r>
    <x v="11"/>
    <s v="AUG"/>
    <x v="38"/>
    <s v="GRSM 5"/>
    <x v="1"/>
    <s v="GMM"/>
    <n v="211009"/>
    <n v="2100003"/>
    <x v="55"/>
    <x v="105"/>
    <s v="CARBONARA"/>
    <n v="2900"/>
    <n v="68"/>
    <n v="197200"/>
    <m/>
  </r>
  <r>
    <x v="11"/>
    <s v="AUG"/>
    <x v="38"/>
    <s v="GRSM 5"/>
    <x v="1"/>
    <s v="GMM"/>
    <n v="211009"/>
    <n v="2100003"/>
    <x v="55"/>
    <x v="105"/>
    <s v="AGLIO OLIO"/>
    <n v="2900"/>
    <n v="32"/>
    <n v="92800"/>
    <m/>
  </r>
  <r>
    <x v="11"/>
    <s v="AUG"/>
    <x v="38"/>
    <s v="GRSM 5"/>
    <x v="1"/>
    <s v="GMM"/>
    <n v="211009"/>
    <n v="2100003"/>
    <x v="55"/>
    <x v="105"/>
    <s v="GORENG"/>
    <n v="2900"/>
    <n v="204"/>
    <n v="591600"/>
    <n v="160"/>
  </r>
  <r>
    <x v="11"/>
    <s v="AUG"/>
    <x v="38"/>
    <s v="GRSM 5"/>
    <x v="1"/>
    <s v="GMM"/>
    <n v="211009"/>
    <n v="2100003"/>
    <x v="55"/>
    <x v="106"/>
    <s v="BOLOGNESE"/>
    <n v="2900"/>
    <n v="42"/>
    <n v="121800"/>
    <m/>
  </r>
  <r>
    <x v="11"/>
    <s v="AUG"/>
    <x v="38"/>
    <s v="GRSM 5"/>
    <x v="1"/>
    <s v="GMM"/>
    <n v="211009"/>
    <n v="2100003"/>
    <x v="55"/>
    <x v="106"/>
    <s v="CARBONARA"/>
    <n v="2900"/>
    <n v="68"/>
    <n v="197200"/>
    <m/>
  </r>
  <r>
    <x v="11"/>
    <s v="AUG"/>
    <x v="38"/>
    <s v="GRSM 5"/>
    <x v="1"/>
    <s v="GMM"/>
    <n v="211009"/>
    <n v="2100003"/>
    <x v="55"/>
    <x v="106"/>
    <s v="AGLIO OLIO"/>
    <n v="2900"/>
    <n v="32"/>
    <n v="92800"/>
    <m/>
  </r>
  <r>
    <x v="11"/>
    <s v="AUG"/>
    <x v="38"/>
    <s v="GRSM 5"/>
    <x v="1"/>
    <s v="GMM"/>
    <n v="211009"/>
    <n v="2100003"/>
    <x v="55"/>
    <x v="106"/>
    <s v="GORENG"/>
    <n v="2900"/>
    <n v="204"/>
    <n v="591600"/>
    <n v="160"/>
  </r>
  <r>
    <x v="11"/>
    <s v="AUG"/>
    <x v="38"/>
    <s v="GRSM 5"/>
    <x v="1"/>
    <s v="GMM"/>
    <n v="103222"/>
    <n v="106437"/>
    <x v="44"/>
    <x v="82"/>
    <s v="BOLOGNESE"/>
    <n v="2990"/>
    <n v="157"/>
    <n v="469430"/>
    <m/>
  </r>
  <r>
    <x v="11"/>
    <s v="AUG"/>
    <x v="38"/>
    <s v="GRSM 5"/>
    <x v="1"/>
    <s v="GMM"/>
    <n v="103222"/>
    <n v="106437"/>
    <x v="44"/>
    <x v="82"/>
    <s v="CARBONARA"/>
    <n v="2990"/>
    <n v="160"/>
    <n v="478400"/>
    <m/>
  </r>
  <r>
    <x v="11"/>
    <s v="AUG"/>
    <x v="38"/>
    <s v="GRSM 5"/>
    <x v="1"/>
    <s v="GMM"/>
    <n v="103222"/>
    <n v="106437"/>
    <x v="44"/>
    <x v="82"/>
    <s v="AGLIO OLIO"/>
    <n v="2990"/>
    <n v="0"/>
    <n v="0"/>
    <m/>
  </r>
  <r>
    <x v="11"/>
    <s v="AUG"/>
    <x v="38"/>
    <s v="GRSM 5"/>
    <x v="1"/>
    <s v="GMM"/>
    <n v="103222"/>
    <n v="106437"/>
    <x v="44"/>
    <x v="82"/>
    <s v="GORENG"/>
    <n v="2990"/>
    <n v="20"/>
    <n v="59800"/>
    <n v="160"/>
  </r>
  <r>
    <x v="11"/>
    <s v="AUG"/>
    <x v="38"/>
    <s v="GRSM 5"/>
    <x v="1"/>
    <s v="GMM"/>
    <n v="103222"/>
    <n v="106437"/>
    <x v="44"/>
    <x v="107"/>
    <s v="BOLOGNESE"/>
    <n v="2990"/>
    <n v="157"/>
    <n v="469430"/>
    <m/>
  </r>
  <r>
    <x v="11"/>
    <s v="AUG"/>
    <x v="38"/>
    <s v="GRSM 5"/>
    <x v="1"/>
    <s v="GMM"/>
    <n v="103222"/>
    <n v="106437"/>
    <x v="44"/>
    <x v="107"/>
    <s v="CARBONARA"/>
    <n v="2990"/>
    <n v="160"/>
    <n v="478400"/>
    <m/>
  </r>
  <r>
    <x v="11"/>
    <s v="AUG"/>
    <x v="38"/>
    <s v="GRSM 5"/>
    <x v="1"/>
    <s v="GMM"/>
    <n v="103222"/>
    <n v="106437"/>
    <x v="44"/>
    <x v="107"/>
    <s v="AGLIO OLIO"/>
    <n v="2990"/>
    <n v="0"/>
    <n v="0"/>
    <m/>
  </r>
  <r>
    <x v="11"/>
    <s v="AUG"/>
    <x v="38"/>
    <s v="GRSM 5"/>
    <x v="1"/>
    <s v="GMM"/>
    <n v="103222"/>
    <n v="106437"/>
    <x v="44"/>
    <x v="107"/>
    <s v="GORENG"/>
    <n v="2990"/>
    <n v="20"/>
    <n v="59800"/>
    <n v="160"/>
  </r>
  <r>
    <x v="11"/>
    <s v="AUG"/>
    <x v="38"/>
    <s v="GRSM 5"/>
    <x v="1"/>
    <s v="MT"/>
    <n v="166102"/>
    <n v="9000058"/>
    <x v="56"/>
    <x v="108"/>
    <s v="BOLOGNESE"/>
    <n v="3169"/>
    <n v="100"/>
    <n v="316900"/>
    <m/>
  </r>
  <r>
    <x v="11"/>
    <s v="AUG"/>
    <x v="38"/>
    <s v="GRSM 5"/>
    <x v="1"/>
    <s v="MT"/>
    <n v="166102"/>
    <n v="9000058"/>
    <x v="56"/>
    <x v="108"/>
    <s v="CARBONARA"/>
    <n v="3169"/>
    <n v="60"/>
    <n v="190140"/>
    <m/>
  </r>
  <r>
    <x v="11"/>
    <s v="AUG"/>
    <x v="38"/>
    <s v="GRSM 5"/>
    <x v="1"/>
    <s v="MT"/>
    <n v="166102"/>
    <n v="9000058"/>
    <x v="56"/>
    <x v="108"/>
    <s v="AGLIO OLIO"/>
    <n v="3169"/>
    <n v="0"/>
    <n v="0"/>
    <m/>
  </r>
  <r>
    <x v="11"/>
    <s v="AUG"/>
    <x v="38"/>
    <s v="GRSM 5"/>
    <x v="1"/>
    <s v="MT"/>
    <n v="166102"/>
    <n v="9000058"/>
    <x v="56"/>
    <x v="108"/>
    <s v="GORENG"/>
    <n v="3169"/>
    <n v="105"/>
    <n v="332745"/>
    <n v="160"/>
  </r>
  <r>
    <x v="11"/>
    <s v="AUG"/>
    <x v="38"/>
    <s v="GRSM 5"/>
    <x v="1"/>
    <s v="MT"/>
    <n v="166102"/>
    <n v="9000058"/>
    <x v="56"/>
    <x v="109"/>
    <s v="BOLOGNESE"/>
    <n v="3169"/>
    <n v="100"/>
    <n v="316900"/>
    <m/>
  </r>
  <r>
    <x v="11"/>
    <s v="AUG"/>
    <x v="38"/>
    <s v="GRSM 5"/>
    <x v="1"/>
    <s v="MT"/>
    <n v="166102"/>
    <n v="9000058"/>
    <x v="56"/>
    <x v="109"/>
    <s v="CARBONARA"/>
    <n v="3169"/>
    <n v="60"/>
    <n v="190140"/>
    <m/>
  </r>
  <r>
    <x v="11"/>
    <s v="AUG"/>
    <x v="38"/>
    <s v="GRSM 5"/>
    <x v="1"/>
    <s v="MT"/>
    <n v="166102"/>
    <n v="9000058"/>
    <x v="56"/>
    <x v="109"/>
    <s v="AGLIO OLIO"/>
    <n v="3169"/>
    <n v="0"/>
    <n v="0"/>
    <m/>
  </r>
  <r>
    <x v="11"/>
    <s v="AUG"/>
    <x v="38"/>
    <s v="GRSM 5"/>
    <x v="1"/>
    <s v="MT"/>
    <n v="166102"/>
    <n v="9000058"/>
    <x v="56"/>
    <x v="109"/>
    <s v="GORENG"/>
    <n v="3169"/>
    <n v="105"/>
    <n v="332745"/>
    <n v="160"/>
  </r>
  <r>
    <x v="11"/>
    <s v="AUG"/>
    <x v="38"/>
    <s v="GRSM 5"/>
    <x v="1"/>
    <s v="GMM"/>
    <n v="0"/>
    <n v="0"/>
    <x v="57"/>
    <x v="110"/>
    <s v="BOLOGNESE"/>
    <n v="3"/>
    <n v="21"/>
    <n v="63"/>
    <m/>
  </r>
  <r>
    <x v="11"/>
    <s v="AUG"/>
    <x v="38"/>
    <s v="GRSM 5"/>
    <x v="1"/>
    <s v="GMM"/>
    <n v="0"/>
    <n v="0"/>
    <x v="57"/>
    <x v="110"/>
    <s v="CARBONARA"/>
    <n v="3"/>
    <n v="30"/>
    <n v="90"/>
    <m/>
  </r>
  <r>
    <x v="11"/>
    <s v="AUG"/>
    <x v="38"/>
    <s v="GRSM 5"/>
    <x v="1"/>
    <s v="GMM"/>
    <n v="0"/>
    <n v="0"/>
    <x v="57"/>
    <x v="110"/>
    <s v="AGLIO OLIO"/>
    <n v="3"/>
    <n v="0"/>
    <n v="0"/>
    <m/>
  </r>
  <r>
    <x v="11"/>
    <s v="AUG"/>
    <x v="38"/>
    <s v="GRSM 5"/>
    <x v="1"/>
    <s v="GMM"/>
    <n v="0"/>
    <n v="0"/>
    <x v="57"/>
    <x v="110"/>
    <s v="GORENG"/>
    <n v="3"/>
    <n v="17"/>
    <n v="51"/>
    <n v="160"/>
  </r>
  <r>
    <x v="11"/>
    <s v="AUG"/>
    <x v="38"/>
    <s v="GRSM 5"/>
    <x v="1"/>
    <s v="GMM"/>
    <n v="0"/>
    <n v="0"/>
    <x v="57"/>
    <x v="111"/>
    <s v="BOLOGNESE"/>
    <n v="3"/>
    <n v="21"/>
    <n v="63"/>
    <m/>
  </r>
  <r>
    <x v="11"/>
    <s v="AUG"/>
    <x v="38"/>
    <s v="GRSM 5"/>
    <x v="1"/>
    <s v="GMM"/>
    <n v="0"/>
    <n v="0"/>
    <x v="57"/>
    <x v="111"/>
    <s v="CARBONARA"/>
    <n v="3"/>
    <n v="30"/>
    <n v="90"/>
    <m/>
  </r>
  <r>
    <x v="11"/>
    <s v="AUG"/>
    <x v="38"/>
    <s v="GRSM 5"/>
    <x v="1"/>
    <s v="GMM"/>
    <n v="0"/>
    <n v="0"/>
    <x v="57"/>
    <x v="111"/>
    <s v="AGLIO OLIO"/>
    <n v="3"/>
    <n v="0"/>
    <n v="0"/>
    <m/>
  </r>
  <r>
    <x v="11"/>
    <s v="AUG"/>
    <x v="38"/>
    <s v="GRSM 5"/>
    <x v="1"/>
    <s v="GMM"/>
    <n v="0"/>
    <n v="0"/>
    <x v="57"/>
    <x v="111"/>
    <s v="GORENG"/>
    <n v="3"/>
    <n v="17"/>
    <n v="51"/>
    <n v="160"/>
  </r>
  <r>
    <x v="11"/>
    <s v="AUG"/>
    <x v="39"/>
    <s v="GRSM 5"/>
    <x v="1"/>
    <s v="GMM"/>
    <n v="103274"/>
    <n v="1301399"/>
    <x v="42"/>
    <x v="78"/>
    <s v="BOLOGNESE"/>
    <n v="3092"/>
    <n v="120"/>
    <n v="371040"/>
    <m/>
  </r>
  <r>
    <x v="11"/>
    <s v="AUG"/>
    <x v="39"/>
    <s v="GRSM 5"/>
    <x v="1"/>
    <s v="GMM"/>
    <n v="103274"/>
    <n v="1301399"/>
    <x v="42"/>
    <x v="78"/>
    <s v="CARBONARA"/>
    <n v="3092"/>
    <n v="40"/>
    <n v="123680"/>
    <m/>
  </r>
  <r>
    <x v="11"/>
    <s v="AUG"/>
    <x v="39"/>
    <s v="GRSM 5"/>
    <x v="1"/>
    <s v="GMM"/>
    <n v="103274"/>
    <n v="1301399"/>
    <x v="42"/>
    <x v="78"/>
    <s v="AGLIO OLIO"/>
    <n v="3092"/>
    <n v="10"/>
    <n v="30920"/>
    <m/>
  </r>
  <r>
    <x v="11"/>
    <s v="AUG"/>
    <x v="39"/>
    <s v="GRSM 5"/>
    <x v="1"/>
    <s v="GMM"/>
    <n v="103274"/>
    <n v="1301399"/>
    <x v="42"/>
    <x v="78"/>
    <s v="GORENG"/>
    <n v="3092"/>
    <n v="200"/>
    <n v="618400"/>
    <n v="160"/>
  </r>
  <r>
    <x v="11"/>
    <s v="AUG"/>
    <x v="39"/>
    <s v="GRSM 5"/>
    <x v="1"/>
    <s v="GMM"/>
    <n v="103274"/>
    <n v="1301399"/>
    <x v="42"/>
    <x v="79"/>
    <s v="BOLOGNESE"/>
    <n v="3092"/>
    <n v="120"/>
    <n v="371040"/>
    <m/>
  </r>
  <r>
    <x v="11"/>
    <s v="AUG"/>
    <x v="39"/>
    <s v="GRSM 5"/>
    <x v="1"/>
    <s v="GMM"/>
    <n v="103274"/>
    <n v="1301399"/>
    <x v="42"/>
    <x v="79"/>
    <s v="CARBONARA"/>
    <n v="3092"/>
    <n v="40"/>
    <n v="123680"/>
    <m/>
  </r>
  <r>
    <x v="11"/>
    <s v="AUG"/>
    <x v="39"/>
    <s v="GRSM 5"/>
    <x v="1"/>
    <s v="GMM"/>
    <n v="103274"/>
    <n v="1301399"/>
    <x v="42"/>
    <x v="79"/>
    <s v="AGLIO OLIO"/>
    <n v="3092"/>
    <n v="10"/>
    <n v="30920"/>
    <m/>
  </r>
  <r>
    <x v="11"/>
    <s v="AUG"/>
    <x v="39"/>
    <s v="GRSM 5"/>
    <x v="1"/>
    <s v="GMM"/>
    <n v="103274"/>
    <n v="1301399"/>
    <x v="42"/>
    <x v="79"/>
    <s v="GORENG"/>
    <n v="3092"/>
    <n v="200"/>
    <n v="618400"/>
    <n v="160"/>
  </r>
  <r>
    <x v="11"/>
    <s v="AUG"/>
    <x v="39"/>
    <s v="GRSM 5"/>
    <x v="1"/>
    <s v="GMM"/>
    <n v="211050"/>
    <n v="2910733"/>
    <x v="53"/>
    <x v="80"/>
    <s v="BOLOGNESE"/>
    <n v="3000"/>
    <n v="204"/>
    <n v="612000"/>
    <m/>
  </r>
  <r>
    <x v="11"/>
    <s v="AUG"/>
    <x v="39"/>
    <s v="GRSM 5"/>
    <x v="1"/>
    <s v="GMM"/>
    <n v="211050"/>
    <n v="2910733"/>
    <x v="53"/>
    <x v="80"/>
    <s v="CARBONARA"/>
    <n v="3000"/>
    <n v="12"/>
    <n v="36000"/>
    <m/>
  </r>
  <r>
    <x v="11"/>
    <s v="AUG"/>
    <x v="39"/>
    <s v="GRSM 5"/>
    <x v="1"/>
    <s v="GMM"/>
    <n v="211050"/>
    <n v="2910733"/>
    <x v="53"/>
    <x v="80"/>
    <s v="AGLIO OLIO"/>
    <n v="3000"/>
    <n v="42"/>
    <n v="126000"/>
    <m/>
  </r>
  <r>
    <x v="11"/>
    <s v="AUG"/>
    <x v="39"/>
    <s v="GRSM 5"/>
    <x v="1"/>
    <s v="GMM"/>
    <n v="211050"/>
    <n v="2910733"/>
    <x v="53"/>
    <x v="80"/>
    <s v="GORENG"/>
    <n v="3000"/>
    <n v="228"/>
    <n v="684000"/>
    <n v="160"/>
  </r>
  <r>
    <x v="11"/>
    <s v="AUG"/>
    <x v="39"/>
    <s v="GRSM 5"/>
    <x v="1"/>
    <s v="GMM"/>
    <n v="211050"/>
    <n v="2910733"/>
    <x v="53"/>
    <x v="81"/>
    <s v="BOLOGNESE"/>
    <n v="3000"/>
    <n v="204"/>
    <n v="612000"/>
    <m/>
  </r>
  <r>
    <x v="11"/>
    <s v="AUG"/>
    <x v="39"/>
    <s v="GRSM 5"/>
    <x v="1"/>
    <s v="GMM"/>
    <n v="211050"/>
    <n v="2910733"/>
    <x v="53"/>
    <x v="81"/>
    <s v="CARBONARA"/>
    <n v="3000"/>
    <n v="12"/>
    <n v="36000"/>
    <m/>
  </r>
  <r>
    <x v="11"/>
    <s v="AUG"/>
    <x v="39"/>
    <s v="GRSM 5"/>
    <x v="1"/>
    <s v="GMM"/>
    <n v="211050"/>
    <n v="2910733"/>
    <x v="53"/>
    <x v="81"/>
    <s v="AGLIO OLIO"/>
    <n v="3000"/>
    <n v="42"/>
    <n v="126000"/>
    <m/>
  </r>
  <r>
    <x v="11"/>
    <s v="AUG"/>
    <x v="39"/>
    <s v="GRSM 5"/>
    <x v="1"/>
    <s v="GMM"/>
    <n v="211050"/>
    <n v="2910733"/>
    <x v="53"/>
    <x v="81"/>
    <s v="GORENG"/>
    <n v="3000"/>
    <n v="228"/>
    <n v="684000"/>
    <n v="160"/>
  </r>
  <r>
    <x v="11"/>
    <s v="AUG"/>
    <x v="39"/>
    <s v="GRSM 5"/>
    <x v="1"/>
    <s v="GMM"/>
    <n v="0"/>
    <n v="0"/>
    <x v="54"/>
    <x v="103"/>
    <s v="BOLOGNESE"/>
    <n v="3200"/>
    <n v="42"/>
    <n v="134400"/>
    <m/>
  </r>
  <r>
    <x v="11"/>
    <s v="AUG"/>
    <x v="39"/>
    <s v="GRSM 5"/>
    <x v="1"/>
    <s v="GMM"/>
    <n v="0"/>
    <n v="0"/>
    <x v="54"/>
    <x v="103"/>
    <s v="CARBONARA"/>
    <n v="3200"/>
    <n v="28"/>
    <n v="89600"/>
    <m/>
  </r>
  <r>
    <x v="11"/>
    <s v="AUG"/>
    <x v="39"/>
    <s v="GRSM 5"/>
    <x v="1"/>
    <s v="GMM"/>
    <n v="0"/>
    <n v="0"/>
    <x v="54"/>
    <x v="103"/>
    <s v="AGLIO OLIO"/>
    <n v="3200"/>
    <n v="32"/>
    <n v="102400"/>
    <m/>
  </r>
  <r>
    <x v="11"/>
    <s v="AUG"/>
    <x v="39"/>
    <s v="GRSM 5"/>
    <x v="1"/>
    <s v="GMM"/>
    <n v="0"/>
    <n v="0"/>
    <x v="54"/>
    <x v="103"/>
    <s v="GORENG"/>
    <n v="3200"/>
    <n v="96"/>
    <n v="307200"/>
    <n v="160"/>
  </r>
  <r>
    <x v="11"/>
    <s v="AUG"/>
    <x v="39"/>
    <s v="GRSM 5"/>
    <x v="1"/>
    <s v="GMM"/>
    <n v="0"/>
    <n v="0"/>
    <x v="54"/>
    <x v="104"/>
    <s v="BOLOGNESE"/>
    <n v="3200"/>
    <n v="42"/>
    <n v="134400"/>
    <m/>
  </r>
  <r>
    <x v="11"/>
    <s v="AUG"/>
    <x v="39"/>
    <s v="GRSM 5"/>
    <x v="1"/>
    <s v="GMM"/>
    <n v="0"/>
    <n v="0"/>
    <x v="54"/>
    <x v="104"/>
    <s v="CARBONARA"/>
    <n v="3200"/>
    <n v="28"/>
    <n v="89600"/>
    <m/>
  </r>
  <r>
    <x v="11"/>
    <s v="AUG"/>
    <x v="39"/>
    <s v="GRSM 5"/>
    <x v="1"/>
    <s v="GMM"/>
    <n v="0"/>
    <n v="0"/>
    <x v="54"/>
    <x v="104"/>
    <s v="AGLIO OLIO"/>
    <n v="3200"/>
    <n v="32"/>
    <n v="102400"/>
    <m/>
  </r>
  <r>
    <x v="11"/>
    <s v="AUG"/>
    <x v="39"/>
    <s v="GRSM 5"/>
    <x v="1"/>
    <s v="GMM"/>
    <n v="0"/>
    <n v="0"/>
    <x v="54"/>
    <x v="104"/>
    <s v="GORENG"/>
    <n v="3200"/>
    <n v="96"/>
    <n v="307200"/>
    <n v="160"/>
  </r>
  <r>
    <x v="11"/>
    <s v="AUG"/>
    <x v="39"/>
    <s v="GRSM 5"/>
    <x v="1"/>
    <s v="MT"/>
    <n v="166102"/>
    <n v="9000058"/>
    <x v="56"/>
    <x v="108"/>
    <s v="BOLOGNESE"/>
    <n v="3194"/>
    <n v="100"/>
    <n v="319400"/>
    <m/>
  </r>
  <r>
    <x v="11"/>
    <s v="AUG"/>
    <x v="39"/>
    <s v="GRSM 5"/>
    <x v="1"/>
    <s v="MT"/>
    <n v="166102"/>
    <n v="9000058"/>
    <x v="56"/>
    <x v="108"/>
    <s v="CARBONARA"/>
    <n v="3194"/>
    <n v="95"/>
    <n v="303430"/>
    <m/>
  </r>
  <r>
    <x v="11"/>
    <s v="AUG"/>
    <x v="39"/>
    <s v="GRSM 5"/>
    <x v="1"/>
    <s v="MT"/>
    <n v="166102"/>
    <n v="9000058"/>
    <x v="56"/>
    <x v="108"/>
    <s v="AGLIO OLIO"/>
    <n v="3194"/>
    <n v="0"/>
    <n v="0"/>
    <m/>
  </r>
  <r>
    <x v="11"/>
    <s v="AUG"/>
    <x v="39"/>
    <s v="GRSM 5"/>
    <x v="1"/>
    <s v="MT"/>
    <n v="166102"/>
    <n v="9000058"/>
    <x v="56"/>
    <x v="108"/>
    <s v="GORENG"/>
    <n v="3194"/>
    <n v="100"/>
    <n v="319400"/>
    <n v="160"/>
  </r>
  <r>
    <x v="11"/>
    <s v="AUG"/>
    <x v="39"/>
    <s v="GRSM 5"/>
    <x v="1"/>
    <s v="MT"/>
    <n v="166102"/>
    <n v="9000058"/>
    <x v="56"/>
    <x v="109"/>
    <s v="BOLOGNESE"/>
    <n v="3194"/>
    <n v="100"/>
    <n v="319400"/>
    <m/>
  </r>
  <r>
    <x v="11"/>
    <s v="AUG"/>
    <x v="39"/>
    <s v="GRSM 5"/>
    <x v="1"/>
    <s v="MT"/>
    <n v="166102"/>
    <n v="9000058"/>
    <x v="56"/>
    <x v="109"/>
    <s v="CARBONARA"/>
    <n v="3194"/>
    <n v="95"/>
    <n v="303430"/>
    <m/>
  </r>
  <r>
    <x v="11"/>
    <s v="AUG"/>
    <x v="39"/>
    <s v="GRSM 5"/>
    <x v="1"/>
    <s v="MT"/>
    <n v="166102"/>
    <n v="9000058"/>
    <x v="56"/>
    <x v="109"/>
    <s v="AGLIO OLIO"/>
    <n v="3194"/>
    <n v="0"/>
    <n v="0"/>
    <m/>
  </r>
  <r>
    <x v="11"/>
    <s v="AUG"/>
    <x v="39"/>
    <s v="GRSM 5"/>
    <x v="1"/>
    <s v="MT"/>
    <n v="166102"/>
    <n v="9000058"/>
    <x v="56"/>
    <x v="109"/>
    <s v="GORENG"/>
    <n v="3194"/>
    <n v="100"/>
    <n v="319400"/>
    <n v="160"/>
  </r>
  <r>
    <x v="11"/>
    <s v="AUG"/>
    <x v="39"/>
    <s v="GRSM 5"/>
    <x v="1"/>
    <s v="GMM"/>
    <n v="103222"/>
    <n v="106437"/>
    <x v="44"/>
    <x v="82"/>
    <s v="BOLOGNESE"/>
    <n v="2990"/>
    <n v="170"/>
    <n v="508300"/>
    <m/>
  </r>
  <r>
    <x v="11"/>
    <s v="AUG"/>
    <x v="39"/>
    <s v="GRSM 5"/>
    <x v="1"/>
    <s v="GMM"/>
    <n v="103222"/>
    <n v="106437"/>
    <x v="44"/>
    <x v="82"/>
    <s v="CARBONARA"/>
    <n v="2990"/>
    <n v="169"/>
    <n v="505310"/>
    <m/>
  </r>
  <r>
    <x v="11"/>
    <s v="AUG"/>
    <x v="39"/>
    <s v="GRSM 5"/>
    <x v="1"/>
    <s v="GMM"/>
    <n v="103222"/>
    <n v="106437"/>
    <x v="44"/>
    <x v="82"/>
    <s v="AGLIO OLIO"/>
    <n v="2990"/>
    <n v="0"/>
    <n v="0"/>
    <m/>
  </r>
  <r>
    <x v="11"/>
    <s v="AUG"/>
    <x v="39"/>
    <s v="GRSM 5"/>
    <x v="1"/>
    <s v="GMM"/>
    <n v="103222"/>
    <n v="106437"/>
    <x v="44"/>
    <x v="82"/>
    <s v="GORENG"/>
    <n v="2990"/>
    <n v="0"/>
    <n v="0"/>
    <n v="160"/>
  </r>
  <r>
    <x v="11"/>
    <s v="AUG"/>
    <x v="39"/>
    <s v="GRSM 5"/>
    <x v="1"/>
    <s v="GMM"/>
    <n v="103222"/>
    <n v="106437"/>
    <x v="44"/>
    <x v="83"/>
    <s v="BOLOGNESE"/>
    <n v="2990"/>
    <n v="170"/>
    <n v="508300"/>
    <m/>
  </r>
  <r>
    <x v="11"/>
    <s v="AUG"/>
    <x v="39"/>
    <s v="GRSM 5"/>
    <x v="1"/>
    <s v="GMM"/>
    <n v="103222"/>
    <n v="106437"/>
    <x v="44"/>
    <x v="83"/>
    <s v="CARBONARA"/>
    <n v="2990"/>
    <n v="169"/>
    <n v="505310"/>
    <m/>
  </r>
  <r>
    <x v="11"/>
    <s v="AUG"/>
    <x v="39"/>
    <s v="GRSM 5"/>
    <x v="1"/>
    <s v="GMM"/>
    <n v="103222"/>
    <n v="106437"/>
    <x v="44"/>
    <x v="83"/>
    <s v="AGLIO OLIO"/>
    <n v="2990"/>
    <n v="0"/>
    <n v="0"/>
    <m/>
  </r>
  <r>
    <x v="11"/>
    <s v="AUG"/>
    <x v="39"/>
    <s v="GRSM 5"/>
    <x v="1"/>
    <s v="GMM"/>
    <n v="103222"/>
    <n v="106437"/>
    <x v="44"/>
    <x v="83"/>
    <s v="GORENG"/>
    <n v="2990"/>
    <n v="0"/>
    <n v="0"/>
    <n v="160"/>
  </r>
  <r>
    <x v="11"/>
    <s v="AUG"/>
    <x v="39"/>
    <s v="GRSM 5"/>
    <x v="1"/>
    <s v="GMM"/>
    <n v="211051"/>
    <n v="5580008"/>
    <x v="41"/>
    <x v="77"/>
    <s v="BOLOGNESE"/>
    <n v="2981"/>
    <n v="114"/>
    <n v="339834"/>
    <m/>
  </r>
  <r>
    <x v="11"/>
    <s v="AUG"/>
    <x v="39"/>
    <s v="GRSM 5"/>
    <x v="1"/>
    <s v="GMM"/>
    <n v="211051"/>
    <n v="5580008"/>
    <x v="41"/>
    <x v="77"/>
    <s v="CARBONARA"/>
    <n v="2981"/>
    <n v="112"/>
    <n v="333872"/>
    <m/>
  </r>
  <r>
    <x v="11"/>
    <s v="AUG"/>
    <x v="39"/>
    <s v="GRSM 5"/>
    <x v="1"/>
    <s v="GMM"/>
    <n v="211051"/>
    <n v="5580008"/>
    <x v="41"/>
    <x v="77"/>
    <s v="AGLIO OLIO"/>
    <n v="2981"/>
    <n v="84"/>
    <n v="250404"/>
    <m/>
  </r>
  <r>
    <x v="11"/>
    <s v="AUG"/>
    <x v="39"/>
    <s v="GRSM 5"/>
    <x v="1"/>
    <s v="GMM"/>
    <n v="211051"/>
    <n v="5580008"/>
    <x v="41"/>
    <x v="77"/>
    <s v="GORENG"/>
    <n v="2981"/>
    <n v="228"/>
    <n v="679668"/>
    <n v="160"/>
  </r>
  <r>
    <x v="11"/>
    <s v="AUG"/>
    <x v="39"/>
    <s v="GRSM 5"/>
    <x v="1"/>
    <s v="GMM"/>
    <n v="211051"/>
    <n v="5580008"/>
    <x v="41"/>
    <x v="76"/>
    <s v="BOLOGNESE"/>
    <n v="2981"/>
    <n v="114"/>
    <n v="339834"/>
    <m/>
  </r>
  <r>
    <x v="11"/>
    <s v="AUG"/>
    <x v="39"/>
    <s v="GRSM 5"/>
    <x v="1"/>
    <s v="GMM"/>
    <n v="211051"/>
    <n v="5580008"/>
    <x v="41"/>
    <x v="76"/>
    <s v="CARBONARA"/>
    <n v="2981"/>
    <n v="112"/>
    <n v="333872"/>
    <m/>
  </r>
  <r>
    <x v="11"/>
    <s v="AUG"/>
    <x v="39"/>
    <s v="GRSM 5"/>
    <x v="1"/>
    <s v="GMM"/>
    <n v="211051"/>
    <n v="5580008"/>
    <x v="41"/>
    <x v="76"/>
    <s v="AGLIO OLIO"/>
    <n v="2981"/>
    <n v="84"/>
    <n v="250404"/>
    <m/>
  </r>
  <r>
    <x v="11"/>
    <s v="AUG"/>
    <x v="39"/>
    <s v="GRSM 5"/>
    <x v="1"/>
    <s v="GMM"/>
    <n v="211051"/>
    <n v="5580008"/>
    <x v="41"/>
    <x v="76"/>
    <s v="GORENG"/>
    <n v="2981"/>
    <n v="228"/>
    <n v="679668"/>
    <n v="160"/>
  </r>
  <r>
    <x v="11"/>
    <s v="AUG"/>
    <x v="39"/>
    <s v="GRSM 5"/>
    <x v="1"/>
    <s v="GMM"/>
    <n v="0"/>
    <n v="0"/>
    <x v="57"/>
    <x v="110"/>
    <s v="BOLOGNESE"/>
    <n v="3919"/>
    <n v="60"/>
    <n v="235140"/>
    <m/>
  </r>
  <r>
    <x v="11"/>
    <s v="AUG"/>
    <x v="39"/>
    <s v="GRSM 5"/>
    <x v="1"/>
    <s v="GMM"/>
    <n v="0"/>
    <n v="0"/>
    <x v="57"/>
    <x v="110"/>
    <s v="CARBONARA"/>
    <n v="3919"/>
    <n v="60"/>
    <n v="235140"/>
    <m/>
  </r>
  <r>
    <x v="11"/>
    <s v="AUG"/>
    <x v="39"/>
    <s v="GRSM 5"/>
    <x v="1"/>
    <s v="GMM"/>
    <n v="0"/>
    <n v="0"/>
    <x v="57"/>
    <x v="110"/>
    <s v="AGLIO OLIO"/>
    <n v="3919"/>
    <n v="0"/>
    <n v="0"/>
    <m/>
  </r>
  <r>
    <x v="11"/>
    <s v="AUG"/>
    <x v="39"/>
    <s v="GRSM 5"/>
    <x v="1"/>
    <s v="GMM"/>
    <n v="0"/>
    <n v="0"/>
    <x v="57"/>
    <x v="110"/>
    <s v="GORENG"/>
    <n v="3919"/>
    <n v="90"/>
    <n v="352710"/>
    <n v="160"/>
  </r>
  <r>
    <x v="11"/>
    <s v="AUG"/>
    <x v="39"/>
    <s v="GRSM 5"/>
    <x v="1"/>
    <s v="GMM"/>
    <n v="0"/>
    <n v="0"/>
    <x v="57"/>
    <x v="111"/>
    <s v="BOLOGNESE"/>
    <n v="3919"/>
    <n v="60"/>
    <n v="235140"/>
    <m/>
  </r>
  <r>
    <x v="11"/>
    <s v="AUG"/>
    <x v="39"/>
    <s v="GRSM 5"/>
    <x v="1"/>
    <s v="GMM"/>
    <n v="0"/>
    <n v="0"/>
    <x v="57"/>
    <x v="111"/>
    <s v="CARBONARA"/>
    <n v="3919"/>
    <n v="60"/>
    <n v="235140"/>
    <m/>
  </r>
  <r>
    <x v="11"/>
    <s v="AUG"/>
    <x v="39"/>
    <s v="GRSM 5"/>
    <x v="1"/>
    <s v="GMM"/>
    <n v="0"/>
    <n v="0"/>
    <x v="57"/>
    <x v="111"/>
    <s v="AGLIO OLIO"/>
    <n v="3919"/>
    <n v="0"/>
    <n v="0"/>
    <m/>
  </r>
  <r>
    <x v="11"/>
    <s v="AUG"/>
    <x v="39"/>
    <s v="GRSM 5"/>
    <x v="1"/>
    <s v="GMM"/>
    <n v="0"/>
    <n v="0"/>
    <x v="57"/>
    <x v="111"/>
    <s v="GORENG"/>
    <n v="3919"/>
    <n v="90"/>
    <n v="352710"/>
    <n v="160"/>
  </r>
  <r>
    <x v="11"/>
    <s v="AUG"/>
    <x v="39"/>
    <s v="GRSM 5"/>
    <x v="1"/>
    <s v="GMM"/>
    <n v="211009"/>
    <n v="2100003"/>
    <x v="55"/>
    <x v="105"/>
    <s v="BOLOGNESE"/>
    <n v="2900"/>
    <n v="72"/>
    <n v="208800"/>
    <m/>
  </r>
  <r>
    <x v="11"/>
    <s v="AUG"/>
    <x v="39"/>
    <s v="GRSM 5"/>
    <x v="1"/>
    <s v="GMM"/>
    <n v="211009"/>
    <n v="2100003"/>
    <x v="55"/>
    <x v="105"/>
    <s v="CARBONARA"/>
    <n v="2900"/>
    <n v="94"/>
    <n v="272600"/>
    <m/>
  </r>
  <r>
    <x v="11"/>
    <s v="AUG"/>
    <x v="39"/>
    <s v="GRSM 5"/>
    <x v="1"/>
    <s v="GMM"/>
    <n v="211009"/>
    <n v="2100003"/>
    <x v="55"/>
    <x v="105"/>
    <s v="AGLIO OLIO"/>
    <n v="2900"/>
    <n v="64"/>
    <n v="185600"/>
    <m/>
  </r>
  <r>
    <x v="11"/>
    <s v="AUG"/>
    <x v="39"/>
    <s v="GRSM 5"/>
    <x v="1"/>
    <s v="GMM"/>
    <n v="211009"/>
    <n v="2100003"/>
    <x v="55"/>
    <x v="105"/>
    <s v="GORENG"/>
    <n v="2900"/>
    <n v="242"/>
    <n v="701800"/>
    <n v="160"/>
  </r>
  <r>
    <x v="11"/>
    <s v="AUG"/>
    <x v="39"/>
    <s v="GRSM 5"/>
    <x v="1"/>
    <s v="GMM"/>
    <n v="211009"/>
    <n v="2100003"/>
    <x v="55"/>
    <x v="106"/>
    <s v="BOLOGNESE"/>
    <n v="2900"/>
    <n v="72"/>
    <n v="208800"/>
    <m/>
  </r>
  <r>
    <x v="11"/>
    <s v="AUG"/>
    <x v="39"/>
    <s v="GRSM 5"/>
    <x v="1"/>
    <s v="GMM"/>
    <n v="211009"/>
    <n v="2100003"/>
    <x v="55"/>
    <x v="106"/>
    <s v="CARBONARA"/>
    <n v="2900"/>
    <n v="94"/>
    <n v="272600"/>
    <m/>
  </r>
  <r>
    <x v="11"/>
    <s v="AUG"/>
    <x v="39"/>
    <s v="GRSM 5"/>
    <x v="1"/>
    <s v="GMM"/>
    <n v="211009"/>
    <n v="2100003"/>
    <x v="55"/>
    <x v="106"/>
    <s v="AGLIO OLIO"/>
    <n v="2900"/>
    <n v="64"/>
    <n v="185600"/>
    <m/>
  </r>
  <r>
    <x v="11"/>
    <s v="AUG"/>
    <x v="39"/>
    <s v="GRSM 5"/>
    <x v="1"/>
    <s v="GMM"/>
    <n v="211009"/>
    <n v="2100003"/>
    <x v="55"/>
    <x v="106"/>
    <s v="GORENG"/>
    <n v="2900"/>
    <n v="242"/>
    <n v="701800"/>
    <n v="160"/>
  </r>
  <r>
    <x v="11"/>
    <s v="AUG"/>
    <x v="40"/>
    <s v="GRSM 5"/>
    <x v="1"/>
    <s v="GMM"/>
    <n v="211051"/>
    <n v="5580008"/>
    <x v="41"/>
    <x v="77"/>
    <s v="BOLOGNESE"/>
    <n v="2995"/>
    <n v="94"/>
    <n v="281530"/>
    <m/>
  </r>
  <r>
    <x v="11"/>
    <s v="AUG"/>
    <x v="40"/>
    <s v="GRSM 5"/>
    <x v="1"/>
    <s v="GMM"/>
    <n v="211051"/>
    <n v="5580008"/>
    <x v="41"/>
    <x v="77"/>
    <s v="CARBONARA"/>
    <n v="2995"/>
    <n v="112"/>
    <n v="335440"/>
    <m/>
  </r>
  <r>
    <x v="11"/>
    <s v="AUG"/>
    <x v="40"/>
    <s v="GRSM 5"/>
    <x v="1"/>
    <s v="GMM"/>
    <n v="211051"/>
    <n v="5580008"/>
    <x v="41"/>
    <x v="77"/>
    <s v="AGLIO OLIO"/>
    <n v="2995"/>
    <n v="80"/>
    <n v="239600"/>
    <m/>
  </r>
  <r>
    <x v="11"/>
    <s v="AUG"/>
    <x v="40"/>
    <s v="GRSM 5"/>
    <x v="1"/>
    <s v="GMM"/>
    <n v="211051"/>
    <n v="5580008"/>
    <x v="41"/>
    <x v="77"/>
    <s v="GORENG"/>
    <n v="2995"/>
    <n v="286"/>
    <n v="856570"/>
    <n v="160"/>
  </r>
  <r>
    <x v="11"/>
    <s v="AUG"/>
    <x v="40"/>
    <s v="GRSM 5"/>
    <x v="1"/>
    <s v="GMM"/>
    <n v="211051"/>
    <n v="5580008"/>
    <x v="41"/>
    <x v="76"/>
    <s v="BOLOGNESE"/>
    <n v="2995"/>
    <n v="94"/>
    <n v="281530"/>
    <m/>
  </r>
  <r>
    <x v="11"/>
    <s v="AUG"/>
    <x v="40"/>
    <s v="GRSM 5"/>
    <x v="1"/>
    <s v="GMM"/>
    <n v="211051"/>
    <n v="5580008"/>
    <x v="41"/>
    <x v="76"/>
    <s v="CARBONARA"/>
    <n v="2995"/>
    <n v="112"/>
    <n v="335440"/>
    <m/>
  </r>
  <r>
    <x v="11"/>
    <s v="AUG"/>
    <x v="40"/>
    <s v="GRSM 5"/>
    <x v="1"/>
    <s v="GMM"/>
    <n v="211051"/>
    <n v="5580008"/>
    <x v="41"/>
    <x v="76"/>
    <s v="AGLIO OLIO"/>
    <n v="2995"/>
    <n v="80"/>
    <n v="239600"/>
    <m/>
  </r>
  <r>
    <x v="11"/>
    <s v="AUG"/>
    <x v="40"/>
    <s v="GRSM 5"/>
    <x v="1"/>
    <s v="GMM"/>
    <n v="211051"/>
    <n v="5580008"/>
    <x v="41"/>
    <x v="76"/>
    <s v="GORENG"/>
    <n v="2995"/>
    <n v="286"/>
    <n v="856570"/>
    <n v="160"/>
  </r>
  <r>
    <x v="11"/>
    <s v="AUG"/>
    <x v="40"/>
    <s v="GRSM 5"/>
    <x v="1"/>
    <s v="GMM"/>
    <n v="103274"/>
    <n v="1301399"/>
    <x v="42"/>
    <x v="78"/>
    <s v="BOLOGNESE"/>
    <n v="3083"/>
    <n v="80"/>
    <n v="246640"/>
    <m/>
  </r>
  <r>
    <x v="11"/>
    <s v="AUG"/>
    <x v="40"/>
    <s v="GRSM 5"/>
    <x v="1"/>
    <s v="GMM"/>
    <n v="103274"/>
    <n v="1301399"/>
    <x v="42"/>
    <x v="78"/>
    <s v="CARBONARA"/>
    <n v="3083"/>
    <n v="80"/>
    <n v="246640"/>
    <m/>
  </r>
  <r>
    <x v="11"/>
    <s v="AUG"/>
    <x v="40"/>
    <s v="GRSM 5"/>
    <x v="1"/>
    <s v="GMM"/>
    <n v="103274"/>
    <n v="1301399"/>
    <x v="42"/>
    <x v="78"/>
    <s v="AGLIO OLIO"/>
    <n v="3083"/>
    <n v="4"/>
    <n v="12332"/>
    <m/>
  </r>
  <r>
    <x v="11"/>
    <s v="AUG"/>
    <x v="40"/>
    <s v="GRSM 5"/>
    <x v="1"/>
    <s v="GMM"/>
    <n v="103274"/>
    <n v="1301399"/>
    <x v="42"/>
    <x v="78"/>
    <s v="GORENG"/>
    <n v="3083"/>
    <n v="220"/>
    <n v="678260"/>
    <n v="160"/>
  </r>
  <r>
    <x v="11"/>
    <s v="AUG"/>
    <x v="40"/>
    <s v="GRSM 5"/>
    <x v="1"/>
    <s v="GMM"/>
    <n v="103274"/>
    <n v="1301399"/>
    <x v="42"/>
    <x v="79"/>
    <s v="BOLOGNESE"/>
    <n v="3083"/>
    <n v="80"/>
    <n v="246640"/>
    <m/>
  </r>
  <r>
    <x v="11"/>
    <s v="AUG"/>
    <x v="40"/>
    <s v="GRSM 5"/>
    <x v="1"/>
    <s v="GMM"/>
    <n v="103274"/>
    <n v="1301399"/>
    <x v="42"/>
    <x v="79"/>
    <s v="CARBONARA"/>
    <n v="3083"/>
    <n v="80"/>
    <n v="246640"/>
    <m/>
  </r>
  <r>
    <x v="11"/>
    <s v="AUG"/>
    <x v="40"/>
    <s v="GRSM 5"/>
    <x v="1"/>
    <s v="GMM"/>
    <n v="103274"/>
    <n v="1301399"/>
    <x v="42"/>
    <x v="79"/>
    <s v="AGLIO OLIO"/>
    <n v="3083"/>
    <n v="4"/>
    <n v="12332"/>
    <m/>
  </r>
  <r>
    <x v="11"/>
    <s v="AUG"/>
    <x v="40"/>
    <s v="GRSM 5"/>
    <x v="1"/>
    <s v="GMM"/>
    <n v="103274"/>
    <n v="1301399"/>
    <x v="42"/>
    <x v="79"/>
    <s v="GORENG"/>
    <n v="3083"/>
    <n v="220"/>
    <n v="678260"/>
    <n v="160"/>
  </r>
  <r>
    <x v="11"/>
    <s v="AUG"/>
    <x v="40"/>
    <s v="GRSM 5"/>
    <x v="1"/>
    <s v="GMM"/>
    <n v="211050"/>
    <n v="2910733"/>
    <x v="53"/>
    <x v="80"/>
    <s v="BOLOGNESE"/>
    <n v="3000"/>
    <n v="354"/>
    <n v="1062000"/>
    <m/>
  </r>
  <r>
    <x v="11"/>
    <s v="AUG"/>
    <x v="40"/>
    <s v="GRSM 5"/>
    <x v="1"/>
    <s v="GMM"/>
    <n v="211050"/>
    <n v="2910733"/>
    <x v="53"/>
    <x v="80"/>
    <s v="CARBONARA"/>
    <n v="3000"/>
    <n v="36"/>
    <n v="108000"/>
    <m/>
  </r>
  <r>
    <x v="11"/>
    <s v="AUG"/>
    <x v="40"/>
    <s v="GRSM 5"/>
    <x v="1"/>
    <s v="GMM"/>
    <n v="211050"/>
    <n v="2910733"/>
    <x v="53"/>
    <x v="80"/>
    <s v="AGLIO OLIO"/>
    <n v="3000"/>
    <n v="237"/>
    <n v="711000"/>
    <m/>
  </r>
  <r>
    <x v="11"/>
    <s v="AUG"/>
    <x v="40"/>
    <s v="GRSM 5"/>
    <x v="1"/>
    <s v="GMM"/>
    <n v="211050"/>
    <n v="2910733"/>
    <x v="53"/>
    <x v="80"/>
    <s v="GORENG"/>
    <n v="3000"/>
    <n v="366"/>
    <n v="1098000"/>
    <n v="160"/>
  </r>
  <r>
    <x v="11"/>
    <s v="AUG"/>
    <x v="40"/>
    <s v="GRSM 5"/>
    <x v="1"/>
    <s v="GMM"/>
    <n v="211050"/>
    <n v="2910733"/>
    <x v="53"/>
    <x v="81"/>
    <s v="BOLOGNESE"/>
    <n v="3000"/>
    <n v="354"/>
    <n v="1062000"/>
    <m/>
  </r>
  <r>
    <x v="11"/>
    <s v="AUG"/>
    <x v="40"/>
    <s v="GRSM 5"/>
    <x v="1"/>
    <s v="GMM"/>
    <n v="211050"/>
    <n v="2910733"/>
    <x v="53"/>
    <x v="81"/>
    <s v="CARBONARA"/>
    <n v="3000"/>
    <n v="36"/>
    <n v="108000"/>
    <m/>
  </r>
  <r>
    <x v="11"/>
    <s v="AUG"/>
    <x v="40"/>
    <s v="GRSM 5"/>
    <x v="1"/>
    <s v="GMM"/>
    <n v="211050"/>
    <n v="2910733"/>
    <x v="53"/>
    <x v="81"/>
    <s v="AGLIO OLIO"/>
    <n v="3000"/>
    <n v="237"/>
    <n v="711000"/>
    <m/>
  </r>
  <r>
    <x v="11"/>
    <s v="AUG"/>
    <x v="40"/>
    <s v="GRSM 5"/>
    <x v="1"/>
    <s v="GMM"/>
    <n v="211050"/>
    <n v="2910733"/>
    <x v="53"/>
    <x v="81"/>
    <s v="GORENG"/>
    <n v="3000"/>
    <n v="366"/>
    <n v="1098000"/>
    <n v="160"/>
  </r>
  <r>
    <x v="11"/>
    <s v="AUG"/>
    <x v="40"/>
    <s v="GRSM 5"/>
    <x v="1"/>
    <s v="GMM"/>
    <n v="0"/>
    <n v="0"/>
    <x v="54"/>
    <x v="103"/>
    <s v="BOLOGNESE"/>
    <n v="3200"/>
    <n v="46"/>
    <n v="147200"/>
    <m/>
  </r>
  <r>
    <x v="11"/>
    <s v="AUG"/>
    <x v="40"/>
    <s v="GRSM 5"/>
    <x v="1"/>
    <s v="GMM"/>
    <n v="0"/>
    <n v="0"/>
    <x v="54"/>
    <x v="103"/>
    <s v="CARBONARA"/>
    <n v="3200"/>
    <n v="39"/>
    <n v="124800"/>
    <m/>
  </r>
  <r>
    <x v="11"/>
    <s v="AUG"/>
    <x v="40"/>
    <s v="GRSM 5"/>
    <x v="1"/>
    <s v="GMM"/>
    <n v="0"/>
    <n v="0"/>
    <x v="54"/>
    <x v="103"/>
    <s v="AGLIO OLIO"/>
    <n v="3200"/>
    <n v="43"/>
    <n v="137600"/>
    <m/>
  </r>
  <r>
    <x v="11"/>
    <s v="AUG"/>
    <x v="40"/>
    <s v="GRSM 5"/>
    <x v="1"/>
    <s v="GMM"/>
    <n v="0"/>
    <n v="0"/>
    <x v="54"/>
    <x v="103"/>
    <s v="GORENG"/>
    <n v="3200"/>
    <n v="98"/>
    <n v="313600"/>
    <n v="160"/>
  </r>
  <r>
    <x v="11"/>
    <s v="AUG"/>
    <x v="40"/>
    <s v="GRSM 5"/>
    <x v="1"/>
    <s v="GMM"/>
    <n v="0"/>
    <n v="0"/>
    <x v="54"/>
    <x v="104"/>
    <s v="BOLOGNESE"/>
    <n v="3200"/>
    <n v="46"/>
    <n v="147200"/>
    <m/>
  </r>
  <r>
    <x v="11"/>
    <s v="AUG"/>
    <x v="40"/>
    <s v="GRSM 5"/>
    <x v="1"/>
    <s v="GMM"/>
    <n v="0"/>
    <n v="0"/>
    <x v="54"/>
    <x v="104"/>
    <s v="CARBONARA"/>
    <n v="3200"/>
    <n v="39"/>
    <n v="124800"/>
    <m/>
  </r>
  <r>
    <x v="11"/>
    <s v="AUG"/>
    <x v="40"/>
    <s v="GRSM 5"/>
    <x v="1"/>
    <s v="GMM"/>
    <n v="0"/>
    <n v="0"/>
    <x v="54"/>
    <x v="104"/>
    <s v="AGLIO OLIO"/>
    <n v="3200"/>
    <n v="43"/>
    <n v="137600"/>
    <m/>
  </r>
  <r>
    <x v="11"/>
    <s v="AUG"/>
    <x v="40"/>
    <s v="GRSM 5"/>
    <x v="1"/>
    <s v="GMM"/>
    <n v="0"/>
    <n v="0"/>
    <x v="54"/>
    <x v="104"/>
    <s v="GORENG"/>
    <n v="3200"/>
    <n v="98"/>
    <n v="313600"/>
    <n v="160"/>
  </r>
  <r>
    <x v="11"/>
    <s v="AUG"/>
    <x v="40"/>
    <s v="GRSM 5"/>
    <x v="1"/>
    <s v="GMM"/>
    <n v="0"/>
    <n v="0"/>
    <x v="57"/>
    <x v="110"/>
    <s v="BOLOGNESE"/>
    <n v="3745"/>
    <n v="57"/>
    <n v="213465"/>
    <m/>
  </r>
  <r>
    <x v="11"/>
    <s v="AUG"/>
    <x v="40"/>
    <s v="GRSM 5"/>
    <x v="1"/>
    <s v="GMM"/>
    <n v="0"/>
    <n v="0"/>
    <x v="57"/>
    <x v="110"/>
    <s v="CARBONARA"/>
    <n v="3745"/>
    <n v="75"/>
    <n v="280875"/>
    <m/>
  </r>
  <r>
    <x v="11"/>
    <s v="AUG"/>
    <x v="40"/>
    <s v="GRSM 5"/>
    <x v="1"/>
    <s v="GMM"/>
    <n v="0"/>
    <n v="0"/>
    <x v="57"/>
    <x v="110"/>
    <s v="AGLIO OLIO"/>
    <n v="3745"/>
    <n v="0"/>
    <n v="0"/>
    <m/>
  </r>
  <r>
    <x v="11"/>
    <s v="AUG"/>
    <x v="40"/>
    <s v="GRSM 5"/>
    <x v="1"/>
    <s v="GMM"/>
    <n v="0"/>
    <n v="0"/>
    <x v="57"/>
    <x v="110"/>
    <s v="GORENG"/>
    <n v="3745"/>
    <n v="105"/>
    <n v="393225"/>
    <n v="160"/>
  </r>
  <r>
    <x v="11"/>
    <s v="AUG"/>
    <x v="40"/>
    <s v="GRSM 5"/>
    <x v="1"/>
    <s v="GMM"/>
    <n v="0"/>
    <n v="0"/>
    <x v="57"/>
    <x v="111"/>
    <s v="BOLOGNESE"/>
    <n v="3745"/>
    <n v="57"/>
    <n v="213465"/>
    <m/>
  </r>
  <r>
    <x v="11"/>
    <s v="AUG"/>
    <x v="40"/>
    <s v="GRSM 5"/>
    <x v="1"/>
    <s v="GMM"/>
    <n v="0"/>
    <n v="0"/>
    <x v="57"/>
    <x v="111"/>
    <s v="CARBONARA"/>
    <n v="3745"/>
    <n v="75"/>
    <n v="280875"/>
    <m/>
  </r>
  <r>
    <x v="11"/>
    <s v="AUG"/>
    <x v="40"/>
    <s v="GRSM 5"/>
    <x v="1"/>
    <s v="GMM"/>
    <n v="0"/>
    <n v="0"/>
    <x v="57"/>
    <x v="111"/>
    <s v="AGLIO OLIO"/>
    <n v="3745"/>
    <n v="0"/>
    <n v="0"/>
    <m/>
  </r>
  <r>
    <x v="11"/>
    <s v="AUG"/>
    <x v="40"/>
    <s v="GRSM 5"/>
    <x v="1"/>
    <s v="GMM"/>
    <n v="0"/>
    <n v="0"/>
    <x v="57"/>
    <x v="111"/>
    <s v="GORENG"/>
    <n v="3745"/>
    <n v="105"/>
    <n v="393225"/>
    <n v="160"/>
  </r>
  <r>
    <x v="11"/>
    <s v="AUG"/>
    <x v="40"/>
    <s v="GRSM 5"/>
    <x v="1"/>
    <s v="GMM"/>
    <n v="103222"/>
    <n v="106437"/>
    <x v="44"/>
    <x v="82"/>
    <s v="BOLOGNESE"/>
    <n v="2990"/>
    <n v="250"/>
    <n v="747500"/>
    <m/>
  </r>
  <r>
    <x v="11"/>
    <s v="AUG"/>
    <x v="40"/>
    <s v="GRSM 5"/>
    <x v="1"/>
    <s v="GMM"/>
    <n v="103222"/>
    <n v="106437"/>
    <x v="44"/>
    <x v="82"/>
    <s v="CARBONARA"/>
    <n v="2990"/>
    <n v="90"/>
    <n v="269100"/>
    <m/>
  </r>
  <r>
    <x v="11"/>
    <s v="AUG"/>
    <x v="40"/>
    <s v="GRSM 5"/>
    <x v="1"/>
    <s v="GMM"/>
    <n v="103222"/>
    <n v="106437"/>
    <x v="44"/>
    <x v="82"/>
    <s v="AGLIO OLIO"/>
    <n v="2990"/>
    <n v="0"/>
    <n v="0"/>
    <m/>
  </r>
  <r>
    <x v="11"/>
    <s v="AUG"/>
    <x v="40"/>
    <s v="GRSM 5"/>
    <x v="1"/>
    <s v="GMM"/>
    <n v="103222"/>
    <n v="106437"/>
    <x v="44"/>
    <x v="82"/>
    <s v="GORENG"/>
    <n v="2990"/>
    <n v="0"/>
    <n v="0"/>
    <n v="160"/>
  </r>
  <r>
    <x v="11"/>
    <s v="AUG"/>
    <x v="40"/>
    <s v="GRSM 5"/>
    <x v="1"/>
    <s v="GMM"/>
    <n v="103222"/>
    <n v="106437"/>
    <x v="44"/>
    <x v="83"/>
    <s v="BOLOGNESE"/>
    <n v="2990"/>
    <n v="250"/>
    <n v="747500"/>
    <m/>
  </r>
  <r>
    <x v="11"/>
    <s v="AUG"/>
    <x v="40"/>
    <s v="GRSM 5"/>
    <x v="1"/>
    <s v="GMM"/>
    <n v="103222"/>
    <n v="106437"/>
    <x v="44"/>
    <x v="83"/>
    <s v="CARBONARA"/>
    <n v="2990"/>
    <n v="90"/>
    <n v="269100"/>
    <m/>
  </r>
  <r>
    <x v="11"/>
    <s v="AUG"/>
    <x v="40"/>
    <s v="GRSM 5"/>
    <x v="1"/>
    <s v="GMM"/>
    <n v="103222"/>
    <n v="106437"/>
    <x v="44"/>
    <x v="83"/>
    <s v="AGLIO OLIO"/>
    <n v="2990"/>
    <n v="0"/>
    <n v="0"/>
    <m/>
  </r>
  <r>
    <x v="11"/>
    <s v="AUG"/>
    <x v="40"/>
    <s v="GRSM 5"/>
    <x v="1"/>
    <s v="GMM"/>
    <n v="103222"/>
    <n v="106437"/>
    <x v="44"/>
    <x v="83"/>
    <s v="GORENG"/>
    <n v="2990"/>
    <n v="0"/>
    <n v="0"/>
    <n v="160"/>
  </r>
  <r>
    <x v="11"/>
    <s v="AUG"/>
    <x v="40"/>
    <s v="GRSM 5"/>
    <x v="1"/>
    <s v="MT"/>
    <n v="166102"/>
    <n v="9000058"/>
    <x v="56"/>
    <x v="108"/>
    <s v="BOLOGNESE"/>
    <n v="3000"/>
    <n v="10"/>
    <n v="30000"/>
    <m/>
  </r>
  <r>
    <x v="11"/>
    <s v="AUG"/>
    <x v="40"/>
    <s v="GRSM 5"/>
    <x v="1"/>
    <s v="MT"/>
    <n v="166102"/>
    <n v="9000058"/>
    <x v="56"/>
    <x v="108"/>
    <s v="CARBONARA"/>
    <n v="3000"/>
    <n v="95"/>
    <n v="285000"/>
    <m/>
  </r>
  <r>
    <x v="11"/>
    <s v="AUG"/>
    <x v="40"/>
    <s v="GRSM 5"/>
    <x v="1"/>
    <s v="MT"/>
    <n v="166102"/>
    <n v="9000058"/>
    <x v="56"/>
    <x v="108"/>
    <s v="AGLIO OLIO"/>
    <n v="3000"/>
    <n v="0"/>
    <n v="0"/>
    <m/>
  </r>
  <r>
    <x v="11"/>
    <s v="AUG"/>
    <x v="40"/>
    <s v="GRSM 5"/>
    <x v="1"/>
    <s v="MT"/>
    <n v="166102"/>
    <n v="9000058"/>
    <x v="56"/>
    <x v="108"/>
    <s v="GORENG"/>
    <n v="3000"/>
    <n v="10"/>
    <n v="30000"/>
    <n v="160"/>
  </r>
  <r>
    <x v="11"/>
    <s v="AUG"/>
    <x v="40"/>
    <s v="GRSM 5"/>
    <x v="1"/>
    <s v="MT"/>
    <n v="166102"/>
    <n v="9000058"/>
    <x v="56"/>
    <x v="109"/>
    <s v="BOLOGNESE"/>
    <n v="3000"/>
    <n v="10"/>
    <n v="30000"/>
    <m/>
  </r>
  <r>
    <x v="11"/>
    <s v="AUG"/>
    <x v="40"/>
    <s v="GRSM 5"/>
    <x v="1"/>
    <s v="MT"/>
    <n v="166102"/>
    <n v="9000058"/>
    <x v="56"/>
    <x v="109"/>
    <s v="CARBONARA"/>
    <n v="3000"/>
    <n v="95"/>
    <n v="285000"/>
    <m/>
  </r>
  <r>
    <x v="11"/>
    <s v="AUG"/>
    <x v="40"/>
    <s v="GRSM 5"/>
    <x v="1"/>
    <s v="MT"/>
    <n v="166102"/>
    <n v="9000058"/>
    <x v="56"/>
    <x v="109"/>
    <s v="AGLIO OLIO"/>
    <n v="3000"/>
    <n v="0"/>
    <n v="0"/>
    <m/>
  </r>
  <r>
    <x v="11"/>
    <s v="AUG"/>
    <x v="40"/>
    <s v="GRSM 5"/>
    <x v="1"/>
    <s v="MT"/>
    <n v="166102"/>
    <n v="9000058"/>
    <x v="56"/>
    <x v="109"/>
    <s v="GORENG"/>
    <n v="3000"/>
    <n v="10"/>
    <n v="30000"/>
    <n v="160"/>
  </r>
  <r>
    <x v="11"/>
    <s v="AUG"/>
    <x v="40"/>
    <s v="GRSM 5"/>
    <x v="1"/>
    <s v="GMM"/>
    <n v="211009"/>
    <n v="2100003"/>
    <x v="55"/>
    <x v="105"/>
    <s v="BOLOGNESE"/>
    <n v="2900"/>
    <n v="91"/>
    <n v="263900"/>
    <m/>
  </r>
  <r>
    <x v="11"/>
    <s v="AUG"/>
    <x v="40"/>
    <s v="GRSM 5"/>
    <x v="1"/>
    <s v="GMM"/>
    <n v="211009"/>
    <n v="2100003"/>
    <x v="55"/>
    <x v="105"/>
    <s v="CARBONARA"/>
    <n v="2900"/>
    <n v="42"/>
    <n v="121800"/>
    <m/>
  </r>
  <r>
    <x v="11"/>
    <s v="AUG"/>
    <x v="40"/>
    <s v="GRSM 5"/>
    <x v="1"/>
    <s v="GMM"/>
    <n v="211009"/>
    <n v="2100003"/>
    <x v="55"/>
    <x v="105"/>
    <s v="AGLIO OLIO"/>
    <n v="2900"/>
    <n v="33"/>
    <n v="95700"/>
    <m/>
  </r>
  <r>
    <x v="11"/>
    <s v="AUG"/>
    <x v="40"/>
    <s v="GRSM 5"/>
    <x v="1"/>
    <s v="GMM"/>
    <n v="211009"/>
    <n v="2100003"/>
    <x v="55"/>
    <x v="105"/>
    <s v="GORENG"/>
    <n v="2900"/>
    <n v="201"/>
    <n v="582900"/>
    <n v="160"/>
  </r>
  <r>
    <x v="11"/>
    <s v="AUG"/>
    <x v="40"/>
    <s v="GRSM 5"/>
    <x v="1"/>
    <s v="GMM"/>
    <n v="211009"/>
    <n v="2100003"/>
    <x v="55"/>
    <x v="106"/>
    <s v="BOLOGNESE"/>
    <n v="2900"/>
    <n v="91"/>
    <n v="263900"/>
    <m/>
  </r>
  <r>
    <x v="11"/>
    <s v="AUG"/>
    <x v="40"/>
    <s v="GRSM 5"/>
    <x v="1"/>
    <s v="GMM"/>
    <n v="211009"/>
    <n v="2100003"/>
    <x v="55"/>
    <x v="106"/>
    <s v="CARBONARA"/>
    <n v="2900"/>
    <n v="42"/>
    <n v="121800"/>
    <m/>
  </r>
  <r>
    <x v="11"/>
    <s v="AUG"/>
    <x v="40"/>
    <s v="GRSM 5"/>
    <x v="1"/>
    <s v="GMM"/>
    <n v="211009"/>
    <n v="2100003"/>
    <x v="55"/>
    <x v="106"/>
    <s v="AGLIO OLIO"/>
    <n v="2900"/>
    <n v="33"/>
    <n v="95700"/>
    <m/>
  </r>
  <r>
    <x v="11"/>
    <s v="AUG"/>
    <x v="40"/>
    <s v="GRSM 5"/>
    <x v="1"/>
    <s v="GMM"/>
    <n v="211009"/>
    <n v="2100003"/>
    <x v="55"/>
    <x v="106"/>
    <s v="GORENG"/>
    <n v="2900"/>
    <n v="201"/>
    <n v="582900"/>
    <n v="160"/>
  </r>
  <r>
    <x v="11"/>
    <s v="AUG"/>
    <x v="38"/>
    <s v="GRSM 7"/>
    <x v="5"/>
    <s v="GMM"/>
    <n v="211074"/>
    <n v="2217375"/>
    <x v="45"/>
    <x v="84"/>
    <s v="BOLOGNESE"/>
    <n v="3200"/>
    <n v="16"/>
    <n v="51200"/>
    <m/>
  </r>
  <r>
    <x v="11"/>
    <s v="AUG"/>
    <x v="38"/>
    <s v="GRSM 7"/>
    <x v="5"/>
    <s v="GMM"/>
    <n v="211074"/>
    <n v="2217375"/>
    <x v="45"/>
    <x v="84"/>
    <s v="CARBONARA"/>
    <n v="3200"/>
    <n v="44"/>
    <n v="140800"/>
    <m/>
  </r>
  <r>
    <x v="11"/>
    <s v="AUG"/>
    <x v="38"/>
    <s v="GRSM 7"/>
    <x v="5"/>
    <s v="GMM"/>
    <n v="211074"/>
    <n v="2217375"/>
    <x v="45"/>
    <x v="84"/>
    <s v="AGLIO OLIO"/>
    <n v="3200"/>
    <n v="12"/>
    <n v="38400"/>
    <m/>
  </r>
  <r>
    <x v="11"/>
    <s v="AUG"/>
    <x v="38"/>
    <s v="GRSM 7"/>
    <x v="5"/>
    <s v="GMM"/>
    <n v="211074"/>
    <n v="2217375"/>
    <x v="45"/>
    <x v="84"/>
    <s v="GORENG"/>
    <n v="3200"/>
    <n v="226"/>
    <n v="723200"/>
    <n v="160"/>
  </r>
  <r>
    <x v="11"/>
    <s v="AUG"/>
    <x v="38"/>
    <s v="GRSM 7"/>
    <x v="5"/>
    <s v="GMM"/>
    <n v="211074"/>
    <n v="2217375"/>
    <x v="45"/>
    <x v="85"/>
    <s v="BOLOGNESE"/>
    <n v="3200"/>
    <n v="16"/>
    <n v="51200"/>
    <m/>
  </r>
  <r>
    <x v="11"/>
    <s v="AUG"/>
    <x v="38"/>
    <s v="GRSM 7"/>
    <x v="5"/>
    <s v="GMM"/>
    <n v="211074"/>
    <n v="2217375"/>
    <x v="45"/>
    <x v="85"/>
    <s v="CARBONARA"/>
    <n v="3200"/>
    <n v="44"/>
    <n v="140800"/>
    <m/>
  </r>
  <r>
    <x v="11"/>
    <s v="AUG"/>
    <x v="38"/>
    <s v="GRSM 7"/>
    <x v="5"/>
    <s v="GMM"/>
    <n v="211074"/>
    <n v="2217375"/>
    <x v="45"/>
    <x v="85"/>
    <s v="AGLIO OLIO"/>
    <n v="3200"/>
    <n v="12"/>
    <n v="38400"/>
    <m/>
  </r>
  <r>
    <x v="11"/>
    <s v="AUG"/>
    <x v="38"/>
    <s v="GRSM 7"/>
    <x v="5"/>
    <s v="GMM"/>
    <n v="211074"/>
    <n v="2217375"/>
    <x v="45"/>
    <x v="85"/>
    <s v="GORENG"/>
    <n v="3200"/>
    <n v="226"/>
    <n v="723200"/>
    <n v="160"/>
  </r>
  <r>
    <x v="11"/>
    <s v="AUG"/>
    <x v="38"/>
    <s v="GRSM 7"/>
    <x v="5"/>
    <s v="GMM"/>
    <n v="103783"/>
    <n v="7500032"/>
    <x v="58"/>
    <x v="108"/>
    <s v="BOLOGNESE"/>
    <n v="6395"/>
    <n v="33"/>
    <n v="211035"/>
    <m/>
  </r>
  <r>
    <x v="11"/>
    <s v="AUG"/>
    <x v="38"/>
    <s v="GRSM 7"/>
    <x v="5"/>
    <s v="GMM"/>
    <n v="103783"/>
    <n v="7500032"/>
    <x v="58"/>
    <x v="108"/>
    <s v="CARBONARA"/>
    <n v="6395"/>
    <n v="51"/>
    <n v="326145"/>
    <m/>
  </r>
  <r>
    <x v="11"/>
    <s v="AUG"/>
    <x v="38"/>
    <s v="GRSM 7"/>
    <x v="5"/>
    <s v="GMM"/>
    <n v="103783"/>
    <n v="7500032"/>
    <x v="58"/>
    <x v="108"/>
    <s v="AGLIO OLIO"/>
    <n v="6395"/>
    <n v="45"/>
    <n v="287775"/>
    <m/>
  </r>
  <r>
    <x v="11"/>
    <s v="AUG"/>
    <x v="38"/>
    <s v="GRSM 7"/>
    <x v="5"/>
    <s v="GMM"/>
    <n v="103783"/>
    <n v="7500032"/>
    <x v="58"/>
    <x v="108"/>
    <s v="GORENG"/>
    <n v="6395"/>
    <n v="33"/>
    <n v="211035"/>
    <n v="160"/>
  </r>
  <r>
    <x v="11"/>
    <s v="AUG"/>
    <x v="38"/>
    <s v="GRSM 7"/>
    <x v="5"/>
    <s v="GMM"/>
    <n v="103783"/>
    <n v="7500032"/>
    <x v="58"/>
    <x v="112"/>
    <s v="BOLOGNESE"/>
    <n v="6395"/>
    <n v="33"/>
    <n v="211035"/>
    <m/>
  </r>
  <r>
    <x v="11"/>
    <s v="AUG"/>
    <x v="38"/>
    <s v="GRSM 7"/>
    <x v="5"/>
    <s v="GMM"/>
    <n v="103783"/>
    <n v="7500032"/>
    <x v="58"/>
    <x v="112"/>
    <s v="CARBONARA"/>
    <n v="6395"/>
    <n v="51"/>
    <n v="326145"/>
    <m/>
  </r>
  <r>
    <x v="11"/>
    <s v="AUG"/>
    <x v="38"/>
    <s v="GRSM 7"/>
    <x v="5"/>
    <s v="GMM"/>
    <n v="103783"/>
    <n v="7500032"/>
    <x v="58"/>
    <x v="112"/>
    <s v="AGLIO OLIO"/>
    <n v="6395"/>
    <n v="45"/>
    <n v="287775"/>
    <m/>
  </r>
  <r>
    <x v="11"/>
    <s v="AUG"/>
    <x v="38"/>
    <s v="GRSM 7"/>
    <x v="5"/>
    <s v="GMM"/>
    <n v="103783"/>
    <n v="7500032"/>
    <x v="58"/>
    <x v="112"/>
    <s v="GORENG"/>
    <n v="6395"/>
    <n v="33"/>
    <n v="211035"/>
    <n v="160"/>
  </r>
  <r>
    <x v="11"/>
    <s v="AUG"/>
    <x v="38"/>
    <s v="GRSM 7"/>
    <x v="5"/>
    <s v="GMM"/>
    <n v="103783"/>
    <n v="7500090"/>
    <x v="59"/>
    <x v="113"/>
    <s v="BOLOGNESE"/>
    <n v="6750"/>
    <n v="24"/>
    <n v="162000"/>
    <m/>
  </r>
  <r>
    <x v="11"/>
    <s v="AUG"/>
    <x v="38"/>
    <s v="GRSM 7"/>
    <x v="5"/>
    <s v="GMM"/>
    <n v="103783"/>
    <n v="7500090"/>
    <x v="59"/>
    <x v="113"/>
    <s v="CARBONARA"/>
    <n v="6750"/>
    <n v="20"/>
    <n v="135000"/>
    <m/>
  </r>
  <r>
    <x v="11"/>
    <s v="AUG"/>
    <x v="38"/>
    <s v="GRSM 7"/>
    <x v="5"/>
    <s v="GMM"/>
    <n v="103783"/>
    <n v="7500090"/>
    <x v="59"/>
    <x v="113"/>
    <s v="AGLIO OLIO"/>
    <n v="6750"/>
    <n v="15"/>
    <n v="101250"/>
    <m/>
  </r>
  <r>
    <x v="11"/>
    <s v="AUG"/>
    <x v="38"/>
    <s v="GRSM 7"/>
    <x v="5"/>
    <s v="GMM"/>
    <n v="103783"/>
    <n v="7500090"/>
    <x v="59"/>
    <x v="113"/>
    <s v="GORENG"/>
    <n v="6750"/>
    <n v="35"/>
    <n v="236250"/>
    <n v="160"/>
  </r>
  <r>
    <x v="11"/>
    <s v="AUG"/>
    <x v="38"/>
    <s v="GRSM 7"/>
    <x v="5"/>
    <s v="GMM"/>
    <n v="103783"/>
    <n v="7500090"/>
    <x v="59"/>
    <x v="114"/>
    <s v="BOLOGNESE"/>
    <n v="6750"/>
    <n v="24"/>
    <n v="162000"/>
    <m/>
  </r>
  <r>
    <x v="11"/>
    <s v="AUG"/>
    <x v="38"/>
    <s v="GRSM 7"/>
    <x v="5"/>
    <s v="GMM"/>
    <n v="103783"/>
    <n v="7500090"/>
    <x v="59"/>
    <x v="114"/>
    <s v="CARBONARA"/>
    <n v="6750"/>
    <n v="20"/>
    <n v="135000"/>
    <m/>
  </r>
  <r>
    <x v="11"/>
    <s v="AUG"/>
    <x v="38"/>
    <s v="GRSM 7"/>
    <x v="5"/>
    <s v="GMM"/>
    <n v="103783"/>
    <n v="7500090"/>
    <x v="59"/>
    <x v="114"/>
    <s v="AGLIO OLIO"/>
    <n v="6750"/>
    <n v="15"/>
    <n v="101250"/>
    <m/>
  </r>
  <r>
    <x v="11"/>
    <s v="AUG"/>
    <x v="38"/>
    <s v="GRSM 7"/>
    <x v="5"/>
    <s v="GMM"/>
    <n v="103783"/>
    <n v="7500090"/>
    <x v="59"/>
    <x v="114"/>
    <s v="GORENG"/>
    <n v="6750"/>
    <n v="35"/>
    <n v="236250"/>
    <n v="160"/>
  </r>
  <r>
    <x v="11"/>
    <s v="AUG"/>
    <x v="38"/>
    <s v="GRSM 7"/>
    <x v="5"/>
    <s v="GMM"/>
    <n v="103240"/>
    <n v="7112059"/>
    <x v="46"/>
    <x v="86"/>
    <s v="BOLOGNESE"/>
    <n v="3200"/>
    <n v="60"/>
    <n v="192000"/>
    <m/>
  </r>
  <r>
    <x v="11"/>
    <s v="AUG"/>
    <x v="38"/>
    <s v="GRSM 7"/>
    <x v="5"/>
    <s v="GMM"/>
    <n v="103240"/>
    <n v="7112059"/>
    <x v="46"/>
    <x v="86"/>
    <s v="CARBONARA"/>
    <n v="3200"/>
    <n v="67"/>
    <n v="214400"/>
    <m/>
  </r>
  <r>
    <x v="11"/>
    <s v="AUG"/>
    <x v="38"/>
    <s v="GRSM 7"/>
    <x v="5"/>
    <s v="GMM"/>
    <n v="103240"/>
    <n v="7112059"/>
    <x v="46"/>
    <x v="86"/>
    <s v="AGLIO OLIO"/>
    <n v="3200"/>
    <n v="0"/>
    <n v="0"/>
    <m/>
  </r>
  <r>
    <x v="11"/>
    <s v="AUG"/>
    <x v="38"/>
    <s v="GRSM 7"/>
    <x v="5"/>
    <s v="GMM"/>
    <n v="103240"/>
    <n v="7112059"/>
    <x v="46"/>
    <x v="86"/>
    <s v="GORENG"/>
    <n v="3200"/>
    <n v="107"/>
    <n v="342400"/>
    <n v="160"/>
  </r>
  <r>
    <x v="11"/>
    <s v="AUG"/>
    <x v="39"/>
    <s v="GRSM 7"/>
    <x v="5"/>
    <s v="GMM"/>
    <n v="211074"/>
    <n v="2217375"/>
    <x v="45"/>
    <x v="84"/>
    <s v="BOLOGNESE"/>
    <n v="3200"/>
    <n v="20"/>
    <n v="64000"/>
    <m/>
  </r>
  <r>
    <x v="11"/>
    <s v="AUG"/>
    <x v="39"/>
    <s v="GRSM 7"/>
    <x v="5"/>
    <s v="GMM"/>
    <n v="211074"/>
    <n v="2217375"/>
    <x v="45"/>
    <x v="84"/>
    <s v="CARBONARA"/>
    <n v="3200"/>
    <n v="16"/>
    <n v="51200"/>
    <m/>
  </r>
  <r>
    <x v="11"/>
    <s v="AUG"/>
    <x v="39"/>
    <s v="GRSM 7"/>
    <x v="5"/>
    <s v="GMM"/>
    <n v="211074"/>
    <n v="2217375"/>
    <x v="45"/>
    <x v="84"/>
    <s v="AGLIO OLIO"/>
    <n v="3200"/>
    <n v="10"/>
    <n v="32000"/>
    <m/>
  </r>
  <r>
    <x v="11"/>
    <s v="AUG"/>
    <x v="39"/>
    <s v="GRSM 7"/>
    <x v="5"/>
    <s v="GMM"/>
    <n v="211074"/>
    <n v="2217375"/>
    <x v="45"/>
    <x v="84"/>
    <s v="GORENG"/>
    <n v="3200"/>
    <n v="196"/>
    <n v="627200"/>
    <n v="160"/>
  </r>
  <r>
    <x v="11"/>
    <s v="AUG"/>
    <x v="39"/>
    <s v="GRSM 7"/>
    <x v="5"/>
    <s v="GMM"/>
    <n v="211074"/>
    <n v="2217375"/>
    <x v="45"/>
    <x v="85"/>
    <s v="BOLOGNESE"/>
    <n v="3200"/>
    <n v="20"/>
    <n v="64000"/>
    <m/>
  </r>
  <r>
    <x v="11"/>
    <s v="AUG"/>
    <x v="39"/>
    <s v="GRSM 7"/>
    <x v="5"/>
    <s v="GMM"/>
    <n v="211074"/>
    <n v="2217375"/>
    <x v="45"/>
    <x v="85"/>
    <s v="CARBONARA"/>
    <n v="3200"/>
    <n v="16"/>
    <n v="51200"/>
    <m/>
  </r>
  <r>
    <x v="11"/>
    <s v="AUG"/>
    <x v="39"/>
    <s v="GRSM 7"/>
    <x v="5"/>
    <s v="GMM"/>
    <n v="211074"/>
    <n v="2217375"/>
    <x v="45"/>
    <x v="85"/>
    <s v="AGLIO OLIO"/>
    <n v="3200"/>
    <n v="10"/>
    <n v="32000"/>
    <m/>
  </r>
  <r>
    <x v="11"/>
    <s v="AUG"/>
    <x v="39"/>
    <s v="GRSM 7"/>
    <x v="5"/>
    <s v="GMM"/>
    <n v="211074"/>
    <n v="2217375"/>
    <x v="45"/>
    <x v="85"/>
    <s v="GORENG"/>
    <n v="3200"/>
    <n v="196"/>
    <n v="627200"/>
    <n v="160"/>
  </r>
  <r>
    <x v="11"/>
    <s v="AUG"/>
    <x v="39"/>
    <s v="GRSM 7"/>
    <x v="5"/>
    <s v="GMM"/>
    <n v="103783"/>
    <n v="7500090"/>
    <x v="59"/>
    <x v="113"/>
    <s v="BOLOGNESE"/>
    <n v="6750"/>
    <n v="25"/>
    <n v="168750"/>
    <m/>
  </r>
  <r>
    <x v="11"/>
    <s v="AUG"/>
    <x v="39"/>
    <s v="GRSM 7"/>
    <x v="5"/>
    <s v="GMM"/>
    <n v="103783"/>
    <n v="7500090"/>
    <x v="59"/>
    <x v="113"/>
    <s v="CARBONARA"/>
    <n v="6750"/>
    <n v="30"/>
    <n v="202500"/>
    <m/>
  </r>
  <r>
    <x v="11"/>
    <s v="AUG"/>
    <x v="39"/>
    <s v="GRSM 7"/>
    <x v="5"/>
    <s v="GMM"/>
    <n v="103783"/>
    <n v="7500090"/>
    <x v="59"/>
    <x v="113"/>
    <s v="AGLIO OLIO"/>
    <n v="6750"/>
    <n v="20"/>
    <n v="135000"/>
    <m/>
  </r>
  <r>
    <x v="11"/>
    <s v="AUG"/>
    <x v="39"/>
    <s v="GRSM 7"/>
    <x v="5"/>
    <s v="GMM"/>
    <n v="103783"/>
    <n v="7500090"/>
    <x v="59"/>
    <x v="113"/>
    <s v="GORENG"/>
    <n v="6750"/>
    <n v="37"/>
    <n v="249750"/>
    <n v="160"/>
  </r>
  <r>
    <x v="11"/>
    <s v="AUG"/>
    <x v="39"/>
    <s v="GRSM 7"/>
    <x v="5"/>
    <s v="GMM"/>
    <n v="103783"/>
    <n v="7500090"/>
    <x v="59"/>
    <x v="114"/>
    <s v="BOLOGNESE"/>
    <n v="6750"/>
    <n v="25"/>
    <n v="168750"/>
    <m/>
  </r>
  <r>
    <x v="11"/>
    <s v="AUG"/>
    <x v="39"/>
    <s v="GRSM 7"/>
    <x v="5"/>
    <s v="GMM"/>
    <n v="103783"/>
    <n v="7500090"/>
    <x v="59"/>
    <x v="114"/>
    <s v="CARBONARA"/>
    <n v="6750"/>
    <n v="30"/>
    <n v="202500"/>
    <m/>
  </r>
  <r>
    <x v="11"/>
    <s v="AUG"/>
    <x v="39"/>
    <s v="GRSM 7"/>
    <x v="5"/>
    <s v="GMM"/>
    <n v="103783"/>
    <n v="7500090"/>
    <x v="59"/>
    <x v="114"/>
    <s v="AGLIO OLIO"/>
    <n v="6750"/>
    <n v="20"/>
    <n v="135000"/>
    <m/>
  </r>
  <r>
    <x v="11"/>
    <s v="AUG"/>
    <x v="39"/>
    <s v="GRSM 7"/>
    <x v="5"/>
    <s v="GMM"/>
    <n v="103783"/>
    <n v="7500090"/>
    <x v="59"/>
    <x v="114"/>
    <s v="GORENG"/>
    <n v="6750"/>
    <n v="37"/>
    <n v="249750"/>
    <n v="160"/>
  </r>
  <r>
    <x v="11"/>
    <s v="AUG"/>
    <x v="39"/>
    <s v="GRSM 7"/>
    <x v="5"/>
    <s v="GMM"/>
    <n v="103240"/>
    <n v="7112059"/>
    <x v="46"/>
    <x v="86"/>
    <s v="BOLOGNESE"/>
    <n v="3200"/>
    <n v="50"/>
    <n v="160000"/>
    <m/>
  </r>
  <r>
    <x v="11"/>
    <s v="AUG"/>
    <x v="39"/>
    <s v="GRSM 7"/>
    <x v="5"/>
    <s v="GMM"/>
    <n v="103240"/>
    <n v="7112059"/>
    <x v="46"/>
    <x v="86"/>
    <s v="CARBONARA"/>
    <n v="3200"/>
    <n v="70"/>
    <n v="224000"/>
    <m/>
  </r>
  <r>
    <x v="11"/>
    <s v="AUG"/>
    <x v="39"/>
    <s v="GRSM 7"/>
    <x v="5"/>
    <s v="GMM"/>
    <n v="103240"/>
    <n v="7112059"/>
    <x v="46"/>
    <x v="86"/>
    <s v="AGLIO OLIO"/>
    <n v="3200"/>
    <n v="0"/>
    <n v="0"/>
    <m/>
  </r>
  <r>
    <x v="11"/>
    <s v="AUG"/>
    <x v="39"/>
    <s v="GRSM 7"/>
    <x v="5"/>
    <s v="GMM"/>
    <n v="103240"/>
    <n v="7112059"/>
    <x v="46"/>
    <x v="86"/>
    <s v="GORENG"/>
    <n v="3200"/>
    <n v="84"/>
    <n v="268800"/>
    <n v="160"/>
  </r>
  <r>
    <x v="11"/>
    <s v="AUG"/>
    <x v="39"/>
    <s v="GRSM 7"/>
    <x v="5"/>
    <s v="GMM"/>
    <n v="103240"/>
    <n v="7112059"/>
    <x v="46"/>
    <x v="87"/>
    <s v="BOLOGNESE"/>
    <n v="3200"/>
    <n v="50"/>
    <n v="160000"/>
    <m/>
  </r>
  <r>
    <x v="11"/>
    <s v="AUG"/>
    <x v="39"/>
    <s v="GRSM 7"/>
    <x v="5"/>
    <s v="GMM"/>
    <n v="103240"/>
    <n v="7112059"/>
    <x v="46"/>
    <x v="87"/>
    <s v="CARBONARA"/>
    <n v="3200"/>
    <n v="70"/>
    <n v="224000"/>
    <m/>
  </r>
  <r>
    <x v="11"/>
    <s v="AUG"/>
    <x v="39"/>
    <s v="GRSM 7"/>
    <x v="5"/>
    <s v="GMM"/>
    <n v="103240"/>
    <n v="7112059"/>
    <x v="46"/>
    <x v="87"/>
    <s v="AGLIO OLIO"/>
    <n v="3200"/>
    <n v="0"/>
    <n v="0"/>
    <m/>
  </r>
  <r>
    <x v="11"/>
    <s v="AUG"/>
    <x v="39"/>
    <s v="GRSM 7"/>
    <x v="5"/>
    <s v="GMM"/>
    <n v="103240"/>
    <n v="7112059"/>
    <x v="46"/>
    <x v="87"/>
    <s v="GORENG"/>
    <n v="3200"/>
    <n v="84"/>
    <n v="268800"/>
    <n v="160"/>
  </r>
  <r>
    <x v="11"/>
    <s v="AUG"/>
    <x v="39"/>
    <s v="GRSM 7"/>
    <x v="5"/>
    <s v="GMM"/>
    <n v="103783"/>
    <n v="7500032"/>
    <x v="58"/>
    <x v="108"/>
    <s v="BOLOGNESE"/>
    <n v="6400"/>
    <n v="28"/>
    <n v="179200"/>
    <m/>
  </r>
  <r>
    <x v="11"/>
    <s v="AUG"/>
    <x v="39"/>
    <s v="GRSM 7"/>
    <x v="5"/>
    <s v="GMM"/>
    <n v="103783"/>
    <n v="7500032"/>
    <x v="58"/>
    <x v="108"/>
    <s v="CARBONARA"/>
    <n v="6400"/>
    <n v="41"/>
    <n v="262400"/>
    <m/>
  </r>
  <r>
    <x v="11"/>
    <s v="AUG"/>
    <x v="39"/>
    <s v="GRSM 7"/>
    <x v="5"/>
    <s v="GMM"/>
    <n v="103783"/>
    <n v="7500032"/>
    <x v="58"/>
    <x v="108"/>
    <s v="AGLIO OLIO"/>
    <n v="6400"/>
    <n v="25"/>
    <n v="160000"/>
    <m/>
  </r>
  <r>
    <x v="11"/>
    <s v="AUG"/>
    <x v="39"/>
    <s v="GRSM 7"/>
    <x v="5"/>
    <s v="GMM"/>
    <n v="103783"/>
    <n v="7500032"/>
    <x v="58"/>
    <x v="108"/>
    <s v="GORENG"/>
    <n v="6400"/>
    <n v="30"/>
    <n v="192000"/>
    <n v="160"/>
  </r>
  <r>
    <x v="11"/>
    <s v="AUG"/>
    <x v="39"/>
    <s v="GRSM 7"/>
    <x v="5"/>
    <s v="GMM"/>
    <n v="103783"/>
    <n v="7500032"/>
    <x v="58"/>
    <x v="112"/>
    <s v="BOLOGNESE"/>
    <n v="6400"/>
    <n v="28"/>
    <n v="179200"/>
    <m/>
  </r>
  <r>
    <x v="11"/>
    <s v="AUG"/>
    <x v="39"/>
    <s v="GRSM 7"/>
    <x v="5"/>
    <s v="GMM"/>
    <n v="103783"/>
    <n v="7500032"/>
    <x v="58"/>
    <x v="112"/>
    <s v="CARBONARA"/>
    <n v="6400"/>
    <n v="41"/>
    <n v="262400"/>
    <m/>
  </r>
  <r>
    <x v="11"/>
    <s v="AUG"/>
    <x v="39"/>
    <s v="GRSM 7"/>
    <x v="5"/>
    <s v="GMM"/>
    <n v="103783"/>
    <n v="7500032"/>
    <x v="58"/>
    <x v="112"/>
    <s v="AGLIO OLIO"/>
    <n v="6400"/>
    <n v="25"/>
    <n v="160000"/>
    <m/>
  </r>
  <r>
    <x v="11"/>
    <s v="AUG"/>
    <x v="39"/>
    <s v="GRSM 7"/>
    <x v="5"/>
    <s v="GMM"/>
    <n v="103783"/>
    <n v="7500032"/>
    <x v="58"/>
    <x v="112"/>
    <s v="GORENG"/>
    <n v="6400"/>
    <n v="30"/>
    <n v="192000"/>
    <n v="160"/>
  </r>
  <r>
    <x v="11"/>
    <s v="AUG"/>
    <x v="40"/>
    <s v="GRSM 7"/>
    <x v="5"/>
    <s v="GMM"/>
    <n v="211074"/>
    <n v="2217375"/>
    <x v="45"/>
    <x v="84"/>
    <s v="BOLOGNESE"/>
    <n v="3200"/>
    <n v="10"/>
    <n v="32000"/>
    <m/>
  </r>
  <r>
    <x v="11"/>
    <s v="AUG"/>
    <x v="40"/>
    <s v="GRSM 7"/>
    <x v="5"/>
    <s v="GMM"/>
    <n v="211074"/>
    <n v="2217375"/>
    <x v="45"/>
    <x v="84"/>
    <s v="CARBONARA"/>
    <n v="3200"/>
    <n v="12"/>
    <n v="38400"/>
    <m/>
  </r>
  <r>
    <x v="11"/>
    <s v="AUG"/>
    <x v="40"/>
    <s v="GRSM 7"/>
    <x v="5"/>
    <s v="GMM"/>
    <n v="211074"/>
    <n v="2217375"/>
    <x v="45"/>
    <x v="84"/>
    <s v="AGLIO OLIO"/>
    <n v="3200"/>
    <n v="16"/>
    <n v="51200"/>
    <m/>
  </r>
  <r>
    <x v="11"/>
    <s v="AUG"/>
    <x v="40"/>
    <s v="GRSM 7"/>
    <x v="5"/>
    <s v="GMM"/>
    <n v="211074"/>
    <n v="2217375"/>
    <x v="45"/>
    <x v="84"/>
    <s v="GORENG"/>
    <n v="3200"/>
    <n v="220"/>
    <n v="704000"/>
    <n v="160"/>
  </r>
  <r>
    <x v="11"/>
    <s v="AUG"/>
    <x v="40"/>
    <s v="GRSM 7"/>
    <x v="5"/>
    <s v="GMM"/>
    <n v="211074"/>
    <n v="2217375"/>
    <x v="45"/>
    <x v="85"/>
    <s v="BOLOGNESE"/>
    <n v="3200"/>
    <n v="10"/>
    <n v="32000"/>
    <m/>
  </r>
  <r>
    <x v="11"/>
    <s v="AUG"/>
    <x v="40"/>
    <s v="GRSM 7"/>
    <x v="5"/>
    <s v="GMM"/>
    <n v="211074"/>
    <n v="2217375"/>
    <x v="45"/>
    <x v="85"/>
    <s v="CARBONARA"/>
    <n v="3200"/>
    <n v="12"/>
    <n v="38400"/>
    <m/>
  </r>
  <r>
    <x v="11"/>
    <s v="AUG"/>
    <x v="40"/>
    <s v="GRSM 7"/>
    <x v="5"/>
    <s v="GMM"/>
    <n v="211074"/>
    <n v="2217375"/>
    <x v="45"/>
    <x v="85"/>
    <s v="AGLIO OLIO"/>
    <n v="3200"/>
    <n v="16"/>
    <n v="51200"/>
    <m/>
  </r>
  <r>
    <x v="11"/>
    <s v="AUG"/>
    <x v="40"/>
    <s v="GRSM 7"/>
    <x v="5"/>
    <s v="GMM"/>
    <n v="211074"/>
    <n v="2217375"/>
    <x v="45"/>
    <x v="85"/>
    <s v="GORENG"/>
    <n v="3200"/>
    <n v="220"/>
    <n v="704000"/>
    <n v="160"/>
  </r>
  <r>
    <x v="11"/>
    <s v="AUG"/>
    <x v="40"/>
    <s v="GRSM 7"/>
    <x v="5"/>
    <s v="GMM"/>
    <n v="103783"/>
    <n v="7500032"/>
    <x v="58"/>
    <x v="108"/>
    <s v="BOLOGNESE"/>
    <n v="6400"/>
    <n v="44"/>
    <n v="281600"/>
    <m/>
  </r>
  <r>
    <x v="11"/>
    <s v="AUG"/>
    <x v="40"/>
    <s v="GRSM 7"/>
    <x v="5"/>
    <s v="GMM"/>
    <n v="103783"/>
    <n v="7500032"/>
    <x v="58"/>
    <x v="108"/>
    <s v="CARBONARA"/>
    <n v="6400"/>
    <n v="38"/>
    <n v="243200"/>
    <m/>
  </r>
  <r>
    <x v="11"/>
    <s v="AUG"/>
    <x v="40"/>
    <s v="GRSM 7"/>
    <x v="5"/>
    <s v="GMM"/>
    <n v="103783"/>
    <n v="7500032"/>
    <x v="58"/>
    <x v="108"/>
    <s v="AGLIO OLIO"/>
    <n v="6400"/>
    <n v="48"/>
    <n v="307200"/>
    <m/>
  </r>
  <r>
    <x v="11"/>
    <s v="AUG"/>
    <x v="40"/>
    <s v="GRSM 7"/>
    <x v="5"/>
    <s v="GMM"/>
    <n v="103783"/>
    <n v="7500032"/>
    <x v="58"/>
    <x v="108"/>
    <s v="GORENG"/>
    <n v="6400"/>
    <n v="4"/>
    <n v="25600"/>
    <n v="160"/>
  </r>
  <r>
    <x v="11"/>
    <s v="AUG"/>
    <x v="40"/>
    <s v="GRSM 7"/>
    <x v="5"/>
    <s v="GMM"/>
    <n v="103783"/>
    <n v="7500032"/>
    <x v="58"/>
    <x v="112"/>
    <s v="BOLOGNESE"/>
    <n v="6400"/>
    <n v="44"/>
    <n v="281600"/>
    <m/>
  </r>
  <r>
    <x v="11"/>
    <s v="AUG"/>
    <x v="40"/>
    <s v="GRSM 7"/>
    <x v="5"/>
    <s v="GMM"/>
    <n v="103783"/>
    <n v="7500032"/>
    <x v="58"/>
    <x v="112"/>
    <s v="CARBONARA"/>
    <n v="6400"/>
    <n v="38"/>
    <n v="243200"/>
    <m/>
  </r>
  <r>
    <x v="11"/>
    <s v="AUG"/>
    <x v="40"/>
    <s v="GRSM 7"/>
    <x v="5"/>
    <s v="GMM"/>
    <n v="103783"/>
    <n v="7500032"/>
    <x v="58"/>
    <x v="112"/>
    <s v="AGLIO OLIO"/>
    <n v="6400"/>
    <n v="48"/>
    <n v="307200"/>
    <m/>
  </r>
  <r>
    <x v="11"/>
    <s v="AUG"/>
    <x v="40"/>
    <s v="GRSM 7"/>
    <x v="5"/>
    <s v="GMM"/>
    <n v="103783"/>
    <n v="7500032"/>
    <x v="58"/>
    <x v="112"/>
    <s v="GORENG"/>
    <n v="6400"/>
    <n v="4"/>
    <n v="25600"/>
    <n v="160"/>
  </r>
  <r>
    <x v="11"/>
    <s v="AUG"/>
    <x v="40"/>
    <s v="GRSM 7"/>
    <x v="5"/>
    <s v="GMM"/>
    <n v="103240"/>
    <n v="7112059"/>
    <x v="46"/>
    <x v="86"/>
    <s v="BOLOGNESE"/>
    <n v="3200"/>
    <n v="64"/>
    <n v="204800"/>
    <m/>
  </r>
  <r>
    <x v="11"/>
    <s v="AUG"/>
    <x v="40"/>
    <s v="GRSM 7"/>
    <x v="5"/>
    <s v="GMM"/>
    <n v="103240"/>
    <n v="7112059"/>
    <x v="46"/>
    <x v="86"/>
    <s v="CARBONARA"/>
    <n v="3200"/>
    <n v="62"/>
    <n v="198400"/>
    <m/>
  </r>
  <r>
    <x v="11"/>
    <s v="AUG"/>
    <x v="40"/>
    <s v="GRSM 7"/>
    <x v="5"/>
    <s v="GMM"/>
    <n v="103240"/>
    <n v="7112059"/>
    <x v="46"/>
    <x v="86"/>
    <s v="AGLIO OLIO"/>
    <n v="3200"/>
    <n v="0"/>
    <n v="0"/>
    <m/>
  </r>
  <r>
    <x v="11"/>
    <s v="AUG"/>
    <x v="40"/>
    <s v="GRSM 7"/>
    <x v="5"/>
    <s v="GMM"/>
    <n v="103240"/>
    <n v="7112059"/>
    <x v="46"/>
    <x v="86"/>
    <s v="GORENG"/>
    <n v="3200"/>
    <n v="68"/>
    <n v="217600"/>
    <n v="160"/>
  </r>
  <r>
    <x v="11"/>
    <s v="AUG"/>
    <x v="40"/>
    <s v="GRSM 7"/>
    <x v="5"/>
    <s v="GMM"/>
    <n v="103240"/>
    <n v="7112059"/>
    <x v="46"/>
    <x v="87"/>
    <s v="BOLOGNESE"/>
    <n v="3200"/>
    <n v="64"/>
    <n v="204800"/>
    <m/>
  </r>
  <r>
    <x v="11"/>
    <s v="AUG"/>
    <x v="40"/>
    <s v="GRSM 7"/>
    <x v="5"/>
    <s v="GMM"/>
    <n v="103240"/>
    <n v="7112059"/>
    <x v="46"/>
    <x v="87"/>
    <s v="CARBONARA"/>
    <n v="3200"/>
    <n v="62"/>
    <n v="198400"/>
    <m/>
  </r>
  <r>
    <x v="11"/>
    <s v="AUG"/>
    <x v="40"/>
    <s v="GRSM 7"/>
    <x v="5"/>
    <s v="GMM"/>
    <n v="103240"/>
    <n v="7112059"/>
    <x v="46"/>
    <x v="87"/>
    <s v="AGLIO OLIO"/>
    <n v="3200"/>
    <n v="0"/>
    <n v="0"/>
    <m/>
  </r>
  <r>
    <x v="11"/>
    <s v="AUG"/>
    <x v="40"/>
    <s v="GRSM 7"/>
    <x v="5"/>
    <s v="GMM"/>
    <n v="103240"/>
    <n v="7112059"/>
    <x v="46"/>
    <x v="87"/>
    <s v="GORENG"/>
    <n v="3200"/>
    <n v="68"/>
    <n v="217600"/>
    <n v="160"/>
  </r>
  <r>
    <x v="11"/>
    <s v="AUG"/>
    <x v="40"/>
    <s v="GRSM 7"/>
    <x v="5"/>
    <s v="GMM"/>
    <n v="103783"/>
    <n v="7500090"/>
    <x v="59"/>
    <x v="113"/>
    <s v="BOLOGNESE"/>
    <n v="6750"/>
    <n v="28"/>
    <n v="189000"/>
    <m/>
  </r>
  <r>
    <x v="11"/>
    <s v="AUG"/>
    <x v="40"/>
    <s v="GRSM 7"/>
    <x v="5"/>
    <s v="GMM"/>
    <n v="103783"/>
    <n v="7500090"/>
    <x v="59"/>
    <x v="113"/>
    <s v="CARBONARA"/>
    <n v="6750"/>
    <n v="30"/>
    <n v="202500"/>
    <m/>
  </r>
  <r>
    <x v="11"/>
    <s v="AUG"/>
    <x v="40"/>
    <s v="GRSM 7"/>
    <x v="5"/>
    <s v="GMM"/>
    <n v="103783"/>
    <n v="7500090"/>
    <x v="59"/>
    <x v="113"/>
    <s v="AGLIO OLIO"/>
    <n v="6750"/>
    <n v="18"/>
    <n v="121500"/>
    <m/>
  </r>
  <r>
    <x v="11"/>
    <s v="AUG"/>
    <x v="40"/>
    <s v="GRSM 7"/>
    <x v="5"/>
    <s v="GMM"/>
    <n v="103783"/>
    <n v="7500090"/>
    <x v="59"/>
    <x v="113"/>
    <s v="GORENG"/>
    <n v="6750"/>
    <n v="62"/>
    <n v="418500"/>
    <n v="160"/>
  </r>
  <r>
    <x v="11"/>
    <s v="AUG"/>
    <x v="40"/>
    <s v="GRSM 7"/>
    <x v="5"/>
    <s v="GMM"/>
    <n v="103783"/>
    <n v="7500090"/>
    <x v="59"/>
    <x v="114"/>
    <s v="BOLOGNESE"/>
    <n v="6750"/>
    <n v="28"/>
    <n v="189000"/>
    <m/>
  </r>
  <r>
    <x v="11"/>
    <s v="AUG"/>
    <x v="40"/>
    <s v="GRSM 7"/>
    <x v="5"/>
    <s v="GMM"/>
    <n v="103783"/>
    <n v="7500090"/>
    <x v="59"/>
    <x v="114"/>
    <s v="CARBONARA"/>
    <n v="6750"/>
    <n v="30"/>
    <n v="202500"/>
    <m/>
  </r>
  <r>
    <x v="11"/>
    <s v="AUG"/>
    <x v="40"/>
    <s v="GRSM 7"/>
    <x v="5"/>
    <s v="GMM"/>
    <n v="103783"/>
    <n v="7500090"/>
    <x v="59"/>
    <x v="114"/>
    <s v="AGLIO OLIO"/>
    <n v="6750"/>
    <n v="18"/>
    <n v="121500"/>
    <m/>
  </r>
  <r>
    <x v="11"/>
    <s v="AUG"/>
    <x v="40"/>
    <s v="GRSM 7"/>
    <x v="5"/>
    <s v="GMM"/>
    <n v="103783"/>
    <n v="7500090"/>
    <x v="59"/>
    <x v="114"/>
    <s v="GORENG"/>
    <n v="6750"/>
    <n v="62"/>
    <n v="418500"/>
    <n v="160"/>
  </r>
  <r>
    <x v="11"/>
    <s v="AUG"/>
    <x v="38"/>
    <s v="GRSM 6"/>
    <x v="6"/>
    <s v="GMM"/>
    <n v="211030"/>
    <n v="5766116"/>
    <x v="49"/>
    <x v="92"/>
    <s v="BOLOGNESE"/>
    <n v="6000"/>
    <n v="39"/>
    <n v="234000"/>
    <m/>
  </r>
  <r>
    <x v="11"/>
    <s v="AUG"/>
    <x v="38"/>
    <s v="GRSM 6"/>
    <x v="6"/>
    <s v="GMM"/>
    <n v="211030"/>
    <n v="5766116"/>
    <x v="49"/>
    <x v="92"/>
    <s v="CARBONARA"/>
    <n v="6000"/>
    <n v="16"/>
    <n v="96000"/>
    <m/>
  </r>
  <r>
    <x v="11"/>
    <s v="AUG"/>
    <x v="38"/>
    <s v="GRSM 6"/>
    <x v="6"/>
    <s v="GMM"/>
    <n v="211030"/>
    <n v="5766116"/>
    <x v="49"/>
    <x v="92"/>
    <s v="AGLIO OLIO"/>
    <n v="6000"/>
    <n v="36"/>
    <n v="216000"/>
    <m/>
  </r>
  <r>
    <x v="11"/>
    <s v="AUG"/>
    <x v="38"/>
    <s v="GRSM 6"/>
    <x v="6"/>
    <s v="GMM"/>
    <n v="211030"/>
    <n v="5766116"/>
    <x v="49"/>
    <x v="92"/>
    <s v="GORENG"/>
    <n v="6000"/>
    <n v="120"/>
    <n v="720000"/>
    <m/>
  </r>
  <r>
    <x v="11"/>
    <s v="AUG"/>
    <x v="38"/>
    <s v="GRSM 6"/>
    <x v="6"/>
    <s v="GMM"/>
    <n v="211030"/>
    <n v="5766116"/>
    <x v="49"/>
    <x v="93"/>
    <s v="BOLOGNESE"/>
    <n v="6000"/>
    <n v="39"/>
    <n v="234000"/>
    <m/>
  </r>
  <r>
    <x v="11"/>
    <s v="AUG"/>
    <x v="38"/>
    <s v="GRSM 6"/>
    <x v="6"/>
    <s v="GMM"/>
    <n v="211030"/>
    <n v="5766116"/>
    <x v="49"/>
    <x v="93"/>
    <s v="CARBONARA"/>
    <n v="6000"/>
    <n v="16"/>
    <n v="96000"/>
    <m/>
  </r>
  <r>
    <x v="11"/>
    <s v="AUG"/>
    <x v="38"/>
    <s v="GRSM 6"/>
    <x v="6"/>
    <s v="GMM"/>
    <n v="211030"/>
    <n v="5766116"/>
    <x v="49"/>
    <x v="93"/>
    <s v="AGLIO OLIO"/>
    <n v="6000"/>
    <n v="36"/>
    <n v="216000"/>
    <m/>
  </r>
  <r>
    <x v="11"/>
    <s v="AUG"/>
    <x v="38"/>
    <s v="GRSM 6"/>
    <x v="6"/>
    <s v="GMM"/>
    <n v="211030"/>
    <n v="5766116"/>
    <x v="49"/>
    <x v="93"/>
    <s v="GORENG"/>
    <n v="6000"/>
    <n v="120"/>
    <n v="720000"/>
    <m/>
  </r>
  <r>
    <x v="11"/>
    <s v="AUG"/>
    <x v="38"/>
    <s v="GRSM 6"/>
    <x v="6"/>
    <s v="GMM"/>
    <n v="211030"/>
    <n v="5765035"/>
    <x v="52"/>
    <x v="99"/>
    <s v="BOLOGNESE"/>
    <n v="5860"/>
    <n v="14"/>
    <n v="82040"/>
    <m/>
  </r>
  <r>
    <x v="11"/>
    <s v="AUG"/>
    <x v="38"/>
    <s v="GRSM 6"/>
    <x v="6"/>
    <s v="GMM"/>
    <n v="211030"/>
    <n v="5765035"/>
    <x v="52"/>
    <x v="99"/>
    <s v="CARBONARA"/>
    <n v="5860"/>
    <n v="7"/>
    <n v="41020"/>
    <m/>
  </r>
  <r>
    <x v="11"/>
    <s v="AUG"/>
    <x v="38"/>
    <s v="GRSM 6"/>
    <x v="6"/>
    <s v="GMM"/>
    <n v="211030"/>
    <n v="5765035"/>
    <x v="52"/>
    <x v="99"/>
    <s v="AGLIO OLIO"/>
    <n v="5860"/>
    <n v="2"/>
    <n v="11720"/>
    <m/>
  </r>
  <r>
    <x v="11"/>
    <s v="AUG"/>
    <x v="38"/>
    <s v="GRSM 6"/>
    <x v="6"/>
    <s v="GMM"/>
    <n v="211030"/>
    <n v="5765035"/>
    <x v="52"/>
    <x v="99"/>
    <s v="GORENG"/>
    <n v="5860"/>
    <n v="30"/>
    <n v="175800"/>
    <n v="150"/>
  </r>
  <r>
    <x v="11"/>
    <s v="AUG"/>
    <x v="38"/>
    <s v="GRSM 6"/>
    <x v="6"/>
    <s v="GMM"/>
    <n v="211161"/>
    <n v="710355"/>
    <x v="51"/>
    <x v="97"/>
    <s v="BOLOGNESE"/>
    <n v="2950"/>
    <n v="12"/>
    <n v="35400"/>
    <m/>
  </r>
  <r>
    <x v="11"/>
    <s v="AUG"/>
    <x v="38"/>
    <s v="GRSM 6"/>
    <x v="6"/>
    <s v="GMM"/>
    <n v="211161"/>
    <n v="710355"/>
    <x v="51"/>
    <x v="97"/>
    <s v="CARBONARA"/>
    <n v="2950"/>
    <n v="9"/>
    <n v="26550"/>
    <m/>
  </r>
  <r>
    <x v="11"/>
    <s v="AUG"/>
    <x v="38"/>
    <s v="GRSM 6"/>
    <x v="6"/>
    <s v="GMM"/>
    <n v="211161"/>
    <n v="710355"/>
    <x v="51"/>
    <x v="97"/>
    <s v="AGLIO OLIO"/>
    <n v="2950"/>
    <n v="6"/>
    <n v="17700"/>
    <m/>
  </r>
  <r>
    <x v="11"/>
    <s v="AUG"/>
    <x v="38"/>
    <s v="GRSM 6"/>
    <x v="6"/>
    <s v="GMM"/>
    <n v="211161"/>
    <n v="710355"/>
    <x v="51"/>
    <x v="97"/>
    <s v="GORENG"/>
    <n v="2950"/>
    <n v="45"/>
    <n v="132750"/>
    <m/>
  </r>
  <r>
    <x v="11"/>
    <s v="AUG"/>
    <x v="38"/>
    <s v="GRSM 6"/>
    <x v="6"/>
    <s v="GMM"/>
    <n v="211161"/>
    <n v="710355"/>
    <x v="51"/>
    <x v="96"/>
    <s v="BOLOGNESE"/>
    <n v="2950"/>
    <n v="12"/>
    <n v="35400"/>
    <m/>
  </r>
  <r>
    <x v="11"/>
    <s v="AUG"/>
    <x v="38"/>
    <s v="GRSM 6"/>
    <x v="6"/>
    <s v="GMM"/>
    <n v="211161"/>
    <n v="710355"/>
    <x v="51"/>
    <x v="96"/>
    <s v="CARBONARA"/>
    <n v="2950"/>
    <n v="9"/>
    <n v="26550"/>
    <m/>
  </r>
  <r>
    <x v="11"/>
    <s v="AUG"/>
    <x v="38"/>
    <s v="GRSM 6"/>
    <x v="6"/>
    <s v="GMM"/>
    <n v="211161"/>
    <n v="710355"/>
    <x v="51"/>
    <x v="96"/>
    <s v="AGLIO OLIO"/>
    <n v="2950"/>
    <n v="6"/>
    <n v="17700"/>
    <m/>
  </r>
  <r>
    <x v="11"/>
    <s v="AUG"/>
    <x v="38"/>
    <s v="GRSM 6"/>
    <x v="6"/>
    <s v="GMM"/>
    <n v="211161"/>
    <n v="710355"/>
    <x v="51"/>
    <x v="96"/>
    <s v="GORENG"/>
    <n v="2950"/>
    <n v="45"/>
    <n v="132750"/>
    <m/>
  </r>
  <r>
    <x v="11"/>
    <s v="AUG"/>
    <x v="38"/>
    <s v="GRSM 6"/>
    <x v="6"/>
    <s v="GMM"/>
    <n v="211030"/>
    <n v="5765035"/>
    <x v="52"/>
    <x v="98"/>
    <s v="BOLOGNESE"/>
    <n v="3145"/>
    <n v="90"/>
    <n v="283050"/>
    <m/>
  </r>
  <r>
    <x v="11"/>
    <s v="AUG"/>
    <x v="38"/>
    <s v="GRSM 6"/>
    <x v="6"/>
    <s v="GMM"/>
    <n v="211030"/>
    <n v="5765035"/>
    <x v="52"/>
    <x v="98"/>
    <s v="CARBONARA"/>
    <n v="3145"/>
    <n v="15"/>
    <n v="47175"/>
    <m/>
  </r>
  <r>
    <x v="11"/>
    <s v="AUG"/>
    <x v="38"/>
    <s v="GRSM 6"/>
    <x v="6"/>
    <s v="GMM"/>
    <n v="211030"/>
    <n v="5765035"/>
    <x v="52"/>
    <x v="98"/>
    <s v="AGLIO OLIO"/>
    <n v="3145"/>
    <n v="9"/>
    <n v="28305"/>
    <m/>
  </r>
  <r>
    <x v="11"/>
    <s v="AUG"/>
    <x v="38"/>
    <s v="GRSM 6"/>
    <x v="6"/>
    <s v="GMM"/>
    <n v="211030"/>
    <n v="5765035"/>
    <x v="52"/>
    <x v="98"/>
    <s v="GORENG"/>
    <n v="3145"/>
    <n v="126"/>
    <n v="396270"/>
    <n v="150"/>
  </r>
  <r>
    <x v="11"/>
    <s v="AUG"/>
    <x v="39"/>
    <s v="GRSM 6"/>
    <x v="6"/>
    <s v="GMM"/>
    <n v="211030"/>
    <n v="5765035"/>
    <x v="52"/>
    <x v="98"/>
    <s v="BOLOGNESE"/>
    <n v="3145"/>
    <n v="33"/>
    <n v="103785"/>
    <m/>
  </r>
  <r>
    <x v="11"/>
    <s v="AUG"/>
    <x v="39"/>
    <s v="GRSM 6"/>
    <x v="6"/>
    <s v="GMM"/>
    <n v="211030"/>
    <n v="5765035"/>
    <x v="52"/>
    <x v="98"/>
    <s v="CARBONARA"/>
    <n v="3145"/>
    <n v="36"/>
    <n v="113220"/>
    <m/>
  </r>
  <r>
    <x v="11"/>
    <s v="AUG"/>
    <x v="39"/>
    <s v="GRSM 6"/>
    <x v="6"/>
    <s v="GMM"/>
    <n v="211030"/>
    <n v="5765035"/>
    <x v="52"/>
    <x v="98"/>
    <s v="AGLIO OLIO"/>
    <n v="3145"/>
    <n v="21"/>
    <n v="66045"/>
    <m/>
  </r>
  <r>
    <x v="11"/>
    <s v="AUG"/>
    <x v="39"/>
    <s v="GRSM 6"/>
    <x v="6"/>
    <s v="GMM"/>
    <n v="211030"/>
    <n v="5765035"/>
    <x v="52"/>
    <x v="98"/>
    <s v="GORENG"/>
    <n v="3145"/>
    <n v="249"/>
    <n v="783105"/>
    <n v="160"/>
  </r>
  <r>
    <x v="11"/>
    <s v="AUG"/>
    <x v="39"/>
    <s v="GRSM 6"/>
    <x v="6"/>
    <s v="GMM"/>
    <n v="211161"/>
    <n v="7103"/>
    <x v="48"/>
    <x v="90"/>
    <s v="BOLOGNESE"/>
    <n v="2400"/>
    <n v="142"/>
    <n v="340800"/>
    <m/>
  </r>
  <r>
    <x v="11"/>
    <s v="AUG"/>
    <x v="39"/>
    <s v="GRSM 6"/>
    <x v="6"/>
    <s v="GMM"/>
    <n v="211161"/>
    <n v="7103"/>
    <x v="48"/>
    <x v="90"/>
    <s v="CARBONARA"/>
    <n v="2400"/>
    <n v="42"/>
    <n v="100800"/>
    <m/>
  </r>
  <r>
    <x v="11"/>
    <s v="AUG"/>
    <x v="39"/>
    <s v="GRSM 6"/>
    <x v="6"/>
    <s v="GMM"/>
    <n v="211161"/>
    <n v="7103"/>
    <x v="48"/>
    <x v="90"/>
    <s v="AGLIO OLIO"/>
    <n v="2400"/>
    <n v="38"/>
    <n v="91200"/>
    <m/>
  </r>
  <r>
    <x v="11"/>
    <s v="AUG"/>
    <x v="39"/>
    <s v="GRSM 6"/>
    <x v="6"/>
    <s v="GMM"/>
    <n v="211161"/>
    <n v="7103"/>
    <x v="48"/>
    <x v="90"/>
    <s v="GORENG"/>
    <n v="2400"/>
    <n v="308"/>
    <n v="739200"/>
    <m/>
  </r>
  <r>
    <x v="11"/>
    <s v="AUG"/>
    <x v="39"/>
    <s v="GRSM 6"/>
    <x v="6"/>
    <s v="GMM"/>
    <n v="170208"/>
    <n v="5765011"/>
    <x v="47"/>
    <x v="88"/>
    <s v="BOLOGNESE"/>
    <n v="2950"/>
    <n v="83"/>
    <n v="244850"/>
    <m/>
  </r>
  <r>
    <x v="11"/>
    <s v="AUG"/>
    <x v="39"/>
    <s v="GRSM 6"/>
    <x v="6"/>
    <s v="GMM"/>
    <n v="170208"/>
    <n v="5765011"/>
    <x v="47"/>
    <x v="88"/>
    <s v="CARBONARA"/>
    <n v="2950"/>
    <n v="109"/>
    <n v="321550"/>
    <m/>
  </r>
  <r>
    <x v="11"/>
    <s v="AUG"/>
    <x v="39"/>
    <s v="GRSM 6"/>
    <x v="6"/>
    <s v="GMM"/>
    <n v="170208"/>
    <n v="5765011"/>
    <x v="47"/>
    <x v="88"/>
    <s v="AGLIO OLIO"/>
    <n v="2950"/>
    <n v="88"/>
    <n v="259600"/>
    <m/>
  </r>
  <r>
    <x v="11"/>
    <s v="AUG"/>
    <x v="39"/>
    <s v="GRSM 6"/>
    <x v="6"/>
    <s v="GMM"/>
    <n v="170208"/>
    <n v="5765011"/>
    <x v="47"/>
    <x v="88"/>
    <s v="GORENG"/>
    <n v="2950"/>
    <n v="103"/>
    <n v="303850"/>
    <n v="160"/>
  </r>
  <r>
    <x v="11"/>
    <s v="AUG"/>
    <x v="39"/>
    <s v="GRSM 6"/>
    <x v="6"/>
    <s v="GMM"/>
    <n v="170208"/>
    <n v="5765011"/>
    <x v="47"/>
    <x v="89"/>
    <s v="BOLOGNESE"/>
    <n v="2950"/>
    <n v="83"/>
    <n v="244850"/>
    <m/>
  </r>
  <r>
    <x v="11"/>
    <s v="AUG"/>
    <x v="39"/>
    <s v="GRSM 6"/>
    <x v="6"/>
    <s v="GMM"/>
    <n v="170208"/>
    <n v="5765011"/>
    <x v="47"/>
    <x v="89"/>
    <s v="CARBONARA"/>
    <n v="2950"/>
    <n v="109"/>
    <n v="321550"/>
    <m/>
  </r>
  <r>
    <x v="11"/>
    <s v="AUG"/>
    <x v="39"/>
    <s v="GRSM 6"/>
    <x v="6"/>
    <s v="GMM"/>
    <n v="170208"/>
    <n v="5765011"/>
    <x v="47"/>
    <x v="89"/>
    <s v="AGLIO OLIO"/>
    <n v="2950"/>
    <n v="88"/>
    <n v="259600"/>
    <m/>
  </r>
  <r>
    <x v="11"/>
    <s v="AUG"/>
    <x v="39"/>
    <s v="GRSM 6"/>
    <x v="6"/>
    <s v="GMM"/>
    <n v="170208"/>
    <n v="5765011"/>
    <x v="47"/>
    <x v="89"/>
    <s v="GORENG"/>
    <n v="2950"/>
    <n v="103"/>
    <n v="303850"/>
    <n v="160"/>
  </r>
  <r>
    <x v="11"/>
    <s v="AUG"/>
    <x v="39"/>
    <s v="GRSM 6"/>
    <x v="6"/>
    <s v="GMM"/>
    <n v="211161"/>
    <n v="710355"/>
    <x v="51"/>
    <x v="97"/>
    <s v="BOLOGNESE"/>
    <n v="6201"/>
    <n v="18"/>
    <n v="111618"/>
    <m/>
  </r>
  <r>
    <x v="11"/>
    <s v="AUG"/>
    <x v="39"/>
    <s v="GRSM 6"/>
    <x v="6"/>
    <s v="GMM"/>
    <n v="211161"/>
    <n v="710355"/>
    <x v="51"/>
    <x v="97"/>
    <s v="CARBONARA"/>
    <n v="6201"/>
    <n v="18"/>
    <n v="111618"/>
    <m/>
  </r>
  <r>
    <x v="11"/>
    <s v="AUG"/>
    <x v="39"/>
    <s v="GRSM 6"/>
    <x v="6"/>
    <s v="GMM"/>
    <n v="211161"/>
    <n v="710355"/>
    <x v="51"/>
    <x v="97"/>
    <s v="AGLIO OLIO"/>
    <n v="6201"/>
    <n v="18"/>
    <n v="111618"/>
    <m/>
  </r>
  <r>
    <x v="11"/>
    <s v="AUG"/>
    <x v="39"/>
    <s v="GRSM 6"/>
    <x v="6"/>
    <s v="GMM"/>
    <n v="211161"/>
    <n v="710355"/>
    <x v="51"/>
    <x v="97"/>
    <s v="GORENG"/>
    <n v="6201"/>
    <n v="93"/>
    <n v="576693"/>
    <n v="160"/>
  </r>
  <r>
    <x v="11"/>
    <s v="AUG"/>
    <x v="39"/>
    <s v="GRSM 6"/>
    <x v="6"/>
    <s v="GMM"/>
    <n v="211161"/>
    <n v="710355"/>
    <x v="51"/>
    <x v="96"/>
    <s v="BOLOGNESE"/>
    <n v="6201"/>
    <n v="18"/>
    <n v="111618"/>
    <m/>
  </r>
  <r>
    <x v="11"/>
    <s v="AUG"/>
    <x v="39"/>
    <s v="GRSM 6"/>
    <x v="6"/>
    <s v="GMM"/>
    <n v="211161"/>
    <n v="710355"/>
    <x v="51"/>
    <x v="96"/>
    <s v="CARBONARA"/>
    <n v="6201"/>
    <n v="18"/>
    <n v="111618"/>
    <m/>
  </r>
  <r>
    <x v="11"/>
    <s v="AUG"/>
    <x v="39"/>
    <s v="GRSM 6"/>
    <x v="6"/>
    <s v="GMM"/>
    <n v="211161"/>
    <n v="710355"/>
    <x v="51"/>
    <x v="96"/>
    <s v="AGLIO OLIO"/>
    <n v="6201"/>
    <n v="18"/>
    <n v="111618"/>
    <m/>
  </r>
  <r>
    <x v="11"/>
    <s v="AUG"/>
    <x v="39"/>
    <s v="GRSM 6"/>
    <x v="6"/>
    <s v="GMM"/>
    <n v="211161"/>
    <n v="710355"/>
    <x v="51"/>
    <x v="96"/>
    <s v="GORENG"/>
    <n v="6201"/>
    <n v="93"/>
    <n v="576693"/>
    <n v="160"/>
  </r>
  <r>
    <x v="11"/>
    <s v="AUG"/>
    <x v="39"/>
    <s v="GRSM 6"/>
    <x v="6"/>
    <s v="GMM"/>
    <n v="211030"/>
    <n v="5765035"/>
    <x v="52"/>
    <x v="99"/>
    <s v="BOLOGNESE"/>
    <n v="3145"/>
    <n v="11"/>
    <n v="34595"/>
    <m/>
  </r>
  <r>
    <x v="11"/>
    <s v="AUG"/>
    <x v="39"/>
    <s v="GRSM 6"/>
    <x v="6"/>
    <s v="GMM"/>
    <n v="211030"/>
    <n v="5765035"/>
    <x v="52"/>
    <x v="99"/>
    <s v="CARBONARA"/>
    <n v="3145"/>
    <n v="12"/>
    <n v="37740"/>
    <m/>
  </r>
  <r>
    <x v="11"/>
    <s v="AUG"/>
    <x v="39"/>
    <s v="GRSM 6"/>
    <x v="6"/>
    <s v="GMM"/>
    <n v="211030"/>
    <n v="5765035"/>
    <x v="52"/>
    <x v="99"/>
    <s v="AGLIO OLIO"/>
    <n v="3145"/>
    <n v="7"/>
    <n v="22015"/>
    <m/>
  </r>
  <r>
    <x v="11"/>
    <s v="AUG"/>
    <x v="39"/>
    <s v="GRSM 6"/>
    <x v="6"/>
    <s v="GMM"/>
    <n v="211030"/>
    <n v="5765035"/>
    <x v="52"/>
    <x v="99"/>
    <s v="GORENG"/>
    <n v="3145"/>
    <n v="83"/>
    <n v="261035"/>
    <n v="160"/>
  </r>
  <r>
    <x v="11"/>
    <s v="AUG"/>
    <x v="39"/>
    <s v="GRSM 6"/>
    <x v="6"/>
    <s v="GMM"/>
    <n v="211030"/>
    <n v="5766116"/>
    <x v="49"/>
    <x v="92"/>
    <s v="BOLOGNESE"/>
    <n v="6000"/>
    <n v="44"/>
    <n v="264000"/>
    <m/>
  </r>
  <r>
    <x v="11"/>
    <s v="AUG"/>
    <x v="39"/>
    <s v="GRSM 6"/>
    <x v="6"/>
    <s v="GMM"/>
    <n v="211030"/>
    <n v="5766116"/>
    <x v="49"/>
    <x v="92"/>
    <s v="CARBONARA"/>
    <n v="6000"/>
    <n v="30"/>
    <n v="180000"/>
    <m/>
  </r>
  <r>
    <x v="11"/>
    <s v="AUG"/>
    <x v="39"/>
    <s v="GRSM 6"/>
    <x v="6"/>
    <s v="GMM"/>
    <n v="211030"/>
    <n v="5766116"/>
    <x v="49"/>
    <x v="92"/>
    <s v="AGLIO OLIO"/>
    <n v="6000"/>
    <n v="57"/>
    <n v="342000"/>
    <m/>
  </r>
  <r>
    <x v="11"/>
    <s v="AUG"/>
    <x v="39"/>
    <s v="GRSM 6"/>
    <x v="6"/>
    <s v="GMM"/>
    <n v="211030"/>
    <n v="5766116"/>
    <x v="49"/>
    <x v="92"/>
    <s v="GORENG"/>
    <n v="6000"/>
    <n v="88"/>
    <n v="528000"/>
    <m/>
  </r>
  <r>
    <x v="11"/>
    <s v="AUG"/>
    <x v="39"/>
    <s v="GRSM 6"/>
    <x v="6"/>
    <s v="GMM"/>
    <n v="211030"/>
    <n v="5766116"/>
    <x v="49"/>
    <x v="93"/>
    <s v="BOLOGNESE"/>
    <n v="6000"/>
    <n v="44"/>
    <n v="264000"/>
    <m/>
  </r>
  <r>
    <x v="11"/>
    <s v="AUG"/>
    <x v="39"/>
    <s v="GRSM 6"/>
    <x v="6"/>
    <s v="GMM"/>
    <n v="211030"/>
    <n v="5766116"/>
    <x v="49"/>
    <x v="93"/>
    <s v="CARBONARA"/>
    <n v="6000"/>
    <n v="30"/>
    <n v="180000"/>
    <m/>
  </r>
  <r>
    <x v="11"/>
    <s v="AUG"/>
    <x v="39"/>
    <s v="GRSM 6"/>
    <x v="6"/>
    <s v="GMM"/>
    <n v="211030"/>
    <n v="5766116"/>
    <x v="49"/>
    <x v="93"/>
    <s v="AGLIO OLIO"/>
    <n v="6000"/>
    <n v="57"/>
    <n v="342000"/>
    <m/>
  </r>
  <r>
    <x v="11"/>
    <s v="AUG"/>
    <x v="39"/>
    <s v="GRSM 6"/>
    <x v="6"/>
    <s v="GMM"/>
    <n v="211030"/>
    <n v="5766116"/>
    <x v="49"/>
    <x v="93"/>
    <s v="GORENG"/>
    <n v="6000"/>
    <n v="88"/>
    <n v="528000"/>
    <m/>
  </r>
  <r>
    <x v="11"/>
    <s v="AUG"/>
    <x v="40"/>
    <s v="GRSM 6"/>
    <x v="6"/>
    <s v="GMM"/>
    <n v="211030"/>
    <n v="5765035"/>
    <x v="52"/>
    <x v="98"/>
    <s v="BOLOGNESE"/>
    <n v="3145"/>
    <n v="51"/>
    <n v="160395"/>
    <m/>
  </r>
  <r>
    <x v="11"/>
    <s v="AUG"/>
    <x v="40"/>
    <s v="GRSM 6"/>
    <x v="6"/>
    <s v="GMM"/>
    <n v="211030"/>
    <n v="5765035"/>
    <x v="52"/>
    <x v="98"/>
    <s v="CARBONARA"/>
    <n v="3145"/>
    <n v="39"/>
    <n v="122655"/>
    <m/>
  </r>
  <r>
    <x v="11"/>
    <s v="AUG"/>
    <x v="40"/>
    <s v="GRSM 6"/>
    <x v="6"/>
    <s v="GMM"/>
    <n v="211030"/>
    <n v="5765035"/>
    <x v="52"/>
    <x v="98"/>
    <s v="AGLIO OLIO"/>
    <n v="3145"/>
    <n v="8"/>
    <n v="25160"/>
    <m/>
  </r>
  <r>
    <x v="11"/>
    <s v="AUG"/>
    <x v="40"/>
    <s v="GRSM 6"/>
    <x v="6"/>
    <s v="GMM"/>
    <n v="211030"/>
    <n v="5765035"/>
    <x v="52"/>
    <x v="98"/>
    <s v="GORENG"/>
    <n v="3145"/>
    <n v="92"/>
    <n v="289340"/>
    <n v="160"/>
  </r>
  <r>
    <x v="11"/>
    <s v="AUG"/>
    <x v="40"/>
    <s v="GRSM 6"/>
    <x v="6"/>
    <s v="GMM"/>
    <n v="170208"/>
    <n v="5765022"/>
    <x v="60"/>
    <x v="94"/>
    <s v="BOLOGNESE"/>
    <n v="5900"/>
    <n v="50"/>
    <n v="295000"/>
    <m/>
  </r>
  <r>
    <x v="11"/>
    <s v="AUG"/>
    <x v="40"/>
    <s v="GRSM 6"/>
    <x v="6"/>
    <s v="GMM"/>
    <n v="170208"/>
    <n v="5765022"/>
    <x v="60"/>
    <x v="94"/>
    <s v="CARBONARA"/>
    <n v="5900"/>
    <n v="49"/>
    <n v="289100"/>
    <m/>
  </r>
  <r>
    <x v="11"/>
    <s v="AUG"/>
    <x v="40"/>
    <s v="GRSM 6"/>
    <x v="6"/>
    <s v="GMM"/>
    <n v="170208"/>
    <n v="5765022"/>
    <x v="60"/>
    <x v="94"/>
    <s v="AGLIO OLIO"/>
    <n v="5900"/>
    <n v="120"/>
    <n v="708000"/>
    <m/>
  </r>
  <r>
    <x v="11"/>
    <s v="AUG"/>
    <x v="40"/>
    <s v="GRSM 6"/>
    <x v="6"/>
    <s v="GMM"/>
    <n v="170208"/>
    <n v="5765022"/>
    <x v="60"/>
    <x v="94"/>
    <s v="GORENG"/>
    <n v="5900"/>
    <n v="64"/>
    <n v="377600"/>
    <n v="160"/>
  </r>
  <r>
    <x v="11"/>
    <s v="AUG"/>
    <x v="40"/>
    <s v="GRSM 6"/>
    <x v="6"/>
    <s v="GMM"/>
    <n v="170208"/>
    <n v="5765022"/>
    <x v="60"/>
    <x v="95"/>
    <s v="BOLOGNESE"/>
    <n v="5900"/>
    <n v="50"/>
    <n v="295000"/>
    <m/>
  </r>
  <r>
    <x v="11"/>
    <s v="AUG"/>
    <x v="40"/>
    <s v="GRSM 6"/>
    <x v="6"/>
    <s v="GMM"/>
    <n v="170208"/>
    <n v="5765022"/>
    <x v="60"/>
    <x v="95"/>
    <s v="CARBONARA"/>
    <n v="5900"/>
    <n v="49"/>
    <n v="289100"/>
    <m/>
  </r>
  <r>
    <x v="11"/>
    <s v="AUG"/>
    <x v="40"/>
    <s v="GRSM 6"/>
    <x v="6"/>
    <s v="GMM"/>
    <n v="170208"/>
    <n v="5765022"/>
    <x v="60"/>
    <x v="95"/>
    <s v="AGLIO OLIO"/>
    <n v="5900"/>
    <n v="120"/>
    <n v="708000"/>
    <m/>
  </r>
  <r>
    <x v="11"/>
    <s v="AUG"/>
    <x v="40"/>
    <s v="GRSM 6"/>
    <x v="6"/>
    <s v="GMM"/>
    <n v="170208"/>
    <n v="5765022"/>
    <x v="60"/>
    <x v="95"/>
    <s v="GORENG"/>
    <n v="5900"/>
    <n v="64"/>
    <n v="377600"/>
    <n v="160"/>
  </r>
  <r>
    <x v="11"/>
    <s v="AUG"/>
    <x v="40"/>
    <s v="GRSM 6"/>
    <x v="6"/>
    <s v="GMM"/>
    <n v="170208"/>
    <n v="5765011"/>
    <x v="47"/>
    <x v="88"/>
    <s v="BOLOGNESE"/>
    <n v="2950"/>
    <n v="2"/>
    <n v="5900"/>
    <m/>
  </r>
  <r>
    <x v="11"/>
    <s v="AUG"/>
    <x v="40"/>
    <s v="GRSM 6"/>
    <x v="6"/>
    <s v="GMM"/>
    <n v="170208"/>
    <n v="5765011"/>
    <x v="47"/>
    <x v="88"/>
    <s v="CARBONARA"/>
    <n v="2950"/>
    <n v="72"/>
    <n v="212400"/>
    <m/>
  </r>
  <r>
    <x v="11"/>
    <s v="AUG"/>
    <x v="40"/>
    <s v="GRSM 6"/>
    <x v="6"/>
    <s v="GMM"/>
    <n v="170208"/>
    <n v="5765011"/>
    <x v="47"/>
    <x v="88"/>
    <s v="AGLIO OLIO"/>
    <n v="2950"/>
    <n v="29"/>
    <n v="85550"/>
    <m/>
  </r>
  <r>
    <x v="11"/>
    <s v="AUG"/>
    <x v="40"/>
    <s v="GRSM 6"/>
    <x v="6"/>
    <s v="GMM"/>
    <n v="170208"/>
    <n v="5765011"/>
    <x v="47"/>
    <x v="88"/>
    <s v="GORENG"/>
    <n v="2950"/>
    <n v="105"/>
    <n v="309750"/>
    <n v="160"/>
  </r>
  <r>
    <x v="11"/>
    <s v="AUG"/>
    <x v="40"/>
    <s v="GRSM 6"/>
    <x v="6"/>
    <s v="GMM"/>
    <n v="211030"/>
    <n v="5766116"/>
    <x v="49"/>
    <x v="93"/>
    <s v="BOLOGNESE"/>
    <n v="6000"/>
    <n v="37"/>
    <n v="222000"/>
    <m/>
  </r>
  <r>
    <x v="11"/>
    <s v="AUG"/>
    <x v="40"/>
    <s v="GRSM 6"/>
    <x v="6"/>
    <s v="GMM"/>
    <n v="211030"/>
    <n v="5766116"/>
    <x v="49"/>
    <x v="93"/>
    <s v="CARBONARA"/>
    <n v="6000"/>
    <n v="20"/>
    <n v="120000"/>
    <m/>
  </r>
  <r>
    <x v="11"/>
    <s v="AUG"/>
    <x v="40"/>
    <s v="GRSM 6"/>
    <x v="6"/>
    <s v="GMM"/>
    <n v="211030"/>
    <n v="5766116"/>
    <x v="49"/>
    <x v="93"/>
    <s v="AGLIO OLIO"/>
    <n v="6000"/>
    <n v="34"/>
    <n v="204000"/>
    <m/>
  </r>
  <r>
    <x v="11"/>
    <s v="AUG"/>
    <x v="40"/>
    <s v="GRSM 6"/>
    <x v="6"/>
    <s v="GMM"/>
    <n v="211030"/>
    <n v="5766116"/>
    <x v="49"/>
    <x v="93"/>
    <s v="GORENG"/>
    <n v="6000"/>
    <n v="43"/>
    <n v="258000"/>
    <m/>
  </r>
  <r>
    <x v="11"/>
    <s v="AUG"/>
    <x v="40"/>
    <s v="GRSM 6"/>
    <x v="6"/>
    <s v="GMM"/>
    <n v="211161"/>
    <n v="710355"/>
    <x v="51"/>
    <x v="97"/>
    <s v="BOLOGNESE"/>
    <n v="6201"/>
    <n v="6"/>
    <n v="37206"/>
    <m/>
  </r>
  <r>
    <x v="11"/>
    <s v="AUG"/>
    <x v="40"/>
    <s v="GRSM 6"/>
    <x v="6"/>
    <s v="GMM"/>
    <n v="211161"/>
    <n v="710355"/>
    <x v="51"/>
    <x v="97"/>
    <s v="CARBONARA"/>
    <n v="6201"/>
    <n v="15"/>
    <n v="93015"/>
    <m/>
  </r>
  <r>
    <x v="11"/>
    <s v="AUG"/>
    <x v="40"/>
    <s v="GRSM 6"/>
    <x v="6"/>
    <s v="GMM"/>
    <n v="211161"/>
    <n v="710355"/>
    <x v="51"/>
    <x v="97"/>
    <s v="AGLIO OLIO"/>
    <n v="6201"/>
    <n v="9"/>
    <n v="55809"/>
    <m/>
  </r>
  <r>
    <x v="11"/>
    <s v="AUG"/>
    <x v="40"/>
    <s v="GRSM 6"/>
    <x v="6"/>
    <s v="GMM"/>
    <n v="211161"/>
    <n v="710355"/>
    <x v="51"/>
    <x v="97"/>
    <s v="GORENG"/>
    <n v="6201"/>
    <n v="84"/>
    <n v="520884"/>
    <m/>
  </r>
  <r>
    <x v="11"/>
    <s v="AUG"/>
    <x v="38"/>
    <s v="GRSM 6"/>
    <x v="6"/>
    <s v="GMM"/>
    <n v="211161"/>
    <n v="7103"/>
    <x v="48"/>
    <x v="91"/>
    <s v="BOLOGNESE"/>
    <n v="2850"/>
    <n v="68"/>
    <n v="193800"/>
    <m/>
  </r>
  <r>
    <x v="11"/>
    <s v="AUG"/>
    <x v="38"/>
    <s v="GRSM 6"/>
    <x v="6"/>
    <s v="GMM"/>
    <n v="211161"/>
    <n v="7103"/>
    <x v="48"/>
    <x v="91"/>
    <s v="CARBONARA"/>
    <n v="2850"/>
    <n v="159"/>
    <n v="453150"/>
    <m/>
  </r>
  <r>
    <x v="11"/>
    <s v="AUG"/>
    <x v="38"/>
    <s v="GRSM 6"/>
    <x v="6"/>
    <s v="GMM"/>
    <n v="211161"/>
    <n v="7103"/>
    <x v="48"/>
    <x v="91"/>
    <s v="AGLIO OLIO"/>
    <n v="2850"/>
    <n v="36"/>
    <n v="102600"/>
    <m/>
  </r>
  <r>
    <x v="11"/>
    <s v="AUG"/>
    <x v="38"/>
    <s v="GRSM 6"/>
    <x v="6"/>
    <s v="GMM"/>
    <n v="211161"/>
    <n v="7103"/>
    <x v="48"/>
    <x v="91"/>
    <s v="GORENG"/>
    <n v="2850"/>
    <n v="424"/>
    <n v="1208400"/>
    <m/>
  </r>
  <r>
    <x v="11"/>
    <s v="AUG"/>
    <x v="38"/>
    <s v="GRSM 6"/>
    <x v="6"/>
    <s v="GMM"/>
    <n v="211161"/>
    <n v="7103"/>
    <x v="48"/>
    <x v="90"/>
    <s v="BOLOGNESE"/>
    <n v="2850"/>
    <n v="68"/>
    <n v="193800"/>
    <m/>
  </r>
  <r>
    <x v="11"/>
    <s v="AUG"/>
    <x v="38"/>
    <s v="GRSM 6"/>
    <x v="6"/>
    <s v="GMM"/>
    <n v="211161"/>
    <n v="7103"/>
    <x v="48"/>
    <x v="90"/>
    <s v="CARBONARA"/>
    <n v="2850"/>
    <n v="159"/>
    <n v="453150"/>
    <m/>
  </r>
  <r>
    <x v="11"/>
    <s v="AUG"/>
    <x v="38"/>
    <s v="GRSM 6"/>
    <x v="6"/>
    <s v="GMM"/>
    <n v="211161"/>
    <n v="7103"/>
    <x v="48"/>
    <x v="90"/>
    <s v="AGLIO OLIO"/>
    <n v="2850"/>
    <n v="36"/>
    <n v="102600"/>
    <m/>
  </r>
  <r>
    <x v="11"/>
    <s v="AUG"/>
    <x v="38"/>
    <s v="GRSM 6"/>
    <x v="6"/>
    <s v="GMM"/>
    <n v="211161"/>
    <n v="7103"/>
    <x v="48"/>
    <x v="90"/>
    <s v="GORENG"/>
    <n v="2850"/>
    <n v="424"/>
    <n v="1208400"/>
    <m/>
  </r>
  <r>
    <x v="11"/>
    <s v="AUG"/>
    <x v="40"/>
    <s v="GRSM 6"/>
    <x v="6"/>
    <s v="GMM"/>
    <n v="211161"/>
    <n v="7103"/>
    <x v="48"/>
    <x v="90"/>
    <s v="BOLOGNESE"/>
    <n v="2850"/>
    <n v="112"/>
    <n v="319200"/>
    <m/>
  </r>
  <r>
    <x v="11"/>
    <s v="AUG"/>
    <x v="40"/>
    <s v="GRSM 6"/>
    <x v="6"/>
    <s v="GMM"/>
    <n v="211161"/>
    <n v="7103"/>
    <x v="48"/>
    <x v="90"/>
    <s v="CARBONARA"/>
    <n v="2850"/>
    <n v="44"/>
    <n v="125400"/>
    <m/>
  </r>
  <r>
    <x v="11"/>
    <s v="AUG"/>
    <x v="40"/>
    <s v="GRSM 6"/>
    <x v="6"/>
    <s v="GMM"/>
    <n v="211161"/>
    <n v="7103"/>
    <x v="48"/>
    <x v="90"/>
    <s v="AGLIO OLIO"/>
    <n v="2850"/>
    <n v="30"/>
    <n v="85500"/>
    <m/>
  </r>
  <r>
    <x v="11"/>
    <s v="AUG"/>
    <x v="40"/>
    <s v="GRSM 6"/>
    <x v="6"/>
    <s v="GMM"/>
    <n v="211161"/>
    <n v="7103"/>
    <x v="48"/>
    <x v="90"/>
    <s v="GORENG"/>
    <n v="2850"/>
    <n v="342"/>
    <n v="974700"/>
    <m/>
  </r>
  <r>
    <x v="11"/>
    <s v="AUG"/>
    <x v="40"/>
    <s v="GRSM 6"/>
    <x v="6"/>
    <s v="GMM"/>
    <n v="211161"/>
    <n v="7103"/>
    <x v="48"/>
    <x v="91"/>
    <s v="BOLOGNESE"/>
    <n v="2850"/>
    <n v="112"/>
    <n v="319200"/>
    <m/>
  </r>
  <r>
    <x v="11"/>
    <s v="AUG"/>
    <x v="40"/>
    <s v="GRSM 6"/>
    <x v="6"/>
    <s v="GMM"/>
    <n v="211161"/>
    <n v="7103"/>
    <x v="48"/>
    <x v="91"/>
    <s v="CARBONARA"/>
    <n v="2850"/>
    <n v="44"/>
    <n v="125400"/>
    <m/>
  </r>
  <r>
    <x v="11"/>
    <s v="AUG"/>
    <x v="40"/>
    <s v="GRSM 6"/>
    <x v="6"/>
    <s v="GMM"/>
    <n v="211161"/>
    <n v="7103"/>
    <x v="48"/>
    <x v="91"/>
    <s v="AGLIO OLIO"/>
    <n v="2850"/>
    <n v="30"/>
    <n v="85500"/>
    <m/>
  </r>
  <r>
    <x v="11"/>
    <s v="AUG"/>
    <x v="40"/>
    <s v="GRSM 6"/>
    <x v="6"/>
    <s v="GMM"/>
    <n v="211161"/>
    <n v="7103"/>
    <x v="48"/>
    <x v="91"/>
    <s v="GORENG"/>
    <n v="2850"/>
    <n v="342"/>
    <n v="974700"/>
    <m/>
  </r>
  <r>
    <x v="11"/>
    <s v="AUG"/>
    <x v="38"/>
    <s v="GRSM 6"/>
    <x v="6"/>
    <s v="GMM"/>
    <n v="170208"/>
    <n v="5765022"/>
    <x v="60"/>
    <x v="94"/>
    <s v="BOLOGNESE"/>
    <n v="5928"/>
    <n v="45"/>
    <n v="266760"/>
    <m/>
  </r>
  <r>
    <x v="11"/>
    <s v="AUG"/>
    <x v="38"/>
    <s v="GRSM 6"/>
    <x v="6"/>
    <s v="GMM"/>
    <n v="170208"/>
    <n v="5765022"/>
    <x v="60"/>
    <x v="94"/>
    <s v="CARBONARA"/>
    <n v="5928"/>
    <n v="49"/>
    <n v="290472"/>
    <m/>
  </r>
  <r>
    <x v="11"/>
    <s v="AUG"/>
    <x v="38"/>
    <s v="GRSM 6"/>
    <x v="6"/>
    <s v="GMM"/>
    <n v="170208"/>
    <n v="5765022"/>
    <x v="60"/>
    <x v="94"/>
    <s v="AGLIO OLIO"/>
    <n v="5928"/>
    <n v="42"/>
    <n v="248976"/>
    <m/>
  </r>
  <r>
    <x v="11"/>
    <s v="AUG"/>
    <x v="38"/>
    <s v="GRSM 6"/>
    <x v="6"/>
    <s v="GMM"/>
    <n v="170208"/>
    <n v="5765022"/>
    <x v="60"/>
    <x v="94"/>
    <s v="GORENG"/>
    <n v="5928"/>
    <n v="73"/>
    <n v="432744"/>
    <n v="160"/>
  </r>
  <r>
    <x v="11"/>
    <s v="AUG"/>
    <x v="38"/>
    <s v="GRSM 6"/>
    <x v="6"/>
    <s v="GMM"/>
    <n v="170208"/>
    <n v="5765022"/>
    <x v="60"/>
    <x v="95"/>
    <s v="BOLOGNESE"/>
    <n v="5928"/>
    <n v="45"/>
    <n v="266760"/>
    <m/>
  </r>
  <r>
    <x v="11"/>
    <s v="AUG"/>
    <x v="38"/>
    <s v="GRSM 6"/>
    <x v="6"/>
    <s v="GMM"/>
    <n v="170208"/>
    <n v="5765022"/>
    <x v="60"/>
    <x v="95"/>
    <s v="CARBONARA"/>
    <n v="5928"/>
    <n v="49"/>
    <n v="290472"/>
    <m/>
  </r>
  <r>
    <x v="11"/>
    <s v="AUG"/>
    <x v="38"/>
    <s v="GRSM 6"/>
    <x v="6"/>
    <s v="GMM"/>
    <n v="170208"/>
    <n v="5765022"/>
    <x v="60"/>
    <x v="95"/>
    <s v="AGLIO OLIO"/>
    <n v="5928"/>
    <n v="42"/>
    <n v="248976"/>
    <m/>
  </r>
  <r>
    <x v="11"/>
    <s v="AUG"/>
    <x v="38"/>
    <s v="GRSM 6"/>
    <x v="6"/>
    <s v="GMM"/>
    <n v="170208"/>
    <n v="5765022"/>
    <x v="60"/>
    <x v="95"/>
    <s v="GORENG"/>
    <n v="5928"/>
    <n v="73"/>
    <n v="432744"/>
    <n v="160"/>
  </r>
  <r>
    <x v="11"/>
    <s v="AUG"/>
    <x v="39"/>
    <s v="GRSM 6"/>
    <x v="6"/>
    <s v="GMM"/>
    <n v="170208"/>
    <n v="5765022"/>
    <x v="60"/>
    <x v="94"/>
    <s v="BOLOGNESE"/>
    <n v="5900"/>
    <n v="88"/>
    <n v="519200"/>
    <m/>
  </r>
  <r>
    <x v="11"/>
    <s v="AUG"/>
    <x v="39"/>
    <s v="GRSM 6"/>
    <x v="6"/>
    <s v="GMM"/>
    <n v="170208"/>
    <n v="5765022"/>
    <x v="60"/>
    <x v="94"/>
    <s v="CARBONARA"/>
    <n v="5900"/>
    <n v="72"/>
    <n v="424800"/>
    <m/>
  </r>
  <r>
    <x v="11"/>
    <s v="AUG"/>
    <x v="39"/>
    <s v="GRSM 6"/>
    <x v="6"/>
    <s v="GMM"/>
    <n v="170208"/>
    <n v="5765022"/>
    <x v="60"/>
    <x v="94"/>
    <s v="AGLIO OLIO"/>
    <n v="5900"/>
    <n v="74"/>
    <n v="436600"/>
    <m/>
  </r>
  <r>
    <x v="11"/>
    <s v="AUG"/>
    <x v="39"/>
    <s v="GRSM 6"/>
    <x v="6"/>
    <s v="GMM"/>
    <n v="170208"/>
    <n v="5765022"/>
    <x v="60"/>
    <x v="94"/>
    <s v="GORENG"/>
    <n v="5900"/>
    <n v="159"/>
    <n v="938100"/>
    <n v="160"/>
  </r>
  <r>
    <x v="11"/>
    <s v="AUG"/>
    <x v="39"/>
    <s v="GRSM 6"/>
    <x v="6"/>
    <s v="GMM"/>
    <n v="170208"/>
    <n v="5765022"/>
    <x v="60"/>
    <x v="95"/>
    <s v="BOLOGNESE"/>
    <n v="5900"/>
    <n v="88"/>
    <n v="519200"/>
    <m/>
  </r>
  <r>
    <x v="11"/>
    <s v="AUG"/>
    <x v="39"/>
    <s v="GRSM 6"/>
    <x v="6"/>
    <s v="GMM"/>
    <n v="170208"/>
    <n v="5765022"/>
    <x v="60"/>
    <x v="95"/>
    <s v="CARBONARA"/>
    <n v="5900"/>
    <n v="72"/>
    <n v="424800"/>
    <m/>
  </r>
  <r>
    <x v="11"/>
    <s v="AUG"/>
    <x v="39"/>
    <s v="GRSM 6"/>
    <x v="6"/>
    <s v="GMM"/>
    <n v="170208"/>
    <n v="5765022"/>
    <x v="60"/>
    <x v="95"/>
    <s v="AGLIO OLIO"/>
    <n v="5900"/>
    <n v="74"/>
    <n v="436600"/>
    <m/>
  </r>
  <r>
    <x v="11"/>
    <s v="AUG"/>
    <x v="39"/>
    <s v="GRSM 6"/>
    <x v="6"/>
    <s v="GMM"/>
    <n v="170208"/>
    <n v="5765022"/>
    <x v="60"/>
    <x v="95"/>
    <s v="GORENG"/>
    <n v="5900"/>
    <n v="159"/>
    <n v="938100"/>
    <n v="160"/>
  </r>
  <r>
    <x v="11"/>
    <s v="AUG"/>
    <x v="38"/>
    <s v="GRSM 6"/>
    <x v="6"/>
    <s v="GMM"/>
    <n v="170208"/>
    <n v="5765011"/>
    <x v="47"/>
    <x v="88"/>
    <s v="BOLOGNESE"/>
    <n v="2950"/>
    <n v="113"/>
    <n v="333350"/>
    <m/>
  </r>
  <r>
    <x v="11"/>
    <s v="AUG"/>
    <x v="38"/>
    <s v="GRSM 6"/>
    <x v="6"/>
    <s v="GMM"/>
    <n v="170208"/>
    <n v="5765011"/>
    <x v="47"/>
    <x v="88"/>
    <s v="CARBONARA"/>
    <n v="2950"/>
    <n v="100"/>
    <n v="295000"/>
    <m/>
  </r>
  <r>
    <x v="11"/>
    <s v="AUG"/>
    <x v="38"/>
    <s v="GRSM 6"/>
    <x v="6"/>
    <s v="GMM"/>
    <n v="170208"/>
    <n v="5765011"/>
    <x v="47"/>
    <x v="88"/>
    <s v="AGLIO OLIO"/>
    <n v="2950"/>
    <n v="77"/>
    <n v="227150"/>
    <m/>
  </r>
  <r>
    <x v="11"/>
    <s v="AUG"/>
    <x v="38"/>
    <s v="GRSM 6"/>
    <x v="6"/>
    <s v="GMM"/>
    <n v="170208"/>
    <n v="5765011"/>
    <x v="47"/>
    <x v="88"/>
    <s v="GORENG"/>
    <n v="2950"/>
    <n v="98"/>
    <n v="289100"/>
    <n v="160"/>
  </r>
  <r>
    <x v="11"/>
    <s v="AUG"/>
    <x v="38"/>
    <s v="GRSM 6"/>
    <x v="6"/>
    <s v="GMM"/>
    <n v="170208"/>
    <n v="5765011"/>
    <x v="47"/>
    <x v="89"/>
    <s v="BOLOGNESE"/>
    <n v="2950"/>
    <n v="113"/>
    <n v="333350"/>
    <m/>
  </r>
  <r>
    <x v="11"/>
    <s v="AUG"/>
    <x v="38"/>
    <s v="GRSM 6"/>
    <x v="6"/>
    <s v="GMM"/>
    <n v="170208"/>
    <n v="5765011"/>
    <x v="47"/>
    <x v="89"/>
    <s v="CARBONARA"/>
    <n v="2950"/>
    <n v="100"/>
    <n v="295000"/>
    <m/>
  </r>
  <r>
    <x v="11"/>
    <s v="AUG"/>
    <x v="38"/>
    <s v="GRSM 6"/>
    <x v="6"/>
    <s v="GMM"/>
    <n v="170208"/>
    <n v="5765011"/>
    <x v="47"/>
    <x v="89"/>
    <s v="AGLIO OLIO"/>
    <n v="2950"/>
    <n v="77"/>
    <n v="227150"/>
    <m/>
  </r>
  <r>
    <x v="11"/>
    <s v="AUG"/>
    <x v="38"/>
    <s v="GRSM 6"/>
    <x v="6"/>
    <s v="GMM"/>
    <n v="170208"/>
    <n v="5765011"/>
    <x v="47"/>
    <x v="89"/>
    <s v="GORENG"/>
    <n v="2950"/>
    <n v="98"/>
    <n v="289100"/>
    <n v="160"/>
  </r>
  <r>
    <x v="11"/>
    <s v="AUG"/>
    <x v="39"/>
    <s v="GRSM 6"/>
    <x v="6"/>
    <s v="GMM"/>
    <n v="211161"/>
    <n v="7103"/>
    <x v="48"/>
    <x v="91"/>
    <s v="BOLOGNESE"/>
    <n v="2400"/>
    <n v="142"/>
    <n v="340800"/>
    <m/>
  </r>
  <r>
    <x v="11"/>
    <s v="AUG"/>
    <x v="39"/>
    <s v="GRSM 6"/>
    <x v="6"/>
    <s v="GMM"/>
    <n v="211161"/>
    <n v="7103"/>
    <x v="48"/>
    <x v="91"/>
    <s v="CARBONARA"/>
    <n v="2400"/>
    <n v="42"/>
    <n v="100800"/>
    <m/>
  </r>
  <r>
    <x v="11"/>
    <s v="AUG"/>
    <x v="39"/>
    <s v="GRSM 6"/>
    <x v="6"/>
    <s v="GMM"/>
    <n v="211161"/>
    <n v="7103"/>
    <x v="48"/>
    <x v="91"/>
    <s v="AGLIO OLIO"/>
    <n v="2400"/>
    <n v="38"/>
    <n v="91200"/>
    <m/>
  </r>
  <r>
    <x v="11"/>
    <s v="AUG"/>
    <x v="39"/>
    <s v="GRSM 6"/>
    <x v="6"/>
    <s v="GMM"/>
    <n v="211161"/>
    <n v="7103"/>
    <x v="48"/>
    <x v="91"/>
    <s v="GORENG"/>
    <n v="2400"/>
    <n v="308"/>
    <n v="739200"/>
    <m/>
  </r>
  <r>
    <x v="11"/>
    <s v="AUG"/>
    <x v="40"/>
    <s v="GRSM 6"/>
    <x v="6"/>
    <s v="GMM"/>
    <n v="211161"/>
    <n v="710355"/>
    <x v="51"/>
    <x v="96"/>
    <s v="BOLOGNESE"/>
    <n v="6201"/>
    <n v="6"/>
    <n v="37206"/>
    <m/>
  </r>
  <r>
    <x v="11"/>
    <s v="AUG"/>
    <x v="40"/>
    <s v="GRSM 6"/>
    <x v="6"/>
    <s v="GMM"/>
    <n v="211161"/>
    <n v="710355"/>
    <x v="51"/>
    <x v="96"/>
    <s v="CARBONARA"/>
    <n v="6201"/>
    <n v="15"/>
    <n v="93015"/>
    <m/>
  </r>
  <r>
    <x v="11"/>
    <s v="AUG"/>
    <x v="40"/>
    <s v="GRSM 6"/>
    <x v="6"/>
    <s v="GMM"/>
    <n v="211161"/>
    <n v="710355"/>
    <x v="51"/>
    <x v="96"/>
    <s v="AGLIO OLIO"/>
    <n v="6201"/>
    <n v="9"/>
    <n v="55809"/>
    <m/>
  </r>
  <r>
    <x v="11"/>
    <s v="AUG"/>
    <x v="40"/>
    <s v="GRSM 6"/>
    <x v="6"/>
    <s v="GMM"/>
    <n v="211161"/>
    <n v="710355"/>
    <x v="51"/>
    <x v="96"/>
    <s v="GORENG"/>
    <n v="6201"/>
    <n v="84"/>
    <n v="520884"/>
    <m/>
  </r>
  <r>
    <x v="11"/>
    <s v="AUG"/>
    <x v="40"/>
    <s v="GRSM 6"/>
    <x v="6"/>
    <s v="GMM"/>
    <n v="211030"/>
    <n v="5765035"/>
    <x v="52"/>
    <x v="99"/>
    <s v="BOLOGNESE"/>
    <n v="3145"/>
    <n v="51"/>
    <n v="160395"/>
    <m/>
  </r>
  <r>
    <x v="11"/>
    <s v="AUG"/>
    <x v="40"/>
    <s v="GRSM 6"/>
    <x v="6"/>
    <s v="GMM"/>
    <n v="211030"/>
    <n v="5765035"/>
    <x v="52"/>
    <x v="99"/>
    <s v="CARBONARA"/>
    <n v="3145"/>
    <n v="39"/>
    <n v="122655"/>
    <m/>
  </r>
  <r>
    <x v="11"/>
    <s v="AUG"/>
    <x v="40"/>
    <s v="GRSM 6"/>
    <x v="6"/>
    <s v="GMM"/>
    <n v="211030"/>
    <n v="5765035"/>
    <x v="52"/>
    <x v="99"/>
    <s v="AGLIO OLIO"/>
    <n v="3145"/>
    <n v="8"/>
    <n v="25160"/>
    <m/>
  </r>
  <r>
    <x v="11"/>
    <s v="AUG"/>
    <x v="40"/>
    <s v="GRSM 6"/>
    <x v="6"/>
    <s v="GMM"/>
    <n v="211030"/>
    <n v="5765035"/>
    <x v="52"/>
    <x v="99"/>
    <s v="GORENG"/>
    <n v="3145"/>
    <n v="92"/>
    <n v="289340"/>
    <n v="160"/>
  </r>
  <r>
    <x v="11"/>
    <s v="AUG"/>
    <x v="40"/>
    <s v="GRSM 6"/>
    <x v="6"/>
    <s v="GMM"/>
    <n v="211030"/>
    <n v="5766116"/>
    <x v="49"/>
    <x v="92"/>
    <s v="BOLOGNESE"/>
    <n v="6000"/>
    <n v="37"/>
    <n v="222000"/>
    <m/>
  </r>
  <r>
    <x v="11"/>
    <s v="AUG"/>
    <x v="40"/>
    <s v="GRSM 6"/>
    <x v="6"/>
    <s v="GMM"/>
    <n v="211030"/>
    <n v="5766116"/>
    <x v="49"/>
    <x v="92"/>
    <s v="CARBONARA"/>
    <n v="6000"/>
    <n v="20"/>
    <n v="120000"/>
    <m/>
  </r>
  <r>
    <x v="11"/>
    <s v="AUG"/>
    <x v="40"/>
    <s v="GRSM 6"/>
    <x v="6"/>
    <s v="GMM"/>
    <n v="211030"/>
    <n v="5766116"/>
    <x v="49"/>
    <x v="92"/>
    <s v="AGLIO OLIO"/>
    <n v="6000"/>
    <n v="34"/>
    <n v="204000"/>
    <m/>
  </r>
  <r>
    <x v="11"/>
    <s v="AUG"/>
    <x v="40"/>
    <s v="GRSM 6"/>
    <x v="6"/>
    <s v="GMM"/>
    <n v="211030"/>
    <n v="5766116"/>
    <x v="49"/>
    <x v="92"/>
    <s v="GORENG"/>
    <n v="6000"/>
    <n v="43"/>
    <n v="258000"/>
    <m/>
  </r>
  <r>
    <x v="11"/>
    <s v="AUG"/>
    <x v="40"/>
    <s v="GRSM 6"/>
    <x v="6"/>
    <s v="GMM"/>
    <n v="170208"/>
    <n v="5765011"/>
    <x v="47"/>
    <x v="89"/>
    <s v="BOLOGNESE"/>
    <n v="2950"/>
    <n v="2"/>
    <n v="5900"/>
    <m/>
  </r>
  <r>
    <x v="11"/>
    <s v="AUG"/>
    <x v="40"/>
    <s v="GRSM 6"/>
    <x v="6"/>
    <s v="GMM"/>
    <n v="170208"/>
    <n v="5765011"/>
    <x v="47"/>
    <x v="89"/>
    <s v="CARBONARA"/>
    <n v="2950"/>
    <n v="72"/>
    <n v="212400"/>
    <m/>
  </r>
  <r>
    <x v="11"/>
    <s v="AUG"/>
    <x v="40"/>
    <s v="GRSM 6"/>
    <x v="6"/>
    <s v="GMM"/>
    <n v="170208"/>
    <n v="5765011"/>
    <x v="47"/>
    <x v="89"/>
    <s v="AGLIO OLIO"/>
    <n v="2950"/>
    <n v="29"/>
    <n v="85550"/>
    <m/>
  </r>
  <r>
    <x v="11"/>
    <s v="AUG"/>
    <x v="40"/>
    <s v="GRSM 6"/>
    <x v="6"/>
    <s v="GMM"/>
    <n v="170208"/>
    <n v="5765011"/>
    <x v="47"/>
    <x v="89"/>
    <s v="GORENG"/>
    <n v="2950"/>
    <n v="105"/>
    <n v="309750"/>
    <n v="160"/>
  </r>
  <r>
    <x v="11"/>
    <s v="AUG"/>
    <x v="38"/>
    <s v="GRSM 7"/>
    <x v="5"/>
    <s v="GMM"/>
    <n v="103240"/>
    <n v="7112059"/>
    <x v="46"/>
    <x v="87"/>
    <s v="BOLOGNESE"/>
    <n v="3200"/>
    <n v="60"/>
    <n v="192000"/>
    <m/>
  </r>
  <r>
    <x v="11"/>
    <s v="AUG"/>
    <x v="38"/>
    <s v="GRSM 7"/>
    <x v="5"/>
    <s v="GMM"/>
    <n v="103240"/>
    <n v="7112059"/>
    <x v="46"/>
    <x v="87"/>
    <s v="CARBONARA"/>
    <n v="3200"/>
    <n v="67"/>
    <n v="214400"/>
    <m/>
  </r>
  <r>
    <x v="11"/>
    <s v="AUG"/>
    <x v="38"/>
    <s v="GRSM 7"/>
    <x v="5"/>
    <s v="GMM"/>
    <n v="103240"/>
    <n v="7112059"/>
    <x v="46"/>
    <x v="87"/>
    <s v="AGLIO OLIO"/>
    <n v="3200"/>
    <n v="0"/>
    <n v="0"/>
    <m/>
  </r>
  <r>
    <x v="11"/>
    <s v="AUG"/>
    <x v="38"/>
    <s v="GRSM 7"/>
    <x v="5"/>
    <s v="GMM"/>
    <n v="103240"/>
    <n v="7112059"/>
    <x v="46"/>
    <x v="87"/>
    <s v="GORENG"/>
    <n v="3200"/>
    <n v="107"/>
    <n v="342400"/>
    <n v="160"/>
  </r>
  <r>
    <x v="12"/>
    <s v="AGU"/>
    <x v="41"/>
    <s v="GRSM 5"/>
    <x v="1"/>
    <s v="GMM"/>
    <n v="0"/>
    <n v="0"/>
    <x v="41"/>
    <x v="115"/>
    <s v="BOLOGNESE"/>
    <n v="3000"/>
    <n v="134"/>
    <n v="402000"/>
    <m/>
  </r>
  <r>
    <x v="12"/>
    <s v="AGU"/>
    <x v="41"/>
    <s v="GRSM 5"/>
    <x v="1"/>
    <s v="GMM"/>
    <n v="0"/>
    <n v="0"/>
    <x v="41"/>
    <x v="115"/>
    <s v="CARBONARA"/>
    <n v="3000"/>
    <n v="82"/>
    <n v="246000"/>
    <m/>
  </r>
  <r>
    <x v="12"/>
    <s v="AGU"/>
    <x v="41"/>
    <s v="GRSM 5"/>
    <x v="1"/>
    <s v="GMM"/>
    <n v="0"/>
    <n v="0"/>
    <x v="41"/>
    <x v="115"/>
    <s v="AGLIO OLIO"/>
    <n v="3000"/>
    <n v="32"/>
    <n v="96000"/>
    <m/>
  </r>
  <r>
    <x v="12"/>
    <s v="AGU"/>
    <x v="41"/>
    <s v="GRSM 5"/>
    <x v="1"/>
    <s v="GMM"/>
    <n v="0"/>
    <n v="0"/>
    <x v="41"/>
    <x v="115"/>
    <s v="GORENG"/>
    <n v="3000"/>
    <n v="226"/>
    <n v="678000"/>
    <n v="160"/>
  </r>
  <r>
    <x v="12"/>
    <s v="AGU"/>
    <x v="41"/>
    <s v="GRSM 5"/>
    <x v="1"/>
    <s v="GMM"/>
    <n v="0"/>
    <n v="0"/>
    <x v="41"/>
    <x v="77"/>
    <s v="BOLOGNESE"/>
    <n v="3000"/>
    <n v="134"/>
    <n v="402000"/>
    <m/>
  </r>
  <r>
    <x v="12"/>
    <s v="AGU"/>
    <x v="41"/>
    <s v="GRSM 5"/>
    <x v="1"/>
    <s v="GMM"/>
    <n v="0"/>
    <n v="0"/>
    <x v="41"/>
    <x v="77"/>
    <s v="CARBONARA"/>
    <n v="3000"/>
    <n v="82"/>
    <n v="246000"/>
    <m/>
  </r>
  <r>
    <x v="12"/>
    <s v="AGU"/>
    <x v="41"/>
    <s v="GRSM 5"/>
    <x v="1"/>
    <s v="GMM"/>
    <n v="0"/>
    <n v="0"/>
    <x v="41"/>
    <x v="77"/>
    <s v="AGLIO OLIO"/>
    <n v="3000"/>
    <n v="32"/>
    <n v="96000"/>
    <m/>
  </r>
  <r>
    <x v="12"/>
    <s v="AGU"/>
    <x v="41"/>
    <s v="GRSM 5"/>
    <x v="1"/>
    <s v="GMM"/>
    <n v="0"/>
    <n v="0"/>
    <x v="41"/>
    <x v="77"/>
    <s v="GORENG"/>
    <n v="3000"/>
    <n v="226"/>
    <n v="678000"/>
    <n v="160"/>
  </r>
  <r>
    <x v="12"/>
    <s v="AGU"/>
    <x v="41"/>
    <s v="GRSM 6"/>
    <x v="6"/>
    <s v="GMM"/>
    <n v="0"/>
    <n v="0"/>
    <x v="61"/>
    <x v="116"/>
    <s v="BOLOGNESE"/>
    <n v="2950"/>
    <n v="0"/>
    <n v="0"/>
    <m/>
  </r>
  <r>
    <x v="12"/>
    <s v="AGU"/>
    <x v="41"/>
    <s v="GRSM 6"/>
    <x v="6"/>
    <s v="GMM"/>
    <n v="0"/>
    <n v="0"/>
    <x v="61"/>
    <x v="116"/>
    <s v="CARBONARA"/>
    <n v="2950"/>
    <n v="80"/>
    <n v="236000"/>
    <m/>
  </r>
  <r>
    <x v="12"/>
    <s v="AGU"/>
    <x v="41"/>
    <s v="GRSM 6"/>
    <x v="6"/>
    <s v="GMM"/>
    <n v="0"/>
    <n v="0"/>
    <x v="61"/>
    <x v="116"/>
    <s v="AGLIO OLIO"/>
    <n v="2950"/>
    <n v="40"/>
    <n v="118000"/>
    <m/>
  </r>
  <r>
    <x v="12"/>
    <s v="AGU"/>
    <x v="41"/>
    <s v="GRSM 6"/>
    <x v="6"/>
    <s v="GMM"/>
    <n v="0"/>
    <n v="0"/>
    <x v="61"/>
    <x v="116"/>
    <s v="GORENG"/>
    <n v="2950"/>
    <n v="40"/>
    <n v="118000"/>
    <n v="160"/>
  </r>
  <r>
    <x v="12"/>
    <s v="AGU"/>
    <x v="41"/>
    <s v="GRSM 6"/>
    <x v="6"/>
    <s v="GMM"/>
    <n v="0"/>
    <n v="0"/>
    <x v="61"/>
    <x v="117"/>
    <s v="BOLOGNESE"/>
    <n v="2950"/>
    <n v="0"/>
    <n v="0"/>
    <m/>
  </r>
  <r>
    <x v="12"/>
    <s v="AGU"/>
    <x v="41"/>
    <s v="GRSM 6"/>
    <x v="6"/>
    <s v="GMM"/>
    <n v="0"/>
    <n v="0"/>
    <x v="61"/>
    <x v="117"/>
    <s v="CARBONARA"/>
    <n v="2950"/>
    <n v="80"/>
    <n v="236000"/>
    <m/>
  </r>
  <r>
    <x v="12"/>
    <s v="AGU"/>
    <x v="41"/>
    <s v="GRSM 6"/>
    <x v="6"/>
    <s v="GMM"/>
    <n v="0"/>
    <n v="0"/>
    <x v="61"/>
    <x v="117"/>
    <s v="AGLIO OLIO"/>
    <n v="2950"/>
    <n v="40"/>
    <n v="118000"/>
    <m/>
  </r>
  <r>
    <x v="12"/>
    <s v="AGU"/>
    <x v="41"/>
    <s v="GRSM 6"/>
    <x v="6"/>
    <s v="GMM"/>
    <n v="0"/>
    <n v="0"/>
    <x v="61"/>
    <x v="117"/>
    <s v="GORENG"/>
    <n v="2950"/>
    <n v="40"/>
    <n v="118000"/>
    <n v="160"/>
  </r>
  <r>
    <x v="12"/>
    <s v="AGU"/>
    <x v="41"/>
    <s v="GRSM 5"/>
    <x v="1"/>
    <s v="GMM"/>
    <n v="103222"/>
    <n v="106437"/>
    <x v="44"/>
    <x v="82"/>
    <s v="BOLOGNESE"/>
    <n v="2990"/>
    <n v="40"/>
    <n v="119600"/>
    <m/>
  </r>
  <r>
    <x v="12"/>
    <s v="AGU"/>
    <x v="41"/>
    <s v="GRSM 5"/>
    <x v="1"/>
    <s v="GMM"/>
    <n v="103222"/>
    <n v="106437"/>
    <x v="44"/>
    <x v="82"/>
    <s v="CARBONARA"/>
    <n v="2990"/>
    <n v="192"/>
    <n v="574080"/>
    <m/>
  </r>
  <r>
    <x v="12"/>
    <s v="AGU"/>
    <x v="41"/>
    <s v="GRSM 5"/>
    <x v="1"/>
    <s v="GMM"/>
    <n v="103222"/>
    <n v="106437"/>
    <x v="44"/>
    <x v="82"/>
    <s v="AGLIO OLIO"/>
    <n v="2990"/>
    <n v="0"/>
    <n v="0"/>
    <m/>
  </r>
  <r>
    <x v="12"/>
    <s v="AGU"/>
    <x v="41"/>
    <s v="GRSM 5"/>
    <x v="1"/>
    <s v="GMM"/>
    <n v="103222"/>
    <n v="106437"/>
    <x v="44"/>
    <x v="82"/>
    <s v="GORENG"/>
    <n v="2990"/>
    <n v="220"/>
    <n v="657800"/>
    <n v="160"/>
  </r>
  <r>
    <x v="12"/>
    <s v="AGU"/>
    <x v="41"/>
    <s v="GRSM 5"/>
    <x v="1"/>
    <s v="GMM"/>
    <n v="103222"/>
    <n v="106437"/>
    <x v="44"/>
    <x v="83"/>
    <s v="BOLOGNESE"/>
    <n v="2990"/>
    <n v="40"/>
    <n v="119600"/>
    <m/>
  </r>
  <r>
    <x v="12"/>
    <s v="AGU"/>
    <x v="41"/>
    <s v="GRSM 5"/>
    <x v="1"/>
    <s v="GMM"/>
    <n v="103222"/>
    <n v="106437"/>
    <x v="44"/>
    <x v="83"/>
    <s v="CARBONARA"/>
    <n v="2990"/>
    <n v="192"/>
    <n v="574080"/>
    <m/>
  </r>
  <r>
    <x v="12"/>
    <s v="AGU"/>
    <x v="41"/>
    <s v="GRSM 5"/>
    <x v="1"/>
    <s v="GMM"/>
    <n v="103222"/>
    <n v="106437"/>
    <x v="44"/>
    <x v="83"/>
    <s v="AGLIO OLIO"/>
    <n v="2990"/>
    <n v="0"/>
    <n v="0"/>
    <m/>
  </r>
  <r>
    <x v="12"/>
    <s v="AGU"/>
    <x v="41"/>
    <s v="GRSM 5"/>
    <x v="1"/>
    <s v="GMM"/>
    <n v="103222"/>
    <n v="106437"/>
    <x v="44"/>
    <x v="83"/>
    <s v="GORENG"/>
    <n v="2990"/>
    <n v="220"/>
    <n v="657800"/>
    <n v="160"/>
  </r>
  <r>
    <x v="12"/>
    <s v="AGU"/>
    <x v="41"/>
    <s v="GRSM 6"/>
    <x v="6"/>
    <s v="GMM"/>
    <n v="0"/>
    <n v="0"/>
    <x v="62"/>
    <x v="110"/>
    <s v="BOLOGNESE"/>
    <n v="3050"/>
    <n v="30"/>
    <n v="91500"/>
    <m/>
  </r>
  <r>
    <x v="12"/>
    <s v="AGU"/>
    <x v="41"/>
    <s v="GRSM 6"/>
    <x v="6"/>
    <s v="GMM"/>
    <n v="0"/>
    <n v="0"/>
    <x v="62"/>
    <x v="110"/>
    <s v="CARBONARA"/>
    <n v="3050"/>
    <n v="40"/>
    <n v="122000"/>
    <m/>
  </r>
  <r>
    <x v="12"/>
    <s v="AGU"/>
    <x v="41"/>
    <s v="GRSM 6"/>
    <x v="6"/>
    <s v="GMM"/>
    <n v="0"/>
    <n v="0"/>
    <x v="62"/>
    <x v="110"/>
    <s v="AGLIO OLIO"/>
    <n v="3050"/>
    <n v="15"/>
    <n v="45750"/>
    <m/>
  </r>
  <r>
    <x v="12"/>
    <s v="AGU"/>
    <x v="41"/>
    <s v="GRSM 6"/>
    <x v="6"/>
    <s v="GMM"/>
    <n v="0"/>
    <n v="0"/>
    <x v="62"/>
    <x v="110"/>
    <s v="GORENG"/>
    <n v="3050"/>
    <n v="60"/>
    <n v="182950"/>
    <n v="160"/>
  </r>
  <r>
    <x v="12"/>
    <s v="AGU"/>
    <x v="41"/>
    <s v="GRSM 6"/>
    <x v="6"/>
    <s v="GMM"/>
    <n v="0"/>
    <n v="0"/>
    <x v="62"/>
    <x v="111"/>
    <s v="BOLOGNESE"/>
    <n v="3050"/>
    <n v="30"/>
    <n v="91500"/>
    <m/>
  </r>
  <r>
    <x v="12"/>
    <s v="AGU"/>
    <x v="41"/>
    <s v="GRSM 6"/>
    <x v="6"/>
    <s v="GMM"/>
    <n v="0"/>
    <n v="0"/>
    <x v="62"/>
    <x v="111"/>
    <s v="CARBONARA"/>
    <n v="3050"/>
    <n v="40"/>
    <n v="122000"/>
    <m/>
  </r>
  <r>
    <x v="12"/>
    <s v="AGU"/>
    <x v="41"/>
    <s v="GRSM 6"/>
    <x v="6"/>
    <s v="GMM"/>
    <n v="0"/>
    <n v="0"/>
    <x v="62"/>
    <x v="111"/>
    <s v="AGLIO OLIO"/>
    <n v="3050"/>
    <n v="15"/>
    <n v="45750"/>
    <m/>
  </r>
  <r>
    <x v="12"/>
    <s v="AGU"/>
    <x v="41"/>
    <s v="GRSM 6"/>
    <x v="6"/>
    <s v="GMM"/>
    <n v="0"/>
    <n v="0"/>
    <x v="62"/>
    <x v="111"/>
    <s v="GORENG"/>
    <n v="3050"/>
    <n v="60"/>
    <n v="182950"/>
    <n v="160"/>
  </r>
  <r>
    <x v="12"/>
    <s v="AGU"/>
    <x v="41"/>
    <s v="GRSM 5"/>
    <x v="1"/>
    <s v="GMM"/>
    <n v="0"/>
    <n v="0"/>
    <x v="55"/>
    <x v="105"/>
    <s v="BOLOGNESE"/>
    <n v="2897"/>
    <n v="42"/>
    <n v="121674"/>
    <m/>
  </r>
  <r>
    <x v="12"/>
    <s v="AGU"/>
    <x v="41"/>
    <s v="GRSM 5"/>
    <x v="1"/>
    <s v="GMM"/>
    <n v="0"/>
    <n v="0"/>
    <x v="55"/>
    <x v="105"/>
    <s v="CARBONARA"/>
    <n v="2897"/>
    <n v="18"/>
    <n v="52146"/>
    <m/>
  </r>
  <r>
    <x v="12"/>
    <s v="AGU"/>
    <x v="41"/>
    <s v="GRSM 5"/>
    <x v="1"/>
    <s v="GMM"/>
    <n v="0"/>
    <n v="0"/>
    <x v="55"/>
    <x v="105"/>
    <s v="AGLIO OLIO"/>
    <n v="2897"/>
    <n v="40"/>
    <n v="115880"/>
    <m/>
  </r>
  <r>
    <x v="12"/>
    <s v="AGU"/>
    <x v="41"/>
    <s v="GRSM 5"/>
    <x v="1"/>
    <s v="GMM"/>
    <n v="0"/>
    <n v="0"/>
    <x v="55"/>
    <x v="105"/>
    <s v="GORENG"/>
    <n v="2897"/>
    <n v="114"/>
    <n v="330300"/>
    <n v="160"/>
  </r>
  <r>
    <x v="12"/>
    <s v="AGU"/>
    <x v="41"/>
    <s v="GRSM 5"/>
    <x v="1"/>
    <s v="GMM"/>
    <n v="0"/>
    <n v="0"/>
    <x v="55"/>
    <x v="106"/>
    <s v="BOLOGNESE"/>
    <n v="2897"/>
    <n v="42"/>
    <n v="121674"/>
    <m/>
  </r>
  <r>
    <x v="12"/>
    <s v="AGU"/>
    <x v="41"/>
    <s v="GRSM 5"/>
    <x v="1"/>
    <s v="GMM"/>
    <n v="0"/>
    <n v="0"/>
    <x v="55"/>
    <x v="106"/>
    <s v="CARBONARA"/>
    <n v="2897"/>
    <n v="18"/>
    <n v="52146"/>
    <m/>
  </r>
  <r>
    <x v="12"/>
    <s v="AGU"/>
    <x v="41"/>
    <s v="GRSM 5"/>
    <x v="1"/>
    <s v="GMM"/>
    <n v="0"/>
    <n v="0"/>
    <x v="55"/>
    <x v="106"/>
    <s v="AGLIO OLIO"/>
    <n v="2897"/>
    <n v="40"/>
    <n v="115880"/>
    <m/>
  </r>
  <r>
    <x v="12"/>
    <s v="AGU"/>
    <x v="41"/>
    <s v="GRSM 5"/>
    <x v="1"/>
    <s v="GMM"/>
    <n v="0"/>
    <n v="0"/>
    <x v="55"/>
    <x v="106"/>
    <s v="GORENG"/>
    <n v="2897"/>
    <n v="114"/>
    <n v="330300"/>
    <n v="160"/>
  </r>
  <r>
    <x v="12"/>
    <s v="AGU"/>
    <x v="42"/>
    <s v="GRSM 3A"/>
    <x v="0"/>
    <s v="GMM"/>
    <n v="211019"/>
    <n v="1556924"/>
    <x v="34"/>
    <x v="70"/>
    <s v="BOLOGNESE"/>
    <n v="3007"/>
    <n v="34"/>
    <n v="102238"/>
    <m/>
  </r>
  <r>
    <x v="12"/>
    <s v="AGU"/>
    <x v="42"/>
    <s v="GRSM 3A"/>
    <x v="0"/>
    <s v="GMM"/>
    <n v="211019"/>
    <n v="1556924"/>
    <x v="34"/>
    <x v="70"/>
    <s v="CARBONARA"/>
    <n v="3007"/>
    <n v="70"/>
    <n v="210490"/>
    <m/>
  </r>
  <r>
    <x v="12"/>
    <s v="AGU"/>
    <x v="42"/>
    <s v="GRSM 3A"/>
    <x v="0"/>
    <s v="GMM"/>
    <n v="211019"/>
    <n v="1556924"/>
    <x v="34"/>
    <x v="70"/>
    <s v="AGLIO OLIO"/>
    <n v="3007"/>
    <n v="24"/>
    <n v="72168"/>
    <m/>
  </r>
  <r>
    <x v="12"/>
    <s v="AGU"/>
    <x v="42"/>
    <s v="GRSM 3A"/>
    <x v="0"/>
    <s v="GMM"/>
    <n v="211019"/>
    <n v="1556924"/>
    <x v="34"/>
    <x v="70"/>
    <s v="GORENG"/>
    <n v="3007"/>
    <n v="690"/>
    <n v="2075104"/>
    <n v="150"/>
  </r>
  <r>
    <x v="12"/>
    <s v="AGU"/>
    <x v="42"/>
    <s v="GRSM 3A"/>
    <x v="0"/>
    <s v="GMM"/>
    <n v="211019"/>
    <n v="1556924"/>
    <x v="34"/>
    <x v="71"/>
    <s v="BOLOGNESE"/>
    <n v="3007"/>
    <n v="34"/>
    <n v="102238"/>
    <m/>
  </r>
  <r>
    <x v="12"/>
    <s v="AGU"/>
    <x v="42"/>
    <s v="GRSM 3A"/>
    <x v="0"/>
    <s v="GMM"/>
    <n v="211019"/>
    <n v="1556924"/>
    <x v="34"/>
    <x v="71"/>
    <s v="CARBONARA"/>
    <n v="3007"/>
    <n v="70"/>
    <n v="210490"/>
    <m/>
  </r>
  <r>
    <x v="12"/>
    <s v="AGU"/>
    <x v="42"/>
    <s v="GRSM 3A"/>
    <x v="0"/>
    <s v="GMM"/>
    <n v="211019"/>
    <n v="1556924"/>
    <x v="34"/>
    <x v="71"/>
    <s v="AGLIO OLIO"/>
    <n v="3007"/>
    <n v="24"/>
    <n v="72168"/>
    <m/>
  </r>
  <r>
    <x v="12"/>
    <s v="AGU"/>
    <x v="42"/>
    <s v="GRSM 3A"/>
    <x v="0"/>
    <s v="GMM"/>
    <n v="211019"/>
    <n v="1556924"/>
    <x v="34"/>
    <x v="71"/>
    <s v="GORENG"/>
    <n v="3007"/>
    <n v="690"/>
    <n v="2075104"/>
    <n v="150"/>
  </r>
  <r>
    <x v="12"/>
    <s v="AGU"/>
    <x v="43"/>
    <s v="GRSM 3A"/>
    <x v="0"/>
    <s v="GMM"/>
    <n v="211019"/>
    <n v="1556924"/>
    <x v="34"/>
    <x v="70"/>
    <s v="BOLOGNESE"/>
    <n v="3011"/>
    <n v="77"/>
    <n v="231847"/>
    <m/>
  </r>
  <r>
    <x v="12"/>
    <s v="AGU"/>
    <x v="43"/>
    <s v="GRSM 3A"/>
    <x v="0"/>
    <s v="GMM"/>
    <n v="211019"/>
    <n v="1556924"/>
    <x v="34"/>
    <x v="70"/>
    <s v="CARBONARA"/>
    <n v="3011"/>
    <n v="63"/>
    <n v="189693"/>
    <m/>
  </r>
  <r>
    <x v="12"/>
    <s v="AGU"/>
    <x v="43"/>
    <s v="GRSM 3A"/>
    <x v="0"/>
    <s v="GMM"/>
    <n v="211019"/>
    <n v="1556924"/>
    <x v="34"/>
    <x v="70"/>
    <s v="AGLIO OLIO"/>
    <n v="3011"/>
    <n v="18"/>
    <n v="54198"/>
    <m/>
  </r>
  <r>
    <x v="12"/>
    <s v="AGU"/>
    <x v="43"/>
    <s v="GRSM 3A"/>
    <x v="0"/>
    <s v="GMM"/>
    <n v="211019"/>
    <n v="1556924"/>
    <x v="34"/>
    <x v="70"/>
    <s v="GORENG"/>
    <n v="3011"/>
    <n v="108"/>
    <n v="325262"/>
    <n v="55"/>
  </r>
  <r>
    <x v="12"/>
    <s v="AGU"/>
    <x v="43"/>
    <s v="GRSM 3A"/>
    <x v="0"/>
    <s v="GMM"/>
    <n v="211019"/>
    <n v="1556924"/>
    <x v="34"/>
    <x v="71"/>
    <s v="BOLOGNESE"/>
    <n v="3011"/>
    <n v="77"/>
    <n v="231847"/>
    <m/>
  </r>
  <r>
    <x v="12"/>
    <s v="AGU"/>
    <x v="43"/>
    <s v="GRSM 3A"/>
    <x v="0"/>
    <s v="GMM"/>
    <n v="211019"/>
    <n v="1556924"/>
    <x v="34"/>
    <x v="71"/>
    <s v="CARBONARA"/>
    <n v="3011"/>
    <n v="63"/>
    <n v="189693"/>
    <m/>
  </r>
  <r>
    <x v="12"/>
    <s v="AGU"/>
    <x v="43"/>
    <s v="GRSM 3A"/>
    <x v="0"/>
    <s v="GMM"/>
    <n v="211019"/>
    <n v="1556924"/>
    <x v="34"/>
    <x v="71"/>
    <s v="AGLIO OLIO"/>
    <n v="3011"/>
    <n v="18"/>
    <n v="54198"/>
    <m/>
  </r>
  <r>
    <x v="12"/>
    <s v="AGU"/>
    <x v="43"/>
    <s v="GRSM 3A"/>
    <x v="0"/>
    <s v="GMM"/>
    <n v="211019"/>
    <n v="1556924"/>
    <x v="34"/>
    <x v="71"/>
    <s v="GORENG"/>
    <n v="3011"/>
    <n v="108"/>
    <n v="325262"/>
    <n v="55"/>
  </r>
  <r>
    <x v="12"/>
    <s v="AGU"/>
    <x v="43"/>
    <s v="GRSM 4"/>
    <x v="0"/>
    <s v="NKA"/>
    <n v="0"/>
    <n v="0"/>
    <x v="36"/>
    <x v="15"/>
    <s v="BOLOGNESE"/>
    <n v="2150"/>
    <n v="81"/>
    <n v="174150"/>
    <m/>
  </r>
  <r>
    <x v="12"/>
    <s v="AGU"/>
    <x v="43"/>
    <s v="GRSM 4"/>
    <x v="0"/>
    <s v="NKA"/>
    <n v="0"/>
    <n v="0"/>
    <x v="36"/>
    <x v="15"/>
    <s v="CARBONARA"/>
    <n v="2150"/>
    <n v="84"/>
    <n v="180600"/>
    <m/>
  </r>
  <r>
    <x v="12"/>
    <s v="AGU"/>
    <x v="43"/>
    <s v="GRSM 4"/>
    <x v="0"/>
    <s v="NKA"/>
    <n v="0"/>
    <n v="0"/>
    <x v="36"/>
    <x v="15"/>
    <s v="AGLIO OLIO"/>
    <n v="2150"/>
    <n v="78"/>
    <n v="167700"/>
    <m/>
  </r>
  <r>
    <x v="12"/>
    <s v="AGU"/>
    <x v="43"/>
    <s v="GRSM 4"/>
    <x v="0"/>
    <s v="NKA"/>
    <n v="0"/>
    <n v="0"/>
    <x v="36"/>
    <x v="15"/>
    <s v="GORENG"/>
    <n v="2150"/>
    <n v="102"/>
    <n v="219300"/>
    <n v="160"/>
  </r>
  <r>
    <x v="12"/>
    <s v="AGU"/>
    <x v="43"/>
    <s v="GRSM 4"/>
    <x v="0"/>
    <s v="GMM"/>
    <n v="0"/>
    <n v="0"/>
    <x v="40"/>
    <x v="107"/>
    <s v="BOLOGNESE"/>
    <n v="2000"/>
    <n v="121"/>
    <n v="242000"/>
    <m/>
  </r>
  <r>
    <x v="12"/>
    <s v="AGU"/>
    <x v="43"/>
    <s v="GRSM 4"/>
    <x v="0"/>
    <s v="GMM"/>
    <n v="0"/>
    <n v="0"/>
    <x v="40"/>
    <x v="107"/>
    <s v="CARBONARA"/>
    <n v="2000"/>
    <n v="26"/>
    <n v="52000"/>
    <m/>
  </r>
  <r>
    <x v="12"/>
    <s v="AGU"/>
    <x v="43"/>
    <s v="GRSM 4"/>
    <x v="0"/>
    <s v="GMM"/>
    <n v="0"/>
    <n v="0"/>
    <x v="40"/>
    <x v="107"/>
    <s v="AGLIO OLIO"/>
    <n v="2000"/>
    <n v="0"/>
    <n v="0"/>
    <m/>
  </r>
  <r>
    <x v="12"/>
    <s v="AGU"/>
    <x v="43"/>
    <s v="GRSM 4"/>
    <x v="0"/>
    <s v="GMM"/>
    <n v="0"/>
    <n v="0"/>
    <x v="40"/>
    <x v="107"/>
    <s v="GORENG"/>
    <n v="2000"/>
    <n v="0"/>
    <n v="0"/>
    <n v="160"/>
  </r>
  <r>
    <x v="12"/>
    <s v="AGU"/>
    <x v="43"/>
    <s v="GRSM 4"/>
    <x v="0"/>
    <s v="GMM"/>
    <n v="0"/>
    <n v="0"/>
    <x v="40"/>
    <x v="73"/>
    <s v="BOLOGNESE"/>
    <n v="2000"/>
    <n v="121"/>
    <n v="242000"/>
    <m/>
  </r>
  <r>
    <x v="12"/>
    <s v="AGU"/>
    <x v="43"/>
    <s v="GRSM 4"/>
    <x v="0"/>
    <s v="GMM"/>
    <n v="0"/>
    <n v="0"/>
    <x v="40"/>
    <x v="73"/>
    <s v="CARBONARA"/>
    <n v="2000"/>
    <n v="26"/>
    <n v="52000"/>
    <m/>
  </r>
  <r>
    <x v="12"/>
    <s v="AGU"/>
    <x v="43"/>
    <s v="GRSM 4"/>
    <x v="0"/>
    <s v="GMM"/>
    <n v="0"/>
    <n v="0"/>
    <x v="40"/>
    <x v="73"/>
    <s v="AGLIO OLIO"/>
    <n v="2000"/>
    <n v="0"/>
    <n v="0"/>
    <m/>
  </r>
  <r>
    <x v="12"/>
    <s v="AGU"/>
    <x v="43"/>
    <s v="GRSM 4"/>
    <x v="0"/>
    <s v="GMM"/>
    <n v="0"/>
    <n v="0"/>
    <x v="40"/>
    <x v="73"/>
    <s v="GORENG"/>
    <n v="2000"/>
    <n v="0"/>
    <n v="0"/>
    <n v="160"/>
  </r>
  <r>
    <x v="12"/>
    <s v="AGU"/>
    <x v="43"/>
    <s v="GRSM 4"/>
    <x v="0"/>
    <s v="NKA"/>
    <n v="0"/>
    <n v="0"/>
    <x v="36"/>
    <x v="24"/>
    <s v="BOLOGNESE"/>
    <n v="2150"/>
    <n v="78"/>
    <n v="167700"/>
    <m/>
  </r>
  <r>
    <x v="12"/>
    <s v="AGU"/>
    <x v="43"/>
    <s v="GRSM 4"/>
    <x v="0"/>
    <s v="NKA"/>
    <n v="0"/>
    <n v="0"/>
    <x v="36"/>
    <x v="24"/>
    <s v="CARBONARA"/>
    <n v="2150"/>
    <n v="81"/>
    <n v="174150"/>
    <m/>
  </r>
  <r>
    <x v="12"/>
    <s v="AGU"/>
    <x v="43"/>
    <s v="GRSM 4"/>
    <x v="0"/>
    <s v="NKA"/>
    <n v="0"/>
    <n v="0"/>
    <x v="36"/>
    <x v="24"/>
    <s v="AGLIO OLIO"/>
    <n v="2150"/>
    <n v="72"/>
    <n v="154800"/>
    <m/>
  </r>
  <r>
    <x v="12"/>
    <s v="AGU"/>
    <x v="43"/>
    <s v="GRSM 4"/>
    <x v="0"/>
    <s v="NKA"/>
    <n v="0"/>
    <n v="0"/>
    <x v="36"/>
    <x v="24"/>
    <s v="GORENG"/>
    <n v="2150"/>
    <n v="96"/>
    <n v="206400"/>
    <n v="160"/>
  </r>
  <r>
    <x v="12"/>
    <s v="AGU"/>
    <x v="43"/>
    <s v="GRSM 4"/>
    <x v="0"/>
    <s v="GMM"/>
    <n v="103259"/>
    <n v="9002359"/>
    <x v="37"/>
    <x v="1"/>
    <s v="BOLOGNESE"/>
    <n v="1950"/>
    <n v="66"/>
    <n v="128700"/>
    <m/>
  </r>
  <r>
    <x v="12"/>
    <s v="AGU"/>
    <x v="43"/>
    <s v="GRSM 4"/>
    <x v="0"/>
    <s v="GMM"/>
    <n v="103259"/>
    <n v="9002359"/>
    <x v="37"/>
    <x v="1"/>
    <s v="CARBONARA"/>
    <n v="1950"/>
    <n v="0"/>
    <n v="0"/>
    <m/>
  </r>
  <r>
    <x v="12"/>
    <s v="AGU"/>
    <x v="43"/>
    <s v="GRSM 4"/>
    <x v="0"/>
    <s v="GMM"/>
    <n v="103259"/>
    <n v="9002359"/>
    <x v="37"/>
    <x v="1"/>
    <s v="AGLIO OLIO"/>
    <n v="1950"/>
    <n v="0"/>
    <n v="0"/>
    <m/>
  </r>
  <r>
    <x v="12"/>
    <s v="AGU"/>
    <x v="43"/>
    <s v="GRSM 4"/>
    <x v="0"/>
    <s v="GMM"/>
    <n v="103259"/>
    <n v="9002359"/>
    <x v="37"/>
    <x v="1"/>
    <s v="GORENG"/>
    <n v="1950"/>
    <n v="0"/>
    <n v="0"/>
    <n v="160"/>
  </r>
  <r>
    <x v="12"/>
    <s v="AGU"/>
    <x v="43"/>
    <s v="GRSM 4"/>
    <x v="0"/>
    <s v="GMM"/>
    <n v="0"/>
    <n v="0"/>
    <x v="35"/>
    <x v="21"/>
    <s v="BOLOGNESE"/>
    <n v="3000"/>
    <n v="30"/>
    <n v="90000"/>
    <m/>
  </r>
  <r>
    <x v="12"/>
    <s v="AGU"/>
    <x v="43"/>
    <s v="GRSM 4"/>
    <x v="0"/>
    <s v="GMM"/>
    <n v="0"/>
    <n v="0"/>
    <x v="35"/>
    <x v="21"/>
    <s v="CARBONARA"/>
    <n v="3000"/>
    <n v="37"/>
    <n v="111000"/>
    <m/>
  </r>
  <r>
    <x v="12"/>
    <s v="AGU"/>
    <x v="43"/>
    <s v="GRSM 4"/>
    <x v="0"/>
    <s v="GMM"/>
    <n v="0"/>
    <n v="0"/>
    <x v="35"/>
    <x v="21"/>
    <s v="AGLIO OLIO"/>
    <n v="3000"/>
    <n v="26"/>
    <n v="78000"/>
    <m/>
  </r>
  <r>
    <x v="12"/>
    <s v="AGU"/>
    <x v="43"/>
    <s v="GRSM 4"/>
    <x v="0"/>
    <s v="GMM"/>
    <n v="0"/>
    <n v="0"/>
    <x v="35"/>
    <x v="21"/>
    <s v="GORENG"/>
    <n v="3000"/>
    <n v="105"/>
    <n v="315000"/>
    <n v="160"/>
  </r>
  <r>
    <x v="12"/>
    <s v="AGU"/>
    <x v="43"/>
    <s v="GRSM 4"/>
    <x v="0"/>
    <s v="GMM"/>
    <n v="0"/>
    <n v="0"/>
    <x v="35"/>
    <x v="17"/>
    <s v="BOLOGNESE"/>
    <n v="3000"/>
    <n v="28"/>
    <n v="84000"/>
    <m/>
  </r>
  <r>
    <x v="12"/>
    <s v="AGU"/>
    <x v="43"/>
    <s v="GRSM 4"/>
    <x v="0"/>
    <s v="GMM"/>
    <n v="0"/>
    <n v="0"/>
    <x v="35"/>
    <x v="17"/>
    <s v="CARBONARA"/>
    <n v="3000"/>
    <n v="33"/>
    <n v="99000"/>
    <m/>
  </r>
  <r>
    <x v="12"/>
    <s v="AGU"/>
    <x v="43"/>
    <s v="GRSM 4"/>
    <x v="0"/>
    <s v="GMM"/>
    <n v="0"/>
    <n v="0"/>
    <x v="35"/>
    <x v="17"/>
    <s v="AGLIO OLIO"/>
    <n v="3000"/>
    <n v="25"/>
    <n v="75000"/>
    <m/>
  </r>
  <r>
    <x v="12"/>
    <s v="AGU"/>
    <x v="43"/>
    <s v="GRSM 4"/>
    <x v="0"/>
    <s v="GMM"/>
    <n v="0"/>
    <n v="0"/>
    <x v="35"/>
    <x v="17"/>
    <s v="GORENG"/>
    <n v="3000"/>
    <n v="102"/>
    <n v="306000"/>
    <n v="160"/>
  </r>
  <r>
    <x v="12"/>
    <s v="AGU"/>
    <x v="43"/>
    <s v="GRSM 4"/>
    <x v="0"/>
    <s v="GMM"/>
    <n v="0"/>
    <n v="0"/>
    <x v="39"/>
    <x v="4"/>
    <s v="BOLOGNESE"/>
    <n v="2000"/>
    <n v="32"/>
    <n v="64000"/>
    <m/>
  </r>
  <r>
    <x v="12"/>
    <s v="AGU"/>
    <x v="43"/>
    <s v="GRSM 4"/>
    <x v="0"/>
    <s v="GMM"/>
    <n v="0"/>
    <n v="0"/>
    <x v="39"/>
    <x v="4"/>
    <s v="CARBONARA"/>
    <n v="2000"/>
    <n v="20"/>
    <n v="40000"/>
    <m/>
  </r>
  <r>
    <x v="12"/>
    <s v="AGU"/>
    <x v="43"/>
    <s v="GRSM 4"/>
    <x v="0"/>
    <s v="GMM"/>
    <n v="0"/>
    <n v="0"/>
    <x v="39"/>
    <x v="4"/>
    <s v="AGLIO OLIO"/>
    <n v="2000"/>
    <n v="35"/>
    <n v="70000"/>
    <m/>
  </r>
  <r>
    <x v="12"/>
    <s v="AGU"/>
    <x v="43"/>
    <s v="GRSM 4"/>
    <x v="0"/>
    <s v="GMM"/>
    <n v="0"/>
    <n v="0"/>
    <x v="39"/>
    <x v="4"/>
    <s v="GORENG"/>
    <n v="2000"/>
    <n v="119"/>
    <n v="238000"/>
    <n v="160"/>
  </r>
  <r>
    <x v="12"/>
    <s v="AGU"/>
    <x v="43"/>
    <s v="GRSM 4"/>
    <x v="0"/>
    <s v="GMM"/>
    <n v="0"/>
    <n v="0"/>
    <x v="39"/>
    <x v="100"/>
    <s v="BOLOGNESE"/>
    <n v="2000"/>
    <n v="32"/>
    <n v="64000"/>
    <m/>
  </r>
  <r>
    <x v="12"/>
    <s v="AGU"/>
    <x v="43"/>
    <s v="GRSM 4"/>
    <x v="0"/>
    <s v="GMM"/>
    <n v="0"/>
    <n v="0"/>
    <x v="39"/>
    <x v="100"/>
    <s v="CARBONARA"/>
    <n v="2000"/>
    <n v="20"/>
    <n v="40000"/>
    <m/>
  </r>
  <r>
    <x v="12"/>
    <s v="AGU"/>
    <x v="43"/>
    <s v="GRSM 4"/>
    <x v="0"/>
    <s v="GMM"/>
    <n v="0"/>
    <n v="0"/>
    <x v="39"/>
    <x v="100"/>
    <s v="AGLIO OLIO"/>
    <n v="2000"/>
    <n v="35"/>
    <n v="70000"/>
    <m/>
  </r>
  <r>
    <x v="12"/>
    <s v="AGU"/>
    <x v="43"/>
    <s v="GRSM 4"/>
    <x v="0"/>
    <s v="GMM"/>
    <n v="0"/>
    <n v="0"/>
    <x v="39"/>
    <x v="100"/>
    <s v="GORENG"/>
    <n v="2000"/>
    <n v="119"/>
    <n v="238000"/>
    <n v="160"/>
  </r>
  <r>
    <x v="12"/>
    <s v="AGU"/>
    <x v="43"/>
    <s v="GRSM 4"/>
    <x v="0"/>
    <s v="NKA"/>
    <n v="121409"/>
    <n v="5025004"/>
    <x v="38"/>
    <x v="27"/>
    <s v="BOLOGNESE"/>
    <n v="3275"/>
    <n v="90"/>
    <n v="294750"/>
    <m/>
  </r>
  <r>
    <x v="12"/>
    <s v="AGU"/>
    <x v="43"/>
    <s v="GRSM 4"/>
    <x v="0"/>
    <s v="NKA"/>
    <n v="121409"/>
    <n v="5025004"/>
    <x v="38"/>
    <x v="27"/>
    <s v="CARBONARA"/>
    <n v="3275"/>
    <n v="8"/>
    <n v="26200"/>
    <m/>
  </r>
  <r>
    <x v="12"/>
    <s v="AGU"/>
    <x v="43"/>
    <s v="GRSM 4"/>
    <x v="0"/>
    <s v="NKA"/>
    <n v="121409"/>
    <n v="5025004"/>
    <x v="38"/>
    <x v="27"/>
    <s v="AGLIO OLIO"/>
    <n v="3275"/>
    <n v="43"/>
    <n v="140825"/>
    <m/>
  </r>
  <r>
    <x v="12"/>
    <s v="AGU"/>
    <x v="43"/>
    <s v="GRSM 4"/>
    <x v="0"/>
    <s v="NKA"/>
    <n v="121409"/>
    <n v="5025004"/>
    <x v="38"/>
    <x v="27"/>
    <s v="GORENG"/>
    <n v="3275"/>
    <n v="153"/>
    <n v="501075"/>
    <n v="160"/>
  </r>
  <r>
    <x v="12"/>
    <s v="AGU"/>
    <x v="43"/>
    <s v="GRSM 4"/>
    <x v="0"/>
    <s v="NKA"/>
    <n v="121409"/>
    <n v="5025004"/>
    <x v="38"/>
    <x v="26"/>
    <s v="BOLOGNESE"/>
    <n v="3275"/>
    <n v="90"/>
    <n v="294750"/>
    <m/>
  </r>
  <r>
    <x v="12"/>
    <s v="AGU"/>
    <x v="43"/>
    <s v="GRSM 4"/>
    <x v="0"/>
    <s v="NKA"/>
    <n v="121409"/>
    <n v="5025004"/>
    <x v="38"/>
    <x v="26"/>
    <s v="CARBONARA"/>
    <n v="3275"/>
    <n v="8"/>
    <n v="26200"/>
    <m/>
  </r>
  <r>
    <x v="12"/>
    <s v="AGU"/>
    <x v="43"/>
    <s v="GRSM 4"/>
    <x v="0"/>
    <s v="NKA"/>
    <n v="121409"/>
    <n v="5025004"/>
    <x v="38"/>
    <x v="26"/>
    <s v="AGLIO OLIO"/>
    <n v="3275"/>
    <n v="43"/>
    <n v="140825"/>
    <m/>
  </r>
  <r>
    <x v="12"/>
    <s v="AGU"/>
    <x v="43"/>
    <s v="GRSM 4"/>
    <x v="0"/>
    <s v="NKA"/>
    <n v="121409"/>
    <n v="5025004"/>
    <x v="38"/>
    <x v="26"/>
    <s v="GORENG"/>
    <n v="3275"/>
    <n v="153"/>
    <n v="501075"/>
    <n v="160"/>
  </r>
  <r>
    <x v="12"/>
    <s v="AGU"/>
    <x v="43"/>
    <s v="GRSM 4"/>
    <x v="0"/>
    <s v="GMM"/>
    <n v="0"/>
    <n v="0"/>
    <x v="25"/>
    <x v="72"/>
    <s v="BOLOGNESE"/>
    <n v="5038"/>
    <n v="0"/>
    <n v="0"/>
    <m/>
  </r>
  <r>
    <x v="12"/>
    <s v="AGU"/>
    <x v="43"/>
    <s v="GRSM 4"/>
    <x v="0"/>
    <s v="GMM"/>
    <n v="0"/>
    <n v="0"/>
    <x v="25"/>
    <x v="72"/>
    <s v="CARBONARA"/>
    <n v="5038"/>
    <n v="120"/>
    <n v="604560"/>
    <m/>
  </r>
  <r>
    <x v="12"/>
    <s v="AGU"/>
    <x v="43"/>
    <s v="GRSM 4"/>
    <x v="0"/>
    <s v="GMM"/>
    <n v="0"/>
    <n v="0"/>
    <x v="25"/>
    <x v="72"/>
    <s v="AGLIO OLIO"/>
    <n v="5038"/>
    <n v="0"/>
    <n v="0"/>
    <m/>
  </r>
  <r>
    <x v="12"/>
    <s v="AGU"/>
    <x v="43"/>
    <s v="GRSM 4"/>
    <x v="0"/>
    <s v="GMM"/>
    <n v="0"/>
    <n v="0"/>
    <x v="25"/>
    <x v="72"/>
    <s v="GORENG"/>
    <n v="5038"/>
    <n v="0"/>
    <n v="-60"/>
    <n v="160"/>
  </r>
  <r>
    <x v="12"/>
    <s v="AGU"/>
    <x v="43"/>
    <s v="GRSM 4"/>
    <x v="0"/>
    <s v="GMM"/>
    <n v="0"/>
    <n v="0"/>
    <x v="25"/>
    <x v="118"/>
    <s v="BOLOGNESE"/>
    <n v="4992"/>
    <n v="0"/>
    <n v="0"/>
    <m/>
  </r>
  <r>
    <x v="12"/>
    <s v="AGU"/>
    <x v="43"/>
    <s v="GRSM 4"/>
    <x v="0"/>
    <s v="GMM"/>
    <n v="0"/>
    <n v="0"/>
    <x v="25"/>
    <x v="118"/>
    <s v="CARBONARA"/>
    <n v="4992"/>
    <n v="118"/>
    <n v="589056"/>
    <m/>
  </r>
  <r>
    <x v="12"/>
    <s v="AGU"/>
    <x v="43"/>
    <s v="GRSM 4"/>
    <x v="0"/>
    <s v="GMM"/>
    <n v="0"/>
    <n v="0"/>
    <x v="25"/>
    <x v="118"/>
    <s v="AGLIO OLIO"/>
    <n v="4992"/>
    <n v="0"/>
    <n v="0"/>
    <m/>
  </r>
  <r>
    <x v="12"/>
    <s v="AGU"/>
    <x v="43"/>
    <s v="GRSM 4"/>
    <x v="0"/>
    <s v="GMM"/>
    <n v="0"/>
    <n v="0"/>
    <x v="25"/>
    <x v="118"/>
    <s v="GORENG"/>
    <n v="4992"/>
    <n v="0"/>
    <n v="-56"/>
    <n v="160"/>
  </r>
  <r>
    <x v="12"/>
    <s v="AGU"/>
    <x v="43"/>
    <s v="GRSM 4"/>
    <x v="0"/>
    <s v="GMM"/>
    <n v="103259"/>
    <n v="9002359"/>
    <x v="37"/>
    <x v="75"/>
    <s v="BOLOGNESE"/>
    <n v="1950"/>
    <n v="6"/>
    <n v="11700"/>
    <m/>
  </r>
  <r>
    <x v="12"/>
    <s v="AGU"/>
    <x v="43"/>
    <s v="GRSM 4"/>
    <x v="0"/>
    <s v="GMM"/>
    <n v="103259"/>
    <n v="9002359"/>
    <x v="37"/>
    <x v="75"/>
    <s v="CARBONARA"/>
    <n v="1950"/>
    <n v="0"/>
    <n v="0"/>
    <m/>
  </r>
  <r>
    <x v="12"/>
    <s v="AGU"/>
    <x v="43"/>
    <s v="GRSM 4"/>
    <x v="0"/>
    <s v="GMM"/>
    <n v="103259"/>
    <n v="9002359"/>
    <x v="37"/>
    <x v="75"/>
    <s v="AGLIO OLIO"/>
    <n v="1950"/>
    <n v="0"/>
    <n v="0"/>
    <m/>
  </r>
  <r>
    <x v="12"/>
    <s v="AGU"/>
    <x v="43"/>
    <s v="GRSM 4"/>
    <x v="0"/>
    <s v="GMM"/>
    <n v="103259"/>
    <n v="9002359"/>
    <x v="37"/>
    <x v="75"/>
    <s v="GORENG"/>
    <n v="1950"/>
    <n v="0"/>
    <n v="0"/>
    <n v="160"/>
  </r>
  <r>
    <x v="12"/>
    <s v="AGU"/>
    <x v="44"/>
    <s v="GRSM 3A"/>
    <x v="0"/>
    <s v="GMM"/>
    <n v="211019"/>
    <n v="1556924"/>
    <x v="34"/>
    <x v="70"/>
    <s v="BOLOGNESE"/>
    <n v="2928"/>
    <n v="232"/>
    <n v="679296"/>
    <m/>
  </r>
  <r>
    <x v="12"/>
    <s v="AGU"/>
    <x v="44"/>
    <s v="GRSM 3A"/>
    <x v="0"/>
    <s v="GMM"/>
    <n v="211019"/>
    <n v="1556924"/>
    <x v="34"/>
    <x v="70"/>
    <s v="CARBONARA"/>
    <n v="2928"/>
    <n v="53"/>
    <n v="155184"/>
    <m/>
  </r>
  <r>
    <x v="12"/>
    <s v="AGU"/>
    <x v="44"/>
    <s v="GRSM 3A"/>
    <x v="0"/>
    <s v="GMM"/>
    <n v="211019"/>
    <n v="1556924"/>
    <x v="34"/>
    <x v="70"/>
    <s v="AGLIO OLIO"/>
    <n v="2928"/>
    <n v="2"/>
    <n v="5856"/>
    <m/>
  </r>
  <r>
    <x v="12"/>
    <s v="AGU"/>
    <x v="44"/>
    <s v="GRSM 3A"/>
    <x v="0"/>
    <s v="GMM"/>
    <n v="211019"/>
    <n v="1556924"/>
    <x v="34"/>
    <x v="70"/>
    <s v="GORENG"/>
    <n v="2928"/>
    <n v="48"/>
    <n v="140664"/>
    <n v="50"/>
  </r>
  <r>
    <x v="12"/>
    <s v="AGU"/>
    <x v="44"/>
    <s v="GRSM 3A"/>
    <x v="0"/>
    <s v="GMM"/>
    <n v="211019"/>
    <n v="1556924"/>
    <x v="34"/>
    <x v="71"/>
    <s v="BOLOGNESE"/>
    <n v="2928"/>
    <n v="232"/>
    <n v="679296"/>
    <m/>
  </r>
  <r>
    <x v="12"/>
    <s v="AGU"/>
    <x v="44"/>
    <s v="GRSM 3A"/>
    <x v="0"/>
    <s v="GMM"/>
    <n v="211019"/>
    <n v="1556924"/>
    <x v="34"/>
    <x v="71"/>
    <s v="CARBONARA"/>
    <n v="2928"/>
    <n v="53"/>
    <n v="155184"/>
    <m/>
  </r>
  <r>
    <x v="12"/>
    <s v="AGU"/>
    <x v="44"/>
    <s v="GRSM 3A"/>
    <x v="0"/>
    <s v="GMM"/>
    <n v="211019"/>
    <n v="1556924"/>
    <x v="34"/>
    <x v="71"/>
    <s v="AGLIO OLIO"/>
    <n v="2928"/>
    <n v="2"/>
    <n v="5856"/>
    <m/>
  </r>
  <r>
    <x v="12"/>
    <s v="AGU"/>
    <x v="44"/>
    <s v="GRSM 3A"/>
    <x v="0"/>
    <s v="GMM"/>
    <n v="211019"/>
    <n v="1556924"/>
    <x v="34"/>
    <x v="71"/>
    <s v="GORENG"/>
    <n v="2928"/>
    <n v="48"/>
    <n v="140664"/>
    <n v="50"/>
  </r>
  <r>
    <x v="12"/>
    <s v="AGU"/>
    <x v="44"/>
    <s v="GRSM 4"/>
    <x v="0"/>
    <s v="GMM"/>
    <n v="0"/>
    <n v="0"/>
    <x v="25"/>
    <x v="72"/>
    <s v="BOLOGNESE"/>
    <n v="3100"/>
    <n v="80"/>
    <n v="248000"/>
    <m/>
  </r>
  <r>
    <x v="12"/>
    <s v="AGU"/>
    <x v="44"/>
    <s v="GRSM 4"/>
    <x v="0"/>
    <s v="GMM"/>
    <n v="0"/>
    <n v="0"/>
    <x v="25"/>
    <x v="72"/>
    <s v="CARBONARA"/>
    <n v="3100"/>
    <n v="67"/>
    <n v="207700"/>
    <m/>
  </r>
  <r>
    <x v="12"/>
    <s v="AGU"/>
    <x v="44"/>
    <s v="GRSM 4"/>
    <x v="0"/>
    <s v="GMM"/>
    <n v="0"/>
    <n v="0"/>
    <x v="25"/>
    <x v="72"/>
    <s v="AGLIO OLIO"/>
    <n v="3100"/>
    <n v="0"/>
    <n v="0"/>
    <m/>
  </r>
  <r>
    <x v="12"/>
    <s v="AGU"/>
    <x v="44"/>
    <s v="GRSM 4"/>
    <x v="0"/>
    <s v="GMM"/>
    <n v="0"/>
    <n v="0"/>
    <x v="25"/>
    <x v="72"/>
    <s v="GORENG"/>
    <n v="3100"/>
    <n v="52"/>
    <n v="161200"/>
    <n v="160"/>
  </r>
  <r>
    <x v="12"/>
    <s v="AGU"/>
    <x v="44"/>
    <s v="GRSM 4"/>
    <x v="0"/>
    <s v="NKA"/>
    <n v="0"/>
    <n v="0"/>
    <x v="36"/>
    <x v="15"/>
    <s v="BOLOGNESE"/>
    <n v="2150"/>
    <n v="87"/>
    <n v="187050"/>
    <m/>
  </r>
  <r>
    <x v="12"/>
    <s v="AGU"/>
    <x v="44"/>
    <s v="GRSM 4"/>
    <x v="0"/>
    <s v="NKA"/>
    <n v="0"/>
    <n v="0"/>
    <x v="36"/>
    <x v="15"/>
    <s v="CARBONARA"/>
    <n v="2150"/>
    <n v="90"/>
    <n v="193500"/>
    <m/>
  </r>
  <r>
    <x v="12"/>
    <s v="AGU"/>
    <x v="44"/>
    <s v="GRSM 4"/>
    <x v="0"/>
    <s v="NKA"/>
    <n v="0"/>
    <n v="0"/>
    <x v="36"/>
    <x v="15"/>
    <s v="AGLIO OLIO"/>
    <n v="2150"/>
    <n v="84"/>
    <n v="180600"/>
    <m/>
  </r>
  <r>
    <x v="12"/>
    <s v="AGU"/>
    <x v="44"/>
    <s v="GRSM 4"/>
    <x v="0"/>
    <s v="NKA"/>
    <n v="0"/>
    <n v="0"/>
    <x v="36"/>
    <x v="15"/>
    <s v="GORENG"/>
    <n v="2150"/>
    <n v="114"/>
    <n v="245100"/>
    <n v="160"/>
  </r>
  <r>
    <x v="12"/>
    <s v="AGU"/>
    <x v="44"/>
    <s v="GRSM 4"/>
    <x v="0"/>
    <s v="NKA"/>
    <n v="0"/>
    <n v="0"/>
    <x v="36"/>
    <x v="24"/>
    <s v="BOLOGNESE"/>
    <n v="2150"/>
    <n v="84"/>
    <n v="180600"/>
    <m/>
  </r>
  <r>
    <x v="12"/>
    <s v="AGU"/>
    <x v="44"/>
    <s v="GRSM 4"/>
    <x v="0"/>
    <s v="NKA"/>
    <n v="0"/>
    <n v="0"/>
    <x v="36"/>
    <x v="24"/>
    <s v="CARBONARA"/>
    <n v="2150"/>
    <n v="81"/>
    <n v="174150"/>
    <m/>
  </r>
  <r>
    <x v="12"/>
    <s v="AGU"/>
    <x v="44"/>
    <s v="GRSM 4"/>
    <x v="0"/>
    <s v="NKA"/>
    <n v="0"/>
    <n v="0"/>
    <x v="36"/>
    <x v="24"/>
    <s v="AGLIO OLIO"/>
    <n v="2150"/>
    <n v="81"/>
    <n v="174150"/>
    <m/>
  </r>
  <r>
    <x v="12"/>
    <s v="AGU"/>
    <x v="44"/>
    <s v="GRSM 4"/>
    <x v="0"/>
    <s v="NKA"/>
    <n v="0"/>
    <n v="0"/>
    <x v="36"/>
    <x v="24"/>
    <s v="GORENG"/>
    <n v="2150"/>
    <n v="108"/>
    <n v="232200"/>
    <n v="160"/>
  </r>
  <r>
    <x v="12"/>
    <s v="AGU"/>
    <x v="44"/>
    <s v="GRSM 4"/>
    <x v="0"/>
    <s v="GMM"/>
    <n v="0"/>
    <n v="0"/>
    <x v="39"/>
    <x v="4"/>
    <s v="BOLOGNESE"/>
    <n v="2000"/>
    <n v="24"/>
    <n v="48000"/>
    <m/>
  </r>
  <r>
    <x v="12"/>
    <s v="AGU"/>
    <x v="44"/>
    <s v="GRSM 4"/>
    <x v="0"/>
    <s v="GMM"/>
    <n v="0"/>
    <n v="0"/>
    <x v="39"/>
    <x v="4"/>
    <s v="CARBONARA"/>
    <n v="2000"/>
    <n v="32"/>
    <n v="64000"/>
    <m/>
  </r>
  <r>
    <x v="12"/>
    <s v="AGU"/>
    <x v="44"/>
    <s v="GRSM 4"/>
    <x v="0"/>
    <s v="GMM"/>
    <n v="0"/>
    <n v="0"/>
    <x v="39"/>
    <x v="4"/>
    <s v="AGLIO OLIO"/>
    <n v="2000"/>
    <n v="41"/>
    <n v="82000"/>
    <m/>
  </r>
  <r>
    <x v="12"/>
    <s v="AGU"/>
    <x v="44"/>
    <s v="GRSM 4"/>
    <x v="0"/>
    <s v="GMM"/>
    <n v="0"/>
    <n v="0"/>
    <x v="39"/>
    <x v="4"/>
    <s v="GORENG"/>
    <n v="2000"/>
    <n v="116"/>
    <n v="232000"/>
    <n v="160"/>
  </r>
  <r>
    <x v="12"/>
    <s v="AGU"/>
    <x v="44"/>
    <s v="GRSM 4"/>
    <x v="0"/>
    <s v="GMM"/>
    <n v="0"/>
    <n v="0"/>
    <x v="39"/>
    <x v="100"/>
    <s v="BOLOGNESE"/>
    <n v="2000"/>
    <n v="24"/>
    <n v="48000"/>
    <m/>
  </r>
  <r>
    <x v="12"/>
    <s v="AGU"/>
    <x v="44"/>
    <s v="GRSM 4"/>
    <x v="0"/>
    <s v="GMM"/>
    <n v="0"/>
    <n v="0"/>
    <x v="39"/>
    <x v="100"/>
    <s v="CARBONARA"/>
    <n v="2000"/>
    <n v="32"/>
    <n v="64000"/>
    <m/>
  </r>
  <r>
    <x v="12"/>
    <s v="AGU"/>
    <x v="44"/>
    <s v="GRSM 4"/>
    <x v="0"/>
    <s v="GMM"/>
    <n v="0"/>
    <n v="0"/>
    <x v="39"/>
    <x v="100"/>
    <s v="AGLIO OLIO"/>
    <n v="2000"/>
    <n v="41"/>
    <n v="82000"/>
    <m/>
  </r>
  <r>
    <x v="12"/>
    <s v="AGU"/>
    <x v="44"/>
    <s v="GRSM 4"/>
    <x v="0"/>
    <s v="GMM"/>
    <n v="0"/>
    <n v="0"/>
    <x v="39"/>
    <x v="100"/>
    <s v="GORENG"/>
    <n v="2000"/>
    <n v="116"/>
    <n v="232000"/>
    <n v="160"/>
  </r>
  <r>
    <x v="12"/>
    <s v="AGU"/>
    <x v="44"/>
    <s v="GRSM 4"/>
    <x v="0"/>
    <s v="GMM"/>
    <n v="0"/>
    <n v="0"/>
    <x v="40"/>
    <x v="107"/>
    <s v="BOLOGNESE"/>
    <n v="2000"/>
    <n v="46"/>
    <n v="92000"/>
    <m/>
  </r>
  <r>
    <x v="12"/>
    <s v="AGU"/>
    <x v="44"/>
    <s v="GRSM 4"/>
    <x v="0"/>
    <s v="GMM"/>
    <n v="0"/>
    <n v="0"/>
    <x v="40"/>
    <x v="107"/>
    <s v="CARBONARA"/>
    <n v="2000"/>
    <n v="120"/>
    <n v="240000"/>
    <m/>
  </r>
  <r>
    <x v="12"/>
    <s v="AGU"/>
    <x v="44"/>
    <s v="GRSM 4"/>
    <x v="0"/>
    <s v="GMM"/>
    <n v="0"/>
    <n v="0"/>
    <x v="40"/>
    <x v="107"/>
    <s v="AGLIO OLIO"/>
    <n v="2000"/>
    <n v="0"/>
    <n v="0"/>
    <m/>
  </r>
  <r>
    <x v="12"/>
    <s v="AGU"/>
    <x v="44"/>
    <s v="GRSM 4"/>
    <x v="0"/>
    <s v="GMM"/>
    <n v="0"/>
    <n v="0"/>
    <x v="40"/>
    <x v="107"/>
    <s v="GORENG"/>
    <n v="2000"/>
    <n v="180"/>
    <n v="360000"/>
    <n v="160"/>
  </r>
  <r>
    <x v="12"/>
    <s v="AGU"/>
    <x v="44"/>
    <s v="GRSM 4"/>
    <x v="0"/>
    <s v="GMM"/>
    <n v="0"/>
    <n v="0"/>
    <x v="40"/>
    <x v="73"/>
    <s v="BOLOGNESE"/>
    <n v="2000"/>
    <n v="46"/>
    <n v="92000"/>
    <m/>
  </r>
  <r>
    <x v="12"/>
    <s v="AGU"/>
    <x v="44"/>
    <s v="GRSM 4"/>
    <x v="0"/>
    <s v="GMM"/>
    <n v="0"/>
    <n v="0"/>
    <x v="40"/>
    <x v="73"/>
    <s v="CARBONARA"/>
    <n v="2000"/>
    <n v="120"/>
    <n v="240000"/>
    <m/>
  </r>
  <r>
    <x v="12"/>
    <s v="AGU"/>
    <x v="44"/>
    <s v="GRSM 4"/>
    <x v="0"/>
    <s v="GMM"/>
    <n v="0"/>
    <n v="0"/>
    <x v="40"/>
    <x v="73"/>
    <s v="AGLIO OLIO"/>
    <n v="2000"/>
    <n v="0"/>
    <n v="0"/>
    <m/>
  </r>
  <r>
    <x v="12"/>
    <s v="AGU"/>
    <x v="44"/>
    <s v="GRSM 4"/>
    <x v="0"/>
    <s v="GMM"/>
    <n v="0"/>
    <n v="0"/>
    <x v="40"/>
    <x v="73"/>
    <s v="GORENG"/>
    <n v="2000"/>
    <n v="180"/>
    <n v="360000"/>
    <n v="160"/>
  </r>
  <r>
    <x v="12"/>
    <s v="AGU"/>
    <x v="44"/>
    <s v="GRSM 4"/>
    <x v="0"/>
    <s v="GMM"/>
    <n v="0"/>
    <n v="0"/>
    <x v="35"/>
    <x v="17"/>
    <s v="BOLOGNESE"/>
    <n v="3000"/>
    <n v="33"/>
    <n v="99000"/>
    <m/>
  </r>
  <r>
    <x v="12"/>
    <s v="AGU"/>
    <x v="44"/>
    <s v="GRSM 4"/>
    <x v="0"/>
    <s v="GMM"/>
    <n v="0"/>
    <n v="0"/>
    <x v="35"/>
    <x v="17"/>
    <s v="CARBONARA"/>
    <n v="3000"/>
    <n v="40"/>
    <n v="120000"/>
    <m/>
  </r>
  <r>
    <x v="12"/>
    <s v="AGU"/>
    <x v="44"/>
    <s v="GRSM 4"/>
    <x v="0"/>
    <s v="GMM"/>
    <n v="0"/>
    <n v="0"/>
    <x v="35"/>
    <x v="17"/>
    <s v="AGLIO OLIO"/>
    <n v="3000"/>
    <n v="29"/>
    <n v="87000"/>
    <m/>
  </r>
  <r>
    <x v="12"/>
    <s v="AGU"/>
    <x v="44"/>
    <s v="GRSM 4"/>
    <x v="0"/>
    <s v="GMM"/>
    <n v="0"/>
    <n v="0"/>
    <x v="35"/>
    <x v="17"/>
    <s v="GORENG"/>
    <n v="3000"/>
    <n v="105"/>
    <n v="315000"/>
    <n v="160"/>
  </r>
  <r>
    <x v="12"/>
    <s v="AGU"/>
    <x v="44"/>
    <s v="GRSM 4"/>
    <x v="0"/>
    <s v="GMM"/>
    <n v="0"/>
    <n v="0"/>
    <x v="35"/>
    <x v="21"/>
    <s v="BOLOGNESE"/>
    <n v="3000"/>
    <n v="31"/>
    <n v="93000"/>
    <m/>
  </r>
  <r>
    <x v="12"/>
    <s v="AGU"/>
    <x v="44"/>
    <s v="GRSM 4"/>
    <x v="0"/>
    <s v="GMM"/>
    <n v="0"/>
    <n v="0"/>
    <x v="35"/>
    <x v="21"/>
    <s v="CARBONARA"/>
    <n v="3000"/>
    <n v="43"/>
    <n v="129000"/>
    <m/>
  </r>
  <r>
    <x v="12"/>
    <s v="AGU"/>
    <x v="44"/>
    <s v="GRSM 4"/>
    <x v="0"/>
    <s v="GMM"/>
    <n v="0"/>
    <n v="0"/>
    <x v="35"/>
    <x v="21"/>
    <s v="AGLIO OLIO"/>
    <n v="3000"/>
    <n v="27"/>
    <n v="81000"/>
    <m/>
  </r>
  <r>
    <x v="12"/>
    <s v="AGU"/>
    <x v="44"/>
    <s v="GRSM 4"/>
    <x v="0"/>
    <s v="GMM"/>
    <n v="0"/>
    <n v="0"/>
    <x v="35"/>
    <x v="21"/>
    <s v="GORENG"/>
    <n v="3000"/>
    <n v="113"/>
    <n v="339000"/>
    <n v="160"/>
  </r>
  <r>
    <x v="12"/>
    <s v="AGU"/>
    <x v="44"/>
    <s v="GRSM 4"/>
    <x v="0"/>
    <s v="GMM"/>
    <n v="0"/>
    <n v="0"/>
    <x v="25"/>
    <x v="118"/>
    <s v="BOLOGNESE"/>
    <n v="3100"/>
    <n v="75"/>
    <n v="232500"/>
    <m/>
  </r>
  <r>
    <x v="12"/>
    <s v="AGU"/>
    <x v="44"/>
    <s v="GRSM 4"/>
    <x v="0"/>
    <s v="GMM"/>
    <n v="0"/>
    <n v="0"/>
    <x v="25"/>
    <x v="118"/>
    <s v="CARBONARA"/>
    <n v="3100"/>
    <n v="65"/>
    <n v="201500"/>
    <m/>
  </r>
  <r>
    <x v="12"/>
    <s v="AGU"/>
    <x v="44"/>
    <s v="GRSM 4"/>
    <x v="0"/>
    <s v="GMM"/>
    <n v="0"/>
    <n v="0"/>
    <x v="25"/>
    <x v="118"/>
    <s v="AGLIO OLIO"/>
    <n v="3100"/>
    <n v="0"/>
    <n v="0"/>
    <m/>
  </r>
  <r>
    <x v="12"/>
    <s v="AGU"/>
    <x v="44"/>
    <s v="GRSM 4"/>
    <x v="0"/>
    <s v="GMM"/>
    <n v="0"/>
    <n v="0"/>
    <x v="25"/>
    <x v="118"/>
    <s v="GORENG"/>
    <n v="3100"/>
    <n v="55"/>
    <n v="170500"/>
    <n v="160"/>
  </r>
  <r>
    <x v="12"/>
    <s v="AGU"/>
    <x v="44"/>
    <s v="GRSM 4"/>
    <x v="0"/>
    <s v="NKA"/>
    <n v="121409"/>
    <n v="5025004"/>
    <x v="38"/>
    <x v="27"/>
    <s v="BOLOGNESE"/>
    <n v="3275"/>
    <n v="98"/>
    <n v="320950"/>
    <m/>
  </r>
  <r>
    <x v="12"/>
    <s v="AGU"/>
    <x v="44"/>
    <s v="GRSM 4"/>
    <x v="0"/>
    <s v="NKA"/>
    <n v="121409"/>
    <n v="5025004"/>
    <x v="38"/>
    <x v="27"/>
    <s v="CARBONARA"/>
    <n v="3275"/>
    <n v="0"/>
    <n v="0"/>
    <m/>
  </r>
  <r>
    <x v="12"/>
    <s v="AGU"/>
    <x v="44"/>
    <s v="GRSM 4"/>
    <x v="0"/>
    <s v="NKA"/>
    <n v="121409"/>
    <n v="5025004"/>
    <x v="38"/>
    <x v="27"/>
    <s v="AGLIO OLIO"/>
    <n v="3275"/>
    <n v="44"/>
    <n v="144100"/>
    <m/>
  </r>
  <r>
    <x v="12"/>
    <s v="AGU"/>
    <x v="44"/>
    <s v="GRSM 4"/>
    <x v="0"/>
    <s v="NKA"/>
    <n v="121409"/>
    <n v="5025004"/>
    <x v="38"/>
    <x v="27"/>
    <s v="GORENG"/>
    <n v="3275"/>
    <n v="103"/>
    <n v="337325"/>
    <n v="160"/>
  </r>
  <r>
    <x v="12"/>
    <s v="AGU"/>
    <x v="44"/>
    <s v="GRSM 4"/>
    <x v="0"/>
    <s v="NKA"/>
    <n v="121409"/>
    <n v="5025004"/>
    <x v="38"/>
    <x v="26"/>
    <s v="BOLOGNESE"/>
    <n v="3275"/>
    <n v="98"/>
    <n v="320950"/>
    <m/>
  </r>
  <r>
    <x v="12"/>
    <s v="AGU"/>
    <x v="44"/>
    <s v="GRSM 4"/>
    <x v="0"/>
    <s v="NKA"/>
    <n v="121409"/>
    <n v="5025004"/>
    <x v="38"/>
    <x v="26"/>
    <s v="CARBONARA"/>
    <n v="3275"/>
    <n v="0"/>
    <n v="0"/>
    <m/>
  </r>
  <r>
    <x v="12"/>
    <s v="AGU"/>
    <x v="44"/>
    <s v="GRSM 4"/>
    <x v="0"/>
    <s v="NKA"/>
    <n v="121409"/>
    <n v="5025004"/>
    <x v="38"/>
    <x v="26"/>
    <s v="AGLIO OLIO"/>
    <n v="3275"/>
    <n v="44"/>
    <n v="144100"/>
    <m/>
  </r>
  <r>
    <x v="12"/>
    <s v="AGU"/>
    <x v="44"/>
    <s v="GRSM 4"/>
    <x v="0"/>
    <s v="NKA"/>
    <n v="121409"/>
    <n v="5025004"/>
    <x v="38"/>
    <x v="26"/>
    <s v="GORENG"/>
    <n v="3275"/>
    <n v="103"/>
    <n v="337325"/>
    <n v="160"/>
  </r>
  <r>
    <x v="12"/>
    <s v="AGU"/>
    <x v="43"/>
    <s v="GRSM 4"/>
    <x v="0"/>
    <s v="GMM"/>
    <n v="103259"/>
    <n v="9002359"/>
    <x v="37"/>
    <x v="75"/>
    <s v="BOLOGNESE"/>
    <n v="1967"/>
    <n v="24"/>
    <n v="47208"/>
    <m/>
  </r>
  <r>
    <x v="12"/>
    <s v="AGU"/>
    <x v="43"/>
    <s v="GRSM 4"/>
    <x v="0"/>
    <s v="GMM"/>
    <n v="103259"/>
    <n v="9002359"/>
    <x v="37"/>
    <x v="75"/>
    <s v="CARBONARA"/>
    <n v="1967"/>
    <n v="0"/>
    <n v="0"/>
    <m/>
  </r>
  <r>
    <x v="12"/>
    <s v="AGU"/>
    <x v="43"/>
    <s v="GRSM 4"/>
    <x v="0"/>
    <s v="GMM"/>
    <n v="103259"/>
    <n v="9002359"/>
    <x v="37"/>
    <x v="75"/>
    <s v="AGLIO OLIO"/>
    <n v="1967"/>
    <n v="0"/>
    <n v="0"/>
    <m/>
  </r>
  <r>
    <x v="12"/>
    <s v="AGU"/>
    <x v="43"/>
    <s v="GRSM 4"/>
    <x v="0"/>
    <s v="GMM"/>
    <n v="103259"/>
    <n v="9002359"/>
    <x v="37"/>
    <x v="75"/>
    <s v="GORENG"/>
    <n v="1967"/>
    <n v="0"/>
    <n v="-8"/>
    <n v="160"/>
  </r>
  <r>
    <x v="12"/>
    <s v="AGU"/>
    <x v="43"/>
    <s v="GRSM 4"/>
    <x v="0"/>
    <s v="GMM"/>
    <n v="103259"/>
    <n v="9002359"/>
    <x v="37"/>
    <x v="1"/>
    <s v="BOLOGNESE"/>
    <n v="1967"/>
    <n v="42"/>
    <n v="82614"/>
    <m/>
  </r>
  <r>
    <x v="12"/>
    <s v="AGU"/>
    <x v="43"/>
    <s v="GRSM 4"/>
    <x v="0"/>
    <s v="GMM"/>
    <n v="103259"/>
    <n v="9002359"/>
    <x v="37"/>
    <x v="1"/>
    <s v="CARBONARA"/>
    <n v="1967"/>
    <n v="0"/>
    <n v="0"/>
    <m/>
  </r>
  <r>
    <x v="12"/>
    <s v="AGU"/>
    <x v="43"/>
    <s v="GRSM 4"/>
    <x v="0"/>
    <s v="GMM"/>
    <n v="103259"/>
    <n v="9002359"/>
    <x v="37"/>
    <x v="1"/>
    <s v="AGLIO OLIO"/>
    <n v="1967"/>
    <n v="0"/>
    <n v="0"/>
    <m/>
  </r>
  <r>
    <x v="12"/>
    <s v="AGU"/>
    <x v="43"/>
    <s v="GRSM 4"/>
    <x v="0"/>
    <s v="GMM"/>
    <n v="103259"/>
    <n v="9002359"/>
    <x v="37"/>
    <x v="1"/>
    <s v="GORENG"/>
    <n v="1967"/>
    <n v="0"/>
    <n v="-14"/>
    <n v="160"/>
  </r>
  <r>
    <x v="12"/>
    <s v="AGU"/>
    <x v="44"/>
    <s v="GRSM 4"/>
    <x v="0"/>
    <s v="GMM"/>
    <n v="103259"/>
    <n v="9002359"/>
    <x v="37"/>
    <x v="75"/>
    <s v="BOLOGNESE"/>
    <n v="1967"/>
    <n v="36"/>
    <n v="70812"/>
    <m/>
  </r>
  <r>
    <x v="12"/>
    <s v="AGU"/>
    <x v="44"/>
    <s v="GRSM 4"/>
    <x v="0"/>
    <s v="GMM"/>
    <n v="103259"/>
    <n v="9002359"/>
    <x v="37"/>
    <x v="75"/>
    <s v="CARBONARA"/>
    <n v="1967"/>
    <n v="0"/>
    <n v="0"/>
    <m/>
  </r>
  <r>
    <x v="12"/>
    <s v="AGU"/>
    <x v="44"/>
    <s v="GRSM 4"/>
    <x v="0"/>
    <s v="GMM"/>
    <n v="103259"/>
    <n v="9002359"/>
    <x v="37"/>
    <x v="75"/>
    <s v="AGLIO OLIO"/>
    <n v="1967"/>
    <n v="0"/>
    <n v="0"/>
    <m/>
  </r>
  <r>
    <x v="12"/>
    <s v="AGU"/>
    <x v="44"/>
    <s v="GRSM 4"/>
    <x v="0"/>
    <s v="GMM"/>
    <n v="103259"/>
    <n v="9002359"/>
    <x v="37"/>
    <x v="75"/>
    <s v="GORENG"/>
    <n v="1967"/>
    <n v="0"/>
    <n v="-12"/>
    <n v="160"/>
  </r>
  <r>
    <x v="12"/>
    <s v="AGU"/>
    <x v="44"/>
    <s v="GRSM 4"/>
    <x v="0"/>
    <s v="GMM"/>
    <n v="103259"/>
    <n v="9002359"/>
    <x v="37"/>
    <x v="1"/>
    <s v="BOLOGNESE"/>
    <n v="1967"/>
    <n v="30"/>
    <n v="59010"/>
    <m/>
  </r>
  <r>
    <x v="12"/>
    <s v="AGU"/>
    <x v="44"/>
    <s v="GRSM 4"/>
    <x v="0"/>
    <s v="GMM"/>
    <n v="103259"/>
    <n v="9002359"/>
    <x v="37"/>
    <x v="1"/>
    <s v="CARBONARA"/>
    <n v="1967"/>
    <n v="0"/>
    <n v="0"/>
    <m/>
  </r>
  <r>
    <x v="12"/>
    <s v="AGU"/>
    <x v="44"/>
    <s v="GRSM 4"/>
    <x v="0"/>
    <s v="GMM"/>
    <n v="103259"/>
    <n v="9002359"/>
    <x v="37"/>
    <x v="1"/>
    <s v="AGLIO OLIO"/>
    <n v="1967"/>
    <n v="0"/>
    <n v="0"/>
    <m/>
  </r>
  <r>
    <x v="12"/>
    <s v="AGU"/>
    <x v="44"/>
    <s v="GRSM 4"/>
    <x v="0"/>
    <s v="GMM"/>
    <n v="103259"/>
    <n v="9002359"/>
    <x v="37"/>
    <x v="1"/>
    <s v="GORENG"/>
    <n v="1967"/>
    <n v="0"/>
    <n v="-10"/>
    <n v="160"/>
  </r>
  <r>
    <x v="12"/>
    <s v="AGU"/>
    <x v="41"/>
    <s v="GRSM 4"/>
    <x v="0"/>
    <s v="NKA"/>
    <n v="0"/>
    <n v="0"/>
    <x v="36"/>
    <x v="15"/>
    <s v="BOLOGNESE"/>
    <n v="2150"/>
    <n v="78"/>
    <n v="167700"/>
    <m/>
  </r>
  <r>
    <x v="12"/>
    <s v="AGU"/>
    <x v="41"/>
    <s v="GRSM 4"/>
    <x v="0"/>
    <s v="NKA"/>
    <n v="0"/>
    <n v="0"/>
    <x v="36"/>
    <x v="15"/>
    <s v="CARBONARA"/>
    <n v="2150"/>
    <n v="84"/>
    <n v="180600"/>
    <m/>
  </r>
  <r>
    <x v="12"/>
    <s v="AGU"/>
    <x v="41"/>
    <s v="GRSM 4"/>
    <x v="0"/>
    <s v="NKA"/>
    <n v="0"/>
    <n v="0"/>
    <x v="36"/>
    <x v="15"/>
    <s v="AGLIO OLIO"/>
    <n v="2150"/>
    <n v="87"/>
    <n v="187050"/>
    <m/>
  </r>
  <r>
    <x v="12"/>
    <s v="AGU"/>
    <x v="41"/>
    <s v="GRSM 4"/>
    <x v="0"/>
    <s v="NKA"/>
    <n v="0"/>
    <n v="0"/>
    <x v="36"/>
    <x v="15"/>
    <s v="GORENG"/>
    <n v="2150"/>
    <n v="96"/>
    <n v="206400"/>
    <n v="160"/>
  </r>
  <r>
    <x v="12"/>
    <s v="AGU"/>
    <x v="41"/>
    <s v="GRSM 4"/>
    <x v="0"/>
    <s v="NKA"/>
    <n v="121409"/>
    <n v="5025004"/>
    <x v="38"/>
    <x v="27"/>
    <s v="BOLOGNESE"/>
    <n v="3275"/>
    <n v="125"/>
    <n v="409375"/>
    <m/>
  </r>
  <r>
    <x v="12"/>
    <s v="AGU"/>
    <x v="41"/>
    <s v="GRSM 4"/>
    <x v="0"/>
    <s v="NKA"/>
    <n v="121409"/>
    <n v="5025004"/>
    <x v="38"/>
    <x v="27"/>
    <s v="CARBONARA"/>
    <n v="3275"/>
    <n v="0"/>
    <n v="0"/>
    <m/>
  </r>
  <r>
    <x v="12"/>
    <s v="AGU"/>
    <x v="41"/>
    <s v="GRSM 4"/>
    <x v="0"/>
    <s v="NKA"/>
    <n v="121409"/>
    <n v="5025004"/>
    <x v="38"/>
    <x v="27"/>
    <s v="AGLIO OLIO"/>
    <n v="3275"/>
    <n v="69"/>
    <n v="225975"/>
    <m/>
  </r>
  <r>
    <x v="12"/>
    <s v="AGU"/>
    <x v="41"/>
    <s v="GRSM 4"/>
    <x v="0"/>
    <s v="NKA"/>
    <n v="121409"/>
    <n v="5025004"/>
    <x v="38"/>
    <x v="27"/>
    <s v="GORENG"/>
    <n v="3275"/>
    <n v="211"/>
    <n v="691025"/>
    <n v="160"/>
  </r>
  <r>
    <x v="12"/>
    <s v="AGU"/>
    <x v="41"/>
    <s v="GRSM 4"/>
    <x v="0"/>
    <s v="NKA"/>
    <n v="121409"/>
    <n v="5025004"/>
    <x v="38"/>
    <x v="26"/>
    <s v="BOLOGNESE"/>
    <n v="3275"/>
    <n v="125"/>
    <n v="409375"/>
    <m/>
  </r>
  <r>
    <x v="12"/>
    <s v="AGU"/>
    <x v="41"/>
    <s v="GRSM 4"/>
    <x v="0"/>
    <s v="NKA"/>
    <n v="121409"/>
    <n v="5025004"/>
    <x v="38"/>
    <x v="26"/>
    <s v="CARBONARA"/>
    <n v="3275"/>
    <n v="0"/>
    <n v="0"/>
    <m/>
  </r>
  <r>
    <x v="12"/>
    <s v="AGU"/>
    <x v="41"/>
    <s v="GRSM 4"/>
    <x v="0"/>
    <s v="NKA"/>
    <n v="121409"/>
    <n v="5025004"/>
    <x v="38"/>
    <x v="26"/>
    <s v="AGLIO OLIO"/>
    <n v="3275"/>
    <n v="69"/>
    <n v="225975"/>
    <m/>
  </r>
  <r>
    <x v="12"/>
    <s v="AGU"/>
    <x v="41"/>
    <s v="GRSM 4"/>
    <x v="0"/>
    <s v="NKA"/>
    <n v="121409"/>
    <n v="5025004"/>
    <x v="38"/>
    <x v="26"/>
    <s v="GORENG"/>
    <n v="3275"/>
    <n v="211"/>
    <n v="691025"/>
    <n v="160"/>
  </r>
  <r>
    <x v="12"/>
    <s v="AGU"/>
    <x v="41"/>
    <s v="GRSM 4"/>
    <x v="0"/>
    <s v="GMM"/>
    <n v="0"/>
    <n v="0"/>
    <x v="35"/>
    <x v="21"/>
    <s v="BOLOGNESE"/>
    <n v="3000"/>
    <n v="36"/>
    <n v="108000"/>
    <m/>
  </r>
  <r>
    <x v="12"/>
    <s v="AGU"/>
    <x v="41"/>
    <s v="GRSM 4"/>
    <x v="0"/>
    <s v="GMM"/>
    <n v="0"/>
    <n v="0"/>
    <x v="35"/>
    <x v="21"/>
    <s v="CARBONARA"/>
    <n v="3000"/>
    <n v="45"/>
    <n v="135000"/>
    <m/>
  </r>
  <r>
    <x v="12"/>
    <s v="AGU"/>
    <x v="41"/>
    <s v="GRSM 4"/>
    <x v="0"/>
    <s v="GMM"/>
    <n v="0"/>
    <n v="0"/>
    <x v="35"/>
    <x v="21"/>
    <s v="AGLIO OLIO"/>
    <n v="3000"/>
    <n v="24"/>
    <n v="72000"/>
    <m/>
  </r>
  <r>
    <x v="12"/>
    <s v="AGU"/>
    <x v="41"/>
    <s v="GRSM 4"/>
    <x v="0"/>
    <s v="GMM"/>
    <n v="0"/>
    <n v="0"/>
    <x v="35"/>
    <x v="21"/>
    <s v="GORENG"/>
    <n v="3000"/>
    <n v="117"/>
    <n v="351000"/>
    <n v="160"/>
  </r>
  <r>
    <x v="12"/>
    <s v="AGU"/>
    <x v="41"/>
    <s v="GRSM 4"/>
    <x v="0"/>
    <s v="GMM"/>
    <n v="0"/>
    <n v="0"/>
    <x v="35"/>
    <x v="17"/>
    <s v="BOLOGNESE"/>
    <n v="3000"/>
    <n v="30"/>
    <n v="90000"/>
    <m/>
  </r>
  <r>
    <x v="12"/>
    <s v="AGU"/>
    <x v="41"/>
    <s v="GRSM 4"/>
    <x v="0"/>
    <s v="GMM"/>
    <n v="0"/>
    <n v="0"/>
    <x v="35"/>
    <x v="17"/>
    <s v="CARBONARA"/>
    <n v="3000"/>
    <n v="50"/>
    <n v="150000"/>
    <m/>
  </r>
  <r>
    <x v="12"/>
    <s v="AGU"/>
    <x v="41"/>
    <s v="GRSM 4"/>
    <x v="0"/>
    <s v="GMM"/>
    <n v="0"/>
    <n v="0"/>
    <x v="35"/>
    <x v="17"/>
    <s v="AGLIO OLIO"/>
    <n v="3000"/>
    <n v="24"/>
    <n v="72000"/>
    <m/>
  </r>
  <r>
    <x v="12"/>
    <s v="AGU"/>
    <x v="41"/>
    <s v="GRSM 4"/>
    <x v="0"/>
    <s v="GMM"/>
    <n v="0"/>
    <n v="0"/>
    <x v="35"/>
    <x v="17"/>
    <s v="GORENG"/>
    <n v="3000"/>
    <n v="122"/>
    <n v="366000"/>
    <n v="160"/>
  </r>
  <r>
    <x v="12"/>
    <s v="AGU"/>
    <x v="41"/>
    <s v="GRSM 4"/>
    <x v="0"/>
    <s v="GMM"/>
    <n v="0"/>
    <n v="0"/>
    <x v="25"/>
    <x v="72"/>
    <s v="BOLOGNESE"/>
    <n v="3100"/>
    <n v="57"/>
    <n v="176700"/>
    <m/>
  </r>
  <r>
    <x v="12"/>
    <s v="AGU"/>
    <x v="41"/>
    <s v="GRSM 4"/>
    <x v="0"/>
    <s v="GMM"/>
    <n v="0"/>
    <n v="0"/>
    <x v="25"/>
    <x v="72"/>
    <s v="CARBONARA"/>
    <n v="3100"/>
    <n v="34"/>
    <n v="105400"/>
    <m/>
  </r>
  <r>
    <x v="12"/>
    <s v="AGU"/>
    <x v="41"/>
    <s v="GRSM 4"/>
    <x v="0"/>
    <s v="GMM"/>
    <n v="0"/>
    <n v="0"/>
    <x v="25"/>
    <x v="72"/>
    <s v="AGLIO OLIO"/>
    <n v="3100"/>
    <n v="0"/>
    <n v="0"/>
    <m/>
  </r>
  <r>
    <x v="12"/>
    <s v="AGU"/>
    <x v="41"/>
    <s v="GRSM 4"/>
    <x v="0"/>
    <s v="GMM"/>
    <n v="0"/>
    <n v="0"/>
    <x v="25"/>
    <x v="72"/>
    <s v="GORENG"/>
    <n v="3100"/>
    <n v="81"/>
    <n v="251100"/>
    <n v="160"/>
  </r>
  <r>
    <x v="12"/>
    <s v="AGU"/>
    <x v="41"/>
    <s v="GRSM 4"/>
    <x v="0"/>
    <s v="GMM"/>
    <n v="0"/>
    <n v="0"/>
    <x v="39"/>
    <x v="4"/>
    <s v="BOLOGNESE"/>
    <n v="2000"/>
    <n v="24"/>
    <n v="48000"/>
    <m/>
  </r>
  <r>
    <x v="12"/>
    <s v="AGU"/>
    <x v="41"/>
    <s v="GRSM 4"/>
    <x v="0"/>
    <s v="GMM"/>
    <n v="0"/>
    <n v="0"/>
    <x v="39"/>
    <x v="4"/>
    <s v="CARBONARA"/>
    <n v="2000"/>
    <n v="38"/>
    <n v="76000"/>
    <m/>
  </r>
  <r>
    <x v="12"/>
    <s v="AGU"/>
    <x v="41"/>
    <s v="GRSM 4"/>
    <x v="0"/>
    <s v="GMM"/>
    <n v="0"/>
    <n v="0"/>
    <x v="39"/>
    <x v="4"/>
    <s v="AGLIO OLIO"/>
    <n v="2000"/>
    <n v="56"/>
    <n v="112000"/>
    <m/>
  </r>
  <r>
    <x v="12"/>
    <s v="AGU"/>
    <x v="41"/>
    <s v="GRSM 4"/>
    <x v="0"/>
    <s v="GMM"/>
    <n v="0"/>
    <n v="0"/>
    <x v="39"/>
    <x v="4"/>
    <s v="GORENG"/>
    <n v="2000"/>
    <n v="107"/>
    <n v="214000"/>
    <n v="160"/>
  </r>
  <r>
    <x v="12"/>
    <s v="AGU"/>
    <x v="41"/>
    <s v="GRSM 4"/>
    <x v="0"/>
    <s v="GMM"/>
    <n v="0"/>
    <n v="0"/>
    <x v="39"/>
    <x v="100"/>
    <s v="BOLOGNESE"/>
    <n v="2000"/>
    <n v="24"/>
    <n v="48000"/>
    <m/>
  </r>
  <r>
    <x v="12"/>
    <s v="AGU"/>
    <x v="41"/>
    <s v="GRSM 4"/>
    <x v="0"/>
    <s v="GMM"/>
    <n v="0"/>
    <n v="0"/>
    <x v="39"/>
    <x v="100"/>
    <s v="CARBONARA"/>
    <n v="2000"/>
    <n v="38"/>
    <n v="76000"/>
    <m/>
  </r>
  <r>
    <x v="12"/>
    <s v="AGU"/>
    <x v="41"/>
    <s v="GRSM 4"/>
    <x v="0"/>
    <s v="GMM"/>
    <n v="0"/>
    <n v="0"/>
    <x v="39"/>
    <x v="100"/>
    <s v="AGLIO OLIO"/>
    <n v="2000"/>
    <n v="56"/>
    <n v="112000"/>
    <m/>
  </r>
  <r>
    <x v="12"/>
    <s v="AGU"/>
    <x v="41"/>
    <s v="GRSM 4"/>
    <x v="0"/>
    <s v="GMM"/>
    <n v="0"/>
    <n v="0"/>
    <x v="39"/>
    <x v="100"/>
    <s v="GORENG"/>
    <n v="2000"/>
    <n v="107"/>
    <n v="214000"/>
    <n v="160"/>
  </r>
  <r>
    <x v="12"/>
    <s v="AGU"/>
    <x v="41"/>
    <s v="GRSM 4"/>
    <x v="0"/>
    <s v="GMM"/>
    <n v="0"/>
    <n v="0"/>
    <x v="40"/>
    <x v="107"/>
    <s v="BOLOGNESE"/>
    <n v="2000"/>
    <n v="39"/>
    <n v="78000"/>
    <m/>
  </r>
  <r>
    <x v="12"/>
    <s v="AGU"/>
    <x v="41"/>
    <s v="GRSM 4"/>
    <x v="0"/>
    <s v="GMM"/>
    <n v="0"/>
    <n v="0"/>
    <x v="40"/>
    <x v="107"/>
    <s v="CARBONARA"/>
    <n v="2000"/>
    <n v="57"/>
    <n v="114000"/>
    <m/>
  </r>
  <r>
    <x v="12"/>
    <s v="AGU"/>
    <x v="41"/>
    <s v="GRSM 4"/>
    <x v="0"/>
    <s v="GMM"/>
    <n v="0"/>
    <n v="0"/>
    <x v="40"/>
    <x v="107"/>
    <s v="AGLIO OLIO"/>
    <n v="2000"/>
    <n v="0"/>
    <n v="0"/>
    <m/>
  </r>
  <r>
    <x v="12"/>
    <s v="AGU"/>
    <x v="41"/>
    <s v="GRSM 4"/>
    <x v="0"/>
    <s v="GMM"/>
    <n v="0"/>
    <n v="0"/>
    <x v="40"/>
    <x v="107"/>
    <s v="GORENG"/>
    <n v="2000"/>
    <n v="90"/>
    <n v="180000"/>
    <n v="160"/>
  </r>
  <r>
    <x v="12"/>
    <s v="AGU"/>
    <x v="41"/>
    <s v="GRSM 4"/>
    <x v="0"/>
    <s v="GMM"/>
    <n v="0"/>
    <n v="0"/>
    <x v="40"/>
    <x v="73"/>
    <s v="BOLOGNESE"/>
    <n v="2000"/>
    <n v="39"/>
    <n v="78000"/>
    <m/>
  </r>
  <r>
    <x v="12"/>
    <s v="AGU"/>
    <x v="41"/>
    <s v="GRSM 4"/>
    <x v="0"/>
    <s v="GMM"/>
    <n v="0"/>
    <n v="0"/>
    <x v="40"/>
    <x v="73"/>
    <s v="CARBONARA"/>
    <n v="2000"/>
    <n v="57"/>
    <n v="114000"/>
    <m/>
  </r>
  <r>
    <x v="12"/>
    <s v="AGU"/>
    <x v="41"/>
    <s v="GRSM 4"/>
    <x v="0"/>
    <s v="GMM"/>
    <n v="0"/>
    <n v="0"/>
    <x v="40"/>
    <x v="73"/>
    <s v="AGLIO OLIO"/>
    <n v="2000"/>
    <n v="0"/>
    <n v="0"/>
    <m/>
  </r>
  <r>
    <x v="12"/>
    <s v="AGU"/>
    <x v="41"/>
    <s v="GRSM 4"/>
    <x v="0"/>
    <s v="GMM"/>
    <n v="0"/>
    <n v="0"/>
    <x v="40"/>
    <x v="73"/>
    <s v="GORENG"/>
    <n v="2000"/>
    <n v="90"/>
    <n v="180000"/>
    <n v="160"/>
  </r>
  <r>
    <x v="12"/>
    <s v="AGU"/>
    <x v="41"/>
    <s v="GRSM 4"/>
    <x v="0"/>
    <s v="GMM"/>
    <n v="0"/>
    <n v="0"/>
    <x v="25"/>
    <x v="118"/>
    <s v="BOLOGNESE"/>
    <n v="3100"/>
    <n v="56"/>
    <n v="173600"/>
    <m/>
  </r>
  <r>
    <x v="12"/>
    <s v="AGU"/>
    <x v="41"/>
    <s v="GRSM 4"/>
    <x v="0"/>
    <s v="GMM"/>
    <n v="0"/>
    <n v="0"/>
    <x v="25"/>
    <x v="118"/>
    <s v="CARBONARA"/>
    <n v="3100"/>
    <n v="34"/>
    <n v="105400"/>
    <m/>
  </r>
  <r>
    <x v="12"/>
    <s v="AGU"/>
    <x v="41"/>
    <s v="GRSM 4"/>
    <x v="0"/>
    <s v="GMM"/>
    <n v="0"/>
    <n v="0"/>
    <x v="25"/>
    <x v="118"/>
    <s v="AGLIO OLIO"/>
    <n v="3100"/>
    <n v="0"/>
    <n v="0"/>
    <m/>
  </r>
  <r>
    <x v="12"/>
    <s v="AGU"/>
    <x v="41"/>
    <s v="GRSM 4"/>
    <x v="0"/>
    <s v="GMM"/>
    <n v="0"/>
    <n v="0"/>
    <x v="25"/>
    <x v="118"/>
    <s v="GORENG"/>
    <n v="3100"/>
    <n v="80"/>
    <n v="248000"/>
    <n v="160"/>
  </r>
  <r>
    <x v="12"/>
    <s v="AGU"/>
    <x v="41"/>
    <s v="GRSM 4"/>
    <x v="0"/>
    <s v="GMM"/>
    <n v="103259"/>
    <n v="9002359"/>
    <x v="37"/>
    <x v="1"/>
    <s v="BOLOGNESE"/>
    <n v="1933"/>
    <n v="132"/>
    <n v="255156"/>
    <m/>
  </r>
  <r>
    <x v="12"/>
    <s v="AGU"/>
    <x v="41"/>
    <s v="GRSM 4"/>
    <x v="0"/>
    <s v="GMM"/>
    <n v="103259"/>
    <n v="9002359"/>
    <x v="37"/>
    <x v="1"/>
    <s v="CARBONARA"/>
    <n v="1933"/>
    <n v="0"/>
    <n v="0"/>
    <m/>
  </r>
  <r>
    <x v="12"/>
    <s v="AGU"/>
    <x v="41"/>
    <s v="GRSM 4"/>
    <x v="0"/>
    <s v="GMM"/>
    <n v="103259"/>
    <n v="9002359"/>
    <x v="37"/>
    <x v="1"/>
    <s v="AGLIO OLIO"/>
    <n v="1933"/>
    <n v="0"/>
    <n v="0"/>
    <m/>
  </r>
  <r>
    <x v="12"/>
    <s v="AGU"/>
    <x v="41"/>
    <s v="GRSM 4"/>
    <x v="0"/>
    <s v="GMM"/>
    <n v="103259"/>
    <n v="9002359"/>
    <x v="37"/>
    <x v="1"/>
    <s v="GORENG"/>
    <n v="1933"/>
    <n v="0"/>
    <n v="44"/>
    <m/>
  </r>
  <r>
    <x v="12"/>
    <s v="AGU"/>
    <x v="41"/>
    <s v="GRSM 4"/>
    <x v="0"/>
    <s v="GMM"/>
    <n v="103259"/>
    <n v="9002359"/>
    <x v="37"/>
    <x v="75"/>
    <s v="BOLOGNESE"/>
    <n v="1933"/>
    <n v="114"/>
    <n v="220362"/>
    <m/>
  </r>
  <r>
    <x v="12"/>
    <s v="AGU"/>
    <x v="41"/>
    <s v="GRSM 4"/>
    <x v="0"/>
    <s v="GMM"/>
    <n v="103259"/>
    <n v="9002359"/>
    <x v="37"/>
    <x v="75"/>
    <s v="CARBONARA"/>
    <n v="1933"/>
    <n v="0"/>
    <n v="0"/>
    <m/>
  </r>
  <r>
    <x v="12"/>
    <s v="AGU"/>
    <x v="41"/>
    <s v="GRSM 4"/>
    <x v="0"/>
    <s v="GMM"/>
    <n v="103259"/>
    <n v="9002359"/>
    <x v="37"/>
    <x v="75"/>
    <s v="AGLIO OLIO"/>
    <n v="1933"/>
    <n v="0"/>
    <n v="0"/>
    <m/>
  </r>
  <r>
    <x v="12"/>
    <s v="AGU"/>
    <x v="41"/>
    <s v="GRSM 4"/>
    <x v="0"/>
    <s v="GMM"/>
    <n v="103259"/>
    <n v="9002359"/>
    <x v="37"/>
    <x v="75"/>
    <s v="GORENG"/>
    <n v="1933"/>
    <n v="0"/>
    <n v="38"/>
    <m/>
  </r>
  <r>
    <x v="13"/>
    <m/>
    <x v="45"/>
    <m/>
    <x v="7"/>
    <m/>
    <m/>
    <m/>
    <x v="63"/>
    <x v="119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0">
  <r>
    <x v="0"/>
    <s v="MAY"/>
    <x v="0"/>
    <s v="GRSM 4"/>
    <x v="0"/>
    <s v="GMM"/>
    <n v="103259"/>
    <n v="9029389"/>
    <x v="0"/>
    <x v="0"/>
    <s v="CARBONARA"/>
    <n v="2000"/>
    <n v="63"/>
    <n v="126000"/>
    <m/>
  </r>
  <r>
    <x v="0"/>
    <s v="MAY"/>
    <x v="0"/>
    <s v="GRSM 4"/>
    <x v="0"/>
    <s v="GMM"/>
    <n v="103259"/>
    <n v="9029389"/>
    <x v="0"/>
    <x v="0"/>
    <s v="AGLIO OLIO"/>
    <n v="2000"/>
    <n v="27"/>
    <n v="54000"/>
    <m/>
  </r>
  <r>
    <x v="0"/>
    <s v="MAY"/>
    <x v="0"/>
    <s v="GRSM 4"/>
    <x v="0"/>
    <s v="GMM"/>
    <n v="103259"/>
    <n v="9029389"/>
    <x v="0"/>
    <x v="0"/>
    <s v="GORENG"/>
    <n v="2000"/>
    <n v="189"/>
    <n v="378000"/>
    <m/>
  </r>
  <r>
    <x v="0"/>
    <s v="MAY"/>
    <x v="0"/>
    <s v="GRSM 4"/>
    <x v="0"/>
    <s v="GMM"/>
    <n v="103259"/>
    <n v="9029389"/>
    <x v="0"/>
    <x v="1"/>
    <s v="BOLOGNESE"/>
    <n v="2000"/>
    <n v="51"/>
    <n v="102000"/>
    <n v="120"/>
  </r>
  <r>
    <x v="0"/>
    <s v="MAY"/>
    <x v="0"/>
    <s v="GRSM 4"/>
    <x v="0"/>
    <s v="GMM"/>
    <n v="103259"/>
    <n v="9029389"/>
    <x v="0"/>
    <x v="1"/>
    <s v="CARBONARA"/>
    <n v="2000"/>
    <n v="54"/>
    <n v="108000"/>
    <m/>
  </r>
  <r>
    <x v="0"/>
    <s v="MAY"/>
    <x v="0"/>
    <s v="GRSM 4"/>
    <x v="0"/>
    <s v="GMM"/>
    <n v="103259"/>
    <n v="9029389"/>
    <x v="0"/>
    <x v="1"/>
    <s v="AGLIO OLIO"/>
    <n v="2000"/>
    <n v="39"/>
    <n v="78000"/>
    <m/>
  </r>
  <r>
    <x v="0"/>
    <s v="MAY"/>
    <x v="0"/>
    <s v="GRSM 4"/>
    <x v="0"/>
    <s v="GMM"/>
    <n v="103259"/>
    <n v="9029389"/>
    <x v="0"/>
    <x v="1"/>
    <s v="GORENG"/>
    <n v="2000"/>
    <n v="129"/>
    <n v="258000"/>
    <m/>
  </r>
  <r>
    <x v="0"/>
    <s v="MAY"/>
    <x v="0"/>
    <s v="GRSM 4"/>
    <x v="0"/>
    <s v="GMM"/>
    <n v="103259"/>
    <n v="9029389"/>
    <x v="0"/>
    <x v="0"/>
    <s v="BOLOGNESE"/>
    <n v="2000"/>
    <n v="75"/>
    <n v="150000"/>
    <n v="120"/>
  </r>
  <r>
    <x v="0"/>
    <s v="MAY"/>
    <x v="1"/>
    <s v="GRSM 4"/>
    <x v="0"/>
    <s v="GMM"/>
    <n v="103259"/>
    <n v="9029389"/>
    <x v="0"/>
    <x v="0"/>
    <s v="CARBONARA"/>
    <n v="2000"/>
    <n v="84"/>
    <n v="168000"/>
    <m/>
  </r>
  <r>
    <x v="0"/>
    <s v="MAY"/>
    <x v="1"/>
    <s v="GRSM 4"/>
    <x v="0"/>
    <s v="GMM"/>
    <n v="103259"/>
    <n v="9029389"/>
    <x v="0"/>
    <x v="0"/>
    <s v="AGLIO OLIO"/>
    <n v="2000"/>
    <n v="54"/>
    <n v="108000"/>
    <m/>
  </r>
  <r>
    <x v="0"/>
    <s v="MAY"/>
    <x v="1"/>
    <s v="GRSM 4"/>
    <x v="0"/>
    <s v="GMM"/>
    <n v="103259"/>
    <n v="9029389"/>
    <x v="0"/>
    <x v="0"/>
    <s v="GORENG"/>
    <n v="2000"/>
    <n v="90"/>
    <n v="180000"/>
    <m/>
  </r>
  <r>
    <x v="0"/>
    <s v="MAY"/>
    <x v="1"/>
    <s v="GRSM 4"/>
    <x v="0"/>
    <s v="GMM"/>
    <n v="103259"/>
    <n v="9029389"/>
    <x v="0"/>
    <x v="1"/>
    <s v="BOLOGNESE"/>
    <n v="2000"/>
    <n v="81"/>
    <n v="162000"/>
    <n v="160"/>
  </r>
  <r>
    <x v="0"/>
    <s v="MAY"/>
    <x v="1"/>
    <s v="GRSM 4"/>
    <x v="0"/>
    <s v="GMM"/>
    <n v="103259"/>
    <n v="9029389"/>
    <x v="0"/>
    <x v="1"/>
    <s v="CARBONARA"/>
    <n v="2000"/>
    <n v="69"/>
    <n v="138000"/>
    <m/>
  </r>
  <r>
    <x v="0"/>
    <s v="MAY"/>
    <x v="1"/>
    <s v="GRSM 4"/>
    <x v="0"/>
    <s v="GMM"/>
    <n v="103259"/>
    <n v="9029389"/>
    <x v="0"/>
    <x v="1"/>
    <s v="AGLIO OLIO"/>
    <n v="2000"/>
    <n v="57"/>
    <n v="114000"/>
    <m/>
  </r>
  <r>
    <x v="0"/>
    <s v="MAY"/>
    <x v="1"/>
    <s v="GRSM 4"/>
    <x v="0"/>
    <s v="GMM"/>
    <n v="103259"/>
    <n v="9029389"/>
    <x v="0"/>
    <x v="1"/>
    <s v="GORENG"/>
    <n v="2000"/>
    <n v="72"/>
    <n v="144000"/>
    <m/>
  </r>
  <r>
    <x v="0"/>
    <s v="MAY"/>
    <x v="1"/>
    <s v="GRSM 4"/>
    <x v="0"/>
    <s v="GMM"/>
    <n v="103259"/>
    <n v="9029389"/>
    <x v="0"/>
    <x v="1"/>
    <s v="BOLOGNESE"/>
    <n v="2000"/>
    <n v="72"/>
    <n v="144000"/>
    <n v="160"/>
  </r>
  <r>
    <x v="0"/>
    <s v="MAY"/>
    <x v="2"/>
    <s v="GRSM 4"/>
    <x v="0"/>
    <s v="GMM"/>
    <n v="103259"/>
    <n v="9029389"/>
    <x v="0"/>
    <x v="1"/>
    <s v="CARBONARA"/>
    <n v="2000"/>
    <n v="63"/>
    <n v="126000"/>
    <m/>
  </r>
  <r>
    <x v="0"/>
    <s v="MAY"/>
    <x v="2"/>
    <s v="GRSM 4"/>
    <x v="0"/>
    <s v="GMM"/>
    <n v="103259"/>
    <n v="9029389"/>
    <x v="0"/>
    <x v="1"/>
    <s v="AGLIO OLIO"/>
    <n v="2000"/>
    <n v="36"/>
    <n v="72000"/>
    <m/>
  </r>
  <r>
    <x v="0"/>
    <s v="MAY"/>
    <x v="2"/>
    <s v="GRSM 4"/>
    <x v="0"/>
    <s v="GMM"/>
    <n v="103259"/>
    <n v="9029389"/>
    <x v="0"/>
    <x v="1"/>
    <s v="GORENG"/>
    <n v="2000"/>
    <n v="93"/>
    <n v="186000"/>
    <m/>
  </r>
  <r>
    <x v="0"/>
    <s v="MAY"/>
    <x v="2"/>
    <s v="GRSM 4"/>
    <x v="0"/>
    <s v="GMM"/>
    <n v="103259"/>
    <n v="9029389"/>
    <x v="0"/>
    <x v="0"/>
    <s v="BOLOGNESE"/>
    <n v="2000"/>
    <n v="87"/>
    <n v="174000"/>
    <n v="160"/>
  </r>
  <r>
    <x v="0"/>
    <s v="MAY"/>
    <x v="2"/>
    <s v="GRSM 4"/>
    <x v="0"/>
    <s v="GMM"/>
    <n v="103259"/>
    <n v="9029389"/>
    <x v="0"/>
    <x v="0"/>
    <s v="CARBONARA"/>
    <n v="2000"/>
    <n v="60"/>
    <n v="120000"/>
    <m/>
  </r>
  <r>
    <x v="0"/>
    <s v="MAY"/>
    <x v="2"/>
    <s v="GRSM 4"/>
    <x v="0"/>
    <s v="GMM"/>
    <n v="103259"/>
    <n v="9029389"/>
    <x v="0"/>
    <x v="0"/>
    <s v="AGLIO OLIO"/>
    <n v="2000"/>
    <n v="66"/>
    <n v="132000"/>
    <m/>
  </r>
  <r>
    <x v="0"/>
    <s v="MAY"/>
    <x v="2"/>
    <s v="GRSM 4"/>
    <x v="0"/>
    <s v="GMM"/>
    <n v="103259"/>
    <n v="9029389"/>
    <x v="0"/>
    <x v="0"/>
    <s v="GORENG"/>
    <n v="2000"/>
    <n v="57"/>
    <n v="114000"/>
    <m/>
  </r>
  <r>
    <x v="0"/>
    <s v="MAY"/>
    <x v="2"/>
    <s v="GRSM 4"/>
    <x v="0"/>
    <s v="GMM"/>
    <n v="103277"/>
    <n v="6300538"/>
    <x v="1"/>
    <x v="2"/>
    <s v="BOLOGNESE"/>
    <n v="2975"/>
    <n v="33"/>
    <n v="98175"/>
    <n v="160"/>
  </r>
  <r>
    <x v="0"/>
    <s v="MAY"/>
    <x v="2"/>
    <s v="GRSM 4"/>
    <x v="0"/>
    <s v="GMM"/>
    <n v="103277"/>
    <n v="6300538"/>
    <x v="1"/>
    <x v="2"/>
    <s v="CARBONARA"/>
    <n v="2975"/>
    <n v="88"/>
    <n v="261800"/>
    <m/>
  </r>
  <r>
    <x v="0"/>
    <s v="MAY"/>
    <x v="2"/>
    <s v="GRSM 4"/>
    <x v="0"/>
    <s v="GMM"/>
    <n v="103277"/>
    <n v="6300538"/>
    <x v="1"/>
    <x v="2"/>
    <s v="AGLIO OLIO"/>
    <n v="2975"/>
    <n v="60"/>
    <n v="178500"/>
    <m/>
  </r>
  <r>
    <x v="0"/>
    <s v="MAY"/>
    <x v="2"/>
    <s v="GRSM 4"/>
    <x v="0"/>
    <s v="GMM"/>
    <n v="103277"/>
    <n v="6300538"/>
    <x v="1"/>
    <x v="2"/>
    <s v="GORENG"/>
    <n v="2975"/>
    <n v="149"/>
    <n v="443275"/>
    <m/>
  </r>
  <r>
    <x v="0"/>
    <s v="MAY"/>
    <x v="2"/>
    <s v="GRSM 4"/>
    <x v="0"/>
    <s v="GMM"/>
    <n v="103277"/>
    <n v="6300538"/>
    <x v="1"/>
    <x v="3"/>
    <s v="BOLOGNESE"/>
    <n v="2975"/>
    <n v="29"/>
    <n v="86275"/>
    <n v="147"/>
  </r>
  <r>
    <x v="0"/>
    <s v="MAY"/>
    <x v="2"/>
    <s v="GRSM 4"/>
    <x v="0"/>
    <s v="GMM"/>
    <n v="103277"/>
    <n v="6300538"/>
    <x v="1"/>
    <x v="3"/>
    <s v="CARBONARA"/>
    <n v="2975"/>
    <n v="81"/>
    <n v="240975"/>
    <m/>
  </r>
  <r>
    <x v="0"/>
    <s v="MAY"/>
    <x v="2"/>
    <s v="GRSM 4"/>
    <x v="0"/>
    <s v="GMM"/>
    <n v="103277"/>
    <n v="6300538"/>
    <x v="1"/>
    <x v="3"/>
    <s v="AGLIO OLIO"/>
    <n v="2975"/>
    <n v="47"/>
    <n v="139825"/>
    <m/>
  </r>
  <r>
    <x v="0"/>
    <s v="MAY"/>
    <x v="2"/>
    <s v="GRSM 4"/>
    <x v="0"/>
    <s v="GMM"/>
    <n v="103277"/>
    <n v="6300538"/>
    <x v="1"/>
    <x v="3"/>
    <s v="GORENG"/>
    <n v="2975"/>
    <n v="151"/>
    <n v="449225"/>
    <m/>
  </r>
  <r>
    <x v="0"/>
    <s v="MAY"/>
    <x v="2"/>
    <s v="GRSM 4"/>
    <x v="0"/>
    <s v="GMM"/>
    <n v="189901"/>
    <n v="1602020"/>
    <x v="2"/>
    <x v="4"/>
    <s v="BOLOGNESE"/>
    <n v="2200"/>
    <n v="65"/>
    <n v="143000"/>
    <n v="147"/>
  </r>
  <r>
    <x v="0"/>
    <s v="MAY"/>
    <x v="2"/>
    <s v="GRSM 4"/>
    <x v="0"/>
    <s v="GMM"/>
    <n v="189901"/>
    <n v="1602020"/>
    <x v="2"/>
    <x v="4"/>
    <s v="CARBONARA"/>
    <n v="2200"/>
    <n v="136"/>
    <n v="299200"/>
    <m/>
  </r>
  <r>
    <x v="0"/>
    <s v="MAY"/>
    <x v="2"/>
    <s v="GRSM 4"/>
    <x v="0"/>
    <s v="GMM"/>
    <n v="189901"/>
    <n v="1602020"/>
    <x v="2"/>
    <x v="4"/>
    <s v="AGLIO OLIO"/>
    <n v="2200"/>
    <n v="42"/>
    <n v="92400"/>
    <m/>
  </r>
  <r>
    <x v="0"/>
    <s v="MAY"/>
    <x v="2"/>
    <s v="GRSM 4"/>
    <x v="0"/>
    <s v="GMM"/>
    <n v="189901"/>
    <n v="1602020"/>
    <x v="2"/>
    <x v="5"/>
    <s v="BOLOGNESE"/>
    <n v="2200"/>
    <n v="63"/>
    <n v="138600"/>
    <n v="120"/>
  </r>
  <r>
    <x v="0"/>
    <s v="MAY"/>
    <x v="2"/>
    <s v="GRSM 4"/>
    <x v="0"/>
    <s v="GMM"/>
    <n v="189901"/>
    <n v="1602020"/>
    <x v="2"/>
    <x v="5"/>
    <s v="CARBONARA"/>
    <n v="2200"/>
    <n v="141"/>
    <n v="310200"/>
    <m/>
  </r>
  <r>
    <x v="0"/>
    <s v="MAY"/>
    <x v="2"/>
    <s v="GRSM 4"/>
    <x v="0"/>
    <s v="GMM"/>
    <n v="189901"/>
    <n v="1602020"/>
    <x v="2"/>
    <x v="5"/>
    <s v="AGLIO OLIO"/>
    <n v="2200"/>
    <n v="36"/>
    <n v="79200"/>
    <m/>
  </r>
  <r>
    <x v="0"/>
    <s v="MAY"/>
    <x v="2"/>
    <s v="GRSM 4"/>
    <x v="0"/>
    <s v="GMM"/>
    <n v="189901"/>
    <n v="1602020"/>
    <x v="2"/>
    <x v="5"/>
    <s v="BOLOGNESE"/>
    <n v="2200"/>
    <n v="54"/>
    <n v="118800"/>
    <n v="120"/>
  </r>
  <r>
    <x v="0"/>
    <s v="MAY"/>
    <x v="0"/>
    <s v="GRSM 4"/>
    <x v="0"/>
    <s v="GMM"/>
    <n v="189901"/>
    <n v="1602020"/>
    <x v="2"/>
    <x v="5"/>
    <s v="CARBONARA"/>
    <n v="2200"/>
    <n v="63"/>
    <n v="138600"/>
    <m/>
  </r>
  <r>
    <x v="0"/>
    <s v="MAY"/>
    <x v="0"/>
    <s v="GRSM 4"/>
    <x v="0"/>
    <s v="GMM"/>
    <n v="189901"/>
    <n v="1602020"/>
    <x v="2"/>
    <x v="5"/>
    <s v="AGLIO OLIO"/>
    <n v="2200"/>
    <n v="48"/>
    <n v="105600"/>
    <m/>
  </r>
  <r>
    <x v="0"/>
    <s v="MAY"/>
    <x v="0"/>
    <s v="GRSM 4"/>
    <x v="0"/>
    <s v="GMM"/>
    <n v="189901"/>
    <n v="1602020"/>
    <x v="2"/>
    <x v="4"/>
    <s v="BOLOGNESE"/>
    <n v="2200"/>
    <n v="57"/>
    <n v="125400"/>
    <n v="72"/>
  </r>
  <r>
    <x v="0"/>
    <s v="MAY"/>
    <x v="0"/>
    <s v="GRSM 4"/>
    <x v="0"/>
    <s v="GMM"/>
    <n v="189901"/>
    <n v="1602020"/>
    <x v="2"/>
    <x v="4"/>
    <s v="CARBONARA"/>
    <n v="2200"/>
    <n v="54"/>
    <n v="118800"/>
    <m/>
  </r>
  <r>
    <x v="0"/>
    <s v="MAY"/>
    <x v="0"/>
    <s v="GRSM 4"/>
    <x v="0"/>
    <s v="GMM"/>
    <n v="189901"/>
    <n v="1602020"/>
    <x v="2"/>
    <x v="4"/>
    <s v="AGLIO OLIO"/>
    <n v="2200"/>
    <n v="42"/>
    <n v="92400"/>
    <m/>
  </r>
  <r>
    <x v="0"/>
    <s v="MAY"/>
    <x v="0"/>
    <s v="GRSM 4"/>
    <x v="0"/>
    <s v="GMM"/>
    <n v="189901"/>
    <n v="1602020"/>
    <x v="2"/>
    <x v="5"/>
    <s v="BOLOGNESE"/>
    <n v="2200"/>
    <n v="70"/>
    <n v="154000"/>
    <n v="72"/>
  </r>
  <r>
    <x v="0"/>
    <s v="MAY"/>
    <x v="1"/>
    <s v="GRSM 4"/>
    <x v="0"/>
    <s v="GMM"/>
    <n v="189901"/>
    <n v="1602020"/>
    <x v="2"/>
    <x v="5"/>
    <s v="CARBONARA"/>
    <n v="2200"/>
    <n v="148"/>
    <n v="325600"/>
    <m/>
  </r>
  <r>
    <x v="0"/>
    <s v="MAY"/>
    <x v="1"/>
    <s v="GRSM 4"/>
    <x v="0"/>
    <s v="GMM"/>
    <n v="189901"/>
    <n v="1602020"/>
    <x v="2"/>
    <x v="5"/>
    <s v="AGLIO OLIO"/>
    <n v="2200"/>
    <n v="87"/>
    <n v="191400"/>
    <m/>
  </r>
  <r>
    <x v="0"/>
    <s v="MAY"/>
    <x v="1"/>
    <s v="GRSM 4"/>
    <x v="0"/>
    <s v="GMM"/>
    <n v="189901"/>
    <n v="1602020"/>
    <x v="2"/>
    <x v="4"/>
    <s v="BOLOGNESE"/>
    <n v="2200"/>
    <n v="80"/>
    <n v="176000"/>
    <n v="120"/>
  </r>
  <r>
    <x v="0"/>
    <s v="MAY"/>
    <x v="1"/>
    <s v="GRSM 4"/>
    <x v="0"/>
    <s v="GMM"/>
    <n v="189901"/>
    <n v="1602020"/>
    <x v="2"/>
    <x v="4"/>
    <s v="CARBONARA"/>
    <n v="2200"/>
    <n v="154"/>
    <n v="338800"/>
    <m/>
  </r>
  <r>
    <x v="0"/>
    <s v="MAY"/>
    <x v="1"/>
    <s v="GRSM 4"/>
    <x v="0"/>
    <s v="GMM"/>
    <n v="189901"/>
    <n v="1602020"/>
    <x v="2"/>
    <x v="4"/>
    <s v="AGLIO OLIO"/>
    <n v="2200"/>
    <n v="74"/>
    <n v="162800"/>
    <m/>
  </r>
  <r>
    <x v="0"/>
    <s v="MAY"/>
    <x v="1"/>
    <s v="GRSM 4"/>
    <x v="0"/>
    <s v="GMM"/>
    <n v="103277"/>
    <n v="6300538"/>
    <x v="1"/>
    <x v="2"/>
    <s v="BOLOGNESE"/>
    <n v="5139"/>
    <n v="33"/>
    <n v="169587"/>
    <n v="120"/>
  </r>
  <r>
    <x v="0"/>
    <s v="MAY"/>
    <x v="0"/>
    <s v="GRSM 4"/>
    <x v="0"/>
    <s v="GMM"/>
    <n v="103277"/>
    <n v="6300538"/>
    <x v="1"/>
    <x v="2"/>
    <s v="CARBONARA"/>
    <n v="3414"/>
    <n v="61"/>
    <n v="208254"/>
    <m/>
  </r>
  <r>
    <x v="0"/>
    <s v="MAY"/>
    <x v="0"/>
    <s v="GRSM 4"/>
    <x v="0"/>
    <s v="GMM"/>
    <n v="103277"/>
    <n v="6300538"/>
    <x v="1"/>
    <x v="2"/>
    <s v="AGLIO OLIO"/>
    <n v="2219"/>
    <n v="63"/>
    <n v="139797"/>
    <m/>
  </r>
  <r>
    <x v="0"/>
    <s v="MAY"/>
    <x v="0"/>
    <s v="GRSM 4"/>
    <x v="0"/>
    <s v="GMM"/>
    <n v="103277"/>
    <n v="6300538"/>
    <x v="1"/>
    <x v="2"/>
    <s v="GORENG"/>
    <n v="3176"/>
    <n v="74"/>
    <n v="235024"/>
    <m/>
  </r>
  <r>
    <x v="0"/>
    <s v="MAY"/>
    <x v="0"/>
    <s v="GRSM 4"/>
    <x v="0"/>
    <s v="GMM"/>
    <n v="103277"/>
    <n v="6300538"/>
    <x v="1"/>
    <x v="3"/>
    <s v="BOLOGNESE"/>
    <n v="2975"/>
    <n v="61"/>
    <n v="181475"/>
    <n v="112"/>
  </r>
  <r>
    <x v="0"/>
    <s v="MAY"/>
    <x v="0"/>
    <s v="GRSM 4"/>
    <x v="0"/>
    <s v="GMM"/>
    <n v="103277"/>
    <n v="6300538"/>
    <x v="1"/>
    <x v="3"/>
    <s v="CARBONARA"/>
    <n v="2975"/>
    <n v="63"/>
    <n v="187425"/>
    <m/>
  </r>
  <r>
    <x v="0"/>
    <s v="MAY"/>
    <x v="0"/>
    <s v="GRSM 4"/>
    <x v="0"/>
    <s v="GMM"/>
    <n v="103277"/>
    <n v="6300538"/>
    <x v="1"/>
    <x v="3"/>
    <s v="AGLIO OLIO"/>
    <n v="2975"/>
    <n v="33"/>
    <n v="98175"/>
    <m/>
  </r>
  <r>
    <x v="0"/>
    <s v="MAY"/>
    <x v="0"/>
    <s v="GRSM 4"/>
    <x v="0"/>
    <s v="GMM"/>
    <n v="103277"/>
    <n v="6300538"/>
    <x v="1"/>
    <x v="3"/>
    <s v="GORENG"/>
    <n v="3332"/>
    <n v="84"/>
    <n v="279888"/>
    <m/>
  </r>
  <r>
    <x v="0"/>
    <s v="MAY"/>
    <x v="0"/>
    <s v="GRSM 4"/>
    <x v="0"/>
    <s v="GMM"/>
    <n v="103277"/>
    <n v="6300538"/>
    <x v="1"/>
    <x v="2"/>
    <s v="BOLOGNESE"/>
    <n v="2975"/>
    <n v="29"/>
    <n v="86275"/>
    <n v="112"/>
  </r>
  <r>
    <x v="0"/>
    <s v="MAY"/>
    <x v="1"/>
    <s v="GRSM 4"/>
    <x v="0"/>
    <s v="GMM"/>
    <n v="103277"/>
    <n v="6300538"/>
    <x v="1"/>
    <x v="2"/>
    <s v="CARBONARA"/>
    <n v="2975"/>
    <n v="76"/>
    <n v="226100"/>
    <m/>
  </r>
  <r>
    <x v="0"/>
    <s v="MAY"/>
    <x v="1"/>
    <s v="GRSM 4"/>
    <x v="0"/>
    <s v="GMM"/>
    <n v="103277"/>
    <n v="6300538"/>
    <x v="1"/>
    <x v="2"/>
    <s v="AGLIO OLIO"/>
    <n v="2975"/>
    <n v="57"/>
    <n v="169575"/>
    <m/>
  </r>
  <r>
    <x v="0"/>
    <s v="MAY"/>
    <x v="1"/>
    <s v="GRSM 4"/>
    <x v="0"/>
    <s v="GMM"/>
    <n v="103277"/>
    <n v="6300538"/>
    <x v="1"/>
    <x v="2"/>
    <s v="GORENG"/>
    <n v="2975"/>
    <n v="127"/>
    <n v="377825"/>
    <m/>
  </r>
  <r>
    <x v="0"/>
    <s v="MAY"/>
    <x v="1"/>
    <s v="GRSM 4"/>
    <x v="0"/>
    <s v="GMM"/>
    <n v="103277"/>
    <n v="6300538"/>
    <x v="1"/>
    <x v="3"/>
    <s v="BOLOGNESE"/>
    <n v="2975"/>
    <n v="24"/>
    <n v="71400"/>
    <n v="120"/>
  </r>
  <r>
    <x v="0"/>
    <s v="MAY"/>
    <x v="1"/>
    <s v="GRSM 4"/>
    <x v="0"/>
    <s v="GMM"/>
    <n v="103277"/>
    <n v="6300538"/>
    <x v="1"/>
    <x v="3"/>
    <s v="CARBONARA"/>
    <n v="2975"/>
    <n v="74"/>
    <n v="220150"/>
    <m/>
  </r>
  <r>
    <x v="0"/>
    <s v="MAY"/>
    <x v="1"/>
    <s v="GRSM 4"/>
    <x v="0"/>
    <s v="GMM"/>
    <n v="103277"/>
    <n v="6300538"/>
    <x v="1"/>
    <x v="3"/>
    <s v="AGLIO OLIO"/>
    <n v="2975"/>
    <n v="43"/>
    <n v="127925"/>
    <m/>
  </r>
  <r>
    <x v="0"/>
    <s v="MAY"/>
    <x v="1"/>
    <s v="GRSM 4"/>
    <x v="0"/>
    <s v="GMM"/>
    <n v="103277"/>
    <n v="6300538"/>
    <x v="1"/>
    <x v="3"/>
    <s v="GORENG"/>
    <n v="2975"/>
    <n v="131"/>
    <n v="389725"/>
    <m/>
  </r>
  <r>
    <x v="0"/>
    <s v="MAY"/>
    <x v="1"/>
    <s v="GRSM 4"/>
    <x v="0"/>
    <s v="GMM"/>
    <n v="103259"/>
    <n v="9029389"/>
    <x v="0"/>
    <x v="1"/>
    <s v="BOLOGNESE"/>
    <n v="2000"/>
    <n v="57"/>
    <n v="114000"/>
    <n v="120"/>
  </r>
  <r>
    <x v="1"/>
    <s v="JUN"/>
    <x v="3"/>
    <s v="GRSM 4"/>
    <x v="0"/>
    <s v="GMM"/>
    <n v="103259"/>
    <n v="9029389"/>
    <x v="0"/>
    <x v="1"/>
    <s v="CARBONARA"/>
    <n v="2000"/>
    <n v="66"/>
    <n v="132000"/>
    <m/>
  </r>
  <r>
    <x v="1"/>
    <s v="JUN"/>
    <x v="3"/>
    <s v="GRSM 4"/>
    <x v="0"/>
    <s v="GMM"/>
    <n v="103259"/>
    <n v="9029389"/>
    <x v="0"/>
    <x v="1"/>
    <s v="AGLIO OLIO"/>
    <n v="2000"/>
    <n v="30"/>
    <n v="60000"/>
    <m/>
  </r>
  <r>
    <x v="1"/>
    <s v="JUN"/>
    <x v="3"/>
    <s v="GRSM 4"/>
    <x v="0"/>
    <s v="GMM"/>
    <n v="103259"/>
    <n v="9029389"/>
    <x v="0"/>
    <x v="1"/>
    <s v="GORENG"/>
    <n v="2000"/>
    <n v="60"/>
    <n v="120000"/>
    <m/>
  </r>
  <r>
    <x v="1"/>
    <s v="JUN"/>
    <x v="3"/>
    <s v="GRSM 4"/>
    <x v="0"/>
    <s v="GMM"/>
    <n v="103259"/>
    <n v="9029389"/>
    <x v="0"/>
    <x v="0"/>
    <s v="BOLOGNESE"/>
    <n v="2000"/>
    <n v="63"/>
    <n v="126000"/>
    <n v="160"/>
  </r>
  <r>
    <x v="1"/>
    <s v="JUN"/>
    <x v="3"/>
    <s v="GRSM 4"/>
    <x v="0"/>
    <s v="GMM"/>
    <n v="103259"/>
    <n v="9029389"/>
    <x v="0"/>
    <x v="0"/>
    <s v="CARBONARA"/>
    <n v="2000"/>
    <n v="54"/>
    <n v="108000"/>
    <m/>
  </r>
  <r>
    <x v="1"/>
    <s v="JUN"/>
    <x v="3"/>
    <s v="GRSM 4"/>
    <x v="0"/>
    <s v="GMM"/>
    <n v="103259"/>
    <n v="9029389"/>
    <x v="0"/>
    <x v="0"/>
    <s v="AGLIO OLIO"/>
    <n v="2000"/>
    <n v="30"/>
    <n v="60000"/>
    <m/>
  </r>
  <r>
    <x v="1"/>
    <s v="JUN"/>
    <x v="3"/>
    <s v="GRSM 4"/>
    <x v="0"/>
    <s v="GMM"/>
    <n v="103259"/>
    <n v="9029389"/>
    <x v="0"/>
    <x v="0"/>
    <s v="GORENG"/>
    <n v="2000"/>
    <n v="120"/>
    <n v="240000"/>
    <m/>
  </r>
  <r>
    <x v="1"/>
    <s v="JUN"/>
    <x v="3"/>
    <s v="GRSM 3A"/>
    <x v="0"/>
    <s v="GMM"/>
    <n v="103272"/>
    <n v="1178"/>
    <x v="3"/>
    <x v="6"/>
    <s v="BOLOGNESE"/>
    <n v="3145"/>
    <n v="13"/>
    <n v="40885"/>
    <n v="160"/>
  </r>
  <r>
    <x v="1"/>
    <s v="JUN"/>
    <x v="3"/>
    <s v="GRSM 3A"/>
    <x v="0"/>
    <s v="GMM"/>
    <n v="103272"/>
    <n v="1178"/>
    <x v="3"/>
    <x v="6"/>
    <s v="CARBONARA"/>
    <n v="3145"/>
    <n v="28"/>
    <n v="88060"/>
    <m/>
  </r>
  <r>
    <x v="1"/>
    <s v="JUN"/>
    <x v="3"/>
    <s v="GRSM 3A"/>
    <x v="0"/>
    <s v="GMM"/>
    <n v="103272"/>
    <n v="1178"/>
    <x v="3"/>
    <x v="6"/>
    <s v="AGLIO OLIO"/>
    <n v="3145"/>
    <n v="9"/>
    <n v="28305"/>
    <m/>
  </r>
  <r>
    <x v="1"/>
    <s v="JUN"/>
    <x v="3"/>
    <s v="GRSM 3A"/>
    <x v="0"/>
    <s v="GMM"/>
    <n v="103272"/>
    <n v="1178"/>
    <x v="3"/>
    <x v="6"/>
    <s v="GORENG"/>
    <n v="3145"/>
    <n v="45"/>
    <n v="141525"/>
    <m/>
  </r>
  <r>
    <x v="1"/>
    <s v="JUN"/>
    <x v="3"/>
    <s v="GRSM 4"/>
    <x v="0"/>
    <s v="GMM"/>
    <n v="103277"/>
    <n v="6300538"/>
    <x v="1"/>
    <x v="3"/>
    <s v="BOLOGNESE"/>
    <n v="2975"/>
    <n v="50"/>
    <n v="148750"/>
    <n v="100"/>
  </r>
  <r>
    <x v="1"/>
    <s v="JUN"/>
    <x v="3"/>
    <s v="GRSM 4"/>
    <x v="0"/>
    <s v="GMM"/>
    <n v="103277"/>
    <n v="6300538"/>
    <x v="1"/>
    <x v="3"/>
    <s v="CARBONARA"/>
    <n v="2975"/>
    <n v="41"/>
    <n v="121975"/>
    <m/>
  </r>
  <r>
    <x v="1"/>
    <s v="JUN"/>
    <x v="3"/>
    <s v="GRSM 4"/>
    <x v="0"/>
    <s v="GMM"/>
    <n v="103277"/>
    <n v="6300538"/>
    <x v="1"/>
    <x v="3"/>
    <s v="AGLIO OLIO"/>
    <n v="2975"/>
    <n v="39"/>
    <n v="116025"/>
    <m/>
  </r>
  <r>
    <x v="1"/>
    <s v="JUN"/>
    <x v="3"/>
    <s v="GRSM 4"/>
    <x v="0"/>
    <s v="GMM"/>
    <n v="103277"/>
    <n v="6300538"/>
    <x v="1"/>
    <x v="3"/>
    <s v="GORENG"/>
    <n v="2975"/>
    <n v="147"/>
    <n v="437325"/>
    <m/>
  </r>
  <r>
    <x v="1"/>
    <s v="JUN"/>
    <x v="3"/>
    <s v="GRSM 4"/>
    <x v="0"/>
    <s v="GMM"/>
    <n v="103277"/>
    <n v="6300538"/>
    <x v="1"/>
    <x v="2"/>
    <s v="BOLOGNESE"/>
    <n v="2975"/>
    <n v="57"/>
    <n v="169575"/>
    <n v="132"/>
  </r>
  <r>
    <x v="1"/>
    <s v="JUN"/>
    <x v="3"/>
    <s v="GRSM 4"/>
    <x v="0"/>
    <s v="GMM"/>
    <n v="103277"/>
    <n v="6300538"/>
    <x v="1"/>
    <x v="2"/>
    <s v="CARBONARA"/>
    <n v="2975"/>
    <n v="73"/>
    <n v="217175"/>
    <m/>
  </r>
  <r>
    <x v="1"/>
    <s v="JUN"/>
    <x v="3"/>
    <s v="GRSM 4"/>
    <x v="0"/>
    <s v="GMM"/>
    <n v="103277"/>
    <n v="6300538"/>
    <x v="1"/>
    <x v="2"/>
    <s v="AGLIO OLIO"/>
    <n v="2975"/>
    <n v="51"/>
    <n v="151725"/>
    <m/>
  </r>
  <r>
    <x v="1"/>
    <s v="JUN"/>
    <x v="3"/>
    <s v="GRSM 4"/>
    <x v="0"/>
    <s v="GMM"/>
    <n v="103277"/>
    <n v="6300538"/>
    <x v="1"/>
    <x v="2"/>
    <s v="GORENG"/>
    <n v="2975"/>
    <n v="165"/>
    <n v="490875"/>
    <m/>
  </r>
  <r>
    <x v="1"/>
    <s v="JUN"/>
    <x v="3"/>
    <s v="GRSM 4"/>
    <x v="0"/>
    <s v="GMM"/>
    <n v="103257"/>
    <n v="9162509"/>
    <x v="4"/>
    <x v="7"/>
    <s v="BOLOGNESE"/>
    <n v="3200"/>
    <n v="40"/>
    <n v="128000"/>
    <n v="132"/>
  </r>
  <r>
    <x v="1"/>
    <s v="JUN"/>
    <x v="3"/>
    <s v="GRSM 4"/>
    <x v="0"/>
    <s v="GMM"/>
    <n v="103257"/>
    <n v="9162509"/>
    <x v="4"/>
    <x v="7"/>
    <s v="CARBONARA"/>
    <n v="3200"/>
    <n v="35"/>
    <n v="112000"/>
    <m/>
  </r>
  <r>
    <x v="1"/>
    <s v="JUN"/>
    <x v="3"/>
    <s v="GRSM 4"/>
    <x v="0"/>
    <s v="GMM"/>
    <n v="103257"/>
    <n v="9162509"/>
    <x v="4"/>
    <x v="7"/>
    <s v="AGLIO OLIO"/>
    <n v="3200"/>
    <n v="30"/>
    <n v="96000"/>
    <m/>
  </r>
  <r>
    <x v="1"/>
    <s v="JUN"/>
    <x v="3"/>
    <s v="GRSM 4"/>
    <x v="0"/>
    <s v="GMM"/>
    <n v="103257"/>
    <n v="9162509"/>
    <x v="4"/>
    <x v="7"/>
    <s v="GORENG"/>
    <n v="3200"/>
    <n v="105"/>
    <n v="336000"/>
    <m/>
  </r>
  <r>
    <x v="1"/>
    <s v="JUN"/>
    <x v="3"/>
    <s v="GRSM 4"/>
    <x v="0"/>
    <s v="GMM"/>
    <n v="103257"/>
    <n v="9162509"/>
    <x v="4"/>
    <x v="8"/>
    <s v="BOLOGNESE"/>
    <n v="3200"/>
    <n v="35"/>
    <n v="112000"/>
    <n v="160"/>
  </r>
  <r>
    <x v="1"/>
    <s v="JUN"/>
    <x v="3"/>
    <s v="GRSM 4"/>
    <x v="0"/>
    <s v="GMM"/>
    <n v="103257"/>
    <n v="9162509"/>
    <x v="4"/>
    <x v="8"/>
    <s v="CARBONARA"/>
    <n v="3200"/>
    <n v="30"/>
    <n v="96000"/>
    <m/>
  </r>
  <r>
    <x v="1"/>
    <s v="JUN"/>
    <x v="3"/>
    <s v="GRSM 4"/>
    <x v="0"/>
    <s v="GMM"/>
    <n v="103257"/>
    <n v="9162509"/>
    <x v="4"/>
    <x v="8"/>
    <s v="AGLIO OLIO"/>
    <n v="3200"/>
    <n v="25"/>
    <n v="80000"/>
    <m/>
  </r>
  <r>
    <x v="1"/>
    <s v="JUN"/>
    <x v="3"/>
    <s v="GRSM 4"/>
    <x v="0"/>
    <s v="GMM"/>
    <n v="103257"/>
    <n v="9162509"/>
    <x v="4"/>
    <x v="8"/>
    <s v="GORENG"/>
    <n v="3200"/>
    <n v="100"/>
    <n v="320000"/>
    <m/>
  </r>
  <r>
    <x v="1"/>
    <s v="JUN"/>
    <x v="3"/>
    <s v="GRSM 4"/>
    <x v="0"/>
    <s v="GMM"/>
    <n v="103259"/>
    <n v="9013525"/>
    <x v="5"/>
    <x v="9"/>
    <s v="BOLOGNESE"/>
    <n v="1203"/>
    <n v="140"/>
    <n v="168420"/>
    <n v="160"/>
  </r>
  <r>
    <x v="1"/>
    <s v="JUN"/>
    <x v="4"/>
    <s v="GRSM 4"/>
    <x v="0"/>
    <s v="GMM"/>
    <n v="103259"/>
    <n v="9013525"/>
    <x v="5"/>
    <x v="9"/>
    <s v="CARBONARA"/>
    <n v="1200"/>
    <n v="140"/>
    <n v="168000"/>
    <m/>
  </r>
  <r>
    <x v="1"/>
    <s v="JUN"/>
    <x v="4"/>
    <s v="GRSM 4"/>
    <x v="0"/>
    <s v="GMM"/>
    <n v="103259"/>
    <n v="9013525"/>
    <x v="5"/>
    <x v="9"/>
    <s v="AGLIO OLIO"/>
    <n v="1000"/>
    <n v="120"/>
    <n v="120000"/>
    <m/>
  </r>
  <r>
    <x v="1"/>
    <s v="JUN"/>
    <x v="4"/>
    <s v="GRSM 4"/>
    <x v="0"/>
    <s v="GMM"/>
    <n v="103259"/>
    <n v="9013525"/>
    <x v="5"/>
    <x v="9"/>
    <s v="GORENG"/>
    <n v="1875"/>
    <n v="216"/>
    <n v="405000"/>
    <m/>
  </r>
  <r>
    <x v="1"/>
    <s v="JUN"/>
    <x v="4"/>
    <s v="GRSM 4"/>
    <x v="0"/>
    <s v="GMM"/>
    <n v="103259"/>
    <n v="9029389"/>
    <x v="0"/>
    <x v="1"/>
    <s v="BOLOGNESE"/>
    <n v="2000"/>
    <n v="57"/>
    <n v="114000"/>
    <n v="160"/>
  </r>
  <r>
    <x v="1"/>
    <s v="JUN"/>
    <x v="4"/>
    <s v="GRSM 4"/>
    <x v="0"/>
    <s v="GMM"/>
    <n v="103259"/>
    <n v="9029389"/>
    <x v="0"/>
    <x v="1"/>
    <s v="CARBONARA"/>
    <n v="2000"/>
    <n v="81"/>
    <n v="162000"/>
    <m/>
  </r>
  <r>
    <x v="1"/>
    <s v="JUN"/>
    <x v="4"/>
    <s v="GRSM 4"/>
    <x v="0"/>
    <s v="GMM"/>
    <n v="103259"/>
    <n v="9029389"/>
    <x v="0"/>
    <x v="1"/>
    <s v="AGLIO OLIO"/>
    <n v="2000"/>
    <n v="30"/>
    <n v="60000"/>
    <m/>
  </r>
  <r>
    <x v="1"/>
    <s v="JUN"/>
    <x v="4"/>
    <s v="GRSM 4"/>
    <x v="0"/>
    <s v="GMM"/>
    <n v="103259"/>
    <n v="9029389"/>
    <x v="0"/>
    <x v="1"/>
    <s v="GORENG"/>
    <n v="2000"/>
    <n v="99"/>
    <n v="198000"/>
    <m/>
  </r>
  <r>
    <x v="1"/>
    <s v="JUN"/>
    <x v="4"/>
    <s v="GRSM 4"/>
    <x v="0"/>
    <s v="GMM"/>
    <n v="103259"/>
    <n v="9029389"/>
    <x v="0"/>
    <x v="10"/>
    <s v="BOLOGNESE"/>
    <n v="2000"/>
    <n v="72"/>
    <n v="144000"/>
    <n v="160"/>
  </r>
  <r>
    <x v="1"/>
    <s v="JUN"/>
    <x v="4"/>
    <s v="GRSM 4"/>
    <x v="0"/>
    <s v="GMM"/>
    <n v="103259"/>
    <n v="9029389"/>
    <x v="0"/>
    <x v="10"/>
    <s v="CARBONARA"/>
    <n v="2000"/>
    <n v="60"/>
    <n v="120000"/>
    <m/>
  </r>
  <r>
    <x v="1"/>
    <s v="JUN"/>
    <x v="4"/>
    <s v="GRSM 4"/>
    <x v="0"/>
    <s v="GMM"/>
    <n v="103259"/>
    <n v="9029389"/>
    <x v="0"/>
    <x v="10"/>
    <s v="AGLIO OLIO"/>
    <n v="2000"/>
    <n v="39"/>
    <n v="78000"/>
    <m/>
  </r>
  <r>
    <x v="1"/>
    <s v="JUN"/>
    <x v="4"/>
    <s v="GRSM 4"/>
    <x v="0"/>
    <s v="GMM"/>
    <n v="103259"/>
    <n v="9029389"/>
    <x v="0"/>
    <x v="10"/>
    <s v="GORENG"/>
    <n v="2000"/>
    <n v="81"/>
    <n v="162000"/>
    <m/>
  </r>
  <r>
    <x v="1"/>
    <s v="JUN"/>
    <x v="4"/>
    <s v="GRSM 4"/>
    <x v="0"/>
    <s v="GMM"/>
    <n v="103257"/>
    <n v="9162509"/>
    <x v="4"/>
    <x v="8"/>
    <s v="BOLOGNESE"/>
    <n v="3200"/>
    <n v="40"/>
    <n v="128000"/>
    <n v="160"/>
  </r>
  <r>
    <x v="1"/>
    <s v="JUN"/>
    <x v="4"/>
    <s v="GRSM 4"/>
    <x v="0"/>
    <s v="GMM"/>
    <n v="103257"/>
    <n v="9162509"/>
    <x v="4"/>
    <x v="8"/>
    <s v="CARBONARA"/>
    <n v="3200"/>
    <n v="35"/>
    <n v="112000"/>
    <m/>
  </r>
  <r>
    <x v="1"/>
    <s v="JUN"/>
    <x v="4"/>
    <s v="GRSM 4"/>
    <x v="0"/>
    <s v="GMM"/>
    <n v="103257"/>
    <n v="9162509"/>
    <x v="4"/>
    <x v="8"/>
    <s v="AGLIO OLIO"/>
    <n v="3200"/>
    <n v="40"/>
    <n v="128000"/>
    <m/>
  </r>
  <r>
    <x v="1"/>
    <s v="JUN"/>
    <x v="4"/>
    <s v="GRSM 4"/>
    <x v="0"/>
    <s v="GMM"/>
    <n v="103257"/>
    <n v="9162509"/>
    <x v="4"/>
    <x v="8"/>
    <s v="GORENG"/>
    <n v="3200"/>
    <n v="130"/>
    <n v="416000"/>
    <m/>
  </r>
  <r>
    <x v="1"/>
    <s v="JUN"/>
    <x v="4"/>
    <s v="GRSM 4"/>
    <x v="0"/>
    <s v="GMM"/>
    <n v="103257"/>
    <n v="9162509"/>
    <x v="4"/>
    <x v="7"/>
    <s v="BOLOGNESE"/>
    <n v="3200"/>
    <n v="45"/>
    <n v="144000"/>
    <n v="160"/>
  </r>
  <r>
    <x v="1"/>
    <s v="JUN"/>
    <x v="4"/>
    <s v="GRSM 4"/>
    <x v="0"/>
    <s v="GMM"/>
    <n v="103257"/>
    <n v="9162509"/>
    <x v="4"/>
    <x v="7"/>
    <s v="CARBONARA"/>
    <n v="3200"/>
    <n v="40"/>
    <n v="128000"/>
    <m/>
  </r>
  <r>
    <x v="1"/>
    <s v="JUN"/>
    <x v="4"/>
    <s v="GRSM 4"/>
    <x v="0"/>
    <s v="GMM"/>
    <n v="103257"/>
    <n v="9162509"/>
    <x v="4"/>
    <x v="7"/>
    <s v="AGLIO OLIO"/>
    <n v="3200"/>
    <n v="45"/>
    <n v="144000"/>
    <m/>
  </r>
  <r>
    <x v="1"/>
    <s v="JUN"/>
    <x v="4"/>
    <s v="GRSM 4"/>
    <x v="0"/>
    <s v="GMM"/>
    <n v="103257"/>
    <n v="9162509"/>
    <x v="4"/>
    <x v="7"/>
    <s v="GORENG"/>
    <n v="3200"/>
    <n v="135"/>
    <n v="432000"/>
    <m/>
  </r>
  <r>
    <x v="1"/>
    <s v="JUN"/>
    <x v="4"/>
    <s v="GRSM 4"/>
    <x v="0"/>
    <s v="GMM"/>
    <n v="103277"/>
    <n v="6300538"/>
    <x v="1"/>
    <x v="3"/>
    <s v="BOLOGNESE"/>
    <n v="2975"/>
    <n v="48"/>
    <n v="142800"/>
    <n v="160"/>
  </r>
  <r>
    <x v="1"/>
    <s v="JUN"/>
    <x v="4"/>
    <s v="GRSM 4"/>
    <x v="0"/>
    <s v="GMM"/>
    <n v="103277"/>
    <n v="6300538"/>
    <x v="1"/>
    <x v="3"/>
    <s v="CARBONARA"/>
    <n v="2975"/>
    <n v="24"/>
    <n v="71400"/>
    <m/>
  </r>
  <r>
    <x v="1"/>
    <s v="JUN"/>
    <x v="4"/>
    <s v="GRSM 4"/>
    <x v="0"/>
    <s v="GMM"/>
    <n v="103277"/>
    <n v="6300538"/>
    <x v="1"/>
    <x v="3"/>
    <s v="AGLIO OLIO"/>
    <n v="2975"/>
    <n v="43"/>
    <n v="127925"/>
    <m/>
  </r>
  <r>
    <x v="1"/>
    <s v="JUN"/>
    <x v="4"/>
    <s v="GRSM 4"/>
    <x v="0"/>
    <s v="GMM"/>
    <n v="103277"/>
    <n v="6300538"/>
    <x v="1"/>
    <x v="3"/>
    <s v="GORENG"/>
    <n v="2975"/>
    <n v="156"/>
    <n v="464100"/>
    <m/>
  </r>
  <r>
    <x v="1"/>
    <s v="JUN"/>
    <x v="4"/>
    <s v="GRSM 4"/>
    <x v="0"/>
    <s v="GMM"/>
    <n v="103277"/>
    <n v="6300538"/>
    <x v="1"/>
    <x v="2"/>
    <s v="BOLOGNESE"/>
    <n v="2975"/>
    <n v="52"/>
    <n v="154700"/>
    <n v="141"/>
  </r>
  <r>
    <x v="1"/>
    <s v="JUN"/>
    <x v="4"/>
    <s v="GRSM 4"/>
    <x v="0"/>
    <s v="GMM"/>
    <n v="103277"/>
    <n v="6300538"/>
    <x v="1"/>
    <x v="2"/>
    <s v="CARBONARA"/>
    <n v="2975"/>
    <n v="27"/>
    <n v="80325"/>
    <m/>
  </r>
  <r>
    <x v="1"/>
    <s v="JUN"/>
    <x v="4"/>
    <s v="GRSM 4"/>
    <x v="0"/>
    <s v="GMM"/>
    <n v="103277"/>
    <n v="6300538"/>
    <x v="1"/>
    <x v="2"/>
    <s v="AGLIO OLIO"/>
    <n v="2975"/>
    <n v="54"/>
    <n v="160650"/>
    <m/>
  </r>
  <r>
    <x v="1"/>
    <s v="JUN"/>
    <x v="4"/>
    <s v="GRSM 4"/>
    <x v="0"/>
    <s v="GMM"/>
    <n v="103277"/>
    <n v="6300538"/>
    <x v="1"/>
    <x v="2"/>
    <s v="GORENG"/>
    <n v="2975"/>
    <n v="154"/>
    <n v="458150"/>
    <m/>
  </r>
  <r>
    <x v="1"/>
    <s v="JUN"/>
    <x v="4"/>
    <s v="GRSM 3A"/>
    <x v="0"/>
    <s v="GMM"/>
    <n v="103272"/>
    <n v="1178"/>
    <x v="3"/>
    <x v="6"/>
    <s v="BOLOGNESE"/>
    <n v="3145"/>
    <n v="27"/>
    <n v="84915"/>
    <n v="141"/>
  </r>
  <r>
    <x v="1"/>
    <s v="JUN"/>
    <x v="4"/>
    <s v="GRSM 3A"/>
    <x v="0"/>
    <s v="GMM"/>
    <n v="103272"/>
    <n v="1178"/>
    <x v="3"/>
    <x v="6"/>
    <s v="CARBONARA"/>
    <n v="3145"/>
    <n v="24"/>
    <n v="75480"/>
    <m/>
  </r>
  <r>
    <x v="1"/>
    <s v="JUN"/>
    <x v="4"/>
    <s v="GRSM 3A"/>
    <x v="0"/>
    <s v="GMM"/>
    <n v="103272"/>
    <n v="1178"/>
    <x v="3"/>
    <x v="6"/>
    <s v="AGLIO OLIO"/>
    <n v="3145"/>
    <n v="26"/>
    <n v="81770"/>
    <m/>
  </r>
  <r>
    <x v="1"/>
    <s v="JUN"/>
    <x v="4"/>
    <s v="GRSM 3A"/>
    <x v="0"/>
    <s v="GMM"/>
    <n v="103272"/>
    <n v="1178"/>
    <x v="3"/>
    <x v="6"/>
    <s v="GORENG"/>
    <n v="3145"/>
    <n v="63"/>
    <n v="198135"/>
    <m/>
  </r>
  <r>
    <x v="1"/>
    <s v="JUN"/>
    <x v="4"/>
    <s v="GRSM 3A"/>
    <x v="0"/>
    <s v="GMM"/>
    <n v="103272"/>
    <n v="1178"/>
    <x v="3"/>
    <x v="11"/>
    <s v="BOLOGNESE"/>
    <n v="3145"/>
    <n v="27"/>
    <n v="84915"/>
    <n v="120"/>
  </r>
  <r>
    <x v="1"/>
    <s v="JUN"/>
    <x v="4"/>
    <s v="GRSM 3A"/>
    <x v="0"/>
    <s v="GMM"/>
    <n v="103272"/>
    <n v="1178"/>
    <x v="3"/>
    <x v="11"/>
    <s v="CARBONARA"/>
    <n v="3145"/>
    <n v="24"/>
    <n v="75480"/>
    <m/>
  </r>
  <r>
    <x v="1"/>
    <s v="JUN"/>
    <x v="4"/>
    <s v="GRSM 3A"/>
    <x v="0"/>
    <s v="GMM"/>
    <n v="103272"/>
    <n v="1178"/>
    <x v="3"/>
    <x v="11"/>
    <s v="AGLIO OLIO"/>
    <n v="3145"/>
    <n v="24"/>
    <n v="75480"/>
    <m/>
  </r>
  <r>
    <x v="1"/>
    <s v="JUN"/>
    <x v="4"/>
    <s v="GRSM 3A"/>
    <x v="0"/>
    <s v="GMM"/>
    <n v="103272"/>
    <n v="1178"/>
    <x v="3"/>
    <x v="11"/>
    <s v="GORENG"/>
    <n v="3145"/>
    <n v="63"/>
    <n v="198135"/>
    <m/>
  </r>
  <r>
    <x v="1"/>
    <s v="JUN"/>
    <x v="4"/>
    <s v="GRSM 4"/>
    <x v="0"/>
    <s v="GMM"/>
    <n v="189901"/>
    <n v="1602020"/>
    <x v="2"/>
    <x v="4"/>
    <s v="BOLOGNESE"/>
    <n v="2200"/>
    <n v="49"/>
    <n v="107800"/>
    <n v="120"/>
  </r>
  <r>
    <x v="1"/>
    <s v="JUN"/>
    <x v="4"/>
    <s v="GRSM 4"/>
    <x v="0"/>
    <s v="GMM"/>
    <n v="189901"/>
    <n v="1602020"/>
    <x v="2"/>
    <x v="4"/>
    <s v="CARBONARA"/>
    <n v="2200"/>
    <n v="85"/>
    <n v="187000"/>
    <m/>
  </r>
  <r>
    <x v="1"/>
    <s v="JUN"/>
    <x v="4"/>
    <s v="GRSM 4"/>
    <x v="0"/>
    <s v="GMM"/>
    <n v="189901"/>
    <n v="1602020"/>
    <x v="2"/>
    <x v="4"/>
    <s v="AGLIO OLIO"/>
    <n v="2200"/>
    <n v="34"/>
    <n v="74800"/>
    <m/>
  </r>
  <r>
    <x v="1"/>
    <s v="JUN"/>
    <x v="4"/>
    <s v="GRSM 4"/>
    <x v="0"/>
    <s v="GMM"/>
    <n v="103259"/>
    <n v="9013525"/>
    <x v="5"/>
    <x v="9"/>
    <s v="BOLOGNESE"/>
    <n v="1871"/>
    <n v="90"/>
    <n v="168390"/>
    <n v="120"/>
  </r>
  <r>
    <x v="1"/>
    <s v="JUN"/>
    <x v="5"/>
    <s v="GRSM 4"/>
    <x v="0"/>
    <s v="GMM"/>
    <n v="103259"/>
    <n v="9013525"/>
    <x v="5"/>
    <x v="9"/>
    <s v="CARBONARA"/>
    <n v="2000"/>
    <n v="90"/>
    <n v="180000"/>
    <m/>
  </r>
  <r>
    <x v="1"/>
    <s v="JUN"/>
    <x v="5"/>
    <s v="GRSM 4"/>
    <x v="0"/>
    <s v="GMM"/>
    <n v="103259"/>
    <n v="9013525"/>
    <x v="5"/>
    <x v="9"/>
    <s v="AGLIO OLIO"/>
    <n v="2000"/>
    <n v="72"/>
    <n v="144000"/>
    <m/>
  </r>
  <r>
    <x v="1"/>
    <s v="JUN"/>
    <x v="5"/>
    <s v="GRSM 4"/>
    <x v="0"/>
    <s v="GMM"/>
    <n v="103259"/>
    <n v="9013525"/>
    <x v="5"/>
    <x v="9"/>
    <s v="CARBONARA"/>
    <n v="1875"/>
    <n v="360"/>
    <n v="675000"/>
    <m/>
  </r>
  <r>
    <x v="1"/>
    <s v="JUN"/>
    <x v="5"/>
    <s v="GRSM 4"/>
    <x v="0"/>
    <s v="GMM"/>
    <n v="103259"/>
    <n v="9029389"/>
    <x v="0"/>
    <x v="10"/>
    <s v="BOLOGNESE"/>
    <n v="2000"/>
    <n v="72"/>
    <n v="144000"/>
    <n v="160"/>
  </r>
  <r>
    <x v="1"/>
    <s v="JUN"/>
    <x v="5"/>
    <s v="GRSM 4"/>
    <x v="0"/>
    <s v="GMM"/>
    <n v="103259"/>
    <n v="9029389"/>
    <x v="0"/>
    <x v="10"/>
    <s v="AGLIO OLIO"/>
    <n v="2000"/>
    <n v="63"/>
    <n v="126000"/>
    <m/>
  </r>
  <r>
    <x v="1"/>
    <s v="JUN"/>
    <x v="5"/>
    <s v="GRSM 4"/>
    <x v="0"/>
    <s v="GMM"/>
    <n v="103259"/>
    <n v="9029389"/>
    <x v="0"/>
    <x v="10"/>
    <s v="AGLIO OLIO"/>
    <n v="2000"/>
    <n v="33"/>
    <n v="66000"/>
    <m/>
  </r>
  <r>
    <x v="1"/>
    <s v="JUN"/>
    <x v="5"/>
    <s v="GRSM 4"/>
    <x v="0"/>
    <s v="GMM"/>
    <n v="103259"/>
    <n v="9029389"/>
    <x v="0"/>
    <x v="10"/>
    <s v="GORENG"/>
    <n v="2000"/>
    <n v="111"/>
    <n v="222000"/>
    <m/>
  </r>
  <r>
    <x v="1"/>
    <s v="JUN"/>
    <x v="5"/>
    <s v="GRSM 4"/>
    <x v="0"/>
    <s v="GMM"/>
    <n v="103259"/>
    <n v="9029389"/>
    <x v="0"/>
    <x v="1"/>
    <s v="BOLOGNESE"/>
    <n v="2000"/>
    <n v="60"/>
    <n v="120000"/>
    <n v="160"/>
  </r>
  <r>
    <x v="1"/>
    <s v="JUN"/>
    <x v="5"/>
    <s v="GRSM 4"/>
    <x v="0"/>
    <s v="GMM"/>
    <n v="103259"/>
    <n v="9029389"/>
    <x v="0"/>
    <x v="1"/>
    <s v="CARBONARA"/>
    <n v="2000"/>
    <n v="54"/>
    <n v="108000"/>
    <m/>
  </r>
  <r>
    <x v="1"/>
    <s v="JUN"/>
    <x v="5"/>
    <s v="GRSM 4"/>
    <x v="0"/>
    <s v="GMM"/>
    <n v="103259"/>
    <n v="9029389"/>
    <x v="0"/>
    <x v="1"/>
    <s v="AGLIO OLIO"/>
    <n v="2000"/>
    <n v="27"/>
    <n v="54000"/>
    <m/>
  </r>
  <r>
    <x v="1"/>
    <s v="JUN"/>
    <x v="5"/>
    <s v="GRSM 4"/>
    <x v="0"/>
    <s v="GMM"/>
    <n v="103259"/>
    <n v="9029389"/>
    <x v="0"/>
    <x v="1"/>
    <s v="GORENG"/>
    <n v="2000"/>
    <n v="60"/>
    <n v="120000"/>
    <m/>
  </r>
  <r>
    <x v="1"/>
    <s v="JUN"/>
    <x v="5"/>
    <s v="GRSM 4"/>
    <x v="0"/>
    <s v="GMM"/>
    <n v="103277"/>
    <n v="6300538"/>
    <x v="1"/>
    <x v="3"/>
    <s v="BOLOGNESE"/>
    <n v="2975"/>
    <n v="47"/>
    <n v="139825"/>
    <n v="160"/>
  </r>
  <r>
    <x v="1"/>
    <s v="JUN"/>
    <x v="5"/>
    <s v="GRSM 4"/>
    <x v="0"/>
    <s v="GMM"/>
    <n v="103277"/>
    <n v="6300538"/>
    <x v="1"/>
    <x v="3"/>
    <s v="CARBONARA"/>
    <n v="2975"/>
    <n v="45"/>
    <n v="133875"/>
    <m/>
  </r>
  <r>
    <x v="1"/>
    <s v="JUN"/>
    <x v="5"/>
    <s v="GRSM 4"/>
    <x v="0"/>
    <s v="GMM"/>
    <n v="103277"/>
    <n v="6300538"/>
    <x v="1"/>
    <x v="3"/>
    <s v="AGLIO OLIO"/>
    <n v="2975"/>
    <n v="28"/>
    <n v="83300"/>
    <m/>
  </r>
  <r>
    <x v="1"/>
    <s v="JUN"/>
    <x v="5"/>
    <s v="GRSM 4"/>
    <x v="0"/>
    <s v="GMM"/>
    <n v="103277"/>
    <n v="6300538"/>
    <x v="1"/>
    <x v="3"/>
    <s v="GORENG"/>
    <n v="2975"/>
    <n v="185"/>
    <n v="550375"/>
    <m/>
  </r>
  <r>
    <x v="1"/>
    <s v="JUN"/>
    <x v="5"/>
    <s v="GRSM 4"/>
    <x v="0"/>
    <s v="GMM"/>
    <n v="103277"/>
    <n v="6300538"/>
    <x v="1"/>
    <x v="2"/>
    <s v="BOLOGNESE"/>
    <n v="2975"/>
    <n v="53"/>
    <n v="157675"/>
    <n v="155"/>
  </r>
  <r>
    <x v="1"/>
    <s v="JUN"/>
    <x v="5"/>
    <s v="GRSM 4"/>
    <x v="0"/>
    <s v="GMM"/>
    <n v="103277"/>
    <n v="6300538"/>
    <x v="1"/>
    <x v="2"/>
    <s v="CARBONARA"/>
    <n v="2975"/>
    <n v="41"/>
    <n v="121975"/>
    <m/>
  </r>
  <r>
    <x v="1"/>
    <s v="JUN"/>
    <x v="5"/>
    <s v="GRSM 4"/>
    <x v="0"/>
    <s v="GMM"/>
    <n v="103277"/>
    <n v="6300538"/>
    <x v="1"/>
    <x v="2"/>
    <s v="AGLIO OLIO"/>
    <n v="2975"/>
    <n v="39"/>
    <n v="116025"/>
    <m/>
  </r>
  <r>
    <x v="1"/>
    <s v="JUN"/>
    <x v="5"/>
    <s v="GRSM 4"/>
    <x v="0"/>
    <s v="GMM"/>
    <n v="103277"/>
    <n v="6300538"/>
    <x v="1"/>
    <x v="2"/>
    <s v="GORENG"/>
    <n v="2975"/>
    <n v="172"/>
    <n v="511700"/>
    <m/>
  </r>
  <r>
    <x v="1"/>
    <s v="JUN"/>
    <x v="5"/>
    <s v="GRSM 4"/>
    <x v="0"/>
    <s v="GMM"/>
    <n v="103257"/>
    <n v="9162509"/>
    <x v="4"/>
    <x v="8"/>
    <s v="BOLOGNESE"/>
    <n v="3200"/>
    <n v="35"/>
    <n v="112000"/>
    <n v="155"/>
  </r>
  <r>
    <x v="1"/>
    <s v="JUN"/>
    <x v="5"/>
    <s v="GRSM 4"/>
    <x v="0"/>
    <s v="GMM"/>
    <n v="103257"/>
    <n v="9162509"/>
    <x v="4"/>
    <x v="8"/>
    <s v="CARBONARA"/>
    <n v="3200"/>
    <n v="33"/>
    <n v="105600"/>
    <m/>
  </r>
  <r>
    <x v="1"/>
    <s v="JUN"/>
    <x v="5"/>
    <s v="GRSM 4"/>
    <x v="0"/>
    <s v="GMM"/>
    <n v="103257"/>
    <n v="9162509"/>
    <x v="4"/>
    <x v="8"/>
    <s v="AGLIO OLIO"/>
    <n v="3200"/>
    <n v="39"/>
    <n v="124800"/>
    <m/>
  </r>
  <r>
    <x v="1"/>
    <s v="JUN"/>
    <x v="5"/>
    <s v="GRSM 4"/>
    <x v="0"/>
    <s v="GMM"/>
    <n v="103257"/>
    <n v="9162509"/>
    <x v="4"/>
    <x v="8"/>
    <s v="GORENG"/>
    <n v="3200"/>
    <n v="135"/>
    <n v="432000"/>
    <m/>
  </r>
  <r>
    <x v="1"/>
    <s v="JUN"/>
    <x v="5"/>
    <s v="GRSM 4"/>
    <x v="0"/>
    <s v="GMM"/>
    <n v="103257"/>
    <n v="9162509"/>
    <x v="4"/>
    <x v="7"/>
    <s v="BOLOGNESE"/>
    <n v="3200"/>
    <n v="40"/>
    <n v="128000"/>
    <n v="160"/>
  </r>
  <r>
    <x v="1"/>
    <s v="JUN"/>
    <x v="5"/>
    <s v="GRSM 4"/>
    <x v="0"/>
    <s v="GMM"/>
    <n v="103257"/>
    <n v="9162509"/>
    <x v="4"/>
    <x v="7"/>
    <s v="CARBONARA"/>
    <n v="3200"/>
    <n v="35"/>
    <n v="112000"/>
    <m/>
  </r>
  <r>
    <x v="1"/>
    <s v="JUN"/>
    <x v="5"/>
    <s v="GRSM 4"/>
    <x v="0"/>
    <s v="GMM"/>
    <n v="103257"/>
    <n v="9162509"/>
    <x v="4"/>
    <x v="7"/>
    <s v="AGLIO OLIO"/>
    <n v="3200"/>
    <n v="55"/>
    <n v="176000"/>
    <m/>
  </r>
  <r>
    <x v="1"/>
    <s v="JUN"/>
    <x v="5"/>
    <s v="GRSM 4"/>
    <x v="0"/>
    <s v="GMM"/>
    <n v="103257"/>
    <n v="9162509"/>
    <x v="4"/>
    <x v="7"/>
    <s v="GORENG"/>
    <n v="3200"/>
    <n v="145"/>
    <n v="464000"/>
    <m/>
  </r>
  <r>
    <x v="1"/>
    <s v="JUN"/>
    <x v="3"/>
    <s v="GRSM 3A"/>
    <x v="0"/>
    <s v="GMM"/>
    <n v="103272"/>
    <n v="1178"/>
    <x v="3"/>
    <x v="11"/>
    <s v="BOLOGNESE"/>
    <n v="3145"/>
    <n v="14"/>
    <n v="44030"/>
    <n v="160"/>
  </r>
  <r>
    <x v="1"/>
    <s v="JUN"/>
    <x v="3"/>
    <s v="GRSM 3A"/>
    <x v="0"/>
    <s v="GMM"/>
    <n v="103272"/>
    <n v="1178"/>
    <x v="3"/>
    <x v="11"/>
    <s v="CARBONARA"/>
    <n v="3145"/>
    <n v="28"/>
    <n v="88060"/>
    <m/>
  </r>
  <r>
    <x v="1"/>
    <s v="JUN"/>
    <x v="3"/>
    <s v="GRSM 3A"/>
    <x v="0"/>
    <s v="GMM"/>
    <n v="103272"/>
    <n v="1178"/>
    <x v="3"/>
    <x v="11"/>
    <s v="AGLIO OLIO"/>
    <n v="3145"/>
    <n v="9"/>
    <n v="28305"/>
    <m/>
  </r>
  <r>
    <x v="1"/>
    <s v="JUN"/>
    <x v="3"/>
    <s v="GRSM 3A"/>
    <x v="0"/>
    <s v="GMM"/>
    <n v="103272"/>
    <n v="1178"/>
    <x v="3"/>
    <x v="11"/>
    <s v="GORENG"/>
    <n v="3145"/>
    <n v="45"/>
    <n v="141525"/>
    <m/>
  </r>
  <r>
    <x v="1"/>
    <s v="JUN"/>
    <x v="3"/>
    <s v="GRSM 4"/>
    <x v="0"/>
    <s v="GMM"/>
    <n v="189901"/>
    <n v="1602020"/>
    <x v="2"/>
    <x v="4"/>
    <s v="BOLOGNESE"/>
    <n v="2200"/>
    <n v="62"/>
    <n v="136400"/>
    <n v="100"/>
  </r>
  <r>
    <x v="1"/>
    <s v="JUN"/>
    <x v="3"/>
    <s v="GRSM 4"/>
    <x v="0"/>
    <s v="GMM"/>
    <n v="189901"/>
    <n v="1602020"/>
    <x v="2"/>
    <x v="4"/>
    <s v="CARBONARA"/>
    <n v="2200"/>
    <n v="59"/>
    <n v="129800"/>
    <m/>
  </r>
  <r>
    <x v="1"/>
    <s v="JUN"/>
    <x v="3"/>
    <s v="GRSM 4"/>
    <x v="0"/>
    <s v="GMM"/>
    <n v="189901"/>
    <n v="1602020"/>
    <x v="2"/>
    <x v="4"/>
    <s v="AGLIO OLIO"/>
    <n v="2200"/>
    <n v="40"/>
    <n v="88000"/>
    <m/>
  </r>
  <r>
    <x v="1"/>
    <s v="JUN"/>
    <x v="3"/>
    <s v="GRSM 4"/>
    <x v="0"/>
    <s v="GMM"/>
    <n v="189901"/>
    <n v="1602020"/>
    <x v="2"/>
    <x v="4"/>
    <s v="BOLOGNESE"/>
    <n v="2200"/>
    <n v="82"/>
    <n v="180400"/>
    <n v="120"/>
  </r>
  <r>
    <x v="1"/>
    <s v="JUN"/>
    <x v="5"/>
    <s v="GRSM 4"/>
    <x v="0"/>
    <s v="GMM"/>
    <n v="189901"/>
    <n v="1602020"/>
    <x v="2"/>
    <x v="4"/>
    <s v="CARBONARA"/>
    <n v="2200"/>
    <n v="101"/>
    <n v="222200"/>
    <m/>
  </r>
  <r>
    <x v="1"/>
    <s v="JUN"/>
    <x v="5"/>
    <s v="GRSM 4"/>
    <x v="0"/>
    <s v="GMM"/>
    <n v="189901"/>
    <n v="1602020"/>
    <x v="2"/>
    <x v="4"/>
    <s v="AGLIO OLIO"/>
    <n v="2200"/>
    <n v="23"/>
    <n v="50600"/>
    <m/>
  </r>
  <r>
    <x v="1"/>
    <s v="JUN"/>
    <x v="5"/>
    <s v="GRSM 4"/>
    <x v="0"/>
    <s v="GMM"/>
    <n v="103259"/>
    <n v="9013525"/>
    <x v="5"/>
    <x v="9"/>
    <s v="CARBONARA"/>
    <n v="2000"/>
    <n v="110"/>
    <n v="220000"/>
    <n v="120"/>
  </r>
  <r>
    <x v="1"/>
    <s v="JUN"/>
    <x v="3"/>
    <s v="GRSM 4"/>
    <x v="0"/>
    <s v="GMM"/>
    <n v="103259"/>
    <n v="9013525"/>
    <x v="5"/>
    <x v="9"/>
    <s v="BOLOGNESE"/>
    <n v="2000"/>
    <n v="130"/>
    <n v="260000"/>
    <m/>
  </r>
  <r>
    <x v="1"/>
    <s v="JUN"/>
    <x v="3"/>
    <s v="GRSM 4"/>
    <x v="0"/>
    <s v="GMM"/>
    <n v="103259"/>
    <n v="9013525"/>
    <x v="5"/>
    <x v="9"/>
    <s v="AGLIO OLIO"/>
    <n v="2000"/>
    <n v="120"/>
    <n v="240000"/>
    <m/>
  </r>
  <r>
    <x v="1"/>
    <s v="JUN"/>
    <x v="3"/>
    <s v="GRSM 4"/>
    <x v="0"/>
    <s v="GMM"/>
    <n v="189901"/>
    <n v="1602020"/>
    <x v="2"/>
    <x v="5"/>
    <s v="CARBONARA"/>
    <n v="2200"/>
    <n v="48"/>
    <n v="105600"/>
    <m/>
  </r>
  <r>
    <x v="1"/>
    <s v="JUN"/>
    <x v="3"/>
    <s v="GRSM 4"/>
    <x v="0"/>
    <s v="GMM"/>
    <n v="189901"/>
    <n v="1602020"/>
    <x v="2"/>
    <x v="5"/>
    <s v="BOLOGNESE"/>
    <n v="2200"/>
    <n v="64"/>
    <n v="140800"/>
    <m/>
  </r>
  <r>
    <x v="1"/>
    <s v="JUN"/>
    <x v="3"/>
    <s v="GRSM 4"/>
    <x v="0"/>
    <s v="GMM"/>
    <n v="189901"/>
    <n v="1602020"/>
    <x v="2"/>
    <x v="5"/>
    <s v="AGLIO OLIO"/>
    <n v="2200"/>
    <n v="45"/>
    <n v="99000"/>
    <m/>
  </r>
  <r>
    <x v="1"/>
    <s v="JUN"/>
    <x v="3"/>
    <s v="GRSM 4"/>
    <x v="0"/>
    <s v="GMM"/>
    <n v="189901"/>
    <n v="1602020"/>
    <x v="2"/>
    <x v="5"/>
    <s v="GORENG"/>
    <n v="2200"/>
    <m/>
    <n v="0"/>
    <m/>
  </r>
  <r>
    <x v="1"/>
    <s v="JUN"/>
    <x v="3"/>
    <s v="GRSM 4"/>
    <x v="0"/>
    <s v="GMM"/>
    <n v="189901"/>
    <n v="1602020"/>
    <x v="2"/>
    <x v="5"/>
    <s v="CARBONARA"/>
    <n v="2200"/>
    <n v="77"/>
    <n v="169400"/>
    <n v="120"/>
  </r>
  <r>
    <x v="1"/>
    <s v="JUN"/>
    <x v="4"/>
    <s v="GRSM 4"/>
    <x v="0"/>
    <s v="GMM"/>
    <n v="189901"/>
    <n v="1602020"/>
    <x v="2"/>
    <x v="5"/>
    <s v="BOLOGNESE"/>
    <n v="2200"/>
    <n v="57"/>
    <n v="125400"/>
    <m/>
  </r>
  <r>
    <x v="1"/>
    <s v="JUN"/>
    <x v="4"/>
    <s v="GRSM 4"/>
    <x v="0"/>
    <s v="GMM"/>
    <n v="189901"/>
    <n v="1602020"/>
    <x v="2"/>
    <x v="5"/>
    <s v="AGLIO OLIO"/>
    <n v="2200"/>
    <n v="38"/>
    <n v="83600"/>
    <m/>
  </r>
  <r>
    <x v="1"/>
    <s v="JUN"/>
    <x v="4"/>
    <s v="GRSM 4"/>
    <x v="0"/>
    <s v="GMM"/>
    <n v="189901"/>
    <n v="1602020"/>
    <x v="2"/>
    <x v="5"/>
    <s v="GORENG"/>
    <n v="2200"/>
    <m/>
    <n v="0"/>
    <m/>
  </r>
  <r>
    <x v="1"/>
    <s v="JUN"/>
    <x v="4"/>
    <s v="GRSM 4"/>
    <x v="0"/>
    <s v="GMM"/>
    <n v="189901"/>
    <n v="1602020"/>
    <x v="2"/>
    <x v="5"/>
    <s v="CARBONARA"/>
    <n v="2200"/>
    <n v="101"/>
    <n v="222200"/>
    <n v="120"/>
  </r>
  <r>
    <x v="1"/>
    <s v="JUN"/>
    <x v="5"/>
    <s v="GRSM 4"/>
    <x v="0"/>
    <s v="GMM"/>
    <n v="189901"/>
    <n v="1602020"/>
    <x v="2"/>
    <x v="5"/>
    <s v="BOLOGNESE"/>
    <n v="2200"/>
    <n v="82"/>
    <n v="180400"/>
    <m/>
  </r>
  <r>
    <x v="1"/>
    <s v="JUN"/>
    <x v="5"/>
    <s v="GRSM 4"/>
    <x v="0"/>
    <s v="GMM"/>
    <n v="189901"/>
    <n v="1602020"/>
    <x v="2"/>
    <x v="5"/>
    <s v="AGLIO OLIO"/>
    <n v="2200"/>
    <n v="23"/>
    <n v="50600"/>
    <m/>
  </r>
  <r>
    <x v="1"/>
    <s v="JUN"/>
    <x v="5"/>
    <s v="GRSM 4"/>
    <x v="0"/>
    <s v="GMM"/>
    <n v="189901"/>
    <n v="1602020"/>
    <x v="2"/>
    <x v="5"/>
    <s v="GORENG"/>
    <n v="2200"/>
    <m/>
    <n v="0"/>
    <m/>
  </r>
  <r>
    <x v="1"/>
    <s v="JUN"/>
    <x v="5"/>
    <s v="GRSM 4"/>
    <x v="0"/>
    <s v="GMM"/>
    <n v="103277"/>
    <n v="6301424"/>
    <x v="6"/>
    <x v="12"/>
    <s v="CARBONARA"/>
    <n v="3000"/>
    <n v="10"/>
    <n v="30000"/>
    <n v="120"/>
  </r>
  <r>
    <x v="1"/>
    <s v="JUN"/>
    <x v="3"/>
    <s v="GRSM 4"/>
    <x v="0"/>
    <s v="GMM"/>
    <n v="103277"/>
    <n v="6301424"/>
    <x v="6"/>
    <x v="12"/>
    <s v="BOLOGNESE"/>
    <n v="3000"/>
    <n v="15"/>
    <n v="45000"/>
    <m/>
  </r>
  <r>
    <x v="1"/>
    <s v="JUN"/>
    <x v="3"/>
    <s v="GRSM 4"/>
    <x v="0"/>
    <s v="GMM"/>
    <n v="103277"/>
    <n v="6301424"/>
    <x v="6"/>
    <x v="12"/>
    <s v="AGLIO OLIO"/>
    <n v="3000"/>
    <n v="10"/>
    <n v="30000"/>
    <m/>
  </r>
  <r>
    <x v="1"/>
    <s v="JUN"/>
    <x v="3"/>
    <s v="GRSM 4"/>
    <x v="0"/>
    <s v="GMM"/>
    <n v="103277"/>
    <n v="6301424"/>
    <x v="6"/>
    <x v="12"/>
    <s v="GORENG"/>
    <n v="3000"/>
    <n v="200"/>
    <n v="600000"/>
    <m/>
  </r>
  <r>
    <x v="1"/>
    <s v="JUN"/>
    <x v="3"/>
    <s v="GRSM 4"/>
    <x v="0"/>
    <s v="GMM"/>
    <n v="103277"/>
    <n v="6301424"/>
    <x v="6"/>
    <x v="13"/>
    <s v="CARBONARA"/>
    <n v="3000"/>
    <n v="15"/>
    <n v="45000"/>
    <n v="100"/>
  </r>
  <r>
    <x v="1"/>
    <s v="JUN"/>
    <x v="3"/>
    <s v="GRSM 4"/>
    <x v="0"/>
    <s v="GMM"/>
    <n v="103277"/>
    <n v="6301424"/>
    <x v="6"/>
    <x v="13"/>
    <s v="BOLOGNESE"/>
    <n v="3000"/>
    <n v="20"/>
    <n v="60000"/>
    <m/>
  </r>
  <r>
    <x v="1"/>
    <s v="JUN"/>
    <x v="3"/>
    <s v="GRSM 4"/>
    <x v="0"/>
    <s v="GMM"/>
    <n v="103277"/>
    <n v="6301424"/>
    <x v="6"/>
    <x v="13"/>
    <s v="AGLIO OLIO"/>
    <n v="3000"/>
    <n v="10"/>
    <n v="30000"/>
    <m/>
  </r>
  <r>
    <x v="1"/>
    <s v="JUN"/>
    <x v="3"/>
    <s v="GRSM 4"/>
    <x v="0"/>
    <s v="GMM"/>
    <n v="103277"/>
    <n v="6301424"/>
    <x v="6"/>
    <x v="13"/>
    <s v="GORENG"/>
    <n v="3000"/>
    <n v="200"/>
    <n v="600000"/>
    <m/>
  </r>
  <r>
    <x v="1"/>
    <s v="JUN"/>
    <x v="3"/>
    <s v="GRSM 4"/>
    <x v="0"/>
    <s v="GMM"/>
    <n v="103277"/>
    <n v="6301424"/>
    <x v="6"/>
    <x v="12"/>
    <s v="CARBONARA"/>
    <n v="3000"/>
    <n v="120"/>
    <n v="360000"/>
    <n v="100"/>
  </r>
  <r>
    <x v="1"/>
    <s v="JUN"/>
    <x v="4"/>
    <s v="GRSM 4"/>
    <x v="0"/>
    <s v="GMM"/>
    <n v="103277"/>
    <n v="6301424"/>
    <x v="6"/>
    <x v="12"/>
    <s v="BOLOGNESE"/>
    <n v="3000"/>
    <n v="20"/>
    <n v="60000"/>
    <m/>
  </r>
  <r>
    <x v="1"/>
    <s v="JUN"/>
    <x v="4"/>
    <s v="GRSM 4"/>
    <x v="0"/>
    <s v="GMM"/>
    <n v="103277"/>
    <n v="6301424"/>
    <x v="6"/>
    <x v="12"/>
    <s v="AGLIO OLIO"/>
    <n v="3000"/>
    <n v="20"/>
    <n v="60000"/>
    <m/>
  </r>
  <r>
    <x v="1"/>
    <s v="JUN"/>
    <x v="4"/>
    <s v="GRSM 4"/>
    <x v="0"/>
    <s v="GMM"/>
    <n v="103277"/>
    <n v="6301424"/>
    <x v="6"/>
    <x v="12"/>
    <s v="GORENG"/>
    <n v="3000"/>
    <n v="100"/>
    <n v="300000"/>
    <m/>
  </r>
  <r>
    <x v="1"/>
    <s v="JUN"/>
    <x v="4"/>
    <s v="GRSM 4"/>
    <x v="0"/>
    <s v="GMM"/>
    <n v="103277"/>
    <n v="6301424"/>
    <x v="6"/>
    <x v="13"/>
    <s v="CARBONARA"/>
    <n v="3000"/>
    <n v="100"/>
    <n v="300000"/>
    <n v="160"/>
  </r>
  <r>
    <x v="1"/>
    <s v="JUN"/>
    <x v="4"/>
    <s v="GRSM 4"/>
    <x v="0"/>
    <s v="GMM"/>
    <n v="103277"/>
    <n v="6301424"/>
    <x v="6"/>
    <x v="13"/>
    <s v="BOLOGNESE"/>
    <n v="3000"/>
    <n v="20"/>
    <n v="60000"/>
    <m/>
  </r>
  <r>
    <x v="1"/>
    <s v="JUN"/>
    <x v="4"/>
    <s v="GRSM 4"/>
    <x v="0"/>
    <s v="GMM"/>
    <n v="103277"/>
    <n v="6301424"/>
    <x v="6"/>
    <x v="13"/>
    <s v="AGLIO OLIO"/>
    <n v="3000"/>
    <n v="20"/>
    <n v="60000"/>
    <m/>
  </r>
  <r>
    <x v="1"/>
    <s v="JUN"/>
    <x v="4"/>
    <s v="GRSM 4"/>
    <x v="0"/>
    <s v="GMM"/>
    <n v="103277"/>
    <n v="6301424"/>
    <x v="6"/>
    <x v="13"/>
    <s v="GORENG"/>
    <n v="3000"/>
    <n v="70"/>
    <n v="210000"/>
    <m/>
  </r>
  <r>
    <x v="1"/>
    <s v="JUN"/>
    <x v="4"/>
    <s v="GRSM 4"/>
    <x v="0"/>
    <s v="GMM"/>
    <n v="103277"/>
    <n v="6301424"/>
    <x v="6"/>
    <x v="12"/>
    <s v="CARBONARA"/>
    <n v="3000"/>
    <n v="89"/>
    <n v="267000"/>
    <n v="160"/>
  </r>
  <r>
    <x v="1"/>
    <s v="JUN"/>
    <x v="5"/>
    <s v="GRSM 4"/>
    <x v="0"/>
    <s v="GMM"/>
    <n v="103277"/>
    <n v="6301424"/>
    <x v="6"/>
    <x v="12"/>
    <s v="BOLOGNESE"/>
    <n v="3000"/>
    <n v="30"/>
    <n v="90000"/>
    <m/>
  </r>
  <r>
    <x v="1"/>
    <s v="JUN"/>
    <x v="5"/>
    <s v="GRSM 4"/>
    <x v="0"/>
    <s v="GMM"/>
    <n v="103277"/>
    <n v="6301424"/>
    <x v="6"/>
    <x v="12"/>
    <s v="AGLIO OLIO"/>
    <n v="3000"/>
    <n v="20"/>
    <n v="60000"/>
    <m/>
  </r>
  <r>
    <x v="1"/>
    <s v="JUN"/>
    <x v="5"/>
    <s v="GRSM 4"/>
    <x v="0"/>
    <s v="GMM"/>
    <n v="103277"/>
    <n v="6301424"/>
    <x v="6"/>
    <x v="12"/>
    <s v="GORENG"/>
    <n v="3000"/>
    <n v="135"/>
    <n v="405000"/>
    <m/>
  </r>
  <r>
    <x v="1"/>
    <s v="JUN"/>
    <x v="5"/>
    <s v="GRSM 4"/>
    <x v="0"/>
    <s v="GMM"/>
    <n v="103277"/>
    <n v="6301424"/>
    <x v="6"/>
    <x v="13"/>
    <s v="CARBONARA"/>
    <n v="3000"/>
    <n v="90"/>
    <n v="270000"/>
    <n v="150"/>
  </r>
  <r>
    <x v="1"/>
    <s v="JUN"/>
    <x v="5"/>
    <s v="GRSM 4"/>
    <x v="0"/>
    <s v="GMM"/>
    <n v="103277"/>
    <n v="6301424"/>
    <x v="6"/>
    <x v="13"/>
    <s v="BOLOGNESE"/>
    <n v="3000"/>
    <n v="23"/>
    <n v="69000"/>
    <m/>
  </r>
  <r>
    <x v="1"/>
    <s v="JUN"/>
    <x v="5"/>
    <s v="GRSM 4"/>
    <x v="0"/>
    <s v="GMM"/>
    <n v="103277"/>
    <n v="6301424"/>
    <x v="6"/>
    <x v="13"/>
    <s v="AGLIO OLIO"/>
    <n v="3000"/>
    <n v="25"/>
    <n v="75000"/>
    <m/>
  </r>
  <r>
    <x v="1"/>
    <s v="JUN"/>
    <x v="5"/>
    <s v="GRSM 4"/>
    <x v="0"/>
    <s v="GMM"/>
    <n v="103277"/>
    <n v="6301424"/>
    <x v="6"/>
    <x v="13"/>
    <s v="GORENG"/>
    <n v="3000"/>
    <n v="130"/>
    <n v="390000"/>
    <m/>
  </r>
  <r>
    <x v="2"/>
    <s v="JUN"/>
    <x v="6"/>
    <s v="GRSM 3A"/>
    <x v="0"/>
    <s v="GMM"/>
    <n v="103272"/>
    <n v="1178"/>
    <x v="3"/>
    <x v="11"/>
    <s v="BOLOGNESE"/>
    <n v="3145"/>
    <n v="15"/>
    <n v="47175"/>
    <n v="150"/>
  </r>
  <r>
    <x v="2"/>
    <s v="JUN"/>
    <x v="6"/>
    <s v="GRSM 3A"/>
    <x v="0"/>
    <s v="GMM"/>
    <n v="103272"/>
    <n v="1178"/>
    <x v="3"/>
    <x v="11"/>
    <s v="CARBONARA"/>
    <n v="3145"/>
    <n v="20"/>
    <n v="62900"/>
    <m/>
  </r>
  <r>
    <x v="2"/>
    <s v="JUN"/>
    <x v="6"/>
    <s v="GRSM 3A"/>
    <x v="0"/>
    <s v="GMM"/>
    <n v="103272"/>
    <n v="1178"/>
    <x v="3"/>
    <x v="11"/>
    <s v="AGLIO OLIO"/>
    <n v="3145"/>
    <n v="9"/>
    <n v="28305"/>
    <m/>
  </r>
  <r>
    <x v="2"/>
    <s v="JUN"/>
    <x v="6"/>
    <s v="GRSM 3A"/>
    <x v="0"/>
    <s v="GMM"/>
    <n v="103272"/>
    <n v="1178"/>
    <x v="3"/>
    <x v="11"/>
    <s v="GORENG"/>
    <n v="3145"/>
    <n v="39"/>
    <n v="122655"/>
    <m/>
  </r>
  <r>
    <x v="2"/>
    <s v="JUN"/>
    <x v="6"/>
    <s v="GRSM 3A"/>
    <x v="0"/>
    <s v="GMM"/>
    <n v="103272"/>
    <n v="1178"/>
    <x v="3"/>
    <x v="6"/>
    <s v="BOLOGNESE"/>
    <n v="3145"/>
    <n v="15"/>
    <n v="47175"/>
    <n v="100"/>
  </r>
  <r>
    <x v="2"/>
    <s v="JUN"/>
    <x v="6"/>
    <s v="GRSM 3A"/>
    <x v="0"/>
    <s v="GMM"/>
    <n v="103272"/>
    <n v="1178"/>
    <x v="3"/>
    <x v="6"/>
    <s v="CARBONARA"/>
    <n v="3145"/>
    <n v="20"/>
    <n v="62900"/>
    <m/>
  </r>
  <r>
    <x v="2"/>
    <s v="JUN"/>
    <x v="6"/>
    <s v="GRSM 3A"/>
    <x v="0"/>
    <s v="GMM"/>
    <n v="103272"/>
    <n v="1178"/>
    <x v="3"/>
    <x v="6"/>
    <s v="AGLIO OLIO"/>
    <n v="3145"/>
    <n v="9"/>
    <n v="28305"/>
    <m/>
  </r>
  <r>
    <x v="2"/>
    <s v="JUN"/>
    <x v="6"/>
    <s v="GRSM 3A"/>
    <x v="0"/>
    <s v="GMM"/>
    <n v="103272"/>
    <n v="1178"/>
    <x v="3"/>
    <x v="6"/>
    <s v="GORENG"/>
    <n v="3145"/>
    <n v="39"/>
    <n v="122655"/>
    <m/>
  </r>
  <r>
    <x v="2"/>
    <s v="JUN"/>
    <x v="6"/>
    <s v="GRSM 4"/>
    <x v="0"/>
    <s v="GMM"/>
    <n v="103257"/>
    <n v="9162509"/>
    <x v="4"/>
    <x v="7"/>
    <s v="BOLOGNESE"/>
    <n v="3200"/>
    <n v="33"/>
    <n v="105600"/>
    <n v="100"/>
  </r>
  <r>
    <x v="2"/>
    <s v="JUN"/>
    <x v="7"/>
    <s v="GRSM 4"/>
    <x v="0"/>
    <s v="GMM"/>
    <n v="103257"/>
    <n v="9162509"/>
    <x v="4"/>
    <x v="7"/>
    <s v="CARBONARA"/>
    <n v="3200"/>
    <n v="35"/>
    <n v="112000"/>
    <m/>
  </r>
  <r>
    <x v="2"/>
    <s v="JUN"/>
    <x v="7"/>
    <s v="GRSM 4"/>
    <x v="0"/>
    <s v="GMM"/>
    <n v="103257"/>
    <n v="9162509"/>
    <x v="4"/>
    <x v="7"/>
    <s v="AGLIO OLIO"/>
    <n v="3200"/>
    <n v="30"/>
    <n v="96000"/>
    <m/>
  </r>
  <r>
    <x v="2"/>
    <s v="JUN"/>
    <x v="7"/>
    <s v="GRSM 4"/>
    <x v="0"/>
    <s v="GMM"/>
    <n v="103257"/>
    <n v="9162509"/>
    <x v="4"/>
    <x v="7"/>
    <s v="GORENG"/>
    <n v="3200"/>
    <n v="95"/>
    <n v="304000"/>
    <m/>
  </r>
  <r>
    <x v="2"/>
    <s v="JUN"/>
    <x v="7"/>
    <s v="GRSM 4"/>
    <x v="0"/>
    <s v="GMM"/>
    <n v="103257"/>
    <n v="9162509"/>
    <x v="4"/>
    <x v="8"/>
    <s v="BOLOGNESE"/>
    <n v="3200"/>
    <n v="30"/>
    <n v="96000"/>
    <n v="160"/>
  </r>
  <r>
    <x v="2"/>
    <s v="JUN"/>
    <x v="7"/>
    <s v="GRSM 4"/>
    <x v="0"/>
    <s v="GMM"/>
    <n v="103257"/>
    <n v="9162509"/>
    <x v="4"/>
    <x v="8"/>
    <s v="CARBONARA"/>
    <n v="3200"/>
    <n v="33"/>
    <n v="105600"/>
    <m/>
  </r>
  <r>
    <x v="2"/>
    <s v="JUN"/>
    <x v="7"/>
    <s v="GRSM 4"/>
    <x v="0"/>
    <s v="GMM"/>
    <n v="103257"/>
    <n v="9162509"/>
    <x v="4"/>
    <x v="8"/>
    <s v="AGLIO OLIO"/>
    <n v="3200"/>
    <n v="30"/>
    <n v="96000"/>
    <m/>
  </r>
  <r>
    <x v="2"/>
    <s v="JUN"/>
    <x v="7"/>
    <s v="GRSM 4"/>
    <x v="0"/>
    <s v="GMM"/>
    <n v="103257"/>
    <n v="9162509"/>
    <x v="4"/>
    <x v="8"/>
    <s v="GORENG"/>
    <n v="3200"/>
    <n v="93"/>
    <n v="297600"/>
    <m/>
  </r>
  <r>
    <x v="2"/>
    <s v="JUN"/>
    <x v="7"/>
    <s v="GRSM 4"/>
    <x v="0"/>
    <s v="GMM"/>
    <n v="103277"/>
    <n v="6300538"/>
    <x v="1"/>
    <x v="2"/>
    <s v="BOLOGNESE"/>
    <n v="2975"/>
    <n v="57"/>
    <n v="169575"/>
    <n v="160"/>
  </r>
  <r>
    <x v="2"/>
    <s v="JUN"/>
    <x v="7"/>
    <s v="GRSM 4"/>
    <x v="0"/>
    <s v="GMM"/>
    <n v="103277"/>
    <n v="6300538"/>
    <x v="1"/>
    <x v="2"/>
    <s v="CARBONARA"/>
    <n v="2975"/>
    <n v="66"/>
    <n v="196350"/>
    <m/>
  </r>
  <r>
    <x v="2"/>
    <s v="JUN"/>
    <x v="7"/>
    <s v="GRSM 4"/>
    <x v="0"/>
    <s v="GMM"/>
    <n v="103277"/>
    <n v="6300538"/>
    <x v="1"/>
    <x v="2"/>
    <s v="AGLIO OLIO"/>
    <n v="2975"/>
    <n v="40"/>
    <n v="119000"/>
    <m/>
  </r>
  <r>
    <x v="2"/>
    <s v="JUN"/>
    <x v="7"/>
    <s v="GRSM 4"/>
    <x v="0"/>
    <s v="GMM"/>
    <n v="103277"/>
    <n v="6300538"/>
    <x v="1"/>
    <x v="2"/>
    <s v="GORENG"/>
    <n v="2975"/>
    <n v="188"/>
    <n v="559300"/>
    <n v="120"/>
  </r>
  <r>
    <x v="2"/>
    <s v="JUN"/>
    <x v="7"/>
    <s v="GRSM 4"/>
    <x v="0"/>
    <s v="GMM"/>
    <n v="103277"/>
    <n v="6300538"/>
    <x v="1"/>
    <x v="3"/>
    <s v="BOLOGNESE"/>
    <n v="2975"/>
    <n v="50"/>
    <n v="148750"/>
    <m/>
  </r>
  <r>
    <x v="2"/>
    <s v="JUN"/>
    <x v="7"/>
    <s v="GRSM 4"/>
    <x v="0"/>
    <s v="GMM"/>
    <n v="103277"/>
    <n v="6300538"/>
    <x v="1"/>
    <x v="3"/>
    <s v="CARBONARA"/>
    <n v="2975"/>
    <n v="67"/>
    <n v="199325"/>
    <m/>
  </r>
  <r>
    <x v="2"/>
    <s v="JUN"/>
    <x v="7"/>
    <s v="GRSM 4"/>
    <x v="0"/>
    <s v="GMM"/>
    <n v="103277"/>
    <n v="6300538"/>
    <x v="1"/>
    <x v="3"/>
    <s v="AGLIO OLIO"/>
    <n v="2975"/>
    <n v="33"/>
    <n v="98175"/>
    <m/>
  </r>
  <r>
    <x v="2"/>
    <s v="JUN"/>
    <x v="7"/>
    <s v="GRSM 4"/>
    <x v="0"/>
    <s v="GMM"/>
    <n v="103277"/>
    <n v="6300538"/>
    <x v="1"/>
    <x v="3"/>
    <s v="GORENG"/>
    <n v="2975"/>
    <n v="174"/>
    <n v="517650"/>
    <n v="160"/>
  </r>
  <r>
    <x v="2"/>
    <s v="JUN"/>
    <x v="7"/>
    <s v="GRSM 3A"/>
    <x v="0"/>
    <s v="GMM"/>
    <n v="103272"/>
    <n v="1178"/>
    <x v="3"/>
    <x v="6"/>
    <s v="BOLOGNESE"/>
    <n v="3145"/>
    <n v="27"/>
    <n v="84915"/>
    <m/>
  </r>
  <r>
    <x v="2"/>
    <s v="JUN"/>
    <x v="7"/>
    <s v="GRSM 3A"/>
    <x v="0"/>
    <s v="GMM"/>
    <n v="103272"/>
    <n v="1178"/>
    <x v="3"/>
    <x v="6"/>
    <s v="CARBONARA"/>
    <n v="3145"/>
    <n v="24"/>
    <n v="75480"/>
    <m/>
  </r>
  <r>
    <x v="2"/>
    <s v="JUN"/>
    <x v="7"/>
    <s v="GRSM 3A"/>
    <x v="0"/>
    <s v="GMM"/>
    <n v="103272"/>
    <n v="1178"/>
    <x v="3"/>
    <x v="6"/>
    <s v="AGLIO OLIO"/>
    <n v="3145"/>
    <n v="14"/>
    <n v="44030"/>
    <m/>
  </r>
  <r>
    <x v="2"/>
    <s v="JUN"/>
    <x v="7"/>
    <s v="GRSM 3A"/>
    <x v="0"/>
    <s v="GMM"/>
    <n v="103272"/>
    <n v="1178"/>
    <x v="3"/>
    <x v="6"/>
    <s v="GORENG"/>
    <n v="3145"/>
    <n v="35"/>
    <n v="110075"/>
    <n v="160"/>
  </r>
  <r>
    <x v="2"/>
    <s v="JUN"/>
    <x v="7"/>
    <s v="GRSM 3A"/>
    <x v="0"/>
    <s v="GMM"/>
    <n v="103272"/>
    <n v="1178"/>
    <x v="3"/>
    <x v="11"/>
    <s v="BOLOGNESE"/>
    <n v="3145"/>
    <n v="27"/>
    <n v="84915"/>
    <m/>
  </r>
  <r>
    <x v="2"/>
    <s v="JUN"/>
    <x v="7"/>
    <s v="GRSM 3A"/>
    <x v="0"/>
    <s v="GMM"/>
    <n v="103272"/>
    <n v="1178"/>
    <x v="3"/>
    <x v="11"/>
    <s v="CARBONARA"/>
    <n v="3145"/>
    <n v="24"/>
    <n v="75480"/>
    <m/>
  </r>
  <r>
    <x v="2"/>
    <s v="JUN"/>
    <x v="7"/>
    <s v="GRSM 3A"/>
    <x v="0"/>
    <s v="GMM"/>
    <n v="103272"/>
    <n v="1178"/>
    <x v="3"/>
    <x v="11"/>
    <s v="AGLIO OLIO"/>
    <n v="3145"/>
    <n v="14"/>
    <n v="44030"/>
    <m/>
  </r>
  <r>
    <x v="2"/>
    <s v="JUN"/>
    <x v="7"/>
    <s v="GRSM 3A"/>
    <x v="0"/>
    <s v="GMM"/>
    <n v="103272"/>
    <n v="1178"/>
    <x v="3"/>
    <x v="11"/>
    <s v="GORENG"/>
    <n v="3145"/>
    <n v="35"/>
    <n v="110075"/>
    <n v="155"/>
  </r>
  <r>
    <x v="2"/>
    <s v="JUN"/>
    <x v="7"/>
    <s v="GRSM 4"/>
    <x v="0"/>
    <s v="GMM"/>
    <n v="103259"/>
    <n v="9013525"/>
    <x v="5"/>
    <x v="9"/>
    <s v="BOLOGNESE"/>
    <n v="2000"/>
    <n v="48"/>
    <n v="96000"/>
    <m/>
  </r>
  <r>
    <x v="2"/>
    <s v="JUN"/>
    <x v="7"/>
    <s v="GRSM 4"/>
    <x v="0"/>
    <s v="GMM"/>
    <n v="103259"/>
    <n v="9013525"/>
    <x v="5"/>
    <x v="9"/>
    <s v="CARBONARA"/>
    <n v="2000"/>
    <n v="48"/>
    <n v="96000"/>
    <m/>
  </r>
  <r>
    <x v="2"/>
    <s v="JUN"/>
    <x v="7"/>
    <s v="GRSM 4"/>
    <x v="0"/>
    <s v="GMM"/>
    <n v="103259"/>
    <n v="9013525"/>
    <x v="5"/>
    <x v="9"/>
    <s v="AGLIO OLIO"/>
    <n v="2000"/>
    <n v="30"/>
    <n v="60000"/>
    <m/>
  </r>
  <r>
    <x v="2"/>
    <s v="JUN"/>
    <x v="7"/>
    <s v="GRSM 4"/>
    <x v="0"/>
    <s v="GMM"/>
    <n v="103259"/>
    <n v="9013525"/>
    <x v="5"/>
    <x v="9"/>
    <s v="GORENG"/>
    <n v="2000"/>
    <n v="144"/>
    <n v="288000"/>
    <n v="155"/>
  </r>
  <r>
    <x v="2"/>
    <s v="JUN"/>
    <x v="7"/>
    <s v="GRSM 4"/>
    <x v="0"/>
    <s v="GMM"/>
    <n v="103259"/>
    <n v="9013525"/>
    <x v="5"/>
    <x v="14"/>
    <s v="BOLOGNESE"/>
    <n v="2000"/>
    <n v="48"/>
    <n v="96000"/>
    <m/>
  </r>
  <r>
    <x v="2"/>
    <s v="JUN"/>
    <x v="7"/>
    <s v="GRSM 4"/>
    <x v="0"/>
    <s v="GMM"/>
    <n v="103259"/>
    <n v="9013525"/>
    <x v="5"/>
    <x v="14"/>
    <s v="CARBONARA"/>
    <n v="2000"/>
    <n v="48"/>
    <n v="96000"/>
    <m/>
  </r>
  <r>
    <x v="2"/>
    <s v="JUN"/>
    <x v="7"/>
    <s v="GRSM 4"/>
    <x v="0"/>
    <s v="GMM"/>
    <n v="103259"/>
    <n v="9013525"/>
    <x v="5"/>
    <x v="14"/>
    <s v="AGLIO OLIO"/>
    <n v="2000"/>
    <n v="30"/>
    <n v="60000"/>
    <m/>
  </r>
  <r>
    <x v="2"/>
    <s v="JUN"/>
    <x v="7"/>
    <s v="GRSM 4"/>
    <x v="0"/>
    <s v="GMM"/>
    <n v="103259"/>
    <n v="9013525"/>
    <x v="5"/>
    <x v="14"/>
    <s v="GORENG"/>
    <n v="2000"/>
    <n v="153"/>
    <n v="306000"/>
    <n v="160"/>
  </r>
  <r>
    <x v="2"/>
    <s v="JUN"/>
    <x v="7"/>
    <s v="GRSM 4"/>
    <x v="0"/>
    <s v="GMM"/>
    <n v="189901"/>
    <n v="1602020"/>
    <x v="2"/>
    <x v="4"/>
    <s v="BOLOGNESE"/>
    <n v="2200"/>
    <n v="57"/>
    <n v="125400"/>
    <m/>
  </r>
  <r>
    <x v="2"/>
    <s v="JUN"/>
    <x v="7"/>
    <s v="GRSM 4"/>
    <x v="0"/>
    <s v="GMM"/>
    <n v="189901"/>
    <n v="1602020"/>
    <x v="2"/>
    <x v="4"/>
    <s v="CARBONARA"/>
    <n v="2200"/>
    <n v="108"/>
    <n v="237600"/>
    <m/>
  </r>
  <r>
    <x v="2"/>
    <s v="JUN"/>
    <x v="7"/>
    <s v="GRSM 4"/>
    <x v="0"/>
    <s v="GMM"/>
    <n v="189901"/>
    <n v="1602020"/>
    <x v="2"/>
    <x v="4"/>
    <s v="AGLIO OLIO"/>
    <n v="2200"/>
    <n v="36"/>
    <n v="79200"/>
    <m/>
  </r>
  <r>
    <x v="2"/>
    <s v="JUN"/>
    <x v="7"/>
    <s v="GRSM 4"/>
    <x v="0"/>
    <s v="GMM"/>
    <n v="103259"/>
    <n v="9029389"/>
    <x v="0"/>
    <x v="1"/>
    <s v="BOLOGNESE"/>
    <n v="2000"/>
    <n v="45"/>
    <n v="90000"/>
    <n v="160"/>
  </r>
  <r>
    <x v="2"/>
    <s v="JUN"/>
    <x v="7"/>
    <s v="GRSM 4"/>
    <x v="0"/>
    <s v="GMM"/>
    <n v="103259"/>
    <n v="9029389"/>
    <x v="0"/>
    <x v="1"/>
    <s v="CARBONARA"/>
    <n v="2000"/>
    <n v="63"/>
    <n v="126000"/>
    <m/>
  </r>
  <r>
    <x v="2"/>
    <s v="JUN"/>
    <x v="7"/>
    <s v="GRSM 4"/>
    <x v="0"/>
    <s v="GMM"/>
    <n v="103259"/>
    <n v="9029389"/>
    <x v="0"/>
    <x v="1"/>
    <s v="AGLIO OLIO"/>
    <n v="2000"/>
    <n v="45"/>
    <n v="90000"/>
    <m/>
  </r>
  <r>
    <x v="2"/>
    <s v="JUN"/>
    <x v="7"/>
    <s v="GRSM 4"/>
    <x v="0"/>
    <s v="GMM"/>
    <n v="103259"/>
    <n v="9029389"/>
    <x v="0"/>
    <x v="1"/>
    <s v="GORENG"/>
    <n v="2000"/>
    <n v="66"/>
    <n v="132000"/>
    <m/>
  </r>
  <r>
    <x v="2"/>
    <s v="JUN"/>
    <x v="7"/>
    <s v="GRSM 4"/>
    <x v="0"/>
    <s v="GMM"/>
    <n v="103259"/>
    <n v="9029389"/>
    <x v="0"/>
    <x v="15"/>
    <s v="BOLOGNESE"/>
    <n v="2000"/>
    <n v="51"/>
    <n v="102000"/>
    <n v="160"/>
  </r>
  <r>
    <x v="2"/>
    <s v="JUN"/>
    <x v="7"/>
    <s v="GRSM 4"/>
    <x v="0"/>
    <s v="GMM"/>
    <n v="103259"/>
    <n v="9029389"/>
    <x v="0"/>
    <x v="15"/>
    <s v="CARBONARA"/>
    <n v="2000"/>
    <n v="48"/>
    <n v="96000"/>
    <m/>
  </r>
  <r>
    <x v="2"/>
    <s v="JUN"/>
    <x v="7"/>
    <s v="GRSM 4"/>
    <x v="0"/>
    <s v="GMM"/>
    <n v="103259"/>
    <n v="9029389"/>
    <x v="0"/>
    <x v="15"/>
    <s v="AGLIO OLIO"/>
    <n v="2000"/>
    <n v="21"/>
    <n v="42000"/>
    <m/>
  </r>
  <r>
    <x v="2"/>
    <s v="JUN"/>
    <x v="7"/>
    <s v="GRSM 4"/>
    <x v="0"/>
    <s v="GMM"/>
    <n v="103259"/>
    <n v="9029389"/>
    <x v="0"/>
    <x v="15"/>
    <s v="GORENG"/>
    <n v="2000"/>
    <n v="87"/>
    <n v="174000"/>
    <m/>
  </r>
  <r>
    <x v="2"/>
    <s v="JUN"/>
    <x v="7"/>
    <s v="GRSM 4"/>
    <x v="0"/>
    <s v="GMM"/>
    <n v="103277"/>
    <n v="6300538"/>
    <x v="1"/>
    <x v="2"/>
    <s v="BOLOGNESE"/>
    <n v="2975"/>
    <n v="63"/>
    <n v="187425"/>
    <n v="160"/>
  </r>
  <r>
    <x v="2"/>
    <s v="JUN"/>
    <x v="8"/>
    <s v="GRSM 4"/>
    <x v="0"/>
    <s v="GMM"/>
    <n v="103277"/>
    <n v="6300538"/>
    <x v="1"/>
    <x v="2"/>
    <s v="CARBONARA"/>
    <n v="2975"/>
    <n v="71"/>
    <n v="211225"/>
    <m/>
  </r>
  <r>
    <x v="2"/>
    <s v="JUN"/>
    <x v="8"/>
    <s v="GRSM 4"/>
    <x v="0"/>
    <s v="GMM"/>
    <n v="103277"/>
    <n v="6300538"/>
    <x v="1"/>
    <x v="2"/>
    <s v="AGLIO OLIO"/>
    <n v="2975"/>
    <n v="44"/>
    <n v="130900"/>
    <m/>
  </r>
  <r>
    <x v="2"/>
    <s v="JUN"/>
    <x v="8"/>
    <s v="GRSM 4"/>
    <x v="0"/>
    <s v="GMM"/>
    <n v="103277"/>
    <n v="6300538"/>
    <x v="1"/>
    <x v="2"/>
    <s v="GORENG"/>
    <n v="2975"/>
    <n v="191"/>
    <n v="568225"/>
    <m/>
  </r>
  <r>
    <x v="2"/>
    <s v="JUN"/>
    <x v="8"/>
    <s v="GRSM 4"/>
    <x v="0"/>
    <s v="GMM"/>
    <n v="103277"/>
    <n v="6300538"/>
    <x v="1"/>
    <x v="3"/>
    <s v="BOLOGNESE"/>
    <n v="2975"/>
    <n v="59"/>
    <n v="175525"/>
    <n v="100"/>
  </r>
  <r>
    <x v="2"/>
    <s v="JUN"/>
    <x v="8"/>
    <s v="GRSM 4"/>
    <x v="0"/>
    <s v="GMM"/>
    <n v="103277"/>
    <n v="6300538"/>
    <x v="1"/>
    <x v="3"/>
    <s v="CARBONARA"/>
    <n v="2975"/>
    <n v="68"/>
    <n v="202300"/>
    <m/>
  </r>
  <r>
    <x v="2"/>
    <s v="JUN"/>
    <x v="8"/>
    <s v="GRSM 4"/>
    <x v="0"/>
    <s v="GMM"/>
    <n v="103277"/>
    <n v="6300538"/>
    <x v="1"/>
    <x v="3"/>
    <s v="AGLIO OLIO"/>
    <n v="2975"/>
    <n v="31"/>
    <n v="92225"/>
    <m/>
  </r>
  <r>
    <x v="2"/>
    <s v="JUN"/>
    <x v="8"/>
    <s v="GRSM 4"/>
    <x v="0"/>
    <s v="GMM"/>
    <n v="103277"/>
    <n v="6300538"/>
    <x v="1"/>
    <x v="3"/>
    <s v="GORENG"/>
    <n v="2975"/>
    <n v="171"/>
    <n v="508725"/>
    <m/>
  </r>
  <r>
    <x v="2"/>
    <s v="JUN"/>
    <x v="8"/>
    <s v="GRSM 4"/>
    <x v="0"/>
    <s v="GMM"/>
    <n v="103257"/>
    <n v="9162509"/>
    <x v="4"/>
    <x v="8"/>
    <s v="BOLOGNESE"/>
    <n v="3200"/>
    <n v="35"/>
    <n v="112000"/>
    <n v="100"/>
  </r>
  <r>
    <x v="2"/>
    <s v="JUN"/>
    <x v="8"/>
    <s v="GRSM 4"/>
    <x v="0"/>
    <s v="GMM"/>
    <n v="103257"/>
    <n v="9162509"/>
    <x v="4"/>
    <x v="8"/>
    <s v="CARBONARA"/>
    <n v="3200"/>
    <n v="42"/>
    <n v="134400"/>
    <m/>
  </r>
  <r>
    <x v="2"/>
    <s v="JUN"/>
    <x v="8"/>
    <s v="GRSM 4"/>
    <x v="0"/>
    <s v="GMM"/>
    <n v="103257"/>
    <n v="9162509"/>
    <x v="4"/>
    <x v="8"/>
    <s v="AGLIO OLIO"/>
    <n v="3200"/>
    <n v="38"/>
    <n v="121600"/>
    <m/>
  </r>
  <r>
    <x v="2"/>
    <s v="JUN"/>
    <x v="8"/>
    <s v="GRSM 4"/>
    <x v="0"/>
    <s v="GMM"/>
    <n v="103257"/>
    <n v="9162509"/>
    <x v="4"/>
    <x v="8"/>
    <s v="GORENG"/>
    <n v="3200"/>
    <n v="120"/>
    <n v="384000"/>
    <m/>
  </r>
  <r>
    <x v="2"/>
    <s v="JUN"/>
    <x v="8"/>
    <s v="GRSM 4"/>
    <x v="0"/>
    <s v="GMM"/>
    <n v="103257"/>
    <n v="9162509"/>
    <x v="4"/>
    <x v="7"/>
    <s v="BOLOGNESE"/>
    <n v="3200"/>
    <n v="40"/>
    <n v="128000"/>
    <n v="160"/>
  </r>
  <r>
    <x v="2"/>
    <s v="JUN"/>
    <x v="8"/>
    <s v="GRSM 4"/>
    <x v="0"/>
    <s v="GMM"/>
    <n v="103257"/>
    <n v="9162509"/>
    <x v="4"/>
    <x v="7"/>
    <s v="CARBONARA"/>
    <n v="3200"/>
    <n v="45"/>
    <n v="144000"/>
    <m/>
  </r>
  <r>
    <x v="2"/>
    <s v="JUN"/>
    <x v="8"/>
    <s v="GRSM 4"/>
    <x v="0"/>
    <s v="GMM"/>
    <n v="103257"/>
    <n v="9162509"/>
    <x v="4"/>
    <x v="7"/>
    <s v="AGLIO OLIO"/>
    <n v="3200"/>
    <n v="43"/>
    <n v="137600"/>
    <m/>
  </r>
  <r>
    <x v="2"/>
    <s v="JUN"/>
    <x v="8"/>
    <s v="GRSM 4"/>
    <x v="0"/>
    <s v="GMM"/>
    <n v="103257"/>
    <n v="9162509"/>
    <x v="4"/>
    <x v="7"/>
    <s v="GORENG"/>
    <n v="3200"/>
    <n v="124"/>
    <n v="396800"/>
    <m/>
  </r>
  <r>
    <x v="2"/>
    <s v="JUN"/>
    <x v="8"/>
    <s v="GRSM 4"/>
    <x v="0"/>
    <s v="GMM"/>
    <n v="103259"/>
    <n v="9029389"/>
    <x v="0"/>
    <x v="1"/>
    <s v="BOLOGNESE"/>
    <n v="2000"/>
    <n v="66"/>
    <n v="132000"/>
    <n v="160"/>
  </r>
  <r>
    <x v="2"/>
    <s v="JUN"/>
    <x v="8"/>
    <s v="GRSM 4"/>
    <x v="0"/>
    <s v="GMM"/>
    <n v="103259"/>
    <n v="9029389"/>
    <x v="0"/>
    <x v="1"/>
    <s v="CARBONARA"/>
    <n v="2000"/>
    <n v="60"/>
    <n v="120000"/>
    <m/>
  </r>
  <r>
    <x v="2"/>
    <s v="JUN"/>
    <x v="8"/>
    <s v="GRSM 4"/>
    <x v="0"/>
    <s v="GMM"/>
    <n v="103259"/>
    <n v="9029389"/>
    <x v="0"/>
    <x v="1"/>
    <s v="AGLIO OLIO"/>
    <n v="2000"/>
    <n v="21"/>
    <n v="42000"/>
    <m/>
  </r>
  <r>
    <x v="2"/>
    <s v="JUN"/>
    <x v="8"/>
    <s v="GRSM 4"/>
    <x v="0"/>
    <s v="GMM"/>
    <n v="103259"/>
    <n v="9029389"/>
    <x v="0"/>
    <x v="1"/>
    <s v="GORENG"/>
    <n v="2000"/>
    <n v="102"/>
    <n v="204000"/>
    <m/>
  </r>
  <r>
    <x v="2"/>
    <s v="JUN"/>
    <x v="8"/>
    <s v="GRSM 4"/>
    <x v="0"/>
    <s v="GMM"/>
    <n v="103259"/>
    <n v="9029389"/>
    <x v="0"/>
    <x v="15"/>
    <s v="BOLOGNESE"/>
    <n v="2000"/>
    <n v="72"/>
    <n v="144000"/>
    <n v="160"/>
  </r>
  <r>
    <x v="2"/>
    <s v="JUN"/>
    <x v="8"/>
    <s v="GRSM 4"/>
    <x v="0"/>
    <s v="GMM"/>
    <n v="103259"/>
    <n v="9029389"/>
    <x v="0"/>
    <x v="15"/>
    <s v="CARBONARA"/>
    <n v="2000"/>
    <n v="54"/>
    <n v="108000"/>
    <m/>
  </r>
  <r>
    <x v="2"/>
    <s v="JUN"/>
    <x v="8"/>
    <s v="GRSM 4"/>
    <x v="0"/>
    <s v="GMM"/>
    <n v="103259"/>
    <n v="9029389"/>
    <x v="0"/>
    <x v="15"/>
    <s v="AGLIO OLIO"/>
    <n v="2000"/>
    <n v="45"/>
    <n v="90000"/>
    <m/>
  </r>
  <r>
    <x v="2"/>
    <s v="JUN"/>
    <x v="8"/>
    <s v="GRSM 4"/>
    <x v="0"/>
    <s v="GMM"/>
    <n v="103259"/>
    <n v="9029389"/>
    <x v="0"/>
    <x v="15"/>
    <s v="GORENG"/>
    <n v="2000"/>
    <n v="141"/>
    <n v="282000"/>
    <m/>
  </r>
  <r>
    <x v="2"/>
    <s v="JUN"/>
    <x v="8"/>
    <s v="GRSM 3A"/>
    <x v="0"/>
    <s v="GMM"/>
    <n v="103272"/>
    <n v="1178"/>
    <x v="3"/>
    <x v="11"/>
    <s v="BOLOGNESE"/>
    <n v="3145"/>
    <n v="30"/>
    <n v="94350"/>
    <n v="160"/>
  </r>
  <r>
    <x v="2"/>
    <s v="JUN"/>
    <x v="8"/>
    <s v="GRSM 3A"/>
    <x v="0"/>
    <s v="GMM"/>
    <n v="103272"/>
    <n v="1178"/>
    <x v="3"/>
    <x v="11"/>
    <s v="CARBONARA"/>
    <n v="3145"/>
    <n v="23"/>
    <n v="72335"/>
    <m/>
  </r>
  <r>
    <x v="2"/>
    <s v="JUN"/>
    <x v="8"/>
    <s v="GRSM 3A"/>
    <x v="0"/>
    <s v="GMM"/>
    <n v="103272"/>
    <n v="1178"/>
    <x v="3"/>
    <x v="11"/>
    <s v="AGLIO OLIO"/>
    <n v="3145"/>
    <n v="6"/>
    <n v="18870"/>
    <m/>
  </r>
  <r>
    <x v="2"/>
    <s v="JUN"/>
    <x v="8"/>
    <s v="GRSM 3A"/>
    <x v="0"/>
    <s v="GMM"/>
    <n v="103272"/>
    <n v="1178"/>
    <x v="3"/>
    <x v="11"/>
    <s v="GORENG"/>
    <n v="3145"/>
    <n v="60"/>
    <n v="188700"/>
    <m/>
  </r>
  <r>
    <x v="2"/>
    <s v="JUN"/>
    <x v="8"/>
    <s v="GRSM 3A"/>
    <x v="0"/>
    <s v="GMM"/>
    <n v="103272"/>
    <n v="1178"/>
    <x v="3"/>
    <x v="6"/>
    <s v="BOLOGNESE"/>
    <n v="3145"/>
    <n v="30"/>
    <n v="94350"/>
    <n v="160"/>
  </r>
  <r>
    <x v="2"/>
    <s v="JUN"/>
    <x v="8"/>
    <s v="GRSM 3A"/>
    <x v="0"/>
    <s v="GMM"/>
    <n v="103272"/>
    <n v="1178"/>
    <x v="3"/>
    <x v="6"/>
    <s v="CARBONARA"/>
    <n v="3145"/>
    <n v="23"/>
    <n v="72335"/>
    <m/>
  </r>
  <r>
    <x v="2"/>
    <s v="JUN"/>
    <x v="8"/>
    <s v="GRSM 3A"/>
    <x v="0"/>
    <s v="GMM"/>
    <n v="103272"/>
    <n v="1178"/>
    <x v="3"/>
    <x v="6"/>
    <s v="AGLIO OLIO"/>
    <n v="3145"/>
    <n v="6"/>
    <n v="18870"/>
    <m/>
  </r>
  <r>
    <x v="2"/>
    <s v="JUN"/>
    <x v="8"/>
    <s v="GRSM 3A"/>
    <x v="0"/>
    <s v="GMM"/>
    <n v="103272"/>
    <n v="1178"/>
    <x v="3"/>
    <x v="6"/>
    <s v="GORENG"/>
    <n v="3145"/>
    <n v="60"/>
    <n v="188700"/>
    <m/>
  </r>
  <r>
    <x v="2"/>
    <s v="JUN"/>
    <x v="8"/>
    <s v="GRSM 4"/>
    <x v="0"/>
    <s v="GMM"/>
    <n v="103259"/>
    <n v="9013525"/>
    <x v="5"/>
    <x v="9"/>
    <s v="BOLOGNESE"/>
    <n v="2000"/>
    <n v="60"/>
    <n v="120000"/>
    <n v="160"/>
  </r>
  <r>
    <x v="2"/>
    <s v="JUN"/>
    <x v="8"/>
    <s v="GRSM 4"/>
    <x v="0"/>
    <s v="GMM"/>
    <n v="103259"/>
    <n v="9013525"/>
    <x v="5"/>
    <x v="9"/>
    <s v="CARBONARA"/>
    <n v="2000"/>
    <n v="60"/>
    <n v="120000"/>
    <m/>
  </r>
  <r>
    <x v="2"/>
    <s v="JUN"/>
    <x v="8"/>
    <s v="GRSM 4"/>
    <x v="0"/>
    <s v="GMM"/>
    <n v="103259"/>
    <n v="9013525"/>
    <x v="5"/>
    <x v="9"/>
    <s v="AGLIO OLIO"/>
    <n v="2000"/>
    <n v="60"/>
    <n v="120000"/>
    <m/>
  </r>
  <r>
    <x v="2"/>
    <s v="JUN"/>
    <x v="8"/>
    <s v="GRSM 4"/>
    <x v="0"/>
    <s v="GMM"/>
    <n v="103259"/>
    <n v="9013525"/>
    <x v="5"/>
    <x v="9"/>
    <s v="GORENG"/>
    <n v="2000"/>
    <n v="180"/>
    <n v="360000"/>
    <m/>
  </r>
  <r>
    <x v="2"/>
    <s v="JUN"/>
    <x v="8"/>
    <s v="GRSM 4"/>
    <x v="0"/>
    <s v="GMM"/>
    <n v="103259"/>
    <n v="9013525"/>
    <x v="5"/>
    <x v="14"/>
    <s v="BOLOGNESE"/>
    <n v="2000"/>
    <n v="60"/>
    <n v="120000"/>
    <n v="160"/>
  </r>
  <r>
    <x v="2"/>
    <s v="JUN"/>
    <x v="8"/>
    <s v="GRSM 4"/>
    <x v="0"/>
    <s v="GMM"/>
    <n v="103259"/>
    <n v="9013525"/>
    <x v="5"/>
    <x v="14"/>
    <s v="CARBONARA"/>
    <n v="2000"/>
    <n v="48"/>
    <n v="96000"/>
    <m/>
  </r>
  <r>
    <x v="2"/>
    <s v="JUN"/>
    <x v="8"/>
    <s v="GRSM 4"/>
    <x v="0"/>
    <s v="GMM"/>
    <n v="103259"/>
    <n v="9013525"/>
    <x v="5"/>
    <x v="14"/>
    <s v="AGLIO OLIO"/>
    <n v="2000"/>
    <n v="36"/>
    <n v="72000"/>
    <m/>
  </r>
  <r>
    <x v="2"/>
    <s v="JUN"/>
    <x v="8"/>
    <s v="GRSM 4"/>
    <x v="0"/>
    <s v="GMM"/>
    <n v="103259"/>
    <n v="9013525"/>
    <x v="5"/>
    <x v="14"/>
    <s v="GORENG"/>
    <n v="2000"/>
    <n v="180"/>
    <n v="360000"/>
    <m/>
  </r>
  <r>
    <x v="2"/>
    <s v="JUN"/>
    <x v="8"/>
    <s v="GRSM 4"/>
    <x v="0"/>
    <s v="GMM"/>
    <n v="103257"/>
    <n v="9162509"/>
    <x v="4"/>
    <x v="7"/>
    <s v="BOLOGNESE"/>
    <n v="3200"/>
    <n v="80"/>
    <n v="256000"/>
    <n v="160"/>
  </r>
  <r>
    <x v="2"/>
    <s v="JUN"/>
    <x v="9"/>
    <s v="GRSM 4"/>
    <x v="0"/>
    <s v="GMM"/>
    <n v="103257"/>
    <n v="9162509"/>
    <x v="4"/>
    <x v="7"/>
    <s v="CARBONARA"/>
    <n v="3200"/>
    <n v="47"/>
    <n v="150400"/>
    <m/>
  </r>
  <r>
    <x v="2"/>
    <s v="JUN"/>
    <x v="9"/>
    <s v="GRSM 4"/>
    <x v="0"/>
    <s v="GMM"/>
    <n v="103257"/>
    <n v="9162509"/>
    <x v="4"/>
    <x v="7"/>
    <s v="AGLIO OLIO"/>
    <n v="3200"/>
    <n v="55"/>
    <n v="176000"/>
    <m/>
  </r>
  <r>
    <x v="2"/>
    <s v="JUN"/>
    <x v="9"/>
    <s v="GRSM 4"/>
    <x v="0"/>
    <s v="GMM"/>
    <n v="103257"/>
    <n v="9162509"/>
    <x v="4"/>
    <x v="7"/>
    <s v="GORENG"/>
    <n v="3200"/>
    <n v="182"/>
    <n v="582400"/>
    <m/>
  </r>
  <r>
    <x v="2"/>
    <s v="JUN"/>
    <x v="9"/>
    <s v="GRSM 4"/>
    <x v="0"/>
    <s v="GMM"/>
    <n v="103257"/>
    <n v="9162509"/>
    <x v="4"/>
    <x v="8"/>
    <s v="BOLOGNESE"/>
    <n v="3200"/>
    <n v="72"/>
    <n v="230400"/>
    <n v="160"/>
  </r>
  <r>
    <x v="2"/>
    <s v="JUN"/>
    <x v="9"/>
    <s v="GRSM 4"/>
    <x v="0"/>
    <s v="GMM"/>
    <n v="103257"/>
    <n v="9162509"/>
    <x v="4"/>
    <x v="8"/>
    <s v="CARBONARA"/>
    <n v="3200"/>
    <n v="39"/>
    <n v="124800"/>
    <m/>
  </r>
  <r>
    <x v="2"/>
    <s v="JUN"/>
    <x v="9"/>
    <s v="GRSM 4"/>
    <x v="0"/>
    <s v="GMM"/>
    <n v="103257"/>
    <n v="9162509"/>
    <x v="4"/>
    <x v="8"/>
    <s v="AGLIO OLIO"/>
    <n v="3200"/>
    <n v="51"/>
    <n v="163200"/>
    <m/>
  </r>
  <r>
    <x v="2"/>
    <s v="JUN"/>
    <x v="9"/>
    <s v="GRSM 4"/>
    <x v="0"/>
    <s v="GMM"/>
    <n v="103257"/>
    <n v="9162509"/>
    <x v="4"/>
    <x v="8"/>
    <s v="GORENG"/>
    <n v="3200"/>
    <n v="150"/>
    <n v="480000"/>
    <m/>
  </r>
  <r>
    <x v="2"/>
    <s v="JUN"/>
    <x v="9"/>
    <s v="GRSM 4"/>
    <x v="0"/>
    <s v="GMM"/>
    <n v="103277"/>
    <n v="6300538"/>
    <x v="1"/>
    <x v="2"/>
    <s v="BOLOGNESE"/>
    <n v="2975"/>
    <n v="65"/>
    <n v="193375"/>
    <n v="160"/>
  </r>
  <r>
    <x v="2"/>
    <s v="JUN"/>
    <x v="9"/>
    <s v="GRSM 4"/>
    <x v="0"/>
    <s v="GMM"/>
    <n v="103277"/>
    <n v="6300538"/>
    <x v="1"/>
    <x v="2"/>
    <s v="CARBONARA"/>
    <n v="2975"/>
    <n v="75"/>
    <n v="223125"/>
    <m/>
  </r>
  <r>
    <x v="2"/>
    <s v="JUN"/>
    <x v="9"/>
    <s v="GRSM 4"/>
    <x v="0"/>
    <s v="GMM"/>
    <n v="103277"/>
    <n v="6300538"/>
    <x v="1"/>
    <x v="2"/>
    <s v="AGLIO OLIO"/>
    <n v="2975"/>
    <n v="48"/>
    <n v="142800"/>
    <m/>
  </r>
  <r>
    <x v="2"/>
    <s v="JUN"/>
    <x v="9"/>
    <s v="GRSM 4"/>
    <x v="0"/>
    <s v="GMM"/>
    <n v="103277"/>
    <n v="6300538"/>
    <x v="1"/>
    <x v="2"/>
    <s v="GORENG"/>
    <n v="2975"/>
    <n v="194"/>
    <n v="577150"/>
    <m/>
  </r>
  <r>
    <x v="2"/>
    <s v="JUN"/>
    <x v="9"/>
    <s v="GRSM 4"/>
    <x v="0"/>
    <s v="GMM"/>
    <n v="103277"/>
    <n v="6300538"/>
    <x v="1"/>
    <x v="3"/>
    <s v="BOLOGNESE"/>
    <n v="2975"/>
    <n v="50"/>
    <n v="148750"/>
    <m/>
  </r>
  <r>
    <x v="2"/>
    <s v="JUN"/>
    <x v="9"/>
    <s v="GRSM 4"/>
    <x v="0"/>
    <s v="GMM"/>
    <n v="103277"/>
    <n v="6300538"/>
    <x v="1"/>
    <x v="3"/>
    <s v="CARBONARA"/>
    <n v="2975"/>
    <n v="66"/>
    <n v="196350"/>
    <m/>
  </r>
  <r>
    <x v="2"/>
    <s v="JUN"/>
    <x v="9"/>
    <s v="GRSM 4"/>
    <x v="0"/>
    <s v="GMM"/>
    <n v="103277"/>
    <n v="6300538"/>
    <x v="1"/>
    <x v="3"/>
    <s v="AGLIO OLIO"/>
    <n v="2975"/>
    <n v="53"/>
    <n v="157675"/>
    <m/>
  </r>
  <r>
    <x v="2"/>
    <s v="JUN"/>
    <x v="9"/>
    <s v="GRSM 4"/>
    <x v="0"/>
    <s v="GMM"/>
    <n v="103277"/>
    <n v="6300538"/>
    <x v="1"/>
    <x v="3"/>
    <s v="GORENG"/>
    <n v="2975"/>
    <n v="189"/>
    <n v="562275"/>
    <m/>
  </r>
  <r>
    <x v="2"/>
    <s v="JUN"/>
    <x v="9"/>
    <s v="GRSM 4"/>
    <x v="0"/>
    <s v="GMM"/>
    <n v="103259"/>
    <n v="9029389"/>
    <x v="0"/>
    <x v="1"/>
    <s v="BOLOGNESE"/>
    <n v="2000"/>
    <n v="78"/>
    <n v="156000"/>
    <m/>
  </r>
  <r>
    <x v="2"/>
    <s v="JUN"/>
    <x v="9"/>
    <s v="GRSM 4"/>
    <x v="0"/>
    <s v="GMM"/>
    <n v="103259"/>
    <n v="9029389"/>
    <x v="0"/>
    <x v="1"/>
    <s v="CARBONARA"/>
    <n v="2000"/>
    <n v="72"/>
    <n v="144000"/>
    <m/>
  </r>
  <r>
    <x v="2"/>
    <s v="JUN"/>
    <x v="9"/>
    <s v="GRSM 4"/>
    <x v="0"/>
    <s v="GMM"/>
    <n v="103259"/>
    <n v="9029389"/>
    <x v="0"/>
    <x v="1"/>
    <s v="AGLIO OLIO"/>
    <n v="2000"/>
    <n v="33"/>
    <n v="66000"/>
    <m/>
  </r>
  <r>
    <x v="2"/>
    <s v="JUN"/>
    <x v="9"/>
    <s v="GRSM 4"/>
    <x v="0"/>
    <s v="GMM"/>
    <n v="103259"/>
    <n v="9029389"/>
    <x v="0"/>
    <x v="1"/>
    <s v="GORENG"/>
    <n v="2000"/>
    <n v="93"/>
    <n v="186000"/>
    <m/>
  </r>
  <r>
    <x v="2"/>
    <s v="JUN"/>
    <x v="9"/>
    <s v="GRSM 4"/>
    <x v="0"/>
    <s v="GMM"/>
    <n v="103259"/>
    <n v="9029389"/>
    <x v="0"/>
    <x v="15"/>
    <s v="BOLOGNESE"/>
    <n v="2000"/>
    <n v="48"/>
    <n v="96000"/>
    <n v="120"/>
  </r>
  <r>
    <x v="2"/>
    <s v="JUN"/>
    <x v="9"/>
    <s v="GRSM 4"/>
    <x v="0"/>
    <s v="GMM"/>
    <n v="103259"/>
    <n v="9029389"/>
    <x v="0"/>
    <x v="15"/>
    <s v="CARBONARA"/>
    <n v="2000"/>
    <n v="60"/>
    <n v="120000"/>
    <m/>
  </r>
  <r>
    <x v="2"/>
    <s v="JUN"/>
    <x v="9"/>
    <s v="GRSM 4"/>
    <x v="0"/>
    <s v="GMM"/>
    <n v="103259"/>
    <n v="9029389"/>
    <x v="0"/>
    <x v="15"/>
    <s v="AGLIO OLIO"/>
    <n v="2000"/>
    <n v="48"/>
    <n v="96000"/>
    <m/>
  </r>
  <r>
    <x v="2"/>
    <s v="JUN"/>
    <x v="9"/>
    <s v="GRSM 4"/>
    <x v="0"/>
    <s v="GMM"/>
    <n v="103259"/>
    <n v="9029389"/>
    <x v="0"/>
    <x v="15"/>
    <s v="GORENG"/>
    <n v="2000"/>
    <n v="57"/>
    <n v="114000"/>
    <n v="120"/>
  </r>
  <r>
    <x v="2"/>
    <s v="JUN"/>
    <x v="9"/>
    <s v="GRSM 4"/>
    <x v="0"/>
    <s v="GMM"/>
    <n v="103259"/>
    <n v="9013525"/>
    <x v="5"/>
    <x v="9"/>
    <s v="BOLOGNESE"/>
    <n v="2000"/>
    <n v="72"/>
    <n v="144000"/>
    <m/>
  </r>
  <r>
    <x v="2"/>
    <s v="JUN"/>
    <x v="9"/>
    <s v="GRSM 4"/>
    <x v="0"/>
    <s v="GMM"/>
    <n v="103259"/>
    <n v="9013525"/>
    <x v="5"/>
    <x v="9"/>
    <s v="CARBONARA"/>
    <n v="2000"/>
    <n v="60"/>
    <n v="120000"/>
    <m/>
  </r>
  <r>
    <x v="2"/>
    <s v="JUN"/>
    <x v="9"/>
    <s v="GRSM 4"/>
    <x v="0"/>
    <s v="GMM"/>
    <n v="103259"/>
    <n v="9013525"/>
    <x v="5"/>
    <x v="9"/>
    <s v="AGLIO OLIO"/>
    <n v="2000"/>
    <n v="36"/>
    <n v="72000"/>
    <m/>
  </r>
  <r>
    <x v="2"/>
    <s v="JUN"/>
    <x v="9"/>
    <s v="GRSM 4"/>
    <x v="0"/>
    <s v="GMM"/>
    <n v="103259"/>
    <n v="9013525"/>
    <x v="5"/>
    <x v="9"/>
    <s v="GORENG"/>
    <n v="2000"/>
    <n v="204"/>
    <n v="408000"/>
    <n v="160"/>
  </r>
  <r>
    <x v="2"/>
    <s v="JUN"/>
    <x v="9"/>
    <s v="GRSM 4"/>
    <x v="0"/>
    <s v="GMM"/>
    <n v="103259"/>
    <n v="9013525"/>
    <x v="5"/>
    <x v="14"/>
    <s v="BOLOGNESE"/>
    <n v="2000"/>
    <n v="60"/>
    <n v="120000"/>
    <m/>
  </r>
  <r>
    <x v="2"/>
    <s v="JUN"/>
    <x v="9"/>
    <s v="GRSM 4"/>
    <x v="0"/>
    <s v="GMM"/>
    <n v="103259"/>
    <n v="9013525"/>
    <x v="5"/>
    <x v="14"/>
    <s v="CARBONARA"/>
    <n v="2000"/>
    <n v="60"/>
    <n v="120000"/>
    <m/>
  </r>
  <r>
    <x v="2"/>
    <s v="JUN"/>
    <x v="9"/>
    <s v="GRSM 4"/>
    <x v="0"/>
    <s v="GMM"/>
    <n v="103259"/>
    <n v="9013525"/>
    <x v="5"/>
    <x v="14"/>
    <s v="AGLIO OLIO"/>
    <n v="2000"/>
    <n v="60"/>
    <n v="120000"/>
    <m/>
  </r>
  <r>
    <x v="2"/>
    <s v="JUN"/>
    <x v="9"/>
    <s v="GRSM 4"/>
    <x v="0"/>
    <s v="GMM"/>
    <n v="103259"/>
    <n v="9013525"/>
    <x v="5"/>
    <x v="14"/>
    <s v="GORENG"/>
    <n v="2000"/>
    <n v="180"/>
    <n v="360000"/>
    <n v="160"/>
  </r>
  <r>
    <x v="2"/>
    <s v="JUN"/>
    <x v="9"/>
    <s v="GRSM 4"/>
    <x v="0"/>
    <s v="GMM"/>
    <n v="189901"/>
    <n v="1602020"/>
    <x v="2"/>
    <x v="5"/>
    <s v="BOLOGNESE"/>
    <n v="2200"/>
    <n v="51"/>
    <n v="112200"/>
    <m/>
  </r>
  <r>
    <x v="2"/>
    <s v="JUN"/>
    <x v="7"/>
    <s v="GRSM 4"/>
    <x v="0"/>
    <s v="GMM"/>
    <n v="189901"/>
    <n v="1602020"/>
    <x v="2"/>
    <x v="5"/>
    <s v="CARBONARA"/>
    <n v="2200"/>
    <n v="125"/>
    <n v="275000"/>
    <m/>
  </r>
  <r>
    <x v="2"/>
    <s v="JUN"/>
    <x v="7"/>
    <s v="GRSM 4"/>
    <x v="0"/>
    <s v="GMM"/>
    <n v="189901"/>
    <n v="1602020"/>
    <x v="2"/>
    <x v="5"/>
    <s v="AGLIO OLIO"/>
    <n v="2200"/>
    <n v="49"/>
    <n v="107800"/>
    <n v="160"/>
  </r>
  <r>
    <x v="2"/>
    <s v="JUN"/>
    <x v="7"/>
    <s v="GRSM 4"/>
    <x v="0"/>
    <s v="GMM"/>
    <n v="189901"/>
    <n v="1602020"/>
    <x v="2"/>
    <x v="4"/>
    <s v="BOLOGNESE"/>
    <n v="2200"/>
    <n v="73"/>
    <n v="160600"/>
    <m/>
  </r>
  <r>
    <x v="2"/>
    <s v="JUN"/>
    <x v="8"/>
    <s v="GRSM 4"/>
    <x v="0"/>
    <s v="GMM"/>
    <n v="189901"/>
    <n v="1602020"/>
    <x v="2"/>
    <x v="4"/>
    <s v="CARBONARA"/>
    <n v="2200"/>
    <n v="106"/>
    <n v="233200"/>
    <m/>
  </r>
  <r>
    <x v="2"/>
    <s v="JUN"/>
    <x v="8"/>
    <s v="GRSM 4"/>
    <x v="0"/>
    <s v="GMM"/>
    <n v="189901"/>
    <n v="1602020"/>
    <x v="2"/>
    <x v="4"/>
    <s v="AGLIO OLIO"/>
    <n v="2200"/>
    <n v="39"/>
    <n v="85800"/>
    <m/>
  </r>
  <r>
    <x v="2"/>
    <s v="JUN"/>
    <x v="8"/>
    <s v="GRSM 4"/>
    <x v="0"/>
    <s v="GMM"/>
    <n v="189901"/>
    <n v="1602020"/>
    <x v="2"/>
    <x v="5"/>
    <s v="BOLOGNESE"/>
    <n v="2200"/>
    <n v="67"/>
    <n v="147400"/>
    <n v="160"/>
  </r>
  <r>
    <x v="2"/>
    <s v="JUN"/>
    <x v="8"/>
    <s v="GRSM 4"/>
    <x v="0"/>
    <s v="GMM"/>
    <n v="189901"/>
    <n v="1602020"/>
    <x v="2"/>
    <x v="5"/>
    <s v="CARBONARA"/>
    <n v="2200"/>
    <n v="98"/>
    <n v="215600"/>
    <m/>
  </r>
  <r>
    <x v="2"/>
    <s v="JUN"/>
    <x v="8"/>
    <s v="GRSM 4"/>
    <x v="0"/>
    <s v="GMM"/>
    <n v="189901"/>
    <n v="1602020"/>
    <x v="2"/>
    <x v="5"/>
    <s v="AGLIO OLIO"/>
    <n v="2200"/>
    <n v="45"/>
    <n v="99000"/>
    <m/>
  </r>
  <r>
    <x v="2"/>
    <s v="JUN"/>
    <x v="8"/>
    <s v="GRSM 4"/>
    <x v="0"/>
    <s v="GMM"/>
    <n v="189901"/>
    <n v="1602020"/>
    <x v="2"/>
    <x v="4"/>
    <s v="BOLOGNESE"/>
    <n v="2200"/>
    <n v="121"/>
    <n v="266200"/>
    <m/>
  </r>
  <r>
    <x v="2"/>
    <s v="JUN"/>
    <x v="9"/>
    <s v="GRSM 4"/>
    <x v="0"/>
    <s v="GMM"/>
    <n v="189901"/>
    <n v="1602020"/>
    <x v="2"/>
    <x v="4"/>
    <s v="CARBONARA"/>
    <n v="2200"/>
    <n v="85"/>
    <n v="187000"/>
    <n v="160"/>
  </r>
  <r>
    <x v="2"/>
    <s v="JUN"/>
    <x v="9"/>
    <s v="GRSM 4"/>
    <x v="0"/>
    <s v="GMM"/>
    <n v="189901"/>
    <n v="1602020"/>
    <x v="2"/>
    <x v="4"/>
    <s v="AGLIO OLIO"/>
    <n v="2200"/>
    <n v="31"/>
    <n v="68200"/>
    <m/>
  </r>
  <r>
    <x v="2"/>
    <s v="JUN"/>
    <x v="9"/>
    <s v="GRSM 4"/>
    <x v="0"/>
    <s v="GMM"/>
    <n v="189901"/>
    <n v="1602020"/>
    <x v="2"/>
    <x v="5"/>
    <s v="BOLOGNESE"/>
    <n v="2200"/>
    <n v="96"/>
    <n v="211200"/>
    <m/>
  </r>
  <r>
    <x v="2"/>
    <s v="JUN"/>
    <x v="9"/>
    <s v="GRSM 4"/>
    <x v="0"/>
    <s v="GMM"/>
    <n v="189901"/>
    <n v="1602020"/>
    <x v="2"/>
    <x v="5"/>
    <s v="CARBONARA"/>
    <n v="2200"/>
    <n v="117"/>
    <n v="257400"/>
    <m/>
  </r>
  <r>
    <x v="2"/>
    <s v="JUN"/>
    <x v="9"/>
    <s v="GRSM 4"/>
    <x v="0"/>
    <s v="GMM"/>
    <n v="189901"/>
    <n v="1602020"/>
    <x v="2"/>
    <x v="5"/>
    <s v="AGLIO OLIO"/>
    <n v="2200"/>
    <n v="24"/>
    <n v="52800"/>
    <n v="160"/>
  </r>
  <r>
    <x v="3"/>
    <s v="JUN"/>
    <x v="10"/>
    <s v="GRSM 3A"/>
    <x v="0"/>
    <s v="GMM"/>
    <n v="103272"/>
    <n v="1178"/>
    <x v="3"/>
    <x v="11"/>
    <s v="BOLOGNESE"/>
    <n v="3145"/>
    <n v="16"/>
    <n v="50320"/>
    <m/>
  </r>
  <r>
    <x v="2"/>
    <s v="JUN"/>
    <x v="7"/>
    <s v="GRSM 4"/>
    <x v="0"/>
    <s v="GMM"/>
    <n v="103277"/>
    <n v="6301424"/>
    <x v="6"/>
    <x v="12"/>
    <s v="CARBONARA"/>
    <n v="3000"/>
    <n v="10"/>
    <n v="30000"/>
    <m/>
  </r>
  <r>
    <x v="2"/>
    <s v="JUN"/>
    <x v="7"/>
    <s v="GRSM 4"/>
    <x v="0"/>
    <s v="GMM"/>
    <n v="103277"/>
    <n v="6301424"/>
    <x v="6"/>
    <x v="12"/>
    <s v="AGLIO OLIO"/>
    <n v="3000"/>
    <n v="10"/>
    <n v="30000"/>
    <m/>
  </r>
  <r>
    <x v="2"/>
    <s v="JUN"/>
    <x v="7"/>
    <s v="GRSM 4"/>
    <x v="0"/>
    <s v="GMM"/>
    <n v="103277"/>
    <n v="6301424"/>
    <x v="6"/>
    <x v="12"/>
    <s v="GORENG"/>
    <n v="3000"/>
    <n v="200"/>
    <n v="600000"/>
    <n v="120"/>
  </r>
  <r>
    <x v="2"/>
    <s v="JUN"/>
    <x v="7"/>
    <s v="GRSM 4"/>
    <x v="0"/>
    <s v="GMM"/>
    <n v="103277"/>
    <n v="6301424"/>
    <x v="6"/>
    <x v="13"/>
    <s v="BOLOGNESE"/>
    <n v="3000"/>
    <n v="20"/>
    <n v="60000"/>
    <m/>
  </r>
  <r>
    <x v="2"/>
    <s v="JUN"/>
    <x v="7"/>
    <s v="GRSM 4"/>
    <x v="0"/>
    <s v="GMM"/>
    <n v="103277"/>
    <n v="6301424"/>
    <x v="6"/>
    <x v="13"/>
    <s v="CARBONARA"/>
    <n v="3000"/>
    <n v="15"/>
    <n v="45000"/>
    <m/>
  </r>
  <r>
    <x v="2"/>
    <s v="JUN"/>
    <x v="7"/>
    <s v="GRSM 4"/>
    <x v="0"/>
    <s v="GMM"/>
    <n v="103277"/>
    <n v="6301424"/>
    <x v="6"/>
    <x v="13"/>
    <s v="AGLIO OLIO"/>
    <n v="3000"/>
    <n v="10"/>
    <n v="30000"/>
    <m/>
  </r>
  <r>
    <x v="2"/>
    <s v="JUN"/>
    <x v="7"/>
    <s v="GRSM 4"/>
    <x v="0"/>
    <s v="GMM"/>
    <n v="103277"/>
    <n v="6301424"/>
    <x v="6"/>
    <x v="13"/>
    <s v="GORENG"/>
    <n v="3000"/>
    <n v="200"/>
    <n v="600000"/>
    <n v="120"/>
  </r>
  <r>
    <x v="2"/>
    <s v="JUN"/>
    <x v="7"/>
    <s v="GRSM 4"/>
    <x v="0"/>
    <s v="GMM"/>
    <n v="103277"/>
    <n v="6301424"/>
    <x v="6"/>
    <x v="12"/>
    <s v="BOLOGNESE"/>
    <n v="3000"/>
    <n v="60"/>
    <n v="180000"/>
    <m/>
  </r>
  <r>
    <x v="2"/>
    <s v="JUN"/>
    <x v="8"/>
    <s v="GRSM 4"/>
    <x v="0"/>
    <s v="GMM"/>
    <n v="103277"/>
    <n v="6301424"/>
    <x v="6"/>
    <x v="12"/>
    <s v="CARBONARA"/>
    <n v="3000"/>
    <n v="95"/>
    <n v="285000"/>
    <m/>
  </r>
  <r>
    <x v="2"/>
    <s v="JUN"/>
    <x v="8"/>
    <s v="GRSM 4"/>
    <x v="0"/>
    <s v="GMM"/>
    <n v="103277"/>
    <n v="6301424"/>
    <x v="6"/>
    <x v="12"/>
    <s v="AGLIO OLIO"/>
    <n v="3000"/>
    <n v="25"/>
    <n v="75000"/>
    <m/>
  </r>
  <r>
    <x v="2"/>
    <s v="JUN"/>
    <x v="8"/>
    <s v="GRSM 4"/>
    <x v="0"/>
    <s v="GMM"/>
    <n v="103277"/>
    <n v="6301424"/>
    <x v="6"/>
    <x v="12"/>
    <s v="GORENG"/>
    <n v="3000"/>
    <n v="130"/>
    <n v="390000"/>
    <n v="120"/>
  </r>
  <r>
    <x v="2"/>
    <s v="JUN"/>
    <x v="8"/>
    <s v="GRSM 4"/>
    <x v="0"/>
    <s v="GMM"/>
    <n v="103277"/>
    <n v="6301424"/>
    <x v="6"/>
    <x v="13"/>
    <s v="BOLOGNESE"/>
    <n v="3000"/>
    <n v="64"/>
    <n v="192000"/>
    <m/>
  </r>
  <r>
    <x v="2"/>
    <s v="JUN"/>
    <x v="8"/>
    <s v="GRSM 4"/>
    <x v="0"/>
    <s v="GMM"/>
    <n v="103277"/>
    <n v="6301424"/>
    <x v="6"/>
    <x v="13"/>
    <s v="CARBONARA"/>
    <n v="3000"/>
    <n v="90"/>
    <n v="270000"/>
    <m/>
  </r>
  <r>
    <x v="2"/>
    <s v="JUN"/>
    <x v="8"/>
    <s v="GRSM 4"/>
    <x v="0"/>
    <s v="GMM"/>
    <n v="103277"/>
    <n v="6301424"/>
    <x v="6"/>
    <x v="13"/>
    <s v="AGLIO OLIO"/>
    <n v="3000"/>
    <n v="20"/>
    <n v="60000"/>
    <m/>
  </r>
  <r>
    <x v="2"/>
    <s v="JUN"/>
    <x v="8"/>
    <s v="GRSM 4"/>
    <x v="0"/>
    <s v="GMM"/>
    <n v="103277"/>
    <n v="6301424"/>
    <x v="6"/>
    <x v="13"/>
    <s v="GORENG"/>
    <n v="3000"/>
    <n v="120"/>
    <n v="360000"/>
    <n v="120"/>
  </r>
  <r>
    <x v="2"/>
    <s v="JUN"/>
    <x v="8"/>
    <s v="GRSM 4"/>
    <x v="0"/>
    <s v="GMM"/>
    <n v="103277"/>
    <n v="6301424"/>
    <x v="6"/>
    <x v="12"/>
    <s v="BOLOGNESE"/>
    <n v="3000"/>
    <n v="31"/>
    <n v="93000"/>
    <m/>
  </r>
  <r>
    <x v="2"/>
    <s v="JUN"/>
    <x v="9"/>
    <s v="GRSM 4"/>
    <x v="0"/>
    <s v="GMM"/>
    <n v="103277"/>
    <n v="6301424"/>
    <x v="6"/>
    <x v="12"/>
    <s v="CARBONARA"/>
    <n v="3000"/>
    <n v="80"/>
    <n v="240000"/>
    <m/>
  </r>
  <r>
    <x v="2"/>
    <s v="JUN"/>
    <x v="9"/>
    <s v="GRSM 4"/>
    <x v="0"/>
    <s v="GMM"/>
    <n v="103277"/>
    <n v="6301424"/>
    <x v="6"/>
    <x v="12"/>
    <s v="AGLIO OLIO"/>
    <n v="3000"/>
    <n v="20"/>
    <n v="60000"/>
    <m/>
  </r>
  <r>
    <x v="2"/>
    <s v="JUN"/>
    <x v="9"/>
    <s v="GRSM 4"/>
    <x v="0"/>
    <s v="GMM"/>
    <n v="103277"/>
    <n v="6301424"/>
    <x v="6"/>
    <x v="12"/>
    <s v="GORENG"/>
    <n v="3000"/>
    <n v="160"/>
    <n v="480000"/>
    <n v="120"/>
  </r>
  <r>
    <x v="2"/>
    <s v="JUN"/>
    <x v="9"/>
    <s v="GRSM 4"/>
    <x v="0"/>
    <s v="GMM"/>
    <n v="103277"/>
    <n v="6301424"/>
    <x v="6"/>
    <x v="13"/>
    <s v="BOLOGNESE"/>
    <n v="3000"/>
    <n v="35"/>
    <n v="105000"/>
    <m/>
  </r>
  <r>
    <x v="2"/>
    <s v="JUN"/>
    <x v="9"/>
    <s v="GRSM 4"/>
    <x v="0"/>
    <s v="GMM"/>
    <n v="103277"/>
    <n v="6301424"/>
    <x v="6"/>
    <x v="13"/>
    <s v="CARBONARA"/>
    <n v="3000"/>
    <n v="85"/>
    <n v="255000"/>
    <m/>
  </r>
  <r>
    <x v="2"/>
    <s v="JUN"/>
    <x v="9"/>
    <s v="GRSM 4"/>
    <x v="0"/>
    <s v="GMM"/>
    <n v="103277"/>
    <n v="6301424"/>
    <x v="6"/>
    <x v="13"/>
    <s v="AGLIO OLIO"/>
    <n v="3000"/>
    <n v="23"/>
    <n v="69000"/>
    <m/>
  </r>
  <r>
    <x v="2"/>
    <s v="JUN"/>
    <x v="9"/>
    <s v="GRSM 4"/>
    <x v="0"/>
    <s v="GMM"/>
    <n v="103277"/>
    <n v="6301424"/>
    <x v="6"/>
    <x v="13"/>
    <s v="GORENG"/>
    <n v="3000"/>
    <n v="152"/>
    <n v="456000"/>
    <n v="120"/>
  </r>
  <r>
    <x v="3"/>
    <s v="JUN"/>
    <x v="10"/>
    <s v="GRSM 3A"/>
    <x v="0"/>
    <s v="GMM"/>
    <n v="103272"/>
    <n v="1178"/>
    <x v="3"/>
    <x v="11"/>
    <s v="CARBONARA"/>
    <n v="3145"/>
    <n v="25"/>
    <n v="78625"/>
    <m/>
  </r>
  <r>
    <x v="3"/>
    <s v="JUN"/>
    <x v="10"/>
    <s v="GRSM 3A"/>
    <x v="0"/>
    <s v="GMM"/>
    <n v="103272"/>
    <n v="1178"/>
    <x v="3"/>
    <x v="11"/>
    <s v="AGLIO OLIO"/>
    <n v="3145"/>
    <n v="12"/>
    <n v="37740"/>
    <m/>
  </r>
  <r>
    <x v="3"/>
    <s v="JUN"/>
    <x v="10"/>
    <s v="GRSM 3A"/>
    <x v="0"/>
    <s v="GMM"/>
    <n v="103272"/>
    <n v="1178"/>
    <x v="3"/>
    <x v="11"/>
    <s v="GORENG"/>
    <n v="3145"/>
    <n v="45"/>
    <n v="141525"/>
    <n v="120"/>
  </r>
  <r>
    <x v="3"/>
    <s v="JUN"/>
    <x v="10"/>
    <s v="GRSM 3A"/>
    <x v="0"/>
    <s v="GMM"/>
    <n v="103272"/>
    <n v="1178"/>
    <x v="3"/>
    <x v="6"/>
    <s v="BOLOGNESE"/>
    <n v="3145"/>
    <n v="16"/>
    <n v="50320"/>
    <m/>
  </r>
  <r>
    <x v="3"/>
    <s v="JUN"/>
    <x v="10"/>
    <s v="GRSM 3A"/>
    <x v="0"/>
    <s v="GMM"/>
    <n v="103272"/>
    <n v="1178"/>
    <x v="3"/>
    <x v="6"/>
    <s v="CARBONARA"/>
    <n v="3145"/>
    <n v="25"/>
    <n v="78625"/>
    <m/>
  </r>
  <r>
    <x v="3"/>
    <s v="JUN"/>
    <x v="10"/>
    <s v="GRSM 3A"/>
    <x v="0"/>
    <s v="GMM"/>
    <n v="103272"/>
    <n v="1178"/>
    <x v="3"/>
    <x v="6"/>
    <s v="AGLIO OLIO"/>
    <n v="3145"/>
    <n v="12"/>
    <n v="37740"/>
    <m/>
  </r>
  <r>
    <x v="3"/>
    <s v="JUN"/>
    <x v="10"/>
    <s v="GRSM 3A"/>
    <x v="0"/>
    <s v="GMM"/>
    <n v="103272"/>
    <n v="1178"/>
    <x v="3"/>
    <x v="6"/>
    <s v="GORENG"/>
    <n v="3145"/>
    <n v="45"/>
    <n v="141525"/>
    <n v="120"/>
  </r>
  <r>
    <x v="3"/>
    <s v="JUN"/>
    <x v="11"/>
    <s v="GRSM 4"/>
    <x v="0"/>
    <s v="GMM"/>
    <n v="103259"/>
    <n v="9029389"/>
    <x v="0"/>
    <x v="1"/>
    <s v="BOLOGNESE"/>
    <n v="2000"/>
    <n v="45"/>
    <n v="90000"/>
    <m/>
  </r>
  <r>
    <x v="3"/>
    <s v="JUN"/>
    <x v="11"/>
    <s v="GRSM 4"/>
    <x v="0"/>
    <s v="GMM"/>
    <n v="103259"/>
    <n v="9029389"/>
    <x v="0"/>
    <x v="1"/>
    <s v="CARBONARA"/>
    <n v="2000"/>
    <n v="5"/>
    <n v="10000"/>
    <m/>
  </r>
  <r>
    <x v="3"/>
    <s v="JUN"/>
    <x v="11"/>
    <s v="GRSM 4"/>
    <x v="0"/>
    <s v="GMM"/>
    <n v="103259"/>
    <n v="9029389"/>
    <x v="0"/>
    <x v="1"/>
    <s v="AGLIO OLIO"/>
    <n v="2000"/>
    <n v="36"/>
    <n v="72000"/>
    <m/>
  </r>
  <r>
    <x v="3"/>
    <s v="JUN"/>
    <x v="11"/>
    <s v="GRSM 4"/>
    <x v="0"/>
    <s v="GMM"/>
    <n v="103259"/>
    <n v="9029389"/>
    <x v="0"/>
    <x v="1"/>
    <s v="GORENG"/>
    <n v="2000"/>
    <n v="123"/>
    <n v="246000"/>
    <n v="160"/>
  </r>
  <r>
    <x v="3"/>
    <s v="JUN"/>
    <x v="11"/>
    <s v="GRSM 4"/>
    <x v="0"/>
    <s v="GMM"/>
    <n v="103259"/>
    <n v="9029389"/>
    <x v="0"/>
    <x v="15"/>
    <s v="BOLOGNESE"/>
    <n v="2000"/>
    <n v="54"/>
    <n v="108000"/>
    <m/>
  </r>
  <r>
    <x v="3"/>
    <s v="JUN"/>
    <x v="11"/>
    <s v="GRSM 4"/>
    <x v="0"/>
    <s v="GMM"/>
    <n v="103259"/>
    <n v="9029389"/>
    <x v="0"/>
    <x v="15"/>
    <s v="CARBONARA"/>
    <n v="2000"/>
    <n v="63"/>
    <n v="126000"/>
    <m/>
  </r>
  <r>
    <x v="3"/>
    <s v="JUN"/>
    <x v="11"/>
    <s v="GRSM 4"/>
    <x v="0"/>
    <s v="GMM"/>
    <n v="103259"/>
    <n v="9029389"/>
    <x v="0"/>
    <x v="15"/>
    <s v="AGLIO OLIO"/>
    <n v="2000"/>
    <n v="27"/>
    <n v="54000"/>
    <m/>
  </r>
  <r>
    <x v="3"/>
    <s v="JUN"/>
    <x v="11"/>
    <s v="GRSM 4"/>
    <x v="0"/>
    <s v="GMM"/>
    <n v="103259"/>
    <n v="9029389"/>
    <x v="0"/>
    <x v="15"/>
    <s v="GORENG"/>
    <n v="2000"/>
    <n v="78"/>
    <n v="156000"/>
    <n v="160"/>
  </r>
  <r>
    <x v="3"/>
    <s v="JUN"/>
    <x v="11"/>
    <s v="GRSM 4"/>
    <x v="0"/>
    <s v="GMM"/>
    <n v="103259"/>
    <n v="9013525"/>
    <x v="5"/>
    <x v="9"/>
    <s v="BOLOGNESE"/>
    <n v="2000"/>
    <n v="60"/>
    <n v="120000"/>
    <m/>
  </r>
  <r>
    <x v="3"/>
    <s v="JUN"/>
    <x v="11"/>
    <s v="GRSM 4"/>
    <x v="0"/>
    <s v="GMM"/>
    <n v="103259"/>
    <n v="9013525"/>
    <x v="5"/>
    <x v="9"/>
    <s v="CARBONARA"/>
    <n v="2000"/>
    <n v="48"/>
    <n v="96000"/>
    <m/>
  </r>
  <r>
    <x v="3"/>
    <s v="JUN"/>
    <x v="11"/>
    <s v="GRSM 4"/>
    <x v="0"/>
    <s v="GMM"/>
    <n v="103259"/>
    <n v="9013525"/>
    <x v="5"/>
    <x v="9"/>
    <s v="AGLIO OLIO"/>
    <n v="2000"/>
    <n v="42"/>
    <n v="84000"/>
    <m/>
  </r>
  <r>
    <x v="3"/>
    <s v="JUN"/>
    <x v="11"/>
    <s v="GRSM 4"/>
    <x v="0"/>
    <s v="GMM"/>
    <n v="103259"/>
    <n v="9013525"/>
    <x v="5"/>
    <x v="9"/>
    <s v="GORENG"/>
    <n v="2000"/>
    <n v="120"/>
    <n v="240000"/>
    <n v="150"/>
  </r>
  <r>
    <x v="3"/>
    <s v="JUN"/>
    <x v="11"/>
    <s v="GRSM 4"/>
    <x v="0"/>
    <s v="GMM"/>
    <n v="103259"/>
    <n v="9013525"/>
    <x v="5"/>
    <x v="14"/>
    <s v="BOLOGNESE"/>
    <n v="2000"/>
    <n v="60"/>
    <n v="120000"/>
    <m/>
  </r>
  <r>
    <x v="3"/>
    <s v="JUN"/>
    <x v="11"/>
    <s v="GRSM 4"/>
    <x v="0"/>
    <s v="GMM"/>
    <n v="103259"/>
    <n v="9013525"/>
    <x v="5"/>
    <x v="14"/>
    <s v="CARBONARA"/>
    <n v="2000"/>
    <n v="48"/>
    <n v="96000"/>
    <m/>
  </r>
  <r>
    <x v="3"/>
    <s v="JUN"/>
    <x v="11"/>
    <s v="GRSM 4"/>
    <x v="0"/>
    <s v="GMM"/>
    <n v="103259"/>
    <n v="9013525"/>
    <x v="5"/>
    <x v="14"/>
    <s v="AGLIO OLIO"/>
    <n v="2000"/>
    <n v="42"/>
    <n v="84000"/>
    <m/>
  </r>
  <r>
    <x v="3"/>
    <s v="JUN"/>
    <x v="11"/>
    <s v="GRSM 4"/>
    <x v="0"/>
    <s v="GMM"/>
    <n v="103259"/>
    <n v="9013525"/>
    <x v="5"/>
    <x v="14"/>
    <s v="GORENG"/>
    <n v="2000"/>
    <n v="120"/>
    <n v="240000"/>
    <n v="150"/>
  </r>
  <r>
    <x v="3"/>
    <s v="JUN"/>
    <x v="11"/>
    <s v="GRSM 4"/>
    <x v="0"/>
    <s v="GMM"/>
    <n v="189901"/>
    <n v="1602020"/>
    <x v="2"/>
    <x v="4"/>
    <s v="BOLOGNESE"/>
    <n v="2200"/>
    <n v="42"/>
    <n v="92400"/>
    <m/>
  </r>
  <r>
    <x v="3"/>
    <s v="JUN"/>
    <x v="11"/>
    <s v="GRSM 4"/>
    <x v="0"/>
    <s v="GMM"/>
    <n v="189901"/>
    <n v="1602020"/>
    <x v="2"/>
    <x v="4"/>
    <s v="CARBONARA"/>
    <n v="2200"/>
    <n v="71"/>
    <n v="156200"/>
    <m/>
  </r>
  <r>
    <x v="3"/>
    <s v="JUN"/>
    <x v="11"/>
    <s v="GRSM 4"/>
    <x v="0"/>
    <s v="GMM"/>
    <n v="189901"/>
    <n v="1602020"/>
    <x v="2"/>
    <x v="4"/>
    <s v="AGLIO OLIO"/>
    <n v="2200"/>
    <n v="35"/>
    <n v="77000"/>
    <m/>
  </r>
  <r>
    <x v="3"/>
    <s v="JUN"/>
    <x v="11"/>
    <s v="GRSM 4"/>
    <x v="0"/>
    <s v="GMM"/>
    <n v="189901"/>
    <n v="1602020"/>
    <x v="2"/>
    <x v="4"/>
    <s v="GORENG"/>
    <n v="2200"/>
    <n v="85"/>
    <n v="187000"/>
    <n v="120"/>
  </r>
  <r>
    <x v="3"/>
    <s v="JUN"/>
    <x v="11"/>
    <s v="GRSM 4"/>
    <x v="0"/>
    <s v="GMM"/>
    <n v="189901"/>
    <n v="1602020"/>
    <x v="2"/>
    <x v="5"/>
    <s v="BOLOGNESE"/>
    <n v="2200"/>
    <n v="34"/>
    <n v="74800"/>
    <m/>
  </r>
  <r>
    <x v="3"/>
    <s v="JUN"/>
    <x v="11"/>
    <s v="GRSM 4"/>
    <x v="0"/>
    <s v="GMM"/>
    <n v="189901"/>
    <n v="1602020"/>
    <x v="2"/>
    <x v="5"/>
    <s v="CARBONARA"/>
    <n v="2200"/>
    <n v="57"/>
    <n v="125400"/>
    <m/>
  </r>
  <r>
    <x v="3"/>
    <s v="JUN"/>
    <x v="11"/>
    <s v="GRSM 4"/>
    <x v="0"/>
    <s v="GMM"/>
    <n v="189901"/>
    <n v="1602020"/>
    <x v="2"/>
    <x v="5"/>
    <s v="AGLIO OLIO"/>
    <n v="2200"/>
    <n v="39"/>
    <n v="85800"/>
    <m/>
  </r>
  <r>
    <x v="3"/>
    <s v="JUN"/>
    <x v="11"/>
    <s v="GRSM 4"/>
    <x v="0"/>
    <s v="GMM"/>
    <n v="189901"/>
    <n v="1602020"/>
    <x v="2"/>
    <x v="5"/>
    <s v="GORENG"/>
    <n v="2200"/>
    <n v="79"/>
    <n v="173800"/>
    <n v="120"/>
  </r>
  <r>
    <x v="3"/>
    <s v="JUN"/>
    <x v="11"/>
    <s v="GRSM 4"/>
    <x v="0"/>
    <s v="GMM"/>
    <n v="103257"/>
    <n v="9162509"/>
    <x v="4"/>
    <x v="7"/>
    <s v="BOLOGNESE"/>
    <n v="3200"/>
    <n v="39"/>
    <n v="124800"/>
    <m/>
  </r>
  <r>
    <x v="3"/>
    <s v="JUN"/>
    <x v="11"/>
    <s v="GRSM 4"/>
    <x v="0"/>
    <s v="GMM"/>
    <n v="103257"/>
    <n v="9162509"/>
    <x v="4"/>
    <x v="7"/>
    <s v="CARBONARA"/>
    <n v="3200"/>
    <n v="32"/>
    <n v="102400"/>
    <m/>
  </r>
  <r>
    <x v="3"/>
    <s v="JUN"/>
    <x v="11"/>
    <s v="GRSM 4"/>
    <x v="0"/>
    <s v="GMM"/>
    <n v="103257"/>
    <n v="9162509"/>
    <x v="4"/>
    <x v="7"/>
    <s v="AGLIO OLIO"/>
    <n v="3200"/>
    <n v="33"/>
    <n v="105600"/>
    <m/>
  </r>
  <r>
    <x v="3"/>
    <s v="JUN"/>
    <x v="11"/>
    <s v="GRSM 4"/>
    <x v="0"/>
    <s v="GMM"/>
    <n v="103257"/>
    <n v="9162509"/>
    <x v="4"/>
    <x v="7"/>
    <s v="GORENG"/>
    <n v="3200"/>
    <n v="83"/>
    <n v="265600"/>
    <n v="160"/>
  </r>
  <r>
    <x v="3"/>
    <s v="JUN"/>
    <x v="11"/>
    <s v="GRSM 4"/>
    <x v="0"/>
    <s v="GMM"/>
    <n v="103257"/>
    <n v="9162509"/>
    <x v="4"/>
    <x v="8"/>
    <s v="BOLOGNESE"/>
    <n v="3200"/>
    <n v="38"/>
    <n v="121600"/>
    <m/>
  </r>
  <r>
    <x v="3"/>
    <s v="JUN"/>
    <x v="11"/>
    <s v="GRSM 4"/>
    <x v="0"/>
    <s v="GMM"/>
    <n v="103257"/>
    <n v="9162509"/>
    <x v="4"/>
    <x v="8"/>
    <s v="CARBONARA"/>
    <n v="3200"/>
    <n v="32"/>
    <n v="102400"/>
    <m/>
  </r>
  <r>
    <x v="3"/>
    <s v="JUN"/>
    <x v="11"/>
    <s v="GRSM 4"/>
    <x v="0"/>
    <s v="GMM"/>
    <n v="103257"/>
    <n v="9162509"/>
    <x v="4"/>
    <x v="8"/>
    <s v="AGLIO OLIO"/>
    <n v="3200"/>
    <n v="30"/>
    <n v="96000"/>
    <m/>
  </r>
  <r>
    <x v="3"/>
    <s v="JUN"/>
    <x v="11"/>
    <s v="GRSM 4"/>
    <x v="0"/>
    <s v="GMM"/>
    <n v="103257"/>
    <n v="9162509"/>
    <x v="4"/>
    <x v="8"/>
    <s v="GORENG"/>
    <n v="3200"/>
    <n v="80"/>
    <n v="256000"/>
    <n v="160"/>
  </r>
  <r>
    <x v="3"/>
    <s v="JUN"/>
    <x v="11"/>
    <s v="GRSM 4"/>
    <x v="0"/>
    <s v="GMM"/>
    <n v="103277"/>
    <n v="6300538"/>
    <x v="1"/>
    <x v="2"/>
    <s v="BOLOGNESE"/>
    <n v="2975"/>
    <n v="67"/>
    <n v="199325"/>
    <m/>
  </r>
  <r>
    <x v="3"/>
    <s v="JUN"/>
    <x v="11"/>
    <s v="GRSM 4"/>
    <x v="0"/>
    <s v="GMM"/>
    <n v="103277"/>
    <n v="6300538"/>
    <x v="1"/>
    <x v="2"/>
    <s v="CARBONARA"/>
    <n v="2975"/>
    <n v="77"/>
    <n v="229075"/>
    <m/>
  </r>
  <r>
    <x v="3"/>
    <s v="JUN"/>
    <x v="11"/>
    <s v="GRSM 4"/>
    <x v="0"/>
    <s v="GMM"/>
    <n v="103277"/>
    <n v="6300538"/>
    <x v="1"/>
    <x v="2"/>
    <s v="AGLIO OLIO"/>
    <n v="2975"/>
    <n v="56"/>
    <n v="166600"/>
    <m/>
  </r>
  <r>
    <x v="3"/>
    <s v="JUN"/>
    <x v="11"/>
    <s v="GRSM 4"/>
    <x v="0"/>
    <s v="GMM"/>
    <n v="103277"/>
    <n v="6300538"/>
    <x v="1"/>
    <x v="2"/>
    <s v="GORENG"/>
    <n v="2975"/>
    <n v="201"/>
    <n v="597975"/>
    <n v="160"/>
  </r>
  <r>
    <x v="3"/>
    <s v="JUN"/>
    <x v="11"/>
    <s v="GRSM 4"/>
    <x v="0"/>
    <s v="GMM"/>
    <n v="103277"/>
    <n v="6300538"/>
    <x v="1"/>
    <x v="3"/>
    <s v="BOLOGNESE"/>
    <n v="2975"/>
    <n v="50"/>
    <n v="148750"/>
    <m/>
  </r>
  <r>
    <x v="3"/>
    <s v="JUN"/>
    <x v="11"/>
    <s v="GRSM 4"/>
    <x v="0"/>
    <s v="GMM"/>
    <n v="103277"/>
    <n v="6300538"/>
    <x v="1"/>
    <x v="3"/>
    <s v="CARBONARA"/>
    <n v="2975"/>
    <n v="75"/>
    <n v="223125"/>
    <m/>
  </r>
  <r>
    <x v="3"/>
    <s v="JUN"/>
    <x v="11"/>
    <s v="GRSM 4"/>
    <x v="0"/>
    <s v="GMM"/>
    <n v="103277"/>
    <n v="6300538"/>
    <x v="1"/>
    <x v="3"/>
    <s v="AGLIO OLIO"/>
    <n v="2975"/>
    <n v="46"/>
    <n v="136850"/>
    <m/>
  </r>
  <r>
    <x v="3"/>
    <s v="JUN"/>
    <x v="11"/>
    <s v="GRSM 4"/>
    <x v="0"/>
    <s v="GMM"/>
    <n v="103277"/>
    <n v="6300538"/>
    <x v="1"/>
    <x v="3"/>
    <s v="GORENG"/>
    <n v="2975"/>
    <n v="97"/>
    <n v="288575"/>
    <n v="160"/>
  </r>
  <r>
    <x v="3"/>
    <s v="JUN"/>
    <x v="11"/>
    <s v="GRSM 4"/>
    <x v="0"/>
    <s v="GMM"/>
    <n v="103277"/>
    <n v="6301424"/>
    <x v="6"/>
    <x v="12"/>
    <s v="BOLOGNESE"/>
    <n v="3000"/>
    <n v="38"/>
    <n v="114000"/>
    <m/>
  </r>
  <r>
    <x v="3"/>
    <s v="JUN"/>
    <x v="11"/>
    <s v="GRSM 4"/>
    <x v="0"/>
    <s v="GMM"/>
    <n v="103277"/>
    <n v="6301424"/>
    <x v="6"/>
    <x v="12"/>
    <s v="CARBONARA"/>
    <n v="3000"/>
    <n v="86"/>
    <n v="258000"/>
    <m/>
  </r>
  <r>
    <x v="3"/>
    <s v="JUN"/>
    <x v="11"/>
    <s v="GRSM 4"/>
    <x v="0"/>
    <s v="GMM"/>
    <n v="103277"/>
    <n v="6301424"/>
    <x v="6"/>
    <x v="12"/>
    <s v="AGLIO OLIO"/>
    <n v="3000"/>
    <n v="42"/>
    <n v="126000"/>
    <m/>
  </r>
  <r>
    <x v="3"/>
    <s v="JUN"/>
    <x v="11"/>
    <s v="GRSM 4"/>
    <x v="0"/>
    <s v="GMM"/>
    <n v="103277"/>
    <n v="6301424"/>
    <x v="6"/>
    <x v="12"/>
    <s v="GORENG"/>
    <n v="3000"/>
    <n v="110"/>
    <n v="330000"/>
    <m/>
  </r>
  <r>
    <x v="3"/>
    <s v="JUN"/>
    <x v="11"/>
    <s v="GRSM 4"/>
    <x v="0"/>
    <s v="GMM"/>
    <n v="103277"/>
    <n v="6301424"/>
    <x v="6"/>
    <x v="13"/>
    <s v="BOLOGNESE"/>
    <n v="3000"/>
    <n v="40"/>
    <n v="120000"/>
    <n v="160"/>
  </r>
  <r>
    <x v="3"/>
    <s v="JUN"/>
    <x v="11"/>
    <s v="GRSM 4"/>
    <x v="0"/>
    <s v="GMM"/>
    <n v="103277"/>
    <n v="6301424"/>
    <x v="6"/>
    <x v="13"/>
    <s v="CARBONARA"/>
    <n v="3000"/>
    <n v="81"/>
    <n v="243000"/>
    <m/>
  </r>
  <r>
    <x v="3"/>
    <s v="JUN"/>
    <x v="11"/>
    <s v="GRSM 4"/>
    <x v="0"/>
    <s v="GMM"/>
    <n v="103277"/>
    <n v="6301424"/>
    <x v="6"/>
    <x v="13"/>
    <s v="AGLIO OLIO"/>
    <n v="3000"/>
    <n v="36"/>
    <n v="108000"/>
    <m/>
  </r>
  <r>
    <x v="3"/>
    <s v="JUN"/>
    <x v="11"/>
    <s v="GRSM 4"/>
    <x v="0"/>
    <s v="GMM"/>
    <n v="103277"/>
    <n v="6301424"/>
    <x v="6"/>
    <x v="13"/>
    <s v="GORENG"/>
    <n v="3000"/>
    <n v="114"/>
    <n v="342000"/>
    <m/>
  </r>
  <r>
    <x v="3"/>
    <s v="JUN"/>
    <x v="11"/>
    <s v="GRSM 3A"/>
    <x v="0"/>
    <s v="GMM"/>
    <n v="103272"/>
    <n v="1178"/>
    <x v="3"/>
    <x v="11"/>
    <s v="BOLOGNESE"/>
    <n v="3145"/>
    <n v="13"/>
    <n v="40885"/>
    <n v="160"/>
  </r>
  <r>
    <x v="3"/>
    <s v="JUN"/>
    <x v="11"/>
    <s v="GRSM 3A"/>
    <x v="0"/>
    <s v="GMM"/>
    <n v="103272"/>
    <n v="1178"/>
    <x v="3"/>
    <x v="11"/>
    <s v="CARBONARA"/>
    <n v="3145"/>
    <n v="15"/>
    <n v="47175"/>
    <m/>
  </r>
  <r>
    <x v="3"/>
    <s v="JUN"/>
    <x v="11"/>
    <s v="GRSM 3A"/>
    <x v="0"/>
    <s v="GMM"/>
    <n v="103272"/>
    <n v="1178"/>
    <x v="3"/>
    <x v="11"/>
    <s v="AGLIO OLIO"/>
    <n v="3145"/>
    <n v="12"/>
    <n v="37740"/>
    <m/>
  </r>
  <r>
    <x v="3"/>
    <s v="JUN"/>
    <x v="11"/>
    <s v="GRSM 3A"/>
    <x v="0"/>
    <s v="GMM"/>
    <n v="103272"/>
    <n v="1178"/>
    <x v="3"/>
    <x v="11"/>
    <s v="GORENG"/>
    <n v="3145"/>
    <n v="25"/>
    <n v="78625"/>
    <m/>
  </r>
  <r>
    <x v="3"/>
    <s v="JUN"/>
    <x v="11"/>
    <s v="GRSM 3A"/>
    <x v="0"/>
    <s v="GMM"/>
    <n v="103272"/>
    <n v="1178"/>
    <x v="3"/>
    <x v="6"/>
    <s v="BOLOGNESE"/>
    <n v="3145"/>
    <n v="13"/>
    <n v="40885"/>
    <n v="160"/>
  </r>
  <r>
    <x v="3"/>
    <s v="JUN"/>
    <x v="11"/>
    <s v="GRSM 3A"/>
    <x v="0"/>
    <s v="GMM"/>
    <n v="103272"/>
    <n v="1178"/>
    <x v="3"/>
    <x v="6"/>
    <s v="CARBONARA"/>
    <n v="3145"/>
    <n v="15"/>
    <n v="47175"/>
    <m/>
  </r>
  <r>
    <x v="3"/>
    <s v="JUN"/>
    <x v="11"/>
    <s v="GRSM 3A"/>
    <x v="0"/>
    <s v="GMM"/>
    <n v="103272"/>
    <n v="1178"/>
    <x v="3"/>
    <x v="6"/>
    <s v="AGLIO OLIO"/>
    <n v="3145"/>
    <n v="12"/>
    <n v="37740"/>
    <m/>
  </r>
  <r>
    <x v="3"/>
    <s v="JUN"/>
    <x v="11"/>
    <s v="GRSM 3A"/>
    <x v="0"/>
    <s v="GMM"/>
    <n v="103272"/>
    <n v="1178"/>
    <x v="3"/>
    <x v="6"/>
    <s v="GORENG"/>
    <n v="3145"/>
    <n v="25"/>
    <n v="78625"/>
    <m/>
  </r>
  <r>
    <x v="3"/>
    <s v="JUN"/>
    <x v="11"/>
    <s v="GRSM 4"/>
    <x v="0"/>
    <s v="GMM"/>
    <n v="103259"/>
    <n v="9029389"/>
    <x v="7"/>
    <x v="16"/>
    <s v="BOLOGNESE"/>
    <n v="3000"/>
    <n v="60"/>
    <n v="180000"/>
    <n v="160"/>
  </r>
  <r>
    <x v="3"/>
    <s v="JUN"/>
    <x v="11"/>
    <s v="GRSM 4"/>
    <x v="0"/>
    <s v="GMM"/>
    <n v="103259"/>
    <n v="9029389"/>
    <x v="7"/>
    <x v="16"/>
    <s v="CARBONARA"/>
    <n v="3000"/>
    <n v="45"/>
    <n v="135000"/>
    <m/>
  </r>
  <r>
    <x v="3"/>
    <s v="JUN"/>
    <x v="11"/>
    <s v="GRSM 4"/>
    <x v="0"/>
    <s v="GMM"/>
    <n v="103259"/>
    <n v="9029389"/>
    <x v="7"/>
    <x v="16"/>
    <s v="AGLIO OLIO"/>
    <n v="3000"/>
    <n v="37"/>
    <n v="111000"/>
    <m/>
  </r>
  <r>
    <x v="3"/>
    <s v="JUN"/>
    <x v="11"/>
    <s v="GRSM 4"/>
    <x v="0"/>
    <s v="GMM"/>
    <n v="103259"/>
    <n v="9029389"/>
    <x v="7"/>
    <x v="16"/>
    <s v="GORENG"/>
    <n v="3000"/>
    <n v="130"/>
    <n v="390000"/>
    <m/>
  </r>
  <r>
    <x v="3"/>
    <s v="JUN"/>
    <x v="11"/>
    <s v="GRSM 4"/>
    <x v="0"/>
    <s v="GMM"/>
    <n v="103259"/>
    <n v="9029389"/>
    <x v="7"/>
    <x v="17"/>
    <s v="BOLOGNESE"/>
    <n v="3000"/>
    <n v="50"/>
    <n v="150000"/>
    <n v="160"/>
  </r>
  <r>
    <x v="3"/>
    <s v="JUN"/>
    <x v="11"/>
    <s v="GRSM 4"/>
    <x v="0"/>
    <s v="GMM"/>
    <n v="103259"/>
    <n v="9029389"/>
    <x v="7"/>
    <x v="17"/>
    <s v="CARBONARA"/>
    <n v="3000"/>
    <n v="40"/>
    <n v="120000"/>
    <m/>
  </r>
  <r>
    <x v="3"/>
    <s v="JUN"/>
    <x v="11"/>
    <s v="GRSM 4"/>
    <x v="0"/>
    <s v="GMM"/>
    <n v="103259"/>
    <n v="9029389"/>
    <x v="7"/>
    <x v="17"/>
    <s v="AGLIO OLIO"/>
    <n v="3000"/>
    <n v="35"/>
    <n v="105000"/>
    <m/>
  </r>
  <r>
    <x v="3"/>
    <s v="JUN"/>
    <x v="11"/>
    <s v="GRSM 4"/>
    <x v="0"/>
    <s v="GMM"/>
    <n v="103259"/>
    <n v="9029389"/>
    <x v="7"/>
    <x v="17"/>
    <s v="GORENG"/>
    <n v="3000"/>
    <n v="165"/>
    <n v="495000"/>
    <m/>
  </r>
  <r>
    <x v="3"/>
    <s v="JUN"/>
    <x v="11"/>
    <s v="GRSM 4"/>
    <x v="0"/>
    <s v="NKA"/>
    <n v="490034"/>
    <n v="209554"/>
    <x v="8"/>
    <x v="18"/>
    <s v="BOLOGNESE"/>
    <n v="3275"/>
    <n v="60"/>
    <n v="196500"/>
    <n v="160"/>
  </r>
  <r>
    <x v="3"/>
    <s v="JUN"/>
    <x v="11"/>
    <s v="GRSM 4"/>
    <x v="0"/>
    <s v="NKA"/>
    <n v="490034"/>
    <n v="209554"/>
    <x v="8"/>
    <x v="18"/>
    <s v="CARBONARA"/>
    <n v="3275"/>
    <n v="90"/>
    <n v="294750"/>
    <m/>
  </r>
  <r>
    <x v="3"/>
    <s v="JUN"/>
    <x v="11"/>
    <s v="GRSM 4"/>
    <x v="0"/>
    <s v="NKA"/>
    <n v="490034"/>
    <n v="209554"/>
    <x v="8"/>
    <x v="18"/>
    <s v="AGLIO OLIO"/>
    <n v="3275"/>
    <n v="40"/>
    <n v="131000"/>
    <m/>
  </r>
  <r>
    <x v="3"/>
    <s v="JUN"/>
    <x v="11"/>
    <s v="GRSM 4"/>
    <x v="0"/>
    <s v="NKA"/>
    <n v="490034"/>
    <n v="209554"/>
    <x v="8"/>
    <x v="18"/>
    <s v="GORENG"/>
    <n v="3275"/>
    <n v="100"/>
    <n v="327500"/>
    <m/>
  </r>
  <r>
    <x v="3"/>
    <s v="JUN"/>
    <x v="11"/>
    <s v="GRSM 4"/>
    <x v="0"/>
    <s v="NKA"/>
    <n v="490034"/>
    <n v="209554"/>
    <x v="8"/>
    <x v="19"/>
    <s v="BOLOGNESE"/>
    <n v="3275"/>
    <n v="60"/>
    <n v="196500"/>
    <n v="120"/>
  </r>
  <r>
    <x v="3"/>
    <s v="JUN"/>
    <x v="11"/>
    <s v="GRSM 4"/>
    <x v="0"/>
    <s v="NKA"/>
    <n v="490034"/>
    <n v="209554"/>
    <x v="8"/>
    <x v="19"/>
    <s v="CARBONARA"/>
    <n v="3275"/>
    <n v="90"/>
    <n v="294750"/>
    <m/>
  </r>
  <r>
    <x v="3"/>
    <s v="JUN"/>
    <x v="11"/>
    <s v="GRSM 4"/>
    <x v="0"/>
    <s v="NKA"/>
    <n v="490034"/>
    <n v="209554"/>
    <x v="8"/>
    <x v="19"/>
    <s v="AGLIO OLIO"/>
    <n v="3275"/>
    <n v="40"/>
    <n v="131000"/>
    <m/>
  </r>
  <r>
    <x v="3"/>
    <s v="JUN"/>
    <x v="11"/>
    <s v="GRSM 4"/>
    <x v="0"/>
    <s v="NKA"/>
    <n v="490034"/>
    <n v="209554"/>
    <x v="8"/>
    <x v="19"/>
    <s v="GORENG"/>
    <n v="3275"/>
    <n v="100"/>
    <n v="327500"/>
    <m/>
  </r>
  <r>
    <x v="3"/>
    <s v="JUN"/>
    <x v="11"/>
    <s v="GRSM 4"/>
    <x v="0"/>
    <s v="GMM"/>
    <n v="103259"/>
    <n v="9029389"/>
    <x v="0"/>
    <x v="1"/>
    <s v="BOLOGNESE"/>
    <n v="2000"/>
    <n v="48"/>
    <n v="96000"/>
    <n v="120"/>
  </r>
  <r>
    <x v="3"/>
    <s v="JUN"/>
    <x v="12"/>
    <s v="GRSM 4"/>
    <x v="0"/>
    <s v="GMM"/>
    <n v="103259"/>
    <n v="9029389"/>
    <x v="0"/>
    <x v="1"/>
    <s v="CARBONARA"/>
    <n v="2000"/>
    <n v="57"/>
    <n v="114000"/>
    <m/>
  </r>
  <r>
    <x v="3"/>
    <s v="JUN"/>
    <x v="12"/>
    <s v="GRSM 4"/>
    <x v="0"/>
    <s v="GMM"/>
    <n v="103259"/>
    <n v="9029389"/>
    <x v="0"/>
    <x v="1"/>
    <s v="AGLIO OLIO"/>
    <n v="2000"/>
    <n v="33"/>
    <n v="66000"/>
    <m/>
  </r>
  <r>
    <x v="3"/>
    <s v="JUN"/>
    <x v="12"/>
    <s v="GRSM 4"/>
    <x v="0"/>
    <s v="GMM"/>
    <n v="103259"/>
    <n v="9029389"/>
    <x v="0"/>
    <x v="1"/>
    <s v="GORENG"/>
    <n v="2000"/>
    <n v="87"/>
    <n v="174000"/>
    <m/>
  </r>
  <r>
    <x v="3"/>
    <s v="JUN"/>
    <x v="12"/>
    <s v="GRSM 4"/>
    <x v="0"/>
    <s v="GMM"/>
    <n v="103259"/>
    <n v="9029389"/>
    <x v="0"/>
    <x v="15"/>
    <s v="BOLOGNESE"/>
    <n v="2000"/>
    <n v="55"/>
    <n v="110000"/>
    <n v="160"/>
  </r>
  <r>
    <x v="3"/>
    <s v="JUN"/>
    <x v="12"/>
    <s v="GRSM 4"/>
    <x v="0"/>
    <s v="GMM"/>
    <n v="103259"/>
    <n v="9029389"/>
    <x v="0"/>
    <x v="15"/>
    <s v="CARBONARA"/>
    <n v="2000"/>
    <n v="43"/>
    <n v="86000"/>
    <m/>
  </r>
  <r>
    <x v="3"/>
    <s v="JUN"/>
    <x v="12"/>
    <s v="GRSM 4"/>
    <x v="0"/>
    <s v="GMM"/>
    <n v="103259"/>
    <n v="9029389"/>
    <x v="0"/>
    <x v="15"/>
    <s v="AGLIO OLIO"/>
    <n v="2000"/>
    <n v="41"/>
    <n v="82000"/>
    <m/>
  </r>
  <r>
    <x v="3"/>
    <s v="JUN"/>
    <x v="12"/>
    <s v="GRSM 4"/>
    <x v="0"/>
    <s v="GMM"/>
    <n v="103259"/>
    <n v="9029389"/>
    <x v="0"/>
    <x v="15"/>
    <s v="GORENG"/>
    <n v="2000"/>
    <n v="195"/>
    <n v="390000"/>
    <m/>
  </r>
  <r>
    <x v="3"/>
    <s v="JUN"/>
    <x v="12"/>
    <s v="GRSM 4"/>
    <x v="0"/>
    <s v="GMM"/>
    <n v="103259"/>
    <n v="9013525"/>
    <x v="5"/>
    <x v="9"/>
    <s v="BOLOGNESE"/>
    <n v="2000"/>
    <n v="54"/>
    <n v="108000"/>
    <n v="160"/>
  </r>
  <r>
    <x v="3"/>
    <s v="JUN"/>
    <x v="12"/>
    <s v="GRSM 4"/>
    <x v="0"/>
    <s v="GMM"/>
    <n v="103259"/>
    <n v="9013525"/>
    <x v="5"/>
    <x v="9"/>
    <s v="CARBONARA"/>
    <n v="2000"/>
    <n v="48"/>
    <n v="96000"/>
    <m/>
  </r>
  <r>
    <x v="3"/>
    <s v="JUN"/>
    <x v="12"/>
    <s v="GRSM 4"/>
    <x v="0"/>
    <s v="GMM"/>
    <n v="103259"/>
    <n v="9013525"/>
    <x v="5"/>
    <x v="9"/>
    <s v="AGLIO OLIO"/>
    <n v="2000"/>
    <n v="42"/>
    <n v="84000"/>
    <m/>
  </r>
  <r>
    <x v="3"/>
    <s v="JUN"/>
    <x v="12"/>
    <s v="GRSM 4"/>
    <x v="0"/>
    <s v="GMM"/>
    <n v="103259"/>
    <n v="9013525"/>
    <x v="5"/>
    <x v="9"/>
    <s v="GORENG"/>
    <n v="2000"/>
    <n v="132"/>
    <n v="264000"/>
    <m/>
  </r>
  <r>
    <x v="3"/>
    <s v="JUN"/>
    <x v="12"/>
    <s v="GRSM 4"/>
    <x v="0"/>
    <s v="GMM"/>
    <n v="103259"/>
    <n v="9013525"/>
    <x v="5"/>
    <x v="14"/>
    <s v="BOLOGNESE"/>
    <n v="2000"/>
    <n v="60"/>
    <n v="120000"/>
    <n v="150"/>
  </r>
  <r>
    <x v="3"/>
    <s v="JUN"/>
    <x v="12"/>
    <s v="GRSM 4"/>
    <x v="0"/>
    <s v="GMM"/>
    <n v="103259"/>
    <n v="9013525"/>
    <x v="5"/>
    <x v="14"/>
    <s v="CARBONARA"/>
    <n v="2000"/>
    <n v="42"/>
    <n v="84000"/>
    <m/>
  </r>
  <r>
    <x v="3"/>
    <s v="JUN"/>
    <x v="12"/>
    <s v="GRSM 4"/>
    <x v="0"/>
    <s v="GMM"/>
    <n v="103259"/>
    <n v="9013525"/>
    <x v="5"/>
    <x v="14"/>
    <s v="AGLIO OLIO"/>
    <n v="2000"/>
    <n v="42"/>
    <n v="84000"/>
    <m/>
  </r>
  <r>
    <x v="3"/>
    <s v="JUN"/>
    <x v="12"/>
    <s v="GRSM 4"/>
    <x v="0"/>
    <s v="GMM"/>
    <n v="103259"/>
    <n v="9013525"/>
    <x v="5"/>
    <x v="14"/>
    <s v="GORENG"/>
    <n v="2000"/>
    <n v="120"/>
    <n v="240000"/>
    <m/>
  </r>
  <r>
    <x v="3"/>
    <s v="JUN"/>
    <x v="12"/>
    <s v="GRSM 4"/>
    <x v="0"/>
    <s v="GMM"/>
    <n v="189901"/>
    <n v="1602020"/>
    <x v="2"/>
    <x v="4"/>
    <s v="BOLOGNESE"/>
    <n v="2200"/>
    <n v="54"/>
    <n v="118800"/>
    <n v="150"/>
  </r>
  <r>
    <x v="3"/>
    <s v="JUN"/>
    <x v="12"/>
    <s v="GRSM 4"/>
    <x v="0"/>
    <s v="GMM"/>
    <n v="189901"/>
    <n v="1602020"/>
    <x v="2"/>
    <x v="4"/>
    <s v="CARBONARA"/>
    <n v="2200"/>
    <n v="69"/>
    <n v="151800"/>
    <m/>
  </r>
  <r>
    <x v="3"/>
    <s v="JUN"/>
    <x v="12"/>
    <s v="GRSM 4"/>
    <x v="0"/>
    <s v="GMM"/>
    <n v="189901"/>
    <n v="1602020"/>
    <x v="2"/>
    <x v="4"/>
    <s v="AGLIO OLIO"/>
    <n v="2200"/>
    <n v="33"/>
    <n v="72600"/>
    <m/>
  </r>
  <r>
    <x v="3"/>
    <s v="JUN"/>
    <x v="12"/>
    <s v="GRSM 4"/>
    <x v="0"/>
    <s v="GMM"/>
    <n v="189901"/>
    <n v="1602020"/>
    <x v="2"/>
    <x v="4"/>
    <s v="GORENG"/>
    <n v="2200"/>
    <n v="70"/>
    <n v="154000"/>
    <m/>
  </r>
  <r>
    <x v="3"/>
    <s v="JUN"/>
    <x v="12"/>
    <s v="GRSM 4"/>
    <x v="0"/>
    <s v="GMM"/>
    <n v="189901"/>
    <n v="1602020"/>
    <x v="2"/>
    <x v="5"/>
    <s v="BOLOGNESE"/>
    <n v="2200"/>
    <n v="62"/>
    <n v="136400"/>
    <n v="120"/>
  </r>
  <r>
    <x v="3"/>
    <s v="JUN"/>
    <x v="12"/>
    <s v="GRSM 4"/>
    <x v="0"/>
    <s v="GMM"/>
    <n v="189901"/>
    <n v="1602020"/>
    <x v="2"/>
    <x v="5"/>
    <s v="CARBONARA"/>
    <n v="2200"/>
    <n v="71"/>
    <n v="156200"/>
    <m/>
  </r>
  <r>
    <x v="3"/>
    <s v="JUN"/>
    <x v="12"/>
    <s v="GRSM 4"/>
    <x v="0"/>
    <s v="GMM"/>
    <n v="189901"/>
    <n v="1602020"/>
    <x v="2"/>
    <x v="5"/>
    <s v="AGLIO OLIO"/>
    <n v="2200"/>
    <n v="30"/>
    <n v="66000"/>
    <m/>
  </r>
  <r>
    <x v="3"/>
    <s v="JUN"/>
    <x v="12"/>
    <s v="GRSM 4"/>
    <x v="0"/>
    <s v="GMM"/>
    <n v="189901"/>
    <n v="1602020"/>
    <x v="2"/>
    <x v="5"/>
    <s v="GORENG"/>
    <n v="2200"/>
    <n v="89"/>
    <n v="195800"/>
    <m/>
  </r>
  <r>
    <x v="3"/>
    <s v="JUN"/>
    <x v="12"/>
    <s v="GRSM 4"/>
    <x v="0"/>
    <s v="GMM"/>
    <n v="103257"/>
    <n v="9162509"/>
    <x v="4"/>
    <x v="7"/>
    <s v="BOLOGNESE"/>
    <n v="3200"/>
    <n v="68"/>
    <n v="217600"/>
    <n v="120"/>
  </r>
  <r>
    <x v="3"/>
    <s v="JUN"/>
    <x v="12"/>
    <s v="GRSM 4"/>
    <x v="0"/>
    <s v="GMM"/>
    <n v="103257"/>
    <n v="9162509"/>
    <x v="4"/>
    <x v="7"/>
    <s v="CARBONARA"/>
    <n v="3200"/>
    <n v="53"/>
    <n v="169600"/>
    <m/>
  </r>
  <r>
    <x v="3"/>
    <s v="JUN"/>
    <x v="12"/>
    <s v="GRSM 4"/>
    <x v="0"/>
    <s v="GMM"/>
    <n v="103257"/>
    <n v="9162509"/>
    <x v="4"/>
    <x v="7"/>
    <s v="AGLIO OLIO"/>
    <n v="3200"/>
    <n v="73"/>
    <n v="233600"/>
    <m/>
  </r>
  <r>
    <x v="3"/>
    <s v="JUN"/>
    <x v="12"/>
    <s v="GRSM 4"/>
    <x v="0"/>
    <s v="GMM"/>
    <n v="103257"/>
    <n v="9162509"/>
    <x v="4"/>
    <x v="7"/>
    <s v="GORENG"/>
    <n v="3200"/>
    <n v="97"/>
    <n v="310400"/>
    <m/>
  </r>
  <r>
    <x v="3"/>
    <s v="JUN"/>
    <x v="12"/>
    <s v="GRSM 4"/>
    <x v="0"/>
    <s v="GMM"/>
    <n v="103257"/>
    <n v="9162509"/>
    <x v="4"/>
    <x v="8"/>
    <s v="BOLOGNESE"/>
    <n v="3200"/>
    <n v="63"/>
    <n v="201600"/>
    <n v="160"/>
  </r>
  <r>
    <x v="3"/>
    <s v="JUN"/>
    <x v="12"/>
    <s v="GRSM 4"/>
    <x v="0"/>
    <s v="GMM"/>
    <n v="103257"/>
    <n v="9162509"/>
    <x v="4"/>
    <x v="8"/>
    <s v="CARBONARA"/>
    <n v="3200"/>
    <n v="50"/>
    <n v="160000"/>
    <m/>
  </r>
  <r>
    <x v="3"/>
    <s v="JUN"/>
    <x v="12"/>
    <s v="GRSM 4"/>
    <x v="0"/>
    <s v="GMM"/>
    <n v="103257"/>
    <n v="9162509"/>
    <x v="4"/>
    <x v="8"/>
    <s v="AGLIO OLIO"/>
    <n v="3200"/>
    <n v="70"/>
    <n v="224000"/>
    <m/>
  </r>
  <r>
    <x v="3"/>
    <s v="JUN"/>
    <x v="12"/>
    <s v="GRSM 4"/>
    <x v="0"/>
    <s v="GMM"/>
    <n v="103257"/>
    <n v="9162509"/>
    <x v="4"/>
    <x v="8"/>
    <s v="GORENG"/>
    <n v="3200"/>
    <n v="93"/>
    <n v="297600"/>
    <m/>
  </r>
  <r>
    <x v="3"/>
    <s v="JUN"/>
    <x v="12"/>
    <s v="GRSM 4"/>
    <x v="0"/>
    <s v="GMM"/>
    <n v="103277"/>
    <n v="6300538"/>
    <x v="1"/>
    <x v="2"/>
    <s v="BOLOGNESE"/>
    <n v="2975"/>
    <n v="66"/>
    <n v="196350"/>
    <n v="160"/>
  </r>
  <r>
    <x v="3"/>
    <s v="JUN"/>
    <x v="12"/>
    <s v="GRSM 4"/>
    <x v="0"/>
    <s v="GMM"/>
    <n v="103277"/>
    <n v="6300538"/>
    <x v="1"/>
    <x v="2"/>
    <s v="CARBONARA"/>
    <n v="2975"/>
    <n v="65"/>
    <n v="193375"/>
    <m/>
  </r>
  <r>
    <x v="3"/>
    <s v="JUN"/>
    <x v="12"/>
    <s v="GRSM 4"/>
    <x v="0"/>
    <s v="GMM"/>
    <n v="103277"/>
    <n v="6300538"/>
    <x v="1"/>
    <x v="2"/>
    <s v="AGLIO OLIO"/>
    <n v="2975"/>
    <n v="47"/>
    <n v="139825"/>
    <m/>
  </r>
  <r>
    <x v="3"/>
    <s v="JUN"/>
    <x v="12"/>
    <s v="GRSM 4"/>
    <x v="0"/>
    <s v="GMM"/>
    <n v="103277"/>
    <n v="6300538"/>
    <x v="1"/>
    <x v="2"/>
    <s v="GORENG"/>
    <n v="2975"/>
    <n v="209"/>
    <n v="621775"/>
    <m/>
  </r>
  <r>
    <x v="3"/>
    <s v="JUN"/>
    <x v="12"/>
    <s v="GRSM 4"/>
    <x v="0"/>
    <s v="GMM"/>
    <n v="103277"/>
    <n v="6300538"/>
    <x v="1"/>
    <x v="3"/>
    <s v="BOLOGNESE"/>
    <n v="2975"/>
    <n v="55"/>
    <n v="163625"/>
    <n v="160"/>
  </r>
  <r>
    <x v="3"/>
    <s v="JUN"/>
    <x v="12"/>
    <s v="GRSM 4"/>
    <x v="0"/>
    <s v="GMM"/>
    <n v="103277"/>
    <n v="6300538"/>
    <x v="1"/>
    <x v="3"/>
    <s v="CARBONARA"/>
    <n v="2975"/>
    <n v="43"/>
    <n v="127925"/>
    <m/>
  </r>
  <r>
    <x v="3"/>
    <s v="JUN"/>
    <x v="12"/>
    <s v="GRSM 4"/>
    <x v="0"/>
    <s v="GMM"/>
    <n v="103277"/>
    <n v="6300538"/>
    <x v="1"/>
    <x v="3"/>
    <s v="AGLIO OLIO"/>
    <n v="2975"/>
    <n v="41"/>
    <n v="121975"/>
    <m/>
  </r>
  <r>
    <x v="3"/>
    <s v="JUN"/>
    <x v="12"/>
    <s v="GRSM 4"/>
    <x v="0"/>
    <s v="GMM"/>
    <n v="103277"/>
    <n v="6300538"/>
    <x v="1"/>
    <x v="3"/>
    <s v="GORENG"/>
    <n v="2975"/>
    <n v="195"/>
    <n v="580125"/>
    <m/>
  </r>
  <r>
    <x v="3"/>
    <s v="JUN"/>
    <x v="12"/>
    <s v="GRSM 4"/>
    <x v="0"/>
    <s v="GMM"/>
    <n v="103277"/>
    <n v="6301424"/>
    <x v="6"/>
    <x v="12"/>
    <s v="BOLOGNESE"/>
    <n v="3000"/>
    <n v="74"/>
    <n v="222000"/>
    <n v="160"/>
  </r>
  <r>
    <x v="3"/>
    <s v="JUN"/>
    <x v="12"/>
    <s v="GRSM 4"/>
    <x v="0"/>
    <s v="GMM"/>
    <n v="103277"/>
    <n v="6301424"/>
    <x v="6"/>
    <x v="12"/>
    <s v="CARBONARA"/>
    <n v="3000"/>
    <n v="46"/>
    <n v="138000"/>
    <m/>
  </r>
  <r>
    <x v="3"/>
    <s v="JUN"/>
    <x v="12"/>
    <s v="GRSM 4"/>
    <x v="0"/>
    <s v="GMM"/>
    <n v="103277"/>
    <n v="6301424"/>
    <x v="6"/>
    <x v="12"/>
    <s v="AGLIO OLIO"/>
    <n v="3000"/>
    <n v="28"/>
    <n v="84000"/>
    <m/>
  </r>
  <r>
    <x v="3"/>
    <s v="JUN"/>
    <x v="12"/>
    <s v="GRSM 4"/>
    <x v="0"/>
    <s v="GMM"/>
    <n v="103277"/>
    <n v="6301424"/>
    <x v="6"/>
    <x v="12"/>
    <s v="GORENG"/>
    <n v="3000"/>
    <n v="154"/>
    <n v="462000"/>
    <m/>
  </r>
  <r>
    <x v="3"/>
    <s v="JUN"/>
    <x v="12"/>
    <s v="GRSM 4"/>
    <x v="0"/>
    <s v="GMM"/>
    <n v="103277"/>
    <n v="6301424"/>
    <x v="6"/>
    <x v="13"/>
    <s v="BOLOGNESE"/>
    <n v="3000"/>
    <n v="80"/>
    <n v="240000"/>
    <n v="160"/>
  </r>
  <r>
    <x v="3"/>
    <s v="JUN"/>
    <x v="12"/>
    <s v="GRSM 4"/>
    <x v="0"/>
    <s v="GMM"/>
    <n v="103277"/>
    <n v="6301424"/>
    <x v="6"/>
    <x v="13"/>
    <s v="CARBONARA"/>
    <n v="3000"/>
    <n v="48"/>
    <n v="144000"/>
    <m/>
  </r>
  <r>
    <x v="3"/>
    <s v="JUN"/>
    <x v="12"/>
    <s v="GRSM 4"/>
    <x v="0"/>
    <s v="GMM"/>
    <n v="103277"/>
    <n v="6301424"/>
    <x v="6"/>
    <x v="13"/>
    <s v="AGLIO OLIO"/>
    <n v="3000"/>
    <n v="26"/>
    <n v="78000"/>
    <m/>
  </r>
  <r>
    <x v="3"/>
    <s v="JUN"/>
    <x v="12"/>
    <s v="GRSM 4"/>
    <x v="0"/>
    <s v="GMM"/>
    <n v="103277"/>
    <n v="6301424"/>
    <x v="6"/>
    <x v="13"/>
    <s v="GORENG"/>
    <n v="3000"/>
    <n v="160"/>
    <n v="480000"/>
    <m/>
  </r>
  <r>
    <x v="3"/>
    <s v="JUN"/>
    <x v="12"/>
    <s v="GRSM 3A"/>
    <x v="0"/>
    <s v="GMM"/>
    <n v="103272"/>
    <n v="1178"/>
    <x v="3"/>
    <x v="20"/>
    <s v="BOLOGNESE"/>
    <n v="3145"/>
    <n v="18"/>
    <n v="56610"/>
    <n v="160"/>
  </r>
  <r>
    <x v="3"/>
    <s v="JUN"/>
    <x v="12"/>
    <s v="GRSM 3A"/>
    <x v="0"/>
    <s v="GMM"/>
    <n v="103272"/>
    <n v="1178"/>
    <x v="3"/>
    <x v="20"/>
    <s v="CARBONARA"/>
    <n v="3145"/>
    <n v="34"/>
    <n v="106930"/>
    <m/>
  </r>
  <r>
    <x v="3"/>
    <s v="JUN"/>
    <x v="12"/>
    <s v="GRSM 3A"/>
    <x v="0"/>
    <s v="GMM"/>
    <n v="103272"/>
    <n v="1178"/>
    <x v="3"/>
    <x v="20"/>
    <s v="AGLIO OLIO"/>
    <n v="3145"/>
    <n v="15"/>
    <n v="47175"/>
    <m/>
  </r>
  <r>
    <x v="3"/>
    <s v="JUN"/>
    <x v="12"/>
    <s v="GRSM 3A"/>
    <x v="0"/>
    <s v="GMM"/>
    <n v="103272"/>
    <n v="1178"/>
    <x v="3"/>
    <x v="20"/>
    <s v="GORENG"/>
    <n v="3145"/>
    <n v="34"/>
    <n v="106930"/>
    <m/>
  </r>
  <r>
    <x v="3"/>
    <s v="JUN"/>
    <x v="12"/>
    <s v="GRSM 3A"/>
    <x v="0"/>
    <s v="GMM"/>
    <n v="103272"/>
    <n v="1178"/>
    <x v="3"/>
    <x v="6"/>
    <s v="BOLOGNESE"/>
    <n v="3145"/>
    <n v="18"/>
    <n v="56610"/>
    <n v="160"/>
  </r>
  <r>
    <x v="3"/>
    <s v="JUN"/>
    <x v="12"/>
    <s v="GRSM 3A"/>
    <x v="0"/>
    <s v="GMM"/>
    <n v="103272"/>
    <n v="1178"/>
    <x v="3"/>
    <x v="6"/>
    <s v="CARBONARA"/>
    <n v="3145"/>
    <n v="34"/>
    <n v="106930"/>
    <m/>
  </r>
  <r>
    <x v="3"/>
    <s v="JUN"/>
    <x v="12"/>
    <s v="GRSM 3A"/>
    <x v="0"/>
    <s v="GMM"/>
    <n v="103272"/>
    <n v="1178"/>
    <x v="3"/>
    <x v="6"/>
    <s v="AGLIO OLIO"/>
    <n v="3145"/>
    <n v="15"/>
    <n v="47175"/>
    <m/>
  </r>
  <r>
    <x v="3"/>
    <s v="JUN"/>
    <x v="12"/>
    <s v="GRSM 3A"/>
    <x v="0"/>
    <s v="GMM"/>
    <n v="103272"/>
    <n v="1178"/>
    <x v="3"/>
    <x v="6"/>
    <s v="GORENG"/>
    <n v="3145"/>
    <n v="34"/>
    <n v="106930"/>
    <m/>
  </r>
  <r>
    <x v="3"/>
    <s v="JUN"/>
    <x v="12"/>
    <s v="GRSM 4"/>
    <x v="0"/>
    <s v="GMM"/>
    <n v="103259"/>
    <n v="9029389"/>
    <x v="7"/>
    <x v="16"/>
    <s v="BOLOGNESE"/>
    <n v="3000"/>
    <n v="55"/>
    <n v="165000"/>
    <n v="160"/>
  </r>
  <r>
    <x v="3"/>
    <s v="JUN"/>
    <x v="12"/>
    <s v="GRSM 4"/>
    <x v="0"/>
    <s v="GMM"/>
    <n v="103259"/>
    <n v="9029389"/>
    <x v="7"/>
    <x v="16"/>
    <s v="CARBONARA"/>
    <n v="3000"/>
    <n v="88"/>
    <n v="264000"/>
    <m/>
  </r>
  <r>
    <x v="3"/>
    <s v="JUN"/>
    <x v="12"/>
    <s v="GRSM 4"/>
    <x v="0"/>
    <s v="GMM"/>
    <n v="103259"/>
    <n v="9029389"/>
    <x v="7"/>
    <x v="16"/>
    <s v="AGLIO OLIO"/>
    <n v="3000"/>
    <n v="25"/>
    <n v="75000"/>
    <m/>
  </r>
  <r>
    <x v="3"/>
    <s v="JUN"/>
    <x v="12"/>
    <s v="GRSM 4"/>
    <x v="0"/>
    <s v="GMM"/>
    <n v="103259"/>
    <n v="9029389"/>
    <x v="7"/>
    <x v="16"/>
    <s v="GORENG"/>
    <n v="3000"/>
    <n v="170"/>
    <n v="510000"/>
    <m/>
  </r>
  <r>
    <x v="3"/>
    <s v="JUN"/>
    <x v="12"/>
    <s v="GRSM 4"/>
    <x v="0"/>
    <s v="GMM"/>
    <n v="103259"/>
    <n v="9029389"/>
    <x v="7"/>
    <x v="17"/>
    <s v="BOLOGNESE"/>
    <n v="3000"/>
    <n v="35"/>
    <n v="105000"/>
    <n v="160"/>
  </r>
  <r>
    <x v="3"/>
    <s v="JUN"/>
    <x v="12"/>
    <s v="GRSM 4"/>
    <x v="0"/>
    <s v="GMM"/>
    <n v="103259"/>
    <n v="9029389"/>
    <x v="7"/>
    <x v="17"/>
    <s v="CARBONARA"/>
    <n v="3000"/>
    <n v="42"/>
    <n v="126000"/>
    <m/>
  </r>
  <r>
    <x v="3"/>
    <s v="JUN"/>
    <x v="12"/>
    <s v="GRSM 4"/>
    <x v="0"/>
    <s v="GMM"/>
    <n v="103259"/>
    <n v="9029389"/>
    <x v="7"/>
    <x v="17"/>
    <s v="AGLIO OLIO"/>
    <n v="3000"/>
    <n v="60"/>
    <n v="180000"/>
    <m/>
  </r>
  <r>
    <x v="3"/>
    <s v="JUN"/>
    <x v="12"/>
    <s v="GRSM 4"/>
    <x v="0"/>
    <s v="GMM"/>
    <n v="103259"/>
    <n v="9029389"/>
    <x v="7"/>
    <x v="17"/>
    <s v="GORENG"/>
    <n v="3000"/>
    <n v="170"/>
    <n v="510000"/>
    <m/>
  </r>
  <r>
    <x v="3"/>
    <s v="JUN"/>
    <x v="12"/>
    <s v="GRSM 4"/>
    <x v="0"/>
    <s v="NKA"/>
    <n v="490034"/>
    <n v="209554"/>
    <x v="8"/>
    <x v="18"/>
    <s v="BOLOGNESE"/>
    <n v="3275"/>
    <n v="90"/>
    <n v="294750"/>
    <n v="160"/>
  </r>
  <r>
    <x v="3"/>
    <s v="JUN"/>
    <x v="12"/>
    <s v="GRSM 4"/>
    <x v="0"/>
    <s v="NKA"/>
    <n v="490034"/>
    <n v="209554"/>
    <x v="8"/>
    <x v="18"/>
    <s v="CARBONARA"/>
    <n v="3275"/>
    <n v="120"/>
    <n v="393000"/>
    <m/>
  </r>
  <r>
    <x v="3"/>
    <s v="JUN"/>
    <x v="12"/>
    <s v="GRSM 4"/>
    <x v="0"/>
    <s v="NKA"/>
    <n v="490034"/>
    <n v="209554"/>
    <x v="8"/>
    <x v="18"/>
    <s v="AGLIO OLIO"/>
    <n v="3275"/>
    <n v="20"/>
    <n v="65500"/>
    <m/>
  </r>
  <r>
    <x v="3"/>
    <s v="JUN"/>
    <x v="12"/>
    <s v="GRSM 4"/>
    <x v="0"/>
    <s v="NKA"/>
    <n v="490034"/>
    <n v="209554"/>
    <x v="8"/>
    <x v="18"/>
    <s v="GORENG"/>
    <n v="3275"/>
    <n v="130"/>
    <n v="425750"/>
    <m/>
  </r>
  <r>
    <x v="3"/>
    <s v="JUN"/>
    <x v="12"/>
    <s v="GRSM 4"/>
    <x v="0"/>
    <s v="NKA"/>
    <n v="490034"/>
    <n v="209554"/>
    <x v="8"/>
    <x v="19"/>
    <s v="BOLOGNESE"/>
    <n v="3275"/>
    <n v="90"/>
    <n v="294750"/>
    <n v="120"/>
  </r>
  <r>
    <x v="3"/>
    <s v="JUN"/>
    <x v="12"/>
    <s v="GRSM 4"/>
    <x v="0"/>
    <s v="NKA"/>
    <n v="490034"/>
    <n v="209554"/>
    <x v="8"/>
    <x v="19"/>
    <s v="CARBONARA"/>
    <n v="3275"/>
    <n v="120"/>
    <n v="393000"/>
    <m/>
  </r>
  <r>
    <x v="3"/>
    <s v="JUN"/>
    <x v="12"/>
    <s v="GRSM 4"/>
    <x v="0"/>
    <s v="NKA"/>
    <n v="490034"/>
    <n v="209554"/>
    <x v="8"/>
    <x v="19"/>
    <s v="AGLIO OLIO"/>
    <n v="3275"/>
    <n v="20"/>
    <n v="65500"/>
    <m/>
  </r>
  <r>
    <x v="3"/>
    <s v="JUN"/>
    <x v="12"/>
    <s v="GRSM 4"/>
    <x v="0"/>
    <s v="NKA"/>
    <n v="490034"/>
    <n v="209554"/>
    <x v="8"/>
    <x v="19"/>
    <s v="GORENG"/>
    <n v="3275"/>
    <n v="130"/>
    <n v="425750"/>
    <m/>
  </r>
  <r>
    <x v="3"/>
    <s v="JUN"/>
    <x v="12"/>
    <s v="GRSM 4"/>
    <x v="0"/>
    <s v="GMM"/>
    <n v="103259"/>
    <n v="9029389"/>
    <x v="0"/>
    <x v="1"/>
    <s v="BOLOGNESE"/>
    <n v="2000"/>
    <n v="48"/>
    <n v="96000"/>
    <n v="120"/>
  </r>
  <r>
    <x v="3"/>
    <s v="JUN"/>
    <x v="13"/>
    <s v="GRSM 4"/>
    <x v="0"/>
    <s v="GMM"/>
    <n v="103259"/>
    <n v="9029389"/>
    <x v="0"/>
    <x v="1"/>
    <s v="CARBONARA"/>
    <n v="2000"/>
    <n v="57"/>
    <n v="114000"/>
    <m/>
  </r>
  <r>
    <x v="3"/>
    <s v="JUN"/>
    <x v="13"/>
    <s v="GRSM 4"/>
    <x v="0"/>
    <s v="GMM"/>
    <n v="103259"/>
    <n v="9029389"/>
    <x v="0"/>
    <x v="1"/>
    <s v="AGLIO OLIO"/>
    <n v="2000"/>
    <n v="33"/>
    <n v="66000"/>
    <m/>
  </r>
  <r>
    <x v="3"/>
    <s v="JUN"/>
    <x v="13"/>
    <s v="GRSM 4"/>
    <x v="0"/>
    <s v="GMM"/>
    <n v="103259"/>
    <n v="9029389"/>
    <x v="0"/>
    <x v="1"/>
    <s v="GORENG"/>
    <n v="2000"/>
    <n v="102"/>
    <n v="204000"/>
    <m/>
  </r>
  <r>
    <x v="3"/>
    <s v="JUN"/>
    <x v="13"/>
    <s v="GRSM 4"/>
    <x v="0"/>
    <s v="GMM"/>
    <n v="103259"/>
    <n v="9029389"/>
    <x v="0"/>
    <x v="15"/>
    <s v="BOLOGNESE"/>
    <n v="2000"/>
    <n v="63"/>
    <n v="126000"/>
    <n v="160"/>
  </r>
  <r>
    <x v="3"/>
    <s v="JUN"/>
    <x v="13"/>
    <s v="GRSM 4"/>
    <x v="0"/>
    <s v="GMM"/>
    <n v="103259"/>
    <n v="9029389"/>
    <x v="0"/>
    <x v="15"/>
    <s v="CARBONARA"/>
    <n v="2000"/>
    <n v="51"/>
    <n v="102000"/>
    <m/>
  </r>
  <r>
    <x v="3"/>
    <s v="JUN"/>
    <x v="13"/>
    <s v="GRSM 4"/>
    <x v="0"/>
    <s v="GMM"/>
    <n v="103259"/>
    <n v="9029389"/>
    <x v="0"/>
    <x v="15"/>
    <s v="AGLIO OLIO"/>
    <n v="2000"/>
    <n v="42"/>
    <n v="84000"/>
    <m/>
  </r>
  <r>
    <x v="3"/>
    <s v="JUN"/>
    <x v="13"/>
    <s v="GRSM 4"/>
    <x v="0"/>
    <s v="GMM"/>
    <n v="103259"/>
    <n v="9029389"/>
    <x v="0"/>
    <x v="15"/>
    <s v="GORENG"/>
    <n v="2000"/>
    <n v="117"/>
    <n v="234000"/>
    <m/>
  </r>
  <r>
    <x v="3"/>
    <s v="JUN"/>
    <x v="13"/>
    <s v="GRSM 4"/>
    <x v="0"/>
    <s v="GMM"/>
    <n v="103259"/>
    <n v="9013525"/>
    <x v="5"/>
    <x v="9"/>
    <s v="BOLOGNESE"/>
    <n v="2000"/>
    <n v="72"/>
    <n v="144000"/>
    <n v="160"/>
  </r>
  <r>
    <x v="3"/>
    <s v="JUN"/>
    <x v="13"/>
    <s v="GRSM 4"/>
    <x v="0"/>
    <s v="GMM"/>
    <n v="103259"/>
    <n v="9013525"/>
    <x v="5"/>
    <x v="9"/>
    <s v="CARBONARA"/>
    <n v="2000"/>
    <n v="72"/>
    <n v="144000"/>
    <m/>
  </r>
  <r>
    <x v="3"/>
    <s v="JUN"/>
    <x v="13"/>
    <s v="GRSM 4"/>
    <x v="0"/>
    <s v="GMM"/>
    <n v="103259"/>
    <n v="9013525"/>
    <x v="5"/>
    <x v="9"/>
    <s v="AGLIO OLIO"/>
    <n v="2000"/>
    <n v="90"/>
    <n v="180000"/>
    <m/>
  </r>
  <r>
    <x v="3"/>
    <s v="JUN"/>
    <x v="13"/>
    <s v="GRSM 4"/>
    <x v="0"/>
    <s v="GMM"/>
    <n v="103259"/>
    <n v="9013525"/>
    <x v="5"/>
    <x v="9"/>
    <s v="GORENG"/>
    <n v="2000"/>
    <n v="192"/>
    <n v="384000"/>
    <m/>
  </r>
  <r>
    <x v="3"/>
    <s v="JUN"/>
    <x v="13"/>
    <s v="GRSM 4"/>
    <x v="0"/>
    <s v="GMM"/>
    <n v="103259"/>
    <n v="9013525"/>
    <x v="5"/>
    <x v="14"/>
    <s v="BOLOGNESE"/>
    <n v="2000"/>
    <n v="60"/>
    <n v="120000"/>
    <n v="150"/>
  </r>
  <r>
    <x v="3"/>
    <s v="JUN"/>
    <x v="13"/>
    <s v="GRSM 4"/>
    <x v="0"/>
    <s v="GMM"/>
    <n v="103259"/>
    <n v="9013525"/>
    <x v="5"/>
    <x v="14"/>
    <s v="CARBONARA"/>
    <n v="2000"/>
    <n v="60"/>
    <n v="120000"/>
    <m/>
  </r>
  <r>
    <x v="3"/>
    <s v="JUN"/>
    <x v="13"/>
    <s v="GRSM 4"/>
    <x v="0"/>
    <s v="GMM"/>
    <n v="103259"/>
    <n v="9013525"/>
    <x v="5"/>
    <x v="14"/>
    <s v="AGLIO OLIO"/>
    <n v="2000"/>
    <n v="102"/>
    <n v="204000"/>
    <m/>
  </r>
  <r>
    <x v="3"/>
    <s v="JUN"/>
    <x v="13"/>
    <s v="GRSM 4"/>
    <x v="0"/>
    <s v="GMM"/>
    <n v="103259"/>
    <n v="9013525"/>
    <x v="5"/>
    <x v="14"/>
    <s v="GORENG"/>
    <n v="2000"/>
    <n v="168"/>
    <n v="336000"/>
    <m/>
  </r>
  <r>
    <x v="3"/>
    <s v="JUN"/>
    <x v="13"/>
    <s v="GRSM 4"/>
    <x v="0"/>
    <s v="GMM"/>
    <n v="189901"/>
    <n v="1602020"/>
    <x v="2"/>
    <x v="4"/>
    <s v="BOLOGNESE"/>
    <n v="2200"/>
    <n v="45"/>
    <n v="99000"/>
    <n v="150"/>
  </r>
  <r>
    <x v="3"/>
    <s v="JUN"/>
    <x v="13"/>
    <s v="GRSM 4"/>
    <x v="0"/>
    <s v="GMM"/>
    <n v="189901"/>
    <n v="1602020"/>
    <x v="2"/>
    <x v="4"/>
    <s v="CARBONARA"/>
    <n v="2200"/>
    <n v="57"/>
    <n v="125400"/>
    <m/>
  </r>
  <r>
    <x v="3"/>
    <s v="JUN"/>
    <x v="13"/>
    <s v="GRSM 4"/>
    <x v="0"/>
    <s v="GMM"/>
    <n v="189901"/>
    <n v="1602020"/>
    <x v="2"/>
    <x v="4"/>
    <s v="AGLIO OLIO"/>
    <n v="2200"/>
    <n v="29"/>
    <n v="63800"/>
    <m/>
  </r>
  <r>
    <x v="3"/>
    <s v="JUN"/>
    <x v="13"/>
    <s v="GRSM 4"/>
    <x v="0"/>
    <s v="GMM"/>
    <n v="189901"/>
    <n v="1602020"/>
    <x v="2"/>
    <x v="4"/>
    <s v="GORENG"/>
    <n v="2200"/>
    <n v="80"/>
    <n v="176000"/>
    <m/>
  </r>
  <r>
    <x v="3"/>
    <s v="JUN"/>
    <x v="13"/>
    <s v="GRSM 4"/>
    <x v="0"/>
    <s v="GMM"/>
    <n v="189901"/>
    <n v="1602020"/>
    <x v="2"/>
    <x v="5"/>
    <s v="BOLOGNESE"/>
    <n v="2200"/>
    <n v="39"/>
    <n v="85800"/>
    <n v="120"/>
  </r>
  <r>
    <x v="3"/>
    <s v="JUN"/>
    <x v="13"/>
    <s v="GRSM 4"/>
    <x v="0"/>
    <s v="GMM"/>
    <n v="189901"/>
    <n v="1602020"/>
    <x v="2"/>
    <x v="5"/>
    <s v="CARBONARA"/>
    <n v="2200"/>
    <n v="46"/>
    <n v="101200"/>
    <m/>
  </r>
  <r>
    <x v="3"/>
    <s v="JUN"/>
    <x v="13"/>
    <s v="GRSM 4"/>
    <x v="0"/>
    <s v="GMM"/>
    <n v="189901"/>
    <n v="1602020"/>
    <x v="2"/>
    <x v="5"/>
    <s v="AGLIO OLIO"/>
    <n v="2200"/>
    <n v="30"/>
    <n v="66000"/>
    <m/>
  </r>
  <r>
    <x v="3"/>
    <s v="JUN"/>
    <x v="13"/>
    <s v="GRSM 4"/>
    <x v="0"/>
    <s v="GMM"/>
    <n v="189901"/>
    <n v="1602020"/>
    <x v="2"/>
    <x v="5"/>
    <s v="GORENG"/>
    <n v="2200"/>
    <n v="88"/>
    <n v="193600"/>
    <m/>
  </r>
  <r>
    <x v="3"/>
    <s v="JUN"/>
    <x v="13"/>
    <s v="GRSM 4"/>
    <x v="0"/>
    <s v="GMM"/>
    <n v="103257"/>
    <n v="9162509"/>
    <x v="4"/>
    <x v="7"/>
    <s v="BOLOGNESE"/>
    <n v="3200"/>
    <n v="63"/>
    <n v="201600"/>
    <n v="120"/>
  </r>
  <r>
    <x v="3"/>
    <s v="JUN"/>
    <x v="13"/>
    <s v="GRSM 4"/>
    <x v="0"/>
    <s v="GMM"/>
    <n v="103257"/>
    <n v="9162509"/>
    <x v="4"/>
    <x v="7"/>
    <s v="CARBONARA"/>
    <n v="3200"/>
    <n v="59"/>
    <n v="188800"/>
    <m/>
  </r>
  <r>
    <x v="3"/>
    <s v="JUN"/>
    <x v="13"/>
    <s v="GRSM 4"/>
    <x v="0"/>
    <s v="GMM"/>
    <n v="103257"/>
    <n v="9162509"/>
    <x v="4"/>
    <x v="7"/>
    <s v="AGLIO OLIO"/>
    <n v="3200"/>
    <n v="69"/>
    <n v="220800"/>
    <m/>
  </r>
  <r>
    <x v="3"/>
    <s v="JUN"/>
    <x v="13"/>
    <s v="GRSM 4"/>
    <x v="0"/>
    <s v="GMM"/>
    <n v="103257"/>
    <n v="9162509"/>
    <x v="4"/>
    <x v="7"/>
    <s v="GORENG"/>
    <n v="3200"/>
    <n v="120"/>
    <n v="384000"/>
    <m/>
  </r>
  <r>
    <x v="3"/>
    <s v="JUN"/>
    <x v="13"/>
    <s v="GRSM 4"/>
    <x v="0"/>
    <s v="GMM"/>
    <n v="103257"/>
    <n v="9162509"/>
    <x v="4"/>
    <x v="8"/>
    <s v="BOLOGNESE"/>
    <n v="3200"/>
    <n v="60"/>
    <n v="192000"/>
    <n v="160"/>
  </r>
  <r>
    <x v="3"/>
    <s v="JUN"/>
    <x v="13"/>
    <s v="GRSM 4"/>
    <x v="0"/>
    <s v="GMM"/>
    <n v="103257"/>
    <n v="9162509"/>
    <x v="4"/>
    <x v="8"/>
    <s v="CARBONARA"/>
    <n v="3200"/>
    <n v="53"/>
    <n v="169600"/>
    <m/>
  </r>
  <r>
    <x v="3"/>
    <s v="JUN"/>
    <x v="13"/>
    <s v="GRSM 4"/>
    <x v="0"/>
    <s v="GMM"/>
    <n v="103257"/>
    <n v="9162509"/>
    <x v="4"/>
    <x v="8"/>
    <s v="AGLIO OLIO"/>
    <n v="3200"/>
    <n v="63"/>
    <n v="201600"/>
    <m/>
  </r>
  <r>
    <x v="3"/>
    <s v="JUN"/>
    <x v="13"/>
    <s v="GRSM 4"/>
    <x v="0"/>
    <s v="GMM"/>
    <n v="103257"/>
    <n v="9162509"/>
    <x v="4"/>
    <x v="8"/>
    <s v="GORENG"/>
    <n v="3200"/>
    <n v="110"/>
    <n v="352000"/>
    <m/>
  </r>
  <r>
    <x v="3"/>
    <s v="JUN"/>
    <x v="13"/>
    <s v="GRSM 4"/>
    <x v="0"/>
    <s v="GMM"/>
    <n v="103277"/>
    <n v="6300538"/>
    <x v="1"/>
    <x v="2"/>
    <s v="BOLOGNESE"/>
    <n v="2975"/>
    <n v="48"/>
    <n v="142800"/>
    <n v="160"/>
  </r>
  <r>
    <x v="3"/>
    <s v="JUN"/>
    <x v="13"/>
    <s v="GRSM 4"/>
    <x v="0"/>
    <s v="GMM"/>
    <n v="103277"/>
    <n v="6300538"/>
    <x v="1"/>
    <x v="2"/>
    <s v="CARBONARA"/>
    <n v="2975"/>
    <n v="72"/>
    <n v="214200"/>
    <m/>
  </r>
  <r>
    <x v="3"/>
    <s v="JUN"/>
    <x v="13"/>
    <s v="GRSM 4"/>
    <x v="0"/>
    <s v="GMM"/>
    <n v="103277"/>
    <n v="6300538"/>
    <x v="1"/>
    <x v="2"/>
    <s v="AGLIO OLIO"/>
    <n v="2975"/>
    <n v="53"/>
    <n v="157675"/>
    <m/>
  </r>
  <r>
    <x v="3"/>
    <s v="JUN"/>
    <x v="13"/>
    <s v="GRSM 4"/>
    <x v="0"/>
    <s v="GMM"/>
    <n v="103277"/>
    <n v="6300538"/>
    <x v="1"/>
    <x v="2"/>
    <s v="GORENG"/>
    <n v="2975"/>
    <n v="215"/>
    <n v="639625"/>
    <m/>
  </r>
  <r>
    <x v="3"/>
    <s v="JUN"/>
    <x v="13"/>
    <s v="GRSM 4"/>
    <x v="0"/>
    <s v="GMM"/>
    <n v="103277"/>
    <n v="6300538"/>
    <x v="1"/>
    <x v="3"/>
    <s v="BOLOGNESE"/>
    <n v="2975"/>
    <n v="45"/>
    <n v="133875"/>
    <n v="160"/>
  </r>
  <r>
    <x v="3"/>
    <s v="JUN"/>
    <x v="13"/>
    <s v="GRSM 4"/>
    <x v="0"/>
    <s v="GMM"/>
    <n v="103277"/>
    <n v="6300538"/>
    <x v="1"/>
    <x v="3"/>
    <s v="CARBONARA"/>
    <n v="2975"/>
    <n v="65"/>
    <n v="193375"/>
    <m/>
  </r>
  <r>
    <x v="3"/>
    <s v="JUN"/>
    <x v="13"/>
    <s v="GRSM 4"/>
    <x v="0"/>
    <s v="GMM"/>
    <n v="103277"/>
    <n v="6300538"/>
    <x v="1"/>
    <x v="3"/>
    <s v="AGLIO OLIO"/>
    <n v="2975"/>
    <n v="55"/>
    <n v="163625"/>
    <m/>
  </r>
  <r>
    <x v="3"/>
    <s v="JUN"/>
    <x v="13"/>
    <s v="GRSM 4"/>
    <x v="0"/>
    <s v="GMM"/>
    <n v="103277"/>
    <n v="6300538"/>
    <x v="1"/>
    <x v="3"/>
    <s v="GORENG"/>
    <n v="2975"/>
    <n v="205"/>
    <n v="609875"/>
    <m/>
  </r>
  <r>
    <x v="3"/>
    <s v="JUN"/>
    <x v="13"/>
    <s v="GRSM 4"/>
    <x v="0"/>
    <s v="GMM"/>
    <n v="103277"/>
    <n v="6301424"/>
    <x v="6"/>
    <x v="12"/>
    <s v="BOLOGNESE"/>
    <n v="3000"/>
    <n v="116"/>
    <n v="348000"/>
    <n v="160"/>
  </r>
  <r>
    <x v="3"/>
    <s v="JUN"/>
    <x v="13"/>
    <s v="GRSM 4"/>
    <x v="0"/>
    <s v="GMM"/>
    <n v="103277"/>
    <n v="6301424"/>
    <x v="6"/>
    <x v="12"/>
    <s v="CARBONARA"/>
    <n v="3000"/>
    <n v="40"/>
    <n v="120000"/>
    <n v="160"/>
  </r>
  <r>
    <x v="3"/>
    <s v="JUN"/>
    <x v="13"/>
    <s v="GRSM 4"/>
    <x v="0"/>
    <s v="GMM"/>
    <n v="103277"/>
    <n v="6301424"/>
    <x v="6"/>
    <x v="12"/>
    <s v="AGLIO OLIO"/>
    <n v="3000"/>
    <n v="82"/>
    <n v="246000"/>
    <n v="160"/>
  </r>
  <r>
    <x v="3"/>
    <s v="JUN"/>
    <x v="13"/>
    <s v="GRSM 4"/>
    <x v="0"/>
    <s v="GMM"/>
    <n v="103277"/>
    <n v="6301424"/>
    <x v="6"/>
    <x v="12"/>
    <s v="GORENG"/>
    <n v="3000"/>
    <n v="126"/>
    <n v="378000"/>
    <n v="160"/>
  </r>
  <r>
    <x v="3"/>
    <s v="JUN"/>
    <x v="13"/>
    <s v="GRSM 4"/>
    <x v="0"/>
    <s v="GMM"/>
    <n v="103277"/>
    <n v="6301424"/>
    <x v="6"/>
    <x v="13"/>
    <s v="BOLOGNESE"/>
    <n v="3000"/>
    <n v="118"/>
    <n v="354000"/>
    <n v="160"/>
  </r>
  <r>
    <x v="3"/>
    <s v="JUN"/>
    <x v="13"/>
    <s v="GRSM 4"/>
    <x v="0"/>
    <s v="GMM"/>
    <n v="103277"/>
    <n v="6301424"/>
    <x v="6"/>
    <x v="13"/>
    <s v="CARBONARA"/>
    <n v="3000"/>
    <n v="42"/>
    <n v="126000"/>
    <n v="160"/>
  </r>
  <r>
    <x v="3"/>
    <s v="JUN"/>
    <x v="13"/>
    <s v="GRSM 4"/>
    <x v="0"/>
    <s v="GMM"/>
    <n v="103277"/>
    <n v="6301424"/>
    <x v="6"/>
    <x v="13"/>
    <s v="AGLIO OLIO"/>
    <n v="3000"/>
    <n v="76"/>
    <n v="228000"/>
    <n v="160"/>
  </r>
  <r>
    <x v="3"/>
    <s v="JUN"/>
    <x v="13"/>
    <s v="GRSM 4"/>
    <x v="0"/>
    <s v="GMM"/>
    <n v="103277"/>
    <n v="6301424"/>
    <x v="6"/>
    <x v="13"/>
    <s v="GORENG"/>
    <n v="3000"/>
    <n v="122"/>
    <n v="366000"/>
    <n v="160"/>
  </r>
  <r>
    <x v="3"/>
    <s v="JUN"/>
    <x v="13"/>
    <s v="GRSM 4"/>
    <x v="0"/>
    <s v="GMM"/>
    <n v="103259"/>
    <n v="9029389"/>
    <x v="7"/>
    <x v="16"/>
    <s v="BOLOGNESE"/>
    <n v="3000"/>
    <n v="60"/>
    <n v="180000"/>
    <n v="160"/>
  </r>
  <r>
    <x v="3"/>
    <s v="JUN"/>
    <x v="13"/>
    <s v="GRSM 4"/>
    <x v="0"/>
    <s v="GMM"/>
    <n v="103259"/>
    <n v="9029389"/>
    <x v="7"/>
    <x v="16"/>
    <s v="CARBONARA"/>
    <n v="3000"/>
    <n v="82"/>
    <n v="246000"/>
    <n v="160"/>
  </r>
  <r>
    <x v="3"/>
    <s v="JUN"/>
    <x v="13"/>
    <s v="GRSM 4"/>
    <x v="0"/>
    <s v="GMM"/>
    <n v="103259"/>
    <n v="9029389"/>
    <x v="7"/>
    <x v="16"/>
    <s v="AGLIO OLIO"/>
    <n v="3000"/>
    <n v="38"/>
    <n v="114000"/>
    <n v="160"/>
  </r>
  <r>
    <x v="3"/>
    <s v="JUN"/>
    <x v="13"/>
    <s v="GRSM 4"/>
    <x v="0"/>
    <s v="GMM"/>
    <n v="103259"/>
    <n v="9029389"/>
    <x v="7"/>
    <x v="16"/>
    <s v="GORENG"/>
    <n v="3000"/>
    <n v="182"/>
    <n v="546000"/>
    <n v="160"/>
  </r>
  <r>
    <x v="3"/>
    <s v="JUN"/>
    <x v="13"/>
    <s v="GRSM 4"/>
    <x v="0"/>
    <s v="GMM"/>
    <n v="103259"/>
    <n v="9029389"/>
    <x v="7"/>
    <x v="17"/>
    <s v="BOLOGNESE"/>
    <n v="3000"/>
    <n v="50"/>
    <n v="150000"/>
    <n v="160"/>
  </r>
  <r>
    <x v="3"/>
    <s v="JUN"/>
    <x v="13"/>
    <s v="GRSM 4"/>
    <x v="0"/>
    <s v="GMM"/>
    <n v="103259"/>
    <n v="9029389"/>
    <x v="7"/>
    <x v="17"/>
    <s v="CARBONARA"/>
    <n v="3000"/>
    <n v="55"/>
    <n v="165000"/>
    <n v="160"/>
  </r>
  <r>
    <x v="3"/>
    <s v="JUN"/>
    <x v="13"/>
    <s v="GRSM 4"/>
    <x v="0"/>
    <s v="GMM"/>
    <n v="103259"/>
    <n v="9029389"/>
    <x v="7"/>
    <x v="17"/>
    <s v="AGLIO OLIO"/>
    <n v="3000"/>
    <n v="46"/>
    <n v="138000"/>
    <n v="160"/>
  </r>
  <r>
    <x v="3"/>
    <s v="JUN"/>
    <x v="13"/>
    <s v="GRSM 4"/>
    <x v="0"/>
    <s v="GMM"/>
    <n v="103259"/>
    <n v="9029389"/>
    <x v="7"/>
    <x v="17"/>
    <s v="GORENG"/>
    <n v="3000"/>
    <n v="202"/>
    <n v="606000"/>
    <n v="160"/>
  </r>
  <r>
    <x v="3"/>
    <s v="JUN"/>
    <x v="13"/>
    <s v="GRSM 4"/>
    <x v="0"/>
    <s v="NKA"/>
    <n v="490034"/>
    <n v="209554"/>
    <x v="8"/>
    <x v="18"/>
    <s v="BOLOGNESE"/>
    <n v="3275"/>
    <n v="30"/>
    <n v="98250"/>
    <n v="160"/>
  </r>
  <r>
    <x v="3"/>
    <s v="JUN"/>
    <x v="13"/>
    <s v="GRSM 4"/>
    <x v="0"/>
    <s v="NKA"/>
    <n v="490034"/>
    <n v="209554"/>
    <x v="8"/>
    <x v="18"/>
    <s v="CARBONARA"/>
    <n v="3275"/>
    <n v="70"/>
    <n v="229250"/>
    <n v="160"/>
  </r>
  <r>
    <x v="3"/>
    <s v="JUN"/>
    <x v="13"/>
    <s v="GRSM 4"/>
    <x v="0"/>
    <s v="NKA"/>
    <n v="490034"/>
    <n v="209554"/>
    <x v="8"/>
    <x v="18"/>
    <s v="AGLIO OLIO"/>
    <n v="3275"/>
    <n v="30"/>
    <n v="98250"/>
    <n v="160"/>
  </r>
  <r>
    <x v="3"/>
    <s v="JUN"/>
    <x v="13"/>
    <s v="GRSM 4"/>
    <x v="0"/>
    <s v="NKA"/>
    <n v="490034"/>
    <n v="209554"/>
    <x v="8"/>
    <x v="18"/>
    <s v="GORENG"/>
    <n v="3275"/>
    <n v="160"/>
    <n v="524000"/>
    <n v="160"/>
  </r>
  <r>
    <x v="3"/>
    <s v="JUN"/>
    <x v="13"/>
    <s v="GRSM 4"/>
    <x v="0"/>
    <s v="NKA"/>
    <n v="490034"/>
    <n v="209554"/>
    <x v="8"/>
    <x v="19"/>
    <s v="BOLOGNESE"/>
    <n v="3275"/>
    <n v="30"/>
    <n v="98250"/>
    <n v="160"/>
  </r>
  <r>
    <x v="3"/>
    <s v="JUN"/>
    <x v="13"/>
    <s v="GRSM 4"/>
    <x v="0"/>
    <s v="NKA"/>
    <n v="490034"/>
    <n v="209554"/>
    <x v="8"/>
    <x v="19"/>
    <s v="CARBONARA"/>
    <n v="3275"/>
    <n v="70"/>
    <n v="229250"/>
    <n v="160"/>
  </r>
  <r>
    <x v="3"/>
    <s v="JUN"/>
    <x v="13"/>
    <s v="GRSM 4"/>
    <x v="0"/>
    <s v="NKA"/>
    <n v="490034"/>
    <n v="209554"/>
    <x v="8"/>
    <x v="19"/>
    <s v="AGLIO OLIO"/>
    <n v="3275"/>
    <n v="30"/>
    <n v="98250"/>
    <n v="160"/>
  </r>
  <r>
    <x v="3"/>
    <s v="JUN"/>
    <x v="13"/>
    <s v="GRSM 4"/>
    <x v="0"/>
    <s v="NKA"/>
    <n v="490034"/>
    <n v="209554"/>
    <x v="8"/>
    <x v="19"/>
    <s v="GORENG"/>
    <n v="3275"/>
    <n v="160"/>
    <n v="524000"/>
    <n v="160"/>
  </r>
  <r>
    <x v="3"/>
    <s v="JUN"/>
    <x v="13"/>
    <s v="GRSM 4"/>
    <x v="0"/>
    <s v="GMM"/>
    <n v="103277"/>
    <n v="6301424"/>
    <x v="6"/>
    <x v="12"/>
    <s v="BOLOGNESE"/>
    <n v="3000"/>
    <n v="15"/>
    <n v="45000"/>
    <m/>
  </r>
  <r>
    <x v="4"/>
    <s v="JUN"/>
    <x v="14"/>
    <s v="GRSM 4"/>
    <x v="0"/>
    <s v="GMM"/>
    <n v="103257"/>
    <n v="9162509"/>
    <x v="4"/>
    <x v="7"/>
    <s v="BOLOGNESE"/>
    <n v="3200"/>
    <n v="58"/>
    <n v="185600"/>
    <m/>
  </r>
  <r>
    <x v="4"/>
    <s v="JUN"/>
    <x v="14"/>
    <s v="GRSM 4"/>
    <x v="0"/>
    <s v="GMM"/>
    <n v="103257"/>
    <n v="9162509"/>
    <x v="4"/>
    <x v="7"/>
    <s v="CARBONARA"/>
    <n v="3200"/>
    <n v="64"/>
    <n v="204800"/>
    <m/>
  </r>
  <r>
    <x v="4"/>
    <s v="JUN"/>
    <x v="14"/>
    <s v="GRSM 4"/>
    <x v="0"/>
    <s v="GMM"/>
    <n v="103257"/>
    <n v="9162509"/>
    <x v="4"/>
    <x v="7"/>
    <s v="AGLIO OLIO"/>
    <n v="3200"/>
    <n v="55"/>
    <n v="176000"/>
    <m/>
  </r>
  <r>
    <x v="4"/>
    <s v="JUN"/>
    <x v="14"/>
    <s v="GRSM 4"/>
    <x v="0"/>
    <s v="GMM"/>
    <n v="103257"/>
    <n v="9162509"/>
    <x v="4"/>
    <x v="7"/>
    <s v="GORENG"/>
    <n v="3200"/>
    <n v="93"/>
    <n v="297600"/>
    <n v="160"/>
  </r>
  <r>
    <x v="4"/>
    <s v="JUN"/>
    <x v="14"/>
    <s v="GRSM 4"/>
    <x v="0"/>
    <s v="GMM"/>
    <n v="103257"/>
    <n v="9162509"/>
    <x v="4"/>
    <x v="8"/>
    <s v="BOLOGNESE"/>
    <n v="3200"/>
    <n v="55"/>
    <n v="176000"/>
    <m/>
  </r>
  <r>
    <x v="4"/>
    <s v="JUN"/>
    <x v="14"/>
    <s v="GRSM 4"/>
    <x v="0"/>
    <s v="GMM"/>
    <n v="103257"/>
    <n v="9162509"/>
    <x v="4"/>
    <x v="8"/>
    <s v="CARBONARA"/>
    <n v="3200"/>
    <n v="62"/>
    <n v="198400"/>
    <m/>
  </r>
  <r>
    <x v="4"/>
    <s v="JUN"/>
    <x v="14"/>
    <s v="GRSM 4"/>
    <x v="0"/>
    <s v="GMM"/>
    <n v="103257"/>
    <n v="9162509"/>
    <x v="4"/>
    <x v="8"/>
    <s v="AGLIO OLIO"/>
    <n v="3200"/>
    <n v="53"/>
    <n v="169600"/>
    <m/>
  </r>
  <r>
    <x v="4"/>
    <s v="JUN"/>
    <x v="14"/>
    <s v="GRSM 4"/>
    <x v="0"/>
    <s v="GMM"/>
    <n v="103257"/>
    <n v="9162509"/>
    <x v="4"/>
    <x v="8"/>
    <s v="GORENG"/>
    <n v="3200"/>
    <n v="91"/>
    <n v="291200"/>
    <n v="160"/>
  </r>
  <r>
    <x v="4"/>
    <s v="JUN"/>
    <x v="14"/>
    <s v="GRSM 3A"/>
    <x v="0"/>
    <s v="GMM"/>
    <n v="103272"/>
    <n v="1178"/>
    <x v="3"/>
    <x v="20"/>
    <s v="BOLOGNESE"/>
    <n v="3145"/>
    <n v="18"/>
    <n v="56610"/>
    <m/>
  </r>
  <r>
    <x v="4"/>
    <s v="JUN"/>
    <x v="14"/>
    <s v="GRSM 3A"/>
    <x v="0"/>
    <s v="GMM"/>
    <n v="103272"/>
    <n v="1178"/>
    <x v="3"/>
    <x v="20"/>
    <s v="CARBONARA"/>
    <n v="3145"/>
    <n v="39"/>
    <n v="122655"/>
    <m/>
  </r>
  <r>
    <x v="4"/>
    <s v="JUN"/>
    <x v="14"/>
    <s v="GRSM 3A"/>
    <x v="0"/>
    <s v="GMM"/>
    <n v="103272"/>
    <n v="1178"/>
    <x v="3"/>
    <x v="20"/>
    <s v="AGLIO OLIO"/>
    <n v="3145"/>
    <n v="10"/>
    <n v="31450"/>
    <m/>
  </r>
  <r>
    <x v="4"/>
    <s v="JUN"/>
    <x v="14"/>
    <s v="GRSM 3A"/>
    <x v="0"/>
    <s v="GMM"/>
    <n v="103272"/>
    <n v="1178"/>
    <x v="3"/>
    <x v="20"/>
    <s v="GORENG"/>
    <n v="3145"/>
    <n v="131"/>
    <n v="411995"/>
    <n v="100"/>
  </r>
  <r>
    <x v="4"/>
    <s v="JUN"/>
    <x v="14"/>
    <s v="GRSM 3A"/>
    <x v="0"/>
    <s v="GMM"/>
    <n v="103272"/>
    <n v="1178"/>
    <x v="3"/>
    <x v="6"/>
    <s v="BOLOGNESE"/>
    <n v="3145"/>
    <n v="18"/>
    <n v="56610"/>
    <m/>
  </r>
  <r>
    <x v="4"/>
    <s v="JUN"/>
    <x v="14"/>
    <s v="GRSM 3A"/>
    <x v="0"/>
    <s v="GMM"/>
    <n v="103272"/>
    <n v="1178"/>
    <x v="3"/>
    <x v="6"/>
    <s v="CARBONARA"/>
    <n v="3145"/>
    <n v="39"/>
    <n v="122655"/>
    <m/>
  </r>
  <r>
    <x v="4"/>
    <s v="JUN"/>
    <x v="14"/>
    <s v="GRSM 3A"/>
    <x v="0"/>
    <s v="GMM"/>
    <n v="103272"/>
    <n v="1178"/>
    <x v="3"/>
    <x v="6"/>
    <s v="AGLIO OLIO"/>
    <n v="3145"/>
    <n v="10"/>
    <n v="31450"/>
    <m/>
  </r>
  <r>
    <x v="4"/>
    <s v="JUN"/>
    <x v="14"/>
    <s v="GRSM 3A"/>
    <x v="0"/>
    <s v="GMM"/>
    <n v="103272"/>
    <n v="1178"/>
    <x v="3"/>
    <x v="6"/>
    <s v="GORENG"/>
    <n v="3145"/>
    <n v="131"/>
    <n v="411995"/>
    <n v="100"/>
  </r>
  <r>
    <x v="4"/>
    <s v="JUN"/>
    <x v="14"/>
    <s v="GRSM 4"/>
    <x v="0"/>
    <s v="GMM"/>
    <n v="103259"/>
    <n v="9013525"/>
    <x v="5"/>
    <x v="9"/>
    <s v="BOLOGNESE"/>
    <n v="2000"/>
    <n v="84"/>
    <n v="168000"/>
    <m/>
  </r>
  <r>
    <x v="4"/>
    <s v="JUN"/>
    <x v="14"/>
    <s v="GRSM 4"/>
    <x v="0"/>
    <s v="GMM"/>
    <n v="103259"/>
    <n v="9013525"/>
    <x v="5"/>
    <x v="9"/>
    <s v="CARBONARA"/>
    <n v="2000"/>
    <n v="96"/>
    <n v="192000"/>
    <m/>
  </r>
  <r>
    <x v="4"/>
    <s v="JUN"/>
    <x v="14"/>
    <s v="GRSM 4"/>
    <x v="0"/>
    <s v="GMM"/>
    <n v="103259"/>
    <n v="9013525"/>
    <x v="5"/>
    <x v="9"/>
    <s v="AGLIO OLIO"/>
    <n v="2000"/>
    <n v="96"/>
    <n v="192000"/>
    <m/>
  </r>
  <r>
    <x v="4"/>
    <s v="JUN"/>
    <x v="14"/>
    <s v="GRSM 4"/>
    <x v="0"/>
    <s v="GMM"/>
    <n v="103259"/>
    <n v="9013525"/>
    <x v="5"/>
    <x v="9"/>
    <s v="GORENG"/>
    <n v="2000"/>
    <n v="144"/>
    <n v="288000"/>
    <n v="160"/>
  </r>
  <r>
    <x v="4"/>
    <s v="JUN"/>
    <x v="14"/>
    <s v="GRSM 4"/>
    <x v="0"/>
    <s v="GMM"/>
    <n v="103259"/>
    <n v="9013525"/>
    <x v="5"/>
    <x v="14"/>
    <s v="BOLOGNESE"/>
    <n v="2000"/>
    <n v="96"/>
    <n v="192000"/>
    <m/>
  </r>
  <r>
    <x v="4"/>
    <s v="JUN"/>
    <x v="14"/>
    <s v="GRSM 4"/>
    <x v="0"/>
    <s v="GMM"/>
    <n v="103259"/>
    <n v="9013525"/>
    <x v="5"/>
    <x v="14"/>
    <s v="CARBONARA"/>
    <n v="2000"/>
    <n v="120"/>
    <n v="240000"/>
    <m/>
  </r>
  <r>
    <x v="4"/>
    <s v="JUN"/>
    <x v="14"/>
    <s v="GRSM 4"/>
    <x v="0"/>
    <s v="GMM"/>
    <n v="103259"/>
    <n v="9013525"/>
    <x v="5"/>
    <x v="14"/>
    <s v="AGLIO OLIO"/>
    <n v="2000"/>
    <n v="30"/>
    <n v="60000"/>
    <m/>
  </r>
  <r>
    <x v="4"/>
    <s v="JUN"/>
    <x v="14"/>
    <s v="GRSM 4"/>
    <x v="0"/>
    <s v="GMM"/>
    <n v="103259"/>
    <n v="9013525"/>
    <x v="5"/>
    <x v="14"/>
    <s v="GORENG"/>
    <n v="2000"/>
    <n v="144"/>
    <n v="288000"/>
    <n v="160"/>
  </r>
  <r>
    <x v="4"/>
    <s v="JUN"/>
    <x v="14"/>
    <s v="GRSM 4"/>
    <x v="0"/>
    <s v="GMM"/>
    <n v="103277"/>
    <n v="6300538"/>
    <x v="1"/>
    <x v="2"/>
    <s v="BOLOGNESE"/>
    <n v="2975"/>
    <n v="71"/>
    <n v="211225"/>
    <m/>
  </r>
  <r>
    <x v="4"/>
    <s v="JUN"/>
    <x v="14"/>
    <s v="GRSM 4"/>
    <x v="0"/>
    <s v="GMM"/>
    <n v="103277"/>
    <n v="6300538"/>
    <x v="1"/>
    <x v="2"/>
    <s v="CARBONARA"/>
    <n v="2975"/>
    <n v="68"/>
    <n v="202300"/>
    <m/>
  </r>
  <r>
    <x v="4"/>
    <s v="JUN"/>
    <x v="14"/>
    <s v="GRSM 4"/>
    <x v="0"/>
    <s v="GMM"/>
    <n v="103277"/>
    <n v="6300538"/>
    <x v="1"/>
    <x v="2"/>
    <s v="AGLIO OLIO"/>
    <n v="2975"/>
    <n v="62"/>
    <n v="184450"/>
    <m/>
  </r>
  <r>
    <x v="4"/>
    <s v="JUN"/>
    <x v="14"/>
    <s v="GRSM 4"/>
    <x v="0"/>
    <s v="GMM"/>
    <n v="103277"/>
    <n v="6300538"/>
    <x v="1"/>
    <x v="2"/>
    <s v="GORENG"/>
    <n v="2975"/>
    <n v="221"/>
    <n v="657475"/>
    <n v="146"/>
  </r>
  <r>
    <x v="4"/>
    <s v="JUN"/>
    <x v="14"/>
    <s v="GRSM 4"/>
    <x v="0"/>
    <s v="GMM"/>
    <n v="103277"/>
    <n v="6300538"/>
    <x v="1"/>
    <x v="3"/>
    <s v="BOLOGNESE"/>
    <n v="2975"/>
    <n v="69"/>
    <n v="205275"/>
    <m/>
  </r>
  <r>
    <x v="4"/>
    <s v="JUN"/>
    <x v="14"/>
    <s v="GRSM 4"/>
    <x v="0"/>
    <s v="GMM"/>
    <n v="103277"/>
    <n v="6300538"/>
    <x v="1"/>
    <x v="3"/>
    <s v="CARBONARA"/>
    <n v="2975"/>
    <n v="65"/>
    <n v="193375"/>
    <m/>
  </r>
  <r>
    <x v="4"/>
    <s v="JUN"/>
    <x v="14"/>
    <s v="GRSM 4"/>
    <x v="0"/>
    <s v="GMM"/>
    <n v="103277"/>
    <n v="6300538"/>
    <x v="1"/>
    <x v="3"/>
    <s v="AGLIO OLIO"/>
    <n v="2975"/>
    <n v="54"/>
    <n v="160650"/>
    <m/>
  </r>
  <r>
    <x v="4"/>
    <s v="JUN"/>
    <x v="14"/>
    <s v="GRSM 4"/>
    <x v="0"/>
    <s v="GMM"/>
    <n v="103277"/>
    <n v="6300538"/>
    <x v="1"/>
    <x v="3"/>
    <s v="GORENG"/>
    <n v="2975"/>
    <n v="215"/>
    <n v="639625"/>
    <n v="146"/>
  </r>
  <r>
    <x v="4"/>
    <s v="JUN"/>
    <x v="14"/>
    <s v="GRSM 4"/>
    <x v="0"/>
    <s v="GMM"/>
    <n v="103259"/>
    <n v="9029389"/>
    <x v="7"/>
    <x v="21"/>
    <s v="BOLOGNESE"/>
    <n v="2000"/>
    <n v="39"/>
    <n v="78000"/>
    <m/>
  </r>
  <r>
    <x v="4"/>
    <s v="JUN"/>
    <x v="14"/>
    <s v="GRSM 4"/>
    <x v="0"/>
    <s v="GMM"/>
    <n v="103259"/>
    <n v="9029389"/>
    <x v="7"/>
    <x v="21"/>
    <s v="CARBONARA"/>
    <n v="2000"/>
    <n v="57"/>
    <n v="114000"/>
    <m/>
  </r>
  <r>
    <x v="4"/>
    <s v="JUN"/>
    <x v="14"/>
    <s v="GRSM 4"/>
    <x v="0"/>
    <s v="GMM"/>
    <n v="103259"/>
    <n v="9029389"/>
    <x v="7"/>
    <x v="21"/>
    <s v="AGLIO OLIO"/>
    <n v="2000"/>
    <n v="23"/>
    <n v="46000"/>
    <m/>
  </r>
  <r>
    <x v="4"/>
    <s v="JUN"/>
    <x v="14"/>
    <s v="GRSM 4"/>
    <x v="0"/>
    <s v="GMM"/>
    <n v="103259"/>
    <n v="9029389"/>
    <x v="7"/>
    <x v="21"/>
    <s v="GORENG"/>
    <n v="2000"/>
    <n v="128"/>
    <n v="256000"/>
    <n v="160"/>
  </r>
  <r>
    <x v="4"/>
    <s v="JUN"/>
    <x v="14"/>
    <s v="GRSM 4"/>
    <x v="0"/>
    <s v="GMM"/>
    <n v="103259"/>
    <n v="9029389"/>
    <x v="7"/>
    <x v="17"/>
    <s v="BOLOGNESE"/>
    <n v="2000"/>
    <n v="40"/>
    <n v="80000"/>
    <m/>
  </r>
  <r>
    <x v="4"/>
    <s v="JUN"/>
    <x v="14"/>
    <s v="GRSM 4"/>
    <x v="0"/>
    <s v="GMM"/>
    <n v="103259"/>
    <n v="9029389"/>
    <x v="7"/>
    <x v="17"/>
    <s v="CARBONARA"/>
    <n v="2000"/>
    <n v="50"/>
    <n v="100000"/>
    <m/>
  </r>
  <r>
    <x v="4"/>
    <s v="JUN"/>
    <x v="14"/>
    <s v="GRSM 4"/>
    <x v="0"/>
    <s v="GMM"/>
    <n v="103259"/>
    <n v="9029389"/>
    <x v="7"/>
    <x v="17"/>
    <s v="AGLIO OLIO"/>
    <n v="2000"/>
    <n v="30"/>
    <n v="60000"/>
    <m/>
  </r>
  <r>
    <x v="4"/>
    <s v="JUN"/>
    <x v="14"/>
    <s v="GRSM 4"/>
    <x v="0"/>
    <s v="GMM"/>
    <n v="103259"/>
    <n v="9029389"/>
    <x v="7"/>
    <x v="17"/>
    <s v="GORENG"/>
    <n v="2000"/>
    <n v="130"/>
    <n v="260000"/>
    <n v="160"/>
  </r>
  <r>
    <x v="4"/>
    <s v="JUN"/>
    <x v="14"/>
    <s v="GRSM 4"/>
    <x v="0"/>
    <s v="GMM"/>
    <n v="103259"/>
    <n v="9029389"/>
    <x v="0"/>
    <x v="15"/>
    <s v="BOLOGNESE"/>
    <n v="2000"/>
    <n v="66"/>
    <n v="132000"/>
    <m/>
  </r>
  <r>
    <x v="4"/>
    <s v="JUN"/>
    <x v="14"/>
    <s v="GRSM 4"/>
    <x v="0"/>
    <s v="GMM"/>
    <n v="103259"/>
    <n v="9029389"/>
    <x v="0"/>
    <x v="15"/>
    <s v="CARBONARA"/>
    <n v="2000"/>
    <n v="57"/>
    <n v="114000"/>
    <m/>
  </r>
  <r>
    <x v="4"/>
    <s v="JUN"/>
    <x v="14"/>
    <s v="GRSM 4"/>
    <x v="0"/>
    <s v="GMM"/>
    <n v="103259"/>
    <n v="9029389"/>
    <x v="0"/>
    <x v="15"/>
    <s v="AGLIO OLIO"/>
    <n v="2000"/>
    <n v="45"/>
    <n v="90000"/>
    <m/>
  </r>
  <r>
    <x v="4"/>
    <s v="JUN"/>
    <x v="14"/>
    <s v="GRSM 4"/>
    <x v="0"/>
    <s v="GMM"/>
    <n v="103259"/>
    <n v="9029389"/>
    <x v="0"/>
    <x v="15"/>
    <s v="GORENG"/>
    <n v="2000"/>
    <n v="120"/>
    <n v="240000"/>
    <n v="160"/>
  </r>
  <r>
    <x v="4"/>
    <s v="JUN"/>
    <x v="14"/>
    <s v="GRSM 4"/>
    <x v="0"/>
    <s v="GMM"/>
    <n v="103277"/>
    <n v="6301424"/>
    <x v="6"/>
    <x v="13"/>
    <s v="BOLOGNESE"/>
    <n v="3000"/>
    <n v="78"/>
    <n v="234000"/>
    <m/>
  </r>
  <r>
    <x v="4"/>
    <s v="JUN"/>
    <x v="14"/>
    <s v="GRSM 4"/>
    <x v="0"/>
    <s v="GMM"/>
    <n v="103277"/>
    <n v="6301424"/>
    <x v="6"/>
    <x v="13"/>
    <s v="CARBONARA"/>
    <n v="3000"/>
    <n v="82"/>
    <n v="246000"/>
    <m/>
  </r>
  <r>
    <x v="4"/>
    <s v="JUN"/>
    <x v="14"/>
    <s v="GRSM 4"/>
    <x v="0"/>
    <s v="GMM"/>
    <n v="103277"/>
    <n v="6301424"/>
    <x v="6"/>
    <x v="13"/>
    <s v="AGLIO OLIO"/>
    <n v="3000"/>
    <n v="38"/>
    <n v="114000"/>
    <m/>
  </r>
  <r>
    <x v="4"/>
    <s v="JUN"/>
    <x v="14"/>
    <s v="GRSM 4"/>
    <x v="0"/>
    <s v="GMM"/>
    <n v="103277"/>
    <n v="6301424"/>
    <x v="6"/>
    <x v="13"/>
    <s v="GORENG"/>
    <n v="3000"/>
    <n v="122"/>
    <n v="366000"/>
    <n v="120"/>
  </r>
  <r>
    <x v="4"/>
    <s v="JUN"/>
    <x v="14"/>
    <s v="GRSM 4"/>
    <x v="0"/>
    <s v="GMM"/>
    <n v="103277"/>
    <n v="6301424"/>
    <x v="6"/>
    <x v="12"/>
    <s v="BOLOGNESE"/>
    <n v="3000"/>
    <n v="82"/>
    <n v="246000"/>
    <m/>
  </r>
  <r>
    <x v="4"/>
    <s v="JUN"/>
    <x v="14"/>
    <s v="GRSM 4"/>
    <x v="0"/>
    <s v="GMM"/>
    <n v="103277"/>
    <n v="6301424"/>
    <x v="6"/>
    <x v="12"/>
    <s v="CARBONARA"/>
    <n v="3000"/>
    <n v="84"/>
    <n v="252000"/>
    <m/>
  </r>
  <r>
    <x v="4"/>
    <s v="JUN"/>
    <x v="14"/>
    <s v="GRSM 4"/>
    <x v="0"/>
    <s v="GMM"/>
    <n v="103277"/>
    <n v="6301424"/>
    <x v="6"/>
    <x v="12"/>
    <s v="AGLIO OLIO"/>
    <n v="3000"/>
    <n v="40"/>
    <n v="120000"/>
    <m/>
  </r>
  <r>
    <x v="4"/>
    <s v="JUN"/>
    <x v="14"/>
    <s v="GRSM 4"/>
    <x v="0"/>
    <s v="GMM"/>
    <n v="103277"/>
    <n v="6301424"/>
    <x v="6"/>
    <x v="12"/>
    <s v="GORENG"/>
    <n v="3000"/>
    <n v="126"/>
    <n v="378000"/>
    <n v="120"/>
  </r>
  <r>
    <x v="4"/>
    <s v="JUN"/>
    <x v="14"/>
    <s v="GRSM 4"/>
    <x v="0"/>
    <s v="NKA"/>
    <n v="490034"/>
    <n v="209554"/>
    <x v="8"/>
    <x v="19"/>
    <s v="BOLOGNESE"/>
    <n v="3275"/>
    <n v="30"/>
    <n v="98250"/>
    <m/>
  </r>
  <r>
    <x v="4"/>
    <s v="JUN"/>
    <x v="14"/>
    <s v="GRSM 4"/>
    <x v="0"/>
    <s v="NKA"/>
    <n v="490034"/>
    <n v="209554"/>
    <x v="8"/>
    <x v="19"/>
    <s v="CARBONARA"/>
    <n v="3275"/>
    <n v="42"/>
    <n v="137550"/>
    <m/>
  </r>
  <r>
    <x v="4"/>
    <s v="JUN"/>
    <x v="14"/>
    <s v="GRSM 4"/>
    <x v="0"/>
    <s v="NKA"/>
    <n v="490034"/>
    <n v="209554"/>
    <x v="8"/>
    <x v="19"/>
    <s v="AGLIO OLIO"/>
    <n v="3275"/>
    <n v="24"/>
    <n v="78600"/>
    <m/>
  </r>
  <r>
    <x v="4"/>
    <s v="JUN"/>
    <x v="14"/>
    <s v="GRSM 4"/>
    <x v="0"/>
    <s v="NKA"/>
    <n v="490034"/>
    <n v="209554"/>
    <x v="8"/>
    <x v="19"/>
    <s v="GORENG"/>
    <n v="3275"/>
    <n v="234"/>
    <n v="766350"/>
    <n v="160"/>
  </r>
  <r>
    <x v="4"/>
    <s v="JUN"/>
    <x v="14"/>
    <s v="GRSM 4"/>
    <x v="0"/>
    <s v="NKA"/>
    <n v="490034"/>
    <n v="209554"/>
    <x v="8"/>
    <x v="18"/>
    <s v="BOLOGNESE"/>
    <n v="3275"/>
    <n v="30"/>
    <n v="98250"/>
    <m/>
  </r>
  <r>
    <x v="4"/>
    <s v="JUN"/>
    <x v="14"/>
    <s v="GRSM 4"/>
    <x v="0"/>
    <s v="NKA"/>
    <n v="490034"/>
    <n v="209554"/>
    <x v="8"/>
    <x v="18"/>
    <s v="CARBONARA"/>
    <n v="3275"/>
    <n v="42"/>
    <n v="137550"/>
    <m/>
  </r>
  <r>
    <x v="4"/>
    <s v="JUN"/>
    <x v="14"/>
    <s v="GRSM 4"/>
    <x v="0"/>
    <s v="NKA"/>
    <n v="490034"/>
    <n v="209554"/>
    <x v="8"/>
    <x v="18"/>
    <s v="AGLIO OLIO"/>
    <n v="3275"/>
    <n v="24"/>
    <n v="78600"/>
    <m/>
  </r>
  <r>
    <x v="4"/>
    <s v="JUN"/>
    <x v="14"/>
    <s v="GRSM 4"/>
    <x v="0"/>
    <s v="NKA"/>
    <n v="490034"/>
    <n v="209554"/>
    <x v="8"/>
    <x v="18"/>
    <s v="GORENG"/>
    <n v="3275"/>
    <n v="234"/>
    <n v="766350"/>
    <n v="160"/>
  </r>
  <r>
    <x v="4"/>
    <s v="JUN"/>
    <x v="14"/>
    <s v="GRSM 4"/>
    <x v="0"/>
    <s v="GMM"/>
    <n v="189901"/>
    <n v="1602020"/>
    <x v="2"/>
    <x v="5"/>
    <s v="BOLOGNESE"/>
    <n v="2200"/>
    <n v="36"/>
    <n v="79200"/>
    <m/>
  </r>
  <r>
    <x v="4"/>
    <s v="JUN"/>
    <x v="14"/>
    <s v="GRSM 4"/>
    <x v="0"/>
    <s v="GMM"/>
    <n v="189901"/>
    <n v="1602020"/>
    <x v="2"/>
    <x v="5"/>
    <s v="CARBONARA"/>
    <n v="2200"/>
    <n v="49"/>
    <n v="107800"/>
    <m/>
  </r>
  <r>
    <x v="4"/>
    <s v="JUN"/>
    <x v="14"/>
    <s v="GRSM 4"/>
    <x v="0"/>
    <s v="GMM"/>
    <n v="189901"/>
    <n v="1602020"/>
    <x v="2"/>
    <x v="5"/>
    <s v="AGLIO OLIO"/>
    <n v="2200"/>
    <n v="12"/>
    <n v="26400"/>
    <m/>
  </r>
  <r>
    <x v="4"/>
    <s v="JUN"/>
    <x v="14"/>
    <s v="GRSM 4"/>
    <x v="0"/>
    <s v="GMM"/>
    <n v="189901"/>
    <n v="1602020"/>
    <x v="2"/>
    <x v="5"/>
    <s v="GORENG"/>
    <n v="2200"/>
    <n v="110"/>
    <n v="242000"/>
    <n v="120"/>
  </r>
  <r>
    <x v="4"/>
    <s v="JUN"/>
    <x v="14"/>
    <s v="GRSM 4"/>
    <x v="0"/>
    <s v="GMM"/>
    <n v="103258"/>
    <n v="9210369"/>
    <x v="9"/>
    <x v="22"/>
    <s v="BOLOGNESE"/>
    <n v="3500"/>
    <n v="30"/>
    <n v="105000"/>
    <m/>
  </r>
  <r>
    <x v="4"/>
    <s v="JUN"/>
    <x v="14"/>
    <s v="GRSM 4"/>
    <x v="0"/>
    <s v="GMM"/>
    <n v="103258"/>
    <n v="9210369"/>
    <x v="9"/>
    <x v="22"/>
    <s v="CARBONARA"/>
    <n v="3500"/>
    <n v="25"/>
    <n v="87500"/>
    <m/>
  </r>
  <r>
    <x v="4"/>
    <s v="JUN"/>
    <x v="14"/>
    <s v="GRSM 4"/>
    <x v="0"/>
    <s v="GMM"/>
    <n v="103258"/>
    <n v="9210369"/>
    <x v="9"/>
    <x v="22"/>
    <s v="AGLIO OLIO"/>
    <n v="3500"/>
    <n v="15"/>
    <n v="52500"/>
    <m/>
  </r>
  <r>
    <x v="4"/>
    <s v="JUN"/>
    <x v="14"/>
    <s v="GRSM 4"/>
    <x v="0"/>
    <s v="GMM"/>
    <n v="103258"/>
    <n v="9210369"/>
    <x v="9"/>
    <x v="22"/>
    <s v="GORENG"/>
    <n v="3500"/>
    <n v="45"/>
    <n v="157500"/>
    <n v="160"/>
  </r>
  <r>
    <x v="4"/>
    <s v="JUN"/>
    <x v="15"/>
    <s v="GRSM 4"/>
    <x v="0"/>
    <s v="GMM"/>
    <n v="103259"/>
    <n v="9029389"/>
    <x v="0"/>
    <x v="1"/>
    <s v="BOLOGNESE"/>
    <n v="2000"/>
    <n v="72"/>
    <n v="144000"/>
    <m/>
  </r>
  <r>
    <x v="4"/>
    <s v="JUN"/>
    <x v="15"/>
    <s v="GRSM 4"/>
    <x v="0"/>
    <s v="GMM"/>
    <n v="103259"/>
    <n v="9029389"/>
    <x v="0"/>
    <x v="1"/>
    <s v="CARBONARA"/>
    <n v="2000"/>
    <n v="57"/>
    <n v="114000"/>
    <m/>
  </r>
  <r>
    <x v="4"/>
    <s v="JUN"/>
    <x v="15"/>
    <s v="GRSM 4"/>
    <x v="0"/>
    <s v="GMM"/>
    <n v="103259"/>
    <n v="9029389"/>
    <x v="0"/>
    <x v="1"/>
    <s v="AGLIO OLIO"/>
    <n v="2000"/>
    <n v="51"/>
    <n v="102000"/>
    <m/>
  </r>
  <r>
    <x v="4"/>
    <s v="JUN"/>
    <x v="15"/>
    <s v="GRSM 4"/>
    <x v="0"/>
    <s v="GMM"/>
    <n v="103259"/>
    <n v="9029389"/>
    <x v="0"/>
    <x v="1"/>
    <s v="GORENG"/>
    <n v="2000"/>
    <n v="138"/>
    <n v="276000"/>
    <n v="160"/>
  </r>
  <r>
    <x v="4"/>
    <s v="JUN"/>
    <x v="15"/>
    <s v="GRSM 4"/>
    <x v="0"/>
    <s v="GMM"/>
    <n v="103259"/>
    <n v="9029389"/>
    <x v="0"/>
    <x v="15"/>
    <s v="BOLOGNESE"/>
    <n v="2000"/>
    <n v="81"/>
    <n v="162000"/>
    <m/>
  </r>
  <r>
    <x v="4"/>
    <s v="JUN"/>
    <x v="15"/>
    <s v="GRSM 4"/>
    <x v="0"/>
    <s v="GMM"/>
    <n v="103259"/>
    <n v="9029389"/>
    <x v="0"/>
    <x v="15"/>
    <s v="CARBONARA"/>
    <n v="2000"/>
    <n v="66"/>
    <n v="132000"/>
    <m/>
  </r>
  <r>
    <x v="4"/>
    <s v="JUN"/>
    <x v="15"/>
    <s v="GRSM 4"/>
    <x v="0"/>
    <s v="GMM"/>
    <n v="103259"/>
    <n v="9029389"/>
    <x v="0"/>
    <x v="15"/>
    <s v="AGLIO OLIO"/>
    <n v="2000"/>
    <n v="42"/>
    <n v="84000"/>
    <m/>
  </r>
  <r>
    <x v="4"/>
    <s v="JUN"/>
    <x v="15"/>
    <s v="GRSM 4"/>
    <x v="0"/>
    <s v="GMM"/>
    <n v="103259"/>
    <n v="9029389"/>
    <x v="0"/>
    <x v="15"/>
    <s v="GORENG"/>
    <n v="2000"/>
    <n v="144"/>
    <n v="288000"/>
    <n v="160"/>
  </r>
  <r>
    <x v="4"/>
    <s v="JUN"/>
    <x v="15"/>
    <s v="GRSM 4"/>
    <x v="0"/>
    <s v="GMM"/>
    <n v="103259"/>
    <n v="9029389"/>
    <x v="7"/>
    <x v="17"/>
    <s v="BOLOGNESE"/>
    <n v="3000"/>
    <n v="60"/>
    <n v="180000"/>
    <m/>
  </r>
  <r>
    <x v="4"/>
    <s v="JUN"/>
    <x v="15"/>
    <s v="GRSM 4"/>
    <x v="0"/>
    <s v="GMM"/>
    <n v="103259"/>
    <n v="9029389"/>
    <x v="7"/>
    <x v="17"/>
    <s v="CARBONARA"/>
    <n v="3000"/>
    <n v="80"/>
    <n v="240000"/>
    <m/>
  </r>
  <r>
    <x v="4"/>
    <s v="JUN"/>
    <x v="15"/>
    <s v="GRSM 4"/>
    <x v="0"/>
    <s v="GMM"/>
    <n v="103259"/>
    <n v="9029389"/>
    <x v="7"/>
    <x v="17"/>
    <s v="AGLIO OLIO"/>
    <n v="3000"/>
    <n v="52"/>
    <n v="156000"/>
    <m/>
  </r>
  <r>
    <x v="4"/>
    <s v="JUN"/>
    <x v="15"/>
    <s v="GRSM 4"/>
    <x v="0"/>
    <s v="GMM"/>
    <n v="103259"/>
    <n v="9029389"/>
    <x v="7"/>
    <x v="17"/>
    <s v="GORENG"/>
    <n v="3000"/>
    <n v="178"/>
    <n v="534000"/>
    <n v="160"/>
  </r>
  <r>
    <x v="4"/>
    <s v="JUN"/>
    <x v="15"/>
    <s v="GRSM 4"/>
    <x v="0"/>
    <s v="GMM"/>
    <n v="103259"/>
    <n v="9029389"/>
    <x v="7"/>
    <x v="21"/>
    <s v="BOLOGNESE"/>
    <n v="3000"/>
    <n v="65"/>
    <n v="195000"/>
    <m/>
  </r>
  <r>
    <x v="4"/>
    <s v="JUN"/>
    <x v="15"/>
    <s v="GRSM 4"/>
    <x v="0"/>
    <s v="GMM"/>
    <n v="103259"/>
    <n v="9029389"/>
    <x v="7"/>
    <x v="21"/>
    <s v="CARBONARA"/>
    <n v="3000"/>
    <n v="93"/>
    <n v="279000"/>
    <m/>
  </r>
  <r>
    <x v="4"/>
    <s v="JUN"/>
    <x v="15"/>
    <s v="GRSM 4"/>
    <x v="0"/>
    <s v="GMM"/>
    <n v="103259"/>
    <n v="9029389"/>
    <x v="7"/>
    <x v="21"/>
    <s v="AGLIO OLIO"/>
    <n v="3000"/>
    <n v="56"/>
    <n v="168000"/>
    <m/>
  </r>
  <r>
    <x v="4"/>
    <s v="JUN"/>
    <x v="15"/>
    <s v="GRSM 4"/>
    <x v="0"/>
    <s v="GMM"/>
    <n v="103259"/>
    <n v="9029389"/>
    <x v="7"/>
    <x v="21"/>
    <s v="GORENG"/>
    <n v="3000"/>
    <n v="219"/>
    <n v="657000"/>
    <n v="160"/>
  </r>
  <r>
    <x v="4"/>
    <s v="JUN"/>
    <x v="15"/>
    <s v="GRSM 4"/>
    <x v="0"/>
    <s v="GMM"/>
    <n v="103277"/>
    <n v="6300538"/>
    <x v="1"/>
    <x v="2"/>
    <s v="BOLOGNESE"/>
    <n v="2975"/>
    <n v="68"/>
    <n v="202300"/>
    <m/>
  </r>
  <r>
    <x v="4"/>
    <s v="JUN"/>
    <x v="15"/>
    <s v="GRSM 4"/>
    <x v="0"/>
    <s v="GMM"/>
    <n v="103277"/>
    <n v="6300538"/>
    <x v="1"/>
    <x v="2"/>
    <s v="CARBONARA"/>
    <n v="2975"/>
    <n v="63"/>
    <n v="187425"/>
    <m/>
  </r>
  <r>
    <x v="4"/>
    <s v="JUN"/>
    <x v="15"/>
    <s v="GRSM 4"/>
    <x v="0"/>
    <s v="GMM"/>
    <n v="103277"/>
    <n v="6300538"/>
    <x v="1"/>
    <x v="2"/>
    <s v="AGLIO OLIO"/>
    <n v="2975"/>
    <n v="56"/>
    <n v="166600"/>
    <m/>
  </r>
  <r>
    <x v="4"/>
    <s v="JUN"/>
    <x v="15"/>
    <s v="GRSM 4"/>
    <x v="0"/>
    <s v="GMM"/>
    <n v="103277"/>
    <n v="6300538"/>
    <x v="1"/>
    <x v="2"/>
    <s v="GORENG"/>
    <n v="2975"/>
    <n v="224"/>
    <n v="666400"/>
    <n v="150"/>
  </r>
  <r>
    <x v="4"/>
    <s v="JUN"/>
    <x v="15"/>
    <s v="GRSM 4"/>
    <x v="0"/>
    <s v="GMM"/>
    <n v="103277"/>
    <n v="6300538"/>
    <x v="1"/>
    <x v="3"/>
    <s v="BOLOGNESE"/>
    <n v="2975"/>
    <n v="63"/>
    <n v="187425"/>
    <m/>
  </r>
  <r>
    <x v="4"/>
    <s v="JUN"/>
    <x v="15"/>
    <s v="GRSM 4"/>
    <x v="0"/>
    <s v="GMM"/>
    <n v="103277"/>
    <n v="6300538"/>
    <x v="1"/>
    <x v="3"/>
    <s v="CARBONARA"/>
    <n v="2975"/>
    <n v="59"/>
    <n v="175525"/>
    <m/>
  </r>
  <r>
    <x v="4"/>
    <s v="JUN"/>
    <x v="15"/>
    <s v="GRSM 4"/>
    <x v="0"/>
    <s v="GMM"/>
    <n v="103277"/>
    <n v="6300538"/>
    <x v="1"/>
    <x v="3"/>
    <s v="AGLIO OLIO"/>
    <n v="2975"/>
    <n v="55"/>
    <n v="163625"/>
    <m/>
  </r>
  <r>
    <x v="4"/>
    <s v="JUN"/>
    <x v="15"/>
    <s v="GRSM 4"/>
    <x v="0"/>
    <s v="GMM"/>
    <n v="103277"/>
    <n v="6300538"/>
    <x v="1"/>
    <x v="3"/>
    <s v="GORENG"/>
    <n v="2975"/>
    <n v="222"/>
    <n v="660450"/>
    <n v="150"/>
  </r>
  <r>
    <x v="4"/>
    <s v="JUN"/>
    <x v="15"/>
    <s v="GRSM 3A"/>
    <x v="0"/>
    <s v="GMM"/>
    <n v="103272"/>
    <n v="1178"/>
    <x v="3"/>
    <x v="20"/>
    <s v="BOLOGNESE"/>
    <n v="3145"/>
    <n v="14"/>
    <n v="44030"/>
    <m/>
  </r>
  <r>
    <x v="4"/>
    <s v="JUN"/>
    <x v="15"/>
    <s v="GRSM 3A"/>
    <x v="0"/>
    <s v="GMM"/>
    <n v="103272"/>
    <n v="1178"/>
    <x v="3"/>
    <x v="20"/>
    <s v="CARBONARA"/>
    <n v="3145"/>
    <n v="33"/>
    <n v="103785"/>
    <m/>
  </r>
  <r>
    <x v="4"/>
    <s v="JUN"/>
    <x v="15"/>
    <s v="GRSM 3A"/>
    <x v="0"/>
    <s v="GMM"/>
    <n v="103272"/>
    <n v="1178"/>
    <x v="3"/>
    <x v="20"/>
    <s v="AGLIO OLIO"/>
    <n v="3145"/>
    <n v="5"/>
    <n v="15725"/>
    <m/>
  </r>
  <r>
    <x v="4"/>
    <s v="JUN"/>
    <x v="15"/>
    <s v="GRSM 3A"/>
    <x v="0"/>
    <s v="GMM"/>
    <n v="103272"/>
    <n v="1178"/>
    <x v="3"/>
    <x v="20"/>
    <s v="GORENG"/>
    <n v="3145"/>
    <n v="86"/>
    <n v="270470"/>
    <n v="100"/>
  </r>
  <r>
    <x v="4"/>
    <s v="JUN"/>
    <x v="15"/>
    <s v="GRSM 3A"/>
    <x v="0"/>
    <s v="GMM"/>
    <n v="103272"/>
    <n v="1178"/>
    <x v="3"/>
    <x v="6"/>
    <s v="BOLOGNESE"/>
    <n v="3145"/>
    <n v="14"/>
    <n v="44030"/>
    <m/>
  </r>
  <r>
    <x v="4"/>
    <s v="JUN"/>
    <x v="15"/>
    <s v="GRSM 3A"/>
    <x v="0"/>
    <s v="GMM"/>
    <n v="103272"/>
    <n v="1178"/>
    <x v="3"/>
    <x v="6"/>
    <s v="CARBONARA"/>
    <n v="3145"/>
    <n v="33"/>
    <n v="103785"/>
    <m/>
  </r>
  <r>
    <x v="4"/>
    <s v="JUN"/>
    <x v="15"/>
    <s v="GRSM 3A"/>
    <x v="0"/>
    <s v="GMM"/>
    <n v="103272"/>
    <n v="1178"/>
    <x v="3"/>
    <x v="6"/>
    <s v="AGLIO OLIO"/>
    <n v="3145"/>
    <n v="5"/>
    <n v="15725"/>
    <m/>
  </r>
  <r>
    <x v="4"/>
    <s v="JUN"/>
    <x v="15"/>
    <s v="GRSM 3A"/>
    <x v="0"/>
    <s v="GMM"/>
    <n v="103272"/>
    <n v="1178"/>
    <x v="3"/>
    <x v="6"/>
    <s v="GORENG"/>
    <n v="3145"/>
    <n v="86"/>
    <n v="270470"/>
    <n v="100"/>
  </r>
  <r>
    <x v="4"/>
    <s v="JUN"/>
    <x v="15"/>
    <s v="GRSM 4"/>
    <x v="0"/>
    <s v="GMM"/>
    <n v="103277"/>
    <n v="6301424"/>
    <x v="6"/>
    <x v="13"/>
    <s v="BOLOGNESE"/>
    <n v="3000"/>
    <n v="82"/>
    <n v="246000"/>
    <m/>
  </r>
  <r>
    <x v="4"/>
    <s v="JUN"/>
    <x v="15"/>
    <s v="GRSM 4"/>
    <x v="0"/>
    <s v="GMM"/>
    <n v="103277"/>
    <n v="6301424"/>
    <x v="6"/>
    <x v="13"/>
    <s v="CARBONARA"/>
    <n v="3000"/>
    <n v="120"/>
    <n v="360000"/>
    <m/>
  </r>
  <r>
    <x v="4"/>
    <s v="JUN"/>
    <x v="15"/>
    <s v="GRSM 4"/>
    <x v="0"/>
    <s v="GMM"/>
    <n v="103277"/>
    <n v="6301424"/>
    <x v="6"/>
    <x v="13"/>
    <s v="AGLIO OLIO"/>
    <n v="3000"/>
    <n v="40"/>
    <n v="120000"/>
    <m/>
  </r>
  <r>
    <x v="4"/>
    <s v="JUN"/>
    <x v="15"/>
    <s v="GRSM 4"/>
    <x v="0"/>
    <s v="GMM"/>
    <n v="103277"/>
    <n v="6301424"/>
    <x v="6"/>
    <x v="13"/>
    <s v="GORENG"/>
    <n v="3000"/>
    <n v="120"/>
    <n v="360000"/>
    <n v="120"/>
  </r>
  <r>
    <x v="4"/>
    <s v="JUN"/>
    <x v="15"/>
    <s v="GRSM 4"/>
    <x v="0"/>
    <s v="GMM"/>
    <n v="103277"/>
    <n v="6301424"/>
    <x v="6"/>
    <x v="12"/>
    <s v="BOLOGNESE"/>
    <n v="3000"/>
    <n v="85"/>
    <n v="255000"/>
    <m/>
  </r>
  <r>
    <x v="4"/>
    <s v="JUN"/>
    <x v="15"/>
    <s v="GRSM 4"/>
    <x v="0"/>
    <s v="GMM"/>
    <n v="103277"/>
    <n v="6301424"/>
    <x v="6"/>
    <x v="12"/>
    <s v="CARBONARA"/>
    <n v="3000"/>
    <n v="112"/>
    <n v="336000"/>
    <m/>
  </r>
  <r>
    <x v="4"/>
    <s v="JUN"/>
    <x v="15"/>
    <s v="GRSM 4"/>
    <x v="0"/>
    <s v="GMM"/>
    <n v="103277"/>
    <n v="6301424"/>
    <x v="6"/>
    <x v="12"/>
    <s v="AGLIO OLIO"/>
    <n v="3000"/>
    <n v="38"/>
    <n v="114000"/>
    <m/>
  </r>
  <r>
    <x v="4"/>
    <s v="JUN"/>
    <x v="15"/>
    <s v="GRSM 4"/>
    <x v="0"/>
    <s v="GMM"/>
    <n v="103277"/>
    <n v="6301424"/>
    <x v="6"/>
    <x v="12"/>
    <s v="GORENG"/>
    <n v="3000"/>
    <n v="122"/>
    <n v="366000"/>
    <n v="120"/>
  </r>
  <r>
    <x v="4"/>
    <s v="JUN"/>
    <x v="15"/>
    <s v="GRSM 4"/>
    <x v="0"/>
    <s v="NKA"/>
    <n v="490034"/>
    <n v="209554"/>
    <x v="8"/>
    <x v="19"/>
    <s v="BOLOGNESE"/>
    <n v="3275"/>
    <n v="30"/>
    <n v="98250"/>
    <m/>
  </r>
  <r>
    <x v="4"/>
    <s v="JUN"/>
    <x v="15"/>
    <s v="GRSM 4"/>
    <x v="0"/>
    <s v="NKA"/>
    <n v="490034"/>
    <n v="209554"/>
    <x v="8"/>
    <x v="19"/>
    <s v="CARBONARA"/>
    <n v="3275"/>
    <n v="60"/>
    <n v="196500"/>
    <m/>
  </r>
  <r>
    <x v="4"/>
    <s v="JUN"/>
    <x v="15"/>
    <s v="GRSM 4"/>
    <x v="0"/>
    <s v="NKA"/>
    <n v="490034"/>
    <n v="209554"/>
    <x v="8"/>
    <x v="19"/>
    <s v="AGLIO OLIO"/>
    <n v="3275"/>
    <n v="20"/>
    <n v="65500"/>
    <m/>
  </r>
  <r>
    <x v="4"/>
    <s v="JUN"/>
    <x v="15"/>
    <s v="GRSM 4"/>
    <x v="0"/>
    <s v="NKA"/>
    <n v="490034"/>
    <n v="209554"/>
    <x v="8"/>
    <x v="19"/>
    <s v="GORENG"/>
    <n v="3275"/>
    <n v="126"/>
    <n v="412650"/>
    <n v="160"/>
  </r>
  <r>
    <x v="4"/>
    <s v="JUN"/>
    <x v="15"/>
    <s v="GRSM 4"/>
    <x v="0"/>
    <s v="NKA"/>
    <n v="490034"/>
    <n v="209554"/>
    <x v="8"/>
    <x v="18"/>
    <s v="BOLOGNESE"/>
    <n v="3275"/>
    <n v="30"/>
    <n v="98250"/>
    <m/>
  </r>
  <r>
    <x v="4"/>
    <s v="JUN"/>
    <x v="15"/>
    <s v="GRSM 4"/>
    <x v="0"/>
    <s v="NKA"/>
    <n v="490034"/>
    <n v="209554"/>
    <x v="8"/>
    <x v="18"/>
    <s v="CARBONARA"/>
    <n v="3275"/>
    <n v="60"/>
    <n v="196500"/>
    <m/>
  </r>
  <r>
    <x v="4"/>
    <s v="JUN"/>
    <x v="15"/>
    <s v="GRSM 4"/>
    <x v="0"/>
    <s v="NKA"/>
    <n v="490034"/>
    <n v="209554"/>
    <x v="8"/>
    <x v="18"/>
    <s v="AGLIO OLIO"/>
    <n v="3275"/>
    <n v="20"/>
    <n v="65500"/>
    <m/>
  </r>
  <r>
    <x v="4"/>
    <s v="JUN"/>
    <x v="15"/>
    <s v="GRSM 4"/>
    <x v="0"/>
    <s v="NKA"/>
    <n v="490034"/>
    <n v="209554"/>
    <x v="8"/>
    <x v="18"/>
    <s v="GORENG"/>
    <n v="3275"/>
    <n v="126"/>
    <n v="412650"/>
    <n v="160"/>
  </r>
  <r>
    <x v="4"/>
    <s v="JUN"/>
    <x v="15"/>
    <s v="GRSM 4"/>
    <x v="0"/>
    <s v="GMM"/>
    <n v="103257"/>
    <n v="9162509"/>
    <x v="4"/>
    <x v="7"/>
    <s v="BOLOGNESE"/>
    <n v="3200"/>
    <n v="64"/>
    <n v="204800"/>
    <m/>
  </r>
  <r>
    <x v="4"/>
    <s v="JUN"/>
    <x v="15"/>
    <s v="GRSM 4"/>
    <x v="0"/>
    <s v="GMM"/>
    <n v="103257"/>
    <n v="9162509"/>
    <x v="4"/>
    <x v="7"/>
    <s v="CARBONARA"/>
    <n v="3200"/>
    <n v="72"/>
    <n v="230400"/>
    <m/>
  </r>
  <r>
    <x v="4"/>
    <s v="JUN"/>
    <x v="15"/>
    <s v="GRSM 4"/>
    <x v="0"/>
    <s v="GMM"/>
    <n v="103257"/>
    <n v="9162509"/>
    <x v="4"/>
    <x v="7"/>
    <s v="AGLIO OLIO"/>
    <n v="3200"/>
    <n v="60"/>
    <n v="192000"/>
    <m/>
  </r>
  <r>
    <x v="4"/>
    <s v="JUN"/>
    <x v="15"/>
    <s v="GRSM 4"/>
    <x v="0"/>
    <s v="GMM"/>
    <n v="103257"/>
    <n v="9162509"/>
    <x v="4"/>
    <x v="7"/>
    <s v="GORENG"/>
    <n v="3200"/>
    <n v="98"/>
    <n v="313600"/>
    <n v="160"/>
  </r>
  <r>
    <x v="4"/>
    <s v="JUN"/>
    <x v="16"/>
    <s v="GRSM 4"/>
    <x v="0"/>
    <s v="GMM"/>
    <n v="103257"/>
    <n v="9162509"/>
    <x v="4"/>
    <x v="7"/>
    <s v="BOLOGNESE"/>
    <n v="3200"/>
    <n v="55"/>
    <n v="176000"/>
    <m/>
  </r>
  <r>
    <x v="4"/>
    <s v="JUN"/>
    <x v="16"/>
    <s v="GRSM 4"/>
    <x v="0"/>
    <s v="GMM"/>
    <n v="103257"/>
    <n v="9162509"/>
    <x v="4"/>
    <x v="7"/>
    <s v="CARBONARA"/>
    <n v="3200"/>
    <n v="62"/>
    <n v="198400"/>
    <m/>
  </r>
  <r>
    <x v="4"/>
    <s v="JUN"/>
    <x v="16"/>
    <s v="GRSM 4"/>
    <x v="0"/>
    <s v="GMM"/>
    <n v="103257"/>
    <n v="9162509"/>
    <x v="4"/>
    <x v="7"/>
    <s v="AGLIO OLIO"/>
    <n v="3200"/>
    <n v="53"/>
    <n v="169600"/>
    <m/>
  </r>
  <r>
    <x v="4"/>
    <s v="JUN"/>
    <x v="16"/>
    <s v="GRSM 4"/>
    <x v="0"/>
    <s v="GMM"/>
    <n v="103257"/>
    <n v="9162509"/>
    <x v="4"/>
    <x v="7"/>
    <s v="GORENG"/>
    <n v="3200"/>
    <n v="91"/>
    <n v="291200"/>
    <n v="160"/>
  </r>
  <r>
    <x v="4"/>
    <s v="JUN"/>
    <x v="15"/>
    <s v="GRSM 4"/>
    <x v="0"/>
    <s v="GMM"/>
    <n v="103257"/>
    <n v="9162509"/>
    <x v="4"/>
    <x v="8"/>
    <s v="GORENG"/>
    <n v="3200"/>
    <n v="60"/>
    <n v="192000"/>
    <m/>
  </r>
  <r>
    <x v="4"/>
    <s v="JUN"/>
    <x v="15"/>
    <s v="GRSM 4"/>
    <x v="0"/>
    <s v="GMM"/>
    <n v="103257"/>
    <n v="9162509"/>
    <x v="4"/>
    <x v="8"/>
    <s v="CARBONARA"/>
    <n v="3200"/>
    <n v="69"/>
    <n v="220800"/>
    <m/>
  </r>
  <r>
    <x v="4"/>
    <s v="JUN"/>
    <x v="15"/>
    <s v="GRSM 4"/>
    <x v="0"/>
    <s v="GMM"/>
    <n v="103257"/>
    <n v="9162509"/>
    <x v="4"/>
    <x v="8"/>
    <s v="AGLIO OLIO"/>
    <n v="3200"/>
    <n v="58"/>
    <n v="185600"/>
    <m/>
  </r>
  <r>
    <x v="4"/>
    <s v="JUN"/>
    <x v="15"/>
    <s v="GRSM 4"/>
    <x v="0"/>
    <s v="GMM"/>
    <n v="103257"/>
    <n v="9162509"/>
    <x v="4"/>
    <x v="8"/>
    <s v="GORENG"/>
    <n v="3200"/>
    <n v="95"/>
    <n v="304000"/>
    <n v="160"/>
  </r>
  <r>
    <x v="4"/>
    <s v="JUN"/>
    <x v="15"/>
    <s v="GRSM 4"/>
    <x v="0"/>
    <s v="GMM"/>
    <n v="189901"/>
    <n v="1602020"/>
    <x v="2"/>
    <x v="5"/>
    <s v="BOLOGNESE"/>
    <n v="2200"/>
    <n v="38"/>
    <n v="83600"/>
    <m/>
  </r>
  <r>
    <x v="4"/>
    <s v="JUN"/>
    <x v="15"/>
    <s v="GRSM 4"/>
    <x v="0"/>
    <s v="GMM"/>
    <n v="189901"/>
    <n v="1602020"/>
    <x v="2"/>
    <x v="5"/>
    <s v="CARBONARA"/>
    <n v="2200"/>
    <n v="49"/>
    <n v="107800"/>
    <m/>
  </r>
  <r>
    <x v="4"/>
    <s v="JUN"/>
    <x v="15"/>
    <s v="GRSM 4"/>
    <x v="0"/>
    <s v="GMM"/>
    <n v="189901"/>
    <n v="1602020"/>
    <x v="2"/>
    <x v="5"/>
    <s v="AGLIO OLIO"/>
    <n v="2200"/>
    <n v="13"/>
    <n v="28600"/>
    <m/>
  </r>
  <r>
    <x v="4"/>
    <s v="JUN"/>
    <x v="15"/>
    <s v="GRSM 4"/>
    <x v="0"/>
    <s v="GMM"/>
    <n v="189901"/>
    <n v="1602020"/>
    <x v="2"/>
    <x v="5"/>
    <s v="GORENG"/>
    <n v="2200"/>
    <n v="151"/>
    <n v="332200"/>
    <n v="120"/>
  </r>
  <r>
    <x v="4"/>
    <s v="JUN"/>
    <x v="15"/>
    <s v="GRSM 4"/>
    <x v="0"/>
    <s v="GMM"/>
    <n v="189901"/>
    <n v="1602020"/>
    <x v="2"/>
    <x v="4"/>
    <s v="BOLOGNESE"/>
    <n v="2200"/>
    <n v="40"/>
    <n v="88000"/>
    <m/>
  </r>
  <r>
    <x v="4"/>
    <s v="JUN"/>
    <x v="15"/>
    <s v="GRSM 4"/>
    <x v="0"/>
    <s v="GMM"/>
    <n v="189901"/>
    <n v="1602020"/>
    <x v="2"/>
    <x v="4"/>
    <s v="CARBONARA"/>
    <n v="2200"/>
    <n v="51"/>
    <n v="112200"/>
    <m/>
  </r>
  <r>
    <x v="4"/>
    <s v="JUN"/>
    <x v="15"/>
    <s v="GRSM 4"/>
    <x v="0"/>
    <s v="GMM"/>
    <n v="189901"/>
    <n v="1602020"/>
    <x v="2"/>
    <x v="4"/>
    <s v="AGLIO OLIO"/>
    <n v="2200"/>
    <n v="10"/>
    <n v="22000"/>
    <m/>
  </r>
  <r>
    <x v="4"/>
    <s v="JUN"/>
    <x v="15"/>
    <s v="GRSM 4"/>
    <x v="0"/>
    <s v="GMM"/>
    <n v="189901"/>
    <n v="1602020"/>
    <x v="2"/>
    <x v="4"/>
    <s v="GORENG"/>
    <n v="2200"/>
    <n v="148"/>
    <n v="325600"/>
    <n v="120"/>
  </r>
  <r>
    <x v="4"/>
    <s v="JUN"/>
    <x v="15"/>
    <s v="GRSM 4"/>
    <x v="0"/>
    <s v="GMM"/>
    <n v="103258"/>
    <n v="9210369"/>
    <x v="9"/>
    <x v="22"/>
    <s v="BOLOGNESE"/>
    <n v="3500"/>
    <n v="35"/>
    <n v="122500"/>
    <m/>
  </r>
  <r>
    <x v="4"/>
    <s v="JUN"/>
    <x v="15"/>
    <s v="GRSM 4"/>
    <x v="0"/>
    <s v="GMM"/>
    <n v="103258"/>
    <n v="9210369"/>
    <x v="9"/>
    <x v="22"/>
    <s v="CARBONARA"/>
    <n v="3500"/>
    <n v="45"/>
    <n v="157500"/>
    <m/>
  </r>
  <r>
    <x v="4"/>
    <s v="JUN"/>
    <x v="15"/>
    <s v="GRSM 4"/>
    <x v="0"/>
    <s v="GMM"/>
    <n v="103258"/>
    <n v="9210369"/>
    <x v="9"/>
    <x v="22"/>
    <s v="AGLIO OLIO"/>
    <n v="3500"/>
    <n v="30"/>
    <n v="105000"/>
    <m/>
  </r>
  <r>
    <x v="4"/>
    <s v="JUN"/>
    <x v="15"/>
    <s v="GRSM 4"/>
    <x v="0"/>
    <s v="GMM"/>
    <n v="103258"/>
    <n v="9210369"/>
    <x v="9"/>
    <x v="22"/>
    <s v="GORENG"/>
    <n v="3500"/>
    <n v="25"/>
    <n v="87500"/>
    <m/>
  </r>
  <r>
    <x v="4"/>
    <s v="JUN"/>
    <x v="14"/>
    <s v="GRSM 4"/>
    <x v="0"/>
    <s v="GMM"/>
    <n v="103258"/>
    <n v="9210369"/>
    <x v="9"/>
    <x v="23"/>
    <s v="BOLOGNESE"/>
    <n v="3500"/>
    <n v="33"/>
    <n v="115500"/>
    <m/>
  </r>
  <r>
    <x v="4"/>
    <s v="JUN"/>
    <x v="14"/>
    <s v="GRSM 4"/>
    <x v="0"/>
    <s v="GMM"/>
    <n v="103258"/>
    <n v="9210369"/>
    <x v="9"/>
    <x v="23"/>
    <s v="CARBONARA"/>
    <n v="3500"/>
    <n v="30"/>
    <n v="105000"/>
    <m/>
  </r>
  <r>
    <x v="4"/>
    <s v="JUN"/>
    <x v="14"/>
    <s v="GRSM 4"/>
    <x v="0"/>
    <s v="GMM"/>
    <n v="103258"/>
    <n v="9210369"/>
    <x v="9"/>
    <x v="23"/>
    <s v="AGLIO OLIO"/>
    <n v="3500"/>
    <n v="15"/>
    <n v="52500"/>
    <m/>
  </r>
  <r>
    <x v="4"/>
    <s v="JUN"/>
    <x v="14"/>
    <s v="GRSM 4"/>
    <x v="0"/>
    <s v="GMM"/>
    <n v="103258"/>
    <n v="9210369"/>
    <x v="9"/>
    <x v="23"/>
    <s v="GORENG"/>
    <n v="3500"/>
    <n v="45"/>
    <n v="157500"/>
    <n v="160"/>
  </r>
  <r>
    <x v="4"/>
    <s v="JUN"/>
    <x v="15"/>
    <s v="GRSM 4"/>
    <x v="0"/>
    <s v="GMM"/>
    <n v="103258"/>
    <n v="9210369"/>
    <x v="9"/>
    <x v="23"/>
    <s v="BOLOGNESE"/>
    <n v="3500"/>
    <n v="40"/>
    <n v="140000"/>
    <m/>
  </r>
  <r>
    <x v="4"/>
    <s v="JUN"/>
    <x v="15"/>
    <s v="GRSM 4"/>
    <x v="0"/>
    <s v="GMM"/>
    <n v="103258"/>
    <n v="9210369"/>
    <x v="9"/>
    <x v="23"/>
    <s v="CARBONARA"/>
    <n v="3500"/>
    <n v="50"/>
    <n v="175000"/>
    <m/>
  </r>
  <r>
    <x v="4"/>
    <s v="JUN"/>
    <x v="15"/>
    <s v="GRSM 4"/>
    <x v="0"/>
    <s v="GMM"/>
    <n v="103258"/>
    <n v="9210369"/>
    <x v="9"/>
    <x v="23"/>
    <s v="AGLIO OLIO"/>
    <n v="3500"/>
    <n v="30"/>
    <n v="105000"/>
    <m/>
  </r>
  <r>
    <x v="4"/>
    <s v="JUN"/>
    <x v="15"/>
    <s v="GRSM 4"/>
    <x v="0"/>
    <s v="GMM"/>
    <n v="103258"/>
    <n v="9210369"/>
    <x v="9"/>
    <x v="23"/>
    <s v="GORENG"/>
    <n v="3500"/>
    <n v="25"/>
    <n v="87500"/>
    <n v="160"/>
  </r>
  <r>
    <x v="4"/>
    <s v="JUN"/>
    <x v="15"/>
    <s v="GRSM 4"/>
    <x v="0"/>
    <s v="GMM"/>
    <n v="103259"/>
    <n v="9013525"/>
    <x v="5"/>
    <x v="14"/>
    <s v="BOLOGNESE"/>
    <n v="2000"/>
    <n v="36"/>
    <n v="72000"/>
    <m/>
  </r>
  <r>
    <x v="4"/>
    <s v="JUN"/>
    <x v="15"/>
    <s v="GRSM 4"/>
    <x v="0"/>
    <s v="GMM"/>
    <n v="103259"/>
    <n v="9013525"/>
    <x v="5"/>
    <x v="14"/>
    <s v="CARBONARA"/>
    <n v="2000"/>
    <n v="180"/>
    <n v="360000"/>
    <m/>
  </r>
  <r>
    <x v="4"/>
    <s v="JUN"/>
    <x v="15"/>
    <s v="GRSM 4"/>
    <x v="0"/>
    <s v="GMM"/>
    <n v="103259"/>
    <n v="9013525"/>
    <x v="5"/>
    <x v="14"/>
    <s v="AGLIO OLIO"/>
    <n v="2000"/>
    <n v="18"/>
    <n v="36000"/>
    <m/>
  </r>
  <r>
    <x v="4"/>
    <s v="JUN"/>
    <x v="15"/>
    <s v="GRSM 4"/>
    <x v="0"/>
    <s v="GMM"/>
    <n v="103259"/>
    <n v="9013525"/>
    <x v="5"/>
    <x v="14"/>
    <s v="GORENG"/>
    <n v="2000"/>
    <n v="300"/>
    <n v="600000"/>
    <n v="160"/>
  </r>
  <r>
    <x v="4"/>
    <s v="JUN"/>
    <x v="16"/>
    <s v="GRSM 4"/>
    <x v="0"/>
    <s v="GMM"/>
    <n v="103259"/>
    <n v="9029389"/>
    <x v="0"/>
    <x v="1"/>
    <s v="BOLOGNESE"/>
    <n v="2000"/>
    <n v="87"/>
    <n v="174000"/>
    <m/>
  </r>
  <r>
    <x v="4"/>
    <s v="JUN"/>
    <x v="16"/>
    <s v="GRSM 4"/>
    <x v="0"/>
    <s v="GMM"/>
    <n v="103259"/>
    <n v="9029389"/>
    <x v="0"/>
    <x v="1"/>
    <s v="CARBONARA"/>
    <n v="2000"/>
    <n v="69"/>
    <n v="138000"/>
    <m/>
  </r>
  <r>
    <x v="4"/>
    <s v="JUN"/>
    <x v="16"/>
    <s v="GRSM 4"/>
    <x v="0"/>
    <s v="GMM"/>
    <n v="103259"/>
    <n v="9029389"/>
    <x v="0"/>
    <x v="1"/>
    <s v="AGLIO OLIO"/>
    <n v="2000"/>
    <n v="57"/>
    <n v="114000"/>
    <m/>
  </r>
  <r>
    <x v="4"/>
    <s v="JUN"/>
    <x v="16"/>
    <s v="GRSM 4"/>
    <x v="0"/>
    <s v="GMM"/>
    <n v="103259"/>
    <n v="9029389"/>
    <x v="0"/>
    <x v="1"/>
    <s v="GORENG"/>
    <n v="2000"/>
    <n v="111"/>
    <n v="222000"/>
    <n v="160"/>
  </r>
  <r>
    <x v="4"/>
    <s v="JUN"/>
    <x v="16"/>
    <s v="GRSM 4"/>
    <x v="0"/>
    <s v="GMM"/>
    <n v="103259"/>
    <n v="9029389"/>
    <x v="0"/>
    <x v="15"/>
    <s v="BOLOGNESE"/>
    <n v="2000"/>
    <n v="57"/>
    <n v="114000"/>
    <m/>
  </r>
  <r>
    <x v="4"/>
    <s v="JUN"/>
    <x v="16"/>
    <s v="GRSM 4"/>
    <x v="0"/>
    <s v="GMM"/>
    <n v="103259"/>
    <n v="9029389"/>
    <x v="0"/>
    <x v="15"/>
    <s v="CARBONARA"/>
    <n v="2000"/>
    <n v="78"/>
    <n v="156000"/>
    <m/>
  </r>
  <r>
    <x v="4"/>
    <s v="JUN"/>
    <x v="16"/>
    <s v="GRSM 4"/>
    <x v="0"/>
    <s v="GMM"/>
    <n v="103259"/>
    <n v="9029389"/>
    <x v="0"/>
    <x v="15"/>
    <s v="AGLIO OLIO"/>
    <n v="2000"/>
    <n v="60"/>
    <n v="120000"/>
    <m/>
  </r>
  <r>
    <x v="4"/>
    <s v="JUN"/>
    <x v="16"/>
    <s v="GRSM 4"/>
    <x v="0"/>
    <s v="GMM"/>
    <n v="103259"/>
    <n v="9029389"/>
    <x v="0"/>
    <x v="15"/>
    <s v="GORENG"/>
    <n v="2000"/>
    <n v="114"/>
    <n v="228000"/>
    <n v="160"/>
  </r>
  <r>
    <x v="4"/>
    <s v="JUN"/>
    <x v="16"/>
    <s v="GRSM 4"/>
    <x v="0"/>
    <s v="GMM"/>
    <n v="103259"/>
    <n v="9013525"/>
    <x v="5"/>
    <x v="9"/>
    <s v="BOLOGNESE"/>
    <n v="2000"/>
    <n v="24"/>
    <n v="48000"/>
    <m/>
  </r>
  <r>
    <x v="4"/>
    <s v="JUN"/>
    <x v="16"/>
    <s v="GRSM 4"/>
    <x v="0"/>
    <s v="GMM"/>
    <n v="103259"/>
    <n v="9013525"/>
    <x v="5"/>
    <x v="9"/>
    <s v="CARBONARA"/>
    <n v="2000"/>
    <n v="210"/>
    <n v="420000"/>
    <m/>
  </r>
  <r>
    <x v="4"/>
    <s v="JUN"/>
    <x v="16"/>
    <s v="GRSM 4"/>
    <x v="0"/>
    <s v="GMM"/>
    <n v="103259"/>
    <n v="9013525"/>
    <x v="5"/>
    <x v="9"/>
    <s v="AGLIO OLIO"/>
    <n v="2000"/>
    <n v="12"/>
    <n v="24000"/>
    <m/>
  </r>
  <r>
    <x v="4"/>
    <s v="JUN"/>
    <x v="16"/>
    <s v="GRSM 4"/>
    <x v="0"/>
    <s v="GMM"/>
    <n v="103259"/>
    <n v="9013525"/>
    <x v="5"/>
    <x v="9"/>
    <s v="GORENG"/>
    <n v="2000"/>
    <n v="300"/>
    <n v="600000"/>
    <n v="160"/>
  </r>
  <r>
    <x v="4"/>
    <s v="JUN"/>
    <x v="16"/>
    <s v="GRSM 4"/>
    <x v="0"/>
    <s v="GMM"/>
    <n v="103259"/>
    <n v="9029389"/>
    <x v="7"/>
    <x v="17"/>
    <s v="BOLOGNESE"/>
    <n v="3000"/>
    <n v="62"/>
    <n v="186000"/>
    <m/>
  </r>
  <r>
    <x v="4"/>
    <s v="JUN"/>
    <x v="16"/>
    <s v="GRSM 4"/>
    <x v="0"/>
    <s v="GMM"/>
    <n v="103259"/>
    <n v="9029389"/>
    <x v="7"/>
    <x v="17"/>
    <s v="CARBONARA"/>
    <n v="3000"/>
    <n v="75"/>
    <n v="225000"/>
    <m/>
  </r>
  <r>
    <x v="4"/>
    <s v="JUN"/>
    <x v="16"/>
    <s v="GRSM 4"/>
    <x v="0"/>
    <s v="GMM"/>
    <n v="103259"/>
    <n v="9029389"/>
    <x v="7"/>
    <x v="17"/>
    <s v="AGLIO OLIO"/>
    <n v="3000"/>
    <n v="67"/>
    <n v="201000"/>
    <m/>
  </r>
  <r>
    <x v="4"/>
    <s v="JUN"/>
    <x v="16"/>
    <s v="GRSM 4"/>
    <x v="0"/>
    <s v="GMM"/>
    <n v="103259"/>
    <n v="9029389"/>
    <x v="7"/>
    <x v="17"/>
    <s v="GORENG"/>
    <n v="3000"/>
    <n v="197"/>
    <n v="591000"/>
    <n v="160"/>
  </r>
  <r>
    <x v="4"/>
    <s v="JUN"/>
    <x v="16"/>
    <s v="GRSM 4"/>
    <x v="0"/>
    <s v="GMM"/>
    <n v="103259"/>
    <n v="9029389"/>
    <x v="7"/>
    <x v="21"/>
    <s v="BOLOGNESE"/>
    <n v="3000"/>
    <n v="54"/>
    <n v="162000"/>
    <m/>
  </r>
  <r>
    <x v="4"/>
    <s v="JUN"/>
    <x v="16"/>
    <s v="GRSM 4"/>
    <x v="0"/>
    <s v="GMM"/>
    <n v="103259"/>
    <n v="9029389"/>
    <x v="7"/>
    <x v="21"/>
    <s v="CARBONARA"/>
    <n v="3000"/>
    <n v="77"/>
    <n v="231000"/>
    <m/>
  </r>
  <r>
    <x v="4"/>
    <s v="JUN"/>
    <x v="16"/>
    <s v="GRSM 4"/>
    <x v="0"/>
    <s v="GMM"/>
    <n v="103259"/>
    <n v="9029389"/>
    <x v="7"/>
    <x v="21"/>
    <s v="AGLIO OLIO"/>
    <n v="3000"/>
    <n v="52"/>
    <n v="156000"/>
    <m/>
  </r>
  <r>
    <x v="4"/>
    <s v="JUN"/>
    <x v="16"/>
    <s v="GRSM 4"/>
    <x v="0"/>
    <s v="GMM"/>
    <n v="103259"/>
    <n v="9029389"/>
    <x v="7"/>
    <x v="21"/>
    <s v="GORENG"/>
    <n v="3000"/>
    <n v="190"/>
    <n v="570000"/>
    <n v="160"/>
  </r>
  <r>
    <x v="4"/>
    <s v="JUN"/>
    <x v="16"/>
    <s v="GRSM 4"/>
    <x v="0"/>
    <s v="GMM"/>
    <n v="103277"/>
    <n v="6300538"/>
    <x v="1"/>
    <x v="2"/>
    <s v="BOLOGNESE"/>
    <n v="2975"/>
    <n v="82"/>
    <n v="243950"/>
    <m/>
  </r>
  <r>
    <x v="4"/>
    <s v="JUN"/>
    <x v="16"/>
    <s v="GRSM 4"/>
    <x v="0"/>
    <s v="GMM"/>
    <n v="103277"/>
    <n v="6300538"/>
    <x v="1"/>
    <x v="2"/>
    <s v="CARBONARA"/>
    <n v="2975"/>
    <n v="74"/>
    <n v="220150"/>
    <m/>
  </r>
  <r>
    <x v="4"/>
    <s v="JUN"/>
    <x v="16"/>
    <s v="GRSM 4"/>
    <x v="0"/>
    <s v="GMM"/>
    <n v="103277"/>
    <n v="6300538"/>
    <x v="1"/>
    <x v="2"/>
    <s v="AGLIO OLIO"/>
    <n v="2975"/>
    <n v="52"/>
    <n v="154700"/>
    <m/>
  </r>
  <r>
    <x v="4"/>
    <s v="JUN"/>
    <x v="16"/>
    <s v="GRSM 4"/>
    <x v="0"/>
    <s v="GMM"/>
    <n v="103277"/>
    <n v="6300538"/>
    <x v="1"/>
    <x v="2"/>
    <s v="GORENG"/>
    <n v="2975"/>
    <n v="227"/>
    <n v="675325"/>
    <n v="160"/>
  </r>
  <r>
    <x v="4"/>
    <s v="JUN"/>
    <x v="16"/>
    <s v="GRSM 4"/>
    <x v="0"/>
    <s v="GMM"/>
    <n v="103277"/>
    <n v="6300538"/>
    <x v="1"/>
    <x v="3"/>
    <s v="BOLOGNESE"/>
    <n v="2975"/>
    <n v="72"/>
    <n v="214200"/>
    <m/>
  </r>
  <r>
    <x v="4"/>
    <s v="JUN"/>
    <x v="16"/>
    <s v="GRSM 4"/>
    <x v="0"/>
    <s v="GMM"/>
    <n v="103277"/>
    <n v="6300538"/>
    <x v="1"/>
    <x v="3"/>
    <s v="CARBONARA"/>
    <n v="2975"/>
    <n v="72"/>
    <n v="214200"/>
    <m/>
  </r>
  <r>
    <x v="4"/>
    <s v="JUN"/>
    <x v="16"/>
    <s v="GRSM 4"/>
    <x v="0"/>
    <s v="GMM"/>
    <n v="103277"/>
    <n v="6300538"/>
    <x v="1"/>
    <x v="3"/>
    <s v="AGLIO OLIO"/>
    <n v="2975"/>
    <n v="53"/>
    <n v="157675"/>
    <m/>
  </r>
  <r>
    <x v="4"/>
    <s v="JUN"/>
    <x v="16"/>
    <s v="GRSM 4"/>
    <x v="0"/>
    <s v="GMM"/>
    <n v="103277"/>
    <n v="6300538"/>
    <x v="1"/>
    <x v="3"/>
    <s v="GORENG"/>
    <n v="2975"/>
    <n v="220"/>
    <n v="654500"/>
    <n v="160"/>
  </r>
  <r>
    <x v="4"/>
    <s v="JUN"/>
    <x v="16"/>
    <s v="GRSM 4"/>
    <x v="0"/>
    <s v="GMM"/>
    <n v="103277"/>
    <n v="6301424"/>
    <x v="6"/>
    <x v="13"/>
    <s v="BOLOGNESE"/>
    <n v="3000"/>
    <n v="78"/>
    <n v="234000"/>
    <m/>
  </r>
  <r>
    <x v="4"/>
    <s v="JUN"/>
    <x v="16"/>
    <s v="GRSM 4"/>
    <x v="0"/>
    <s v="GMM"/>
    <n v="103277"/>
    <n v="6301424"/>
    <x v="6"/>
    <x v="13"/>
    <s v="CARBONARA"/>
    <n v="3000"/>
    <n v="86"/>
    <n v="258000"/>
    <m/>
  </r>
  <r>
    <x v="4"/>
    <s v="JUN"/>
    <x v="16"/>
    <s v="GRSM 4"/>
    <x v="0"/>
    <s v="GMM"/>
    <n v="103277"/>
    <n v="6301424"/>
    <x v="6"/>
    <x v="13"/>
    <s v="AGLIO OLIO"/>
    <n v="3000"/>
    <n v="74"/>
    <n v="222000"/>
    <m/>
  </r>
  <r>
    <x v="4"/>
    <s v="JUN"/>
    <x v="16"/>
    <s v="GRSM 4"/>
    <x v="0"/>
    <s v="GMM"/>
    <n v="103277"/>
    <n v="6301424"/>
    <x v="6"/>
    <x v="13"/>
    <s v="GORENG"/>
    <n v="3000"/>
    <n v="158"/>
    <n v="474000"/>
    <n v="120"/>
  </r>
  <r>
    <x v="4"/>
    <s v="JUN"/>
    <x v="16"/>
    <s v="GRSM 4"/>
    <x v="0"/>
    <s v="GMM"/>
    <n v="103277"/>
    <n v="6301424"/>
    <x v="6"/>
    <x v="12"/>
    <s v="BOLOGNESE"/>
    <n v="3000"/>
    <n v="80"/>
    <n v="240000"/>
    <m/>
  </r>
  <r>
    <x v="4"/>
    <s v="JUN"/>
    <x v="16"/>
    <s v="GRSM 4"/>
    <x v="0"/>
    <s v="GMM"/>
    <n v="103277"/>
    <n v="6301424"/>
    <x v="6"/>
    <x v="12"/>
    <s v="CARBONARA"/>
    <n v="3000"/>
    <n v="84"/>
    <n v="252000"/>
    <m/>
  </r>
  <r>
    <x v="4"/>
    <s v="JUN"/>
    <x v="16"/>
    <s v="GRSM 4"/>
    <x v="0"/>
    <s v="GMM"/>
    <n v="103277"/>
    <n v="6301424"/>
    <x v="6"/>
    <x v="12"/>
    <s v="AGLIO OLIO"/>
    <n v="3000"/>
    <n v="80"/>
    <n v="240000"/>
    <m/>
  </r>
  <r>
    <x v="4"/>
    <s v="JUN"/>
    <x v="16"/>
    <s v="GRSM 4"/>
    <x v="0"/>
    <s v="GMM"/>
    <n v="103277"/>
    <n v="6301424"/>
    <x v="6"/>
    <x v="12"/>
    <s v="GORENG"/>
    <n v="3000"/>
    <n v="158"/>
    <n v="474000"/>
    <n v="120"/>
  </r>
  <r>
    <x v="4"/>
    <s v="JUN"/>
    <x v="16"/>
    <s v="GRSM 4"/>
    <x v="0"/>
    <s v="NKA"/>
    <n v="490034"/>
    <n v="209554"/>
    <x v="8"/>
    <x v="18"/>
    <s v="BOLOGNESE"/>
    <n v="3275"/>
    <n v="20"/>
    <n v="65500"/>
    <m/>
  </r>
  <r>
    <x v="4"/>
    <s v="JUN"/>
    <x v="16"/>
    <s v="GRSM 4"/>
    <x v="0"/>
    <s v="NKA"/>
    <n v="490034"/>
    <n v="209554"/>
    <x v="8"/>
    <x v="18"/>
    <s v="CARBONARA"/>
    <n v="3275"/>
    <n v="18"/>
    <n v="58950"/>
    <m/>
  </r>
  <r>
    <x v="4"/>
    <s v="JUN"/>
    <x v="16"/>
    <s v="GRSM 4"/>
    <x v="0"/>
    <s v="NKA"/>
    <n v="490034"/>
    <n v="209554"/>
    <x v="8"/>
    <x v="18"/>
    <s v="AGLIO OLIO"/>
    <n v="3275"/>
    <n v="10"/>
    <n v="32750"/>
    <m/>
  </r>
  <r>
    <x v="4"/>
    <s v="JUN"/>
    <x v="16"/>
    <s v="GRSM 4"/>
    <x v="0"/>
    <s v="NKA"/>
    <n v="490034"/>
    <n v="209554"/>
    <x v="8"/>
    <x v="18"/>
    <s v="GORENG"/>
    <n v="3275"/>
    <n v="203"/>
    <n v="664825"/>
    <n v="160"/>
  </r>
  <r>
    <x v="4"/>
    <s v="JUN"/>
    <x v="16"/>
    <s v="GRSM 4"/>
    <x v="0"/>
    <s v="NKA"/>
    <n v="490034"/>
    <n v="209554"/>
    <x v="8"/>
    <x v="19"/>
    <s v="BOLOGNESE"/>
    <n v="3275"/>
    <n v="20"/>
    <n v="65500"/>
    <m/>
  </r>
  <r>
    <x v="4"/>
    <s v="JUN"/>
    <x v="16"/>
    <s v="GRSM 4"/>
    <x v="0"/>
    <s v="NKA"/>
    <n v="490034"/>
    <n v="209554"/>
    <x v="8"/>
    <x v="19"/>
    <s v="CARBONARA"/>
    <n v="3275"/>
    <n v="18"/>
    <n v="58950"/>
    <m/>
  </r>
  <r>
    <x v="4"/>
    <s v="JUN"/>
    <x v="16"/>
    <s v="GRSM 4"/>
    <x v="0"/>
    <s v="NKA"/>
    <n v="490034"/>
    <n v="209554"/>
    <x v="8"/>
    <x v="19"/>
    <s v="AGLIO OLIO"/>
    <n v="3275"/>
    <n v="10"/>
    <n v="32750"/>
    <m/>
  </r>
  <r>
    <x v="4"/>
    <s v="JUN"/>
    <x v="16"/>
    <s v="GRSM 4"/>
    <x v="0"/>
    <s v="NKA"/>
    <n v="490034"/>
    <n v="209554"/>
    <x v="8"/>
    <x v="19"/>
    <s v="GORENG"/>
    <n v="3275"/>
    <n v="203"/>
    <n v="664825"/>
    <n v="160"/>
  </r>
  <r>
    <x v="4"/>
    <s v="JUN"/>
    <x v="16"/>
    <s v="GRSM 4"/>
    <x v="0"/>
    <s v="GMM"/>
    <n v="103257"/>
    <n v="9162509"/>
    <x v="4"/>
    <x v="8"/>
    <s v="BOLOGNESE"/>
    <n v="3200"/>
    <n v="52"/>
    <n v="166400"/>
    <m/>
  </r>
  <r>
    <x v="4"/>
    <s v="JUN"/>
    <x v="16"/>
    <s v="GRSM 4"/>
    <x v="0"/>
    <s v="GMM"/>
    <n v="103257"/>
    <n v="9162509"/>
    <x v="4"/>
    <x v="8"/>
    <s v="CARBONARA"/>
    <n v="3200"/>
    <n v="59"/>
    <n v="188800"/>
    <m/>
  </r>
  <r>
    <x v="4"/>
    <s v="JUN"/>
    <x v="16"/>
    <s v="GRSM 4"/>
    <x v="0"/>
    <s v="GMM"/>
    <n v="103257"/>
    <n v="9162509"/>
    <x v="4"/>
    <x v="8"/>
    <s v="AGLIO OLIO"/>
    <n v="3200"/>
    <n v="50"/>
    <n v="160000"/>
    <m/>
  </r>
  <r>
    <x v="4"/>
    <s v="JUN"/>
    <x v="16"/>
    <s v="GRSM 4"/>
    <x v="0"/>
    <s v="GMM"/>
    <n v="103257"/>
    <n v="9162509"/>
    <x v="4"/>
    <x v="8"/>
    <s v="GORENG"/>
    <n v="3200"/>
    <n v="88"/>
    <n v="281600"/>
    <n v="160"/>
  </r>
  <r>
    <x v="4"/>
    <s v="JUN"/>
    <x v="16"/>
    <s v="GRSM 4"/>
    <x v="0"/>
    <s v="GMM"/>
    <n v="189901"/>
    <n v="1602020"/>
    <x v="2"/>
    <x v="5"/>
    <s v="BOLOGNESE"/>
    <n v="2200"/>
    <n v="46"/>
    <n v="101200"/>
    <m/>
  </r>
  <r>
    <x v="4"/>
    <s v="JUN"/>
    <x v="16"/>
    <s v="GRSM 4"/>
    <x v="0"/>
    <s v="GMM"/>
    <n v="189901"/>
    <n v="1602020"/>
    <x v="2"/>
    <x v="5"/>
    <s v="CARBONARA"/>
    <n v="2200"/>
    <n v="30"/>
    <n v="66000"/>
    <m/>
  </r>
  <r>
    <x v="4"/>
    <s v="JUN"/>
    <x v="16"/>
    <s v="GRSM 4"/>
    <x v="0"/>
    <s v="GMM"/>
    <n v="189901"/>
    <n v="1602020"/>
    <x v="2"/>
    <x v="5"/>
    <s v="AGLIO OLIO"/>
    <n v="2200"/>
    <n v="6"/>
    <n v="13200"/>
    <m/>
  </r>
  <r>
    <x v="4"/>
    <s v="JUN"/>
    <x v="16"/>
    <s v="GRSM 4"/>
    <x v="0"/>
    <s v="GMM"/>
    <n v="189901"/>
    <n v="1602020"/>
    <x v="2"/>
    <x v="5"/>
    <s v="GORENG"/>
    <n v="2200"/>
    <n v="183"/>
    <n v="402600"/>
    <n v="120"/>
  </r>
  <r>
    <x v="4"/>
    <s v="JUN"/>
    <x v="16"/>
    <s v="GRSM 4"/>
    <x v="0"/>
    <s v="GMM"/>
    <n v="189901"/>
    <n v="1602020"/>
    <x v="2"/>
    <x v="4"/>
    <s v="BOLOGNESE"/>
    <n v="2200"/>
    <n v="40"/>
    <n v="88000"/>
    <m/>
  </r>
  <r>
    <x v="4"/>
    <s v="JUN"/>
    <x v="16"/>
    <s v="GRSM 4"/>
    <x v="0"/>
    <s v="GMM"/>
    <n v="189901"/>
    <n v="1602020"/>
    <x v="2"/>
    <x v="4"/>
    <s v="CARBONARA"/>
    <n v="2200"/>
    <n v="42"/>
    <n v="92400"/>
    <m/>
  </r>
  <r>
    <x v="4"/>
    <s v="JUN"/>
    <x v="16"/>
    <s v="GRSM 4"/>
    <x v="0"/>
    <s v="GMM"/>
    <n v="189901"/>
    <n v="1602020"/>
    <x v="2"/>
    <x v="4"/>
    <s v="AGLIO OLIO"/>
    <n v="2200"/>
    <n v="8"/>
    <n v="17600"/>
    <m/>
  </r>
  <r>
    <x v="4"/>
    <s v="JUN"/>
    <x v="16"/>
    <s v="GRSM 4"/>
    <x v="0"/>
    <s v="GMM"/>
    <n v="189901"/>
    <n v="1602020"/>
    <x v="2"/>
    <x v="4"/>
    <s v="GORENG"/>
    <n v="2200"/>
    <n v="179"/>
    <n v="393800"/>
    <n v="120"/>
  </r>
  <r>
    <x v="4"/>
    <s v="JUN"/>
    <x v="15"/>
    <s v="GRSM 4"/>
    <x v="0"/>
    <s v="GMM"/>
    <n v="103259"/>
    <n v="9013525"/>
    <x v="5"/>
    <x v="9"/>
    <s v="BOLOGNESE"/>
    <n v="2000"/>
    <n v="48"/>
    <n v="96000"/>
    <m/>
  </r>
  <r>
    <x v="4"/>
    <s v="JUN"/>
    <x v="15"/>
    <s v="GRSM 4"/>
    <x v="0"/>
    <s v="GMM"/>
    <n v="103259"/>
    <n v="9013525"/>
    <x v="5"/>
    <x v="9"/>
    <s v="CARBONARA"/>
    <n v="2000"/>
    <n v="210"/>
    <n v="420000"/>
    <m/>
  </r>
  <r>
    <x v="4"/>
    <s v="JUN"/>
    <x v="15"/>
    <s v="GRSM 4"/>
    <x v="0"/>
    <s v="GMM"/>
    <n v="103259"/>
    <n v="9013525"/>
    <x v="5"/>
    <x v="9"/>
    <s v="AGLIO OLIO"/>
    <n v="2000"/>
    <n v="18"/>
    <n v="36000"/>
    <m/>
  </r>
  <r>
    <x v="4"/>
    <s v="JUN"/>
    <x v="15"/>
    <s v="GRSM 4"/>
    <x v="0"/>
    <s v="GMM"/>
    <n v="103259"/>
    <n v="9013525"/>
    <x v="5"/>
    <x v="9"/>
    <s v="GORENG"/>
    <n v="2000"/>
    <n v="264"/>
    <n v="528000"/>
    <n v="160"/>
  </r>
  <r>
    <x v="4"/>
    <s v="JUN"/>
    <x v="16"/>
    <s v="GRSM 4"/>
    <x v="0"/>
    <s v="GMM"/>
    <n v="103259"/>
    <n v="9013525"/>
    <x v="5"/>
    <x v="14"/>
    <s v="BOLOGNESE"/>
    <n v="2000"/>
    <n v="24"/>
    <n v="48000"/>
    <m/>
  </r>
  <r>
    <x v="4"/>
    <s v="JUN"/>
    <x v="16"/>
    <s v="GRSM 4"/>
    <x v="0"/>
    <s v="GMM"/>
    <n v="103259"/>
    <n v="9013525"/>
    <x v="5"/>
    <x v="14"/>
    <s v="CARBONARA"/>
    <n v="2000"/>
    <n v="240"/>
    <n v="480000"/>
    <m/>
  </r>
  <r>
    <x v="4"/>
    <s v="JUN"/>
    <x v="16"/>
    <s v="GRSM 4"/>
    <x v="0"/>
    <s v="GMM"/>
    <n v="103259"/>
    <n v="9013525"/>
    <x v="5"/>
    <x v="14"/>
    <s v="AGLIO OLIO"/>
    <n v="2000"/>
    <n v="12"/>
    <n v="24000"/>
    <m/>
  </r>
  <r>
    <x v="4"/>
    <s v="JUN"/>
    <x v="16"/>
    <s v="GRSM 4"/>
    <x v="0"/>
    <s v="GMM"/>
    <n v="103259"/>
    <n v="9013525"/>
    <x v="5"/>
    <x v="14"/>
    <s v="GORENG"/>
    <n v="2000"/>
    <n v="340"/>
    <n v="680000"/>
    <n v="160"/>
  </r>
  <r>
    <x v="4"/>
    <s v="JUN"/>
    <x v="16"/>
    <s v="GRSM 4"/>
    <x v="0"/>
    <s v="GMM"/>
    <n v="103257"/>
    <n v="9162509"/>
    <x v="4"/>
    <x v="8"/>
    <s v="BOLOGNESE"/>
    <n v="3200"/>
    <n v="55"/>
    <n v="176000"/>
    <m/>
  </r>
  <r>
    <x v="4"/>
    <s v="JUN"/>
    <x v="16"/>
    <s v="GRSM 4"/>
    <x v="0"/>
    <s v="GMM"/>
    <n v="103257"/>
    <n v="9162509"/>
    <x v="4"/>
    <x v="8"/>
    <s v="CARBONARA"/>
    <n v="3200"/>
    <n v="62"/>
    <n v="198400"/>
    <m/>
  </r>
  <r>
    <x v="4"/>
    <s v="JUN"/>
    <x v="16"/>
    <s v="GRSM 4"/>
    <x v="0"/>
    <s v="GMM"/>
    <n v="103257"/>
    <n v="9162509"/>
    <x v="4"/>
    <x v="8"/>
    <s v="AGLIO OLIO"/>
    <n v="3200"/>
    <n v="53"/>
    <n v="169600"/>
    <m/>
  </r>
  <r>
    <x v="4"/>
    <s v="JUN"/>
    <x v="16"/>
    <s v="GRSM 4"/>
    <x v="0"/>
    <s v="GMM"/>
    <n v="103257"/>
    <n v="9162509"/>
    <x v="4"/>
    <x v="8"/>
    <s v="GORENG"/>
    <n v="3200"/>
    <n v="91"/>
    <n v="291200"/>
    <n v="160"/>
  </r>
  <r>
    <x v="4"/>
    <s v="JUN"/>
    <x v="14"/>
    <s v="GRSM 4"/>
    <x v="0"/>
    <s v="GMM"/>
    <n v="189901"/>
    <n v="1602020"/>
    <x v="2"/>
    <x v="4"/>
    <s v="BOLOGNESE"/>
    <n v="2200"/>
    <n v="34"/>
    <n v="74800"/>
    <m/>
  </r>
  <r>
    <x v="4"/>
    <s v="JUN"/>
    <x v="14"/>
    <s v="GRSM 4"/>
    <x v="0"/>
    <s v="GMM"/>
    <n v="189901"/>
    <n v="1602020"/>
    <x v="2"/>
    <x v="4"/>
    <s v="CARBONARA"/>
    <n v="2200"/>
    <n v="52"/>
    <n v="114400"/>
    <m/>
  </r>
  <r>
    <x v="4"/>
    <s v="JUN"/>
    <x v="14"/>
    <s v="GRSM 4"/>
    <x v="0"/>
    <s v="GMM"/>
    <n v="189901"/>
    <n v="1602020"/>
    <x v="2"/>
    <x v="4"/>
    <s v="AGLIO OLIO"/>
    <n v="2200"/>
    <n v="9"/>
    <n v="19800"/>
    <m/>
  </r>
  <r>
    <x v="4"/>
    <s v="JUN"/>
    <x v="14"/>
    <s v="GRSM 4"/>
    <x v="0"/>
    <s v="GMM"/>
    <n v="189901"/>
    <n v="1602020"/>
    <x v="2"/>
    <x v="4"/>
    <s v="GORENG"/>
    <n v="2200"/>
    <n v="127"/>
    <n v="279400"/>
    <n v="120"/>
  </r>
  <r>
    <x v="4"/>
    <s v="JUN"/>
    <x v="14"/>
    <s v="GRSM 4"/>
    <x v="0"/>
    <s v="GMM"/>
    <n v="103259"/>
    <n v="9029389"/>
    <x v="0"/>
    <x v="1"/>
    <s v="BOLOGNESE"/>
    <n v="2000"/>
    <n v="51"/>
    <n v="102000"/>
    <m/>
  </r>
  <r>
    <x v="4"/>
    <s v="JUN"/>
    <x v="14"/>
    <s v="GRSM 4"/>
    <x v="0"/>
    <s v="GMM"/>
    <n v="103259"/>
    <n v="9029389"/>
    <x v="0"/>
    <x v="1"/>
    <s v="CARBONARA"/>
    <n v="2000"/>
    <n v="57"/>
    <n v="114000"/>
    <m/>
  </r>
  <r>
    <x v="4"/>
    <s v="JUN"/>
    <x v="14"/>
    <s v="GRSM 4"/>
    <x v="0"/>
    <s v="GMM"/>
    <n v="103259"/>
    <n v="9029389"/>
    <x v="0"/>
    <x v="1"/>
    <s v="AGLIO OLIO"/>
    <n v="2000"/>
    <n v="27"/>
    <n v="54000"/>
    <m/>
  </r>
  <r>
    <x v="4"/>
    <s v="JUN"/>
    <x v="14"/>
    <s v="GRSM 4"/>
    <x v="0"/>
    <s v="GMM"/>
    <n v="103259"/>
    <n v="9029389"/>
    <x v="0"/>
    <x v="1"/>
    <s v="GORENG"/>
    <n v="2000"/>
    <n v="72"/>
    <n v="144000"/>
    <n v="160"/>
  </r>
  <r>
    <x v="4"/>
    <s v="JUN"/>
    <x v="16"/>
    <s v="GRSM 4"/>
    <x v="0"/>
    <s v="GMM"/>
    <n v="103258"/>
    <n v="9210369"/>
    <x v="9"/>
    <x v="22"/>
    <s v="BOLOGNESE"/>
    <n v="3500"/>
    <n v="35"/>
    <n v="122500"/>
    <m/>
  </r>
  <r>
    <x v="4"/>
    <s v="JUN"/>
    <x v="16"/>
    <s v="GRSM 4"/>
    <x v="0"/>
    <s v="GMM"/>
    <n v="103258"/>
    <n v="9210369"/>
    <x v="9"/>
    <x v="22"/>
    <s v="CARBONARA"/>
    <n v="3500"/>
    <n v="45"/>
    <n v="157500"/>
    <m/>
  </r>
  <r>
    <x v="4"/>
    <s v="JUN"/>
    <x v="16"/>
    <s v="GRSM 4"/>
    <x v="0"/>
    <s v="GMM"/>
    <n v="103258"/>
    <n v="9210369"/>
    <x v="9"/>
    <x v="22"/>
    <s v="AGLIO OLIO"/>
    <n v="3500"/>
    <n v="25"/>
    <n v="87500"/>
    <m/>
  </r>
  <r>
    <x v="4"/>
    <s v="JUN"/>
    <x v="16"/>
    <s v="GRSM 4"/>
    <x v="0"/>
    <s v="GMM"/>
    <n v="103258"/>
    <n v="9210369"/>
    <x v="9"/>
    <x v="22"/>
    <s v="GORENG"/>
    <n v="3500"/>
    <n v="15"/>
    <n v="52500"/>
    <n v="160"/>
  </r>
  <r>
    <x v="4"/>
    <s v="JUN"/>
    <x v="16"/>
    <s v="GRSM 4"/>
    <x v="0"/>
    <s v="GMM"/>
    <n v="103258"/>
    <n v="9210369"/>
    <x v="9"/>
    <x v="23"/>
    <s v="BOLOGNESE"/>
    <n v="3500"/>
    <n v="40"/>
    <n v="140000"/>
    <m/>
  </r>
  <r>
    <x v="4"/>
    <s v="JUN"/>
    <x v="16"/>
    <s v="GRSM 4"/>
    <x v="0"/>
    <s v="GMM"/>
    <n v="103258"/>
    <n v="9210369"/>
    <x v="9"/>
    <x v="23"/>
    <s v="CARBONARA"/>
    <n v="3500"/>
    <n v="45"/>
    <n v="157500"/>
    <m/>
  </r>
  <r>
    <x v="4"/>
    <s v="JUN"/>
    <x v="16"/>
    <s v="GRSM 4"/>
    <x v="0"/>
    <s v="GMM"/>
    <n v="103258"/>
    <n v="9210369"/>
    <x v="9"/>
    <x v="23"/>
    <s v="AGLIO OLIO"/>
    <n v="3500"/>
    <n v="25"/>
    <n v="87500"/>
    <m/>
  </r>
  <r>
    <x v="4"/>
    <s v="JUN"/>
    <x v="16"/>
    <s v="GRSM 4"/>
    <x v="0"/>
    <s v="GMM"/>
    <n v="103258"/>
    <n v="9210369"/>
    <x v="9"/>
    <x v="23"/>
    <s v="GORENG"/>
    <n v="3500"/>
    <n v="15"/>
    <n v="52500"/>
    <n v="160"/>
  </r>
  <r>
    <x v="5"/>
    <s v="JUL"/>
    <x v="17"/>
    <s v="GRSM 4"/>
    <x v="0"/>
    <s v="GMM"/>
    <n v="103257"/>
    <n v="9162509"/>
    <x v="4"/>
    <x v="7"/>
    <s v="BOLOGNESE"/>
    <n v="3100"/>
    <n v="47"/>
    <n v="145700"/>
    <m/>
  </r>
  <r>
    <x v="5"/>
    <s v="JUL"/>
    <x v="17"/>
    <s v="GRSM 4"/>
    <x v="0"/>
    <s v="GMM"/>
    <n v="103257"/>
    <n v="9162509"/>
    <x v="4"/>
    <x v="7"/>
    <s v="CARBONARA"/>
    <n v="3100"/>
    <n v="37"/>
    <n v="114700"/>
    <m/>
  </r>
  <r>
    <x v="5"/>
    <s v="JUL"/>
    <x v="17"/>
    <s v="GRSM 4"/>
    <x v="0"/>
    <s v="GMM"/>
    <n v="103257"/>
    <n v="9162509"/>
    <x v="4"/>
    <x v="7"/>
    <s v="AGLIO OLIO"/>
    <n v="3100"/>
    <n v="51"/>
    <n v="158100"/>
    <m/>
  </r>
  <r>
    <x v="5"/>
    <s v="JUL"/>
    <x v="17"/>
    <s v="GRSM 4"/>
    <x v="0"/>
    <s v="GMM"/>
    <n v="103257"/>
    <n v="9162509"/>
    <x v="4"/>
    <x v="7"/>
    <s v="GORENG"/>
    <n v="3100"/>
    <n v="53"/>
    <n v="164300"/>
    <n v="160"/>
  </r>
  <r>
    <x v="5"/>
    <s v="JUL"/>
    <x v="17"/>
    <s v="GRSM 4"/>
    <x v="0"/>
    <s v="GMM"/>
    <n v="103257"/>
    <n v="9162509"/>
    <x v="4"/>
    <x v="8"/>
    <s v="BOLOGNESE"/>
    <n v="3100"/>
    <n v="44"/>
    <n v="136400"/>
    <m/>
  </r>
  <r>
    <x v="5"/>
    <s v="JUL"/>
    <x v="17"/>
    <s v="GRSM 4"/>
    <x v="0"/>
    <s v="GMM"/>
    <n v="103257"/>
    <n v="9162509"/>
    <x v="4"/>
    <x v="8"/>
    <s v="CARBONARA"/>
    <n v="3100"/>
    <n v="34"/>
    <n v="105400"/>
    <m/>
  </r>
  <r>
    <x v="5"/>
    <s v="JUL"/>
    <x v="17"/>
    <s v="GRSM 4"/>
    <x v="0"/>
    <s v="GMM"/>
    <n v="103257"/>
    <n v="9162509"/>
    <x v="4"/>
    <x v="8"/>
    <s v="AGLIO OLIO"/>
    <n v="3100"/>
    <n v="52"/>
    <n v="161200"/>
    <m/>
  </r>
  <r>
    <x v="5"/>
    <s v="JUL"/>
    <x v="17"/>
    <s v="GRSM 4"/>
    <x v="0"/>
    <s v="GMM"/>
    <n v="103257"/>
    <n v="9162509"/>
    <x v="4"/>
    <x v="8"/>
    <s v="GORENG"/>
    <n v="3100"/>
    <n v="51"/>
    <n v="158100"/>
    <n v="160"/>
  </r>
  <r>
    <x v="5"/>
    <s v="JUL"/>
    <x v="17"/>
    <s v="GRSM 4"/>
    <x v="0"/>
    <s v="GMM"/>
    <n v="189901"/>
    <n v="1602057"/>
    <x v="10"/>
    <x v="24"/>
    <s v="BOLOGNESE"/>
    <n v="2150"/>
    <n v="126"/>
    <n v="270900"/>
    <m/>
  </r>
  <r>
    <x v="5"/>
    <s v="JUL"/>
    <x v="17"/>
    <s v="GRSM 4"/>
    <x v="0"/>
    <s v="GMM"/>
    <n v="189901"/>
    <n v="1602057"/>
    <x v="10"/>
    <x v="24"/>
    <s v="CARBONARA"/>
    <n v="2150"/>
    <n v="156"/>
    <n v="335400"/>
    <m/>
  </r>
  <r>
    <x v="5"/>
    <s v="JUL"/>
    <x v="17"/>
    <s v="GRSM 4"/>
    <x v="0"/>
    <s v="GMM"/>
    <n v="189901"/>
    <n v="1602057"/>
    <x v="10"/>
    <x v="24"/>
    <s v="AGLIO OLIO"/>
    <n v="2150"/>
    <n v="108"/>
    <n v="232200"/>
    <m/>
  </r>
  <r>
    <x v="5"/>
    <s v="JUL"/>
    <x v="17"/>
    <s v="GRSM 4"/>
    <x v="0"/>
    <s v="GMM"/>
    <n v="189901"/>
    <n v="1602057"/>
    <x v="10"/>
    <x v="24"/>
    <s v="GORENG"/>
    <n v="2150"/>
    <n v="183"/>
    <n v="393450"/>
    <n v="160"/>
  </r>
  <r>
    <x v="5"/>
    <s v="JUL"/>
    <x v="17"/>
    <s v="GRSM 4"/>
    <x v="0"/>
    <s v="GMM"/>
    <n v="189901"/>
    <n v="1602057"/>
    <x v="10"/>
    <x v="15"/>
    <s v="BOLOGNESE"/>
    <n v="3000"/>
    <n v="73"/>
    <n v="219000"/>
    <m/>
  </r>
  <r>
    <x v="5"/>
    <s v="JUL"/>
    <x v="17"/>
    <s v="GRSM 4"/>
    <x v="0"/>
    <s v="GMM"/>
    <n v="189901"/>
    <n v="1602057"/>
    <x v="10"/>
    <x v="15"/>
    <s v="CARBONARA"/>
    <n v="3000"/>
    <n v="90"/>
    <n v="270000"/>
    <m/>
  </r>
  <r>
    <x v="5"/>
    <s v="JUL"/>
    <x v="17"/>
    <s v="GRSM 4"/>
    <x v="0"/>
    <s v="GMM"/>
    <n v="189901"/>
    <n v="1602057"/>
    <x v="10"/>
    <x v="15"/>
    <s v="AGLIO OLIO"/>
    <n v="3000"/>
    <n v="55"/>
    <n v="165000"/>
    <m/>
  </r>
  <r>
    <x v="5"/>
    <s v="JUL"/>
    <x v="17"/>
    <s v="GRSM 4"/>
    <x v="0"/>
    <s v="GMM"/>
    <n v="189901"/>
    <n v="1602057"/>
    <x v="10"/>
    <x v="15"/>
    <s v="GORENG"/>
    <n v="3000"/>
    <n v="202"/>
    <n v="606000"/>
    <n v="160"/>
  </r>
  <r>
    <x v="5"/>
    <s v="JUL"/>
    <x v="17"/>
    <s v="GRSM 4"/>
    <x v="0"/>
    <s v="NKA"/>
    <n v="490034"/>
    <n v="209554"/>
    <x v="8"/>
    <x v="18"/>
    <s v="BOLOGNESE"/>
    <n v="3275"/>
    <n v="20"/>
    <n v="65500"/>
    <m/>
  </r>
  <r>
    <x v="5"/>
    <s v="JUL"/>
    <x v="17"/>
    <s v="GRSM 4"/>
    <x v="0"/>
    <s v="NKA"/>
    <n v="490034"/>
    <n v="209554"/>
    <x v="8"/>
    <x v="18"/>
    <s v="CARBONARA"/>
    <n v="3275"/>
    <n v="40"/>
    <n v="131000"/>
    <m/>
  </r>
  <r>
    <x v="5"/>
    <s v="JUL"/>
    <x v="17"/>
    <s v="GRSM 4"/>
    <x v="0"/>
    <s v="NKA"/>
    <n v="490034"/>
    <n v="209554"/>
    <x v="8"/>
    <x v="18"/>
    <s v="AGLIO OLIO"/>
    <n v="3275"/>
    <n v="10"/>
    <n v="32750"/>
    <m/>
  </r>
  <r>
    <x v="5"/>
    <s v="JUL"/>
    <x v="17"/>
    <s v="GRSM 4"/>
    <x v="0"/>
    <s v="NKA"/>
    <n v="490034"/>
    <n v="209554"/>
    <x v="8"/>
    <x v="18"/>
    <s v="GORENG"/>
    <n v="3275"/>
    <n v="60"/>
    <n v="196500"/>
    <n v="160"/>
  </r>
  <r>
    <x v="5"/>
    <s v="JUL"/>
    <x v="17"/>
    <s v="GRSM 4"/>
    <x v="0"/>
    <s v="NKA"/>
    <n v="490034"/>
    <n v="209554"/>
    <x v="8"/>
    <x v="19"/>
    <s v="BOLOGNESE"/>
    <n v="3275"/>
    <n v="20"/>
    <n v="65500"/>
    <m/>
  </r>
  <r>
    <x v="5"/>
    <s v="JUL"/>
    <x v="17"/>
    <s v="GRSM 4"/>
    <x v="0"/>
    <s v="NKA"/>
    <n v="490034"/>
    <n v="209554"/>
    <x v="8"/>
    <x v="19"/>
    <s v="CARBONARA"/>
    <n v="3275"/>
    <n v="40"/>
    <n v="131000"/>
    <m/>
  </r>
  <r>
    <x v="5"/>
    <s v="JUL"/>
    <x v="17"/>
    <s v="GRSM 4"/>
    <x v="0"/>
    <s v="NKA"/>
    <n v="490034"/>
    <n v="209554"/>
    <x v="8"/>
    <x v="19"/>
    <s v="AGLIO OLIO"/>
    <n v="3275"/>
    <n v="10"/>
    <n v="32750"/>
    <m/>
  </r>
  <r>
    <x v="5"/>
    <s v="JUL"/>
    <x v="17"/>
    <s v="GRSM 4"/>
    <x v="0"/>
    <s v="NKA"/>
    <n v="490034"/>
    <n v="209554"/>
    <x v="8"/>
    <x v="19"/>
    <s v="GORENG"/>
    <n v="3275"/>
    <n v="60"/>
    <n v="196500"/>
    <n v="160"/>
  </r>
  <r>
    <x v="5"/>
    <s v="JUL"/>
    <x v="17"/>
    <s v="GRSM 4"/>
    <x v="0"/>
    <s v="GMM"/>
    <n v="189901"/>
    <n v="1602057"/>
    <x v="10"/>
    <x v="15"/>
    <s v="BOLOGNESE"/>
    <n v="2150"/>
    <n v="141"/>
    <n v="303150"/>
    <m/>
  </r>
  <r>
    <x v="5"/>
    <s v="JUL"/>
    <x v="17"/>
    <s v="GRSM 4"/>
    <x v="0"/>
    <s v="GMM"/>
    <n v="189901"/>
    <n v="1602057"/>
    <x v="10"/>
    <x v="15"/>
    <s v="CARBONARA"/>
    <n v="2150"/>
    <n v="156"/>
    <n v="335400"/>
    <m/>
  </r>
  <r>
    <x v="5"/>
    <s v="JUL"/>
    <x v="17"/>
    <s v="GRSM 4"/>
    <x v="0"/>
    <s v="GMM"/>
    <n v="189901"/>
    <n v="1602057"/>
    <x v="10"/>
    <x v="15"/>
    <s v="AGLIO OLIO"/>
    <n v="2150"/>
    <n v="126"/>
    <n v="270900"/>
    <m/>
  </r>
  <r>
    <x v="5"/>
    <s v="JUL"/>
    <x v="17"/>
    <s v="GRSM 4"/>
    <x v="0"/>
    <s v="GMM"/>
    <n v="189901"/>
    <n v="1602057"/>
    <x v="10"/>
    <x v="15"/>
    <s v="GORENG"/>
    <n v="2150"/>
    <n v="228"/>
    <n v="490200"/>
    <n v="160"/>
  </r>
  <r>
    <x v="5"/>
    <s v="JUL"/>
    <x v="17"/>
    <s v="GRSM 4"/>
    <x v="0"/>
    <s v="GMM"/>
    <n v="103277"/>
    <n v="6300700"/>
    <x v="11"/>
    <x v="25"/>
    <s v="BOLOGNESE"/>
    <n v="3000"/>
    <n v="25"/>
    <n v="75000"/>
    <m/>
  </r>
  <r>
    <x v="5"/>
    <s v="JUL"/>
    <x v="17"/>
    <s v="GRSM 4"/>
    <x v="0"/>
    <s v="GMM"/>
    <n v="103277"/>
    <n v="6300700"/>
    <x v="11"/>
    <x v="25"/>
    <s v="CARBONARA"/>
    <n v="3000"/>
    <n v="42"/>
    <n v="126000"/>
    <m/>
  </r>
  <r>
    <x v="5"/>
    <s v="JUL"/>
    <x v="17"/>
    <s v="GRSM 4"/>
    <x v="0"/>
    <s v="GMM"/>
    <n v="103277"/>
    <n v="6300700"/>
    <x v="11"/>
    <x v="25"/>
    <s v="AGLIO OLIO"/>
    <n v="3000"/>
    <n v="45"/>
    <n v="135000"/>
    <m/>
  </r>
  <r>
    <x v="5"/>
    <s v="JUL"/>
    <x v="17"/>
    <s v="GRSM 4"/>
    <x v="0"/>
    <s v="GMM"/>
    <n v="103277"/>
    <n v="6300700"/>
    <x v="11"/>
    <x v="25"/>
    <s v="GORENG"/>
    <n v="3000"/>
    <n v="200"/>
    <n v="600000"/>
    <n v="120"/>
  </r>
  <r>
    <x v="5"/>
    <s v="JUL"/>
    <x v="17"/>
    <s v="GRSM 4"/>
    <x v="0"/>
    <s v="GMM"/>
    <n v="103259"/>
    <n v="9029389"/>
    <x v="7"/>
    <x v="21"/>
    <s v="BOLOGNESE"/>
    <n v="3000"/>
    <n v="70"/>
    <n v="210000"/>
    <m/>
  </r>
  <r>
    <x v="5"/>
    <s v="JUL"/>
    <x v="17"/>
    <s v="GRSM 4"/>
    <x v="0"/>
    <s v="GMM"/>
    <n v="103259"/>
    <n v="9029389"/>
    <x v="7"/>
    <x v="21"/>
    <s v="CARBONARA"/>
    <n v="3000"/>
    <n v="88"/>
    <n v="264000"/>
    <m/>
  </r>
  <r>
    <x v="5"/>
    <s v="JUL"/>
    <x v="17"/>
    <s v="GRSM 4"/>
    <x v="0"/>
    <s v="GMM"/>
    <n v="103259"/>
    <n v="9029389"/>
    <x v="7"/>
    <x v="21"/>
    <s v="AGLIO OLIO"/>
    <n v="3000"/>
    <n v="46"/>
    <n v="138000"/>
    <m/>
  </r>
  <r>
    <x v="5"/>
    <s v="JUL"/>
    <x v="17"/>
    <s v="GRSM 4"/>
    <x v="0"/>
    <s v="GMM"/>
    <n v="103259"/>
    <n v="9029389"/>
    <x v="7"/>
    <x v="21"/>
    <s v="GORENG"/>
    <n v="3000"/>
    <n v="197"/>
    <n v="591000"/>
    <n v="160"/>
  </r>
  <r>
    <x v="5"/>
    <s v="JUL"/>
    <x v="17"/>
    <s v="GRSM 4"/>
    <x v="0"/>
    <s v="GMM"/>
    <n v="103277"/>
    <n v="6300700"/>
    <x v="11"/>
    <x v="12"/>
    <s v="BOLOGNESE"/>
    <n v="3000"/>
    <n v="30"/>
    <n v="90000"/>
    <m/>
  </r>
  <r>
    <x v="5"/>
    <s v="JUL"/>
    <x v="17"/>
    <s v="GRSM 4"/>
    <x v="0"/>
    <s v="GMM"/>
    <n v="103277"/>
    <n v="6300700"/>
    <x v="11"/>
    <x v="12"/>
    <s v="CARBONARA"/>
    <n v="3000"/>
    <n v="50"/>
    <n v="150000"/>
    <m/>
  </r>
  <r>
    <x v="5"/>
    <s v="JUL"/>
    <x v="17"/>
    <s v="GRSM 4"/>
    <x v="0"/>
    <s v="GMM"/>
    <n v="103277"/>
    <n v="6300700"/>
    <x v="11"/>
    <x v="12"/>
    <s v="AGLIO OLIO"/>
    <n v="3000"/>
    <n v="40"/>
    <n v="120000"/>
    <m/>
  </r>
  <r>
    <x v="5"/>
    <s v="JUL"/>
    <x v="17"/>
    <s v="GRSM 4"/>
    <x v="0"/>
    <s v="GMM"/>
    <n v="103277"/>
    <n v="6300700"/>
    <x v="11"/>
    <x v="12"/>
    <s v="GORENG"/>
    <n v="3000"/>
    <n v="200"/>
    <n v="600000"/>
    <n v="120"/>
  </r>
  <r>
    <x v="5"/>
    <s v="JUL"/>
    <x v="17"/>
    <s v="GRSM 4"/>
    <x v="0"/>
    <s v="GMM"/>
    <n v="121409"/>
    <n v="5205014"/>
    <x v="12"/>
    <x v="26"/>
    <s v="BOLOGNESE"/>
    <n v="2100"/>
    <n v="80"/>
    <n v="168000"/>
    <m/>
  </r>
  <r>
    <x v="5"/>
    <s v="JUL"/>
    <x v="17"/>
    <s v="GRSM 4"/>
    <x v="0"/>
    <s v="GMM"/>
    <n v="121409"/>
    <n v="5205014"/>
    <x v="12"/>
    <x v="26"/>
    <s v="CARBONARA"/>
    <n v="2100"/>
    <n v="105"/>
    <n v="220500"/>
    <m/>
  </r>
  <r>
    <x v="5"/>
    <s v="JUL"/>
    <x v="17"/>
    <s v="GRSM 4"/>
    <x v="0"/>
    <s v="GMM"/>
    <n v="121409"/>
    <n v="5205014"/>
    <x v="12"/>
    <x v="26"/>
    <s v="AGLIO OLIO"/>
    <n v="2100"/>
    <n v="83"/>
    <n v="174300"/>
    <m/>
  </r>
  <r>
    <x v="5"/>
    <s v="JUL"/>
    <x v="17"/>
    <s v="GRSM 4"/>
    <x v="0"/>
    <s v="GMM"/>
    <n v="121409"/>
    <n v="5205014"/>
    <x v="12"/>
    <x v="26"/>
    <s v="GORENG"/>
    <n v="2100"/>
    <n v="347"/>
    <n v="728700"/>
    <n v="160"/>
  </r>
  <r>
    <x v="5"/>
    <s v="JUL"/>
    <x v="17"/>
    <s v="GRSM 4"/>
    <x v="0"/>
    <s v="GMM"/>
    <n v="121409"/>
    <n v="5205014"/>
    <x v="12"/>
    <x v="27"/>
    <s v="BOLOGNESE"/>
    <n v="2100"/>
    <n v="80"/>
    <n v="168000"/>
    <m/>
  </r>
  <r>
    <x v="5"/>
    <s v="JUL"/>
    <x v="17"/>
    <s v="GRSM 4"/>
    <x v="0"/>
    <s v="GMM"/>
    <n v="121409"/>
    <n v="5205014"/>
    <x v="12"/>
    <x v="27"/>
    <s v="CARBONARA"/>
    <n v="2100"/>
    <n v="105"/>
    <n v="220500"/>
    <m/>
  </r>
  <r>
    <x v="5"/>
    <s v="JUL"/>
    <x v="17"/>
    <s v="GRSM 4"/>
    <x v="0"/>
    <s v="GMM"/>
    <n v="121409"/>
    <n v="5205014"/>
    <x v="12"/>
    <x v="27"/>
    <s v="AGLIO OLIO"/>
    <n v="2100"/>
    <n v="83"/>
    <n v="174300"/>
    <m/>
  </r>
  <r>
    <x v="5"/>
    <s v="JUL"/>
    <x v="17"/>
    <s v="GRSM 4"/>
    <x v="0"/>
    <s v="GMM"/>
    <n v="121409"/>
    <n v="5205014"/>
    <x v="12"/>
    <x v="27"/>
    <s v="GORENG"/>
    <n v="2100"/>
    <n v="347"/>
    <n v="728700"/>
    <n v="160"/>
  </r>
  <r>
    <x v="5"/>
    <s v="JUL"/>
    <x v="18"/>
    <s v="GRSM 4"/>
    <x v="0"/>
    <s v="GMM"/>
    <n v="121409"/>
    <n v="5205014"/>
    <x v="12"/>
    <x v="27"/>
    <s v="BOLOGNESE"/>
    <n v="2100"/>
    <n v="125"/>
    <n v="262500"/>
    <m/>
  </r>
  <r>
    <x v="5"/>
    <s v="JUL"/>
    <x v="18"/>
    <s v="GRSM 4"/>
    <x v="0"/>
    <s v="GMM"/>
    <n v="121409"/>
    <n v="5205014"/>
    <x v="12"/>
    <x v="27"/>
    <s v="CARBONARA"/>
    <n v="2100"/>
    <n v="85"/>
    <n v="178500"/>
    <m/>
  </r>
  <r>
    <x v="5"/>
    <s v="JUL"/>
    <x v="18"/>
    <s v="GRSM 4"/>
    <x v="0"/>
    <s v="GMM"/>
    <n v="121409"/>
    <n v="5205014"/>
    <x v="12"/>
    <x v="27"/>
    <s v="AGLIO OLIO"/>
    <n v="2100"/>
    <n v="97"/>
    <n v="203700"/>
    <m/>
  </r>
  <r>
    <x v="5"/>
    <s v="JUL"/>
    <x v="18"/>
    <s v="GRSM 4"/>
    <x v="0"/>
    <s v="GMM"/>
    <n v="121409"/>
    <n v="5205014"/>
    <x v="12"/>
    <x v="27"/>
    <s v="GORENG"/>
    <n v="2100"/>
    <n v="341"/>
    <n v="716100"/>
    <n v="160"/>
  </r>
  <r>
    <x v="5"/>
    <s v="JUL"/>
    <x v="18"/>
    <s v="GRSM 4"/>
    <x v="0"/>
    <s v="GMM"/>
    <n v="121409"/>
    <n v="5205014"/>
    <x v="12"/>
    <x v="26"/>
    <s v="BOLOGNESE"/>
    <n v="2100"/>
    <n v="125"/>
    <n v="262500"/>
    <m/>
  </r>
  <r>
    <x v="5"/>
    <s v="JUL"/>
    <x v="18"/>
    <s v="GRSM 4"/>
    <x v="0"/>
    <s v="GMM"/>
    <n v="121409"/>
    <n v="5205014"/>
    <x v="12"/>
    <x v="26"/>
    <s v="CARBONARA"/>
    <n v="2100"/>
    <n v="85"/>
    <n v="178500"/>
    <m/>
  </r>
  <r>
    <x v="5"/>
    <s v="JUL"/>
    <x v="18"/>
    <s v="GRSM 4"/>
    <x v="0"/>
    <s v="GMM"/>
    <n v="121409"/>
    <n v="5205014"/>
    <x v="12"/>
    <x v="26"/>
    <s v="AGLIO OLIO"/>
    <n v="2100"/>
    <n v="97"/>
    <n v="203700"/>
    <m/>
  </r>
  <r>
    <x v="5"/>
    <s v="JUL"/>
    <x v="18"/>
    <s v="GRSM 4"/>
    <x v="0"/>
    <s v="GMM"/>
    <n v="121409"/>
    <n v="5205014"/>
    <x v="12"/>
    <x v="26"/>
    <s v="GORENG"/>
    <n v="2100"/>
    <n v="341"/>
    <n v="716100"/>
    <n v="160"/>
  </r>
  <r>
    <x v="5"/>
    <s v="JUL"/>
    <x v="18"/>
    <s v="GRSM 4"/>
    <x v="0"/>
    <s v="GMM"/>
    <n v="103277"/>
    <n v="6300700"/>
    <x v="11"/>
    <x v="25"/>
    <s v="BOLOGNESE"/>
    <n v="3000"/>
    <n v="45"/>
    <n v="135000"/>
    <m/>
  </r>
  <r>
    <x v="5"/>
    <s v="JUL"/>
    <x v="18"/>
    <s v="GRSM 4"/>
    <x v="0"/>
    <s v="GMM"/>
    <n v="103277"/>
    <n v="6300700"/>
    <x v="11"/>
    <x v="25"/>
    <s v="CARBONARA"/>
    <n v="3000"/>
    <n v="50"/>
    <n v="150000"/>
    <m/>
  </r>
  <r>
    <x v="5"/>
    <s v="JUL"/>
    <x v="18"/>
    <s v="GRSM 4"/>
    <x v="0"/>
    <s v="GMM"/>
    <n v="103277"/>
    <n v="6300700"/>
    <x v="11"/>
    <x v="25"/>
    <s v="AGLIO OLIO"/>
    <n v="3000"/>
    <n v="35"/>
    <n v="105000"/>
    <m/>
  </r>
  <r>
    <x v="5"/>
    <s v="JUL"/>
    <x v="18"/>
    <s v="GRSM 4"/>
    <x v="0"/>
    <s v="GMM"/>
    <n v="103277"/>
    <n v="6300700"/>
    <x v="11"/>
    <x v="25"/>
    <s v="GORENG"/>
    <n v="3000"/>
    <n v="150"/>
    <n v="450000"/>
    <n v="130"/>
  </r>
  <r>
    <x v="5"/>
    <s v="JUL"/>
    <x v="18"/>
    <s v="GRSM 4"/>
    <x v="0"/>
    <s v="GMM"/>
    <n v="103257"/>
    <n v="9162509"/>
    <x v="4"/>
    <x v="7"/>
    <s v="BOLOGNESE"/>
    <n v="3100"/>
    <n v="43"/>
    <n v="133300"/>
    <m/>
  </r>
  <r>
    <x v="5"/>
    <s v="JUL"/>
    <x v="18"/>
    <s v="GRSM 4"/>
    <x v="0"/>
    <s v="GMM"/>
    <n v="103257"/>
    <n v="9162509"/>
    <x v="4"/>
    <x v="7"/>
    <s v="CARBONARA"/>
    <n v="3100"/>
    <n v="54"/>
    <n v="167400"/>
    <m/>
  </r>
  <r>
    <x v="5"/>
    <s v="JUL"/>
    <x v="18"/>
    <s v="GRSM 4"/>
    <x v="0"/>
    <s v="GMM"/>
    <n v="103257"/>
    <n v="9162509"/>
    <x v="4"/>
    <x v="7"/>
    <s v="AGLIO OLIO"/>
    <n v="3100"/>
    <n v="48"/>
    <n v="148800"/>
    <m/>
  </r>
  <r>
    <x v="5"/>
    <s v="JUL"/>
    <x v="18"/>
    <s v="GRSM 4"/>
    <x v="0"/>
    <s v="GMM"/>
    <n v="103257"/>
    <n v="9162509"/>
    <x v="4"/>
    <x v="7"/>
    <s v="GORENG"/>
    <n v="3100"/>
    <n v="53"/>
    <n v="164300"/>
    <n v="160"/>
  </r>
  <r>
    <x v="5"/>
    <s v="JUL"/>
    <x v="18"/>
    <s v="GRSM 4"/>
    <x v="0"/>
    <s v="GMM"/>
    <n v="103257"/>
    <n v="9162509"/>
    <x v="4"/>
    <x v="8"/>
    <s v="BOLOGNESE"/>
    <n v="3100"/>
    <n v="40"/>
    <n v="124000"/>
    <m/>
  </r>
  <r>
    <x v="5"/>
    <s v="JUL"/>
    <x v="18"/>
    <s v="GRSM 4"/>
    <x v="0"/>
    <s v="GMM"/>
    <n v="103257"/>
    <n v="9162509"/>
    <x v="4"/>
    <x v="8"/>
    <s v="CARBONARA"/>
    <n v="3100"/>
    <n v="51"/>
    <n v="158100"/>
    <m/>
  </r>
  <r>
    <x v="5"/>
    <s v="JUL"/>
    <x v="18"/>
    <s v="GRSM 4"/>
    <x v="0"/>
    <s v="GMM"/>
    <n v="103257"/>
    <n v="9162509"/>
    <x v="4"/>
    <x v="8"/>
    <s v="AGLIO OLIO"/>
    <n v="3100"/>
    <n v="44"/>
    <n v="136400"/>
    <m/>
  </r>
  <r>
    <x v="5"/>
    <s v="JUL"/>
    <x v="18"/>
    <s v="GRSM 4"/>
    <x v="0"/>
    <s v="GMM"/>
    <n v="103257"/>
    <n v="9162509"/>
    <x v="4"/>
    <x v="8"/>
    <s v="GORENG"/>
    <n v="3100"/>
    <n v="52"/>
    <n v="161200"/>
    <n v="160"/>
  </r>
  <r>
    <x v="5"/>
    <s v="JUL"/>
    <x v="18"/>
    <s v="GRSM 4"/>
    <x v="0"/>
    <s v="GMM"/>
    <n v="103259"/>
    <n v="9029389"/>
    <x v="7"/>
    <x v="21"/>
    <s v="BOLOGNESE"/>
    <n v="3000"/>
    <n v="71"/>
    <n v="213000"/>
    <m/>
  </r>
  <r>
    <x v="5"/>
    <s v="JUL"/>
    <x v="18"/>
    <s v="GRSM 4"/>
    <x v="0"/>
    <s v="GMM"/>
    <n v="103259"/>
    <n v="9029389"/>
    <x v="7"/>
    <x v="21"/>
    <s v="CARBONARA"/>
    <n v="3000"/>
    <n v="87"/>
    <n v="261000"/>
    <m/>
  </r>
  <r>
    <x v="5"/>
    <s v="JUL"/>
    <x v="18"/>
    <s v="GRSM 4"/>
    <x v="0"/>
    <s v="GMM"/>
    <n v="103259"/>
    <n v="9029389"/>
    <x v="7"/>
    <x v="21"/>
    <s v="AGLIO OLIO"/>
    <n v="3000"/>
    <n v="53"/>
    <n v="159000"/>
    <m/>
  </r>
  <r>
    <x v="5"/>
    <s v="JUL"/>
    <x v="18"/>
    <s v="GRSM 4"/>
    <x v="0"/>
    <s v="GMM"/>
    <n v="103259"/>
    <n v="9029389"/>
    <x v="7"/>
    <x v="21"/>
    <s v="GORENG"/>
    <n v="3000"/>
    <n v="223"/>
    <n v="669000"/>
    <n v="160"/>
  </r>
  <r>
    <x v="5"/>
    <s v="JUL"/>
    <x v="18"/>
    <s v="GRSM 4"/>
    <x v="0"/>
    <s v="GMM"/>
    <n v="189901"/>
    <n v="1602057"/>
    <x v="10"/>
    <x v="15"/>
    <s v="BOLOGNESE"/>
    <n v="3000"/>
    <n v="66"/>
    <n v="198000"/>
    <m/>
  </r>
  <r>
    <x v="5"/>
    <s v="JUL"/>
    <x v="18"/>
    <s v="GRSM 4"/>
    <x v="0"/>
    <s v="GMM"/>
    <n v="189901"/>
    <n v="1602057"/>
    <x v="10"/>
    <x v="15"/>
    <s v="CARBONARA"/>
    <n v="3000"/>
    <n v="78"/>
    <n v="234000"/>
    <m/>
  </r>
  <r>
    <x v="5"/>
    <s v="JUL"/>
    <x v="18"/>
    <s v="GRSM 4"/>
    <x v="0"/>
    <s v="GMM"/>
    <n v="189901"/>
    <n v="1602057"/>
    <x v="10"/>
    <x v="15"/>
    <s v="AGLIO OLIO"/>
    <n v="3000"/>
    <n v="60"/>
    <n v="180000"/>
    <m/>
  </r>
  <r>
    <x v="5"/>
    <s v="JUL"/>
    <x v="18"/>
    <s v="GRSM 4"/>
    <x v="0"/>
    <s v="GMM"/>
    <n v="189901"/>
    <n v="1602057"/>
    <x v="10"/>
    <x v="15"/>
    <s v="GORENG"/>
    <n v="3000"/>
    <n v="212"/>
    <n v="636000"/>
    <n v="160"/>
  </r>
  <r>
    <x v="5"/>
    <s v="JUL"/>
    <x v="18"/>
    <s v="GRSM 4"/>
    <x v="0"/>
    <s v="NKA"/>
    <n v="490034"/>
    <n v="209554"/>
    <x v="8"/>
    <x v="19"/>
    <s v="BOLOGNESE"/>
    <n v="3275"/>
    <n v="43"/>
    <n v="140825"/>
    <m/>
  </r>
  <r>
    <x v="5"/>
    <s v="JUL"/>
    <x v="18"/>
    <s v="GRSM 4"/>
    <x v="0"/>
    <s v="NKA"/>
    <n v="490034"/>
    <n v="209554"/>
    <x v="8"/>
    <x v="19"/>
    <s v="CARBONARA"/>
    <n v="3275"/>
    <n v="31"/>
    <n v="101525"/>
    <m/>
  </r>
  <r>
    <x v="5"/>
    <s v="JUL"/>
    <x v="18"/>
    <s v="GRSM 4"/>
    <x v="0"/>
    <s v="NKA"/>
    <n v="490034"/>
    <n v="209554"/>
    <x v="8"/>
    <x v="19"/>
    <s v="AGLIO OLIO"/>
    <n v="3275"/>
    <n v="16"/>
    <n v="52400"/>
    <m/>
  </r>
  <r>
    <x v="5"/>
    <s v="JUL"/>
    <x v="18"/>
    <s v="GRSM 4"/>
    <x v="0"/>
    <s v="NKA"/>
    <n v="490034"/>
    <n v="209554"/>
    <x v="8"/>
    <x v="19"/>
    <s v="GORENG"/>
    <n v="3275"/>
    <n v="154"/>
    <n v="504350"/>
    <n v="160"/>
  </r>
  <r>
    <x v="5"/>
    <s v="JUL"/>
    <x v="18"/>
    <s v="GRSM 4"/>
    <x v="0"/>
    <s v="GMM"/>
    <n v="189901"/>
    <n v="1602057"/>
    <x v="10"/>
    <x v="24"/>
    <s v="BOLOGNESE"/>
    <n v="2150"/>
    <n v="132"/>
    <n v="283800"/>
    <m/>
  </r>
  <r>
    <x v="5"/>
    <s v="JUL"/>
    <x v="18"/>
    <s v="GRSM 4"/>
    <x v="0"/>
    <s v="GMM"/>
    <n v="189901"/>
    <n v="1602057"/>
    <x v="10"/>
    <x v="24"/>
    <s v="CARBONARA"/>
    <n v="2150"/>
    <n v="160"/>
    <n v="344000"/>
    <m/>
  </r>
  <r>
    <x v="5"/>
    <s v="JUL"/>
    <x v="18"/>
    <s v="GRSM 4"/>
    <x v="0"/>
    <s v="GMM"/>
    <n v="189901"/>
    <n v="1602057"/>
    <x v="10"/>
    <x v="24"/>
    <s v="AGLIO OLIO"/>
    <n v="2150"/>
    <n v="95"/>
    <n v="204250"/>
    <m/>
  </r>
  <r>
    <x v="5"/>
    <s v="JUL"/>
    <x v="18"/>
    <s v="GRSM 4"/>
    <x v="0"/>
    <s v="GMM"/>
    <n v="189901"/>
    <n v="1602057"/>
    <x v="10"/>
    <x v="24"/>
    <s v="GORENG"/>
    <n v="2150"/>
    <n v="196"/>
    <n v="421400"/>
    <n v="160"/>
  </r>
  <r>
    <x v="5"/>
    <s v="JUL"/>
    <x v="18"/>
    <s v="GRSM 4"/>
    <x v="0"/>
    <s v="GMM"/>
    <n v="189901"/>
    <n v="1602057"/>
    <x v="10"/>
    <x v="15"/>
    <s v="BOLOGNESE"/>
    <n v="2150"/>
    <n v="151"/>
    <n v="324650"/>
    <m/>
  </r>
  <r>
    <x v="5"/>
    <s v="JUL"/>
    <x v="18"/>
    <s v="GRSM 4"/>
    <x v="0"/>
    <s v="GMM"/>
    <n v="189901"/>
    <n v="1602057"/>
    <x v="10"/>
    <x v="15"/>
    <s v="CARBONARA"/>
    <n v="2150"/>
    <n v="147"/>
    <n v="316050"/>
    <m/>
  </r>
  <r>
    <x v="5"/>
    <s v="JUL"/>
    <x v="18"/>
    <s v="GRSM 4"/>
    <x v="0"/>
    <s v="GMM"/>
    <n v="189901"/>
    <n v="1602057"/>
    <x v="10"/>
    <x v="15"/>
    <s v="AGLIO OLIO"/>
    <n v="2150"/>
    <n v="112"/>
    <n v="240800"/>
    <m/>
  </r>
  <r>
    <x v="5"/>
    <s v="JUL"/>
    <x v="18"/>
    <s v="GRSM 4"/>
    <x v="0"/>
    <s v="GMM"/>
    <n v="189901"/>
    <n v="1602057"/>
    <x v="10"/>
    <x v="15"/>
    <s v="GORENG"/>
    <n v="2150"/>
    <n v="235"/>
    <n v="505250"/>
    <n v="160"/>
  </r>
  <r>
    <x v="5"/>
    <s v="JUL"/>
    <x v="19"/>
    <s v="GRSM 4"/>
    <x v="0"/>
    <s v="GMM"/>
    <n v="121409"/>
    <n v="5205014"/>
    <x v="12"/>
    <x v="27"/>
    <s v="BOLOGNESE"/>
    <n v="2100"/>
    <n v="108"/>
    <n v="226800"/>
    <m/>
  </r>
  <r>
    <x v="5"/>
    <s v="JUL"/>
    <x v="19"/>
    <s v="GRSM 4"/>
    <x v="0"/>
    <s v="GMM"/>
    <n v="121409"/>
    <n v="5205014"/>
    <x v="12"/>
    <x v="27"/>
    <s v="CARBONARA"/>
    <n v="2100"/>
    <n v="133"/>
    <n v="279300"/>
    <m/>
  </r>
  <r>
    <x v="5"/>
    <s v="JUL"/>
    <x v="19"/>
    <s v="GRSM 4"/>
    <x v="0"/>
    <s v="GMM"/>
    <n v="121409"/>
    <n v="5205014"/>
    <x v="12"/>
    <x v="27"/>
    <s v="AGLIO OLIO"/>
    <n v="2100"/>
    <n v="95"/>
    <n v="199500"/>
    <m/>
  </r>
  <r>
    <x v="5"/>
    <s v="JUL"/>
    <x v="19"/>
    <s v="GRSM 4"/>
    <x v="0"/>
    <s v="GMM"/>
    <n v="121409"/>
    <n v="5205014"/>
    <x v="12"/>
    <x v="27"/>
    <s v="GORENG"/>
    <n v="2100"/>
    <n v="323"/>
    <n v="678300"/>
    <n v="160"/>
  </r>
  <r>
    <x v="5"/>
    <s v="JUL"/>
    <x v="19"/>
    <s v="GRSM 4"/>
    <x v="0"/>
    <s v="GMM"/>
    <n v="121409"/>
    <n v="5205014"/>
    <x v="12"/>
    <x v="26"/>
    <s v="BOLOGNESE"/>
    <n v="2100"/>
    <n v="108"/>
    <n v="226800"/>
    <m/>
  </r>
  <r>
    <x v="5"/>
    <s v="JUL"/>
    <x v="19"/>
    <s v="GRSM 4"/>
    <x v="0"/>
    <s v="GMM"/>
    <n v="121409"/>
    <n v="5205014"/>
    <x v="12"/>
    <x v="26"/>
    <s v="CARBONARA"/>
    <n v="2100"/>
    <n v="133"/>
    <n v="279300"/>
    <m/>
  </r>
  <r>
    <x v="5"/>
    <s v="JUL"/>
    <x v="19"/>
    <s v="GRSM 4"/>
    <x v="0"/>
    <s v="GMM"/>
    <n v="121409"/>
    <n v="5205014"/>
    <x v="12"/>
    <x v="26"/>
    <s v="AGLIO OLIO"/>
    <n v="2100"/>
    <n v="95"/>
    <n v="199500"/>
    <m/>
  </r>
  <r>
    <x v="5"/>
    <s v="JUL"/>
    <x v="19"/>
    <s v="GRSM 4"/>
    <x v="0"/>
    <s v="GMM"/>
    <n v="121409"/>
    <n v="5205014"/>
    <x v="12"/>
    <x v="26"/>
    <s v="GORENG"/>
    <n v="2100"/>
    <n v="323"/>
    <n v="678300"/>
    <n v="160"/>
  </r>
  <r>
    <x v="5"/>
    <s v="JUL"/>
    <x v="19"/>
    <s v="GRSM 4"/>
    <x v="0"/>
    <s v="GMM"/>
    <n v="103257"/>
    <n v="9162509"/>
    <x v="4"/>
    <x v="7"/>
    <s v="BOLOGNESE"/>
    <n v="3100"/>
    <n v="46"/>
    <n v="142600"/>
    <m/>
  </r>
  <r>
    <x v="5"/>
    <s v="JUL"/>
    <x v="19"/>
    <s v="GRSM 4"/>
    <x v="0"/>
    <s v="GMM"/>
    <n v="103257"/>
    <n v="9162509"/>
    <x v="4"/>
    <x v="7"/>
    <s v="CARBONARA"/>
    <n v="3100"/>
    <n v="53"/>
    <n v="164300"/>
    <m/>
  </r>
  <r>
    <x v="5"/>
    <s v="JUL"/>
    <x v="19"/>
    <s v="GRSM 4"/>
    <x v="0"/>
    <s v="GMM"/>
    <n v="103257"/>
    <n v="9162509"/>
    <x v="4"/>
    <x v="7"/>
    <s v="AGLIO OLIO"/>
    <n v="3100"/>
    <n v="58"/>
    <n v="179800"/>
    <m/>
  </r>
  <r>
    <x v="5"/>
    <s v="JUL"/>
    <x v="19"/>
    <s v="GRSM 4"/>
    <x v="0"/>
    <s v="GMM"/>
    <n v="103257"/>
    <n v="9162509"/>
    <x v="4"/>
    <x v="7"/>
    <s v="GORENG"/>
    <n v="3100"/>
    <n v="51"/>
    <n v="158100"/>
    <n v="160"/>
  </r>
  <r>
    <x v="5"/>
    <s v="JUL"/>
    <x v="19"/>
    <s v="GRSM 4"/>
    <x v="0"/>
    <s v="GMM"/>
    <n v="103257"/>
    <n v="9162509"/>
    <x v="4"/>
    <x v="8"/>
    <s v="BOLOGNESE"/>
    <n v="3100"/>
    <n v="42"/>
    <n v="130200"/>
    <m/>
  </r>
  <r>
    <x v="5"/>
    <s v="JUL"/>
    <x v="19"/>
    <s v="GRSM 4"/>
    <x v="0"/>
    <s v="GMM"/>
    <n v="103257"/>
    <n v="9162509"/>
    <x v="4"/>
    <x v="8"/>
    <s v="CARBONARA"/>
    <n v="3100"/>
    <n v="51"/>
    <n v="158100"/>
    <m/>
  </r>
  <r>
    <x v="5"/>
    <s v="JUL"/>
    <x v="19"/>
    <s v="GRSM 4"/>
    <x v="0"/>
    <s v="GMM"/>
    <n v="103257"/>
    <n v="9162509"/>
    <x v="4"/>
    <x v="8"/>
    <s v="AGLIO OLIO"/>
    <n v="3100"/>
    <n v="55"/>
    <n v="170500"/>
    <m/>
  </r>
  <r>
    <x v="5"/>
    <s v="JUL"/>
    <x v="19"/>
    <s v="GRSM 4"/>
    <x v="0"/>
    <s v="GMM"/>
    <n v="103257"/>
    <n v="9162509"/>
    <x v="4"/>
    <x v="8"/>
    <s v="GORENG"/>
    <n v="3100"/>
    <n v="48"/>
    <n v="148800"/>
    <n v="160"/>
  </r>
  <r>
    <x v="5"/>
    <s v="JUL"/>
    <x v="19"/>
    <s v="GRSM 4"/>
    <x v="0"/>
    <s v="GMM"/>
    <n v="103259"/>
    <n v="9029389"/>
    <x v="7"/>
    <x v="21"/>
    <s v="BOLOGNESE"/>
    <n v="3000"/>
    <n v="53"/>
    <n v="159000"/>
    <m/>
  </r>
  <r>
    <x v="5"/>
    <s v="JUL"/>
    <x v="19"/>
    <s v="GRSM 4"/>
    <x v="0"/>
    <s v="GMM"/>
    <n v="103259"/>
    <n v="9029389"/>
    <x v="7"/>
    <x v="21"/>
    <s v="CARBONARA"/>
    <n v="3000"/>
    <n v="82"/>
    <n v="246000"/>
    <m/>
  </r>
  <r>
    <x v="5"/>
    <s v="JUL"/>
    <x v="19"/>
    <s v="GRSM 4"/>
    <x v="0"/>
    <s v="GMM"/>
    <n v="103259"/>
    <n v="9029389"/>
    <x v="7"/>
    <x v="21"/>
    <s v="AGLIO OLIO"/>
    <n v="3000"/>
    <n v="49"/>
    <n v="147000"/>
    <m/>
  </r>
  <r>
    <x v="5"/>
    <s v="JUL"/>
    <x v="19"/>
    <s v="GRSM 4"/>
    <x v="0"/>
    <s v="GMM"/>
    <n v="103259"/>
    <n v="9029389"/>
    <x v="7"/>
    <x v="21"/>
    <s v="GORENG"/>
    <n v="3000"/>
    <n v="206"/>
    <n v="618000"/>
    <n v="160"/>
  </r>
  <r>
    <x v="5"/>
    <s v="JUL"/>
    <x v="19"/>
    <s v="GRSM 4"/>
    <x v="0"/>
    <s v="GMM"/>
    <n v="103277"/>
    <n v="6300700"/>
    <x v="11"/>
    <x v="25"/>
    <s v="BOLOGNESE"/>
    <n v="3000"/>
    <n v="69"/>
    <n v="207000"/>
    <m/>
  </r>
  <r>
    <x v="5"/>
    <s v="JUL"/>
    <x v="19"/>
    <s v="GRSM 4"/>
    <x v="0"/>
    <s v="GMM"/>
    <n v="103277"/>
    <n v="6300700"/>
    <x v="11"/>
    <x v="25"/>
    <s v="CARBONARA"/>
    <n v="3000"/>
    <n v="72"/>
    <n v="216000"/>
    <m/>
  </r>
  <r>
    <x v="5"/>
    <s v="JUL"/>
    <x v="19"/>
    <s v="GRSM 4"/>
    <x v="0"/>
    <s v="GMM"/>
    <n v="103277"/>
    <n v="6300700"/>
    <x v="11"/>
    <x v="25"/>
    <s v="AGLIO OLIO"/>
    <n v="3000"/>
    <n v="70"/>
    <n v="210000"/>
    <m/>
  </r>
  <r>
    <x v="5"/>
    <s v="JUL"/>
    <x v="19"/>
    <s v="GRSM 4"/>
    <x v="0"/>
    <s v="GMM"/>
    <n v="103277"/>
    <n v="6300700"/>
    <x v="11"/>
    <x v="25"/>
    <s v="GORENG"/>
    <n v="3000"/>
    <n v="185"/>
    <n v="555000"/>
    <n v="160"/>
  </r>
  <r>
    <x v="5"/>
    <s v="JUL"/>
    <x v="17"/>
    <s v="GRSM 4"/>
    <x v="0"/>
    <s v="GMM"/>
    <n v="189901"/>
    <n v="1602008"/>
    <x v="13"/>
    <x v="9"/>
    <s v="BOLOGNESE"/>
    <n v="3300"/>
    <n v="40"/>
    <n v="132000"/>
    <m/>
  </r>
  <r>
    <x v="5"/>
    <s v="JUL"/>
    <x v="17"/>
    <s v="GRSM 4"/>
    <x v="0"/>
    <s v="GMM"/>
    <n v="189901"/>
    <n v="1602008"/>
    <x v="13"/>
    <x v="9"/>
    <s v="CARBONARA"/>
    <n v="3300"/>
    <n v="40"/>
    <n v="132000"/>
    <m/>
  </r>
  <r>
    <x v="5"/>
    <s v="JUL"/>
    <x v="17"/>
    <s v="GRSM 4"/>
    <x v="0"/>
    <s v="GMM"/>
    <n v="189901"/>
    <n v="1602008"/>
    <x v="13"/>
    <x v="9"/>
    <s v="AGLIO OLIO"/>
    <n v="3300"/>
    <n v="40"/>
    <n v="132000"/>
    <m/>
  </r>
  <r>
    <x v="5"/>
    <s v="JUL"/>
    <x v="17"/>
    <s v="GRSM 4"/>
    <x v="0"/>
    <s v="GMM"/>
    <n v="189901"/>
    <n v="1602008"/>
    <x v="13"/>
    <x v="9"/>
    <s v="GORENG"/>
    <n v="3300"/>
    <n v="105"/>
    <n v="346500"/>
    <n v="160"/>
  </r>
  <r>
    <x v="5"/>
    <s v="JUL"/>
    <x v="19"/>
    <s v="GRSM 4"/>
    <x v="0"/>
    <s v="GMM"/>
    <n v="189901"/>
    <n v="1602008"/>
    <x v="13"/>
    <x v="9"/>
    <s v="BOLOGNESE"/>
    <n v="3300"/>
    <n v="50"/>
    <n v="165000"/>
    <m/>
  </r>
  <r>
    <x v="5"/>
    <s v="JUL"/>
    <x v="19"/>
    <s v="GRSM 4"/>
    <x v="0"/>
    <s v="GMM"/>
    <n v="189901"/>
    <n v="1602008"/>
    <x v="13"/>
    <x v="9"/>
    <s v="CARBONARA"/>
    <n v="3300"/>
    <n v="50"/>
    <n v="165000"/>
    <m/>
  </r>
  <r>
    <x v="5"/>
    <s v="JUL"/>
    <x v="19"/>
    <s v="GRSM 4"/>
    <x v="0"/>
    <s v="GMM"/>
    <n v="189901"/>
    <n v="1602008"/>
    <x v="13"/>
    <x v="9"/>
    <s v="AGLIO OLIO"/>
    <n v="3300"/>
    <n v="50"/>
    <n v="165000"/>
    <m/>
  </r>
  <r>
    <x v="5"/>
    <s v="JUL"/>
    <x v="19"/>
    <s v="GRSM 4"/>
    <x v="0"/>
    <s v="GMM"/>
    <n v="189901"/>
    <n v="1602008"/>
    <x v="13"/>
    <x v="9"/>
    <s v="GORENG"/>
    <n v="3300"/>
    <n v="160"/>
    <n v="528000"/>
    <n v="160"/>
  </r>
  <r>
    <x v="5"/>
    <s v="JUL"/>
    <x v="18"/>
    <s v="GRSM 4"/>
    <x v="0"/>
    <s v="GMM"/>
    <n v="189901"/>
    <n v="1602008"/>
    <x v="13"/>
    <x v="9"/>
    <s v="BOLOGNESE"/>
    <n v="3300"/>
    <n v="40"/>
    <n v="132000"/>
    <m/>
  </r>
  <r>
    <x v="5"/>
    <s v="JUL"/>
    <x v="18"/>
    <s v="GRSM 4"/>
    <x v="0"/>
    <s v="GMM"/>
    <n v="189901"/>
    <n v="1602008"/>
    <x v="13"/>
    <x v="9"/>
    <s v="CARBONARA"/>
    <n v="3300"/>
    <n v="40"/>
    <n v="132000"/>
    <m/>
  </r>
  <r>
    <x v="5"/>
    <s v="JUL"/>
    <x v="18"/>
    <s v="GRSM 4"/>
    <x v="0"/>
    <s v="GMM"/>
    <n v="189901"/>
    <n v="1602008"/>
    <x v="13"/>
    <x v="9"/>
    <s v="AGLIO OLIO"/>
    <n v="3300"/>
    <n v="30"/>
    <n v="99000"/>
    <m/>
  </r>
  <r>
    <x v="5"/>
    <s v="JUL"/>
    <x v="18"/>
    <s v="GRSM 4"/>
    <x v="0"/>
    <s v="GMM"/>
    <n v="189901"/>
    <n v="1602008"/>
    <x v="13"/>
    <x v="9"/>
    <s v="GORENG"/>
    <n v="3300"/>
    <n v="110"/>
    <n v="363000"/>
    <n v="160"/>
  </r>
  <r>
    <x v="5"/>
    <s v="JUL"/>
    <x v="17"/>
    <s v="GRSM 4"/>
    <x v="0"/>
    <s v="GMM"/>
    <n v="103259"/>
    <n v="9029389"/>
    <x v="7"/>
    <x v="17"/>
    <s v="BOLOGNESE"/>
    <n v="3300"/>
    <n v="73"/>
    <n v="240900"/>
    <m/>
  </r>
  <r>
    <x v="5"/>
    <s v="JUL"/>
    <x v="17"/>
    <s v="GRSM 4"/>
    <x v="0"/>
    <s v="GMM"/>
    <n v="103259"/>
    <n v="9029389"/>
    <x v="7"/>
    <x v="17"/>
    <s v="CARBONARA"/>
    <n v="3300"/>
    <n v="90"/>
    <n v="297000"/>
    <m/>
  </r>
  <r>
    <x v="5"/>
    <s v="JUL"/>
    <x v="17"/>
    <s v="GRSM 4"/>
    <x v="0"/>
    <s v="GMM"/>
    <n v="103259"/>
    <n v="9029389"/>
    <x v="7"/>
    <x v="17"/>
    <s v="AGLIO OLIO"/>
    <n v="3300"/>
    <n v="55"/>
    <n v="181500"/>
    <m/>
  </r>
  <r>
    <x v="5"/>
    <s v="JUL"/>
    <x v="17"/>
    <s v="GRSM 4"/>
    <x v="0"/>
    <s v="GMM"/>
    <n v="103259"/>
    <n v="9029389"/>
    <x v="7"/>
    <x v="17"/>
    <s v="GORENG"/>
    <n v="3300"/>
    <n v="212"/>
    <n v="699600"/>
    <m/>
  </r>
  <r>
    <x v="5"/>
    <s v="JUL"/>
    <x v="18"/>
    <s v="GRSM 4"/>
    <x v="0"/>
    <s v="GMM"/>
    <n v="103259"/>
    <n v="9029389"/>
    <x v="7"/>
    <x v="17"/>
    <s v="BOLOGNESE"/>
    <n v="3300"/>
    <n v="66"/>
    <n v="217800"/>
    <m/>
  </r>
  <r>
    <x v="5"/>
    <s v="JUL"/>
    <x v="18"/>
    <s v="GRSM 4"/>
    <x v="0"/>
    <s v="GMM"/>
    <n v="103259"/>
    <n v="9029389"/>
    <x v="7"/>
    <x v="17"/>
    <s v="CARBONARA"/>
    <n v="3300"/>
    <n v="78"/>
    <n v="257400"/>
    <m/>
  </r>
  <r>
    <x v="5"/>
    <s v="JUL"/>
    <x v="18"/>
    <s v="GRSM 4"/>
    <x v="0"/>
    <s v="GMM"/>
    <n v="103259"/>
    <n v="9029389"/>
    <x v="7"/>
    <x v="17"/>
    <s v="AGLIO OLIO"/>
    <n v="3300"/>
    <n v="60"/>
    <n v="198000"/>
    <m/>
  </r>
  <r>
    <x v="5"/>
    <s v="JUL"/>
    <x v="18"/>
    <s v="GRSM 4"/>
    <x v="0"/>
    <s v="GMM"/>
    <n v="103259"/>
    <n v="9029389"/>
    <x v="7"/>
    <x v="17"/>
    <s v="GORENG"/>
    <n v="3300"/>
    <n v="202"/>
    <n v="666600"/>
    <m/>
  </r>
  <r>
    <x v="5"/>
    <s v="JUL"/>
    <x v="19"/>
    <s v="GRSM 4"/>
    <x v="0"/>
    <s v="GMM"/>
    <n v="103259"/>
    <n v="9029389"/>
    <x v="7"/>
    <x v="17"/>
    <s v="BOLOGNESE"/>
    <n v="3300"/>
    <n v="60"/>
    <n v="198000"/>
    <m/>
  </r>
  <r>
    <x v="5"/>
    <s v="JUL"/>
    <x v="19"/>
    <s v="GRSM 4"/>
    <x v="0"/>
    <s v="GMM"/>
    <n v="103259"/>
    <n v="9029389"/>
    <x v="7"/>
    <x v="17"/>
    <s v="CARBONARA"/>
    <n v="3000"/>
    <n v="89"/>
    <n v="267000"/>
    <m/>
  </r>
  <r>
    <x v="5"/>
    <s v="JUL"/>
    <x v="19"/>
    <s v="GRSM 4"/>
    <x v="0"/>
    <s v="GMM"/>
    <n v="103259"/>
    <n v="9029389"/>
    <x v="7"/>
    <x v="17"/>
    <s v="AGLIO OLIO"/>
    <n v="3000"/>
    <n v="53"/>
    <n v="159000"/>
    <m/>
  </r>
  <r>
    <x v="5"/>
    <s v="JUL"/>
    <x v="19"/>
    <s v="GRSM 4"/>
    <x v="0"/>
    <s v="GMM"/>
    <n v="103259"/>
    <n v="9029389"/>
    <x v="7"/>
    <x v="17"/>
    <s v="GORENG"/>
    <n v="3000"/>
    <n v="205"/>
    <n v="615000"/>
    <n v="160"/>
  </r>
  <r>
    <x v="5"/>
    <s v="JUL"/>
    <x v="18"/>
    <s v="GRSM 4"/>
    <x v="0"/>
    <s v="NKA"/>
    <n v="490034"/>
    <n v="209554"/>
    <x v="8"/>
    <x v="19"/>
    <s v="BOLOGNESE"/>
    <n v="3275"/>
    <n v="52"/>
    <n v="170300"/>
    <m/>
  </r>
  <r>
    <x v="5"/>
    <s v="JUL"/>
    <x v="18"/>
    <s v="GRSM 4"/>
    <x v="0"/>
    <s v="NKA"/>
    <n v="490034"/>
    <n v="209554"/>
    <x v="8"/>
    <x v="19"/>
    <s v="CARBONARA"/>
    <n v="3275"/>
    <n v="58"/>
    <n v="189950"/>
    <m/>
  </r>
  <r>
    <x v="5"/>
    <s v="JUL"/>
    <x v="18"/>
    <s v="GRSM 4"/>
    <x v="0"/>
    <s v="NKA"/>
    <n v="490034"/>
    <n v="209554"/>
    <x v="8"/>
    <x v="19"/>
    <s v="AGLIO OLIO"/>
    <n v="3275"/>
    <n v="37"/>
    <n v="121175"/>
    <m/>
  </r>
  <r>
    <x v="5"/>
    <s v="JUL"/>
    <x v="18"/>
    <s v="GRSM 4"/>
    <x v="0"/>
    <s v="NKA"/>
    <n v="490034"/>
    <n v="209554"/>
    <x v="8"/>
    <x v="19"/>
    <s v="GORENG"/>
    <n v="3275"/>
    <n v="119"/>
    <n v="389725"/>
    <n v="160"/>
  </r>
  <r>
    <x v="5"/>
    <s v="JUL"/>
    <x v="19"/>
    <s v="GRSM 4"/>
    <x v="0"/>
    <s v="GMM"/>
    <n v="189901"/>
    <n v="1602057"/>
    <x v="10"/>
    <x v="15"/>
    <s v="BOLOGNESE"/>
    <n v="2150"/>
    <n v="143"/>
    <n v="307450"/>
    <m/>
  </r>
  <r>
    <x v="5"/>
    <s v="JUL"/>
    <x v="19"/>
    <s v="GRSM 4"/>
    <x v="0"/>
    <s v="GMM"/>
    <n v="189901"/>
    <n v="1602057"/>
    <x v="10"/>
    <x v="15"/>
    <s v="CARBONARA"/>
    <n v="2150"/>
    <n v="133"/>
    <n v="285950"/>
    <m/>
  </r>
  <r>
    <x v="5"/>
    <s v="JUL"/>
    <x v="19"/>
    <s v="GRSM 4"/>
    <x v="0"/>
    <s v="GMM"/>
    <n v="189901"/>
    <n v="1602057"/>
    <x v="10"/>
    <x v="15"/>
    <s v="AGLIO OLIO"/>
    <n v="2150"/>
    <n v="151"/>
    <n v="324650"/>
    <m/>
  </r>
  <r>
    <x v="5"/>
    <s v="JUL"/>
    <x v="19"/>
    <s v="GRSM 4"/>
    <x v="0"/>
    <s v="GMM"/>
    <n v="189901"/>
    <n v="1602057"/>
    <x v="10"/>
    <x v="15"/>
    <s v="GORENG"/>
    <n v="2150"/>
    <n v="197"/>
    <n v="423550"/>
    <n v="160"/>
  </r>
  <r>
    <x v="5"/>
    <s v="JUL"/>
    <x v="19"/>
    <s v="GRSM 4"/>
    <x v="0"/>
    <s v="GMM"/>
    <n v="189901"/>
    <n v="1602057"/>
    <x v="10"/>
    <x v="24"/>
    <s v="BOLOGNESE"/>
    <n v="2150"/>
    <n v="124"/>
    <n v="266600"/>
    <m/>
  </r>
  <r>
    <x v="5"/>
    <s v="JUL"/>
    <x v="19"/>
    <s v="GRSM 4"/>
    <x v="0"/>
    <s v="GMM"/>
    <n v="189901"/>
    <n v="1602057"/>
    <x v="10"/>
    <x v="24"/>
    <s v="CARBONARA"/>
    <n v="2150"/>
    <n v="141"/>
    <n v="303150"/>
    <m/>
  </r>
  <r>
    <x v="5"/>
    <s v="JUL"/>
    <x v="19"/>
    <s v="GRSM 4"/>
    <x v="0"/>
    <s v="GMM"/>
    <n v="189901"/>
    <n v="1602057"/>
    <x v="10"/>
    <x v="24"/>
    <s v="AGLIO OLIO"/>
    <n v="2150"/>
    <n v="146"/>
    <n v="313900"/>
    <m/>
  </r>
  <r>
    <x v="5"/>
    <s v="JUL"/>
    <x v="19"/>
    <s v="GRSM 4"/>
    <x v="0"/>
    <s v="GMM"/>
    <n v="189901"/>
    <n v="1602057"/>
    <x v="10"/>
    <x v="24"/>
    <s v="GORENG"/>
    <n v="2150"/>
    <n v="209"/>
    <n v="449350"/>
    <n v="160"/>
  </r>
  <r>
    <x v="5"/>
    <s v="JUL"/>
    <x v="19"/>
    <s v="GRSM 4"/>
    <x v="0"/>
    <s v="GMM"/>
    <n v="189901"/>
    <n v="1602018"/>
    <x v="14"/>
    <x v="23"/>
    <s v="BOLOGNESE"/>
    <n v="3500"/>
    <n v="20"/>
    <n v="70000"/>
    <m/>
  </r>
  <r>
    <x v="5"/>
    <s v="JUL"/>
    <x v="19"/>
    <s v="GRSM 4"/>
    <x v="0"/>
    <s v="GMM"/>
    <n v="189901"/>
    <n v="1602018"/>
    <x v="14"/>
    <x v="23"/>
    <s v="CARBONARA"/>
    <n v="3500"/>
    <n v="20"/>
    <n v="70000"/>
    <m/>
  </r>
  <r>
    <x v="5"/>
    <s v="JUL"/>
    <x v="19"/>
    <s v="GRSM 4"/>
    <x v="0"/>
    <s v="GMM"/>
    <n v="189901"/>
    <n v="1602018"/>
    <x v="14"/>
    <x v="23"/>
    <s v="AGLIO OLIO"/>
    <n v="3500"/>
    <n v="15"/>
    <n v="52500"/>
    <m/>
  </r>
  <r>
    <x v="5"/>
    <s v="JUL"/>
    <x v="19"/>
    <s v="GRSM 4"/>
    <x v="0"/>
    <s v="GMM"/>
    <n v="189901"/>
    <n v="1602018"/>
    <x v="14"/>
    <x v="23"/>
    <s v="GORENG"/>
    <n v="3500"/>
    <n v="60"/>
    <n v="210000"/>
    <n v="160"/>
  </r>
  <r>
    <x v="5"/>
    <s v="JUL"/>
    <x v="17"/>
    <s v="GRSM 5"/>
    <x v="1"/>
    <s v="GMM"/>
    <n v="170220"/>
    <n v="9000015"/>
    <x v="15"/>
    <x v="28"/>
    <s v="BOLOGNESE"/>
    <n v="3300"/>
    <n v="63"/>
    <n v="207900"/>
    <m/>
  </r>
  <r>
    <x v="5"/>
    <s v="JUL"/>
    <x v="17"/>
    <s v="GRSM 5"/>
    <x v="1"/>
    <s v="GMM"/>
    <n v="170220"/>
    <n v="9000015"/>
    <x v="15"/>
    <x v="28"/>
    <s v="CARBONARA"/>
    <n v="3300"/>
    <n v="85"/>
    <n v="280500"/>
    <m/>
  </r>
  <r>
    <x v="5"/>
    <s v="JUL"/>
    <x v="17"/>
    <s v="GRSM 5"/>
    <x v="1"/>
    <s v="GMM"/>
    <n v="170220"/>
    <n v="9000015"/>
    <x v="15"/>
    <x v="28"/>
    <s v="AGLIO OLIO"/>
    <n v="3300"/>
    <n v="34"/>
    <n v="112200"/>
    <n v="50"/>
  </r>
  <r>
    <x v="5"/>
    <s v="JUL"/>
    <x v="18"/>
    <s v="GRSM 5"/>
    <x v="1"/>
    <s v="GMM"/>
    <n v="170220"/>
    <n v="9000015"/>
    <x v="15"/>
    <x v="28"/>
    <s v="BOLOGNESE"/>
    <n v="3300"/>
    <n v="128"/>
    <n v="422400"/>
    <m/>
  </r>
  <r>
    <x v="5"/>
    <s v="JUL"/>
    <x v="18"/>
    <s v="GRSM 5"/>
    <x v="1"/>
    <s v="GMM"/>
    <n v="170220"/>
    <n v="9000015"/>
    <x v="15"/>
    <x v="28"/>
    <s v="CARBONARA"/>
    <n v="3300"/>
    <n v="62"/>
    <n v="204600"/>
    <m/>
  </r>
  <r>
    <x v="5"/>
    <s v="JUL"/>
    <x v="18"/>
    <s v="GRSM 5"/>
    <x v="1"/>
    <s v="GMM"/>
    <n v="170220"/>
    <n v="9000015"/>
    <x v="15"/>
    <x v="28"/>
    <s v="AGLIO OLIO"/>
    <n v="3300"/>
    <n v="34"/>
    <n v="112200"/>
    <m/>
  </r>
  <r>
    <x v="5"/>
    <s v="JUL"/>
    <x v="18"/>
    <s v="GRSM 5"/>
    <x v="1"/>
    <s v="GMM"/>
    <n v="170220"/>
    <n v="9000015"/>
    <x v="15"/>
    <x v="28"/>
    <s v="GORENG"/>
    <n v="3300"/>
    <n v="58"/>
    <n v="191400"/>
    <n v="50"/>
  </r>
  <r>
    <x v="5"/>
    <s v="JUL"/>
    <x v="19"/>
    <s v="GRSM 5"/>
    <x v="1"/>
    <s v="GMM"/>
    <n v="170220"/>
    <n v="9000015"/>
    <x v="15"/>
    <x v="28"/>
    <s v="BOLOGNESE"/>
    <n v="3300"/>
    <n v="127"/>
    <n v="419100"/>
    <m/>
  </r>
  <r>
    <x v="5"/>
    <s v="JUL"/>
    <x v="19"/>
    <s v="GRSM 5"/>
    <x v="1"/>
    <s v="GMM"/>
    <n v="170220"/>
    <n v="9000015"/>
    <x v="15"/>
    <x v="28"/>
    <s v="CARBONARA"/>
    <n v="3300"/>
    <n v="78"/>
    <n v="257400"/>
    <m/>
  </r>
  <r>
    <x v="5"/>
    <s v="JUL"/>
    <x v="19"/>
    <s v="GRSM 5"/>
    <x v="1"/>
    <s v="GMM"/>
    <n v="170220"/>
    <n v="9000015"/>
    <x v="15"/>
    <x v="28"/>
    <s v="AGLIO OLIO"/>
    <n v="3300"/>
    <n v="44"/>
    <n v="145200"/>
    <m/>
  </r>
  <r>
    <x v="5"/>
    <s v="JUL"/>
    <x v="19"/>
    <s v="GRSM 5"/>
    <x v="1"/>
    <s v="GMM"/>
    <n v="170220"/>
    <n v="9000015"/>
    <x v="15"/>
    <x v="28"/>
    <s v="GORENG"/>
    <n v="3300"/>
    <n v="255"/>
    <n v="841500"/>
    <n v="50"/>
  </r>
  <r>
    <x v="5"/>
    <s v="JUL"/>
    <x v="17"/>
    <s v="GRSM 5"/>
    <x v="1"/>
    <s v="GMM"/>
    <n v="170220"/>
    <n v="9000015"/>
    <x v="15"/>
    <x v="29"/>
    <s v="BOLOGNESE"/>
    <n v="3300"/>
    <n v="63"/>
    <n v="207900"/>
    <m/>
  </r>
  <r>
    <x v="5"/>
    <s v="JUL"/>
    <x v="17"/>
    <s v="GRSM 5"/>
    <x v="1"/>
    <s v="GMM"/>
    <n v="170220"/>
    <n v="9000015"/>
    <x v="15"/>
    <x v="29"/>
    <s v="CARBONARA"/>
    <n v="3300"/>
    <n v="85"/>
    <n v="280500"/>
    <m/>
  </r>
  <r>
    <x v="5"/>
    <s v="JUL"/>
    <x v="17"/>
    <s v="GRSM 5"/>
    <x v="1"/>
    <s v="GMM"/>
    <n v="170220"/>
    <n v="9000015"/>
    <x v="15"/>
    <x v="29"/>
    <s v="AGLIO OLIO"/>
    <n v="3300"/>
    <n v="34"/>
    <n v="112200"/>
    <n v="50"/>
  </r>
  <r>
    <x v="5"/>
    <s v="JUL"/>
    <x v="18"/>
    <s v="GRSM 5"/>
    <x v="1"/>
    <s v="GMM"/>
    <n v="170220"/>
    <n v="9000015"/>
    <x v="15"/>
    <x v="29"/>
    <s v="BOLOGNESE"/>
    <n v="3300"/>
    <n v="128"/>
    <n v="422400"/>
    <m/>
  </r>
  <r>
    <x v="5"/>
    <s v="JUL"/>
    <x v="18"/>
    <s v="GRSM 5"/>
    <x v="1"/>
    <s v="GMM"/>
    <n v="170220"/>
    <n v="9000015"/>
    <x v="15"/>
    <x v="29"/>
    <s v="CARBONARA"/>
    <n v="3300"/>
    <n v="62"/>
    <n v="204600"/>
    <m/>
  </r>
  <r>
    <x v="5"/>
    <s v="JUL"/>
    <x v="18"/>
    <s v="GRSM 5"/>
    <x v="1"/>
    <s v="GMM"/>
    <n v="170220"/>
    <n v="9000015"/>
    <x v="15"/>
    <x v="29"/>
    <s v="AGLIO OLIO"/>
    <n v="3300"/>
    <n v="34"/>
    <n v="112200"/>
    <m/>
  </r>
  <r>
    <x v="5"/>
    <s v="JUL"/>
    <x v="18"/>
    <s v="GRSM 5"/>
    <x v="1"/>
    <s v="GMM"/>
    <n v="170220"/>
    <n v="9000015"/>
    <x v="15"/>
    <x v="29"/>
    <s v="GORENG"/>
    <n v="3300"/>
    <n v="58"/>
    <n v="191400"/>
    <n v="50"/>
  </r>
  <r>
    <x v="5"/>
    <s v="JUL"/>
    <x v="19"/>
    <s v="GRSM 5"/>
    <x v="1"/>
    <s v="GMM"/>
    <n v="170220"/>
    <n v="9000015"/>
    <x v="15"/>
    <x v="29"/>
    <s v="BOLOGNESE"/>
    <n v="3300"/>
    <n v="127"/>
    <n v="419100"/>
    <m/>
  </r>
  <r>
    <x v="5"/>
    <s v="JUL"/>
    <x v="19"/>
    <s v="GRSM 5"/>
    <x v="1"/>
    <s v="GMM"/>
    <n v="170220"/>
    <n v="9000015"/>
    <x v="15"/>
    <x v="29"/>
    <s v="CARBONARA"/>
    <n v="3300"/>
    <n v="78"/>
    <n v="257400"/>
    <m/>
  </r>
  <r>
    <x v="5"/>
    <s v="JUL"/>
    <x v="19"/>
    <s v="GRSM 5"/>
    <x v="1"/>
    <s v="GMM"/>
    <n v="170220"/>
    <n v="9000015"/>
    <x v="15"/>
    <x v="29"/>
    <s v="AGLIO OLIO"/>
    <n v="3300"/>
    <n v="44"/>
    <n v="145200"/>
    <m/>
  </r>
  <r>
    <x v="5"/>
    <s v="JUL"/>
    <x v="19"/>
    <s v="GRSM 5"/>
    <x v="1"/>
    <s v="GMM"/>
    <n v="170220"/>
    <n v="9000015"/>
    <x v="15"/>
    <x v="29"/>
    <s v="GORENG"/>
    <n v="3300"/>
    <n v="255"/>
    <n v="841500"/>
    <n v="50"/>
  </r>
  <r>
    <x v="4"/>
    <s v="JUN"/>
    <x v="20"/>
    <s v="GRSM 3A"/>
    <x v="0"/>
    <s v="GMM"/>
    <n v="103272"/>
    <n v="1178"/>
    <x v="3"/>
    <x v="6"/>
    <s v="BOLOGNESE"/>
    <n v="3145"/>
    <n v="14"/>
    <n v="44030"/>
    <m/>
  </r>
  <r>
    <x v="4"/>
    <s v="JUN"/>
    <x v="20"/>
    <s v="GRSM 3A"/>
    <x v="0"/>
    <s v="GMM"/>
    <n v="103272"/>
    <n v="1178"/>
    <x v="3"/>
    <x v="6"/>
    <s v="CARBONARA"/>
    <n v="3145"/>
    <n v="20"/>
    <n v="62900"/>
    <m/>
  </r>
  <r>
    <x v="4"/>
    <s v="JUN"/>
    <x v="20"/>
    <s v="GRSM 3A"/>
    <x v="0"/>
    <s v="GMM"/>
    <n v="103272"/>
    <n v="1178"/>
    <x v="3"/>
    <x v="6"/>
    <s v="AGLIO OLIO"/>
    <n v="3145"/>
    <n v="9"/>
    <n v="28305"/>
    <m/>
  </r>
  <r>
    <x v="4"/>
    <s v="JUN"/>
    <x v="20"/>
    <s v="GRSM 3A"/>
    <x v="0"/>
    <s v="GMM"/>
    <n v="103272"/>
    <n v="1178"/>
    <x v="3"/>
    <x v="6"/>
    <s v="GORENG"/>
    <n v="3145"/>
    <n v="42"/>
    <n v="132090"/>
    <n v="100"/>
  </r>
  <r>
    <x v="4"/>
    <s v="JUN"/>
    <x v="20"/>
    <s v="GRSM 3A"/>
    <x v="0"/>
    <s v="GMM"/>
    <n v="103272"/>
    <n v="1178"/>
    <x v="3"/>
    <x v="20"/>
    <s v="BOLOGNESE"/>
    <n v="3145"/>
    <n v="14"/>
    <n v="44030"/>
    <m/>
  </r>
  <r>
    <x v="4"/>
    <s v="JUN"/>
    <x v="20"/>
    <s v="GRSM 3A"/>
    <x v="0"/>
    <s v="GMM"/>
    <n v="103272"/>
    <n v="1178"/>
    <x v="3"/>
    <x v="20"/>
    <s v="CARBONARA"/>
    <n v="3145"/>
    <n v="20"/>
    <n v="62900"/>
    <m/>
  </r>
  <r>
    <x v="4"/>
    <s v="JUN"/>
    <x v="20"/>
    <s v="GRSM 3A"/>
    <x v="0"/>
    <s v="GMM"/>
    <n v="103272"/>
    <n v="1178"/>
    <x v="3"/>
    <x v="20"/>
    <s v="AGLIO OLIO"/>
    <n v="3145"/>
    <n v="9"/>
    <n v="28305"/>
    <m/>
  </r>
  <r>
    <x v="4"/>
    <s v="JUN"/>
    <x v="20"/>
    <s v="GRSM 3A"/>
    <x v="0"/>
    <s v="GMM"/>
    <n v="103272"/>
    <n v="1178"/>
    <x v="3"/>
    <x v="20"/>
    <s v="GORENG"/>
    <n v="3145"/>
    <n v="42"/>
    <n v="132090"/>
    <n v="100"/>
  </r>
  <r>
    <x v="5"/>
    <s v="JUN"/>
    <x v="21"/>
    <s v="GRSM 3A"/>
    <x v="0"/>
    <s v="GMM"/>
    <n v="103272"/>
    <n v="1178"/>
    <x v="3"/>
    <x v="6"/>
    <s v="BOLOGNESE"/>
    <n v="3145"/>
    <n v="10"/>
    <n v="31450"/>
    <m/>
  </r>
  <r>
    <x v="5"/>
    <s v="JUN"/>
    <x v="21"/>
    <s v="GRSM 3A"/>
    <x v="0"/>
    <s v="GMM"/>
    <n v="103272"/>
    <n v="1178"/>
    <x v="3"/>
    <x v="6"/>
    <s v="CARBONARA"/>
    <n v="3145"/>
    <n v="40"/>
    <n v="125800"/>
    <m/>
  </r>
  <r>
    <x v="5"/>
    <s v="JUN"/>
    <x v="21"/>
    <s v="GRSM 3A"/>
    <x v="0"/>
    <s v="GMM"/>
    <n v="103272"/>
    <n v="1178"/>
    <x v="3"/>
    <x v="6"/>
    <s v="AGLIO OLIO"/>
    <n v="3145"/>
    <n v="7"/>
    <n v="22015"/>
    <m/>
  </r>
  <r>
    <x v="5"/>
    <s v="JUN"/>
    <x v="21"/>
    <s v="GRSM 3A"/>
    <x v="0"/>
    <s v="GMM"/>
    <n v="103272"/>
    <n v="1178"/>
    <x v="3"/>
    <x v="6"/>
    <s v="GORENG"/>
    <n v="3145"/>
    <n v="43"/>
    <n v="135235"/>
    <n v="100"/>
  </r>
  <r>
    <x v="5"/>
    <s v="JUN"/>
    <x v="21"/>
    <s v="GRSM 3A"/>
    <x v="0"/>
    <s v="GMM"/>
    <n v="103272"/>
    <n v="1178"/>
    <x v="3"/>
    <x v="20"/>
    <s v="BOLOGNESE"/>
    <n v="3145"/>
    <n v="10"/>
    <n v="31450"/>
    <m/>
  </r>
  <r>
    <x v="5"/>
    <s v="JUN"/>
    <x v="21"/>
    <s v="GRSM 3A"/>
    <x v="0"/>
    <s v="GMM"/>
    <n v="103272"/>
    <n v="1178"/>
    <x v="3"/>
    <x v="20"/>
    <s v="CARBONARA"/>
    <n v="3145"/>
    <n v="40"/>
    <n v="125800"/>
    <m/>
  </r>
  <r>
    <x v="5"/>
    <s v="JUN"/>
    <x v="21"/>
    <s v="GRSM 3A"/>
    <x v="0"/>
    <s v="GMM"/>
    <n v="103272"/>
    <n v="1178"/>
    <x v="3"/>
    <x v="20"/>
    <s v="AGLIO OLIO"/>
    <n v="3145"/>
    <n v="7"/>
    <n v="22015"/>
    <m/>
  </r>
  <r>
    <x v="5"/>
    <s v="JUN"/>
    <x v="21"/>
    <s v="GRSM 3A"/>
    <x v="0"/>
    <s v="GMM"/>
    <n v="103272"/>
    <n v="1178"/>
    <x v="3"/>
    <x v="20"/>
    <s v="GORENG"/>
    <n v="3145"/>
    <n v="43"/>
    <n v="135235"/>
    <n v="100"/>
  </r>
  <r>
    <x v="5"/>
    <s v="JUL"/>
    <x v="17"/>
    <s v="GRSM 4"/>
    <x v="0"/>
    <s v="GMM"/>
    <n v="189901"/>
    <n v="1602018"/>
    <x v="14"/>
    <x v="23"/>
    <s v="BOLOGNESE"/>
    <n v="3500"/>
    <n v="25"/>
    <n v="87500"/>
    <m/>
  </r>
  <r>
    <x v="5"/>
    <s v="JUL"/>
    <x v="17"/>
    <s v="GRSM 4"/>
    <x v="0"/>
    <s v="GMM"/>
    <n v="189901"/>
    <n v="1602018"/>
    <x v="14"/>
    <x v="23"/>
    <s v="CARBONARA"/>
    <n v="3500"/>
    <n v="25"/>
    <n v="87500"/>
    <m/>
  </r>
  <r>
    <x v="5"/>
    <s v="JUL"/>
    <x v="17"/>
    <s v="GRSM 4"/>
    <x v="0"/>
    <s v="GMM"/>
    <n v="189901"/>
    <n v="1602018"/>
    <x v="14"/>
    <x v="23"/>
    <s v="AGLIO OLIO"/>
    <n v="3500"/>
    <n v="23"/>
    <n v="80500"/>
    <m/>
  </r>
  <r>
    <x v="5"/>
    <s v="JUL"/>
    <x v="17"/>
    <s v="GRSM 4"/>
    <x v="0"/>
    <s v="GMM"/>
    <n v="189901"/>
    <n v="1602018"/>
    <x v="14"/>
    <x v="23"/>
    <s v="GORENG"/>
    <n v="3500"/>
    <n v="40"/>
    <n v="140000"/>
    <n v="160"/>
  </r>
  <r>
    <x v="5"/>
    <s v="JUL"/>
    <x v="18"/>
    <s v="GRSM 4"/>
    <x v="0"/>
    <s v="GMM"/>
    <n v="189901"/>
    <n v="1602018"/>
    <x v="14"/>
    <x v="23"/>
    <s v="BOLOGNESE"/>
    <n v="3500"/>
    <n v="20"/>
    <n v="70000"/>
    <m/>
  </r>
  <r>
    <x v="5"/>
    <s v="JUL"/>
    <x v="18"/>
    <s v="GRSM 4"/>
    <x v="0"/>
    <s v="GMM"/>
    <n v="189901"/>
    <n v="1602018"/>
    <x v="14"/>
    <x v="23"/>
    <s v="CARBONARA"/>
    <n v="3500"/>
    <n v="25"/>
    <n v="87500"/>
    <m/>
  </r>
  <r>
    <x v="5"/>
    <s v="JUL"/>
    <x v="18"/>
    <s v="GRSM 4"/>
    <x v="0"/>
    <s v="GMM"/>
    <n v="189901"/>
    <n v="1602018"/>
    <x v="14"/>
    <x v="23"/>
    <s v="AGLIO OLIO"/>
    <n v="3500"/>
    <n v="15"/>
    <n v="52500"/>
    <m/>
  </r>
  <r>
    <x v="5"/>
    <s v="JUL"/>
    <x v="18"/>
    <s v="GRSM 4"/>
    <x v="0"/>
    <s v="GMM"/>
    <n v="189901"/>
    <n v="1602018"/>
    <x v="14"/>
    <x v="23"/>
    <s v="GORENG"/>
    <n v="3500"/>
    <n v="40"/>
    <n v="140000"/>
    <n v="160"/>
  </r>
  <r>
    <x v="5"/>
    <s v="JUL"/>
    <x v="18"/>
    <s v="GRSM 4"/>
    <x v="0"/>
    <s v="NKA"/>
    <n v="490034"/>
    <n v="209554"/>
    <x v="8"/>
    <x v="18"/>
    <s v="BOLOGNESE"/>
    <n v="3275"/>
    <n v="43"/>
    <n v="140825"/>
    <m/>
  </r>
  <r>
    <x v="5"/>
    <s v="JUL"/>
    <x v="18"/>
    <s v="GRSM 4"/>
    <x v="0"/>
    <s v="NKA"/>
    <n v="490034"/>
    <n v="209554"/>
    <x v="8"/>
    <x v="18"/>
    <s v="CARBONARA"/>
    <n v="3275"/>
    <n v="31"/>
    <n v="101525"/>
    <m/>
  </r>
  <r>
    <x v="5"/>
    <s v="JUL"/>
    <x v="18"/>
    <s v="GRSM 4"/>
    <x v="0"/>
    <s v="NKA"/>
    <n v="490034"/>
    <n v="209554"/>
    <x v="8"/>
    <x v="18"/>
    <s v="AGLIO OLIO"/>
    <n v="3275"/>
    <n v="16"/>
    <n v="52400"/>
    <m/>
  </r>
  <r>
    <x v="5"/>
    <s v="JUL"/>
    <x v="18"/>
    <s v="GRSM 4"/>
    <x v="0"/>
    <s v="NKA"/>
    <n v="490034"/>
    <n v="209554"/>
    <x v="8"/>
    <x v="18"/>
    <s v="GORENG"/>
    <n v="3275"/>
    <n v="154"/>
    <n v="504350"/>
    <n v="160"/>
  </r>
  <r>
    <x v="5"/>
    <s v="JUL"/>
    <x v="18"/>
    <s v="GRSM 4"/>
    <x v="0"/>
    <s v="GMM"/>
    <n v="103277"/>
    <n v="6300700"/>
    <x v="11"/>
    <x v="12"/>
    <s v="BOLOGNESE"/>
    <n v="3000"/>
    <n v="45"/>
    <n v="135000"/>
    <m/>
  </r>
  <r>
    <x v="5"/>
    <s v="JUL"/>
    <x v="18"/>
    <s v="GRSM 4"/>
    <x v="0"/>
    <s v="GMM"/>
    <n v="103277"/>
    <n v="6300700"/>
    <x v="11"/>
    <x v="12"/>
    <s v="CARBONARA"/>
    <n v="3000"/>
    <n v="50"/>
    <n v="150000"/>
    <m/>
  </r>
  <r>
    <x v="5"/>
    <s v="JUL"/>
    <x v="18"/>
    <s v="GRSM 4"/>
    <x v="0"/>
    <s v="GMM"/>
    <n v="103277"/>
    <n v="6300700"/>
    <x v="11"/>
    <x v="12"/>
    <s v="AGLIO OLIO"/>
    <n v="3000"/>
    <n v="35"/>
    <n v="105000"/>
    <m/>
  </r>
  <r>
    <x v="5"/>
    <s v="JUL"/>
    <x v="18"/>
    <s v="GRSM 4"/>
    <x v="0"/>
    <s v="GMM"/>
    <n v="103277"/>
    <n v="6300700"/>
    <x v="11"/>
    <x v="12"/>
    <s v="GORENG"/>
    <n v="3000"/>
    <n v="150"/>
    <n v="450000"/>
    <m/>
  </r>
  <r>
    <x v="5"/>
    <s v="JUL"/>
    <x v="19"/>
    <s v="GRSM 4"/>
    <x v="0"/>
    <s v="GMM"/>
    <n v="103277"/>
    <n v="6300700"/>
    <x v="11"/>
    <x v="12"/>
    <s v="BOLOGNESE"/>
    <n v="3000"/>
    <n v="69"/>
    <n v="207000"/>
    <m/>
  </r>
  <r>
    <x v="5"/>
    <s v="JUL"/>
    <x v="19"/>
    <s v="GRSM 4"/>
    <x v="0"/>
    <s v="GMM"/>
    <n v="103277"/>
    <n v="6300700"/>
    <x v="11"/>
    <x v="12"/>
    <s v="CARBONARA"/>
    <n v="3000"/>
    <n v="72"/>
    <n v="216000"/>
    <m/>
  </r>
  <r>
    <x v="5"/>
    <s v="JUL"/>
    <x v="19"/>
    <s v="GRSM 4"/>
    <x v="0"/>
    <s v="GMM"/>
    <n v="103277"/>
    <n v="6300700"/>
    <x v="11"/>
    <x v="12"/>
    <s v="AGLIO OLIO"/>
    <n v="3000"/>
    <n v="70"/>
    <n v="210000"/>
    <m/>
  </r>
  <r>
    <x v="5"/>
    <s v="JUL"/>
    <x v="19"/>
    <s v="GRSM 4"/>
    <x v="0"/>
    <s v="GMM"/>
    <n v="103277"/>
    <n v="6300700"/>
    <x v="11"/>
    <x v="12"/>
    <s v="GORENG"/>
    <n v="3000"/>
    <n v="185"/>
    <n v="555000"/>
    <n v="160"/>
  </r>
  <r>
    <x v="5"/>
    <s v="JUL"/>
    <x v="19"/>
    <s v="GRSM 4"/>
    <x v="0"/>
    <s v="NKA"/>
    <n v="490034"/>
    <n v="209554"/>
    <x v="8"/>
    <x v="18"/>
    <s v="BOLOGNESE"/>
    <n v="3275"/>
    <n v="52"/>
    <n v="170300"/>
    <m/>
  </r>
  <r>
    <x v="5"/>
    <s v="JUL"/>
    <x v="19"/>
    <s v="GRSM 4"/>
    <x v="0"/>
    <s v="NKA"/>
    <n v="490034"/>
    <n v="209554"/>
    <x v="8"/>
    <x v="18"/>
    <s v="CARBONARA"/>
    <n v="3275"/>
    <n v="58"/>
    <n v="189950"/>
    <m/>
  </r>
  <r>
    <x v="5"/>
    <s v="JUL"/>
    <x v="19"/>
    <s v="GRSM 4"/>
    <x v="0"/>
    <s v="NKA"/>
    <n v="490034"/>
    <n v="209554"/>
    <x v="8"/>
    <x v="18"/>
    <s v="AGLIO OLIO"/>
    <n v="3275"/>
    <n v="37"/>
    <n v="121175"/>
    <m/>
  </r>
  <r>
    <x v="5"/>
    <s v="JUL"/>
    <x v="19"/>
    <s v="GRSM 4"/>
    <x v="0"/>
    <s v="NKA"/>
    <n v="490034"/>
    <n v="209554"/>
    <x v="8"/>
    <x v="18"/>
    <s v="GORENG"/>
    <n v="3275"/>
    <n v="119"/>
    <n v="389725"/>
    <n v="160"/>
  </r>
  <r>
    <x v="5"/>
    <s v="JUL"/>
    <x v="19"/>
    <s v="GRSM 4"/>
    <x v="0"/>
    <s v="NKA"/>
    <n v="490034"/>
    <n v="209554"/>
    <x v="8"/>
    <x v="19"/>
    <s v="BOLOGNESE"/>
    <n v="3275"/>
    <n v="52"/>
    <n v="170300"/>
    <m/>
  </r>
  <r>
    <x v="5"/>
    <s v="JUL"/>
    <x v="19"/>
    <s v="GRSM 4"/>
    <x v="0"/>
    <s v="NKA"/>
    <n v="490034"/>
    <n v="209554"/>
    <x v="8"/>
    <x v="19"/>
    <s v="CARBONARA"/>
    <n v="3275"/>
    <n v="58"/>
    <n v="189950"/>
    <m/>
  </r>
  <r>
    <x v="5"/>
    <s v="JUL"/>
    <x v="19"/>
    <s v="GRSM 4"/>
    <x v="0"/>
    <s v="NKA"/>
    <n v="490034"/>
    <n v="209554"/>
    <x v="8"/>
    <x v="19"/>
    <s v="AGLIO OLIO"/>
    <n v="3275"/>
    <n v="37"/>
    <n v="121175"/>
    <m/>
  </r>
  <r>
    <x v="5"/>
    <s v="JUL"/>
    <x v="19"/>
    <s v="GRSM 4"/>
    <x v="0"/>
    <s v="NKA"/>
    <n v="490034"/>
    <n v="209554"/>
    <x v="8"/>
    <x v="19"/>
    <s v="GORENG"/>
    <n v="3275"/>
    <n v="119"/>
    <n v="389725"/>
    <n v="160"/>
  </r>
  <r>
    <x v="5"/>
    <s v="JUL"/>
    <x v="17"/>
    <s v="GRSM 4"/>
    <x v="0"/>
    <s v="GMM"/>
    <n v="189901"/>
    <n v="1602008"/>
    <x v="13"/>
    <x v="14"/>
    <s v="BOLOGNESE"/>
    <n v="3300"/>
    <n v="40"/>
    <n v="132000"/>
    <m/>
  </r>
  <r>
    <x v="5"/>
    <s v="JUL"/>
    <x v="17"/>
    <s v="GRSM 4"/>
    <x v="0"/>
    <s v="GMM"/>
    <n v="189901"/>
    <n v="1602008"/>
    <x v="13"/>
    <x v="14"/>
    <s v="CARBONARA"/>
    <n v="3300"/>
    <n v="40"/>
    <n v="132000"/>
    <m/>
  </r>
  <r>
    <x v="5"/>
    <s v="JUL"/>
    <x v="17"/>
    <s v="GRSM 4"/>
    <x v="0"/>
    <s v="GMM"/>
    <n v="189901"/>
    <n v="1602008"/>
    <x v="13"/>
    <x v="14"/>
    <s v="AGLIO OLIO"/>
    <n v="3300"/>
    <n v="40"/>
    <n v="132000"/>
    <m/>
  </r>
  <r>
    <x v="5"/>
    <s v="JUL"/>
    <x v="17"/>
    <s v="GRSM 4"/>
    <x v="0"/>
    <s v="GMM"/>
    <n v="189901"/>
    <n v="1602008"/>
    <x v="13"/>
    <x v="14"/>
    <s v="GORENG"/>
    <n v="3300"/>
    <n v="100"/>
    <n v="330000"/>
    <n v="160"/>
  </r>
  <r>
    <x v="5"/>
    <s v="JUL"/>
    <x v="18"/>
    <s v="GRSM 4"/>
    <x v="0"/>
    <s v="GMM"/>
    <n v="189901"/>
    <n v="1602008"/>
    <x v="13"/>
    <x v="14"/>
    <s v="BOLOGNESE"/>
    <n v="3300"/>
    <n v="30"/>
    <n v="99000"/>
    <m/>
  </r>
  <r>
    <x v="5"/>
    <s v="JUL"/>
    <x v="18"/>
    <s v="GRSM 4"/>
    <x v="0"/>
    <s v="GMM"/>
    <n v="189901"/>
    <n v="1602008"/>
    <x v="13"/>
    <x v="14"/>
    <s v="CARBONARA"/>
    <n v="3300"/>
    <n v="30"/>
    <n v="99000"/>
    <m/>
  </r>
  <r>
    <x v="5"/>
    <s v="JUL"/>
    <x v="18"/>
    <s v="GRSM 4"/>
    <x v="0"/>
    <s v="GMM"/>
    <n v="189901"/>
    <n v="1602008"/>
    <x v="13"/>
    <x v="14"/>
    <s v="AGLIO OLIO"/>
    <n v="3300"/>
    <n v="40"/>
    <n v="132000"/>
    <m/>
  </r>
  <r>
    <x v="5"/>
    <s v="JUL"/>
    <x v="18"/>
    <s v="GRSM 4"/>
    <x v="0"/>
    <s v="GMM"/>
    <n v="189901"/>
    <n v="1602008"/>
    <x v="13"/>
    <x v="14"/>
    <s v="GORENG"/>
    <n v="3300"/>
    <n v="120"/>
    <n v="396000"/>
    <n v="160"/>
  </r>
  <r>
    <x v="5"/>
    <s v="JUL"/>
    <x v="19"/>
    <s v="GRSM 4"/>
    <x v="0"/>
    <s v="GMM"/>
    <n v="189901"/>
    <n v="1602008"/>
    <x v="13"/>
    <x v="14"/>
    <s v="BOLOGNESE"/>
    <n v="3300"/>
    <n v="50"/>
    <n v="165000"/>
    <m/>
  </r>
  <r>
    <x v="5"/>
    <s v="JUL"/>
    <x v="19"/>
    <s v="GRSM 4"/>
    <x v="0"/>
    <s v="GMM"/>
    <n v="189901"/>
    <n v="1602008"/>
    <x v="13"/>
    <x v="14"/>
    <s v="CARBONARA"/>
    <n v="3300"/>
    <n v="50"/>
    <n v="165000"/>
    <m/>
  </r>
  <r>
    <x v="5"/>
    <s v="JUL"/>
    <x v="19"/>
    <s v="GRSM 4"/>
    <x v="0"/>
    <s v="GMM"/>
    <n v="189901"/>
    <n v="1602008"/>
    <x v="13"/>
    <x v="14"/>
    <s v="AGLIO OLIO"/>
    <n v="3300"/>
    <n v="50"/>
    <n v="165000"/>
    <m/>
  </r>
  <r>
    <x v="5"/>
    <s v="JUL"/>
    <x v="19"/>
    <s v="GRSM 4"/>
    <x v="0"/>
    <s v="GMM"/>
    <n v="189901"/>
    <n v="1602008"/>
    <x v="13"/>
    <x v="14"/>
    <s v="GORENG"/>
    <n v="3300"/>
    <n v="170"/>
    <n v="561000"/>
    <n v="160"/>
  </r>
  <r>
    <x v="5"/>
    <s v="JUL"/>
    <x v="17"/>
    <s v="GRSM 4"/>
    <x v="0"/>
    <s v="GMM"/>
    <n v="189901"/>
    <n v="1602018"/>
    <x v="14"/>
    <x v="30"/>
    <s v="BOLOGNESE"/>
    <n v="3500"/>
    <n v="25"/>
    <n v="87500"/>
    <m/>
  </r>
  <r>
    <x v="5"/>
    <s v="JUL"/>
    <x v="17"/>
    <s v="GRSM 4"/>
    <x v="0"/>
    <s v="GMM"/>
    <n v="189901"/>
    <n v="1602018"/>
    <x v="14"/>
    <x v="30"/>
    <s v="CARBONARA"/>
    <n v="3500"/>
    <n v="25"/>
    <n v="87500"/>
    <m/>
  </r>
  <r>
    <x v="5"/>
    <s v="JUL"/>
    <x v="17"/>
    <s v="GRSM 4"/>
    <x v="0"/>
    <s v="GMM"/>
    <n v="189901"/>
    <n v="1602018"/>
    <x v="14"/>
    <x v="30"/>
    <s v="AGLIO OLIO"/>
    <n v="3500"/>
    <n v="23"/>
    <n v="80500"/>
    <m/>
  </r>
  <r>
    <x v="5"/>
    <s v="JUL"/>
    <x v="17"/>
    <s v="GRSM 4"/>
    <x v="0"/>
    <s v="GMM"/>
    <n v="189901"/>
    <n v="1602018"/>
    <x v="14"/>
    <x v="30"/>
    <s v="GORENG"/>
    <n v="3500"/>
    <n v="40"/>
    <n v="140000"/>
    <n v="160"/>
  </r>
  <r>
    <x v="5"/>
    <s v="JUL"/>
    <x v="18"/>
    <s v="GRSM 4"/>
    <x v="0"/>
    <s v="GMM"/>
    <n v="189901"/>
    <n v="1602018"/>
    <x v="14"/>
    <x v="30"/>
    <s v="BOLOGNESE"/>
    <n v="3500"/>
    <n v="20"/>
    <n v="70000"/>
    <m/>
  </r>
  <r>
    <x v="5"/>
    <s v="JUL"/>
    <x v="18"/>
    <s v="GRSM 4"/>
    <x v="0"/>
    <s v="GMM"/>
    <n v="189901"/>
    <n v="1602018"/>
    <x v="14"/>
    <x v="30"/>
    <s v="CARBONARA"/>
    <n v="3500"/>
    <n v="25"/>
    <n v="87500"/>
    <m/>
  </r>
  <r>
    <x v="5"/>
    <s v="JUL"/>
    <x v="18"/>
    <s v="GRSM 4"/>
    <x v="0"/>
    <s v="GMM"/>
    <n v="189901"/>
    <n v="1602018"/>
    <x v="14"/>
    <x v="30"/>
    <s v="AGLIO OLIO"/>
    <n v="3500"/>
    <n v="15"/>
    <n v="52500"/>
    <m/>
  </r>
  <r>
    <x v="5"/>
    <s v="JUL"/>
    <x v="18"/>
    <s v="GRSM 4"/>
    <x v="0"/>
    <s v="GMM"/>
    <n v="189901"/>
    <n v="1602018"/>
    <x v="14"/>
    <x v="30"/>
    <s v="GORENG"/>
    <n v="3500"/>
    <n v="40"/>
    <n v="140000"/>
    <n v="160"/>
  </r>
  <r>
    <x v="5"/>
    <s v="JUL"/>
    <x v="19"/>
    <s v="GRSM 4"/>
    <x v="0"/>
    <s v="GMM"/>
    <n v="189901"/>
    <n v="1602018"/>
    <x v="14"/>
    <x v="30"/>
    <s v="BOLOGNESE"/>
    <n v="3500"/>
    <n v="20"/>
    <n v="70000"/>
    <m/>
  </r>
  <r>
    <x v="5"/>
    <s v="JUL"/>
    <x v="19"/>
    <s v="GRSM 4"/>
    <x v="0"/>
    <s v="GMM"/>
    <n v="189901"/>
    <n v="1602018"/>
    <x v="14"/>
    <x v="30"/>
    <s v="CARBONARA"/>
    <n v="3500"/>
    <n v="20"/>
    <n v="70000"/>
    <m/>
  </r>
  <r>
    <x v="5"/>
    <s v="JUL"/>
    <x v="19"/>
    <s v="GRSM 4"/>
    <x v="0"/>
    <s v="GMM"/>
    <n v="189901"/>
    <n v="1602018"/>
    <x v="14"/>
    <x v="30"/>
    <s v="AGLIO OLIO"/>
    <n v="3500"/>
    <n v="15"/>
    <n v="52500"/>
    <m/>
  </r>
  <r>
    <x v="5"/>
    <s v="JUL"/>
    <x v="19"/>
    <s v="GRSM 4"/>
    <x v="0"/>
    <s v="GMM"/>
    <n v="189901"/>
    <n v="1602018"/>
    <x v="14"/>
    <x v="30"/>
    <s v="GORENG"/>
    <n v="3500"/>
    <n v="60"/>
    <n v="210000"/>
    <n v="160"/>
  </r>
  <r>
    <x v="6"/>
    <s v="JUL"/>
    <x v="22"/>
    <s v="GRSM 4"/>
    <x v="0"/>
    <s v="GMM"/>
    <n v="121409"/>
    <n v="5205014"/>
    <x v="12"/>
    <x v="26"/>
    <s v="BOLOGNESE"/>
    <n v="2100"/>
    <n v="89"/>
    <n v="186900"/>
    <m/>
  </r>
  <r>
    <x v="6"/>
    <s v="JUL"/>
    <x v="22"/>
    <s v="GRSM 4"/>
    <x v="0"/>
    <s v="GMM"/>
    <n v="121409"/>
    <n v="5205014"/>
    <x v="12"/>
    <x v="26"/>
    <s v="CARBONARA"/>
    <n v="2100"/>
    <n v="92"/>
    <n v="193200"/>
    <m/>
  </r>
  <r>
    <x v="6"/>
    <s v="JUL"/>
    <x v="22"/>
    <s v="GRSM 4"/>
    <x v="0"/>
    <s v="GMM"/>
    <n v="121409"/>
    <n v="5205014"/>
    <x v="12"/>
    <x v="26"/>
    <s v="AGLIO OLIO"/>
    <n v="2100"/>
    <n v="100"/>
    <n v="210000"/>
    <m/>
  </r>
  <r>
    <x v="6"/>
    <s v="JUL"/>
    <x v="22"/>
    <s v="GRSM 4"/>
    <x v="0"/>
    <s v="GMM"/>
    <n v="121409"/>
    <n v="5205014"/>
    <x v="12"/>
    <x v="26"/>
    <s v="GORENG"/>
    <n v="2100"/>
    <n v="171"/>
    <n v="359100"/>
    <n v="160"/>
  </r>
  <r>
    <x v="6"/>
    <s v="JUL"/>
    <x v="22"/>
    <s v="GRSM 4"/>
    <x v="0"/>
    <s v="GMM"/>
    <n v="121409"/>
    <n v="5205014"/>
    <x v="12"/>
    <x v="27"/>
    <s v="BOLOGNESE"/>
    <n v="2100"/>
    <n v="89"/>
    <n v="186900"/>
    <m/>
  </r>
  <r>
    <x v="6"/>
    <s v="JUL"/>
    <x v="22"/>
    <s v="GRSM 4"/>
    <x v="0"/>
    <s v="GMM"/>
    <n v="121409"/>
    <n v="5205014"/>
    <x v="12"/>
    <x v="27"/>
    <s v="CARBONARA"/>
    <n v="2100"/>
    <n v="92"/>
    <n v="193200"/>
    <m/>
  </r>
  <r>
    <x v="6"/>
    <s v="JUL"/>
    <x v="22"/>
    <s v="GRSM 4"/>
    <x v="0"/>
    <s v="GMM"/>
    <n v="121409"/>
    <n v="5205014"/>
    <x v="12"/>
    <x v="27"/>
    <s v="AGLIO OLIO"/>
    <n v="2100"/>
    <n v="100"/>
    <n v="210000"/>
    <m/>
  </r>
  <r>
    <x v="6"/>
    <s v="JUL"/>
    <x v="22"/>
    <s v="GRSM 4"/>
    <x v="0"/>
    <s v="GMM"/>
    <n v="121409"/>
    <n v="5205014"/>
    <x v="12"/>
    <x v="27"/>
    <s v="GORENG"/>
    <n v="2100"/>
    <n v="171"/>
    <n v="359100"/>
    <n v="160"/>
  </r>
  <r>
    <x v="6"/>
    <s v="JUL"/>
    <x v="22"/>
    <s v="GRSM 4"/>
    <x v="0"/>
    <s v="GMM"/>
    <n v="189901"/>
    <n v="1602057"/>
    <x v="10"/>
    <x v="15"/>
    <s v="BOLOGNESE"/>
    <n v="2150"/>
    <n v="101"/>
    <n v="217150"/>
    <m/>
  </r>
  <r>
    <x v="6"/>
    <s v="JUL"/>
    <x v="22"/>
    <s v="GRSM 4"/>
    <x v="0"/>
    <s v="GMM"/>
    <n v="189901"/>
    <n v="1602057"/>
    <x v="10"/>
    <x v="15"/>
    <s v="CARBONARA"/>
    <n v="2150"/>
    <n v="119"/>
    <n v="255850"/>
    <m/>
  </r>
  <r>
    <x v="6"/>
    <s v="JUL"/>
    <x v="22"/>
    <s v="GRSM 4"/>
    <x v="0"/>
    <s v="GMM"/>
    <n v="189901"/>
    <n v="1602057"/>
    <x v="10"/>
    <x v="15"/>
    <s v="AGLIO OLIO"/>
    <n v="2150"/>
    <n v="129"/>
    <n v="277350"/>
    <m/>
  </r>
  <r>
    <x v="6"/>
    <s v="JUL"/>
    <x v="22"/>
    <s v="GRSM 4"/>
    <x v="0"/>
    <s v="GMM"/>
    <n v="189901"/>
    <n v="1602057"/>
    <x v="10"/>
    <x v="15"/>
    <s v="GORENG"/>
    <n v="2150"/>
    <n v="185"/>
    <n v="397750"/>
    <n v="160"/>
  </r>
  <r>
    <x v="6"/>
    <s v="JUL"/>
    <x v="22"/>
    <s v="GRSM 4"/>
    <x v="0"/>
    <s v="GMM"/>
    <n v="189901"/>
    <n v="1602057"/>
    <x v="10"/>
    <x v="24"/>
    <s v="BOLOGNESE"/>
    <n v="2150"/>
    <n v="98"/>
    <n v="210700"/>
    <m/>
  </r>
  <r>
    <x v="6"/>
    <s v="JUL"/>
    <x v="22"/>
    <s v="GRSM 4"/>
    <x v="0"/>
    <s v="GMM"/>
    <n v="189901"/>
    <n v="1602057"/>
    <x v="10"/>
    <x v="24"/>
    <s v="CARBONARA"/>
    <n v="2150"/>
    <n v="123"/>
    <n v="264450"/>
    <m/>
  </r>
  <r>
    <x v="6"/>
    <s v="JUL"/>
    <x v="22"/>
    <s v="GRSM 4"/>
    <x v="0"/>
    <s v="GMM"/>
    <n v="189901"/>
    <n v="1602057"/>
    <x v="10"/>
    <x v="24"/>
    <s v="AGLIO OLIO"/>
    <n v="2150"/>
    <n v="133"/>
    <n v="285950"/>
    <m/>
  </r>
  <r>
    <x v="6"/>
    <s v="JUL"/>
    <x v="22"/>
    <s v="GRSM 4"/>
    <x v="0"/>
    <s v="GMM"/>
    <n v="189901"/>
    <n v="1602057"/>
    <x v="10"/>
    <x v="24"/>
    <s v="GORENG"/>
    <n v="2150"/>
    <n v="197"/>
    <n v="423550"/>
    <n v="160"/>
  </r>
  <r>
    <x v="6"/>
    <s v="JUL"/>
    <x v="22"/>
    <s v="GRSM 4"/>
    <x v="0"/>
    <s v="GMM"/>
    <n v="103259"/>
    <n v="9029389"/>
    <x v="7"/>
    <x v="17"/>
    <s v="BOLOGNESE"/>
    <n v="3000"/>
    <n v="53"/>
    <n v="159000"/>
    <m/>
  </r>
  <r>
    <x v="6"/>
    <s v="JUL"/>
    <x v="22"/>
    <s v="GRSM 4"/>
    <x v="0"/>
    <s v="GMM"/>
    <n v="103259"/>
    <n v="9029389"/>
    <x v="7"/>
    <x v="17"/>
    <s v="CARBONARA"/>
    <n v="3000"/>
    <n v="72"/>
    <n v="216000"/>
    <m/>
  </r>
  <r>
    <x v="6"/>
    <s v="JUL"/>
    <x v="22"/>
    <s v="GRSM 4"/>
    <x v="0"/>
    <s v="GMM"/>
    <n v="103259"/>
    <n v="9029389"/>
    <x v="7"/>
    <x v="17"/>
    <s v="AGLIO OLIO"/>
    <n v="3000"/>
    <n v="47"/>
    <n v="141000"/>
    <m/>
  </r>
  <r>
    <x v="6"/>
    <s v="JUL"/>
    <x v="22"/>
    <s v="GRSM 4"/>
    <x v="0"/>
    <s v="GMM"/>
    <n v="103259"/>
    <n v="9029389"/>
    <x v="7"/>
    <x v="17"/>
    <s v="GORENG"/>
    <n v="3000"/>
    <n v="204"/>
    <n v="612000"/>
    <n v="160"/>
  </r>
  <r>
    <x v="6"/>
    <s v="JUL"/>
    <x v="22"/>
    <s v="GRSM 4"/>
    <x v="0"/>
    <s v="GMM"/>
    <n v="103259"/>
    <n v="9029389"/>
    <x v="7"/>
    <x v="21"/>
    <s v="BOLOGNESE"/>
    <n v="3000"/>
    <n v="59"/>
    <n v="177000"/>
    <m/>
  </r>
  <r>
    <x v="6"/>
    <s v="JUL"/>
    <x v="22"/>
    <s v="GRSM 4"/>
    <x v="0"/>
    <s v="GMM"/>
    <n v="103259"/>
    <n v="9029389"/>
    <x v="7"/>
    <x v="21"/>
    <s v="CARBONARA"/>
    <n v="3000"/>
    <n v="81"/>
    <n v="243000"/>
    <m/>
  </r>
  <r>
    <x v="6"/>
    <s v="JUL"/>
    <x v="22"/>
    <s v="GRSM 4"/>
    <x v="0"/>
    <s v="GMM"/>
    <n v="103259"/>
    <n v="9029389"/>
    <x v="7"/>
    <x v="21"/>
    <s v="AGLIO OLIO"/>
    <n v="3000"/>
    <n v="49"/>
    <n v="147000"/>
    <m/>
  </r>
  <r>
    <x v="6"/>
    <s v="JUL"/>
    <x v="22"/>
    <s v="GRSM 4"/>
    <x v="0"/>
    <s v="GMM"/>
    <n v="103259"/>
    <n v="9029389"/>
    <x v="7"/>
    <x v="21"/>
    <s v="GORENG"/>
    <n v="3000"/>
    <n v="214"/>
    <n v="642000"/>
    <n v="160"/>
  </r>
  <r>
    <x v="6"/>
    <s v="JUL"/>
    <x v="22"/>
    <s v="GRSM 4"/>
    <x v="0"/>
    <s v="NKA"/>
    <n v="490034"/>
    <n v="209554"/>
    <x v="8"/>
    <x v="19"/>
    <s v="BOLOGNESE"/>
    <n v="3275"/>
    <n v="36"/>
    <n v="117900"/>
    <m/>
  </r>
  <r>
    <x v="6"/>
    <s v="JUL"/>
    <x v="22"/>
    <s v="GRSM 4"/>
    <x v="0"/>
    <s v="NKA"/>
    <n v="490034"/>
    <n v="209554"/>
    <x v="8"/>
    <x v="19"/>
    <s v="CARBONARA"/>
    <n v="3275"/>
    <n v="48"/>
    <n v="157200"/>
    <m/>
  </r>
  <r>
    <x v="6"/>
    <s v="JUL"/>
    <x v="22"/>
    <s v="GRSM 4"/>
    <x v="0"/>
    <s v="NKA"/>
    <n v="490034"/>
    <n v="209554"/>
    <x v="8"/>
    <x v="19"/>
    <s v="AGLIO OLIO"/>
    <n v="3275"/>
    <n v="24"/>
    <n v="78600"/>
    <m/>
  </r>
  <r>
    <x v="6"/>
    <s v="JUL"/>
    <x v="22"/>
    <s v="GRSM 4"/>
    <x v="0"/>
    <s v="NKA"/>
    <n v="490034"/>
    <n v="209554"/>
    <x v="8"/>
    <x v="19"/>
    <s v="GORENG"/>
    <n v="3275"/>
    <n v="135"/>
    <n v="442125"/>
    <n v="160"/>
  </r>
  <r>
    <x v="6"/>
    <s v="JUL"/>
    <x v="22"/>
    <s v="GRSM 4"/>
    <x v="0"/>
    <s v="NKA"/>
    <n v="490034"/>
    <n v="209554"/>
    <x v="8"/>
    <x v="18"/>
    <s v="BOLOGNESE"/>
    <n v="3275"/>
    <n v="36"/>
    <n v="117900"/>
    <m/>
  </r>
  <r>
    <x v="6"/>
    <s v="JUL"/>
    <x v="22"/>
    <s v="GRSM 4"/>
    <x v="0"/>
    <s v="NKA"/>
    <n v="490034"/>
    <n v="209554"/>
    <x v="8"/>
    <x v="18"/>
    <s v="CARBONARA"/>
    <n v="3275"/>
    <n v="48"/>
    <n v="157200"/>
    <m/>
  </r>
  <r>
    <x v="6"/>
    <s v="JUL"/>
    <x v="22"/>
    <s v="GRSM 4"/>
    <x v="0"/>
    <s v="NKA"/>
    <n v="490034"/>
    <n v="209554"/>
    <x v="8"/>
    <x v="18"/>
    <s v="AGLIO OLIO"/>
    <n v="3275"/>
    <n v="24"/>
    <n v="78600"/>
    <m/>
  </r>
  <r>
    <x v="6"/>
    <s v="JUL"/>
    <x v="22"/>
    <s v="GRSM 4"/>
    <x v="0"/>
    <s v="NKA"/>
    <n v="490034"/>
    <n v="209554"/>
    <x v="8"/>
    <x v="18"/>
    <s v="GORENG"/>
    <n v="3275"/>
    <n v="135"/>
    <n v="442125"/>
    <n v="160"/>
  </r>
  <r>
    <x v="6"/>
    <s v="JUL"/>
    <x v="22"/>
    <s v="GRSM 4"/>
    <x v="0"/>
    <s v="GMM"/>
    <n v="103277"/>
    <n v="6300700"/>
    <x v="11"/>
    <x v="25"/>
    <s v="BOLOGNESE"/>
    <n v="3000"/>
    <n v="55"/>
    <n v="165000"/>
    <m/>
  </r>
  <r>
    <x v="6"/>
    <s v="JUL"/>
    <x v="22"/>
    <s v="GRSM 4"/>
    <x v="0"/>
    <s v="GMM"/>
    <n v="103277"/>
    <n v="6300700"/>
    <x v="11"/>
    <x v="25"/>
    <s v="CARBONARA"/>
    <n v="3000"/>
    <n v="40"/>
    <n v="120000"/>
    <m/>
  </r>
  <r>
    <x v="6"/>
    <s v="JUL"/>
    <x v="22"/>
    <s v="GRSM 4"/>
    <x v="0"/>
    <s v="GMM"/>
    <n v="103277"/>
    <n v="6300700"/>
    <x v="11"/>
    <x v="25"/>
    <s v="AGLIO OLIO"/>
    <n v="3000"/>
    <n v="40"/>
    <n v="120000"/>
    <m/>
  </r>
  <r>
    <x v="6"/>
    <s v="JUL"/>
    <x v="22"/>
    <s v="GRSM 4"/>
    <x v="0"/>
    <s v="GMM"/>
    <n v="103277"/>
    <n v="6300700"/>
    <x v="11"/>
    <x v="25"/>
    <s v="GORENG"/>
    <n v="3000"/>
    <n v="150"/>
    <n v="450000"/>
    <n v="160"/>
  </r>
  <r>
    <x v="6"/>
    <s v="JUL"/>
    <x v="22"/>
    <s v="GRSM 4"/>
    <x v="0"/>
    <s v="GMM"/>
    <n v="103257"/>
    <n v="9162509"/>
    <x v="4"/>
    <x v="7"/>
    <s v="BOLOGNESE"/>
    <n v="3100"/>
    <n v="53"/>
    <n v="164300"/>
    <m/>
  </r>
  <r>
    <x v="6"/>
    <s v="JUL"/>
    <x v="22"/>
    <s v="GRSM 4"/>
    <x v="0"/>
    <s v="GMM"/>
    <n v="103257"/>
    <n v="9162509"/>
    <x v="4"/>
    <x v="7"/>
    <s v="CARBONARA"/>
    <n v="3100"/>
    <n v="48"/>
    <n v="148800"/>
    <m/>
  </r>
  <r>
    <x v="6"/>
    <s v="JUL"/>
    <x v="22"/>
    <s v="GRSM 4"/>
    <x v="0"/>
    <s v="GMM"/>
    <n v="103257"/>
    <n v="9162509"/>
    <x v="4"/>
    <x v="7"/>
    <s v="AGLIO OLIO"/>
    <n v="3100"/>
    <n v="36"/>
    <n v="111600"/>
    <m/>
  </r>
  <r>
    <x v="6"/>
    <s v="JUL"/>
    <x v="22"/>
    <s v="GRSM 4"/>
    <x v="0"/>
    <s v="GMM"/>
    <n v="103257"/>
    <n v="9162509"/>
    <x v="4"/>
    <x v="7"/>
    <s v="GORENG"/>
    <n v="3100"/>
    <n v="41"/>
    <n v="127100"/>
    <n v="160"/>
  </r>
  <r>
    <x v="6"/>
    <s v="JUL"/>
    <x v="22"/>
    <s v="GRSM 4"/>
    <x v="0"/>
    <s v="GMM"/>
    <n v="103257"/>
    <n v="9162509"/>
    <x v="4"/>
    <x v="8"/>
    <s v="BOLOGNESE"/>
    <n v="3100"/>
    <n v="50"/>
    <n v="155000"/>
    <m/>
  </r>
  <r>
    <x v="6"/>
    <s v="JUL"/>
    <x v="22"/>
    <s v="GRSM 4"/>
    <x v="0"/>
    <s v="GMM"/>
    <n v="103257"/>
    <n v="9162509"/>
    <x v="4"/>
    <x v="8"/>
    <s v="CARBONARA"/>
    <n v="3100"/>
    <n v="45"/>
    <n v="139500"/>
    <m/>
  </r>
  <r>
    <x v="6"/>
    <s v="JUL"/>
    <x v="22"/>
    <s v="GRSM 4"/>
    <x v="0"/>
    <s v="GMM"/>
    <n v="103257"/>
    <n v="9162509"/>
    <x v="4"/>
    <x v="8"/>
    <s v="AGLIO OLIO"/>
    <n v="3100"/>
    <n v="30"/>
    <n v="93000"/>
    <m/>
  </r>
  <r>
    <x v="6"/>
    <s v="JUL"/>
    <x v="22"/>
    <s v="GRSM 4"/>
    <x v="0"/>
    <s v="GMM"/>
    <n v="103257"/>
    <n v="9162509"/>
    <x v="4"/>
    <x v="8"/>
    <s v="GORENG"/>
    <n v="3100"/>
    <n v="39"/>
    <n v="120900"/>
    <n v="160"/>
  </r>
  <r>
    <x v="6"/>
    <s v="JUL"/>
    <x v="22"/>
    <s v="GRSM 4"/>
    <x v="0"/>
    <s v="GMM"/>
    <n v="189901"/>
    <n v="1602016"/>
    <x v="16"/>
    <x v="31"/>
    <s v="BOLOGNESE"/>
    <n v="3400"/>
    <n v="87"/>
    <n v="295800"/>
    <m/>
  </r>
  <r>
    <x v="6"/>
    <s v="JUL"/>
    <x v="22"/>
    <s v="GRSM 4"/>
    <x v="0"/>
    <s v="GMM"/>
    <n v="189901"/>
    <n v="1602016"/>
    <x v="16"/>
    <x v="31"/>
    <s v="CARBONARA"/>
    <n v="3400"/>
    <n v="100"/>
    <n v="340000"/>
    <m/>
  </r>
  <r>
    <x v="6"/>
    <s v="JUL"/>
    <x v="22"/>
    <s v="GRSM 4"/>
    <x v="0"/>
    <s v="GMM"/>
    <n v="189901"/>
    <n v="1602016"/>
    <x v="16"/>
    <x v="31"/>
    <s v="AGLIO OLIO"/>
    <n v="3400"/>
    <n v="80"/>
    <n v="272000"/>
    <m/>
  </r>
  <r>
    <x v="6"/>
    <s v="JUL"/>
    <x v="22"/>
    <s v="GRSM 4"/>
    <x v="0"/>
    <s v="GMM"/>
    <n v="189901"/>
    <n v="1602016"/>
    <x v="16"/>
    <x v="31"/>
    <s v="GORENG"/>
    <n v="3400"/>
    <n v="199"/>
    <n v="676600"/>
    <n v="160"/>
  </r>
  <r>
    <x v="6"/>
    <s v="JUL"/>
    <x v="23"/>
    <s v="GRSM 4"/>
    <x v="0"/>
    <s v="GMM"/>
    <n v="121409"/>
    <n v="5205014"/>
    <x v="12"/>
    <x v="26"/>
    <s v="BOLOGNESE"/>
    <n v="2100"/>
    <n v="153"/>
    <n v="321300"/>
    <m/>
  </r>
  <r>
    <x v="6"/>
    <s v="JUL"/>
    <x v="23"/>
    <s v="GRSM 4"/>
    <x v="0"/>
    <s v="GMM"/>
    <n v="121409"/>
    <n v="5205014"/>
    <x v="12"/>
    <x v="26"/>
    <s v="CARBONARA"/>
    <n v="2100"/>
    <n v="145"/>
    <n v="304500"/>
    <m/>
  </r>
  <r>
    <x v="6"/>
    <s v="JUL"/>
    <x v="23"/>
    <s v="GRSM 4"/>
    <x v="0"/>
    <s v="GMM"/>
    <n v="121409"/>
    <n v="5205014"/>
    <x v="12"/>
    <x v="26"/>
    <s v="AGLIO OLIO"/>
    <n v="2100"/>
    <n v="143"/>
    <n v="300300"/>
    <m/>
  </r>
  <r>
    <x v="6"/>
    <s v="JUL"/>
    <x v="23"/>
    <s v="GRSM 4"/>
    <x v="0"/>
    <s v="GMM"/>
    <n v="121409"/>
    <n v="5205014"/>
    <x v="12"/>
    <x v="26"/>
    <s v="GORENG"/>
    <n v="2100"/>
    <n v="315"/>
    <n v="661500"/>
    <n v="160"/>
  </r>
  <r>
    <x v="6"/>
    <s v="JUL"/>
    <x v="23"/>
    <s v="GRSM 4"/>
    <x v="0"/>
    <s v="GMM"/>
    <n v="121409"/>
    <n v="5205014"/>
    <x v="12"/>
    <x v="27"/>
    <s v="BOLOGNESE"/>
    <n v="2100"/>
    <n v="153"/>
    <n v="321300"/>
    <m/>
  </r>
  <r>
    <x v="6"/>
    <s v="JUL"/>
    <x v="23"/>
    <s v="GRSM 4"/>
    <x v="0"/>
    <s v="GMM"/>
    <n v="121409"/>
    <n v="5205014"/>
    <x v="12"/>
    <x v="27"/>
    <s v="CARBONARA"/>
    <n v="2100"/>
    <n v="145"/>
    <n v="304500"/>
    <m/>
  </r>
  <r>
    <x v="6"/>
    <s v="JUL"/>
    <x v="23"/>
    <s v="GRSM 4"/>
    <x v="0"/>
    <s v="GMM"/>
    <n v="121409"/>
    <n v="5205014"/>
    <x v="12"/>
    <x v="27"/>
    <s v="AGLIO OLIO"/>
    <n v="2100"/>
    <n v="143"/>
    <n v="300300"/>
    <m/>
  </r>
  <r>
    <x v="6"/>
    <s v="JUL"/>
    <x v="23"/>
    <s v="GRSM 4"/>
    <x v="0"/>
    <s v="GMM"/>
    <n v="121409"/>
    <n v="5205014"/>
    <x v="12"/>
    <x v="27"/>
    <s v="GORENG"/>
    <n v="2100"/>
    <n v="315"/>
    <n v="661500"/>
    <n v="160"/>
  </r>
  <r>
    <x v="6"/>
    <s v="JUL"/>
    <x v="23"/>
    <s v="GRSM 4"/>
    <x v="0"/>
    <s v="GMM"/>
    <n v="103259"/>
    <n v="9029389"/>
    <x v="7"/>
    <x v="21"/>
    <s v="BOLOGNESE"/>
    <n v="3000"/>
    <n v="51"/>
    <n v="153000"/>
    <m/>
  </r>
  <r>
    <x v="6"/>
    <s v="JUL"/>
    <x v="23"/>
    <s v="GRSM 4"/>
    <x v="0"/>
    <s v="GMM"/>
    <n v="103259"/>
    <n v="9029389"/>
    <x v="7"/>
    <x v="21"/>
    <s v="CARBONARA"/>
    <n v="3000"/>
    <n v="80"/>
    <n v="240000"/>
    <m/>
  </r>
  <r>
    <x v="6"/>
    <s v="JUL"/>
    <x v="23"/>
    <s v="GRSM 4"/>
    <x v="0"/>
    <s v="GMM"/>
    <n v="103259"/>
    <n v="9029389"/>
    <x v="7"/>
    <x v="21"/>
    <s v="AGLIO OLIO"/>
    <n v="3000"/>
    <n v="40"/>
    <n v="120000"/>
    <m/>
  </r>
  <r>
    <x v="6"/>
    <s v="JUL"/>
    <x v="23"/>
    <s v="GRSM 4"/>
    <x v="0"/>
    <s v="GMM"/>
    <n v="103259"/>
    <n v="9029389"/>
    <x v="7"/>
    <x v="21"/>
    <s v="GORENG"/>
    <n v="3000"/>
    <n v="206"/>
    <n v="618000"/>
    <n v="160"/>
  </r>
  <r>
    <x v="6"/>
    <s v="JUL"/>
    <x v="23"/>
    <s v="GRSM 4"/>
    <x v="0"/>
    <s v="GMM"/>
    <n v="103259"/>
    <n v="9029389"/>
    <x v="7"/>
    <x v="17"/>
    <s v="BOLOGNESE"/>
    <n v="3000"/>
    <n v="51"/>
    <n v="153000"/>
    <m/>
  </r>
  <r>
    <x v="6"/>
    <s v="JUL"/>
    <x v="23"/>
    <s v="GRSM 4"/>
    <x v="0"/>
    <s v="GMM"/>
    <n v="103259"/>
    <n v="9029389"/>
    <x v="7"/>
    <x v="17"/>
    <s v="CARBONARA"/>
    <n v="3000"/>
    <n v="82"/>
    <n v="246000"/>
    <m/>
  </r>
  <r>
    <x v="6"/>
    <s v="JUL"/>
    <x v="23"/>
    <s v="GRSM 4"/>
    <x v="0"/>
    <s v="GMM"/>
    <n v="103259"/>
    <n v="9029389"/>
    <x v="7"/>
    <x v="17"/>
    <s v="AGLIO OLIO"/>
    <n v="3000"/>
    <n v="48"/>
    <n v="144000"/>
    <m/>
  </r>
  <r>
    <x v="6"/>
    <s v="JUL"/>
    <x v="23"/>
    <s v="GRSM 4"/>
    <x v="0"/>
    <s v="GMM"/>
    <n v="103259"/>
    <n v="9029389"/>
    <x v="7"/>
    <x v="17"/>
    <s v="GORENG"/>
    <n v="3000"/>
    <n v="213"/>
    <n v="639000"/>
    <n v="160"/>
  </r>
  <r>
    <x v="6"/>
    <s v="JUL"/>
    <x v="22"/>
    <s v="GRSM 4"/>
    <x v="0"/>
    <s v="GMM"/>
    <n v="189901"/>
    <n v="1602016"/>
    <x v="16"/>
    <x v="32"/>
    <s v="BOLOGNESE"/>
    <n v="3400"/>
    <n v="87"/>
    <n v="295800"/>
    <m/>
  </r>
  <r>
    <x v="6"/>
    <s v="JUL"/>
    <x v="22"/>
    <s v="GRSM 4"/>
    <x v="0"/>
    <s v="GMM"/>
    <n v="189901"/>
    <n v="1602016"/>
    <x v="16"/>
    <x v="32"/>
    <s v="CARBONARA"/>
    <n v="3400"/>
    <n v="100"/>
    <n v="340000"/>
    <m/>
  </r>
  <r>
    <x v="6"/>
    <s v="JUL"/>
    <x v="22"/>
    <s v="GRSM 4"/>
    <x v="0"/>
    <s v="GMM"/>
    <n v="189901"/>
    <n v="1602016"/>
    <x v="16"/>
    <x v="32"/>
    <s v="AGLIO OLIO"/>
    <n v="3400"/>
    <n v="80"/>
    <n v="272000"/>
    <m/>
  </r>
  <r>
    <x v="6"/>
    <s v="JUL"/>
    <x v="22"/>
    <s v="GRSM 4"/>
    <x v="0"/>
    <s v="GMM"/>
    <n v="189901"/>
    <n v="1602016"/>
    <x v="16"/>
    <x v="32"/>
    <s v="GORENG"/>
    <n v="3400"/>
    <n v="199"/>
    <n v="676600"/>
    <m/>
  </r>
  <r>
    <x v="6"/>
    <s v="JUL"/>
    <x v="23"/>
    <s v="GRSM 4"/>
    <x v="0"/>
    <s v="GMM"/>
    <n v="189901"/>
    <n v="1602016"/>
    <x v="16"/>
    <x v="31"/>
    <s v="BOLOGNESE"/>
    <n v="3400"/>
    <n v="120"/>
    <n v="408000"/>
    <m/>
  </r>
  <r>
    <x v="6"/>
    <s v="JUL"/>
    <x v="23"/>
    <s v="GRSM 4"/>
    <x v="0"/>
    <s v="GMM"/>
    <n v="189901"/>
    <n v="1602016"/>
    <x v="16"/>
    <x v="31"/>
    <s v="CARBONARA"/>
    <n v="3400"/>
    <n v="120"/>
    <n v="408000"/>
    <m/>
  </r>
  <r>
    <x v="6"/>
    <s v="JUL"/>
    <x v="23"/>
    <s v="GRSM 4"/>
    <x v="0"/>
    <s v="GMM"/>
    <n v="189901"/>
    <n v="1602016"/>
    <x v="16"/>
    <x v="31"/>
    <s v="AGLIO OLIO"/>
    <n v="3400"/>
    <n v="60"/>
    <n v="204000"/>
    <m/>
  </r>
  <r>
    <x v="6"/>
    <s v="JUL"/>
    <x v="23"/>
    <s v="GRSM 4"/>
    <x v="0"/>
    <s v="GMM"/>
    <n v="189901"/>
    <n v="1602016"/>
    <x v="16"/>
    <x v="31"/>
    <s v="GORENG"/>
    <n v="3400"/>
    <n v="120"/>
    <n v="408000"/>
    <m/>
  </r>
  <r>
    <x v="6"/>
    <s v="JUL"/>
    <x v="23"/>
    <s v="GRSM 4"/>
    <x v="0"/>
    <s v="GMM"/>
    <n v="189901"/>
    <n v="1602016"/>
    <x v="16"/>
    <x v="32"/>
    <s v="BOLOGNESE"/>
    <n v="3400"/>
    <n v="120"/>
    <n v="408000"/>
    <m/>
  </r>
  <r>
    <x v="6"/>
    <s v="JUL"/>
    <x v="23"/>
    <s v="GRSM 4"/>
    <x v="0"/>
    <s v="GMM"/>
    <n v="189901"/>
    <n v="1602016"/>
    <x v="16"/>
    <x v="32"/>
    <s v="CARBONARA"/>
    <n v="3400"/>
    <n v="120"/>
    <n v="408000"/>
    <m/>
  </r>
  <r>
    <x v="6"/>
    <s v="JUL"/>
    <x v="23"/>
    <s v="GRSM 4"/>
    <x v="0"/>
    <s v="GMM"/>
    <n v="189901"/>
    <n v="1602016"/>
    <x v="16"/>
    <x v="32"/>
    <s v="AGLIO OLIO"/>
    <n v="3400"/>
    <n v="60"/>
    <n v="204000"/>
    <m/>
  </r>
  <r>
    <x v="6"/>
    <s v="JUL"/>
    <x v="23"/>
    <s v="GRSM 4"/>
    <x v="0"/>
    <s v="GMM"/>
    <n v="189901"/>
    <n v="1602016"/>
    <x v="16"/>
    <x v="32"/>
    <s v="GORENG"/>
    <n v="3400"/>
    <n v="120"/>
    <n v="408000"/>
    <n v="160"/>
  </r>
  <r>
    <x v="6"/>
    <s v="JUL"/>
    <x v="23"/>
    <s v="GRSM 4"/>
    <x v="0"/>
    <s v="NKA"/>
    <n v="490034"/>
    <n v="209554"/>
    <x v="8"/>
    <x v="18"/>
    <s v="BOLOGNESE"/>
    <n v="3275"/>
    <n v="45"/>
    <n v="147375"/>
    <m/>
  </r>
  <r>
    <x v="6"/>
    <s v="JUL"/>
    <x v="23"/>
    <s v="GRSM 4"/>
    <x v="0"/>
    <s v="NKA"/>
    <n v="490034"/>
    <n v="209554"/>
    <x v="8"/>
    <x v="18"/>
    <s v="CARBONARA"/>
    <n v="3275"/>
    <n v="53"/>
    <n v="173575"/>
    <m/>
  </r>
  <r>
    <x v="6"/>
    <s v="JUL"/>
    <x v="23"/>
    <s v="GRSM 4"/>
    <x v="0"/>
    <s v="NKA"/>
    <n v="490034"/>
    <n v="209554"/>
    <x v="8"/>
    <x v="18"/>
    <s v="AGLIO OLIO"/>
    <n v="3275"/>
    <n v="31"/>
    <n v="101525"/>
    <m/>
  </r>
  <r>
    <x v="6"/>
    <s v="JUL"/>
    <x v="23"/>
    <s v="GRSM 4"/>
    <x v="0"/>
    <s v="NKA"/>
    <n v="490034"/>
    <n v="209554"/>
    <x v="8"/>
    <x v="18"/>
    <s v="GORENG"/>
    <n v="3275"/>
    <n v="180"/>
    <n v="589500"/>
    <n v="160"/>
  </r>
  <r>
    <x v="6"/>
    <s v="JUL"/>
    <x v="23"/>
    <s v="GRSM 4"/>
    <x v="0"/>
    <s v="NKA"/>
    <n v="490034"/>
    <n v="209554"/>
    <x v="8"/>
    <x v="19"/>
    <s v="BOLOGNESE"/>
    <n v="3275"/>
    <n v="45"/>
    <n v="147375"/>
    <m/>
  </r>
  <r>
    <x v="6"/>
    <s v="JUL"/>
    <x v="23"/>
    <s v="GRSM 4"/>
    <x v="0"/>
    <s v="NKA"/>
    <n v="490034"/>
    <n v="209554"/>
    <x v="8"/>
    <x v="19"/>
    <s v="CARBONARA"/>
    <n v="3275"/>
    <n v="53"/>
    <n v="173575"/>
    <m/>
  </r>
  <r>
    <x v="6"/>
    <s v="JUL"/>
    <x v="23"/>
    <s v="GRSM 4"/>
    <x v="0"/>
    <s v="NKA"/>
    <n v="490034"/>
    <n v="209554"/>
    <x v="8"/>
    <x v="19"/>
    <s v="AGLIO OLIO"/>
    <n v="3275"/>
    <n v="31"/>
    <n v="101525"/>
    <m/>
  </r>
  <r>
    <x v="6"/>
    <s v="JUL"/>
    <x v="23"/>
    <s v="GRSM 4"/>
    <x v="0"/>
    <s v="NKA"/>
    <n v="490034"/>
    <n v="209554"/>
    <x v="8"/>
    <x v="19"/>
    <s v="GORENG"/>
    <n v="3275"/>
    <n v="180"/>
    <n v="589500"/>
    <n v="160"/>
  </r>
  <r>
    <x v="6"/>
    <s v="JUL"/>
    <x v="23"/>
    <s v="GRSM 4"/>
    <x v="0"/>
    <s v="GMM"/>
    <n v="103257"/>
    <n v="9162509"/>
    <x v="4"/>
    <x v="8"/>
    <s v="BOLOGNESE"/>
    <n v="3100"/>
    <n v="49"/>
    <n v="151900"/>
    <m/>
  </r>
  <r>
    <x v="6"/>
    <s v="JUL"/>
    <x v="23"/>
    <s v="GRSM 4"/>
    <x v="0"/>
    <s v="GMM"/>
    <n v="103257"/>
    <n v="9162509"/>
    <x v="4"/>
    <x v="8"/>
    <s v="CARBONARA"/>
    <n v="3100"/>
    <n v="45"/>
    <n v="139500"/>
    <m/>
  </r>
  <r>
    <x v="6"/>
    <s v="JUL"/>
    <x v="23"/>
    <s v="GRSM 4"/>
    <x v="0"/>
    <s v="GMM"/>
    <n v="103257"/>
    <n v="9162509"/>
    <x v="4"/>
    <x v="8"/>
    <s v="AGLIO OLIO"/>
    <n v="3100"/>
    <n v="56"/>
    <n v="173600"/>
    <m/>
  </r>
  <r>
    <x v="6"/>
    <s v="JUL"/>
    <x v="23"/>
    <s v="GRSM 4"/>
    <x v="0"/>
    <s v="GMM"/>
    <n v="103257"/>
    <n v="9162509"/>
    <x v="4"/>
    <x v="8"/>
    <s v="GORENG"/>
    <n v="3100"/>
    <n v="70"/>
    <n v="217000"/>
    <n v="160"/>
  </r>
  <r>
    <x v="6"/>
    <s v="JUL"/>
    <x v="23"/>
    <s v="GRSM 4"/>
    <x v="0"/>
    <s v="GMM"/>
    <n v="103257"/>
    <n v="9162509"/>
    <x v="4"/>
    <x v="7"/>
    <s v="BOLOGNESE"/>
    <n v="3100"/>
    <n v="52"/>
    <n v="161200"/>
    <m/>
  </r>
  <r>
    <x v="6"/>
    <s v="JUL"/>
    <x v="23"/>
    <s v="GRSM 4"/>
    <x v="0"/>
    <s v="GMM"/>
    <n v="103257"/>
    <n v="9162509"/>
    <x v="4"/>
    <x v="7"/>
    <s v="CARBONARA"/>
    <n v="3100"/>
    <n v="47"/>
    <n v="145700"/>
    <m/>
  </r>
  <r>
    <x v="6"/>
    <s v="JUL"/>
    <x v="23"/>
    <s v="GRSM 4"/>
    <x v="0"/>
    <s v="GMM"/>
    <n v="103257"/>
    <n v="9162509"/>
    <x v="4"/>
    <x v="7"/>
    <s v="AGLIO OLIO"/>
    <n v="3100"/>
    <n v="59"/>
    <n v="182900"/>
    <m/>
  </r>
  <r>
    <x v="6"/>
    <s v="JUL"/>
    <x v="23"/>
    <s v="GRSM 4"/>
    <x v="0"/>
    <s v="GMM"/>
    <n v="103257"/>
    <n v="9162509"/>
    <x v="4"/>
    <x v="7"/>
    <s v="GORENG"/>
    <n v="3100"/>
    <n v="72"/>
    <n v="223200"/>
    <n v="160"/>
  </r>
  <r>
    <x v="6"/>
    <s v="JUL"/>
    <x v="23"/>
    <s v="GRSM 4"/>
    <x v="0"/>
    <s v="GMM"/>
    <n v="189901"/>
    <n v="1602057"/>
    <x v="10"/>
    <x v="15"/>
    <s v="BOLOGNESE"/>
    <n v="2150"/>
    <n v="87"/>
    <n v="187050"/>
    <m/>
  </r>
  <r>
    <x v="6"/>
    <s v="JUL"/>
    <x v="23"/>
    <s v="GRSM 4"/>
    <x v="0"/>
    <s v="GMM"/>
    <n v="189901"/>
    <n v="1602057"/>
    <x v="10"/>
    <x v="15"/>
    <s v="CARBONARA"/>
    <n v="2150"/>
    <n v="139"/>
    <n v="298850"/>
    <m/>
  </r>
  <r>
    <x v="6"/>
    <s v="JUL"/>
    <x v="23"/>
    <s v="GRSM 4"/>
    <x v="0"/>
    <s v="GMM"/>
    <n v="189901"/>
    <n v="1602057"/>
    <x v="10"/>
    <x v="15"/>
    <s v="AGLIO OLIO"/>
    <n v="2150"/>
    <n v="76"/>
    <n v="163400"/>
    <m/>
  </r>
  <r>
    <x v="6"/>
    <s v="JUL"/>
    <x v="23"/>
    <s v="GRSM 4"/>
    <x v="0"/>
    <s v="GMM"/>
    <n v="189901"/>
    <n v="1602057"/>
    <x v="10"/>
    <x v="15"/>
    <s v="GORENG"/>
    <n v="2150"/>
    <n v="233"/>
    <n v="500950"/>
    <n v="160"/>
  </r>
  <r>
    <x v="6"/>
    <s v="JUL"/>
    <x v="23"/>
    <s v="GRSM 4"/>
    <x v="0"/>
    <s v="GMM"/>
    <n v="189901"/>
    <n v="1602057"/>
    <x v="10"/>
    <x v="24"/>
    <s v="BOLOGNESE"/>
    <n v="2150"/>
    <n v="91"/>
    <n v="195650"/>
    <m/>
  </r>
  <r>
    <x v="6"/>
    <s v="JUL"/>
    <x v="23"/>
    <s v="GRSM 4"/>
    <x v="0"/>
    <s v="GMM"/>
    <n v="189901"/>
    <n v="1602057"/>
    <x v="10"/>
    <x v="24"/>
    <s v="CARBONARA"/>
    <n v="2150"/>
    <n v="131"/>
    <n v="281650"/>
    <m/>
  </r>
  <r>
    <x v="6"/>
    <s v="JUL"/>
    <x v="23"/>
    <s v="GRSM 4"/>
    <x v="0"/>
    <s v="GMM"/>
    <n v="189901"/>
    <n v="1602057"/>
    <x v="10"/>
    <x v="24"/>
    <s v="AGLIO OLIO"/>
    <n v="2150"/>
    <n v="69"/>
    <n v="148350"/>
    <m/>
  </r>
  <r>
    <x v="6"/>
    <s v="JUL"/>
    <x v="23"/>
    <s v="GRSM 4"/>
    <x v="0"/>
    <s v="GMM"/>
    <n v="189901"/>
    <n v="1602057"/>
    <x v="10"/>
    <x v="24"/>
    <s v="GORENG"/>
    <n v="2150"/>
    <n v="228"/>
    <n v="490200"/>
    <n v="160"/>
  </r>
  <r>
    <x v="6"/>
    <s v="JUL"/>
    <x v="23"/>
    <s v="GRSM 4"/>
    <x v="0"/>
    <s v="GMM"/>
    <n v="103277"/>
    <n v="6300700"/>
    <x v="11"/>
    <x v="25"/>
    <s v="BOLOGNESE"/>
    <n v="3000"/>
    <n v="50"/>
    <n v="150000"/>
    <m/>
  </r>
  <r>
    <x v="6"/>
    <s v="JUL"/>
    <x v="23"/>
    <s v="GRSM 4"/>
    <x v="0"/>
    <s v="GMM"/>
    <n v="103277"/>
    <n v="6300700"/>
    <x v="11"/>
    <x v="25"/>
    <s v="CARBONARA"/>
    <n v="3000"/>
    <n v="45"/>
    <n v="135000"/>
    <m/>
  </r>
  <r>
    <x v="6"/>
    <s v="JUL"/>
    <x v="23"/>
    <s v="GRSM 4"/>
    <x v="0"/>
    <s v="GMM"/>
    <n v="103277"/>
    <n v="6300700"/>
    <x v="11"/>
    <x v="25"/>
    <s v="AGLIO OLIO"/>
    <n v="3000"/>
    <n v="35"/>
    <n v="105000"/>
    <m/>
  </r>
  <r>
    <x v="6"/>
    <s v="JUL"/>
    <x v="23"/>
    <s v="GRSM 4"/>
    <x v="0"/>
    <s v="GMM"/>
    <n v="103277"/>
    <n v="6300700"/>
    <x v="11"/>
    <x v="25"/>
    <s v="GORENG"/>
    <n v="3000"/>
    <n v="150"/>
    <n v="450000"/>
    <n v="160"/>
  </r>
  <r>
    <x v="6"/>
    <s v="JUL"/>
    <x v="24"/>
    <s v="GRSM 4"/>
    <x v="0"/>
    <s v="GMM"/>
    <n v="103277"/>
    <n v="6300700"/>
    <x v="11"/>
    <x v="25"/>
    <s v="BOLOGNESE"/>
    <n v="3000"/>
    <n v="50"/>
    <n v="150000"/>
    <m/>
  </r>
  <r>
    <x v="6"/>
    <s v="JUL"/>
    <x v="24"/>
    <s v="GRSM 4"/>
    <x v="0"/>
    <s v="GMM"/>
    <n v="103277"/>
    <n v="6300700"/>
    <x v="11"/>
    <x v="25"/>
    <s v="CARBONARA"/>
    <n v="3000"/>
    <n v="60"/>
    <n v="180000"/>
    <m/>
  </r>
  <r>
    <x v="6"/>
    <s v="JUL"/>
    <x v="24"/>
    <s v="GRSM 4"/>
    <x v="0"/>
    <s v="GMM"/>
    <n v="103277"/>
    <n v="6300700"/>
    <x v="11"/>
    <x v="25"/>
    <s v="AGLIO OLIO"/>
    <n v="3000"/>
    <n v="50"/>
    <n v="150000"/>
    <m/>
  </r>
  <r>
    <x v="6"/>
    <s v="JUL"/>
    <x v="24"/>
    <s v="GRSM 4"/>
    <x v="0"/>
    <s v="GMM"/>
    <n v="103277"/>
    <n v="6300700"/>
    <x v="11"/>
    <x v="25"/>
    <s v="GORENG"/>
    <n v="3000"/>
    <n v="120"/>
    <n v="360000"/>
    <n v="160"/>
  </r>
  <r>
    <x v="6"/>
    <s v="JUL"/>
    <x v="22"/>
    <s v="GRSM 4"/>
    <x v="0"/>
    <s v="GMM"/>
    <n v="189901"/>
    <n v="1602018"/>
    <x v="14"/>
    <x v="23"/>
    <s v="BOLOGNESE"/>
    <n v="3500"/>
    <n v="30"/>
    <n v="105000"/>
    <m/>
  </r>
  <r>
    <x v="6"/>
    <s v="JUL"/>
    <x v="22"/>
    <s v="GRSM 4"/>
    <x v="0"/>
    <s v="GMM"/>
    <n v="189901"/>
    <n v="1602018"/>
    <x v="14"/>
    <x v="23"/>
    <s v="CARBONARA"/>
    <n v="3500"/>
    <n v="30"/>
    <n v="105000"/>
    <m/>
  </r>
  <r>
    <x v="6"/>
    <s v="JUL"/>
    <x v="22"/>
    <s v="GRSM 4"/>
    <x v="0"/>
    <s v="GMM"/>
    <n v="189901"/>
    <n v="1602018"/>
    <x v="14"/>
    <x v="23"/>
    <s v="AGLIO OLIO"/>
    <n v="3500"/>
    <n v="15"/>
    <n v="52500"/>
    <m/>
  </r>
  <r>
    <x v="6"/>
    <s v="JUL"/>
    <x v="22"/>
    <s v="GRSM 4"/>
    <x v="0"/>
    <s v="GMM"/>
    <n v="189901"/>
    <n v="1602018"/>
    <x v="14"/>
    <x v="23"/>
    <s v="GORENG"/>
    <n v="3500"/>
    <n v="40"/>
    <n v="140000"/>
    <n v="160"/>
  </r>
  <r>
    <x v="6"/>
    <s v="JUL"/>
    <x v="23"/>
    <s v="GRSM 4"/>
    <x v="0"/>
    <s v="GMM"/>
    <n v="189901"/>
    <n v="1602018"/>
    <x v="14"/>
    <x v="23"/>
    <s v="BOLOGNESE"/>
    <n v="3500"/>
    <n v="25"/>
    <n v="87500"/>
    <m/>
  </r>
  <r>
    <x v="6"/>
    <s v="JUL"/>
    <x v="23"/>
    <s v="GRSM 4"/>
    <x v="0"/>
    <s v="GMM"/>
    <n v="189901"/>
    <n v="1602018"/>
    <x v="14"/>
    <x v="23"/>
    <s v="CARBONARA"/>
    <n v="3500"/>
    <n v="20"/>
    <n v="70000"/>
    <m/>
  </r>
  <r>
    <x v="6"/>
    <s v="JUL"/>
    <x v="23"/>
    <s v="GRSM 4"/>
    <x v="0"/>
    <s v="GMM"/>
    <n v="189901"/>
    <n v="1602018"/>
    <x v="14"/>
    <x v="23"/>
    <s v="AGLIO OLIO"/>
    <n v="3500"/>
    <n v="15"/>
    <n v="52500"/>
    <m/>
  </r>
  <r>
    <x v="6"/>
    <s v="JUL"/>
    <x v="23"/>
    <s v="GRSM 4"/>
    <x v="0"/>
    <s v="GMM"/>
    <n v="189901"/>
    <n v="1602018"/>
    <x v="14"/>
    <x v="23"/>
    <s v="GORENG"/>
    <n v="3500"/>
    <n v="40"/>
    <n v="140000"/>
    <n v="160"/>
  </r>
  <r>
    <x v="6"/>
    <s v="JUL"/>
    <x v="24"/>
    <s v="GRSM 4"/>
    <x v="0"/>
    <s v="GMM"/>
    <n v="121409"/>
    <n v="5205014"/>
    <x v="12"/>
    <x v="26"/>
    <s v="BOLOGNESE"/>
    <n v="2100"/>
    <n v="198"/>
    <n v="415800"/>
    <m/>
  </r>
  <r>
    <x v="6"/>
    <s v="JUL"/>
    <x v="24"/>
    <s v="GRSM 4"/>
    <x v="0"/>
    <s v="GMM"/>
    <n v="121409"/>
    <n v="5205014"/>
    <x v="12"/>
    <x v="26"/>
    <s v="CARBONARA"/>
    <n v="2100"/>
    <n v="155"/>
    <n v="325500"/>
    <m/>
  </r>
  <r>
    <x v="6"/>
    <s v="JUL"/>
    <x v="24"/>
    <s v="GRSM 4"/>
    <x v="0"/>
    <s v="GMM"/>
    <n v="121409"/>
    <n v="5205014"/>
    <x v="12"/>
    <x v="26"/>
    <s v="AGLIO OLIO"/>
    <n v="2100"/>
    <n v="173"/>
    <n v="363300"/>
    <m/>
  </r>
  <r>
    <x v="6"/>
    <s v="JUL"/>
    <x v="24"/>
    <s v="GRSM 4"/>
    <x v="0"/>
    <s v="GMM"/>
    <n v="121409"/>
    <n v="5205014"/>
    <x v="12"/>
    <x v="26"/>
    <s v="GORENG"/>
    <n v="2100"/>
    <n v="248"/>
    <n v="520800"/>
    <n v="160"/>
  </r>
  <r>
    <x v="6"/>
    <s v="JUL"/>
    <x v="24"/>
    <s v="GRSM 4"/>
    <x v="0"/>
    <s v="GMM"/>
    <n v="121409"/>
    <n v="5205014"/>
    <x v="12"/>
    <x v="27"/>
    <s v="BOLOGNESE"/>
    <n v="2100"/>
    <n v="198"/>
    <n v="415800"/>
    <m/>
  </r>
  <r>
    <x v="6"/>
    <s v="JUL"/>
    <x v="24"/>
    <s v="GRSM 4"/>
    <x v="0"/>
    <s v="GMM"/>
    <n v="121409"/>
    <n v="5205014"/>
    <x v="12"/>
    <x v="27"/>
    <s v="CARBONARA"/>
    <n v="2100"/>
    <n v="155"/>
    <n v="325500"/>
    <m/>
  </r>
  <r>
    <x v="6"/>
    <s v="JUL"/>
    <x v="24"/>
    <s v="GRSM 4"/>
    <x v="0"/>
    <s v="GMM"/>
    <n v="121409"/>
    <n v="5205014"/>
    <x v="12"/>
    <x v="27"/>
    <s v="AGLIO OLIO"/>
    <n v="2100"/>
    <n v="173"/>
    <n v="363300"/>
    <m/>
  </r>
  <r>
    <x v="6"/>
    <s v="JUL"/>
    <x v="24"/>
    <s v="GRSM 4"/>
    <x v="0"/>
    <s v="GMM"/>
    <n v="121409"/>
    <n v="5205014"/>
    <x v="12"/>
    <x v="27"/>
    <s v="GORENG"/>
    <n v="2100"/>
    <n v="248"/>
    <n v="520800"/>
    <n v="160"/>
  </r>
  <r>
    <x v="6"/>
    <s v="JUL"/>
    <x v="24"/>
    <s v="GRSM 4"/>
    <x v="0"/>
    <s v="GMM"/>
    <n v="103257"/>
    <n v="9162509"/>
    <x v="4"/>
    <x v="7"/>
    <s v="BOLOGNESE"/>
    <n v="3100"/>
    <n v="83"/>
    <n v="257300"/>
    <m/>
  </r>
  <r>
    <x v="6"/>
    <s v="JUL"/>
    <x v="24"/>
    <s v="GRSM 4"/>
    <x v="0"/>
    <s v="GMM"/>
    <n v="103257"/>
    <n v="9162509"/>
    <x v="4"/>
    <x v="7"/>
    <s v="CARBONARA"/>
    <n v="3100"/>
    <n v="75"/>
    <n v="232500"/>
    <m/>
  </r>
  <r>
    <x v="6"/>
    <s v="JUL"/>
    <x v="24"/>
    <s v="GRSM 4"/>
    <x v="0"/>
    <s v="GMM"/>
    <n v="103257"/>
    <n v="9162509"/>
    <x v="4"/>
    <x v="7"/>
    <s v="AGLIO OLIO"/>
    <n v="3100"/>
    <n v="53"/>
    <n v="164300"/>
    <m/>
  </r>
  <r>
    <x v="6"/>
    <s v="JUL"/>
    <x v="24"/>
    <s v="GRSM 4"/>
    <x v="0"/>
    <s v="GMM"/>
    <n v="103257"/>
    <n v="9162509"/>
    <x v="4"/>
    <x v="7"/>
    <s v="GORENG"/>
    <n v="3100"/>
    <n v="96"/>
    <n v="297600"/>
    <n v="160"/>
  </r>
  <r>
    <x v="6"/>
    <s v="JUL"/>
    <x v="24"/>
    <s v="GRSM 4"/>
    <x v="0"/>
    <s v="GMM"/>
    <n v="103257"/>
    <n v="9162509"/>
    <x v="4"/>
    <x v="8"/>
    <s v="BOLOGNESE"/>
    <n v="3100"/>
    <n v="83"/>
    <n v="257300"/>
    <m/>
  </r>
  <r>
    <x v="6"/>
    <s v="JUL"/>
    <x v="24"/>
    <s v="GRSM 4"/>
    <x v="0"/>
    <s v="GMM"/>
    <n v="103257"/>
    <n v="9162509"/>
    <x v="4"/>
    <x v="8"/>
    <s v="CARBONARA"/>
    <n v="3100"/>
    <n v="75"/>
    <n v="232500"/>
    <m/>
  </r>
  <r>
    <x v="6"/>
    <s v="JUL"/>
    <x v="24"/>
    <s v="GRSM 4"/>
    <x v="0"/>
    <s v="GMM"/>
    <n v="103257"/>
    <n v="9162509"/>
    <x v="4"/>
    <x v="8"/>
    <s v="AGLIO OLIO"/>
    <n v="3100"/>
    <n v="53"/>
    <n v="164300"/>
    <m/>
  </r>
  <r>
    <x v="6"/>
    <s v="JUL"/>
    <x v="24"/>
    <s v="GRSM 4"/>
    <x v="0"/>
    <s v="GMM"/>
    <n v="103257"/>
    <n v="9162509"/>
    <x v="4"/>
    <x v="8"/>
    <s v="GORENG"/>
    <n v="3100"/>
    <n v="96"/>
    <n v="297600"/>
    <n v="160"/>
  </r>
  <r>
    <x v="6"/>
    <s v="JUL"/>
    <x v="24"/>
    <s v="GRSM 4"/>
    <x v="0"/>
    <s v="GMM"/>
    <n v="189901"/>
    <n v="1602057"/>
    <x v="10"/>
    <x v="15"/>
    <s v="BOLOGNESE"/>
    <n v="2150"/>
    <n v="128"/>
    <n v="275200"/>
    <m/>
  </r>
  <r>
    <x v="6"/>
    <s v="JUL"/>
    <x v="24"/>
    <s v="GRSM 4"/>
    <x v="0"/>
    <s v="GMM"/>
    <n v="189901"/>
    <n v="1602057"/>
    <x v="10"/>
    <x v="15"/>
    <s v="CARBONARA"/>
    <n v="2150"/>
    <n v="153"/>
    <n v="328950"/>
    <m/>
  </r>
  <r>
    <x v="6"/>
    <s v="JUL"/>
    <x v="24"/>
    <s v="GRSM 4"/>
    <x v="0"/>
    <s v="GMM"/>
    <n v="189901"/>
    <n v="1602057"/>
    <x v="10"/>
    <x v="15"/>
    <s v="AGLIO OLIO"/>
    <n v="2150"/>
    <n v="117"/>
    <n v="251550"/>
    <m/>
  </r>
  <r>
    <x v="6"/>
    <s v="JUL"/>
    <x v="24"/>
    <s v="GRSM 4"/>
    <x v="0"/>
    <s v="GMM"/>
    <n v="189901"/>
    <n v="1602057"/>
    <x v="10"/>
    <x v="15"/>
    <s v="GORENG"/>
    <n v="2150"/>
    <n v="253"/>
    <n v="543950"/>
    <n v="160"/>
  </r>
  <r>
    <x v="6"/>
    <s v="JUL"/>
    <x v="24"/>
    <s v="GRSM 4"/>
    <x v="0"/>
    <s v="GMM"/>
    <n v="189901"/>
    <n v="1602057"/>
    <x v="10"/>
    <x v="24"/>
    <s v="BOLOGNESE"/>
    <n v="2150"/>
    <n v="124"/>
    <n v="266600"/>
    <m/>
  </r>
  <r>
    <x v="6"/>
    <s v="JUL"/>
    <x v="24"/>
    <s v="GRSM 4"/>
    <x v="0"/>
    <s v="GMM"/>
    <n v="189901"/>
    <n v="1602057"/>
    <x v="10"/>
    <x v="24"/>
    <s v="CARBONARA"/>
    <n v="2150"/>
    <n v="149"/>
    <n v="320350"/>
    <m/>
  </r>
  <r>
    <x v="6"/>
    <s v="JUL"/>
    <x v="24"/>
    <s v="GRSM 4"/>
    <x v="0"/>
    <s v="GMM"/>
    <n v="189901"/>
    <n v="1602057"/>
    <x v="10"/>
    <x v="24"/>
    <s v="AGLIO OLIO"/>
    <n v="2150"/>
    <n v="110"/>
    <n v="236500"/>
    <m/>
  </r>
  <r>
    <x v="6"/>
    <s v="JUL"/>
    <x v="24"/>
    <s v="GRSM 4"/>
    <x v="0"/>
    <s v="GMM"/>
    <n v="189901"/>
    <n v="1602057"/>
    <x v="10"/>
    <x v="24"/>
    <s v="GORENG"/>
    <n v="2150"/>
    <n v="248"/>
    <n v="533200"/>
    <n v="160"/>
  </r>
  <r>
    <x v="6"/>
    <s v="JUL"/>
    <x v="24"/>
    <s v="GRSM 4"/>
    <x v="0"/>
    <s v="GMM"/>
    <n v="189901"/>
    <n v="1602016"/>
    <x v="16"/>
    <x v="32"/>
    <s v="BOLOGNESE"/>
    <n v="3400"/>
    <n v="120"/>
    <n v="408000"/>
    <m/>
  </r>
  <r>
    <x v="6"/>
    <s v="JUL"/>
    <x v="24"/>
    <s v="GRSM 4"/>
    <x v="0"/>
    <s v="GMM"/>
    <n v="189901"/>
    <n v="1602016"/>
    <x v="16"/>
    <x v="32"/>
    <s v="CARBONARA"/>
    <n v="3400"/>
    <n v="140"/>
    <n v="476000"/>
    <m/>
  </r>
  <r>
    <x v="6"/>
    <s v="JUL"/>
    <x v="24"/>
    <s v="GRSM 4"/>
    <x v="0"/>
    <s v="GMM"/>
    <n v="189901"/>
    <n v="1602016"/>
    <x v="16"/>
    <x v="32"/>
    <s v="AGLIO OLIO"/>
    <n v="3400"/>
    <n v="80"/>
    <n v="272000"/>
    <m/>
  </r>
  <r>
    <x v="6"/>
    <s v="JUL"/>
    <x v="24"/>
    <s v="GRSM 4"/>
    <x v="0"/>
    <s v="GMM"/>
    <n v="189901"/>
    <n v="1602016"/>
    <x v="16"/>
    <x v="32"/>
    <s v="GORENG"/>
    <n v="3400"/>
    <n v="160"/>
    <n v="544000"/>
    <n v="160"/>
  </r>
  <r>
    <x v="6"/>
    <s v="JUL"/>
    <x v="24"/>
    <s v="GRSM 4"/>
    <x v="0"/>
    <s v="GMM"/>
    <n v="189901"/>
    <n v="1602016"/>
    <x v="16"/>
    <x v="31"/>
    <s v="BOLOGNESE"/>
    <n v="3400"/>
    <n v="120"/>
    <n v="408000"/>
    <m/>
  </r>
  <r>
    <x v="6"/>
    <s v="JUL"/>
    <x v="24"/>
    <s v="GRSM 4"/>
    <x v="0"/>
    <s v="GMM"/>
    <n v="189901"/>
    <n v="1602016"/>
    <x v="16"/>
    <x v="31"/>
    <s v="CARBONARA"/>
    <n v="3400"/>
    <n v="140"/>
    <n v="476000"/>
    <m/>
  </r>
  <r>
    <x v="6"/>
    <s v="JUL"/>
    <x v="24"/>
    <s v="GRSM 4"/>
    <x v="0"/>
    <s v="GMM"/>
    <n v="189901"/>
    <n v="1602016"/>
    <x v="16"/>
    <x v="31"/>
    <s v="AGLIO OLIO"/>
    <n v="3400"/>
    <n v="80"/>
    <n v="272000"/>
    <m/>
  </r>
  <r>
    <x v="6"/>
    <s v="JUL"/>
    <x v="24"/>
    <s v="GRSM 4"/>
    <x v="0"/>
    <s v="GMM"/>
    <n v="189901"/>
    <n v="1602016"/>
    <x v="16"/>
    <x v="31"/>
    <s v="GORENG"/>
    <n v="3400"/>
    <n v="160"/>
    <n v="544000"/>
    <n v="160"/>
  </r>
  <r>
    <x v="6"/>
    <s v="JUL"/>
    <x v="24"/>
    <s v="GRSM 4"/>
    <x v="0"/>
    <s v="GMM"/>
    <n v="103259"/>
    <n v="9029389"/>
    <x v="7"/>
    <x v="17"/>
    <s v="BOLOGNESE"/>
    <n v="3000"/>
    <n v="72"/>
    <n v="216000"/>
    <m/>
  </r>
  <r>
    <x v="6"/>
    <s v="JUL"/>
    <x v="24"/>
    <s v="GRSM 4"/>
    <x v="0"/>
    <s v="GMM"/>
    <n v="103259"/>
    <n v="9029389"/>
    <x v="7"/>
    <x v="17"/>
    <s v="CARBONARA"/>
    <n v="3000"/>
    <n v="88"/>
    <n v="264000"/>
    <m/>
  </r>
  <r>
    <x v="6"/>
    <s v="JUL"/>
    <x v="24"/>
    <s v="GRSM 4"/>
    <x v="0"/>
    <s v="GMM"/>
    <n v="103259"/>
    <n v="9029389"/>
    <x v="7"/>
    <x v="17"/>
    <s v="AGLIO OLIO"/>
    <n v="3000"/>
    <n v="50"/>
    <n v="150000"/>
    <m/>
  </r>
  <r>
    <x v="6"/>
    <s v="JUL"/>
    <x v="24"/>
    <s v="GRSM 4"/>
    <x v="0"/>
    <s v="GMM"/>
    <n v="103259"/>
    <n v="9029389"/>
    <x v="7"/>
    <x v="17"/>
    <s v="GORENG"/>
    <n v="3000"/>
    <n v="220"/>
    <n v="660000"/>
    <n v="160"/>
  </r>
  <r>
    <x v="6"/>
    <s v="JUL"/>
    <x v="24"/>
    <s v="GRSM 4"/>
    <x v="0"/>
    <s v="GMM"/>
    <n v="103259"/>
    <n v="9029389"/>
    <x v="7"/>
    <x v="21"/>
    <s v="BOLOGNESE"/>
    <n v="3000"/>
    <n v="71"/>
    <n v="213000"/>
    <m/>
  </r>
  <r>
    <x v="6"/>
    <s v="JUL"/>
    <x v="24"/>
    <s v="GRSM 4"/>
    <x v="0"/>
    <s v="GMM"/>
    <n v="103259"/>
    <n v="9029389"/>
    <x v="7"/>
    <x v="21"/>
    <s v="CARBONARA"/>
    <n v="3000"/>
    <n v="86"/>
    <n v="258000"/>
    <m/>
  </r>
  <r>
    <x v="6"/>
    <s v="JUL"/>
    <x v="24"/>
    <s v="GRSM 4"/>
    <x v="0"/>
    <s v="GMM"/>
    <n v="103259"/>
    <n v="9029389"/>
    <x v="7"/>
    <x v="21"/>
    <s v="AGLIO OLIO"/>
    <n v="3000"/>
    <n v="42"/>
    <n v="126000"/>
    <m/>
  </r>
  <r>
    <x v="6"/>
    <s v="JUL"/>
    <x v="24"/>
    <s v="GRSM 4"/>
    <x v="0"/>
    <s v="GMM"/>
    <n v="103259"/>
    <n v="9029389"/>
    <x v="7"/>
    <x v="21"/>
    <s v="GORENG"/>
    <n v="3000"/>
    <n v="218"/>
    <n v="654000"/>
    <n v="160"/>
  </r>
  <r>
    <x v="6"/>
    <s v="JUL"/>
    <x v="24"/>
    <s v="GRSM 4"/>
    <x v="0"/>
    <s v="NKA"/>
    <n v="490034"/>
    <n v="209554"/>
    <x v="8"/>
    <x v="19"/>
    <s v="BOLOGNESE"/>
    <n v="3275"/>
    <n v="43"/>
    <n v="140825"/>
    <m/>
  </r>
  <r>
    <x v="6"/>
    <s v="JUL"/>
    <x v="24"/>
    <s v="GRSM 4"/>
    <x v="0"/>
    <s v="NKA"/>
    <n v="490034"/>
    <n v="209554"/>
    <x v="8"/>
    <x v="19"/>
    <s v="CARBONARA"/>
    <n v="3275"/>
    <n v="61"/>
    <n v="199775"/>
    <m/>
  </r>
  <r>
    <x v="6"/>
    <s v="JUL"/>
    <x v="24"/>
    <s v="GRSM 4"/>
    <x v="0"/>
    <s v="NKA"/>
    <n v="490034"/>
    <n v="209554"/>
    <x v="8"/>
    <x v="19"/>
    <s v="AGLIO OLIO"/>
    <n v="3275"/>
    <n v="25"/>
    <n v="81875"/>
    <m/>
  </r>
  <r>
    <x v="6"/>
    <s v="JUL"/>
    <x v="24"/>
    <s v="GRSM 4"/>
    <x v="0"/>
    <s v="NKA"/>
    <n v="490034"/>
    <n v="209554"/>
    <x v="8"/>
    <x v="19"/>
    <s v="GORENG"/>
    <n v="3275"/>
    <n v="166"/>
    <n v="543650"/>
    <n v="160"/>
  </r>
  <r>
    <x v="6"/>
    <s v="JUL"/>
    <x v="24"/>
    <s v="GRSM 4"/>
    <x v="0"/>
    <s v="NKA"/>
    <n v="490034"/>
    <n v="209554"/>
    <x v="8"/>
    <x v="18"/>
    <s v="BOLOGNESE"/>
    <n v="3275"/>
    <n v="43"/>
    <n v="140825"/>
    <m/>
  </r>
  <r>
    <x v="6"/>
    <s v="JUL"/>
    <x v="24"/>
    <s v="GRSM 4"/>
    <x v="0"/>
    <s v="NKA"/>
    <n v="490034"/>
    <n v="209554"/>
    <x v="8"/>
    <x v="18"/>
    <s v="CARBONARA"/>
    <n v="3275"/>
    <n v="61"/>
    <n v="199775"/>
    <m/>
  </r>
  <r>
    <x v="6"/>
    <s v="JUL"/>
    <x v="24"/>
    <s v="GRSM 4"/>
    <x v="0"/>
    <s v="NKA"/>
    <n v="490034"/>
    <n v="209554"/>
    <x v="8"/>
    <x v="18"/>
    <s v="AGLIO OLIO"/>
    <n v="3275"/>
    <n v="25"/>
    <n v="81875"/>
    <m/>
  </r>
  <r>
    <x v="6"/>
    <s v="JUL"/>
    <x v="24"/>
    <s v="GRSM 4"/>
    <x v="0"/>
    <s v="NKA"/>
    <n v="490034"/>
    <n v="209554"/>
    <x v="8"/>
    <x v="18"/>
    <s v="GORENG"/>
    <n v="3275"/>
    <n v="166"/>
    <n v="543650"/>
    <n v="160"/>
  </r>
  <r>
    <x v="6"/>
    <s v="JUL"/>
    <x v="24"/>
    <s v="GRSM 4"/>
    <x v="0"/>
    <s v="GMM"/>
    <n v="189901"/>
    <n v="1602018"/>
    <x v="14"/>
    <x v="23"/>
    <s v="BOLOGNESE"/>
    <n v="3500"/>
    <n v="15"/>
    <n v="52500"/>
    <m/>
  </r>
  <r>
    <x v="6"/>
    <s v="JUL"/>
    <x v="24"/>
    <s v="GRSM 4"/>
    <x v="0"/>
    <s v="GMM"/>
    <n v="189901"/>
    <n v="1602018"/>
    <x v="14"/>
    <x v="23"/>
    <s v="CARBONARA"/>
    <n v="3500"/>
    <n v="20"/>
    <n v="70000"/>
    <m/>
  </r>
  <r>
    <x v="6"/>
    <s v="JUL"/>
    <x v="24"/>
    <s v="GRSM 4"/>
    <x v="0"/>
    <s v="GMM"/>
    <n v="189901"/>
    <n v="1602018"/>
    <x v="14"/>
    <x v="23"/>
    <s v="AGLIO OLIO"/>
    <n v="3500"/>
    <n v="5"/>
    <n v="17500"/>
    <m/>
  </r>
  <r>
    <x v="6"/>
    <s v="JUL"/>
    <x v="22"/>
    <s v="GRSM 4"/>
    <x v="0"/>
    <s v="GMM"/>
    <n v="189901"/>
    <n v="1602018"/>
    <x v="14"/>
    <x v="23"/>
    <s v="GORENG"/>
    <n v="3500"/>
    <n v="70"/>
    <n v="245000"/>
    <m/>
  </r>
  <r>
    <x v="6"/>
    <s v="JUL"/>
    <x v="22"/>
    <s v="GRSM 5"/>
    <x v="1"/>
    <s v="GMM"/>
    <n v="170220"/>
    <n v="9000015"/>
    <x v="15"/>
    <x v="28"/>
    <s v="BOLOGNESE"/>
    <n v="2200"/>
    <n v="119"/>
    <n v="261800"/>
    <m/>
  </r>
  <r>
    <x v="6"/>
    <s v="JUL"/>
    <x v="22"/>
    <s v="GRSM 5"/>
    <x v="1"/>
    <s v="GMM"/>
    <n v="170220"/>
    <n v="9000015"/>
    <x v="15"/>
    <x v="28"/>
    <s v="CARBONARA"/>
    <n v="2200"/>
    <n v="91"/>
    <n v="200200"/>
    <m/>
  </r>
  <r>
    <x v="6"/>
    <s v="JUL"/>
    <x v="22"/>
    <s v="GRSM 5"/>
    <x v="1"/>
    <s v="GMM"/>
    <n v="170220"/>
    <n v="9000015"/>
    <x v="15"/>
    <x v="28"/>
    <s v="AGLIO OLIO"/>
    <n v="2200"/>
    <n v="39"/>
    <n v="85800"/>
    <m/>
  </r>
  <r>
    <x v="6"/>
    <s v="JUL"/>
    <x v="22"/>
    <s v="GRSM 5"/>
    <x v="1"/>
    <s v="GMM"/>
    <n v="170220"/>
    <n v="9000015"/>
    <x v="15"/>
    <x v="28"/>
    <s v="GORENG"/>
    <n v="2200"/>
    <n v="395"/>
    <n v="869000"/>
    <n v="120"/>
  </r>
  <r>
    <x v="6"/>
    <s v="JUL"/>
    <x v="22"/>
    <s v="GRSM 5"/>
    <x v="1"/>
    <s v="GMM"/>
    <n v="170220"/>
    <n v="9000015"/>
    <x v="15"/>
    <x v="29"/>
    <s v="BOLOGNESE"/>
    <n v="2200"/>
    <n v="119"/>
    <n v="261800"/>
    <m/>
  </r>
  <r>
    <x v="6"/>
    <s v="JUL"/>
    <x v="22"/>
    <s v="GRSM 5"/>
    <x v="1"/>
    <s v="GMM"/>
    <n v="170220"/>
    <n v="9000015"/>
    <x v="15"/>
    <x v="29"/>
    <s v="CARBONARA"/>
    <n v="2200"/>
    <n v="91"/>
    <n v="200200"/>
    <m/>
  </r>
  <r>
    <x v="6"/>
    <s v="JUL"/>
    <x v="22"/>
    <s v="GRSM 5"/>
    <x v="1"/>
    <s v="GMM"/>
    <n v="170220"/>
    <n v="9000015"/>
    <x v="15"/>
    <x v="29"/>
    <s v="AGLIO OLIO"/>
    <n v="2200"/>
    <n v="39"/>
    <n v="85800"/>
    <m/>
  </r>
  <r>
    <x v="6"/>
    <s v="JUL"/>
    <x v="22"/>
    <s v="GRSM 5"/>
    <x v="1"/>
    <s v="GMM"/>
    <n v="170220"/>
    <n v="9000015"/>
    <x v="15"/>
    <x v="29"/>
    <s v="GORENG"/>
    <n v="2200"/>
    <n v="395"/>
    <n v="869000"/>
    <n v="120"/>
  </r>
  <r>
    <x v="6"/>
    <s v="JUL"/>
    <x v="22"/>
    <s v="GRSM 5"/>
    <x v="1"/>
    <s v="GMM"/>
    <n v="170220"/>
    <n v="1901004"/>
    <x v="17"/>
    <x v="33"/>
    <s v="BOLOGNESE"/>
    <n v="2200"/>
    <n v="47"/>
    <n v="103400"/>
    <m/>
  </r>
  <r>
    <x v="6"/>
    <s v="JUL"/>
    <x v="22"/>
    <s v="GRSM 5"/>
    <x v="1"/>
    <s v="GMM"/>
    <n v="170220"/>
    <n v="1901004"/>
    <x v="17"/>
    <x v="33"/>
    <s v="CARBONARA"/>
    <n v="2200"/>
    <n v="83"/>
    <n v="182600"/>
    <m/>
  </r>
  <r>
    <x v="6"/>
    <s v="JUL"/>
    <x v="22"/>
    <s v="GRSM 5"/>
    <x v="1"/>
    <s v="GMM"/>
    <n v="170220"/>
    <n v="1901004"/>
    <x v="17"/>
    <x v="33"/>
    <s v="AGLIO OLIO"/>
    <n v="2200"/>
    <n v="44"/>
    <n v="96800"/>
    <m/>
  </r>
  <r>
    <x v="6"/>
    <s v="JUL"/>
    <x v="22"/>
    <s v="GRSM 5"/>
    <x v="1"/>
    <s v="GMM"/>
    <n v="170220"/>
    <n v="1901004"/>
    <x v="17"/>
    <x v="33"/>
    <s v="GORENG"/>
    <n v="2200"/>
    <n v="97"/>
    <n v="213400"/>
    <n v="104"/>
  </r>
  <r>
    <x v="6"/>
    <s v="JUL"/>
    <x v="22"/>
    <s v="GRSM 5"/>
    <x v="1"/>
    <s v="GMM"/>
    <n v="170220"/>
    <n v="1901004"/>
    <x v="17"/>
    <x v="34"/>
    <s v="BOLOGNESE"/>
    <n v="2200"/>
    <n v="47"/>
    <n v="103400"/>
    <m/>
  </r>
  <r>
    <x v="6"/>
    <s v="JUL"/>
    <x v="22"/>
    <s v="GRSM 5"/>
    <x v="1"/>
    <s v="GMM"/>
    <n v="170220"/>
    <n v="1901004"/>
    <x v="17"/>
    <x v="34"/>
    <s v="CARBONARA"/>
    <n v="2200"/>
    <n v="83"/>
    <n v="182600"/>
    <m/>
  </r>
  <r>
    <x v="6"/>
    <s v="JUL"/>
    <x v="22"/>
    <s v="GRSM 5"/>
    <x v="1"/>
    <s v="GMM"/>
    <n v="170220"/>
    <n v="1901004"/>
    <x v="17"/>
    <x v="34"/>
    <s v="AGLIO OLIO"/>
    <n v="2200"/>
    <n v="44"/>
    <n v="96800"/>
    <m/>
  </r>
  <r>
    <x v="6"/>
    <s v="JUL"/>
    <x v="22"/>
    <s v="GRSM 5"/>
    <x v="1"/>
    <s v="GMM"/>
    <n v="170220"/>
    <n v="1901004"/>
    <x v="17"/>
    <x v="34"/>
    <s v="GORENG"/>
    <n v="2200"/>
    <n v="97"/>
    <n v="213400"/>
    <n v="104"/>
  </r>
  <r>
    <x v="6"/>
    <s v="JUL"/>
    <x v="22"/>
    <s v="GRSM 5"/>
    <x v="1"/>
    <s v="GMM"/>
    <n v="170220"/>
    <n v="9000015"/>
    <x v="18"/>
    <x v="35"/>
    <s v="BOLOGNESE"/>
    <n v="2200"/>
    <n v="81"/>
    <n v="178200"/>
    <m/>
  </r>
  <r>
    <x v="6"/>
    <s v="JUL"/>
    <x v="22"/>
    <s v="GRSM 5"/>
    <x v="1"/>
    <s v="GMM"/>
    <n v="170220"/>
    <n v="9000015"/>
    <x v="18"/>
    <x v="35"/>
    <s v="CARBONARA"/>
    <n v="2200"/>
    <n v="239"/>
    <n v="525800"/>
    <m/>
  </r>
  <r>
    <x v="6"/>
    <s v="JUL"/>
    <x v="22"/>
    <s v="GRSM 5"/>
    <x v="1"/>
    <s v="GMM"/>
    <n v="170220"/>
    <n v="9000015"/>
    <x v="18"/>
    <x v="35"/>
    <s v="AGLIO OLIO"/>
    <n v="2200"/>
    <n v="80"/>
    <n v="176000"/>
    <m/>
  </r>
  <r>
    <x v="6"/>
    <s v="JUL"/>
    <x v="22"/>
    <s v="GRSM 5"/>
    <x v="1"/>
    <s v="GMM"/>
    <n v="170220"/>
    <n v="9000015"/>
    <x v="18"/>
    <x v="35"/>
    <s v="GORENG"/>
    <n v="2200"/>
    <n v="240"/>
    <n v="528000"/>
    <n v="120"/>
  </r>
  <r>
    <x v="6"/>
    <s v="JUL"/>
    <x v="22"/>
    <s v="GRSM 5"/>
    <x v="1"/>
    <s v="GMM"/>
    <n v="170220"/>
    <n v="9000015"/>
    <x v="18"/>
    <x v="36"/>
    <s v="BOLOGNESE"/>
    <n v="2200"/>
    <n v="81"/>
    <n v="178200"/>
    <m/>
  </r>
  <r>
    <x v="6"/>
    <s v="JUL"/>
    <x v="22"/>
    <s v="GRSM 5"/>
    <x v="1"/>
    <s v="GMM"/>
    <n v="170220"/>
    <n v="9000015"/>
    <x v="18"/>
    <x v="36"/>
    <s v="CARBONARA"/>
    <n v="2200"/>
    <n v="239"/>
    <n v="525800"/>
    <m/>
  </r>
  <r>
    <x v="6"/>
    <s v="JUL"/>
    <x v="22"/>
    <s v="GRSM 5"/>
    <x v="1"/>
    <s v="GMM"/>
    <n v="170220"/>
    <n v="9000015"/>
    <x v="18"/>
    <x v="36"/>
    <s v="AGLIO OLIO"/>
    <n v="2200"/>
    <n v="80"/>
    <n v="176000"/>
    <m/>
  </r>
  <r>
    <x v="6"/>
    <s v="JUL"/>
    <x v="22"/>
    <s v="GRSM 5"/>
    <x v="1"/>
    <s v="GMM"/>
    <n v="170220"/>
    <n v="9000015"/>
    <x v="18"/>
    <x v="36"/>
    <s v="GORENG"/>
    <n v="2200"/>
    <n v="240"/>
    <n v="528000"/>
    <n v="120"/>
  </r>
  <r>
    <x v="6"/>
    <s v="JUL"/>
    <x v="22"/>
    <s v="GRSM 5"/>
    <x v="1"/>
    <s v="GMM"/>
    <n v="170220"/>
    <n v="1901019"/>
    <x v="19"/>
    <x v="37"/>
    <s v="BOLOGNESE"/>
    <n v="2200"/>
    <n v="71"/>
    <n v="156200"/>
    <m/>
  </r>
  <r>
    <x v="6"/>
    <s v="JUL"/>
    <x v="22"/>
    <s v="GRSM 5"/>
    <x v="1"/>
    <s v="GMM"/>
    <n v="170220"/>
    <n v="1901019"/>
    <x v="19"/>
    <x v="37"/>
    <s v="CARBONARA"/>
    <n v="2200"/>
    <n v="135"/>
    <n v="297000"/>
    <m/>
  </r>
  <r>
    <x v="6"/>
    <s v="JUL"/>
    <x v="22"/>
    <s v="GRSM 5"/>
    <x v="1"/>
    <s v="GMM"/>
    <n v="170220"/>
    <n v="1901019"/>
    <x v="19"/>
    <x v="37"/>
    <s v="AGLIO OLIO"/>
    <n v="2200"/>
    <n v="42"/>
    <n v="92400"/>
    <m/>
  </r>
  <r>
    <x v="6"/>
    <s v="JUL"/>
    <x v="22"/>
    <s v="GRSM 5"/>
    <x v="1"/>
    <s v="GMM"/>
    <n v="170220"/>
    <n v="1901019"/>
    <x v="19"/>
    <x v="37"/>
    <s v="GORENG"/>
    <n v="2200"/>
    <n v="93"/>
    <n v="204600"/>
    <m/>
  </r>
  <r>
    <x v="6"/>
    <s v="JUL"/>
    <x v="22"/>
    <s v="GRSM 5"/>
    <x v="1"/>
    <s v="GMM"/>
    <n v="170220"/>
    <n v="1901019"/>
    <x v="19"/>
    <x v="38"/>
    <s v="BOLOGNESE"/>
    <n v="2200"/>
    <n v="71"/>
    <n v="156200"/>
    <m/>
  </r>
  <r>
    <x v="6"/>
    <s v="JUL"/>
    <x v="22"/>
    <s v="GRSM 5"/>
    <x v="1"/>
    <s v="GMM"/>
    <n v="170220"/>
    <n v="1901019"/>
    <x v="19"/>
    <x v="38"/>
    <s v="CARBONARA"/>
    <n v="2200"/>
    <n v="135"/>
    <n v="297000"/>
    <m/>
  </r>
  <r>
    <x v="6"/>
    <s v="JUL"/>
    <x v="22"/>
    <s v="GRSM 5"/>
    <x v="1"/>
    <s v="GMM"/>
    <n v="170220"/>
    <n v="1901019"/>
    <x v="19"/>
    <x v="38"/>
    <s v="AGLIO OLIO"/>
    <n v="2200"/>
    <n v="42"/>
    <n v="92400"/>
    <m/>
  </r>
  <r>
    <x v="6"/>
    <s v="JUL"/>
    <x v="22"/>
    <s v="GRSM 5"/>
    <x v="1"/>
    <s v="GMM"/>
    <n v="170220"/>
    <n v="1901019"/>
    <x v="19"/>
    <x v="38"/>
    <s v="GORENG"/>
    <n v="2200"/>
    <n v="93"/>
    <n v="204600"/>
    <n v="0"/>
  </r>
  <r>
    <x v="6"/>
    <s v="JUL"/>
    <x v="23"/>
    <s v="GRSM 5"/>
    <x v="1"/>
    <s v="GMM"/>
    <n v="170220"/>
    <n v="9000015"/>
    <x v="15"/>
    <x v="28"/>
    <s v="BOLOGNESE"/>
    <n v="2200"/>
    <n v="75"/>
    <n v="165000"/>
    <m/>
  </r>
  <r>
    <x v="6"/>
    <s v="JUL"/>
    <x v="23"/>
    <s v="GRSM 5"/>
    <x v="1"/>
    <s v="GMM"/>
    <n v="170220"/>
    <n v="9000015"/>
    <x v="15"/>
    <x v="28"/>
    <s v="CARBONARA"/>
    <n v="2200"/>
    <n v="103"/>
    <n v="226600"/>
    <m/>
  </r>
  <r>
    <x v="6"/>
    <s v="JUL"/>
    <x v="23"/>
    <s v="GRSM 5"/>
    <x v="1"/>
    <s v="GMM"/>
    <n v="170220"/>
    <n v="9000015"/>
    <x v="15"/>
    <x v="28"/>
    <s v="AGLIO OLIO"/>
    <n v="2200"/>
    <n v="53"/>
    <n v="116600"/>
    <m/>
  </r>
  <r>
    <x v="6"/>
    <s v="JUL"/>
    <x v="23"/>
    <s v="GRSM 5"/>
    <x v="1"/>
    <s v="GMM"/>
    <n v="170220"/>
    <n v="9000015"/>
    <x v="15"/>
    <x v="28"/>
    <s v="GORENG"/>
    <n v="2200"/>
    <n v="187"/>
    <n v="411400"/>
    <n v="120"/>
  </r>
  <r>
    <x v="6"/>
    <s v="JUL"/>
    <x v="23"/>
    <s v="GRSM 5"/>
    <x v="1"/>
    <s v="GMM"/>
    <n v="170220"/>
    <n v="9000015"/>
    <x v="15"/>
    <x v="29"/>
    <s v="BOLOGNESE"/>
    <n v="2200"/>
    <n v="75"/>
    <n v="165000"/>
    <m/>
  </r>
  <r>
    <x v="6"/>
    <s v="JUL"/>
    <x v="23"/>
    <s v="GRSM 5"/>
    <x v="1"/>
    <s v="GMM"/>
    <n v="170220"/>
    <n v="9000015"/>
    <x v="15"/>
    <x v="29"/>
    <s v="CARBONARA"/>
    <n v="2200"/>
    <n v="103"/>
    <n v="226600"/>
    <m/>
  </r>
  <r>
    <x v="6"/>
    <s v="JUL"/>
    <x v="23"/>
    <s v="GRSM 5"/>
    <x v="1"/>
    <s v="GMM"/>
    <n v="170220"/>
    <n v="9000015"/>
    <x v="15"/>
    <x v="29"/>
    <s v="AGLIO OLIO"/>
    <n v="2200"/>
    <n v="53"/>
    <n v="116600"/>
    <m/>
  </r>
  <r>
    <x v="6"/>
    <s v="JUL"/>
    <x v="23"/>
    <s v="GRSM 5"/>
    <x v="1"/>
    <s v="GMM"/>
    <n v="170220"/>
    <n v="9000015"/>
    <x v="15"/>
    <x v="29"/>
    <s v="GORENG"/>
    <n v="2200"/>
    <n v="187"/>
    <n v="411400"/>
    <n v="120"/>
  </r>
  <r>
    <x v="6"/>
    <s v="JUL"/>
    <x v="23"/>
    <s v="GRSM 5"/>
    <x v="1"/>
    <s v="GMM"/>
    <n v="170220"/>
    <n v="1901019"/>
    <x v="19"/>
    <x v="37"/>
    <s v="BOLOGNESE"/>
    <n v="2200"/>
    <n v="93"/>
    <n v="204600"/>
    <m/>
  </r>
  <r>
    <x v="6"/>
    <s v="JUL"/>
    <x v="23"/>
    <s v="GRSM 5"/>
    <x v="1"/>
    <s v="GMM"/>
    <n v="170220"/>
    <n v="1901019"/>
    <x v="19"/>
    <x v="37"/>
    <s v="CARBONARA"/>
    <n v="2200"/>
    <n v="97"/>
    <n v="213400"/>
    <m/>
  </r>
  <r>
    <x v="6"/>
    <s v="JUL"/>
    <x v="23"/>
    <s v="GRSM 5"/>
    <x v="1"/>
    <s v="GMM"/>
    <n v="170220"/>
    <n v="1901019"/>
    <x v="19"/>
    <x v="37"/>
    <s v="AGLIO OLIO"/>
    <n v="2200"/>
    <n v="101"/>
    <n v="222200"/>
    <m/>
  </r>
  <r>
    <x v="6"/>
    <s v="JUL"/>
    <x v="23"/>
    <s v="GRSM 5"/>
    <x v="1"/>
    <s v="GMM"/>
    <n v="170220"/>
    <n v="1901019"/>
    <x v="19"/>
    <x v="37"/>
    <s v="GORENG"/>
    <n v="2200"/>
    <n v="255"/>
    <n v="561000"/>
    <n v="100"/>
  </r>
  <r>
    <x v="6"/>
    <s v="JUL"/>
    <x v="23"/>
    <s v="GRSM 5"/>
    <x v="1"/>
    <s v="GMM"/>
    <n v="170220"/>
    <n v="1901019"/>
    <x v="19"/>
    <x v="38"/>
    <s v="BOLOGNESE"/>
    <n v="2200"/>
    <n v="93"/>
    <n v="204600"/>
    <m/>
  </r>
  <r>
    <x v="6"/>
    <s v="JUL"/>
    <x v="23"/>
    <s v="GRSM 5"/>
    <x v="1"/>
    <s v="GMM"/>
    <n v="170220"/>
    <n v="1901019"/>
    <x v="19"/>
    <x v="38"/>
    <s v="CARBONARA"/>
    <n v="2200"/>
    <n v="97"/>
    <n v="213400"/>
    <m/>
  </r>
  <r>
    <x v="6"/>
    <s v="JUL"/>
    <x v="23"/>
    <s v="GRSM 5"/>
    <x v="1"/>
    <s v="GMM"/>
    <n v="170220"/>
    <n v="1901019"/>
    <x v="19"/>
    <x v="38"/>
    <s v="AGLIO OLIO"/>
    <n v="2200"/>
    <n v="101"/>
    <n v="222200"/>
    <m/>
  </r>
  <r>
    <x v="6"/>
    <s v="JUL"/>
    <x v="23"/>
    <s v="GRSM 5"/>
    <x v="1"/>
    <s v="GMM"/>
    <n v="170220"/>
    <n v="1901019"/>
    <x v="19"/>
    <x v="38"/>
    <s v="GORENG"/>
    <n v="2200"/>
    <n v="255"/>
    <n v="561000"/>
    <n v="100"/>
  </r>
  <r>
    <x v="6"/>
    <s v="JUL"/>
    <x v="23"/>
    <s v="GRSM 5"/>
    <x v="1"/>
    <s v="GMM"/>
    <n v="170220"/>
    <n v="9000015"/>
    <x v="18"/>
    <x v="35"/>
    <s v="BOLOGNESE"/>
    <n v="2200"/>
    <n v="87"/>
    <n v="191400"/>
    <m/>
  </r>
  <r>
    <x v="6"/>
    <s v="JUL"/>
    <x v="23"/>
    <s v="GRSM 5"/>
    <x v="1"/>
    <s v="GMM"/>
    <n v="170220"/>
    <n v="9000015"/>
    <x v="18"/>
    <x v="35"/>
    <s v="CARBONARA"/>
    <n v="2200"/>
    <n v="281"/>
    <n v="618200"/>
    <m/>
  </r>
  <r>
    <x v="6"/>
    <s v="JUL"/>
    <x v="23"/>
    <s v="GRSM 5"/>
    <x v="1"/>
    <s v="GMM"/>
    <n v="170220"/>
    <n v="9000015"/>
    <x v="18"/>
    <x v="35"/>
    <s v="AGLIO OLIO"/>
    <n v="2200"/>
    <n v="52"/>
    <n v="114400"/>
    <m/>
  </r>
  <r>
    <x v="6"/>
    <s v="JUL"/>
    <x v="23"/>
    <s v="GRSM 5"/>
    <x v="1"/>
    <s v="GMM"/>
    <n v="170220"/>
    <n v="9000015"/>
    <x v="18"/>
    <x v="35"/>
    <s v="GORENG"/>
    <n v="2200"/>
    <n v="310"/>
    <n v="682000"/>
    <n v="160"/>
  </r>
  <r>
    <x v="6"/>
    <s v="JUL"/>
    <x v="23"/>
    <s v="GRSM 5"/>
    <x v="1"/>
    <s v="GMM"/>
    <n v="170220"/>
    <n v="9000015"/>
    <x v="18"/>
    <x v="36"/>
    <s v="BOLOGNESE"/>
    <n v="2200"/>
    <n v="87"/>
    <n v="191400"/>
    <m/>
  </r>
  <r>
    <x v="6"/>
    <s v="JUL"/>
    <x v="23"/>
    <s v="GRSM 5"/>
    <x v="1"/>
    <s v="GMM"/>
    <n v="170220"/>
    <n v="9000015"/>
    <x v="18"/>
    <x v="36"/>
    <s v="CARBONARA"/>
    <n v="2200"/>
    <n v="281"/>
    <n v="618200"/>
    <m/>
  </r>
  <r>
    <x v="6"/>
    <s v="JUL"/>
    <x v="23"/>
    <s v="GRSM 5"/>
    <x v="1"/>
    <s v="GMM"/>
    <n v="170220"/>
    <n v="9000015"/>
    <x v="18"/>
    <x v="36"/>
    <s v="AGLIO OLIO"/>
    <n v="2200"/>
    <n v="52"/>
    <n v="114400"/>
    <m/>
  </r>
  <r>
    <x v="6"/>
    <s v="JUL"/>
    <x v="23"/>
    <s v="GRSM 5"/>
    <x v="1"/>
    <s v="GMM"/>
    <n v="170220"/>
    <n v="9000015"/>
    <x v="18"/>
    <x v="36"/>
    <s v="GORENG"/>
    <n v="2200"/>
    <n v="310"/>
    <n v="682000"/>
    <n v="160"/>
  </r>
  <r>
    <x v="6"/>
    <s v="JUL"/>
    <x v="23"/>
    <s v="GRSM 5"/>
    <x v="1"/>
    <s v="GMM"/>
    <n v="170220"/>
    <n v="1901004"/>
    <x v="17"/>
    <x v="33"/>
    <s v="BOLOGNESE"/>
    <n v="2200"/>
    <n v="103"/>
    <n v="226600"/>
    <m/>
  </r>
  <r>
    <x v="6"/>
    <s v="JUL"/>
    <x v="23"/>
    <s v="GRSM 5"/>
    <x v="1"/>
    <s v="GMM"/>
    <n v="170220"/>
    <n v="1901004"/>
    <x v="17"/>
    <x v="33"/>
    <s v="CARBONARA"/>
    <n v="2200"/>
    <n v="309"/>
    <n v="679800"/>
    <m/>
  </r>
  <r>
    <x v="6"/>
    <s v="JUL"/>
    <x v="23"/>
    <s v="GRSM 5"/>
    <x v="1"/>
    <s v="GMM"/>
    <n v="170220"/>
    <n v="1901004"/>
    <x v="17"/>
    <x v="33"/>
    <s v="AGLIO OLIO"/>
    <n v="2200"/>
    <n v="73"/>
    <n v="160600"/>
    <m/>
  </r>
  <r>
    <x v="6"/>
    <s v="JUL"/>
    <x v="23"/>
    <s v="GRSM 5"/>
    <x v="1"/>
    <s v="GMM"/>
    <n v="170220"/>
    <n v="1901004"/>
    <x v="17"/>
    <x v="33"/>
    <s v="GORENG"/>
    <n v="2200"/>
    <n v="277"/>
    <n v="609400"/>
    <n v="120"/>
  </r>
  <r>
    <x v="6"/>
    <s v="JUL"/>
    <x v="23"/>
    <s v="GRSM 5"/>
    <x v="1"/>
    <s v="GMM"/>
    <n v="170220"/>
    <n v="1901004"/>
    <x v="17"/>
    <x v="34"/>
    <s v="BOLOGNESE"/>
    <n v="2200"/>
    <n v="103"/>
    <n v="226600"/>
    <m/>
  </r>
  <r>
    <x v="6"/>
    <s v="JUL"/>
    <x v="23"/>
    <s v="GRSM 5"/>
    <x v="1"/>
    <s v="GMM"/>
    <n v="170220"/>
    <n v="1901004"/>
    <x v="17"/>
    <x v="34"/>
    <s v="CARBONARA"/>
    <n v="2200"/>
    <n v="309"/>
    <n v="679800"/>
    <m/>
  </r>
  <r>
    <x v="6"/>
    <s v="JUL"/>
    <x v="23"/>
    <s v="GRSM 5"/>
    <x v="1"/>
    <s v="GMM"/>
    <n v="170220"/>
    <n v="1901004"/>
    <x v="17"/>
    <x v="34"/>
    <s v="AGLIO OLIO"/>
    <n v="2200"/>
    <n v="73"/>
    <n v="160600"/>
    <m/>
  </r>
  <r>
    <x v="6"/>
    <s v="JUL"/>
    <x v="23"/>
    <s v="GRSM 5"/>
    <x v="1"/>
    <s v="GMM"/>
    <n v="170220"/>
    <n v="1901004"/>
    <x v="17"/>
    <x v="34"/>
    <s v="GORENG"/>
    <n v="2200"/>
    <n v="277"/>
    <n v="609400"/>
    <n v="120"/>
  </r>
  <r>
    <x v="6"/>
    <s v="JUL"/>
    <x v="24"/>
    <s v="GRSM 5"/>
    <x v="1"/>
    <s v="GMM"/>
    <n v="170220"/>
    <n v="9000015"/>
    <x v="15"/>
    <x v="28"/>
    <s v="BOLOGNESE"/>
    <n v="2200"/>
    <n v="148"/>
    <n v="325600"/>
    <m/>
  </r>
  <r>
    <x v="6"/>
    <s v="JUL"/>
    <x v="24"/>
    <s v="GRSM 5"/>
    <x v="1"/>
    <s v="GMM"/>
    <n v="170220"/>
    <n v="9000015"/>
    <x v="15"/>
    <x v="28"/>
    <s v="CARBONARA"/>
    <n v="2200"/>
    <n v="142"/>
    <n v="312400"/>
    <m/>
  </r>
  <r>
    <x v="6"/>
    <s v="JUL"/>
    <x v="24"/>
    <s v="GRSM 5"/>
    <x v="1"/>
    <s v="GMM"/>
    <n v="170220"/>
    <n v="9000015"/>
    <x v="15"/>
    <x v="28"/>
    <s v="AGLIO OLIO"/>
    <n v="2200"/>
    <n v="91"/>
    <n v="200200"/>
    <m/>
  </r>
  <r>
    <x v="6"/>
    <s v="JUL"/>
    <x v="24"/>
    <s v="GRSM 5"/>
    <x v="1"/>
    <s v="GMM"/>
    <n v="170220"/>
    <n v="9000015"/>
    <x v="15"/>
    <x v="28"/>
    <s v="GORENG"/>
    <n v="2200"/>
    <n v="352"/>
    <n v="774400"/>
    <n v="120"/>
  </r>
  <r>
    <x v="6"/>
    <s v="JUL"/>
    <x v="24"/>
    <s v="GRSM 5"/>
    <x v="1"/>
    <s v="GMM"/>
    <n v="170220"/>
    <n v="9000015"/>
    <x v="15"/>
    <x v="29"/>
    <s v="BOLOGNESE"/>
    <n v="2200"/>
    <n v="148"/>
    <n v="325600"/>
    <m/>
  </r>
  <r>
    <x v="6"/>
    <s v="JUL"/>
    <x v="24"/>
    <s v="GRSM 5"/>
    <x v="1"/>
    <s v="GMM"/>
    <n v="170220"/>
    <n v="9000015"/>
    <x v="15"/>
    <x v="29"/>
    <s v="CARBONARA"/>
    <n v="2200"/>
    <n v="142"/>
    <n v="312400"/>
    <m/>
  </r>
  <r>
    <x v="6"/>
    <s v="JUL"/>
    <x v="24"/>
    <s v="GRSM 5"/>
    <x v="1"/>
    <s v="GMM"/>
    <n v="170220"/>
    <n v="9000015"/>
    <x v="15"/>
    <x v="29"/>
    <s v="AGLIO OLIO"/>
    <n v="2200"/>
    <n v="91"/>
    <n v="200200"/>
    <m/>
  </r>
  <r>
    <x v="6"/>
    <s v="JUL"/>
    <x v="24"/>
    <s v="GRSM 5"/>
    <x v="1"/>
    <s v="GMM"/>
    <n v="170220"/>
    <n v="9000015"/>
    <x v="15"/>
    <x v="29"/>
    <s v="GORENG"/>
    <n v="2200"/>
    <n v="352"/>
    <n v="774400"/>
    <n v="120"/>
  </r>
  <r>
    <x v="6"/>
    <s v="JUL"/>
    <x v="24"/>
    <s v="GRSM 5"/>
    <x v="1"/>
    <s v="GMM"/>
    <n v="170220"/>
    <n v="1901019"/>
    <x v="19"/>
    <x v="37"/>
    <s v="BOLOGNESE"/>
    <n v="2200"/>
    <n v="96"/>
    <n v="211200"/>
    <m/>
  </r>
  <r>
    <x v="6"/>
    <s v="JUL"/>
    <x v="24"/>
    <s v="GRSM 5"/>
    <x v="1"/>
    <s v="GMM"/>
    <n v="170220"/>
    <n v="1901019"/>
    <x v="19"/>
    <x v="37"/>
    <s v="CARBONARA"/>
    <n v="2200"/>
    <n v="175"/>
    <n v="385000"/>
    <m/>
  </r>
  <r>
    <x v="6"/>
    <s v="JUL"/>
    <x v="24"/>
    <s v="GRSM 5"/>
    <x v="1"/>
    <s v="GMM"/>
    <n v="170220"/>
    <n v="1901019"/>
    <x v="19"/>
    <x v="37"/>
    <s v="AGLIO OLIO"/>
    <n v="2200"/>
    <n v="172"/>
    <n v="378400"/>
    <m/>
  </r>
  <r>
    <x v="6"/>
    <s v="JUL"/>
    <x v="24"/>
    <s v="GRSM 5"/>
    <x v="1"/>
    <s v="GMM"/>
    <n v="170220"/>
    <n v="1901019"/>
    <x v="19"/>
    <x v="37"/>
    <s v="GORENG"/>
    <n v="2200"/>
    <n v="380"/>
    <n v="836000"/>
    <n v="142"/>
  </r>
  <r>
    <x v="6"/>
    <s v="JUL"/>
    <x v="24"/>
    <s v="GRSM 5"/>
    <x v="1"/>
    <s v="GMM"/>
    <n v="170220"/>
    <n v="1901019"/>
    <x v="19"/>
    <x v="38"/>
    <s v="BOLOGNESE"/>
    <n v="2200"/>
    <n v="96"/>
    <n v="211200"/>
    <m/>
  </r>
  <r>
    <x v="6"/>
    <s v="JUL"/>
    <x v="24"/>
    <s v="GRSM 5"/>
    <x v="1"/>
    <s v="GMM"/>
    <n v="170220"/>
    <n v="1901019"/>
    <x v="19"/>
    <x v="38"/>
    <s v="CARBONARA"/>
    <n v="2200"/>
    <n v="175"/>
    <n v="385000"/>
    <m/>
  </r>
  <r>
    <x v="6"/>
    <s v="JUL"/>
    <x v="24"/>
    <s v="GRSM 5"/>
    <x v="1"/>
    <s v="GMM"/>
    <n v="170220"/>
    <n v="1901019"/>
    <x v="19"/>
    <x v="38"/>
    <s v="AGLIO OLIO"/>
    <n v="2200"/>
    <n v="172"/>
    <n v="378400"/>
    <m/>
  </r>
  <r>
    <x v="6"/>
    <s v="JUL"/>
    <x v="24"/>
    <s v="GRSM 5"/>
    <x v="1"/>
    <s v="GMM"/>
    <n v="170220"/>
    <n v="1901019"/>
    <x v="19"/>
    <x v="38"/>
    <s v="GORENG"/>
    <n v="2200"/>
    <n v="380"/>
    <n v="836000"/>
    <n v="142"/>
  </r>
  <r>
    <x v="6"/>
    <s v="JUL"/>
    <x v="24"/>
    <s v="GRSM 5"/>
    <x v="1"/>
    <s v="GMM"/>
    <n v="170220"/>
    <n v="1901004"/>
    <x v="17"/>
    <x v="33"/>
    <s v="BOLOGNESE"/>
    <n v="2200"/>
    <n v="120"/>
    <n v="264000"/>
    <m/>
  </r>
  <r>
    <x v="6"/>
    <s v="JUL"/>
    <x v="24"/>
    <s v="GRSM 5"/>
    <x v="1"/>
    <s v="GMM"/>
    <n v="170220"/>
    <n v="1901004"/>
    <x v="17"/>
    <x v="33"/>
    <s v="CARBONARA"/>
    <n v="2200"/>
    <n v="280"/>
    <n v="616000"/>
    <m/>
  </r>
  <r>
    <x v="6"/>
    <s v="JUL"/>
    <x v="24"/>
    <s v="GRSM 5"/>
    <x v="1"/>
    <s v="GMM"/>
    <n v="170220"/>
    <n v="1901004"/>
    <x v="17"/>
    <x v="33"/>
    <s v="AGLIO OLIO"/>
    <n v="2200"/>
    <n v="120"/>
    <n v="264000"/>
    <m/>
  </r>
  <r>
    <x v="6"/>
    <s v="JUL"/>
    <x v="24"/>
    <s v="GRSM 5"/>
    <x v="1"/>
    <s v="GMM"/>
    <n v="170220"/>
    <n v="1901004"/>
    <x v="17"/>
    <x v="33"/>
    <s v="GORENG"/>
    <n v="2200"/>
    <n v="240"/>
    <n v="528000"/>
    <n v="120"/>
  </r>
  <r>
    <x v="6"/>
    <s v="JUL"/>
    <x v="24"/>
    <s v="GRSM 5"/>
    <x v="1"/>
    <s v="GMM"/>
    <n v="170220"/>
    <n v="1901004"/>
    <x v="17"/>
    <x v="34"/>
    <s v="BOLOGNESE"/>
    <n v="2200"/>
    <n v="120"/>
    <n v="264000"/>
    <m/>
  </r>
  <r>
    <x v="6"/>
    <s v="JUL"/>
    <x v="24"/>
    <s v="GRSM 5"/>
    <x v="1"/>
    <s v="GMM"/>
    <n v="170220"/>
    <n v="1901004"/>
    <x v="17"/>
    <x v="34"/>
    <s v="CARBONARA"/>
    <n v="2200"/>
    <n v="280"/>
    <n v="616000"/>
    <m/>
  </r>
  <r>
    <x v="6"/>
    <s v="JUL"/>
    <x v="24"/>
    <s v="GRSM 5"/>
    <x v="1"/>
    <s v="GMM"/>
    <n v="170220"/>
    <n v="1901004"/>
    <x v="17"/>
    <x v="34"/>
    <s v="AGLIO OLIO"/>
    <n v="2200"/>
    <n v="120"/>
    <n v="264000"/>
    <m/>
  </r>
  <r>
    <x v="6"/>
    <s v="JUL"/>
    <x v="24"/>
    <s v="GRSM 5"/>
    <x v="1"/>
    <s v="GMM"/>
    <n v="170220"/>
    <n v="1901004"/>
    <x v="17"/>
    <x v="34"/>
    <s v="GORENG"/>
    <n v="2200"/>
    <n v="240"/>
    <n v="528000"/>
    <n v="120"/>
  </r>
  <r>
    <x v="6"/>
    <s v="JUL"/>
    <x v="24"/>
    <s v="GRSM 5"/>
    <x v="1"/>
    <s v="GMM"/>
    <n v="170220"/>
    <n v="9000015"/>
    <x v="18"/>
    <x v="35"/>
    <s v="BOLOGNESE"/>
    <n v="2200"/>
    <n v="126"/>
    <n v="277200"/>
    <m/>
  </r>
  <r>
    <x v="6"/>
    <s v="JUL"/>
    <x v="24"/>
    <s v="GRSM 5"/>
    <x v="1"/>
    <s v="GMM"/>
    <n v="170220"/>
    <n v="9000015"/>
    <x v="18"/>
    <x v="35"/>
    <s v="CARBONARA"/>
    <n v="2200"/>
    <n v="248"/>
    <n v="545600"/>
    <m/>
  </r>
  <r>
    <x v="6"/>
    <s v="JUL"/>
    <x v="24"/>
    <s v="GRSM 5"/>
    <x v="1"/>
    <s v="GMM"/>
    <n v="170220"/>
    <n v="9000015"/>
    <x v="18"/>
    <x v="35"/>
    <s v="AGLIO OLIO"/>
    <n v="2200"/>
    <n v="117"/>
    <n v="257400"/>
    <m/>
  </r>
  <r>
    <x v="6"/>
    <s v="JUL"/>
    <x v="24"/>
    <s v="GRSM 5"/>
    <x v="1"/>
    <s v="GMM"/>
    <n v="170220"/>
    <n v="9000015"/>
    <x v="18"/>
    <x v="35"/>
    <s v="GORENG"/>
    <n v="2200"/>
    <n v="279"/>
    <n v="613800"/>
    <n v="153"/>
  </r>
  <r>
    <x v="6"/>
    <s v="JUL"/>
    <x v="24"/>
    <s v="GRSM 5"/>
    <x v="1"/>
    <s v="GMM"/>
    <n v="170220"/>
    <n v="9000015"/>
    <x v="18"/>
    <x v="36"/>
    <s v="BOLOGNESE"/>
    <n v="2200"/>
    <n v="126"/>
    <n v="277200"/>
    <m/>
  </r>
  <r>
    <x v="6"/>
    <s v="JUL"/>
    <x v="24"/>
    <s v="GRSM 5"/>
    <x v="1"/>
    <s v="GMM"/>
    <n v="170220"/>
    <n v="9000015"/>
    <x v="18"/>
    <x v="36"/>
    <s v="CARBONARA"/>
    <n v="2200"/>
    <n v="248"/>
    <n v="545600"/>
    <m/>
  </r>
  <r>
    <x v="6"/>
    <s v="JUL"/>
    <x v="24"/>
    <s v="GRSM 5"/>
    <x v="1"/>
    <s v="GMM"/>
    <n v="170220"/>
    <n v="9000015"/>
    <x v="18"/>
    <x v="36"/>
    <s v="AGLIO OLIO"/>
    <n v="2200"/>
    <n v="117"/>
    <n v="257400"/>
    <m/>
  </r>
  <r>
    <x v="6"/>
    <s v="JUL"/>
    <x v="24"/>
    <s v="GRSM 5"/>
    <x v="1"/>
    <s v="GMM"/>
    <n v="170220"/>
    <n v="9000015"/>
    <x v="18"/>
    <x v="36"/>
    <s v="GORENG"/>
    <n v="2200"/>
    <n v="279"/>
    <n v="613800"/>
    <n v="153"/>
  </r>
  <r>
    <x v="6"/>
    <s v="JUL"/>
    <x v="22"/>
    <s v="GRSM 4"/>
    <x v="0"/>
    <s v="GMM"/>
    <n v="189901"/>
    <n v="1602018"/>
    <x v="14"/>
    <x v="22"/>
    <s v="BOLOGNESE"/>
    <n v="3500"/>
    <n v="30"/>
    <n v="105000"/>
    <m/>
  </r>
  <r>
    <x v="6"/>
    <s v="JUL"/>
    <x v="22"/>
    <s v="GRSM 4"/>
    <x v="0"/>
    <s v="GMM"/>
    <n v="189901"/>
    <n v="1602018"/>
    <x v="14"/>
    <x v="22"/>
    <s v="CARBONARA"/>
    <n v="3500"/>
    <n v="30"/>
    <n v="105000"/>
    <m/>
  </r>
  <r>
    <x v="6"/>
    <s v="JUL"/>
    <x v="22"/>
    <s v="GRSM 4"/>
    <x v="0"/>
    <s v="GMM"/>
    <n v="189901"/>
    <n v="1602018"/>
    <x v="14"/>
    <x v="22"/>
    <s v="AGLIO OLIO"/>
    <n v="3500"/>
    <n v="15"/>
    <n v="52500"/>
    <m/>
  </r>
  <r>
    <x v="6"/>
    <s v="JUL"/>
    <x v="22"/>
    <s v="GRSM 4"/>
    <x v="0"/>
    <s v="GMM"/>
    <n v="189901"/>
    <n v="1602018"/>
    <x v="14"/>
    <x v="22"/>
    <s v="GORENG"/>
    <n v="3500"/>
    <n v="40"/>
    <n v="140000"/>
    <n v="160"/>
  </r>
  <r>
    <x v="6"/>
    <s v="JUL"/>
    <x v="23"/>
    <s v="GRSM 4"/>
    <x v="0"/>
    <s v="GMM"/>
    <n v="189901"/>
    <n v="1602018"/>
    <x v="14"/>
    <x v="22"/>
    <s v="BOLOGNESE"/>
    <n v="3500"/>
    <n v="25"/>
    <n v="87500"/>
    <m/>
  </r>
  <r>
    <x v="6"/>
    <s v="JUL"/>
    <x v="23"/>
    <s v="GRSM 4"/>
    <x v="0"/>
    <s v="GMM"/>
    <n v="189901"/>
    <n v="1602018"/>
    <x v="14"/>
    <x v="22"/>
    <s v="CARBONARA"/>
    <n v="3500"/>
    <n v="20"/>
    <n v="70000"/>
    <m/>
  </r>
  <r>
    <x v="6"/>
    <s v="JUL"/>
    <x v="23"/>
    <s v="GRSM 4"/>
    <x v="0"/>
    <s v="GMM"/>
    <n v="189901"/>
    <n v="1602018"/>
    <x v="14"/>
    <x v="22"/>
    <s v="AGLIO OLIO"/>
    <n v="3500"/>
    <n v="15"/>
    <n v="52500"/>
    <m/>
  </r>
  <r>
    <x v="6"/>
    <s v="JUL"/>
    <x v="23"/>
    <s v="GRSM 4"/>
    <x v="0"/>
    <s v="GMM"/>
    <n v="189901"/>
    <n v="1602018"/>
    <x v="14"/>
    <x v="22"/>
    <s v="GORENG"/>
    <n v="3500"/>
    <n v="40"/>
    <n v="140000"/>
    <n v="160"/>
  </r>
  <r>
    <x v="6"/>
    <s v="JUL"/>
    <x v="24"/>
    <s v="GRSM 4"/>
    <x v="0"/>
    <s v="GMM"/>
    <n v="189901"/>
    <n v="1602018"/>
    <x v="14"/>
    <x v="22"/>
    <s v="BOLOGNESE"/>
    <n v="3500"/>
    <n v="15"/>
    <n v="52500"/>
    <m/>
  </r>
  <r>
    <x v="6"/>
    <s v="JUL"/>
    <x v="24"/>
    <s v="GRSM 4"/>
    <x v="0"/>
    <s v="GMM"/>
    <n v="189901"/>
    <n v="1602018"/>
    <x v="14"/>
    <x v="22"/>
    <s v="CARBONARA"/>
    <n v="3500"/>
    <n v="20"/>
    <n v="70000"/>
    <m/>
  </r>
  <r>
    <x v="6"/>
    <s v="JUL"/>
    <x v="24"/>
    <s v="GRSM 4"/>
    <x v="0"/>
    <s v="GMM"/>
    <n v="189901"/>
    <n v="1602018"/>
    <x v="14"/>
    <x v="22"/>
    <s v="AGLIO OLIO"/>
    <n v="3500"/>
    <n v="5"/>
    <n v="17500"/>
    <m/>
  </r>
  <r>
    <x v="6"/>
    <s v="JUL"/>
    <x v="24"/>
    <s v="GRSM 4"/>
    <x v="0"/>
    <s v="GMM"/>
    <n v="189901"/>
    <n v="1602018"/>
    <x v="14"/>
    <x v="22"/>
    <s v="GORENG"/>
    <n v="3500"/>
    <n v="70"/>
    <n v="245000"/>
    <n v="160"/>
  </r>
  <r>
    <x v="6"/>
    <s v="JUL"/>
    <x v="22"/>
    <s v="GRSM 4"/>
    <x v="0"/>
    <s v="GMM"/>
    <n v="189901"/>
    <n v="1602008"/>
    <x v="13"/>
    <x v="14"/>
    <s v="BOLOGNESE"/>
    <n v="3300"/>
    <n v="50"/>
    <n v="165000"/>
    <m/>
  </r>
  <r>
    <x v="6"/>
    <s v="JUL"/>
    <x v="22"/>
    <s v="GRSM 4"/>
    <x v="0"/>
    <s v="GMM"/>
    <n v="189901"/>
    <n v="1602008"/>
    <x v="13"/>
    <x v="14"/>
    <s v="CARBONARA"/>
    <n v="3300"/>
    <n v="60"/>
    <n v="198000"/>
    <m/>
  </r>
  <r>
    <x v="6"/>
    <s v="JUL"/>
    <x v="22"/>
    <s v="GRSM 4"/>
    <x v="0"/>
    <s v="GMM"/>
    <n v="189901"/>
    <n v="1602008"/>
    <x v="13"/>
    <x v="14"/>
    <s v="AGLIO OLIO"/>
    <n v="3300"/>
    <n v="60"/>
    <n v="198000"/>
    <m/>
  </r>
  <r>
    <x v="6"/>
    <s v="JUL"/>
    <x v="22"/>
    <s v="GRSM 4"/>
    <x v="0"/>
    <s v="GMM"/>
    <n v="189901"/>
    <n v="1602008"/>
    <x v="13"/>
    <x v="14"/>
    <s v="GORENG"/>
    <n v="3300"/>
    <n v="80"/>
    <n v="264000"/>
    <n v="160"/>
  </r>
  <r>
    <x v="6"/>
    <s v="JUL"/>
    <x v="23"/>
    <s v="GRSM 4"/>
    <x v="0"/>
    <s v="GMM"/>
    <n v="189901"/>
    <n v="1602008"/>
    <x v="13"/>
    <x v="14"/>
    <s v="BOLOGNESE"/>
    <n v="3300"/>
    <n v="100"/>
    <n v="330000"/>
    <m/>
  </r>
  <r>
    <x v="6"/>
    <s v="JUL"/>
    <x v="23"/>
    <s v="GRSM 4"/>
    <x v="0"/>
    <s v="GMM"/>
    <n v="189901"/>
    <n v="1602008"/>
    <x v="13"/>
    <x v="14"/>
    <s v="CARBONARA"/>
    <n v="3300"/>
    <n v="60"/>
    <n v="198000"/>
    <m/>
  </r>
  <r>
    <x v="6"/>
    <s v="JUL"/>
    <x v="23"/>
    <s v="GRSM 4"/>
    <x v="0"/>
    <s v="GMM"/>
    <n v="189901"/>
    <n v="1602008"/>
    <x v="13"/>
    <x v="14"/>
    <s v="AGLIO OLIO"/>
    <n v="3300"/>
    <n v="100"/>
    <n v="330000"/>
    <m/>
  </r>
  <r>
    <x v="6"/>
    <s v="JUL"/>
    <x v="23"/>
    <s v="GRSM 4"/>
    <x v="0"/>
    <s v="GMM"/>
    <n v="189901"/>
    <n v="1602008"/>
    <x v="13"/>
    <x v="14"/>
    <s v="GORENG"/>
    <n v="3300"/>
    <n v="80"/>
    <n v="264000"/>
    <n v="160"/>
  </r>
  <r>
    <x v="6"/>
    <s v="JUL"/>
    <x v="24"/>
    <s v="GRSM 4"/>
    <x v="0"/>
    <s v="GMM"/>
    <n v="189901"/>
    <n v="1602008"/>
    <x v="13"/>
    <x v="14"/>
    <s v="BOLOGNESE"/>
    <n v="3300"/>
    <n v="50"/>
    <n v="165000"/>
    <m/>
  </r>
  <r>
    <x v="6"/>
    <s v="JUL"/>
    <x v="24"/>
    <s v="GRSM 4"/>
    <x v="0"/>
    <s v="GMM"/>
    <n v="189901"/>
    <n v="1602008"/>
    <x v="13"/>
    <x v="14"/>
    <s v="CARBONARA"/>
    <n v="3300"/>
    <n v="50"/>
    <n v="165000"/>
    <m/>
  </r>
  <r>
    <x v="6"/>
    <s v="JUL"/>
    <x v="24"/>
    <s v="GRSM 4"/>
    <x v="0"/>
    <s v="GMM"/>
    <n v="189901"/>
    <n v="1602008"/>
    <x v="13"/>
    <x v="14"/>
    <s v="AGLIO OLIO"/>
    <n v="3300"/>
    <n v="50"/>
    <n v="165000"/>
    <m/>
  </r>
  <r>
    <x v="6"/>
    <s v="JUL"/>
    <x v="24"/>
    <s v="GRSM 4"/>
    <x v="0"/>
    <s v="GMM"/>
    <n v="189901"/>
    <n v="1602008"/>
    <x v="13"/>
    <x v="14"/>
    <s v="GORENG"/>
    <n v="3300"/>
    <n v="50"/>
    <n v="165000"/>
    <n v="160"/>
  </r>
  <r>
    <x v="6"/>
    <s v="JUL"/>
    <x v="22"/>
    <s v="GRSM 4"/>
    <x v="0"/>
    <s v="GMM"/>
    <n v="103277"/>
    <n v="6300700"/>
    <x v="11"/>
    <x v="12"/>
    <s v="BOLOGNESE"/>
    <n v="3300"/>
    <n v="50"/>
    <n v="165000"/>
    <m/>
  </r>
  <r>
    <x v="6"/>
    <s v="JUL"/>
    <x v="22"/>
    <s v="GRSM 4"/>
    <x v="0"/>
    <s v="GMM"/>
    <n v="103277"/>
    <n v="6300700"/>
    <x v="11"/>
    <x v="12"/>
    <s v="CARBONARA"/>
    <n v="3300"/>
    <n v="45"/>
    <n v="148500"/>
    <m/>
  </r>
  <r>
    <x v="6"/>
    <s v="JUL"/>
    <x v="22"/>
    <s v="GRSM 4"/>
    <x v="0"/>
    <s v="GMM"/>
    <n v="103277"/>
    <n v="6300700"/>
    <x v="11"/>
    <x v="12"/>
    <s v="AGLIO OLIO"/>
    <n v="3300"/>
    <n v="35"/>
    <n v="115500"/>
    <m/>
  </r>
  <r>
    <x v="6"/>
    <s v="JUL"/>
    <x v="22"/>
    <s v="GRSM 4"/>
    <x v="0"/>
    <s v="GMM"/>
    <n v="103277"/>
    <n v="6300700"/>
    <x v="11"/>
    <x v="12"/>
    <s v="GORENG"/>
    <n v="3300"/>
    <n v="150"/>
    <n v="495000"/>
    <n v="160"/>
  </r>
  <r>
    <x v="6"/>
    <s v="JUL"/>
    <x v="23"/>
    <s v="GRSM 4"/>
    <x v="0"/>
    <s v="GMM"/>
    <n v="103277"/>
    <n v="6300700"/>
    <x v="11"/>
    <x v="12"/>
    <s v="BOLOGNESE"/>
    <n v="3300"/>
    <n v="55"/>
    <n v="181500"/>
    <m/>
  </r>
  <r>
    <x v="6"/>
    <s v="JUL"/>
    <x v="23"/>
    <s v="GRSM 4"/>
    <x v="0"/>
    <s v="GMM"/>
    <n v="103277"/>
    <n v="6300700"/>
    <x v="11"/>
    <x v="12"/>
    <s v="CARBONARA"/>
    <n v="3300"/>
    <n v="40"/>
    <n v="132000"/>
    <m/>
  </r>
  <r>
    <x v="6"/>
    <s v="JUL"/>
    <x v="23"/>
    <s v="GRSM 4"/>
    <x v="0"/>
    <s v="GMM"/>
    <n v="103277"/>
    <n v="6300700"/>
    <x v="11"/>
    <x v="12"/>
    <s v="AGLIO OLIO"/>
    <n v="3300"/>
    <n v="40"/>
    <n v="132000"/>
    <m/>
  </r>
  <r>
    <x v="6"/>
    <s v="JUL"/>
    <x v="23"/>
    <s v="GRSM 4"/>
    <x v="0"/>
    <s v="GMM"/>
    <n v="103277"/>
    <n v="6300700"/>
    <x v="11"/>
    <x v="12"/>
    <s v="GORENG"/>
    <n v="3300"/>
    <n v="150"/>
    <n v="495000"/>
    <n v="160"/>
  </r>
  <r>
    <x v="6"/>
    <s v="JUL"/>
    <x v="24"/>
    <s v="GRSM 4"/>
    <x v="0"/>
    <s v="GMM"/>
    <n v="103277"/>
    <n v="6300700"/>
    <x v="11"/>
    <x v="12"/>
    <s v="BOLOGNESE"/>
    <n v="3300"/>
    <n v="60"/>
    <n v="198000"/>
    <m/>
  </r>
  <r>
    <x v="6"/>
    <s v="JUL"/>
    <x v="24"/>
    <s v="GRSM 4"/>
    <x v="0"/>
    <s v="GMM"/>
    <n v="103277"/>
    <n v="6300700"/>
    <x v="11"/>
    <x v="12"/>
    <s v="CARBONARA"/>
    <n v="3300"/>
    <n v="50"/>
    <n v="165000"/>
    <m/>
  </r>
  <r>
    <x v="6"/>
    <s v="JUL"/>
    <x v="24"/>
    <s v="GRSM 4"/>
    <x v="0"/>
    <s v="GMM"/>
    <n v="103277"/>
    <n v="6300700"/>
    <x v="11"/>
    <x v="12"/>
    <s v="AGLIO OLIO"/>
    <n v="3300"/>
    <n v="50"/>
    <n v="165000"/>
    <m/>
  </r>
  <r>
    <x v="6"/>
    <s v="JUL"/>
    <x v="24"/>
    <s v="GRSM 4"/>
    <x v="0"/>
    <s v="GMM"/>
    <n v="103277"/>
    <n v="6300700"/>
    <x v="11"/>
    <x v="12"/>
    <s v="GORENG"/>
    <n v="3300"/>
    <n v="130"/>
    <n v="429000"/>
    <n v="160"/>
  </r>
  <r>
    <x v="6"/>
    <s v="JUL"/>
    <x v="22"/>
    <s v="GRSM 4"/>
    <x v="0"/>
    <s v="GMM"/>
    <n v="189901"/>
    <n v="1602008"/>
    <x v="13"/>
    <x v="9"/>
    <s v="BOLOGNESE"/>
    <n v="3300"/>
    <n v="60"/>
    <n v="198000"/>
    <m/>
  </r>
  <r>
    <x v="6"/>
    <s v="JUL"/>
    <x v="22"/>
    <s v="GRSM 4"/>
    <x v="0"/>
    <s v="GMM"/>
    <n v="189901"/>
    <n v="1602008"/>
    <x v="13"/>
    <x v="9"/>
    <s v="CARBONARA"/>
    <n v="3300"/>
    <n v="60"/>
    <n v="198000"/>
    <m/>
  </r>
  <r>
    <x v="6"/>
    <s v="JUL"/>
    <x v="22"/>
    <s v="GRSM 4"/>
    <x v="0"/>
    <s v="GMM"/>
    <n v="189901"/>
    <n v="1602008"/>
    <x v="13"/>
    <x v="9"/>
    <s v="AGLIO OLIO"/>
    <n v="3300"/>
    <n v="60"/>
    <n v="198000"/>
    <m/>
  </r>
  <r>
    <x v="6"/>
    <s v="JUL"/>
    <x v="22"/>
    <s v="GRSM 4"/>
    <x v="0"/>
    <s v="GMM"/>
    <n v="189901"/>
    <n v="1602008"/>
    <x v="13"/>
    <x v="9"/>
    <s v="GORENG"/>
    <n v="3300"/>
    <n v="70"/>
    <n v="231000"/>
    <n v="160"/>
  </r>
  <r>
    <x v="6"/>
    <s v="JUL"/>
    <x v="23"/>
    <s v="GRSM 4"/>
    <x v="0"/>
    <s v="GMM"/>
    <n v="189901"/>
    <n v="1602008"/>
    <x v="13"/>
    <x v="9"/>
    <s v="BOLOGNESE"/>
    <n v="3300"/>
    <n v="100"/>
    <n v="330000"/>
    <m/>
  </r>
  <r>
    <x v="6"/>
    <s v="JUL"/>
    <x v="23"/>
    <s v="GRSM 4"/>
    <x v="0"/>
    <s v="GMM"/>
    <n v="189901"/>
    <n v="1602008"/>
    <x v="13"/>
    <x v="9"/>
    <s v="CARBONARA"/>
    <n v="3300"/>
    <n v="70"/>
    <n v="231000"/>
    <m/>
  </r>
  <r>
    <x v="6"/>
    <s v="JUL"/>
    <x v="23"/>
    <s v="GRSM 4"/>
    <x v="0"/>
    <s v="GMM"/>
    <n v="189901"/>
    <n v="1602008"/>
    <x v="13"/>
    <x v="9"/>
    <s v="AGLIO OLIO"/>
    <n v="3300"/>
    <n v="60"/>
    <n v="198000"/>
    <m/>
  </r>
  <r>
    <x v="6"/>
    <s v="JUL"/>
    <x v="23"/>
    <s v="GRSM 4"/>
    <x v="0"/>
    <s v="GMM"/>
    <n v="189901"/>
    <n v="1602008"/>
    <x v="13"/>
    <x v="9"/>
    <s v="GORENG"/>
    <n v="3300"/>
    <n v="100"/>
    <n v="330000"/>
    <n v="160"/>
  </r>
  <r>
    <x v="6"/>
    <s v="JUL"/>
    <x v="24"/>
    <s v="GRSM 4"/>
    <x v="0"/>
    <s v="GMM"/>
    <n v="189901"/>
    <n v="1602008"/>
    <x v="13"/>
    <x v="39"/>
    <s v="BOLOGNESE"/>
    <n v="3300"/>
    <n v="50"/>
    <n v="165000"/>
    <m/>
  </r>
  <r>
    <x v="6"/>
    <s v="JUL"/>
    <x v="24"/>
    <s v="GRSM 4"/>
    <x v="0"/>
    <s v="GMM"/>
    <n v="189901"/>
    <n v="1602008"/>
    <x v="13"/>
    <x v="39"/>
    <s v="CARBONARA"/>
    <n v="3300"/>
    <n v="50"/>
    <n v="165000"/>
    <m/>
  </r>
  <r>
    <x v="6"/>
    <s v="JUL"/>
    <x v="24"/>
    <s v="GRSM 4"/>
    <x v="0"/>
    <s v="GMM"/>
    <n v="189901"/>
    <n v="1602008"/>
    <x v="13"/>
    <x v="39"/>
    <s v="AGLIO OLIO"/>
    <n v="3300"/>
    <n v="50"/>
    <n v="165000"/>
    <m/>
  </r>
  <r>
    <x v="6"/>
    <s v="JUL"/>
    <x v="24"/>
    <s v="GRSM 4"/>
    <x v="0"/>
    <s v="GMM"/>
    <n v="189901"/>
    <n v="1602008"/>
    <x v="13"/>
    <x v="39"/>
    <s v="GORENG"/>
    <n v="3300"/>
    <n v="50"/>
    <n v="165000"/>
    <n v="160"/>
  </r>
  <r>
    <x v="6"/>
    <s v="JUL"/>
    <x v="23"/>
    <s v="GRSM 6"/>
    <x v="2"/>
    <s v="GMM"/>
    <n v="103765"/>
    <n v="4307038"/>
    <x v="20"/>
    <x v="40"/>
    <s v="BOLOGNESE"/>
    <n v="2000"/>
    <n v="159"/>
    <n v="318000"/>
    <m/>
  </r>
  <r>
    <x v="6"/>
    <s v="JUL"/>
    <x v="23"/>
    <s v="GRSM 6"/>
    <x v="2"/>
    <s v="GMM"/>
    <n v="103765"/>
    <n v="4307038"/>
    <x v="20"/>
    <x v="40"/>
    <s v="CARBONARA"/>
    <n v="2000"/>
    <n v="180"/>
    <n v="360000"/>
    <m/>
  </r>
  <r>
    <x v="6"/>
    <s v="JUL"/>
    <x v="23"/>
    <s v="GRSM 6"/>
    <x v="2"/>
    <s v="GMM"/>
    <n v="103765"/>
    <n v="4307038"/>
    <x v="20"/>
    <x v="40"/>
    <s v="AGLIO OLIO"/>
    <n v="2000"/>
    <n v="171"/>
    <n v="342000"/>
    <m/>
  </r>
  <r>
    <x v="6"/>
    <s v="JUL"/>
    <x v="23"/>
    <s v="GRSM 6"/>
    <x v="2"/>
    <s v="GMM"/>
    <n v="103765"/>
    <n v="4307038"/>
    <x v="20"/>
    <x v="40"/>
    <s v="GORENG"/>
    <n v="2000"/>
    <n v="195"/>
    <n v="390000"/>
    <n v="160"/>
  </r>
  <r>
    <x v="6"/>
    <s v="JUL"/>
    <x v="23"/>
    <s v="GRSM 6"/>
    <x v="2"/>
    <s v="GMM"/>
    <n v="103765"/>
    <n v="4307038"/>
    <x v="20"/>
    <x v="41"/>
    <s v="BOLOGNESE"/>
    <n v="2000"/>
    <n v="159"/>
    <n v="318000"/>
    <m/>
  </r>
  <r>
    <x v="6"/>
    <s v="JUL"/>
    <x v="23"/>
    <s v="GRSM 6"/>
    <x v="2"/>
    <s v="GMM"/>
    <n v="103765"/>
    <n v="4307038"/>
    <x v="20"/>
    <x v="41"/>
    <s v="CARBONARA"/>
    <n v="2000"/>
    <n v="180"/>
    <n v="360000"/>
    <m/>
  </r>
  <r>
    <x v="6"/>
    <s v="JUL"/>
    <x v="23"/>
    <s v="GRSM 6"/>
    <x v="2"/>
    <s v="GMM"/>
    <n v="103765"/>
    <n v="4307038"/>
    <x v="20"/>
    <x v="41"/>
    <s v="AGLIO OLIO"/>
    <n v="2000"/>
    <n v="171"/>
    <n v="342000"/>
    <m/>
  </r>
  <r>
    <x v="6"/>
    <s v="JUL"/>
    <x v="23"/>
    <s v="GRSM 6"/>
    <x v="2"/>
    <s v="GMM"/>
    <n v="103765"/>
    <n v="4307038"/>
    <x v="20"/>
    <x v="41"/>
    <s v="GORENG"/>
    <n v="2000"/>
    <n v="195"/>
    <n v="390000"/>
    <n v="160"/>
  </r>
  <r>
    <x v="6"/>
    <s v="JUL"/>
    <x v="22"/>
    <s v="GRSM 6"/>
    <x v="2"/>
    <s v="GMM"/>
    <n v="211033"/>
    <n v="6467246"/>
    <x v="21"/>
    <x v="42"/>
    <s v="BOLOGNESE"/>
    <n v="2900"/>
    <n v="20"/>
    <n v="58000"/>
    <m/>
  </r>
  <r>
    <x v="6"/>
    <s v="JUL"/>
    <x v="22"/>
    <s v="GRSM 6"/>
    <x v="2"/>
    <s v="GMM"/>
    <n v="211033"/>
    <n v="6467246"/>
    <x v="21"/>
    <x v="42"/>
    <s v="CARBONARA"/>
    <n v="2900"/>
    <n v="56"/>
    <n v="162400"/>
    <m/>
  </r>
  <r>
    <x v="6"/>
    <s v="JUL"/>
    <x v="22"/>
    <s v="GRSM 6"/>
    <x v="2"/>
    <s v="GMM"/>
    <n v="211033"/>
    <n v="6467246"/>
    <x v="21"/>
    <x v="42"/>
    <s v="AGLIO OLIO"/>
    <n v="2900"/>
    <n v="21"/>
    <n v="60900"/>
    <m/>
  </r>
  <r>
    <x v="6"/>
    <s v="JUL"/>
    <x v="22"/>
    <s v="GRSM 6"/>
    <x v="2"/>
    <s v="GMM"/>
    <n v="211033"/>
    <n v="6467246"/>
    <x v="21"/>
    <x v="42"/>
    <s v="GORENG"/>
    <n v="2900"/>
    <n v="295"/>
    <n v="855500"/>
    <n v="160"/>
  </r>
  <r>
    <x v="6"/>
    <s v="JUL"/>
    <x v="22"/>
    <s v="GRSM 6"/>
    <x v="2"/>
    <s v="GMM"/>
    <n v="211033"/>
    <n v="6467246"/>
    <x v="21"/>
    <x v="43"/>
    <s v="BOLOGNESE"/>
    <n v="2900"/>
    <n v="20"/>
    <n v="58000"/>
    <m/>
  </r>
  <r>
    <x v="6"/>
    <s v="JUL"/>
    <x v="22"/>
    <s v="GRSM 6"/>
    <x v="2"/>
    <s v="GMM"/>
    <n v="211033"/>
    <n v="6467246"/>
    <x v="21"/>
    <x v="43"/>
    <s v="CARBONARA"/>
    <n v="2900"/>
    <n v="56"/>
    <n v="162400"/>
    <m/>
  </r>
  <r>
    <x v="6"/>
    <s v="JUL"/>
    <x v="22"/>
    <s v="GRSM 6"/>
    <x v="2"/>
    <s v="GMM"/>
    <n v="211033"/>
    <n v="6467246"/>
    <x v="21"/>
    <x v="43"/>
    <s v="AGLIO OLIO"/>
    <n v="2900"/>
    <n v="21"/>
    <n v="60900"/>
    <m/>
  </r>
  <r>
    <x v="6"/>
    <s v="JUL"/>
    <x v="22"/>
    <s v="GRSM 6"/>
    <x v="2"/>
    <s v="GMM"/>
    <n v="211033"/>
    <n v="6467246"/>
    <x v="21"/>
    <x v="43"/>
    <s v="GORENG"/>
    <n v="2900"/>
    <n v="295"/>
    <n v="855500"/>
    <n v="160"/>
  </r>
  <r>
    <x v="6"/>
    <s v="JUL"/>
    <x v="23"/>
    <s v="GRSM 6"/>
    <x v="2"/>
    <s v="GMM"/>
    <n v="211033"/>
    <n v="6467246"/>
    <x v="21"/>
    <x v="42"/>
    <s v="CARBONARA"/>
    <n v="2900"/>
    <n v="95"/>
    <n v="275500"/>
    <m/>
  </r>
  <r>
    <x v="6"/>
    <s v="JUL"/>
    <x v="23"/>
    <s v="GRSM 6"/>
    <x v="2"/>
    <s v="GMM"/>
    <n v="211033"/>
    <n v="6467246"/>
    <x v="21"/>
    <x v="42"/>
    <s v="AGLIO OLIO"/>
    <n v="2900"/>
    <n v="30"/>
    <n v="87000"/>
    <m/>
  </r>
  <r>
    <x v="6"/>
    <s v="JUL"/>
    <x v="23"/>
    <s v="GRSM 6"/>
    <x v="2"/>
    <s v="GMM"/>
    <n v="211033"/>
    <n v="6467246"/>
    <x v="21"/>
    <x v="42"/>
    <s v="GORENG"/>
    <n v="2900"/>
    <n v="320"/>
    <n v="928000"/>
    <n v="160"/>
  </r>
  <r>
    <x v="6"/>
    <s v="JUL"/>
    <x v="23"/>
    <s v="GRSM 6"/>
    <x v="2"/>
    <s v="GMM"/>
    <n v="211033"/>
    <n v="6467246"/>
    <x v="21"/>
    <x v="43"/>
    <s v="BOLOGNESE"/>
    <n v="2900"/>
    <n v="75"/>
    <n v="217500"/>
    <m/>
  </r>
  <r>
    <x v="6"/>
    <s v="JUL"/>
    <x v="23"/>
    <s v="GRSM 6"/>
    <x v="2"/>
    <s v="GMM"/>
    <n v="211033"/>
    <n v="6467246"/>
    <x v="21"/>
    <x v="43"/>
    <s v="CARBONARA"/>
    <n v="2900"/>
    <n v="95"/>
    <n v="275500"/>
    <m/>
  </r>
  <r>
    <x v="6"/>
    <s v="JUL"/>
    <x v="23"/>
    <s v="GRSM 6"/>
    <x v="2"/>
    <s v="GMM"/>
    <n v="211033"/>
    <n v="6467246"/>
    <x v="21"/>
    <x v="43"/>
    <s v="AGLIO OLIO"/>
    <n v="2900"/>
    <n v="30"/>
    <n v="87000"/>
    <m/>
  </r>
  <r>
    <x v="6"/>
    <s v="JUL"/>
    <x v="23"/>
    <s v="GRSM 6"/>
    <x v="2"/>
    <s v="GMM"/>
    <n v="211033"/>
    <n v="6467246"/>
    <x v="21"/>
    <x v="43"/>
    <s v="GORENG"/>
    <n v="2900"/>
    <n v="320"/>
    <n v="928000"/>
    <n v="160"/>
  </r>
  <r>
    <x v="6"/>
    <s v="JUL"/>
    <x v="23"/>
    <s v="GRSM 6"/>
    <x v="2"/>
    <s v="GMM"/>
    <n v="211163"/>
    <n v="3703219"/>
    <x v="22"/>
    <x v="44"/>
    <s v="BOLOGNESE"/>
    <n v="2900"/>
    <n v="68"/>
    <n v="197200"/>
    <m/>
  </r>
  <r>
    <x v="6"/>
    <s v="JUL"/>
    <x v="23"/>
    <s v="GRSM 6"/>
    <x v="2"/>
    <s v="GMM"/>
    <n v="211163"/>
    <n v="3703219"/>
    <x v="22"/>
    <x v="44"/>
    <s v="CARBONARA"/>
    <n v="2900"/>
    <n v="98"/>
    <n v="284200"/>
    <m/>
  </r>
  <r>
    <x v="6"/>
    <s v="JUL"/>
    <x v="23"/>
    <s v="GRSM 6"/>
    <x v="2"/>
    <s v="GMM"/>
    <n v="211163"/>
    <n v="3703219"/>
    <x v="22"/>
    <x v="44"/>
    <s v="AGLIO OLIO"/>
    <n v="2900"/>
    <n v="0"/>
    <n v="0"/>
    <m/>
  </r>
  <r>
    <x v="6"/>
    <s v="JUL"/>
    <x v="23"/>
    <s v="GRSM 6"/>
    <x v="2"/>
    <s v="GMM"/>
    <n v="211163"/>
    <n v="3703219"/>
    <x v="22"/>
    <x v="44"/>
    <s v="GORENG"/>
    <n v="2900"/>
    <n v="98"/>
    <n v="284200"/>
    <n v="70"/>
  </r>
  <r>
    <x v="6"/>
    <s v="JUL"/>
    <x v="23"/>
    <s v="GRSM 6"/>
    <x v="2"/>
    <s v="GMM"/>
    <n v="211163"/>
    <n v="3703219"/>
    <x v="22"/>
    <x v="45"/>
    <s v="BOLOGNESE"/>
    <n v="2900"/>
    <n v="68"/>
    <n v="197200"/>
    <m/>
  </r>
  <r>
    <x v="6"/>
    <s v="JUL"/>
    <x v="23"/>
    <s v="GRSM 6"/>
    <x v="2"/>
    <s v="GMM"/>
    <n v="211163"/>
    <n v="3703219"/>
    <x v="22"/>
    <x v="45"/>
    <s v="CARBONARA"/>
    <n v="2900"/>
    <n v="98"/>
    <n v="284200"/>
    <m/>
  </r>
  <r>
    <x v="6"/>
    <s v="JUL"/>
    <x v="23"/>
    <s v="GRSM 6"/>
    <x v="2"/>
    <s v="GMM"/>
    <n v="211163"/>
    <n v="3703219"/>
    <x v="22"/>
    <x v="45"/>
    <s v="AGLIO OLIO"/>
    <n v="2900"/>
    <n v="0"/>
    <n v="0"/>
    <m/>
  </r>
  <r>
    <x v="6"/>
    <s v="JUL"/>
    <x v="23"/>
    <s v="GRSM 6"/>
    <x v="2"/>
    <s v="GMM"/>
    <n v="211163"/>
    <n v="3703219"/>
    <x v="22"/>
    <x v="45"/>
    <s v="GORENG"/>
    <n v="2900"/>
    <n v="98"/>
    <n v="284200"/>
    <n v="70"/>
  </r>
  <r>
    <x v="6"/>
    <s v="JUL"/>
    <x v="23"/>
    <s v="GRSM 6"/>
    <x v="2"/>
    <s v="GMM"/>
    <n v="211163"/>
    <n v="3703215"/>
    <x v="23"/>
    <x v="46"/>
    <s v="BOLOGNESE"/>
    <n v="5800"/>
    <n v="0"/>
    <n v="0"/>
    <m/>
  </r>
  <r>
    <x v="6"/>
    <s v="JUL"/>
    <x v="23"/>
    <s v="GRSM 6"/>
    <x v="2"/>
    <s v="GMM"/>
    <n v="211163"/>
    <n v="3703215"/>
    <x v="23"/>
    <x v="46"/>
    <s v="CARBONARA"/>
    <n v="5800"/>
    <n v="4"/>
    <n v="23200"/>
    <m/>
  </r>
  <r>
    <x v="6"/>
    <s v="JUL"/>
    <x v="23"/>
    <s v="GRSM 6"/>
    <x v="2"/>
    <s v="GMM"/>
    <n v="211163"/>
    <n v="3703215"/>
    <x v="23"/>
    <x v="46"/>
    <s v="AGLIO OLIO"/>
    <n v="5800"/>
    <n v="2"/>
    <n v="11600"/>
    <m/>
  </r>
  <r>
    <x v="6"/>
    <s v="JUL"/>
    <x v="23"/>
    <s v="GRSM 6"/>
    <x v="2"/>
    <s v="GMM"/>
    <n v="211163"/>
    <n v="3703215"/>
    <x v="23"/>
    <x v="46"/>
    <s v="GORENG"/>
    <n v="5800"/>
    <n v="72"/>
    <n v="417600"/>
    <n v="30"/>
  </r>
  <r>
    <x v="6"/>
    <s v="JUL"/>
    <x v="23"/>
    <s v="GRSM 6"/>
    <x v="2"/>
    <s v="GMM"/>
    <n v="211163"/>
    <n v="3703215"/>
    <x v="23"/>
    <x v="47"/>
    <s v="BOLOGNESE"/>
    <n v="5800"/>
    <n v="0"/>
    <n v="0"/>
    <m/>
  </r>
  <r>
    <x v="6"/>
    <s v="JUL"/>
    <x v="23"/>
    <s v="GRSM 6"/>
    <x v="2"/>
    <s v="GMM"/>
    <n v="211163"/>
    <n v="3703215"/>
    <x v="23"/>
    <x v="47"/>
    <s v="CARBONARA"/>
    <n v="5800"/>
    <n v="4"/>
    <n v="23200"/>
    <m/>
  </r>
  <r>
    <x v="6"/>
    <s v="JUL"/>
    <x v="23"/>
    <s v="GRSM 6"/>
    <x v="2"/>
    <s v="GMM"/>
    <n v="211163"/>
    <n v="3703215"/>
    <x v="23"/>
    <x v="47"/>
    <s v="AGLIO OLIO"/>
    <n v="5800"/>
    <n v="2"/>
    <n v="11600"/>
    <m/>
  </r>
  <r>
    <x v="6"/>
    <s v="JUL"/>
    <x v="23"/>
    <s v="GRSM 6"/>
    <x v="2"/>
    <s v="GMM"/>
    <n v="211163"/>
    <n v="3703215"/>
    <x v="23"/>
    <x v="47"/>
    <s v="GORENG"/>
    <n v="5800"/>
    <n v="72"/>
    <n v="417600"/>
    <n v="30"/>
  </r>
  <r>
    <x v="6"/>
    <s v="JUL"/>
    <x v="23"/>
    <s v="GRSM 6"/>
    <x v="2"/>
    <s v="GMM"/>
    <n v="103765"/>
    <n v="4305267"/>
    <x v="24"/>
    <x v="48"/>
    <s v="BOLOGNESE"/>
    <n v="3000"/>
    <n v="168"/>
    <n v="504000"/>
    <m/>
  </r>
  <r>
    <x v="6"/>
    <s v="JUL"/>
    <x v="23"/>
    <s v="GRSM 6"/>
    <x v="2"/>
    <s v="GMM"/>
    <n v="103765"/>
    <n v="4305267"/>
    <x v="24"/>
    <x v="48"/>
    <s v="CARBONARA"/>
    <n v="3000"/>
    <n v="80"/>
    <n v="240000"/>
    <m/>
  </r>
  <r>
    <x v="6"/>
    <s v="JUL"/>
    <x v="23"/>
    <s v="GRSM 6"/>
    <x v="2"/>
    <s v="GMM"/>
    <n v="103765"/>
    <n v="4305267"/>
    <x v="24"/>
    <x v="48"/>
    <s v="AGLIO OLIO"/>
    <n v="3000"/>
    <n v="150"/>
    <n v="450000"/>
    <m/>
  </r>
  <r>
    <x v="6"/>
    <s v="JUL"/>
    <x v="23"/>
    <s v="GRSM 6"/>
    <x v="2"/>
    <s v="GMM"/>
    <n v="103765"/>
    <n v="4305267"/>
    <x v="24"/>
    <x v="48"/>
    <s v="GORENG"/>
    <n v="3000"/>
    <n v="120"/>
    <n v="360000"/>
    <n v="100"/>
  </r>
  <r>
    <x v="6"/>
    <s v="JUL"/>
    <x v="23"/>
    <s v="GRSM 6"/>
    <x v="2"/>
    <s v="GMM"/>
    <n v="103765"/>
    <n v="4305267"/>
    <x v="24"/>
    <x v="49"/>
    <s v="BOLOGNESE"/>
    <n v="3000"/>
    <n v="168"/>
    <n v="504000"/>
    <m/>
  </r>
  <r>
    <x v="6"/>
    <s v="JUL"/>
    <x v="23"/>
    <s v="GRSM 6"/>
    <x v="2"/>
    <s v="GMM"/>
    <n v="103765"/>
    <n v="4305267"/>
    <x v="24"/>
    <x v="49"/>
    <s v="CARBONARA"/>
    <n v="3000"/>
    <n v="80"/>
    <n v="240000"/>
    <m/>
  </r>
  <r>
    <x v="6"/>
    <s v="JUL"/>
    <x v="23"/>
    <s v="GRSM 6"/>
    <x v="2"/>
    <s v="GMM"/>
    <n v="103765"/>
    <n v="4305267"/>
    <x v="24"/>
    <x v="49"/>
    <s v="AGLIO OLIO"/>
    <n v="3000"/>
    <n v="150"/>
    <n v="450000"/>
    <m/>
  </r>
  <r>
    <x v="6"/>
    <s v="JUL"/>
    <x v="23"/>
    <s v="GRSM 6"/>
    <x v="2"/>
    <s v="GMM"/>
    <n v="103765"/>
    <n v="4305267"/>
    <x v="24"/>
    <x v="49"/>
    <s v="GORENG"/>
    <n v="3000"/>
    <n v="120"/>
    <n v="360000"/>
    <n v="100"/>
  </r>
  <r>
    <x v="6"/>
    <s v="JUL"/>
    <x v="24"/>
    <s v="GRSM 6"/>
    <x v="2"/>
    <s v="GMM"/>
    <n v="211033"/>
    <n v="6467246"/>
    <x v="21"/>
    <x v="42"/>
    <s v="BOLOGNESE"/>
    <n v="2900"/>
    <n v="81"/>
    <n v="234900"/>
    <m/>
  </r>
  <r>
    <x v="6"/>
    <s v="JUL"/>
    <x v="24"/>
    <s v="GRSM 6"/>
    <x v="2"/>
    <s v="GMM"/>
    <n v="211033"/>
    <n v="6467246"/>
    <x v="21"/>
    <x v="42"/>
    <s v="CARBONARA"/>
    <n v="2900"/>
    <n v="142"/>
    <n v="411800"/>
    <m/>
  </r>
  <r>
    <x v="6"/>
    <s v="JUL"/>
    <x v="24"/>
    <s v="GRSM 6"/>
    <x v="2"/>
    <s v="GMM"/>
    <n v="211033"/>
    <n v="6467246"/>
    <x v="21"/>
    <x v="42"/>
    <s v="AGLIO OLIO"/>
    <n v="2900"/>
    <n v="54"/>
    <n v="156600"/>
    <m/>
  </r>
  <r>
    <x v="6"/>
    <s v="JUL"/>
    <x v="24"/>
    <s v="GRSM 6"/>
    <x v="2"/>
    <s v="GMM"/>
    <n v="211033"/>
    <n v="6467246"/>
    <x v="21"/>
    <x v="42"/>
    <s v="GORENG"/>
    <n v="2900"/>
    <n v="184"/>
    <n v="533600"/>
    <n v="160"/>
  </r>
  <r>
    <x v="6"/>
    <s v="JUL"/>
    <x v="24"/>
    <s v="GRSM 6"/>
    <x v="2"/>
    <s v="GMM"/>
    <n v="211033"/>
    <n v="6467246"/>
    <x v="21"/>
    <x v="43"/>
    <s v="BOLOGNESE"/>
    <n v="2900"/>
    <n v="81"/>
    <n v="234900"/>
    <m/>
  </r>
  <r>
    <x v="6"/>
    <s v="JUL"/>
    <x v="24"/>
    <s v="GRSM 6"/>
    <x v="2"/>
    <s v="GMM"/>
    <n v="211033"/>
    <n v="6467246"/>
    <x v="21"/>
    <x v="43"/>
    <s v="CARBONARA"/>
    <n v="2900"/>
    <n v="142"/>
    <n v="411800"/>
    <m/>
  </r>
  <r>
    <x v="6"/>
    <s v="JUL"/>
    <x v="24"/>
    <s v="GRSM 6"/>
    <x v="2"/>
    <s v="GMM"/>
    <n v="211033"/>
    <n v="6467246"/>
    <x v="21"/>
    <x v="43"/>
    <s v="AGLIO OLIO"/>
    <n v="2900"/>
    <n v="54"/>
    <n v="156600"/>
    <m/>
  </r>
  <r>
    <x v="6"/>
    <s v="JUL"/>
    <x v="24"/>
    <s v="GRSM 6"/>
    <x v="2"/>
    <s v="GMM"/>
    <n v="211033"/>
    <n v="6467246"/>
    <x v="21"/>
    <x v="43"/>
    <s v="GORENG"/>
    <n v="2900"/>
    <n v="184"/>
    <n v="533600"/>
    <n v="160"/>
  </r>
  <r>
    <x v="6"/>
    <s v="JUL"/>
    <x v="24"/>
    <s v="GRSM 6"/>
    <x v="2"/>
    <s v="GMM"/>
    <n v="103765"/>
    <n v="4307038"/>
    <x v="20"/>
    <x v="40"/>
    <s v="BOLOGNESE"/>
    <n v="2000"/>
    <n v="171"/>
    <n v="342000"/>
    <m/>
  </r>
  <r>
    <x v="6"/>
    <s v="JUL"/>
    <x v="24"/>
    <s v="GRSM 6"/>
    <x v="2"/>
    <s v="GMM"/>
    <n v="103765"/>
    <n v="4307038"/>
    <x v="20"/>
    <x v="40"/>
    <s v="CARBONARA"/>
    <n v="2000"/>
    <n v="159"/>
    <n v="318000"/>
    <m/>
  </r>
  <r>
    <x v="6"/>
    <s v="JUL"/>
    <x v="24"/>
    <s v="GRSM 6"/>
    <x v="2"/>
    <s v="GMM"/>
    <n v="103765"/>
    <n v="4307038"/>
    <x v="20"/>
    <x v="40"/>
    <s v="AGLIO OLIO"/>
    <n v="2000"/>
    <n v="165"/>
    <n v="330000"/>
    <m/>
  </r>
  <r>
    <x v="6"/>
    <s v="JUL"/>
    <x v="24"/>
    <s v="GRSM 6"/>
    <x v="2"/>
    <s v="GMM"/>
    <n v="103765"/>
    <n v="4307038"/>
    <x v="20"/>
    <x v="40"/>
    <s v="GORENG"/>
    <n v="2000"/>
    <n v="150"/>
    <n v="300000"/>
    <n v="130"/>
  </r>
  <r>
    <x v="6"/>
    <s v="JUL"/>
    <x v="24"/>
    <s v="GRSM 6"/>
    <x v="2"/>
    <s v="GMM"/>
    <n v="103765"/>
    <n v="4307038"/>
    <x v="20"/>
    <x v="41"/>
    <s v="BOLOGNESE"/>
    <n v="2000"/>
    <n v="171"/>
    <n v="342000"/>
    <m/>
  </r>
  <r>
    <x v="6"/>
    <s v="JUL"/>
    <x v="24"/>
    <s v="GRSM 6"/>
    <x v="2"/>
    <s v="GMM"/>
    <n v="103765"/>
    <n v="4307038"/>
    <x v="20"/>
    <x v="41"/>
    <s v="CARBONARA"/>
    <n v="2000"/>
    <n v="159"/>
    <n v="318000"/>
    <m/>
  </r>
  <r>
    <x v="6"/>
    <s v="JUL"/>
    <x v="24"/>
    <s v="GRSM 6"/>
    <x v="2"/>
    <s v="GMM"/>
    <n v="103765"/>
    <n v="4307038"/>
    <x v="20"/>
    <x v="41"/>
    <s v="AGLIO OLIO"/>
    <n v="2000"/>
    <n v="165"/>
    <n v="330000"/>
    <m/>
  </r>
  <r>
    <x v="6"/>
    <s v="JUL"/>
    <x v="24"/>
    <s v="GRSM 6"/>
    <x v="2"/>
    <s v="GMM"/>
    <n v="103765"/>
    <n v="4307038"/>
    <x v="20"/>
    <x v="41"/>
    <s v="GORENG"/>
    <n v="2000"/>
    <n v="150"/>
    <n v="300000"/>
    <n v="130"/>
  </r>
  <r>
    <x v="6"/>
    <s v="JUL"/>
    <x v="24"/>
    <s v="GRSM 6"/>
    <x v="2"/>
    <s v="GMM"/>
    <n v="211163"/>
    <n v="3703219"/>
    <x v="22"/>
    <x v="44"/>
    <s v="BOLOGNESE"/>
    <n v="2900"/>
    <n v="132"/>
    <n v="382800"/>
    <m/>
  </r>
  <r>
    <x v="6"/>
    <s v="JUL"/>
    <x v="24"/>
    <s v="GRSM 6"/>
    <x v="2"/>
    <s v="GMM"/>
    <n v="211163"/>
    <n v="3703219"/>
    <x v="22"/>
    <x v="44"/>
    <s v="CARBONARA"/>
    <n v="2900"/>
    <n v="156"/>
    <n v="452400"/>
    <m/>
  </r>
  <r>
    <x v="6"/>
    <s v="JUL"/>
    <x v="24"/>
    <s v="GRSM 6"/>
    <x v="2"/>
    <s v="GMM"/>
    <n v="211163"/>
    <n v="3703219"/>
    <x v="22"/>
    <x v="44"/>
    <s v="AGLIO OLIO"/>
    <n v="2900"/>
    <n v="0"/>
    <n v="0"/>
    <m/>
  </r>
  <r>
    <x v="6"/>
    <s v="JUL"/>
    <x v="24"/>
    <s v="GRSM 6"/>
    <x v="2"/>
    <s v="GMM"/>
    <n v="211163"/>
    <n v="3703219"/>
    <x v="22"/>
    <x v="44"/>
    <s v="GORENG"/>
    <n v="2900"/>
    <n v="273"/>
    <n v="791700"/>
    <n v="160"/>
  </r>
  <r>
    <x v="6"/>
    <s v="JUL"/>
    <x v="24"/>
    <s v="GRSM 6"/>
    <x v="2"/>
    <s v="GMM"/>
    <n v="211163"/>
    <n v="3703219"/>
    <x v="22"/>
    <x v="45"/>
    <s v="BOLOGNESE"/>
    <n v="2900"/>
    <n v="132"/>
    <n v="382800"/>
    <m/>
  </r>
  <r>
    <x v="6"/>
    <s v="JUL"/>
    <x v="24"/>
    <s v="GRSM 6"/>
    <x v="2"/>
    <s v="GMM"/>
    <n v="211163"/>
    <n v="3703219"/>
    <x v="22"/>
    <x v="45"/>
    <s v="CARBONARA"/>
    <n v="2900"/>
    <n v="156"/>
    <n v="452400"/>
    <m/>
  </r>
  <r>
    <x v="6"/>
    <s v="JUL"/>
    <x v="24"/>
    <s v="GRSM 6"/>
    <x v="2"/>
    <s v="GMM"/>
    <n v="211163"/>
    <n v="3703219"/>
    <x v="22"/>
    <x v="45"/>
    <s v="AGLIO OLIO"/>
    <n v="2900"/>
    <n v="0"/>
    <n v="0"/>
    <m/>
  </r>
  <r>
    <x v="6"/>
    <s v="JUL"/>
    <x v="24"/>
    <s v="GRSM 6"/>
    <x v="2"/>
    <s v="GMM"/>
    <n v="211163"/>
    <n v="3703219"/>
    <x v="22"/>
    <x v="45"/>
    <s v="GORENG"/>
    <n v="2900"/>
    <n v="273"/>
    <n v="791700"/>
    <n v="160"/>
  </r>
  <r>
    <x v="6"/>
    <s v="JUL"/>
    <x v="24"/>
    <s v="GRSM 6"/>
    <x v="2"/>
    <s v="GMM"/>
    <n v="103765"/>
    <n v="4305267"/>
    <x v="24"/>
    <x v="48"/>
    <s v="BOLOGNESE"/>
    <n v="3000"/>
    <n v="40"/>
    <n v="120000"/>
    <m/>
  </r>
  <r>
    <x v="6"/>
    <s v="JUL"/>
    <x v="24"/>
    <s v="GRSM 6"/>
    <x v="2"/>
    <s v="GMM"/>
    <n v="103765"/>
    <n v="4305267"/>
    <x v="24"/>
    <x v="48"/>
    <s v="CARBONARA"/>
    <n v="3000"/>
    <n v="220"/>
    <n v="660000"/>
    <m/>
  </r>
  <r>
    <x v="6"/>
    <s v="JUL"/>
    <x v="24"/>
    <s v="GRSM 6"/>
    <x v="2"/>
    <s v="GMM"/>
    <n v="103765"/>
    <n v="4305267"/>
    <x v="24"/>
    <x v="48"/>
    <s v="AGLIO OLIO"/>
    <n v="3000"/>
    <n v="180"/>
    <n v="540000"/>
    <m/>
  </r>
  <r>
    <x v="6"/>
    <s v="JUL"/>
    <x v="24"/>
    <s v="GRSM 6"/>
    <x v="2"/>
    <s v="GMM"/>
    <n v="103765"/>
    <n v="4305267"/>
    <x v="24"/>
    <x v="48"/>
    <s v="GORENG"/>
    <n v="3000"/>
    <n v="175"/>
    <n v="525000"/>
    <n v="150"/>
  </r>
  <r>
    <x v="6"/>
    <s v="JUL"/>
    <x v="24"/>
    <s v="GRSM 6"/>
    <x v="2"/>
    <s v="GMM"/>
    <n v="103765"/>
    <n v="4305267"/>
    <x v="24"/>
    <x v="49"/>
    <s v="BOLOGNESE"/>
    <n v="3000"/>
    <n v="40"/>
    <n v="120000"/>
    <m/>
  </r>
  <r>
    <x v="6"/>
    <s v="JUL"/>
    <x v="24"/>
    <s v="GRSM 6"/>
    <x v="2"/>
    <s v="GMM"/>
    <n v="103765"/>
    <n v="4305267"/>
    <x v="24"/>
    <x v="49"/>
    <s v="CARBONARA"/>
    <n v="3000"/>
    <n v="220"/>
    <n v="660000"/>
    <m/>
  </r>
  <r>
    <x v="6"/>
    <s v="JUL"/>
    <x v="24"/>
    <s v="GRSM 6"/>
    <x v="2"/>
    <s v="GMM"/>
    <n v="103765"/>
    <n v="4305267"/>
    <x v="24"/>
    <x v="49"/>
    <s v="AGLIO OLIO"/>
    <n v="3000"/>
    <n v="180"/>
    <n v="540000"/>
    <m/>
  </r>
  <r>
    <x v="6"/>
    <s v="JUL"/>
    <x v="24"/>
    <s v="GRSM 6"/>
    <x v="2"/>
    <s v="GMM"/>
    <n v="103765"/>
    <n v="4305267"/>
    <x v="24"/>
    <x v="49"/>
    <s v="GORENG"/>
    <n v="3000"/>
    <n v="175"/>
    <n v="525000"/>
    <n v="150"/>
  </r>
  <r>
    <x v="6"/>
    <s v="JUL"/>
    <x v="24"/>
    <s v="GRSM 6"/>
    <x v="2"/>
    <s v="GMM"/>
    <n v="211163"/>
    <n v="3703215"/>
    <x v="23"/>
    <x v="46"/>
    <s v="BOLOGNESE"/>
    <n v="5800"/>
    <n v="19"/>
    <n v="110200"/>
    <m/>
  </r>
  <r>
    <x v="6"/>
    <s v="JUL"/>
    <x v="24"/>
    <s v="GRSM 6"/>
    <x v="2"/>
    <s v="GMM"/>
    <n v="211163"/>
    <n v="3703215"/>
    <x v="23"/>
    <x v="46"/>
    <s v="CARBONARA"/>
    <n v="5800"/>
    <n v="33"/>
    <n v="191400"/>
    <m/>
  </r>
  <r>
    <x v="6"/>
    <s v="JUL"/>
    <x v="24"/>
    <s v="GRSM 6"/>
    <x v="2"/>
    <s v="GMM"/>
    <n v="211163"/>
    <n v="3703215"/>
    <x v="23"/>
    <x v="46"/>
    <s v="AGLIO OLIO"/>
    <n v="5800"/>
    <n v="0"/>
    <n v="0"/>
    <m/>
  </r>
  <r>
    <x v="6"/>
    <s v="JUL"/>
    <x v="24"/>
    <s v="GRSM 6"/>
    <x v="2"/>
    <s v="GMM"/>
    <n v="211163"/>
    <n v="3703215"/>
    <x v="23"/>
    <x v="46"/>
    <s v="GORENG"/>
    <n v="5800"/>
    <n v="110"/>
    <n v="638000"/>
    <n v="147"/>
  </r>
  <r>
    <x v="6"/>
    <s v="JUL"/>
    <x v="24"/>
    <s v="GRSM 6"/>
    <x v="2"/>
    <s v="GMM"/>
    <n v="211163"/>
    <n v="3703215"/>
    <x v="23"/>
    <x v="47"/>
    <s v="BOLOGNESE"/>
    <n v="5800"/>
    <n v="19"/>
    <n v="110200"/>
    <m/>
  </r>
  <r>
    <x v="6"/>
    <s v="JUL"/>
    <x v="24"/>
    <s v="GRSM 6"/>
    <x v="2"/>
    <s v="GMM"/>
    <n v="211163"/>
    <n v="3703215"/>
    <x v="23"/>
    <x v="47"/>
    <s v="CARBONARA"/>
    <n v="5800"/>
    <n v="33"/>
    <n v="191400"/>
    <m/>
  </r>
  <r>
    <x v="6"/>
    <s v="JUL"/>
    <x v="24"/>
    <s v="GRSM 6"/>
    <x v="2"/>
    <s v="GMM"/>
    <n v="211163"/>
    <n v="3703215"/>
    <x v="23"/>
    <x v="47"/>
    <s v="AGLIO OLIO"/>
    <n v="5800"/>
    <n v="0"/>
    <n v="0"/>
    <m/>
  </r>
  <r>
    <x v="6"/>
    <s v="JUL"/>
    <x v="24"/>
    <s v="GRSM 6"/>
    <x v="2"/>
    <s v="GMM"/>
    <n v="211163"/>
    <n v="3703215"/>
    <x v="23"/>
    <x v="47"/>
    <s v="GORENG"/>
    <n v="5800"/>
    <n v="110"/>
    <n v="638000"/>
    <n v="147"/>
  </r>
  <r>
    <x v="6"/>
    <s v="JUL"/>
    <x v="22"/>
    <s v="GRSM 6"/>
    <x v="2"/>
    <s v="GMM"/>
    <n v="103765"/>
    <n v="4305267"/>
    <x v="24"/>
    <x v="48"/>
    <s v="BOLOGNESE"/>
    <n v="3000"/>
    <n v="120"/>
    <n v="360000"/>
    <m/>
  </r>
  <r>
    <x v="6"/>
    <s v="JUL"/>
    <x v="22"/>
    <s v="GRSM 6"/>
    <x v="2"/>
    <s v="GMM"/>
    <n v="103765"/>
    <n v="4305267"/>
    <x v="24"/>
    <x v="48"/>
    <s v="CARBONARA"/>
    <n v="3000"/>
    <n v="180"/>
    <n v="540000"/>
    <m/>
  </r>
  <r>
    <x v="6"/>
    <s v="JUL"/>
    <x v="22"/>
    <s v="GRSM 6"/>
    <x v="2"/>
    <s v="GMM"/>
    <n v="103765"/>
    <n v="4305267"/>
    <x v="24"/>
    <x v="48"/>
    <s v="AGLIO OLIO"/>
    <n v="3000"/>
    <n v="60"/>
    <n v="180000"/>
    <m/>
  </r>
  <r>
    <x v="6"/>
    <s v="JUL"/>
    <x v="22"/>
    <s v="GRSM 6"/>
    <x v="2"/>
    <s v="GMM"/>
    <n v="103765"/>
    <n v="4305267"/>
    <x v="24"/>
    <x v="48"/>
    <s v="GORENG"/>
    <n v="3000"/>
    <n v="230"/>
    <n v="690000"/>
    <n v="130"/>
  </r>
  <r>
    <x v="6"/>
    <s v="JUL"/>
    <x v="22"/>
    <s v="GRSM 6"/>
    <x v="2"/>
    <s v="GMM"/>
    <n v="103765"/>
    <n v="4305267"/>
    <x v="24"/>
    <x v="49"/>
    <s v="BOLOGNESE"/>
    <n v="3000"/>
    <n v="120"/>
    <n v="360000"/>
    <m/>
  </r>
  <r>
    <x v="6"/>
    <s v="JUL"/>
    <x v="22"/>
    <s v="GRSM 6"/>
    <x v="2"/>
    <s v="GMM"/>
    <n v="103765"/>
    <n v="4305267"/>
    <x v="24"/>
    <x v="49"/>
    <s v="CARBONARA"/>
    <n v="3000"/>
    <n v="180"/>
    <n v="540000"/>
    <m/>
  </r>
  <r>
    <x v="6"/>
    <s v="JUL"/>
    <x v="22"/>
    <s v="GRSM 6"/>
    <x v="2"/>
    <s v="GMM"/>
    <n v="103765"/>
    <n v="4305267"/>
    <x v="24"/>
    <x v="49"/>
    <s v="AGLIO OLIO"/>
    <n v="3000"/>
    <n v="60"/>
    <n v="180000"/>
    <m/>
  </r>
  <r>
    <x v="6"/>
    <s v="JUL"/>
    <x v="22"/>
    <s v="GRSM 6"/>
    <x v="2"/>
    <s v="GMM"/>
    <n v="103765"/>
    <n v="4305267"/>
    <x v="24"/>
    <x v="49"/>
    <s v="GORENG"/>
    <n v="3000"/>
    <n v="230"/>
    <n v="690000"/>
    <n v="130"/>
  </r>
  <r>
    <x v="6"/>
    <s v="JUL"/>
    <x v="22"/>
    <s v="GRSM 6"/>
    <x v="2"/>
    <s v="GMM"/>
    <n v="211163"/>
    <n v="3703219"/>
    <x v="22"/>
    <x v="44"/>
    <s v="BOLOGNESE"/>
    <n v="2900"/>
    <n v="21"/>
    <n v="60900"/>
    <m/>
  </r>
  <r>
    <x v="6"/>
    <s v="JUL"/>
    <x v="22"/>
    <s v="GRSM 6"/>
    <x v="2"/>
    <s v="GMM"/>
    <n v="211163"/>
    <n v="3703219"/>
    <x v="22"/>
    <x v="44"/>
    <s v="CARBONARA"/>
    <n v="2900"/>
    <n v="60"/>
    <n v="174000"/>
    <m/>
  </r>
  <r>
    <x v="6"/>
    <s v="JUL"/>
    <x v="22"/>
    <s v="GRSM 6"/>
    <x v="2"/>
    <s v="GMM"/>
    <n v="211163"/>
    <n v="3703219"/>
    <x v="22"/>
    <x v="44"/>
    <s v="AGLIO OLIO"/>
    <n v="2900"/>
    <n v="0"/>
    <n v="0"/>
    <m/>
  </r>
  <r>
    <x v="6"/>
    <s v="JUL"/>
    <x v="22"/>
    <s v="GRSM 6"/>
    <x v="2"/>
    <s v="GMM"/>
    <n v="211163"/>
    <n v="3703219"/>
    <x v="22"/>
    <x v="44"/>
    <s v="GORENG"/>
    <n v="2900"/>
    <n v="65"/>
    <n v="188500"/>
    <n v="120"/>
  </r>
  <r>
    <x v="6"/>
    <s v="JUL"/>
    <x v="22"/>
    <s v="GRSM 6"/>
    <x v="2"/>
    <s v="GMM"/>
    <n v="211163"/>
    <n v="3703219"/>
    <x v="22"/>
    <x v="45"/>
    <s v="BOLOGNESE"/>
    <n v="2900"/>
    <n v="21"/>
    <n v="60900"/>
    <m/>
  </r>
  <r>
    <x v="6"/>
    <s v="JUL"/>
    <x v="22"/>
    <s v="GRSM 6"/>
    <x v="2"/>
    <s v="GMM"/>
    <n v="211163"/>
    <n v="3703219"/>
    <x v="22"/>
    <x v="45"/>
    <s v="CARBONARA"/>
    <n v="2900"/>
    <n v="60"/>
    <n v="174000"/>
    <m/>
  </r>
  <r>
    <x v="6"/>
    <s v="JUL"/>
    <x v="22"/>
    <s v="GRSM 6"/>
    <x v="2"/>
    <s v="GMM"/>
    <n v="211163"/>
    <n v="3703219"/>
    <x v="22"/>
    <x v="45"/>
    <s v="AGLIO OLIO"/>
    <n v="2900"/>
    <n v="0"/>
    <n v="0"/>
    <m/>
  </r>
  <r>
    <x v="6"/>
    <s v="JUL"/>
    <x v="22"/>
    <s v="GRSM 6"/>
    <x v="2"/>
    <s v="GMM"/>
    <n v="211163"/>
    <n v="3703219"/>
    <x v="22"/>
    <x v="45"/>
    <s v="GORENG"/>
    <n v="2900"/>
    <n v="65"/>
    <n v="188500"/>
    <n v="120"/>
  </r>
  <r>
    <x v="6"/>
    <s v="JUL"/>
    <x v="22"/>
    <s v="GRSM 6"/>
    <x v="2"/>
    <s v="GMM"/>
    <n v="103765"/>
    <n v="4307038"/>
    <x v="20"/>
    <x v="40"/>
    <s v="BOLOGNESE"/>
    <n v="2000"/>
    <n v="165"/>
    <n v="330000"/>
    <m/>
  </r>
  <r>
    <x v="6"/>
    <s v="JUL"/>
    <x v="22"/>
    <s v="GRSM 6"/>
    <x v="2"/>
    <s v="GMM"/>
    <n v="103765"/>
    <n v="4307038"/>
    <x v="20"/>
    <x v="40"/>
    <s v="CARBONARA"/>
    <n v="2000"/>
    <n v="150"/>
    <n v="300000"/>
    <m/>
  </r>
  <r>
    <x v="6"/>
    <s v="JUL"/>
    <x v="22"/>
    <s v="GRSM 6"/>
    <x v="2"/>
    <s v="GMM"/>
    <n v="103765"/>
    <n v="4307038"/>
    <x v="20"/>
    <x v="40"/>
    <s v="AGLIO OLIO"/>
    <n v="2000"/>
    <n v="168"/>
    <n v="336000"/>
    <m/>
  </r>
  <r>
    <x v="6"/>
    <s v="JUL"/>
    <x v="22"/>
    <s v="GRSM 6"/>
    <x v="2"/>
    <s v="GMM"/>
    <n v="103765"/>
    <n v="4307038"/>
    <x v="20"/>
    <x v="40"/>
    <s v="GORENG"/>
    <n v="2000"/>
    <n v="210"/>
    <n v="420000"/>
    <n v="140"/>
  </r>
  <r>
    <x v="6"/>
    <s v="JUL"/>
    <x v="22"/>
    <s v="GRSM 6"/>
    <x v="2"/>
    <s v="GMM"/>
    <n v="103765"/>
    <n v="4307038"/>
    <x v="20"/>
    <x v="41"/>
    <s v="BOLOGNESE"/>
    <n v="2000"/>
    <n v="165"/>
    <n v="330000"/>
    <m/>
  </r>
  <r>
    <x v="6"/>
    <s v="JUL"/>
    <x v="22"/>
    <s v="GRSM 6"/>
    <x v="2"/>
    <s v="GMM"/>
    <n v="103765"/>
    <n v="4307038"/>
    <x v="20"/>
    <x v="41"/>
    <s v="CARBONARA"/>
    <n v="2000"/>
    <n v="150"/>
    <n v="300000"/>
    <m/>
  </r>
  <r>
    <x v="6"/>
    <s v="JUL"/>
    <x v="22"/>
    <s v="GRSM 6"/>
    <x v="2"/>
    <s v="GMM"/>
    <n v="103765"/>
    <n v="4307038"/>
    <x v="20"/>
    <x v="41"/>
    <s v="AGLIO OLIO"/>
    <n v="2000"/>
    <n v="168"/>
    <n v="336000"/>
    <m/>
  </r>
  <r>
    <x v="6"/>
    <s v="JUL"/>
    <x v="22"/>
    <s v="GRSM 6"/>
    <x v="2"/>
    <s v="GMM"/>
    <n v="103765"/>
    <n v="4307038"/>
    <x v="20"/>
    <x v="41"/>
    <s v="GORENG"/>
    <n v="2000"/>
    <n v="210"/>
    <n v="420000"/>
    <n v="140"/>
  </r>
  <r>
    <x v="7"/>
    <s v="JUL"/>
    <x v="25"/>
    <s v="GRSM 4"/>
    <x v="0"/>
    <s v="GMM"/>
    <n v="103257"/>
    <n v="9162509"/>
    <x v="25"/>
    <x v="8"/>
    <s v="BOLOGNESE"/>
    <n v="3200"/>
    <n v="63"/>
    <n v="201600"/>
    <m/>
  </r>
  <r>
    <x v="7"/>
    <s v="JUL"/>
    <x v="25"/>
    <s v="GRSM 4"/>
    <x v="0"/>
    <s v="GMM"/>
    <n v="103257"/>
    <n v="9162509"/>
    <x v="25"/>
    <x v="8"/>
    <s v="CARBONARA"/>
    <n v="3200"/>
    <n v="59"/>
    <n v="188800"/>
    <m/>
  </r>
  <r>
    <x v="7"/>
    <s v="JUL"/>
    <x v="25"/>
    <s v="GRSM 4"/>
    <x v="0"/>
    <s v="GMM"/>
    <n v="103257"/>
    <n v="9162509"/>
    <x v="25"/>
    <x v="8"/>
    <s v="AGLIO OLIO"/>
    <n v="3200"/>
    <n v="47"/>
    <n v="150400"/>
    <m/>
  </r>
  <r>
    <x v="7"/>
    <s v="JUL"/>
    <x v="25"/>
    <s v="GRSM 4"/>
    <x v="0"/>
    <s v="GMM"/>
    <n v="103257"/>
    <n v="9162509"/>
    <x v="25"/>
    <x v="8"/>
    <s v="GORENG"/>
    <n v="3200"/>
    <n v="89"/>
    <n v="284800"/>
    <n v="160"/>
  </r>
  <r>
    <x v="7"/>
    <s v="JUL"/>
    <x v="25"/>
    <s v="GRSM 4"/>
    <x v="0"/>
    <s v="GMM"/>
    <n v="103277"/>
    <n v="6300700"/>
    <x v="11"/>
    <x v="25"/>
    <s v="BOLOGNESE"/>
    <n v="3000"/>
    <n v="35"/>
    <n v="105000"/>
    <m/>
  </r>
  <r>
    <x v="7"/>
    <s v="JUL"/>
    <x v="25"/>
    <s v="GRSM 4"/>
    <x v="0"/>
    <s v="GMM"/>
    <n v="103277"/>
    <n v="6300700"/>
    <x v="11"/>
    <x v="25"/>
    <s v="CARBONARA"/>
    <n v="3000"/>
    <n v="45"/>
    <n v="135000"/>
    <m/>
  </r>
  <r>
    <x v="7"/>
    <s v="JUL"/>
    <x v="25"/>
    <s v="GRSM 4"/>
    <x v="0"/>
    <s v="GMM"/>
    <n v="103277"/>
    <n v="6300700"/>
    <x v="11"/>
    <x v="25"/>
    <s v="AGLIO OLIO"/>
    <n v="3000"/>
    <n v="30"/>
    <n v="90000"/>
    <m/>
  </r>
  <r>
    <x v="7"/>
    <s v="JUL"/>
    <x v="25"/>
    <s v="GRSM 4"/>
    <x v="0"/>
    <s v="GMM"/>
    <n v="103277"/>
    <n v="6300700"/>
    <x v="11"/>
    <x v="25"/>
    <s v="GORENG"/>
    <n v="3000"/>
    <n v="130"/>
    <n v="390000"/>
    <n v="160"/>
  </r>
  <r>
    <x v="7"/>
    <s v="JUL"/>
    <x v="25"/>
    <s v="GRSM 4"/>
    <x v="0"/>
    <s v="GMM"/>
    <n v="103277"/>
    <n v="6300700"/>
    <x v="11"/>
    <x v="12"/>
    <s v="BOLOGNESE"/>
    <n v="3000"/>
    <n v="30"/>
    <n v="90000"/>
    <m/>
  </r>
  <r>
    <x v="7"/>
    <s v="JUL"/>
    <x v="25"/>
    <s v="GRSM 4"/>
    <x v="0"/>
    <s v="GMM"/>
    <n v="103277"/>
    <n v="6300700"/>
    <x v="11"/>
    <x v="12"/>
    <s v="CARBONARA"/>
    <n v="3000"/>
    <n v="35"/>
    <n v="105000"/>
    <m/>
  </r>
  <r>
    <x v="7"/>
    <s v="JUL"/>
    <x v="25"/>
    <s v="GRSM 4"/>
    <x v="0"/>
    <s v="GMM"/>
    <n v="103277"/>
    <n v="6300700"/>
    <x v="11"/>
    <x v="12"/>
    <s v="AGLIO OLIO"/>
    <n v="3000"/>
    <n v="25"/>
    <n v="75000"/>
    <m/>
  </r>
  <r>
    <x v="7"/>
    <s v="JUL"/>
    <x v="25"/>
    <s v="GRSM 4"/>
    <x v="0"/>
    <s v="GMM"/>
    <n v="103277"/>
    <n v="6300700"/>
    <x v="11"/>
    <x v="12"/>
    <s v="GORENG"/>
    <n v="3000"/>
    <n v="110"/>
    <n v="330000"/>
    <n v="160"/>
  </r>
  <r>
    <x v="7"/>
    <s v="JUL"/>
    <x v="25"/>
    <s v="GRSM 4"/>
    <x v="0"/>
    <s v="GMM"/>
    <n v="189901"/>
    <n v="1602008"/>
    <x v="13"/>
    <x v="9"/>
    <s v="BOLOGNESE"/>
    <n v="3300"/>
    <n v="50"/>
    <n v="165000"/>
    <m/>
  </r>
  <r>
    <x v="7"/>
    <s v="JUL"/>
    <x v="25"/>
    <s v="GRSM 4"/>
    <x v="0"/>
    <s v="GMM"/>
    <n v="189901"/>
    <n v="1602008"/>
    <x v="13"/>
    <x v="9"/>
    <s v="CARBONARA"/>
    <n v="3300"/>
    <n v="50"/>
    <n v="165000"/>
    <m/>
  </r>
  <r>
    <x v="7"/>
    <s v="JUL"/>
    <x v="25"/>
    <s v="GRSM 4"/>
    <x v="0"/>
    <s v="GMM"/>
    <n v="189901"/>
    <n v="1602008"/>
    <x v="13"/>
    <x v="9"/>
    <s v="AGLIO OLIO"/>
    <n v="3300"/>
    <n v="50"/>
    <n v="165000"/>
    <m/>
  </r>
  <r>
    <x v="7"/>
    <s v="JUL"/>
    <x v="25"/>
    <s v="GRSM 4"/>
    <x v="0"/>
    <s v="GMM"/>
    <n v="189901"/>
    <n v="1602008"/>
    <x v="13"/>
    <x v="9"/>
    <s v="GORENG"/>
    <n v="3300"/>
    <n v="110"/>
    <n v="363000"/>
    <n v="160"/>
  </r>
  <r>
    <x v="7"/>
    <s v="JUL"/>
    <x v="25"/>
    <s v="GRSM 4"/>
    <x v="0"/>
    <s v="GMM"/>
    <n v="189901"/>
    <n v="1602008"/>
    <x v="13"/>
    <x v="14"/>
    <s v="BOLOGNESE"/>
    <n v="3300"/>
    <n v="70"/>
    <n v="231000"/>
    <m/>
  </r>
  <r>
    <x v="7"/>
    <s v="JUL"/>
    <x v="25"/>
    <s v="GRSM 4"/>
    <x v="0"/>
    <s v="GMM"/>
    <n v="189901"/>
    <n v="1602008"/>
    <x v="13"/>
    <x v="14"/>
    <s v="CARBONARA"/>
    <n v="3300"/>
    <n v="40"/>
    <n v="132000"/>
    <m/>
  </r>
  <r>
    <x v="7"/>
    <s v="JUL"/>
    <x v="25"/>
    <s v="GRSM 4"/>
    <x v="0"/>
    <s v="GMM"/>
    <n v="189901"/>
    <n v="1602008"/>
    <x v="13"/>
    <x v="14"/>
    <s v="AGLIO OLIO"/>
    <n v="3300"/>
    <n v="50"/>
    <n v="165000"/>
    <m/>
  </r>
  <r>
    <x v="7"/>
    <s v="JUL"/>
    <x v="25"/>
    <s v="GRSM 4"/>
    <x v="0"/>
    <s v="GMM"/>
    <n v="189901"/>
    <n v="1602008"/>
    <x v="13"/>
    <x v="14"/>
    <s v="GORENG"/>
    <n v="3300"/>
    <n v="100"/>
    <n v="330000"/>
    <n v="160"/>
  </r>
  <r>
    <x v="7"/>
    <s v="JUL"/>
    <x v="25"/>
    <s v="GRSM 4"/>
    <x v="0"/>
    <s v="GMM"/>
    <n v="121409"/>
    <n v="5205014"/>
    <x v="12"/>
    <x v="27"/>
    <s v="BOLOGNESE"/>
    <n v="2100"/>
    <n v="77"/>
    <n v="161700"/>
    <m/>
  </r>
  <r>
    <x v="7"/>
    <s v="JUL"/>
    <x v="25"/>
    <s v="GRSM 4"/>
    <x v="0"/>
    <s v="GMM"/>
    <n v="121409"/>
    <n v="5205014"/>
    <x v="12"/>
    <x v="27"/>
    <s v="CARBONARA"/>
    <n v="2100"/>
    <n v="95"/>
    <n v="199500"/>
    <m/>
  </r>
  <r>
    <x v="7"/>
    <s v="JUL"/>
    <x v="25"/>
    <s v="GRSM 4"/>
    <x v="0"/>
    <s v="GMM"/>
    <n v="121409"/>
    <n v="5205014"/>
    <x v="12"/>
    <x v="27"/>
    <s v="AGLIO OLIO"/>
    <n v="2100"/>
    <n v="92"/>
    <n v="193200"/>
    <m/>
  </r>
  <r>
    <x v="7"/>
    <s v="JUL"/>
    <x v="25"/>
    <s v="GRSM 4"/>
    <x v="0"/>
    <s v="GMM"/>
    <n v="121409"/>
    <n v="5205014"/>
    <x v="12"/>
    <x v="27"/>
    <s v="GORENG"/>
    <n v="2100"/>
    <n v="49"/>
    <n v="102900"/>
    <n v="160"/>
  </r>
  <r>
    <x v="7"/>
    <s v="JUL"/>
    <x v="25"/>
    <s v="GRSM 4"/>
    <x v="0"/>
    <s v="GMM"/>
    <n v="189901"/>
    <n v="1602057"/>
    <x v="10"/>
    <x v="15"/>
    <s v="BOLOGNESE"/>
    <n v="2150"/>
    <n v="117"/>
    <n v="251550"/>
    <m/>
  </r>
  <r>
    <x v="7"/>
    <s v="JUL"/>
    <x v="25"/>
    <s v="GRSM 4"/>
    <x v="0"/>
    <s v="GMM"/>
    <n v="189901"/>
    <n v="1602057"/>
    <x v="10"/>
    <x v="15"/>
    <s v="CARBONARA"/>
    <n v="2150"/>
    <n v="98"/>
    <n v="210700"/>
    <m/>
  </r>
  <r>
    <x v="7"/>
    <s v="JUL"/>
    <x v="25"/>
    <s v="GRSM 4"/>
    <x v="0"/>
    <s v="GMM"/>
    <n v="189901"/>
    <n v="1602057"/>
    <x v="10"/>
    <x v="15"/>
    <s v="AGLIO OLIO"/>
    <n v="2150"/>
    <n v="105"/>
    <n v="225750"/>
    <m/>
  </r>
  <r>
    <x v="7"/>
    <s v="JUL"/>
    <x v="25"/>
    <s v="GRSM 4"/>
    <x v="0"/>
    <s v="GMM"/>
    <n v="189901"/>
    <n v="1602057"/>
    <x v="10"/>
    <x v="15"/>
    <s v="GORENG"/>
    <n v="2000"/>
    <n v="175"/>
    <n v="350000"/>
    <n v="160"/>
  </r>
  <r>
    <x v="7"/>
    <s v="JUL"/>
    <x v="25"/>
    <s v="GRSM 4"/>
    <x v="0"/>
    <s v="GMM"/>
    <n v="121409"/>
    <n v="5205014"/>
    <x v="12"/>
    <x v="26"/>
    <s v="BOLOGNESE"/>
    <n v="2100"/>
    <n v="77"/>
    <n v="161700"/>
    <m/>
  </r>
  <r>
    <x v="7"/>
    <s v="JUL"/>
    <x v="25"/>
    <s v="GRSM 4"/>
    <x v="0"/>
    <s v="GMM"/>
    <n v="121409"/>
    <n v="5205014"/>
    <x v="12"/>
    <x v="26"/>
    <s v="CARBONARA"/>
    <n v="2100"/>
    <n v="95"/>
    <n v="199500"/>
    <m/>
  </r>
  <r>
    <x v="7"/>
    <s v="JUL"/>
    <x v="25"/>
    <s v="GRSM 4"/>
    <x v="0"/>
    <s v="GMM"/>
    <n v="121409"/>
    <n v="5205014"/>
    <x v="12"/>
    <x v="26"/>
    <s v="AGLIO OLIO"/>
    <n v="2100"/>
    <n v="92"/>
    <n v="193200"/>
    <m/>
  </r>
  <r>
    <x v="7"/>
    <s v="JUL"/>
    <x v="25"/>
    <s v="GRSM 4"/>
    <x v="0"/>
    <s v="GMM"/>
    <n v="121409"/>
    <n v="5205014"/>
    <x v="12"/>
    <x v="26"/>
    <s v="GORENG"/>
    <n v="2100"/>
    <n v="49"/>
    <n v="102900"/>
    <n v="160"/>
  </r>
  <r>
    <x v="7"/>
    <s v="JUL"/>
    <x v="25"/>
    <s v="GRSM 4"/>
    <x v="0"/>
    <s v="GMM"/>
    <n v="189901"/>
    <n v="1602016"/>
    <x v="16"/>
    <x v="31"/>
    <s v="BOLOGNESE"/>
    <n v="3400"/>
    <n v="90"/>
    <n v="306000"/>
    <m/>
  </r>
  <r>
    <x v="7"/>
    <s v="JUL"/>
    <x v="25"/>
    <s v="GRSM 4"/>
    <x v="0"/>
    <s v="GMM"/>
    <n v="189901"/>
    <n v="1602016"/>
    <x v="16"/>
    <x v="31"/>
    <s v="CARBONARA"/>
    <n v="3400"/>
    <n v="110"/>
    <n v="374000"/>
    <m/>
  </r>
  <r>
    <x v="7"/>
    <s v="JUL"/>
    <x v="25"/>
    <s v="GRSM 4"/>
    <x v="0"/>
    <s v="GMM"/>
    <n v="189901"/>
    <n v="1602016"/>
    <x v="16"/>
    <x v="31"/>
    <s v="AGLIO OLIO"/>
    <n v="3400"/>
    <n v="80"/>
    <n v="272000"/>
    <m/>
  </r>
  <r>
    <x v="7"/>
    <s v="JUL"/>
    <x v="25"/>
    <s v="GRSM 4"/>
    <x v="0"/>
    <s v="GMM"/>
    <n v="189901"/>
    <n v="1602016"/>
    <x v="16"/>
    <x v="31"/>
    <s v="GORENG"/>
    <n v="3400"/>
    <n v="140"/>
    <n v="476000"/>
    <n v="160"/>
  </r>
  <r>
    <x v="7"/>
    <s v="JUL"/>
    <x v="25"/>
    <s v="GRSM 4"/>
    <x v="0"/>
    <s v="GMM"/>
    <n v="189901"/>
    <n v="1602057"/>
    <x v="10"/>
    <x v="24"/>
    <s v="BOLOGNESE"/>
    <n v="2150"/>
    <n v="105"/>
    <n v="225750"/>
    <m/>
  </r>
  <r>
    <x v="7"/>
    <s v="JUL"/>
    <x v="25"/>
    <s v="GRSM 4"/>
    <x v="0"/>
    <s v="GMM"/>
    <n v="189901"/>
    <n v="1602057"/>
    <x v="10"/>
    <x v="24"/>
    <s v="CARBONARA"/>
    <n v="2150"/>
    <n v="101"/>
    <n v="217150"/>
    <m/>
  </r>
  <r>
    <x v="7"/>
    <s v="JUL"/>
    <x v="25"/>
    <s v="GRSM 4"/>
    <x v="0"/>
    <s v="GMM"/>
    <n v="189901"/>
    <n v="1602057"/>
    <x v="10"/>
    <x v="24"/>
    <s v="AGLIO OLIO"/>
    <n v="2150"/>
    <n v="93"/>
    <n v="199950"/>
    <m/>
  </r>
  <r>
    <x v="7"/>
    <s v="JUL"/>
    <x v="25"/>
    <s v="GRSM 4"/>
    <x v="0"/>
    <s v="GMM"/>
    <n v="189901"/>
    <n v="1602057"/>
    <x v="10"/>
    <x v="24"/>
    <s v="GORENG"/>
    <n v="2000"/>
    <n v="169"/>
    <n v="338000"/>
    <n v="160"/>
  </r>
  <r>
    <x v="7"/>
    <s v="JUL"/>
    <x v="25"/>
    <s v="GRSM 4"/>
    <x v="0"/>
    <s v="GMM"/>
    <n v="189901"/>
    <n v="1602018"/>
    <x v="14"/>
    <x v="22"/>
    <s v="BOLOGNESE"/>
    <n v="3500"/>
    <n v="40"/>
    <n v="140000"/>
    <m/>
  </r>
  <r>
    <x v="7"/>
    <s v="JUL"/>
    <x v="25"/>
    <s v="GRSM 4"/>
    <x v="0"/>
    <s v="GMM"/>
    <n v="189901"/>
    <n v="1602018"/>
    <x v="14"/>
    <x v="22"/>
    <s v="CARBONARA"/>
    <n v="3500"/>
    <n v="40"/>
    <n v="140000"/>
    <m/>
  </r>
  <r>
    <x v="7"/>
    <s v="JUL"/>
    <x v="25"/>
    <s v="GRSM 4"/>
    <x v="0"/>
    <s v="GMM"/>
    <n v="189901"/>
    <n v="1602018"/>
    <x v="14"/>
    <x v="22"/>
    <s v="AGLIO OLIO"/>
    <n v="3500"/>
    <n v="35"/>
    <n v="122500"/>
    <m/>
  </r>
  <r>
    <x v="7"/>
    <s v="JUL"/>
    <x v="25"/>
    <s v="GRSM 4"/>
    <x v="0"/>
    <s v="GMM"/>
    <n v="189901"/>
    <n v="1602018"/>
    <x v="14"/>
    <x v="22"/>
    <s v="GORENG"/>
    <n v="3500"/>
    <n v="80"/>
    <n v="280000"/>
    <n v="160"/>
  </r>
  <r>
    <x v="7"/>
    <s v="JUL"/>
    <x v="26"/>
    <s v="GRSM 4"/>
    <x v="0"/>
    <s v="GMM"/>
    <n v="121409"/>
    <n v="5205014"/>
    <x v="12"/>
    <x v="27"/>
    <s v="BOLOGNESE"/>
    <n v="2100"/>
    <n v="120"/>
    <n v="252000"/>
    <m/>
  </r>
  <r>
    <x v="7"/>
    <s v="JUL"/>
    <x v="26"/>
    <s v="GRSM 4"/>
    <x v="0"/>
    <s v="GMM"/>
    <n v="121409"/>
    <n v="5205014"/>
    <x v="12"/>
    <x v="27"/>
    <s v="CARBONARA"/>
    <n v="2100"/>
    <n v="176"/>
    <n v="369600"/>
    <m/>
  </r>
  <r>
    <x v="7"/>
    <s v="JUL"/>
    <x v="26"/>
    <s v="GRSM 4"/>
    <x v="0"/>
    <s v="GMM"/>
    <n v="121409"/>
    <n v="5205014"/>
    <x v="12"/>
    <x v="27"/>
    <s v="AGLIO OLIO"/>
    <n v="2100"/>
    <n v="98"/>
    <n v="205800"/>
    <m/>
  </r>
  <r>
    <x v="7"/>
    <s v="JUL"/>
    <x v="26"/>
    <s v="GRSM 4"/>
    <x v="0"/>
    <s v="GMM"/>
    <n v="121409"/>
    <n v="5205014"/>
    <x v="12"/>
    <x v="27"/>
    <s v="GORENG"/>
    <n v="2100"/>
    <n v="189"/>
    <n v="396900"/>
    <n v="160"/>
  </r>
  <r>
    <x v="7"/>
    <s v="JUL"/>
    <x v="26"/>
    <s v="GRSM 4"/>
    <x v="0"/>
    <s v="GMM"/>
    <n v="121409"/>
    <n v="5205014"/>
    <x v="12"/>
    <x v="26"/>
    <s v="BOLOGNESE"/>
    <n v="2100"/>
    <n v="120"/>
    <n v="252000"/>
    <m/>
  </r>
  <r>
    <x v="7"/>
    <s v="JUL"/>
    <x v="26"/>
    <s v="GRSM 4"/>
    <x v="0"/>
    <s v="GMM"/>
    <n v="121409"/>
    <n v="5205014"/>
    <x v="12"/>
    <x v="26"/>
    <s v="CARBONARA"/>
    <n v="2100"/>
    <n v="176"/>
    <n v="369600"/>
    <m/>
  </r>
  <r>
    <x v="7"/>
    <s v="JUL"/>
    <x v="26"/>
    <s v="GRSM 4"/>
    <x v="0"/>
    <s v="GMM"/>
    <n v="121409"/>
    <n v="5205014"/>
    <x v="12"/>
    <x v="26"/>
    <s v="AGLIO OLIO"/>
    <n v="2100"/>
    <n v="98"/>
    <n v="205800"/>
    <m/>
  </r>
  <r>
    <x v="7"/>
    <s v="JUL"/>
    <x v="26"/>
    <s v="GRSM 4"/>
    <x v="0"/>
    <s v="GMM"/>
    <n v="121409"/>
    <n v="5205014"/>
    <x v="12"/>
    <x v="26"/>
    <s v="GORENG"/>
    <n v="2100"/>
    <n v="189"/>
    <n v="396900"/>
    <n v="160"/>
  </r>
  <r>
    <x v="7"/>
    <s v="JUL"/>
    <x v="26"/>
    <s v="GRSM 4"/>
    <x v="0"/>
    <s v="GMM"/>
    <n v="103277"/>
    <n v="6300700"/>
    <x v="11"/>
    <x v="25"/>
    <s v="BOLOGNESE"/>
    <n v="3000"/>
    <n v="45"/>
    <n v="135000"/>
    <m/>
  </r>
  <r>
    <x v="7"/>
    <s v="JUL"/>
    <x v="26"/>
    <s v="GRSM 4"/>
    <x v="0"/>
    <s v="GMM"/>
    <n v="103277"/>
    <n v="6300700"/>
    <x v="11"/>
    <x v="25"/>
    <s v="CARBONARA"/>
    <n v="3000"/>
    <n v="49"/>
    <n v="147000"/>
    <m/>
  </r>
  <r>
    <x v="7"/>
    <s v="JUL"/>
    <x v="26"/>
    <s v="GRSM 4"/>
    <x v="0"/>
    <s v="GMM"/>
    <n v="103277"/>
    <n v="6300700"/>
    <x v="11"/>
    <x v="25"/>
    <s v="AGLIO OLIO"/>
    <n v="3000"/>
    <n v="35"/>
    <n v="105000"/>
    <m/>
  </r>
  <r>
    <x v="7"/>
    <s v="JUL"/>
    <x v="26"/>
    <s v="GRSM 4"/>
    <x v="0"/>
    <s v="GMM"/>
    <n v="103277"/>
    <n v="6300700"/>
    <x v="11"/>
    <x v="25"/>
    <s v="GORENG"/>
    <n v="3000"/>
    <n v="151"/>
    <n v="453000"/>
    <n v="160"/>
  </r>
  <r>
    <x v="7"/>
    <s v="JUL"/>
    <x v="26"/>
    <s v="GRSM 4"/>
    <x v="0"/>
    <s v="GMM"/>
    <n v="103277"/>
    <n v="6300700"/>
    <x v="11"/>
    <x v="12"/>
    <s v="BOLOGNESE"/>
    <n v="3000"/>
    <n v="50"/>
    <n v="150000"/>
    <m/>
  </r>
  <r>
    <x v="7"/>
    <s v="JUL"/>
    <x v="26"/>
    <s v="GRSM 4"/>
    <x v="0"/>
    <s v="GMM"/>
    <n v="103277"/>
    <n v="6300700"/>
    <x v="11"/>
    <x v="12"/>
    <s v="CARBONARA"/>
    <n v="3000"/>
    <n v="50"/>
    <n v="150000"/>
    <m/>
  </r>
  <r>
    <x v="7"/>
    <s v="JUL"/>
    <x v="26"/>
    <s v="GRSM 4"/>
    <x v="0"/>
    <s v="GMM"/>
    <n v="103277"/>
    <n v="6300700"/>
    <x v="11"/>
    <x v="12"/>
    <s v="AGLIO OLIO"/>
    <n v="3000"/>
    <n v="35"/>
    <n v="105000"/>
    <m/>
  </r>
  <r>
    <x v="7"/>
    <s v="JUL"/>
    <x v="26"/>
    <s v="GRSM 4"/>
    <x v="0"/>
    <s v="GMM"/>
    <n v="103277"/>
    <n v="6300700"/>
    <x v="11"/>
    <x v="12"/>
    <s v="GORENG"/>
    <n v="3000"/>
    <n v="185"/>
    <n v="555000"/>
    <n v="160"/>
  </r>
  <r>
    <x v="7"/>
    <s v="JUL"/>
    <x v="26"/>
    <s v="GRSM 4"/>
    <x v="0"/>
    <s v="GMM"/>
    <n v="103257"/>
    <n v="9162509"/>
    <x v="25"/>
    <x v="8"/>
    <s v="BOLOGNESE"/>
    <n v="3200"/>
    <n v="76"/>
    <n v="243200"/>
    <m/>
  </r>
  <r>
    <x v="7"/>
    <s v="JUL"/>
    <x v="26"/>
    <s v="GRSM 4"/>
    <x v="0"/>
    <s v="GMM"/>
    <n v="103257"/>
    <n v="9162509"/>
    <x v="25"/>
    <x v="8"/>
    <s v="CARBONARA"/>
    <n v="3200"/>
    <n v="65"/>
    <n v="208000"/>
    <m/>
  </r>
  <r>
    <x v="7"/>
    <s v="JUL"/>
    <x v="26"/>
    <s v="GRSM 4"/>
    <x v="0"/>
    <s v="GMM"/>
    <n v="103257"/>
    <n v="9162509"/>
    <x v="25"/>
    <x v="8"/>
    <s v="AGLIO OLIO"/>
    <n v="3200"/>
    <n v="69"/>
    <n v="220800"/>
    <m/>
  </r>
  <r>
    <x v="7"/>
    <s v="JUL"/>
    <x v="26"/>
    <s v="GRSM 4"/>
    <x v="0"/>
    <s v="GMM"/>
    <n v="103257"/>
    <n v="9162509"/>
    <x v="25"/>
    <x v="8"/>
    <s v="GORENG"/>
    <n v="3200"/>
    <n v="94"/>
    <n v="300800"/>
    <n v="160"/>
  </r>
  <r>
    <x v="7"/>
    <s v="JUL"/>
    <x v="26"/>
    <s v="GRSM 4"/>
    <x v="0"/>
    <s v="GMM"/>
    <n v="189901"/>
    <n v="1602008"/>
    <x v="13"/>
    <x v="14"/>
    <s v="BOLOGNESE"/>
    <n v="3300"/>
    <n v="40"/>
    <n v="132000"/>
    <m/>
  </r>
  <r>
    <x v="7"/>
    <s v="JUL"/>
    <x v="26"/>
    <s v="GRSM 4"/>
    <x v="0"/>
    <s v="GMM"/>
    <n v="189901"/>
    <n v="1602008"/>
    <x v="13"/>
    <x v="14"/>
    <s v="CARBONARA"/>
    <n v="3300"/>
    <n v="40"/>
    <n v="132000"/>
    <m/>
  </r>
  <r>
    <x v="7"/>
    <s v="JUL"/>
    <x v="26"/>
    <s v="GRSM 4"/>
    <x v="0"/>
    <s v="GMM"/>
    <n v="189901"/>
    <n v="1602008"/>
    <x v="13"/>
    <x v="14"/>
    <s v="AGLIO OLIO"/>
    <n v="3300"/>
    <n v="40"/>
    <n v="132000"/>
    <m/>
  </r>
  <r>
    <x v="7"/>
    <s v="JUL"/>
    <x v="26"/>
    <s v="GRSM 4"/>
    <x v="0"/>
    <s v="GMM"/>
    <n v="189901"/>
    <n v="1602008"/>
    <x v="13"/>
    <x v="14"/>
    <s v="GORENG"/>
    <n v="3300"/>
    <n v="110"/>
    <n v="363000"/>
    <n v="160"/>
  </r>
  <r>
    <x v="7"/>
    <s v="JUL"/>
    <x v="26"/>
    <s v="GRSM 4"/>
    <x v="0"/>
    <s v="GMM"/>
    <n v="189901"/>
    <n v="1602008"/>
    <x v="13"/>
    <x v="9"/>
    <s v="BOLOGNESE"/>
    <n v="3300"/>
    <n v="40"/>
    <n v="132000"/>
    <m/>
  </r>
  <r>
    <x v="7"/>
    <s v="JUL"/>
    <x v="26"/>
    <s v="GRSM 4"/>
    <x v="0"/>
    <s v="GMM"/>
    <n v="189901"/>
    <n v="1602008"/>
    <x v="13"/>
    <x v="9"/>
    <s v="CARBONARA"/>
    <n v="3300"/>
    <n v="40"/>
    <n v="132000"/>
    <m/>
  </r>
  <r>
    <x v="7"/>
    <s v="JUL"/>
    <x v="26"/>
    <s v="GRSM 4"/>
    <x v="0"/>
    <s v="GMM"/>
    <n v="189901"/>
    <n v="1602008"/>
    <x v="13"/>
    <x v="9"/>
    <s v="AGLIO OLIO"/>
    <n v="3300"/>
    <n v="40"/>
    <n v="132000"/>
    <m/>
  </r>
  <r>
    <x v="7"/>
    <s v="JUL"/>
    <x v="26"/>
    <s v="GRSM 4"/>
    <x v="0"/>
    <s v="GMM"/>
    <n v="189901"/>
    <n v="1602008"/>
    <x v="13"/>
    <x v="9"/>
    <s v="GORENG"/>
    <n v="3300"/>
    <n v="110"/>
    <n v="363000"/>
    <n v="160"/>
  </r>
  <r>
    <x v="7"/>
    <s v="JUL"/>
    <x v="27"/>
    <s v="GRSM 4"/>
    <x v="0"/>
    <s v="GMM"/>
    <n v="189901"/>
    <n v="1602008"/>
    <x v="13"/>
    <x v="39"/>
    <s v="BOLOGNESE"/>
    <n v="3300"/>
    <n v="50"/>
    <n v="165000"/>
    <m/>
  </r>
  <r>
    <x v="7"/>
    <s v="JUL"/>
    <x v="27"/>
    <s v="GRSM 4"/>
    <x v="0"/>
    <s v="GMM"/>
    <n v="189901"/>
    <n v="1602008"/>
    <x v="13"/>
    <x v="39"/>
    <s v="CARBONARA"/>
    <n v="3300"/>
    <n v="50"/>
    <n v="165000"/>
    <m/>
  </r>
  <r>
    <x v="7"/>
    <s v="JUL"/>
    <x v="27"/>
    <s v="GRSM 4"/>
    <x v="0"/>
    <s v="GMM"/>
    <n v="189901"/>
    <n v="1602008"/>
    <x v="13"/>
    <x v="39"/>
    <s v="AGLIO OLIO"/>
    <n v="3300"/>
    <n v="50"/>
    <n v="165000"/>
    <m/>
  </r>
  <r>
    <x v="7"/>
    <s v="JUL"/>
    <x v="27"/>
    <s v="GRSM 4"/>
    <x v="0"/>
    <s v="GMM"/>
    <n v="189901"/>
    <n v="1602008"/>
    <x v="13"/>
    <x v="39"/>
    <s v="GORENG"/>
    <n v="3300"/>
    <n v="105"/>
    <n v="346500"/>
    <n v="160"/>
  </r>
  <r>
    <x v="7"/>
    <s v="JUL"/>
    <x v="25"/>
    <s v="GRSM 4"/>
    <x v="0"/>
    <s v="GMM"/>
    <n v="189901"/>
    <n v="1602016"/>
    <x v="16"/>
    <x v="32"/>
    <s v="BOLOGNESE"/>
    <n v="3400"/>
    <n v="90"/>
    <n v="306000"/>
    <m/>
  </r>
  <r>
    <x v="7"/>
    <s v="JUL"/>
    <x v="25"/>
    <s v="GRSM 4"/>
    <x v="0"/>
    <s v="GMM"/>
    <n v="189901"/>
    <n v="1602016"/>
    <x v="16"/>
    <x v="32"/>
    <s v="CARBONARA"/>
    <n v="3400"/>
    <n v="110"/>
    <n v="374000"/>
    <m/>
  </r>
  <r>
    <x v="7"/>
    <s v="JUL"/>
    <x v="25"/>
    <s v="GRSM 4"/>
    <x v="0"/>
    <s v="GMM"/>
    <n v="189901"/>
    <n v="1602016"/>
    <x v="16"/>
    <x v="32"/>
    <s v="AGLIO OLIO"/>
    <n v="3400"/>
    <n v="80"/>
    <n v="272000"/>
    <m/>
  </r>
  <r>
    <x v="7"/>
    <s v="JUL"/>
    <x v="25"/>
    <s v="GRSM 4"/>
    <x v="0"/>
    <s v="GMM"/>
    <n v="189901"/>
    <n v="1602016"/>
    <x v="16"/>
    <x v="32"/>
    <s v="GORENG"/>
    <n v="3400"/>
    <n v="140"/>
    <n v="476000"/>
    <n v="160"/>
  </r>
  <r>
    <x v="7"/>
    <s v="JUL"/>
    <x v="26"/>
    <s v="GRSM 4"/>
    <x v="0"/>
    <s v="GMM"/>
    <n v="189901"/>
    <n v="1602018"/>
    <x v="14"/>
    <x v="22"/>
    <s v="BOLOGNESE"/>
    <n v="3500"/>
    <n v="45"/>
    <n v="157500"/>
    <m/>
  </r>
  <r>
    <x v="7"/>
    <s v="JUL"/>
    <x v="26"/>
    <s v="GRSM 4"/>
    <x v="0"/>
    <s v="GMM"/>
    <n v="189901"/>
    <n v="1602018"/>
    <x v="14"/>
    <x v="22"/>
    <s v="CARBONARA"/>
    <n v="3500"/>
    <n v="45"/>
    <n v="157500"/>
    <m/>
  </r>
  <r>
    <x v="7"/>
    <s v="JUL"/>
    <x v="26"/>
    <s v="GRSM 4"/>
    <x v="0"/>
    <s v="GMM"/>
    <n v="189901"/>
    <n v="1602018"/>
    <x v="14"/>
    <x v="22"/>
    <s v="AGLIO OLIO"/>
    <n v="3500"/>
    <n v="30"/>
    <n v="105000"/>
    <m/>
  </r>
  <r>
    <x v="7"/>
    <s v="JUL"/>
    <x v="26"/>
    <s v="GRSM 4"/>
    <x v="0"/>
    <s v="GMM"/>
    <n v="189901"/>
    <n v="1602018"/>
    <x v="14"/>
    <x v="22"/>
    <s v="GORENG"/>
    <n v="3500"/>
    <n v="120"/>
    <n v="420000"/>
    <n v="160"/>
  </r>
  <r>
    <x v="7"/>
    <s v="JUL"/>
    <x v="26"/>
    <s v="GRSM 4"/>
    <x v="0"/>
    <s v="GMM"/>
    <n v="189901"/>
    <n v="1602057"/>
    <x v="10"/>
    <x v="15"/>
    <s v="BOLOGNESE"/>
    <n v="2150"/>
    <n v="115"/>
    <n v="247250"/>
    <m/>
  </r>
  <r>
    <x v="7"/>
    <s v="JUL"/>
    <x v="26"/>
    <s v="GRSM 4"/>
    <x v="0"/>
    <s v="GMM"/>
    <n v="189901"/>
    <n v="1602057"/>
    <x v="10"/>
    <x v="15"/>
    <s v="CARBONARA"/>
    <n v="2150"/>
    <n v="111"/>
    <n v="238650"/>
    <m/>
  </r>
  <r>
    <x v="7"/>
    <s v="JUL"/>
    <x v="26"/>
    <s v="GRSM 4"/>
    <x v="0"/>
    <s v="GMM"/>
    <n v="189901"/>
    <n v="1602057"/>
    <x v="10"/>
    <x v="15"/>
    <s v="AGLIO OLIO"/>
    <n v="2150"/>
    <n v="103"/>
    <n v="221450"/>
    <m/>
  </r>
  <r>
    <x v="7"/>
    <s v="JUL"/>
    <x v="26"/>
    <s v="GRSM 4"/>
    <x v="0"/>
    <s v="GMM"/>
    <n v="189901"/>
    <n v="1602057"/>
    <x v="10"/>
    <x v="15"/>
    <s v="GORENG"/>
    <n v="2000"/>
    <n v="188"/>
    <n v="376000"/>
    <n v="160"/>
  </r>
  <r>
    <x v="7"/>
    <s v="JUL"/>
    <x v="26"/>
    <s v="GRSM 4"/>
    <x v="0"/>
    <s v="GMM"/>
    <n v="189901"/>
    <n v="1602057"/>
    <x v="10"/>
    <x v="24"/>
    <s v="BOLOGNESE"/>
    <n v="2150"/>
    <n v="108"/>
    <n v="232200"/>
    <m/>
  </r>
  <r>
    <x v="7"/>
    <s v="JUL"/>
    <x v="26"/>
    <s v="GRSM 4"/>
    <x v="0"/>
    <s v="GMM"/>
    <n v="189901"/>
    <n v="1602057"/>
    <x v="10"/>
    <x v="24"/>
    <s v="CARBONARA"/>
    <n v="2150"/>
    <n v="105"/>
    <n v="225750"/>
    <m/>
  </r>
  <r>
    <x v="7"/>
    <s v="JUL"/>
    <x v="26"/>
    <s v="GRSM 4"/>
    <x v="0"/>
    <s v="GMM"/>
    <n v="189901"/>
    <n v="1602057"/>
    <x v="10"/>
    <x v="24"/>
    <s v="AGLIO OLIO"/>
    <n v="2150"/>
    <n v="97"/>
    <n v="208550"/>
    <m/>
  </r>
  <r>
    <x v="7"/>
    <s v="JUL"/>
    <x v="26"/>
    <s v="GRSM 4"/>
    <x v="0"/>
    <s v="GMM"/>
    <n v="189901"/>
    <n v="1602057"/>
    <x v="10"/>
    <x v="24"/>
    <s v="GORENG"/>
    <n v="2000"/>
    <n v="177"/>
    <n v="354000"/>
    <n v="160"/>
  </r>
  <r>
    <x v="7"/>
    <s v="JUL"/>
    <x v="26"/>
    <s v="GRSM 4"/>
    <x v="0"/>
    <s v="GMM"/>
    <n v="189901"/>
    <n v="1602018"/>
    <x v="14"/>
    <x v="23"/>
    <s v="BOLOGNESE"/>
    <n v="3500"/>
    <n v="45"/>
    <n v="157500"/>
    <m/>
  </r>
  <r>
    <x v="7"/>
    <s v="JUL"/>
    <x v="26"/>
    <s v="GRSM 4"/>
    <x v="0"/>
    <s v="GMM"/>
    <n v="189901"/>
    <n v="1602018"/>
    <x v="14"/>
    <x v="23"/>
    <s v="CARBONARA"/>
    <n v="3500"/>
    <n v="45"/>
    <n v="157500"/>
    <m/>
  </r>
  <r>
    <x v="7"/>
    <s v="JUL"/>
    <x v="26"/>
    <s v="GRSM 4"/>
    <x v="0"/>
    <s v="GMM"/>
    <n v="189901"/>
    <n v="1602018"/>
    <x v="14"/>
    <x v="23"/>
    <s v="AGLIO OLIO"/>
    <n v="3500"/>
    <n v="30"/>
    <n v="105000"/>
    <m/>
  </r>
  <r>
    <x v="7"/>
    <s v="JUL"/>
    <x v="26"/>
    <s v="GRSM 4"/>
    <x v="0"/>
    <s v="GMM"/>
    <n v="189901"/>
    <n v="1602018"/>
    <x v="14"/>
    <x v="23"/>
    <s v="GORENG"/>
    <n v="3500"/>
    <n v="120"/>
    <n v="420000"/>
    <n v="160"/>
  </r>
  <r>
    <x v="7"/>
    <s v="JUL"/>
    <x v="27"/>
    <s v="GRSM 4"/>
    <x v="0"/>
    <s v="GMM"/>
    <n v="121409"/>
    <n v="5205014"/>
    <x v="12"/>
    <x v="27"/>
    <s v="BOLOGNESE"/>
    <n v="2100"/>
    <n v="142"/>
    <n v="298200"/>
    <m/>
  </r>
  <r>
    <x v="7"/>
    <s v="JUL"/>
    <x v="27"/>
    <s v="GRSM 4"/>
    <x v="0"/>
    <s v="GMM"/>
    <n v="121409"/>
    <n v="5205014"/>
    <x v="12"/>
    <x v="27"/>
    <s v="CARBONARA"/>
    <n v="2100"/>
    <n v="232"/>
    <n v="487200"/>
    <m/>
  </r>
  <r>
    <x v="7"/>
    <s v="JUL"/>
    <x v="27"/>
    <s v="GRSM 4"/>
    <x v="0"/>
    <s v="GMM"/>
    <n v="121409"/>
    <n v="5205014"/>
    <x v="12"/>
    <x v="27"/>
    <s v="AGLIO OLIO"/>
    <n v="2100"/>
    <n v="105"/>
    <n v="220500"/>
    <m/>
  </r>
  <r>
    <x v="7"/>
    <s v="JUL"/>
    <x v="27"/>
    <s v="GRSM 4"/>
    <x v="0"/>
    <s v="GMM"/>
    <n v="121409"/>
    <n v="5205014"/>
    <x v="12"/>
    <x v="27"/>
    <s v="GORENG"/>
    <n v="2100"/>
    <n v="243"/>
    <n v="510300"/>
    <n v="160"/>
  </r>
  <r>
    <x v="7"/>
    <s v="JUL"/>
    <x v="27"/>
    <s v="GRSM 4"/>
    <x v="0"/>
    <s v="GMM"/>
    <n v="121409"/>
    <n v="5205014"/>
    <x v="12"/>
    <x v="26"/>
    <s v="BOLOGNESE"/>
    <n v="2100"/>
    <n v="142"/>
    <n v="298200"/>
    <m/>
  </r>
  <r>
    <x v="7"/>
    <s v="JUL"/>
    <x v="27"/>
    <s v="GRSM 4"/>
    <x v="0"/>
    <s v="GMM"/>
    <n v="121409"/>
    <n v="5205014"/>
    <x v="12"/>
    <x v="26"/>
    <s v="CARBONARA"/>
    <n v="2100"/>
    <n v="232"/>
    <n v="487200"/>
    <m/>
  </r>
  <r>
    <x v="7"/>
    <s v="JUL"/>
    <x v="27"/>
    <s v="GRSM 4"/>
    <x v="0"/>
    <s v="GMM"/>
    <n v="121409"/>
    <n v="5205014"/>
    <x v="12"/>
    <x v="26"/>
    <s v="AGLIO OLIO"/>
    <n v="2100"/>
    <n v="105"/>
    <n v="220500"/>
    <m/>
  </r>
  <r>
    <x v="7"/>
    <s v="JUL"/>
    <x v="27"/>
    <s v="GRSM 4"/>
    <x v="0"/>
    <s v="GMM"/>
    <n v="121409"/>
    <n v="5205014"/>
    <x v="12"/>
    <x v="26"/>
    <s v="GORENG"/>
    <n v="2100"/>
    <n v="243"/>
    <n v="510300"/>
    <n v="160"/>
  </r>
  <r>
    <x v="7"/>
    <s v="JUL"/>
    <x v="27"/>
    <s v="GRSM 4"/>
    <x v="0"/>
    <s v="GMM"/>
    <n v="103277"/>
    <n v="6300700"/>
    <x v="11"/>
    <x v="25"/>
    <s v="BOLOGNESE"/>
    <n v="3000"/>
    <n v="90"/>
    <n v="270000"/>
    <m/>
  </r>
  <r>
    <x v="7"/>
    <s v="JUL"/>
    <x v="27"/>
    <s v="GRSM 4"/>
    <x v="0"/>
    <s v="GMM"/>
    <n v="103277"/>
    <n v="6300700"/>
    <x v="11"/>
    <x v="25"/>
    <s v="CARBONARA"/>
    <n v="3000"/>
    <n v="70"/>
    <n v="210000"/>
    <m/>
  </r>
  <r>
    <x v="7"/>
    <s v="JUL"/>
    <x v="27"/>
    <s v="GRSM 4"/>
    <x v="0"/>
    <s v="GMM"/>
    <n v="103277"/>
    <n v="6300700"/>
    <x v="11"/>
    <x v="25"/>
    <s v="AGLIO OLIO"/>
    <n v="3000"/>
    <n v="70"/>
    <n v="210000"/>
    <m/>
  </r>
  <r>
    <x v="7"/>
    <s v="JUL"/>
    <x v="27"/>
    <s v="GRSM 4"/>
    <x v="0"/>
    <s v="GMM"/>
    <n v="103277"/>
    <n v="6300700"/>
    <x v="11"/>
    <x v="25"/>
    <s v="GORENG"/>
    <n v="3000"/>
    <n v="120"/>
    <n v="360000"/>
    <n v="160"/>
  </r>
  <r>
    <x v="7"/>
    <s v="JUL"/>
    <x v="27"/>
    <s v="GRSM 4"/>
    <x v="0"/>
    <s v="GMM"/>
    <n v="103277"/>
    <n v="6300700"/>
    <x v="11"/>
    <x v="12"/>
    <s v="BOLOGNESE"/>
    <n v="3000"/>
    <n v="100"/>
    <n v="300000"/>
    <m/>
  </r>
  <r>
    <x v="7"/>
    <s v="JUL"/>
    <x v="27"/>
    <s v="GRSM 4"/>
    <x v="0"/>
    <s v="GMM"/>
    <n v="103277"/>
    <n v="6300700"/>
    <x v="11"/>
    <x v="12"/>
    <s v="CARBONARA"/>
    <n v="3000"/>
    <n v="80"/>
    <n v="240000"/>
    <m/>
  </r>
  <r>
    <x v="7"/>
    <s v="JUL"/>
    <x v="27"/>
    <s v="GRSM 4"/>
    <x v="0"/>
    <s v="GMM"/>
    <n v="103277"/>
    <n v="6300700"/>
    <x v="11"/>
    <x v="12"/>
    <s v="AGLIO OLIO"/>
    <n v="3000"/>
    <n v="55"/>
    <n v="165000"/>
    <m/>
  </r>
  <r>
    <x v="7"/>
    <s v="JUL"/>
    <x v="27"/>
    <s v="GRSM 4"/>
    <x v="0"/>
    <s v="GMM"/>
    <n v="103277"/>
    <n v="6300700"/>
    <x v="11"/>
    <x v="12"/>
    <s v="GORENG"/>
    <n v="3000"/>
    <n v="125"/>
    <n v="375000"/>
    <n v="160"/>
  </r>
  <r>
    <x v="7"/>
    <s v="JUL"/>
    <x v="26"/>
    <s v="GRSM 4"/>
    <x v="0"/>
    <s v="GMM"/>
    <n v="189901"/>
    <n v="1602016"/>
    <x v="16"/>
    <x v="31"/>
    <s v="BOLOGNESE"/>
    <n v="3400"/>
    <n v="90"/>
    <n v="306000"/>
    <m/>
  </r>
  <r>
    <x v="7"/>
    <s v="JUL"/>
    <x v="26"/>
    <s v="GRSM 4"/>
    <x v="0"/>
    <s v="GMM"/>
    <n v="189901"/>
    <n v="1602016"/>
    <x v="16"/>
    <x v="31"/>
    <s v="CARBONARA"/>
    <n v="3400"/>
    <n v="110"/>
    <n v="374000"/>
    <m/>
  </r>
  <r>
    <x v="7"/>
    <s v="JUL"/>
    <x v="26"/>
    <s v="GRSM 4"/>
    <x v="0"/>
    <s v="GMM"/>
    <n v="189901"/>
    <n v="1602016"/>
    <x v="16"/>
    <x v="31"/>
    <s v="AGLIO OLIO"/>
    <n v="3400"/>
    <n v="80"/>
    <n v="272000"/>
    <m/>
  </r>
  <r>
    <x v="7"/>
    <s v="JUL"/>
    <x v="26"/>
    <s v="GRSM 4"/>
    <x v="0"/>
    <s v="GMM"/>
    <n v="189901"/>
    <n v="1602016"/>
    <x v="16"/>
    <x v="31"/>
    <s v="GORENG"/>
    <n v="3400"/>
    <n v="140"/>
    <n v="476000"/>
    <n v="160"/>
  </r>
  <r>
    <x v="7"/>
    <s v="JUL"/>
    <x v="26"/>
    <s v="GRSM 4"/>
    <x v="0"/>
    <s v="GMM"/>
    <n v="189901"/>
    <n v="1602016"/>
    <x v="16"/>
    <x v="32"/>
    <s v="BOLOGNESE"/>
    <n v="3400"/>
    <n v="90"/>
    <n v="306000"/>
    <m/>
  </r>
  <r>
    <x v="7"/>
    <s v="JUL"/>
    <x v="26"/>
    <s v="GRSM 4"/>
    <x v="0"/>
    <s v="GMM"/>
    <n v="189901"/>
    <n v="1602016"/>
    <x v="16"/>
    <x v="32"/>
    <s v="CARBONARA"/>
    <n v="3400"/>
    <n v="110"/>
    <n v="374000"/>
    <m/>
  </r>
  <r>
    <x v="7"/>
    <s v="JUL"/>
    <x v="26"/>
    <s v="GRSM 4"/>
    <x v="0"/>
    <s v="GMM"/>
    <n v="189901"/>
    <n v="1602016"/>
    <x v="16"/>
    <x v="32"/>
    <s v="AGLIO OLIO"/>
    <n v="3400"/>
    <n v="80"/>
    <n v="272000"/>
    <m/>
  </r>
  <r>
    <x v="7"/>
    <s v="JUL"/>
    <x v="26"/>
    <s v="GRSM 4"/>
    <x v="0"/>
    <s v="GMM"/>
    <n v="189901"/>
    <n v="1602016"/>
    <x v="16"/>
    <x v="32"/>
    <s v="GORENG"/>
    <n v="3400"/>
    <n v="140"/>
    <n v="476000"/>
    <n v="160"/>
  </r>
  <r>
    <x v="7"/>
    <s v="JUL"/>
    <x v="27"/>
    <s v="GRSM 4"/>
    <x v="0"/>
    <s v="GMM"/>
    <n v="189901"/>
    <n v="1602016"/>
    <x v="16"/>
    <x v="31"/>
    <s v="BOLOGNESE"/>
    <n v="3400"/>
    <n v="200"/>
    <n v="680000"/>
    <m/>
  </r>
  <r>
    <x v="7"/>
    <s v="JUL"/>
    <x v="27"/>
    <s v="GRSM 4"/>
    <x v="0"/>
    <s v="GMM"/>
    <n v="189901"/>
    <n v="1602016"/>
    <x v="16"/>
    <x v="31"/>
    <s v="CARBONARA"/>
    <n v="3400"/>
    <n v="210"/>
    <n v="714000"/>
    <m/>
  </r>
  <r>
    <x v="7"/>
    <s v="JUL"/>
    <x v="27"/>
    <s v="GRSM 4"/>
    <x v="0"/>
    <s v="GMM"/>
    <n v="189901"/>
    <n v="1602016"/>
    <x v="16"/>
    <x v="31"/>
    <s v="AGLIO OLIO"/>
    <n v="3400"/>
    <n v="180"/>
    <n v="612000"/>
    <m/>
  </r>
  <r>
    <x v="7"/>
    <s v="JUL"/>
    <x v="27"/>
    <s v="GRSM 4"/>
    <x v="0"/>
    <s v="GMM"/>
    <n v="189901"/>
    <n v="1602016"/>
    <x v="16"/>
    <x v="31"/>
    <s v="GORENG"/>
    <n v="3400"/>
    <n v="360"/>
    <n v="1224000"/>
    <n v="160"/>
  </r>
  <r>
    <x v="7"/>
    <s v="JUL"/>
    <x v="27"/>
    <s v="GRSM 4"/>
    <x v="0"/>
    <s v="GMM"/>
    <n v="189901"/>
    <n v="1602057"/>
    <x v="10"/>
    <x v="15"/>
    <s v="BOLOGNESE"/>
    <n v="2150"/>
    <n v="107"/>
    <n v="230050"/>
    <m/>
  </r>
  <r>
    <x v="7"/>
    <s v="JUL"/>
    <x v="27"/>
    <s v="GRSM 4"/>
    <x v="0"/>
    <s v="GMM"/>
    <n v="189901"/>
    <n v="1602057"/>
    <x v="10"/>
    <x v="15"/>
    <s v="CARBONARA"/>
    <n v="2150"/>
    <n v="102"/>
    <n v="219300"/>
    <m/>
  </r>
  <r>
    <x v="7"/>
    <s v="JUL"/>
    <x v="27"/>
    <s v="GRSM 4"/>
    <x v="0"/>
    <s v="GMM"/>
    <n v="189901"/>
    <n v="1602057"/>
    <x v="10"/>
    <x v="15"/>
    <s v="AGLIO OLIO"/>
    <n v="2150"/>
    <n v="106"/>
    <n v="227900"/>
    <m/>
  </r>
  <r>
    <x v="7"/>
    <s v="JUL"/>
    <x v="27"/>
    <s v="GRSM 4"/>
    <x v="0"/>
    <s v="GMM"/>
    <n v="189901"/>
    <n v="1602057"/>
    <x v="10"/>
    <x v="15"/>
    <s v="GORENG"/>
    <n v="2000"/>
    <n v="191"/>
    <n v="382000"/>
    <n v="160"/>
  </r>
  <r>
    <x v="7"/>
    <s v="JUL"/>
    <x v="27"/>
    <s v="GRSM 4"/>
    <x v="0"/>
    <s v="GMM"/>
    <n v="189901"/>
    <n v="1602057"/>
    <x v="10"/>
    <x v="24"/>
    <s v="BOLOGNESE"/>
    <n v="2150"/>
    <n v="115"/>
    <n v="247250"/>
    <m/>
  </r>
  <r>
    <x v="7"/>
    <s v="JUL"/>
    <x v="27"/>
    <s v="GRSM 4"/>
    <x v="0"/>
    <s v="GMM"/>
    <n v="189901"/>
    <n v="1602057"/>
    <x v="10"/>
    <x v="24"/>
    <s v="CARBONARA"/>
    <n v="2150"/>
    <n v="108"/>
    <n v="232200"/>
    <m/>
  </r>
  <r>
    <x v="7"/>
    <s v="JUL"/>
    <x v="27"/>
    <s v="GRSM 4"/>
    <x v="0"/>
    <s v="GMM"/>
    <n v="189901"/>
    <n v="1602057"/>
    <x v="10"/>
    <x v="24"/>
    <s v="AGLIO OLIO"/>
    <n v="2150"/>
    <n v="112"/>
    <n v="240800"/>
    <m/>
  </r>
  <r>
    <x v="7"/>
    <s v="JUL"/>
    <x v="27"/>
    <s v="GRSM 4"/>
    <x v="0"/>
    <s v="GMM"/>
    <n v="189901"/>
    <n v="1602057"/>
    <x v="10"/>
    <x v="24"/>
    <s v="GORENG"/>
    <n v="2000"/>
    <n v="201"/>
    <n v="402000"/>
    <n v="160"/>
  </r>
  <r>
    <x v="7"/>
    <s v="JUL"/>
    <x v="27"/>
    <s v="GRSM 4"/>
    <x v="0"/>
    <s v="GMM"/>
    <n v="103257"/>
    <n v="9162509"/>
    <x v="25"/>
    <x v="8"/>
    <s v="BOLOGNESE"/>
    <n v="3200"/>
    <n v="90"/>
    <n v="288000"/>
    <m/>
  </r>
  <r>
    <x v="7"/>
    <s v="JUL"/>
    <x v="27"/>
    <s v="GRSM 4"/>
    <x v="0"/>
    <s v="GMM"/>
    <n v="103257"/>
    <n v="9162509"/>
    <x v="25"/>
    <x v="8"/>
    <s v="CARBONARA"/>
    <n v="3200"/>
    <n v="85"/>
    <n v="272000"/>
    <m/>
  </r>
  <r>
    <x v="7"/>
    <s v="JUL"/>
    <x v="27"/>
    <s v="GRSM 4"/>
    <x v="0"/>
    <s v="GMM"/>
    <n v="103257"/>
    <n v="9162509"/>
    <x v="25"/>
    <x v="8"/>
    <s v="AGLIO OLIO"/>
    <n v="3200"/>
    <n v="88"/>
    <n v="281600"/>
    <m/>
  </r>
  <r>
    <x v="7"/>
    <s v="JUL"/>
    <x v="27"/>
    <s v="GRSM 4"/>
    <x v="0"/>
    <s v="GMM"/>
    <n v="103257"/>
    <n v="9162509"/>
    <x v="25"/>
    <x v="8"/>
    <s v="GORENG"/>
    <n v="3200"/>
    <n v="97"/>
    <n v="310400"/>
    <n v="160"/>
  </r>
  <r>
    <x v="7"/>
    <s v="JUL"/>
    <x v="27"/>
    <s v="GRSM 4"/>
    <x v="0"/>
    <s v="GMM"/>
    <n v="189901"/>
    <n v="1602018"/>
    <x v="14"/>
    <x v="22"/>
    <s v="BOLOGNESE"/>
    <n v="3500"/>
    <n v="40"/>
    <n v="140000"/>
    <m/>
  </r>
  <r>
    <x v="7"/>
    <s v="JUL"/>
    <x v="27"/>
    <s v="GRSM 4"/>
    <x v="0"/>
    <s v="GMM"/>
    <n v="189901"/>
    <n v="1602018"/>
    <x v="14"/>
    <x v="22"/>
    <s v="CARBONARA"/>
    <n v="3500"/>
    <n v="40"/>
    <n v="140000"/>
    <m/>
  </r>
  <r>
    <x v="7"/>
    <s v="JUL"/>
    <x v="27"/>
    <s v="GRSM 4"/>
    <x v="0"/>
    <s v="GMM"/>
    <n v="189901"/>
    <n v="1602018"/>
    <x v="14"/>
    <x v="22"/>
    <s v="AGLIO OLIO"/>
    <n v="3500"/>
    <n v="35"/>
    <n v="122500"/>
    <m/>
  </r>
  <r>
    <x v="7"/>
    <s v="JUL"/>
    <x v="27"/>
    <s v="GRSM 4"/>
    <x v="0"/>
    <s v="GMM"/>
    <n v="189901"/>
    <n v="1602018"/>
    <x v="14"/>
    <x v="22"/>
    <s v="GORENG"/>
    <n v="3500"/>
    <n v="150"/>
    <n v="525000"/>
    <n v="160"/>
  </r>
  <r>
    <x v="7"/>
    <s v="JUL"/>
    <x v="27"/>
    <s v="GRSM 4"/>
    <x v="0"/>
    <s v="GMM"/>
    <n v="189901"/>
    <n v="1602008"/>
    <x v="13"/>
    <x v="14"/>
    <s v="BOLOGNESE"/>
    <n v="3300"/>
    <n v="35"/>
    <n v="115500"/>
    <m/>
  </r>
  <r>
    <x v="7"/>
    <s v="JUL"/>
    <x v="27"/>
    <s v="GRSM 4"/>
    <x v="0"/>
    <s v="GMM"/>
    <n v="189901"/>
    <n v="1602008"/>
    <x v="13"/>
    <x v="14"/>
    <s v="CARBONARA"/>
    <n v="3300"/>
    <n v="50"/>
    <n v="165000"/>
    <m/>
  </r>
  <r>
    <x v="7"/>
    <s v="JUL"/>
    <x v="27"/>
    <s v="GRSM 4"/>
    <x v="0"/>
    <s v="GMM"/>
    <n v="189901"/>
    <n v="1602008"/>
    <x v="13"/>
    <x v="14"/>
    <s v="AGLIO OLIO"/>
    <n v="3300"/>
    <n v="20"/>
    <n v="66000"/>
    <m/>
  </r>
  <r>
    <x v="7"/>
    <s v="JUL"/>
    <x v="27"/>
    <s v="GRSM 4"/>
    <x v="0"/>
    <s v="GMM"/>
    <n v="189901"/>
    <n v="1602008"/>
    <x v="13"/>
    <x v="14"/>
    <s v="GORENG"/>
    <n v="3300"/>
    <n v="105"/>
    <n v="346500"/>
    <n v="160"/>
  </r>
  <r>
    <x v="7"/>
    <s v="JUL"/>
    <x v="25"/>
    <s v="GRSM 4"/>
    <x v="0"/>
    <s v="GMM"/>
    <n v="103257"/>
    <n v="9162509"/>
    <x v="25"/>
    <x v="50"/>
    <s v="BOLOGNESE"/>
    <n v="3200"/>
    <n v="63"/>
    <n v="201600"/>
    <m/>
  </r>
  <r>
    <x v="7"/>
    <s v="JUL"/>
    <x v="25"/>
    <s v="GRSM 4"/>
    <x v="0"/>
    <s v="GMM"/>
    <n v="103257"/>
    <n v="9162509"/>
    <x v="25"/>
    <x v="50"/>
    <s v="CARBONARA"/>
    <n v="3200"/>
    <n v="59"/>
    <n v="188800"/>
    <m/>
  </r>
  <r>
    <x v="7"/>
    <s v="JUL"/>
    <x v="25"/>
    <s v="GRSM 4"/>
    <x v="0"/>
    <s v="GMM"/>
    <n v="103257"/>
    <n v="9162509"/>
    <x v="25"/>
    <x v="50"/>
    <s v="AGLIO OLIO"/>
    <n v="3200"/>
    <n v="47"/>
    <n v="150400"/>
    <m/>
  </r>
  <r>
    <x v="7"/>
    <s v="JUL"/>
    <x v="25"/>
    <s v="GRSM 4"/>
    <x v="0"/>
    <s v="GMM"/>
    <n v="103257"/>
    <n v="9162509"/>
    <x v="25"/>
    <x v="50"/>
    <s v="GORENG"/>
    <n v="3200"/>
    <n v="89"/>
    <n v="284800"/>
    <n v="160"/>
  </r>
  <r>
    <x v="7"/>
    <s v="JUL"/>
    <x v="25"/>
    <s v="GRSM 4"/>
    <x v="0"/>
    <s v="GMM"/>
    <n v="189901"/>
    <n v="1602018"/>
    <x v="14"/>
    <x v="23"/>
    <s v="BOLOGNESE"/>
    <n v="3500"/>
    <n v="40"/>
    <n v="140000"/>
    <m/>
  </r>
  <r>
    <x v="7"/>
    <s v="JUL"/>
    <x v="25"/>
    <s v="GRSM 4"/>
    <x v="0"/>
    <s v="GMM"/>
    <n v="189901"/>
    <n v="1602018"/>
    <x v="14"/>
    <x v="23"/>
    <s v="CARBONARA"/>
    <n v="3500"/>
    <n v="40"/>
    <n v="140000"/>
    <m/>
  </r>
  <r>
    <x v="7"/>
    <s v="JUL"/>
    <x v="25"/>
    <s v="GRSM 4"/>
    <x v="0"/>
    <s v="GMM"/>
    <n v="189901"/>
    <n v="1602018"/>
    <x v="14"/>
    <x v="23"/>
    <s v="AGLIO OLIO"/>
    <n v="3500"/>
    <n v="35"/>
    <n v="122500"/>
    <m/>
  </r>
  <r>
    <x v="7"/>
    <s v="JUL"/>
    <x v="25"/>
    <s v="GRSM 4"/>
    <x v="0"/>
    <s v="GMM"/>
    <n v="189901"/>
    <n v="1602018"/>
    <x v="14"/>
    <x v="23"/>
    <s v="GORENG"/>
    <n v="3500"/>
    <n v="80"/>
    <n v="280000"/>
    <n v="160"/>
  </r>
  <r>
    <x v="7"/>
    <s v="JUL"/>
    <x v="26"/>
    <s v="GRSM 4"/>
    <x v="0"/>
    <s v="GMM"/>
    <n v="103257"/>
    <n v="9162509"/>
    <x v="25"/>
    <x v="50"/>
    <s v="BOLOGNESE"/>
    <n v="3200"/>
    <n v="76"/>
    <n v="243200"/>
    <m/>
  </r>
  <r>
    <x v="7"/>
    <s v="JUL"/>
    <x v="26"/>
    <s v="GRSM 4"/>
    <x v="0"/>
    <s v="GMM"/>
    <n v="103257"/>
    <n v="9162509"/>
    <x v="25"/>
    <x v="50"/>
    <s v="CARBONARA"/>
    <n v="3200"/>
    <n v="65"/>
    <n v="208000"/>
    <m/>
  </r>
  <r>
    <x v="7"/>
    <s v="JUL"/>
    <x v="26"/>
    <s v="GRSM 4"/>
    <x v="0"/>
    <s v="GMM"/>
    <n v="103257"/>
    <n v="9162509"/>
    <x v="25"/>
    <x v="50"/>
    <s v="AGLIO OLIO"/>
    <n v="3200"/>
    <n v="69"/>
    <n v="220800"/>
    <m/>
  </r>
  <r>
    <x v="7"/>
    <s v="JUL"/>
    <x v="26"/>
    <s v="GRSM 4"/>
    <x v="0"/>
    <s v="GMM"/>
    <n v="103257"/>
    <n v="9162509"/>
    <x v="25"/>
    <x v="50"/>
    <s v="GORENG"/>
    <n v="3200"/>
    <n v="94"/>
    <n v="300800"/>
    <n v="160"/>
  </r>
  <r>
    <x v="7"/>
    <s v="JUL"/>
    <x v="27"/>
    <s v="GRSM 4"/>
    <x v="0"/>
    <s v="GMM"/>
    <n v="103257"/>
    <n v="9162509"/>
    <x v="25"/>
    <x v="50"/>
    <s v="BOLOGNESE"/>
    <n v="3200"/>
    <n v="90"/>
    <n v="288000"/>
    <m/>
  </r>
  <r>
    <x v="7"/>
    <s v="JUL"/>
    <x v="27"/>
    <s v="GRSM 4"/>
    <x v="0"/>
    <s v="GMM"/>
    <n v="103257"/>
    <n v="9162509"/>
    <x v="25"/>
    <x v="50"/>
    <s v="CARBONARA"/>
    <n v="3200"/>
    <n v="85"/>
    <n v="272000"/>
    <m/>
  </r>
  <r>
    <x v="7"/>
    <s v="JUL"/>
    <x v="27"/>
    <s v="GRSM 4"/>
    <x v="0"/>
    <s v="GMM"/>
    <n v="103257"/>
    <n v="9162509"/>
    <x v="25"/>
    <x v="50"/>
    <s v="AGLIO OLIO"/>
    <n v="3200"/>
    <n v="88"/>
    <n v="281600"/>
    <m/>
  </r>
  <r>
    <x v="7"/>
    <s v="JUL"/>
    <x v="27"/>
    <s v="GRSM 4"/>
    <x v="0"/>
    <s v="GMM"/>
    <n v="103257"/>
    <n v="9162509"/>
    <x v="25"/>
    <x v="50"/>
    <s v="GORENG"/>
    <n v="3200"/>
    <n v="97"/>
    <n v="310400"/>
    <n v="160"/>
  </r>
  <r>
    <x v="7"/>
    <s v="JUL"/>
    <x v="27"/>
    <s v="GRSM 4"/>
    <x v="0"/>
    <s v="GMM"/>
    <n v="189901"/>
    <n v="1602016"/>
    <x v="16"/>
    <x v="32"/>
    <s v="BOLOGNESE"/>
    <n v="3400"/>
    <n v="200"/>
    <n v="680000"/>
    <m/>
  </r>
  <r>
    <x v="7"/>
    <s v="JUL"/>
    <x v="27"/>
    <s v="GRSM 4"/>
    <x v="0"/>
    <s v="GMM"/>
    <n v="189901"/>
    <n v="1602016"/>
    <x v="16"/>
    <x v="32"/>
    <s v="CARBONARA"/>
    <n v="3400"/>
    <n v="210"/>
    <n v="714000"/>
    <m/>
  </r>
  <r>
    <x v="7"/>
    <s v="JUL"/>
    <x v="27"/>
    <s v="GRSM 4"/>
    <x v="0"/>
    <s v="GMM"/>
    <n v="189901"/>
    <n v="1602016"/>
    <x v="16"/>
    <x v="32"/>
    <s v="AGLIO OLIO"/>
    <n v="3400"/>
    <n v="180"/>
    <n v="612000"/>
    <m/>
  </r>
  <r>
    <x v="7"/>
    <s v="JUL"/>
    <x v="27"/>
    <s v="GRSM 4"/>
    <x v="0"/>
    <s v="GMM"/>
    <n v="189901"/>
    <n v="1602016"/>
    <x v="16"/>
    <x v="32"/>
    <s v="GORENG"/>
    <n v="3400"/>
    <n v="360"/>
    <n v="1224000"/>
    <n v="160"/>
  </r>
  <r>
    <x v="7"/>
    <s v="JUL"/>
    <x v="27"/>
    <s v="GRSM 4"/>
    <x v="0"/>
    <s v="GMM"/>
    <n v="189901"/>
    <n v="1602018"/>
    <x v="14"/>
    <x v="30"/>
    <s v="BOLOGNESE"/>
    <n v="3500"/>
    <n v="40"/>
    <n v="140000"/>
    <m/>
  </r>
  <r>
    <x v="7"/>
    <s v="JUL"/>
    <x v="27"/>
    <s v="GRSM 4"/>
    <x v="0"/>
    <s v="GMM"/>
    <n v="189901"/>
    <n v="1602018"/>
    <x v="14"/>
    <x v="30"/>
    <s v="CARBONARA"/>
    <n v="3500"/>
    <n v="40"/>
    <n v="140000"/>
    <m/>
  </r>
  <r>
    <x v="7"/>
    <s v="JUL"/>
    <x v="27"/>
    <s v="GRSM 4"/>
    <x v="0"/>
    <s v="GMM"/>
    <n v="189901"/>
    <n v="1602018"/>
    <x v="14"/>
    <x v="30"/>
    <s v="AGLIO OLIO"/>
    <n v="3500"/>
    <n v="35"/>
    <n v="122500"/>
    <m/>
  </r>
  <r>
    <x v="7"/>
    <s v="JUL"/>
    <x v="27"/>
    <s v="GRSM 4"/>
    <x v="0"/>
    <s v="GMM"/>
    <n v="189901"/>
    <n v="1602018"/>
    <x v="14"/>
    <x v="30"/>
    <s v="GORENG"/>
    <n v="3500"/>
    <n v="150"/>
    <n v="525000"/>
    <n v="160"/>
  </r>
  <r>
    <x v="7"/>
    <s v="JUL"/>
    <x v="25"/>
    <s v="GRSM 5"/>
    <x v="1"/>
    <s v="GMM"/>
    <n v="170220"/>
    <n v="9000015"/>
    <x v="15"/>
    <x v="29"/>
    <s v="BOLOGNESE"/>
    <n v="2200"/>
    <n v="59"/>
    <n v="129800"/>
    <m/>
  </r>
  <r>
    <x v="7"/>
    <s v="JUL"/>
    <x v="25"/>
    <s v="GRSM 5"/>
    <x v="1"/>
    <s v="GMM"/>
    <n v="170220"/>
    <n v="9000015"/>
    <x v="15"/>
    <x v="29"/>
    <s v="CARBONARA"/>
    <n v="2200"/>
    <n v="48"/>
    <n v="105600"/>
    <m/>
  </r>
  <r>
    <x v="7"/>
    <s v="JUL"/>
    <x v="25"/>
    <s v="GRSM 5"/>
    <x v="1"/>
    <s v="GMM"/>
    <n v="170220"/>
    <n v="9000015"/>
    <x v="15"/>
    <x v="29"/>
    <s v="AGLIO OLIO"/>
    <n v="2200"/>
    <n v="23"/>
    <n v="50600"/>
    <m/>
  </r>
  <r>
    <x v="7"/>
    <s v="JUL"/>
    <x v="25"/>
    <s v="GRSM 5"/>
    <x v="1"/>
    <s v="GMM"/>
    <n v="170220"/>
    <n v="9000015"/>
    <x v="15"/>
    <x v="29"/>
    <s v="GORENG"/>
    <n v="2200"/>
    <n v="487"/>
    <n v="1071400"/>
    <n v="72"/>
  </r>
  <r>
    <x v="7"/>
    <s v="JUL"/>
    <x v="25"/>
    <s v="GRSM 5"/>
    <x v="1"/>
    <s v="GMM"/>
    <n v="170220"/>
    <n v="1901019"/>
    <x v="19"/>
    <x v="37"/>
    <s v="BOLOGNESE"/>
    <n v="2200"/>
    <n v="72"/>
    <n v="158400"/>
    <m/>
  </r>
  <r>
    <x v="7"/>
    <s v="JUL"/>
    <x v="25"/>
    <s v="GRSM 5"/>
    <x v="1"/>
    <s v="GMM"/>
    <n v="170220"/>
    <n v="1901019"/>
    <x v="19"/>
    <x v="37"/>
    <s v="CARBONARA"/>
    <n v="2200"/>
    <n v="56"/>
    <n v="123200"/>
    <m/>
  </r>
  <r>
    <x v="7"/>
    <s v="JUL"/>
    <x v="25"/>
    <s v="GRSM 5"/>
    <x v="1"/>
    <s v="GMM"/>
    <n v="170220"/>
    <n v="1901019"/>
    <x v="19"/>
    <x v="37"/>
    <s v="AGLIO OLIO"/>
    <n v="2200"/>
    <n v="92"/>
    <n v="202400"/>
    <m/>
  </r>
  <r>
    <x v="7"/>
    <s v="JUL"/>
    <x v="25"/>
    <s v="GRSM 5"/>
    <x v="1"/>
    <s v="GMM"/>
    <n v="170220"/>
    <n v="1901019"/>
    <x v="19"/>
    <x v="37"/>
    <s v="GORENG"/>
    <n v="2200"/>
    <n v="176"/>
    <n v="387200"/>
    <n v="160"/>
  </r>
  <r>
    <x v="7"/>
    <s v="JUL"/>
    <x v="25"/>
    <s v="GRSM 5"/>
    <x v="1"/>
    <s v="GMM"/>
    <n v="170220"/>
    <n v="1901019"/>
    <x v="19"/>
    <x v="38"/>
    <s v="BOLOGNESE"/>
    <n v="2200"/>
    <n v="72"/>
    <n v="158400"/>
    <m/>
  </r>
  <r>
    <x v="7"/>
    <s v="JUL"/>
    <x v="25"/>
    <s v="GRSM 5"/>
    <x v="1"/>
    <s v="GMM"/>
    <n v="170220"/>
    <n v="1901019"/>
    <x v="19"/>
    <x v="38"/>
    <s v="CARBONARA"/>
    <n v="2200"/>
    <n v="56"/>
    <n v="123200"/>
    <m/>
  </r>
  <r>
    <x v="7"/>
    <s v="JUL"/>
    <x v="25"/>
    <s v="GRSM 5"/>
    <x v="1"/>
    <s v="GMM"/>
    <n v="170220"/>
    <n v="1901019"/>
    <x v="19"/>
    <x v="38"/>
    <s v="AGLIO OLIO"/>
    <n v="2200"/>
    <n v="92"/>
    <n v="202400"/>
    <m/>
  </r>
  <r>
    <x v="7"/>
    <s v="JUL"/>
    <x v="25"/>
    <s v="GRSM 5"/>
    <x v="1"/>
    <s v="GMM"/>
    <n v="170220"/>
    <n v="1901019"/>
    <x v="19"/>
    <x v="38"/>
    <s v="GORENG"/>
    <n v="2200"/>
    <n v="176"/>
    <n v="387200"/>
    <n v="160"/>
  </r>
  <r>
    <x v="7"/>
    <s v="JUL"/>
    <x v="25"/>
    <s v="GRSM 5"/>
    <x v="1"/>
    <s v="GMM"/>
    <n v="170220"/>
    <n v="9000015"/>
    <x v="18"/>
    <x v="35"/>
    <s v="BOLOGNESE"/>
    <n v="2200"/>
    <n v="120"/>
    <n v="264000"/>
    <m/>
  </r>
  <r>
    <x v="7"/>
    <s v="JUL"/>
    <x v="25"/>
    <s v="GRSM 5"/>
    <x v="1"/>
    <s v="GMM"/>
    <n v="170220"/>
    <n v="9000015"/>
    <x v="18"/>
    <x v="35"/>
    <s v="CARBONARA"/>
    <n v="2200"/>
    <n v="236"/>
    <n v="519200"/>
    <m/>
  </r>
  <r>
    <x v="7"/>
    <s v="JUL"/>
    <x v="25"/>
    <s v="GRSM 5"/>
    <x v="1"/>
    <s v="GMM"/>
    <n v="170220"/>
    <n v="9000015"/>
    <x v="18"/>
    <x v="35"/>
    <s v="AGLIO OLIO"/>
    <n v="2200"/>
    <n v="47"/>
    <n v="103400"/>
    <m/>
  </r>
  <r>
    <x v="7"/>
    <s v="JUL"/>
    <x v="25"/>
    <s v="GRSM 5"/>
    <x v="1"/>
    <s v="GMM"/>
    <n v="170220"/>
    <n v="9000015"/>
    <x v="18"/>
    <x v="35"/>
    <s v="GORENG"/>
    <n v="2200"/>
    <n v="361"/>
    <n v="794200"/>
    <n v="160"/>
  </r>
  <r>
    <x v="7"/>
    <s v="JUL"/>
    <x v="25"/>
    <s v="GRSM 5"/>
    <x v="1"/>
    <s v="GMM"/>
    <n v="170220"/>
    <n v="9000015"/>
    <x v="18"/>
    <x v="36"/>
    <s v="BOLOGNESE"/>
    <n v="2200"/>
    <n v="120"/>
    <n v="264000"/>
    <m/>
  </r>
  <r>
    <x v="7"/>
    <s v="JUL"/>
    <x v="25"/>
    <s v="GRSM 5"/>
    <x v="1"/>
    <s v="GMM"/>
    <n v="170220"/>
    <n v="9000015"/>
    <x v="18"/>
    <x v="36"/>
    <s v="CARBONARA"/>
    <n v="2200"/>
    <n v="236"/>
    <n v="519200"/>
    <m/>
  </r>
  <r>
    <x v="7"/>
    <s v="JUL"/>
    <x v="25"/>
    <s v="GRSM 5"/>
    <x v="1"/>
    <s v="GMM"/>
    <n v="170220"/>
    <n v="9000015"/>
    <x v="18"/>
    <x v="36"/>
    <s v="AGLIO OLIO"/>
    <n v="2200"/>
    <n v="47"/>
    <n v="103400"/>
    <m/>
  </r>
  <r>
    <x v="7"/>
    <s v="JUL"/>
    <x v="25"/>
    <s v="GRSM 5"/>
    <x v="1"/>
    <s v="GMM"/>
    <n v="170220"/>
    <n v="9000015"/>
    <x v="18"/>
    <x v="36"/>
    <s v="GORENG"/>
    <n v="2200"/>
    <n v="361"/>
    <n v="794200"/>
    <n v="160"/>
  </r>
  <r>
    <x v="7"/>
    <s v="JUL"/>
    <x v="25"/>
    <s v="GRSM 5"/>
    <x v="1"/>
    <s v="GMM"/>
    <n v="170220"/>
    <n v="1901004"/>
    <x v="17"/>
    <x v="34"/>
    <s v="BOLOGNESE"/>
    <n v="2200"/>
    <n v="40"/>
    <n v="88000"/>
    <m/>
  </r>
  <r>
    <x v="7"/>
    <s v="JUL"/>
    <x v="25"/>
    <s v="GRSM 5"/>
    <x v="1"/>
    <s v="GMM"/>
    <n v="170220"/>
    <n v="1901004"/>
    <x v="17"/>
    <x v="34"/>
    <s v="CARBONARA"/>
    <n v="2200"/>
    <n v="160"/>
    <n v="352000"/>
    <m/>
  </r>
  <r>
    <x v="7"/>
    <s v="JUL"/>
    <x v="25"/>
    <s v="GRSM 5"/>
    <x v="1"/>
    <s v="GMM"/>
    <n v="170220"/>
    <n v="1901004"/>
    <x v="17"/>
    <x v="34"/>
    <s v="AGLIO OLIO"/>
    <n v="2200"/>
    <n v="80"/>
    <n v="176000"/>
    <m/>
  </r>
  <r>
    <x v="7"/>
    <s v="JUL"/>
    <x v="25"/>
    <s v="GRSM 5"/>
    <x v="1"/>
    <s v="GMM"/>
    <n v="170220"/>
    <n v="1901004"/>
    <x v="17"/>
    <x v="34"/>
    <s v="GORENG"/>
    <n v="2200"/>
    <n v="200"/>
    <n v="440000"/>
    <n v="160"/>
  </r>
  <r>
    <x v="7"/>
    <s v="JUL"/>
    <x v="25"/>
    <s v="GRSM 5"/>
    <x v="1"/>
    <s v="GMM"/>
    <n v="170220"/>
    <n v="1901004"/>
    <x v="17"/>
    <x v="51"/>
    <s v="BOLOGNESE"/>
    <n v="2200"/>
    <n v="40"/>
    <n v="88000"/>
    <m/>
  </r>
  <r>
    <x v="7"/>
    <s v="JUL"/>
    <x v="25"/>
    <s v="GRSM 5"/>
    <x v="1"/>
    <s v="GMM"/>
    <n v="170220"/>
    <n v="1901004"/>
    <x v="17"/>
    <x v="51"/>
    <s v="CARBONARA"/>
    <n v="2200"/>
    <n v="160"/>
    <n v="352000"/>
    <m/>
  </r>
  <r>
    <x v="7"/>
    <s v="JUL"/>
    <x v="25"/>
    <s v="GRSM 5"/>
    <x v="1"/>
    <s v="GMM"/>
    <n v="170220"/>
    <n v="1901004"/>
    <x v="17"/>
    <x v="51"/>
    <s v="AGLIO OLIO"/>
    <n v="2200"/>
    <n v="80"/>
    <n v="176000"/>
    <m/>
  </r>
  <r>
    <x v="7"/>
    <s v="JUL"/>
    <x v="25"/>
    <s v="GRSM 5"/>
    <x v="1"/>
    <s v="GMM"/>
    <n v="170220"/>
    <n v="1901004"/>
    <x v="17"/>
    <x v="51"/>
    <s v="GORENG"/>
    <n v="2200"/>
    <n v="200"/>
    <n v="440000"/>
    <n v="160"/>
  </r>
  <r>
    <x v="7"/>
    <s v="JUL"/>
    <x v="26"/>
    <s v="GRSM 5"/>
    <x v="1"/>
    <s v="GMM"/>
    <n v="170220"/>
    <n v="9000015"/>
    <x v="15"/>
    <x v="29"/>
    <s v="BOLOGNESE"/>
    <n v="2200"/>
    <n v="53"/>
    <n v="116600"/>
    <m/>
  </r>
  <r>
    <x v="7"/>
    <s v="JUL"/>
    <x v="26"/>
    <s v="GRSM 5"/>
    <x v="1"/>
    <s v="GMM"/>
    <n v="170220"/>
    <n v="9000015"/>
    <x v="15"/>
    <x v="29"/>
    <s v="CARBONARA"/>
    <n v="2200"/>
    <n v="90"/>
    <n v="198000"/>
    <m/>
  </r>
  <r>
    <x v="7"/>
    <s v="JUL"/>
    <x v="26"/>
    <s v="GRSM 5"/>
    <x v="1"/>
    <s v="GMM"/>
    <n v="170220"/>
    <n v="9000015"/>
    <x v="15"/>
    <x v="29"/>
    <s v="AGLIO OLIO"/>
    <n v="2200"/>
    <n v="31"/>
    <n v="68200"/>
    <m/>
  </r>
  <r>
    <x v="7"/>
    <s v="JUL"/>
    <x v="26"/>
    <s v="GRSM 5"/>
    <x v="1"/>
    <s v="GMM"/>
    <n v="170220"/>
    <n v="9000015"/>
    <x v="15"/>
    <x v="29"/>
    <s v="GORENG"/>
    <n v="2200"/>
    <n v="195"/>
    <n v="429000"/>
    <n v="120"/>
  </r>
  <r>
    <x v="7"/>
    <s v="JUL"/>
    <x v="26"/>
    <s v="GRSM 5"/>
    <x v="1"/>
    <s v="GMM"/>
    <n v="170220"/>
    <n v="9000015"/>
    <x v="15"/>
    <x v="28"/>
    <s v="BOLOGNESE"/>
    <n v="2200"/>
    <n v="53"/>
    <n v="116600"/>
    <m/>
  </r>
  <r>
    <x v="7"/>
    <s v="JUL"/>
    <x v="26"/>
    <s v="GRSM 5"/>
    <x v="1"/>
    <s v="GMM"/>
    <n v="170220"/>
    <n v="9000015"/>
    <x v="15"/>
    <x v="28"/>
    <s v="CARBONARA"/>
    <n v="2200"/>
    <n v="90"/>
    <n v="198000"/>
    <m/>
  </r>
  <r>
    <x v="7"/>
    <s v="JUL"/>
    <x v="26"/>
    <s v="GRSM 5"/>
    <x v="1"/>
    <s v="GMM"/>
    <n v="170220"/>
    <n v="9000015"/>
    <x v="15"/>
    <x v="28"/>
    <s v="AGLIO OLIO"/>
    <n v="2200"/>
    <n v="31"/>
    <n v="68200"/>
    <m/>
  </r>
  <r>
    <x v="7"/>
    <s v="JUL"/>
    <x v="26"/>
    <s v="GRSM 5"/>
    <x v="1"/>
    <s v="GMM"/>
    <n v="170220"/>
    <n v="9000015"/>
    <x v="15"/>
    <x v="28"/>
    <s v="GORENG"/>
    <n v="2200"/>
    <n v="195"/>
    <n v="429000"/>
    <n v="120"/>
  </r>
  <r>
    <x v="7"/>
    <s v="JUL"/>
    <x v="26"/>
    <s v="GRSM 5"/>
    <x v="1"/>
    <s v="GMM"/>
    <n v="170220"/>
    <n v="9000015"/>
    <x v="18"/>
    <x v="35"/>
    <s v="BOLOGNESE"/>
    <n v="2200"/>
    <n v="119"/>
    <n v="261800"/>
    <m/>
  </r>
  <r>
    <x v="7"/>
    <s v="JUL"/>
    <x v="26"/>
    <s v="GRSM 5"/>
    <x v="1"/>
    <s v="GMM"/>
    <n v="170220"/>
    <n v="9000015"/>
    <x v="18"/>
    <x v="35"/>
    <s v="CARBONARA"/>
    <n v="2200"/>
    <n v="281"/>
    <n v="618200"/>
    <m/>
  </r>
  <r>
    <x v="7"/>
    <s v="JUL"/>
    <x v="26"/>
    <s v="GRSM 5"/>
    <x v="1"/>
    <s v="GMM"/>
    <n v="170220"/>
    <n v="9000015"/>
    <x v="18"/>
    <x v="35"/>
    <s v="AGLIO OLIO"/>
    <n v="2200"/>
    <n v="82"/>
    <n v="180400"/>
    <m/>
  </r>
  <r>
    <x v="7"/>
    <s v="JUL"/>
    <x v="26"/>
    <s v="GRSM 5"/>
    <x v="1"/>
    <s v="GMM"/>
    <n v="170220"/>
    <n v="9000015"/>
    <x v="18"/>
    <x v="35"/>
    <s v="GORENG"/>
    <n v="2200"/>
    <n v="320"/>
    <n v="704000"/>
    <n v="160"/>
  </r>
  <r>
    <x v="7"/>
    <s v="JUL"/>
    <x v="26"/>
    <s v="GRSM 5"/>
    <x v="1"/>
    <s v="GMM"/>
    <n v="170220"/>
    <n v="9000015"/>
    <x v="18"/>
    <x v="36"/>
    <s v="BOLOGNESE"/>
    <n v="2200"/>
    <n v="119"/>
    <n v="261800"/>
    <m/>
  </r>
  <r>
    <x v="7"/>
    <s v="JUL"/>
    <x v="26"/>
    <s v="GRSM 5"/>
    <x v="1"/>
    <s v="GMM"/>
    <n v="170220"/>
    <n v="9000015"/>
    <x v="18"/>
    <x v="36"/>
    <s v="CARBONARA"/>
    <n v="2200"/>
    <n v="281"/>
    <n v="618200"/>
    <m/>
  </r>
  <r>
    <x v="7"/>
    <s v="JUL"/>
    <x v="26"/>
    <s v="GRSM 5"/>
    <x v="1"/>
    <s v="GMM"/>
    <n v="170220"/>
    <n v="9000015"/>
    <x v="18"/>
    <x v="36"/>
    <s v="AGLIO OLIO"/>
    <n v="2200"/>
    <n v="82"/>
    <n v="180400"/>
    <m/>
  </r>
  <r>
    <x v="7"/>
    <s v="JUL"/>
    <x v="26"/>
    <s v="GRSM 5"/>
    <x v="1"/>
    <s v="GMM"/>
    <n v="170220"/>
    <n v="9000015"/>
    <x v="18"/>
    <x v="36"/>
    <s v="GORENG"/>
    <n v="2200"/>
    <n v="320"/>
    <n v="704000"/>
    <n v="160"/>
  </r>
  <r>
    <x v="7"/>
    <s v="JUL"/>
    <x v="26"/>
    <s v="GRSM 5"/>
    <x v="1"/>
    <s v="GMM"/>
    <n v="170220"/>
    <n v="1901004"/>
    <x v="17"/>
    <x v="34"/>
    <s v="BOLOGNESE"/>
    <n v="2200"/>
    <n v="120"/>
    <n v="264000"/>
    <m/>
  </r>
  <r>
    <x v="7"/>
    <s v="JUL"/>
    <x v="26"/>
    <s v="GRSM 5"/>
    <x v="1"/>
    <s v="GMM"/>
    <n v="170220"/>
    <n v="1901004"/>
    <x v="17"/>
    <x v="34"/>
    <s v="CARBONARA"/>
    <n v="2200"/>
    <n v="200"/>
    <n v="440000"/>
    <m/>
  </r>
  <r>
    <x v="7"/>
    <s v="JUL"/>
    <x v="26"/>
    <s v="GRSM 5"/>
    <x v="1"/>
    <s v="GMM"/>
    <n v="170220"/>
    <n v="1901004"/>
    <x v="17"/>
    <x v="34"/>
    <s v="AGLIO OLIO"/>
    <n v="2200"/>
    <n v="80"/>
    <n v="176000"/>
    <m/>
  </r>
  <r>
    <x v="7"/>
    <s v="JUL"/>
    <x v="26"/>
    <s v="GRSM 5"/>
    <x v="1"/>
    <s v="GMM"/>
    <n v="170220"/>
    <n v="1901004"/>
    <x v="17"/>
    <x v="34"/>
    <s v="GORENG"/>
    <n v="2200"/>
    <n v="280"/>
    <n v="616000"/>
    <n v="160"/>
  </r>
  <r>
    <x v="7"/>
    <s v="JUL"/>
    <x v="26"/>
    <s v="GRSM 5"/>
    <x v="1"/>
    <s v="GMM"/>
    <n v="170220"/>
    <n v="1901004"/>
    <x v="17"/>
    <x v="33"/>
    <s v="BOLOGNESE"/>
    <n v="2200"/>
    <n v="120"/>
    <n v="264000"/>
    <m/>
  </r>
  <r>
    <x v="7"/>
    <s v="JUL"/>
    <x v="26"/>
    <s v="GRSM 5"/>
    <x v="1"/>
    <s v="GMM"/>
    <n v="170220"/>
    <n v="1901004"/>
    <x v="17"/>
    <x v="33"/>
    <s v="CARBONARA"/>
    <n v="2200"/>
    <n v="200"/>
    <n v="440000"/>
    <m/>
  </r>
  <r>
    <x v="7"/>
    <s v="JUL"/>
    <x v="26"/>
    <s v="GRSM 5"/>
    <x v="1"/>
    <s v="GMM"/>
    <n v="170220"/>
    <n v="1901004"/>
    <x v="17"/>
    <x v="33"/>
    <s v="AGLIO OLIO"/>
    <n v="2200"/>
    <n v="80"/>
    <n v="176000"/>
    <m/>
  </r>
  <r>
    <x v="7"/>
    <s v="JUL"/>
    <x v="26"/>
    <s v="GRSM 5"/>
    <x v="1"/>
    <s v="GMM"/>
    <n v="170220"/>
    <n v="1901004"/>
    <x v="17"/>
    <x v="33"/>
    <s v="GORENG"/>
    <n v="2200"/>
    <n v="280"/>
    <n v="616000"/>
    <n v="160"/>
  </r>
  <r>
    <x v="7"/>
    <s v="JUL"/>
    <x v="26"/>
    <s v="GRSM 5"/>
    <x v="1"/>
    <s v="GMM"/>
    <n v="170220"/>
    <n v="1901019"/>
    <x v="19"/>
    <x v="37"/>
    <s v="BOLOGNESE"/>
    <n v="2200"/>
    <n v="126"/>
    <n v="277200"/>
    <m/>
  </r>
  <r>
    <x v="7"/>
    <s v="JUL"/>
    <x v="26"/>
    <s v="GRSM 5"/>
    <x v="1"/>
    <s v="GMM"/>
    <n v="170220"/>
    <n v="1901019"/>
    <x v="19"/>
    <x v="37"/>
    <s v="CARBONARA"/>
    <n v="2200"/>
    <n v="97"/>
    <n v="213400"/>
    <m/>
  </r>
  <r>
    <x v="7"/>
    <s v="JUL"/>
    <x v="26"/>
    <s v="GRSM 5"/>
    <x v="1"/>
    <s v="GMM"/>
    <n v="170220"/>
    <n v="1901019"/>
    <x v="19"/>
    <x v="37"/>
    <s v="AGLIO OLIO"/>
    <n v="2200"/>
    <n v="195"/>
    <n v="429000"/>
    <m/>
  </r>
  <r>
    <x v="7"/>
    <s v="JUL"/>
    <x v="26"/>
    <s v="GRSM 5"/>
    <x v="1"/>
    <s v="GMM"/>
    <n v="170220"/>
    <n v="1901019"/>
    <x v="19"/>
    <x v="37"/>
    <s v="GORENG"/>
    <n v="2200"/>
    <n v="310"/>
    <n v="682000"/>
    <n v="160"/>
  </r>
  <r>
    <x v="7"/>
    <s v="JUL"/>
    <x v="26"/>
    <s v="GRSM 5"/>
    <x v="1"/>
    <s v="GMM"/>
    <n v="170220"/>
    <n v="1901019"/>
    <x v="19"/>
    <x v="38"/>
    <s v="BOLOGNESE"/>
    <n v="2200"/>
    <n v="126"/>
    <n v="277200"/>
    <m/>
  </r>
  <r>
    <x v="7"/>
    <s v="JUL"/>
    <x v="26"/>
    <s v="GRSM 5"/>
    <x v="1"/>
    <s v="GMM"/>
    <n v="170220"/>
    <n v="1901019"/>
    <x v="19"/>
    <x v="38"/>
    <s v="CARBONARA"/>
    <n v="2200"/>
    <n v="97"/>
    <n v="213400"/>
    <m/>
  </r>
  <r>
    <x v="7"/>
    <s v="JUL"/>
    <x v="26"/>
    <s v="GRSM 5"/>
    <x v="1"/>
    <s v="GMM"/>
    <n v="170220"/>
    <n v="1901019"/>
    <x v="19"/>
    <x v="38"/>
    <s v="AGLIO OLIO"/>
    <n v="2200"/>
    <n v="195"/>
    <n v="429000"/>
    <m/>
  </r>
  <r>
    <x v="7"/>
    <s v="JUL"/>
    <x v="26"/>
    <s v="GRSM 5"/>
    <x v="1"/>
    <s v="GMM"/>
    <n v="170220"/>
    <n v="1901019"/>
    <x v="19"/>
    <x v="38"/>
    <s v="GORENG"/>
    <n v="2200"/>
    <n v="310"/>
    <n v="682000"/>
    <n v="160"/>
  </r>
  <r>
    <x v="7"/>
    <s v="JUL"/>
    <x v="27"/>
    <s v="GRSM 5"/>
    <x v="1"/>
    <s v="GMM"/>
    <n v="170220"/>
    <n v="1901004"/>
    <x v="17"/>
    <x v="34"/>
    <s v="BOLOGNESE"/>
    <n v="2200"/>
    <n v="80"/>
    <n v="176000"/>
    <m/>
  </r>
  <r>
    <x v="7"/>
    <s v="JUL"/>
    <x v="27"/>
    <s v="GRSM 5"/>
    <x v="1"/>
    <s v="GMM"/>
    <n v="170220"/>
    <n v="1901004"/>
    <x v="17"/>
    <x v="34"/>
    <s v="CARBONARA"/>
    <n v="2200"/>
    <n v="203"/>
    <n v="446600"/>
    <m/>
  </r>
  <r>
    <x v="7"/>
    <s v="JUL"/>
    <x v="27"/>
    <s v="GRSM 5"/>
    <x v="1"/>
    <s v="GMM"/>
    <n v="170220"/>
    <n v="1901004"/>
    <x v="17"/>
    <x v="34"/>
    <s v="AGLIO OLIO"/>
    <n v="2200"/>
    <n v="160"/>
    <n v="352000"/>
    <m/>
  </r>
  <r>
    <x v="7"/>
    <s v="JUL"/>
    <x v="27"/>
    <s v="GRSM 5"/>
    <x v="1"/>
    <s v="GMM"/>
    <n v="170220"/>
    <n v="1901004"/>
    <x v="17"/>
    <x v="34"/>
    <s v="GORENG"/>
    <n v="2200"/>
    <n v="287"/>
    <n v="631400"/>
    <n v="160"/>
  </r>
  <r>
    <x v="7"/>
    <s v="JUL"/>
    <x v="27"/>
    <s v="GRSM 5"/>
    <x v="1"/>
    <s v="GMM"/>
    <n v="170220"/>
    <n v="1901004"/>
    <x v="17"/>
    <x v="33"/>
    <s v="BOLOGNESE"/>
    <n v="2200"/>
    <n v="80"/>
    <n v="176000"/>
    <m/>
  </r>
  <r>
    <x v="7"/>
    <s v="JUL"/>
    <x v="27"/>
    <s v="GRSM 5"/>
    <x v="1"/>
    <s v="GMM"/>
    <n v="170220"/>
    <n v="1901004"/>
    <x v="17"/>
    <x v="33"/>
    <s v="CARBONARA"/>
    <n v="2200"/>
    <n v="203"/>
    <n v="446600"/>
    <m/>
  </r>
  <r>
    <x v="7"/>
    <s v="JUL"/>
    <x v="27"/>
    <s v="GRSM 5"/>
    <x v="1"/>
    <s v="GMM"/>
    <n v="170220"/>
    <n v="1901004"/>
    <x v="17"/>
    <x v="33"/>
    <s v="AGLIO OLIO"/>
    <n v="2200"/>
    <n v="160"/>
    <n v="352000"/>
    <m/>
  </r>
  <r>
    <x v="7"/>
    <s v="JUL"/>
    <x v="27"/>
    <s v="GRSM 5"/>
    <x v="1"/>
    <s v="GMM"/>
    <n v="170220"/>
    <n v="1901004"/>
    <x v="17"/>
    <x v="33"/>
    <s v="GORENG"/>
    <n v="2200"/>
    <n v="287"/>
    <n v="631400"/>
    <n v="160"/>
  </r>
  <r>
    <x v="7"/>
    <s v="JUL"/>
    <x v="27"/>
    <s v="GRSM 5"/>
    <x v="1"/>
    <s v="GMM"/>
    <n v="170220"/>
    <n v="9000015"/>
    <x v="15"/>
    <x v="29"/>
    <s v="BOLOGNESE"/>
    <n v="2200"/>
    <n v="112"/>
    <n v="246400"/>
    <m/>
  </r>
  <r>
    <x v="7"/>
    <s v="JUL"/>
    <x v="27"/>
    <s v="GRSM 5"/>
    <x v="1"/>
    <s v="GMM"/>
    <n v="170220"/>
    <n v="9000015"/>
    <x v="15"/>
    <x v="29"/>
    <s v="CARBONARA"/>
    <n v="2200"/>
    <n v="140"/>
    <n v="308000"/>
    <m/>
  </r>
  <r>
    <x v="7"/>
    <s v="JUL"/>
    <x v="27"/>
    <s v="GRSM 5"/>
    <x v="1"/>
    <s v="GMM"/>
    <n v="170220"/>
    <n v="9000015"/>
    <x v="15"/>
    <x v="29"/>
    <s v="AGLIO OLIO"/>
    <n v="2200"/>
    <n v="78"/>
    <n v="171600"/>
    <m/>
  </r>
  <r>
    <x v="7"/>
    <s v="JUL"/>
    <x v="27"/>
    <s v="GRSM 5"/>
    <x v="1"/>
    <s v="GMM"/>
    <n v="170220"/>
    <n v="9000015"/>
    <x v="15"/>
    <x v="29"/>
    <s v="GORENG"/>
    <n v="2200"/>
    <n v="374"/>
    <n v="822800"/>
    <n v="120"/>
  </r>
  <r>
    <x v="7"/>
    <s v="JUL"/>
    <x v="27"/>
    <s v="GRSM 5"/>
    <x v="1"/>
    <s v="GMM"/>
    <n v="170220"/>
    <n v="9000015"/>
    <x v="15"/>
    <x v="28"/>
    <s v="BOLOGNESE"/>
    <n v="2200"/>
    <n v="112"/>
    <n v="246400"/>
    <m/>
  </r>
  <r>
    <x v="7"/>
    <s v="JUL"/>
    <x v="27"/>
    <s v="GRSM 5"/>
    <x v="1"/>
    <s v="GMM"/>
    <n v="170220"/>
    <n v="9000015"/>
    <x v="15"/>
    <x v="28"/>
    <s v="CARBONARA"/>
    <n v="2200"/>
    <n v="140"/>
    <n v="308000"/>
    <m/>
  </r>
  <r>
    <x v="7"/>
    <s v="JUL"/>
    <x v="27"/>
    <s v="GRSM 5"/>
    <x v="1"/>
    <s v="GMM"/>
    <n v="170220"/>
    <n v="9000015"/>
    <x v="15"/>
    <x v="28"/>
    <s v="AGLIO OLIO"/>
    <n v="2200"/>
    <n v="78"/>
    <n v="171600"/>
    <m/>
  </r>
  <r>
    <x v="7"/>
    <s v="JUL"/>
    <x v="27"/>
    <s v="GRSM 5"/>
    <x v="1"/>
    <s v="GMM"/>
    <n v="170220"/>
    <n v="9000015"/>
    <x v="15"/>
    <x v="28"/>
    <s v="GORENG"/>
    <n v="2200"/>
    <n v="374"/>
    <n v="822800"/>
    <n v="120"/>
  </r>
  <r>
    <x v="7"/>
    <s v="JUL"/>
    <x v="27"/>
    <s v="GRSM 5"/>
    <x v="1"/>
    <s v="GMM"/>
    <n v="170220"/>
    <n v="1901019"/>
    <x v="19"/>
    <x v="37"/>
    <s v="BOLOGNESE"/>
    <n v="2200"/>
    <n v="126"/>
    <n v="277200"/>
    <m/>
  </r>
  <r>
    <x v="7"/>
    <s v="JUL"/>
    <x v="27"/>
    <s v="GRSM 5"/>
    <x v="1"/>
    <s v="GMM"/>
    <n v="170220"/>
    <n v="1901019"/>
    <x v="19"/>
    <x v="37"/>
    <s v="CARBONARA"/>
    <n v="2200"/>
    <n v="111"/>
    <n v="244200"/>
    <m/>
  </r>
  <r>
    <x v="7"/>
    <s v="JUL"/>
    <x v="27"/>
    <s v="GRSM 5"/>
    <x v="1"/>
    <s v="GMM"/>
    <n v="170220"/>
    <n v="1901019"/>
    <x v="19"/>
    <x v="37"/>
    <s v="AGLIO OLIO"/>
    <n v="2200"/>
    <n v="151"/>
    <n v="332200"/>
    <m/>
  </r>
  <r>
    <x v="7"/>
    <s v="JUL"/>
    <x v="27"/>
    <s v="GRSM 5"/>
    <x v="1"/>
    <s v="GMM"/>
    <n v="170220"/>
    <n v="1901019"/>
    <x v="19"/>
    <x v="37"/>
    <s v="GORENG"/>
    <n v="2200"/>
    <n v="324"/>
    <n v="712800"/>
    <n v="160"/>
  </r>
  <r>
    <x v="7"/>
    <s v="JUL"/>
    <x v="27"/>
    <s v="GRSM 5"/>
    <x v="1"/>
    <s v="GMM"/>
    <n v="170220"/>
    <n v="1901019"/>
    <x v="19"/>
    <x v="38"/>
    <s v="BOLOGNESE"/>
    <n v="2200"/>
    <n v="126"/>
    <n v="277200"/>
    <m/>
  </r>
  <r>
    <x v="7"/>
    <s v="JUL"/>
    <x v="27"/>
    <s v="GRSM 5"/>
    <x v="1"/>
    <s v="GMM"/>
    <n v="170220"/>
    <n v="1901019"/>
    <x v="19"/>
    <x v="38"/>
    <s v="CARBONARA"/>
    <n v="2200"/>
    <n v="111"/>
    <n v="244200"/>
    <m/>
  </r>
  <r>
    <x v="7"/>
    <s v="JUL"/>
    <x v="27"/>
    <s v="GRSM 5"/>
    <x v="1"/>
    <s v="GMM"/>
    <n v="170220"/>
    <n v="1901019"/>
    <x v="19"/>
    <x v="38"/>
    <s v="AGLIO OLIO"/>
    <n v="2200"/>
    <n v="151"/>
    <n v="332200"/>
    <m/>
  </r>
  <r>
    <x v="7"/>
    <s v="JUL"/>
    <x v="27"/>
    <s v="GRSM 5"/>
    <x v="1"/>
    <s v="GMM"/>
    <n v="170220"/>
    <n v="1901019"/>
    <x v="19"/>
    <x v="38"/>
    <s v="GORENG"/>
    <n v="2200"/>
    <n v="324"/>
    <n v="712800"/>
    <n v="160"/>
  </r>
  <r>
    <x v="7"/>
    <s v="JUL"/>
    <x v="27"/>
    <s v="GRSM 5"/>
    <x v="1"/>
    <s v="GMM"/>
    <n v="170220"/>
    <n v="9000015"/>
    <x v="18"/>
    <x v="35"/>
    <s v="BOLOGNESE"/>
    <n v="2200"/>
    <n v="240"/>
    <n v="528000"/>
    <m/>
  </r>
  <r>
    <x v="7"/>
    <s v="JUL"/>
    <x v="27"/>
    <s v="GRSM 5"/>
    <x v="1"/>
    <s v="GMM"/>
    <n v="170220"/>
    <n v="9000015"/>
    <x v="18"/>
    <x v="35"/>
    <s v="CARBONARA"/>
    <n v="2200"/>
    <n v="128"/>
    <n v="281600"/>
    <m/>
  </r>
  <r>
    <x v="7"/>
    <s v="JUL"/>
    <x v="27"/>
    <s v="GRSM 5"/>
    <x v="1"/>
    <s v="GMM"/>
    <n v="170220"/>
    <n v="9000015"/>
    <x v="18"/>
    <x v="35"/>
    <s v="AGLIO OLIO"/>
    <n v="2200"/>
    <n v="88"/>
    <n v="193600"/>
    <m/>
  </r>
  <r>
    <x v="7"/>
    <s v="JUL"/>
    <x v="27"/>
    <s v="GRSM 5"/>
    <x v="1"/>
    <s v="GMM"/>
    <n v="170220"/>
    <n v="9000015"/>
    <x v="18"/>
    <x v="35"/>
    <s v="GORENG"/>
    <n v="2200"/>
    <n v="423"/>
    <n v="930600"/>
    <n v="160"/>
  </r>
  <r>
    <x v="7"/>
    <s v="JUL"/>
    <x v="27"/>
    <s v="GRSM 5"/>
    <x v="1"/>
    <s v="GMM"/>
    <n v="170220"/>
    <n v="9000015"/>
    <x v="18"/>
    <x v="36"/>
    <s v="BOLOGNESE"/>
    <n v="2200"/>
    <n v="240"/>
    <n v="528000"/>
    <m/>
  </r>
  <r>
    <x v="7"/>
    <s v="JUL"/>
    <x v="27"/>
    <s v="GRSM 5"/>
    <x v="1"/>
    <s v="GMM"/>
    <n v="170220"/>
    <n v="9000015"/>
    <x v="18"/>
    <x v="36"/>
    <s v="CARBONARA"/>
    <n v="2200"/>
    <n v="128"/>
    <n v="281600"/>
    <m/>
  </r>
  <r>
    <x v="7"/>
    <s v="JUL"/>
    <x v="27"/>
    <s v="GRSM 5"/>
    <x v="1"/>
    <s v="GMM"/>
    <n v="170220"/>
    <n v="9000015"/>
    <x v="18"/>
    <x v="36"/>
    <s v="AGLIO OLIO"/>
    <n v="2200"/>
    <n v="88"/>
    <n v="193600"/>
    <m/>
  </r>
  <r>
    <x v="7"/>
    <s v="JUL"/>
    <x v="27"/>
    <s v="GRSM 5"/>
    <x v="1"/>
    <s v="GMM"/>
    <n v="170220"/>
    <n v="9000015"/>
    <x v="18"/>
    <x v="36"/>
    <s v="GORENG"/>
    <n v="2200"/>
    <n v="423"/>
    <n v="930600"/>
    <n v="160"/>
  </r>
  <r>
    <x v="7"/>
    <s v="JUL"/>
    <x v="25"/>
    <s v="GRSM 5"/>
    <x v="1"/>
    <s v="GMM"/>
    <n v="170220"/>
    <n v="9000015"/>
    <x v="15"/>
    <x v="28"/>
    <s v="BOLOGNESE"/>
    <n v="2200"/>
    <n v="59"/>
    <n v="129800"/>
    <m/>
  </r>
  <r>
    <x v="7"/>
    <s v="JUL"/>
    <x v="25"/>
    <s v="GRSM 5"/>
    <x v="1"/>
    <s v="GMM"/>
    <n v="170220"/>
    <n v="9000015"/>
    <x v="15"/>
    <x v="28"/>
    <s v="CARBONARA"/>
    <n v="2200"/>
    <n v="48"/>
    <n v="105600"/>
    <m/>
  </r>
  <r>
    <x v="7"/>
    <s v="JUL"/>
    <x v="25"/>
    <s v="GRSM 5"/>
    <x v="1"/>
    <s v="GMM"/>
    <n v="170220"/>
    <n v="9000015"/>
    <x v="15"/>
    <x v="28"/>
    <s v="AGLIO OLIO"/>
    <n v="2200"/>
    <n v="23"/>
    <n v="50600"/>
    <m/>
  </r>
  <r>
    <x v="7"/>
    <s v="JUL"/>
    <x v="25"/>
    <s v="GRSM 5"/>
    <x v="1"/>
    <s v="GMM"/>
    <n v="170220"/>
    <n v="9000015"/>
    <x v="15"/>
    <x v="28"/>
    <s v="GORENG"/>
    <n v="2200"/>
    <n v="487"/>
    <n v="1071400"/>
    <n v="72"/>
  </r>
  <r>
    <x v="7"/>
    <s v="JUL"/>
    <x v="25"/>
    <s v="GRSM 6"/>
    <x v="2"/>
    <s v="GMM"/>
    <n v="103765"/>
    <n v="4307038"/>
    <x v="20"/>
    <x v="40"/>
    <s v="BOLOGNESE"/>
    <n v="3000"/>
    <n v="102"/>
    <n v="306000"/>
    <m/>
  </r>
  <r>
    <x v="7"/>
    <s v="JUL"/>
    <x v="25"/>
    <s v="GRSM 6"/>
    <x v="2"/>
    <s v="GMM"/>
    <n v="103765"/>
    <n v="4307038"/>
    <x v="20"/>
    <x v="40"/>
    <s v="CARBONARA"/>
    <n v="3000"/>
    <n v="140"/>
    <n v="420000"/>
    <m/>
  </r>
  <r>
    <x v="7"/>
    <s v="JUL"/>
    <x v="25"/>
    <s v="GRSM 6"/>
    <x v="2"/>
    <s v="GMM"/>
    <n v="103765"/>
    <n v="4307038"/>
    <x v="20"/>
    <x v="40"/>
    <s v="AGLIO OLIO"/>
    <n v="3000"/>
    <n v="60"/>
    <n v="180000"/>
    <m/>
  </r>
  <r>
    <x v="7"/>
    <s v="JUL"/>
    <x v="25"/>
    <s v="GRSM 6"/>
    <x v="2"/>
    <s v="GMM"/>
    <n v="103765"/>
    <n v="4307038"/>
    <x v="20"/>
    <x v="40"/>
    <s v="GORENG"/>
    <n v="3000"/>
    <n v="200"/>
    <n v="600000"/>
    <n v="180"/>
  </r>
  <r>
    <x v="7"/>
    <s v="JUL"/>
    <x v="25"/>
    <s v="GRSM 6"/>
    <x v="2"/>
    <s v="GMM"/>
    <n v="103765"/>
    <n v="4307038"/>
    <x v="20"/>
    <x v="41"/>
    <s v="BOLOGNESE"/>
    <n v="3000"/>
    <n v="102"/>
    <n v="306000"/>
    <m/>
  </r>
  <r>
    <x v="7"/>
    <s v="JUL"/>
    <x v="25"/>
    <s v="GRSM 6"/>
    <x v="2"/>
    <s v="GMM"/>
    <n v="103765"/>
    <n v="4307038"/>
    <x v="20"/>
    <x v="41"/>
    <s v="CARBONARA"/>
    <n v="3000"/>
    <n v="140"/>
    <n v="420000"/>
    <m/>
  </r>
  <r>
    <x v="7"/>
    <s v="JUL"/>
    <x v="25"/>
    <s v="GRSM 6"/>
    <x v="2"/>
    <s v="GMM"/>
    <n v="103765"/>
    <n v="4307038"/>
    <x v="20"/>
    <x v="41"/>
    <s v="AGLIO OLIO"/>
    <n v="3000"/>
    <n v="60"/>
    <n v="180000"/>
    <m/>
  </r>
  <r>
    <x v="7"/>
    <s v="JUL"/>
    <x v="25"/>
    <s v="GRSM 6"/>
    <x v="2"/>
    <s v="GMM"/>
    <n v="103765"/>
    <n v="4307038"/>
    <x v="20"/>
    <x v="41"/>
    <s v="GORENG"/>
    <n v="3000"/>
    <n v="200"/>
    <n v="600000"/>
    <n v="180"/>
  </r>
  <r>
    <x v="7"/>
    <s v="JUL"/>
    <x v="25"/>
    <s v="GRSM 6"/>
    <x v="2"/>
    <s v="GMM"/>
    <n v="211163"/>
    <n v="3703219"/>
    <x v="22"/>
    <x v="44"/>
    <s v="BOLOGNESE"/>
    <n v="2900"/>
    <n v="84"/>
    <n v="243600"/>
    <m/>
  </r>
  <r>
    <x v="7"/>
    <s v="JUL"/>
    <x v="25"/>
    <s v="GRSM 6"/>
    <x v="2"/>
    <s v="GMM"/>
    <n v="211163"/>
    <n v="3703219"/>
    <x v="22"/>
    <x v="44"/>
    <s v="CARBONARA"/>
    <n v="2900"/>
    <n v="120"/>
    <n v="348000"/>
    <m/>
  </r>
  <r>
    <x v="7"/>
    <s v="JUL"/>
    <x v="25"/>
    <s v="GRSM 6"/>
    <x v="2"/>
    <s v="GMM"/>
    <n v="211163"/>
    <n v="3703219"/>
    <x v="22"/>
    <x v="44"/>
    <s v="AGLIO OLIO"/>
    <n v="2900"/>
    <n v="0"/>
    <n v="0"/>
    <m/>
  </r>
  <r>
    <x v="7"/>
    <s v="JUL"/>
    <x v="25"/>
    <s v="GRSM 6"/>
    <x v="2"/>
    <s v="GMM"/>
    <n v="211163"/>
    <n v="3703219"/>
    <x v="22"/>
    <x v="44"/>
    <s v="GORENG"/>
    <n v="2900"/>
    <n v="148"/>
    <n v="429200"/>
    <n v="160"/>
  </r>
  <r>
    <x v="7"/>
    <s v="JUL"/>
    <x v="25"/>
    <s v="GRSM 6"/>
    <x v="2"/>
    <s v="GMM"/>
    <n v="211163"/>
    <n v="3703219"/>
    <x v="22"/>
    <x v="45"/>
    <s v="BOLOGNESE"/>
    <n v="2900"/>
    <n v="84"/>
    <n v="243600"/>
    <m/>
  </r>
  <r>
    <x v="7"/>
    <s v="JUL"/>
    <x v="25"/>
    <s v="GRSM 6"/>
    <x v="2"/>
    <s v="GMM"/>
    <n v="211163"/>
    <n v="3703219"/>
    <x v="22"/>
    <x v="45"/>
    <s v="CARBONARA"/>
    <n v="2900"/>
    <n v="120"/>
    <n v="348000"/>
    <m/>
  </r>
  <r>
    <x v="7"/>
    <s v="JUL"/>
    <x v="25"/>
    <s v="GRSM 6"/>
    <x v="2"/>
    <s v="GMM"/>
    <n v="211163"/>
    <n v="3703219"/>
    <x v="22"/>
    <x v="45"/>
    <s v="AGLIO OLIO"/>
    <n v="2900"/>
    <n v="0"/>
    <n v="0"/>
    <m/>
  </r>
  <r>
    <x v="7"/>
    <s v="JUL"/>
    <x v="25"/>
    <s v="GRSM 6"/>
    <x v="2"/>
    <s v="GMM"/>
    <n v="211163"/>
    <n v="3703219"/>
    <x v="22"/>
    <x v="45"/>
    <s v="GORENG"/>
    <n v="2900"/>
    <n v="148"/>
    <n v="429200"/>
    <n v="160"/>
  </r>
  <r>
    <x v="7"/>
    <s v="JUL"/>
    <x v="25"/>
    <s v="GRSM 6"/>
    <x v="2"/>
    <s v="GMM"/>
    <n v="211163"/>
    <n v="3703215"/>
    <x v="23"/>
    <x v="46"/>
    <s v="BOLOGNESE"/>
    <n v="5800"/>
    <n v="22"/>
    <n v="127600"/>
    <m/>
  </r>
  <r>
    <x v="7"/>
    <s v="JUL"/>
    <x v="25"/>
    <s v="GRSM 6"/>
    <x v="2"/>
    <s v="GMM"/>
    <n v="211163"/>
    <n v="3703215"/>
    <x v="23"/>
    <x v="46"/>
    <s v="CARBONARA"/>
    <n v="5800"/>
    <n v="76"/>
    <n v="440800"/>
    <m/>
  </r>
  <r>
    <x v="7"/>
    <s v="JUL"/>
    <x v="25"/>
    <s v="GRSM 6"/>
    <x v="2"/>
    <s v="GMM"/>
    <n v="211163"/>
    <n v="3703215"/>
    <x v="23"/>
    <x v="46"/>
    <s v="AGLIO OLIO"/>
    <n v="5800"/>
    <n v="0"/>
    <n v="0"/>
    <m/>
  </r>
  <r>
    <x v="7"/>
    <s v="JUL"/>
    <x v="25"/>
    <s v="GRSM 6"/>
    <x v="2"/>
    <s v="GMM"/>
    <n v="211163"/>
    <n v="3703215"/>
    <x v="23"/>
    <x v="46"/>
    <s v="GORENG"/>
    <n v="5800"/>
    <n v="128"/>
    <n v="742400"/>
    <n v="160"/>
  </r>
  <r>
    <x v="7"/>
    <s v="JUL"/>
    <x v="25"/>
    <s v="GRSM 6"/>
    <x v="2"/>
    <s v="GMM"/>
    <n v="211163"/>
    <n v="3703215"/>
    <x v="23"/>
    <x v="47"/>
    <s v="BOLOGNESE"/>
    <n v="5800"/>
    <n v="22"/>
    <n v="127600"/>
    <m/>
  </r>
  <r>
    <x v="7"/>
    <s v="JUL"/>
    <x v="25"/>
    <s v="GRSM 6"/>
    <x v="2"/>
    <s v="GMM"/>
    <n v="211163"/>
    <n v="3703215"/>
    <x v="23"/>
    <x v="47"/>
    <s v="CARBONARA"/>
    <n v="5800"/>
    <n v="76"/>
    <n v="440800"/>
    <m/>
  </r>
  <r>
    <x v="7"/>
    <s v="JUL"/>
    <x v="25"/>
    <s v="GRSM 6"/>
    <x v="2"/>
    <s v="GMM"/>
    <n v="211163"/>
    <n v="3703215"/>
    <x v="23"/>
    <x v="47"/>
    <s v="AGLIO OLIO"/>
    <n v="5800"/>
    <n v="0"/>
    <n v="0"/>
    <m/>
  </r>
  <r>
    <x v="7"/>
    <s v="JUL"/>
    <x v="25"/>
    <s v="GRSM 6"/>
    <x v="2"/>
    <s v="GMM"/>
    <n v="211163"/>
    <n v="3703215"/>
    <x v="23"/>
    <x v="47"/>
    <s v="GORENG"/>
    <n v="5800"/>
    <n v="128"/>
    <n v="742400"/>
    <n v="160"/>
  </r>
  <r>
    <x v="7"/>
    <s v="JUL"/>
    <x v="25"/>
    <s v="GRSM 6"/>
    <x v="2"/>
    <s v="GMM"/>
    <n v="103765"/>
    <n v="4305267"/>
    <x v="24"/>
    <x v="48"/>
    <s v="BOLOGNESE"/>
    <n v="3000"/>
    <n v="110"/>
    <n v="330000"/>
    <m/>
  </r>
  <r>
    <x v="7"/>
    <s v="JUL"/>
    <x v="25"/>
    <s v="GRSM 6"/>
    <x v="2"/>
    <s v="GMM"/>
    <n v="103765"/>
    <n v="4305267"/>
    <x v="24"/>
    <x v="48"/>
    <s v="CARBONARA"/>
    <n v="3000"/>
    <n v="125"/>
    <n v="375000"/>
    <m/>
  </r>
  <r>
    <x v="7"/>
    <s v="JUL"/>
    <x v="25"/>
    <s v="GRSM 6"/>
    <x v="2"/>
    <s v="GMM"/>
    <n v="103765"/>
    <n v="4305267"/>
    <x v="24"/>
    <x v="48"/>
    <s v="AGLIO OLIO"/>
    <n v="3000"/>
    <n v="75"/>
    <n v="225000"/>
    <m/>
  </r>
  <r>
    <x v="7"/>
    <s v="JUL"/>
    <x v="25"/>
    <s v="GRSM 6"/>
    <x v="2"/>
    <s v="GMM"/>
    <n v="103765"/>
    <n v="4305267"/>
    <x v="24"/>
    <x v="48"/>
    <s v="GORENG"/>
    <n v="3000"/>
    <n v="160"/>
    <n v="480000"/>
    <n v="160"/>
  </r>
  <r>
    <x v="7"/>
    <s v="JUL"/>
    <x v="25"/>
    <s v="GRSM 6"/>
    <x v="2"/>
    <s v="GMM"/>
    <n v="103765"/>
    <n v="4305267"/>
    <x v="24"/>
    <x v="49"/>
    <s v="BOLOGNESE"/>
    <n v="3000"/>
    <n v="110"/>
    <n v="330000"/>
    <m/>
  </r>
  <r>
    <x v="7"/>
    <s v="JUL"/>
    <x v="25"/>
    <s v="GRSM 6"/>
    <x v="2"/>
    <s v="GMM"/>
    <n v="103765"/>
    <n v="4305267"/>
    <x v="24"/>
    <x v="49"/>
    <s v="CARBONARA"/>
    <n v="3000"/>
    <n v="125"/>
    <n v="375000"/>
    <m/>
  </r>
  <r>
    <x v="7"/>
    <s v="JUL"/>
    <x v="25"/>
    <s v="GRSM 6"/>
    <x v="2"/>
    <s v="GMM"/>
    <n v="103765"/>
    <n v="4305267"/>
    <x v="24"/>
    <x v="49"/>
    <s v="AGLIO OLIO"/>
    <n v="3000"/>
    <n v="75"/>
    <n v="225000"/>
    <m/>
  </r>
  <r>
    <x v="7"/>
    <s v="JUL"/>
    <x v="25"/>
    <s v="GRSM 6"/>
    <x v="2"/>
    <s v="GMM"/>
    <n v="103765"/>
    <n v="4305267"/>
    <x v="24"/>
    <x v="49"/>
    <s v="GORENG"/>
    <n v="3000"/>
    <n v="160"/>
    <n v="480000"/>
    <n v="160"/>
  </r>
  <r>
    <x v="7"/>
    <s v="JUL"/>
    <x v="25"/>
    <s v="GRSM 6"/>
    <x v="2"/>
    <s v="GMM"/>
    <n v="211139"/>
    <n v="3604550"/>
    <x v="26"/>
    <x v="52"/>
    <s v="BOLOGNESE"/>
    <n v="2800"/>
    <n v="38"/>
    <n v="106400"/>
    <m/>
  </r>
  <r>
    <x v="7"/>
    <s v="JUL"/>
    <x v="25"/>
    <s v="GRSM 6"/>
    <x v="2"/>
    <s v="GMM"/>
    <n v="211139"/>
    <n v="3604550"/>
    <x v="26"/>
    <x v="52"/>
    <s v="CARBONARA"/>
    <n v="2800"/>
    <n v="98"/>
    <n v="274400"/>
    <m/>
  </r>
  <r>
    <x v="7"/>
    <s v="JUL"/>
    <x v="25"/>
    <s v="GRSM 6"/>
    <x v="2"/>
    <s v="GMM"/>
    <n v="211139"/>
    <n v="3604550"/>
    <x v="26"/>
    <x v="52"/>
    <s v="AGLIO OLIO"/>
    <n v="2800"/>
    <n v="23"/>
    <n v="64400"/>
    <m/>
  </r>
  <r>
    <x v="7"/>
    <s v="JUL"/>
    <x v="25"/>
    <s v="GRSM 6"/>
    <x v="2"/>
    <s v="GMM"/>
    <n v="211139"/>
    <n v="3604550"/>
    <x v="26"/>
    <x v="52"/>
    <s v="GORENG"/>
    <n v="2800"/>
    <n v="199"/>
    <n v="557200"/>
    <n v="160"/>
  </r>
  <r>
    <x v="7"/>
    <s v="JUL"/>
    <x v="25"/>
    <s v="GRSM 6"/>
    <x v="2"/>
    <s v="GMM"/>
    <n v="211139"/>
    <n v="3604550"/>
    <x v="26"/>
    <x v="53"/>
    <s v="BOLOGNESE"/>
    <n v="2800"/>
    <n v="38"/>
    <n v="106400"/>
    <m/>
  </r>
  <r>
    <x v="7"/>
    <s v="JUL"/>
    <x v="25"/>
    <s v="GRSM 6"/>
    <x v="2"/>
    <s v="GMM"/>
    <n v="211139"/>
    <n v="3604550"/>
    <x v="26"/>
    <x v="53"/>
    <s v="CARBONARA"/>
    <n v="2800"/>
    <n v="98"/>
    <n v="274400"/>
    <m/>
  </r>
  <r>
    <x v="7"/>
    <s v="JUL"/>
    <x v="25"/>
    <s v="GRSM 6"/>
    <x v="2"/>
    <s v="GMM"/>
    <n v="211139"/>
    <n v="3604550"/>
    <x v="26"/>
    <x v="53"/>
    <s v="AGLIO OLIO"/>
    <n v="2800"/>
    <n v="23"/>
    <n v="64400"/>
    <m/>
  </r>
  <r>
    <x v="7"/>
    <s v="JUL"/>
    <x v="25"/>
    <s v="GRSM 6"/>
    <x v="2"/>
    <s v="GMM"/>
    <n v="211139"/>
    <n v="3604550"/>
    <x v="26"/>
    <x v="53"/>
    <s v="GORENG"/>
    <n v="2800"/>
    <n v="199"/>
    <n v="557200"/>
    <n v="160"/>
  </r>
  <r>
    <x v="7"/>
    <s v="JUL"/>
    <x v="25"/>
    <s v="GRSM 6"/>
    <x v="2"/>
    <s v="GMM"/>
    <n v="211033"/>
    <n v="6467246"/>
    <x v="21"/>
    <x v="42"/>
    <s v="BOLOGNESE"/>
    <n v="2900"/>
    <n v="131"/>
    <n v="379900"/>
    <m/>
  </r>
  <r>
    <x v="7"/>
    <s v="JUL"/>
    <x v="25"/>
    <s v="GRSM 6"/>
    <x v="2"/>
    <s v="GMM"/>
    <n v="211033"/>
    <n v="6467246"/>
    <x v="21"/>
    <x v="42"/>
    <s v="CARBONARA"/>
    <n v="2900"/>
    <n v="119"/>
    <n v="345100"/>
    <m/>
  </r>
  <r>
    <x v="7"/>
    <s v="JUL"/>
    <x v="25"/>
    <s v="GRSM 6"/>
    <x v="2"/>
    <s v="GMM"/>
    <n v="211033"/>
    <n v="6467246"/>
    <x v="21"/>
    <x v="42"/>
    <s v="AGLIO OLIO"/>
    <n v="2900"/>
    <n v="96"/>
    <n v="278400"/>
    <m/>
  </r>
  <r>
    <x v="7"/>
    <s v="JUL"/>
    <x v="25"/>
    <s v="GRSM 6"/>
    <x v="2"/>
    <s v="GMM"/>
    <n v="211033"/>
    <n v="6467246"/>
    <x v="21"/>
    <x v="42"/>
    <s v="GORENG"/>
    <n v="2900"/>
    <n v="213"/>
    <n v="617700"/>
    <n v="140"/>
  </r>
  <r>
    <x v="7"/>
    <s v="JUL"/>
    <x v="25"/>
    <s v="GRSM 6"/>
    <x v="2"/>
    <s v="GMM"/>
    <n v="211033"/>
    <n v="6467246"/>
    <x v="21"/>
    <x v="43"/>
    <s v="BOLOGNESE"/>
    <n v="2900"/>
    <n v="131"/>
    <n v="379900"/>
    <m/>
  </r>
  <r>
    <x v="7"/>
    <s v="JUL"/>
    <x v="25"/>
    <s v="GRSM 6"/>
    <x v="2"/>
    <s v="GMM"/>
    <n v="211033"/>
    <n v="6467246"/>
    <x v="21"/>
    <x v="43"/>
    <s v="CARBONARA"/>
    <n v="2900"/>
    <n v="119"/>
    <n v="345100"/>
    <m/>
  </r>
  <r>
    <x v="7"/>
    <s v="JUL"/>
    <x v="25"/>
    <s v="GRSM 6"/>
    <x v="2"/>
    <s v="GMM"/>
    <n v="211033"/>
    <n v="6467246"/>
    <x v="21"/>
    <x v="43"/>
    <s v="AGLIO OLIO"/>
    <n v="2900"/>
    <n v="96"/>
    <n v="278400"/>
    <m/>
  </r>
  <r>
    <x v="7"/>
    <s v="JUL"/>
    <x v="25"/>
    <s v="GRSM 6"/>
    <x v="2"/>
    <s v="GMM"/>
    <n v="211033"/>
    <n v="6467246"/>
    <x v="21"/>
    <x v="43"/>
    <s v="GORENG"/>
    <n v="2900"/>
    <n v="213"/>
    <n v="617700"/>
    <n v="140"/>
  </r>
  <r>
    <x v="7"/>
    <s v="JUL"/>
    <x v="26"/>
    <s v="GRSM 6"/>
    <x v="2"/>
    <s v="GMM"/>
    <n v="103765"/>
    <n v="4307038"/>
    <x v="20"/>
    <x v="40"/>
    <s v="BOLOGNESE"/>
    <n v="3000"/>
    <n v="90"/>
    <n v="270000"/>
    <m/>
  </r>
  <r>
    <x v="7"/>
    <s v="JUL"/>
    <x v="26"/>
    <s v="GRSM 6"/>
    <x v="2"/>
    <s v="GMM"/>
    <n v="103765"/>
    <n v="4307038"/>
    <x v="20"/>
    <x v="40"/>
    <s v="CARBONARA"/>
    <n v="3000"/>
    <n v="120"/>
    <n v="360000"/>
    <m/>
  </r>
  <r>
    <x v="7"/>
    <s v="JUL"/>
    <x v="26"/>
    <s v="GRSM 6"/>
    <x v="2"/>
    <s v="GMM"/>
    <n v="103765"/>
    <n v="4307038"/>
    <x v="20"/>
    <x v="40"/>
    <s v="AGLIO OLIO"/>
    <n v="3000"/>
    <n v="54"/>
    <n v="162000"/>
    <m/>
  </r>
  <r>
    <x v="7"/>
    <s v="JUL"/>
    <x v="26"/>
    <s v="GRSM 6"/>
    <x v="2"/>
    <s v="GMM"/>
    <n v="103765"/>
    <n v="4307038"/>
    <x v="20"/>
    <x v="40"/>
    <s v="GORENG"/>
    <n v="3000"/>
    <n v="216"/>
    <n v="648000"/>
    <n v="180"/>
  </r>
  <r>
    <x v="7"/>
    <s v="JUL"/>
    <x v="26"/>
    <s v="GRSM 6"/>
    <x v="2"/>
    <s v="GMM"/>
    <n v="103765"/>
    <n v="4307038"/>
    <x v="20"/>
    <x v="41"/>
    <s v="BOLOGNESE"/>
    <n v="3000"/>
    <n v="90"/>
    <n v="270000"/>
    <m/>
  </r>
  <r>
    <x v="7"/>
    <s v="JUL"/>
    <x v="26"/>
    <s v="GRSM 6"/>
    <x v="2"/>
    <s v="GMM"/>
    <n v="103765"/>
    <n v="4307038"/>
    <x v="20"/>
    <x v="41"/>
    <s v="CARBONARA"/>
    <n v="3000"/>
    <n v="120"/>
    <n v="360000"/>
    <m/>
  </r>
  <r>
    <x v="7"/>
    <s v="JUL"/>
    <x v="26"/>
    <s v="GRSM 6"/>
    <x v="2"/>
    <s v="GMM"/>
    <n v="103765"/>
    <n v="4307038"/>
    <x v="20"/>
    <x v="41"/>
    <s v="AGLIO OLIO"/>
    <n v="3000"/>
    <n v="54"/>
    <n v="162000"/>
    <m/>
  </r>
  <r>
    <x v="7"/>
    <s v="JUL"/>
    <x v="26"/>
    <s v="GRSM 6"/>
    <x v="2"/>
    <s v="GMM"/>
    <n v="103765"/>
    <n v="4307038"/>
    <x v="20"/>
    <x v="41"/>
    <s v="GORENG"/>
    <n v="3000"/>
    <n v="216"/>
    <n v="648000"/>
    <n v="180"/>
  </r>
  <r>
    <x v="7"/>
    <s v="JUL"/>
    <x v="26"/>
    <s v="GRSM 6"/>
    <x v="2"/>
    <s v="GMM"/>
    <n v="211033"/>
    <n v="6467246"/>
    <x v="21"/>
    <x v="42"/>
    <s v="BOLOGNESE"/>
    <n v="2900"/>
    <n v="121"/>
    <n v="350900"/>
    <m/>
  </r>
  <r>
    <x v="7"/>
    <s v="JUL"/>
    <x v="26"/>
    <s v="GRSM 6"/>
    <x v="2"/>
    <s v="GMM"/>
    <n v="211033"/>
    <n v="6467246"/>
    <x v="21"/>
    <x v="42"/>
    <s v="CARBONARA"/>
    <n v="2900"/>
    <n v="94"/>
    <n v="272600"/>
    <m/>
  </r>
  <r>
    <x v="7"/>
    <s v="JUL"/>
    <x v="26"/>
    <s v="GRSM 6"/>
    <x v="2"/>
    <s v="GMM"/>
    <n v="211033"/>
    <n v="6467246"/>
    <x v="21"/>
    <x v="42"/>
    <s v="AGLIO OLIO"/>
    <n v="2900"/>
    <n v="58"/>
    <n v="168200"/>
    <m/>
  </r>
  <r>
    <x v="7"/>
    <s v="JUL"/>
    <x v="26"/>
    <s v="GRSM 6"/>
    <x v="2"/>
    <s v="GMM"/>
    <n v="211033"/>
    <n v="6467246"/>
    <x v="21"/>
    <x v="42"/>
    <s v="GORENG"/>
    <n v="2900"/>
    <n v="269"/>
    <n v="780100"/>
    <n v="160"/>
  </r>
  <r>
    <x v="7"/>
    <s v="JUL"/>
    <x v="26"/>
    <s v="GRSM 6"/>
    <x v="2"/>
    <s v="GMM"/>
    <n v="211033"/>
    <n v="6467246"/>
    <x v="21"/>
    <x v="43"/>
    <s v="BOLOGNESE"/>
    <n v="2900"/>
    <n v="121"/>
    <n v="350900"/>
    <m/>
  </r>
  <r>
    <x v="7"/>
    <s v="JUL"/>
    <x v="26"/>
    <s v="GRSM 6"/>
    <x v="2"/>
    <s v="GMM"/>
    <n v="211033"/>
    <n v="6467246"/>
    <x v="21"/>
    <x v="43"/>
    <s v="CARBONARA"/>
    <n v="2900"/>
    <n v="94"/>
    <n v="272600"/>
    <m/>
  </r>
  <r>
    <x v="7"/>
    <s v="JUL"/>
    <x v="26"/>
    <s v="GRSM 6"/>
    <x v="2"/>
    <s v="GMM"/>
    <n v="211033"/>
    <n v="6467246"/>
    <x v="21"/>
    <x v="43"/>
    <s v="AGLIO OLIO"/>
    <n v="2900"/>
    <n v="58"/>
    <n v="168200"/>
    <m/>
  </r>
  <r>
    <x v="7"/>
    <s v="JUL"/>
    <x v="26"/>
    <s v="GRSM 6"/>
    <x v="2"/>
    <s v="GMM"/>
    <n v="211033"/>
    <n v="6467246"/>
    <x v="21"/>
    <x v="43"/>
    <s v="GORENG"/>
    <n v="2900"/>
    <n v="269"/>
    <n v="780100"/>
    <n v="160"/>
  </r>
  <r>
    <x v="7"/>
    <s v="JUL"/>
    <x v="26"/>
    <s v="GRSM 6"/>
    <x v="2"/>
    <s v="GMM"/>
    <n v="211033"/>
    <n v="2001021"/>
    <x v="27"/>
    <x v="54"/>
    <s v="BOLOGNESE"/>
    <n v="3100"/>
    <n v="25"/>
    <n v="77500"/>
    <m/>
  </r>
  <r>
    <x v="7"/>
    <s v="JUL"/>
    <x v="26"/>
    <s v="GRSM 6"/>
    <x v="2"/>
    <s v="GMM"/>
    <n v="211033"/>
    <n v="2001021"/>
    <x v="27"/>
    <x v="54"/>
    <s v="CARBONARA"/>
    <n v="3100"/>
    <n v="50"/>
    <n v="155000"/>
    <m/>
  </r>
  <r>
    <x v="7"/>
    <s v="JUL"/>
    <x v="26"/>
    <s v="GRSM 6"/>
    <x v="2"/>
    <s v="GMM"/>
    <n v="211033"/>
    <n v="2001021"/>
    <x v="27"/>
    <x v="54"/>
    <s v="AGLIO OLIO"/>
    <n v="3100"/>
    <n v="30"/>
    <n v="93000"/>
    <m/>
  </r>
  <r>
    <x v="7"/>
    <s v="JUL"/>
    <x v="26"/>
    <s v="GRSM 6"/>
    <x v="2"/>
    <s v="GMM"/>
    <n v="211033"/>
    <n v="2001021"/>
    <x v="27"/>
    <x v="54"/>
    <s v="GORENG"/>
    <n v="3100"/>
    <n v="250"/>
    <n v="775000"/>
    <n v="160"/>
  </r>
  <r>
    <x v="7"/>
    <s v="JUL"/>
    <x v="26"/>
    <s v="GRSM 6"/>
    <x v="2"/>
    <s v="GMM"/>
    <n v="211033"/>
    <n v="2001021"/>
    <x v="27"/>
    <x v="55"/>
    <s v="BOLOGNESE"/>
    <n v="3100"/>
    <n v="25"/>
    <n v="77500"/>
    <m/>
  </r>
  <r>
    <x v="7"/>
    <s v="JUL"/>
    <x v="26"/>
    <s v="GRSM 6"/>
    <x v="2"/>
    <s v="GMM"/>
    <n v="211033"/>
    <n v="2001021"/>
    <x v="27"/>
    <x v="55"/>
    <s v="CARBONARA"/>
    <n v="3100"/>
    <n v="50"/>
    <n v="155000"/>
    <m/>
  </r>
  <r>
    <x v="7"/>
    <s v="JUL"/>
    <x v="26"/>
    <s v="GRSM 6"/>
    <x v="2"/>
    <s v="GMM"/>
    <n v="211033"/>
    <n v="2001021"/>
    <x v="27"/>
    <x v="55"/>
    <s v="AGLIO OLIO"/>
    <n v="3100"/>
    <n v="30"/>
    <n v="93000"/>
    <m/>
  </r>
  <r>
    <x v="7"/>
    <s v="JUL"/>
    <x v="26"/>
    <s v="GRSM 6"/>
    <x v="2"/>
    <s v="GMM"/>
    <n v="211033"/>
    <n v="2001021"/>
    <x v="27"/>
    <x v="55"/>
    <s v="GORENG"/>
    <n v="3100"/>
    <n v="250"/>
    <n v="775000"/>
    <n v="160"/>
  </r>
  <r>
    <x v="7"/>
    <s v="JUL"/>
    <x v="26"/>
    <s v="GRSM 6"/>
    <x v="2"/>
    <s v="GMM"/>
    <n v="211163"/>
    <n v="3703219"/>
    <x v="22"/>
    <x v="44"/>
    <s v="BOLOGNESE"/>
    <n v="2900"/>
    <n v="80"/>
    <n v="232000"/>
    <m/>
  </r>
  <r>
    <x v="7"/>
    <s v="JUL"/>
    <x v="26"/>
    <s v="GRSM 6"/>
    <x v="2"/>
    <s v="GMM"/>
    <n v="211163"/>
    <n v="3703219"/>
    <x v="22"/>
    <x v="44"/>
    <s v="CARBONARA"/>
    <n v="2900"/>
    <n v="134"/>
    <n v="388600"/>
    <m/>
  </r>
  <r>
    <x v="7"/>
    <s v="JUL"/>
    <x v="26"/>
    <s v="GRSM 6"/>
    <x v="2"/>
    <s v="GMM"/>
    <n v="211163"/>
    <n v="3703219"/>
    <x v="22"/>
    <x v="44"/>
    <s v="AGLIO OLIO"/>
    <n v="2900"/>
    <n v="0"/>
    <n v="0"/>
    <m/>
  </r>
  <r>
    <x v="7"/>
    <s v="JUL"/>
    <x v="26"/>
    <s v="GRSM 6"/>
    <x v="2"/>
    <s v="GMM"/>
    <n v="211163"/>
    <n v="3703219"/>
    <x v="22"/>
    <x v="44"/>
    <s v="GORENG"/>
    <n v="2900"/>
    <n v="146"/>
    <n v="423400"/>
    <n v="170"/>
  </r>
  <r>
    <x v="7"/>
    <s v="JUL"/>
    <x v="26"/>
    <s v="GRSM 6"/>
    <x v="2"/>
    <s v="GMM"/>
    <n v="211163"/>
    <n v="3703219"/>
    <x v="22"/>
    <x v="45"/>
    <s v="BOLOGNESE"/>
    <n v="2900"/>
    <n v="80"/>
    <n v="232000"/>
    <m/>
  </r>
  <r>
    <x v="7"/>
    <s v="JUL"/>
    <x v="26"/>
    <s v="GRSM 6"/>
    <x v="2"/>
    <s v="GMM"/>
    <n v="211163"/>
    <n v="3703219"/>
    <x v="22"/>
    <x v="45"/>
    <s v="CARBONARA"/>
    <n v="2900"/>
    <n v="134"/>
    <n v="388600"/>
    <m/>
  </r>
  <r>
    <x v="7"/>
    <s v="JUL"/>
    <x v="26"/>
    <s v="GRSM 6"/>
    <x v="2"/>
    <s v="GMM"/>
    <n v="211163"/>
    <n v="3703219"/>
    <x v="22"/>
    <x v="45"/>
    <s v="AGLIO OLIO"/>
    <n v="2900"/>
    <n v="0"/>
    <n v="0"/>
    <m/>
  </r>
  <r>
    <x v="7"/>
    <s v="JUL"/>
    <x v="26"/>
    <s v="GRSM 6"/>
    <x v="2"/>
    <s v="GMM"/>
    <n v="211163"/>
    <n v="3703219"/>
    <x v="22"/>
    <x v="45"/>
    <s v="GORENG"/>
    <n v="2900"/>
    <n v="146"/>
    <n v="423400"/>
    <n v="170"/>
  </r>
  <r>
    <x v="7"/>
    <s v="JUL"/>
    <x v="26"/>
    <s v="GRSM 6"/>
    <x v="2"/>
    <s v="GMM"/>
    <n v="211139"/>
    <n v="3604550"/>
    <x v="26"/>
    <x v="52"/>
    <s v="BOLOGNESE"/>
    <n v="2800"/>
    <n v="48"/>
    <n v="134400"/>
    <m/>
  </r>
  <r>
    <x v="7"/>
    <s v="JUL"/>
    <x v="26"/>
    <s v="GRSM 6"/>
    <x v="2"/>
    <s v="GMM"/>
    <n v="211139"/>
    <n v="3604550"/>
    <x v="26"/>
    <x v="52"/>
    <s v="CARBONARA"/>
    <n v="2800"/>
    <n v="140"/>
    <n v="392000"/>
    <m/>
  </r>
  <r>
    <x v="7"/>
    <s v="JUL"/>
    <x v="26"/>
    <s v="GRSM 6"/>
    <x v="2"/>
    <s v="GMM"/>
    <n v="211139"/>
    <n v="3604550"/>
    <x v="26"/>
    <x v="52"/>
    <s v="AGLIO OLIO"/>
    <n v="2800"/>
    <n v="12"/>
    <n v="33600"/>
    <m/>
  </r>
  <r>
    <x v="7"/>
    <s v="JUL"/>
    <x v="26"/>
    <s v="GRSM 6"/>
    <x v="2"/>
    <s v="GMM"/>
    <n v="211139"/>
    <n v="3604550"/>
    <x v="26"/>
    <x v="52"/>
    <s v="GORENG"/>
    <n v="2800"/>
    <n v="240"/>
    <n v="672000"/>
    <n v="160"/>
  </r>
  <r>
    <x v="7"/>
    <s v="JUL"/>
    <x v="26"/>
    <s v="GRSM 6"/>
    <x v="2"/>
    <s v="GMM"/>
    <n v="211139"/>
    <n v="3604550"/>
    <x v="26"/>
    <x v="53"/>
    <s v="BOLOGNESE"/>
    <n v="2800"/>
    <n v="48"/>
    <n v="134400"/>
    <m/>
  </r>
  <r>
    <x v="7"/>
    <s v="JUL"/>
    <x v="26"/>
    <s v="GRSM 6"/>
    <x v="2"/>
    <s v="GMM"/>
    <n v="211139"/>
    <n v="3604550"/>
    <x v="26"/>
    <x v="53"/>
    <s v="CARBONARA"/>
    <n v="2800"/>
    <n v="140"/>
    <n v="392000"/>
    <m/>
  </r>
  <r>
    <x v="7"/>
    <s v="JUL"/>
    <x v="26"/>
    <s v="GRSM 6"/>
    <x v="2"/>
    <s v="GMM"/>
    <n v="211139"/>
    <n v="3604550"/>
    <x v="26"/>
    <x v="53"/>
    <s v="AGLIO OLIO"/>
    <n v="2800"/>
    <n v="12"/>
    <n v="33600"/>
    <m/>
  </r>
  <r>
    <x v="7"/>
    <s v="JUL"/>
    <x v="26"/>
    <s v="GRSM 6"/>
    <x v="2"/>
    <s v="GMM"/>
    <n v="211139"/>
    <n v="3604550"/>
    <x v="26"/>
    <x v="53"/>
    <s v="GORENG"/>
    <n v="2800"/>
    <n v="240"/>
    <n v="672000"/>
    <n v="160"/>
  </r>
  <r>
    <x v="7"/>
    <s v="JUL"/>
    <x v="26"/>
    <s v="GRSM 6"/>
    <x v="2"/>
    <s v="GMM"/>
    <n v="103765"/>
    <n v="4305267"/>
    <x v="24"/>
    <x v="48"/>
    <s v="BOLOGNESE"/>
    <n v="3000"/>
    <n v="58"/>
    <n v="174000"/>
    <m/>
  </r>
  <r>
    <x v="7"/>
    <s v="JUL"/>
    <x v="26"/>
    <s v="GRSM 6"/>
    <x v="2"/>
    <s v="GMM"/>
    <n v="103765"/>
    <n v="4305267"/>
    <x v="24"/>
    <x v="48"/>
    <s v="CARBONARA"/>
    <n v="3000"/>
    <n v="120"/>
    <n v="360000"/>
    <m/>
  </r>
  <r>
    <x v="7"/>
    <s v="JUL"/>
    <x v="26"/>
    <s v="GRSM 6"/>
    <x v="2"/>
    <s v="GMM"/>
    <n v="103765"/>
    <n v="4305267"/>
    <x v="24"/>
    <x v="48"/>
    <s v="AGLIO OLIO"/>
    <n v="3000"/>
    <n v="88"/>
    <n v="264000"/>
    <m/>
  </r>
  <r>
    <x v="7"/>
    <s v="JUL"/>
    <x v="26"/>
    <s v="GRSM 6"/>
    <x v="2"/>
    <s v="GMM"/>
    <n v="103765"/>
    <n v="4305267"/>
    <x v="24"/>
    <x v="48"/>
    <s v="GORENG"/>
    <n v="3000"/>
    <n v="235"/>
    <n v="705000"/>
    <n v="160"/>
  </r>
  <r>
    <x v="7"/>
    <s v="JUL"/>
    <x v="26"/>
    <s v="GRSM 6"/>
    <x v="2"/>
    <s v="GMM"/>
    <n v="103765"/>
    <n v="4305267"/>
    <x v="24"/>
    <x v="49"/>
    <s v="BOLOGNESE"/>
    <n v="3000"/>
    <n v="58"/>
    <n v="174000"/>
    <m/>
  </r>
  <r>
    <x v="7"/>
    <s v="JUL"/>
    <x v="26"/>
    <s v="GRSM 6"/>
    <x v="2"/>
    <s v="GMM"/>
    <n v="103765"/>
    <n v="4305267"/>
    <x v="24"/>
    <x v="49"/>
    <s v="CARBONARA"/>
    <n v="3000"/>
    <n v="120"/>
    <n v="360000"/>
    <m/>
  </r>
  <r>
    <x v="7"/>
    <s v="JUL"/>
    <x v="26"/>
    <s v="GRSM 6"/>
    <x v="2"/>
    <s v="GMM"/>
    <n v="103765"/>
    <n v="4305267"/>
    <x v="24"/>
    <x v="49"/>
    <s v="AGLIO OLIO"/>
    <n v="3000"/>
    <n v="88"/>
    <n v="264000"/>
    <m/>
  </r>
  <r>
    <x v="7"/>
    <s v="JUL"/>
    <x v="26"/>
    <s v="GRSM 6"/>
    <x v="2"/>
    <s v="GMM"/>
    <n v="103765"/>
    <n v="4305267"/>
    <x v="24"/>
    <x v="49"/>
    <s v="GORENG"/>
    <n v="3000"/>
    <n v="235"/>
    <n v="705000"/>
    <n v="160"/>
  </r>
  <r>
    <x v="7"/>
    <s v="JUL"/>
    <x v="26"/>
    <s v="GRSM 6"/>
    <x v="2"/>
    <s v="GMM"/>
    <n v="211163"/>
    <n v="3703215"/>
    <x v="23"/>
    <x v="46"/>
    <s v="BOLOGNESE"/>
    <n v="5800"/>
    <n v="60"/>
    <n v="348000"/>
    <m/>
  </r>
  <r>
    <x v="7"/>
    <s v="JUL"/>
    <x v="26"/>
    <s v="GRSM 6"/>
    <x v="2"/>
    <s v="GMM"/>
    <n v="211163"/>
    <n v="3703215"/>
    <x v="23"/>
    <x v="46"/>
    <s v="CARBONARA"/>
    <n v="5800"/>
    <n v="70"/>
    <n v="406000"/>
    <m/>
  </r>
  <r>
    <x v="7"/>
    <s v="JUL"/>
    <x v="26"/>
    <s v="GRSM 6"/>
    <x v="2"/>
    <s v="GMM"/>
    <n v="211163"/>
    <n v="3703215"/>
    <x v="23"/>
    <x v="46"/>
    <s v="AGLIO OLIO"/>
    <n v="5800"/>
    <n v="0"/>
    <n v="0"/>
    <m/>
  </r>
  <r>
    <x v="7"/>
    <s v="JUL"/>
    <x v="26"/>
    <s v="GRSM 6"/>
    <x v="2"/>
    <s v="GMM"/>
    <n v="211163"/>
    <n v="3703215"/>
    <x v="23"/>
    <x v="46"/>
    <s v="GORENG"/>
    <n v="5800"/>
    <n v="122"/>
    <n v="707600"/>
    <n v="166"/>
  </r>
  <r>
    <x v="7"/>
    <s v="JUL"/>
    <x v="26"/>
    <s v="GRSM 6"/>
    <x v="2"/>
    <s v="GMM"/>
    <n v="211163"/>
    <n v="3703215"/>
    <x v="23"/>
    <x v="47"/>
    <s v="BOLOGNESE"/>
    <n v="5800"/>
    <n v="60"/>
    <n v="348000"/>
    <m/>
  </r>
  <r>
    <x v="7"/>
    <s v="JUL"/>
    <x v="26"/>
    <s v="GRSM 6"/>
    <x v="2"/>
    <s v="GMM"/>
    <n v="211163"/>
    <n v="3703215"/>
    <x v="23"/>
    <x v="47"/>
    <s v="CARBONARA"/>
    <n v="5800"/>
    <n v="70"/>
    <n v="406000"/>
    <m/>
  </r>
  <r>
    <x v="7"/>
    <s v="JUL"/>
    <x v="26"/>
    <s v="GRSM 6"/>
    <x v="2"/>
    <s v="GMM"/>
    <n v="211163"/>
    <n v="3703215"/>
    <x v="23"/>
    <x v="47"/>
    <s v="AGLIO OLIO"/>
    <n v="5800"/>
    <n v="0"/>
    <n v="0"/>
    <m/>
  </r>
  <r>
    <x v="7"/>
    <s v="JUL"/>
    <x v="26"/>
    <s v="GRSM 6"/>
    <x v="2"/>
    <s v="GMM"/>
    <n v="211163"/>
    <n v="3703215"/>
    <x v="23"/>
    <x v="47"/>
    <s v="GORENG"/>
    <n v="5800"/>
    <n v="122"/>
    <n v="707600"/>
    <n v="166"/>
  </r>
  <r>
    <x v="7"/>
    <s v="JUL"/>
    <x v="27"/>
    <s v="GRSM 6"/>
    <x v="2"/>
    <s v="GMM"/>
    <n v="211033"/>
    <n v="2001021"/>
    <x v="27"/>
    <x v="54"/>
    <s v="BOLOGNESE"/>
    <n v="3100"/>
    <n v="59"/>
    <n v="182900"/>
    <m/>
  </r>
  <r>
    <x v="7"/>
    <s v="JUL"/>
    <x v="27"/>
    <s v="GRSM 6"/>
    <x v="2"/>
    <s v="GMM"/>
    <n v="211033"/>
    <n v="2001021"/>
    <x v="27"/>
    <x v="54"/>
    <s v="CARBONARA"/>
    <n v="3100"/>
    <n v="84"/>
    <n v="260400"/>
    <m/>
  </r>
  <r>
    <x v="7"/>
    <s v="JUL"/>
    <x v="27"/>
    <s v="GRSM 6"/>
    <x v="2"/>
    <s v="GMM"/>
    <n v="211033"/>
    <n v="2001021"/>
    <x v="27"/>
    <x v="54"/>
    <s v="AGLIO OLIO"/>
    <n v="3100"/>
    <n v="71"/>
    <n v="220100"/>
    <m/>
  </r>
  <r>
    <x v="7"/>
    <s v="JUL"/>
    <x v="27"/>
    <s v="GRSM 6"/>
    <x v="2"/>
    <s v="GMM"/>
    <n v="211033"/>
    <n v="2001021"/>
    <x v="27"/>
    <x v="54"/>
    <s v="GORENG"/>
    <n v="3100"/>
    <n v="200"/>
    <n v="620000"/>
    <n v="160"/>
  </r>
  <r>
    <x v="7"/>
    <s v="JUL"/>
    <x v="27"/>
    <s v="GRSM 6"/>
    <x v="2"/>
    <s v="GMM"/>
    <n v="211033"/>
    <n v="2001021"/>
    <x v="27"/>
    <x v="55"/>
    <s v="BOLOGNESE"/>
    <n v="3100"/>
    <n v="59"/>
    <n v="182900"/>
    <m/>
  </r>
  <r>
    <x v="7"/>
    <s v="JUL"/>
    <x v="27"/>
    <s v="GRSM 6"/>
    <x v="2"/>
    <s v="GMM"/>
    <n v="211033"/>
    <n v="2001021"/>
    <x v="27"/>
    <x v="55"/>
    <s v="CARBONARA"/>
    <n v="3100"/>
    <n v="84"/>
    <n v="260400"/>
    <m/>
  </r>
  <r>
    <x v="7"/>
    <s v="JUL"/>
    <x v="27"/>
    <s v="GRSM 6"/>
    <x v="2"/>
    <s v="GMM"/>
    <n v="211033"/>
    <n v="2001021"/>
    <x v="27"/>
    <x v="55"/>
    <s v="AGLIO OLIO"/>
    <n v="3100"/>
    <n v="71"/>
    <n v="220100"/>
    <m/>
  </r>
  <r>
    <x v="7"/>
    <s v="JUL"/>
    <x v="27"/>
    <s v="GRSM 6"/>
    <x v="2"/>
    <s v="GMM"/>
    <n v="211033"/>
    <n v="2001021"/>
    <x v="27"/>
    <x v="55"/>
    <s v="GORENG"/>
    <n v="3100"/>
    <n v="200"/>
    <n v="620000"/>
    <n v="160"/>
  </r>
  <r>
    <x v="7"/>
    <s v="JUL"/>
    <x v="27"/>
    <s v="GRSM 6"/>
    <x v="2"/>
    <s v="GMM"/>
    <n v="211139"/>
    <n v="3604550"/>
    <x v="26"/>
    <x v="52"/>
    <s v="BOLOGNESE"/>
    <n v="2800"/>
    <n v="52"/>
    <n v="145600"/>
    <m/>
  </r>
  <r>
    <x v="7"/>
    <s v="JUL"/>
    <x v="27"/>
    <s v="GRSM 6"/>
    <x v="2"/>
    <s v="GMM"/>
    <n v="211139"/>
    <n v="3604550"/>
    <x v="26"/>
    <x v="52"/>
    <s v="CARBONARA"/>
    <n v="2800"/>
    <n v="162"/>
    <n v="453600"/>
    <m/>
  </r>
  <r>
    <x v="7"/>
    <s v="JUL"/>
    <x v="27"/>
    <s v="GRSM 6"/>
    <x v="2"/>
    <s v="GMM"/>
    <n v="211139"/>
    <n v="3604550"/>
    <x v="26"/>
    <x v="52"/>
    <s v="AGLIO OLIO"/>
    <n v="2800"/>
    <n v="20"/>
    <n v="56000"/>
    <m/>
  </r>
  <r>
    <x v="7"/>
    <s v="JUL"/>
    <x v="27"/>
    <s v="GRSM 6"/>
    <x v="2"/>
    <s v="GMM"/>
    <n v="211139"/>
    <n v="3604550"/>
    <x v="26"/>
    <x v="52"/>
    <s v="GORENG"/>
    <n v="2800"/>
    <n v="268"/>
    <n v="750400"/>
    <n v="160"/>
  </r>
  <r>
    <x v="7"/>
    <s v="JUL"/>
    <x v="27"/>
    <s v="GRSM 6"/>
    <x v="2"/>
    <s v="GMM"/>
    <n v="211139"/>
    <n v="3604550"/>
    <x v="26"/>
    <x v="53"/>
    <s v="BOLOGNESE"/>
    <n v="2800"/>
    <n v="52"/>
    <n v="145600"/>
    <m/>
  </r>
  <r>
    <x v="7"/>
    <s v="JUL"/>
    <x v="27"/>
    <s v="GRSM 6"/>
    <x v="2"/>
    <s v="GMM"/>
    <n v="211139"/>
    <n v="3604550"/>
    <x v="26"/>
    <x v="53"/>
    <s v="CARBONARA"/>
    <n v="2800"/>
    <n v="162"/>
    <n v="453600"/>
    <m/>
  </r>
  <r>
    <x v="7"/>
    <s v="JUL"/>
    <x v="27"/>
    <s v="GRSM 6"/>
    <x v="2"/>
    <s v="GMM"/>
    <n v="211139"/>
    <n v="3604550"/>
    <x v="26"/>
    <x v="53"/>
    <s v="AGLIO OLIO"/>
    <n v="2800"/>
    <n v="20"/>
    <n v="56000"/>
    <m/>
  </r>
  <r>
    <x v="7"/>
    <s v="JUL"/>
    <x v="27"/>
    <s v="GRSM 6"/>
    <x v="2"/>
    <s v="GMM"/>
    <n v="211139"/>
    <n v="3604550"/>
    <x v="26"/>
    <x v="53"/>
    <s v="GORENG"/>
    <n v="2800"/>
    <n v="268"/>
    <n v="750400"/>
    <n v="160"/>
  </r>
  <r>
    <x v="7"/>
    <s v="JUL"/>
    <x v="27"/>
    <s v="GRSM 6"/>
    <x v="2"/>
    <s v="GMM"/>
    <n v="211033"/>
    <n v="6467246"/>
    <x v="21"/>
    <x v="42"/>
    <s v="BOLOGNESE"/>
    <n v="2900"/>
    <n v="60"/>
    <n v="174000"/>
    <m/>
  </r>
  <r>
    <x v="7"/>
    <s v="JUL"/>
    <x v="27"/>
    <s v="GRSM 6"/>
    <x v="2"/>
    <s v="GMM"/>
    <n v="211033"/>
    <n v="6467246"/>
    <x v="21"/>
    <x v="42"/>
    <s v="CARBONARA"/>
    <n v="2900"/>
    <n v="92"/>
    <n v="266800"/>
    <m/>
  </r>
  <r>
    <x v="7"/>
    <s v="JUL"/>
    <x v="27"/>
    <s v="GRSM 6"/>
    <x v="2"/>
    <s v="GMM"/>
    <n v="211033"/>
    <n v="6467246"/>
    <x v="21"/>
    <x v="42"/>
    <s v="AGLIO OLIO"/>
    <n v="2900"/>
    <n v="52"/>
    <n v="150800"/>
    <m/>
  </r>
  <r>
    <x v="7"/>
    <s v="JUL"/>
    <x v="27"/>
    <s v="GRSM 6"/>
    <x v="2"/>
    <s v="GMM"/>
    <n v="211033"/>
    <n v="6467246"/>
    <x v="21"/>
    <x v="42"/>
    <s v="GORENG"/>
    <n v="2900"/>
    <n v="364"/>
    <n v="1055600"/>
    <n v="160"/>
  </r>
  <r>
    <x v="7"/>
    <s v="JUL"/>
    <x v="27"/>
    <s v="GRSM 6"/>
    <x v="2"/>
    <s v="GMM"/>
    <n v="211033"/>
    <n v="6467246"/>
    <x v="21"/>
    <x v="43"/>
    <s v="BOLOGNESE"/>
    <n v="2900"/>
    <n v="60"/>
    <n v="174000"/>
    <m/>
  </r>
  <r>
    <x v="7"/>
    <s v="JUL"/>
    <x v="27"/>
    <s v="GRSM 6"/>
    <x v="2"/>
    <s v="GMM"/>
    <n v="211033"/>
    <n v="6467246"/>
    <x v="21"/>
    <x v="43"/>
    <s v="CARBONARA"/>
    <n v="2900"/>
    <n v="92"/>
    <n v="266800"/>
    <m/>
  </r>
  <r>
    <x v="7"/>
    <s v="JUL"/>
    <x v="27"/>
    <s v="GRSM 6"/>
    <x v="2"/>
    <s v="GMM"/>
    <n v="211033"/>
    <n v="6467246"/>
    <x v="21"/>
    <x v="43"/>
    <s v="AGLIO OLIO"/>
    <n v="2900"/>
    <n v="52"/>
    <n v="150800"/>
    <m/>
  </r>
  <r>
    <x v="7"/>
    <s v="JUL"/>
    <x v="27"/>
    <s v="GRSM 6"/>
    <x v="2"/>
    <s v="GMM"/>
    <n v="211033"/>
    <n v="6467246"/>
    <x v="21"/>
    <x v="43"/>
    <s v="GORENG"/>
    <n v="2900"/>
    <n v="364"/>
    <n v="1055600"/>
    <n v="160"/>
  </r>
  <r>
    <x v="7"/>
    <s v="JUL"/>
    <x v="27"/>
    <s v="GRSM 6"/>
    <x v="2"/>
    <s v="GMM"/>
    <n v="103765"/>
    <n v="4307038"/>
    <x v="20"/>
    <x v="40"/>
    <s v="BOLOGNESE"/>
    <n v="3000"/>
    <n v="92"/>
    <n v="276000"/>
    <m/>
  </r>
  <r>
    <x v="7"/>
    <s v="JUL"/>
    <x v="27"/>
    <s v="GRSM 6"/>
    <x v="2"/>
    <s v="GMM"/>
    <n v="103765"/>
    <n v="4307038"/>
    <x v="20"/>
    <x v="40"/>
    <s v="CARBONARA"/>
    <n v="3000"/>
    <n v="118"/>
    <n v="354000"/>
    <m/>
  </r>
  <r>
    <x v="7"/>
    <s v="JUL"/>
    <x v="27"/>
    <s v="GRSM 6"/>
    <x v="2"/>
    <s v="GMM"/>
    <n v="103765"/>
    <n v="4307038"/>
    <x v="20"/>
    <x v="40"/>
    <s v="AGLIO OLIO"/>
    <n v="3000"/>
    <n v="4"/>
    <n v="12000"/>
    <m/>
  </r>
  <r>
    <x v="7"/>
    <s v="JUL"/>
    <x v="27"/>
    <s v="GRSM 6"/>
    <x v="2"/>
    <s v="GMM"/>
    <n v="103765"/>
    <n v="4307038"/>
    <x v="20"/>
    <x v="40"/>
    <s v="GORENG"/>
    <n v="3000"/>
    <n v="260"/>
    <n v="780000"/>
    <n v="180"/>
  </r>
  <r>
    <x v="7"/>
    <s v="JUL"/>
    <x v="27"/>
    <s v="GRSM 6"/>
    <x v="2"/>
    <s v="GMM"/>
    <n v="103765"/>
    <n v="4307038"/>
    <x v="20"/>
    <x v="41"/>
    <s v="BOLOGNESE"/>
    <n v="3000"/>
    <n v="92"/>
    <n v="276000"/>
    <m/>
  </r>
  <r>
    <x v="7"/>
    <s v="JUL"/>
    <x v="27"/>
    <s v="GRSM 6"/>
    <x v="2"/>
    <s v="GMM"/>
    <n v="103765"/>
    <n v="4307038"/>
    <x v="20"/>
    <x v="41"/>
    <s v="CARBONARA"/>
    <n v="3000"/>
    <n v="118"/>
    <n v="354000"/>
    <m/>
  </r>
  <r>
    <x v="7"/>
    <s v="JUL"/>
    <x v="27"/>
    <s v="GRSM 6"/>
    <x v="2"/>
    <s v="GMM"/>
    <n v="103765"/>
    <n v="4307038"/>
    <x v="20"/>
    <x v="41"/>
    <s v="AGLIO OLIO"/>
    <n v="3000"/>
    <n v="4"/>
    <n v="12000"/>
    <m/>
  </r>
  <r>
    <x v="7"/>
    <s v="JUL"/>
    <x v="27"/>
    <s v="GRSM 6"/>
    <x v="2"/>
    <s v="GMM"/>
    <n v="103765"/>
    <n v="4307038"/>
    <x v="20"/>
    <x v="41"/>
    <s v="GORENG"/>
    <n v="3000"/>
    <n v="260"/>
    <n v="780000"/>
    <n v="180"/>
  </r>
  <r>
    <x v="7"/>
    <s v="JUL"/>
    <x v="27"/>
    <s v="GRSM 6"/>
    <x v="2"/>
    <s v="GMM"/>
    <n v="211163"/>
    <n v="3703219"/>
    <x v="22"/>
    <x v="44"/>
    <s v="BOLOGNESE"/>
    <n v="2900"/>
    <n v="125"/>
    <n v="362500"/>
    <m/>
  </r>
  <r>
    <x v="7"/>
    <s v="JUL"/>
    <x v="27"/>
    <s v="GRSM 6"/>
    <x v="2"/>
    <s v="GMM"/>
    <n v="211163"/>
    <n v="3703219"/>
    <x v="22"/>
    <x v="44"/>
    <s v="CARBONARA"/>
    <n v="2900"/>
    <n v="139"/>
    <n v="403100"/>
    <m/>
  </r>
  <r>
    <x v="7"/>
    <s v="JUL"/>
    <x v="27"/>
    <s v="GRSM 6"/>
    <x v="2"/>
    <s v="GMM"/>
    <n v="211163"/>
    <n v="3703219"/>
    <x v="22"/>
    <x v="44"/>
    <s v="AGLIO OLIO"/>
    <n v="2900"/>
    <n v="0"/>
    <n v="0"/>
    <m/>
  </r>
  <r>
    <x v="7"/>
    <s v="JUL"/>
    <x v="27"/>
    <s v="GRSM 6"/>
    <x v="2"/>
    <s v="GMM"/>
    <n v="211163"/>
    <n v="3703219"/>
    <x v="22"/>
    <x v="44"/>
    <s v="GORENG"/>
    <n v="2900"/>
    <n v="228"/>
    <n v="661200"/>
    <n v="160"/>
  </r>
  <r>
    <x v="7"/>
    <s v="JUL"/>
    <x v="27"/>
    <s v="GRSM 6"/>
    <x v="2"/>
    <s v="GMM"/>
    <n v="211163"/>
    <n v="3703219"/>
    <x v="22"/>
    <x v="45"/>
    <s v="BOLOGNESE"/>
    <n v="2900"/>
    <n v="125"/>
    <n v="362500"/>
    <m/>
  </r>
  <r>
    <x v="7"/>
    <s v="JUL"/>
    <x v="27"/>
    <s v="GRSM 6"/>
    <x v="2"/>
    <s v="GMM"/>
    <n v="211163"/>
    <n v="3703219"/>
    <x v="22"/>
    <x v="45"/>
    <s v="CARBONARA"/>
    <n v="2900"/>
    <n v="139"/>
    <n v="403100"/>
    <m/>
  </r>
  <r>
    <x v="7"/>
    <s v="JUL"/>
    <x v="27"/>
    <s v="GRSM 6"/>
    <x v="2"/>
    <s v="GMM"/>
    <n v="211163"/>
    <n v="3703219"/>
    <x v="22"/>
    <x v="45"/>
    <s v="AGLIO OLIO"/>
    <n v="2900"/>
    <n v="0"/>
    <n v="0"/>
    <m/>
  </r>
  <r>
    <x v="7"/>
    <s v="JUL"/>
    <x v="27"/>
    <s v="GRSM 6"/>
    <x v="2"/>
    <s v="GMM"/>
    <n v="211163"/>
    <n v="3703219"/>
    <x v="22"/>
    <x v="45"/>
    <s v="GORENG"/>
    <n v="2900"/>
    <n v="228"/>
    <n v="661200"/>
    <n v="160"/>
  </r>
  <r>
    <x v="7"/>
    <s v="JUL"/>
    <x v="27"/>
    <s v="GRSM 6"/>
    <x v="2"/>
    <s v="GMM"/>
    <n v="211163"/>
    <n v="3703215"/>
    <x v="23"/>
    <x v="46"/>
    <s v="BOLOGNESE"/>
    <n v="5800"/>
    <n v="34"/>
    <n v="197200"/>
    <m/>
  </r>
  <r>
    <x v="7"/>
    <s v="JUL"/>
    <x v="27"/>
    <s v="GRSM 6"/>
    <x v="2"/>
    <s v="GMM"/>
    <n v="211163"/>
    <n v="3703215"/>
    <x v="23"/>
    <x v="46"/>
    <s v="CARBONARA"/>
    <n v="5800"/>
    <n v="48"/>
    <n v="278400"/>
    <m/>
  </r>
  <r>
    <x v="7"/>
    <s v="JUL"/>
    <x v="27"/>
    <s v="GRSM 6"/>
    <x v="2"/>
    <s v="GMM"/>
    <n v="211163"/>
    <n v="3703215"/>
    <x v="23"/>
    <x v="46"/>
    <s v="AGLIO OLIO"/>
    <n v="5800"/>
    <n v="0"/>
    <n v="0"/>
    <m/>
  </r>
  <r>
    <x v="7"/>
    <s v="JUL"/>
    <x v="27"/>
    <s v="GRSM 6"/>
    <x v="2"/>
    <s v="GMM"/>
    <n v="211163"/>
    <n v="3703215"/>
    <x v="23"/>
    <x v="46"/>
    <s v="GORENG"/>
    <n v="5800"/>
    <n v="96"/>
    <n v="556800"/>
    <n v="154"/>
  </r>
  <r>
    <x v="7"/>
    <s v="JUL"/>
    <x v="27"/>
    <s v="GRSM 6"/>
    <x v="2"/>
    <s v="GMM"/>
    <n v="211163"/>
    <n v="3703215"/>
    <x v="23"/>
    <x v="47"/>
    <s v="BOLOGNESE"/>
    <n v="5800"/>
    <n v="34"/>
    <n v="197200"/>
    <m/>
  </r>
  <r>
    <x v="7"/>
    <s v="JUL"/>
    <x v="27"/>
    <s v="GRSM 6"/>
    <x v="2"/>
    <s v="GMM"/>
    <n v="211163"/>
    <n v="3703215"/>
    <x v="23"/>
    <x v="47"/>
    <s v="CARBONARA"/>
    <n v="5800"/>
    <n v="48"/>
    <n v="278400"/>
    <m/>
  </r>
  <r>
    <x v="7"/>
    <s v="JUL"/>
    <x v="27"/>
    <s v="GRSM 6"/>
    <x v="2"/>
    <s v="GMM"/>
    <n v="211163"/>
    <n v="3703215"/>
    <x v="23"/>
    <x v="47"/>
    <s v="AGLIO OLIO"/>
    <n v="5800"/>
    <n v="0"/>
    <n v="0"/>
    <m/>
  </r>
  <r>
    <x v="7"/>
    <s v="JUL"/>
    <x v="27"/>
    <s v="GRSM 6"/>
    <x v="2"/>
    <s v="GMM"/>
    <n v="211163"/>
    <n v="3703215"/>
    <x v="23"/>
    <x v="47"/>
    <s v="GORENG"/>
    <n v="5800"/>
    <n v="96"/>
    <n v="556800"/>
    <n v="154"/>
  </r>
  <r>
    <x v="7"/>
    <s v="JUL"/>
    <x v="27"/>
    <s v="GRSM 6"/>
    <x v="2"/>
    <s v="GMM"/>
    <n v="103765"/>
    <n v="4305267"/>
    <x v="24"/>
    <x v="48"/>
    <s v="BOLOGNESE"/>
    <n v="3000"/>
    <n v="145"/>
    <n v="435000"/>
    <m/>
  </r>
  <r>
    <x v="7"/>
    <s v="JUL"/>
    <x v="27"/>
    <s v="GRSM 6"/>
    <x v="2"/>
    <s v="GMM"/>
    <n v="103765"/>
    <n v="4305267"/>
    <x v="24"/>
    <x v="48"/>
    <s v="CARBONARA"/>
    <n v="3000"/>
    <n v="101"/>
    <n v="303000"/>
    <m/>
  </r>
  <r>
    <x v="7"/>
    <s v="JUL"/>
    <x v="27"/>
    <s v="GRSM 6"/>
    <x v="2"/>
    <s v="GMM"/>
    <n v="103765"/>
    <n v="4305267"/>
    <x v="24"/>
    <x v="48"/>
    <s v="AGLIO OLIO"/>
    <n v="3000"/>
    <n v="72"/>
    <n v="216000"/>
    <m/>
  </r>
  <r>
    <x v="7"/>
    <s v="JUL"/>
    <x v="27"/>
    <s v="GRSM 6"/>
    <x v="2"/>
    <s v="GMM"/>
    <n v="103765"/>
    <n v="4305267"/>
    <x v="24"/>
    <x v="48"/>
    <s v="GORENG"/>
    <n v="3000"/>
    <n v="185"/>
    <n v="555000"/>
    <n v="160"/>
  </r>
  <r>
    <x v="7"/>
    <s v="JUL"/>
    <x v="27"/>
    <s v="GRSM 6"/>
    <x v="2"/>
    <s v="GMM"/>
    <n v="103765"/>
    <n v="4305267"/>
    <x v="24"/>
    <x v="49"/>
    <s v="BOLOGNESE"/>
    <n v="3000"/>
    <n v="145"/>
    <n v="435000"/>
    <m/>
  </r>
  <r>
    <x v="7"/>
    <s v="JUL"/>
    <x v="27"/>
    <s v="GRSM 6"/>
    <x v="2"/>
    <s v="GMM"/>
    <n v="103765"/>
    <n v="4305267"/>
    <x v="24"/>
    <x v="49"/>
    <s v="CARBONARA"/>
    <n v="3000"/>
    <n v="101"/>
    <n v="303000"/>
    <m/>
  </r>
  <r>
    <x v="7"/>
    <s v="JUL"/>
    <x v="27"/>
    <s v="GRSM 6"/>
    <x v="2"/>
    <s v="GMM"/>
    <n v="103765"/>
    <n v="4305267"/>
    <x v="24"/>
    <x v="49"/>
    <s v="AGLIO OLIO"/>
    <n v="3000"/>
    <n v="72"/>
    <n v="216000"/>
    <m/>
  </r>
  <r>
    <x v="7"/>
    <s v="JUL"/>
    <x v="27"/>
    <s v="GRSM 6"/>
    <x v="2"/>
    <s v="GMM"/>
    <n v="103765"/>
    <n v="4305267"/>
    <x v="24"/>
    <x v="49"/>
    <s v="GORENG"/>
    <n v="3000"/>
    <n v="185"/>
    <n v="555000"/>
    <n v="160"/>
  </r>
  <r>
    <x v="8"/>
    <s v="JUL"/>
    <x v="28"/>
    <s v="GRSM 4"/>
    <x v="0"/>
    <s v="GMM"/>
    <n v="121409"/>
    <n v="5205014"/>
    <x v="12"/>
    <x v="26"/>
    <s v="AGLIO OLIO"/>
    <n v="2100"/>
    <n v="73"/>
    <n v="153300"/>
    <m/>
  </r>
  <r>
    <x v="8"/>
    <s v="JUL"/>
    <x v="28"/>
    <s v="GRSM 4"/>
    <x v="0"/>
    <s v="GMM"/>
    <n v="121409"/>
    <n v="5205014"/>
    <x v="12"/>
    <x v="26"/>
    <s v="CARBONARA"/>
    <n v="2100"/>
    <n v="77"/>
    <n v="161700"/>
    <m/>
  </r>
  <r>
    <x v="8"/>
    <s v="JUL"/>
    <x v="28"/>
    <s v="GRSM 4"/>
    <x v="0"/>
    <s v="GMM"/>
    <n v="121409"/>
    <n v="5205014"/>
    <x v="12"/>
    <x v="26"/>
    <s v="BOLOGNESE"/>
    <n v="2100"/>
    <n v="56"/>
    <n v="117600"/>
    <m/>
  </r>
  <r>
    <x v="8"/>
    <s v="JUL"/>
    <x v="28"/>
    <s v="GRSM 4"/>
    <x v="0"/>
    <s v="GMM"/>
    <n v="121409"/>
    <n v="5205014"/>
    <x v="12"/>
    <x v="26"/>
    <s v="GORENG"/>
    <n v="2100"/>
    <n v="139"/>
    <n v="291900"/>
    <n v="160"/>
  </r>
  <r>
    <x v="8"/>
    <s v="JUL"/>
    <x v="28"/>
    <s v="GRSM 4"/>
    <x v="0"/>
    <s v="GMM"/>
    <n v="121409"/>
    <n v="5205014"/>
    <x v="12"/>
    <x v="27"/>
    <s v="AGLIO OLIO"/>
    <n v="2100"/>
    <n v="73"/>
    <n v="153300"/>
    <m/>
  </r>
  <r>
    <x v="8"/>
    <s v="JUL"/>
    <x v="28"/>
    <s v="GRSM 4"/>
    <x v="0"/>
    <s v="GMM"/>
    <n v="121409"/>
    <n v="5205014"/>
    <x v="12"/>
    <x v="27"/>
    <s v="CARBONARA"/>
    <n v="2100"/>
    <n v="77"/>
    <n v="161700"/>
    <m/>
  </r>
  <r>
    <x v="8"/>
    <s v="JUL"/>
    <x v="28"/>
    <s v="GRSM 4"/>
    <x v="0"/>
    <s v="GMM"/>
    <n v="121409"/>
    <n v="5205014"/>
    <x v="12"/>
    <x v="27"/>
    <s v="BOLOGNESE"/>
    <n v="2100"/>
    <n v="56"/>
    <n v="117600"/>
    <m/>
  </r>
  <r>
    <x v="8"/>
    <s v="JUL"/>
    <x v="28"/>
    <s v="GRSM 4"/>
    <x v="0"/>
    <s v="GMM"/>
    <n v="121409"/>
    <n v="5205014"/>
    <x v="12"/>
    <x v="27"/>
    <s v="GORENG"/>
    <n v="2100"/>
    <n v="139"/>
    <n v="291900"/>
    <n v="160"/>
  </r>
  <r>
    <x v="8"/>
    <s v="JUL"/>
    <x v="28"/>
    <s v="GRSM 4"/>
    <x v="0"/>
    <s v="GMM"/>
    <n v="103277"/>
    <n v="6300700"/>
    <x v="11"/>
    <x v="25"/>
    <s v="AGLIO OLIO"/>
    <n v="3000"/>
    <n v="35"/>
    <n v="105000"/>
    <m/>
  </r>
  <r>
    <x v="8"/>
    <s v="JUL"/>
    <x v="28"/>
    <s v="GRSM 4"/>
    <x v="0"/>
    <s v="GMM"/>
    <n v="103277"/>
    <n v="6300700"/>
    <x v="11"/>
    <x v="25"/>
    <s v="CARBONARA"/>
    <n v="3000"/>
    <n v="50"/>
    <n v="150000"/>
    <m/>
  </r>
  <r>
    <x v="8"/>
    <s v="JUL"/>
    <x v="28"/>
    <s v="GRSM 4"/>
    <x v="0"/>
    <s v="GMM"/>
    <n v="103277"/>
    <n v="6300700"/>
    <x v="11"/>
    <x v="25"/>
    <s v="BOLOGNESE"/>
    <n v="3000"/>
    <n v="50"/>
    <n v="150000"/>
    <m/>
  </r>
  <r>
    <x v="8"/>
    <s v="JUL"/>
    <x v="28"/>
    <s v="GRSM 4"/>
    <x v="0"/>
    <s v="GMM"/>
    <n v="103277"/>
    <n v="6300700"/>
    <x v="11"/>
    <x v="25"/>
    <s v="GORENG"/>
    <n v="3000"/>
    <n v="145"/>
    <n v="435000"/>
    <n v="160"/>
  </r>
  <r>
    <x v="8"/>
    <s v="JUL"/>
    <x v="28"/>
    <s v="GRSM 4"/>
    <x v="0"/>
    <s v="GMM"/>
    <n v="189901"/>
    <n v="1602016"/>
    <x v="16"/>
    <x v="32"/>
    <s v="AGLIO OLIO"/>
    <n v="3400"/>
    <n v="100"/>
    <n v="340000"/>
    <m/>
  </r>
  <r>
    <x v="8"/>
    <s v="JUL"/>
    <x v="28"/>
    <s v="GRSM 4"/>
    <x v="0"/>
    <s v="GMM"/>
    <n v="189901"/>
    <n v="1602016"/>
    <x v="16"/>
    <x v="32"/>
    <s v="CARBONARA"/>
    <n v="3400"/>
    <n v="110"/>
    <n v="374000"/>
    <m/>
  </r>
  <r>
    <x v="8"/>
    <s v="JUL"/>
    <x v="28"/>
    <s v="GRSM 4"/>
    <x v="0"/>
    <s v="GMM"/>
    <n v="189901"/>
    <n v="1602016"/>
    <x v="16"/>
    <x v="32"/>
    <s v="BOLOGNESE"/>
    <n v="3400"/>
    <n v="100"/>
    <n v="340000"/>
    <m/>
  </r>
  <r>
    <x v="8"/>
    <s v="JUL"/>
    <x v="28"/>
    <s v="GRSM 4"/>
    <x v="0"/>
    <s v="GMM"/>
    <n v="189901"/>
    <n v="1602016"/>
    <x v="16"/>
    <x v="32"/>
    <s v="GORENG"/>
    <n v="3400"/>
    <n v="140"/>
    <n v="476000"/>
    <n v="80"/>
  </r>
  <r>
    <x v="8"/>
    <s v="JUL"/>
    <x v="28"/>
    <s v="GRSM 4"/>
    <x v="0"/>
    <s v="GMM"/>
    <n v="189901"/>
    <n v="1602016"/>
    <x v="16"/>
    <x v="31"/>
    <s v="AGLIO OLIO"/>
    <n v="3400"/>
    <n v="100"/>
    <n v="340000"/>
    <m/>
  </r>
  <r>
    <x v="8"/>
    <s v="JUL"/>
    <x v="28"/>
    <s v="GRSM 4"/>
    <x v="0"/>
    <s v="GMM"/>
    <n v="189901"/>
    <n v="1602016"/>
    <x v="16"/>
    <x v="31"/>
    <s v="CARBONARA"/>
    <n v="3400"/>
    <n v="100"/>
    <n v="340000"/>
    <m/>
  </r>
  <r>
    <x v="8"/>
    <s v="JUL"/>
    <x v="28"/>
    <s v="GRSM 4"/>
    <x v="0"/>
    <s v="GMM"/>
    <n v="189901"/>
    <n v="1602016"/>
    <x v="16"/>
    <x v="31"/>
    <s v="BOLOGNESE"/>
    <n v="3400"/>
    <n v="110"/>
    <n v="374000"/>
    <m/>
  </r>
  <r>
    <x v="8"/>
    <s v="JUL"/>
    <x v="28"/>
    <s v="GRSM 4"/>
    <x v="0"/>
    <s v="GMM"/>
    <n v="189901"/>
    <n v="1602016"/>
    <x v="16"/>
    <x v="31"/>
    <s v="GORENG"/>
    <n v="3400"/>
    <n v="130"/>
    <n v="442000"/>
    <n v="80"/>
  </r>
  <r>
    <x v="8"/>
    <s v="JUL"/>
    <x v="28"/>
    <s v="GRSM 4"/>
    <x v="0"/>
    <s v="GMM"/>
    <n v="103277"/>
    <n v="6300700"/>
    <x v="11"/>
    <x v="12"/>
    <s v="AGLIO OLIO"/>
    <n v="2100"/>
    <n v="50"/>
    <n v="105000"/>
    <m/>
  </r>
  <r>
    <x v="8"/>
    <s v="JUL"/>
    <x v="28"/>
    <s v="GRSM 4"/>
    <x v="0"/>
    <s v="GMM"/>
    <n v="103277"/>
    <n v="6300700"/>
    <x v="11"/>
    <x v="12"/>
    <s v="CARBONARA"/>
    <n v="2100"/>
    <n v="60"/>
    <n v="126000"/>
    <m/>
  </r>
  <r>
    <x v="8"/>
    <s v="JUL"/>
    <x v="28"/>
    <s v="GRSM 4"/>
    <x v="0"/>
    <s v="GMM"/>
    <n v="103277"/>
    <n v="6300700"/>
    <x v="11"/>
    <x v="12"/>
    <s v="BOLOGNESE"/>
    <n v="2100"/>
    <n v="65"/>
    <n v="136500"/>
    <m/>
  </r>
  <r>
    <x v="8"/>
    <s v="JUL"/>
    <x v="28"/>
    <s v="GRSM 4"/>
    <x v="0"/>
    <s v="GMM"/>
    <n v="103277"/>
    <n v="6300700"/>
    <x v="11"/>
    <x v="12"/>
    <s v="GORENG"/>
    <n v="2100"/>
    <n v="105"/>
    <n v="220500"/>
    <n v="160"/>
  </r>
  <r>
    <x v="8"/>
    <s v="JUL"/>
    <x v="28"/>
    <s v="GRSM 4"/>
    <x v="0"/>
    <s v="GMM"/>
    <n v="189901"/>
    <n v="1602018"/>
    <x v="14"/>
    <x v="22"/>
    <s v="AGLIO OLIO"/>
    <n v="3500"/>
    <n v="20"/>
    <n v="70000"/>
    <m/>
  </r>
  <r>
    <x v="8"/>
    <s v="JUL"/>
    <x v="28"/>
    <s v="GRSM 4"/>
    <x v="0"/>
    <s v="GMM"/>
    <n v="189901"/>
    <n v="1602018"/>
    <x v="14"/>
    <x v="22"/>
    <s v="CARBONARA"/>
    <n v="3500"/>
    <n v="25"/>
    <n v="87500"/>
    <m/>
  </r>
  <r>
    <x v="8"/>
    <s v="JUL"/>
    <x v="28"/>
    <s v="GRSM 4"/>
    <x v="0"/>
    <s v="GMM"/>
    <n v="189901"/>
    <n v="1602018"/>
    <x v="14"/>
    <x v="22"/>
    <s v="BOLOGNESE"/>
    <n v="3500"/>
    <n v="30"/>
    <n v="105000"/>
    <m/>
  </r>
  <r>
    <x v="8"/>
    <s v="JUL"/>
    <x v="28"/>
    <s v="GRSM 4"/>
    <x v="0"/>
    <s v="GMM"/>
    <n v="189901"/>
    <n v="1602018"/>
    <x v="14"/>
    <x v="22"/>
    <s v="GORENG"/>
    <n v="3500"/>
    <n v="43"/>
    <n v="150500"/>
    <n v="160"/>
  </r>
  <r>
    <x v="8"/>
    <s v="JUL"/>
    <x v="28"/>
    <s v="GRSM 4"/>
    <x v="0"/>
    <s v="GMM"/>
    <n v="189901"/>
    <n v="1602008"/>
    <x v="13"/>
    <x v="14"/>
    <s v="AGLIO OLIO"/>
    <n v="3300"/>
    <n v="90"/>
    <n v="297000"/>
    <m/>
  </r>
  <r>
    <x v="8"/>
    <s v="JUL"/>
    <x v="28"/>
    <s v="GRSM 4"/>
    <x v="0"/>
    <s v="GMM"/>
    <n v="189901"/>
    <n v="1602008"/>
    <x v="13"/>
    <x v="14"/>
    <s v="CARBONARA"/>
    <n v="3300"/>
    <n v="78"/>
    <n v="257400"/>
    <m/>
  </r>
  <r>
    <x v="8"/>
    <s v="JUL"/>
    <x v="28"/>
    <s v="GRSM 4"/>
    <x v="0"/>
    <s v="GMM"/>
    <n v="189901"/>
    <n v="1602008"/>
    <x v="13"/>
    <x v="14"/>
    <s v="BOLOGNESE"/>
    <n v="3300"/>
    <n v="89"/>
    <n v="293700"/>
    <m/>
  </r>
  <r>
    <x v="8"/>
    <s v="JUL"/>
    <x v="28"/>
    <s v="GRSM 4"/>
    <x v="0"/>
    <s v="GMM"/>
    <n v="189901"/>
    <n v="1602008"/>
    <x v="13"/>
    <x v="14"/>
    <s v="GORENG"/>
    <n v="3300"/>
    <n v="150"/>
    <n v="495000"/>
    <n v="160"/>
  </r>
  <r>
    <x v="8"/>
    <s v="JUL"/>
    <x v="28"/>
    <s v="GRSM 4"/>
    <x v="0"/>
    <s v="GMM"/>
    <n v="189901"/>
    <n v="1602008"/>
    <x v="13"/>
    <x v="56"/>
    <s v="AGLIO OLIO"/>
    <n v="3300"/>
    <n v="50"/>
    <n v="165000"/>
    <m/>
  </r>
  <r>
    <x v="8"/>
    <s v="JUL"/>
    <x v="28"/>
    <s v="GRSM 4"/>
    <x v="0"/>
    <s v="GMM"/>
    <n v="189901"/>
    <n v="1602008"/>
    <x v="13"/>
    <x v="56"/>
    <s v="CARBONARA"/>
    <n v="3300"/>
    <n v="50"/>
    <n v="165000"/>
    <m/>
  </r>
  <r>
    <x v="8"/>
    <s v="JUL"/>
    <x v="28"/>
    <s v="GRSM 4"/>
    <x v="0"/>
    <s v="GMM"/>
    <n v="189901"/>
    <n v="1602008"/>
    <x v="13"/>
    <x v="56"/>
    <s v="BOLOGNESE"/>
    <n v="3300"/>
    <n v="60"/>
    <n v="198000"/>
    <m/>
  </r>
  <r>
    <x v="8"/>
    <s v="JUL"/>
    <x v="28"/>
    <s v="GRSM 4"/>
    <x v="0"/>
    <s v="GMM"/>
    <n v="189901"/>
    <n v="1602008"/>
    <x v="13"/>
    <x v="56"/>
    <s v="GORENG"/>
    <n v="3300"/>
    <n v="110"/>
    <n v="363000"/>
    <n v="160"/>
  </r>
  <r>
    <x v="8"/>
    <s v="JUL"/>
    <x v="28"/>
    <s v="GRSM 4"/>
    <x v="0"/>
    <s v="GMM"/>
    <n v="189901"/>
    <n v="1602057"/>
    <x v="10"/>
    <x v="15"/>
    <s v="AGLIO OLIO"/>
    <n v="2150"/>
    <n v="96"/>
    <n v="206400"/>
    <m/>
  </r>
  <r>
    <x v="8"/>
    <s v="JUL"/>
    <x v="28"/>
    <s v="GRSM 4"/>
    <x v="0"/>
    <s v="GMM"/>
    <n v="189901"/>
    <n v="1602057"/>
    <x v="10"/>
    <x v="15"/>
    <s v="CARBONARA"/>
    <n v="2150"/>
    <n v="144"/>
    <n v="309600"/>
    <m/>
  </r>
  <r>
    <x v="8"/>
    <s v="JUL"/>
    <x v="28"/>
    <s v="GRSM 4"/>
    <x v="0"/>
    <s v="GMM"/>
    <n v="189901"/>
    <n v="1602057"/>
    <x v="10"/>
    <x v="15"/>
    <s v="BOLOGNESE"/>
    <n v="2150"/>
    <n v="132"/>
    <n v="283800"/>
    <m/>
  </r>
  <r>
    <x v="8"/>
    <s v="JUL"/>
    <x v="28"/>
    <s v="GRSM 4"/>
    <x v="0"/>
    <s v="GMM"/>
    <n v="189901"/>
    <n v="1602057"/>
    <x v="10"/>
    <x v="15"/>
    <s v="GORENG"/>
    <n v="2150"/>
    <n v="174"/>
    <n v="374100"/>
    <n v="160"/>
  </r>
  <r>
    <x v="8"/>
    <s v="JUL"/>
    <x v="29"/>
    <s v="GRSM 4"/>
    <x v="0"/>
    <s v="GMM"/>
    <n v="103257"/>
    <n v="9162509"/>
    <x v="25"/>
    <x v="57"/>
    <s v="AGLIO OLIO"/>
    <n v="3100"/>
    <n v="50"/>
    <n v="155000"/>
    <m/>
  </r>
  <r>
    <x v="8"/>
    <s v="JUL"/>
    <x v="29"/>
    <s v="GRSM 4"/>
    <x v="0"/>
    <s v="GMM"/>
    <n v="103257"/>
    <n v="9162509"/>
    <x v="25"/>
    <x v="57"/>
    <s v="CARBONARA"/>
    <n v="3100"/>
    <n v="55"/>
    <n v="170500"/>
    <m/>
  </r>
  <r>
    <x v="8"/>
    <s v="JUL"/>
    <x v="29"/>
    <s v="GRSM 4"/>
    <x v="0"/>
    <s v="GMM"/>
    <n v="103257"/>
    <n v="9162509"/>
    <x v="25"/>
    <x v="57"/>
    <s v="BOLOGNESE"/>
    <n v="3100"/>
    <n v="60"/>
    <n v="186000"/>
    <m/>
  </r>
  <r>
    <x v="8"/>
    <s v="JUL"/>
    <x v="29"/>
    <s v="GRSM 4"/>
    <x v="0"/>
    <s v="GMM"/>
    <n v="103257"/>
    <n v="9162509"/>
    <x v="25"/>
    <x v="57"/>
    <s v="GORENG"/>
    <n v="3100"/>
    <n v="40"/>
    <n v="124000"/>
    <n v="160"/>
  </r>
  <r>
    <x v="8"/>
    <s v="JUL"/>
    <x v="29"/>
    <s v="GRSM 4"/>
    <x v="0"/>
    <s v="GMM"/>
    <n v="103257"/>
    <n v="9162509"/>
    <x v="25"/>
    <x v="58"/>
    <s v="AGLIO OLIO"/>
    <n v="3100"/>
    <n v="40"/>
    <n v="124000"/>
    <m/>
  </r>
  <r>
    <x v="8"/>
    <s v="JUL"/>
    <x v="29"/>
    <s v="GRSM 4"/>
    <x v="0"/>
    <s v="GMM"/>
    <n v="103257"/>
    <n v="9162509"/>
    <x v="25"/>
    <x v="58"/>
    <s v="CARBONARA"/>
    <n v="3100"/>
    <n v="52"/>
    <n v="161200"/>
    <m/>
  </r>
  <r>
    <x v="8"/>
    <s v="JUL"/>
    <x v="29"/>
    <s v="GRSM 4"/>
    <x v="0"/>
    <s v="GMM"/>
    <n v="103257"/>
    <n v="9162509"/>
    <x v="25"/>
    <x v="58"/>
    <s v="BOLOGNESE"/>
    <n v="3100"/>
    <n v="55"/>
    <n v="170500"/>
    <m/>
  </r>
  <r>
    <x v="8"/>
    <s v="JUL"/>
    <x v="29"/>
    <s v="GRSM 4"/>
    <x v="0"/>
    <s v="GMM"/>
    <n v="103257"/>
    <n v="9162509"/>
    <x v="25"/>
    <x v="58"/>
    <s v="GORENG"/>
    <n v="3100"/>
    <n v="33"/>
    <n v="102300"/>
    <n v="160"/>
  </r>
  <r>
    <x v="8"/>
    <s v="JUL"/>
    <x v="28"/>
    <s v="GRSM 4"/>
    <x v="0"/>
    <s v="GMM"/>
    <n v="189901"/>
    <n v="1602018"/>
    <x v="14"/>
    <x v="23"/>
    <s v="AGLIO OLIO"/>
    <n v="3500"/>
    <n v="20"/>
    <n v="70000"/>
    <m/>
  </r>
  <r>
    <x v="8"/>
    <s v="JUL"/>
    <x v="28"/>
    <s v="GRSM 4"/>
    <x v="0"/>
    <s v="GMM"/>
    <n v="189901"/>
    <n v="1602018"/>
    <x v="14"/>
    <x v="23"/>
    <s v="CARBONARA"/>
    <n v="3500"/>
    <n v="25"/>
    <n v="87500"/>
    <m/>
  </r>
  <r>
    <x v="8"/>
    <s v="JUL"/>
    <x v="28"/>
    <s v="GRSM 4"/>
    <x v="0"/>
    <s v="GMM"/>
    <n v="189901"/>
    <n v="1602018"/>
    <x v="14"/>
    <x v="23"/>
    <s v="BOLOGNESE"/>
    <n v="3500"/>
    <n v="30"/>
    <n v="105000"/>
    <m/>
  </r>
  <r>
    <x v="8"/>
    <s v="JUL"/>
    <x v="28"/>
    <s v="GRSM 4"/>
    <x v="0"/>
    <s v="GMM"/>
    <n v="189901"/>
    <n v="1602018"/>
    <x v="14"/>
    <x v="23"/>
    <s v="GORENG"/>
    <n v="3500"/>
    <n v="40"/>
    <n v="140000"/>
    <n v="160"/>
  </r>
  <r>
    <x v="8"/>
    <s v="JUL"/>
    <x v="28"/>
    <s v="GRSM 4"/>
    <x v="0"/>
    <s v="GMM"/>
    <n v="189901"/>
    <n v="1602057"/>
    <x v="10"/>
    <x v="24"/>
    <s v="AGLIO OLIO"/>
    <n v="2150"/>
    <n v="96"/>
    <n v="206400"/>
    <m/>
  </r>
  <r>
    <x v="8"/>
    <s v="JUL"/>
    <x v="28"/>
    <s v="GRSM 4"/>
    <x v="0"/>
    <s v="GMM"/>
    <n v="189901"/>
    <n v="1602057"/>
    <x v="10"/>
    <x v="24"/>
    <s v="CARBONARA"/>
    <n v="2150"/>
    <n v="114"/>
    <n v="245100"/>
    <m/>
  </r>
  <r>
    <x v="8"/>
    <s v="JUL"/>
    <x v="28"/>
    <s v="GRSM 4"/>
    <x v="0"/>
    <s v="GMM"/>
    <n v="189901"/>
    <n v="1602057"/>
    <x v="10"/>
    <x v="24"/>
    <s v="BOLOGNESE"/>
    <n v="2150"/>
    <n v="123"/>
    <n v="264450"/>
    <m/>
  </r>
  <r>
    <x v="8"/>
    <s v="JUL"/>
    <x v="28"/>
    <s v="GRSM 4"/>
    <x v="0"/>
    <s v="GMM"/>
    <n v="189901"/>
    <n v="1602057"/>
    <x v="10"/>
    <x v="24"/>
    <s v="GORENG"/>
    <n v="2150"/>
    <n v="138"/>
    <n v="296700"/>
    <n v="160"/>
  </r>
  <r>
    <x v="8"/>
    <s v="JUL"/>
    <x v="29"/>
    <s v="GRSM 4"/>
    <x v="0"/>
    <s v="GMM"/>
    <n v="103277"/>
    <n v="6300700"/>
    <x v="11"/>
    <x v="25"/>
    <s v="AGLIO OLIO"/>
    <n v="3000"/>
    <n v="90"/>
    <n v="270000"/>
    <m/>
  </r>
  <r>
    <x v="8"/>
    <s v="JUL"/>
    <x v="29"/>
    <s v="GRSM 4"/>
    <x v="0"/>
    <s v="GMM"/>
    <n v="103277"/>
    <n v="6300700"/>
    <x v="11"/>
    <x v="25"/>
    <s v="CARBONARA"/>
    <n v="3000"/>
    <n v="85"/>
    <n v="255000"/>
    <m/>
  </r>
  <r>
    <x v="8"/>
    <s v="JUL"/>
    <x v="29"/>
    <s v="GRSM 4"/>
    <x v="0"/>
    <s v="GMM"/>
    <n v="103277"/>
    <n v="6300700"/>
    <x v="11"/>
    <x v="25"/>
    <s v="BOLOGNESE"/>
    <n v="3000"/>
    <n v="98"/>
    <n v="294000"/>
    <m/>
  </r>
  <r>
    <x v="8"/>
    <s v="JUL"/>
    <x v="29"/>
    <s v="GRSM 4"/>
    <x v="0"/>
    <s v="GMM"/>
    <n v="103277"/>
    <n v="6300700"/>
    <x v="11"/>
    <x v="25"/>
    <s v="GORENG"/>
    <n v="3000"/>
    <n v="17"/>
    <n v="51000"/>
    <n v="160"/>
  </r>
  <r>
    <x v="8"/>
    <s v="JUL"/>
    <x v="29"/>
    <s v="GRSM 4"/>
    <x v="0"/>
    <s v="GMM"/>
    <n v="103277"/>
    <n v="6300700"/>
    <x v="11"/>
    <x v="12"/>
    <s v="AGLIO OLIO"/>
    <n v="3000"/>
    <n v="90"/>
    <n v="270000"/>
    <m/>
  </r>
  <r>
    <x v="8"/>
    <s v="JUL"/>
    <x v="29"/>
    <s v="GRSM 4"/>
    <x v="0"/>
    <s v="GMM"/>
    <n v="103277"/>
    <n v="6300700"/>
    <x v="11"/>
    <x v="12"/>
    <s v="CARBONARA"/>
    <n v="3000"/>
    <n v="85"/>
    <n v="255000"/>
    <m/>
  </r>
  <r>
    <x v="8"/>
    <s v="JUL"/>
    <x v="29"/>
    <s v="GRSM 4"/>
    <x v="0"/>
    <s v="GMM"/>
    <n v="103277"/>
    <n v="6300700"/>
    <x v="11"/>
    <x v="12"/>
    <s v="BOLOGNESE"/>
    <n v="3000"/>
    <n v="98"/>
    <n v="294000"/>
    <m/>
  </r>
  <r>
    <x v="8"/>
    <s v="JUL"/>
    <x v="29"/>
    <s v="GRSM 4"/>
    <x v="0"/>
    <s v="GMM"/>
    <n v="103277"/>
    <n v="6300700"/>
    <x v="11"/>
    <x v="12"/>
    <s v="GORENG"/>
    <n v="3000"/>
    <n v="17"/>
    <n v="51000"/>
    <n v="160"/>
  </r>
  <r>
    <x v="8"/>
    <s v="JUL"/>
    <x v="29"/>
    <s v="GRSM 4"/>
    <x v="0"/>
    <s v="GMM"/>
    <n v="121409"/>
    <n v="5205014"/>
    <x v="12"/>
    <x v="27"/>
    <s v="AGLIO OLIO"/>
    <n v="2100"/>
    <n v="60"/>
    <n v="126000"/>
    <m/>
  </r>
  <r>
    <x v="8"/>
    <s v="JUL"/>
    <x v="29"/>
    <s v="GRSM 4"/>
    <x v="0"/>
    <s v="GMM"/>
    <n v="121409"/>
    <n v="5205014"/>
    <x v="12"/>
    <x v="27"/>
    <s v="CARBONARA"/>
    <n v="2100"/>
    <n v="242"/>
    <n v="508200"/>
    <m/>
  </r>
  <r>
    <x v="8"/>
    <s v="JUL"/>
    <x v="29"/>
    <s v="GRSM 4"/>
    <x v="0"/>
    <s v="GMM"/>
    <n v="121409"/>
    <n v="5205014"/>
    <x v="12"/>
    <x v="27"/>
    <s v="BOLOGNESE"/>
    <n v="2100"/>
    <n v="148"/>
    <n v="310800"/>
    <m/>
  </r>
  <r>
    <x v="8"/>
    <s v="JUL"/>
    <x v="29"/>
    <s v="GRSM 4"/>
    <x v="0"/>
    <s v="GMM"/>
    <n v="121409"/>
    <n v="5205014"/>
    <x v="12"/>
    <x v="27"/>
    <s v="GORENG"/>
    <n v="2100"/>
    <n v="298"/>
    <n v="625800"/>
    <n v="160"/>
  </r>
  <r>
    <x v="8"/>
    <s v="JUL"/>
    <x v="29"/>
    <s v="GRSM 4"/>
    <x v="0"/>
    <s v="GMM"/>
    <n v="121409"/>
    <n v="5205014"/>
    <x v="12"/>
    <x v="26"/>
    <s v="AGLIO OLIO"/>
    <n v="2100"/>
    <n v="60"/>
    <n v="126000"/>
    <m/>
  </r>
  <r>
    <x v="8"/>
    <s v="JUL"/>
    <x v="29"/>
    <s v="GRSM 4"/>
    <x v="0"/>
    <s v="GMM"/>
    <n v="121409"/>
    <n v="5205014"/>
    <x v="12"/>
    <x v="26"/>
    <s v="CARBONARA"/>
    <n v="2100"/>
    <n v="242"/>
    <n v="508200"/>
    <m/>
  </r>
  <r>
    <x v="8"/>
    <s v="JUL"/>
    <x v="29"/>
    <s v="GRSM 4"/>
    <x v="0"/>
    <s v="GMM"/>
    <n v="121409"/>
    <n v="5205014"/>
    <x v="12"/>
    <x v="26"/>
    <s v="BOLOGNESE"/>
    <n v="2100"/>
    <n v="148"/>
    <n v="310800"/>
    <m/>
  </r>
  <r>
    <x v="8"/>
    <s v="JUL"/>
    <x v="29"/>
    <s v="GRSM 4"/>
    <x v="0"/>
    <s v="GMM"/>
    <n v="121409"/>
    <n v="5205014"/>
    <x v="12"/>
    <x v="26"/>
    <s v="GORENG"/>
    <n v="2100"/>
    <n v="298"/>
    <n v="625800"/>
    <n v="160"/>
  </r>
  <r>
    <x v="8"/>
    <s v="JUL"/>
    <x v="29"/>
    <s v="GRSM 4"/>
    <x v="0"/>
    <s v="GMM"/>
    <n v="189901"/>
    <n v="1602057"/>
    <x v="10"/>
    <x v="15"/>
    <s v="AGLIO OLIO"/>
    <n v="2150"/>
    <n v="144"/>
    <n v="309600"/>
    <m/>
  </r>
  <r>
    <x v="8"/>
    <s v="JUL"/>
    <x v="29"/>
    <s v="GRSM 4"/>
    <x v="0"/>
    <s v="GMM"/>
    <n v="189901"/>
    <n v="1602057"/>
    <x v="10"/>
    <x v="15"/>
    <s v="CARBONARA"/>
    <n v="2150"/>
    <n v="171"/>
    <n v="367650"/>
    <m/>
  </r>
  <r>
    <x v="8"/>
    <s v="JUL"/>
    <x v="29"/>
    <s v="GRSM 4"/>
    <x v="0"/>
    <s v="GMM"/>
    <n v="189901"/>
    <n v="1602057"/>
    <x v="10"/>
    <x v="15"/>
    <s v="BOLOGNESE"/>
    <n v="2150"/>
    <n v="165"/>
    <n v="354750"/>
    <m/>
  </r>
  <r>
    <x v="8"/>
    <s v="JUL"/>
    <x v="29"/>
    <s v="GRSM 4"/>
    <x v="0"/>
    <s v="GMM"/>
    <n v="189901"/>
    <n v="1602057"/>
    <x v="10"/>
    <x v="15"/>
    <s v="GORENG"/>
    <n v="2150"/>
    <n v="225"/>
    <n v="483750"/>
    <n v="160"/>
  </r>
  <r>
    <x v="8"/>
    <s v="JUL"/>
    <x v="29"/>
    <s v="GRSM 4"/>
    <x v="0"/>
    <s v="GMM"/>
    <n v="189901"/>
    <n v="1602057"/>
    <x v="10"/>
    <x v="24"/>
    <s v="AGLIO OLIO"/>
    <n v="2150"/>
    <n v="135"/>
    <n v="290250"/>
    <m/>
  </r>
  <r>
    <x v="8"/>
    <s v="JUL"/>
    <x v="29"/>
    <s v="GRSM 4"/>
    <x v="0"/>
    <s v="GMM"/>
    <n v="189901"/>
    <n v="1602057"/>
    <x v="10"/>
    <x v="24"/>
    <s v="CARBONARA"/>
    <n v="2150"/>
    <n v="150"/>
    <n v="322500"/>
    <m/>
  </r>
  <r>
    <x v="8"/>
    <s v="JUL"/>
    <x v="29"/>
    <s v="GRSM 4"/>
    <x v="0"/>
    <s v="GMM"/>
    <n v="189901"/>
    <n v="1602057"/>
    <x v="10"/>
    <x v="24"/>
    <s v="BOLOGNESE"/>
    <n v="2150"/>
    <n v="147"/>
    <n v="316050"/>
    <m/>
  </r>
  <r>
    <x v="8"/>
    <s v="JUL"/>
    <x v="29"/>
    <s v="GRSM 4"/>
    <x v="0"/>
    <s v="GMM"/>
    <n v="189901"/>
    <n v="1602057"/>
    <x v="10"/>
    <x v="24"/>
    <s v="GORENG"/>
    <n v="2150"/>
    <n v="237"/>
    <n v="509550"/>
    <n v="160"/>
  </r>
  <r>
    <x v="8"/>
    <s v="JUL"/>
    <x v="29"/>
    <s v="GRSM 4"/>
    <x v="0"/>
    <s v="GMM"/>
    <n v="103257"/>
    <n v="9162509"/>
    <x v="25"/>
    <x v="57"/>
    <s v="AGLIO OLIO"/>
    <n v="3100"/>
    <n v="22"/>
    <n v="68200"/>
    <m/>
  </r>
  <r>
    <x v="8"/>
    <s v="JUL"/>
    <x v="29"/>
    <s v="GRSM 4"/>
    <x v="0"/>
    <s v="GMM"/>
    <n v="103257"/>
    <n v="9162509"/>
    <x v="25"/>
    <x v="57"/>
    <s v="CARBONARA"/>
    <n v="3100"/>
    <n v="25"/>
    <n v="77500"/>
    <m/>
  </r>
  <r>
    <x v="8"/>
    <s v="JUL"/>
    <x v="29"/>
    <s v="GRSM 4"/>
    <x v="0"/>
    <s v="GMM"/>
    <n v="103257"/>
    <n v="9162509"/>
    <x v="25"/>
    <x v="57"/>
    <s v="BOLOGNESE"/>
    <n v="3100"/>
    <n v="30"/>
    <n v="93000"/>
    <m/>
  </r>
  <r>
    <x v="8"/>
    <s v="JUL"/>
    <x v="29"/>
    <s v="GRSM 4"/>
    <x v="0"/>
    <s v="GMM"/>
    <n v="103257"/>
    <n v="9162509"/>
    <x v="25"/>
    <x v="57"/>
    <s v="GORENG"/>
    <n v="3100"/>
    <n v="26"/>
    <n v="80600"/>
    <n v="160"/>
  </r>
  <r>
    <x v="8"/>
    <s v="JUL"/>
    <x v="29"/>
    <s v="GRSM 4"/>
    <x v="0"/>
    <s v="GMM"/>
    <n v="103257"/>
    <n v="9162509"/>
    <x v="25"/>
    <x v="58"/>
    <s v="AGLIO OLIO"/>
    <n v="3100"/>
    <n v="22"/>
    <n v="68200"/>
    <m/>
  </r>
  <r>
    <x v="8"/>
    <s v="JUL"/>
    <x v="29"/>
    <s v="GRSM 4"/>
    <x v="0"/>
    <s v="GMM"/>
    <n v="103257"/>
    <n v="9162509"/>
    <x v="25"/>
    <x v="58"/>
    <s v="CARBONARA"/>
    <n v="3100"/>
    <n v="28"/>
    <n v="86800"/>
    <m/>
  </r>
  <r>
    <x v="8"/>
    <s v="JUL"/>
    <x v="29"/>
    <s v="GRSM 4"/>
    <x v="0"/>
    <s v="GMM"/>
    <n v="103257"/>
    <n v="9162509"/>
    <x v="25"/>
    <x v="58"/>
    <s v="BOLOGNESE"/>
    <n v="3100"/>
    <n v="35"/>
    <n v="108500"/>
    <m/>
  </r>
  <r>
    <x v="8"/>
    <s v="JUL"/>
    <x v="29"/>
    <s v="GRSM 4"/>
    <x v="0"/>
    <s v="GMM"/>
    <n v="103257"/>
    <n v="9162509"/>
    <x v="25"/>
    <x v="58"/>
    <s v="GORENG"/>
    <n v="3100"/>
    <n v="35"/>
    <n v="108500"/>
    <n v="160"/>
  </r>
  <r>
    <x v="8"/>
    <s v="JUL"/>
    <x v="29"/>
    <s v="GRSM 4"/>
    <x v="0"/>
    <s v="GMM"/>
    <n v="189901"/>
    <n v="1602018"/>
    <x v="14"/>
    <x v="23"/>
    <s v="AGLIO OLIO"/>
    <n v="3500"/>
    <n v="30"/>
    <n v="105000"/>
    <m/>
  </r>
  <r>
    <x v="8"/>
    <s v="JUL"/>
    <x v="29"/>
    <s v="GRSM 4"/>
    <x v="0"/>
    <s v="GMM"/>
    <n v="189901"/>
    <n v="1602018"/>
    <x v="14"/>
    <x v="23"/>
    <s v="CARBONARA"/>
    <n v="3500"/>
    <n v="35"/>
    <n v="122500"/>
    <m/>
  </r>
  <r>
    <x v="8"/>
    <s v="JUL"/>
    <x v="29"/>
    <s v="GRSM 4"/>
    <x v="0"/>
    <s v="GMM"/>
    <n v="189901"/>
    <n v="1602018"/>
    <x v="14"/>
    <x v="23"/>
    <s v="BOLOGNESE"/>
    <n v="3500"/>
    <n v="60"/>
    <n v="210000"/>
    <m/>
  </r>
  <r>
    <x v="8"/>
    <s v="JUL"/>
    <x v="29"/>
    <s v="GRSM 4"/>
    <x v="0"/>
    <s v="GMM"/>
    <n v="189901"/>
    <n v="1602018"/>
    <x v="14"/>
    <x v="23"/>
    <s v="GORENG"/>
    <n v="3500"/>
    <n v="80"/>
    <n v="280000"/>
    <n v="160"/>
  </r>
  <r>
    <x v="8"/>
    <s v="JUL"/>
    <x v="29"/>
    <s v="GRSM 4"/>
    <x v="0"/>
    <s v="GMM"/>
    <n v="189901"/>
    <n v="1602018"/>
    <x v="14"/>
    <x v="22"/>
    <s v="AGLIO OLIO"/>
    <n v="3500"/>
    <n v="30"/>
    <n v="105000"/>
    <m/>
  </r>
  <r>
    <x v="8"/>
    <s v="JUL"/>
    <x v="29"/>
    <s v="GRSM 4"/>
    <x v="0"/>
    <s v="GMM"/>
    <n v="189901"/>
    <n v="1602018"/>
    <x v="14"/>
    <x v="22"/>
    <s v="CARBONARA"/>
    <n v="3500"/>
    <n v="35"/>
    <n v="122500"/>
    <m/>
  </r>
  <r>
    <x v="8"/>
    <s v="JUL"/>
    <x v="29"/>
    <s v="GRSM 4"/>
    <x v="0"/>
    <s v="GMM"/>
    <n v="189901"/>
    <n v="1602018"/>
    <x v="14"/>
    <x v="22"/>
    <s v="BOLOGNESE"/>
    <n v="3500"/>
    <n v="60"/>
    <n v="210000"/>
    <m/>
  </r>
  <r>
    <x v="8"/>
    <s v="JUL"/>
    <x v="29"/>
    <s v="GRSM 4"/>
    <x v="0"/>
    <s v="GMM"/>
    <n v="189901"/>
    <n v="1602018"/>
    <x v="14"/>
    <x v="22"/>
    <s v="GORENG"/>
    <n v="3500"/>
    <n v="80"/>
    <n v="280000"/>
    <n v="160"/>
  </r>
  <r>
    <x v="8"/>
    <s v="JUL"/>
    <x v="29"/>
    <s v="GRSM 4"/>
    <x v="0"/>
    <s v="GMM"/>
    <n v="189901"/>
    <n v="1602008"/>
    <x v="13"/>
    <x v="14"/>
    <s v="AGLIO OLIO"/>
    <n v="3300"/>
    <n v="45"/>
    <n v="148500"/>
    <m/>
  </r>
  <r>
    <x v="8"/>
    <s v="JUL"/>
    <x v="29"/>
    <s v="GRSM 4"/>
    <x v="0"/>
    <s v="GMM"/>
    <n v="189901"/>
    <n v="1602008"/>
    <x v="13"/>
    <x v="14"/>
    <s v="CARBONARA"/>
    <n v="3300"/>
    <n v="35"/>
    <n v="115500"/>
    <m/>
  </r>
  <r>
    <x v="8"/>
    <s v="JUL"/>
    <x v="29"/>
    <s v="GRSM 4"/>
    <x v="0"/>
    <s v="GMM"/>
    <n v="189901"/>
    <n v="1602008"/>
    <x v="13"/>
    <x v="14"/>
    <s v="BOLOGNESE"/>
    <n v="3300"/>
    <n v="40"/>
    <n v="132000"/>
    <m/>
  </r>
  <r>
    <x v="8"/>
    <s v="JUL"/>
    <x v="29"/>
    <s v="GRSM 4"/>
    <x v="0"/>
    <s v="GMM"/>
    <n v="189901"/>
    <n v="1602008"/>
    <x v="13"/>
    <x v="14"/>
    <s v="GORENG"/>
    <n v="3300"/>
    <n v="110"/>
    <n v="363000"/>
    <n v="160"/>
  </r>
  <r>
    <x v="8"/>
    <s v="JUL"/>
    <x v="29"/>
    <s v="GRSM 4"/>
    <x v="0"/>
    <s v="GMM"/>
    <n v="189901"/>
    <n v="1602008"/>
    <x v="13"/>
    <x v="56"/>
    <s v="AGLIO OLIO"/>
    <n v="3300"/>
    <n v="50"/>
    <n v="165000"/>
    <m/>
  </r>
  <r>
    <x v="8"/>
    <s v="JUL"/>
    <x v="29"/>
    <s v="GRSM 4"/>
    <x v="0"/>
    <s v="GMM"/>
    <n v="189901"/>
    <n v="1602008"/>
    <x v="13"/>
    <x v="56"/>
    <s v="CARBONARA"/>
    <n v="3300"/>
    <n v="60"/>
    <n v="198000"/>
    <m/>
  </r>
  <r>
    <x v="8"/>
    <s v="JUL"/>
    <x v="29"/>
    <s v="GRSM 4"/>
    <x v="0"/>
    <s v="GMM"/>
    <n v="189901"/>
    <n v="1602008"/>
    <x v="13"/>
    <x v="56"/>
    <s v="BOLOGNESE"/>
    <n v="3300"/>
    <n v="30"/>
    <n v="99000"/>
    <m/>
  </r>
  <r>
    <x v="8"/>
    <s v="JUL"/>
    <x v="29"/>
    <s v="GRSM 4"/>
    <x v="0"/>
    <s v="GMM"/>
    <n v="189901"/>
    <n v="1602008"/>
    <x v="13"/>
    <x v="56"/>
    <s v="GORENG"/>
    <n v="3300"/>
    <n v="105"/>
    <n v="346500"/>
    <n v="160"/>
  </r>
  <r>
    <x v="8"/>
    <s v="JUL"/>
    <x v="30"/>
    <s v="GRSM 4"/>
    <x v="0"/>
    <s v="GMM"/>
    <n v="103277"/>
    <n v="6300700"/>
    <x v="11"/>
    <x v="25"/>
    <s v="AGLIO OLIO"/>
    <n v="3000"/>
    <n v="129"/>
    <n v="387000"/>
    <m/>
  </r>
  <r>
    <x v="8"/>
    <s v="JUL"/>
    <x v="30"/>
    <s v="GRSM 4"/>
    <x v="0"/>
    <s v="GMM"/>
    <n v="103277"/>
    <n v="6300700"/>
    <x v="11"/>
    <x v="25"/>
    <s v="CARBONARA"/>
    <n v="3000"/>
    <n v="82"/>
    <n v="246000"/>
    <m/>
  </r>
  <r>
    <x v="8"/>
    <s v="JUL"/>
    <x v="30"/>
    <s v="GRSM 4"/>
    <x v="0"/>
    <s v="GMM"/>
    <n v="103277"/>
    <n v="6300700"/>
    <x v="11"/>
    <x v="25"/>
    <s v="BOLOGNESE"/>
    <n v="3000"/>
    <n v="105"/>
    <n v="315000"/>
    <m/>
  </r>
  <r>
    <x v="8"/>
    <s v="JUL"/>
    <x v="30"/>
    <s v="GRSM 4"/>
    <x v="0"/>
    <s v="GMM"/>
    <n v="103277"/>
    <n v="6300700"/>
    <x v="11"/>
    <x v="25"/>
    <s v="GORENG"/>
    <n v="3000"/>
    <n v="0"/>
    <n v="0"/>
    <n v="160"/>
  </r>
  <r>
    <x v="8"/>
    <s v="JUL"/>
    <x v="30"/>
    <s v="GRSM 4"/>
    <x v="0"/>
    <s v="GMM"/>
    <n v="121409"/>
    <n v="5205014"/>
    <x v="12"/>
    <x v="27"/>
    <s v="AGLIO OLIO"/>
    <n v="2100"/>
    <n v="226"/>
    <n v="474600"/>
    <m/>
  </r>
  <r>
    <x v="8"/>
    <s v="JUL"/>
    <x v="30"/>
    <s v="GRSM 4"/>
    <x v="0"/>
    <s v="GMM"/>
    <n v="121409"/>
    <n v="5205014"/>
    <x v="12"/>
    <x v="27"/>
    <s v="CARBONARA"/>
    <n v="2100"/>
    <n v="171"/>
    <n v="359100"/>
    <m/>
  </r>
  <r>
    <x v="8"/>
    <s v="JUL"/>
    <x v="30"/>
    <s v="GRSM 4"/>
    <x v="0"/>
    <s v="GMM"/>
    <n v="121409"/>
    <n v="5205014"/>
    <x v="12"/>
    <x v="27"/>
    <s v="BOLOGNESE"/>
    <n v="2100"/>
    <n v="198"/>
    <n v="415800"/>
    <m/>
  </r>
  <r>
    <x v="8"/>
    <s v="JUL"/>
    <x v="30"/>
    <s v="GRSM 4"/>
    <x v="0"/>
    <s v="GMM"/>
    <n v="121409"/>
    <n v="5205014"/>
    <x v="12"/>
    <x v="27"/>
    <s v="GORENG"/>
    <n v="2100"/>
    <n v="395"/>
    <n v="829500"/>
    <n v="160"/>
  </r>
  <r>
    <x v="8"/>
    <s v="JUL"/>
    <x v="30"/>
    <s v="GRSM 4"/>
    <x v="0"/>
    <s v="GMM"/>
    <n v="121409"/>
    <n v="5205014"/>
    <x v="12"/>
    <x v="26"/>
    <s v="AGLIO OLIO"/>
    <n v="2100"/>
    <n v="226"/>
    <n v="474600"/>
    <m/>
  </r>
  <r>
    <x v="8"/>
    <s v="JUL"/>
    <x v="30"/>
    <s v="GRSM 4"/>
    <x v="0"/>
    <s v="GMM"/>
    <n v="121409"/>
    <n v="5205014"/>
    <x v="12"/>
    <x v="26"/>
    <s v="CARBONARA"/>
    <n v="2100"/>
    <n v="171"/>
    <n v="359100"/>
    <m/>
  </r>
  <r>
    <x v="8"/>
    <s v="JUL"/>
    <x v="30"/>
    <s v="GRSM 4"/>
    <x v="0"/>
    <s v="GMM"/>
    <n v="121409"/>
    <n v="5205014"/>
    <x v="12"/>
    <x v="26"/>
    <s v="BOLOGNESE"/>
    <n v="2100"/>
    <n v="198"/>
    <n v="415800"/>
    <m/>
  </r>
  <r>
    <x v="8"/>
    <s v="JUL"/>
    <x v="30"/>
    <s v="GRSM 4"/>
    <x v="0"/>
    <s v="GMM"/>
    <n v="121409"/>
    <n v="5205014"/>
    <x v="12"/>
    <x v="26"/>
    <s v="GORENG"/>
    <n v="2100"/>
    <n v="395"/>
    <n v="829500"/>
    <n v="160"/>
  </r>
  <r>
    <x v="8"/>
    <s v="JUL"/>
    <x v="30"/>
    <s v="GRSM 4"/>
    <x v="0"/>
    <s v="GMM"/>
    <n v="189901"/>
    <n v="1602057"/>
    <x v="10"/>
    <x v="15"/>
    <s v="AGLIO OLIO"/>
    <n v="2150"/>
    <n v="153"/>
    <n v="328950"/>
    <m/>
  </r>
  <r>
    <x v="8"/>
    <s v="JUL"/>
    <x v="30"/>
    <s v="GRSM 4"/>
    <x v="0"/>
    <s v="GMM"/>
    <n v="189901"/>
    <n v="1602057"/>
    <x v="10"/>
    <x v="15"/>
    <s v="CARBONARA"/>
    <n v="2150"/>
    <n v="183"/>
    <n v="393450"/>
    <m/>
  </r>
  <r>
    <x v="8"/>
    <s v="JUL"/>
    <x v="30"/>
    <s v="GRSM 4"/>
    <x v="0"/>
    <s v="GMM"/>
    <n v="189901"/>
    <n v="1602057"/>
    <x v="10"/>
    <x v="15"/>
    <s v="BOLOGNESE"/>
    <n v="2150"/>
    <n v="174"/>
    <n v="374100"/>
    <m/>
  </r>
  <r>
    <x v="8"/>
    <s v="JUL"/>
    <x v="30"/>
    <s v="GRSM 4"/>
    <x v="0"/>
    <s v="GMM"/>
    <n v="189901"/>
    <n v="1602057"/>
    <x v="10"/>
    <x v="15"/>
    <s v="GORENG"/>
    <n v="2150"/>
    <n v="252"/>
    <n v="541800"/>
    <n v="160"/>
  </r>
  <r>
    <x v="8"/>
    <s v="JUL"/>
    <x v="30"/>
    <s v="GRSM 4"/>
    <x v="0"/>
    <s v="GMM"/>
    <n v="189901"/>
    <n v="1602057"/>
    <x v="10"/>
    <x v="24"/>
    <s v="AGLIO OLIO"/>
    <n v="2150"/>
    <n v="144"/>
    <n v="309600"/>
    <m/>
  </r>
  <r>
    <x v="8"/>
    <s v="JUL"/>
    <x v="30"/>
    <s v="GRSM 4"/>
    <x v="0"/>
    <s v="GMM"/>
    <n v="189901"/>
    <n v="1602057"/>
    <x v="10"/>
    <x v="24"/>
    <s v="CARBONARA"/>
    <n v="2150"/>
    <n v="177"/>
    <n v="380550"/>
    <m/>
  </r>
  <r>
    <x v="8"/>
    <s v="JUL"/>
    <x v="30"/>
    <s v="GRSM 4"/>
    <x v="0"/>
    <s v="GMM"/>
    <n v="189901"/>
    <n v="1602057"/>
    <x v="10"/>
    <x v="24"/>
    <s v="BOLOGNESE"/>
    <n v="2150"/>
    <n v="168"/>
    <n v="361200"/>
    <m/>
  </r>
  <r>
    <x v="8"/>
    <s v="JUL"/>
    <x v="30"/>
    <s v="GRSM 4"/>
    <x v="0"/>
    <s v="GMM"/>
    <n v="189901"/>
    <n v="1602057"/>
    <x v="10"/>
    <x v="24"/>
    <s v="GORENG"/>
    <n v="2150"/>
    <n v="264"/>
    <n v="567600"/>
    <n v="160"/>
  </r>
  <r>
    <x v="8"/>
    <s v="JUL"/>
    <x v="30"/>
    <s v="GRSM 4"/>
    <x v="0"/>
    <s v="GMM"/>
    <n v="189901"/>
    <n v="1602018"/>
    <x v="14"/>
    <x v="22"/>
    <s v="AGLIO OLIO"/>
    <n v="3500"/>
    <n v="55"/>
    <n v="192500"/>
    <m/>
  </r>
  <r>
    <x v="8"/>
    <s v="JUL"/>
    <x v="30"/>
    <s v="GRSM 4"/>
    <x v="0"/>
    <s v="GMM"/>
    <n v="189901"/>
    <n v="1602018"/>
    <x v="14"/>
    <x v="22"/>
    <s v="CARBONARA"/>
    <n v="3500"/>
    <n v="97"/>
    <n v="339500"/>
    <m/>
  </r>
  <r>
    <x v="8"/>
    <s v="JUL"/>
    <x v="30"/>
    <s v="GRSM 4"/>
    <x v="0"/>
    <s v="GMM"/>
    <n v="189901"/>
    <n v="1602018"/>
    <x v="14"/>
    <x v="22"/>
    <s v="BOLOGNESE"/>
    <n v="3500"/>
    <n v="65"/>
    <n v="227500"/>
    <m/>
  </r>
  <r>
    <x v="8"/>
    <s v="JUL"/>
    <x v="30"/>
    <s v="GRSM 4"/>
    <x v="0"/>
    <s v="GMM"/>
    <n v="189901"/>
    <n v="1602018"/>
    <x v="14"/>
    <x v="22"/>
    <s v="GORENG"/>
    <n v="3500"/>
    <n v="120"/>
    <n v="420000"/>
    <n v="160"/>
  </r>
  <r>
    <x v="8"/>
    <s v="JUL"/>
    <x v="30"/>
    <s v="GRSM 4"/>
    <x v="0"/>
    <s v="GMM"/>
    <n v="189901"/>
    <n v="1602018"/>
    <x v="14"/>
    <x v="23"/>
    <s v="AGLIO OLIO"/>
    <n v="3500"/>
    <n v="55"/>
    <n v="192500"/>
    <m/>
  </r>
  <r>
    <x v="8"/>
    <s v="JUL"/>
    <x v="30"/>
    <s v="GRSM 4"/>
    <x v="0"/>
    <s v="GMM"/>
    <n v="189901"/>
    <n v="1602018"/>
    <x v="14"/>
    <x v="23"/>
    <s v="CARBONARA"/>
    <n v="3500"/>
    <n v="97"/>
    <n v="339500"/>
    <m/>
  </r>
  <r>
    <x v="8"/>
    <s v="JUL"/>
    <x v="30"/>
    <s v="GRSM 4"/>
    <x v="0"/>
    <s v="GMM"/>
    <n v="189901"/>
    <n v="1602018"/>
    <x v="14"/>
    <x v="23"/>
    <s v="BOLOGNESE"/>
    <n v="3500"/>
    <n v="65"/>
    <n v="227500"/>
    <m/>
  </r>
  <r>
    <x v="8"/>
    <s v="JUL"/>
    <x v="30"/>
    <s v="GRSM 4"/>
    <x v="0"/>
    <s v="GMM"/>
    <n v="189901"/>
    <n v="1602018"/>
    <x v="14"/>
    <x v="23"/>
    <s v="GORENG"/>
    <n v="3500"/>
    <n v="120"/>
    <n v="420000"/>
    <n v="160"/>
  </r>
  <r>
    <x v="8"/>
    <s v="JUL"/>
    <x v="30"/>
    <s v="GRSM 4"/>
    <x v="0"/>
    <s v="GMM"/>
    <n v="103257"/>
    <n v="9162509"/>
    <x v="25"/>
    <x v="58"/>
    <s v="AGLIO OLIO"/>
    <n v="3100"/>
    <n v="40"/>
    <n v="124000"/>
    <m/>
  </r>
  <r>
    <x v="8"/>
    <s v="JUL"/>
    <x v="30"/>
    <s v="GRSM 4"/>
    <x v="0"/>
    <s v="GMM"/>
    <n v="103257"/>
    <n v="9162509"/>
    <x v="25"/>
    <x v="58"/>
    <s v="CARBONARA"/>
    <n v="3100"/>
    <n v="40"/>
    <n v="124000"/>
    <m/>
  </r>
  <r>
    <x v="8"/>
    <s v="JUL"/>
    <x v="30"/>
    <s v="GRSM 4"/>
    <x v="0"/>
    <s v="GMM"/>
    <n v="103257"/>
    <n v="9162509"/>
    <x v="25"/>
    <x v="58"/>
    <s v="BOLOGNESE"/>
    <n v="3100"/>
    <n v="30"/>
    <n v="93000"/>
    <m/>
  </r>
  <r>
    <x v="8"/>
    <s v="JUL"/>
    <x v="30"/>
    <s v="GRSM 4"/>
    <x v="0"/>
    <s v="GMM"/>
    <n v="103257"/>
    <n v="9162509"/>
    <x v="25"/>
    <x v="58"/>
    <s v="GORENG"/>
    <n v="3100"/>
    <n v="35"/>
    <n v="108500"/>
    <n v="160"/>
  </r>
  <r>
    <x v="8"/>
    <s v="JUL"/>
    <x v="30"/>
    <s v="GRSM 4"/>
    <x v="0"/>
    <s v="GMM"/>
    <n v="103257"/>
    <n v="9162509"/>
    <x v="25"/>
    <x v="57"/>
    <s v="AGLIO OLIO"/>
    <n v="3100"/>
    <n v="40"/>
    <n v="124000"/>
    <m/>
  </r>
  <r>
    <x v="8"/>
    <s v="JUL"/>
    <x v="30"/>
    <s v="GRSM 4"/>
    <x v="0"/>
    <s v="GMM"/>
    <n v="103257"/>
    <n v="9162509"/>
    <x v="25"/>
    <x v="57"/>
    <s v="CARBONARA"/>
    <n v="3100"/>
    <n v="40"/>
    <n v="124000"/>
    <m/>
  </r>
  <r>
    <x v="8"/>
    <s v="JUL"/>
    <x v="30"/>
    <s v="GRSM 4"/>
    <x v="0"/>
    <s v="GMM"/>
    <n v="103257"/>
    <n v="9162509"/>
    <x v="25"/>
    <x v="57"/>
    <s v="BOLOGNESE"/>
    <n v="3100"/>
    <n v="30"/>
    <n v="93000"/>
    <m/>
  </r>
  <r>
    <x v="8"/>
    <s v="JUL"/>
    <x v="30"/>
    <s v="GRSM 4"/>
    <x v="0"/>
    <s v="GMM"/>
    <n v="103257"/>
    <n v="9162509"/>
    <x v="25"/>
    <x v="57"/>
    <s v="GORENG"/>
    <n v="3100"/>
    <n v="45"/>
    <n v="139500"/>
    <n v="160"/>
  </r>
  <r>
    <x v="8"/>
    <s v="JUL"/>
    <x v="30"/>
    <s v="GRSM 4"/>
    <x v="0"/>
    <s v="GMM"/>
    <n v="103277"/>
    <n v="6300700"/>
    <x v="11"/>
    <x v="12"/>
    <s v="AGLIO OLIO"/>
    <n v="3000"/>
    <n v="129"/>
    <n v="387000"/>
    <m/>
  </r>
  <r>
    <x v="8"/>
    <s v="JUL"/>
    <x v="30"/>
    <s v="GRSM 4"/>
    <x v="0"/>
    <s v="GMM"/>
    <n v="103277"/>
    <n v="6300700"/>
    <x v="11"/>
    <x v="12"/>
    <s v="CARBONARA"/>
    <n v="3000"/>
    <n v="82"/>
    <n v="246000"/>
    <m/>
  </r>
  <r>
    <x v="8"/>
    <s v="JUL"/>
    <x v="30"/>
    <s v="GRSM 4"/>
    <x v="0"/>
    <s v="GMM"/>
    <n v="103277"/>
    <n v="6300700"/>
    <x v="11"/>
    <x v="12"/>
    <s v="BOLOGNESE"/>
    <n v="3000"/>
    <n v="105"/>
    <n v="315000"/>
    <m/>
  </r>
  <r>
    <x v="8"/>
    <s v="JUL"/>
    <x v="30"/>
    <s v="GRSM 4"/>
    <x v="0"/>
    <s v="GMM"/>
    <n v="103277"/>
    <n v="6300700"/>
    <x v="11"/>
    <x v="12"/>
    <s v="GORENG"/>
    <n v="3000"/>
    <n v="0"/>
    <n v="0"/>
    <n v="160"/>
  </r>
  <r>
    <x v="8"/>
    <s v="JUL"/>
    <x v="30"/>
    <s v="GRSM 4"/>
    <x v="0"/>
    <s v="GMM"/>
    <n v="189901"/>
    <n v="1602016"/>
    <x v="16"/>
    <x v="32"/>
    <s v="AGLIO OLIO"/>
    <n v="3400"/>
    <n v="90"/>
    <n v="306000"/>
    <m/>
  </r>
  <r>
    <x v="8"/>
    <s v="JUL"/>
    <x v="30"/>
    <s v="GRSM 4"/>
    <x v="0"/>
    <s v="GMM"/>
    <n v="189901"/>
    <n v="1602016"/>
    <x v="16"/>
    <x v="32"/>
    <s v="CARBONARA"/>
    <n v="3400"/>
    <n v="120"/>
    <n v="408000"/>
    <m/>
  </r>
  <r>
    <x v="8"/>
    <s v="JUL"/>
    <x v="30"/>
    <s v="GRSM 4"/>
    <x v="0"/>
    <s v="GMM"/>
    <n v="189901"/>
    <n v="1602016"/>
    <x v="16"/>
    <x v="32"/>
    <s v="BOLOGNESE"/>
    <n v="3400"/>
    <n v="100"/>
    <n v="340000"/>
    <m/>
  </r>
  <r>
    <x v="8"/>
    <s v="JUL"/>
    <x v="30"/>
    <s v="GRSM 4"/>
    <x v="0"/>
    <s v="GMM"/>
    <n v="189901"/>
    <n v="1602016"/>
    <x v="16"/>
    <x v="32"/>
    <s v="GORENG"/>
    <n v="3400"/>
    <n v="130"/>
    <n v="442000"/>
    <n v="80"/>
  </r>
  <r>
    <x v="8"/>
    <s v="JUL"/>
    <x v="30"/>
    <s v="GRSM 4"/>
    <x v="0"/>
    <s v="GMM"/>
    <n v="189901"/>
    <n v="1602016"/>
    <x v="16"/>
    <x v="31"/>
    <s v="AGLIO OLIO"/>
    <n v="3400"/>
    <n v="90"/>
    <n v="306000"/>
    <m/>
  </r>
  <r>
    <x v="8"/>
    <s v="JUL"/>
    <x v="30"/>
    <s v="GRSM 4"/>
    <x v="0"/>
    <s v="GMM"/>
    <n v="189901"/>
    <n v="1602016"/>
    <x v="16"/>
    <x v="31"/>
    <s v="CARBONARA"/>
    <n v="3400"/>
    <n v="110"/>
    <n v="374000"/>
    <m/>
  </r>
  <r>
    <x v="8"/>
    <s v="JUL"/>
    <x v="30"/>
    <s v="GRSM 4"/>
    <x v="0"/>
    <s v="GMM"/>
    <n v="189901"/>
    <n v="1602016"/>
    <x v="16"/>
    <x v="31"/>
    <s v="BOLOGNESE"/>
    <n v="3400"/>
    <n v="100"/>
    <n v="340000"/>
    <m/>
  </r>
  <r>
    <x v="8"/>
    <s v="JUL"/>
    <x v="30"/>
    <s v="GRSM 4"/>
    <x v="0"/>
    <s v="GMM"/>
    <n v="189901"/>
    <n v="1602016"/>
    <x v="16"/>
    <x v="31"/>
    <s v="GORENG"/>
    <n v="3400"/>
    <n v="130"/>
    <n v="442000"/>
    <n v="80"/>
  </r>
  <r>
    <x v="8"/>
    <s v="JUL"/>
    <x v="28"/>
    <s v="GRSM 5"/>
    <x v="1"/>
    <s v="GMM"/>
    <n v="170220"/>
    <n v="9000015"/>
    <x v="15"/>
    <x v="29"/>
    <s v="AGLIO OLIO"/>
    <n v="2200"/>
    <n v="113"/>
    <n v="248600"/>
    <m/>
  </r>
  <r>
    <x v="8"/>
    <s v="JUL"/>
    <x v="28"/>
    <s v="GRSM 5"/>
    <x v="1"/>
    <s v="GMM"/>
    <n v="170220"/>
    <n v="9000015"/>
    <x v="15"/>
    <x v="29"/>
    <s v="CARBONARA"/>
    <n v="2200"/>
    <n v="117"/>
    <n v="257400"/>
    <m/>
  </r>
  <r>
    <x v="8"/>
    <s v="JUL"/>
    <x v="28"/>
    <s v="GRSM 5"/>
    <x v="1"/>
    <s v="GMM"/>
    <n v="170220"/>
    <n v="9000015"/>
    <x v="15"/>
    <x v="29"/>
    <s v="BOLOGNESE"/>
    <n v="2200"/>
    <n v="110"/>
    <n v="242000"/>
    <m/>
  </r>
  <r>
    <x v="8"/>
    <s v="JUL"/>
    <x v="28"/>
    <s v="GRSM 5"/>
    <x v="1"/>
    <s v="GMM"/>
    <n v="170220"/>
    <n v="9000015"/>
    <x v="15"/>
    <x v="29"/>
    <s v="GORENG"/>
    <n v="2200"/>
    <n v="237"/>
    <n v="521400"/>
    <n v="120"/>
  </r>
  <r>
    <x v="8"/>
    <s v="JUL"/>
    <x v="28"/>
    <s v="GRSM 5"/>
    <x v="1"/>
    <s v="GMM"/>
    <n v="170220"/>
    <n v="9000015"/>
    <x v="15"/>
    <x v="28"/>
    <s v="AGLIO OLIO"/>
    <n v="2200"/>
    <n v="113"/>
    <n v="248600"/>
    <m/>
  </r>
  <r>
    <x v="8"/>
    <s v="JUL"/>
    <x v="28"/>
    <s v="GRSM 5"/>
    <x v="1"/>
    <s v="GMM"/>
    <n v="170220"/>
    <n v="9000015"/>
    <x v="15"/>
    <x v="28"/>
    <s v="CARBONARA"/>
    <n v="2200"/>
    <n v="117"/>
    <n v="257400"/>
    <m/>
  </r>
  <r>
    <x v="8"/>
    <s v="JUL"/>
    <x v="28"/>
    <s v="GRSM 5"/>
    <x v="1"/>
    <s v="GMM"/>
    <n v="170220"/>
    <n v="9000015"/>
    <x v="15"/>
    <x v="28"/>
    <s v="BOLOGNESE"/>
    <n v="2200"/>
    <n v="110"/>
    <n v="242000"/>
    <m/>
  </r>
  <r>
    <x v="8"/>
    <s v="JUL"/>
    <x v="28"/>
    <s v="GRSM 5"/>
    <x v="1"/>
    <s v="GMM"/>
    <n v="170220"/>
    <n v="9000015"/>
    <x v="15"/>
    <x v="28"/>
    <s v="GORENG"/>
    <n v="2200"/>
    <n v="237"/>
    <n v="521400"/>
    <n v="120"/>
  </r>
  <r>
    <x v="8"/>
    <s v="JUL"/>
    <x v="28"/>
    <s v="GRSM 5"/>
    <x v="1"/>
    <s v="GMM"/>
    <n v="170220"/>
    <n v="1901004"/>
    <x v="17"/>
    <x v="33"/>
    <s v="AGLIO OLIO"/>
    <n v="2200"/>
    <n v="73"/>
    <n v="160600"/>
    <m/>
  </r>
  <r>
    <x v="8"/>
    <s v="JUL"/>
    <x v="28"/>
    <s v="GRSM 5"/>
    <x v="1"/>
    <s v="GMM"/>
    <n v="170220"/>
    <n v="1901004"/>
    <x v="17"/>
    <x v="33"/>
    <s v="CARBONARA"/>
    <n v="2200"/>
    <n v="200"/>
    <n v="440000"/>
    <m/>
  </r>
  <r>
    <x v="8"/>
    <s v="JUL"/>
    <x v="28"/>
    <s v="GRSM 5"/>
    <x v="1"/>
    <s v="GMM"/>
    <n v="170220"/>
    <n v="1901004"/>
    <x v="17"/>
    <x v="33"/>
    <s v="BOLOGNESE"/>
    <n v="2200"/>
    <n v="114"/>
    <n v="250800"/>
    <m/>
  </r>
  <r>
    <x v="8"/>
    <s v="JUL"/>
    <x v="28"/>
    <s v="GRSM 5"/>
    <x v="1"/>
    <s v="GMM"/>
    <n v="170220"/>
    <n v="1901004"/>
    <x v="17"/>
    <x v="33"/>
    <s v="GORENG"/>
    <n v="2200"/>
    <n v="347"/>
    <n v="763400"/>
    <n v="240"/>
  </r>
  <r>
    <x v="8"/>
    <s v="JUL"/>
    <x v="28"/>
    <s v="GRSM 5"/>
    <x v="1"/>
    <s v="GMM"/>
    <n v="170220"/>
    <n v="1901004"/>
    <x v="17"/>
    <x v="34"/>
    <s v="AGLIO OLIO"/>
    <n v="2200"/>
    <n v="73"/>
    <n v="160600"/>
    <m/>
  </r>
  <r>
    <x v="8"/>
    <s v="JUL"/>
    <x v="28"/>
    <s v="GRSM 5"/>
    <x v="1"/>
    <s v="GMM"/>
    <n v="170220"/>
    <n v="1901004"/>
    <x v="17"/>
    <x v="34"/>
    <s v="CARBONARA"/>
    <n v="2200"/>
    <n v="200"/>
    <n v="440000"/>
    <m/>
  </r>
  <r>
    <x v="8"/>
    <s v="JUL"/>
    <x v="28"/>
    <s v="GRSM 5"/>
    <x v="1"/>
    <s v="GMM"/>
    <n v="170220"/>
    <n v="1901004"/>
    <x v="17"/>
    <x v="34"/>
    <s v="BOLOGNESE"/>
    <n v="2200"/>
    <n v="114"/>
    <n v="250800"/>
    <m/>
  </r>
  <r>
    <x v="8"/>
    <s v="JUL"/>
    <x v="28"/>
    <s v="GRSM 5"/>
    <x v="1"/>
    <s v="GMM"/>
    <n v="170220"/>
    <n v="1901004"/>
    <x v="17"/>
    <x v="34"/>
    <s v="GORENG"/>
    <n v="2200"/>
    <n v="347"/>
    <n v="763400"/>
    <n v="240"/>
  </r>
  <r>
    <x v="8"/>
    <s v="JUL"/>
    <x v="28"/>
    <s v="GRSM 5"/>
    <x v="1"/>
    <s v="GMM"/>
    <n v="170220"/>
    <n v="9000015"/>
    <x v="18"/>
    <x v="35"/>
    <s v="AGLIO OLIO"/>
    <n v="2200"/>
    <n v="62"/>
    <n v="136400"/>
    <m/>
  </r>
  <r>
    <x v="8"/>
    <s v="JUL"/>
    <x v="28"/>
    <s v="GRSM 5"/>
    <x v="1"/>
    <s v="GMM"/>
    <n v="170220"/>
    <n v="9000015"/>
    <x v="18"/>
    <x v="35"/>
    <s v="CARBONARA"/>
    <n v="2200"/>
    <n v="240"/>
    <n v="528000"/>
    <m/>
  </r>
  <r>
    <x v="8"/>
    <s v="JUL"/>
    <x v="28"/>
    <s v="GRSM 5"/>
    <x v="1"/>
    <s v="GMM"/>
    <n v="170220"/>
    <n v="9000015"/>
    <x v="18"/>
    <x v="35"/>
    <s v="BOLOGNESE"/>
    <n v="2200"/>
    <n v="114"/>
    <n v="250800"/>
    <m/>
  </r>
  <r>
    <x v="8"/>
    <s v="JUL"/>
    <x v="28"/>
    <s v="GRSM 5"/>
    <x v="1"/>
    <s v="GMM"/>
    <n v="170220"/>
    <n v="9000015"/>
    <x v="18"/>
    <x v="35"/>
    <s v="GORENG"/>
    <n v="2200"/>
    <n v="364"/>
    <n v="800800"/>
    <n v="200"/>
  </r>
  <r>
    <x v="8"/>
    <s v="JUL"/>
    <x v="28"/>
    <s v="GRSM 5"/>
    <x v="1"/>
    <s v="GMM"/>
    <n v="170220"/>
    <n v="9000015"/>
    <x v="18"/>
    <x v="59"/>
    <s v="AGLIO OLIO"/>
    <n v="2200"/>
    <n v="62"/>
    <n v="136400"/>
    <m/>
  </r>
  <r>
    <x v="8"/>
    <s v="JUL"/>
    <x v="28"/>
    <s v="GRSM 5"/>
    <x v="1"/>
    <s v="GMM"/>
    <n v="170220"/>
    <n v="9000015"/>
    <x v="18"/>
    <x v="59"/>
    <s v="CARBONARA"/>
    <n v="2200"/>
    <n v="240"/>
    <n v="528000"/>
    <m/>
  </r>
  <r>
    <x v="8"/>
    <s v="JUL"/>
    <x v="28"/>
    <s v="GRSM 5"/>
    <x v="1"/>
    <s v="GMM"/>
    <n v="170220"/>
    <n v="9000015"/>
    <x v="18"/>
    <x v="59"/>
    <s v="BOLOGNESE"/>
    <n v="2200"/>
    <n v="114"/>
    <n v="250800"/>
    <m/>
  </r>
  <r>
    <x v="8"/>
    <s v="JUL"/>
    <x v="28"/>
    <s v="GRSM 5"/>
    <x v="1"/>
    <s v="GMM"/>
    <n v="170220"/>
    <n v="9000015"/>
    <x v="18"/>
    <x v="59"/>
    <s v="GORENG"/>
    <n v="2200"/>
    <n v="364"/>
    <n v="800800"/>
    <n v="200"/>
  </r>
  <r>
    <x v="8"/>
    <s v="JUL"/>
    <x v="28"/>
    <s v="GRSM 5"/>
    <x v="1"/>
    <s v="GMM"/>
    <n v="170220"/>
    <n v="1901019"/>
    <x v="19"/>
    <x v="37"/>
    <s v="AGLIO OLIO"/>
    <n v="2200"/>
    <n v="112"/>
    <n v="246400"/>
    <m/>
  </r>
  <r>
    <x v="8"/>
    <s v="JUL"/>
    <x v="28"/>
    <s v="GRSM 5"/>
    <x v="1"/>
    <s v="GMM"/>
    <n v="170220"/>
    <n v="1901019"/>
    <x v="19"/>
    <x v="37"/>
    <s v="CARBONARA"/>
    <n v="2200"/>
    <n v="84"/>
    <n v="184800"/>
    <m/>
  </r>
  <r>
    <x v="8"/>
    <s v="JUL"/>
    <x v="28"/>
    <s v="GRSM 5"/>
    <x v="1"/>
    <s v="GMM"/>
    <n v="170220"/>
    <n v="1901019"/>
    <x v="19"/>
    <x v="37"/>
    <s v="BOLOGNESE"/>
    <n v="2200"/>
    <n v="137"/>
    <n v="301400"/>
    <m/>
  </r>
  <r>
    <x v="8"/>
    <s v="JUL"/>
    <x v="28"/>
    <s v="GRSM 5"/>
    <x v="1"/>
    <s v="GMM"/>
    <n v="170220"/>
    <n v="1901019"/>
    <x v="19"/>
    <x v="37"/>
    <s v="GORENG"/>
    <n v="2200"/>
    <n v="326"/>
    <n v="717200"/>
    <n v="213"/>
  </r>
  <r>
    <x v="8"/>
    <s v="JUL"/>
    <x v="28"/>
    <s v="GRSM 5"/>
    <x v="1"/>
    <s v="GMM"/>
    <n v="170220"/>
    <n v="1901019"/>
    <x v="19"/>
    <x v="38"/>
    <s v="AGLIO OLIO"/>
    <n v="2200"/>
    <n v="112"/>
    <n v="246400"/>
    <m/>
  </r>
  <r>
    <x v="8"/>
    <s v="JUL"/>
    <x v="28"/>
    <s v="GRSM 5"/>
    <x v="1"/>
    <s v="GMM"/>
    <n v="170220"/>
    <n v="1901019"/>
    <x v="19"/>
    <x v="38"/>
    <s v="CARBONARA"/>
    <n v="2200"/>
    <n v="84"/>
    <n v="184800"/>
    <m/>
  </r>
  <r>
    <x v="8"/>
    <s v="JUL"/>
    <x v="28"/>
    <s v="GRSM 5"/>
    <x v="1"/>
    <s v="GMM"/>
    <n v="170220"/>
    <n v="1901019"/>
    <x v="19"/>
    <x v="38"/>
    <s v="BOLOGNESE"/>
    <n v="2200"/>
    <n v="137"/>
    <n v="301400"/>
    <m/>
  </r>
  <r>
    <x v="8"/>
    <s v="JUL"/>
    <x v="28"/>
    <s v="GRSM 5"/>
    <x v="1"/>
    <s v="GMM"/>
    <n v="170220"/>
    <n v="1901019"/>
    <x v="19"/>
    <x v="38"/>
    <s v="GORENG"/>
    <n v="2200"/>
    <n v="326"/>
    <n v="717200"/>
    <n v="213"/>
  </r>
  <r>
    <x v="8"/>
    <s v="JUL"/>
    <x v="29"/>
    <s v="GRSM 5"/>
    <x v="1"/>
    <s v="GMM"/>
    <n v="170220"/>
    <n v="9000015"/>
    <x v="15"/>
    <x v="29"/>
    <s v="AGLIO OLIO"/>
    <n v="2200"/>
    <n v="88"/>
    <n v="193600"/>
    <m/>
  </r>
  <r>
    <x v="8"/>
    <s v="JUL"/>
    <x v="29"/>
    <s v="GRSM 5"/>
    <x v="1"/>
    <s v="GMM"/>
    <n v="170220"/>
    <n v="9000015"/>
    <x v="15"/>
    <x v="29"/>
    <s v="CARBONARA"/>
    <n v="2200"/>
    <n v="164"/>
    <n v="360800"/>
    <m/>
  </r>
  <r>
    <x v="8"/>
    <s v="JUL"/>
    <x v="29"/>
    <s v="GRSM 5"/>
    <x v="1"/>
    <s v="GMM"/>
    <n v="170220"/>
    <n v="9000015"/>
    <x v="15"/>
    <x v="29"/>
    <s v="BOLOGNESE"/>
    <n v="2200"/>
    <n v="108"/>
    <n v="237600"/>
    <m/>
  </r>
  <r>
    <x v="8"/>
    <s v="JUL"/>
    <x v="29"/>
    <s v="GRSM 5"/>
    <x v="1"/>
    <s v="GMM"/>
    <n v="170220"/>
    <n v="9000015"/>
    <x v="15"/>
    <x v="29"/>
    <s v="GORENG"/>
    <n v="2200"/>
    <n v="231"/>
    <n v="508200"/>
    <n v="240"/>
  </r>
  <r>
    <x v="8"/>
    <s v="JUL"/>
    <x v="29"/>
    <s v="GRSM 5"/>
    <x v="1"/>
    <s v="GMM"/>
    <n v="170220"/>
    <n v="9000015"/>
    <x v="15"/>
    <x v="28"/>
    <s v="AGLIO OLIO"/>
    <n v="2200"/>
    <n v="88"/>
    <n v="193600"/>
    <m/>
  </r>
  <r>
    <x v="8"/>
    <s v="JUL"/>
    <x v="29"/>
    <s v="GRSM 5"/>
    <x v="1"/>
    <s v="GMM"/>
    <n v="170220"/>
    <n v="9000015"/>
    <x v="15"/>
    <x v="28"/>
    <s v="CARBONARA"/>
    <n v="2200"/>
    <n v="164"/>
    <n v="360800"/>
    <m/>
  </r>
  <r>
    <x v="8"/>
    <s v="JUL"/>
    <x v="29"/>
    <s v="GRSM 5"/>
    <x v="1"/>
    <s v="GMM"/>
    <n v="170220"/>
    <n v="9000015"/>
    <x v="15"/>
    <x v="28"/>
    <s v="BOLOGNESE"/>
    <n v="2200"/>
    <n v="108"/>
    <n v="237600"/>
    <m/>
  </r>
  <r>
    <x v="8"/>
    <s v="JUL"/>
    <x v="29"/>
    <s v="GRSM 5"/>
    <x v="1"/>
    <s v="GMM"/>
    <n v="170220"/>
    <n v="9000015"/>
    <x v="15"/>
    <x v="28"/>
    <s v="GORENG"/>
    <n v="2200"/>
    <n v="231"/>
    <n v="508200"/>
    <n v="240"/>
  </r>
  <r>
    <x v="8"/>
    <s v="JUL"/>
    <x v="29"/>
    <s v="GRSM 5"/>
    <x v="1"/>
    <s v="GMM"/>
    <n v="170220"/>
    <n v="1901019"/>
    <x v="19"/>
    <x v="37"/>
    <s v="AGLIO OLIO"/>
    <n v="2200"/>
    <n v="87"/>
    <n v="191400"/>
    <m/>
  </r>
  <r>
    <x v="8"/>
    <s v="JUL"/>
    <x v="29"/>
    <s v="GRSM 5"/>
    <x v="1"/>
    <s v="GMM"/>
    <n v="170220"/>
    <n v="1901019"/>
    <x v="19"/>
    <x v="37"/>
    <s v="CARBONARA"/>
    <n v="2200"/>
    <n v="72"/>
    <n v="158400"/>
    <m/>
  </r>
  <r>
    <x v="8"/>
    <s v="JUL"/>
    <x v="29"/>
    <s v="GRSM 5"/>
    <x v="1"/>
    <s v="GMM"/>
    <n v="170220"/>
    <n v="1901019"/>
    <x v="19"/>
    <x v="37"/>
    <s v="BOLOGNESE"/>
    <n v="2200"/>
    <n v="83"/>
    <n v="182600"/>
    <m/>
  </r>
  <r>
    <x v="8"/>
    <s v="JUL"/>
    <x v="29"/>
    <s v="GRSM 5"/>
    <x v="1"/>
    <s v="GMM"/>
    <n v="170220"/>
    <n v="1901019"/>
    <x v="19"/>
    <x v="37"/>
    <s v="GORENG"/>
    <n v="2200"/>
    <n v="294"/>
    <n v="646800"/>
    <n v="193"/>
  </r>
  <r>
    <x v="8"/>
    <s v="JUL"/>
    <x v="29"/>
    <s v="GRSM 5"/>
    <x v="1"/>
    <s v="GMM"/>
    <n v="170220"/>
    <n v="1901019"/>
    <x v="19"/>
    <x v="38"/>
    <s v="AGLIO OLIO"/>
    <n v="2200"/>
    <n v="87"/>
    <n v="191400"/>
    <m/>
  </r>
  <r>
    <x v="8"/>
    <s v="JUL"/>
    <x v="29"/>
    <s v="GRSM 5"/>
    <x v="1"/>
    <s v="GMM"/>
    <n v="170220"/>
    <n v="1901019"/>
    <x v="19"/>
    <x v="38"/>
    <s v="CARBONARA"/>
    <n v="2200"/>
    <n v="72"/>
    <n v="158400"/>
    <m/>
  </r>
  <r>
    <x v="8"/>
    <s v="JUL"/>
    <x v="29"/>
    <s v="GRSM 5"/>
    <x v="1"/>
    <s v="GMM"/>
    <n v="170220"/>
    <n v="1901019"/>
    <x v="19"/>
    <x v="38"/>
    <s v="BOLOGNESE"/>
    <n v="2200"/>
    <n v="83"/>
    <n v="182600"/>
    <m/>
  </r>
  <r>
    <x v="8"/>
    <s v="JUL"/>
    <x v="29"/>
    <s v="GRSM 5"/>
    <x v="1"/>
    <s v="GMM"/>
    <n v="170220"/>
    <n v="1901019"/>
    <x v="19"/>
    <x v="38"/>
    <s v="GORENG"/>
    <n v="2200"/>
    <n v="294"/>
    <n v="646800"/>
    <n v="193"/>
  </r>
  <r>
    <x v="8"/>
    <s v="JUL"/>
    <x v="29"/>
    <s v="GRSM 5"/>
    <x v="1"/>
    <s v="GMM"/>
    <n v="170220"/>
    <n v="1901004"/>
    <x v="17"/>
    <x v="33"/>
    <s v="AGLIO OLIO"/>
    <n v="2200"/>
    <n v="40"/>
    <n v="88000"/>
    <m/>
  </r>
  <r>
    <x v="8"/>
    <s v="JUL"/>
    <x v="29"/>
    <s v="GRSM 5"/>
    <x v="1"/>
    <s v="GMM"/>
    <n v="170220"/>
    <n v="1901004"/>
    <x v="17"/>
    <x v="33"/>
    <s v="CARBONARA"/>
    <n v="2200"/>
    <n v="280"/>
    <n v="616000"/>
    <m/>
  </r>
  <r>
    <x v="8"/>
    <s v="JUL"/>
    <x v="29"/>
    <s v="GRSM 5"/>
    <x v="1"/>
    <s v="GMM"/>
    <n v="170220"/>
    <n v="1901004"/>
    <x v="17"/>
    <x v="33"/>
    <s v="BOLOGNESE"/>
    <n v="2200"/>
    <n v="120"/>
    <n v="264000"/>
    <m/>
  </r>
  <r>
    <x v="8"/>
    <s v="JUL"/>
    <x v="29"/>
    <s v="GRSM 5"/>
    <x v="1"/>
    <s v="GMM"/>
    <n v="170220"/>
    <n v="1901004"/>
    <x v="17"/>
    <x v="33"/>
    <s v="GORENG"/>
    <n v="2200"/>
    <n v="440"/>
    <n v="968000"/>
    <n v="320"/>
  </r>
  <r>
    <x v="8"/>
    <s v="JUL"/>
    <x v="29"/>
    <s v="GRSM 5"/>
    <x v="1"/>
    <s v="GMM"/>
    <n v="170220"/>
    <n v="1901004"/>
    <x v="17"/>
    <x v="34"/>
    <s v="AGLIO OLIO"/>
    <n v="2200"/>
    <n v="40"/>
    <n v="88000"/>
    <m/>
  </r>
  <r>
    <x v="8"/>
    <s v="JUL"/>
    <x v="29"/>
    <s v="GRSM 5"/>
    <x v="1"/>
    <s v="GMM"/>
    <n v="170220"/>
    <n v="1901004"/>
    <x v="17"/>
    <x v="34"/>
    <s v="CARBONARA"/>
    <n v="2200"/>
    <n v="280"/>
    <n v="616000"/>
    <m/>
  </r>
  <r>
    <x v="8"/>
    <s v="JUL"/>
    <x v="29"/>
    <s v="GRSM 5"/>
    <x v="1"/>
    <s v="GMM"/>
    <n v="170220"/>
    <n v="1901004"/>
    <x v="17"/>
    <x v="34"/>
    <s v="BOLOGNESE"/>
    <n v="2200"/>
    <n v="120"/>
    <n v="264000"/>
    <m/>
  </r>
  <r>
    <x v="8"/>
    <s v="JUL"/>
    <x v="29"/>
    <s v="GRSM 5"/>
    <x v="1"/>
    <s v="GMM"/>
    <n v="170220"/>
    <n v="1901004"/>
    <x v="17"/>
    <x v="34"/>
    <s v="GORENG"/>
    <n v="2200"/>
    <n v="440"/>
    <n v="968000"/>
    <n v="320"/>
  </r>
  <r>
    <x v="8"/>
    <s v="JUL"/>
    <x v="29"/>
    <s v="GRSM 5"/>
    <x v="1"/>
    <s v="GMM"/>
    <n v="170220"/>
    <n v="9000015"/>
    <x v="18"/>
    <x v="35"/>
    <s v="AGLIO OLIO"/>
    <n v="2217"/>
    <n v="81"/>
    <n v="179577"/>
    <m/>
  </r>
  <r>
    <x v="8"/>
    <s v="JUL"/>
    <x v="29"/>
    <s v="GRSM 5"/>
    <x v="1"/>
    <s v="GMM"/>
    <n v="170220"/>
    <n v="9000015"/>
    <x v="18"/>
    <x v="35"/>
    <s v="CARBONARA"/>
    <n v="2217"/>
    <n v="359"/>
    <n v="795903"/>
    <m/>
  </r>
  <r>
    <x v="8"/>
    <s v="JUL"/>
    <x v="29"/>
    <s v="GRSM 5"/>
    <x v="1"/>
    <s v="GMM"/>
    <n v="170220"/>
    <n v="9000015"/>
    <x v="18"/>
    <x v="35"/>
    <s v="BOLOGNESE"/>
    <n v="2217"/>
    <n v="125"/>
    <n v="277125"/>
    <m/>
  </r>
  <r>
    <x v="8"/>
    <s v="JUL"/>
    <x v="29"/>
    <s v="GRSM 5"/>
    <x v="1"/>
    <s v="GMM"/>
    <n v="170220"/>
    <n v="9000015"/>
    <x v="18"/>
    <x v="35"/>
    <s v="GORENG"/>
    <n v="2217"/>
    <n v="370"/>
    <n v="820290"/>
    <n v="255"/>
  </r>
  <r>
    <x v="8"/>
    <s v="JUL"/>
    <x v="29"/>
    <s v="GRSM 5"/>
    <x v="1"/>
    <s v="GMM"/>
    <n v="170220"/>
    <n v="9000015"/>
    <x v="18"/>
    <x v="59"/>
    <s v="AGLIO OLIO"/>
    <n v="2217"/>
    <n v="81"/>
    <n v="179577"/>
    <m/>
  </r>
  <r>
    <x v="8"/>
    <s v="JUL"/>
    <x v="29"/>
    <s v="GRSM 5"/>
    <x v="1"/>
    <s v="GMM"/>
    <n v="170220"/>
    <n v="9000015"/>
    <x v="18"/>
    <x v="59"/>
    <s v="CARBONARA"/>
    <n v="2217"/>
    <n v="359"/>
    <n v="795903"/>
    <m/>
  </r>
  <r>
    <x v="8"/>
    <s v="JUL"/>
    <x v="29"/>
    <s v="GRSM 5"/>
    <x v="1"/>
    <s v="GMM"/>
    <n v="170220"/>
    <n v="9000015"/>
    <x v="18"/>
    <x v="59"/>
    <s v="BOLOGNESE"/>
    <n v="2217"/>
    <n v="125"/>
    <n v="277125"/>
    <m/>
  </r>
  <r>
    <x v="8"/>
    <s v="JUL"/>
    <x v="29"/>
    <s v="GRSM 5"/>
    <x v="1"/>
    <s v="GMM"/>
    <n v="170220"/>
    <n v="9000015"/>
    <x v="18"/>
    <x v="59"/>
    <s v="GORENG"/>
    <n v="2217"/>
    <n v="370"/>
    <n v="820290"/>
    <n v="255"/>
  </r>
  <r>
    <x v="8"/>
    <s v="JUL"/>
    <x v="30"/>
    <s v="GRSM 5"/>
    <x v="1"/>
    <s v="GMM"/>
    <n v="170220"/>
    <n v="9000015"/>
    <x v="18"/>
    <x v="35"/>
    <s v="AGLIO OLIO"/>
    <n v="2200"/>
    <n v="95"/>
    <n v="209000"/>
    <m/>
  </r>
  <r>
    <x v="8"/>
    <s v="JUL"/>
    <x v="30"/>
    <s v="GRSM 5"/>
    <x v="1"/>
    <s v="GMM"/>
    <n v="170220"/>
    <n v="9000015"/>
    <x v="18"/>
    <x v="35"/>
    <s v="CARBONARA"/>
    <n v="2200"/>
    <n v="348"/>
    <n v="765600"/>
    <m/>
  </r>
  <r>
    <x v="8"/>
    <s v="JUL"/>
    <x v="30"/>
    <s v="GRSM 5"/>
    <x v="1"/>
    <s v="GMM"/>
    <n v="170220"/>
    <n v="9000015"/>
    <x v="18"/>
    <x v="35"/>
    <s v="BOLOGNESE"/>
    <n v="2200"/>
    <n v="102"/>
    <n v="224400"/>
    <m/>
  </r>
  <r>
    <x v="8"/>
    <s v="JUL"/>
    <x v="30"/>
    <s v="GRSM 5"/>
    <x v="1"/>
    <s v="GMM"/>
    <n v="170220"/>
    <n v="9000015"/>
    <x v="18"/>
    <x v="35"/>
    <s v="GORENG"/>
    <n v="2200"/>
    <n v="421"/>
    <n v="926200"/>
    <n v="300"/>
  </r>
  <r>
    <x v="8"/>
    <s v="JUL"/>
    <x v="30"/>
    <s v="GRSM 5"/>
    <x v="1"/>
    <s v="GMM"/>
    <n v="170220"/>
    <n v="9000015"/>
    <x v="18"/>
    <x v="59"/>
    <s v="AGLIO OLIO"/>
    <n v="2200"/>
    <n v="95"/>
    <n v="209000"/>
    <m/>
  </r>
  <r>
    <x v="8"/>
    <s v="JUL"/>
    <x v="30"/>
    <s v="GRSM 5"/>
    <x v="1"/>
    <s v="GMM"/>
    <n v="170220"/>
    <n v="9000015"/>
    <x v="18"/>
    <x v="59"/>
    <s v="CARBONARA"/>
    <n v="2200"/>
    <n v="348"/>
    <n v="765600"/>
    <m/>
  </r>
  <r>
    <x v="8"/>
    <s v="JUL"/>
    <x v="30"/>
    <s v="GRSM 5"/>
    <x v="1"/>
    <s v="GMM"/>
    <n v="170220"/>
    <n v="9000015"/>
    <x v="18"/>
    <x v="59"/>
    <s v="BOLOGNESE"/>
    <n v="2200"/>
    <n v="102"/>
    <n v="224400"/>
    <m/>
  </r>
  <r>
    <x v="8"/>
    <s v="JUL"/>
    <x v="30"/>
    <s v="GRSM 5"/>
    <x v="1"/>
    <s v="GMM"/>
    <n v="170220"/>
    <n v="9000015"/>
    <x v="18"/>
    <x v="59"/>
    <s v="GORENG"/>
    <n v="2200"/>
    <n v="421"/>
    <n v="926200"/>
    <n v="300"/>
  </r>
  <r>
    <x v="8"/>
    <s v="JUL"/>
    <x v="30"/>
    <s v="GRSM 5"/>
    <x v="1"/>
    <s v="GMM"/>
    <n v="170220"/>
    <n v="9000015"/>
    <x v="15"/>
    <x v="29"/>
    <s v="AGLIO OLIO"/>
    <n v="2200"/>
    <n v="124"/>
    <n v="272800"/>
    <m/>
  </r>
  <r>
    <x v="8"/>
    <s v="JUL"/>
    <x v="30"/>
    <s v="GRSM 5"/>
    <x v="1"/>
    <s v="GMM"/>
    <n v="170220"/>
    <n v="9000015"/>
    <x v="15"/>
    <x v="29"/>
    <s v="CARBONARA"/>
    <n v="2200"/>
    <n v="209"/>
    <n v="459800"/>
    <m/>
  </r>
  <r>
    <x v="8"/>
    <s v="JUL"/>
    <x v="30"/>
    <s v="GRSM 5"/>
    <x v="1"/>
    <s v="GMM"/>
    <n v="170220"/>
    <n v="9000015"/>
    <x v="15"/>
    <x v="29"/>
    <s v="BOLOGNESE"/>
    <n v="2200"/>
    <n v="198"/>
    <n v="435600"/>
    <m/>
  </r>
  <r>
    <x v="8"/>
    <s v="JUL"/>
    <x v="30"/>
    <s v="GRSM 5"/>
    <x v="1"/>
    <s v="GMM"/>
    <n v="170220"/>
    <n v="9000015"/>
    <x v="15"/>
    <x v="29"/>
    <s v="GORENG"/>
    <n v="2200"/>
    <n v="311"/>
    <n v="684200"/>
    <n v="240"/>
  </r>
  <r>
    <x v="8"/>
    <s v="JUL"/>
    <x v="30"/>
    <s v="GRSM 5"/>
    <x v="1"/>
    <s v="GMM"/>
    <n v="170220"/>
    <n v="9000015"/>
    <x v="15"/>
    <x v="28"/>
    <s v="AGLIO OLIO"/>
    <n v="2200"/>
    <n v="124"/>
    <n v="272800"/>
    <m/>
  </r>
  <r>
    <x v="8"/>
    <s v="JUL"/>
    <x v="30"/>
    <s v="GRSM 5"/>
    <x v="1"/>
    <s v="GMM"/>
    <n v="170220"/>
    <n v="9000015"/>
    <x v="15"/>
    <x v="28"/>
    <s v="CARBONARA"/>
    <n v="2200"/>
    <n v="209"/>
    <n v="459800"/>
    <m/>
  </r>
  <r>
    <x v="8"/>
    <s v="JUL"/>
    <x v="30"/>
    <s v="GRSM 5"/>
    <x v="1"/>
    <s v="GMM"/>
    <n v="170220"/>
    <n v="9000015"/>
    <x v="15"/>
    <x v="28"/>
    <s v="BOLOGNESE"/>
    <n v="2200"/>
    <n v="198"/>
    <n v="435600"/>
    <m/>
  </r>
  <r>
    <x v="8"/>
    <s v="JUL"/>
    <x v="30"/>
    <s v="GRSM 5"/>
    <x v="1"/>
    <s v="GMM"/>
    <n v="170220"/>
    <n v="9000015"/>
    <x v="15"/>
    <x v="28"/>
    <s v="GORENG"/>
    <n v="2200"/>
    <n v="311"/>
    <n v="684200"/>
    <n v="240"/>
  </r>
  <r>
    <x v="8"/>
    <s v="JUL"/>
    <x v="30"/>
    <s v="GRSM 5"/>
    <x v="1"/>
    <s v="GMM"/>
    <n v="170220"/>
    <n v="1901019"/>
    <x v="19"/>
    <x v="37"/>
    <s v="AGLIO OLIO"/>
    <n v="2200"/>
    <n v="77"/>
    <n v="169400"/>
    <m/>
  </r>
  <r>
    <x v="8"/>
    <s v="JUL"/>
    <x v="30"/>
    <s v="GRSM 5"/>
    <x v="1"/>
    <s v="GMM"/>
    <n v="170220"/>
    <n v="1901019"/>
    <x v="19"/>
    <x v="37"/>
    <s v="CARBONARA"/>
    <n v="2200"/>
    <n v="79"/>
    <n v="173800"/>
    <m/>
  </r>
  <r>
    <x v="8"/>
    <s v="JUL"/>
    <x v="30"/>
    <s v="GRSM 5"/>
    <x v="1"/>
    <s v="GMM"/>
    <n v="170220"/>
    <n v="1901019"/>
    <x v="19"/>
    <x v="37"/>
    <s v="BOLOGNESE"/>
    <n v="2200"/>
    <n v="203"/>
    <n v="446600"/>
    <m/>
  </r>
  <r>
    <x v="8"/>
    <s v="JUL"/>
    <x v="30"/>
    <s v="GRSM 5"/>
    <x v="1"/>
    <s v="GMM"/>
    <n v="170220"/>
    <n v="1901019"/>
    <x v="19"/>
    <x v="37"/>
    <s v="GORENG"/>
    <n v="2200"/>
    <n v="413"/>
    <n v="908600"/>
    <n v="223"/>
  </r>
  <r>
    <x v="8"/>
    <s v="JUL"/>
    <x v="30"/>
    <s v="GRSM 5"/>
    <x v="1"/>
    <s v="GMM"/>
    <n v="170220"/>
    <n v="1901019"/>
    <x v="19"/>
    <x v="38"/>
    <s v="AGLIO OLIO"/>
    <n v="2200"/>
    <n v="77"/>
    <n v="169400"/>
    <m/>
  </r>
  <r>
    <x v="8"/>
    <s v="JUL"/>
    <x v="30"/>
    <s v="GRSM 5"/>
    <x v="1"/>
    <s v="GMM"/>
    <n v="170220"/>
    <n v="1901019"/>
    <x v="19"/>
    <x v="38"/>
    <s v="CARBONARA"/>
    <n v="2200"/>
    <n v="79"/>
    <n v="173800"/>
    <m/>
  </r>
  <r>
    <x v="8"/>
    <s v="JUL"/>
    <x v="30"/>
    <s v="GRSM 5"/>
    <x v="1"/>
    <s v="GMM"/>
    <n v="170220"/>
    <n v="1901019"/>
    <x v="19"/>
    <x v="38"/>
    <s v="BOLOGNESE"/>
    <n v="2200"/>
    <n v="203"/>
    <n v="446600"/>
    <m/>
  </r>
  <r>
    <x v="8"/>
    <s v="JUL"/>
    <x v="30"/>
    <s v="GRSM 5"/>
    <x v="1"/>
    <s v="GMM"/>
    <n v="170220"/>
    <n v="1901019"/>
    <x v="19"/>
    <x v="38"/>
    <s v="GORENG"/>
    <n v="2200"/>
    <n v="413"/>
    <n v="908600"/>
    <n v="223"/>
  </r>
  <r>
    <x v="8"/>
    <s v="JUL"/>
    <x v="30"/>
    <s v="GRSM 5"/>
    <x v="1"/>
    <s v="GMM"/>
    <n v="170220"/>
    <n v="1901004"/>
    <x v="17"/>
    <x v="33"/>
    <s v="AGLIO OLIO"/>
    <n v="2200"/>
    <n v="55"/>
    <n v="121000"/>
    <m/>
  </r>
  <r>
    <x v="8"/>
    <s v="JUL"/>
    <x v="30"/>
    <s v="GRSM 5"/>
    <x v="1"/>
    <s v="GMM"/>
    <n v="170220"/>
    <n v="1901004"/>
    <x v="17"/>
    <x v="33"/>
    <s v="CARBONARA"/>
    <n v="2200"/>
    <n v="269"/>
    <n v="591800"/>
    <m/>
  </r>
  <r>
    <x v="8"/>
    <s v="JUL"/>
    <x v="30"/>
    <s v="GRSM 5"/>
    <x v="1"/>
    <s v="GMM"/>
    <n v="170220"/>
    <n v="1901004"/>
    <x v="17"/>
    <x v="33"/>
    <s v="BOLOGNESE"/>
    <n v="2200"/>
    <n v="133"/>
    <n v="292600"/>
    <m/>
  </r>
  <r>
    <x v="8"/>
    <s v="JUL"/>
    <x v="30"/>
    <s v="GRSM 5"/>
    <x v="1"/>
    <s v="GMM"/>
    <n v="170220"/>
    <n v="1901004"/>
    <x v="17"/>
    <x v="33"/>
    <s v="GORENG"/>
    <n v="2200"/>
    <n v="417"/>
    <n v="917400"/>
    <n v="320"/>
  </r>
  <r>
    <x v="8"/>
    <s v="JUL"/>
    <x v="30"/>
    <s v="GRSM 5"/>
    <x v="1"/>
    <s v="GMM"/>
    <n v="170220"/>
    <n v="1901004"/>
    <x v="17"/>
    <x v="34"/>
    <s v="AGLIO OLIO"/>
    <n v="2200"/>
    <n v="55"/>
    <n v="121000"/>
    <m/>
  </r>
  <r>
    <x v="8"/>
    <s v="JUL"/>
    <x v="30"/>
    <s v="GRSM 5"/>
    <x v="1"/>
    <s v="GMM"/>
    <n v="170220"/>
    <n v="1901004"/>
    <x v="17"/>
    <x v="34"/>
    <s v="CARBONARA"/>
    <n v="2200"/>
    <n v="269"/>
    <n v="591800"/>
    <m/>
  </r>
  <r>
    <x v="8"/>
    <s v="JUL"/>
    <x v="30"/>
    <s v="GRSM 5"/>
    <x v="1"/>
    <s v="GMM"/>
    <n v="170220"/>
    <n v="1901004"/>
    <x v="17"/>
    <x v="34"/>
    <s v="BOLOGNESE"/>
    <n v="2200"/>
    <n v="133"/>
    <n v="292600"/>
    <m/>
  </r>
  <r>
    <x v="8"/>
    <s v="JUL"/>
    <x v="30"/>
    <s v="GRSM 5"/>
    <x v="1"/>
    <s v="GMM"/>
    <n v="170220"/>
    <n v="1901004"/>
    <x v="17"/>
    <x v="34"/>
    <s v="GORENG"/>
    <n v="2200"/>
    <n v="417"/>
    <n v="917400"/>
    <n v="320"/>
  </r>
  <r>
    <x v="8"/>
    <s v="JUL"/>
    <x v="28"/>
    <s v="GRSM 6"/>
    <x v="2"/>
    <s v="GMM"/>
    <n v="103765"/>
    <n v="4307038"/>
    <x v="20"/>
    <x v="40"/>
    <s v="AGLIO OLIO"/>
    <n v="3000"/>
    <n v="2"/>
    <n v="6000"/>
    <m/>
  </r>
  <r>
    <x v="8"/>
    <s v="JUL"/>
    <x v="28"/>
    <s v="GRSM 6"/>
    <x v="2"/>
    <s v="GMM"/>
    <n v="103765"/>
    <n v="4307038"/>
    <x v="20"/>
    <x v="40"/>
    <s v="CARBONARA"/>
    <n v="3000"/>
    <n v="120"/>
    <n v="360000"/>
    <m/>
  </r>
  <r>
    <x v="8"/>
    <s v="JUL"/>
    <x v="28"/>
    <s v="GRSM 6"/>
    <x v="2"/>
    <s v="GMM"/>
    <n v="103765"/>
    <n v="4307038"/>
    <x v="20"/>
    <x v="40"/>
    <s v="BOLOGNESE"/>
    <n v="3000"/>
    <n v="90"/>
    <n v="270000"/>
    <m/>
  </r>
  <r>
    <x v="8"/>
    <s v="JUL"/>
    <x v="28"/>
    <s v="GRSM 6"/>
    <x v="2"/>
    <s v="GMM"/>
    <n v="103765"/>
    <n v="4307038"/>
    <x v="20"/>
    <x v="40"/>
    <s v="GORENG"/>
    <n v="3000"/>
    <n v="262"/>
    <n v="786000"/>
    <m/>
  </r>
  <r>
    <x v="8"/>
    <s v="JUL"/>
    <x v="28"/>
    <s v="GRSM 6"/>
    <x v="2"/>
    <s v="GMM"/>
    <n v="103765"/>
    <n v="4307038"/>
    <x v="20"/>
    <x v="41"/>
    <s v="AGLIO OLIO"/>
    <n v="3000"/>
    <n v="2"/>
    <n v="6000"/>
    <m/>
  </r>
  <r>
    <x v="8"/>
    <s v="JUL"/>
    <x v="28"/>
    <s v="GRSM 6"/>
    <x v="2"/>
    <s v="GMM"/>
    <n v="103765"/>
    <n v="4307038"/>
    <x v="20"/>
    <x v="41"/>
    <s v="CARBONARA"/>
    <n v="3000"/>
    <n v="120"/>
    <n v="360000"/>
    <m/>
  </r>
  <r>
    <x v="8"/>
    <s v="JUL"/>
    <x v="28"/>
    <s v="GRSM 6"/>
    <x v="2"/>
    <s v="GMM"/>
    <n v="103765"/>
    <n v="4307038"/>
    <x v="20"/>
    <x v="41"/>
    <s v="BOLOGNESE"/>
    <n v="3000"/>
    <n v="90"/>
    <n v="270000"/>
    <m/>
  </r>
  <r>
    <x v="8"/>
    <s v="JUL"/>
    <x v="28"/>
    <s v="GRSM 6"/>
    <x v="2"/>
    <s v="GMM"/>
    <n v="103765"/>
    <n v="4307038"/>
    <x v="20"/>
    <x v="41"/>
    <s v="GORENG"/>
    <n v="3000"/>
    <n v="262"/>
    <n v="786000"/>
    <m/>
  </r>
  <r>
    <x v="8"/>
    <s v="JUL"/>
    <x v="28"/>
    <s v="GRSM 6"/>
    <x v="2"/>
    <s v="GMM"/>
    <n v="211139"/>
    <n v="3604550"/>
    <x v="26"/>
    <x v="52"/>
    <s v="AGLIO OLIO"/>
    <n v="2800"/>
    <n v="58"/>
    <n v="162400"/>
    <m/>
  </r>
  <r>
    <x v="8"/>
    <s v="JUL"/>
    <x v="28"/>
    <s v="GRSM 6"/>
    <x v="2"/>
    <s v="GMM"/>
    <n v="211139"/>
    <n v="3604550"/>
    <x v="26"/>
    <x v="52"/>
    <s v="CARBONARA"/>
    <n v="2800"/>
    <n v="62"/>
    <n v="173600"/>
    <m/>
  </r>
  <r>
    <x v="8"/>
    <s v="JUL"/>
    <x v="28"/>
    <s v="GRSM 6"/>
    <x v="2"/>
    <s v="GMM"/>
    <n v="211139"/>
    <n v="3604550"/>
    <x v="26"/>
    <x v="52"/>
    <s v="BOLOGNESE"/>
    <n v="2800"/>
    <n v="68"/>
    <n v="190400"/>
    <m/>
  </r>
  <r>
    <x v="8"/>
    <s v="JUL"/>
    <x v="28"/>
    <s v="GRSM 6"/>
    <x v="2"/>
    <s v="GMM"/>
    <n v="211139"/>
    <n v="3604550"/>
    <x v="26"/>
    <x v="52"/>
    <s v="GORENG"/>
    <n v="2800"/>
    <n v="164"/>
    <n v="459200"/>
    <n v="80"/>
  </r>
  <r>
    <x v="8"/>
    <s v="JUL"/>
    <x v="28"/>
    <s v="GRSM 6"/>
    <x v="2"/>
    <s v="GMM"/>
    <n v="211139"/>
    <n v="3604550"/>
    <x v="26"/>
    <x v="53"/>
    <s v="AGLIO OLIO"/>
    <n v="2800"/>
    <n v="60"/>
    <n v="168000"/>
    <m/>
  </r>
  <r>
    <x v="8"/>
    <s v="JUL"/>
    <x v="28"/>
    <s v="GRSM 6"/>
    <x v="2"/>
    <s v="GMM"/>
    <n v="211139"/>
    <n v="3604550"/>
    <x v="26"/>
    <x v="53"/>
    <s v="CARBONARA"/>
    <n v="2800"/>
    <n v="62"/>
    <n v="173600"/>
    <m/>
  </r>
  <r>
    <x v="8"/>
    <s v="JUL"/>
    <x v="28"/>
    <s v="GRSM 6"/>
    <x v="2"/>
    <s v="GMM"/>
    <n v="211139"/>
    <n v="3604550"/>
    <x v="26"/>
    <x v="53"/>
    <s v="BOLOGNESE"/>
    <n v="2800"/>
    <n v="64"/>
    <n v="179200"/>
    <m/>
  </r>
  <r>
    <x v="8"/>
    <s v="JUL"/>
    <x v="28"/>
    <s v="GRSM 6"/>
    <x v="2"/>
    <s v="GMM"/>
    <n v="211139"/>
    <n v="3604550"/>
    <x v="26"/>
    <x v="53"/>
    <s v="GORENG"/>
    <n v="2800"/>
    <n v="180"/>
    <n v="504000"/>
    <n v="80"/>
  </r>
  <r>
    <x v="8"/>
    <s v="JUL"/>
    <x v="28"/>
    <s v="GRSM 6"/>
    <x v="2"/>
    <s v="GMM"/>
    <n v="211163"/>
    <n v="3703215"/>
    <x v="23"/>
    <x v="46"/>
    <s v="AGLIO OLIO"/>
    <n v="3000"/>
    <n v="0"/>
    <n v="0"/>
    <m/>
  </r>
  <r>
    <x v="8"/>
    <s v="JUL"/>
    <x v="28"/>
    <s v="GRSM 6"/>
    <x v="2"/>
    <s v="GMM"/>
    <n v="211163"/>
    <n v="3703215"/>
    <x v="23"/>
    <x v="46"/>
    <s v="CARBONARA"/>
    <n v="3000"/>
    <n v="132"/>
    <n v="396000"/>
    <m/>
  </r>
  <r>
    <x v="8"/>
    <s v="JUL"/>
    <x v="28"/>
    <s v="GRSM 6"/>
    <x v="2"/>
    <s v="GMM"/>
    <n v="211163"/>
    <n v="3703215"/>
    <x v="23"/>
    <x v="46"/>
    <s v="BOLOGNESE"/>
    <n v="3000"/>
    <n v="122"/>
    <n v="366000"/>
    <m/>
  </r>
  <r>
    <x v="8"/>
    <s v="JUL"/>
    <x v="28"/>
    <s v="GRSM 6"/>
    <x v="2"/>
    <s v="GMM"/>
    <n v="211163"/>
    <n v="3703215"/>
    <x v="23"/>
    <x v="46"/>
    <s v="GORENG"/>
    <n v="3000"/>
    <n v="168"/>
    <n v="504000"/>
    <n v="80"/>
  </r>
  <r>
    <x v="8"/>
    <s v="JUL"/>
    <x v="28"/>
    <s v="GRSM 6"/>
    <x v="2"/>
    <s v="GMM"/>
    <n v="211163"/>
    <n v="3703215"/>
    <x v="23"/>
    <x v="47"/>
    <s v="AGLIO OLIO"/>
    <n v="3000"/>
    <n v="0"/>
    <n v="0"/>
    <m/>
  </r>
  <r>
    <x v="8"/>
    <s v="JUL"/>
    <x v="28"/>
    <s v="GRSM 6"/>
    <x v="2"/>
    <s v="GMM"/>
    <n v="211163"/>
    <n v="3703215"/>
    <x v="23"/>
    <x v="47"/>
    <s v="CARBONARA"/>
    <n v="3000"/>
    <n v="132"/>
    <n v="396000"/>
    <m/>
  </r>
  <r>
    <x v="8"/>
    <s v="JUL"/>
    <x v="28"/>
    <s v="GRSM 6"/>
    <x v="2"/>
    <s v="GMM"/>
    <n v="211163"/>
    <n v="3703215"/>
    <x v="23"/>
    <x v="47"/>
    <s v="BOLOGNESE"/>
    <n v="3000"/>
    <n v="122"/>
    <n v="366000"/>
    <m/>
  </r>
  <r>
    <x v="8"/>
    <s v="JUL"/>
    <x v="28"/>
    <s v="GRSM 6"/>
    <x v="2"/>
    <s v="GMM"/>
    <n v="211163"/>
    <n v="3703215"/>
    <x v="23"/>
    <x v="47"/>
    <s v="GORENG"/>
    <n v="3000"/>
    <n v="168"/>
    <n v="504000"/>
    <n v="80"/>
  </r>
  <r>
    <x v="8"/>
    <s v="JUL"/>
    <x v="28"/>
    <s v="GRSM 6"/>
    <x v="2"/>
    <s v="GMM"/>
    <n v="211163"/>
    <n v="3703219"/>
    <x v="22"/>
    <x v="45"/>
    <s v="AGLIO OLIO"/>
    <n v="2900"/>
    <n v="0"/>
    <n v="0"/>
    <m/>
  </r>
  <r>
    <x v="8"/>
    <s v="JUL"/>
    <x v="28"/>
    <s v="GRSM 6"/>
    <x v="2"/>
    <s v="GMM"/>
    <n v="211163"/>
    <n v="3703219"/>
    <x v="22"/>
    <x v="45"/>
    <s v="CARBONARA"/>
    <n v="2900"/>
    <n v="224"/>
    <n v="649600"/>
    <m/>
  </r>
  <r>
    <x v="8"/>
    <s v="JUL"/>
    <x v="28"/>
    <s v="GRSM 6"/>
    <x v="2"/>
    <s v="GMM"/>
    <n v="211163"/>
    <n v="3703219"/>
    <x v="22"/>
    <x v="45"/>
    <s v="BOLOGNESE"/>
    <n v="2900"/>
    <n v="216"/>
    <n v="626400"/>
    <m/>
  </r>
  <r>
    <x v="8"/>
    <s v="JUL"/>
    <x v="28"/>
    <s v="GRSM 6"/>
    <x v="2"/>
    <s v="GMM"/>
    <n v="211163"/>
    <n v="3703219"/>
    <x v="22"/>
    <x v="45"/>
    <s v="GORENG"/>
    <n v="2900"/>
    <n v="438"/>
    <n v="1270200"/>
    <m/>
  </r>
  <r>
    <x v="8"/>
    <s v="JUL"/>
    <x v="28"/>
    <s v="GRSM 6"/>
    <x v="2"/>
    <s v="GMM"/>
    <n v="211163"/>
    <n v="3703219"/>
    <x v="22"/>
    <x v="44"/>
    <s v="AGLIO OLIO"/>
    <n v="2900"/>
    <n v="0"/>
    <n v="0"/>
    <m/>
  </r>
  <r>
    <x v="8"/>
    <s v="JUL"/>
    <x v="28"/>
    <s v="GRSM 6"/>
    <x v="2"/>
    <s v="GMM"/>
    <n v="211163"/>
    <n v="3703219"/>
    <x v="22"/>
    <x v="44"/>
    <s v="CARBONARA"/>
    <n v="2900"/>
    <n v="224"/>
    <n v="649600"/>
    <m/>
  </r>
  <r>
    <x v="8"/>
    <s v="JUL"/>
    <x v="28"/>
    <s v="GRSM 6"/>
    <x v="2"/>
    <s v="GMM"/>
    <n v="211163"/>
    <n v="3703219"/>
    <x v="22"/>
    <x v="44"/>
    <s v="BOLOGNESE"/>
    <n v="2900"/>
    <n v="216"/>
    <n v="626400"/>
    <m/>
  </r>
  <r>
    <x v="8"/>
    <s v="JUL"/>
    <x v="28"/>
    <s v="GRSM 6"/>
    <x v="2"/>
    <s v="GMM"/>
    <n v="211163"/>
    <n v="3703219"/>
    <x v="22"/>
    <x v="44"/>
    <s v="GORENG"/>
    <n v="2900"/>
    <n v="438"/>
    <n v="1270200"/>
    <m/>
  </r>
  <r>
    <x v="8"/>
    <s v="JUL"/>
    <x v="28"/>
    <s v="GRSM 6"/>
    <x v="2"/>
    <s v="GMM"/>
    <n v="211033"/>
    <n v="6467246"/>
    <x v="21"/>
    <x v="42"/>
    <s v="AGLIO OLIO"/>
    <n v="3000"/>
    <n v="68"/>
    <n v="204000"/>
    <m/>
  </r>
  <r>
    <x v="8"/>
    <s v="JUL"/>
    <x v="28"/>
    <s v="GRSM 6"/>
    <x v="2"/>
    <s v="GMM"/>
    <n v="211033"/>
    <n v="6467246"/>
    <x v="21"/>
    <x v="42"/>
    <s v="CARBONARA"/>
    <n v="3000"/>
    <n v="80"/>
    <n v="240000"/>
    <m/>
  </r>
  <r>
    <x v="8"/>
    <s v="JUL"/>
    <x v="28"/>
    <s v="GRSM 6"/>
    <x v="2"/>
    <s v="GMM"/>
    <n v="211033"/>
    <n v="6467246"/>
    <x v="21"/>
    <x v="42"/>
    <s v="BOLOGNESE"/>
    <n v="3000"/>
    <n v="76"/>
    <n v="228000"/>
    <m/>
  </r>
  <r>
    <x v="8"/>
    <s v="JUL"/>
    <x v="28"/>
    <s v="GRSM 6"/>
    <x v="2"/>
    <s v="GMM"/>
    <n v="211033"/>
    <n v="6467246"/>
    <x v="21"/>
    <x v="42"/>
    <s v="GORENG"/>
    <n v="3000"/>
    <n v="260"/>
    <n v="780000"/>
    <m/>
  </r>
  <r>
    <x v="8"/>
    <s v="JUL"/>
    <x v="28"/>
    <s v="GRSM 6"/>
    <x v="2"/>
    <s v="GMM"/>
    <n v="211033"/>
    <n v="6467246"/>
    <x v="21"/>
    <x v="43"/>
    <s v="AGLIO OLIO"/>
    <n v="3000"/>
    <n v="68"/>
    <n v="204000"/>
    <m/>
  </r>
  <r>
    <x v="8"/>
    <s v="JUL"/>
    <x v="28"/>
    <s v="GRSM 6"/>
    <x v="2"/>
    <s v="GMM"/>
    <n v="211033"/>
    <n v="6467246"/>
    <x v="21"/>
    <x v="43"/>
    <s v="CARBONARA"/>
    <n v="3000"/>
    <n v="80"/>
    <n v="240000"/>
    <m/>
  </r>
  <r>
    <x v="8"/>
    <s v="JUL"/>
    <x v="28"/>
    <s v="GRSM 6"/>
    <x v="2"/>
    <s v="GMM"/>
    <n v="211033"/>
    <n v="6467246"/>
    <x v="21"/>
    <x v="43"/>
    <s v="BOLOGNESE"/>
    <n v="3000"/>
    <n v="76"/>
    <n v="228000"/>
    <m/>
  </r>
  <r>
    <x v="8"/>
    <s v="JUL"/>
    <x v="28"/>
    <s v="GRSM 6"/>
    <x v="2"/>
    <s v="GMM"/>
    <n v="211033"/>
    <n v="6467246"/>
    <x v="21"/>
    <x v="43"/>
    <s v="GORENG"/>
    <n v="3000"/>
    <n v="260"/>
    <n v="780000"/>
    <m/>
  </r>
  <r>
    <x v="8"/>
    <s v="JUL"/>
    <x v="28"/>
    <s v="GRSM 6"/>
    <x v="2"/>
    <s v="GMM"/>
    <n v="211033"/>
    <n v="2001021"/>
    <x v="27"/>
    <x v="54"/>
    <s v="AGLIO OLIO"/>
    <n v="3000"/>
    <n v="107"/>
    <n v="321000"/>
    <m/>
  </r>
  <r>
    <x v="8"/>
    <s v="JUL"/>
    <x v="28"/>
    <s v="GRSM 6"/>
    <x v="2"/>
    <s v="GMM"/>
    <n v="211033"/>
    <n v="2001021"/>
    <x v="27"/>
    <x v="54"/>
    <s v="CARBONARA"/>
    <n v="3000"/>
    <n v="114"/>
    <n v="342000"/>
    <m/>
  </r>
  <r>
    <x v="8"/>
    <s v="JUL"/>
    <x v="28"/>
    <s v="GRSM 6"/>
    <x v="2"/>
    <s v="GMM"/>
    <n v="211033"/>
    <n v="2001021"/>
    <x v="27"/>
    <x v="54"/>
    <s v="BOLOGNESE"/>
    <n v="3000"/>
    <n v="14"/>
    <n v="42000"/>
    <m/>
  </r>
  <r>
    <x v="8"/>
    <s v="JUL"/>
    <x v="28"/>
    <s v="GRSM 6"/>
    <x v="2"/>
    <s v="GMM"/>
    <n v="211033"/>
    <n v="2001021"/>
    <x v="27"/>
    <x v="54"/>
    <s v="GORENG"/>
    <n v="3000"/>
    <n v="209"/>
    <n v="627000"/>
    <m/>
  </r>
  <r>
    <x v="8"/>
    <s v="JUL"/>
    <x v="28"/>
    <s v="GRSM 6"/>
    <x v="2"/>
    <s v="GMM"/>
    <n v="211033"/>
    <n v="2001021"/>
    <x v="27"/>
    <x v="55"/>
    <s v="AGLIO OLIO"/>
    <n v="3000"/>
    <n v="107"/>
    <n v="321000"/>
    <m/>
  </r>
  <r>
    <x v="8"/>
    <s v="JUL"/>
    <x v="28"/>
    <s v="GRSM 6"/>
    <x v="2"/>
    <s v="GMM"/>
    <n v="211033"/>
    <n v="2001021"/>
    <x v="27"/>
    <x v="55"/>
    <s v="CARBONARA"/>
    <n v="3000"/>
    <n v="114"/>
    <n v="342000"/>
    <m/>
  </r>
  <r>
    <x v="8"/>
    <s v="JUL"/>
    <x v="28"/>
    <s v="GRSM 6"/>
    <x v="2"/>
    <s v="GMM"/>
    <n v="211033"/>
    <n v="2001021"/>
    <x v="27"/>
    <x v="55"/>
    <s v="BOLOGNESE"/>
    <n v="3000"/>
    <n v="14"/>
    <n v="42000"/>
    <m/>
  </r>
  <r>
    <x v="8"/>
    <s v="JUL"/>
    <x v="28"/>
    <s v="GRSM 6"/>
    <x v="2"/>
    <s v="GMM"/>
    <n v="211033"/>
    <n v="2001021"/>
    <x v="27"/>
    <x v="55"/>
    <s v="GORENG"/>
    <n v="3000"/>
    <n v="209"/>
    <n v="627000"/>
    <m/>
  </r>
  <r>
    <x v="8"/>
    <s v="JUL"/>
    <x v="29"/>
    <s v="GRSM 6"/>
    <x v="2"/>
    <s v="GMM"/>
    <n v="211139"/>
    <n v="3604550"/>
    <x v="26"/>
    <x v="53"/>
    <s v="AGLIO OLIO"/>
    <n v="1377"/>
    <n v="122"/>
    <n v="167994"/>
    <m/>
  </r>
  <r>
    <x v="8"/>
    <s v="JUL"/>
    <x v="29"/>
    <s v="GRSM 6"/>
    <x v="2"/>
    <s v="GMM"/>
    <n v="211139"/>
    <n v="3604550"/>
    <x v="26"/>
    <x v="53"/>
    <s v="CARBONARA"/>
    <n v="1377"/>
    <n v="128"/>
    <n v="176256"/>
    <m/>
  </r>
  <r>
    <x v="8"/>
    <s v="JUL"/>
    <x v="29"/>
    <s v="GRSM 6"/>
    <x v="2"/>
    <s v="GMM"/>
    <n v="211139"/>
    <n v="3604550"/>
    <x v="26"/>
    <x v="53"/>
    <s v="BOLOGNESE"/>
    <n v="1377"/>
    <n v="130"/>
    <n v="179010"/>
    <m/>
  </r>
  <r>
    <x v="8"/>
    <s v="JUL"/>
    <x v="29"/>
    <s v="GRSM 6"/>
    <x v="2"/>
    <s v="GMM"/>
    <n v="211139"/>
    <n v="3604550"/>
    <x v="26"/>
    <x v="53"/>
    <s v="GORENG"/>
    <n v="1377"/>
    <n v="286"/>
    <n v="393822"/>
    <n v="80"/>
  </r>
  <r>
    <x v="8"/>
    <s v="JUL"/>
    <x v="29"/>
    <s v="GRSM 6"/>
    <x v="2"/>
    <s v="GMM"/>
    <n v="211139"/>
    <n v="3604550"/>
    <x v="26"/>
    <x v="52"/>
    <s v="AGLIO OLIO"/>
    <n v="1377"/>
    <n v="122"/>
    <n v="167994"/>
    <m/>
  </r>
  <r>
    <x v="8"/>
    <s v="JUL"/>
    <x v="29"/>
    <s v="GRSM 6"/>
    <x v="2"/>
    <s v="GMM"/>
    <n v="211139"/>
    <n v="3604550"/>
    <x v="26"/>
    <x v="52"/>
    <s v="CARBONARA"/>
    <n v="1377"/>
    <n v="128"/>
    <n v="176256"/>
    <m/>
  </r>
  <r>
    <x v="8"/>
    <s v="JUL"/>
    <x v="29"/>
    <s v="GRSM 6"/>
    <x v="2"/>
    <s v="GMM"/>
    <n v="211139"/>
    <n v="3604550"/>
    <x v="26"/>
    <x v="52"/>
    <s v="BOLOGNESE"/>
    <n v="1377"/>
    <n v="130"/>
    <n v="179010"/>
    <m/>
  </r>
  <r>
    <x v="8"/>
    <s v="JUL"/>
    <x v="29"/>
    <s v="GRSM 6"/>
    <x v="2"/>
    <s v="GMM"/>
    <n v="211139"/>
    <n v="3604550"/>
    <x v="26"/>
    <x v="52"/>
    <s v="GORENG"/>
    <n v="1377"/>
    <n v="286"/>
    <n v="393822"/>
    <n v="80"/>
  </r>
  <r>
    <x v="8"/>
    <s v="JUL"/>
    <x v="29"/>
    <s v="GRSM 6"/>
    <x v="2"/>
    <s v="GMM"/>
    <n v="103765"/>
    <n v="4307038"/>
    <x v="20"/>
    <x v="40"/>
    <s v="AGLIO OLIO"/>
    <n v="3000"/>
    <n v="0"/>
    <n v="0"/>
    <m/>
  </r>
  <r>
    <x v="8"/>
    <s v="JUL"/>
    <x v="29"/>
    <s v="GRSM 6"/>
    <x v="2"/>
    <s v="GMM"/>
    <n v="103765"/>
    <n v="4307038"/>
    <x v="20"/>
    <x v="40"/>
    <s v="CARBONARA"/>
    <n v="3000"/>
    <n v="110"/>
    <n v="330000"/>
    <m/>
  </r>
  <r>
    <x v="8"/>
    <s v="JUL"/>
    <x v="29"/>
    <s v="GRSM 6"/>
    <x v="2"/>
    <s v="GMM"/>
    <n v="103765"/>
    <n v="4307038"/>
    <x v="20"/>
    <x v="40"/>
    <s v="BOLOGNESE"/>
    <n v="3000"/>
    <n v="100"/>
    <n v="300000"/>
    <m/>
  </r>
  <r>
    <x v="8"/>
    <s v="JUL"/>
    <x v="29"/>
    <s v="GRSM 6"/>
    <x v="2"/>
    <s v="GMM"/>
    <n v="103765"/>
    <n v="4307038"/>
    <x v="20"/>
    <x v="40"/>
    <s v="GORENG"/>
    <n v="3000"/>
    <n v="262"/>
    <n v="786000"/>
    <m/>
  </r>
  <r>
    <x v="8"/>
    <s v="JUL"/>
    <x v="29"/>
    <s v="GRSM 6"/>
    <x v="2"/>
    <s v="GMM"/>
    <n v="103765"/>
    <n v="4307038"/>
    <x v="20"/>
    <x v="41"/>
    <s v="AGLIO OLIO"/>
    <n v="3000"/>
    <n v="0"/>
    <n v="0"/>
    <m/>
  </r>
  <r>
    <x v="8"/>
    <s v="JUL"/>
    <x v="29"/>
    <s v="GRSM 6"/>
    <x v="2"/>
    <s v="GMM"/>
    <n v="103765"/>
    <n v="4307038"/>
    <x v="20"/>
    <x v="41"/>
    <s v="CARBONARA"/>
    <n v="3000"/>
    <n v="110"/>
    <n v="330000"/>
    <m/>
  </r>
  <r>
    <x v="8"/>
    <s v="JUL"/>
    <x v="29"/>
    <s v="GRSM 6"/>
    <x v="2"/>
    <s v="GMM"/>
    <n v="103765"/>
    <n v="4307038"/>
    <x v="20"/>
    <x v="41"/>
    <s v="BOLOGNESE"/>
    <n v="3000"/>
    <n v="100"/>
    <n v="300000"/>
    <m/>
  </r>
  <r>
    <x v="8"/>
    <s v="JUL"/>
    <x v="29"/>
    <s v="GRSM 6"/>
    <x v="2"/>
    <s v="GMM"/>
    <n v="103765"/>
    <n v="4307038"/>
    <x v="20"/>
    <x v="41"/>
    <s v="GORENG"/>
    <n v="3000"/>
    <n v="262"/>
    <n v="786000"/>
    <m/>
  </r>
  <r>
    <x v="8"/>
    <s v="JUL"/>
    <x v="29"/>
    <s v="GRSM 6"/>
    <x v="2"/>
    <s v="GMM"/>
    <n v="211163"/>
    <n v="3703215"/>
    <x v="23"/>
    <x v="46"/>
    <s v="AGLIO OLIO"/>
    <n v="3000"/>
    <n v="0"/>
    <n v="0"/>
    <m/>
  </r>
  <r>
    <x v="8"/>
    <s v="JUL"/>
    <x v="29"/>
    <s v="GRSM 6"/>
    <x v="2"/>
    <s v="GMM"/>
    <n v="211163"/>
    <n v="3703215"/>
    <x v="23"/>
    <x v="46"/>
    <s v="CARBONARA"/>
    <n v="3000"/>
    <n v="131"/>
    <n v="393000"/>
    <m/>
  </r>
  <r>
    <x v="8"/>
    <s v="JUL"/>
    <x v="29"/>
    <s v="GRSM 6"/>
    <x v="2"/>
    <s v="GMM"/>
    <n v="211163"/>
    <n v="3703215"/>
    <x v="23"/>
    <x v="46"/>
    <s v="BOLOGNESE"/>
    <n v="3000"/>
    <n v="127"/>
    <n v="381000"/>
    <m/>
  </r>
  <r>
    <x v="8"/>
    <s v="JUL"/>
    <x v="29"/>
    <s v="GRSM 6"/>
    <x v="2"/>
    <s v="GMM"/>
    <n v="211163"/>
    <n v="3703215"/>
    <x v="23"/>
    <x v="46"/>
    <s v="GORENG"/>
    <n v="3000"/>
    <n v="221"/>
    <n v="663000"/>
    <n v="80"/>
  </r>
  <r>
    <x v="8"/>
    <s v="JUL"/>
    <x v="29"/>
    <s v="GRSM 6"/>
    <x v="2"/>
    <s v="GMM"/>
    <n v="211163"/>
    <n v="3703215"/>
    <x v="23"/>
    <x v="47"/>
    <s v="AGLIO OLIO"/>
    <n v="3000"/>
    <n v="0"/>
    <n v="0"/>
    <m/>
  </r>
  <r>
    <x v="8"/>
    <s v="JUL"/>
    <x v="29"/>
    <s v="GRSM 6"/>
    <x v="2"/>
    <s v="GMM"/>
    <n v="211163"/>
    <n v="3703215"/>
    <x v="23"/>
    <x v="47"/>
    <s v="CARBONARA"/>
    <n v="3000"/>
    <n v="131"/>
    <n v="393000"/>
    <m/>
  </r>
  <r>
    <x v="8"/>
    <s v="JUL"/>
    <x v="29"/>
    <s v="GRSM 6"/>
    <x v="2"/>
    <s v="GMM"/>
    <n v="211163"/>
    <n v="3703215"/>
    <x v="23"/>
    <x v="47"/>
    <s v="BOLOGNESE"/>
    <n v="3000"/>
    <n v="127"/>
    <n v="381000"/>
    <m/>
  </r>
  <r>
    <x v="8"/>
    <s v="JUL"/>
    <x v="29"/>
    <s v="GRSM 6"/>
    <x v="2"/>
    <s v="GMM"/>
    <n v="211163"/>
    <n v="3703215"/>
    <x v="23"/>
    <x v="47"/>
    <s v="GORENG"/>
    <n v="3000"/>
    <n v="221"/>
    <n v="663000"/>
    <n v="80"/>
  </r>
  <r>
    <x v="8"/>
    <s v="JUL"/>
    <x v="29"/>
    <s v="GRSM 6"/>
    <x v="2"/>
    <s v="GMM"/>
    <n v="211163"/>
    <n v="3703219"/>
    <x v="22"/>
    <x v="45"/>
    <s v="AGLIO OLIO"/>
    <n v="2900"/>
    <n v="0"/>
    <n v="0"/>
    <m/>
  </r>
  <r>
    <x v="8"/>
    <s v="JUL"/>
    <x v="29"/>
    <s v="GRSM 6"/>
    <x v="2"/>
    <s v="GMM"/>
    <n v="211163"/>
    <n v="3703219"/>
    <x v="22"/>
    <x v="45"/>
    <s v="CARBONARA"/>
    <n v="2900"/>
    <n v="186"/>
    <n v="539400"/>
    <m/>
  </r>
  <r>
    <x v="8"/>
    <s v="JUL"/>
    <x v="29"/>
    <s v="GRSM 6"/>
    <x v="2"/>
    <s v="GMM"/>
    <n v="211163"/>
    <n v="3703219"/>
    <x v="22"/>
    <x v="45"/>
    <s v="BOLOGNESE"/>
    <n v="2900"/>
    <n v="174"/>
    <n v="504600"/>
    <m/>
  </r>
  <r>
    <x v="8"/>
    <s v="JUL"/>
    <x v="29"/>
    <s v="GRSM 6"/>
    <x v="2"/>
    <s v="GMM"/>
    <n v="211163"/>
    <n v="3703219"/>
    <x v="22"/>
    <x v="45"/>
    <s v="GORENG"/>
    <n v="2900"/>
    <n v="330"/>
    <n v="957000"/>
    <m/>
  </r>
  <r>
    <x v="8"/>
    <s v="JUL"/>
    <x v="29"/>
    <s v="GRSM 6"/>
    <x v="2"/>
    <s v="GMM"/>
    <n v="211163"/>
    <n v="3703219"/>
    <x v="22"/>
    <x v="44"/>
    <s v="AGLIO OLIO"/>
    <n v="2900"/>
    <n v="0"/>
    <n v="0"/>
    <m/>
  </r>
  <r>
    <x v="8"/>
    <s v="JUL"/>
    <x v="29"/>
    <s v="GRSM 6"/>
    <x v="2"/>
    <s v="GMM"/>
    <n v="211163"/>
    <n v="3703219"/>
    <x v="22"/>
    <x v="44"/>
    <s v="CARBONARA"/>
    <n v="2900"/>
    <n v="186"/>
    <n v="539400"/>
    <m/>
  </r>
  <r>
    <x v="8"/>
    <s v="JUL"/>
    <x v="29"/>
    <s v="GRSM 6"/>
    <x v="2"/>
    <s v="GMM"/>
    <n v="211163"/>
    <n v="3703219"/>
    <x v="22"/>
    <x v="44"/>
    <s v="BOLOGNESE"/>
    <n v="2900"/>
    <n v="174"/>
    <n v="504600"/>
    <m/>
  </r>
  <r>
    <x v="8"/>
    <s v="JUL"/>
    <x v="29"/>
    <s v="GRSM 6"/>
    <x v="2"/>
    <s v="GMM"/>
    <n v="211163"/>
    <n v="3703219"/>
    <x v="22"/>
    <x v="44"/>
    <s v="GORENG"/>
    <n v="2900"/>
    <n v="330"/>
    <n v="957000"/>
    <m/>
  </r>
  <r>
    <x v="8"/>
    <s v="JUL"/>
    <x v="29"/>
    <s v="GRSM 6"/>
    <x v="2"/>
    <s v="GMM"/>
    <n v="211033"/>
    <n v="6467246"/>
    <x v="21"/>
    <x v="42"/>
    <s v="AGLIO OLIO"/>
    <n v="3100"/>
    <n v="80"/>
    <n v="248000"/>
    <m/>
  </r>
  <r>
    <x v="8"/>
    <s v="JUL"/>
    <x v="29"/>
    <s v="GRSM 6"/>
    <x v="2"/>
    <s v="GMM"/>
    <n v="211033"/>
    <n v="6467246"/>
    <x v="21"/>
    <x v="42"/>
    <s v="CARBONARA"/>
    <n v="3100"/>
    <n v="221"/>
    <n v="685100"/>
    <m/>
  </r>
  <r>
    <x v="8"/>
    <s v="JUL"/>
    <x v="29"/>
    <s v="GRSM 6"/>
    <x v="2"/>
    <s v="GMM"/>
    <n v="211033"/>
    <n v="6467246"/>
    <x v="21"/>
    <x v="42"/>
    <s v="BOLOGNESE"/>
    <n v="3100"/>
    <n v="86"/>
    <n v="266600"/>
    <m/>
  </r>
  <r>
    <x v="8"/>
    <s v="JUL"/>
    <x v="29"/>
    <s v="GRSM 6"/>
    <x v="2"/>
    <s v="GMM"/>
    <n v="211033"/>
    <n v="6467246"/>
    <x v="21"/>
    <x v="42"/>
    <s v="GORENG"/>
    <n v="3100"/>
    <n v="312"/>
    <n v="967200"/>
    <n v="160"/>
  </r>
  <r>
    <x v="8"/>
    <s v="JUL"/>
    <x v="29"/>
    <s v="GRSM 6"/>
    <x v="2"/>
    <s v="GMM"/>
    <n v="211033"/>
    <n v="6467246"/>
    <x v="21"/>
    <x v="43"/>
    <s v="AGLIO OLIO"/>
    <n v="3100"/>
    <n v="80"/>
    <n v="248000"/>
    <m/>
  </r>
  <r>
    <x v="8"/>
    <s v="JUL"/>
    <x v="29"/>
    <s v="GRSM 6"/>
    <x v="2"/>
    <s v="GMM"/>
    <n v="211033"/>
    <n v="6467246"/>
    <x v="21"/>
    <x v="43"/>
    <s v="CARBONARA"/>
    <n v="3100"/>
    <n v="221"/>
    <n v="685100"/>
    <m/>
  </r>
  <r>
    <x v="8"/>
    <s v="JUL"/>
    <x v="29"/>
    <s v="GRSM 6"/>
    <x v="2"/>
    <s v="GMM"/>
    <n v="211033"/>
    <n v="6467246"/>
    <x v="21"/>
    <x v="43"/>
    <s v="BOLOGNESE"/>
    <n v="3100"/>
    <n v="86"/>
    <n v="266600"/>
    <m/>
  </r>
  <r>
    <x v="8"/>
    <s v="JUL"/>
    <x v="29"/>
    <s v="GRSM 6"/>
    <x v="2"/>
    <s v="GMM"/>
    <n v="211033"/>
    <n v="6467246"/>
    <x v="21"/>
    <x v="43"/>
    <s v="GORENG"/>
    <n v="3100"/>
    <n v="312"/>
    <n v="967200"/>
    <n v="160"/>
  </r>
  <r>
    <x v="8"/>
    <s v="JUL"/>
    <x v="29"/>
    <s v="GRSM 6"/>
    <x v="2"/>
    <s v="GMM"/>
    <n v="211033"/>
    <n v="2001021"/>
    <x v="27"/>
    <x v="54"/>
    <s v="AGLIO OLIO"/>
    <n v="3000"/>
    <n v="109"/>
    <n v="327000"/>
    <m/>
  </r>
  <r>
    <x v="8"/>
    <s v="JUL"/>
    <x v="29"/>
    <s v="GRSM 6"/>
    <x v="2"/>
    <s v="GMM"/>
    <n v="211033"/>
    <n v="2001021"/>
    <x v="27"/>
    <x v="54"/>
    <s v="CARBONARA"/>
    <n v="3000"/>
    <n v="36"/>
    <n v="108000"/>
    <m/>
  </r>
  <r>
    <x v="8"/>
    <s v="JUL"/>
    <x v="29"/>
    <s v="GRSM 6"/>
    <x v="2"/>
    <s v="GMM"/>
    <n v="211033"/>
    <n v="2001021"/>
    <x v="27"/>
    <x v="54"/>
    <s v="BOLOGNESE"/>
    <n v="3000"/>
    <n v="79"/>
    <n v="237000"/>
    <m/>
  </r>
  <r>
    <x v="8"/>
    <s v="JUL"/>
    <x v="29"/>
    <s v="GRSM 6"/>
    <x v="2"/>
    <s v="GMM"/>
    <n v="211033"/>
    <n v="2001021"/>
    <x v="27"/>
    <x v="54"/>
    <s v="GORENG"/>
    <n v="3000"/>
    <n v="235"/>
    <n v="705000"/>
    <m/>
  </r>
  <r>
    <x v="8"/>
    <s v="JUL"/>
    <x v="29"/>
    <s v="GRSM 6"/>
    <x v="2"/>
    <s v="GMM"/>
    <n v="211033"/>
    <n v="2001021"/>
    <x v="27"/>
    <x v="55"/>
    <s v="AGLIO OLIO"/>
    <n v="3000"/>
    <n v="109"/>
    <n v="327000"/>
    <m/>
  </r>
  <r>
    <x v="8"/>
    <s v="JUL"/>
    <x v="29"/>
    <s v="GRSM 6"/>
    <x v="2"/>
    <s v="GMM"/>
    <n v="211033"/>
    <n v="2001021"/>
    <x v="27"/>
    <x v="55"/>
    <s v="CARBONARA"/>
    <n v="3000"/>
    <n v="36"/>
    <n v="108000"/>
    <m/>
  </r>
  <r>
    <x v="8"/>
    <s v="JUL"/>
    <x v="29"/>
    <s v="GRSM 6"/>
    <x v="2"/>
    <s v="GMM"/>
    <n v="211033"/>
    <n v="2001021"/>
    <x v="27"/>
    <x v="55"/>
    <s v="BOLOGNESE"/>
    <n v="3000"/>
    <n v="79"/>
    <n v="237000"/>
    <m/>
  </r>
  <r>
    <x v="8"/>
    <s v="JUL"/>
    <x v="29"/>
    <s v="GRSM 6"/>
    <x v="2"/>
    <s v="GMM"/>
    <n v="211033"/>
    <n v="2001021"/>
    <x v="27"/>
    <x v="55"/>
    <s v="GORENG"/>
    <n v="3000"/>
    <n v="235"/>
    <n v="705000"/>
    <m/>
  </r>
  <r>
    <x v="8"/>
    <s v="JUL"/>
    <x v="29"/>
    <s v="GRSM 6"/>
    <x v="2"/>
    <s v="GMM"/>
    <n v="103765"/>
    <n v="4305267"/>
    <x v="24"/>
    <x v="49"/>
    <s v="AGLIO OLIO"/>
    <n v="3000"/>
    <n v="30"/>
    <n v="90000"/>
    <m/>
  </r>
  <r>
    <x v="8"/>
    <s v="JUL"/>
    <x v="29"/>
    <s v="GRSM 6"/>
    <x v="2"/>
    <s v="GMM"/>
    <n v="103765"/>
    <n v="4305267"/>
    <x v="24"/>
    <x v="49"/>
    <s v="CARBONARA"/>
    <n v="3000"/>
    <n v="120"/>
    <n v="360000"/>
    <m/>
  </r>
  <r>
    <x v="8"/>
    <s v="JUL"/>
    <x v="29"/>
    <s v="GRSM 6"/>
    <x v="2"/>
    <s v="GMM"/>
    <n v="103765"/>
    <n v="4305267"/>
    <x v="24"/>
    <x v="49"/>
    <s v="BOLOGNESE"/>
    <n v="3000"/>
    <n v="130"/>
    <n v="390000"/>
    <m/>
  </r>
  <r>
    <x v="8"/>
    <s v="JUL"/>
    <x v="29"/>
    <s v="GRSM 6"/>
    <x v="2"/>
    <s v="GMM"/>
    <n v="103765"/>
    <n v="4305267"/>
    <x v="24"/>
    <x v="49"/>
    <s v="GORENG"/>
    <n v="3000"/>
    <n v="215"/>
    <n v="645000"/>
    <m/>
  </r>
  <r>
    <x v="8"/>
    <s v="JUL"/>
    <x v="29"/>
    <s v="GRSM 6"/>
    <x v="2"/>
    <s v="GMM"/>
    <n v="103765"/>
    <n v="4305267"/>
    <x v="24"/>
    <x v="48"/>
    <s v="AGLIO OLIO"/>
    <n v="3000"/>
    <n v="30"/>
    <n v="90000"/>
    <m/>
  </r>
  <r>
    <x v="8"/>
    <s v="JUL"/>
    <x v="29"/>
    <s v="GRSM 6"/>
    <x v="2"/>
    <s v="GMM"/>
    <n v="103765"/>
    <n v="4305267"/>
    <x v="24"/>
    <x v="48"/>
    <s v="CARBONARA"/>
    <n v="3000"/>
    <n v="120"/>
    <n v="360000"/>
    <m/>
  </r>
  <r>
    <x v="8"/>
    <s v="JUL"/>
    <x v="29"/>
    <s v="GRSM 6"/>
    <x v="2"/>
    <s v="GMM"/>
    <n v="103765"/>
    <n v="4305267"/>
    <x v="24"/>
    <x v="48"/>
    <s v="BOLOGNESE"/>
    <n v="3000"/>
    <n v="130"/>
    <n v="390000"/>
    <m/>
  </r>
  <r>
    <x v="8"/>
    <s v="JUL"/>
    <x v="29"/>
    <s v="GRSM 6"/>
    <x v="2"/>
    <s v="GMM"/>
    <n v="103765"/>
    <n v="4305267"/>
    <x v="24"/>
    <x v="48"/>
    <s v="GORENG"/>
    <n v="3000"/>
    <n v="215"/>
    <n v="645000"/>
    <m/>
  </r>
  <r>
    <x v="8"/>
    <s v="JUL"/>
    <x v="30"/>
    <s v="GRSM 6"/>
    <x v="2"/>
    <s v="GMM"/>
    <n v="211163"/>
    <n v="3703215"/>
    <x v="23"/>
    <x v="46"/>
    <s v="AGLIO OLIO"/>
    <n v="3000"/>
    <n v="0"/>
    <n v="0"/>
    <m/>
  </r>
  <r>
    <x v="8"/>
    <s v="JUL"/>
    <x v="30"/>
    <s v="GRSM 6"/>
    <x v="2"/>
    <s v="GMM"/>
    <n v="211163"/>
    <n v="3703215"/>
    <x v="23"/>
    <x v="46"/>
    <s v="CARBONARA"/>
    <n v="3000"/>
    <n v="129"/>
    <n v="387000"/>
    <m/>
  </r>
  <r>
    <x v="8"/>
    <s v="JUL"/>
    <x v="30"/>
    <s v="GRSM 6"/>
    <x v="2"/>
    <s v="GMM"/>
    <n v="211163"/>
    <n v="3703215"/>
    <x v="23"/>
    <x v="46"/>
    <s v="BOLOGNESE"/>
    <n v="3000"/>
    <n v="109"/>
    <n v="327000"/>
    <m/>
  </r>
  <r>
    <x v="8"/>
    <s v="JUL"/>
    <x v="30"/>
    <s v="GRSM 6"/>
    <x v="2"/>
    <s v="GMM"/>
    <n v="211163"/>
    <n v="3703215"/>
    <x v="23"/>
    <x v="46"/>
    <s v="GORENG"/>
    <n v="3000"/>
    <n v="155"/>
    <n v="465000"/>
    <n v="102"/>
  </r>
  <r>
    <x v="8"/>
    <s v="JUL"/>
    <x v="30"/>
    <s v="GRSM 6"/>
    <x v="2"/>
    <s v="GMM"/>
    <n v="211163"/>
    <n v="3703215"/>
    <x v="23"/>
    <x v="47"/>
    <s v="AGLIO OLIO"/>
    <n v="3000"/>
    <n v="0"/>
    <n v="0"/>
    <m/>
  </r>
  <r>
    <x v="8"/>
    <s v="JUL"/>
    <x v="30"/>
    <s v="GRSM 6"/>
    <x v="2"/>
    <s v="GMM"/>
    <n v="211163"/>
    <n v="3703215"/>
    <x v="23"/>
    <x v="47"/>
    <s v="CARBONARA"/>
    <n v="3000"/>
    <n v="129"/>
    <n v="387000"/>
    <m/>
  </r>
  <r>
    <x v="8"/>
    <s v="JUL"/>
    <x v="30"/>
    <s v="GRSM 6"/>
    <x v="2"/>
    <s v="GMM"/>
    <n v="211163"/>
    <n v="3703215"/>
    <x v="23"/>
    <x v="47"/>
    <s v="BOLOGNESE"/>
    <n v="3000"/>
    <n v="109"/>
    <n v="327000"/>
    <m/>
  </r>
  <r>
    <x v="8"/>
    <s v="JUL"/>
    <x v="30"/>
    <s v="GRSM 6"/>
    <x v="2"/>
    <s v="GMM"/>
    <n v="211163"/>
    <n v="3703215"/>
    <x v="23"/>
    <x v="47"/>
    <s v="GORENG"/>
    <n v="3000"/>
    <n v="155"/>
    <n v="465000"/>
    <n v="102"/>
  </r>
  <r>
    <x v="8"/>
    <s v="JUL"/>
    <x v="30"/>
    <s v="GRSM 6"/>
    <x v="2"/>
    <s v="GMM"/>
    <n v="211139"/>
    <n v="3604550"/>
    <x v="26"/>
    <x v="52"/>
    <s v="AGLIO OLIO"/>
    <n v="2800"/>
    <n v="100"/>
    <n v="280000"/>
    <m/>
  </r>
  <r>
    <x v="8"/>
    <s v="JUL"/>
    <x v="30"/>
    <s v="GRSM 6"/>
    <x v="2"/>
    <s v="GMM"/>
    <n v="211139"/>
    <n v="3604550"/>
    <x v="26"/>
    <x v="52"/>
    <s v="CARBONARA"/>
    <n v="2800"/>
    <n v="130"/>
    <n v="364000"/>
    <m/>
  </r>
  <r>
    <x v="8"/>
    <s v="JUL"/>
    <x v="30"/>
    <s v="GRSM 6"/>
    <x v="2"/>
    <s v="GMM"/>
    <n v="211139"/>
    <n v="3604550"/>
    <x v="26"/>
    <x v="52"/>
    <s v="BOLOGNESE"/>
    <n v="2800"/>
    <n v="118"/>
    <n v="330400"/>
    <m/>
  </r>
  <r>
    <x v="8"/>
    <s v="JUL"/>
    <x v="30"/>
    <s v="GRSM 6"/>
    <x v="2"/>
    <s v="GMM"/>
    <n v="211139"/>
    <n v="3604550"/>
    <x v="26"/>
    <x v="52"/>
    <s v="GORENG"/>
    <n v="2800"/>
    <n v="270"/>
    <n v="756000"/>
    <n v="160"/>
  </r>
  <r>
    <x v="8"/>
    <s v="JUL"/>
    <x v="30"/>
    <s v="GRSM 6"/>
    <x v="2"/>
    <s v="GMM"/>
    <n v="211139"/>
    <n v="3604550"/>
    <x v="26"/>
    <x v="53"/>
    <s v="AGLIO OLIO"/>
    <n v="2800"/>
    <n v="100"/>
    <n v="280000"/>
    <m/>
  </r>
  <r>
    <x v="8"/>
    <s v="JUL"/>
    <x v="30"/>
    <s v="GRSM 6"/>
    <x v="2"/>
    <s v="GMM"/>
    <n v="211139"/>
    <n v="3604550"/>
    <x v="26"/>
    <x v="53"/>
    <s v="CARBONARA"/>
    <n v="2800"/>
    <n v="130"/>
    <n v="364000"/>
    <m/>
  </r>
  <r>
    <x v="8"/>
    <s v="JUL"/>
    <x v="30"/>
    <s v="GRSM 6"/>
    <x v="2"/>
    <s v="GMM"/>
    <n v="211139"/>
    <n v="3604550"/>
    <x v="26"/>
    <x v="53"/>
    <s v="BOLOGNESE"/>
    <n v="2800"/>
    <n v="118"/>
    <n v="330400"/>
    <m/>
  </r>
  <r>
    <x v="8"/>
    <s v="JUL"/>
    <x v="30"/>
    <s v="GRSM 6"/>
    <x v="2"/>
    <s v="GMM"/>
    <n v="211139"/>
    <n v="3604550"/>
    <x v="26"/>
    <x v="53"/>
    <s v="GORENG"/>
    <n v="2800"/>
    <n v="270"/>
    <n v="756000"/>
    <n v="160"/>
  </r>
  <r>
    <x v="8"/>
    <s v="JUL"/>
    <x v="30"/>
    <s v="GRSM 6"/>
    <x v="2"/>
    <s v="GMM"/>
    <n v="211139"/>
    <n v="3604550"/>
    <x v="26"/>
    <x v="52"/>
    <s v="AGLIO OLIO"/>
    <n v="2800"/>
    <n v="100"/>
    <n v="280000"/>
    <m/>
  </r>
  <r>
    <x v="8"/>
    <s v="JUL"/>
    <x v="30"/>
    <s v="GRSM 6"/>
    <x v="2"/>
    <s v="GMM"/>
    <n v="211139"/>
    <n v="3604550"/>
    <x v="26"/>
    <x v="52"/>
    <s v="CARBONARA"/>
    <n v="2800"/>
    <n v="130"/>
    <n v="364000"/>
    <m/>
  </r>
  <r>
    <x v="8"/>
    <s v="JUL"/>
    <x v="30"/>
    <s v="GRSM 6"/>
    <x v="2"/>
    <s v="GMM"/>
    <n v="211139"/>
    <n v="3604550"/>
    <x v="26"/>
    <x v="52"/>
    <s v="BOLOGNESE"/>
    <n v="2800"/>
    <n v="118"/>
    <n v="330400"/>
    <m/>
  </r>
  <r>
    <x v="8"/>
    <s v="JUL"/>
    <x v="30"/>
    <s v="GRSM 6"/>
    <x v="2"/>
    <s v="GMM"/>
    <n v="211139"/>
    <n v="3604550"/>
    <x v="26"/>
    <x v="52"/>
    <s v="GORENG"/>
    <n v="2800"/>
    <n v="270"/>
    <n v="756000"/>
    <n v="160"/>
  </r>
  <r>
    <x v="8"/>
    <s v="JUL"/>
    <x v="30"/>
    <s v="GRSM 6"/>
    <x v="2"/>
    <s v="GMM"/>
    <n v="211139"/>
    <n v="3604550"/>
    <x v="26"/>
    <x v="53"/>
    <s v="AGLIO OLIO"/>
    <n v="2800"/>
    <n v="100"/>
    <n v="280000"/>
    <m/>
  </r>
  <r>
    <x v="8"/>
    <s v="JUL"/>
    <x v="30"/>
    <s v="GRSM 6"/>
    <x v="2"/>
    <s v="GMM"/>
    <n v="211139"/>
    <n v="3604550"/>
    <x v="26"/>
    <x v="53"/>
    <s v="CARBONARA"/>
    <n v="2800"/>
    <n v="130"/>
    <n v="364000"/>
    <m/>
  </r>
  <r>
    <x v="8"/>
    <s v="JUL"/>
    <x v="30"/>
    <s v="GRSM 6"/>
    <x v="2"/>
    <s v="GMM"/>
    <n v="211139"/>
    <n v="3604550"/>
    <x v="26"/>
    <x v="53"/>
    <s v="BOLOGNESE"/>
    <n v="2800"/>
    <n v="118"/>
    <n v="330400"/>
    <m/>
  </r>
  <r>
    <x v="8"/>
    <s v="JUL"/>
    <x v="30"/>
    <s v="GRSM 6"/>
    <x v="2"/>
    <s v="GMM"/>
    <n v="211139"/>
    <n v="3604550"/>
    <x v="26"/>
    <x v="53"/>
    <s v="GORENG"/>
    <n v="2800"/>
    <n v="270"/>
    <n v="756000"/>
    <n v="160"/>
  </r>
  <r>
    <x v="8"/>
    <s v="JUL"/>
    <x v="30"/>
    <s v="GRSM 6"/>
    <x v="2"/>
    <s v="GMM"/>
    <n v="103765"/>
    <n v="4307038"/>
    <x v="20"/>
    <x v="40"/>
    <s v="AGLIO OLIO"/>
    <n v="3000"/>
    <n v="6"/>
    <n v="18000"/>
    <m/>
  </r>
  <r>
    <x v="8"/>
    <s v="JUL"/>
    <x v="30"/>
    <s v="GRSM 6"/>
    <x v="2"/>
    <s v="GMM"/>
    <n v="103765"/>
    <n v="4307038"/>
    <x v="20"/>
    <x v="40"/>
    <s v="CARBONARA"/>
    <n v="3000"/>
    <n v="100"/>
    <n v="300000"/>
    <m/>
  </r>
  <r>
    <x v="8"/>
    <s v="JUL"/>
    <x v="30"/>
    <s v="GRSM 6"/>
    <x v="2"/>
    <s v="GMM"/>
    <n v="103765"/>
    <n v="4307038"/>
    <x v="20"/>
    <x v="40"/>
    <s v="BOLOGNESE"/>
    <n v="3000"/>
    <n v="130"/>
    <n v="390000"/>
    <m/>
  </r>
  <r>
    <x v="8"/>
    <s v="JUL"/>
    <x v="30"/>
    <s v="GRSM 6"/>
    <x v="2"/>
    <s v="GMM"/>
    <n v="103765"/>
    <n v="4307038"/>
    <x v="20"/>
    <x v="40"/>
    <s v="GORENG"/>
    <n v="3000"/>
    <n v="254"/>
    <n v="762000"/>
    <m/>
  </r>
  <r>
    <x v="8"/>
    <s v="JUL"/>
    <x v="30"/>
    <s v="GRSM 6"/>
    <x v="2"/>
    <s v="GMM"/>
    <n v="103765"/>
    <n v="4307038"/>
    <x v="20"/>
    <x v="41"/>
    <s v="AGLIO OLIO"/>
    <n v="3000"/>
    <n v="6"/>
    <n v="18000"/>
    <m/>
  </r>
  <r>
    <x v="8"/>
    <s v="JUL"/>
    <x v="30"/>
    <s v="GRSM 6"/>
    <x v="2"/>
    <s v="GMM"/>
    <n v="103765"/>
    <n v="4307038"/>
    <x v="20"/>
    <x v="41"/>
    <s v="CARBONARA"/>
    <n v="3000"/>
    <n v="100"/>
    <n v="300000"/>
    <m/>
  </r>
  <r>
    <x v="8"/>
    <s v="JUL"/>
    <x v="30"/>
    <s v="GRSM 6"/>
    <x v="2"/>
    <s v="GMM"/>
    <n v="103765"/>
    <n v="4307038"/>
    <x v="20"/>
    <x v="41"/>
    <s v="BOLOGNESE"/>
    <n v="3000"/>
    <n v="130"/>
    <n v="390000"/>
    <m/>
  </r>
  <r>
    <x v="8"/>
    <s v="JUL"/>
    <x v="30"/>
    <s v="GRSM 6"/>
    <x v="2"/>
    <s v="GMM"/>
    <n v="103765"/>
    <n v="4307038"/>
    <x v="20"/>
    <x v="41"/>
    <s v="GORENG"/>
    <n v="3000"/>
    <n v="254"/>
    <n v="762000"/>
    <m/>
  </r>
  <r>
    <x v="8"/>
    <s v="JUL"/>
    <x v="30"/>
    <s v="GRSM 6"/>
    <x v="2"/>
    <s v="GMM"/>
    <n v="211033"/>
    <n v="2001021"/>
    <x v="27"/>
    <x v="54"/>
    <s v="AGLIO OLIO"/>
    <n v="3000"/>
    <n v="99"/>
    <n v="297000"/>
    <m/>
  </r>
  <r>
    <x v="8"/>
    <s v="JUL"/>
    <x v="30"/>
    <s v="GRSM 6"/>
    <x v="2"/>
    <s v="GMM"/>
    <n v="211033"/>
    <n v="2001021"/>
    <x v="27"/>
    <x v="54"/>
    <s v="CARBONARA"/>
    <n v="3000"/>
    <n v="138"/>
    <n v="414000"/>
    <m/>
  </r>
  <r>
    <x v="8"/>
    <s v="JUL"/>
    <x v="30"/>
    <s v="GRSM 6"/>
    <x v="2"/>
    <s v="GMM"/>
    <n v="211033"/>
    <n v="2001021"/>
    <x v="27"/>
    <x v="54"/>
    <s v="BOLOGNESE"/>
    <n v="3000"/>
    <n v="105"/>
    <n v="315000"/>
    <m/>
  </r>
  <r>
    <x v="8"/>
    <s v="JUL"/>
    <x v="30"/>
    <s v="GRSM 6"/>
    <x v="2"/>
    <s v="GMM"/>
    <n v="211033"/>
    <n v="2001021"/>
    <x v="27"/>
    <x v="54"/>
    <s v="GORENG"/>
    <n v="3000"/>
    <n v="222"/>
    <n v="666000"/>
    <m/>
  </r>
  <r>
    <x v="8"/>
    <s v="JUL"/>
    <x v="30"/>
    <s v="GRSM 6"/>
    <x v="2"/>
    <s v="GMM"/>
    <n v="211033"/>
    <n v="2001021"/>
    <x v="27"/>
    <x v="55"/>
    <s v="AGLIO OLIO"/>
    <n v="3000"/>
    <n v="99"/>
    <n v="297000"/>
    <m/>
  </r>
  <r>
    <x v="8"/>
    <s v="JUL"/>
    <x v="30"/>
    <s v="GRSM 6"/>
    <x v="2"/>
    <s v="GMM"/>
    <n v="211033"/>
    <n v="2001021"/>
    <x v="27"/>
    <x v="55"/>
    <s v="CARBONARA"/>
    <n v="3000"/>
    <n v="138"/>
    <n v="414000"/>
    <m/>
  </r>
  <r>
    <x v="8"/>
    <s v="JUL"/>
    <x v="30"/>
    <s v="GRSM 6"/>
    <x v="2"/>
    <s v="GMM"/>
    <n v="211033"/>
    <n v="2001021"/>
    <x v="27"/>
    <x v="55"/>
    <s v="BOLOGNESE"/>
    <n v="3000"/>
    <n v="105"/>
    <n v="315000"/>
    <m/>
  </r>
  <r>
    <x v="8"/>
    <s v="JUL"/>
    <x v="30"/>
    <s v="GRSM 6"/>
    <x v="2"/>
    <s v="GMM"/>
    <n v="211033"/>
    <n v="2001021"/>
    <x v="27"/>
    <x v="55"/>
    <s v="GORENG"/>
    <n v="3000"/>
    <n v="222"/>
    <n v="666000"/>
    <m/>
  </r>
  <r>
    <x v="8"/>
    <s v="JUL"/>
    <x v="30"/>
    <s v="GRSM 6"/>
    <x v="2"/>
    <s v="GMM"/>
    <n v="211163"/>
    <n v="3703219"/>
    <x v="22"/>
    <x v="45"/>
    <s v="AGLIO OLIO"/>
    <n v="2900"/>
    <n v="0"/>
    <n v="0"/>
    <m/>
  </r>
  <r>
    <x v="8"/>
    <s v="JUL"/>
    <x v="30"/>
    <s v="GRSM 6"/>
    <x v="2"/>
    <s v="GMM"/>
    <n v="211163"/>
    <n v="3703219"/>
    <x v="22"/>
    <x v="45"/>
    <s v="CARBONARA"/>
    <n v="2900"/>
    <n v="226"/>
    <n v="655400"/>
    <m/>
  </r>
  <r>
    <x v="8"/>
    <s v="JUL"/>
    <x v="30"/>
    <s v="GRSM 6"/>
    <x v="2"/>
    <s v="GMM"/>
    <n v="211163"/>
    <n v="3703219"/>
    <x v="22"/>
    <x v="45"/>
    <s v="BOLOGNESE"/>
    <n v="2900"/>
    <n v="184"/>
    <n v="533600"/>
    <m/>
  </r>
  <r>
    <x v="8"/>
    <s v="JUL"/>
    <x v="30"/>
    <s v="GRSM 6"/>
    <x v="2"/>
    <s v="GMM"/>
    <n v="211163"/>
    <n v="3703219"/>
    <x v="22"/>
    <x v="45"/>
    <s v="GORENG"/>
    <n v="2900"/>
    <n v="380"/>
    <n v="1102000"/>
    <m/>
  </r>
  <r>
    <x v="8"/>
    <s v="JUL"/>
    <x v="30"/>
    <s v="GRSM 6"/>
    <x v="2"/>
    <s v="GMM"/>
    <n v="211163"/>
    <n v="3703219"/>
    <x v="22"/>
    <x v="44"/>
    <s v="AGLIO OLIO"/>
    <n v="2900"/>
    <n v="0"/>
    <n v="0"/>
    <m/>
  </r>
  <r>
    <x v="8"/>
    <s v="JUL"/>
    <x v="30"/>
    <s v="GRSM 6"/>
    <x v="2"/>
    <s v="GMM"/>
    <n v="211163"/>
    <n v="3703219"/>
    <x v="22"/>
    <x v="44"/>
    <s v="CARBONARA"/>
    <n v="2900"/>
    <n v="226"/>
    <n v="655400"/>
    <m/>
  </r>
  <r>
    <x v="8"/>
    <s v="JUL"/>
    <x v="30"/>
    <s v="GRSM 6"/>
    <x v="2"/>
    <s v="GMM"/>
    <n v="211163"/>
    <n v="3703219"/>
    <x v="22"/>
    <x v="44"/>
    <s v="BOLOGNESE"/>
    <n v="2900"/>
    <n v="184"/>
    <n v="533600"/>
    <m/>
  </r>
  <r>
    <x v="8"/>
    <s v="JUL"/>
    <x v="30"/>
    <s v="GRSM 6"/>
    <x v="2"/>
    <s v="GMM"/>
    <n v="211163"/>
    <n v="3703219"/>
    <x v="22"/>
    <x v="44"/>
    <s v="GORENG"/>
    <n v="2900"/>
    <n v="380"/>
    <n v="1102000"/>
    <m/>
  </r>
  <r>
    <x v="8"/>
    <s v="JUL"/>
    <x v="30"/>
    <s v="GRSM 6"/>
    <x v="2"/>
    <s v="GMM"/>
    <n v="211033"/>
    <n v="6467246"/>
    <x v="21"/>
    <x v="42"/>
    <s v="AGLIO OLIO"/>
    <n v="3100"/>
    <n v="98"/>
    <n v="303800"/>
    <m/>
  </r>
  <r>
    <x v="8"/>
    <s v="JUL"/>
    <x v="30"/>
    <s v="GRSM 6"/>
    <x v="2"/>
    <s v="GMM"/>
    <n v="211033"/>
    <n v="6467246"/>
    <x v="21"/>
    <x v="42"/>
    <s v="CARBONARA"/>
    <n v="3100"/>
    <n v="268"/>
    <n v="830800"/>
    <m/>
  </r>
  <r>
    <x v="8"/>
    <s v="JUL"/>
    <x v="30"/>
    <s v="GRSM 6"/>
    <x v="2"/>
    <s v="GMM"/>
    <n v="211033"/>
    <n v="6467246"/>
    <x v="21"/>
    <x v="42"/>
    <s v="BOLOGNESE"/>
    <n v="3100"/>
    <n v="118"/>
    <n v="365800"/>
    <m/>
  </r>
  <r>
    <x v="8"/>
    <s v="JUL"/>
    <x v="30"/>
    <s v="GRSM 6"/>
    <x v="2"/>
    <s v="GMM"/>
    <n v="211033"/>
    <n v="6467246"/>
    <x v="21"/>
    <x v="42"/>
    <s v="GORENG"/>
    <n v="3100"/>
    <n v="495"/>
    <n v="1534500"/>
    <n v="160"/>
  </r>
  <r>
    <x v="8"/>
    <s v="JUL"/>
    <x v="30"/>
    <s v="GRSM 6"/>
    <x v="2"/>
    <s v="GMM"/>
    <n v="211033"/>
    <n v="6467246"/>
    <x v="21"/>
    <x v="43"/>
    <s v="AGLIO OLIO"/>
    <n v="3100"/>
    <n v="98"/>
    <n v="303800"/>
    <m/>
  </r>
  <r>
    <x v="8"/>
    <s v="JUL"/>
    <x v="30"/>
    <s v="GRSM 6"/>
    <x v="2"/>
    <s v="GMM"/>
    <n v="211033"/>
    <n v="6467246"/>
    <x v="21"/>
    <x v="43"/>
    <s v="CARBONARA"/>
    <n v="3100"/>
    <n v="268"/>
    <n v="830800"/>
    <m/>
  </r>
  <r>
    <x v="8"/>
    <s v="JUL"/>
    <x v="30"/>
    <s v="GRSM 6"/>
    <x v="2"/>
    <s v="GMM"/>
    <n v="211033"/>
    <n v="6467246"/>
    <x v="21"/>
    <x v="43"/>
    <s v="BOLOGNESE"/>
    <n v="3100"/>
    <n v="118"/>
    <n v="365800"/>
    <m/>
  </r>
  <r>
    <x v="8"/>
    <s v="JUL"/>
    <x v="30"/>
    <s v="GRSM 6"/>
    <x v="2"/>
    <s v="GMM"/>
    <n v="211033"/>
    <n v="6467246"/>
    <x v="21"/>
    <x v="43"/>
    <s v="GORENG"/>
    <n v="3100"/>
    <n v="495"/>
    <n v="1534500"/>
    <n v="160"/>
  </r>
  <r>
    <x v="8"/>
    <s v="JUL"/>
    <x v="30"/>
    <s v="GRSM 6"/>
    <x v="2"/>
    <s v="GMM"/>
    <n v="103765"/>
    <n v="4305267"/>
    <x v="24"/>
    <x v="49"/>
    <s v="AGLIO OLIO"/>
    <n v="3000"/>
    <n v="30"/>
    <n v="90000"/>
    <m/>
  </r>
  <r>
    <x v="8"/>
    <s v="JUL"/>
    <x v="30"/>
    <s v="GRSM 6"/>
    <x v="2"/>
    <s v="GMM"/>
    <n v="103765"/>
    <n v="4305267"/>
    <x v="24"/>
    <x v="49"/>
    <s v="CARBONARA"/>
    <n v="3000"/>
    <n v="56"/>
    <n v="168000"/>
    <m/>
  </r>
  <r>
    <x v="8"/>
    <s v="JUL"/>
    <x v="30"/>
    <s v="GRSM 6"/>
    <x v="2"/>
    <s v="GMM"/>
    <n v="103765"/>
    <n v="4305267"/>
    <x v="24"/>
    <x v="49"/>
    <s v="BOLOGNESE"/>
    <n v="3000"/>
    <n v="110"/>
    <n v="330000"/>
    <m/>
  </r>
  <r>
    <x v="8"/>
    <s v="JUL"/>
    <x v="30"/>
    <s v="GRSM 6"/>
    <x v="2"/>
    <s v="GMM"/>
    <n v="103765"/>
    <n v="4305267"/>
    <x v="24"/>
    <x v="49"/>
    <s v="GORENG"/>
    <n v="3000"/>
    <n v="240"/>
    <n v="720000"/>
    <m/>
  </r>
  <r>
    <x v="8"/>
    <s v="JUL"/>
    <x v="30"/>
    <s v="GRSM 6"/>
    <x v="2"/>
    <s v="GMM"/>
    <n v="103765"/>
    <n v="4305267"/>
    <x v="24"/>
    <x v="48"/>
    <s v="AGLIO OLIO"/>
    <n v="3000"/>
    <n v="30"/>
    <n v="90000"/>
    <m/>
  </r>
  <r>
    <x v="8"/>
    <s v="JUL"/>
    <x v="30"/>
    <s v="GRSM 6"/>
    <x v="2"/>
    <s v="GMM"/>
    <n v="103765"/>
    <n v="4305267"/>
    <x v="24"/>
    <x v="48"/>
    <s v="CARBONARA"/>
    <n v="3000"/>
    <n v="56"/>
    <n v="168000"/>
    <m/>
  </r>
  <r>
    <x v="8"/>
    <s v="JUL"/>
    <x v="30"/>
    <s v="GRSM 6"/>
    <x v="2"/>
    <s v="GMM"/>
    <n v="103765"/>
    <n v="4305267"/>
    <x v="24"/>
    <x v="48"/>
    <s v="BOLOGNESE"/>
    <n v="3000"/>
    <n v="110"/>
    <n v="330000"/>
    <m/>
  </r>
  <r>
    <x v="8"/>
    <s v="JUL"/>
    <x v="30"/>
    <s v="GRSM 6"/>
    <x v="2"/>
    <s v="GMM"/>
    <n v="103765"/>
    <n v="4305267"/>
    <x v="24"/>
    <x v="48"/>
    <s v="GORENG"/>
    <n v="3000"/>
    <n v="240"/>
    <n v="720000"/>
    <m/>
  </r>
  <r>
    <x v="8"/>
    <s v="JUL"/>
    <x v="28"/>
    <s v="GRSM 1"/>
    <x v="3"/>
    <s v="MT"/>
    <n v="122506"/>
    <n v="202879"/>
    <x v="28"/>
    <x v="60"/>
    <s v="AGLIO OLIO"/>
    <n v="6400"/>
    <n v="30"/>
    <n v="192000"/>
    <m/>
  </r>
  <r>
    <x v="8"/>
    <s v="JUL"/>
    <x v="28"/>
    <s v="GRSM 1"/>
    <x v="3"/>
    <s v="MT"/>
    <n v="122506"/>
    <n v="202879"/>
    <x v="28"/>
    <x v="60"/>
    <s v="CARBONARA"/>
    <n v="6400"/>
    <n v="40"/>
    <n v="256000"/>
    <m/>
  </r>
  <r>
    <x v="8"/>
    <s v="JUL"/>
    <x v="28"/>
    <s v="GRSM 1"/>
    <x v="3"/>
    <s v="MT"/>
    <n v="122506"/>
    <n v="202879"/>
    <x v="28"/>
    <x v="60"/>
    <s v="BOLOGNESE"/>
    <n v="6400"/>
    <n v="37"/>
    <n v="236800"/>
    <m/>
  </r>
  <r>
    <x v="8"/>
    <s v="JUL"/>
    <x v="28"/>
    <s v="GRSM 1"/>
    <x v="3"/>
    <s v="MT"/>
    <n v="122506"/>
    <n v="202879"/>
    <x v="28"/>
    <x v="60"/>
    <s v="GORENG"/>
    <n v="6400"/>
    <n v="87"/>
    <n v="556800"/>
    <n v="160"/>
  </r>
  <r>
    <x v="8"/>
    <s v="JUL"/>
    <x v="28"/>
    <s v="GRSM 1"/>
    <x v="3"/>
    <s v="MT"/>
    <n v="122506"/>
    <n v="202879"/>
    <x v="28"/>
    <x v="61"/>
    <s v="AGLIO OLIO"/>
    <n v="6400"/>
    <n v="30"/>
    <n v="192000"/>
    <m/>
  </r>
  <r>
    <x v="8"/>
    <s v="JUL"/>
    <x v="28"/>
    <s v="GRSM 1"/>
    <x v="3"/>
    <s v="MT"/>
    <n v="122506"/>
    <n v="202879"/>
    <x v="28"/>
    <x v="61"/>
    <s v="CARBONARA"/>
    <n v="6400"/>
    <n v="40"/>
    <n v="256000"/>
    <m/>
  </r>
  <r>
    <x v="8"/>
    <s v="JUL"/>
    <x v="28"/>
    <s v="GRSM 1"/>
    <x v="3"/>
    <s v="MT"/>
    <n v="122506"/>
    <n v="202879"/>
    <x v="28"/>
    <x v="61"/>
    <s v="BOLOGNESE"/>
    <n v="6400"/>
    <n v="37"/>
    <n v="236800"/>
    <m/>
  </r>
  <r>
    <x v="8"/>
    <s v="JUL"/>
    <x v="28"/>
    <s v="GRSM 1"/>
    <x v="3"/>
    <s v="MT"/>
    <n v="122506"/>
    <n v="202879"/>
    <x v="28"/>
    <x v="61"/>
    <s v="GORENG"/>
    <n v="6400"/>
    <n v="87"/>
    <n v="556800"/>
    <n v="160"/>
  </r>
  <r>
    <x v="8"/>
    <s v="JUL"/>
    <x v="28"/>
    <s v="GRSM 1"/>
    <x v="3"/>
    <s v="MT"/>
    <n v="122506"/>
    <n v="202816"/>
    <x v="29"/>
    <x v="62"/>
    <s v="AGLIO OLIO"/>
    <n v="7000"/>
    <n v="40"/>
    <n v="280000"/>
    <m/>
  </r>
  <r>
    <x v="8"/>
    <s v="JUL"/>
    <x v="28"/>
    <s v="GRSM 1"/>
    <x v="3"/>
    <s v="MT"/>
    <n v="122506"/>
    <n v="202816"/>
    <x v="29"/>
    <x v="62"/>
    <s v="CARBONARA"/>
    <n v="7000"/>
    <n v="50"/>
    <n v="350000"/>
    <m/>
  </r>
  <r>
    <x v="8"/>
    <s v="JUL"/>
    <x v="28"/>
    <s v="GRSM 1"/>
    <x v="3"/>
    <s v="MT"/>
    <n v="122506"/>
    <n v="202816"/>
    <x v="29"/>
    <x v="62"/>
    <s v="BOLOGNESE"/>
    <n v="7000"/>
    <n v="25"/>
    <n v="175000"/>
    <m/>
  </r>
  <r>
    <x v="8"/>
    <s v="JUL"/>
    <x v="28"/>
    <s v="GRSM 1"/>
    <x v="3"/>
    <s v="MT"/>
    <n v="122506"/>
    <n v="202816"/>
    <x v="29"/>
    <x v="62"/>
    <s v="GORENG"/>
    <n v="7000"/>
    <n v="70"/>
    <n v="490000"/>
    <n v="160"/>
  </r>
  <r>
    <x v="8"/>
    <s v="JUL"/>
    <x v="28"/>
    <s v="GRSM 1"/>
    <x v="3"/>
    <s v="MT"/>
    <n v="122506"/>
    <n v="202816"/>
    <x v="29"/>
    <x v="63"/>
    <s v="AGLIO OLIO"/>
    <n v="7000"/>
    <n v="40"/>
    <n v="280000"/>
    <m/>
  </r>
  <r>
    <x v="8"/>
    <s v="JUL"/>
    <x v="28"/>
    <s v="GRSM 1"/>
    <x v="3"/>
    <s v="MT"/>
    <n v="122506"/>
    <n v="202816"/>
    <x v="29"/>
    <x v="63"/>
    <s v="CARBONARA"/>
    <n v="7000"/>
    <n v="50"/>
    <n v="350000"/>
    <m/>
  </r>
  <r>
    <x v="8"/>
    <s v="JUL"/>
    <x v="28"/>
    <s v="GRSM 1"/>
    <x v="3"/>
    <s v="MT"/>
    <n v="122506"/>
    <n v="202816"/>
    <x v="29"/>
    <x v="63"/>
    <s v="BOLOGNESE"/>
    <n v="7000"/>
    <n v="25"/>
    <n v="175000"/>
    <m/>
  </r>
  <r>
    <x v="8"/>
    <s v="JUL"/>
    <x v="28"/>
    <s v="GRSM 1"/>
    <x v="3"/>
    <s v="MT"/>
    <n v="122506"/>
    <n v="202816"/>
    <x v="29"/>
    <x v="63"/>
    <s v="GORENG"/>
    <n v="7000"/>
    <n v="70"/>
    <n v="490000"/>
    <n v="160"/>
  </r>
  <r>
    <x v="8"/>
    <s v="JUL"/>
    <x v="28"/>
    <s v="GRSM 1"/>
    <x v="3"/>
    <s v="MT"/>
    <n v="122506"/>
    <n v="202816"/>
    <x v="29"/>
    <x v="62"/>
    <s v="AGLIO OLIO"/>
    <n v="7000"/>
    <n v="40"/>
    <n v="280000"/>
    <m/>
  </r>
  <r>
    <x v="8"/>
    <s v="JUL"/>
    <x v="28"/>
    <s v="GRSM 1"/>
    <x v="3"/>
    <s v="MT"/>
    <n v="122506"/>
    <n v="202816"/>
    <x v="29"/>
    <x v="62"/>
    <s v="CARBONARA"/>
    <n v="7000"/>
    <n v="50"/>
    <n v="350000"/>
    <m/>
  </r>
  <r>
    <x v="8"/>
    <s v="JUL"/>
    <x v="28"/>
    <s v="GRSM 1"/>
    <x v="3"/>
    <s v="MT"/>
    <n v="122506"/>
    <n v="202816"/>
    <x v="29"/>
    <x v="62"/>
    <s v="BOLOGNESE"/>
    <n v="7000"/>
    <n v="25"/>
    <n v="175000"/>
    <m/>
  </r>
  <r>
    <x v="8"/>
    <s v="JUL"/>
    <x v="28"/>
    <s v="GRSM 1"/>
    <x v="3"/>
    <s v="MT"/>
    <n v="122506"/>
    <n v="202816"/>
    <x v="29"/>
    <x v="62"/>
    <s v="GORENG"/>
    <n v="7000"/>
    <n v="70"/>
    <n v="490000"/>
    <n v="160"/>
  </r>
  <r>
    <x v="8"/>
    <s v="JUL"/>
    <x v="28"/>
    <s v="GRSM 1"/>
    <x v="3"/>
    <s v="MT"/>
    <n v="122506"/>
    <n v="202816"/>
    <x v="29"/>
    <x v="63"/>
    <s v="AGLIO OLIO"/>
    <n v="7000"/>
    <n v="40"/>
    <n v="280000"/>
    <m/>
  </r>
  <r>
    <x v="8"/>
    <s v="JUL"/>
    <x v="28"/>
    <s v="GRSM 1"/>
    <x v="3"/>
    <s v="MT"/>
    <n v="122506"/>
    <n v="202816"/>
    <x v="29"/>
    <x v="63"/>
    <s v="CARBONARA"/>
    <n v="7000"/>
    <n v="50"/>
    <n v="350000"/>
    <m/>
  </r>
  <r>
    <x v="8"/>
    <s v="JUL"/>
    <x v="28"/>
    <s v="GRSM 1"/>
    <x v="3"/>
    <s v="MT"/>
    <n v="122506"/>
    <n v="202816"/>
    <x v="29"/>
    <x v="63"/>
    <s v="BOLOGNESE"/>
    <n v="7000"/>
    <n v="25"/>
    <n v="175000"/>
    <m/>
  </r>
  <r>
    <x v="8"/>
    <s v="JUL"/>
    <x v="28"/>
    <s v="GRSM 1"/>
    <x v="3"/>
    <s v="MT"/>
    <n v="122506"/>
    <n v="202816"/>
    <x v="29"/>
    <x v="63"/>
    <s v="GORENG"/>
    <n v="7000"/>
    <n v="70"/>
    <n v="490000"/>
    <n v="160"/>
  </r>
  <r>
    <x v="8"/>
    <s v="JUL"/>
    <x v="28"/>
    <s v="GRSM 1"/>
    <x v="3"/>
    <s v="MT"/>
    <n v="122506"/>
    <n v="214422"/>
    <x v="30"/>
    <x v="64"/>
    <s v="AGLIO OLIO"/>
    <n v="6400"/>
    <n v="0"/>
    <n v="0"/>
    <m/>
  </r>
  <r>
    <x v="8"/>
    <s v="JUL"/>
    <x v="28"/>
    <s v="GRSM 1"/>
    <x v="3"/>
    <s v="MT"/>
    <n v="122506"/>
    <n v="214422"/>
    <x v="30"/>
    <x v="64"/>
    <s v="CARBONARA"/>
    <n v="6400"/>
    <n v="42"/>
    <n v="268800"/>
    <m/>
  </r>
  <r>
    <x v="8"/>
    <s v="JUL"/>
    <x v="28"/>
    <s v="GRSM 1"/>
    <x v="3"/>
    <s v="MT"/>
    <n v="122506"/>
    <n v="214422"/>
    <x v="30"/>
    <x v="64"/>
    <s v="BOLOGNESE"/>
    <n v="6400"/>
    <n v="40"/>
    <n v="256000"/>
    <m/>
  </r>
  <r>
    <x v="8"/>
    <s v="JUL"/>
    <x v="28"/>
    <s v="GRSM 1"/>
    <x v="3"/>
    <s v="MT"/>
    <n v="122506"/>
    <n v="214422"/>
    <x v="30"/>
    <x v="64"/>
    <s v="GORENG"/>
    <n v="6400"/>
    <n v="84"/>
    <n v="537600"/>
    <n v="160"/>
  </r>
  <r>
    <x v="8"/>
    <s v="JUL"/>
    <x v="28"/>
    <s v="GRSM 1"/>
    <x v="3"/>
    <s v="MT"/>
    <n v="122506"/>
    <n v="214422"/>
    <x v="30"/>
    <x v="65"/>
    <s v="AGLIO OLIO"/>
    <n v="6400"/>
    <n v="0"/>
    <n v="0"/>
    <m/>
  </r>
  <r>
    <x v="8"/>
    <s v="JUL"/>
    <x v="28"/>
    <s v="GRSM 1"/>
    <x v="3"/>
    <s v="MT"/>
    <n v="122506"/>
    <n v="214422"/>
    <x v="30"/>
    <x v="65"/>
    <s v="CARBONARA"/>
    <n v="6400"/>
    <n v="42"/>
    <n v="268800"/>
    <m/>
  </r>
  <r>
    <x v="8"/>
    <s v="JUL"/>
    <x v="28"/>
    <s v="GRSM 1"/>
    <x v="3"/>
    <s v="MT"/>
    <n v="122506"/>
    <n v="214422"/>
    <x v="30"/>
    <x v="65"/>
    <s v="BOLOGNESE"/>
    <n v="6400"/>
    <n v="40"/>
    <n v="256000"/>
    <m/>
  </r>
  <r>
    <x v="8"/>
    <s v="JUL"/>
    <x v="28"/>
    <s v="GRSM 1"/>
    <x v="3"/>
    <s v="MT"/>
    <n v="122506"/>
    <n v="214422"/>
    <x v="30"/>
    <x v="65"/>
    <s v="GORENG"/>
    <n v="6400"/>
    <n v="84"/>
    <n v="537600"/>
    <n v="160"/>
  </r>
  <r>
    <x v="8"/>
    <s v="JUL"/>
    <x v="29"/>
    <s v="GRSM 1"/>
    <x v="3"/>
    <s v="MT"/>
    <n v="122506"/>
    <n v="202879"/>
    <x v="28"/>
    <x v="60"/>
    <s v="AGLIO OLIO"/>
    <n v="6400"/>
    <n v="49"/>
    <n v="313600"/>
    <m/>
  </r>
  <r>
    <x v="8"/>
    <s v="JUL"/>
    <x v="29"/>
    <s v="GRSM 1"/>
    <x v="3"/>
    <s v="MT"/>
    <n v="122506"/>
    <n v="202879"/>
    <x v="28"/>
    <x v="60"/>
    <s v="CARBONARA"/>
    <n v="6400"/>
    <n v="40"/>
    <n v="256000"/>
    <m/>
  </r>
  <r>
    <x v="8"/>
    <s v="JUL"/>
    <x v="29"/>
    <s v="GRSM 1"/>
    <x v="3"/>
    <s v="MT"/>
    <n v="122506"/>
    <n v="202879"/>
    <x v="28"/>
    <x v="60"/>
    <s v="BOLOGNESE"/>
    <n v="6400"/>
    <n v="37"/>
    <n v="236800"/>
    <m/>
  </r>
  <r>
    <x v="8"/>
    <s v="JUL"/>
    <x v="29"/>
    <s v="GRSM 1"/>
    <x v="3"/>
    <s v="MT"/>
    <n v="122506"/>
    <n v="202879"/>
    <x v="28"/>
    <x v="60"/>
    <s v="GORENG"/>
    <n v="6400"/>
    <n v="87"/>
    <n v="556800"/>
    <n v="160"/>
  </r>
  <r>
    <x v="8"/>
    <s v="JUL"/>
    <x v="29"/>
    <s v="GRSM 1"/>
    <x v="3"/>
    <s v="MT"/>
    <n v="122506"/>
    <n v="202879"/>
    <x v="28"/>
    <x v="61"/>
    <s v="AGLIO OLIO"/>
    <n v="6400"/>
    <n v="49"/>
    <n v="313600"/>
    <m/>
  </r>
  <r>
    <x v="8"/>
    <s v="JUL"/>
    <x v="29"/>
    <s v="GRSM 1"/>
    <x v="3"/>
    <s v="MT"/>
    <n v="122506"/>
    <n v="202879"/>
    <x v="28"/>
    <x v="61"/>
    <s v="CARBONARA"/>
    <n v="6400"/>
    <n v="40"/>
    <n v="256000"/>
    <m/>
  </r>
  <r>
    <x v="8"/>
    <s v="JUL"/>
    <x v="29"/>
    <s v="GRSM 1"/>
    <x v="3"/>
    <s v="MT"/>
    <n v="122506"/>
    <n v="202879"/>
    <x v="28"/>
    <x v="61"/>
    <s v="BOLOGNESE"/>
    <n v="6400"/>
    <n v="37"/>
    <n v="236800"/>
    <m/>
  </r>
  <r>
    <x v="8"/>
    <s v="JUL"/>
    <x v="29"/>
    <s v="GRSM 1"/>
    <x v="3"/>
    <s v="MT"/>
    <n v="122506"/>
    <n v="202879"/>
    <x v="28"/>
    <x v="61"/>
    <s v="GORENG"/>
    <n v="6400"/>
    <n v="87"/>
    <n v="556800"/>
    <n v="160"/>
  </r>
  <r>
    <x v="8"/>
    <s v="JUL"/>
    <x v="29"/>
    <s v="GRSM 1"/>
    <x v="3"/>
    <s v="MT"/>
    <n v="122506"/>
    <n v="202816"/>
    <x v="29"/>
    <x v="62"/>
    <s v="AGLIO OLIO"/>
    <n v="7000"/>
    <n v="44"/>
    <n v="308000"/>
    <m/>
  </r>
  <r>
    <x v="8"/>
    <s v="JUL"/>
    <x v="29"/>
    <s v="GRSM 1"/>
    <x v="3"/>
    <s v="MT"/>
    <n v="122506"/>
    <n v="202816"/>
    <x v="29"/>
    <x v="62"/>
    <s v="CARBONARA"/>
    <n v="7000"/>
    <n v="42"/>
    <n v="294000"/>
    <m/>
  </r>
  <r>
    <x v="8"/>
    <s v="JUL"/>
    <x v="29"/>
    <s v="GRSM 1"/>
    <x v="3"/>
    <s v="MT"/>
    <n v="122506"/>
    <n v="202816"/>
    <x v="29"/>
    <x v="62"/>
    <s v="BOLOGNESE"/>
    <n v="7000"/>
    <n v="30"/>
    <n v="210000"/>
    <m/>
  </r>
  <r>
    <x v="8"/>
    <s v="JUL"/>
    <x v="29"/>
    <s v="GRSM 1"/>
    <x v="3"/>
    <s v="MT"/>
    <n v="122506"/>
    <n v="202816"/>
    <x v="29"/>
    <x v="62"/>
    <s v="GORENG"/>
    <n v="7000"/>
    <n v="80"/>
    <n v="560000"/>
    <n v="160"/>
  </r>
  <r>
    <x v="8"/>
    <s v="JUL"/>
    <x v="29"/>
    <s v="GRSM 1"/>
    <x v="3"/>
    <s v="MT"/>
    <n v="122506"/>
    <n v="202816"/>
    <x v="29"/>
    <x v="63"/>
    <s v="AGLIO OLIO"/>
    <n v="7000"/>
    <n v="44"/>
    <n v="308000"/>
    <m/>
  </r>
  <r>
    <x v="8"/>
    <s v="JUL"/>
    <x v="29"/>
    <s v="GRSM 1"/>
    <x v="3"/>
    <s v="MT"/>
    <n v="122506"/>
    <n v="202816"/>
    <x v="29"/>
    <x v="63"/>
    <s v="CARBONARA"/>
    <n v="7000"/>
    <n v="42"/>
    <n v="294000"/>
    <m/>
  </r>
  <r>
    <x v="8"/>
    <s v="JUL"/>
    <x v="29"/>
    <s v="GRSM 1"/>
    <x v="3"/>
    <s v="MT"/>
    <n v="122506"/>
    <n v="202816"/>
    <x v="29"/>
    <x v="63"/>
    <s v="BOLOGNESE"/>
    <n v="7000"/>
    <n v="30"/>
    <n v="210000"/>
    <m/>
  </r>
  <r>
    <x v="8"/>
    <s v="JUL"/>
    <x v="29"/>
    <s v="GRSM 1"/>
    <x v="3"/>
    <s v="MT"/>
    <n v="122506"/>
    <n v="202816"/>
    <x v="29"/>
    <x v="63"/>
    <s v="GORENG"/>
    <n v="7000"/>
    <n v="80"/>
    <n v="560000"/>
    <n v="160"/>
  </r>
  <r>
    <x v="8"/>
    <s v="JUL"/>
    <x v="29"/>
    <s v="GRSM 1"/>
    <x v="3"/>
    <s v="MT"/>
    <n v="122506"/>
    <n v="202816"/>
    <x v="29"/>
    <x v="62"/>
    <s v="AGLIO OLIO"/>
    <n v="7000"/>
    <n v="44"/>
    <n v="308000"/>
    <m/>
  </r>
  <r>
    <x v="8"/>
    <s v="JUL"/>
    <x v="29"/>
    <s v="GRSM 1"/>
    <x v="3"/>
    <s v="MT"/>
    <n v="122506"/>
    <n v="202816"/>
    <x v="29"/>
    <x v="62"/>
    <s v="CARBONARA"/>
    <n v="7000"/>
    <n v="42"/>
    <n v="294000"/>
    <m/>
  </r>
  <r>
    <x v="8"/>
    <s v="JUL"/>
    <x v="29"/>
    <s v="GRSM 1"/>
    <x v="3"/>
    <s v="MT"/>
    <n v="122506"/>
    <n v="202816"/>
    <x v="29"/>
    <x v="62"/>
    <s v="BOLOGNESE"/>
    <n v="7000"/>
    <n v="30"/>
    <n v="210000"/>
    <m/>
  </r>
  <r>
    <x v="8"/>
    <s v="JUL"/>
    <x v="29"/>
    <s v="GRSM 1"/>
    <x v="3"/>
    <s v="MT"/>
    <n v="122506"/>
    <n v="202816"/>
    <x v="29"/>
    <x v="62"/>
    <s v="GORENG"/>
    <n v="7000"/>
    <n v="80"/>
    <n v="560000"/>
    <n v="160"/>
  </r>
  <r>
    <x v="8"/>
    <s v="JUL"/>
    <x v="29"/>
    <s v="GRSM 1"/>
    <x v="3"/>
    <s v="MT"/>
    <n v="122506"/>
    <n v="202816"/>
    <x v="29"/>
    <x v="63"/>
    <s v="AGLIO OLIO"/>
    <n v="7000"/>
    <n v="44"/>
    <n v="308000"/>
    <m/>
  </r>
  <r>
    <x v="8"/>
    <s v="JUL"/>
    <x v="29"/>
    <s v="GRSM 1"/>
    <x v="3"/>
    <s v="MT"/>
    <n v="122506"/>
    <n v="202816"/>
    <x v="29"/>
    <x v="63"/>
    <s v="CARBONARA"/>
    <n v="7000"/>
    <n v="42"/>
    <n v="294000"/>
    <m/>
  </r>
  <r>
    <x v="8"/>
    <s v="JUL"/>
    <x v="29"/>
    <s v="GRSM 1"/>
    <x v="3"/>
    <s v="MT"/>
    <n v="122506"/>
    <n v="202816"/>
    <x v="29"/>
    <x v="63"/>
    <s v="BOLOGNESE"/>
    <n v="7000"/>
    <n v="30"/>
    <n v="210000"/>
    <m/>
  </r>
  <r>
    <x v="8"/>
    <s v="JUL"/>
    <x v="29"/>
    <s v="GRSM 1"/>
    <x v="3"/>
    <s v="MT"/>
    <n v="122506"/>
    <n v="202816"/>
    <x v="29"/>
    <x v="63"/>
    <s v="GORENG"/>
    <n v="7000"/>
    <n v="80"/>
    <n v="560000"/>
    <n v="160"/>
  </r>
  <r>
    <x v="8"/>
    <s v="JUL"/>
    <x v="29"/>
    <s v="GRSM 1"/>
    <x v="3"/>
    <s v="MT"/>
    <n v="122506"/>
    <n v="214300"/>
    <x v="31"/>
    <x v="66"/>
    <s v="AGLIO OLIO"/>
    <n v="7000"/>
    <n v="12"/>
    <n v="84000"/>
    <m/>
  </r>
  <r>
    <x v="8"/>
    <s v="JUL"/>
    <x v="29"/>
    <s v="GRSM 1"/>
    <x v="3"/>
    <s v="MT"/>
    <n v="122506"/>
    <n v="214300"/>
    <x v="31"/>
    <x v="66"/>
    <s v="CARBONARA"/>
    <n v="7000"/>
    <n v="18"/>
    <n v="126000"/>
    <m/>
  </r>
  <r>
    <x v="8"/>
    <s v="JUL"/>
    <x v="29"/>
    <s v="GRSM 1"/>
    <x v="3"/>
    <s v="MT"/>
    <n v="122506"/>
    <n v="214300"/>
    <x v="31"/>
    <x v="66"/>
    <s v="BOLOGNESE"/>
    <n v="7000"/>
    <n v="13"/>
    <n v="91000"/>
    <m/>
  </r>
  <r>
    <x v="8"/>
    <s v="JUL"/>
    <x v="29"/>
    <s v="GRSM 1"/>
    <x v="3"/>
    <s v="MT"/>
    <n v="122506"/>
    <n v="214300"/>
    <x v="31"/>
    <x v="66"/>
    <s v="GORENG"/>
    <n v="7000"/>
    <n v="32"/>
    <n v="224000"/>
    <n v="160"/>
  </r>
  <r>
    <x v="8"/>
    <s v="JUL"/>
    <x v="29"/>
    <s v="GRSM 1"/>
    <x v="3"/>
    <s v="MT"/>
    <n v="122506"/>
    <n v="214300"/>
    <x v="31"/>
    <x v="67"/>
    <s v="AGLIO OLIO"/>
    <n v="7000"/>
    <n v="12"/>
    <n v="84000"/>
    <m/>
  </r>
  <r>
    <x v="8"/>
    <s v="JUL"/>
    <x v="29"/>
    <s v="GRSM 1"/>
    <x v="3"/>
    <s v="MT"/>
    <n v="122506"/>
    <n v="214300"/>
    <x v="31"/>
    <x v="67"/>
    <s v="CARBONARA"/>
    <n v="7000"/>
    <n v="18"/>
    <n v="126000"/>
    <m/>
  </r>
  <r>
    <x v="8"/>
    <s v="JUL"/>
    <x v="29"/>
    <s v="GRSM 1"/>
    <x v="3"/>
    <s v="MT"/>
    <n v="122506"/>
    <n v="214300"/>
    <x v="31"/>
    <x v="67"/>
    <s v="BOLOGNESE"/>
    <n v="7000"/>
    <n v="13"/>
    <n v="91000"/>
    <m/>
  </r>
  <r>
    <x v="8"/>
    <s v="JUL"/>
    <x v="29"/>
    <s v="GRSM 1"/>
    <x v="3"/>
    <s v="MT"/>
    <n v="122506"/>
    <n v="214300"/>
    <x v="31"/>
    <x v="67"/>
    <s v="GORENG"/>
    <n v="7000"/>
    <n v="32"/>
    <n v="224000"/>
    <n v="160"/>
  </r>
  <r>
    <x v="8"/>
    <s v="JUL"/>
    <x v="29"/>
    <s v="GRSM 2"/>
    <x v="3"/>
    <s v="MT"/>
    <n v="175700"/>
    <n v="1370001"/>
    <x v="32"/>
    <x v="68"/>
    <s v="AGLIO OLIO"/>
    <n v="2210"/>
    <n v="80"/>
    <n v="176800"/>
    <m/>
  </r>
  <r>
    <x v="8"/>
    <s v="JUL"/>
    <x v="29"/>
    <s v="GRSM 2"/>
    <x v="3"/>
    <s v="MT"/>
    <n v="175700"/>
    <n v="1370001"/>
    <x v="32"/>
    <x v="68"/>
    <s v="CARBONARA"/>
    <n v="2210"/>
    <n v="120"/>
    <n v="265200"/>
    <m/>
  </r>
  <r>
    <x v="8"/>
    <s v="JUL"/>
    <x v="29"/>
    <s v="GRSM 2"/>
    <x v="3"/>
    <s v="MT"/>
    <n v="175700"/>
    <n v="1370001"/>
    <x v="32"/>
    <x v="68"/>
    <s v="BOLOGNESE"/>
    <n v="2210"/>
    <n v="80"/>
    <n v="176800"/>
    <m/>
  </r>
  <r>
    <x v="8"/>
    <s v="JUL"/>
    <x v="29"/>
    <s v="GRSM 2"/>
    <x v="3"/>
    <s v="MT"/>
    <n v="175700"/>
    <n v="1370001"/>
    <x v="32"/>
    <x v="68"/>
    <s v="GORENG"/>
    <n v="2210"/>
    <n v="160"/>
    <n v="353600"/>
    <n v="80"/>
  </r>
  <r>
    <x v="8"/>
    <s v="JUL"/>
    <x v="29"/>
    <s v="GRSM 2"/>
    <x v="3"/>
    <s v="MT"/>
    <n v="175700"/>
    <n v="1370001"/>
    <x v="32"/>
    <x v="69"/>
    <s v="AGLIO OLIO"/>
    <n v="2210"/>
    <n v="80"/>
    <n v="176800"/>
    <m/>
  </r>
  <r>
    <x v="8"/>
    <s v="JUL"/>
    <x v="29"/>
    <s v="GRSM 2"/>
    <x v="3"/>
    <s v="MT"/>
    <n v="175700"/>
    <n v="1370001"/>
    <x v="32"/>
    <x v="69"/>
    <s v="CARBONARA"/>
    <n v="2210"/>
    <n v="120"/>
    <n v="265200"/>
    <m/>
  </r>
  <r>
    <x v="8"/>
    <s v="JUL"/>
    <x v="29"/>
    <s v="GRSM 2"/>
    <x v="3"/>
    <s v="MT"/>
    <n v="175700"/>
    <n v="1370001"/>
    <x v="32"/>
    <x v="69"/>
    <s v="BOLOGNESE"/>
    <n v="2210"/>
    <n v="80"/>
    <n v="176800"/>
    <m/>
  </r>
  <r>
    <x v="8"/>
    <s v="JUL"/>
    <x v="29"/>
    <s v="GRSM 2"/>
    <x v="3"/>
    <s v="MT"/>
    <n v="175700"/>
    <n v="1370001"/>
    <x v="32"/>
    <x v="69"/>
    <s v="GORENG"/>
    <n v="2210"/>
    <n v="160"/>
    <n v="353600"/>
    <n v="80"/>
  </r>
  <r>
    <x v="8"/>
    <s v="JUL"/>
    <x v="29"/>
    <s v="GRSM 1"/>
    <x v="3"/>
    <s v="MT"/>
    <n v="122506"/>
    <n v="214422"/>
    <x v="30"/>
    <x v="65"/>
    <s v="AGLIO OLIO"/>
    <n v="3200"/>
    <n v="86"/>
    <n v="275200"/>
    <m/>
  </r>
  <r>
    <x v="8"/>
    <s v="JUL"/>
    <x v="29"/>
    <s v="GRSM 1"/>
    <x v="3"/>
    <s v="MT"/>
    <n v="122506"/>
    <n v="214422"/>
    <x v="30"/>
    <x v="65"/>
    <s v="CARBONARA"/>
    <n v="3200"/>
    <n v="42"/>
    <n v="134400"/>
    <m/>
  </r>
  <r>
    <x v="8"/>
    <s v="JUL"/>
    <x v="29"/>
    <s v="GRSM 1"/>
    <x v="3"/>
    <s v="MT"/>
    <n v="122506"/>
    <n v="214422"/>
    <x v="30"/>
    <x v="65"/>
    <s v="BOLOGNESE"/>
    <n v="3200"/>
    <n v="40"/>
    <n v="128000"/>
    <m/>
  </r>
  <r>
    <x v="8"/>
    <s v="JUL"/>
    <x v="29"/>
    <s v="GRSM 1"/>
    <x v="3"/>
    <s v="MT"/>
    <n v="122506"/>
    <n v="214422"/>
    <x v="30"/>
    <x v="65"/>
    <s v="GORENG"/>
    <n v="3200"/>
    <n v="84"/>
    <n v="268800"/>
    <n v="160"/>
  </r>
  <r>
    <x v="8"/>
    <s v="JUL"/>
    <x v="29"/>
    <s v="GRSM 1"/>
    <x v="3"/>
    <s v="MT"/>
    <n v="122506"/>
    <n v="214422"/>
    <x v="30"/>
    <x v="64"/>
    <s v="AGLIO OLIO"/>
    <n v="3200"/>
    <n v="86"/>
    <n v="275200"/>
    <m/>
  </r>
  <r>
    <x v="8"/>
    <s v="JUL"/>
    <x v="29"/>
    <s v="GRSM 1"/>
    <x v="3"/>
    <s v="MT"/>
    <n v="122506"/>
    <n v="214422"/>
    <x v="30"/>
    <x v="64"/>
    <s v="CARBONARA"/>
    <n v="3200"/>
    <n v="42"/>
    <n v="134400"/>
    <m/>
  </r>
  <r>
    <x v="8"/>
    <s v="JUL"/>
    <x v="29"/>
    <s v="GRSM 1"/>
    <x v="3"/>
    <s v="MT"/>
    <n v="122506"/>
    <n v="214422"/>
    <x v="30"/>
    <x v="64"/>
    <s v="BOLOGNESE"/>
    <n v="3200"/>
    <n v="40"/>
    <n v="128000"/>
    <m/>
  </r>
  <r>
    <x v="8"/>
    <s v="JUL"/>
    <x v="29"/>
    <s v="GRSM 1"/>
    <x v="3"/>
    <s v="MT"/>
    <n v="122506"/>
    <n v="214422"/>
    <x v="30"/>
    <x v="64"/>
    <s v="GORENG"/>
    <n v="3200"/>
    <n v="84"/>
    <n v="268800"/>
    <n v="160"/>
  </r>
  <r>
    <x v="8"/>
    <s v="JUL"/>
    <x v="30"/>
    <s v="GRSM 1"/>
    <x v="3"/>
    <s v="MT"/>
    <n v="122506"/>
    <n v="202879"/>
    <x v="28"/>
    <x v="60"/>
    <s v="AGLIO OLIO"/>
    <n v="6400"/>
    <n v="26"/>
    <n v="166400"/>
    <m/>
  </r>
  <r>
    <x v="8"/>
    <s v="JUL"/>
    <x v="30"/>
    <s v="GRSM 1"/>
    <x v="3"/>
    <s v="MT"/>
    <n v="122506"/>
    <n v="202879"/>
    <x v="28"/>
    <x v="60"/>
    <s v="CARBONARA"/>
    <n v="6400"/>
    <n v="40"/>
    <n v="256000"/>
    <m/>
  </r>
  <r>
    <x v="8"/>
    <s v="JUL"/>
    <x v="30"/>
    <s v="GRSM 1"/>
    <x v="3"/>
    <s v="MT"/>
    <n v="122506"/>
    <n v="202879"/>
    <x v="28"/>
    <x v="60"/>
    <s v="BOLOGNESE"/>
    <n v="6400"/>
    <n v="37"/>
    <n v="236800"/>
    <m/>
  </r>
  <r>
    <x v="8"/>
    <s v="JUL"/>
    <x v="30"/>
    <s v="GRSM 1"/>
    <x v="3"/>
    <s v="MT"/>
    <n v="122506"/>
    <n v="202879"/>
    <x v="28"/>
    <x v="60"/>
    <s v="GORENG"/>
    <n v="6400"/>
    <n v="87"/>
    <n v="556800"/>
    <n v="160"/>
  </r>
  <r>
    <x v="8"/>
    <s v="JUL"/>
    <x v="30"/>
    <s v="GRSM 1"/>
    <x v="3"/>
    <s v="MT"/>
    <n v="122506"/>
    <n v="202879"/>
    <x v="28"/>
    <x v="61"/>
    <s v="AGLIO OLIO"/>
    <n v="6400"/>
    <n v="26"/>
    <n v="166400"/>
    <m/>
  </r>
  <r>
    <x v="8"/>
    <s v="JUL"/>
    <x v="30"/>
    <s v="GRSM 1"/>
    <x v="3"/>
    <s v="MT"/>
    <n v="122506"/>
    <n v="202879"/>
    <x v="28"/>
    <x v="61"/>
    <s v="CARBONARA"/>
    <n v="6400"/>
    <n v="40"/>
    <n v="256000"/>
    <m/>
  </r>
  <r>
    <x v="8"/>
    <s v="JUL"/>
    <x v="30"/>
    <s v="GRSM 1"/>
    <x v="3"/>
    <s v="MT"/>
    <n v="122506"/>
    <n v="202879"/>
    <x v="28"/>
    <x v="61"/>
    <s v="BOLOGNESE"/>
    <n v="6400"/>
    <n v="37"/>
    <n v="236800"/>
    <m/>
  </r>
  <r>
    <x v="8"/>
    <s v="JUL"/>
    <x v="30"/>
    <s v="GRSM 1"/>
    <x v="3"/>
    <s v="MT"/>
    <n v="122506"/>
    <n v="202879"/>
    <x v="28"/>
    <x v="61"/>
    <s v="GORENG"/>
    <n v="6400"/>
    <n v="87"/>
    <n v="556800"/>
    <n v="160"/>
  </r>
  <r>
    <x v="8"/>
    <s v="JUL"/>
    <x v="30"/>
    <s v="GRSM 2"/>
    <x v="3"/>
    <s v="MT"/>
    <n v="175700"/>
    <n v="1370001"/>
    <x v="32"/>
    <x v="68"/>
    <s v="AGLIO OLIO"/>
    <n v="2210"/>
    <n v="80"/>
    <n v="176800"/>
    <m/>
  </r>
  <r>
    <x v="8"/>
    <s v="JUL"/>
    <x v="30"/>
    <s v="GRSM 2"/>
    <x v="3"/>
    <s v="MT"/>
    <n v="175700"/>
    <n v="1370001"/>
    <x v="32"/>
    <x v="68"/>
    <s v="CARBONARA"/>
    <n v="2210"/>
    <n v="120"/>
    <n v="265200"/>
    <m/>
  </r>
  <r>
    <x v="8"/>
    <s v="JUL"/>
    <x v="30"/>
    <s v="GRSM 2"/>
    <x v="3"/>
    <s v="MT"/>
    <n v="175700"/>
    <n v="1370001"/>
    <x v="32"/>
    <x v="68"/>
    <s v="BOLOGNESE"/>
    <n v="2210"/>
    <n v="120"/>
    <n v="265200"/>
    <m/>
  </r>
  <r>
    <x v="8"/>
    <s v="JUL"/>
    <x v="30"/>
    <s v="GRSM 2"/>
    <x v="3"/>
    <s v="MT"/>
    <n v="175700"/>
    <n v="1370001"/>
    <x v="32"/>
    <x v="68"/>
    <s v="GORENG"/>
    <n v="2210"/>
    <n v="160"/>
    <n v="353600"/>
    <n v="120"/>
  </r>
  <r>
    <x v="8"/>
    <s v="JUL"/>
    <x v="30"/>
    <s v="GRSM 2"/>
    <x v="3"/>
    <s v="MT"/>
    <n v="175700"/>
    <n v="1370001"/>
    <x v="32"/>
    <x v="69"/>
    <s v="AGLIO OLIO"/>
    <n v="2210"/>
    <n v="80"/>
    <n v="176800"/>
    <m/>
  </r>
  <r>
    <x v="8"/>
    <s v="JUL"/>
    <x v="30"/>
    <s v="GRSM 2"/>
    <x v="3"/>
    <s v="MT"/>
    <n v="175700"/>
    <n v="1370001"/>
    <x v="32"/>
    <x v="69"/>
    <s v="CARBONARA"/>
    <n v="2210"/>
    <n v="120"/>
    <n v="265200"/>
    <m/>
  </r>
  <r>
    <x v="8"/>
    <s v="JUL"/>
    <x v="30"/>
    <s v="GRSM 2"/>
    <x v="3"/>
    <s v="MT"/>
    <n v="175700"/>
    <n v="1370001"/>
    <x v="32"/>
    <x v="69"/>
    <s v="BOLOGNESE"/>
    <n v="2210"/>
    <n v="120"/>
    <n v="265200"/>
    <m/>
  </r>
  <r>
    <x v="8"/>
    <s v="JUL"/>
    <x v="30"/>
    <s v="GRSM 2"/>
    <x v="3"/>
    <s v="MT"/>
    <n v="175700"/>
    <n v="1370001"/>
    <x v="32"/>
    <x v="69"/>
    <s v="GORENG"/>
    <n v="2210"/>
    <n v="160"/>
    <n v="353600"/>
    <n v="120"/>
  </r>
  <r>
    <x v="8"/>
    <s v="JUL"/>
    <x v="30"/>
    <s v="GRSM 1"/>
    <x v="3"/>
    <s v="MT"/>
    <n v="122506"/>
    <n v="202816"/>
    <x v="29"/>
    <x v="66"/>
    <s v="AGLIO OLIO"/>
    <n v="7000"/>
    <n v="40"/>
    <n v="280000"/>
    <m/>
  </r>
  <r>
    <x v="8"/>
    <s v="JUL"/>
    <x v="30"/>
    <s v="GRSM 1"/>
    <x v="3"/>
    <s v="MT"/>
    <n v="122506"/>
    <n v="202816"/>
    <x v="29"/>
    <x v="66"/>
    <s v="CARBONARA"/>
    <n v="7000"/>
    <n v="59"/>
    <n v="413000"/>
    <m/>
  </r>
  <r>
    <x v="8"/>
    <s v="JUL"/>
    <x v="30"/>
    <s v="GRSM 1"/>
    <x v="3"/>
    <s v="MT"/>
    <n v="122506"/>
    <n v="202816"/>
    <x v="29"/>
    <x v="66"/>
    <s v="BOLOGNESE"/>
    <n v="7000"/>
    <n v="48"/>
    <n v="336000"/>
    <m/>
  </r>
  <r>
    <x v="8"/>
    <s v="JUL"/>
    <x v="30"/>
    <s v="GRSM 1"/>
    <x v="3"/>
    <s v="MT"/>
    <n v="122506"/>
    <n v="202816"/>
    <x v="29"/>
    <x v="66"/>
    <s v="GORENG"/>
    <n v="7000"/>
    <n v="81"/>
    <n v="567000"/>
    <n v="160"/>
  </r>
  <r>
    <x v="8"/>
    <s v="JUL"/>
    <x v="30"/>
    <s v="GRSM 1"/>
    <x v="3"/>
    <s v="MT"/>
    <n v="122506"/>
    <n v="202816"/>
    <x v="29"/>
    <x v="67"/>
    <s v="AGLIO OLIO"/>
    <n v="7000"/>
    <n v="40"/>
    <n v="280000"/>
    <m/>
  </r>
  <r>
    <x v="8"/>
    <s v="JUL"/>
    <x v="30"/>
    <s v="GRSM 1"/>
    <x v="3"/>
    <s v="MT"/>
    <n v="122506"/>
    <n v="202816"/>
    <x v="29"/>
    <x v="67"/>
    <s v="CARBONARA"/>
    <n v="7000"/>
    <n v="59"/>
    <n v="413000"/>
    <m/>
  </r>
  <r>
    <x v="8"/>
    <s v="JUL"/>
    <x v="30"/>
    <s v="GRSM 1"/>
    <x v="3"/>
    <s v="MT"/>
    <n v="122506"/>
    <n v="202816"/>
    <x v="29"/>
    <x v="67"/>
    <s v="BOLOGNESE"/>
    <n v="7000"/>
    <n v="48"/>
    <n v="336000"/>
    <m/>
  </r>
  <r>
    <x v="8"/>
    <s v="JUL"/>
    <x v="30"/>
    <s v="GRSM 1"/>
    <x v="3"/>
    <s v="MT"/>
    <n v="122506"/>
    <n v="202816"/>
    <x v="29"/>
    <x v="67"/>
    <s v="GORENG"/>
    <n v="7000"/>
    <n v="81"/>
    <n v="567000"/>
    <n v="160"/>
  </r>
  <r>
    <x v="8"/>
    <s v="JUL"/>
    <x v="30"/>
    <s v="GRSM 1"/>
    <x v="3"/>
    <s v="MT"/>
    <n v="122506"/>
    <n v="214422"/>
    <x v="30"/>
    <x v="65"/>
    <s v="AGLIO OLIO"/>
    <n v="3200"/>
    <n v="52"/>
    <n v="166400"/>
    <m/>
  </r>
  <r>
    <x v="8"/>
    <s v="JUL"/>
    <x v="30"/>
    <s v="GRSM 1"/>
    <x v="3"/>
    <s v="MT"/>
    <n v="122506"/>
    <n v="214422"/>
    <x v="30"/>
    <x v="65"/>
    <s v="CARBONARA"/>
    <n v="3200"/>
    <n v="42"/>
    <n v="134400"/>
    <m/>
  </r>
  <r>
    <x v="8"/>
    <s v="JUL"/>
    <x v="30"/>
    <s v="GRSM 1"/>
    <x v="3"/>
    <s v="MT"/>
    <n v="122506"/>
    <n v="214422"/>
    <x v="30"/>
    <x v="65"/>
    <s v="BOLOGNESE"/>
    <n v="3200"/>
    <n v="40"/>
    <n v="128000"/>
    <m/>
  </r>
  <r>
    <x v="8"/>
    <s v="JUL"/>
    <x v="30"/>
    <s v="GRSM 1"/>
    <x v="3"/>
    <s v="MT"/>
    <n v="122506"/>
    <n v="214422"/>
    <x v="30"/>
    <x v="65"/>
    <s v="GORENG"/>
    <n v="3200"/>
    <n v="84"/>
    <n v="268800"/>
    <n v="160"/>
  </r>
  <r>
    <x v="8"/>
    <s v="JUL"/>
    <x v="30"/>
    <s v="GRSM 1"/>
    <x v="3"/>
    <s v="MT"/>
    <n v="122506"/>
    <n v="214422"/>
    <x v="30"/>
    <x v="64"/>
    <s v="AGLIO OLIO"/>
    <n v="3200"/>
    <n v="52"/>
    <n v="166400"/>
    <m/>
  </r>
  <r>
    <x v="8"/>
    <s v="JUL"/>
    <x v="30"/>
    <s v="GRSM 1"/>
    <x v="3"/>
    <s v="MT"/>
    <n v="122506"/>
    <n v="214422"/>
    <x v="30"/>
    <x v="64"/>
    <s v="CARBONARA"/>
    <n v="3200"/>
    <n v="42"/>
    <n v="134400"/>
    <m/>
  </r>
  <r>
    <x v="8"/>
    <s v="JUL"/>
    <x v="30"/>
    <s v="GRSM 1"/>
    <x v="3"/>
    <s v="MT"/>
    <n v="122506"/>
    <n v="214422"/>
    <x v="30"/>
    <x v="64"/>
    <s v="BOLOGNESE"/>
    <n v="3200"/>
    <n v="40"/>
    <n v="128000"/>
    <m/>
  </r>
  <r>
    <x v="8"/>
    <s v="JUL"/>
    <x v="30"/>
    <s v="GRSM 1"/>
    <x v="3"/>
    <s v="MT"/>
    <n v="122506"/>
    <n v="214422"/>
    <x v="30"/>
    <x v="64"/>
    <s v="GORENG"/>
    <n v="3200"/>
    <n v="84"/>
    <n v="268800"/>
    <n v="160"/>
  </r>
  <r>
    <x v="8"/>
    <s v="JUL"/>
    <x v="28"/>
    <s v="GRSM 1"/>
    <x v="3"/>
    <s v="MT"/>
    <n v="122506"/>
    <n v="214300"/>
    <x v="31"/>
    <x v="66"/>
    <s v="AGLIO OLIO"/>
    <n v="7000"/>
    <n v="16"/>
    <n v="112000"/>
    <m/>
  </r>
  <r>
    <x v="8"/>
    <s v="JUL"/>
    <x v="28"/>
    <s v="GRSM 1"/>
    <x v="3"/>
    <s v="MT"/>
    <n v="122506"/>
    <n v="214300"/>
    <x v="31"/>
    <x v="66"/>
    <s v="CARBONARA"/>
    <n v="7000"/>
    <n v="22"/>
    <n v="154000"/>
    <m/>
  </r>
  <r>
    <x v="8"/>
    <s v="JUL"/>
    <x v="28"/>
    <s v="GRSM 1"/>
    <x v="3"/>
    <s v="MT"/>
    <n v="122506"/>
    <n v="214300"/>
    <x v="31"/>
    <x v="66"/>
    <s v="BOLOGNESE"/>
    <n v="7000"/>
    <n v="17"/>
    <n v="119000"/>
    <m/>
  </r>
  <r>
    <x v="8"/>
    <s v="JUL"/>
    <x v="28"/>
    <s v="GRSM 1"/>
    <x v="3"/>
    <s v="MT"/>
    <n v="122506"/>
    <n v="214300"/>
    <x v="31"/>
    <x v="66"/>
    <s v="GORENG"/>
    <n v="7000"/>
    <n v="50"/>
    <n v="350000"/>
    <n v="160"/>
  </r>
  <r>
    <x v="8"/>
    <s v="JUL"/>
    <x v="28"/>
    <s v="GRSM 1"/>
    <x v="3"/>
    <s v="MT"/>
    <n v="122506"/>
    <n v="214300"/>
    <x v="31"/>
    <x v="67"/>
    <s v="AGLIO OLIO"/>
    <n v="7000"/>
    <n v="16"/>
    <n v="112000"/>
    <m/>
  </r>
  <r>
    <x v="8"/>
    <s v="JUL"/>
    <x v="28"/>
    <s v="GRSM 1"/>
    <x v="3"/>
    <s v="MT"/>
    <n v="122506"/>
    <n v="214300"/>
    <x v="31"/>
    <x v="67"/>
    <s v="CARBONARA"/>
    <n v="7000"/>
    <n v="22"/>
    <n v="154000"/>
    <m/>
  </r>
  <r>
    <x v="8"/>
    <s v="JUL"/>
    <x v="28"/>
    <s v="GRSM 1"/>
    <x v="3"/>
    <s v="MT"/>
    <n v="122506"/>
    <n v="214300"/>
    <x v="31"/>
    <x v="67"/>
    <s v="BOLOGNESE"/>
    <n v="7000"/>
    <n v="17"/>
    <n v="119000"/>
    <m/>
  </r>
  <r>
    <x v="8"/>
    <s v="JUL"/>
    <x v="28"/>
    <s v="GRSM 1"/>
    <x v="3"/>
    <s v="MT"/>
    <n v="122506"/>
    <n v="214300"/>
    <x v="31"/>
    <x v="67"/>
    <s v="GORENG"/>
    <n v="7000"/>
    <n v="50"/>
    <n v="350000"/>
    <n v="160"/>
  </r>
  <r>
    <x v="8"/>
    <s v="JUL"/>
    <x v="29"/>
    <s v="GRSM 4"/>
    <x v="0"/>
    <s v="GMM"/>
    <n v="189901"/>
    <n v="1602016"/>
    <x v="16"/>
    <x v="32"/>
    <s v="AGLIO OLIO"/>
    <n v="3400"/>
    <n v="100"/>
    <n v="340000"/>
    <m/>
  </r>
  <r>
    <x v="8"/>
    <s v="JUL"/>
    <x v="29"/>
    <s v="GRSM 4"/>
    <x v="0"/>
    <s v="GMM"/>
    <n v="189901"/>
    <n v="1602016"/>
    <x v="16"/>
    <x v="32"/>
    <s v="CARBONARA"/>
    <n v="3400"/>
    <n v="110"/>
    <n v="374000"/>
    <m/>
  </r>
  <r>
    <x v="8"/>
    <s v="JUL"/>
    <x v="29"/>
    <s v="GRSM 4"/>
    <x v="0"/>
    <s v="GMM"/>
    <n v="189901"/>
    <n v="1602016"/>
    <x v="16"/>
    <x v="32"/>
    <s v="BOLOGNESE"/>
    <n v="3400"/>
    <n v="110"/>
    <n v="374000"/>
    <m/>
  </r>
  <r>
    <x v="8"/>
    <s v="JUL"/>
    <x v="29"/>
    <s v="GRSM 4"/>
    <x v="0"/>
    <s v="GMM"/>
    <n v="189901"/>
    <n v="1602016"/>
    <x v="16"/>
    <x v="32"/>
    <s v="GORENG"/>
    <n v="3400"/>
    <n v="140"/>
    <n v="476000"/>
    <n v="80"/>
  </r>
  <r>
    <x v="8"/>
    <s v="JUL"/>
    <x v="29"/>
    <s v="GRSM 4"/>
    <x v="0"/>
    <s v="GMM"/>
    <n v="189901"/>
    <n v="1602016"/>
    <x v="16"/>
    <x v="31"/>
    <s v="AGLIO OLIO"/>
    <n v="3400"/>
    <n v="100"/>
    <n v="340000"/>
    <m/>
  </r>
  <r>
    <x v="8"/>
    <s v="JUL"/>
    <x v="29"/>
    <s v="GRSM 4"/>
    <x v="0"/>
    <s v="GMM"/>
    <n v="189901"/>
    <n v="1602016"/>
    <x v="16"/>
    <x v="31"/>
    <s v="CARBONARA"/>
    <n v="3400"/>
    <n v="120"/>
    <n v="408000"/>
    <m/>
  </r>
  <r>
    <x v="8"/>
    <s v="JUL"/>
    <x v="29"/>
    <s v="GRSM 4"/>
    <x v="0"/>
    <s v="GMM"/>
    <n v="189901"/>
    <n v="1602016"/>
    <x v="16"/>
    <x v="31"/>
    <s v="BOLOGNESE"/>
    <n v="3400"/>
    <n v="110"/>
    <n v="374000"/>
    <m/>
  </r>
  <r>
    <x v="8"/>
    <s v="JUL"/>
    <x v="29"/>
    <s v="GRSM 4"/>
    <x v="0"/>
    <s v="GMM"/>
    <n v="189901"/>
    <n v="1602016"/>
    <x v="16"/>
    <x v="31"/>
    <s v="GORENG"/>
    <n v="3400"/>
    <n v="140"/>
    <n v="476000"/>
    <n v="80"/>
  </r>
  <r>
    <x v="8"/>
    <s v="JUL"/>
    <x v="30"/>
    <s v="GRSM 1"/>
    <x v="3"/>
    <s v="MT"/>
    <n v="122506"/>
    <n v="214300"/>
    <x v="31"/>
    <x v="62"/>
    <s v="AGLIO OLIO"/>
    <n v="7000"/>
    <n v="35"/>
    <n v="245000"/>
    <m/>
  </r>
  <r>
    <x v="8"/>
    <s v="JUL"/>
    <x v="30"/>
    <s v="GRSM 1"/>
    <x v="3"/>
    <s v="MT"/>
    <n v="122506"/>
    <n v="214300"/>
    <x v="31"/>
    <x v="62"/>
    <s v="CARBONARA"/>
    <n v="7000"/>
    <n v="55"/>
    <n v="385000"/>
    <m/>
  </r>
  <r>
    <x v="8"/>
    <s v="JUL"/>
    <x v="30"/>
    <s v="GRSM 1"/>
    <x v="3"/>
    <s v="MT"/>
    <n v="122506"/>
    <n v="214300"/>
    <x v="31"/>
    <x v="62"/>
    <s v="BOLOGNESE"/>
    <n v="7000"/>
    <n v="35"/>
    <n v="245000"/>
    <m/>
  </r>
  <r>
    <x v="8"/>
    <s v="JUL"/>
    <x v="30"/>
    <s v="GRSM 1"/>
    <x v="3"/>
    <s v="MT"/>
    <n v="122506"/>
    <n v="214300"/>
    <x v="31"/>
    <x v="62"/>
    <s v="GORENG"/>
    <n v="7000"/>
    <n v="86"/>
    <n v="602000"/>
    <n v="160"/>
  </r>
  <r>
    <x v="8"/>
    <s v="JUL"/>
    <x v="30"/>
    <s v="GRSM 1"/>
    <x v="3"/>
    <s v="MT"/>
    <n v="122506"/>
    <n v="214300"/>
    <x v="31"/>
    <x v="63"/>
    <s v="AGLIO OLIO"/>
    <n v="7000"/>
    <n v="35"/>
    <n v="245000"/>
    <m/>
  </r>
  <r>
    <x v="8"/>
    <s v="JUL"/>
    <x v="30"/>
    <s v="GRSM 1"/>
    <x v="3"/>
    <s v="MT"/>
    <n v="122506"/>
    <n v="214300"/>
    <x v="31"/>
    <x v="63"/>
    <s v="CARBONARA"/>
    <n v="7000"/>
    <n v="55"/>
    <n v="385000"/>
    <m/>
  </r>
  <r>
    <x v="8"/>
    <s v="JUL"/>
    <x v="30"/>
    <s v="GRSM 1"/>
    <x v="3"/>
    <s v="MT"/>
    <n v="122506"/>
    <n v="214300"/>
    <x v="31"/>
    <x v="63"/>
    <s v="BOLOGNESE"/>
    <n v="7000"/>
    <n v="35"/>
    <n v="245000"/>
    <m/>
  </r>
  <r>
    <x v="8"/>
    <s v="JUL"/>
    <x v="30"/>
    <s v="GRSM 1"/>
    <x v="3"/>
    <s v="MT"/>
    <n v="122506"/>
    <n v="214300"/>
    <x v="31"/>
    <x v="63"/>
    <s v="GORENG"/>
    <n v="7000"/>
    <n v="86"/>
    <n v="602000"/>
    <n v="160"/>
  </r>
  <r>
    <x v="8"/>
    <s v="JUL"/>
    <x v="28"/>
    <s v="GRSM 6"/>
    <x v="2"/>
    <s v="GMM"/>
    <n v="103765"/>
    <n v="4305267"/>
    <x v="24"/>
    <x v="48"/>
    <s v="AGLIO OLIO"/>
    <n v="3000"/>
    <n v="52"/>
    <n v="156000"/>
    <m/>
  </r>
  <r>
    <x v="8"/>
    <s v="JUL"/>
    <x v="28"/>
    <s v="GRSM 6"/>
    <x v="2"/>
    <s v="GMM"/>
    <n v="103765"/>
    <n v="4305267"/>
    <x v="24"/>
    <x v="48"/>
    <s v="CARBONARA"/>
    <n v="3000"/>
    <n v="170"/>
    <n v="510000"/>
    <m/>
  </r>
  <r>
    <x v="8"/>
    <s v="JUL"/>
    <x v="28"/>
    <s v="GRSM 6"/>
    <x v="2"/>
    <s v="GMM"/>
    <n v="103765"/>
    <n v="4305267"/>
    <x v="24"/>
    <x v="48"/>
    <s v="BOLOGNESE"/>
    <n v="3000"/>
    <n v="120"/>
    <n v="360000"/>
    <m/>
  </r>
  <r>
    <x v="8"/>
    <s v="JUL"/>
    <x v="28"/>
    <s v="GRSM 6"/>
    <x v="2"/>
    <s v="GMM"/>
    <n v="103765"/>
    <n v="4305267"/>
    <x v="24"/>
    <x v="48"/>
    <s v="GORENG"/>
    <n v="3000"/>
    <n v="130"/>
    <n v="390000"/>
    <n v="160"/>
  </r>
  <r>
    <x v="8"/>
    <s v="JUL"/>
    <x v="28"/>
    <s v="GRSM 6"/>
    <x v="2"/>
    <s v="GMM"/>
    <n v="103765"/>
    <n v="4305267"/>
    <x v="24"/>
    <x v="49"/>
    <s v="AGLIO OLIO"/>
    <n v="3000"/>
    <n v="52"/>
    <n v="156000"/>
    <m/>
  </r>
  <r>
    <x v="8"/>
    <s v="JUL"/>
    <x v="28"/>
    <s v="GRSM 6"/>
    <x v="2"/>
    <s v="GMM"/>
    <n v="103765"/>
    <n v="4305267"/>
    <x v="24"/>
    <x v="49"/>
    <s v="CARBONARA"/>
    <n v="3000"/>
    <n v="170"/>
    <n v="510000"/>
    <m/>
  </r>
  <r>
    <x v="8"/>
    <s v="JUL"/>
    <x v="28"/>
    <s v="GRSM 6"/>
    <x v="2"/>
    <s v="GMM"/>
    <n v="103765"/>
    <n v="4305267"/>
    <x v="24"/>
    <x v="49"/>
    <s v="BOLOGNESE"/>
    <n v="3000"/>
    <n v="120"/>
    <n v="360000"/>
    <m/>
  </r>
  <r>
    <x v="8"/>
    <s v="JUL"/>
    <x v="28"/>
    <s v="GRSM 6"/>
    <x v="2"/>
    <s v="GMM"/>
    <n v="103765"/>
    <n v="4305267"/>
    <x v="24"/>
    <x v="49"/>
    <s v="GORENG"/>
    <n v="3000"/>
    <n v="130"/>
    <n v="390000"/>
    <n v="160"/>
  </r>
  <r>
    <x v="8"/>
    <s v="JUL"/>
    <x v="28"/>
    <s v="GRSM 4"/>
    <x v="0"/>
    <s v="GMM"/>
    <n v="103257"/>
    <n v="9162509"/>
    <x v="25"/>
    <x v="57"/>
    <s v="AGLIO OLIO"/>
    <n v="3100"/>
    <n v="50"/>
    <n v="155000"/>
    <m/>
  </r>
  <r>
    <x v="8"/>
    <s v="JUL"/>
    <x v="28"/>
    <s v="GRSM 4"/>
    <x v="0"/>
    <s v="GMM"/>
    <n v="103257"/>
    <n v="9162509"/>
    <x v="25"/>
    <x v="57"/>
    <s v="CARBONARA"/>
    <n v="3100"/>
    <n v="55"/>
    <n v="170500"/>
    <m/>
  </r>
  <r>
    <x v="8"/>
    <s v="JUL"/>
    <x v="28"/>
    <s v="GRSM 4"/>
    <x v="0"/>
    <s v="GMM"/>
    <n v="103257"/>
    <n v="9162509"/>
    <x v="25"/>
    <x v="57"/>
    <s v="BOLOGNESE"/>
    <n v="3100"/>
    <n v="60"/>
    <n v="186000"/>
    <m/>
  </r>
  <r>
    <x v="8"/>
    <s v="JUL"/>
    <x v="28"/>
    <s v="GRSM 4"/>
    <x v="0"/>
    <s v="GMM"/>
    <n v="103257"/>
    <n v="9162509"/>
    <x v="25"/>
    <x v="57"/>
    <s v="GORENG"/>
    <n v="3100"/>
    <n v="40"/>
    <n v="124000"/>
    <n v="160"/>
  </r>
  <r>
    <x v="8"/>
    <s v="JUL"/>
    <x v="28"/>
    <s v="GRSM 4"/>
    <x v="0"/>
    <s v="GMM"/>
    <n v="103257"/>
    <n v="9162509"/>
    <x v="25"/>
    <x v="58"/>
    <s v="AGLIO OLIO"/>
    <n v="3100"/>
    <n v="40"/>
    <n v="124000"/>
    <m/>
  </r>
  <r>
    <x v="8"/>
    <s v="JUL"/>
    <x v="28"/>
    <s v="GRSM 4"/>
    <x v="0"/>
    <s v="GMM"/>
    <n v="103257"/>
    <n v="9162509"/>
    <x v="25"/>
    <x v="58"/>
    <s v="CARBONARA"/>
    <n v="3100"/>
    <n v="52"/>
    <n v="161200"/>
    <m/>
  </r>
  <r>
    <x v="8"/>
    <s v="JUL"/>
    <x v="28"/>
    <s v="GRSM 4"/>
    <x v="0"/>
    <s v="GMM"/>
    <n v="103257"/>
    <n v="9162509"/>
    <x v="25"/>
    <x v="58"/>
    <s v="BOLOGNESE"/>
    <n v="3100"/>
    <n v="55"/>
    <n v="170500"/>
    <m/>
  </r>
  <r>
    <x v="8"/>
    <s v="JUL"/>
    <x v="28"/>
    <s v="GRSM 4"/>
    <x v="0"/>
    <s v="GMM"/>
    <n v="103257"/>
    <n v="9162509"/>
    <x v="25"/>
    <x v="58"/>
    <s v="GORENG"/>
    <n v="3100"/>
    <n v="33"/>
    <n v="102300"/>
    <n v="160"/>
  </r>
  <r>
    <x v="8"/>
    <s v="JUL"/>
    <x v="30"/>
    <s v="GRSM 4"/>
    <x v="0"/>
    <s v="GMM"/>
    <n v="189901"/>
    <n v="1602008"/>
    <x v="13"/>
    <x v="14"/>
    <s v="AGLIO OLIO"/>
    <n v="3300"/>
    <n v="60"/>
    <n v="198000"/>
    <m/>
  </r>
  <r>
    <x v="8"/>
    <s v="JUL"/>
    <x v="30"/>
    <s v="GRSM 4"/>
    <x v="0"/>
    <s v="GMM"/>
    <n v="189901"/>
    <n v="1602008"/>
    <x v="13"/>
    <x v="14"/>
    <s v="CARBONARA"/>
    <n v="3300"/>
    <n v="40"/>
    <n v="132000"/>
    <m/>
  </r>
  <r>
    <x v="8"/>
    <s v="JUL"/>
    <x v="30"/>
    <s v="GRSM 4"/>
    <x v="0"/>
    <s v="GMM"/>
    <n v="189901"/>
    <n v="1602008"/>
    <x v="13"/>
    <x v="14"/>
    <s v="BOLOGNESE"/>
    <n v="3300"/>
    <n v="35"/>
    <n v="115500"/>
    <m/>
  </r>
  <r>
    <x v="8"/>
    <s v="JUL"/>
    <x v="30"/>
    <s v="GRSM 4"/>
    <x v="0"/>
    <s v="GMM"/>
    <n v="189901"/>
    <n v="1602008"/>
    <x v="13"/>
    <x v="14"/>
    <s v="GORENG"/>
    <n v="3300"/>
    <n v="141"/>
    <n v="465300"/>
    <n v="160"/>
  </r>
  <r>
    <x v="8"/>
    <s v="JUL"/>
    <x v="30"/>
    <s v="GRSM 4"/>
    <x v="0"/>
    <s v="GMM"/>
    <n v="189901"/>
    <n v="1602008"/>
    <x v="13"/>
    <x v="56"/>
    <s v="AGLIO OLIO"/>
    <n v="3300"/>
    <n v="60"/>
    <n v="198000"/>
    <m/>
  </r>
  <r>
    <x v="8"/>
    <s v="JUL"/>
    <x v="30"/>
    <s v="GRSM 4"/>
    <x v="0"/>
    <s v="GMM"/>
    <n v="189901"/>
    <n v="1602008"/>
    <x v="13"/>
    <x v="56"/>
    <s v="CARBONARA"/>
    <n v="3300"/>
    <n v="40"/>
    <n v="132000"/>
    <m/>
  </r>
  <r>
    <x v="8"/>
    <s v="JUL"/>
    <x v="30"/>
    <s v="GRSM 4"/>
    <x v="0"/>
    <s v="GMM"/>
    <n v="189901"/>
    <n v="1602008"/>
    <x v="13"/>
    <x v="56"/>
    <s v="BOLOGNESE"/>
    <n v="3300"/>
    <n v="35"/>
    <n v="115500"/>
    <m/>
  </r>
  <r>
    <x v="8"/>
    <s v="JUL"/>
    <x v="30"/>
    <s v="GRSM 4"/>
    <x v="0"/>
    <s v="GMM"/>
    <n v="189901"/>
    <n v="1602008"/>
    <x v="13"/>
    <x v="56"/>
    <s v="GORENG"/>
    <n v="3300"/>
    <n v="141"/>
    <n v="465300"/>
    <n v="160"/>
  </r>
  <r>
    <x v="9"/>
    <s v="JUL"/>
    <x v="31"/>
    <s v="GRSM 2"/>
    <x v="3"/>
    <s v="MT"/>
    <n v="175700"/>
    <n v="1370001"/>
    <x v="32"/>
    <x v="68"/>
    <s v="AGLIO OLIO"/>
    <n v="2210"/>
    <n v="80"/>
    <n v="176800"/>
    <m/>
  </r>
  <r>
    <x v="9"/>
    <s v="JUL"/>
    <x v="31"/>
    <s v="GRSM 2"/>
    <x v="3"/>
    <s v="MT"/>
    <n v="175700"/>
    <n v="1370001"/>
    <x v="32"/>
    <x v="68"/>
    <s v="CARBONARA"/>
    <n v="2210"/>
    <n v="120"/>
    <n v="265200"/>
    <m/>
  </r>
  <r>
    <x v="9"/>
    <s v="JUL"/>
    <x v="31"/>
    <s v="GRSM 2"/>
    <x v="3"/>
    <s v="MT"/>
    <n v="175700"/>
    <n v="1370001"/>
    <x v="32"/>
    <x v="68"/>
    <s v="BOLOGNESE"/>
    <n v="2210"/>
    <n v="80"/>
    <n v="176800"/>
    <m/>
  </r>
  <r>
    <x v="9"/>
    <s v="JUL"/>
    <x v="31"/>
    <s v="GRSM 2"/>
    <x v="3"/>
    <s v="MT"/>
    <n v="175700"/>
    <n v="1370001"/>
    <x v="32"/>
    <x v="68"/>
    <s v="GORENG"/>
    <n v="2210"/>
    <n v="160"/>
    <n v="353600"/>
    <n v="80"/>
  </r>
  <r>
    <x v="9"/>
    <s v="JUL"/>
    <x v="31"/>
    <s v="GRSM 2"/>
    <x v="3"/>
    <s v="MT"/>
    <n v="175700"/>
    <n v="1370001"/>
    <x v="32"/>
    <x v="69"/>
    <s v="AGLIO OLIO"/>
    <n v="2210"/>
    <n v="80"/>
    <n v="176800"/>
    <m/>
  </r>
  <r>
    <x v="9"/>
    <s v="JUL"/>
    <x v="31"/>
    <s v="GRSM 2"/>
    <x v="3"/>
    <s v="MT"/>
    <n v="175700"/>
    <n v="1370001"/>
    <x v="32"/>
    <x v="69"/>
    <s v="CARBONARA"/>
    <n v="2210"/>
    <n v="120"/>
    <n v="265200"/>
    <m/>
  </r>
  <r>
    <x v="9"/>
    <s v="JUL"/>
    <x v="31"/>
    <s v="GRSM 2"/>
    <x v="3"/>
    <s v="MT"/>
    <n v="175700"/>
    <n v="1370001"/>
    <x v="32"/>
    <x v="69"/>
    <s v="BOLOGNESE"/>
    <n v="2210"/>
    <n v="80"/>
    <n v="176800"/>
    <m/>
  </r>
  <r>
    <x v="9"/>
    <s v="JUL"/>
    <x v="31"/>
    <s v="GRSM 2"/>
    <x v="3"/>
    <s v="MT"/>
    <n v="175700"/>
    <n v="1370001"/>
    <x v="32"/>
    <x v="69"/>
    <s v="GORENG"/>
    <n v="2210"/>
    <n v="160"/>
    <n v="353600"/>
    <n v="80"/>
  </r>
  <r>
    <x v="9"/>
    <s v="JUL"/>
    <x v="32"/>
    <s v="GRSM 5"/>
    <x v="1"/>
    <s v="GMM"/>
    <n v="170220"/>
    <n v="9000015"/>
    <x v="18"/>
    <x v="35"/>
    <s v="BOLOGNESE"/>
    <n v="2200"/>
    <n v="131"/>
    <n v="288200"/>
    <m/>
  </r>
  <r>
    <x v="9"/>
    <s v="JUL"/>
    <x v="32"/>
    <s v="GRSM 5"/>
    <x v="1"/>
    <s v="GMM"/>
    <n v="170220"/>
    <n v="9000015"/>
    <x v="18"/>
    <x v="35"/>
    <s v="CARBONARA"/>
    <n v="2200"/>
    <n v="204"/>
    <n v="448800"/>
    <m/>
  </r>
  <r>
    <x v="9"/>
    <s v="JUL"/>
    <x v="32"/>
    <s v="GRSM 5"/>
    <x v="1"/>
    <s v="GMM"/>
    <n v="170220"/>
    <n v="9000015"/>
    <x v="18"/>
    <x v="35"/>
    <s v="AGLIO OLIO"/>
    <n v="2200"/>
    <n v="67"/>
    <n v="147400"/>
    <m/>
  </r>
  <r>
    <x v="9"/>
    <s v="JUL"/>
    <x v="32"/>
    <s v="GRSM 5"/>
    <x v="1"/>
    <s v="GMM"/>
    <n v="170220"/>
    <n v="9000015"/>
    <x v="18"/>
    <x v="35"/>
    <s v="GORENG"/>
    <n v="2200"/>
    <n v="302"/>
    <n v="664400"/>
    <n v="320"/>
  </r>
  <r>
    <x v="9"/>
    <s v="JUL"/>
    <x v="32"/>
    <s v="GRSM 5"/>
    <x v="1"/>
    <s v="GMM"/>
    <n v="170220"/>
    <n v="9000015"/>
    <x v="18"/>
    <x v="59"/>
    <s v="BOLOGNESE"/>
    <n v="2200"/>
    <n v="131"/>
    <n v="288200"/>
    <m/>
  </r>
  <r>
    <x v="9"/>
    <s v="JUL"/>
    <x v="32"/>
    <s v="GRSM 5"/>
    <x v="1"/>
    <s v="GMM"/>
    <n v="170220"/>
    <n v="9000015"/>
    <x v="18"/>
    <x v="59"/>
    <s v="CARBONARA"/>
    <n v="2200"/>
    <n v="204"/>
    <n v="448800"/>
    <m/>
  </r>
  <r>
    <x v="9"/>
    <s v="JUL"/>
    <x v="32"/>
    <s v="GRSM 5"/>
    <x v="1"/>
    <s v="GMM"/>
    <n v="170220"/>
    <n v="9000015"/>
    <x v="18"/>
    <x v="59"/>
    <s v="AGLIO OLIO"/>
    <n v="2200"/>
    <n v="67"/>
    <n v="147400"/>
    <m/>
  </r>
  <r>
    <x v="9"/>
    <s v="JUL"/>
    <x v="32"/>
    <s v="GRSM 5"/>
    <x v="1"/>
    <s v="GMM"/>
    <n v="170220"/>
    <n v="9000015"/>
    <x v="18"/>
    <x v="59"/>
    <s v="GORENG"/>
    <n v="2200"/>
    <n v="302"/>
    <n v="664400"/>
    <n v="320"/>
  </r>
  <r>
    <x v="9"/>
    <s v="JUL"/>
    <x v="32"/>
    <s v="GRSM 5"/>
    <x v="1"/>
    <s v="GMM"/>
    <n v="170220"/>
    <n v="1901019"/>
    <x v="19"/>
    <x v="38"/>
    <s v="BOLOGNESE"/>
    <n v="2200"/>
    <n v="87"/>
    <n v="191400"/>
    <m/>
  </r>
  <r>
    <x v="9"/>
    <s v="JUL"/>
    <x v="32"/>
    <s v="GRSM 5"/>
    <x v="1"/>
    <s v="GMM"/>
    <n v="170220"/>
    <n v="1901019"/>
    <x v="19"/>
    <x v="38"/>
    <s v="CARBONARA"/>
    <n v="2200"/>
    <n v="91"/>
    <n v="200200"/>
    <m/>
  </r>
  <r>
    <x v="9"/>
    <s v="JUL"/>
    <x v="32"/>
    <s v="GRSM 5"/>
    <x v="1"/>
    <s v="GMM"/>
    <n v="170220"/>
    <n v="1901019"/>
    <x v="19"/>
    <x v="38"/>
    <s v="AGLIO OLIO"/>
    <n v="2200"/>
    <n v="111"/>
    <n v="244200"/>
    <m/>
  </r>
  <r>
    <x v="9"/>
    <s v="JUL"/>
    <x v="32"/>
    <s v="GRSM 5"/>
    <x v="1"/>
    <s v="GMM"/>
    <n v="170220"/>
    <n v="1901019"/>
    <x v="19"/>
    <x v="38"/>
    <s v="GORENG"/>
    <n v="2200"/>
    <n v="271"/>
    <n v="596200"/>
    <n v="223"/>
  </r>
  <r>
    <x v="9"/>
    <s v="JUL"/>
    <x v="32"/>
    <s v="GRSM 5"/>
    <x v="1"/>
    <s v="GMM"/>
    <n v="170220"/>
    <n v="1901019"/>
    <x v="19"/>
    <x v="37"/>
    <s v="BOLOGNESE"/>
    <n v="2200"/>
    <n v="87"/>
    <n v="191400"/>
    <m/>
  </r>
  <r>
    <x v="9"/>
    <s v="JUL"/>
    <x v="32"/>
    <s v="GRSM 5"/>
    <x v="1"/>
    <s v="GMM"/>
    <n v="170220"/>
    <n v="1901019"/>
    <x v="19"/>
    <x v="37"/>
    <s v="CARBONARA"/>
    <n v="2200"/>
    <n v="91"/>
    <n v="200200"/>
    <m/>
  </r>
  <r>
    <x v="9"/>
    <s v="JUL"/>
    <x v="32"/>
    <s v="GRSM 5"/>
    <x v="1"/>
    <s v="GMM"/>
    <n v="170220"/>
    <n v="1901019"/>
    <x v="19"/>
    <x v="37"/>
    <s v="AGLIO OLIO"/>
    <n v="2200"/>
    <n v="111"/>
    <n v="244200"/>
    <m/>
  </r>
  <r>
    <x v="9"/>
    <s v="JUL"/>
    <x v="32"/>
    <s v="GRSM 5"/>
    <x v="1"/>
    <s v="GMM"/>
    <n v="170220"/>
    <n v="1901019"/>
    <x v="19"/>
    <x v="37"/>
    <s v="GORENG"/>
    <n v="2200"/>
    <n v="271"/>
    <n v="596200"/>
    <n v="223"/>
  </r>
  <r>
    <x v="9"/>
    <s v="JUL"/>
    <x v="32"/>
    <s v="GRSM 5"/>
    <x v="1"/>
    <s v="GMM"/>
    <n v="170220"/>
    <n v="1901004"/>
    <x v="17"/>
    <x v="33"/>
    <s v="BOLOGNESE"/>
    <n v="2200"/>
    <n v="120"/>
    <n v="264000"/>
    <m/>
  </r>
  <r>
    <x v="9"/>
    <s v="JUL"/>
    <x v="32"/>
    <s v="GRSM 5"/>
    <x v="1"/>
    <s v="GMM"/>
    <n v="170220"/>
    <n v="1901004"/>
    <x v="17"/>
    <x v="33"/>
    <s v="CARBONARA"/>
    <n v="2200"/>
    <n v="240"/>
    <n v="528000"/>
    <m/>
  </r>
  <r>
    <x v="9"/>
    <s v="JUL"/>
    <x v="32"/>
    <s v="GRSM 5"/>
    <x v="1"/>
    <s v="GMM"/>
    <n v="170220"/>
    <n v="1901004"/>
    <x v="17"/>
    <x v="33"/>
    <s v="AGLIO OLIO"/>
    <n v="2200"/>
    <n v="40"/>
    <n v="88000"/>
    <m/>
  </r>
  <r>
    <x v="9"/>
    <s v="JUL"/>
    <x v="32"/>
    <s v="GRSM 5"/>
    <x v="1"/>
    <s v="GMM"/>
    <n v="170220"/>
    <n v="1901004"/>
    <x v="17"/>
    <x v="33"/>
    <s v="GORENG"/>
    <n v="2200"/>
    <n v="280"/>
    <n v="616000"/>
    <n v="320"/>
  </r>
  <r>
    <x v="9"/>
    <s v="JUL"/>
    <x v="32"/>
    <s v="GRSM 5"/>
    <x v="1"/>
    <s v="GMM"/>
    <n v="170220"/>
    <n v="1901004"/>
    <x v="17"/>
    <x v="34"/>
    <s v="BOLOGNESE"/>
    <n v="2200"/>
    <n v="120"/>
    <n v="264000"/>
    <m/>
  </r>
  <r>
    <x v="9"/>
    <s v="JUL"/>
    <x v="32"/>
    <s v="GRSM 5"/>
    <x v="1"/>
    <s v="GMM"/>
    <n v="170220"/>
    <n v="1901004"/>
    <x v="17"/>
    <x v="34"/>
    <s v="CARBONARA"/>
    <n v="2200"/>
    <n v="240"/>
    <n v="528000"/>
    <m/>
  </r>
  <r>
    <x v="9"/>
    <s v="JUL"/>
    <x v="32"/>
    <s v="GRSM 5"/>
    <x v="1"/>
    <s v="GMM"/>
    <n v="170220"/>
    <n v="1901004"/>
    <x v="17"/>
    <x v="34"/>
    <s v="AGLIO OLIO"/>
    <n v="2200"/>
    <n v="40"/>
    <n v="88000"/>
    <m/>
  </r>
  <r>
    <x v="9"/>
    <s v="JUL"/>
    <x v="32"/>
    <s v="GRSM 5"/>
    <x v="1"/>
    <s v="GMM"/>
    <n v="170220"/>
    <n v="1901004"/>
    <x v="17"/>
    <x v="34"/>
    <s v="GORENG"/>
    <n v="2200"/>
    <n v="280"/>
    <n v="616000"/>
    <n v="320"/>
  </r>
  <r>
    <x v="9"/>
    <s v="JUL"/>
    <x v="32"/>
    <s v="GRSM 1"/>
    <x v="3"/>
    <s v="MT"/>
    <n v="122506"/>
    <n v="214300"/>
    <x v="31"/>
    <x v="62"/>
    <s v="BOLOGNESE"/>
    <n v="7000"/>
    <n v="38"/>
    <n v="266000"/>
    <m/>
  </r>
  <r>
    <x v="9"/>
    <s v="JUL"/>
    <x v="32"/>
    <s v="GRSM 1"/>
    <x v="3"/>
    <s v="MT"/>
    <n v="122506"/>
    <n v="214300"/>
    <x v="31"/>
    <x v="62"/>
    <s v="CARBONARA"/>
    <n v="7000"/>
    <n v="26"/>
    <n v="182000"/>
    <m/>
  </r>
  <r>
    <x v="9"/>
    <s v="JUL"/>
    <x v="32"/>
    <s v="GRSM 1"/>
    <x v="3"/>
    <s v="MT"/>
    <n v="122506"/>
    <n v="214300"/>
    <x v="31"/>
    <x v="62"/>
    <s v="AGLIO OLIO"/>
    <n v="7000"/>
    <n v="26"/>
    <n v="182000"/>
    <m/>
  </r>
  <r>
    <x v="9"/>
    <s v="JUL"/>
    <x v="32"/>
    <s v="GRSM 1"/>
    <x v="3"/>
    <s v="MT"/>
    <n v="122506"/>
    <n v="214300"/>
    <x v="31"/>
    <x v="62"/>
    <s v="GORENG"/>
    <n v="7000"/>
    <n v="80"/>
    <n v="560000"/>
    <n v="160"/>
  </r>
  <r>
    <x v="9"/>
    <s v="JUL"/>
    <x v="32"/>
    <s v="GRSM 1"/>
    <x v="3"/>
    <s v="MT"/>
    <n v="122506"/>
    <n v="214300"/>
    <x v="31"/>
    <x v="63"/>
    <s v="BOLOGNESE"/>
    <n v="7000"/>
    <n v="38"/>
    <n v="266000"/>
    <m/>
  </r>
  <r>
    <x v="9"/>
    <s v="JUL"/>
    <x v="32"/>
    <s v="GRSM 1"/>
    <x v="3"/>
    <s v="MT"/>
    <n v="122506"/>
    <n v="214300"/>
    <x v="31"/>
    <x v="63"/>
    <s v="CARBONARA"/>
    <n v="7000"/>
    <n v="26"/>
    <n v="182000"/>
    <m/>
  </r>
  <r>
    <x v="9"/>
    <s v="JUL"/>
    <x v="32"/>
    <s v="GRSM 1"/>
    <x v="3"/>
    <s v="MT"/>
    <n v="122506"/>
    <n v="214300"/>
    <x v="31"/>
    <x v="63"/>
    <s v="AGLIO OLIO"/>
    <n v="7000"/>
    <n v="26"/>
    <n v="182000"/>
    <m/>
  </r>
  <r>
    <x v="9"/>
    <s v="JUL"/>
    <x v="32"/>
    <s v="GRSM 1"/>
    <x v="3"/>
    <s v="MT"/>
    <n v="122506"/>
    <n v="214300"/>
    <x v="31"/>
    <x v="63"/>
    <s v="GORENG"/>
    <n v="7000"/>
    <n v="80"/>
    <n v="560000"/>
    <n v="160"/>
  </r>
  <r>
    <x v="9"/>
    <s v="JUL"/>
    <x v="32"/>
    <s v="GRSM 1"/>
    <x v="3"/>
    <s v="MT"/>
    <n v="122506"/>
    <n v="202879"/>
    <x v="28"/>
    <x v="60"/>
    <s v="BOLOGNESE"/>
    <n v="6400"/>
    <n v="37"/>
    <n v="236800"/>
    <m/>
  </r>
  <r>
    <x v="9"/>
    <s v="JUL"/>
    <x v="32"/>
    <s v="GRSM 1"/>
    <x v="3"/>
    <s v="MT"/>
    <n v="122506"/>
    <n v="202879"/>
    <x v="28"/>
    <x v="60"/>
    <s v="CARBONARA"/>
    <n v="6400"/>
    <n v="40"/>
    <n v="256000"/>
    <m/>
  </r>
  <r>
    <x v="9"/>
    <s v="JUL"/>
    <x v="32"/>
    <s v="GRSM 1"/>
    <x v="3"/>
    <s v="MT"/>
    <n v="122506"/>
    <n v="202879"/>
    <x v="28"/>
    <x v="60"/>
    <s v="AGLIO OLIO"/>
    <n v="6400"/>
    <n v="22"/>
    <n v="140800"/>
    <m/>
  </r>
  <r>
    <x v="9"/>
    <s v="JUL"/>
    <x v="32"/>
    <s v="GRSM 1"/>
    <x v="3"/>
    <s v="MT"/>
    <n v="122506"/>
    <n v="202879"/>
    <x v="28"/>
    <x v="60"/>
    <s v="GORENG"/>
    <n v="6400"/>
    <n v="87"/>
    <n v="556800"/>
    <n v="160"/>
  </r>
  <r>
    <x v="9"/>
    <s v="JUL"/>
    <x v="32"/>
    <s v="GRSM 1"/>
    <x v="3"/>
    <s v="MT"/>
    <n v="122506"/>
    <n v="202879"/>
    <x v="28"/>
    <x v="61"/>
    <s v="BOLOGNESE"/>
    <n v="6400"/>
    <n v="37"/>
    <n v="236800"/>
    <m/>
  </r>
  <r>
    <x v="9"/>
    <s v="JUL"/>
    <x v="32"/>
    <s v="GRSM 1"/>
    <x v="3"/>
    <s v="MT"/>
    <n v="122506"/>
    <n v="202879"/>
    <x v="28"/>
    <x v="61"/>
    <s v="CARBONARA"/>
    <n v="6400"/>
    <n v="40"/>
    <n v="256000"/>
    <m/>
  </r>
  <r>
    <x v="9"/>
    <s v="JUL"/>
    <x v="32"/>
    <s v="GRSM 1"/>
    <x v="3"/>
    <s v="MT"/>
    <n v="122506"/>
    <n v="202879"/>
    <x v="28"/>
    <x v="61"/>
    <s v="AGLIO OLIO"/>
    <n v="6400"/>
    <n v="22"/>
    <n v="140800"/>
    <m/>
  </r>
  <r>
    <x v="9"/>
    <s v="JUL"/>
    <x v="32"/>
    <s v="GRSM 1"/>
    <x v="3"/>
    <s v="MT"/>
    <n v="122506"/>
    <n v="202879"/>
    <x v="28"/>
    <x v="61"/>
    <s v="GORENG"/>
    <n v="6400"/>
    <n v="87"/>
    <n v="556800"/>
    <n v="160"/>
  </r>
  <r>
    <x v="9"/>
    <s v="JUL"/>
    <x v="32"/>
    <s v="GRSM 1"/>
    <x v="3"/>
    <s v="MT"/>
    <n v="122506"/>
    <n v="202816"/>
    <x v="29"/>
    <x v="66"/>
    <s v="BOLOGNESE"/>
    <n v="7000"/>
    <n v="43"/>
    <n v="301000"/>
    <m/>
  </r>
  <r>
    <x v="9"/>
    <s v="JUL"/>
    <x v="32"/>
    <s v="GRSM 1"/>
    <x v="3"/>
    <s v="MT"/>
    <n v="122506"/>
    <n v="202816"/>
    <x v="29"/>
    <x v="66"/>
    <s v="CARBONARA"/>
    <n v="7000"/>
    <n v="52"/>
    <n v="364000"/>
    <m/>
  </r>
  <r>
    <x v="9"/>
    <s v="JUL"/>
    <x v="32"/>
    <s v="GRSM 1"/>
    <x v="3"/>
    <s v="MT"/>
    <n v="122506"/>
    <n v="202816"/>
    <x v="29"/>
    <x v="66"/>
    <s v="AGLIO OLIO"/>
    <n v="7000"/>
    <n v="14"/>
    <n v="98000"/>
    <m/>
  </r>
  <r>
    <x v="9"/>
    <s v="JUL"/>
    <x v="32"/>
    <s v="GRSM 1"/>
    <x v="3"/>
    <s v="MT"/>
    <n v="122506"/>
    <n v="202816"/>
    <x v="29"/>
    <x v="66"/>
    <s v="GORENG"/>
    <n v="7000"/>
    <n v="66"/>
    <n v="462000"/>
    <n v="160"/>
  </r>
  <r>
    <x v="9"/>
    <s v="JUL"/>
    <x v="32"/>
    <s v="GRSM 1"/>
    <x v="3"/>
    <s v="MT"/>
    <n v="122506"/>
    <n v="202816"/>
    <x v="29"/>
    <x v="67"/>
    <s v="BOLOGNESE"/>
    <n v="7000"/>
    <n v="43"/>
    <n v="301000"/>
    <m/>
  </r>
  <r>
    <x v="9"/>
    <s v="JUL"/>
    <x v="32"/>
    <s v="GRSM 1"/>
    <x v="3"/>
    <s v="MT"/>
    <n v="122506"/>
    <n v="202816"/>
    <x v="29"/>
    <x v="67"/>
    <s v="CARBONARA"/>
    <n v="7000"/>
    <n v="52"/>
    <n v="364000"/>
    <m/>
  </r>
  <r>
    <x v="9"/>
    <s v="JUL"/>
    <x v="32"/>
    <s v="GRSM 1"/>
    <x v="3"/>
    <s v="MT"/>
    <n v="122506"/>
    <n v="202816"/>
    <x v="29"/>
    <x v="67"/>
    <s v="AGLIO OLIO"/>
    <n v="7000"/>
    <n v="14"/>
    <n v="98000"/>
    <m/>
  </r>
  <r>
    <x v="9"/>
    <s v="JUL"/>
    <x v="32"/>
    <s v="GRSM 1"/>
    <x v="3"/>
    <s v="MT"/>
    <n v="122506"/>
    <n v="202816"/>
    <x v="29"/>
    <x v="67"/>
    <s v="GORENG"/>
    <n v="7000"/>
    <n v="66"/>
    <n v="462000"/>
    <n v="160"/>
  </r>
  <r>
    <x v="9"/>
    <s v="JUL"/>
    <x v="32"/>
    <s v="GRSM 1"/>
    <x v="3"/>
    <s v="MT"/>
    <n v="122506"/>
    <n v="214422"/>
    <x v="30"/>
    <x v="65"/>
    <s v="BOLOGNESE"/>
    <n v="3200"/>
    <n v="40"/>
    <n v="128000"/>
    <m/>
  </r>
  <r>
    <x v="9"/>
    <s v="JUL"/>
    <x v="32"/>
    <s v="GRSM 1"/>
    <x v="3"/>
    <s v="MT"/>
    <n v="122506"/>
    <n v="214422"/>
    <x v="30"/>
    <x v="65"/>
    <s v="CARBONARA"/>
    <n v="3200"/>
    <n v="42"/>
    <n v="134400"/>
    <m/>
  </r>
  <r>
    <x v="9"/>
    <s v="JUL"/>
    <x v="32"/>
    <s v="GRSM 1"/>
    <x v="3"/>
    <s v="MT"/>
    <n v="122506"/>
    <n v="214422"/>
    <x v="30"/>
    <x v="65"/>
    <s v="AGLIO OLIO"/>
    <n v="3200"/>
    <n v="80"/>
    <n v="256000"/>
    <m/>
  </r>
  <r>
    <x v="9"/>
    <s v="JUL"/>
    <x v="32"/>
    <s v="GRSM 1"/>
    <x v="3"/>
    <s v="MT"/>
    <n v="122506"/>
    <n v="214422"/>
    <x v="30"/>
    <x v="65"/>
    <s v="GORENG"/>
    <n v="3200"/>
    <n v="84"/>
    <n v="268800"/>
    <n v="160"/>
  </r>
  <r>
    <x v="9"/>
    <s v="JUL"/>
    <x v="32"/>
    <s v="GRSM 1"/>
    <x v="3"/>
    <s v="MT"/>
    <n v="122506"/>
    <n v="214422"/>
    <x v="30"/>
    <x v="64"/>
    <s v="BOLOGNESE"/>
    <n v="3200"/>
    <n v="40"/>
    <n v="128000"/>
    <m/>
  </r>
  <r>
    <x v="9"/>
    <s v="JUL"/>
    <x v="32"/>
    <s v="GRSM 1"/>
    <x v="3"/>
    <s v="MT"/>
    <n v="122506"/>
    <n v="214422"/>
    <x v="30"/>
    <x v="64"/>
    <s v="CARBONARA"/>
    <n v="3200"/>
    <n v="42"/>
    <n v="134400"/>
    <m/>
  </r>
  <r>
    <x v="9"/>
    <s v="JUL"/>
    <x v="32"/>
    <s v="GRSM 1"/>
    <x v="3"/>
    <s v="MT"/>
    <n v="122506"/>
    <n v="214422"/>
    <x v="30"/>
    <x v="64"/>
    <s v="AGLIO OLIO"/>
    <n v="3200"/>
    <n v="80"/>
    <n v="256000"/>
    <m/>
  </r>
  <r>
    <x v="9"/>
    <s v="JUL"/>
    <x v="32"/>
    <s v="GRSM 1"/>
    <x v="3"/>
    <s v="MT"/>
    <n v="122506"/>
    <n v="214422"/>
    <x v="30"/>
    <x v="64"/>
    <s v="GORENG"/>
    <n v="3200"/>
    <n v="84"/>
    <n v="268800"/>
    <n v="160"/>
  </r>
  <r>
    <x v="9"/>
    <s v="JUL"/>
    <x v="32"/>
    <s v="GRSM 2"/>
    <x v="3"/>
    <s v="MT"/>
    <n v="175700"/>
    <n v="1370001"/>
    <x v="32"/>
    <x v="68"/>
    <s v="BOLOGNESE"/>
    <n v="2210"/>
    <n v="80"/>
    <n v="176800"/>
    <m/>
  </r>
  <r>
    <x v="9"/>
    <s v="JUL"/>
    <x v="32"/>
    <s v="GRSM 2"/>
    <x v="3"/>
    <s v="MT"/>
    <n v="175700"/>
    <n v="1370001"/>
    <x v="32"/>
    <x v="68"/>
    <s v="CARBONARA"/>
    <n v="2210"/>
    <n v="120"/>
    <n v="265200"/>
    <m/>
  </r>
  <r>
    <x v="9"/>
    <s v="JUL"/>
    <x v="32"/>
    <s v="GRSM 2"/>
    <x v="3"/>
    <s v="MT"/>
    <n v="175700"/>
    <n v="1370001"/>
    <x v="32"/>
    <x v="68"/>
    <s v="AGLIO OLIO"/>
    <n v="2210"/>
    <n v="80"/>
    <n v="176800"/>
    <m/>
  </r>
  <r>
    <x v="9"/>
    <s v="JUL"/>
    <x v="32"/>
    <s v="GRSM 2"/>
    <x v="3"/>
    <s v="MT"/>
    <n v="175700"/>
    <n v="1370001"/>
    <x v="32"/>
    <x v="68"/>
    <s v="GORENG"/>
    <n v="2210"/>
    <n v="120"/>
    <n v="265200"/>
    <n v="90"/>
  </r>
  <r>
    <x v="9"/>
    <s v="JUL"/>
    <x v="32"/>
    <s v="GRSM 2"/>
    <x v="3"/>
    <s v="MT"/>
    <n v="175700"/>
    <n v="1370001"/>
    <x v="32"/>
    <x v="69"/>
    <s v="BOLOGNESE"/>
    <n v="2210"/>
    <n v="80"/>
    <n v="176800"/>
    <m/>
  </r>
  <r>
    <x v="9"/>
    <s v="JUL"/>
    <x v="32"/>
    <s v="GRSM 2"/>
    <x v="3"/>
    <s v="MT"/>
    <n v="175700"/>
    <n v="1370001"/>
    <x v="32"/>
    <x v="69"/>
    <s v="CARBONARA"/>
    <n v="2210"/>
    <n v="120"/>
    <n v="265200"/>
    <m/>
  </r>
  <r>
    <x v="9"/>
    <s v="JUL"/>
    <x v="32"/>
    <s v="GRSM 2"/>
    <x v="3"/>
    <s v="MT"/>
    <n v="175700"/>
    <n v="1370001"/>
    <x v="32"/>
    <x v="69"/>
    <s v="AGLIO OLIO"/>
    <n v="2210"/>
    <n v="80"/>
    <n v="176800"/>
    <m/>
  </r>
  <r>
    <x v="9"/>
    <s v="JUL"/>
    <x v="32"/>
    <s v="GRSM 2"/>
    <x v="3"/>
    <s v="MT"/>
    <n v="175700"/>
    <n v="1370001"/>
    <x v="32"/>
    <x v="69"/>
    <s v="GORENG"/>
    <n v="2210"/>
    <n v="120"/>
    <n v="265200"/>
    <n v="90"/>
  </r>
  <r>
    <x v="9"/>
    <s v="JUL"/>
    <x v="32"/>
    <s v="GRSM 6"/>
    <x v="2"/>
    <s v="GMM"/>
    <n v="211033"/>
    <n v="6467246"/>
    <x v="21"/>
    <x v="42"/>
    <s v="BOLOGNESE"/>
    <n v="3100"/>
    <n v="113"/>
    <n v="350300"/>
    <m/>
  </r>
  <r>
    <x v="9"/>
    <s v="JUL"/>
    <x v="32"/>
    <s v="GRSM 6"/>
    <x v="2"/>
    <s v="GMM"/>
    <n v="211033"/>
    <n v="6467246"/>
    <x v="21"/>
    <x v="42"/>
    <s v="CARBONARA"/>
    <n v="3100"/>
    <n v="149"/>
    <n v="461900"/>
    <m/>
  </r>
  <r>
    <x v="9"/>
    <s v="JUL"/>
    <x v="32"/>
    <s v="GRSM 6"/>
    <x v="2"/>
    <s v="GMM"/>
    <n v="211033"/>
    <n v="6467246"/>
    <x v="21"/>
    <x v="42"/>
    <s v="AGLIO OLIO"/>
    <n v="3100"/>
    <n v="142"/>
    <n v="440200"/>
    <m/>
  </r>
  <r>
    <x v="9"/>
    <s v="JUL"/>
    <x v="32"/>
    <s v="GRSM 6"/>
    <x v="2"/>
    <s v="GMM"/>
    <n v="211033"/>
    <n v="6467246"/>
    <x v="21"/>
    <x v="42"/>
    <s v="GORENG"/>
    <n v="3100"/>
    <n v="313"/>
    <n v="970300"/>
    <n v="160"/>
  </r>
  <r>
    <x v="9"/>
    <s v="JUL"/>
    <x v="32"/>
    <s v="GRSM 6"/>
    <x v="2"/>
    <s v="GMM"/>
    <n v="211033"/>
    <n v="6467246"/>
    <x v="21"/>
    <x v="43"/>
    <s v="BOLOGNESE"/>
    <n v="3100"/>
    <n v="113"/>
    <n v="350300"/>
    <m/>
  </r>
  <r>
    <x v="9"/>
    <s v="JUL"/>
    <x v="32"/>
    <s v="GRSM 6"/>
    <x v="2"/>
    <s v="GMM"/>
    <n v="211033"/>
    <n v="6467246"/>
    <x v="21"/>
    <x v="43"/>
    <s v="CARBONARA"/>
    <n v="3100"/>
    <n v="149"/>
    <n v="461900"/>
    <m/>
  </r>
  <r>
    <x v="9"/>
    <s v="JUL"/>
    <x v="32"/>
    <s v="GRSM 6"/>
    <x v="2"/>
    <s v="GMM"/>
    <n v="211033"/>
    <n v="6467246"/>
    <x v="21"/>
    <x v="43"/>
    <s v="AGLIO OLIO"/>
    <n v="3100"/>
    <n v="142"/>
    <n v="440200"/>
    <m/>
  </r>
  <r>
    <x v="9"/>
    <s v="JUL"/>
    <x v="32"/>
    <s v="GRSM 6"/>
    <x v="2"/>
    <s v="GMM"/>
    <n v="211033"/>
    <n v="6467246"/>
    <x v="21"/>
    <x v="43"/>
    <s v="GORENG"/>
    <n v="3100"/>
    <n v="313"/>
    <n v="970300"/>
    <n v="160"/>
  </r>
  <r>
    <x v="9"/>
    <s v="JUL"/>
    <x v="32"/>
    <s v="GRSM 6"/>
    <x v="2"/>
    <s v="GMM"/>
    <n v="211163"/>
    <n v="3703215"/>
    <x v="23"/>
    <x v="46"/>
    <s v="BOLOGNESE"/>
    <n v="3000"/>
    <n v="107"/>
    <n v="321000"/>
    <m/>
  </r>
  <r>
    <x v="9"/>
    <s v="JUL"/>
    <x v="32"/>
    <s v="GRSM 6"/>
    <x v="2"/>
    <s v="GMM"/>
    <n v="211163"/>
    <n v="3703215"/>
    <x v="23"/>
    <x v="46"/>
    <s v="CARBONARA"/>
    <n v="3000"/>
    <n v="79"/>
    <n v="237000"/>
    <m/>
  </r>
  <r>
    <x v="9"/>
    <s v="JUL"/>
    <x v="32"/>
    <s v="GRSM 6"/>
    <x v="2"/>
    <s v="GMM"/>
    <n v="211163"/>
    <n v="3703215"/>
    <x v="23"/>
    <x v="46"/>
    <s v="AGLIO OLIO"/>
    <n v="3000"/>
    <n v="0"/>
    <n v="0"/>
    <m/>
  </r>
  <r>
    <x v="9"/>
    <s v="JUL"/>
    <x v="32"/>
    <s v="GRSM 6"/>
    <x v="2"/>
    <s v="GMM"/>
    <n v="211163"/>
    <n v="3703215"/>
    <x v="23"/>
    <x v="46"/>
    <s v="GORENG"/>
    <n v="3000"/>
    <n v="165"/>
    <n v="495000"/>
    <n v="82"/>
  </r>
  <r>
    <x v="9"/>
    <s v="JUL"/>
    <x v="32"/>
    <s v="GRSM 6"/>
    <x v="2"/>
    <s v="GMM"/>
    <n v="211163"/>
    <n v="3703215"/>
    <x v="23"/>
    <x v="47"/>
    <s v="BOLOGNESE"/>
    <n v="3000"/>
    <n v="107"/>
    <n v="321000"/>
    <m/>
  </r>
  <r>
    <x v="9"/>
    <s v="JUL"/>
    <x v="32"/>
    <s v="GRSM 6"/>
    <x v="2"/>
    <s v="GMM"/>
    <n v="211163"/>
    <n v="3703215"/>
    <x v="23"/>
    <x v="47"/>
    <s v="CARBONARA"/>
    <n v="3000"/>
    <n v="79"/>
    <n v="237000"/>
    <m/>
  </r>
  <r>
    <x v="9"/>
    <s v="JUL"/>
    <x v="32"/>
    <s v="GRSM 6"/>
    <x v="2"/>
    <s v="GMM"/>
    <n v="211163"/>
    <n v="3703215"/>
    <x v="23"/>
    <x v="47"/>
    <s v="AGLIO OLIO"/>
    <n v="3000"/>
    <n v="0"/>
    <n v="0"/>
    <m/>
  </r>
  <r>
    <x v="9"/>
    <s v="JUL"/>
    <x v="32"/>
    <s v="GRSM 6"/>
    <x v="2"/>
    <s v="GMM"/>
    <n v="211163"/>
    <n v="3703215"/>
    <x v="23"/>
    <x v="47"/>
    <s v="GORENG"/>
    <n v="3000"/>
    <n v="165"/>
    <n v="495000"/>
    <n v="82"/>
  </r>
  <r>
    <x v="9"/>
    <s v="JUL"/>
    <x v="32"/>
    <s v="GRSM 6"/>
    <x v="2"/>
    <s v="GMM"/>
    <n v="211139"/>
    <n v="3604550"/>
    <x v="26"/>
    <x v="53"/>
    <s v="BOLOGNESE"/>
    <n v="2800"/>
    <n v="78"/>
    <n v="218400"/>
    <m/>
  </r>
  <r>
    <x v="9"/>
    <s v="JUL"/>
    <x v="32"/>
    <s v="GRSM 6"/>
    <x v="2"/>
    <s v="GMM"/>
    <n v="211139"/>
    <n v="3604550"/>
    <x v="26"/>
    <x v="53"/>
    <s v="CARBONARA"/>
    <n v="2800"/>
    <n v="112"/>
    <n v="313600"/>
    <m/>
  </r>
  <r>
    <x v="9"/>
    <s v="JUL"/>
    <x v="32"/>
    <s v="GRSM 6"/>
    <x v="2"/>
    <s v="GMM"/>
    <n v="211139"/>
    <n v="3604550"/>
    <x v="26"/>
    <x v="53"/>
    <s v="AGLIO OLIO"/>
    <n v="2800"/>
    <n v="58"/>
    <n v="162400"/>
    <m/>
  </r>
  <r>
    <x v="9"/>
    <s v="JUL"/>
    <x v="32"/>
    <s v="GRSM 6"/>
    <x v="2"/>
    <s v="GMM"/>
    <n v="211139"/>
    <n v="3604550"/>
    <x v="26"/>
    <x v="53"/>
    <s v="GORENG"/>
    <n v="2800"/>
    <n v="186"/>
    <n v="520800"/>
    <n v="160"/>
  </r>
  <r>
    <x v="9"/>
    <s v="JUL"/>
    <x v="32"/>
    <s v="GRSM 6"/>
    <x v="2"/>
    <s v="GMM"/>
    <n v="211139"/>
    <n v="3604550"/>
    <x v="26"/>
    <x v="52"/>
    <s v="BOLOGNESE"/>
    <n v="2800"/>
    <n v="78"/>
    <n v="218400"/>
    <m/>
  </r>
  <r>
    <x v="9"/>
    <s v="JUL"/>
    <x v="32"/>
    <s v="GRSM 6"/>
    <x v="2"/>
    <s v="GMM"/>
    <n v="211139"/>
    <n v="3604550"/>
    <x v="26"/>
    <x v="52"/>
    <s v="CARBONARA"/>
    <n v="2800"/>
    <n v="112"/>
    <n v="313600"/>
    <m/>
  </r>
  <r>
    <x v="9"/>
    <s v="JUL"/>
    <x v="32"/>
    <s v="GRSM 6"/>
    <x v="2"/>
    <s v="GMM"/>
    <n v="211139"/>
    <n v="3604550"/>
    <x v="26"/>
    <x v="52"/>
    <s v="AGLIO OLIO"/>
    <n v="2800"/>
    <n v="58"/>
    <n v="162400"/>
    <m/>
  </r>
  <r>
    <x v="9"/>
    <s v="JUL"/>
    <x v="32"/>
    <s v="GRSM 6"/>
    <x v="2"/>
    <s v="GMM"/>
    <n v="211139"/>
    <n v="3604550"/>
    <x v="26"/>
    <x v="52"/>
    <s v="GORENG"/>
    <n v="2800"/>
    <n v="186"/>
    <n v="520800"/>
    <n v="160"/>
  </r>
  <r>
    <x v="9"/>
    <s v="JUL"/>
    <x v="32"/>
    <s v="GRSM 6"/>
    <x v="2"/>
    <s v="GMM"/>
    <n v="211033"/>
    <n v="2001021"/>
    <x v="27"/>
    <x v="54"/>
    <s v="BOLOGNESE"/>
    <n v="3000"/>
    <n v="65"/>
    <n v="195000"/>
    <m/>
  </r>
  <r>
    <x v="9"/>
    <s v="JUL"/>
    <x v="32"/>
    <s v="GRSM 6"/>
    <x v="2"/>
    <s v="GMM"/>
    <n v="211033"/>
    <n v="2001021"/>
    <x v="27"/>
    <x v="54"/>
    <s v="CARBONARA"/>
    <n v="3000"/>
    <n v="68"/>
    <n v="204000"/>
    <m/>
  </r>
  <r>
    <x v="9"/>
    <s v="JUL"/>
    <x v="32"/>
    <s v="GRSM 6"/>
    <x v="2"/>
    <s v="GMM"/>
    <n v="211033"/>
    <n v="2001021"/>
    <x v="27"/>
    <x v="54"/>
    <s v="AGLIO OLIO"/>
    <n v="3000"/>
    <n v="55"/>
    <n v="165000"/>
    <m/>
  </r>
  <r>
    <x v="9"/>
    <s v="JUL"/>
    <x v="32"/>
    <s v="GRSM 6"/>
    <x v="2"/>
    <s v="GMM"/>
    <n v="211033"/>
    <n v="2001021"/>
    <x v="27"/>
    <x v="54"/>
    <s v="GORENG"/>
    <n v="3000"/>
    <n v="214"/>
    <n v="642000"/>
    <n v="160"/>
  </r>
  <r>
    <x v="9"/>
    <s v="JUL"/>
    <x v="32"/>
    <s v="GRSM 6"/>
    <x v="2"/>
    <s v="GMM"/>
    <n v="211033"/>
    <n v="2001021"/>
    <x v="27"/>
    <x v="55"/>
    <s v="BOLOGNESE"/>
    <n v="3000"/>
    <n v="65"/>
    <n v="195000"/>
    <m/>
  </r>
  <r>
    <x v="9"/>
    <s v="JUL"/>
    <x v="32"/>
    <s v="GRSM 6"/>
    <x v="2"/>
    <s v="GMM"/>
    <n v="211033"/>
    <n v="2001021"/>
    <x v="27"/>
    <x v="55"/>
    <s v="CARBONARA"/>
    <n v="3000"/>
    <n v="68"/>
    <n v="204000"/>
    <m/>
  </r>
  <r>
    <x v="9"/>
    <s v="JUL"/>
    <x v="32"/>
    <s v="GRSM 6"/>
    <x v="2"/>
    <s v="GMM"/>
    <n v="211033"/>
    <n v="2001021"/>
    <x v="27"/>
    <x v="55"/>
    <s v="AGLIO OLIO"/>
    <n v="3000"/>
    <n v="55"/>
    <n v="165000"/>
    <m/>
  </r>
  <r>
    <x v="9"/>
    <s v="JUL"/>
    <x v="32"/>
    <s v="GRSM 6"/>
    <x v="2"/>
    <s v="GMM"/>
    <n v="211033"/>
    <n v="2001021"/>
    <x v="27"/>
    <x v="55"/>
    <s v="GORENG"/>
    <n v="3000"/>
    <n v="214"/>
    <n v="642000"/>
    <n v="160"/>
  </r>
  <r>
    <x v="9"/>
    <s v="JUL"/>
    <x v="32"/>
    <s v="GRSM 6"/>
    <x v="2"/>
    <s v="GMM"/>
    <n v="211163"/>
    <n v="3703219"/>
    <x v="22"/>
    <x v="45"/>
    <s v="BOLOGNESE"/>
    <n v="2900"/>
    <n v="0"/>
    <n v="0"/>
    <m/>
  </r>
  <r>
    <x v="9"/>
    <s v="JUL"/>
    <x v="32"/>
    <s v="GRSM 6"/>
    <x v="2"/>
    <s v="GMM"/>
    <n v="211163"/>
    <n v="3703219"/>
    <x v="22"/>
    <x v="45"/>
    <s v="CARBONARA"/>
    <n v="2900"/>
    <n v="193"/>
    <n v="559700"/>
    <m/>
  </r>
  <r>
    <x v="9"/>
    <s v="JUL"/>
    <x v="32"/>
    <s v="GRSM 6"/>
    <x v="2"/>
    <s v="GMM"/>
    <n v="211163"/>
    <n v="3703219"/>
    <x v="22"/>
    <x v="45"/>
    <s v="AGLIO OLIO"/>
    <n v="2900"/>
    <n v="0"/>
    <n v="0"/>
    <m/>
  </r>
  <r>
    <x v="9"/>
    <s v="JUL"/>
    <x v="32"/>
    <s v="GRSM 6"/>
    <x v="2"/>
    <s v="GMM"/>
    <n v="211163"/>
    <n v="3703219"/>
    <x v="22"/>
    <x v="45"/>
    <s v="GORENG"/>
    <n v="2900"/>
    <n v="375"/>
    <n v="1087500"/>
    <n v="160"/>
  </r>
  <r>
    <x v="9"/>
    <s v="JUL"/>
    <x v="32"/>
    <s v="GRSM 6"/>
    <x v="2"/>
    <s v="GMM"/>
    <n v="211163"/>
    <n v="3703219"/>
    <x v="22"/>
    <x v="44"/>
    <s v="BOLOGNESE"/>
    <n v="2900"/>
    <n v="0"/>
    <n v="0"/>
    <m/>
  </r>
  <r>
    <x v="9"/>
    <s v="JUL"/>
    <x v="32"/>
    <s v="GRSM 6"/>
    <x v="2"/>
    <s v="GMM"/>
    <n v="211163"/>
    <n v="3703219"/>
    <x v="22"/>
    <x v="44"/>
    <s v="CARBONARA"/>
    <n v="2900"/>
    <n v="193"/>
    <n v="559700"/>
    <m/>
  </r>
  <r>
    <x v="9"/>
    <s v="JUL"/>
    <x v="32"/>
    <s v="GRSM 6"/>
    <x v="2"/>
    <s v="GMM"/>
    <n v="211163"/>
    <n v="3703219"/>
    <x v="22"/>
    <x v="44"/>
    <s v="AGLIO OLIO"/>
    <n v="2900"/>
    <n v="0"/>
    <n v="0"/>
    <m/>
  </r>
  <r>
    <x v="9"/>
    <s v="JUL"/>
    <x v="32"/>
    <s v="GRSM 6"/>
    <x v="2"/>
    <s v="GMM"/>
    <n v="211163"/>
    <n v="3703219"/>
    <x v="22"/>
    <x v="44"/>
    <s v="GORENG"/>
    <n v="2900"/>
    <n v="375"/>
    <n v="1087500"/>
    <n v="160"/>
  </r>
  <r>
    <x v="9"/>
    <s v="AUG"/>
    <x v="33"/>
    <s v="GRSM 1"/>
    <x v="3"/>
    <s v="MT"/>
    <n v="122506"/>
    <n v="202879"/>
    <x v="28"/>
    <x v="60"/>
    <s v="BOLOGNESE"/>
    <n v="6400"/>
    <n v="37"/>
    <n v="236800"/>
    <m/>
  </r>
  <r>
    <x v="9"/>
    <s v="AUG"/>
    <x v="33"/>
    <s v="GRSM 1"/>
    <x v="3"/>
    <s v="MT"/>
    <n v="122506"/>
    <n v="202879"/>
    <x v="28"/>
    <x v="60"/>
    <s v="CARBONARA"/>
    <n v="6400"/>
    <n v="40"/>
    <n v="256000"/>
    <m/>
  </r>
  <r>
    <x v="9"/>
    <s v="AUG"/>
    <x v="33"/>
    <s v="GRSM 1"/>
    <x v="3"/>
    <s v="MT"/>
    <n v="122506"/>
    <n v="202879"/>
    <x v="28"/>
    <x v="60"/>
    <s v="AGLIO OLIO"/>
    <n v="6400"/>
    <n v="51"/>
    <n v="326400"/>
    <m/>
  </r>
  <r>
    <x v="9"/>
    <s v="AUG"/>
    <x v="33"/>
    <s v="GRSM 1"/>
    <x v="3"/>
    <s v="MT"/>
    <n v="122506"/>
    <n v="202879"/>
    <x v="28"/>
    <x v="60"/>
    <s v="GORENG"/>
    <n v="6400"/>
    <n v="87"/>
    <n v="556800"/>
    <n v="160"/>
  </r>
  <r>
    <x v="9"/>
    <s v="AUG"/>
    <x v="33"/>
    <s v="GRSM 1"/>
    <x v="3"/>
    <s v="MT"/>
    <n v="122506"/>
    <n v="202879"/>
    <x v="28"/>
    <x v="61"/>
    <s v="BOLOGNESE"/>
    <n v="6400"/>
    <n v="37"/>
    <n v="236800"/>
    <m/>
  </r>
  <r>
    <x v="9"/>
    <s v="AUG"/>
    <x v="33"/>
    <s v="GRSM 1"/>
    <x v="3"/>
    <s v="MT"/>
    <n v="122506"/>
    <n v="202879"/>
    <x v="28"/>
    <x v="61"/>
    <s v="CARBONARA"/>
    <n v="6400"/>
    <n v="40"/>
    <n v="256000"/>
    <m/>
  </r>
  <r>
    <x v="9"/>
    <s v="AUG"/>
    <x v="33"/>
    <s v="GRSM 1"/>
    <x v="3"/>
    <s v="MT"/>
    <n v="122506"/>
    <n v="202879"/>
    <x v="28"/>
    <x v="61"/>
    <s v="AGLIO OLIO"/>
    <n v="6400"/>
    <n v="51"/>
    <n v="326400"/>
    <m/>
  </r>
  <r>
    <x v="9"/>
    <s v="AUG"/>
    <x v="33"/>
    <s v="GRSM 1"/>
    <x v="3"/>
    <s v="MT"/>
    <n v="122506"/>
    <n v="202879"/>
    <x v="28"/>
    <x v="61"/>
    <s v="GORENG"/>
    <n v="6400"/>
    <n v="87"/>
    <n v="556800"/>
    <n v="160"/>
  </r>
  <r>
    <x v="9"/>
    <s v="AUG"/>
    <x v="33"/>
    <s v="GRSM 2"/>
    <x v="3"/>
    <s v="MT"/>
    <n v="175700"/>
    <n v="1370001"/>
    <x v="32"/>
    <x v="68"/>
    <s v="BOLOGNESE"/>
    <n v="2210"/>
    <n v="120"/>
    <n v="265200"/>
    <m/>
  </r>
  <r>
    <x v="9"/>
    <s v="AUG"/>
    <x v="33"/>
    <s v="GRSM 2"/>
    <x v="3"/>
    <s v="MT"/>
    <n v="175700"/>
    <n v="1370001"/>
    <x v="32"/>
    <x v="68"/>
    <s v="CARBONARA"/>
    <n v="2210"/>
    <n v="120"/>
    <n v="265200"/>
    <m/>
  </r>
  <r>
    <x v="9"/>
    <s v="AUG"/>
    <x v="33"/>
    <s v="GRSM 2"/>
    <x v="3"/>
    <s v="MT"/>
    <n v="175700"/>
    <n v="1370001"/>
    <x v="32"/>
    <x v="68"/>
    <s v="AGLIO OLIO"/>
    <n v="2210"/>
    <n v="80"/>
    <n v="176800"/>
    <m/>
  </r>
  <r>
    <x v="9"/>
    <s v="AUG"/>
    <x v="33"/>
    <s v="GRSM 2"/>
    <x v="3"/>
    <s v="MT"/>
    <n v="175700"/>
    <n v="1370001"/>
    <x v="32"/>
    <x v="68"/>
    <s v="GORENG"/>
    <n v="2210"/>
    <n v="180"/>
    <n v="397800"/>
    <n v="96"/>
  </r>
  <r>
    <x v="9"/>
    <s v="AUG"/>
    <x v="33"/>
    <s v="GRSM 2"/>
    <x v="3"/>
    <s v="MT"/>
    <n v="175700"/>
    <n v="1370001"/>
    <x v="32"/>
    <x v="69"/>
    <s v="BOLOGNESE"/>
    <n v="2210"/>
    <n v="120"/>
    <n v="265200"/>
    <m/>
  </r>
  <r>
    <x v="9"/>
    <s v="AUG"/>
    <x v="33"/>
    <s v="GRSM 2"/>
    <x v="3"/>
    <s v="MT"/>
    <n v="175700"/>
    <n v="1370001"/>
    <x v="32"/>
    <x v="69"/>
    <s v="CARBONARA"/>
    <n v="2210"/>
    <n v="120"/>
    <n v="265200"/>
    <m/>
  </r>
  <r>
    <x v="9"/>
    <s v="AUG"/>
    <x v="33"/>
    <s v="GRSM 2"/>
    <x v="3"/>
    <s v="MT"/>
    <n v="175700"/>
    <n v="1370001"/>
    <x v="32"/>
    <x v="69"/>
    <s v="AGLIO OLIO"/>
    <n v="2210"/>
    <n v="80"/>
    <n v="176800"/>
    <m/>
  </r>
  <r>
    <x v="9"/>
    <s v="AUG"/>
    <x v="33"/>
    <s v="GRSM 2"/>
    <x v="3"/>
    <s v="MT"/>
    <n v="175700"/>
    <n v="1370001"/>
    <x v="32"/>
    <x v="69"/>
    <s v="GORENG"/>
    <n v="2210"/>
    <n v="180"/>
    <n v="397800"/>
    <n v="96"/>
  </r>
  <r>
    <x v="9"/>
    <s v="AUG"/>
    <x v="33"/>
    <s v="GRSM 1"/>
    <x v="3"/>
    <s v="MT"/>
    <n v="122506"/>
    <n v="202816"/>
    <x v="29"/>
    <x v="66"/>
    <s v="BOLOGNESE"/>
    <n v="7000"/>
    <n v="31"/>
    <n v="217000"/>
    <m/>
  </r>
  <r>
    <x v="9"/>
    <s v="AUG"/>
    <x v="33"/>
    <s v="GRSM 1"/>
    <x v="3"/>
    <s v="MT"/>
    <n v="122506"/>
    <n v="202816"/>
    <x v="29"/>
    <x v="66"/>
    <s v="CARBONARA"/>
    <n v="7000"/>
    <n v="42"/>
    <n v="294000"/>
    <m/>
  </r>
  <r>
    <x v="9"/>
    <s v="AUG"/>
    <x v="33"/>
    <s v="GRSM 1"/>
    <x v="3"/>
    <s v="MT"/>
    <n v="122506"/>
    <n v="202816"/>
    <x v="29"/>
    <x v="66"/>
    <s v="AGLIO OLIO"/>
    <n v="7000"/>
    <n v="11"/>
    <n v="77000"/>
    <m/>
  </r>
  <r>
    <x v="9"/>
    <s v="AUG"/>
    <x v="33"/>
    <s v="GRSM 1"/>
    <x v="3"/>
    <s v="MT"/>
    <n v="122506"/>
    <n v="202816"/>
    <x v="29"/>
    <x v="66"/>
    <s v="GORENG"/>
    <n v="7000"/>
    <n v="49"/>
    <n v="343000"/>
    <n v="160"/>
  </r>
  <r>
    <x v="9"/>
    <s v="AUG"/>
    <x v="33"/>
    <s v="GRSM 1"/>
    <x v="3"/>
    <s v="MT"/>
    <n v="122506"/>
    <n v="202816"/>
    <x v="29"/>
    <x v="67"/>
    <s v="BOLOGNESE"/>
    <n v="7000"/>
    <n v="31"/>
    <n v="217000"/>
    <m/>
  </r>
  <r>
    <x v="9"/>
    <s v="AUG"/>
    <x v="33"/>
    <s v="GRSM 1"/>
    <x v="3"/>
    <s v="MT"/>
    <n v="122506"/>
    <n v="202816"/>
    <x v="29"/>
    <x v="67"/>
    <s v="CARBONARA"/>
    <n v="7000"/>
    <n v="42"/>
    <n v="294000"/>
    <m/>
  </r>
  <r>
    <x v="9"/>
    <s v="AUG"/>
    <x v="33"/>
    <s v="GRSM 1"/>
    <x v="3"/>
    <s v="MT"/>
    <n v="122506"/>
    <n v="202816"/>
    <x v="29"/>
    <x v="67"/>
    <s v="AGLIO OLIO"/>
    <n v="7000"/>
    <n v="11"/>
    <n v="77000"/>
    <m/>
  </r>
  <r>
    <x v="9"/>
    <s v="AUG"/>
    <x v="33"/>
    <s v="GRSM 1"/>
    <x v="3"/>
    <s v="MT"/>
    <n v="122506"/>
    <n v="202816"/>
    <x v="29"/>
    <x v="67"/>
    <s v="GORENG"/>
    <n v="7000"/>
    <n v="49"/>
    <n v="343000"/>
    <n v="160"/>
  </r>
  <r>
    <x v="9"/>
    <s v="AUG"/>
    <x v="33"/>
    <s v="GRSM 1"/>
    <x v="3"/>
    <s v="MT"/>
    <n v="122506"/>
    <n v="214300"/>
    <x v="31"/>
    <x v="62"/>
    <s v="BOLOGNESE"/>
    <n v="7000"/>
    <n v="30"/>
    <n v="210000"/>
    <m/>
  </r>
  <r>
    <x v="9"/>
    <s v="AUG"/>
    <x v="33"/>
    <s v="GRSM 1"/>
    <x v="3"/>
    <s v="MT"/>
    <n v="122506"/>
    <n v="214300"/>
    <x v="31"/>
    <x v="62"/>
    <s v="CARBONARA"/>
    <n v="7000"/>
    <n v="40"/>
    <n v="280000"/>
    <m/>
  </r>
  <r>
    <x v="9"/>
    <s v="AUG"/>
    <x v="33"/>
    <s v="GRSM 1"/>
    <x v="3"/>
    <s v="MT"/>
    <n v="122506"/>
    <n v="214300"/>
    <x v="31"/>
    <x v="62"/>
    <s v="AGLIO OLIO"/>
    <n v="7000"/>
    <n v="28"/>
    <n v="196000"/>
    <m/>
  </r>
  <r>
    <x v="9"/>
    <s v="AUG"/>
    <x v="33"/>
    <s v="GRSM 1"/>
    <x v="3"/>
    <s v="MT"/>
    <n v="122506"/>
    <n v="214300"/>
    <x v="31"/>
    <x v="62"/>
    <s v="GORENG"/>
    <n v="7000"/>
    <n v="88"/>
    <n v="616000"/>
    <n v="160"/>
  </r>
  <r>
    <x v="9"/>
    <s v="AUG"/>
    <x v="33"/>
    <s v="GRSM 1"/>
    <x v="3"/>
    <s v="MT"/>
    <n v="122506"/>
    <n v="214300"/>
    <x v="31"/>
    <x v="63"/>
    <s v="BOLOGNESE"/>
    <n v="7000"/>
    <n v="30"/>
    <n v="210000"/>
    <m/>
  </r>
  <r>
    <x v="9"/>
    <s v="AUG"/>
    <x v="33"/>
    <s v="GRSM 1"/>
    <x v="3"/>
    <s v="MT"/>
    <n v="122506"/>
    <n v="214300"/>
    <x v="31"/>
    <x v="63"/>
    <s v="CARBONARA"/>
    <n v="7000"/>
    <n v="40"/>
    <n v="280000"/>
    <m/>
  </r>
  <r>
    <x v="9"/>
    <s v="AUG"/>
    <x v="33"/>
    <s v="GRSM 1"/>
    <x v="3"/>
    <s v="MT"/>
    <n v="122506"/>
    <n v="214300"/>
    <x v="31"/>
    <x v="63"/>
    <s v="AGLIO OLIO"/>
    <n v="7000"/>
    <n v="28"/>
    <n v="196000"/>
    <m/>
  </r>
  <r>
    <x v="9"/>
    <s v="AUG"/>
    <x v="33"/>
    <s v="GRSM 1"/>
    <x v="3"/>
    <s v="MT"/>
    <n v="122506"/>
    <n v="214300"/>
    <x v="31"/>
    <x v="63"/>
    <s v="GORENG"/>
    <n v="7000"/>
    <n v="88"/>
    <n v="616000"/>
    <n v="160"/>
  </r>
  <r>
    <x v="9"/>
    <s v="AUG"/>
    <x v="33"/>
    <s v="GRSM 1"/>
    <x v="3"/>
    <s v="MT"/>
    <n v="122506"/>
    <n v="214422"/>
    <x v="30"/>
    <x v="65"/>
    <s v="BOLOGNESE"/>
    <n v="3200"/>
    <n v="40"/>
    <n v="128000"/>
    <m/>
  </r>
  <r>
    <x v="9"/>
    <s v="AUG"/>
    <x v="33"/>
    <s v="GRSM 1"/>
    <x v="3"/>
    <s v="MT"/>
    <n v="122506"/>
    <n v="214422"/>
    <x v="30"/>
    <x v="65"/>
    <s v="CARBONARA"/>
    <n v="3200"/>
    <n v="42"/>
    <n v="134400"/>
    <m/>
  </r>
  <r>
    <x v="9"/>
    <s v="AUG"/>
    <x v="33"/>
    <s v="GRSM 1"/>
    <x v="3"/>
    <s v="MT"/>
    <n v="122506"/>
    <n v="214422"/>
    <x v="30"/>
    <x v="65"/>
    <s v="AGLIO OLIO"/>
    <n v="3200"/>
    <n v="102"/>
    <n v="326400"/>
    <m/>
  </r>
  <r>
    <x v="9"/>
    <s v="AUG"/>
    <x v="33"/>
    <s v="GRSM 1"/>
    <x v="3"/>
    <s v="MT"/>
    <n v="122506"/>
    <n v="214422"/>
    <x v="30"/>
    <x v="65"/>
    <s v="GORENG"/>
    <n v="3200"/>
    <n v="84"/>
    <n v="268800"/>
    <n v="160"/>
  </r>
  <r>
    <x v="9"/>
    <s v="AUG"/>
    <x v="33"/>
    <s v="GRSM 1"/>
    <x v="3"/>
    <s v="MT"/>
    <n v="122506"/>
    <n v="214422"/>
    <x v="30"/>
    <x v="64"/>
    <s v="BOLOGNESE"/>
    <n v="3200"/>
    <n v="40"/>
    <n v="128000"/>
    <m/>
  </r>
  <r>
    <x v="9"/>
    <s v="AUG"/>
    <x v="33"/>
    <s v="GRSM 1"/>
    <x v="3"/>
    <s v="MT"/>
    <n v="122506"/>
    <n v="214422"/>
    <x v="30"/>
    <x v="64"/>
    <s v="CARBONARA"/>
    <n v="3200"/>
    <n v="42"/>
    <n v="134400"/>
    <m/>
  </r>
  <r>
    <x v="9"/>
    <s v="AUG"/>
    <x v="33"/>
    <s v="GRSM 1"/>
    <x v="3"/>
    <s v="MT"/>
    <n v="122506"/>
    <n v="214422"/>
    <x v="30"/>
    <x v="64"/>
    <s v="AGLIO OLIO"/>
    <n v="3200"/>
    <n v="102"/>
    <n v="326400"/>
    <m/>
  </r>
  <r>
    <x v="9"/>
    <s v="AUG"/>
    <x v="33"/>
    <s v="GRSM 1"/>
    <x v="3"/>
    <s v="MT"/>
    <n v="122506"/>
    <n v="214422"/>
    <x v="30"/>
    <x v="64"/>
    <s v="GORENG"/>
    <n v="3200"/>
    <n v="84"/>
    <n v="268800"/>
    <n v="160"/>
  </r>
  <r>
    <x v="9"/>
    <s v="AUG"/>
    <x v="34"/>
    <s v="GRSM 1"/>
    <x v="3"/>
    <s v="MT"/>
    <n v="122506"/>
    <n v="202879"/>
    <x v="28"/>
    <x v="60"/>
    <s v="BOLOGNESE"/>
    <n v="6400"/>
    <n v="37"/>
    <n v="236800"/>
    <m/>
  </r>
  <r>
    <x v="9"/>
    <s v="AUG"/>
    <x v="34"/>
    <s v="GRSM 1"/>
    <x v="3"/>
    <s v="MT"/>
    <n v="122506"/>
    <n v="202879"/>
    <x v="28"/>
    <x v="60"/>
    <s v="CARBONARA"/>
    <n v="6400"/>
    <n v="40"/>
    <n v="256000"/>
    <m/>
  </r>
  <r>
    <x v="9"/>
    <s v="AUG"/>
    <x v="34"/>
    <s v="GRSM 1"/>
    <x v="3"/>
    <s v="MT"/>
    <n v="122506"/>
    <n v="202879"/>
    <x v="28"/>
    <x v="60"/>
    <s v="AGLIO OLIO"/>
    <n v="6400"/>
    <n v="187"/>
    <n v="1196800"/>
    <m/>
  </r>
  <r>
    <x v="9"/>
    <s v="AUG"/>
    <x v="34"/>
    <s v="GRSM 1"/>
    <x v="3"/>
    <s v="MT"/>
    <n v="122506"/>
    <n v="202879"/>
    <x v="28"/>
    <x v="60"/>
    <s v="GORENG"/>
    <n v="6400"/>
    <n v="87"/>
    <n v="556800"/>
    <n v="160"/>
  </r>
  <r>
    <x v="9"/>
    <s v="AUG"/>
    <x v="34"/>
    <s v="GRSM 1"/>
    <x v="3"/>
    <s v="MT"/>
    <n v="122506"/>
    <n v="202879"/>
    <x v="28"/>
    <x v="61"/>
    <s v="BOLOGNESE"/>
    <n v="6400"/>
    <n v="37"/>
    <n v="236800"/>
    <m/>
  </r>
  <r>
    <x v="9"/>
    <s v="AUG"/>
    <x v="34"/>
    <s v="GRSM 1"/>
    <x v="3"/>
    <s v="MT"/>
    <n v="122506"/>
    <n v="202879"/>
    <x v="28"/>
    <x v="61"/>
    <s v="CARBONARA"/>
    <n v="6400"/>
    <n v="40"/>
    <n v="256000"/>
    <m/>
  </r>
  <r>
    <x v="9"/>
    <s v="AUG"/>
    <x v="34"/>
    <s v="GRSM 1"/>
    <x v="3"/>
    <s v="MT"/>
    <n v="122506"/>
    <n v="202879"/>
    <x v="28"/>
    <x v="61"/>
    <s v="AGLIO OLIO"/>
    <n v="6400"/>
    <n v="187"/>
    <n v="1196800"/>
    <m/>
  </r>
  <r>
    <x v="9"/>
    <s v="AUG"/>
    <x v="34"/>
    <s v="GRSM 1"/>
    <x v="3"/>
    <s v="MT"/>
    <n v="122506"/>
    <n v="202879"/>
    <x v="28"/>
    <x v="61"/>
    <s v="GORENG"/>
    <n v="6400"/>
    <n v="87"/>
    <n v="556800"/>
    <n v="160"/>
  </r>
  <r>
    <x v="9"/>
    <s v="AUG"/>
    <x v="34"/>
    <s v="GRSM 2"/>
    <x v="3"/>
    <s v="MT"/>
    <n v="175700"/>
    <n v="1370001"/>
    <x v="32"/>
    <x v="68"/>
    <s v="BOLOGNESE"/>
    <n v="2210"/>
    <n v="120"/>
    <n v="265200"/>
    <m/>
  </r>
  <r>
    <x v="9"/>
    <s v="AUG"/>
    <x v="34"/>
    <s v="GRSM 2"/>
    <x v="3"/>
    <s v="MT"/>
    <n v="175700"/>
    <n v="1370001"/>
    <x v="32"/>
    <x v="68"/>
    <s v="CARBONARA"/>
    <n v="2210"/>
    <n v="120"/>
    <n v="265200"/>
    <m/>
  </r>
  <r>
    <x v="9"/>
    <s v="AUG"/>
    <x v="34"/>
    <s v="GRSM 2"/>
    <x v="3"/>
    <s v="MT"/>
    <n v="175700"/>
    <n v="1370001"/>
    <x v="32"/>
    <x v="68"/>
    <s v="AGLIO OLIO"/>
    <n v="2210"/>
    <n v="80"/>
    <n v="176800"/>
    <m/>
  </r>
  <r>
    <x v="9"/>
    <s v="AUG"/>
    <x v="34"/>
    <s v="GRSM 2"/>
    <x v="3"/>
    <s v="MT"/>
    <n v="175700"/>
    <n v="1370001"/>
    <x v="32"/>
    <x v="68"/>
    <s v="GORENG"/>
    <n v="2210"/>
    <n v="80"/>
    <n v="176800"/>
    <n v="92"/>
  </r>
  <r>
    <x v="9"/>
    <s v="AUG"/>
    <x v="34"/>
    <s v="GRSM 2"/>
    <x v="3"/>
    <s v="MT"/>
    <n v="175700"/>
    <n v="1370001"/>
    <x v="32"/>
    <x v="69"/>
    <s v="BOLOGNESE"/>
    <n v="2210"/>
    <n v="120"/>
    <n v="265200"/>
    <m/>
  </r>
  <r>
    <x v="9"/>
    <s v="AUG"/>
    <x v="34"/>
    <s v="GRSM 2"/>
    <x v="3"/>
    <s v="MT"/>
    <n v="175700"/>
    <n v="1370001"/>
    <x v="32"/>
    <x v="69"/>
    <s v="CARBONARA"/>
    <n v="2210"/>
    <n v="120"/>
    <n v="265200"/>
    <m/>
  </r>
  <r>
    <x v="9"/>
    <s v="AUG"/>
    <x v="34"/>
    <s v="GRSM 2"/>
    <x v="3"/>
    <s v="MT"/>
    <n v="175700"/>
    <n v="1370001"/>
    <x v="32"/>
    <x v="69"/>
    <s v="AGLIO OLIO"/>
    <n v="2210"/>
    <n v="80"/>
    <n v="176800"/>
    <m/>
  </r>
  <r>
    <x v="9"/>
    <s v="AUG"/>
    <x v="34"/>
    <s v="GRSM 2"/>
    <x v="3"/>
    <s v="MT"/>
    <n v="175700"/>
    <n v="1370001"/>
    <x v="32"/>
    <x v="69"/>
    <s v="GORENG"/>
    <n v="2210"/>
    <n v="80"/>
    <n v="176800"/>
    <n v="92"/>
  </r>
  <r>
    <x v="9"/>
    <s v="AUG"/>
    <x v="34"/>
    <s v="GRSM 1"/>
    <x v="3"/>
    <s v="MT"/>
    <n v="122506"/>
    <n v="214300"/>
    <x v="31"/>
    <x v="62"/>
    <s v="BOLOGNESE"/>
    <n v="7000"/>
    <n v="28"/>
    <n v="196000"/>
    <m/>
  </r>
  <r>
    <x v="9"/>
    <s v="AUG"/>
    <x v="34"/>
    <s v="GRSM 1"/>
    <x v="3"/>
    <s v="MT"/>
    <n v="122506"/>
    <n v="214300"/>
    <x v="31"/>
    <x v="62"/>
    <s v="CARBONARA"/>
    <n v="7000"/>
    <n v="50"/>
    <n v="350000"/>
    <m/>
  </r>
  <r>
    <x v="9"/>
    <s v="AUG"/>
    <x v="34"/>
    <s v="GRSM 1"/>
    <x v="3"/>
    <s v="MT"/>
    <n v="122506"/>
    <n v="214300"/>
    <x v="31"/>
    <x v="62"/>
    <s v="AGLIO OLIO"/>
    <n v="7000"/>
    <n v="40"/>
    <n v="280000"/>
    <m/>
  </r>
  <r>
    <x v="9"/>
    <s v="AUG"/>
    <x v="34"/>
    <s v="GRSM 1"/>
    <x v="3"/>
    <s v="MT"/>
    <n v="122506"/>
    <n v="214300"/>
    <x v="31"/>
    <x v="62"/>
    <s v="GORENG"/>
    <n v="7000"/>
    <n v="94"/>
    <n v="658000"/>
    <n v="160"/>
  </r>
  <r>
    <x v="9"/>
    <s v="AUG"/>
    <x v="34"/>
    <s v="GRSM 1"/>
    <x v="3"/>
    <s v="MT"/>
    <n v="122506"/>
    <n v="214300"/>
    <x v="31"/>
    <x v="63"/>
    <s v="BOLOGNESE"/>
    <n v="7000"/>
    <n v="28"/>
    <n v="196000"/>
    <m/>
  </r>
  <r>
    <x v="9"/>
    <s v="AUG"/>
    <x v="34"/>
    <s v="GRSM 1"/>
    <x v="3"/>
    <s v="MT"/>
    <n v="122506"/>
    <n v="214300"/>
    <x v="31"/>
    <x v="63"/>
    <s v="CARBONARA"/>
    <n v="7000"/>
    <n v="50"/>
    <n v="350000"/>
    <m/>
  </r>
  <r>
    <x v="9"/>
    <s v="AUG"/>
    <x v="34"/>
    <s v="GRSM 1"/>
    <x v="3"/>
    <s v="MT"/>
    <n v="122506"/>
    <n v="214300"/>
    <x v="31"/>
    <x v="63"/>
    <s v="AGLIO OLIO"/>
    <n v="7000"/>
    <n v="40"/>
    <n v="280000"/>
    <m/>
  </r>
  <r>
    <x v="9"/>
    <s v="AUG"/>
    <x v="34"/>
    <s v="GRSM 1"/>
    <x v="3"/>
    <s v="MT"/>
    <n v="122506"/>
    <n v="214300"/>
    <x v="31"/>
    <x v="63"/>
    <s v="GORENG"/>
    <n v="7000"/>
    <n v="94"/>
    <n v="658000"/>
    <n v="160"/>
  </r>
  <r>
    <x v="9"/>
    <s v="AUG"/>
    <x v="34"/>
    <s v="GRSM 1"/>
    <x v="3"/>
    <s v="MT"/>
    <n v="122506"/>
    <n v="214422"/>
    <x v="30"/>
    <x v="65"/>
    <s v="BOLOGNESE"/>
    <n v="3200"/>
    <n v="40"/>
    <n v="128000"/>
    <m/>
  </r>
  <r>
    <x v="9"/>
    <s v="AUG"/>
    <x v="34"/>
    <s v="GRSM 1"/>
    <x v="3"/>
    <s v="MT"/>
    <n v="122506"/>
    <n v="214422"/>
    <x v="30"/>
    <x v="65"/>
    <s v="CARBONARA"/>
    <n v="3200"/>
    <n v="42"/>
    <n v="134400"/>
    <m/>
  </r>
  <r>
    <x v="9"/>
    <s v="AUG"/>
    <x v="34"/>
    <s v="GRSM 1"/>
    <x v="3"/>
    <s v="MT"/>
    <n v="122506"/>
    <n v="214422"/>
    <x v="30"/>
    <x v="65"/>
    <s v="AGLIO OLIO"/>
    <n v="3200"/>
    <n v="82"/>
    <n v="262400"/>
    <m/>
  </r>
  <r>
    <x v="9"/>
    <s v="AUG"/>
    <x v="34"/>
    <s v="GRSM 1"/>
    <x v="3"/>
    <s v="MT"/>
    <n v="122506"/>
    <n v="214422"/>
    <x v="30"/>
    <x v="65"/>
    <s v="GORENG"/>
    <n v="3200"/>
    <n v="84"/>
    <n v="268800"/>
    <n v="160"/>
  </r>
  <r>
    <x v="9"/>
    <s v="AUG"/>
    <x v="34"/>
    <s v="GRSM 1"/>
    <x v="3"/>
    <s v="MT"/>
    <n v="122506"/>
    <n v="214422"/>
    <x v="30"/>
    <x v="64"/>
    <s v="BOLOGNESE"/>
    <n v="3200"/>
    <n v="40"/>
    <n v="128000"/>
    <m/>
  </r>
  <r>
    <x v="9"/>
    <s v="AUG"/>
    <x v="34"/>
    <s v="GRSM 1"/>
    <x v="3"/>
    <s v="MT"/>
    <n v="122506"/>
    <n v="214422"/>
    <x v="30"/>
    <x v="64"/>
    <s v="CARBONARA"/>
    <n v="3200"/>
    <n v="42"/>
    <n v="134400"/>
    <m/>
  </r>
  <r>
    <x v="9"/>
    <s v="AUG"/>
    <x v="34"/>
    <s v="GRSM 1"/>
    <x v="3"/>
    <s v="MT"/>
    <n v="122506"/>
    <n v="214422"/>
    <x v="30"/>
    <x v="64"/>
    <s v="AGLIO OLIO"/>
    <n v="3200"/>
    <n v="82"/>
    <n v="262400"/>
    <m/>
  </r>
  <r>
    <x v="9"/>
    <s v="AUG"/>
    <x v="34"/>
    <s v="GRSM 1"/>
    <x v="3"/>
    <s v="MT"/>
    <n v="122506"/>
    <n v="214422"/>
    <x v="30"/>
    <x v="64"/>
    <s v="GORENG"/>
    <n v="3200"/>
    <n v="84"/>
    <n v="268800"/>
    <n v="160"/>
  </r>
  <r>
    <x v="9"/>
    <s v="AUG"/>
    <x v="34"/>
    <s v="GRSM 1"/>
    <x v="3"/>
    <s v="MT"/>
    <n v="122506"/>
    <n v="202816"/>
    <x v="29"/>
    <x v="66"/>
    <s v="BOLOGNESE"/>
    <n v="7000"/>
    <n v="55"/>
    <n v="385000"/>
    <m/>
  </r>
  <r>
    <x v="9"/>
    <s v="AUG"/>
    <x v="34"/>
    <s v="GRSM 1"/>
    <x v="3"/>
    <s v="MT"/>
    <n v="122506"/>
    <n v="202816"/>
    <x v="29"/>
    <x v="66"/>
    <s v="CARBONARA"/>
    <n v="7000"/>
    <n v="66"/>
    <n v="462000"/>
    <m/>
  </r>
  <r>
    <x v="9"/>
    <s v="AUG"/>
    <x v="34"/>
    <s v="GRSM 1"/>
    <x v="3"/>
    <s v="MT"/>
    <n v="122506"/>
    <n v="202816"/>
    <x v="29"/>
    <x v="66"/>
    <s v="AGLIO OLIO"/>
    <n v="7000"/>
    <n v="20"/>
    <n v="140000"/>
    <m/>
  </r>
  <r>
    <x v="9"/>
    <s v="AUG"/>
    <x v="34"/>
    <s v="GRSM 1"/>
    <x v="3"/>
    <s v="MT"/>
    <n v="122506"/>
    <n v="202816"/>
    <x v="29"/>
    <x v="66"/>
    <s v="GORENG"/>
    <n v="7000"/>
    <n v="86"/>
    <n v="602000"/>
    <n v="160"/>
  </r>
  <r>
    <x v="9"/>
    <s v="AUG"/>
    <x v="34"/>
    <s v="GRSM 1"/>
    <x v="3"/>
    <s v="MT"/>
    <n v="122506"/>
    <n v="202816"/>
    <x v="29"/>
    <x v="67"/>
    <s v="BOLOGNESE"/>
    <n v="7000"/>
    <n v="55"/>
    <n v="385000"/>
    <m/>
  </r>
  <r>
    <x v="9"/>
    <s v="AUG"/>
    <x v="34"/>
    <s v="GRSM 1"/>
    <x v="3"/>
    <s v="MT"/>
    <n v="122506"/>
    <n v="202816"/>
    <x v="29"/>
    <x v="67"/>
    <s v="CARBONARA"/>
    <n v="7000"/>
    <n v="66"/>
    <n v="462000"/>
    <m/>
  </r>
  <r>
    <x v="9"/>
    <s v="AUG"/>
    <x v="34"/>
    <s v="GRSM 1"/>
    <x v="3"/>
    <s v="MT"/>
    <n v="122506"/>
    <n v="202816"/>
    <x v="29"/>
    <x v="67"/>
    <s v="AGLIO OLIO"/>
    <n v="7000"/>
    <n v="20"/>
    <n v="140000"/>
    <m/>
  </r>
  <r>
    <x v="9"/>
    <s v="AUG"/>
    <x v="34"/>
    <s v="GRSM 1"/>
    <x v="3"/>
    <s v="MT"/>
    <n v="122506"/>
    <n v="202816"/>
    <x v="29"/>
    <x v="67"/>
    <s v="GORENG"/>
    <n v="7000"/>
    <n v="86"/>
    <n v="602000"/>
    <n v="160"/>
  </r>
  <r>
    <x v="9"/>
    <s v="AUG"/>
    <x v="33"/>
    <s v="GRSM 6"/>
    <x v="2"/>
    <s v="GMM"/>
    <n v="211163"/>
    <n v="3703215"/>
    <x v="23"/>
    <x v="46"/>
    <s v="BOLOGNESE"/>
    <n v="3000"/>
    <n v="153"/>
    <n v="459000"/>
    <m/>
  </r>
  <r>
    <x v="9"/>
    <s v="AUG"/>
    <x v="33"/>
    <s v="GRSM 6"/>
    <x v="2"/>
    <s v="GMM"/>
    <n v="211163"/>
    <n v="3703215"/>
    <x v="23"/>
    <x v="46"/>
    <s v="CARBONARA"/>
    <n v="3000"/>
    <n v="132"/>
    <n v="396000"/>
    <m/>
  </r>
  <r>
    <x v="9"/>
    <s v="AUG"/>
    <x v="33"/>
    <s v="GRSM 6"/>
    <x v="2"/>
    <s v="GMM"/>
    <n v="211163"/>
    <n v="3703215"/>
    <x v="23"/>
    <x v="46"/>
    <s v="AGLIO OLIO"/>
    <n v="3000"/>
    <n v="0"/>
    <n v="0"/>
    <m/>
  </r>
  <r>
    <x v="9"/>
    <s v="AUG"/>
    <x v="33"/>
    <s v="GRSM 6"/>
    <x v="2"/>
    <s v="GMM"/>
    <n v="211163"/>
    <n v="3703215"/>
    <x v="23"/>
    <x v="46"/>
    <s v="GORENG"/>
    <n v="3000"/>
    <n v="208"/>
    <n v="624000"/>
    <n v="85"/>
  </r>
  <r>
    <x v="9"/>
    <s v="AUG"/>
    <x v="33"/>
    <s v="GRSM 6"/>
    <x v="2"/>
    <s v="GMM"/>
    <n v="211163"/>
    <n v="3703215"/>
    <x v="23"/>
    <x v="47"/>
    <s v="BOLOGNESE"/>
    <n v="3000"/>
    <n v="153"/>
    <n v="459000"/>
    <m/>
  </r>
  <r>
    <x v="9"/>
    <s v="AUG"/>
    <x v="33"/>
    <s v="GRSM 6"/>
    <x v="2"/>
    <s v="GMM"/>
    <n v="211163"/>
    <n v="3703215"/>
    <x v="23"/>
    <x v="47"/>
    <s v="CARBONARA"/>
    <n v="3000"/>
    <n v="132"/>
    <n v="396000"/>
    <m/>
  </r>
  <r>
    <x v="9"/>
    <s v="AUG"/>
    <x v="33"/>
    <s v="GRSM 6"/>
    <x v="2"/>
    <s v="GMM"/>
    <n v="211163"/>
    <n v="3703215"/>
    <x v="23"/>
    <x v="47"/>
    <s v="AGLIO OLIO"/>
    <n v="3000"/>
    <n v="0"/>
    <n v="0"/>
    <m/>
  </r>
  <r>
    <x v="9"/>
    <s v="AUG"/>
    <x v="33"/>
    <s v="GRSM 6"/>
    <x v="2"/>
    <s v="GMM"/>
    <n v="211163"/>
    <n v="3703215"/>
    <x v="23"/>
    <x v="47"/>
    <s v="GORENG"/>
    <n v="3000"/>
    <n v="208"/>
    <n v="624000"/>
    <n v="85"/>
  </r>
  <r>
    <x v="9"/>
    <s v="AUG"/>
    <x v="33"/>
    <s v="GRSM 6"/>
    <x v="2"/>
    <s v="GMM"/>
    <n v="211139"/>
    <n v="3604550"/>
    <x v="26"/>
    <x v="52"/>
    <s v="BOLOGNESE"/>
    <n v="2800"/>
    <n v="70"/>
    <n v="196000"/>
    <m/>
  </r>
  <r>
    <x v="9"/>
    <s v="AUG"/>
    <x v="33"/>
    <s v="GRSM 6"/>
    <x v="2"/>
    <s v="GMM"/>
    <n v="211139"/>
    <n v="3604550"/>
    <x v="26"/>
    <x v="52"/>
    <s v="CARBONARA"/>
    <n v="2800"/>
    <n v="238"/>
    <n v="666400"/>
    <m/>
  </r>
  <r>
    <x v="9"/>
    <s v="AUG"/>
    <x v="33"/>
    <s v="GRSM 6"/>
    <x v="2"/>
    <s v="GMM"/>
    <n v="211139"/>
    <n v="3604550"/>
    <x v="26"/>
    <x v="52"/>
    <s v="AGLIO OLIO"/>
    <n v="2800"/>
    <n v="40"/>
    <n v="112000"/>
    <m/>
  </r>
  <r>
    <x v="9"/>
    <s v="AUG"/>
    <x v="33"/>
    <s v="GRSM 6"/>
    <x v="2"/>
    <s v="GMM"/>
    <n v="211139"/>
    <n v="3604550"/>
    <x v="26"/>
    <x v="52"/>
    <s v="GORENG"/>
    <n v="2800"/>
    <n v="224"/>
    <n v="627200"/>
    <n v="160"/>
  </r>
  <r>
    <x v="9"/>
    <s v="AUG"/>
    <x v="33"/>
    <s v="GRSM 6"/>
    <x v="2"/>
    <s v="GMM"/>
    <n v="211139"/>
    <n v="3604550"/>
    <x v="26"/>
    <x v="53"/>
    <s v="BOLOGNESE"/>
    <n v="2800"/>
    <n v="70"/>
    <n v="196000"/>
    <m/>
  </r>
  <r>
    <x v="9"/>
    <s v="AUG"/>
    <x v="33"/>
    <s v="GRSM 6"/>
    <x v="2"/>
    <s v="GMM"/>
    <n v="211139"/>
    <n v="3604550"/>
    <x v="26"/>
    <x v="53"/>
    <s v="CARBONARA"/>
    <n v="2800"/>
    <n v="238"/>
    <n v="666400"/>
    <m/>
  </r>
  <r>
    <x v="9"/>
    <s v="AUG"/>
    <x v="33"/>
    <s v="GRSM 6"/>
    <x v="2"/>
    <s v="GMM"/>
    <n v="211139"/>
    <n v="3604550"/>
    <x v="26"/>
    <x v="53"/>
    <s v="AGLIO OLIO"/>
    <n v="2800"/>
    <n v="40"/>
    <n v="112000"/>
    <m/>
  </r>
  <r>
    <x v="9"/>
    <s v="AUG"/>
    <x v="33"/>
    <s v="GRSM 6"/>
    <x v="2"/>
    <s v="GMM"/>
    <n v="211139"/>
    <n v="3604550"/>
    <x v="26"/>
    <x v="53"/>
    <s v="GORENG"/>
    <n v="2800"/>
    <n v="224"/>
    <n v="627200"/>
    <n v="160"/>
  </r>
  <r>
    <x v="9"/>
    <s v="AUG"/>
    <x v="33"/>
    <s v="GRSM 6"/>
    <x v="2"/>
    <s v="GMM"/>
    <n v="211033"/>
    <n v="2001021"/>
    <x v="27"/>
    <x v="54"/>
    <s v="BOLOGNESE"/>
    <n v="3000"/>
    <n v="105"/>
    <n v="315000"/>
    <m/>
  </r>
  <r>
    <x v="9"/>
    <s v="AUG"/>
    <x v="33"/>
    <s v="GRSM 6"/>
    <x v="2"/>
    <s v="GMM"/>
    <n v="211033"/>
    <n v="2001021"/>
    <x v="27"/>
    <x v="54"/>
    <s v="CARBONARA"/>
    <n v="3000"/>
    <n v="105"/>
    <n v="315000"/>
    <m/>
  </r>
  <r>
    <x v="9"/>
    <s v="AUG"/>
    <x v="33"/>
    <s v="GRSM 6"/>
    <x v="2"/>
    <s v="GMM"/>
    <n v="211033"/>
    <n v="2001021"/>
    <x v="27"/>
    <x v="54"/>
    <s v="AGLIO OLIO"/>
    <n v="3000"/>
    <n v="75"/>
    <n v="225000"/>
    <m/>
  </r>
  <r>
    <x v="9"/>
    <s v="AUG"/>
    <x v="33"/>
    <s v="GRSM 6"/>
    <x v="2"/>
    <s v="GMM"/>
    <n v="211033"/>
    <n v="2001021"/>
    <x v="27"/>
    <x v="54"/>
    <s v="GORENG"/>
    <n v="3000"/>
    <n v="210"/>
    <n v="630000"/>
    <n v="160"/>
  </r>
  <r>
    <x v="9"/>
    <s v="AUG"/>
    <x v="33"/>
    <s v="GRSM 6"/>
    <x v="2"/>
    <s v="GMM"/>
    <n v="211033"/>
    <n v="2001021"/>
    <x v="27"/>
    <x v="55"/>
    <s v="BOLOGNESE"/>
    <n v="3000"/>
    <n v="105"/>
    <n v="315000"/>
    <m/>
  </r>
  <r>
    <x v="9"/>
    <s v="AUG"/>
    <x v="33"/>
    <s v="GRSM 6"/>
    <x v="2"/>
    <s v="GMM"/>
    <n v="211033"/>
    <n v="2001021"/>
    <x v="27"/>
    <x v="55"/>
    <s v="CARBONARA"/>
    <n v="3000"/>
    <n v="105"/>
    <n v="315000"/>
    <m/>
  </r>
  <r>
    <x v="9"/>
    <s v="AUG"/>
    <x v="33"/>
    <s v="GRSM 6"/>
    <x v="2"/>
    <s v="GMM"/>
    <n v="211033"/>
    <n v="2001021"/>
    <x v="27"/>
    <x v="55"/>
    <s v="AGLIO OLIO"/>
    <n v="3000"/>
    <n v="75"/>
    <n v="225000"/>
    <m/>
  </r>
  <r>
    <x v="9"/>
    <s v="AUG"/>
    <x v="33"/>
    <s v="GRSM 6"/>
    <x v="2"/>
    <s v="GMM"/>
    <n v="211033"/>
    <n v="2001021"/>
    <x v="27"/>
    <x v="55"/>
    <s v="GORENG"/>
    <n v="3000"/>
    <n v="210"/>
    <n v="630000"/>
    <n v="160"/>
  </r>
  <r>
    <x v="9"/>
    <s v="AUG"/>
    <x v="33"/>
    <s v="GRSM 6"/>
    <x v="2"/>
    <s v="GMM"/>
    <n v="211033"/>
    <n v="6467246"/>
    <x v="21"/>
    <x v="42"/>
    <s v="BOLOGNESE"/>
    <n v="3100"/>
    <n v="181"/>
    <n v="561100"/>
    <m/>
  </r>
  <r>
    <x v="9"/>
    <s v="AUG"/>
    <x v="33"/>
    <s v="GRSM 6"/>
    <x v="2"/>
    <s v="GMM"/>
    <n v="211033"/>
    <n v="6467246"/>
    <x v="21"/>
    <x v="42"/>
    <s v="CARBONARA"/>
    <n v="3100"/>
    <n v="174"/>
    <n v="539400"/>
    <m/>
  </r>
  <r>
    <x v="9"/>
    <s v="AUG"/>
    <x v="33"/>
    <s v="GRSM 6"/>
    <x v="2"/>
    <s v="GMM"/>
    <n v="211033"/>
    <n v="6467246"/>
    <x v="21"/>
    <x v="42"/>
    <s v="AGLIO OLIO"/>
    <n v="3100"/>
    <n v="74"/>
    <n v="229400"/>
    <m/>
  </r>
  <r>
    <x v="9"/>
    <s v="AUG"/>
    <x v="33"/>
    <s v="GRSM 6"/>
    <x v="2"/>
    <s v="GMM"/>
    <n v="211033"/>
    <n v="6467246"/>
    <x v="21"/>
    <x v="42"/>
    <s v="GORENG"/>
    <n v="3100"/>
    <n v="292"/>
    <n v="905200"/>
    <n v="160"/>
  </r>
  <r>
    <x v="9"/>
    <s v="AUG"/>
    <x v="33"/>
    <s v="GRSM 6"/>
    <x v="2"/>
    <s v="GMM"/>
    <n v="211033"/>
    <n v="6467246"/>
    <x v="21"/>
    <x v="43"/>
    <s v="BOLOGNESE"/>
    <n v="3100"/>
    <n v="181"/>
    <n v="561100"/>
    <m/>
  </r>
  <r>
    <x v="9"/>
    <s v="AUG"/>
    <x v="33"/>
    <s v="GRSM 6"/>
    <x v="2"/>
    <s v="GMM"/>
    <n v="211033"/>
    <n v="6467246"/>
    <x v="21"/>
    <x v="43"/>
    <s v="CARBONARA"/>
    <n v="3100"/>
    <n v="174"/>
    <n v="539400"/>
    <m/>
  </r>
  <r>
    <x v="9"/>
    <s v="AUG"/>
    <x v="33"/>
    <s v="GRSM 6"/>
    <x v="2"/>
    <s v="GMM"/>
    <n v="211033"/>
    <n v="6467246"/>
    <x v="21"/>
    <x v="43"/>
    <s v="AGLIO OLIO"/>
    <n v="3100"/>
    <n v="74"/>
    <n v="229400"/>
    <m/>
  </r>
  <r>
    <x v="9"/>
    <s v="AUG"/>
    <x v="33"/>
    <s v="GRSM 6"/>
    <x v="2"/>
    <s v="GMM"/>
    <n v="211033"/>
    <n v="6467246"/>
    <x v="21"/>
    <x v="43"/>
    <s v="GORENG"/>
    <n v="3100"/>
    <n v="292"/>
    <n v="905200"/>
    <n v="160"/>
  </r>
  <r>
    <x v="9"/>
    <s v="AUG"/>
    <x v="34"/>
    <s v="GRSM 6"/>
    <x v="2"/>
    <s v="GMM"/>
    <n v="211033"/>
    <n v="6467246"/>
    <x v="21"/>
    <x v="42"/>
    <s v="BOLOGNESE"/>
    <n v="3100"/>
    <n v="94"/>
    <n v="291400"/>
    <m/>
  </r>
  <r>
    <x v="9"/>
    <s v="AUG"/>
    <x v="34"/>
    <s v="GRSM 6"/>
    <x v="2"/>
    <s v="GMM"/>
    <n v="211033"/>
    <n v="6467246"/>
    <x v="21"/>
    <x v="42"/>
    <s v="CARBONARA"/>
    <n v="3100"/>
    <n v="174"/>
    <n v="539400"/>
    <m/>
  </r>
  <r>
    <x v="9"/>
    <s v="AUG"/>
    <x v="34"/>
    <s v="GRSM 6"/>
    <x v="2"/>
    <s v="GMM"/>
    <n v="211033"/>
    <n v="6467246"/>
    <x v="21"/>
    <x v="42"/>
    <s v="AGLIO OLIO"/>
    <n v="3100"/>
    <n v="90"/>
    <n v="279000"/>
    <m/>
  </r>
  <r>
    <x v="9"/>
    <s v="AUG"/>
    <x v="34"/>
    <s v="GRSM 6"/>
    <x v="2"/>
    <s v="GMM"/>
    <n v="211033"/>
    <n v="6467246"/>
    <x v="21"/>
    <x v="42"/>
    <s v="GORENG"/>
    <n v="3100"/>
    <n v="383"/>
    <n v="1187300"/>
    <n v="160"/>
  </r>
  <r>
    <x v="9"/>
    <s v="AUG"/>
    <x v="34"/>
    <s v="GRSM 6"/>
    <x v="2"/>
    <s v="GMM"/>
    <n v="211033"/>
    <n v="6467246"/>
    <x v="21"/>
    <x v="43"/>
    <s v="BOLOGNESE"/>
    <n v="3100"/>
    <n v="94"/>
    <n v="291400"/>
    <m/>
  </r>
  <r>
    <x v="9"/>
    <s v="AUG"/>
    <x v="34"/>
    <s v="GRSM 6"/>
    <x v="2"/>
    <s v="GMM"/>
    <n v="211033"/>
    <n v="6467246"/>
    <x v="21"/>
    <x v="43"/>
    <s v="CARBONARA"/>
    <n v="3100"/>
    <n v="174"/>
    <n v="539400"/>
    <m/>
  </r>
  <r>
    <x v="9"/>
    <s v="AUG"/>
    <x v="34"/>
    <s v="GRSM 6"/>
    <x v="2"/>
    <s v="GMM"/>
    <n v="211033"/>
    <n v="6467246"/>
    <x v="21"/>
    <x v="43"/>
    <s v="AGLIO OLIO"/>
    <n v="3100"/>
    <n v="90"/>
    <n v="279000"/>
    <m/>
  </r>
  <r>
    <x v="9"/>
    <s v="AUG"/>
    <x v="34"/>
    <s v="GRSM 6"/>
    <x v="2"/>
    <s v="GMM"/>
    <n v="211033"/>
    <n v="6467246"/>
    <x v="21"/>
    <x v="43"/>
    <s v="GORENG"/>
    <n v="3100"/>
    <n v="383"/>
    <n v="1187300"/>
    <n v="160"/>
  </r>
  <r>
    <x v="9"/>
    <s v="AUG"/>
    <x v="34"/>
    <s v="GRSM 6"/>
    <x v="2"/>
    <s v="GMM"/>
    <n v="211163"/>
    <n v="3703215"/>
    <x v="23"/>
    <x v="46"/>
    <s v="BOLOGNESE"/>
    <n v="3000"/>
    <n v="110"/>
    <n v="330000"/>
    <m/>
  </r>
  <r>
    <x v="9"/>
    <s v="AUG"/>
    <x v="34"/>
    <s v="GRSM 6"/>
    <x v="2"/>
    <s v="GMM"/>
    <n v="211163"/>
    <n v="3703215"/>
    <x v="23"/>
    <x v="46"/>
    <s v="CARBONARA"/>
    <n v="3000"/>
    <n v="85"/>
    <n v="255000"/>
    <m/>
  </r>
  <r>
    <x v="9"/>
    <s v="AUG"/>
    <x v="34"/>
    <s v="GRSM 6"/>
    <x v="2"/>
    <s v="GMM"/>
    <n v="211163"/>
    <n v="3703215"/>
    <x v="23"/>
    <x v="46"/>
    <s v="AGLIO OLIO"/>
    <n v="3000"/>
    <n v="0"/>
    <n v="0"/>
    <m/>
  </r>
  <r>
    <x v="9"/>
    <s v="AUG"/>
    <x v="34"/>
    <s v="GRSM 6"/>
    <x v="2"/>
    <s v="GMM"/>
    <n v="211163"/>
    <n v="3703215"/>
    <x v="23"/>
    <x v="46"/>
    <s v="GORENG"/>
    <n v="3000"/>
    <n v="155"/>
    <n v="465000"/>
    <n v="80"/>
  </r>
  <r>
    <x v="9"/>
    <s v="AUG"/>
    <x v="34"/>
    <s v="GRSM 6"/>
    <x v="2"/>
    <s v="GMM"/>
    <n v="211163"/>
    <n v="3703215"/>
    <x v="23"/>
    <x v="47"/>
    <s v="BOLOGNESE"/>
    <n v="3000"/>
    <n v="110"/>
    <n v="330000"/>
    <m/>
  </r>
  <r>
    <x v="9"/>
    <s v="AUG"/>
    <x v="34"/>
    <s v="GRSM 6"/>
    <x v="2"/>
    <s v="GMM"/>
    <n v="211163"/>
    <n v="3703215"/>
    <x v="23"/>
    <x v="47"/>
    <s v="CARBONARA"/>
    <n v="3000"/>
    <n v="85"/>
    <n v="255000"/>
    <m/>
  </r>
  <r>
    <x v="9"/>
    <s v="AUG"/>
    <x v="34"/>
    <s v="GRSM 6"/>
    <x v="2"/>
    <s v="GMM"/>
    <n v="211163"/>
    <n v="3703215"/>
    <x v="23"/>
    <x v="47"/>
    <s v="AGLIO OLIO"/>
    <n v="3000"/>
    <n v="0"/>
    <n v="0"/>
    <m/>
  </r>
  <r>
    <x v="9"/>
    <s v="AUG"/>
    <x v="34"/>
    <s v="GRSM 6"/>
    <x v="2"/>
    <s v="GMM"/>
    <n v="211163"/>
    <n v="3703215"/>
    <x v="23"/>
    <x v="47"/>
    <s v="GORENG"/>
    <n v="3000"/>
    <n v="155"/>
    <n v="465000"/>
    <n v="80"/>
  </r>
  <r>
    <x v="9"/>
    <s v="AUG"/>
    <x v="34"/>
    <s v="GRSM 6"/>
    <x v="2"/>
    <s v="GMM"/>
    <n v="211163"/>
    <n v="3703219"/>
    <x v="22"/>
    <x v="45"/>
    <s v="BOLOGNESE"/>
    <n v="2900"/>
    <n v="118"/>
    <n v="342200"/>
    <m/>
  </r>
  <r>
    <x v="9"/>
    <s v="AUG"/>
    <x v="34"/>
    <s v="GRSM 6"/>
    <x v="2"/>
    <s v="GMM"/>
    <n v="211163"/>
    <n v="3703219"/>
    <x v="22"/>
    <x v="45"/>
    <s v="CARBONARA"/>
    <n v="2900"/>
    <n v="199"/>
    <n v="577100"/>
    <m/>
  </r>
  <r>
    <x v="9"/>
    <s v="AUG"/>
    <x v="34"/>
    <s v="GRSM 6"/>
    <x v="2"/>
    <s v="GMM"/>
    <n v="211163"/>
    <n v="3703219"/>
    <x v="22"/>
    <x v="45"/>
    <s v="AGLIO OLIO"/>
    <n v="2900"/>
    <n v="0"/>
    <n v="0"/>
    <m/>
  </r>
  <r>
    <x v="9"/>
    <s v="AUG"/>
    <x v="34"/>
    <s v="GRSM 6"/>
    <x v="2"/>
    <s v="GMM"/>
    <n v="211163"/>
    <n v="3703219"/>
    <x v="22"/>
    <x v="45"/>
    <s v="GORENG"/>
    <n v="2900"/>
    <n v="377"/>
    <n v="1093300"/>
    <n v="160"/>
  </r>
  <r>
    <x v="9"/>
    <s v="AUG"/>
    <x v="34"/>
    <s v="GRSM 6"/>
    <x v="2"/>
    <s v="GMM"/>
    <n v="211163"/>
    <n v="3703219"/>
    <x v="22"/>
    <x v="44"/>
    <s v="BOLOGNESE"/>
    <n v="2900"/>
    <n v="118"/>
    <n v="342200"/>
    <m/>
  </r>
  <r>
    <x v="9"/>
    <s v="AUG"/>
    <x v="34"/>
    <s v="GRSM 6"/>
    <x v="2"/>
    <s v="GMM"/>
    <n v="211163"/>
    <n v="3703219"/>
    <x v="22"/>
    <x v="44"/>
    <s v="CARBONARA"/>
    <n v="2900"/>
    <n v="199"/>
    <n v="577100"/>
    <m/>
  </r>
  <r>
    <x v="9"/>
    <s v="AUG"/>
    <x v="34"/>
    <s v="GRSM 6"/>
    <x v="2"/>
    <s v="GMM"/>
    <n v="211163"/>
    <n v="3703219"/>
    <x v="22"/>
    <x v="44"/>
    <s v="AGLIO OLIO"/>
    <n v="2900"/>
    <n v="0"/>
    <n v="0"/>
    <m/>
  </r>
  <r>
    <x v="9"/>
    <s v="AUG"/>
    <x v="34"/>
    <s v="GRSM 6"/>
    <x v="2"/>
    <s v="GMM"/>
    <n v="211163"/>
    <n v="3703219"/>
    <x v="22"/>
    <x v="44"/>
    <s v="GORENG"/>
    <n v="2900"/>
    <n v="377"/>
    <n v="1093300"/>
    <n v="160"/>
  </r>
  <r>
    <x v="9"/>
    <s v="AUG"/>
    <x v="34"/>
    <s v="GRSM 6"/>
    <x v="2"/>
    <s v="GMM"/>
    <n v="211139"/>
    <n v="3604550"/>
    <x v="26"/>
    <x v="52"/>
    <s v="BOLOGNESE"/>
    <n v="2800"/>
    <n v="84"/>
    <n v="235200"/>
    <m/>
  </r>
  <r>
    <x v="9"/>
    <s v="AUG"/>
    <x v="34"/>
    <s v="GRSM 6"/>
    <x v="2"/>
    <s v="GMM"/>
    <n v="211139"/>
    <n v="3604550"/>
    <x v="26"/>
    <x v="52"/>
    <s v="CARBONARA"/>
    <n v="2800"/>
    <n v="248"/>
    <n v="694400"/>
    <m/>
  </r>
  <r>
    <x v="9"/>
    <s v="AUG"/>
    <x v="34"/>
    <s v="GRSM 6"/>
    <x v="2"/>
    <s v="GMM"/>
    <n v="211139"/>
    <n v="3604550"/>
    <x v="26"/>
    <x v="52"/>
    <s v="AGLIO OLIO"/>
    <n v="2800"/>
    <n v="58"/>
    <n v="162400"/>
    <m/>
  </r>
  <r>
    <x v="9"/>
    <s v="AUG"/>
    <x v="34"/>
    <s v="GRSM 6"/>
    <x v="2"/>
    <s v="GMM"/>
    <n v="211139"/>
    <n v="3604550"/>
    <x v="26"/>
    <x v="52"/>
    <s v="GORENG"/>
    <n v="2800"/>
    <n v="194"/>
    <n v="543200"/>
    <n v="160"/>
  </r>
  <r>
    <x v="9"/>
    <s v="AUG"/>
    <x v="34"/>
    <s v="GRSM 6"/>
    <x v="2"/>
    <s v="GMM"/>
    <n v="211139"/>
    <n v="3604550"/>
    <x v="26"/>
    <x v="53"/>
    <s v="BOLOGNESE"/>
    <n v="2800"/>
    <n v="84"/>
    <n v="235200"/>
    <m/>
  </r>
  <r>
    <x v="9"/>
    <s v="AUG"/>
    <x v="34"/>
    <s v="GRSM 6"/>
    <x v="2"/>
    <s v="GMM"/>
    <n v="211139"/>
    <n v="3604550"/>
    <x v="26"/>
    <x v="53"/>
    <s v="CARBONARA"/>
    <n v="2800"/>
    <n v="248"/>
    <n v="694400"/>
    <m/>
  </r>
  <r>
    <x v="9"/>
    <s v="AUG"/>
    <x v="34"/>
    <s v="GRSM 6"/>
    <x v="2"/>
    <s v="GMM"/>
    <n v="211139"/>
    <n v="3604550"/>
    <x v="26"/>
    <x v="53"/>
    <s v="AGLIO OLIO"/>
    <n v="2800"/>
    <n v="58"/>
    <n v="162400"/>
    <m/>
  </r>
  <r>
    <x v="9"/>
    <s v="AUG"/>
    <x v="34"/>
    <s v="GRSM 6"/>
    <x v="2"/>
    <s v="GMM"/>
    <n v="211139"/>
    <n v="3604550"/>
    <x v="26"/>
    <x v="53"/>
    <s v="GORENG"/>
    <n v="2800"/>
    <n v="194"/>
    <n v="543200"/>
    <n v="160"/>
  </r>
  <r>
    <x v="9"/>
    <s v="AUG"/>
    <x v="33"/>
    <s v="GRSM 6"/>
    <x v="2"/>
    <s v="GMM"/>
    <n v="211163"/>
    <n v="3703219"/>
    <x v="22"/>
    <x v="45"/>
    <s v="BOLOGNESE"/>
    <n v="2900"/>
    <n v="235"/>
    <n v="681500"/>
    <m/>
  </r>
  <r>
    <x v="9"/>
    <s v="AUG"/>
    <x v="33"/>
    <s v="GRSM 6"/>
    <x v="2"/>
    <s v="GMM"/>
    <n v="211163"/>
    <n v="3703219"/>
    <x v="22"/>
    <x v="45"/>
    <s v="CARBONARA"/>
    <n v="2900"/>
    <n v="248"/>
    <n v="719200"/>
    <m/>
  </r>
  <r>
    <x v="9"/>
    <s v="AUG"/>
    <x v="33"/>
    <s v="GRSM 6"/>
    <x v="2"/>
    <s v="GMM"/>
    <n v="211163"/>
    <n v="3703219"/>
    <x v="22"/>
    <x v="45"/>
    <s v="AGLIO OLIO"/>
    <n v="2900"/>
    <n v="0"/>
    <n v="0"/>
    <m/>
  </r>
  <r>
    <x v="9"/>
    <s v="AUG"/>
    <x v="33"/>
    <s v="GRSM 6"/>
    <x v="2"/>
    <s v="GMM"/>
    <n v="211163"/>
    <n v="3703219"/>
    <x v="22"/>
    <x v="45"/>
    <s v="GORENG"/>
    <n v="2900"/>
    <n v="374"/>
    <n v="1084600"/>
    <n v="160"/>
  </r>
  <r>
    <x v="9"/>
    <s v="AUG"/>
    <x v="33"/>
    <s v="GRSM 6"/>
    <x v="2"/>
    <s v="GMM"/>
    <n v="211163"/>
    <n v="3703219"/>
    <x v="22"/>
    <x v="44"/>
    <s v="BOLOGNESE"/>
    <n v="2900"/>
    <n v="235"/>
    <n v="681500"/>
    <m/>
  </r>
  <r>
    <x v="9"/>
    <s v="AUG"/>
    <x v="33"/>
    <s v="GRSM 6"/>
    <x v="2"/>
    <s v="GMM"/>
    <n v="211163"/>
    <n v="3703219"/>
    <x v="22"/>
    <x v="44"/>
    <s v="CARBONARA"/>
    <n v="2900"/>
    <n v="248"/>
    <n v="719200"/>
    <m/>
  </r>
  <r>
    <x v="9"/>
    <s v="AUG"/>
    <x v="33"/>
    <s v="GRSM 6"/>
    <x v="2"/>
    <s v="GMM"/>
    <n v="211163"/>
    <n v="3703219"/>
    <x v="22"/>
    <x v="44"/>
    <s v="AGLIO OLIO"/>
    <n v="2900"/>
    <n v="0"/>
    <n v="0"/>
    <m/>
  </r>
  <r>
    <x v="9"/>
    <s v="AUG"/>
    <x v="33"/>
    <s v="GRSM 6"/>
    <x v="2"/>
    <s v="GMM"/>
    <n v="211163"/>
    <n v="3703219"/>
    <x v="22"/>
    <x v="44"/>
    <s v="GORENG"/>
    <n v="2900"/>
    <n v="374"/>
    <n v="1084600"/>
    <n v="160"/>
  </r>
  <r>
    <x v="9"/>
    <s v="AUG"/>
    <x v="34"/>
    <s v="GRSM 6"/>
    <x v="2"/>
    <s v="GMM"/>
    <n v="211033"/>
    <n v="2001021"/>
    <x v="27"/>
    <x v="54"/>
    <s v="BOLOGNESE"/>
    <n v="3000"/>
    <n v="82"/>
    <n v="246000"/>
    <m/>
  </r>
  <r>
    <x v="9"/>
    <s v="AUG"/>
    <x v="34"/>
    <s v="GRSM 6"/>
    <x v="2"/>
    <s v="GMM"/>
    <n v="211033"/>
    <n v="2001021"/>
    <x v="27"/>
    <x v="54"/>
    <s v="CARBONARA"/>
    <n v="3000"/>
    <n v="126"/>
    <n v="378000"/>
    <m/>
  </r>
  <r>
    <x v="9"/>
    <s v="AUG"/>
    <x v="34"/>
    <s v="GRSM 6"/>
    <x v="2"/>
    <s v="GMM"/>
    <n v="211033"/>
    <n v="2001021"/>
    <x v="27"/>
    <x v="54"/>
    <s v="AGLIO OLIO"/>
    <n v="3000"/>
    <n v="120"/>
    <n v="360000"/>
    <m/>
  </r>
  <r>
    <x v="9"/>
    <s v="AUG"/>
    <x v="34"/>
    <s v="GRSM 6"/>
    <x v="2"/>
    <s v="GMM"/>
    <n v="211033"/>
    <n v="2001021"/>
    <x v="27"/>
    <x v="54"/>
    <s v="GORENG"/>
    <n v="3000"/>
    <n v="254"/>
    <n v="762000"/>
    <n v="160"/>
  </r>
  <r>
    <x v="9"/>
    <s v="AUG"/>
    <x v="34"/>
    <s v="GRSM 6"/>
    <x v="2"/>
    <s v="GMM"/>
    <n v="211033"/>
    <n v="2001021"/>
    <x v="27"/>
    <x v="55"/>
    <s v="BOLOGNESE"/>
    <n v="3000"/>
    <n v="82"/>
    <n v="246000"/>
    <m/>
  </r>
  <r>
    <x v="9"/>
    <s v="AUG"/>
    <x v="34"/>
    <s v="GRSM 6"/>
    <x v="2"/>
    <s v="GMM"/>
    <n v="211033"/>
    <n v="2001021"/>
    <x v="27"/>
    <x v="55"/>
    <s v="CARBONARA"/>
    <n v="3000"/>
    <n v="126"/>
    <n v="378000"/>
    <m/>
  </r>
  <r>
    <x v="9"/>
    <s v="AUG"/>
    <x v="34"/>
    <s v="GRSM 6"/>
    <x v="2"/>
    <s v="GMM"/>
    <n v="211033"/>
    <n v="2001021"/>
    <x v="27"/>
    <x v="55"/>
    <s v="AGLIO OLIO"/>
    <n v="3000"/>
    <n v="120"/>
    <n v="360000"/>
    <m/>
  </r>
  <r>
    <x v="9"/>
    <s v="AUG"/>
    <x v="34"/>
    <s v="GRSM 6"/>
    <x v="2"/>
    <s v="GMM"/>
    <n v="211033"/>
    <n v="2001021"/>
    <x v="27"/>
    <x v="55"/>
    <s v="GORENG"/>
    <n v="3000"/>
    <n v="254"/>
    <n v="762000"/>
    <n v="160"/>
  </r>
  <r>
    <x v="9"/>
    <s v="AUG"/>
    <x v="33"/>
    <s v="GRSM 5"/>
    <x v="1"/>
    <s v="GMM"/>
    <n v="170220"/>
    <n v="1901019"/>
    <x v="19"/>
    <x v="38"/>
    <s v="BOLOGNESE"/>
    <n v="2200"/>
    <n v="110"/>
    <n v="242000"/>
    <m/>
  </r>
  <r>
    <x v="9"/>
    <s v="AUG"/>
    <x v="33"/>
    <s v="GRSM 5"/>
    <x v="1"/>
    <s v="GMM"/>
    <n v="170220"/>
    <n v="1901019"/>
    <x v="19"/>
    <x v="38"/>
    <s v="CARBONARA"/>
    <n v="2200"/>
    <n v="121"/>
    <n v="266200"/>
    <m/>
  </r>
  <r>
    <x v="9"/>
    <s v="AUG"/>
    <x v="33"/>
    <s v="GRSM 5"/>
    <x v="1"/>
    <s v="GMM"/>
    <n v="170220"/>
    <n v="1901019"/>
    <x v="19"/>
    <x v="38"/>
    <s v="AGLIO OLIO"/>
    <n v="2200"/>
    <n v="88"/>
    <n v="193600"/>
    <m/>
  </r>
  <r>
    <x v="9"/>
    <s v="AUG"/>
    <x v="33"/>
    <s v="GRSM 5"/>
    <x v="1"/>
    <s v="GMM"/>
    <n v="170220"/>
    <n v="1901019"/>
    <x v="19"/>
    <x v="38"/>
    <s v="GORENG"/>
    <n v="2200"/>
    <n v="298"/>
    <n v="655600"/>
    <n v="223"/>
  </r>
  <r>
    <x v="9"/>
    <s v="AUG"/>
    <x v="33"/>
    <s v="GRSM 5"/>
    <x v="1"/>
    <s v="GMM"/>
    <n v="170220"/>
    <n v="1901019"/>
    <x v="19"/>
    <x v="37"/>
    <s v="BOLOGNESE"/>
    <n v="2200"/>
    <n v="110"/>
    <n v="242000"/>
    <m/>
  </r>
  <r>
    <x v="9"/>
    <s v="AUG"/>
    <x v="33"/>
    <s v="GRSM 5"/>
    <x v="1"/>
    <s v="GMM"/>
    <n v="170220"/>
    <n v="1901019"/>
    <x v="19"/>
    <x v="37"/>
    <s v="CARBONARA"/>
    <n v="2200"/>
    <n v="121"/>
    <n v="266200"/>
    <m/>
  </r>
  <r>
    <x v="9"/>
    <s v="AUG"/>
    <x v="33"/>
    <s v="GRSM 5"/>
    <x v="1"/>
    <s v="GMM"/>
    <n v="170220"/>
    <n v="1901019"/>
    <x v="19"/>
    <x v="37"/>
    <s v="AGLIO OLIO"/>
    <n v="2200"/>
    <n v="88"/>
    <n v="193600"/>
    <m/>
  </r>
  <r>
    <x v="9"/>
    <s v="AUG"/>
    <x v="33"/>
    <s v="GRSM 5"/>
    <x v="1"/>
    <s v="GMM"/>
    <n v="170220"/>
    <n v="1901019"/>
    <x v="19"/>
    <x v="37"/>
    <s v="GORENG"/>
    <n v="2200"/>
    <n v="298"/>
    <n v="655600"/>
    <n v="223"/>
  </r>
  <r>
    <x v="9"/>
    <s v="AUG"/>
    <x v="33"/>
    <s v="GRSM 5"/>
    <x v="1"/>
    <s v="GMM"/>
    <n v="170220"/>
    <n v="1901004"/>
    <x v="17"/>
    <x v="33"/>
    <s v="BOLOGNESE"/>
    <n v="2200"/>
    <n v="80"/>
    <n v="176000"/>
    <m/>
  </r>
  <r>
    <x v="9"/>
    <s v="AUG"/>
    <x v="33"/>
    <s v="GRSM 5"/>
    <x v="1"/>
    <s v="GMM"/>
    <n v="170220"/>
    <n v="1901004"/>
    <x v="17"/>
    <x v="33"/>
    <s v="CARBONARA"/>
    <n v="2200"/>
    <n v="280"/>
    <n v="616000"/>
    <m/>
  </r>
  <r>
    <x v="9"/>
    <s v="AUG"/>
    <x v="33"/>
    <s v="GRSM 5"/>
    <x v="1"/>
    <s v="GMM"/>
    <n v="170220"/>
    <n v="1901004"/>
    <x v="17"/>
    <x v="33"/>
    <s v="AGLIO OLIO"/>
    <n v="2200"/>
    <n v="20"/>
    <n v="44000"/>
    <m/>
  </r>
  <r>
    <x v="9"/>
    <s v="AUG"/>
    <x v="33"/>
    <s v="GRSM 5"/>
    <x v="1"/>
    <s v="GMM"/>
    <n v="170220"/>
    <n v="1901004"/>
    <x v="17"/>
    <x v="33"/>
    <s v="GORENG"/>
    <n v="2200"/>
    <n v="340"/>
    <n v="748000"/>
    <n v="320"/>
  </r>
  <r>
    <x v="9"/>
    <s v="AUG"/>
    <x v="33"/>
    <s v="GRSM 5"/>
    <x v="1"/>
    <s v="GMM"/>
    <n v="170220"/>
    <n v="1901004"/>
    <x v="17"/>
    <x v="34"/>
    <s v="BOLOGNESE"/>
    <n v="2200"/>
    <n v="80"/>
    <n v="176000"/>
    <m/>
  </r>
  <r>
    <x v="9"/>
    <s v="AUG"/>
    <x v="33"/>
    <s v="GRSM 5"/>
    <x v="1"/>
    <s v="GMM"/>
    <n v="170220"/>
    <n v="1901004"/>
    <x v="17"/>
    <x v="34"/>
    <s v="CARBONARA"/>
    <n v="2200"/>
    <n v="280"/>
    <n v="616000"/>
    <m/>
  </r>
  <r>
    <x v="9"/>
    <s v="AUG"/>
    <x v="33"/>
    <s v="GRSM 5"/>
    <x v="1"/>
    <s v="GMM"/>
    <n v="170220"/>
    <n v="1901004"/>
    <x v="17"/>
    <x v="34"/>
    <s v="AGLIO OLIO"/>
    <n v="2200"/>
    <n v="20"/>
    <n v="44000"/>
    <m/>
  </r>
  <r>
    <x v="9"/>
    <s v="AUG"/>
    <x v="33"/>
    <s v="GRSM 5"/>
    <x v="1"/>
    <s v="GMM"/>
    <n v="170220"/>
    <n v="1901004"/>
    <x v="17"/>
    <x v="34"/>
    <s v="GORENG"/>
    <n v="2200"/>
    <n v="340"/>
    <n v="748000"/>
    <n v="320"/>
  </r>
  <r>
    <x v="9"/>
    <s v="AUG"/>
    <x v="33"/>
    <s v="GRSM 5"/>
    <x v="1"/>
    <s v="GMM"/>
    <n v="170220"/>
    <n v="9000015"/>
    <x v="18"/>
    <x v="35"/>
    <s v="BOLOGNESE"/>
    <n v="2200"/>
    <n v="149"/>
    <n v="327800"/>
    <m/>
  </r>
  <r>
    <x v="9"/>
    <s v="AUG"/>
    <x v="33"/>
    <s v="GRSM 5"/>
    <x v="1"/>
    <s v="GMM"/>
    <n v="170220"/>
    <n v="9000015"/>
    <x v="18"/>
    <x v="35"/>
    <s v="CARBONARA"/>
    <n v="2200"/>
    <n v="276"/>
    <n v="607200"/>
    <m/>
  </r>
  <r>
    <x v="9"/>
    <s v="AUG"/>
    <x v="33"/>
    <s v="GRSM 5"/>
    <x v="1"/>
    <s v="GMM"/>
    <n v="170220"/>
    <n v="9000015"/>
    <x v="18"/>
    <x v="35"/>
    <s v="AGLIO OLIO"/>
    <n v="2200"/>
    <n v="173"/>
    <n v="380600"/>
    <m/>
  </r>
  <r>
    <x v="9"/>
    <s v="AUG"/>
    <x v="33"/>
    <s v="GRSM 5"/>
    <x v="1"/>
    <s v="GMM"/>
    <n v="170220"/>
    <n v="9000015"/>
    <x v="18"/>
    <x v="35"/>
    <s v="GORENG"/>
    <n v="2200"/>
    <n v="378"/>
    <n v="831600"/>
    <n v="320"/>
  </r>
  <r>
    <x v="9"/>
    <s v="AUG"/>
    <x v="33"/>
    <s v="GRSM 5"/>
    <x v="1"/>
    <s v="GMM"/>
    <n v="170220"/>
    <n v="9000015"/>
    <x v="18"/>
    <x v="59"/>
    <s v="BOLOGNESE"/>
    <n v="2200"/>
    <n v="149"/>
    <n v="327800"/>
    <m/>
  </r>
  <r>
    <x v="9"/>
    <s v="AUG"/>
    <x v="33"/>
    <s v="GRSM 5"/>
    <x v="1"/>
    <s v="GMM"/>
    <n v="170220"/>
    <n v="9000015"/>
    <x v="18"/>
    <x v="59"/>
    <s v="CARBONARA"/>
    <n v="2200"/>
    <n v="276"/>
    <n v="607200"/>
    <m/>
  </r>
  <r>
    <x v="9"/>
    <s v="AUG"/>
    <x v="33"/>
    <s v="GRSM 5"/>
    <x v="1"/>
    <s v="GMM"/>
    <n v="170220"/>
    <n v="9000015"/>
    <x v="18"/>
    <x v="59"/>
    <s v="AGLIO OLIO"/>
    <n v="2200"/>
    <n v="173"/>
    <n v="380600"/>
    <m/>
  </r>
  <r>
    <x v="9"/>
    <s v="AUG"/>
    <x v="33"/>
    <s v="GRSM 5"/>
    <x v="1"/>
    <s v="GMM"/>
    <n v="170220"/>
    <n v="9000015"/>
    <x v="18"/>
    <x v="59"/>
    <s v="GORENG"/>
    <n v="2200"/>
    <n v="378"/>
    <n v="831600"/>
    <n v="320"/>
  </r>
  <r>
    <x v="9"/>
    <s v="AUG"/>
    <x v="34"/>
    <s v="GRSM 5"/>
    <x v="1"/>
    <s v="GMM"/>
    <n v="170220"/>
    <n v="9000015"/>
    <x v="18"/>
    <x v="35"/>
    <s v="BOLOGNESE"/>
    <n v="2200"/>
    <n v="199"/>
    <n v="437800"/>
    <m/>
  </r>
  <r>
    <x v="9"/>
    <s v="AUG"/>
    <x v="34"/>
    <s v="GRSM 5"/>
    <x v="1"/>
    <s v="GMM"/>
    <n v="170220"/>
    <n v="9000015"/>
    <x v="18"/>
    <x v="35"/>
    <s v="CARBONARA"/>
    <n v="2200"/>
    <n v="263"/>
    <n v="578600"/>
    <m/>
  </r>
  <r>
    <x v="9"/>
    <s v="AUG"/>
    <x v="34"/>
    <s v="GRSM 5"/>
    <x v="1"/>
    <s v="GMM"/>
    <n v="170220"/>
    <n v="9000015"/>
    <x v="18"/>
    <x v="35"/>
    <s v="AGLIO OLIO"/>
    <n v="2200"/>
    <n v="162"/>
    <n v="356400"/>
    <m/>
  </r>
  <r>
    <x v="9"/>
    <s v="AUG"/>
    <x v="34"/>
    <s v="GRSM 5"/>
    <x v="1"/>
    <s v="GMM"/>
    <n v="170220"/>
    <n v="9000015"/>
    <x v="18"/>
    <x v="35"/>
    <s v="GORENG"/>
    <n v="2200"/>
    <n v="388"/>
    <n v="853600"/>
    <n v="320"/>
  </r>
  <r>
    <x v="9"/>
    <s v="AUG"/>
    <x v="34"/>
    <s v="GRSM 5"/>
    <x v="1"/>
    <s v="GMM"/>
    <n v="170220"/>
    <n v="9000015"/>
    <x v="18"/>
    <x v="59"/>
    <s v="BOLOGNESE"/>
    <n v="2200"/>
    <n v="199"/>
    <n v="437800"/>
    <m/>
  </r>
  <r>
    <x v="9"/>
    <s v="AUG"/>
    <x v="34"/>
    <s v="GRSM 5"/>
    <x v="1"/>
    <s v="GMM"/>
    <n v="170220"/>
    <n v="9000015"/>
    <x v="18"/>
    <x v="59"/>
    <s v="CARBONARA"/>
    <n v="2200"/>
    <n v="263"/>
    <n v="578600"/>
    <m/>
  </r>
  <r>
    <x v="9"/>
    <s v="AUG"/>
    <x v="34"/>
    <s v="GRSM 5"/>
    <x v="1"/>
    <s v="GMM"/>
    <n v="170220"/>
    <n v="9000015"/>
    <x v="18"/>
    <x v="59"/>
    <s v="AGLIO OLIO"/>
    <n v="2200"/>
    <n v="162"/>
    <n v="356400"/>
    <m/>
  </r>
  <r>
    <x v="9"/>
    <s v="AUG"/>
    <x v="34"/>
    <s v="GRSM 5"/>
    <x v="1"/>
    <s v="GMM"/>
    <n v="170220"/>
    <n v="9000015"/>
    <x v="18"/>
    <x v="59"/>
    <s v="GORENG"/>
    <n v="2200"/>
    <n v="388"/>
    <n v="853600"/>
    <n v="320"/>
  </r>
  <r>
    <x v="9"/>
    <s v="AUG"/>
    <x v="34"/>
    <s v="GRSM 5"/>
    <x v="1"/>
    <s v="GMM"/>
    <n v="170220"/>
    <n v="1901019"/>
    <x v="19"/>
    <x v="38"/>
    <s v="BOLOGNESE"/>
    <n v="2200"/>
    <n v="110"/>
    <n v="242000"/>
    <m/>
  </r>
  <r>
    <x v="9"/>
    <s v="AUG"/>
    <x v="34"/>
    <s v="GRSM 5"/>
    <x v="1"/>
    <s v="GMM"/>
    <n v="170220"/>
    <n v="1901019"/>
    <x v="19"/>
    <x v="38"/>
    <s v="CARBONARA"/>
    <n v="2200"/>
    <n v="118"/>
    <n v="259600"/>
    <m/>
  </r>
  <r>
    <x v="9"/>
    <s v="AUG"/>
    <x v="34"/>
    <s v="GRSM 5"/>
    <x v="1"/>
    <s v="GMM"/>
    <n v="170220"/>
    <n v="1901019"/>
    <x v="19"/>
    <x v="38"/>
    <s v="AGLIO OLIO"/>
    <n v="2200"/>
    <n v="83"/>
    <n v="182600"/>
    <m/>
  </r>
  <r>
    <x v="9"/>
    <s v="AUG"/>
    <x v="34"/>
    <s v="GRSM 5"/>
    <x v="1"/>
    <s v="GMM"/>
    <n v="170220"/>
    <n v="1901019"/>
    <x v="19"/>
    <x v="38"/>
    <s v="GORENG"/>
    <n v="2200"/>
    <n v="321"/>
    <n v="706200"/>
    <n v="211"/>
  </r>
  <r>
    <x v="9"/>
    <s v="AUG"/>
    <x v="34"/>
    <s v="GRSM 5"/>
    <x v="1"/>
    <s v="GMM"/>
    <n v="170220"/>
    <n v="1901019"/>
    <x v="19"/>
    <x v="37"/>
    <s v="BOLOGNESE"/>
    <n v="2200"/>
    <n v="110"/>
    <n v="242000"/>
    <m/>
  </r>
  <r>
    <x v="9"/>
    <s v="AUG"/>
    <x v="34"/>
    <s v="GRSM 5"/>
    <x v="1"/>
    <s v="GMM"/>
    <n v="170220"/>
    <n v="1901019"/>
    <x v="19"/>
    <x v="37"/>
    <s v="CARBONARA"/>
    <n v="2200"/>
    <n v="118"/>
    <n v="259600"/>
    <m/>
  </r>
  <r>
    <x v="9"/>
    <s v="AUG"/>
    <x v="34"/>
    <s v="GRSM 5"/>
    <x v="1"/>
    <s v="GMM"/>
    <n v="170220"/>
    <n v="1901019"/>
    <x v="19"/>
    <x v="37"/>
    <s v="AGLIO OLIO"/>
    <n v="2200"/>
    <n v="83"/>
    <n v="182600"/>
    <m/>
  </r>
  <r>
    <x v="9"/>
    <s v="AUG"/>
    <x v="34"/>
    <s v="GRSM 5"/>
    <x v="1"/>
    <s v="GMM"/>
    <n v="170220"/>
    <n v="1901019"/>
    <x v="19"/>
    <x v="37"/>
    <s v="GORENG"/>
    <n v="2200"/>
    <n v="321"/>
    <n v="706200"/>
    <n v="211"/>
  </r>
  <r>
    <x v="9"/>
    <s v="AUG"/>
    <x v="34"/>
    <s v="GRSM 5"/>
    <x v="1"/>
    <s v="GMM"/>
    <n v="170220"/>
    <n v="1901004"/>
    <x v="17"/>
    <x v="33"/>
    <s v="BOLOGNESE"/>
    <n v="2200"/>
    <n v="100"/>
    <n v="220000"/>
    <m/>
  </r>
  <r>
    <x v="9"/>
    <s v="AUG"/>
    <x v="34"/>
    <s v="GRSM 5"/>
    <x v="1"/>
    <s v="GMM"/>
    <n v="170220"/>
    <n v="1901004"/>
    <x v="17"/>
    <x v="33"/>
    <s v="CARBONARA"/>
    <n v="2200"/>
    <n v="320"/>
    <n v="704000"/>
    <m/>
  </r>
  <r>
    <x v="9"/>
    <s v="AUG"/>
    <x v="34"/>
    <s v="GRSM 5"/>
    <x v="1"/>
    <s v="GMM"/>
    <n v="170220"/>
    <n v="1901004"/>
    <x v="17"/>
    <x v="33"/>
    <s v="AGLIO OLIO"/>
    <n v="2200"/>
    <n v="20"/>
    <n v="44000"/>
    <m/>
  </r>
  <r>
    <x v="9"/>
    <s v="AUG"/>
    <x v="34"/>
    <s v="GRSM 5"/>
    <x v="1"/>
    <s v="GMM"/>
    <n v="170220"/>
    <n v="1901004"/>
    <x v="17"/>
    <x v="33"/>
    <s v="GORENG"/>
    <n v="2200"/>
    <n v="400"/>
    <n v="880000"/>
    <n v="320"/>
  </r>
  <r>
    <x v="9"/>
    <s v="AUG"/>
    <x v="34"/>
    <s v="GRSM 5"/>
    <x v="1"/>
    <s v="GMM"/>
    <n v="170220"/>
    <n v="1901004"/>
    <x v="17"/>
    <x v="34"/>
    <s v="BOLOGNESE"/>
    <n v="2200"/>
    <n v="100"/>
    <n v="220000"/>
    <m/>
  </r>
  <r>
    <x v="9"/>
    <s v="AUG"/>
    <x v="34"/>
    <s v="GRSM 5"/>
    <x v="1"/>
    <s v="GMM"/>
    <n v="170220"/>
    <n v="1901004"/>
    <x v="17"/>
    <x v="34"/>
    <s v="CARBONARA"/>
    <n v="2200"/>
    <n v="320"/>
    <n v="704000"/>
    <m/>
  </r>
  <r>
    <x v="9"/>
    <s v="AUG"/>
    <x v="34"/>
    <s v="GRSM 5"/>
    <x v="1"/>
    <s v="GMM"/>
    <n v="170220"/>
    <n v="1901004"/>
    <x v="17"/>
    <x v="34"/>
    <s v="AGLIO OLIO"/>
    <n v="2200"/>
    <n v="20"/>
    <n v="44000"/>
    <m/>
  </r>
  <r>
    <x v="9"/>
    <s v="AUG"/>
    <x v="34"/>
    <s v="GRSM 5"/>
    <x v="1"/>
    <s v="GMM"/>
    <n v="170220"/>
    <n v="1901004"/>
    <x v="17"/>
    <x v="34"/>
    <s v="GORENG"/>
    <n v="2200"/>
    <n v="400"/>
    <n v="880000"/>
    <n v="320"/>
  </r>
  <r>
    <x v="10"/>
    <s v="AUG"/>
    <x v="35"/>
    <s v="GRSM 3A"/>
    <x v="0"/>
    <s v="GMM"/>
    <n v="211019"/>
    <n v="1556924"/>
    <x v="33"/>
    <x v="70"/>
    <s v="BOLOGNESE"/>
    <n v="2200"/>
    <n v="52"/>
    <n v="114400"/>
    <m/>
  </r>
  <r>
    <x v="10"/>
    <s v="AUG"/>
    <x v="35"/>
    <s v="GRSM 3A"/>
    <x v="0"/>
    <s v="GMM"/>
    <n v="211019"/>
    <n v="1556924"/>
    <x v="33"/>
    <x v="70"/>
    <s v="CARBONARA"/>
    <n v="2200"/>
    <n v="40"/>
    <n v="88000"/>
    <m/>
  </r>
  <r>
    <x v="10"/>
    <s v="AUG"/>
    <x v="35"/>
    <s v="GRSM 3A"/>
    <x v="0"/>
    <s v="GMM"/>
    <n v="211019"/>
    <n v="1556924"/>
    <x v="33"/>
    <x v="70"/>
    <s v="AGLIO OLIO"/>
    <n v="2200"/>
    <n v="9"/>
    <n v="19800"/>
    <m/>
  </r>
  <r>
    <x v="10"/>
    <s v="AUG"/>
    <x v="35"/>
    <s v="GRSM 3A"/>
    <x v="0"/>
    <s v="GMM"/>
    <n v="211019"/>
    <n v="1556924"/>
    <x v="33"/>
    <x v="70"/>
    <s v="GORENG"/>
    <n v="2200"/>
    <n v="186"/>
    <n v="409200"/>
    <n v="120"/>
  </r>
  <r>
    <x v="10"/>
    <s v="AUG"/>
    <x v="35"/>
    <s v="GRSM 3A"/>
    <x v="0"/>
    <s v="GMM"/>
    <n v="211019"/>
    <n v="1556924"/>
    <x v="33"/>
    <x v="71"/>
    <s v="BOLOGNESE"/>
    <n v="2200"/>
    <n v="52"/>
    <n v="114400"/>
    <m/>
  </r>
  <r>
    <x v="10"/>
    <s v="AUG"/>
    <x v="35"/>
    <s v="GRSM 3A"/>
    <x v="0"/>
    <s v="GMM"/>
    <n v="211019"/>
    <n v="1556924"/>
    <x v="33"/>
    <x v="71"/>
    <s v="CARBONARA"/>
    <n v="2200"/>
    <n v="40"/>
    <n v="88000"/>
    <m/>
  </r>
  <r>
    <x v="10"/>
    <s v="AUG"/>
    <x v="35"/>
    <s v="GRSM 3A"/>
    <x v="0"/>
    <s v="GMM"/>
    <n v="211019"/>
    <n v="1556924"/>
    <x v="33"/>
    <x v="71"/>
    <s v="AGLIO OLIO"/>
    <n v="2200"/>
    <n v="9"/>
    <n v="19800"/>
    <m/>
  </r>
  <r>
    <x v="10"/>
    <s v="AUG"/>
    <x v="35"/>
    <s v="GRSM 3A"/>
    <x v="0"/>
    <s v="GMM"/>
    <n v="211019"/>
    <n v="1556924"/>
    <x v="33"/>
    <x v="71"/>
    <s v="GORENG"/>
    <n v="2200"/>
    <n v="186"/>
    <n v="409200"/>
    <n v="120"/>
  </r>
  <r>
    <x v="10"/>
    <s v="AUG"/>
    <x v="35"/>
    <s v="GRSM 4"/>
    <x v="0"/>
    <s v="GMM"/>
    <n v="103712"/>
    <n v="4404677"/>
    <x v="34"/>
    <x v="21"/>
    <s v="BOLOGNESE"/>
    <n v="3000"/>
    <n v="30"/>
    <n v="90000"/>
    <m/>
  </r>
  <r>
    <x v="10"/>
    <s v="AUG"/>
    <x v="35"/>
    <s v="GRSM 4"/>
    <x v="0"/>
    <s v="GMM"/>
    <n v="103712"/>
    <n v="4404677"/>
    <x v="34"/>
    <x v="21"/>
    <s v="CARBONARA"/>
    <n v="3000"/>
    <n v="49"/>
    <n v="147000"/>
    <m/>
  </r>
  <r>
    <x v="10"/>
    <s v="AUG"/>
    <x v="35"/>
    <s v="GRSM 4"/>
    <x v="0"/>
    <s v="GMM"/>
    <n v="103712"/>
    <n v="4404677"/>
    <x v="34"/>
    <x v="21"/>
    <s v="AGLIO OLIO"/>
    <n v="3000"/>
    <n v="29"/>
    <n v="87000"/>
    <m/>
  </r>
  <r>
    <x v="10"/>
    <s v="AUG"/>
    <x v="35"/>
    <s v="GRSM 4"/>
    <x v="0"/>
    <s v="GMM"/>
    <n v="103712"/>
    <n v="4404677"/>
    <x v="34"/>
    <x v="21"/>
    <s v="GORENG"/>
    <n v="3000"/>
    <n v="119"/>
    <n v="357000"/>
    <n v="160"/>
  </r>
  <r>
    <x v="10"/>
    <s v="AUG"/>
    <x v="35"/>
    <s v="GRSM 4"/>
    <x v="0"/>
    <s v="GMM"/>
    <n v="103712"/>
    <n v="4404677"/>
    <x v="34"/>
    <x v="17"/>
    <s v="BOLOGNESE"/>
    <n v="3000"/>
    <n v="30"/>
    <n v="90000"/>
    <m/>
  </r>
  <r>
    <x v="10"/>
    <s v="AUG"/>
    <x v="35"/>
    <s v="GRSM 4"/>
    <x v="0"/>
    <s v="GMM"/>
    <n v="103712"/>
    <n v="4404677"/>
    <x v="34"/>
    <x v="17"/>
    <s v="CARBONARA"/>
    <n v="3000"/>
    <n v="49"/>
    <n v="147000"/>
    <m/>
  </r>
  <r>
    <x v="10"/>
    <s v="AUG"/>
    <x v="35"/>
    <s v="GRSM 4"/>
    <x v="0"/>
    <s v="GMM"/>
    <n v="103712"/>
    <n v="4404677"/>
    <x v="34"/>
    <x v="17"/>
    <s v="AGLIO OLIO"/>
    <n v="3000"/>
    <n v="32"/>
    <n v="96000"/>
    <m/>
  </r>
  <r>
    <x v="10"/>
    <s v="AUG"/>
    <x v="35"/>
    <s v="GRSM 4"/>
    <x v="0"/>
    <s v="GMM"/>
    <n v="103712"/>
    <n v="4404677"/>
    <x v="34"/>
    <x v="17"/>
    <s v="GORENG"/>
    <n v="3000"/>
    <n v="119"/>
    <n v="357000"/>
    <n v="160"/>
  </r>
  <r>
    <x v="10"/>
    <s v="AUG"/>
    <x v="35"/>
    <s v="GRSM 4"/>
    <x v="0"/>
    <s v="NKA"/>
    <n v="195403"/>
    <n v="1600007"/>
    <x v="35"/>
    <x v="15"/>
    <s v="BOLOGNESE"/>
    <n v="2150"/>
    <n v="69"/>
    <n v="148350"/>
    <m/>
  </r>
  <r>
    <x v="10"/>
    <s v="AUG"/>
    <x v="35"/>
    <s v="GRSM 4"/>
    <x v="0"/>
    <s v="NKA"/>
    <n v="195403"/>
    <n v="1600007"/>
    <x v="35"/>
    <x v="15"/>
    <s v="CARBONARA"/>
    <n v="2150"/>
    <n v="63"/>
    <n v="135450"/>
    <m/>
  </r>
  <r>
    <x v="10"/>
    <s v="AUG"/>
    <x v="35"/>
    <s v="GRSM 4"/>
    <x v="0"/>
    <s v="NKA"/>
    <n v="195403"/>
    <n v="1600007"/>
    <x v="35"/>
    <x v="15"/>
    <s v="AGLIO OLIO"/>
    <n v="2150"/>
    <n v="39"/>
    <n v="83850"/>
    <m/>
  </r>
  <r>
    <x v="10"/>
    <s v="AUG"/>
    <x v="35"/>
    <s v="GRSM 4"/>
    <x v="0"/>
    <s v="NKA"/>
    <n v="195403"/>
    <n v="1600007"/>
    <x v="35"/>
    <x v="15"/>
    <s v="GORENG"/>
    <n v="2150"/>
    <n v="90"/>
    <n v="193500"/>
    <n v="160"/>
  </r>
  <r>
    <x v="10"/>
    <s v="AUG"/>
    <x v="35"/>
    <s v="GRSM 4"/>
    <x v="0"/>
    <s v="NKA"/>
    <n v="195403"/>
    <n v="1600007"/>
    <x v="35"/>
    <x v="24"/>
    <s v="BOLOGNESE"/>
    <n v="2150"/>
    <n v="69"/>
    <n v="148350"/>
    <m/>
  </r>
  <r>
    <x v="10"/>
    <s v="AUG"/>
    <x v="35"/>
    <s v="GRSM 4"/>
    <x v="0"/>
    <s v="NKA"/>
    <n v="195403"/>
    <n v="1600007"/>
    <x v="35"/>
    <x v="24"/>
    <s v="CARBONARA"/>
    <n v="2150"/>
    <n v="63"/>
    <n v="135450"/>
    <m/>
  </r>
  <r>
    <x v="10"/>
    <s v="AUG"/>
    <x v="35"/>
    <s v="GRSM 4"/>
    <x v="0"/>
    <s v="NKA"/>
    <n v="195403"/>
    <n v="1600007"/>
    <x v="35"/>
    <x v="24"/>
    <s v="AGLIO OLIO"/>
    <n v="2150"/>
    <n v="35"/>
    <n v="75250"/>
    <m/>
  </r>
  <r>
    <x v="10"/>
    <s v="AUG"/>
    <x v="35"/>
    <s v="GRSM 4"/>
    <x v="0"/>
    <s v="NKA"/>
    <n v="195403"/>
    <n v="1600007"/>
    <x v="35"/>
    <x v="24"/>
    <s v="GORENG"/>
    <n v="2150"/>
    <n v="90"/>
    <n v="193500"/>
    <n v="160"/>
  </r>
  <r>
    <x v="10"/>
    <s v="AUG"/>
    <x v="35"/>
    <s v="GRSM 4"/>
    <x v="0"/>
    <s v="GMM"/>
    <n v="103257"/>
    <n v="9162509"/>
    <x v="25"/>
    <x v="58"/>
    <s v="BOLOGNESE"/>
    <n v="3200"/>
    <n v="35"/>
    <n v="112000"/>
    <m/>
  </r>
  <r>
    <x v="10"/>
    <s v="AUG"/>
    <x v="35"/>
    <s v="GRSM 4"/>
    <x v="0"/>
    <s v="GMM"/>
    <n v="103257"/>
    <n v="9162509"/>
    <x v="25"/>
    <x v="58"/>
    <s v="CARBONARA"/>
    <n v="3200"/>
    <n v="26"/>
    <n v="83200"/>
    <m/>
  </r>
  <r>
    <x v="10"/>
    <s v="AUG"/>
    <x v="35"/>
    <s v="GRSM 4"/>
    <x v="0"/>
    <s v="GMM"/>
    <n v="103257"/>
    <n v="9162509"/>
    <x v="25"/>
    <x v="58"/>
    <s v="AGLIO OLIO"/>
    <n v="3200"/>
    <n v="77"/>
    <n v="246400"/>
    <m/>
  </r>
  <r>
    <x v="10"/>
    <s v="AUG"/>
    <x v="35"/>
    <s v="GRSM 4"/>
    <x v="0"/>
    <s v="GMM"/>
    <n v="103257"/>
    <n v="9162509"/>
    <x v="25"/>
    <x v="58"/>
    <s v="GORENG"/>
    <n v="3200"/>
    <n v="34"/>
    <n v="108800"/>
    <n v="160"/>
  </r>
  <r>
    <x v="10"/>
    <s v="AUG"/>
    <x v="35"/>
    <s v="GRSM 4"/>
    <x v="0"/>
    <s v="GMM"/>
    <n v="103257"/>
    <n v="9162509"/>
    <x v="25"/>
    <x v="72"/>
    <s v="BOLOGNESE"/>
    <n v="3200"/>
    <n v="25"/>
    <n v="80000"/>
    <m/>
  </r>
  <r>
    <x v="10"/>
    <s v="AUG"/>
    <x v="35"/>
    <s v="GRSM 4"/>
    <x v="0"/>
    <s v="GMM"/>
    <n v="103257"/>
    <n v="9162509"/>
    <x v="25"/>
    <x v="72"/>
    <s v="CARBONARA"/>
    <n v="3200"/>
    <n v="34"/>
    <n v="108800"/>
    <m/>
  </r>
  <r>
    <x v="10"/>
    <s v="AUG"/>
    <x v="35"/>
    <s v="GRSM 4"/>
    <x v="0"/>
    <s v="GMM"/>
    <n v="103257"/>
    <n v="9162509"/>
    <x v="25"/>
    <x v="72"/>
    <s v="AGLIO OLIO"/>
    <n v="3200"/>
    <n v="43"/>
    <n v="137600"/>
    <m/>
  </r>
  <r>
    <x v="10"/>
    <s v="AUG"/>
    <x v="35"/>
    <s v="GRSM 4"/>
    <x v="0"/>
    <s v="GMM"/>
    <n v="103257"/>
    <n v="9162509"/>
    <x v="25"/>
    <x v="72"/>
    <s v="GORENG"/>
    <n v="3200"/>
    <n v="26"/>
    <n v="83200"/>
    <n v="160"/>
  </r>
  <r>
    <x v="10"/>
    <s v="AUG"/>
    <x v="35"/>
    <s v="GRSM 4"/>
    <x v="0"/>
    <s v="GMM"/>
    <n v="103259"/>
    <n v="9002359"/>
    <x v="36"/>
    <x v="1"/>
    <s v="BOLOGNESE"/>
    <n v="3000"/>
    <n v="42"/>
    <n v="126000"/>
    <m/>
  </r>
  <r>
    <x v="10"/>
    <s v="AUG"/>
    <x v="35"/>
    <s v="GRSM 4"/>
    <x v="0"/>
    <s v="GMM"/>
    <n v="103259"/>
    <n v="9002359"/>
    <x v="36"/>
    <x v="1"/>
    <s v="CARBONARA"/>
    <n v="3000"/>
    <n v="0"/>
    <n v="0"/>
    <m/>
  </r>
  <r>
    <x v="10"/>
    <s v="AUG"/>
    <x v="35"/>
    <s v="GRSM 4"/>
    <x v="0"/>
    <s v="GMM"/>
    <n v="103259"/>
    <n v="9002359"/>
    <x v="36"/>
    <x v="1"/>
    <s v="AGLIO OLIO"/>
    <n v="3000"/>
    <n v="0"/>
    <n v="0"/>
    <m/>
  </r>
  <r>
    <x v="10"/>
    <s v="AUG"/>
    <x v="35"/>
    <s v="GRSM 4"/>
    <x v="0"/>
    <s v="GMM"/>
    <n v="103259"/>
    <n v="9002359"/>
    <x v="36"/>
    <x v="1"/>
    <s v="GORENG"/>
    <n v="3000"/>
    <n v="240"/>
    <n v="720000"/>
    <m/>
  </r>
  <r>
    <x v="10"/>
    <s v="AUG"/>
    <x v="35"/>
    <s v="GRSM 4"/>
    <x v="0"/>
    <s v="NKA"/>
    <n v="121409"/>
    <n v="5025004"/>
    <x v="37"/>
    <x v="26"/>
    <s v="BOLOGNESE"/>
    <n v="2100"/>
    <n v="65"/>
    <n v="136500"/>
    <m/>
  </r>
  <r>
    <x v="10"/>
    <s v="AUG"/>
    <x v="35"/>
    <s v="GRSM 4"/>
    <x v="0"/>
    <s v="NKA"/>
    <n v="121409"/>
    <n v="5025004"/>
    <x v="37"/>
    <x v="26"/>
    <s v="CARBONARA"/>
    <n v="2100"/>
    <n v="74"/>
    <n v="155400"/>
    <m/>
  </r>
  <r>
    <x v="10"/>
    <s v="AUG"/>
    <x v="35"/>
    <s v="GRSM 4"/>
    <x v="0"/>
    <s v="NKA"/>
    <n v="121409"/>
    <n v="5025004"/>
    <x v="37"/>
    <x v="26"/>
    <s v="AGLIO OLIO"/>
    <n v="2100"/>
    <n v="63"/>
    <n v="132300"/>
    <m/>
  </r>
  <r>
    <x v="10"/>
    <s v="AUG"/>
    <x v="35"/>
    <s v="GRSM 4"/>
    <x v="0"/>
    <s v="NKA"/>
    <n v="121409"/>
    <n v="5025004"/>
    <x v="37"/>
    <x v="26"/>
    <s v="GORENG"/>
    <n v="2100"/>
    <n v="85"/>
    <n v="178500"/>
    <m/>
  </r>
  <r>
    <x v="10"/>
    <s v="AUG"/>
    <x v="35"/>
    <s v="GRSM 4"/>
    <x v="0"/>
    <s v="NKA"/>
    <n v="121409"/>
    <n v="5025004"/>
    <x v="37"/>
    <x v="27"/>
    <s v="BOLOGNESE"/>
    <n v="2100"/>
    <n v="65"/>
    <n v="136500"/>
    <m/>
  </r>
  <r>
    <x v="10"/>
    <s v="AUG"/>
    <x v="35"/>
    <s v="GRSM 4"/>
    <x v="0"/>
    <s v="NKA"/>
    <n v="121409"/>
    <n v="5025004"/>
    <x v="37"/>
    <x v="27"/>
    <s v="CARBONARA"/>
    <n v="2100"/>
    <n v="74"/>
    <n v="155400"/>
    <m/>
  </r>
  <r>
    <x v="10"/>
    <s v="AUG"/>
    <x v="35"/>
    <s v="GRSM 4"/>
    <x v="0"/>
    <s v="NKA"/>
    <n v="121409"/>
    <n v="5025004"/>
    <x v="37"/>
    <x v="27"/>
    <s v="AGLIO OLIO"/>
    <n v="2100"/>
    <n v="63"/>
    <n v="132300"/>
    <m/>
  </r>
  <r>
    <x v="10"/>
    <s v="AUG"/>
    <x v="35"/>
    <s v="GRSM 4"/>
    <x v="0"/>
    <s v="NKA"/>
    <n v="121409"/>
    <n v="5025004"/>
    <x v="37"/>
    <x v="27"/>
    <s v="GORENG"/>
    <n v="2100"/>
    <n v="85"/>
    <n v="178500"/>
    <m/>
  </r>
  <r>
    <x v="10"/>
    <s v="AUG"/>
    <x v="35"/>
    <s v="GRSM 4"/>
    <x v="0"/>
    <s v="GMM"/>
    <n v="103259"/>
    <n v="9006219"/>
    <x v="38"/>
    <x v="5"/>
    <s v="BOLOGNESE"/>
    <n v="2200"/>
    <n v="45"/>
    <n v="99000"/>
    <m/>
  </r>
  <r>
    <x v="10"/>
    <s v="AUG"/>
    <x v="35"/>
    <s v="GRSM 4"/>
    <x v="0"/>
    <s v="GMM"/>
    <n v="103259"/>
    <n v="9006219"/>
    <x v="38"/>
    <x v="5"/>
    <s v="CARBONARA"/>
    <n v="2200"/>
    <n v="47"/>
    <n v="103400"/>
    <m/>
  </r>
  <r>
    <x v="10"/>
    <s v="AUG"/>
    <x v="35"/>
    <s v="GRSM 4"/>
    <x v="0"/>
    <s v="GMM"/>
    <n v="103259"/>
    <n v="9006219"/>
    <x v="38"/>
    <x v="5"/>
    <s v="AGLIO OLIO"/>
    <n v="2200"/>
    <n v="40"/>
    <n v="88000"/>
    <m/>
  </r>
  <r>
    <x v="10"/>
    <s v="AUG"/>
    <x v="35"/>
    <s v="GRSM 4"/>
    <x v="0"/>
    <s v="GMM"/>
    <n v="103259"/>
    <n v="9006219"/>
    <x v="38"/>
    <x v="5"/>
    <s v="GORENG"/>
    <n v="2200"/>
    <n v="75"/>
    <n v="165000"/>
    <n v="160"/>
  </r>
  <r>
    <x v="10"/>
    <s v="AUG"/>
    <x v="35"/>
    <s v="GRSM 4"/>
    <x v="0"/>
    <s v="GMM"/>
    <n v="103259"/>
    <n v="9006219"/>
    <x v="38"/>
    <x v="4"/>
    <s v="BOLOGNESE"/>
    <n v="2200"/>
    <n v="45"/>
    <n v="99000"/>
    <m/>
  </r>
  <r>
    <x v="10"/>
    <s v="AUG"/>
    <x v="35"/>
    <s v="GRSM 4"/>
    <x v="0"/>
    <s v="GMM"/>
    <n v="103259"/>
    <n v="9006219"/>
    <x v="38"/>
    <x v="4"/>
    <s v="CARBONARA"/>
    <n v="2200"/>
    <n v="47"/>
    <n v="103400"/>
    <m/>
  </r>
  <r>
    <x v="10"/>
    <s v="AUG"/>
    <x v="35"/>
    <s v="GRSM 4"/>
    <x v="0"/>
    <s v="GMM"/>
    <n v="103259"/>
    <n v="9006219"/>
    <x v="38"/>
    <x v="4"/>
    <s v="AGLIO OLIO"/>
    <n v="2200"/>
    <n v="36"/>
    <n v="79200"/>
    <m/>
  </r>
  <r>
    <x v="10"/>
    <s v="AUG"/>
    <x v="35"/>
    <s v="GRSM 4"/>
    <x v="0"/>
    <s v="GMM"/>
    <n v="103259"/>
    <n v="9006219"/>
    <x v="38"/>
    <x v="4"/>
    <s v="GORENG"/>
    <n v="2200"/>
    <n v="75"/>
    <n v="165000"/>
    <n v="160"/>
  </r>
  <r>
    <x v="10"/>
    <s v="AUG"/>
    <x v="35"/>
    <s v="GRSM 4"/>
    <x v="0"/>
    <s v="GMM"/>
    <n v="103258"/>
    <n v="9201924"/>
    <x v="39"/>
    <x v="73"/>
    <s v="BOLOGNESE"/>
    <n v="2200"/>
    <n v="180"/>
    <n v="396000"/>
    <m/>
  </r>
  <r>
    <x v="10"/>
    <s v="AUG"/>
    <x v="35"/>
    <s v="GRSM 4"/>
    <x v="0"/>
    <s v="GMM"/>
    <n v="103258"/>
    <n v="9201924"/>
    <x v="39"/>
    <x v="73"/>
    <s v="CARBONARA"/>
    <n v="2200"/>
    <n v="180"/>
    <n v="396000"/>
    <m/>
  </r>
  <r>
    <x v="10"/>
    <s v="AUG"/>
    <x v="35"/>
    <s v="GRSM 4"/>
    <x v="0"/>
    <s v="GMM"/>
    <n v="103258"/>
    <n v="9201924"/>
    <x v="39"/>
    <x v="73"/>
    <s v="AGLIO OLIO"/>
    <n v="2200"/>
    <n v="0"/>
    <n v="0"/>
    <m/>
  </r>
  <r>
    <x v="10"/>
    <s v="AUG"/>
    <x v="35"/>
    <s v="GRSM 4"/>
    <x v="0"/>
    <s v="GMM"/>
    <n v="103258"/>
    <n v="9201924"/>
    <x v="39"/>
    <x v="73"/>
    <s v="GORENG"/>
    <n v="2200"/>
    <n v="0"/>
    <n v="0"/>
    <n v="10"/>
  </r>
  <r>
    <x v="10"/>
    <s v="AUG"/>
    <x v="35"/>
    <s v="GRSM 4"/>
    <x v="0"/>
    <s v="GMM"/>
    <n v="103258"/>
    <n v="9201924"/>
    <x v="39"/>
    <x v="74"/>
    <s v="BOLOGNESE"/>
    <n v="2200"/>
    <n v="180"/>
    <n v="396000"/>
    <m/>
  </r>
  <r>
    <x v="10"/>
    <s v="AUG"/>
    <x v="35"/>
    <s v="GRSM 4"/>
    <x v="0"/>
    <s v="GMM"/>
    <n v="103258"/>
    <n v="9201924"/>
    <x v="39"/>
    <x v="74"/>
    <s v="CARBONARA"/>
    <n v="2200"/>
    <n v="180"/>
    <n v="396000"/>
    <m/>
  </r>
  <r>
    <x v="10"/>
    <s v="AUG"/>
    <x v="35"/>
    <s v="GRSM 4"/>
    <x v="0"/>
    <s v="GMM"/>
    <n v="103258"/>
    <n v="9201924"/>
    <x v="39"/>
    <x v="74"/>
    <s v="AGLIO OLIO"/>
    <n v="2200"/>
    <n v="0"/>
    <n v="0"/>
    <m/>
  </r>
  <r>
    <x v="10"/>
    <s v="AUG"/>
    <x v="35"/>
    <s v="GRSM 4"/>
    <x v="0"/>
    <s v="GMM"/>
    <n v="103258"/>
    <n v="9201924"/>
    <x v="39"/>
    <x v="74"/>
    <s v="GORENG"/>
    <n v="2200"/>
    <n v="0"/>
    <n v="0"/>
    <n v="10"/>
  </r>
  <r>
    <x v="10"/>
    <s v="AUG"/>
    <x v="36"/>
    <s v="GRSM 4"/>
    <x v="0"/>
    <s v="GMM"/>
    <n v="103259"/>
    <n v="9002359"/>
    <x v="36"/>
    <x v="1"/>
    <s v="BOLOGNESE"/>
    <n v="3000"/>
    <n v="42"/>
    <n v="126000"/>
    <m/>
  </r>
  <r>
    <x v="10"/>
    <s v="AUG"/>
    <x v="36"/>
    <s v="GRSM 4"/>
    <x v="0"/>
    <s v="GMM"/>
    <n v="103259"/>
    <n v="9002359"/>
    <x v="36"/>
    <x v="1"/>
    <s v="CARBONARA"/>
    <n v="3000"/>
    <n v="0"/>
    <n v="0"/>
    <m/>
  </r>
  <r>
    <x v="10"/>
    <s v="AUG"/>
    <x v="36"/>
    <s v="GRSM 4"/>
    <x v="0"/>
    <s v="GMM"/>
    <n v="103259"/>
    <n v="9002359"/>
    <x v="36"/>
    <x v="1"/>
    <s v="AGLIO OLIO"/>
    <n v="3000"/>
    <n v="0"/>
    <n v="0"/>
    <m/>
  </r>
  <r>
    <x v="10"/>
    <s v="AUG"/>
    <x v="36"/>
    <s v="GRSM 4"/>
    <x v="0"/>
    <s v="GMM"/>
    <n v="103259"/>
    <n v="9002359"/>
    <x v="36"/>
    <x v="1"/>
    <s v="GORENG"/>
    <n v="3000"/>
    <n v="240"/>
    <n v="720000"/>
    <n v="160"/>
  </r>
  <r>
    <x v="10"/>
    <s v="AUG"/>
    <x v="36"/>
    <s v="GRSM 4"/>
    <x v="0"/>
    <s v="GMM"/>
    <n v="103259"/>
    <n v="9002359"/>
    <x v="36"/>
    <x v="75"/>
    <s v="BOLOGNESE"/>
    <n v="3000"/>
    <n v="42"/>
    <n v="126000"/>
    <m/>
  </r>
  <r>
    <x v="10"/>
    <s v="AUG"/>
    <x v="36"/>
    <s v="GRSM 4"/>
    <x v="0"/>
    <s v="GMM"/>
    <n v="103259"/>
    <n v="9002359"/>
    <x v="36"/>
    <x v="75"/>
    <s v="CARBONARA"/>
    <n v="3000"/>
    <n v="0"/>
    <n v="0"/>
    <m/>
  </r>
  <r>
    <x v="10"/>
    <s v="AUG"/>
    <x v="36"/>
    <s v="GRSM 4"/>
    <x v="0"/>
    <s v="GMM"/>
    <n v="103259"/>
    <n v="9002359"/>
    <x v="36"/>
    <x v="75"/>
    <s v="AGLIO OLIO"/>
    <n v="3000"/>
    <n v="0"/>
    <n v="0"/>
    <m/>
  </r>
  <r>
    <x v="10"/>
    <s v="AUG"/>
    <x v="36"/>
    <s v="GRSM 4"/>
    <x v="0"/>
    <s v="GMM"/>
    <n v="103259"/>
    <n v="9002359"/>
    <x v="36"/>
    <x v="75"/>
    <s v="GORENG"/>
    <n v="3000"/>
    <n v="240"/>
    <n v="720000"/>
    <n v="160"/>
  </r>
  <r>
    <x v="10"/>
    <s v="AUG"/>
    <x v="36"/>
    <s v="GRSM 3A"/>
    <x v="0"/>
    <s v="GMM"/>
    <n v="211019"/>
    <n v="1556924"/>
    <x v="33"/>
    <x v="70"/>
    <s v="BOLOGNESE"/>
    <n v="2200"/>
    <n v="74"/>
    <n v="162800"/>
    <m/>
  </r>
  <r>
    <x v="10"/>
    <s v="AUG"/>
    <x v="36"/>
    <s v="GRSM 3A"/>
    <x v="0"/>
    <s v="GMM"/>
    <n v="211019"/>
    <n v="1556924"/>
    <x v="33"/>
    <x v="70"/>
    <s v="CARBONARA"/>
    <n v="2200"/>
    <n v="50"/>
    <n v="110000"/>
    <m/>
  </r>
  <r>
    <x v="10"/>
    <s v="AUG"/>
    <x v="36"/>
    <s v="GRSM 3A"/>
    <x v="0"/>
    <s v="GMM"/>
    <n v="211019"/>
    <n v="1556924"/>
    <x v="33"/>
    <x v="70"/>
    <s v="AGLIO OLIO"/>
    <n v="2200"/>
    <n v="22"/>
    <n v="48400"/>
    <m/>
  </r>
  <r>
    <x v="10"/>
    <s v="AUG"/>
    <x v="36"/>
    <s v="GRSM 3A"/>
    <x v="0"/>
    <s v="GMM"/>
    <n v="211019"/>
    <n v="1556924"/>
    <x v="33"/>
    <x v="70"/>
    <s v="GORENG"/>
    <n v="2200"/>
    <n v="90"/>
    <n v="198000"/>
    <n v="125"/>
  </r>
  <r>
    <x v="10"/>
    <s v="AUG"/>
    <x v="36"/>
    <s v="GRSM 3A"/>
    <x v="0"/>
    <s v="GMM"/>
    <n v="211019"/>
    <n v="1556924"/>
    <x v="33"/>
    <x v="71"/>
    <s v="BOLOGNESE"/>
    <n v="2200"/>
    <n v="73"/>
    <n v="160600"/>
    <m/>
  </r>
  <r>
    <x v="10"/>
    <s v="AUG"/>
    <x v="36"/>
    <s v="GRSM 3A"/>
    <x v="0"/>
    <s v="GMM"/>
    <n v="211019"/>
    <n v="1556924"/>
    <x v="33"/>
    <x v="71"/>
    <s v="CARBONARA"/>
    <n v="2200"/>
    <n v="50"/>
    <n v="110000"/>
    <m/>
  </r>
  <r>
    <x v="10"/>
    <s v="AUG"/>
    <x v="36"/>
    <s v="GRSM 3A"/>
    <x v="0"/>
    <s v="GMM"/>
    <n v="211019"/>
    <n v="1556924"/>
    <x v="33"/>
    <x v="71"/>
    <s v="AGLIO OLIO"/>
    <n v="2200"/>
    <n v="22"/>
    <n v="48400"/>
    <m/>
  </r>
  <r>
    <x v="10"/>
    <s v="AUG"/>
    <x v="36"/>
    <s v="GRSM 3A"/>
    <x v="0"/>
    <s v="GMM"/>
    <n v="211019"/>
    <n v="1556924"/>
    <x v="33"/>
    <x v="71"/>
    <s v="GORENG"/>
    <n v="2200"/>
    <n v="90"/>
    <n v="198000"/>
    <n v="125"/>
  </r>
  <r>
    <x v="10"/>
    <s v="AUG"/>
    <x v="36"/>
    <s v="GRSM 4"/>
    <x v="0"/>
    <s v="GMM"/>
    <n v="103712"/>
    <n v="4404677"/>
    <x v="34"/>
    <x v="21"/>
    <s v="BOLOGNESE"/>
    <n v="3000"/>
    <n v="30"/>
    <n v="90000"/>
    <m/>
  </r>
  <r>
    <x v="10"/>
    <s v="AUG"/>
    <x v="36"/>
    <s v="GRSM 4"/>
    <x v="0"/>
    <s v="GMM"/>
    <n v="103712"/>
    <n v="4404677"/>
    <x v="34"/>
    <x v="21"/>
    <s v="CARBONARA"/>
    <n v="3000"/>
    <n v="49"/>
    <n v="147000"/>
    <m/>
  </r>
  <r>
    <x v="10"/>
    <s v="AUG"/>
    <x v="36"/>
    <s v="GRSM 4"/>
    <x v="0"/>
    <s v="GMM"/>
    <n v="103712"/>
    <n v="4404677"/>
    <x v="34"/>
    <x v="21"/>
    <s v="AGLIO OLIO"/>
    <n v="3000"/>
    <n v="27"/>
    <n v="81000"/>
    <m/>
  </r>
  <r>
    <x v="10"/>
    <s v="AUG"/>
    <x v="36"/>
    <s v="GRSM 4"/>
    <x v="0"/>
    <s v="GMM"/>
    <n v="103712"/>
    <n v="4404677"/>
    <x v="34"/>
    <x v="21"/>
    <s v="GORENG"/>
    <n v="3000"/>
    <n v="119"/>
    <n v="357000"/>
    <n v="160"/>
  </r>
  <r>
    <x v="10"/>
    <s v="AUG"/>
    <x v="36"/>
    <s v="GRSM 4"/>
    <x v="0"/>
    <s v="GMM"/>
    <n v="103712"/>
    <n v="4404677"/>
    <x v="34"/>
    <x v="17"/>
    <s v="BOLOGNESE"/>
    <n v="3000"/>
    <n v="30"/>
    <n v="90000"/>
    <m/>
  </r>
  <r>
    <x v="10"/>
    <s v="AUG"/>
    <x v="36"/>
    <s v="GRSM 4"/>
    <x v="0"/>
    <s v="GMM"/>
    <n v="103712"/>
    <n v="4404677"/>
    <x v="34"/>
    <x v="17"/>
    <s v="CARBONARA"/>
    <n v="3000"/>
    <n v="49"/>
    <n v="147000"/>
    <m/>
  </r>
  <r>
    <x v="10"/>
    <s v="AUG"/>
    <x v="36"/>
    <s v="GRSM 4"/>
    <x v="0"/>
    <s v="GMM"/>
    <n v="103712"/>
    <n v="4404677"/>
    <x v="34"/>
    <x v="17"/>
    <s v="AGLIO OLIO"/>
    <n v="3000"/>
    <n v="25"/>
    <n v="75000"/>
    <m/>
  </r>
  <r>
    <x v="10"/>
    <s v="AUG"/>
    <x v="36"/>
    <s v="GRSM 4"/>
    <x v="0"/>
    <s v="GMM"/>
    <n v="103712"/>
    <n v="4404677"/>
    <x v="34"/>
    <x v="17"/>
    <s v="GORENG"/>
    <n v="3000"/>
    <n v="119"/>
    <n v="357000"/>
    <n v="160"/>
  </r>
  <r>
    <x v="10"/>
    <s v="AUG"/>
    <x v="36"/>
    <s v="GRSM 4"/>
    <x v="0"/>
    <s v="NKA"/>
    <n v="121409"/>
    <n v="5025004"/>
    <x v="37"/>
    <x v="26"/>
    <s v="BOLOGNESE"/>
    <n v="2100"/>
    <n v="65"/>
    <n v="136500"/>
    <m/>
  </r>
  <r>
    <x v="10"/>
    <s v="AUG"/>
    <x v="36"/>
    <s v="GRSM 4"/>
    <x v="0"/>
    <s v="NKA"/>
    <n v="121409"/>
    <n v="5025004"/>
    <x v="37"/>
    <x v="26"/>
    <s v="CARBONARA"/>
    <n v="2100"/>
    <n v="74"/>
    <n v="155400"/>
    <m/>
  </r>
  <r>
    <x v="10"/>
    <s v="AUG"/>
    <x v="36"/>
    <s v="GRSM 4"/>
    <x v="0"/>
    <s v="NKA"/>
    <n v="121409"/>
    <n v="5025004"/>
    <x v="37"/>
    <x v="26"/>
    <s v="AGLIO OLIO"/>
    <n v="2100"/>
    <n v="76"/>
    <n v="159600"/>
    <m/>
  </r>
  <r>
    <x v="10"/>
    <s v="AUG"/>
    <x v="36"/>
    <s v="GRSM 4"/>
    <x v="0"/>
    <s v="NKA"/>
    <n v="121409"/>
    <n v="5025004"/>
    <x v="37"/>
    <x v="26"/>
    <s v="GORENG"/>
    <n v="2100"/>
    <n v="85"/>
    <n v="178500"/>
    <n v="160"/>
  </r>
  <r>
    <x v="10"/>
    <s v="AUG"/>
    <x v="36"/>
    <s v="GRSM 4"/>
    <x v="0"/>
    <s v="NKA"/>
    <n v="121409"/>
    <n v="5025004"/>
    <x v="37"/>
    <x v="27"/>
    <s v="BOLOGNESE"/>
    <n v="2100"/>
    <n v="65"/>
    <n v="136500"/>
    <m/>
  </r>
  <r>
    <x v="10"/>
    <s v="AUG"/>
    <x v="36"/>
    <s v="GRSM 4"/>
    <x v="0"/>
    <s v="NKA"/>
    <n v="121409"/>
    <n v="5025004"/>
    <x v="37"/>
    <x v="27"/>
    <s v="CARBONARA"/>
    <n v="2100"/>
    <n v="74"/>
    <n v="155400"/>
    <m/>
  </r>
  <r>
    <x v="10"/>
    <s v="AUG"/>
    <x v="36"/>
    <s v="GRSM 4"/>
    <x v="0"/>
    <s v="NKA"/>
    <n v="121409"/>
    <n v="5025004"/>
    <x v="37"/>
    <x v="27"/>
    <s v="AGLIO OLIO"/>
    <n v="2100"/>
    <n v="76"/>
    <n v="159600"/>
    <m/>
  </r>
  <r>
    <x v="10"/>
    <s v="AUG"/>
    <x v="36"/>
    <s v="GRSM 4"/>
    <x v="0"/>
    <s v="NKA"/>
    <n v="121409"/>
    <n v="5025004"/>
    <x v="37"/>
    <x v="27"/>
    <s v="GORENG"/>
    <n v="2100"/>
    <n v="85"/>
    <n v="178500"/>
    <n v="160"/>
  </r>
  <r>
    <x v="10"/>
    <s v="AUG"/>
    <x v="36"/>
    <s v="GRSM 4"/>
    <x v="0"/>
    <s v="GMM"/>
    <n v="103257"/>
    <n v="9162509"/>
    <x v="25"/>
    <x v="58"/>
    <s v="BOLOGNESE"/>
    <n v="3200"/>
    <n v="45"/>
    <n v="144000"/>
    <m/>
  </r>
  <r>
    <x v="10"/>
    <s v="AUG"/>
    <x v="36"/>
    <s v="GRSM 4"/>
    <x v="0"/>
    <s v="GMM"/>
    <n v="103257"/>
    <n v="9162509"/>
    <x v="25"/>
    <x v="58"/>
    <s v="CARBONARA"/>
    <n v="3200"/>
    <n v="35"/>
    <n v="112000"/>
    <m/>
  </r>
  <r>
    <x v="10"/>
    <s v="AUG"/>
    <x v="36"/>
    <s v="GRSM 4"/>
    <x v="0"/>
    <s v="GMM"/>
    <n v="103257"/>
    <n v="9162509"/>
    <x v="25"/>
    <x v="58"/>
    <s v="AGLIO OLIO"/>
    <n v="3200"/>
    <n v="0"/>
    <n v="0"/>
    <m/>
  </r>
  <r>
    <x v="10"/>
    <s v="AUG"/>
    <x v="36"/>
    <s v="GRSM 4"/>
    <x v="0"/>
    <s v="GMM"/>
    <n v="103257"/>
    <n v="9162509"/>
    <x v="25"/>
    <x v="58"/>
    <s v="GORENG"/>
    <n v="3200"/>
    <n v="33"/>
    <n v="105600"/>
    <n v="160"/>
  </r>
  <r>
    <x v="10"/>
    <s v="AUG"/>
    <x v="36"/>
    <s v="GRSM 4"/>
    <x v="0"/>
    <s v="NKA"/>
    <n v="195403"/>
    <n v="1600007"/>
    <x v="35"/>
    <x v="15"/>
    <s v="BOLOGNESE"/>
    <n v="2150"/>
    <n v="69"/>
    <n v="148350"/>
    <m/>
  </r>
  <r>
    <x v="10"/>
    <s v="AUG"/>
    <x v="36"/>
    <s v="GRSM 4"/>
    <x v="0"/>
    <s v="NKA"/>
    <n v="195403"/>
    <n v="1600007"/>
    <x v="35"/>
    <x v="15"/>
    <s v="CARBONARA"/>
    <n v="2150"/>
    <n v="63"/>
    <n v="135450"/>
    <m/>
  </r>
  <r>
    <x v="10"/>
    <s v="AUG"/>
    <x v="36"/>
    <s v="GRSM 4"/>
    <x v="0"/>
    <s v="NKA"/>
    <n v="195403"/>
    <n v="1600007"/>
    <x v="35"/>
    <x v="15"/>
    <s v="AGLIO OLIO"/>
    <n v="2150"/>
    <n v="45"/>
    <n v="96750"/>
    <m/>
  </r>
  <r>
    <x v="10"/>
    <s v="AUG"/>
    <x v="36"/>
    <s v="GRSM 4"/>
    <x v="0"/>
    <s v="NKA"/>
    <n v="195403"/>
    <n v="1600007"/>
    <x v="35"/>
    <x v="15"/>
    <s v="GORENG"/>
    <n v="2150"/>
    <n v="90"/>
    <n v="193500"/>
    <n v="160"/>
  </r>
  <r>
    <x v="10"/>
    <s v="AUG"/>
    <x v="36"/>
    <s v="GRSM 4"/>
    <x v="0"/>
    <s v="NKA"/>
    <n v="195403"/>
    <n v="1600007"/>
    <x v="35"/>
    <x v="24"/>
    <s v="BOLOGNESE"/>
    <n v="2150"/>
    <n v="69"/>
    <n v="148350"/>
    <m/>
  </r>
  <r>
    <x v="10"/>
    <s v="AUG"/>
    <x v="36"/>
    <s v="GRSM 4"/>
    <x v="0"/>
    <s v="NKA"/>
    <n v="195403"/>
    <n v="1600007"/>
    <x v="35"/>
    <x v="24"/>
    <s v="CARBONARA"/>
    <n v="2150"/>
    <n v="63"/>
    <n v="135450"/>
    <m/>
  </r>
  <r>
    <x v="10"/>
    <s v="AUG"/>
    <x v="36"/>
    <s v="GRSM 4"/>
    <x v="0"/>
    <s v="NKA"/>
    <n v="195403"/>
    <n v="1600007"/>
    <x v="35"/>
    <x v="24"/>
    <s v="AGLIO OLIO"/>
    <n v="2150"/>
    <n v="41"/>
    <n v="88150"/>
    <m/>
  </r>
  <r>
    <x v="10"/>
    <s v="AUG"/>
    <x v="36"/>
    <s v="GRSM 4"/>
    <x v="0"/>
    <s v="NKA"/>
    <n v="195403"/>
    <n v="1600007"/>
    <x v="35"/>
    <x v="24"/>
    <s v="GORENG"/>
    <n v="2150"/>
    <n v="90"/>
    <n v="193500"/>
    <n v="160"/>
  </r>
  <r>
    <x v="10"/>
    <s v="AUG"/>
    <x v="36"/>
    <s v="GRSM 4"/>
    <x v="0"/>
    <s v="GMM"/>
    <n v="103259"/>
    <n v="9006219"/>
    <x v="38"/>
    <x v="5"/>
    <s v="BOLOGNESE"/>
    <n v="2200"/>
    <n v="45"/>
    <n v="99000"/>
    <m/>
  </r>
  <r>
    <x v="10"/>
    <s v="AUG"/>
    <x v="36"/>
    <s v="GRSM 4"/>
    <x v="0"/>
    <s v="GMM"/>
    <n v="103259"/>
    <n v="9006219"/>
    <x v="38"/>
    <x v="5"/>
    <s v="CARBONARA"/>
    <n v="2200"/>
    <n v="47"/>
    <n v="103400"/>
    <m/>
  </r>
  <r>
    <x v="10"/>
    <s v="AUG"/>
    <x v="36"/>
    <s v="GRSM 4"/>
    <x v="0"/>
    <s v="GMM"/>
    <n v="103259"/>
    <n v="9006219"/>
    <x v="38"/>
    <x v="5"/>
    <s v="AGLIO OLIO"/>
    <n v="2200"/>
    <n v="24"/>
    <n v="52800"/>
    <m/>
  </r>
  <r>
    <x v="10"/>
    <s v="AUG"/>
    <x v="36"/>
    <s v="GRSM 4"/>
    <x v="0"/>
    <s v="GMM"/>
    <n v="103259"/>
    <n v="9006219"/>
    <x v="38"/>
    <x v="5"/>
    <s v="GORENG"/>
    <n v="2200"/>
    <n v="75"/>
    <n v="165000"/>
    <n v="160"/>
  </r>
  <r>
    <x v="10"/>
    <s v="AUG"/>
    <x v="36"/>
    <s v="GRSM 4"/>
    <x v="0"/>
    <s v="GMM"/>
    <n v="103259"/>
    <n v="9006219"/>
    <x v="38"/>
    <x v="4"/>
    <s v="BOLOGNESE"/>
    <n v="2200"/>
    <n v="45"/>
    <n v="99000"/>
    <m/>
  </r>
  <r>
    <x v="10"/>
    <s v="AUG"/>
    <x v="36"/>
    <s v="GRSM 4"/>
    <x v="0"/>
    <s v="GMM"/>
    <n v="103259"/>
    <n v="9006219"/>
    <x v="38"/>
    <x v="4"/>
    <s v="CARBONARA"/>
    <n v="2200"/>
    <n v="47"/>
    <n v="103400"/>
    <m/>
  </r>
  <r>
    <x v="10"/>
    <s v="AUG"/>
    <x v="36"/>
    <s v="GRSM 4"/>
    <x v="0"/>
    <s v="GMM"/>
    <n v="103259"/>
    <n v="9006219"/>
    <x v="38"/>
    <x v="4"/>
    <s v="AGLIO OLIO"/>
    <n v="2200"/>
    <n v="18"/>
    <n v="39600"/>
    <m/>
  </r>
  <r>
    <x v="10"/>
    <s v="AUG"/>
    <x v="36"/>
    <s v="GRSM 4"/>
    <x v="0"/>
    <s v="GMM"/>
    <n v="103259"/>
    <n v="9006219"/>
    <x v="38"/>
    <x v="4"/>
    <s v="GORENG"/>
    <n v="2200"/>
    <n v="75"/>
    <n v="165000"/>
    <n v="160"/>
  </r>
  <r>
    <x v="10"/>
    <s v="AUG"/>
    <x v="37"/>
    <s v="GRSM 4"/>
    <x v="0"/>
    <s v="NKA"/>
    <n v="121409"/>
    <n v="5025004"/>
    <x v="37"/>
    <x v="27"/>
    <s v="BOLOGNESE"/>
    <n v="2100"/>
    <n v="65"/>
    <n v="136500"/>
    <m/>
  </r>
  <r>
    <x v="10"/>
    <s v="AUG"/>
    <x v="37"/>
    <s v="GRSM 4"/>
    <x v="0"/>
    <s v="NKA"/>
    <n v="121409"/>
    <n v="5025004"/>
    <x v="37"/>
    <x v="27"/>
    <s v="CARBONARA"/>
    <n v="2100"/>
    <n v="74"/>
    <n v="155400"/>
    <m/>
  </r>
  <r>
    <x v="10"/>
    <s v="AUG"/>
    <x v="37"/>
    <s v="GRSM 4"/>
    <x v="0"/>
    <s v="NKA"/>
    <n v="121409"/>
    <n v="5025004"/>
    <x v="37"/>
    <x v="27"/>
    <s v="AGLIO OLIO"/>
    <n v="2100"/>
    <n v="84"/>
    <n v="176400"/>
    <m/>
  </r>
  <r>
    <x v="10"/>
    <s v="AUG"/>
    <x v="37"/>
    <s v="GRSM 4"/>
    <x v="0"/>
    <s v="NKA"/>
    <n v="121409"/>
    <n v="5025004"/>
    <x v="37"/>
    <x v="27"/>
    <s v="GORENG"/>
    <n v="2100"/>
    <n v="85"/>
    <n v="178500"/>
    <n v="160"/>
  </r>
  <r>
    <x v="10"/>
    <s v="AUG"/>
    <x v="37"/>
    <s v="GRSM 4"/>
    <x v="0"/>
    <s v="NKA"/>
    <n v="121409"/>
    <n v="5025004"/>
    <x v="37"/>
    <x v="26"/>
    <s v="BOLOGNESE"/>
    <n v="2100"/>
    <n v="65"/>
    <n v="136500"/>
    <m/>
  </r>
  <r>
    <x v="10"/>
    <s v="AUG"/>
    <x v="37"/>
    <s v="GRSM 4"/>
    <x v="0"/>
    <s v="NKA"/>
    <n v="121409"/>
    <n v="5025004"/>
    <x v="37"/>
    <x v="26"/>
    <s v="CARBONARA"/>
    <n v="2100"/>
    <n v="74"/>
    <n v="155400"/>
    <m/>
  </r>
  <r>
    <x v="10"/>
    <s v="AUG"/>
    <x v="37"/>
    <s v="GRSM 4"/>
    <x v="0"/>
    <s v="NKA"/>
    <n v="121409"/>
    <n v="5025004"/>
    <x v="37"/>
    <x v="26"/>
    <s v="AGLIO OLIO"/>
    <n v="2100"/>
    <n v="84"/>
    <n v="176400"/>
    <m/>
  </r>
  <r>
    <x v="10"/>
    <s v="AUG"/>
    <x v="37"/>
    <s v="GRSM 4"/>
    <x v="0"/>
    <s v="NKA"/>
    <n v="121409"/>
    <n v="5025004"/>
    <x v="37"/>
    <x v="26"/>
    <s v="GORENG"/>
    <n v="2100"/>
    <n v="85"/>
    <n v="178500"/>
    <n v="160"/>
  </r>
  <r>
    <x v="10"/>
    <s v="AUG"/>
    <x v="37"/>
    <s v="GRSM 4"/>
    <x v="0"/>
    <s v="GMM"/>
    <n v="103259"/>
    <n v="9002359"/>
    <x v="36"/>
    <x v="1"/>
    <s v="BOLOGNESE"/>
    <n v="3000"/>
    <n v="42"/>
    <n v="126000"/>
    <m/>
  </r>
  <r>
    <x v="10"/>
    <s v="AUG"/>
    <x v="37"/>
    <s v="GRSM 4"/>
    <x v="0"/>
    <s v="GMM"/>
    <n v="103259"/>
    <n v="9002359"/>
    <x v="36"/>
    <x v="1"/>
    <s v="CARBONARA"/>
    <n v="3000"/>
    <n v="0"/>
    <n v="0"/>
    <m/>
  </r>
  <r>
    <x v="10"/>
    <s v="AUG"/>
    <x v="37"/>
    <s v="GRSM 4"/>
    <x v="0"/>
    <s v="GMM"/>
    <n v="103259"/>
    <n v="9002359"/>
    <x v="36"/>
    <x v="1"/>
    <s v="AGLIO OLIO"/>
    <n v="3000"/>
    <n v="0"/>
    <n v="0"/>
    <m/>
  </r>
  <r>
    <x v="10"/>
    <s v="AUG"/>
    <x v="37"/>
    <s v="GRSM 4"/>
    <x v="0"/>
    <s v="GMM"/>
    <n v="103259"/>
    <n v="9002359"/>
    <x v="36"/>
    <x v="1"/>
    <s v="GORENG"/>
    <n v="3000"/>
    <n v="240"/>
    <n v="720000"/>
    <m/>
  </r>
  <r>
    <x v="10"/>
    <s v="AUG"/>
    <x v="37"/>
    <s v="GRSM 4"/>
    <x v="0"/>
    <s v="GMM"/>
    <n v="103259"/>
    <n v="9002359"/>
    <x v="36"/>
    <x v="75"/>
    <s v="BOLOGNESE"/>
    <n v="3000"/>
    <n v="42"/>
    <n v="126000"/>
    <m/>
  </r>
  <r>
    <x v="10"/>
    <s v="AUG"/>
    <x v="37"/>
    <s v="GRSM 4"/>
    <x v="0"/>
    <s v="GMM"/>
    <n v="103259"/>
    <n v="9002359"/>
    <x v="36"/>
    <x v="75"/>
    <s v="CARBONARA"/>
    <n v="3000"/>
    <n v="0"/>
    <n v="0"/>
    <m/>
  </r>
  <r>
    <x v="10"/>
    <s v="AUG"/>
    <x v="37"/>
    <s v="GRSM 4"/>
    <x v="0"/>
    <s v="GMM"/>
    <n v="103259"/>
    <n v="9002359"/>
    <x v="36"/>
    <x v="75"/>
    <s v="AGLIO OLIO"/>
    <n v="3000"/>
    <n v="0"/>
    <n v="0"/>
    <m/>
  </r>
  <r>
    <x v="10"/>
    <s v="AUG"/>
    <x v="37"/>
    <s v="GRSM 4"/>
    <x v="0"/>
    <s v="GMM"/>
    <n v="103259"/>
    <n v="9002359"/>
    <x v="36"/>
    <x v="75"/>
    <s v="GORENG"/>
    <n v="3000"/>
    <n v="240"/>
    <n v="720000"/>
    <m/>
  </r>
  <r>
    <x v="10"/>
    <s v="AUG"/>
    <x v="37"/>
    <s v="GRSM 4"/>
    <x v="0"/>
    <s v="NKA"/>
    <n v="195403"/>
    <n v="1600007"/>
    <x v="35"/>
    <x v="15"/>
    <s v="BOLOGNESE"/>
    <n v="2150"/>
    <n v="69"/>
    <n v="148350"/>
    <m/>
  </r>
  <r>
    <x v="10"/>
    <s v="AUG"/>
    <x v="37"/>
    <s v="GRSM 4"/>
    <x v="0"/>
    <s v="NKA"/>
    <n v="195403"/>
    <n v="1600007"/>
    <x v="35"/>
    <x v="15"/>
    <s v="CARBONARA"/>
    <n v="2150"/>
    <n v="63"/>
    <n v="135450"/>
    <m/>
  </r>
  <r>
    <x v="10"/>
    <s v="AUG"/>
    <x v="37"/>
    <s v="GRSM 4"/>
    <x v="0"/>
    <s v="NKA"/>
    <n v="195403"/>
    <n v="1600007"/>
    <x v="35"/>
    <x v="15"/>
    <s v="AGLIO OLIO"/>
    <n v="2150"/>
    <n v="51"/>
    <n v="109650"/>
    <m/>
  </r>
  <r>
    <x v="10"/>
    <s v="AUG"/>
    <x v="37"/>
    <s v="GRSM 4"/>
    <x v="0"/>
    <s v="NKA"/>
    <n v="195403"/>
    <n v="1600007"/>
    <x v="35"/>
    <x v="15"/>
    <s v="GORENG"/>
    <n v="2150"/>
    <n v="90"/>
    <n v="193500"/>
    <n v="160"/>
  </r>
  <r>
    <x v="10"/>
    <s v="AUG"/>
    <x v="37"/>
    <s v="GRSM 4"/>
    <x v="0"/>
    <s v="NKA"/>
    <n v="195403"/>
    <n v="1600007"/>
    <x v="35"/>
    <x v="24"/>
    <s v="BOLOGNESE"/>
    <n v="2150"/>
    <n v="69"/>
    <n v="148350"/>
    <m/>
  </r>
  <r>
    <x v="10"/>
    <s v="AUG"/>
    <x v="37"/>
    <s v="GRSM 4"/>
    <x v="0"/>
    <s v="NKA"/>
    <n v="195403"/>
    <n v="1600007"/>
    <x v="35"/>
    <x v="24"/>
    <s v="CARBONARA"/>
    <n v="2150"/>
    <n v="63"/>
    <n v="135450"/>
    <m/>
  </r>
  <r>
    <x v="10"/>
    <s v="AUG"/>
    <x v="37"/>
    <s v="GRSM 4"/>
    <x v="0"/>
    <s v="NKA"/>
    <n v="195403"/>
    <n v="1600007"/>
    <x v="35"/>
    <x v="24"/>
    <s v="AGLIO OLIO"/>
    <n v="2150"/>
    <n v="48"/>
    <n v="103200"/>
    <m/>
  </r>
  <r>
    <x v="10"/>
    <s v="AUG"/>
    <x v="37"/>
    <s v="GRSM 4"/>
    <x v="0"/>
    <s v="NKA"/>
    <n v="195403"/>
    <n v="1600007"/>
    <x v="35"/>
    <x v="24"/>
    <s v="GORENG"/>
    <n v="2150"/>
    <n v="90"/>
    <n v="193500"/>
    <n v="160"/>
  </r>
  <r>
    <x v="10"/>
    <s v="AUG"/>
    <x v="37"/>
    <s v="GRSM 4"/>
    <x v="0"/>
    <s v="GMM"/>
    <n v="103712"/>
    <n v="4404677"/>
    <x v="34"/>
    <x v="17"/>
    <s v="BOLOGNESE"/>
    <n v="3000"/>
    <n v="30"/>
    <n v="90000"/>
    <m/>
  </r>
  <r>
    <x v="10"/>
    <s v="AUG"/>
    <x v="37"/>
    <s v="GRSM 4"/>
    <x v="0"/>
    <s v="GMM"/>
    <n v="103712"/>
    <n v="4404677"/>
    <x v="34"/>
    <x v="17"/>
    <s v="CARBONARA"/>
    <n v="3000"/>
    <n v="49"/>
    <n v="147000"/>
    <m/>
  </r>
  <r>
    <x v="10"/>
    <s v="AUG"/>
    <x v="37"/>
    <s v="GRSM 4"/>
    <x v="0"/>
    <s v="GMM"/>
    <n v="103712"/>
    <n v="4404677"/>
    <x v="34"/>
    <x v="17"/>
    <s v="AGLIO OLIO"/>
    <n v="3000"/>
    <n v="22"/>
    <n v="66000"/>
    <m/>
  </r>
  <r>
    <x v="10"/>
    <s v="AUG"/>
    <x v="37"/>
    <s v="GRSM 4"/>
    <x v="0"/>
    <s v="GMM"/>
    <n v="103712"/>
    <n v="4404677"/>
    <x v="34"/>
    <x v="17"/>
    <s v="GORENG"/>
    <n v="3000"/>
    <n v="119"/>
    <n v="357000"/>
    <n v="160"/>
  </r>
  <r>
    <x v="10"/>
    <s v="AUG"/>
    <x v="37"/>
    <s v="GRSM 4"/>
    <x v="0"/>
    <s v="GMM"/>
    <n v="103712"/>
    <n v="4404677"/>
    <x v="34"/>
    <x v="21"/>
    <s v="BOLOGNESE"/>
    <n v="3000"/>
    <n v="30"/>
    <n v="90000"/>
    <m/>
  </r>
  <r>
    <x v="10"/>
    <s v="AUG"/>
    <x v="37"/>
    <s v="GRSM 4"/>
    <x v="0"/>
    <s v="GMM"/>
    <n v="103712"/>
    <n v="4404677"/>
    <x v="34"/>
    <x v="21"/>
    <s v="CARBONARA"/>
    <n v="3000"/>
    <n v="49"/>
    <n v="147000"/>
    <m/>
  </r>
  <r>
    <x v="10"/>
    <s v="AUG"/>
    <x v="37"/>
    <s v="GRSM 4"/>
    <x v="0"/>
    <s v="GMM"/>
    <n v="103712"/>
    <n v="4404677"/>
    <x v="34"/>
    <x v="21"/>
    <s v="AGLIO OLIO"/>
    <n v="3000"/>
    <n v="24"/>
    <n v="72000"/>
    <m/>
  </r>
  <r>
    <x v="10"/>
    <s v="AUG"/>
    <x v="37"/>
    <s v="GRSM 4"/>
    <x v="0"/>
    <s v="GMM"/>
    <n v="103712"/>
    <n v="4404677"/>
    <x v="34"/>
    <x v="21"/>
    <s v="GORENG"/>
    <n v="3000"/>
    <n v="119"/>
    <n v="357000"/>
    <n v="160"/>
  </r>
  <r>
    <x v="10"/>
    <s v="AUG"/>
    <x v="37"/>
    <s v="GRSM 4"/>
    <x v="0"/>
    <s v="GMM"/>
    <n v="103257"/>
    <n v="9162509"/>
    <x v="25"/>
    <x v="72"/>
    <s v="BOLOGNESE"/>
    <n v="3200"/>
    <n v="23"/>
    <n v="73600"/>
    <m/>
  </r>
  <r>
    <x v="10"/>
    <s v="AUG"/>
    <x v="37"/>
    <s v="GRSM 4"/>
    <x v="0"/>
    <s v="GMM"/>
    <n v="103257"/>
    <n v="9162509"/>
    <x v="25"/>
    <x v="72"/>
    <s v="CARBONARA"/>
    <n v="3200"/>
    <n v="28"/>
    <n v="89600"/>
    <m/>
  </r>
  <r>
    <x v="10"/>
    <s v="AUG"/>
    <x v="37"/>
    <s v="GRSM 4"/>
    <x v="0"/>
    <s v="GMM"/>
    <n v="103257"/>
    <n v="9162509"/>
    <x v="25"/>
    <x v="72"/>
    <s v="AGLIO OLIO"/>
    <n v="3200"/>
    <n v="26"/>
    <n v="83200"/>
    <m/>
  </r>
  <r>
    <x v="10"/>
    <s v="AUG"/>
    <x v="37"/>
    <s v="GRSM 4"/>
    <x v="0"/>
    <s v="GMM"/>
    <n v="103257"/>
    <n v="9162509"/>
    <x v="25"/>
    <x v="72"/>
    <s v="GORENG"/>
    <n v="3200"/>
    <n v="15"/>
    <n v="48000"/>
    <n v="160"/>
  </r>
  <r>
    <x v="10"/>
    <s v="AUG"/>
    <x v="37"/>
    <s v="GRSM 4"/>
    <x v="0"/>
    <s v="GMM"/>
    <n v="103259"/>
    <n v="9006219"/>
    <x v="38"/>
    <x v="5"/>
    <s v="BOLOGNESE"/>
    <n v="2200"/>
    <n v="45"/>
    <n v="99000"/>
    <m/>
  </r>
  <r>
    <x v="10"/>
    <s v="AUG"/>
    <x v="37"/>
    <s v="GRSM 4"/>
    <x v="0"/>
    <s v="GMM"/>
    <n v="103259"/>
    <n v="9006219"/>
    <x v="38"/>
    <x v="5"/>
    <s v="CARBONARA"/>
    <n v="2200"/>
    <n v="47"/>
    <n v="103400"/>
    <m/>
  </r>
  <r>
    <x v="10"/>
    <s v="AUG"/>
    <x v="37"/>
    <s v="GRSM 4"/>
    <x v="0"/>
    <s v="GMM"/>
    <n v="103259"/>
    <n v="9006219"/>
    <x v="38"/>
    <x v="5"/>
    <s v="AGLIO OLIO"/>
    <n v="2200"/>
    <n v="21"/>
    <n v="46200"/>
    <m/>
  </r>
  <r>
    <x v="10"/>
    <s v="AUG"/>
    <x v="37"/>
    <s v="GRSM 4"/>
    <x v="0"/>
    <s v="GMM"/>
    <n v="103259"/>
    <n v="9006219"/>
    <x v="38"/>
    <x v="5"/>
    <s v="GORENG"/>
    <n v="2200"/>
    <n v="75"/>
    <n v="165000"/>
    <n v="160"/>
  </r>
  <r>
    <x v="10"/>
    <s v="AUG"/>
    <x v="37"/>
    <s v="GRSM 4"/>
    <x v="0"/>
    <s v="GMM"/>
    <n v="103259"/>
    <n v="9006219"/>
    <x v="38"/>
    <x v="4"/>
    <s v="BOLOGNESE"/>
    <n v="2200"/>
    <n v="45"/>
    <n v="99000"/>
    <m/>
  </r>
  <r>
    <x v="10"/>
    <s v="AUG"/>
    <x v="37"/>
    <s v="GRSM 4"/>
    <x v="0"/>
    <s v="GMM"/>
    <n v="103259"/>
    <n v="9006219"/>
    <x v="38"/>
    <x v="4"/>
    <s v="CARBONARA"/>
    <n v="2200"/>
    <n v="47"/>
    <n v="103400"/>
    <m/>
  </r>
  <r>
    <x v="10"/>
    <s v="AUG"/>
    <x v="37"/>
    <s v="GRSM 4"/>
    <x v="0"/>
    <s v="GMM"/>
    <n v="103259"/>
    <n v="9006219"/>
    <x v="38"/>
    <x v="4"/>
    <s v="AGLIO OLIO"/>
    <n v="2200"/>
    <n v="24"/>
    <n v="52800"/>
    <m/>
  </r>
  <r>
    <x v="10"/>
    <s v="AUG"/>
    <x v="37"/>
    <s v="GRSM 4"/>
    <x v="0"/>
    <s v="GMM"/>
    <n v="103259"/>
    <n v="9006219"/>
    <x v="38"/>
    <x v="4"/>
    <s v="GORENG"/>
    <n v="2200"/>
    <n v="75"/>
    <n v="165000"/>
    <n v="160"/>
  </r>
  <r>
    <x v="10"/>
    <s v="AUG"/>
    <x v="36"/>
    <s v="GRSM 4"/>
    <x v="0"/>
    <s v="GMM"/>
    <n v="103258"/>
    <n v="9201924"/>
    <x v="39"/>
    <x v="73"/>
    <s v="BOLOGNESE"/>
    <n v="2200"/>
    <n v="180"/>
    <n v="396000"/>
    <m/>
  </r>
  <r>
    <x v="10"/>
    <s v="AUG"/>
    <x v="36"/>
    <s v="GRSM 4"/>
    <x v="0"/>
    <s v="GMM"/>
    <n v="103258"/>
    <n v="9201924"/>
    <x v="39"/>
    <x v="73"/>
    <s v="CARBONARA"/>
    <n v="2200"/>
    <n v="180"/>
    <n v="396000"/>
    <m/>
  </r>
  <r>
    <x v="10"/>
    <s v="AUG"/>
    <x v="36"/>
    <s v="GRSM 4"/>
    <x v="0"/>
    <s v="GMM"/>
    <n v="103258"/>
    <n v="9201924"/>
    <x v="39"/>
    <x v="73"/>
    <s v="AGLIO OLIO"/>
    <n v="2200"/>
    <n v="0"/>
    <n v="0"/>
    <m/>
  </r>
  <r>
    <x v="10"/>
    <s v="AUG"/>
    <x v="36"/>
    <s v="GRSM 4"/>
    <x v="0"/>
    <s v="GMM"/>
    <n v="103258"/>
    <n v="9201924"/>
    <x v="39"/>
    <x v="73"/>
    <s v="GORENG"/>
    <n v="2200"/>
    <n v="0"/>
    <n v="0"/>
    <n v="100"/>
  </r>
  <r>
    <x v="10"/>
    <s v="AUG"/>
    <x v="36"/>
    <s v="GRSM 4"/>
    <x v="0"/>
    <s v="GMM"/>
    <n v="103258"/>
    <n v="9201924"/>
    <x v="39"/>
    <x v="74"/>
    <s v="BOLOGNESE"/>
    <n v="2200"/>
    <n v="180"/>
    <n v="396000"/>
    <m/>
  </r>
  <r>
    <x v="10"/>
    <s v="AUG"/>
    <x v="36"/>
    <s v="GRSM 4"/>
    <x v="0"/>
    <s v="GMM"/>
    <n v="103258"/>
    <n v="9201924"/>
    <x v="39"/>
    <x v="74"/>
    <s v="CARBONARA"/>
    <n v="2200"/>
    <n v="180"/>
    <n v="396000"/>
    <m/>
  </r>
  <r>
    <x v="10"/>
    <s v="AUG"/>
    <x v="36"/>
    <s v="GRSM 4"/>
    <x v="0"/>
    <s v="GMM"/>
    <n v="103258"/>
    <n v="9201924"/>
    <x v="39"/>
    <x v="74"/>
    <s v="AGLIO OLIO"/>
    <n v="2200"/>
    <n v="0"/>
    <n v="0"/>
    <m/>
  </r>
  <r>
    <x v="10"/>
    <s v="AUG"/>
    <x v="36"/>
    <s v="GRSM 4"/>
    <x v="0"/>
    <s v="GMM"/>
    <n v="103258"/>
    <n v="9201924"/>
    <x v="39"/>
    <x v="74"/>
    <s v="GORENG"/>
    <n v="2200"/>
    <n v="0"/>
    <n v="0"/>
    <n v="100"/>
  </r>
  <r>
    <x v="10"/>
    <s v="AUG"/>
    <x v="37"/>
    <s v="GRSM 4"/>
    <x v="0"/>
    <s v="GMM"/>
    <n v="103258"/>
    <n v="9201924"/>
    <x v="39"/>
    <x v="73"/>
    <s v="BOLOGNESE"/>
    <n v="2200"/>
    <n v="180"/>
    <n v="396000"/>
    <m/>
  </r>
  <r>
    <x v="10"/>
    <s v="AUG"/>
    <x v="37"/>
    <s v="GRSM 4"/>
    <x v="0"/>
    <s v="GMM"/>
    <n v="103258"/>
    <n v="9201924"/>
    <x v="39"/>
    <x v="73"/>
    <s v="CARBONARA"/>
    <n v="2200"/>
    <n v="180"/>
    <n v="396000"/>
    <m/>
  </r>
  <r>
    <x v="10"/>
    <s v="AUG"/>
    <x v="37"/>
    <s v="GRSM 4"/>
    <x v="0"/>
    <s v="GMM"/>
    <n v="103258"/>
    <n v="9201924"/>
    <x v="39"/>
    <x v="73"/>
    <s v="AGLIO OLIO"/>
    <n v="2200"/>
    <n v="0"/>
    <n v="0"/>
    <m/>
  </r>
  <r>
    <x v="10"/>
    <s v="AUG"/>
    <x v="37"/>
    <s v="GRSM 4"/>
    <x v="0"/>
    <s v="GMM"/>
    <n v="103258"/>
    <n v="9201924"/>
    <x v="39"/>
    <x v="73"/>
    <s v="GORENG"/>
    <n v="2200"/>
    <n v="0"/>
    <n v="0"/>
    <n v="160"/>
  </r>
  <r>
    <x v="10"/>
    <s v="AUG"/>
    <x v="37"/>
    <s v="GRSM 4"/>
    <x v="0"/>
    <s v="GMM"/>
    <n v="103258"/>
    <n v="9201924"/>
    <x v="39"/>
    <x v="74"/>
    <s v="BOLOGNESE"/>
    <n v="2200"/>
    <n v="180"/>
    <n v="396000"/>
    <m/>
  </r>
  <r>
    <x v="10"/>
    <s v="AUG"/>
    <x v="37"/>
    <s v="GRSM 4"/>
    <x v="0"/>
    <s v="GMM"/>
    <n v="103258"/>
    <n v="9201924"/>
    <x v="39"/>
    <x v="74"/>
    <s v="CARBONARA"/>
    <n v="2200"/>
    <n v="180"/>
    <n v="396000"/>
    <m/>
  </r>
  <r>
    <x v="10"/>
    <s v="AUG"/>
    <x v="37"/>
    <s v="GRSM 4"/>
    <x v="0"/>
    <s v="GMM"/>
    <n v="103258"/>
    <n v="9201924"/>
    <x v="39"/>
    <x v="74"/>
    <s v="AGLIO OLIO"/>
    <n v="2200"/>
    <n v="0"/>
    <n v="0"/>
    <m/>
  </r>
  <r>
    <x v="10"/>
    <s v="AUG"/>
    <x v="37"/>
    <s v="GRSM 4"/>
    <x v="0"/>
    <s v="GMM"/>
    <n v="103258"/>
    <n v="9201924"/>
    <x v="39"/>
    <x v="74"/>
    <s v="GORENG"/>
    <n v="2200"/>
    <n v="0"/>
    <n v="0"/>
    <n v="160"/>
  </r>
  <r>
    <x v="10"/>
    <s v="AUG"/>
    <x v="35"/>
    <s v="GRSM 1"/>
    <x v="3"/>
    <s v="MT"/>
    <n v="122506"/>
    <n v="202879"/>
    <x v="28"/>
    <x v="60"/>
    <s v="BOLOGNESE"/>
    <n v="6400"/>
    <n v="37"/>
    <n v="236800"/>
    <m/>
  </r>
  <r>
    <x v="10"/>
    <s v="AUG"/>
    <x v="35"/>
    <s v="GRSM 1"/>
    <x v="3"/>
    <s v="MT"/>
    <n v="122506"/>
    <n v="202879"/>
    <x v="28"/>
    <x v="60"/>
    <s v="CARBONARA"/>
    <n v="6400"/>
    <n v="40"/>
    <n v="256000"/>
    <m/>
  </r>
  <r>
    <x v="10"/>
    <s v="AUG"/>
    <x v="35"/>
    <s v="GRSM 1"/>
    <x v="3"/>
    <s v="MT"/>
    <n v="122506"/>
    <n v="202879"/>
    <x v="28"/>
    <x v="60"/>
    <s v="AGLIO OLIO"/>
    <n v="6400"/>
    <n v="13"/>
    <n v="83200"/>
    <m/>
  </r>
  <r>
    <x v="10"/>
    <s v="AUG"/>
    <x v="35"/>
    <s v="GRSM 1"/>
    <x v="3"/>
    <s v="MT"/>
    <n v="122506"/>
    <n v="202879"/>
    <x v="28"/>
    <x v="60"/>
    <s v="GORENG"/>
    <n v="6400"/>
    <n v="87"/>
    <n v="556800"/>
    <n v="160"/>
  </r>
  <r>
    <x v="10"/>
    <s v="AUG"/>
    <x v="35"/>
    <s v="GRSM 1"/>
    <x v="3"/>
    <s v="MT"/>
    <n v="122506"/>
    <n v="202879"/>
    <x v="28"/>
    <x v="61"/>
    <s v="BOLOGNESE"/>
    <n v="6400"/>
    <n v="37"/>
    <n v="236800"/>
    <m/>
  </r>
  <r>
    <x v="10"/>
    <s v="AUG"/>
    <x v="35"/>
    <s v="GRSM 1"/>
    <x v="3"/>
    <s v="MT"/>
    <n v="122506"/>
    <n v="202879"/>
    <x v="28"/>
    <x v="61"/>
    <s v="CARBONARA"/>
    <n v="6400"/>
    <n v="40"/>
    <n v="256000"/>
    <m/>
  </r>
  <r>
    <x v="10"/>
    <s v="AUG"/>
    <x v="35"/>
    <s v="GRSM 1"/>
    <x v="3"/>
    <s v="MT"/>
    <n v="122506"/>
    <n v="202879"/>
    <x v="28"/>
    <x v="61"/>
    <s v="AGLIO OLIO"/>
    <n v="6400"/>
    <n v="12"/>
    <n v="76800"/>
    <m/>
  </r>
  <r>
    <x v="10"/>
    <s v="AUG"/>
    <x v="35"/>
    <s v="GRSM 1"/>
    <x v="3"/>
    <s v="MT"/>
    <n v="122506"/>
    <n v="202879"/>
    <x v="28"/>
    <x v="61"/>
    <s v="GORENG"/>
    <n v="6400"/>
    <n v="87"/>
    <n v="556800"/>
    <n v="160"/>
  </r>
  <r>
    <x v="10"/>
    <s v="AUG"/>
    <x v="35"/>
    <s v="GRSM 1"/>
    <x v="3"/>
    <s v="MT"/>
    <n v="122506"/>
    <n v="214300"/>
    <x v="31"/>
    <x v="62"/>
    <s v="BOLOGNESE"/>
    <n v="7000"/>
    <n v="10"/>
    <n v="70000"/>
    <m/>
  </r>
  <r>
    <x v="10"/>
    <s v="AUG"/>
    <x v="35"/>
    <s v="GRSM 1"/>
    <x v="3"/>
    <s v="MT"/>
    <n v="122506"/>
    <n v="214300"/>
    <x v="31"/>
    <x v="62"/>
    <s v="CARBONARA"/>
    <n v="7000"/>
    <n v="10"/>
    <n v="70000"/>
    <m/>
  </r>
  <r>
    <x v="10"/>
    <s v="AUG"/>
    <x v="35"/>
    <s v="GRSM 1"/>
    <x v="3"/>
    <s v="MT"/>
    <n v="122506"/>
    <n v="214300"/>
    <x v="31"/>
    <x v="62"/>
    <s v="AGLIO OLIO"/>
    <n v="7000"/>
    <n v="15"/>
    <n v="105000"/>
    <m/>
  </r>
  <r>
    <x v="10"/>
    <s v="AUG"/>
    <x v="35"/>
    <s v="GRSM 1"/>
    <x v="3"/>
    <s v="MT"/>
    <n v="122506"/>
    <n v="214300"/>
    <x v="31"/>
    <x v="62"/>
    <s v="GORENG"/>
    <n v="7000"/>
    <n v="23"/>
    <n v="161000"/>
    <n v="160"/>
  </r>
  <r>
    <x v="10"/>
    <s v="AUG"/>
    <x v="35"/>
    <s v="GRSM 1"/>
    <x v="3"/>
    <s v="MT"/>
    <n v="122506"/>
    <n v="214300"/>
    <x v="31"/>
    <x v="63"/>
    <s v="BOLOGNESE"/>
    <n v="7000"/>
    <n v="10"/>
    <n v="70000"/>
    <m/>
  </r>
  <r>
    <x v="10"/>
    <s v="AUG"/>
    <x v="35"/>
    <s v="GRSM 1"/>
    <x v="3"/>
    <s v="MT"/>
    <n v="122506"/>
    <n v="214300"/>
    <x v="31"/>
    <x v="63"/>
    <s v="CARBONARA"/>
    <n v="7000"/>
    <n v="10"/>
    <n v="70000"/>
    <m/>
  </r>
  <r>
    <x v="10"/>
    <s v="AUG"/>
    <x v="35"/>
    <s v="GRSM 1"/>
    <x v="3"/>
    <s v="MT"/>
    <n v="122506"/>
    <n v="214300"/>
    <x v="31"/>
    <x v="63"/>
    <s v="AGLIO OLIO"/>
    <n v="7000"/>
    <n v="15"/>
    <n v="105000"/>
    <m/>
  </r>
  <r>
    <x v="10"/>
    <s v="AUG"/>
    <x v="35"/>
    <s v="GRSM 1"/>
    <x v="3"/>
    <s v="MT"/>
    <n v="122506"/>
    <n v="214300"/>
    <x v="31"/>
    <x v="63"/>
    <s v="GORENG"/>
    <n v="7000"/>
    <n v="22"/>
    <n v="154000"/>
    <n v="160"/>
  </r>
  <r>
    <x v="10"/>
    <s v="AUG"/>
    <x v="35"/>
    <s v="GRSM 2"/>
    <x v="3"/>
    <s v="MT"/>
    <n v="175700"/>
    <n v="1370001"/>
    <x v="32"/>
    <x v="68"/>
    <s v="BOLOGNESE"/>
    <n v="2210"/>
    <n v="40"/>
    <n v="88400"/>
    <m/>
  </r>
  <r>
    <x v="10"/>
    <s v="AUG"/>
    <x v="35"/>
    <s v="GRSM 2"/>
    <x v="3"/>
    <s v="MT"/>
    <n v="175700"/>
    <n v="1370001"/>
    <x v="32"/>
    <x v="68"/>
    <s v="CARBONARA"/>
    <n v="2210"/>
    <n v="60"/>
    <n v="132600"/>
    <m/>
  </r>
  <r>
    <x v="10"/>
    <s v="AUG"/>
    <x v="35"/>
    <s v="GRSM 2"/>
    <x v="3"/>
    <s v="MT"/>
    <n v="175700"/>
    <n v="1370001"/>
    <x v="32"/>
    <x v="68"/>
    <s v="AGLIO OLIO"/>
    <n v="2210"/>
    <n v="40"/>
    <n v="88400"/>
    <m/>
  </r>
  <r>
    <x v="10"/>
    <s v="AUG"/>
    <x v="35"/>
    <s v="GRSM 2"/>
    <x v="3"/>
    <s v="MT"/>
    <n v="175700"/>
    <n v="1370001"/>
    <x v="32"/>
    <x v="68"/>
    <s v="GORENG"/>
    <n v="2210"/>
    <n v="60"/>
    <n v="132600"/>
    <n v="78"/>
  </r>
  <r>
    <x v="10"/>
    <s v="AUG"/>
    <x v="35"/>
    <s v="GRSM 2"/>
    <x v="3"/>
    <s v="MT"/>
    <n v="175700"/>
    <n v="1370001"/>
    <x v="32"/>
    <x v="69"/>
    <s v="BOLOGNESE"/>
    <n v="2210"/>
    <n v="40"/>
    <n v="88400"/>
    <m/>
  </r>
  <r>
    <x v="10"/>
    <s v="AUG"/>
    <x v="35"/>
    <s v="GRSM 2"/>
    <x v="3"/>
    <s v="MT"/>
    <n v="175700"/>
    <n v="1370001"/>
    <x v="32"/>
    <x v="69"/>
    <s v="CARBONARA"/>
    <n v="2210"/>
    <n v="60"/>
    <n v="132600"/>
    <m/>
  </r>
  <r>
    <x v="10"/>
    <s v="AUG"/>
    <x v="35"/>
    <s v="GRSM 2"/>
    <x v="3"/>
    <s v="MT"/>
    <n v="175700"/>
    <n v="1370001"/>
    <x v="32"/>
    <x v="69"/>
    <s v="AGLIO OLIO"/>
    <n v="2210"/>
    <n v="40"/>
    <n v="88400"/>
    <m/>
  </r>
  <r>
    <x v="10"/>
    <s v="AUG"/>
    <x v="35"/>
    <s v="GRSM 2"/>
    <x v="3"/>
    <s v="MT"/>
    <n v="175700"/>
    <n v="1370001"/>
    <x v="32"/>
    <x v="69"/>
    <s v="GORENG"/>
    <n v="2210"/>
    <n v="60"/>
    <n v="132600"/>
    <n v="78"/>
  </r>
  <r>
    <x v="10"/>
    <s v="AUG"/>
    <x v="35"/>
    <s v="GRSM 1"/>
    <x v="3"/>
    <s v="MT"/>
    <n v="122506"/>
    <n v="214422"/>
    <x v="30"/>
    <x v="64"/>
    <s v="BOLOGNESE"/>
    <n v="6400"/>
    <n v="40"/>
    <n v="256000"/>
    <m/>
  </r>
  <r>
    <x v="10"/>
    <s v="AUG"/>
    <x v="35"/>
    <s v="GRSM 1"/>
    <x v="3"/>
    <s v="MT"/>
    <n v="122506"/>
    <n v="214422"/>
    <x v="30"/>
    <x v="64"/>
    <s v="CARBONARA"/>
    <n v="6400"/>
    <n v="42"/>
    <n v="268800"/>
    <m/>
  </r>
  <r>
    <x v="10"/>
    <s v="AUG"/>
    <x v="35"/>
    <s v="GRSM 1"/>
    <x v="3"/>
    <s v="MT"/>
    <n v="122506"/>
    <n v="214422"/>
    <x v="30"/>
    <x v="64"/>
    <s v="AGLIO OLIO"/>
    <n v="6400"/>
    <n v="20"/>
    <n v="128000"/>
    <m/>
  </r>
  <r>
    <x v="10"/>
    <s v="AUG"/>
    <x v="35"/>
    <s v="GRSM 1"/>
    <x v="3"/>
    <s v="MT"/>
    <n v="122506"/>
    <n v="214422"/>
    <x v="30"/>
    <x v="64"/>
    <s v="GORENG"/>
    <n v="6400"/>
    <n v="84"/>
    <n v="537600"/>
    <n v="160"/>
  </r>
  <r>
    <x v="10"/>
    <s v="AUG"/>
    <x v="35"/>
    <s v="GRSM 1"/>
    <x v="3"/>
    <s v="MT"/>
    <n v="122506"/>
    <n v="214422"/>
    <x v="30"/>
    <x v="65"/>
    <s v="BOLOGNESE"/>
    <n v="6400"/>
    <n v="40"/>
    <n v="256000"/>
    <m/>
  </r>
  <r>
    <x v="10"/>
    <s v="AUG"/>
    <x v="35"/>
    <s v="GRSM 1"/>
    <x v="3"/>
    <s v="MT"/>
    <n v="122506"/>
    <n v="214422"/>
    <x v="30"/>
    <x v="65"/>
    <s v="CARBONARA"/>
    <n v="6400"/>
    <n v="42"/>
    <n v="268800"/>
    <m/>
  </r>
  <r>
    <x v="10"/>
    <s v="AUG"/>
    <x v="35"/>
    <s v="GRSM 1"/>
    <x v="3"/>
    <s v="MT"/>
    <n v="122506"/>
    <n v="214422"/>
    <x v="30"/>
    <x v="65"/>
    <s v="AGLIO OLIO"/>
    <n v="6400"/>
    <n v="20"/>
    <n v="128000"/>
    <m/>
  </r>
  <r>
    <x v="10"/>
    <s v="AUG"/>
    <x v="35"/>
    <s v="GRSM 1"/>
    <x v="3"/>
    <s v="MT"/>
    <n v="122506"/>
    <n v="214422"/>
    <x v="30"/>
    <x v="65"/>
    <s v="GORENG"/>
    <n v="6400"/>
    <n v="84"/>
    <n v="537600"/>
    <n v="160"/>
  </r>
  <r>
    <x v="10"/>
    <s v="AUG"/>
    <x v="36"/>
    <s v="GRSM 2"/>
    <x v="3"/>
    <s v="MT"/>
    <n v="175700"/>
    <n v="1370001"/>
    <x v="32"/>
    <x v="68"/>
    <s v="BOLOGNESE"/>
    <n v="2210"/>
    <n v="90"/>
    <n v="198900"/>
    <m/>
  </r>
  <r>
    <x v="10"/>
    <s v="AUG"/>
    <x v="36"/>
    <s v="GRSM 2"/>
    <x v="3"/>
    <s v="MT"/>
    <n v="175700"/>
    <n v="1370001"/>
    <x v="32"/>
    <x v="68"/>
    <s v="CARBONARA"/>
    <n v="2210"/>
    <n v="40"/>
    <n v="88400"/>
    <m/>
  </r>
  <r>
    <x v="10"/>
    <s v="AUG"/>
    <x v="36"/>
    <s v="GRSM 2"/>
    <x v="3"/>
    <s v="MT"/>
    <n v="175700"/>
    <n v="1370001"/>
    <x v="32"/>
    <x v="68"/>
    <s v="AGLIO OLIO"/>
    <n v="2210"/>
    <n v="43"/>
    <n v="95030"/>
    <m/>
  </r>
  <r>
    <x v="10"/>
    <s v="AUG"/>
    <x v="36"/>
    <s v="GRSM 2"/>
    <x v="3"/>
    <s v="MT"/>
    <n v="175700"/>
    <n v="1370001"/>
    <x v="32"/>
    <x v="68"/>
    <s v="GORENG"/>
    <n v="2210"/>
    <n v="60"/>
    <n v="132600"/>
    <n v="90"/>
  </r>
  <r>
    <x v="10"/>
    <s v="AUG"/>
    <x v="36"/>
    <s v="GRSM 2"/>
    <x v="3"/>
    <s v="MT"/>
    <n v="175700"/>
    <n v="1370001"/>
    <x v="32"/>
    <x v="69"/>
    <s v="BOLOGNESE"/>
    <n v="2210"/>
    <n v="90"/>
    <n v="198900"/>
    <m/>
  </r>
  <r>
    <x v="10"/>
    <s v="AUG"/>
    <x v="36"/>
    <s v="GRSM 2"/>
    <x v="3"/>
    <s v="MT"/>
    <n v="175700"/>
    <n v="1370001"/>
    <x v="32"/>
    <x v="69"/>
    <s v="CARBONARA"/>
    <n v="2210"/>
    <n v="40"/>
    <n v="88400"/>
    <m/>
  </r>
  <r>
    <x v="10"/>
    <s v="AUG"/>
    <x v="36"/>
    <s v="GRSM 2"/>
    <x v="3"/>
    <s v="MT"/>
    <n v="175700"/>
    <n v="1370001"/>
    <x v="32"/>
    <x v="69"/>
    <s v="AGLIO OLIO"/>
    <n v="2210"/>
    <n v="42"/>
    <n v="92820"/>
    <m/>
  </r>
  <r>
    <x v="10"/>
    <s v="AUG"/>
    <x v="36"/>
    <s v="GRSM 2"/>
    <x v="3"/>
    <s v="MT"/>
    <n v="175700"/>
    <n v="1370001"/>
    <x v="32"/>
    <x v="69"/>
    <s v="GORENG"/>
    <n v="2210"/>
    <n v="60"/>
    <n v="132600"/>
    <n v="90"/>
  </r>
  <r>
    <x v="10"/>
    <s v="AUG"/>
    <x v="36"/>
    <s v="GRSM 1"/>
    <x v="3"/>
    <s v="MT"/>
    <n v="122506"/>
    <n v="214300"/>
    <x v="31"/>
    <x v="62"/>
    <s v="BOLOGNESE"/>
    <n v="7000"/>
    <n v="15"/>
    <n v="105000"/>
    <m/>
  </r>
  <r>
    <x v="10"/>
    <s v="AUG"/>
    <x v="36"/>
    <s v="GRSM 1"/>
    <x v="3"/>
    <s v="MT"/>
    <n v="122506"/>
    <n v="214300"/>
    <x v="31"/>
    <x v="62"/>
    <s v="CARBONARA"/>
    <n v="7000"/>
    <n v="25"/>
    <n v="175000"/>
    <m/>
  </r>
  <r>
    <x v="10"/>
    <s v="AUG"/>
    <x v="36"/>
    <s v="GRSM 1"/>
    <x v="3"/>
    <s v="MT"/>
    <n v="122506"/>
    <n v="214300"/>
    <x v="31"/>
    <x v="62"/>
    <s v="AGLIO OLIO"/>
    <n v="7000"/>
    <n v="23"/>
    <n v="161000"/>
    <m/>
  </r>
  <r>
    <x v="10"/>
    <s v="AUG"/>
    <x v="36"/>
    <s v="GRSM 1"/>
    <x v="3"/>
    <s v="MT"/>
    <n v="122506"/>
    <n v="214300"/>
    <x v="31"/>
    <x v="62"/>
    <s v="GORENG"/>
    <n v="7000"/>
    <n v="40"/>
    <n v="280000"/>
    <n v="160"/>
  </r>
  <r>
    <x v="10"/>
    <s v="AUG"/>
    <x v="36"/>
    <s v="GRSM 1"/>
    <x v="3"/>
    <s v="MT"/>
    <n v="122506"/>
    <n v="214300"/>
    <x v="31"/>
    <x v="63"/>
    <s v="BOLOGNESE"/>
    <n v="7000"/>
    <n v="15"/>
    <n v="105000"/>
    <m/>
  </r>
  <r>
    <x v="10"/>
    <s v="AUG"/>
    <x v="36"/>
    <s v="GRSM 1"/>
    <x v="3"/>
    <s v="MT"/>
    <n v="122506"/>
    <n v="214300"/>
    <x v="31"/>
    <x v="63"/>
    <s v="CARBONARA"/>
    <n v="7000"/>
    <n v="25"/>
    <n v="175000"/>
    <m/>
  </r>
  <r>
    <x v="10"/>
    <s v="AUG"/>
    <x v="36"/>
    <s v="GRSM 1"/>
    <x v="3"/>
    <s v="MT"/>
    <n v="122506"/>
    <n v="214300"/>
    <x v="31"/>
    <x v="63"/>
    <s v="AGLIO OLIO"/>
    <n v="7000"/>
    <n v="23"/>
    <n v="161000"/>
    <m/>
  </r>
  <r>
    <x v="10"/>
    <s v="AUG"/>
    <x v="36"/>
    <s v="GRSM 1"/>
    <x v="3"/>
    <s v="MT"/>
    <n v="122506"/>
    <n v="214300"/>
    <x v="31"/>
    <x v="63"/>
    <s v="GORENG"/>
    <n v="7000"/>
    <n v="40"/>
    <n v="280000"/>
    <n v="160"/>
  </r>
  <r>
    <x v="10"/>
    <s v="AUG"/>
    <x v="36"/>
    <s v="GRSM 1"/>
    <x v="3"/>
    <s v="MT"/>
    <n v="122506"/>
    <n v="202879"/>
    <x v="28"/>
    <x v="60"/>
    <s v="BOLOGNESE"/>
    <n v="6400"/>
    <n v="37"/>
    <n v="236800"/>
    <m/>
  </r>
  <r>
    <x v="10"/>
    <s v="AUG"/>
    <x v="36"/>
    <s v="GRSM 1"/>
    <x v="3"/>
    <s v="MT"/>
    <n v="122506"/>
    <n v="202879"/>
    <x v="28"/>
    <x v="60"/>
    <s v="CARBONARA"/>
    <n v="6400"/>
    <n v="40"/>
    <n v="256000"/>
    <m/>
  </r>
  <r>
    <x v="10"/>
    <s v="AUG"/>
    <x v="36"/>
    <s v="GRSM 1"/>
    <x v="3"/>
    <s v="MT"/>
    <n v="122506"/>
    <n v="202879"/>
    <x v="28"/>
    <x v="60"/>
    <s v="AGLIO OLIO"/>
    <n v="6400"/>
    <n v="54"/>
    <n v="345600"/>
    <m/>
  </r>
  <r>
    <x v="10"/>
    <s v="AUG"/>
    <x v="36"/>
    <s v="GRSM 1"/>
    <x v="3"/>
    <s v="MT"/>
    <n v="122506"/>
    <n v="202879"/>
    <x v="28"/>
    <x v="60"/>
    <s v="GORENG"/>
    <n v="6400"/>
    <n v="87"/>
    <n v="556800"/>
    <n v="160"/>
  </r>
  <r>
    <x v="10"/>
    <s v="AUG"/>
    <x v="36"/>
    <s v="GRSM 1"/>
    <x v="3"/>
    <s v="MT"/>
    <n v="122506"/>
    <n v="202879"/>
    <x v="28"/>
    <x v="61"/>
    <s v="BOLOGNESE"/>
    <n v="6400"/>
    <n v="37"/>
    <n v="236800"/>
    <m/>
  </r>
  <r>
    <x v="10"/>
    <s v="AUG"/>
    <x v="36"/>
    <s v="GRSM 1"/>
    <x v="3"/>
    <s v="MT"/>
    <n v="122506"/>
    <n v="202879"/>
    <x v="28"/>
    <x v="61"/>
    <s v="CARBONARA"/>
    <n v="6400"/>
    <n v="40"/>
    <n v="256000"/>
    <m/>
  </r>
  <r>
    <x v="10"/>
    <s v="AUG"/>
    <x v="36"/>
    <s v="GRSM 1"/>
    <x v="3"/>
    <s v="MT"/>
    <n v="122506"/>
    <n v="202879"/>
    <x v="28"/>
    <x v="61"/>
    <s v="AGLIO OLIO"/>
    <n v="6400"/>
    <n v="53"/>
    <n v="339200"/>
    <m/>
  </r>
  <r>
    <x v="10"/>
    <s v="AUG"/>
    <x v="36"/>
    <s v="GRSM 1"/>
    <x v="3"/>
    <s v="MT"/>
    <n v="122506"/>
    <n v="202879"/>
    <x v="28"/>
    <x v="61"/>
    <s v="GORENG"/>
    <n v="6400"/>
    <n v="87"/>
    <n v="556800"/>
    <n v="160"/>
  </r>
  <r>
    <x v="10"/>
    <s v="AUG"/>
    <x v="36"/>
    <s v="GRSM 1"/>
    <x v="3"/>
    <s v="MT"/>
    <n v="122506"/>
    <n v="214422"/>
    <x v="30"/>
    <x v="65"/>
    <s v="BOLOGNESE"/>
    <n v="6400"/>
    <n v="40"/>
    <n v="256000"/>
    <m/>
  </r>
  <r>
    <x v="10"/>
    <s v="AUG"/>
    <x v="36"/>
    <s v="GRSM 1"/>
    <x v="3"/>
    <s v="MT"/>
    <n v="122506"/>
    <n v="214422"/>
    <x v="30"/>
    <x v="65"/>
    <s v="CARBONARA"/>
    <n v="6400"/>
    <n v="42"/>
    <n v="268800"/>
    <m/>
  </r>
  <r>
    <x v="10"/>
    <s v="AUG"/>
    <x v="36"/>
    <s v="GRSM 1"/>
    <x v="3"/>
    <s v="MT"/>
    <n v="122506"/>
    <n v="214422"/>
    <x v="30"/>
    <x v="65"/>
    <s v="AGLIO OLIO"/>
    <n v="6400"/>
    <n v="37"/>
    <n v="236800"/>
    <m/>
  </r>
  <r>
    <x v="10"/>
    <s v="AUG"/>
    <x v="36"/>
    <s v="GRSM 1"/>
    <x v="3"/>
    <s v="MT"/>
    <n v="122506"/>
    <n v="214422"/>
    <x v="30"/>
    <x v="65"/>
    <s v="GORENG"/>
    <n v="6400"/>
    <n v="84"/>
    <n v="537600"/>
    <n v="160"/>
  </r>
  <r>
    <x v="10"/>
    <s v="AUG"/>
    <x v="36"/>
    <s v="GRSM 1"/>
    <x v="3"/>
    <s v="MT"/>
    <n v="122506"/>
    <n v="214422"/>
    <x v="30"/>
    <x v="64"/>
    <s v="BOLOGNESE"/>
    <n v="6400"/>
    <n v="40"/>
    <n v="256000"/>
    <m/>
  </r>
  <r>
    <x v="10"/>
    <s v="AUG"/>
    <x v="36"/>
    <s v="GRSM 1"/>
    <x v="3"/>
    <s v="MT"/>
    <n v="122506"/>
    <n v="214422"/>
    <x v="30"/>
    <x v="64"/>
    <s v="CARBONARA"/>
    <n v="6400"/>
    <n v="42"/>
    <n v="268800"/>
    <m/>
  </r>
  <r>
    <x v="10"/>
    <s v="AUG"/>
    <x v="36"/>
    <s v="GRSM 1"/>
    <x v="3"/>
    <s v="MT"/>
    <n v="122506"/>
    <n v="214422"/>
    <x v="30"/>
    <x v="64"/>
    <s v="AGLIO OLIO"/>
    <n v="6400"/>
    <n v="37"/>
    <n v="236800"/>
    <m/>
  </r>
  <r>
    <x v="10"/>
    <s v="AUG"/>
    <x v="36"/>
    <s v="GRSM 1"/>
    <x v="3"/>
    <s v="MT"/>
    <n v="122506"/>
    <n v="214422"/>
    <x v="30"/>
    <x v="64"/>
    <s v="GORENG"/>
    <n v="6400"/>
    <n v="84"/>
    <n v="537600"/>
    <n v="160"/>
  </r>
  <r>
    <x v="10"/>
    <s v="AUG"/>
    <x v="36"/>
    <s v="GRSM 1"/>
    <x v="3"/>
    <s v="MT"/>
    <n v="122506"/>
    <n v="202816"/>
    <x v="29"/>
    <x v="66"/>
    <s v="BOLOGNESE"/>
    <n v="7000"/>
    <n v="11"/>
    <n v="77000"/>
    <m/>
  </r>
  <r>
    <x v="10"/>
    <s v="AUG"/>
    <x v="36"/>
    <s v="GRSM 1"/>
    <x v="3"/>
    <s v="MT"/>
    <n v="122506"/>
    <n v="202816"/>
    <x v="29"/>
    <x v="66"/>
    <s v="CARBONARA"/>
    <n v="7000"/>
    <n v="11"/>
    <n v="77000"/>
    <m/>
  </r>
  <r>
    <x v="10"/>
    <s v="AUG"/>
    <x v="36"/>
    <s v="GRSM 1"/>
    <x v="3"/>
    <s v="MT"/>
    <n v="122506"/>
    <n v="202816"/>
    <x v="29"/>
    <x v="66"/>
    <s v="AGLIO OLIO"/>
    <n v="7000"/>
    <n v="10"/>
    <n v="70000"/>
    <m/>
  </r>
  <r>
    <x v="10"/>
    <s v="AUG"/>
    <x v="36"/>
    <s v="GRSM 1"/>
    <x v="3"/>
    <s v="MT"/>
    <n v="122506"/>
    <n v="202816"/>
    <x v="29"/>
    <x v="66"/>
    <s v="GORENG"/>
    <n v="7000"/>
    <n v="23"/>
    <n v="161000"/>
    <n v="160"/>
  </r>
  <r>
    <x v="10"/>
    <s v="AUG"/>
    <x v="36"/>
    <s v="GRSM 1"/>
    <x v="3"/>
    <s v="MT"/>
    <n v="122506"/>
    <n v="202816"/>
    <x v="29"/>
    <x v="67"/>
    <s v="BOLOGNESE"/>
    <n v="7000"/>
    <n v="11"/>
    <n v="77000"/>
    <m/>
  </r>
  <r>
    <x v="10"/>
    <s v="AUG"/>
    <x v="36"/>
    <s v="GRSM 1"/>
    <x v="3"/>
    <s v="MT"/>
    <n v="122506"/>
    <n v="202816"/>
    <x v="29"/>
    <x v="67"/>
    <s v="CARBONARA"/>
    <n v="7000"/>
    <n v="10"/>
    <n v="70000"/>
    <m/>
  </r>
  <r>
    <x v="10"/>
    <s v="AUG"/>
    <x v="36"/>
    <s v="GRSM 1"/>
    <x v="3"/>
    <s v="MT"/>
    <n v="122506"/>
    <n v="202816"/>
    <x v="29"/>
    <x v="67"/>
    <s v="AGLIO OLIO"/>
    <n v="7000"/>
    <n v="9"/>
    <n v="63000"/>
    <m/>
  </r>
  <r>
    <x v="10"/>
    <s v="AUG"/>
    <x v="36"/>
    <s v="GRSM 1"/>
    <x v="3"/>
    <s v="MT"/>
    <n v="122506"/>
    <n v="202816"/>
    <x v="29"/>
    <x v="67"/>
    <s v="GORENG"/>
    <n v="7000"/>
    <n v="23"/>
    <n v="161000"/>
    <n v="160"/>
  </r>
  <r>
    <x v="10"/>
    <s v="AUG"/>
    <x v="37"/>
    <s v="GRSM 1"/>
    <x v="3"/>
    <s v="MT"/>
    <n v="122506"/>
    <n v="202879"/>
    <x v="28"/>
    <x v="60"/>
    <s v="BOLOGNESE"/>
    <n v="6400"/>
    <n v="37"/>
    <n v="236800"/>
    <m/>
  </r>
  <r>
    <x v="10"/>
    <s v="AUG"/>
    <x v="37"/>
    <s v="GRSM 1"/>
    <x v="3"/>
    <s v="MT"/>
    <n v="122506"/>
    <n v="202879"/>
    <x v="28"/>
    <x v="60"/>
    <s v="CARBONARA"/>
    <n v="6400"/>
    <n v="40"/>
    <n v="256000"/>
    <m/>
  </r>
  <r>
    <x v="10"/>
    <s v="AUG"/>
    <x v="37"/>
    <s v="GRSM 1"/>
    <x v="3"/>
    <s v="MT"/>
    <n v="122506"/>
    <n v="202879"/>
    <x v="28"/>
    <x v="60"/>
    <s v="AGLIO OLIO"/>
    <n v="6400"/>
    <n v="20"/>
    <n v="128000"/>
    <m/>
  </r>
  <r>
    <x v="10"/>
    <s v="AUG"/>
    <x v="37"/>
    <s v="GRSM 1"/>
    <x v="3"/>
    <s v="MT"/>
    <n v="122506"/>
    <n v="202879"/>
    <x v="28"/>
    <x v="60"/>
    <s v="GORENG"/>
    <n v="6400"/>
    <n v="87"/>
    <n v="556800"/>
    <n v="160"/>
  </r>
  <r>
    <x v="10"/>
    <s v="AUG"/>
    <x v="37"/>
    <s v="GRSM 1"/>
    <x v="3"/>
    <s v="MT"/>
    <n v="122506"/>
    <n v="202879"/>
    <x v="28"/>
    <x v="61"/>
    <s v="BOLOGNESE"/>
    <n v="6400"/>
    <n v="37"/>
    <n v="236800"/>
    <m/>
  </r>
  <r>
    <x v="10"/>
    <s v="AUG"/>
    <x v="37"/>
    <s v="GRSM 1"/>
    <x v="3"/>
    <s v="MT"/>
    <n v="122506"/>
    <n v="202879"/>
    <x v="28"/>
    <x v="61"/>
    <s v="CARBONARA"/>
    <n v="6400"/>
    <n v="40"/>
    <n v="256000"/>
    <m/>
  </r>
  <r>
    <x v="10"/>
    <s v="AUG"/>
    <x v="37"/>
    <s v="GRSM 1"/>
    <x v="3"/>
    <s v="MT"/>
    <n v="122506"/>
    <n v="202879"/>
    <x v="28"/>
    <x v="61"/>
    <s v="AGLIO OLIO"/>
    <n v="6400"/>
    <n v="20"/>
    <n v="128000"/>
    <m/>
  </r>
  <r>
    <x v="10"/>
    <s v="AUG"/>
    <x v="37"/>
    <s v="GRSM 1"/>
    <x v="3"/>
    <s v="MT"/>
    <n v="122506"/>
    <n v="202879"/>
    <x v="28"/>
    <x v="61"/>
    <s v="GORENG"/>
    <n v="6400"/>
    <n v="87"/>
    <n v="556800"/>
    <n v="160"/>
  </r>
  <r>
    <x v="10"/>
    <s v="AUG"/>
    <x v="37"/>
    <s v="GRSM 1"/>
    <x v="3"/>
    <s v="MT"/>
    <n v="122506"/>
    <n v="202816"/>
    <x v="29"/>
    <x v="66"/>
    <s v="BOLOGNESE"/>
    <n v="7000"/>
    <n v="10"/>
    <n v="70000"/>
    <m/>
  </r>
  <r>
    <x v="10"/>
    <s v="AUG"/>
    <x v="37"/>
    <s v="GRSM 1"/>
    <x v="3"/>
    <s v="MT"/>
    <n v="122506"/>
    <n v="202816"/>
    <x v="29"/>
    <x v="66"/>
    <s v="CARBONARA"/>
    <n v="7000"/>
    <n v="13"/>
    <n v="91000"/>
    <m/>
  </r>
  <r>
    <x v="10"/>
    <s v="AUG"/>
    <x v="37"/>
    <s v="GRSM 1"/>
    <x v="3"/>
    <s v="MT"/>
    <n v="122506"/>
    <n v="202816"/>
    <x v="29"/>
    <x v="66"/>
    <s v="AGLIO OLIO"/>
    <n v="7000"/>
    <n v="8"/>
    <n v="56000"/>
    <m/>
  </r>
  <r>
    <x v="10"/>
    <s v="AUG"/>
    <x v="37"/>
    <s v="GRSM 1"/>
    <x v="3"/>
    <s v="MT"/>
    <n v="122506"/>
    <n v="202816"/>
    <x v="29"/>
    <x v="66"/>
    <s v="GORENG"/>
    <n v="7000"/>
    <n v="29"/>
    <n v="203000"/>
    <n v="160"/>
  </r>
  <r>
    <x v="10"/>
    <s v="AUG"/>
    <x v="37"/>
    <s v="GRSM 1"/>
    <x v="3"/>
    <s v="MT"/>
    <n v="122506"/>
    <n v="202816"/>
    <x v="29"/>
    <x v="67"/>
    <s v="BOLOGNESE"/>
    <n v="7000"/>
    <n v="10"/>
    <n v="70000"/>
    <m/>
  </r>
  <r>
    <x v="10"/>
    <s v="AUG"/>
    <x v="37"/>
    <s v="GRSM 1"/>
    <x v="3"/>
    <s v="MT"/>
    <n v="122506"/>
    <n v="202816"/>
    <x v="29"/>
    <x v="67"/>
    <s v="CARBONARA"/>
    <n v="7000"/>
    <n v="13"/>
    <n v="91000"/>
    <m/>
  </r>
  <r>
    <x v="10"/>
    <s v="AUG"/>
    <x v="37"/>
    <s v="GRSM 1"/>
    <x v="3"/>
    <s v="MT"/>
    <n v="122506"/>
    <n v="202816"/>
    <x v="29"/>
    <x v="67"/>
    <s v="AGLIO OLIO"/>
    <n v="7000"/>
    <n v="7"/>
    <n v="49000"/>
    <m/>
  </r>
  <r>
    <x v="10"/>
    <s v="AUG"/>
    <x v="37"/>
    <s v="GRSM 1"/>
    <x v="3"/>
    <s v="MT"/>
    <n v="122506"/>
    <n v="202816"/>
    <x v="29"/>
    <x v="67"/>
    <s v="GORENG"/>
    <n v="7000"/>
    <n v="29"/>
    <n v="203000"/>
    <n v="160"/>
  </r>
  <r>
    <x v="10"/>
    <s v="AUG"/>
    <x v="37"/>
    <s v="GRSM 1"/>
    <x v="3"/>
    <s v="MT"/>
    <n v="122506"/>
    <n v="214300"/>
    <x v="31"/>
    <x v="62"/>
    <s v="BOLOGNESE"/>
    <n v="7000"/>
    <n v="20"/>
    <n v="140000"/>
    <m/>
  </r>
  <r>
    <x v="10"/>
    <s v="AUG"/>
    <x v="37"/>
    <s v="GRSM 1"/>
    <x v="3"/>
    <s v="MT"/>
    <n v="122506"/>
    <n v="214300"/>
    <x v="31"/>
    <x v="62"/>
    <s v="CARBONARA"/>
    <n v="7000"/>
    <n v="26"/>
    <n v="182000"/>
    <m/>
  </r>
  <r>
    <x v="10"/>
    <s v="AUG"/>
    <x v="37"/>
    <s v="GRSM 1"/>
    <x v="3"/>
    <s v="MT"/>
    <n v="122506"/>
    <n v="214300"/>
    <x v="31"/>
    <x v="62"/>
    <s v="AGLIO OLIO"/>
    <n v="7000"/>
    <n v="15"/>
    <n v="105000"/>
    <m/>
  </r>
  <r>
    <x v="10"/>
    <s v="AUG"/>
    <x v="37"/>
    <s v="GRSM 1"/>
    <x v="3"/>
    <s v="MT"/>
    <n v="122506"/>
    <n v="214300"/>
    <x v="31"/>
    <x v="62"/>
    <s v="GORENG"/>
    <n v="7000"/>
    <n v="45"/>
    <n v="315000"/>
    <n v="160"/>
  </r>
  <r>
    <x v="10"/>
    <s v="AUG"/>
    <x v="37"/>
    <s v="GRSM 1"/>
    <x v="3"/>
    <s v="MT"/>
    <n v="122506"/>
    <n v="214300"/>
    <x v="31"/>
    <x v="63"/>
    <s v="BOLOGNESE"/>
    <n v="7000"/>
    <n v="20"/>
    <n v="140000"/>
    <m/>
  </r>
  <r>
    <x v="10"/>
    <s v="AUG"/>
    <x v="37"/>
    <s v="GRSM 1"/>
    <x v="3"/>
    <s v="MT"/>
    <n v="122506"/>
    <n v="214300"/>
    <x v="31"/>
    <x v="63"/>
    <s v="CARBONARA"/>
    <n v="7000"/>
    <n v="26"/>
    <n v="182000"/>
    <m/>
  </r>
  <r>
    <x v="10"/>
    <s v="AUG"/>
    <x v="37"/>
    <s v="GRSM 1"/>
    <x v="3"/>
    <s v="MT"/>
    <n v="122506"/>
    <n v="214300"/>
    <x v="31"/>
    <x v="63"/>
    <s v="AGLIO OLIO"/>
    <n v="7000"/>
    <n v="15"/>
    <n v="105000"/>
    <m/>
  </r>
  <r>
    <x v="10"/>
    <s v="AUG"/>
    <x v="37"/>
    <s v="GRSM 1"/>
    <x v="3"/>
    <s v="MT"/>
    <n v="122506"/>
    <n v="214300"/>
    <x v="31"/>
    <x v="63"/>
    <s v="GORENG"/>
    <n v="7000"/>
    <n v="45"/>
    <n v="315000"/>
    <n v="160"/>
  </r>
  <r>
    <x v="10"/>
    <s v="AUG"/>
    <x v="37"/>
    <s v="GRSM 1"/>
    <x v="3"/>
    <s v="MT"/>
    <n v="122506"/>
    <n v="214422"/>
    <x v="30"/>
    <x v="65"/>
    <s v="BOLOGNESE"/>
    <n v="6400"/>
    <n v="40"/>
    <n v="256000"/>
    <m/>
  </r>
  <r>
    <x v="10"/>
    <s v="AUG"/>
    <x v="37"/>
    <s v="GRSM 1"/>
    <x v="3"/>
    <s v="MT"/>
    <n v="122506"/>
    <n v="214422"/>
    <x v="30"/>
    <x v="65"/>
    <s v="CARBONARA"/>
    <n v="6400"/>
    <n v="42"/>
    <n v="268800"/>
    <m/>
  </r>
  <r>
    <x v="10"/>
    <s v="AUG"/>
    <x v="37"/>
    <s v="GRSM 1"/>
    <x v="3"/>
    <s v="MT"/>
    <n v="122506"/>
    <n v="214422"/>
    <x v="30"/>
    <x v="65"/>
    <s v="AGLIO OLIO"/>
    <n v="6400"/>
    <n v="20"/>
    <n v="128000"/>
    <m/>
  </r>
  <r>
    <x v="10"/>
    <s v="AUG"/>
    <x v="37"/>
    <s v="GRSM 1"/>
    <x v="3"/>
    <s v="MT"/>
    <n v="122506"/>
    <n v="214422"/>
    <x v="30"/>
    <x v="65"/>
    <s v="GORENG"/>
    <n v="6400"/>
    <n v="84"/>
    <n v="537600"/>
    <n v="160"/>
  </r>
  <r>
    <x v="10"/>
    <s v="AUG"/>
    <x v="37"/>
    <s v="GRSM 1"/>
    <x v="3"/>
    <s v="MT"/>
    <n v="122506"/>
    <n v="214422"/>
    <x v="30"/>
    <x v="64"/>
    <s v="BOLOGNESE"/>
    <n v="6400"/>
    <n v="40"/>
    <n v="256000"/>
    <m/>
  </r>
  <r>
    <x v="10"/>
    <s v="AUG"/>
    <x v="37"/>
    <s v="GRSM 1"/>
    <x v="3"/>
    <s v="MT"/>
    <n v="122506"/>
    <n v="214422"/>
    <x v="30"/>
    <x v="64"/>
    <s v="CARBONARA"/>
    <n v="6400"/>
    <n v="42"/>
    <n v="268800"/>
    <m/>
  </r>
  <r>
    <x v="10"/>
    <s v="AUG"/>
    <x v="37"/>
    <s v="GRSM 1"/>
    <x v="3"/>
    <s v="MT"/>
    <n v="122506"/>
    <n v="214422"/>
    <x v="30"/>
    <x v="64"/>
    <s v="AGLIO OLIO"/>
    <n v="6400"/>
    <n v="20"/>
    <n v="128000"/>
    <m/>
  </r>
  <r>
    <x v="10"/>
    <s v="AUG"/>
    <x v="37"/>
    <s v="GRSM 1"/>
    <x v="3"/>
    <s v="MT"/>
    <n v="122506"/>
    <n v="214422"/>
    <x v="30"/>
    <x v="64"/>
    <s v="GORENG"/>
    <n v="6400"/>
    <n v="84"/>
    <n v="537600"/>
    <n v="160"/>
  </r>
  <r>
    <x v="10"/>
    <s v="AUG"/>
    <x v="35"/>
    <s v="GRSM 1"/>
    <x v="3"/>
    <s v="MT"/>
    <n v="122506"/>
    <n v="202816"/>
    <x v="29"/>
    <x v="66"/>
    <s v="BOLOGNESE"/>
    <n v="7000"/>
    <n v="9"/>
    <n v="63000"/>
    <m/>
  </r>
  <r>
    <x v="10"/>
    <s v="AUG"/>
    <x v="35"/>
    <s v="GRSM 1"/>
    <x v="3"/>
    <s v="MT"/>
    <n v="122506"/>
    <n v="202816"/>
    <x v="29"/>
    <x v="66"/>
    <s v="CARBONARA"/>
    <n v="7000"/>
    <n v="21"/>
    <n v="147000"/>
    <m/>
  </r>
  <r>
    <x v="10"/>
    <s v="AUG"/>
    <x v="35"/>
    <s v="GRSM 1"/>
    <x v="3"/>
    <s v="MT"/>
    <n v="122506"/>
    <n v="202816"/>
    <x v="29"/>
    <x v="66"/>
    <s v="AGLIO OLIO"/>
    <n v="7000"/>
    <n v="7"/>
    <n v="49000"/>
    <m/>
  </r>
  <r>
    <x v="10"/>
    <s v="AUG"/>
    <x v="35"/>
    <s v="GRSM 1"/>
    <x v="3"/>
    <s v="MT"/>
    <n v="122506"/>
    <n v="202816"/>
    <x v="29"/>
    <x v="66"/>
    <s v="GORENG"/>
    <n v="7000"/>
    <n v="26"/>
    <n v="182000"/>
    <n v="160"/>
  </r>
  <r>
    <x v="10"/>
    <s v="AUG"/>
    <x v="35"/>
    <s v="GRSM 1"/>
    <x v="3"/>
    <s v="MT"/>
    <n v="122506"/>
    <n v="202816"/>
    <x v="29"/>
    <x v="67"/>
    <s v="BOLOGNESE"/>
    <n v="7000"/>
    <n v="8"/>
    <n v="56000"/>
    <m/>
  </r>
  <r>
    <x v="10"/>
    <s v="AUG"/>
    <x v="35"/>
    <s v="GRSM 1"/>
    <x v="3"/>
    <s v="MT"/>
    <n v="122506"/>
    <n v="202816"/>
    <x v="29"/>
    <x v="67"/>
    <s v="CARBONARA"/>
    <n v="7000"/>
    <n v="20"/>
    <n v="140000"/>
    <m/>
  </r>
  <r>
    <x v="10"/>
    <s v="AUG"/>
    <x v="35"/>
    <s v="GRSM 1"/>
    <x v="3"/>
    <s v="MT"/>
    <n v="122506"/>
    <n v="202816"/>
    <x v="29"/>
    <x v="67"/>
    <s v="AGLIO OLIO"/>
    <n v="7000"/>
    <n v="6"/>
    <n v="42000"/>
    <m/>
  </r>
  <r>
    <x v="10"/>
    <s v="AUG"/>
    <x v="35"/>
    <s v="GRSM 1"/>
    <x v="3"/>
    <s v="MT"/>
    <n v="122506"/>
    <n v="202816"/>
    <x v="29"/>
    <x v="67"/>
    <s v="GORENG"/>
    <n v="7000"/>
    <n v="25"/>
    <n v="175000"/>
    <n v="160"/>
  </r>
  <r>
    <x v="10"/>
    <s v="AUG"/>
    <x v="35"/>
    <s v="GRSM 5"/>
    <x v="1"/>
    <s v="GMM"/>
    <n v="211051"/>
    <n v="5580008"/>
    <x v="40"/>
    <x v="76"/>
    <s v="BOLOGNESE"/>
    <n v="3000"/>
    <n v="83"/>
    <n v="249000"/>
    <m/>
  </r>
  <r>
    <x v="10"/>
    <s v="AUG"/>
    <x v="35"/>
    <s v="GRSM 5"/>
    <x v="1"/>
    <s v="GMM"/>
    <n v="211051"/>
    <n v="5580008"/>
    <x v="40"/>
    <x v="76"/>
    <s v="CARBONARA"/>
    <n v="3000"/>
    <n v="98"/>
    <n v="294000"/>
    <m/>
  </r>
  <r>
    <x v="10"/>
    <s v="AUG"/>
    <x v="35"/>
    <s v="GRSM 5"/>
    <x v="1"/>
    <s v="GMM"/>
    <n v="211051"/>
    <n v="5580008"/>
    <x v="40"/>
    <x v="76"/>
    <s v="AGLIO OLIO"/>
    <n v="3000"/>
    <n v="11"/>
    <n v="33000"/>
    <m/>
  </r>
  <r>
    <x v="10"/>
    <s v="AUG"/>
    <x v="35"/>
    <s v="GRSM 5"/>
    <x v="1"/>
    <s v="GMM"/>
    <n v="211051"/>
    <n v="5580008"/>
    <x v="40"/>
    <x v="76"/>
    <s v="GORENG"/>
    <n v="3000"/>
    <n v="284"/>
    <n v="852000"/>
    <n v="160"/>
  </r>
  <r>
    <x v="10"/>
    <s v="AUG"/>
    <x v="35"/>
    <s v="GRSM 5"/>
    <x v="1"/>
    <s v="GMM"/>
    <n v="211051"/>
    <n v="5580008"/>
    <x v="40"/>
    <x v="77"/>
    <s v="BOLOGNESE"/>
    <n v="3000"/>
    <n v="83"/>
    <n v="249000"/>
    <m/>
  </r>
  <r>
    <x v="10"/>
    <s v="AUG"/>
    <x v="35"/>
    <s v="GRSM 5"/>
    <x v="1"/>
    <s v="GMM"/>
    <n v="211051"/>
    <n v="5580008"/>
    <x v="40"/>
    <x v="77"/>
    <s v="CARBONARA"/>
    <n v="3000"/>
    <n v="98"/>
    <n v="294000"/>
    <m/>
  </r>
  <r>
    <x v="10"/>
    <s v="AUG"/>
    <x v="35"/>
    <s v="GRSM 5"/>
    <x v="1"/>
    <s v="GMM"/>
    <n v="211051"/>
    <n v="5580008"/>
    <x v="40"/>
    <x v="77"/>
    <s v="AGLIO OLIO"/>
    <n v="3000"/>
    <n v="10"/>
    <n v="30000"/>
    <m/>
  </r>
  <r>
    <x v="10"/>
    <s v="AUG"/>
    <x v="35"/>
    <s v="GRSM 5"/>
    <x v="1"/>
    <s v="GMM"/>
    <n v="211051"/>
    <n v="5580008"/>
    <x v="40"/>
    <x v="77"/>
    <s v="GORENG"/>
    <n v="3000"/>
    <n v="284"/>
    <n v="852000"/>
    <n v="160"/>
  </r>
  <r>
    <x v="10"/>
    <s v="AUG"/>
    <x v="35"/>
    <s v="GRSM 5"/>
    <x v="1"/>
    <s v="GMM"/>
    <n v="103274"/>
    <n v="1301399"/>
    <x v="41"/>
    <x v="78"/>
    <s v="BOLOGNESE"/>
    <n v="3145"/>
    <n v="114"/>
    <n v="358530"/>
    <m/>
  </r>
  <r>
    <x v="10"/>
    <s v="AUG"/>
    <x v="35"/>
    <s v="GRSM 5"/>
    <x v="1"/>
    <s v="GMM"/>
    <n v="103274"/>
    <n v="1301399"/>
    <x v="41"/>
    <x v="78"/>
    <s v="CARBONARA"/>
    <n v="3145"/>
    <n v="54"/>
    <n v="169830"/>
    <m/>
  </r>
  <r>
    <x v="10"/>
    <s v="AUG"/>
    <x v="35"/>
    <s v="GRSM 5"/>
    <x v="1"/>
    <s v="GMM"/>
    <n v="103274"/>
    <n v="1301399"/>
    <x v="41"/>
    <x v="78"/>
    <s v="AGLIO OLIO"/>
    <n v="3145"/>
    <n v="0"/>
    <n v="0"/>
    <m/>
  </r>
  <r>
    <x v="10"/>
    <s v="AUG"/>
    <x v="35"/>
    <s v="GRSM 5"/>
    <x v="1"/>
    <s v="GMM"/>
    <n v="103274"/>
    <n v="1301399"/>
    <x v="41"/>
    <x v="78"/>
    <s v="GORENG"/>
    <n v="3145"/>
    <n v="89"/>
    <n v="279905"/>
    <n v="160"/>
  </r>
  <r>
    <x v="10"/>
    <s v="AUG"/>
    <x v="35"/>
    <s v="GRSM 5"/>
    <x v="1"/>
    <s v="GMM"/>
    <n v="103274"/>
    <n v="1301399"/>
    <x v="41"/>
    <x v="79"/>
    <s v="BOLOGNESE"/>
    <n v="3145"/>
    <n v="114"/>
    <n v="358530"/>
    <m/>
  </r>
  <r>
    <x v="10"/>
    <s v="AUG"/>
    <x v="35"/>
    <s v="GRSM 5"/>
    <x v="1"/>
    <s v="GMM"/>
    <n v="103274"/>
    <n v="1301399"/>
    <x v="41"/>
    <x v="79"/>
    <s v="CARBONARA"/>
    <n v="3145"/>
    <n v="54"/>
    <n v="169830"/>
    <m/>
  </r>
  <r>
    <x v="10"/>
    <s v="AUG"/>
    <x v="35"/>
    <s v="GRSM 5"/>
    <x v="1"/>
    <s v="GMM"/>
    <n v="103274"/>
    <n v="1301399"/>
    <x v="41"/>
    <x v="79"/>
    <s v="AGLIO OLIO"/>
    <n v="3145"/>
    <n v="0"/>
    <n v="0"/>
    <m/>
  </r>
  <r>
    <x v="10"/>
    <s v="AUG"/>
    <x v="35"/>
    <s v="GRSM 5"/>
    <x v="1"/>
    <s v="GMM"/>
    <n v="103274"/>
    <n v="1301399"/>
    <x v="41"/>
    <x v="79"/>
    <s v="GORENG"/>
    <n v="3145"/>
    <n v="89"/>
    <n v="279905"/>
    <n v="160"/>
  </r>
  <r>
    <x v="10"/>
    <s v="AUG"/>
    <x v="35"/>
    <s v="GRSM 5"/>
    <x v="1"/>
    <s v="GMM"/>
    <n v="0"/>
    <n v="0"/>
    <x v="42"/>
    <x v="80"/>
    <s v="BOLOGNESE"/>
    <n v="3000"/>
    <n v="17"/>
    <n v="51000"/>
    <m/>
  </r>
  <r>
    <x v="10"/>
    <s v="AUG"/>
    <x v="35"/>
    <s v="GRSM 5"/>
    <x v="1"/>
    <s v="GMM"/>
    <n v="0"/>
    <n v="0"/>
    <x v="42"/>
    <x v="80"/>
    <s v="CARBONARA"/>
    <n v="3000"/>
    <n v="12"/>
    <n v="36000"/>
    <m/>
  </r>
  <r>
    <x v="10"/>
    <s v="AUG"/>
    <x v="35"/>
    <s v="GRSM 5"/>
    <x v="1"/>
    <s v="GMM"/>
    <n v="0"/>
    <n v="0"/>
    <x v="42"/>
    <x v="80"/>
    <s v="AGLIO OLIO"/>
    <n v="3000"/>
    <n v="18"/>
    <n v="54000"/>
    <m/>
  </r>
  <r>
    <x v="10"/>
    <s v="AUG"/>
    <x v="35"/>
    <s v="GRSM 5"/>
    <x v="1"/>
    <s v="GMM"/>
    <n v="0"/>
    <n v="0"/>
    <x v="42"/>
    <x v="80"/>
    <s v="GORENG"/>
    <n v="3000"/>
    <n v="81"/>
    <n v="243000"/>
    <n v="160"/>
  </r>
  <r>
    <x v="10"/>
    <s v="AUG"/>
    <x v="35"/>
    <s v="GRSM 5"/>
    <x v="1"/>
    <s v="GMM"/>
    <n v="0"/>
    <n v="0"/>
    <x v="42"/>
    <x v="81"/>
    <s v="BOLOGNESE"/>
    <n v="3000"/>
    <n v="16"/>
    <n v="48000"/>
    <m/>
  </r>
  <r>
    <x v="10"/>
    <s v="AUG"/>
    <x v="35"/>
    <s v="GRSM 5"/>
    <x v="1"/>
    <s v="GMM"/>
    <n v="0"/>
    <n v="0"/>
    <x v="42"/>
    <x v="81"/>
    <s v="CARBONARA"/>
    <n v="3000"/>
    <n v="12"/>
    <n v="36000"/>
    <m/>
  </r>
  <r>
    <x v="10"/>
    <s v="AUG"/>
    <x v="35"/>
    <s v="GRSM 5"/>
    <x v="1"/>
    <s v="GMM"/>
    <n v="0"/>
    <n v="0"/>
    <x v="42"/>
    <x v="81"/>
    <s v="AGLIO OLIO"/>
    <n v="3000"/>
    <n v="18"/>
    <n v="54000"/>
    <m/>
  </r>
  <r>
    <x v="10"/>
    <s v="AUG"/>
    <x v="35"/>
    <s v="GRSM 5"/>
    <x v="1"/>
    <s v="GMM"/>
    <n v="0"/>
    <n v="0"/>
    <x v="42"/>
    <x v="81"/>
    <s v="GORENG"/>
    <n v="3000"/>
    <n v="81"/>
    <n v="243000"/>
    <n v="160"/>
  </r>
  <r>
    <x v="10"/>
    <s v="AUG"/>
    <x v="35"/>
    <s v="GRSM 5"/>
    <x v="1"/>
    <s v="GMM"/>
    <n v="103222"/>
    <n v="106437"/>
    <x v="43"/>
    <x v="82"/>
    <s v="BOLOGNESE"/>
    <n v="3000"/>
    <n v="53"/>
    <n v="159000"/>
    <m/>
  </r>
  <r>
    <x v="10"/>
    <s v="AUG"/>
    <x v="35"/>
    <s v="GRSM 5"/>
    <x v="1"/>
    <s v="GMM"/>
    <n v="103222"/>
    <n v="106437"/>
    <x v="43"/>
    <x v="82"/>
    <s v="CARBONARA"/>
    <n v="3000"/>
    <n v="58"/>
    <n v="174000"/>
    <m/>
  </r>
  <r>
    <x v="10"/>
    <s v="AUG"/>
    <x v="35"/>
    <s v="GRSM 5"/>
    <x v="1"/>
    <s v="GMM"/>
    <n v="103222"/>
    <n v="106437"/>
    <x v="43"/>
    <x v="82"/>
    <s v="AGLIO OLIO"/>
    <n v="3000"/>
    <n v="0"/>
    <n v="0"/>
    <m/>
  </r>
  <r>
    <x v="10"/>
    <s v="AUG"/>
    <x v="35"/>
    <s v="GRSM 5"/>
    <x v="1"/>
    <s v="GMM"/>
    <n v="103222"/>
    <n v="106437"/>
    <x v="43"/>
    <x v="82"/>
    <s v="GORENG"/>
    <n v="3000"/>
    <n v="65"/>
    <n v="195000"/>
    <n v="96"/>
  </r>
  <r>
    <x v="10"/>
    <s v="AUG"/>
    <x v="35"/>
    <s v="GRSM 5"/>
    <x v="1"/>
    <s v="GMM"/>
    <n v="103222"/>
    <n v="106437"/>
    <x v="43"/>
    <x v="83"/>
    <s v="BOLOGNESE"/>
    <n v="3000"/>
    <n v="52"/>
    <n v="156000"/>
    <m/>
  </r>
  <r>
    <x v="10"/>
    <s v="AUG"/>
    <x v="35"/>
    <s v="GRSM 5"/>
    <x v="1"/>
    <s v="GMM"/>
    <n v="103222"/>
    <n v="106437"/>
    <x v="43"/>
    <x v="83"/>
    <s v="CARBONARA"/>
    <n v="3000"/>
    <n v="57"/>
    <n v="171000"/>
    <m/>
  </r>
  <r>
    <x v="10"/>
    <s v="AUG"/>
    <x v="35"/>
    <s v="GRSM 5"/>
    <x v="1"/>
    <s v="GMM"/>
    <n v="103222"/>
    <n v="106437"/>
    <x v="43"/>
    <x v="83"/>
    <s v="AGLIO OLIO"/>
    <n v="3000"/>
    <n v="0"/>
    <n v="0"/>
    <m/>
  </r>
  <r>
    <x v="10"/>
    <s v="AUG"/>
    <x v="35"/>
    <s v="GRSM 5"/>
    <x v="1"/>
    <s v="GMM"/>
    <n v="103222"/>
    <n v="106437"/>
    <x v="43"/>
    <x v="83"/>
    <s v="GORENG"/>
    <n v="3000"/>
    <n v="65"/>
    <n v="195000"/>
    <n v="96"/>
  </r>
  <r>
    <x v="10"/>
    <s v="AUG"/>
    <x v="36"/>
    <s v="GRSM 5"/>
    <x v="1"/>
    <s v="GMM"/>
    <n v="103274"/>
    <n v="1301399"/>
    <x v="41"/>
    <x v="78"/>
    <s v="BOLOGNESE"/>
    <n v="3145"/>
    <n v="114"/>
    <n v="358530"/>
    <m/>
  </r>
  <r>
    <x v="10"/>
    <s v="AUG"/>
    <x v="36"/>
    <s v="GRSM 5"/>
    <x v="1"/>
    <s v="GMM"/>
    <n v="103274"/>
    <n v="1301399"/>
    <x v="41"/>
    <x v="78"/>
    <s v="CARBONARA"/>
    <n v="3145"/>
    <n v="54"/>
    <n v="169830"/>
    <m/>
  </r>
  <r>
    <x v="10"/>
    <s v="AUG"/>
    <x v="36"/>
    <s v="GRSM 5"/>
    <x v="1"/>
    <s v="GMM"/>
    <n v="103274"/>
    <n v="1301399"/>
    <x v="41"/>
    <x v="78"/>
    <s v="AGLIO OLIO"/>
    <n v="3145"/>
    <n v="5"/>
    <n v="15725"/>
    <m/>
  </r>
  <r>
    <x v="10"/>
    <s v="AUG"/>
    <x v="36"/>
    <s v="GRSM 5"/>
    <x v="1"/>
    <s v="GMM"/>
    <n v="103274"/>
    <n v="1301399"/>
    <x v="41"/>
    <x v="78"/>
    <s v="GORENG"/>
    <n v="3145"/>
    <n v="89"/>
    <n v="279905"/>
    <n v="160"/>
  </r>
  <r>
    <x v="10"/>
    <s v="AUG"/>
    <x v="36"/>
    <s v="GRSM 5"/>
    <x v="1"/>
    <s v="GMM"/>
    <n v="103274"/>
    <n v="1301399"/>
    <x v="41"/>
    <x v="79"/>
    <s v="BOLOGNESE"/>
    <n v="3145"/>
    <n v="114"/>
    <n v="358530"/>
    <m/>
  </r>
  <r>
    <x v="10"/>
    <s v="AUG"/>
    <x v="36"/>
    <s v="GRSM 5"/>
    <x v="1"/>
    <s v="GMM"/>
    <n v="103274"/>
    <n v="1301399"/>
    <x v="41"/>
    <x v="79"/>
    <s v="CARBONARA"/>
    <n v="3145"/>
    <n v="54"/>
    <n v="169830"/>
    <m/>
  </r>
  <r>
    <x v="10"/>
    <s v="AUG"/>
    <x v="36"/>
    <s v="GRSM 5"/>
    <x v="1"/>
    <s v="GMM"/>
    <n v="103274"/>
    <n v="1301399"/>
    <x v="41"/>
    <x v="79"/>
    <s v="AGLIO OLIO"/>
    <n v="3145"/>
    <n v="5"/>
    <n v="15725"/>
    <m/>
  </r>
  <r>
    <x v="10"/>
    <s v="AUG"/>
    <x v="36"/>
    <s v="GRSM 5"/>
    <x v="1"/>
    <s v="GMM"/>
    <n v="103274"/>
    <n v="1301399"/>
    <x v="41"/>
    <x v="79"/>
    <s v="GORENG"/>
    <n v="3145"/>
    <n v="89"/>
    <n v="279905"/>
    <n v="160"/>
  </r>
  <r>
    <x v="10"/>
    <s v="AUG"/>
    <x v="36"/>
    <s v="GRSM 5"/>
    <x v="1"/>
    <s v="GMM"/>
    <n v="211051"/>
    <n v="5580008"/>
    <x v="40"/>
    <x v="76"/>
    <s v="BOLOGNESE"/>
    <n v="3000"/>
    <n v="83"/>
    <n v="249000"/>
    <m/>
  </r>
  <r>
    <x v="10"/>
    <s v="AUG"/>
    <x v="36"/>
    <s v="GRSM 5"/>
    <x v="1"/>
    <s v="GMM"/>
    <n v="211051"/>
    <n v="5580008"/>
    <x v="40"/>
    <x v="76"/>
    <s v="CARBONARA"/>
    <n v="3000"/>
    <n v="98"/>
    <n v="294000"/>
    <m/>
  </r>
  <r>
    <x v="10"/>
    <s v="AUG"/>
    <x v="36"/>
    <s v="GRSM 5"/>
    <x v="1"/>
    <s v="GMM"/>
    <n v="211051"/>
    <n v="5580008"/>
    <x v="40"/>
    <x v="76"/>
    <s v="AGLIO OLIO"/>
    <n v="3000"/>
    <n v="13"/>
    <n v="39000"/>
    <m/>
  </r>
  <r>
    <x v="10"/>
    <s v="AUG"/>
    <x v="36"/>
    <s v="GRSM 5"/>
    <x v="1"/>
    <s v="GMM"/>
    <n v="211051"/>
    <n v="5580008"/>
    <x v="40"/>
    <x v="76"/>
    <s v="GORENG"/>
    <n v="3000"/>
    <n v="284"/>
    <n v="852000"/>
    <n v="160"/>
  </r>
  <r>
    <x v="10"/>
    <s v="AUG"/>
    <x v="36"/>
    <s v="GRSM 5"/>
    <x v="1"/>
    <s v="GMM"/>
    <n v="211051"/>
    <n v="5580008"/>
    <x v="40"/>
    <x v="77"/>
    <s v="BOLOGNESE"/>
    <n v="3000"/>
    <n v="83"/>
    <n v="249000"/>
    <m/>
  </r>
  <r>
    <x v="10"/>
    <s v="AUG"/>
    <x v="36"/>
    <s v="GRSM 5"/>
    <x v="1"/>
    <s v="GMM"/>
    <n v="211051"/>
    <n v="5580008"/>
    <x v="40"/>
    <x v="77"/>
    <s v="CARBONARA"/>
    <n v="3000"/>
    <n v="98"/>
    <n v="294000"/>
    <m/>
  </r>
  <r>
    <x v="10"/>
    <s v="AUG"/>
    <x v="36"/>
    <s v="GRSM 5"/>
    <x v="1"/>
    <s v="GMM"/>
    <n v="211051"/>
    <n v="5580008"/>
    <x v="40"/>
    <x v="77"/>
    <s v="AGLIO OLIO"/>
    <n v="3000"/>
    <n v="13"/>
    <n v="39000"/>
    <m/>
  </r>
  <r>
    <x v="10"/>
    <s v="AUG"/>
    <x v="36"/>
    <s v="GRSM 5"/>
    <x v="1"/>
    <s v="GMM"/>
    <n v="211051"/>
    <n v="5580008"/>
    <x v="40"/>
    <x v="77"/>
    <s v="GORENG"/>
    <n v="3000"/>
    <n v="284"/>
    <n v="852000"/>
    <n v="160"/>
  </r>
  <r>
    <x v="10"/>
    <s v="AUG"/>
    <x v="36"/>
    <s v="GRSM 5"/>
    <x v="1"/>
    <s v="GMM"/>
    <n v="0"/>
    <n v="0"/>
    <x v="42"/>
    <x v="80"/>
    <s v="BOLOGNESE"/>
    <n v="3000"/>
    <n v="18"/>
    <n v="54000"/>
    <m/>
  </r>
  <r>
    <x v="10"/>
    <s v="AUG"/>
    <x v="36"/>
    <s v="GRSM 5"/>
    <x v="1"/>
    <s v="GMM"/>
    <n v="0"/>
    <n v="0"/>
    <x v="42"/>
    <x v="80"/>
    <s v="CARBONARA"/>
    <n v="3000"/>
    <n v="23"/>
    <n v="69000"/>
    <m/>
  </r>
  <r>
    <x v="10"/>
    <s v="AUG"/>
    <x v="36"/>
    <s v="GRSM 5"/>
    <x v="1"/>
    <s v="GMM"/>
    <n v="0"/>
    <n v="0"/>
    <x v="42"/>
    <x v="80"/>
    <s v="AGLIO OLIO"/>
    <n v="3000"/>
    <n v="27"/>
    <n v="81000"/>
    <m/>
  </r>
  <r>
    <x v="10"/>
    <s v="AUG"/>
    <x v="36"/>
    <s v="GRSM 5"/>
    <x v="1"/>
    <s v="GMM"/>
    <n v="0"/>
    <n v="0"/>
    <x v="42"/>
    <x v="80"/>
    <s v="GORENG"/>
    <n v="3000"/>
    <n v="98"/>
    <n v="294000"/>
    <n v="160"/>
  </r>
  <r>
    <x v="10"/>
    <s v="AUG"/>
    <x v="36"/>
    <s v="GRSM 5"/>
    <x v="1"/>
    <s v="GMM"/>
    <n v="0"/>
    <n v="0"/>
    <x v="42"/>
    <x v="81"/>
    <s v="BOLOGNESE"/>
    <n v="3000"/>
    <n v="18"/>
    <n v="54000"/>
    <m/>
  </r>
  <r>
    <x v="10"/>
    <s v="AUG"/>
    <x v="36"/>
    <s v="GRSM 5"/>
    <x v="1"/>
    <s v="GMM"/>
    <n v="0"/>
    <n v="0"/>
    <x v="42"/>
    <x v="81"/>
    <s v="CARBONARA"/>
    <n v="3000"/>
    <n v="22"/>
    <n v="66000"/>
    <m/>
  </r>
  <r>
    <x v="10"/>
    <s v="AUG"/>
    <x v="36"/>
    <s v="GRSM 5"/>
    <x v="1"/>
    <s v="GMM"/>
    <n v="0"/>
    <n v="0"/>
    <x v="42"/>
    <x v="81"/>
    <s v="AGLIO OLIO"/>
    <n v="3000"/>
    <n v="27"/>
    <n v="81000"/>
    <m/>
  </r>
  <r>
    <x v="10"/>
    <s v="AUG"/>
    <x v="36"/>
    <s v="GRSM 5"/>
    <x v="1"/>
    <s v="GMM"/>
    <n v="0"/>
    <n v="0"/>
    <x v="42"/>
    <x v="81"/>
    <s v="GORENG"/>
    <n v="3000"/>
    <n v="97"/>
    <n v="291000"/>
    <n v="160"/>
  </r>
  <r>
    <x v="10"/>
    <s v="AUG"/>
    <x v="36"/>
    <s v="GRSM 5"/>
    <x v="1"/>
    <s v="GMM"/>
    <n v="103222"/>
    <n v="106437"/>
    <x v="43"/>
    <x v="82"/>
    <s v="BOLOGNESE"/>
    <n v="3000"/>
    <n v="55"/>
    <n v="165000"/>
    <m/>
  </r>
  <r>
    <x v="10"/>
    <s v="AUG"/>
    <x v="36"/>
    <s v="GRSM 5"/>
    <x v="1"/>
    <s v="GMM"/>
    <n v="103222"/>
    <n v="106437"/>
    <x v="43"/>
    <x v="82"/>
    <s v="CARBONARA"/>
    <n v="3000"/>
    <n v="60"/>
    <n v="180000"/>
    <m/>
  </r>
  <r>
    <x v="10"/>
    <s v="AUG"/>
    <x v="36"/>
    <s v="GRSM 5"/>
    <x v="1"/>
    <s v="GMM"/>
    <n v="103222"/>
    <n v="106437"/>
    <x v="43"/>
    <x v="82"/>
    <s v="AGLIO OLIO"/>
    <n v="3000"/>
    <n v="0"/>
    <n v="0"/>
    <m/>
  </r>
  <r>
    <x v="10"/>
    <s v="AUG"/>
    <x v="36"/>
    <s v="GRSM 5"/>
    <x v="1"/>
    <s v="GMM"/>
    <n v="103222"/>
    <n v="106437"/>
    <x v="43"/>
    <x v="82"/>
    <s v="GORENG"/>
    <n v="3000"/>
    <n v="68"/>
    <n v="204000"/>
    <n v="160"/>
  </r>
  <r>
    <x v="10"/>
    <s v="AUG"/>
    <x v="36"/>
    <s v="GRSM 5"/>
    <x v="1"/>
    <s v="GMM"/>
    <n v="103222"/>
    <n v="106437"/>
    <x v="43"/>
    <x v="83"/>
    <s v="BOLOGNESE"/>
    <n v="3000"/>
    <n v="55"/>
    <n v="165000"/>
    <m/>
  </r>
  <r>
    <x v="10"/>
    <s v="AUG"/>
    <x v="36"/>
    <s v="GRSM 5"/>
    <x v="1"/>
    <s v="GMM"/>
    <n v="103222"/>
    <n v="106437"/>
    <x v="43"/>
    <x v="83"/>
    <s v="CARBONARA"/>
    <n v="3000"/>
    <n v="60"/>
    <n v="180000"/>
    <m/>
  </r>
  <r>
    <x v="10"/>
    <s v="AUG"/>
    <x v="36"/>
    <s v="GRSM 5"/>
    <x v="1"/>
    <s v="GMM"/>
    <n v="103222"/>
    <n v="106437"/>
    <x v="43"/>
    <x v="83"/>
    <s v="AGLIO OLIO"/>
    <n v="3000"/>
    <n v="0"/>
    <n v="0"/>
    <m/>
  </r>
  <r>
    <x v="10"/>
    <s v="AUG"/>
    <x v="36"/>
    <s v="GRSM 5"/>
    <x v="1"/>
    <s v="GMM"/>
    <n v="103222"/>
    <n v="106437"/>
    <x v="43"/>
    <x v="83"/>
    <s v="GORENG"/>
    <n v="3000"/>
    <n v="67"/>
    <n v="201000"/>
    <n v="160"/>
  </r>
  <r>
    <x v="10"/>
    <s v="AUG"/>
    <x v="37"/>
    <s v="GRSM 5"/>
    <x v="1"/>
    <s v="GMM"/>
    <n v="103274"/>
    <n v="1301399"/>
    <x v="41"/>
    <x v="78"/>
    <s v="BOLOGNESE"/>
    <n v="3145"/>
    <n v="114"/>
    <n v="358530"/>
    <m/>
  </r>
  <r>
    <x v="10"/>
    <s v="AUG"/>
    <x v="37"/>
    <s v="GRSM 5"/>
    <x v="1"/>
    <s v="GMM"/>
    <n v="103274"/>
    <n v="1301399"/>
    <x v="41"/>
    <x v="78"/>
    <s v="CARBONARA"/>
    <n v="3145"/>
    <n v="54"/>
    <n v="169830"/>
    <m/>
  </r>
  <r>
    <x v="10"/>
    <s v="AUG"/>
    <x v="37"/>
    <s v="GRSM 5"/>
    <x v="1"/>
    <s v="GMM"/>
    <n v="103274"/>
    <n v="1301399"/>
    <x v="41"/>
    <x v="78"/>
    <s v="AGLIO OLIO"/>
    <n v="3145"/>
    <n v="20"/>
    <n v="62900"/>
    <m/>
  </r>
  <r>
    <x v="10"/>
    <s v="AUG"/>
    <x v="37"/>
    <s v="GRSM 5"/>
    <x v="1"/>
    <s v="GMM"/>
    <n v="103274"/>
    <n v="1301399"/>
    <x v="41"/>
    <x v="78"/>
    <s v="GORENG"/>
    <n v="3145"/>
    <n v="89"/>
    <n v="279905"/>
    <n v="160"/>
  </r>
  <r>
    <x v="10"/>
    <s v="AUG"/>
    <x v="37"/>
    <s v="GRSM 5"/>
    <x v="1"/>
    <s v="GMM"/>
    <n v="103274"/>
    <n v="1301399"/>
    <x v="41"/>
    <x v="79"/>
    <s v="BOLOGNESE"/>
    <n v="3145"/>
    <n v="114"/>
    <n v="358530"/>
    <m/>
  </r>
  <r>
    <x v="10"/>
    <s v="AUG"/>
    <x v="37"/>
    <s v="GRSM 5"/>
    <x v="1"/>
    <s v="GMM"/>
    <n v="103274"/>
    <n v="1301399"/>
    <x v="41"/>
    <x v="79"/>
    <s v="CARBONARA"/>
    <n v="3145"/>
    <n v="54"/>
    <n v="169830"/>
    <m/>
  </r>
  <r>
    <x v="10"/>
    <s v="AUG"/>
    <x v="37"/>
    <s v="GRSM 5"/>
    <x v="1"/>
    <s v="GMM"/>
    <n v="103274"/>
    <n v="1301399"/>
    <x v="41"/>
    <x v="79"/>
    <s v="AGLIO OLIO"/>
    <n v="3145"/>
    <n v="20"/>
    <n v="62900"/>
    <m/>
  </r>
  <r>
    <x v="10"/>
    <s v="AUG"/>
    <x v="37"/>
    <s v="GRSM 5"/>
    <x v="1"/>
    <s v="GMM"/>
    <n v="103274"/>
    <n v="1301399"/>
    <x v="41"/>
    <x v="79"/>
    <s v="GORENG"/>
    <n v="3145"/>
    <n v="89"/>
    <n v="279905"/>
    <n v="160"/>
  </r>
  <r>
    <x v="10"/>
    <s v="AUG"/>
    <x v="37"/>
    <s v="GRSM 5"/>
    <x v="1"/>
    <s v="GMM"/>
    <n v="0"/>
    <n v="0"/>
    <x v="42"/>
    <x v="80"/>
    <s v="BOLOGNESE"/>
    <n v="3000"/>
    <n v="62"/>
    <n v="186000"/>
    <m/>
  </r>
  <r>
    <x v="10"/>
    <s v="AUG"/>
    <x v="37"/>
    <s v="GRSM 5"/>
    <x v="1"/>
    <s v="GMM"/>
    <n v="0"/>
    <n v="0"/>
    <x v="42"/>
    <x v="80"/>
    <s v="CARBONARA"/>
    <n v="3000"/>
    <n v="6"/>
    <n v="18000"/>
    <m/>
  </r>
  <r>
    <x v="10"/>
    <s v="AUG"/>
    <x v="37"/>
    <s v="GRSM 5"/>
    <x v="1"/>
    <s v="GMM"/>
    <n v="0"/>
    <n v="0"/>
    <x v="42"/>
    <x v="80"/>
    <s v="AGLIO OLIO"/>
    <n v="3000"/>
    <n v="48"/>
    <n v="144000"/>
    <m/>
  </r>
  <r>
    <x v="10"/>
    <s v="AUG"/>
    <x v="37"/>
    <s v="GRSM 5"/>
    <x v="1"/>
    <s v="GMM"/>
    <n v="0"/>
    <n v="0"/>
    <x v="42"/>
    <x v="80"/>
    <s v="GORENG"/>
    <n v="3000"/>
    <n v="126"/>
    <n v="378000"/>
    <n v="160"/>
  </r>
  <r>
    <x v="10"/>
    <s v="AUG"/>
    <x v="37"/>
    <s v="GRSM 5"/>
    <x v="1"/>
    <s v="GMM"/>
    <n v="0"/>
    <n v="0"/>
    <x v="42"/>
    <x v="81"/>
    <s v="BOLOGNESE"/>
    <n v="3000"/>
    <n v="61"/>
    <n v="183000"/>
    <m/>
  </r>
  <r>
    <x v="10"/>
    <s v="AUG"/>
    <x v="37"/>
    <s v="GRSM 5"/>
    <x v="1"/>
    <s v="GMM"/>
    <n v="0"/>
    <n v="0"/>
    <x v="42"/>
    <x v="81"/>
    <s v="CARBONARA"/>
    <n v="3000"/>
    <n v="6"/>
    <n v="18000"/>
    <m/>
  </r>
  <r>
    <x v="10"/>
    <s v="AUG"/>
    <x v="37"/>
    <s v="GRSM 5"/>
    <x v="1"/>
    <s v="GMM"/>
    <n v="0"/>
    <n v="0"/>
    <x v="42"/>
    <x v="81"/>
    <s v="AGLIO OLIO"/>
    <n v="3000"/>
    <n v="48"/>
    <n v="144000"/>
    <m/>
  </r>
  <r>
    <x v="10"/>
    <s v="AUG"/>
    <x v="37"/>
    <s v="GRSM 5"/>
    <x v="1"/>
    <s v="GMM"/>
    <n v="0"/>
    <n v="0"/>
    <x v="42"/>
    <x v="81"/>
    <s v="GORENG"/>
    <n v="3000"/>
    <n v="126"/>
    <n v="378000"/>
    <n v="160"/>
  </r>
  <r>
    <x v="10"/>
    <s v="AUG"/>
    <x v="37"/>
    <s v="GRSM 5"/>
    <x v="1"/>
    <s v="GMM"/>
    <n v="211051"/>
    <n v="5580008"/>
    <x v="40"/>
    <x v="76"/>
    <s v="BOLOGNESE"/>
    <n v="3000"/>
    <n v="83"/>
    <n v="249000"/>
    <m/>
  </r>
  <r>
    <x v="10"/>
    <s v="AUG"/>
    <x v="37"/>
    <s v="GRSM 5"/>
    <x v="1"/>
    <s v="GMM"/>
    <n v="211051"/>
    <n v="5580008"/>
    <x v="40"/>
    <x v="76"/>
    <s v="CARBONARA"/>
    <n v="3000"/>
    <n v="98"/>
    <n v="294000"/>
    <m/>
  </r>
  <r>
    <x v="10"/>
    <s v="AUG"/>
    <x v="37"/>
    <s v="GRSM 5"/>
    <x v="1"/>
    <s v="GMM"/>
    <n v="211051"/>
    <n v="5580008"/>
    <x v="40"/>
    <x v="76"/>
    <s v="AGLIO OLIO"/>
    <n v="3000"/>
    <n v="29"/>
    <n v="87000"/>
    <m/>
  </r>
  <r>
    <x v="10"/>
    <s v="AUG"/>
    <x v="37"/>
    <s v="GRSM 5"/>
    <x v="1"/>
    <s v="GMM"/>
    <n v="211051"/>
    <n v="5580008"/>
    <x v="40"/>
    <x v="76"/>
    <s v="GORENG"/>
    <n v="3000"/>
    <n v="284"/>
    <n v="852000"/>
    <n v="160"/>
  </r>
  <r>
    <x v="10"/>
    <s v="AUG"/>
    <x v="37"/>
    <s v="GRSM 5"/>
    <x v="1"/>
    <s v="GMM"/>
    <n v="211051"/>
    <n v="5580008"/>
    <x v="40"/>
    <x v="77"/>
    <s v="BOLOGNESE"/>
    <n v="3000"/>
    <n v="83"/>
    <n v="249000"/>
    <m/>
  </r>
  <r>
    <x v="10"/>
    <s v="AUG"/>
    <x v="37"/>
    <s v="GRSM 5"/>
    <x v="1"/>
    <s v="GMM"/>
    <n v="211051"/>
    <n v="5580008"/>
    <x v="40"/>
    <x v="77"/>
    <s v="CARBONARA"/>
    <n v="3000"/>
    <n v="98"/>
    <n v="294000"/>
    <m/>
  </r>
  <r>
    <x v="10"/>
    <s v="AUG"/>
    <x v="37"/>
    <s v="GRSM 5"/>
    <x v="1"/>
    <s v="GMM"/>
    <n v="211051"/>
    <n v="5580008"/>
    <x v="40"/>
    <x v="77"/>
    <s v="AGLIO OLIO"/>
    <n v="3000"/>
    <n v="29"/>
    <n v="87000"/>
    <m/>
  </r>
  <r>
    <x v="10"/>
    <s v="AUG"/>
    <x v="37"/>
    <s v="GRSM 5"/>
    <x v="1"/>
    <s v="GMM"/>
    <n v="211051"/>
    <n v="5580008"/>
    <x v="40"/>
    <x v="77"/>
    <s v="GORENG"/>
    <n v="3000"/>
    <n v="284"/>
    <n v="852000"/>
    <n v="160"/>
  </r>
  <r>
    <x v="10"/>
    <s v="AUG"/>
    <x v="37"/>
    <s v="GRSM 5"/>
    <x v="1"/>
    <s v="GMM"/>
    <n v="103222"/>
    <n v="106437"/>
    <x v="43"/>
    <x v="82"/>
    <s v="BOLOGNESE"/>
    <n v="3000"/>
    <n v="60"/>
    <n v="180000"/>
    <m/>
  </r>
  <r>
    <x v="10"/>
    <s v="AUG"/>
    <x v="37"/>
    <s v="GRSM 5"/>
    <x v="1"/>
    <s v="GMM"/>
    <n v="103222"/>
    <n v="106437"/>
    <x v="43"/>
    <x v="82"/>
    <s v="CARBONARA"/>
    <n v="3000"/>
    <n v="58"/>
    <n v="174000"/>
    <m/>
  </r>
  <r>
    <x v="10"/>
    <s v="AUG"/>
    <x v="37"/>
    <s v="GRSM 5"/>
    <x v="1"/>
    <s v="GMM"/>
    <n v="103222"/>
    <n v="106437"/>
    <x v="43"/>
    <x v="82"/>
    <s v="AGLIO OLIO"/>
    <n v="3000"/>
    <n v="0"/>
    <n v="0"/>
    <m/>
  </r>
  <r>
    <x v="10"/>
    <s v="AUG"/>
    <x v="37"/>
    <s v="GRSM 5"/>
    <x v="1"/>
    <s v="GMM"/>
    <n v="103222"/>
    <n v="106437"/>
    <x v="43"/>
    <x v="82"/>
    <s v="GORENG"/>
    <n v="3000"/>
    <n v="73"/>
    <n v="219000"/>
    <n v="160"/>
  </r>
  <r>
    <x v="10"/>
    <s v="AUG"/>
    <x v="37"/>
    <s v="GRSM 5"/>
    <x v="1"/>
    <s v="GMM"/>
    <n v="103222"/>
    <n v="106437"/>
    <x v="43"/>
    <x v="83"/>
    <s v="BOLOGNESE"/>
    <n v="3000"/>
    <n v="60"/>
    <n v="180000"/>
    <m/>
  </r>
  <r>
    <x v="10"/>
    <s v="AUG"/>
    <x v="37"/>
    <s v="GRSM 5"/>
    <x v="1"/>
    <s v="GMM"/>
    <n v="103222"/>
    <n v="106437"/>
    <x v="43"/>
    <x v="83"/>
    <s v="CARBONARA"/>
    <n v="3000"/>
    <n v="57"/>
    <n v="171000"/>
    <m/>
  </r>
  <r>
    <x v="10"/>
    <s v="AUG"/>
    <x v="37"/>
    <s v="GRSM 5"/>
    <x v="1"/>
    <s v="GMM"/>
    <n v="103222"/>
    <n v="106437"/>
    <x v="43"/>
    <x v="83"/>
    <s v="AGLIO OLIO"/>
    <n v="3000"/>
    <n v="0"/>
    <n v="0"/>
    <m/>
  </r>
  <r>
    <x v="10"/>
    <s v="AUG"/>
    <x v="37"/>
    <s v="GRSM 5"/>
    <x v="1"/>
    <s v="GMM"/>
    <n v="103222"/>
    <n v="106437"/>
    <x v="43"/>
    <x v="83"/>
    <s v="GORENG"/>
    <n v="3000"/>
    <n v="72"/>
    <n v="216000"/>
    <n v="160"/>
  </r>
  <r>
    <x v="10"/>
    <s v="AUG"/>
    <x v="35"/>
    <s v="GRSM 7"/>
    <x v="4"/>
    <s v="GMM"/>
    <n v="211074"/>
    <n v="2217375"/>
    <x v="44"/>
    <x v="84"/>
    <s v="BOLOGNESE"/>
    <n v="3200"/>
    <n v="48"/>
    <n v="153600"/>
    <m/>
  </r>
  <r>
    <x v="10"/>
    <s v="AUG"/>
    <x v="35"/>
    <s v="GRSM 7"/>
    <x v="4"/>
    <s v="GMM"/>
    <n v="211074"/>
    <n v="2217375"/>
    <x v="44"/>
    <x v="84"/>
    <s v="CARBONARA"/>
    <n v="3200"/>
    <n v="62"/>
    <n v="198400"/>
    <m/>
  </r>
  <r>
    <x v="10"/>
    <s v="AUG"/>
    <x v="35"/>
    <s v="GRSM 7"/>
    <x v="4"/>
    <s v="GMM"/>
    <n v="211074"/>
    <n v="2217375"/>
    <x v="44"/>
    <x v="84"/>
    <s v="AGLIO OLIO"/>
    <n v="3200"/>
    <n v="12"/>
    <n v="38400"/>
    <m/>
  </r>
  <r>
    <x v="10"/>
    <s v="AUG"/>
    <x v="35"/>
    <s v="GRSM 7"/>
    <x v="4"/>
    <s v="GMM"/>
    <n v="211074"/>
    <n v="2217375"/>
    <x v="44"/>
    <x v="84"/>
    <s v="GORENG"/>
    <n v="3200"/>
    <n v="112"/>
    <n v="358400"/>
    <n v="160"/>
  </r>
  <r>
    <x v="10"/>
    <s v="AUG"/>
    <x v="35"/>
    <s v="GRSM 7"/>
    <x v="4"/>
    <s v="GMM"/>
    <n v="211074"/>
    <n v="2217375"/>
    <x v="44"/>
    <x v="85"/>
    <s v="BOLOGNESE"/>
    <n v="3200"/>
    <n v="48"/>
    <n v="153600"/>
    <m/>
  </r>
  <r>
    <x v="10"/>
    <s v="AUG"/>
    <x v="35"/>
    <s v="GRSM 7"/>
    <x v="4"/>
    <s v="GMM"/>
    <n v="211074"/>
    <n v="2217375"/>
    <x v="44"/>
    <x v="85"/>
    <s v="CARBONARA"/>
    <n v="3200"/>
    <n v="62"/>
    <n v="198400"/>
    <m/>
  </r>
  <r>
    <x v="10"/>
    <s v="AUG"/>
    <x v="35"/>
    <s v="GRSM 7"/>
    <x v="4"/>
    <s v="GMM"/>
    <n v="211074"/>
    <n v="2217375"/>
    <x v="44"/>
    <x v="85"/>
    <s v="AGLIO OLIO"/>
    <n v="3200"/>
    <n v="12"/>
    <n v="38400"/>
    <m/>
  </r>
  <r>
    <x v="10"/>
    <s v="AUG"/>
    <x v="35"/>
    <s v="GRSM 7"/>
    <x v="4"/>
    <s v="GMM"/>
    <n v="211074"/>
    <n v="2217375"/>
    <x v="44"/>
    <x v="85"/>
    <s v="GORENG"/>
    <n v="3200"/>
    <n v="112"/>
    <n v="358400"/>
    <n v="160"/>
  </r>
  <r>
    <x v="10"/>
    <s v="AUG"/>
    <x v="36"/>
    <s v="GRSM 7"/>
    <x v="4"/>
    <s v="GMM"/>
    <n v="211074"/>
    <n v="2217375"/>
    <x v="44"/>
    <x v="84"/>
    <s v="BOLOGNESE"/>
    <n v="3200"/>
    <n v="26"/>
    <n v="83200"/>
    <m/>
  </r>
  <r>
    <x v="10"/>
    <s v="AUG"/>
    <x v="36"/>
    <s v="GRSM 7"/>
    <x v="4"/>
    <s v="GMM"/>
    <n v="211074"/>
    <n v="2217375"/>
    <x v="44"/>
    <x v="84"/>
    <s v="CARBONARA"/>
    <n v="3200"/>
    <n v="24"/>
    <n v="76800"/>
    <m/>
  </r>
  <r>
    <x v="10"/>
    <s v="AUG"/>
    <x v="36"/>
    <s v="GRSM 7"/>
    <x v="4"/>
    <s v="GMM"/>
    <n v="211074"/>
    <n v="2217375"/>
    <x v="44"/>
    <x v="84"/>
    <s v="AGLIO OLIO"/>
    <n v="3200"/>
    <n v="12"/>
    <n v="38400"/>
    <m/>
  </r>
  <r>
    <x v="10"/>
    <s v="AUG"/>
    <x v="36"/>
    <s v="GRSM 7"/>
    <x v="4"/>
    <s v="GMM"/>
    <n v="211074"/>
    <n v="2217375"/>
    <x v="44"/>
    <x v="84"/>
    <s v="GORENG"/>
    <n v="3200"/>
    <n v="109"/>
    <n v="348800"/>
    <n v="160"/>
  </r>
  <r>
    <x v="10"/>
    <s v="AUG"/>
    <x v="36"/>
    <s v="GRSM 7"/>
    <x v="4"/>
    <s v="GMM"/>
    <n v="211074"/>
    <n v="2217375"/>
    <x v="44"/>
    <x v="85"/>
    <s v="BOLOGNESE"/>
    <n v="3200"/>
    <n v="26"/>
    <n v="83200"/>
    <m/>
  </r>
  <r>
    <x v="10"/>
    <s v="AUG"/>
    <x v="36"/>
    <s v="GRSM 7"/>
    <x v="4"/>
    <s v="GMM"/>
    <n v="211074"/>
    <n v="2217375"/>
    <x v="44"/>
    <x v="85"/>
    <s v="CARBONARA"/>
    <n v="3200"/>
    <n v="24"/>
    <n v="76800"/>
    <m/>
  </r>
  <r>
    <x v="10"/>
    <s v="AUG"/>
    <x v="36"/>
    <s v="GRSM 7"/>
    <x v="4"/>
    <s v="GMM"/>
    <n v="211074"/>
    <n v="2217375"/>
    <x v="44"/>
    <x v="85"/>
    <s v="AGLIO OLIO"/>
    <n v="3200"/>
    <n v="12"/>
    <n v="38400"/>
    <m/>
  </r>
  <r>
    <x v="10"/>
    <s v="AUG"/>
    <x v="36"/>
    <s v="GRSM 7"/>
    <x v="4"/>
    <s v="GMM"/>
    <n v="211074"/>
    <n v="2217375"/>
    <x v="44"/>
    <x v="85"/>
    <s v="GORENG"/>
    <n v="3200"/>
    <n v="109"/>
    <n v="348800"/>
    <n v="160"/>
  </r>
  <r>
    <x v="10"/>
    <s v="AUG"/>
    <x v="36"/>
    <s v="GRSM 7"/>
    <x v="4"/>
    <s v="GMM"/>
    <n v="103240"/>
    <n v="7112059"/>
    <x v="45"/>
    <x v="86"/>
    <s v="BOLOGNESE"/>
    <n v="3200"/>
    <n v="192"/>
    <n v="614400"/>
    <m/>
  </r>
  <r>
    <x v="10"/>
    <s v="AUG"/>
    <x v="36"/>
    <s v="GRSM 7"/>
    <x v="4"/>
    <s v="GMM"/>
    <n v="103240"/>
    <n v="7112059"/>
    <x v="45"/>
    <x v="86"/>
    <s v="CARBONARA"/>
    <n v="3200"/>
    <n v="88"/>
    <n v="281600"/>
    <m/>
  </r>
  <r>
    <x v="10"/>
    <s v="AUG"/>
    <x v="36"/>
    <s v="GRSM 7"/>
    <x v="4"/>
    <s v="GMM"/>
    <n v="103240"/>
    <n v="7112059"/>
    <x v="45"/>
    <x v="86"/>
    <s v="AGLIO OLIO"/>
    <n v="3200"/>
    <n v="33"/>
    <n v="105600"/>
    <m/>
  </r>
  <r>
    <x v="10"/>
    <s v="AUG"/>
    <x v="36"/>
    <s v="GRSM 7"/>
    <x v="4"/>
    <s v="GMM"/>
    <n v="103240"/>
    <n v="7112059"/>
    <x v="45"/>
    <x v="86"/>
    <s v="GORENG"/>
    <n v="3200"/>
    <n v="102"/>
    <n v="326400"/>
    <n v="160"/>
  </r>
  <r>
    <x v="10"/>
    <s v="AUG"/>
    <x v="36"/>
    <s v="GRSM 7"/>
    <x v="4"/>
    <s v="GMM"/>
    <n v="103240"/>
    <n v="7112059"/>
    <x v="45"/>
    <x v="87"/>
    <s v="BOLOGNESE"/>
    <n v="3200"/>
    <n v="192"/>
    <n v="614400"/>
    <m/>
  </r>
  <r>
    <x v="10"/>
    <s v="AUG"/>
    <x v="36"/>
    <s v="GRSM 7"/>
    <x v="4"/>
    <s v="GMM"/>
    <n v="103240"/>
    <n v="7112059"/>
    <x v="45"/>
    <x v="87"/>
    <s v="CARBONARA"/>
    <n v="3200"/>
    <n v="88"/>
    <n v="281600"/>
    <m/>
  </r>
  <r>
    <x v="10"/>
    <s v="AUG"/>
    <x v="36"/>
    <s v="GRSM 7"/>
    <x v="4"/>
    <s v="GMM"/>
    <n v="103240"/>
    <n v="7112059"/>
    <x v="45"/>
    <x v="87"/>
    <s v="AGLIO OLIO"/>
    <n v="3200"/>
    <n v="33"/>
    <n v="105600"/>
    <m/>
  </r>
  <r>
    <x v="10"/>
    <s v="AUG"/>
    <x v="36"/>
    <s v="GRSM 7"/>
    <x v="4"/>
    <s v="GMM"/>
    <n v="103240"/>
    <n v="7112059"/>
    <x v="45"/>
    <x v="87"/>
    <s v="GORENG"/>
    <n v="3200"/>
    <n v="102"/>
    <n v="326400"/>
    <n v="160"/>
  </r>
  <r>
    <x v="10"/>
    <s v="AUG"/>
    <x v="37"/>
    <s v="GRSM 7"/>
    <x v="4"/>
    <s v="GMM"/>
    <n v="103240"/>
    <n v="7112059"/>
    <x v="45"/>
    <x v="86"/>
    <s v="BOLOGNESE"/>
    <n v="3200"/>
    <n v="192"/>
    <n v="614400"/>
    <m/>
  </r>
  <r>
    <x v="10"/>
    <s v="AUG"/>
    <x v="37"/>
    <s v="GRSM 7"/>
    <x v="4"/>
    <s v="GMM"/>
    <n v="103240"/>
    <n v="7112059"/>
    <x v="45"/>
    <x v="86"/>
    <s v="CARBONARA"/>
    <n v="3200"/>
    <n v="88"/>
    <n v="281600"/>
    <m/>
  </r>
  <r>
    <x v="10"/>
    <s v="AUG"/>
    <x v="37"/>
    <s v="GRSM 7"/>
    <x v="4"/>
    <s v="GMM"/>
    <n v="103240"/>
    <n v="7112059"/>
    <x v="45"/>
    <x v="86"/>
    <s v="AGLIO OLIO"/>
    <n v="3200"/>
    <n v="10"/>
    <n v="32000"/>
    <m/>
  </r>
  <r>
    <x v="10"/>
    <s v="AUG"/>
    <x v="37"/>
    <s v="GRSM 7"/>
    <x v="4"/>
    <s v="GMM"/>
    <n v="103240"/>
    <n v="7112059"/>
    <x v="45"/>
    <x v="86"/>
    <s v="GORENG"/>
    <n v="3200"/>
    <n v="102"/>
    <n v="326400"/>
    <n v="160"/>
  </r>
  <r>
    <x v="10"/>
    <s v="AUG"/>
    <x v="37"/>
    <s v="GRSM 7"/>
    <x v="4"/>
    <s v="GMM"/>
    <n v="103240"/>
    <n v="7112059"/>
    <x v="45"/>
    <x v="87"/>
    <s v="BOLOGNESE"/>
    <n v="3200"/>
    <n v="192"/>
    <n v="614400"/>
    <m/>
  </r>
  <r>
    <x v="10"/>
    <s v="AUG"/>
    <x v="37"/>
    <s v="GRSM 7"/>
    <x v="4"/>
    <s v="GMM"/>
    <n v="103240"/>
    <n v="7112059"/>
    <x v="45"/>
    <x v="87"/>
    <s v="CARBONARA"/>
    <n v="3200"/>
    <n v="88"/>
    <n v="281600"/>
    <m/>
  </r>
  <r>
    <x v="10"/>
    <s v="AUG"/>
    <x v="37"/>
    <s v="GRSM 7"/>
    <x v="4"/>
    <s v="GMM"/>
    <n v="103240"/>
    <n v="7112059"/>
    <x v="45"/>
    <x v="87"/>
    <s v="AGLIO OLIO"/>
    <n v="3200"/>
    <n v="10"/>
    <n v="32000"/>
    <m/>
  </r>
  <r>
    <x v="10"/>
    <s v="AUG"/>
    <x v="37"/>
    <s v="GRSM 7"/>
    <x v="4"/>
    <s v="GMM"/>
    <n v="103240"/>
    <n v="7112059"/>
    <x v="45"/>
    <x v="87"/>
    <s v="GORENG"/>
    <n v="3200"/>
    <n v="102"/>
    <n v="326400"/>
    <n v="160"/>
  </r>
  <r>
    <x v="10"/>
    <s v="AUG"/>
    <x v="37"/>
    <s v="GRSM 7"/>
    <x v="4"/>
    <s v="GMM"/>
    <n v="211074"/>
    <n v="2217375"/>
    <x v="44"/>
    <x v="84"/>
    <s v="BOLOGNESE"/>
    <n v="3200"/>
    <n v="26"/>
    <n v="83200"/>
    <m/>
  </r>
  <r>
    <x v="10"/>
    <s v="AUG"/>
    <x v="37"/>
    <s v="GRSM 7"/>
    <x v="4"/>
    <s v="GMM"/>
    <n v="211074"/>
    <n v="2217375"/>
    <x v="44"/>
    <x v="84"/>
    <s v="CARBONARA"/>
    <n v="3200"/>
    <n v="24"/>
    <n v="76800"/>
    <m/>
  </r>
  <r>
    <x v="10"/>
    <s v="AUG"/>
    <x v="37"/>
    <s v="GRSM 7"/>
    <x v="4"/>
    <s v="GMM"/>
    <n v="211074"/>
    <n v="2217375"/>
    <x v="44"/>
    <x v="84"/>
    <s v="AGLIO OLIO"/>
    <n v="3200"/>
    <n v="12"/>
    <n v="38400"/>
    <m/>
  </r>
  <r>
    <x v="10"/>
    <s v="AUG"/>
    <x v="37"/>
    <s v="GRSM 7"/>
    <x v="4"/>
    <s v="GMM"/>
    <n v="211074"/>
    <n v="2217375"/>
    <x v="44"/>
    <x v="84"/>
    <s v="GORENG"/>
    <n v="3200"/>
    <n v="109"/>
    <n v="348800"/>
    <n v="160"/>
  </r>
  <r>
    <x v="10"/>
    <s v="AUG"/>
    <x v="37"/>
    <s v="GRSM 7"/>
    <x v="4"/>
    <s v="GMM"/>
    <n v="211074"/>
    <n v="2217375"/>
    <x v="44"/>
    <x v="85"/>
    <s v="BOLOGNESE"/>
    <n v="3200"/>
    <n v="26"/>
    <n v="83200"/>
    <m/>
  </r>
  <r>
    <x v="10"/>
    <s v="AUG"/>
    <x v="37"/>
    <s v="GRSM 7"/>
    <x v="4"/>
    <s v="GMM"/>
    <n v="211074"/>
    <n v="2217375"/>
    <x v="44"/>
    <x v="85"/>
    <s v="CARBONARA"/>
    <n v="3200"/>
    <n v="24"/>
    <n v="76800"/>
    <m/>
  </r>
  <r>
    <x v="10"/>
    <s v="AUG"/>
    <x v="37"/>
    <s v="GRSM 7"/>
    <x v="4"/>
    <s v="GMM"/>
    <n v="211074"/>
    <n v="2217375"/>
    <x v="44"/>
    <x v="85"/>
    <s v="AGLIO OLIO"/>
    <n v="3200"/>
    <n v="12"/>
    <n v="38400"/>
    <m/>
  </r>
  <r>
    <x v="10"/>
    <s v="AUG"/>
    <x v="37"/>
    <s v="GRSM 7"/>
    <x v="4"/>
    <s v="GMM"/>
    <n v="211074"/>
    <n v="2217375"/>
    <x v="44"/>
    <x v="85"/>
    <s v="GORENG"/>
    <n v="3200"/>
    <n v="109"/>
    <n v="348800"/>
    <n v="160"/>
  </r>
  <r>
    <x v="10"/>
    <s v="AUG"/>
    <x v="35"/>
    <s v="GRSM 6"/>
    <x v="5"/>
    <s v="GMM"/>
    <n v="170208"/>
    <n v="5765011"/>
    <x v="46"/>
    <x v="88"/>
    <s v="BOLOGNESE"/>
    <n v="2950"/>
    <n v="75"/>
    <n v="221250"/>
    <m/>
  </r>
  <r>
    <x v="10"/>
    <s v="AUG"/>
    <x v="35"/>
    <s v="GRSM 6"/>
    <x v="5"/>
    <s v="GMM"/>
    <n v="170208"/>
    <n v="5765011"/>
    <x v="46"/>
    <x v="88"/>
    <s v="CARBONARA"/>
    <n v="2950"/>
    <n v="102"/>
    <n v="300900"/>
    <m/>
  </r>
  <r>
    <x v="10"/>
    <s v="AUG"/>
    <x v="35"/>
    <s v="GRSM 6"/>
    <x v="5"/>
    <s v="GMM"/>
    <n v="170208"/>
    <n v="5765011"/>
    <x v="46"/>
    <x v="88"/>
    <s v="AGLIO OLIO"/>
    <n v="2950"/>
    <n v="39"/>
    <n v="115050"/>
    <m/>
  </r>
  <r>
    <x v="10"/>
    <s v="AUG"/>
    <x v="35"/>
    <s v="GRSM 6"/>
    <x v="5"/>
    <s v="GMM"/>
    <n v="170208"/>
    <n v="5765011"/>
    <x v="46"/>
    <x v="88"/>
    <s v="GORENG"/>
    <n v="2950"/>
    <n v="303"/>
    <n v="893850"/>
    <n v="160"/>
  </r>
  <r>
    <x v="10"/>
    <s v="AUG"/>
    <x v="35"/>
    <s v="GRSM 6"/>
    <x v="5"/>
    <s v="GMM"/>
    <n v="170208"/>
    <n v="5765011"/>
    <x v="46"/>
    <x v="89"/>
    <s v="BOLOGNESE"/>
    <n v="2950"/>
    <n v="75"/>
    <n v="221250"/>
    <m/>
  </r>
  <r>
    <x v="10"/>
    <s v="AUG"/>
    <x v="35"/>
    <s v="GRSM 6"/>
    <x v="5"/>
    <s v="GMM"/>
    <n v="170208"/>
    <n v="5765011"/>
    <x v="46"/>
    <x v="89"/>
    <s v="CARBONARA"/>
    <n v="2950"/>
    <n v="102"/>
    <n v="300900"/>
    <m/>
  </r>
  <r>
    <x v="10"/>
    <s v="AUG"/>
    <x v="35"/>
    <s v="GRSM 6"/>
    <x v="5"/>
    <s v="GMM"/>
    <n v="170208"/>
    <n v="5765011"/>
    <x v="46"/>
    <x v="89"/>
    <s v="AGLIO OLIO"/>
    <n v="2950"/>
    <n v="39"/>
    <n v="115050"/>
    <m/>
  </r>
  <r>
    <x v="10"/>
    <s v="AUG"/>
    <x v="35"/>
    <s v="GRSM 6"/>
    <x v="5"/>
    <s v="GMM"/>
    <n v="170208"/>
    <n v="5765011"/>
    <x v="46"/>
    <x v="89"/>
    <s v="GORENG"/>
    <n v="2950"/>
    <n v="303"/>
    <n v="893850"/>
    <n v="160"/>
  </r>
  <r>
    <x v="10"/>
    <s v="AUG"/>
    <x v="35"/>
    <s v="GRSM 6"/>
    <x v="5"/>
    <s v="GMM"/>
    <n v="211161"/>
    <n v="7103"/>
    <x v="47"/>
    <x v="90"/>
    <s v="BOLOGNESE"/>
    <n v="2100"/>
    <n v="96"/>
    <n v="201600"/>
    <m/>
  </r>
  <r>
    <x v="10"/>
    <s v="AUG"/>
    <x v="35"/>
    <s v="GRSM 6"/>
    <x v="5"/>
    <s v="GMM"/>
    <n v="211161"/>
    <n v="7103"/>
    <x v="47"/>
    <x v="90"/>
    <s v="CARBONARA"/>
    <n v="2100"/>
    <n v="105"/>
    <n v="220500"/>
    <m/>
  </r>
  <r>
    <x v="10"/>
    <s v="AUG"/>
    <x v="35"/>
    <s v="GRSM 6"/>
    <x v="5"/>
    <s v="GMM"/>
    <n v="211161"/>
    <n v="7103"/>
    <x v="47"/>
    <x v="90"/>
    <s v="AGLIO OLIO"/>
    <n v="2100"/>
    <n v="300"/>
    <n v="630000"/>
    <m/>
  </r>
  <r>
    <x v="10"/>
    <s v="AUG"/>
    <x v="35"/>
    <s v="GRSM 6"/>
    <x v="5"/>
    <s v="GMM"/>
    <n v="211161"/>
    <n v="7103"/>
    <x v="47"/>
    <x v="90"/>
    <s v="GORENG"/>
    <n v="2100"/>
    <n v="142"/>
    <n v="298200"/>
    <m/>
  </r>
  <r>
    <x v="10"/>
    <s v="AUG"/>
    <x v="35"/>
    <s v="GRSM 6"/>
    <x v="5"/>
    <s v="GMM"/>
    <n v="211161"/>
    <n v="7103"/>
    <x v="47"/>
    <x v="91"/>
    <s v="BOLOGNESE"/>
    <n v="2100"/>
    <n v="96"/>
    <n v="201600"/>
    <m/>
  </r>
  <r>
    <x v="10"/>
    <s v="AUG"/>
    <x v="35"/>
    <s v="GRSM 6"/>
    <x v="5"/>
    <s v="GMM"/>
    <n v="211161"/>
    <n v="7103"/>
    <x v="47"/>
    <x v="91"/>
    <s v="CARBONARA"/>
    <n v="2100"/>
    <n v="105"/>
    <n v="220500"/>
    <m/>
  </r>
  <r>
    <x v="10"/>
    <s v="AUG"/>
    <x v="35"/>
    <s v="GRSM 6"/>
    <x v="5"/>
    <s v="GMM"/>
    <n v="211161"/>
    <n v="7103"/>
    <x v="47"/>
    <x v="91"/>
    <s v="AGLIO OLIO"/>
    <n v="2100"/>
    <n v="300"/>
    <n v="630000"/>
    <m/>
  </r>
  <r>
    <x v="10"/>
    <s v="AUG"/>
    <x v="35"/>
    <s v="GRSM 6"/>
    <x v="5"/>
    <s v="GMM"/>
    <n v="211161"/>
    <n v="7103"/>
    <x v="47"/>
    <x v="91"/>
    <s v="GORENG"/>
    <n v="2100"/>
    <n v="142"/>
    <n v="298200"/>
    <m/>
  </r>
  <r>
    <x v="10"/>
    <s v="AUG"/>
    <x v="35"/>
    <s v="GRSM 6"/>
    <x v="5"/>
    <s v="GMM"/>
    <n v="211030"/>
    <n v="5766116"/>
    <x v="48"/>
    <x v="92"/>
    <s v="BOLOGNESE"/>
    <n v="2950"/>
    <n v="56"/>
    <n v="165200"/>
    <m/>
  </r>
  <r>
    <x v="10"/>
    <s v="AUG"/>
    <x v="35"/>
    <s v="GRSM 6"/>
    <x v="5"/>
    <s v="GMM"/>
    <n v="211030"/>
    <n v="5766116"/>
    <x v="48"/>
    <x v="92"/>
    <s v="CARBONARA"/>
    <n v="2950"/>
    <n v="57"/>
    <n v="168150"/>
    <m/>
  </r>
  <r>
    <x v="10"/>
    <s v="AUG"/>
    <x v="35"/>
    <s v="GRSM 6"/>
    <x v="5"/>
    <s v="GMM"/>
    <n v="211030"/>
    <n v="5766116"/>
    <x v="48"/>
    <x v="92"/>
    <s v="AGLIO OLIO"/>
    <n v="2950"/>
    <n v="29"/>
    <n v="85550"/>
    <m/>
  </r>
  <r>
    <x v="10"/>
    <s v="AUG"/>
    <x v="35"/>
    <s v="GRSM 6"/>
    <x v="5"/>
    <s v="GMM"/>
    <n v="211030"/>
    <n v="5766116"/>
    <x v="48"/>
    <x v="92"/>
    <s v="GORENG"/>
    <n v="2950"/>
    <n v="77"/>
    <n v="227150"/>
    <n v="160"/>
  </r>
  <r>
    <x v="10"/>
    <s v="AUG"/>
    <x v="35"/>
    <s v="GRSM 6"/>
    <x v="5"/>
    <s v="GMM"/>
    <n v="211030"/>
    <n v="5766116"/>
    <x v="48"/>
    <x v="93"/>
    <s v="BOLOGNESE"/>
    <n v="2950"/>
    <n v="56"/>
    <n v="165200"/>
    <m/>
  </r>
  <r>
    <x v="10"/>
    <s v="AUG"/>
    <x v="35"/>
    <s v="GRSM 6"/>
    <x v="5"/>
    <s v="GMM"/>
    <n v="211030"/>
    <n v="5766116"/>
    <x v="48"/>
    <x v="93"/>
    <s v="CARBONARA"/>
    <n v="2950"/>
    <n v="57"/>
    <n v="168150"/>
    <m/>
  </r>
  <r>
    <x v="10"/>
    <s v="AUG"/>
    <x v="35"/>
    <s v="GRSM 6"/>
    <x v="5"/>
    <s v="GMM"/>
    <n v="211030"/>
    <n v="5766116"/>
    <x v="48"/>
    <x v="93"/>
    <s v="AGLIO OLIO"/>
    <n v="2950"/>
    <n v="29"/>
    <n v="85550"/>
    <m/>
  </r>
  <r>
    <x v="10"/>
    <s v="AUG"/>
    <x v="35"/>
    <s v="GRSM 6"/>
    <x v="5"/>
    <s v="GMM"/>
    <n v="211030"/>
    <n v="5766116"/>
    <x v="48"/>
    <x v="93"/>
    <s v="GORENG"/>
    <n v="2950"/>
    <n v="77"/>
    <n v="227150"/>
    <n v="160"/>
  </r>
  <r>
    <x v="10"/>
    <s v="AUG"/>
    <x v="35"/>
    <s v="GRSM 6"/>
    <x v="5"/>
    <s v="GMM"/>
    <n v="211181"/>
    <n v="3208670"/>
    <x v="49"/>
    <x v="94"/>
    <s v="BOLOGNESE"/>
    <n v="2950"/>
    <n v="20"/>
    <n v="59000"/>
    <m/>
  </r>
  <r>
    <x v="10"/>
    <s v="AUG"/>
    <x v="35"/>
    <s v="GRSM 6"/>
    <x v="5"/>
    <s v="GMM"/>
    <n v="211181"/>
    <n v="3208670"/>
    <x v="49"/>
    <x v="94"/>
    <s v="CARBONARA"/>
    <n v="2950"/>
    <n v="25"/>
    <n v="73750"/>
    <m/>
  </r>
  <r>
    <x v="10"/>
    <s v="AUG"/>
    <x v="35"/>
    <s v="GRSM 6"/>
    <x v="5"/>
    <s v="GMM"/>
    <n v="211181"/>
    <n v="3208670"/>
    <x v="49"/>
    <x v="94"/>
    <s v="AGLIO OLIO"/>
    <n v="2950"/>
    <n v="19"/>
    <n v="56050"/>
    <m/>
  </r>
  <r>
    <x v="10"/>
    <s v="AUG"/>
    <x v="35"/>
    <s v="GRSM 6"/>
    <x v="5"/>
    <s v="GMM"/>
    <n v="211181"/>
    <n v="3208670"/>
    <x v="49"/>
    <x v="94"/>
    <s v="GORENG"/>
    <n v="2950"/>
    <n v="39"/>
    <n v="115050"/>
    <n v="160"/>
  </r>
  <r>
    <x v="10"/>
    <s v="AUG"/>
    <x v="35"/>
    <s v="GRSM 6"/>
    <x v="5"/>
    <s v="GMM"/>
    <n v="211181"/>
    <n v="3208670"/>
    <x v="49"/>
    <x v="95"/>
    <s v="BOLOGNESE"/>
    <n v="2950"/>
    <n v="20"/>
    <n v="59000"/>
    <m/>
  </r>
  <r>
    <x v="10"/>
    <s v="AUG"/>
    <x v="35"/>
    <s v="GRSM 6"/>
    <x v="5"/>
    <s v="GMM"/>
    <n v="211181"/>
    <n v="3208670"/>
    <x v="49"/>
    <x v="95"/>
    <s v="CARBONARA"/>
    <n v="2950"/>
    <n v="24"/>
    <n v="70800"/>
    <m/>
  </r>
  <r>
    <x v="10"/>
    <s v="AUG"/>
    <x v="35"/>
    <s v="GRSM 6"/>
    <x v="5"/>
    <s v="GMM"/>
    <n v="211181"/>
    <n v="3208670"/>
    <x v="49"/>
    <x v="95"/>
    <s v="AGLIO OLIO"/>
    <n v="2950"/>
    <n v="18"/>
    <n v="53100"/>
    <m/>
  </r>
  <r>
    <x v="10"/>
    <s v="AUG"/>
    <x v="35"/>
    <s v="GRSM 6"/>
    <x v="5"/>
    <s v="GMM"/>
    <n v="211181"/>
    <n v="3208670"/>
    <x v="49"/>
    <x v="95"/>
    <s v="GORENG"/>
    <n v="2950"/>
    <n v="39"/>
    <n v="115050"/>
    <n v="160"/>
  </r>
  <r>
    <x v="10"/>
    <s v="AUG"/>
    <x v="35"/>
    <s v="GRSM 6"/>
    <x v="5"/>
    <s v="GMM"/>
    <n v="211161"/>
    <n v="710355"/>
    <x v="50"/>
    <x v="96"/>
    <s v="BOLOGNESE"/>
    <n v="2950"/>
    <n v="20"/>
    <n v="59000"/>
    <m/>
  </r>
  <r>
    <x v="10"/>
    <s v="AUG"/>
    <x v="35"/>
    <s v="GRSM 6"/>
    <x v="5"/>
    <s v="GMM"/>
    <n v="211161"/>
    <n v="710355"/>
    <x v="50"/>
    <x v="96"/>
    <s v="CARBONARA"/>
    <n v="2950"/>
    <n v="25"/>
    <n v="73750"/>
    <m/>
  </r>
  <r>
    <x v="10"/>
    <s v="AUG"/>
    <x v="35"/>
    <s v="GRSM 6"/>
    <x v="5"/>
    <s v="GMM"/>
    <n v="211161"/>
    <n v="710355"/>
    <x v="50"/>
    <x v="96"/>
    <s v="AGLIO OLIO"/>
    <n v="2950"/>
    <n v="10"/>
    <n v="29500"/>
    <m/>
  </r>
  <r>
    <x v="10"/>
    <s v="AUG"/>
    <x v="35"/>
    <s v="GRSM 6"/>
    <x v="5"/>
    <s v="GMM"/>
    <n v="211161"/>
    <n v="710355"/>
    <x v="50"/>
    <x v="96"/>
    <s v="GORENG"/>
    <n v="2950"/>
    <n v="112"/>
    <n v="330400"/>
    <n v="130"/>
  </r>
  <r>
    <x v="10"/>
    <s v="AUG"/>
    <x v="35"/>
    <s v="GRSM 6"/>
    <x v="5"/>
    <s v="GMM"/>
    <n v="211161"/>
    <n v="710355"/>
    <x v="50"/>
    <x v="97"/>
    <s v="BOLOGNESE"/>
    <n v="2950"/>
    <n v="20"/>
    <n v="59000"/>
    <m/>
  </r>
  <r>
    <x v="10"/>
    <s v="AUG"/>
    <x v="35"/>
    <s v="GRSM 6"/>
    <x v="5"/>
    <s v="GMM"/>
    <n v="211161"/>
    <n v="710355"/>
    <x v="50"/>
    <x v="97"/>
    <s v="CARBONARA"/>
    <n v="2950"/>
    <n v="25"/>
    <n v="73750"/>
    <m/>
  </r>
  <r>
    <x v="10"/>
    <s v="AUG"/>
    <x v="35"/>
    <s v="GRSM 6"/>
    <x v="5"/>
    <s v="GMM"/>
    <n v="211161"/>
    <n v="710355"/>
    <x v="50"/>
    <x v="97"/>
    <s v="AGLIO OLIO"/>
    <n v="2950"/>
    <n v="10"/>
    <n v="29500"/>
    <m/>
  </r>
  <r>
    <x v="10"/>
    <s v="AUG"/>
    <x v="35"/>
    <s v="GRSM 6"/>
    <x v="5"/>
    <s v="GMM"/>
    <n v="211161"/>
    <n v="710355"/>
    <x v="50"/>
    <x v="97"/>
    <s v="GORENG"/>
    <n v="2950"/>
    <n v="112"/>
    <n v="330400"/>
    <n v="130"/>
  </r>
  <r>
    <x v="10"/>
    <s v="AUG"/>
    <x v="36"/>
    <s v="GRSM 6"/>
    <x v="5"/>
    <s v="GMM"/>
    <n v="211161"/>
    <n v="7103"/>
    <x v="47"/>
    <x v="91"/>
    <s v="BOLOGNESE"/>
    <n v="2100"/>
    <n v="96"/>
    <n v="201600"/>
    <m/>
  </r>
  <r>
    <x v="10"/>
    <s v="AUG"/>
    <x v="36"/>
    <s v="GRSM 6"/>
    <x v="5"/>
    <s v="GMM"/>
    <n v="211161"/>
    <n v="7103"/>
    <x v="47"/>
    <x v="91"/>
    <s v="CARBONARA"/>
    <n v="2100"/>
    <n v="105"/>
    <n v="220500"/>
    <m/>
  </r>
  <r>
    <x v="10"/>
    <s v="AUG"/>
    <x v="36"/>
    <s v="GRSM 6"/>
    <x v="5"/>
    <s v="GMM"/>
    <n v="211161"/>
    <n v="7103"/>
    <x v="47"/>
    <x v="91"/>
    <s v="AGLIO OLIO"/>
    <n v="2100"/>
    <n v="180"/>
    <n v="378000"/>
    <m/>
  </r>
  <r>
    <x v="10"/>
    <s v="AUG"/>
    <x v="36"/>
    <s v="GRSM 6"/>
    <x v="5"/>
    <s v="GMM"/>
    <n v="211161"/>
    <n v="7103"/>
    <x v="47"/>
    <x v="91"/>
    <s v="GORENG"/>
    <n v="2100"/>
    <n v="142"/>
    <n v="298200"/>
    <m/>
  </r>
  <r>
    <x v="10"/>
    <s v="AUG"/>
    <x v="36"/>
    <s v="GRSM 6"/>
    <x v="5"/>
    <s v="GMM"/>
    <n v="211161"/>
    <n v="7103"/>
    <x v="47"/>
    <x v="90"/>
    <s v="BOLOGNESE"/>
    <n v="2100"/>
    <n v="96"/>
    <n v="201600"/>
    <m/>
  </r>
  <r>
    <x v="10"/>
    <s v="AUG"/>
    <x v="36"/>
    <s v="GRSM 6"/>
    <x v="5"/>
    <s v="GMM"/>
    <n v="211161"/>
    <n v="7103"/>
    <x v="47"/>
    <x v="90"/>
    <s v="CARBONARA"/>
    <n v="2100"/>
    <n v="105"/>
    <n v="220500"/>
    <m/>
  </r>
  <r>
    <x v="10"/>
    <s v="AUG"/>
    <x v="36"/>
    <s v="GRSM 6"/>
    <x v="5"/>
    <s v="GMM"/>
    <n v="211161"/>
    <n v="7103"/>
    <x v="47"/>
    <x v="90"/>
    <s v="AGLIO OLIO"/>
    <n v="2100"/>
    <n v="60"/>
    <n v="126000"/>
    <m/>
  </r>
  <r>
    <x v="10"/>
    <s v="AUG"/>
    <x v="36"/>
    <s v="GRSM 6"/>
    <x v="5"/>
    <s v="GMM"/>
    <n v="211161"/>
    <n v="7103"/>
    <x v="47"/>
    <x v="90"/>
    <s v="GORENG"/>
    <n v="2100"/>
    <n v="142"/>
    <n v="298200"/>
    <m/>
  </r>
  <r>
    <x v="10"/>
    <s v="AUG"/>
    <x v="36"/>
    <s v="GRSM 6"/>
    <x v="5"/>
    <s v="GMM"/>
    <n v="170208"/>
    <n v="5765011"/>
    <x v="46"/>
    <x v="88"/>
    <s v="BOLOGNESE"/>
    <n v="2950"/>
    <n v="75"/>
    <n v="221250"/>
    <m/>
  </r>
  <r>
    <x v="10"/>
    <s v="AUG"/>
    <x v="36"/>
    <s v="GRSM 6"/>
    <x v="5"/>
    <s v="GMM"/>
    <n v="170208"/>
    <n v="5765011"/>
    <x v="46"/>
    <x v="88"/>
    <s v="CARBONARA"/>
    <n v="2950"/>
    <n v="102"/>
    <n v="300900"/>
    <m/>
  </r>
  <r>
    <x v="10"/>
    <s v="AUG"/>
    <x v="36"/>
    <s v="GRSM 6"/>
    <x v="5"/>
    <s v="GMM"/>
    <n v="170208"/>
    <n v="5765011"/>
    <x v="46"/>
    <x v="88"/>
    <s v="AGLIO OLIO"/>
    <n v="2950"/>
    <n v="34"/>
    <n v="100300"/>
    <m/>
  </r>
  <r>
    <x v="10"/>
    <s v="AUG"/>
    <x v="36"/>
    <s v="GRSM 6"/>
    <x v="5"/>
    <s v="GMM"/>
    <n v="170208"/>
    <n v="5765011"/>
    <x v="46"/>
    <x v="88"/>
    <s v="GORENG"/>
    <n v="2950"/>
    <n v="303"/>
    <n v="893850"/>
    <n v="160"/>
  </r>
  <r>
    <x v="10"/>
    <s v="AUG"/>
    <x v="36"/>
    <s v="GRSM 6"/>
    <x v="5"/>
    <s v="GMM"/>
    <n v="170208"/>
    <n v="5765011"/>
    <x v="46"/>
    <x v="89"/>
    <s v="BOLOGNESE"/>
    <n v="2950"/>
    <n v="75"/>
    <n v="221250"/>
    <m/>
  </r>
  <r>
    <x v="10"/>
    <s v="AUG"/>
    <x v="36"/>
    <s v="GRSM 6"/>
    <x v="5"/>
    <s v="GMM"/>
    <n v="170208"/>
    <n v="5765011"/>
    <x v="46"/>
    <x v="89"/>
    <s v="CARBONARA"/>
    <n v="2950"/>
    <n v="102"/>
    <n v="300900"/>
    <m/>
  </r>
  <r>
    <x v="10"/>
    <s v="AUG"/>
    <x v="36"/>
    <s v="GRSM 6"/>
    <x v="5"/>
    <s v="GMM"/>
    <n v="170208"/>
    <n v="5765011"/>
    <x v="46"/>
    <x v="89"/>
    <s v="AGLIO OLIO"/>
    <n v="2950"/>
    <n v="34"/>
    <n v="100300"/>
    <m/>
  </r>
  <r>
    <x v="10"/>
    <s v="AUG"/>
    <x v="36"/>
    <s v="GRSM 6"/>
    <x v="5"/>
    <s v="GMM"/>
    <n v="170208"/>
    <n v="5765011"/>
    <x v="46"/>
    <x v="89"/>
    <s v="GORENG"/>
    <n v="2950"/>
    <n v="303"/>
    <n v="893850"/>
    <n v="160"/>
  </r>
  <r>
    <x v="10"/>
    <s v="AUG"/>
    <x v="36"/>
    <s v="GRSM 6"/>
    <x v="5"/>
    <s v="GMM"/>
    <n v="211030"/>
    <n v="5766116"/>
    <x v="48"/>
    <x v="92"/>
    <s v="BOLOGNESE"/>
    <n v="2950"/>
    <n v="56"/>
    <n v="165200"/>
    <m/>
  </r>
  <r>
    <x v="10"/>
    <s v="AUG"/>
    <x v="36"/>
    <s v="GRSM 6"/>
    <x v="5"/>
    <s v="GMM"/>
    <n v="211030"/>
    <n v="5766116"/>
    <x v="48"/>
    <x v="92"/>
    <s v="CARBONARA"/>
    <n v="2950"/>
    <n v="57"/>
    <n v="168150"/>
    <m/>
  </r>
  <r>
    <x v="10"/>
    <s v="AUG"/>
    <x v="36"/>
    <s v="GRSM 6"/>
    <x v="5"/>
    <s v="GMM"/>
    <n v="211030"/>
    <n v="5766116"/>
    <x v="48"/>
    <x v="92"/>
    <s v="AGLIO OLIO"/>
    <n v="2950"/>
    <n v="34"/>
    <n v="100300"/>
    <m/>
  </r>
  <r>
    <x v="10"/>
    <s v="AUG"/>
    <x v="36"/>
    <s v="GRSM 6"/>
    <x v="5"/>
    <s v="GMM"/>
    <n v="211030"/>
    <n v="5766116"/>
    <x v="48"/>
    <x v="92"/>
    <s v="GORENG"/>
    <n v="2950"/>
    <n v="77"/>
    <n v="227150"/>
    <m/>
  </r>
  <r>
    <x v="10"/>
    <s v="AUG"/>
    <x v="36"/>
    <s v="GRSM 6"/>
    <x v="5"/>
    <s v="GMM"/>
    <n v="211030"/>
    <n v="5766116"/>
    <x v="48"/>
    <x v="93"/>
    <s v="BOLOGNESE"/>
    <n v="2950"/>
    <n v="56"/>
    <n v="165200"/>
    <m/>
  </r>
  <r>
    <x v="10"/>
    <s v="AUG"/>
    <x v="36"/>
    <s v="GRSM 6"/>
    <x v="5"/>
    <s v="GMM"/>
    <n v="211030"/>
    <n v="5766116"/>
    <x v="48"/>
    <x v="93"/>
    <s v="CARBONARA"/>
    <n v="2950"/>
    <n v="57"/>
    <n v="168150"/>
    <m/>
  </r>
  <r>
    <x v="10"/>
    <s v="AUG"/>
    <x v="36"/>
    <s v="GRSM 6"/>
    <x v="5"/>
    <s v="GMM"/>
    <n v="211030"/>
    <n v="5766116"/>
    <x v="48"/>
    <x v="93"/>
    <s v="AGLIO OLIO"/>
    <n v="2950"/>
    <n v="33"/>
    <n v="97350"/>
    <m/>
  </r>
  <r>
    <x v="10"/>
    <s v="AUG"/>
    <x v="36"/>
    <s v="GRSM 6"/>
    <x v="5"/>
    <s v="GMM"/>
    <n v="211030"/>
    <n v="5766116"/>
    <x v="48"/>
    <x v="93"/>
    <s v="GORENG"/>
    <n v="2950"/>
    <n v="77"/>
    <n v="227150"/>
    <m/>
  </r>
  <r>
    <x v="10"/>
    <s v="AUG"/>
    <x v="36"/>
    <s v="GRSM 6"/>
    <x v="5"/>
    <s v="GMM"/>
    <n v="211030"/>
    <n v="5765035"/>
    <x v="51"/>
    <x v="98"/>
    <s v="BOLOGNESE"/>
    <n v="3145"/>
    <n v="10"/>
    <n v="31450"/>
    <m/>
  </r>
  <r>
    <x v="10"/>
    <s v="AUG"/>
    <x v="36"/>
    <s v="GRSM 6"/>
    <x v="5"/>
    <s v="GMM"/>
    <n v="211030"/>
    <n v="5765035"/>
    <x v="51"/>
    <x v="98"/>
    <s v="CARBONARA"/>
    <n v="3145"/>
    <n v="16"/>
    <n v="50320"/>
    <m/>
  </r>
  <r>
    <x v="10"/>
    <s v="AUG"/>
    <x v="36"/>
    <s v="GRSM 6"/>
    <x v="5"/>
    <s v="GMM"/>
    <n v="211030"/>
    <n v="5765035"/>
    <x v="51"/>
    <x v="98"/>
    <s v="AGLIO OLIO"/>
    <n v="3145"/>
    <n v="3"/>
    <n v="9435"/>
    <m/>
  </r>
  <r>
    <x v="10"/>
    <s v="AUG"/>
    <x v="36"/>
    <s v="GRSM 6"/>
    <x v="5"/>
    <s v="GMM"/>
    <n v="211030"/>
    <n v="5765035"/>
    <x v="51"/>
    <x v="98"/>
    <s v="GORENG"/>
    <n v="3145"/>
    <n v="63"/>
    <n v="198135"/>
    <n v="160"/>
  </r>
  <r>
    <x v="10"/>
    <s v="AUG"/>
    <x v="36"/>
    <s v="GRSM 6"/>
    <x v="5"/>
    <s v="GMM"/>
    <n v="211030"/>
    <n v="5765035"/>
    <x v="51"/>
    <x v="99"/>
    <s v="BOLOGNESE"/>
    <n v="3145"/>
    <n v="9"/>
    <n v="28305"/>
    <m/>
  </r>
  <r>
    <x v="10"/>
    <s v="AUG"/>
    <x v="36"/>
    <s v="GRSM 6"/>
    <x v="5"/>
    <s v="GMM"/>
    <n v="211030"/>
    <n v="5765035"/>
    <x v="51"/>
    <x v="99"/>
    <s v="CARBONARA"/>
    <n v="3145"/>
    <n v="16"/>
    <n v="50320"/>
    <m/>
  </r>
  <r>
    <x v="10"/>
    <s v="AUG"/>
    <x v="36"/>
    <s v="GRSM 6"/>
    <x v="5"/>
    <s v="GMM"/>
    <n v="211030"/>
    <n v="5765035"/>
    <x v="51"/>
    <x v="99"/>
    <s v="AGLIO OLIO"/>
    <n v="3145"/>
    <n v="2"/>
    <n v="6290"/>
    <m/>
  </r>
  <r>
    <x v="10"/>
    <s v="AUG"/>
    <x v="36"/>
    <s v="GRSM 6"/>
    <x v="5"/>
    <s v="GMM"/>
    <n v="211030"/>
    <n v="5765035"/>
    <x v="51"/>
    <x v="99"/>
    <s v="GORENG"/>
    <n v="3145"/>
    <n v="63"/>
    <n v="198135"/>
    <n v="160"/>
  </r>
  <r>
    <x v="10"/>
    <s v="AUG"/>
    <x v="37"/>
    <s v="GRSM 6"/>
    <x v="5"/>
    <s v="GMM"/>
    <n v="211161"/>
    <n v="7103"/>
    <x v="47"/>
    <x v="91"/>
    <s v="BOLOGNESE"/>
    <n v="2100"/>
    <n v="96"/>
    <n v="201600"/>
    <m/>
  </r>
  <r>
    <x v="10"/>
    <s v="AUG"/>
    <x v="37"/>
    <s v="GRSM 6"/>
    <x v="5"/>
    <s v="GMM"/>
    <n v="211161"/>
    <n v="7103"/>
    <x v="47"/>
    <x v="91"/>
    <s v="CARBONARA"/>
    <n v="2100"/>
    <n v="105"/>
    <n v="220500"/>
    <m/>
  </r>
  <r>
    <x v="10"/>
    <s v="AUG"/>
    <x v="37"/>
    <s v="GRSM 6"/>
    <x v="5"/>
    <s v="GMM"/>
    <n v="211161"/>
    <n v="7103"/>
    <x v="47"/>
    <x v="91"/>
    <s v="AGLIO OLIO"/>
    <n v="2100"/>
    <n v="42"/>
    <n v="88200"/>
    <m/>
  </r>
  <r>
    <x v="10"/>
    <s v="AUG"/>
    <x v="37"/>
    <s v="GRSM 6"/>
    <x v="5"/>
    <s v="GMM"/>
    <n v="211161"/>
    <n v="7103"/>
    <x v="47"/>
    <x v="91"/>
    <s v="GORENG"/>
    <n v="2100"/>
    <n v="142"/>
    <n v="298200"/>
    <m/>
  </r>
  <r>
    <x v="10"/>
    <s v="AUG"/>
    <x v="37"/>
    <s v="GRSM 6"/>
    <x v="5"/>
    <s v="GMM"/>
    <n v="211161"/>
    <n v="7103"/>
    <x v="47"/>
    <x v="90"/>
    <s v="BOLOGNESE"/>
    <n v="2100"/>
    <n v="96"/>
    <n v="201600"/>
    <m/>
  </r>
  <r>
    <x v="10"/>
    <s v="AUG"/>
    <x v="37"/>
    <s v="GRSM 6"/>
    <x v="5"/>
    <s v="GMM"/>
    <n v="211161"/>
    <n v="7103"/>
    <x v="47"/>
    <x v="90"/>
    <s v="CARBONARA"/>
    <n v="2100"/>
    <n v="105"/>
    <n v="220500"/>
    <m/>
  </r>
  <r>
    <x v="10"/>
    <s v="AUG"/>
    <x v="37"/>
    <s v="GRSM 6"/>
    <x v="5"/>
    <s v="GMM"/>
    <n v="211161"/>
    <n v="7103"/>
    <x v="47"/>
    <x v="90"/>
    <s v="AGLIO OLIO"/>
    <n v="2100"/>
    <n v="14"/>
    <n v="29400"/>
    <m/>
  </r>
  <r>
    <x v="10"/>
    <s v="AUG"/>
    <x v="37"/>
    <s v="GRSM 6"/>
    <x v="5"/>
    <s v="GMM"/>
    <n v="211161"/>
    <n v="7103"/>
    <x v="47"/>
    <x v="90"/>
    <s v="GORENG"/>
    <n v="2100"/>
    <n v="142"/>
    <n v="298200"/>
    <m/>
  </r>
  <r>
    <x v="10"/>
    <s v="AUG"/>
    <x v="37"/>
    <s v="GRSM 6"/>
    <x v="5"/>
    <s v="GMM"/>
    <n v="211161"/>
    <n v="710355"/>
    <x v="50"/>
    <x v="96"/>
    <s v="BOLOGNESE"/>
    <n v="2950"/>
    <n v="20"/>
    <n v="59000"/>
    <m/>
  </r>
  <r>
    <x v="10"/>
    <s v="AUG"/>
    <x v="37"/>
    <s v="GRSM 6"/>
    <x v="5"/>
    <s v="GMM"/>
    <n v="211161"/>
    <n v="710355"/>
    <x v="50"/>
    <x v="96"/>
    <s v="CARBONARA"/>
    <n v="2950"/>
    <n v="25"/>
    <n v="73750"/>
    <m/>
  </r>
  <r>
    <x v="10"/>
    <s v="AUG"/>
    <x v="37"/>
    <s v="GRSM 6"/>
    <x v="5"/>
    <s v="GMM"/>
    <n v="211161"/>
    <n v="710355"/>
    <x v="50"/>
    <x v="96"/>
    <s v="AGLIO OLIO"/>
    <n v="2950"/>
    <n v="19"/>
    <n v="56050"/>
    <m/>
  </r>
  <r>
    <x v="10"/>
    <s v="AUG"/>
    <x v="37"/>
    <s v="GRSM 6"/>
    <x v="5"/>
    <s v="GMM"/>
    <n v="211161"/>
    <n v="710355"/>
    <x v="50"/>
    <x v="96"/>
    <s v="GORENG"/>
    <n v="2950"/>
    <n v="112"/>
    <n v="330400"/>
    <n v="120"/>
  </r>
  <r>
    <x v="10"/>
    <s v="AUG"/>
    <x v="37"/>
    <s v="GRSM 6"/>
    <x v="5"/>
    <s v="GMM"/>
    <n v="211161"/>
    <n v="710355"/>
    <x v="50"/>
    <x v="97"/>
    <s v="BOLOGNESE"/>
    <n v="2950"/>
    <n v="20"/>
    <n v="59000"/>
    <m/>
  </r>
  <r>
    <x v="10"/>
    <s v="AUG"/>
    <x v="37"/>
    <s v="GRSM 6"/>
    <x v="5"/>
    <s v="GMM"/>
    <n v="211161"/>
    <n v="710355"/>
    <x v="50"/>
    <x v="97"/>
    <s v="CARBONARA"/>
    <n v="2950"/>
    <n v="25"/>
    <n v="73750"/>
    <m/>
  </r>
  <r>
    <x v="10"/>
    <s v="AUG"/>
    <x v="37"/>
    <s v="GRSM 6"/>
    <x v="5"/>
    <s v="GMM"/>
    <n v="211161"/>
    <n v="710355"/>
    <x v="50"/>
    <x v="97"/>
    <s v="AGLIO OLIO"/>
    <n v="2950"/>
    <n v="19"/>
    <n v="56050"/>
    <m/>
  </r>
  <r>
    <x v="10"/>
    <s v="AUG"/>
    <x v="37"/>
    <s v="GRSM 6"/>
    <x v="5"/>
    <s v="GMM"/>
    <n v="211161"/>
    <n v="710355"/>
    <x v="50"/>
    <x v="97"/>
    <s v="GORENG"/>
    <n v="2950"/>
    <n v="112"/>
    <n v="330400"/>
    <n v="120"/>
  </r>
  <r>
    <x v="10"/>
    <s v="AUG"/>
    <x v="37"/>
    <s v="GRSM 6"/>
    <x v="5"/>
    <s v="GMM"/>
    <n v="211181"/>
    <n v="3208670"/>
    <x v="49"/>
    <x v="94"/>
    <s v="BOLOGNESE"/>
    <n v="2950"/>
    <n v="29"/>
    <n v="85550"/>
    <m/>
  </r>
  <r>
    <x v="10"/>
    <s v="AUG"/>
    <x v="37"/>
    <s v="GRSM 6"/>
    <x v="5"/>
    <s v="GMM"/>
    <n v="211181"/>
    <n v="3208670"/>
    <x v="49"/>
    <x v="94"/>
    <s v="CARBONARA"/>
    <n v="2950"/>
    <n v="34"/>
    <n v="100300"/>
    <m/>
  </r>
  <r>
    <x v="10"/>
    <s v="AUG"/>
    <x v="37"/>
    <s v="GRSM 6"/>
    <x v="5"/>
    <s v="GMM"/>
    <n v="211181"/>
    <n v="3208670"/>
    <x v="49"/>
    <x v="94"/>
    <s v="AGLIO OLIO"/>
    <n v="2950"/>
    <n v="24"/>
    <n v="70800"/>
    <m/>
  </r>
  <r>
    <x v="10"/>
    <s v="AUG"/>
    <x v="37"/>
    <s v="GRSM 6"/>
    <x v="5"/>
    <s v="GMM"/>
    <n v="211181"/>
    <n v="3208670"/>
    <x v="49"/>
    <x v="94"/>
    <s v="GORENG"/>
    <n v="2950"/>
    <n v="52"/>
    <n v="153400"/>
    <n v="160"/>
  </r>
  <r>
    <x v="10"/>
    <s v="AUG"/>
    <x v="37"/>
    <s v="GRSM 6"/>
    <x v="5"/>
    <s v="GMM"/>
    <n v="211181"/>
    <n v="3208670"/>
    <x v="49"/>
    <x v="95"/>
    <s v="BOLOGNESE"/>
    <n v="2950"/>
    <n v="28"/>
    <n v="82600"/>
    <m/>
  </r>
  <r>
    <x v="10"/>
    <s v="AUG"/>
    <x v="37"/>
    <s v="GRSM 6"/>
    <x v="5"/>
    <s v="GMM"/>
    <n v="211181"/>
    <n v="3208670"/>
    <x v="49"/>
    <x v="95"/>
    <s v="CARBONARA"/>
    <n v="2950"/>
    <n v="34"/>
    <n v="100300"/>
    <m/>
  </r>
  <r>
    <x v="10"/>
    <s v="AUG"/>
    <x v="37"/>
    <s v="GRSM 6"/>
    <x v="5"/>
    <s v="GMM"/>
    <n v="211181"/>
    <n v="3208670"/>
    <x v="49"/>
    <x v="95"/>
    <s v="AGLIO OLIO"/>
    <n v="2950"/>
    <n v="23"/>
    <n v="67850"/>
    <m/>
  </r>
  <r>
    <x v="10"/>
    <s v="AUG"/>
    <x v="37"/>
    <s v="GRSM 6"/>
    <x v="5"/>
    <s v="GMM"/>
    <n v="211181"/>
    <n v="3208670"/>
    <x v="49"/>
    <x v="95"/>
    <s v="GORENG"/>
    <n v="2950"/>
    <n v="52"/>
    <n v="153400"/>
    <n v="160"/>
  </r>
  <r>
    <x v="10"/>
    <s v="AUG"/>
    <x v="37"/>
    <s v="GRSM 6"/>
    <x v="5"/>
    <s v="GMM"/>
    <n v="170208"/>
    <n v="5765011"/>
    <x v="46"/>
    <x v="88"/>
    <s v="BOLOGNESE"/>
    <n v="2950"/>
    <n v="75"/>
    <n v="221250"/>
    <m/>
  </r>
  <r>
    <x v="10"/>
    <s v="AUG"/>
    <x v="37"/>
    <s v="GRSM 6"/>
    <x v="5"/>
    <s v="GMM"/>
    <n v="170208"/>
    <n v="5765011"/>
    <x v="46"/>
    <x v="88"/>
    <s v="CARBONARA"/>
    <n v="2950"/>
    <n v="102"/>
    <n v="300900"/>
    <m/>
  </r>
  <r>
    <x v="10"/>
    <s v="AUG"/>
    <x v="37"/>
    <s v="GRSM 6"/>
    <x v="5"/>
    <s v="GMM"/>
    <n v="170208"/>
    <n v="5765011"/>
    <x v="46"/>
    <x v="88"/>
    <s v="AGLIO OLIO"/>
    <n v="2950"/>
    <n v="44"/>
    <n v="129800"/>
    <m/>
  </r>
  <r>
    <x v="10"/>
    <s v="AUG"/>
    <x v="37"/>
    <s v="GRSM 6"/>
    <x v="5"/>
    <s v="GMM"/>
    <n v="170208"/>
    <n v="5765011"/>
    <x v="46"/>
    <x v="88"/>
    <s v="GORENG"/>
    <n v="2950"/>
    <n v="303"/>
    <n v="893850"/>
    <n v="160"/>
  </r>
  <r>
    <x v="10"/>
    <s v="AUG"/>
    <x v="37"/>
    <s v="GRSM 6"/>
    <x v="5"/>
    <s v="GMM"/>
    <n v="170208"/>
    <n v="5765011"/>
    <x v="46"/>
    <x v="89"/>
    <s v="BOLOGNESE"/>
    <n v="2950"/>
    <n v="75"/>
    <n v="221250"/>
    <m/>
  </r>
  <r>
    <x v="10"/>
    <s v="AUG"/>
    <x v="37"/>
    <s v="GRSM 6"/>
    <x v="5"/>
    <s v="GMM"/>
    <n v="170208"/>
    <n v="5765011"/>
    <x v="46"/>
    <x v="89"/>
    <s v="CARBONARA"/>
    <n v="2950"/>
    <n v="102"/>
    <n v="300900"/>
    <m/>
  </r>
  <r>
    <x v="10"/>
    <s v="AUG"/>
    <x v="37"/>
    <s v="GRSM 6"/>
    <x v="5"/>
    <s v="GMM"/>
    <n v="170208"/>
    <n v="5765011"/>
    <x v="46"/>
    <x v="89"/>
    <s v="AGLIO OLIO"/>
    <n v="2950"/>
    <n v="44"/>
    <n v="129800"/>
    <m/>
  </r>
  <r>
    <x v="10"/>
    <s v="AUG"/>
    <x v="37"/>
    <s v="GRSM 6"/>
    <x v="5"/>
    <s v="GMM"/>
    <n v="170208"/>
    <n v="5765011"/>
    <x v="46"/>
    <x v="89"/>
    <s v="GORENG"/>
    <n v="2950"/>
    <n v="303"/>
    <n v="893850"/>
    <n v="160"/>
  </r>
  <r>
    <x v="10"/>
    <s v="AUG"/>
    <x v="37"/>
    <s v="GRSM 6"/>
    <x v="5"/>
    <s v="GMM"/>
    <n v="211030"/>
    <n v="5766116"/>
    <x v="48"/>
    <x v="92"/>
    <s v="BOLOGNESE"/>
    <n v="2950"/>
    <n v="56"/>
    <n v="165200"/>
    <m/>
  </r>
  <r>
    <x v="10"/>
    <s v="AUG"/>
    <x v="37"/>
    <s v="GRSM 6"/>
    <x v="5"/>
    <s v="GMM"/>
    <n v="211030"/>
    <n v="5766116"/>
    <x v="48"/>
    <x v="92"/>
    <s v="CARBONARA"/>
    <n v="2950"/>
    <n v="57"/>
    <n v="168150"/>
    <m/>
  </r>
  <r>
    <x v="10"/>
    <s v="AUG"/>
    <x v="37"/>
    <s v="GRSM 6"/>
    <x v="5"/>
    <s v="GMM"/>
    <n v="211030"/>
    <n v="5766116"/>
    <x v="48"/>
    <x v="92"/>
    <s v="AGLIO OLIO"/>
    <n v="2950"/>
    <n v="12"/>
    <n v="35400"/>
    <m/>
  </r>
  <r>
    <x v="10"/>
    <s v="AUG"/>
    <x v="37"/>
    <s v="GRSM 6"/>
    <x v="5"/>
    <s v="GMM"/>
    <n v="211030"/>
    <n v="5766116"/>
    <x v="48"/>
    <x v="92"/>
    <s v="GORENG"/>
    <n v="2950"/>
    <n v="77"/>
    <n v="227150"/>
    <m/>
  </r>
  <r>
    <x v="10"/>
    <s v="AUG"/>
    <x v="37"/>
    <s v="GRSM 6"/>
    <x v="5"/>
    <s v="GMM"/>
    <n v="211030"/>
    <n v="5766116"/>
    <x v="48"/>
    <x v="93"/>
    <s v="BOLOGNESE"/>
    <n v="2950"/>
    <n v="56"/>
    <n v="165200"/>
    <m/>
  </r>
  <r>
    <x v="10"/>
    <s v="AUG"/>
    <x v="37"/>
    <s v="GRSM 6"/>
    <x v="5"/>
    <s v="GMM"/>
    <n v="211030"/>
    <n v="5766116"/>
    <x v="48"/>
    <x v="93"/>
    <s v="CARBONARA"/>
    <n v="2950"/>
    <n v="57"/>
    <n v="168150"/>
    <m/>
  </r>
  <r>
    <x v="10"/>
    <s v="AUG"/>
    <x v="37"/>
    <s v="GRSM 6"/>
    <x v="5"/>
    <s v="GMM"/>
    <n v="211030"/>
    <n v="5766116"/>
    <x v="48"/>
    <x v="93"/>
    <s v="AGLIO OLIO"/>
    <n v="2950"/>
    <n v="12"/>
    <n v="35400"/>
    <m/>
  </r>
  <r>
    <x v="10"/>
    <s v="AUG"/>
    <x v="37"/>
    <s v="GRSM 6"/>
    <x v="5"/>
    <s v="GMM"/>
    <n v="211030"/>
    <n v="5766116"/>
    <x v="48"/>
    <x v="93"/>
    <s v="GORENG"/>
    <n v="2950"/>
    <n v="77"/>
    <n v="227150"/>
    <m/>
  </r>
  <r>
    <x v="10"/>
    <s v="AUG"/>
    <x v="37"/>
    <s v="GRSM 6"/>
    <x v="5"/>
    <s v="GMM"/>
    <n v="211030"/>
    <n v="5765035"/>
    <x v="51"/>
    <x v="98"/>
    <s v="BOLOGNESE"/>
    <n v="3145"/>
    <n v="11"/>
    <n v="34595"/>
    <m/>
  </r>
  <r>
    <x v="10"/>
    <s v="AUG"/>
    <x v="37"/>
    <s v="GRSM 6"/>
    <x v="5"/>
    <s v="GMM"/>
    <n v="211030"/>
    <n v="5765035"/>
    <x v="51"/>
    <x v="98"/>
    <s v="CARBONARA"/>
    <n v="3145"/>
    <n v="15"/>
    <n v="47175"/>
    <m/>
  </r>
  <r>
    <x v="10"/>
    <s v="AUG"/>
    <x v="37"/>
    <s v="GRSM 6"/>
    <x v="5"/>
    <s v="GMM"/>
    <n v="211030"/>
    <n v="5765035"/>
    <x v="51"/>
    <x v="98"/>
    <s v="AGLIO OLIO"/>
    <n v="3145"/>
    <n v="6"/>
    <n v="18870"/>
    <m/>
  </r>
  <r>
    <x v="10"/>
    <s v="AUG"/>
    <x v="37"/>
    <s v="GRSM 6"/>
    <x v="5"/>
    <s v="GMM"/>
    <n v="211030"/>
    <n v="5765035"/>
    <x v="51"/>
    <x v="98"/>
    <s v="GORENG"/>
    <n v="3145"/>
    <n v="86"/>
    <n v="270470"/>
    <n v="160"/>
  </r>
  <r>
    <x v="10"/>
    <s v="AUG"/>
    <x v="37"/>
    <s v="GRSM 6"/>
    <x v="5"/>
    <s v="GMM"/>
    <n v="211030"/>
    <n v="5765035"/>
    <x v="51"/>
    <x v="99"/>
    <s v="BOLOGNESE"/>
    <n v="3145"/>
    <n v="10"/>
    <n v="31450"/>
    <m/>
  </r>
  <r>
    <x v="10"/>
    <s v="AUG"/>
    <x v="37"/>
    <s v="GRSM 6"/>
    <x v="5"/>
    <s v="GMM"/>
    <n v="211030"/>
    <n v="5765035"/>
    <x v="51"/>
    <x v="99"/>
    <s v="CARBONARA"/>
    <n v="3145"/>
    <n v="15"/>
    <n v="47175"/>
    <m/>
  </r>
  <r>
    <x v="10"/>
    <s v="AUG"/>
    <x v="37"/>
    <s v="GRSM 6"/>
    <x v="5"/>
    <s v="GMM"/>
    <n v="211030"/>
    <n v="5765035"/>
    <x v="51"/>
    <x v="99"/>
    <s v="AGLIO OLIO"/>
    <n v="3145"/>
    <n v="6"/>
    <n v="18870"/>
    <m/>
  </r>
  <r>
    <x v="10"/>
    <s v="AUG"/>
    <x v="37"/>
    <s v="GRSM 6"/>
    <x v="5"/>
    <s v="GMM"/>
    <n v="211030"/>
    <n v="5765035"/>
    <x v="51"/>
    <x v="99"/>
    <s v="GORENG"/>
    <n v="3145"/>
    <n v="86"/>
    <n v="270470"/>
    <n v="160"/>
  </r>
  <r>
    <x v="10"/>
    <s v="AUG"/>
    <x v="36"/>
    <s v="GRSM 6"/>
    <x v="5"/>
    <s v="GMM"/>
    <n v="211181"/>
    <n v="3208670"/>
    <x v="49"/>
    <x v="94"/>
    <s v="BOLOGNESE"/>
    <n v="2950"/>
    <n v="55"/>
    <n v="162250"/>
    <m/>
  </r>
  <r>
    <x v="10"/>
    <s v="AUG"/>
    <x v="36"/>
    <s v="GRSM 6"/>
    <x v="5"/>
    <s v="GMM"/>
    <n v="211181"/>
    <n v="3208670"/>
    <x v="49"/>
    <x v="94"/>
    <s v="CARBONARA"/>
    <n v="2950"/>
    <n v="52"/>
    <n v="153400"/>
    <m/>
  </r>
  <r>
    <x v="10"/>
    <s v="AUG"/>
    <x v="36"/>
    <s v="GRSM 6"/>
    <x v="5"/>
    <s v="GMM"/>
    <n v="211181"/>
    <n v="3208670"/>
    <x v="49"/>
    <x v="94"/>
    <s v="AGLIO OLIO"/>
    <n v="2950"/>
    <n v="44"/>
    <n v="129800"/>
    <m/>
  </r>
  <r>
    <x v="10"/>
    <s v="AUG"/>
    <x v="36"/>
    <s v="GRSM 6"/>
    <x v="5"/>
    <s v="GMM"/>
    <n v="211181"/>
    <n v="3208670"/>
    <x v="49"/>
    <x v="94"/>
    <s v="GORENG"/>
    <n v="2950"/>
    <n v="98"/>
    <n v="289100"/>
    <n v="160"/>
  </r>
  <r>
    <x v="10"/>
    <s v="AUG"/>
    <x v="36"/>
    <s v="GRSM 6"/>
    <x v="5"/>
    <s v="GMM"/>
    <n v="211181"/>
    <n v="3208670"/>
    <x v="49"/>
    <x v="95"/>
    <s v="BOLOGNESE"/>
    <n v="2950"/>
    <n v="55"/>
    <n v="162250"/>
    <m/>
  </r>
  <r>
    <x v="10"/>
    <s v="AUG"/>
    <x v="36"/>
    <s v="GRSM 6"/>
    <x v="5"/>
    <s v="GMM"/>
    <n v="211181"/>
    <n v="3208670"/>
    <x v="49"/>
    <x v="95"/>
    <s v="CARBONARA"/>
    <n v="2950"/>
    <n v="52"/>
    <n v="153400"/>
    <m/>
  </r>
  <r>
    <x v="10"/>
    <s v="AUG"/>
    <x v="36"/>
    <s v="GRSM 6"/>
    <x v="5"/>
    <s v="GMM"/>
    <n v="211181"/>
    <n v="3208670"/>
    <x v="49"/>
    <x v="95"/>
    <s v="AGLIO OLIO"/>
    <n v="2950"/>
    <n v="44"/>
    <n v="129800"/>
    <m/>
  </r>
  <r>
    <x v="10"/>
    <s v="AUG"/>
    <x v="36"/>
    <s v="GRSM 6"/>
    <x v="5"/>
    <s v="GMM"/>
    <n v="211181"/>
    <n v="3208670"/>
    <x v="49"/>
    <x v="95"/>
    <s v="GORENG"/>
    <n v="2950"/>
    <n v="98"/>
    <n v="289100"/>
    <n v="160"/>
  </r>
  <r>
    <x v="10"/>
    <s v="AUG"/>
    <x v="36"/>
    <s v="GRSM 6"/>
    <x v="5"/>
    <s v="GMM"/>
    <n v="211161"/>
    <n v="710355"/>
    <x v="50"/>
    <x v="96"/>
    <s v="BOLOGNESE"/>
    <n v="2950"/>
    <n v="20"/>
    <n v="59000"/>
    <m/>
  </r>
  <r>
    <x v="10"/>
    <s v="AUG"/>
    <x v="36"/>
    <s v="GRSM 6"/>
    <x v="5"/>
    <s v="GMM"/>
    <n v="211161"/>
    <n v="710355"/>
    <x v="50"/>
    <x v="96"/>
    <s v="CARBONARA"/>
    <n v="2950"/>
    <n v="25"/>
    <n v="73750"/>
    <m/>
  </r>
  <r>
    <x v="10"/>
    <s v="AUG"/>
    <x v="36"/>
    <s v="GRSM 6"/>
    <x v="5"/>
    <s v="GMM"/>
    <n v="211161"/>
    <n v="710355"/>
    <x v="50"/>
    <x v="96"/>
    <s v="AGLIO OLIO"/>
    <n v="2950"/>
    <n v="12"/>
    <n v="35400"/>
    <m/>
  </r>
  <r>
    <x v="10"/>
    <s v="AUG"/>
    <x v="36"/>
    <s v="GRSM 6"/>
    <x v="5"/>
    <s v="GMM"/>
    <n v="211161"/>
    <n v="710355"/>
    <x v="50"/>
    <x v="96"/>
    <s v="GORENG"/>
    <n v="2950"/>
    <n v="112"/>
    <n v="330400"/>
    <n v="70"/>
  </r>
  <r>
    <x v="10"/>
    <s v="AUG"/>
    <x v="36"/>
    <s v="GRSM 6"/>
    <x v="5"/>
    <s v="GMM"/>
    <n v="211161"/>
    <n v="710355"/>
    <x v="50"/>
    <x v="97"/>
    <s v="BOLOGNESE"/>
    <n v="2950"/>
    <n v="20"/>
    <n v="59000"/>
    <m/>
  </r>
  <r>
    <x v="10"/>
    <s v="AUG"/>
    <x v="36"/>
    <s v="GRSM 6"/>
    <x v="5"/>
    <s v="GMM"/>
    <n v="211161"/>
    <n v="710355"/>
    <x v="50"/>
    <x v="97"/>
    <s v="CARBONARA"/>
    <n v="2950"/>
    <n v="25"/>
    <n v="73750"/>
    <m/>
  </r>
  <r>
    <x v="10"/>
    <s v="AUG"/>
    <x v="36"/>
    <s v="GRSM 6"/>
    <x v="5"/>
    <s v="GMM"/>
    <n v="211161"/>
    <n v="710355"/>
    <x v="50"/>
    <x v="97"/>
    <s v="AGLIO OLIO"/>
    <n v="2950"/>
    <n v="12"/>
    <n v="35400"/>
    <m/>
  </r>
  <r>
    <x v="10"/>
    <s v="AUG"/>
    <x v="36"/>
    <s v="GRSM 6"/>
    <x v="5"/>
    <s v="GMM"/>
    <n v="211161"/>
    <n v="710355"/>
    <x v="50"/>
    <x v="97"/>
    <s v="GORENG"/>
    <n v="2950"/>
    <n v="112"/>
    <n v="330400"/>
    <n v="70"/>
  </r>
  <r>
    <x v="10"/>
    <s v="AUG"/>
    <x v="36"/>
    <s v="GRSM 4"/>
    <x v="0"/>
    <s v="GMM"/>
    <n v="103257"/>
    <n v="9162509"/>
    <x v="25"/>
    <x v="72"/>
    <s v="BOLOGNESE"/>
    <n v="3200"/>
    <n v="40"/>
    <n v="128000"/>
    <m/>
  </r>
  <r>
    <x v="10"/>
    <s v="AUG"/>
    <x v="36"/>
    <s v="GRSM 4"/>
    <x v="0"/>
    <s v="GMM"/>
    <n v="103257"/>
    <n v="9162509"/>
    <x v="25"/>
    <x v="72"/>
    <s v="CARBONARA"/>
    <n v="3200"/>
    <n v="30"/>
    <n v="96000"/>
    <m/>
  </r>
  <r>
    <x v="10"/>
    <s v="AUG"/>
    <x v="36"/>
    <s v="GRSM 4"/>
    <x v="0"/>
    <s v="GMM"/>
    <n v="103257"/>
    <n v="9162509"/>
    <x v="25"/>
    <x v="72"/>
    <s v="AGLIO OLIO"/>
    <n v="3200"/>
    <n v="0"/>
    <n v="0"/>
    <m/>
  </r>
  <r>
    <x v="10"/>
    <s v="AUG"/>
    <x v="36"/>
    <s v="GRSM 4"/>
    <x v="0"/>
    <s v="GMM"/>
    <n v="103257"/>
    <n v="9162509"/>
    <x v="25"/>
    <x v="72"/>
    <s v="GORENG"/>
    <n v="3200"/>
    <n v="17"/>
    <n v="54400"/>
    <n v="160"/>
  </r>
  <r>
    <x v="10"/>
    <s v="AUG"/>
    <x v="37"/>
    <s v="GRSM 4"/>
    <x v="0"/>
    <s v="GMM"/>
    <n v="103257"/>
    <n v="9162509"/>
    <x v="25"/>
    <x v="58"/>
    <s v="BOLOGNESE"/>
    <n v="3200"/>
    <n v="25"/>
    <n v="80000"/>
    <m/>
  </r>
  <r>
    <x v="10"/>
    <s v="AUG"/>
    <x v="37"/>
    <s v="GRSM 4"/>
    <x v="0"/>
    <s v="GMM"/>
    <n v="103257"/>
    <n v="9162509"/>
    <x v="25"/>
    <x v="58"/>
    <s v="CARBONARA"/>
    <n v="3200"/>
    <n v="30"/>
    <n v="96000"/>
    <m/>
  </r>
  <r>
    <x v="10"/>
    <s v="AUG"/>
    <x v="37"/>
    <s v="GRSM 4"/>
    <x v="0"/>
    <s v="GMM"/>
    <n v="103257"/>
    <n v="9162509"/>
    <x v="25"/>
    <x v="58"/>
    <s v="AGLIO OLIO"/>
    <n v="3200"/>
    <n v="28"/>
    <n v="89600"/>
    <m/>
  </r>
  <r>
    <x v="10"/>
    <s v="AUG"/>
    <x v="37"/>
    <s v="GRSM 4"/>
    <x v="0"/>
    <s v="GMM"/>
    <n v="103257"/>
    <n v="9162509"/>
    <x v="25"/>
    <x v="58"/>
    <s v="GORENG"/>
    <n v="3200"/>
    <n v="17"/>
    <n v="54400"/>
    <n v="160"/>
  </r>
  <r>
    <x v="10"/>
    <s v="AUG"/>
    <x v="35"/>
    <s v="GRSM 6"/>
    <x v="5"/>
    <s v="GMM"/>
    <n v="211030"/>
    <n v="5765035"/>
    <x v="51"/>
    <x v="98"/>
    <s v="BOLOGNESE"/>
    <n v="3145"/>
    <n v="21"/>
    <n v="66045"/>
    <m/>
  </r>
  <r>
    <x v="10"/>
    <s v="AUG"/>
    <x v="35"/>
    <s v="GRSM 6"/>
    <x v="5"/>
    <s v="GMM"/>
    <n v="211030"/>
    <n v="5765035"/>
    <x v="51"/>
    <x v="98"/>
    <s v="CARBONARA"/>
    <n v="3145"/>
    <n v="39"/>
    <n v="122655"/>
    <m/>
  </r>
  <r>
    <x v="10"/>
    <s v="AUG"/>
    <x v="35"/>
    <s v="GRSM 6"/>
    <x v="5"/>
    <s v="GMM"/>
    <n v="211030"/>
    <n v="5765035"/>
    <x v="51"/>
    <x v="98"/>
    <s v="AGLIO OLIO"/>
    <n v="3145"/>
    <n v="15"/>
    <n v="47175"/>
    <m/>
  </r>
  <r>
    <x v="10"/>
    <s v="AUG"/>
    <x v="35"/>
    <s v="GRSM 6"/>
    <x v="5"/>
    <s v="GMM"/>
    <n v="211030"/>
    <n v="5765035"/>
    <x v="51"/>
    <x v="98"/>
    <s v="GORENG"/>
    <n v="3145"/>
    <n v="105"/>
    <n v="330225"/>
    <n v="150"/>
  </r>
  <r>
    <x v="10"/>
    <s v="AUG"/>
    <x v="35"/>
    <s v="GRSM 6"/>
    <x v="5"/>
    <s v="GMM"/>
    <n v="211030"/>
    <n v="5765035"/>
    <x v="51"/>
    <x v="99"/>
    <s v="BOLOGNESE"/>
    <n v="3145"/>
    <n v="21"/>
    <n v="66045"/>
    <m/>
  </r>
  <r>
    <x v="10"/>
    <s v="AUG"/>
    <x v="35"/>
    <s v="GRSM 6"/>
    <x v="5"/>
    <s v="GMM"/>
    <n v="211030"/>
    <n v="5765035"/>
    <x v="51"/>
    <x v="99"/>
    <s v="CARBONARA"/>
    <n v="3145"/>
    <n v="39"/>
    <n v="122655"/>
    <m/>
  </r>
  <r>
    <x v="10"/>
    <s v="AUG"/>
    <x v="35"/>
    <s v="GRSM 6"/>
    <x v="5"/>
    <s v="GMM"/>
    <n v="211030"/>
    <n v="5765035"/>
    <x v="51"/>
    <x v="99"/>
    <s v="AGLIO OLIO"/>
    <n v="3145"/>
    <n v="15"/>
    <n v="47175"/>
    <m/>
  </r>
  <r>
    <x v="10"/>
    <s v="AUG"/>
    <x v="35"/>
    <s v="GRSM 6"/>
    <x v="5"/>
    <s v="GMM"/>
    <n v="211030"/>
    <n v="5765035"/>
    <x v="51"/>
    <x v="99"/>
    <s v="GORENG"/>
    <n v="3145"/>
    <n v="105"/>
    <n v="330225"/>
    <n v="150"/>
  </r>
  <r>
    <x v="11"/>
    <s v="AUG"/>
    <x v="38"/>
    <s v="GRSM 4"/>
    <x v="0"/>
    <s v="GMM"/>
    <n v="103258"/>
    <n v="9201924"/>
    <x v="39"/>
    <x v="5"/>
    <s v="BOLOGNESE"/>
    <n v="2000"/>
    <n v="24"/>
    <n v="48000"/>
    <m/>
  </r>
  <r>
    <x v="11"/>
    <s v="AUG"/>
    <x v="38"/>
    <s v="GRSM 4"/>
    <x v="0"/>
    <s v="GMM"/>
    <n v="103258"/>
    <n v="9201924"/>
    <x v="39"/>
    <x v="5"/>
    <s v="CARBONARA"/>
    <n v="2000"/>
    <n v="60"/>
    <n v="120000"/>
    <m/>
  </r>
  <r>
    <x v="11"/>
    <s v="AUG"/>
    <x v="38"/>
    <s v="GRSM 4"/>
    <x v="0"/>
    <s v="GMM"/>
    <n v="103258"/>
    <n v="9201924"/>
    <x v="39"/>
    <x v="5"/>
    <s v="AGLIO OLIO"/>
    <n v="2000"/>
    <n v="0"/>
    <n v="0"/>
    <m/>
  </r>
  <r>
    <x v="11"/>
    <s v="AUG"/>
    <x v="38"/>
    <s v="GRSM 4"/>
    <x v="0"/>
    <s v="GMM"/>
    <n v="103258"/>
    <n v="9201924"/>
    <x v="39"/>
    <x v="5"/>
    <s v="GORENG"/>
    <n v="2000"/>
    <n v="180"/>
    <n v="360000"/>
    <n v="160"/>
  </r>
  <r>
    <x v="11"/>
    <s v="AUG"/>
    <x v="38"/>
    <s v="GRSM 4"/>
    <x v="0"/>
    <s v="GMM"/>
    <n v="103258"/>
    <n v="9201924"/>
    <x v="39"/>
    <x v="73"/>
    <s v="BOLOGNESE"/>
    <n v="2000"/>
    <n v="24"/>
    <n v="48000"/>
    <m/>
  </r>
  <r>
    <x v="11"/>
    <s v="AUG"/>
    <x v="38"/>
    <s v="GRSM 4"/>
    <x v="0"/>
    <s v="GMM"/>
    <n v="103258"/>
    <n v="9201924"/>
    <x v="39"/>
    <x v="73"/>
    <s v="CARBONARA"/>
    <n v="2000"/>
    <n v="60"/>
    <n v="120000"/>
    <m/>
  </r>
  <r>
    <x v="11"/>
    <s v="AUG"/>
    <x v="38"/>
    <s v="GRSM 4"/>
    <x v="0"/>
    <s v="GMM"/>
    <n v="103258"/>
    <n v="9201924"/>
    <x v="39"/>
    <x v="73"/>
    <s v="AGLIO OLIO"/>
    <n v="2000"/>
    <n v="0"/>
    <n v="0"/>
    <m/>
  </r>
  <r>
    <x v="11"/>
    <s v="AUG"/>
    <x v="38"/>
    <s v="GRSM 4"/>
    <x v="0"/>
    <s v="GMM"/>
    <n v="103258"/>
    <n v="9201924"/>
    <x v="39"/>
    <x v="73"/>
    <s v="GORENG"/>
    <n v="2000"/>
    <n v="180"/>
    <n v="360000"/>
    <n v="160"/>
  </r>
  <r>
    <x v="11"/>
    <s v="AUG"/>
    <x v="38"/>
    <s v="GRSM 3A"/>
    <x v="0"/>
    <s v="GMM"/>
    <n v="211019"/>
    <n v="1556924"/>
    <x v="33"/>
    <x v="70"/>
    <s v="BOLOGNESE"/>
    <n v="3000"/>
    <n v="40"/>
    <n v="120000"/>
    <m/>
  </r>
  <r>
    <x v="11"/>
    <s v="AUG"/>
    <x v="38"/>
    <s v="GRSM 3A"/>
    <x v="0"/>
    <s v="GMM"/>
    <n v="211019"/>
    <n v="1556924"/>
    <x v="33"/>
    <x v="70"/>
    <s v="CARBONARA"/>
    <n v="3000"/>
    <n v="35"/>
    <n v="105000"/>
    <m/>
  </r>
  <r>
    <x v="11"/>
    <s v="AUG"/>
    <x v="38"/>
    <s v="GRSM 3A"/>
    <x v="0"/>
    <s v="GMM"/>
    <n v="211019"/>
    <n v="1556924"/>
    <x v="33"/>
    <x v="70"/>
    <s v="AGLIO OLIO"/>
    <n v="3000"/>
    <n v="22"/>
    <n v="66000"/>
    <m/>
  </r>
  <r>
    <x v="11"/>
    <s v="AUG"/>
    <x v="38"/>
    <s v="GRSM 3A"/>
    <x v="0"/>
    <s v="GMM"/>
    <n v="211019"/>
    <n v="1556924"/>
    <x v="33"/>
    <x v="70"/>
    <s v="GORENG"/>
    <n v="3000"/>
    <n v="74"/>
    <n v="222000"/>
    <n v="40"/>
  </r>
  <r>
    <x v="11"/>
    <s v="AUG"/>
    <x v="38"/>
    <s v="GRSM 3A"/>
    <x v="0"/>
    <s v="GMM"/>
    <n v="211019"/>
    <n v="1556924"/>
    <x v="33"/>
    <x v="71"/>
    <s v="BOLOGNESE"/>
    <n v="3000"/>
    <n v="40"/>
    <n v="120000"/>
    <m/>
  </r>
  <r>
    <x v="11"/>
    <s v="AUG"/>
    <x v="38"/>
    <s v="GRSM 3A"/>
    <x v="0"/>
    <s v="GMM"/>
    <n v="211019"/>
    <n v="1556924"/>
    <x v="33"/>
    <x v="71"/>
    <s v="CARBONARA"/>
    <n v="3000"/>
    <n v="35"/>
    <n v="105000"/>
    <m/>
  </r>
  <r>
    <x v="11"/>
    <s v="AUG"/>
    <x v="38"/>
    <s v="GRSM 3A"/>
    <x v="0"/>
    <s v="GMM"/>
    <n v="211019"/>
    <n v="1556924"/>
    <x v="33"/>
    <x v="71"/>
    <s v="AGLIO OLIO"/>
    <n v="3000"/>
    <n v="22"/>
    <n v="66000"/>
    <m/>
  </r>
  <r>
    <x v="11"/>
    <s v="AUG"/>
    <x v="38"/>
    <s v="GRSM 3A"/>
    <x v="0"/>
    <s v="GMM"/>
    <n v="211019"/>
    <n v="1556924"/>
    <x v="33"/>
    <x v="71"/>
    <s v="GORENG"/>
    <n v="3000"/>
    <n v="74"/>
    <n v="222000"/>
    <n v="40"/>
  </r>
  <r>
    <x v="11"/>
    <s v="AUG"/>
    <x v="38"/>
    <s v="GRSM 4"/>
    <x v="0"/>
    <s v="GMM"/>
    <n v="103712"/>
    <n v="4404677"/>
    <x v="34"/>
    <x v="17"/>
    <s v="BOLOGNESE"/>
    <n v="3000"/>
    <n v="30"/>
    <n v="90000"/>
    <m/>
  </r>
  <r>
    <x v="11"/>
    <s v="AUG"/>
    <x v="38"/>
    <s v="GRSM 4"/>
    <x v="0"/>
    <s v="GMM"/>
    <n v="103712"/>
    <n v="4404677"/>
    <x v="34"/>
    <x v="17"/>
    <s v="CARBONARA"/>
    <n v="3000"/>
    <n v="39"/>
    <n v="117000"/>
    <m/>
  </r>
  <r>
    <x v="11"/>
    <s v="AUG"/>
    <x v="38"/>
    <s v="GRSM 4"/>
    <x v="0"/>
    <s v="GMM"/>
    <n v="103712"/>
    <n v="4404677"/>
    <x v="34"/>
    <x v="17"/>
    <s v="AGLIO OLIO"/>
    <n v="3000"/>
    <n v="27"/>
    <n v="81000"/>
    <m/>
  </r>
  <r>
    <x v="11"/>
    <s v="AUG"/>
    <x v="38"/>
    <s v="GRSM 4"/>
    <x v="0"/>
    <s v="GMM"/>
    <n v="103712"/>
    <n v="4404677"/>
    <x v="34"/>
    <x v="17"/>
    <s v="GORENG"/>
    <n v="3000"/>
    <n v="110"/>
    <n v="330000"/>
    <n v="160"/>
  </r>
  <r>
    <x v="11"/>
    <s v="AUG"/>
    <x v="38"/>
    <s v="GRSM 4"/>
    <x v="0"/>
    <s v="GMM"/>
    <n v="103712"/>
    <n v="4404677"/>
    <x v="34"/>
    <x v="21"/>
    <s v="BOLOGNESE"/>
    <n v="3000"/>
    <n v="30"/>
    <n v="90000"/>
    <m/>
  </r>
  <r>
    <x v="11"/>
    <s v="AUG"/>
    <x v="38"/>
    <s v="GRSM 4"/>
    <x v="0"/>
    <s v="GMM"/>
    <n v="103712"/>
    <n v="4404677"/>
    <x v="34"/>
    <x v="21"/>
    <s v="CARBONARA"/>
    <n v="3000"/>
    <n v="34"/>
    <n v="102000"/>
    <m/>
  </r>
  <r>
    <x v="11"/>
    <s v="AUG"/>
    <x v="38"/>
    <s v="GRSM 4"/>
    <x v="0"/>
    <s v="GMM"/>
    <n v="103712"/>
    <n v="4404677"/>
    <x v="34"/>
    <x v="21"/>
    <s v="AGLIO OLIO"/>
    <n v="3000"/>
    <n v="26"/>
    <n v="78000"/>
    <m/>
  </r>
  <r>
    <x v="11"/>
    <s v="AUG"/>
    <x v="38"/>
    <s v="GRSM 4"/>
    <x v="0"/>
    <s v="GMM"/>
    <n v="103712"/>
    <n v="4404677"/>
    <x v="34"/>
    <x v="21"/>
    <s v="GORENG"/>
    <n v="3000"/>
    <n v="129"/>
    <n v="387000"/>
    <n v="160"/>
  </r>
  <r>
    <x v="11"/>
    <s v="AUG"/>
    <x v="38"/>
    <s v="GRSM 4"/>
    <x v="0"/>
    <s v="NKA"/>
    <n v="121409"/>
    <n v="5025004"/>
    <x v="37"/>
    <x v="27"/>
    <s v="BOLOGNESE"/>
    <n v="3275"/>
    <n v="33"/>
    <n v="108075"/>
    <m/>
  </r>
  <r>
    <x v="11"/>
    <s v="AUG"/>
    <x v="38"/>
    <s v="GRSM 4"/>
    <x v="0"/>
    <s v="NKA"/>
    <n v="121409"/>
    <n v="5025004"/>
    <x v="37"/>
    <x v="27"/>
    <s v="CARBONARA"/>
    <n v="3275"/>
    <n v="32"/>
    <n v="104800"/>
    <m/>
  </r>
  <r>
    <x v="11"/>
    <s v="AUG"/>
    <x v="38"/>
    <s v="GRSM 4"/>
    <x v="0"/>
    <s v="NKA"/>
    <n v="121409"/>
    <n v="5025004"/>
    <x v="37"/>
    <x v="27"/>
    <s v="AGLIO OLIO"/>
    <n v="3275"/>
    <n v="35"/>
    <n v="114625"/>
    <m/>
  </r>
  <r>
    <x v="11"/>
    <s v="AUG"/>
    <x v="38"/>
    <s v="GRSM 4"/>
    <x v="0"/>
    <s v="NKA"/>
    <n v="121409"/>
    <n v="5025004"/>
    <x v="37"/>
    <x v="27"/>
    <s v="GORENG"/>
    <n v="3275"/>
    <n v="95"/>
    <n v="311125"/>
    <n v="160"/>
  </r>
  <r>
    <x v="11"/>
    <s v="AUG"/>
    <x v="38"/>
    <s v="GRSM 4"/>
    <x v="0"/>
    <s v="NKA"/>
    <n v="121409"/>
    <n v="5025004"/>
    <x v="37"/>
    <x v="26"/>
    <s v="BOLOGNESE"/>
    <n v="3275"/>
    <n v="33"/>
    <n v="108075"/>
    <m/>
  </r>
  <r>
    <x v="11"/>
    <s v="AUG"/>
    <x v="38"/>
    <s v="GRSM 4"/>
    <x v="0"/>
    <s v="NKA"/>
    <n v="121409"/>
    <n v="5025004"/>
    <x v="37"/>
    <x v="26"/>
    <s v="CARBONARA"/>
    <n v="3275"/>
    <n v="32"/>
    <n v="104800"/>
    <m/>
  </r>
  <r>
    <x v="11"/>
    <s v="AUG"/>
    <x v="38"/>
    <s v="GRSM 4"/>
    <x v="0"/>
    <s v="NKA"/>
    <n v="121409"/>
    <n v="5025004"/>
    <x v="37"/>
    <x v="26"/>
    <s v="AGLIO OLIO"/>
    <n v="3275"/>
    <n v="35"/>
    <n v="114625"/>
    <m/>
  </r>
  <r>
    <x v="11"/>
    <s v="AUG"/>
    <x v="38"/>
    <s v="GRSM 4"/>
    <x v="0"/>
    <s v="NKA"/>
    <n v="121409"/>
    <n v="5025004"/>
    <x v="37"/>
    <x v="26"/>
    <s v="GORENG"/>
    <n v="3275"/>
    <n v="95"/>
    <n v="311125"/>
    <n v="160"/>
  </r>
  <r>
    <x v="11"/>
    <s v="AUG"/>
    <x v="38"/>
    <s v="GRSM 4"/>
    <x v="0"/>
    <s v="NKA"/>
    <n v="195403"/>
    <n v="1600007"/>
    <x v="35"/>
    <x v="15"/>
    <s v="BOLOGNESE"/>
    <n v="2150"/>
    <n v="87"/>
    <n v="187050"/>
    <m/>
  </r>
  <r>
    <x v="11"/>
    <s v="AUG"/>
    <x v="38"/>
    <s v="GRSM 4"/>
    <x v="0"/>
    <s v="NKA"/>
    <n v="195403"/>
    <n v="1600007"/>
    <x v="35"/>
    <x v="15"/>
    <s v="CARBONARA"/>
    <n v="2150"/>
    <n v="93"/>
    <n v="199950"/>
    <m/>
  </r>
  <r>
    <x v="11"/>
    <s v="AUG"/>
    <x v="38"/>
    <s v="GRSM 4"/>
    <x v="0"/>
    <s v="NKA"/>
    <n v="195403"/>
    <n v="1600007"/>
    <x v="35"/>
    <x v="15"/>
    <s v="AGLIO OLIO"/>
    <n v="2150"/>
    <n v="54"/>
    <n v="116100"/>
    <m/>
  </r>
  <r>
    <x v="11"/>
    <s v="AUG"/>
    <x v="38"/>
    <s v="GRSM 4"/>
    <x v="0"/>
    <s v="NKA"/>
    <n v="195403"/>
    <n v="1600007"/>
    <x v="35"/>
    <x v="15"/>
    <s v="GORENG"/>
    <n v="2150"/>
    <n v="120"/>
    <n v="258000"/>
    <n v="160"/>
  </r>
  <r>
    <x v="11"/>
    <s v="AUG"/>
    <x v="38"/>
    <s v="GRSM 4"/>
    <x v="0"/>
    <s v="GMM"/>
    <n v="103259"/>
    <n v="9002359"/>
    <x v="36"/>
    <x v="1"/>
    <s v="BOLOGNESE"/>
    <n v="1970"/>
    <n v="150"/>
    <n v="295500"/>
    <m/>
  </r>
  <r>
    <x v="11"/>
    <s v="AUG"/>
    <x v="38"/>
    <s v="GRSM 4"/>
    <x v="0"/>
    <s v="GMM"/>
    <n v="103259"/>
    <n v="9002359"/>
    <x v="36"/>
    <x v="1"/>
    <s v="CARBONARA"/>
    <n v="1970"/>
    <n v="0"/>
    <n v="0"/>
    <m/>
  </r>
  <r>
    <x v="11"/>
    <s v="AUG"/>
    <x v="38"/>
    <s v="GRSM 4"/>
    <x v="0"/>
    <s v="GMM"/>
    <n v="103259"/>
    <n v="9002359"/>
    <x v="36"/>
    <x v="1"/>
    <s v="AGLIO OLIO"/>
    <n v="1970"/>
    <n v="0"/>
    <n v="0"/>
    <m/>
  </r>
  <r>
    <x v="11"/>
    <s v="AUG"/>
    <x v="38"/>
    <s v="GRSM 4"/>
    <x v="0"/>
    <s v="GMM"/>
    <n v="103259"/>
    <n v="9002359"/>
    <x v="36"/>
    <x v="1"/>
    <s v="GORENG"/>
    <n v="1970"/>
    <n v="0"/>
    <n v="0"/>
    <m/>
  </r>
  <r>
    <x v="11"/>
    <s v="AUG"/>
    <x v="38"/>
    <s v="GRSM 4"/>
    <x v="0"/>
    <s v="GMM"/>
    <n v="103259"/>
    <n v="9002359"/>
    <x v="36"/>
    <x v="75"/>
    <s v="BOLOGNESE"/>
    <n v="1950"/>
    <n v="132"/>
    <n v="257400"/>
    <m/>
  </r>
  <r>
    <x v="11"/>
    <s v="AUG"/>
    <x v="38"/>
    <s v="GRSM 4"/>
    <x v="0"/>
    <s v="GMM"/>
    <n v="103259"/>
    <n v="9002359"/>
    <x v="36"/>
    <x v="75"/>
    <s v="CARBONARA"/>
    <n v="1950"/>
    <n v="0"/>
    <n v="0"/>
    <m/>
  </r>
  <r>
    <x v="11"/>
    <s v="AUG"/>
    <x v="38"/>
    <s v="GRSM 4"/>
    <x v="0"/>
    <s v="GMM"/>
    <n v="103259"/>
    <n v="9002359"/>
    <x v="36"/>
    <x v="75"/>
    <s v="AGLIO OLIO"/>
    <n v="1950"/>
    <n v="0"/>
    <n v="0"/>
    <m/>
  </r>
  <r>
    <x v="11"/>
    <s v="AUG"/>
    <x v="38"/>
    <s v="GRSM 4"/>
    <x v="0"/>
    <s v="GMM"/>
    <n v="103259"/>
    <n v="9002359"/>
    <x v="36"/>
    <x v="75"/>
    <s v="GORENG"/>
    <n v="1950"/>
    <n v="0"/>
    <n v="0"/>
    <n v="160"/>
  </r>
  <r>
    <x v="11"/>
    <s v="AUG"/>
    <x v="38"/>
    <s v="GRSM 4"/>
    <x v="0"/>
    <s v="GMM"/>
    <n v="103259"/>
    <n v="9006219"/>
    <x v="38"/>
    <x v="4"/>
    <s v="BOLOGNESE"/>
    <n v="2000"/>
    <n v="42"/>
    <n v="84000"/>
    <m/>
  </r>
  <r>
    <x v="11"/>
    <s v="AUG"/>
    <x v="38"/>
    <s v="GRSM 4"/>
    <x v="0"/>
    <s v="GMM"/>
    <n v="103259"/>
    <n v="9006219"/>
    <x v="38"/>
    <x v="4"/>
    <s v="CARBONARA"/>
    <n v="2000"/>
    <n v="33"/>
    <n v="66000"/>
    <m/>
  </r>
  <r>
    <x v="11"/>
    <s v="AUG"/>
    <x v="38"/>
    <s v="GRSM 4"/>
    <x v="0"/>
    <s v="GMM"/>
    <n v="103259"/>
    <n v="9006219"/>
    <x v="38"/>
    <x v="4"/>
    <s v="AGLIO OLIO"/>
    <n v="2000"/>
    <n v="27"/>
    <n v="54000"/>
    <m/>
  </r>
  <r>
    <x v="11"/>
    <s v="AUG"/>
    <x v="38"/>
    <s v="GRSM 4"/>
    <x v="0"/>
    <s v="GMM"/>
    <n v="103259"/>
    <n v="9006219"/>
    <x v="38"/>
    <x v="4"/>
    <s v="GORENG"/>
    <n v="2000"/>
    <n v="219"/>
    <n v="438000"/>
    <n v="160"/>
  </r>
  <r>
    <x v="11"/>
    <s v="AUG"/>
    <x v="38"/>
    <s v="GRSM 4"/>
    <x v="0"/>
    <s v="GMM"/>
    <n v="103259"/>
    <n v="9006219"/>
    <x v="38"/>
    <x v="100"/>
    <s v="BOLOGNESE"/>
    <n v="2000"/>
    <n v="42"/>
    <n v="84000"/>
    <m/>
  </r>
  <r>
    <x v="11"/>
    <s v="AUG"/>
    <x v="38"/>
    <s v="GRSM 4"/>
    <x v="0"/>
    <s v="GMM"/>
    <n v="103259"/>
    <n v="9006219"/>
    <x v="38"/>
    <x v="100"/>
    <s v="CARBONARA"/>
    <n v="2000"/>
    <n v="33"/>
    <n v="66000"/>
    <m/>
  </r>
  <r>
    <x v="11"/>
    <s v="AUG"/>
    <x v="38"/>
    <s v="GRSM 4"/>
    <x v="0"/>
    <s v="GMM"/>
    <n v="103259"/>
    <n v="9006219"/>
    <x v="38"/>
    <x v="100"/>
    <s v="AGLIO OLIO"/>
    <n v="2000"/>
    <n v="27"/>
    <n v="54000"/>
    <m/>
  </r>
  <r>
    <x v="11"/>
    <s v="AUG"/>
    <x v="38"/>
    <s v="GRSM 4"/>
    <x v="0"/>
    <s v="GMM"/>
    <n v="103259"/>
    <n v="9006219"/>
    <x v="38"/>
    <x v="100"/>
    <s v="GORENG"/>
    <n v="2000"/>
    <n v="219"/>
    <n v="438000"/>
    <n v="160"/>
  </r>
  <r>
    <x v="11"/>
    <s v="AUG"/>
    <x v="38"/>
    <s v="GRSM 4"/>
    <x v="0"/>
    <s v="NKA"/>
    <n v="195403"/>
    <n v="1600007"/>
    <x v="35"/>
    <x v="24"/>
    <s v="BOLOGNESE"/>
    <n v="2150"/>
    <n v="83"/>
    <n v="178450"/>
    <m/>
  </r>
  <r>
    <x v="11"/>
    <s v="AUG"/>
    <x v="38"/>
    <s v="GRSM 4"/>
    <x v="0"/>
    <s v="NKA"/>
    <n v="195403"/>
    <n v="1600007"/>
    <x v="35"/>
    <x v="24"/>
    <s v="CARBONARA"/>
    <n v="2150"/>
    <n v="91"/>
    <n v="195650"/>
    <m/>
  </r>
  <r>
    <x v="11"/>
    <s v="AUG"/>
    <x v="38"/>
    <s v="GRSM 4"/>
    <x v="0"/>
    <s v="NKA"/>
    <n v="195403"/>
    <n v="1600007"/>
    <x v="35"/>
    <x v="24"/>
    <s v="AGLIO OLIO"/>
    <n v="2150"/>
    <n v="50"/>
    <n v="107500"/>
    <m/>
  </r>
  <r>
    <x v="11"/>
    <s v="AUG"/>
    <x v="38"/>
    <s v="GRSM 4"/>
    <x v="0"/>
    <s v="NKA"/>
    <n v="195403"/>
    <n v="1600007"/>
    <x v="35"/>
    <x v="24"/>
    <s v="GORENG"/>
    <n v="2150"/>
    <n v="124"/>
    <n v="266600"/>
    <n v="160"/>
  </r>
  <r>
    <x v="11"/>
    <s v="AUG"/>
    <x v="38"/>
    <s v="GRSM 4"/>
    <x v="0"/>
    <s v="GMM"/>
    <n v="103257"/>
    <n v="9162509"/>
    <x v="25"/>
    <x v="101"/>
    <s v="BOLOGNESE"/>
    <n v="3100"/>
    <n v="68"/>
    <n v="210800"/>
    <m/>
  </r>
  <r>
    <x v="11"/>
    <s v="AUG"/>
    <x v="38"/>
    <s v="GRSM 4"/>
    <x v="0"/>
    <s v="GMM"/>
    <n v="103257"/>
    <n v="9162509"/>
    <x v="25"/>
    <x v="101"/>
    <s v="CARBONARA"/>
    <n v="3100"/>
    <n v="70"/>
    <n v="217000"/>
    <m/>
  </r>
  <r>
    <x v="11"/>
    <s v="AUG"/>
    <x v="38"/>
    <s v="GRSM 4"/>
    <x v="0"/>
    <s v="GMM"/>
    <n v="103257"/>
    <n v="9162509"/>
    <x v="25"/>
    <x v="101"/>
    <s v="AGLIO OLIO"/>
    <n v="3100"/>
    <n v="0"/>
    <n v="0"/>
    <m/>
  </r>
  <r>
    <x v="11"/>
    <s v="AUG"/>
    <x v="38"/>
    <s v="GRSM 4"/>
    <x v="0"/>
    <s v="GMM"/>
    <n v="103257"/>
    <n v="9162509"/>
    <x v="25"/>
    <x v="101"/>
    <s v="GORENG"/>
    <n v="3100"/>
    <n v="0"/>
    <n v="0"/>
    <n v="160"/>
  </r>
  <r>
    <x v="11"/>
    <s v="AUG"/>
    <x v="38"/>
    <s v="GRSM 4"/>
    <x v="0"/>
    <s v="GMM"/>
    <n v="103257"/>
    <n v="9162509"/>
    <x v="25"/>
    <x v="72"/>
    <s v="BOLOGNESE"/>
    <n v="3100"/>
    <n v="62"/>
    <n v="192200"/>
    <m/>
  </r>
  <r>
    <x v="11"/>
    <s v="AUG"/>
    <x v="38"/>
    <s v="GRSM 4"/>
    <x v="0"/>
    <s v="GMM"/>
    <n v="103257"/>
    <n v="9162509"/>
    <x v="25"/>
    <x v="72"/>
    <s v="CARBONARA"/>
    <n v="3100"/>
    <n v="65"/>
    <n v="201500"/>
    <m/>
  </r>
  <r>
    <x v="11"/>
    <s v="AUG"/>
    <x v="38"/>
    <s v="GRSM 4"/>
    <x v="0"/>
    <s v="GMM"/>
    <n v="103257"/>
    <n v="9162509"/>
    <x v="25"/>
    <x v="72"/>
    <s v="AGLIO OLIO"/>
    <n v="3100"/>
    <n v="0"/>
    <n v="0"/>
    <m/>
  </r>
  <r>
    <x v="11"/>
    <s v="AUG"/>
    <x v="38"/>
    <s v="GRSM 4"/>
    <x v="0"/>
    <s v="GMM"/>
    <n v="103257"/>
    <n v="9162509"/>
    <x v="25"/>
    <x v="72"/>
    <s v="GORENG"/>
    <n v="3100"/>
    <n v="0"/>
    <n v="0"/>
    <n v="160"/>
  </r>
  <r>
    <x v="11"/>
    <s v="AUG"/>
    <x v="39"/>
    <s v="GRSM 3A"/>
    <x v="0"/>
    <s v="GMM"/>
    <n v="211019"/>
    <n v="1556924"/>
    <x v="33"/>
    <x v="70"/>
    <s v="BOLOGNESE"/>
    <n v="3000"/>
    <n v="70"/>
    <n v="210000"/>
    <m/>
  </r>
  <r>
    <x v="11"/>
    <s v="AUG"/>
    <x v="39"/>
    <s v="GRSM 3A"/>
    <x v="0"/>
    <s v="GMM"/>
    <n v="211019"/>
    <n v="1556924"/>
    <x v="33"/>
    <x v="70"/>
    <s v="CARBONARA"/>
    <n v="3000"/>
    <n v="256"/>
    <n v="768000"/>
    <m/>
  </r>
  <r>
    <x v="11"/>
    <s v="AUG"/>
    <x v="39"/>
    <s v="GRSM 3A"/>
    <x v="0"/>
    <s v="GMM"/>
    <n v="211019"/>
    <n v="1556924"/>
    <x v="33"/>
    <x v="70"/>
    <s v="AGLIO OLIO"/>
    <n v="3000"/>
    <n v="96"/>
    <n v="288000"/>
    <m/>
  </r>
  <r>
    <x v="11"/>
    <s v="AUG"/>
    <x v="39"/>
    <s v="GRSM 3A"/>
    <x v="0"/>
    <s v="GMM"/>
    <n v="211019"/>
    <n v="1556924"/>
    <x v="33"/>
    <x v="70"/>
    <s v="GORENG"/>
    <n v="3000"/>
    <n v="116"/>
    <n v="348000"/>
    <n v="115"/>
  </r>
  <r>
    <x v="11"/>
    <s v="AUG"/>
    <x v="39"/>
    <s v="GRSM 3A"/>
    <x v="0"/>
    <s v="GMM"/>
    <n v="211019"/>
    <n v="1556924"/>
    <x v="33"/>
    <x v="71"/>
    <s v="BOLOGNESE"/>
    <n v="3000"/>
    <n v="70"/>
    <n v="210000"/>
    <m/>
  </r>
  <r>
    <x v="11"/>
    <s v="AUG"/>
    <x v="39"/>
    <s v="GRSM 3A"/>
    <x v="0"/>
    <s v="GMM"/>
    <n v="211019"/>
    <n v="1556924"/>
    <x v="33"/>
    <x v="71"/>
    <s v="CARBONARA"/>
    <n v="3000"/>
    <n v="256"/>
    <n v="768000"/>
    <m/>
  </r>
  <r>
    <x v="11"/>
    <s v="AUG"/>
    <x v="39"/>
    <s v="GRSM 3A"/>
    <x v="0"/>
    <s v="GMM"/>
    <n v="211019"/>
    <n v="1556924"/>
    <x v="33"/>
    <x v="71"/>
    <s v="AGLIO OLIO"/>
    <n v="3000"/>
    <n v="96"/>
    <n v="288000"/>
    <m/>
  </r>
  <r>
    <x v="11"/>
    <s v="AUG"/>
    <x v="39"/>
    <s v="GRSM 3A"/>
    <x v="0"/>
    <s v="GMM"/>
    <n v="211019"/>
    <n v="1556924"/>
    <x v="33"/>
    <x v="71"/>
    <s v="GORENG"/>
    <n v="3000"/>
    <n v="116"/>
    <n v="348000"/>
    <n v="115"/>
  </r>
  <r>
    <x v="11"/>
    <s v="AUG"/>
    <x v="39"/>
    <s v="GRSM 4"/>
    <x v="0"/>
    <s v="NKA"/>
    <n v="121409"/>
    <n v="5025004"/>
    <x v="37"/>
    <x v="27"/>
    <s v="BOLOGNESE"/>
    <n v="3275"/>
    <n v="39"/>
    <n v="127725"/>
    <m/>
  </r>
  <r>
    <x v="11"/>
    <s v="AUG"/>
    <x v="39"/>
    <s v="GRSM 4"/>
    <x v="0"/>
    <s v="NKA"/>
    <n v="121409"/>
    <n v="5025004"/>
    <x v="37"/>
    <x v="27"/>
    <s v="CARBONARA"/>
    <n v="3275"/>
    <n v="40"/>
    <n v="131000"/>
    <m/>
  </r>
  <r>
    <x v="11"/>
    <s v="AUG"/>
    <x v="39"/>
    <s v="GRSM 4"/>
    <x v="0"/>
    <s v="NKA"/>
    <n v="121409"/>
    <n v="5025004"/>
    <x v="37"/>
    <x v="27"/>
    <s v="AGLIO OLIO"/>
    <n v="3275"/>
    <n v="51"/>
    <n v="167025"/>
    <m/>
  </r>
  <r>
    <x v="11"/>
    <s v="AUG"/>
    <x v="39"/>
    <s v="GRSM 4"/>
    <x v="0"/>
    <s v="NKA"/>
    <n v="121409"/>
    <n v="5025004"/>
    <x v="37"/>
    <x v="27"/>
    <s v="GORENG"/>
    <n v="3275"/>
    <n v="110"/>
    <n v="360250"/>
    <n v="160"/>
  </r>
  <r>
    <x v="11"/>
    <s v="AUG"/>
    <x v="39"/>
    <s v="GRSM 4"/>
    <x v="0"/>
    <s v="NKA"/>
    <n v="121409"/>
    <n v="5025004"/>
    <x v="37"/>
    <x v="26"/>
    <s v="BOLOGNESE"/>
    <n v="3275"/>
    <n v="39"/>
    <n v="127725"/>
    <m/>
  </r>
  <r>
    <x v="11"/>
    <s v="AUG"/>
    <x v="39"/>
    <s v="GRSM 4"/>
    <x v="0"/>
    <s v="NKA"/>
    <n v="121409"/>
    <n v="5025004"/>
    <x v="37"/>
    <x v="26"/>
    <s v="CARBONARA"/>
    <n v="3275"/>
    <n v="40"/>
    <n v="131000"/>
    <m/>
  </r>
  <r>
    <x v="11"/>
    <s v="AUG"/>
    <x v="39"/>
    <s v="GRSM 4"/>
    <x v="0"/>
    <s v="NKA"/>
    <n v="121409"/>
    <n v="5025004"/>
    <x v="37"/>
    <x v="26"/>
    <s v="AGLIO OLIO"/>
    <n v="3275"/>
    <n v="51"/>
    <n v="167025"/>
    <m/>
  </r>
  <r>
    <x v="11"/>
    <s v="AUG"/>
    <x v="39"/>
    <s v="GRSM 4"/>
    <x v="0"/>
    <s v="NKA"/>
    <n v="121409"/>
    <n v="5025004"/>
    <x v="37"/>
    <x v="26"/>
    <s v="GORENG"/>
    <n v="3275"/>
    <n v="110"/>
    <n v="360250"/>
    <n v="160"/>
  </r>
  <r>
    <x v="11"/>
    <s v="AUG"/>
    <x v="39"/>
    <s v="GRSM 4"/>
    <x v="0"/>
    <s v="NKA"/>
    <n v="195403"/>
    <n v="1600007"/>
    <x v="35"/>
    <x v="15"/>
    <s v="BOLOGNESE"/>
    <n v="2150"/>
    <n v="88"/>
    <n v="189200"/>
    <m/>
  </r>
  <r>
    <x v="11"/>
    <s v="AUG"/>
    <x v="39"/>
    <s v="GRSM 4"/>
    <x v="0"/>
    <s v="NKA"/>
    <n v="195403"/>
    <n v="1600007"/>
    <x v="35"/>
    <x v="15"/>
    <s v="CARBONARA"/>
    <n v="2150"/>
    <n v="97"/>
    <n v="208550"/>
    <m/>
  </r>
  <r>
    <x v="11"/>
    <s v="AUG"/>
    <x v="39"/>
    <s v="GRSM 4"/>
    <x v="0"/>
    <s v="NKA"/>
    <n v="195403"/>
    <n v="1600007"/>
    <x v="35"/>
    <x v="15"/>
    <s v="AGLIO OLIO"/>
    <n v="2150"/>
    <n v="65"/>
    <n v="139750"/>
    <m/>
  </r>
  <r>
    <x v="11"/>
    <s v="AUG"/>
    <x v="39"/>
    <s v="GRSM 4"/>
    <x v="0"/>
    <s v="NKA"/>
    <n v="195403"/>
    <n v="1600007"/>
    <x v="35"/>
    <x v="15"/>
    <s v="GORENG"/>
    <n v="2150"/>
    <n v="124"/>
    <n v="266600"/>
    <n v="160"/>
  </r>
  <r>
    <x v="11"/>
    <s v="AUG"/>
    <x v="39"/>
    <s v="GRSM 4"/>
    <x v="0"/>
    <s v="GMM"/>
    <n v="103712"/>
    <n v="4404677"/>
    <x v="34"/>
    <x v="21"/>
    <s v="BOLOGNESE"/>
    <n v="3000"/>
    <n v="27"/>
    <n v="81000"/>
    <m/>
  </r>
  <r>
    <x v="11"/>
    <s v="AUG"/>
    <x v="39"/>
    <s v="GRSM 4"/>
    <x v="0"/>
    <s v="GMM"/>
    <n v="103712"/>
    <n v="4404677"/>
    <x v="34"/>
    <x v="21"/>
    <s v="CARBONARA"/>
    <n v="3000"/>
    <n v="41"/>
    <n v="123000"/>
    <m/>
  </r>
  <r>
    <x v="11"/>
    <s v="AUG"/>
    <x v="39"/>
    <s v="GRSM 4"/>
    <x v="0"/>
    <s v="GMM"/>
    <n v="103712"/>
    <n v="4404677"/>
    <x v="34"/>
    <x v="21"/>
    <s v="AGLIO OLIO"/>
    <n v="3000"/>
    <n v="23"/>
    <n v="69000"/>
    <m/>
  </r>
  <r>
    <x v="11"/>
    <s v="AUG"/>
    <x v="39"/>
    <s v="GRSM 4"/>
    <x v="0"/>
    <s v="GMM"/>
    <n v="103712"/>
    <n v="4404677"/>
    <x v="34"/>
    <x v="21"/>
    <s v="GORENG"/>
    <n v="3000"/>
    <n v="138"/>
    <n v="414000"/>
    <n v="160"/>
  </r>
  <r>
    <x v="11"/>
    <s v="AUG"/>
    <x v="39"/>
    <s v="GRSM 4"/>
    <x v="0"/>
    <s v="GMM"/>
    <n v="103712"/>
    <n v="4404677"/>
    <x v="34"/>
    <x v="17"/>
    <s v="BOLOGNESE"/>
    <n v="3000"/>
    <n v="28"/>
    <n v="84000"/>
    <m/>
  </r>
  <r>
    <x v="11"/>
    <s v="AUG"/>
    <x v="39"/>
    <s v="GRSM 4"/>
    <x v="0"/>
    <s v="GMM"/>
    <n v="103712"/>
    <n v="4404677"/>
    <x v="34"/>
    <x v="17"/>
    <s v="CARBONARA"/>
    <n v="3000"/>
    <n v="42"/>
    <n v="126000"/>
    <m/>
  </r>
  <r>
    <x v="11"/>
    <s v="AUG"/>
    <x v="39"/>
    <s v="GRSM 4"/>
    <x v="0"/>
    <s v="GMM"/>
    <n v="103712"/>
    <n v="4404677"/>
    <x v="34"/>
    <x v="17"/>
    <s v="AGLIO OLIO"/>
    <n v="3000"/>
    <n v="28"/>
    <n v="84000"/>
    <m/>
  </r>
  <r>
    <x v="11"/>
    <s v="AUG"/>
    <x v="39"/>
    <s v="GRSM 4"/>
    <x v="0"/>
    <s v="GMM"/>
    <n v="103712"/>
    <n v="4404677"/>
    <x v="34"/>
    <x v="17"/>
    <s v="GORENG"/>
    <n v="3000"/>
    <n v="142"/>
    <n v="426000"/>
    <n v="160"/>
  </r>
  <r>
    <x v="11"/>
    <s v="AUG"/>
    <x v="39"/>
    <s v="GRSM 4"/>
    <x v="0"/>
    <s v="GMM"/>
    <n v="103257"/>
    <n v="9162509"/>
    <x v="25"/>
    <x v="72"/>
    <s v="BOLOGNESE"/>
    <n v="3100"/>
    <n v="62"/>
    <n v="192200"/>
    <m/>
  </r>
  <r>
    <x v="11"/>
    <s v="AUG"/>
    <x v="39"/>
    <s v="GRSM 4"/>
    <x v="0"/>
    <s v="GMM"/>
    <n v="103257"/>
    <n v="9162509"/>
    <x v="25"/>
    <x v="72"/>
    <s v="CARBONARA"/>
    <n v="3100"/>
    <n v="40"/>
    <n v="124000"/>
    <m/>
  </r>
  <r>
    <x v="11"/>
    <s v="AUG"/>
    <x v="39"/>
    <s v="GRSM 4"/>
    <x v="0"/>
    <s v="GMM"/>
    <n v="103257"/>
    <n v="9162509"/>
    <x v="25"/>
    <x v="72"/>
    <s v="AGLIO OLIO"/>
    <n v="3100"/>
    <n v="0"/>
    <n v="0"/>
    <m/>
  </r>
  <r>
    <x v="11"/>
    <s v="AUG"/>
    <x v="39"/>
    <s v="GRSM 4"/>
    <x v="0"/>
    <s v="GMM"/>
    <n v="103257"/>
    <n v="9162509"/>
    <x v="25"/>
    <x v="72"/>
    <s v="GORENG"/>
    <n v="3100"/>
    <n v="28"/>
    <n v="86800"/>
    <n v="160"/>
  </r>
  <r>
    <x v="11"/>
    <s v="AUG"/>
    <x v="39"/>
    <s v="GRSM 4"/>
    <x v="0"/>
    <s v="GMM"/>
    <n v="103258"/>
    <n v="9201924"/>
    <x v="39"/>
    <x v="5"/>
    <s v="BOLOGNESE"/>
    <n v="2000"/>
    <n v="38"/>
    <n v="76000"/>
    <m/>
  </r>
  <r>
    <x v="11"/>
    <s v="AUG"/>
    <x v="39"/>
    <s v="GRSM 4"/>
    <x v="0"/>
    <s v="GMM"/>
    <n v="103258"/>
    <n v="9201924"/>
    <x v="39"/>
    <x v="5"/>
    <s v="CARBONARA"/>
    <n v="2000"/>
    <n v="45"/>
    <n v="90000"/>
    <m/>
  </r>
  <r>
    <x v="11"/>
    <s v="AUG"/>
    <x v="39"/>
    <s v="GRSM 4"/>
    <x v="0"/>
    <s v="GMM"/>
    <n v="103258"/>
    <n v="9201924"/>
    <x v="39"/>
    <x v="5"/>
    <s v="AGLIO OLIO"/>
    <n v="2000"/>
    <n v="27"/>
    <n v="54000"/>
    <m/>
  </r>
  <r>
    <x v="11"/>
    <s v="AUG"/>
    <x v="39"/>
    <s v="GRSM 4"/>
    <x v="0"/>
    <s v="GMM"/>
    <n v="103258"/>
    <n v="9201924"/>
    <x v="39"/>
    <x v="5"/>
    <s v="GORENG"/>
    <n v="2000"/>
    <n v="100"/>
    <n v="200000"/>
    <n v="160"/>
  </r>
  <r>
    <x v="11"/>
    <s v="AUG"/>
    <x v="39"/>
    <s v="GRSM 4"/>
    <x v="0"/>
    <s v="GMM"/>
    <n v="103258"/>
    <n v="9201924"/>
    <x v="39"/>
    <x v="73"/>
    <s v="BOLOGNESE"/>
    <n v="2000"/>
    <n v="38"/>
    <n v="76000"/>
    <m/>
  </r>
  <r>
    <x v="11"/>
    <s v="AUG"/>
    <x v="39"/>
    <s v="GRSM 4"/>
    <x v="0"/>
    <s v="GMM"/>
    <n v="103258"/>
    <n v="9201924"/>
    <x v="39"/>
    <x v="73"/>
    <s v="CARBONARA"/>
    <n v="2000"/>
    <n v="45"/>
    <n v="90000"/>
    <m/>
  </r>
  <r>
    <x v="11"/>
    <s v="AUG"/>
    <x v="39"/>
    <s v="GRSM 4"/>
    <x v="0"/>
    <s v="GMM"/>
    <n v="103258"/>
    <n v="9201924"/>
    <x v="39"/>
    <x v="73"/>
    <s v="AGLIO OLIO"/>
    <n v="2000"/>
    <n v="27"/>
    <n v="54000"/>
    <m/>
  </r>
  <r>
    <x v="11"/>
    <s v="AUG"/>
    <x v="39"/>
    <s v="GRSM 4"/>
    <x v="0"/>
    <s v="GMM"/>
    <n v="103258"/>
    <n v="9201924"/>
    <x v="39"/>
    <x v="73"/>
    <s v="GORENG"/>
    <n v="2000"/>
    <n v="100"/>
    <n v="200000"/>
    <n v="160"/>
  </r>
  <r>
    <x v="11"/>
    <s v="AUG"/>
    <x v="39"/>
    <s v="GRSM 4"/>
    <x v="0"/>
    <s v="NKA"/>
    <n v="195403"/>
    <n v="1600007"/>
    <x v="35"/>
    <x v="24"/>
    <s v="BOLOGNESE"/>
    <n v="2150"/>
    <n v="92"/>
    <n v="197800"/>
    <m/>
  </r>
  <r>
    <x v="11"/>
    <s v="AUG"/>
    <x v="39"/>
    <s v="GRSM 4"/>
    <x v="0"/>
    <s v="NKA"/>
    <n v="195403"/>
    <n v="1600007"/>
    <x v="35"/>
    <x v="24"/>
    <s v="CARBONARA"/>
    <n v="2150"/>
    <n v="98"/>
    <n v="210700"/>
    <m/>
  </r>
  <r>
    <x v="11"/>
    <s v="AUG"/>
    <x v="39"/>
    <s v="GRSM 4"/>
    <x v="0"/>
    <s v="NKA"/>
    <n v="195403"/>
    <n v="1600007"/>
    <x v="35"/>
    <x v="24"/>
    <s v="AGLIO OLIO"/>
    <n v="2150"/>
    <n v="73"/>
    <n v="156950"/>
    <m/>
  </r>
  <r>
    <x v="11"/>
    <s v="AUG"/>
    <x v="39"/>
    <s v="GRSM 4"/>
    <x v="0"/>
    <s v="NKA"/>
    <n v="195403"/>
    <n v="1600007"/>
    <x v="35"/>
    <x v="24"/>
    <s v="GORENG"/>
    <n v="2150"/>
    <n v="130"/>
    <n v="279500"/>
    <n v="160"/>
  </r>
  <r>
    <x v="11"/>
    <s v="AUG"/>
    <x v="39"/>
    <s v="GRSM 4"/>
    <x v="0"/>
    <s v="GMM"/>
    <n v="103259"/>
    <n v="9002359"/>
    <x v="36"/>
    <x v="1"/>
    <s v="BOLOGNESE"/>
    <n v="1950"/>
    <n v="162"/>
    <n v="315900"/>
    <m/>
  </r>
  <r>
    <x v="11"/>
    <s v="AUG"/>
    <x v="39"/>
    <s v="GRSM 4"/>
    <x v="0"/>
    <s v="GMM"/>
    <n v="103259"/>
    <n v="9002359"/>
    <x v="36"/>
    <x v="1"/>
    <s v="CARBONARA"/>
    <n v="1950"/>
    <n v="0"/>
    <n v="0"/>
    <m/>
  </r>
  <r>
    <x v="11"/>
    <s v="AUG"/>
    <x v="39"/>
    <s v="GRSM 4"/>
    <x v="0"/>
    <s v="GMM"/>
    <n v="103259"/>
    <n v="9002359"/>
    <x v="36"/>
    <x v="1"/>
    <s v="AGLIO OLIO"/>
    <n v="1950"/>
    <n v="0"/>
    <n v="0"/>
    <m/>
  </r>
  <r>
    <x v="11"/>
    <s v="AUG"/>
    <x v="39"/>
    <s v="GRSM 4"/>
    <x v="0"/>
    <s v="GMM"/>
    <n v="103259"/>
    <n v="9002359"/>
    <x v="36"/>
    <x v="1"/>
    <s v="GORENG"/>
    <n v="1950"/>
    <n v="0"/>
    <n v="0"/>
    <n v="160"/>
  </r>
  <r>
    <x v="11"/>
    <s v="AUG"/>
    <x v="39"/>
    <s v="GRSM 4"/>
    <x v="0"/>
    <s v="GMM"/>
    <n v="103259"/>
    <n v="9002359"/>
    <x v="36"/>
    <x v="75"/>
    <s v="BOLOGNESE"/>
    <n v="1950"/>
    <n v="129"/>
    <n v="251550"/>
    <m/>
  </r>
  <r>
    <x v="11"/>
    <s v="AUG"/>
    <x v="39"/>
    <s v="GRSM 4"/>
    <x v="0"/>
    <s v="GMM"/>
    <n v="103259"/>
    <n v="9002359"/>
    <x v="36"/>
    <x v="75"/>
    <s v="CARBONARA"/>
    <n v="1950"/>
    <n v="0"/>
    <n v="0"/>
    <m/>
  </r>
  <r>
    <x v="11"/>
    <s v="AUG"/>
    <x v="39"/>
    <s v="GRSM 4"/>
    <x v="0"/>
    <s v="GMM"/>
    <n v="103259"/>
    <n v="9002359"/>
    <x v="36"/>
    <x v="75"/>
    <s v="AGLIO OLIO"/>
    <n v="1950"/>
    <n v="0"/>
    <n v="0"/>
    <m/>
  </r>
  <r>
    <x v="11"/>
    <s v="AUG"/>
    <x v="39"/>
    <s v="GRSM 4"/>
    <x v="0"/>
    <s v="GMM"/>
    <n v="103259"/>
    <n v="9002359"/>
    <x v="36"/>
    <x v="75"/>
    <s v="GORENG"/>
    <n v="1950"/>
    <n v="0"/>
    <n v="0"/>
    <n v="160"/>
  </r>
  <r>
    <x v="11"/>
    <s v="AUG"/>
    <x v="39"/>
    <s v="GRSM 4"/>
    <x v="0"/>
    <s v="GMM"/>
    <n v="103259"/>
    <n v="9006219"/>
    <x v="38"/>
    <x v="4"/>
    <s v="BOLOGNESE"/>
    <n v="2000"/>
    <n v="29"/>
    <n v="58000"/>
    <m/>
  </r>
  <r>
    <x v="11"/>
    <s v="AUG"/>
    <x v="39"/>
    <s v="GRSM 4"/>
    <x v="0"/>
    <s v="GMM"/>
    <n v="103259"/>
    <n v="9006219"/>
    <x v="38"/>
    <x v="4"/>
    <s v="CARBONARA"/>
    <n v="2000"/>
    <n v="26"/>
    <n v="52000"/>
    <m/>
  </r>
  <r>
    <x v="11"/>
    <s v="AUG"/>
    <x v="39"/>
    <s v="GRSM 4"/>
    <x v="0"/>
    <s v="GMM"/>
    <n v="103259"/>
    <n v="9006219"/>
    <x v="38"/>
    <x v="4"/>
    <s v="AGLIO OLIO"/>
    <n v="2000"/>
    <n v="20"/>
    <n v="40000"/>
    <m/>
  </r>
  <r>
    <x v="11"/>
    <s v="AUG"/>
    <x v="39"/>
    <s v="GRSM 4"/>
    <x v="0"/>
    <s v="GMM"/>
    <n v="103259"/>
    <n v="9006219"/>
    <x v="38"/>
    <x v="4"/>
    <s v="GORENG"/>
    <n v="2000"/>
    <n v="128"/>
    <n v="256000"/>
    <n v="160"/>
  </r>
  <r>
    <x v="11"/>
    <s v="AUG"/>
    <x v="39"/>
    <s v="GRSM 4"/>
    <x v="0"/>
    <s v="GMM"/>
    <n v="103259"/>
    <n v="9006219"/>
    <x v="38"/>
    <x v="100"/>
    <s v="BOLOGNESE"/>
    <n v="2000"/>
    <n v="29"/>
    <n v="58000"/>
    <m/>
  </r>
  <r>
    <x v="11"/>
    <s v="AUG"/>
    <x v="39"/>
    <s v="GRSM 4"/>
    <x v="0"/>
    <s v="GMM"/>
    <n v="103259"/>
    <n v="9006219"/>
    <x v="38"/>
    <x v="100"/>
    <s v="CARBONARA"/>
    <n v="2000"/>
    <n v="26"/>
    <n v="52000"/>
    <m/>
  </r>
  <r>
    <x v="11"/>
    <s v="AUG"/>
    <x v="39"/>
    <s v="GRSM 4"/>
    <x v="0"/>
    <s v="GMM"/>
    <n v="103259"/>
    <n v="9006219"/>
    <x v="38"/>
    <x v="100"/>
    <s v="AGLIO OLIO"/>
    <n v="2000"/>
    <n v="20"/>
    <n v="40000"/>
    <m/>
  </r>
  <r>
    <x v="11"/>
    <s v="AUG"/>
    <x v="39"/>
    <s v="GRSM 4"/>
    <x v="0"/>
    <s v="GMM"/>
    <n v="103259"/>
    <n v="9006219"/>
    <x v="38"/>
    <x v="100"/>
    <s v="GORENG"/>
    <n v="2000"/>
    <n v="128"/>
    <n v="256000"/>
    <n v="160"/>
  </r>
  <r>
    <x v="11"/>
    <s v="AUG"/>
    <x v="39"/>
    <s v="GRSM 4"/>
    <x v="0"/>
    <s v="GMM"/>
    <n v="103257"/>
    <n v="9162509"/>
    <x v="25"/>
    <x v="101"/>
    <s v="BOLOGNESE"/>
    <n v="3100"/>
    <n v="60"/>
    <n v="186000"/>
    <m/>
  </r>
  <r>
    <x v="11"/>
    <s v="AUG"/>
    <x v="39"/>
    <s v="GRSM 4"/>
    <x v="0"/>
    <s v="GMM"/>
    <n v="103257"/>
    <n v="9162509"/>
    <x v="25"/>
    <x v="101"/>
    <s v="CARBONARA"/>
    <n v="3100"/>
    <n v="45"/>
    <n v="139500"/>
    <m/>
  </r>
  <r>
    <x v="11"/>
    <s v="AUG"/>
    <x v="39"/>
    <s v="GRSM 4"/>
    <x v="0"/>
    <s v="GMM"/>
    <n v="103257"/>
    <n v="9162509"/>
    <x v="25"/>
    <x v="101"/>
    <s v="AGLIO OLIO"/>
    <n v="3100"/>
    <n v="0"/>
    <n v="0"/>
    <m/>
  </r>
  <r>
    <x v="11"/>
    <s v="AUG"/>
    <x v="39"/>
    <s v="GRSM 4"/>
    <x v="0"/>
    <s v="GMM"/>
    <n v="103257"/>
    <n v="9162509"/>
    <x v="25"/>
    <x v="101"/>
    <s v="GORENG"/>
    <n v="3100"/>
    <n v="27"/>
    <n v="83700"/>
    <n v="160"/>
  </r>
  <r>
    <x v="11"/>
    <s v="AUG"/>
    <x v="40"/>
    <s v="GRSM 4"/>
    <x v="0"/>
    <s v="GMM"/>
    <n v="103258"/>
    <n v="9201924"/>
    <x v="39"/>
    <x v="5"/>
    <s v="BOLOGNESE"/>
    <n v="2000"/>
    <n v="54"/>
    <n v="108000"/>
    <m/>
  </r>
  <r>
    <x v="11"/>
    <s v="AUG"/>
    <x v="40"/>
    <s v="GRSM 4"/>
    <x v="0"/>
    <s v="GMM"/>
    <n v="103258"/>
    <n v="9201924"/>
    <x v="39"/>
    <x v="5"/>
    <s v="CARBONARA"/>
    <n v="2000"/>
    <n v="49"/>
    <n v="98000"/>
    <m/>
  </r>
  <r>
    <x v="11"/>
    <s v="AUG"/>
    <x v="40"/>
    <s v="GRSM 4"/>
    <x v="0"/>
    <s v="GMM"/>
    <n v="103258"/>
    <n v="9201924"/>
    <x v="39"/>
    <x v="5"/>
    <s v="AGLIO OLIO"/>
    <n v="2000"/>
    <n v="33"/>
    <n v="66000"/>
    <m/>
  </r>
  <r>
    <x v="11"/>
    <s v="AUG"/>
    <x v="40"/>
    <s v="GRSM 4"/>
    <x v="0"/>
    <s v="GMM"/>
    <n v="103258"/>
    <n v="9201924"/>
    <x v="39"/>
    <x v="5"/>
    <s v="GORENG"/>
    <n v="2000"/>
    <n v="80"/>
    <n v="160000"/>
    <n v="160"/>
  </r>
  <r>
    <x v="11"/>
    <s v="AUG"/>
    <x v="40"/>
    <s v="GRSM 4"/>
    <x v="0"/>
    <s v="GMM"/>
    <n v="103258"/>
    <n v="9201924"/>
    <x v="39"/>
    <x v="73"/>
    <s v="BOLOGNESE"/>
    <n v="2000"/>
    <n v="54"/>
    <n v="108000"/>
    <m/>
  </r>
  <r>
    <x v="11"/>
    <s v="AUG"/>
    <x v="40"/>
    <s v="GRSM 4"/>
    <x v="0"/>
    <s v="GMM"/>
    <n v="103258"/>
    <n v="9201924"/>
    <x v="39"/>
    <x v="73"/>
    <s v="CARBONARA"/>
    <n v="2000"/>
    <n v="49"/>
    <n v="98000"/>
    <m/>
  </r>
  <r>
    <x v="11"/>
    <s v="AUG"/>
    <x v="40"/>
    <s v="GRSM 4"/>
    <x v="0"/>
    <s v="GMM"/>
    <n v="103258"/>
    <n v="9201924"/>
    <x v="39"/>
    <x v="73"/>
    <s v="AGLIO OLIO"/>
    <n v="2000"/>
    <n v="33"/>
    <n v="66000"/>
    <m/>
  </r>
  <r>
    <x v="11"/>
    <s v="AUG"/>
    <x v="40"/>
    <s v="GRSM 4"/>
    <x v="0"/>
    <s v="GMM"/>
    <n v="103258"/>
    <n v="9201924"/>
    <x v="39"/>
    <x v="73"/>
    <s v="GORENG"/>
    <n v="2000"/>
    <n v="80"/>
    <n v="160000"/>
    <n v="160"/>
  </r>
  <r>
    <x v="11"/>
    <s v="AUG"/>
    <x v="40"/>
    <s v="GRSM 4"/>
    <x v="0"/>
    <s v="GMM"/>
    <n v="103712"/>
    <n v="4404677"/>
    <x v="34"/>
    <x v="17"/>
    <s v="BOLOGNESE"/>
    <n v="3000"/>
    <n v="32"/>
    <n v="96000"/>
    <m/>
  </r>
  <r>
    <x v="11"/>
    <s v="AUG"/>
    <x v="40"/>
    <s v="GRSM 4"/>
    <x v="0"/>
    <s v="GMM"/>
    <n v="103712"/>
    <n v="4404677"/>
    <x v="34"/>
    <x v="17"/>
    <s v="CARBONARA"/>
    <n v="3000"/>
    <n v="40"/>
    <n v="120000"/>
    <m/>
  </r>
  <r>
    <x v="11"/>
    <s v="AUG"/>
    <x v="40"/>
    <s v="GRSM 4"/>
    <x v="0"/>
    <s v="GMM"/>
    <n v="103712"/>
    <n v="4404677"/>
    <x v="34"/>
    <x v="17"/>
    <s v="AGLIO OLIO"/>
    <n v="3000"/>
    <n v="30"/>
    <n v="90000"/>
    <m/>
  </r>
  <r>
    <x v="11"/>
    <s v="AUG"/>
    <x v="40"/>
    <s v="GRSM 4"/>
    <x v="0"/>
    <s v="GMM"/>
    <n v="103712"/>
    <n v="4404677"/>
    <x v="34"/>
    <x v="17"/>
    <s v="GORENG"/>
    <n v="3000"/>
    <n v="129"/>
    <n v="387000"/>
    <n v="160"/>
  </r>
  <r>
    <x v="11"/>
    <s v="AUG"/>
    <x v="40"/>
    <s v="GRSM 4"/>
    <x v="0"/>
    <s v="NKA"/>
    <n v="121409"/>
    <n v="5025004"/>
    <x v="37"/>
    <x v="27"/>
    <s v="BOLOGNESE"/>
    <n v="3275"/>
    <n v="80"/>
    <n v="262000"/>
    <m/>
  </r>
  <r>
    <x v="11"/>
    <s v="AUG"/>
    <x v="40"/>
    <s v="GRSM 4"/>
    <x v="0"/>
    <s v="NKA"/>
    <n v="121409"/>
    <n v="5025004"/>
    <x v="37"/>
    <x v="27"/>
    <s v="CARBONARA"/>
    <n v="3275"/>
    <n v="84"/>
    <n v="275100"/>
    <m/>
  </r>
  <r>
    <x v="11"/>
    <s v="AUG"/>
    <x v="40"/>
    <s v="GRSM 4"/>
    <x v="0"/>
    <s v="NKA"/>
    <n v="121409"/>
    <n v="5025004"/>
    <x v="37"/>
    <x v="27"/>
    <s v="AGLIO OLIO"/>
    <n v="3275"/>
    <n v="49"/>
    <n v="160475"/>
    <m/>
  </r>
  <r>
    <x v="11"/>
    <s v="AUG"/>
    <x v="40"/>
    <s v="GRSM 4"/>
    <x v="0"/>
    <s v="NKA"/>
    <n v="121409"/>
    <n v="5025004"/>
    <x v="37"/>
    <x v="27"/>
    <s v="GORENG"/>
    <n v="3275"/>
    <n v="203"/>
    <n v="664825"/>
    <n v="160"/>
  </r>
  <r>
    <x v="11"/>
    <s v="AUG"/>
    <x v="40"/>
    <s v="GRSM 4"/>
    <x v="0"/>
    <s v="NKA"/>
    <n v="121409"/>
    <n v="5025004"/>
    <x v="37"/>
    <x v="26"/>
    <s v="BOLOGNESE"/>
    <n v="3275"/>
    <n v="80"/>
    <n v="262000"/>
    <m/>
  </r>
  <r>
    <x v="11"/>
    <s v="AUG"/>
    <x v="40"/>
    <s v="GRSM 4"/>
    <x v="0"/>
    <s v="NKA"/>
    <n v="121409"/>
    <n v="5025004"/>
    <x v="37"/>
    <x v="26"/>
    <s v="CARBONARA"/>
    <n v="3275"/>
    <n v="84"/>
    <n v="275100"/>
    <m/>
  </r>
  <r>
    <x v="11"/>
    <s v="AUG"/>
    <x v="40"/>
    <s v="GRSM 4"/>
    <x v="0"/>
    <s v="NKA"/>
    <n v="121409"/>
    <n v="5025004"/>
    <x v="37"/>
    <x v="26"/>
    <s v="AGLIO OLIO"/>
    <n v="3275"/>
    <n v="49"/>
    <n v="160475"/>
    <m/>
  </r>
  <r>
    <x v="11"/>
    <s v="AUG"/>
    <x v="40"/>
    <s v="GRSM 4"/>
    <x v="0"/>
    <s v="NKA"/>
    <n v="121409"/>
    <n v="5025004"/>
    <x v="37"/>
    <x v="26"/>
    <s v="GORENG"/>
    <n v="3275"/>
    <n v="203"/>
    <n v="664825"/>
    <n v="160"/>
  </r>
  <r>
    <x v="11"/>
    <s v="AUG"/>
    <x v="40"/>
    <s v="GRSM 4"/>
    <x v="0"/>
    <s v="GMM"/>
    <n v="103712"/>
    <n v="4404677"/>
    <x v="34"/>
    <x v="21"/>
    <s v="BOLOGNESE"/>
    <n v="3000"/>
    <n v="30"/>
    <n v="90000"/>
    <m/>
  </r>
  <r>
    <x v="11"/>
    <s v="AUG"/>
    <x v="40"/>
    <s v="GRSM 4"/>
    <x v="0"/>
    <s v="GMM"/>
    <n v="103712"/>
    <n v="4404677"/>
    <x v="34"/>
    <x v="21"/>
    <s v="CARBONARA"/>
    <n v="3000"/>
    <n v="40"/>
    <n v="120000"/>
    <m/>
  </r>
  <r>
    <x v="11"/>
    <s v="AUG"/>
    <x v="40"/>
    <s v="GRSM 4"/>
    <x v="0"/>
    <s v="GMM"/>
    <n v="103712"/>
    <n v="4404677"/>
    <x v="34"/>
    <x v="21"/>
    <s v="AGLIO OLIO"/>
    <n v="3000"/>
    <n v="29"/>
    <n v="87000"/>
    <m/>
  </r>
  <r>
    <x v="11"/>
    <s v="AUG"/>
    <x v="40"/>
    <s v="GRSM 4"/>
    <x v="0"/>
    <s v="GMM"/>
    <n v="103712"/>
    <n v="4404677"/>
    <x v="34"/>
    <x v="21"/>
    <s v="GORENG"/>
    <n v="3000"/>
    <n v="139"/>
    <n v="417000"/>
    <n v="160"/>
  </r>
  <r>
    <x v="11"/>
    <s v="AUG"/>
    <x v="40"/>
    <s v="GRSM 4"/>
    <x v="0"/>
    <s v="NKA"/>
    <n v="195403"/>
    <n v="1600007"/>
    <x v="35"/>
    <x v="24"/>
    <s v="BOLOGNESE"/>
    <n v="2150"/>
    <n v="86"/>
    <n v="184900"/>
    <m/>
  </r>
  <r>
    <x v="11"/>
    <s v="AUG"/>
    <x v="40"/>
    <s v="GRSM 4"/>
    <x v="0"/>
    <s v="NKA"/>
    <n v="195403"/>
    <n v="1600007"/>
    <x v="35"/>
    <x v="24"/>
    <s v="CARBONARA"/>
    <n v="2150"/>
    <n v="87"/>
    <n v="187050"/>
    <m/>
  </r>
  <r>
    <x v="11"/>
    <s v="AUG"/>
    <x v="40"/>
    <s v="GRSM 4"/>
    <x v="0"/>
    <s v="NKA"/>
    <n v="195403"/>
    <n v="1600007"/>
    <x v="35"/>
    <x v="24"/>
    <s v="AGLIO OLIO"/>
    <n v="2150"/>
    <n v="69"/>
    <n v="148350"/>
    <m/>
  </r>
  <r>
    <x v="11"/>
    <s v="AUG"/>
    <x v="40"/>
    <s v="GRSM 4"/>
    <x v="0"/>
    <s v="NKA"/>
    <n v="195403"/>
    <n v="1600007"/>
    <x v="35"/>
    <x v="24"/>
    <s v="GORENG"/>
    <n v="2150"/>
    <n v="94"/>
    <n v="202100"/>
    <n v="160"/>
  </r>
  <r>
    <x v="11"/>
    <s v="AUG"/>
    <x v="40"/>
    <s v="GRSM 4"/>
    <x v="0"/>
    <s v="NKA"/>
    <n v="195403"/>
    <n v="1600007"/>
    <x v="35"/>
    <x v="15"/>
    <s v="BOLOGNESE"/>
    <n v="2150"/>
    <n v="88"/>
    <n v="189200"/>
    <m/>
  </r>
  <r>
    <x v="11"/>
    <s v="AUG"/>
    <x v="40"/>
    <s v="GRSM 4"/>
    <x v="0"/>
    <s v="NKA"/>
    <n v="195403"/>
    <n v="1600007"/>
    <x v="35"/>
    <x v="15"/>
    <s v="CARBONARA"/>
    <n v="2150"/>
    <n v="91"/>
    <n v="195650"/>
    <m/>
  </r>
  <r>
    <x v="11"/>
    <s v="AUG"/>
    <x v="40"/>
    <s v="GRSM 4"/>
    <x v="0"/>
    <s v="NKA"/>
    <n v="195403"/>
    <n v="1600007"/>
    <x v="35"/>
    <x v="15"/>
    <s v="AGLIO OLIO"/>
    <n v="2150"/>
    <n v="72"/>
    <n v="154800"/>
    <m/>
  </r>
  <r>
    <x v="11"/>
    <s v="AUG"/>
    <x v="40"/>
    <s v="GRSM 4"/>
    <x v="0"/>
    <s v="NKA"/>
    <n v="195403"/>
    <n v="1600007"/>
    <x v="35"/>
    <x v="15"/>
    <s v="GORENG"/>
    <n v="2150"/>
    <n v="99"/>
    <n v="212850"/>
    <n v="160"/>
  </r>
  <r>
    <x v="11"/>
    <s v="AUG"/>
    <x v="40"/>
    <s v="GRSM 4"/>
    <x v="0"/>
    <s v="GMM"/>
    <n v="103257"/>
    <n v="9162509"/>
    <x v="25"/>
    <x v="72"/>
    <s v="BOLOGNESE"/>
    <n v="3200"/>
    <n v="95"/>
    <n v="304000"/>
    <m/>
  </r>
  <r>
    <x v="11"/>
    <s v="AUG"/>
    <x v="40"/>
    <s v="GRSM 4"/>
    <x v="0"/>
    <s v="GMM"/>
    <n v="103257"/>
    <n v="9162509"/>
    <x v="25"/>
    <x v="72"/>
    <s v="CARBONARA"/>
    <n v="3200"/>
    <n v="88"/>
    <n v="281600"/>
    <m/>
  </r>
  <r>
    <x v="11"/>
    <s v="AUG"/>
    <x v="40"/>
    <s v="GRSM 4"/>
    <x v="0"/>
    <s v="GMM"/>
    <n v="103257"/>
    <n v="9162509"/>
    <x v="25"/>
    <x v="72"/>
    <s v="AGLIO OLIO"/>
    <n v="3200"/>
    <n v="0"/>
    <n v="0"/>
    <m/>
  </r>
  <r>
    <x v="11"/>
    <s v="AUG"/>
    <x v="40"/>
    <s v="GRSM 4"/>
    <x v="0"/>
    <s v="GMM"/>
    <n v="103257"/>
    <n v="9162509"/>
    <x v="25"/>
    <x v="72"/>
    <s v="GORENG"/>
    <n v="3200"/>
    <n v="0"/>
    <n v="0"/>
    <n v="160"/>
  </r>
  <r>
    <x v="11"/>
    <s v="AUG"/>
    <x v="40"/>
    <s v="GRSM 4"/>
    <x v="0"/>
    <s v="GMM"/>
    <n v="103259"/>
    <n v="9002359"/>
    <x v="36"/>
    <x v="1"/>
    <s v="BOLOGNESE"/>
    <n v="2086"/>
    <n v="132"/>
    <n v="275352"/>
    <m/>
  </r>
  <r>
    <x v="11"/>
    <s v="AUG"/>
    <x v="40"/>
    <s v="GRSM 4"/>
    <x v="0"/>
    <s v="GMM"/>
    <n v="103259"/>
    <n v="9002359"/>
    <x v="36"/>
    <x v="1"/>
    <s v="CARBONARA"/>
    <n v="2086"/>
    <n v="0"/>
    <n v="0"/>
    <m/>
  </r>
  <r>
    <x v="11"/>
    <s v="AUG"/>
    <x v="40"/>
    <s v="GRSM 4"/>
    <x v="0"/>
    <s v="GMM"/>
    <n v="103259"/>
    <n v="9002359"/>
    <x v="36"/>
    <x v="1"/>
    <s v="AGLIO OLIO"/>
    <n v="2086"/>
    <n v="0"/>
    <n v="0"/>
    <m/>
  </r>
  <r>
    <x v="11"/>
    <s v="AUG"/>
    <x v="40"/>
    <s v="GRSM 4"/>
    <x v="0"/>
    <s v="GMM"/>
    <n v="103259"/>
    <n v="9002359"/>
    <x v="36"/>
    <x v="1"/>
    <s v="GORENG"/>
    <n v="2086"/>
    <n v="0"/>
    <n v="0"/>
    <m/>
  </r>
  <r>
    <x v="11"/>
    <s v="AUG"/>
    <x v="40"/>
    <s v="GRSM 4"/>
    <x v="0"/>
    <s v="GMM"/>
    <n v="103259"/>
    <n v="9002359"/>
    <x v="36"/>
    <x v="75"/>
    <s v="BOLOGNESE"/>
    <n v="1980"/>
    <n v="129"/>
    <n v="255420"/>
    <m/>
  </r>
  <r>
    <x v="11"/>
    <s v="AUG"/>
    <x v="40"/>
    <s v="GRSM 4"/>
    <x v="0"/>
    <s v="GMM"/>
    <n v="103259"/>
    <n v="9002359"/>
    <x v="36"/>
    <x v="75"/>
    <s v="CARBONARA"/>
    <n v="1980"/>
    <n v="0"/>
    <n v="0"/>
    <m/>
  </r>
  <r>
    <x v="11"/>
    <s v="AUG"/>
    <x v="40"/>
    <s v="GRSM 4"/>
    <x v="0"/>
    <s v="GMM"/>
    <n v="103259"/>
    <n v="9002359"/>
    <x v="36"/>
    <x v="75"/>
    <s v="AGLIO OLIO"/>
    <n v="1980"/>
    <n v="0"/>
    <n v="0"/>
    <m/>
  </r>
  <r>
    <x v="11"/>
    <s v="AUG"/>
    <x v="40"/>
    <s v="GRSM 4"/>
    <x v="0"/>
    <s v="GMM"/>
    <n v="103259"/>
    <n v="9002359"/>
    <x v="36"/>
    <x v="75"/>
    <s v="GORENG"/>
    <n v="1980"/>
    <n v="0"/>
    <n v="0"/>
    <m/>
  </r>
  <r>
    <x v="11"/>
    <s v="AUG"/>
    <x v="40"/>
    <s v="GRSM 4"/>
    <x v="0"/>
    <s v="GMM"/>
    <n v="103259"/>
    <n v="9006219"/>
    <x v="38"/>
    <x v="4"/>
    <s v="BOLOGNESE"/>
    <n v="2000"/>
    <n v="26"/>
    <n v="52000"/>
    <m/>
  </r>
  <r>
    <x v="11"/>
    <s v="AUG"/>
    <x v="40"/>
    <s v="GRSM 4"/>
    <x v="0"/>
    <s v="GMM"/>
    <n v="103259"/>
    <n v="9006219"/>
    <x v="38"/>
    <x v="4"/>
    <s v="CARBONARA"/>
    <n v="2000"/>
    <n v="20"/>
    <n v="40000"/>
    <m/>
  </r>
  <r>
    <x v="11"/>
    <s v="AUG"/>
    <x v="40"/>
    <s v="GRSM 4"/>
    <x v="0"/>
    <s v="GMM"/>
    <n v="103259"/>
    <n v="9006219"/>
    <x v="38"/>
    <x v="4"/>
    <s v="AGLIO OLIO"/>
    <n v="2000"/>
    <n v="60"/>
    <n v="120000"/>
    <m/>
  </r>
  <r>
    <x v="11"/>
    <s v="AUG"/>
    <x v="40"/>
    <s v="GRSM 4"/>
    <x v="0"/>
    <s v="GMM"/>
    <n v="103259"/>
    <n v="9006219"/>
    <x v="38"/>
    <x v="4"/>
    <s v="GORENG"/>
    <n v="2000"/>
    <n v="107"/>
    <n v="214000"/>
    <n v="160"/>
  </r>
  <r>
    <x v="11"/>
    <s v="AUG"/>
    <x v="40"/>
    <s v="GRSM 4"/>
    <x v="0"/>
    <s v="GMM"/>
    <n v="103257"/>
    <n v="9162509"/>
    <x v="25"/>
    <x v="101"/>
    <s v="BOLOGNESE"/>
    <n v="3096"/>
    <n v="85"/>
    <n v="263160"/>
    <m/>
  </r>
  <r>
    <x v="11"/>
    <s v="AUG"/>
    <x v="40"/>
    <s v="GRSM 4"/>
    <x v="0"/>
    <s v="GMM"/>
    <n v="103257"/>
    <n v="9162509"/>
    <x v="25"/>
    <x v="101"/>
    <s v="CARBONARA"/>
    <n v="3096"/>
    <n v="92"/>
    <n v="284832"/>
    <m/>
  </r>
  <r>
    <x v="11"/>
    <s v="AUG"/>
    <x v="40"/>
    <s v="GRSM 4"/>
    <x v="0"/>
    <s v="GMM"/>
    <n v="103257"/>
    <n v="9162509"/>
    <x v="25"/>
    <x v="101"/>
    <s v="AGLIO OLIO"/>
    <n v="3096"/>
    <n v="0"/>
    <n v="0"/>
    <m/>
  </r>
  <r>
    <x v="11"/>
    <s v="AUG"/>
    <x v="40"/>
    <s v="GRSM 4"/>
    <x v="0"/>
    <s v="GMM"/>
    <n v="103257"/>
    <n v="9162509"/>
    <x v="25"/>
    <x v="101"/>
    <s v="GORENG"/>
    <n v="3096"/>
    <n v="0"/>
    <n v="0"/>
    <n v="160"/>
  </r>
  <r>
    <x v="11"/>
    <s v="AUG"/>
    <x v="40"/>
    <s v="GRSM 4"/>
    <x v="0"/>
    <s v="GMM"/>
    <n v="103259"/>
    <n v="9006219"/>
    <x v="38"/>
    <x v="100"/>
    <s v="BOLOGNESE"/>
    <n v="2000"/>
    <n v="26"/>
    <n v="52000"/>
    <m/>
  </r>
  <r>
    <x v="11"/>
    <s v="AUG"/>
    <x v="40"/>
    <s v="GRSM 4"/>
    <x v="0"/>
    <s v="GMM"/>
    <n v="103259"/>
    <n v="9006219"/>
    <x v="38"/>
    <x v="100"/>
    <s v="CARBONARA"/>
    <n v="2000"/>
    <n v="20"/>
    <n v="40000"/>
    <m/>
  </r>
  <r>
    <x v="11"/>
    <s v="AUG"/>
    <x v="40"/>
    <s v="GRSM 4"/>
    <x v="0"/>
    <s v="GMM"/>
    <n v="103259"/>
    <n v="9006219"/>
    <x v="38"/>
    <x v="100"/>
    <s v="AGLIO OLIO"/>
    <n v="2000"/>
    <n v="60"/>
    <n v="120000"/>
    <m/>
  </r>
  <r>
    <x v="11"/>
    <s v="AUG"/>
    <x v="40"/>
    <s v="GRSM 4"/>
    <x v="0"/>
    <s v="GMM"/>
    <n v="103259"/>
    <n v="9006219"/>
    <x v="38"/>
    <x v="100"/>
    <s v="GORENG"/>
    <n v="2000"/>
    <n v="107"/>
    <n v="214000"/>
    <n v="160"/>
  </r>
  <r>
    <x v="11"/>
    <s v="AUG"/>
    <x v="38"/>
    <s v="GRSM 1"/>
    <x v="3"/>
    <s v="MT"/>
    <n v="122506"/>
    <n v="214300"/>
    <x v="31"/>
    <x v="62"/>
    <s v="BOLOGNESE"/>
    <n v="7000"/>
    <n v="25"/>
    <n v="175000"/>
    <m/>
  </r>
  <r>
    <x v="11"/>
    <s v="AUG"/>
    <x v="38"/>
    <s v="GRSM 1"/>
    <x v="3"/>
    <s v="MT"/>
    <n v="122506"/>
    <n v="214300"/>
    <x v="31"/>
    <x v="62"/>
    <s v="CARBONARA"/>
    <n v="7000"/>
    <n v="35"/>
    <n v="245000"/>
    <m/>
  </r>
  <r>
    <x v="11"/>
    <s v="AUG"/>
    <x v="38"/>
    <s v="GRSM 1"/>
    <x v="3"/>
    <s v="MT"/>
    <n v="122506"/>
    <n v="214300"/>
    <x v="31"/>
    <x v="62"/>
    <s v="AGLIO OLIO"/>
    <n v="7000"/>
    <n v="25"/>
    <n v="175000"/>
    <m/>
  </r>
  <r>
    <x v="11"/>
    <s v="AUG"/>
    <x v="38"/>
    <s v="GRSM 1"/>
    <x v="3"/>
    <s v="MT"/>
    <n v="122506"/>
    <n v="214300"/>
    <x v="31"/>
    <x v="62"/>
    <s v="GORENG"/>
    <n v="7000"/>
    <n v="50"/>
    <n v="350000"/>
    <n v="160"/>
  </r>
  <r>
    <x v="11"/>
    <s v="AUG"/>
    <x v="38"/>
    <s v="GRSM 1"/>
    <x v="3"/>
    <s v="MT"/>
    <n v="122506"/>
    <n v="214300"/>
    <x v="31"/>
    <x v="63"/>
    <s v="BOLOGNESE"/>
    <n v="7000"/>
    <n v="25"/>
    <n v="175000"/>
    <m/>
  </r>
  <r>
    <x v="11"/>
    <s v="AUG"/>
    <x v="38"/>
    <s v="GRSM 1"/>
    <x v="3"/>
    <s v="MT"/>
    <n v="122506"/>
    <n v="214300"/>
    <x v="31"/>
    <x v="63"/>
    <s v="CARBONARA"/>
    <n v="7000"/>
    <n v="35"/>
    <n v="245000"/>
    <m/>
  </r>
  <r>
    <x v="11"/>
    <s v="AUG"/>
    <x v="38"/>
    <s v="GRSM 1"/>
    <x v="3"/>
    <s v="MT"/>
    <n v="122506"/>
    <n v="214300"/>
    <x v="31"/>
    <x v="63"/>
    <s v="AGLIO OLIO"/>
    <n v="7000"/>
    <n v="25"/>
    <n v="175000"/>
    <m/>
  </r>
  <r>
    <x v="11"/>
    <s v="AUG"/>
    <x v="38"/>
    <s v="GRSM 1"/>
    <x v="3"/>
    <s v="MT"/>
    <n v="122506"/>
    <n v="214300"/>
    <x v="31"/>
    <x v="63"/>
    <s v="GORENG"/>
    <n v="7000"/>
    <n v="50"/>
    <n v="350000"/>
    <n v="160"/>
  </r>
  <r>
    <x v="11"/>
    <s v="AUG"/>
    <x v="38"/>
    <s v="GRSM 1"/>
    <x v="3"/>
    <s v="MT"/>
    <n v="122506"/>
    <n v="202816"/>
    <x v="29"/>
    <x v="66"/>
    <s v="BOLOGNESE"/>
    <n v="7000"/>
    <n v="38"/>
    <n v="266000"/>
    <m/>
  </r>
  <r>
    <x v="11"/>
    <s v="AUG"/>
    <x v="38"/>
    <s v="GRSM 1"/>
    <x v="3"/>
    <s v="MT"/>
    <n v="122506"/>
    <n v="202816"/>
    <x v="29"/>
    <x v="66"/>
    <s v="CARBONARA"/>
    <n v="7000"/>
    <n v="22"/>
    <n v="154000"/>
    <m/>
  </r>
  <r>
    <x v="11"/>
    <s v="AUG"/>
    <x v="38"/>
    <s v="GRSM 1"/>
    <x v="3"/>
    <s v="MT"/>
    <n v="122506"/>
    <n v="202816"/>
    <x v="29"/>
    <x v="66"/>
    <s v="AGLIO OLIO"/>
    <n v="7000"/>
    <n v="31"/>
    <n v="217000"/>
    <m/>
  </r>
  <r>
    <x v="11"/>
    <s v="AUG"/>
    <x v="38"/>
    <s v="GRSM 1"/>
    <x v="3"/>
    <s v="MT"/>
    <n v="122506"/>
    <n v="202816"/>
    <x v="29"/>
    <x v="66"/>
    <s v="GORENG"/>
    <n v="7000"/>
    <n v="43"/>
    <n v="301000"/>
    <n v="160"/>
  </r>
  <r>
    <x v="11"/>
    <s v="AUG"/>
    <x v="38"/>
    <s v="GRSM 1"/>
    <x v="3"/>
    <s v="MT"/>
    <n v="122506"/>
    <n v="202816"/>
    <x v="29"/>
    <x v="67"/>
    <s v="BOLOGNESE"/>
    <n v="7000"/>
    <n v="38"/>
    <n v="266000"/>
    <m/>
  </r>
  <r>
    <x v="11"/>
    <s v="AUG"/>
    <x v="38"/>
    <s v="GRSM 1"/>
    <x v="3"/>
    <s v="MT"/>
    <n v="122506"/>
    <n v="202816"/>
    <x v="29"/>
    <x v="67"/>
    <s v="CARBONARA"/>
    <n v="7000"/>
    <n v="22"/>
    <n v="154000"/>
    <m/>
  </r>
  <r>
    <x v="11"/>
    <s v="AUG"/>
    <x v="38"/>
    <s v="GRSM 1"/>
    <x v="3"/>
    <s v="MT"/>
    <n v="122506"/>
    <n v="202816"/>
    <x v="29"/>
    <x v="67"/>
    <s v="AGLIO OLIO"/>
    <n v="7000"/>
    <n v="31"/>
    <n v="217000"/>
    <m/>
  </r>
  <r>
    <x v="11"/>
    <s v="AUG"/>
    <x v="38"/>
    <s v="GRSM 1"/>
    <x v="3"/>
    <s v="MT"/>
    <n v="122506"/>
    <n v="202816"/>
    <x v="29"/>
    <x v="67"/>
    <s v="GORENG"/>
    <n v="7000"/>
    <n v="43"/>
    <n v="301000"/>
    <n v="160"/>
  </r>
  <r>
    <x v="11"/>
    <s v="AUG"/>
    <x v="38"/>
    <s v="GRSM 1"/>
    <x v="3"/>
    <s v="MT"/>
    <n v="122506"/>
    <n v="214422"/>
    <x v="30"/>
    <x v="65"/>
    <s v="BOLOGNESE"/>
    <n v="3199"/>
    <n v="80"/>
    <n v="255920"/>
    <m/>
  </r>
  <r>
    <x v="11"/>
    <s v="AUG"/>
    <x v="38"/>
    <s v="GRSM 1"/>
    <x v="3"/>
    <s v="MT"/>
    <n v="122506"/>
    <n v="214422"/>
    <x v="30"/>
    <x v="65"/>
    <s v="CARBONARA"/>
    <n v="3199"/>
    <n v="46"/>
    <n v="147154"/>
    <m/>
  </r>
  <r>
    <x v="11"/>
    <s v="AUG"/>
    <x v="38"/>
    <s v="GRSM 1"/>
    <x v="3"/>
    <s v="MT"/>
    <n v="122506"/>
    <n v="214422"/>
    <x v="30"/>
    <x v="65"/>
    <s v="AGLIO OLIO"/>
    <n v="3199"/>
    <n v="38"/>
    <n v="121562"/>
    <m/>
  </r>
  <r>
    <x v="11"/>
    <s v="AUG"/>
    <x v="38"/>
    <s v="GRSM 1"/>
    <x v="3"/>
    <s v="MT"/>
    <n v="122506"/>
    <n v="214422"/>
    <x v="30"/>
    <x v="65"/>
    <s v="GORENG"/>
    <n v="3199"/>
    <n v="52"/>
    <n v="166348"/>
    <n v="160"/>
  </r>
  <r>
    <x v="11"/>
    <s v="AUG"/>
    <x v="38"/>
    <s v="GRSM 1"/>
    <x v="3"/>
    <s v="MT"/>
    <n v="122506"/>
    <n v="214422"/>
    <x v="30"/>
    <x v="64"/>
    <s v="BOLOGNESE"/>
    <n v="3199"/>
    <n v="80"/>
    <n v="255920"/>
    <m/>
  </r>
  <r>
    <x v="11"/>
    <s v="AUG"/>
    <x v="38"/>
    <s v="GRSM 1"/>
    <x v="3"/>
    <s v="MT"/>
    <n v="122506"/>
    <n v="214422"/>
    <x v="30"/>
    <x v="64"/>
    <s v="CARBONARA"/>
    <n v="3199"/>
    <n v="46"/>
    <n v="147154"/>
    <m/>
  </r>
  <r>
    <x v="11"/>
    <s v="AUG"/>
    <x v="38"/>
    <s v="GRSM 1"/>
    <x v="3"/>
    <s v="MT"/>
    <n v="122506"/>
    <n v="214422"/>
    <x v="30"/>
    <x v="64"/>
    <s v="AGLIO OLIO"/>
    <n v="3199"/>
    <n v="38"/>
    <n v="121562"/>
    <m/>
  </r>
  <r>
    <x v="11"/>
    <s v="AUG"/>
    <x v="38"/>
    <s v="GRSM 1"/>
    <x v="3"/>
    <s v="MT"/>
    <n v="122506"/>
    <n v="214422"/>
    <x v="30"/>
    <x v="64"/>
    <s v="GORENG"/>
    <n v="3199"/>
    <n v="52"/>
    <n v="166348"/>
    <n v="160"/>
  </r>
  <r>
    <x v="11"/>
    <s v="AUG"/>
    <x v="38"/>
    <s v="GRSM 1"/>
    <x v="3"/>
    <s v="MT"/>
    <n v="122506"/>
    <n v="202879"/>
    <x v="28"/>
    <x v="60"/>
    <s v="BOLOGNESE"/>
    <n v="6400"/>
    <n v="41"/>
    <n v="262400"/>
    <m/>
  </r>
  <r>
    <x v="11"/>
    <s v="AUG"/>
    <x v="38"/>
    <s v="GRSM 1"/>
    <x v="3"/>
    <s v="MT"/>
    <n v="122506"/>
    <n v="202879"/>
    <x v="28"/>
    <x v="60"/>
    <s v="CARBONARA"/>
    <n v="6400"/>
    <n v="43"/>
    <n v="275200"/>
    <m/>
  </r>
  <r>
    <x v="11"/>
    <s v="AUG"/>
    <x v="38"/>
    <s v="GRSM 1"/>
    <x v="3"/>
    <s v="MT"/>
    <n v="122506"/>
    <n v="202879"/>
    <x v="28"/>
    <x v="60"/>
    <s v="AGLIO OLIO"/>
    <n v="6400"/>
    <n v="17"/>
    <n v="108800"/>
    <m/>
  </r>
  <r>
    <x v="11"/>
    <s v="AUG"/>
    <x v="38"/>
    <s v="GRSM 1"/>
    <x v="3"/>
    <s v="MT"/>
    <n v="122506"/>
    <n v="202879"/>
    <x v="28"/>
    <x v="60"/>
    <s v="GORENG"/>
    <n v="6400"/>
    <n v="76"/>
    <n v="486400"/>
    <n v="160"/>
  </r>
  <r>
    <x v="11"/>
    <s v="AUG"/>
    <x v="38"/>
    <s v="GRSM 1"/>
    <x v="3"/>
    <s v="MT"/>
    <n v="122506"/>
    <n v="202879"/>
    <x v="28"/>
    <x v="61"/>
    <s v="BOLOGNESE"/>
    <n v="6400"/>
    <n v="41"/>
    <n v="262400"/>
    <m/>
  </r>
  <r>
    <x v="11"/>
    <s v="AUG"/>
    <x v="38"/>
    <s v="GRSM 1"/>
    <x v="3"/>
    <s v="MT"/>
    <n v="122506"/>
    <n v="202879"/>
    <x v="28"/>
    <x v="61"/>
    <s v="CARBONARA"/>
    <n v="6400"/>
    <n v="43"/>
    <n v="275200"/>
    <m/>
  </r>
  <r>
    <x v="11"/>
    <s v="AUG"/>
    <x v="38"/>
    <s v="GRSM 1"/>
    <x v="3"/>
    <s v="MT"/>
    <n v="122506"/>
    <n v="202879"/>
    <x v="28"/>
    <x v="61"/>
    <s v="AGLIO OLIO"/>
    <n v="6400"/>
    <n v="17"/>
    <n v="108800"/>
    <m/>
  </r>
  <r>
    <x v="11"/>
    <s v="AUG"/>
    <x v="38"/>
    <s v="GRSM 1"/>
    <x v="3"/>
    <s v="MT"/>
    <n v="122506"/>
    <n v="202879"/>
    <x v="28"/>
    <x v="61"/>
    <s v="GORENG"/>
    <n v="6400"/>
    <n v="76"/>
    <n v="486400"/>
    <n v="160"/>
  </r>
  <r>
    <x v="11"/>
    <s v="AUG"/>
    <x v="39"/>
    <s v="GRSM 1"/>
    <x v="3"/>
    <s v="MT"/>
    <n v="122506"/>
    <n v="214300"/>
    <x v="31"/>
    <x v="62"/>
    <s v="BOLOGNESE"/>
    <n v="7000"/>
    <n v="20"/>
    <n v="140000"/>
    <m/>
  </r>
  <r>
    <x v="11"/>
    <s v="AUG"/>
    <x v="39"/>
    <s v="GRSM 1"/>
    <x v="3"/>
    <s v="MT"/>
    <n v="122506"/>
    <n v="214300"/>
    <x v="31"/>
    <x v="62"/>
    <s v="CARBONARA"/>
    <n v="7000"/>
    <n v="38"/>
    <n v="266000"/>
    <m/>
  </r>
  <r>
    <x v="11"/>
    <s v="AUG"/>
    <x v="39"/>
    <s v="GRSM 1"/>
    <x v="3"/>
    <s v="MT"/>
    <n v="122506"/>
    <n v="214300"/>
    <x v="31"/>
    <x v="62"/>
    <s v="AGLIO OLIO"/>
    <n v="7000"/>
    <n v="25"/>
    <n v="175000"/>
    <m/>
  </r>
  <r>
    <x v="11"/>
    <s v="AUG"/>
    <x v="39"/>
    <s v="GRSM 1"/>
    <x v="3"/>
    <s v="MT"/>
    <n v="122506"/>
    <n v="214300"/>
    <x v="31"/>
    <x v="62"/>
    <s v="GORENG"/>
    <n v="7000"/>
    <n v="55"/>
    <n v="385000"/>
    <n v="160"/>
  </r>
  <r>
    <x v="11"/>
    <s v="AUG"/>
    <x v="39"/>
    <s v="GRSM 1"/>
    <x v="3"/>
    <s v="MT"/>
    <n v="122506"/>
    <n v="214300"/>
    <x v="31"/>
    <x v="63"/>
    <s v="BOLOGNESE"/>
    <n v="7000"/>
    <n v="20"/>
    <n v="140000"/>
    <m/>
  </r>
  <r>
    <x v="11"/>
    <s v="AUG"/>
    <x v="39"/>
    <s v="GRSM 1"/>
    <x v="3"/>
    <s v="MT"/>
    <n v="122506"/>
    <n v="214300"/>
    <x v="31"/>
    <x v="63"/>
    <s v="CARBONARA"/>
    <n v="7000"/>
    <n v="38"/>
    <n v="266000"/>
    <m/>
  </r>
  <r>
    <x v="11"/>
    <s v="AUG"/>
    <x v="39"/>
    <s v="GRSM 1"/>
    <x v="3"/>
    <s v="MT"/>
    <n v="122506"/>
    <n v="214300"/>
    <x v="31"/>
    <x v="63"/>
    <s v="AGLIO OLIO"/>
    <n v="7000"/>
    <n v="25"/>
    <n v="175000"/>
    <m/>
  </r>
  <r>
    <x v="11"/>
    <s v="AUG"/>
    <x v="39"/>
    <s v="GRSM 1"/>
    <x v="3"/>
    <s v="MT"/>
    <n v="122506"/>
    <n v="214300"/>
    <x v="31"/>
    <x v="63"/>
    <s v="GORENG"/>
    <n v="7000"/>
    <n v="55"/>
    <n v="385000"/>
    <n v="160"/>
  </r>
  <r>
    <x v="11"/>
    <s v="AUG"/>
    <x v="39"/>
    <s v="GRSM 1"/>
    <x v="3"/>
    <s v="MT"/>
    <n v="122506"/>
    <n v="202816"/>
    <x v="29"/>
    <x v="66"/>
    <s v="BOLOGNESE"/>
    <n v="7000"/>
    <n v="35"/>
    <n v="245000"/>
    <m/>
  </r>
  <r>
    <x v="11"/>
    <s v="AUG"/>
    <x v="39"/>
    <s v="GRSM 1"/>
    <x v="3"/>
    <s v="MT"/>
    <n v="122506"/>
    <n v="202816"/>
    <x v="29"/>
    <x v="66"/>
    <s v="CARBONARA"/>
    <n v="7000"/>
    <n v="41"/>
    <n v="287000"/>
    <m/>
  </r>
  <r>
    <x v="11"/>
    <s v="AUG"/>
    <x v="39"/>
    <s v="GRSM 1"/>
    <x v="3"/>
    <s v="MT"/>
    <n v="122506"/>
    <n v="202816"/>
    <x v="29"/>
    <x v="66"/>
    <s v="AGLIO OLIO"/>
    <n v="7000"/>
    <n v="17"/>
    <n v="119000"/>
    <m/>
  </r>
  <r>
    <x v="11"/>
    <s v="AUG"/>
    <x v="39"/>
    <s v="GRSM 1"/>
    <x v="3"/>
    <s v="MT"/>
    <n v="122506"/>
    <n v="202816"/>
    <x v="29"/>
    <x v="66"/>
    <s v="GORENG"/>
    <n v="7000"/>
    <n v="57"/>
    <n v="399000"/>
    <n v="160"/>
  </r>
  <r>
    <x v="11"/>
    <s v="AUG"/>
    <x v="39"/>
    <s v="GRSM 1"/>
    <x v="3"/>
    <s v="MT"/>
    <n v="122506"/>
    <n v="202816"/>
    <x v="29"/>
    <x v="67"/>
    <s v="BOLOGNESE"/>
    <n v="7000"/>
    <n v="35"/>
    <n v="245000"/>
    <m/>
  </r>
  <r>
    <x v="11"/>
    <s v="AUG"/>
    <x v="39"/>
    <s v="GRSM 1"/>
    <x v="3"/>
    <s v="MT"/>
    <n v="122506"/>
    <n v="202816"/>
    <x v="29"/>
    <x v="67"/>
    <s v="CARBONARA"/>
    <n v="7000"/>
    <n v="41"/>
    <n v="287000"/>
    <m/>
  </r>
  <r>
    <x v="11"/>
    <s v="AUG"/>
    <x v="39"/>
    <s v="GRSM 1"/>
    <x v="3"/>
    <s v="MT"/>
    <n v="122506"/>
    <n v="202816"/>
    <x v="29"/>
    <x v="67"/>
    <s v="AGLIO OLIO"/>
    <n v="7000"/>
    <n v="17"/>
    <n v="119000"/>
    <m/>
  </r>
  <r>
    <x v="11"/>
    <s v="AUG"/>
    <x v="39"/>
    <s v="GRSM 1"/>
    <x v="3"/>
    <s v="MT"/>
    <n v="122506"/>
    <n v="202816"/>
    <x v="29"/>
    <x v="67"/>
    <s v="GORENG"/>
    <n v="7000"/>
    <n v="57"/>
    <n v="399000"/>
    <n v="160"/>
  </r>
  <r>
    <x v="11"/>
    <s v="AUG"/>
    <x v="39"/>
    <s v="GRSM 1"/>
    <x v="3"/>
    <s v="MT"/>
    <n v="122506"/>
    <n v="202879"/>
    <x v="28"/>
    <x v="60"/>
    <s v="BOLOGNESE"/>
    <n v="6400"/>
    <n v="59"/>
    <n v="377600"/>
    <m/>
  </r>
  <r>
    <x v="11"/>
    <s v="AUG"/>
    <x v="39"/>
    <s v="GRSM 1"/>
    <x v="3"/>
    <s v="MT"/>
    <n v="122506"/>
    <n v="202879"/>
    <x v="28"/>
    <x v="60"/>
    <s v="CARBONARA"/>
    <n v="6400"/>
    <n v="59"/>
    <n v="377600"/>
    <m/>
  </r>
  <r>
    <x v="11"/>
    <s v="AUG"/>
    <x v="39"/>
    <s v="GRSM 1"/>
    <x v="3"/>
    <s v="MT"/>
    <n v="122506"/>
    <n v="202879"/>
    <x v="28"/>
    <x v="60"/>
    <s v="AGLIO OLIO"/>
    <n v="6400"/>
    <n v="24"/>
    <n v="153600"/>
    <m/>
  </r>
  <r>
    <x v="11"/>
    <s v="AUG"/>
    <x v="39"/>
    <s v="GRSM 1"/>
    <x v="3"/>
    <s v="MT"/>
    <n v="122506"/>
    <n v="202879"/>
    <x v="28"/>
    <x v="60"/>
    <s v="GORENG"/>
    <n v="6400"/>
    <n v="158"/>
    <n v="1011200"/>
    <n v="160"/>
  </r>
  <r>
    <x v="11"/>
    <s v="AUG"/>
    <x v="39"/>
    <s v="GRSM 1"/>
    <x v="3"/>
    <s v="MT"/>
    <n v="122506"/>
    <n v="202879"/>
    <x v="28"/>
    <x v="61"/>
    <s v="BOLOGNESE"/>
    <n v="6400"/>
    <n v="59"/>
    <n v="377600"/>
    <m/>
  </r>
  <r>
    <x v="11"/>
    <s v="AUG"/>
    <x v="39"/>
    <s v="GRSM 1"/>
    <x v="3"/>
    <s v="MT"/>
    <n v="122506"/>
    <n v="202879"/>
    <x v="28"/>
    <x v="61"/>
    <s v="CARBONARA"/>
    <n v="6400"/>
    <n v="59"/>
    <n v="377600"/>
    <m/>
  </r>
  <r>
    <x v="11"/>
    <s v="AUG"/>
    <x v="39"/>
    <s v="GRSM 1"/>
    <x v="3"/>
    <s v="MT"/>
    <n v="122506"/>
    <n v="202879"/>
    <x v="28"/>
    <x v="61"/>
    <s v="AGLIO OLIO"/>
    <n v="6400"/>
    <n v="24"/>
    <n v="153600"/>
    <m/>
  </r>
  <r>
    <x v="11"/>
    <s v="AUG"/>
    <x v="39"/>
    <s v="GRSM 1"/>
    <x v="3"/>
    <s v="MT"/>
    <n v="122506"/>
    <n v="202879"/>
    <x v="28"/>
    <x v="61"/>
    <s v="GORENG"/>
    <n v="6400"/>
    <n v="158"/>
    <n v="1011200"/>
    <n v="160"/>
  </r>
  <r>
    <x v="11"/>
    <s v="AUG"/>
    <x v="39"/>
    <s v="GRSM 1"/>
    <x v="3"/>
    <s v="MT"/>
    <n v="122506"/>
    <n v="214422"/>
    <x v="30"/>
    <x v="65"/>
    <s v="BOLOGNESE"/>
    <n v="3200"/>
    <n v="46"/>
    <n v="147200"/>
    <m/>
  </r>
  <r>
    <x v="11"/>
    <s v="AUG"/>
    <x v="39"/>
    <s v="GRSM 1"/>
    <x v="3"/>
    <s v="MT"/>
    <n v="122506"/>
    <n v="214422"/>
    <x v="30"/>
    <x v="65"/>
    <s v="CARBONARA"/>
    <n v="3200"/>
    <n v="98"/>
    <n v="313600"/>
    <m/>
  </r>
  <r>
    <x v="11"/>
    <s v="AUG"/>
    <x v="39"/>
    <s v="GRSM 1"/>
    <x v="3"/>
    <s v="MT"/>
    <n v="122506"/>
    <n v="214422"/>
    <x v="30"/>
    <x v="65"/>
    <s v="AGLIO OLIO"/>
    <n v="3200"/>
    <n v="76"/>
    <n v="243200"/>
    <m/>
  </r>
  <r>
    <x v="11"/>
    <s v="AUG"/>
    <x v="39"/>
    <s v="GRSM 1"/>
    <x v="3"/>
    <s v="MT"/>
    <n v="122506"/>
    <n v="214422"/>
    <x v="30"/>
    <x v="65"/>
    <s v="GORENG"/>
    <n v="3200"/>
    <n v="122"/>
    <n v="390400"/>
    <n v="160"/>
  </r>
  <r>
    <x v="11"/>
    <s v="AUG"/>
    <x v="39"/>
    <s v="GRSM 1"/>
    <x v="3"/>
    <s v="MT"/>
    <n v="122506"/>
    <n v="214422"/>
    <x v="30"/>
    <x v="64"/>
    <s v="BOLOGNESE"/>
    <n v="3200"/>
    <n v="46"/>
    <n v="147200"/>
    <m/>
  </r>
  <r>
    <x v="11"/>
    <s v="AUG"/>
    <x v="39"/>
    <s v="GRSM 1"/>
    <x v="3"/>
    <s v="MT"/>
    <n v="122506"/>
    <n v="214422"/>
    <x v="30"/>
    <x v="64"/>
    <s v="CARBONARA"/>
    <n v="3200"/>
    <n v="98"/>
    <n v="313600"/>
    <m/>
  </r>
  <r>
    <x v="11"/>
    <s v="AUG"/>
    <x v="39"/>
    <s v="GRSM 1"/>
    <x v="3"/>
    <s v="MT"/>
    <n v="122506"/>
    <n v="214422"/>
    <x v="30"/>
    <x v="64"/>
    <s v="AGLIO OLIO"/>
    <n v="3200"/>
    <n v="76"/>
    <n v="243200"/>
    <m/>
  </r>
  <r>
    <x v="11"/>
    <s v="AUG"/>
    <x v="39"/>
    <s v="GRSM 1"/>
    <x v="3"/>
    <s v="MT"/>
    <n v="122506"/>
    <n v="214422"/>
    <x v="30"/>
    <x v="64"/>
    <s v="GORENG"/>
    <n v="3200"/>
    <n v="122"/>
    <n v="390400"/>
    <n v="160"/>
  </r>
  <r>
    <x v="11"/>
    <s v="AUG"/>
    <x v="40"/>
    <s v="GRSM 1"/>
    <x v="3"/>
    <s v="MT"/>
    <n v="122506"/>
    <n v="202879"/>
    <x v="28"/>
    <x v="60"/>
    <s v="BOLOGNESE"/>
    <n v="6400"/>
    <n v="106"/>
    <n v="678400"/>
    <m/>
  </r>
  <r>
    <x v="11"/>
    <s v="AUG"/>
    <x v="40"/>
    <s v="GRSM 1"/>
    <x v="3"/>
    <s v="MT"/>
    <n v="122506"/>
    <n v="202879"/>
    <x v="28"/>
    <x v="60"/>
    <s v="CARBONARA"/>
    <n v="6400"/>
    <n v="89"/>
    <n v="569600"/>
    <m/>
  </r>
  <r>
    <x v="11"/>
    <s v="AUG"/>
    <x v="40"/>
    <s v="GRSM 1"/>
    <x v="3"/>
    <s v="MT"/>
    <n v="122506"/>
    <n v="202879"/>
    <x v="28"/>
    <x v="60"/>
    <s v="AGLIO OLIO"/>
    <n v="6400"/>
    <n v="34"/>
    <n v="217600"/>
    <m/>
  </r>
  <r>
    <x v="11"/>
    <s v="AUG"/>
    <x v="40"/>
    <s v="GRSM 1"/>
    <x v="3"/>
    <s v="MT"/>
    <n v="122506"/>
    <n v="202879"/>
    <x v="28"/>
    <x v="60"/>
    <s v="GORENG"/>
    <n v="6400"/>
    <n v="160"/>
    <n v="1024000"/>
    <n v="160"/>
  </r>
  <r>
    <x v="11"/>
    <s v="AUG"/>
    <x v="40"/>
    <s v="GRSM 1"/>
    <x v="3"/>
    <s v="MT"/>
    <n v="122506"/>
    <n v="202879"/>
    <x v="28"/>
    <x v="61"/>
    <s v="BOLOGNESE"/>
    <n v="6400"/>
    <n v="106"/>
    <n v="678400"/>
    <m/>
  </r>
  <r>
    <x v="11"/>
    <s v="AUG"/>
    <x v="40"/>
    <s v="GRSM 1"/>
    <x v="3"/>
    <s v="MT"/>
    <n v="122506"/>
    <n v="202879"/>
    <x v="28"/>
    <x v="61"/>
    <s v="CARBONARA"/>
    <n v="6400"/>
    <n v="89"/>
    <n v="569600"/>
    <m/>
  </r>
  <r>
    <x v="11"/>
    <s v="AUG"/>
    <x v="40"/>
    <s v="GRSM 1"/>
    <x v="3"/>
    <s v="MT"/>
    <n v="122506"/>
    <n v="202879"/>
    <x v="28"/>
    <x v="61"/>
    <s v="AGLIO OLIO"/>
    <n v="6400"/>
    <n v="34"/>
    <n v="217600"/>
    <m/>
  </r>
  <r>
    <x v="11"/>
    <s v="AUG"/>
    <x v="40"/>
    <s v="GRSM 1"/>
    <x v="3"/>
    <s v="MT"/>
    <n v="122506"/>
    <n v="202879"/>
    <x v="28"/>
    <x v="61"/>
    <s v="GORENG"/>
    <n v="6400"/>
    <n v="160"/>
    <n v="1024000"/>
    <n v="160"/>
  </r>
  <r>
    <x v="11"/>
    <s v="AUG"/>
    <x v="40"/>
    <s v="GRSM 1"/>
    <x v="3"/>
    <s v="MT"/>
    <n v="122506"/>
    <n v="202816"/>
    <x v="29"/>
    <x v="66"/>
    <s v="BOLOGNESE"/>
    <n v="7000"/>
    <n v="37"/>
    <n v="259000"/>
    <m/>
  </r>
  <r>
    <x v="11"/>
    <s v="AUG"/>
    <x v="40"/>
    <s v="GRSM 1"/>
    <x v="3"/>
    <s v="MT"/>
    <n v="122506"/>
    <n v="202816"/>
    <x v="29"/>
    <x v="66"/>
    <s v="CARBONARA"/>
    <n v="7000"/>
    <n v="47"/>
    <n v="329000"/>
    <m/>
  </r>
  <r>
    <x v="11"/>
    <s v="AUG"/>
    <x v="40"/>
    <s v="GRSM 1"/>
    <x v="3"/>
    <s v="MT"/>
    <n v="122506"/>
    <n v="202816"/>
    <x v="29"/>
    <x v="66"/>
    <s v="AGLIO OLIO"/>
    <n v="7000"/>
    <n v="20"/>
    <n v="140000"/>
    <m/>
  </r>
  <r>
    <x v="11"/>
    <s v="AUG"/>
    <x v="40"/>
    <s v="GRSM 1"/>
    <x v="3"/>
    <s v="MT"/>
    <n v="122506"/>
    <n v="202816"/>
    <x v="29"/>
    <x v="66"/>
    <s v="GORENG"/>
    <n v="7000"/>
    <n v="69"/>
    <n v="483000"/>
    <n v="160"/>
  </r>
  <r>
    <x v="11"/>
    <s v="AUG"/>
    <x v="40"/>
    <s v="GRSM 1"/>
    <x v="3"/>
    <s v="MT"/>
    <n v="122506"/>
    <n v="202816"/>
    <x v="29"/>
    <x v="67"/>
    <s v="BOLOGNESE"/>
    <n v="7000"/>
    <n v="37"/>
    <n v="259000"/>
    <m/>
  </r>
  <r>
    <x v="11"/>
    <s v="AUG"/>
    <x v="40"/>
    <s v="GRSM 1"/>
    <x v="3"/>
    <s v="MT"/>
    <n v="122506"/>
    <n v="202816"/>
    <x v="29"/>
    <x v="67"/>
    <s v="CARBONARA"/>
    <n v="7000"/>
    <n v="47"/>
    <n v="329000"/>
    <m/>
  </r>
  <r>
    <x v="11"/>
    <s v="AUG"/>
    <x v="40"/>
    <s v="GRSM 1"/>
    <x v="3"/>
    <s v="MT"/>
    <n v="122506"/>
    <n v="202816"/>
    <x v="29"/>
    <x v="67"/>
    <s v="AGLIO OLIO"/>
    <n v="7000"/>
    <n v="20"/>
    <n v="140000"/>
    <m/>
  </r>
  <r>
    <x v="11"/>
    <s v="AUG"/>
    <x v="40"/>
    <s v="GRSM 1"/>
    <x v="3"/>
    <s v="MT"/>
    <n v="122506"/>
    <n v="202816"/>
    <x v="29"/>
    <x v="67"/>
    <s v="GORENG"/>
    <n v="7000"/>
    <n v="69"/>
    <n v="483000"/>
    <n v="160"/>
  </r>
  <r>
    <x v="11"/>
    <s v="AUG"/>
    <x v="40"/>
    <s v="GRSM 1"/>
    <x v="3"/>
    <s v="MT"/>
    <n v="122506"/>
    <n v="214422"/>
    <x v="30"/>
    <x v="65"/>
    <s v="BOLOGNESE"/>
    <n v="3200"/>
    <n v="104"/>
    <n v="332800"/>
    <m/>
  </r>
  <r>
    <x v="11"/>
    <s v="AUG"/>
    <x v="40"/>
    <s v="GRSM 1"/>
    <x v="3"/>
    <s v="MT"/>
    <n v="122506"/>
    <n v="214422"/>
    <x v="30"/>
    <x v="65"/>
    <s v="CARBONARA"/>
    <n v="3200"/>
    <n v="96"/>
    <n v="307200"/>
    <m/>
  </r>
  <r>
    <x v="11"/>
    <s v="AUG"/>
    <x v="40"/>
    <s v="GRSM 1"/>
    <x v="3"/>
    <s v="MT"/>
    <n v="122506"/>
    <n v="214422"/>
    <x v="30"/>
    <x v="65"/>
    <s v="AGLIO OLIO"/>
    <n v="3200"/>
    <n v="74"/>
    <n v="236800"/>
    <m/>
  </r>
  <r>
    <x v="11"/>
    <s v="AUG"/>
    <x v="40"/>
    <s v="GRSM 1"/>
    <x v="3"/>
    <s v="MT"/>
    <n v="122506"/>
    <n v="214422"/>
    <x v="30"/>
    <x v="65"/>
    <s v="GORENG"/>
    <n v="3200"/>
    <n v="178"/>
    <n v="569600"/>
    <n v="160"/>
  </r>
  <r>
    <x v="11"/>
    <s v="AUG"/>
    <x v="40"/>
    <s v="GRSM 1"/>
    <x v="3"/>
    <s v="MT"/>
    <n v="122506"/>
    <n v="214422"/>
    <x v="30"/>
    <x v="64"/>
    <s v="BOLOGNESE"/>
    <n v="3200"/>
    <n v="104"/>
    <n v="332800"/>
    <m/>
  </r>
  <r>
    <x v="11"/>
    <s v="AUG"/>
    <x v="40"/>
    <s v="GRSM 1"/>
    <x v="3"/>
    <s v="MT"/>
    <n v="122506"/>
    <n v="214422"/>
    <x v="30"/>
    <x v="64"/>
    <s v="CARBONARA"/>
    <n v="3200"/>
    <n v="96"/>
    <n v="307200"/>
    <m/>
  </r>
  <r>
    <x v="11"/>
    <s v="AUG"/>
    <x v="40"/>
    <s v="GRSM 1"/>
    <x v="3"/>
    <s v="MT"/>
    <n v="122506"/>
    <n v="214422"/>
    <x v="30"/>
    <x v="64"/>
    <s v="AGLIO OLIO"/>
    <n v="3200"/>
    <n v="74"/>
    <n v="236800"/>
    <m/>
  </r>
  <r>
    <x v="11"/>
    <s v="AUG"/>
    <x v="40"/>
    <s v="GRSM 1"/>
    <x v="3"/>
    <s v="MT"/>
    <n v="122506"/>
    <n v="214422"/>
    <x v="30"/>
    <x v="64"/>
    <s v="GORENG"/>
    <n v="3200"/>
    <n v="178"/>
    <n v="569600"/>
    <n v="160"/>
  </r>
  <r>
    <x v="11"/>
    <s v="AUG"/>
    <x v="40"/>
    <s v="GRSM 1"/>
    <x v="3"/>
    <s v="MT"/>
    <n v="122506"/>
    <n v="214300"/>
    <x v="31"/>
    <x v="62"/>
    <s v="BOLOGNESE"/>
    <n v="7000"/>
    <n v="26"/>
    <n v="182000"/>
    <m/>
  </r>
  <r>
    <x v="11"/>
    <s v="AUG"/>
    <x v="40"/>
    <s v="GRSM 1"/>
    <x v="3"/>
    <s v="MT"/>
    <n v="122506"/>
    <n v="214300"/>
    <x v="31"/>
    <x v="62"/>
    <s v="CARBONARA"/>
    <n v="7000"/>
    <n v="42"/>
    <n v="294000"/>
    <m/>
  </r>
  <r>
    <x v="11"/>
    <s v="AUG"/>
    <x v="40"/>
    <s v="GRSM 1"/>
    <x v="3"/>
    <s v="MT"/>
    <n v="122506"/>
    <n v="214300"/>
    <x v="31"/>
    <x v="62"/>
    <s v="AGLIO OLIO"/>
    <n v="7000"/>
    <n v="30"/>
    <n v="210000"/>
    <m/>
  </r>
  <r>
    <x v="11"/>
    <s v="AUG"/>
    <x v="40"/>
    <s v="GRSM 1"/>
    <x v="3"/>
    <s v="MT"/>
    <n v="122506"/>
    <n v="214300"/>
    <x v="31"/>
    <x v="62"/>
    <s v="GORENG"/>
    <n v="7000"/>
    <n v="64"/>
    <n v="448000"/>
    <n v="160"/>
  </r>
  <r>
    <x v="11"/>
    <s v="AUG"/>
    <x v="40"/>
    <s v="GRSM 1"/>
    <x v="3"/>
    <s v="MT"/>
    <n v="122506"/>
    <n v="214300"/>
    <x v="31"/>
    <x v="63"/>
    <s v="BOLOGNESE"/>
    <n v="7000"/>
    <n v="26"/>
    <n v="182000"/>
    <m/>
  </r>
  <r>
    <x v="11"/>
    <s v="AUG"/>
    <x v="40"/>
    <s v="GRSM 1"/>
    <x v="3"/>
    <s v="MT"/>
    <n v="122506"/>
    <n v="214300"/>
    <x v="31"/>
    <x v="63"/>
    <s v="CARBONARA"/>
    <n v="7000"/>
    <n v="42"/>
    <n v="294000"/>
    <m/>
  </r>
  <r>
    <x v="11"/>
    <s v="AUG"/>
    <x v="40"/>
    <s v="GRSM 1"/>
    <x v="3"/>
    <s v="MT"/>
    <n v="122506"/>
    <n v="214300"/>
    <x v="31"/>
    <x v="63"/>
    <s v="AGLIO OLIO"/>
    <n v="7000"/>
    <n v="30"/>
    <n v="210000"/>
    <m/>
  </r>
  <r>
    <x v="11"/>
    <s v="AUG"/>
    <x v="40"/>
    <s v="GRSM 1"/>
    <x v="3"/>
    <s v="MT"/>
    <n v="122506"/>
    <n v="214300"/>
    <x v="31"/>
    <x v="63"/>
    <s v="GORENG"/>
    <n v="7000"/>
    <n v="64"/>
    <n v="448000"/>
    <n v="160"/>
  </r>
  <r>
    <x v="11"/>
    <s v="AUG"/>
    <x v="38"/>
    <s v="GRSM 5"/>
    <x v="1"/>
    <s v="GMM"/>
    <n v="103274"/>
    <n v="1301399"/>
    <x v="41"/>
    <x v="78"/>
    <s v="BOLOGNESE"/>
    <n v="3117"/>
    <n v="80"/>
    <n v="249360"/>
    <m/>
  </r>
  <r>
    <x v="11"/>
    <s v="AUG"/>
    <x v="38"/>
    <s v="GRSM 5"/>
    <x v="1"/>
    <s v="GMM"/>
    <n v="103274"/>
    <n v="1301399"/>
    <x v="41"/>
    <x v="78"/>
    <s v="CARBONARA"/>
    <n v="3117"/>
    <n v="80"/>
    <n v="249360"/>
    <m/>
  </r>
  <r>
    <x v="11"/>
    <s v="AUG"/>
    <x v="38"/>
    <s v="GRSM 5"/>
    <x v="1"/>
    <s v="GMM"/>
    <n v="103274"/>
    <n v="1301399"/>
    <x v="41"/>
    <x v="78"/>
    <s v="AGLIO OLIO"/>
    <n v="3117"/>
    <n v="8"/>
    <n v="24936"/>
    <m/>
  </r>
  <r>
    <x v="11"/>
    <s v="AUG"/>
    <x v="38"/>
    <s v="GRSM 5"/>
    <x v="1"/>
    <s v="GMM"/>
    <n v="103274"/>
    <n v="1301399"/>
    <x v="41"/>
    <x v="78"/>
    <s v="GORENG"/>
    <n v="3117"/>
    <n v="120"/>
    <n v="374040"/>
    <n v="160"/>
  </r>
  <r>
    <x v="11"/>
    <s v="AUG"/>
    <x v="38"/>
    <s v="GRSM 5"/>
    <x v="1"/>
    <s v="GMM"/>
    <n v="103274"/>
    <n v="1301399"/>
    <x v="41"/>
    <x v="79"/>
    <s v="BOLOGNESE"/>
    <n v="3117"/>
    <n v="80"/>
    <n v="249360"/>
    <m/>
  </r>
  <r>
    <x v="11"/>
    <s v="AUG"/>
    <x v="38"/>
    <s v="GRSM 5"/>
    <x v="1"/>
    <s v="GMM"/>
    <n v="103274"/>
    <n v="1301399"/>
    <x v="41"/>
    <x v="79"/>
    <s v="CARBONARA"/>
    <n v="3117"/>
    <n v="80"/>
    <n v="249360"/>
    <m/>
  </r>
  <r>
    <x v="11"/>
    <s v="AUG"/>
    <x v="38"/>
    <s v="GRSM 5"/>
    <x v="1"/>
    <s v="GMM"/>
    <n v="103274"/>
    <n v="1301399"/>
    <x v="41"/>
    <x v="79"/>
    <s v="AGLIO OLIO"/>
    <n v="3117"/>
    <n v="8"/>
    <n v="24936"/>
    <m/>
  </r>
  <r>
    <x v="11"/>
    <s v="AUG"/>
    <x v="38"/>
    <s v="GRSM 5"/>
    <x v="1"/>
    <s v="GMM"/>
    <n v="103274"/>
    <n v="1301399"/>
    <x v="41"/>
    <x v="79"/>
    <s v="GORENG"/>
    <n v="3117"/>
    <n v="120"/>
    <n v="374040"/>
    <n v="160"/>
  </r>
  <r>
    <x v="11"/>
    <s v="AUG"/>
    <x v="38"/>
    <s v="GRSM 5"/>
    <x v="1"/>
    <s v="GMM"/>
    <n v="211050"/>
    <n v="2910733"/>
    <x v="52"/>
    <x v="80"/>
    <s v="BOLOGNESE"/>
    <n v="3000"/>
    <n v="33"/>
    <n v="99000"/>
    <m/>
  </r>
  <r>
    <x v="11"/>
    <s v="AUG"/>
    <x v="38"/>
    <s v="GRSM 5"/>
    <x v="1"/>
    <s v="GMM"/>
    <n v="211050"/>
    <n v="2910733"/>
    <x v="52"/>
    <x v="80"/>
    <s v="CARBONARA"/>
    <n v="3000"/>
    <n v="39"/>
    <n v="117000"/>
    <m/>
  </r>
  <r>
    <x v="11"/>
    <s v="AUG"/>
    <x v="38"/>
    <s v="GRSM 5"/>
    <x v="1"/>
    <s v="GMM"/>
    <n v="211050"/>
    <n v="2910733"/>
    <x v="52"/>
    <x v="80"/>
    <s v="AGLIO OLIO"/>
    <n v="3000"/>
    <n v="24"/>
    <n v="72000"/>
    <m/>
  </r>
  <r>
    <x v="11"/>
    <s v="AUG"/>
    <x v="38"/>
    <s v="GRSM 5"/>
    <x v="1"/>
    <s v="GMM"/>
    <n v="211050"/>
    <n v="2910733"/>
    <x v="52"/>
    <x v="80"/>
    <s v="GORENG"/>
    <n v="3000"/>
    <n v="126"/>
    <n v="378000"/>
    <n v="160"/>
  </r>
  <r>
    <x v="11"/>
    <s v="AUG"/>
    <x v="38"/>
    <s v="GRSM 5"/>
    <x v="1"/>
    <s v="GMM"/>
    <n v="211050"/>
    <n v="2910733"/>
    <x v="52"/>
    <x v="81"/>
    <s v="BOLOGNESE"/>
    <n v="3000"/>
    <n v="33"/>
    <n v="99000"/>
    <m/>
  </r>
  <r>
    <x v="11"/>
    <s v="AUG"/>
    <x v="38"/>
    <s v="GRSM 5"/>
    <x v="1"/>
    <s v="GMM"/>
    <n v="211050"/>
    <n v="2910733"/>
    <x v="52"/>
    <x v="81"/>
    <s v="CARBONARA"/>
    <n v="3000"/>
    <n v="39"/>
    <n v="117000"/>
    <m/>
  </r>
  <r>
    <x v="11"/>
    <s v="AUG"/>
    <x v="38"/>
    <s v="GRSM 5"/>
    <x v="1"/>
    <s v="GMM"/>
    <n v="211050"/>
    <n v="2910733"/>
    <x v="52"/>
    <x v="81"/>
    <s v="AGLIO OLIO"/>
    <n v="3000"/>
    <n v="24"/>
    <n v="72000"/>
    <m/>
  </r>
  <r>
    <x v="11"/>
    <s v="AUG"/>
    <x v="38"/>
    <s v="GRSM 5"/>
    <x v="1"/>
    <s v="GMM"/>
    <n v="211050"/>
    <n v="2910733"/>
    <x v="52"/>
    <x v="81"/>
    <s v="GORENG"/>
    <n v="3000"/>
    <n v="126"/>
    <n v="378000"/>
    <n v="160"/>
  </r>
  <r>
    <x v="11"/>
    <s v="AUG"/>
    <x v="38"/>
    <s v="GRSM 5"/>
    <x v="1"/>
    <s v="GMM"/>
    <n v="211051"/>
    <n v="5580008"/>
    <x v="40"/>
    <x v="77"/>
    <s v="BOLOGNESE"/>
    <n v="2989"/>
    <n v="76"/>
    <n v="227164"/>
    <m/>
  </r>
  <r>
    <x v="11"/>
    <s v="AUG"/>
    <x v="38"/>
    <s v="GRSM 5"/>
    <x v="1"/>
    <s v="GMM"/>
    <n v="211051"/>
    <n v="5580008"/>
    <x v="40"/>
    <x v="77"/>
    <s v="CARBONARA"/>
    <n v="2989"/>
    <n v="112"/>
    <n v="334768"/>
    <m/>
  </r>
  <r>
    <x v="11"/>
    <s v="AUG"/>
    <x v="38"/>
    <s v="GRSM 5"/>
    <x v="1"/>
    <s v="GMM"/>
    <n v="211051"/>
    <n v="5580008"/>
    <x v="40"/>
    <x v="77"/>
    <s v="AGLIO OLIO"/>
    <n v="2989"/>
    <n v="18"/>
    <n v="53802"/>
    <m/>
  </r>
  <r>
    <x v="11"/>
    <s v="AUG"/>
    <x v="38"/>
    <s v="GRSM 5"/>
    <x v="1"/>
    <s v="GMM"/>
    <n v="211051"/>
    <n v="5580008"/>
    <x v="40"/>
    <x v="77"/>
    <s v="GORENG"/>
    <n v="2989"/>
    <n v="182"/>
    <n v="543998"/>
    <n v="160"/>
  </r>
  <r>
    <x v="11"/>
    <s v="AUG"/>
    <x v="38"/>
    <s v="GRSM 5"/>
    <x v="1"/>
    <s v="GMM"/>
    <n v="211051"/>
    <n v="5580008"/>
    <x v="40"/>
    <x v="102"/>
    <s v="BOLOGNESE"/>
    <n v="2989"/>
    <n v="76"/>
    <n v="227164"/>
    <m/>
  </r>
  <r>
    <x v="11"/>
    <s v="AUG"/>
    <x v="38"/>
    <s v="GRSM 5"/>
    <x v="1"/>
    <s v="GMM"/>
    <n v="211051"/>
    <n v="5580008"/>
    <x v="40"/>
    <x v="102"/>
    <s v="CARBONARA"/>
    <n v="2989"/>
    <n v="112"/>
    <n v="334768"/>
    <m/>
  </r>
  <r>
    <x v="11"/>
    <s v="AUG"/>
    <x v="38"/>
    <s v="GRSM 5"/>
    <x v="1"/>
    <s v="GMM"/>
    <n v="211051"/>
    <n v="5580008"/>
    <x v="40"/>
    <x v="102"/>
    <s v="AGLIO OLIO"/>
    <n v="2989"/>
    <n v="18"/>
    <n v="53802"/>
    <m/>
  </r>
  <r>
    <x v="11"/>
    <s v="AUG"/>
    <x v="38"/>
    <s v="GRSM 5"/>
    <x v="1"/>
    <s v="GMM"/>
    <n v="211051"/>
    <n v="5580008"/>
    <x v="40"/>
    <x v="102"/>
    <s v="GORENG"/>
    <n v="2989"/>
    <n v="182"/>
    <n v="543998"/>
    <n v="160"/>
  </r>
  <r>
    <x v="11"/>
    <s v="AUG"/>
    <x v="38"/>
    <s v="GRSM 5"/>
    <x v="1"/>
    <s v="GMM"/>
    <n v="0"/>
    <n v="0"/>
    <x v="53"/>
    <x v="103"/>
    <s v="BOLOGNESE"/>
    <n v="3200"/>
    <n v="0"/>
    <n v="0"/>
    <m/>
  </r>
  <r>
    <x v="11"/>
    <s v="AUG"/>
    <x v="38"/>
    <s v="GRSM 5"/>
    <x v="1"/>
    <s v="GMM"/>
    <n v="0"/>
    <n v="0"/>
    <x v="53"/>
    <x v="103"/>
    <s v="CARBONARA"/>
    <n v="3200"/>
    <n v="0"/>
    <n v="0"/>
    <m/>
  </r>
  <r>
    <x v="11"/>
    <s v="AUG"/>
    <x v="38"/>
    <s v="GRSM 5"/>
    <x v="1"/>
    <s v="GMM"/>
    <n v="0"/>
    <n v="0"/>
    <x v="53"/>
    <x v="103"/>
    <s v="AGLIO OLIO"/>
    <n v="3200"/>
    <n v="0"/>
    <n v="0"/>
    <m/>
  </r>
  <r>
    <x v="11"/>
    <s v="AUG"/>
    <x v="38"/>
    <s v="GRSM 5"/>
    <x v="1"/>
    <s v="GMM"/>
    <n v="0"/>
    <n v="0"/>
    <x v="53"/>
    <x v="103"/>
    <s v="GORENG"/>
    <n v="3200"/>
    <n v="72"/>
    <n v="230400"/>
    <n v="320"/>
  </r>
  <r>
    <x v="11"/>
    <s v="AUG"/>
    <x v="38"/>
    <s v="GRSM 5"/>
    <x v="1"/>
    <s v="GMM"/>
    <n v="0"/>
    <n v="0"/>
    <x v="53"/>
    <x v="104"/>
    <s v="BOLOGNESE"/>
    <n v="3200"/>
    <n v="0"/>
    <n v="0"/>
    <m/>
  </r>
  <r>
    <x v="11"/>
    <s v="AUG"/>
    <x v="38"/>
    <s v="GRSM 5"/>
    <x v="1"/>
    <s v="GMM"/>
    <n v="0"/>
    <n v="0"/>
    <x v="53"/>
    <x v="104"/>
    <s v="CARBONARA"/>
    <n v="3200"/>
    <n v="0"/>
    <n v="0"/>
    <m/>
  </r>
  <r>
    <x v="11"/>
    <s v="AUG"/>
    <x v="38"/>
    <s v="GRSM 5"/>
    <x v="1"/>
    <s v="GMM"/>
    <n v="0"/>
    <n v="0"/>
    <x v="53"/>
    <x v="104"/>
    <s v="AGLIO OLIO"/>
    <n v="3200"/>
    <n v="0"/>
    <n v="0"/>
    <m/>
  </r>
  <r>
    <x v="11"/>
    <s v="AUG"/>
    <x v="38"/>
    <s v="GRSM 5"/>
    <x v="1"/>
    <s v="GMM"/>
    <n v="0"/>
    <n v="0"/>
    <x v="53"/>
    <x v="104"/>
    <s v="GORENG"/>
    <n v="3200"/>
    <n v="72"/>
    <n v="230400"/>
    <n v="320"/>
  </r>
  <r>
    <x v="11"/>
    <s v="AUG"/>
    <x v="38"/>
    <s v="GRSM 5"/>
    <x v="1"/>
    <s v="GMM"/>
    <n v="211009"/>
    <n v="2100003"/>
    <x v="54"/>
    <x v="105"/>
    <s v="BOLOGNESE"/>
    <n v="2900"/>
    <n v="42"/>
    <n v="121800"/>
    <m/>
  </r>
  <r>
    <x v="11"/>
    <s v="AUG"/>
    <x v="38"/>
    <s v="GRSM 5"/>
    <x v="1"/>
    <s v="GMM"/>
    <n v="211009"/>
    <n v="2100003"/>
    <x v="54"/>
    <x v="105"/>
    <s v="CARBONARA"/>
    <n v="2900"/>
    <n v="68"/>
    <n v="197200"/>
    <m/>
  </r>
  <r>
    <x v="11"/>
    <s v="AUG"/>
    <x v="38"/>
    <s v="GRSM 5"/>
    <x v="1"/>
    <s v="GMM"/>
    <n v="211009"/>
    <n v="2100003"/>
    <x v="54"/>
    <x v="105"/>
    <s v="AGLIO OLIO"/>
    <n v="2900"/>
    <n v="32"/>
    <n v="92800"/>
    <m/>
  </r>
  <r>
    <x v="11"/>
    <s v="AUG"/>
    <x v="38"/>
    <s v="GRSM 5"/>
    <x v="1"/>
    <s v="GMM"/>
    <n v="211009"/>
    <n v="2100003"/>
    <x v="54"/>
    <x v="105"/>
    <s v="GORENG"/>
    <n v="2900"/>
    <n v="204"/>
    <n v="591600"/>
    <n v="160"/>
  </r>
  <r>
    <x v="11"/>
    <s v="AUG"/>
    <x v="38"/>
    <s v="GRSM 5"/>
    <x v="1"/>
    <s v="GMM"/>
    <n v="211009"/>
    <n v="2100003"/>
    <x v="54"/>
    <x v="106"/>
    <s v="BOLOGNESE"/>
    <n v="2900"/>
    <n v="42"/>
    <n v="121800"/>
    <m/>
  </r>
  <r>
    <x v="11"/>
    <s v="AUG"/>
    <x v="38"/>
    <s v="GRSM 5"/>
    <x v="1"/>
    <s v="GMM"/>
    <n v="211009"/>
    <n v="2100003"/>
    <x v="54"/>
    <x v="106"/>
    <s v="CARBONARA"/>
    <n v="2900"/>
    <n v="68"/>
    <n v="197200"/>
    <m/>
  </r>
  <r>
    <x v="11"/>
    <s v="AUG"/>
    <x v="38"/>
    <s v="GRSM 5"/>
    <x v="1"/>
    <s v="GMM"/>
    <n v="211009"/>
    <n v="2100003"/>
    <x v="54"/>
    <x v="106"/>
    <s v="AGLIO OLIO"/>
    <n v="2900"/>
    <n v="32"/>
    <n v="92800"/>
    <m/>
  </r>
  <r>
    <x v="11"/>
    <s v="AUG"/>
    <x v="38"/>
    <s v="GRSM 5"/>
    <x v="1"/>
    <s v="GMM"/>
    <n v="211009"/>
    <n v="2100003"/>
    <x v="54"/>
    <x v="106"/>
    <s v="GORENG"/>
    <n v="2900"/>
    <n v="204"/>
    <n v="591600"/>
    <n v="160"/>
  </r>
  <r>
    <x v="11"/>
    <s v="AUG"/>
    <x v="38"/>
    <s v="GRSM 5"/>
    <x v="1"/>
    <s v="GMM"/>
    <n v="103222"/>
    <n v="106437"/>
    <x v="43"/>
    <x v="82"/>
    <s v="BOLOGNESE"/>
    <n v="2990"/>
    <n v="157"/>
    <n v="469430"/>
    <m/>
  </r>
  <r>
    <x v="11"/>
    <s v="AUG"/>
    <x v="38"/>
    <s v="GRSM 5"/>
    <x v="1"/>
    <s v="GMM"/>
    <n v="103222"/>
    <n v="106437"/>
    <x v="43"/>
    <x v="82"/>
    <s v="CARBONARA"/>
    <n v="2990"/>
    <n v="160"/>
    <n v="478400"/>
    <m/>
  </r>
  <r>
    <x v="11"/>
    <s v="AUG"/>
    <x v="38"/>
    <s v="GRSM 5"/>
    <x v="1"/>
    <s v="GMM"/>
    <n v="103222"/>
    <n v="106437"/>
    <x v="43"/>
    <x v="82"/>
    <s v="AGLIO OLIO"/>
    <n v="2990"/>
    <n v="0"/>
    <n v="0"/>
    <m/>
  </r>
  <r>
    <x v="11"/>
    <s v="AUG"/>
    <x v="38"/>
    <s v="GRSM 5"/>
    <x v="1"/>
    <s v="GMM"/>
    <n v="103222"/>
    <n v="106437"/>
    <x v="43"/>
    <x v="82"/>
    <s v="GORENG"/>
    <n v="2990"/>
    <n v="20"/>
    <n v="59800"/>
    <n v="160"/>
  </r>
  <r>
    <x v="11"/>
    <s v="AUG"/>
    <x v="38"/>
    <s v="GRSM 5"/>
    <x v="1"/>
    <s v="GMM"/>
    <n v="103222"/>
    <n v="106437"/>
    <x v="43"/>
    <x v="107"/>
    <s v="BOLOGNESE"/>
    <n v="2990"/>
    <n v="157"/>
    <n v="469430"/>
    <m/>
  </r>
  <r>
    <x v="11"/>
    <s v="AUG"/>
    <x v="38"/>
    <s v="GRSM 5"/>
    <x v="1"/>
    <s v="GMM"/>
    <n v="103222"/>
    <n v="106437"/>
    <x v="43"/>
    <x v="107"/>
    <s v="CARBONARA"/>
    <n v="2990"/>
    <n v="160"/>
    <n v="478400"/>
    <m/>
  </r>
  <r>
    <x v="11"/>
    <s v="AUG"/>
    <x v="38"/>
    <s v="GRSM 5"/>
    <x v="1"/>
    <s v="GMM"/>
    <n v="103222"/>
    <n v="106437"/>
    <x v="43"/>
    <x v="107"/>
    <s v="AGLIO OLIO"/>
    <n v="2990"/>
    <n v="0"/>
    <n v="0"/>
    <m/>
  </r>
  <r>
    <x v="11"/>
    <s v="AUG"/>
    <x v="38"/>
    <s v="GRSM 5"/>
    <x v="1"/>
    <s v="GMM"/>
    <n v="103222"/>
    <n v="106437"/>
    <x v="43"/>
    <x v="107"/>
    <s v="GORENG"/>
    <n v="2990"/>
    <n v="20"/>
    <n v="59800"/>
    <n v="160"/>
  </r>
  <r>
    <x v="11"/>
    <s v="AUG"/>
    <x v="38"/>
    <s v="GRSM 5"/>
    <x v="1"/>
    <s v="MT"/>
    <n v="166102"/>
    <n v="9000058"/>
    <x v="55"/>
    <x v="108"/>
    <s v="BOLOGNESE"/>
    <n v="3169"/>
    <n v="100"/>
    <n v="316900"/>
    <m/>
  </r>
  <r>
    <x v="11"/>
    <s v="AUG"/>
    <x v="38"/>
    <s v="GRSM 5"/>
    <x v="1"/>
    <s v="MT"/>
    <n v="166102"/>
    <n v="9000058"/>
    <x v="55"/>
    <x v="108"/>
    <s v="CARBONARA"/>
    <n v="3169"/>
    <n v="60"/>
    <n v="190140"/>
    <m/>
  </r>
  <r>
    <x v="11"/>
    <s v="AUG"/>
    <x v="38"/>
    <s v="GRSM 5"/>
    <x v="1"/>
    <s v="MT"/>
    <n v="166102"/>
    <n v="9000058"/>
    <x v="55"/>
    <x v="108"/>
    <s v="AGLIO OLIO"/>
    <n v="3169"/>
    <n v="0"/>
    <n v="0"/>
    <m/>
  </r>
  <r>
    <x v="11"/>
    <s v="AUG"/>
    <x v="38"/>
    <s v="GRSM 5"/>
    <x v="1"/>
    <s v="MT"/>
    <n v="166102"/>
    <n v="9000058"/>
    <x v="55"/>
    <x v="108"/>
    <s v="GORENG"/>
    <n v="3169"/>
    <n v="105"/>
    <n v="332745"/>
    <n v="160"/>
  </r>
  <r>
    <x v="11"/>
    <s v="AUG"/>
    <x v="38"/>
    <s v="GRSM 5"/>
    <x v="1"/>
    <s v="MT"/>
    <n v="166102"/>
    <n v="9000058"/>
    <x v="55"/>
    <x v="109"/>
    <s v="BOLOGNESE"/>
    <n v="3169"/>
    <n v="100"/>
    <n v="316900"/>
    <m/>
  </r>
  <r>
    <x v="11"/>
    <s v="AUG"/>
    <x v="38"/>
    <s v="GRSM 5"/>
    <x v="1"/>
    <s v="MT"/>
    <n v="166102"/>
    <n v="9000058"/>
    <x v="55"/>
    <x v="109"/>
    <s v="CARBONARA"/>
    <n v="3169"/>
    <n v="60"/>
    <n v="190140"/>
    <m/>
  </r>
  <r>
    <x v="11"/>
    <s v="AUG"/>
    <x v="38"/>
    <s v="GRSM 5"/>
    <x v="1"/>
    <s v="MT"/>
    <n v="166102"/>
    <n v="9000058"/>
    <x v="55"/>
    <x v="109"/>
    <s v="AGLIO OLIO"/>
    <n v="3169"/>
    <n v="0"/>
    <n v="0"/>
    <m/>
  </r>
  <r>
    <x v="11"/>
    <s v="AUG"/>
    <x v="38"/>
    <s v="GRSM 5"/>
    <x v="1"/>
    <s v="MT"/>
    <n v="166102"/>
    <n v="9000058"/>
    <x v="55"/>
    <x v="109"/>
    <s v="GORENG"/>
    <n v="3169"/>
    <n v="105"/>
    <n v="332745"/>
    <n v="160"/>
  </r>
  <r>
    <x v="11"/>
    <s v="AUG"/>
    <x v="38"/>
    <s v="GRSM 5"/>
    <x v="1"/>
    <s v="GMM"/>
    <n v="0"/>
    <n v="0"/>
    <x v="56"/>
    <x v="110"/>
    <s v="BOLOGNESE"/>
    <n v="3"/>
    <n v="21"/>
    <n v="63"/>
    <m/>
  </r>
  <r>
    <x v="11"/>
    <s v="AUG"/>
    <x v="38"/>
    <s v="GRSM 5"/>
    <x v="1"/>
    <s v="GMM"/>
    <n v="0"/>
    <n v="0"/>
    <x v="56"/>
    <x v="110"/>
    <s v="CARBONARA"/>
    <n v="3"/>
    <n v="30"/>
    <n v="90"/>
    <m/>
  </r>
  <r>
    <x v="11"/>
    <s v="AUG"/>
    <x v="38"/>
    <s v="GRSM 5"/>
    <x v="1"/>
    <s v="GMM"/>
    <n v="0"/>
    <n v="0"/>
    <x v="56"/>
    <x v="110"/>
    <s v="AGLIO OLIO"/>
    <n v="3"/>
    <n v="0"/>
    <n v="0"/>
    <m/>
  </r>
  <r>
    <x v="11"/>
    <s v="AUG"/>
    <x v="38"/>
    <s v="GRSM 5"/>
    <x v="1"/>
    <s v="GMM"/>
    <n v="0"/>
    <n v="0"/>
    <x v="56"/>
    <x v="110"/>
    <s v="GORENG"/>
    <n v="3"/>
    <n v="17"/>
    <n v="51"/>
    <n v="160"/>
  </r>
  <r>
    <x v="11"/>
    <s v="AUG"/>
    <x v="38"/>
    <s v="GRSM 5"/>
    <x v="1"/>
    <s v="GMM"/>
    <n v="0"/>
    <n v="0"/>
    <x v="56"/>
    <x v="111"/>
    <s v="BOLOGNESE"/>
    <n v="3"/>
    <n v="21"/>
    <n v="63"/>
    <m/>
  </r>
  <r>
    <x v="11"/>
    <s v="AUG"/>
    <x v="38"/>
    <s v="GRSM 5"/>
    <x v="1"/>
    <s v="GMM"/>
    <n v="0"/>
    <n v="0"/>
    <x v="56"/>
    <x v="111"/>
    <s v="CARBONARA"/>
    <n v="3"/>
    <n v="30"/>
    <n v="90"/>
    <m/>
  </r>
  <r>
    <x v="11"/>
    <s v="AUG"/>
    <x v="38"/>
    <s v="GRSM 5"/>
    <x v="1"/>
    <s v="GMM"/>
    <n v="0"/>
    <n v="0"/>
    <x v="56"/>
    <x v="111"/>
    <s v="AGLIO OLIO"/>
    <n v="3"/>
    <n v="0"/>
    <n v="0"/>
    <m/>
  </r>
  <r>
    <x v="11"/>
    <s v="AUG"/>
    <x v="38"/>
    <s v="GRSM 5"/>
    <x v="1"/>
    <s v="GMM"/>
    <n v="0"/>
    <n v="0"/>
    <x v="56"/>
    <x v="111"/>
    <s v="GORENG"/>
    <n v="3"/>
    <n v="17"/>
    <n v="51"/>
    <n v="160"/>
  </r>
  <r>
    <x v="11"/>
    <s v="AUG"/>
    <x v="39"/>
    <s v="GRSM 5"/>
    <x v="1"/>
    <s v="GMM"/>
    <n v="103274"/>
    <n v="1301399"/>
    <x v="41"/>
    <x v="78"/>
    <s v="BOLOGNESE"/>
    <n v="3092"/>
    <n v="120"/>
    <n v="371040"/>
    <m/>
  </r>
  <r>
    <x v="11"/>
    <s v="AUG"/>
    <x v="39"/>
    <s v="GRSM 5"/>
    <x v="1"/>
    <s v="GMM"/>
    <n v="103274"/>
    <n v="1301399"/>
    <x v="41"/>
    <x v="78"/>
    <s v="CARBONARA"/>
    <n v="3092"/>
    <n v="40"/>
    <n v="123680"/>
    <m/>
  </r>
  <r>
    <x v="11"/>
    <s v="AUG"/>
    <x v="39"/>
    <s v="GRSM 5"/>
    <x v="1"/>
    <s v="GMM"/>
    <n v="103274"/>
    <n v="1301399"/>
    <x v="41"/>
    <x v="78"/>
    <s v="AGLIO OLIO"/>
    <n v="3092"/>
    <n v="10"/>
    <n v="30920"/>
    <m/>
  </r>
  <r>
    <x v="11"/>
    <s v="AUG"/>
    <x v="39"/>
    <s v="GRSM 5"/>
    <x v="1"/>
    <s v="GMM"/>
    <n v="103274"/>
    <n v="1301399"/>
    <x v="41"/>
    <x v="78"/>
    <s v="GORENG"/>
    <n v="3092"/>
    <n v="200"/>
    <n v="618400"/>
    <n v="160"/>
  </r>
  <r>
    <x v="11"/>
    <s v="AUG"/>
    <x v="39"/>
    <s v="GRSM 5"/>
    <x v="1"/>
    <s v="GMM"/>
    <n v="103274"/>
    <n v="1301399"/>
    <x v="41"/>
    <x v="79"/>
    <s v="BOLOGNESE"/>
    <n v="3092"/>
    <n v="120"/>
    <n v="371040"/>
    <m/>
  </r>
  <r>
    <x v="11"/>
    <s v="AUG"/>
    <x v="39"/>
    <s v="GRSM 5"/>
    <x v="1"/>
    <s v="GMM"/>
    <n v="103274"/>
    <n v="1301399"/>
    <x v="41"/>
    <x v="79"/>
    <s v="CARBONARA"/>
    <n v="3092"/>
    <n v="40"/>
    <n v="123680"/>
    <m/>
  </r>
  <r>
    <x v="11"/>
    <s v="AUG"/>
    <x v="39"/>
    <s v="GRSM 5"/>
    <x v="1"/>
    <s v="GMM"/>
    <n v="103274"/>
    <n v="1301399"/>
    <x v="41"/>
    <x v="79"/>
    <s v="AGLIO OLIO"/>
    <n v="3092"/>
    <n v="10"/>
    <n v="30920"/>
    <m/>
  </r>
  <r>
    <x v="11"/>
    <s v="AUG"/>
    <x v="39"/>
    <s v="GRSM 5"/>
    <x v="1"/>
    <s v="GMM"/>
    <n v="103274"/>
    <n v="1301399"/>
    <x v="41"/>
    <x v="79"/>
    <s v="GORENG"/>
    <n v="3092"/>
    <n v="200"/>
    <n v="618400"/>
    <n v="160"/>
  </r>
  <r>
    <x v="11"/>
    <s v="AUG"/>
    <x v="39"/>
    <s v="GRSM 5"/>
    <x v="1"/>
    <s v="GMM"/>
    <n v="211050"/>
    <n v="2910733"/>
    <x v="52"/>
    <x v="80"/>
    <s v="BOLOGNESE"/>
    <n v="3000"/>
    <n v="204"/>
    <n v="612000"/>
    <m/>
  </r>
  <r>
    <x v="11"/>
    <s v="AUG"/>
    <x v="39"/>
    <s v="GRSM 5"/>
    <x v="1"/>
    <s v="GMM"/>
    <n v="211050"/>
    <n v="2910733"/>
    <x v="52"/>
    <x v="80"/>
    <s v="CARBONARA"/>
    <n v="3000"/>
    <n v="12"/>
    <n v="36000"/>
    <m/>
  </r>
  <r>
    <x v="11"/>
    <s v="AUG"/>
    <x v="39"/>
    <s v="GRSM 5"/>
    <x v="1"/>
    <s v="GMM"/>
    <n v="211050"/>
    <n v="2910733"/>
    <x v="52"/>
    <x v="80"/>
    <s v="AGLIO OLIO"/>
    <n v="3000"/>
    <n v="42"/>
    <n v="126000"/>
    <m/>
  </r>
  <r>
    <x v="11"/>
    <s v="AUG"/>
    <x v="39"/>
    <s v="GRSM 5"/>
    <x v="1"/>
    <s v="GMM"/>
    <n v="211050"/>
    <n v="2910733"/>
    <x v="52"/>
    <x v="80"/>
    <s v="GORENG"/>
    <n v="3000"/>
    <n v="228"/>
    <n v="684000"/>
    <n v="160"/>
  </r>
  <r>
    <x v="11"/>
    <s v="AUG"/>
    <x v="39"/>
    <s v="GRSM 5"/>
    <x v="1"/>
    <s v="GMM"/>
    <n v="211050"/>
    <n v="2910733"/>
    <x v="52"/>
    <x v="81"/>
    <s v="BOLOGNESE"/>
    <n v="3000"/>
    <n v="204"/>
    <n v="612000"/>
    <m/>
  </r>
  <r>
    <x v="11"/>
    <s v="AUG"/>
    <x v="39"/>
    <s v="GRSM 5"/>
    <x v="1"/>
    <s v="GMM"/>
    <n v="211050"/>
    <n v="2910733"/>
    <x v="52"/>
    <x v="81"/>
    <s v="CARBONARA"/>
    <n v="3000"/>
    <n v="12"/>
    <n v="36000"/>
    <m/>
  </r>
  <r>
    <x v="11"/>
    <s v="AUG"/>
    <x v="39"/>
    <s v="GRSM 5"/>
    <x v="1"/>
    <s v="GMM"/>
    <n v="211050"/>
    <n v="2910733"/>
    <x v="52"/>
    <x v="81"/>
    <s v="AGLIO OLIO"/>
    <n v="3000"/>
    <n v="42"/>
    <n v="126000"/>
    <m/>
  </r>
  <r>
    <x v="11"/>
    <s v="AUG"/>
    <x v="39"/>
    <s v="GRSM 5"/>
    <x v="1"/>
    <s v="GMM"/>
    <n v="211050"/>
    <n v="2910733"/>
    <x v="52"/>
    <x v="81"/>
    <s v="GORENG"/>
    <n v="3000"/>
    <n v="228"/>
    <n v="684000"/>
    <n v="160"/>
  </r>
  <r>
    <x v="11"/>
    <s v="AUG"/>
    <x v="39"/>
    <s v="GRSM 5"/>
    <x v="1"/>
    <s v="GMM"/>
    <n v="0"/>
    <n v="0"/>
    <x v="53"/>
    <x v="103"/>
    <s v="BOLOGNESE"/>
    <n v="3200"/>
    <n v="42"/>
    <n v="134400"/>
    <m/>
  </r>
  <r>
    <x v="11"/>
    <s v="AUG"/>
    <x v="39"/>
    <s v="GRSM 5"/>
    <x v="1"/>
    <s v="GMM"/>
    <n v="0"/>
    <n v="0"/>
    <x v="53"/>
    <x v="103"/>
    <s v="CARBONARA"/>
    <n v="3200"/>
    <n v="28"/>
    <n v="89600"/>
    <m/>
  </r>
  <r>
    <x v="11"/>
    <s v="AUG"/>
    <x v="39"/>
    <s v="GRSM 5"/>
    <x v="1"/>
    <s v="GMM"/>
    <n v="0"/>
    <n v="0"/>
    <x v="53"/>
    <x v="103"/>
    <s v="AGLIO OLIO"/>
    <n v="3200"/>
    <n v="32"/>
    <n v="102400"/>
    <m/>
  </r>
  <r>
    <x v="11"/>
    <s v="AUG"/>
    <x v="39"/>
    <s v="GRSM 5"/>
    <x v="1"/>
    <s v="GMM"/>
    <n v="0"/>
    <n v="0"/>
    <x v="53"/>
    <x v="103"/>
    <s v="GORENG"/>
    <n v="3200"/>
    <n v="96"/>
    <n v="307200"/>
    <n v="160"/>
  </r>
  <r>
    <x v="11"/>
    <s v="AUG"/>
    <x v="39"/>
    <s v="GRSM 5"/>
    <x v="1"/>
    <s v="GMM"/>
    <n v="0"/>
    <n v="0"/>
    <x v="53"/>
    <x v="104"/>
    <s v="BOLOGNESE"/>
    <n v="3200"/>
    <n v="42"/>
    <n v="134400"/>
    <m/>
  </r>
  <r>
    <x v="11"/>
    <s v="AUG"/>
    <x v="39"/>
    <s v="GRSM 5"/>
    <x v="1"/>
    <s v="GMM"/>
    <n v="0"/>
    <n v="0"/>
    <x v="53"/>
    <x v="104"/>
    <s v="CARBONARA"/>
    <n v="3200"/>
    <n v="28"/>
    <n v="89600"/>
    <m/>
  </r>
  <r>
    <x v="11"/>
    <s v="AUG"/>
    <x v="39"/>
    <s v="GRSM 5"/>
    <x v="1"/>
    <s v="GMM"/>
    <n v="0"/>
    <n v="0"/>
    <x v="53"/>
    <x v="104"/>
    <s v="AGLIO OLIO"/>
    <n v="3200"/>
    <n v="32"/>
    <n v="102400"/>
    <m/>
  </r>
  <r>
    <x v="11"/>
    <s v="AUG"/>
    <x v="39"/>
    <s v="GRSM 5"/>
    <x v="1"/>
    <s v="GMM"/>
    <n v="0"/>
    <n v="0"/>
    <x v="53"/>
    <x v="104"/>
    <s v="GORENG"/>
    <n v="3200"/>
    <n v="96"/>
    <n v="307200"/>
    <n v="160"/>
  </r>
  <r>
    <x v="11"/>
    <s v="AUG"/>
    <x v="39"/>
    <s v="GRSM 5"/>
    <x v="1"/>
    <s v="MT"/>
    <n v="166102"/>
    <n v="9000058"/>
    <x v="55"/>
    <x v="108"/>
    <s v="BOLOGNESE"/>
    <n v="3194"/>
    <n v="100"/>
    <n v="319400"/>
    <m/>
  </r>
  <r>
    <x v="11"/>
    <s v="AUG"/>
    <x v="39"/>
    <s v="GRSM 5"/>
    <x v="1"/>
    <s v="MT"/>
    <n v="166102"/>
    <n v="9000058"/>
    <x v="55"/>
    <x v="108"/>
    <s v="CARBONARA"/>
    <n v="3194"/>
    <n v="95"/>
    <n v="303430"/>
    <m/>
  </r>
  <r>
    <x v="11"/>
    <s v="AUG"/>
    <x v="39"/>
    <s v="GRSM 5"/>
    <x v="1"/>
    <s v="MT"/>
    <n v="166102"/>
    <n v="9000058"/>
    <x v="55"/>
    <x v="108"/>
    <s v="AGLIO OLIO"/>
    <n v="3194"/>
    <n v="0"/>
    <n v="0"/>
    <m/>
  </r>
  <r>
    <x v="11"/>
    <s v="AUG"/>
    <x v="39"/>
    <s v="GRSM 5"/>
    <x v="1"/>
    <s v="MT"/>
    <n v="166102"/>
    <n v="9000058"/>
    <x v="55"/>
    <x v="108"/>
    <s v="GORENG"/>
    <n v="3194"/>
    <n v="100"/>
    <n v="319400"/>
    <n v="160"/>
  </r>
  <r>
    <x v="11"/>
    <s v="AUG"/>
    <x v="39"/>
    <s v="GRSM 5"/>
    <x v="1"/>
    <s v="MT"/>
    <n v="166102"/>
    <n v="9000058"/>
    <x v="55"/>
    <x v="109"/>
    <s v="BOLOGNESE"/>
    <n v="3194"/>
    <n v="100"/>
    <n v="319400"/>
    <m/>
  </r>
  <r>
    <x v="11"/>
    <s v="AUG"/>
    <x v="39"/>
    <s v="GRSM 5"/>
    <x v="1"/>
    <s v="MT"/>
    <n v="166102"/>
    <n v="9000058"/>
    <x v="55"/>
    <x v="109"/>
    <s v="CARBONARA"/>
    <n v="3194"/>
    <n v="95"/>
    <n v="303430"/>
    <m/>
  </r>
  <r>
    <x v="11"/>
    <s v="AUG"/>
    <x v="39"/>
    <s v="GRSM 5"/>
    <x v="1"/>
    <s v="MT"/>
    <n v="166102"/>
    <n v="9000058"/>
    <x v="55"/>
    <x v="109"/>
    <s v="AGLIO OLIO"/>
    <n v="3194"/>
    <n v="0"/>
    <n v="0"/>
    <m/>
  </r>
  <r>
    <x v="11"/>
    <s v="AUG"/>
    <x v="39"/>
    <s v="GRSM 5"/>
    <x v="1"/>
    <s v="MT"/>
    <n v="166102"/>
    <n v="9000058"/>
    <x v="55"/>
    <x v="109"/>
    <s v="GORENG"/>
    <n v="3194"/>
    <n v="100"/>
    <n v="319400"/>
    <n v="160"/>
  </r>
  <r>
    <x v="11"/>
    <s v="AUG"/>
    <x v="39"/>
    <s v="GRSM 5"/>
    <x v="1"/>
    <s v="GMM"/>
    <n v="103222"/>
    <n v="106437"/>
    <x v="43"/>
    <x v="82"/>
    <s v="BOLOGNESE"/>
    <n v="2990"/>
    <n v="170"/>
    <n v="508300"/>
    <m/>
  </r>
  <r>
    <x v="11"/>
    <s v="AUG"/>
    <x v="39"/>
    <s v="GRSM 5"/>
    <x v="1"/>
    <s v="GMM"/>
    <n v="103222"/>
    <n v="106437"/>
    <x v="43"/>
    <x v="82"/>
    <s v="CARBONARA"/>
    <n v="2990"/>
    <n v="169"/>
    <n v="505310"/>
    <m/>
  </r>
  <r>
    <x v="11"/>
    <s v="AUG"/>
    <x v="39"/>
    <s v="GRSM 5"/>
    <x v="1"/>
    <s v="GMM"/>
    <n v="103222"/>
    <n v="106437"/>
    <x v="43"/>
    <x v="82"/>
    <s v="AGLIO OLIO"/>
    <n v="2990"/>
    <n v="0"/>
    <n v="0"/>
    <m/>
  </r>
  <r>
    <x v="11"/>
    <s v="AUG"/>
    <x v="39"/>
    <s v="GRSM 5"/>
    <x v="1"/>
    <s v="GMM"/>
    <n v="103222"/>
    <n v="106437"/>
    <x v="43"/>
    <x v="82"/>
    <s v="GORENG"/>
    <n v="2990"/>
    <n v="0"/>
    <n v="0"/>
    <n v="160"/>
  </r>
  <r>
    <x v="11"/>
    <s v="AUG"/>
    <x v="39"/>
    <s v="GRSM 5"/>
    <x v="1"/>
    <s v="GMM"/>
    <n v="103222"/>
    <n v="106437"/>
    <x v="43"/>
    <x v="83"/>
    <s v="BOLOGNESE"/>
    <n v="2990"/>
    <n v="170"/>
    <n v="508300"/>
    <m/>
  </r>
  <r>
    <x v="11"/>
    <s v="AUG"/>
    <x v="39"/>
    <s v="GRSM 5"/>
    <x v="1"/>
    <s v="GMM"/>
    <n v="103222"/>
    <n v="106437"/>
    <x v="43"/>
    <x v="83"/>
    <s v="CARBONARA"/>
    <n v="2990"/>
    <n v="169"/>
    <n v="505310"/>
    <m/>
  </r>
  <r>
    <x v="11"/>
    <s v="AUG"/>
    <x v="39"/>
    <s v="GRSM 5"/>
    <x v="1"/>
    <s v="GMM"/>
    <n v="103222"/>
    <n v="106437"/>
    <x v="43"/>
    <x v="83"/>
    <s v="AGLIO OLIO"/>
    <n v="2990"/>
    <n v="0"/>
    <n v="0"/>
    <m/>
  </r>
  <r>
    <x v="11"/>
    <s v="AUG"/>
    <x v="39"/>
    <s v="GRSM 5"/>
    <x v="1"/>
    <s v="GMM"/>
    <n v="103222"/>
    <n v="106437"/>
    <x v="43"/>
    <x v="83"/>
    <s v="GORENG"/>
    <n v="2990"/>
    <n v="0"/>
    <n v="0"/>
    <n v="160"/>
  </r>
  <r>
    <x v="11"/>
    <s v="AUG"/>
    <x v="39"/>
    <s v="GRSM 5"/>
    <x v="1"/>
    <s v="GMM"/>
    <n v="211051"/>
    <n v="5580008"/>
    <x v="40"/>
    <x v="77"/>
    <s v="BOLOGNESE"/>
    <n v="2981"/>
    <n v="114"/>
    <n v="339834"/>
    <m/>
  </r>
  <r>
    <x v="11"/>
    <s v="AUG"/>
    <x v="39"/>
    <s v="GRSM 5"/>
    <x v="1"/>
    <s v="GMM"/>
    <n v="211051"/>
    <n v="5580008"/>
    <x v="40"/>
    <x v="77"/>
    <s v="CARBONARA"/>
    <n v="2981"/>
    <n v="112"/>
    <n v="333872"/>
    <m/>
  </r>
  <r>
    <x v="11"/>
    <s v="AUG"/>
    <x v="39"/>
    <s v="GRSM 5"/>
    <x v="1"/>
    <s v="GMM"/>
    <n v="211051"/>
    <n v="5580008"/>
    <x v="40"/>
    <x v="77"/>
    <s v="AGLIO OLIO"/>
    <n v="2981"/>
    <n v="84"/>
    <n v="250404"/>
    <m/>
  </r>
  <r>
    <x v="11"/>
    <s v="AUG"/>
    <x v="39"/>
    <s v="GRSM 5"/>
    <x v="1"/>
    <s v="GMM"/>
    <n v="211051"/>
    <n v="5580008"/>
    <x v="40"/>
    <x v="77"/>
    <s v="GORENG"/>
    <n v="2981"/>
    <n v="228"/>
    <n v="679668"/>
    <n v="160"/>
  </r>
  <r>
    <x v="11"/>
    <s v="AUG"/>
    <x v="39"/>
    <s v="GRSM 5"/>
    <x v="1"/>
    <s v="GMM"/>
    <n v="211051"/>
    <n v="5580008"/>
    <x v="40"/>
    <x v="76"/>
    <s v="BOLOGNESE"/>
    <n v="2981"/>
    <n v="114"/>
    <n v="339834"/>
    <m/>
  </r>
  <r>
    <x v="11"/>
    <s v="AUG"/>
    <x v="39"/>
    <s v="GRSM 5"/>
    <x v="1"/>
    <s v="GMM"/>
    <n v="211051"/>
    <n v="5580008"/>
    <x v="40"/>
    <x v="76"/>
    <s v="CARBONARA"/>
    <n v="2981"/>
    <n v="112"/>
    <n v="333872"/>
    <m/>
  </r>
  <r>
    <x v="11"/>
    <s v="AUG"/>
    <x v="39"/>
    <s v="GRSM 5"/>
    <x v="1"/>
    <s v="GMM"/>
    <n v="211051"/>
    <n v="5580008"/>
    <x v="40"/>
    <x v="76"/>
    <s v="AGLIO OLIO"/>
    <n v="2981"/>
    <n v="84"/>
    <n v="250404"/>
    <m/>
  </r>
  <r>
    <x v="11"/>
    <s v="AUG"/>
    <x v="39"/>
    <s v="GRSM 5"/>
    <x v="1"/>
    <s v="GMM"/>
    <n v="211051"/>
    <n v="5580008"/>
    <x v="40"/>
    <x v="76"/>
    <s v="GORENG"/>
    <n v="2981"/>
    <n v="228"/>
    <n v="679668"/>
    <n v="160"/>
  </r>
  <r>
    <x v="11"/>
    <s v="AUG"/>
    <x v="39"/>
    <s v="GRSM 5"/>
    <x v="1"/>
    <s v="GMM"/>
    <n v="0"/>
    <n v="0"/>
    <x v="56"/>
    <x v="110"/>
    <s v="BOLOGNESE"/>
    <n v="3919"/>
    <n v="60"/>
    <n v="235140"/>
    <m/>
  </r>
  <r>
    <x v="11"/>
    <s v="AUG"/>
    <x v="39"/>
    <s v="GRSM 5"/>
    <x v="1"/>
    <s v="GMM"/>
    <n v="0"/>
    <n v="0"/>
    <x v="56"/>
    <x v="110"/>
    <s v="CARBONARA"/>
    <n v="3919"/>
    <n v="60"/>
    <n v="235140"/>
    <m/>
  </r>
  <r>
    <x v="11"/>
    <s v="AUG"/>
    <x v="39"/>
    <s v="GRSM 5"/>
    <x v="1"/>
    <s v="GMM"/>
    <n v="0"/>
    <n v="0"/>
    <x v="56"/>
    <x v="110"/>
    <s v="AGLIO OLIO"/>
    <n v="3919"/>
    <n v="0"/>
    <n v="0"/>
    <m/>
  </r>
  <r>
    <x v="11"/>
    <s v="AUG"/>
    <x v="39"/>
    <s v="GRSM 5"/>
    <x v="1"/>
    <s v="GMM"/>
    <n v="0"/>
    <n v="0"/>
    <x v="56"/>
    <x v="110"/>
    <s v="GORENG"/>
    <n v="3919"/>
    <n v="90"/>
    <n v="352710"/>
    <n v="160"/>
  </r>
  <r>
    <x v="11"/>
    <s v="AUG"/>
    <x v="39"/>
    <s v="GRSM 5"/>
    <x v="1"/>
    <s v="GMM"/>
    <n v="0"/>
    <n v="0"/>
    <x v="56"/>
    <x v="111"/>
    <s v="BOLOGNESE"/>
    <n v="3919"/>
    <n v="60"/>
    <n v="235140"/>
    <m/>
  </r>
  <r>
    <x v="11"/>
    <s v="AUG"/>
    <x v="39"/>
    <s v="GRSM 5"/>
    <x v="1"/>
    <s v="GMM"/>
    <n v="0"/>
    <n v="0"/>
    <x v="56"/>
    <x v="111"/>
    <s v="CARBONARA"/>
    <n v="3919"/>
    <n v="60"/>
    <n v="235140"/>
    <m/>
  </r>
  <r>
    <x v="11"/>
    <s v="AUG"/>
    <x v="39"/>
    <s v="GRSM 5"/>
    <x v="1"/>
    <s v="GMM"/>
    <n v="0"/>
    <n v="0"/>
    <x v="56"/>
    <x v="111"/>
    <s v="AGLIO OLIO"/>
    <n v="3919"/>
    <n v="0"/>
    <n v="0"/>
    <m/>
  </r>
  <r>
    <x v="11"/>
    <s v="AUG"/>
    <x v="39"/>
    <s v="GRSM 5"/>
    <x v="1"/>
    <s v="GMM"/>
    <n v="0"/>
    <n v="0"/>
    <x v="56"/>
    <x v="111"/>
    <s v="GORENG"/>
    <n v="3919"/>
    <n v="90"/>
    <n v="352710"/>
    <n v="160"/>
  </r>
  <r>
    <x v="11"/>
    <s v="AUG"/>
    <x v="39"/>
    <s v="GRSM 5"/>
    <x v="1"/>
    <s v="GMM"/>
    <n v="211009"/>
    <n v="2100003"/>
    <x v="54"/>
    <x v="105"/>
    <s v="BOLOGNESE"/>
    <n v="2900"/>
    <n v="72"/>
    <n v="208800"/>
    <m/>
  </r>
  <r>
    <x v="11"/>
    <s v="AUG"/>
    <x v="39"/>
    <s v="GRSM 5"/>
    <x v="1"/>
    <s v="GMM"/>
    <n v="211009"/>
    <n v="2100003"/>
    <x v="54"/>
    <x v="105"/>
    <s v="CARBONARA"/>
    <n v="2900"/>
    <n v="94"/>
    <n v="272600"/>
    <m/>
  </r>
  <r>
    <x v="11"/>
    <s v="AUG"/>
    <x v="39"/>
    <s v="GRSM 5"/>
    <x v="1"/>
    <s v="GMM"/>
    <n v="211009"/>
    <n v="2100003"/>
    <x v="54"/>
    <x v="105"/>
    <s v="AGLIO OLIO"/>
    <n v="2900"/>
    <n v="64"/>
    <n v="185600"/>
    <m/>
  </r>
  <r>
    <x v="11"/>
    <s v="AUG"/>
    <x v="39"/>
    <s v="GRSM 5"/>
    <x v="1"/>
    <s v="GMM"/>
    <n v="211009"/>
    <n v="2100003"/>
    <x v="54"/>
    <x v="105"/>
    <s v="GORENG"/>
    <n v="2900"/>
    <n v="242"/>
    <n v="701800"/>
    <n v="160"/>
  </r>
  <r>
    <x v="11"/>
    <s v="AUG"/>
    <x v="39"/>
    <s v="GRSM 5"/>
    <x v="1"/>
    <s v="GMM"/>
    <n v="211009"/>
    <n v="2100003"/>
    <x v="54"/>
    <x v="106"/>
    <s v="BOLOGNESE"/>
    <n v="2900"/>
    <n v="72"/>
    <n v="208800"/>
    <m/>
  </r>
  <r>
    <x v="11"/>
    <s v="AUG"/>
    <x v="39"/>
    <s v="GRSM 5"/>
    <x v="1"/>
    <s v="GMM"/>
    <n v="211009"/>
    <n v="2100003"/>
    <x v="54"/>
    <x v="106"/>
    <s v="CARBONARA"/>
    <n v="2900"/>
    <n v="94"/>
    <n v="272600"/>
    <m/>
  </r>
  <r>
    <x v="11"/>
    <s v="AUG"/>
    <x v="39"/>
    <s v="GRSM 5"/>
    <x v="1"/>
    <s v="GMM"/>
    <n v="211009"/>
    <n v="2100003"/>
    <x v="54"/>
    <x v="106"/>
    <s v="AGLIO OLIO"/>
    <n v="2900"/>
    <n v="64"/>
    <n v="185600"/>
    <m/>
  </r>
  <r>
    <x v="11"/>
    <s v="AUG"/>
    <x v="39"/>
    <s v="GRSM 5"/>
    <x v="1"/>
    <s v="GMM"/>
    <n v="211009"/>
    <n v="2100003"/>
    <x v="54"/>
    <x v="106"/>
    <s v="GORENG"/>
    <n v="2900"/>
    <n v="242"/>
    <n v="701800"/>
    <n v="160"/>
  </r>
  <r>
    <x v="11"/>
    <s v="AUG"/>
    <x v="40"/>
    <s v="GRSM 5"/>
    <x v="1"/>
    <s v="GMM"/>
    <n v="211051"/>
    <n v="5580008"/>
    <x v="40"/>
    <x v="77"/>
    <s v="BOLOGNESE"/>
    <n v="2995"/>
    <n v="94"/>
    <n v="281530"/>
    <m/>
  </r>
  <r>
    <x v="11"/>
    <s v="AUG"/>
    <x v="40"/>
    <s v="GRSM 5"/>
    <x v="1"/>
    <s v="GMM"/>
    <n v="211051"/>
    <n v="5580008"/>
    <x v="40"/>
    <x v="77"/>
    <s v="CARBONARA"/>
    <n v="2995"/>
    <n v="112"/>
    <n v="335440"/>
    <m/>
  </r>
  <r>
    <x v="11"/>
    <s v="AUG"/>
    <x v="40"/>
    <s v="GRSM 5"/>
    <x v="1"/>
    <s v="GMM"/>
    <n v="211051"/>
    <n v="5580008"/>
    <x v="40"/>
    <x v="77"/>
    <s v="AGLIO OLIO"/>
    <n v="2995"/>
    <n v="80"/>
    <n v="239600"/>
    <m/>
  </r>
  <r>
    <x v="11"/>
    <s v="AUG"/>
    <x v="40"/>
    <s v="GRSM 5"/>
    <x v="1"/>
    <s v="GMM"/>
    <n v="211051"/>
    <n v="5580008"/>
    <x v="40"/>
    <x v="77"/>
    <s v="GORENG"/>
    <n v="2995"/>
    <n v="286"/>
    <n v="856570"/>
    <n v="160"/>
  </r>
  <r>
    <x v="11"/>
    <s v="AUG"/>
    <x v="40"/>
    <s v="GRSM 5"/>
    <x v="1"/>
    <s v="GMM"/>
    <n v="211051"/>
    <n v="5580008"/>
    <x v="40"/>
    <x v="76"/>
    <s v="BOLOGNESE"/>
    <n v="2995"/>
    <n v="94"/>
    <n v="281530"/>
    <m/>
  </r>
  <r>
    <x v="11"/>
    <s v="AUG"/>
    <x v="40"/>
    <s v="GRSM 5"/>
    <x v="1"/>
    <s v="GMM"/>
    <n v="211051"/>
    <n v="5580008"/>
    <x v="40"/>
    <x v="76"/>
    <s v="CARBONARA"/>
    <n v="2995"/>
    <n v="112"/>
    <n v="335440"/>
    <m/>
  </r>
  <r>
    <x v="11"/>
    <s v="AUG"/>
    <x v="40"/>
    <s v="GRSM 5"/>
    <x v="1"/>
    <s v="GMM"/>
    <n v="211051"/>
    <n v="5580008"/>
    <x v="40"/>
    <x v="76"/>
    <s v="AGLIO OLIO"/>
    <n v="2995"/>
    <n v="80"/>
    <n v="239600"/>
    <m/>
  </r>
  <r>
    <x v="11"/>
    <s v="AUG"/>
    <x v="40"/>
    <s v="GRSM 5"/>
    <x v="1"/>
    <s v="GMM"/>
    <n v="211051"/>
    <n v="5580008"/>
    <x v="40"/>
    <x v="76"/>
    <s v="GORENG"/>
    <n v="2995"/>
    <n v="286"/>
    <n v="856570"/>
    <n v="160"/>
  </r>
  <r>
    <x v="11"/>
    <s v="AUG"/>
    <x v="40"/>
    <s v="GRSM 5"/>
    <x v="1"/>
    <s v="GMM"/>
    <n v="103274"/>
    <n v="1301399"/>
    <x v="41"/>
    <x v="78"/>
    <s v="BOLOGNESE"/>
    <n v="3083"/>
    <n v="80"/>
    <n v="246640"/>
    <m/>
  </r>
  <r>
    <x v="11"/>
    <s v="AUG"/>
    <x v="40"/>
    <s v="GRSM 5"/>
    <x v="1"/>
    <s v="GMM"/>
    <n v="103274"/>
    <n v="1301399"/>
    <x v="41"/>
    <x v="78"/>
    <s v="CARBONARA"/>
    <n v="3083"/>
    <n v="80"/>
    <n v="246640"/>
    <m/>
  </r>
  <r>
    <x v="11"/>
    <s v="AUG"/>
    <x v="40"/>
    <s v="GRSM 5"/>
    <x v="1"/>
    <s v="GMM"/>
    <n v="103274"/>
    <n v="1301399"/>
    <x v="41"/>
    <x v="78"/>
    <s v="AGLIO OLIO"/>
    <n v="3083"/>
    <n v="4"/>
    <n v="12332"/>
    <m/>
  </r>
  <r>
    <x v="11"/>
    <s v="AUG"/>
    <x v="40"/>
    <s v="GRSM 5"/>
    <x v="1"/>
    <s v="GMM"/>
    <n v="103274"/>
    <n v="1301399"/>
    <x v="41"/>
    <x v="78"/>
    <s v="GORENG"/>
    <n v="3083"/>
    <n v="220"/>
    <n v="678260"/>
    <n v="160"/>
  </r>
  <r>
    <x v="11"/>
    <s v="AUG"/>
    <x v="40"/>
    <s v="GRSM 5"/>
    <x v="1"/>
    <s v="GMM"/>
    <n v="103274"/>
    <n v="1301399"/>
    <x v="41"/>
    <x v="79"/>
    <s v="BOLOGNESE"/>
    <n v="3083"/>
    <n v="80"/>
    <n v="246640"/>
    <m/>
  </r>
  <r>
    <x v="11"/>
    <s v="AUG"/>
    <x v="40"/>
    <s v="GRSM 5"/>
    <x v="1"/>
    <s v="GMM"/>
    <n v="103274"/>
    <n v="1301399"/>
    <x v="41"/>
    <x v="79"/>
    <s v="CARBONARA"/>
    <n v="3083"/>
    <n v="80"/>
    <n v="246640"/>
    <m/>
  </r>
  <r>
    <x v="11"/>
    <s v="AUG"/>
    <x v="40"/>
    <s v="GRSM 5"/>
    <x v="1"/>
    <s v="GMM"/>
    <n v="103274"/>
    <n v="1301399"/>
    <x v="41"/>
    <x v="79"/>
    <s v="AGLIO OLIO"/>
    <n v="3083"/>
    <n v="4"/>
    <n v="12332"/>
    <m/>
  </r>
  <r>
    <x v="11"/>
    <s v="AUG"/>
    <x v="40"/>
    <s v="GRSM 5"/>
    <x v="1"/>
    <s v="GMM"/>
    <n v="103274"/>
    <n v="1301399"/>
    <x v="41"/>
    <x v="79"/>
    <s v="GORENG"/>
    <n v="3083"/>
    <n v="220"/>
    <n v="678260"/>
    <n v="160"/>
  </r>
  <r>
    <x v="11"/>
    <s v="AUG"/>
    <x v="40"/>
    <s v="GRSM 5"/>
    <x v="1"/>
    <s v="GMM"/>
    <n v="211050"/>
    <n v="2910733"/>
    <x v="52"/>
    <x v="80"/>
    <s v="BOLOGNESE"/>
    <n v="3000"/>
    <n v="354"/>
    <n v="1062000"/>
    <m/>
  </r>
  <r>
    <x v="11"/>
    <s v="AUG"/>
    <x v="40"/>
    <s v="GRSM 5"/>
    <x v="1"/>
    <s v="GMM"/>
    <n v="211050"/>
    <n v="2910733"/>
    <x v="52"/>
    <x v="80"/>
    <s v="CARBONARA"/>
    <n v="3000"/>
    <n v="36"/>
    <n v="108000"/>
    <m/>
  </r>
  <r>
    <x v="11"/>
    <s v="AUG"/>
    <x v="40"/>
    <s v="GRSM 5"/>
    <x v="1"/>
    <s v="GMM"/>
    <n v="211050"/>
    <n v="2910733"/>
    <x v="52"/>
    <x v="80"/>
    <s v="AGLIO OLIO"/>
    <n v="3000"/>
    <n v="237"/>
    <n v="711000"/>
    <m/>
  </r>
  <r>
    <x v="11"/>
    <s v="AUG"/>
    <x v="40"/>
    <s v="GRSM 5"/>
    <x v="1"/>
    <s v="GMM"/>
    <n v="211050"/>
    <n v="2910733"/>
    <x v="52"/>
    <x v="80"/>
    <s v="GORENG"/>
    <n v="3000"/>
    <n v="366"/>
    <n v="1098000"/>
    <n v="160"/>
  </r>
  <r>
    <x v="11"/>
    <s v="AUG"/>
    <x v="40"/>
    <s v="GRSM 5"/>
    <x v="1"/>
    <s v="GMM"/>
    <n v="211050"/>
    <n v="2910733"/>
    <x v="52"/>
    <x v="81"/>
    <s v="BOLOGNESE"/>
    <n v="3000"/>
    <n v="354"/>
    <n v="1062000"/>
    <m/>
  </r>
  <r>
    <x v="11"/>
    <s v="AUG"/>
    <x v="40"/>
    <s v="GRSM 5"/>
    <x v="1"/>
    <s v="GMM"/>
    <n v="211050"/>
    <n v="2910733"/>
    <x v="52"/>
    <x v="81"/>
    <s v="CARBONARA"/>
    <n v="3000"/>
    <n v="36"/>
    <n v="108000"/>
    <m/>
  </r>
  <r>
    <x v="11"/>
    <s v="AUG"/>
    <x v="40"/>
    <s v="GRSM 5"/>
    <x v="1"/>
    <s v="GMM"/>
    <n v="211050"/>
    <n v="2910733"/>
    <x v="52"/>
    <x v="81"/>
    <s v="AGLIO OLIO"/>
    <n v="3000"/>
    <n v="237"/>
    <n v="711000"/>
    <m/>
  </r>
  <r>
    <x v="11"/>
    <s v="AUG"/>
    <x v="40"/>
    <s v="GRSM 5"/>
    <x v="1"/>
    <s v="GMM"/>
    <n v="211050"/>
    <n v="2910733"/>
    <x v="52"/>
    <x v="81"/>
    <s v="GORENG"/>
    <n v="3000"/>
    <n v="366"/>
    <n v="1098000"/>
    <n v="160"/>
  </r>
  <r>
    <x v="11"/>
    <s v="AUG"/>
    <x v="40"/>
    <s v="GRSM 5"/>
    <x v="1"/>
    <s v="GMM"/>
    <n v="0"/>
    <n v="0"/>
    <x v="53"/>
    <x v="103"/>
    <s v="BOLOGNESE"/>
    <n v="3200"/>
    <n v="46"/>
    <n v="147200"/>
    <m/>
  </r>
  <r>
    <x v="11"/>
    <s v="AUG"/>
    <x v="40"/>
    <s v="GRSM 5"/>
    <x v="1"/>
    <s v="GMM"/>
    <n v="0"/>
    <n v="0"/>
    <x v="53"/>
    <x v="103"/>
    <s v="CARBONARA"/>
    <n v="3200"/>
    <n v="39"/>
    <n v="124800"/>
    <m/>
  </r>
  <r>
    <x v="11"/>
    <s v="AUG"/>
    <x v="40"/>
    <s v="GRSM 5"/>
    <x v="1"/>
    <s v="GMM"/>
    <n v="0"/>
    <n v="0"/>
    <x v="53"/>
    <x v="103"/>
    <s v="AGLIO OLIO"/>
    <n v="3200"/>
    <n v="43"/>
    <n v="137600"/>
    <m/>
  </r>
  <r>
    <x v="11"/>
    <s v="AUG"/>
    <x v="40"/>
    <s v="GRSM 5"/>
    <x v="1"/>
    <s v="GMM"/>
    <n v="0"/>
    <n v="0"/>
    <x v="53"/>
    <x v="103"/>
    <s v="GORENG"/>
    <n v="3200"/>
    <n v="98"/>
    <n v="313600"/>
    <n v="160"/>
  </r>
  <r>
    <x v="11"/>
    <s v="AUG"/>
    <x v="40"/>
    <s v="GRSM 5"/>
    <x v="1"/>
    <s v="GMM"/>
    <n v="0"/>
    <n v="0"/>
    <x v="53"/>
    <x v="104"/>
    <s v="BOLOGNESE"/>
    <n v="3200"/>
    <n v="46"/>
    <n v="147200"/>
    <m/>
  </r>
  <r>
    <x v="11"/>
    <s v="AUG"/>
    <x v="40"/>
    <s v="GRSM 5"/>
    <x v="1"/>
    <s v="GMM"/>
    <n v="0"/>
    <n v="0"/>
    <x v="53"/>
    <x v="104"/>
    <s v="CARBONARA"/>
    <n v="3200"/>
    <n v="39"/>
    <n v="124800"/>
    <m/>
  </r>
  <r>
    <x v="11"/>
    <s v="AUG"/>
    <x v="40"/>
    <s v="GRSM 5"/>
    <x v="1"/>
    <s v="GMM"/>
    <n v="0"/>
    <n v="0"/>
    <x v="53"/>
    <x v="104"/>
    <s v="AGLIO OLIO"/>
    <n v="3200"/>
    <n v="43"/>
    <n v="137600"/>
    <m/>
  </r>
  <r>
    <x v="11"/>
    <s v="AUG"/>
    <x v="40"/>
    <s v="GRSM 5"/>
    <x v="1"/>
    <s v="GMM"/>
    <n v="0"/>
    <n v="0"/>
    <x v="53"/>
    <x v="104"/>
    <s v="GORENG"/>
    <n v="3200"/>
    <n v="98"/>
    <n v="313600"/>
    <n v="160"/>
  </r>
  <r>
    <x v="11"/>
    <s v="AUG"/>
    <x v="40"/>
    <s v="GRSM 5"/>
    <x v="1"/>
    <s v="GMM"/>
    <n v="0"/>
    <n v="0"/>
    <x v="56"/>
    <x v="110"/>
    <s v="BOLOGNESE"/>
    <n v="3745"/>
    <n v="57"/>
    <n v="213465"/>
    <m/>
  </r>
  <r>
    <x v="11"/>
    <s v="AUG"/>
    <x v="40"/>
    <s v="GRSM 5"/>
    <x v="1"/>
    <s v="GMM"/>
    <n v="0"/>
    <n v="0"/>
    <x v="56"/>
    <x v="110"/>
    <s v="CARBONARA"/>
    <n v="3745"/>
    <n v="75"/>
    <n v="280875"/>
    <m/>
  </r>
  <r>
    <x v="11"/>
    <s v="AUG"/>
    <x v="40"/>
    <s v="GRSM 5"/>
    <x v="1"/>
    <s v="GMM"/>
    <n v="0"/>
    <n v="0"/>
    <x v="56"/>
    <x v="110"/>
    <s v="AGLIO OLIO"/>
    <n v="3745"/>
    <n v="0"/>
    <n v="0"/>
    <m/>
  </r>
  <r>
    <x v="11"/>
    <s v="AUG"/>
    <x v="40"/>
    <s v="GRSM 5"/>
    <x v="1"/>
    <s v="GMM"/>
    <n v="0"/>
    <n v="0"/>
    <x v="56"/>
    <x v="110"/>
    <s v="GORENG"/>
    <n v="3745"/>
    <n v="105"/>
    <n v="393225"/>
    <n v="160"/>
  </r>
  <r>
    <x v="11"/>
    <s v="AUG"/>
    <x v="40"/>
    <s v="GRSM 5"/>
    <x v="1"/>
    <s v="GMM"/>
    <n v="0"/>
    <n v="0"/>
    <x v="56"/>
    <x v="111"/>
    <s v="BOLOGNESE"/>
    <n v="3745"/>
    <n v="57"/>
    <n v="213465"/>
    <m/>
  </r>
  <r>
    <x v="11"/>
    <s v="AUG"/>
    <x v="40"/>
    <s v="GRSM 5"/>
    <x v="1"/>
    <s v="GMM"/>
    <n v="0"/>
    <n v="0"/>
    <x v="56"/>
    <x v="111"/>
    <s v="CARBONARA"/>
    <n v="3745"/>
    <n v="75"/>
    <n v="280875"/>
    <m/>
  </r>
  <r>
    <x v="11"/>
    <s v="AUG"/>
    <x v="40"/>
    <s v="GRSM 5"/>
    <x v="1"/>
    <s v="GMM"/>
    <n v="0"/>
    <n v="0"/>
    <x v="56"/>
    <x v="111"/>
    <s v="AGLIO OLIO"/>
    <n v="3745"/>
    <n v="0"/>
    <n v="0"/>
    <m/>
  </r>
  <r>
    <x v="11"/>
    <s v="AUG"/>
    <x v="40"/>
    <s v="GRSM 5"/>
    <x v="1"/>
    <s v="GMM"/>
    <n v="0"/>
    <n v="0"/>
    <x v="56"/>
    <x v="111"/>
    <s v="GORENG"/>
    <n v="3745"/>
    <n v="105"/>
    <n v="393225"/>
    <n v="160"/>
  </r>
  <r>
    <x v="11"/>
    <s v="AUG"/>
    <x v="40"/>
    <s v="GRSM 5"/>
    <x v="1"/>
    <s v="GMM"/>
    <n v="103222"/>
    <n v="106437"/>
    <x v="43"/>
    <x v="82"/>
    <s v="BOLOGNESE"/>
    <n v="2990"/>
    <n v="250"/>
    <n v="747500"/>
    <m/>
  </r>
  <r>
    <x v="11"/>
    <s v="AUG"/>
    <x v="40"/>
    <s v="GRSM 5"/>
    <x v="1"/>
    <s v="GMM"/>
    <n v="103222"/>
    <n v="106437"/>
    <x v="43"/>
    <x v="82"/>
    <s v="CARBONARA"/>
    <n v="2990"/>
    <n v="90"/>
    <n v="269100"/>
    <m/>
  </r>
  <r>
    <x v="11"/>
    <s v="AUG"/>
    <x v="40"/>
    <s v="GRSM 5"/>
    <x v="1"/>
    <s v="GMM"/>
    <n v="103222"/>
    <n v="106437"/>
    <x v="43"/>
    <x v="82"/>
    <s v="AGLIO OLIO"/>
    <n v="2990"/>
    <n v="0"/>
    <n v="0"/>
    <m/>
  </r>
  <r>
    <x v="11"/>
    <s v="AUG"/>
    <x v="40"/>
    <s v="GRSM 5"/>
    <x v="1"/>
    <s v="GMM"/>
    <n v="103222"/>
    <n v="106437"/>
    <x v="43"/>
    <x v="82"/>
    <s v="GORENG"/>
    <n v="2990"/>
    <n v="0"/>
    <n v="0"/>
    <n v="160"/>
  </r>
  <r>
    <x v="11"/>
    <s v="AUG"/>
    <x v="40"/>
    <s v="GRSM 5"/>
    <x v="1"/>
    <s v="GMM"/>
    <n v="103222"/>
    <n v="106437"/>
    <x v="43"/>
    <x v="83"/>
    <s v="BOLOGNESE"/>
    <n v="2990"/>
    <n v="250"/>
    <n v="747500"/>
    <m/>
  </r>
  <r>
    <x v="11"/>
    <s v="AUG"/>
    <x v="40"/>
    <s v="GRSM 5"/>
    <x v="1"/>
    <s v="GMM"/>
    <n v="103222"/>
    <n v="106437"/>
    <x v="43"/>
    <x v="83"/>
    <s v="CARBONARA"/>
    <n v="2990"/>
    <n v="90"/>
    <n v="269100"/>
    <m/>
  </r>
  <r>
    <x v="11"/>
    <s v="AUG"/>
    <x v="40"/>
    <s v="GRSM 5"/>
    <x v="1"/>
    <s v="GMM"/>
    <n v="103222"/>
    <n v="106437"/>
    <x v="43"/>
    <x v="83"/>
    <s v="AGLIO OLIO"/>
    <n v="2990"/>
    <n v="0"/>
    <n v="0"/>
    <m/>
  </r>
  <r>
    <x v="11"/>
    <s v="AUG"/>
    <x v="40"/>
    <s v="GRSM 5"/>
    <x v="1"/>
    <s v="GMM"/>
    <n v="103222"/>
    <n v="106437"/>
    <x v="43"/>
    <x v="83"/>
    <s v="GORENG"/>
    <n v="2990"/>
    <n v="0"/>
    <n v="0"/>
    <n v="160"/>
  </r>
  <r>
    <x v="11"/>
    <s v="AUG"/>
    <x v="40"/>
    <s v="GRSM 5"/>
    <x v="1"/>
    <s v="MT"/>
    <n v="166102"/>
    <n v="9000058"/>
    <x v="55"/>
    <x v="108"/>
    <s v="BOLOGNESE"/>
    <n v="3000"/>
    <n v="10"/>
    <n v="30000"/>
    <m/>
  </r>
  <r>
    <x v="11"/>
    <s v="AUG"/>
    <x v="40"/>
    <s v="GRSM 5"/>
    <x v="1"/>
    <s v="MT"/>
    <n v="166102"/>
    <n v="9000058"/>
    <x v="55"/>
    <x v="108"/>
    <s v="CARBONARA"/>
    <n v="3000"/>
    <n v="95"/>
    <n v="285000"/>
    <m/>
  </r>
  <r>
    <x v="11"/>
    <s v="AUG"/>
    <x v="40"/>
    <s v="GRSM 5"/>
    <x v="1"/>
    <s v="MT"/>
    <n v="166102"/>
    <n v="9000058"/>
    <x v="55"/>
    <x v="108"/>
    <s v="AGLIO OLIO"/>
    <n v="3000"/>
    <n v="0"/>
    <n v="0"/>
    <m/>
  </r>
  <r>
    <x v="11"/>
    <s v="AUG"/>
    <x v="40"/>
    <s v="GRSM 5"/>
    <x v="1"/>
    <s v="MT"/>
    <n v="166102"/>
    <n v="9000058"/>
    <x v="55"/>
    <x v="108"/>
    <s v="GORENG"/>
    <n v="3000"/>
    <n v="10"/>
    <n v="30000"/>
    <n v="160"/>
  </r>
  <r>
    <x v="11"/>
    <s v="AUG"/>
    <x v="40"/>
    <s v="GRSM 5"/>
    <x v="1"/>
    <s v="MT"/>
    <n v="166102"/>
    <n v="9000058"/>
    <x v="55"/>
    <x v="109"/>
    <s v="BOLOGNESE"/>
    <n v="3000"/>
    <n v="10"/>
    <n v="30000"/>
    <m/>
  </r>
  <r>
    <x v="11"/>
    <s v="AUG"/>
    <x v="40"/>
    <s v="GRSM 5"/>
    <x v="1"/>
    <s v="MT"/>
    <n v="166102"/>
    <n v="9000058"/>
    <x v="55"/>
    <x v="109"/>
    <s v="CARBONARA"/>
    <n v="3000"/>
    <n v="95"/>
    <n v="285000"/>
    <m/>
  </r>
  <r>
    <x v="11"/>
    <s v="AUG"/>
    <x v="40"/>
    <s v="GRSM 5"/>
    <x v="1"/>
    <s v="MT"/>
    <n v="166102"/>
    <n v="9000058"/>
    <x v="55"/>
    <x v="109"/>
    <s v="AGLIO OLIO"/>
    <n v="3000"/>
    <n v="0"/>
    <n v="0"/>
    <m/>
  </r>
  <r>
    <x v="11"/>
    <s v="AUG"/>
    <x v="40"/>
    <s v="GRSM 5"/>
    <x v="1"/>
    <s v="MT"/>
    <n v="166102"/>
    <n v="9000058"/>
    <x v="55"/>
    <x v="109"/>
    <s v="GORENG"/>
    <n v="3000"/>
    <n v="10"/>
    <n v="30000"/>
    <n v="160"/>
  </r>
  <r>
    <x v="11"/>
    <s v="AUG"/>
    <x v="40"/>
    <s v="GRSM 5"/>
    <x v="1"/>
    <s v="GMM"/>
    <n v="211009"/>
    <n v="2100003"/>
    <x v="54"/>
    <x v="105"/>
    <s v="BOLOGNESE"/>
    <n v="2900"/>
    <n v="91"/>
    <n v="263900"/>
    <m/>
  </r>
  <r>
    <x v="11"/>
    <s v="AUG"/>
    <x v="40"/>
    <s v="GRSM 5"/>
    <x v="1"/>
    <s v="GMM"/>
    <n v="211009"/>
    <n v="2100003"/>
    <x v="54"/>
    <x v="105"/>
    <s v="CARBONARA"/>
    <n v="2900"/>
    <n v="42"/>
    <n v="121800"/>
    <m/>
  </r>
  <r>
    <x v="11"/>
    <s v="AUG"/>
    <x v="40"/>
    <s v="GRSM 5"/>
    <x v="1"/>
    <s v="GMM"/>
    <n v="211009"/>
    <n v="2100003"/>
    <x v="54"/>
    <x v="105"/>
    <s v="AGLIO OLIO"/>
    <n v="2900"/>
    <n v="33"/>
    <n v="95700"/>
    <m/>
  </r>
  <r>
    <x v="11"/>
    <s v="AUG"/>
    <x v="40"/>
    <s v="GRSM 5"/>
    <x v="1"/>
    <s v="GMM"/>
    <n v="211009"/>
    <n v="2100003"/>
    <x v="54"/>
    <x v="105"/>
    <s v="GORENG"/>
    <n v="2900"/>
    <n v="201"/>
    <n v="582900"/>
    <n v="160"/>
  </r>
  <r>
    <x v="11"/>
    <s v="AUG"/>
    <x v="40"/>
    <s v="GRSM 5"/>
    <x v="1"/>
    <s v="GMM"/>
    <n v="211009"/>
    <n v="2100003"/>
    <x v="54"/>
    <x v="106"/>
    <s v="BOLOGNESE"/>
    <n v="2900"/>
    <n v="91"/>
    <n v="263900"/>
    <m/>
  </r>
  <r>
    <x v="11"/>
    <s v="AUG"/>
    <x v="40"/>
    <s v="GRSM 5"/>
    <x v="1"/>
    <s v="GMM"/>
    <n v="211009"/>
    <n v="2100003"/>
    <x v="54"/>
    <x v="106"/>
    <s v="CARBONARA"/>
    <n v="2900"/>
    <n v="42"/>
    <n v="121800"/>
    <m/>
  </r>
  <r>
    <x v="11"/>
    <s v="AUG"/>
    <x v="40"/>
    <s v="GRSM 5"/>
    <x v="1"/>
    <s v="GMM"/>
    <n v="211009"/>
    <n v="2100003"/>
    <x v="54"/>
    <x v="106"/>
    <s v="AGLIO OLIO"/>
    <n v="2900"/>
    <n v="33"/>
    <n v="95700"/>
    <m/>
  </r>
  <r>
    <x v="11"/>
    <s v="AUG"/>
    <x v="40"/>
    <s v="GRSM 5"/>
    <x v="1"/>
    <s v="GMM"/>
    <n v="211009"/>
    <n v="2100003"/>
    <x v="54"/>
    <x v="106"/>
    <s v="GORENG"/>
    <n v="2900"/>
    <n v="201"/>
    <n v="582900"/>
    <n v="160"/>
  </r>
  <r>
    <x v="11"/>
    <s v="AUG"/>
    <x v="38"/>
    <s v="GRSM 7"/>
    <x v="4"/>
    <s v="GMM"/>
    <n v="211074"/>
    <n v="2217375"/>
    <x v="44"/>
    <x v="84"/>
    <s v="BOLOGNESE"/>
    <n v="3200"/>
    <n v="16"/>
    <n v="51200"/>
    <m/>
  </r>
  <r>
    <x v="11"/>
    <s v="AUG"/>
    <x v="38"/>
    <s v="GRSM 7"/>
    <x v="4"/>
    <s v="GMM"/>
    <n v="211074"/>
    <n v="2217375"/>
    <x v="44"/>
    <x v="84"/>
    <s v="CARBONARA"/>
    <n v="3200"/>
    <n v="44"/>
    <n v="140800"/>
    <m/>
  </r>
  <r>
    <x v="11"/>
    <s v="AUG"/>
    <x v="38"/>
    <s v="GRSM 7"/>
    <x v="4"/>
    <s v="GMM"/>
    <n v="211074"/>
    <n v="2217375"/>
    <x v="44"/>
    <x v="84"/>
    <s v="AGLIO OLIO"/>
    <n v="3200"/>
    <n v="12"/>
    <n v="38400"/>
    <m/>
  </r>
  <r>
    <x v="11"/>
    <s v="AUG"/>
    <x v="38"/>
    <s v="GRSM 7"/>
    <x v="4"/>
    <s v="GMM"/>
    <n v="211074"/>
    <n v="2217375"/>
    <x v="44"/>
    <x v="84"/>
    <s v="GORENG"/>
    <n v="3200"/>
    <n v="226"/>
    <n v="723200"/>
    <n v="160"/>
  </r>
  <r>
    <x v="11"/>
    <s v="AUG"/>
    <x v="38"/>
    <s v="GRSM 7"/>
    <x v="4"/>
    <s v="GMM"/>
    <n v="211074"/>
    <n v="2217375"/>
    <x v="44"/>
    <x v="85"/>
    <s v="BOLOGNESE"/>
    <n v="3200"/>
    <n v="16"/>
    <n v="51200"/>
    <m/>
  </r>
  <r>
    <x v="11"/>
    <s v="AUG"/>
    <x v="38"/>
    <s v="GRSM 7"/>
    <x v="4"/>
    <s v="GMM"/>
    <n v="211074"/>
    <n v="2217375"/>
    <x v="44"/>
    <x v="85"/>
    <s v="CARBONARA"/>
    <n v="3200"/>
    <n v="44"/>
    <n v="140800"/>
    <m/>
  </r>
  <r>
    <x v="11"/>
    <s v="AUG"/>
    <x v="38"/>
    <s v="GRSM 7"/>
    <x v="4"/>
    <s v="GMM"/>
    <n v="211074"/>
    <n v="2217375"/>
    <x v="44"/>
    <x v="85"/>
    <s v="AGLIO OLIO"/>
    <n v="3200"/>
    <n v="12"/>
    <n v="38400"/>
    <m/>
  </r>
  <r>
    <x v="11"/>
    <s v="AUG"/>
    <x v="38"/>
    <s v="GRSM 7"/>
    <x v="4"/>
    <s v="GMM"/>
    <n v="211074"/>
    <n v="2217375"/>
    <x v="44"/>
    <x v="85"/>
    <s v="GORENG"/>
    <n v="3200"/>
    <n v="226"/>
    <n v="723200"/>
    <n v="160"/>
  </r>
  <r>
    <x v="11"/>
    <s v="AUG"/>
    <x v="38"/>
    <s v="GRSM 7"/>
    <x v="4"/>
    <s v="GMM"/>
    <n v="103783"/>
    <n v="7500032"/>
    <x v="57"/>
    <x v="112"/>
    <s v="BOLOGNESE"/>
    <n v="6395"/>
    <n v="33"/>
    <n v="211035"/>
    <m/>
  </r>
  <r>
    <x v="11"/>
    <s v="AUG"/>
    <x v="38"/>
    <s v="GRSM 7"/>
    <x v="4"/>
    <s v="GMM"/>
    <n v="103783"/>
    <n v="7500032"/>
    <x v="57"/>
    <x v="112"/>
    <s v="CARBONARA"/>
    <n v="6395"/>
    <n v="51"/>
    <n v="326145"/>
    <m/>
  </r>
  <r>
    <x v="11"/>
    <s v="AUG"/>
    <x v="38"/>
    <s v="GRSM 7"/>
    <x v="4"/>
    <s v="GMM"/>
    <n v="103783"/>
    <n v="7500032"/>
    <x v="57"/>
    <x v="112"/>
    <s v="AGLIO OLIO"/>
    <n v="6395"/>
    <n v="45"/>
    <n v="287775"/>
    <m/>
  </r>
  <r>
    <x v="11"/>
    <s v="AUG"/>
    <x v="38"/>
    <s v="GRSM 7"/>
    <x v="4"/>
    <s v="GMM"/>
    <n v="103783"/>
    <n v="7500032"/>
    <x v="57"/>
    <x v="112"/>
    <s v="GORENG"/>
    <n v="6395"/>
    <n v="33"/>
    <n v="211035"/>
    <n v="160"/>
  </r>
  <r>
    <x v="11"/>
    <s v="AUG"/>
    <x v="38"/>
    <s v="GRSM 7"/>
    <x v="4"/>
    <s v="GMM"/>
    <n v="103783"/>
    <n v="7500032"/>
    <x v="57"/>
    <x v="113"/>
    <s v="BOLOGNESE"/>
    <n v="6395"/>
    <n v="33"/>
    <n v="211035"/>
    <m/>
  </r>
  <r>
    <x v="11"/>
    <s v="AUG"/>
    <x v="38"/>
    <s v="GRSM 7"/>
    <x v="4"/>
    <s v="GMM"/>
    <n v="103783"/>
    <n v="7500032"/>
    <x v="57"/>
    <x v="113"/>
    <s v="CARBONARA"/>
    <n v="6395"/>
    <n v="51"/>
    <n v="326145"/>
    <m/>
  </r>
  <r>
    <x v="11"/>
    <s v="AUG"/>
    <x v="38"/>
    <s v="GRSM 7"/>
    <x v="4"/>
    <s v="GMM"/>
    <n v="103783"/>
    <n v="7500032"/>
    <x v="57"/>
    <x v="113"/>
    <s v="AGLIO OLIO"/>
    <n v="6395"/>
    <n v="45"/>
    <n v="287775"/>
    <m/>
  </r>
  <r>
    <x v="11"/>
    <s v="AUG"/>
    <x v="38"/>
    <s v="GRSM 7"/>
    <x v="4"/>
    <s v="GMM"/>
    <n v="103783"/>
    <n v="7500032"/>
    <x v="57"/>
    <x v="113"/>
    <s v="GORENG"/>
    <n v="6395"/>
    <n v="33"/>
    <n v="211035"/>
    <n v="160"/>
  </r>
  <r>
    <x v="11"/>
    <s v="AUG"/>
    <x v="38"/>
    <s v="GRSM 7"/>
    <x v="4"/>
    <s v="GMM"/>
    <n v="103783"/>
    <n v="7500090"/>
    <x v="58"/>
    <x v="114"/>
    <s v="BOLOGNESE"/>
    <n v="6750"/>
    <n v="24"/>
    <n v="162000"/>
    <m/>
  </r>
  <r>
    <x v="11"/>
    <s v="AUG"/>
    <x v="38"/>
    <s v="GRSM 7"/>
    <x v="4"/>
    <s v="GMM"/>
    <n v="103783"/>
    <n v="7500090"/>
    <x v="58"/>
    <x v="114"/>
    <s v="CARBONARA"/>
    <n v="6750"/>
    <n v="20"/>
    <n v="135000"/>
    <m/>
  </r>
  <r>
    <x v="11"/>
    <s v="AUG"/>
    <x v="38"/>
    <s v="GRSM 7"/>
    <x v="4"/>
    <s v="GMM"/>
    <n v="103783"/>
    <n v="7500090"/>
    <x v="58"/>
    <x v="114"/>
    <s v="AGLIO OLIO"/>
    <n v="6750"/>
    <n v="15"/>
    <n v="101250"/>
    <m/>
  </r>
  <r>
    <x v="11"/>
    <s v="AUG"/>
    <x v="38"/>
    <s v="GRSM 7"/>
    <x v="4"/>
    <s v="GMM"/>
    <n v="103783"/>
    <n v="7500090"/>
    <x v="58"/>
    <x v="114"/>
    <s v="GORENG"/>
    <n v="6750"/>
    <n v="35"/>
    <n v="236250"/>
    <n v="160"/>
  </r>
  <r>
    <x v="11"/>
    <s v="AUG"/>
    <x v="38"/>
    <s v="GRSM 7"/>
    <x v="4"/>
    <s v="GMM"/>
    <n v="103783"/>
    <n v="7500090"/>
    <x v="58"/>
    <x v="115"/>
    <s v="BOLOGNESE"/>
    <n v="6750"/>
    <n v="24"/>
    <n v="162000"/>
    <m/>
  </r>
  <r>
    <x v="11"/>
    <s v="AUG"/>
    <x v="38"/>
    <s v="GRSM 7"/>
    <x v="4"/>
    <s v="GMM"/>
    <n v="103783"/>
    <n v="7500090"/>
    <x v="58"/>
    <x v="115"/>
    <s v="CARBONARA"/>
    <n v="6750"/>
    <n v="20"/>
    <n v="135000"/>
    <m/>
  </r>
  <r>
    <x v="11"/>
    <s v="AUG"/>
    <x v="38"/>
    <s v="GRSM 7"/>
    <x v="4"/>
    <s v="GMM"/>
    <n v="103783"/>
    <n v="7500090"/>
    <x v="58"/>
    <x v="115"/>
    <s v="AGLIO OLIO"/>
    <n v="6750"/>
    <n v="15"/>
    <n v="101250"/>
    <m/>
  </r>
  <r>
    <x v="11"/>
    <s v="AUG"/>
    <x v="38"/>
    <s v="GRSM 7"/>
    <x v="4"/>
    <s v="GMM"/>
    <n v="103783"/>
    <n v="7500090"/>
    <x v="58"/>
    <x v="115"/>
    <s v="GORENG"/>
    <n v="6750"/>
    <n v="35"/>
    <n v="236250"/>
    <n v="160"/>
  </r>
  <r>
    <x v="11"/>
    <s v="AUG"/>
    <x v="38"/>
    <s v="GRSM 7"/>
    <x v="4"/>
    <s v="GMM"/>
    <n v="103240"/>
    <n v="7112059"/>
    <x v="45"/>
    <x v="86"/>
    <s v="BOLOGNESE"/>
    <n v="3200"/>
    <n v="60"/>
    <n v="192000"/>
    <m/>
  </r>
  <r>
    <x v="11"/>
    <s v="AUG"/>
    <x v="38"/>
    <s v="GRSM 7"/>
    <x v="4"/>
    <s v="GMM"/>
    <n v="103240"/>
    <n v="7112059"/>
    <x v="45"/>
    <x v="86"/>
    <s v="CARBONARA"/>
    <n v="3200"/>
    <n v="67"/>
    <n v="214400"/>
    <m/>
  </r>
  <r>
    <x v="11"/>
    <s v="AUG"/>
    <x v="38"/>
    <s v="GRSM 7"/>
    <x v="4"/>
    <s v="GMM"/>
    <n v="103240"/>
    <n v="7112059"/>
    <x v="45"/>
    <x v="86"/>
    <s v="AGLIO OLIO"/>
    <n v="3200"/>
    <n v="0"/>
    <n v="0"/>
    <m/>
  </r>
  <r>
    <x v="11"/>
    <s v="AUG"/>
    <x v="38"/>
    <s v="GRSM 7"/>
    <x v="4"/>
    <s v="GMM"/>
    <n v="103240"/>
    <n v="7112059"/>
    <x v="45"/>
    <x v="86"/>
    <s v="GORENG"/>
    <n v="3200"/>
    <n v="107"/>
    <n v="342400"/>
    <n v="160"/>
  </r>
  <r>
    <x v="11"/>
    <s v="AUG"/>
    <x v="39"/>
    <s v="GRSM 7"/>
    <x v="4"/>
    <s v="GMM"/>
    <n v="211074"/>
    <n v="2217375"/>
    <x v="44"/>
    <x v="84"/>
    <s v="BOLOGNESE"/>
    <n v="3200"/>
    <n v="20"/>
    <n v="64000"/>
    <m/>
  </r>
  <r>
    <x v="11"/>
    <s v="AUG"/>
    <x v="39"/>
    <s v="GRSM 7"/>
    <x v="4"/>
    <s v="GMM"/>
    <n v="211074"/>
    <n v="2217375"/>
    <x v="44"/>
    <x v="84"/>
    <s v="CARBONARA"/>
    <n v="3200"/>
    <n v="16"/>
    <n v="51200"/>
    <m/>
  </r>
  <r>
    <x v="11"/>
    <s v="AUG"/>
    <x v="39"/>
    <s v="GRSM 7"/>
    <x v="4"/>
    <s v="GMM"/>
    <n v="211074"/>
    <n v="2217375"/>
    <x v="44"/>
    <x v="84"/>
    <s v="AGLIO OLIO"/>
    <n v="3200"/>
    <n v="10"/>
    <n v="32000"/>
    <m/>
  </r>
  <r>
    <x v="11"/>
    <s v="AUG"/>
    <x v="39"/>
    <s v="GRSM 7"/>
    <x v="4"/>
    <s v="GMM"/>
    <n v="211074"/>
    <n v="2217375"/>
    <x v="44"/>
    <x v="84"/>
    <s v="GORENG"/>
    <n v="3200"/>
    <n v="196"/>
    <n v="627200"/>
    <n v="160"/>
  </r>
  <r>
    <x v="11"/>
    <s v="AUG"/>
    <x v="39"/>
    <s v="GRSM 7"/>
    <x v="4"/>
    <s v="GMM"/>
    <n v="211074"/>
    <n v="2217375"/>
    <x v="44"/>
    <x v="85"/>
    <s v="BOLOGNESE"/>
    <n v="3200"/>
    <n v="20"/>
    <n v="64000"/>
    <m/>
  </r>
  <r>
    <x v="11"/>
    <s v="AUG"/>
    <x v="39"/>
    <s v="GRSM 7"/>
    <x v="4"/>
    <s v="GMM"/>
    <n v="211074"/>
    <n v="2217375"/>
    <x v="44"/>
    <x v="85"/>
    <s v="CARBONARA"/>
    <n v="3200"/>
    <n v="16"/>
    <n v="51200"/>
    <m/>
  </r>
  <r>
    <x v="11"/>
    <s v="AUG"/>
    <x v="39"/>
    <s v="GRSM 7"/>
    <x v="4"/>
    <s v="GMM"/>
    <n v="211074"/>
    <n v="2217375"/>
    <x v="44"/>
    <x v="85"/>
    <s v="AGLIO OLIO"/>
    <n v="3200"/>
    <n v="10"/>
    <n v="32000"/>
    <m/>
  </r>
  <r>
    <x v="11"/>
    <s v="AUG"/>
    <x v="39"/>
    <s v="GRSM 7"/>
    <x v="4"/>
    <s v="GMM"/>
    <n v="211074"/>
    <n v="2217375"/>
    <x v="44"/>
    <x v="85"/>
    <s v="GORENG"/>
    <n v="3200"/>
    <n v="196"/>
    <n v="627200"/>
    <n v="160"/>
  </r>
  <r>
    <x v="11"/>
    <s v="AUG"/>
    <x v="39"/>
    <s v="GRSM 7"/>
    <x v="4"/>
    <s v="GMM"/>
    <n v="103783"/>
    <n v="7500090"/>
    <x v="58"/>
    <x v="114"/>
    <s v="BOLOGNESE"/>
    <n v="6750"/>
    <n v="25"/>
    <n v="168750"/>
    <m/>
  </r>
  <r>
    <x v="11"/>
    <s v="AUG"/>
    <x v="39"/>
    <s v="GRSM 7"/>
    <x v="4"/>
    <s v="GMM"/>
    <n v="103783"/>
    <n v="7500090"/>
    <x v="58"/>
    <x v="114"/>
    <s v="CARBONARA"/>
    <n v="6750"/>
    <n v="30"/>
    <n v="202500"/>
    <m/>
  </r>
  <r>
    <x v="11"/>
    <s v="AUG"/>
    <x v="39"/>
    <s v="GRSM 7"/>
    <x v="4"/>
    <s v="GMM"/>
    <n v="103783"/>
    <n v="7500090"/>
    <x v="58"/>
    <x v="114"/>
    <s v="AGLIO OLIO"/>
    <n v="6750"/>
    <n v="20"/>
    <n v="135000"/>
    <m/>
  </r>
  <r>
    <x v="11"/>
    <s v="AUG"/>
    <x v="39"/>
    <s v="GRSM 7"/>
    <x v="4"/>
    <s v="GMM"/>
    <n v="103783"/>
    <n v="7500090"/>
    <x v="58"/>
    <x v="114"/>
    <s v="GORENG"/>
    <n v="6750"/>
    <n v="37"/>
    <n v="249750"/>
    <n v="160"/>
  </r>
  <r>
    <x v="11"/>
    <s v="AUG"/>
    <x v="39"/>
    <s v="GRSM 7"/>
    <x v="4"/>
    <s v="GMM"/>
    <n v="103783"/>
    <n v="7500090"/>
    <x v="58"/>
    <x v="115"/>
    <s v="BOLOGNESE"/>
    <n v="6750"/>
    <n v="25"/>
    <n v="168750"/>
    <m/>
  </r>
  <r>
    <x v="11"/>
    <s v="AUG"/>
    <x v="39"/>
    <s v="GRSM 7"/>
    <x v="4"/>
    <s v="GMM"/>
    <n v="103783"/>
    <n v="7500090"/>
    <x v="58"/>
    <x v="115"/>
    <s v="CARBONARA"/>
    <n v="6750"/>
    <n v="30"/>
    <n v="202500"/>
    <m/>
  </r>
  <r>
    <x v="11"/>
    <s v="AUG"/>
    <x v="39"/>
    <s v="GRSM 7"/>
    <x v="4"/>
    <s v="GMM"/>
    <n v="103783"/>
    <n v="7500090"/>
    <x v="58"/>
    <x v="115"/>
    <s v="AGLIO OLIO"/>
    <n v="6750"/>
    <n v="20"/>
    <n v="135000"/>
    <m/>
  </r>
  <r>
    <x v="11"/>
    <s v="AUG"/>
    <x v="39"/>
    <s v="GRSM 7"/>
    <x v="4"/>
    <s v="GMM"/>
    <n v="103783"/>
    <n v="7500090"/>
    <x v="58"/>
    <x v="115"/>
    <s v="GORENG"/>
    <n v="6750"/>
    <n v="37"/>
    <n v="249750"/>
    <n v="160"/>
  </r>
  <r>
    <x v="11"/>
    <s v="AUG"/>
    <x v="39"/>
    <s v="GRSM 7"/>
    <x v="4"/>
    <s v="GMM"/>
    <n v="103240"/>
    <n v="7112059"/>
    <x v="45"/>
    <x v="86"/>
    <s v="BOLOGNESE"/>
    <n v="3200"/>
    <n v="50"/>
    <n v="160000"/>
    <m/>
  </r>
  <r>
    <x v="11"/>
    <s v="AUG"/>
    <x v="39"/>
    <s v="GRSM 7"/>
    <x v="4"/>
    <s v="GMM"/>
    <n v="103240"/>
    <n v="7112059"/>
    <x v="45"/>
    <x v="86"/>
    <s v="CARBONARA"/>
    <n v="3200"/>
    <n v="70"/>
    <n v="224000"/>
    <m/>
  </r>
  <r>
    <x v="11"/>
    <s v="AUG"/>
    <x v="39"/>
    <s v="GRSM 7"/>
    <x v="4"/>
    <s v="GMM"/>
    <n v="103240"/>
    <n v="7112059"/>
    <x v="45"/>
    <x v="86"/>
    <s v="AGLIO OLIO"/>
    <n v="3200"/>
    <n v="0"/>
    <n v="0"/>
    <m/>
  </r>
  <r>
    <x v="11"/>
    <s v="AUG"/>
    <x v="39"/>
    <s v="GRSM 7"/>
    <x v="4"/>
    <s v="GMM"/>
    <n v="103240"/>
    <n v="7112059"/>
    <x v="45"/>
    <x v="86"/>
    <s v="GORENG"/>
    <n v="3200"/>
    <n v="84"/>
    <n v="268800"/>
    <n v="160"/>
  </r>
  <r>
    <x v="11"/>
    <s v="AUG"/>
    <x v="39"/>
    <s v="GRSM 7"/>
    <x v="4"/>
    <s v="GMM"/>
    <n v="103240"/>
    <n v="7112059"/>
    <x v="45"/>
    <x v="87"/>
    <s v="BOLOGNESE"/>
    <n v="3200"/>
    <n v="50"/>
    <n v="160000"/>
    <m/>
  </r>
  <r>
    <x v="11"/>
    <s v="AUG"/>
    <x v="39"/>
    <s v="GRSM 7"/>
    <x v="4"/>
    <s v="GMM"/>
    <n v="103240"/>
    <n v="7112059"/>
    <x v="45"/>
    <x v="87"/>
    <s v="CARBONARA"/>
    <n v="3200"/>
    <n v="70"/>
    <n v="224000"/>
    <m/>
  </r>
  <r>
    <x v="11"/>
    <s v="AUG"/>
    <x v="39"/>
    <s v="GRSM 7"/>
    <x v="4"/>
    <s v="GMM"/>
    <n v="103240"/>
    <n v="7112059"/>
    <x v="45"/>
    <x v="87"/>
    <s v="AGLIO OLIO"/>
    <n v="3200"/>
    <n v="0"/>
    <n v="0"/>
    <m/>
  </r>
  <r>
    <x v="11"/>
    <s v="AUG"/>
    <x v="39"/>
    <s v="GRSM 7"/>
    <x v="4"/>
    <s v="GMM"/>
    <n v="103240"/>
    <n v="7112059"/>
    <x v="45"/>
    <x v="87"/>
    <s v="GORENG"/>
    <n v="3200"/>
    <n v="84"/>
    <n v="268800"/>
    <n v="160"/>
  </r>
  <r>
    <x v="11"/>
    <s v="AUG"/>
    <x v="39"/>
    <s v="GRSM 7"/>
    <x v="4"/>
    <s v="GMM"/>
    <n v="103783"/>
    <n v="7500032"/>
    <x v="57"/>
    <x v="112"/>
    <s v="BOLOGNESE"/>
    <n v="6400"/>
    <n v="28"/>
    <n v="179200"/>
    <m/>
  </r>
  <r>
    <x v="11"/>
    <s v="AUG"/>
    <x v="39"/>
    <s v="GRSM 7"/>
    <x v="4"/>
    <s v="GMM"/>
    <n v="103783"/>
    <n v="7500032"/>
    <x v="57"/>
    <x v="112"/>
    <s v="CARBONARA"/>
    <n v="6400"/>
    <n v="41"/>
    <n v="262400"/>
    <m/>
  </r>
  <r>
    <x v="11"/>
    <s v="AUG"/>
    <x v="39"/>
    <s v="GRSM 7"/>
    <x v="4"/>
    <s v="GMM"/>
    <n v="103783"/>
    <n v="7500032"/>
    <x v="57"/>
    <x v="112"/>
    <s v="AGLIO OLIO"/>
    <n v="6400"/>
    <n v="25"/>
    <n v="160000"/>
    <m/>
  </r>
  <r>
    <x v="11"/>
    <s v="AUG"/>
    <x v="39"/>
    <s v="GRSM 7"/>
    <x v="4"/>
    <s v="GMM"/>
    <n v="103783"/>
    <n v="7500032"/>
    <x v="57"/>
    <x v="112"/>
    <s v="GORENG"/>
    <n v="6400"/>
    <n v="30"/>
    <n v="192000"/>
    <n v="160"/>
  </r>
  <r>
    <x v="11"/>
    <s v="AUG"/>
    <x v="39"/>
    <s v="GRSM 7"/>
    <x v="4"/>
    <s v="GMM"/>
    <n v="103783"/>
    <n v="7500032"/>
    <x v="57"/>
    <x v="113"/>
    <s v="BOLOGNESE"/>
    <n v="6400"/>
    <n v="28"/>
    <n v="179200"/>
    <m/>
  </r>
  <r>
    <x v="11"/>
    <s v="AUG"/>
    <x v="39"/>
    <s v="GRSM 7"/>
    <x v="4"/>
    <s v="GMM"/>
    <n v="103783"/>
    <n v="7500032"/>
    <x v="57"/>
    <x v="113"/>
    <s v="CARBONARA"/>
    <n v="6400"/>
    <n v="41"/>
    <n v="262400"/>
    <m/>
  </r>
  <r>
    <x v="11"/>
    <s v="AUG"/>
    <x v="39"/>
    <s v="GRSM 7"/>
    <x v="4"/>
    <s v="GMM"/>
    <n v="103783"/>
    <n v="7500032"/>
    <x v="57"/>
    <x v="113"/>
    <s v="AGLIO OLIO"/>
    <n v="6400"/>
    <n v="25"/>
    <n v="160000"/>
    <m/>
  </r>
  <r>
    <x v="11"/>
    <s v="AUG"/>
    <x v="39"/>
    <s v="GRSM 7"/>
    <x v="4"/>
    <s v="GMM"/>
    <n v="103783"/>
    <n v="7500032"/>
    <x v="57"/>
    <x v="113"/>
    <s v="GORENG"/>
    <n v="6400"/>
    <n v="30"/>
    <n v="192000"/>
    <n v="160"/>
  </r>
  <r>
    <x v="11"/>
    <s v="AUG"/>
    <x v="40"/>
    <s v="GRSM 7"/>
    <x v="4"/>
    <s v="GMM"/>
    <n v="211074"/>
    <n v="2217375"/>
    <x v="44"/>
    <x v="84"/>
    <s v="BOLOGNESE"/>
    <n v="3200"/>
    <n v="10"/>
    <n v="32000"/>
    <m/>
  </r>
  <r>
    <x v="11"/>
    <s v="AUG"/>
    <x v="40"/>
    <s v="GRSM 7"/>
    <x v="4"/>
    <s v="GMM"/>
    <n v="211074"/>
    <n v="2217375"/>
    <x v="44"/>
    <x v="84"/>
    <s v="CARBONARA"/>
    <n v="3200"/>
    <n v="12"/>
    <n v="38400"/>
    <m/>
  </r>
  <r>
    <x v="11"/>
    <s v="AUG"/>
    <x v="40"/>
    <s v="GRSM 7"/>
    <x v="4"/>
    <s v="GMM"/>
    <n v="211074"/>
    <n v="2217375"/>
    <x v="44"/>
    <x v="84"/>
    <s v="AGLIO OLIO"/>
    <n v="3200"/>
    <n v="16"/>
    <n v="51200"/>
    <m/>
  </r>
  <r>
    <x v="11"/>
    <s v="AUG"/>
    <x v="40"/>
    <s v="GRSM 7"/>
    <x v="4"/>
    <s v="GMM"/>
    <n v="211074"/>
    <n v="2217375"/>
    <x v="44"/>
    <x v="84"/>
    <s v="GORENG"/>
    <n v="3200"/>
    <n v="220"/>
    <n v="704000"/>
    <n v="160"/>
  </r>
  <r>
    <x v="11"/>
    <s v="AUG"/>
    <x v="40"/>
    <s v="GRSM 7"/>
    <x v="4"/>
    <s v="GMM"/>
    <n v="211074"/>
    <n v="2217375"/>
    <x v="44"/>
    <x v="85"/>
    <s v="BOLOGNESE"/>
    <n v="3200"/>
    <n v="10"/>
    <n v="32000"/>
    <m/>
  </r>
  <r>
    <x v="11"/>
    <s v="AUG"/>
    <x v="40"/>
    <s v="GRSM 7"/>
    <x v="4"/>
    <s v="GMM"/>
    <n v="211074"/>
    <n v="2217375"/>
    <x v="44"/>
    <x v="85"/>
    <s v="CARBONARA"/>
    <n v="3200"/>
    <n v="12"/>
    <n v="38400"/>
    <m/>
  </r>
  <r>
    <x v="11"/>
    <s v="AUG"/>
    <x v="40"/>
    <s v="GRSM 7"/>
    <x v="4"/>
    <s v="GMM"/>
    <n v="211074"/>
    <n v="2217375"/>
    <x v="44"/>
    <x v="85"/>
    <s v="AGLIO OLIO"/>
    <n v="3200"/>
    <n v="16"/>
    <n v="51200"/>
    <m/>
  </r>
  <r>
    <x v="11"/>
    <s v="AUG"/>
    <x v="40"/>
    <s v="GRSM 7"/>
    <x v="4"/>
    <s v="GMM"/>
    <n v="211074"/>
    <n v="2217375"/>
    <x v="44"/>
    <x v="85"/>
    <s v="GORENG"/>
    <n v="3200"/>
    <n v="220"/>
    <n v="704000"/>
    <n v="160"/>
  </r>
  <r>
    <x v="11"/>
    <s v="AUG"/>
    <x v="40"/>
    <s v="GRSM 7"/>
    <x v="4"/>
    <s v="GMM"/>
    <n v="103783"/>
    <n v="7500032"/>
    <x v="57"/>
    <x v="112"/>
    <s v="BOLOGNESE"/>
    <n v="6400"/>
    <n v="44"/>
    <n v="281600"/>
    <m/>
  </r>
  <r>
    <x v="11"/>
    <s v="AUG"/>
    <x v="40"/>
    <s v="GRSM 7"/>
    <x v="4"/>
    <s v="GMM"/>
    <n v="103783"/>
    <n v="7500032"/>
    <x v="57"/>
    <x v="112"/>
    <s v="CARBONARA"/>
    <n v="6400"/>
    <n v="38"/>
    <n v="243200"/>
    <m/>
  </r>
  <r>
    <x v="11"/>
    <s v="AUG"/>
    <x v="40"/>
    <s v="GRSM 7"/>
    <x v="4"/>
    <s v="GMM"/>
    <n v="103783"/>
    <n v="7500032"/>
    <x v="57"/>
    <x v="112"/>
    <s v="AGLIO OLIO"/>
    <n v="6400"/>
    <n v="48"/>
    <n v="307200"/>
    <m/>
  </r>
  <r>
    <x v="11"/>
    <s v="AUG"/>
    <x v="40"/>
    <s v="GRSM 7"/>
    <x v="4"/>
    <s v="GMM"/>
    <n v="103783"/>
    <n v="7500032"/>
    <x v="57"/>
    <x v="112"/>
    <s v="GORENG"/>
    <n v="6400"/>
    <n v="4"/>
    <n v="25600"/>
    <n v="160"/>
  </r>
  <r>
    <x v="11"/>
    <s v="AUG"/>
    <x v="40"/>
    <s v="GRSM 7"/>
    <x v="4"/>
    <s v="GMM"/>
    <n v="103783"/>
    <n v="7500032"/>
    <x v="57"/>
    <x v="113"/>
    <s v="BOLOGNESE"/>
    <n v="6400"/>
    <n v="44"/>
    <n v="281600"/>
    <m/>
  </r>
  <r>
    <x v="11"/>
    <s v="AUG"/>
    <x v="40"/>
    <s v="GRSM 7"/>
    <x v="4"/>
    <s v="GMM"/>
    <n v="103783"/>
    <n v="7500032"/>
    <x v="57"/>
    <x v="113"/>
    <s v="CARBONARA"/>
    <n v="6400"/>
    <n v="38"/>
    <n v="243200"/>
    <m/>
  </r>
  <r>
    <x v="11"/>
    <s v="AUG"/>
    <x v="40"/>
    <s v="GRSM 7"/>
    <x v="4"/>
    <s v="GMM"/>
    <n v="103783"/>
    <n v="7500032"/>
    <x v="57"/>
    <x v="113"/>
    <s v="AGLIO OLIO"/>
    <n v="6400"/>
    <n v="48"/>
    <n v="307200"/>
    <m/>
  </r>
  <r>
    <x v="11"/>
    <s v="AUG"/>
    <x v="40"/>
    <s v="GRSM 7"/>
    <x v="4"/>
    <s v="GMM"/>
    <n v="103783"/>
    <n v="7500032"/>
    <x v="57"/>
    <x v="113"/>
    <s v="GORENG"/>
    <n v="6400"/>
    <n v="4"/>
    <n v="25600"/>
    <n v="160"/>
  </r>
  <r>
    <x v="11"/>
    <s v="AUG"/>
    <x v="40"/>
    <s v="GRSM 7"/>
    <x v="4"/>
    <s v="GMM"/>
    <n v="103240"/>
    <n v="7112059"/>
    <x v="45"/>
    <x v="86"/>
    <s v="BOLOGNESE"/>
    <n v="3200"/>
    <n v="64"/>
    <n v="204800"/>
    <m/>
  </r>
  <r>
    <x v="11"/>
    <s v="AUG"/>
    <x v="40"/>
    <s v="GRSM 7"/>
    <x v="4"/>
    <s v="GMM"/>
    <n v="103240"/>
    <n v="7112059"/>
    <x v="45"/>
    <x v="86"/>
    <s v="CARBONARA"/>
    <n v="3200"/>
    <n v="62"/>
    <n v="198400"/>
    <m/>
  </r>
  <r>
    <x v="11"/>
    <s v="AUG"/>
    <x v="40"/>
    <s v="GRSM 7"/>
    <x v="4"/>
    <s v="GMM"/>
    <n v="103240"/>
    <n v="7112059"/>
    <x v="45"/>
    <x v="86"/>
    <s v="AGLIO OLIO"/>
    <n v="3200"/>
    <n v="0"/>
    <n v="0"/>
    <m/>
  </r>
  <r>
    <x v="11"/>
    <s v="AUG"/>
    <x v="40"/>
    <s v="GRSM 7"/>
    <x v="4"/>
    <s v="GMM"/>
    <n v="103240"/>
    <n v="7112059"/>
    <x v="45"/>
    <x v="86"/>
    <s v="GORENG"/>
    <n v="3200"/>
    <n v="68"/>
    <n v="217600"/>
    <n v="160"/>
  </r>
  <r>
    <x v="11"/>
    <s v="AUG"/>
    <x v="40"/>
    <s v="GRSM 7"/>
    <x v="4"/>
    <s v="GMM"/>
    <n v="103240"/>
    <n v="7112059"/>
    <x v="45"/>
    <x v="87"/>
    <s v="BOLOGNESE"/>
    <n v="3200"/>
    <n v="64"/>
    <n v="204800"/>
    <m/>
  </r>
  <r>
    <x v="11"/>
    <s v="AUG"/>
    <x v="40"/>
    <s v="GRSM 7"/>
    <x v="4"/>
    <s v="GMM"/>
    <n v="103240"/>
    <n v="7112059"/>
    <x v="45"/>
    <x v="87"/>
    <s v="CARBONARA"/>
    <n v="3200"/>
    <n v="62"/>
    <n v="198400"/>
    <m/>
  </r>
  <r>
    <x v="11"/>
    <s v="AUG"/>
    <x v="40"/>
    <s v="GRSM 7"/>
    <x v="4"/>
    <s v="GMM"/>
    <n v="103240"/>
    <n v="7112059"/>
    <x v="45"/>
    <x v="87"/>
    <s v="AGLIO OLIO"/>
    <n v="3200"/>
    <n v="0"/>
    <n v="0"/>
    <m/>
  </r>
  <r>
    <x v="11"/>
    <s v="AUG"/>
    <x v="40"/>
    <s v="GRSM 7"/>
    <x v="4"/>
    <s v="GMM"/>
    <n v="103240"/>
    <n v="7112059"/>
    <x v="45"/>
    <x v="87"/>
    <s v="GORENG"/>
    <n v="3200"/>
    <n v="68"/>
    <n v="217600"/>
    <n v="160"/>
  </r>
  <r>
    <x v="11"/>
    <s v="AUG"/>
    <x v="40"/>
    <s v="GRSM 7"/>
    <x v="4"/>
    <s v="GMM"/>
    <n v="103783"/>
    <n v="7500090"/>
    <x v="58"/>
    <x v="114"/>
    <s v="BOLOGNESE"/>
    <n v="6750"/>
    <n v="28"/>
    <n v="189000"/>
    <m/>
  </r>
  <r>
    <x v="11"/>
    <s v="AUG"/>
    <x v="40"/>
    <s v="GRSM 7"/>
    <x v="4"/>
    <s v="GMM"/>
    <n v="103783"/>
    <n v="7500090"/>
    <x v="58"/>
    <x v="114"/>
    <s v="CARBONARA"/>
    <n v="6750"/>
    <n v="30"/>
    <n v="202500"/>
    <m/>
  </r>
  <r>
    <x v="11"/>
    <s v="AUG"/>
    <x v="40"/>
    <s v="GRSM 7"/>
    <x v="4"/>
    <s v="GMM"/>
    <n v="103783"/>
    <n v="7500090"/>
    <x v="58"/>
    <x v="114"/>
    <s v="AGLIO OLIO"/>
    <n v="6750"/>
    <n v="18"/>
    <n v="121500"/>
    <m/>
  </r>
  <r>
    <x v="11"/>
    <s v="AUG"/>
    <x v="40"/>
    <s v="GRSM 7"/>
    <x v="4"/>
    <s v="GMM"/>
    <n v="103783"/>
    <n v="7500090"/>
    <x v="58"/>
    <x v="114"/>
    <s v="GORENG"/>
    <n v="6750"/>
    <n v="62"/>
    <n v="418500"/>
    <n v="160"/>
  </r>
  <r>
    <x v="11"/>
    <s v="AUG"/>
    <x v="40"/>
    <s v="GRSM 7"/>
    <x v="4"/>
    <s v="GMM"/>
    <n v="103783"/>
    <n v="7500090"/>
    <x v="58"/>
    <x v="115"/>
    <s v="BOLOGNESE"/>
    <n v="6750"/>
    <n v="28"/>
    <n v="189000"/>
    <m/>
  </r>
  <r>
    <x v="11"/>
    <s v="AUG"/>
    <x v="40"/>
    <s v="GRSM 7"/>
    <x v="4"/>
    <s v="GMM"/>
    <n v="103783"/>
    <n v="7500090"/>
    <x v="58"/>
    <x v="115"/>
    <s v="CARBONARA"/>
    <n v="6750"/>
    <n v="30"/>
    <n v="202500"/>
    <m/>
  </r>
  <r>
    <x v="11"/>
    <s v="AUG"/>
    <x v="40"/>
    <s v="GRSM 7"/>
    <x v="4"/>
    <s v="GMM"/>
    <n v="103783"/>
    <n v="7500090"/>
    <x v="58"/>
    <x v="115"/>
    <s v="AGLIO OLIO"/>
    <n v="6750"/>
    <n v="18"/>
    <n v="121500"/>
    <m/>
  </r>
  <r>
    <x v="11"/>
    <s v="AUG"/>
    <x v="40"/>
    <s v="GRSM 7"/>
    <x v="4"/>
    <s v="GMM"/>
    <n v="103783"/>
    <n v="7500090"/>
    <x v="58"/>
    <x v="115"/>
    <s v="GORENG"/>
    <n v="6750"/>
    <n v="62"/>
    <n v="418500"/>
    <n v="160"/>
  </r>
  <r>
    <x v="11"/>
    <s v="AUG"/>
    <x v="38"/>
    <s v="GRSM 6"/>
    <x v="5"/>
    <s v="GMM"/>
    <n v="211030"/>
    <n v="5766116"/>
    <x v="48"/>
    <x v="92"/>
    <s v="BOLOGNESE"/>
    <n v="6000"/>
    <n v="39"/>
    <n v="234000"/>
    <m/>
  </r>
  <r>
    <x v="11"/>
    <s v="AUG"/>
    <x v="38"/>
    <s v="GRSM 6"/>
    <x v="5"/>
    <s v="GMM"/>
    <n v="211030"/>
    <n v="5766116"/>
    <x v="48"/>
    <x v="92"/>
    <s v="CARBONARA"/>
    <n v="6000"/>
    <n v="16"/>
    <n v="96000"/>
    <m/>
  </r>
  <r>
    <x v="11"/>
    <s v="AUG"/>
    <x v="38"/>
    <s v="GRSM 6"/>
    <x v="5"/>
    <s v="GMM"/>
    <n v="211030"/>
    <n v="5766116"/>
    <x v="48"/>
    <x v="92"/>
    <s v="AGLIO OLIO"/>
    <n v="6000"/>
    <n v="36"/>
    <n v="216000"/>
    <m/>
  </r>
  <r>
    <x v="11"/>
    <s v="AUG"/>
    <x v="38"/>
    <s v="GRSM 6"/>
    <x v="5"/>
    <s v="GMM"/>
    <n v="211030"/>
    <n v="5766116"/>
    <x v="48"/>
    <x v="92"/>
    <s v="GORENG"/>
    <n v="6000"/>
    <n v="120"/>
    <n v="720000"/>
    <m/>
  </r>
  <r>
    <x v="11"/>
    <s v="AUG"/>
    <x v="38"/>
    <s v="GRSM 6"/>
    <x v="5"/>
    <s v="GMM"/>
    <n v="211030"/>
    <n v="5766116"/>
    <x v="48"/>
    <x v="93"/>
    <s v="BOLOGNESE"/>
    <n v="6000"/>
    <n v="39"/>
    <n v="234000"/>
    <m/>
  </r>
  <r>
    <x v="11"/>
    <s v="AUG"/>
    <x v="38"/>
    <s v="GRSM 6"/>
    <x v="5"/>
    <s v="GMM"/>
    <n v="211030"/>
    <n v="5766116"/>
    <x v="48"/>
    <x v="93"/>
    <s v="CARBONARA"/>
    <n v="6000"/>
    <n v="16"/>
    <n v="96000"/>
    <m/>
  </r>
  <r>
    <x v="11"/>
    <s v="AUG"/>
    <x v="38"/>
    <s v="GRSM 6"/>
    <x v="5"/>
    <s v="GMM"/>
    <n v="211030"/>
    <n v="5766116"/>
    <x v="48"/>
    <x v="93"/>
    <s v="AGLIO OLIO"/>
    <n v="6000"/>
    <n v="36"/>
    <n v="216000"/>
    <m/>
  </r>
  <r>
    <x v="11"/>
    <s v="AUG"/>
    <x v="38"/>
    <s v="GRSM 6"/>
    <x v="5"/>
    <s v="GMM"/>
    <n v="211030"/>
    <n v="5766116"/>
    <x v="48"/>
    <x v="93"/>
    <s v="GORENG"/>
    <n v="6000"/>
    <n v="120"/>
    <n v="720000"/>
    <m/>
  </r>
  <r>
    <x v="11"/>
    <s v="AUG"/>
    <x v="38"/>
    <s v="GRSM 6"/>
    <x v="5"/>
    <s v="GMM"/>
    <n v="211030"/>
    <n v="5765035"/>
    <x v="51"/>
    <x v="99"/>
    <s v="BOLOGNESE"/>
    <n v="5860"/>
    <n v="14"/>
    <n v="82040"/>
    <m/>
  </r>
  <r>
    <x v="11"/>
    <s v="AUG"/>
    <x v="38"/>
    <s v="GRSM 6"/>
    <x v="5"/>
    <s v="GMM"/>
    <n v="211030"/>
    <n v="5765035"/>
    <x v="51"/>
    <x v="99"/>
    <s v="CARBONARA"/>
    <n v="5860"/>
    <n v="7"/>
    <n v="41020"/>
    <m/>
  </r>
  <r>
    <x v="11"/>
    <s v="AUG"/>
    <x v="38"/>
    <s v="GRSM 6"/>
    <x v="5"/>
    <s v="GMM"/>
    <n v="211030"/>
    <n v="5765035"/>
    <x v="51"/>
    <x v="99"/>
    <s v="AGLIO OLIO"/>
    <n v="5860"/>
    <n v="2"/>
    <n v="11720"/>
    <m/>
  </r>
  <r>
    <x v="11"/>
    <s v="AUG"/>
    <x v="38"/>
    <s v="GRSM 6"/>
    <x v="5"/>
    <s v="GMM"/>
    <n v="211030"/>
    <n v="5765035"/>
    <x v="51"/>
    <x v="99"/>
    <s v="GORENG"/>
    <n v="5860"/>
    <n v="30"/>
    <n v="175800"/>
    <n v="150"/>
  </r>
  <r>
    <x v="11"/>
    <s v="AUG"/>
    <x v="38"/>
    <s v="GRSM 6"/>
    <x v="5"/>
    <s v="GMM"/>
    <n v="211161"/>
    <n v="710355"/>
    <x v="50"/>
    <x v="97"/>
    <s v="BOLOGNESE"/>
    <n v="2950"/>
    <n v="12"/>
    <n v="35400"/>
    <m/>
  </r>
  <r>
    <x v="11"/>
    <s v="AUG"/>
    <x v="38"/>
    <s v="GRSM 6"/>
    <x v="5"/>
    <s v="GMM"/>
    <n v="211161"/>
    <n v="710355"/>
    <x v="50"/>
    <x v="97"/>
    <s v="CARBONARA"/>
    <n v="2950"/>
    <n v="9"/>
    <n v="26550"/>
    <m/>
  </r>
  <r>
    <x v="11"/>
    <s v="AUG"/>
    <x v="38"/>
    <s v="GRSM 6"/>
    <x v="5"/>
    <s v="GMM"/>
    <n v="211161"/>
    <n v="710355"/>
    <x v="50"/>
    <x v="97"/>
    <s v="AGLIO OLIO"/>
    <n v="2950"/>
    <n v="6"/>
    <n v="17700"/>
    <m/>
  </r>
  <r>
    <x v="11"/>
    <s v="AUG"/>
    <x v="38"/>
    <s v="GRSM 6"/>
    <x v="5"/>
    <s v="GMM"/>
    <n v="211161"/>
    <n v="710355"/>
    <x v="50"/>
    <x v="97"/>
    <s v="GORENG"/>
    <n v="2950"/>
    <n v="45"/>
    <n v="132750"/>
    <m/>
  </r>
  <r>
    <x v="11"/>
    <s v="AUG"/>
    <x v="38"/>
    <s v="GRSM 6"/>
    <x v="5"/>
    <s v="GMM"/>
    <n v="211161"/>
    <n v="710355"/>
    <x v="50"/>
    <x v="96"/>
    <s v="BOLOGNESE"/>
    <n v="2950"/>
    <n v="12"/>
    <n v="35400"/>
    <m/>
  </r>
  <r>
    <x v="11"/>
    <s v="AUG"/>
    <x v="38"/>
    <s v="GRSM 6"/>
    <x v="5"/>
    <s v="GMM"/>
    <n v="211161"/>
    <n v="710355"/>
    <x v="50"/>
    <x v="96"/>
    <s v="CARBONARA"/>
    <n v="2950"/>
    <n v="9"/>
    <n v="26550"/>
    <m/>
  </r>
  <r>
    <x v="11"/>
    <s v="AUG"/>
    <x v="38"/>
    <s v="GRSM 6"/>
    <x v="5"/>
    <s v="GMM"/>
    <n v="211161"/>
    <n v="710355"/>
    <x v="50"/>
    <x v="96"/>
    <s v="AGLIO OLIO"/>
    <n v="2950"/>
    <n v="6"/>
    <n v="17700"/>
    <m/>
  </r>
  <r>
    <x v="11"/>
    <s v="AUG"/>
    <x v="38"/>
    <s v="GRSM 6"/>
    <x v="5"/>
    <s v="GMM"/>
    <n v="211161"/>
    <n v="710355"/>
    <x v="50"/>
    <x v="96"/>
    <s v="GORENG"/>
    <n v="2950"/>
    <n v="45"/>
    <n v="132750"/>
    <m/>
  </r>
  <r>
    <x v="11"/>
    <s v="AUG"/>
    <x v="38"/>
    <s v="GRSM 6"/>
    <x v="5"/>
    <s v="GMM"/>
    <n v="211030"/>
    <n v="5765035"/>
    <x v="51"/>
    <x v="98"/>
    <s v="BOLOGNESE"/>
    <n v="3145"/>
    <n v="90"/>
    <n v="283050"/>
    <m/>
  </r>
  <r>
    <x v="11"/>
    <s v="AUG"/>
    <x v="38"/>
    <s v="GRSM 6"/>
    <x v="5"/>
    <s v="GMM"/>
    <n v="211030"/>
    <n v="5765035"/>
    <x v="51"/>
    <x v="98"/>
    <s v="CARBONARA"/>
    <n v="3145"/>
    <n v="15"/>
    <n v="47175"/>
    <m/>
  </r>
  <r>
    <x v="11"/>
    <s v="AUG"/>
    <x v="38"/>
    <s v="GRSM 6"/>
    <x v="5"/>
    <s v="GMM"/>
    <n v="211030"/>
    <n v="5765035"/>
    <x v="51"/>
    <x v="98"/>
    <s v="AGLIO OLIO"/>
    <n v="3145"/>
    <n v="9"/>
    <n v="28305"/>
    <m/>
  </r>
  <r>
    <x v="11"/>
    <s v="AUG"/>
    <x v="38"/>
    <s v="GRSM 6"/>
    <x v="5"/>
    <s v="GMM"/>
    <n v="211030"/>
    <n v="5765035"/>
    <x v="51"/>
    <x v="98"/>
    <s v="GORENG"/>
    <n v="3145"/>
    <n v="126"/>
    <n v="396270"/>
    <n v="150"/>
  </r>
  <r>
    <x v="11"/>
    <s v="AUG"/>
    <x v="39"/>
    <s v="GRSM 6"/>
    <x v="5"/>
    <s v="GMM"/>
    <n v="211030"/>
    <n v="5765035"/>
    <x v="51"/>
    <x v="98"/>
    <s v="BOLOGNESE"/>
    <n v="3145"/>
    <n v="33"/>
    <n v="103785"/>
    <m/>
  </r>
  <r>
    <x v="11"/>
    <s v="AUG"/>
    <x v="39"/>
    <s v="GRSM 6"/>
    <x v="5"/>
    <s v="GMM"/>
    <n v="211030"/>
    <n v="5765035"/>
    <x v="51"/>
    <x v="98"/>
    <s v="CARBONARA"/>
    <n v="3145"/>
    <n v="36"/>
    <n v="113220"/>
    <m/>
  </r>
  <r>
    <x v="11"/>
    <s v="AUG"/>
    <x v="39"/>
    <s v="GRSM 6"/>
    <x v="5"/>
    <s v="GMM"/>
    <n v="211030"/>
    <n v="5765035"/>
    <x v="51"/>
    <x v="98"/>
    <s v="AGLIO OLIO"/>
    <n v="3145"/>
    <n v="21"/>
    <n v="66045"/>
    <m/>
  </r>
  <r>
    <x v="11"/>
    <s v="AUG"/>
    <x v="39"/>
    <s v="GRSM 6"/>
    <x v="5"/>
    <s v="GMM"/>
    <n v="211030"/>
    <n v="5765035"/>
    <x v="51"/>
    <x v="98"/>
    <s v="GORENG"/>
    <n v="3145"/>
    <n v="249"/>
    <n v="783105"/>
    <n v="160"/>
  </r>
  <r>
    <x v="11"/>
    <s v="AUG"/>
    <x v="39"/>
    <s v="GRSM 6"/>
    <x v="5"/>
    <s v="GMM"/>
    <n v="211161"/>
    <n v="7103"/>
    <x v="47"/>
    <x v="90"/>
    <s v="BOLOGNESE"/>
    <n v="2400"/>
    <n v="142"/>
    <n v="340800"/>
    <m/>
  </r>
  <r>
    <x v="11"/>
    <s v="AUG"/>
    <x v="39"/>
    <s v="GRSM 6"/>
    <x v="5"/>
    <s v="GMM"/>
    <n v="211161"/>
    <n v="7103"/>
    <x v="47"/>
    <x v="90"/>
    <s v="CARBONARA"/>
    <n v="2400"/>
    <n v="42"/>
    <n v="100800"/>
    <m/>
  </r>
  <r>
    <x v="11"/>
    <s v="AUG"/>
    <x v="39"/>
    <s v="GRSM 6"/>
    <x v="5"/>
    <s v="GMM"/>
    <n v="211161"/>
    <n v="7103"/>
    <x v="47"/>
    <x v="90"/>
    <s v="AGLIO OLIO"/>
    <n v="2400"/>
    <n v="38"/>
    <n v="91200"/>
    <m/>
  </r>
  <r>
    <x v="11"/>
    <s v="AUG"/>
    <x v="39"/>
    <s v="GRSM 6"/>
    <x v="5"/>
    <s v="GMM"/>
    <n v="211161"/>
    <n v="7103"/>
    <x v="47"/>
    <x v="90"/>
    <s v="GORENG"/>
    <n v="2400"/>
    <n v="308"/>
    <n v="739200"/>
    <m/>
  </r>
  <r>
    <x v="11"/>
    <s v="AUG"/>
    <x v="39"/>
    <s v="GRSM 6"/>
    <x v="5"/>
    <s v="GMM"/>
    <n v="170208"/>
    <n v="5765011"/>
    <x v="46"/>
    <x v="88"/>
    <s v="BOLOGNESE"/>
    <n v="2950"/>
    <n v="83"/>
    <n v="244850"/>
    <m/>
  </r>
  <r>
    <x v="11"/>
    <s v="AUG"/>
    <x v="39"/>
    <s v="GRSM 6"/>
    <x v="5"/>
    <s v="GMM"/>
    <n v="170208"/>
    <n v="5765011"/>
    <x v="46"/>
    <x v="88"/>
    <s v="CARBONARA"/>
    <n v="2950"/>
    <n v="109"/>
    <n v="321550"/>
    <m/>
  </r>
  <r>
    <x v="11"/>
    <s v="AUG"/>
    <x v="39"/>
    <s v="GRSM 6"/>
    <x v="5"/>
    <s v="GMM"/>
    <n v="170208"/>
    <n v="5765011"/>
    <x v="46"/>
    <x v="88"/>
    <s v="AGLIO OLIO"/>
    <n v="2950"/>
    <n v="88"/>
    <n v="259600"/>
    <m/>
  </r>
  <r>
    <x v="11"/>
    <s v="AUG"/>
    <x v="39"/>
    <s v="GRSM 6"/>
    <x v="5"/>
    <s v="GMM"/>
    <n v="170208"/>
    <n v="5765011"/>
    <x v="46"/>
    <x v="88"/>
    <s v="GORENG"/>
    <n v="2950"/>
    <n v="103"/>
    <n v="303850"/>
    <n v="160"/>
  </r>
  <r>
    <x v="11"/>
    <s v="AUG"/>
    <x v="39"/>
    <s v="GRSM 6"/>
    <x v="5"/>
    <s v="GMM"/>
    <n v="170208"/>
    <n v="5765011"/>
    <x v="46"/>
    <x v="89"/>
    <s v="BOLOGNESE"/>
    <n v="2950"/>
    <n v="83"/>
    <n v="244850"/>
    <m/>
  </r>
  <r>
    <x v="11"/>
    <s v="AUG"/>
    <x v="39"/>
    <s v="GRSM 6"/>
    <x v="5"/>
    <s v="GMM"/>
    <n v="170208"/>
    <n v="5765011"/>
    <x v="46"/>
    <x v="89"/>
    <s v="CARBONARA"/>
    <n v="2950"/>
    <n v="109"/>
    <n v="321550"/>
    <m/>
  </r>
  <r>
    <x v="11"/>
    <s v="AUG"/>
    <x v="39"/>
    <s v="GRSM 6"/>
    <x v="5"/>
    <s v="GMM"/>
    <n v="170208"/>
    <n v="5765011"/>
    <x v="46"/>
    <x v="89"/>
    <s v="AGLIO OLIO"/>
    <n v="2950"/>
    <n v="88"/>
    <n v="259600"/>
    <m/>
  </r>
  <r>
    <x v="11"/>
    <s v="AUG"/>
    <x v="39"/>
    <s v="GRSM 6"/>
    <x v="5"/>
    <s v="GMM"/>
    <n v="170208"/>
    <n v="5765011"/>
    <x v="46"/>
    <x v="89"/>
    <s v="GORENG"/>
    <n v="2950"/>
    <n v="103"/>
    <n v="303850"/>
    <n v="160"/>
  </r>
  <r>
    <x v="11"/>
    <s v="AUG"/>
    <x v="39"/>
    <s v="GRSM 6"/>
    <x v="5"/>
    <s v="GMM"/>
    <n v="211161"/>
    <n v="710355"/>
    <x v="50"/>
    <x v="97"/>
    <s v="BOLOGNESE"/>
    <n v="6201"/>
    <n v="18"/>
    <n v="111618"/>
    <m/>
  </r>
  <r>
    <x v="11"/>
    <s v="AUG"/>
    <x v="39"/>
    <s v="GRSM 6"/>
    <x v="5"/>
    <s v="GMM"/>
    <n v="211161"/>
    <n v="710355"/>
    <x v="50"/>
    <x v="97"/>
    <s v="CARBONARA"/>
    <n v="6201"/>
    <n v="18"/>
    <n v="111618"/>
    <m/>
  </r>
  <r>
    <x v="11"/>
    <s v="AUG"/>
    <x v="39"/>
    <s v="GRSM 6"/>
    <x v="5"/>
    <s v="GMM"/>
    <n v="211161"/>
    <n v="710355"/>
    <x v="50"/>
    <x v="97"/>
    <s v="AGLIO OLIO"/>
    <n v="6201"/>
    <n v="18"/>
    <n v="111618"/>
    <m/>
  </r>
  <r>
    <x v="11"/>
    <s v="AUG"/>
    <x v="39"/>
    <s v="GRSM 6"/>
    <x v="5"/>
    <s v="GMM"/>
    <n v="211161"/>
    <n v="710355"/>
    <x v="50"/>
    <x v="97"/>
    <s v="GORENG"/>
    <n v="6201"/>
    <n v="93"/>
    <n v="576693"/>
    <n v="160"/>
  </r>
  <r>
    <x v="11"/>
    <s v="AUG"/>
    <x v="39"/>
    <s v="GRSM 6"/>
    <x v="5"/>
    <s v="GMM"/>
    <n v="211161"/>
    <n v="710355"/>
    <x v="50"/>
    <x v="96"/>
    <s v="BOLOGNESE"/>
    <n v="6201"/>
    <n v="18"/>
    <n v="111618"/>
    <m/>
  </r>
  <r>
    <x v="11"/>
    <s v="AUG"/>
    <x v="39"/>
    <s v="GRSM 6"/>
    <x v="5"/>
    <s v="GMM"/>
    <n v="211161"/>
    <n v="710355"/>
    <x v="50"/>
    <x v="96"/>
    <s v="CARBONARA"/>
    <n v="6201"/>
    <n v="18"/>
    <n v="111618"/>
    <m/>
  </r>
  <r>
    <x v="11"/>
    <s v="AUG"/>
    <x v="39"/>
    <s v="GRSM 6"/>
    <x v="5"/>
    <s v="GMM"/>
    <n v="211161"/>
    <n v="710355"/>
    <x v="50"/>
    <x v="96"/>
    <s v="AGLIO OLIO"/>
    <n v="6201"/>
    <n v="18"/>
    <n v="111618"/>
    <m/>
  </r>
  <r>
    <x v="11"/>
    <s v="AUG"/>
    <x v="39"/>
    <s v="GRSM 6"/>
    <x v="5"/>
    <s v="GMM"/>
    <n v="211161"/>
    <n v="710355"/>
    <x v="50"/>
    <x v="96"/>
    <s v="GORENG"/>
    <n v="6201"/>
    <n v="93"/>
    <n v="576693"/>
    <n v="160"/>
  </r>
  <r>
    <x v="11"/>
    <s v="AUG"/>
    <x v="39"/>
    <s v="GRSM 6"/>
    <x v="5"/>
    <s v="GMM"/>
    <n v="211030"/>
    <n v="5765035"/>
    <x v="51"/>
    <x v="99"/>
    <s v="BOLOGNESE"/>
    <n v="3145"/>
    <n v="11"/>
    <n v="34595"/>
    <m/>
  </r>
  <r>
    <x v="11"/>
    <s v="AUG"/>
    <x v="39"/>
    <s v="GRSM 6"/>
    <x v="5"/>
    <s v="GMM"/>
    <n v="211030"/>
    <n v="5765035"/>
    <x v="51"/>
    <x v="99"/>
    <s v="CARBONARA"/>
    <n v="3145"/>
    <n v="12"/>
    <n v="37740"/>
    <m/>
  </r>
  <r>
    <x v="11"/>
    <s v="AUG"/>
    <x v="39"/>
    <s v="GRSM 6"/>
    <x v="5"/>
    <s v="GMM"/>
    <n v="211030"/>
    <n v="5765035"/>
    <x v="51"/>
    <x v="99"/>
    <s v="AGLIO OLIO"/>
    <n v="3145"/>
    <n v="7"/>
    <n v="22015"/>
    <m/>
  </r>
  <r>
    <x v="11"/>
    <s v="AUG"/>
    <x v="39"/>
    <s v="GRSM 6"/>
    <x v="5"/>
    <s v="GMM"/>
    <n v="211030"/>
    <n v="5765035"/>
    <x v="51"/>
    <x v="99"/>
    <s v="GORENG"/>
    <n v="3145"/>
    <n v="83"/>
    <n v="261035"/>
    <n v="160"/>
  </r>
  <r>
    <x v="11"/>
    <s v="AUG"/>
    <x v="39"/>
    <s v="GRSM 6"/>
    <x v="5"/>
    <s v="GMM"/>
    <n v="211030"/>
    <n v="5766116"/>
    <x v="48"/>
    <x v="92"/>
    <s v="BOLOGNESE"/>
    <n v="6000"/>
    <n v="44"/>
    <n v="264000"/>
    <m/>
  </r>
  <r>
    <x v="11"/>
    <s v="AUG"/>
    <x v="39"/>
    <s v="GRSM 6"/>
    <x v="5"/>
    <s v="GMM"/>
    <n v="211030"/>
    <n v="5766116"/>
    <x v="48"/>
    <x v="92"/>
    <s v="CARBONARA"/>
    <n v="6000"/>
    <n v="30"/>
    <n v="180000"/>
    <m/>
  </r>
  <r>
    <x v="11"/>
    <s v="AUG"/>
    <x v="39"/>
    <s v="GRSM 6"/>
    <x v="5"/>
    <s v="GMM"/>
    <n v="211030"/>
    <n v="5766116"/>
    <x v="48"/>
    <x v="92"/>
    <s v="AGLIO OLIO"/>
    <n v="6000"/>
    <n v="57"/>
    <n v="342000"/>
    <m/>
  </r>
  <r>
    <x v="11"/>
    <s v="AUG"/>
    <x v="39"/>
    <s v="GRSM 6"/>
    <x v="5"/>
    <s v="GMM"/>
    <n v="211030"/>
    <n v="5766116"/>
    <x v="48"/>
    <x v="92"/>
    <s v="GORENG"/>
    <n v="6000"/>
    <n v="88"/>
    <n v="528000"/>
    <m/>
  </r>
  <r>
    <x v="11"/>
    <s v="AUG"/>
    <x v="39"/>
    <s v="GRSM 6"/>
    <x v="5"/>
    <s v="GMM"/>
    <n v="211030"/>
    <n v="5766116"/>
    <x v="48"/>
    <x v="93"/>
    <s v="BOLOGNESE"/>
    <n v="6000"/>
    <n v="44"/>
    <n v="264000"/>
    <m/>
  </r>
  <r>
    <x v="11"/>
    <s v="AUG"/>
    <x v="39"/>
    <s v="GRSM 6"/>
    <x v="5"/>
    <s v="GMM"/>
    <n v="211030"/>
    <n v="5766116"/>
    <x v="48"/>
    <x v="93"/>
    <s v="CARBONARA"/>
    <n v="6000"/>
    <n v="30"/>
    <n v="180000"/>
    <m/>
  </r>
  <r>
    <x v="11"/>
    <s v="AUG"/>
    <x v="39"/>
    <s v="GRSM 6"/>
    <x v="5"/>
    <s v="GMM"/>
    <n v="211030"/>
    <n v="5766116"/>
    <x v="48"/>
    <x v="93"/>
    <s v="AGLIO OLIO"/>
    <n v="6000"/>
    <n v="57"/>
    <n v="342000"/>
    <m/>
  </r>
  <r>
    <x v="11"/>
    <s v="AUG"/>
    <x v="39"/>
    <s v="GRSM 6"/>
    <x v="5"/>
    <s v="GMM"/>
    <n v="211030"/>
    <n v="5766116"/>
    <x v="48"/>
    <x v="93"/>
    <s v="GORENG"/>
    <n v="6000"/>
    <n v="88"/>
    <n v="528000"/>
    <m/>
  </r>
  <r>
    <x v="11"/>
    <s v="AUG"/>
    <x v="40"/>
    <s v="GRSM 6"/>
    <x v="5"/>
    <s v="GMM"/>
    <n v="211030"/>
    <n v="5765035"/>
    <x v="51"/>
    <x v="98"/>
    <s v="BOLOGNESE"/>
    <n v="3145"/>
    <n v="51"/>
    <n v="160395"/>
    <m/>
  </r>
  <r>
    <x v="11"/>
    <s v="AUG"/>
    <x v="40"/>
    <s v="GRSM 6"/>
    <x v="5"/>
    <s v="GMM"/>
    <n v="211030"/>
    <n v="5765035"/>
    <x v="51"/>
    <x v="98"/>
    <s v="CARBONARA"/>
    <n v="3145"/>
    <n v="39"/>
    <n v="122655"/>
    <m/>
  </r>
  <r>
    <x v="11"/>
    <s v="AUG"/>
    <x v="40"/>
    <s v="GRSM 6"/>
    <x v="5"/>
    <s v="GMM"/>
    <n v="211030"/>
    <n v="5765035"/>
    <x v="51"/>
    <x v="98"/>
    <s v="AGLIO OLIO"/>
    <n v="3145"/>
    <n v="8"/>
    <n v="25160"/>
    <m/>
  </r>
  <r>
    <x v="11"/>
    <s v="AUG"/>
    <x v="40"/>
    <s v="GRSM 6"/>
    <x v="5"/>
    <s v="GMM"/>
    <n v="211030"/>
    <n v="5765035"/>
    <x v="51"/>
    <x v="98"/>
    <s v="GORENG"/>
    <n v="3145"/>
    <n v="92"/>
    <n v="289340"/>
    <n v="160"/>
  </r>
  <r>
    <x v="11"/>
    <s v="AUG"/>
    <x v="40"/>
    <s v="GRSM 6"/>
    <x v="5"/>
    <s v="GMM"/>
    <n v="211181"/>
    <n v="3208670"/>
    <x v="49"/>
    <x v="94"/>
    <s v="BOLOGNESE"/>
    <n v="5900"/>
    <n v="50"/>
    <n v="295000"/>
    <m/>
  </r>
  <r>
    <x v="11"/>
    <s v="AUG"/>
    <x v="40"/>
    <s v="GRSM 6"/>
    <x v="5"/>
    <s v="GMM"/>
    <n v="211181"/>
    <n v="3208670"/>
    <x v="49"/>
    <x v="94"/>
    <s v="CARBONARA"/>
    <n v="5900"/>
    <n v="49"/>
    <n v="289100"/>
    <m/>
  </r>
  <r>
    <x v="11"/>
    <s v="AUG"/>
    <x v="40"/>
    <s v="GRSM 6"/>
    <x v="5"/>
    <s v="GMM"/>
    <n v="211181"/>
    <n v="3208670"/>
    <x v="49"/>
    <x v="94"/>
    <s v="AGLIO OLIO"/>
    <n v="5900"/>
    <n v="120"/>
    <n v="708000"/>
    <m/>
  </r>
  <r>
    <x v="11"/>
    <s v="AUG"/>
    <x v="40"/>
    <s v="GRSM 6"/>
    <x v="5"/>
    <s v="GMM"/>
    <n v="211181"/>
    <n v="3208670"/>
    <x v="49"/>
    <x v="94"/>
    <s v="GORENG"/>
    <n v="5900"/>
    <n v="64"/>
    <n v="377600"/>
    <n v="160"/>
  </r>
  <r>
    <x v="11"/>
    <s v="AUG"/>
    <x v="40"/>
    <s v="GRSM 6"/>
    <x v="5"/>
    <s v="GMM"/>
    <n v="211181"/>
    <n v="3208670"/>
    <x v="49"/>
    <x v="95"/>
    <s v="BOLOGNESE"/>
    <n v="5900"/>
    <n v="50"/>
    <n v="295000"/>
    <m/>
  </r>
  <r>
    <x v="11"/>
    <s v="AUG"/>
    <x v="40"/>
    <s v="GRSM 6"/>
    <x v="5"/>
    <s v="GMM"/>
    <n v="211181"/>
    <n v="3208670"/>
    <x v="49"/>
    <x v="95"/>
    <s v="CARBONARA"/>
    <n v="5900"/>
    <n v="49"/>
    <n v="289100"/>
    <m/>
  </r>
  <r>
    <x v="11"/>
    <s v="AUG"/>
    <x v="40"/>
    <s v="GRSM 6"/>
    <x v="5"/>
    <s v="GMM"/>
    <n v="211181"/>
    <n v="3208670"/>
    <x v="49"/>
    <x v="95"/>
    <s v="AGLIO OLIO"/>
    <n v="5900"/>
    <n v="120"/>
    <n v="708000"/>
    <m/>
  </r>
  <r>
    <x v="11"/>
    <s v="AUG"/>
    <x v="40"/>
    <s v="GRSM 6"/>
    <x v="5"/>
    <s v="GMM"/>
    <n v="211181"/>
    <n v="3208670"/>
    <x v="49"/>
    <x v="95"/>
    <s v="GORENG"/>
    <n v="5900"/>
    <n v="64"/>
    <n v="377600"/>
    <n v="160"/>
  </r>
  <r>
    <x v="11"/>
    <s v="AUG"/>
    <x v="40"/>
    <s v="GRSM 6"/>
    <x v="5"/>
    <s v="GMM"/>
    <n v="170208"/>
    <n v="5765011"/>
    <x v="46"/>
    <x v="88"/>
    <s v="BOLOGNESE"/>
    <n v="2950"/>
    <n v="2"/>
    <n v="5900"/>
    <m/>
  </r>
  <r>
    <x v="11"/>
    <s v="AUG"/>
    <x v="40"/>
    <s v="GRSM 6"/>
    <x v="5"/>
    <s v="GMM"/>
    <n v="170208"/>
    <n v="5765011"/>
    <x v="46"/>
    <x v="88"/>
    <s v="CARBONARA"/>
    <n v="2950"/>
    <n v="72"/>
    <n v="212400"/>
    <m/>
  </r>
  <r>
    <x v="11"/>
    <s v="AUG"/>
    <x v="40"/>
    <s v="GRSM 6"/>
    <x v="5"/>
    <s v="GMM"/>
    <n v="170208"/>
    <n v="5765011"/>
    <x v="46"/>
    <x v="88"/>
    <s v="AGLIO OLIO"/>
    <n v="2950"/>
    <n v="29"/>
    <n v="85550"/>
    <m/>
  </r>
  <r>
    <x v="11"/>
    <s v="AUG"/>
    <x v="40"/>
    <s v="GRSM 6"/>
    <x v="5"/>
    <s v="GMM"/>
    <n v="170208"/>
    <n v="5765011"/>
    <x v="46"/>
    <x v="88"/>
    <s v="GORENG"/>
    <n v="2950"/>
    <n v="105"/>
    <n v="309750"/>
    <n v="160"/>
  </r>
  <r>
    <x v="11"/>
    <s v="AUG"/>
    <x v="40"/>
    <s v="GRSM 6"/>
    <x v="5"/>
    <s v="GMM"/>
    <n v="211030"/>
    <n v="5766116"/>
    <x v="48"/>
    <x v="93"/>
    <s v="BOLOGNESE"/>
    <n v="6000"/>
    <n v="37"/>
    <n v="222000"/>
    <m/>
  </r>
  <r>
    <x v="11"/>
    <s v="AUG"/>
    <x v="40"/>
    <s v="GRSM 6"/>
    <x v="5"/>
    <s v="GMM"/>
    <n v="211030"/>
    <n v="5766116"/>
    <x v="48"/>
    <x v="93"/>
    <s v="CARBONARA"/>
    <n v="6000"/>
    <n v="20"/>
    <n v="120000"/>
    <m/>
  </r>
  <r>
    <x v="11"/>
    <s v="AUG"/>
    <x v="40"/>
    <s v="GRSM 6"/>
    <x v="5"/>
    <s v="GMM"/>
    <n v="211030"/>
    <n v="5766116"/>
    <x v="48"/>
    <x v="93"/>
    <s v="AGLIO OLIO"/>
    <n v="6000"/>
    <n v="34"/>
    <n v="204000"/>
    <m/>
  </r>
  <r>
    <x v="11"/>
    <s v="AUG"/>
    <x v="40"/>
    <s v="GRSM 6"/>
    <x v="5"/>
    <s v="GMM"/>
    <n v="211030"/>
    <n v="5766116"/>
    <x v="48"/>
    <x v="93"/>
    <s v="GORENG"/>
    <n v="6000"/>
    <n v="43"/>
    <n v="258000"/>
    <m/>
  </r>
  <r>
    <x v="11"/>
    <s v="AUG"/>
    <x v="40"/>
    <s v="GRSM 6"/>
    <x v="5"/>
    <s v="GMM"/>
    <n v="211161"/>
    <n v="710355"/>
    <x v="50"/>
    <x v="97"/>
    <s v="BOLOGNESE"/>
    <n v="6201"/>
    <n v="6"/>
    <n v="37206"/>
    <m/>
  </r>
  <r>
    <x v="11"/>
    <s v="AUG"/>
    <x v="40"/>
    <s v="GRSM 6"/>
    <x v="5"/>
    <s v="GMM"/>
    <n v="211161"/>
    <n v="710355"/>
    <x v="50"/>
    <x v="97"/>
    <s v="CARBONARA"/>
    <n v="6201"/>
    <n v="15"/>
    <n v="93015"/>
    <m/>
  </r>
  <r>
    <x v="11"/>
    <s v="AUG"/>
    <x v="40"/>
    <s v="GRSM 6"/>
    <x v="5"/>
    <s v="GMM"/>
    <n v="211161"/>
    <n v="710355"/>
    <x v="50"/>
    <x v="97"/>
    <s v="AGLIO OLIO"/>
    <n v="6201"/>
    <n v="9"/>
    <n v="55809"/>
    <m/>
  </r>
  <r>
    <x v="11"/>
    <s v="AUG"/>
    <x v="40"/>
    <s v="GRSM 6"/>
    <x v="5"/>
    <s v="GMM"/>
    <n v="211161"/>
    <n v="710355"/>
    <x v="50"/>
    <x v="97"/>
    <s v="GORENG"/>
    <n v="6201"/>
    <n v="84"/>
    <n v="520884"/>
    <m/>
  </r>
  <r>
    <x v="11"/>
    <s v="AUG"/>
    <x v="38"/>
    <s v="GRSM 6"/>
    <x v="5"/>
    <s v="GMM"/>
    <n v="211161"/>
    <n v="7103"/>
    <x v="47"/>
    <x v="91"/>
    <s v="BOLOGNESE"/>
    <n v="2850"/>
    <n v="68"/>
    <n v="193800"/>
    <m/>
  </r>
  <r>
    <x v="11"/>
    <s v="AUG"/>
    <x v="38"/>
    <s v="GRSM 6"/>
    <x v="5"/>
    <s v="GMM"/>
    <n v="211161"/>
    <n v="7103"/>
    <x v="47"/>
    <x v="91"/>
    <s v="CARBONARA"/>
    <n v="2850"/>
    <n v="159"/>
    <n v="453150"/>
    <m/>
  </r>
  <r>
    <x v="11"/>
    <s v="AUG"/>
    <x v="38"/>
    <s v="GRSM 6"/>
    <x v="5"/>
    <s v="GMM"/>
    <n v="211161"/>
    <n v="7103"/>
    <x v="47"/>
    <x v="91"/>
    <s v="AGLIO OLIO"/>
    <n v="2850"/>
    <n v="36"/>
    <n v="102600"/>
    <m/>
  </r>
  <r>
    <x v="11"/>
    <s v="AUG"/>
    <x v="38"/>
    <s v="GRSM 6"/>
    <x v="5"/>
    <s v="GMM"/>
    <n v="211161"/>
    <n v="7103"/>
    <x v="47"/>
    <x v="91"/>
    <s v="GORENG"/>
    <n v="2850"/>
    <n v="424"/>
    <n v="1208400"/>
    <m/>
  </r>
  <r>
    <x v="11"/>
    <s v="AUG"/>
    <x v="38"/>
    <s v="GRSM 6"/>
    <x v="5"/>
    <s v="GMM"/>
    <n v="211161"/>
    <n v="7103"/>
    <x v="47"/>
    <x v="90"/>
    <s v="BOLOGNESE"/>
    <n v="2850"/>
    <n v="68"/>
    <n v="193800"/>
    <m/>
  </r>
  <r>
    <x v="11"/>
    <s v="AUG"/>
    <x v="38"/>
    <s v="GRSM 6"/>
    <x v="5"/>
    <s v="GMM"/>
    <n v="211161"/>
    <n v="7103"/>
    <x v="47"/>
    <x v="90"/>
    <s v="CARBONARA"/>
    <n v="2850"/>
    <n v="159"/>
    <n v="453150"/>
    <m/>
  </r>
  <r>
    <x v="11"/>
    <s v="AUG"/>
    <x v="38"/>
    <s v="GRSM 6"/>
    <x v="5"/>
    <s v="GMM"/>
    <n v="211161"/>
    <n v="7103"/>
    <x v="47"/>
    <x v="90"/>
    <s v="AGLIO OLIO"/>
    <n v="2850"/>
    <n v="36"/>
    <n v="102600"/>
    <m/>
  </r>
  <r>
    <x v="11"/>
    <s v="AUG"/>
    <x v="38"/>
    <s v="GRSM 6"/>
    <x v="5"/>
    <s v="GMM"/>
    <n v="211161"/>
    <n v="7103"/>
    <x v="47"/>
    <x v="90"/>
    <s v="GORENG"/>
    <n v="2850"/>
    <n v="424"/>
    <n v="1208400"/>
    <m/>
  </r>
  <r>
    <x v="11"/>
    <s v="AUG"/>
    <x v="40"/>
    <s v="GRSM 6"/>
    <x v="5"/>
    <s v="GMM"/>
    <n v="211161"/>
    <n v="7103"/>
    <x v="47"/>
    <x v="90"/>
    <s v="BOLOGNESE"/>
    <n v="2850"/>
    <n v="112"/>
    <n v="319200"/>
    <m/>
  </r>
  <r>
    <x v="11"/>
    <s v="AUG"/>
    <x v="40"/>
    <s v="GRSM 6"/>
    <x v="5"/>
    <s v="GMM"/>
    <n v="211161"/>
    <n v="7103"/>
    <x v="47"/>
    <x v="90"/>
    <s v="CARBONARA"/>
    <n v="2850"/>
    <n v="44"/>
    <n v="125400"/>
    <m/>
  </r>
  <r>
    <x v="11"/>
    <s v="AUG"/>
    <x v="40"/>
    <s v="GRSM 6"/>
    <x v="5"/>
    <s v="GMM"/>
    <n v="211161"/>
    <n v="7103"/>
    <x v="47"/>
    <x v="90"/>
    <s v="AGLIO OLIO"/>
    <n v="2850"/>
    <n v="30"/>
    <n v="85500"/>
    <m/>
  </r>
  <r>
    <x v="11"/>
    <s v="AUG"/>
    <x v="40"/>
    <s v="GRSM 6"/>
    <x v="5"/>
    <s v="GMM"/>
    <n v="211161"/>
    <n v="7103"/>
    <x v="47"/>
    <x v="90"/>
    <s v="GORENG"/>
    <n v="2850"/>
    <n v="342"/>
    <n v="974700"/>
    <m/>
  </r>
  <r>
    <x v="11"/>
    <s v="AUG"/>
    <x v="40"/>
    <s v="GRSM 6"/>
    <x v="5"/>
    <s v="GMM"/>
    <n v="211161"/>
    <n v="7103"/>
    <x v="47"/>
    <x v="91"/>
    <s v="BOLOGNESE"/>
    <n v="2850"/>
    <n v="112"/>
    <n v="319200"/>
    <m/>
  </r>
  <r>
    <x v="11"/>
    <s v="AUG"/>
    <x v="40"/>
    <s v="GRSM 6"/>
    <x v="5"/>
    <s v="GMM"/>
    <n v="211161"/>
    <n v="7103"/>
    <x v="47"/>
    <x v="91"/>
    <s v="CARBONARA"/>
    <n v="2850"/>
    <n v="44"/>
    <n v="125400"/>
    <m/>
  </r>
  <r>
    <x v="11"/>
    <s v="AUG"/>
    <x v="40"/>
    <s v="GRSM 6"/>
    <x v="5"/>
    <s v="GMM"/>
    <n v="211161"/>
    <n v="7103"/>
    <x v="47"/>
    <x v="91"/>
    <s v="AGLIO OLIO"/>
    <n v="2850"/>
    <n v="30"/>
    <n v="85500"/>
    <m/>
  </r>
  <r>
    <x v="11"/>
    <s v="AUG"/>
    <x v="40"/>
    <s v="GRSM 6"/>
    <x v="5"/>
    <s v="GMM"/>
    <n v="211161"/>
    <n v="7103"/>
    <x v="47"/>
    <x v="91"/>
    <s v="GORENG"/>
    <n v="2850"/>
    <n v="342"/>
    <n v="974700"/>
    <m/>
  </r>
  <r>
    <x v="11"/>
    <s v="AUG"/>
    <x v="38"/>
    <s v="GRSM 6"/>
    <x v="5"/>
    <s v="GMM"/>
    <n v="211181"/>
    <n v="3208670"/>
    <x v="49"/>
    <x v="94"/>
    <s v="BOLOGNESE"/>
    <n v="5928"/>
    <n v="45"/>
    <n v="266760"/>
    <m/>
  </r>
  <r>
    <x v="11"/>
    <s v="AUG"/>
    <x v="38"/>
    <s v="GRSM 6"/>
    <x v="5"/>
    <s v="GMM"/>
    <n v="211181"/>
    <n v="3208670"/>
    <x v="49"/>
    <x v="94"/>
    <s v="CARBONARA"/>
    <n v="5928"/>
    <n v="49"/>
    <n v="290472"/>
    <m/>
  </r>
  <r>
    <x v="11"/>
    <s v="AUG"/>
    <x v="38"/>
    <s v="GRSM 6"/>
    <x v="5"/>
    <s v="GMM"/>
    <n v="211181"/>
    <n v="3208670"/>
    <x v="49"/>
    <x v="94"/>
    <s v="AGLIO OLIO"/>
    <n v="5928"/>
    <n v="42"/>
    <n v="248976"/>
    <m/>
  </r>
  <r>
    <x v="11"/>
    <s v="AUG"/>
    <x v="38"/>
    <s v="GRSM 6"/>
    <x v="5"/>
    <s v="GMM"/>
    <n v="211181"/>
    <n v="3208670"/>
    <x v="49"/>
    <x v="94"/>
    <s v="GORENG"/>
    <n v="5928"/>
    <n v="73"/>
    <n v="432744"/>
    <n v="160"/>
  </r>
  <r>
    <x v="11"/>
    <s v="AUG"/>
    <x v="38"/>
    <s v="GRSM 6"/>
    <x v="5"/>
    <s v="GMM"/>
    <n v="211181"/>
    <n v="3208670"/>
    <x v="49"/>
    <x v="95"/>
    <s v="BOLOGNESE"/>
    <n v="5928"/>
    <n v="45"/>
    <n v="266760"/>
    <m/>
  </r>
  <r>
    <x v="11"/>
    <s v="AUG"/>
    <x v="38"/>
    <s v="GRSM 6"/>
    <x v="5"/>
    <s v="GMM"/>
    <n v="211181"/>
    <n v="3208670"/>
    <x v="49"/>
    <x v="95"/>
    <s v="CARBONARA"/>
    <n v="5928"/>
    <n v="49"/>
    <n v="290472"/>
    <m/>
  </r>
  <r>
    <x v="11"/>
    <s v="AUG"/>
    <x v="38"/>
    <s v="GRSM 6"/>
    <x v="5"/>
    <s v="GMM"/>
    <n v="211181"/>
    <n v="3208670"/>
    <x v="49"/>
    <x v="95"/>
    <s v="AGLIO OLIO"/>
    <n v="5928"/>
    <n v="42"/>
    <n v="248976"/>
    <m/>
  </r>
  <r>
    <x v="11"/>
    <s v="AUG"/>
    <x v="38"/>
    <s v="GRSM 6"/>
    <x v="5"/>
    <s v="GMM"/>
    <n v="211181"/>
    <n v="3208670"/>
    <x v="49"/>
    <x v="95"/>
    <s v="GORENG"/>
    <n v="5928"/>
    <n v="73"/>
    <n v="432744"/>
    <n v="160"/>
  </r>
  <r>
    <x v="11"/>
    <s v="AUG"/>
    <x v="39"/>
    <s v="GRSM 6"/>
    <x v="5"/>
    <s v="GMM"/>
    <n v="211181"/>
    <n v="3208670"/>
    <x v="49"/>
    <x v="94"/>
    <s v="BOLOGNESE"/>
    <n v="5900"/>
    <n v="88"/>
    <n v="519200"/>
    <m/>
  </r>
  <r>
    <x v="11"/>
    <s v="AUG"/>
    <x v="39"/>
    <s v="GRSM 6"/>
    <x v="5"/>
    <s v="GMM"/>
    <n v="211181"/>
    <n v="3208670"/>
    <x v="49"/>
    <x v="94"/>
    <s v="CARBONARA"/>
    <n v="5900"/>
    <n v="72"/>
    <n v="424800"/>
    <m/>
  </r>
  <r>
    <x v="11"/>
    <s v="AUG"/>
    <x v="39"/>
    <s v="GRSM 6"/>
    <x v="5"/>
    <s v="GMM"/>
    <n v="211181"/>
    <n v="3208670"/>
    <x v="49"/>
    <x v="94"/>
    <s v="AGLIO OLIO"/>
    <n v="5900"/>
    <n v="74"/>
    <n v="436600"/>
    <m/>
  </r>
  <r>
    <x v="11"/>
    <s v="AUG"/>
    <x v="39"/>
    <s v="GRSM 6"/>
    <x v="5"/>
    <s v="GMM"/>
    <n v="211181"/>
    <n v="3208670"/>
    <x v="49"/>
    <x v="94"/>
    <s v="GORENG"/>
    <n v="5900"/>
    <n v="159"/>
    <n v="938100"/>
    <n v="160"/>
  </r>
  <r>
    <x v="11"/>
    <s v="AUG"/>
    <x v="39"/>
    <s v="GRSM 6"/>
    <x v="5"/>
    <s v="GMM"/>
    <n v="211181"/>
    <n v="3208670"/>
    <x v="49"/>
    <x v="95"/>
    <s v="BOLOGNESE"/>
    <n v="5900"/>
    <n v="88"/>
    <n v="519200"/>
    <m/>
  </r>
  <r>
    <x v="11"/>
    <s v="AUG"/>
    <x v="39"/>
    <s v="GRSM 6"/>
    <x v="5"/>
    <s v="GMM"/>
    <n v="211181"/>
    <n v="3208670"/>
    <x v="49"/>
    <x v="95"/>
    <s v="CARBONARA"/>
    <n v="5900"/>
    <n v="72"/>
    <n v="424800"/>
    <m/>
  </r>
  <r>
    <x v="11"/>
    <s v="AUG"/>
    <x v="39"/>
    <s v="GRSM 6"/>
    <x v="5"/>
    <s v="GMM"/>
    <n v="211181"/>
    <n v="3208670"/>
    <x v="49"/>
    <x v="95"/>
    <s v="AGLIO OLIO"/>
    <n v="5900"/>
    <n v="74"/>
    <n v="436600"/>
    <m/>
  </r>
  <r>
    <x v="11"/>
    <s v="AUG"/>
    <x v="39"/>
    <s v="GRSM 6"/>
    <x v="5"/>
    <s v="GMM"/>
    <n v="211181"/>
    <n v="3208670"/>
    <x v="49"/>
    <x v="95"/>
    <s v="GORENG"/>
    <n v="5900"/>
    <n v="159"/>
    <n v="938100"/>
    <n v="160"/>
  </r>
  <r>
    <x v="11"/>
    <s v="AUG"/>
    <x v="38"/>
    <s v="GRSM 6"/>
    <x v="5"/>
    <s v="GMM"/>
    <n v="170208"/>
    <n v="5765011"/>
    <x v="46"/>
    <x v="88"/>
    <s v="BOLOGNESE"/>
    <n v="2950"/>
    <n v="113"/>
    <n v="333350"/>
    <m/>
  </r>
  <r>
    <x v="11"/>
    <s v="AUG"/>
    <x v="38"/>
    <s v="GRSM 6"/>
    <x v="5"/>
    <s v="GMM"/>
    <n v="170208"/>
    <n v="5765011"/>
    <x v="46"/>
    <x v="88"/>
    <s v="CARBONARA"/>
    <n v="2950"/>
    <n v="100"/>
    <n v="295000"/>
    <m/>
  </r>
  <r>
    <x v="11"/>
    <s v="AUG"/>
    <x v="38"/>
    <s v="GRSM 6"/>
    <x v="5"/>
    <s v="GMM"/>
    <n v="170208"/>
    <n v="5765011"/>
    <x v="46"/>
    <x v="88"/>
    <s v="AGLIO OLIO"/>
    <n v="2950"/>
    <n v="77"/>
    <n v="227150"/>
    <m/>
  </r>
  <r>
    <x v="11"/>
    <s v="AUG"/>
    <x v="38"/>
    <s v="GRSM 6"/>
    <x v="5"/>
    <s v="GMM"/>
    <n v="170208"/>
    <n v="5765011"/>
    <x v="46"/>
    <x v="88"/>
    <s v="GORENG"/>
    <n v="2950"/>
    <n v="98"/>
    <n v="289100"/>
    <n v="160"/>
  </r>
  <r>
    <x v="11"/>
    <s v="AUG"/>
    <x v="38"/>
    <s v="GRSM 6"/>
    <x v="5"/>
    <s v="GMM"/>
    <n v="170208"/>
    <n v="5765011"/>
    <x v="46"/>
    <x v="89"/>
    <s v="BOLOGNESE"/>
    <n v="2950"/>
    <n v="113"/>
    <n v="333350"/>
    <m/>
  </r>
  <r>
    <x v="11"/>
    <s v="AUG"/>
    <x v="38"/>
    <s v="GRSM 6"/>
    <x v="5"/>
    <s v="GMM"/>
    <n v="170208"/>
    <n v="5765011"/>
    <x v="46"/>
    <x v="89"/>
    <s v="CARBONARA"/>
    <n v="2950"/>
    <n v="100"/>
    <n v="295000"/>
    <m/>
  </r>
  <r>
    <x v="11"/>
    <s v="AUG"/>
    <x v="38"/>
    <s v="GRSM 6"/>
    <x v="5"/>
    <s v="GMM"/>
    <n v="170208"/>
    <n v="5765011"/>
    <x v="46"/>
    <x v="89"/>
    <s v="AGLIO OLIO"/>
    <n v="2950"/>
    <n v="77"/>
    <n v="227150"/>
    <m/>
  </r>
  <r>
    <x v="11"/>
    <s v="AUG"/>
    <x v="38"/>
    <s v="GRSM 6"/>
    <x v="5"/>
    <s v="GMM"/>
    <n v="170208"/>
    <n v="5765011"/>
    <x v="46"/>
    <x v="89"/>
    <s v="GORENG"/>
    <n v="2950"/>
    <n v="98"/>
    <n v="289100"/>
    <n v="160"/>
  </r>
  <r>
    <x v="11"/>
    <s v="AUG"/>
    <x v="39"/>
    <s v="GRSM 6"/>
    <x v="5"/>
    <s v="GMM"/>
    <n v="211161"/>
    <n v="7103"/>
    <x v="47"/>
    <x v="91"/>
    <s v="BOLOGNESE"/>
    <n v="2400"/>
    <n v="142"/>
    <n v="340800"/>
    <m/>
  </r>
  <r>
    <x v="11"/>
    <s v="AUG"/>
    <x v="39"/>
    <s v="GRSM 6"/>
    <x v="5"/>
    <s v="GMM"/>
    <n v="211161"/>
    <n v="7103"/>
    <x v="47"/>
    <x v="91"/>
    <s v="CARBONARA"/>
    <n v="2400"/>
    <n v="42"/>
    <n v="100800"/>
    <m/>
  </r>
  <r>
    <x v="11"/>
    <s v="AUG"/>
    <x v="39"/>
    <s v="GRSM 6"/>
    <x v="5"/>
    <s v="GMM"/>
    <n v="211161"/>
    <n v="7103"/>
    <x v="47"/>
    <x v="91"/>
    <s v="AGLIO OLIO"/>
    <n v="2400"/>
    <n v="38"/>
    <n v="91200"/>
    <m/>
  </r>
  <r>
    <x v="11"/>
    <s v="AUG"/>
    <x v="39"/>
    <s v="GRSM 6"/>
    <x v="5"/>
    <s v="GMM"/>
    <n v="211161"/>
    <n v="7103"/>
    <x v="47"/>
    <x v="91"/>
    <s v="GORENG"/>
    <n v="2400"/>
    <n v="308"/>
    <n v="739200"/>
    <m/>
  </r>
  <r>
    <x v="11"/>
    <s v="AUG"/>
    <x v="40"/>
    <s v="GRSM 6"/>
    <x v="5"/>
    <s v="GMM"/>
    <n v="211161"/>
    <n v="710355"/>
    <x v="50"/>
    <x v="96"/>
    <s v="BOLOGNESE"/>
    <n v="6201"/>
    <n v="6"/>
    <n v="37206"/>
    <m/>
  </r>
  <r>
    <x v="11"/>
    <s v="AUG"/>
    <x v="40"/>
    <s v="GRSM 6"/>
    <x v="5"/>
    <s v="GMM"/>
    <n v="211161"/>
    <n v="710355"/>
    <x v="50"/>
    <x v="96"/>
    <s v="CARBONARA"/>
    <n v="6201"/>
    <n v="15"/>
    <n v="93015"/>
    <m/>
  </r>
  <r>
    <x v="11"/>
    <s v="AUG"/>
    <x v="40"/>
    <s v="GRSM 6"/>
    <x v="5"/>
    <s v="GMM"/>
    <n v="211161"/>
    <n v="710355"/>
    <x v="50"/>
    <x v="96"/>
    <s v="AGLIO OLIO"/>
    <n v="6201"/>
    <n v="9"/>
    <n v="55809"/>
    <m/>
  </r>
  <r>
    <x v="11"/>
    <s v="AUG"/>
    <x v="40"/>
    <s v="GRSM 6"/>
    <x v="5"/>
    <s v="GMM"/>
    <n v="211161"/>
    <n v="710355"/>
    <x v="50"/>
    <x v="96"/>
    <s v="GORENG"/>
    <n v="6201"/>
    <n v="84"/>
    <n v="520884"/>
    <m/>
  </r>
  <r>
    <x v="11"/>
    <s v="AUG"/>
    <x v="40"/>
    <s v="GRSM 6"/>
    <x v="5"/>
    <s v="GMM"/>
    <n v="211030"/>
    <n v="5765035"/>
    <x v="51"/>
    <x v="99"/>
    <s v="BOLOGNESE"/>
    <n v="3145"/>
    <n v="51"/>
    <n v="160395"/>
    <m/>
  </r>
  <r>
    <x v="11"/>
    <s v="AUG"/>
    <x v="40"/>
    <s v="GRSM 6"/>
    <x v="5"/>
    <s v="GMM"/>
    <n v="211030"/>
    <n v="5765035"/>
    <x v="51"/>
    <x v="99"/>
    <s v="CARBONARA"/>
    <n v="3145"/>
    <n v="39"/>
    <n v="122655"/>
    <m/>
  </r>
  <r>
    <x v="11"/>
    <s v="AUG"/>
    <x v="40"/>
    <s v="GRSM 6"/>
    <x v="5"/>
    <s v="GMM"/>
    <n v="211030"/>
    <n v="5765035"/>
    <x v="51"/>
    <x v="99"/>
    <s v="AGLIO OLIO"/>
    <n v="3145"/>
    <n v="8"/>
    <n v="25160"/>
    <m/>
  </r>
  <r>
    <x v="11"/>
    <s v="AUG"/>
    <x v="40"/>
    <s v="GRSM 6"/>
    <x v="5"/>
    <s v="GMM"/>
    <n v="211030"/>
    <n v="5765035"/>
    <x v="51"/>
    <x v="99"/>
    <s v="GORENG"/>
    <n v="3145"/>
    <n v="92"/>
    <n v="289340"/>
    <n v="160"/>
  </r>
  <r>
    <x v="11"/>
    <s v="AUG"/>
    <x v="40"/>
    <s v="GRSM 6"/>
    <x v="5"/>
    <s v="GMM"/>
    <n v="211030"/>
    <n v="5766116"/>
    <x v="48"/>
    <x v="92"/>
    <s v="BOLOGNESE"/>
    <n v="6000"/>
    <n v="37"/>
    <n v="222000"/>
    <m/>
  </r>
  <r>
    <x v="11"/>
    <s v="AUG"/>
    <x v="40"/>
    <s v="GRSM 6"/>
    <x v="5"/>
    <s v="GMM"/>
    <n v="211030"/>
    <n v="5766116"/>
    <x v="48"/>
    <x v="92"/>
    <s v="CARBONARA"/>
    <n v="6000"/>
    <n v="20"/>
    <n v="120000"/>
    <m/>
  </r>
  <r>
    <x v="11"/>
    <s v="AUG"/>
    <x v="40"/>
    <s v="GRSM 6"/>
    <x v="5"/>
    <s v="GMM"/>
    <n v="211030"/>
    <n v="5766116"/>
    <x v="48"/>
    <x v="92"/>
    <s v="AGLIO OLIO"/>
    <n v="6000"/>
    <n v="34"/>
    <n v="204000"/>
    <m/>
  </r>
  <r>
    <x v="11"/>
    <s v="AUG"/>
    <x v="40"/>
    <s v="GRSM 6"/>
    <x v="5"/>
    <s v="GMM"/>
    <n v="211030"/>
    <n v="5766116"/>
    <x v="48"/>
    <x v="92"/>
    <s v="GORENG"/>
    <n v="6000"/>
    <n v="43"/>
    <n v="258000"/>
    <m/>
  </r>
  <r>
    <x v="11"/>
    <s v="AUG"/>
    <x v="40"/>
    <s v="GRSM 6"/>
    <x v="5"/>
    <s v="GMM"/>
    <n v="170208"/>
    <n v="5765011"/>
    <x v="46"/>
    <x v="89"/>
    <s v="BOLOGNESE"/>
    <n v="2950"/>
    <n v="2"/>
    <n v="5900"/>
    <m/>
  </r>
  <r>
    <x v="11"/>
    <s v="AUG"/>
    <x v="40"/>
    <s v="GRSM 6"/>
    <x v="5"/>
    <s v="GMM"/>
    <n v="170208"/>
    <n v="5765011"/>
    <x v="46"/>
    <x v="89"/>
    <s v="CARBONARA"/>
    <n v="2950"/>
    <n v="72"/>
    <n v="212400"/>
    <m/>
  </r>
  <r>
    <x v="11"/>
    <s v="AUG"/>
    <x v="40"/>
    <s v="GRSM 6"/>
    <x v="5"/>
    <s v="GMM"/>
    <n v="170208"/>
    <n v="5765011"/>
    <x v="46"/>
    <x v="89"/>
    <s v="AGLIO OLIO"/>
    <n v="2950"/>
    <n v="29"/>
    <n v="85550"/>
    <m/>
  </r>
  <r>
    <x v="11"/>
    <s v="AUG"/>
    <x v="40"/>
    <s v="GRSM 6"/>
    <x v="5"/>
    <s v="GMM"/>
    <n v="170208"/>
    <n v="5765011"/>
    <x v="46"/>
    <x v="89"/>
    <s v="GORENG"/>
    <n v="2950"/>
    <n v="105"/>
    <n v="309750"/>
    <n v="160"/>
  </r>
  <r>
    <x v="11"/>
    <s v="AUG"/>
    <x v="38"/>
    <s v="GRSM 7"/>
    <x v="4"/>
    <s v="GMM"/>
    <n v="103240"/>
    <n v="7112059"/>
    <x v="45"/>
    <x v="87"/>
    <s v="BOLOGNESE"/>
    <n v="3200"/>
    <n v="60"/>
    <n v="192000"/>
    <m/>
  </r>
  <r>
    <x v="11"/>
    <s v="AUG"/>
    <x v="38"/>
    <s v="GRSM 7"/>
    <x v="4"/>
    <s v="GMM"/>
    <n v="103240"/>
    <n v="7112059"/>
    <x v="45"/>
    <x v="87"/>
    <s v="CARBONARA"/>
    <n v="3200"/>
    <n v="67"/>
    <n v="214400"/>
    <m/>
  </r>
  <r>
    <x v="11"/>
    <s v="AUG"/>
    <x v="38"/>
    <s v="GRSM 7"/>
    <x v="4"/>
    <s v="GMM"/>
    <n v="103240"/>
    <n v="7112059"/>
    <x v="45"/>
    <x v="87"/>
    <s v="AGLIO OLIO"/>
    <n v="3200"/>
    <n v="0"/>
    <n v="0"/>
    <m/>
  </r>
  <r>
    <x v="11"/>
    <s v="AUG"/>
    <x v="38"/>
    <s v="GRSM 7"/>
    <x v="4"/>
    <s v="GMM"/>
    <n v="103240"/>
    <n v="7112059"/>
    <x v="45"/>
    <x v="87"/>
    <s v="GORENG"/>
    <n v="3200"/>
    <n v="107"/>
    <n v="342400"/>
    <n v="160"/>
  </r>
  <r>
    <x v="12"/>
    <s v="AUG"/>
    <x v="41"/>
    <s v="GRSM 5"/>
    <x v="1"/>
    <s v="GMM"/>
    <n v="103274"/>
    <n v="1301399"/>
    <x v="41"/>
    <x v="78"/>
    <s v="BOLOGNESE"/>
    <n v="3081"/>
    <n v="40"/>
    <n v="123240"/>
    <m/>
  </r>
  <r>
    <x v="12"/>
    <s v="AUG"/>
    <x v="41"/>
    <s v="GRSM 5"/>
    <x v="1"/>
    <s v="GMM"/>
    <n v="103274"/>
    <n v="1301399"/>
    <x v="41"/>
    <x v="78"/>
    <s v="CARBONARA"/>
    <n v="3081"/>
    <n v="40"/>
    <n v="123240"/>
    <m/>
  </r>
  <r>
    <x v="12"/>
    <s v="AUG"/>
    <x v="41"/>
    <s v="GRSM 5"/>
    <x v="1"/>
    <s v="GMM"/>
    <n v="103274"/>
    <n v="1301399"/>
    <x v="41"/>
    <x v="78"/>
    <s v="AGLIO OLIO"/>
    <n v="3081"/>
    <n v="30"/>
    <n v="92430"/>
    <m/>
  </r>
  <r>
    <x v="12"/>
    <s v="AUG"/>
    <x v="41"/>
    <s v="GRSM 5"/>
    <x v="1"/>
    <s v="GMM"/>
    <n v="103274"/>
    <n v="1301399"/>
    <x v="41"/>
    <x v="78"/>
    <s v="GORENG"/>
    <n v="3081"/>
    <n v="160"/>
    <n v="492960"/>
    <n v="160"/>
  </r>
  <r>
    <x v="12"/>
    <s v="AUG"/>
    <x v="41"/>
    <s v="GRSM 5"/>
    <x v="1"/>
    <s v="GMM"/>
    <n v="103274"/>
    <n v="1301399"/>
    <x v="41"/>
    <x v="79"/>
    <s v="BOLOGNESE"/>
    <n v="3081"/>
    <n v="40"/>
    <n v="123240"/>
    <m/>
  </r>
  <r>
    <x v="12"/>
    <s v="AUG"/>
    <x v="41"/>
    <s v="GRSM 5"/>
    <x v="1"/>
    <s v="GMM"/>
    <n v="103274"/>
    <n v="1301399"/>
    <x v="41"/>
    <x v="79"/>
    <s v="CARBONARA"/>
    <n v="3081"/>
    <n v="40"/>
    <n v="123240"/>
    <m/>
  </r>
  <r>
    <x v="12"/>
    <s v="AUG"/>
    <x v="41"/>
    <s v="GRSM 5"/>
    <x v="1"/>
    <s v="GMM"/>
    <n v="103274"/>
    <n v="1301399"/>
    <x v="41"/>
    <x v="79"/>
    <s v="AGLIO OLIO"/>
    <n v="3081"/>
    <n v="30"/>
    <n v="92430"/>
    <m/>
  </r>
  <r>
    <x v="12"/>
    <s v="AUG"/>
    <x v="41"/>
    <s v="GRSM 5"/>
    <x v="1"/>
    <s v="GMM"/>
    <n v="103274"/>
    <n v="1301399"/>
    <x v="41"/>
    <x v="79"/>
    <s v="GORENG"/>
    <n v="3081"/>
    <n v="160"/>
    <n v="492960"/>
    <n v="160"/>
  </r>
  <r>
    <x v="12"/>
    <s v="AUG"/>
    <x v="41"/>
    <s v="GRSM 5"/>
    <x v="1"/>
    <s v="GMM"/>
    <n v="211050"/>
    <n v="2910733"/>
    <x v="52"/>
    <x v="80"/>
    <s v="BOLOGNESE"/>
    <n v="3000"/>
    <n v="42"/>
    <n v="126000"/>
    <m/>
  </r>
  <r>
    <x v="12"/>
    <s v="AUG"/>
    <x v="41"/>
    <s v="GRSM 5"/>
    <x v="1"/>
    <s v="GMM"/>
    <n v="211050"/>
    <n v="2910733"/>
    <x v="52"/>
    <x v="80"/>
    <s v="CARBONARA"/>
    <n v="3000"/>
    <n v="165"/>
    <n v="495000"/>
    <m/>
  </r>
  <r>
    <x v="12"/>
    <s v="AUG"/>
    <x v="41"/>
    <s v="GRSM 5"/>
    <x v="1"/>
    <s v="GMM"/>
    <n v="211050"/>
    <n v="2910733"/>
    <x v="52"/>
    <x v="80"/>
    <s v="AGLIO OLIO"/>
    <n v="3000"/>
    <n v="12"/>
    <n v="36000"/>
    <m/>
  </r>
  <r>
    <x v="12"/>
    <s v="AUG"/>
    <x v="41"/>
    <s v="GRSM 5"/>
    <x v="1"/>
    <s v="GMM"/>
    <n v="211050"/>
    <n v="2910733"/>
    <x v="52"/>
    <x v="80"/>
    <s v="GORENG"/>
    <n v="3000"/>
    <n v="45"/>
    <n v="135000"/>
    <n v="160"/>
  </r>
  <r>
    <x v="12"/>
    <s v="AUG"/>
    <x v="41"/>
    <s v="GRSM 5"/>
    <x v="1"/>
    <s v="GMM"/>
    <n v="211050"/>
    <n v="2910733"/>
    <x v="52"/>
    <x v="81"/>
    <s v="BOLOGNESE"/>
    <n v="3000"/>
    <n v="42"/>
    <n v="126000"/>
    <m/>
  </r>
  <r>
    <x v="12"/>
    <s v="AUG"/>
    <x v="41"/>
    <s v="GRSM 5"/>
    <x v="1"/>
    <s v="GMM"/>
    <n v="211050"/>
    <n v="2910733"/>
    <x v="52"/>
    <x v="81"/>
    <s v="CARBONARA"/>
    <n v="3000"/>
    <n v="165"/>
    <n v="495000"/>
    <m/>
  </r>
  <r>
    <x v="12"/>
    <s v="AUG"/>
    <x v="41"/>
    <s v="GRSM 5"/>
    <x v="1"/>
    <s v="GMM"/>
    <n v="211050"/>
    <n v="2910733"/>
    <x v="52"/>
    <x v="81"/>
    <s v="AGLIO OLIO"/>
    <n v="3000"/>
    <n v="12"/>
    <n v="36000"/>
    <m/>
  </r>
  <r>
    <x v="12"/>
    <s v="AUG"/>
    <x v="41"/>
    <s v="GRSM 5"/>
    <x v="1"/>
    <s v="GMM"/>
    <n v="211050"/>
    <n v="2910733"/>
    <x v="52"/>
    <x v="81"/>
    <s v="GORENG"/>
    <n v="3000"/>
    <n v="45"/>
    <n v="135000"/>
    <n v="160"/>
  </r>
  <r>
    <x v="12"/>
    <s v="AUG"/>
    <x v="41"/>
    <s v="GRSM 5"/>
    <x v="1"/>
    <s v="MT"/>
    <n v="166102"/>
    <n v="9000058"/>
    <x v="55"/>
    <x v="108"/>
    <s v="BOLOGNESE"/>
    <n v="3199"/>
    <n v="95"/>
    <n v="303905"/>
    <m/>
  </r>
  <r>
    <x v="12"/>
    <s v="AUG"/>
    <x v="41"/>
    <s v="GRSM 5"/>
    <x v="1"/>
    <s v="MT"/>
    <n v="166102"/>
    <n v="9000058"/>
    <x v="55"/>
    <x v="108"/>
    <s v="CARBONARA"/>
    <n v="3199"/>
    <n v="0"/>
    <n v="0"/>
    <m/>
  </r>
  <r>
    <x v="12"/>
    <s v="AUG"/>
    <x v="41"/>
    <s v="GRSM 5"/>
    <x v="1"/>
    <s v="MT"/>
    <n v="166102"/>
    <n v="9000058"/>
    <x v="55"/>
    <x v="108"/>
    <s v="AGLIO OLIO"/>
    <n v="3199"/>
    <n v="35"/>
    <n v="111965"/>
    <m/>
  </r>
  <r>
    <x v="12"/>
    <s v="AUG"/>
    <x v="41"/>
    <s v="GRSM 5"/>
    <x v="1"/>
    <s v="MT"/>
    <n v="166102"/>
    <n v="9000058"/>
    <x v="55"/>
    <x v="108"/>
    <s v="GORENG"/>
    <n v="3199"/>
    <n v="190"/>
    <n v="607810"/>
    <n v="160"/>
  </r>
  <r>
    <x v="12"/>
    <s v="AUG"/>
    <x v="41"/>
    <s v="GRSM 5"/>
    <x v="1"/>
    <s v="MT"/>
    <n v="166102"/>
    <n v="9000058"/>
    <x v="55"/>
    <x v="109"/>
    <s v="BOLOGNESE"/>
    <n v="3199"/>
    <n v="95"/>
    <n v="303905"/>
    <m/>
  </r>
  <r>
    <x v="12"/>
    <s v="AUG"/>
    <x v="41"/>
    <s v="GRSM 5"/>
    <x v="1"/>
    <s v="MT"/>
    <n v="166102"/>
    <n v="9000058"/>
    <x v="55"/>
    <x v="109"/>
    <s v="CARBONARA"/>
    <n v="3199"/>
    <n v="0"/>
    <n v="0"/>
    <m/>
  </r>
  <r>
    <x v="12"/>
    <s v="AUG"/>
    <x v="41"/>
    <s v="GRSM 5"/>
    <x v="1"/>
    <s v="MT"/>
    <n v="166102"/>
    <n v="9000058"/>
    <x v="55"/>
    <x v="109"/>
    <s v="AGLIO OLIO"/>
    <n v="3199"/>
    <n v="35"/>
    <n v="111965"/>
    <m/>
  </r>
  <r>
    <x v="12"/>
    <s v="AUG"/>
    <x v="41"/>
    <s v="GRSM 5"/>
    <x v="1"/>
    <s v="MT"/>
    <n v="166102"/>
    <n v="9000058"/>
    <x v="55"/>
    <x v="109"/>
    <s v="GORENG"/>
    <n v="3199"/>
    <n v="190"/>
    <n v="607810"/>
    <n v="160"/>
  </r>
  <r>
    <x v="12"/>
    <s v="AUG"/>
    <x v="41"/>
    <s v="GRSM 5"/>
    <x v="1"/>
    <s v="GMM"/>
    <n v="0"/>
    <n v="0"/>
    <x v="53"/>
    <x v="103"/>
    <s v="BOLOGNESE"/>
    <n v="3200"/>
    <n v="53"/>
    <n v="169600"/>
    <m/>
  </r>
  <r>
    <x v="12"/>
    <s v="AUG"/>
    <x v="41"/>
    <s v="GRSM 5"/>
    <x v="1"/>
    <s v="GMM"/>
    <n v="0"/>
    <n v="0"/>
    <x v="53"/>
    <x v="103"/>
    <s v="CARBONARA"/>
    <n v="3200"/>
    <n v="57"/>
    <n v="182400"/>
    <m/>
  </r>
  <r>
    <x v="12"/>
    <s v="AUG"/>
    <x v="41"/>
    <s v="GRSM 5"/>
    <x v="1"/>
    <s v="GMM"/>
    <n v="0"/>
    <n v="0"/>
    <x v="53"/>
    <x v="103"/>
    <s v="AGLIO OLIO"/>
    <n v="3200"/>
    <n v="49"/>
    <n v="156800"/>
    <m/>
  </r>
  <r>
    <x v="12"/>
    <s v="AUG"/>
    <x v="41"/>
    <s v="GRSM 5"/>
    <x v="1"/>
    <s v="GMM"/>
    <n v="0"/>
    <n v="0"/>
    <x v="53"/>
    <x v="103"/>
    <s v="GORENG"/>
    <n v="3200"/>
    <n v="127"/>
    <n v="406400"/>
    <n v="124"/>
  </r>
  <r>
    <x v="12"/>
    <s v="AUG"/>
    <x v="41"/>
    <s v="GRSM 5"/>
    <x v="1"/>
    <s v="GMM"/>
    <n v="0"/>
    <n v="0"/>
    <x v="53"/>
    <x v="104"/>
    <s v="BOLOGNESE"/>
    <n v="3200"/>
    <n v="53"/>
    <n v="169600"/>
    <m/>
  </r>
  <r>
    <x v="12"/>
    <s v="AUG"/>
    <x v="41"/>
    <s v="GRSM 5"/>
    <x v="1"/>
    <s v="GMM"/>
    <n v="0"/>
    <n v="0"/>
    <x v="53"/>
    <x v="104"/>
    <s v="CARBONARA"/>
    <n v="3200"/>
    <n v="57"/>
    <n v="182400"/>
    <m/>
  </r>
  <r>
    <x v="12"/>
    <s v="AUG"/>
    <x v="41"/>
    <s v="GRSM 5"/>
    <x v="1"/>
    <s v="GMM"/>
    <n v="0"/>
    <n v="0"/>
    <x v="53"/>
    <x v="104"/>
    <s v="AGLIO OLIO"/>
    <n v="3200"/>
    <n v="49"/>
    <n v="156800"/>
    <m/>
  </r>
  <r>
    <x v="12"/>
    <s v="AUG"/>
    <x v="41"/>
    <s v="GRSM 5"/>
    <x v="1"/>
    <s v="GMM"/>
    <n v="0"/>
    <n v="0"/>
    <x v="53"/>
    <x v="104"/>
    <s v="GORENG"/>
    <n v="3200"/>
    <n v="127"/>
    <n v="406400"/>
    <n v="124"/>
  </r>
  <r>
    <x v="12"/>
    <s v="AUG"/>
    <x v="41"/>
    <s v="GRSM 5"/>
    <x v="1"/>
    <s v="GMM"/>
    <n v="103222"/>
    <n v="106437"/>
    <x v="43"/>
    <x v="82"/>
    <s v="BOLOGNESE"/>
    <n v="2990"/>
    <n v="60"/>
    <n v="179400"/>
    <m/>
  </r>
  <r>
    <x v="12"/>
    <s v="AUG"/>
    <x v="41"/>
    <s v="GRSM 5"/>
    <x v="1"/>
    <s v="GMM"/>
    <n v="103222"/>
    <n v="106437"/>
    <x v="43"/>
    <x v="82"/>
    <s v="CARBONARA"/>
    <n v="2990"/>
    <n v="140"/>
    <n v="418600"/>
    <m/>
  </r>
  <r>
    <x v="12"/>
    <s v="AUG"/>
    <x v="41"/>
    <s v="GRSM 5"/>
    <x v="1"/>
    <s v="GMM"/>
    <n v="103222"/>
    <n v="106437"/>
    <x v="43"/>
    <x v="82"/>
    <s v="AGLIO OLIO"/>
    <n v="2990"/>
    <n v="0"/>
    <n v="0"/>
    <m/>
  </r>
  <r>
    <x v="12"/>
    <s v="AUG"/>
    <x v="41"/>
    <s v="GRSM 5"/>
    <x v="1"/>
    <s v="GMM"/>
    <n v="103222"/>
    <n v="106437"/>
    <x v="43"/>
    <x v="82"/>
    <s v="GORENG"/>
    <n v="2990"/>
    <n v="185"/>
    <n v="553150"/>
    <n v="160"/>
  </r>
  <r>
    <x v="12"/>
    <s v="AUG"/>
    <x v="41"/>
    <s v="GRSM 5"/>
    <x v="1"/>
    <s v="GMM"/>
    <n v="103222"/>
    <n v="106437"/>
    <x v="43"/>
    <x v="83"/>
    <s v="BOLOGNESE"/>
    <n v="2990"/>
    <n v="60"/>
    <n v="179400"/>
    <m/>
  </r>
  <r>
    <x v="12"/>
    <s v="AUG"/>
    <x v="41"/>
    <s v="GRSM 5"/>
    <x v="1"/>
    <s v="GMM"/>
    <n v="103222"/>
    <n v="106437"/>
    <x v="43"/>
    <x v="83"/>
    <s v="CARBONARA"/>
    <n v="2990"/>
    <n v="140"/>
    <n v="418600"/>
    <m/>
  </r>
  <r>
    <x v="12"/>
    <s v="AUG"/>
    <x v="41"/>
    <s v="GRSM 5"/>
    <x v="1"/>
    <s v="GMM"/>
    <n v="103222"/>
    <n v="106437"/>
    <x v="43"/>
    <x v="83"/>
    <s v="AGLIO OLIO"/>
    <n v="2990"/>
    <n v="0"/>
    <n v="0"/>
    <m/>
  </r>
  <r>
    <x v="12"/>
    <s v="AUG"/>
    <x v="41"/>
    <s v="GRSM 5"/>
    <x v="1"/>
    <s v="GMM"/>
    <n v="103222"/>
    <n v="106437"/>
    <x v="43"/>
    <x v="83"/>
    <s v="GORENG"/>
    <n v="2990"/>
    <n v="185"/>
    <n v="553150"/>
    <n v="160"/>
  </r>
  <r>
    <x v="12"/>
    <s v="AUG"/>
    <x v="41"/>
    <s v="GRSM 5"/>
    <x v="1"/>
    <s v="GMM"/>
    <n v="211051"/>
    <n v="5580008"/>
    <x v="40"/>
    <x v="76"/>
    <s v="BOLOGNESE"/>
    <n v="3000"/>
    <n v="90"/>
    <n v="270000"/>
    <m/>
  </r>
  <r>
    <x v="12"/>
    <s v="AUG"/>
    <x v="41"/>
    <s v="GRSM 5"/>
    <x v="1"/>
    <s v="GMM"/>
    <n v="211051"/>
    <n v="5580008"/>
    <x v="40"/>
    <x v="76"/>
    <s v="CARBONARA"/>
    <n v="3000"/>
    <n v="110"/>
    <n v="330000"/>
    <m/>
  </r>
  <r>
    <x v="12"/>
    <s v="AUG"/>
    <x v="41"/>
    <s v="GRSM 5"/>
    <x v="1"/>
    <s v="GMM"/>
    <n v="211051"/>
    <n v="5580008"/>
    <x v="40"/>
    <x v="76"/>
    <s v="AGLIO OLIO"/>
    <n v="3000"/>
    <n v="46"/>
    <n v="138000"/>
    <m/>
  </r>
  <r>
    <x v="12"/>
    <s v="AUG"/>
    <x v="41"/>
    <s v="GRSM 5"/>
    <x v="1"/>
    <s v="GMM"/>
    <n v="211051"/>
    <n v="5580008"/>
    <x v="40"/>
    <x v="76"/>
    <s v="GORENG"/>
    <n v="3000"/>
    <n v="148"/>
    <n v="444000"/>
    <n v="160"/>
  </r>
  <r>
    <x v="12"/>
    <s v="AUG"/>
    <x v="41"/>
    <s v="GRSM 5"/>
    <x v="1"/>
    <s v="GMM"/>
    <n v="211051"/>
    <n v="5580008"/>
    <x v="40"/>
    <x v="77"/>
    <s v="BOLOGNESE"/>
    <n v="3000"/>
    <n v="90"/>
    <n v="270000"/>
    <m/>
  </r>
  <r>
    <x v="12"/>
    <s v="AUG"/>
    <x v="41"/>
    <s v="GRSM 5"/>
    <x v="1"/>
    <s v="GMM"/>
    <n v="211051"/>
    <n v="5580008"/>
    <x v="40"/>
    <x v="77"/>
    <s v="CARBONARA"/>
    <n v="3000"/>
    <n v="110"/>
    <n v="330000"/>
    <m/>
  </r>
  <r>
    <x v="12"/>
    <s v="AUG"/>
    <x v="41"/>
    <s v="GRSM 5"/>
    <x v="1"/>
    <s v="GMM"/>
    <n v="211051"/>
    <n v="5580008"/>
    <x v="40"/>
    <x v="77"/>
    <s v="AGLIO OLIO"/>
    <n v="3000"/>
    <n v="46"/>
    <n v="138000"/>
    <m/>
  </r>
  <r>
    <x v="12"/>
    <s v="AUG"/>
    <x v="41"/>
    <s v="GRSM 5"/>
    <x v="1"/>
    <s v="GMM"/>
    <n v="211051"/>
    <n v="5580008"/>
    <x v="40"/>
    <x v="77"/>
    <s v="GORENG"/>
    <n v="3000"/>
    <n v="148"/>
    <n v="444000"/>
    <n v="160"/>
  </r>
  <r>
    <x v="12"/>
    <s v="AUG"/>
    <x v="41"/>
    <s v="GRSM 5"/>
    <x v="1"/>
    <s v="GMM"/>
    <n v="0"/>
    <n v="0"/>
    <x v="59"/>
    <x v="116"/>
    <s v="BOLOGNESE"/>
    <n v="2950"/>
    <n v="0"/>
    <n v="0"/>
    <m/>
  </r>
  <r>
    <x v="12"/>
    <s v="AUG"/>
    <x v="41"/>
    <s v="GRSM 5"/>
    <x v="1"/>
    <s v="GMM"/>
    <n v="0"/>
    <n v="0"/>
    <x v="59"/>
    <x v="116"/>
    <s v="CARBONARA"/>
    <n v="2950"/>
    <n v="80"/>
    <n v="236000"/>
    <m/>
  </r>
  <r>
    <x v="12"/>
    <s v="AUG"/>
    <x v="41"/>
    <s v="GRSM 5"/>
    <x v="1"/>
    <s v="GMM"/>
    <n v="0"/>
    <n v="0"/>
    <x v="59"/>
    <x v="116"/>
    <s v="AGLIO OLIO"/>
    <n v="2950"/>
    <n v="40"/>
    <n v="118000"/>
    <m/>
  </r>
  <r>
    <x v="12"/>
    <s v="AUG"/>
    <x v="41"/>
    <s v="GRSM 5"/>
    <x v="1"/>
    <s v="GMM"/>
    <n v="0"/>
    <n v="0"/>
    <x v="59"/>
    <x v="116"/>
    <s v="GORENG"/>
    <n v="2950"/>
    <n v="200"/>
    <n v="590000"/>
    <n v="160"/>
  </r>
  <r>
    <x v="12"/>
    <s v="AUG"/>
    <x v="41"/>
    <s v="GRSM 5"/>
    <x v="1"/>
    <s v="GMM"/>
    <n v="0"/>
    <n v="0"/>
    <x v="59"/>
    <x v="117"/>
    <s v="BOLOGNESE"/>
    <n v="2950"/>
    <n v="0"/>
    <n v="0"/>
    <m/>
  </r>
  <r>
    <x v="12"/>
    <s v="AUG"/>
    <x v="41"/>
    <s v="GRSM 5"/>
    <x v="1"/>
    <s v="GMM"/>
    <n v="0"/>
    <n v="0"/>
    <x v="59"/>
    <x v="117"/>
    <s v="CARBONARA"/>
    <n v="2950"/>
    <n v="80"/>
    <n v="236000"/>
    <m/>
  </r>
  <r>
    <x v="12"/>
    <s v="AUG"/>
    <x v="41"/>
    <s v="GRSM 5"/>
    <x v="1"/>
    <s v="GMM"/>
    <n v="0"/>
    <n v="0"/>
    <x v="59"/>
    <x v="117"/>
    <s v="AGLIO OLIO"/>
    <n v="2950"/>
    <n v="40"/>
    <n v="118000"/>
    <m/>
  </r>
  <r>
    <x v="12"/>
    <s v="AUG"/>
    <x v="41"/>
    <s v="GRSM 5"/>
    <x v="1"/>
    <s v="GMM"/>
    <n v="0"/>
    <n v="0"/>
    <x v="59"/>
    <x v="117"/>
    <s v="GORENG"/>
    <n v="2950"/>
    <n v="200"/>
    <n v="590000"/>
    <n v="160"/>
  </r>
  <r>
    <x v="12"/>
    <s v="AUG"/>
    <x v="41"/>
    <s v="GRSM 5"/>
    <x v="1"/>
    <s v="GMM"/>
    <n v="211009"/>
    <n v="2100003"/>
    <x v="54"/>
    <x v="105"/>
    <s v="BOLOGNESE"/>
    <n v="2900"/>
    <n v="20"/>
    <n v="58000"/>
    <m/>
  </r>
  <r>
    <x v="12"/>
    <s v="AUG"/>
    <x v="41"/>
    <s v="GRSM 5"/>
    <x v="1"/>
    <s v="GMM"/>
    <n v="211009"/>
    <n v="2100003"/>
    <x v="54"/>
    <x v="105"/>
    <s v="CARBONARA"/>
    <n v="2900"/>
    <n v="14"/>
    <n v="40600"/>
    <m/>
  </r>
  <r>
    <x v="12"/>
    <s v="AUG"/>
    <x v="41"/>
    <s v="GRSM 5"/>
    <x v="1"/>
    <s v="GMM"/>
    <n v="211009"/>
    <n v="2100003"/>
    <x v="54"/>
    <x v="105"/>
    <s v="AGLIO OLIO"/>
    <n v="2900"/>
    <n v="16"/>
    <n v="46400"/>
    <m/>
  </r>
  <r>
    <x v="12"/>
    <s v="AUG"/>
    <x v="41"/>
    <s v="GRSM 5"/>
    <x v="1"/>
    <s v="GMM"/>
    <n v="211009"/>
    <n v="2100003"/>
    <x v="54"/>
    <x v="105"/>
    <s v="GORENG"/>
    <n v="2900"/>
    <n v="136"/>
    <n v="394400"/>
    <n v="160"/>
  </r>
  <r>
    <x v="12"/>
    <s v="AUG"/>
    <x v="41"/>
    <s v="GRSM 5"/>
    <x v="1"/>
    <s v="GMM"/>
    <n v="211009"/>
    <n v="2100003"/>
    <x v="54"/>
    <x v="106"/>
    <s v="BOLOGNESE"/>
    <n v="2900"/>
    <n v="20"/>
    <n v="58000"/>
    <m/>
  </r>
  <r>
    <x v="12"/>
    <s v="AUG"/>
    <x v="41"/>
    <s v="GRSM 5"/>
    <x v="1"/>
    <s v="GMM"/>
    <n v="211009"/>
    <n v="2100003"/>
    <x v="54"/>
    <x v="106"/>
    <s v="CARBONARA"/>
    <n v="2900"/>
    <n v="14"/>
    <n v="40600"/>
    <m/>
  </r>
  <r>
    <x v="12"/>
    <s v="AUG"/>
    <x v="41"/>
    <s v="GRSM 5"/>
    <x v="1"/>
    <s v="GMM"/>
    <n v="211009"/>
    <n v="2100003"/>
    <x v="54"/>
    <x v="106"/>
    <s v="AGLIO OLIO"/>
    <n v="2900"/>
    <n v="16"/>
    <n v="46400"/>
    <m/>
  </r>
  <r>
    <x v="12"/>
    <s v="AUG"/>
    <x v="41"/>
    <s v="GRSM 5"/>
    <x v="1"/>
    <s v="GMM"/>
    <n v="211009"/>
    <n v="2100003"/>
    <x v="54"/>
    <x v="106"/>
    <s v="GORENG"/>
    <n v="2900"/>
    <n v="136"/>
    <n v="394400"/>
    <n v="160"/>
  </r>
  <r>
    <x v="12"/>
    <s v="AUG"/>
    <x v="41"/>
    <s v="GRSM 5"/>
    <x v="1"/>
    <s v="GMM"/>
    <n v="0"/>
    <n v="0"/>
    <x v="60"/>
    <x v="110"/>
    <s v="BOLOGNESE"/>
    <n v="2900"/>
    <n v="100"/>
    <n v="290000"/>
    <m/>
  </r>
  <r>
    <x v="12"/>
    <s v="AUG"/>
    <x v="41"/>
    <s v="GRSM 5"/>
    <x v="1"/>
    <s v="GMM"/>
    <n v="0"/>
    <n v="0"/>
    <x v="60"/>
    <x v="110"/>
    <s v="CARBONARA"/>
    <n v="2900"/>
    <n v="100"/>
    <n v="290000"/>
    <m/>
  </r>
  <r>
    <x v="12"/>
    <s v="AUG"/>
    <x v="41"/>
    <s v="GRSM 5"/>
    <x v="1"/>
    <s v="GMM"/>
    <n v="0"/>
    <n v="0"/>
    <x v="60"/>
    <x v="110"/>
    <s v="AGLIO OLIO"/>
    <n v="2900"/>
    <n v="100"/>
    <n v="290000"/>
    <m/>
  </r>
  <r>
    <x v="12"/>
    <s v="AUG"/>
    <x v="41"/>
    <s v="GRSM 5"/>
    <x v="1"/>
    <s v="GMM"/>
    <n v="0"/>
    <n v="0"/>
    <x v="60"/>
    <x v="110"/>
    <s v="GORENG"/>
    <n v="2900"/>
    <n v="100"/>
    <n v="290000"/>
    <n v="160"/>
  </r>
  <r>
    <x v="12"/>
    <s v="AUG"/>
    <x v="41"/>
    <s v="GRSM 5"/>
    <x v="1"/>
    <s v="GMM"/>
    <n v="0"/>
    <n v="0"/>
    <x v="60"/>
    <x v="111"/>
    <s v="BOLOGNESE"/>
    <n v="2900"/>
    <n v="100"/>
    <n v="290000"/>
    <m/>
  </r>
  <r>
    <x v="12"/>
    <s v="AUG"/>
    <x v="41"/>
    <s v="GRSM 5"/>
    <x v="1"/>
    <s v="GMM"/>
    <n v="0"/>
    <n v="0"/>
    <x v="60"/>
    <x v="111"/>
    <s v="CARBONARA"/>
    <n v="2900"/>
    <n v="100"/>
    <n v="290000"/>
    <m/>
  </r>
  <r>
    <x v="12"/>
    <s v="AUG"/>
    <x v="41"/>
    <s v="GRSM 5"/>
    <x v="1"/>
    <s v="GMM"/>
    <n v="0"/>
    <n v="0"/>
    <x v="60"/>
    <x v="111"/>
    <s v="AGLIO OLIO"/>
    <n v="2900"/>
    <n v="100"/>
    <n v="290000"/>
    <m/>
  </r>
  <r>
    <x v="12"/>
    <s v="AUG"/>
    <x v="41"/>
    <s v="GRSM 5"/>
    <x v="1"/>
    <s v="GMM"/>
    <n v="0"/>
    <n v="0"/>
    <x v="60"/>
    <x v="111"/>
    <s v="GORENG"/>
    <n v="2900"/>
    <n v="100"/>
    <n v="290000"/>
    <n v="160"/>
  </r>
  <r>
    <x v="12"/>
    <s v="AUG"/>
    <x v="42"/>
    <s v="GRSM 5"/>
    <x v="1"/>
    <s v="GMM"/>
    <n v="103274"/>
    <n v="1301399"/>
    <x v="41"/>
    <x v="78"/>
    <s v="BOLOGNESE"/>
    <n v="3111"/>
    <n v="80"/>
    <n v="248880"/>
    <m/>
  </r>
  <r>
    <x v="12"/>
    <s v="AUG"/>
    <x v="42"/>
    <s v="GRSM 5"/>
    <x v="1"/>
    <s v="GMM"/>
    <n v="103274"/>
    <n v="1301399"/>
    <x v="41"/>
    <x v="78"/>
    <s v="CARBONARA"/>
    <n v="3111"/>
    <n v="60"/>
    <n v="186660"/>
    <m/>
  </r>
  <r>
    <x v="12"/>
    <s v="AUG"/>
    <x v="42"/>
    <s v="GRSM 5"/>
    <x v="1"/>
    <s v="GMM"/>
    <n v="103274"/>
    <n v="1301399"/>
    <x v="41"/>
    <x v="78"/>
    <s v="AGLIO OLIO"/>
    <n v="3111"/>
    <n v="10"/>
    <n v="31110"/>
    <m/>
  </r>
  <r>
    <x v="12"/>
    <s v="AUG"/>
    <x v="42"/>
    <s v="GRSM 5"/>
    <x v="1"/>
    <s v="GMM"/>
    <n v="103274"/>
    <n v="1301399"/>
    <x v="41"/>
    <x v="78"/>
    <s v="GORENG"/>
    <n v="3111"/>
    <n v="120"/>
    <n v="373320"/>
    <n v="160"/>
  </r>
  <r>
    <x v="12"/>
    <s v="AUG"/>
    <x v="42"/>
    <s v="GRSM 5"/>
    <x v="1"/>
    <s v="GMM"/>
    <n v="103274"/>
    <n v="1301399"/>
    <x v="41"/>
    <x v="79"/>
    <s v="BOLOGNESE"/>
    <n v="3111"/>
    <n v="80"/>
    <n v="248880"/>
    <m/>
  </r>
  <r>
    <x v="12"/>
    <s v="AUG"/>
    <x v="42"/>
    <s v="GRSM 5"/>
    <x v="1"/>
    <s v="GMM"/>
    <n v="103274"/>
    <n v="1301399"/>
    <x v="41"/>
    <x v="79"/>
    <s v="CARBONARA"/>
    <n v="3111"/>
    <n v="60"/>
    <n v="186660"/>
    <m/>
  </r>
  <r>
    <x v="12"/>
    <s v="AUG"/>
    <x v="42"/>
    <s v="GRSM 5"/>
    <x v="1"/>
    <s v="GMM"/>
    <n v="103274"/>
    <n v="1301399"/>
    <x v="41"/>
    <x v="79"/>
    <s v="AGLIO OLIO"/>
    <n v="3111"/>
    <n v="10"/>
    <n v="31110"/>
    <m/>
  </r>
  <r>
    <x v="12"/>
    <s v="AUG"/>
    <x v="42"/>
    <s v="GRSM 5"/>
    <x v="1"/>
    <s v="GMM"/>
    <n v="103274"/>
    <n v="1301399"/>
    <x v="41"/>
    <x v="79"/>
    <s v="GORENG"/>
    <n v="3111"/>
    <n v="120"/>
    <n v="373320"/>
    <n v="160"/>
  </r>
  <r>
    <x v="12"/>
    <s v="AUG"/>
    <x v="42"/>
    <s v="GRSM 5"/>
    <x v="1"/>
    <s v="GMM"/>
    <n v="211050"/>
    <n v="2910733"/>
    <x v="52"/>
    <x v="80"/>
    <s v="BOLOGNESE"/>
    <n v="3000"/>
    <n v="30"/>
    <n v="90000"/>
    <m/>
  </r>
  <r>
    <x v="12"/>
    <s v="AUG"/>
    <x v="42"/>
    <s v="GRSM 5"/>
    <x v="1"/>
    <s v="GMM"/>
    <n v="211050"/>
    <n v="2910733"/>
    <x v="52"/>
    <x v="80"/>
    <s v="CARBONARA"/>
    <n v="3000"/>
    <n v="234"/>
    <n v="702000"/>
    <m/>
  </r>
  <r>
    <x v="12"/>
    <s v="AUG"/>
    <x v="42"/>
    <s v="GRSM 5"/>
    <x v="1"/>
    <s v="GMM"/>
    <n v="211050"/>
    <n v="2910733"/>
    <x v="52"/>
    <x v="80"/>
    <s v="AGLIO OLIO"/>
    <n v="3000"/>
    <n v="9"/>
    <n v="27000"/>
    <m/>
  </r>
  <r>
    <x v="12"/>
    <s v="AUG"/>
    <x v="42"/>
    <s v="GRSM 5"/>
    <x v="1"/>
    <s v="GMM"/>
    <n v="211050"/>
    <n v="2910733"/>
    <x v="52"/>
    <x v="80"/>
    <s v="GORENG"/>
    <n v="3000"/>
    <n v="129"/>
    <n v="387000"/>
    <n v="160"/>
  </r>
  <r>
    <x v="12"/>
    <s v="AUG"/>
    <x v="42"/>
    <s v="GRSM 5"/>
    <x v="1"/>
    <s v="GMM"/>
    <n v="211050"/>
    <n v="2910733"/>
    <x v="52"/>
    <x v="81"/>
    <s v="BOLOGNESE"/>
    <n v="3000"/>
    <n v="30"/>
    <n v="90000"/>
    <m/>
  </r>
  <r>
    <x v="12"/>
    <s v="AUG"/>
    <x v="42"/>
    <s v="GRSM 5"/>
    <x v="1"/>
    <s v="GMM"/>
    <n v="211050"/>
    <n v="2910733"/>
    <x v="52"/>
    <x v="81"/>
    <s v="CARBONARA"/>
    <n v="3000"/>
    <n v="234"/>
    <n v="702000"/>
    <m/>
  </r>
  <r>
    <x v="12"/>
    <s v="AUG"/>
    <x v="42"/>
    <s v="GRSM 5"/>
    <x v="1"/>
    <s v="GMM"/>
    <n v="211050"/>
    <n v="2910733"/>
    <x v="52"/>
    <x v="81"/>
    <s v="AGLIO OLIO"/>
    <n v="3000"/>
    <n v="9"/>
    <n v="27000"/>
    <m/>
  </r>
  <r>
    <x v="12"/>
    <s v="AUG"/>
    <x v="42"/>
    <s v="GRSM 5"/>
    <x v="1"/>
    <s v="GMM"/>
    <n v="211050"/>
    <n v="2910733"/>
    <x v="52"/>
    <x v="81"/>
    <s v="GORENG"/>
    <n v="3000"/>
    <n v="129"/>
    <n v="387000"/>
    <n v="160"/>
  </r>
  <r>
    <x v="12"/>
    <s v="AUG"/>
    <x v="42"/>
    <s v="GRSM 5"/>
    <x v="1"/>
    <s v="GMM"/>
    <n v="0"/>
    <n v="0"/>
    <x v="53"/>
    <x v="103"/>
    <s v="BOLOGNESE"/>
    <n v="3200"/>
    <n v="58"/>
    <n v="185600"/>
    <m/>
  </r>
  <r>
    <x v="12"/>
    <s v="AUG"/>
    <x v="42"/>
    <s v="GRSM 5"/>
    <x v="1"/>
    <s v="GMM"/>
    <n v="0"/>
    <n v="0"/>
    <x v="53"/>
    <x v="103"/>
    <s v="CARBONARA"/>
    <n v="3200"/>
    <n v="66"/>
    <n v="211200"/>
    <m/>
  </r>
  <r>
    <x v="12"/>
    <s v="AUG"/>
    <x v="42"/>
    <s v="GRSM 5"/>
    <x v="1"/>
    <s v="GMM"/>
    <n v="0"/>
    <n v="0"/>
    <x v="53"/>
    <x v="103"/>
    <s v="AGLIO OLIO"/>
    <n v="3200"/>
    <n v="53"/>
    <n v="169600"/>
    <m/>
  </r>
  <r>
    <x v="12"/>
    <s v="AUG"/>
    <x v="42"/>
    <s v="GRSM 5"/>
    <x v="1"/>
    <s v="GMM"/>
    <n v="0"/>
    <n v="0"/>
    <x v="53"/>
    <x v="103"/>
    <s v="GORENG"/>
    <n v="3200"/>
    <n v="137"/>
    <n v="438400"/>
    <n v="160"/>
  </r>
  <r>
    <x v="12"/>
    <s v="AUG"/>
    <x v="42"/>
    <s v="GRSM 5"/>
    <x v="1"/>
    <s v="GMM"/>
    <n v="0"/>
    <n v="0"/>
    <x v="53"/>
    <x v="104"/>
    <s v="BOLOGNESE"/>
    <n v="3200"/>
    <n v="58"/>
    <n v="185600"/>
    <m/>
  </r>
  <r>
    <x v="12"/>
    <s v="AUG"/>
    <x v="42"/>
    <s v="GRSM 5"/>
    <x v="1"/>
    <s v="GMM"/>
    <n v="0"/>
    <n v="0"/>
    <x v="53"/>
    <x v="104"/>
    <s v="CARBONARA"/>
    <n v="3200"/>
    <n v="66"/>
    <n v="211200"/>
    <m/>
  </r>
  <r>
    <x v="12"/>
    <s v="AUG"/>
    <x v="42"/>
    <s v="GRSM 5"/>
    <x v="1"/>
    <s v="GMM"/>
    <n v="0"/>
    <n v="0"/>
    <x v="53"/>
    <x v="104"/>
    <s v="AGLIO OLIO"/>
    <n v="3200"/>
    <n v="53"/>
    <n v="169600"/>
    <m/>
  </r>
  <r>
    <x v="12"/>
    <s v="AUG"/>
    <x v="42"/>
    <s v="GRSM 5"/>
    <x v="1"/>
    <s v="GMM"/>
    <n v="0"/>
    <n v="0"/>
    <x v="53"/>
    <x v="104"/>
    <s v="GORENG"/>
    <n v="3200"/>
    <n v="137"/>
    <n v="438400"/>
    <n v="160"/>
  </r>
  <r>
    <x v="12"/>
    <s v="AUG"/>
    <x v="42"/>
    <s v="GRSM 5"/>
    <x v="1"/>
    <s v="GMM"/>
    <n v="0"/>
    <n v="0"/>
    <x v="60"/>
    <x v="110"/>
    <s v="BOLOGNESE"/>
    <n v="3050"/>
    <n v="40"/>
    <n v="122000"/>
    <m/>
  </r>
  <r>
    <x v="12"/>
    <s v="AUG"/>
    <x v="42"/>
    <s v="GRSM 5"/>
    <x v="1"/>
    <s v="GMM"/>
    <n v="0"/>
    <n v="0"/>
    <x v="60"/>
    <x v="110"/>
    <s v="CARBONARA"/>
    <n v="3050"/>
    <n v="60"/>
    <n v="183000"/>
    <m/>
  </r>
  <r>
    <x v="12"/>
    <s v="AUG"/>
    <x v="42"/>
    <s v="GRSM 5"/>
    <x v="1"/>
    <s v="GMM"/>
    <n v="0"/>
    <n v="0"/>
    <x v="60"/>
    <x v="110"/>
    <s v="AGLIO OLIO"/>
    <n v="3050"/>
    <n v="60"/>
    <n v="183000"/>
    <m/>
  </r>
  <r>
    <x v="12"/>
    <s v="AUG"/>
    <x v="42"/>
    <s v="GRSM 5"/>
    <x v="1"/>
    <s v="GMM"/>
    <n v="0"/>
    <n v="0"/>
    <x v="60"/>
    <x v="110"/>
    <s v="GORENG"/>
    <n v="3050"/>
    <n v="60"/>
    <n v="183000"/>
    <n v="160"/>
  </r>
  <r>
    <x v="12"/>
    <s v="AUG"/>
    <x v="42"/>
    <s v="GRSM 5"/>
    <x v="1"/>
    <s v="GMM"/>
    <n v="0"/>
    <n v="0"/>
    <x v="60"/>
    <x v="111"/>
    <s v="BOLOGNESE"/>
    <n v="3050"/>
    <n v="40"/>
    <n v="122000"/>
    <m/>
  </r>
  <r>
    <x v="12"/>
    <s v="AUG"/>
    <x v="42"/>
    <s v="GRSM 5"/>
    <x v="1"/>
    <s v="GMM"/>
    <n v="0"/>
    <n v="0"/>
    <x v="60"/>
    <x v="111"/>
    <s v="CARBONARA"/>
    <n v="3050"/>
    <n v="60"/>
    <n v="183000"/>
    <m/>
  </r>
  <r>
    <x v="12"/>
    <s v="AUG"/>
    <x v="42"/>
    <s v="GRSM 5"/>
    <x v="1"/>
    <s v="GMM"/>
    <n v="0"/>
    <n v="0"/>
    <x v="60"/>
    <x v="111"/>
    <s v="AGLIO OLIO"/>
    <n v="3050"/>
    <n v="60"/>
    <n v="183000"/>
    <m/>
  </r>
  <r>
    <x v="12"/>
    <s v="AUG"/>
    <x v="42"/>
    <s v="GRSM 5"/>
    <x v="1"/>
    <s v="GMM"/>
    <n v="0"/>
    <n v="0"/>
    <x v="60"/>
    <x v="111"/>
    <s v="GORENG"/>
    <n v="3050"/>
    <n v="60"/>
    <n v="183000"/>
    <n v="160"/>
  </r>
  <r>
    <x v="12"/>
    <s v="AUG"/>
    <x v="42"/>
    <s v="GRSM 5"/>
    <x v="1"/>
    <s v="GMM"/>
    <n v="0"/>
    <n v="0"/>
    <x v="59"/>
    <x v="116"/>
    <s v="BOLOGNESE"/>
    <n v="2950"/>
    <n v="0"/>
    <n v="0"/>
    <m/>
  </r>
  <r>
    <x v="12"/>
    <s v="AUG"/>
    <x v="42"/>
    <s v="GRSM 5"/>
    <x v="1"/>
    <s v="GMM"/>
    <n v="0"/>
    <n v="0"/>
    <x v="59"/>
    <x v="116"/>
    <s v="CARBONARA"/>
    <n v="2950"/>
    <n v="120"/>
    <n v="354000"/>
    <m/>
  </r>
  <r>
    <x v="12"/>
    <s v="AUG"/>
    <x v="42"/>
    <s v="GRSM 5"/>
    <x v="1"/>
    <s v="GMM"/>
    <n v="0"/>
    <n v="0"/>
    <x v="59"/>
    <x v="116"/>
    <s v="AGLIO OLIO"/>
    <n v="2950"/>
    <n v="80"/>
    <n v="236000"/>
    <m/>
  </r>
  <r>
    <x v="12"/>
    <s v="AUG"/>
    <x v="42"/>
    <s v="GRSM 5"/>
    <x v="1"/>
    <s v="GMM"/>
    <n v="0"/>
    <n v="0"/>
    <x v="59"/>
    <x v="116"/>
    <s v="GORENG"/>
    <n v="2950"/>
    <n v="160"/>
    <n v="472000"/>
    <n v="160"/>
  </r>
  <r>
    <x v="12"/>
    <s v="AUG"/>
    <x v="42"/>
    <s v="GRSM 5"/>
    <x v="1"/>
    <s v="GMM"/>
    <n v="0"/>
    <n v="0"/>
    <x v="59"/>
    <x v="117"/>
    <s v="BOLOGNESE"/>
    <n v="2950"/>
    <n v="0"/>
    <n v="0"/>
    <m/>
  </r>
  <r>
    <x v="12"/>
    <s v="AUG"/>
    <x v="42"/>
    <s v="GRSM 5"/>
    <x v="1"/>
    <s v="GMM"/>
    <n v="0"/>
    <n v="0"/>
    <x v="59"/>
    <x v="117"/>
    <s v="CARBONARA"/>
    <n v="2950"/>
    <n v="120"/>
    <n v="354000"/>
    <m/>
  </r>
  <r>
    <x v="12"/>
    <s v="AUG"/>
    <x v="42"/>
    <s v="GRSM 5"/>
    <x v="1"/>
    <s v="GMM"/>
    <n v="0"/>
    <n v="0"/>
    <x v="59"/>
    <x v="117"/>
    <s v="AGLIO OLIO"/>
    <n v="2950"/>
    <n v="80"/>
    <n v="236000"/>
    <m/>
  </r>
  <r>
    <x v="12"/>
    <s v="AUG"/>
    <x v="42"/>
    <s v="GRSM 5"/>
    <x v="1"/>
    <s v="GMM"/>
    <n v="0"/>
    <n v="0"/>
    <x v="59"/>
    <x v="117"/>
    <s v="GORENG"/>
    <n v="2950"/>
    <n v="160"/>
    <n v="472000"/>
    <n v="160"/>
  </r>
  <r>
    <x v="12"/>
    <s v="AUG"/>
    <x v="42"/>
    <s v="GRSM 5"/>
    <x v="1"/>
    <s v="MT"/>
    <n v="166102"/>
    <n v="9000058"/>
    <x v="55"/>
    <x v="108"/>
    <s v="BOLOGNESE"/>
    <n v="3194"/>
    <n v="110"/>
    <n v="351340"/>
    <m/>
  </r>
  <r>
    <x v="12"/>
    <s v="AUG"/>
    <x v="42"/>
    <s v="GRSM 5"/>
    <x v="1"/>
    <s v="MT"/>
    <n v="166102"/>
    <n v="9000058"/>
    <x v="55"/>
    <x v="108"/>
    <s v="CARBONARA"/>
    <n v="3194"/>
    <n v="0"/>
    <n v="0"/>
    <m/>
  </r>
  <r>
    <x v="12"/>
    <s v="AUG"/>
    <x v="42"/>
    <s v="GRSM 5"/>
    <x v="1"/>
    <s v="MT"/>
    <n v="166102"/>
    <n v="9000058"/>
    <x v="55"/>
    <x v="108"/>
    <s v="AGLIO OLIO"/>
    <n v="3194"/>
    <n v="65"/>
    <n v="207610"/>
    <m/>
  </r>
  <r>
    <x v="12"/>
    <s v="AUG"/>
    <x v="42"/>
    <s v="GRSM 5"/>
    <x v="1"/>
    <s v="MT"/>
    <n v="166102"/>
    <n v="9000058"/>
    <x v="55"/>
    <x v="108"/>
    <s v="GORENG"/>
    <n v="3194"/>
    <n v="220"/>
    <n v="702680"/>
    <n v="160"/>
  </r>
  <r>
    <x v="12"/>
    <s v="AUG"/>
    <x v="42"/>
    <s v="GRSM 5"/>
    <x v="1"/>
    <s v="MT"/>
    <n v="166102"/>
    <n v="9000058"/>
    <x v="55"/>
    <x v="109"/>
    <s v="BOLOGNESE"/>
    <n v="3194"/>
    <n v="110"/>
    <n v="351340"/>
    <m/>
  </r>
  <r>
    <x v="12"/>
    <s v="AUG"/>
    <x v="42"/>
    <s v="GRSM 5"/>
    <x v="1"/>
    <s v="MT"/>
    <n v="166102"/>
    <n v="9000058"/>
    <x v="55"/>
    <x v="109"/>
    <s v="CARBONARA"/>
    <n v="3194"/>
    <n v="0"/>
    <n v="0"/>
    <m/>
  </r>
  <r>
    <x v="12"/>
    <s v="AUG"/>
    <x v="42"/>
    <s v="GRSM 5"/>
    <x v="1"/>
    <s v="MT"/>
    <n v="166102"/>
    <n v="9000058"/>
    <x v="55"/>
    <x v="109"/>
    <s v="AGLIO OLIO"/>
    <n v="3194"/>
    <n v="65"/>
    <n v="207610"/>
    <m/>
  </r>
  <r>
    <x v="12"/>
    <s v="AUG"/>
    <x v="42"/>
    <s v="GRSM 5"/>
    <x v="1"/>
    <s v="MT"/>
    <n v="166102"/>
    <n v="9000058"/>
    <x v="55"/>
    <x v="109"/>
    <s v="GORENG"/>
    <n v="3194"/>
    <n v="220"/>
    <n v="702680"/>
    <n v="160"/>
  </r>
  <r>
    <x v="12"/>
    <s v="AUG"/>
    <x v="42"/>
    <s v="GRSM 5"/>
    <x v="1"/>
    <s v="GMM"/>
    <n v="211051"/>
    <n v="5580008"/>
    <x v="40"/>
    <x v="76"/>
    <s v="BOLOGNESE"/>
    <n v="3000"/>
    <n v="126"/>
    <n v="378000"/>
    <m/>
  </r>
  <r>
    <x v="12"/>
    <s v="AUG"/>
    <x v="42"/>
    <s v="GRSM 5"/>
    <x v="1"/>
    <s v="GMM"/>
    <n v="211051"/>
    <n v="5580008"/>
    <x v="40"/>
    <x v="76"/>
    <s v="CARBONARA"/>
    <n v="3000"/>
    <n v="86"/>
    <n v="258000"/>
    <m/>
  </r>
  <r>
    <x v="12"/>
    <s v="AUG"/>
    <x v="42"/>
    <s v="GRSM 5"/>
    <x v="1"/>
    <s v="GMM"/>
    <n v="211051"/>
    <n v="5580008"/>
    <x v="40"/>
    <x v="76"/>
    <s v="AGLIO OLIO"/>
    <n v="3000"/>
    <n v="28"/>
    <n v="84000"/>
    <m/>
  </r>
  <r>
    <x v="12"/>
    <s v="AUG"/>
    <x v="42"/>
    <s v="GRSM 5"/>
    <x v="1"/>
    <s v="GMM"/>
    <n v="211051"/>
    <n v="5580008"/>
    <x v="40"/>
    <x v="76"/>
    <s v="GORENG"/>
    <n v="3000"/>
    <n v="212"/>
    <n v="636000"/>
    <n v="160"/>
  </r>
  <r>
    <x v="12"/>
    <s v="AUG"/>
    <x v="42"/>
    <s v="GRSM 5"/>
    <x v="1"/>
    <s v="GMM"/>
    <n v="211051"/>
    <n v="5580008"/>
    <x v="40"/>
    <x v="77"/>
    <s v="BOLOGNESE"/>
    <n v="3000"/>
    <n v="126"/>
    <n v="378000"/>
    <m/>
  </r>
  <r>
    <x v="12"/>
    <s v="AUG"/>
    <x v="42"/>
    <s v="GRSM 5"/>
    <x v="1"/>
    <s v="GMM"/>
    <n v="211051"/>
    <n v="5580008"/>
    <x v="40"/>
    <x v="77"/>
    <s v="CARBONARA"/>
    <n v="3000"/>
    <n v="86"/>
    <n v="258000"/>
    <m/>
  </r>
  <r>
    <x v="12"/>
    <s v="AUG"/>
    <x v="42"/>
    <s v="GRSM 5"/>
    <x v="1"/>
    <s v="GMM"/>
    <n v="211051"/>
    <n v="5580008"/>
    <x v="40"/>
    <x v="77"/>
    <s v="AGLIO OLIO"/>
    <n v="3000"/>
    <n v="28"/>
    <n v="84000"/>
    <m/>
  </r>
  <r>
    <x v="12"/>
    <s v="AUG"/>
    <x v="42"/>
    <s v="GRSM 5"/>
    <x v="1"/>
    <s v="GMM"/>
    <n v="211051"/>
    <n v="5580008"/>
    <x v="40"/>
    <x v="77"/>
    <s v="GORENG"/>
    <n v="3000"/>
    <n v="212"/>
    <n v="636000"/>
    <n v="160"/>
  </r>
  <r>
    <x v="12"/>
    <s v="AUG"/>
    <x v="42"/>
    <s v="GRSM 5"/>
    <x v="1"/>
    <s v="GMM"/>
    <n v="103222"/>
    <n v="106437"/>
    <x v="43"/>
    <x v="82"/>
    <s v="BOLOGNESE"/>
    <n v="2990"/>
    <n v="55"/>
    <n v="164450"/>
    <m/>
  </r>
  <r>
    <x v="12"/>
    <s v="AUG"/>
    <x v="42"/>
    <s v="GRSM 5"/>
    <x v="1"/>
    <s v="GMM"/>
    <n v="103222"/>
    <n v="106437"/>
    <x v="43"/>
    <x v="82"/>
    <s v="CARBONARA"/>
    <n v="2990"/>
    <n v="189"/>
    <n v="565110"/>
    <m/>
  </r>
  <r>
    <x v="12"/>
    <s v="AUG"/>
    <x v="42"/>
    <s v="GRSM 5"/>
    <x v="1"/>
    <s v="GMM"/>
    <n v="103222"/>
    <n v="106437"/>
    <x v="43"/>
    <x v="82"/>
    <s v="AGLIO OLIO"/>
    <n v="2990"/>
    <n v="0"/>
    <n v="0"/>
    <m/>
  </r>
  <r>
    <x v="12"/>
    <s v="AUG"/>
    <x v="42"/>
    <s v="GRSM 5"/>
    <x v="1"/>
    <s v="GMM"/>
    <n v="103222"/>
    <n v="106437"/>
    <x v="43"/>
    <x v="82"/>
    <s v="GORENG"/>
    <n v="2990"/>
    <n v="195"/>
    <n v="583050"/>
    <n v="160"/>
  </r>
  <r>
    <x v="12"/>
    <s v="AUG"/>
    <x v="42"/>
    <s v="GRSM 5"/>
    <x v="1"/>
    <s v="GMM"/>
    <n v="103222"/>
    <n v="106437"/>
    <x v="43"/>
    <x v="83"/>
    <s v="BOLOGNESE"/>
    <n v="2990"/>
    <n v="55"/>
    <n v="164450"/>
    <m/>
  </r>
  <r>
    <x v="12"/>
    <s v="AUG"/>
    <x v="42"/>
    <s v="GRSM 5"/>
    <x v="1"/>
    <s v="GMM"/>
    <n v="103222"/>
    <n v="106437"/>
    <x v="43"/>
    <x v="83"/>
    <s v="CARBONARA"/>
    <n v="2990"/>
    <n v="189"/>
    <n v="565110"/>
    <m/>
  </r>
  <r>
    <x v="12"/>
    <s v="AUG"/>
    <x v="42"/>
    <s v="GRSM 5"/>
    <x v="1"/>
    <s v="GMM"/>
    <n v="103222"/>
    <n v="106437"/>
    <x v="43"/>
    <x v="83"/>
    <s v="AGLIO OLIO"/>
    <n v="2990"/>
    <n v="0"/>
    <n v="0"/>
    <m/>
  </r>
  <r>
    <x v="12"/>
    <s v="AUG"/>
    <x v="42"/>
    <s v="GRSM 5"/>
    <x v="1"/>
    <s v="GMM"/>
    <n v="103222"/>
    <n v="106437"/>
    <x v="43"/>
    <x v="83"/>
    <s v="GORENG"/>
    <n v="2990"/>
    <n v="195"/>
    <n v="583050"/>
    <n v="160"/>
  </r>
  <r>
    <x v="12"/>
    <s v="AUG"/>
    <x v="42"/>
    <s v="GRSM 5"/>
    <x v="1"/>
    <s v="GMM"/>
    <n v="211009"/>
    <n v="2100003"/>
    <x v="54"/>
    <x v="105"/>
    <s v="BOLOGNESE"/>
    <n v="2900"/>
    <n v="46"/>
    <n v="133400"/>
    <m/>
  </r>
  <r>
    <x v="12"/>
    <s v="AUG"/>
    <x v="42"/>
    <s v="GRSM 5"/>
    <x v="1"/>
    <s v="GMM"/>
    <n v="211009"/>
    <n v="2100003"/>
    <x v="54"/>
    <x v="105"/>
    <s v="CARBONARA"/>
    <n v="2900"/>
    <n v="28"/>
    <n v="81200"/>
    <m/>
  </r>
  <r>
    <x v="12"/>
    <s v="AUG"/>
    <x v="42"/>
    <s v="GRSM 5"/>
    <x v="1"/>
    <s v="GMM"/>
    <n v="211009"/>
    <n v="2100003"/>
    <x v="54"/>
    <x v="105"/>
    <s v="AGLIO OLIO"/>
    <n v="2900"/>
    <n v="24"/>
    <n v="69600"/>
    <m/>
  </r>
  <r>
    <x v="12"/>
    <s v="AUG"/>
    <x v="42"/>
    <s v="GRSM 5"/>
    <x v="1"/>
    <s v="GMM"/>
    <n v="211009"/>
    <n v="2100003"/>
    <x v="54"/>
    <x v="105"/>
    <s v="GORENG"/>
    <n v="2900"/>
    <n v="106"/>
    <n v="307400"/>
    <n v="160"/>
  </r>
  <r>
    <x v="12"/>
    <s v="AUG"/>
    <x v="42"/>
    <s v="GRSM 5"/>
    <x v="1"/>
    <s v="GMM"/>
    <n v="211009"/>
    <n v="2100003"/>
    <x v="54"/>
    <x v="106"/>
    <s v="BOLOGNESE"/>
    <n v="2900"/>
    <n v="46"/>
    <n v="133400"/>
    <m/>
  </r>
  <r>
    <x v="12"/>
    <s v="AUG"/>
    <x v="42"/>
    <s v="GRSM 5"/>
    <x v="1"/>
    <s v="GMM"/>
    <n v="211009"/>
    <n v="2100003"/>
    <x v="54"/>
    <x v="106"/>
    <s v="CARBONARA"/>
    <n v="2900"/>
    <n v="28"/>
    <n v="81200"/>
    <m/>
  </r>
  <r>
    <x v="12"/>
    <s v="AUG"/>
    <x v="42"/>
    <s v="GRSM 5"/>
    <x v="1"/>
    <s v="GMM"/>
    <n v="211009"/>
    <n v="2100003"/>
    <x v="54"/>
    <x v="106"/>
    <s v="AGLIO OLIO"/>
    <n v="2900"/>
    <n v="24"/>
    <n v="69600"/>
    <m/>
  </r>
  <r>
    <x v="12"/>
    <s v="AUG"/>
    <x v="42"/>
    <s v="GRSM 5"/>
    <x v="1"/>
    <s v="GMM"/>
    <n v="211009"/>
    <n v="2100003"/>
    <x v="54"/>
    <x v="106"/>
    <s v="GORENG"/>
    <n v="2900"/>
    <n v="106"/>
    <n v="307400"/>
    <n v="160"/>
  </r>
  <r>
    <x v="12"/>
    <s v="AUG"/>
    <x v="43"/>
    <s v="GRSM 5"/>
    <x v="1"/>
    <s v="GMM"/>
    <n v="103274"/>
    <n v="1301399"/>
    <x v="41"/>
    <x v="78"/>
    <s v="BOLOGNESE"/>
    <n v="3089"/>
    <n v="40"/>
    <n v="123560"/>
    <m/>
  </r>
  <r>
    <x v="12"/>
    <s v="AUG"/>
    <x v="43"/>
    <s v="GRSM 5"/>
    <x v="1"/>
    <s v="GMM"/>
    <n v="103274"/>
    <n v="1301399"/>
    <x v="41"/>
    <x v="78"/>
    <s v="CARBONARA"/>
    <n v="3089"/>
    <n v="60"/>
    <n v="185340"/>
    <m/>
  </r>
  <r>
    <x v="12"/>
    <s v="AUG"/>
    <x v="43"/>
    <s v="GRSM 5"/>
    <x v="1"/>
    <s v="GMM"/>
    <n v="103274"/>
    <n v="1301399"/>
    <x v="41"/>
    <x v="78"/>
    <s v="AGLIO OLIO"/>
    <n v="3089"/>
    <n v="20"/>
    <n v="61780"/>
    <m/>
  </r>
  <r>
    <x v="12"/>
    <s v="AUG"/>
    <x v="43"/>
    <s v="GRSM 5"/>
    <x v="1"/>
    <s v="GMM"/>
    <n v="103274"/>
    <n v="1301399"/>
    <x v="41"/>
    <x v="78"/>
    <s v="GORENG"/>
    <n v="3089"/>
    <n v="150"/>
    <n v="463350"/>
    <n v="160"/>
  </r>
  <r>
    <x v="12"/>
    <s v="AUG"/>
    <x v="43"/>
    <s v="GRSM 5"/>
    <x v="1"/>
    <s v="GMM"/>
    <n v="103274"/>
    <n v="1301399"/>
    <x v="41"/>
    <x v="79"/>
    <s v="BOLOGNESE"/>
    <n v="3089"/>
    <n v="40"/>
    <n v="123560"/>
    <m/>
  </r>
  <r>
    <x v="12"/>
    <s v="AUG"/>
    <x v="43"/>
    <s v="GRSM 5"/>
    <x v="1"/>
    <s v="GMM"/>
    <n v="103274"/>
    <n v="1301399"/>
    <x v="41"/>
    <x v="79"/>
    <s v="CARBONARA"/>
    <n v="3089"/>
    <n v="60"/>
    <n v="185340"/>
    <m/>
  </r>
  <r>
    <x v="12"/>
    <s v="AUG"/>
    <x v="43"/>
    <s v="GRSM 5"/>
    <x v="1"/>
    <s v="GMM"/>
    <n v="103274"/>
    <n v="1301399"/>
    <x v="41"/>
    <x v="79"/>
    <s v="AGLIO OLIO"/>
    <n v="3089"/>
    <n v="20"/>
    <n v="61780"/>
    <m/>
  </r>
  <r>
    <x v="12"/>
    <s v="AUG"/>
    <x v="43"/>
    <s v="GRSM 5"/>
    <x v="1"/>
    <s v="GMM"/>
    <n v="103274"/>
    <n v="1301399"/>
    <x v="41"/>
    <x v="79"/>
    <s v="GORENG"/>
    <n v="3089"/>
    <n v="150"/>
    <n v="463350"/>
    <n v="160"/>
  </r>
  <r>
    <x v="12"/>
    <s v="AUG"/>
    <x v="43"/>
    <s v="GRSM 5"/>
    <x v="1"/>
    <s v="GMM"/>
    <n v="211050"/>
    <n v="2910733"/>
    <x v="52"/>
    <x v="80"/>
    <s v="BOLOGNESE"/>
    <n v="3000"/>
    <n v="51"/>
    <n v="153000"/>
    <m/>
  </r>
  <r>
    <x v="12"/>
    <s v="AUG"/>
    <x v="43"/>
    <s v="GRSM 5"/>
    <x v="1"/>
    <s v="GMM"/>
    <n v="211050"/>
    <n v="2910733"/>
    <x v="52"/>
    <x v="80"/>
    <s v="CARBONARA"/>
    <n v="3000"/>
    <n v="132"/>
    <n v="396000"/>
    <m/>
  </r>
  <r>
    <x v="12"/>
    <s v="AUG"/>
    <x v="43"/>
    <s v="GRSM 5"/>
    <x v="1"/>
    <s v="GMM"/>
    <n v="211050"/>
    <n v="2910733"/>
    <x v="52"/>
    <x v="80"/>
    <s v="AGLIO OLIO"/>
    <n v="3000"/>
    <n v="42"/>
    <n v="126000"/>
    <m/>
  </r>
  <r>
    <x v="12"/>
    <s v="AUG"/>
    <x v="43"/>
    <s v="GRSM 5"/>
    <x v="1"/>
    <s v="GMM"/>
    <n v="211050"/>
    <n v="2910733"/>
    <x v="52"/>
    <x v="80"/>
    <s v="GORENG"/>
    <n v="3000"/>
    <n v="261"/>
    <n v="783000"/>
    <n v="160"/>
  </r>
  <r>
    <x v="12"/>
    <s v="AUG"/>
    <x v="43"/>
    <s v="GRSM 5"/>
    <x v="1"/>
    <s v="GMM"/>
    <n v="211050"/>
    <n v="2910733"/>
    <x v="52"/>
    <x v="81"/>
    <s v="BOLOGNESE"/>
    <n v="3000"/>
    <n v="51"/>
    <n v="153000"/>
    <m/>
  </r>
  <r>
    <x v="12"/>
    <s v="AUG"/>
    <x v="43"/>
    <s v="GRSM 5"/>
    <x v="1"/>
    <s v="GMM"/>
    <n v="211050"/>
    <n v="2910733"/>
    <x v="52"/>
    <x v="81"/>
    <s v="CARBONARA"/>
    <n v="3000"/>
    <n v="132"/>
    <n v="396000"/>
    <m/>
  </r>
  <r>
    <x v="12"/>
    <s v="AUG"/>
    <x v="43"/>
    <s v="GRSM 5"/>
    <x v="1"/>
    <s v="GMM"/>
    <n v="211050"/>
    <n v="2910733"/>
    <x v="52"/>
    <x v="81"/>
    <s v="AGLIO OLIO"/>
    <n v="3000"/>
    <n v="42"/>
    <n v="126000"/>
    <m/>
  </r>
  <r>
    <x v="12"/>
    <s v="AUG"/>
    <x v="43"/>
    <s v="GRSM 5"/>
    <x v="1"/>
    <s v="GMM"/>
    <n v="211050"/>
    <n v="2910733"/>
    <x v="52"/>
    <x v="81"/>
    <s v="GORENG"/>
    <n v="3000"/>
    <n v="261"/>
    <n v="783000"/>
    <n v="160"/>
  </r>
  <r>
    <x v="12"/>
    <s v="AUG"/>
    <x v="43"/>
    <s v="GRSM 5"/>
    <x v="1"/>
    <s v="GMM"/>
    <n v="0"/>
    <n v="0"/>
    <x v="53"/>
    <x v="103"/>
    <s v="BOLOGNESE"/>
    <n v="3200"/>
    <n v="55"/>
    <n v="176000"/>
    <m/>
  </r>
  <r>
    <x v="12"/>
    <s v="AUG"/>
    <x v="43"/>
    <s v="GRSM 5"/>
    <x v="1"/>
    <s v="GMM"/>
    <n v="0"/>
    <n v="0"/>
    <x v="53"/>
    <x v="103"/>
    <s v="CARBONARA"/>
    <n v="3200"/>
    <n v="63"/>
    <n v="201600"/>
    <m/>
  </r>
  <r>
    <x v="12"/>
    <s v="AUG"/>
    <x v="43"/>
    <s v="GRSM 5"/>
    <x v="1"/>
    <s v="GMM"/>
    <n v="0"/>
    <n v="0"/>
    <x v="53"/>
    <x v="103"/>
    <s v="AGLIO OLIO"/>
    <n v="3200"/>
    <n v="52"/>
    <n v="166400"/>
    <m/>
  </r>
  <r>
    <x v="12"/>
    <s v="AUG"/>
    <x v="43"/>
    <s v="GRSM 5"/>
    <x v="1"/>
    <s v="GMM"/>
    <n v="0"/>
    <n v="0"/>
    <x v="53"/>
    <x v="103"/>
    <s v="GORENG"/>
    <n v="3200"/>
    <n v="142"/>
    <n v="454400"/>
    <n v="136"/>
  </r>
  <r>
    <x v="12"/>
    <s v="AUG"/>
    <x v="43"/>
    <s v="GRSM 5"/>
    <x v="1"/>
    <s v="GMM"/>
    <n v="0"/>
    <n v="0"/>
    <x v="53"/>
    <x v="104"/>
    <s v="BOLOGNESE"/>
    <n v="3200"/>
    <n v="55"/>
    <n v="176000"/>
    <m/>
  </r>
  <r>
    <x v="12"/>
    <s v="AUG"/>
    <x v="43"/>
    <s v="GRSM 5"/>
    <x v="1"/>
    <s v="GMM"/>
    <n v="0"/>
    <n v="0"/>
    <x v="53"/>
    <x v="104"/>
    <s v="CARBONARA"/>
    <n v="3200"/>
    <n v="63"/>
    <n v="201600"/>
    <m/>
  </r>
  <r>
    <x v="12"/>
    <s v="AUG"/>
    <x v="43"/>
    <s v="GRSM 5"/>
    <x v="1"/>
    <s v="GMM"/>
    <n v="0"/>
    <n v="0"/>
    <x v="53"/>
    <x v="104"/>
    <s v="AGLIO OLIO"/>
    <n v="3200"/>
    <n v="52"/>
    <n v="166400"/>
    <m/>
  </r>
  <r>
    <x v="12"/>
    <s v="AUG"/>
    <x v="43"/>
    <s v="GRSM 5"/>
    <x v="1"/>
    <s v="GMM"/>
    <n v="0"/>
    <n v="0"/>
    <x v="53"/>
    <x v="104"/>
    <s v="GORENG"/>
    <n v="3200"/>
    <n v="142"/>
    <n v="454400"/>
    <n v="136"/>
  </r>
  <r>
    <x v="12"/>
    <s v="AUG"/>
    <x v="43"/>
    <s v="GRSM 5"/>
    <x v="1"/>
    <s v="MT"/>
    <n v="166102"/>
    <n v="9000058"/>
    <x v="55"/>
    <x v="108"/>
    <s v="BOLOGNESE"/>
    <n v="3178"/>
    <n v="145"/>
    <n v="460810"/>
    <m/>
  </r>
  <r>
    <x v="12"/>
    <s v="AUG"/>
    <x v="43"/>
    <s v="GRSM 5"/>
    <x v="1"/>
    <s v="MT"/>
    <n v="166102"/>
    <n v="9000058"/>
    <x v="55"/>
    <x v="108"/>
    <s v="CARBONARA"/>
    <n v="3178"/>
    <n v="0"/>
    <n v="0"/>
    <m/>
  </r>
  <r>
    <x v="12"/>
    <s v="AUG"/>
    <x v="43"/>
    <s v="GRSM 5"/>
    <x v="1"/>
    <s v="MT"/>
    <n v="166102"/>
    <n v="9000058"/>
    <x v="55"/>
    <x v="108"/>
    <s v="AGLIO OLIO"/>
    <n v="3178"/>
    <n v="55"/>
    <n v="174790"/>
    <m/>
  </r>
  <r>
    <x v="12"/>
    <s v="AUG"/>
    <x v="43"/>
    <s v="GRSM 5"/>
    <x v="1"/>
    <s v="MT"/>
    <n v="166102"/>
    <n v="9000058"/>
    <x v="55"/>
    <x v="108"/>
    <s v="GORENG"/>
    <n v="3178"/>
    <n v="165"/>
    <n v="524370"/>
    <n v="160"/>
  </r>
  <r>
    <x v="12"/>
    <s v="AUG"/>
    <x v="43"/>
    <s v="GRSM 5"/>
    <x v="1"/>
    <s v="MT"/>
    <n v="166102"/>
    <n v="9000058"/>
    <x v="55"/>
    <x v="109"/>
    <s v="BOLOGNESE"/>
    <n v="3178"/>
    <n v="145"/>
    <n v="460810"/>
    <m/>
  </r>
  <r>
    <x v="12"/>
    <s v="AUG"/>
    <x v="43"/>
    <s v="GRSM 5"/>
    <x v="1"/>
    <s v="MT"/>
    <n v="166102"/>
    <n v="9000058"/>
    <x v="55"/>
    <x v="109"/>
    <s v="CARBONARA"/>
    <n v="3178"/>
    <n v="0"/>
    <n v="0"/>
    <m/>
  </r>
  <r>
    <x v="12"/>
    <s v="AUG"/>
    <x v="43"/>
    <s v="GRSM 5"/>
    <x v="1"/>
    <s v="MT"/>
    <n v="166102"/>
    <n v="9000058"/>
    <x v="55"/>
    <x v="109"/>
    <s v="AGLIO OLIO"/>
    <n v="3178"/>
    <n v="55"/>
    <n v="174790"/>
    <m/>
  </r>
  <r>
    <x v="12"/>
    <s v="AUG"/>
    <x v="43"/>
    <s v="GRSM 5"/>
    <x v="1"/>
    <s v="MT"/>
    <n v="166102"/>
    <n v="9000058"/>
    <x v="55"/>
    <x v="109"/>
    <s v="GORENG"/>
    <n v="3178"/>
    <n v="165"/>
    <n v="524370"/>
    <n v="160"/>
  </r>
  <r>
    <x v="12"/>
    <s v="AUG"/>
    <x v="43"/>
    <s v="GRSM 5"/>
    <x v="1"/>
    <s v="GMM"/>
    <n v="211051"/>
    <n v="5580008"/>
    <x v="40"/>
    <x v="118"/>
    <s v="BOLOGNESE"/>
    <n v="3000"/>
    <n v="134"/>
    <n v="402000"/>
    <m/>
  </r>
  <r>
    <x v="12"/>
    <s v="AUG"/>
    <x v="43"/>
    <s v="GRSM 5"/>
    <x v="1"/>
    <s v="GMM"/>
    <n v="211051"/>
    <n v="5580008"/>
    <x v="40"/>
    <x v="118"/>
    <s v="CARBONARA"/>
    <n v="3000"/>
    <n v="82"/>
    <n v="246000"/>
    <m/>
  </r>
  <r>
    <x v="12"/>
    <s v="AUG"/>
    <x v="43"/>
    <s v="GRSM 5"/>
    <x v="1"/>
    <s v="GMM"/>
    <n v="211051"/>
    <n v="5580008"/>
    <x v="40"/>
    <x v="118"/>
    <s v="AGLIO OLIO"/>
    <n v="3000"/>
    <n v="32"/>
    <n v="96000"/>
    <m/>
  </r>
  <r>
    <x v="12"/>
    <s v="AUG"/>
    <x v="43"/>
    <s v="GRSM 5"/>
    <x v="1"/>
    <s v="GMM"/>
    <n v="211051"/>
    <n v="5580008"/>
    <x v="40"/>
    <x v="118"/>
    <s v="GORENG"/>
    <n v="3000"/>
    <n v="226"/>
    <n v="678000"/>
    <n v="160"/>
  </r>
  <r>
    <x v="12"/>
    <s v="AUG"/>
    <x v="43"/>
    <s v="GRSM 5"/>
    <x v="1"/>
    <s v="GMM"/>
    <n v="211051"/>
    <n v="5580008"/>
    <x v="40"/>
    <x v="77"/>
    <s v="BOLOGNESE"/>
    <n v="3000"/>
    <n v="134"/>
    <n v="402000"/>
    <m/>
  </r>
  <r>
    <x v="12"/>
    <s v="AUG"/>
    <x v="43"/>
    <s v="GRSM 5"/>
    <x v="1"/>
    <s v="GMM"/>
    <n v="211051"/>
    <n v="5580008"/>
    <x v="40"/>
    <x v="77"/>
    <s v="CARBONARA"/>
    <n v="3000"/>
    <n v="82"/>
    <n v="246000"/>
    <m/>
  </r>
  <r>
    <x v="12"/>
    <s v="AUG"/>
    <x v="43"/>
    <s v="GRSM 5"/>
    <x v="1"/>
    <s v="GMM"/>
    <n v="211051"/>
    <n v="5580008"/>
    <x v="40"/>
    <x v="77"/>
    <s v="AGLIO OLIO"/>
    <n v="3000"/>
    <n v="32"/>
    <n v="96000"/>
    <m/>
  </r>
  <r>
    <x v="12"/>
    <s v="AUG"/>
    <x v="43"/>
    <s v="GRSM 5"/>
    <x v="1"/>
    <s v="GMM"/>
    <n v="211051"/>
    <n v="5580008"/>
    <x v="40"/>
    <x v="77"/>
    <s v="GORENG"/>
    <n v="3000"/>
    <n v="226"/>
    <n v="678000"/>
    <n v="160"/>
  </r>
  <r>
    <x v="12"/>
    <s v="AUG"/>
    <x v="43"/>
    <s v="GRSM 5"/>
    <x v="1"/>
    <s v="GMM"/>
    <n v="0"/>
    <n v="0"/>
    <x v="59"/>
    <x v="116"/>
    <s v="BOLOGNESE"/>
    <n v="2950"/>
    <n v="0"/>
    <n v="0"/>
    <m/>
  </r>
  <r>
    <x v="12"/>
    <s v="AUG"/>
    <x v="43"/>
    <s v="GRSM 5"/>
    <x v="1"/>
    <s v="GMM"/>
    <n v="0"/>
    <n v="0"/>
    <x v="59"/>
    <x v="116"/>
    <s v="CARBONARA"/>
    <n v="2950"/>
    <n v="80"/>
    <n v="236000"/>
    <m/>
  </r>
  <r>
    <x v="12"/>
    <s v="AUG"/>
    <x v="43"/>
    <s v="GRSM 5"/>
    <x v="1"/>
    <s v="GMM"/>
    <n v="0"/>
    <n v="0"/>
    <x v="59"/>
    <x v="116"/>
    <s v="AGLIO OLIO"/>
    <n v="2950"/>
    <n v="40"/>
    <n v="118000"/>
    <m/>
  </r>
  <r>
    <x v="12"/>
    <s v="AUG"/>
    <x v="43"/>
    <s v="GRSM 5"/>
    <x v="1"/>
    <s v="GMM"/>
    <n v="0"/>
    <n v="0"/>
    <x v="59"/>
    <x v="116"/>
    <s v="GORENG"/>
    <n v="2950"/>
    <n v="40"/>
    <n v="118000"/>
    <n v="160"/>
  </r>
  <r>
    <x v="12"/>
    <s v="AUG"/>
    <x v="43"/>
    <s v="GRSM 5"/>
    <x v="1"/>
    <s v="GMM"/>
    <n v="0"/>
    <n v="0"/>
    <x v="59"/>
    <x v="117"/>
    <s v="BOLOGNESE"/>
    <n v="2950"/>
    <n v="0"/>
    <n v="0"/>
    <m/>
  </r>
  <r>
    <x v="12"/>
    <s v="AUG"/>
    <x v="43"/>
    <s v="GRSM 5"/>
    <x v="1"/>
    <s v="GMM"/>
    <n v="0"/>
    <n v="0"/>
    <x v="59"/>
    <x v="117"/>
    <s v="CARBONARA"/>
    <n v="2950"/>
    <n v="80"/>
    <n v="236000"/>
    <m/>
  </r>
  <r>
    <x v="12"/>
    <s v="AUG"/>
    <x v="43"/>
    <s v="GRSM 5"/>
    <x v="1"/>
    <s v="GMM"/>
    <n v="0"/>
    <n v="0"/>
    <x v="59"/>
    <x v="117"/>
    <s v="AGLIO OLIO"/>
    <n v="2950"/>
    <n v="40"/>
    <n v="118000"/>
    <m/>
  </r>
  <r>
    <x v="12"/>
    <s v="AUG"/>
    <x v="43"/>
    <s v="GRSM 5"/>
    <x v="1"/>
    <s v="GMM"/>
    <n v="0"/>
    <n v="0"/>
    <x v="59"/>
    <x v="117"/>
    <s v="GORENG"/>
    <n v="2950"/>
    <n v="40"/>
    <n v="118000"/>
    <n v="160"/>
  </r>
  <r>
    <x v="12"/>
    <s v="AUG"/>
    <x v="43"/>
    <s v="GRSM 5"/>
    <x v="1"/>
    <s v="GMM"/>
    <n v="103222"/>
    <n v="106437"/>
    <x v="43"/>
    <x v="82"/>
    <s v="BOLOGNESE"/>
    <n v="2990"/>
    <n v="40"/>
    <n v="119600"/>
    <m/>
  </r>
  <r>
    <x v="12"/>
    <s v="AUG"/>
    <x v="43"/>
    <s v="GRSM 5"/>
    <x v="1"/>
    <s v="GMM"/>
    <n v="103222"/>
    <n v="106437"/>
    <x v="43"/>
    <x v="82"/>
    <s v="CARBONARA"/>
    <n v="2990"/>
    <n v="192"/>
    <n v="574080"/>
    <m/>
  </r>
  <r>
    <x v="12"/>
    <s v="AUG"/>
    <x v="43"/>
    <s v="GRSM 5"/>
    <x v="1"/>
    <s v="GMM"/>
    <n v="103222"/>
    <n v="106437"/>
    <x v="43"/>
    <x v="82"/>
    <s v="AGLIO OLIO"/>
    <n v="2990"/>
    <n v="0"/>
    <n v="0"/>
    <m/>
  </r>
  <r>
    <x v="12"/>
    <s v="AUG"/>
    <x v="43"/>
    <s v="GRSM 5"/>
    <x v="1"/>
    <s v="GMM"/>
    <n v="103222"/>
    <n v="106437"/>
    <x v="43"/>
    <x v="82"/>
    <s v="GORENG"/>
    <n v="2990"/>
    <n v="220"/>
    <n v="657800"/>
    <n v="160"/>
  </r>
  <r>
    <x v="12"/>
    <s v="AUG"/>
    <x v="43"/>
    <s v="GRSM 5"/>
    <x v="1"/>
    <s v="GMM"/>
    <n v="103222"/>
    <n v="106437"/>
    <x v="43"/>
    <x v="83"/>
    <s v="BOLOGNESE"/>
    <n v="2990"/>
    <n v="40"/>
    <n v="119600"/>
    <m/>
  </r>
  <r>
    <x v="12"/>
    <s v="AUG"/>
    <x v="43"/>
    <s v="GRSM 5"/>
    <x v="1"/>
    <s v="GMM"/>
    <n v="103222"/>
    <n v="106437"/>
    <x v="43"/>
    <x v="83"/>
    <s v="CARBONARA"/>
    <n v="2990"/>
    <n v="192"/>
    <n v="574080"/>
    <m/>
  </r>
  <r>
    <x v="12"/>
    <s v="AUG"/>
    <x v="43"/>
    <s v="GRSM 5"/>
    <x v="1"/>
    <s v="GMM"/>
    <n v="103222"/>
    <n v="106437"/>
    <x v="43"/>
    <x v="83"/>
    <s v="AGLIO OLIO"/>
    <n v="2990"/>
    <n v="0"/>
    <n v="0"/>
    <m/>
  </r>
  <r>
    <x v="12"/>
    <s v="AUG"/>
    <x v="43"/>
    <s v="GRSM 5"/>
    <x v="1"/>
    <s v="GMM"/>
    <n v="103222"/>
    <n v="106437"/>
    <x v="43"/>
    <x v="83"/>
    <s v="GORENG"/>
    <n v="2990"/>
    <n v="220"/>
    <n v="657800"/>
    <n v="160"/>
  </r>
  <r>
    <x v="12"/>
    <s v="AUG"/>
    <x v="43"/>
    <s v="GRSM 5"/>
    <x v="1"/>
    <s v="GMM"/>
    <n v="0"/>
    <n v="0"/>
    <x v="60"/>
    <x v="110"/>
    <s v="BOLOGNESE"/>
    <n v="3050"/>
    <n v="30"/>
    <n v="91500"/>
    <m/>
  </r>
  <r>
    <x v="12"/>
    <s v="AUG"/>
    <x v="43"/>
    <s v="GRSM 5"/>
    <x v="1"/>
    <s v="GMM"/>
    <n v="0"/>
    <n v="0"/>
    <x v="60"/>
    <x v="110"/>
    <s v="CARBONARA"/>
    <n v="3050"/>
    <n v="40"/>
    <n v="122000"/>
    <m/>
  </r>
  <r>
    <x v="12"/>
    <s v="AUG"/>
    <x v="43"/>
    <s v="GRSM 5"/>
    <x v="1"/>
    <s v="GMM"/>
    <n v="0"/>
    <n v="0"/>
    <x v="60"/>
    <x v="110"/>
    <s v="AGLIO OLIO"/>
    <n v="3050"/>
    <n v="15"/>
    <n v="45750"/>
    <m/>
  </r>
  <r>
    <x v="12"/>
    <s v="AUG"/>
    <x v="43"/>
    <s v="GRSM 5"/>
    <x v="1"/>
    <s v="GMM"/>
    <n v="0"/>
    <n v="0"/>
    <x v="60"/>
    <x v="110"/>
    <s v="GORENG"/>
    <n v="3050"/>
    <n v="60"/>
    <n v="183000"/>
    <n v="160"/>
  </r>
  <r>
    <x v="12"/>
    <s v="AUG"/>
    <x v="43"/>
    <s v="GRSM 5"/>
    <x v="1"/>
    <s v="GMM"/>
    <n v="0"/>
    <n v="0"/>
    <x v="60"/>
    <x v="111"/>
    <s v="BOLOGNESE"/>
    <n v="3050"/>
    <n v="30"/>
    <n v="91500"/>
    <m/>
  </r>
  <r>
    <x v="12"/>
    <s v="AUG"/>
    <x v="43"/>
    <s v="GRSM 5"/>
    <x v="1"/>
    <s v="GMM"/>
    <n v="0"/>
    <n v="0"/>
    <x v="60"/>
    <x v="111"/>
    <s v="CARBONARA"/>
    <n v="3050"/>
    <n v="40"/>
    <n v="122000"/>
    <m/>
  </r>
  <r>
    <x v="12"/>
    <s v="AUG"/>
    <x v="43"/>
    <s v="GRSM 5"/>
    <x v="1"/>
    <s v="GMM"/>
    <n v="0"/>
    <n v="0"/>
    <x v="60"/>
    <x v="111"/>
    <s v="AGLIO OLIO"/>
    <n v="3050"/>
    <n v="15"/>
    <n v="45750"/>
    <m/>
  </r>
  <r>
    <x v="12"/>
    <s v="AUG"/>
    <x v="43"/>
    <s v="GRSM 5"/>
    <x v="1"/>
    <s v="GMM"/>
    <n v="0"/>
    <n v="0"/>
    <x v="60"/>
    <x v="111"/>
    <s v="GORENG"/>
    <n v="3050"/>
    <n v="60"/>
    <n v="183000"/>
    <n v="160"/>
  </r>
  <r>
    <x v="12"/>
    <s v="AUG"/>
    <x v="43"/>
    <s v="GRSM 5"/>
    <x v="1"/>
    <s v="GMM"/>
    <n v="211009"/>
    <n v="2100003"/>
    <x v="54"/>
    <x v="105"/>
    <s v="BOLOGNESE"/>
    <n v="2897"/>
    <n v="42"/>
    <n v="121674"/>
    <m/>
  </r>
  <r>
    <x v="12"/>
    <s v="AUG"/>
    <x v="43"/>
    <s v="GRSM 5"/>
    <x v="1"/>
    <s v="GMM"/>
    <n v="211009"/>
    <n v="2100003"/>
    <x v="54"/>
    <x v="105"/>
    <s v="CARBONARA"/>
    <n v="2897"/>
    <n v="18"/>
    <n v="52146"/>
    <m/>
  </r>
  <r>
    <x v="12"/>
    <s v="AUG"/>
    <x v="43"/>
    <s v="GRSM 5"/>
    <x v="1"/>
    <s v="GMM"/>
    <n v="211009"/>
    <n v="2100003"/>
    <x v="54"/>
    <x v="105"/>
    <s v="AGLIO OLIO"/>
    <n v="2897"/>
    <n v="40"/>
    <n v="115880"/>
    <m/>
  </r>
  <r>
    <x v="12"/>
    <s v="AUG"/>
    <x v="43"/>
    <s v="GRSM 5"/>
    <x v="1"/>
    <s v="GMM"/>
    <n v="211009"/>
    <n v="2100003"/>
    <x v="54"/>
    <x v="105"/>
    <s v="GORENG"/>
    <n v="2897"/>
    <n v="114"/>
    <n v="330258"/>
    <n v="160"/>
  </r>
  <r>
    <x v="12"/>
    <s v="AUG"/>
    <x v="43"/>
    <s v="GRSM 5"/>
    <x v="1"/>
    <s v="GMM"/>
    <n v="211009"/>
    <n v="2100003"/>
    <x v="54"/>
    <x v="106"/>
    <s v="BOLOGNESE"/>
    <n v="2897"/>
    <n v="42"/>
    <n v="121674"/>
    <m/>
  </r>
  <r>
    <x v="12"/>
    <s v="AUG"/>
    <x v="43"/>
    <s v="GRSM 5"/>
    <x v="1"/>
    <s v="GMM"/>
    <n v="211009"/>
    <n v="2100003"/>
    <x v="54"/>
    <x v="106"/>
    <s v="CARBONARA"/>
    <n v="2897"/>
    <n v="18"/>
    <n v="52146"/>
    <m/>
  </r>
  <r>
    <x v="12"/>
    <s v="AUG"/>
    <x v="43"/>
    <s v="GRSM 5"/>
    <x v="1"/>
    <s v="GMM"/>
    <n v="211009"/>
    <n v="2100003"/>
    <x v="54"/>
    <x v="106"/>
    <s v="AGLIO OLIO"/>
    <n v="2897"/>
    <n v="40"/>
    <n v="115880"/>
    <m/>
  </r>
  <r>
    <x v="12"/>
    <s v="AUG"/>
    <x v="43"/>
    <s v="GRSM 5"/>
    <x v="1"/>
    <s v="GMM"/>
    <n v="211009"/>
    <n v="2100003"/>
    <x v="54"/>
    <x v="106"/>
    <s v="GORENG"/>
    <n v="2897"/>
    <n v="114"/>
    <n v="330258"/>
    <n v="160"/>
  </r>
  <r>
    <x v="12"/>
    <s v="AUG"/>
    <x v="44"/>
    <s v="GRSM 3A"/>
    <x v="0"/>
    <s v="GMM"/>
    <n v="211019"/>
    <n v="1556924"/>
    <x v="33"/>
    <x v="70"/>
    <s v="BOLOGNESE"/>
    <n v="3007"/>
    <n v="34"/>
    <n v="102238"/>
    <m/>
  </r>
  <r>
    <x v="12"/>
    <s v="AUG"/>
    <x v="44"/>
    <s v="GRSM 3A"/>
    <x v="0"/>
    <s v="GMM"/>
    <n v="211019"/>
    <n v="1556924"/>
    <x v="33"/>
    <x v="70"/>
    <s v="CARBONARA"/>
    <n v="3007"/>
    <n v="70"/>
    <n v="210490"/>
    <m/>
  </r>
  <r>
    <x v="12"/>
    <s v="AUG"/>
    <x v="44"/>
    <s v="GRSM 3A"/>
    <x v="0"/>
    <s v="GMM"/>
    <n v="211019"/>
    <n v="1556924"/>
    <x v="33"/>
    <x v="70"/>
    <s v="AGLIO OLIO"/>
    <n v="3007"/>
    <n v="24"/>
    <n v="72168"/>
    <m/>
  </r>
  <r>
    <x v="12"/>
    <s v="AUG"/>
    <x v="44"/>
    <s v="GRSM 3A"/>
    <x v="0"/>
    <s v="GMM"/>
    <n v="211019"/>
    <n v="1556924"/>
    <x v="33"/>
    <x v="70"/>
    <s v="GORENG"/>
    <n v="3007"/>
    <n v="690"/>
    <n v="2074830"/>
    <n v="150"/>
  </r>
  <r>
    <x v="12"/>
    <s v="AUG"/>
    <x v="44"/>
    <s v="GRSM 3A"/>
    <x v="0"/>
    <s v="GMM"/>
    <n v="211019"/>
    <n v="1556924"/>
    <x v="33"/>
    <x v="71"/>
    <s v="BOLOGNESE"/>
    <n v="3007"/>
    <n v="34"/>
    <n v="102238"/>
    <m/>
  </r>
  <r>
    <x v="12"/>
    <s v="AUG"/>
    <x v="44"/>
    <s v="GRSM 3A"/>
    <x v="0"/>
    <s v="GMM"/>
    <n v="211019"/>
    <n v="1556924"/>
    <x v="33"/>
    <x v="71"/>
    <s v="CARBONARA"/>
    <n v="3007"/>
    <n v="70"/>
    <n v="210490"/>
    <m/>
  </r>
  <r>
    <x v="12"/>
    <s v="AUG"/>
    <x v="44"/>
    <s v="GRSM 3A"/>
    <x v="0"/>
    <s v="GMM"/>
    <n v="211019"/>
    <n v="1556924"/>
    <x v="33"/>
    <x v="71"/>
    <s v="AGLIO OLIO"/>
    <n v="3007"/>
    <n v="24"/>
    <n v="72168"/>
    <m/>
  </r>
  <r>
    <x v="12"/>
    <s v="AUG"/>
    <x v="44"/>
    <s v="GRSM 3A"/>
    <x v="0"/>
    <s v="GMM"/>
    <n v="211019"/>
    <n v="1556924"/>
    <x v="33"/>
    <x v="71"/>
    <s v="GORENG"/>
    <n v="3007"/>
    <n v="690"/>
    <n v="2074830"/>
    <n v="150"/>
  </r>
  <r>
    <x v="12"/>
    <s v="AUG"/>
    <x v="41"/>
    <s v="GRSM 3A"/>
    <x v="0"/>
    <s v="GMM"/>
    <n v="211019"/>
    <n v="1556924"/>
    <x v="33"/>
    <x v="70"/>
    <s v="BOLOGNESE"/>
    <n v="3011"/>
    <n v="77"/>
    <n v="231847"/>
    <m/>
  </r>
  <r>
    <x v="12"/>
    <s v="AUG"/>
    <x v="41"/>
    <s v="GRSM 3A"/>
    <x v="0"/>
    <s v="GMM"/>
    <n v="211019"/>
    <n v="1556924"/>
    <x v="33"/>
    <x v="70"/>
    <s v="CARBONARA"/>
    <n v="3011"/>
    <n v="63"/>
    <n v="189693"/>
    <m/>
  </r>
  <r>
    <x v="12"/>
    <s v="AUG"/>
    <x v="41"/>
    <s v="GRSM 3A"/>
    <x v="0"/>
    <s v="GMM"/>
    <n v="211019"/>
    <n v="1556924"/>
    <x v="33"/>
    <x v="70"/>
    <s v="AGLIO OLIO"/>
    <n v="3011"/>
    <n v="18"/>
    <n v="54198"/>
    <m/>
  </r>
  <r>
    <x v="12"/>
    <s v="AUG"/>
    <x v="41"/>
    <s v="GRSM 3A"/>
    <x v="0"/>
    <s v="GMM"/>
    <n v="211019"/>
    <n v="1556924"/>
    <x v="33"/>
    <x v="70"/>
    <s v="GORENG"/>
    <n v="3011"/>
    <n v="108"/>
    <n v="325188"/>
    <n v="55"/>
  </r>
  <r>
    <x v="12"/>
    <s v="AUG"/>
    <x v="41"/>
    <s v="GRSM 3A"/>
    <x v="0"/>
    <s v="GMM"/>
    <n v="211019"/>
    <n v="1556924"/>
    <x v="33"/>
    <x v="71"/>
    <s v="BOLOGNESE"/>
    <n v="3011"/>
    <n v="77"/>
    <n v="231847"/>
    <m/>
  </r>
  <r>
    <x v="12"/>
    <s v="AUG"/>
    <x v="41"/>
    <s v="GRSM 3A"/>
    <x v="0"/>
    <s v="GMM"/>
    <n v="211019"/>
    <n v="1556924"/>
    <x v="33"/>
    <x v="71"/>
    <s v="CARBONARA"/>
    <n v="3011"/>
    <n v="63"/>
    <n v="189693"/>
    <m/>
  </r>
  <r>
    <x v="12"/>
    <s v="AUG"/>
    <x v="41"/>
    <s v="GRSM 3A"/>
    <x v="0"/>
    <s v="GMM"/>
    <n v="211019"/>
    <n v="1556924"/>
    <x v="33"/>
    <x v="71"/>
    <s v="AGLIO OLIO"/>
    <n v="3011"/>
    <n v="18"/>
    <n v="54198"/>
    <m/>
  </r>
  <r>
    <x v="12"/>
    <s v="AUG"/>
    <x v="41"/>
    <s v="GRSM 3A"/>
    <x v="0"/>
    <s v="GMM"/>
    <n v="211019"/>
    <n v="1556924"/>
    <x v="33"/>
    <x v="71"/>
    <s v="GORENG"/>
    <n v="3011"/>
    <n v="108"/>
    <n v="325188"/>
    <n v="55"/>
  </r>
  <r>
    <x v="12"/>
    <s v="AUG"/>
    <x v="41"/>
    <s v="GRSM 4"/>
    <x v="0"/>
    <s v="NKA"/>
    <n v="195403"/>
    <n v="1600007"/>
    <x v="35"/>
    <x v="15"/>
    <s v="BOLOGNESE"/>
    <n v="2150"/>
    <n v="81"/>
    <n v="174150"/>
    <m/>
  </r>
  <r>
    <x v="12"/>
    <s v="AUG"/>
    <x v="41"/>
    <s v="GRSM 4"/>
    <x v="0"/>
    <s v="NKA"/>
    <n v="195403"/>
    <n v="1600007"/>
    <x v="35"/>
    <x v="15"/>
    <s v="CARBONARA"/>
    <n v="2150"/>
    <n v="84"/>
    <n v="180600"/>
    <m/>
  </r>
  <r>
    <x v="12"/>
    <s v="AUG"/>
    <x v="41"/>
    <s v="GRSM 4"/>
    <x v="0"/>
    <s v="NKA"/>
    <n v="195403"/>
    <n v="1600007"/>
    <x v="35"/>
    <x v="15"/>
    <s v="AGLIO OLIO"/>
    <n v="2150"/>
    <n v="78"/>
    <n v="167700"/>
    <m/>
  </r>
  <r>
    <x v="12"/>
    <s v="AUG"/>
    <x v="41"/>
    <s v="GRSM 4"/>
    <x v="0"/>
    <s v="NKA"/>
    <n v="195403"/>
    <n v="1600007"/>
    <x v="35"/>
    <x v="15"/>
    <s v="GORENG"/>
    <n v="2150"/>
    <n v="102"/>
    <n v="219300"/>
    <n v="160"/>
  </r>
  <r>
    <x v="12"/>
    <s v="AUG"/>
    <x v="41"/>
    <s v="GRSM 4"/>
    <x v="0"/>
    <s v="GMM"/>
    <n v="103258"/>
    <n v="9201924"/>
    <x v="39"/>
    <x v="107"/>
    <s v="BOLOGNESE"/>
    <n v="2000"/>
    <n v="121"/>
    <n v="242000"/>
    <m/>
  </r>
  <r>
    <x v="12"/>
    <s v="AUG"/>
    <x v="41"/>
    <s v="GRSM 4"/>
    <x v="0"/>
    <s v="GMM"/>
    <n v="103258"/>
    <n v="9201924"/>
    <x v="39"/>
    <x v="107"/>
    <s v="CARBONARA"/>
    <n v="2000"/>
    <n v="26"/>
    <n v="52000"/>
    <m/>
  </r>
  <r>
    <x v="12"/>
    <s v="AUG"/>
    <x v="41"/>
    <s v="GRSM 4"/>
    <x v="0"/>
    <s v="GMM"/>
    <n v="103258"/>
    <n v="9201924"/>
    <x v="39"/>
    <x v="107"/>
    <s v="AGLIO OLIO"/>
    <n v="2000"/>
    <n v="0"/>
    <n v="0"/>
    <m/>
  </r>
  <r>
    <x v="12"/>
    <s v="AUG"/>
    <x v="41"/>
    <s v="GRSM 4"/>
    <x v="0"/>
    <s v="GMM"/>
    <n v="103258"/>
    <n v="9201924"/>
    <x v="39"/>
    <x v="107"/>
    <s v="GORENG"/>
    <n v="2000"/>
    <n v="0"/>
    <n v="0"/>
    <n v="160"/>
  </r>
  <r>
    <x v="12"/>
    <s v="AUG"/>
    <x v="41"/>
    <s v="GRSM 4"/>
    <x v="0"/>
    <s v="GMM"/>
    <n v="103258"/>
    <n v="9201924"/>
    <x v="39"/>
    <x v="73"/>
    <s v="BOLOGNESE"/>
    <n v="2000"/>
    <n v="121"/>
    <n v="242000"/>
    <m/>
  </r>
  <r>
    <x v="12"/>
    <s v="AUG"/>
    <x v="41"/>
    <s v="GRSM 4"/>
    <x v="0"/>
    <s v="GMM"/>
    <n v="103258"/>
    <n v="9201924"/>
    <x v="39"/>
    <x v="73"/>
    <s v="CARBONARA"/>
    <n v="2000"/>
    <n v="26"/>
    <n v="52000"/>
    <m/>
  </r>
  <r>
    <x v="12"/>
    <s v="AUG"/>
    <x v="41"/>
    <s v="GRSM 4"/>
    <x v="0"/>
    <s v="GMM"/>
    <n v="103258"/>
    <n v="9201924"/>
    <x v="39"/>
    <x v="73"/>
    <s v="AGLIO OLIO"/>
    <n v="2000"/>
    <n v="0"/>
    <n v="0"/>
    <m/>
  </r>
  <r>
    <x v="12"/>
    <s v="AUG"/>
    <x v="41"/>
    <s v="GRSM 4"/>
    <x v="0"/>
    <s v="GMM"/>
    <n v="103258"/>
    <n v="9201924"/>
    <x v="39"/>
    <x v="73"/>
    <s v="GORENG"/>
    <n v="2000"/>
    <n v="0"/>
    <n v="0"/>
    <n v="160"/>
  </r>
  <r>
    <x v="12"/>
    <s v="AUG"/>
    <x v="41"/>
    <s v="GRSM 4"/>
    <x v="0"/>
    <s v="NKA"/>
    <n v="195403"/>
    <n v="1600007"/>
    <x v="35"/>
    <x v="24"/>
    <s v="BOLOGNESE"/>
    <n v="2150"/>
    <n v="78"/>
    <n v="167700"/>
    <m/>
  </r>
  <r>
    <x v="12"/>
    <s v="AUG"/>
    <x v="41"/>
    <s v="GRSM 4"/>
    <x v="0"/>
    <s v="NKA"/>
    <n v="195403"/>
    <n v="1600007"/>
    <x v="35"/>
    <x v="24"/>
    <s v="CARBONARA"/>
    <n v="2150"/>
    <n v="81"/>
    <n v="174150"/>
    <m/>
  </r>
  <r>
    <x v="12"/>
    <s v="AUG"/>
    <x v="41"/>
    <s v="GRSM 4"/>
    <x v="0"/>
    <s v="NKA"/>
    <n v="195403"/>
    <n v="1600007"/>
    <x v="35"/>
    <x v="24"/>
    <s v="AGLIO OLIO"/>
    <n v="2150"/>
    <n v="72"/>
    <n v="154800"/>
    <m/>
  </r>
  <r>
    <x v="12"/>
    <s v="AUG"/>
    <x v="41"/>
    <s v="GRSM 4"/>
    <x v="0"/>
    <s v="NKA"/>
    <n v="195403"/>
    <n v="1600007"/>
    <x v="35"/>
    <x v="24"/>
    <s v="GORENG"/>
    <n v="2150"/>
    <n v="96"/>
    <n v="206400"/>
    <n v="160"/>
  </r>
  <r>
    <x v="12"/>
    <s v="AUG"/>
    <x v="41"/>
    <s v="GRSM 4"/>
    <x v="0"/>
    <s v="GMM"/>
    <n v="103259"/>
    <n v="9002359"/>
    <x v="36"/>
    <x v="1"/>
    <s v="BOLOGNESE"/>
    <n v="1950"/>
    <n v="66"/>
    <n v="128700"/>
    <m/>
  </r>
  <r>
    <x v="12"/>
    <s v="AUG"/>
    <x v="41"/>
    <s v="GRSM 4"/>
    <x v="0"/>
    <s v="GMM"/>
    <n v="103259"/>
    <n v="9002359"/>
    <x v="36"/>
    <x v="1"/>
    <s v="CARBONARA"/>
    <n v="1950"/>
    <n v="0"/>
    <n v="0"/>
    <m/>
  </r>
  <r>
    <x v="12"/>
    <s v="AUG"/>
    <x v="41"/>
    <s v="GRSM 4"/>
    <x v="0"/>
    <s v="GMM"/>
    <n v="103259"/>
    <n v="9002359"/>
    <x v="36"/>
    <x v="1"/>
    <s v="AGLIO OLIO"/>
    <n v="1950"/>
    <n v="0"/>
    <n v="0"/>
    <m/>
  </r>
  <r>
    <x v="12"/>
    <s v="AUG"/>
    <x v="41"/>
    <s v="GRSM 4"/>
    <x v="0"/>
    <s v="GMM"/>
    <n v="103259"/>
    <n v="9002359"/>
    <x v="36"/>
    <x v="1"/>
    <s v="GORENG"/>
    <n v="1950"/>
    <n v="0"/>
    <n v="0"/>
    <n v="160"/>
  </r>
  <r>
    <x v="12"/>
    <s v="AUG"/>
    <x v="41"/>
    <s v="GRSM 4"/>
    <x v="0"/>
    <s v="GMM"/>
    <n v="103712"/>
    <n v="4404677"/>
    <x v="34"/>
    <x v="21"/>
    <s v="BOLOGNESE"/>
    <n v="3000"/>
    <n v="30"/>
    <n v="90000"/>
    <m/>
  </r>
  <r>
    <x v="12"/>
    <s v="AUG"/>
    <x v="41"/>
    <s v="GRSM 4"/>
    <x v="0"/>
    <s v="GMM"/>
    <n v="103712"/>
    <n v="4404677"/>
    <x v="34"/>
    <x v="21"/>
    <s v="CARBONARA"/>
    <n v="3000"/>
    <n v="37"/>
    <n v="111000"/>
    <m/>
  </r>
  <r>
    <x v="12"/>
    <s v="AUG"/>
    <x v="41"/>
    <s v="GRSM 4"/>
    <x v="0"/>
    <s v="GMM"/>
    <n v="103712"/>
    <n v="4404677"/>
    <x v="34"/>
    <x v="21"/>
    <s v="AGLIO OLIO"/>
    <n v="3000"/>
    <n v="26"/>
    <n v="78000"/>
    <m/>
  </r>
  <r>
    <x v="12"/>
    <s v="AUG"/>
    <x v="41"/>
    <s v="GRSM 4"/>
    <x v="0"/>
    <s v="GMM"/>
    <n v="103712"/>
    <n v="4404677"/>
    <x v="34"/>
    <x v="21"/>
    <s v="GORENG"/>
    <n v="3000"/>
    <n v="105"/>
    <n v="315000"/>
    <n v="160"/>
  </r>
  <r>
    <x v="12"/>
    <s v="AUG"/>
    <x v="41"/>
    <s v="GRSM 4"/>
    <x v="0"/>
    <s v="GMM"/>
    <n v="103712"/>
    <n v="4404677"/>
    <x v="34"/>
    <x v="17"/>
    <s v="BOLOGNESE"/>
    <n v="3000"/>
    <n v="28"/>
    <n v="84000"/>
    <m/>
  </r>
  <r>
    <x v="12"/>
    <s v="AUG"/>
    <x v="41"/>
    <s v="GRSM 4"/>
    <x v="0"/>
    <s v="GMM"/>
    <n v="103712"/>
    <n v="4404677"/>
    <x v="34"/>
    <x v="17"/>
    <s v="CARBONARA"/>
    <n v="3000"/>
    <n v="33"/>
    <n v="99000"/>
    <m/>
  </r>
  <r>
    <x v="12"/>
    <s v="AUG"/>
    <x v="41"/>
    <s v="GRSM 4"/>
    <x v="0"/>
    <s v="GMM"/>
    <n v="103712"/>
    <n v="4404677"/>
    <x v="34"/>
    <x v="17"/>
    <s v="AGLIO OLIO"/>
    <n v="3000"/>
    <n v="25"/>
    <n v="75000"/>
    <m/>
  </r>
  <r>
    <x v="12"/>
    <s v="AUG"/>
    <x v="41"/>
    <s v="GRSM 4"/>
    <x v="0"/>
    <s v="GMM"/>
    <n v="103712"/>
    <n v="4404677"/>
    <x v="34"/>
    <x v="17"/>
    <s v="GORENG"/>
    <n v="3000"/>
    <n v="102"/>
    <n v="306000"/>
    <n v="160"/>
  </r>
  <r>
    <x v="12"/>
    <s v="AUG"/>
    <x v="41"/>
    <s v="GRSM 4"/>
    <x v="0"/>
    <s v="GMM"/>
    <n v="103259"/>
    <n v="9006219"/>
    <x v="38"/>
    <x v="4"/>
    <s v="BOLOGNESE"/>
    <n v="2000"/>
    <n v="32"/>
    <n v="64000"/>
    <m/>
  </r>
  <r>
    <x v="12"/>
    <s v="AUG"/>
    <x v="41"/>
    <s v="GRSM 4"/>
    <x v="0"/>
    <s v="GMM"/>
    <n v="103259"/>
    <n v="9006219"/>
    <x v="38"/>
    <x v="4"/>
    <s v="CARBONARA"/>
    <n v="2000"/>
    <n v="20"/>
    <n v="40000"/>
    <m/>
  </r>
  <r>
    <x v="12"/>
    <s v="AUG"/>
    <x v="41"/>
    <s v="GRSM 4"/>
    <x v="0"/>
    <s v="GMM"/>
    <n v="103259"/>
    <n v="9006219"/>
    <x v="38"/>
    <x v="4"/>
    <s v="AGLIO OLIO"/>
    <n v="2000"/>
    <n v="35"/>
    <n v="70000"/>
    <m/>
  </r>
  <r>
    <x v="12"/>
    <s v="AUG"/>
    <x v="41"/>
    <s v="GRSM 4"/>
    <x v="0"/>
    <s v="GMM"/>
    <n v="103259"/>
    <n v="9006219"/>
    <x v="38"/>
    <x v="4"/>
    <s v="GORENG"/>
    <n v="2000"/>
    <n v="119"/>
    <n v="238000"/>
    <n v="160"/>
  </r>
  <r>
    <x v="12"/>
    <s v="AUG"/>
    <x v="41"/>
    <s v="GRSM 4"/>
    <x v="0"/>
    <s v="GMM"/>
    <n v="103259"/>
    <n v="9006219"/>
    <x v="38"/>
    <x v="100"/>
    <s v="BOLOGNESE"/>
    <n v="2000"/>
    <n v="32"/>
    <n v="64000"/>
    <m/>
  </r>
  <r>
    <x v="12"/>
    <s v="AUG"/>
    <x v="41"/>
    <s v="GRSM 4"/>
    <x v="0"/>
    <s v="GMM"/>
    <n v="103259"/>
    <n v="9006219"/>
    <x v="38"/>
    <x v="100"/>
    <s v="CARBONARA"/>
    <n v="2000"/>
    <n v="20"/>
    <n v="40000"/>
    <m/>
  </r>
  <r>
    <x v="12"/>
    <s v="AUG"/>
    <x v="41"/>
    <s v="GRSM 4"/>
    <x v="0"/>
    <s v="GMM"/>
    <n v="103259"/>
    <n v="9006219"/>
    <x v="38"/>
    <x v="100"/>
    <s v="AGLIO OLIO"/>
    <n v="2000"/>
    <n v="35"/>
    <n v="70000"/>
    <m/>
  </r>
  <r>
    <x v="12"/>
    <s v="AUG"/>
    <x v="41"/>
    <s v="GRSM 4"/>
    <x v="0"/>
    <s v="GMM"/>
    <n v="103259"/>
    <n v="9006219"/>
    <x v="38"/>
    <x v="100"/>
    <s v="GORENG"/>
    <n v="2000"/>
    <n v="119"/>
    <n v="238000"/>
    <n v="160"/>
  </r>
  <r>
    <x v="12"/>
    <s v="AUG"/>
    <x v="41"/>
    <s v="GRSM 4"/>
    <x v="0"/>
    <s v="NKA"/>
    <n v="121409"/>
    <n v="5025004"/>
    <x v="37"/>
    <x v="27"/>
    <s v="BOLOGNESE"/>
    <n v="3275"/>
    <n v="90"/>
    <n v="294750"/>
    <m/>
  </r>
  <r>
    <x v="12"/>
    <s v="AUG"/>
    <x v="41"/>
    <s v="GRSM 4"/>
    <x v="0"/>
    <s v="NKA"/>
    <n v="121409"/>
    <n v="5025004"/>
    <x v="37"/>
    <x v="27"/>
    <s v="CARBONARA"/>
    <n v="3275"/>
    <n v="8"/>
    <n v="26200"/>
    <m/>
  </r>
  <r>
    <x v="12"/>
    <s v="AUG"/>
    <x v="41"/>
    <s v="GRSM 4"/>
    <x v="0"/>
    <s v="NKA"/>
    <n v="121409"/>
    <n v="5025004"/>
    <x v="37"/>
    <x v="27"/>
    <s v="AGLIO OLIO"/>
    <n v="3275"/>
    <n v="43"/>
    <n v="140825"/>
    <m/>
  </r>
  <r>
    <x v="12"/>
    <s v="AUG"/>
    <x v="41"/>
    <s v="GRSM 4"/>
    <x v="0"/>
    <s v="NKA"/>
    <n v="121409"/>
    <n v="5025004"/>
    <x v="37"/>
    <x v="27"/>
    <s v="GORENG"/>
    <n v="3275"/>
    <n v="153"/>
    <n v="501075"/>
    <n v="160"/>
  </r>
  <r>
    <x v="12"/>
    <s v="AUG"/>
    <x v="41"/>
    <s v="GRSM 4"/>
    <x v="0"/>
    <s v="NKA"/>
    <n v="121409"/>
    <n v="5025004"/>
    <x v="37"/>
    <x v="26"/>
    <s v="BOLOGNESE"/>
    <n v="3275"/>
    <n v="90"/>
    <n v="294750"/>
    <m/>
  </r>
  <r>
    <x v="12"/>
    <s v="AUG"/>
    <x v="41"/>
    <s v="GRSM 4"/>
    <x v="0"/>
    <s v="NKA"/>
    <n v="121409"/>
    <n v="5025004"/>
    <x v="37"/>
    <x v="26"/>
    <s v="CARBONARA"/>
    <n v="3275"/>
    <n v="8"/>
    <n v="26200"/>
    <m/>
  </r>
  <r>
    <x v="12"/>
    <s v="AUG"/>
    <x v="41"/>
    <s v="GRSM 4"/>
    <x v="0"/>
    <s v="NKA"/>
    <n v="121409"/>
    <n v="5025004"/>
    <x v="37"/>
    <x v="26"/>
    <s v="AGLIO OLIO"/>
    <n v="3275"/>
    <n v="43"/>
    <n v="140825"/>
    <m/>
  </r>
  <r>
    <x v="12"/>
    <s v="AUG"/>
    <x v="41"/>
    <s v="GRSM 4"/>
    <x v="0"/>
    <s v="NKA"/>
    <n v="121409"/>
    <n v="5025004"/>
    <x v="37"/>
    <x v="26"/>
    <s v="GORENG"/>
    <n v="3275"/>
    <n v="153"/>
    <n v="501075"/>
    <n v="160"/>
  </r>
  <r>
    <x v="12"/>
    <s v="AUG"/>
    <x v="41"/>
    <s v="GRSM 4"/>
    <x v="0"/>
    <s v="GMM"/>
    <n v="103257"/>
    <n v="9162509"/>
    <x v="25"/>
    <x v="72"/>
    <s v="BOLOGNESE"/>
    <n v="5038"/>
    <n v="0"/>
    <n v="0"/>
    <m/>
  </r>
  <r>
    <x v="12"/>
    <s v="AUG"/>
    <x v="41"/>
    <s v="GRSM 4"/>
    <x v="0"/>
    <s v="GMM"/>
    <n v="103257"/>
    <n v="9162509"/>
    <x v="25"/>
    <x v="72"/>
    <s v="CARBONARA"/>
    <n v="5038"/>
    <n v="120"/>
    <n v="604560"/>
    <m/>
  </r>
  <r>
    <x v="12"/>
    <s v="AUG"/>
    <x v="41"/>
    <s v="GRSM 4"/>
    <x v="0"/>
    <s v="GMM"/>
    <n v="103257"/>
    <n v="9162509"/>
    <x v="25"/>
    <x v="72"/>
    <s v="AGLIO OLIO"/>
    <n v="5038"/>
    <n v="0"/>
    <n v="0"/>
    <m/>
  </r>
  <r>
    <x v="12"/>
    <s v="AUG"/>
    <x v="41"/>
    <s v="GRSM 4"/>
    <x v="0"/>
    <s v="GMM"/>
    <n v="103257"/>
    <n v="9162509"/>
    <x v="25"/>
    <x v="72"/>
    <s v="GORENG"/>
    <n v="5038"/>
    <n v="0"/>
    <n v="0"/>
    <n v="160"/>
  </r>
  <r>
    <x v="12"/>
    <s v="AUG"/>
    <x v="41"/>
    <s v="GRSM 4"/>
    <x v="0"/>
    <s v="GMM"/>
    <n v="103257"/>
    <n v="9162509"/>
    <x v="25"/>
    <x v="119"/>
    <s v="BOLOGNESE"/>
    <n v="4992"/>
    <n v="0"/>
    <n v="0"/>
    <m/>
  </r>
  <r>
    <x v="12"/>
    <s v="AUG"/>
    <x v="41"/>
    <s v="GRSM 4"/>
    <x v="0"/>
    <s v="GMM"/>
    <n v="103257"/>
    <n v="9162509"/>
    <x v="25"/>
    <x v="119"/>
    <s v="CARBONARA"/>
    <n v="4992"/>
    <n v="118"/>
    <n v="589056"/>
    <m/>
  </r>
  <r>
    <x v="12"/>
    <s v="AUG"/>
    <x v="41"/>
    <s v="GRSM 4"/>
    <x v="0"/>
    <s v="GMM"/>
    <n v="103257"/>
    <n v="9162509"/>
    <x v="25"/>
    <x v="119"/>
    <s v="AGLIO OLIO"/>
    <n v="4992"/>
    <n v="0"/>
    <n v="0"/>
    <m/>
  </r>
  <r>
    <x v="12"/>
    <s v="AUG"/>
    <x v="41"/>
    <s v="GRSM 4"/>
    <x v="0"/>
    <s v="GMM"/>
    <n v="103257"/>
    <n v="9162509"/>
    <x v="25"/>
    <x v="119"/>
    <s v="GORENG"/>
    <n v="4992"/>
    <n v="0"/>
    <n v="0"/>
    <n v="160"/>
  </r>
  <r>
    <x v="12"/>
    <s v="AUG"/>
    <x v="41"/>
    <s v="GRSM 4"/>
    <x v="0"/>
    <s v="GMM"/>
    <n v="103259"/>
    <n v="9002359"/>
    <x v="36"/>
    <x v="75"/>
    <s v="BOLOGNESE"/>
    <n v="1950"/>
    <n v="6"/>
    <n v="11700"/>
    <m/>
  </r>
  <r>
    <x v="12"/>
    <s v="AUG"/>
    <x v="41"/>
    <s v="GRSM 4"/>
    <x v="0"/>
    <s v="GMM"/>
    <n v="103259"/>
    <n v="9002359"/>
    <x v="36"/>
    <x v="75"/>
    <s v="CARBONARA"/>
    <n v="1950"/>
    <n v="0"/>
    <n v="0"/>
    <m/>
  </r>
  <r>
    <x v="12"/>
    <s v="AUG"/>
    <x v="41"/>
    <s v="GRSM 4"/>
    <x v="0"/>
    <s v="GMM"/>
    <n v="103259"/>
    <n v="9002359"/>
    <x v="36"/>
    <x v="75"/>
    <s v="AGLIO OLIO"/>
    <n v="1950"/>
    <n v="0"/>
    <n v="0"/>
    <m/>
  </r>
  <r>
    <x v="12"/>
    <s v="AUG"/>
    <x v="41"/>
    <s v="GRSM 4"/>
    <x v="0"/>
    <s v="GMM"/>
    <n v="103259"/>
    <n v="9002359"/>
    <x v="36"/>
    <x v="75"/>
    <s v="GORENG"/>
    <n v="1950"/>
    <n v="0"/>
    <n v="0"/>
    <n v="160"/>
  </r>
  <r>
    <x v="12"/>
    <s v="AUG"/>
    <x v="42"/>
    <s v="GRSM 3A"/>
    <x v="0"/>
    <s v="GMM"/>
    <n v="211019"/>
    <n v="1556924"/>
    <x v="33"/>
    <x v="70"/>
    <s v="BOLOGNESE"/>
    <n v="2928"/>
    <n v="232"/>
    <n v="679296"/>
    <m/>
  </r>
  <r>
    <x v="12"/>
    <s v="AUG"/>
    <x v="42"/>
    <s v="GRSM 3A"/>
    <x v="0"/>
    <s v="GMM"/>
    <n v="211019"/>
    <n v="1556924"/>
    <x v="33"/>
    <x v="70"/>
    <s v="CARBONARA"/>
    <n v="2928"/>
    <n v="53"/>
    <n v="155184"/>
    <m/>
  </r>
  <r>
    <x v="12"/>
    <s v="AUG"/>
    <x v="42"/>
    <s v="GRSM 3A"/>
    <x v="0"/>
    <s v="GMM"/>
    <n v="211019"/>
    <n v="1556924"/>
    <x v="33"/>
    <x v="70"/>
    <s v="AGLIO OLIO"/>
    <n v="2928"/>
    <n v="2"/>
    <n v="5856"/>
    <m/>
  </r>
  <r>
    <x v="12"/>
    <s v="AUG"/>
    <x v="42"/>
    <s v="GRSM 3A"/>
    <x v="0"/>
    <s v="GMM"/>
    <n v="211019"/>
    <n v="1556924"/>
    <x v="33"/>
    <x v="70"/>
    <s v="GORENG"/>
    <n v="2928"/>
    <n v="48"/>
    <n v="140544"/>
    <n v="50"/>
  </r>
  <r>
    <x v="12"/>
    <s v="AUG"/>
    <x v="42"/>
    <s v="GRSM 3A"/>
    <x v="0"/>
    <s v="GMM"/>
    <n v="211019"/>
    <n v="1556924"/>
    <x v="33"/>
    <x v="71"/>
    <s v="BOLOGNESE"/>
    <n v="2928"/>
    <n v="232"/>
    <n v="679296"/>
    <m/>
  </r>
  <r>
    <x v="12"/>
    <s v="AUG"/>
    <x v="42"/>
    <s v="GRSM 3A"/>
    <x v="0"/>
    <s v="GMM"/>
    <n v="211019"/>
    <n v="1556924"/>
    <x v="33"/>
    <x v="71"/>
    <s v="CARBONARA"/>
    <n v="2928"/>
    <n v="53"/>
    <n v="155184"/>
    <m/>
  </r>
  <r>
    <x v="12"/>
    <s v="AUG"/>
    <x v="42"/>
    <s v="GRSM 3A"/>
    <x v="0"/>
    <s v="GMM"/>
    <n v="211019"/>
    <n v="1556924"/>
    <x v="33"/>
    <x v="71"/>
    <s v="AGLIO OLIO"/>
    <n v="2928"/>
    <n v="2"/>
    <n v="5856"/>
    <m/>
  </r>
  <r>
    <x v="12"/>
    <s v="AUG"/>
    <x v="42"/>
    <s v="GRSM 3A"/>
    <x v="0"/>
    <s v="GMM"/>
    <n v="211019"/>
    <n v="1556924"/>
    <x v="33"/>
    <x v="71"/>
    <s v="GORENG"/>
    <n v="2928"/>
    <n v="48"/>
    <n v="140544"/>
    <n v="50"/>
  </r>
  <r>
    <x v="12"/>
    <s v="AUG"/>
    <x v="42"/>
    <s v="GRSM 4"/>
    <x v="0"/>
    <s v="GMM"/>
    <n v="103257"/>
    <n v="9162509"/>
    <x v="25"/>
    <x v="72"/>
    <s v="BOLOGNESE"/>
    <n v="3100"/>
    <n v="80"/>
    <n v="248000"/>
    <m/>
  </r>
  <r>
    <x v="12"/>
    <s v="AUG"/>
    <x v="42"/>
    <s v="GRSM 4"/>
    <x v="0"/>
    <s v="GMM"/>
    <n v="103257"/>
    <n v="9162509"/>
    <x v="25"/>
    <x v="72"/>
    <s v="CARBONARA"/>
    <n v="3100"/>
    <n v="67"/>
    <n v="207700"/>
    <m/>
  </r>
  <r>
    <x v="12"/>
    <s v="AUG"/>
    <x v="42"/>
    <s v="GRSM 4"/>
    <x v="0"/>
    <s v="GMM"/>
    <n v="103257"/>
    <n v="9162509"/>
    <x v="25"/>
    <x v="72"/>
    <s v="AGLIO OLIO"/>
    <n v="3100"/>
    <n v="0"/>
    <n v="0"/>
    <m/>
  </r>
  <r>
    <x v="12"/>
    <s v="AUG"/>
    <x v="42"/>
    <s v="GRSM 4"/>
    <x v="0"/>
    <s v="GMM"/>
    <n v="103257"/>
    <n v="9162509"/>
    <x v="25"/>
    <x v="72"/>
    <s v="GORENG"/>
    <n v="3100"/>
    <n v="52"/>
    <n v="161200"/>
    <n v="160"/>
  </r>
  <r>
    <x v="12"/>
    <s v="AUG"/>
    <x v="42"/>
    <s v="GRSM 4"/>
    <x v="0"/>
    <s v="NKA"/>
    <n v="195403"/>
    <n v="1600007"/>
    <x v="35"/>
    <x v="15"/>
    <s v="BOLOGNESE"/>
    <n v="2150"/>
    <n v="87"/>
    <n v="187050"/>
    <m/>
  </r>
  <r>
    <x v="12"/>
    <s v="AUG"/>
    <x v="42"/>
    <s v="GRSM 4"/>
    <x v="0"/>
    <s v="NKA"/>
    <n v="195403"/>
    <n v="1600007"/>
    <x v="35"/>
    <x v="15"/>
    <s v="CARBONARA"/>
    <n v="2150"/>
    <n v="90"/>
    <n v="193500"/>
    <m/>
  </r>
  <r>
    <x v="12"/>
    <s v="AUG"/>
    <x v="42"/>
    <s v="GRSM 4"/>
    <x v="0"/>
    <s v="NKA"/>
    <n v="195403"/>
    <n v="1600007"/>
    <x v="35"/>
    <x v="15"/>
    <s v="AGLIO OLIO"/>
    <n v="2150"/>
    <n v="84"/>
    <n v="180600"/>
    <m/>
  </r>
  <r>
    <x v="12"/>
    <s v="AUG"/>
    <x v="42"/>
    <s v="GRSM 4"/>
    <x v="0"/>
    <s v="NKA"/>
    <n v="195403"/>
    <n v="1600007"/>
    <x v="35"/>
    <x v="15"/>
    <s v="GORENG"/>
    <n v="2150"/>
    <n v="114"/>
    <n v="245100"/>
    <n v="160"/>
  </r>
  <r>
    <x v="12"/>
    <s v="AUG"/>
    <x v="42"/>
    <s v="GRSM 4"/>
    <x v="0"/>
    <s v="NKA"/>
    <n v="195403"/>
    <n v="1600007"/>
    <x v="35"/>
    <x v="24"/>
    <s v="BOLOGNESE"/>
    <n v="2150"/>
    <n v="84"/>
    <n v="180600"/>
    <m/>
  </r>
  <r>
    <x v="12"/>
    <s v="AUG"/>
    <x v="42"/>
    <s v="GRSM 4"/>
    <x v="0"/>
    <s v="NKA"/>
    <n v="195403"/>
    <n v="1600007"/>
    <x v="35"/>
    <x v="24"/>
    <s v="CARBONARA"/>
    <n v="2150"/>
    <n v="81"/>
    <n v="174150"/>
    <m/>
  </r>
  <r>
    <x v="12"/>
    <s v="AUG"/>
    <x v="42"/>
    <s v="GRSM 4"/>
    <x v="0"/>
    <s v="NKA"/>
    <n v="195403"/>
    <n v="1600007"/>
    <x v="35"/>
    <x v="24"/>
    <s v="AGLIO OLIO"/>
    <n v="2150"/>
    <n v="81"/>
    <n v="174150"/>
    <m/>
  </r>
  <r>
    <x v="12"/>
    <s v="AUG"/>
    <x v="42"/>
    <s v="GRSM 4"/>
    <x v="0"/>
    <s v="NKA"/>
    <n v="195403"/>
    <n v="1600007"/>
    <x v="35"/>
    <x v="24"/>
    <s v="GORENG"/>
    <n v="2150"/>
    <n v="108"/>
    <n v="232200"/>
    <n v="160"/>
  </r>
  <r>
    <x v="12"/>
    <s v="AUG"/>
    <x v="42"/>
    <s v="GRSM 4"/>
    <x v="0"/>
    <s v="GMM"/>
    <n v="103259"/>
    <n v="9006219"/>
    <x v="38"/>
    <x v="4"/>
    <s v="BOLOGNESE"/>
    <n v="2000"/>
    <n v="24"/>
    <n v="48000"/>
    <m/>
  </r>
  <r>
    <x v="12"/>
    <s v="AUG"/>
    <x v="42"/>
    <s v="GRSM 4"/>
    <x v="0"/>
    <s v="GMM"/>
    <n v="103259"/>
    <n v="9006219"/>
    <x v="38"/>
    <x v="4"/>
    <s v="CARBONARA"/>
    <n v="2000"/>
    <n v="32"/>
    <n v="64000"/>
    <m/>
  </r>
  <r>
    <x v="12"/>
    <s v="AUG"/>
    <x v="42"/>
    <s v="GRSM 4"/>
    <x v="0"/>
    <s v="GMM"/>
    <n v="103259"/>
    <n v="9006219"/>
    <x v="38"/>
    <x v="4"/>
    <s v="AGLIO OLIO"/>
    <n v="2000"/>
    <n v="41"/>
    <n v="82000"/>
    <m/>
  </r>
  <r>
    <x v="12"/>
    <s v="AUG"/>
    <x v="42"/>
    <s v="GRSM 4"/>
    <x v="0"/>
    <s v="GMM"/>
    <n v="103259"/>
    <n v="9006219"/>
    <x v="38"/>
    <x v="4"/>
    <s v="GORENG"/>
    <n v="2000"/>
    <n v="116"/>
    <n v="232000"/>
    <n v="160"/>
  </r>
  <r>
    <x v="12"/>
    <s v="AUG"/>
    <x v="42"/>
    <s v="GRSM 4"/>
    <x v="0"/>
    <s v="GMM"/>
    <n v="103259"/>
    <n v="9006219"/>
    <x v="38"/>
    <x v="100"/>
    <s v="BOLOGNESE"/>
    <n v="2000"/>
    <n v="24"/>
    <n v="48000"/>
    <m/>
  </r>
  <r>
    <x v="12"/>
    <s v="AUG"/>
    <x v="42"/>
    <s v="GRSM 4"/>
    <x v="0"/>
    <s v="GMM"/>
    <n v="103259"/>
    <n v="9006219"/>
    <x v="38"/>
    <x v="100"/>
    <s v="CARBONARA"/>
    <n v="2000"/>
    <n v="32"/>
    <n v="64000"/>
    <m/>
  </r>
  <r>
    <x v="12"/>
    <s v="AUG"/>
    <x v="42"/>
    <s v="GRSM 4"/>
    <x v="0"/>
    <s v="GMM"/>
    <n v="103259"/>
    <n v="9006219"/>
    <x v="38"/>
    <x v="100"/>
    <s v="AGLIO OLIO"/>
    <n v="2000"/>
    <n v="41"/>
    <n v="82000"/>
    <m/>
  </r>
  <r>
    <x v="12"/>
    <s v="AUG"/>
    <x v="42"/>
    <s v="GRSM 4"/>
    <x v="0"/>
    <s v="GMM"/>
    <n v="103259"/>
    <n v="9006219"/>
    <x v="38"/>
    <x v="100"/>
    <s v="GORENG"/>
    <n v="2000"/>
    <n v="116"/>
    <n v="232000"/>
    <n v="160"/>
  </r>
  <r>
    <x v="12"/>
    <s v="AUG"/>
    <x v="42"/>
    <s v="GRSM 4"/>
    <x v="0"/>
    <s v="GMM"/>
    <n v="103258"/>
    <n v="9201924"/>
    <x v="39"/>
    <x v="107"/>
    <s v="BOLOGNESE"/>
    <n v="2000"/>
    <n v="46"/>
    <n v="92000"/>
    <m/>
  </r>
  <r>
    <x v="12"/>
    <s v="AUG"/>
    <x v="42"/>
    <s v="GRSM 4"/>
    <x v="0"/>
    <s v="GMM"/>
    <n v="103258"/>
    <n v="9201924"/>
    <x v="39"/>
    <x v="107"/>
    <s v="CARBONARA"/>
    <n v="2000"/>
    <n v="120"/>
    <n v="240000"/>
    <m/>
  </r>
  <r>
    <x v="12"/>
    <s v="AUG"/>
    <x v="42"/>
    <s v="GRSM 4"/>
    <x v="0"/>
    <s v="GMM"/>
    <n v="103258"/>
    <n v="9201924"/>
    <x v="39"/>
    <x v="107"/>
    <s v="AGLIO OLIO"/>
    <n v="2000"/>
    <n v="0"/>
    <n v="0"/>
    <m/>
  </r>
  <r>
    <x v="12"/>
    <s v="AUG"/>
    <x v="42"/>
    <s v="GRSM 4"/>
    <x v="0"/>
    <s v="GMM"/>
    <n v="103258"/>
    <n v="9201924"/>
    <x v="39"/>
    <x v="107"/>
    <s v="GORENG"/>
    <n v="2000"/>
    <n v="180"/>
    <n v="360000"/>
    <n v="160"/>
  </r>
  <r>
    <x v="12"/>
    <s v="AUG"/>
    <x v="42"/>
    <s v="GRSM 4"/>
    <x v="0"/>
    <s v="GMM"/>
    <n v="103258"/>
    <n v="9201924"/>
    <x v="39"/>
    <x v="73"/>
    <s v="BOLOGNESE"/>
    <n v="2000"/>
    <n v="46"/>
    <n v="92000"/>
    <m/>
  </r>
  <r>
    <x v="12"/>
    <s v="AUG"/>
    <x v="42"/>
    <s v="GRSM 4"/>
    <x v="0"/>
    <s v="GMM"/>
    <n v="103258"/>
    <n v="9201924"/>
    <x v="39"/>
    <x v="73"/>
    <s v="CARBONARA"/>
    <n v="2000"/>
    <n v="120"/>
    <n v="240000"/>
    <m/>
  </r>
  <r>
    <x v="12"/>
    <s v="AUG"/>
    <x v="42"/>
    <s v="GRSM 4"/>
    <x v="0"/>
    <s v="GMM"/>
    <n v="103258"/>
    <n v="9201924"/>
    <x v="39"/>
    <x v="73"/>
    <s v="AGLIO OLIO"/>
    <n v="2000"/>
    <n v="0"/>
    <n v="0"/>
    <m/>
  </r>
  <r>
    <x v="12"/>
    <s v="AUG"/>
    <x v="42"/>
    <s v="GRSM 4"/>
    <x v="0"/>
    <s v="GMM"/>
    <n v="103258"/>
    <n v="9201924"/>
    <x v="39"/>
    <x v="73"/>
    <s v="GORENG"/>
    <n v="2000"/>
    <n v="180"/>
    <n v="360000"/>
    <n v="160"/>
  </r>
  <r>
    <x v="12"/>
    <s v="AUG"/>
    <x v="42"/>
    <s v="GRSM 4"/>
    <x v="0"/>
    <s v="GMM"/>
    <n v="103712"/>
    <n v="4404677"/>
    <x v="34"/>
    <x v="17"/>
    <s v="BOLOGNESE"/>
    <n v="3000"/>
    <n v="33"/>
    <n v="99000"/>
    <m/>
  </r>
  <r>
    <x v="12"/>
    <s v="AUG"/>
    <x v="42"/>
    <s v="GRSM 4"/>
    <x v="0"/>
    <s v="GMM"/>
    <n v="103712"/>
    <n v="4404677"/>
    <x v="34"/>
    <x v="17"/>
    <s v="CARBONARA"/>
    <n v="3000"/>
    <n v="40"/>
    <n v="120000"/>
    <m/>
  </r>
  <r>
    <x v="12"/>
    <s v="AUG"/>
    <x v="42"/>
    <s v="GRSM 4"/>
    <x v="0"/>
    <s v="GMM"/>
    <n v="103712"/>
    <n v="4404677"/>
    <x v="34"/>
    <x v="17"/>
    <s v="AGLIO OLIO"/>
    <n v="3000"/>
    <n v="29"/>
    <n v="87000"/>
    <m/>
  </r>
  <r>
    <x v="12"/>
    <s v="AUG"/>
    <x v="42"/>
    <s v="GRSM 4"/>
    <x v="0"/>
    <s v="GMM"/>
    <n v="103712"/>
    <n v="4404677"/>
    <x v="34"/>
    <x v="17"/>
    <s v="GORENG"/>
    <n v="3000"/>
    <n v="105"/>
    <n v="315000"/>
    <n v="160"/>
  </r>
  <r>
    <x v="12"/>
    <s v="AUG"/>
    <x v="42"/>
    <s v="GRSM 4"/>
    <x v="0"/>
    <s v="GMM"/>
    <n v="103712"/>
    <n v="4404677"/>
    <x v="34"/>
    <x v="21"/>
    <s v="BOLOGNESE"/>
    <n v="3000"/>
    <n v="31"/>
    <n v="93000"/>
    <m/>
  </r>
  <r>
    <x v="12"/>
    <s v="AUG"/>
    <x v="42"/>
    <s v="GRSM 4"/>
    <x v="0"/>
    <s v="GMM"/>
    <n v="103712"/>
    <n v="4404677"/>
    <x v="34"/>
    <x v="21"/>
    <s v="CARBONARA"/>
    <n v="3000"/>
    <n v="43"/>
    <n v="129000"/>
    <m/>
  </r>
  <r>
    <x v="12"/>
    <s v="AUG"/>
    <x v="42"/>
    <s v="GRSM 4"/>
    <x v="0"/>
    <s v="GMM"/>
    <n v="103712"/>
    <n v="4404677"/>
    <x v="34"/>
    <x v="21"/>
    <s v="AGLIO OLIO"/>
    <n v="3000"/>
    <n v="27"/>
    <n v="81000"/>
    <m/>
  </r>
  <r>
    <x v="12"/>
    <s v="AUG"/>
    <x v="42"/>
    <s v="GRSM 4"/>
    <x v="0"/>
    <s v="GMM"/>
    <n v="103712"/>
    <n v="4404677"/>
    <x v="34"/>
    <x v="21"/>
    <s v="GORENG"/>
    <n v="3000"/>
    <n v="113"/>
    <n v="339000"/>
    <n v="160"/>
  </r>
  <r>
    <x v="12"/>
    <s v="AUG"/>
    <x v="42"/>
    <s v="GRSM 4"/>
    <x v="0"/>
    <s v="GMM"/>
    <n v="103257"/>
    <n v="9162509"/>
    <x v="25"/>
    <x v="119"/>
    <s v="BOLOGNESE"/>
    <n v="3100"/>
    <n v="75"/>
    <n v="232500"/>
    <m/>
  </r>
  <r>
    <x v="12"/>
    <s v="AUG"/>
    <x v="42"/>
    <s v="GRSM 4"/>
    <x v="0"/>
    <s v="GMM"/>
    <n v="103257"/>
    <n v="9162509"/>
    <x v="25"/>
    <x v="119"/>
    <s v="CARBONARA"/>
    <n v="3100"/>
    <n v="65"/>
    <n v="201500"/>
    <m/>
  </r>
  <r>
    <x v="12"/>
    <s v="AUG"/>
    <x v="42"/>
    <s v="GRSM 4"/>
    <x v="0"/>
    <s v="GMM"/>
    <n v="103257"/>
    <n v="9162509"/>
    <x v="25"/>
    <x v="119"/>
    <s v="AGLIO OLIO"/>
    <n v="3100"/>
    <n v="0"/>
    <n v="0"/>
    <m/>
  </r>
  <r>
    <x v="12"/>
    <s v="AUG"/>
    <x v="42"/>
    <s v="GRSM 4"/>
    <x v="0"/>
    <s v="GMM"/>
    <n v="103257"/>
    <n v="9162509"/>
    <x v="25"/>
    <x v="119"/>
    <s v="GORENG"/>
    <n v="3100"/>
    <n v="55"/>
    <n v="170500"/>
    <n v="160"/>
  </r>
  <r>
    <x v="12"/>
    <s v="AUG"/>
    <x v="42"/>
    <s v="GRSM 4"/>
    <x v="0"/>
    <s v="NKA"/>
    <n v="121409"/>
    <n v="5025004"/>
    <x v="37"/>
    <x v="27"/>
    <s v="BOLOGNESE"/>
    <n v="3275"/>
    <n v="98"/>
    <n v="320950"/>
    <m/>
  </r>
  <r>
    <x v="12"/>
    <s v="AUG"/>
    <x v="42"/>
    <s v="GRSM 4"/>
    <x v="0"/>
    <s v="NKA"/>
    <n v="121409"/>
    <n v="5025004"/>
    <x v="37"/>
    <x v="27"/>
    <s v="CARBONARA"/>
    <n v="3275"/>
    <n v="0"/>
    <n v="0"/>
    <m/>
  </r>
  <r>
    <x v="12"/>
    <s v="AUG"/>
    <x v="42"/>
    <s v="GRSM 4"/>
    <x v="0"/>
    <s v="NKA"/>
    <n v="121409"/>
    <n v="5025004"/>
    <x v="37"/>
    <x v="27"/>
    <s v="AGLIO OLIO"/>
    <n v="3275"/>
    <n v="44"/>
    <n v="144100"/>
    <m/>
  </r>
  <r>
    <x v="12"/>
    <s v="AUG"/>
    <x v="42"/>
    <s v="GRSM 4"/>
    <x v="0"/>
    <s v="NKA"/>
    <n v="121409"/>
    <n v="5025004"/>
    <x v="37"/>
    <x v="27"/>
    <s v="GORENG"/>
    <n v="3275"/>
    <n v="103"/>
    <n v="337325"/>
    <n v="160"/>
  </r>
  <r>
    <x v="12"/>
    <s v="AUG"/>
    <x v="42"/>
    <s v="GRSM 4"/>
    <x v="0"/>
    <s v="NKA"/>
    <n v="121409"/>
    <n v="5025004"/>
    <x v="37"/>
    <x v="26"/>
    <s v="BOLOGNESE"/>
    <n v="3275"/>
    <n v="98"/>
    <n v="320950"/>
    <m/>
  </r>
  <r>
    <x v="12"/>
    <s v="AUG"/>
    <x v="42"/>
    <s v="GRSM 4"/>
    <x v="0"/>
    <s v="NKA"/>
    <n v="121409"/>
    <n v="5025004"/>
    <x v="37"/>
    <x v="26"/>
    <s v="CARBONARA"/>
    <n v="3275"/>
    <n v="0"/>
    <n v="0"/>
    <m/>
  </r>
  <r>
    <x v="12"/>
    <s v="AUG"/>
    <x v="42"/>
    <s v="GRSM 4"/>
    <x v="0"/>
    <s v="NKA"/>
    <n v="121409"/>
    <n v="5025004"/>
    <x v="37"/>
    <x v="26"/>
    <s v="AGLIO OLIO"/>
    <n v="3275"/>
    <n v="44"/>
    <n v="144100"/>
    <m/>
  </r>
  <r>
    <x v="12"/>
    <s v="AUG"/>
    <x v="42"/>
    <s v="GRSM 4"/>
    <x v="0"/>
    <s v="NKA"/>
    <n v="121409"/>
    <n v="5025004"/>
    <x v="37"/>
    <x v="26"/>
    <s v="GORENG"/>
    <n v="3275"/>
    <n v="103"/>
    <n v="337325"/>
    <n v="160"/>
  </r>
  <r>
    <x v="12"/>
    <s v="AUG"/>
    <x v="41"/>
    <s v="GRSM 4"/>
    <x v="0"/>
    <s v="GMM"/>
    <n v="103259"/>
    <n v="9002359"/>
    <x v="36"/>
    <x v="75"/>
    <s v="BOLOGNESE"/>
    <n v="1967"/>
    <n v="24"/>
    <n v="47208"/>
    <m/>
  </r>
  <r>
    <x v="12"/>
    <s v="AUG"/>
    <x v="41"/>
    <s v="GRSM 4"/>
    <x v="0"/>
    <s v="GMM"/>
    <n v="103259"/>
    <n v="9002359"/>
    <x v="36"/>
    <x v="75"/>
    <s v="CARBONARA"/>
    <n v="1967"/>
    <n v="0"/>
    <n v="0"/>
    <m/>
  </r>
  <r>
    <x v="12"/>
    <s v="AUG"/>
    <x v="41"/>
    <s v="GRSM 4"/>
    <x v="0"/>
    <s v="GMM"/>
    <n v="103259"/>
    <n v="9002359"/>
    <x v="36"/>
    <x v="75"/>
    <s v="AGLIO OLIO"/>
    <n v="1967"/>
    <n v="0"/>
    <n v="0"/>
    <m/>
  </r>
  <r>
    <x v="12"/>
    <s v="AUG"/>
    <x v="41"/>
    <s v="GRSM 4"/>
    <x v="0"/>
    <s v="GMM"/>
    <n v="103259"/>
    <n v="9002359"/>
    <x v="36"/>
    <x v="75"/>
    <s v="GORENG"/>
    <n v="1967"/>
    <n v="0"/>
    <n v="0"/>
    <n v="160"/>
  </r>
  <r>
    <x v="12"/>
    <s v="AUG"/>
    <x v="41"/>
    <s v="GRSM 4"/>
    <x v="0"/>
    <s v="GMM"/>
    <n v="103259"/>
    <n v="9002359"/>
    <x v="36"/>
    <x v="1"/>
    <s v="BOLOGNESE"/>
    <n v="1967"/>
    <n v="42"/>
    <n v="82614"/>
    <m/>
  </r>
  <r>
    <x v="12"/>
    <s v="AUG"/>
    <x v="41"/>
    <s v="GRSM 4"/>
    <x v="0"/>
    <s v="GMM"/>
    <n v="103259"/>
    <n v="9002359"/>
    <x v="36"/>
    <x v="1"/>
    <s v="CARBONARA"/>
    <n v="1967"/>
    <n v="0"/>
    <n v="0"/>
    <m/>
  </r>
  <r>
    <x v="12"/>
    <s v="AUG"/>
    <x v="41"/>
    <s v="GRSM 4"/>
    <x v="0"/>
    <s v="GMM"/>
    <n v="103259"/>
    <n v="9002359"/>
    <x v="36"/>
    <x v="1"/>
    <s v="AGLIO OLIO"/>
    <n v="1967"/>
    <n v="0"/>
    <n v="0"/>
    <m/>
  </r>
  <r>
    <x v="12"/>
    <s v="AUG"/>
    <x v="41"/>
    <s v="GRSM 4"/>
    <x v="0"/>
    <s v="GMM"/>
    <n v="103259"/>
    <n v="9002359"/>
    <x v="36"/>
    <x v="1"/>
    <s v="GORENG"/>
    <n v="1967"/>
    <n v="0"/>
    <n v="0"/>
    <n v="160"/>
  </r>
  <r>
    <x v="12"/>
    <s v="AUG"/>
    <x v="42"/>
    <s v="GRSM 4"/>
    <x v="0"/>
    <s v="GMM"/>
    <n v="103259"/>
    <n v="9002359"/>
    <x v="36"/>
    <x v="75"/>
    <s v="BOLOGNESE"/>
    <n v="1967"/>
    <n v="36"/>
    <n v="70812"/>
    <m/>
  </r>
  <r>
    <x v="12"/>
    <s v="AUG"/>
    <x v="42"/>
    <s v="GRSM 4"/>
    <x v="0"/>
    <s v="GMM"/>
    <n v="103259"/>
    <n v="9002359"/>
    <x v="36"/>
    <x v="75"/>
    <s v="CARBONARA"/>
    <n v="1967"/>
    <n v="0"/>
    <n v="0"/>
    <m/>
  </r>
  <r>
    <x v="12"/>
    <s v="AUG"/>
    <x v="42"/>
    <s v="GRSM 4"/>
    <x v="0"/>
    <s v="GMM"/>
    <n v="103259"/>
    <n v="9002359"/>
    <x v="36"/>
    <x v="75"/>
    <s v="AGLIO OLIO"/>
    <n v="1967"/>
    <n v="0"/>
    <n v="0"/>
    <m/>
  </r>
  <r>
    <x v="12"/>
    <s v="AUG"/>
    <x v="42"/>
    <s v="GRSM 4"/>
    <x v="0"/>
    <s v="GMM"/>
    <n v="103259"/>
    <n v="9002359"/>
    <x v="36"/>
    <x v="75"/>
    <s v="GORENG"/>
    <n v="1967"/>
    <n v="0"/>
    <n v="0"/>
    <n v="160"/>
  </r>
  <r>
    <x v="12"/>
    <s v="AUG"/>
    <x v="42"/>
    <s v="GRSM 4"/>
    <x v="0"/>
    <s v="GMM"/>
    <n v="103259"/>
    <n v="9002359"/>
    <x v="36"/>
    <x v="1"/>
    <s v="BOLOGNESE"/>
    <n v="1967"/>
    <n v="30"/>
    <n v="59010"/>
    <m/>
  </r>
  <r>
    <x v="12"/>
    <s v="AUG"/>
    <x v="42"/>
    <s v="GRSM 4"/>
    <x v="0"/>
    <s v="GMM"/>
    <n v="103259"/>
    <n v="9002359"/>
    <x v="36"/>
    <x v="1"/>
    <s v="CARBONARA"/>
    <n v="1967"/>
    <n v="0"/>
    <n v="0"/>
    <m/>
  </r>
  <r>
    <x v="12"/>
    <s v="AUG"/>
    <x v="42"/>
    <s v="GRSM 4"/>
    <x v="0"/>
    <s v="GMM"/>
    <n v="103259"/>
    <n v="9002359"/>
    <x v="36"/>
    <x v="1"/>
    <s v="AGLIO OLIO"/>
    <n v="1967"/>
    <n v="0"/>
    <n v="0"/>
    <m/>
  </r>
  <r>
    <x v="12"/>
    <s v="AUG"/>
    <x v="42"/>
    <s v="GRSM 4"/>
    <x v="0"/>
    <s v="GMM"/>
    <n v="103259"/>
    <n v="9002359"/>
    <x v="36"/>
    <x v="1"/>
    <s v="GORENG"/>
    <n v="1967"/>
    <n v="0"/>
    <n v="0"/>
    <n v="160"/>
  </r>
  <r>
    <x v="12"/>
    <s v="AUG"/>
    <x v="43"/>
    <s v="GRSM 4"/>
    <x v="0"/>
    <s v="NKA"/>
    <n v="195403"/>
    <n v="1600007"/>
    <x v="35"/>
    <x v="15"/>
    <s v="BOLOGNESE"/>
    <n v="2150"/>
    <n v="78"/>
    <n v="167700"/>
    <m/>
  </r>
  <r>
    <x v="12"/>
    <s v="AUG"/>
    <x v="43"/>
    <s v="GRSM 4"/>
    <x v="0"/>
    <s v="NKA"/>
    <n v="195403"/>
    <n v="1600007"/>
    <x v="35"/>
    <x v="15"/>
    <s v="CARBONARA"/>
    <n v="2150"/>
    <n v="84"/>
    <n v="180600"/>
    <m/>
  </r>
  <r>
    <x v="12"/>
    <s v="AUG"/>
    <x v="43"/>
    <s v="GRSM 4"/>
    <x v="0"/>
    <s v="NKA"/>
    <n v="195403"/>
    <n v="1600007"/>
    <x v="35"/>
    <x v="15"/>
    <s v="AGLIO OLIO"/>
    <n v="2150"/>
    <n v="87"/>
    <n v="187050"/>
    <m/>
  </r>
  <r>
    <x v="12"/>
    <s v="AUG"/>
    <x v="43"/>
    <s v="GRSM 4"/>
    <x v="0"/>
    <s v="NKA"/>
    <n v="195403"/>
    <n v="1600007"/>
    <x v="35"/>
    <x v="15"/>
    <s v="GORENG"/>
    <n v="2150"/>
    <n v="96"/>
    <n v="206400"/>
    <n v="160"/>
  </r>
  <r>
    <x v="12"/>
    <s v="AUG"/>
    <x v="43"/>
    <s v="GRSM 4"/>
    <x v="0"/>
    <s v="NKA"/>
    <n v="121409"/>
    <n v="5025004"/>
    <x v="37"/>
    <x v="27"/>
    <s v="BOLOGNESE"/>
    <n v="3275"/>
    <n v="125"/>
    <n v="409375"/>
    <m/>
  </r>
  <r>
    <x v="12"/>
    <s v="AUG"/>
    <x v="43"/>
    <s v="GRSM 4"/>
    <x v="0"/>
    <s v="NKA"/>
    <n v="121409"/>
    <n v="5025004"/>
    <x v="37"/>
    <x v="27"/>
    <s v="CARBONARA"/>
    <n v="3275"/>
    <n v="0"/>
    <n v="0"/>
    <m/>
  </r>
  <r>
    <x v="12"/>
    <s v="AUG"/>
    <x v="43"/>
    <s v="GRSM 4"/>
    <x v="0"/>
    <s v="NKA"/>
    <n v="121409"/>
    <n v="5025004"/>
    <x v="37"/>
    <x v="27"/>
    <s v="AGLIO OLIO"/>
    <n v="3275"/>
    <n v="69"/>
    <n v="225975"/>
    <m/>
  </r>
  <r>
    <x v="12"/>
    <s v="AUG"/>
    <x v="43"/>
    <s v="GRSM 4"/>
    <x v="0"/>
    <s v="NKA"/>
    <n v="121409"/>
    <n v="5025004"/>
    <x v="37"/>
    <x v="27"/>
    <s v="GORENG"/>
    <n v="3275"/>
    <n v="211"/>
    <n v="691025"/>
    <n v="160"/>
  </r>
  <r>
    <x v="12"/>
    <s v="AUG"/>
    <x v="43"/>
    <s v="GRSM 4"/>
    <x v="0"/>
    <s v="NKA"/>
    <n v="121409"/>
    <n v="5025004"/>
    <x v="37"/>
    <x v="26"/>
    <s v="BOLOGNESE"/>
    <n v="3275"/>
    <n v="125"/>
    <n v="409375"/>
    <m/>
  </r>
  <r>
    <x v="12"/>
    <s v="AUG"/>
    <x v="43"/>
    <s v="GRSM 4"/>
    <x v="0"/>
    <s v="NKA"/>
    <n v="121409"/>
    <n v="5025004"/>
    <x v="37"/>
    <x v="26"/>
    <s v="CARBONARA"/>
    <n v="3275"/>
    <n v="0"/>
    <n v="0"/>
    <m/>
  </r>
  <r>
    <x v="12"/>
    <s v="AUG"/>
    <x v="43"/>
    <s v="GRSM 4"/>
    <x v="0"/>
    <s v="NKA"/>
    <n v="121409"/>
    <n v="5025004"/>
    <x v="37"/>
    <x v="26"/>
    <s v="AGLIO OLIO"/>
    <n v="3275"/>
    <n v="69"/>
    <n v="225975"/>
    <m/>
  </r>
  <r>
    <x v="12"/>
    <s v="AUG"/>
    <x v="43"/>
    <s v="GRSM 4"/>
    <x v="0"/>
    <s v="NKA"/>
    <n v="121409"/>
    <n v="5025004"/>
    <x v="37"/>
    <x v="26"/>
    <s v="GORENG"/>
    <n v="3275"/>
    <n v="211"/>
    <n v="691025"/>
    <n v="160"/>
  </r>
  <r>
    <x v="12"/>
    <s v="AUG"/>
    <x v="43"/>
    <s v="GRSM 4"/>
    <x v="0"/>
    <s v="GMM"/>
    <n v="103712"/>
    <n v="4404677"/>
    <x v="34"/>
    <x v="21"/>
    <s v="BOLOGNESE"/>
    <n v="3000"/>
    <n v="36"/>
    <n v="108000"/>
    <m/>
  </r>
  <r>
    <x v="12"/>
    <s v="AUG"/>
    <x v="43"/>
    <s v="GRSM 4"/>
    <x v="0"/>
    <s v="GMM"/>
    <n v="103712"/>
    <n v="4404677"/>
    <x v="34"/>
    <x v="21"/>
    <s v="CARBONARA"/>
    <n v="3000"/>
    <n v="45"/>
    <n v="135000"/>
    <m/>
  </r>
  <r>
    <x v="12"/>
    <s v="AUG"/>
    <x v="43"/>
    <s v="GRSM 4"/>
    <x v="0"/>
    <s v="GMM"/>
    <n v="103712"/>
    <n v="4404677"/>
    <x v="34"/>
    <x v="21"/>
    <s v="AGLIO OLIO"/>
    <n v="3000"/>
    <n v="24"/>
    <n v="72000"/>
    <m/>
  </r>
  <r>
    <x v="12"/>
    <s v="AUG"/>
    <x v="43"/>
    <s v="GRSM 4"/>
    <x v="0"/>
    <s v="GMM"/>
    <n v="103712"/>
    <n v="4404677"/>
    <x v="34"/>
    <x v="21"/>
    <s v="GORENG"/>
    <n v="3000"/>
    <n v="117"/>
    <n v="351000"/>
    <n v="160"/>
  </r>
  <r>
    <x v="12"/>
    <s v="AUG"/>
    <x v="43"/>
    <s v="GRSM 4"/>
    <x v="0"/>
    <s v="GMM"/>
    <n v="103712"/>
    <n v="4404677"/>
    <x v="34"/>
    <x v="17"/>
    <s v="BOLOGNESE"/>
    <n v="3000"/>
    <n v="30"/>
    <n v="90000"/>
    <m/>
  </r>
  <r>
    <x v="12"/>
    <s v="AUG"/>
    <x v="43"/>
    <s v="GRSM 4"/>
    <x v="0"/>
    <s v="GMM"/>
    <n v="103712"/>
    <n v="4404677"/>
    <x v="34"/>
    <x v="17"/>
    <s v="CARBONARA"/>
    <n v="3000"/>
    <n v="50"/>
    <n v="150000"/>
    <m/>
  </r>
  <r>
    <x v="12"/>
    <s v="AUG"/>
    <x v="43"/>
    <s v="GRSM 4"/>
    <x v="0"/>
    <s v="GMM"/>
    <n v="103712"/>
    <n v="4404677"/>
    <x v="34"/>
    <x v="17"/>
    <s v="AGLIO OLIO"/>
    <n v="3000"/>
    <n v="24"/>
    <n v="72000"/>
    <m/>
  </r>
  <r>
    <x v="12"/>
    <s v="AUG"/>
    <x v="43"/>
    <s v="GRSM 4"/>
    <x v="0"/>
    <s v="GMM"/>
    <n v="103712"/>
    <n v="4404677"/>
    <x v="34"/>
    <x v="17"/>
    <s v="GORENG"/>
    <n v="3000"/>
    <n v="122"/>
    <n v="366000"/>
    <n v="160"/>
  </r>
  <r>
    <x v="12"/>
    <s v="AUG"/>
    <x v="43"/>
    <s v="GRSM 4"/>
    <x v="0"/>
    <s v="GMM"/>
    <n v="103257"/>
    <n v="9162509"/>
    <x v="25"/>
    <x v="72"/>
    <s v="BOLOGNESE"/>
    <n v="3100"/>
    <n v="57"/>
    <n v="176700"/>
    <m/>
  </r>
  <r>
    <x v="12"/>
    <s v="AUG"/>
    <x v="43"/>
    <s v="GRSM 4"/>
    <x v="0"/>
    <s v="GMM"/>
    <n v="103257"/>
    <n v="9162509"/>
    <x v="25"/>
    <x v="72"/>
    <s v="CARBONARA"/>
    <n v="3100"/>
    <n v="34"/>
    <n v="105400"/>
    <m/>
  </r>
  <r>
    <x v="12"/>
    <s v="AUG"/>
    <x v="43"/>
    <s v="GRSM 4"/>
    <x v="0"/>
    <s v="GMM"/>
    <n v="103257"/>
    <n v="9162509"/>
    <x v="25"/>
    <x v="72"/>
    <s v="AGLIO OLIO"/>
    <n v="3100"/>
    <n v="0"/>
    <n v="0"/>
    <m/>
  </r>
  <r>
    <x v="12"/>
    <s v="AUG"/>
    <x v="43"/>
    <s v="GRSM 4"/>
    <x v="0"/>
    <s v="GMM"/>
    <n v="103257"/>
    <n v="9162509"/>
    <x v="25"/>
    <x v="72"/>
    <s v="GORENG"/>
    <n v="3100"/>
    <n v="81"/>
    <n v="251100"/>
    <n v="160"/>
  </r>
  <r>
    <x v="12"/>
    <s v="AUG"/>
    <x v="43"/>
    <s v="GRSM 4"/>
    <x v="0"/>
    <s v="GMM"/>
    <n v="103259"/>
    <n v="9006219"/>
    <x v="38"/>
    <x v="4"/>
    <s v="BOLOGNESE"/>
    <n v="2000"/>
    <n v="24"/>
    <n v="48000"/>
    <m/>
  </r>
  <r>
    <x v="12"/>
    <s v="AUG"/>
    <x v="43"/>
    <s v="GRSM 4"/>
    <x v="0"/>
    <s v="GMM"/>
    <n v="103259"/>
    <n v="9006219"/>
    <x v="38"/>
    <x v="4"/>
    <s v="CARBONARA"/>
    <n v="2000"/>
    <n v="38"/>
    <n v="76000"/>
    <m/>
  </r>
  <r>
    <x v="12"/>
    <s v="AUG"/>
    <x v="43"/>
    <s v="GRSM 4"/>
    <x v="0"/>
    <s v="GMM"/>
    <n v="103259"/>
    <n v="9006219"/>
    <x v="38"/>
    <x v="4"/>
    <s v="AGLIO OLIO"/>
    <n v="2000"/>
    <n v="56"/>
    <n v="112000"/>
    <m/>
  </r>
  <r>
    <x v="12"/>
    <s v="AUG"/>
    <x v="43"/>
    <s v="GRSM 4"/>
    <x v="0"/>
    <s v="GMM"/>
    <n v="103259"/>
    <n v="9006219"/>
    <x v="38"/>
    <x v="4"/>
    <s v="GORENG"/>
    <n v="2000"/>
    <n v="107"/>
    <n v="214000"/>
    <n v="160"/>
  </r>
  <r>
    <x v="12"/>
    <s v="AUG"/>
    <x v="43"/>
    <s v="GRSM 4"/>
    <x v="0"/>
    <s v="GMM"/>
    <n v="103259"/>
    <n v="9006219"/>
    <x v="38"/>
    <x v="100"/>
    <s v="BOLOGNESE"/>
    <n v="2000"/>
    <n v="24"/>
    <n v="48000"/>
    <m/>
  </r>
  <r>
    <x v="12"/>
    <s v="AUG"/>
    <x v="43"/>
    <s v="GRSM 4"/>
    <x v="0"/>
    <s v="GMM"/>
    <n v="103259"/>
    <n v="9006219"/>
    <x v="38"/>
    <x v="100"/>
    <s v="CARBONARA"/>
    <n v="2000"/>
    <n v="38"/>
    <n v="76000"/>
    <m/>
  </r>
  <r>
    <x v="12"/>
    <s v="AUG"/>
    <x v="43"/>
    <s v="GRSM 4"/>
    <x v="0"/>
    <s v="GMM"/>
    <n v="103259"/>
    <n v="9006219"/>
    <x v="38"/>
    <x v="100"/>
    <s v="AGLIO OLIO"/>
    <n v="2000"/>
    <n v="56"/>
    <n v="112000"/>
    <m/>
  </r>
  <r>
    <x v="12"/>
    <s v="AUG"/>
    <x v="43"/>
    <s v="GRSM 4"/>
    <x v="0"/>
    <s v="GMM"/>
    <n v="103259"/>
    <n v="9006219"/>
    <x v="38"/>
    <x v="100"/>
    <s v="GORENG"/>
    <n v="2000"/>
    <n v="107"/>
    <n v="214000"/>
    <n v="160"/>
  </r>
  <r>
    <x v="12"/>
    <s v="AUG"/>
    <x v="43"/>
    <s v="GRSM 4"/>
    <x v="0"/>
    <s v="GMM"/>
    <n v="103258"/>
    <n v="9201924"/>
    <x v="39"/>
    <x v="107"/>
    <s v="BOLOGNESE"/>
    <n v="2000"/>
    <n v="39"/>
    <n v="78000"/>
    <m/>
  </r>
  <r>
    <x v="12"/>
    <s v="AUG"/>
    <x v="43"/>
    <s v="GRSM 4"/>
    <x v="0"/>
    <s v="GMM"/>
    <n v="103258"/>
    <n v="9201924"/>
    <x v="39"/>
    <x v="107"/>
    <s v="CARBONARA"/>
    <n v="2000"/>
    <n v="57"/>
    <n v="114000"/>
    <m/>
  </r>
  <r>
    <x v="12"/>
    <s v="AUG"/>
    <x v="43"/>
    <s v="GRSM 4"/>
    <x v="0"/>
    <s v="GMM"/>
    <n v="103258"/>
    <n v="9201924"/>
    <x v="39"/>
    <x v="107"/>
    <s v="AGLIO OLIO"/>
    <n v="2000"/>
    <n v="0"/>
    <n v="0"/>
    <m/>
  </r>
  <r>
    <x v="12"/>
    <s v="AUG"/>
    <x v="43"/>
    <s v="GRSM 4"/>
    <x v="0"/>
    <s v="GMM"/>
    <n v="103258"/>
    <n v="9201924"/>
    <x v="39"/>
    <x v="107"/>
    <s v="GORENG"/>
    <n v="2000"/>
    <n v="90"/>
    <n v="180000"/>
    <n v="160"/>
  </r>
  <r>
    <x v="12"/>
    <s v="AUG"/>
    <x v="43"/>
    <s v="GRSM 4"/>
    <x v="0"/>
    <s v="GMM"/>
    <n v="103258"/>
    <n v="9201924"/>
    <x v="39"/>
    <x v="73"/>
    <s v="BOLOGNESE"/>
    <n v="2000"/>
    <n v="39"/>
    <n v="78000"/>
    <m/>
  </r>
  <r>
    <x v="12"/>
    <s v="AUG"/>
    <x v="43"/>
    <s v="GRSM 4"/>
    <x v="0"/>
    <s v="GMM"/>
    <n v="103258"/>
    <n v="9201924"/>
    <x v="39"/>
    <x v="73"/>
    <s v="CARBONARA"/>
    <n v="2000"/>
    <n v="57"/>
    <n v="114000"/>
    <m/>
  </r>
  <r>
    <x v="12"/>
    <s v="AUG"/>
    <x v="43"/>
    <s v="GRSM 4"/>
    <x v="0"/>
    <s v="GMM"/>
    <n v="103258"/>
    <n v="9201924"/>
    <x v="39"/>
    <x v="73"/>
    <s v="AGLIO OLIO"/>
    <n v="2000"/>
    <n v="0"/>
    <n v="0"/>
    <m/>
  </r>
  <r>
    <x v="12"/>
    <s v="AUG"/>
    <x v="43"/>
    <s v="GRSM 4"/>
    <x v="0"/>
    <s v="GMM"/>
    <n v="103258"/>
    <n v="9201924"/>
    <x v="39"/>
    <x v="73"/>
    <s v="GORENG"/>
    <n v="2000"/>
    <n v="90"/>
    <n v="180000"/>
    <n v="160"/>
  </r>
  <r>
    <x v="12"/>
    <s v="AUG"/>
    <x v="43"/>
    <s v="GRSM 4"/>
    <x v="0"/>
    <s v="GMM"/>
    <n v="103257"/>
    <n v="9162509"/>
    <x v="25"/>
    <x v="119"/>
    <s v="BOLOGNESE"/>
    <n v="3100"/>
    <n v="56"/>
    <n v="173600"/>
    <m/>
  </r>
  <r>
    <x v="12"/>
    <s v="AUG"/>
    <x v="43"/>
    <s v="GRSM 4"/>
    <x v="0"/>
    <s v="GMM"/>
    <n v="103257"/>
    <n v="9162509"/>
    <x v="25"/>
    <x v="119"/>
    <s v="CARBONARA"/>
    <n v="3100"/>
    <n v="34"/>
    <n v="105400"/>
    <m/>
  </r>
  <r>
    <x v="12"/>
    <s v="AUG"/>
    <x v="43"/>
    <s v="GRSM 4"/>
    <x v="0"/>
    <s v="GMM"/>
    <n v="103257"/>
    <n v="9162509"/>
    <x v="25"/>
    <x v="119"/>
    <s v="AGLIO OLIO"/>
    <n v="3100"/>
    <n v="0"/>
    <n v="0"/>
    <m/>
  </r>
  <r>
    <x v="12"/>
    <s v="AUG"/>
    <x v="43"/>
    <s v="GRSM 4"/>
    <x v="0"/>
    <s v="GMM"/>
    <n v="103257"/>
    <n v="9162509"/>
    <x v="25"/>
    <x v="119"/>
    <s v="GORENG"/>
    <n v="3100"/>
    <n v="80"/>
    <n v="248000"/>
    <n v="160"/>
  </r>
  <r>
    <x v="12"/>
    <s v="AUG"/>
    <x v="43"/>
    <s v="GRSM 4"/>
    <x v="0"/>
    <s v="GMM"/>
    <n v="103259"/>
    <n v="9002359"/>
    <x v="36"/>
    <x v="1"/>
    <s v="BOLOGNESE"/>
    <n v="1933"/>
    <n v="132"/>
    <n v="255156"/>
    <m/>
  </r>
  <r>
    <x v="12"/>
    <s v="AUG"/>
    <x v="43"/>
    <s v="GRSM 4"/>
    <x v="0"/>
    <s v="GMM"/>
    <n v="103259"/>
    <n v="9002359"/>
    <x v="36"/>
    <x v="1"/>
    <s v="CARBONARA"/>
    <n v="1933"/>
    <n v="0"/>
    <n v="0"/>
    <m/>
  </r>
  <r>
    <x v="12"/>
    <s v="AUG"/>
    <x v="43"/>
    <s v="GRSM 4"/>
    <x v="0"/>
    <s v="GMM"/>
    <n v="103259"/>
    <n v="9002359"/>
    <x v="36"/>
    <x v="1"/>
    <s v="AGLIO OLIO"/>
    <n v="1933"/>
    <n v="0"/>
    <n v="0"/>
    <m/>
  </r>
  <r>
    <x v="12"/>
    <s v="AUG"/>
    <x v="43"/>
    <s v="GRSM 4"/>
    <x v="0"/>
    <s v="GMM"/>
    <n v="103259"/>
    <n v="9002359"/>
    <x v="36"/>
    <x v="1"/>
    <s v="GORENG"/>
    <n v="1933"/>
    <n v="0"/>
    <n v="0"/>
    <m/>
  </r>
  <r>
    <x v="12"/>
    <s v="AUG"/>
    <x v="43"/>
    <s v="GRSM 4"/>
    <x v="0"/>
    <s v="GMM"/>
    <n v="103259"/>
    <n v="9002359"/>
    <x v="36"/>
    <x v="75"/>
    <s v="BOLOGNESE"/>
    <n v="1933"/>
    <n v="114"/>
    <n v="220362"/>
    <m/>
  </r>
  <r>
    <x v="12"/>
    <s v="AUG"/>
    <x v="43"/>
    <s v="GRSM 4"/>
    <x v="0"/>
    <s v="GMM"/>
    <n v="103259"/>
    <n v="9002359"/>
    <x v="36"/>
    <x v="75"/>
    <s v="CARBONARA"/>
    <n v="1933"/>
    <n v="0"/>
    <n v="0"/>
    <m/>
  </r>
  <r>
    <x v="12"/>
    <s v="AUG"/>
    <x v="43"/>
    <s v="GRSM 4"/>
    <x v="0"/>
    <s v="GMM"/>
    <n v="103259"/>
    <n v="9002359"/>
    <x v="36"/>
    <x v="75"/>
    <s v="AGLIO OLIO"/>
    <n v="1933"/>
    <n v="0"/>
    <n v="0"/>
    <m/>
  </r>
  <r>
    <x v="12"/>
    <s v="AUG"/>
    <x v="43"/>
    <s v="GRSM 4"/>
    <x v="0"/>
    <s v="GMM"/>
    <n v="103259"/>
    <n v="9002359"/>
    <x v="36"/>
    <x v="75"/>
    <s v="GORENG"/>
    <n v="1933"/>
    <n v="0"/>
    <n v="0"/>
    <m/>
  </r>
  <r>
    <x v="12"/>
    <s v="AUG"/>
    <x v="41"/>
    <s v="GRSM 7"/>
    <x v="4"/>
    <s v="GMM"/>
    <n v="103783"/>
    <n v="7500032"/>
    <x v="57"/>
    <x v="112"/>
    <s v="BOLOGNESE"/>
    <n v="6246"/>
    <n v="29"/>
    <n v="181134"/>
    <m/>
  </r>
  <r>
    <x v="12"/>
    <s v="AUG"/>
    <x v="41"/>
    <s v="GRSM 7"/>
    <x v="4"/>
    <s v="GMM"/>
    <n v="103783"/>
    <n v="7500032"/>
    <x v="57"/>
    <x v="112"/>
    <s v="CARBONARA"/>
    <n v="6246"/>
    <n v="21"/>
    <n v="131166"/>
    <m/>
  </r>
  <r>
    <x v="12"/>
    <s v="AUG"/>
    <x v="41"/>
    <s v="GRSM 7"/>
    <x v="4"/>
    <s v="GMM"/>
    <n v="103783"/>
    <n v="7500032"/>
    <x v="57"/>
    <x v="112"/>
    <s v="AGLIO OLIO"/>
    <n v="6246"/>
    <n v="19"/>
    <n v="118674"/>
    <m/>
  </r>
  <r>
    <x v="12"/>
    <s v="AUG"/>
    <x v="41"/>
    <s v="GRSM 7"/>
    <x v="4"/>
    <s v="GMM"/>
    <n v="103783"/>
    <n v="7500032"/>
    <x v="57"/>
    <x v="112"/>
    <s v="GORENG"/>
    <n v="6246"/>
    <n v="56"/>
    <n v="349776"/>
    <n v="160"/>
  </r>
  <r>
    <x v="12"/>
    <s v="AUG"/>
    <x v="41"/>
    <s v="GRSM 7"/>
    <x v="4"/>
    <s v="GMM"/>
    <n v="103783"/>
    <n v="7500032"/>
    <x v="57"/>
    <x v="113"/>
    <s v="BOLOGNESE"/>
    <n v="6246"/>
    <n v="29"/>
    <n v="181134"/>
    <m/>
  </r>
  <r>
    <x v="12"/>
    <s v="AUG"/>
    <x v="41"/>
    <s v="GRSM 7"/>
    <x v="4"/>
    <s v="GMM"/>
    <n v="103783"/>
    <n v="7500032"/>
    <x v="57"/>
    <x v="113"/>
    <s v="CARBONARA"/>
    <n v="6246"/>
    <n v="21"/>
    <n v="131166"/>
    <m/>
  </r>
  <r>
    <x v="12"/>
    <s v="AUG"/>
    <x v="41"/>
    <s v="GRSM 7"/>
    <x v="4"/>
    <s v="GMM"/>
    <n v="103783"/>
    <n v="7500032"/>
    <x v="57"/>
    <x v="113"/>
    <s v="AGLIO OLIO"/>
    <n v="6246"/>
    <n v="19"/>
    <n v="118674"/>
    <m/>
  </r>
  <r>
    <x v="12"/>
    <s v="AUG"/>
    <x v="41"/>
    <s v="GRSM 7"/>
    <x v="4"/>
    <s v="GMM"/>
    <n v="103783"/>
    <n v="7500032"/>
    <x v="57"/>
    <x v="113"/>
    <s v="GORENG"/>
    <n v="6246"/>
    <n v="56"/>
    <n v="349776"/>
    <n v="160"/>
  </r>
  <r>
    <x v="12"/>
    <s v="AUG"/>
    <x v="41"/>
    <s v="GRSM 7"/>
    <x v="4"/>
    <s v="GMM"/>
    <n v="103783"/>
    <n v="7500090"/>
    <x v="58"/>
    <x v="114"/>
    <s v="BOLOGNESE"/>
    <n v="6750"/>
    <n v="22"/>
    <n v="148500"/>
    <m/>
  </r>
  <r>
    <x v="12"/>
    <s v="AUG"/>
    <x v="41"/>
    <s v="GRSM 7"/>
    <x v="4"/>
    <s v="GMM"/>
    <n v="103783"/>
    <n v="7500090"/>
    <x v="58"/>
    <x v="114"/>
    <s v="CARBONARA"/>
    <n v="6750"/>
    <n v="26"/>
    <n v="175500"/>
    <m/>
  </r>
  <r>
    <x v="12"/>
    <s v="AUG"/>
    <x v="41"/>
    <s v="GRSM 7"/>
    <x v="4"/>
    <s v="GMM"/>
    <n v="103783"/>
    <n v="7500090"/>
    <x v="58"/>
    <x v="114"/>
    <s v="AGLIO OLIO"/>
    <n v="6750"/>
    <n v="20"/>
    <n v="135000"/>
    <m/>
  </r>
  <r>
    <x v="12"/>
    <s v="AUG"/>
    <x v="41"/>
    <s v="GRSM 7"/>
    <x v="4"/>
    <s v="GMM"/>
    <n v="103783"/>
    <n v="7500090"/>
    <x v="58"/>
    <x v="114"/>
    <s v="GORENG"/>
    <n v="6750"/>
    <n v="34"/>
    <n v="229500"/>
    <n v="160"/>
  </r>
  <r>
    <x v="12"/>
    <s v="AUG"/>
    <x v="41"/>
    <s v="GRSM 7"/>
    <x v="4"/>
    <s v="GMM"/>
    <n v="103783"/>
    <n v="7500090"/>
    <x v="58"/>
    <x v="115"/>
    <s v="BOLOGNESE"/>
    <n v="6750"/>
    <n v="22"/>
    <n v="148500"/>
    <m/>
  </r>
  <r>
    <x v="12"/>
    <s v="AUG"/>
    <x v="41"/>
    <s v="GRSM 7"/>
    <x v="4"/>
    <s v="GMM"/>
    <n v="103783"/>
    <n v="7500090"/>
    <x v="58"/>
    <x v="115"/>
    <s v="CARBONARA"/>
    <n v="6750"/>
    <n v="26"/>
    <n v="175500"/>
    <m/>
  </r>
  <r>
    <x v="12"/>
    <s v="AUG"/>
    <x v="41"/>
    <s v="GRSM 7"/>
    <x v="4"/>
    <s v="GMM"/>
    <n v="103783"/>
    <n v="7500090"/>
    <x v="58"/>
    <x v="115"/>
    <s v="AGLIO OLIO"/>
    <n v="6750"/>
    <n v="20"/>
    <n v="135000"/>
    <m/>
  </r>
  <r>
    <x v="12"/>
    <s v="AUG"/>
    <x v="41"/>
    <s v="GRSM 7"/>
    <x v="4"/>
    <s v="GMM"/>
    <n v="103783"/>
    <n v="7500090"/>
    <x v="58"/>
    <x v="115"/>
    <s v="GORENG"/>
    <n v="6750"/>
    <n v="34"/>
    <n v="229500"/>
    <n v="160"/>
  </r>
  <r>
    <x v="12"/>
    <s v="AUG"/>
    <x v="41"/>
    <s v="GRSM 7"/>
    <x v="4"/>
    <s v="GMM"/>
    <n v="103240"/>
    <n v="7112059"/>
    <x v="45"/>
    <x v="86"/>
    <s v="BOLOGNESE"/>
    <n v="2123"/>
    <n v="73"/>
    <n v="154979"/>
    <m/>
  </r>
  <r>
    <x v="12"/>
    <s v="AUG"/>
    <x v="41"/>
    <s v="GRSM 7"/>
    <x v="4"/>
    <s v="GMM"/>
    <n v="103240"/>
    <n v="7112059"/>
    <x v="45"/>
    <x v="86"/>
    <s v="CARBONARA"/>
    <n v="2123"/>
    <n v="6"/>
    <n v="12738"/>
    <m/>
  </r>
  <r>
    <x v="12"/>
    <s v="AUG"/>
    <x v="41"/>
    <s v="GRSM 7"/>
    <x v="4"/>
    <s v="GMM"/>
    <n v="103240"/>
    <n v="7112059"/>
    <x v="45"/>
    <x v="86"/>
    <s v="AGLIO OLIO"/>
    <n v="2123"/>
    <n v="0"/>
    <n v="0"/>
    <m/>
  </r>
  <r>
    <x v="12"/>
    <s v="AUG"/>
    <x v="41"/>
    <s v="GRSM 7"/>
    <x v="4"/>
    <s v="GMM"/>
    <n v="103240"/>
    <n v="7112059"/>
    <x v="45"/>
    <x v="86"/>
    <s v="GORENG"/>
    <n v="2123"/>
    <n v="120"/>
    <n v="254760"/>
    <n v="160"/>
  </r>
  <r>
    <x v="12"/>
    <s v="AUG"/>
    <x v="41"/>
    <s v="GRSM 7"/>
    <x v="4"/>
    <s v="GMM"/>
    <n v="103240"/>
    <n v="7112059"/>
    <x v="45"/>
    <x v="87"/>
    <s v="BOLOGNESE"/>
    <n v="2123"/>
    <n v="73"/>
    <n v="154979"/>
    <m/>
  </r>
  <r>
    <x v="12"/>
    <s v="AUG"/>
    <x v="41"/>
    <s v="GRSM 7"/>
    <x v="4"/>
    <s v="GMM"/>
    <n v="103240"/>
    <n v="7112059"/>
    <x v="45"/>
    <x v="87"/>
    <s v="CARBONARA"/>
    <n v="2123"/>
    <n v="6"/>
    <n v="12738"/>
    <m/>
  </r>
  <r>
    <x v="12"/>
    <s v="AUG"/>
    <x v="41"/>
    <s v="GRSM 7"/>
    <x v="4"/>
    <s v="GMM"/>
    <n v="103240"/>
    <n v="7112059"/>
    <x v="45"/>
    <x v="87"/>
    <s v="AGLIO OLIO"/>
    <n v="2123"/>
    <n v="0"/>
    <n v="0"/>
    <m/>
  </r>
  <r>
    <x v="12"/>
    <s v="AUG"/>
    <x v="41"/>
    <s v="GRSM 7"/>
    <x v="4"/>
    <s v="GMM"/>
    <n v="103240"/>
    <n v="7112059"/>
    <x v="45"/>
    <x v="87"/>
    <s v="GORENG"/>
    <n v="2123"/>
    <n v="120"/>
    <n v="254760"/>
    <n v="160"/>
  </r>
  <r>
    <x v="12"/>
    <s v="AUG"/>
    <x v="41"/>
    <s v="GRSM 7"/>
    <x v="4"/>
    <s v="GMM"/>
    <n v="211074"/>
    <n v="2217375"/>
    <x v="44"/>
    <x v="84"/>
    <s v="BOLOGNESE"/>
    <n v="3200"/>
    <n v="20"/>
    <n v="64000"/>
    <m/>
  </r>
  <r>
    <x v="12"/>
    <s v="AUG"/>
    <x v="41"/>
    <s v="GRSM 7"/>
    <x v="4"/>
    <s v="GMM"/>
    <n v="211074"/>
    <n v="2217375"/>
    <x v="44"/>
    <x v="84"/>
    <s v="CARBONARA"/>
    <n v="3200"/>
    <n v="0"/>
    <n v="0"/>
    <m/>
  </r>
  <r>
    <x v="12"/>
    <s v="AUG"/>
    <x v="41"/>
    <s v="GRSM 7"/>
    <x v="4"/>
    <s v="GMM"/>
    <n v="211074"/>
    <n v="2217375"/>
    <x v="44"/>
    <x v="84"/>
    <s v="AGLIO OLIO"/>
    <n v="3200"/>
    <n v="10"/>
    <n v="32000"/>
    <m/>
  </r>
  <r>
    <x v="12"/>
    <s v="AUG"/>
    <x v="41"/>
    <s v="GRSM 7"/>
    <x v="4"/>
    <s v="GMM"/>
    <n v="211074"/>
    <n v="2217375"/>
    <x v="44"/>
    <x v="84"/>
    <s v="GORENG"/>
    <n v="3200"/>
    <n v="160"/>
    <n v="512000"/>
    <n v="160"/>
  </r>
  <r>
    <x v="12"/>
    <s v="AUG"/>
    <x v="41"/>
    <s v="GRSM 7"/>
    <x v="4"/>
    <s v="GMM"/>
    <n v="211074"/>
    <n v="2217375"/>
    <x v="44"/>
    <x v="85"/>
    <s v="BOLOGNESE"/>
    <n v="3200"/>
    <n v="20"/>
    <n v="64000"/>
    <m/>
  </r>
  <r>
    <x v="12"/>
    <s v="AUG"/>
    <x v="41"/>
    <s v="GRSM 7"/>
    <x v="4"/>
    <s v="GMM"/>
    <n v="211074"/>
    <n v="2217375"/>
    <x v="44"/>
    <x v="85"/>
    <s v="CARBONARA"/>
    <n v="3200"/>
    <n v="0"/>
    <n v="0"/>
    <m/>
  </r>
  <r>
    <x v="12"/>
    <s v="AUG"/>
    <x v="41"/>
    <s v="GRSM 7"/>
    <x v="4"/>
    <s v="GMM"/>
    <n v="211074"/>
    <n v="2217375"/>
    <x v="44"/>
    <x v="85"/>
    <s v="AGLIO OLIO"/>
    <n v="3200"/>
    <n v="10"/>
    <n v="32000"/>
    <m/>
  </r>
  <r>
    <x v="12"/>
    <s v="AUG"/>
    <x v="41"/>
    <s v="GRSM 7"/>
    <x v="4"/>
    <s v="GMM"/>
    <n v="211074"/>
    <n v="2217375"/>
    <x v="44"/>
    <x v="85"/>
    <s v="GORENG"/>
    <n v="3200"/>
    <n v="160"/>
    <n v="512000"/>
    <n v="160"/>
  </r>
  <r>
    <x v="12"/>
    <s v="AUG"/>
    <x v="41"/>
    <s v="GRSM 7"/>
    <x v="4"/>
    <s v="GMM"/>
    <n v="211074"/>
    <n v="2217375"/>
    <x v="44"/>
    <x v="120"/>
    <s v="BOLOGNESE"/>
    <n v="3200"/>
    <n v="20"/>
    <n v="64000"/>
    <m/>
  </r>
  <r>
    <x v="12"/>
    <s v="AUG"/>
    <x v="41"/>
    <s v="GRSM 7"/>
    <x v="4"/>
    <s v="GMM"/>
    <n v="211074"/>
    <n v="2217375"/>
    <x v="44"/>
    <x v="120"/>
    <s v="CARBONARA"/>
    <n v="3200"/>
    <n v="0"/>
    <n v="0"/>
    <m/>
  </r>
  <r>
    <x v="12"/>
    <s v="AUG"/>
    <x v="41"/>
    <s v="GRSM 7"/>
    <x v="4"/>
    <s v="GMM"/>
    <n v="211074"/>
    <n v="2217375"/>
    <x v="44"/>
    <x v="120"/>
    <s v="AGLIO OLIO"/>
    <n v="3200"/>
    <n v="10"/>
    <n v="32000"/>
    <m/>
  </r>
  <r>
    <x v="12"/>
    <s v="AUG"/>
    <x v="41"/>
    <s v="GRSM 7"/>
    <x v="4"/>
    <s v="GMM"/>
    <n v="211074"/>
    <n v="2217375"/>
    <x v="44"/>
    <x v="120"/>
    <s v="GORENG"/>
    <n v="3200"/>
    <n v="160"/>
    <n v="512000"/>
    <n v="160"/>
  </r>
  <r>
    <x v="12"/>
    <s v="AUG"/>
    <x v="42"/>
    <s v="GRSM 7"/>
    <x v="4"/>
    <s v="GMM"/>
    <n v="103783"/>
    <n v="7500032"/>
    <x v="57"/>
    <x v="112"/>
    <s v="BOLOGNESE"/>
    <n v="6400"/>
    <n v="10"/>
    <n v="64000"/>
    <m/>
  </r>
  <r>
    <x v="12"/>
    <s v="AUG"/>
    <x v="42"/>
    <s v="GRSM 7"/>
    <x v="4"/>
    <s v="GMM"/>
    <n v="103783"/>
    <n v="7500032"/>
    <x v="57"/>
    <x v="112"/>
    <s v="CARBONARA"/>
    <n v="6400"/>
    <n v="25"/>
    <n v="160000"/>
    <m/>
  </r>
  <r>
    <x v="12"/>
    <s v="AUG"/>
    <x v="42"/>
    <s v="GRSM 7"/>
    <x v="4"/>
    <s v="GMM"/>
    <n v="103783"/>
    <n v="7500032"/>
    <x v="57"/>
    <x v="112"/>
    <s v="AGLIO OLIO"/>
    <n v="6400"/>
    <n v="22"/>
    <n v="140800"/>
    <m/>
  </r>
  <r>
    <x v="12"/>
    <s v="AUG"/>
    <x v="42"/>
    <s v="GRSM 7"/>
    <x v="4"/>
    <s v="GMM"/>
    <n v="103783"/>
    <n v="7500032"/>
    <x v="57"/>
    <x v="112"/>
    <s v="GORENG"/>
    <n v="6400"/>
    <n v="31"/>
    <n v="198400"/>
    <n v="160"/>
  </r>
  <r>
    <x v="12"/>
    <s v="AUG"/>
    <x v="42"/>
    <s v="GRSM 7"/>
    <x v="4"/>
    <s v="GMM"/>
    <n v="103783"/>
    <n v="7500032"/>
    <x v="57"/>
    <x v="113"/>
    <s v="BOLOGNESE"/>
    <n v="6400"/>
    <n v="10"/>
    <n v="64000"/>
    <m/>
  </r>
  <r>
    <x v="12"/>
    <s v="AUG"/>
    <x v="42"/>
    <s v="GRSM 7"/>
    <x v="4"/>
    <s v="GMM"/>
    <n v="103783"/>
    <n v="7500032"/>
    <x v="57"/>
    <x v="113"/>
    <s v="CARBONARA"/>
    <n v="6400"/>
    <n v="25"/>
    <n v="160000"/>
    <m/>
  </r>
  <r>
    <x v="12"/>
    <s v="AUG"/>
    <x v="42"/>
    <s v="GRSM 7"/>
    <x v="4"/>
    <s v="GMM"/>
    <n v="103783"/>
    <n v="7500032"/>
    <x v="57"/>
    <x v="113"/>
    <s v="AGLIO OLIO"/>
    <n v="6400"/>
    <n v="22"/>
    <n v="140800"/>
    <m/>
  </r>
  <r>
    <x v="12"/>
    <s v="AUG"/>
    <x v="42"/>
    <s v="GRSM 7"/>
    <x v="4"/>
    <s v="GMM"/>
    <n v="103783"/>
    <n v="7500032"/>
    <x v="57"/>
    <x v="113"/>
    <s v="GORENG"/>
    <n v="6400"/>
    <n v="31"/>
    <n v="198400"/>
    <n v="160"/>
  </r>
  <r>
    <x v="12"/>
    <s v="AUG"/>
    <x v="42"/>
    <s v="GRSM 7"/>
    <x v="4"/>
    <s v="GMM"/>
    <n v="211074"/>
    <n v="2217375"/>
    <x v="44"/>
    <x v="84"/>
    <s v="BOLOGNESE"/>
    <n v="3200"/>
    <n v="0"/>
    <n v="0"/>
    <m/>
  </r>
  <r>
    <x v="12"/>
    <s v="AUG"/>
    <x v="42"/>
    <s v="GRSM 7"/>
    <x v="4"/>
    <s v="GMM"/>
    <n v="211074"/>
    <n v="2217375"/>
    <x v="44"/>
    <x v="84"/>
    <s v="CARBONARA"/>
    <n v="3200"/>
    <n v="0"/>
    <n v="0"/>
    <m/>
  </r>
  <r>
    <x v="12"/>
    <s v="AUG"/>
    <x v="42"/>
    <s v="GRSM 7"/>
    <x v="4"/>
    <s v="GMM"/>
    <n v="211074"/>
    <n v="2217375"/>
    <x v="44"/>
    <x v="84"/>
    <s v="AGLIO OLIO"/>
    <n v="3200"/>
    <n v="0"/>
    <n v="0"/>
    <m/>
  </r>
  <r>
    <x v="12"/>
    <s v="AUG"/>
    <x v="42"/>
    <s v="GRSM 7"/>
    <x v="4"/>
    <s v="GMM"/>
    <n v="211074"/>
    <n v="2217375"/>
    <x v="44"/>
    <x v="84"/>
    <s v="GORENG"/>
    <n v="3200"/>
    <n v="184"/>
    <n v="588800"/>
    <n v="160"/>
  </r>
  <r>
    <x v="12"/>
    <s v="AUG"/>
    <x v="42"/>
    <s v="GRSM 7"/>
    <x v="4"/>
    <s v="GMM"/>
    <n v="211074"/>
    <n v="2217375"/>
    <x v="44"/>
    <x v="85"/>
    <s v="BOLOGNESE"/>
    <n v="3200"/>
    <n v="0"/>
    <n v="0"/>
    <m/>
  </r>
  <r>
    <x v="12"/>
    <s v="AUG"/>
    <x v="42"/>
    <s v="GRSM 7"/>
    <x v="4"/>
    <s v="GMM"/>
    <n v="211074"/>
    <n v="2217375"/>
    <x v="44"/>
    <x v="85"/>
    <s v="CARBONARA"/>
    <n v="3200"/>
    <n v="0"/>
    <n v="0"/>
    <m/>
  </r>
  <r>
    <x v="12"/>
    <s v="AUG"/>
    <x v="42"/>
    <s v="GRSM 7"/>
    <x v="4"/>
    <s v="GMM"/>
    <n v="211074"/>
    <n v="2217375"/>
    <x v="44"/>
    <x v="85"/>
    <s v="AGLIO OLIO"/>
    <n v="3200"/>
    <n v="0"/>
    <n v="0"/>
    <m/>
  </r>
  <r>
    <x v="12"/>
    <s v="AUG"/>
    <x v="42"/>
    <s v="GRSM 7"/>
    <x v="4"/>
    <s v="GMM"/>
    <n v="211074"/>
    <n v="2217375"/>
    <x v="44"/>
    <x v="85"/>
    <s v="GORENG"/>
    <n v="3200"/>
    <n v="184"/>
    <n v="588800"/>
    <n v="160"/>
  </r>
  <r>
    <x v="12"/>
    <s v="AUG"/>
    <x v="42"/>
    <s v="GRSM 7"/>
    <x v="4"/>
    <s v="GMM"/>
    <n v="211074"/>
    <n v="2217375"/>
    <x v="44"/>
    <x v="120"/>
    <s v="BOLOGNESE"/>
    <n v="3200"/>
    <n v="0"/>
    <n v="0"/>
    <m/>
  </r>
  <r>
    <x v="12"/>
    <s v="AUG"/>
    <x v="42"/>
    <s v="GRSM 7"/>
    <x v="4"/>
    <s v="GMM"/>
    <n v="211074"/>
    <n v="2217375"/>
    <x v="44"/>
    <x v="120"/>
    <s v="CARBONARA"/>
    <n v="3200"/>
    <n v="0"/>
    <n v="0"/>
    <m/>
  </r>
  <r>
    <x v="12"/>
    <s v="AUG"/>
    <x v="42"/>
    <s v="GRSM 7"/>
    <x v="4"/>
    <s v="GMM"/>
    <n v="211074"/>
    <n v="2217375"/>
    <x v="44"/>
    <x v="120"/>
    <s v="AGLIO OLIO"/>
    <n v="3200"/>
    <n v="0"/>
    <n v="0"/>
    <m/>
  </r>
  <r>
    <x v="12"/>
    <s v="AUG"/>
    <x v="42"/>
    <s v="GRSM 7"/>
    <x v="4"/>
    <s v="GMM"/>
    <n v="211074"/>
    <n v="2217375"/>
    <x v="44"/>
    <x v="120"/>
    <s v="GORENG"/>
    <n v="3200"/>
    <n v="184"/>
    <n v="588800"/>
    <n v="160"/>
  </r>
  <r>
    <x v="12"/>
    <s v="AUG"/>
    <x v="42"/>
    <s v="GRSM 7"/>
    <x v="4"/>
    <s v="GMM"/>
    <n v="103783"/>
    <n v="7500090"/>
    <x v="58"/>
    <x v="114"/>
    <s v="BOLOGNESE"/>
    <n v="6400"/>
    <n v="15"/>
    <n v="96000"/>
    <m/>
  </r>
  <r>
    <x v="12"/>
    <s v="AUG"/>
    <x v="42"/>
    <s v="GRSM 7"/>
    <x v="4"/>
    <s v="GMM"/>
    <n v="103783"/>
    <n v="7500090"/>
    <x v="58"/>
    <x v="114"/>
    <s v="CARBONARA"/>
    <n v="6400"/>
    <n v="25"/>
    <n v="160000"/>
    <m/>
  </r>
  <r>
    <x v="12"/>
    <s v="AUG"/>
    <x v="42"/>
    <s v="GRSM 7"/>
    <x v="4"/>
    <s v="GMM"/>
    <n v="103783"/>
    <n v="7500090"/>
    <x v="58"/>
    <x v="114"/>
    <s v="AGLIO OLIO"/>
    <n v="6400"/>
    <n v="12"/>
    <n v="76800"/>
    <m/>
  </r>
  <r>
    <x v="12"/>
    <s v="AUG"/>
    <x v="42"/>
    <s v="GRSM 7"/>
    <x v="4"/>
    <s v="GMM"/>
    <n v="103783"/>
    <n v="7500090"/>
    <x v="58"/>
    <x v="114"/>
    <s v="GORENG"/>
    <n v="6400"/>
    <n v="60"/>
    <n v="384000"/>
    <n v="160"/>
  </r>
  <r>
    <x v="12"/>
    <s v="AUG"/>
    <x v="42"/>
    <s v="GRSM 7"/>
    <x v="4"/>
    <s v="GMM"/>
    <n v="103783"/>
    <n v="7500090"/>
    <x v="58"/>
    <x v="115"/>
    <s v="BOLOGNESE"/>
    <n v="6400"/>
    <n v="15"/>
    <n v="96000"/>
    <m/>
  </r>
  <r>
    <x v="12"/>
    <s v="AUG"/>
    <x v="42"/>
    <s v="GRSM 7"/>
    <x v="4"/>
    <s v="GMM"/>
    <n v="103783"/>
    <n v="7500090"/>
    <x v="58"/>
    <x v="115"/>
    <s v="CARBONARA"/>
    <n v="6400"/>
    <n v="25"/>
    <n v="160000"/>
    <m/>
  </r>
  <r>
    <x v="12"/>
    <s v="AUG"/>
    <x v="42"/>
    <s v="GRSM 7"/>
    <x v="4"/>
    <s v="GMM"/>
    <n v="103783"/>
    <n v="7500090"/>
    <x v="58"/>
    <x v="115"/>
    <s v="AGLIO OLIO"/>
    <n v="6400"/>
    <n v="12"/>
    <n v="76800"/>
    <m/>
  </r>
  <r>
    <x v="12"/>
    <s v="AUG"/>
    <x v="42"/>
    <s v="GRSM 7"/>
    <x v="4"/>
    <s v="GMM"/>
    <n v="103783"/>
    <n v="7500090"/>
    <x v="58"/>
    <x v="115"/>
    <s v="GORENG"/>
    <n v="6400"/>
    <n v="60"/>
    <n v="384000"/>
    <n v="160"/>
  </r>
  <r>
    <x v="12"/>
    <s v="AUG"/>
    <x v="42"/>
    <s v="GRSM 7"/>
    <x v="4"/>
    <s v="GMM"/>
    <n v="103240"/>
    <n v="7112059"/>
    <x v="45"/>
    <x v="87"/>
    <s v="BOLOGNESE"/>
    <n v="3184"/>
    <n v="73"/>
    <n v="232432"/>
    <m/>
  </r>
  <r>
    <x v="12"/>
    <s v="AUG"/>
    <x v="42"/>
    <s v="GRSM 7"/>
    <x v="4"/>
    <s v="GMM"/>
    <n v="103240"/>
    <n v="7112059"/>
    <x v="45"/>
    <x v="87"/>
    <s v="CARBONARA"/>
    <n v="3184"/>
    <n v="6"/>
    <n v="19104"/>
    <m/>
  </r>
  <r>
    <x v="12"/>
    <s v="AUG"/>
    <x v="42"/>
    <s v="GRSM 7"/>
    <x v="4"/>
    <s v="GMM"/>
    <n v="103240"/>
    <n v="7112059"/>
    <x v="45"/>
    <x v="87"/>
    <s v="AGLIO OLIO"/>
    <n v="3184"/>
    <n v="0"/>
    <n v="0"/>
    <m/>
  </r>
  <r>
    <x v="12"/>
    <s v="AUG"/>
    <x v="42"/>
    <s v="GRSM 7"/>
    <x v="4"/>
    <s v="GMM"/>
    <n v="103240"/>
    <n v="7112059"/>
    <x v="45"/>
    <x v="87"/>
    <s v="GORENG"/>
    <n v="3184"/>
    <n v="120"/>
    <n v="382080"/>
    <n v="160"/>
  </r>
  <r>
    <x v="12"/>
    <s v="AUG"/>
    <x v="42"/>
    <s v="GRSM 7"/>
    <x v="4"/>
    <s v="GMM"/>
    <n v="103240"/>
    <n v="7112059"/>
    <x v="45"/>
    <x v="86"/>
    <s v="BOLOGNESE"/>
    <n v="3184"/>
    <n v="73"/>
    <n v="232432"/>
    <m/>
  </r>
  <r>
    <x v="12"/>
    <s v="AUG"/>
    <x v="42"/>
    <s v="GRSM 7"/>
    <x v="4"/>
    <s v="GMM"/>
    <n v="103240"/>
    <n v="7112059"/>
    <x v="45"/>
    <x v="86"/>
    <s v="CARBONARA"/>
    <n v="3184"/>
    <n v="6"/>
    <n v="19104"/>
    <m/>
  </r>
  <r>
    <x v="12"/>
    <s v="AUG"/>
    <x v="42"/>
    <s v="GRSM 7"/>
    <x v="4"/>
    <s v="GMM"/>
    <n v="103240"/>
    <n v="7112059"/>
    <x v="45"/>
    <x v="86"/>
    <s v="AGLIO OLIO"/>
    <n v="3184"/>
    <n v="0"/>
    <n v="0"/>
    <m/>
  </r>
  <r>
    <x v="12"/>
    <s v="AUG"/>
    <x v="42"/>
    <s v="GRSM 7"/>
    <x v="4"/>
    <s v="GMM"/>
    <n v="103240"/>
    <n v="7112059"/>
    <x v="45"/>
    <x v="86"/>
    <s v="GORENG"/>
    <n v="3184"/>
    <n v="120"/>
    <n v="382080"/>
    <n v="160"/>
  </r>
  <r>
    <x v="12"/>
    <s v="AUG"/>
    <x v="43"/>
    <s v="GRSM 7"/>
    <x v="4"/>
    <s v="GMM"/>
    <n v="103783"/>
    <n v="7500032"/>
    <x v="57"/>
    <x v="112"/>
    <s v="BOLOGNESE"/>
    <n v="6400"/>
    <n v="15"/>
    <n v="96000"/>
    <m/>
  </r>
  <r>
    <x v="12"/>
    <s v="AUG"/>
    <x v="43"/>
    <s v="GRSM 7"/>
    <x v="4"/>
    <s v="GMM"/>
    <n v="103783"/>
    <n v="7500032"/>
    <x v="57"/>
    <x v="112"/>
    <s v="CARBONARA"/>
    <n v="6400"/>
    <n v="25"/>
    <n v="160000"/>
    <m/>
  </r>
  <r>
    <x v="12"/>
    <s v="AUG"/>
    <x v="43"/>
    <s v="GRSM 7"/>
    <x v="4"/>
    <s v="GMM"/>
    <n v="103783"/>
    <n v="7500032"/>
    <x v="57"/>
    <x v="112"/>
    <s v="AGLIO OLIO"/>
    <n v="6400"/>
    <n v="11"/>
    <n v="70400"/>
    <m/>
  </r>
  <r>
    <x v="12"/>
    <s v="AUG"/>
    <x v="43"/>
    <s v="GRSM 7"/>
    <x v="4"/>
    <s v="GMM"/>
    <n v="103783"/>
    <n v="7500032"/>
    <x v="57"/>
    <x v="112"/>
    <s v="GORENG"/>
    <n v="6400"/>
    <n v="38"/>
    <n v="243200"/>
    <n v="160"/>
  </r>
  <r>
    <x v="12"/>
    <s v="AUG"/>
    <x v="43"/>
    <s v="GRSM 7"/>
    <x v="4"/>
    <s v="GMM"/>
    <n v="103783"/>
    <n v="7500032"/>
    <x v="57"/>
    <x v="113"/>
    <s v="BOLOGNESE"/>
    <n v="6400"/>
    <n v="15"/>
    <n v="96000"/>
    <m/>
  </r>
  <r>
    <x v="12"/>
    <s v="AUG"/>
    <x v="43"/>
    <s v="GRSM 7"/>
    <x v="4"/>
    <s v="GMM"/>
    <n v="103783"/>
    <n v="7500032"/>
    <x v="57"/>
    <x v="113"/>
    <s v="CARBONARA"/>
    <n v="6400"/>
    <n v="25"/>
    <n v="160000"/>
    <m/>
  </r>
  <r>
    <x v="12"/>
    <s v="AUG"/>
    <x v="43"/>
    <s v="GRSM 7"/>
    <x v="4"/>
    <s v="GMM"/>
    <n v="103783"/>
    <n v="7500032"/>
    <x v="57"/>
    <x v="113"/>
    <s v="AGLIO OLIO"/>
    <n v="6400"/>
    <n v="11"/>
    <n v="70400"/>
    <m/>
  </r>
  <r>
    <x v="12"/>
    <s v="AUG"/>
    <x v="43"/>
    <s v="GRSM 7"/>
    <x v="4"/>
    <s v="GMM"/>
    <n v="103783"/>
    <n v="7500032"/>
    <x v="57"/>
    <x v="113"/>
    <s v="GORENG"/>
    <n v="6400"/>
    <n v="38"/>
    <n v="243200"/>
    <n v="160"/>
  </r>
  <r>
    <x v="12"/>
    <s v="AUG"/>
    <x v="43"/>
    <s v="GRSM 7"/>
    <x v="4"/>
    <s v="GMM"/>
    <n v="211074"/>
    <n v="2217375"/>
    <x v="44"/>
    <x v="84"/>
    <s v="BOLOGNESE"/>
    <n v="3200"/>
    <n v="14"/>
    <n v="44800"/>
    <m/>
  </r>
  <r>
    <x v="12"/>
    <s v="AUG"/>
    <x v="43"/>
    <s v="GRSM 7"/>
    <x v="4"/>
    <s v="GMM"/>
    <n v="211074"/>
    <n v="2217375"/>
    <x v="44"/>
    <x v="84"/>
    <s v="CARBONARA"/>
    <n v="3200"/>
    <n v="20"/>
    <n v="64000"/>
    <m/>
  </r>
  <r>
    <x v="12"/>
    <s v="AUG"/>
    <x v="43"/>
    <s v="GRSM 7"/>
    <x v="4"/>
    <s v="GMM"/>
    <n v="211074"/>
    <n v="2217375"/>
    <x v="44"/>
    <x v="84"/>
    <s v="AGLIO OLIO"/>
    <n v="3200"/>
    <n v="0"/>
    <n v="0"/>
    <m/>
  </r>
  <r>
    <x v="12"/>
    <s v="AUG"/>
    <x v="43"/>
    <s v="GRSM 7"/>
    <x v="4"/>
    <s v="GMM"/>
    <n v="211074"/>
    <n v="2217375"/>
    <x v="44"/>
    <x v="84"/>
    <s v="GORENG"/>
    <n v="3200"/>
    <n v="148"/>
    <n v="473600"/>
    <n v="160"/>
  </r>
  <r>
    <x v="12"/>
    <s v="AUG"/>
    <x v="43"/>
    <s v="GRSM 7"/>
    <x v="4"/>
    <s v="GMM"/>
    <n v="211074"/>
    <n v="2217375"/>
    <x v="44"/>
    <x v="85"/>
    <s v="BOLOGNESE"/>
    <n v="3200"/>
    <n v="14"/>
    <n v="44800"/>
    <m/>
  </r>
  <r>
    <x v="12"/>
    <s v="AUG"/>
    <x v="43"/>
    <s v="GRSM 7"/>
    <x v="4"/>
    <s v="GMM"/>
    <n v="211074"/>
    <n v="2217375"/>
    <x v="44"/>
    <x v="85"/>
    <s v="CARBONARA"/>
    <n v="3200"/>
    <n v="20"/>
    <n v="64000"/>
    <m/>
  </r>
  <r>
    <x v="12"/>
    <s v="AUG"/>
    <x v="43"/>
    <s v="GRSM 7"/>
    <x v="4"/>
    <s v="GMM"/>
    <n v="211074"/>
    <n v="2217375"/>
    <x v="44"/>
    <x v="85"/>
    <s v="AGLIO OLIO"/>
    <n v="3200"/>
    <n v="0"/>
    <n v="0"/>
    <m/>
  </r>
  <r>
    <x v="12"/>
    <s v="AUG"/>
    <x v="43"/>
    <s v="GRSM 7"/>
    <x v="4"/>
    <s v="GMM"/>
    <n v="211074"/>
    <n v="2217375"/>
    <x v="44"/>
    <x v="85"/>
    <s v="GORENG"/>
    <n v="3200"/>
    <n v="148"/>
    <n v="473600"/>
    <n v="160"/>
  </r>
  <r>
    <x v="12"/>
    <s v="AUG"/>
    <x v="43"/>
    <s v="GRSM 7"/>
    <x v="4"/>
    <s v="GMM"/>
    <n v="211074"/>
    <n v="2217375"/>
    <x v="44"/>
    <x v="120"/>
    <s v="BOLOGNESE"/>
    <n v="3200"/>
    <n v="14"/>
    <n v="44800"/>
    <m/>
  </r>
  <r>
    <x v="12"/>
    <s v="AUG"/>
    <x v="43"/>
    <s v="GRSM 7"/>
    <x v="4"/>
    <s v="GMM"/>
    <n v="211074"/>
    <n v="2217375"/>
    <x v="44"/>
    <x v="120"/>
    <s v="CARBONARA"/>
    <n v="3200"/>
    <n v="20"/>
    <n v="64000"/>
    <m/>
  </r>
  <r>
    <x v="12"/>
    <s v="AUG"/>
    <x v="43"/>
    <s v="GRSM 7"/>
    <x v="4"/>
    <s v="GMM"/>
    <n v="211074"/>
    <n v="2217375"/>
    <x v="44"/>
    <x v="120"/>
    <s v="AGLIO OLIO"/>
    <n v="3200"/>
    <n v="0"/>
    <n v="0"/>
    <m/>
  </r>
  <r>
    <x v="12"/>
    <s v="AUG"/>
    <x v="43"/>
    <s v="GRSM 7"/>
    <x v="4"/>
    <s v="GMM"/>
    <n v="211074"/>
    <n v="2217375"/>
    <x v="44"/>
    <x v="120"/>
    <s v="GORENG"/>
    <n v="3200"/>
    <n v="148"/>
    <n v="473600"/>
    <n v="160"/>
  </r>
  <r>
    <x v="12"/>
    <s v="AUG"/>
    <x v="43"/>
    <s v="GRSM 7"/>
    <x v="4"/>
    <s v="GMM"/>
    <n v="103240"/>
    <n v="7112059"/>
    <x v="45"/>
    <x v="86"/>
    <s v="BOLOGNESE"/>
    <n v="2769"/>
    <n v="84"/>
    <n v="232596"/>
    <m/>
  </r>
  <r>
    <x v="12"/>
    <s v="AUG"/>
    <x v="43"/>
    <s v="GRSM 7"/>
    <x v="4"/>
    <s v="GMM"/>
    <n v="103240"/>
    <n v="7112059"/>
    <x v="45"/>
    <x v="86"/>
    <s v="CARBONARA"/>
    <n v="2769"/>
    <n v="90"/>
    <n v="249210"/>
    <m/>
  </r>
  <r>
    <x v="12"/>
    <s v="AUG"/>
    <x v="43"/>
    <s v="GRSM 7"/>
    <x v="4"/>
    <s v="GMM"/>
    <n v="103240"/>
    <n v="7112059"/>
    <x v="45"/>
    <x v="86"/>
    <s v="AGLIO OLIO"/>
    <n v="2769"/>
    <n v="0"/>
    <n v="0"/>
    <m/>
  </r>
  <r>
    <x v="12"/>
    <s v="AUG"/>
    <x v="43"/>
    <s v="GRSM 7"/>
    <x v="4"/>
    <s v="GMM"/>
    <n v="103240"/>
    <n v="7112059"/>
    <x v="45"/>
    <x v="86"/>
    <s v="GORENG"/>
    <n v="2769"/>
    <n v="138"/>
    <n v="382122"/>
    <n v="160"/>
  </r>
  <r>
    <x v="12"/>
    <s v="AUG"/>
    <x v="43"/>
    <s v="GRSM 7"/>
    <x v="4"/>
    <s v="GMM"/>
    <n v="103240"/>
    <n v="7112059"/>
    <x v="45"/>
    <x v="87"/>
    <s v="BOLOGNESE"/>
    <n v="2769"/>
    <n v="84"/>
    <n v="232596"/>
    <m/>
  </r>
  <r>
    <x v="12"/>
    <s v="AUG"/>
    <x v="43"/>
    <s v="GRSM 7"/>
    <x v="4"/>
    <s v="GMM"/>
    <n v="103240"/>
    <n v="7112059"/>
    <x v="45"/>
    <x v="87"/>
    <s v="CARBONARA"/>
    <n v="2769"/>
    <n v="90"/>
    <n v="249210"/>
    <m/>
  </r>
  <r>
    <x v="12"/>
    <s v="AUG"/>
    <x v="43"/>
    <s v="GRSM 7"/>
    <x v="4"/>
    <s v="GMM"/>
    <n v="103240"/>
    <n v="7112059"/>
    <x v="45"/>
    <x v="87"/>
    <s v="AGLIO OLIO"/>
    <n v="2769"/>
    <n v="0"/>
    <n v="0"/>
    <m/>
  </r>
  <r>
    <x v="12"/>
    <s v="AUG"/>
    <x v="43"/>
    <s v="GRSM 7"/>
    <x v="4"/>
    <s v="GMM"/>
    <n v="103240"/>
    <n v="7112059"/>
    <x v="45"/>
    <x v="87"/>
    <s v="GORENG"/>
    <n v="2769"/>
    <n v="138"/>
    <n v="382122"/>
    <n v="160"/>
  </r>
  <r>
    <x v="12"/>
    <s v="AUG"/>
    <x v="43"/>
    <s v="GRSM 7"/>
    <x v="4"/>
    <s v="GMM"/>
    <n v="103783"/>
    <n v="7500090"/>
    <x v="58"/>
    <x v="114"/>
    <s v="BOLOGNESE"/>
    <n v="6400"/>
    <n v="20"/>
    <n v="128000"/>
    <m/>
  </r>
  <r>
    <x v="12"/>
    <s v="AUG"/>
    <x v="43"/>
    <s v="GRSM 7"/>
    <x v="4"/>
    <s v="GMM"/>
    <n v="103783"/>
    <n v="7500090"/>
    <x v="58"/>
    <x v="114"/>
    <s v="CARBONARA"/>
    <n v="6400"/>
    <n v="20"/>
    <n v="128000"/>
    <m/>
  </r>
  <r>
    <x v="12"/>
    <s v="AUG"/>
    <x v="43"/>
    <s v="GRSM 7"/>
    <x v="4"/>
    <s v="GMM"/>
    <n v="103783"/>
    <n v="7500090"/>
    <x v="58"/>
    <x v="114"/>
    <s v="AGLIO OLIO"/>
    <n v="6400"/>
    <n v="15"/>
    <n v="96000"/>
    <m/>
  </r>
  <r>
    <x v="12"/>
    <s v="AUG"/>
    <x v="43"/>
    <s v="GRSM 7"/>
    <x v="4"/>
    <s v="GMM"/>
    <n v="103783"/>
    <n v="7500090"/>
    <x v="58"/>
    <x v="114"/>
    <s v="GORENG"/>
    <n v="6400"/>
    <n v="35"/>
    <n v="224000"/>
    <m/>
  </r>
  <r>
    <x v="12"/>
    <s v="AUG"/>
    <x v="43"/>
    <s v="GRSM 7"/>
    <x v="4"/>
    <s v="GMM"/>
    <n v="103783"/>
    <n v="7500090"/>
    <x v="58"/>
    <x v="115"/>
    <s v="BOLOGNESE"/>
    <n v="6400"/>
    <n v="20"/>
    <n v="128000"/>
    <m/>
  </r>
  <r>
    <x v="12"/>
    <s v="AUG"/>
    <x v="43"/>
    <s v="GRSM 7"/>
    <x v="4"/>
    <s v="GMM"/>
    <n v="103783"/>
    <n v="7500090"/>
    <x v="58"/>
    <x v="115"/>
    <s v="CARBONARA"/>
    <n v="6400"/>
    <n v="20"/>
    <n v="128000"/>
    <m/>
  </r>
  <r>
    <x v="12"/>
    <s v="AUG"/>
    <x v="43"/>
    <s v="GRSM 7"/>
    <x v="4"/>
    <s v="GMM"/>
    <n v="103783"/>
    <n v="7500090"/>
    <x v="58"/>
    <x v="115"/>
    <s v="AGLIO OLIO"/>
    <n v="6400"/>
    <n v="15"/>
    <n v="96000"/>
    <m/>
  </r>
  <r>
    <x v="12"/>
    <s v="AUG"/>
    <x v="43"/>
    <s v="GRSM 7"/>
    <x v="4"/>
    <s v="GMM"/>
    <n v="103783"/>
    <n v="7500090"/>
    <x v="58"/>
    <x v="115"/>
    <s v="GORENG"/>
    <n v="6400"/>
    <n v="35"/>
    <n v="224000"/>
    <m/>
  </r>
  <r>
    <x v="12"/>
    <s v="AUG"/>
    <x v="41"/>
    <s v="GRSM 6"/>
    <x v="5"/>
    <s v="GMM"/>
    <n v="170208"/>
    <n v="5765011"/>
    <x v="46"/>
    <x v="88"/>
    <s v="BOLOGNESE"/>
    <n v="2950"/>
    <n v="0"/>
    <n v="0"/>
    <m/>
  </r>
  <r>
    <x v="12"/>
    <s v="AUG"/>
    <x v="41"/>
    <s v="GRSM 6"/>
    <x v="5"/>
    <s v="GMM"/>
    <n v="170208"/>
    <n v="5765011"/>
    <x v="46"/>
    <x v="88"/>
    <s v="CARBONARA"/>
    <n v="2950"/>
    <n v="201"/>
    <n v="592950"/>
    <m/>
  </r>
  <r>
    <x v="12"/>
    <s v="AUG"/>
    <x v="41"/>
    <s v="GRSM 6"/>
    <x v="5"/>
    <s v="GMM"/>
    <n v="170208"/>
    <n v="5765011"/>
    <x v="46"/>
    <x v="88"/>
    <s v="AGLIO OLIO"/>
    <n v="2950"/>
    <n v="51"/>
    <n v="150450"/>
    <m/>
  </r>
  <r>
    <x v="12"/>
    <s v="AUG"/>
    <x v="41"/>
    <s v="GRSM 6"/>
    <x v="5"/>
    <s v="GMM"/>
    <n v="170208"/>
    <n v="5765011"/>
    <x v="46"/>
    <x v="88"/>
    <s v="GORENG"/>
    <n v="2950"/>
    <n v="189"/>
    <n v="557550"/>
    <n v="160"/>
  </r>
  <r>
    <x v="12"/>
    <s v="AUG"/>
    <x v="41"/>
    <s v="GRSM 6"/>
    <x v="5"/>
    <s v="GMM"/>
    <n v="211161"/>
    <n v="7103"/>
    <x v="47"/>
    <x v="91"/>
    <s v="BOLOGNESE"/>
    <n v="2850"/>
    <n v="96"/>
    <n v="273600"/>
    <m/>
  </r>
  <r>
    <x v="12"/>
    <s v="AUG"/>
    <x v="41"/>
    <s v="GRSM 6"/>
    <x v="5"/>
    <s v="GMM"/>
    <n v="211161"/>
    <n v="7103"/>
    <x v="47"/>
    <x v="91"/>
    <s v="CARBONARA"/>
    <n v="2850"/>
    <n v="65"/>
    <n v="185250"/>
    <m/>
  </r>
  <r>
    <x v="12"/>
    <s v="AUG"/>
    <x v="41"/>
    <s v="GRSM 6"/>
    <x v="5"/>
    <s v="GMM"/>
    <n v="211161"/>
    <n v="7103"/>
    <x v="47"/>
    <x v="91"/>
    <s v="AGLIO OLIO"/>
    <n v="2850"/>
    <n v="40"/>
    <n v="114000"/>
    <m/>
  </r>
  <r>
    <x v="12"/>
    <s v="AUG"/>
    <x v="41"/>
    <s v="GRSM 6"/>
    <x v="5"/>
    <s v="GMM"/>
    <n v="211161"/>
    <n v="7103"/>
    <x v="47"/>
    <x v="91"/>
    <s v="GORENG"/>
    <n v="2850"/>
    <n v="340"/>
    <n v="969000"/>
    <m/>
  </r>
  <r>
    <x v="12"/>
    <s v="AUG"/>
    <x v="41"/>
    <s v="GRSM 6"/>
    <x v="5"/>
    <s v="GMM"/>
    <n v="211161"/>
    <n v="7103"/>
    <x v="47"/>
    <x v="90"/>
    <s v="BOLOGNESE"/>
    <n v="2850"/>
    <n v="96"/>
    <n v="273600"/>
    <m/>
  </r>
  <r>
    <x v="12"/>
    <s v="AUG"/>
    <x v="41"/>
    <s v="GRSM 6"/>
    <x v="5"/>
    <s v="GMM"/>
    <n v="211161"/>
    <n v="7103"/>
    <x v="47"/>
    <x v="90"/>
    <s v="CARBONARA"/>
    <n v="2850"/>
    <n v="65"/>
    <n v="185250"/>
    <m/>
  </r>
  <r>
    <x v="12"/>
    <s v="AUG"/>
    <x v="41"/>
    <s v="GRSM 6"/>
    <x v="5"/>
    <s v="GMM"/>
    <n v="211161"/>
    <n v="7103"/>
    <x v="47"/>
    <x v="90"/>
    <s v="AGLIO OLIO"/>
    <n v="2850"/>
    <n v="40"/>
    <n v="114000"/>
    <m/>
  </r>
  <r>
    <x v="12"/>
    <s v="AUG"/>
    <x v="41"/>
    <s v="GRSM 6"/>
    <x v="5"/>
    <s v="GMM"/>
    <n v="211161"/>
    <n v="7103"/>
    <x v="47"/>
    <x v="90"/>
    <s v="GORENG"/>
    <n v="2850"/>
    <n v="340"/>
    <n v="969000"/>
    <m/>
  </r>
  <r>
    <x v="12"/>
    <s v="AUG"/>
    <x v="41"/>
    <s v="GRSM 6"/>
    <x v="5"/>
    <s v="GMM"/>
    <n v="211030"/>
    <n v="5766116"/>
    <x v="48"/>
    <x v="121"/>
    <s v="BOLOGNESE"/>
    <n v="6000"/>
    <n v="34"/>
    <n v="204000"/>
    <m/>
  </r>
  <r>
    <x v="12"/>
    <s v="AUG"/>
    <x v="41"/>
    <s v="GRSM 6"/>
    <x v="5"/>
    <s v="GMM"/>
    <n v="211030"/>
    <n v="5766116"/>
    <x v="48"/>
    <x v="121"/>
    <s v="CARBONARA"/>
    <n v="6000"/>
    <n v="20"/>
    <n v="120000"/>
    <m/>
  </r>
  <r>
    <x v="12"/>
    <s v="AUG"/>
    <x v="41"/>
    <s v="GRSM 6"/>
    <x v="5"/>
    <s v="GMM"/>
    <n v="211030"/>
    <n v="5766116"/>
    <x v="48"/>
    <x v="121"/>
    <s v="AGLIO OLIO"/>
    <n v="6000"/>
    <n v="16"/>
    <n v="96000"/>
    <m/>
  </r>
  <r>
    <x v="12"/>
    <s v="AUG"/>
    <x v="41"/>
    <s v="GRSM 6"/>
    <x v="5"/>
    <s v="GMM"/>
    <n v="211030"/>
    <n v="5766116"/>
    <x v="48"/>
    <x v="121"/>
    <s v="GORENG"/>
    <n v="6000"/>
    <n v="56"/>
    <n v="336000"/>
    <m/>
  </r>
  <r>
    <x v="12"/>
    <s v="AUG"/>
    <x v="41"/>
    <s v="GRSM 6"/>
    <x v="5"/>
    <s v="GMM"/>
    <n v="211030"/>
    <n v="5765035"/>
    <x v="51"/>
    <x v="99"/>
    <s v="BOLOGNESE"/>
    <n v="1953"/>
    <n v="25"/>
    <n v="48825"/>
    <m/>
  </r>
  <r>
    <x v="12"/>
    <s v="AUG"/>
    <x v="41"/>
    <s v="GRSM 6"/>
    <x v="5"/>
    <s v="GMM"/>
    <n v="211030"/>
    <n v="5765035"/>
    <x v="51"/>
    <x v="99"/>
    <s v="CARBONARA"/>
    <n v="1953"/>
    <n v="22"/>
    <n v="42966"/>
    <m/>
  </r>
  <r>
    <x v="12"/>
    <s v="AUG"/>
    <x v="41"/>
    <s v="GRSM 6"/>
    <x v="5"/>
    <s v="GMM"/>
    <n v="211030"/>
    <n v="5765035"/>
    <x v="51"/>
    <x v="99"/>
    <s v="AGLIO OLIO"/>
    <n v="1953"/>
    <n v="5"/>
    <n v="9765"/>
    <m/>
  </r>
  <r>
    <x v="12"/>
    <s v="AUG"/>
    <x v="41"/>
    <s v="GRSM 6"/>
    <x v="5"/>
    <s v="GMM"/>
    <n v="211030"/>
    <n v="5765035"/>
    <x v="51"/>
    <x v="99"/>
    <s v="GORENG"/>
    <n v="1953"/>
    <n v="88"/>
    <n v="171864"/>
    <n v="150"/>
  </r>
  <r>
    <x v="12"/>
    <s v="AUG"/>
    <x v="41"/>
    <s v="GRSM 6"/>
    <x v="5"/>
    <s v="GMM"/>
    <n v="211030"/>
    <n v="5765035"/>
    <x v="51"/>
    <x v="98"/>
    <s v="BOLOGNESE"/>
    <n v="1953"/>
    <n v="30"/>
    <n v="58590"/>
    <m/>
  </r>
  <r>
    <x v="12"/>
    <s v="AUG"/>
    <x v="41"/>
    <s v="GRSM 6"/>
    <x v="5"/>
    <s v="GMM"/>
    <n v="211030"/>
    <n v="5765035"/>
    <x v="51"/>
    <x v="98"/>
    <s v="CARBONARA"/>
    <n v="1953"/>
    <n v="40"/>
    <n v="78120"/>
    <m/>
  </r>
  <r>
    <x v="12"/>
    <s v="AUG"/>
    <x v="41"/>
    <s v="GRSM 6"/>
    <x v="5"/>
    <s v="GMM"/>
    <n v="211030"/>
    <n v="5765035"/>
    <x v="51"/>
    <x v="98"/>
    <s v="AGLIO OLIO"/>
    <n v="1953"/>
    <n v="3"/>
    <n v="5859"/>
    <m/>
  </r>
  <r>
    <x v="12"/>
    <s v="AUG"/>
    <x v="41"/>
    <s v="GRSM 6"/>
    <x v="5"/>
    <s v="GMM"/>
    <n v="211030"/>
    <n v="5765035"/>
    <x v="51"/>
    <x v="98"/>
    <s v="GORENG"/>
    <n v="1953"/>
    <n v="60"/>
    <n v="117180"/>
    <n v="160"/>
  </r>
  <r>
    <x v="12"/>
    <s v="AUG"/>
    <x v="41"/>
    <s v="GRSM 6"/>
    <x v="5"/>
    <s v="GMM"/>
    <n v="211161"/>
    <n v="710355"/>
    <x v="50"/>
    <x v="96"/>
    <s v="BOLOGNESE"/>
    <n v="6201"/>
    <n v="36"/>
    <n v="223236"/>
    <m/>
  </r>
  <r>
    <x v="12"/>
    <s v="AUG"/>
    <x v="41"/>
    <s v="GRSM 6"/>
    <x v="5"/>
    <s v="GMM"/>
    <n v="211161"/>
    <n v="710355"/>
    <x v="50"/>
    <x v="96"/>
    <s v="CARBONARA"/>
    <n v="6201"/>
    <n v="0"/>
    <n v="0"/>
    <m/>
  </r>
  <r>
    <x v="12"/>
    <s v="AUG"/>
    <x v="41"/>
    <s v="GRSM 6"/>
    <x v="5"/>
    <s v="GMM"/>
    <n v="211161"/>
    <n v="710355"/>
    <x v="50"/>
    <x v="96"/>
    <s v="AGLIO OLIO"/>
    <n v="6201"/>
    <n v="36"/>
    <n v="223236"/>
    <m/>
  </r>
  <r>
    <x v="12"/>
    <s v="AUG"/>
    <x v="41"/>
    <s v="GRSM 6"/>
    <x v="5"/>
    <s v="GMM"/>
    <n v="211161"/>
    <n v="710355"/>
    <x v="50"/>
    <x v="96"/>
    <s v="GORENG"/>
    <n v="6201"/>
    <n v="72"/>
    <n v="446472"/>
    <n v="160"/>
  </r>
  <r>
    <x v="12"/>
    <s v="AGU"/>
    <x v="41"/>
    <s v="GRSM 6"/>
    <x v="5"/>
    <s v="GMM"/>
    <n v="211161"/>
    <n v="710355"/>
    <x v="50"/>
    <x v="97"/>
    <s v="BOLOGNESE"/>
    <n v="6201"/>
    <n v="36"/>
    <n v="223236"/>
    <m/>
  </r>
  <r>
    <x v="12"/>
    <s v="AGU"/>
    <x v="41"/>
    <s v="GRSM 6"/>
    <x v="5"/>
    <s v="GMM"/>
    <n v="211161"/>
    <n v="710355"/>
    <x v="50"/>
    <x v="97"/>
    <s v="CARBONARA"/>
    <n v="6201"/>
    <n v="0"/>
    <n v="0"/>
    <m/>
  </r>
  <r>
    <x v="12"/>
    <s v="AGU"/>
    <x v="41"/>
    <s v="GRSM 6"/>
    <x v="5"/>
    <s v="GMM"/>
    <n v="211161"/>
    <n v="710355"/>
    <x v="50"/>
    <x v="97"/>
    <s v="AGLIO OLIO"/>
    <n v="6201"/>
    <n v="36"/>
    <n v="223236"/>
    <m/>
  </r>
  <r>
    <x v="12"/>
    <s v="AGU"/>
    <x v="41"/>
    <s v="GRSM 6"/>
    <x v="5"/>
    <s v="GMM"/>
    <n v="211161"/>
    <n v="710355"/>
    <x v="50"/>
    <x v="97"/>
    <s v="GORENG"/>
    <n v="6201"/>
    <n v="72"/>
    <n v="446472"/>
    <n v="160"/>
  </r>
  <r>
    <x v="12"/>
    <s v="AUG"/>
    <x v="42"/>
    <s v="GRSM 6"/>
    <x v="5"/>
    <s v="GMM"/>
    <n v="211161"/>
    <n v="710355"/>
    <x v="47"/>
    <x v="91"/>
    <s v="BOLOGNESE"/>
    <n v="2850"/>
    <n v="105"/>
    <n v="299250"/>
    <m/>
  </r>
  <r>
    <x v="12"/>
    <s v="AUG"/>
    <x v="42"/>
    <s v="GRSM 6"/>
    <x v="5"/>
    <s v="GMM"/>
    <n v="211161"/>
    <n v="710355"/>
    <x v="47"/>
    <x v="91"/>
    <s v="CARBONARA"/>
    <n v="2850"/>
    <n v="70"/>
    <n v="199500"/>
    <m/>
  </r>
  <r>
    <x v="12"/>
    <s v="AUG"/>
    <x v="42"/>
    <s v="GRSM 6"/>
    <x v="5"/>
    <s v="GMM"/>
    <n v="211161"/>
    <n v="710355"/>
    <x v="47"/>
    <x v="91"/>
    <s v="AGLIO OLIO"/>
    <n v="2850"/>
    <n v="24"/>
    <n v="68400"/>
    <m/>
  </r>
  <r>
    <x v="12"/>
    <s v="AUG"/>
    <x v="42"/>
    <s v="GRSM 6"/>
    <x v="5"/>
    <s v="GMM"/>
    <n v="211161"/>
    <n v="710355"/>
    <x v="47"/>
    <x v="91"/>
    <s v="GORENG"/>
    <n v="2850"/>
    <n v="296"/>
    <n v="843600"/>
    <m/>
  </r>
  <r>
    <x v="12"/>
    <s v="AUG"/>
    <x v="42"/>
    <s v="GRSM 6"/>
    <x v="5"/>
    <s v="GMM"/>
    <n v="211161"/>
    <n v="7103"/>
    <x v="47"/>
    <x v="90"/>
    <s v="BOLOGNESE"/>
    <n v="2850"/>
    <n v="105"/>
    <n v="299250"/>
    <m/>
  </r>
  <r>
    <x v="12"/>
    <s v="AUG"/>
    <x v="42"/>
    <s v="GRSM 6"/>
    <x v="5"/>
    <s v="GMM"/>
    <n v="211161"/>
    <n v="7103"/>
    <x v="47"/>
    <x v="90"/>
    <s v="CARBONARA"/>
    <n v="2850"/>
    <n v="70"/>
    <n v="199500"/>
    <m/>
  </r>
  <r>
    <x v="12"/>
    <s v="AUG"/>
    <x v="42"/>
    <s v="GRSM 6"/>
    <x v="5"/>
    <s v="GMM"/>
    <n v="211161"/>
    <n v="7103"/>
    <x v="47"/>
    <x v="90"/>
    <s v="AGLIO OLIO"/>
    <n v="2850"/>
    <n v="24"/>
    <n v="68400"/>
    <m/>
  </r>
  <r>
    <x v="12"/>
    <s v="AUG"/>
    <x v="42"/>
    <s v="GRSM 6"/>
    <x v="5"/>
    <s v="GMM"/>
    <n v="211161"/>
    <n v="7103"/>
    <x v="47"/>
    <x v="90"/>
    <s v="GORENG"/>
    <n v="2850"/>
    <n v="296"/>
    <n v="843600"/>
    <m/>
  </r>
  <r>
    <x v="12"/>
    <s v="AUG"/>
    <x v="42"/>
    <s v="GRSM 6"/>
    <x v="5"/>
    <s v="GMM"/>
    <n v="211161"/>
    <n v="7103"/>
    <x v="51"/>
    <x v="99"/>
    <s v="BOLOGNESE"/>
    <n v="1953"/>
    <n v="53"/>
    <n v="103509"/>
    <m/>
  </r>
  <r>
    <x v="12"/>
    <s v="AUG"/>
    <x v="42"/>
    <s v="GRSM 6"/>
    <x v="5"/>
    <s v="GMM"/>
    <n v="211161"/>
    <n v="7103"/>
    <x v="51"/>
    <x v="99"/>
    <s v="CARBONARA"/>
    <n v="1953"/>
    <n v="67"/>
    <n v="130851"/>
    <m/>
  </r>
  <r>
    <x v="12"/>
    <s v="AUG"/>
    <x v="42"/>
    <s v="GRSM 6"/>
    <x v="5"/>
    <s v="GMM"/>
    <n v="211161"/>
    <n v="7103"/>
    <x v="51"/>
    <x v="99"/>
    <s v="AGLIO OLIO"/>
    <n v="1953"/>
    <n v="11"/>
    <n v="21483"/>
    <m/>
  </r>
  <r>
    <x v="12"/>
    <s v="AUG"/>
    <x v="42"/>
    <s v="GRSM 6"/>
    <x v="5"/>
    <s v="GMM"/>
    <n v="211161"/>
    <n v="7103"/>
    <x v="51"/>
    <x v="99"/>
    <s v="GORENG"/>
    <n v="1953"/>
    <n v="133"/>
    <n v="259749"/>
    <n v="150"/>
  </r>
  <r>
    <x v="12"/>
    <s v="AUG"/>
    <x v="42"/>
    <s v="GRSM 6"/>
    <x v="5"/>
    <s v="GMM"/>
    <n v="211030"/>
    <n v="5765035"/>
    <x v="49"/>
    <x v="95"/>
    <s v="BOLOGNESE"/>
    <n v="2900"/>
    <n v="26"/>
    <n v="75400"/>
    <m/>
  </r>
  <r>
    <x v="12"/>
    <s v="AUG"/>
    <x v="42"/>
    <s v="GRSM 6"/>
    <x v="5"/>
    <s v="GMM"/>
    <n v="211030"/>
    <n v="5765035"/>
    <x v="49"/>
    <x v="95"/>
    <s v="CARBONARA"/>
    <n v="2900"/>
    <n v="42"/>
    <n v="121800"/>
    <m/>
  </r>
  <r>
    <x v="12"/>
    <s v="AUG"/>
    <x v="42"/>
    <s v="GRSM 6"/>
    <x v="5"/>
    <s v="GMM"/>
    <n v="211030"/>
    <n v="5765035"/>
    <x v="49"/>
    <x v="95"/>
    <s v="AGLIO OLIO"/>
    <n v="2900"/>
    <n v="35"/>
    <n v="101500"/>
    <m/>
  </r>
  <r>
    <x v="12"/>
    <s v="AUG"/>
    <x v="42"/>
    <s v="GRSM 6"/>
    <x v="5"/>
    <s v="GMM"/>
    <n v="211030"/>
    <n v="5765035"/>
    <x v="49"/>
    <x v="95"/>
    <s v="GORENG"/>
    <n v="2900"/>
    <n v="64"/>
    <n v="185600"/>
    <n v="190"/>
  </r>
  <r>
    <x v="12"/>
    <s v="AUG"/>
    <x v="42"/>
    <s v="GRSM 6"/>
    <x v="5"/>
    <s v="GMM"/>
    <n v="211181"/>
    <n v="710355"/>
    <x v="50"/>
    <x v="97"/>
    <s v="BOLOGNESE"/>
    <n v="6201"/>
    <n v="24"/>
    <n v="148824"/>
    <m/>
  </r>
  <r>
    <x v="12"/>
    <s v="AUG"/>
    <x v="42"/>
    <s v="GRSM 6"/>
    <x v="5"/>
    <s v="GMM"/>
    <n v="211181"/>
    <n v="710355"/>
    <x v="50"/>
    <x v="97"/>
    <s v="CARBONARA"/>
    <n v="6201"/>
    <n v="0"/>
    <n v="0"/>
    <m/>
  </r>
  <r>
    <x v="12"/>
    <s v="AUG"/>
    <x v="42"/>
    <s v="GRSM 6"/>
    <x v="5"/>
    <s v="GMM"/>
    <n v="211181"/>
    <n v="710355"/>
    <x v="50"/>
    <x v="97"/>
    <s v="AGLIO OLIO"/>
    <n v="6201"/>
    <n v="27"/>
    <n v="167427"/>
    <m/>
  </r>
  <r>
    <x v="12"/>
    <s v="AUG"/>
    <x v="42"/>
    <s v="GRSM 6"/>
    <x v="5"/>
    <s v="GMM"/>
    <n v="211181"/>
    <n v="710355"/>
    <x v="50"/>
    <x v="97"/>
    <s v="GORENG"/>
    <n v="6201"/>
    <n v="75"/>
    <n v="465075"/>
    <m/>
  </r>
  <r>
    <x v="12"/>
    <s v="AUG"/>
    <x v="42"/>
    <s v="GRSM 6"/>
    <x v="5"/>
    <s v="GMM"/>
    <n v="211161"/>
    <n v="710355"/>
    <x v="51"/>
    <x v="98"/>
    <s v="BOLOGNESE"/>
    <n v="1953"/>
    <n v="80"/>
    <n v="156240"/>
    <m/>
  </r>
  <r>
    <x v="12"/>
    <s v="AUG"/>
    <x v="42"/>
    <s v="GRSM 6"/>
    <x v="5"/>
    <s v="GMM"/>
    <n v="211161"/>
    <n v="710355"/>
    <x v="51"/>
    <x v="98"/>
    <s v="CARBONARA"/>
    <n v="1953"/>
    <n v="72"/>
    <n v="140616"/>
    <m/>
  </r>
  <r>
    <x v="12"/>
    <s v="AUG"/>
    <x v="42"/>
    <s v="GRSM 6"/>
    <x v="5"/>
    <s v="GMM"/>
    <n v="211161"/>
    <n v="710355"/>
    <x v="51"/>
    <x v="98"/>
    <s v="AGLIO OLIO"/>
    <n v="1953"/>
    <n v="9"/>
    <n v="17577"/>
    <m/>
  </r>
  <r>
    <x v="12"/>
    <s v="AUG"/>
    <x v="42"/>
    <s v="GRSM 6"/>
    <x v="5"/>
    <s v="GMM"/>
    <n v="211161"/>
    <n v="710355"/>
    <x v="51"/>
    <x v="98"/>
    <s v="GORENG"/>
    <n v="1953"/>
    <n v="162"/>
    <n v="316386"/>
    <n v="160"/>
  </r>
  <r>
    <x v="12"/>
    <s v="AUG"/>
    <x v="42"/>
    <s v="GRSM 6"/>
    <x v="5"/>
    <s v="GMM"/>
    <n v="211030"/>
    <n v="5765035"/>
    <x v="50"/>
    <x v="96"/>
    <s v="BOLOGNESE"/>
    <n v="6201"/>
    <n v="24"/>
    <n v="148824"/>
    <m/>
  </r>
  <r>
    <x v="12"/>
    <s v="AUG"/>
    <x v="42"/>
    <s v="GRSM 6"/>
    <x v="5"/>
    <s v="GMM"/>
    <n v="211030"/>
    <n v="5765035"/>
    <x v="50"/>
    <x v="96"/>
    <s v="CARBONARA"/>
    <n v="6201"/>
    <n v="0"/>
    <n v="0"/>
    <m/>
  </r>
  <r>
    <x v="12"/>
    <s v="AUG"/>
    <x v="42"/>
    <s v="GRSM 6"/>
    <x v="5"/>
    <s v="GMM"/>
    <n v="211030"/>
    <n v="5765035"/>
    <x v="50"/>
    <x v="96"/>
    <s v="AGLIO OLIO"/>
    <n v="6201"/>
    <n v="27"/>
    <n v="167427"/>
    <m/>
  </r>
  <r>
    <x v="12"/>
    <s v="AUG"/>
    <x v="42"/>
    <s v="GRSM 6"/>
    <x v="5"/>
    <s v="GMM"/>
    <n v="211030"/>
    <n v="5765035"/>
    <x v="50"/>
    <x v="96"/>
    <s v="GORENG"/>
    <n v="6201"/>
    <n v="75"/>
    <n v="465075"/>
    <m/>
  </r>
  <r>
    <x v="12"/>
    <s v="AUG"/>
    <x v="42"/>
    <s v="GRSM 6"/>
    <x v="5"/>
    <s v="GMM"/>
    <n v="211161"/>
    <n v="710355"/>
    <x v="48"/>
    <x v="121"/>
    <s v="BOLOGNESE"/>
    <n v="6000"/>
    <n v="31"/>
    <n v="186000"/>
    <m/>
  </r>
  <r>
    <x v="12"/>
    <s v="AUG"/>
    <x v="42"/>
    <s v="GRSM 6"/>
    <x v="5"/>
    <s v="GMM"/>
    <n v="211161"/>
    <n v="710355"/>
    <x v="48"/>
    <x v="121"/>
    <s v="CARBONARA"/>
    <n v="6000"/>
    <n v="43"/>
    <n v="258000"/>
    <m/>
  </r>
  <r>
    <x v="12"/>
    <s v="AUG"/>
    <x v="42"/>
    <s v="GRSM 6"/>
    <x v="5"/>
    <s v="GMM"/>
    <n v="211161"/>
    <n v="710355"/>
    <x v="48"/>
    <x v="121"/>
    <s v="AGLIO OLIO"/>
    <n v="6000"/>
    <n v="8"/>
    <n v="48000"/>
    <m/>
  </r>
  <r>
    <x v="12"/>
    <s v="AUG"/>
    <x v="42"/>
    <s v="GRSM 6"/>
    <x v="5"/>
    <s v="GMM"/>
    <n v="211161"/>
    <n v="710355"/>
    <x v="48"/>
    <x v="121"/>
    <s v="GORENG"/>
    <n v="6000"/>
    <n v="61"/>
    <n v="366000"/>
    <m/>
  </r>
  <r>
    <x v="12"/>
    <s v="AGU"/>
    <x v="41"/>
    <s v="GRSM 6"/>
    <x v="5"/>
    <s v="GMM"/>
    <n v="211030"/>
    <n v="5766116"/>
    <x v="46"/>
    <x v="89"/>
    <s v="BOLOGNESE"/>
    <n v="2950"/>
    <n v="0"/>
    <n v="0"/>
    <m/>
  </r>
  <r>
    <x v="12"/>
    <s v="AGU"/>
    <x v="41"/>
    <s v="GRSM 6"/>
    <x v="5"/>
    <s v="GMM"/>
    <n v="211030"/>
    <n v="5766116"/>
    <x v="46"/>
    <x v="89"/>
    <s v="CARBONARA"/>
    <n v="2950"/>
    <n v="201"/>
    <n v="592950"/>
    <m/>
  </r>
  <r>
    <x v="12"/>
    <s v="AGU"/>
    <x v="41"/>
    <s v="GRSM 6"/>
    <x v="5"/>
    <s v="GMM"/>
    <n v="211030"/>
    <n v="5766116"/>
    <x v="46"/>
    <x v="89"/>
    <s v="AGLIO OLIO"/>
    <n v="2950"/>
    <n v="51"/>
    <n v="150450"/>
    <m/>
  </r>
  <r>
    <x v="12"/>
    <s v="AGU"/>
    <x v="41"/>
    <s v="GRSM 6"/>
    <x v="5"/>
    <s v="GMM"/>
    <n v="211030"/>
    <n v="5766116"/>
    <x v="46"/>
    <x v="89"/>
    <s v="GORENG"/>
    <n v="2950"/>
    <n v="189"/>
    <n v="557550"/>
    <n v="160"/>
  </r>
  <r>
    <x v="12"/>
    <s v="AGU"/>
    <x v="41"/>
    <s v="GRSM 6"/>
    <x v="5"/>
    <s v="GMM"/>
    <n v="170208"/>
    <n v="5765011"/>
    <x v="48"/>
    <x v="93"/>
    <s v="BOLOGNESE"/>
    <n v="6000"/>
    <n v="34"/>
    <n v="204000"/>
    <m/>
  </r>
  <r>
    <x v="12"/>
    <s v="AGU"/>
    <x v="41"/>
    <s v="GRSM 6"/>
    <x v="5"/>
    <s v="GMM"/>
    <n v="170208"/>
    <n v="5765011"/>
    <x v="48"/>
    <x v="93"/>
    <s v="CARBONARA"/>
    <n v="6000"/>
    <n v="20"/>
    <n v="120000"/>
    <m/>
  </r>
  <r>
    <x v="12"/>
    <s v="AGU"/>
    <x v="41"/>
    <s v="GRSM 6"/>
    <x v="5"/>
    <s v="GMM"/>
    <n v="170208"/>
    <n v="5765011"/>
    <x v="48"/>
    <x v="93"/>
    <s v="AGLIO OLIO"/>
    <n v="6000"/>
    <n v="16"/>
    <n v="96000"/>
    <m/>
  </r>
  <r>
    <x v="12"/>
    <s v="AGU"/>
    <x v="41"/>
    <s v="GRSM 6"/>
    <x v="5"/>
    <s v="GMM"/>
    <n v="170208"/>
    <n v="5765011"/>
    <x v="48"/>
    <x v="93"/>
    <s v="GORENG"/>
    <n v="6000"/>
    <n v="56"/>
    <n v="336000"/>
    <n v="160"/>
  </r>
  <r>
    <x v="12"/>
    <s v="AGU"/>
    <x v="41"/>
    <s v="GRSM 6"/>
    <x v="5"/>
    <s v="GMM"/>
    <n v="211030"/>
    <n v="5766116"/>
    <x v="49"/>
    <x v="94"/>
    <s v="BOLOGNESE"/>
    <n v="2950"/>
    <n v="30"/>
    <n v="88500"/>
    <m/>
  </r>
  <r>
    <x v="12"/>
    <s v="AGU"/>
    <x v="41"/>
    <s v="GRSM 6"/>
    <x v="5"/>
    <s v="GMM"/>
    <n v="211030"/>
    <n v="5766116"/>
    <x v="49"/>
    <x v="94"/>
    <s v="CARBONARA"/>
    <n v="2950"/>
    <n v="36"/>
    <n v="106200"/>
    <m/>
  </r>
  <r>
    <x v="12"/>
    <s v="AGU"/>
    <x v="41"/>
    <s v="GRSM 6"/>
    <x v="5"/>
    <s v="GMM"/>
    <n v="211030"/>
    <n v="5766116"/>
    <x v="49"/>
    <x v="94"/>
    <s v="AGLIO OLIO"/>
    <n v="2950"/>
    <n v="22"/>
    <n v="64900"/>
    <m/>
  </r>
  <r>
    <x v="12"/>
    <s v="AGU"/>
    <x v="41"/>
    <s v="GRSM 6"/>
    <x v="5"/>
    <s v="GMM"/>
    <n v="211030"/>
    <n v="5766116"/>
    <x v="49"/>
    <x v="94"/>
    <s v="GORENG"/>
    <n v="2950"/>
    <n v="62"/>
    <n v="182900"/>
    <n v="160"/>
  </r>
  <r>
    <x v="12"/>
    <s v="AGU"/>
    <x v="41"/>
    <s v="GRSM 6"/>
    <x v="5"/>
    <s v="GMM"/>
    <n v="211181"/>
    <n v="3208670"/>
    <x v="49"/>
    <x v="95"/>
    <s v="BOLOGNESE"/>
    <n v="2950"/>
    <n v="30"/>
    <n v="88500"/>
    <m/>
  </r>
  <r>
    <x v="12"/>
    <s v="AGU"/>
    <x v="41"/>
    <s v="GRSM 6"/>
    <x v="5"/>
    <s v="GMM"/>
    <n v="211181"/>
    <n v="3208670"/>
    <x v="49"/>
    <x v="95"/>
    <s v="CARBONARA"/>
    <n v="2950"/>
    <n v="36"/>
    <n v="106200"/>
    <m/>
  </r>
  <r>
    <x v="12"/>
    <s v="AGU"/>
    <x v="41"/>
    <s v="GRSM 6"/>
    <x v="5"/>
    <s v="GMM"/>
    <n v="211181"/>
    <n v="3208670"/>
    <x v="49"/>
    <x v="95"/>
    <s v="AGLIO OLIO"/>
    <n v="2950"/>
    <n v="22"/>
    <n v="64900"/>
    <m/>
  </r>
  <r>
    <x v="12"/>
    <s v="AGU"/>
    <x v="41"/>
    <s v="GRSM 6"/>
    <x v="5"/>
    <s v="GMM"/>
    <n v="211181"/>
    <n v="3208670"/>
    <x v="49"/>
    <x v="95"/>
    <s v="GORENG"/>
    <n v="2950"/>
    <n v="62"/>
    <n v="182900"/>
    <n v="160"/>
  </r>
  <r>
    <x v="12"/>
    <s v="AGU"/>
    <x v="42"/>
    <s v="GRSM 6"/>
    <x v="5"/>
    <s v="GMM"/>
    <n v="211181"/>
    <n v="3208670"/>
    <x v="46"/>
    <x v="89"/>
    <s v="BOLOGNESE"/>
    <n v="2950"/>
    <n v="0"/>
    <n v="0"/>
    <m/>
  </r>
  <r>
    <x v="12"/>
    <s v="AGU"/>
    <x v="42"/>
    <s v="GRSM 6"/>
    <x v="5"/>
    <s v="GMM"/>
    <n v="211181"/>
    <n v="3208670"/>
    <x v="46"/>
    <x v="89"/>
    <s v="CARBONARA"/>
    <n v="2950"/>
    <n v="112"/>
    <n v="330400"/>
    <m/>
  </r>
  <r>
    <x v="12"/>
    <s v="AGU"/>
    <x v="42"/>
    <s v="GRSM 6"/>
    <x v="5"/>
    <s v="GMM"/>
    <n v="211181"/>
    <n v="3208670"/>
    <x v="46"/>
    <x v="89"/>
    <s v="AGLIO OLIO"/>
    <n v="2950"/>
    <n v="44"/>
    <n v="129800"/>
    <m/>
  </r>
  <r>
    <x v="12"/>
    <s v="AGU"/>
    <x v="42"/>
    <s v="GRSM 6"/>
    <x v="5"/>
    <s v="GMM"/>
    <n v="211181"/>
    <n v="3208670"/>
    <x v="46"/>
    <x v="89"/>
    <s v="GORENG"/>
    <n v="2950"/>
    <n v="129"/>
    <n v="380550"/>
    <n v="160"/>
  </r>
  <r>
    <x v="12"/>
    <s v="AGU"/>
    <x v="42"/>
    <s v="GRSM 6"/>
    <x v="5"/>
    <s v="GMM"/>
    <n v="170208"/>
    <n v="5765011"/>
    <x v="49"/>
    <x v="94"/>
    <s v="BOLOGNESE"/>
    <n v="2900"/>
    <n v="26"/>
    <n v="75400"/>
    <m/>
  </r>
  <r>
    <x v="12"/>
    <s v="AGU"/>
    <x v="42"/>
    <s v="GRSM 6"/>
    <x v="5"/>
    <s v="GMM"/>
    <n v="170208"/>
    <n v="5765011"/>
    <x v="49"/>
    <x v="94"/>
    <s v="CARBONARA"/>
    <n v="2900"/>
    <n v="42"/>
    <n v="121800"/>
    <m/>
  </r>
  <r>
    <x v="12"/>
    <s v="AGU"/>
    <x v="42"/>
    <s v="GRSM 6"/>
    <x v="5"/>
    <s v="GMM"/>
    <n v="170208"/>
    <n v="5765011"/>
    <x v="49"/>
    <x v="94"/>
    <s v="AGLIO OLIO"/>
    <n v="2900"/>
    <n v="35"/>
    <n v="101500"/>
    <m/>
  </r>
  <r>
    <x v="12"/>
    <s v="AGU"/>
    <x v="42"/>
    <s v="GRSM 6"/>
    <x v="5"/>
    <s v="GMM"/>
    <n v="170208"/>
    <n v="5765011"/>
    <x v="49"/>
    <x v="94"/>
    <s v="GORENG"/>
    <n v="2900"/>
    <n v="64"/>
    <n v="185600"/>
    <n v="160"/>
  </r>
  <r>
    <x v="12"/>
    <s v="AGU"/>
    <x v="43"/>
    <s v="GRSM 6"/>
    <x v="5"/>
    <s v="GMM"/>
    <n v="211181"/>
    <n v="3208670"/>
    <x v="48"/>
    <x v="121"/>
    <s v="BOLOGNESE"/>
    <n v="6000"/>
    <n v="9"/>
    <n v="54000"/>
    <m/>
  </r>
  <r>
    <x v="12"/>
    <s v="AGU"/>
    <x v="43"/>
    <s v="GRSM 6"/>
    <x v="5"/>
    <s v="GMM"/>
    <n v="211181"/>
    <n v="3208670"/>
    <x v="48"/>
    <x v="121"/>
    <s v="CARBONARA"/>
    <n v="6000"/>
    <n v="56"/>
    <n v="336000"/>
    <m/>
  </r>
  <r>
    <x v="12"/>
    <s v="AGU"/>
    <x v="43"/>
    <s v="GRSM 6"/>
    <x v="5"/>
    <s v="GMM"/>
    <n v="211181"/>
    <n v="3208670"/>
    <x v="48"/>
    <x v="121"/>
    <s v="AGLIO OLIO"/>
    <n v="6000"/>
    <n v="3"/>
    <n v="18000"/>
    <m/>
  </r>
  <r>
    <x v="12"/>
    <s v="AGU"/>
    <x v="43"/>
    <s v="GRSM 6"/>
    <x v="5"/>
    <s v="GMM"/>
    <n v="211181"/>
    <n v="3208670"/>
    <x v="48"/>
    <x v="121"/>
    <s v="GORENG"/>
    <n v="6000"/>
    <n v="77"/>
    <n v="462000"/>
    <n v="160"/>
  </r>
  <r>
    <x v="12"/>
    <s v="AGU"/>
    <x v="43"/>
    <s v="GRSM 6"/>
    <x v="5"/>
    <s v="GMM"/>
    <n v="211030"/>
    <n v="5766116"/>
    <x v="49"/>
    <x v="95"/>
    <s v="BOLOGNESE"/>
    <n v="2900"/>
    <n v="47"/>
    <n v="136300"/>
    <m/>
  </r>
  <r>
    <x v="12"/>
    <s v="AGU"/>
    <x v="43"/>
    <s v="GRSM 6"/>
    <x v="5"/>
    <s v="GMM"/>
    <n v="211030"/>
    <n v="5766116"/>
    <x v="49"/>
    <x v="95"/>
    <s v="CARBONARA"/>
    <n v="2900"/>
    <n v="34"/>
    <n v="98600"/>
    <m/>
  </r>
  <r>
    <x v="12"/>
    <s v="AGU"/>
    <x v="43"/>
    <s v="GRSM 6"/>
    <x v="5"/>
    <s v="GMM"/>
    <n v="211030"/>
    <n v="5766116"/>
    <x v="49"/>
    <x v="95"/>
    <s v="AGLIO OLIO"/>
    <n v="2900"/>
    <n v="39"/>
    <n v="113100"/>
    <m/>
  </r>
  <r>
    <x v="12"/>
    <s v="AGU"/>
    <x v="43"/>
    <s v="GRSM 6"/>
    <x v="5"/>
    <s v="GMM"/>
    <n v="211030"/>
    <n v="5766116"/>
    <x v="49"/>
    <x v="95"/>
    <s v="GORENG"/>
    <n v="2900"/>
    <n v="53"/>
    <n v="153700"/>
    <n v="160"/>
  </r>
  <r>
    <x v="12"/>
    <s v="AGU"/>
    <x v="43"/>
    <s v="GRSM 6"/>
    <x v="5"/>
    <s v="GMM"/>
    <n v="211181"/>
    <n v="3208670"/>
    <x v="46"/>
    <x v="89"/>
    <s v="BOLOGNESE"/>
    <n v="2950"/>
    <n v="0"/>
    <n v="0"/>
    <m/>
  </r>
  <r>
    <x v="12"/>
    <s v="AGU"/>
    <x v="43"/>
    <s v="GRSM 6"/>
    <x v="5"/>
    <s v="GMM"/>
    <n v="211181"/>
    <n v="3208670"/>
    <x v="46"/>
    <x v="89"/>
    <s v="CARBONARA"/>
    <n v="2950"/>
    <n v="97"/>
    <n v="286150"/>
    <m/>
  </r>
  <r>
    <x v="12"/>
    <s v="AGU"/>
    <x v="43"/>
    <s v="GRSM 6"/>
    <x v="5"/>
    <s v="GMM"/>
    <n v="211181"/>
    <n v="3208670"/>
    <x v="46"/>
    <x v="89"/>
    <s v="AGLIO OLIO"/>
    <n v="2950"/>
    <n v="39"/>
    <n v="115050"/>
    <m/>
  </r>
  <r>
    <x v="12"/>
    <s v="AGU"/>
    <x v="43"/>
    <s v="GRSM 6"/>
    <x v="5"/>
    <s v="GMM"/>
    <n v="211181"/>
    <n v="3208670"/>
    <x v="46"/>
    <x v="89"/>
    <s v="GORENG"/>
    <n v="2950"/>
    <n v="141"/>
    <n v="415950"/>
    <n v="160"/>
  </r>
  <r>
    <x v="12"/>
    <s v="AGU"/>
    <x v="43"/>
    <s v="GRSM 6"/>
    <x v="5"/>
    <s v="GMM"/>
    <n v="170208"/>
    <n v="5765011"/>
    <x v="47"/>
    <x v="91"/>
    <s v="BOLOGNESE"/>
    <n v="2850"/>
    <n v="115"/>
    <n v="327750"/>
    <m/>
  </r>
  <r>
    <x v="12"/>
    <s v="AGU"/>
    <x v="43"/>
    <s v="GRSM 6"/>
    <x v="5"/>
    <s v="GMM"/>
    <n v="170208"/>
    <n v="5765011"/>
    <x v="47"/>
    <x v="91"/>
    <s v="CARBONARA"/>
    <n v="2850"/>
    <n v="79"/>
    <n v="225150"/>
    <m/>
  </r>
  <r>
    <x v="12"/>
    <s v="AGU"/>
    <x v="43"/>
    <s v="GRSM 6"/>
    <x v="5"/>
    <s v="GMM"/>
    <n v="170208"/>
    <n v="5765011"/>
    <x v="47"/>
    <x v="91"/>
    <s v="AGLIO OLIO"/>
    <n v="2850"/>
    <n v="36"/>
    <n v="102600"/>
    <m/>
  </r>
  <r>
    <x v="12"/>
    <s v="AGU"/>
    <x v="43"/>
    <s v="GRSM 6"/>
    <x v="5"/>
    <s v="GMM"/>
    <n v="170208"/>
    <n v="5765011"/>
    <x v="47"/>
    <x v="91"/>
    <s v="GORENG"/>
    <n v="2850"/>
    <n v="303"/>
    <n v="863550"/>
    <n v="160"/>
  </r>
  <r>
    <x v="12"/>
    <s v="AGU"/>
    <x v="43"/>
    <s v="GRSM 6"/>
    <x v="5"/>
    <s v="GMM"/>
    <n v="211161"/>
    <n v="7103"/>
    <x v="47"/>
    <x v="90"/>
    <s v="BOLOGNESE"/>
    <n v="2850"/>
    <n v="115"/>
    <n v="327750"/>
    <m/>
  </r>
  <r>
    <x v="12"/>
    <s v="AGU"/>
    <x v="43"/>
    <s v="GRSM 6"/>
    <x v="5"/>
    <s v="GMM"/>
    <n v="211161"/>
    <n v="7103"/>
    <x v="47"/>
    <x v="90"/>
    <s v="CARBONARA"/>
    <n v="2850"/>
    <n v="79"/>
    <n v="225150"/>
    <m/>
  </r>
  <r>
    <x v="12"/>
    <s v="AGU"/>
    <x v="43"/>
    <s v="GRSM 6"/>
    <x v="5"/>
    <s v="GMM"/>
    <n v="211161"/>
    <n v="7103"/>
    <x v="47"/>
    <x v="90"/>
    <s v="AGLIO OLIO"/>
    <n v="2850"/>
    <n v="36"/>
    <n v="102600"/>
    <m/>
  </r>
  <r>
    <x v="12"/>
    <s v="AGU"/>
    <x v="43"/>
    <s v="GRSM 6"/>
    <x v="5"/>
    <s v="GMM"/>
    <n v="211161"/>
    <n v="7103"/>
    <x v="47"/>
    <x v="90"/>
    <s v="GORENG"/>
    <n v="2850"/>
    <n v="303"/>
    <n v="863550"/>
    <n v="160"/>
  </r>
  <r>
    <x v="12"/>
    <s v="AGU"/>
    <x v="43"/>
    <s v="GRSM 6"/>
    <x v="5"/>
    <s v="GMM"/>
    <n v="211030"/>
    <n v="5765035"/>
    <x v="51"/>
    <x v="98"/>
    <s v="BOLOGNESE"/>
    <n v="1953"/>
    <n v="37"/>
    <n v="72261"/>
    <m/>
  </r>
  <r>
    <x v="12"/>
    <s v="AGU"/>
    <x v="43"/>
    <s v="GRSM 6"/>
    <x v="5"/>
    <s v="GMM"/>
    <n v="211030"/>
    <n v="5765035"/>
    <x v="51"/>
    <x v="98"/>
    <s v="CARBONARA"/>
    <n v="1953"/>
    <n v="35"/>
    <n v="68355"/>
    <m/>
  </r>
  <r>
    <x v="12"/>
    <s v="AGU"/>
    <x v="43"/>
    <s v="GRSM 6"/>
    <x v="5"/>
    <s v="GMM"/>
    <n v="211030"/>
    <n v="5765035"/>
    <x v="51"/>
    <x v="98"/>
    <s v="AGLIO OLIO"/>
    <n v="1953"/>
    <n v="2"/>
    <n v="3906"/>
    <m/>
  </r>
  <r>
    <x v="12"/>
    <s v="AGU"/>
    <x v="43"/>
    <s v="GRSM 6"/>
    <x v="5"/>
    <s v="GMM"/>
    <n v="211030"/>
    <n v="5765035"/>
    <x v="51"/>
    <x v="98"/>
    <s v="GORENG"/>
    <n v="1953"/>
    <n v="78"/>
    <n v="152334"/>
    <n v="160"/>
  </r>
  <r>
    <x v="12"/>
    <s v="AGU"/>
    <x v="43"/>
    <s v="GRSM 6"/>
    <x v="5"/>
    <s v="GMM"/>
    <n v="211030"/>
    <n v="5765035"/>
    <x v="51"/>
    <x v="99"/>
    <s v="BOLOGNESE"/>
    <n v="1953"/>
    <n v="29"/>
    <n v="56637"/>
    <m/>
  </r>
  <r>
    <x v="12"/>
    <s v="AGU"/>
    <x v="43"/>
    <s v="GRSM 6"/>
    <x v="5"/>
    <s v="GMM"/>
    <n v="211030"/>
    <n v="5765035"/>
    <x v="51"/>
    <x v="99"/>
    <s v="CARBONARA"/>
    <n v="1953"/>
    <n v="21"/>
    <n v="41013"/>
    <m/>
  </r>
  <r>
    <x v="12"/>
    <s v="AGU"/>
    <x v="43"/>
    <s v="GRSM 6"/>
    <x v="5"/>
    <s v="GMM"/>
    <n v="211030"/>
    <n v="5765035"/>
    <x v="51"/>
    <x v="99"/>
    <s v="AGLIO OLIO"/>
    <n v="1953"/>
    <n v="0"/>
    <n v="0"/>
    <m/>
  </r>
  <r>
    <x v="12"/>
    <s v="AGU"/>
    <x v="43"/>
    <s v="GRSM 6"/>
    <x v="5"/>
    <s v="GMM"/>
    <n v="211030"/>
    <n v="5765035"/>
    <x v="51"/>
    <x v="99"/>
    <s v="GORENG"/>
    <n v="1953"/>
    <n v="67"/>
    <n v="130851"/>
    <n v="160"/>
  </r>
  <r>
    <x v="12"/>
    <s v="AGU"/>
    <x v="43"/>
    <s v="GRSM 6"/>
    <x v="5"/>
    <s v="GMM"/>
    <n v="211161"/>
    <n v="710355"/>
    <x v="50"/>
    <x v="96"/>
    <s v="BOLOGNESE"/>
    <n v="2069"/>
    <n v="6"/>
    <n v="12414"/>
    <m/>
  </r>
  <r>
    <x v="12"/>
    <s v="AGU"/>
    <x v="43"/>
    <s v="GRSM 6"/>
    <x v="5"/>
    <s v="GMM"/>
    <n v="211161"/>
    <n v="710355"/>
    <x v="50"/>
    <x v="96"/>
    <s v="CARBONARA"/>
    <n v="2069"/>
    <n v="0"/>
    <n v="0"/>
    <m/>
  </r>
  <r>
    <x v="12"/>
    <s v="AGU"/>
    <x v="43"/>
    <s v="GRSM 6"/>
    <x v="5"/>
    <s v="GMM"/>
    <n v="211161"/>
    <n v="710355"/>
    <x v="50"/>
    <x v="96"/>
    <s v="AGLIO OLIO"/>
    <n v="2069"/>
    <n v="12"/>
    <n v="24828"/>
    <m/>
  </r>
  <r>
    <x v="12"/>
    <s v="AGU"/>
    <x v="43"/>
    <s v="GRSM 6"/>
    <x v="5"/>
    <s v="GMM"/>
    <n v="211161"/>
    <n v="710355"/>
    <x v="50"/>
    <x v="96"/>
    <s v="GORENG"/>
    <n v="2069"/>
    <n v="318"/>
    <n v="657942"/>
    <n v="160"/>
  </r>
  <r>
    <x v="12"/>
    <s v="AGU"/>
    <x v="43"/>
    <s v="GRSM 6"/>
    <x v="5"/>
    <s v="GMM"/>
    <n v="211161"/>
    <n v="710355"/>
    <x v="50"/>
    <x v="97"/>
    <s v="BOLOGNESE"/>
    <n v="2069"/>
    <n v="6"/>
    <n v="12414"/>
    <m/>
  </r>
  <r>
    <x v="12"/>
    <s v="AGU"/>
    <x v="43"/>
    <s v="GRSM 6"/>
    <x v="5"/>
    <s v="GMM"/>
    <n v="211161"/>
    <n v="710355"/>
    <x v="50"/>
    <x v="97"/>
    <s v="CARBONARA"/>
    <n v="2069"/>
    <n v="0"/>
    <n v="0"/>
    <m/>
  </r>
  <r>
    <x v="12"/>
    <s v="AGU"/>
    <x v="43"/>
    <s v="GRSM 6"/>
    <x v="5"/>
    <s v="GMM"/>
    <n v="211161"/>
    <n v="710355"/>
    <x v="50"/>
    <x v="97"/>
    <s v="AGLIO OLIO"/>
    <n v="2069"/>
    <n v="12"/>
    <n v="24828"/>
    <m/>
  </r>
  <r>
    <x v="12"/>
    <s v="AGU"/>
    <x v="43"/>
    <s v="GRSM 6"/>
    <x v="5"/>
    <s v="GMM"/>
    <n v="211161"/>
    <n v="710355"/>
    <x v="50"/>
    <x v="97"/>
    <s v="GORENG"/>
    <n v="2069"/>
    <n v="318"/>
    <n v="657942"/>
    <n v="160"/>
  </r>
  <r>
    <x v="12"/>
    <s v="AUG"/>
    <x v="43"/>
    <s v="GRSM 6"/>
    <x v="0"/>
    <s v="GMM"/>
    <n v="211030"/>
    <n v="5766116"/>
    <x v="35"/>
    <x v="24"/>
    <s v="BOLOGNESE"/>
    <n v="2150"/>
    <n v="82"/>
    <n v="176300"/>
    <m/>
  </r>
  <r>
    <x v="12"/>
    <s v="AUG"/>
    <x v="43"/>
    <s v="GRSM 6"/>
    <x v="0"/>
    <s v="GMM"/>
    <n v="211030"/>
    <n v="5766116"/>
    <x v="35"/>
    <x v="24"/>
    <s v="CARBONARA"/>
    <n v="2150"/>
    <n v="83"/>
    <n v="178450"/>
    <m/>
  </r>
  <r>
    <x v="12"/>
    <s v="AUG"/>
    <x v="43"/>
    <s v="GRSM 6"/>
    <x v="0"/>
    <s v="GMM"/>
    <n v="211030"/>
    <n v="5766116"/>
    <x v="35"/>
    <x v="24"/>
    <s v="AGLIO OLIO"/>
    <n v="2150"/>
    <n v="90"/>
    <n v="193500"/>
    <m/>
  </r>
  <r>
    <x v="12"/>
    <s v="AUG"/>
    <x v="43"/>
    <s v="GRSM 6"/>
    <x v="0"/>
    <s v="GMM"/>
    <n v="211030"/>
    <n v="5766116"/>
    <x v="35"/>
    <x v="24"/>
    <s v="GORENG"/>
    <n v="2150"/>
    <n v="101"/>
    <n v="217150"/>
    <n v="160"/>
  </r>
  <r>
    <x v="12"/>
    <s v="AGU"/>
    <x v="43"/>
    <s v="GRSM 6"/>
    <x v="5"/>
    <s v="GMM"/>
    <n v="211030"/>
    <n v="5765035"/>
    <x v="48"/>
    <x v="93"/>
    <s v="BOLOGNESE"/>
    <n v="6000"/>
    <n v="9"/>
    <n v="54000"/>
    <m/>
  </r>
  <r>
    <x v="12"/>
    <s v="AGU"/>
    <x v="43"/>
    <s v="GRSM 6"/>
    <x v="5"/>
    <s v="GMM"/>
    <n v="211030"/>
    <n v="5765035"/>
    <x v="48"/>
    <x v="93"/>
    <s v="CARBONARA"/>
    <n v="6000"/>
    <n v="56"/>
    <n v="336000"/>
    <m/>
  </r>
  <r>
    <x v="12"/>
    <s v="AGU"/>
    <x v="43"/>
    <s v="GRSM 6"/>
    <x v="5"/>
    <s v="GMM"/>
    <n v="211030"/>
    <n v="5765035"/>
    <x v="48"/>
    <x v="93"/>
    <s v="AGLIO OLIO"/>
    <n v="6000"/>
    <n v="3"/>
    <n v="18000"/>
    <m/>
  </r>
  <r>
    <x v="12"/>
    <s v="AGU"/>
    <x v="43"/>
    <s v="GRSM 6"/>
    <x v="5"/>
    <s v="GMM"/>
    <n v="211030"/>
    <n v="5765035"/>
    <x v="48"/>
    <x v="93"/>
    <s v="GORENG"/>
    <n v="6000"/>
    <n v="77"/>
    <n v="462000"/>
    <n v="160"/>
  </r>
  <r>
    <x v="12"/>
    <s v="AUG"/>
    <x v="42"/>
    <s v="GRSM 6"/>
    <x v="5"/>
    <s v="GMM"/>
    <n v="211030"/>
    <n v="5765035"/>
    <x v="48"/>
    <x v="93"/>
    <s v="BOLOGNESE"/>
    <n v="6000"/>
    <n v="31"/>
    <n v="186000"/>
    <m/>
  </r>
  <r>
    <x v="12"/>
    <s v="AUG"/>
    <x v="42"/>
    <s v="GRSM 6"/>
    <x v="5"/>
    <s v="GMM"/>
    <n v="211030"/>
    <n v="5765035"/>
    <x v="48"/>
    <x v="93"/>
    <s v="CARBONARA"/>
    <n v="6000"/>
    <n v="43"/>
    <n v="258000"/>
    <m/>
  </r>
  <r>
    <x v="12"/>
    <s v="AUG"/>
    <x v="42"/>
    <s v="GRSM 6"/>
    <x v="5"/>
    <s v="GMM"/>
    <n v="211030"/>
    <n v="5765035"/>
    <x v="48"/>
    <x v="93"/>
    <s v="AGLIO OLIO"/>
    <n v="6000"/>
    <n v="8"/>
    <n v="48000"/>
    <m/>
  </r>
  <r>
    <x v="12"/>
    <s v="AUG"/>
    <x v="42"/>
    <s v="GRSM 6"/>
    <x v="5"/>
    <s v="GMM"/>
    <n v="211030"/>
    <n v="5765035"/>
    <x v="48"/>
    <x v="93"/>
    <s v="GORENG"/>
    <n v="6000"/>
    <n v="61"/>
    <n v="366000"/>
    <m/>
  </r>
  <r>
    <x v="12"/>
    <s v="AGU"/>
    <x v="42"/>
    <s v="GRSM 6"/>
    <x v="5"/>
    <s v="GMM"/>
    <n v="170208"/>
    <n v="5765022"/>
    <x v="46"/>
    <x v="88"/>
    <s v="BOLOGNESE"/>
    <n v="2950"/>
    <n v="0"/>
    <n v="0"/>
    <m/>
  </r>
  <r>
    <x v="12"/>
    <s v="AGU"/>
    <x v="42"/>
    <s v="GRSM 6"/>
    <x v="5"/>
    <s v="GMM"/>
    <n v="170208"/>
    <n v="5765022"/>
    <x v="46"/>
    <x v="88"/>
    <s v="CARBONARA"/>
    <n v="2950"/>
    <n v="112"/>
    <n v="330400"/>
    <m/>
  </r>
  <r>
    <x v="12"/>
    <s v="AGU"/>
    <x v="42"/>
    <s v="GRSM 6"/>
    <x v="5"/>
    <s v="GMM"/>
    <n v="170208"/>
    <n v="5765022"/>
    <x v="46"/>
    <x v="88"/>
    <s v="AGLIO OLIO"/>
    <n v="2950"/>
    <n v="44"/>
    <n v="129800"/>
    <m/>
  </r>
  <r>
    <x v="12"/>
    <s v="AGU"/>
    <x v="42"/>
    <s v="GRSM 6"/>
    <x v="5"/>
    <s v="GMM"/>
    <n v="170208"/>
    <n v="5765022"/>
    <x v="46"/>
    <x v="88"/>
    <s v="GORENG"/>
    <n v="2950"/>
    <n v="129"/>
    <n v="380550"/>
    <n v="160"/>
  </r>
  <r>
    <x v="12"/>
    <s v="AGU"/>
    <x v="43"/>
    <s v="GRSM 6"/>
    <x v="5"/>
    <s v="GMM"/>
    <n v="170208"/>
    <n v="5765022"/>
    <x v="46"/>
    <x v="88"/>
    <s v="BOLOGNESE"/>
    <n v="2950"/>
    <n v="0"/>
    <n v="0"/>
    <m/>
  </r>
  <r>
    <x v="12"/>
    <s v="AGU"/>
    <x v="43"/>
    <s v="GRSM 6"/>
    <x v="5"/>
    <s v="GMM"/>
    <n v="170208"/>
    <n v="5765022"/>
    <x v="46"/>
    <x v="88"/>
    <s v="CARBONARA"/>
    <n v="2950"/>
    <n v="97"/>
    <n v="286150"/>
    <m/>
  </r>
  <r>
    <x v="12"/>
    <s v="AGU"/>
    <x v="43"/>
    <s v="GRSM 6"/>
    <x v="5"/>
    <s v="GMM"/>
    <n v="170208"/>
    <n v="5765022"/>
    <x v="46"/>
    <x v="88"/>
    <s v="AGLIO OLIO"/>
    <n v="2950"/>
    <n v="39"/>
    <n v="115050"/>
    <m/>
  </r>
  <r>
    <x v="12"/>
    <s v="AGU"/>
    <x v="43"/>
    <s v="GRSM 6"/>
    <x v="5"/>
    <s v="GMM"/>
    <n v="170208"/>
    <n v="5765022"/>
    <x v="46"/>
    <x v="88"/>
    <s v="GORENG"/>
    <n v="2950"/>
    <n v="141"/>
    <n v="415950"/>
    <n v="160"/>
  </r>
  <r>
    <x v="12"/>
    <s v="AGU"/>
    <x v="43"/>
    <s v="GRSM 4"/>
    <x v="5"/>
    <s v="NKA"/>
    <n v="195403"/>
    <n v="1600007"/>
    <x v="49"/>
    <x v="94"/>
    <s v="BOLOGNESE"/>
    <n v="2900"/>
    <n v="47"/>
    <n v="136300"/>
    <m/>
  </r>
  <r>
    <x v="12"/>
    <s v="AGU"/>
    <x v="43"/>
    <s v="GRSM 4"/>
    <x v="5"/>
    <s v="NKA"/>
    <n v="195403"/>
    <n v="1600007"/>
    <x v="49"/>
    <x v="94"/>
    <s v="CARBONARA"/>
    <n v="2900"/>
    <n v="34"/>
    <n v="98600"/>
    <m/>
  </r>
  <r>
    <x v="12"/>
    <s v="AGU"/>
    <x v="43"/>
    <s v="GRSM 4"/>
    <x v="5"/>
    <s v="NKA"/>
    <n v="195403"/>
    <n v="1600007"/>
    <x v="49"/>
    <x v="94"/>
    <s v="AGLIO OLIO"/>
    <n v="2900"/>
    <n v="39"/>
    <n v="113100"/>
    <m/>
  </r>
  <r>
    <x v="12"/>
    <s v="AGU"/>
    <x v="43"/>
    <s v="GRSM 4"/>
    <x v="5"/>
    <s v="NKA"/>
    <n v="195403"/>
    <n v="1600007"/>
    <x v="49"/>
    <x v="94"/>
    <s v="GORENG"/>
    <n v="2900"/>
    <n v="53"/>
    <n v="153700"/>
    <n v="1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4:E34" firstHeaderRow="1" firstDataRow="2" firstDataCol="1" rowPageCount="2" colPageCount="1"/>
  <pivotFields count="15">
    <pivotField axis="axisPage" showAll="0">
      <items count="15">
        <item x="0"/>
        <item x="1"/>
        <item x="2"/>
        <item x="3"/>
        <item x="4"/>
        <item x="5"/>
        <item x="6"/>
        <item x="13"/>
        <item x="7"/>
        <item x="8"/>
        <item x="9"/>
        <item x="10"/>
        <item x="11"/>
        <item x="12"/>
        <item t="default"/>
      </items>
    </pivotField>
    <pivotField showAll="0"/>
    <pivotField axis="axisCol" showAll="0">
      <items count="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5"/>
        <item x="41"/>
        <item x="42"/>
        <item x="43"/>
        <item x="44"/>
        <item t="default"/>
      </items>
    </pivotField>
    <pivotField showAll="0"/>
    <pivotField axis="axisPage" showAll="0">
      <items count="10">
        <item x="0"/>
        <item x="1"/>
        <item x="7"/>
        <item x="2"/>
        <item m="1" x="8"/>
        <item x="3"/>
        <item x="5"/>
        <item x="6"/>
        <item x="4"/>
        <item t="default"/>
      </items>
    </pivotField>
    <pivotField showAll="0"/>
    <pivotField showAll="0"/>
    <pivotField showAll="0"/>
    <pivotField axis="axisRow" showAll="0">
      <items count="65">
        <item x="16"/>
        <item x="10"/>
        <item x="6"/>
        <item x="8"/>
        <item x="0"/>
        <item x="7"/>
        <item x="5"/>
        <item x="1"/>
        <item x="3"/>
        <item x="4"/>
        <item x="17"/>
        <item x="19"/>
        <item x="15"/>
        <item x="18"/>
        <item x="11"/>
        <item x="9"/>
        <item x="12"/>
        <item x="14"/>
        <item x="2"/>
        <item x="13"/>
        <item x="63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axis="axisRow" showAll="0">
      <items count="126">
        <item x="7"/>
        <item x="16"/>
        <item x="32"/>
        <item x="8"/>
        <item x="33"/>
        <item x="30"/>
        <item x="0"/>
        <item x="10"/>
        <item x="5"/>
        <item x="23"/>
        <item x="34"/>
        <item x="18"/>
        <item x="31"/>
        <item x="1"/>
        <item x="21"/>
        <item x="35"/>
        <item x="25"/>
        <item x="9"/>
        <item x="6"/>
        <item x="36"/>
        <item x="11"/>
        <item x="14"/>
        <item x="28"/>
        <item x="37"/>
        <item x="15"/>
        <item x="3"/>
        <item x="13"/>
        <item x="22"/>
        <item x="38"/>
        <item x="24"/>
        <item x="29"/>
        <item x="17"/>
        <item x="26"/>
        <item x="27"/>
        <item x="2"/>
        <item x="20"/>
        <item x="19"/>
        <item m="1" x="123"/>
        <item x="4"/>
        <item x="119"/>
        <item m="1" x="124"/>
        <item x="39"/>
        <item x="40"/>
        <item x="41"/>
        <item x="42"/>
        <item x="43"/>
        <item x="44"/>
        <item x="45"/>
        <item x="46"/>
        <item x="47"/>
        <item x="48"/>
        <item x="49"/>
        <item x="1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m="1" x="120"/>
        <item x="96"/>
        <item x="97"/>
        <item x="98"/>
        <item x="99"/>
        <item x="107"/>
        <item m="1" x="121"/>
        <item x="101"/>
        <item x="102"/>
        <item x="103"/>
        <item x="104"/>
        <item x="105"/>
        <item x="106"/>
        <item x="108"/>
        <item x="109"/>
        <item x="110"/>
        <item m="1" x="122"/>
        <item x="112"/>
        <item x="113"/>
        <item x="95"/>
        <item x="100"/>
        <item x="111"/>
        <item x="114"/>
        <item x="115"/>
        <item x="116"/>
        <item x="117"/>
        <item x="118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8"/>
    <field x="9"/>
  </rowFields>
  <rowItems count="29">
    <i>
      <x/>
    </i>
    <i r="1">
      <x v="2"/>
    </i>
    <i r="1">
      <x v="12"/>
    </i>
    <i>
      <x v="1"/>
    </i>
    <i r="1">
      <x v="24"/>
    </i>
    <i r="1">
      <x v="29"/>
    </i>
    <i>
      <x v="3"/>
    </i>
    <i r="1">
      <x v="11"/>
    </i>
    <i r="1">
      <x v="36"/>
    </i>
    <i>
      <x v="5"/>
    </i>
    <i r="1">
      <x v="14"/>
    </i>
    <i r="1">
      <x v="31"/>
    </i>
    <i>
      <x v="9"/>
    </i>
    <i r="1">
      <x/>
    </i>
    <i r="1">
      <x v="3"/>
    </i>
    <i>
      <x v="14"/>
    </i>
    <i r="1">
      <x v="16"/>
    </i>
    <i r="1">
      <x v="52"/>
    </i>
    <i>
      <x v="16"/>
    </i>
    <i r="1">
      <x v="32"/>
    </i>
    <i r="1">
      <x v="33"/>
    </i>
    <i>
      <x v="17"/>
    </i>
    <i r="1">
      <x v="9"/>
    </i>
    <i r="1">
      <x v="27"/>
    </i>
    <i>
      <x v="19"/>
    </i>
    <i r="1">
      <x v="17"/>
    </i>
    <i r="1">
      <x v="21"/>
    </i>
    <i r="1">
      <x v="41"/>
    </i>
    <i t="grand">
      <x/>
    </i>
  </rowItems>
  <colFields count="1">
    <field x="2"/>
  </colFields>
  <colItems count="4">
    <i>
      <x v="22"/>
    </i>
    <i>
      <x v="23"/>
    </i>
    <i>
      <x v="24"/>
    </i>
    <i t="grand">
      <x/>
    </i>
  </colItems>
  <pageFields count="2">
    <pageField fld="0" item="6" hier="-1"/>
    <pageField fld="4" item="0" hier="-1"/>
  </pageFields>
  <dataFields count="1">
    <dataField name="Sum of TOTAL SELLING (RP)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G62" firstHeaderRow="1" firstDataRow="2" firstDataCol="2" rowPageCount="2" colPageCount="1"/>
  <pivotFields count="15">
    <pivotField axis="axisPage" compact="0" outline="0" multipleItemSelectionAllowed="1" showAll="0" defaultSubtota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</items>
    </pivotField>
    <pivotField compact="0" outline="0" showAll="0" defaultSubtotal="0"/>
    <pivotField axis="axisCol" compact="0" numFmtId="164" outline="0" showAll="0" defaultSubtota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3"/>
        <item x="41"/>
        <item x="42"/>
        <item x="44"/>
      </items>
    </pivotField>
    <pivotField compact="0" outline="0" showAll="0" defaultSubtotal="0"/>
    <pivotField axis="axisPage" compact="0" outline="0" multipleItemSelectionAllowed="1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1">
        <item x="16"/>
        <item x="10"/>
        <item x="23"/>
        <item x="6"/>
        <item x="8"/>
        <item x="0"/>
        <item x="7"/>
        <item x="22"/>
        <item x="5"/>
        <item x="1"/>
        <item x="3"/>
        <item x="4"/>
        <item x="24"/>
        <item x="17"/>
        <item x="19"/>
        <item x="15"/>
        <item x="18"/>
        <item x="11"/>
        <item x="9"/>
        <item x="21"/>
        <item x="20"/>
        <item x="12"/>
        <item x="14"/>
        <item x="2"/>
        <item x="13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axis="axisRow" compact="0" outline="0" showAll="0" defaultSubtotal="0">
      <items count="122">
        <item x="44"/>
        <item x="7"/>
        <item x="16"/>
        <item x="40"/>
        <item x="32"/>
        <item x="46"/>
        <item x="47"/>
        <item x="8"/>
        <item x="41"/>
        <item x="33"/>
        <item x="30"/>
        <item x="0"/>
        <item x="10"/>
        <item x="5"/>
        <item x="23"/>
        <item x="34"/>
        <item x="18"/>
        <item x="43"/>
        <item x="31"/>
        <item x="1"/>
        <item x="21"/>
        <item x="35"/>
        <item x="25"/>
        <item x="9"/>
        <item x="6"/>
        <item x="36"/>
        <item x="42"/>
        <item x="11"/>
        <item x="14"/>
        <item x="28"/>
        <item x="37"/>
        <item x="45"/>
        <item x="48"/>
        <item x="15"/>
        <item x="3"/>
        <item x="13"/>
        <item x="49"/>
        <item x="22"/>
        <item x="38"/>
        <item x="24"/>
        <item x="29"/>
        <item x="17"/>
        <item x="26"/>
        <item x="27"/>
        <item x="2"/>
        <item x="20"/>
        <item x="19"/>
        <item x="39"/>
        <item x="4"/>
        <item x="12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4"/>
        <item x="96"/>
        <item x="97"/>
        <item x="98"/>
        <item x="99"/>
        <item x="107"/>
        <item x="101"/>
        <item x="102"/>
        <item x="103"/>
        <item x="104"/>
        <item x="105"/>
        <item x="106"/>
        <item x="108"/>
        <item x="109"/>
        <item x="110"/>
        <item x="113"/>
        <item x="114"/>
        <item x="95"/>
        <item x="71"/>
        <item x="100"/>
        <item x="111"/>
        <item x="115"/>
        <item x="116"/>
        <item x="117"/>
        <item x="118"/>
        <item x="119"/>
        <item x="120"/>
        <item x="121"/>
        <item x="112"/>
        <item x="89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numFmtId="165" outline="0" showAll="0" defaultSubtotal="0"/>
    <pivotField compact="0" outline="0" showAll="0" defaultSubtotal="0"/>
  </pivotFields>
  <rowFields count="2">
    <field x="8"/>
    <field x="9"/>
  </rowFields>
  <rowItems count="57">
    <i>
      <x v="25"/>
      <x v="71"/>
    </i>
    <i r="1">
      <x v="117"/>
    </i>
    <i>
      <x v="33"/>
      <x v="70"/>
    </i>
    <i r="1">
      <x v="110"/>
    </i>
    <i>
      <x v="34"/>
      <x v="20"/>
    </i>
    <i r="1">
      <x v="41"/>
    </i>
    <i>
      <x v="35"/>
      <x v="33"/>
    </i>
    <i r="1">
      <x v="39"/>
    </i>
    <i>
      <x v="36"/>
      <x v="19"/>
    </i>
    <i r="1">
      <x v="74"/>
    </i>
    <i>
      <x v="37"/>
      <x v="42"/>
    </i>
    <i r="1">
      <x v="43"/>
    </i>
    <i>
      <x v="38"/>
      <x v="48"/>
    </i>
    <i r="1">
      <x v="111"/>
    </i>
    <i>
      <x v="39"/>
      <x v="72"/>
    </i>
    <i r="1">
      <x v="97"/>
    </i>
    <i>
      <x v="40"/>
      <x v="75"/>
    </i>
    <i r="1">
      <x v="76"/>
    </i>
    <i r="1">
      <x v="116"/>
    </i>
    <i>
      <x v="41"/>
      <x v="77"/>
    </i>
    <i r="1">
      <x v="78"/>
    </i>
    <i>
      <x v="43"/>
      <x v="81"/>
    </i>
    <i r="1">
      <x v="82"/>
    </i>
    <i>
      <x v="44"/>
      <x v="83"/>
    </i>
    <i r="1">
      <x v="84"/>
    </i>
    <i r="1">
      <x v="118"/>
    </i>
    <i>
      <x v="45"/>
      <x v="85"/>
    </i>
    <i r="1">
      <x v="86"/>
    </i>
    <i>
      <x v="46"/>
      <x v="87"/>
    </i>
    <i r="1">
      <x v="121"/>
    </i>
    <i>
      <x v="47"/>
      <x v="88"/>
    </i>
    <i r="1">
      <x v="89"/>
    </i>
    <i>
      <x v="48"/>
      <x v="91"/>
    </i>
    <i r="1">
      <x v="119"/>
    </i>
    <i>
      <x v="49"/>
      <x v="92"/>
    </i>
    <i r="1">
      <x v="109"/>
    </i>
    <i>
      <x v="50"/>
      <x v="93"/>
    </i>
    <i r="1">
      <x v="94"/>
    </i>
    <i>
      <x v="51"/>
      <x v="95"/>
    </i>
    <i r="1">
      <x v="96"/>
    </i>
    <i>
      <x v="52"/>
      <x v="79"/>
    </i>
    <i r="1">
      <x v="80"/>
    </i>
    <i>
      <x v="53"/>
      <x v="100"/>
    </i>
    <i r="1">
      <x v="101"/>
    </i>
    <i>
      <x v="54"/>
      <x v="102"/>
    </i>
    <i r="1">
      <x v="103"/>
    </i>
    <i>
      <x v="55"/>
      <x v="104"/>
    </i>
    <i r="1">
      <x v="105"/>
    </i>
    <i>
      <x v="57"/>
      <x v="107"/>
    </i>
    <i r="1">
      <x v="120"/>
    </i>
    <i>
      <x v="58"/>
      <x v="108"/>
    </i>
    <i r="1">
      <x v="113"/>
    </i>
    <i>
      <x v="59"/>
      <x v="114"/>
    </i>
    <i r="1">
      <x v="115"/>
    </i>
    <i>
      <x v="60"/>
      <x v="106"/>
    </i>
    <i r="1">
      <x v="112"/>
    </i>
    <i t="grand">
      <x/>
    </i>
  </rowItems>
  <colFields count="1">
    <field x="2"/>
  </colFields>
  <colItems count="5">
    <i>
      <x v="41"/>
    </i>
    <i>
      <x v="42"/>
    </i>
    <i>
      <x v="43"/>
    </i>
    <i>
      <x v="44"/>
    </i>
    <i t="grand">
      <x/>
    </i>
  </colItems>
  <pageFields count="2">
    <pageField fld="0" hier="-1"/>
    <pageField fld="4" hier="-1"/>
  </pageFields>
  <dataFields count="1">
    <dataField name="Sum of TOTAL SELLING (RP)" fld="13" baseField="0" baseItem="0" numFmtId="167"/>
  </dataFields>
  <formats count="4">
    <format dxfId="3">
      <pivotArea collapsedLevelsAreSubtotals="1" fieldPosition="0">
        <references count="1">
          <reference field="8" count="1">
            <x v="2"/>
          </reference>
        </references>
      </pivotArea>
    </format>
    <format dxfId="2">
      <pivotArea collapsedLevelsAreSubtotals="1" fieldPosition="0">
        <references count="1">
          <reference field="8" count="1">
            <x v="7"/>
          </reference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/>
    </format>
  </formats>
  <pivotTableStyleInfo name="PivotStyleLight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7"/>
  <sheetViews>
    <sheetView topLeftCell="F985" zoomScaleNormal="100" workbookViewId="0">
      <selection activeCell="Z1007" sqref="Z1007"/>
    </sheetView>
  </sheetViews>
  <sheetFormatPr defaultColWidth="14.44140625" defaultRowHeight="14.4" x14ac:dyDescent="0.3"/>
  <cols>
    <col min="1" max="1" width="6" customWidth="1"/>
    <col min="2" max="2" width="28.6640625" customWidth="1"/>
    <col min="3" max="3" width="14.5546875" customWidth="1"/>
    <col min="4" max="4" width="15.5546875" customWidth="1"/>
    <col min="5" max="5" width="24" customWidth="1"/>
    <col min="6" max="6" width="11.44140625" customWidth="1"/>
    <col min="7" max="8" width="8.6640625" customWidth="1"/>
    <col min="9" max="9" width="11.109375" customWidth="1"/>
    <col min="10" max="10" width="12.33203125" customWidth="1"/>
    <col min="11" max="26" width="8.6640625" customWidth="1"/>
  </cols>
  <sheetData>
    <row r="1" spans="1:26" ht="49.5" customHeight="1" x14ac:dyDescent="0.3">
      <c r="A1" s="1" t="s">
        <v>129</v>
      </c>
      <c r="B1" s="1" t="s">
        <v>10</v>
      </c>
      <c r="C1" s="1" t="s">
        <v>6</v>
      </c>
      <c r="D1" s="1" t="s">
        <v>7</v>
      </c>
      <c r="E1" s="1" t="s">
        <v>8</v>
      </c>
      <c r="F1" s="1" t="s">
        <v>9</v>
      </c>
      <c r="G1" s="2"/>
      <c r="H1" s="2"/>
      <c r="I1" s="2" t="s">
        <v>130</v>
      </c>
      <c r="J1" s="2" t="s">
        <v>131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56">
        <v>1</v>
      </c>
      <c r="B2" s="56" t="s">
        <v>102</v>
      </c>
      <c r="C2" s="56" t="s">
        <v>100</v>
      </c>
      <c r="D2" s="56" t="s">
        <v>101</v>
      </c>
      <c r="E2" s="56" t="s">
        <v>41</v>
      </c>
      <c r="F2" s="56" t="s">
        <v>42</v>
      </c>
      <c r="I2" t="s">
        <v>132</v>
      </c>
      <c r="J2" t="s">
        <v>14</v>
      </c>
    </row>
    <row r="3" spans="1:26" ht="14.25" customHeight="1" x14ac:dyDescent="0.3">
      <c r="A3" s="56">
        <f t="shared" ref="A3:A34" si="0">A2+1</f>
        <v>2</v>
      </c>
      <c r="B3" s="56" t="s">
        <v>22</v>
      </c>
      <c r="C3" s="56" t="s">
        <v>100</v>
      </c>
      <c r="D3" s="56" t="s">
        <v>133</v>
      </c>
      <c r="E3" s="56" t="s">
        <v>41</v>
      </c>
      <c r="F3" s="56" t="s">
        <v>42</v>
      </c>
      <c r="I3" t="s">
        <v>132</v>
      </c>
      <c r="J3" t="s">
        <v>15</v>
      </c>
    </row>
    <row r="4" spans="1:26" ht="14.25" customHeight="1" x14ac:dyDescent="0.3">
      <c r="A4" s="56">
        <f t="shared" si="0"/>
        <v>3</v>
      </c>
      <c r="B4" s="56" t="s">
        <v>24</v>
      </c>
      <c r="C4" s="56" t="s">
        <v>39</v>
      </c>
      <c r="D4" s="56" t="s">
        <v>134</v>
      </c>
      <c r="E4" s="56" t="s">
        <v>41</v>
      </c>
      <c r="F4" s="56" t="s">
        <v>42</v>
      </c>
    </row>
    <row r="5" spans="1:26" ht="14.25" customHeight="1" x14ac:dyDescent="0.3">
      <c r="A5" s="56">
        <f t="shared" si="0"/>
        <v>4</v>
      </c>
      <c r="B5" s="56" t="s">
        <v>28</v>
      </c>
      <c r="C5" s="56" t="s">
        <v>39</v>
      </c>
      <c r="D5" s="56" t="s">
        <v>40</v>
      </c>
      <c r="E5" s="56" t="s">
        <v>41</v>
      </c>
      <c r="F5" s="56" t="s">
        <v>42</v>
      </c>
      <c r="I5" t="s">
        <v>132</v>
      </c>
      <c r="J5" t="s">
        <v>13</v>
      </c>
    </row>
    <row r="6" spans="1:26" ht="14.25" customHeight="1" x14ac:dyDescent="0.3">
      <c r="A6" s="56">
        <f t="shared" si="0"/>
        <v>5</v>
      </c>
      <c r="B6" s="56" t="s">
        <v>19</v>
      </c>
      <c r="C6" s="56" t="s">
        <v>39</v>
      </c>
      <c r="D6" s="56" t="s">
        <v>44</v>
      </c>
      <c r="E6" s="56" t="s">
        <v>41</v>
      </c>
      <c r="F6" s="56" t="s">
        <v>42</v>
      </c>
      <c r="I6" t="s">
        <v>132</v>
      </c>
      <c r="J6" t="s">
        <v>16</v>
      </c>
    </row>
    <row r="7" spans="1:26" ht="14.25" customHeight="1" x14ac:dyDescent="0.3">
      <c r="A7" s="56">
        <f t="shared" si="0"/>
        <v>6</v>
      </c>
      <c r="B7" s="56" t="s">
        <v>25</v>
      </c>
      <c r="C7" s="56" t="s">
        <v>39</v>
      </c>
      <c r="D7" s="56" t="s">
        <v>44</v>
      </c>
      <c r="E7" s="56" t="s">
        <v>41</v>
      </c>
      <c r="F7" s="56" t="s">
        <v>42</v>
      </c>
    </row>
    <row r="8" spans="1:26" ht="14.25" customHeight="1" x14ac:dyDescent="0.3">
      <c r="A8" s="56">
        <f t="shared" si="0"/>
        <v>7</v>
      </c>
      <c r="B8" s="56" t="s">
        <v>23</v>
      </c>
      <c r="C8" s="56" t="s">
        <v>39</v>
      </c>
      <c r="D8" s="56" t="s">
        <v>56</v>
      </c>
      <c r="E8" s="56" t="s">
        <v>41</v>
      </c>
      <c r="F8" s="56" t="s">
        <v>42</v>
      </c>
    </row>
    <row r="9" spans="1:26" ht="14.25" customHeight="1" x14ac:dyDescent="0.3">
      <c r="A9" s="56">
        <f t="shared" si="0"/>
        <v>8</v>
      </c>
      <c r="B9" s="56" t="s">
        <v>57</v>
      </c>
      <c r="C9" s="56" t="s">
        <v>39</v>
      </c>
      <c r="D9" s="56" t="s">
        <v>56</v>
      </c>
      <c r="E9" s="56" t="s">
        <v>41</v>
      </c>
      <c r="F9" s="56" t="s">
        <v>42</v>
      </c>
    </row>
    <row r="10" spans="1:26" ht="14.25" customHeight="1" x14ac:dyDescent="0.3">
      <c r="A10" s="56">
        <f t="shared" si="0"/>
        <v>9</v>
      </c>
      <c r="B10" s="56" t="s">
        <v>35</v>
      </c>
      <c r="C10" s="56" t="s">
        <v>39</v>
      </c>
      <c r="D10" s="56" t="s">
        <v>56</v>
      </c>
      <c r="E10" s="56" t="s">
        <v>41</v>
      </c>
      <c r="F10" s="56" t="s">
        <v>42</v>
      </c>
    </row>
    <row r="11" spans="1:26" ht="14.25" customHeight="1" x14ac:dyDescent="0.3">
      <c r="A11" s="56">
        <f t="shared" si="0"/>
        <v>10</v>
      </c>
      <c r="B11" s="56" t="s">
        <v>18</v>
      </c>
      <c r="C11" s="56" t="s">
        <v>39</v>
      </c>
      <c r="D11" s="56" t="s">
        <v>134</v>
      </c>
      <c r="E11" s="56" t="s">
        <v>41</v>
      </c>
      <c r="F11" s="56" t="s">
        <v>42</v>
      </c>
    </row>
    <row r="12" spans="1:26" ht="14.25" customHeight="1" x14ac:dyDescent="0.3">
      <c r="A12" s="56">
        <f t="shared" si="0"/>
        <v>11</v>
      </c>
      <c r="B12" s="56" t="s">
        <v>27</v>
      </c>
      <c r="C12" s="56" t="s">
        <v>39</v>
      </c>
      <c r="D12" s="56" t="s">
        <v>98</v>
      </c>
      <c r="E12" s="56" t="s">
        <v>41</v>
      </c>
      <c r="F12" s="56" t="s">
        <v>42</v>
      </c>
    </row>
    <row r="13" spans="1:26" ht="14.25" customHeight="1" x14ac:dyDescent="0.3">
      <c r="A13" s="56">
        <f t="shared" si="0"/>
        <v>12</v>
      </c>
      <c r="B13" s="56" t="s">
        <v>26</v>
      </c>
      <c r="C13" s="56" t="s">
        <v>39</v>
      </c>
      <c r="D13" s="56" t="s">
        <v>135</v>
      </c>
      <c r="E13" s="56" t="s">
        <v>41</v>
      </c>
      <c r="F13" s="56" t="s">
        <v>86</v>
      </c>
    </row>
    <row r="14" spans="1:26" ht="14.25" customHeight="1" x14ac:dyDescent="0.3">
      <c r="A14" s="56">
        <f t="shared" si="0"/>
        <v>13</v>
      </c>
      <c r="B14" s="56" t="s">
        <v>68</v>
      </c>
      <c r="C14" s="56" t="s">
        <v>39</v>
      </c>
      <c r="D14" s="56" t="s">
        <v>43</v>
      </c>
      <c r="E14" s="56" t="s">
        <v>41</v>
      </c>
      <c r="F14" s="56" t="s">
        <v>42</v>
      </c>
    </row>
    <row r="15" spans="1:26" ht="14.25" customHeight="1" x14ac:dyDescent="0.3">
      <c r="A15" s="56">
        <f t="shared" si="0"/>
        <v>14</v>
      </c>
      <c r="B15" s="56" t="s">
        <v>30</v>
      </c>
      <c r="C15" s="56" t="s">
        <v>39</v>
      </c>
      <c r="D15" s="56" t="s">
        <v>44</v>
      </c>
      <c r="E15" s="56" t="s">
        <v>41</v>
      </c>
      <c r="F15" s="56" t="s">
        <v>42</v>
      </c>
    </row>
    <row r="16" spans="1:26" ht="14.25" customHeight="1" x14ac:dyDescent="0.3">
      <c r="A16" s="56">
        <f t="shared" si="0"/>
        <v>15</v>
      </c>
      <c r="B16" s="56" t="s">
        <v>31</v>
      </c>
      <c r="C16" s="56" t="s">
        <v>39</v>
      </c>
      <c r="D16" s="56" t="s">
        <v>58</v>
      </c>
      <c r="E16" s="56" t="s">
        <v>41</v>
      </c>
      <c r="F16" s="56" t="s">
        <v>42</v>
      </c>
    </row>
    <row r="17" spans="1:6" ht="14.25" customHeight="1" x14ac:dyDescent="0.3">
      <c r="A17" s="56">
        <f t="shared" si="0"/>
        <v>16</v>
      </c>
      <c r="B17" s="56" t="s">
        <v>32</v>
      </c>
      <c r="C17" s="56" t="s">
        <v>39</v>
      </c>
      <c r="D17" s="56" t="s">
        <v>43</v>
      </c>
      <c r="E17" s="56" t="s">
        <v>41</v>
      </c>
      <c r="F17" s="56" t="s">
        <v>42</v>
      </c>
    </row>
    <row r="18" spans="1:6" ht="14.25" customHeight="1" x14ac:dyDescent="0.3">
      <c r="A18" s="56">
        <f t="shared" si="0"/>
        <v>17</v>
      </c>
      <c r="B18" s="56" t="s">
        <v>67</v>
      </c>
      <c r="C18" s="56" t="s">
        <v>39</v>
      </c>
      <c r="D18" s="56" t="s">
        <v>40</v>
      </c>
      <c r="E18" s="56" t="s">
        <v>41</v>
      </c>
      <c r="F18" s="56" t="s">
        <v>42</v>
      </c>
    </row>
    <row r="19" spans="1:6" ht="14.25" customHeight="1" x14ac:dyDescent="0.3">
      <c r="A19" s="56">
        <f t="shared" si="0"/>
        <v>18</v>
      </c>
      <c r="B19" s="56" t="s">
        <v>37</v>
      </c>
      <c r="C19" s="56" t="s">
        <v>59</v>
      </c>
      <c r="D19" s="56" t="s">
        <v>63</v>
      </c>
      <c r="E19" s="56" t="s">
        <v>61</v>
      </c>
      <c r="F19" s="56" t="s">
        <v>42</v>
      </c>
    </row>
    <row r="20" spans="1:6" ht="14.25" customHeight="1" x14ac:dyDescent="0.3">
      <c r="A20" s="56">
        <f t="shared" si="0"/>
        <v>19</v>
      </c>
      <c r="B20" s="56" t="s">
        <v>36</v>
      </c>
      <c r="C20" s="56" t="s">
        <v>59</v>
      </c>
      <c r="D20" s="56" t="s">
        <v>63</v>
      </c>
      <c r="E20" s="56" t="s">
        <v>61</v>
      </c>
      <c r="F20" s="56" t="s">
        <v>42</v>
      </c>
    </row>
    <row r="21" spans="1:6" ht="14.25" customHeight="1" x14ac:dyDescent="0.3">
      <c r="A21" s="56">
        <f t="shared" si="0"/>
        <v>20</v>
      </c>
      <c r="B21" s="56" t="s">
        <v>33</v>
      </c>
      <c r="C21" s="56" t="s">
        <v>59</v>
      </c>
      <c r="D21" s="56" t="s">
        <v>60</v>
      </c>
      <c r="E21" s="56" t="s">
        <v>61</v>
      </c>
      <c r="F21" s="56" t="s">
        <v>42</v>
      </c>
    </row>
    <row r="22" spans="1:6" ht="14.25" customHeight="1" x14ac:dyDescent="0.3">
      <c r="A22" s="56">
        <f t="shared" si="0"/>
        <v>21</v>
      </c>
      <c r="B22" s="56" t="s">
        <v>38</v>
      </c>
      <c r="C22" s="56" t="s">
        <v>59</v>
      </c>
      <c r="D22" s="56" t="s">
        <v>62</v>
      </c>
      <c r="E22" s="56" t="s">
        <v>61</v>
      </c>
      <c r="F22" s="56" t="s">
        <v>42</v>
      </c>
    </row>
    <row r="23" spans="1:6" ht="14.25" customHeight="1" x14ac:dyDescent="0.3">
      <c r="A23" s="56">
        <f t="shared" si="0"/>
        <v>22</v>
      </c>
      <c r="B23" s="56" t="s">
        <v>136</v>
      </c>
      <c r="C23" s="56" t="s">
        <v>59</v>
      </c>
      <c r="D23" s="56" t="s">
        <v>92</v>
      </c>
      <c r="E23" s="56" t="s">
        <v>61</v>
      </c>
      <c r="F23" s="56" t="s">
        <v>42</v>
      </c>
    </row>
    <row r="24" spans="1:6" ht="14.25" customHeight="1" x14ac:dyDescent="0.3">
      <c r="A24" s="56">
        <f t="shared" si="0"/>
        <v>23</v>
      </c>
      <c r="B24" s="56" t="s">
        <v>124</v>
      </c>
      <c r="C24" s="56" t="s">
        <v>59</v>
      </c>
      <c r="D24" s="56" t="s">
        <v>137</v>
      </c>
      <c r="E24" s="56" t="s">
        <v>61</v>
      </c>
      <c r="F24" s="56" t="s">
        <v>42</v>
      </c>
    </row>
    <row r="25" spans="1:6" ht="14.25" customHeight="1" x14ac:dyDescent="0.3">
      <c r="A25" s="56">
        <f t="shared" si="0"/>
        <v>24</v>
      </c>
      <c r="B25" s="56" t="s">
        <v>20</v>
      </c>
      <c r="C25" s="56" t="s">
        <v>39</v>
      </c>
      <c r="D25" s="56" t="s">
        <v>134</v>
      </c>
      <c r="E25" s="56" t="s">
        <v>41</v>
      </c>
      <c r="F25" s="56" t="s">
        <v>42</v>
      </c>
    </row>
    <row r="26" spans="1:6" ht="14.25" customHeight="1" x14ac:dyDescent="0.3">
      <c r="A26" s="56">
        <f t="shared" si="0"/>
        <v>25</v>
      </c>
      <c r="B26" s="56" t="s">
        <v>138</v>
      </c>
      <c r="C26" s="56" t="s">
        <v>45</v>
      </c>
      <c r="D26" s="56" t="s">
        <v>64</v>
      </c>
      <c r="E26" s="56" t="s">
        <v>90</v>
      </c>
      <c r="F26" s="56" t="s">
        <v>42</v>
      </c>
    </row>
    <row r="27" spans="1:6" ht="14.25" customHeight="1" x14ac:dyDescent="0.3">
      <c r="A27" s="56">
        <f t="shared" si="0"/>
        <v>26</v>
      </c>
      <c r="B27" s="56" t="s">
        <v>139</v>
      </c>
      <c r="C27" s="56" t="s">
        <v>45</v>
      </c>
      <c r="D27" s="56" t="s">
        <v>140</v>
      </c>
      <c r="E27" s="56" t="s">
        <v>90</v>
      </c>
      <c r="F27" s="56" t="s">
        <v>42</v>
      </c>
    </row>
    <row r="28" spans="1:6" ht="14.25" customHeight="1" x14ac:dyDescent="0.3">
      <c r="A28" s="56">
        <f t="shared" si="0"/>
        <v>27</v>
      </c>
      <c r="B28" s="56" t="s">
        <v>141</v>
      </c>
      <c r="C28" s="56" t="s">
        <v>45</v>
      </c>
      <c r="D28" s="56" t="s">
        <v>142</v>
      </c>
      <c r="E28" s="56" t="s">
        <v>90</v>
      </c>
      <c r="F28" s="56" t="s">
        <v>42</v>
      </c>
    </row>
    <row r="29" spans="1:6" ht="15.75" customHeight="1" x14ac:dyDescent="0.3">
      <c r="A29" s="56">
        <f t="shared" si="0"/>
        <v>28</v>
      </c>
      <c r="B29" s="56" t="s">
        <v>143</v>
      </c>
      <c r="C29" s="56" t="s">
        <v>45</v>
      </c>
      <c r="D29" s="56" t="s">
        <v>144</v>
      </c>
      <c r="E29" s="56" t="s">
        <v>90</v>
      </c>
      <c r="F29" s="56" t="s">
        <v>42</v>
      </c>
    </row>
    <row r="30" spans="1:6" ht="15.75" customHeight="1" x14ac:dyDescent="0.3">
      <c r="A30" s="56">
        <f t="shared" si="0"/>
        <v>29</v>
      </c>
      <c r="B30" s="3" t="s">
        <v>113</v>
      </c>
      <c r="C30" s="3" t="s">
        <v>45</v>
      </c>
      <c r="D30" s="3" t="s">
        <v>105</v>
      </c>
      <c r="E30" s="3" t="s">
        <v>90</v>
      </c>
      <c r="F30" s="56" t="s">
        <v>42</v>
      </c>
    </row>
    <row r="31" spans="1:6" ht="15.75" customHeight="1" x14ac:dyDescent="0.3">
      <c r="A31" s="56">
        <f t="shared" si="0"/>
        <v>30</v>
      </c>
      <c r="B31" s="56" t="s">
        <v>145</v>
      </c>
      <c r="C31" s="56" t="s">
        <v>45</v>
      </c>
      <c r="D31" s="56" t="s">
        <v>146</v>
      </c>
      <c r="E31" s="56" t="s">
        <v>90</v>
      </c>
      <c r="F31" s="56" t="s">
        <v>42</v>
      </c>
    </row>
    <row r="32" spans="1:6" ht="15.75" customHeight="1" x14ac:dyDescent="0.3">
      <c r="A32" s="56">
        <f t="shared" si="0"/>
        <v>31</v>
      </c>
      <c r="B32" s="56" t="s">
        <v>53</v>
      </c>
      <c r="C32" s="56" t="s">
        <v>45</v>
      </c>
      <c r="D32" s="56" t="s">
        <v>51</v>
      </c>
      <c r="E32" s="56" t="s">
        <v>47</v>
      </c>
      <c r="F32" s="56" t="s">
        <v>42</v>
      </c>
    </row>
    <row r="33" spans="1:9" ht="15.75" customHeight="1" x14ac:dyDescent="0.3">
      <c r="A33" s="56">
        <f t="shared" si="0"/>
        <v>32</v>
      </c>
      <c r="B33" s="56" t="s">
        <v>48</v>
      </c>
      <c r="C33" s="56" t="s">
        <v>45</v>
      </c>
      <c r="D33" s="56" t="s">
        <v>46</v>
      </c>
      <c r="E33" s="56" t="s">
        <v>47</v>
      </c>
      <c r="F33" s="56" t="s">
        <v>42</v>
      </c>
    </row>
    <row r="34" spans="1:9" ht="15.75" customHeight="1" x14ac:dyDescent="0.3">
      <c r="A34" s="56">
        <f t="shared" si="0"/>
        <v>33</v>
      </c>
      <c r="B34" s="56" t="s">
        <v>50</v>
      </c>
      <c r="C34" s="56" t="s">
        <v>45</v>
      </c>
      <c r="D34" s="56" t="s">
        <v>49</v>
      </c>
      <c r="E34" s="56" t="s">
        <v>47</v>
      </c>
      <c r="F34" s="56" t="s">
        <v>42</v>
      </c>
    </row>
    <row r="35" spans="1:9" ht="15.75" customHeight="1" x14ac:dyDescent="0.3">
      <c r="A35" s="56">
        <f t="shared" ref="A35:A66" si="1">A34+1</f>
        <v>34</v>
      </c>
      <c r="B35" s="56" t="s">
        <v>52</v>
      </c>
      <c r="C35" s="56" t="s">
        <v>45</v>
      </c>
      <c r="D35" s="56" t="s">
        <v>51</v>
      </c>
      <c r="E35" s="56" t="s">
        <v>47</v>
      </c>
      <c r="F35" s="56" t="s">
        <v>42</v>
      </c>
    </row>
    <row r="36" spans="1:9" ht="15.75" customHeight="1" x14ac:dyDescent="0.3">
      <c r="A36" s="56">
        <f t="shared" si="1"/>
        <v>35</v>
      </c>
      <c r="B36" s="56" t="s">
        <v>54</v>
      </c>
      <c r="C36" s="56" t="s">
        <v>45</v>
      </c>
      <c r="D36" s="56" t="s">
        <v>46</v>
      </c>
      <c r="E36" s="56" t="s">
        <v>47</v>
      </c>
      <c r="F36" s="56" t="s">
        <v>42</v>
      </c>
    </row>
    <row r="37" spans="1:9" ht="15.75" customHeight="1" x14ac:dyDescent="0.3">
      <c r="A37" s="56">
        <f t="shared" si="1"/>
        <v>36</v>
      </c>
      <c r="B37" s="56" t="s">
        <v>66</v>
      </c>
      <c r="C37" s="56" t="s">
        <v>45</v>
      </c>
      <c r="D37" s="56" t="s">
        <v>49</v>
      </c>
      <c r="E37" s="56" t="s">
        <v>47</v>
      </c>
      <c r="F37" s="56" t="s">
        <v>42</v>
      </c>
    </row>
    <row r="38" spans="1:9" ht="15.75" customHeight="1" x14ac:dyDescent="0.3">
      <c r="A38" s="56">
        <f t="shared" si="1"/>
        <v>37</v>
      </c>
      <c r="B38" s="56" t="s">
        <v>69</v>
      </c>
      <c r="C38" s="56" t="s">
        <v>45</v>
      </c>
      <c r="D38" s="56" t="s">
        <v>64</v>
      </c>
      <c r="E38" s="56" t="s">
        <v>47</v>
      </c>
      <c r="F38" s="56" t="s">
        <v>42</v>
      </c>
    </row>
    <row r="39" spans="1:9" ht="15.75" customHeight="1" x14ac:dyDescent="0.3">
      <c r="A39" s="56">
        <f t="shared" si="1"/>
        <v>38</v>
      </c>
      <c r="B39" s="56" t="s">
        <v>73</v>
      </c>
      <c r="C39" s="56" t="s">
        <v>75</v>
      </c>
      <c r="D39" s="56" t="s">
        <v>76</v>
      </c>
      <c r="E39" s="56" t="s">
        <v>77</v>
      </c>
      <c r="F39" s="56" t="s">
        <v>78</v>
      </c>
    </row>
    <row r="40" spans="1:9" ht="15.75" customHeight="1" x14ac:dyDescent="0.3">
      <c r="A40" s="56">
        <f t="shared" si="1"/>
        <v>39</v>
      </c>
      <c r="B40" s="56" t="s">
        <v>71</v>
      </c>
      <c r="C40" s="56" t="s">
        <v>75</v>
      </c>
      <c r="D40" s="56" t="s">
        <v>76</v>
      </c>
      <c r="E40" s="56" t="s">
        <v>77</v>
      </c>
      <c r="F40" s="56" t="s">
        <v>78</v>
      </c>
    </row>
    <row r="41" spans="1:9" ht="15.75" customHeight="1" x14ac:dyDescent="0.3">
      <c r="A41" s="56">
        <f t="shared" si="1"/>
        <v>40</v>
      </c>
      <c r="B41" s="56" t="s">
        <v>70</v>
      </c>
      <c r="C41" s="56" t="s">
        <v>75</v>
      </c>
      <c r="D41" s="56" t="s">
        <v>76</v>
      </c>
      <c r="E41" s="56" t="s">
        <v>77</v>
      </c>
      <c r="F41" s="56" t="s">
        <v>78</v>
      </c>
    </row>
    <row r="42" spans="1:9" ht="15.75" customHeight="1" x14ac:dyDescent="0.3">
      <c r="A42" s="56">
        <f t="shared" si="1"/>
        <v>41</v>
      </c>
      <c r="B42" s="56" t="s">
        <v>72</v>
      </c>
      <c r="C42" s="56" t="s">
        <v>75</v>
      </c>
      <c r="D42" s="56" t="s">
        <v>76</v>
      </c>
      <c r="E42" s="56" t="s">
        <v>77</v>
      </c>
      <c r="F42" s="56" t="s">
        <v>78</v>
      </c>
    </row>
    <row r="43" spans="1:9" ht="15.75" customHeight="1" x14ac:dyDescent="0.3">
      <c r="A43" s="56">
        <f t="shared" si="1"/>
        <v>42</v>
      </c>
      <c r="B43" s="56" t="s">
        <v>74</v>
      </c>
      <c r="C43" s="56" t="s">
        <v>79</v>
      </c>
      <c r="D43" s="56" t="s">
        <v>80</v>
      </c>
      <c r="E43" s="56" t="s">
        <v>77</v>
      </c>
      <c r="F43" s="56" t="s">
        <v>78</v>
      </c>
    </row>
    <row r="44" spans="1:9" ht="15.75" customHeight="1" x14ac:dyDescent="0.3">
      <c r="A44" s="56">
        <f t="shared" si="1"/>
        <v>43</v>
      </c>
      <c r="B44" s="56" t="s">
        <v>85</v>
      </c>
      <c r="C44" s="56" t="s">
        <v>82</v>
      </c>
      <c r="D44" s="56" t="s">
        <v>83</v>
      </c>
      <c r="E44" s="56" t="s">
        <v>147</v>
      </c>
      <c r="F44" s="56" t="s">
        <v>42</v>
      </c>
      <c r="I44" t="s">
        <v>132</v>
      </c>
    </row>
    <row r="45" spans="1:9" ht="15.75" customHeight="1" x14ac:dyDescent="0.3">
      <c r="A45" s="56">
        <f t="shared" si="1"/>
        <v>44</v>
      </c>
      <c r="B45" s="56" t="s">
        <v>117</v>
      </c>
      <c r="C45" s="56" t="s">
        <v>59</v>
      </c>
      <c r="D45" s="56" t="s">
        <v>60</v>
      </c>
      <c r="E45" s="56" t="s">
        <v>61</v>
      </c>
      <c r="F45" s="56" t="s">
        <v>42</v>
      </c>
      <c r="I45" t="s">
        <v>132</v>
      </c>
    </row>
    <row r="46" spans="1:9" ht="15.75" customHeight="1" x14ac:dyDescent="0.3">
      <c r="A46" s="56">
        <f t="shared" si="1"/>
        <v>45</v>
      </c>
      <c r="B46" s="56" t="s">
        <v>87</v>
      </c>
      <c r="C46" s="56" t="s">
        <v>39</v>
      </c>
      <c r="D46" s="56" t="s">
        <v>43</v>
      </c>
      <c r="E46" s="56" t="s">
        <v>41</v>
      </c>
      <c r="F46" s="56" t="s">
        <v>86</v>
      </c>
      <c r="I46" t="s">
        <v>132</v>
      </c>
    </row>
    <row r="47" spans="1:9" ht="15.75" customHeight="1" x14ac:dyDescent="0.3">
      <c r="A47" s="56">
        <f t="shared" si="1"/>
        <v>46</v>
      </c>
      <c r="B47" s="56" t="s">
        <v>88</v>
      </c>
      <c r="C47" s="56" t="s">
        <v>59</v>
      </c>
      <c r="D47" s="56" t="s">
        <v>60</v>
      </c>
      <c r="E47" s="56" t="s">
        <v>61</v>
      </c>
      <c r="F47" s="56" t="s">
        <v>42</v>
      </c>
      <c r="I47" t="s">
        <v>132</v>
      </c>
    </row>
    <row r="48" spans="1:9" ht="15.75" customHeight="1" x14ac:dyDescent="0.3">
      <c r="A48" s="56">
        <f t="shared" si="1"/>
        <v>47</v>
      </c>
      <c r="B48" s="56" t="s">
        <v>91</v>
      </c>
      <c r="C48" s="56" t="s">
        <v>45</v>
      </c>
      <c r="D48" s="56" t="s">
        <v>89</v>
      </c>
      <c r="E48" s="56" t="s">
        <v>90</v>
      </c>
      <c r="F48" s="56" t="s">
        <v>42</v>
      </c>
      <c r="I48" t="s">
        <v>132</v>
      </c>
    </row>
    <row r="49" spans="1:9" ht="15.75" customHeight="1" x14ac:dyDescent="0.3">
      <c r="A49" s="56">
        <f t="shared" si="1"/>
        <v>48</v>
      </c>
      <c r="B49" s="56" t="s">
        <v>118</v>
      </c>
      <c r="C49" s="56" t="s">
        <v>59</v>
      </c>
      <c r="D49" s="56" t="s">
        <v>126</v>
      </c>
      <c r="E49" s="56" t="s">
        <v>61</v>
      </c>
      <c r="F49" s="56" t="s">
        <v>42</v>
      </c>
      <c r="I49" t="s">
        <v>132</v>
      </c>
    </row>
    <row r="50" spans="1:9" ht="15.75" customHeight="1" x14ac:dyDescent="0.3">
      <c r="A50" s="56">
        <f t="shared" si="1"/>
        <v>49</v>
      </c>
      <c r="B50" s="56" t="s">
        <v>93</v>
      </c>
      <c r="C50" s="56" t="s">
        <v>59</v>
      </c>
      <c r="D50" s="56" t="s">
        <v>92</v>
      </c>
      <c r="E50" s="56" t="s">
        <v>61</v>
      </c>
      <c r="F50" s="56" t="s">
        <v>42</v>
      </c>
      <c r="I50" t="s">
        <v>132</v>
      </c>
    </row>
    <row r="51" spans="1:9" ht="15.75" customHeight="1" x14ac:dyDescent="0.3">
      <c r="A51" s="56">
        <f t="shared" si="1"/>
        <v>50</v>
      </c>
      <c r="B51" s="56" t="s">
        <v>95</v>
      </c>
      <c r="C51" s="56" t="s">
        <v>39</v>
      </c>
      <c r="D51" s="56" t="s">
        <v>94</v>
      </c>
      <c r="E51" s="56" t="s">
        <v>41</v>
      </c>
      <c r="F51" s="56" t="s">
        <v>42</v>
      </c>
      <c r="I51" t="s">
        <v>132</v>
      </c>
    </row>
    <row r="52" spans="1:9" ht="15.75" customHeight="1" x14ac:dyDescent="0.3">
      <c r="A52" s="56">
        <f t="shared" si="1"/>
        <v>51</v>
      </c>
      <c r="B52" s="56" t="s">
        <v>96</v>
      </c>
      <c r="C52" s="56" t="s">
        <v>39</v>
      </c>
      <c r="D52" s="56" t="s">
        <v>43</v>
      </c>
      <c r="E52" s="56" t="s">
        <v>41</v>
      </c>
      <c r="F52" s="56" t="s">
        <v>42</v>
      </c>
      <c r="I52" t="s">
        <v>132</v>
      </c>
    </row>
    <row r="53" spans="1:9" ht="15.75" customHeight="1" x14ac:dyDescent="0.3">
      <c r="A53" s="56">
        <f t="shared" si="1"/>
        <v>52</v>
      </c>
      <c r="B53" s="56" t="s">
        <v>97</v>
      </c>
      <c r="C53" s="56" t="s">
        <v>45</v>
      </c>
      <c r="D53" s="56" t="s">
        <v>89</v>
      </c>
      <c r="E53" s="56" t="s">
        <v>90</v>
      </c>
      <c r="F53" s="56" t="s">
        <v>42</v>
      </c>
      <c r="I53" t="s">
        <v>132</v>
      </c>
    </row>
    <row r="54" spans="1:9" ht="15.75" customHeight="1" x14ac:dyDescent="0.3">
      <c r="A54" s="56">
        <f t="shared" si="1"/>
        <v>53</v>
      </c>
      <c r="B54" s="56" t="s">
        <v>99</v>
      </c>
      <c r="C54" s="56" t="s">
        <v>39</v>
      </c>
      <c r="D54" s="56" t="s">
        <v>98</v>
      </c>
      <c r="E54" s="56" t="s">
        <v>41</v>
      </c>
      <c r="F54" s="56" t="s">
        <v>42</v>
      </c>
      <c r="I54" t="s">
        <v>132</v>
      </c>
    </row>
    <row r="55" spans="1:9" ht="15.75" customHeight="1" x14ac:dyDescent="0.3">
      <c r="A55" s="56">
        <f t="shared" si="1"/>
        <v>54</v>
      </c>
      <c r="B55" s="56" t="s">
        <v>119</v>
      </c>
      <c r="C55" s="56" t="s">
        <v>59</v>
      </c>
      <c r="D55" s="56" t="s">
        <v>148</v>
      </c>
      <c r="E55" s="56" t="s">
        <v>61</v>
      </c>
      <c r="F55" s="56" t="s">
        <v>78</v>
      </c>
      <c r="I55" t="s">
        <v>132</v>
      </c>
    </row>
    <row r="56" spans="1:9" ht="15.75" customHeight="1" x14ac:dyDescent="0.3">
      <c r="A56" s="56">
        <f t="shared" si="1"/>
        <v>55</v>
      </c>
      <c r="B56" s="56" t="s">
        <v>120</v>
      </c>
      <c r="C56" s="56" t="s">
        <v>82</v>
      </c>
      <c r="D56" s="56" t="s">
        <v>149</v>
      </c>
      <c r="E56" s="56" t="s">
        <v>147</v>
      </c>
      <c r="F56" s="56" t="s">
        <v>42</v>
      </c>
      <c r="I56" t="s">
        <v>132</v>
      </c>
    </row>
    <row r="57" spans="1:9" ht="15.75" customHeight="1" x14ac:dyDescent="0.3">
      <c r="A57" s="56">
        <f t="shared" si="1"/>
        <v>56</v>
      </c>
      <c r="B57" s="56" t="s">
        <v>103</v>
      </c>
      <c r="C57" s="56" t="s">
        <v>39</v>
      </c>
      <c r="D57" s="56" t="s">
        <v>134</v>
      </c>
      <c r="E57" s="56" t="s">
        <v>41</v>
      </c>
      <c r="F57" s="56" t="s">
        <v>42</v>
      </c>
      <c r="I57" t="s">
        <v>132</v>
      </c>
    </row>
    <row r="58" spans="1:9" ht="15.75" customHeight="1" x14ac:dyDescent="0.3">
      <c r="A58" s="56">
        <f t="shared" si="1"/>
        <v>57</v>
      </c>
      <c r="B58" s="56" t="s">
        <v>104</v>
      </c>
      <c r="C58" s="56" t="s">
        <v>59</v>
      </c>
      <c r="D58" s="56" t="s">
        <v>60</v>
      </c>
      <c r="E58" s="56" t="s">
        <v>61</v>
      </c>
      <c r="F58" s="56" t="s">
        <v>42</v>
      </c>
      <c r="I58" t="s">
        <v>132</v>
      </c>
    </row>
    <row r="59" spans="1:9" ht="15.75" customHeight="1" x14ac:dyDescent="0.3">
      <c r="A59" s="56">
        <f t="shared" si="1"/>
        <v>58</v>
      </c>
      <c r="B59" s="56" t="s">
        <v>116</v>
      </c>
      <c r="C59" s="56" t="s">
        <v>82</v>
      </c>
      <c r="D59" s="56" t="s">
        <v>114</v>
      </c>
      <c r="E59" s="56" t="s">
        <v>147</v>
      </c>
      <c r="F59" s="56" t="s">
        <v>42</v>
      </c>
      <c r="I59" t="s">
        <v>132</v>
      </c>
    </row>
    <row r="60" spans="1:9" ht="15.75" customHeight="1" x14ac:dyDescent="0.3">
      <c r="A60" s="56">
        <f t="shared" si="1"/>
        <v>59</v>
      </c>
      <c r="B60" s="56" t="s">
        <v>106</v>
      </c>
      <c r="C60" s="56" t="s">
        <v>45</v>
      </c>
      <c r="D60" s="56" t="s">
        <v>105</v>
      </c>
      <c r="E60" s="56" t="s">
        <v>90</v>
      </c>
      <c r="F60" s="56" t="s">
        <v>42</v>
      </c>
      <c r="I60" t="s">
        <v>132</v>
      </c>
    </row>
    <row r="61" spans="1:9" ht="15.75" customHeight="1" x14ac:dyDescent="0.3">
      <c r="A61" s="56">
        <f t="shared" si="1"/>
        <v>60</v>
      </c>
      <c r="B61" s="56" t="s">
        <v>108</v>
      </c>
      <c r="C61" s="56" t="s">
        <v>45</v>
      </c>
      <c r="D61" s="56" t="s">
        <v>107</v>
      </c>
      <c r="E61" s="56" t="s">
        <v>90</v>
      </c>
      <c r="F61" s="56" t="s">
        <v>42</v>
      </c>
      <c r="I61" t="s">
        <v>132</v>
      </c>
    </row>
    <row r="62" spans="1:9" ht="15.75" customHeight="1" x14ac:dyDescent="0.3">
      <c r="A62" s="56">
        <f t="shared" si="1"/>
        <v>61</v>
      </c>
      <c r="B62" s="56" t="s">
        <v>109</v>
      </c>
      <c r="C62" s="56" t="s">
        <v>45</v>
      </c>
      <c r="D62" s="56" t="s">
        <v>107</v>
      </c>
      <c r="E62" s="56" t="s">
        <v>90</v>
      </c>
      <c r="F62" s="56" t="s">
        <v>42</v>
      </c>
      <c r="I62" t="s">
        <v>132</v>
      </c>
    </row>
    <row r="63" spans="1:9" ht="15.75" customHeight="1" x14ac:dyDescent="0.3">
      <c r="A63" s="56">
        <f t="shared" si="1"/>
        <v>62</v>
      </c>
      <c r="B63" s="56" t="s">
        <v>111</v>
      </c>
      <c r="C63" s="56" t="s">
        <v>59</v>
      </c>
      <c r="D63" s="56" t="s">
        <v>110</v>
      </c>
      <c r="E63" s="56" t="s">
        <v>61</v>
      </c>
      <c r="F63" s="56" t="s">
        <v>42</v>
      </c>
      <c r="I63" t="s">
        <v>132</v>
      </c>
    </row>
    <row r="64" spans="1:9" ht="15.75" customHeight="1" x14ac:dyDescent="0.3">
      <c r="A64" s="56">
        <f t="shared" si="1"/>
        <v>63</v>
      </c>
      <c r="B64" s="56" t="s">
        <v>121</v>
      </c>
      <c r="C64" s="56" t="s">
        <v>59</v>
      </c>
      <c r="D64" s="56" t="s">
        <v>150</v>
      </c>
      <c r="E64" s="56" t="s">
        <v>61</v>
      </c>
      <c r="F64" s="56" t="s">
        <v>42</v>
      </c>
      <c r="I64" t="s">
        <v>132</v>
      </c>
    </row>
    <row r="65" spans="1:9" ht="15.75" customHeight="1" x14ac:dyDescent="0.3">
      <c r="A65" s="56">
        <f t="shared" si="1"/>
        <v>64</v>
      </c>
      <c r="B65" s="56" t="s">
        <v>112</v>
      </c>
      <c r="C65" s="56" t="s">
        <v>39</v>
      </c>
      <c r="D65" s="56" t="s">
        <v>151</v>
      </c>
      <c r="E65" s="56" t="s">
        <v>41</v>
      </c>
      <c r="F65" s="56" t="s">
        <v>86</v>
      </c>
      <c r="I65" t="s">
        <v>132</v>
      </c>
    </row>
    <row r="66" spans="1:9" ht="15.75" customHeight="1" x14ac:dyDescent="0.3">
      <c r="A66" s="56">
        <f t="shared" si="1"/>
        <v>65</v>
      </c>
      <c r="B66" s="56" t="s">
        <v>122</v>
      </c>
      <c r="C66" s="56" t="s">
        <v>82</v>
      </c>
      <c r="D66" s="56" t="s">
        <v>149</v>
      </c>
      <c r="E66" s="56" t="s">
        <v>147</v>
      </c>
      <c r="F66" s="56" t="s">
        <v>42</v>
      </c>
      <c r="I66" t="s">
        <v>132</v>
      </c>
    </row>
    <row r="67" spans="1:9" ht="15.75" customHeight="1" x14ac:dyDescent="0.3">
      <c r="A67" s="56">
        <v>67</v>
      </c>
      <c r="B67" s="56" t="s">
        <v>125</v>
      </c>
      <c r="C67" s="56" t="s">
        <v>59</v>
      </c>
      <c r="D67" s="56" t="s">
        <v>150</v>
      </c>
      <c r="E67" s="56" t="s">
        <v>61</v>
      </c>
      <c r="F67" s="56" t="s">
        <v>42</v>
      </c>
    </row>
    <row r="68" spans="1:9" ht="15.75" customHeight="1" x14ac:dyDescent="0.3"/>
    <row r="69" spans="1:9" ht="15.75" customHeight="1" x14ac:dyDescent="0.3"/>
    <row r="70" spans="1:9" ht="15.75" customHeight="1" x14ac:dyDescent="0.3"/>
    <row r="71" spans="1:9" ht="15.75" customHeight="1" x14ac:dyDescent="0.3"/>
    <row r="72" spans="1:9" ht="15.75" customHeight="1" x14ac:dyDescent="0.3"/>
    <row r="73" spans="1:9" ht="15.75" customHeight="1" x14ac:dyDescent="0.3"/>
    <row r="74" spans="1:9" ht="15.75" customHeight="1" x14ac:dyDescent="0.3"/>
    <row r="75" spans="1:9" ht="15.75" customHeight="1" x14ac:dyDescent="0.3"/>
    <row r="76" spans="1:9" ht="15.75" customHeight="1" x14ac:dyDescent="0.3"/>
    <row r="77" spans="1:9" ht="15.75" customHeight="1" x14ac:dyDescent="0.3"/>
    <row r="78" spans="1:9" ht="15.75" customHeight="1" x14ac:dyDescent="0.3"/>
    <row r="79" spans="1:9" ht="15.75" customHeight="1" x14ac:dyDescent="0.3"/>
    <row r="80" spans="1:9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3"/>
  <sheetViews>
    <sheetView zoomScale="85" zoomScaleNormal="85" workbookViewId="0">
      <selection activeCell="E11" sqref="E11"/>
    </sheetView>
  </sheetViews>
  <sheetFormatPr defaultColWidth="14.44140625" defaultRowHeight="14.4" x14ac:dyDescent="0.3"/>
  <cols>
    <col min="1" max="1" width="12.109375" customWidth="1"/>
    <col min="2" max="2" width="19.33203125" customWidth="1"/>
    <col min="3" max="3" width="12" customWidth="1"/>
    <col min="4" max="4" width="8.6640625" customWidth="1"/>
    <col min="5" max="5" width="28.6640625" customWidth="1"/>
    <col min="6" max="6" width="10.44140625" customWidth="1"/>
    <col min="7" max="25" width="8.6640625" customWidth="1"/>
  </cols>
  <sheetData>
    <row r="1" spans="1:6" ht="57" customHeight="1" x14ac:dyDescent="0.3">
      <c r="A1" s="35" t="s">
        <v>152</v>
      </c>
      <c r="B1" s="35" t="s">
        <v>153</v>
      </c>
      <c r="C1" s="35" t="s">
        <v>154</v>
      </c>
      <c r="D1" s="35" t="s">
        <v>155</v>
      </c>
      <c r="E1" s="35" t="s">
        <v>156</v>
      </c>
      <c r="F1" s="35" t="s">
        <v>157</v>
      </c>
    </row>
    <row r="2" spans="1:6" ht="14.25" customHeight="1" x14ac:dyDescent="0.3">
      <c r="A2" s="56" t="s">
        <v>100</v>
      </c>
      <c r="B2" s="56" t="s">
        <v>101</v>
      </c>
      <c r="C2" s="26">
        <v>211019</v>
      </c>
      <c r="D2" s="26">
        <v>1556924</v>
      </c>
      <c r="E2" s="56" t="s">
        <v>102</v>
      </c>
      <c r="F2" s="36">
        <v>2000000</v>
      </c>
    </row>
    <row r="3" spans="1:6" ht="14.25" customHeight="1" x14ac:dyDescent="0.3">
      <c r="A3" s="56" t="s">
        <v>100</v>
      </c>
      <c r="B3" s="56" t="s">
        <v>133</v>
      </c>
      <c r="C3" s="26">
        <v>103272</v>
      </c>
      <c r="D3" s="26">
        <v>1178</v>
      </c>
      <c r="E3" s="56" t="s">
        <v>22</v>
      </c>
      <c r="F3" s="36">
        <v>2000000</v>
      </c>
    </row>
    <row r="4" spans="1:6" ht="14.25" customHeight="1" x14ac:dyDescent="0.3">
      <c r="A4" s="56" t="s">
        <v>39</v>
      </c>
      <c r="B4" s="56" t="s">
        <v>134</v>
      </c>
      <c r="C4" s="26">
        <v>103259</v>
      </c>
      <c r="D4" s="26">
        <v>9013525</v>
      </c>
      <c r="E4" s="56" t="s">
        <v>24</v>
      </c>
      <c r="F4" s="36">
        <v>2000000</v>
      </c>
    </row>
    <row r="5" spans="1:6" ht="14.25" customHeight="1" x14ac:dyDescent="0.3">
      <c r="A5" s="56" t="s">
        <v>39</v>
      </c>
      <c r="B5" s="56" t="s">
        <v>40</v>
      </c>
      <c r="C5" s="26">
        <v>103258</v>
      </c>
      <c r="D5" s="26">
        <v>9210369</v>
      </c>
      <c r="E5" s="56" t="s">
        <v>28</v>
      </c>
      <c r="F5" s="36">
        <v>2000000</v>
      </c>
    </row>
    <row r="6" spans="1:6" ht="14.25" customHeight="1" x14ac:dyDescent="0.3">
      <c r="A6" s="56" t="s">
        <v>39</v>
      </c>
      <c r="B6" s="56" t="s">
        <v>44</v>
      </c>
      <c r="C6" s="26">
        <v>103277</v>
      </c>
      <c r="D6" s="26">
        <v>6300538</v>
      </c>
      <c r="E6" s="56" t="s">
        <v>19</v>
      </c>
      <c r="F6" s="36">
        <v>2000000</v>
      </c>
    </row>
    <row r="7" spans="1:6" ht="14.25" customHeight="1" x14ac:dyDescent="0.3">
      <c r="A7" s="56" t="s">
        <v>39</v>
      </c>
      <c r="B7" s="56" t="s">
        <v>44</v>
      </c>
      <c r="C7" s="26">
        <v>103277</v>
      </c>
      <c r="D7" s="26">
        <v>6301424</v>
      </c>
      <c r="E7" s="56" t="s">
        <v>25</v>
      </c>
      <c r="F7" s="36">
        <v>2000000</v>
      </c>
    </row>
    <row r="8" spans="1:6" ht="14.25" customHeight="1" x14ac:dyDescent="0.3">
      <c r="A8" s="56" t="s">
        <v>39</v>
      </c>
      <c r="B8" s="56" t="s">
        <v>134</v>
      </c>
      <c r="C8" s="26">
        <v>103259</v>
      </c>
      <c r="D8" s="26">
        <v>9029389</v>
      </c>
      <c r="E8" s="56" t="s">
        <v>18</v>
      </c>
      <c r="F8" s="36">
        <v>2000000</v>
      </c>
    </row>
    <row r="9" spans="1:6" ht="14.25" customHeight="1" x14ac:dyDescent="0.3">
      <c r="A9" s="56" t="s">
        <v>39</v>
      </c>
      <c r="B9" s="56" t="s">
        <v>135</v>
      </c>
      <c r="C9" s="26">
        <v>490034</v>
      </c>
      <c r="D9" s="26">
        <v>209554</v>
      </c>
      <c r="E9" s="56" t="s">
        <v>26</v>
      </c>
      <c r="F9" s="36">
        <v>2000000</v>
      </c>
    </row>
    <row r="10" spans="1:6" ht="14.25" customHeight="1" x14ac:dyDescent="0.3">
      <c r="A10" s="56" t="s">
        <v>39</v>
      </c>
      <c r="B10" s="56" t="s">
        <v>98</v>
      </c>
      <c r="C10" s="26">
        <v>103259</v>
      </c>
      <c r="D10" s="26">
        <v>9029389</v>
      </c>
      <c r="E10" s="56" t="s">
        <v>27</v>
      </c>
      <c r="F10" s="36">
        <v>2000000</v>
      </c>
    </row>
    <row r="11" spans="1:6" ht="14.25" customHeight="1" x14ac:dyDescent="0.3">
      <c r="A11" s="56" t="s">
        <v>39</v>
      </c>
      <c r="B11" s="56" t="s">
        <v>56</v>
      </c>
      <c r="C11" s="26">
        <v>189901</v>
      </c>
      <c r="D11" s="26">
        <v>1602016</v>
      </c>
      <c r="E11" s="56" t="s">
        <v>35</v>
      </c>
      <c r="F11" s="36">
        <v>2000000</v>
      </c>
    </row>
    <row r="12" spans="1:6" ht="14.25" customHeight="1" x14ac:dyDescent="0.3">
      <c r="A12" s="56" t="s">
        <v>39</v>
      </c>
      <c r="B12" s="56" t="s">
        <v>56</v>
      </c>
      <c r="C12" s="26">
        <v>103257</v>
      </c>
      <c r="D12" s="26">
        <v>9162509</v>
      </c>
      <c r="E12" s="56" t="s">
        <v>23</v>
      </c>
      <c r="F12" s="36">
        <v>2000000</v>
      </c>
    </row>
    <row r="13" spans="1:6" ht="14.25" customHeight="1" x14ac:dyDescent="0.3">
      <c r="A13" s="56" t="s">
        <v>39</v>
      </c>
      <c r="B13" s="56" t="s">
        <v>56</v>
      </c>
      <c r="C13" s="26">
        <v>103257</v>
      </c>
      <c r="D13" s="26">
        <v>9162509</v>
      </c>
      <c r="E13" s="56" t="s">
        <v>57</v>
      </c>
      <c r="F13" s="36">
        <v>2000000</v>
      </c>
    </row>
    <row r="14" spans="1:6" ht="14.25" customHeight="1" x14ac:dyDescent="0.3">
      <c r="A14" s="56" t="s">
        <v>39</v>
      </c>
      <c r="B14" s="56" t="s">
        <v>134</v>
      </c>
      <c r="C14" s="26">
        <v>189901</v>
      </c>
      <c r="D14" s="26">
        <v>1602057</v>
      </c>
      <c r="E14" s="56" t="s">
        <v>68</v>
      </c>
      <c r="F14" s="36">
        <v>2000000</v>
      </c>
    </row>
    <row r="15" spans="1:6" ht="14.25" customHeight="1" x14ac:dyDescent="0.3">
      <c r="A15" s="56" t="s">
        <v>39</v>
      </c>
      <c r="B15" s="56" t="s">
        <v>44</v>
      </c>
      <c r="C15" s="26">
        <v>103277</v>
      </c>
      <c r="D15" s="26">
        <v>6300700</v>
      </c>
      <c r="E15" s="56" t="s">
        <v>30</v>
      </c>
      <c r="F15" s="36">
        <v>2000000</v>
      </c>
    </row>
    <row r="16" spans="1:6" ht="14.25" customHeight="1" x14ac:dyDescent="0.3">
      <c r="A16" s="56" t="s">
        <v>39</v>
      </c>
      <c r="B16" s="56" t="s">
        <v>58</v>
      </c>
      <c r="C16" s="26">
        <v>121409</v>
      </c>
      <c r="D16" s="26">
        <v>5205014</v>
      </c>
      <c r="E16" s="56" t="s">
        <v>31</v>
      </c>
      <c r="F16" s="36">
        <v>2000000</v>
      </c>
    </row>
    <row r="17" spans="1:6" ht="14.25" customHeight="1" x14ac:dyDescent="0.3">
      <c r="A17" s="56" t="s">
        <v>39</v>
      </c>
      <c r="B17" s="56" t="s">
        <v>134</v>
      </c>
      <c r="C17" s="26">
        <v>189901</v>
      </c>
      <c r="D17" s="26">
        <v>1602057</v>
      </c>
      <c r="E17" s="56" t="s">
        <v>68</v>
      </c>
      <c r="F17" s="36">
        <v>2000000</v>
      </c>
    </row>
    <row r="18" spans="1:6" ht="14.25" customHeight="1" x14ac:dyDescent="0.3">
      <c r="A18" s="56" t="s">
        <v>39</v>
      </c>
      <c r="B18" s="56" t="s">
        <v>134</v>
      </c>
      <c r="C18" s="26">
        <v>189901</v>
      </c>
      <c r="D18" s="26">
        <v>1602008</v>
      </c>
      <c r="E18" s="56" t="s">
        <v>32</v>
      </c>
      <c r="F18" s="36">
        <v>2000000</v>
      </c>
    </row>
    <row r="19" spans="1:6" ht="14.25" customHeight="1" x14ac:dyDescent="0.3">
      <c r="A19" s="56" t="s">
        <v>39</v>
      </c>
      <c r="B19" s="56" t="s">
        <v>40</v>
      </c>
      <c r="C19" s="26">
        <v>189901</v>
      </c>
      <c r="D19" s="26">
        <v>1602018</v>
      </c>
      <c r="E19" s="56" t="s">
        <v>67</v>
      </c>
      <c r="F19" s="36">
        <v>2000000</v>
      </c>
    </row>
    <row r="20" spans="1:6" ht="14.25" customHeight="1" x14ac:dyDescent="0.3">
      <c r="A20" s="56" t="s">
        <v>59</v>
      </c>
      <c r="B20" s="56" t="s">
        <v>158</v>
      </c>
      <c r="C20" s="26">
        <v>103631</v>
      </c>
      <c r="D20" s="26">
        <v>601007</v>
      </c>
      <c r="E20" s="56" t="s">
        <v>159</v>
      </c>
      <c r="F20" s="36">
        <v>2000000</v>
      </c>
    </row>
    <row r="21" spans="1:6" ht="14.25" customHeight="1" x14ac:dyDescent="0.3">
      <c r="A21" s="56" t="s">
        <v>59</v>
      </c>
      <c r="B21" s="56" t="s">
        <v>160</v>
      </c>
      <c r="C21" s="26">
        <v>211191</v>
      </c>
      <c r="D21" s="26">
        <v>5956212</v>
      </c>
      <c r="E21" s="56" t="s">
        <v>161</v>
      </c>
      <c r="F21" s="36">
        <v>2000000</v>
      </c>
    </row>
    <row r="22" spans="1:6" ht="14.25" customHeight="1" x14ac:dyDescent="0.3">
      <c r="A22" s="56" t="s">
        <v>59</v>
      </c>
      <c r="B22" s="56" t="s">
        <v>162</v>
      </c>
      <c r="C22" s="26">
        <v>211050</v>
      </c>
      <c r="D22" s="26">
        <v>2910733</v>
      </c>
      <c r="E22" s="56" t="s">
        <v>163</v>
      </c>
      <c r="F22" s="36">
        <v>2000000</v>
      </c>
    </row>
    <row r="23" spans="1:6" ht="14.25" customHeight="1" x14ac:dyDescent="0.3">
      <c r="A23" s="56" t="s">
        <v>59</v>
      </c>
      <c r="B23" s="56" t="s">
        <v>110</v>
      </c>
      <c r="C23" s="26">
        <v>103274</v>
      </c>
      <c r="D23" s="26">
        <v>1301399</v>
      </c>
      <c r="E23" s="56" t="s">
        <v>164</v>
      </c>
      <c r="F23" s="36">
        <v>2000000</v>
      </c>
    </row>
    <row r="24" spans="1:6" ht="14.25" customHeight="1" x14ac:dyDescent="0.3">
      <c r="A24" s="56" t="s">
        <v>59</v>
      </c>
      <c r="B24" s="56" t="s">
        <v>63</v>
      </c>
      <c r="C24" s="26">
        <v>211110</v>
      </c>
      <c r="D24" s="26">
        <v>2010785</v>
      </c>
      <c r="E24" s="56" t="s">
        <v>165</v>
      </c>
      <c r="F24" s="36">
        <v>2000000</v>
      </c>
    </row>
    <row r="25" spans="1:6" ht="14.25" customHeight="1" x14ac:dyDescent="0.3">
      <c r="A25" s="56" t="s">
        <v>59</v>
      </c>
      <c r="B25" s="56" t="s">
        <v>60</v>
      </c>
      <c r="C25" s="26">
        <v>103222</v>
      </c>
      <c r="D25" s="26">
        <v>106437</v>
      </c>
      <c r="E25" s="56" t="s">
        <v>104</v>
      </c>
      <c r="F25" s="36">
        <v>2000000</v>
      </c>
    </row>
    <row r="26" spans="1:6" ht="14.25" customHeight="1" x14ac:dyDescent="0.3">
      <c r="A26" s="27" t="s">
        <v>59</v>
      </c>
      <c r="B26" s="27" t="s">
        <v>60</v>
      </c>
      <c r="C26" s="26">
        <v>170220</v>
      </c>
      <c r="D26" s="26">
        <v>9000015</v>
      </c>
      <c r="E26" s="56" t="s">
        <v>33</v>
      </c>
      <c r="F26" s="36">
        <v>2000000</v>
      </c>
    </row>
    <row r="27" spans="1:6" ht="14.25" customHeight="1" x14ac:dyDescent="0.3">
      <c r="A27" s="27" t="s">
        <v>59</v>
      </c>
      <c r="B27" s="27" t="s">
        <v>63</v>
      </c>
      <c r="C27" s="26">
        <v>170220</v>
      </c>
      <c r="D27" s="56">
        <v>9000015</v>
      </c>
      <c r="E27" s="56" t="s">
        <v>37</v>
      </c>
      <c r="F27" s="36">
        <v>2000000</v>
      </c>
    </row>
    <row r="28" spans="1:6" ht="14.25" customHeight="1" x14ac:dyDescent="0.3">
      <c r="A28" s="27" t="s">
        <v>59</v>
      </c>
      <c r="B28" s="27" t="s">
        <v>63</v>
      </c>
      <c r="C28" s="26">
        <v>170220</v>
      </c>
      <c r="D28" s="56">
        <v>1901004</v>
      </c>
      <c r="E28" s="56" t="s">
        <v>36</v>
      </c>
      <c r="F28" s="36">
        <v>2000000</v>
      </c>
    </row>
    <row r="29" spans="1:6" ht="14.25" customHeight="1" x14ac:dyDescent="0.3">
      <c r="A29" s="27" t="s">
        <v>59</v>
      </c>
      <c r="B29" s="27" t="s">
        <v>60</v>
      </c>
      <c r="C29" s="26">
        <v>170220</v>
      </c>
      <c r="D29" s="56">
        <v>9000015</v>
      </c>
      <c r="E29" s="56" t="s">
        <v>33</v>
      </c>
      <c r="F29" s="36">
        <v>2000000</v>
      </c>
    </row>
    <row r="30" spans="1:6" ht="14.25" customHeight="1" x14ac:dyDescent="0.3">
      <c r="A30" s="27" t="s">
        <v>59</v>
      </c>
      <c r="B30" s="27" t="s">
        <v>62</v>
      </c>
      <c r="C30" s="26">
        <v>170220</v>
      </c>
      <c r="D30" s="56">
        <v>1901019</v>
      </c>
      <c r="E30" s="56" t="s">
        <v>38</v>
      </c>
      <c r="F30" s="36">
        <v>2000000</v>
      </c>
    </row>
    <row r="31" spans="1:6" ht="14.25" customHeight="1" x14ac:dyDescent="0.3">
      <c r="A31" s="27" t="s">
        <v>59</v>
      </c>
      <c r="B31" s="27" t="s">
        <v>62</v>
      </c>
      <c r="C31" s="26">
        <v>211179</v>
      </c>
      <c r="D31" s="26">
        <v>1702089</v>
      </c>
      <c r="E31" s="56" t="s">
        <v>166</v>
      </c>
      <c r="F31" s="36">
        <v>2000000</v>
      </c>
    </row>
    <row r="32" spans="1:6" ht="14.25" customHeight="1" x14ac:dyDescent="0.3">
      <c r="A32" s="56" t="s">
        <v>39</v>
      </c>
      <c r="B32" s="56" t="s">
        <v>134</v>
      </c>
      <c r="C32" s="26">
        <v>189901</v>
      </c>
      <c r="D32" s="26">
        <v>1602020</v>
      </c>
      <c r="E32" s="56" t="s">
        <v>20</v>
      </c>
      <c r="F32" s="36">
        <v>2000000</v>
      </c>
    </row>
    <row r="33" spans="1:6" ht="14.25" customHeight="1" x14ac:dyDescent="0.3">
      <c r="A33" s="56" t="s">
        <v>45</v>
      </c>
      <c r="B33" s="56" t="s">
        <v>64</v>
      </c>
      <c r="C33" s="26">
        <v>211139</v>
      </c>
      <c r="D33" s="26">
        <v>3604497</v>
      </c>
      <c r="E33" s="56" t="s">
        <v>138</v>
      </c>
      <c r="F33" s="36">
        <v>2000000</v>
      </c>
    </row>
    <row r="34" spans="1:6" ht="14.25" customHeight="1" x14ac:dyDescent="0.3">
      <c r="A34" s="56" t="s">
        <v>45</v>
      </c>
      <c r="B34" s="56" t="s">
        <v>140</v>
      </c>
      <c r="C34" s="26">
        <v>211188</v>
      </c>
      <c r="D34" s="26">
        <v>3620080</v>
      </c>
      <c r="E34" s="56" t="s">
        <v>139</v>
      </c>
      <c r="F34" s="36">
        <v>2000000</v>
      </c>
    </row>
    <row r="35" spans="1:6" ht="15.75" customHeight="1" x14ac:dyDescent="0.3">
      <c r="A35" s="56" t="s">
        <v>45</v>
      </c>
      <c r="B35" s="56" t="s">
        <v>142</v>
      </c>
      <c r="C35" s="26">
        <v>211180</v>
      </c>
      <c r="D35" s="26">
        <v>3208653</v>
      </c>
      <c r="E35" s="56" t="s">
        <v>141</v>
      </c>
      <c r="F35" s="36">
        <v>2000000</v>
      </c>
    </row>
    <row r="36" spans="1:6" ht="15.75" customHeight="1" x14ac:dyDescent="0.3">
      <c r="A36" s="56" t="s">
        <v>45</v>
      </c>
      <c r="B36" s="56" t="s">
        <v>144</v>
      </c>
      <c r="C36" s="26">
        <v>103696</v>
      </c>
      <c r="D36" s="26">
        <v>4208997</v>
      </c>
      <c r="E36" s="56" t="s">
        <v>143</v>
      </c>
      <c r="F36" s="36">
        <v>2000000</v>
      </c>
    </row>
    <row r="37" spans="1:6" ht="15.75" customHeight="1" x14ac:dyDescent="0.3">
      <c r="A37" s="56" t="s">
        <v>45</v>
      </c>
      <c r="B37" s="56" t="s">
        <v>105</v>
      </c>
      <c r="C37" s="26">
        <v>211030</v>
      </c>
      <c r="D37" s="26">
        <v>5765035</v>
      </c>
      <c r="E37" s="56" t="s">
        <v>113</v>
      </c>
      <c r="F37" s="36">
        <v>2000000</v>
      </c>
    </row>
    <row r="38" spans="1:6" ht="15.75" customHeight="1" x14ac:dyDescent="0.3">
      <c r="A38" s="56" t="s">
        <v>45</v>
      </c>
      <c r="B38" s="56" t="s">
        <v>146</v>
      </c>
      <c r="C38" s="26">
        <v>211181</v>
      </c>
      <c r="D38" s="26">
        <v>3208670</v>
      </c>
      <c r="E38" s="56" t="s">
        <v>145</v>
      </c>
      <c r="F38" s="36">
        <v>2000000</v>
      </c>
    </row>
    <row r="39" spans="1:6" ht="15.75" customHeight="1" x14ac:dyDescent="0.3">
      <c r="A39" s="56" t="s">
        <v>45</v>
      </c>
      <c r="B39" s="56" t="s">
        <v>51</v>
      </c>
      <c r="C39" s="26">
        <v>211163</v>
      </c>
      <c r="D39" s="26">
        <v>3703215</v>
      </c>
      <c r="E39" s="56" t="s">
        <v>53</v>
      </c>
      <c r="F39" s="36">
        <v>2000000</v>
      </c>
    </row>
    <row r="40" spans="1:6" ht="15.75" customHeight="1" x14ac:dyDescent="0.3">
      <c r="A40" s="56" t="s">
        <v>45</v>
      </c>
      <c r="B40" s="56" t="s">
        <v>46</v>
      </c>
      <c r="C40" s="26">
        <v>103765</v>
      </c>
      <c r="D40" s="26">
        <v>4307038</v>
      </c>
      <c r="E40" s="56" t="s">
        <v>48</v>
      </c>
      <c r="F40" s="36">
        <v>2000000</v>
      </c>
    </row>
    <row r="41" spans="1:6" ht="15.75" customHeight="1" x14ac:dyDescent="0.3">
      <c r="A41" s="56" t="s">
        <v>45</v>
      </c>
      <c r="B41" s="56" t="s">
        <v>49</v>
      </c>
      <c r="C41" s="26">
        <v>211033</v>
      </c>
      <c r="D41" s="26">
        <v>6467246</v>
      </c>
      <c r="E41" s="56" t="s">
        <v>50</v>
      </c>
      <c r="F41" s="36">
        <v>2000000</v>
      </c>
    </row>
    <row r="42" spans="1:6" ht="15.75" customHeight="1" x14ac:dyDescent="0.3">
      <c r="A42" s="56" t="s">
        <v>45</v>
      </c>
      <c r="B42" s="56" t="s">
        <v>51</v>
      </c>
      <c r="C42" s="26">
        <v>211163</v>
      </c>
      <c r="D42" s="26">
        <v>3703219</v>
      </c>
      <c r="E42" s="56" t="s">
        <v>52</v>
      </c>
      <c r="F42" s="36">
        <v>2000000</v>
      </c>
    </row>
    <row r="43" spans="1:6" ht="15.75" customHeight="1" x14ac:dyDescent="0.3">
      <c r="A43" s="56" t="s">
        <v>45</v>
      </c>
      <c r="B43" s="56" t="s">
        <v>46</v>
      </c>
      <c r="C43" s="26">
        <v>103765</v>
      </c>
      <c r="D43" s="26">
        <v>4305267</v>
      </c>
      <c r="E43" s="56" t="s">
        <v>54</v>
      </c>
      <c r="F43" s="36">
        <v>2000000</v>
      </c>
    </row>
    <row r="44" spans="1:6" ht="15.75" customHeight="1" x14ac:dyDescent="0.3">
      <c r="A44" s="56" t="s">
        <v>45</v>
      </c>
      <c r="B44" s="56" t="s">
        <v>49</v>
      </c>
      <c r="C44" s="26">
        <v>211033</v>
      </c>
      <c r="D44" s="26">
        <v>2001021</v>
      </c>
      <c r="E44" s="56" t="s">
        <v>66</v>
      </c>
      <c r="F44" s="36">
        <v>2000000</v>
      </c>
    </row>
    <row r="45" spans="1:6" ht="15.75" customHeight="1" x14ac:dyDescent="0.3">
      <c r="A45" s="56" t="s">
        <v>45</v>
      </c>
      <c r="B45" s="56" t="s">
        <v>64</v>
      </c>
      <c r="C45" s="26">
        <v>211139</v>
      </c>
      <c r="D45" s="26">
        <v>3604550</v>
      </c>
      <c r="E45" s="56" t="s">
        <v>69</v>
      </c>
      <c r="F45" s="36">
        <v>2000000</v>
      </c>
    </row>
    <row r="46" spans="1:6" ht="15.75" customHeight="1" x14ac:dyDescent="0.3">
      <c r="A46" s="56" t="s">
        <v>75</v>
      </c>
      <c r="B46" s="56" t="s">
        <v>76</v>
      </c>
      <c r="C46" s="26">
        <v>122506</v>
      </c>
      <c r="D46" s="26">
        <v>214300</v>
      </c>
      <c r="E46" s="56" t="s">
        <v>73</v>
      </c>
      <c r="F46" s="36">
        <v>2000000</v>
      </c>
    </row>
    <row r="47" spans="1:6" ht="15.75" customHeight="1" x14ac:dyDescent="0.3">
      <c r="A47" s="56" t="s">
        <v>75</v>
      </c>
      <c r="B47" s="56" t="s">
        <v>76</v>
      </c>
      <c r="C47" s="26">
        <v>122506</v>
      </c>
      <c r="D47" s="26">
        <v>202816</v>
      </c>
      <c r="E47" s="56" t="s">
        <v>71</v>
      </c>
      <c r="F47" s="36">
        <v>2000000</v>
      </c>
    </row>
    <row r="48" spans="1:6" ht="15.75" customHeight="1" x14ac:dyDescent="0.3">
      <c r="A48" s="56" t="s">
        <v>75</v>
      </c>
      <c r="B48" s="56" t="s">
        <v>76</v>
      </c>
      <c r="C48" s="26">
        <v>122506</v>
      </c>
      <c r="D48" s="26">
        <v>202879</v>
      </c>
      <c r="E48" s="56" t="s">
        <v>70</v>
      </c>
      <c r="F48" s="36">
        <v>2000000</v>
      </c>
    </row>
    <row r="49" spans="1:6" ht="15.75" customHeight="1" x14ac:dyDescent="0.3">
      <c r="A49" s="56" t="s">
        <v>75</v>
      </c>
      <c r="B49" s="56" t="s">
        <v>76</v>
      </c>
      <c r="C49" s="26">
        <v>122506</v>
      </c>
      <c r="D49" s="26">
        <v>214422</v>
      </c>
      <c r="E49" s="56" t="s">
        <v>72</v>
      </c>
      <c r="F49" s="36">
        <v>2000000</v>
      </c>
    </row>
    <row r="50" spans="1:6" ht="15.75" customHeight="1" x14ac:dyDescent="0.3">
      <c r="A50" s="56" t="s">
        <v>79</v>
      </c>
      <c r="B50" s="56" t="s">
        <v>80</v>
      </c>
      <c r="C50" s="26">
        <v>175700</v>
      </c>
      <c r="D50" s="26">
        <v>1370001</v>
      </c>
      <c r="E50" s="56" t="s">
        <v>74</v>
      </c>
      <c r="F50" s="36">
        <v>2000000</v>
      </c>
    </row>
    <row r="51" spans="1:6" ht="15.75" customHeight="1" x14ac:dyDescent="0.3">
      <c r="A51" s="56" t="s">
        <v>82</v>
      </c>
      <c r="B51" s="56" t="s">
        <v>83</v>
      </c>
      <c r="C51" s="26">
        <v>211074</v>
      </c>
      <c r="D51" s="26">
        <v>2217375</v>
      </c>
      <c r="E51" s="56" t="s">
        <v>85</v>
      </c>
      <c r="F51" s="36">
        <v>2000000</v>
      </c>
    </row>
    <row r="52" spans="1:6" ht="15.75" customHeight="1" x14ac:dyDescent="0.3">
      <c r="A52" s="56" t="s">
        <v>59</v>
      </c>
      <c r="B52" s="56" t="s">
        <v>167</v>
      </c>
      <c r="C52" s="26">
        <v>0</v>
      </c>
      <c r="D52" s="26">
        <v>0</v>
      </c>
      <c r="E52" s="56" t="s">
        <v>117</v>
      </c>
      <c r="F52" s="36">
        <v>2000000</v>
      </c>
    </row>
    <row r="53" spans="1:6" ht="15.75" customHeight="1" x14ac:dyDescent="0.3">
      <c r="A53" s="56" t="s">
        <v>39</v>
      </c>
      <c r="B53" s="56" t="s">
        <v>43</v>
      </c>
      <c r="C53" s="26">
        <v>195403</v>
      </c>
      <c r="D53" s="26">
        <v>1600007</v>
      </c>
      <c r="E53" s="56" t="s">
        <v>87</v>
      </c>
      <c r="F53" s="36">
        <v>2000000</v>
      </c>
    </row>
    <row r="54" spans="1:6" ht="15.75" customHeight="1" x14ac:dyDescent="0.3">
      <c r="A54" s="56" t="s">
        <v>59</v>
      </c>
      <c r="B54" s="56" t="s">
        <v>60</v>
      </c>
      <c r="C54" s="26">
        <v>211051</v>
      </c>
      <c r="D54" s="26">
        <v>5580008</v>
      </c>
      <c r="E54" s="56" t="s">
        <v>88</v>
      </c>
      <c r="F54" s="36">
        <v>2000000</v>
      </c>
    </row>
    <row r="55" spans="1:6" ht="15.75" customHeight="1" x14ac:dyDescent="0.3">
      <c r="A55" s="56" t="s">
        <v>45</v>
      </c>
      <c r="B55" s="56" t="s">
        <v>89</v>
      </c>
      <c r="C55" s="26">
        <v>211161</v>
      </c>
      <c r="D55" s="26">
        <v>7103</v>
      </c>
      <c r="E55" s="56" t="s">
        <v>91</v>
      </c>
      <c r="F55" s="36">
        <v>2000000</v>
      </c>
    </row>
    <row r="56" spans="1:6" ht="15.75" customHeight="1" x14ac:dyDescent="0.3">
      <c r="A56" s="56" t="s">
        <v>59</v>
      </c>
      <c r="B56" s="56" t="s">
        <v>126</v>
      </c>
      <c r="C56" s="26">
        <v>211009</v>
      </c>
      <c r="D56" s="26">
        <v>2100003</v>
      </c>
      <c r="E56" s="56" t="s">
        <v>118</v>
      </c>
      <c r="F56" s="36">
        <v>2000000</v>
      </c>
    </row>
    <row r="57" spans="1:6" ht="15.75" customHeight="1" x14ac:dyDescent="0.3">
      <c r="A57" s="56" t="s">
        <v>59</v>
      </c>
      <c r="B57" s="56" t="s">
        <v>92</v>
      </c>
      <c r="C57" s="26">
        <v>211050</v>
      </c>
      <c r="D57" s="26">
        <v>2910733</v>
      </c>
      <c r="E57" s="56" t="s">
        <v>93</v>
      </c>
      <c r="F57" s="36">
        <v>2000000</v>
      </c>
    </row>
    <row r="58" spans="1:6" ht="15.75" customHeight="1" x14ac:dyDescent="0.3">
      <c r="A58" s="56" t="s">
        <v>39</v>
      </c>
      <c r="B58" s="56" t="s">
        <v>94</v>
      </c>
      <c r="C58" s="26">
        <v>103258</v>
      </c>
      <c r="D58" s="26">
        <v>9201924</v>
      </c>
      <c r="E58" s="56" t="s">
        <v>95</v>
      </c>
      <c r="F58" s="36">
        <v>2000000</v>
      </c>
    </row>
    <row r="59" spans="1:6" ht="15.75" customHeight="1" x14ac:dyDescent="0.3">
      <c r="A59" s="56" t="s">
        <v>39</v>
      </c>
      <c r="B59" s="56" t="s">
        <v>43</v>
      </c>
      <c r="C59" s="26">
        <v>103259</v>
      </c>
      <c r="D59" s="26">
        <v>9006219</v>
      </c>
      <c r="E59" s="56" t="s">
        <v>96</v>
      </c>
      <c r="F59" s="36">
        <v>2000000</v>
      </c>
    </row>
    <row r="60" spans="1:6" ht="15.75" customHeight="1" x14ac:dyDescent="0.3">
      <c r="A60" s="56" t="s">
        <v>45</v>
      </c>
      <c r="B60" s="56" t="s">
        <v>89</v>
      </c>
      <c r="C60" s="26">
        <v>211161</v>
      </c>
      <c r="D60" s="26">
        <v>710355</v>
      </c>
      <c r="E60" s="56" t="s">
        <v>97</v>
      </c>
      <c r="F60" s="36">
        <v>2000000</v>
      </c>
    </row>
    <row r="61" spans="1:6" ht="15.75" customHeight="1" x14ac:dyDescent="0.3">
      <c r="A61" s="56" t="s">
        <v>39</v>
      </c>
      <c r="B61" s="56" t="s">
        <v>98</v>
      </c>
      <c r="C61" s="26">
        <v>103712</v>
      </c>
      <c r="D61" s="26">
        <v>4404677</v>
      </c>
      <c r="E61" s="56" t="s">
        <v>99</v>
      </c>
      <c r="F61" s="36">
        <v>2000000</v>
      </c>
    </row>
    <row r="62" spans="1:6" ht="15.75" customHeight="1" x14ac:dyDescent="0.3">
      <c r="A62" s="56" t="s">
        <v>59</v>
      </c>
      <c r="B62" s="56" t="s">
        <v>148</v>
      </c>
      <c r="C62" s="26">
        <v>166102</v>
      </c>
      <c r="D62" s="26">
        <v>9000058</v>
      </c>
      <c r="E62" s="56" t="s">
        <v>119</v>
      </c>
      <c r="F62" s="36">
        <v>2000000</v>
      </c>
    </row>
    <row r="63" spans="1:6" ht="15.75" customHeight="1" x14ac:dyDescent="0.3">
      <c r="A63" s="56" t="s">
        <v>82</v>
      </c>
      <c r="B63" s="56" t="s">
        <v>149</v>
      </c>
      <c r="C63" s="26">
        <v>103783</v>
      </c>
      <c r="D63" s="26">
        <v>7500090</v>
      </c>
      <c r="E63" s="56" t="s">
        <v>120</v>
      </c>
      <c r="F63" s="36">
        <v>2000000</v>
      </c>
    </row>
    <row r="64" spans="1:6" ht="15.75" customHeight="1" x14ac:dyDescent="0.3">
      <c r="A64" s="56" t="s">
        <v>39</v>
      </c>
      <c r="B64" s="56" t="s">
        <v>134</v>
      </c>
      <c r="C64" s="26">
        <v>103259</v>
      </c>
      <c r="D64" s="26">
        <v>9002359</v>
      </c>
      <c r="E64" s="56" t="s">
        <v>103</v>
      </c>
      <c r="F64" s="36">
        <v>2000000</v>
      </c>
    </row>
    <row r="65" spans="1:6" ht="15.75" customHeight="1" x14ac:dyDescent="0.3">
      <c r="A65" s="56" t="s">
        <v>82</v>
      </c>
      <c r="B65" s="56" t="s">
        <v>114</v>
      </c>
      <c r="C65" s="26">
        <v>103240</v>
      </c>
      <c r="D65" s="26">
        <v>7112059</v>
      </c>
      <c r="E65" s="56" t="s">
        <v>116</v>
      </c>
      <c r="F65" s="36">
        <v>2000000</v>
      </c>
    </row>
    <row r="66" spans="1:6" ht="15.75" customHeight="1" x14ac:dyDescent="0.3">
      <c r="A66" s="56" t="s">
        <v>45</v>
      </c>
      <c r="B66" s="56" t="s">
        <v>105</v>
      </c>
      <c r="C66" s="26">
        <v>211030</v>
      </c>
      <c r="D66" s="26">
        <v>5766116</v>
      </c>
      <c r="E66" s="56" t="s">
        <v>106</v>
      </c>
      <c r="F66" s="36">
        <v>2000000</v>
      </c>
    </row>
    <row r="67" spans="1:6" ht="15.75" customHeight="1" x14ac:dyDescent="0.3">
      <c r="A67" s="56" t="s">
        <v>45</v>
      </c>
      <c r="B67" s="56" t="s">
        <v>107</v>
      </c>
      <c r="C67" s="26">
        <v>170208</v>
      </c>
      <c r="D67" s="26">
        <v>5765022</v>
      </c>
      <c r="E67" s="56" t="s">
        <v>108</v>
      </c>
      <c r="F67" s="36">
        <v>2000000</v>
      </c>
    </row>
    <row r="68" spans="1:6" ht="15.75" customHeight="1" x14ac:dyDescent="0.3">
      <c r="A68" s="56" t="s">
        <v>45</v>
      </c>
      <c r="B68" s="56" t="s">
        <v>107</v>
      </c>
      <c r="C68" s="26">
        <v>170208</v>
      </c>
      <c r="D68" s="26">
        <v>5765011</v>
      </c>
      <c r="E68" s="56" t="s">
        <v>109</v>
      </c>
      <c r="F68" s="36">
        <v>2000000</v>
      </c>
    </row>
    <row r="69" spans="1:6" ht="15.75" customHeight="1" x14ac:dyDescent="0.3">
      <c r="A69" s="56" t="s">
        <v>59</v>
      </c>
      <c r="B69" s="56" t="s">
        <v>110</v>
      </c>
      <c r="C69" s="26">
        <v>103274</v>
      </c>
      <c r="D69" s="26">
        <v>1301399</v>
      </c>
      <c r="E69" s="56" t="s">
        <v>111</v>
      </c>
      <c r="F69" s="36">
        <v>2000000</v>
      </c>
    </row>
    <row r="70" spans="1:6" ht="15.75" customHeight="1" x14ac:dyDescent="0.3">
      <c r="A70" s="56" t="s">
        <v>59</v>
      </c>
      <c r="B70" s="56" t="s">
        <v>150</v>
      </c>
      <c r="C70" s="26">
        <v>0</v>
      </c>
      <c r="D70" s="26">
        <v>0</v>
      </c>
      <c r="E70" s="56" t="s">
        <v>121</v>
      </c>
      <c r="F70" s="36">
        <v>2000000</v>
      </c>
    </row>
    <row r="71" spans="1:6" ht="15.75" customHeight="1" x14ac:dyDescent="0.3">
      <c r="A71" s="56" t="s">
        <v>39</v>
      </c>
      <c r="B71" s="56" t="s">
        <v>151</v>
      </c>
      <c r="C71" s="26">
        <v>121409</v>
      </c>
      <c r="D71" s="26">
        <v>5025004</v>
      </c>
      <c r="E71" s="56" t="s">
        <v>112</v>
      </c>
      <c r="F71" s="36">
        <v>2000000</v>
      </c>
    </row>
    <row r="72" spans="1:6" ht="15.75" customHeight="1" x14ac:dyDescent="0.3">
      <c r="A72" s="56" t="s">
        <v>82</v>
      </c>
      <c r="B72" s="56" t="s">
        <v>149</v>
      </c>
      <c r="C72" s="26">
        <v>103783</v>
      </c>
      <c r="D72" s="26">
        <v>7500032</v>
      </c>
      <c r="E72" s="56" t="s">
        <v>122</v>
      </c>
      <c r="F72" s="36">
        <v>2000000</v>
      </c>
    </row>
    <row r="73" spans="1:6" ht="15.75" customHeight="1" x14ac:dyDescent="0.3">
      <c r="A73" s="56" t="s">
        <v>59</v>
      </c>
      <c r="B73" s="56" t="s">
        <v>137</v>
      </c>
      <c r="C73" s="56">
        <v>0</v>
      </c>
      <c r="D73" s="56">
        <v>0</v>
      </c>
      <c r="E73" s="56" t="s">
        <v>124</v>
      </c>
      <c r="F73" s="36">
        <v>2000000</v>
      </c>
    </row>
    <row r="74" spans="1:6" ht="15.75" customHeight="1" x14ac:dyDescent="0.3">
      <c r="A74" s="56" t="s">
        <v>59</v>
      </c>
      <c r="B74" s="56" t="s">
        <v>150</v>
      </c>
      <c r="C74" s="56">
        <v>0</v>
      </c>
      <c r="D74" s="56">
        <v>0</v>
      </c>
      <c r="E74" s="56" t="s">
        <v>125</v>
      </c>
      <c r="F74" s="36">
        <v>2000000</v>
      </c>
    </row>
    <row r="75" spans="1:6" ht="15.75" customHeight="1" x14ac:dyDescent="0.3"/>
    <row r="76" spans="1:6" ht="15.75" customHeight="1" x14ac:dyDescent="0.3"/>
    <row r="77" spans="1:6" ht="15.75" customHeight="1" x14ac:dyDescent="0.3"/>
    <row r="78" spans="1:6" ht="15.75" customHeight="1" x14ac:dyDescent="0.3"/>
    <row r="79" spans="1:6" ht="15.75" customHeight="1" x14ac:dyDescent="0.3"/>
    <row r="80" spans="1: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10" zoomScale="85" zoomScaleNormal="85" workbookViewId="0">
      <selection activeCell="C1" sqref="C1"/>
    </sheetView>
  </sheetViews>
  <sheetFormatPr defaultRowHeight="14.4" x14ac:dyDescent="0.3"/>
  <cols>
    <col min="1" max="1" width="31.109375" bestFit="1" customWidth="1"/>
    <col min="2" max="2" width="26" bestFit="1" customWidth="1"/>
    <col min="3" max="4" width="10" bestFit="1" customWidth="1"/>
    <col min="5" max="5" width="11.44140625" bestFit="1" customWidth="1"/>
    <col min="6" max="8" width="8" bestFit="1" customWidth="1"/>
    <col min="9" max="9" width="7" bestFit="1" customWidth="1"/>
    <col min="10" max="12" width="8" bestFit="1" customWidth="1"/>
    <col min="13" max="13" width="7" bestFit="1" customWidth="1"/>
    <col min="14" max="16" width="9" bestFit="1" customWidth="1"/>
    <col min="17" max="17" width="7" bestFit="1" customWidth="1"/>
    <col min="18" max="20" width="9" bestFit="1" customWidth="1"/>
    <col min="21" max="21" width="7" bestFit="1" customWidth="1"/>
    <col min="22" max="27" width="9" bestFit="1" customWidth="1"/>
    <col min="28" max="28" width="11.33203125" bestFit="1" customWidth="1"/>
    <col min="29" max="30" width="9" bestFit="1" customWidth="1"/>
    <col min="31" max="31" width="10" bestFit="1" customWidth="1"/>
    <col min="32" max="32" width="11.33203125" bestFit="1" customWidth="1"/>
  </cols>
  <sheetData>
    <row r="1" spans="1:5" x14ac:dyDescent="0.3">
      <c r="A1" s="61" t="s">
        <v>3</v>
      </c>
      <c r="B1" s="62">
        <v>28</v>
      </c>
    </row>
    <row r="2" spans="1:5" x14ac:dyDescent="0.3">
      <c r="A2" s="61" t="s">
        <v>8</v>
      </c>
      <c r="B2" t="s">
        <v>41</v>
      </c>
    </row>
    <row r="4" spans="1:5" x14ac:dyDescent="0.3">
      <c r="A4" s="61" t="s">
        <v>168</v>
      </c>
      <c r="B4" s="61" t="s">
        <v>169</v>
      </c>
    </row>
    <row r="5" spans="1:5" x14ac:dyDescent="0.3">
      <c r="A5" s="61" t="s">
        <v>170</v>
      </c>
      <c r="B5" s="68">
        <v>46213</v>
      </c>
      <c r="C5" s="68">
        <v>46214</v>
      </c>
      <c r="D5" s="68">
        <v>46215</v>
      </c>
      <c r="E5" t="s">
        <v>171</v>
      </c>
    </row>
    <row r="6" spans="1:5" x14ac:dyDescent="0.3">
      <c r="A6" s="62" t="s">
        <v>35</v>
      </c>
      <c r="B6">
        <v>3168800</v>
      </c>
      <c r="C6">
        <v>2856000</v>
      </c>
      <c r="D6">
        <v>3400000</v>
      </c>
      <c r="E6">
        <v>9424800</v>
      </c>
    </row>
    <row r="7" spans="1:5" x14ac:dyDescent="0.3">
      <c r="A7" s="63" t="s">
        <v>172</v>
      </c>
      <c r="B7">
        <v>1584400</v>
      </c>
      <c r="C7">
        <v>1428000</v>
      </c>
      <c r="D7">
        <v>1700000</v>
      </c>
      <c r="E7">
        <v>4712400</v>
      </c>
    </row>
    <row r="8" spans="1:5" x14ac:dyDescent="0.3">
      <c r="A8" s="63" t="s">
        <v>173</v>
      </c>
      <c r="B8">
        <v>1584400</v>
      </c>
      <c r="C8">
        <v>1428000</v>
      </c>
      <c r="D8">
        <v>1700000</v>
      </c>
      <c r="E8">
        <v>4712400</v>
      </c>
    </row>
    <row r="9" spans="1:5" x14ac:dyDescent="0.3">
      <c r="A9" s="62" t="s">
        <v>68</v>
      </c>
      <c r="B9">
        <v>2332750</v>
      </c>
      <c r="C9">
        <v>2266100</v>
      </c>
      <c r="D9">
        <v>2756300</v>
      </c>
      <c r="E9">
        <v>7355150</v>
      </c>
    </row>
    <row r="10" spans="1:5" x14ac:dyDescent="0.3">
      <c r="A10" s="63" t="s">
        <v>174</v>
      </c>
      <c r="B10">
        <v>1148100</v>
      </c>
      <c r="C10">
        <v>1150250</v>
      </c>
      <c r="D10">
        <v>1399650</v>
      </c>
      <c r="E10">
        <v>3698000</v>
      </c>
    </row>
    <row r="11" spans="1:5" x14ac:dyDescent="0.3">
      <c r="A11" s="63" t="s">
        <v>175</v>
      </c>
      <c r="B11">
        <v>1184650</v>
      </c>
      <c r="C11">
        <v>1115850</v>
      </c>
      <c r="D11">
        <v>1356650</v>
      </c>
      <c r="E11">
        <v>3657150</v>
      </c>
    </row>
    <row r="12" spans="1:5" x14ac:dyDescent="0.3">
      <c r="A12" s="62" t="s">
        <v>26</v>
      </c>
      <c r="B12">
        <v>1591650</v>
      </c>
      <c r="C12">
        <v>2023950</v>
      </c>
      <c r="D12">
        <v>1932250</v>
      </c>
      <c r="E12">
        <v>5547850</v>
      </c>
    </row>
    <row r="13" spans="1:5" x14ac:dyDescent="0.3">
      <c r="A13" s="63" t="s">
        <v>176</v>
      </c>
      <c r="B13">
        <v>795825</v>
      </c>
      <c r="C13">
        <v>1011975</v>
      </c>
      <c r="D13">
        <v>966125</v>
      </c>
      <c r="E13">
        <v>2773925</v>
      </c>
    </row>
    <row r="14" spans="1:5" x14ac:dyDescent="0.3">
      <c r="A14" s="63" t="s">
        <v>177</v>
      </c>
      <c r="B14">
        <v>795825</v>
      </c>
      <c r="C14">
        <v>1011975</v>
      </c>
      <c r="D14">
        <v>966125</v>
      </c>
      <c r="E14">
        <v>2773925</v>
      </c>
    </row>
    <row r="15" spans="1:5" x14ac:dyDescent="0.3">
      <c r="A15" s="62" t="s">
        <v>27</v>
      </c>
      <c r="B15">
        <v>2337000</v>
      </c>
      <c r="C15">
        <v>2313000</v>
      </c>
      <c r="D15">
        <v>2541000</v>
      </c>
      <c r="E15">
        <v>7191000</v>
      </c>
    </row>
    <row r="16" spans="1:5" x14ac:dyDescent="0.3">
      <c r="A16" s="63" t="s">
        <v>178</v>
      </c>
      <c r="B16">
        <v>1209000</v>
      </c>
      <c r="C16">
        <v>1131000</v>
      </c>
      <c r="D16">
        <v>1251000</v>
      </c>
      <c r="E16">
        <v>3591000</v>
      </c>
    </row>
    <row r="17" spans="1:5" x14ac:dyDescent="0.3">
      <c r="A17" s="63" t="s">
        <v>179</v>
      </c>
      <c r="B17">
        <v>1128000</v>
      </c>
      <c r="C17">
        <v>1182000</v>
      </c>
      <c r="D17">
        <v>1290000</v>
      </c>
      <c r="E17">
        <v>3600000</v>
      </c>
    </row>
    <row r="18" spans="1:5" x14ac:dyDescent="0.3">
      <c r="A18" s="62" t="s">
        <v>23</v>
      </c>
      <c r="B18">
        <v>1060200</v>
      </c>
      <c r="C18">
        <v>1395000</v>
      </c>
      <c r="D18">
        <v>1903400</v>
      </c>
      <c r="E18">
        <v>4358600</v>
      </c>
    </row>
    <row r="19" spans="1:5" x14ac:dyDescent="0.3">
      <c r="A19" s="63" t="s">
        <v>180</v>
      </c>
      <c r="B19">
        <v>551800</v>
      </c>
      <c r="C19">
        <v>713000</v>
      </c>
      <c r="D19">
        <v>951700</v>
      </c>
      <c r="E19">
        <v>2216500</v>
      </c>
    </row>
    <row r="20" spans="1:5" x14ac:dyDescent="0.3">
      <c r="A20" s="63" t="s">
        <v>181</v>
      </c>
      <c r="B20">
        <v>508400</v>
      </c>
      <c r="C20">
        <v>682000</v>
      </c>
      <c r="D20">
        <v>951700</v>
      </c>
      <c r="E20">
        <v>2142100</v>
      </c>
    </row>
    <row r="21" spans="1:5" x14ac:dyDescent="0.3">
      <c r="A21" s="62" t="s">
        <v>30</v>
      </c>
      <c r="B21">
        <v>1779000</v>
      </c>
      <c r="C21">
        <v>1780500</v>
      </c>
      <c r="D21">
        <v>1797000</v>
      </c>
      <c r="E21">
        <v>5356500</v>
      </c>
    </row>
    <row r="22" spans="1:5" x14ac:dyDescent="0.3">
      <c r="A22" s="63" t="s">
        <v>182</v>
      </c>
      <c r="B22">
        <v>855000</v>
      </c>
      <c r="C22">
        <v>840000</v>
      </c>
      <c r="D22">
        <v>840000</v>
      </c>
      <c r="E22">
        <v>2535000</v>
      </c>
    </row>
    <row r="23" spans="1:5" x14ac:dyDescent="0.3">
      <c r="A23" s="63" t="s">
        <v>183</v>
      </c>
      <c r="B23">
        <v>924000</v>
      </c>
      <c r="C23">
        <v>940500</v>
      </c>
      <c r="D23">
        <v>957000</v>
      </c>
      <c r="E23">
        <v>2821500</v>
      </c>
    </row>
    <row r="24" spans="1:5" x14ac:dyDescent="0.3">
      <c r="A24" s="62" t="s">
        <v>31</v>
      </c>
      <c r="B24">
        <v>1898400</v>
      </c>
      <c r="C24">
        <v>3175200</v>
      </c>
      <c r="D24">
        <v>3250800</v>
      </c>
      <c r="E24">
        <v>8324400</v>
      </c>
    </row>
    <row r="25" spans="1:5" x14ac:dyDescent="0.3">
      <c r="A25" s="63" t="s">
        <v>184</v>
      </c>
      <c r="B25">
        <v>949200</v>
      </c>
      <c r="C25">
        <v>1587600</v>
      </c>
      <c r="D25">
        <v>1625400</v>
      </c>
      <c r="E25">
        <v>4162200</v>
      </c>
    </row>
    <row r="26" spans="1:5" x14ac:dyDescent="0.3">
      <c r="A26" s="63" t="s">
        <v>185</v>
      </c>
      <c r="B26">
        <v>949200</v>
      </c>
      <c r="C26">
        <v>1587600</v>
      </c>
      <c r="D26">
        <v>1625400</v>
      </c>
      <c r="E26">
        <v>4162200</v>
      </c>
    </row>
    <row r="27" spans="1:5" x14ac:dyDescent="0.3">
      <c r="A27" s="62" t="s">
        <v>34</v>
      </c>
      <c r="B27">
        <v>1050000</v>
      </c>
      <c r="C27">
        <v>700000</v>
      </c>
      <c r="D27">
        <v>525000</v>
      </c>
      <c r="E27">
        <v>2275000</v>
      </c>
    </row>
    <row r="28" spans="1:5" x14ac:dyDescent="0.3">
      <c r="A28" s="63" t="s">
        <v>186</v>
      </c>
      <c r="B28">
        <v>647500</v>
      </c>
      <c r="C28">
        <v>350000</v>
      </c>
      <c r="D28">
        <v>140000</v>
      </c>
      <c r="E28">
        <v>1137500</v>
      </c>
    </row>
    <row r="29" spans="1:5" x14ac:dyDescent="0.3">
      <c r="A29" s="63" t="s">
        <v>187</v>
      </c>
      <c r="B29">
        <v>402500</v>
      </c>
      <c r="C29">
        <v>350000</v>
      </c>
      <c r="D29">
        <v>385000</v>
      </c>
      <c r="E29">
        <v>1137500</v>
      </c>
    </row>
    <row r="30" spans="1:5" x14ac:dyDescent="0.3">
      <c r="A30" s="62" t="s">
        <v>32</v>
      </c>
      <c r="B30">
        <v>1650000</v>
      </c>
      <c r="C30">
        <v>2211000</v>
      </c>
      <c r="D30">
        <v>1320000</v>
      </c>
      <c r="E30">
        <v>5181000</v>
      </c>
    </row>
    <row r="31" spans="1:5" x14ac:dyDescent="0.3">
      <c r="A31" s="63" t="s">
        <v>188</v>
      </c>
      <c r="B31">
        <v>825000</v>
      </c>
      <c r="C31">
        <v>1089000</v>
      </c>
      <c r="E31">
        <v>1914000</v>
      </c>
    </row>
    <row r="32" spans="1:5" x14ac:dyDescent="0.3">
      <c r="A32" s="63" t="s">
        <v>189</v>
      </c>
      <c r="B32">
        <v>825000</v>
      </c>
      <c r="C32">
        <v>1122000</v>
      </c>
      <c r="D32">
        <v>660000</v>
      </c>
      <c r="E32">
        <v>2607000</v>
      </c>
    </row>
    <row r="33" spans="1:5" x14ac:dyDescent="0.3">
      <c r="A33" s="63" t="s">
        <v>190</v>
      </c>
      <c r="D33">
        <v>660000</v>
      </c>
      <c r="E33">
        <v>660000</v>
      </c>
    </row>
    <row r="34" spans="1:5" x14ac:dyDescent="0.3">
      <c r="A34" s="62" t="s">
        <v>171</v>
      </c>
      <c r="B34">
        <v>16867800</v>
      </c>
      <c r="C34">
        <v>18720750</v>
      </c>
      <c r="D34">
        <v>19425750</v>
      </c>
      <c r="E34">
        <v>55014300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zoomScale="85" zoomScaleNormal="85" workbookViewId="0">
      <selection activeCell="B10" sqref="B10:B11"/>
    </sheetView>
  </sheetViews>
  <sheetFormatPr defaultRowHeight="14.4" x14ac:dyDescent="0.3"/>
  <cols>
    <col min="1" max="1" width="37.88671875" bestFit="1" customWidth="1"/>
    <col min="2" max="2" width="32.44140625" bestFit="1" customWidth="1"/>
    <col min="3" max="4" width="14.109375" bestFit="1" customWidth="1"/>
    <col min="5" max="7" width="15.109375" bestFit="1" customWidth="1"/>
    <col min="8" max="9" width="14.109375" bestFit="1" customWidth="1"/>
    <col min="10" max="11" width="12.88671875" bestFit="1" customWidth="1"/>
    <col min="12" max="12" width="11.33203125" bestFit="1" customWidth="1"/>
    <col min="13" max="15" width="14.109375" bestFit="1" customWidth="1"/>
    <col min="16" max="16" width="11.33203125" bestFit="1" customWidth="1"/>
    <col min="17" max="19" width="14.109375" bestFit="1" customWidth="1"/>
    <col min="20" max="20" width="11.33203125" bestFit="1" customWidth="1"/>
    <col min="21" max="26" width="14.109375" bestFit="1" customWidth="1"/>
    <col min="27" max="27" width="8.77734375" bestFit="1" customWidth="1"/>
    <col min="28" max="28" width="15.109375" bestFit="1" customWidth="1"/>
    <col min="29" max="35" width="11.6640625" bestFit="1" customWidth="1"/>
    <col min="36" max="36" width="10.5546875" bestFit="1" customWidth="1"/>
    <col min="37" max="37" width="12.6640625" bestFit="1" customWidth="1"/>
  </cols>
  <sheetData>
    <row r="1" spans="1:7" x14ac:dyDescent="0.3">
      <c r="A1" s="61" t="s">
        <v>3</v>
      </c>
      <c r="B1" s="62">
        <v>34</v>
      </c>
    </row>
    <row r="2" spans="1:7" x14ac:dyDescent="0.3">
      <c r="A2" s="61" t="s">
        <v>8</v>
      </c>
      <c r="B2" t="s">
        <v>304</v>
      </c>
    </row>
    <row r="4" spans="1:7" x14ac:dyDescent="0.3">
      <c r="A4" s="61" t="s">
        <v>168</v>
      </c>
      <c r="C4" s="61" t="s">
        <v>5</v>
      </c>
    </row>
    <row r="5" spans="1:7" x14ac:dyDescent="0.3">
      <c r="A5" s="61" t="s">
        <v>10</v>
      </c>
      <c r="B5" s="61" t="s">
        <v>191</v>
      </c>
      <c r="C5" s="6">
        <v>46257</v>
      </c>
      <c r="D5" s="6">
        <v>46255</v>
      </c>
      <c r="E5" s="6">
        <v>46256</v>
      </c>
      <c r="F5" s="6">
        <v>46252</v>
      </c>
      <c r="G5" s="6" t="s">
        <v>171</v>
      </c>
    </row>
    <row r="6" spans="1:7" x14ac:dyDescent="0.3">
      <c r="A6" t="s">
        <v>57</v>
      </c>
      <c r="B6" t="s">
        <v>192</v>
      </c>
      <c r="C6" s="67">
        <v>533200</v>
      </c>
      <c r="D6" s="67">
        <v>604560</v>
      </c>
      <c r="E6" s="67">
        <v>616900</v>
      </c>
      <c r="F6" s="67"/>
      <c r="G6" s="67">
        <v>1754660</v>
      </c>
    </row>
    <row r="7" spans="1:7" x14ac:dyDescent="0.3">
      <c r="B7" t="s">
        <v>193</v>
      </c>
      <c r="C7" s="67">
        <v>527000</v>
      </c>
      <c r="D7" s="67">
        <v>589056</v>
      </c>
      <c r="E7" s="67">
        <v>604500</v>
      </c>
      <c r="F7" s="67"/>
      <c r="G7" s="67">
        <v>1720556</v>
      </c>
    </row>
    <row r="8" spans="1:7" x14ac:dyDescent="0.3">
      <c r="A8" t="s">
        <v>102</v>
      </c>
      <c r="B8" t="s">
        <v>194</v>
      </c>
      <c r="C8" s="67"/>
      <c r="D8" s="67">
        <v>800926</v>
      </c>
      <c r="E8" s="67">
        <v>980880</v>
      </c>
      <c r="F8" s="67">
        <v>2459726</v>
      </c>
      <c r="G8" s="67">
        <v>4241532</v>
      </c>
    </row>
    <row r="9" spans="1:7" x14ac:dyDescent="0.3">
      <c r="B9" t="s">
        <v>195</v>
      </c>
      <c r="C9" s="67"/>
      <c r="D9" s="67">
        <v>800926</v>
      </c>
      <c r="E9" s="67">
        <v>980880</v>
      </c>
      <c r="F9" s="67">
        <v>2459726</v>
      </c>
      <c r="G9" s="67">
        <v>4241532</v>
      </c>
    </row>
    <row r="10" spans="1:7" x14ac:dyDescent="0.3">
      <c r="A10" t="s">
        <v>99</v>
      </c>
      <c r="B10" t="s">
        <v>178</v>
      </c>
      <c r="C10" s="67">
        <v>666000</v>
      </c>
      <c r="D10" s="67">
        <v>594000</v>
      </c>
      <c r="E10" s="67">
        <v>642000</v>
      </c>
      <c r="F10" s="67"/>
      <c r="G10" s="67">
        <v>1902000</v>
      </c>
    </row>
    <row r="11" spans="1:7" x14ac:dyDescent="0.3">
      <c r="B11" t="s">
        <v>179</v>
      </c>
      <c r="C11" s="67">
        <v>678000</v>
      </c>
      <c r="D11" s="67">
        <v>564000</v>
      </c>
      <c r="E11" s="67">
        <v>621000</v>
      </c>
      <c r="F11" s="67"/>
      <c r="G11" s="67">
        <v>1863000</v>
      </c>
    </row>
    <row r="12" spans="1:7" x14ac:dyDescent="0.3">
      <c r="A12" t="s">
        <v>87</v>
      </c>
      <c r="B12" t="s">
        <v>174</v>
      </c>
      <c r="C12" s="67">
        <v>741750</v>
      </c>
      <c r="D12" s="67">
        <v>741750</v>
      </c>
      <c r="E12" s="67">
        <v>806250</v>
      </c>
      <c r="F12" s="67"/>
      <c r="G12" s="67">
        <v>2289750</v>
      </c>
    </row>
    <row r="13" spans="1:7" x14ac:dyDescent="0.3">
      <c r="B13" t="s">
        <v>175</v>
      </c>
      <c r="C13" s="67">
        <v>765400</v>
      </c>
      <c r="D13" s="67">
        <v>703050</v>
      </c>
      <c r="E13" s="67">
        <v>761100</v>
      </c>
      <c r="F13" s="67"/>
      <c r="G13" s="67">
        <v>2229550</v>
      </c>
    </row>
    <row r="14" spans="1:7" x14ac:dyDescent="0.3">
      <c r="A14" t="s">
        <v>103</v>
      </c>
      <c r="B14" t="s">
        <v>196</v>
      </c>
      <c r="C14" s="67">
        <v>255156</v>
      </c>
      <c r="D14" s="67">
        <v>211314</v>
      </c>
      <c r="E14" s="67">
        <v>59010</v>
      </c>
      <c r="F14" s="67"/>
      <c r="G14" s="67">
        <v>525480</v>
      </c>
    </row>
    <row r="15" spans="1:7" x14ac:dyDescent="0.3">
      <c r="B15" t="s">
        <v>197</v>
      </c>
      <c r="C15" s="67">
        <v>220362</v>
      </c>
      <c r="D15" s="67">
        <v>58908</v>
      </c>
      <c r="E15" s="67">
        <v>70812</v>
      </c>
      <c r="F15" s="67"/>
      <c r="G15" s="67">
        <v>350082</v>
      </c>
    </row>
    <row r="16" spans="1:7" x14ac:dyDescent="0.3">
      <c r="A16" t="s">
        <v>112</v>
      </c>
      <c r="B16" t="s">
        <v>184</v>
      </c>
      <c r="C16" s="67">
        <v>1326375</v>
      </c>
      <c r="D16" s="67">
        <v>962850</v>
      </c>
      <c r="E16" s="67">
        <v>802375</v>
      </c>
      <c r="F16" s="67"/>
      <c r="G16" s="67">
        <v>3091600</v>
      </c>
    </row>
    <row r="17" spans="1:7" x14ac:dyDescent="0.3">
      <c r="B17" t="s">
        <v>185</v>
      </c>
      <c r="C17" s="67">
        <v>1326375</v>
      </c>
      <c r="D17" s="67">
        <v>962850</v>
      </c>
      <c r="E17" s="67">
        <v>802375</v>
      </c>
      <c r="F17" s="67"/>
      <c r="G17" s="67">
        <v>3091600</v>
      </c>
    </row>
    <row r="18" spans="1:7" x14ac:dyDescent="0.3">
      <c r="A18" t="s">
        <v>96</v>
      </c>
      <c r="B18" t="s">
        <v>198</v>
      </c>
      <c r="C18" s="67">
        <v>450000</v>
      </c>
      <c r="D18" s="67">
        <v>412000</v>
      </c>
      <c r="E18" s="67">
        <v>426000</v>
      </c>
      <c r="F18" s="67"/>
      <c r="G18" s="67">
        <v>1288000</v>
      </c>
    </row>
    <row r="19" spans="1:7" x14ac:dyDescent="0.3">
      <c r="B19" t="s">
        <v>199</v>
      </c>
      <c r="C19" s="67">
        <v>450000</v>
      </c>
      <c r="D19" s="67">
        <v>412000</v>
      </c>
      <c r="E19" s="67">
        <v>426000</v>
      </c>
      <c r="F19" s="67"/>
      <c r="G19" s="67">
        <v>1288000</v>
      </c>
    </row>
    <row r="20" spans="1:7" x14ac:dyDescent="0.3">
      <c r="A20" t="s">
        <v>95</v>
      </c>
      <c r="B20" t="s">
        <v>200</v>
      </c>
      <c r="C20" s="67">
        <v>372000</v>
      </c>
      <c r="D20" s="67">
        <v>294000</v>
      </c>
      <c r="E20" s="67">
        <v>692000</v>
      </c>
      <c r="F20" s="67"/>
      <c r="G20" s="67">
        <v>1358000</v>
      </c>
    </row>
    <row r="21" spans="1:7" x14ac:dyDescent="0.3">
      <c r="B21" t="s">
        <v>201</v>
      </c>
      <c r="C21" s="67">
        <v>372000</v>
      </c>
      <c r="D21" s="67">
        <v>294000</v>
      </c>
      <c r="E21" s="67">
        <v>692000</v>
      </c>
      <c r="F21" s="67"/>
      <c r="G21" s="67">
        <v>1358000</v>
      </c>
    </row>
    <row r="22" spans="1:7" x14ac:dyDescent="0.3">
      <c r="A22" t="s">
        <v>88</v>
      </c>
      <c r="B22" t="s">
        <v>202</v>
      </c>
      <c r="C22" s="67"/>
      <c r="D22" s="67">
        <v>1182000</v>
      </c>
      <c r="E22" s="67">
        <v>1356000</v>
      </c>
      <c r="F22" s="67"/>
      <c r="G22" s="67">
        <v>2538000</v>
      </c>
    </row>
    <row r="23" spans="1:7" x14ac:dyDescent="0.3">
      <c r="B23" t="s">
        <v>203</v>
      </c>
      <c r="C23" s="67">
        <v>1422000</v>
      </c>
      <c r="D23" s="67">
        <v>1182000</v>
      </c>
      <c r="E23" s="67">
        <v>1356000</v>
      </c>
      <c r="F23" s="67"/>
      <c r="G23" s="67">
        <v>3960000</v>
      </c>
    </row>
    <row r="24" spans="1:7" x14ac:dyDescent="0.3">
      <c r="B24" t="s">
        <v>204</v>
      </c>
      <c r="C24" s="67">
        <v>1422000</v>
      </c>
      <c r="D24" s="67"/>
      <c r="E24" s="67"/>
      <c r="F24" s="67"/>
      <c r="G24" s="67">
        <v>1422000</v>
      </c>
    </row>
    <row r="25" spans="1:7" x14ac:dyDescent="0.3">
      <c r="A25" t="s">
        <v>111</v>
      </c>
      <c r="B25" t="s">
        <v>205</v>
      </c>
      <c r="C25" s="67">
        <v>834030</v>
      </c>
      <c r="D25" s="67">
        <v>831870</v>
      </c>
      <c r="E25" s="67">
        <v>839970</v>
      </c>
      <c r="F25" s="67"/>
      <c r="G25" s="67">
        <v>2505870</v>
      </c>
    </row>
    <row r="26" spans="1:7" x14ac:dyDescent="0.3">
      <c r="B26" t="s">
        <v>206</v>
      </c>
      <c r="C26" s="67">
        <v>834030</v>
      </c>
      <c r="D26" s="67">
        <v>831870</v>
      </c>
      <c r="E26" s="67">
        <v>839970</v>
      </c>
      <c r="F26" s="67"/>
      <c r="G26" s="67">
        <v>2505870</v>
      </c>
    </row>
    <row r="27" spans="1:7" x14ac:dyDescent="0.3">
      <c r="A27" t="s">
        <v>104</v>
      </c>
      <c r="B27" t="s">
        <v>207</v>
      </c>
      <c r="C27" s="67">
        <v>1351480</v>
      </c>
      <c r="D27" s="67">
        <v>1151150</v>
      </c>
      <c r="E27" s="67">
        <v>1312610</v>
      </c>
      <c r="F27" s="67"/>
      <c r="G27" s="67">
        <v>3815240</v>
      </c>
    </row>
    <row r="28" spans="1:7" x14ac:dyDescent="0.3">
      <c r="B28" t="s">
        <v>208</v>
      </c>
      <c r="C28" s="67">
        <v>1351480</v>
      </c>
      <c r="D28" s="67">
        <v>1151150</v>
      </c>
      <c r="E28" s="67">
        <v>1312610</v>
      </c>
      <c r="F28" s="67"/>
      <c r="G28" s="67">
        <v>3815240</v>
      </c>
    </row>
    <row r="29" spans="1:7" x14ac:dyDescent="0.3">
      <c r="A29" t="s">
        <v>85</v>
      </c>
      <c r="B29" t="s">
        <v>209</v>
      </c>
      <c r="C29" s="67">
        <v>582400</v>
      </c>
      <c r="D29" s="67">
        <v>608000</v>
      </c>
      <c r="E29" s="67">
        <v>588800</v>
      </c>
      <c r="F29" s="67"/>
      <c r="G29" s="67">
        <v>1779200</v>
      </c>
    </row>
    <row r="30" spans="1:7" x14ac:dyDescent="0.3">
      <c r="B30" t="s">
        <v>210</v>
      </c>
      <c r="C30" s="67">
        <v>582400</v>
      </c>
      <c r="D30" s="67">
        <v>608000</v>
      </c>
      <c r="E30" s="67">
        <v>588800</v>
      </c>
      <c r="F30" s="67"/>
      <c r="G30" s="67">
        <v>1779200</v>
      </c>
    </row>
    <row r="31" spans="1:7" x14ac:dyDescent="0.3">
      <c r="B31" t="s">
        <v>211</v>
      </c>
      <c r="C31" s="67">
        <v>582400</v>
      </c>
      <c r="D31" s="67">
        <v>608000</v>
      </c>
      <c r="E31" s="67">
        <v>588800</v>
      </c>
      <c r="F31" s="67"/>
      <c r="G31" s="67">
        <v>1779200</v>
      </c>
    </row>
    <row r="32" spans="1:7" x14ac:dyDescent="0.3">
      <c r="A32" t="s">
        <v>116</v>
      </c>
      <c r="B32" t="s">
        <v>212</v>
      </c>
      <c r="C32" s="67">
        <v>863928</v>
      </c>
      <c r="D32" s="67">
        <v>422477</v>
      </c>
      <c r="E32" s="67">
        <v>633616</v>
      </c>
      <c r="F32" s="67"/>
      <c r="G32" s="67">
        <v>1920021</v>
      </c>
    </row>
    <row r="33" spans="1:7" x14ac:dyDescent="0.3">
      <c r="B33" t="s">
        <v>213</v>
      </c>
      <c r="C33" s="67">
        <v>863928</v>
      </c>
      <c r="D33" s="67">
        <v>422477</v>
      </c>
      <c r="E33" s="67">
        <v>633616</v>
      </c>
      <c r="F33" s="67"/>
      <c r="G33" s="67">
        <v>1920021</v>
      </c>
    </row>
    <row r="34" spans="1:7" x14ac:dyDescent="0.3">
      <c r="A34" t="s">
        <v>109</v>
      </c>
      <c r="B34" t="s">
        <v>214</v>
      </c>
      <c r="C34" s="67">
        <v>817150</v>
      </c>
      <c r="D34" s="67">
        <v>1300950</v>
      </c>
      <c r="E34" s="67">
        <v>840750</v>
      </c>
      <c r="F34" s="67"/>
      <c r="G34" s="67">
        <v>2958850</v>
      </c>
    </row>
    <row r="35" spans="1:7" x14ac:dyDescent="0.3">
      <c r="B35" t="s">
        <v>215</v>
      </c>
      <c r="C35" s="67">
        <v>817150</v>
      </c>
      <c r="D35" s="67">
        <v>1300950</v>
      </c>
      <c r="E35" s="67">
        <v>840750</v>
      </c>
      <c r="F35" s="67"/>
      <c r="G35" s="67">
        <v>2958850</v>
      </c>
    </row>
    <row r="36" spans="1:7" x14ac:dyDescent="0.3">
      <c r="A36" t="s">
        <v>91</v>
      </c>
      <c r="B36" t="s">
        <v>216</v>
      </c>
      <c r="C36" s="67">
        <v>1519050</v>
      </c>
      <c r="D36" s="67">
        <v>1541850</v>
      </c>
      <c r="E36" s="67">
        <v>1410750</v>
      </c>
      <c r="F36" s="67"/>
      <c r="G36" s="67">
        <v>4471650</v>
      </c>
    </row>
    <row r="37" spans="1:7" x14ac:dyDescent="0.3">
      <c r="B37" t="s">
        <v>217</v>
      </c>
      <c r="C37" s="67">
        <v>1519050</v>
      </c>
      <c r="D37" s="67">
        <v>1541850</v>
      </c>
      <c r="E37" s="67">
        <v>1410750</v>
      </c>
      <c r="F37" s="67"/>
      <c r="G37" s="67">
        <v>4471650</v>
      </c>
    </row>
    <row r="38" spans="1:7" x14ac:dyDescent="0.3">
      <c r="A38" t="s">
        <v>106</v>
      </c>
      <c r="B38" t="s">
        <v>218</v>
      </c>
      <c r="C38" s="67">
        <v>870000</v>
      </c>
      <c r="D38" s="67">
        <v>756000</v>
      </c>
      <c r="E38" s="67">
        <v>858000</v>
      </c>
      <c r="F38" s="67"/>
      <c r="G38" s="67">
        <v>2484000</v>
      </c>
    </row>
    <row r="39" spans="1:7" x14ac:dyDescent="0.3">
      <c r="B39" t="s">
        <v>219</v>
      </c>
      <c r="C39" s="67">
        <v>870000</v>
      </c>
      <c r="D39" s="67">
        <v>756000</v>
      </c>
      <c r="E39" s="67">
        <v>858000</v>
      </c>
      <c r="F39" s="67"/>
      <c r="G39" s="67">
        <v>2484000</v>
      </c>
    </row>
    <row r="40" spans="1:7" x14ac:dyDescent="0.3">
      <c r="A40" t="s">
        <v>145</v>
      </c>
      <c r="B40" t="s">
        <v>220</v>
      </c>
      <c r="C40" s="67">
        <v>501700</v>
      </c>
      <c r="D40" s="67">
        <v>442500</v>
      </c>
      <c r="E40" s="67">
        <v>484300</v>
      </c>
      <c r="F40" s="67"/>
      <c r="G40" s="67">
        <v>1428500</v>
      </c>
    </row>
    <row r="41" spans="1:7" x14ac:dyDescent="0.3">
      <c r="B41" t="s">
        <v>221</v>
      </c>
      <c r="C41" s="67">
        <v>501700</v>
      </c>
      <c r="D41" s="67">
        <v>442500</v>
      </c>
      <c r="E41" s="67">
        <v>484300</v>
      </c>
      <c r="F41" s="67"/>
      <c r="G41" s="67">
        <v>1428500</v>
      </c>
    </row>
    <row r="42" spans="1:7" x14ac:dyDescent="0.3">
      <c r="A42" t="s">
        <v>97</v>
      </c>
      <c r="B42" t="s">
        <v>222</v>
      </c>
      <c r="C42" s="67">
        <v>695184</v>
      </c>
      <c r="D42" s="67">
        <v>892944</v>
      </c>
      <c r="E42" s="67">
        <v>781326</v>
      </c>
      <c r="F42" s="67"/>
      <c r="G42" s="67">
        <v>2369454</v>
      </c>
    </row>
    <row r="43" spans="1:7" x14ac:dyDescent="0.3">
      <c r="B43" t="s">
        <v>223</v>
      </c>
      <c r="C43" s="67">
        <v>695184</v>
      </c>
      <c r="D43" s="67">
        <v>892944</v>
      </c>
      <c r="E43" s="67">
        <v>781326</v>
      </c>
      <c r="F43" s="67"/>
      <c r="G43" s="67">
        <v>2369454</v>
      </c>
    </row>
    <row r="44" spans="1:7" x14ac:dyDescent="0.3">
      <c r="A44" t="s">
        <v>113</v>
      </c>
      <c r="B44" t="s">
        <v>224</v>
      </c>
      <c r="C44" s="67">
        <v>296856</v>
      </c>
      <c r="D44" s="67">
        <v>259749</v>
      </c>
      <c r="E44" s="67">
        <v>630819</v>
      </c>
      <c r="F44" s="67"/>
      <c r="G44" s="67">
        <v>1187424</v>
      </c>
    </row>
    <row r="45" spans="1:7" x14ac:dyDescent="0.3">
      <c r="B45" t="s">
        <v>225</v>
      </c>
      <c r="C45" s="67">
        <v>228501</v>
      </c>
      <c r="D45" s="67">
        <v>273420</v>
      </c>
      <c r="E45" s="67">
        <v>515592</v>
      </c>
      <c r="F45" s="67"/>
      <c r="G45" s="67">
        <v>1017513</v>
      </c>
    </row>
    <row r="46" spans="1:7" x14ac:dyDescent="0.3">
      <c r="A46" t="s">
        <v>93</v>
      </c>
      <c r="B46" t="s">
        <v>226</v>
      </c>
      <c r="C46" s="67">
        <v>1458000</v>
      </c>
      <c r="D46" s="67">
        <v>792000</v>
      </c>
      <c r="E46" s="67">
        <v>1206000</v>
      </c>
      <c r="F46" s="67"/>
      <c r="G46" s="67">
        <v>3456000</v>
      </c>
    </row>
    <row r="47" spans="1:7" x14ac:dyDescent="0.3">
      <c r="B47" t="s">
        <v>227</v>
      </c>
      <c r="C47" s="67">
        <v>1458000</v>
      </c>
      <c r="D47" s="67">
        <v>792000</v>
      </c>
      <c r="E47" s="67">
        <v>1206000</v>
      </c>
      <c r="F47" s="67"/>
      <c r="G47" s="67">
        <v>3456000</v>
      </c>
    </row>
    <row r="48" spans="1:7" x14ac:dyDescent="0.3">
      <c r="A48" t="s">
        <v>117</v>
      </c>
      <c r="B48" t="s">
        <v>228</v>
      </c>
      <c r="C48" s="67">
        <v>998400</v>
      </c>
      <c r="D48" s="67">
        <v>915200</v>
      </c>
      <c r="E48" s="67">
        <v>1004800</v>
      </c>
      <c r="F48" s="67"/>
      <c r="G48" s="67">
        <v>2918400</v>
      </c>
    </row>
    <row r="49" spans="1:7" x14ac:dyDescent="0.3">
      <c r="B49" t="s">
        <v>229</v>
      </c>
      <c r="C49" s="67">
        <v>998400</v>
      </c>
      <c r="D49" s="67">
        <v>915200</v>
      </c>
      <c r="E49" s="67">
        <v>1004800</v>
      </c>
      <c r="F49" s="67"/>
      <c r="G49" s="67">
        <v>2918400</v>
      </c>
    </row>
    <row r="50" spans="1:7" x14ac:dyDescent="0.3">
      <c r="A50" t="s">
        <v>118</v>
      </c>
      <c r="B50" t="s">
        <v>230</v>
      </c>
      <c r="C50" s="67">
        <v>619958</v>
      </c>
      <c r="D50" s="67">
        <v>539400</v>
      </c>
      <c r="E50" s="67">
        <v>591600</v>
      </c>
      <c r="F50" s="67"/>
      <c r="G50" s="67">
        <v>1750958</v>
      </c>
    </row>
    <row r="51" spans="1:7" x14ac:dyDescent="0.3">
      <c r="B51" t="s">
        <v>231</v>
      </c>
      <c r="C51" s="67">
        <v>619958</v>
      </c>
      <c r="D51" s="67">
        <v>539400</v>
      </c>
      <c r="E51" s="67">
        <v>591600</v>
      </c>
      <c r="F51" s="67"/>
      <c r="G51" s="67">
        <v>1750958</v>
      </c>
    </row>
    <row r="52" spans="1:7" x14ac:dyDescent="0.3">
      <c r="A52" t="s">
        <v>119</v>
      </c>
      <c r="B52" t="s">
        <v>232</v>
      </c>
      <c r="C52" s="67">
        <v>1159970</v>
      </c>
      <c r="D52" s="67">
        <v>1023680</v>
      </c>
      <c r="E52" s="67">
        <v>1261630</v>
      </c>
      <c r="F52" s="67"/>
      <c r="G52" s="67">
        <v>3445280</v>
      </c>
    </row>
    <row r="53" spans="1:7" x14ac:dyDescent="0.3">
      <c r="B53" t="s">
        <v>233</v>
      </c>
      <c r="C53" s="67">
        <v>1159970</v>
      </c>
      <c r="D53" s="67">
        <v>1023680</v>
      </c>
      <c r="E53" s="67">
        <v>1261630</v>
      </c>
      <c r="F53" s="67"/>
      <c r="G53" s="67">
        <v>3445280</v>
      </c>
    </row>
    <row r="54" spans="1:7" x14ac:dyDescent="0.3">
      <c r="A54" t="s">
        <v>122</v>
      </c>
      <c r="B54" t="s">
        <v>234</v>
      </c>
      <c r="C54" s="67">
        <v>569600</v>
      </c>
      <c r="D54" s="67">
        <v>780750</v>
      </c>
      <c r="E54" s="67">
        <v>563200</v>
      </c>
      <c r="F54" s="67"/>
      <c r="G54" s="67">
        <v>1913550</v>
      </c>
    </row>
    <row r="55" spans="1:7" x14ac:dyDescent="0.3">
      <c r="B55" t="s">
        <v>303</v>
      </c>
      <c r="C55" s="67">
        <v>569600</v>
      </c>
      <c r="D55" s="67">
        <v>780750</v>
      </c>
      <c r="E55" s="67">
        <v>563200</v>
      </c>
      <c r="F55" s="67"/>
      <c r="G55" s="67">
        <v>1913550</v>
      </c>
    </row>
    <row r="56" spans="1:7" x14ac:dyDescent="0.3">
      <c r="A56" t="s">
        <v>120</v>
      </c>
      <c r="B56" t="s">
        <v>235</v>
      </c>
      <c r="C56" s="67">
        <v>576000</v>
      </c>
      <c r="D56" s="67">
        <v>688500</v>
      </c>
      <c r="E56" s="67">
        <v>716800</v>
      </c>
      <c r="F56" s="67"/>
      <c r="G56" s="67">
        <v>1981300</v>
      </c>
    </row>
    <row r="57" spans="1:7" x14ac:dyDescent="0.3">
      <c r="B57" t="s">
        <v>236</v>
      </c>
      <c r="C57" s="67">
        <v>576000</v>
      </c>
      <c r="D57" s="67">
        <v>688500</v>
      </c>
      <c r="E57" s="67">
        <v>716800</v>
      </c>
      <c r="F57" s="67"/>
      <c r="G57" s="67">
        <v>1981300</v>
      </c>
    </row>
    <row r="58" spans="1:7" x14ac:dyDescent="0.3">
      <c r="A58" t="s">
        <v>124</v>
      </c>
      <c r="B58" t="s">
        <v>237</v>
      </c>
      <c r="C58" s="67">
        <v>472000</v>
      </c>
      <c r="D58" s="67">
        <v>944000</v>
      </c>
      <c r="E58" s="67">
        <v>1062000</v>
      </c>
      <c r="F58" s="67"/>
      <c r="G58" s="67">
        <v>2478000</v>
      </c>
    </row>
    <row r="59" spans="1:7" x14ac:dyDescent="0.3">
      <c r="B59" t="s">
        <v>238</v>
      </c>
      <c r="C59" s="67">
        <v>472000</v>
      </c>
      <c r="D59" s="67">
        <v>944000</v>
      </c>
      <c r="E59" s="67">
        <v>1062000</v>
      </c>
      <c r="F59" s="67"/>
      <c r="G59" s="67">
        <v>2478000</v>
      </c>
    </row>
    <row r="60" spans="1:7" x14ac:dyDescent="0.3">
      <c r="A60" t="s">
        <v>125</v>
      </c>
      <c r="B60" t="s">
        <v>239</v>
      </c>
      <c r="C60" s="67">
        <v>442250</v>
      </c>
      <c r="D60" s="67">
        <v>1160000</v>
      </c>
      <c r="E60" s="67">
        <v>671000</v>
      </c>
      <c r="F60" s="67"/>
      <c r="G60" s="67">
        <v>2273250</v>
      </c>
    </row>
    <row r="61" spans="1:7" x14ac:dyDescent="0.3">
      <c r="B61" t="s">
        <v>240</v>
      </c>
      <c r="C61" s="67">
        <v>442250</v>
      </c>
      <c r="D61" s="67">
        <v>1160000</v>
      </c>
      <c r="E61" s="67">
        <v>671000</v>
      </c>
      <c r="F61" s="67"/>
      <c r="G61" s="67">
        <v>2273250</v>
      </c>
    </row>
    <row r="62" spans="1:7" x14ac:dyDescent="0.3">
      <c r="A62" t="s">
        <v>171</v>
      </c>
      <c r="C62" s="67">
        <v>41297575</v>
      </c>
      <c r="D62" s="67">
        <v>42093901</v>
      </c>
      <c r="E62" s="67">
        <v>44085597</v>
      </c>
      <c r="F62" s="67">
        <v>4919452</v>
      </c>
      <c r="G62" s="67">
        <v>132396525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O4766"/>
  <sheetViews>
    <sheetView showGridLines="0" tabSelected="1" zoomScale="70" zoomScaleNormal="70" workbookViewId="0">
      <pane xSplit="10" ySplit="6" topLeftCell="K4099" activePane="bottomRight" state="frozen"/>
      <selection activeCell="H5" sqref="H5:H6"/>
      <selection pane="topRight" activeCell="H5" sqref="H5:H6"/>
      <selection pane="bottomLeft" activeCell="H5" sqref="H5:H6"/>
      <selection pane="bottomRight" activeCell="J4335" sqref="J4335:J4494"/>
    </sheetView>
  </sheetViews>
  <sheetFormatPr defaultColWidth="14.44140625" defaultRowHeight="14.4" x14ac:dyDescent="0.3"/>
  <cols>
    <col min="1" max="1" width="11.33203125" customWidth="1"/>
    <col min="2" max="2" width="16.44140625" customWidth="1"/>
    <col min="3" max="3" width="17.6640625" bestFit="1" customWidth="1"/>
    <col min="4" max="4" width="10.33203125" customWidth="1"/>
    <col min="5" max="5" width="24" customWidth="1"/>
    <col min="6" max="8" width="10.33203125" customWidth="1"/>
    <col min="9" max="9" width="35.109375" bestFit="1" customWidth="1"/>
    <col min="10" max="10" width="31.109375" customWidth="1"/>
    <col min="11" max="11" width="21.33203125" customWidth="1"/>
    <col min="12" max="14" width="14.109375" customWidth="1"/>
    <col min="15" max="15" width="17" customWidth="1"/>
    <col min="16" max="26" width="9.109375" customWidth="1"/>
    <col min="27" max="43" width="14.44140625" customWidth="1"/>
  </cols>
  <sheetData>
    <row r="1" spans="1:15" ht="21" customHeight="1" x14ac:dyDescent="0.4">
      <c r="A1" s="4" t="s">
        <v>241</v>
      </c>
      <c r="B1" s="5"/>
      <c r="C1" s="6"/>
      <c r="D1" s="5"/>
      <c r="E1" s="5"/>
      <c r="F1" s="5"/>
      <c r="G1" s="5"/>
      <c r="H1" s="5"/>
      <c r="I1" s="5"/>
      <c r="J1" s="5"/>
      <c r="K1" s="5"/>
      <c r="L1" s="7"/>
      <c r="M1" s="7"/>
      <c r="N1" s="5"/>
      <c r="O1" s="7"/>
    </row>
    <row r="2" spans="1:15" ht="16.5" customHeight="1" x14ac:dyDescent="0.3">
      <c r="A2" s="8" t="s">
        <v>1</v>
      </c>
      <c r="B2" s="9"/>
      <c r="C2" s="10"/>
      <c r="D2" s="11"/>
      <c r="E2" s="12"/>
      <c r="F2" s="13" t="s">
        <v>2</v>
      </c>
      <c r="G2" s="13"/>
      <c r="H2" s="13"/>
      <c r="I2" s="11"/>
      <c r="J2" s="11"/>
      <c r="K2" s="11"/>
      <c r="L2" s="14"/>
      <c r="M2" s="14"/>
      <c r="N2" s="11"/>
      <c r="O2" s="14"/>
    </row>
    <row r="3" spans="1:15" ht="14.25" customHeight="1" x14ac:dyDescent="0.3">
      <c r="A3" s="5"/>
      <c r="B3" s="5"/>
      <c r="C3" s="6"/>
      <c r="D3" s="5"/>
      <c r="E3" s="5"/>
      <c r="F3" s="5"/>
      <c r="G3" s="5"/>
      <c r="H3" s="5"/>
      <c r="I3" s="5"/>
      <c r="J3" s="5"/>
      <c r="K3" s="5"/>
      <c r="L3" s="7"/>
      <c r="M3" s="7"/>
      <c r="N3" s="5"/>
      <c r="O3" s="7"/>
    </row>
    <row r="4" spans="1:15" ht="14.25" customHeight="1" x14ac:dyDescent="0.3">
      <c r="A4" s="5"/>
      <c r="B4" s="5"/>
      <c r="C4" s="6"/>
      <c r="D4" s="5"/>
      <c r="E4" s="5"/>
      <c r="F4" s="5"/>
      <c r="G4" s="5"/>
      <c r="H4" s="5"/>
      <c r="I4" s="5"/>
      <c r="J4" s="5"/>
      <c r="K4" s="5"/>
      <c r="L4" s="7"/>
      <c r="M4" s="7"/>
      <c r="N4" s="5"/>
      <c r="O4" s="7"/>
    </row>
    <row r="5" spans="1:15" ht="42.75" customHeight="1" x14ac:dyDescent="0.3">
      <c r="A5" s="15" t="s">
        <v>242</v>
      </c>
      <c r="B5" s="16" t="s">
        <v>243</v>
      </c>
      <c r="C5" s="17" t="s">
        <v>244</v>
      </c>
      <c r="D5" s="16" t="s">
        <v>243</v>
      </c>
      <c r="E5" s="16" t="s">
        <v>243</v>
      </c>
      <c r="F5" s="16" t="s">
        <v>243</v>
      </c>
      <c r="G5" s="16" t="s">
        <v>243</v>
      </c>
      <c r="H5" s="16" t="s">
        <v>243</v>
      </c>
      <c r="I5" s="18" t="s">
        <v>245</v>
      </c>
      <c r="J5" s="15" t="s">
        <v>242</v>
      </c>
      <c r="K5" s="18" t="s">
        <v>245</v>
      </c>
      <c r="L5" s="15" t="s">
        <v>242</v>
      </c>
      <c r="M5" s="15" t="s">
        <v>242</v>
      </c>
      <c r="N5" s="16" t="s">
        <v>243</v>
      </c>
      <c r="O5" s="15" t="s">
        <v>242</v>
      </c>
    </row>
    <row r="6" spans="1:15" ht="49.5" hidden="1" customHeight="1" x14ac:dyDescent="0.3">
      <c r="A6" s="64" t="s">
        <v>3</v>
      </c>
      <c r="B6" s="64" t="s">
        <v>4</v>
      </c>
      <c r="C6" s="66" t="s">
        <v>5</v>
      </c>
      <c r="D6" s="64" t="s">
        <v>6</v>
      </c>
      <c r="E6" s="64" t="s">
        <v>8</v>
      </c>
      <c r="F6" s="64" t="s">
        <v>9</v>
      </c>
      <c r="G6" s="64" t="s">
        <v>154</v>
      </c>
      <c r="H6" s="64" t="s">
        <v>155</v>
      </c>
      <c r="I6" s="64" t="s">
        <v>10</v>
      </c>
      <c r="J6" s="64" t="s">
        <v>191</v>
      </c>
      <c r="K6" s="64" t="s">
        <v>131</v>
      </c>
      <c r="L6" s="64" t="s">
        <v>246</v>
      </c>
      <c r="M6" s="64" t="s">
        <v>247</v>
      </c>
      <c r="N6" s="64" t="s">
        <v>248</v>
      </c>
      <c r="O6" s="64" t="s">
        <v>249</v>
      </c>
    </row>
    <row r="7" spans="1:15" ht="14.25" hidden="1" customHeight="1" x14ac:dyDescent="0.3">
      <c r="A7" s="24">
        <v>22</v>
      </c>
      <c r="B7" s="20" t="str">
        <f t="shared" ref="B7:B70" si="0">IF(C7="","",UPPER(TEXT(C7, "MMM")))</f>
        <v>MAY</v>
      </c>
      <c r="C7" s="21">
        <v>46171</v>
      </c>
      <c r="D7" s="22" t="str">
        <f t="array" ref="D7">IFERROR(INDEX('Kode Outlet dan Target Toko'!$A:$A,MATCH($I7,'Kode Outlet dan Target Toko'!$E:$E,0)),"")</f>
        <v>GRSM 4</v>
      </c>
      <c r="E7" s="20" t="str">
        <f>IFERROR(VLOOKUP(I7,KET!$B:$F,4,0),"")</f>
        <v>FAHMI LUKMANUL HAKIM</v>
      </c>
      <c r="F7" s="20" t="str">
        <f>IFERROR(VLOOKUP(I7,KET!$B:$F,5,0),"")</f>
        <v>GMM</v>
      </c>
      <c r="G7" s="20">
        <f>IFERROR(INDEX('Kode Outlet dan Target Toko'!$C:$C,MATCH($I7,'Kode Outlet dan Target Toko'!$E:$E,0)),0)</f>
        <v>103259</v>
      </c>
      <c r="H7" s="20">
        <f>IFERROR(INDEX('Kode Outlet dan Target Toko'!$D:$D,MATCH($I7,'Kode Outlet dan Target Toko'!$E:$E,0)),0)</f>
        <v>9029389</v>
      </c>
      <c r="I7" s="41" t="s">
        <v>18</v>
      </c>
      <c r="J7" s="56" t="s">
        <v>250</v>
      </c>
      <c r="K7" s="53" t="s">
        <v>14</v>
      </c>
      <c r="L7" s="23">
        <v>2000</v>
      </c>
      <c r="M7" s="24">
        <v>63</v>
      </c>
      <c r="N7" s="25">
        <f t="shared" ref="N7:N70" si="1">IFERROR(M7*L7,"")</f>
        <v>126000</v>
      </c>
      <c r="O7" s="26"/>
    </row>
    <row r="8" spans="1:15" ht="14.25" hidden="1" customHeight="1" x14ac:dyDescent="0.3">
      <c r="A8" s="24">
        <v>22</v>
      </c>
      <c r="B8" s="20" t="str">
        <f t="shared" si="0"/>
        <v>MAY</v>
      </c>
      <c r="C8" s="21">
        <v>46171</v>
      </c>
      <c r="D8" s="22" t="str">
        <f t="array" ref="D8">IFERROR(INDEX('Kode Outlet dan Target Toko'!$A:$A,MATCH($I8,'Kode Outlet dan Target Toko'!$E:$E,0)),"")</f>
        <v>GRSM 4</v>
      </c>
      <c r="E8" s="20" t="str">
        <f>IFERROR(VLOOKUP(I8,KET!$B:$F,4,0),"")</f>
        <v>FAHMI LUKMANUL HAKIM</v>
      </c>
      <c r="F8" s="20" t="str">
        <f>IFERROR(VLOOKUP(I8,KET!$B:$F,5,0),"")</f>
        <v>GMM</v>
      </c>
      <c r="G8" s="20">
        <f>IFERROR(INDEX('Kode Outlet dan Target Toko'!$C:$C,MATCH($I8,'Kode Outlet dan Target Toko'!$E:$E,0)),0)</f>
        <v>103259</v>
      </c>
      <c r="H8" s="20">
        <f>IFERROR(INDEX('Kode Outlet dan Target Toko'!$D:$D,MATCH($I8,'Kode Outlet dan Target Toko'!$E:$E,0)),0)</f>
        <v>9029389</v>
      </c>
      <c r="I8" s="41" t="s">
        <v>18</v>
      </c>
      <c r="J8" s="56" t="s">
        <v>250</v>
      </c>
      <c r="K8" s="53" t="s">
        <v>13</v>
      </c>
      <c r="L8" s="23">
        <v>2000</v>
      </c>
      <c r="M8" s="24">
        <v>27</v>
      </c>
      <c r="N8" s="25">
        <f t="shared" si="1"/>
        <v>54000</v>
      </c>
      <c r="O8" s="26"/>
    </row>
    <row r="9" spans="1:15" ht="14.25" hidden="1" customHeight="1" x14ac:dyDescent="0.3">
      <c r="A9" s="24">
        <v>22</v>
      </c>
      <c r="B9" s="20" t="str">
        <f t="shared" si="0"/>
        <v>MAY</v>
      </c>
      <c r="C9" s="21">
        <v>46171</v>
      </c>
      <c r="D9" s="22" t="str">
        <f t="array" ref="D9">IFERROR(INDEX('Kode Outlet dan Target Toko'!$A:$A,MATCH($I9,'Kode Outlet dan Target Toko'!$E:$E,0)),"")</f>
        <v>GRSM 4</v>
      </c>
      <c r="E9" s="20" t="str">
        <f>IFERROR(VLOOKUP(I9,KET!$B:$F,4,0),"")</f>
        <v>FAHMI LUKMANUL HAKIM</v>
      </c>
      <c r="F9" s="20" t="str">
        <f>IFERROR(VLOOKUP(I9,KET!$B:$F,5,0),"")</f>
        <v>GMM</v>
      </c>
      <c r="G9" s="20">
        <f>IFERROR(INDEX('Kode Outlet dan Target Toko'!$C:$C,MATCH($I9,'Kode Outlet dan Target Toko'!$E:$E,0)),0)</f>
        <v>103259</v>
      </c>
      <c r="H9" s="20">
        <f>IFERROR(INDEX('Kode Outlet dan Target Toko'!$D:$D,MATCH($I9,'Kode Outlet dan Target Toko'!$E:$E,0)),0)</f>
        <v>9029389</v>
      </c>
      <c r="I9" s="41" t="s">
        <v>18</v>
      </c>
      <c r="J9" s="56" t="s">
        <v>250</v>
      </c>
      <c r="K9" s="53" t="s">
        <v>16</v>
      </c>
      <c r="L9" s="23">
        <v>2000</v>
      </c>
      <c r="M9" s="24">
        <v>189</v>
      </c>
      <c r="N9" s="25">
        <f t="shared" si="1"/>
        <v>378000</v>
      </c>
      <c r="O9" s="26"/>
    </row>
    <row r="10" spans="1:15" ht="14.25" hidden="1" customHeight="1" x14ac:dyDescent="0.3">
      <c r="A10" s="24">
        <v>22</v>
      </c>
      <c r="B10" s="20" t="str">
        <f t="shared" si="0"/>
        <v>MAY</v>
      </c>
      <c r="C10" s="21">
        <v>46171</v>
      </c>
      <c r="D10" s="22" t="str">
        <f t="array" ref="D10">IFERROR(INDEX('Kode Outlet dan Target Toko'!$A:$A,MATCH($I10,'Kode Outlet dan Target Toko'!$E:$E,0)),"")</f>
        <v>GRSM 4</v>
      </c>
      <c r="E10" s="20" t="str">
        <f>IFERROR(VLOOKUP(I10,KET!$B:$F,4,0),"")</f>
        <v>FAHMI LUKMANUL HAKIM</v>
      </c>
      <c r="F10" s="20" t="str">
        <f>IFERROR(VLOOKUP(I10,KET!$B:$F,5,0),"")</f>
        <v>GMM</v>
      </c>
      <c r="G10" s="20">
        <f>IFERROR(INDEX('Kode Outlet dan Target Toko'!$C:$C,MATCH($I10,'Kode Outlet dan Target Toko'!$E:$E,0)),0)</f>
        <v>103259</v>
      </c>
      <c r="H10" s="20">
        <f>IFERROR(INDEX('Kode Outlet dan Target Toko'!$D:$D,MATCH($I10,'Kode Outlet dan Target Toko'!$E:$E,0)),0)</f>
        <v>9029389</v>
      </c>
      <c r="I10" s="41" t="s">
        <v>18</v>
      </c>
      <c r="J10" s="56" t="s">
        <v>196</v>
      </c>
      <c r="K10" s="53" t="s">
        <v>15</v>
      </c>
      <c r="L10" s="23">
        <v>2000</v>
      </c>
      <c r="M10" s="24">
        <v>51</v>
      </c>
      <c r="N10" s="25">
        <f t="shared" si="1"/>
        <v>102000</v>
      </c>
      <c r="O10" s="26">
        <v>120</v>
      </c>
    </row>
    <row r="11" spans="1:15" ht="14.25" hidden="1" customHeight="1" x14ac:dyDescent="0.3">
      <c r="A11" s="24">
        <v>22</v>
      </c>
      <c r="B11" s="20" t="str">
        <f t="shared" si="0"/>
        <v>MAY</v>
      </c>
      <c r="C11" s="21">
        <v>46171</v>
      </c>
      <c r="D11" s="22" t="str">
        <f t="array" ref="D11">IFERROR(INDEX('Kode Outlet dan Target Toko'!$A:$A,MATCH($I11,'Kode Outlet dan Target Toko'!$E:$E,0)),"")</f>
        <v>GRSM 4</v>
      </c>
      <c r="E11" s="20" t="str">
        <f>IFERROR(VLOOKUP(I11,KET!$B:$F,4,0),"")</f>
        <v>FAHMI LUKMANUL HAKIM</v>
      </c>
      <c r="F11" s="20" t="str">
        <f>IFERROR(VLOOKUP(I11,KET!$B:$F,5,0),"")</f>
        <v>GMM</v>
      </c>
      <c r="G11" s="20">
        <f>IFERROR(INDEX('Kode Outlet dan Target Toko'!$C:$C,MATCH($I11,'Kode Outlet dan Target Toko'!$E:$E,0)),0)</f>
        <v>103259</v>
      </c>
      <c r="H11" s="20">
        <f>IFERROR(INDEX('Kode Outlet dan Target Toko'!$D:$D,MATCH($I11,'Kode Outlet dan Target Toko'!$E:$E,0)),0)</f>
        <v>9029389</v>
      </c>
      <c r="I11" s="41" t="s">
        <v>18</v>
      </c>
      <c r="J11" s="56" t="s">
        <v>196</v>
      </c>
      <c r="K11" s="53" t="s">
        <v>14</v>
      </c>
      <c r="L11" s="23">
        <v>2000</v>
      </c>
      <c r="M11" s="24">
        <v>54</v>
      </c>
      <c r="N11" s="25">
        <f t="shared" si="1"/>
        <v>108000</v>
      </c>
      <c r="O11" s="26"/>
    </row>
    <row r="12" spans="1:15" ht="14.25" hidden="1" customHeight="1" x14ac:dyDescent="0.3">
      <c r="A12" s="24">
        <v>22</v>
      </c>
      <c r="B12" s="20" t="str">
        <f t="shared" si="0"/>
        <v>MAY</v>
      </c>
      <c r="C12" s="21">
        <v>46171</v>
      </c>
      <c r="D12" s="22" t="str">
        <f t="array" ref="D12">IFERROR(INDEX('Kode Outlet dan Target Toko'!$A:$A,MATCH($I12,'Kode Outlet dan Target Toko'!$E:$E,0)),"")</f>
        <v>GRSM 4</v>
      </c>
      <c r="E12" s="20" t="str">
        <f>IFERROR(VLOOKUP(I12,KET!$B:$F,4,0),"")</f>
        <v>FAHMI LUKMANUL HAKIM</v>
      </c>
      <c r="F12" s="20" t="str">
        <f>IFERROR(VLOOKUP(I12,KET!$B:$F,5,0),"")</f>
        <v>GMM</v>
      </c>
      <c r="G12" s="20">
        <f>IFERROR(INDEX('Kode Outlet dan Target Toko'!$C:$C,MATCH($I12,'Kode Outlet dan Target Toko'!$E:$E,0)),0)</f>
        <v>103259</v>
      </c>
      <c r="H12" s="20">
        <f>IFERROR(INDEX('Kode Outlet dan Target Toko'!$D:$D,MATCH($I12,'Kode Outlet dan Target Toko'!$E:$E,0)),0)</f>
        <v>9029389</v>
      </c>
      <c r="I12" s="41" t="s">
        <v>18</v>
      </c>
      <c r="J12" s="19" t="s">
        <v>196</v>
      </c>
      <c r="K12" s="53" t="s">
        <v>13</v>
      </c>
      <c r="L12" s="23">
        <v>2000</v>
      </c>
      <c r="M12" s="24">
        <v>39</v>
      </c>
      <c r="N12" s="25">
        <f t="shared" si="1"/>
        <v>78000</v>
      </c>
      <c r="O12" s="24"/>
    </row>
    <row r="13" spans="1:15" ht="14.25" hidden="1" customHeight="1" x14ac:dyDescent="0.3">
      <c r="A13" s="24">
        <v>22</v>
      </c>
      <c r="B13" s="20" t="str">
        <f t="shared" si="0"/>
        <v>MAY</v>
      </c>
      <c r="C13" s="21">
        <v>46171</v>
      </c>
      <c r="D13" s="22" t="str">
        <f t="array" ref="D13">IFERROR(INDEX('Kode Outlet dan Target Toko'!$A:$A,MATCH($I13,'Kode Outlet dan Target Toko'!$E:$E,0)),"")</f>
        <v>GRSM 4</v>
      </c>
      <c r="E13" s="20" t="str">
        <f>IFERROR(VLOOKUP(I13,KET!$B:$F,4,0),"")</f>
        <v>FAHMI LUKMANUL HAKIM</v>
      </c>
      <c r="F13" s="20" t="str">
        <f>IFERROR(VLOOKUP(I13,KET!$B:$F,5,0),"")</f>
        <v>GMM</v>
      </c>
      <c r="G13" s="20">
        <f>IFERROR(INDEX('Kode Outlet dan Target Toko'!$C:$C,MATCH($I13,'Kode Outlet dan Target Toko'!$E:$E,0)),0)</f>
        <v>103259</v>
      </c>
      <c r="H13" s="20">
        <f>IFERROR(INDEX('Kode Outlet dan Target Toko'!$D:$D,MATCH($I13,'Kode Outlet dan Target Toko'!$E:$E,0)),0)</f>
        <v>9029389</v>
      </c>
      <c r="I13" s="41" t="s">
        <v>18</v>
      </c>
      <c r="J13" s="45" t="s">
        <v>196</v>
      </c>
      <c r="K13" s="53" t="s">
        <v>16</v>
      </c>
      <c r="L13" s="23">
        <v>2000</v>
      </c>
      <c r="M13" s="24">
        <v>129</v>
      </c>
      <c r="N13" s="25">
        <f t="shared" si="1"/>
        <v>258000</v>
      </c>
      <c r="O13" s="24"/>
    </row>
    <row r="14" spans="1:15" ht="14.25" hidden="1" customHeight="1" x14ac:dyDescent="0.3">
      <c r="A14" s="24">
        <v>22</v>
      </c>
      <c r="B14" s="20" t="str">
        <f t="shared" si="0"/>
        <v>MAY</v>
      </c>
      <c r="C14" s="21">
        <v>46171</v>
      </c>
      <c r="D14" s="22" t="str">
        <f t="array" ref="D14">IFERROR(INDEX('Kode Outlet dan Target Toko'!$A:$A,MATCH($I14,'Kode Outlet dan Target Toko'!$E:$E,0)),"")</f>
        <v>GRSM 4</v>
      </c>
      <c r="E14" s="20" t="str">
        <f>IFERROR(VLOOKUP(I14,KET!$B:$F,4,0),"")</f>
        <v>FAHMI LUKMANUL HAKIM</v>
      </c>
      <c r="F14" s="20" t="str">
        <f>IFERROR(VLOOKUP(I14,KET!$B:$F,5,0),"")</f>
        <v>GMM</v>
      </c>
      <c r="G14" s="20">
        <f>IFERROR(INDEX('Kode Outlet dan Target Toko'!$C:$C,MATCH($I14,'Kode Outlet dan Target Toko'!$E:$E,0)),0)</f>
        <v>103259</v>
      </c>
      <c r="H14" s="20">
        <f>IFERROR(INDEX('Kode Outlet dan Target Toko'!$D:$D,MATCH($I14,'Kode Outlet dan Target Toko'!$E:$E,0)),0)</f>
        <v>9029389</v>
      </c>
      <c r="I14" s="41" t="s">
        <v>18</v>
      </c>
      <c r="J14" s="19" t="s">
        <v>250</v>
      </c>
      <c r="K14" s="53" t="s">
        <v>15</v>
      </c>
      <c r="L14" s="23">
        <v>2000</v>
      </c>
      <c r="M14" s="24">
        <v>75</v>
      </c>
      <c r="N14" s="25">
        <f t="shared" si="1"/>
        <v>150000</v>
      </c>
      <c r="O14" s="24">
        <v>120</v>
      </c>
    </row>
    <row r="15" spans="1:15" ht="14.25" hidden="1" customHeight="1" x14ac:dyDescent="0.3">
      <c r="A15" s="24">
        <v>22</v>
      </c>
      <c r="B15" s="20" t="str">
        <f t="shared" si="0"/>
        <v>MAY</v>
      </c>
      <c r="C15" s="21">
        <v>46172</v>
      </c>
      <c r="D15" s="22" t="str">
        <f t="array" ref="D15">IFERROR(INDEX('Kode Outlet dan Target Toko'!$A:$A,MATCH($I15,'Kode Outlet dan Target Toko'!$E:$E,0)),"")</f>
        <v>GRSM 4</v>
      </c>
      <c r="E15" s="20" t="str">
        <f>IFERROR(VLOOKUP(I15,KET!$B:$F,4,0),"")</f>
        <v>FAHMI LUKMANUL HAKIM</v>
      </c>
      <c r="F15" s="20" t="str">
        <f>IFERROR(VLOOKUP(I15,KET!$B:$F,5,0),"")</f>
        <v>GMM</v>
      </c>
      <c r="G15" s="20">
        <f>IFERROR(INDEX('Kode Outlet dan Target Toko'!$C:$C,MATCH($I15,'Kode Outlet dan Target Toko'!$E:$E,0)),0)</f>
        <v>103259</v>
      </c>
      <c r="H15" s="20">
        <f>IFERROR(INDEX('Kode Outlet dan Target Toko'!$D:$D,MATCH($I15,'Kode Outlet dan Target Toko'!$E:$E,0)),0)</f>
        <v>9029389</v>
      </c>
      <c r="I15" s="41" t="s">
        <v>18</v>
      </c>
      <c r="J15" s="56" t="s">
        <v>250</v>
      </c>
      <c r="K15" s="53" t="s">
        <v>14</v>
      </c>
      <c r="L15" s="23">
        <v>2000</v>
      </c>
      <c r="M15" s="24">
        <v>84</v>
      </c>
      <c r="N15" s="25">
        <f t="shared" si="1"/>
        <v>168000</v>
      </c>
      <c r="O15" s="26"/>
    </row>
    <row r="16" spans="1:15" ht="14.25" hidden="1" customHeight="1" x14ac:dyDescent="0.3">
      <c r="A16" s="24">
        <v>22</v>
      </c>
      <c r="B16" s="20" t="str">
        <f t="shared" si="0"/>
        <v>MAY</v>
      </c>
      <c r="C16" s="21">
        <v>46172</v>
      </c>
      <c r="D16" s="22" t="str">
        <f t="array" ref="D16">IFERROR(INDEX('Kode Outlet dan Target Toko'!$A:$A,MATCH($I16,'Kode Outlet dan Target Toko'!$E:$E,0)),"")</f>
        <v>GRSM 4</v>
      </c>
      <c r="E16" s="20" t="str">
        <f>IFERROR(VLOOKUP(I16,KET!$B:$F,4,0),"")</f>
        <v>FAHMI LUKMANUL HAKIM</v>
      </c>
      <c r="F16" s="20" t="str">
        <f>IFERROR(VLOOKUP(I16,KET!$B:$F,5,0),"")</f>
        <v>GMM</v>
      </c>
      <c r="G16" s="20">
        <f>IFERROR(INDEX('Kode Outlet dan Target Toko'!$C:$C,MATCH($I16,'Kode Outlet dan Target Toko'!$E:$E,0)),0)</f>
        <v>103259</v>
      </c>
      <c r="H16" s="20">
        <f>IFERROR(INDEX('Kode Outlet dan Target Toko'!$D:$D,MATCH($I16,'Kode Outlet dan Target Toko'!$E:$E,0)),0)</f>
        <v>9029389</v>
      </c>
      <c r="I16" s="41" t="s">
        <v>18</v>
      </c>
      <c r="J16" s="56" t="s">
        <v>250</v>
      </c>
      <c r="K16" s="53" t="s">
        <v>13</v>
      </c>
      <c r="L16" s="23">
        <v>2000</v>
      </c>
      <c r="M16" s="24">
        <v>54</v>
      </c>
      <c r="N16" s="25">
        <f t="shared" si="1"/>
        <v>108000</v>
      </c>
      <c r="O16" s="26"/>
    </row>
    <row r="17" spans="1:15" ht="14.25" hidden="1" customHeight="1" x14ac:dyDescent="0.3">
      <c r="A17" s="24">
        <v>22</v>
      </c>
      <c r="B17" s="20" t="str">
        <f t="shared" si="0"/>
        <v>MAY</v>
      </c>
      <c r="C17" s="21">
        <v>46172</v>
      </c>
      <c r="D17" s="22" t="str">
        <f t="array" ref="D17">IFERROR(INDEX('Kode Outlet dan Target Toko'!$A:$A,MATCH($I17,'Kode Outlet dan Target Toko'!$E:$E,0)),"")</f>
        <v>GRSM 4</v>
      </c>
      <c r="E17" s="20" t="str">
        <f>IFERROR(VLOOKUP(I17,KET!$B:$F,4,0),"")</f>
        <v>FAHMI LUKMANUL HAKIM</v>
      </c>
      <c r="F17" s="20" t="str">
        <f>IFERROR(VLOOKUP(I17,KET!$B:$F,5,0),"")</f>
        <v>GMM</v>
      </c>
      <c r="G17" s="20">
        <f>IFERROR(INDEX('Kode Outlet dan Target Toko'!$C:$C,MATCH($I17,'Kode Outlet dan Target Toko'!$E:$E,0)),0)</f>
        <v>103259</v>
      </c>
      <c r="H17" s="20">
        <f>IFERROR(INDEX('Kode Outlet dan Target Toko'!$D:$D,MATCH($I17,'Kode Outlet dan Target Toko'!$E:$E,0)),0)</f>
        <v>9029389</v>
      </c>
      <c r="I17" s="41" t="s">
        <v>18</v>
      </c>
      <c r="J17" s="56" t="s">
        <v>250</v>
      </c>
      <c r="K17" s="53" t="s">
        <v>16</v>
      </c>
      <c r="L17" s="23">
        <v>2000</v>
      </c>
      <c r="M17" s="24">
        <v>90</v>
      </c>
      <c r="N17" s="25">
        <f t="shared" si="1"/>
        <v>180000</v>
      </c>
      <c r="O17" s="26"/>
    </row>
    <row r="18" spans="1:15" ht="14.25" hidden="1" customHeight="1" x14ac:dyDescent="0.3">
      <c r="A18" s="24">
        <v>22</v>
      </c>
      <c r="B18" s="20" t="str">
        <f t="shared" si="0"/>
        <v>MAY</v>
      </c>
      <c r="C18" s="21">
        <v>46172</v>
      </c>
      <c r="D18" s="22" t="str">
        <f t="array" ref="D18">IFERROR(INDEX('Kode Outlet dan Target Toko'!$A:$A,MATCH($I18,'Kode Outlet dan Target Toko'!$E:$E,0)),"")</f>
        <v>GRSM 4</v>
      </c>
      <c r="E18" s="20" t="str">
        <f>IFERROR(VLOOKUP(I18,KET!$B:$F,4,0),"")</f>
        <v>FAHMI LUKMANUL HAKIM</v>
      </c>
      <c r="F18" s="20" t="str">
        <f>IFERROR(VLOOKUP(I18,KET!$B:$F,5,0),"")</f>
        <v>GMM</v>
      </c>
      <c r="G18" s="20">
        <f>IFERROR(INDEX('Kode Outlet dan Target Toko'!$C:$C,MATCH($I18,'Kode Outlet dan Target Toko'!$E:$E,0)),0)</f>
        <v>103259</v>
      </c>
      <c r="H18" s="20">
        <f>IFERROR(INDEX('Kode Outlet dan Target Toko'!$D:$D,MATCH($I18,'Kode Outlet dan Target Toko'!$E:$E,0)),0)</f>
        <v>9029389</v>
      </c>
      <c r="I18" s="41" t="s">
        <v>18</v>
      </c>
      <c r="J18" s="56" t="s">
        <v>196</v>
      </c>
      <c r="K18" s="53" t="s">
        <v>15</v>
      </c>
      <c r="L18" s="23">
        <v>2000</v>
      </c>
      <c r="M18" s="24">
        <v>81</v>
      </c>
      <c r="N18" s="25">
        <f t="shared" si="1"/>
        <v>162000</v>
      </c>
      <c r="O18" s="26">
        <v>160</v>
      </c>
    </row>
    <row r="19" spans="1:15" ht="14.25" hidden="1" customHeight="1" x14ac:dyDescent="0.3">
      <c r="A19" s="24">
        <v>22</v>
      </c>
      <c r="B19" s="20" t="str">
        <f t="shared" si="0"/>
        <v>MAY</v>
      </c>
      <c r="C19" s="21">
        <v>46172</v>
      </c>
      <c r="D19" s="22" t="str">
        <f t="array" ref="D19">IFERROR(INDEX('Kode Outlet dan Target Toko'!$A:$A,MATCH($I19,'Kode Outlet dan Target Toko'!$E:$E,0)),"")</f>
        <v>GRSM 4</v>
      </c>
      <c r="E19" s="20" t="str">
        <f>IFERROR(VLOOKUP(I19,KET!$B:$F,4,0),"")</f>
        <v>FAHMI LUKMANUL HAKIM</v>
      </c>
      <c r="F19" s="20" t="str">
        <f>IFERROR(VLOOKUP(I19,KET!$B:$F,5,0),"")</f>
        <v>GMM</v>
      </c>
      <c r="G19" s="20">
        <f>IFERROR(INDEX('Kode Outlet dan Target Toko'!$C:$C,MATCH($I19,'Kode Outlet dan Target Toko'!$E:$E,0)),0)</f>
        <v>103259</v>
      </c>
      <c r="H19" s="20">
        <f>IFERROR(INDEX('Kode Outlet dan Target Toko'!$D:$D,MATCH($I19,'Kode Outlet dan Target Toko'!$E:$E,0)),0)</f>
        <v>9029389</v>
      </c>
      <c r="I19" s="41" t="s">
        <v>18</v>
      </c>
      <c r="J19" s="56" t="s">
        <v>196</v>
      </c>
      <c r="K19" s="53" t="s">
        <v>14</v>
      </c>
      <c r="L19" s="23">
        <v>2000</v>
      </c>
      <c r="M19" s="24">
        <v>69</v>
      </c>
      <c r="N19" s="25">
        <f t="shared" si="1"/>
        <v>138000</v>
      </c>
      <c r="O19" s="26"/>
    </row>
    <row r="20" spans="1:15" ht="14.25" hidden="1" customHeight="1" x14ac:dyDescent="0.3">
      <c r="A20" s="24">
        <v>22</v>
      </c>
      <c r="B20" s="20" t="str">
        <f t="shared" si="0"/>
        <v>MAY</v>
      </c>
      <c r="C20" s="21">
        <v>46172</v>
      </c>
      <c r="D20" s="22" t="str">
        <f t="array" ref="D20">IFERROR(INDEX('Kode Outlet dan Target Toko'!$A:$A,MATCH($I20,'Kode Outlet dan Target Toko'!$E:$E,0)),"")</f>
        <v>GRSM 4</v>
      </c>
      <c r="E20" s="20" t="str">
        <f>IFERROR(VLOOKUP(I20,KET!$B:$F,4,0),"")</f>
        <v>FAHMI LUKMANUL HAKIM</v>
      </c>
      <c r="F20" s="20" t="str">
        <f>IFERROR(VLOOKUP(I20,KET!$B:$F,5,0),"")</f>
        <v>GMM</v>
      </c>
      <c r="G20" s="20">
        <f>IFERROR(INDEX('Kode Outlet dan Target Toko'!$C:$C,MATCH($I20,'Kode Outlet dan Target Toko'!$E:$E,0)),0)</f>
        <v>103259</v>
      </c>
      <c r="H20" s="20">
        <f>IFERROR(INDEX('Kode Outlet dan Target Toko'!$D:$D,MATCH($I20,'Kode Outlet dan Target Toko'!$E:$E,0)),0)</f>
        <v>9029389</v>
      </c>
      <c r="I20" s="41" t="s">
        <v>18</v>
      </c>
      <c r="J20" s="56" t="s">
        <v>196</v>
      </c>
      <c r="K20" s="53" t="s">
        <v>13</v>
      </c>
      <c r="L20" s="23">
        <v>2000</v>
      </c>
      <c r="M20" s="24">
        <v>57</v>
      </c>
      <c r="N20" s="25">
        <f t="shared" si="1"/>
        <v>114000</v>
      </c>
      <c r="O20" s="26"/>
    </row>
    <row r="21" spans="1:15" ht="15.75" hidden="1" customHeight="1" x14ac:dyDescent="0.3">
      <c r="A21" s="24">
        <v>22</v>
      </c>
      <c r="B21" s="20" t="str">
        <f t="shared" si="0"/>
        <v>MAY</v>
      </c>
      <c r="C21" s="21">
        <v>46172</v>
      </c>
      <c r="D21" s="22" t="str">
        <f t="array" ref="D21">IFERROR(INDEX('Kode Outlet dan Target Toko'!$A:$A,MATCH($I21,'Kode Outlet dan Target Toko'!$E:$E,0)),"")</f>
        <v>GRSM 4</v>
      </c>
      <c r="E21" s="20" t="str">
        <f>IFERROR(VLOOKUP(I21,KET!$B:$F,4,0),"")</f>
        <v>FAHMI LUKMANUL HAKIM</v>
      </c>
      <c r="F21" s="20" t="str">
        <f>IFERROR(VLOOKUP(I21,KET!$B:$F,5,0),"")</f>
        <v>GMM</v>
      </c>
      <c r="G21" s="20">
        <f>IFERROR(INDEX('Kode Outlet dan Target Toko'!$C:$C,MATCH($I21,'Kode Outlet dan Target Toko'!$E:$E,0)),0)</f>
        <v>103259</v>
      </c>
      <c r="H21" s="20">
        <f>IFERROR(INDEX('Kode Outlet dan Target Toko'!$D:$D,MATCH($I21,'Kode Outlet dan Target Toko'!$E:$E,0)),0)</f>
        <v>9029389</v>
      </c>
      <c r="I21" s="41" t="s">
        <v>18</v>
      </c>
      <c r="J21" s="19" t="s">
        <v>196</v>
      </c>
      <c r="K21" s="53" t="s">
        <v>16</v>
      </c>
      <c r="L21" s="23">
        <v>2000</v>
      </c>
      <c r="M21" s="24">
        <v>72</v>
      </c>
      <c r="N21" s="25">
        <f t="shared" si="1"/>
        <v>144000</v>
      </c>
      <c r="O21" s="24"/>
    </row>
    <row r="22" spans="1:15" ht="15.75" hidden="1" customHeight="1" x14ac:dyDescent="0.3">
      <c r="A22" s="24">
        <v>22</v>
      </c>
      <c r="B22" s="20" t="str">
        <f t="shared" si="0"/>
        <v>MAY</v>
      </c>
      <c r="C22" s="21">
        <v>46172</v>
      </c>
      <c r="D22" s="22" t="str">
        <f t="array" ref="D22">IFERROR(INDEX('Kode Outlet dan Target Toko'!$A:$A,MATCH($I22,'Kode Outlet dan Target Toko'!$E:$E,0)),"")</f>
        <v>GRSM 4</v>
      </c>
      <c r="E22" s="20" t="str">
        <f>IFERROR(VLOOKUP(I22,KET!$B:$F,4,0),"")</f>
        <v>FAHMI LUKMANUL HAKIM</v>
      </c>
      <c r="F22" s="20" t="str">
        <f>IFERROR(VLOOKUP(I22,KET!$B:$F,5,0),"")</f>
        <v>GMM</v>
      </c>
      <c r="G22" s="20">
        <f>IFERROR(INDEX('Kode Outlet dan Target Toko'!$C:$C,MATCH($I22,'Kode Outlet dan Target Toko'!$E:$E,0)),0)</f>
        <v>103259</v>
      </c>
      <c r="H22" s="20">
        <f>IFERROR(INDEX('Kode Outlet dan Target Toko'!$D:$D,MATCH($I22,'Kode Outlet dan Target Toko'!$E:$E,0)),0)</f>
        <v>9029389</v>
      </c>
      <c r="I22" s="41" t="s">
        <v>18</v>
      </c>
      <c r="J22" s="19" t="s">
        <v>196</v>
      </c>
      <c r="K22" s="53" t="s">
        <v>15</v>
      </c>
      <c r="L22" s="23">
        <v>2000</v>
      </c>
      <c r="M22" s="24">
        <v>72</v>
      </c>
      <c r="N22" s="25">
        <f t="shared" si="1"/>
        <v>144000</v>
      </c>
      <c r="O22" s="24">
        <v>160</v>
      </c>
    </row>
    <row r="23" spans="1:15" ht="15.75" hidden="1" customHeight="1" x14ac:dyDescent="0.3">
      <c r="A23" s="24">
        <v>22</v>
      </c>
      <c r="B23" s="20" t="str">
        <f t="shared" si="0"/>
        <v>MAY</v>
      </c>
      <c r="C23" s="21">
        <v>46173</v>
      </c>
      <c r="D23" s="22" t="str">
        <f t="array" ref="D23">IFERROR(INDEX('Kode Outlet dan Target Toko'!$A:$A,MATCH($I23,'Kode Outlet dan Target Toko'!$E:$E,0)),"")</f>
        <v>GRSM 4</v>
      </c>
      <c r="E23" s="20" t="str">
        <f>IFERROR(VLOOKUP(I23,KET!$B:$F,4,0),"")</f>
        <v>FAHMI LUKMANUL HAKIM</v>
      </c>
      <c r="F23" s="20" t="str">
        <f>IFERROR(VLOOKUP(I23,KET!$B:$F,5,0),"")</f>
        <v>GMM</v>
      </c>
      <c r="G23" s="20">
        <f>IFERROR(INDEX('Kode Outlet dan Target Toko'!$C:$C,MATCH($I23,'Kode Outlet dan Target Toko'!$E:$E,0)),0)</f>
        <v>103259</v>
      </c>
      <c r="H23" s="20">
        <f>IFERROR(INDEX('Kode Outlet dan Target Toko'!$D:$D,MATCH($I23,'Kode Outlet dan Target Toko'!$E:$E,0)),0)</f>
        <v>9029389</v>
      </c>
      <c r="I23" s="41" t="s">
        <v>18</v>
      </c>
      <c r="J23" s="45" t="s">
        <v>196</v>
      </c>
      <c r="K23" s="53" t="s">
        <v>14</v>
      </c>
      <c r="L23" s="23">
        <v>2000</v>
      </c>
      <c r="M23" s="24">
        <v>63</v>
      </c>
      <c r="N23" s="25">
        <f t="shared" si="1"/>
        <v>126000</v>
      </c>
      <c r="O23" s="24"/>
    </row>
    <row r="24" spans="1:15" ht="15.75" hidden="1" customHeight="1" x14ac:dyDescent="0.3">
      <c r="A24" s="24">
        <v>22</v>
      </c>
      <c r="B24" s="20" t="str">
        <f t="shared" si="0"/>
        <v>MAY</v>
      </c>
      <c r="C24" s="21">
        <v>46173</v>
      </c>
      <c r="D24" s="22" t="str">
        <f t="array" ref="D24">IFERROR(INDEX('Kode Outlet dan Target Toko'!$A:$A,MATCH($I24,'Kode Outlet dan Target Toko'!$E:$E,0)),"")</f>
        <v>GRSM 4</v>
      </c>
      <c r="E24" s="20" t="str">
        <f>IFERROR(VLOOKUP(I24,KET!$B:$F,4,0),"")</f>
        <v>FAHMI LUKMANUL HAKIM</v>
      </c>
      <c r="F24" s="20" t="str">
        <f>IFERROR(VLOOKUP(I24,KET!$B:$F,5,0),"")</f>
        <v>GMM</v>
      </c>
      <c r="G24" s="20">
        <f>IFERROR(INDEX('Kode Outlet dan Target Toko'!$C:$C,MATCH($I24,'Kode Outlet dan Target Toko'!$E:$E,0)),0)</f>
        <v>103259</v>
      </c>
      <c r="H24" s="20">
        <f>IFERROR(INDEX('Kode Outlet dan Target Toko'!$D:$D,MATCH($I24,'Kode Outlet dan Target Toko'!$E:$E,0)),0)</f>
        <v>9029389</v>
      </c>
      <c r="I24" s="41" t="s">
        <v>18</v>
      </c>
      <c r="J24" s="19" t="s">
        <v>196</v>
      </c>
      <c r="K24" s="53" t="s">
        <v>13</v>
      </c>
      <c r="L24" s="23">
        <v>2000</v>
      </c>
      <c r="M24" s="24">
        <v>36</v>
      </c>
      <c r="N24" s="25">
        <f t="shared" si="1"/>
        <v>72000</v>
      </c>
      <c r="O24" s="24"/>
    </row>
    <row r="25" spans="1:15" ht="15.75" hidden="1" customHeight="1" x14ac:dyDescent="0.3">
      <c r="A25" s="24">
        <v>22</v>
      </c>
      <c r="B25" s="20" t="str">
        <f t="shared" si="0"/>
        <v>MAY</v>
      </c>
      <c r="C25" s="21">
        <v>46173</v>
      </c>
      <c r="D25" s="22" t="str">
        <f t="array" ref="D25">IFERROR(INDEX('Kode Outlet dan Target Toko'!$A:$A,MATCH($I25,'Kode Outlet dan Target Toko'!$E:$E,0)),"")</f>
        <v>GRSM 4</v>
      </c>
      <c r="E25" s="20" t="str">
        <f>IFERROR(VLOOKUP(I25,KET!$B:$F,4,0),"")</f>
        <v>FAHMI LUKMANUL HAKIM</v>
      </c>
      <c r="F25" s="20" t="str">
        <f>IFERROR(VLOOKUP(I25,KET!$B:$F,5,0),"")</f>
        <v>GMM</v>
      </c>
      <c r="G25" s="20">
        <f>IFERROR(INDEX('Kode Outlet dan Target Toko'!$C:$C,MATCH($I25,'Kode Outlet dan Target Toko'!$E:$E,0)),0)</f>
        <v>103259</v>
      </c>
      <c r="H25" s="20">
        <f>IFERROR(INDEX('Kode Outlet dan Target Toko'!$D:$D,MATCH($I25,'Kode Outlet dan Target Toko'!$E:$E,0)),0)</f>
        <v>9029389</v>
      </c>
      <c r="I25" s="41" t="s">
        <v>18</v>
      </c>
      <c r="J25" s="45" t="s">
        <v>196</v>
      </c>
      <c r="K25" s="53" t="s">
        <v>16</v>
      </c>
      <c r="L25" s="23">
        <v>2000</v>
      </c>
      <c r="M25" s="24">
        <v>93</v>
      </c>
      <c r="N25" s="25">
        <f t="shared" si="1"/>
        <v>186000</v>
      </c>
      <c r="O25" s="24"/>
    </row>
    <row r="26" spans="1:15" ht="15.75" hidden="1" customHeight="1" x14ac:dyDescent="0.3">
      <c r="A26" s="24">
        <v>22</v>
      </c>
      <c r="B26" s="20" t="str">
        <f t="shared" si="0"/>
        <v>MAY</v>
      </c>
      <c r="C26" s="21">
        <v>46173</v>
      </c>
      <c r="D26" s="22" t="str">
        <f t="array" ref="D26">IFERROR(INDEX('Kode Outlet dan Target Toko'!$A:$A,MATCH($I26,'Kode Outlet dan Target Toko'!$E:$E,0)),"")</f>
        <v>GRSM 4</v>
      </c>
      <c r="E26" s="20" t="str">
        <f>IFERROR(VLOOKUP(I26,KET!$B:$F,4,0),"")</f>
        <v>FAHMI LUKMANUL HAKIM</v>
      </c>
      <c r="F26" s="20" t="str">
        <f>IFERROR(VLOOKUP(I26,KET!$B:$F,5,0),"")</f>
        <v>GMM</v>
      </c>
      <c r="G26" s="20">
        <f>IFERROR(INDEX('Kode Outlet dan Target Toko'!$C:$C,MATCH($I26,'Kode Outlet dan Target Toko'!$E:$E,0)),0)</f>
        <v>103259</v>
      </c>
      <c r="H26" s="20">
        <f>IFERROR(INDEX('Kode Outlet dan Target Toko'!$D:$D,MATCH($I26,'Kode Outlet dan Target Toko'!$E:$E,0)),0)</f>
        <v>9029389</v>
      </c>
      <c r="I26" s="41" t="s">
        <v>18</v>
      </c>
      <c r="J26" s="19" t="s">
        <v>250</v>
      </c>
      <c r="K26" s="53" t="s">
        <v>15</v>
      </c>
      <c r="L26" s="23">
        <v>2000</v>
      </c>
      <c r="M26" s="24">
        <v>87</v>
      </c>
      <c r="N26" s="25">
        <f t="shared" si="1"/>
        <v>174000</v>
      </c>
      <c r="O26" s="24">
        <v>160</v>
      </c>
    </row>
    <row r="27" spans="1:15" ht="15.75" hidden="1" customHeight="1" x14ac:dyDescent="0.3">
      <c r="A27" s="24">
        <v>22</v>
      </c>
      <c r="B27" s="20" t="str">
        <f t="shared" si="0"/>
        <v>MAY</v>
      </c>
      <c r="C27" s="21">
        <v>46173</v>
      </c>
      <c r="D27" s="22" t="str">
        <f t="array" ref="D27">IFERROR(INDEX('Kode Outlet dan Target Toko'!$A:$A,MATCH($I27,'Kode Outlet dan Target Toko'!$E:$E,0)),"")</f>
        <v>GRSM 4</v>
      </c>
      <c r="E27" s="20" t="str">
        <f>IFERROR(VLOOKUP(I27,KET!$B:$F,4,0),"")</f>
        <v>FAHMI LUKMANUL HAKIM</v>
      </c>
      <c r="F27" s="20" t="str">
        <f>IFERROR(VLOOKUP(I27,KET!$B:$F,5,0),"")</f>
        <v>GMM</v>
      </c>
      <c r="G27" s="20">
        <f>IFERROR(INDEX('Kode Outlet dan Target Toko'!$C:$C,MATCH($I27,'Kode Outlet dan Target Toko'!$E:$E,0)),0)</f>
        <v>103259</v>
      </c>
      <c r="H27" s="20">
        <f>IFERROR(INDEX('Kode Outlet dan Target Toko'!$D:$D,MATCH($I27,'Kode Outlet dan Target Toko'!$E:$E,0)),0)</f>
        <v>9029389</v>
      </c>
      <c r="I27" s="41" t="s">
        <v>18</v>
      </c>
      <c r="J27" s="56" t="s">
        <v>250</v>
      </c>
      <c r="K27" s="53" t="s">
        <v>14</v>
      </c>
      <c r="L27" s="23">
        <v>2000</v>
      </c>
      <c r="M27" s="24">
        <v>60</v>
      </c>
      <c r="N27" s="25">
        <f t="shared" si="1"/>
        <v>120000</v>
      </c>
      <c r="O27" s="26"/>
    </row>
    <row r="28" spans="1:15" ht="15.75" hidden="1" customHeight="1" x14ac:dyDescent="0.3">
      <c r="A28" s="24">
        <v>22</v>
      </c>
      <c r="B28" s="20" t="str">
        <f t="shared" si="0"/>
        <v>MAY</v>
      </c>
      <c r="C28" s="21">
        <v>46173</v>
      </c>
      <c r="D28" s="22" t="str">
        <f t="array" ref="D28">IFERROR(INDEX('Kode Outlet dan Target Toko'!$A:$A,MATCH($I28,'Kode Outlet dan Target Toko'!$E:$E,0)),"")</f>
        <v>GRSM 4</v>
      </c>
      <c r="E28" s="20" t="str">
        <f>IFERROR(VLOOKUP(I28,KET!$B:$F,4,0),"")</f>
        <v>FAHMI LUKMANUL HAKIM</v>
      </c>
      <c r="F28" s="20" t="str">
        <f>IFERROR(VLOOKUP(I28,KET!$B:$F,5,0),"")</f>
        <v>GMM</v>
      </c>
      <c r="G28" s="20">
        <f>IFERROR(INDEX('Kode Outlet dan Target Toko'!$C:$C,MATCH($I28,'Kode Outlet dan Target Toko'!$E:$E,0)),0)</f>
        <v>103259</v>
      </c>
      <c r="H28" s="20">
        <f>IFERROR(INDEX('Kode Outlet dan Target Toko'!$D:$D,MATCH($I28,'Kode Outlet dan Target Toko'!$E:$E,0)),0)</f>
        <v>9029389</v>
      </c>
      <c r="I28" s="41" t="s">
        <v>18</v>
      </c>
      <c r="J28" s="56" t="s">
        <v>250</v>
      </c>
      <c r="K28" s="53" t="s">
        <v>13</v>
      </c>
      <c r="L28" s="23">
        <v>2000</v>
      </c>
      <c r="M28" s="24">
        <v>66</v>
      </c>
      <c r="N28" s="25">
        <f t="shared" si="1"/>
        <v>132000</v>
      </c>
      <c r="O28" s="26"/>
    </row>
    <row r="29" spans="1:15" ht="15.75" hidden="1" customHeight="1" x14ac:dyDescent="0.3">
      <c r="A29" s="24">
        <v>22</v>
      </c>
      <c r="B29" s="20" t="str">
        <f t="shared" si="0"/>
        <v>MAY</v>
      </c>
      <c r="C29" s="21">
        <v>46173</v>
      </c>
      <c r="D29" s="22" t="str">
        <f t="array" ref="D29">IFERROR(INDEX('Kode Outlet dan Target Toko'!$A:$A,MATCH($I29,'Kode Outlet dan Target Toko'!$E:$E,0)),"")</f>
        <v>GRSM 4</v>
      </c>
      <c r="E29" s="20" t="str">
        <f>IFERROR(VLOOKUP(I29,KET!$B:$F,4,0),"")</f>
        <v>FAHMI LUKMANUL HAKIM</v>
      </c>
      <c r="F29" s="20" t="str">
        <f>IFERROR(VLOOKUP(I29,KET!$B:$F,5,0),"")</f>
        <v>GMM</v>
      </c>
      <c r="G29" s="20">
        <f>IFERROR(INDEX('Kode Outlet dan Target Toko'!$C:$C,MATCH($I29,'Kode Outlet dan Target Toko'!$E:$E,0)),0)</f>
        <v>103259</v>
      </c>
      <c r="H29" s="20">
        <f>IFERROR(INDEX('Kode Outlet dan Target Toko'!$D:$D,MATCH($I29,'Kode Outlet dan Target Toko'!$E:$E,0)),0)</f>
        <v>9029389</v>
      </c>
      <c r="I29" s="41" t="s">
        <v>18</v>
      </c>
      <c r="J29" s="56" t="s">
        <v>250</v>
      </c>
      <c r="K29" s="53" t="s">
        <v>16</v>
      </c>
      <c r="L29" s="23">
        <v>2000</v>
      </c>
      <c r="M29" s="24">
        <v>57</v>
      </c>
      <c r="N29" s="25">
        <f t="shared" si="1"/>
        <v>114000</v>
      </c>
      <c r="O29" s="26"/>
    </row>
    <row r="30" spans="1:15" ht="15.75" hidden="1" customHeight="1" x14ac:dyDescent="0.3">
      <c r="A30" s="24">
        <v>22</v>
      </c>
      <c r="B30" s="20" t="str">
        <f t="shared" si="0"/>
        <v>MAY</v>
      </c>
      <c r="C30" s="21">
        <v>46173</v>
      </c>
      <c r="D30" s="22" t="str">
        <f t="array" ref="D30">IFERROR(INDEX('Kode Outlet dan Target Toko'!$A:$A,MATCH($I30,'Kode Outlet dan Target Toko'!$E:$E,0)),"")</f>
        <v>GRSM 4</v>
      </c>
      <c r="E30" s="20" t="str">
        <f>IFERROR(VLOOKUP(I30,KET!$B:$F,4,0),"")</f>
        <v>FAHMI LUKMANUL HAKIM</v>
      </c>
      <c r="F30" s="20" t="str">
        <f>IFERROR(VLOOKUP(I30,KET!$B:$F,5,0),"")</f>
        <v>GMM</v>
      </c>
      <c r="G30" s="20">
        <f>IFERROR(INDEX('Kode Outlet dan Target Toko'!$C:$C,MATCH($I30,'Kode Outlet dan Target Toko'!$E:$E,0)),0)</f>
        <v>103277</v>
      </c>
      <c r="H30" s="20">
        <f>IFERROR(INDEX('Kode Outlet dan Target Toko'!$D:$D,MATCH($I30,'Kode Outlet dan Target Toko'!$E:$E,0)),0)</f>
        <v>6300538</v>
      </c>
      <c r="I30" s="41" t="s">
        <v>19</v>
      </c>
      <c r="J30" s="56" t="s">
        <v>251</v>
      </c>
      <c r="K30" s="53" t="s">
        <v>15</v>
      </c>
      <c r="L30" s="23">
        <v>2975</v>
      </c>
      <c r="M30" s="24">
        <v>33</v>
      </c>
      <c r="N30" s="25">
        <f t="shared" si="1"/>
        <v>98175</v>
      </c>
      <c r="O30" s="26">
        <v>160</v>
      </c>
    </row>
    <row r="31" spans="1:15" ht="15.75" hidden="1" customHeight="1" x14ac:dyDescent="0.3">
      <c r="A31" s="24">
        <v>22</v>
      </c>
      <c r="B31" s="20" t="str">
        <f t="shared" si="0"/>
        <v>MAY</v>
      </c>
      <c r="C31" s="21">
        <v>46173</v>
      </c>
      <c r="D31" s="22" t="str">
        <f t="array" ref="D31">IFERROR(INDEX('Kode Outlet dan Target Toko'!$A:$A,MATCH($I31,'Kode Outlet dan Target Toko'!$E:$E,0)),"")</f>
        <v>GRSM 4</v>
      </c>
      <c r="E31" s="20" t="str">
        <f>IFERROR(VLOOKUP(I31,KET!$B:$F,4,0),"")</f>
        <v>FAHMI LUKMANUL HAKIM</v>
      </c>
      <c r="F31" s="20" t="str">
        <f>IFERROR(VLOOKUP(I31,KET!$B:$F,5,0),"")</f>
        <v>GMM</v>
      </c>
      <c r="G31" s="20">
        <f>IFERROR(INDEX('Kode Outlet dan Target Toko'!$C:$C,MATCH($I31,'Kode Outlet dan Target Toko'!$E:$E,0)),0)</f>
        <v>103277</v>
      </c>
      <c r="H31" s="20">
        <f>IFERROR(INDEX('Kode Outlet dan Target Toko'!$D:$D,MATCH($I31,'Kode Outlet dan Target Toko'!$E:$E,0)),0)</f>
        <v>6300538</v>
      </c>
      <c r="I31" s="41" t="s">
        <v>19</v>
      </c>
      <c r="J31" s="56" t="s">
        <v>251</v>
      </c>
      <c r="K31" s="53" t="s">
        <v>14</v>
      </c>
      <c r="L31" s="23">
        <v>2975</v>
      </c>
      <c r="M31" s="24">
        <v>88</v>
      </c>
      <c r="N31" s="25">
        <f t="shared" si="1"/>
        <v>261800</v>
      </c>
      <c r="O31" s="26"/>
    </row>
    <row r="32" spans="1:15" ht="15.75" hidden="1" customHeight="1" x14ac:dyDescent="0.3">
      <c r="A32" s="24">
        <v>22</v>
      </c>
      <c r="B32" s="20" t="str">
        <f t="shared" si="0"/>
        <v>MAY</v>
      </c>
      <c r="C32" s="21">
        <v>46173</v>
      </c>
      <c r="D32" s="22" t="str">
        <f t="array" ref="D32">IFERROR(INDEX('Kode Outlet dan Target Toko'!$A:$A,MATCH($I32,'Kode Outlet dan Target Toko'!$E:$E,0)),"")</f>
        <v>GRSM 4</v>
      </c>
      <c r="E32" s="20" t="str">
        <f>IFERROR(VLOOKUP(I32,KET!$B:$F,4,0),"")</f>
        <v>FAHMI LUKMANUL HAKIM</v>
      </c>
      <c r="F32" s="20" t="str">
        <f>IFERROR(VLOOKUP(I32,KET!$B:$F,5,0),"")</f>
        <v>GMM</v>
      </c>
      <c r="G32" s="20">
        <f>IFERROR(INDEX('Kode Outlet dan Target Toko'!$C:$C,MATCH($I32,'Kode Outlet dan Target Toko'!$E:$E,0)),0)</f>
        <v>103277</v>
      </c>
      <c r="H32" s="20">
        <f>IFERROR(INDEX('Kode Outlet dan Target Toko'!$D:$D,MATCH($I32,'Kode Outlet dan Target Toko'!$E:$E,0)),0)</f>
        <v>6300538</v>
      </c>
      <c r="I32" s="41" t="s">
        <v>19</v>
      </c>
      <c r="J32" s="56" t="s">
        <v>251</v>
      </c>
      <c r="K32" s="53" t="s">
        <v>13</v>
      </c>
      <c r="L32" s="23">
        <v>2975</v>
      </c>
      <c r="M32" s="24">
        <v>60</v>
      </c>
      <c r="N32" s="25">
        <f t="shared" si="1"/>
        <v>178500</v>
      </c>
      <c r="O32" s="26"/>
    </row>
    <row r="33" spans="1:15" ht="15.75" hidden="1" customHeight="1" x14ac:dyDescent="0.3">
      <c r="A33" s="24">
        <v>22</v>
      </c>
      <c r="B33" s="20" t="str">
        <f t="shared" si="0"/>
        <v>MAY</v>
      </c>
      <c r="C33" s="21">
        <v>46173</v>
      </c>
      <c r="D33" s="22" t="str">
        <f t="array" ref="D33">IFERROR(INDEX('Kode Outlet dan Target Toko'!$A:$A,MATCH($I33,'Kode Outlet dan Target Toko'!$E:$E,0)),"")</f>
        <v>GRSM 4</v>
      </c>
      <c r="E33" s="20" t="str">
        <f>IFERROR(VLOOKUP(I33,KET!$B:$F,4,0),"")</f>
        <v>FAHMI LUKMANUL HAKIM</v>
      </c>
      <c r="F33" s="20" t="str">
        <f>IFERROR(VLOOKUP(I33,KET!$B:$F,5,0),"")</f>
        <v>GMM</v>
      </c>
      <c r="G33" s="20">
        <f>IFERROR(INDEX('Kode Outlet dan Target Toko'!$C:$C,MATCH($I33,'Kode Outlet dan Target Toko'!$E:$E,0)),0)</f>
        <v>103277</v>
      </c>
      <c r="H33" s="20">
        <f>IFERROR(INDEX('Kode Outlet dan Target Toko'!$D:$D,MATCH($I33,'Kode Outlet dan Target Toko'!$E:$E,0)),0)</f>
        <v>6300538</v>
      </c>
      <c r="I33" s="41" t="s">
        <v>19</v>
      </c>
      <c r="J33" s="19" t="s">
        <v>251</v>
      </c>
      <c r="K33" s="53" t="s">
        <v>16</v>
      </c>
      <c r="L33" s="23">
        <v>2975</v>
      </c>
      <c r="M33" s="24">
        <v>149</v>
      </c>
      <c r="N33" s="25">
        <f t="shared" si="1"/>
        <v>443275</v>
      </c>
      <c r="O33" s="24"/>
    </row>
    <row r="34" spans="1:15" ht="15.75" hidden="1" customHeight="1" x14ac:dyDescent="0.3">
      <c r="A34" s="24">
        <v>22</v>
      </c>
      <c r="B34" s="20" t="str">
        <f t="shared" si="0"/>
        <v>MAY</v>
      </c>
      <c r="C34" s="21">
        <v>46173</v>
      </c>
      <c r="D34" s="22" t="str">
        <f t="array" ref="D34">IFERROR(INDEX('Kode Outlet dan Target Toko'!$A:$A,MATCH($I34,'Kode Outlet dan Target Toko'!$E:$E,0)),"")</f>
        <v>GRSM 4</v>
      </c>
      <c r="E34" s="20" t="str">
        <f>IFERROR(VLOOKUP(I34,KET!$B:$F,4,0),"")</f>
        <v>FAHMI LUKMANUL HAKIM</v>
      </c>
      <c r="F34" s="20" t="str">
        <f>IFERROR(VLOOKUP(I34,KET!$B:$F,5,0),"")</f>
        <v>GMM</v>
      </c>
      <c r="G34" s="20">
        <f>IFERROR(INDEX('Kode Outlet dan Target Toko'!$C:$C,MATCH($I34,'Kode Outlet dan Target Toko'!$E:$E,0)),0)</f>
        <v>103277</v>
      </c>
      <c r="H34" s="20">
        <f>IFERROR(INDEX('Kode Outlet dan Target Toko'!$D:$D,MATCH($I34,'Kode Outlet dan Target Toko'!$E:$E,0)),0)</f>
        <v>6300538</v>
      </c>
      <c r="I34" s="41" t="s">
        <v>19</v>
      </c>
      <c r="J34" s="19" t="s">
        <v>252</v>
      </c>
      <c r="K34" s="53" t="s">
        <v>15</v>
      </c>
      <c r="L34" s="23">
        <v>2975</v>
      </c>
      <c r="M34" s="24">
        <v>29</v>
      </c>
      <c r="N34" s="25">
        <f t="shared" si="1"/>
        <v>86275</v>
      </c>
      <c r="O34" s="24">
        <v>147</v>
      </c>
    </row>
    <row r="35" spans="1:15" ht="15.75" hidden="1" customHeight="1" x14ac:dyDescent="0.3">
      <c r="A35" s="24">
        <v>22</v>
      </c>
      <c r="B35" s="20" t="str">
        <f t="shared" si="0"/>
        <v>MAY</v>
      </c>
      <c r="C35" s="21">
        <v>46173</v>
      </c>
      <c r="D35" s="22" t="str">
        <f t="array" ref="D35">IFERROR(INDEX('Kode Outlet dan Target Toko'!$A:$A,MATCH($I35,'Kode Outlet dan Target Toko'!$E:$E,0)),"")</f>
        <v>GRSM 4</v>
      </c>
      <c r="E35" s="20" t="str">
        <f>IFERROR(VLOOKUP(I35,KET!$B:$F,4,0),"")</f>
        <v>FAHMI LUKMANUL HAKIM</v>
      </c>
      <c r="F35" s="20" t="str">
        <f>IFERROR(VLOOKUP(I35,KET!$B:$F,5,0),"")</f>
        <v>GMM</v>
      </c>
      <c r="G35" s="20">
        <f>IFERROR(INDEX('Kode Outlet dan Target Toko'!$C:$C,MATCH($I35,'Kode Outlet dan Target Toko'!$E:$E,0)),0)</f>
        <v>103277</v>
      </c>
      <c r="H35" s="20">
        <f>IFERROR(INDEX('Kode Outlet dan Target Toko'!$D:$D,MATCH($I35,'Kode Outlet dan Target Toko'!$E:$E,0)),0)</f>
        <v>6300538</v>
      </c>
      <c r="I35" s="41" t="s">
        <v>19</v>
      </c>
      <c r="J35" s="56" t="s">
        <v>252</v>
      </c>
      <c r="K35" s="53" t="s">
        <v>14</v>
      </c>
      <c r="L35" s="23">
        <v>2975</v>
      </c>
      <c r="M35" s="24">
        <v>81</v>
      </c>
      <c r="N35" s="25">
        <f t="shared" si="1"/>
        <v>240975</v>
      </c>
      <c r="O35" s="26"/>
    </row>
    <row r="36" spans="1:15" ht="15.75" hidden="1" customHeight="1" x14ac:dyDescent="0.3">
      <c r="A36" s="24">
        <v>22</v>
      </c>
      <c r="B36" s="20" t="str">
        <f t="shared" si="0"/>
        <v>MAY</v>
      </c>
      <c r="C36" s="21">
        <v>46173</v>
      </c>
      <c r="D36" s="22" t="str">
        <f t="array" ref="D36">IFERROR(INDEX('Kode Outlet dan Target Toko'!$A:$A,MATCH($I36,'Kode Outlet dan Target Toko'!$E:$E,0)),"")</f>
        <v>GRSM 4</v>
      </c>
      <c r="E36" s="20" t="str">
        <f>IFERROR(VLOOKUP(I36,KET!$B:$F,4,0),"")</f>
        <v>FAHMI LUKMANUL HAKIM</v>
      </c>
      <c r="F36" s="20" t="str">
        <f>IFERROR(VLOOKUP(I36,KET!$B:$F,5,0),"")</f>
        <v>GMM</v>
      </c>
      <c r="G36" s="20">
        <f>IFERROR(INDEX('Kode Outlet dan Target Toko'!$C:$C,MATCH($I36,'Kode Outlet dan Target Toko'!$E:$E,0)),0)</f>
        <v>103277</v>
      </c>
      <c r="H36" s="20">
        <f>IFERROR(INDEX('Kode Outlet dan Target Toko'!$D:$D,MATCH($I36,'Kode Outlet dan Target Toko'!$E:$E,0)),0)</f>
        <v>6300538</v>
      </c>
      <c r="I36" s="41" t="s">
        <v>19</v>
      </c>
      <c r="J36" s="56" t="s">
        <v>252</v>
      </c>
      <c r="K36" s="53" t="s">
        <v>13</v>
      </c>
      <c r="L36" s="23">
        <v>2975</v>
      </c>
      <c r="M36" s="24">
        <v>47</v>
      </c>
      <c r="N36" s="25">
        <f t="shared" si="1"/>
        <v>139825</v>
      </c>
      <c r="O36" s="26"/>
    </row>
    <row r="37" spans="1:15" ht="15.75" hidden="1" customHeight="1" x14ac:dyDescent="0.3">
      <c r="A37" s="24">
        <v>22</v>
      </c>
      <c r="B37" s="20" t="str">
        <f t="shared" si="0"/>
        <v>MAY</v>
      </c>
      <c r="C37" s="21">
        <v>46173</v>
      </c>
      <c r="D37" s="22" t="str">
        <f t="array" ref="D37">IFERROR(INDEX('Kode Outlet dan Target Toko'!$A:$A,MATCH($I37,'Kode Outlet dan Target Toko'!$E:$E,0)),"")</f>
        <v>GRSM 4</v>
      </c>
      <c r="E37" s="20" t="str">
        <f>IFERROR(VLOOKUP(I37,KET!$B:$F,4,0),"")</f>
        <v>FAHMI LUKMANUL HAKIM</v>
      </c>
      <c r="F37" s="20" t="str">
        <f>IFERROR(VLOOKUP(I37,KET!$B:$F,5,0),"")</f>
        <v>GMM</v>
      </c>
      <c r="G37" s="20">
        <f>IFERROR(INDEX('Kode Outlet dan Target Toko'!$C:$C,MATCH($I37,'Kode Outlet dan Target Toko'!$E:$E,0)),0)</f>
        <v>103277</v>
      </c>
      <c r="H37" s="20">
        <f>IFERROR(INDEX('Kode Outlet dan Target Toko'!$D:$D,MATCH($I37,'Kode Outlet dan Target Toko'!$E:$E,0)),0)</f>
        <v>6300538</v>
      </c>
      <c r="I37" s="41" t="s">
        <v>19</v>
      </c>
      <c r="J37" s="56" t="s">
        <v>252</v>
      </c>
      <c r="K37" s="53" t="s">
        <v>16</v>
      </c>
      <c r="L37" s="23">
        <v>2975</v>
      </c>
      <c r="M37" s="24">
        <v>151</v>
      </c>
      <c r="N37" s="25">
        <f t="shared" si="1"/>
        <v>449225</v>
      </c>
      <c r="O37" s="26"/>
    </row>
    <row r="38" spans="1:15" ht="15.75" hidden="1" customHeight="1" x14ac:dyDescent="0.3">
      <c r="A38" s="24">
        <v>22</v>
      </c>
      <c r="B38" s="20" t="str">
        <f t="shared" si="0"/>
        <v>MAY</v>
      </c>
      <c r="C38" s="21">
        <v>46173</v>
      </c>
      <c r="D38" s="22" t="str">
        <f t="array" ref="D38">IFERROR(INDEX('Kode Outlet dan Target Toko'!$A:$A,MATCH($I38,'Kode Outlet dan Target Toko'!$E:$E,0)),"")</f>
        <v>GRSM 4</v>
      </c>
      <c r="E38" s="20" t="str">
        <f>IFERROR(VLOOKUP(I38,KET!$B:$F,4,0),"")</f>
        <v>FAHMI LUKMANUL HAKIM</v>
      </c>
      <c r="F38" s="20" t="str">
        <f>IFERROR(VLOOKUP(I38,KET!$B:$F,5,0),"")</f>
        <v>GMM</v>
      </c>
      <c r="G38" s="20">
        <f>IFERROR(INDEX('Kode Outlet dan Target Toko'!$C:$C,MATCH($I38,'Kode Outlet dan Target Toko'!$E:$E,0)),0)</f>
        <v>189901</v>
      </c>
      <c r="H38" s="20">
        <f>IFERROR(INDEX('Kode Outlet dan Target Toko'!$D:$D,MATCH($I38,'Kode Outlet dan Target Toko'!$E:$E,0)),0)</f>
        <v>1602020</v>
      </c>
      <c r="I38" s="41" t="s">
        <v>20</v>
      </c>
      <c r="J38" s="19" t="s">
        <v>198</v>
      </c>
      <c r="K38" s="53" t="s">
        <v>15</v>
      </c>
      <c r="L38" s="23">
        <v>2200</v>
      </c>
      <c r="M38" s="24">
        <v>65</v>
      </c>
      <c r="N38" s="25">
        <f t="shared" si="1"/>
        <v>143000</v>
      </c>
      <c r="O38" s="24">
        <v>147</v>
      </c>
    </row>
    <row r="39" spans="1:15" ht="15.75" hidden="1" customHeight="1" x14ac:dyDescent="0.3">
      <c r="A39" s="24">
        <v>22</v>
      </c>
      <c r="B39" s="20" t="str">
        <f t="shared" si="0"/>
        <v>MAY</v>
      </c>
      <c r="C39" s="21">
        <v>46173</v>
      </c>
      <c r="D39" s="22" t="str">
        <f t="array" ref="D39">IFERROR(INDEX('Kode Outlet dan Target Toko'!$A:$A,MATCH($I39,'Kode Outlet dan Target Toko'!$E:$E,0)),"")</f>
        <v>GRSM 4</v>
      </c>
      <c r="E39" s="20" t="str">
        <f>IFERROR(VLOOKUP(I39,KET!$B:$F,4,0),"")</f>
        <v>FAHMI LUKMANUL HAKIM</v>
      </c>
      <c r="F39" s="20" t="str">
        <f>IFERROR(VLOOKUP(I39,KET!$B:$F,5,0),"")</f>
        <v>GMM</v>
      </c>
      <c r="G39" s="20">
        <f>IFERROR(INDEX('Kode Outlet dan Target Toko'!$C:$C,MATCH($I39,'Kode Outlet dan Target Toko'!$E:$E,0)),0)</f>
        <v>189901</v>
      </c>
      <c r="H39" s="20">
        <f>IFERROR(INDEX('Kode Outlet dan Target Toko'!$D:$D,MATCH($I39,'Kode Outlet dan Target Toko'!$E:$E,0)),0)</f>
        <v>1602020</v>
      </c>
      <c r="I39" s="41" t="s">
        <v>20</v>
      </c>
      <c r="J39" s="45" t="s">
        <v>198</v>
      </c>
      <c r="K39" s="53" t="s">
        <v>14</v>
      </c>
      <c r="L39" s="23">
        <v>2200</v>
      </c>
      <c r="M39" s="24">
        <v>136</v>
      </c>
      <c r="N39" s="25">
        <f t="shared" si="1"/>
        <v>299200</v>
      </c>
      <c r="O39" s="24"/>
    </row>
    <row r="40" spans="1:15" ht="15.75" hidden="1" customHeight="1" x14ac:dyDescent="0.3">
      <c r="A40" s="24">
        <v>22</v>
      </c>
      <c r="B40" s="20" t="str">
        <f t="shared" si="0"/>
        <v>MAY</v>
      </c>
      <c r="C40" s="21">
        <v>46173</v>
      </c>
      <c r="D40" s="22" t="str">
        <f t="array" ref="D40">IFERROR(INDEX('Kode Outlet dan Target Toko'!$A:$A,MATCH($I40,'Kode Outlet dan Target Toko'!$E:$E,0)),"")</f>
        <v>GRSM 4</v>
      </c>
      <c r="E40" s="20" t="str">
        <f>IFERROR(VLOOKUP(I40,KET!$B:$F,4,0),"")</f>
        <v>FAHMI LUKMANUL HAKIM</v>
      </c>
      <c r="F40" s="20" t="str">
        <f>IFERROR(VLOOKUP(I40,KET!$B:$F,5,0),"")</f>
        <v>GMM</v>
      </c>
      <c r="G40" s="20">
        <f>IFERROR(INDEX('Kode Outlet dan Target Toko'!$C:$C,MATCH($I40,'Kode Outlet dan Target Toko'!$E:$E,0)),0)</f>
        <v>189901</v>
      </c>
      <c r="H40" s="20">
        <f>IFERROR(INDEX('Kode Outlet dan Target Toko'!$D:$D,MATCH($I40,'Kode Outlet dan Target Toko'!$E:$E,0)),0)</f>
        <v>1602020</v>
      </c>
      <c r="I40" s="41" t="s">
        <v>20</v>
      </c>
      <c r="J40" s="56" t="s">
        <v>198</v>
      </c>
      <c r="K40" s="53" t="s">
        <v>13</v>
      </c>
      <c r="L40" s="23">
        <v>2200</v>
      </c>
      <c r="M40" s="24">
        <v>42</v>
      </c>
      <c r="N40" s="25">
        <f t="shared" si="1"/>
        <v>92400</v>
      </c>
      <c r="O40" s="26"/>
    </row>
    <row r="41" spans="1:15" ht="15.75" hidden="1" customHeight="1" x14ac:dyDescent="0.3">
      <c r="A41" s="24">
        <v>22</v>
      </c>
      <c r="B41" s="20" t="str">
        <f t="shared" si="0"/>
        <v>MAY</v>
      </c>
      <c r="C41" s="21">
        <v>46173</v>
      </c>
      <c r="D41" s="22" t="str">
        <f t="array" ref="D41">IFERROR(INDEX('Kode Outlet dan Target Toko'!$A:$A,MATCH($I41,'Kode Outlet dan Target Toko'!$E:$E,0)),"")</f>
        <v>GRSM 4</v>
      </c>
      <c r="E41" s="20" t="str">
        <f>IFERROR(VLOOKUP(I41,KET!$B:$F,4,0),"")</f>
        <v>FAHMI LUKMANUL HAKIM</v>
      </c>
      <c r="F41" s="20" t="str">
        <f>IFERROR(VLOOKUP(I41,KET!$B:$F,5,0),"")</f>
        <v>GMM</v>
      </c>
      <c r="G41" s="20">
        <f>IFERROR(INDEX('Kode Outlet dan Target Toko'!$C:$C,MATCH($I41,'Kode Outlet dan Target Toko'!$E:$E,0)),0)</f>
        <v>189901</v>
      </c>
      <c r="H41" s="20">
        <f>IFERROR(INDEX('Kode Outlet dan Target Toko'!$D:$D,MATCH($I41,'Kode Outlet dan Target Toko'!$E:$E,0)),0)</f>
        <v>1602020</v>
      </c>
      <c r="I41" s="41" t="s">
        <v>20</v>
      </c>
      <c r="J41" s="56" t="s">
        <v>253</v>
      </c>
      <c r="K41" s="53" t="s">
        <v>15</v>
      </c>
      <c r="L41" s="23">
        <v>2200</v>
      </c>
      <c r="M41" s="24">
        <v>63</v>
      </c>
      <c r="N41" s="25">
        <f t="shared" si="1"/>
        <v>138600</v>
      </c>
      <c r="O41" s="26">
        <v>120</v>
      </c>
    </row>
    <row r="42" spans="1:15" ht="15.75" hidden="1" customHeight="1" x14ac:dyDescent="0.3">
      <c r="A42" s="24">
        <v>22</v>
      </c>
      <c r="B42" s="20" t="str">
        <f t="shared" si="0"/>
        <v>MAY</v>
      </c>
      <c r="C42" s="21">
        <v>46173</v>
      </c>
      <c r="D42" s="22" t="str">
        <f t="array" ref="D42">IFERROR(INDEX('Kode Outlet dan Target Toko'!$A:$A,MATCH($I42,'Kode Outlet dan Target Toko'!$E:$E,0)),"")</f>
        <v>GRSM 4</v>
      </c>
      <c r="E42" s="20" t="str">
        <f>IFERROR(VLOOKUP(I42,KET!$B:$F,4,0),"")</f>
        <v>FAHMI LUKMANUL HAKIM</v>
      </c>
      <c r="F42" s="20" t="str">
        <f>IFERROR(VLOOKUP(I42,KET!$B:$F,5,0),"")</f>
        <v>GMM</v>
      </c>
      <c r="G42" s="20">
        <f>IFERROR(INDEX('Kode Outlet dan Target Toko'!$C:$C,MATCH($I42,'Kode Outlet dan Target Toko'!$E:$E,0)),0)</f>
        <v>189901</v>
      </c>
      <c r="H42" s="20">
        <f>IFERROR(INDEX('Kode Outlet dan Target Toko'!$D:$D,MATCH($I42,'Kode Outlet dan Target Toko'!$E:$E,0)),0)</f>
        <v>1602020</v>
      </c>
      <c r="I42" s="41" t="s">
        <v>20</v>
      </c>
      <c r="J42" s="56" t="s">
        <v>253</v>
      </c>
      <c r="K42" s="53" t="s">
        <v>14</v>
      </c>
      <c r="L42" s="23">
        <v>2200</v>
      </c>
      <c r="M42" s="24">
        <v>141</v>
      </c>
      <c r="N42" s="25">
        <f t="shared" si="1"/>
        <v>310200</v>
      </c>
      <c r="O42" s="26"/>
    </row>
    <row r="43" spans="1:15" ht="15.75" hidden="1" customHeight="1" x14ac:dyDescent="0.3">
      <c r="A43" s="24">
        <v>22</v>
      </c>
      <c r="B43" s="20" t="str">
        <f t="shared" si="0"/>
        <v>MAY</v>
      </c>
      <c r="C43" s="21">
        <v>46173</v>
      </c>
      <c r="D43" s="22" t="str">
        <f t="array" ref="D43">IFERROR(INDEX('Kode Outlet dan Target Toko'!$A:$A,MATCH($I43,'Kode Outlet dan Target Toko'!$E:$E,0)),"")</f>
        <v>GRSM 4</v>
      </c>
      <c r="E43" s="20" t="str">
        <f>IFERROR(VLOOKUP(I43,KET!$B:$F,4,0),"")</f>
        <v>FAHMI LUKMANUL HAKIM</v>
      </c>
      <c r="F43" s="20" t="str">
        <f>IFERROR(VLOOKUP(I43,KET!$B:$F,5,0),"")</f>
        <v>GMM</v>
      </c>
      <c r="G43" s="20">
        <f>IFERROR(INDEX('Kode Outlet dan Target Toko'!$C:$C,MATCH($I43,'Kode Outlet dan Target Toko'!$E:$E,0)),0)</f>
        <v>189901</v>
      </c>
      <c r="H43" s="20">
        <f>IFERROR(INDEX('Kode Outlet dan Target Toko'!$D:$D,MATCH($I43,'Kode Outlet dan Target Toko'!$E:$E,0)),0)</f>
        <v>1602020</v>
      </c>
      <c r="I43" s="41" t="s">
        <v>20</v>
      </c>
      <c r="J43" s="56" t="s">
        <v>253</v>
      </c>
      <c r="K43" s="53" t="s">
        <v>13</v>
      </c>
      <c r="L43" s="23">
        <v>2200</v>
      </c>
      <c r="M43" s="24">
        <v>36</v>
      </c>
      <c r="N43" s="25">
        <f t="shared" si="1"/>
        <v>79200</v>
      </c>
      <c r="O43" s="24"/>
    </row>
    <row r="44" spans="1:15" ht="15.75" hidden="1" customHeight="1" x14ac:dyDescent="0.3">
      <c r="A44" s="24">
        <v>22</v>
      </c>
      <c r="B44" s="20" t="str">
        <f t="shared" si="0"/>
        <v>MAY</v>
      </c>
      <c r="C44" s="21">
        <v>46173</v>
      </c>
      <c r="D44" s="22" t="str">
        <f t="array" ref="D44">IFERROR(INDEX('Kode Outlet dan Target Toko'!$A:$A,MATCH($I44,'Kode Outlet dan Target Toko'!$E:$E,0)),"")</f>
        <v>GRSM 4</v>
      </c>
      <c r="E44" s="20" t="str">
        <f>IFERROR(VLOOKUP(I44,KET!$B:$F,4,0),"")</f>
        <v>FAHMI LUKMANUL HAKIM</v>
      </c>
      <c r="F44" s="20" t="str">
        <f>IFERROR(VLOOKUP(I44,KET!$B:$F,5,0),"")</f>
        <v>GMM</v>
      </c>
      <c r="G44" s="20">
        <f>IFERROR(INDEX('Kode Outlet dan Target Toko'!$C:$C,MATCH($I44,'Kode Outlet dan Target Toko'!$E:$E,0)),0)</f>
        <v>189901</v>
      </c>
      <c r="H44" s="20">
        <f>IFERROR(INDEX('Kode Outlet dan Target Toko'!$D:$D,MATCH($I44,'Kode Outlet dan Target Toko'!$E:$E,0)),0)</f>
        <v>1602020</v>
      </c>
      <c r="I44" s="41" t="s">
        <v>20</v>
      </c>
      <c r="J44" s="56" t="s">
        <v>253</v>
      </c>
      <c r="K44" s="53" t="s">
        <v>15</v>
      </c>
      <c r="L44" s="23">
        <v>2200</v>
      </c>
      <c r="M44" s="24">
        <v>54</v>
      </c>
      <c r="N44" s="25">
        <f t="shared" si="1"/>
        <v>118800</v>
      </c>
      <c r="O44" s="24">
        <v>120</v>
      </c>
    </row>
    <row r="45" spans="1:15" ht="15.75" hidden="1" customHeight="1" x14ac:dyDescent="0.3">
      <c r="A45" s="24">
        <v>22</v>
      </c>
      <c r="B45" s="20" t="str">
        <f t="shared" si="0"/>
        <v>MAY</v>
      </c>
      <c r="C45" s="21">
        <v>46171</v>
      </c>
      <c r="D45" s="22" t="str">
        <f t="array" ref="D45">IFERROR(INDEX('Kode Outlet dan Target Toko'!$A:$A,MATCH($I45,'Kode Outlet dan Target Toko'!$E:$E,0)),"")</f>
        <v>GRSM 4</v>
      </c>
      <c r="E45" s="20" t="str">
        <f>IFERROR(VLOOKUP(I45,KET!$B:$F,4,0),"")</f>
        <v>FAHMI LUKMANUL HAKIM</v>
      </c>
      <c r="F45" s="20" t="str">
        <f>IFERROR(VLOOKUP(I45,KET!$B:$F,5,0),"")</f>
        <v>GMM</v>
      </c>
      <c r="G45" s="20">
        <f>IFERROR(INDEX('Kode Outlet dan Target Toko'!$C:$C,MATCH($I45,'Kode Outlet dan Target Toko'!$E:$E,0)),0)</f>
        <v>189901</v>
      </c>
      <c r="H45" s="20">
        <f>IFERROR(INDEX('Kode Outlet dan Target Toko'!$D:$D,MATCH($I45,'Kode Outlet dan Target Toko'!$E:$E,0)),0)</f>
        <v>1602020</v>
      </c>
      <c r="I45" s="41" t="s">
        <v>20</v>
      </c>
      <c r="J45" s="56" t="s">
        <v>253</v>
      </c>
      <c r="K45" s="53" t="s">
        <v>14</v>
      </c>
      <c r="L45" s="23">
        <v>2200</v>
      </c>
      <c r="M45" s="24">
        <v>63</v>
      </c>
      <c r="N45" s="25">
        <f t="shared" si="1"/>
        <v>138600</v>
      </c>
      <c r="O45" s="26"/>
    </row>
    <row r="46" spans="1:15" ht="15.75" hidden="1" customHeight="1" x14ac:dyDescent="0.3">
      <c r="A46" s="24">
        <v>22</v>
      </c>
      <c r="B46" s="20" t="str">
        <f t="shared" si="0"/>
        <v>MAY</v>
      </c>
      <c r="C46" s="21">
        <v>46171</v>
      </c>
      <c r="D46" s="22" t="str">
        <f t="array" ref="D46">IFERROR(INDEX('Kode Outlet dan Target Toko'!$A:$A,MATCH($I46,'Kode Outlet dan Target Toko'!$E:$E,0)),"")</f>
        <v>GRSM 4</v>
      </c>
      <c r="E46" s="20" t="str">
        <f>IFERROR(VLOOKUP(I46,KET!$B:$F,4,0),"")</f>
        <v>FAHMI LUKMANUL HAKIM</v>
      </c>
      <c r="F46" s="20" t="str">
        <f>IFERROR(VLOOKUP(I46,KET!$B:$F,5,0),"")</f>
        <v>GMM</v>
      </c>
      <c r="G46" s="20">
        <f>IFERROR(INDEX('Kode Outlet dan Target Toko'!$C:$C,MATCH($I46,'Kode Outlet dan Target Toko'!$E:$E,0)),0)</f>
        <v>189901</v>
      </c>
      <c r="H46" s="20">
        <f>IFERROR(INDEX('Kode Outlet dan Target Toko'!$D:$D,MATCH($I46,'Kode Outlet dan Target Toko'!$E:$E,0)),0)</f>
        <v>1602020</v>
      </c>
      <c r="I46" s="41" t="s">
        <v>20</v>
      </c>
      <c r="J46" s="56" t="s">
        <v>253</v>
      </c>
      <c r="K46" s="53" t="s">
        <v>13</v>
      </c>
      <c r="L46" s="23">
        <v>2200</v>
      </c>
      <c r="M46" s="24">
        <v>48</v>
      </c>
      <c r="N46" s="25">
        <f t="shared" si="1"/>
        <v>105600</v>
      </c>
      <c r="O46" s="26"/>
    </row>
    <row r="47" spans="1:15" ht="15.75" hidden="1" customHeight="1" x14ac:dyDescent="0.3">
      <c r="A47" s="24">
        <v>22</v>
      </c>
      <c r="B47" s="20" t="str">
        <f t="shared" si="0"/>
        <v>MAY</v>
      </c>
      <c r="C47" s="21">
        <v>46171</v>
      </c>
      <c r="D47" s="22" t="str">
        <f t="array" ref="D47">IFERROR(INDEX('Kode Outlet dan Target Toko'!$A:$A,MATCH($I47,'Kode Outlet dan Target Toko'!$E:$E,0)),"")</f>
        <v>GRSM 4</v>
      </c>
      <c r="E47" s="20" t="str">
        <f>IFERROR(VLOOKUP(I47,KET!$B:$F,4,0),"")</f>
        <v>FAHMI LUKMANUL HAKIM</v>
      </c>
      <c r="F47" s="20" t="str">
        <f>IFERROR(VLOOKUP(I47,KET!$B:$F,5,0),"")</f>
        <v>GMM</v>
      </c>
      <c r="G47" s="20">
        <f>IFERROR(INDEX('Kode Outlet dan Target Toko'!$C:$C,MATCH($I47,'Kode Outlet dan Target Toko'!$E:$E,0)),0)</f>
        <v>189901</v>
      </c>
      <c r="H47" s="20">
        <f>IFERROR(INDEX('Kode Outlet dan Target Toko'!$D:$D,MATCH($I47,'Kode Outlet dan Target Toko'!$E:$E,0)),0)</f>
        <v>1602020</v>
      </c>
      <c r="I47" s="41" t="s">
        <v>20</v>
      </c>
      <c r="J47" s="56" t="s">
        <v>198</v>
      </c>
      <c r="K47" s="53" t="s">
        <v>15</v>
      </c>
      <c r="L47" s="23">
        <v>2200</v>
      </c>
      <c r="M47" s="24">
        <v>57</v>
      </c>
      <c r="N47" s="25">
        <f t="shared" si="1"/>
        <v>125400</v>
      </c>
      <c r="O47" s="26">
        <v>72</v>
      </c>
    </row>
    <row r="48" spans="1:15" ht="15.75" hidden="1" customHeight="1" x14ac:dyDescent="0.3">
      <c r="A48" s="24">
        <v>22</v>
      </c>
      <c r="B48" s="20" t="str">
        <f t="shared" si="0"/>
        <v>MAY</v>
      </c>
      <c r="C48" s="21">
        <v>46171</v>
      </c>
      <c r="D48" s="22" t="str">
        <f t="array" ref="D48">IFERROR(INDEX('Kode Outlet dan Target Toko'!$A:$A,MATCH($I48,'Kode Outlet dan Target Toko'!$E:$E,0)),"")</f>
        <v>GRSM 4</v>
      </c>
      <c r="E48" s="20" t="str">
        <f>IFERROR(VLOOKUP(I48,KET!$B:$F,4,0),"")</f>
        <v>FAHMI LUKMANUL HAKIM</v>
      </c>
      <c r="F48" s="20" t="str">
        <f>IFERROR(VLOOKUP(I48,KET!$B:$F,5,0),"")</f>
        <v>GMM</v>
      </c>
      <c r="G48" s="20">
        <f>IFERROR(INDEX('Kode Outlet dan Target Toko'!$C:$C,MATCH($I48,'Kode Outlet dan Target Toko'!$E:$E,0)),0)</f>
        <v>189901</v>
      </c>
      <c r="H48" s="20">
        <f>IFERROR(INDEX('Kode Outlet dan Target Toko'!$D:$D,MATCH($I48,'Kode Outlet dan Target Toko'!$E:$E,0)),0)</f>
        <v>1602020</v>
      </c>
      <c r="I48" s="41" t="s">
        <v>20</v>
      </c>
      <c r="J48" s="19" t="s">
        <v>198</v>
      </c>
      <c r="K48" s="53" t="s">
        <v>14</v>
      </c>
      <c r="L48" s="23">
        <v>2200</v>
      </c>
      <c r="M48" s="24">
        <v>54</v>
      </c>
      <c r="N48" s="25">
        <f t="shared" si="1"/>
        <v>118800</v>
      </c>
      <c r="O48" s="24"/>
    </row>
    <row r="49" spans="1:15" ht="15.75" hidden="1" customHeight="1" x14ac:dyDescent="0.3">
      <c r="A49" s="24">
        <v>22</v>
      </c>
      <c r="B49" s="20" t="str">
        <f t="shared" si="0"/>
        <v>MAY</v>
      </c>
      <c r="C49" s="21">
        <v>46171</v>
      </c>
      <c r="D49" s="22" t="str">
        <f t="array" ref="D49">IFERROR(INDEX('Kode Outlet dan Target Toko'!$A:$A,MATCH($I49,'Kode Outlet dan Target Toko'!$E:$E,0)),"")</f>
        <v>GRSM 4</v>
      </c>
      <c r="E49" s="20" t="str">
        <f>IFERROR(VLOOKUP(I49,KET!$B:$F,4,0),"")</f>
        <v>FAHMI LUKMANUL HAKIM</v>
      </c>
      <c r="F49" s="20" t="str">
        <f>IFERROR(VLOOKUP(I49,KET!$B:$F,5,0),"")</f>
        <v>GMM</v>
      </c>
      <c r="G49" s="20">
        <f>IFERROR(INDEX('Kode Outlet dan Target Toko'!$C:$C,MATCH($I49,'Kode Outlet dan Target Toko'!$E:$E,0)),0)</f>
        <v>189901</v>
      </c>
      <c r="H49" s="20">
        <f>IFERROR(INDEX('Kode Outlet dan Target Toko'!$D:$D,MATCH($I49,'Kode Outlet dan Target Toko'!$E:$E,0)),0)</f>
        <v>1602020</v>
      </c>
      <c r="I49" s="41" t="s">
        <v>20</v>
      </c>
      <c r="J49" s="45" t="s">
        <v>198</v>
      </c>
      <c r="K49" s="53" t="s">
        <v>13</v>
      </c>
      <c r="L49" s="23">
        <v>2200</v>
      </c>
      <c r="M49" s="24">
        <v>42</v>
      </c>
      <c r="N49" s="25">
        <f t="shared" si="1"/>
        <v>92400</v>
      </c>
      <c r="O49" s="24"/>
    </row>
    <row r="50" spans="1:15" ht="15.75" hidden="1" customHeight="1" x14ac:dyDescent="0.3">
      <c r="A50" s="24">
        <v>22</v>
      </c>
      <c r="B50" s="20" t="str">
        <f t="shared" si="0"/>
        <v>MAY</v>
      </c>
      <c r="C50" s="21">
        <v>46171</v>
      </c>
      <c r="D50" s="22" t="str">
        <f t="array" ref="D50">IFERROR(INDEX('Kode Outlet dan Target Toko'!$A:$A,MATCH($I50,'Kode Outlet dan Target Toko'!$E:$E,0)),"")</f>
        <v>GRSM 4</v>
      </c>
      <c r="E50" s="20" t="str">
        <f>IFERROR(VLOOKUP(I50,KET!$B:$F,4,0),"")</f>
        <v>FAHMI LUKMANUL HAKIM</v>
      </c>
      <c r="F50" s="20" t="str">
        <f>IFERROR(VLOOKUP(I50,KET!$B:$F,5,0),"")</f>
        <v>GMM</v>
      </c>
      <c r="G50" s="20">
        <f>IFERROR(INDEX('Kode Outlet dan Target Toko'!$C:$C,MATCH($I50,'Kode Outlet dan Target Toko'!$E:$E,0)),0)</f>
        <v>189901</v>
      </c>
      <c r="H50" s="20">
        <f>IFERROR(INDEX('Kode Outlet dan Target Toko'!$D:$D,MATCH($I50,'Kode Outlet dan Target Toko'!$E:$E,0)),0)</f>
        <v>1602020</v>
      </c>
      <c r="I50" s="41" t="s">
        <v>20</v>
      </c>
      <c r="J50" s="56" t="s">
        <v>253</v>
      </c>
      <c r="K50" s="53" t="s">
        <v>15</v>
      </c>
      <c r="L50" s="23">
        <v>2200</v>
      </c>
      <c r="M50" s="24">
        <v>70</v>
      </c>
      <c r="N50" s="25">
        <f t="shared" si="1"/>
        <v>154000</v>
      </c>
      <c r="O50" s="24">
        <v>72</v>
      </c>
    </row>
    <row r="51" spans="1:15" ht="15.75" hidden="1" customHeight="1" x14ac:dyDescent="0.3">
      <c r="A51" s="24">
        <v>22</v>
      </c>
      <c r="B51" s="20" t="str">
        <f t="shared" si="0"/>
        <v>MAY</v>
      </c>
      <c r="C51" s="21">
        <v>46172</v>
      </c>
      <c r="D51" s="22" t="str">
        <f t="array" ref="D51">IFERROR(INDEX('Kode Outlet dan Target Toko'!$A:$A,MATCH($I51,'Kode Outlet dan Target Toko'!$E:$E,0)),"")</f>
        <v>GRSM 4</v>
      </c>
      <c r="E51" s="20" t="str">
        <f>IFERROR(VLOOKUP(I51,KET!$B:$F,4,0),"")</f>
        <v>FAHMI LUKMANUL HAKIM</v>
      </c>
      <c r="F51" s="20" t="str">
        <f>IFERROR(VLOOKUP(I51,KET!$B:$F,5,0),"")</f>
        <v>GMM</v>
      </c>
      <c r="G51" s="20">
        <f>IFERROR(INDEX('Kode Outlet dan Target Toko'!$C:$C,MATCH($I51,'Kode Outlet dan Target Toko'!$E:$E,0)),0)</f>
        <v>189901</v>
      </c>
      <c r="H51" s="20">
        <f>IFERROR(INDEX('Kode Outlet dan Target Toko'!$D:$D,MATCH($I51,'Kode Outlet dan Target Toko'!$E:$E,0)),0)</f>
        <v>1602020</v>
      </c>
      <c r="I51" s="41" t="s">
        <v>20</v>
      </c>
      <c r="J51" s="56" t="s">
        <v>253</v>
      </c>
      <c r="K51" s="53" t="s">
        <v>14</v>
      </c>
      <c r="L51" s="23">
        <v>2200</v>
      </c>
      <c r="M51" s="24">
        <v>148</v>
      </c>
      <c r="N51" s="25">
        <f t="shared" si="1"/>
        <v>325600</v>
      </c>
      <c r="O51" s="26"/>
    </row>
    <row r="52" spans="1:15" ht="15.75" hidden="1" customHeight="1" x14ac:dyDescent="0.3">
      <c r="A52" s="24">
        <v>22</v>
      </c>
      <c r="B52" s="20" t="str">
        <f t="shared" si="0"/>
        <v>MAY</v>
      </c>
      <c r="C52" s="21">
        <v>46172</v>
      </c>
      <c r="D52" s="22" t="str">
        <f t="array" ref="D52">IFERROR(INDEX('Kode Outlet dan Target Toko'!$A:$A,MATCH($I52,'Kode Outlet dan Target Toko'!$E:$E,0)),"")</f>
        <v>GRSM 4</v>
      </c>
      <c r="E52" s="20" t="str">
        <f>IFERROR(VLOOKUP(I52,KET!$B:$F,4,0),"")</f>
        <v>FAHMI LUKMANUL HAKIM</v>
      </c>
      <c r="F52" s="20" t="str">
        <f>IFERROR(VLOOKUP(I52,KET!$B:$F,5,0),"")</f>
        <v>GMM</v>
      </c>
      <c r="G52" s="20">
        <f>IFERROR(INDEX('Kode Outlet dan Target Toko'!$C:$C,MATCH($I52,'Kode Outlet dan Target Toko'!$E:$E,0)),0)</f>
        <v>189901</v>
      </c>
      <c r="H52" s="20">
        <f>IFERROR(INDEX('Kode Outlet dan Target Toko'!$D:$D,MATCH($I52,'Kode Outlet dan Target Toko'!$E:$E,0)),0)</f>
        <v>1602020</v>
      </c>
      <c r="I52" s="41" t="s">
        <v>20</v>
      </c>
      <c r="J52" s="56" t="s">
        <v>253</v>
      </c>
      <c r="K52" s="53" t="s">
        <v>13</v>
      </c>
      <c r="L52" s="23">
        <v>2200</v>
      </c>
      <c r="M52" s="24">
        <v>87</v>
      </c>
      <c r="N52" s="25">
        <f t="shared" si="1"/>
        <v>191400</v>
      </c>
      <c r="O52" s="26"/>
    </row>
    <row r="53" spans="1:15" ht="15.75" hidden="1" customHeight="1" x14ac:dyDescent="0.3">
      <c r="A53" s="24">
        <v>22</v>
      </c>
      <c r="B53" s="20" t="str">
        <f t="shared" si="0"/>
        <v>MAY</v>
      </c>
      <c r="C53" s="21">
        <v>46172</v>
      </c>
      <c r="D53" s="22" t="str">
        <f t="array" ref="D53">IFERROR(INDEX('Kode Outlet dan Target Toko'!$A:$A,MATCH($I53,'Kode Outlet dan Target Toko'!$E:$E,0)),"")</f>
        <v>GRSM 4</v>
      </c>
      <c r="E53" s="20" t="str">
        <f>IFERROR(VLOOKUP(I53,KET!$B:$F,4,0),"")</f>
        <v>FAHMI LUKMANUL HAKIM</v>
      </c>
      <c r="F53" s="20" t="str">
        <f>IFERROR(VLOOKUP(I53,KET!$B:$F,5,0),"")</f>
        <v>GMM</v>
      </c>
      <c r="G53" s="20">
        <f>IFERROR(INDEX('Kode Outlet dan Target Toko'!$C:$C,MATCH($I53,'Kode Outlet dan Target Toko'!$E:$E,0)),0)</f>
        <v>189901</v>
      </c>
      <c r="H53" s="20">
        <f>IFERROR(INDEX('Kode Outlet dan Target Toko'!$D:$D,MATCH($I53,'Kode Outlet dan Target Toko'!$E:$E,0)),0)</f>
        <v>1602020</v>
      </c>
      <c r="I53" s="41" t="s">
        <v>20</v>
      </c>
      <c r="J53" s="56" t="s">
        <v>198</v>
      </c>
      <c r="K53" s="53" t="s">
        <v>15</v>
      </c>
      <c r="L53" s="23">
        <v>2200</v>
      </c>
      <c r="M53" s="24">
        <v>80</v>
      </c>
      <c r="N53" s="25">
        <f t="shared" si="1"/>
        <v>176000</v>
      </c>
      <c r="O53" s="26">
        <v>120</v>
      </c>
    </row>
    <row r="54" spans="1:15" ht="15.75" hidden="1" customHeight="1" x14ac:dyDescent="0.3">
      <c r="A54" s="24">
        <v>22</v>
      </c>
      <c r="B54" s="20" t="str">
        <f t="shared" si="0"/>
        <v>MAY</v>
      </c>
      <c r="C54" s="21">
        <v>46172</v>
      </c>
      <c r="D54" s="22" t="str">
        <f t="array" ref="D54">IFERROR(INDEX('Kode Outlet dan Target Toko'!$A:$A,MATCH($I54,'Kode Outlet dan Target Toko'!$E:$E,0)),"")</f>
        <v>GRSM 4</v>
      </c>
      <c r="E54" s="20" t="str">
        <f>IFERROR(VLOOKUP(I54,KET!$B:$F,4,0),"")</f>
        <v>FAHMI LUKMANUL HAKIM</v>
      </c>
      <c r="F54" s="20" t="str">
        <f>IFERROR(VLOOKUP(I54,KET!$B:$F,5,0),"")</f>
        <v>GMM</v>
      </c>
      <c r="G54" s="20">
        <f>IFERROR(INDEX('Kode Outlet dan Target Toko'!$C:$C,MATCH($I54,'Kode Outlet dan Target Toko'!$E:$E,0)),0)</f>
        <v>189901</v>
      </c>
      <c r="H54" s="20">
        <f>IFERROR(INDEX('Kode Outlet dan Target Toko'!$D:$D,MATCH($I54,'Kode Outlet dan Target Toko'!$E:$E,0)),0)</f>
        <v>1602020</v>
      </c>
      <c r="I54" s="41" t="s">
        <v>20</v>
      </c>
      <c r="J54" s="56" t="s">
        <v>198</v>
      </c>
      <c r="K54" s="53" t="s">
        <v>14</v>
      </c>
      <c r="L54" s="23">
        <v>2200</v>
      </c>
      <c r="M54" s="24">
        <v>154</v>
      </c>
      <c r="N54" s="25">
        <f t="shared" si="1"/>
        <v>338800</v>
      </c>
      <c r="O54" s="26"/>
    </row>
    <row r="55" spans="1:15" ht="15.75" hidden="1" customHeight="1" x14ac:dyDescent="0.3">
      <c r="A55" s="24">
        <v>22</v>
      </c>
      <c r="B55" s="20" t="str">
        <f t="shared" si="0"/>
        <v>MAY</v>
      </c>
      <c r="C55" s="21">
        <v>46172</v>
      </c>
      <c r="D55" s="22" t="str">
        <f t="array" ref="D55">IFERROR(INDEX('Kode Outlet dan Target Toko'!$A:$A,MATCH($I55,'Kode Outlet dan Target Toko'!$E:$E,0)),"")</f>
        <v>GRSM 4</v>
      </c>
      <c r="E55" s="20" t="str">
        <f>IFERROR(VLOOKUP(I55,KET!$B:$F,4,0),"")</f>
        <v>FAHMI LUKMANUL HAKIM</v>
      </c>
      <c r="F55" s="20" t="str">
        <f>IFERROR(VLOOKUP(I55,KET!$B:$F,5,0),"")</f>
        <v>GMM</v>
      </c>
      <c r="G55" s="20">
        <f>IFERROR(INDEX('Kode Outlet dan Target Toko'!$C:$C,MATCH($I55,'Kode Outlet dan Target Toko'!$E:$E,0)),0)</f>
        <v>189901</v>
      </c>
      <c r="H55" s="20">
        <f>IFERROR(INDEX('Kode Outlet dan Target Toko'!$D:$D,MATCH($I55,'Kode Outlet dan Target Toko'!$E:$E,0)),0)</f>
        <v>1602020</v>
      </c>
      <c r="I55" s="41" t="s">
        <v>20</v>
      </c>
      <c r="J55" s="56" t="s">
        <v>198</v>
      </c>
      <c r="K55" s="53" t="s">
        <v>13</v>
      </c>
      <c r="L55" s="23">
        <v>2200</v>
      </c>
      <c r="M55" s="24">
        <v>74</v>
      </c>
      <c r="N55" s="25">
        <f t="shared" si="1"/>
        <v>162800</v>
      </c>
      <c r="O55" s="26"/>
    </row>
    <row r="56" spans="1:15" ht="15.75" hidden="1" customHeight="1" x14ac:dyDescent="0.3">
      <c r="A56" s="24">
        <v>22</v>
      </c>
      <c r="B56" s="20" t="str">
        <f t="shared" si="0"/>
        <v>MAY</v>
      </c>
      <c r="C56" s="21">
        <v>46172</v>
      </c>
      <c r="D56" s="22" t="str">
        <f t="array" ref="D56">IFERROR(INDEX('Kode Outlet dan Target Toko'!$A:$A,MATCH($I56,'Kode Outlet dan Target Toko'!$E:$E,0)),"")</f>
        <v>GRSM 4</v>
      </c>
      <c r="E56" s="20" t="str">
        <f>IFERROR(VLOOKUP(I56,KET!$B:$F,4,0),"")</f>
        <v>FAHMI LUKMANUL HAKIM</v>
      </c>
      <c r="F56" s="20" t="str">
        <f>IFERROR(VLOOKUP(I56,KET!$B:$F,5,0),"")</f>
        <v>GMM</v>
      </c>
      <c r="G56" s="20">
        <f>IFERROR(INDEX('Kode Outlet dan Target Toko'!$C:$C,MATCH($I56,'Kode Outlet dan Target Toko'!$E:$E,0)),0)</f>
        <v>103277</v>
      </c>
      <c r="H56" s="20">
        <f>IFERROR(INDEX('Kode Outlet dan Target Toko'!$D:$D,MATCH($I56,'Kode Outlet dan Target Toko'!$E:$E,0)),0)</f>
        <v>6300538</v>
      </c>
      <c r="I56" s="41" t="s">
        <v>19</v>
      </c>
      <c r="J56" s="56" t="s">
        <v>251</v>
      </c>
      <c r="K56" s="53" t="s">
        <v>15</v>
      </c>
      <c r="L56" s="23">
        <v>5139</v>
      </c>
      <c r="M56" s="24">
        <v>33</v>
      </c>
      <c r="N56" s="25">
        <f t="shared" si="1"/>
        <v>169587</v>
      </c>
      <c r="O56" s="26">
        <v>120</v>
      </c>
    </row>
    <row r="57" spans="1:15" ht="15.75" hidden="1" customHeight="1" x14ac:dyDescent="0.3">
      <c r="A57" s="24">
        <v>22</v>
      </c>
      <c r="B57" s="20" t="str">
        <f t="shared" si="0"/>
        <v>MAY</v>
      </c>
      <c r="C57" s="21">
        <v>46171</v>
      </c>
      <c r="D57" s="22" t="str">
        <f t="array" ref="D57">IFERROR(INDEX('Kode Outlet dan Target Toko'!$A:$A,MATCH($I57,'Kode Outlet dan Target Toko'!$E:$E,0)),"")</f>
        <v>GRSM 4</v>
      </c>
      <c r="E57" s="20" t="str">
        <f>IFERROR(VLOOKUP(I57,KET!$B:$F,4,0),"")</f>
        <v>FAHMI LUKMANUL HAKIM</v>
      </c>
      <c r="F57" s="20" t="str">
        <f>IFERROR(VLOOKUP(I57,KET!$B:$F,5,0),"")</f>
        <v>GMM</v>
      </c>
      <c r="G57" s="20">
        <f>IFERROR(INDEX('Kode Outlet dan Target Toko'!$C:$C,MATCH($I57,'Kode Outlet dan Target Toko'!$E:$E,0)),0)</f>
        <v>103277</v>
      </c>
      <c r="H57" s="20">
        <f>IFERROR(INDEX('Kode Outlet dan Target Toko'!$D:$D,MATCH($I57,'Kode Outlet dan Target Toko'!$E:$E,0)),0)</f>
        <v>6300538</v>
      </c>
      <c r="I57" s="41" t="s">
        <v>19</v>
      </c>
      <c r="J57" s="19" t="s">
        <v>251</v>
      </c>
      <c r="K57" s="53" t="s">
        <v>14</v>
      </c>
      <c r="L57" s="23">
        <v>3414</v>
      </c>
      <c r="M57" s="24">
        <v>61</v>
      </c>
      <c r="N57" s="25">
        <f t="shared" si="1"/>
        <v>208254</v>
      </c>
      <c r="O57" s="24"/>
    </row>
    <row r="58" spans="1:15" ht="15.75" hidden="1" customHeight="1" x14ac:dyDescent="0.3">
      <c r="A58" s="24">
        <v>22</v>
      </c>
      <c r="B58" s="20" t="str">
        <f t="shared" si="0"/>
        <v>MAY</v>
      </c>
      <c r="C58" s="21">
        <v>46171</v>
      </c>
      <c r="D58" s="22" t="str">
        <f t="array" ref="D58">IFERROR(INDEX('Kode Outlet dan Target Toko'!$A:$A,MATCH($I58,'Kode Outlet dan Target Toko'!$E:$E,0)),"")</f>
        <v>GRSM 4</v>
      </c>
      <c r="E58" s="20" t="str">
        <f>IFERROR(VLOOKUP(I58,KET!$B:$F,4,0),"")</f>
        <v>FAHMI LUKMANUL HAKIM</v>
      </c>
      <c r="F58" s="20" t="str">
        <f>IFERROR(VLOOKUP(I58,KET!$B:$F,5,0),"")</f>
        <v>GMM</v>
      </c>
      <c r="G58" s="20">
        <f>IFERROR(INDEX('Kode Outlet dan Target Toko'!$C:$C,MATCH($I58,'Kode Outlet dan Target Toko'!$E:$E,0)),0)</f>
        <v>103277</v>
      </c>
      <c r="H58" s="20">
        <f>IFERROR(INDEX('Kode Outlet dan Target Toko'!$D:$D,MATCH($I58,'Kode Outlet dan Target Toko'!$E:$E,0)),0)</f>
        <v>6300538</v>
      </c>
      <c r="I58" s="41" t="s">
        <v>19</v>
      </c>
      <c r="J58" s="19" t="s">
        <v>251</v>
      </c>
      <c r="K58" s="53" t="s">
        <v>13</v>
      </c>
      <c r="L58" s="23">
        <v>2219</v>
      </c>
      <c r="M58" s="24">
        <v>63</v>
      </c>
      <c r="N58" s="25">
        <f t="shared" si="1"/>
        <v>139797</v>
      </c>
      <c r="O58" s="24"/>
    </row>
    <row r="59" spans="1:15" ht="15.75" hidden="1" customHeight="1" x14ac:dyDescent="0.3">
      <c r="A59" s="24">
        <v>22</v>
      </c>
      <c r="B59" s="20" t="str">
        <f t="shared" si="0"/>
        <v>MAY</v>
      </c>
      <c r="C59" s="21">
        <v>46171</v>
      </c>
      <c r="D59" s="22" t="str">
        <f t="array" ref="D59">IFERROR(INDEX('Kode Outlet dan Target Toko'!$A:$A,MATCH($I59,'Kode Outlet dan Target Toko'!$E:$E,0)),"")</f>
        <v>GRSM 4</v>
      </c>
      <c r="E59" s="20" t="str">
        <f>IFERROR(VLOOKUP(I59,KET!$B:$F,4,0),"")</f>
        <v>FAHMI LUKMANUL HAKIM</v>
      </c>
      <c r="F59" s="20" t="str">
        <f>IFERROR(VLOOKUP(I59,KET!$B:$F,5,0),"")</f>
        <v>GMM</v>
      </c>
      <c r="G59" s="20">
        <f>IFERROR(INDEX('Kode Outlet dan Target Toko'!$C:$C,MATCH($I59,'Kode Outlet dan Target Toko'!$E:$E,0)),0)</f>
        <v>103277</v>
      </c>
      <c r="H59" s="20">
        <f>IFERROR(INDEX('Kode Outlet dan Target Toko'!$D:$D,MATCH($I59,'Kode Outlet dan Target Toko'!$E:$E,0)),0)</f>
        <v>6300538</v>
      </c>
      <c r="I59" s="41" t="s">
        <v>19</v>
      </c>
      <c r="J59" s="45" t="s">
        <v>251</v>
      </c>
      <c r="K59" s="53" t="s">
        <v>16</v>
      </c>
      <c r="L59" s="23">
        <v>3176</v>
      </c>
      <c r="M59" s="24">
        <v>74</v>
      </c>
      <c r="N59" s="25">
        <f t="shared" si="1"/>
        <v>235024</v>
      </c>
      <c r="O59" s="24"/>
    </row>
    <row r="60" spans="1:15" ht="15.75" hidden="1" customHeight="1" x14ac:dyDescent="0.3">
      <c r="A60" s="24">
        <v>22</v>
      </c>
      <c r="B60" s="20" t="str">
        <f t="shared" si="0"/>
        <v>MAY</v>
      </c>
      <c r="C60" s="21">
        <v>46171</v>
      </c>
      <c r="D60" s="22" t="str">
        <f t="array" ref="D60">IFERROR(INDEX('Kode Outlet dan Target Toko'!$A:$A,MATCH($I60,'Kode Outlet dan Target Toko'!$E:$E,0)),"")</f>
        <v>GRSM 4</v>
      </c>
      <c r="E60" s="20" t="str">
        <f>IFERROR(VLOOKUP(I60,KET!$B:$F,4,0),"")</f>
        <v>FAHMI LUKMANUL HAKIM</v>
      </c>
      <c r="F60" s="20" t="str">
        <f>IFERROR(VLOOKUP(I60,KET!$B:$F,5,0),"")</f>
        <v>GMM</v>
      </c>
      <c r="G60" s="20">
        <f>IFERROR(INDEX('Kode Outlet dan Target Toko'!$C:$C,MATCH($I60,'Kode Outlet dan Target Toko'!$E:$E,0)),0)</f>
        <v>103277</v>
      </c>
      <c r="H60" s="20">
        <f>IFERROR(INDEX('Kode Outlet dan Target Toko'!$D:$D,MATCH($I60,'Kode Outlet dan Target Toko'!$E:$E,0)),0)</f>
        <v>6300538</v>
      </c>
      <c r="I60" s="41" t="s">
        <v>19</v>
      </c>
      <c r="J60" s="19" t="s">
        <v>252</v>
      </c>
      <c r="K60" s="53" t="s">
        <v>15</v>
      </c>
      <c r="L60" s="23">
        <v>2975</v>
      </c>
      <c r="M60" s="24">
        <v>61</v>
      </c>
      <c r="N60" s="25">
        <f t="shared" si="1"/>
        <v>181475</v>
      </c>
      <c r="O60" s="24">
        <v>112</v>
      </c>
    </row>
    <row r="61" spans="1:15" ht="15.75" hidden="1" customHeight="1" x14ac:dyDescent="0.3">
      <c r="A61" s="24">
        <v>22</v>
      </c>
      <c r="B61" s="20" t="str">
        <f t="shared" si="0"/>
        <v>MAY</v>
      </c>
      <c r="C61" s="21">
        <v>46171</v>
      </c>
      <c r="D61" s="22" t="str">
        <f t="array" ref="D61">IFERROR(INDEX('Kode Outlet dan Target Toko'!$A:$A,MATCH($I61,'Kode Outlet dan Target Toko'!$E:$E,0)),"")</f>
        <v>GRSM 4</v>
      </c>
      <c r="E61" s="20" t="str">
        <f>IFERROR(VLOOKUP(I61,KET!$B:$F,4,0),"")</f>
        <v>FAHMI LUKMANUL HAKIM</v>
      </c>
      <c r="F61" s="20" t="str">
        <f>IFERROR(VLOOKUP(I61,KET!$B:$F,5,0),"")</f>
        <v>GMM</v>
      </c>
      <c r="G61" s="20">
        <f>IFERROR(INDEX('Kode Outlet dan Target Toko'!$C:$C,MATCH($I61,'Kode Outlet dan Target Toko'!$E:$E,0)),0)</f>
        <v>103277</v>
      </c>
      <c r="H61" s="20">
        <f>IFERROR(INDEX('Kode Outlet dan Target Toko'!$D:$D,MATCH($I61,'Kode Outlet dan Target Toko'!$E:$E,0)),0)</f>
        <v>6300538</v>
      </c>
      <c r="I61" s="41" t="s">
        <v>19</v>
      </c>
      <c r="J61" s="19" t="s">
        <v>252</v>
      </c>
      <c r="K61" s="53" t="s">
        <v>14</v>
      </c>
      <c r="L61" s="23">
        <v>2975</v>
      </c>
      <c r="M61" s="24">
        <v>63</v>
      </c>
      <c r="N61" s="25">
        <f t="shared" si="1"/>
        <v>187425</v>
      </c>
      <c r="O61" s="24"/>
    </row>
    <row r="62" spans="1:15" ht="15.75" hidden="1" customHeight="1" x14ac:dyDescent="0.3">
      <c r="A62" s="24">
        <v>22</v>
      </c>
      <c r="B62" s="20" t="str">
        <f t="shared" si="0"/>
        <v>MAY</v>
      </c>
      <c r="C62" s="21">
        <v>46171</v>
      </c>
      <c r="D62" s="22" t="str">
        <f t="array" ref="D62">IFERROR(INDEX('Kode Outlet dan Target Toko'!$A:$A,MATCH($I62,'Kode Outlet dan Target Toko'!$E:$E,0)),"")</f>
        <v>GRSM 4</v>
      </c>
      <c r="E62" s="20" t="str">
        <f>IFERROR(VLOOKUP(I62,KET!$B:$F,4,0),"")</f>
        <v>FAHMI LUKMANUL HAKIM</v>
      </c>
      <c r="F62" s="20" t="str">
        <f>IFERROR(VLOOKUP(I62,KET!$B:$F,5,0),"")</f>
        <v>GMM</v>
      </c>
      <c r="G62" s="20">
        <f>IFERROR(INDEX('Kode Outlet dan Target Toko'!$C:$C,MATCH($I62,'Kode Outlet dan Target Toko'!$E:$E,0)),0)</f>
        <v>103277</v>
      </c>
      <c r="H62" s="20">
        <f>IFERROR(INDEX('Kode Outlet dan Target Toko'!$D:$D,MATCH($I62,'Kode Outlet dan Target Toko'!$E:$E,0)),0)</f>
        <v>6300538</v>
      </c>
      <c r="I62" s="41" t="s">
        <v>19</v>
      </c>
      <c r="J62" s="19" t="s">
        <v>252</v>
      </c>
      <c r="K62" s="53" t="s">
        <v>13</v>
      </c>
      <c r="L62" s="23">
        <v>2975</v>
      </c>
      <c r="M62" s="24">
        <v>33</v>
      </c>
      <c r="N62" s="25">
        <f t="shared" si="1"/>
        <v>98175</v>
      </c>
      <c r="O62" s="24"/>
    </row>
    <row r="63" spans="1:15" ht="15.75" hidden="1" customHeight="1" x14ac:dyDescent="0.3">
      <c r="A63" s="24">
        <v>22</v>
      </c>
      <c r="B63" s="20" t="str">
        <f t="shared" si="0"/>
        <v>MAY</v>
      </c>
      <c r="C63" s="21">
        <v>46171</v>
      </c>
      <c r="D63" s="22" t="str">
        <f t="array" ref="D63">IFERROR(INDEX('Kode Outlet dan Target Toko'!$A:$A,MATCH($I63,'Kode Outlet dan Target Toko'!$E:$E,0)),"")</f>
        <v>GRSM 4</v>
      </c>
      <c r="E63" s="20" t="str">
        <f>IFERROR(VLOOKUP(I63,KET!$B:$F,4,0),"")</f>
        <v>FAHMI LUKMANUL HAKIM</v>
      </c>
      <c r="F63" s="20" t="str">
        <f>IFERROR(VLOOKUP(I63,KET!$B:$F,5,0),"")</f>
        <v>GMM</v>
      </c>
      <c r="G63" s="20">
        <f>IFERROR(INDEX('Kode Outlet dan Target Toko'!$C:$C,MATCH($I63,'Kode Outlet dan Target Toko'!$E:$E,0)),0)</f>
        <v>103277</v>
      </c>
      <c r="H63" s="20">
        <f>IFERROR(INDEX('Kode Outlet dan Target Toko'!$D:$D,MATCH($I63,'Kode Outlet dan Target Toko'!$E:$E,0)),0)</f>
        <v>6300538</v>
      </c>
      <c r="I63" s="41" t="s">
        <v>19</v>
      </c>
      <c r="J63" s="56" t="s">
        <v>252</v>
      </c>
      <c r="K63" s="53" t="s">
        <v>16</v>
      </c>
      <c r="L63" s="23">
        <v>3332</v>
      </c>
      <c r="M63" s="24">
        <v>84</v>
      </c>
      <c r="N63" s="25">
        <f t="shared" si="1"/>
        <v>279888</v>
      </c>
      <c r="O63" s="26"/>
    </row>
    <row r="64" spans="1:15" ht="15.75" hidden="1" customHeight="1" x14ac:dyDescent="0.3">
      <c r="A64" s="24">
        <v>22</v>
      </c>
      <c r="B64" s="20" t="str">
        <f t="shared" si="0"/>
        <v>MAY</v>
      </c>
      <c r="C64" s="21">
        <v>46171</v>
      </c>
      <c r="D64" s="22" t="str">
        <f t="array" ref="D64">IFERROR(INDEX('Kode Outlet dan Target Toko'!$A:$A,MATCH($I64,'Kode Outlet dan Target Toko'!$E:$E,0)),"")</f>
        <v>GRSM 4</v>
      </c>
      <c r="E64" s="20" t="str">
        <f>IFERROR(VLOOKUP(I64,KET!$B:$F,4,0),"")</f>
        <v>FAHMI LUKMANUL HAKIM</v>
      </c>
      <c r="F64" s="20" t="str">
        <f>IFERROR(VLOOKUP(I64,KET!$B:$F,5,0),"")</f>
        <v>GMM</v>
      </c>
      <c r="G64" s="20">
        <f>IFERROR(INDEX('Kode Outlet dan Target Toko'!$C:$C,MATCH($I64,'Kode Outlet dan Target Toko'!$E:$E,0)),0)</f>
        <v>103277</v>
      </c>
      <c r="H64" s="20">
        <f>IFERROR(INDEX('Kode Outlet dan Target Toko'!$D:$D,MATCH($I64,'Kode Outlet dan Target Toko'!$E:$E,0)),0)</f>
        <v>6300538</v>
      </c>
      <c r="I64" s="41" t="s">
        <v>19</v>
      </c>
      <c r="J64" s="56" t="s">
        <v>251</v>
      </c>
      <c r="K64" s="53" t="s">
        <v>15</v>
      </c>
      <c r="L64" s="23">
        <v>2975</v>
      </c>
      <c r="M64" s="24">
        <v>29</v>
      </c>
      <c r="N64" s="25">
        <f t="shared" si="1"/>
        <v>86275</v>
      </c>
      <c r="O64" s="26">
        <v>112</v>
      </c>
    </row>
    <row r="65" spans="1:15" ht="15.75" hidden="1" customHeight="1" x14ac:dyDescent="0.3">
      <c r="A65" s="24">
        <v>22</v>
      </c>
      <c r="B65" s="20" t="str">
        <f t="shared" si="0"/>
        <v>MAY</v>
      </c>
      <c r="C65" s="21">
        <v>46172</v>
      </c>
      <c r="D65" s="22" t="str">
        <f t="array" ref="D65">IFERROR(INDEX('Kode Outlet dan Target Toko'!$A:$A,MATCH($I65,'Kode Outlet dan Target Toko'!$E:$E,0)),"")</f>
        <v>GRSM 4</v>
      </c>
      <c r="E65" s="20" t="str">
        <f>IFERROR(VLOOKUP(I65,KET!$B:$F,4,0),"")</f>
        <v>FAHMI LUKMANUL HAKIM</v>
      </c>
      <c r="F65" s="20" t="str">
        <f>IFERROR(VLOOKUP(I65,KET!$B:$F,5,0),"")</f>
        <v>GMM</v>
      </c>
      <c r="G65" s="20">
        <f>IFERROR(INDEX('Kode Outlet dan Target Toko'!$C:$C,MATCH($I65,'Kode Outlet dan Target Toko'!$E:$E,0)),0)</f>
        <v>103277</v>
      </c>
      <c r="H65" s="20">
        <f>IFERROR(INDEX('Kode Outlet dan Target Toko'!$D:$D,MATCH($I65,'Kode Outlet dan Target Toko'!$E:$E,0)),0)</f>
        <v>6300538</v>
      </c>
      <c r="I65" s="41" t="s">
        <v>19</v>
      </c>
      <c r="J65" s="56" t="s">
        <v>251</v>
      </c>
      <c r="K65" s="53" t="s">
        <v>14</v>
      </c>
      <c r="L65" s="23">
        <v>2975</v>
      </c>
      <c r="M65" s="24">
        <v>76</v>
      </c>
      <c r="N65" s="25">
        <f t="shared" si="1"/>
        <v>226100</v>
      </c>
      <c r="O65" s="26"/>
    </row>
    <row r="66" spans="1:15" ht="15.75" hidden="1" customHeight="1" x14ac:dyDescent="0.3">
      <c r="A66" s="24">
        <v>22</v>
      </c>
      <c r="B66" s="20" t="str">
        <f t="shared" si="0"/>
        <v>MAY</v>
      </c>
      <c r="C66" s="21">
        <v>46172</v>
      </c>
      <c r="D66" s="22" t="str">
        <f t="array" ref="D66">IFERROR(INDEX('Kode Outlet dan Target Toko'!$A:$A,MATCH($I66,'Kode Outlet dan Target Toko'!$E:$E,0)),"")</f>
        <v>GRSM 4</v>
      </c>
      <c r="E66" s="20" t="str">
        <f>IFERROR(VLOOKUP(I66,KET!$B:$F,4,0),"")</f>
        <v>FAHMI LUKMANUL HAKIM</v>
      </c>
      <c r="F66" s="20" t="str">
        <f>IFERROR(VLOOKUP(I66,KET!$B:$F,5,0),"")</f>
        <v>GMM</v>
      </c>
      <c r="G66" s="20">
        <f>IFERROR(INDEX('Kode Outlet dan Target Toko'!$C:$C,MATCH($I66,'Kode Outlet dan Target Toko'!$E:$E,0)),0)</f>
        <v>103277</v>
      </c>
      <c r="H66" s="20">
        <f>IFERROR(INDEX('Kode Outlet dan Target Toko'!$D:$D,MATCH($I66,'Kode Outlet dan Target Toko'!$E:$E,0)),0)</f>
        <v>6300538</v>
      </c>
      <c r="I66" s="41" t="s">
        <v>19</v>
      </c>
      <c r="J66" s="56" t="s">
        <v>251</v>
      </c>
      <c r="K66" s="53" t="s">
        <v>13</v>
      </c>
      <c r="L66" s="23">
        <v>2975</v>
      </c>
      <c r="M66" s="24">
        <v>57</v>
      </c>
      <c r="N66" s="25">
        <f t="shared" si="1"/>
        <v>169575</v>
      </c>
      <c r="O66" s="26"/>
    </row>
    <row r="67" spans="1:15" ht="15.75" hidden="1" customHeight="1" x14ac:dyDescent="0.3">
      <c r="A67" s="24">
        <v>22</v>
      </c>
      <c r="B67" s="20" t="str">
        <f t="shared" si="0"/>
        <v>MAY</v>
      </c>
      <c r="C67" s="21">
        <v>46172</v>
      </c>
      <c r="D67" s="22" t="str">
        <f t="array" ref="D67">IFERROR(INDEX('Kode Outlet dan Target Toko'!$A:$A,MATCH($I67,'Kode Outlet dan Target Toko'!$E:$E,0)),"")</f>
        <v>GRSM 4</v>
      </c>
      <c r="E67" s="20" t="str">
        <f>IFERROR(VLOOKUP(I67,KET!$B:$F,4,0),"")</f>
        <v>FAHMI LUKMANUL HAKIM</v>
      </c>
      <c r="F67" s="20" t="str">
        <f>IFERROR(VLOOKUP(I67,KET!$B:$F,5,0),"")</f>
        <v>GMM</v>
      </c>
      <c r="G67" s="20">
        <f>IFERROR(INDEX('Kode Outlet dan Target Toko'!$C:$C,MATCH($I67,'Kode Outlet dan Target Toko'!$E:$E,0)),0)</f>
        <v>103277</v>
      </c>
      <c r="H67" s="20">
        <f>IFERROR(INDEX('Kode Outlet dan Target Toko'!$D:$D,MATCH($I67,'Kode Outlet dan Target Toko'!$E:$E,0)),0)</f>
        <v>6300538</v>
      </c>
      <c r="I67" s="41" t="s">
        <v>19</v>
      </c>
      <c r="J67" s="56" t="s">
        <v>251</v>
      </c>
      <c r="K67" s="53" t="s">
        <v>16</v>
      </c>
      <c r="L67" s="23">
        <v>2975</v>
      </c>
      <c r="M67" s="24">
        <v>127</v>
      </c>
      <c r="N67" s="25">
        <f t="shared" si="1"/>
        <v>377825</v>
      </c>
      <c r="O67" s="26"/>
    </row>
    <row r="68" spans="1:15" ht="15.75" hidden="1" customHeight="1" x14ac:dyDescent="0.3">
      <c r="A68" s="24">
        <v>22</v>
      </c>
      <c r="B68" s="20" t="str">
        <f t="shared" si="0"/>
        <v>MAY</v>
      </c>
      <c r="C68" s="21">
        <v>46172</v>
      </c>
      <c r="D68" s="22" t="str">
        <f t="array" ref="D68">IFERROR(INDEX('Kode Outlet dan Target Toko'!$A:$A,MATCH($I68,'Kode Outlet dan Target Toko'!$E:$E,0)),"")</f>
        <v>GRSM 4</v>
      </c>
      <c r="E68" s="20" t="str">
        <f>IFERROR(VLOOKUP(I68,KET!$B:$F,4,0),"")</f>
        <v>FAHMI LUKMANUL HAKIM</v>
      </c>
      <c r="F68" s="20" t="str">
        <f>IFERROR(VLOOKUP(I68,KET!$B:$F,5,0),"")</f>
        <v>GMM</v>
      </c>
      <c r="G68" s="20">
        <f>IFERROR(INDEX('Kode Outlet dan Target Toko'!$C:$C,MATCH($I68,'Kode Outlet dan Target Toko'!$E:$E,0)),0)</f>
        <v>103277</v>
      </c>
      <c r="H68" s="20">
        <f>IFERROR(INDEX('Kode Outlet dan Target Toko'!$D:$D,MATCH($I68,'Kode Outlet dan Target Toko'!$E:$E,0)),0)</f>
        <v>6300538</v>
      </c>
      <c r="I68" s="41" t="s">
        <v>19</v>
      </c>
      <c r="J68" s="56" t="s">
        <v>252</v>
      </c>
      <c r="K68" s="53" t="s">
        <v>15</v>
      </c>
      <c r="L68" s="23">
        <v>2975</v>
      </c>
      <c r="M68" s="24">
        <v>24</v>
      </c>
      <c r="N68" s="25">
        <f t="shared" si="1"/>
        <v>71400</v>
      </c>
      <c r="O68" s="26">
        <v>120</v>
      </c>
    </row>
    <row r="69" spans="1:15" ht="15.75" hidden="1" customHeight="1" x14ac:dyDescent="0.3">
      <c r="A69" s="24">
        <v>22</v>
      </c>
      <c r="B69" s="20" t="str">
        <f t="shared" si="0"/>
        <v>MAY</v>
      </c>
      <c r="C69" s="21">
        <v>46172</v>
      </c>
      <c r="D69" s="22" t="str">
        <f t="array" ref="D69">IFERROR(INDEX('Kode Outlet dan Target Toko'!$A:$A,MATCH($I69,'Kode Outlet dan Target Toko'!$E:$E,0)),"")</f>
        <v>GRSM 4</v>
      </c>
      <c r="E69" s="20" t="str">
        <f>IFERROR(VLOOKUP(I69,KET!$B:$F,4,0),"")</f>
        <v>FAHMI LUKMANUL HAKIM</v>
      </c>
      <c r="F69" s="20" t="str">
        <f>IFERROR(VLOOKUP(I69,KET!$B:$F,5,0),"")</f>
        <v>GMM</v>
      </c>
      <c r="G69" s="20">
        <f>IFERROR(INDEX('Kode Outlet dan Target Toko'!$C:$C,MATCH($I69,'Kode Outlet dan Target Toko'!$E:$E,0)),0)</f>
        <v>103277</v>
      </c>
      <c r="H69" s="20">
        <f>IFERROR(INDEX('Kode Outlet dan Target Toko'!$D:$D,MATCH($I69,'Kode Outlet dan Target Toko'!$E:$E,0)),0)</f>
        <v>6300538</v>
      </c>
      <c r="I69" s="41" t="s">
        <v>19</v>
      </c>
      <c r="J69" s="19" t="s">
        <v>252</v>
      </c>
      <c r="K69" s="53" t="s">
        <v>14</v>
      </c>
      <c r="L69" s="23">
        <v>2975</v>
      </c>
      <c r="M69" s="24">
        <v>74</v>
      </c>
      <c r="N69" s="25">
        <f t="shared" si="1"/>
        <v>220150</v>
      </c>
      <c r="O69" s="24"/>
    </row>
    <row r="70" spans="1:15" ht="15.75" hidden="1" customHeight="1" x14ac:dyDescent="0.3">
      <c r="A70" s="24">
        <v>22</v>
      </c>
      <c r="B70" s="20" t="str">
        <f t="shared" si="0"/>
        <v>MAY</v>
      </c>
      <c r="C70" s="21">
        <v>46172</v>
      </c>
      <c r="D70" s="22" t="str">
        <f t="array" ref="D70">IFERROR(INDEX('Kode Outlet dan Target Toko'!$A:$A,MATCH($I70,'Kode Outlet dan Target Toko'!$E:$E,0)),"")</f>
        <v>GRSM 4</v>
      </c>
      <c r="E70" s="20" t="str">
        <f>IFERROR(VLOOKUP(I70,KET!$B:$F,4,0),"")</f>
        <v>FAHMI LUKMANUL HAKIM</v>
      </c>
      <c r="F70" s="20" t="str">
        <f>IFERROR(VLOOKUP(I70,KET!$B:$F,5,0),"")</f>
        <v>GMM</v>
      </c>
      <c r="G70" s="20">
        <f>IFERROR(INDEX('Kode Outlet dan Target Toko'!$C:$C,MATCH($I70,'Kode Outlet dan Target Toko'!$E:$E,0)),0)</f>
        <v>103277</v>
      </c>
      <c r="H70" s="20">
        <f>IFERROR(INDEX('Kode Outlet dan Target Toko'!$D:$D,MATCH($I70,'Kode Outlet dan Target Toko'!$E:$E,0)),0)</f>
        <v>6300538</v>
      </c>
      <c r="I70" s="41" t="s">
        <v>19</v>
      </c>
      <c r="J70" s="19" t="s">
        <v>252</v>
      </c>
      <c r="K70" s="53" t="s">
        <v>13</v>
      </c>
      <c r="L70" s="23">
        <v>2975</v>
      </c>
      <c r="M70" s="24">
        <v>43</v>
      </c>
      <c r="N70" s="25">
        <f t="shared" si="1"/>
        <v>127925</v>
      </c>
      <c r="O70" s="24"/>
    </row>
    <row r="71" spans="1:15" ht="15.75" hidden="1" customHeight="1" x14ac:dyDescent="0.3">
      <c r="A71" s="24">
        <v>22</v>
      </c>
      <c r="B71" s="20" t="str">
        <f t="shared" ref="B71:B134" si="2">IF(C71="","",UPPER(TEXT(C71, "MMM")))</f>
        <v>MAY</v>
      </c>
      <c r="C71" s="21">
        <v>46172</v>
      </c>
      <c r="D71" s="22" t="str">
        <f t="array" ref="D71">IFERROR(INDEX('Kode Outlet dan Target Toko'!$A:$A,MATCH($I71,'Kode Outlet dan Target Toko'!$E:$E,0)),"")</f>
        <v>GRSM 4</v>
      </c>
      <c r="E71" s="20" t="str">
        <f>IFERROR(VLOOKUP(I71,KET!$B:$F,4,0),"")</f>
        <v>FAHMI LUKMANUL HAKIM</v>
      </c>
      <c r="F71" s="20" t="str">
        <f>IFERROR(VLOOKUP(I71,KET!$B:$F,5,0),"")</f>
        <v>GMM</v>
      </c>
      <c r="G71" s="20">
        <f>IFERROR(INDEX('Kode Outlet dan Target Toko'!$C:$C,MATCH($I71,'Kode Outlet dan Target Toko'!$E:$E,0)),0)</f>
        <v>103277</v>
      </c>
      <c r="H71" s="20">
        <f>IFERROR(INDEX('Kode Outlet dan Target Toko'!$D:$D,MATCH($I71,'Kode Outlet dan Target Toko'!$E:$E,0)),0)</f>
        <v>6300538</v>
      </c>
      <c r="I71" s="41" t="s">
        <v>19</v>
      </c>
      <c r="J71" s="45" t="s">
        <v>252</v>
      </c>
      <c r="K71" s="53" t="s">
        <v>16</v>
      </c>
      <c r="L71" s="23">
        <v>2975</v>
      </c>
      <c r="M71" s="24">
        <v>131</v>
      </c>
      <c r="N71" s="25">
        <f t="shared" ref="N71:N134" si="3">IFERROR(M71*L71,"")</f>
        <v>389725</v>
      </c>
      <c r="O71" s="24"/>
    </row>
    <row r="72" spans="1:15" ht="15.75" hidden="1" customHeight="1" x14ac:dyDescent="0.3">
      <c r="A72" s="24">
        <v>22</v>
      </c>
      <c r="B72" s="20" t="str">
        <f t="shared" si="2"/>
        <v>MAY</v>
      </c>
      <c r="C72" s="21">
        <v>46172</v>
      </c>
      <c r="D72" s="22" t="str">
        <f t="array" ref="D72">IFERROR(INDEX('Kode Outlet dan Target Toko'!$A:$A,MATCH($I72,'Kode Outlet dan Target Toko'!$E:$E,0)),"")</f>
        <v>GRSM 4</v>
      </c>
      <c r="E72" s="20" t="str">
        <f>IFERROR(VLOOKUP(I72,KET!$B:$F,4,0),"")</f>
        <v>FAHMI LUKMANUL HAKIM</v>
      </c>
      <c r="F72" s="20" t="str">
        <f>IFERROR(VLOOKUP(I72,KET!$B:$F,5,0),"")</f>
        <v>GMM</v>
      </c>
      <c r="G72" s="20">
        <f>IFERROR(INDEX('Kode Outlet dan Target Toko'!$C:$C,MATCH($I72,'Kode Outlet dan Target Toko'!$E:$E,0)),0)</f>
        <v>103259</v>
      </c>
      <c r="H72" s="20">
        <f>IFERROR(INDEX('Kode Outlet dan Target Toko'!$D:$D,MATCH($I72,'Kode Outlet dan Target Toko'!$E:$E,0)),0)</f>
        <v>9029389</v>
      </c>
      <c r="I72" s="41" t="s">
        <v>18</v>
      </c>
      <c r="J72" s="19" t="s">
        <v>196</v>
      </c>
      <c r="K72" s="53" t="s">
        <v>15</v>
      </c>
      <c r="L72" s="23">
        <v>2000</v>
      </c>
      <c r="M72" s="24">
        <v>57</v>
      </c>
      <c r="N72" s="25">
        <f t="shared" si="3"/>
        <v>114000</v>
      </c>
      <c r="O72" s="24">
        <v>120</v>
      </c>
    </row>
    <row r="73" spans="1:15" ht="15.75" hidden="1" customHeight="1" x14ac:dyDescent="0.3">
      <c r="A73" s="24">
        <v>23</v>
      </c>
      <c r="B73" s="20" t="str">
        <f t="shared" si="2"/>
        <v>JUN</v>
      </c>
      <c r="C73" s="21">
        <v>46178</v>
      </c>
      <c r="D73" s="22" t="str">
        <f t="array" ref="D73">IFERROR(INDEX('Kode Outlet dan Target Toko'!$A:$A,MATCH($I73,'Kode Outlet dan Target Toko'!$E:$E,0)),"")</f>
        <v>GRSM 4</v>
      </c>
      <c r="E73" s="20" t="str">
        <f>IFERROR(VLOOKUP(I73,KET!$B:$F,4,0),"")</f>
        <v>FAHMI LUKMANUL HAKIM</v>
      </c>
      <c r="F73" s="20" t="str">
        <f>IFERROR(VLOOKUP(I73,KET!$B:$F,5,0),"")</f>
        <v>GMM</v>
      </c>
      <c r="G73" s="20">
        <f>IFERROR(INDEX('Kode Outlet dan Target Toko'!$C:$C,MATCH($I73,'Kode Outlet dan Target Toko'!$E:$E,0)),0)</f>
        <v>103259</v>
      </c>
      <c r="H73" s="20">
        <f>IFERROR(INDEX('Kode Outlet dan Target Toko'!$D:$D,MATCH($I73,'Kode Outlet dan Target Toko'!$E:$E,0)),0)</f>
        <v>9029389</v>
      </c>
      <c r="I73" s="41" t="s">
        <v>18</v>
      </c>
      <c r="J73" s="19" t="s">
        <v>196</v>
      </c>
      <c r="K73" s="53" t="s">
        <v>14</v>
      </c>
      <c r="L73" s="23">
        <v>2000</v>
      </c>
      <c r="M73" s="24">
        <v>66</v>
      </c>
      <c r="N73" s="25">
        <f t="shared" si="3"/>
        <v>132000</v>
      </c>
      <c r="O73" s="24"/>
    </row>
    <row r="74" spans="1:15" ht="15.75" hidden="1" customHeight="1" x14ac:dyDescent="0.3">
      <c r="A74" s="24">
        <v>23</v>
      </c>
      <c r="B74" s="20" t="str">
        <f t="shared" si="2"/>
        <v>JUN</v>
      </c>
      <c r="C74" s="21">
        <v>46178</v>
      </c>
      <c r="D74" s="22" t="str">
        <f t="array" ref="D74">IFERROR(INDEX('Kode Outlet dan Target Toko'!$A:$A,MATCH($I74,'Kode Outlet dan Target Toko'!$E:$E,0)),"")</f>
        <v>GRSM 4</v>
      </c>
      <c r="E74" s="20" t="str">
        <f>IFERROR(VLOOKUP(I74,KET!$B:$F,4,0),"")</f>
        <v>FAHMI LUKMANUL HAKIM</v>
      </c>
      <c r="F74" s="20" t="str">
        <f>IFERROR(VLOOKUP(I74,KET!$B:$F,5,0),"")</f>
        <v>GMM</v>
      </c>
      <c r="G74" s="20">
        <f>IFERROR(INDEX('Kode Outlet dan Target Toko'!$C:$C,MATCH($I74,'Kode Outlet dan Target Toko'!$E:$E,0)),0)</f>
        <v>103259</v>
      </c>
      <c r="H74" s="20">
        <f>IFERROR(INDEX('Kode Outlet dan Target Toko'!$D:$D,MATCH($I74,'Kode Outlet dan Target Toko'!$E:$E,0)),0)</f>
        <v>9029389</v>
      </c>
      <c r="I74" s="41" t="s">
        <v>18</v>
      </c>
      <c r="J74" s="45" t="s">
        <v>196</v>
      </c>
      <c r="K74" s="53" t="s">
        <v>13</v>
      </c>
      <c r="L74" s="23">
        <v>2000</v>
      </c>
      <c r="M74" s="24">
        <v>30</v>
      </c>
      <c r="N74" s="25">
        <f t="shared" si="3"/>
        <v>60000</v>
      </c>
      <c r="O74" s="24"/>
    </row>
    <row r="75" spans="1:15" ht="15.75" hidden="1" customHeight="1" x14ac:dyDescent="0.3">
      <c r="A75" s="24">
        <v>23</v>
      </c>
      <c r="B75" s="20" t="str">
        <f t="shared" si="2"/>
        <v>JUN</v>
      </c>
      <c r="C75" s="21">
        <v>46178</v>
      </c>
      <c r="D75" s="22" t="str">
        <f t="array" ref="D75">IFERROR(INDEX('Kode Outlet dan Target Toko'!$A:$A,MATCH($I75,'Kode Outlet dan Target Toko'!$E:$E,0)),"")</f>
        <v>GRSM 4</v>
      </c>
      <c r="E75" s="20" t="str">
        <f>IFERROR(VLOOKUP(I75,KET!$B:$F,4,0),"")</f>
        <v>FAHMI LUKMANUL HAKIM</v>
      </c>
      <c r="F75" s="20" t="str">
        <f>IFERROR(VLOOKUP(I75,KET!$B:$F,5,0),"")</f>
        <v>GMM</v>
      </c>
      <c r="G75" s="20">
        <f>IFERROR(INDEX('Kode Outlet dan Target Toko'!$C:$C,MATCH($I75,'Kode Outlet dan Target Toko'!$E:$E,0)),0)</f>
        <v>103259</v>
      </c>
      <c r="H75" s="20">
        <f>IFERROR(INDEX('Kode Outlet dan Target Toko'!$D:$D,MATCH($I75,'Kode Outlet dan Target Toko'!$E:$E,0)),0)</f>
        <v>9029389</v>
      </c>
      <c r="I75" s="41" t="s">
        <v>18</v>
      </c>
      <c r="J75" s="19" t="s">
        <v>196</v>
      </c>
      <c r="K75" s="53" t="s">
        <v>16</v>
      </c>
      <c r="L75" s="23">
        <v>2000</v>
      </c>
      <c r="M75" s="24">
        <v>60</v>
      </c>
      <c r="N75" s="25">
        <f t="shared" si="3"/>
        <v>120000</v>
      </c>
      <c r="O75" s="24"/>
    </row>
    <row r="76" spans="1:15" ht="15.75" hidden="1" customHeight="1" x14ac:dyDescent="0.3">
      <c r="A76" s="24">
        <v>23</v>
      </c>
      <c r="B76" s="20" t="str">
        <f t="shared" si="2"/>
        <v>JUN</v>
      </c>
      <c r="C76" s="21">
        <v>46178</v>
      </c>
      <c r="D76" s="22" t="str">
        <f t="array" ref="D76">IFERROR(INDEX('Kode Outlet dan Target Toko'!$A:$A,MATCH($I76,'Kode Outlet dan Target Toko'!$E:$E,0)),"")</f>
        <v>GRSM 4</v>
      </c>
      <c r="E76" s="20" t="str">
        <f>IFERROR(VLOOKUP(I76,KET!$B:$F,4,0),"")</f>
        <v>FAHMI LUKMANUL HAKIM</v>
      </c>
      <c r="F76" s="20" t="str">
        <f>IFERROR(VLOOKUP(I76,KET!$B:$F,5,0),"")</f>
        <v>GMM</v>
      </c>
      <c r="G76" s="20">
        <f>IFERROR(INDEX('Kode Outlet dan Target Toko'!$C:$C,MATCH($I76,'Kode Outlet dan Target Toko'!$E:$E,0)),0)</f>
        <v>103259</v>
      </c>
      <c r="H76" s="20">
        <f>IFERROR(INDEX('Kode Outlet dan Target Toko'!$D:$D,MATCH($I76,'Kode Outlet dan Target Toko'!$E:$E,0)),0)</f>
        <v>9029389</v>
      </c>
      <c r="I76" s="41" t="s">
        <v>18</v>
      </c>
      <c r="J76" s="19" t="s">
        <v>250</v>
      </c>
      <c r="K76" s="53" t="s">
        <v>15</v>
      </c>
      <c r="L76" s="23">
        <v>2000</v>
      </c>
      <c r="M76" s="24">
        <v>63</v>
      </c>
      <c r="N76" s="25">
        <f t="shared" si="3"/>
        <v>126000</v>
      </c>
      <c r="O76" s="24">
        <v>160</v>
      </c>
    </row>
    <row r="77" spans="1:15" ht="15.75" hidden="1" customHeight="1" x14ac:dyDescent="0.3">
      <c r="A77" s="24">
        <v>23</v>
      </c>
      <c r="B77" s="20" t="str">
        <f t="shared" si="2"/>
        <v>JUN</v>
      </c>
      <c r="C77" s="21">
        <v>46178</v>
      </c>
      <c r="D77" s="22" t="str">
        <f t="array" ref="D77">IFERROR(INDEX('Kode Outlet dan Target Toko'!$A:$A,MATCH($I77,'Kode Outlet dan Target Toko'!$E:$E,0)),"")</f>
        <v>GRSM 4</v>
      </c>
      <c r="E77" s="20" t="str">
        <f>IFERROR(VLOOKUP(I77,KET!$B:$F,4,0),"")</f>
        <v>FAHMI LUKMANUL HAKIM</v>
      </c>
      <c r="F77" s="20" t="str">
        <f>IFERROR(VLOOKUP(I77,KET!$B:$F,5,0),"")</f>
        <v>GMM</v>
      </c>
      <c r="G77" s="20">
        <f>IFERROR(INDEX('Kode Outlet dan Target Toko'!$C:$C,MATCH($I77,'Kode Outlet dan Target Toko'!$E:$E,0)),0)</f>
        <v>103259</v>
      </c>
      <c r="H77" s="20">
        <f>IFERROR(INDEX('Kode Outlet dan Target Toko'!$D:$D,MATCH($I77,'Kode Outlet dan Target Toko'!$E:$E,0)),0)</f>
        <v>9029389</v>
      </c>
      <c r="I77" s="41" t="s">
        <v>18</v>
      </c>
      <c r="J77" s="56" t="s">
        <v>250</v>
      </c>
      <c r="K77" s="53" t="s">
        <v>14</v>
      </c>
      <c r="L77" s="23">
        <v>2000</v>
      </c>
      <c r="M77" s="24">
        <v>54</v>
      </c>
      <c r="N77" s="25">
        <f t="shared" si="3"/>
        <v>108000</v>
      </c>
      <c r="O77" s="26"/>
    </row>
    <row r="78" spans="1:15" ht="15.75" hidden="1" customHeight="1" x14ac:dyDescent="0.3">
      <c r="A78" s="24">
        <v>23</v>
      </c>
      <c r="B78" s="20" t="str">
        <f t="shared" si="2"/>
        <v>JUN</v>
      </c>
      <c r="C78" s="21">
        <v>46178</v>
      </c>
      <c r="D78" s="22" t="str">
        <f t="array" ref="D78">IFERROR(INDEX('Kode Outlet dan Target Toko'!$A:$A,MATCH($I78,'Kode Outlet dan Target Toko'!$E:$E,0)),"")</f>
        <v>GRSM 4</v>
      </c>
      <c r="E78" s="20" t="str">
        <f>IFERROR(VLOOKUP(I78,KET!$B:$F,4,0),"")</f>
        <v>FAHMI LUKMANUL HAKIM</v>
      </c>
      <c r="F78" s="20" t="str">
        <f>IFERROR(VLOOKUP(I78,KET!$B:$F,5,0),"")</f>
        <v>GMM</v>
      </c>
      <c r="G78" s="20">
        <f>IFERROR(INDEX('Kode Outlet dan Target Toko'!$C:$C,MATCH($I78,'Kode Outlet dan Target Toko'!$E:$E,0)),0)</f>
        <v>103259</v>
      </c>
      <c r="H78" s="20">
        <f>IFERROR(INDEX('Kode Outlet dan Target Toko'!$D:$D,MATCH($I78,'Kode Outlet dan Target Toko'!$E:$E,0)),0)</f>
        <v>9029389</v>
      </c>
      <c r="I78" s="41" t="s">
        <v>18</v>
      </c>
      <c r="J78" s="56" t="s">
        <v>250</v>
      </c>
      <c r="K78" s="53" t="s">
        <v>13</v>
      </c>
      <c r="L78" s="23">
        <v>2000</v>
      </c>
      <c r="M78" s="24">
        <v>30</v>
      </c>
      <c r="N78" s="25">
        <f t="shared" si="3"/>
        <v>60000</v>
      </c>
      <c r="O78" s="26"/>
    </row>
    <row r="79" spans="1:15" ht="15.75" hidden="1" customHeight="1" x14ac:dyDescent="0.3">
      <c r="A79" s="24">
        <v>23</v>
      </c>
      <c r="B79" s="20" t="str">
        <f t="shared" si="2"/>
        <v>JUN</v>
      </c>
      <c r="C79" s="21">
        <v>46178</v>
      </c>
      <c r="D79" s="22" t="str">
        <f t="array" ref="D79">IFERROR(INDEX('Kode Outlet dan Target Toko'!$A:$A,MATCH($I79,'Kode Outlet dan Target Toko'!$E:$E,0)),"")</f>
        <v>GRSM 4</v>
      </c>
      <c r="E79" s="20" t="str">
        <f>IFERROR(VLOOKUP(I79,KET!$B:$F,4,0),"")</f>
        <v>FAHMI LUKMANUL HAKIM</v>
      </c>
      <c r="F79" s="20" t="str">
        <f>IFERROR(VLOOKUP(I79,KET!$B:$F,5,0),"")</f>
        <v>GMM</v>
      </c>
      <c r="G79" s="20">
        <f>IFERROR(INDEX('Kode Outlet dan Target Toko'!$C:$C,MATCH($I79,'Kode Outlet dan Target Toko'!$E:$E,0)),0)</f>
        <v>103259</v>
      </c>
      <c r="H79" s="20">
        <f>IFERROR(INDEX('Kode Outlet dan Target Toko'!$D:$D,MATCH($I79,'Kode Outlet dan Target Toko'!$E:$E,0)),0)</f>
        <v>9029389</v>
      </c>
      <c r="I79" s="41" t="s">
        <v>18</v>
      </c>
      <c r="J79" s="56" t="s">
        <v>250</v>
      </c>
      <c r="K79" s="53" t="s">
        <v>16</v>
      </c>
      <c r="L79" s="23">
        <v>2000</v>
      </c>
      <c r="M79" s="24">
        <v>120</v>
      </c>
      <c r="N79" s="25">
        <f t="shared" si="3"/>
        <v>240000</v>
      </c>
      <c r="O79" s="26"/>
    </row>
    <row r="80" spans="1:15" ht="15.75" hidden="1" customHeight="1" x14ac:dyDescent="0.3">
      <c r="A80" s="24">
        <v>23</v>
      </c>
      <c r="B80" s="20" t="str">
        <f t="shared" si="2"/>
        <v>JUN</v>
      </c>
      <c r="C80" s="21">
        <v>46178</v>
      </c>
      <c r="D80" s="22" t="str">
        <f t="array" ref="D80">IFERROR(INDEX('Kode Outlet dan Target Toko'!$A:$A,MATCH($I80,'Kode Outlet dan Target Toko'!$E:$E,0)),"")</f>
        <v>GRSM 3A</v>
      </c>
      <c r="E80" s="20" t="str">
        <f>IFERROR(VLOOKUP(I80,KET!$B:$F,4,0),"")</f>
        <v>FAHMI LUKMANUL HAKIM</v>
      </c>
      <c r="F80" s="20" t="str">
        <f>IFERROR(VLOOKUP(I80,KET!$B:$F,5,0),"")</f>
        <v>GMM</v>
      </c>
      <c r="G80" s="20">
        <f>IFERROR(INDEX('Kode Outlet dan Target Toko'!$C:$C,MATCH($I80,'Kode Outlet dan Target Toko'!$E:$E,0)),0)</f>
        <v>103272</v>
      </c>
      <c r="H80" s="20">
        <f>IFERROR(INDEX('Kode Outlet dan Target Toko'!$D:$D,MATCH($I80,'Kode Outlet dan Target Toko'!$E:$E,0)),0)</f>
        <v>1178</v>
      </c>
      <c r="I80" s="41" t="s">
        <v>22</v>
      </c>
      <c r="J80" s="56" t="s">
        <v>254</v>
      </c>
      <c r="K80" s="53" t="s">
        <v>15</v>
      </c>
      <c r="L80" s="23">
        <v>3145</v>
      </c>
      <c r="M80" s="24">
        <v>13</v>
      </c>
      <c r="N80" s="25">
        <f t="shared" si="3"/>
        <v>40885</v>
      </c>
      <c r="O80" s="26">
        <v>160</v>
      </c>
    </row>
    <row r="81" spans="1:15" ht="15.75" hidden="1" customHeight="1" x14ac:dyDescent="0.3">
      <c r="A81" s="24">
        <v>23</v>
      </c>
      <c r="B81" s="20" t="str">
        <f t="shared" si="2"/>
        <v>JUN</v>
      </c>
      <c r="C81" s="21">
        <v>46178</v>
      </c>
      <c r="D81" s="22" t="str">
        <f t="array" ref="D81">IFERROR(INDEX('Kode Outlet dan Target Toko'!$A:$A,MATCH($I81,'Kode Outlet dan Target Toko'!$E:$E,0)),"")</f>
        <v>GRSM 3A</v>
      </c>
      <c r="E81" s="20" t="str">
        <f>IFERROR(VLOOKUP(I81,KET!$B:$F,4,0),"")</f>
        <v>FAHMI LUKMANUL HAKIM</v>
      </c>
      <c r="F81" s="20" t="str">
        <f>IFERROR(VLOOKUP(I81,KET!$B:$F,5,0),"")</f>
        <v>GMM</v>
      </c>
      <c r="G81" s="20">
        <f>IFERROR(INDEX('Kode Outlet dan Target Toko'!$C:$C,MATCH($I81,'Kode Outlet dan Target Toko'!$E:$E,0)),0)</f>
        <v>103272</v>
      </c>
      <c r="H81" s="20">
        <f>IFERROR(INDEX('Kode Outlet dan Target Toko'!$D:$D,MATCH($I81,'Kode Outlet dan Target Toko'!$E:$E,0)),0)</f>
        <v>1178</v>
      </c>
      <c r="I81" s="41" t="s">
        <v>22</v>
      </c>
      <c r="J81" s="56" t="s">
        <v>254</v>
      </c>
      <c r="K81" s="53" t="s">
        <v>14</v>
      </c>
      <c r="L81" s="23">
        <v>3145</v>
      </c>
      <c r="M81" s="24">
        <v>28</v>
      </c>
      <c r="N81" s="25">
        <f t="shared" si="3"/>
        <v>88060</v>
      </c>
      <c r="O81" s="26"/>
    </row>
    <row r="82" spans="1:15" ht="15.75" hidden="1" customHeight="1" x14ac:dyDescent="0.3">
      <c r="A82" s="24">
        <v>23</v>
      </c>
      <c r="B82" s="20" t="str">
        <f t="shared" si="2"/>
        <v>JUN</v>
      </c>
      <c r="C82" s="21">
        <v>46178</v>
      </c>
      <c r="D82" s="22" t="str">
        <f t="array" ref="D82">IFERROR(INDEX('Kode Outlet dan Target Toko'!$A:$A,MATCH($I82,'Kode Outlet dan Target Toko'!$E:$E,0)),"")</f>
        <v>GRSM 3A</v>
      </c>
      <c r="E82" s="20" t="str">
        <f>IFERROR(VLOOKUP(I82,KET!$B:$F,4,0),"")</f>
        <v>FAHMI LUKMANUL HAKIM</v>
      </c>
      <c r="F82" s="20" t="str">
        <f>IFERROR(VLOOKUP(I82,KET!$B:$F,5,0),"")</f>
        <v>GMM</v>
      </c>
      <c r="G82" s="20">
        <f>IFERROR(INDEX('Kode Outlet dan Target Toko'!$C:$C,MATCH($I82,'Kode Outlet dan Target Toko'!$E:$E,0)),0)</f>
        <v>103272</v>
      </c>
      <c r="H82" s="20">
        <f>IFERROR(INDEX('Kode Outlet dan Target Toko'!$D:$D,MATCH($I82,'Kode Outlet dan Target Toko'!$E:$E,0)),0)</f>
        <v>1178</v>
      </c>
      <c r="I82" s="41" t="s">
        <v>22</v>
      </c>
      <c r="J82" s="56" t="s">
        <v>254</v>
      </c>
      <c r="K82" s="53" t="s">
        <v>13</v>
      </c>
      <c r="L82" s="23">
        <v>3145</v>
      </c>
      <c r="M82" s="24">
        <v>9</v>
      </c>
      <c r="N82" s="25">
        <f t="shared" si="3"/>
        <v>28305</v>
      </c>
      <c r="O82" s="26"/>
    </row>
    <row r="83" spans="1:15" ht="15.75" hidden="1" customHeight="1" x14ac:dyDescent="0.3">
      <c r="A83" s="24">
        <v>23</v>
      </c>
      <c r="B83" s="20" t="str">
        <f t="shared" si="2"/>
        <v>JUN</v>
      </c>
      <c r="C83" s="21">
        <v>46178</v>
      </c>
      <c r="D83" s="22" t="str">
        <f t="array" ref="D83">IFERROR(INDEX('Kode Outlet dan Target Toko'!$A:$A,MATCH($I83,'Kode Outlet dan Target Toko'!$E:$E,0)),"")</f>
        <v>GRSM 3A</v>
      </c>
      <c r="E83" s="20" t="str">
        <f>IFERROR(VLOOKUP(I83,KET!$B:$F,4,0),"")</f>
        <v>FAHMI LUKMANUL HAKIM</v>
      </c>
      <c r="F83" s="20" t="str">
        <f>IFERROR(VLOOKUP(I83,KET!$B:$F,5,0),"")</f>
        <v>GMM</v>
      </c>
      <c r="G83" s="20">
        <f>IFERROR(INDEX('Kode Outlet dan Target Toko'!$C:$C,MATCH($I83,'Kode Outlet dan Target Toko'!$E:$E,0)),0)</f>
        <v>103272</v>
      </c>
      <c r="H83" s="20">
        <f>IFERROR(INDEX('Kode Outlet dan Target Toko'!$D:$D,MATCH($I83,'Kode Outlet dan Target Toko'!$E:$E,0)),0)</f>
        <v>1178</v>
      </c>
      <c r="I83" s="41" t="s">
        <v>22</v>
      </c>
      <c r="J83" s="19" t="s">
        <v>254</v>
      </c>
      <c r="K83" s="53" t="s">
        <v>16</v>
      </c>
      <c r="L83" s="23">
        <v>3145</v>
      </c>
      <c r="M83" s="24">
        <v>45</v>
      </c>
      <c r="N83" s="25">
        <f t="shared" si="3"/>
        <v>141525</v>
      </c>
      <c r="O83" s="24"/>
    </row>
    <row r="84" spans="1:15" ht="15.75" hidden="1" customHeight="1" x14ac:dyDescent="0.3">
      <c r="A84" s="24">
        <v>23</v>
      </c>
      <c r="B84" s="20" t="str">
        <f t="shared" si="2"/>
        <v>JUN</v>
      </c>
      <c r="C84" s="21">
        <v>46178</v>
      </c>
      <c r="D84" s="22" t="str">
        <f t="array" ref="D84">IFERROR(INDEX('Kode Outlet dan Target Toko'!$A:$A,MATCH($I84,'Kode Outlet dan Target Toko'!$E:$E,0)),"")</f>
        <v>GRSM 4</v>
      </c>
      <c r="E84" s="20" t="str">
        <f>IFERROR(VLOOKUP(I84,KET!$B:$F,4,0),"")</f>
        <v>FAHMI LUKMANUL HAKIM</v>
      </c>
      <c r="F84" s="20" t="str">
        <f>IFERROR(VLOOKUP(I84,KET!$B:$F,5,0),"")</f>
        <v>GMM</v>
      </c>
      <c r="G84" s="20">
        <f>IFERROR(INDEX('Kode Outlet dan Target Toko'!$C:$C,MATCH($I84,'Kode Outlet dan Target Toko'!$E:$E,0)),0)</f>
        <v>103277</v>
      </c>
      <c r="H84" s="20">
        <f>IFERROR(INDEX('Kode Outlet dan Target Toko'!$D:$D,MATCH($I84,'Kode Outlet dan Target Toko'!$E:$E,0)),0)</f>
        <v>6300538</v>
      </c>
      <c r="I84" s="41" t="s">
        <v>19</v>
      </c>
      <c r="J84" s="19" t="s">
        <v>252</v>
      </c>
      <c r="K84" s="53" t="s">
        <v>15</v>
      </c>
      <c r="L84" s="23">
        <v>2975</v>
      </c>
      <c r="M84" s="24">
        <v>50</v>
      </c>
      <c r="N84" s="25">
        <f t="shared" si="3"/>
        <v>148750</v>
      </c>
      <c r="O84" s="24">
        <v>100</v>
      </c>
    </row>
    <row r="85" spans="1:15" ht="15.75" hidden="1" customHeight="1" x14ac:dyDescent="0.3">
      <c r="A85" s="24">
        <v>23</v>
      </c>
      <c r="B85" s="20" t="str">
        <f t="shared" si="2"/>
        <v>JUN</v>
      </c>
      <c r="C85" s="21">
        <v>46178</v>
      </c>
      <c r="D85" s="22" t="str">
        <f t="array" ref="D85">IFERROR(INDEX('Kode Outlet dan Target Toko'!$A:$A,MATCH($I85,'Kode Outlet dan Target Toko'!$E:$E,0)),"")</f>
        <v>GRSM 4</v>
      </c>
      <c r="E85" s="20" t="str">
        <f>IFERROR(VLOOKUP(I85,KET!$B:$F,4,0),"")</f>
        <v>FAHMI LUKMANUL HAKIM</v>
      </c>
      <c r="F85" s="20" t="str">
        <f>IFERROR(VLOOKUP(I85,KET!$B:$F,5,0),"")</f>
        <v>GMM</v>
      </c>
      <c r="G85" s="20">
        <f>IFERROR(INDEX('Kode Outlet dan Target Toko'!$C:$C,MATCH($I85,'Kode Outlet dan Target Toko'!$E:$E,0)),0)</f>
        <v>103277</v>
      </c>
      <c r="H85" s="20">
        <f>IFERROR(INDEX('Kode Outlet dan Target Toko'!$D:$D,MATCH($I85,'Kode Outlet dan Target Toko'!$E:$E,0)),0)</f>
        <v>6300538</v>
      </c>
      <c r="I85" s="41" t="s">
        <v>19</v>
      </c>
      <c r="J85" s="56" t="s">
        <v>252</v>
      </c>
      <c r="K85" s="53" t="s">
        <v>14</v>
      </c>
      <c r="L85" s="23">
        <v>2975</v>
      </c>
      <c r="M85" s="24">
        <v>41</v>
      </c>
      <c r="N85" s="25">
        <f t="shared" si="3"/>
        <v>121975</v>
      </c>
      <c r="O85" s="26"/>
    </row>
    <row r="86" spans="1:15" ht="15.75" hidden="1" customHeight="1" x14ac:dyDescent="0.3">
      <c r="A86" s="24">
        <v>23</v>
      </c>
      <c r="B86" s="20" t="str">
        <f t="shared" si="2"/>
        <v>JUN</v>
      </c>
      <c r="C86" s="21">
        <v>46178</v>
      </c>
      <c r="D86" s="22" t="str">
        <f t="array" ref="D86">IFERROR(INDEX('Kode Outlet dan Target Toko'!$A:$A,MATCH($I86,'Kode Outlet dan Target Toko'!$E:$E,0)),"")</f>
        <v>GRSM 4</v>
      </c>
      <c r="E86" s="20" t="str">
        <f>IFERROR(VLOOKUP(I86,KET!$B:$F,4,0),"")</f>
        <v>FAHMI LUKMANUL HAKIM</v>
      </c>
      <c r="F86" s="20" t="str">
        <f>IFERROR(VLOOKUP(I86,KET!$B:$F,5,0),"")</f>
        <v>GMM</v>
      </c>
      <c r="G86" s="20">
        <f>IFERROR(INDEX('Kode Outlet dan Target Toko'!$C:$C,MATCH($I86,'Kode Outlet dan Target Toko'!$E:$E,0)),0)</f>
        <v>103277</v>
      </c>
      <c r="H86" s="20">
        <f>IFERROR(INDEX('Kode Outlet dan Target Toko'!$D:$D,MATCH($I86,'Kode Outlet dan Target Toko'!$E:$E,0)),0)</f>
        <v>6300538</v>
      </c>
      <c r="I86" s="41" t="s">
        <v>19</v>
      </c>
      <c r="J86" s="56" t="s">
        <v>252</v>
      </c>
      <c r="K86" s="53" t="s">
        <v>13</v>
      </c>
      <c r="L86" s="23">
        <v>2975</v>
      </c>
      <c r="M86" s="24">
        <v>39</v>
      </c>
      <c r="N86" s="25">
        <f t="shared" si="3"/>
        <v>116025</v>
      </c>
      <c r="O86" s="26"/>
    </row>
    <row r="87" spans="1:15" ht="15.75" hidden="1" customHeight="1" x14ac:dyDescent="0.3">
      <c r="A87" s="24">
        <v>23</v>
      </c>
      <c r="B87" s="20" t="str">
        <f t="shared" si="2"/>
        <v>JUN</v>
      </c>
      <c r="C87" s="21">
        <v>46178</v>
      </c>
      <c r="D87" s="22" t="str">
        <f t="array" ref="D87">IFERROR(INDEX('Kode Outlet dan Target Toko'!$A:$A,MATCH($I87,'Kode Outlet dan Target Toko'!$E:$E,0)),"")</f>
        <v>GRSM 4</v>
      </c>
      <c r="E87" s="20" t="str">
        <f>IFERROR(VLOOKUP(I87,KET!$B:$F,4,0),"")</f>
        <v>FAHMI LUKMANUL HAKIM</v>
      </c>
      <c r="F87" s="20" t="str">
        <f>IFERROR(VLOOKUP(I87,KET!$B:$F,5,0),"")</f>
        <v>GMM</v>
      </c>
      <c r="G87" s="20">
        <f>IFERROR(INDEX('Kode Outlet dan Target Toko'!$C:$C,MATCH($I87,'Kode Outlet dan Target Toko'!$E:$E,0)),0)</f>
        <v>103277</v>
      </c>
      <c r="H87" s="20">
        <f>IFERROR(INDEX('Kode Outlet dan Target Toko'!$D:$D,MATCH($I87,'Kode Outlet dan Target Toko'!$E:$E,0)),0)</f>
        <v>6300538</v>
      </c>
      <c r="I87" s="41" t="s">
        <v>19</v>
      </c>
      <c r="J87" s="19" t="s">
        <v>252</v>
      </c>
      <c r="K87" s="53" t="s">
        <v>16</v>
      </c>
      <c r="L87" s="23">
        <v>2975</v>
      </c>
      <c r="M87" s="24">
        <v>147</v>
      </c>
      <c r="N87" s="25">
        <f t="shared" si="3"/>
        <v>437325</v>
      </c>
      <c r="O87" s="24"/>
    </row>
    <row r="88" spans="1:15" ht="15.75" hidden="1" customHeight="1" x14ac:dyDescent="0.3">
      <c r="A88" s="24">
        <v>23</v>
      </c>
      <c r="B88" s="20" t="str">
        <f t="shared" si="2"/>
        <v>JUN</v>
      </c>
      <c r="C88" s="21">
        <v>46178</v>
      </c>
      <c r="D88" s="22" t="str">
        <f t="array" ref="D88">IFERROR(INDEX('Kode Outlet dan Target Toko'!$A:$A,MATCH($I88,'Kode Outlet dan Target Toko'!$E:$E,0)),"")</f>
        <v>GRSM 4</v>
      </c>
      <c r="E88" s="20" t="str">
        <f>IFERROR(VLOOKUP(I88,KET!$B:$F,4,0),"")</f>
        <v>FAHMI LUKMANUL HAKIM</v>
      </c>
      <c r="F88" s="20" t="str">
        <f>IFERROR(VLOOKUP(I88,KET!$B:$F,5,0),"")</f>
        <v>GMM</v>
      </c>
      <c r="G88" s="20">
        <f>IFERROR(INDEX('Kode Outlet dan Target Toko'!$C:$C,MATCH($I88,'Kode Outlet dan Target Toko'!$E:$E,0)),0)</f>
        <v>103277</v>
      </c>
      <c r="H88" s="20">
        <f>IFERROR(INDEX('Kode Outlet dan Target Toko'!$D:$D,MATCH($I88,'Kode Outlet dan Target Toko'!$E:$E,0)),0)</f>
        <v>6300538</v>
      </c>
      <c r="I88" s="41" t="s">
        <v>19</v>
      </c>
      <c r="J88" s="45" t="s">
        <v>251</v>
      </c>
      <c r="K88" s="53" t="s">
        <v>15</v>
      </c>
      <c r="L88" s="23">
        <v>2975</v>
      </c>
      <c r="M88" s="24">
        <v>57</v>
      </c>
      <c r="N88" s="25">
        <f t="shared" si="3"/>
        <v>169575</v>
      </c>
      <c r="O88" s="24">
        <v>132</v>
      </c>
    </row>
    <row r="89" spans="1:15" ht="15.75" hidden="1" customHeight="1" x14ac:dyDescent="0.3">
      <c r="A89" s="24">
        <v>23</v>
      </c>
      <c r="B89" s="20" t="str">
        <f t="shared" si="2"/>
        <v>JUN</v>
      </c>
      <c r="C89" s="21">
        <v>46178</v>
      </c>
      <c r="D89" s="22" t="str">
        <f t="array" ref="D89">IFERROR(INDEX('Kode Outlet dan Target Toko'!$A:$A,MATCH($I89,'Kode Outlet dan Target Toko'!$E:$E,0)),"")</f>
        <v>GRSM 4</v>
      </c>
      <c r="E89" s="20" t="str">
        <f>IFERROR(VLOOKUP(I89,KET!$B:$F,4,0),"")</f>
        <v>FAHMI LUKMANUL HAKIM</v>
      </c>
      <c r="F89" s="20" t="str">
        <f>IFERROR(VLOOKUP(I89,KET!$B:$F,5,0),"")</f>
        <v>GMM</v>
      </c>
      <c r="G89" s="20">
        <f>IFERROR(INDEX('Kode Outlet dan Target Toko'!$C:$C,MATCH($I89,'Kode Outlet dan Target Toko'!$E:$E,0)),0)</f>
        <v>103277</v>
      </c>
      <c r="H89" s="20">
        <f>IFERROR(INDEX('Kode Outlet dan Target Toko'!$D:$D,MATCH($I89,'Kode Outlet dan Target Toko'!$E:$E,0)),0)</f>
        <v>6300538</v>
      </c>
      <c r="I89" s="41" t="s">
        <v>19</v>
      </c>
      <c r="J89" s="19" t="s">
        <v>251</v>
      </c>
      <c r="K89" s="53" t="s">
        <v>14</v>
      </c>
      <c r="L89" s="23">
        <v>2975</v>
      </c>
      <c r="M89" s="24">
        <v>73</v>
      </c>
      <c r="N89" s="25">
        <f t="shared" si="3"/>
        <v>217175</v>
      </c>
      <c r="O89" s="24"/>
    </row>
    <row r="90" spans="1:15" ht="15.75" hidden="1" customHeight="1" x14ac:dyDescent="0.3">
      <c r="A90" s="24">
        <v>23</v>
      </c>
      <c r="B90" s="20" t="str">
        <f t="shared" si="2"/>
        <v>JUN</v>
      </c>
      <c r="C90" s="21">
        <v>46178</v>
      </c>
      <c r="D90" s="22" t="str">
        <f t="array" ref="D90">IFERROR(INDEX('Kode Outlet dan Target Toko'!$A:$A,MATCH($I90,'Kode Outlet dan Target Toko'!$E:$E,0)),"")</f>
        <v>GRSM 4</v>
      </c>
      <c r="E90" s="20" t="str">
        <f>IFERROR(VLOOKUP(I90,KET!$B:$F,4,0),"")</f>
        <v>FAHMI LUKMANUL HAKIM</v>
      </c>
      <c r="F90" s="20" t="str">
        <f>IFERROR(VLOOKUP(I90,KET!$B:$F,5,0),"")</f>
        <v>GMM</v>
      </c>
      <c r="G90" s="20">
        <f>IFERROR(INDEX('Kode Outlet dan Target Toko'!$C:$C,MATCH($I90,'Kode Outlet dan Target Toko'!$E:$E,0)),0)</f>
        <v>103277</v>
      </c>
      <c r="H90" s="20">
        <f>IFERROR(INDEX('Kode Outlet dan Target Toko'!$D:$D,MATCH($I90,'Kode Outlet dan Target Toko'!$E:$E,0)),0)</f>
        <v>6300538</v>
      </c>
      <c r="I90" s="41" t="s">
        <v>19</v>
      </c>
      <c r="J90" s="56" t="s">
        <v>251</v>
      </c>
      <c r="K90" s="53" t="s">
        <v>13</v>
      </c>
      <c r="L90" s="23">
        <v>2975</v>
      </c>
      <c r="M90" s="24">
        <v>51</v>
      </c>
      <c r="N90" s="25">
        <f t="shared" si="3"/>
        <v>151725</v>
      </c>
      <c r="O90" s="26"/>
    </row>
    <row r="91" spans="1:15" ht="15.75" hidden="1" customHeight="1" x14ac:dyDescent="0.3">
      <c r="A91" s="24">
        <v>23</v>
      </c>
      <c r="B91" s="20" t="str">
        <f t="shared" si="2"/>
        <v>JUN</v>
      </c>
      <c r="C91" s="21">
        <v>46178</v>
      </c>
      <c r="D91" s="22" t="str">
        <f t="array" ref="D91">IFERROR(INDEX('Kode Outlet dan Target Toko'!$A:$A,MATCH($I91,'Kode Outlet dan Target Toko'!$E:$E,0)),"")</f>
        <v>GRSM 4</v>
      </c>
      <c r="E91" s="20" t="str">
        <f>IFERROR(VLOOKUP(I91,KET!$B:$F,4,0),"")</f>
        <v>FAHMI LUKMANUL HAKIM</v>
      </c>
      <c r="F91" s="20" t="str">
        <f>IFERROR(VLOOKUP(I91,KET!$B:$F,5,0),"")</f>
        <v>GMM</v>
      </c>
      <c r="G91" s="20">
        <f>IFERROR(INDEX('Kode Outlet dan Target Toko'!$C:$C,MATCH($I91,'Kode Outlet dan Target Toko'!$E:$E,0)),0)</f>
        <v>103277</v>
      </c>
      <c r="H91" s="20">
        <f>IFERROR(INDEX('Kode Outlet dan Target Toko'!$D:$D,MATCH($I91,'Kode Outlet dan Target Toko'!$E:$E,0)),0)</f>
        <v>6300538</v>
      </c>
      <c r="I91" s="41" t="s">
        <v>19</v>
      </c>
      <c r="J91" s="56" t="s">
        <v>251</v>
      </c>
      <c r="K91" s="53" t="s">
        <v>16</v>
      </c>
      <c r="L91" s="23">
        <v>2975</v>
      </c>
      <c r="M91" s="24">
        <v>165</v>
      </c>
      <c r="N91" s="25">
        <f t="shared" si="3"/>
        <v>490875</v>
      </c>
      <c r="O91" s="26"/>
    </row>
    <row r="92" spans="1:15" ht="15.75" hidden="1" customHeight="1" x14ac:dyDescent="0.3">
      <c r="A92" s="24">
        <v>23</v>
      </c>
      <c r="B92" s="20" t="str">
        <f t="shared" si="2"/>
        <v>JUN</v>
      </c>
      <c r="C92" s="21">
        <v>46178</v>
      </c>
      <c r="D92" s="22" t="str">
        <f t="array" ref="D92">IFERROR(INDEX('Kode Outlet dan Target Toko'!$A:$A,MATCH($I92,'Kode Outlet dan Target Toko'!$E:$E,0)),"")</f>
        <v>GRSM 4</v>
      </c>
      <c r="E92" s="20" t="str">
        <f>IFERROR(VLOOKUP(I92,KET!$B:$F,4,0),"")</f>
        <v>FAHMI LUKMANUL HAKIM</v>
      </c>
      <c r="F92" s="20" t="str">
        <f>IFERROR(VLOOKUP(I92,KET!$B:$F,5,0),"")</f>
        <v>GMM</v>
      </c>
      <c r="G92" s="20">
        <f>IFERROR(INDEX('Kode Outlet dan Target Toko'!$C:$C,MATCH($I92,'Kode Outlet dan Target Toko'!$E:$E,0)),0)</f>
        <v>103257</v>
      </c>
      <c r="H92" s="20">
        <f>IFERROR(INDEX('Kode Outlet dan Target Toko'!$D:$D,MATCH($I92,'Kode Outlet dan Target Toko'!$E:$E,0)),0)</f>
        <v>9162509</v>
      </c>
      <c r="I92" s="41" t="s">
        <v>23</v>
      </c>
      <c r="J92" s="56" t="s">
        <v>180</v>
      </c>
      <c r="K92" s="53" t="s">
        <v>15</v>
      </c>
      <c r="L92" s="23">
        <v>3200</v>
      </c>
      <c r="M92" s="24">
        <v>40</v>
      </c>
      <c r="N92" s="25">
        <f t="shared" si="3"/>
        <v>128000</v>
      </c>
      <c r="O92" s="26">
        <v>132</v>
      </c>
    </row>
    <row r="93" spans="1:15" ht="15.75" hidden="1" customHeight="1" x14ac:dyDescent="0.3">
      <c r="A93" s="24">
        <v>23</v>
      </c>
      <c r="B93" s="20" t="str">
        <f t="shared" si="2"/>
        <v>JUN</v>
      </c>
      <c r="C93" s="21">
        <v>46178</v>
      </c>
      <c r="D93" s="22" t="str">
        <f t="array" ref="D93">IFERROR(INDEX('Kode Outlet dan Target Toko'!$A:$A,MATCH($I93,'Kode Outlet dan Target Toko'!$E:$E,0)),"")</f>
        <v>GRSM 4</v>
      </c>
      <c r="E93" s="20" t="str">
        <f>IFERROR(VLOOKUP(I93,KET!$B:$F,4,0),"")</f>
        <v>FAHMI LUKMANUL HAKIM</v>
      </c>
      <c r="F93" s="20" t="str">
        <f>IFERROR(VLOOKUP(I93,KET!$B:$F,5,0),"")</f>
        <v>GMM</v>
      </c>
      <c r="G93" s="20">
        <f>IFERROR(INDEX('Kode Outlet dan Target Toko'!$C:$C,MATCH($I93,'Kode Outlet dan Target Toko'!$E:$E,0)),0)</f>
        <v>103257</v>
      </c>
      <c r="H93" s="20">
        <f>IFERROR(INDEX('Kode Outlet dan Target Toko'!$D:$D,MATCH($I93,'Kode Outlet dan Target Toko'!$E:$E,0)),0)</f>
        <v>9162509</v>
      </c>
      <c r="I93" s="41" t="s">
        <v>23</v>
      </c>
      <c r="J93" s="19" t="s">
        <v>180</v>
      </c>
      <c r="K93" s="53" t="s">
        <v>14</v>
      </c>
      <c r="L93" s="23">
        <v>3200</v>
      </c>
      <c r="M93" s="24">
        <v>35</v>
      </c>
      <c r="N93" s="25">
        <f t="shared" si="3"/>
        <v>112000</v>
      </c>
      <c r="O93" s="24"/>
    </row>
    <row r="94" spans="1:15" ht="15.75" hidden="1" customHeight="1" x14ac:dyDescent="0.3">
      <c r="A94" s="24">
        <v>23</v>
      </c>
      <c r="B94" s="20" t="str">
        <f t="shared" si="2"/>
        <v>JUN</v>
      </c>
      <c r="C94" s="21">
        <v>46178</v>
      </c>
      <c r="D94" s="22" t="str">
        <f t="array" ref="D94">IFERROR(INDEX('Kode Outlet dan Target Toko'!$A:$A,MATCH($I94,'Kode Outlet dan Target Toko'!$E:$E,0)),"")</f>
        <v>GRSM 4</v>
      </c>
      <c r="E94" s="20" t="str">
        <f>IFERROR(VLOOKUP(I94,KET!$B:$F,4,0),"")</f>
        <v>FAHMI LUKMANUL HAKIM</v>
      </c>
      <c r="F94" s="20" t="str">
        <f>IFERROR(VLOOKUP(I94,KET!$B:$F,5,0),"")</f>
        <v>GMM</v>
      </c>
      <c r="G94" s="20">
        <f>IFERROR(INDEX('Kode Outlet dan Target Toko'!$C:$C,MATCH($I94,'Kode Outlet dan Target Toko'!$E:$E,0)),0)</f>
        <v>103257</v>
      </c>
      <c r="H94" s="20">
        <f>IFERROR(INDEX('Kode Outlet dan Target Toko'!$D:$D,MATCH($I94,'Kode Outlet dan Target Toko'!$E:$E,0)),0)</f>
        <v>9162509</v>
      </c>
      <c r="I94" s="41" t="s">
        <v>23</v>
      </c>
      <c r="J94" s="45" t="s">
        <v>180</v>
      </c>
      <c r="K94" s="53" t="s">
        <v>13</v>
      </c>
      <c r="L94" s="23">
        <v>3200</v>
      </c>
      <c r="M94" s="24">
        <v>30</v>
      </c>
      <c r="N94" s="25">
        <f t="shared" si="3"/>
        <v>96000</v>
      </c>
      <c r="O94" s="24"/>
    </row>
    <row r="95" spans="1:15" ht="15.75" hidden="1" customHeight="1" x14ac:dyDescent="0.3">
      <c r="A95" s="24">
        <v>23</v>
      </c>
      <c r="B95" s="20" t="str">
        <f t="shared" si="2"/>
        <v>JUN</v>
      </c>
      <c r="C95" s="21">
        <v>46178</v>
      </c>
      <c r="D95" s="22" t="str">
        <f t="array" ref="D95">IFERROR(INDEX('Kode Outlet dan Target Toko'!$A:$A,MATCH($I95,'Kode Outlet dan Target Toko'!$E:$E,0)),"")</f>
        <v>GRSM 4</v>
      </c>
      <c r="E95" s="20" t="str">
        <f>IFERROR(VLOOKUP(I95,KET!$B:$F,4,0),"")</f>
        <v>FAHMI LUKMANUL HAKIM</v>
      </c>
      <c r="F95" s="20" t="str">
        <f>IFERROR(VLOOKUP(I95,KET!$B:$F,5,0),"")</f>
        <v>GMM</v>
      </c>
      <c r="G95" s="20">
        <f>IFERROR(INDEX('Kode Outlet dan Target Toko'!$C:$C,MATCH($I95,'Kode Outlet dan Target Toko'!$E:$E,0)),0)</f>
        <v>103257</v>
      </c>
      <c r="H95" s="20">
        <f>IFERROR(INDEX('Kode Outlet dan Target Toko'!$D:$D,MATCH($I95,'Kode Outlet dan Target Toko'!$E:$E,0)),0)</f>
        <v>9162509</v>
      </c>
      <c r="I95" s="41" t="s">
        <v>23</v>
      </c>
      <c r="J95" s="19" t="s">
        <v>180</v>
      </c>
      <c r="K95" s="53" t="s">
        <v>16</v>
      </c>
      <c r="L95" s="23">
        <v>3200</v>
      </c>
      <c r="M95" s="24">
        <v>105</v>
      </c>
      <c r="N95" s="25">
        <f t="shared" si="3"/>
        <v>336000</v>
      </c>
      <c r="O95" s="24"/>
    </row>
    <row r="96" spans="1:15" ht="15.75" hidden="1" customHeight="1" x14ac:dyDescent="0.3">
      <c r="A96" s="24">
        <v>23</v>
      </c>
      <c r="B96" s="20" t="str">
        <f t="shared" si="2"/>
        <v>JUN</v>
      </c>
      <c r="C96" s="21">
        <v>46178</v>
      </c>
      <c r="D96" s="22" t="str">
        <f t="array" ref="D96">IFERROR(INDEX('Kode Outlet dan Target Toko'!$A:$A,MATCH($I96,'Kode Outlet dan Target Toko'!$E:$E,0)),"")</f>
        <v>GRSM 4</v>
      </c>
      <c r="E96" s="20" t="str">
        <f>IFERROR(VLOOKUP(I96,KET!$B:$F,4,0),"")</f>
        <v>FAHMI LUKMANUL HAKIM</v>
      </c>
      <c r="F96" s="20" t="str">
        <f>IFERROR(VLOOKUP(I96,KET!$B:$F,5,0),"")</f>
        <v>GMM</v>
      </c>
      <c r="G96" s="20">
        <f>IFERROR(INDEX('Kode Outlet dan Target Toko'!$C:$C,MATCH($I96,'Kode Outlet dan Target Toko'!$E:$E,0)),0)</f>
        <v>103257</v>
      </c>
      <c r="H96" s="20">
        <f>IFERROR(INDEX('Kode Outlet dan Target Toko'!$D:$D,MATCH($I96,'Kode Outlet dan Target Toko'!$E:$E,0)),0)</f>
        <v>9162509</v>
      </c>
      <c r="I96" s="41" t="s">
        <v>23</v>
      </c>
      <c r="J96" s="56" t="s">
        <v>181</v>
      </c>
      <c r="K96" s="53" t="s">
        <v>15</v>
      </c>
      <c r="L96" s="23">
        <v>3200</v>
      </c>
      <c r="M96" s="24">
        <v>35</v>
      </c>
      <c r="N96" s="25">
        <f t="shared" si="3"/>
        <v>112000</v>
      </c>
      <c r="O96" s="26">
        <v>160</v>
      </c>
    </row>
    <row r="97" spans="1:15" ht="15.75" hidden="1" customHeight="1" x14ac:dyDescent="0.3">
      <c r="A97" s="24">
        <v>23</v>
      </c>
      <c r="B97" s="20" t="str">
        <f t="shared" si="2"/>
        <v>JUN</v>
      </c>
      <c r="C97" s="21">
        <v>46178</v>
      </c>
      <c r="D97" s="22" t="str">
        <f t="array" ref="D97">IFERROR(INDEX('Kode Outlet dan Target Toko'!$A:$A,MATCH($I97,'Kode Outlet dan Target Toko'!$E:$E,0)),"")</f>
        <v>GRSM 4</v>
      </c>
      <c r="E97" s="20" t="str">
        <f>IFERROR(VLOOKUP(I97,KET!$B:$F,4,0),"")</f>
        <v>FAHMI LUKMANUL HAKIM</v>
      </c>
      <c r="F97" s="20" t="str">
        <f>IFERROR(VLOOKUP(I97,KET!$B:$F,5,0),"")</f>
        <v>GMM</v>
      </c>
      <c r="G97" s="20">
        <f>IFERROR(INDEX('Kode Outlet dan Target Toko'!$C:$C,MATCH($I97,'Kode Outlet dan Target Toko'!$E:$E,0)),0)</f>
        <v>103257</v>
      </c>
      <c r="H97" s="20">
        <f>IFERROR(INDEX('Kode Outlet dan Target Toko'!$D:$D,MATCH($I97,'Kode Outlet dan Target Toko'!$E:$E,0)),0)</f>
        <v>9162509</v>
      </c>
      <c r="I97" s="41" t="s">
        <v>23</v>
      </c>
      <c r="J97" s="56" t="s">
        <v>181</v>
      </c>
      <c r="K97" s="53" t="s">
        <v>14</v>
      </c>
      <c r="L97" s="23">
        <v>3200</v>
      </c>
      <c r="M97" s="24">
        <v>30</v>
      </c>
      <c r="N97" s="25">
        <f t="shared" si="3"/>
        <v>96000</v>
      </c>
      <c r="O97" s="26"/>
    </row>
    <row r="98" spans="1:15" ht="15.75" hidden="1" customHeight="1" x14ac:dyDescent="0.3">
      <c r="A98" s="24">
        <v>23</v>
      </c>
      <c r="B98" s="20" t="str">
        <f t="shared" si="2"/>
        <v>JUN</v>
      </c>
      <c r="C98" s="21">
        <v>46178</v>
      </c>
      <c r="D98" s="22" t="str">
        <f t="array" ref="D98">IFERROR(INDEX('Kode Outlet dan Target Toko'!$A:$A,MATCH($I98,'Kode Outlet dan Target Toko'!$E:$E,0)),"")</f>
        <v>GRSM 4</v>
      </c>
      <c r="E98" s="20" t="str">
        <f>IFERROR(VLOOKUP(I98,KET!$B:$F,4,0),"")</f>
        <v>FAHMI LUKMANUL HAKIM</v>
      </c>
      <c r="F98" s="20" t="str">
        <f>IFERROR(VLOOKUP(I98,KET!$B:$F,5,0),"")</f>
        <v>GMM</v>
      </c>
      <c r="G98" s="20">
        <f>IFERROR(INDEX('Kode Outlet dan Target Toko'!$C:$C,MATCH($I98,'Kode Outlet dan Target Toko'!$E:$E,0)),0)</f>
        <v>103257</v>
      </c>
      <c r="H98" s="20">
        <f>IFERROR(INDEX('Kode Outlet dan Target Toko'!$D:$D,MATCH($I98,'Kode Outlet dan Target Toko'!$E:$E,0)),0)</f>
        <v>9162509</v>
      </c>
      <c r="I98" s="41" t="s">
        <v>23</v>
      </c>
      <c r="J98" s="56" t="s">
        <v>181</v>
      </c>
      <c r="K98" s="53" t="s">
        <v>13</v>
      </c>
      <c r="L98" s="23">
        <v>3200</v>
      </c>
      <c r="M98" s="24">
        <v>25</v>
      </c>
      <c r="N98" s="25">
        <f t="shared" si="3"/>
        <v>80000</v>
      </c>
      <c r="O98" s="26"/>
    </row>
    <row r="99" spans="1:15" ht="15.75" hidden="1" customHeight="1" x14ac:dyDescent="0.3">
      <c r="A99" s="24">
        <v>23</v>
      </c>
      <c r="B99" s="20" t="str">
        <f t="shared" si="2"/>
        <v>JUN</v>
      </c>
      <c r="C99" s="21">
        <v>46178</v>
      </c>
      <c r="D99" s="22" t="str">
        <f t="array" ref="D99">IFERROR(INDEX('Kode Outlet dan Target Toko'!$A:$A,MATCH($I99,'Kode Outlet dan Target Toko'!$E:$E,0)),"")</f>
        <v>GRSM 4</v>
      </c>
      <c r="E99" s="20" t="str">
        <f>IFERROR(VLOOKUP(I99,KET!$B:$F,4,0),"")</f>
        <v>FAHMI LUKMANUL HAKIM</v>
      </c>
      <c r="F99" s="20" t="str">
        <f>IFERROR(VLOOKUP(I99,KET!$B:$F,5,0),"")</f>
        <v>GMM</v>
      </c>
      <c r="G99" s="20">
        <f>IFERROR(INDEX('Kode Outlet dan Target Toko'!$C:$C,MATCH($I99,'Kode Outlet dan Target Toko'!$E:$E,0)),0)</f>
        <v>103257</v>
      </c>
      <c r="H99" s="20">
        <f>IFERROR(INDEX('Kode Outlet dan Target Toko'!$D:$D,MATCH($I99,'Kode Outlet dan Target Toko'!$E:$E,0)),0)</f>
        <v>9162509</v>
      </c>
      <c r="I99" s="41" t="s">
        <v>23</v>
      </c>
      <c r="J99" s="56" t="s">
        <v>181</v>
      </c>
      <c r="K99" s="53" t="s">
        <v>16</v>
      </c>
      <c r="L99" s="23">
        <v>3200</v>
      </c>
      <c r="M99" s="24">
        <v>100</v>
      </c>
      <c r="N99" s="25">
        <f t="shared" si="3"/>
        <v>320000</v>
      </c>
      <c r="O99" s="24"/>
    </row>
    <row r="100" spans="1:15" ht="15.75" hidden="1" customHeight="1" x14ac:dyDescent="0.3">
      <c r="A100" s="24">
        <v>23</v>
      </c>
      <c r="B100" s="20" t="str">
        <f t="shared" si="2"/>
        <v>JUN</v>
      </c>
      <c r="C100" s="21">
        <v>46178</v>
      </c>
      <c r="D100" s="22" t="str">
        <f t="array" ref="D100">IFERROR(INDEX('Kode Outlet dan Target Toko'!$A:$A,MATCH($I100,'Kode Outlet dan Target Toko'!$E:$E,0)),"")</f>
        <v>GRSM 4</v>
      </c>
      <c r="E100" s="20" t="str">
        <f>IFERROR(VLOOKUP(I100,KET!$B:$F,4,0),"")</f>
        <v>FAHMI LUKMANUL HAKIM</v>
      </c>
      <c r="F100" s="20" t="str">
        <f>IFERROR(VLOOKUP(I100,KET!$B:$F,5,0),"")</f>
        <v>GMM</v>
      </c>
      <c r="G100" s="20">
        <f>IFERROR(INDEX('Kode Outlet dan Target Toko'!$C:$C,MATCH($I100,'Kode Outlet dan Target Toko'!$E:$E,0)),0)</f>
        <v>103259</v>
      </c>
      <c r="H100" s="20">
        <f>IFERROR(INDEX('Kode Outlet dan Target Toko'!$D:$D,MATCH($I100,'Kode Outlet dan Target Toko'!$E:$E,0)),0)</f>
        <v>9013525</v>
      </c>
      <c r="I100" s="41" t="s">
        <v>24</v>
      </c>
      <c r="J100" s="45" t="s">
        <v>188</v>
      </c>
      <c r="K100" s="53" t="s">
        <v>15</v>
      </c>
      <c r="L100" s="23">
        <v>1203</v>
      </c>
      <c r="M100" s="24">
        <v>140</v>
      </c>
      <c r="N100" s="25">
        <f t="shared" si="3"/>
        <v>168420</v>
      </c>
      <c r="O100" s="24">
        <v>160</v>
      </c>
    </row>
    <row r="101" spans="1:15" ht="15.75" hidden="1" customHeight="1" x14ac:dyDescent="0.3">
      <c r="A101" s="24">
        <v>23</v>
      </c>
      <c r="B101" s="20" t="str">
        <f t="shared" si="2"/>
        <v>JUN</v>
      </c>
      <c r="C101" s="21">
        <v>46179</v>
      </c>
      <c r="D101" s="22" t="str">
        <f t="array" ref="D101">IFERROR(INDEX('Kode Outlet dan Target Toko'!$A:$A,MATCH($I101,'Kode Outlet dan Target Toko'!$E:$E,0)),"")</f>
        <v>GRSM 4</v>
      </c>
      <c r="E101" s="20" t="str">
        <f>IFERROR(VLOOKUP(I101,KET!$B:$F,4,0),"")</f>
        <v>FAHMI LUKMANUL HAKIM</v>
      </c>
      <c r="F101" s="20" t="str">
        <f>IFERROR(VLOOKUP(I101,KET!$B:$F,5,0),"")</f>
        <v>GMM</v>
      </c>
      <c r="G101" s="20">
        <f>IFERROR(INDEX('Kode Outlet dan Target Toko'!$C:$C,MATCH($I101,'Kode Outlet dan Target Toko'!$E:$E,0)),0)</f>
        <v>103259</v>
      </c>
      <c r="H101" s="20">
        <f>IFERROR(INDEX('Kode Outlet dan Target Toko'!$D:$D,MATCH($I101,'Kode Outlet dan Target Toko'!$E:$E,0)),0)</f>
        <v>9013525</v>
      </c>
      <c r="I101" s="41" t="s">
        <v>24</v>
      </c>
      <c r="J101" s="45" t="s">
        <v>188</v>
      </c>
      <c r="K101" s="53" t="s">
        <v>14</v>
      </c>
      <c r="L101" s="23">
        <v>1200</v>
      </c>
      <c r="M101" s="24">
        <v>140</v>
      </c>
      <c r="N101" s="25">
        <f t="shared" si="3"/>
        <v>168000</v>
      </c>
      <c r="O101" s="24"/>
    </row>
    <row r="102" spans="1:15" ht="15.75" hidden="1" customHeight="1" x14ac:dyDescent="0.3">
      <c r="A102" s="24">
        <v>23</v>
      </c>
      <c r="B102" s="20" t="str">
        <f t="shared" si="2"/>
        <v>JUN</v>
      </c>
      <c r="C102" s="21">
        <v>46179</v>
      </c>
      <c r="D102" s="22" t="str">
        <f t="array" ref="D102">IFERROR(INDEX('Kode Outlet dan Target Toko'!$A:$A,MATCH($I102,'Kode Outlet dan Target Toko'!$E:$E,0)),"")</f>
        <v>GRSM 4</v>
      </c>
      <c r="E102" s="20" t="str">
        <f>IFERROR(VLOOKUP(I102,KET!$B:$F,4,0),"")</f>
        <v>FAHMI LUKMANUL HAKIM</v>
      </c>
      <c r="F102" s="20" t="str">
        <f>IFERROR(VLOOKUP(I102,KET!$B:$F,5,0),"")</f>
        <v>GMM</v>
      </c>
      <c r="G102" s="20">
        <f>IFERROR(INDEX('Kode Outlet dan Target Toko'!$C:$C,MATCH($I102,'Kode Outlet dan Target Toko'!$E:$E,0)),0)</f>
        <v>103259</v>
      </c>
      <c r="H102" s="20">
        <f>IFERROR(INDEX('Kode Outlet dan Target Toko'!$D:$D,MATCH($I102,'Kode Outlet dan Target Toko'!$E:$E,0)),0)</f>
        <v>9013525</v>
      </c>
      <c r="I102" s="41" t="s">
        <v>24</v>
      </c>
      <c r="J102" s="45" t="s">
        <v>188</v>
      </c>
      <c r="K102" s="53" t="s">
        <v>13</v>
      </c>
      <c r="L102" s="23">
        <v>1000</v>
      </c>
      <c r="M102" s="24">
        <v>120</v>
      </c>
      <c r="N102" s="25">
        <f t="shared" si="3"/>
        <v>120000</v>
      </c>
      <c r="O102" s="26"/>
    </row>
    <row r="103" spans="1:15" ht="15.75" hidden="1" customHeight="1" x14ac:dyDescent="0.3">
      <c r="A103" s="24">
        <v>23</v>
      </c>
      <c r="B103" s="20" t="str">
        <f t="shared" si="2"/>
        <v>JUN</v>
      </c>
      <c r="C103" s="21">
        <v>46179</v>
      </c>
      <c r="D103" s="22" t="str">
        <f t="array" ref="D103">IFERROR(INDEX('Kode Outlet dan Target Toko'!$A:$A,MATCH($I103,'Kode Outlet dan Target Toko'!$E:$E,0)),"")</f>
        <v>GRSM 4</v>
      </c>
      <c r="E103" s="20" t="str">
        <f>IFERROR(VLOOKUP(I103,KET!$B:$F,4,0),"")</f>
        <v>FAHMI LUKMANUL HAKIM</v>
      </c>
      <c r="F103" s="20" t="str">
        <f>IFERROR(VLOOKUP(I103,KET!$B:$F,5,0),"")</f>
        <v>GMM</v>
      </c>
      <c r="G103" s="20">
        <f>IFERROR(INDEX('Kode Outlet dan Target Toko'!$C:$C,MATCH($I103,'Kode Outlet dan Target Toko'!$E:$E,0)),0)</f>
        <v>103259</v>
      </c>
      <c r="H103" s="20">
        <f>IFERROR(INDEX('Kode Outlet dan Target Toko'!$D:$D,MATCH($I103,'Kode Outlet dan Target Toko'!$E:$E,0)),0)</f>
        <v>9013525</v>
      </c>
      <c r="I103" s="41" t="s">
        <v>24</v>
      </c>
      <c r="J103" s="45" t="s">
        <v>188</v>
      </c>
      <c r="K103" s="53" t="s">
        <v>16</v>
      </c>
      <c r="L103" s="23">
        <v>1875</v>
      </c>
      <c r="M103" s="24">
        <v>216</v>
      </c>
      <c r="N103" s="25">
        <f t="shared" si="3"/>
        <v>405000</v>
      </c>
      <c r="O103" s="26"/>
    </row>
    <row r="104" spans="1:15" ht="15.75" hidden="1" customHeight="1" x14ac:dyDescent="0.3">
      <c r="A104" s="24">
        <v>23</v>
      </c>
      <c r="B104" s="20" t="str">
        <f t="shared" si="2"/>
        <v>JUN</v>
      </c>
      <c r="C104" s="21">
        <v>46179</v>
      </c>
      <c r="D104" s="22" t="str">
        <f t="array" ref="D104">IFERROR(INDEX('Kode Outlet dan Target Toko'!$A:$A,MATCH($I104,'Kode Outlet dan Target Toko'!$E:$E,0)),"")</f>
        <v>GRSM 4</v>
      </c>
      <c r="E104" s="20" t="str">
        <f>IFERROR(VLOOKUP(I104,KET!$B:$F,4,0),"")</f>
        <v>FAHMI LUKMANUL HAKIM</v>
      </c>
      <c r="F104" s="20" t="str">
        <f>IFERROR(VLOOKUP(I104,KET!$B:$F,5,0),"")</f>
        <v>GMM</v>
      </c>
      <c r="G104" s="20">
        <f>IFERROR(INDEX('Kode Outlet dan Target Toko'!$C:$C,MATCH($I104,'Kode Outlet dan Target Toko'!$E:$E,0)),0)</f>
        <v>103259</v>
      </c>
      <c r="H104" s="20">
        <f>IFERROR(INDEX('Kode Outlet dan Target Toko'!$D:$D,MATCH($I104,'Kode Outlet dan Target Toko'!$E:$E,0)),0)</f>
        <v>9029389</v>
      </c>
      <c r="I104" s="41" t="s">
        <v>18</v>
      </c>
      <c r="J104" s="56" t="s">
        <v>196</v>
      </c>
      <c r="K104" s="53" t="s">
        <v>15</v>
      </c>
      <c r="L104" s="23">
        <v>2000</v>
      </c>
      <c r="M104" s="24">
        <v>57</v>
      </c>
      <c r="N104" s="25">
        <f t="shared" si="3"/>
        <v>114000</v>
      </c>
      <c r="O104" s="26">
        <v>160</v>
      </c>
    </row>
    <row r="105" spans="1:15" ht="15.75" hidden="1" customHeight="1" x14ac:dyDescent="0.3">
      <c r="A105" s="24">
        <v>23</v>
      </c>
      <c r="B105" s="20" t="str">
        <f t="shared" si="2"/>
        <v>JUN</v>
      </c>
      <c r="C105" s="21">
        <v>46179</v>
      </c>
      <c r="D105" s="22" t="str">
        <f t="array" ref="D105">IFERROR(INDEX('Kode Outlet dan Target Toko'!$A:$A,MATCH($I105,'Kode Outlet dan Target Toko'!$E:$E,0)),"")</f>
        <v>GRSM 4</v>
      </c>
      <c r="E105" s="20" t="str">
        <f>IFERROR(VLOOKUP(I105,KET!$B:$F,4,0),"")</f>
        <v>FAHMI LUKMANUL HAKIM</v>
      </c>
      <c r="F105" s="20" t="str">
        <f>IFERROR(VLOOKUP(I105,KET!$B:$F,5,0),"")</f>
        <v>GMM</v>
      </c>
      <c r="G105" s="20">
        <f>IFERROR(INDEX('Kode Outlet dan Target Toko'!$C:$C,MATCH($I105,'Kode Outlet dan Target Toko'!$E:$E,0)),0)</f>
        <v>103259</v>
      </c>
      <c r="H105" s="20">
        <f>IFERROR(INDEX('Kode Outlet dan Target Toko'!$D:$D,MATCH($I105,'Kode Outlet dan Target Toko'!$E:$E,0)),0)</f>
        <v>9029389</v>
      </c>
      <c r="I105" s="41" t="s">
        <v>18</v>
      </c>
      <c r="J105" s="56" t="s">
        <v>196</v>
      </c>
      <c r="K105" s="53" t="s">
        <v>14</v>
      </c>
      <c r="L105" s="23">
        <v>2000</v>
      </c>
      <c r="M105" s="24">
        <v>81</v>
      </c>
      <c r="N105" s="25">
        <f t="shared" si="3"/>
        <v>162000</v>
      </c>
      <c r="O105" s="26"/>
    </row>
    <row r="106" spans="1:15" ht="15.75" hidden="1" customHeight="1" x14ac:dyDescent="0.3">
      <c r="A106" s="24">
        <v>23</v>
      </c>
      <c r="B106" s="20" t="str">
        <f t="shared" si="2"/>
        <v>JUN</v>
      </c>
      <c r="C106" s="21">
        <v>46179</v>
      </c>
      <c r="D106" s="22" t="str">
        <f t="array" ref="D106">IFERROR(INDEX('Kode Outlet dan Target Toko'!$A:$A,MATCH($I106,'Kode Outlet dan Target Toko'!$E:$E,0)),"")</f>
        <v>GRSM 4</v>
      </c>
      <c r="E106" s="20" t="str">
        <f>IFERROR(VLOOKUP(I106,KET!$B:$F,4,0),"")</f>
        <v>FAHMI LUKMANUL HAKIM</v>
      </c>
      <c r="F106" s="20" t="str">
        <f>IFERROR(VLOOKUP(I106,KET!$B:$F,5,0),"")</f>
        <v>GMM</v>
      </c>
      <c r="G106" s="20">
        <f>IFERROR(INDEX('Kode Outlet dan Target Toko'!$C:$C,MATCH($I106,'Kode Outlet dan Target Toko'!$E:$E,0)),0)</f>
        <v>103259</v>
      </c>
      <c r="H106" s="20">
        <f>IFERROR(INDEX('Kode Outlet dan Target Toko'!$D:$D,MATCH($I106,'Kode Outlet dan Target Toko'!$E:$E,0)),0)</f>
        <v>9029389</v>
      </c>
      <c r="I106" s="41" t="s">
        <v>18</v>
      </c>
      <c r="J106" s="56" t="s">
        <v>196</v>
      </c>
      <c r="K106" s="53" t="s">
        <v>13</v>
      </c>
      <c r="L106" s="23">
        <v>2000</v>
      </c>
      <c r="M106" s="24">
        <v>30</v>
      </c>
      <c r="N106" s="25">
        <f t="shared" si="3"/>
        <v>60000</v>
      </c>
      <c r="O106" s="26"/>
    </row>
    <row r="107" spans="1:15" ht="15.75" hidden="1" customHeight="1" x14ac:dyDescent="0.3">
      <c r="A107" s="24">
        <v>23</v>
      </c>
      <c r="B107" s="20" t="str">
        <f t="shared" si="2"/>
        <v>JUN</v>
      </c>
      <c r="C107" s="21">
        <v>46179</v>
      </c>
      <c r="D107" s="22" t="str">
        <f t="array" ref="D107">IFERROR(INDEX('Kode Outlet dan Target Toko'!$A:$A,MATCH($I107,'Kode Outlet dan Target Toko'!$E:$E,0)),"")</f>
        <v>GRSM 4</v>
      </c>
      <c r="E107" s="20" t="str">
        <f>IFERROR(VLOOKUP(I107,KET!$B:$F,4,0),"")</f>
        <v>FAHMI LUKMANUL HAKIM</v>
      </c>
      <c r="F107" s="20" t="str">
        <f>IFERROR(VLOOKUP(I107,KET!$B:$F,5,0),"")</f>
        <v>GMM</v>
      </c>
      <c r="G107" s="20">
        <f>IFERROR(INDEX('Kode Outlet dan Target Toko'!$C:$C,MATCH($I107,'Kode Outlet dan Target Toko'!$E:$E,0)),0)</f>
        <v>103259</v>
      </c>
      <c r="H107" s="20">
        <f>IFERROR(INDEX('Kode Outlet dan Target Toko'!$D:$D,MATCH($I107,'Kode Outlet dan Target Toko'!$E:$E,0)),0)</f>
        <v>9029389</v>
      </c>
      <c r="I107" s="41" t="s">
        <v>18</v>
      </c>
      <c r="J107" s="56" t="s">
        <v>196</v>
      </c>
      <c r="K107" s="53" t="s">
        <v>16</v>
      </c>
      <c r="L107" s="23">
        <v>2000</v>
      </c>
      <c r="M107" s="24">
        <v>99</v>
      </c>
      <c r="N107" s="25">
        <f t="shared" si="3"/>
        <v>198000</v>
      </c>
      <c r="O107" s="26"/>
    </row>
    <row r="108" spans="1:15" ht="15.75" hidden="1" customHeight="1" x14ac:dyDescent="0.3">
      <c r="A108" s="24">
        <v>23</v>
      </c>
      <c r="B108" s="20" t="str">
        <f t="shared" si="2"/>
        <v>JUN</v>
      </c>
      <c r="C108" s="21">
        <v>46179</v>
      </c>
      <c r="D108" s="22" t="str">
        <f t="array" ref="D108">IFERROR(INDEX('Kode Outlet dan Target Toko'!$A:$A,MATCH($I108,'Kode Outlet dan Target Toko'!$E:$E,0)),"")</f>
        <v>GRSM 4</v>
      </c>
      <c r="E108" s="20" t="str">
        <f>IFERROR(VLOOKUP(I108,KET!$B:$F,4,0),"")</f>
        <v>FAHMI LUKMANUL HAKIM</v>
      </c>
      <c r="F108" s="20" t="str">
        <f>IFERROR(VLOOKUP(I108,KET!$B:$F,5,0),"")</f>
        <v>GMM</v>
      </c>
      <c r="G108" s="20">
        <f>IFERROR(INDEX('Kode Outlet dan Target Toko'!$C:$C,MATCH($I108,'Kode Outlet dan Target Toko'!$E:$E,0)),0)</f>
        <v>103259</v>
      </c>
      <c r="H108" s="20">
        <f>IFERROR(INDEX('Kode Outlet dan Target Toko'!$D:$D,MATCH($I108,'Kode Outlet dan Target Toko'!$E:$E,0)),0)</f>
        <v>9029389</v>
      </c>
      <c r="I108" s="41" t="s">
        <v>18</v>
      </c>
      <c r="J108" s="19" t="s">
        <v>255</v>
      </c>
      <c r="K108" s="53" t="s">
        <v>15</v>
      </c>
      <c r="L108" s="23">
        <v>2000</v>
      </c>
      <c r="M108" s="24">
        <v>72</v>
      </c>
      <c r="N108" s="25">
        <f t="shared" si="3"/>
        <v>144000</v>
      </c>
      <c r="O108" s="24">
        <v>160</v>
      </c>
    </row>
    <row r="109" spans="1:15" ht="15.75" hidden="1" customHeight="1" x14ac:dyDescent="0.3">
      <c r="A109" s="24">
        <v>23</v>
      </c>
      <c r="B109" s="20" t="str">
        <f t="shared" si="2"/>
        <v>JUN</v>
      </c>
      <c r="C109" s="21">
        <v>46179</v>
      </c>
      <c r="D109" s="22" t="str">
        <f t="array" ref="D109">IFERROR(INDEX('Kode Outlet dan Target Toko'!$A:$A,MATCH($I109,'Kode Outlet dan Target Toko'!$E:$E,0)),"")</f>
        <v>GRSM 4</v>
      </c>
      <c r="E109" s="20" t="str">
        <f>IFERROR(VLOOKUP(I109,KET!$B:$F,4,0),"")</f>
        <v>FAHMI LUKMANUL HAKIM</v>
      </c>
      <c r="F109" s="20" t="str">
        <f>IFERROR(VLOOKUP(I109,KET!$B:$F,5,0),"")</f>
        <v>GMM</v>
      </c>
      <c r="G109" s="20">
        <f>IFERROR(INDEX('Kode Outlet dan Target Toko'!$C:$C,MATCH($I109,'Kode Outlet dan Target Toko'!$E:$E,0)),0)</f>
        <v>103259</v>
      </c>
      <c r="H109" s="20">
        <f>IFERROR(INDEX('Kode Outlet dan Target Toko'!$D:$D,MATCH($I109,'Kode Outlet dan Target Toko'!$E:$E,0)),0)</f>
        <v>9029389</v>
      </c>
      <c r="I109" s="41" t="s">
        <v>18</v>
      </c>
      <c r="J109" s="45" t="s">
        <v>255</v>
      </c>
      <c r="K109" s="53" t="s">
        <v>14</v>
      </c>
      <c r="L109" s="23">
        <v>2000</v>
      </c>
      <c r="M109" s="24">
        <v>60</v>
      </c>
      <c r="N109" s="25">
        <f t="shared" si="3"/>
        <v>120000</v>
      </c>
      <c r="O109" s="24"/>
    </row>
    <row r="110" spans="1:15" ht="15.75" hidden="1" customHeight="1" x14ac:dyDescent="0.3">
      <c r="A110" s="24">
        <v>23</v>
      </c>
      <c r="B110" s="20" t="str">
        <f t="shared" si="2"/>
        <v>JUN</v>
      </c>
      <c r="C110" s="21">
        <v>46179</v>
      </c>
      <c r="D110" s="22" t="str">
        <f t="array" ref="D110">IFERROR(INDEX('Kode Outlet dan Target Toko'!$A:$A,MATCH($I110,'Kode Outlet dan Target Toko'!$E:$E,0)),"")</f>
        <v>GRSM 4</v>
      </c>
      <c r="E110" s="20" t="str">
        <f>IFERROR(VLOOKUP(I110,KET!$B:$F,4,0),"")</f>
        <v>FAHMI LUKMANUL HAKIM</v>
      </c>
      <c r="F110" s="20" t="str">
        <f>IFERROR(VLOOKUP(I110,KET!$B:$F,5,0),"")</f>
        <v>GMM</v>
      </c>
      <c r="G110" s="20">
        <f>IFERROR(INDEX('Kode Outlet dan Target Toko'!$C:$C,MATCH($I110,'Kode Outlet dan Target Toko'!$E:$E,0)),0)</f>
        <v>103259</v>
      </c>
      <c r="H110" s="20">
        <f>IFERROR(INDEX('Kode Outlet dan Target Toko'!$D:$D,MATCH($I110,'Kode Outlet dan Target Toko'!$E:$E,0)),0)</f>
        <v>9029389</v>
      </c>
      <c r="I110" s="41" t="s">
        <v>18</v>
      </c>
      <c r="J110" s="19" t="s">
        <v>255</v>
      </c>
      <c r="K110" s="53" t="s">
        <v>13</v>
      </c>
      <c r="L110" s="23">
        <v>2000</v>
      </c>
      <c r="M110" s="24">
        <v>39</v>
      </c>
      <c r="N110" s="25">
        <f t="shared" si="3"/>
        <v>78000</v>
      </c>
      <c r="O110" s="24"/>
    </row>
    <row r="111" spans="1:15" ht="15.75" hidden="1" customHeight="1" x14ac:dyDescent="0.3">
      <c r="A111" s="24">
        <v>23</v>
      </c>
      <c r="B111" s="20" t="str">
        <f t="shared" si="2"/>
        <v>JUN</v>
      </c>
      <c r="C111" s="21">
        <v>46179</v>
      </c>
      <c r="D111" s="22" t="str">
        <f t="array" ref="D111">IFERROR(INDEX('Kode Outlet dan Target Toko'!$A:$A,MATCH($I111,'Kode Outlet dan Target Toko'!$E:$E,0)),"")</f>
        <v>GRSM 4</v>
      </c>
      <c r="E111" s="20" t="str">
        <f>IFERROR(VLOOKUP(I111,KET!$B:$F,4,0),"")</f>
        <v>FAHMI LUKMANUL HAKIM</v>
      </c>
      <c r="F111" s="20" t="str">
        <f>IFERROR(VLOOKUP(I111,KET!$B:$F,5,0),"")</f>
        <v>GMM</v>
      </c>
      <c r="G111" s="20">
        <f>IFERROR(INDEX('Kode Outlet dan Target Toko'!$C:$C,MATCH($I111,'Kode Outlet dan Target Toko'!$E:$E,0)),0)</f>
        <v>103259</v>
      </c>
      <c r="H111" s="20">
        <f>IFERROR(INDEX('Kode Outlet dan Target Toko'!$D:$D,MATCH($I111,'Kode Outlet dan Target Toko'!$E:$E,0)),0)</f>
        <v>9029389</v>
      </c>
      <c r="I111" s="41" t="s">
        <v>18</v>
      </c>
      <c r="J111" s="19" t="s">
        <v>255</v>
      </c>
      <c r="K111" s="53" t="s">
        <v>16</v>
      </c>
      <c r="L111" s="23">
        <v>2000</v>
      </c>
      <c r="M111" s="24">
        <v>81</v>
      </c>
      <c r="N111" s="25">
        <f t="shared" si="3"/>
        <v>162000</v>
      </c>
      <c r="O111" s="24"/>
    </row>
    <row r="112" spans="1:15" ht="15.75" hidden="1" customHeight="1" x14ac:dyDescent="0.3">
      <c r="A112" s="24">
        <v>23</v>
      </c>
      <c r="B112" s="20" t="str">
        <f t="shared" si="2"/>
        <v>JUN</v>
      </c>
      <c r="C112" s="21">
        <v>46179</v>
      </c>
      <c r="D112" s="22" t="str">
        <f t="array" ref="D112">IFERROR(INDEX('Kode Outlet dan Target Toko'!$A:$A,MATCH($I112,'Kode Outlet dan Target Toko'!$E:$E,0)),"")</f>
        <v>GRSM 4</v>
      </c>
      <c r="E112" s="20" t="str">
        <f>IFERROR(VLOOKUP(I112,KET!$B:$F,4,0),"")</f>
        <v>FAHMI LUKMANUL HAKIM</v>
      </c>
      <c r="F112" s="20" t="str">
        <f>IFERROR(VLOOKUP(I112,KET!$B:$F,5,0),"")</f>
        <v>GMM</v>
      </c>
      <c r="G112" s="20">
        <f>IFERROR(INDEX('Kode Outlet dan Target Toko'!$C:$C,MATCH($I112,'Kode Outlet dan Target Toko'!$E:$E,0)),0)</f>
        <v>103257</v>
      </c>
      <c r="H112" s="20">
        <f>IFERROR(INDEX('Kode Outlet dan Target Toko'!$D:$D,MATCH($I112,'Kode Outlet dan Target Toko'!$E:$E,0)),0)</f>
        <v>9162509</v>
      </c>
      <c r="I112" s="41" t="s">
        <v>23</v>
      </c>
      <c r="J112" s="56" t="s">
        <v>181</v>
      </c>
      <c r="K112" s="53" t="s">
        <v>15</v>
      </c>
      <c r="L112" s="23">
        <v>3200</v>
      </c>
      <c r="M112" s="24">
        <v>40</v>
      </c>
      <c r="N112" s="25">
        <f t="shared" si="3"/>
        <v>128000</v>
      </c>
      <c r="O112" s="26">
        <v>160</v>
      </c>
    </row>
    <row r="113" spans="1:15" ht="15.75" hidden="1" customHeight="1" x14ac:dyDescent="0.3">
      <c r="A113" s="24">
        <v>23</v>
      </c>
      <c r="B113" s="20" t="str">
        <f t="shared" si="2"/>
        <v>JUN</v>
      </c>
      <c r="C113" s="21">
        <v>46179</v>
      </c>
      <c r="D113" s="22" t="str">
        <f t="array" ref="D113">IFERROR(INDEX('Kode Outlet dan Target Toko'!$A:$A,MATCH($I113,'Kode Outlet dan Target Toko'!$E:$E,0)),"")</f>
        <v>GRSM 4</v>
      </c>
      <c r="E113" s="20" t="str">
        <f>IFERROR(VLOOKUP(I113,KET!$B:$F,4,0),"")</f>
        <v>FAHMI LUKMANUL HAKIM</v>
      </c>
      <c r="F113" s="20" t="str">
        <f>IFERROR(VLOOKUP(I113,KET!$B:$F,5,0),"")</f>
        <v>GMM</v>
      </c>
      <c r="G113" s="20">
        <f>IFERROR(INDEX('Kode Outlet dan Target Toko'!$C:$C,MATCH($I113,'Kode Outlet dan Target Toko'!$E:$E,0)),0)</f>
        <v>103257</v>
      </c>
      <c r="H113" s="20">
        <f>IFERROR(INDEX('Kode Outlet dan Target Toko'!$D:$D,MATCH($I113,'Kode Outlet dan Target Toko'!$E:$E,0)),0)</f>
        <v>9162509</v>
      </c>
      <c r="I113" s="41" t="s">
        <v>23</v>
      </c>
      <c r="J113" s="56" t="s">
        <v>181</v>
      </c>
      <c r="K113" s="53" t="s">
        <v>14</v>
      </c>
      <c r="L113" s="23">
        <v>3200</v>
      </c>
      <c r="M113" s="24">
        <v>35</v>
      </c>
      <c r="N113" s="25">
        <f t="shared" si="3"/>
        <v>112000</v>
      </c>
      <c r="O113" s="26"/>
    </row>
    <row r="114" spans="1:15" ht="15.75" hidden="1" customHeight="1" x14ac:dyDescent="0.3">
      <c r="A114" s="24">
        <v>23</v>
      </c>
      <c r="B114" s="20" t="str">
        <f t="shared" si="2"/>
        <v>JUN</v>
      </c>
      <c r="C114" s="21">
        <v>46179</v>
      </c>
      <c r="D114" s="22" t="str">
        <f t="array" ref="D114">IFERROR(INDEX('Kode Outlet dan Target Toko'!$A:$A,MATCH($I114,'Kode Outlet dan Target Toko'!$E:$E,0)),"")</f>
        <v>GRSM 4</v>
      </c>
      <c r="E114" s="20" t="str">
        <f>IFERROR(VLOOKUP(I114,KET!$B:$F,4,0),"")</f>
        <v>FAHMI LUKMANUL HAKIM</v>
      </c>
      <c r="F114" s="20" t="str">
        <f>IFERROR(VLOOKUP(I114,KET!$B:$F,5,0),"")</f>
        <v>GMM</v>
      </c>
      <c r="G114" s="20">
        <f>IFERROR(INDEX('Kode Outlet dan Target Toko'!$C:$C,MATCH($I114,'Kode Outlet dan Target Toko'!$E:$E,0)),0)</f>
        <v>103257</v>
      </c>
      <c r="H114" s="20">
        <f>IFERROR(INDEX('Kode Outlet dan Target Toko'!$D:$D,MATCH($I114,'Kode Outlet dan Target Toko'!$E:$E,0)),0)</f>
        <v>9162509</v>
      </c>
      <c r="I114" s="41" t="s">
        <v>23</v>
      </c>
      <c r="J114" s="56" t="s">
        <v>181</v>
      </c>
      <c r="K114" s="53" t="s">
        <v>13</v>
      </c>
      <c r="L114" s="23">
        <v>3200</v>
      </c>
      <c r="M114" s="24">
        <v>40</v>
      </c>
      <c r="N114" s="25">
        <f t="shared" si="3"/>
        <v>128000</v>
      </c>
      <c r="O114" s="26"/>
    </row>
    <row r="115" spans="1:15" ht="15.75" hidden="1" customHeight="1" x14ac:dyDescent="0.3">
      <c r="A115" s="24">
        <v>23</v>
      </c>
      <c r="B115" s="20" t="str">
        <f t="shared" si="2"/>
        <v>JUN</v>
      </c>
      <c r="C115" s="21">
        <v>46179</v>
      </c>
      <c r="D115" s="22" t="str">
        <f t="array" ref="D115">IFERROR(INDEX('Kode Outlet dan Target Toko'!$A:$A,MATCH($I115,'Kode Outlet dan Target Toko'!$E:$E,0)),"")</f>
        <v>GRSM 4</v>
      </c>
      <c r="E115" s="20" t="str">
        <f>IFERROR(VLOOKUP(I115,KET!$B:$F,4,0),"")</f>
        <v>FAHMI LUKMANUL HAKIM</v>
      </c>
      <c r="F115" s="20" t="str">
        <f>IFERROR(VLOOKUP(I115,KET!$B:$F,5,0),"")</f>
        <v>GMM</v>
      </c>
      <c r="G115" s="20">
        <f>IFERROR(INDEX('Kode Outlet dan Target Toko'!$C:$C,MATCH($I115,'Kode Outlet dan Target Toko'!$E:$E,0)),0)</f>
        <v>103257</v>
      </c>
      <c r="H115" s="20">
        <f>IFERROR(INDEX('Kode Outlet dan Target Toko'!$D:$D,MATCH($I115,'Kode Outlet dan Target Toko'!$E:$E,0)),0)</f>
        <v>9162509</v>
      </c>
      <c r="I115" s="41" t="s">
        <v>23</v>
      </c>
      <c r="J115" s="56" t="s">
        <v>181</v>
      </c>
      <c r="K115" s="53" t="s">
        <v>16</v>
      </c>
      <c r="L115" s="23">
        <v>3200</v>
      </c>
      <c r="M115" s="24">
        <v>130</v>
      </c>
      <c r="N115" s="25">
        <f t="shared" si="3"/>
        <v>416000</v>
      </c>
      <c r="O115" s="26"/>
    </row>
    <row r="116" spans="1:15" ht="15.75" hidden="1" customHeight="1" x14ac:dyDescent="0.3">
      <c r="A116" s="24">
        <v>23</v>
      </c>
      <c r="B116" s="20" t="str">
        <f t="shared" si="2"/>
        <v>JUN</v>
      </c>
      <c r="C116" s="21">
        <v>46179</v>
      </c>
      <c r="D116" s="22" t="str">
        <f t="array" ref="D116">IFERROR(INDEX('Kode Outlet dan Target Toko'!$A:$A,MATCH($I116,'Kode Outlet dan Target Toko'!$E:$E,0)),"")</f>
        <v>GRSM 4</v>
      </c>
      <c r="E116" s="20" t="str">
        <f>IFERROR(VLOOKUP(I116,KET!$B:$F,4,0),"")</f>
        <v>FAHMI LUKMANUL HAKIM</v>
      </c>
      <c r="F116" s="20" t="str">
        <f>IFERROR(VLOOKUP(I116,KET!$B:$F,5,0),"")</f>
        <v>GMM</v>
      </c>
      <c r="G116" s="20">
        <f>IFERROR(INDEX('Kode Outlet dan Target Toko'!$C:$C,MATCH($I116,'Kode Outlet dan Target Toko'!$E:$E,0)),0)</f>
        <v>103257</v>
      </c>
      <c r="H116" s="20">
        <f>IFERROR(INDEX('Kode Outlet dan Target Toko'!$D:$D,MATCH($I116,'Kode Outlet dan Target Toko'!$E:$E,0)),0)</f>
        <v>9162509</v>
      </c>
      <c r="I116" s="41" t="s">
        <v>23</v>
      </c>
      <c r="J116" s="56" t="s">
        <v>180</v>
      </c>
      <c r="K116" s="53" t="s">
        <v>15</v>
      </c>
      <c r="L116" s="23">
        <v>3200</v>
      </c>
      <c r="M116" s="24">
        <v>45</v>
      </c>
      <c r="N116" s="25">
        <f t="shared" si="3"/>
        <v>144000</v>
      </c>
      <c r="O116" s="26">
        <v>160</v>
      </c>
    </row>
    <row r="117" spans="1:15" ht="15.75" hidden="1" customHeight="1" x14ac:dyDescent="0.3">
      <c r="A117" s="24">
        <v>23</v>
      </c>
      <c r="B117" s="20" t="str">
        <f t="shared" si="2"/>
        <v>JUN</v>
      </c>
      <c r="C117" s="21">
        <v>46179</v>
      </c>
      <c r="D117" s="22" t="str">
        <f t="array" ref="D117">IFERROR(INDEX('Kode Outlet dan Target Toko'!$A:$A,MATCH($I117,'Kode Outlet dan Target Toko'!$E:$E,0)),"")</f>
        <v>GRSM 4</v>
      </c>
      <c r="E117" s="20" t="str">
        <f>IFERROR(VLOOKUP(I117,KET!$B:$F,4,0),"")</f>
        <v>FAHMI LUKMANUL HAKIM</v>
      </c>
      <c r="F117" s="20" t="str">
        <f>IFERROR(VLOOKUP(I117,KET!$B:$F,5,0),"")</f>
        <v>GMM</v>
      </c>
      <c r="G117" s="20">
        <f>IFERROR(INDEX('Kode Outlet dan Target Toko'!$C:$C,MATCH($I117,'Kode Outlet dan Target Toko'!$E:$E,0)),0)</f>
        <v>103257</v>
      </c>
      <c r="H117" s="20">
        <f>IFERROR(INDEX('Kode Outlet dan Target Toko'!$D:$D,MATCH($I117,'Kode Outlet dan Target Toko'!$E:$E,0)),0)</f>
        <v>9162509</v>
      </c>
      <c r="I117" s="41" t="s">
        <v>23</v>
      </c>
      <c r="J117" s="56" t="s">
        <v>180</v>
      </c>
      <c r="K117" s="53" t="s">
        <v>14</v>
      </c>
      <c r="L117" s="23">
        <v>3200</v>
      </c>
      <c r="M117" s="24">
        <v>40</v>
      </c>
      <c r="N117" s="25">
        <f t="shared" si="3"/>
        <v>128000</v>
      </c>
      <c r="O117" s="26"/>
    </row>
    <row r="118" spans="1:15" ht="15.75" hidden="1" customHeight="1" x14ac:dyDescent="0.3">
      <c r="A118" s="24">
        <v>23</v>
      </c>
      <c r="B118" s="20" t="str">
        <f t="shared" si="2"/>
        <v>JUN</v>
      </c>
      <c r="C118" s="21">
        <v>46179</v>
      </c>
      <c r="D118" s="22" t="str">
        <f t="array" ref="D118">IFERROR(INDEX('Kode Outlet dan Target Toko'!$A:$A,MATCH($I118,'Kode Outlet dan Target Toko'!$E:$E,0)),"")</f>
        <v>GRSM 4</v>
      </c>
      <c r="E118" s="20" t="str">
        <f>IFERROR(VLOOKUP(I118,KET!$B:$F,4,0),"")</f>
        <v>FAHMI LUKMANUL HAKIM</v>
      </c>
      <c r="F118" s="20" t="str">
        <f>IFERROR(VLOOKUP(I118,KET!$B:$F,5,0),"")</f>
        <v>GMM</v>
      </c>
      <c r="G118" s="20">
        <f>IFERROR(INDEX('Kode Outlet dan Target Toko'!$C:$C,MATCH($I118,'Kode Outlet dan Target Toko'!$E:$E,0)),0)</f>
        <v>103257</v>
      </c>
      <c r="H118" s="20">
        <f>IFERROR(INDEX('Kode Outlet dan Target Toko'!$D:$D,MATCH($I118,'Kode Outlet dan Target Toko'!$E:$E,0)),0)</f>
        <v>9162509</v>
      </c>
      <c r="I118" s="41" t="s">
        <v>23</v>
      </c>
      <c r="J118" s="19" t="s">
        <v>180</v>
      </c>
      <c r="K118" s="53" t="s">
        <v>13</v>
      </c>
      <c r="L118" s="23">
        <v>3200</v>
      </c>
      <c r="M118" s="24">
        <v>45</v>
      </c>
      <c r="N118" s="25">
        <f t="shared" si="3"/>
        <v>144000</v>
      </c>
      <c r="O118" s="24"/>
    </row>
    <row r="119" spans="1:15" ht="15.75" hidden="1" customHeight="1" x14ac:dyDescent="0.3">
      <c r="A119" s="24">
        <v>23</v>
      </c>
      <c r="B119" s="20" t="str">
        <f t="shared" si="2"/>
        <v>JUN</v>
      </c>
      <c r="C119" s="21">
        <v>46179</v>
      </c>
      <c r="D119" s="22" t="str">
        <f t="array" ref="D119">IFERROR(INDEX('Kode Outlet dan Target Toko'!$A:$A,MATCH($I119,'Kode Outlet dan Target Toko'!$E:$E,0)),"")</f>
        <v>GRSM 4</v>
      </c>
      <c r="E119" s="20" t="str">
        <f>IFERROR(VLOOKUP(I119,KET!$B:$F,4,0),"")</f>
        <v>FAHMI LUKMANUL HAKIM</v>
      </c>
      <c r="F119" s="20" t="str">
        <f>IFERROR(VLOOKUP(I119,KET!$B:$F,5,0),"")</f>
        <v>GMM</v>
      </c>
      <c r="G119" s="20">
        <f>IFERROR(INDEX('Kode Outlet dan Target Toko'!$C:$C,MATCH($I119,'Kode Outlet dan Target Toko'!$E:$E,0)),0)</f>
        <v>103257</v>
      </c>
      <c r="H119" s="20">
        <f>IFERROR(INDEX('Kode Outlet dan Target Toko'!$D:$D,MATCH($I119,'Kode Outlet dan Target Toko'!$E:$E,0)),0)</f>
        <v>9162509</v>
      </c>
      <c r="I119" s="41" t="s">
        <v>23</v>
      </c>
      <c r="J119" s="45" t="s">
        <v>180</v>
      </c>
      <c r="K119" s="53" t="s">
        <v>16</v>
      </c>
      <c r="L119" s="23">
        <v>3200</v>
      </c>
      <c r="M119" s="24">
        <v>135</v>
      </c>
      <c r="N119" s="25">
        <f t="shared" si="3"/>
        <v>432000</v>
      </c>
      <c r="O119" s="24"/>
    </row>
    <row r="120" spans="1:15" ht="15.75" hidden="1" customHeight="1" x14ac:dyDescent="0.3">
      <c r="A120" s="24">
        <v>23</v>
      </c>
      <c r="B120" s="20" t="str">
        <f t="shared" si="2"/>
        <v>JUN</v>
      </c>
      <c r="C120" s="21">
        <v>46179</v>
      </c>
      <c r="D120" s="22" t="str">
        <f t="array" ref="D120">IFERROR(INDEX('Kode Outlet dan Target Toko'!$A:$A,MATCH($I120,'Kode Outlet dan Target Toko'!$E:$E,0)),"")</f>
        <v>GRSM 4</v>
      </c>
      <c r="E120" s="20" t="str">
        <f>IFERROR(VLOOKUP(I120,KET!$B:$F,4,0),"")</f>
        <v>FAHMI LUKMANUL HAKIM</v>
      </c>
      <c r="F120" s="20" t="str">
        <f>IFERROR(VLOOKUP(I120,KET!$B:$F,5,0),"")</f>
        <v>GMM</v>
      </c>
      <c r="G120" s="20">
        <f>IFERROR(INDEX('Kode Outlet dan Target Toko'!$C:$C,MATCH($I120,'Kode Outlet dan Target Toko'!$E:$E,0)),0)</f>
        <v>103277</v>
      </c>
      <c r="H120" s="20">
        <f>IFERROR(INDEX('Kode Outlet dan Target Toko'!$D:$D,MATCH($I120,'Kode Outlet dan Target Toko'!$E:$E,0)),0)</f>
        <v>6300538</v>
      </c>
      <c r="I120" s="41" t="s">
        <v>19</v>
      </c>
      <c r="J120" s="19" t="s">
        <v>252</v>
      </c>
      <c r="K120" s="53" t="s">
        <v>15</v>
      </c>
      <c r="L120" s="23">
        <v>2975</v>
      </c>
      <c r="M120" s="24">
        <v>48</v>
      </c>
      <c r="N120" s="25">
        <f t="shared" si="3"/>
        <v>142800</v>
      </c>
      <c r="O120" s="24">
        <v>160</v>
      </c>
    </row>
    <row r="121" spans="1:15" ht="15.75" hidden="1" customHeight="1" x14ac:dyDescent="0.3">
      <c r="A121" s="24">
        <v>23</v>
      </c>
      <c r="B121" s="20" t="str">
        <f t="shared" si="2"/>
        <v>JUN</v>
      </c>
      <c r="C121" s="21">
        <v>46179</v>
      </c>
      <c r="D121" s="22" t="str">
        <f t="array" ref="D121">IFERROR(INDEX('Kode Outlet dan Target Toko'!$A:$A,MATCH($I121,'Kode Outlet dan Target Toko'!$E:$E,0)),"")</f>
        <v>GRSM 4</v>
      </c>
      <c r="E121" s="20" t="str">
        <f>IFERROR(VLOOKUP(I121,KET!$B:$F,4,0),"")</f>
        <v>FAHMI LUKMANUL HAKIM</v>
      </c>
      <c r="F121" s="20" t="str">
        <f>IFERROR(VLOOKUP(I121,KET!$B:$F,5,0),"")</f>
        <v>GMM</v>
      </c>
      <c r="G121" s="20">
        <f>IFERROR(INDEX('Kode Outlet dan Target Toko'!$C:$C,MATCH($I121,'Kode Outlet dan Target Toko'!$E:$E,0)),0)</f>
        <v>103277</v>
      </c>
      <c r="H121" s="20">
        <f>IFERROR(INDEX('Kode Outlet dan Target Toko'!$D:$D,MATCH($I121,'Kode Outlet dan Target Toko'!$E:$E,0)),0)</f>
        <v>6300538</v>
      </c>
      <c r="I121" s="41" t="s">
        <v>19</v>
      </c>
      <c r="J121" s="19" t="s">
        <v>252</v>
      </c>
      <c r="K121" s="53" t="s">
        <v>14</v>
      </c>
      <c r="L121" s="23">
        <v>2975</v>
      </c>
      <c r="M121" s="24">
        <v>24</v>
      </c>
      <c r="N121" s="25">
        <f t="shared" si="3"/>
        <v>71400</v>
      </c>
      <c r="O121" s="24"/>
    </row>
    <row r="122" spans="1:15" ht="15.75" hidden="1" customHeight="1" x14ac:dyDescent="0.3">
      <c r="A122" s="24">
        <v>23</v>
      </c>
      <c r="B122" s="20" t="str">
        <f t="shared" si="2"/>
        <v>JUN</v>
      </c>
      <c r="C122" s="21">
        <v>46179</v>
      </c>
      <c r="D122" s="22" t="str">
        <f t="array" ref="D122">IFERROR(INDEX('Kode Outlet dan Target Toko'!$A:$A,MATCH($I122,'Kode Outlet dan Target Toko'!$E:$E,0)),"")</f>
        <v>GRSM 4</v>
      </c>
      <c r="E122" s="20" t="str">
        <f>IFERROR(VLOOKUP(I122,KET!$B:$F,4,0),"")</f>
        <v>FAHMI LUKMANUL HAKIM</v>
      </c>
      <c r="F122" s="20" t="str">
        <f>IFERROR(VLOOKUP(I122,KET!$B:$F,5,0),"")</f>
        <v>GMM</v>
      </c>
      <c r="G122" s="20">
        <f>IFERROR(INDEX('Kode Outlet dan Target Toko'!$C:$C,MATCH($I122,'Kode Outlet dan Target Toko'!$E:$E,0)),0)</f>
        <v>103277</v>
      </c>
      <c r="H122" s="20">
        <f>IFERROR(INDEX('Kode Outlet dan Target Toko'!$D:$D,MATCH($I122,'Kode Outlet dan Target Toko'!$E:$E,0)),0)</f>
        <v>6300538</v>
      </c>
      <c r="I122" s="41" t="s">
        <v>19</v>
      </c>
      <c r="J122" s="45" t="s">
        <v>252</v>
      </c>
      <c r="K122" s="53" t="s">
        <v>13</v>
      </c>
      <c r="L122" s="23">
        <v>2975</v>
      </c>
      <c r="M122" s="24">
        <v>43</v>
      </c>
      <c r="N122" s="25">
        <f t="shared" si="3"/>
        <v>127925</v>
      </c>
      <c r="O122" s="24"/>
    </row>
    <row r="123" spans="1:15" ht="15.75" hidden="1" customHeight="1" x14ac:dyDescent="0.3">
      <c r="A123" s="24">
        <v>23</v>
      </c>
      <c r="B123" s="20" t="str">
        <f t="shared" si="2"/>
        <v>JUN</v>
      </c>
      <c r="C123" s="21">
        <v>46179</v>
      </c>
      <c r="D123" s="22" t="str">
        <f t="array" ref="D123">IFERROR(INDEX('Kode Outlet dan Target Toko'!$A:$A,MATCH($I123,'Kode Outlet dan Target Toko'!$E:$E,0)),"")</f>
        <v>GRSM 4</v>
      </c>
      <c r="E123" s="20" t="str">
        <f>IFERROR(VLOOKUP(I123,KET!$B:$F,4,0),"")</f>
        <v>FAHMI LUKMANUL HAKIM</v>
      </c>
      <c r="F123" s="20" t="str">
        <f>IFERROR(VLOOKUP(I123,KET!$B:$F,5,0),"")</f>
        <v>GMM</v>
      </c>
      <c r="G123" s="20">
        <f>IFERROR(INDEX('Kode Outlet dan Target Toko'!$C:$C,MATCH($I123,'Kode Outlet dan Target Toko'!$E:$E,0)),0)</f>
        <v>103277</v>
      </c>
      <c r="H123" s="20">
        <f>IFERROR(INDEX('Kode Outlet dan Target Toko'!$D:$D,MATCH($I123,'Kode Outlet dan Target Toko'!$E:$E,0)),0)</f>
        <v>6300538</v>
      </c>
      <c r="I123" s="41" t="s">
        <v>19</v>
      </c>
      <c r="J123" s="19" t="s">
        <v>252</v>
      </c>
      <c r="K123" s="53" t="s">
        <v>16</v>
      </c>
      <c r="L123" s="23">
        <v>2975</v>
      </c>
      <c r="M123" s="24">
        <v>156</v>
      </c>
      <c r="N123" s="25">
        <f t="shared" si="3"/>
        <v>464100</v>
      </c>
      <c r="O123" s="24"/>
    </row>
    <row r="124" spans="1:15" ht="15.75" hidden="1" customHeight="1" x14ac:dyDescent="0.3">
      <c r="A124" s="24">
        <v>23</v>
      </c>
      <c r="B124" s="20" t="str">
        <f t="shared" si="2"/>
        <v>JUN</v>
      </c>
      <c r="C124" s="21">
        <v>46179</v>
      </c>
      <c r="D124" s="22" t="str">
        <f t="array" ref="D124">IFERROR(INDEX('Kode Outlet dan Target Toko'!$A:$A,MATCH($I124,'Kode Outlet dan Target Toko'!$E:$E,0)),"")</f>
        <v>GRSM 4</v>
      </c>
      <c r="E124" s="20" t="str">
        <f>IFERROR(VLOOKUP(I124,KET!$B:$F,4,0),"")</f>
        <v>FAHMI LUKMANUL HAKIM</v>
      </c>
      <c r="F124" s="20" t="str">
        <f>IFERROR(VLOOKUP(I124,KET!$B:$F,5,0),"")</f>
        <v>GMM</v>
      </c>
      <c r="G124" s="20">
        <f>IFERROR(INDEX('Kode Outlet dan Target Toko'!$C:$C,MATCH($I124,'Kode Outlet dan Target Toko'!$E:$E,0)),0)</f>
        <v>103277</v>
      </c>
      <c r="H124" s="20">
        <f>IFERROR(INDEX('Kode Outlet dan Target Toko'!$D:$D,MATCH($I124,'Kode Outlet dan Target Toko'!$E:$E,0)),0)</f>
        <v>6300538</v>
      </c>
      <c r="I124" s="41" t="s">
        <v>19</v>
      </c>
      <c r="J124" s="19" t="s">
        <v>251</v>
      </c>
      <c r="K124" s="53" t="s">
        <v>15</v>
      </c>
      <c r="L124" s="23">
        <v>2975</v>
      </c>
      <c r="M124" s="24">
        <v>52</v>
      </c>
      <c r="N124" s="25">
        <f t="shared" si="3"/>
        <v>154700</v>
      </c>
      <c r="O124" s="24">
        <v>141</v>
      </c>
    </row>
    <row r="125" spans="1:15" ht="15.75" hidden="1" customHeight="1" x14ac:dyDescent="0.3">
      <c r="A125" s="24">
        <v>23</v>
      </c>
      <c r="B125" s="20" t="str">
        <f t="shared" si="2"/>
        <v>JUN</v>
      </c>
      <c r="C125" s="21">
        <v>46179</v>
      </c>
      <c r="D125" s="22" t="str">
        <f t="array" ref="D125">IFERROR(INDEX('Kode Outlet dan Target Toko'!$A:$A,MATCH($I125,'Kode Outlet dan Target Toko'!$E:$E,0)),"")</f>
        <v>GRSM 4</v>
      </c>
      <c r="E125" s="20" t="str">
        <f>IFERROR(VLOOKUP(I125,KET!$B:$F,4,0),"")</f>
        <v>FAHMI LUKMANUL HAKIM</v>
      </c>
      <c r="F125" s="20" t="str">
        <f>IFERROR(VLOOKUP(I125,KET!$B:$F,5,0),"")</f>
        <v>GMM</v>
      </c>
      <c r="G125" s="20">
        <f>IFERROR(INDEX('Kode Outlet dan Target Toko'!$C:$C,MATCH($I125,'Kode Outlet dan Target Toko'!$E:$E,0)),0)</f>
        <v>103277</v>
      </c>
      <c r="H125" s="20">
        <f>IFERROR(INDEX('Kode Outlet dan Target Toko'!$D:$D,MATCH($I125,'Kode Outlet dan Target Toko'!$E:$E,0)),0)</f>
        <v>6300538</v>
      </c>
      <c r="I125" s="41" t="s">
        <v>19</v>
      </c>
      <c r="J125" s="56" t="s">
        <v>251</v>
      </c>
      <c r="K125" s="53" t="s">
        <v>14</v>
      </c>
      <c r="L125" s="23">
        <v>2975</v>
      </c>
      <c r="M125" s="24">
        <v>27</v>
      </c>
      <c r="N125" s="25">
        <f t="shared" si="3"/>
        <v>80325</v>
      </c>
      <c r="O125" s="26"/>
    </row>
    <row r="126" spans="1:15" ht="15.75" hidden="1" customHeight="1" x14ac:dyDescent="0.3">
      <c r="A126" s="24">
        <v>23</v>
      </c>
      <c r="B126" s="20" t="str">
        <f t="shared" si="2"/>
        <v>JUN</v>
      </c>
      <c r="C126" s="21">
        <v>46179</v>
      </c>
      <c r="D126" s="22" t="str">
        <f t="array" ref="D126">IFERROR(INDEX('Kode Outlet dan Target Toko'!$A:$A,MATCH($I126,'Kode Outlet dan Target Toko'!$E:$E,0)),"")</f>
        <v>GRSM 4</v>
      </c>
      <c r="E126" s="20" t="str">
        <f>IFERROR(VLOOKUP(I126,KET!$B:$F,4,0),"")</f>
        <v>FAHMI LUKMANUL HAKIM</v>
      </c>
      <c r="F126" s="20" t="str">
        <f>IFERROR(VLOOKUP(I126,KET!$B:$F,5,0),"")</f>
        <v>GMM</v>
      </c>
      <c r="G126" s="20">
        <f>IFERROR(INDEX('Kode Outlet dan Target Toko'!$C:$C,MATCH($I126,'Kode Outlet dan Target Toko'!$E:$E,0)),0)</f>
        <v>103277</v>
      </c>
      <c r="H126" s="20">
        <f>IFERROR(INDEX('Kode Outlet dan Target Toko'!$D:$D,MATCH($I126,'Kode Outlet dan Target Toko'!$E:$E,0)),0)</f>
        <v>6300538</v>
      </c>
      <c r="I126" s="41" t="s">
        <v>19</v>
      </c>
      <c r="J126" s="56" t="s">
        <v>251</v>
      </c>
      <c r="K126" s="53" t="s">
        <v>13</v>
      </c>
      <c r="L126" s="23">
        <v>2975</v>
      </c>
      <c r="M126" s="24">
        <v>54</v>
      </c>
      <c r="N126" s="25">
        <f t="shared" si="3"/>
        <v>160650</v>
      </c>
      <c r="O126" s="26"/>
    </row>
    <row r="127" spans="1:15" ht="15.75" hidden="1" customHeight="1" x14ac:dyDescent="0.3">
      <c r="A127" s="24">
        <v>23</v>
      </c>
      <c r="B127" s="20" t="str">
        <f t="shared" si="2"/>
        <v>JUN</v>
      </c>
      <c r="C127" s="21">
        <v>46179</v>
      </c>
      <c r="D127" s="22" t="str">
        <f t="array" ref="D127">IFERROR(INDEX('Kode Outlet dan Target Toko'!$A:$A,MATCH($I127,'Kode Outlet dan Target Toko'!$E:$E,0)),"")</f>
        <v>GRSM 4</v>
      </c>
      <c r="E127" s="20" t="str">
        <f>IFERROR(VLOOKUP(I127,KET!$B:$F,4,0),"")</f>
        <v>FAHMI LUKMANUL HAKIM</v>
      </c>
      <c r="F127" s="20" t="str">
        <f>IFERROR(VLOOKUP(I127,KET!$B:$F,5,0),"")</f>
        <v>GMM</v>
      </c>
      <c r="G127" s="20">
        <f>IFERROR(INDEX('Kode Outlet dan Target Toko'!$C:$C,MATCH($I127,'Kode Outlet dan Target Toko'!$E:$E,0)),0)</f>
        <v>103277</v>
      </c>
      <c r="H127" s="20">
        <f>IFERROR(INDEX('Kode Outlet dan Target Toko'!$D:$D,MATCH($I127,'Kode Outlet dan Target Toko'!$E:$E,0)),0)</f>
        <v>6300538</v>
      </c>
      <c r="I127" s="41" t="s">
        <v>19</v>
      </c>
      <c r="J127" s="56" t="s">
        <v>251</v>
      </c>
      <c r="K127" s="53" t="s">
        <v>16</v>
      </c>
      <c r="L127" s="23">
        <v>2975</v>
      </c>
      <c r="M127" s="24">
        <v>154</v>
      </c>
      <c r="N127" s="25">
        <f t="shared" si="3"/>
        <v>458150</v>
      </c>
      <c r="O127" s="26"/>
    </row>
    <row r="128" spans="1:15" ht="15.75" hidden="1" customHeight="1" x14ac:dyDescent="0.3">
      <c r="A128" s="24">
        <v>23</v>
      </c>
      <c r="B128" s="20" t="str">
        <f t="shared" si="2"/>
        <v>JUN</v>
      </c>
      <c r="C128" s="21">
        <v>46179</v>
      </c>
      <c r="D128" s="22" t="str">
        <f t="array" ref="D128">IFERROR(INDEX('Kode Outlet dan Target Toko'!$A:$A,MATCH($I128,'Kode Outlet dan Target Toko'!$E:$E,0)),"")</f>
        <v>GRSM 3A</v>
      </c>
      <c r="E128" s="20" t="str">
        <f>IFERROR(VLOOKUP(I128,KET!$B:$F,4,0),"")</f>
        <v>FAHMI LUKMANUL HAKIM</v>
      </c>
      <c r="F128" s="20" t="str">
        <f>IFERROR(VLOOKUP(I128,KET!$B:$F,5,0),"")</f>
        <v>GMM</v>
      </c>
      <c r="G128" s="20">
        <f>IFERROR(INDEX('Kode Outlet dan Target Toko'!$C:$C,MATCH($I128,'Kode Outlet dan Target Toko'!$E:$E,0)),0)</f>
        <v>103272</v>
      </c>
      <c r="H128" s="20">
        <f>IFERROR(INDEX('Kode Outlet dan Target Toko'!$D:$D,MATCH($I128,'Kode Outlet dan Target Toko'!$E:$E,0)),0)</f>
        <v>1178</v>
      </c>
      <c r="I128" s="41" t="s">
        <v>22</v>
      </c>
      <c r="J128" s="56" t="s">
        <v>254</v>
      </c>
      <c r="K128" s="53" t="s">
        <v>15</v>
      </c>
      <c r="L128" s="23">
        <v>3145</v>
      </c>
      <c r="M128" s="24">
        <v>27</v>
      </c>
      <c r="N128" s="25">
        <f t="shared" si="3"/>
        <v>84915</v>
      </c>
      <c r="O128" s="26">
        <v>141</v>
      </c>
    </row>
    <row r="129" spans="1:15" ht="15.75" hidden="1" customHeight="1" x14ac:dyDescent="0.3">
      <c r="A129" s="24">
        <v>23</v>
      </c>
      <c r="B129" s="20" t="str">
        <f t="shared" si="2"/>
        <v>JUN</v>
      </c>
      <c r="C129" s="21">
        <v>46179</v>
      </c>
      <c r="D129" s="22" t="str">
        <f t="array" ref="D129">IFERROR(INDEX('Kode Outlet dan Target Toko'!$A:$A,MATCH($I129,'Kode Outlet dan Target Toko'!$E:$E,0)),"")</f>
        <v>GRSM 3A</v>
      </c>
      <c r="E129" s="20" t="str">
        <f>IFERROR(VLOOKUP(I129,KET!$B:$F,4,0),"")</f>
        <v>FAHMI LUKMANUL HAKIM</v>
      </c>
      <c r="F129" s="20" t="str">
        <f>IFERROR(VLOOKUP(I129,KET!$B:$F,5,0),"")</f>
        <v>GMM</v>
      </c>
      <c r="G129" s="20">
        <f>IFERROR(INDEX('Kode Outlet dan Target Toko'!$C:$C,MATCH($I129,'Kode Outlet dan Target Toko'!$E:$E,0)),0)</f>
        <v>103272</v>
      </c>
      <c r="H129" s="20">
        <f>IFERROR(INDEX('Kode Outlet dan Target Toko'!$D:$D,MATCH($I129,'Kode Outlet dan Target Toko'!$E:$E,0)),0)</f>
        <v>1178</v>
      </c>
      <c r="I129" s="41" t="s">
        <v>22</v>
      </c>
      <c r="J129" s="56" t="s">
        <v>254</v>
      </c>
      <c r="K129" s="53" t="s">
        <v>14</v>
      </c>
      <c r="L129" s="23">
        <v>3145</v>
      </c>
      <c r="M129" s="24">
        <v>24</v>
      </c>
      <c r="N129" s="25">
        <f t="shared" si="3"/>
        <v>75480</v>
      </c>
      <c r="O129" s="26"/>
    </row>
    <row r="130" spans="1:15" ht="15.75" hidden="1" customHeight="1" x14ac:dyDescent="0.3">
      <c r="A130" s="24">
        <v>23</v>
      </c>
      <c r="B130" s="20" t="str">
        <f t="shared" si="2"/>
        <v>JUN</v>
      </c>
      <c r="C130" s="21">
        <v>46179</v>
      </c>
      <c r="D130" s="22" t="str">
        <f t="array" ref="D130">IFERROR(INDEX('Kode Outlet dan Target Toko'!$A:$A,MATCH($I130,'Kode Outlet dan Target Toko'!$E:$E,0)),"")</f>
        <v>GRSM 3A</v>
      </c>
      <c r="E130" s="20" t="str">
        <f>IFERROR(VLOOKUP(I130,KET!$B:$F,4,0),"")</f>
        <v>FAHMI LUKMANUL HAKIM</v>
      </c>
      <c r="F130" s="20" t="str">
        <f>IFERROR(VLOOKUP(I130,KET!$B:$F,5,0),"")</f>
        <v>GMM</v>
      </c>
      <c r="G130" s="20">
        <f>IFERROR(INDEX('Kode Outlet dan Target Toko'!$C:$C,MATCH($I130,'Kode Outlet dan Target Toko'!$E:$E,0)),0)</f>
        <v>103272</v>
      </c>
      <c r="H130" s="20">
        <f>IFERROR(INDEX('Kode Outlet dan Target Toko'!$D:$D,MATCH($I130,'Kode Outlet dan Target Toko'!$E:$E,0)),0)</f>
        <v>1178</v>
      </c>
      <c r="I130" s="41" t="s">
        <v>22</v>
      </c>
      <c r="J130" s="19" t="s">
        <v>254</v>
      </c>
      <c r="K130" s="53" t="s">
        <v>13</v>
      </c>
      <c r="L130" s="23">
        <v>3145</v>
      </c>
      <c r="M130" s="24">
        <v>26</v>
      </c>
      <c r="N130" s="25">
        <f t="shared" si="3"/>
        <v>81770</v>
      </c>
      <c r="O130" s="24"/>
    </row>
    <row r="131" spans="1:15" ht="15.75" hidden="1" customHeight="1" x14ac:dyDescent="0.3">
      <c r="A131" s="24">
        <v>23</v>
      </c>
      <c r="B131" s="20" t="str">
        <f t="shared" si="2"/>
        <v>JUN</v>
      </c>
      <c r="C131" s="21">
        <v>46179</v>
      </c>
      <c r="D131" s="22" t="str">
        <f t="array" ref="D131">IFERROR(INDEX('Kode Outlet dan Target Toko'!$A:$A,MATCH($I131,'Kode Outlet dan Target Toko'!$E:$E,0)),"")</f>
        <v>GRSM 3A</v>
      </c>
      <c r="E131" s="20" t="str">
        <f>IFERROR(VLOOKUP(I131,KET!$B:$F,4,0),"")</f>
        <v>FAHMI LUKMANUL HAKIM</v>
      </c>
      <c r="F131" s="20" t="str">
        <f>IFERROR(VLOOKUP(I131,KET!$B:$F,5,0),"")</f>
        <v>GMM</v>
      </c>
      <c r="G131" s="20">
        <f>IFERROR(INDEX('Kode Outlet dan Target Toko'!$C:$C,MATCH($I131,'Kode Outlet dan Target Toko'!$E:$E,0)),0)</f>
        <v>103272</v>
      </c>
      <c r="H131" s="20">
        <f>IFERROR(INDEX('Kode Outlet dan Target Toko'!$D:$D,MATCH($I131,'Kode Outlet dan Target Toko'!$E:$E,0)),0)</f>
        <v>1178</v>
      </c>
      <c r="I131" s="41" t="s">
        <v>22</v>
      </c>
      <c r="J131" s="19" t="s">
        <v>254</v>
      </c>
      <c r="K131" s="53" t="s">
        <v>16</v>
      </c>
      <c r="L131" s="23">
        <v>3145</v>
      </c>
      <c r="M131" s="24">
        <v>63</v>
      </c>
      <c r="N131" s="25">
        <f t="shared" si="3"/>
        <v>198135</v>
      </c>
      <c r="O131" s="24"/>
    </row>
    <row r="132" spans="1:15" ht="15.75" hidden="1" customHeight="1" x14ac:dyDescent="0.3">
      <c r="A132" s="24">
        <v>23</v>
      </c>
      <c r="B132" s="20" t="str">
        <f t="shared" si="2"/>
        <v>JUN</v>
      </c>
      <c r="C132" s="21">
        <v>46179</v>
      </c>
      <c r="D132" s="22" t="str">
        <f t="array" ref="D132">IFERROR(INDEX('Kode Outlet dan Target Toko'!$A:$A,MATCH($I132,'Kode Outlet dan Target Toko'!$E:$E,0)),"")</f>
        <v>GRSM 3A</v>
      </c>
      <c r="E132" s="20" t="str">
        <f>IFERROR(VLOOKUP(I132,KET!$B:$F,4,0),"")</f>
        <v>FAHMI LUKMANUL HAKIM</v>
      </c>
      <c r="F132" s="20" t="str">
        <f>IFERROR(VLOOKUP(I132,KET!$B:$F,5,0),"")</f>
        <v>GMM</v>
      </c>
      <c r="G132" s="20">
        <f>IFERROR(INDEX('Kode Outlet dan Target Toko'!$C:$C,MATCH($I132,'Kode Outlet dan Target Toko'!$E:$E,0)),0)</f>
        <v>103272</v>
      </c>
      <c r="H132" s="20">
        <f>IFERROR(INDEX('Kode Outlet dan Target Toko'!$D:$D,MATCH($I132,'Kode Outlet dan Target Toko'!$E:$E,0)),0)</f>
        <v>1178</v>
      </c>
      <c r="I132" s="41" t="s">
        <v>22</v>
      </c>
      <c r="J132" s="56" t="s">
        <v>256</v>
      </c>
      <c r="K132" s="53" t="s">
        <v>15</v>
      </c>
      <c r="L132" s="23">
        <v>3145</v>
      </c>
      <c r="M132" s="24">
        <v>27</v>
      </c>
      <c r="N132" s="25">
        <f t="shared" si="3"/>
        <v>84915</v>
      </c>
      <c r="O132" s="26">
        <v>120</v>
      </c>
    </row>
    <row r="133" spans="1:15" ht="15.75" hidden="1" customHeight="1" x14ac:dyDescent="0.3">
      <c r="A133" s="24">
        <v>23</v>
      </c>
      <c r="B133" s="20" t="str">
        <f t="shared" si="2"/>
        <v>JUN</v>
      </c>
      <c r="C133" s="21">
        <v>46179</v>
      </c>
      <c r="D133" s="22" t="str">
        <f t="array" ref="D133">IFERROR(INDEX('Kode Outlet dan Target Toko'!$A:$A,MATCH($I133,'Kode Outlet dan Target Toko'!$E:$E,0)),"")</f>
        <v>GRSM 3A</v>
      </c>
      <c r="E133" s="20" t="str">
        <f>IFERROR(VLOOKUP(I133,KET!$B:$F,4,0),"")</f>
        <v>FAHMI LUKMANUL HAKIM</v>
      </c>
      <c r="F133" s="20" t="str">
        <f>IFERROR(VLOOKUP(I133,KET!$B:$F,5,0),"")</f>
        <v>GMM</v>
      </c>
      <c r="G133" s="20">
        <f>IFERROR(INDEX('Kode Outlet dan Target Toko'!$C:$C,MATCH($I133,'Kode Outlet dan Target Toko'!$E:$E,0)),0)</f>
        <v>103272</v>
      </c>
      <c r="H133" s="20">
        <f>IFERROR(INDEX('Kode Outlet dan Target Toko'!$D:$D,MATCH($I133,'Kode Outlet dan Target Toko'!$E:$E,0)),0)</f>
        <v>1178</v>
      </c>
      <c r="I133" s="41" t="s">
        <v>22</v>
      </c>
      <c r="J133" s="56" t="s">
        <v>256</v>
      </c>
      <c r="K133" s="53" t="s">
        <v>14</v>
      </c>
      <c r="L133" s="23">
        <v>3145</v>
      </c>
      <c r="M133" s="24">
        <v>24</v>
      </c>
      <c r="N133" s="25">
        <f t="shared" si="3"/>
        <v>75480</v>
      </c>
      <c r="O133" s="26"/>
    </row>
    <row r="134" spans="1:15" ht="15.75" hidden="1" customHeight="1" x14ac:dyDescent="0.3">
      <c r="A134" s="24">
        <v>23</v>
      </c>
      <c r="B134" s="20" t="str">
        <f t="shared" si="2"/>
        <v>JUN</v>
      </c>
      <c r="C134" s="21">
        <v>46179</v>
      </c>
      <c r="D134" s="22" t="str">
        <f t="array" ref="D134">IFERROR(INDEX('Kode Outlet dan Target Toko'!$A:$A,MATCH($I134,'Kode Outlet dan Target Toko'!$E:$E,0)),"")</f>
        <v>GRSM 3A</v>
      </c>
      <c r="E134" s="20" t="str">
        <f>IFERROR(VLOOKUP(I134,KET!$B:$F,4,0),"")</f>
        <v>FAHMI LUKMANUL HAKIM</v>
      </c>
      <c r="F134" s="20" t="str">
        <f>IFERROR(VLOOKUP(I134,KET!$B:$F,5,0),"")</f>
        <v>GMM</v>
      </c>
      <c r="G134" s="20">
        <f>IFERROR(INDEX('Kode Outlet dan Target Toko'!$C:$C,MATCH($I134,'Kode Outlet dan Target Toko'!$E:$E,0)),0)</f>
        <v>103272</v>
      </c>
      <c r="H134" s="20">
        <f>IFERROR(INDEX('Kode Outlet dan Target Toko'!$D:$D,MATCH($I134,'Kode Outlet dan Target Toko'!$E:$E,0)),0)</f>
        <v>1178</v>
      </c>
      <c r="I134" s="41" t="s">
        <v>22</v>
      </c>
      <c r="J134" s="56" t="s">
        <v>256</v>
      </c>
      <c r="K134" s="53" t="s">
        <v>13</v>
      </c>
      <c r="L134" s="23">
        <v>3145</v>
      </c>
      <c r="M134" s="24">
        <v>24</v>
      </c>
      <c r="N134" s="25">
        <f t="shared" si="3"/>
        <v>75480</v>
      </c>
      <c r="O134" s="26"/>
    </row>
    <row r="135" spans="1:15" ht="15.75" hidden="1" customHeight="1" x14ac:dyDescent="0.3">
      <c r="A135" s="24">
        <v>23</v>
      </c>
      <c r="B135" s="20" t="str">
        <f t="shared" ref="B135:B198" si="4">IF(C135="","",UPPER(TEXT(C135, "MMM")))</f>
        <v>JUN</v>
      </c>
      <c r="C135" s="21">
        <v>46179</v>
      </c>
      <c r="D135" s="22" t="str">
        <f t="array" ref="D135">IFERROR(INDEX('Kode Outlet dan Target Toko'!$A:$A,MATCH($I135,'Kode Outlet dan Target Toko'!$E:$E,0)),"")</f>
        <v>GRSM 3A</v>
      </c>
      <c r="E135" s="20" t="str">
        <f>IFERROR(VLOOKUP(I135,KET!$B:$F,4,0),"")</f>
        <v>FAHMI LUKMANUL HAKIM</v>
      </c>
      <c r="F135" s="20" t="str">
        <f>IFERROR(VLOOKUP(I135,KET!$B:$F,5,0),"")</f>
        <v>GMM</v>
      </c>
      <c r="G135" s="20">
        <f>IFERROR(INDEX('Kode Outlet dan Target Toko'!$C:$C,MATCH($I135,'Kode Outlet dan Target Toko'!$E:$E,0)),0)</f>
        <v>103272</v>
      </c>
      <c r="H135" s="20">
        <f>IFERROR(INDEX('Kode Outlet dan Target Toko'!$D:$D,MATCH($I135,'Kode Outlet dan Target Toko'!$E:$E,0)),0)</f>
        <v>1178</v>
      </c>
      <c r="I135" s="41" t="s">
        <v>22</v>
      </c>
      <c r="J135" s="19" t="s">
        <v>256</v>
      </c>
      <c r="K135" s="53" t="s">
        <v>16</v>
      </c>
      <c r="L135" s="23">
        <v>3145</v>
      </c>
      <c r="M135" s="24">
        <v>63</v>
      </c>
      <c r="N135" s="25">
        <f t="shared" ref="N135:N198" si="5">IFERROR(M135*L135,"")</f>
        <v>198135</v>
      </c>
      <c r="O135" s="24"/>
    </row>
    <row r="136" spans="1:15" ht="15.75" hidden="1" customHeight="1" x14ac:dyDescent="0.3">
      <c r="A136" s="24">
        <v>23</v>
      </c>
      <c r="B136" s="20" t="str">
        <f t="shared" si="4"/>
        <v>JUN</v>
      </c>
      <c r="C136" s="21">
        <v>46179</v>
      </c>
      <c r="D136" s="22" t="str">
        <f t="array" ref="D136">IFERROR(INDEX('Kode Outlet dan Target Toko'!$A:$A,MATCH($I136,'Kode Outlet dan Target Toko'!$E:$E,0)),"")</f>
        <v>GRSM 4</v>
      </c>
      <c r="E136" s="20" t="str">
        <f>IFERROR(VLOOKUP(I136,KET!$B:$F,4,0),"")</f>
        <v>FAHMI LUKMANUL HAKIM</v>
      </c>
      <c r="F136" s="20" t="str">
        <f>IFERROR(VLOOKUP(I136,KET!$B:$F,5,0),"")</f>
        <v>GMM</v>
      </c>
      <c r="G136" s="20">
        <f>IFERROR(INDEX('Kode Outlet dan Target Toko'!$C:$C,MATCH($I136,'Kode Outlet dan Target Toko'!$E:$E,0)),0)</f>
        <v>189901</v>
      </c>
      <c r="H136" s="20">
        <f>IFERROR(INDEX('Kode Outlet dan Target Toko'!$D:$D,MATCH($I136,'Kode Outlet dan Target Toko'!$E:$E,0)),0)</f>
        <v>1602020</v>
      </c>
      <c r="I136" s="41" t="s">
        <v>20</v>
      </c>
      <c r="J136" s="45" t="s">
        <v>198</v>
      </c>
      <c r="K136" s="53" t="s">
        <v>15</v>
      </c>
      <c r="L136" s="23">
        <v>2200</v>
      </c>
      <c r="M136" s="24">
        <v>49</v>
      </c>
      <c r="N136" s="25">
        <f t="shared" si="5"/>
        <v>107800</v>
      </c>
      <c r="O136" s="24">
        <v>120</v>
      </c>
    </row>
    <row r="137" spans="1:15" ht="15.75" hidden="1" customHeight="1" x14ac:dyDescent="0.3">
      <c r="A137" s="24">
        <v>23</v>
      </c>
      <c r="B137" s="20" t="str">
        <f t="shared" si="4"/>
        <v>JUN</v>
      </c>
      <c r="C137" s="21">
        <v>46179</v>
      </c>
      <c r="D137" s="22" t="str">
        <f t="array" ref="D137">IFERROR(INDEX('Kode Outlet dan Target Toko'!$A:$A,MATCH($I137,'Kode Outlet dan Target Toko'!$E:$E,0)),"")</f>
        <v>GRSM 4</v>
      </c>
      <c r="E137" s="20" t="str">
        <f>IFERROR(VLOOKUP(I137,KET!$B:$F,4,0),"")</f>
        <v>FAHMI LUKMANUL HAKIM</v>
      </c>
      <c r="F137" s="20" t="str">
        <f>IFERROR(VLOOKUP(I137,KET!$B:$F,5,0),"")</f>
        <v>GMM</v>
      </c>
      <c r="G137" s="20">
        <f>IFERROR(INDEX('Kode Outlet dan Target Toko'!$C:$C,MATCH($I137,'Kode Outlet dan Target Toko'!$E:$E,0)),0)</f>
        <v>189901</v>
      </c>
      <c r="H137" s="20">
        <f>IFERROR(INDEX('Kode Outlet dan Target Toko'!$D:$D,MATCH($I137,'Kode Outlet dan Target Toko'!$E:$E,0)),0)</f>
        <v>1602020</v>
      </c>
      <c r="I137" s="41" t="s">
        <v>20</v>
      </c>
      <c r="J137" s="19" t="s">
        <v>198</v>
      </c>
      <c r="K137" s="53" t="s">
        <v>14</v>
      </c>
      <c r="L137" s="23">
        <v>2200</v>
      </c>
      <c r="M137" s="24">
        <v>85</v>
      </c>
      <c r="N137" s="25">
        <f t="shared" si="5"/>
        <v>187000</v>
      </c>
      <c r="O137" s="24"/>
    </row>
    <row r="138" spans="1:15" ht="15.75" hidden="1" customHeight="1" x14ac:dyDescent="0.3">
      <c r="A138" s="24">
        <v>23</v>
      </c>
      <c r="B138" s="20" t="str">
        <f t="shared" si="4"/>
        <v>JUN</v>
      </c>
      <c r="C138" s="21">
        <v>46179</v>
      </c>
      <c r="D138" s="22" t="str">
        <f t="array" ref="D138">IFERROR(INDEX('Kode Outlet dan Target Toko'!$A:$A,MATCH($I138,'Kode Outlet dan Target Toko'!$E:$E,0)),"")</f>
        <v>GRSM 4</v>
      </c>
      <c r="E138" s="20" t="str">
        <f>IFERROR(VLOOKUP(I138,KET!$B:$F,4,0),"")</f>
        <v>FAHMI LUKMANUL HAKIM</v>
      </c>
      <c r="F138" s="20" t="str">
        <f>IFERROR(VLOOKUP(I138,KET!$B:$F,5,0),"")</f>
        <v>GMM</v>
      </c>
      <c r="G138" s="20">
        <f>IFERROR(INDEX('Kode Outlet dan Target Toko'!$C:$C,MATCH($I138,'Kode Outlet dan Target Toko'!$E:$E,0)),0)</f>
        <v>189901</v>
      </c>
      <c r="H138" s="20">
        <f>IFERROR(INDEX('Kode Outlet dan Target Toko'!$D:$D,MATCH($I138,'Kode Outlet dan Target Toko'!$E:$E,0)),0)</f>
        <v>1602020</v>
      </c>
      <c r="I138" s="41" t="s">
        <v>20</v>
      </c>
      <c r="J138" s="56" t="s">
        <v>198</v>
      </c>
      <c r="K138" s="53" t="s">
        <v>13</v>
      </c>
      <c r="L138" s="23">
        <v>2200</v>
      </c>
      <c r="M138" s="24">
        <v>34</v>
      </c>
      <c r="N138" s="25">
        <f t="shared" si="5"/>
        <v>74800</v>
      </c>
      <c r="O138" s="26"/>
    </row>
    <row r="139" spans="1:15" ht="15.75" hidden="1" customHeight="1" x14ac:dyDescent="0.3">
      <c r="A139" s="24">
        <v>23</v>
      </c>
      <c r="B139" s="20" t="str">
        <f t="shared" si="4"/>
        <v>JUN</v>
      </c>
      <c r="C139" s="21">
        <v>46179</v>
      </c>
      <c r="D139" s="22" t="str">
        <f t="array" ref="D139">IFERROR(INDEX('Kode Outlet dan Target Toko'!$A:$A,MATCH($I139,'Kode Outlet dan Target Toko'!$E:$E,0)),"")</f>
        <v>GRSM 4</v>
      </c>
      <c r="E139" s="20" t="str">
        <f>IFERROR(VLOOKUP(I139,KET!$B:$F,4,0),"")</f>
        <v>FAHMI LUKMANUL HAKIM</v>
      </c>
      <c r="F139" s="20" t="str">
        <f>IFERROR(VLOOKUP(I139,KET!$B:$F,5,0),"")</f>
        <v>GMM</v>
      </c>
      <c r="G139" s="20">
        <f>IFERROR(INDEX('Kode Outlet dan Target Toko'!$C:$C,MATCH($I139,'Kode Outlet dan Target Toko'!$E:$E,0)),0)</f>
        <v>103259</v>
      </c>
      <c r="H139" s="20">
        <f>IFERROR(INDEX('Kode Outlet dan Target Toko'!$D:$D,MATCH($I139,'Kode Outlet dan Target Toko'!$E:$E,0)),0)</f>
        <v>9013525</v>
      </c>
      <c r="I139" s="41" t="s">
        <v>24</v>
      </c>
      <c r="J139" s="45" t="s">
        <v>188</v>
      </c>
      <c r="K139" s="53" t="s">
        <v>15</v>
      </c>
      <c r="L139" s="23">
        <v>1871</v>
      </c>
      <c r="M139" s="24">
        <v>90</v>
      </c>
      <c r="N139" s="25">
        <f t="shared" si="5"/>
        <v>168390</v>
      </c>
      <c r="O139" s="26">
        <v>120</v>
      </c>
    </row>
    <row r="140" spans="1:15" ht="15.75" hidden="1" customHeight="1" x14ac:dyDescent="0.3">
      <c r="A140" s="24">
        <v>23</v>
      </c>
      <c r="B140" s="20" t="str">
        <f t="shared" si="4"/>
        <v>JUN</v>
      </c>
      <c r="C140" s="21">
        <v>46180</v>
      </c>
      <c r="D140" s="22" t="str">
        <f t="array" ref="D140">IFERROR(INDEX('Kode Outlet dan Target Toko'!$A:$A,MATCH($I140,'Kode Outlet dan Target Toko'!$E:$E,0)),"")</f>
        <v>GRSM 4</v>
      </c>
      <c r="E140" s="20" t="str">
        <f>IFERROR(VLOOKUP(I140,KET!$B:$F,4,0),"")</f>
        <v>FAHMI LUKMANUL HAKIM</v>
      </c>
      <c r="F140" s="20" t="str">
        <f>IFERROR(VLOOKUP(I140,KET!$B:$F,5,0),"")</f>
        <v>GMM</v>
      </c>
      <c r="G140" s="20">
        <f>IFERROR(INDEX('Kode Outlet dan Target Toko'!$C:$C,MATCH($I140,'Kode Outlet dan Target Toko'!$E:$E,0)),0)</f>
        <v>103259</v>
      </c>
      <c r="H140" s="20">
        <f>IFERROR(INDEX('Kode Outlet dan Target Toko'!$D:$D,MATCH($I140,'Kode Outlet dan Target Toko'!$E:$E,0)),0)</f>
        <v>9013525</v>
      </c>
      <c r="I140" s="41" t="s">
        <v>24</v>
      </c>
      <c r="J140" s="45" t="s">
        <v>188</v>
      </c>
      <c r="K140" s="53" t="s">
        <v>14</v>
      </c>
      <c r="L140" s="23">
        <v>2000</v>
      </c>
      <c r="M140" s="24">
        <v>90</v>
      </c>
      <c r="N140" s="25">
        <f t="shared" si="5"/>
        <v>180000</v>
      </c>
      <c r="O140" s="26"/>
    </row>
    <row r="141" spans="1:15" ht="15.75" hidden="1" customHeight="1" x14ac:dyDescent="0.3">
      <c r="A141" s="24">
        <v>23</v>
      </c>
      <c r="B141" s="20" t="str">
        <f t="shared" si="4"/>
        <v>JUN</v>
      </c>
      <c r="C141" s="21">
        <v>46180</v>
      </c>
      <c r="D141" s="22" t="str">
        <f t="array" ref="D141">IFERROR(INDEX('Kode Outlet dan Target Toko'!$A:$A,MATCH($I141,'Kode Outlet dan Target Toko'!$E:$E,0)),"")</f>
        <v>GRSM 4</v>
      </c>
      <c r="E141" s="20" t="str">
        <f>IFERROR(VLOOKUP(I141,KET!$B:$F,4,0),"")</f>
        <v>FAHMI LUKMANUL HAKIM</v>
      </c>
      <c r="F141" s="20" t="str">
        <f>IFERROR(VLOOKUP(I141,KET!$B:$F,5,0),"")</f>
        <v>GMM</v>
      </c>
      <c r="G141" s="20">
        <f>IFERROR(INDEX('Kode Outlet dan Target Toko'!$C:$C,MATCH($I141,'Kode Outlet dan Target Toko'!$E:$E,0)),0)</f>
        <v>103259</v>
      </c>
      <c r="H141" s="20">
        <f>IFERROR(INDEX('Kode Outlet dan Target Toko'!$D:$D,MATCH($I141,'Kode Outlet dan Target Toko'!$E:$E,0)),0)</f>
        <v>9013525</v>
      </c>
      <c r="I141" s="41" t="s">
        <v>24</v>
      </c>
      <c r="J141" s="45" t="s">
        <v>188</v>
      </c>
      <c r="K141" s="53" t="s">
        <v>13</v>
      </c>
      <c r="L141" s="23">
        <v>2000</v>
      </c>
      <c r="M141" s="24">
        <v>72</v>
      </c>
      <c r="N141" s="25">
        <f t="shared" si="5"/>
        <v>144000</v>
      </c>
      <c r="O141" s="24"/>
    </row>
    <row r="142" spans="1:15" ht="15.75" hidden="1" customHeight="1" x14ac:dyDescent="0.3">
      <c r="A142" s="24">
        <v>23</v>
      </c>
      <c r="B142" s="20" t="str">
        <f t="shared" si="4"/>
        <v>JUN</v>
      </c>
      <c r="C142" s="21">
        <v>46180</v>
      </c>
      <c r="D142" s="22" t="str">
        <f t="array" ref="D142">IFERROR(INDEX('Kode Outlet dan Target Toko'!$A:$A,MATCH($I142,'Kode Outlet dan Target Toko'!$E:$E,0)),"")</f>
        <v>GRSM 4</v>
      </c>
      <c r="E142" s="20" t="str">
        <f>IFERROR(VLOOKUP(I142,KET!$B:$F,4,0),"")</f>
        <v>FAHMI LUKMANUL HAKIM</v>
      </c>
      <c r="F142" s="20" t="str">
        <f>IFERROR(VLOOKUP(I142,KET!$B:$F,5,0),"")</f>
        <v>GMM</v>
      </c>
      <c r="G142" s="20">
        <f>IFERROR(INDEX('Kode Outlet dan Target Toko'!$C:$C,MATCH($I142,'Kode Outlet dan Target Toko'!$E:$E,0)),0)</f>
        <v>103259</v>
      </c>
      <c r="H142" s="20">
        <f>IFERROR(INDEX('Kode Outlet dan Target Toko'!$D:$D,MATCH($I142,'Kode Outlet dan Target Toko'!$E:$E,0)),0)</f>
        <v>9013525</v>
      </c>
      <c r="I142" s="41" t="s">
        <v>24</v>
      </c>
      <c r="J142" s="45" t="s">
        <v>188</v>
      </c>
      <c r="K142" s="53" t="s">
        <v>14</v>
      </c>
      <c r="L142" s="23">
        <v>1875</v>
      </c>
      <c r="M142" s="24">
        <v>360</v>
      </c>
      <c r="N142" s="25">
        <f t="shared" si="5"/>
        <v>675000</v>
      </c>
      <c r="O142" s="24"/>
    </row>
    <row r="143" spans="1:15" ht="15.75" hidden="1" customHeight="1" x14ac:dyDescent="0.3">
      <c r="A143" s="24">
        <v>23</v>
      </c>
      <c r="B143" s="20" t="str">
        <f t="shared" si="4"/>
        <v>JUN</v>
      </c>
      <c r="C143" s="21">
        <v>46180</v>
      </c>
      <c r="D143" s="22" t="str">
        <f t="array" ref="D143">IFERROR(INDEX('Kode Outlet dan Target Toko'!$A:$A,MATCH($I143,'Kode Outlet dan Target Toko'!$E:$E,0)),"")</f>
        <v>GRSM 4</v>
      </c>
      <c r="E143" s="20" t="str">
        <f>IFERROR(VLOOKUP(I143,KET!$B:$F,4,0),"")</f>
        <v>FAHMI LUKMANUL HAKIM</v>
      </c>
      <c r="F143" s="20" t="str">
        <f>IFERROR(VLOOKUP(I143,KET!$B:$F,5,0),"")</f>
        <v>GMM</v>
      </c>
      <c r="G143" s="20">
        <f>IFERROR(INDEX('Kode Outlet dan Target Toko'!$C:$C,MATCH($I143,'Kode Outlet dan Target Toko'!$E:$E,0)),0)</f>
        <v>103259</v>
      </c>
      <c r="H143" s="20">
        <f>IFERROR(INDEX('Kode Outlet dan Target Toko'!$D:$D,MATCH($I143,'Kode Outlet dan Target Toko'!$E:$E,0)),0)</f>
        <v>9029389</v>
      </c>
      <c r="I143" s="41" t="s">
        <v>18</v>
      </c>
      <c r="J143" s="19" t="s">
        <v>255</v>
      </c>
      <c r="K143" s="53" t="s">
        <v>15</v>
      </c>
      <c r="L143" s="23">
        <v>2000</v>
      </c>
      <c r="M143" s="24">
        <v>72</v>
      </c>
      <c r="N143" s="25">
        <f t="shared" si="5"/>
        <v>144000</v>
      </c>
      <c r="O143" s="24">
        <v>160</v>
      </c>
    </row>
    <row r="144" spans="1:15" ht="15.75" hidden="1" customHeight="1" x14ac:dyDescent="0.3">
      <c r="A144" s="24">
        <v>23</v>
      </c>
      <c r="B144" s="20" t="str">
        <f t="shared" si="4"/>
        <v>JUN</v>
      </c>
      <c r="C144" s="21">
        <v>46180</v>
      </c>
      <c r="D144" s="22" t="str">
        <f t="array" ref="D144">IFERROR(INDEX('Kode Outlet dan Target Toko'!$A:$A,MATCH($I144,'Kode Outlet dan Target Toko'!$E:$E,0)),"")</f>
        <v>GRSM 4</v>
      </c>
      <c r="E144" s="20" t="str">
        <f>IFERROR(VLOOKUP(I144,KET!$B:$F,4,0),"")</f>
        <v>FAHMI LUKMANUL HAKIM</v>
      </c>
      <c r="F144" s="20" t="str">
        <f>IFERROR(VLOOKUP(I144,KET!$B:$F,5,0),"")</f>
        <v>GMM</v>
      </c>
      <c r="G144" s="20">
        <f>IFERROR(INDEX('Kode Outlet dan Target Toko'!$C:$C,MATCH($I144,'Kode Outlet dan Target Toko'!$E:$E,0)),0)</f>
        <v>103259</v>
      </c>
      <c r="H144" s="20">
        <f>IFERROR(INDEX('Kode Outlet dan Target Toko'!$D:$D,MATCH($I144,'Kode Outlet dan Target Toko'!$E:$E,0)),0)</f>
        <v>9029389</v>
      </c>
      <c r="I144" s="50" t="s">
        <v>18</v>
      </c>
      <c r="J144" s="19" t="s">
        <v>255</v>
      </c>
      <c r="K144" s="53" t="s">
        <v>13</v>
      </c>
      <c r="L144" s="23">
        <v>2000</v>
      </c>
      <c r="M144" s="24">
        <v>63</v>
      </c>
      <c r="N144" s="25">
        <f t="shared" si="5"/>
        <v>126000</v>
      </c>
      <c r="O144" s="24"/>
    </row>
    <row r="145" spans="1:15" ht="15.75" hidden="1" customHeight="1" x14ac:dyDescent="0.3">
      <c r="A145" s="24">
        <v>23</v>
      </c>
      <c r="B145" s="20" t="str">
        <f t="shared" si="4"/>
        <v>JUN</v>
      </c>
      <c r="C145" s="21">
        <v>46180</v>
      </c>
      <c r="D145" s="22" t="str">
        <f t="array" ref="D145">IFERROR(INDEX('Kode Outlet dan Target Toko'!$A:$A,MATCH($I145,'Kode Outlet dan Target Toko'!$E:$E,0)),"")</f>
        <v>GRSM 4</v>
      </c>
      <c r="E145" s="20" t="str">
        <f>IFERROR(VLOOKUP(I145,KET!$B:$F,4,0),"")</f>
        <v>FAHMI LUKMANUL HAKIM</v>
      </c>
      <c r="F145" s="20" t="str">
        <f>IFERROR(VLOOKUP(I145,KET!$B:$F,5,0),"")</f>
        <v>GMM</v>
      </c>
      <c r="G145" s="20">
        <f>IFERROR(INDEX('Kode Outlet dan Target Toko'!$C:$C,MATCH($I145,'Kode Outlet dan Target Toko'!$E:$E,0)),0)</f>
        <v>103259</v>
      </c>
      <c r="H145" s="20">
        <f>IFERROR(INDEX('Kode Outlet dan Target Toko'!$D:$D,MATCH($I145,'Kode Outlet dan Target Toko'!$E:$E,0)),0)</f>
        <v>9029389</v>
      </c>
      <c r="I145" s="50" t="s">
        <v>18</v>
      </c>
      <c r="J145" s="19" t="s">
        <v>255</v>
      </c>
      <c r="K145" s="53" t="s">
        <v>13</v>
      </c>
      <c r="L145" s="23">
        <v>2000</v>
      </c>
      <c r="M145" s="24">
        <v>33</v>
      </c>
      <c r="N145" s="25">
        <f t="shared" si="5"/>
        <v>66000</v>
      </c>
      <c r="O145" s="24"/>
    </row>
    <row r="146" spans="1:15" ht="15.75" hidden="1" customHeight="1" x14ac:dyDescent="0.3">
      <c r="A146" s="24">
        <v>23</v>
      </c>
      <c r="B146" s="20" t="str">
        <f t="shared" si="4"/>
        <v>JUN</v>
      </c>
      <c r="C146" s="21">
        <v>46180</v>
      </c>
      <c r="D146" s="22" t="str">
        <f t="array" ref="D146">IFERROR(INDEX('Kode Outlet dan Target Toko'!$A:$A,MATCH($I146,'Kode Outlet dan Target Toko'!$E:$E,0)),"")</f>
        <v>GRSM 4</v>
      </c>
      <c r="E146" s="20" t="str">
        <f>IFERROR(VLOOKUP(I146,KET!$B:$F,4,0),"")</f>
        <v>FAHMI LUKMANUL HAKIM</v>
      </c>
      <c r="F146" s="20" t="str">
        <f>IFERROR(VLOOKUP(I146,KET!$B:$F,5,0),"")</f>
        <v>GMM</v>
      </c>
      <c r="G146" s="20">
        <f>IFERROR(INDEX('Kode Outlet dan Target Toko'!$C:$C,MATCH($I146,'Kode Outlet dan Target Toko'!$E:$E,0)),0)</f>
        <v>103259</v>
      </c>
      <c r="H146" s="20">
        <f>IFERROR(INDEX('Kode Outlet dan Target Toko'!$D:$D,MATCH($I146,'Kode Outlet dan Target Toko'!$E:$E,0)),0)</f>
        <v>9029389</v>
      </c>
      <c r="I146" s="50" t="s">
        <v>18</v>
      </c>
      <c r="J146" s="19" t="s">
        <v>255</v>
      </c>
      <c r="K146" s="53" t="s">
        <v>16</v>
      </c>
      <c r="L146" s="23">
        <v>2000</v>
      </c>
      <c r="M146" s="24">
        <v>111</v>
      </c>
      <c r="N146" s="25">
        <f t="shared" si="5"/>
        <v>222000</v>
      </c>
      <c r="O146" s="24"/>
    </row>
    <row r="147" spans="1:15" ht="15.75" hidden="1" customHeight="1" x14ac:dyDescent="0.3">
      <c r="A147" s="24">
        <v>23</v>
      </c>
      <c r="B147" s="20" t="str">
        <f t="shared" si="4"/>
        <v>JUN</v>
      </c>
      <c r="C147" s="21">
        <v>46180</v>
      </c>
      <c r="D147" s="22" t="str">
        <f t="array" ref="D147">IFERROR(INDEX('Kode Outlet dan Target Toko'!$A:$A,MATCH($I147,'Kode Outlet dan Target Toko'!$E:$E,0)),"")</f>
        <v>GRSM 4</v>
      </c>
      <c r="E147" s="20" t="str">
        <f>IFERROR(VLOOKUP(I147,KET!$B:$F,4,0),"")</f>
        <v>FAHMI LUKMANUL HAKIM</v>
      </c>
      <c r="F147" s="20" t="str">
        <f>IFERROR(VLOOKUP(I147,KET!$B:$F,5,0),"")</f>
        <v>GMM</v>
      </c>
      <c r="G147" s="20">
        <f>IFERROR(INDEX('Kode Outlet dan Target Toko'!$C:$C,MATCH($I147,'Kode Outlet dan Target Toko'!$E:$E,0)),0)</f>
        <v>103259</v>
      </c>
      <c r="H147" s="20">
        <f>IFERROR(INDEX('Kode Outlet dan Target Toko'!$D:$D,MATCH($I147,'Kode Outlet dan Target Toko'!$E:$E,0)),0)</f>
        <v>9029389</v>
      </c>
      <c r="I147" s="50" t="s">
        <v>18</v>
      </c>
      <c r="J147" s="19" t="s">
        <v>196</v>
      </c>
      <c r="K147" s="53" t="s">
        <v>15</v>
      </c>
      <c r="L147" s="23">
        <v>2000</v>
      </c>
      <c r="M147" s="24">
        <v>60</v>
      </c>
      <c r="N147" s="25">
        <f t="shared" si="5"/>
        <v>120000</v>
      </c>
      <c r="O147" s="24">
        <v>160</v>
      </c>
    </row>
    <row r="148" spans="1:15" ht="15.75" hidden="1" customHeight="1" x14ac:dyDescent="0.3">
      <c r="A148" s="24">
        <v>23</v>
      </c>
      <c r="B148" s="20" t="str">
        <f t="shared" si="4"/>
        <v>JUN</v>
      </c>
      <c r="C148" s="21">
        <v>46180</v>
      </c>
      <c r="D148" s="22" t="str">
        <f t="array" ref="D148">IFERROR(INDEX('Kode Outlet dan Target Toko'!$A:$A,MATCH($I148,'Kode Outlet dan Target Toko'!$E:$E,0)),"")</f>
        <v>GRSM 4</v>
      </c>
      <c r="E148" s="20" t="str">
        <f>IFERROR(VLOOKUP(I148,KET!$B:$F,4,0),"")</f>
        <v>FAHMI LUKMANUL HAKIM</v>
      </c>
      <c r="F148" s="20" t="str">
        <f>IFERROR(VLOOKUP(I148,KET!$B:$F,5,0),"")</f>
        <v>GMM</v>
      </c>
      <c r="G148" s="20">
        <f>IFERROR(INDEX('Kode Outlet dan Target Toko'!$C:$C,MATCH($I148,'Kode Outlet dan Target Toko'!$E:$E,0)),0)</f>
        <v>103259</v>
      </c>
      <c r="H148" s="20">
        <f>IFERROR(INDEX('Kode Outlet dan Target Toko'!$D:$D,MATCH($I148,'Kode Outlet dan Target Toko'!$E:$E,0)),0)</f>
        <v>9029389</v>
      </c>
      <c r="I148" s="50" t="s">
        <v>18</v>
      </c>
      <c r="J148" s="19" t="s">
        <v>196</v>
      </c>
      <c r="K148" s="53" t="s">
        <v>14</v>
      </c>
      <c r="L148" s="23">
        <v>2000</v>
      </c>
      <c r="M148" s="24">
        <v>54</v>
      </c>
      <c r="N148" s="25">
        <f t="shared" si="5"/>
        <v>108000</v>
      </c>
      <c r="O148" s="24"/>
    </row>
    <row r="149" spans="1:15" ht="15.75" hidden="1" customHeight="1" x14ac:dyDescent="0.3">
      <c r="A149" s="24">
        <v>23</v>
      </c>
      <c r="B149" s="20" t="str">
        <f t="shared" si="4"/>
        <v>JUN</v>
      </c>
      <c r="C149" s="21">
        <v>46180</v>
      </c>
      <c r="D149" s="22" t="str">
        <f t="array" ref="D149">IFERROR(INDEX('Kode Outlet dan Target Toko'!$A:$A,MATCH($I149,'Kode Outlet dan Target Toko'!$E:$E,0)),"")</f>
        <v>GRSM 4</v>
      </c>
      <c r="E149" s="20" t="str">
        <f>IFERROR(VLOOKUP(I149,KET!$B:$F,4,0),"")</f>
        <v>FAHMI LUKMANUL HAKIM</v>
      </c>
      <c r="F149" s="20" t="str">
        <f>IFERROR(VLOOKUP(I149,KET!$B:$F,5,0),"")</f>
        <v>GMM</v>
      </c>
      <c r="G149" s="20">
        <f>IFERROR(INDEX('Kode Outlet dan Target Toko'!$C:$C,MATCH($I149,'Kode Outlet dan Target Toko'!$E:$E,0)),0)</f>
        <v>103259</v>
      </c>
      <c r="H149" s="20">
        <f>IFERROR(INDEX('Kode Outlet dan Target Toko'!$D:$D,MATCH($I149,'Kode Outlet dan Target Toko'!$E:$E,0)),0)</f>
        <v>9029389</v>
      </c>
      <c r="I149" s="50" t="s">
        <v>18</v>
      </c>
      <c r="J149" s="19" t="s">
        <v>196</v>
      </c>
      <c r="K149" s="53" t="s">
        <v>13</v>
      </c>
      <c r="L149" s="23">
        <v>2000</v>
      </c>
      <c r="M149" s="24">
        <v>27</v>
      </c>
      <c r="N149" s="25">
        <f t="shared" si="5"/>
        <v>54000</v>
      </c>
      <c r="O149" s="24"/>
    </row>
    <row r="150" spans="1:15" ht="15.75" hidden="1" customHeight="1" x14ac:dyDescent="0.3">
      <c r="A150" s="24">
        <v>23</v>
      </c>
      <c r="B150" s="20" t="str">
        <f t="shared" si="4"/>
        <v>JUN</v>
      </c>
      <c r="C150" s="21">
        <v>46180</v>
      </c>
      <c r="D150" s="22" t="str">
        <f t="array" ref="D150">IFERROR(INDEX('Kode Outlet dan Target Toko'!$A:$A,MATCH($I150,'Kode Outlet dan Target Toko'!$E:$E,0)),"")</f>
        <v>GRSM 4</v>
      </c>
      <c r="E150" s="20" t="str">
        <f>IFERROR(VLOOKUP(I150,KET!$B:$F,4,0),"")</f>
        <v>FAHMI LUKMANUL HAKIM</v>
      </c>
      <c r="F150" s="20" t="str">
        <f>IFERROR(VLOOKUP(I150,KET!$B:$F,5,0),"")</f>
        <v>GMM</v>
      </c>
      <c r="G150" s="20">
        <f>IFERROR(INDEX('Kode Outlet dan Target Toko'!$C:$C,MATCH($I150,'Kode Outlet dan Target Toko'!$E:$E,0)),0)</f>
        <v>103259</v>
      </c>
      <c r="H150" s="20">
        <f>IFERROR(INDEX('Kode Outlet dan Target Toko'!$D:$D,MATCH($I150,'Kode Outlet dan Target Toko'!$E:$E,0)),0)</f>
        <v>9029389</v>
      </c>
      <c r="I150" s="50" t="s">
        <v>18</v>
      </c>
      <c r="J150" s="19" t="s">
        <v>196</v>
      </c>
      <c r="K150" s="53" t="s">
        <v>16</v>
      </c>
      <c r="L150" s="23">
        <v>2000</v>
      </c>
      <c r="M150" s="24">
        <v>60</v>
      </c>
      <c r="N150" s="25">
        <f t="shared" si="5"/>
        <v>120000</v>
      </c>
      <c r="O150" s="24"/>
    </row>
    <row r="151" spans="1:15" ht="15.75" hidden="1" customHeight="1" x14ac:dyDescent="0.3">
      <c r="A151" s="24">
        <v>23</v>
      </c>
      <c r="B151" s="20" t="str">
        <f t="shared" si="4"/>
        <v>JUN</v>
      </c>
      <c r="C151" s="21">
        <v>46180</v>
      </c>
      <c r="D151" s="22" t="str">
        <f t="array" ref="D151">IFERROR(INDEX('Kode Outlet dan Target Toko'!$A:$A,MATCH($I151,'Kode Outlet dan Target Toko'!$E:$E,0)),"")</f>
        <v>GRSM 4</v>
      </c>
      <c r="E151" s="20" t="str">
        <f>IFERROR(VLOOKUP(I151,KET!$B:$F,4,0),"")</f>
        <v>FAHMI LUKMANUL HAKIM</v>
      </c>
      <c r="F151" s="20" t="str">
        <f>IFERROR(VLOOKUP(I151,KET!$B:$F,5,0),"")</f>
        <v>GMM</v>
      </c>
      <c r="G151" s="20">
        <f>IFERROR(INDEX('Kode Outlet dan Target Toko'!$C:$C,MATCH($I151,'Kode Outlet dan Target Toko'!$E:$E,0)),0)</f>
        <v>103277</v>
      </c>
      <c r="H151" s="20">
        <f>IFERROR(INDEX('Kode Outlet dan Target Toko'!$D:$D,MATCH($I151,'Kode Outlet dan Target Toko'!$E:$E,0)),0)</f>
        <v>6300538</v>
      </c>
      <c r="I151" s="50" t="s">
        <v>19</v>
      </c>
      <c r="J151" s="19" t="s">
        <v>252</v>
      </c>
      <c r="K151" s="53" t="s">
        <v>15</v>
      </c>
      <c r="L151" s="23">
        <v>2975</v>
      </c>
      <c r="M151" s="24">
        <v>47</v>
      </c>
      <c r="N151" s="25">
        <f t="shared" si="5"/>
        <v>139825</v>
      </c>
      <c r="O151" s="24">
        <v>160</v>
      </c>
    </row>
    <row r="152" spans="1:15" ht="15.75" hidden="1" customHeight="1" x14ac:dyDescent="0.3">
      <c r="A152" s="24">
        <v>23</v>
      </c>
      <c r="B152" s="20" t="str">
        <f t="shared" si="4"/>
        <v>JUN</v>
      </c>
      <c r="C152" s="21">
        <v>46180</v>
      </c>
      <c r="D152" s="22" t="str">
        <f t="array" ref="D152">IFERROR(INDEX('Kode Outlet dan Target Toko'!$A:$A,MATCH($I152,'Kode Outlet dan Target Toko'!$E:$E,0)),"")</f>
        <v>GRSM 4</v>
      </c>
      <c r="E152" s="20" t="str">
        <f>IFERROR(VLOOKUP(I152,KET!$B:$F,4,0),"")</f>
        <v>FAHMI LUKMANUL HAKIM</v>
      </c>
      <c r="F152" s="20" t="str">
        <f>IFERROR(VLOOKUP(I152,KET!$B:$F,5,0),"")</f>
        <v>GMM</v>
      </c>
      <c r="G152" s="20">
        <f>IFERROR(INDEX('Kode Outlet dan Target Toko'!$C:$C,MATCH($I152,'Kode Outlet dan Target Toko'!$E:$E,0)),0)</f>
        <v>103277</v>
      </c>
      <c r="H152" s="20">
        <f>IFERROR(INDEX('Kode Outlet dan Target Toko'!$D:$D,MATCH($I152,'Kode Outlet dan Target Toko'!$E:$E,0)),0)</f>
        <v>6300538</v>
      </c>
      <c r="I152" s="50" t="s">
        <v>19</v>
      </c>
      <c r="J152" s="19" t="s">
        <v>252</v>
      </c>
      <c r="K152" s="53" t="s">
        <v>14</v>
      </c>
      <c r="L152" s="23">
        <v>2975</v>
      </c>
      <c r="M152" s="24">
        <v>45</v>
      </c>
      <c r="N152" s="25">
        <f t="shared" si="5"/>
        <v>133875</v>
      </c>
      <c r="O152" s="24"/>
    </row>
    <row r="153" spans="1:15" ht="15.75" hidden="1" customHeight="1" x14ac:dyDescent="0.3">
      <c r="A153" s="24">
        <v>23</v>
      </c>
      <c r="B153" s="20" t="str">
        <f t="shared" si="4"/>
        <v>JUN</v>
      </c>
      <c r="C153" s="21">
        <v>46180</v>
      </c>
      <c r="D153" s="22" t="str">
        <f t="array" ref="D153">IFERROR(INDEX('Kode Outlet dan Target Toko'!$A:$A,MATCH($I153,'Kode Outlet dan Target Toko'!$E:$E,0)),"")</f>
        <v>GRSM 4</v>
      </c>
      <c r="E153" s="20" t="str">
        <f>IFERROR(VLOOKUP(I153,KET!$B:$F,4,0),"")</f>
        <v>FAHMI LUKMANUL HAKIM</v>
      </c>
      <c r="F153" s="20" t="str">
        <f>IFERROR(VLOOKUP(I153,KET!$B:$F,5,0),"")</f>
        <v>GMM</v>
      </c>
      <c r="G153" s="20">
        <f>IFERROR(INDEX('Kode Outlet dan Target Toko'!$C:$C,MATCH($I153,'Kode Outlet dan Target Toko'!$E:$E,0)),0)</f>
        <v>103277</v>
      </c>
      <c r="H153" s="20">
        <f>IFERROR(INDEX('Kode Outlet dan Target Toko'!$D:$D,MATCH($I153,'Kode Outlet dan Target Toko'!$E:$E,0)),0)</f>
        <v>6300538</v>
      </c>
      <c r="I153" s="50" t="s">
        <v>19</v>
      </c>
      <c r="J153" s="19" t="s">
        <v>252</v>
      </c>
      <c r="K153" s="53" t="s">
        <v>13</v>
      </c>
      <c r="L153" s="23">
        <v>2975</v>
      </c>
      <c r="M153" s="24">
        <v>28</v>
      </c>
      <c r="N153" s="25">
        <f t="shared" si="5"/>
        <v>83300</v>
      </c>
      <c r="O153" s="24"/>
    </row>
    <row r="154" spans="1:15" ht="15.75" hidden="1" customHeight="1" x14ac:dyDescent="0.3">
      <c r="A154" s="24">
        <v>23</v>
      </c>
      <c r="B154" s="20" t="str">
        <f t="shared" si="4"/>
        <v>JUN</v>
      </c>
      <c r="C154" s="21">
        <v>46180</v>
      </c>
      <c r="D154" s="22" t="str">
        <f t="array" ref="D154">IFERROR(INDEX('Kode Outlet dan Target Toko'!$A:$A,MATCH($I154,'Kode Outlet dan Target Toko'!$E:$E,0)),"")</f>
        <v>GRSM 4</v>
      </c>
      <c r="E154" s="20" t="str">
        <f>IFERROR(VLOOKUP(I154,KET!$B:$F,4,0),"")</f>
        <v>FAHMI LUKMANUL HAKIM</v>
      </c>
      <c r="F154" s="20" t="str">
        <f>IFERROR(VLOOKUP(I154,KET!$B:$F,5,0),"")</f>
        <v>GMM</v>
      </c>
      <c r="G154" s="20">
        <f>IFERROR(INDEX('Kode Outlet dan Target Toko'!$C:$C,MATCH($I154,'Kode Outlet dan Target Toko'!$E:$E,0)),0)</f>
        <v>103277</v>
      </c>
      <c r="H154" s="20">
        <f>IFERROR(INDEX('Kode Outlet dan Target Toko'!$D:$D,MATCH($I154,'Kode Outlet dan Target Toko'!$E:$E,0)),0)</f>
        <v>6300538</v>
      </c>
      <c r="I154" s="50" t="s">
        <v>19</v>
      </c>
      <c r="J154" s="19" t="s">
        <v>252</v>
      </c>
      <c r="K154" s="53" t="s">
        <v>16</v>
      </c>
      <c r="L154" s="23">
        <v>2975</v>
      </c>
      <c r="M154" s="24">
        <v>185</v>
      </c>
      <c r="N154" s="25">
        <f t="shared" si="5"/>
        <v>550375</v>
      </c>
      <c r="O154" s="24"/>
    </row>
    <row r="155" spans="1:15" ht="15.75" hidden="1" customHeight="1" x14ac:dyDescent="0.3">
      <c r="A155" s="24">
        <v>23</v>
      </c>
      <c r="B155" s="20" t="str">
        <f t="shared" si="4"/>
        <v>JUN</v>
      </c>
      <c r="C155" s="21">
        <v>46180</v>
      </c>
      <c r="D155" s="22" t="str">
        <f t="array" ref="D155">IFERROR(INDEX('Kode Outlet dan Target Toko'!$A:$A,MATCH($I155,'Kode Outlet dan Target Toko'!$E:$E,0)),"")</f>
        <v>GRSM 4</v>
      </c>
      <c r="E155" s="20" t="str">
        <f>IFERROR(VLOOKUP(I155,KET!$B:$F,4,0),"")</f>
        <v>FAHMI LUKMANUL HAKIM</v>
      </c>
      <c r="F155" s="20" t="str">
        <f>IFERROR(VLOOKUP(I155,KET!$B:$F,5,0),"")</f>
        <v>GMM</v>
      </c>
      <c r="G155" s="20">
        <f>IFERROR(INDEX('Kode Outlet dan Target Toko'!$C:$C,MATCH($I155,'Kode Outlet dan Target Toko'!$E:$E,0)),0)</f>
        <v>103277</v>
      </c>
      <c r="H155" s="20">
        <f>IFERROR(INDEX('Kode Outlet dan Target Toko'!$D:$D,MATCH($I155,'Kode Outlet dan Target Toko'!$E:$E,0)),0)</f>
        <v>6300538</v>
      </c>
      <c r="I155" s="50" t="s">
        <v>19</v>
      </c>
      <c r="J155" s="19" t="s">
        <v>251</v>
      </c>
      <c r="K155" s="53" t="s">
        <v>15</v>
      </c>
      <c r="L155" s="23">
        <v>2975</v>
      </c>
      <c r="M155" s="24">
        <v>53</v>
      </c>
      <c r="N155" s="25">
        <f t="shared" si="5"/>
        <v>157675</v>
      </c>
      <c r="O155" s="24">
        <v>155</v>
      </c>
    </row>
    <row r="156" spans="1:15" ht="15.75" hidden="1" customHeight="1" x14ac:dyDescent="0.3">
      <c r="A156" s="24">
        <v>23</v>
      </c>
      <c r="B156" s="20" t="str">
        <f t="shared" si="4"/>
        <v>JUN</v>
      </c>
      <c r="C156" s="21">
        <v>46180</v>
      </c>
      <c r="D156" s="22" t="str">
        <f t="array" ref="D156">IFERROR(INDEX('Kode Outlet dan Target Toko'!$A:$A,MATCH($I156,'Kode Outlet dan Target Toko'!$E:$E,0)),"")</f>
        <v>GRSM 4</v>
      </c>
      <c r="E156" s="20" t="str">
        <f>IFERROR(VLOOKUP(I156,KET!$B:$F,4,0),"")</f>
        <v>FAHMI LUKMANUL HAKIM</v>
      </c>
      <c r="F156" s="20" t="str">
        <f>IFERROR(VLOOKUP(I156,KET!$B:$F,5,0),"")</f>
        <v>GMM</v>
      </c>
      <c r="G156" s="20">
        <f>IFERROR(INDEX('Kode Outlet dan Target Toko'!$C:$C,MATCH($I156,'Kode Outlet dan Target Toko'!$E:$E,0)),0)</f>
        <v>103277</v>
      </c>
      <c r="H156" s="20">
        <f>IFERROR(INDEX('Kode Outlet dan Target Toko'!$D:$D,MATCH($I156,'Kode Outlet dan Target Toko'!$E:$E,0)),0)</f>
        <v>6300538</v>
      </c>
      <c r="I156" s="50" t="s">
        <v>19</v>
      </c>
      <c r="J156" s="19" t="s">
        <v>251</v>
      </c>
      <c r="K156" s="53" t="s">
        <v>14</v>
      </c>
      <c r="L156" s="23">
        <v>2975</v>
      </c>
      <c r="M156" s="24">
        <v>41</v>
      </c>
      <c r="N156" s="25">
        <f t="shared" si="5"/>
        <v>121975</v>
      </c>
      <c r="O156" s="24"/>
    </row>
    <row r="157" spans="1:15" ht="15.75" hidden="1" customHeight="1" x14ac:dyDescent="0.3">
      <c r="A157" s="24">
        <v>23</v>
      </c>
      <c r="B157" s="20" t="str">
        <f t="shared" si="4"/>
        <v>JUN</v>
      </c>
      <c r="C157" s="21">
        <v>46180</v>
      </c>
      <c r="D157" s="22" t="str">
        <f t="array" ref="D157">IFERROR(INDEX('Kode Outlet dan Target Toko'!$A:$A,MATCH($I157,'Kode Outlet dan Target Toko'!$E:$E,0)),"")</f>
        <v>GRSM 4</v>
      </c>
      <c r="E157" s="20" t="str">
        <f>IFERROR(VLOOKUP(I157,KET!$B:$F,4,0),"")</f>
        <v>FAHMI LUKMANUL HAKIM</v>
      </c>
      <c r="F157" s="20" t="str">
        <f>IFERROR(VLOOKUP(I157,KET!$B:$F,5,0),"")</f>
        <v>GMM</v>
      </c>
      <c r="G157" s="20">
        <f>IFERROR(INDEX('Kode Outlet dan Target Toko'!$C:$C,MATCH($I157,'Kode Outlet dan Target Toko'!$E:$E,0)),0)</f>
        <v>103277</v>
      </c>
      <c r="H157" s="20">
        <f>IFERROR(INDEX('Kode Outlet dan Target Toko'!$D:$D,MATCH($I157,'Kode Outlet dan Target Toko'!$E:$E,0)),0)</f>
        <v>6300538</v>
      </c>
      <c r="I157" s="50" t="s">
        <v>19</v>
      </c>
      <c r="J157" s="19" t="s">
        <v>251</v>
      </c>
      <c r="K157" s="53" t="s">
        <v>13</v>
      </c>
      <c r="L157" s="23">
        <v>2975</v>
      </c>
      <c r="M157" s="24">
        <v>39</v>
      </c>
      <c r="N157" s="25">
        <f t="shared" si="5"/>
        <v>116025</v>
      </c>
      <c r="O157" s="24"/>
    </row>
    <row r="158" spans="1:15" ht="15.75" hidden="1" customHeight="1" x14ac:dyDescent="0.3">
      <c r="A158" s="24">
        <v>23</v>
      </c>
      <c r="B158" s="20" t="str">
        <f t="shared" si="4"/>
        <v>JUN</v>
      </c>
      <c r="C158" s="21">
        <v>46180</v>
      </c>
      <c r="D158" s="22" t="str">
        <f t="array" ref="D158">IFERROR(INDEX('Kode Outlet dan Target Toko'!$A:$A,MATCH($I158,'Kode Outlet dan Target Toko'!$E:$E,0)),"")</f>
        <v>GRSM 4</v>
      </c>
      <c r="E158" s="20" t="str">
        <f>IFERROR(VLOOKUP(I158,KET!$B:$F,4,0),"")</f>
        <v>FAHMI LUKMANUL HAKIM</v>
      </c>
      <c r="F158" s="20" t="str">
        <f>IFERROR(VLOOKUP(I158,KET!$B:$F,5,0),"")</f>
        <v>GMM</v>
      </c>
      <c r="G158" s="20">
        <f>IFERROR(INDEX('Kode Outlet dan Target Toko'!$C:$C,MATCH($I158,'Kode Outlet dan Target Toko'!$E:$E,0)),0)</f>
        <v>103277</v>
      </c>
      <c r="H158" s="20">
        <f>IFERROR(INDEX('Kode Outlet dan Target Toko'!$D:$D,MATCH($I158,'Kode Outlet dan Target Toko'!$E:$E,0)),0)</f>
        <v>6300538</v>
      </c>
      <c r="I158" s="50" t="s">
        <v>19</v>
      </c>
      <c r="J158" s="19" t="s">
        <v>251</v>
      </c>
      <c r="K158" s="53" t="s">
        <v>16</v>
      </c>
      <c r="L158" s="23">
        <v>2975</v>
      </c>
      <c r="M158" s="24">
        <v>172</v>
      </c>
      <c r="N158" s="25">
        <f t="shared" si="5"/>
        <v>511700</v>
      </c>
      <c r="O158" s="24"/>
    </row>
    <row r="159" spans="1:15" ht="15.75" hidden="1" customHeight="1" x14ac:dyDescent="0.3">
      <c r="A159" s="24">
        <v>23</v>
      </c>
      <c r="B159" s="20" t="str">
        <f t="shared" si="4"/>
        <v>JUN</v>
      </c>
      <c r="C159" s="21">
        <v>46180</v>
      </c>
      <c r="D159" s="22" t="str">
        <f t="array" ref="D159">IFERROR(INDEX('Kode Outlet dan Target Toko'!$A:$A,MATCH($I159,'Kode Outlet dan Target Toko'!$E:$E,0)),"")</f>
        <v>GRSM 4</v>
      </c>
      <c r="E159" s="20" t="str">
        <f>IFERROR(VLOOKUP(I159,KET!$B:$F,4,0),"")</f>
        <v>FAHMI LUKMANUL HAKIM</v>
      </c>
      <c r="F159" s="20" t="str">
        <f>IFERROR(VLOOKUP(I159,KET!$B:$F,5,0),"")</f>
        <v>GMM</v>
      </c>
      <c r="G159" s="20">
        <f>IFERROR(INDEX('Kode Outlet dan Target Toko'!$C:$C,MATCH($I159,'Kode Outlet dan Target Toko'!$E:$E,0)),0)</f>
        <v>103257</v>
      </c>
      <c r="H159" s="20">
        <f>IFERROR(INDEX('Kode Outlet dan Target Toko'!$D:$D,MATCH($I159,'Kode Outlet dan Target Toko'!$E:$E,0)),0)</f>
        <v>9162509</v>
      </c>
      <c r="I159" s="41" t="s">
        <v>23</v>
      </c>
      <c r="J159" s="56" t="s">
        <v>181</v>
      </c>
      <c r="K159" s="53" t="s">
        <v>15</v>
      </c>
      <c r="L159" s="23">
        <v>3200</v>
      </c>
      <c r="M159" s="24">
        <v>35</v>
      </c>
      <c r="N159" s="25">
        <f t="shared" si="5"/>
        <v>112000</v>
      </c>
      <c r="O159" s="24">
        <v>155</v>
      </c>
    </row>
    <row r="160" spans="1:15" ht="15.75" hidden="1" customHeight="1" x14ac:dyDescent="0.3">
      <c r="A160" s="24">
        <v>23</v>
      </c>
      <c r="B160" s="20" t="str">
        <f t="shared" si="4"/>
        <v>JUN</v>
      </c>
      <c r="C160" s="21">
        <v>46180</v>
      </c>
      <c r="D160" s="22" t="str">
        <f t="array" ref="D160">IFERROR(INDEX('Kode Outlet dan Target Toko'!$A:$A,MATCH($I160,'Kode Outlet dan Target Toko'!$E:$E,0)),"")</f>
        <v>GRSM 4</v>
      </c>
      <c r="E160" s="20" t="str">
        <f>IFERROR(VLOOKUP(I160,KET!$B:$F,4,0),"")</f>
        <v>FAHMI LUKMANUL HAKIM</v>
      </c>
      <c r="F160" s="20" t="str">
        <f>IFERROR(VLOOKUP(I160,KET!$B:$F,5,0),"")</f>
        <v>GMM</v>
      </c>
      <c r="G160" s="20">
        <f>IFERROR(INDEX('Kode Outlet dan Target Toko'!$C:$C,MATCH($I160,'Kode Outlet dan Target Toko'!$E:$E,0)),0)</f>
        <v>103257</v>
      </c>
      <c r="H160" s="20">
        <f>IFERROR(INDEX('Kode Outlet dan Target Toko'!$D:$D,MATCH($I160,'Kode Outlet dan Target Toko'!$E:$E,0)),0)</f>
        <v>9162509</v>
      </c>
      <c r="I160" s="41" t="s">
        <v>23</v>
      </c>
      <c r="J160" s="56" t="s">
        <v>181</v>
      </c>
      <c r="K160" s="53" t="s">
        <v>14</v>
      </c>
      <c r="L160" s="23">
        <v>3200</v>
      </c>
      <c r="M160" s="24">
        <v>33</v>
      </c>
      <c r="N160" s="25">
        <f t="shared" si="5"/>
        <v>105600</v>
      </c>
      <c r="O160" s="24"/>
    </row>
    <row r="161" spans="1:15" ht="15.75" hidden="1" customHeight="1" x14ac:dyDescent="0.3">
      <c r="A161" s="24">
        <v>23</v>
      </c>
      <c r="B161" s="20" t="str">
        <f t="shared" si="4"/>
        <v>JUN</v>
      </c>
      <c r="C161" s="21">
        <v>46180</v>
      </c>
      <c r="D161" s="22" t="str">
        <f t="array" ref="D161">IFERROR(INDEX('Kode Outlet dan Target Toko'!$A:$A,MATCH($I161,'Kode Outlet dan Target Toko'!$E:$E,0)),"")</f>
        <v>GRSM 4</v>
      </c>
      <c r="E161" s="20" t="str">
        <f>IFERROR(VLOOKUP(I161,KET!$B:$F,4,0),"")</f>
        <v>FAHMI LUKMANUL HAKIM</v>
      </c>
      <c r="F161" s="20" t="str">
        <f>IFERROR(VLOOKUP(I161,KET!$B:$F,5,0),"")</f>
        <v>GMM</v>
      </c>
      <c r="G161" s="20">
        <f>IFERROR(INDEX('Kode Outlet dan Target Toko'!$C:$C,MATCH($I161,'Kode Outlet dan Target Toko'!$E:$E,0)),0)</f>
        <v>103257</v>
      </c>
      <c r="H161" s="20">
        <f>IFERROR(INDEX('Kode Outlet dan Target Toko'!$D:$D,MATCH($I161,'Kode Outlet dan Target Toko'!$E:$E,0)),0)</f>
        <v>9162509</v>
      </c>
      <c r="I161" s="41" t="s">
        <v>23</v>
      </c>
      <c r="J161" s="56" t="s">
        <v>181</v>
      </c>
      <c r="K161" s="53" t="s">
        <v>13</v>
      </c>
      <c r="L161" s="23">
        <v>3200</v>
      </c>
      <c r="M161" s="24">
        <v>39</v>
      </c>
      <c r="N161" s="25">
        <f t="shared" si="5"/>
        <v>124800</v>
      </c>
      <c r="O161" s="24"/>
    </row>
    <row r="162" spans="1:15" ht="15.75" hidden="1" customHeight="1" x14ac:dyDescent="0.3">
      <c r="A162" s="24">
        <v>23</v>
      </c>
      <c r="B162" s="20" t="str">
        <f t="shared" si="4"/>
        <v>JUN</v>
      </c>
      <c r="C162" s="21">
        <v>46180</v>
      </c>
      <c r="D162" s="22" t="str">
        <f t="array" ref="D162">IFERROR(INDEX('Kode Outlet dan Target Toko'!$A:$A,MATCH($I162,'Kode Outlet dan Target Toko'!$E:$E,0)),"")</f>
        <v>GRSM 4</v>
      </c>
      <c r="E162" s="20" t="str">
        <f>IFERROR(VLOOKUP(I162,KET!$B:$F,4,0),"")</f>
        <v>FAHMI LUKMANUL HAKIM</v>
      </c>
      <c r="F162" s="20" t="str">
        <f>IFERROR(VLOOKUP(I162,KET!$B:$F,5,0),"")</f>
        <v>GMM</v>
      </c>
      <c r="G162" s="20">
        <f>IFERROR(INDEX('Kode Outlet dan Target Toko'!$C:$C,MATCH($I162,'Kode Outlet dan Target Toko'!$E:$E,0)),0)</f>
        <v>103257</v>
      </c>
      <c r="H162" s="20">
        <f>IFERROR(INDEX('Kode Outlet dan Target Toko'!$D:$D,MATCH($I162,'Kode Outlet dan Target Toko'!$E:$E,0)),0)</f>
        <v>9162509</v>
      </c>
      <c r="I162" s="41" t="s">
        <v>23</v>
      </c>
      <c r="J162" s="56" t="s">
        <v>181</v>
      </c>
      <c r="K162" s="53" t="s">
        <v>16</v>
      </c>
      <c r="L162" s="23">
        <v>3200</v>
      </c>
      <c r="M162" s="24">
        <v>135</v>
      </c>
      <c r="N162" s="25">
        <f t="shared" si="5"/>
        <v>432000</v>
      </c>
      <c r="O162" s="24"/>
    </row>
    <row r="163" spans="1:15" ht="15.75" hidden="1" customHeight="1" x14ac:dyDescent="0.3">
      <c r="A163" s="24">
        <v>23</v>
      </c>
      <c r="B163" s="20" t="str">
        <f t="shared" si="4"/>
        <v>JUN</v>
      </c>
      <c r="C163" s="21">
        <v>46180</v>
      </c>
      <c r="D163" s="22" t="str">
        <f t="array" ref="D163">IFERROR(INDEX('Kode Outlet dan Target Toko'!$A:$A,MATCH($I163,'Kode Outlet dan Target Toko'!$E:$E,0)),"")</f>
        <v>GRSM 4</v>
      </c>
      <c r="E163" s="20" t="str">
        <f>IFERROR(VLOOKUP(I163,KET!$B:$F,4,0),"")</f>
        <v>FAHMI LUKMANUL HAKIM</v>
      </c>
      <c r="F163" s="20" t="str">
        <f>IFERROR(VLOOKUP(I163,KET!$B:$F,5,0),"")</f>
        <v>GMM</v>
      </c>
      <c r="G163" s="20">
        <f>IFERROR(INDEX('Kode Outlet dan Target Toko'!$C:$C,MATCH($I163,'Kode Outlet dan Target Toko'!$E:$E,0)),0)</f>
        <v>103257</v>
      </c>
      <c r="H163" s="20">
        <f>IFERROR(INDEX('Kode Outlet dan Target Toko'!$D:$D,MATCH($I163,'Kode Outlet dan Target Toko'!$E:$E,0)),0)</f>
        <v>9162509</v>
      </c>
      <c r="I163" s="41" t="s">
        <v>23</v>
      </c>
      <c r="J163" s="19" t="s">
        <v>180</v>
      </c>
      <c r="K163" s="53" t="s">
        <v>15</v>
      </c>
      <c r="L163" s="23">
        <v>3200</v>
      </c>
      <c r="M163" s="24">
        <v>40</v>
      </c>
      <c r="N163" s="25">
        <f t="shared" si="5"/>
        <v>128000</v>
      </c>
      <c r="O163" s="24">
        <v>160</v>
      </c>
    </row>
    <row r="164" spans="1:15" ht="15.75" hidden="1" customHeight="1" x14ac:dyDescent="0.3">
      <c r="A164" s="24">
        <v>23</v>
      </c>
      <c r="B164" s="20" t="str">
        <f t="shared" si="4"/>
        <v>JUN</v>
      </c>
      <c r="C164" s="21">
        <v>46180</v>
      </c>
      <c r="D164" s="22" t="str">
        <f t="array" ref="D164">IFERROR(INDEX('Kode Outlet dan Target Toko'!$A:$A,MATCH($I164,'Kode Outlet dan Target Toko'!$E:$E,0)),"")</f>
        <v>GRSM 4</v>
      </c>
      <c r="E164" s="20" t="str">
        <f>IFERROR(VLOOKUP(I164,KET!$B:$F,4,0),"")</f>
        <v>FAHMI LUKMANUL HAKIM</v>
      </c>
      <c r="F164" s="20" t="str">
        <f>IFERROR(VLOOKUP(I164,KET!$B:$F,5,0),"")</f>
        <v>GMM</v>
      </c>
      <c r="G164" s="20">
        <f>IFERROR(INDEX('Kode Outlet dan Target Toko'!$C:$C,MATCH($I164,'Kode Outlet dan Target Toko'!$E:$E,0)),0)</f>
        <v>103257</v>
      </c>
      <c r="H164" s="20">
        <f>IFERROR(INDEX('Kode Outlet dan Target Toko'!$D:$D,MATCH($I164,'Kode Outlet dan Target Toko'!$E:$E,0)),0)</f>
        <v>9162509</v>
      </c>
      <c r="I164" s="41" t="s">
        <v>23</v>
      </c>
      <c r="J164" s="19" t="s">
        <v>180</v>
      </c>
      <c r="K164" s="53" t="s">
        <v>14</v>
      </c>
      <c r="L164" s="23">
        <v>3200</v>
      </c>
      <c r="M164" s="24">
        <v>35</v>
      </c>
      <c r="N164" s="25">
        <f t="shared" si="5"/>
        <v>112000</v>
      </c>
      <c r="O164" s="24"/>
    </row>
    <row r="165" spans="1:15" ht="15.75" hidden="1" customHeight="1" x14ac:dyDescent="0.3">
      <c r="A165" s="24">
        <v>23</v>
      </c>
      <c r="B165" s="20" t="str">
        <f t="shared" si="4"/>
        <v>JUN</v>
      </c>
      <c r="C165" s="21">
        <v>46180</v>
      </c>
      <c r="D165" s="22" t="str">
        <f t="array" ref="D165">IFERROR(INDEX('Kode Outlet dan Target Toko'!$A:$A,MATCH($I165,'Kode Outlet dan Target Toko'!$E:$E,0)),"")</f>
        <v>GRSM 4</v>
      </c>
      <c r="E165" s="20" t="str">
        <f>IFERROR(VLOOKUP(I165,KET!$B:$F,4,0),"")</f>
        <v>FAHMI LUKMANUL HAKIM</v>
      </c>
      <c r="F165" s="20" t="str">
        <f>IFERROR(VLOOKUP(I165,KET!$B:$F,5,0),"")</f>
        <v>GMM</v>
      </c>
      <c r="G165" s="20">
        <f>IFERROR(INDEX('Kode Outlet dan Target Toko'!$C:$C,MATCH($I165,'Kode Outlet dan Target Toko'!$E:$E,0)),0)</f>
        <v>103257</v>
      </c>
      <c r="H165" s="20">
        <f>IFERROR(INDEX('Kode Outlet dan Target Toko'!$D:$D,MATCH($I165,'Kode Outlet dan Target Toko'!$E:$E,0)),0)</f>
        <v>9162509</v>
      </c>
      <c r="I165" s="41" t="s">
        <v>23</v>
      </c>
      <c r="J165" s="19" t="s">
        <v>180</v>
      </c>
      <c r="K165" s="53" t="s">
        <v>13</v>
      </c>
      <c r="L165" s="23">
        <v>3200</v>
      </c>
      <c r="M165" s="24">
        <v>55</v>
      </c>
      <c r="N165" s="25">
        <f t="shared" si="5"/>
        <v>176000</v>
      </c>
      <c r="O165" s="24"/>
    </row>
    <row r="166" spans="1:15" ht="15.75" hidden="1" customHeight="1" x14ac:dyDescent="0.3">
      <c r="A166" s="24">
        <v>23</v>
      </c>
      <c r="B166" s="20" t="str">
        <f t="shared" si="4"/>
        <v>JUN</v>
      </c>
      <c r="C166" s="21">
        <v>46180</v>
      </c>
      <c r="D166" s="22" t="str">
        <f t="array" ref="D166">IFERROR(INDEX('Kode Outlet dan Target Toko'!$A:$A,MATCH($I166,'Kode Outlet dan Target Toko'!$E:$E,0)),"")</f>
        <v>GRSM 4</v>
      </c>
      <c r="E166" s="20" t="str">
        <f>IFERROR(VLOOKUP(I166,KET!$B:$F,4,0),"")</f>
        <v>FAHMI LUKMANUL HAKIM</v>
      </c>
      <c r="F166" s="20" t="str">
        <f>IFERROR(VLOOKUP(I166,KET!$B:$F,5,0),"")</f>
        <v>GMM</v>
      </c>
      <c r="G166" s="20">
        <f>IFERROR(INDEX('Kode Outlet dan Target Toko'!$C:$C,MATCH($I166,'Kode Outlet dan Target Toko'!$E:$E,0)),0)</f>
        <v>103257</v>
      </c>
      <c r="H166" s="20">
        <f>IFERROR(INDEX('Kode Outlet dan Target Toko'!$D:$D,MATCH($I166,'Kode Outlet dan Target Toko'!$E:$E,0)),0)</f>
        <v>9162509</v>
      </c>
      <c r="I166" s="41" t="s">
        <v>23</v>
      </c>
      <c r="J166" s="19" t="s">
        <v>180</v>
      </c>
      <c r="K166" s="53" t="s">
        <v>16</v>
      </c>
      <c r="L166" s="23">
        <v>3200</v>
      </c>
      <c r="M166" s="24">
        <v>145</v>
      </c>
      <c r="N166" s="25">
        <f t="shared" si="5"/>
        <v>464000</v>
      </c>
      <c r="O166" s="24"/>
    </row>
    <row r="167" spans="1:15" ht="15.75" hidden="1" customHeight="1" x14ac:dyDescent="0.3">
      <c r="A167" s="24">
        <v>23</v>
      </c>
      <c r="B167" s="20" t="str">
        <f t="shared" si="4"/>
        <v>JUN</v>
      </c>
      <c r="C167" s="21">
        <v>46178</v>
      </c>
      <c r="D167" s="22" t="str">
        <f t="array" ref="D167">IFERROR(INDEX('Kode Outlet dan Target Toko'!$A:$A,MATCH($I167,'Kode Outlet dan Target Toko'!$E:$E,0)),"")</f>
        <v>GRSM 3A</v>
      </c>
      <c r="E167" s="20" t="str">
        <f>IFERROR(VLOOKUP(I167,KET!$B:$F,4,0),"")</f>
        <v>FAHMI LUKMANUL HAKIM</v>
      </c>
      <c r="F167" s="20" t="str">
        <f>IFERROR(VLOOKUP(I167,KET!$B:$F,5,0),"")</f>
        <v>GMM</v>
      </c>
      <c r="G167" s="20">
        <f>IFERROR(INDEX('Kode Outlet dan Target Toko'!$C:$C,MATCH($I167,'Kode Outlet dan Target Toko'!$E:$E,0)),0)</f>
        <v>103272</v>
      </c>
      <c r="H167" s="20">
        <f>IFERROR(INDEX('Kode Outlet dan Target Toko'!$D:$D,MATCH($I167,'Kode Outlet dan Target Toko'!$E:$E,0)),0)</f>
        <v>1178</v>
      </c>
      <c r="I167" s="50" t="s">
        <v>22</v>
      </c>
      <c r="J167" s="19" t="s">
        <v>256</v>
      </c>
      <c r="K167" s="53" t="s">
        <v>15</v>
      </c>
      <c r="L167" s="23">
        <v>3145</v>
      </c>
      <c r="M167" s="24">
        <v>14</v>
      </c>
      <c r="N167" s="25">
        <f t="shared" si="5"/>
        <v>44030</v>
      </c>
      <c r="O167" s="24">
        <v>160</v>
      </c>
    </row>
    <row r="168" spans="1:15" ht="15.75" hidden="1" customHeight="1" x14ac:dyDescent="0.3">
      <c r="A168" s="24">
        <v>23</v>
      </c>
      <c r="B168" s="20" t="str">
        <f t="shared" si="4"/>
        <v>JUN</v>
      </c>
      <c r="C168" s="21">
        <v>46178</v>
      </c>
      <c r="D168" s="22" t="str">
        <f t="array" ref="D168">IFERROR(INDEX('Kode Outlet dan Target Toko'!$A:$A,MATCH($I168,'Kode Outlet dan Target Toko'!$E:$E,0)),"")</f>
        <v>GRSM 3A</v>
      </c>
      <c r="E168" s="20" t="str">
        <f>IFERROR(VLOOKUP(I168,KET!$B:$F,4,0),"")</f>
        <v>FAHMI LUKMANUL HAKIM</v>
      </c>
      <c r="F168" s="20" t="str">
        <f>IFERROR(VLOOKUP(I168,KET!$B:$F,5,0),"")</f>
        <v>GMM</v>
      </c>
      <c r="G168" s="20">
        <f>IFERROR(INDEX('Kode Outlet dan Target Toko'!$C:$C,MATCH($I168,'Kode Outlet dan Target Toko'!$E:$E,0)),0)</f>
        <v>103272</v>
      </c>
      <c r="H168" s="20">
        <f>IFERROR(INDEX('Kode Outlet dan Target Toko'!$D:$D,MATCH($I168,'Kode Outlet dan Target Toko'!$E:$E,0)),0)</f>
        <v>1178</v>
      </c>
      <c r="I168" s="50" t="s">
        <v>22</v>
      </c>
      <c r="J168" s="19" t="s">
        <v>256</v>
      </c>
      <c r="K168" s="53" t="s">
        <v>14</v>
      </c>
      <c r="L168" s="23">
        <v>3145</v>
      </c>
      <c r="M168" s="24">
        <v>28</v>
      </c>
      <c r="N168" s="25">
        <f t="shared" si="5"/>
        <v>88060</v>
      </c>
      <c r="O168" s="24"/>
    </row>
    <row r="169" spans="1:15" ht="15.75" hidden="1" customHeight="1" x14ac:dyDescent="0.3">
      <c r="A169" s="24">
        <v>23</v>
      </c>
      <c r="B169" s="20" t="str">
        <f t="shared" si="4"/>
        <v>JUN</v>
      </c>
      <c r="C169" s="21">
        <v>46178</v>
      </c>
      <c r="D169" s="22" t="str">
        <f t="array" ref="D169">IFERROR(INDEX('Kode Outlet dan Target Toko'!$A:$A,MATCH($I169,'Kode Outlet dan Target Toko'!$E:$E,0)),"")</f>
        <v>GRSM 3A</v>
      </c>
      <c r="E169" s="20" t="str">
        <f>IFERROR(VLOOKUP(I169,KET!$B:$F,4,0),"")</f>
        <v>FAHMI LUKMANUL HAKIM</v>
      </c>
      <c r="F169" s="20" t="str">
        <f>IFERROR(VLOOKUP(I169,KET!$B:$F,5,0),"")</f>
        <v>GMM</v>
      </c>
      <c r="G169" s="20">
        <f>IFERROR(INDEX('Kode Outlet dan Target Toko'!$C:$C,MATCH($I169,'Kode Outlet dan Target Toko'!$E:$E,0)),0)</f>
        <v>103272</v>
      </c>
      <c r="H169" s="20">
        <f>IFERROR(INDEX('Kode Outlet dan Target Toko'!$D:$D,MATCH($I169,'Kode Outlet dan Target Toko'!$E:$E,0)),0)</f>
        <v>1178</v>
      </c>
      <c r="I169" s="50" t="s">
        <v>22</v>
      </c>
      <c r="J169" s="19" t="s">
        <v>256</v>
      </c>
      <c r="K169" s="53" t="s">
        <v>13</v>
      </c>
      <c r="L169" s="23">
        <v>3145</v>
      </c>
      <c r="M169" s="24">
        <v>9</v>
      </c>
      <c r="N169" s="25">
        <f t="shared" si="5"/>
        <v>28305</v>
      </c>
      <c r="O169" s="24"/>
    </row>
    <row r="170" spans="1:15" ht="15.75" hidden="1" customHeight="1" x14ac:dyDescent="0.3">
      <c r="A170" s="24">
        <v>23</v>
      </c>
      <c r="B170" s="20" t="str">
        <f t="shared" si="4"/>
        <v>JUN</v>
      </c>
      <c r="C170" s="21">
        <v>46178</v>
      </c>
      <c r="D170" s="22" t="str">
        <f t="array" ref="D170">IFERROR(INDEX('Kode Outlet dan Target Toko'!$A:$A,MATCH($I170,'Kode Outlet dan Target Toko'!$E:$E,0)),"")</f>
        <v>GRSM 3A</v>
      </c>
      <c r="E170" s="20" t="str">
        <f>IFERROR(VLOOKUP(I170,KET!$B:$F,4,0),"")</f>
        <v>FAHMI LUKMANUL HAKIM</v>
      </c>
      <c r="F170" s="20" t="str">
        <f>IFERROR(VLOOKUP(I170,KET!$B:$F,5,0),"")</f>
        <v>GMM</v>
      </c>
      <c r="G170" s="20">
        <f>IFERROR(INDEX('Kode Outlet dan Target Toko'!$C:$C,MATCH($I170,'Kode Outlet dan Target Toko'!$E:$E,0)),0)</f>
        <v>103272</v>
      </c>
      <c r="H170" s="20">
        <f>IFERROR(INDEX('Kode Outlet dan Target Toko'!$D:$D,MATCH($I170,'Kode Outlet dan Target Toko'!$E:$E,0)),0)</f>
        <v>1178</v>
      </c>
      <c r="I170" s="50" t="s">
        <v>22</v>
      </c>
      <c r="J170" s="19" t="s">
        <v>256</v>
      </c>
      <c r="K170" s="53" t="s">
        <v>16</v>
      </c>
      <c r="L170" s="23">
        <v>3145</v>
      </c>
      <c r="M170" s="24">
        <v>45</v>
      </c>
      <c r="N170" s="25">
        <f t="shared" si="5"/>
        <v>141525</v>
      </c>
      <c r="O170" s="24"/>
    </row>
    <row r="171" spans="1:15" ht="15.75" hidden="1" customHeight="1" x14ac:dyDescent="0.3">
      <c r="A171" s="24">
        <v>23</v>
      </c>
      <c r="B171" s="20" t="str">
        <f t="shared" si="4"/>
        <v>JUN</v>
      </c>
      <c r="C171" s="21">
        <v>46178</v>
      </c>
      <c r="D171" s="22" t="str">
        <f t="array" ref="D171">IFERROR(INDEX('Kode Outlet dan Target Toko'!$A:$A,MATCH($I171,'Kode Outlet dan Target Toko'!$E:$E,0)),"")</f>
        <v>GRSM 4</v>
      </c>
      <c r="E171" s="20" t="str">
        <f>IFERROR(VLOOKUP(I171,KET!$B:$F,4,0),"")</f>
        <v>FAHMI LUKMANUL HAKIM</v>
      </c>
      <c r="F171" s="20" t="str">
        <f>IFERROR(VLOOKUP(I171,KET!$B:$F,5,0),"")</f>
        <v>GMM</v>
      </c>
      <c r="G171" s="20">
        <f>IFERROR(INDEX('Kode Outlet dan Target Toko'!$C:$C,MATCH($I171,'Kode Outlet dan Target Toko'!$E:$E,0)),0)</f>
        <v>189901</v>
      </c>
      <c r="H171" s="20">
        <f>IFERROR(INDEX('Kode Outlet dan Target Toko'!$D:$D,MATCH($I171,'Kode Outlet dan Target Toko'!$E:$E,0)),0)</f>
        <v>1602020</v>
      </c>
      <c r="I171" s="50" t="s">
        <v>20</v>
      </c>
      <c r="J171" s="19" t="s">
        <v>198</v>
      </c>
      <c r="K171" s="53" t="s">
        <v>15</v>
      </c>
      <c r="L171" s="23">
        <v>2200</v>
      </c>
      <c r="M171" s="24">
        <v>62</v>
      </c>
      <c r="N171" s="25">
        <f t="shared" si="5"/>
        <v>136400</v>
      </c>
      <c r="O171" s="24">
        <v>100</v>
      </c>
    </row>
    <row r="172" spans="1:15" ht="15.75" hidden="1" customHeight="1" x14ac:dyDescent="0.3">
      <c r="A172" s="24">
        <v>23</v>
      </c>
      <c r="B172" s="20" t="str">
        <f t="shared" si="4"/>
        <v>JUN</v>
      </c>
      <c r="C172" s="21">
        <v>46178</v>
      </c>
      <c r="D172" s="22" t="str">
        <f t="array" ref="D172">IFERROR(INDEX('Kode Outlet dan Target Toko'!$A:$A,MATCH($I172,'Kode Outlet dan Target Toko'!$E:$E,0)),"")</f>
        <v>GRSM 4</v>
      </c>
      <c r="E172" s="20" t="str">
        <f>IFERROR(VLOOKUP(I172,KET!$B:$F,4,0),"")</f>
        <v>FAHMI LUKMANUL HAKIM</v>
      </c>
      <c r="F172" s="20" t="str">
        <f>IFERROR(VLOOKUP(I172,KET!$B:$F,5,0),"")</f>
        <v>GMM</v>
      </c>
      <c r="G172" s="20">
        <f>IFERROR(INDEX('Kode Outlet dan Target Toko'!$C:$C,MATCH($I172,'Kode Outlet dan Target Toko'!$E:$E,0)),0)</f>
        <v>189901</v>
      </c>
      <c r="H172" s="20">
        <f>IFERROR(INDEX('Kode Outlet dan Target Toko'!$D:$D,MATCH($I172,'Kode Outlet dan Target Toko'!$E:$E,0)),0)</f>
        <v>1602020</v>
      </c>
      <c r="I172" s="50" t="s">
        <v>20</v>
      </c>
      <c r="J172" s="19" t="s">
        <v>198</v>
      </c>
      <c r="K172" s="53" t="s">
        <v>14</v>
      </c>
      <c r="L172" s="23">
        <v>2200</v>
      </c>
      <c r="M172" s="24">
        <v>59</v>
      </c>
      <c r="N172" s="25">
        <f t="shared" si="5"/>
        <v>129800</v>
      </c>
      <c r="O172" s="24"/>
    </row>
    <row r="173" spans="1:15" ht="15.75" hidden="1" customHeight="1" x14ac:dyDescent="0.3">
      <c r="A173" s="24">
        <v>23</v>
      </c>
      <c r="B173" s="20" t="str">
        <f t="shared" si="4"/>
        <v>JUN</v>
      </c>
      <c r="C173" s="21">
        <v>46178</v>
      </c>
      <c r="D173" s="22" t="str">
        <f t="array" ref="D173">IFERROR(INDEX('Kode Outlet dan Target Toko'!$A:$A,MATCH($I173,'Kode Outlet dan Target Toko'!$E:$E,0)),"")</f>
        <v>GRSM 4</v>
      </c>
      <c r="E173" s="20" t="str">
        <f>IFERROR(VLOOKUP(I173,KET!$B:$F,4,0),"")</f>
        <v>FAHMI LUKMANUL HAKIM</v>
      </c>
      <c r="F173" s="20" t="str">
        <f>IFERROR(VLOOKUP(I173,KET!$B:$F,5,0),"")</f>
        <v>GMM</v>
      </c>
      <c r="G173" s="20">
        <f>IFERROR(INDEX('Kode Outlet dan Target Toko'!$C:$C,MATCH($I173,'Kode Outlet dan Target Toko'!$E:$E,0)),0)</f>
        <v>189901</v>
      </c>
      <c r="H173" s="20">
        <f>IFERROR(INDEX('Kode Outlet dan Target Toko'!$D:$D,MATCH($I173,'Kode Outlet dan Target Toko'!$E:$E,0)),0)</f>
        <v>1602020</v>
      </c>
      <c r="I173" s="50" t="s">
        <v>20</v>
      </c>
      <c r="J173" s="19" t="s">
        <v>198</v>
      </c>
      <c r="K173" s="53" t="s">
        <v>13</v>
      </c>
      <c r="L173" s="23">
        <v>2200</v>
      </c>
      <c r="M173" s="24">
        <v>40</v>
      </c>
      <c r="N173" s="25">
        <f t="shared" si="5"/>
        <v>88000</v>
      </c>
      <c r="O173" s="24"/>
    </row>
    <row r="174" spans="1:15" ht="15.75" hidden="1" customHeight="1" x14ac:dyDescent="0.3">
      <c r="A174" s="24">
        <v>23</v>
      </c>
      <c r="B174" s="20" t="str">
        <f t="shared" si="4"/>
        <v>JUN</v>
      </c>
      <c r="C174" s="21">
        <v>46178</v>
      </c>
      <c r="D174" s="22" t="str">
        <f t="array" ref="D174">IFERROR(INDEX('Kode Outlet dan Target Toko'!$A:$A,MATCH($I174,'Kode Outlet dan Target Toko'!$E:$E,0)),"")</f>
        <v>GRSM 4</v>
      </c>
      <c r="E174" s="20" t="str">
        <f>IFERROR(VLOOKUP(I174,KET!$B:$F,4,0),"")</f>
        <v>FAHMI LUKMANUL HAKIM</v>
      </c>
      <c r="F174" s="20" t="str">
        <f>IFERROR(VLOOKUP(I174,KET!$B:$F,5,0),"")</f>
        <v>GMM</v>
      </c>
      <c r="G174" s="20">
        <f>IFERROR(INDEX('Kode Outlet dan Target Toko'!$C:$C,MATCH($I174,'Kode Outlet dan Target Toko'!$E:$E,0)),0)</f>
        <v>189901</v>
      </c>
      <c r="H174" s="20">
        <f>IFERROR(INDEX('Kode Outlet dan Target Toko'!$D:$D,MATCH($I174,'Kode Outlet dan Target Toko'!$E:$E,0)),0)</f>
        <v>1602020</v>
      </c>
      <c r="I174" s="50" t="s">
        <v>20</v>
      </c>
      <c r="J174" s="19" t="s">
        <v>198</v>
      </c>
      <c r="K174" s="53" t="s">
        <v>15</v>
      </c>
      <c r="L174" s="23">
        <v>2200</v>
      </c>
      <c r="M174" s="24">
        <v>82</v>
      </c>
      <c r="N174" s="25">
        <f t="shared" si="5"/>
        <v>180400</v>
      </c>
      <c r="O174" s="24">
        <v>120</v>
      </c>
    </row>
    <row r="175" spans="1:15" ht="15.75" hidden="1" customHeight="1" x14ac:dyDescent="0.3">
      <c r="A175" s="24">
        <v>23</v>
      </c>
      <c r="B175" s="20" t="str">
        <f t="shared" si="4"/>
        <v>JUN</v>
      </c>
      <c r="C175" s="21">
        <v>46180</v>
      </c>
      <c r="D175" s="22" t="str">
        <f t="array" ref="D175">IFERROR(INDEX('Kode Outlet dan Target Toko'!$A:$A,MATCH($I175,'Kode Outlet dan Target Toko'!$E:$E,0)),"")</f>
        <v>GRSM 4</v>
      </c>
      <c r="E175" s="20" t="str">
        <f>IFERROR(VLOOKUP(I175,KET!$B:$F,4,0),"")</f>
        <v>FAHMI LUKMANUL HAKIM</v>
      </c>
      <c r="F175" s="20" t="str">
        <f>IFERROR(VLOOKUP(I175,KET!$B:$F,5,0),"")</f>
        <v>GMM</v>
      </c>
      <c r="G175" s="20">
        <f>IFERROR(INDEX('Kode Outlet dan Target Toko'!$C:$C,MATCH($I175,'Kode Outlet dan Target Toko'!$E:$E,0)),0)</f>
        <v>189901</v>
      </c>
      <c r="H175" s="20">
        <f>IFERROR(INDEX('Kode Outlet dan Target Toko'!$D:$D,MATCH($I175,'Kode Outlet dan Target Toko'!$E:$E,0)),0)</f>
        <v>1602020</v>
      </c>
      <c r="I175" s="50" t="s">
        <v>20</v>
      </c>
      <c r="J175" s="19" t="s">
        <v>198</v>
      </c>
      <c r="K175" s="53" t="s">
        <v>14</v>
      </c>
      <c r="L175" s="23">
        <v>2200</v>
      </c>
      <c r="M175" s="24">
        <v>101</v>
      </c>
      <c r="N175" s="25">
        <f t="shared" si="5"/>
        <v>222200</v>
      </c>
      <c r="O175" s="24"/>
    </row>
    <row r="176" spans="1:15" ht="15.75" hidden="1" customHeight="1" x14ac:dyDescent="0.3">
      <c r="A176" s="24">
        <v>23</v>
      </c>
      <c r="B176" s="20" t="str">
        <f t="shared" si="4"/>
        <v>JUN</v>
      </c>
      <c r="C176" s="21">
        <v>46180</v>
      </c>
      <c r="D176" s="22" t="str">
        <f t="array" ref="D176">IFERROR(INDEX('Kode Outlet dan Target Toko'!$A:$A,MATCH($I176,'Kode Outlet dan Target Toko'!$E:$E,0)),"")</f>
        <v>GRSM 4</v>
      </c>
      <c r="E176" s="20" t="str">
        <f>IFERROR(VLOOKUP(I176,KET!$B:$F,4,0),"")</f>
        <v>FAHMI LUKMANUL HAKIM</v>
      </c>
      <c r="F176" s="20" t="str">
        <f>IFERROR(VLOOKUP(I176,KET!$B:$F,5,0),"")</f>
        <v>GMM</v>
      </c>
      <c r="G176" s="20">
        <f>IFERROR(INDEX('Kode Outlet dan Target Toko'!$C:$C,MATCH($I176,'Kode Outlet dan Target Toko'!$E:$E,0)),0)</f>
        <v>189901</v>
      </c>
      <c r="H176" s="20">
        <f>IFERROR(INDEX('Kode Outlet dan Target Toko'!$D:$D,MATCH($I176,'Kode Outlet dan Target Toko'!$E:$E,0)),0)</f>
        <v>1602020</v>
      </c>
      <c r="I176" s="50" t="s">
        <v>20</v>
      </c>
      <c r="J176" s="19" t="s">
        <v>198</v>
      </c>
      <c r="K176" s="53" t="s">
        <v>13</v>
      </c>
      <c r="L176" s="23">
        <v>2200</v>
      </c>
      <c r="M176" s="24">
        <v>23</v>
      </c>
      <c r="N176" s="25">
        <f t="shared" si="5"/>
        <v>50600</v>
      </c>
      <c r="O176" s="24"/>
    </row>
    <row r="177" spans="1:15" ht="15.75" hidden="1" customHeight="1" x14ac:dyDescent="0.3">
      <c r="A177" s="24">
        <v>23</v>
      </c>
      <c r="B177" s="20" t="str">
        <f t="shared" si="4"/>
        <v>JUN</v>
      </c>
      <c r="C177" s="21">
        <v>46180</v>
      </c>
      <c r="D177" s="22" t="str">
        <f t="array" ref="D177">IFERROR(INDEX('Kode Outlet dan Target Toko'!$A:$A,MATCH($I177,'Kode Outlet dan Target Toko'!$E:$E,0)),"")</f>
        <v>GRSM 4</v>
      </c>
      <c r="E177" s="20" t="str">
        <f>IFERROR(VLOOKUP(I177,KET!$B:$F,4,0),"")</f>
        <v>FAHMI LUKMANUL HAKIM</v>
      </c>
      <c r="F177" s="20" t="str">
        <f>IFERROR(VLOOKUP(I177,KET!$B:$F,5,0),"")</f>
        <v>GMM</v>
      </c>
      <c r="G177" s="20">
        <f>IFERROR(INDEX('Kode Outlet dan Target Toko'!$C:$C,MATCH($I177,'Kode Outlet dan Target Toko'!$E:$E,0)),0)</f>
        <v>103259</v>
      </c>
      <c r="H177" s="20">
        <f>IFERROR(INDEX('Kode Outlet dan Target Toko'!$D:$D,MATCH($I177,'Kode Outlet dan Target Toko'!$E:$E,0)),0)</f>
        <v>9013525</v>
      </c>
      <c r="I177" s="50" t="s">
        <v>24</v>
      </c>
      <c r="J177" s="45" t="s">
        <v>188</v>
      </c>
      <c r="K177" s="53" t="s">
        <v>14</v>
      </c>
      <c r="L177" s="23">
        <v>2000</v>
      </c>
      <c r="M177" s="24">
        <v>110</v>
      </c>
      <c r="N177" s="25">
        <f t="shared" si="5"/>
        <v>220000</v>
      </c>
      <c r="O177" s="24">
        <v>120</v>
      </c>
    </row>
    <row r="178" spans="1:15" ht="15.75" hidden="1" customHeight="1" x14ac:dyDescent="0.3">
      <c r="A178" s="24">
        <v>23</v>
      </c>
      <c r="B178" s="20" t="str">
        <f t="shared" si="4"/>
        <v>JUN</v>
      </c>
      <c r="C178" s="21">
        <v>46178</v>
      </c>
      <c r="D178" s="22" t="str">
        <f t="array" ref="D178">IFERROR(INDEX('Kode Outlet dan Target Toko'!$A:$A,MATCH($I178,'Kode Outlet dan Target Toko'!$E:$E,0)),"")</f>
        <v>GRSM 4</v>
      </c>
      <c r="E178" s="20" t="str">
        <f>IFERROR(VLOOKUP(I178,KET!$B:$F,4,0),"")</f>
        <v>FAHMI LUKMANUL HAKIM</v>
      </c>
      <c r="F178" s="20" t="str">
        <f>IFERROR(VLOOKUP(I178,KET!$B:$F,5,0),"")</f>
        <v>GMM</v>
      </c>
      <c r="G178" s="20">
        <f>IFERROR(INDEX('Kode Outlet dan Target Toko'!$C:$C,MATCH($I178,'Kode Outlet dan Target Toko'!$E:$E,0)),0)</f>
        <v>103259</v>
      </c>
      <c r="H178" s="20">
        <f>IFERROR(INDEX('Kode Outlet dan Target Toko'!$D:$D,MATCH($I178,'Kode Outlet dan Target Toko'!$E:$E,0)),0)</f>
        <v>9013525</v>
      </c>
      <c r="I178" s="41" t="s">
        <v>24</v>
      </c>
      <c r="J178" s="45" t="s">
        <v>188</v>
      </c>
      <c r="K178" s="53" t="s">
        <v>15</v>
      </c>
      <c r="L178" s="23">
        <v>2000</v>
      </c>
      <c r="M178" s="24">
        <v>130</v>
      </c>
      <c r="N178" s="25">
        <f t="shared" si="5"/>
        <v>260000</v>
      </c>
      <c r="O178" s="24"/>
    </row>
    <row r="179" spans="1:15" ht="15.75" hidden="1" customHeight="1" x14ac:dyDescent="0.3">
      <c r="A179" s="24">
        <v>23</v>
      </c>
      <c r="B179" s="20" t="str">
        <f t="shared" si="4"/>
        <v>JUN</v>
      </c>
      <c r="C179" s="21">
        <v>46178</v>
      </c>
      <c r="D179" s="22" t="str">
        <f t="array" ref="D179">IFERROR(INDEX('Kode Outlet dan Target Toko'!$A:$A,MATCH($I179,'Kode Outlet dan Target Toko'!$E:$E,0)),"")</f>
        <v>GRSM 4</v>
      </c>
      <c r="E179" s="20" t="str">
        <f>IFERROR(VLOOKUP(I179,KET!$B:$F,4,0),"")</f>
        <v>FAHMI LUKMANUL HAKIM</v>
      </c>
      <c r="F179" s="20" t="str">
        <f>IFERROR(VLOOKUP(I179,KET!$B:$F,5,0),"")</f>
        <v>GMM</v>
      </c>
      <c r="G179" s="20">
        <f>IFERROR(INDEX('Kode Outlet dan Target Toko'!$C:$C,MATCH($I179,'Kode Outlet dan Target Toko'!$E:$E,0)),0)</f>
        <v>103259</v>
      </c>
      <c r="H179" s="20">
        <f>IFERROR(INDEX('Kode Outlet dan Target Toko'!$D:$D,MATCH($I179,'Kode Outlet dan Target Toko'!$E:$E,0)),0)</f>
        <v>9013525</v>
      </c>
      <c r="I179" s="41" t="s">
        <v>24</v>
      </c>
      <c r="J179" s="45" t="s">
        <v>188</v>
      </c>
      <c r="K179" s="53" t="s">
        <v>13</v>
      </c>
      <c r="L179" s="23">
        <v>2000</v>
      </c>
      <c r="M179" s="24">
        <v>120</v>
      </c>
      <c r="N179" s="25">
        <f t="shared" si="5"/>
        <v>240000</v>
      </c>
      <c r="O179" s="24"/>
    </row>
    <row r="180" spans="1:15" ht="15.75" hidden="1" customHeight="1" x14ac:dyDescent="0.3">
      <c r="A180" s="24">
        <v>23</v>
      </c>
      <c r="B180" s="20" t="str">
        <f t="shared" si="4"/>
        <v>JUN</v>
      </c>
      <c r="C180" s="21">
        <v>46178</v>
      </c>
      <c r="D180" s="22" t="str">
        <f t="array" ref="D180">IFERROR(INDEX('Kode Outlet dan Target Toko'!$A:$A,MATCH($I180,'Kode Outlet dan Target Toko'!$E:$E,0)),"")</f>
        <v>GRSM 4</v>
      </c>
      <c r="E180" s="20" t="str">
        <f>IFERROR(VLOOKUP(I180,KET!$B:$F,4,0),"")</f>
        <v>FAHMI LUKMANUL HAKIM</v>
      </c>
      <c r="F180" s="20" t="str">
        <f>IFERROR(VLOOKUP(I180,KET!$B:$F,5,0),"")</f>
        <v>GMM</v>
      </c>
      <c r="G180" s="20">
        <f>IFERROR(INDEX('Kode Outlet dan Target Toko'!$C:$C,MATCH($I180,'Kode Outlet dan Target Toko'!$E:$E,0)),0)</f>
        <v>189901</v>
      </c>
      <c r="H180" s="20">
        <f>IFERROR(INDEX('Kode Outlet dan Target Toko'!$D:$D,MATCH($I180,'Kode Outlet dan Target Toko'!$E:$E,0)),0)</f>
        <v>1602020</v>
      </c>
      <c r="I180" s="41" t="s">
        <v>20</v>
      </c>
      <c r="J180" s="56" t="s">
        <v>253</v>
      </c>
      <c r="K180" s="53" t="s">
        <v>14</v>
      </c>
      <c r="L180" s="23">
        <v>2200</v>
      </c>
      <c r="M180" s="24">
        <v>48</v>
      </c>
      <c r="N180" s="25">
        <f t="shared" si="5"/>
        <v>105600</v>
      </c>
      <c r="O180" s="24"/>
    </row>
    <row r="181" spans="1:15" ht="15.75" hidden="1" customHeight="1" x14ac:dyDescent="0.3">
      <c r="A181" s="24">
        <v>23</v>
      </c>
      <c r="B181" s="20" t="str">
        <f t="shared" si="4"/>
        <v>JUN</v>
      </c>
      <c r="C181" s="21">
        <v>46178</v>
      </c>
      <c r="D181" s="22" t="str">
        <f t="array" ref="D181">IFERROR(INDEX('Kode Outlet dan Target Toko'!$A:$A,MATCH($I181,'Kode Outlet dan Target Toko'!$E:$E,0)),"")</f>
        <v>GRSM 4</v>
      </c>
      <c r="E181" s="20" t="str">
        <f>IFERROR(VLOOKUP(I181,KET!$B:$F,4,0),"")</f>
        <v>FAHMI LUKMANUL HAKIM</v>
      </c>
      <c r="F181" s="20" t="str">
        <f>IFERROR(VLOOKUP(I181,KET!$B:$F,5,0),"")</f>
        <v>GMM</v>
      </c>
      <c r="G181" s="20">
        <f>IFERROR(INDEX('Kode Outlet dan Target Toko'!$C:$C,MATCH($I181,'Kode Outlet dan Target Toko'!$E:$E,0)),0)</f>
        <v>189901</v>
      </c>
      <c r="H181" s="20">
        <f>IFERROR(INDEX('Kode Outlet dan Target Toko'!$D:$D,MATCH($I181,'Kode Outlet dan Target Toko'!$E:$E,0)),0)</f>
        <v>1602020</v>
      </c>
      <c r="I181" s="41" t="s">
        <v>20</v>
      </c>
      <c r="J181" s="56" t="s">
        <v>253</v>
      </c>
      <c r="K181" s="53" t="s">
        <v>15</v>
      </c>
      <c r="L181" s="23">
        <v>2200</v>
      </c>
      <c r="M181" s="24">
        <v>64</v>
      </c>
      <c r="N181" s="25">
        <f t="shared" si="5"/>
        <v>140800</v>
      </c>
      <c r="O181" s="24"/>
    </row>
    <row r="182" spans="1:15" ht="15.75" hidden="1" customHeight="1" x14ac:dyDescent="0.3">
      <c r="A182" s="24">
        <v>23</v>
      </c>
      <c r="B182" s="20" t="str">
        <f t="shared" si="4"/>
        <v>JUN</v>
      </c>
      <c r="C182" s="21">
        <v>46178</v>
      </c>
      <c r="D182" s="22" t="str">
        <f t="array" ref="D182">IFERROR(INDEX('Kode Outlet dan Target Toko'!$A:$A,MATCH($I182,'Kode Outlet dan Target Toko'!$E:$E,0)),"")</f>
        <v>GRSM 4</v>
      </c>
      <c r="E182" s="20" t="str">
        <f>IFERROR(VLOOKUP(I182,KET!$B:$F,4,0),"")</f>
        <v>FAHMI LUKMANUL HAKIM</v>
      </c>
      <c r="F182" s="20" t="str">
        <f>IFERROR(VLOOKUP(I182,KET!$B:$F,5,0),"")</f>
        <v>GMM</v>
      </c>
      <c r="G182" s="20">
        <f>IFERROR(INDEX('Kode Outlet dan Target Toko'!$C:$C,MATCH($I182,'Kode Outlet dan Target Toko'!$E:$E,0)),0)</f>
        <v>189901</v>
      </c>
      <c r="H182" s="20">
        <f>IFERROR(INDEX('Kode Outlet dan Target Toko'!$D:$D,MATCH($I182,'Kode Outlet dan Target Toko'!$E:$E,0)),0)</f>
        <v>1602020</v>
      </c>
      <c r="I182" s="41" t="s">
        <v>20</v>
      </c>
      <c r="J182" s="56" t="s">
        <v>253</v>
      </c>
      <c r="K182" s="53" t="s">
        <v>13</v>
      </c>
      <c r="L182" s="23">
        <v>2200</v>
      </c>
      <c r="M182" s="24">
        <v>45</v>
      </c>
      <c r="N182" s="25">
        <f t="shared" si="5"/>
        <v>99000</v>
      </c>
      <c r="O182" s="24"/>
    </row>
    <row r="183" spans="1:15" ht="15.75" hidden="1" customHeight="1" x14ac:dyDescent="0.3">
      <c r="A183" s="24">
        <v>23</v>
      </c>
      <c r="B183" s="20" t="str">
        <f t="shared" si="4"/>
        <v>JUN</v>
      </c>
      <c r="C183" s="21">
        <v>46178</v>
      </c>
      <c r="D183" s="22" t="str">
        <f t="array" ref="D183">IFERROR(INDEX('Kode Outlet dan Target Toko'!$A:$A,MATCH($I183,'Kode Outlet dan Target Toko'!$E:$E,0)),"")</f>
        <v>GRSM 4</v>
      </c>
      <c r="E183" s="20" t="str">
        <f>IFERROR(VLOOKUP(I183,KET!$B:$F,4,0),"")</f>
        <v>FAHMI LUKMANUL HAKIM</v>
      </c>
      <c r="F183" s="20" t="str">
        <f>IFERROR(VLOOKUP(I183,KET!$B:$F,5,0),"")</f>
        <v>GMM</v>
      </c>
      <c r="G183" s="20">
        <f>IFERROR(INDEX('Kode Outlet dan Target Toko'!$C:$C,MATCH($I183,'Kode Outlet dan Target Toko'!$E:$E,0)),0)</f>
        <v>189901</v>
      </c>
      <c r="H183" s="20">
        <f>IFERROR(INDEX('Kode Outlet dan Target Toko'!$D:$D,MATCH($I183,'Kode Outlet dan Target Toko'!$E:$E,0)),0)</f>
        <v>1602020</v>
      </c>
      <c r="I183" s="41" t="s">
        <v>20</v>
      </c>
      <c r="J183" s="56" t="s">
        <v>253</v>
      </c>
      <c r="K183" s="53" t="s">
        <v>16</v>
      </c>
      <c r="L183" s="23">
        <v>2200</v>
      </c>
      <c r="M183" s="24"/>
      <c r="N183" s="25">
        <f t="shared" si="5"/>
        <v>0</v>
      </c>
      <c r="O183" s="24"/>
    </row>
    <row r="184" spans="1:15" ht="15.75" hidden="1" customHeight="1" x14ac:dyDescent="0.3">
      <c r="A184" s="24">
        <v>23</v>
      </c>
      <c r="B184" s="20" t="str">
        <f t="shared" si="4"/>
        <v>JUN</v>
      </c>
      <c r="C184" s="21">
        <v>46178</v>
      </c>
      <c r="D184" s="22" t="str">
        <f t="array" ref="D184">IFERROR(INDEX('Kode Outlet dan Target Toko'!$A:$A,MATCH($I184,'Kode Outlet dan Target Toko'!$E:$E,0)),"")</f>
        <v>GRSM 4</v>
      </c>
      <c r="E184" s="20" t="str">
        <f>IFERROR(VLOOKUP(I184,KET!$B:$F,4,0),"")</f>
        <v>FAHMI LUKMANUL HAKIM</v>
      </c>
      <c r="F184" s="20" t="str">
        <f>IFERROR(VLOOKUP(I184,KET!$B:$F,5,0),"")</f>
        <v>GMM</v>
      </c>
      <c r="G184" s="20">
        <f>IFERROR(INDEX('Kode Outlet dan Target Toko'!$C:$C,MATCH($I184,'Kode Outlet dan Target Toko'!$E:$E,0)),0)</f>
        <v>189901</v>
      </c>
      <c r="H184" s="20">
        <f>IFERROR(INDEX('Kode Outlet dan Target Toko'!$D:$D,MATCH($I184,'Kode Outlet dan Target Toko'!$E:$E,0)),0)</f>
        <v>1602020</v>
      </c>
      <c r="I184" s="41" t="s">
        <v>20</v>
      </c>
      <c r="J184" s="56" t="s">
        <v>253</v>
      </c>
      <c r="K184" s="53" t="s">
        <v>14</v>
      </c>
      <c r="L184" s="23">
        <v>2200</v>
      </c>
      <c r="M184" s="24">
        <v>77</v>
      </c>
      <c r="N184" s="25">
        <f t="shared" si="5"/>
        <v>169400</v>
      </c>
      <c r="O184" s="24">
        <v>120</v>
      </c>
    </row>
    <row r="185" spans="1:15" ht="15.75" hidden="1" customHeight="1" x14ac:dyDescent="0.3">
      <c r="A185" s="24">
        <v>23</v>
      </c>
      <c r="B185" s="20" t="str">
        <f t="shared" si="4"/>
        <v>JUN</v>
      </c>
      <c r="C185" s="21">
        <v>46179</v>
      </c>
      <c r="D185" s="22" t="str">
        <f t="array" ref="D185">IFERROR(INDEX('Kode Outlet dan Target Toko'!$A:$A,MATCH($I185,'Kode Outlet dan Target Toko'!$E:$E,0)),"")</f>
        <v>GRSM 4</v>
      </c>
      <c r="E185" s="20" t="str">
        <f>IFERROR(VLOOKUP(I185,KET!$B:$F,4,0),"")</f>
        <v>FAHMI LUKMANUL HAKIM</v>
      </c>
      <c r="F185" s="20" t="str">
        <f>IFERROR(VLOOKUP(I185,KET!$B:$F,5,0),"")</f>
        <v>GMM</v>
      </c>
      <c r="G185" s="20">
        <f>IFERROR(INDEX('Kode Outlet dan Target Toko'!$C:$C,MATCH($I185,'Kode Outlet dan Target Toko'!$E:$E,0)),0)</f>
        <v>189901</v>
      </c>
      <c r="H185" s="20">
        <f>IFERROR(INDEX('Kode Outlet dan Target Toko'!$D:$D,MATCH($I185,'Kode Outlet dan Target Toko'!$E:$E,0)),0)</f>
        <v>1602020</v>
      </c>
      <c r="I185" s="41" t="s">
        <v>20</v>
      </c>
      <c r="J185" s="56" t="s">
        <v>253</v>
      </c>
      <c r="K185" s="53" t="s">
        <v>15</v>
      </c>
      <c r="L185" s="23">
        <v>2200</v>
      </c>
      <c r="M185" s="24">
        <v>57</v>
      </c>
      <c r="N185" s="25">
        <f t="shared" si="5"/>
        <v>125400</v>
      </c>
      <c r="O185" s="24"/>
    </row>
    <row r="186" spans="1:15" ht="15.75" hidden="1" customHeight="1" x14ac:dyDescent="0.3">
      <c r="A186" s="24">
        <v>23</v>
      </c>
      <c r="B186" s="20" t="str">
        <f t="shared" si="4"/>
        <v>JUN</v>
      </c>
      <c r="C186" s="21">
        <v>46179</v>
      </c>
      <c r="D186" s="22" t="str">
        <f t="array" ref="D186">IFERROR(INDEX('Kode Outlet dan Target Toko'!$A:$A,MATCH($I186,'Kode Outlet dan Target Toko'!$E:$E,0)),"")</f>
        <v>GRSM 4</v>
      </c>
      <c r="E186" s="20" t="str">
        <f>IFERROR(VLOOKUP(I186,KET!$B:$F,4,0),"")</f>
        <v>FAHMI LUKMANUL HAKIM</v>
      </c>
      <c r="F186" s="20" t="str">
        <f>IFERROR(VLOOKUP(I186,KET!$B:$F,5,0),"")</f>
        <v>GMM</v>
      </c>
      <c r="G186" s="20">
        <f>IFERROR(INDEX('Kode Outlet dan Target Toko'!$C:$C,MATCH($I186,'Kode Outlet dan Target Toko'!$E:$E,0)),0)</f>
        <v>189901</v>
      </c>
      <c r="H186" s="20">
        <f>IFERROR(INDEX('Kode Outlet dan Target Toko'!$D:$D,MATCH($I186,'Kode Outlet dan Target Toko'!$E:$E,0)),0)</f>
        <v>1602020</v>
      </c>
      <c r="I186" s="41" t="s">
        <v>20</v>
      </c>
      <c r="J186" s="56" t="s">
        <v>253</v>
      </c>
      <c r="K186" s="53" t="s">
        <v>13</v>
      </c>
      <c r="L186" s="23">
        <v>2200</v>
      </c>
      <c r="M186" s="24">
        <v>38</v>
      </c>
      <c r="N186" s="25">
        <f t="shared" si="5"/>
        <v>83600</v>
      </c>
      <c r="O186" s="24"/>
    </row>
    <row r="187" spans="1:15" ht="15.75" hidden="1" customHeight="1" x14ac:dyDescent="0.3">
      <c r="A187" s="24">
        <v>23</v>
      </c>
      <c r="B187" s="20" t="str">
        <f t="shared" si="4"/>
        <v>JUN</v>
      </c>
      <c r="C187" s="21">
        <v>46179</v>
      </c>
      <c r="D187" s="22" t="str">
        <f t="array" ref="D187">IFERROR(INDEX('Kode Outlet dan Target Toko'!$A:$A,MATCH($I187,'Kode Outlet dan Target Toko'!$E:$E,0)),"")</f>
        <v>GRSM 4</v>
      </c>
      <c r="E187" s="20" t="str">
        <f>IFERROR(VLOOKUP(I187,KET!$B:$F,4,0),"")</f>
        <v>FAHMI LUKMANUL HAKIM</v>
      </c>
      <c r="F187" s="20" t="str">
        <f>IFERROR(VLOOKUP(I187,KET!$B:$F,5,0),"")</f>
        <v>GMM</v>
      </c>
      <c r="G187" s="20">
        <f>IFERROR(INDEX('Kode Outlet dan Target Toko'!$C:$C,MATCH($I187,'Kode Outlet dan Target Toko'!$E:$E,0)),0)</f>
        <v>189901</v>
      </c>
      <c r="H187" s="20">
        <f>IFERROR(INDEX('Kode Outlet dan Target Toko'!$D:$D,MATCH($I187,'Kode Outlet dan Target Toko'!$E:$E,0)),0)</f>
        <v>1602020</v>
      </c>
      <c r="I187" s="41" t="s">
        <v>20</v>
      </c>
      <c r="J187" s="56" t="s">
        <v>253</v>
      </c>
      <c r="K187" s="53" t="s">
        <v>16</v>
      </c>
      <c r="L187" s="23">
        <v>2200</v>
      </c>
      <c r="M187" s="24"/>
      <c r="N187" s="25">
        <f t="shared" si="5"/>
        <v>0</v>
      </c>
      <c r="O187" s="24"/>
    </row>
    <row r="188" spans="1:15" ht="15.75" hidden="1" customHeight="1" x14ac:dyDescent="0.3">
      <c r="A188" s="24">
        <v>23</v>
      </c>
      <c r="B188" s="20" t="str">
        <f t="shared" si="4"/>
        <v>JUN</v>
      </c>
      <c r="C188" s="21">
        <v>46179</v>
      </c>
      <c r="D188" s="22" t="str">
        <f t="array" ref="D188">IFERROR(INDEX('Kode Outlet dan Target Toko'!$A:$A,MATCH($I188,'Kode Outlet dan Target Toko'!$E:$E,0)),"")</f>
        <v>GRSM 4</v>
      </c>
      <c r="E188" s="20" t="str">
        <f>IFERROR(VLOOKUP(I188,KET!$B:$F,4,0),"")</f>
        <v>FAHMI LUKMANUL HAKIM</v>
      </c>
      <c r="F188" s="20" t="str">
        <f>IFERROR(VLOOKUP(I188,KET!$B:$F,5,0),"")</f>
        <v>GMM</v>
      </c>
      <c r="G188" s="20">
        <f>IFERROR(INDEX('Kode Outlet dan Target Toko'!$C:$C,MATCH($I188,'Kode Outlet dan Target Toko'!$E:$E,0)),0)</f>
        <v>189901</v>
      </c>
      <c r="H188" s="20">
        <f>IFERROR(INDEX('Kode Outlet dan Target Toko'!$D:$D,MATCH($I188,'Kode Outlet dan Target Toko'!$E:$E,0)),0)</f>
        <v>1602020</v>
      </c>
      <c r="I188" s="41" t="s">
        <v>20</v>
      </c>
      <c r="J188" s="56" t="s">
        <v>253</v>
      </c>
      <c r="K188" s="53" t="s">
        <v>14</v>
      </c>
      <c r="L188" s="23">
        <v>2200</v>
      </c>
      <c r="M188" s="24">
        <v>101</v>
      </c>
      <c r="N188" s="25">
        <f t="shared" si="5"/>
        <v>222200</v>
      </c>
      <c r="O188" s="24">
        <v>120</v>
      </c>
    </row>
    <row r="189" spans="1:15" ht="15.75" hidden="1" customHeight="1" x14ac:dyDescent="0.3">
      <c r="A189" s="24">
        <v>23</v>
      </c>
      <c r="B189" s="20" t="str">
        <f t="shared" si="4"/>
        <v>JUN</v>
      </c>
      <c r="C189" s="21">
        <v>46180</v>
      </c>
      <c r="D189" s="22" t="str">
        <f t="array" ref="D189">IFERROR(INDEX('Kode Outlet dan Target Toko'!$A:$A,MATCH($I189,'Kode Outlet dan Target Toko'!$E:$E,0)),"")</f>
        <v>GRSM 4</v>
      </c>
      <c r="E189" s="20" t="str">
        <f>IFERROR(VLOOKUP(I189,KET!$B:$F,4,0),"")</f>
        <v>FAHMI LUKMANUL HAKIM</v>
      </c>
      <c r="F189" s="20" t="str">
        <f>IFERROR(VLOOKUP(I189,KET!$B:$F,5,0),"")</f>
        <v>GMM</v>
      </c>
      <c r="G189" s="20">
        <f>IFERROR(INDEX('Kode Outlet dan Target Toko'!$C:$C,MATCH($I189,'Kode Outlet dan Target Toko'!$E:$E,0)),0)</f>
        <v>189901</v>
      </c>
      <c r="H189" s="20">
        <f>IFERROR(INDEX('Kode Outlet dan Target Toko'!$D:$D,MATCH($I189,'Kode Outlet dan Target Toko'!$E:$E,0)),0)</f>
        <v>1602020</v>
      </c>
      <c r="I189" s="41" t="s">
        <v>20</v>
      </c>
      <c r="J189" s="56" t="s">
        <v>253</v>
      </c>
      <c r="K189" s="53" t="s">
        <v>15</v>
      </c>
      <c r="L189" s="23">
        <v>2200</v>
      </c>
      <c r="M189" s="24">
        <v>82</v>
      </c>
      <c r="N189" s="25">
        <f t="shared" si="5"/>
        <v>180400</v>
      </c>
      <c r="O189" s="24"/>
    </row>
    <row r="190" spans="1:15" ht="15.75" hidden="1" customHeight="1" x14ac:dyDescent="0.3">
      <c r="A190" s="24">
        <v>23</v>
      </c>
      <c r="B190" s="20" t="str">
        <f t="shared" si="4"/>
        <v>JUN</v>
      </c>
      <c r="C190" s="21">
        <v>46180</v>
      </c>
      <c r="D190" s="22" t="str">
        <f t="array" ref="D190">IFERROR(INDEX('Kode Outlet dan Target Toko'!$A:$A,MATCH($I190,'Kode Outlet dan Target Toko'!$E:$E,0)),"")</f>
        <v>GRSM 4</v>
      </c>
      <c r="E190" s="20" t="str">
        <f>IFERROR(VLOOKUP(I190,KET!$B:$F,4,0),"")</f>
        <v>FAHMI LUKMANUL HAKIM</v>
      </c>
      <c r="F190" s="20" t="str">
        <f>IFERROR(VLOOKUP(I190,KET!$B:$F,5,0),"")</f>
        <v>GMM</v>
      </c>
      <c r="G190" s="20">
        <f>IFERROR(INDEX('Kode Outlet dan Target Toko'!$C:$C,MATCH($I190,'Kode Outlet dan Target Toko'!$E:$E,0)),0)</f>
        <v>189901</v>
      </c>
      <c r="H190" s="20">
        <f>IFERROR(INDEX('Kode Outlet dan Target Toko'!$D:$D,MATCH($I190,'Kode Outlet dan Target Toko'!$E:$E,0)),0)</f>
        <v>1602020</v>
      </c>
      <c r="I190" s="41" t="s">
        <v>20</v>
      </c>
      <c r="J190" s="56" t="s">
        <v>253</v>
      </c>
      <c r="K190" s="53" t="s">
        <v>13</v>
      </c>
      <c r="L190" s="23">
        <v>2200</v>
      </c>
      <c r="M190" s="24">
        <v>23</v>
      </c>
      <c r="N190" s="25">
        <f t="shared" si="5"/>
        <v>50600</v>
      </c>
      <c r="O190" s="24"/>
    </row>
    <row r="191" spans="1:15" ht="15.75" hidden="1" customHeight="1" x14ac:dyDescent="0.3">
      <c r="A191" s="24">
        <v>23</v>
      </c>
      <c r="B191" s="20" t="str">
        <f t="shared" si="4"/>
        <v>JUN</v>
      </c>
      <c r="C191" s="21">
        <v>46180</v>
      </c>
      <c r="D191" s="22" t="str">
        <f t="array" ref="D191">IFERROR(INDEX('Kode Outlet dan Target Toko'!$A:$A,MATCH($I191,'Kode Outlet dan Target Toko'!$E:$E,0)),"")</f>
        <v>GRSM 4</v>
      </c>
      <c r="E191" s="20" t="str">
        <f>IFERROR(VLOOKUP(I191,KET!$B:$F,4,0),"")</f>
        <v>FAHMI LUKMANUL HAKIM</v>
      </c>
      <c r="F191" s="20" t="str">
        <f>IFERROR(VLOOKUP(I191,KET!$B:$F,5,0),"")</f>
        <v>GMM</v>
      </c>
      <c r="G191" s="20">
        <f>IFERROR(INDEX('Kode Outlet dan Target Toko'!$C:$C,MATCH($I191,'Kode Outlet dan Target Toko'!$E:$E,0)),0)</f>
        <v>189901</v>
      </c>
      <c r="H191" s="20">
        <f>IFERROR(INDEX('Kode Outlet dan Target Toko'!$D:$D,MATCH($I191,'Kode Outlet dan Target Toko'!$E:$E,0)),0)</f>
        <v>1602020</v>
      </c>
      <c r="I191" s="41" t="s">
        <v>20</v>
      </c>
      <c r="J191" s="56" t="s">
        <v>253</v>
      </c>
      <c r="K191" s="53" t="s">
        <v>16</v>
      </c>
      <c r="L191" s="23">
        <v>2200</v>
      </c>
      <c r="M191" s="24"/>
      <c r="N191" s="25">
        <f t="shared" si="5"/>
        <v>0</v>
      </c>
      <c r="O191" s="24"/>
    </row>
    <row r="192" spans="1:15" ht="15.75" hidden="1" customHeight="1" x14ac:dyDescent="0.3">
      <c r="A192" s="24">
        <v>23</v>
      </c>
      <c r="B192" s="20" t="str">
        <f t="shared" si="4"/>
        <v>JUN</v>
      </c>
      <c r="C192" s="21">
        <v>46180</v>
      </c>
      <c r="D192" s="22" t="str">
        <f t="array" ref="D192">IFERROR(INDEX('Kode Outlet dan Target Toko'!$A:$A,MATCH($I192,'Kode Outlet dan Target Toko'!$E:$E,0)),"")</f>
        <v>GRSM 4</v>
      </c>
      <c r="E192" s="20" t="str">
        <f>IFERROR(VLOOKUP(I192,KET!$B:$F,4,0),"")</f>
        <v>FAHMI LUKMANUL HAKIM</v>
      </c>
      <c r="F192" s="20" t="str">
        <f>IFERROR(VLOOKUP(I192,KET!$B:$F,5,0),"")</f>
        <v>GMM</v>
      </c>
      <c r="G192" s="20">
        <f>IFERROR(INDEX('Kode Outlet dan Target Toko'!$C:$C,MATCH($I192,'Kode Outlet dan Target Toko'!$E:$E,0)),0)</f>
        <v>103277</v>
      </c>
      <c r="H192" s="20">
        <f>IFERROR(INDEX('Kode Outlet dan Target Toko'!$D:$D,MATCH($I192,'Kode Outlet dan Target Toko'!$E:$E,0)),0)</f>
        <v>6301424</v>
      </c>
      <c r="I192" s="41" t="s">
        <v>25</v>
      </c>
      <c r="J192" s="56" t="s">
        <v>183</v>
      </c>
      <c r="K192" s="53" t="s">
        <v>14</v>
      </c>
      <c r="L192" s="23">
        <v>3000</v>
      </c>
      <c r="M192" s="24">
        <v>10</v>
      </c>
      <c r="N192" s="25">
        <f t="shared" si="5"/>
        <v>30000</v>
      </c>
      <c r="O192" s="24">
        <v>120</v>
      </c>
    </row>
    <row r="193" spans="1:15" ht="15.75" hidden="1" customHeight="1" x14ac:dyDescent="0.3">
      <c r="A193" s="26">
        <v>23</v>
      </c>
      <c r="B193" s="20" t="str">
        <f t="shared" si="4"/>
        <v>JUN</v>
      </c>
      <c r="C193" s="28">
        <v>46178</v>
      </c>
      <c r="D193" s="22" t="str">
        <f t="array" ref="D193">IFERROR(INDEX('Kode Outlet dan Target Toko'!$A:$A,MATCH($I193,'Kode Outlet dan Target Toko'!$E:$E,0)),"")</f>
        <v>GRSM 4</v>
      </c>
      <c r="E193" s="20" t="str">
        <f>IFERROR(VLOOKUP(I193,KET!$B:$F,4,0),"")</f>
        <v>FAHMI LUKMANUL HAKIM</v>
      </c>
      <c r="F193" s="20" t="str">
        <f>IFERROR(VLOOKUP(I193,KET!$B:$F,5,0),"")</f>
        <v>GMM</v>
      </c>
      <c r="G193" s="20">
        <f>IFERROR(INDEX('Kode Outlet dan Target Toko'!$C:$C,MATCH($I193,'Kode Outlet dan Target Toko'!$E:$E,0)),0)</f>
        <v>103277</v>
      </c>
      <c r="H193" s="20">
        <f>IFERROR(INDEX('Kode Outlet dan Target Toko'!$D:$D,MATCH($I193,'Kode Outlet dan Target Toko'!$E:$E,0)),0)</f>
        <v>6301424</v>
      </c>
      <c r="I193" s="51" t="s">
        <v>25</v>
      </c>
      <c r="J193" s="56" t="s">
        <v>183</v>
      </c>
      <c r="K193" s="39" t="s">
        <v>15</v>
      </c>
      <c r="L193" s="29">
        <v>3000</v>
      </c>
      <c r="M193" s="26">
        <v>15</v>
      </c>
      <c r="N193" s="25">
        <f t="shared" si="5"/>
        <v>45000</v>
      </c>
      <c r="O193" s="24"/>
    </row>
    <row r="194" spans="1:15" ht="15.75" hidden="1" customHeight="1" x14ac:dyDescent="0.3">
      <c r="A194" s="26">
        <v>23</v>
      </c>
      <c r="B194" s="20" t="str">
        <f t="shared" si="4"/>
        <v>JUN</v>
      </c>
      <c r="C194" s="28">
        <v>46178</v>
      </c>
      <c r="D194" s="22" t="str">
        <f t="array" ref="D194">IFERROR(INDEX('Kode Outlet dan Target Toko'!$A:$A,MATCH($I194,'Kode Outlet dan Target Toko'!$E:$E,0)),"")</f>
        <v>GRSM 4</v>
      </c>
      <c r="E194" s="20" t="str">
        <f>IFERROR(VLOOKUP(I194,KET!$B:$F,4,0),"")</f>
        <v>FAHMI LUKMANUL HAKIM</v>
      </c>
      <c r="F194" s="20" t="str">
        <f>IFERROR(VLOOKUP(I194,KET!$B:$F,5,0),"")</f>
        <v>GMM</v>
      </c>
      <c r="G194" s="20">
        <f>IFERROR(INDEX('Kode Outlet dan Target Toko'!$C:$C,MATCH($I194,'Kode Outlet dan Target Toko'!$E:$E,0)),0)</f>
        <v>103277</v>
      </c>
      <c r="H194" s="20">
        <f>IFERROR(INDEX('Kode Outlet dan Target Toko'!$D:$D,MATCH($I194,'Kode Outlet dan Target Toko'!$E:$E,0)),0)</f>
        <v>6301424</v>
      </c>
      <c r="I194" s="51" t="s">
        <v>25</v>
      </c>
      <c r="J194" s="56" t="s">
        <v>183</v>
      </c>
      <c r="K194" s="39" t="s">
        <v>13</v>
      </c>
      <c r="L194" s="29">
        <v>3000</v>
      </c>
      <c r="M194" s="26">
        <v>10</v>
      </c>
      <c r="N194" s="25">
        <f t="shared" si="5"/>
        <v>30000</v>
      </c>
      <c r="O194" s="24"/>
    </row>
    <row r="195" spans="1:15" ht="15.75" hidden="1" customHeight="1" x14ac:dyDescent="0.3">
      <c r="A195" s="26">
        <v>23</v>
      </c>
      <c r="B195" s="20" t="str">
        <f t="shared" si="4"/>
        <v>JUN</v>
      </c>
      <c r="C195" s="28">
        <v>46178</v>
      </c>
      <c r="D195" s="22" t="str">
        <f t="array" ref="D195">IFERROR(INDEX('Kode Outlet dan Target Toko'!$A:$A,MATCH($I195,'Kode Outlet dan Target Toko'!$E:$E,0)),"")</f>
        <v>GRSM 4</v>
      </c>
      <c r="E195" s="20" t="str">
        <f>IFERROR(VLOOKUP(I195,KET!$B:$F,4,0),"")</f>
        <v>FAHMI LUKMANUL HAKIM</v>
      </c>
      <c r="F195" s="20" t="str">
        <f>IFERROR(VLOOKUP(I195,KET!$B:$F,5,0),"")</f>
        <v>GMM</v>
      </c>
      <c r="G195" s="20">
        <f>IFERROR(INDEX('Kode Outlet dan Target Toko'!$C:$C,MATCH($I195,'Kode Outlet dan Target Toko'!$E:$E,0)),0)</f>
        <v>103277</v>
      </c>
      <c r="H195" s="20">
        <f>IFERROR(INDEX('Kode Outlet dan Target Toko'!$D:$D,MATCH($I195,'Kode Outlet dan Target Toko'!$E:$E,0)),0)</f>
        <v>6301424</v>
      </c>
      <c r="I195" s="51" t="s">
        <v>25</v>
      </c>
      <c r="J195" s="56" t="s">
        <v>183</v>
      </c>
      <c r="K195" s="39" t="s">
        <v>16</v>
      </c>
      <c r="L195" s="29">
        <v>3000</v>
      </c>
      <c r="M195" s="26">
        <v>200</v>
      </c>
      <c r="N195" s="25">
        <f t="shared" si="5"/>
        <v>600000</v>
      </c>
      <c r="O195" s="24"/>
    </row>
    <row r="196" spans="1:15" ht="15.75" hidden="1" customHeight="1" x14ac:dyDescent="0.3">
      <c r="A196" s="26">
        <v>23</v>
      </c>
      <c r="B196" s="20" t="str">
        <f t="shared" si="4"/>
        <v>JUN</v>
      </c>
      <c r="C196" s="28">
        <v>46178</v>
      </c>
      <c r="D196" s="22" t="str">
        <f t="array" ref="D196">IFERROR(INDEX('Kode Outlet dan Target Toko'!$A:$A,MATCH($I196,'Kode Outlet dan Target Toko'!$E:$E,0)),"")</f>
        <v>GRSM 4</v>
      </c>
      <c r="E196" s="20" t="str">
        <f>IFERROR(VLOOKUP(I196,KET!$B:$F,4,0),"")</f>
        <v>FAHMI LUKMANUL HAKIM</v>
      </c>
      <c r="F196" s="20" t="str">
        <f>IFERROR(VLOOKUP(I196,KET!$B:$F,5,0),"")</f>
        <v>GMM</v>
      </c>
      <c r="G196" s="20">
        <f>IFERROR(INDEX('Kode Outlet dan Target Toko'!$C:$C,MATCH($I196,'Kode Outlet dan Target Toko'!$E:$E,0)),0)</f>
        <v>103277</v>
      </c>
      <c r="H196" s="20">
        <f>IFERROR(INDEX('Kode Outlet dan Target Toko'!$D:$D,MATCH($I196,'Kode Outlet dan Target Toko'!$E:$E,0)),0)</f>
        <v>6301424</v>
      </c>
      <c r="I196" s="51" t="s">
        <v>25</v>
      </c>
      <c r="J196" s="27" t="s">
        <v>257</v>
      </c>
      <c r="K196" s="39" t="s">
        <v>14</v>
      </c>
      <c r="L196" s="29">
        <v>3000</v>
      </c>
      <c r="M196" s="26">
        <v>15</v>
      </c>
      <c r="N196" s="25">
        <f t="shared" si="5"/>
        <v>45000</v>
      </c>
      <c r="O196" s="26">
        <v>100</v>
      </c>
    </row>
    <row r="197" spans="1:15" ht="15.75" hidden="1" customHeight="1" x14ac:dyDescent="0.3">
      <c r="A197" s="26">
        <v>23</v>
      </c>
      <c r="B197" s="20" t="str">
        <f t="shared" si="4"/>
        <v>JUN</v>
      </c>
      <c r="C197" s="28">
        <v>46178</v>
      </c>
      <c r="D197" s="22" t="str">
        <f t="array" ref="D197">IFERROR(INDEX('Kode Outlet dan Target Toko'!$A:$A,MATCH($I197,'Kode Outlet dan Target Toko'!$E:$E,0)),"")</f>
        <v>GRSM 4</v>
      </c>
      <c r="E197" s="20" t="str">
        <f>IFERROR(VLOOKUP(I197,KET!$B:$F,4,0),"")</f>
        <v>FAHMI LUKMANUL HAKIM</v>
      </c>
      <c r="F197" s="20" t="str">
        <f>IFERROR(VLOOKUP(I197,KET!$B:$F,5,0),"")</f>
        <v>GMM</v>
      </c>
      <c r="G197" s="20">
        <f>IFERROR(INDEX('Kode Outlet dan Target Toko'!$C:$C,MATCH($I197,'Kode Outlet dan Target Toko'!$E:$E,0)),0)</f>
        <v>103277</v>
      </c>
      <c r="H197" s="20">
        <f>IFERROR(INDEX('Kode Outlet dan Target Toko'!$D:$D,MATCH($I197,'Kode Outlet dan Target Toko'!$E:$E,0)),0)</f>
        <v>6301424</v>
      </c>
      <c r="I197" s="51" t="s">
        <v>25</v>
      </c>
      <c r="J197" s="27" t="s">
        <v>257</v>
      </c>
      <c r="K197" s="39" t="s">
        <v>15</v>
      </c>
      <c r="L197" s="29">
        <v>3000</v>
      </c>
      <c r="M197" s="26">
        <v>20</v>
      </c>
      <c r="N197" s="25">
        <f t="shared" si="5"/>
        <v>60000</v>
      </c>
      <c r="O197" s="24"/>
    </row>
    <row r="198" spans="1:15" ht="15.75" hidden="1" customHeight="1" x14ac:dyDescent="0.3">
      <c r="A198" s="26">
        <v>23</v>
      </c>
      <c r="B198" s="20" t="str">
        <f t="shared" si="4"/>
        <v>JUN</v>
      </c>
      <c r="C198" s="28">
        <v>46178</v>
      </c>
      <c r="D198" s="22" t="str">
        <f t="array" ref="D198">IFERROR(INDEX('Kode Outlet dan Target Toko'!$A:$A,MATCH($I198,'Kode Outlet dan Target Toko'!$E:$E,0)),"")</f>
        <v>GRSM 4</v>
      </c>
      <c r="E198" s="20" t="str">
        <f>IFERROR(VLOOKUP(I198,KET!$B:$F,4,0),"")</f>
        <v>FAHMI LUKMANUL HAKIM</v>
      </c>
      <c r="F198" s="20" t="str">
        <f>IFERROR(VLOOKUP(I198,KET!$B:$F,5,0),"")</f>
        <v>GMM</v>
      </c>
      <c r="G198" s="20">
        <f>IFERROR(INDEX('Kode Outlet dan Target Toko'!$C:$C,MATCH($I198,'Kode Outlet dan Target Toko'!$E:$E,0)),0)</f>
        <v>103277</v>
      </c>
      <c r="H198" s="20">
        <f>IFERROR(INDEX('Kode Outlet dan Target Toko'!$D:$D,MATCH($I198,'Kode Outlet dan Target Toko'!$E:$E,0)),0)</f>
        <v>6301424</v>
      </c>
      <c r="I198" s="51" t="s">
        <v>25</v>
      </c>
      <c r="J198" s="27" t="s">
        <v>257</v>
      </c>
      <c r="K198" s="39" t="s">
        <v>13</v>
      </c>
      <c r="L198" s="29">
        <v>3000</v>
      </c>
      <c r="M198" s="26">
        <v>10</v>
      </c>
      <c r="N198" s="25">
        <f t="shared" si="5"/>
        <v>30000</v>
      </c>
      <c r="O198" s="24"/>
    </row>
    <row r="199" spans="1:15" ht="15.75" hidden="1" customHeight="1" x14ac:dyDescent="0.3">
      <c r="A199" s="26">
        <v>23</v>
      </c>
      <c r="B199" s="20" t="str">
        <f t="shared" ref="B199:B262" si="6">IF(C199="","",UPPER(TEXT(C199, "MMM")))</f>
        <v>JUN</v>
      </c>
      <c r="C199" s="28">
        <v>46178</v>
      </c>
      <c r="D199" s="22" t="str">
        <f t="array" ref="D199">IFERROR(INDEX('Kode Outlet dan Target Toko'!$A:$A,MATCH($I199,'Kode Outlet dan Target Toko'!$E:$E,0)),"")</f>
        <v>GRSM 4</v>
      </c>
      <c r="E199" s="20" t="str">
        <f>IFERROR(VLOOKUP(I199,KET!$B:$F,4,0),"")</f>
        <v>FAHMI LUKMANUL HAKIM</v>
      </c>
      <c r="F199" s="20" t="str">
        <f>IFERROR(VLOOKUP(I199,KET!$B:$F,5,0),"")</f>
        <v>GMM</v>
      </c>
      <c r="G199" s="20">
        <f>IFERROR(INDEX('Kode Outlet dan Target Toko'!$C:$C,MATCH($I199,'Kode Outlet dan Target Toko'!$E:$E,0)),0)</f>
        <v>103277</v>
      </c>
      <c r="H199" s="20">
        <f>IFERROR(INDEX('Kode Outlet dan Target Toko'!$D:$D,MATCH($I199,'Kode Outlet dan Target Toko'!$E:$E,0)),0)</f>
        <v>6301424</v>
      </c>
      <c r="I199" s="51" t="s">
        <v>25</v>
      </c>
      <c r="J199" s="27" t="s">
        <v>257</v>
      </c>
      <c r="K199" s="39" t="s">
        <v>16</v>
      </c>
      <c r="L199" s="29">
        <v>3000</v>
      </c>
      <c r="M199" s="26">
        <v>200</v>
      </c>
      <c r="N199" s="25">
        <f t="shared" ref="N199:N262" si="7">IFERROR(M199*L199,"")</f>
        <v>600000</v>
      </c>
      <c r="O199" s="24"/>
    </row>
    <row r="200" spans="1:15" ht="15.75" hidden="1" customHeight="1" x14ac:dyDescent="0.3">
      <c r="A200" s="26">
        <v>23</v>
      </c>
      <c r="B200" s="20" t="str">
        <f t="shared" si="6"/>
        <v>JUN</v>
      </c>
      <c r="C200" s="28">
        <v>46178</v>
      </c>
      <c r="D200" s="22" t="str">
        <f t="array" ref="D200">IFERROR(INDEX('Kode Outlet dan Target Toko'!$A:$A,MATCH($I200,'Kode Outlet dan Target Toko'!$E:$E,0)),"")</f>
        <v>GRSM 4</v>
      </c>
      <c r="E200" s="20" t="str">
        <f>IFERROR(VLOOKUP(I200,KET!$B:$F,4,0),"")</f>
        <v>FAHMI LUKMANUL HAKIM</v>
      </c>
      <c r="F200" s="20" t="str">
        <f>IFERROR(VLOOKUP(I200,KET!$B:$F,5,0),"")</f>
        <v>GMM</v>
      </c>
      <c r="G200" s="20">
        <f>IFERROR(INDEX('Kode Outlet dan Target Toko'!$C:$C,MATCH($I200,'Kode Outlet dan Target Toko'!$E:$E,0)),0)</f>
        <v>103277</v>
      </c>
      <c r="H200" s="20">
        <f>IFERROR(INDEX('Kode Outlet dan Target Toko'!$D:$D,MATCH($I200,'Kode Outlet dan Target Toko'!$E:$E,0)),0)</f>
        <v>6301424</v>
      </c>
      <c r="I200" s="51" t="s">
        <v>25</v>
      </c>
      <c r="J200" s="56" t="s">
        <v>183</v>
      </c>
      <c r="K200" s="39" t="s">
        <v>14</v>
      </c>
      <c r="L200" s="29">
        <v>3000</v>
      </c>
      <c r="M200" s="26">
        <v>120</v>
      </c>
      <c r="N200" s="25">
        <f t="shared" si="7"/>
        <v>360000</v>
      </c>
      <c r="O200" s="26">
        <v>100</v>
      </c>
    </row>
    <row r="201" spans="1:15" ht="15.75" hidden="1" customHeight="1" x14ac:dyDescent="0.3">
      <c r="A201" s="26">
        <v>23</v>
      </c>
      <c r="B201" s="20" t="str">
        <f t="shared" si="6"/>
        <v>JUN</v>
      </c>
      <c r="C201" s="28">
        <v>46179</v>
      </c>
      <c r="D201" s="22" t="str">
        <f t="array" ref="D201">IFERROR(INDEX('Kode Outlet dan Target Toko'!$A:$A,MATCH($I201,'Kode Outlet dan Target Toko'!$E:$E,0)),"")</f>
        <v>GRSM 4</v>
      </c>
      <c r="E201" s="20" t="str">
        <f>IFERROR(VLOOKUP(I201,KET!$B:$F,4,0),"")</f>
        <v>FAHMI LUKMANUL HAKIM</v>
      </c>
      <c r="F201" s="20" t="str">
        <f>IFERROR(VLOOKUP(I201,KET!$B:$F,5,0),"")</f>
        <v>GMM</v>
      </c>
      <c r="G201" s="20">
        <f>IFERROR(INDEX('Kode Outlet dan Target Toko'!$C:$C,MATCH($I201,'Kode Outlet dan Target Toko'!$E:$E,0)),0)</f>
        <v>103277</v>
      </c>
      <c r="H201" s="20">
        <f>IFERROR(INDEX('Kode Outlet dan Target Toko'!$D:$D,MATCH($I201,'Kode Outlet dan Target Toko'!$E:$E,0)),0)</f>
        <v>6301424</v>
      </c>
      <c r="I201" s="51" t="s">
        <v>25</v>
      </c>
      <c r="J201" s="56" t="s">
        <v>183</v>
      </c>
      <c r="K201" s="39" t="s">
        <v>15</v>
      </c>
      <c r="L201" s="29">
        <v>3000</v>
      </c>
      <c r="M201" s="26">
        <v>20</v>
      </c>
      <c r="N201" s="25">
        <f t="shared" si="7"/>
        <v>60000</v>
      </c>
      <c r="O201" s="24"/>
    </row>
    <row r="202" spans="1:15" ht="15.75" hidden="1" customHeight="1" x14ac:dyDescent="0.3">
      <c r="A202" s="26">
        <v>23</v>
      </c>
      <c r="B202" s="20" t="str">
        <f t="shared" si="6"/>
        <v>JUN</v>
      </c>
      <c r="C202" s="28">
        <v>46179</v>
      </c>
      <c r="D202" s="22" t="str">
        <f t="array" ref="D202">IFERROR(INDEX('Kode Outlet dan Target Toko'!$A:$A,MATCH($I202,'Kode Outlet dan Target Toko'!$E:$E,0)),"")</f>
        <v>GRSM 4</v>
      </c>
      <c r="E202" s="20" t="str">
        <f>IFERROR(VLOOKUP(I202,KET!$B:$F,4,0),"")</f>
        <v>FAHMI LUKMANUL HAKIM</v>
      </c>
      <c r="F202" s="20" t="str">
        <f>IFERROR(VLOOKUP(I202,KET!$B:$F,5,0),"")</f>
        <v>GMM</v>
      </c>
      <c r="G202" s="20">
        <f>IFERROR(INDEX('Kode Outlet dan Target Toko'!$C:$C,MATCH($I202,'Kode Outlet dan Target Toko'!$E:$E,0)),0)</f>
        <v>103277</v>
      </c>
      <c r="H202" s="20">
        <f>IFERROR(INDEX('Kode Outlet dan Target Toko'!$D:$D,MATCH($I202,'Kode Outlet dan Target Toko'!$E:$E,0)),0)</f>
        <v>6301424</v>
      </c>
      <c r="I202" s="51" t="s">
        <v>25</v>
      </c>
      <c r="J202" s="56" t="s">
        <v>183</v>
      </c>
      <c r="K202" s="39" t="s">
        <v>13</v>
      </c>
      <c r="L202" s="29">
        <v>3000</v>
      </c>
      <c r="M202" s="26">
        <v>20</v>
      </c>
      <c r="N202" s="25">
        <f t="shared" si="7"/>
        <v>60000</v>
      </c>
      <c r="O202" s="24"/>
    </row>
    <row r="203" spans="1:15" ht="15.75" hidden="1" customHeight="1" x14ac:dyDescent="0.3">
      <c r="A203" s="26">
        <v>23</v>
      </c>
      <c r="B203" s="20" t="str">
        <f t="shared" si="6"/>
        <v>JUN</v>
      </c>
      <c r="C203" s="28">
        <v>46179</v>
      </c>
      <c r="D203" s="22" t="str">
        <f t="array" ref="D203">IFERROR(INDEX('Kode Outlet dan Target Toko'!$A:$A,MATCH($I203,'Kode Outlet dan Target Toko'!$E:$E,0)),"")</f>
        <v>GRSM 4</v>
      </c>
      <c r="E203" s="20" t="str">
        <f>IFERROR(VLOOKUP(I203,KET!$B:$F,4,0),"")</f>
        <v>FAHMI LUKMANUL HAKIM</v>
      </c>
      <c r="F203" s="20" t="str">
        <f>IFERROR(VLOOKUP(I203,KET!$B:$F,5,0),"")</f>
        <v>GMM</v>
      </c>
      <c r="G203" s="20">
        <f>IFERROR(INDEX('Kode Outlet dan Target Toko'!$C:$C,MATCH($I203,'Kode Outlet dan Target Toko'!$E:$E,0)),0)</f>
        <v>103277</v>
      </c>
      <c r="H203" s="20">
        <f>IFERROR(INDEX('Kode Outlet dan Target Toko'!$D:$D,MATCH($I203,'Kode Outlet dan Target Toko'!$E:$E,0)),0)</f>
        <v>6301424</v>
      </c>
      <c r="I203" s="51" t="s">
        <v>25</v>
      </c>
      <c r="J203" s="56" t="s">
        <v>183</v>
      </c>
      <c r="K203" s="39" t="s">
        <v>16</v>
      </c>
      <c r="L203" s="29">
        <v>3000</v>
      </c>
      <c r="M203" s="26">
        <v>100</v>
      </c>
      <c r="N203" s="25">
        <f t="shared" si="7"/>
        <v>300000</v>
      </c>
      <c r="O203" s="24"/>
    </row>
    <row r="204" spans="1:15" ht="15.75" hidden="1" customHeight="1" x14ac:dyDescent="0.3">
      <c r="A204" s="26">
        <v>23</v>
      </c>
      <c r="B204" s="20" t="str">
        <f t="shared" si="6"/>
        <v>JUN</v>
      </c>
      <c r="C204" s="28">
        <v>46179</v>
      </c>
      <c r="D204" s="22" t="str">
        <f t="array" ref="D204">IFERROR(INDEX('Kode Outlet dan Target Toko'!$A:$A,MATCH($I204,'Kode Outlet dan Target Toko'!$E:$E,0)),"")</f>
        <v>GRSM 4</v>
      </c>
      <c r="E204" s="20" t="str">
        <f>IFERROR(VLOOKUP(I204,KET!$B:$F,4,0),"")</f>
        <v>FAHMI LUKMANUL HAKIM</v>
      </c>
      <c r="F204" s="20" t="str">
        <f>IFERROR(VLOOKUP(I204,KET!$B:$F,5,0),"")</f>
        <v>GMM</v>
      </c>
      <c r="G204" s="20">
        <f>IFERROR(INDEX('Kode Outlet dan Target Toko'!$C:$C,MATCH($I204,'Kode Outlet dan Target Toko'!$E:$E,0)),0)</f>
        <v>103277</v>
      </c>
      <c r="H204" s="20">
        <f>IFERROR(INDEX('Kode Outlet dan Target Toko'!$D:$D,MATCH($I204,'Kode Outlet dan Target Toko'!$E:$E,0)),0)</f>
        <v>6301424</v>
      </c>
      <c r="I204" s="51" t="s">
        <v>25</v>
      </c>
      <c r="J204" s="27" t="s">
        <v>257</v>
      </c>
      <c r="K204" s="39" t="s">
        <v>14</v>
      </c>
      <c r="L204" s="29">
        <v>3000</v>
      </c>
      <c r="M204" s="26">
        <v>100</v>
      </c>
      <c r="N204" s="25">
        <f t="shared" si="7"/>
        <v>300000</v>
      </c>
      <c r="O204" s="26">
        <v>160</v>
      </c>
    </row>
    <row r="205" spans="1:15" ht="15.75" hidden="1" customHeight="1" x14ac:dyDescent="0.3">
      <c r="A205" s="26">
        <v>23</v>
      </c>
      <c r="B205" s="20" t="str">
        <f t="shared" si="6"/>
        <v>JUN</v>
      </c>
      <c r="C205" s="28">
        <v>46179</v>
      </c>
      <c r="D205" s="22" t="str">
        <f t="array" ref="D205">IFERROR(INDEX('Kode Outlet dan Target Toko'!$A:$A,MATCH($I205,'Kode Outlet dan Target Toko'!$E:$E,0)),"")</f>
        <v>GRSM 4</v>
      </c>
      <c r="E205" s="20" t="str">
        <f>IFERROR(VLOOKUP(I205,KET!$B:$F,4,0),"")</f>
        <v>FAHMI LUKMANUL HAKIM</v>
      </c>
      <c r="F205" s="20" t="str">
        <f>IFERROR(VLOOKUP(I205,KET!$B:$F,5,0),"")</f>
        <v>GMM</v>
      </c>
      <c r="G205" s="20">
        <f>IFERROR(INDEX('Kode Outlet dan Target Toko'!$C:$C,MATCH($I205,'Kode Outlet dan Target Toko'!$E:$E,0)),0)</f>
        <v>103277</v>
      </c>
      <c r="H205" s="20">
        <f>IFERROR(INDEX('Kode Outlet dan Target Toko'!$D:$D,MATCH($I205,'Kode Outlet dan Target Toko'!$E:$E,0)),0)</f>
        <v>6301424</v>
      </c>
      <c r="I205" s="51" t="s">
        <v>25</v>
      </c>
      <c r="J205" s="27" t="s">
        <v>257</v>
      </c>
      <c r="K205" s="39" t="s">
        <v>15</v>
      </c>
      <c r="L205" s="29">
        <v>3000</v>
      </c>
      <c r="M205" s="26">
        <v>20</v>
      </c>
      <c r="N205" s="25">
        <f t="shared" si="7"/>
        <v>60000</v>
      </c>
      <c r="O205" s="24"/>
    </row>
    <row r="206" spans="1:15" ht="15.75" hidden="1" customHeight="1" x14ac:dyDescent="0.3">
      <c r="A206" s="26">
        <v>23</v>
      </c>
      <c r="B206" s="20" t="str">
        <f t="shared" si="6"/>
        <v>JUN</v>
      </c>
      <c r="C206" s="28">
        <v>46179</v>
      </c>
      <c r="D206" s="22" t="str">
        <f t="array" ref="D206">IFERROR(INDEX('Kode Outlet dan Target Toko'!$A:$A,MATCH($I206,'Kode Outlet dan Target Toko'!$E:$E,0)),"")</f>
        <v>GRSM 4</v>
      </c>
      <c r="E206" s="20" t="str">
        <f>IFERROR(VLOOKUP(I206,KET!$B:$F,4,0),"")</f>
        <v>FAHMI LUKMANUL HAKIM</v>
      </c>
      <c r="F206" s="20" t="str">
        <f>IFERROR(VLOOKUP(I206,KET!$B:$F,5,0),"")</f>
        <v>GMM</v>
      </c>
      <c r="G206" s="20">
        <f>IFERROR(INDEX('Kode Outlet dan Target Toko'!$C:$C,MATCH($I206,'Kode Outlet dan Target Toko'!$E:$E,0)),0)</f>
        <v>103277</v>
      </c>
      <c r="H206" s="20">
        <f>IFERROR(INDEX('Kode Outlet dan Target Toko'!$D:$D,MATCH($I206,'Kode Outlet dan Target Toko'!$E:$E,0)),0)</f>
        <v>6301424</v>
      </c>
      <c r="I206" s="51" t="s">
        <v>25</v>
      </c>
      <c r="J206" s="27" t="s">
        <v>257</v>
      </c>
      <c r="K206" s="39" t="s">
        <v>13</v>
      </c>
      <c r="L206" s="29">
        <v>3000</v>
      </c>
      <c r="M206" s="26">
        <v>20</v>
      </c>
      <c r="N206" s="25">
        <f t="shared" si="7"/>
        <v>60000</v>
      </c>
      <c r="O206" s="24"/>
    </row>
    <row r="207" spans="1:15" ht="15.75" hidden="1" customHeight="1" x14ac:dyDescent="0.3">
      <c r="A207" s="26">
        <v>23</v>
      </c>
      <c r="B207" s="20" t="str">
        <f t="shared" si="6"/>
        <v>JUN</v>
      </c>
      <c r="C207" s="28">
        <v>46179</v>
      </c>
      <c r="D207" s="22" t="str">
        <f t="array" ref="D207">IFERROR(INDEX('Kode Outlet dan Target Toko'!$A:$A,MATCH($I207,'Kode Outlet dan Target Toko'!$E:$E,0)),"")</f>
        <v>GRSM 4</v>
      </c>
      <c r="E207" s="20" t="str">
        <f>IFERROR(VLOOKUP(I207,KET!$B:$F,4,0),"")</f>
        <v>FAHMI LUKMANUL HAKIM</v>
      </c>
      <c r="F207" s="20" t="str">
        <f>IFERROR(VLOOKUP(I207,KET!$B:$F,5,0),"")</f>
        <v>GMM</v>
      </c>
      <c r="G207" s="20">
        <f>IFERROR(INDEX('Kode Outlet dan Target Toko'!$C:$C,MATCH($I207,'Kode Outlet dan Target Toko'!$E:$E,0)),0)</f>
        <v>103277</v>
      </c>
      <c r="H207" s="20">
        <f>IFERROR(INDEX('Kode Outlet dan Target Toko'!$D:$D,MATCH($I207,'Kode Outlet dan Target Toko'!$E:$E,0)),0)</f>
        <v>6301424</v>
      </c>
      <c r="I207" s="51" t="s">
        <v>25</v>
      </c>
      <c r="J207" s="27" t="s">
        <v>257</v>
      </c>
      <c r="K207" s="39" t="s">
        <v>16</v>
      </c>
      <c r="L207" s="29">
        <v>3000</v>
      </c>
      <c r="M207" s="26">
        <v>70</v>
      </c>
      <c r="N207" s="25">
        <f t="shared" si="7"/>
        <v>210000</v>
      </c>
      <c r="O207" s="24"/>
    </row>
    <row r="208" spans="1:15" ht="15.75" hidden="1" customHeight="1" x14ac:dyDescent="0.3">
      <c r="A208" s="26">
        <v>23</v>
      </c>
      <c r="B208" s="20" t="str">
        <f t="shared" si="6"/>
        <v>JUN</v>
      </c>
      <c r="C208" s="28">
        <v>46179</v>
      </c>
      <c r="D208" s="22" t="str">
        <f t="array" ref="D208">IFERROR(INDEX('Kode Outlet dan Target Toko'!$A:$A,MATCH($I208,'Kode Outlet dan Target Toko'!$E:$E,0)),"")</f>
        <v>GRSM 4</v>
      </c>
      <c r="E208" s="20" t="str">
        <f>IFERROR(VLOOKUP(I208,KET!$B:$F,4,0),"")</f>
        <v>FAHMI LUKMANUL HAKIM</v>
      </c>
      <c r="F208" s="20" t="str">
        <f>IFERROR(VLOOKUP(I208,KET!$B:$F,5,0),"")</f>
        <v>GMM</v>
      </c>
      <c r="G208" s="20">
        <f>IFERROR(INDEX('Kode Outlet dan Target Toko'!$C:$C,MATCH($I208,'Kode Outlet dan Target Toko'!$E:$E,0)),0)</f>
        <v>103277</v>
      </c>
      <c r="H208" s="20">
        <f>IFERROR(INDEX('Kode Outlet dan Target Toko'!$D:$D,MATCH($I208,'Kode Outlet dan Target Toko'!$E:$E,0)),0)</f>
        <v>6301424</v>
      </c>
      <c r="I208" s="51" t="s">
        <v>25</v>
      </c>
      <c r="J208" s="56" t="s">
        <v>183</v>
      </c>
      <c r="K208" s="39" t="s">
        <v>14</v>
      </c>
      <c r="L208" s="29">
        <v>3000</v>
      </c>
      <c r="M208" s="26">
        <v>89</v>
      </c>
      <c r="N208" s="25">
        <f t="shared" si="7"/>
        <v>267000</v>
      </c>
      <c r="O208" s="26">
        <v>160</v>
      </c>
    </row>
    <row r="209" spans="1:15" ht="15.75" hidden="1" customHeight="1" x14ac:dyDescent="0.3">
      <c r="A209" s="26">
        <v>23</v>
      </c>
      <c r="B209" s="20" t="str">
        <f t="shared" si="6"/>
        <v>JUN</v>
      </c>
      <c r="C209" s="28">
        <v>46180</v>
      </c>
      <c r="D209" s="22" t="str">
        <f t="array" ref="D209">IFERROR(INDEX('Kode Outlet dan Target Toko'!$A:$A,MATCH($I209,'Kode Outlet dan Target Toko'!$E:$E,0)),"")</f>
        <v>GRSM 4</v>
      </c>
      <c r="E209" s="20" t="str">
        <f>IFERROR(VLOOKUP(I209,KET!$B:$F,4,0),"")</f>
        <v>FAHMI LUKMANUL HAKIM</v>
      </c>
      <c r="F209" s="20" t="str">
        <f>IFERROR(VLOOKUP(I209,KET!$B:$F,5,0),"")</f>
        <v>GMM</v>
      </c>
      <c r="G209" s="20">
        <f>IFERROR(INDEX('Kode Outlet dan Target Toko'!$C:$C,MATCH($I209,'Kode Outlet dan Target Toko'!$E:$E,0)),0)</f>
        <v>103277</v>
      </c>
      <c r="H209" s="20">
        <f>IFERROR(INDEX('Kode Outlet dan Target Toko'!$D:$D,MATCH($I209,'Kode Outlet dan Target Toko'!$E:$E,0)),0)</f>
        <v>6301424</v>
      </c>
      <c r="I209" s="51" t="s">
        <v>25</v>
      </c>
      <c r="J209" s="56" t="s">
        <v>183</v>
      </c>
      <c r="K209" s="39" t="s">
        <v>15</v>
      </c>
      <c r="L209" s="29">
        <v>3000</v>
      </c>
      <c r="M209" s="26">
        <v>30</v>
      </c>
      <c r="N209" s="25">
        <f t="shared" si="7"/>
        <v>90000</v>
      </c>
      <c r="O209" s="24"/>
    </row>
    <row r="210" spans="1:15" ht="15.75" hidden="1" customHeight="1" x14ac:dyDescent="0.3">
      <c r="A210" s="26">
        <v>23</v>
      </c>
      <c r="B210" s="20" t="str">
        <f t="shared" si="6"/>
        <v>JUN</v>
      </c>
      <c r="C210" s="28">
        <v>46180</v>
      </c>
      <c r="D210" s="22" t="str">
        <f t="array" ref="D210">IFERROR(INDEX('Kode Outlet dan Target Toko'!$A:$A,MATCH($I210,'Kode Outlet dan Target Toko'!$E:$E,0)),"")</f>
        <v>GRSM 4</v>
      </c>
      <c r="E210" s="20" t="str">
        <f>IFERROR(VLOOKUP(I210,KET!$B:$F,4,0),"")</f>
        <v>FAHMI LUKMANUL HAKIM</v>
      </c>
      <c r="F210" s="20" t="str">
        <f>IFERROR(VLOOKUP(I210,KET!$B:$F,5,0),"")</f>
        <v>GMM</v>
      </c>
      <c r="G210" s="20">
        <f>IFERROR(INDEX('Kode Outlet dan Target Toko'!$C:$C,MATCH($I210,'Kode Outlet dan Target Toko'!$E:$E,0)),0)</f>
        <v>103277</v>
      </c>
      <c r="H210" s="20">
        <f>IFERROR(INDEX('Kode Outlet dan Target Toko'!$D:$D,MATCH($I210,'Kode Outlet dan Target Toko'!$E:$E,0)),0)</f>
        <v>6301424</v>
      </c>
      <c r="I210" s="51" t="s">
        <v>25</v>
      </c>
      <c r="J210" s="56" t="s">
        <v>183</v>
      </c>
      <c r="K210" s="39" t="s">
        <v>13</v>
      </c>
      <c r="L210" s="29">
        <v>3000</v>
      </c>
      <c r="M210" s="26">
        <v>20</v>
      </c>
      <c r="N210" s="25">
        <f t="shared" si="7"/>
        <v>60000</v>
      </c>
      <c r="O210" s="24"/>
    </row>
    <row r="211" spans="1:15" ht="15.75" hidden="1" customHeight="1" x14ac:dyDescent="0.3">
      <c r="A211" s="26">
        <v>23</v>
      </c>
      <c r="B211" s="20" t="str">
        <f t="shared" si="6"/>
        <v>JUN</v>
      </c>
      <c r="C211" s="28">
        <v>46180</v>
      </c>
      <c r="D211" s="22" t="str">
        <f t="array" ref="D211">IFERROR(INDEX('Kode Outlet dan Target Toko'!$A:$A,MATCH($I211,'Kode Outlet dan Target Toko'!$E:$E,0)),"")</f>
        <v>GRSM 4</v>
      </c>
      <c r="E211" s="20" t="str">
        <f>IFERROR(VLOOKUP(I211,KET!$B:$F,4,0),"")</f>
        <v>FAHMI LUKMANUL HAKIM</v>
      </c>
      <c r="F211" s="20" t="str">
        <f>IFERROR(VLOOKUP(I211,KET!$B:$F,5,0),"")</f>
        <v>GMM</v>
      </c>
      <c r="G211" s="20">
        <f>IFERROR(INDEX('Kode Outlet dan Target Toko'!$C:$C,MATCH($I211,'Kode Outlet dan Target Toko'!$E:$E,0)),0)</f>
        <v>103277</v>
      </c>
      <c r="H211" s="20">
        <f>IFERROR(INDEX('Kode Outlet dan Target Toko'!$D:$D,MATCH($I211,'Kode Outlet dan Target Toko'!$E:$E,0)),0)</f>
        <v>6301424</v>
      </c>
      <c r="I211" s="51" t="s">
        <v>25</v>
      </c>
      <c r="J211" s="56" t="s">
        <v>183</v>
      </c>
      <c r="K211" s="39" t="s">
        <v>16</v>
      </c>
      <c r="L211" s="29">
        <v>3000</v>
      </c>
      <c r="M211" s="26">
        <v>135</v>
      </c>
      <c r="N211" s="25">
        <f t="shared" si="7"/>
        <v>405000</v>
      </c>
      <c r="O211" s="24"/>
    </row>
    <row r="212" spans="1:15" ht="15.75" hidden="1" customHeight="1" x14ac:dyDescent="0.3">
      <c r="A212" s="26">
        <v>23</v>
      </c>
      <c r="B212" s="20" t="str">
        <f t="shared" si="6"/>
        <v>JUN</v>
      </c>
      <c r="C212" s="28">
        <v>46180</v>
      </c>
      <c r="D212" s="22" t="str">
        <f t="array" ref="D212">IFERROR(INDEX('Kode Outlet dan Target Toko'!$A:$A,MATCH($I212,'Kode Outlet dan Target Toko'!$E:$E,0)),"")</f>
        <v>GRSM 4</v>
      </c>
      <c r="E212" s="20" t="str">
        <f>IFERROR(VLOOKUP(I212,KET!$B:$F,4,0),"")</f>
        <v>FAHMI LUKMANUL HAKIM</v>
      </c>
      <c r="F212" s="20" t="str">
        <f>IFERROR(VLOOKUP(I212,KET!$B:$F,5,0),"")</f>
        <v>GMM</v>
      </c>
      <c r="G212" s="20">
        <f>IFERROR(INDEX('Kode Outlet dan Target Toko'!$C:$C,MATCH($I212,'Kode Outlet dan Target Toko'!$E:$E,0)),0)</f>
        <v>103277</v>
      </c>
      <c r="H212" s="20">
        <f>IFERROR(INDEX('Kode Outlet dan Target Toko'!$D:$D,MATCH($I212,'Kode Outlet dan Target Toko'!$E:$E,0)),0)</f>
        <v>6301424</v>
      </c>
      <c r="I212" s="51" t="s">
        <v>25</v>
      </c>
      <c r="J212" s="27" t="s">
        <v>257</v>
      </c>
      <c r="K212" s="39" t="s">
        <v>14</v>
      </c>
      <c r="L212" s="29">
        <v>3000</v>
      </c>
      <c r="M212" s="26">
        <v>90</v>
      </c>
      <c r="N212" s="25">
        <f t="shared" si="7"/>
        <v>270000</v>
      </c>
      <c r="O212" s="26">
        <v>150</v>
      </c>
    </row>
    <row r="213" spans="1:15" ht="15.75" hidden="1" customHeight="1" x14ac:dyDescent="0.3">
      <c r="A213" s="26">
        <v>23</v>
      </c>
      <c r="B213" s="20" t="str">
        <f t="shared" si="6"/>
        <v>JUN</v>
      </c>
      <c r="C213" s="28">
        <v>46180</v>
      </c>
      <c r="D213" s="22" t="str">
        <f t="array" ref="D213">IFERROR(INDEX('Kode Outlet dan Target Toko'!$A:$A,MATCH($I213,'Kode Outlet dan Target Toko'!$E:$E,0)),"")</f>
        <v>GRSM 4</v>
      </c>
      <c r="E213" s="20" t="str">
        <f>IFERROR(VLOOKUP(I213,KET!$B:$F,4,0),"")</f>
        <v>FAHMI LUKMANUL HAKIM</v>
      </c>
      <c r="F213" s="20" t="str">
        <f>IFERROR(VLOOKUP(I213,KET!$B:$F,5,0),"")</f>
        <v>GMM</v>
      </c>
      <c r="G213" s="20">
        <f>IFERROR(INDEX('Kode Outlet dan Target Toko'!$C:$C,MATCH($I213,'Kode Outlet dan Target Toko'!$E:$E,0)),0)</f>
        <v>103277</v>
      </c>
      <c r="H213" s="20">
        <f>IFERROR(INDEX('Kode Outlet dan Target Toko'!$D:$D,MATCH($I213,'Kode Outlet dan Target Toko'!$E:$E,0)),0)</f>
        <v>6301424</v>
      </c>
      <c r="I213" s="51" t="s">
        <v>25</v>
      </c>
      <c r="J213" s="27" t="s">
        <v>257</v>
      </c>
      <c r="K213" s="39" t="s">
        <v>15</v>
      </c>
      <c r="L213" s="29">
        <v>3000</v>
      </c>
      <c r="M213" s="26">
        <v>23</v>
      </c>
      <c r="N213" s="25">
        <f t="shared" si="7"/>
        <v>69000</v>
      </c>
      <c r="O213" s="24"/>
    </row>
    <row r="214" spans="1:15" ht="15.75" hidden="1" customHeight="1" x14ac:dyDescent="0.3">
      <c r="A214" s="26">
        <v>23</v>
      </c>
      <c r="B214" s="20" t="str">
        <f t="shared" si="6"/>
        <v>JUN</v>
      </c>
      <c r="C214" s="28">
        <v>46180</v>
      </c>
      <c r="D214" s="22" t="str">
        <f t="array" ref="D214">IFERROR(INDEX('Kode Outlet dan Target Toko'!$A:$A,MATCH($I214,'Kode Outlet dan Target Toko'!$E:$E,0)),"")</f>
        <v>GRSM 4</v>
      </c>
      <c r="E214" s="20" t="str">
        <f>IFERROR(VLOOKUP(I214,KET!$B:$F,4,0),"")</f>
        <v>FAHMI LUKMANUL HAKIM</v>
      </c>
      <c r="F214" s="20" t="str">
        <f>IFERROR(VLOOKUP(I214,KET!$B:$F,5,0),"")</f>
        <v>GMM</v>
      </c>
      <c r="G214" s="20">
        <f>IFERROR(INDEX('Kode Outlet dan Target Toko'!$C:$C,MATCH($I214,'Kode Outlet dan Target Toko'!$E:$E,0)),0)</f>
        <v>103277</v>
      </c>
      <c r="H214" s="20">
        <f>IFERROR(INDEX('Kode Outlet dan Target Toko'!$D:$D,MATCH($I214,'Kode Outlet dan Target Toko'!$E:$E,0)),0)</f>
        <v>6301424</v>
      </c>
      <c r="I214" s="51" t="s">
        <v>25</v>
      </c>
      <c r="J214" s="27" t="s">
        <v>257</v>
      </c>
      <c r="K214" s="39" t="s">
        <v>13</v>
      </c>
      <c r="L214" s="29">
        <v>3000</v>
      </c>
      <c r="M214" s="26">
        <v>25</v>
      </c>
      <c r="N214" s="25">
        <f t="shared" si="7"/>
        <v>75000</v>
      </c>
      <c r="O214" s="24"/>
    </row>
    <row r="215" spans="1:15" ht="15.75" hidden="1" customHeight="1" x14ac:dyDescent="0.3">
      <c r="A215" s="26">
        <v>23</v>
      </c>
      <c r="B215" s="20" t="str">
        <f t="shared" si="6"/>
        <v>JUN</v>
      </c>
      <c r="C215" s="28">
        <v>46180</v>
      </c>
      <c r="D215" s="22" t="str">
        <f t="array" ref="D215">IFERROR(INDEX('Kode Outlet dan Target Toko'!$A:$A,MATCH($I215,'Kode Outlet dan Target Toko'!$E:$E,0)),"")</f>
        <v>GRSM 4</v>
      </c>
      <c r="E215" s="20" t="str">
        <f>IFERROR(VLOOKUP(I215,KET!$B:$F,4,0),"")</f>
        <v>FAHMI LUKMANUL HAKIM</v>
      </c>
      <c r="F215" s="20" t="str">
        <f>IFERROR(VLOOKUP(I215,KET!$B:$F,5,0),"")</f>
        <v>GMM</v>
      </c>
      <c r="G215" s="20">
        <f>IFERROR(INDEX('Kode Outlet dan Target Toko'!$C:$C,MATCH($I215,'Kode Outlet dan Target Toko'!$E:$E,0)),0)</f>
        <v>103277</v>
      </c>
      <c r="H215" s="20">
        <f>IFERROR(INDEX('Kode Outlet dan Target Toko'!$D:$D,MATCH($I215,'Kode Outlet dan Target Toko'!$E:$E,0)),0)</f>
        <v>6301424</v>
      </c>
      <c r="I215" s="51" t="s">
        <v>25</v>
      </c>
      <c r="J215" s="27" t="s">
        <v>257</v>
      </c>
      <c r="K215" s="39" t="s">
        <v>16</v>
      </c>
      <c r="L215" s="29">
        <v>3000</v>
      </c>
      <c r="M215" s="26">
        <v>130</v>
      </c>
      <c r="N215" s="25">
        <f t="shared" si="7"/>
        <v>390000</v>
      </c>
      <c r="O215" s="24"/>
    </row>
    <row r="216" spans="1:15" ht="15.75" hidden="1" customHeight="1" x14ac:dyDescent="0.3">
      <c r="A216" s="26">
        <v>24</v>
      </c>
      <c r="B216" s="20" t="str">
        <f t="shared" si="6"/>
        <v>JUN</v>
      </c>
      <c r="C216" s="28">
        <v>46181</v>
      </c>
      <c r="D216" s="22" t="str">
        <f t="array" ref="D216">IFERROR(INDEX('Kode Outlet dan Target Toko'!$A:$A,MATCH($I216,'Kode Outlet dan Target Toko'!$E:$E,0)),"")</f>
        <v>GRSM 3A</v>
      </c>
      <c r="E216" s="20" t="str">
        <f>IFERROR(VLOOKUP(I216,KET!$B:$F,4,0),"")</f>
        <v>FAHMI LUKMANUL HAKIM</v>
      </c>
      <c r="F216" s="20" t="str">
        <f>IFERROR(VLOOKUP(I216,KET!$B:$F,5,0),"")</f>
        <v>GMM</v>
      </c>
      <c r="G216" s="20">
        <f>IFERROR(INDEX('Kode Outlet dan Target Toko'!$C:$C,MATCH($I216,'Kode Outlet dan Target Toko'!$E:$E,0)),0)</f>
        <v>103272</v>
      </c>
      <c r="H216" s="20">
        <f>IFERROR(INDEX('Kode Outlet dan Target Toko'!$D:$D,MATCH($I216,'Kode Outlet dan Target Toko'!$E:$E,0)),0)</f>
        <v>1178</v>
      </c>
      <c r="I216" s="51" t="s">
        <v>22</v>
      </c>
      <c r="J216" s="27" t="s">
        <v>256</v>
      </c>
      <c r="K216" s="39" t="s">
        <v>15</v>
      </c>
      <c r="L216" s="29">
        <v>3145</v>
      </c>
      <c r="M216" s="26">
        <v>15</v>
      </c>
      <c r="N216" s="25">
        <f t="shared" si="7"/>
        <v>47175</v>
      </c>
      <c r="O216" s="26">
        <v>150</v>
      </c>
    </row>
    <row r="217" spans="1:15" ht="15.75" hidden="1" customHeight="1" x14ac:dyDescent="0.3">
      <c r="A217" s="26">
        <v>24</v>
      </c>
      <c r="B217" s="20" t="str">
        <f t="shared" si="6"/>
        <v>JUN</v>
      </c>
      <c r="C217" s="28">
        <v>46181</v>
      </c>
      <c r="D217" s="22" t="str">
        <f t="array" ref="D217">IFERROR(INDEX('Kode Outlet dan Target Toko'!$A:$A,MATCH($I217,'Kode Outlet dan Target Toko'!$E:$E,0)),"")</f>
        <v>GRSM 3A</v>
      </c>
      <c r="E217" s="20" t="str">
        <f>IFERROR(VLOOKUP(I217,KET!$B:$F,4,0),"")</f>
        <v>FAHMI LUKMANUL HAKIM</v>
      </c>
      <c r="F217" s="20" t="str">
        <f>IFERROR(VLOOKUP(I217,KET!$B:$F,5,0),"")</f>
        <v>GMM</v>
      </c>
      <c r="G217" s="20">
        <f>IFERROR(INDEX('Kode Outlet dan Target Toko'!$C:$C,MATCH($I217,'Kode Outlet dan Target Toko'!$E:$E,0)),0)</f>
        <v>103272</v>
      </c>
      <c r="H217" s="20">
        <f>IFERROR(INDEX('Kode Outlet dan Target Toko'!$D:$D,MATCH($I217,'Kode Outlet dan Target Toko'!$E:$E,0)),0)</f>
        <v>1178</v>
      </c>
      <c r="I217" s="51" t="s">
        <v>22</v>
      </c>
      <c r="J217" s="27" t="s">
        <v>256</v>
      </c>
      <c r="K217" s="39" t="s">
        <v>14</v>
      </c>
      <c r="L217" s="29">
        <v>3145</v>
      </c>
      <c r="M217" s="26">
        <v>20</v>
      </c>
      <c r="N217" s="25">
        <f t="shared" si="7"/>
        <v>62900</v>
      </c>
      <c r="O217" s="24"/>
    </row>
    <row r="218" spans="1:15" ht="15.75" hidden="1" customHeight="1" x14ac:dyDescent="0.3">
      <c r="A218" s="26">
        <v>24</v>
      </c>
      <c r="B218" s="20" t="str">
        <f t="shared" si="6"/>
        <v>JUN</v>
      </c>
      <c r="C218" s="28">
        <v>46181</v>
      </c>
      <c r="D218" s="22" t="str">
        <f t="array" ref="D218">IFERROR(INDEX('Kode Outlet dan Target Toko'!$A:$A,MATCH($I218,'Kode Outlet dan Target Toko'!$E:$E,0)),"")</f>
        <v>GRSM 3A</v>
      </c>
      <c r="E218" s="20" t="str">
        <f>IFERROR(VLOOKUP(I218,KET!$B:$F,4,0),"")</f>
        <v>FAHMI LUKMANUL HAKIM</v>
      </c>
      <c r="F218" s="20" t="str">
        <f>IFERROR(VLOOKUP(I218,KET!$B:$F,5,0),"")</f>
        <v>GMM</v>
      </c>
      <c r="G218" s="20">
        <f>IFERROR(INDEX('Kode Outlet dan Target Toko'!$C:$C,MATCH($I218,'Kode Outlet dan Target Toko'!$E:$E,0)),0)</f>
        <v>103272</v>
      </c>
      <c r="H218" s="20">
        <f>IFERROR(INDEX('Kode Outlet dan Target Toko'!$D:$D,MATCH($I218,'Kode Outlet dan Target Toko'!$E:$E,0)),0)</f>
        <v>1178</v>
      </c>
      <c r="I218" s="51" t="s">
        <v>22</v>
      </c>
      <c r="J218" s="27" t="s">
        <v>256</v>
      </c>
      <c r="K218" s="39" t="s">
        <v>13</v>
      </c>
      <c r="L218" s="29">
        <v>3145</v>
      </c>
      <c r="M218" s="26">
        <v>9</v>
      </c>
      <c r="N218" s="25">
        <f t="shared" si="7"/>
        <v>28305</v>
      </c>
      <c r="O218" s="24"/>
    </row>
    <row r="219" spans="1:15" ht="15.75" hidden="1" customHeight="1" x14ac:dyDescent="0.3">
      <c r="A219" s="26">
        <v>24</v>
      </c>
      <c r="B219" s="20" t="str">
        <f t="shared" si="6"/>
        <v>JUN</v>
      </c>
      <c r="C219" s="28">
        <v>46181</v>
      </c>
      <c r="D219" s="22" t="str">
        <f t="array" ref="D219">IFERROR(INDEX('Kode Outlet dan Target Toko'!$A:$A,MATCH($I219,'Kode Outlet dan Target Toko'!$E:$E,0)),"")</f>
        <v>GRSM 3A</v>
      </c>
      <c r="E219" s="20" t="str">
        <f>IFERROR(VLOOKUP(I219,KET!$B:$F,4,0),"")</f>
        <v>FAHMI LUKMANUL HAKIM</v>
      </c>
      <c r="F219" s="20" t="str">
        <f>IFERROR(VLOOKUP(I219,KET!$B:$F,5,0),"")</f>
        <v>GMM</v>
      </c>
      <c r="G219" s="20">
        <f>IFERROR(INDEX('Kode Outlet dan Target Toko'!$C:$C,MATCH($I219,'Kode Outlet dan Target Toko'!$E:$E,0)),0)</f>
        <v>103272</v>
      </c>
      <c r="H219" s="20">
        <f>IFERROR(INDEX('Kode Outlet dan Target Toko'!$D:$D,MATCH($I219,'Kode Outlet dan Target Toko'!$E:$E,0)),0)</f>
        <v>1178</v>
      </c>
      <c r="I219" s="51" t="s">
        <v>22</v>
      </c>
      <c r="J219" s="27" t="s">
        <v>256</v>
      </c>
      <c r="K219" s="39" t="s">
        <v>16</v>
      </c>
      <c r="L219" s="29">
        <v>3145</v>
      </c>
      <c r="M219" s="26">
        <v>39</v>
      </c>
      <c r="N219" s="25">
        <f t="shared" si="7"/>
        <v>122655</v>
      </c>
      <c r="O219" s="24"/>
    </row>
    <row r="220" spans="1:15" ht="15.75" hidden="1" customHeight="1" x14ac:dyDescent="0.3">
      <c r="A220" s="26">
        <v>24</v>
      </c>
      <c r="B220" s="20" t="str">
        <f t="shared" si="6"/>
        <v>JUN</v>
      </c>
      <c r="C220" s="28">
        <v>46181</v>
      </c>
      <c r="D220" s="22" t="str">
        <f t="array" ref="D220">IFERROR(INDEX('Kode Outlet dan Target Toko'!$A:$A,MATCH($I220,'Kode Outlet dan Target Toko'!$E:$E,0)),"")</f>
        <v>GRSM 3A</v>
      </c>
      <c r="E220" s="20" t="str">
        <f>IFERROR(VLOOKUP(I220,KET!$B:$F,4,0),"")</f>
        <v>FAHMI LUKMANUL HAKIM</v>
      </c>
      <c r="F220" s="20" t="str">
        <f>IFERROR(VLOOKUP(I220,KET!$B:$F,5,0),"")</f>
        <v>GMM</v>
      </c>
      <c r="G220" s="20">
        <f>IFERROR(INDEX('Kode Outlet dan Target Toko'!$C:$C,MATCH($I220,'Kode Outlet dan Target Toko'!$E:$E,0)),0)</f>
        <v>103272</v>
      </c>
      <c r="H220" s="20">
        <f>IFERROR(INDEX('Kode Outlet dan Target Toko'!$D:$D,MATCH($I220,'Kode Outlet dan Target Toko'!$E:$E,0)),0)</f>
        <v>1178</v>
      </c>
      <c r="I220" s="51" t="s">
        <v>22</v>
      </c>
      <c r="J220" s="27" t="s">
        <v>254</v>
      </c>
      <c r="K220" s="39" t="s">
        <v>15</v>
      </c>
      <c r="L220" s="29">
        <v>3145</v>
      </c>
      <c r="M220" s="26">
        <v>15</v>
      </c>
      <c r="N220" s="25">
        <f t="shared" si="7"/>
        <v>47175</v>
      </c>
      <c r="O220" s="26">
        <v>100</v>
      </c>
    </row>
    <row r="221" spans="1:15" ht="15.75" hidden="1" customHeight="1" x14ac:dyDescent="0.3">
      <c r="A221" s="26">
        <v>24</v>
      </c>
      <c r="B221" s="20" t="str">
        <f t="shared" si="6"/>
        <v>JUN</v>
      </c>
      <c r="C221" s="28">
        <v>46181</v>
      </c>
      <c r="D221" s="22" t="str">
        <f t="array" ref="D221">IFERROR(INDEX('Kode Outlet dan Target Toko'!$A:$A,MATCH($I221,'Kode Outlet dan Target Toko'!$E:$E,0)),"")</f>
        <v>GRSM 3A</v>
      </c>
      <c r="E221" s="20" t="str">
        <f>IFERROR(VLOOKUP(I221,KET!$B:$F,4,0),"")</f>
        <v>FAHMI LUKMANUL HAKIM</v>
      </c>
      <c r="F221" s="20" t="str">
        <f>IFERROR(VLOOKUP(I221,KET!$B:$F,5,0),"")</f>
        <v>GMM</v>
      </c>
      <c r="G221" s="20">
        <f>IFERROR(INDEX('Kode Outlet dan Target Toko'!$C:$C,MATCH($I221,'Kode Outlet dan Target Toko'!$E:$E,0)),0)</f>
        <v>103272</v>
      </c>
      <c r="H221" s="20">
        <f>IFERROR(INDEX('Kode Outlet dan Target Toko'!$D:$D,MATCH($I221,'Kode Outlet dan Target Toko'!$E:$E,0)),0)</f>
        <v>1178</v>
      </c>
      <c r="I221" s="51" t="s">
        <v>22</v>
      </c>
      <c r="J221" s="27" t="s">
        <v>254</v>
      </c>
      <c r="K221" s="39" t="s">
        <v>14</v>
      </c>
      <c r="L221" s="29">
        <v>3145</v>
      </c>
      <c r="M221" s="26">
        <v>20</v>
      </c>
      <c r="N221" s="25">
        <f t="shared" si="7"/>
        <v>62900</v>
      </c>
      <c r="O221" s="24"/>
    </row>
    <row r="222" spans="1:15" ht="15.75" hidden="1" customHeight="1" x14ac:dyDescent="0.3">
      <c r="A222" s="26">
        <v>24</v>
      </c>
      <c r="B222" s="20" t="str">
        <f t="shared" si="6"/>
        <v>JUN</v>
      </c>
      <c r="C222" s="28">
        <v>46181</v>
      </c>
      <c r="D222" s="22" t="str">
        <f t="array" ref="D222">IFERROR(INDEX('Kode Outlet dan Target Toko'!$A:$A,MATCH($I222,'Kode Outlet dan Target Toko'!$E:$E,0)),"")</f>
        <v>GRSM 3A</v>
      </c>
      <c r="E222" s="20" t="str">
        <f>IFERROR(VLOOKUP(I222,KET!$B:$F,4,0),"")</f>
        <v>FAHMI LUKMANUL HAKIM</v>
      </c>
      <c r="F222" s="20" t="str">
        <f>IFERROR(VLOOKUP(I222,KET!$B:$F,5,0),"")</f>
        <v>GMM</v>
      </c>
      <c r="G222" s="20">
        <f>IFERROR(INDEX('Kode Outlet dan Target Toko'!$C:$C,MATCH($I222,'Kode Outlet dan Target Toko'!$E:$E,0)),0)</f>
        <v>103272</v>
      </c>
      <c r="H222" s="20">
        <f>IFERROR(INDEX('Kode Outlet dan Target Toko'!$D:$D,MATCH($I222,'Kode Outlet dan Target Toko'!$E:$E,0)),0)</f>
        <v>1178</v>
      </c>
      <c r="I222" s="51" t="s">
        <v>22</v>
      </c>
      <c r="J222" s="27" t="s">
        <v>254</v>
      </c>
      <c r="K222" s="39" t="s">
        <v>13</v>
      </c>
      <c r="L222" s="29">
        <v>3145</v>
      </c>
      <c r="M222" s="26">
        <v>9</v>
      </c>
      <c r="N222" s="25">
        <f t="shared" si="7"/>
        <v>28305</v>
      </c>
      <c r="O222" s="24"/>
    </row>
    <row r="223" spans="1:15" ht="15.75" hidden="1" customHeight="1" x14ac:dyDescent="0.3">
      <c r="A223" s="26">
        <v>24</v>
      </c>
      <c r="B223" s="20" t="str">
        <f t="shared" si="6"/>
        <v>JUN</v>
      </c>
      <c r="C223" s="28">
        <v>46181</v>
      </c>
      <c r="D223" s="22" t="str">
        <f t="array" ref="D223">IFERROR(INDEX('Kode Outlet dan Target Toko'!$A:$A,MATCH($I223,'Kode Outlet dan Target Toko'!$E:$E,0)),"")</f>
        <v>GRSM 3A</v>
      </c>
      <c r="E223" s="20" t="str">
        <f>IFERROR(VLOOKUP(I223,KET!$B:$F,4,0),"")</f>
        <v>FAHMI LUKMANUL HAKIM</v>
      </c>
      <c r="F223" s="20" t="str">
        <f>IFERROR(VLOOKUP(I223,KET!$B:$F,5,0),"")</f>
        <v>GMM</v>
      </c>
      <c r="G223" s="20">
        <f>IFERROR(INDEX('Kode Outlet dan Target Toko'!$C:$C,MATCH($I223,'Kode Outlet dan Target Toko'!$E:$E,0)),0)</f>
        <v>103272</v>
      </c>
      <c r="H223" s="20">
        <f>IFERROR(INDEX('Kode Outlet dan Target Toko'!$D:$D,MATCH($I223,'Kode Outlet dan Target Toko'!$E:$E,0)),0)</f>
        <v>1178</v>
      </c>
      <c r="I223" s="51" t="s">
        <v>22</v>
      </c>
      <c r="J223" s="27" t="s">
        <v>254</v>
      </c>
      <c r="K223" s="39" t="s">
        <v>16</v>
      </c>
      <c r="L223" s="29">
        <v>3145</v>
      </c>
      <c r="M223" s="26">
        <v>39</v>
      </c>
      <c r="N223" s="25">
        <f t="shared" si="7"/>
        <v>122655</v>
      </c>
      <c r="O223" s="24"/>
    </row>
    <row r="224" spans="1:15" ht="15.75" hidden="1" customHeight="1" x14ac:dyDescent="0.3">
      <c r="A224" s="26">
        <v>24</v>
      </c>
      <c r="B224" s="20" t="str">
        <f t="shared" si="6"/>
        <v>JUN</v>
      </c>
      <c r="C224" s="28">
        <v>46181</v>
      </c>
      <c r="D224" s="22" t="str">
        <f t="array" ref="D224">IFERROR(INDEX('Kode Outlet dan Target Toko'!$A:$A,MATCH($I224,'Kode Outlet dan Target Toko'!$E:$E,0)),"")</f>
        <v>GRSM 4</v>
      </c>
      <c r="E224" s="20" t="str">
        <f>IFERROR(VLOOKUP(I224,KET!$B:$F,4,0),"")</f>
        <v>FAHMI LUKMANUL HAKIM</v>
      </c>
      <c r="F224" s="20" t="str">
        <f>IFERROR(VLOOKUP(I224,KET!$B:$F,5,0),"")</f>
        <v>GMM</v>
      </c>
      <c r="G224" s="20">
        <f>IFERROR(INDEX('Kode Outlet dan Target Toko'!$C:$C,MATCH($I224,'Kode Outlet dan Target Toko'!$E:$E,0)),0)</f>
        <v>103257</v>
      </c>
      <c r="H224" s="20">
        <f>IFERROR(INDEX('Kode Outlet dan Target Toko'!$D:$D,MATCH($I224,'Kode Outlet dan Target Toko'!$E:$E,0)),0)</f>
        <v>9162509</v>
      </c>
      <c r="I224" s="41" t="s">
        <v>23</v>
      </c>
      <c r="J224" s="27" t="s">
        <v>180</v>
      </c>
      <c r="K224" s="39" t="s">
        <v>15</v>
      </c>
      <c r="L224" s="29">
        <v>3200</v>
      </c>
      <c r="M224" s="26">
        <v>33</v>
      </c>
      <c r="N224" s="25">
        <f t="shared" si="7"/>
        <v>105600</v>
      </c>
      <c r="O224" s="26">
        <v>100</v>
      </c>
    </row>
    <row r="225" spans="1:15" ht="15.75" hidden="1" customHeight="1" x14ac:dyDescent="0.3">
      <c r="A225" s="26">
        <v>24</v>
      </c>
      <c r="B225" s="20" t="str">
        <f t="shared" si="6"/>
        <v>JUN</v>
      </c>
      <c r="C225" s="28">
        <v>46185</v>
      </c>
      <c r="D225" s="22" t="str">
        <f t="array" ref="D225">IFERROR(INDEX('Kode Outlet dan Target Toko'!$A:$A,MATCH($I225,'Kode Outlet dan Target Toko'!$E:$E,0)),"")</f>
        <v>GRSM 4</v>
      </c>
      <c r="E225" s="20" t="str">
        <f>IFERROR(VLOOKUP(I225,KET!$B:$F,4,0),"")</f>
        <v>FAHMI LUKMANUL HAKIM</v>
      </c>
      <c r="F225" s="20" t="str">
        <f>IFERROR(VLOOKUP(I225,KET!$B:$F,5,0),"")</f>
        <v>GMM</v>
      </c>
      <c r="G225" s="20">
        <f>IFERROR(INDEX('Kode Outlet dan Target Toko'!$C:$C,MATCH($I225,'Kode Outlet dan Target Toko'!$E:$E,0)),0)</f>
        <v>103257</v>
      </c>
      <c r="H225" s="20">
        <f>IFERROR(INDEX('Kode Outlet dan Target Toko'!$D:$D,MATCH($I225,'Kode Outlet dan Target Toko'!$E:$E,0)),0)</f>
        <v>9162509</v>
      </c>
      <c r="I225" s="41" t="s">
        <v>23</v>
      </c>
      <c r="J225" s="27" t="s">
        <v>180</v>
      </c>
      <c r="K225" s="39" t="s">
        <v>14</v>
      </c>
      <c r="L225" s="29">
        <v>3200</v>
      </c>
      <c r="M225" s="26">
        <v>35</v>
      </c>
      <c r="N225" s="25">
        <f t="shared" si="7"/>
        <v>112000</v>
      </c>
      <c r="O225" s="24"/>
    </row>
    <row r="226" spans="1:15" ht="15.75" hidden="1" customHeight="1" x14ac:dyDescent="0.3">
      <c r="A226" s="26">
        <v>24</v>
      </c>
      <c r="B226" s="20" t="str">
        <f t="shared" si="6"/>
        <v>JUN</v>
      </c>
      <c r="C226" s="28">
        <v>46185</v>
      </c>
      <c r="D226" s="22" t="str">
        <f t="array" ref="D226">IFERROR(INDEX('Kode Outlet dan Target Toko'!$A:$A,MATCH($I226,'Kode Outlet dan Target Toko'!$E:$E,0)),"")</f>
        <v>GRSM 4</v>
      </c>
      <c r="E226" s="20" t="str">
        <f>IFERROR(VLOOKUP(I226,KET!$B:$F,4,0),"")</f>
        <v>FAHMI LUKMANUL HAKIM</v>
      </c>
      <c r="F226" s="20" t="str">
        <f>IFERROR(VLOOKUP(I226,KET!$B:$F,5,0),"")</f>
        <v>GMM</v>
      </c>
      <c r="G226" s="20">
        <f>IFERROR(INDEX('Kode Outlet dan Target Toko'!$C:$C,MATCH($I226,'Kode Outlet dan Target Toko'!$E:$E,0)),0)</f>
        <v>103257</v>
      </c>
      <c r="H226" s="20">
        <f>IFERROR(INDEX('Kode Outlet dan Target Toko'!$D:$D,MATCH($I226,'Kode Outlet dan Target Toko'!$E:$E,0)),0)</f>
        <v>9162509</v>
      </c>
      <c r="I226" s="41" t="s">
        <v>23</v>
      </c>
      <c r="J226" s="27" t="s">
        <v>180</v>
      </c>
      <c r="K226" s="39" t="s">
        <v>13</v>
      </c>
      <c r="L226" s="29">
        <v>3200</v>
      </c>
      <c r="M226" s="26">
        <v>30</v>
      </c>
      <c r="N226" s="25">
        <f t="shared" si="7"/>
        <v>96000</v>
      </c>
      <c r="O226" s="24"/>
    </row>
    <row r="227" spans="1:15" ht="15.75" hidden="1" customHeight="1" x14ac:dyDescent="0.3">
      <c r="A227" s="26">
        <v>24</v>
      </c>
      <c r="B227" s="20" t="str">
        <f t="shared" si="6"/>
        <v>JUN</v>
      </c>
      <c r="C227" s="28">
        <v>46185</v>
      </c>
      <c r="D227" s="22" t="str">
        <f t="array" ref="D227">IFERROR(INDEX('Kode Outlet dan Target Toko'!$A:$A,MATCH($I227,'Kode Outlet dan Target Toko'!$E:$E,0)),"")</f>
        <v>GRSM 4</v>
      </c>
      <c r="E227" s="20" t="str">
        <f>IFERROR(VLOOKUP(I227,KET!$B:$F,4,0),"")</f>
        <v>FAHMI LUKMANUL HAKIM</v>
      </c>
      <c r="F227" s="20" t="str">
        <f>IFERROR(VLOOKUP(I227,KET!$B:$F,5,0),"")</f>
        <v>GMM</v>
      </c>
      <c r="G227" s="20">
        <f>IFERROR(INDEX('Kode Outlet dan Target Toko'!$C:$C,MATCH($I227,'Kode Outlet dan Target Toko'!$E:$E,0)),0)</f>
        <v>103257</v>
      </c>
      <c r="H227" s="20">
        <f>IFERROR(INDEX('Kode Outlet dan Target Toko'!$D:$D,MATCH($I227,'Kode Outlet dan Target Toko'!$E:$E,0)),0)</f>
        <v>9162509</v>
      </c>
      <c r="I227" s="41" t="s">
        <v>23</v>
      </c>
      <c r="J227" s="27" t="s">
        <v>180</v>
      </c>
      <c r="K227" s="39" t="s">
        <v>16</v>
      </c>
      <c r="L227" s="29">
        <v>3200</v>
      </c>
      <c r="M227" s="26">
        <v>95</v>
      </c>
      <c r="N227" s="25">
        <f t="shared" si="7"/>
        <v>304000</v>
      </c>
      <c r="O227" s="24"/>
    </row>
    <row r="228" spans="1:15" ht="15.75" hidden="1" customHeight="1" x14ac:dyDescent="0.3">
      <c r="A228" s="26">
        <v>24</v>
      </c>
      <c r="B228" s="20" t="str">
        <f t="shared" si="6"/>
        <v>JUN</v>
      </c>
      <c r="C228" s="28">
        <v>46185</v>
      </c>
      <c r="D228" s="22" t="str">
        <f t="array" ref="D228">IFERROR(INDEX('Kode Outlet dan Target Toko'!$A:$A,MATCH($I228,'Kode Outlet dan Target Toko'!$E:$E,0)),"")</f>
        <v>GRSM 4</v>
      </c>
      <c r="E228" s="20" t="str">
        <f>IFERROR(VLOOKUP(I228,KET!$B:$F,4,0),"")</f>
        <v>FAHMI LUKMANUL HAKIM</v>
      </c>
      <c r="F228" s="20" t="str">
        <f>IFERROR(VLOOKUP(I228,KET!$B:$F,5,0),"")</f>
        <v>GMM</v>
      </c>
      <c r="G228" s="20">
        <f>IFERROR(INDEX('Kode Outlet dan Target Toko'!$C:$C,MATCH($I228,'Kode Outlet dan Target Toko'!$E:$E,0)),0)</f>
        <v>103257</v>
      </c>
      <c r="H228" s="20">
        <f>IFERROR(INDEX('Kode Outlet dan Target Toko'!$D:$D,MATCH($I228,'Kode Outlet dan Target Toko'!$E:$E,0)),0)</f>
        <v>9162509</v>
      </c>
      <c r="I228" s="41" t="s">
        <v>23</v>
      </c>
      <c r="J228" s="56" t="s">
        <v>181</v>
      </c>
      <c r="K228" s="39" t="s">
        <v>15</v>
      </c>
      <c r="L228" s="29">
        <v>3200</v>
      </c>
      <c r="M228" s="26">
        <v>30</v>
      </c>
      <c r="N228" s="25">
        <f t="shared" si="7"/>
        <v>96000</v>
      </c>
      <c r="O228" s="26">
        <v>160</v>
      </c>
    </row>
    <row r="229" spans="1:15" ht="15.75" hidden="1" customHeight="1" x14ac:dyDescent="0.3">
      <c r="A229" s="26">
        <v>24</v>
      </c>
      <c r="B229" s="20" t="str">
        <f t="shared" si="6"/>
        <v>JUN</v>
      </c>
      <c r="C229" s="28">
        <v>46185</v>
      </c>
      <c r="D229" s="22" t="str">
        <f t="array" ref="D229">IFERROR(INDEX('Kode Outlet dan Target Toko'!$A:$A,MATCH($I229,'Kode Outlet dan Target Toko'!$E:$E,0)),"")</f>
        <v>GRSM 4</v>
      </c>
      <c r="E229" s="20" t="str">
        <f>IFERROR(VLOOKUP(I229,KET!$B:$F,4,0),"")</f>
        <v>FAHMI LUKMANUL HAKIM</v>
      </c>
      <c r="F229" s="20" t="str">
        <f>IFERROR(VLOOKUP(I229,KET!$B:$F,5,0),"")</f>
        <v>GMM</v>
      </c>
      <c r="G229" s="20">
        <f>IFERROR(INDEX('Kode Outlet dan Target Toko'!$C:$C,MATCH($I229,'Kode Outlet dan Target Toko'!$E:$E,0)),0)</f>
        <v>103257</v>
      </c>
      <c r="H229" s="20">
        <f>IFERROR(INDEX('Kode Outlet dan Target Toko'!$D:$D,MATCH($I229,'Kode Outlet dan Target Toko'!$E:$E,0)),0)</f>
        <v>9162509</v>
      </c>
      <c r="I229" s="41" t="s">
        <v>23</v>
      </c>
      <c r="J229" s="56" t="s">
        <v>181</v>
      </c>
      <c r="K229" s="39" t="s">
        <v>14</v>
      </c>
      <c r="L229" s="29">
        <v>3200</v>
      </c>
      <c r="M229" s="26">
        <v>33</v>
      </c>
      <c r="N229" s="25">
        <f t="shared" si="7"/>
        <v>105600</v>
      </c>
      <c r="O229" s="26"/>
    </row>
    <row r="230" spans="1:15" ht="15.75" hidden="1" customHeight="1" x14ac:dyDescent="0.3">
      <c r="A230" s="26">
        <v>24</v>
      </c>
      <c r="B230" s="20" t="str">
        <f t="shared" si="6"/>
        <v>JUN</v>
      </c>
      <c r="C230" s="28">
        <v>46185</v>
      </c>
      <c r="D230" s="22" t="str">
        <f t="array" ref="D230">IFERROR(INDEX('Kode Outlet dan Target Toko'!$A:$A,MATCH($I230,'Kode Outlet dan Target Toko'!$E:$E,0)),"")</f>
        <v>GRSM 4</v>
      </c>
      <c r="E230" s="20" t="str">
        <f>IFERROR(VLOOKUP(I230,KET!$B:$F,4,0),"")</f>
        <v>FAHMI LUKMANUL HAKIM</v>
      </c>
      <c r="F230" s="20" t="str">
        <f>IFERROR(VLOOKUP(I230,KET!$B:$F,5,0),"")</f>
        <v>GMM</v>
      </c>
      <c r="G230" s="20">
        <f>IFERROR(INDEX('Kode Outlet dan Target Toko'!$C:$C,MATCH($I230,'Kode Outlet dan Target Toko'!$E:$E,0)),0)</f>
        <v>103257</v>
      </c>
      <c r="H230" s="20">
        <f>IFERROR(INDEX('Kode Outlet dan Target Toko'!$D:$D,MATCH($I230,'Kode Outlet dan Target Toko'!$E:$E,0)),0)</f>
        <v>9162509</v>
      </c>
      <c r="I230" s="41" t="s">
        <v>23</v>
      </c>
      <c r="J230" s="56" t="s">
        <v>181</v>
      </c>
      <c r="K230" s="39" t="s">
        <v>13</v>
      </c>
      <c r="L230" s="29">
        <v>3200</v>
      </c>
      <c r="M230" s="26">
        <v>30</v>
      </c>
      <c r="N230" s="25">
        <f t="shared" si="7"/>
        <v>96000</v>
      </c>
      <c r="O230" s="26"/>
    </row>
    <row r="231" spans="1:15" ht="15.75" hidden="1" customHeight="1" x14ac:dyDescent="0.3">
      <c r="A231" s="26">
        <v>24</v>
      </c>
      <c r="B231" s="20" t="str">
        <f t="shared" si="6"/>
        <v>JUN</v>
      </c>
      <c r="C231" s="28">
        <v>46185</v>
      </c>
      <c r="D231" s="22" t="str">
        <f t="array" ref="D231">IFERROR(INDEX('Kode Outlet dan Target Toko'!$A:$A,MATCH($I231,'Kode Outlet dan Target Toko'!$E:$E,0)),"")</f>
        <v>GRSM 4</v>
      </c>
      <c r="E231" s="20" t="str">
        <f>IFERROR(VLOOKUP(I231,KET!$B:$F,4,0),"")</f>
        <v>FAHMI LUKMANUL HAKIM</v>
      </c>
      <c r="F231" s="20" t="str">
        <f>IFERROR(VLOOKUP(I231,KET!$B:$F,5,0),"")</f>
        <v>GMM</v>
      </c>
      <c r="G231" s="20">
        <f>IFERROR(INDEX('Kode Outlet dan Target Toko'!$C:$C,MATCH($I231,'Kode Outlet dan Target Toko'!$E:$E,0)),0)</f>
        <v>103257</v>
      </c>
      <c r="H231" s="20">
        <f>IFERROR(INDEX('Kode Outlet dan Target Toko'!$D:$D,MATCH($I231,'Kode Outlet dan Target Toko'!$E:$E,0)),0)</f>
        <v>9162509</v>
      </c>
      <c r="I231" s="41" t="s">
        <v>23</v>
      </c>
      <c r="J231" s="56" t="s">
        <v>181</v>
      </c>
      <c r="K231" s="39" t="s">
        <v>16</v>
      </c>
      <c r="L231" s="29">
        <v>3200</v>
      </c>
      <c r="M231" s="26">
        <v>93</v>
      </c>
      <c r="N231" s="25">
        <f t="shared" si="7"/>
        <v>297600</v>
      </c>
      <c r="O231" s="26"/>
    </row>
    <row r="232" spans="1:15" ht="15.75" hidden="1" customHeight="1" x14ac:dyDescent="0.3">
      <c r="A232" s="26">
        <v>24</v>
      </c>
      <c r="B232" s="20" t="str">
        <f t="shared" si="6"/>
        <v>JUN</v>
      </c>
      <c r="C232" s="28">
        <v>46185</v>
      </c>
      <c r="D232" s="22" t="str">
        <f t="array" ref="D232">IFERROR(INDEX('Kode Outlet dan Target Toko'!$A:$A,MATCH($I232,'Kode Outlet dan Target Toko'!$E:$E,0)),"")</f>
        <v>GRSM 4</v>
      </c>
      <c r="E232" s="20" t="str">
        <f>IFERROR(VLOOKUP(I232,KET!$B:$F,4,0),"")</f>
        <v>FAHMI LUKMANUL HAKIM</v>
      </c>
      <c r="F232" s="20" t="str">
        <f>IFERROR(VLOOKUP(I232,KET!$B:$F,5,0),"")</f>
        <v>GMM</v>
      </c>
      <c r="G232" s="20">
        <f>IFERROR(INDEX('Kode Outlet dan Target Toko'!$C:$C,MATCH($I232,'Kode Outlet dan Target Toko'!$E:$E,0)),0)</f>
        <v>103277</v>
      </c>
      <c r="H232" s="20">
        <f>IFERROR(INDEX('Kode Outlet dan Target Toko'!$D:$D,MATCH($I232,'Kode Outlet dan Target Toko'!$E:$E,0)),0)</f>
        <v>6300538</v>
      </c>
      <c r="I232" s="51" t="s">
        <v>19</v>
      </c>
      <c r="J232" s="27" t="s">
        <v>251</v>
      </c>
      <c r="K232" s="39" t="s">
        <v>15</v>
      </c>
      <c r="L232" s="29">
        <v>2975</v>
      </c>
      <c r="M232" s="26">
        <v>57</v>
      </c>
      <c r="N232" s="25">
        <f t="shared" si="7"/>
        <v>169575</v>
      </c>
      <c r="O232" s="26">
        <v>160</v>
      </c>
    </row>
    <row r="233" spans="1:15" ht="15.75" hidden="1" customHeight="1" x14ac:dyDescent="0.3">
      <c r="A233" s="26">
        <v>24</v>
      </c>
      <c r="B233" s="20" t="str">
        <f t="shared" si="6"/>
        <v>JUN</v>
      </c>
      <c r="C233" s="28">
        <v>46185</v>
      </c>
      <c r="D233" s="22" t="str">
        <f t="array" ref="D233">IFERROR(INDEX('Kode Outlet dan Target Toko'!$A:$A,MATCH($I233,'Kode Outlet dan Target Toko'!$E:$E,0)),"")</f>
        <v>GRSM 4</v>
      </c>
      <c r="E233" s="20" t="str">
        <f>IFERROR(VLOOKUP(I233,KET!$B:$F,4,0),"")</f>
        <v>FAHMI LUKMANUL HAKIM</v>
      </c>
      <c r="F233" s="20" t="str">
        <f>IFERROR(VLOOKUP(I233,KET!$B:$F,5,0),"")</f>
        <v>GMM</v>
      </c>
      <c r="G233" s="20">
        <f>IFERROR(INDEX('Kode Outlet dan Target Toko'!$C:$C,MATCH($I233,'Kode Outlet dan Target Toko'!$E:$E,0)),0)</f>
        <v>103277</v>
      </c>
      <c r="H233" s="20">
        <f>IFERROR(INDEX('Kode Outlet dan Target Toko'!$D:$D,MATCH($I233,'Kode Outlet dan Target Toko'!$E:$E,0)),0)</f>
        <v>6300538</v>
      </c>
      <c r="I233" s="51" t="s">
        <v>19</v>
      </c>
      <c r="J233" s="27" t="s">
        <v>251</v>
      </c>
      <c r="K233" s="39" t="s">
        <v>14</v>
      </c>
      <c r="L233" s="29">
        <v>2975</v>
      </c>
      <c r="M233" s="26">
        <v>66</v>
      </c>
      <c r="N233" s="25">
        <f t="shared" si="7"/>
        <v>196350</v>
      </c>
      <c r="O233" s="24"/>
    </row>
    <row r="234" spans="1:15" ht="15.75" hidden="1" customHeight="1" x14ac:dyDescent="0.3">
      <c r="A234" s="26">
        <v>24</v>
      </c>
      <c r="B234" s="20" t="str">
        <f t="shared" si="6"/>
        <v>JUN</v>
      </c>
      <c r="C234" s="28">
        <v>46185</v>
      </c>
      <c r="D234" s="22" t="str">
        <f t="array" ref="D234">IFERROR(INDEX('Kode Outlet dan Target Toko'!$A:$A,MATCH($I234,'Kode Outlet dan Target Toko'!$E:$E,0)),"")</f>
        <v>GRSM 4</v>
      </c>
      <c r="E234" s="20" t="str">
        <f>IFERROR(VLOOKUP(I234,KET!$B:$F,4,0),"")</f>
        <v>FAHMI LUKMANUL HAKIM</v>
      </c>
      <c r="F234" s="20" t="str">
        <f>IFERROR(VLOOKUP(I234,KET!$B:$F,5,0),"")</f>
        <v>GMM</v>
      </c>
      <c r="G234" s="20">
        <f>IFERROR(INDEX('Kode Outlet dan Target Toko'!$C:$C,MATCH($I234,'Kode Outlet dan Target Toko'!$E:$E,0)),0)</f>
        <v>103277</v>
      </c>
      <c r="H234" s="20">
        <f>IFERROR(INDEX('Kode Outlet dan Target Toko'!$D:$D,MATCH($I234,'Kode Outlet dan Target Toko'!$E:$E,0)),0)</f>
        <v>6300538</v>
      </c>
      <c r="I234" s="51" t="s">
        <v>19</v>
      </c>
      <c r="J234" s="27" t="s">
        <v>251</v>
      </c>
      <c r="K234" s="39" t="s">
        <v>13</v>
      </c>
      <c r="L234" s="29">
        <v>2975</v>
      </c>
      <c r="M234" s="26">
        <v>40</v>
      </c>
      <c r="N234" s="25">
        <f t="shared" si="7"/>
        <v>119000</v>
      </c>
      <c r="O234" s="24"/>
    </row>
    <row r="235" spans="1:15" ht="15.75" hidden="1" customHeight="1" x14ac:dyDescent="0.3">
      <c r="A235" s="26">
        <v>24</v>
      </c>
      <c r="B235" s="20" t="str">
        <f t="shared" si="6"/>
        <v>JUN</v>
      </c>
      <c r="C235" s="28">
        <v>46185</v>
      </c>
      <c r="D235" s="22" t="str">
        <f t="array" ref="D235">IFERROR(INDEX('Kode Outlet dan Target Toko'!$A:$A,MATCH($I235,'Kode Outlet dan Target Toko'!$E:$E,0)),"")</f>
        <v>GRSM 4</v>
      </c>
      <c r="E235" s="20" t="str">
        <f>IFERROR(VLOOKUP(I235,KET!$B:$F,4,0),"")</f>
        <v>FAHMI LUKMANUL HAKIM</v>
      </c>
      <c r="F235" s="20" t="str">
        <f>IFERROR(VLOOKUP(I235,KET!$B:$F,5,0),"")</f>
        <v>GMM</v>
      </c>
      <c r="G235" s="20">
        <f>IFERROR(INDEX('Kode Outlet dan Target Toko'!$C:$C,MATCH($I235,'Kode Outlet dan Target Toko'!$E:$E,0)),0)</f>
        <v>103277</v>
      </c>
      <c r="H235" s="20">
        <f>IFERROR(INDEX('Kode Outlet dan Target Toko'!$D:$D,MATCH($I235,'Kode Outlet dan Target Toko'!$E:$E,0)),0)</f>
        <v>6300538</v>
      </c>
      <c r="I235" s="51" t="s">
        <v>19</v>
      </c>
      <c r="J235" s="27" t="s">
        <v>251</v>
      </c>
      <c r="K235" s="39" t="s">
        <v>16</v>
      </c>
      <c r="L235" s="29">
        <v>2975</v>
      </c>
      <c r="M235" s="26">
        <v>188</v>
      </c>
      <c r="N235" s="25">
        <f t="shared" si="7"/>
        <v>559300</v>
      </c>
      <c r="O235" s="26">
        <v>120</v>
      </c>
    </row>
    <row r="236" spans="1:15" ht="15.75" hidden="1" customHeight="1" x14ac:dyDescent="0.3">
      <c r="A236" s="26">
        <v>24</v>
      </c>
      <c r="B236" s="20" t="str">
        <f t="shared" si="6"/>
        <v>JUN</v>
      </c>
      <c r="C236" s="28">
        <v>46185</v>
      </c>
      <c r="D236" s="22" t="str">
        <f t="array" ref="D236">IFERROR(INDEX('Kode Outlet dan Target Toko'!$A:$A,MATCH($I236,'Kode Outlet dan Target Toko'!$E:$E,0)),"")</f>
        <v>GRSM 4</v>
      </c>
      <c r="E236" s="20" t="str">
        <f>IFERROR(VLOOKUP(I236,KET!$B:$F,4,0),"")</f>
        <v>FAHMI LUKMANUL HAKIM</v>
      </c>
      <c r="F236" s="20" t="str">
        <f>IFERROR(VLOOKUP(I236,KET!$B:$F,5,0),"")</f>
        <v>GMM</v>
      </c>
      <c r="G236" s="20">
        <f>IFERROR(INDEX('Kode Outlet dan Target Toko'!$C:$C,MATCH($I236,'Kode Outlet dan Target Toko'!$E:$E,0)),0)</f>
        <v>103277</v>
      </c>
      <c r="H236" s="20">
        <f>IFERROR(INDEX('Kode Outlet dan Target Toko'!$D:$D,MATCH($I236,'Kode Outlet dan Target Toko'!$E:$E,0)),0)</f>
        <v>6300538</v>
      </c>
      <c r="I236" s="51" t="s">
        <v>19</v>
      </c>
      <c r="J236" s="27" t="s">
        <v>252</v>
      </c>
      <c r="K236" s="39" t="s">
        <v>15</v>
      </c>
      <c r="L236" s="29">
        <v>2975</v>
      </c>
      <c r="M236" s="26">
        <v>50</v>
      </c>
      <c r="N236" s="25">
        <f t="shared" si="7"/>
        <v>148750</v>
      </c>
      <c r="O236" s="24"/>
    </row>
    <row r="237" spans="1:15" ht="15.75" hidden="1" customHeight="1" x14ac:dyDescent="0.3">
      <c r="A237" s="26">
        <v>24</v>
      </c>
      <c r="B237" s="20" t="str">
        <f t="shared" si="6"/>
        <v>JUN</v>
      </c>
      <c r="C237" s="28">
        <v>46185</v>
      </c>
      <c r="D237" s="22" t="str">
        <f t="array" ref="D237">IFERROR(INDEX('Kode Outlet dan Target Toko'!$A:$A,MATCH($I237,'Kode Outlet dan Target Toko'!$E:$E,0)),"")</f>
        <v>GRSM 4</v>
      </c>
      <c r="E237" s="20" t="str">
        <f>IFERROR(VLOOKUP(I237,KET!$B:$F,4,0),"")</f>
        <v>FAHMI LUKMANUL HAKIM</v>
      </c>
      <c r="F237" s="20" t="str">
        <f>IFERROR(VLOOKUP(I237,KET!$B:$F,5,0),"")</f>
        <v>GMM</v>
      </c>
      <c r="G237" s="20">
        <f>IFERROR(INDEX('Kode Outlet dan Target Toko'!$C:$C,MATCH($I237,'Kode Outlet dan Target Toko'!$E:$E,0)),0)</f>
        <v>103277</v>
      </c>
      <c r="H237" s="20">
        <f>IFERROR(INDEX('Kode Outlet dan Target Toko'!$D:$D,MATCH($I237,'Kode Outlet dan Target Toko'!$E:$E,0)),0)</f>
        <v>6300538</v>
      </c>
      <c r="I237" s="51" t="s">
        <v>19</v>
      </c>
      <c r="J237" s="27" t="s">
        <v>252</v>
      </c>
      <c r="K237" s="39" t="s">
        <v>14</v>
      </c>
      <c r="L237" s="29">
        <v>2975</v>
      </c>
      <c r="M237" s="26">
        <v>67</v>
      </c>
      <c r="N237" s="25">
        <f t="shared" si="7"/>
        <v>199325</v>
      </c>
      <c r="O237" s="24"/>
    </row>
    <row r="238" spans="1:15" ht="15.75" hidden="1" customHeight="1" x14ac:dyDescent="0.3">
      <c r="A238" s="26">
        <v>24</v>
      </c>
      <c r="B238" s="20" t="str">
        <f t="shared" si="6"/>
        <v>JUN</v>
      </c>
      <c r="C238" s="28">
        <v>46185</v>
      </c>
      <c r="D238" s="22" t="str">
        <f t="array" ref="D238">IFERROR(INDEX('Kode Outlet dan Target Toko'!$A:$A,MATCH($I238,'Kode Outlet dan Target Toko'!$E:$E,0)),"")</f>
        <v>GRSM 4</v>
      </c>
      <c r="E238" s="20" t="str">
        <f>IFERROR(VLOOKUP(I238,KET!$B:$F,4,0),"")</f>
        <v>FAHMI LUKMANUL HAKIM</v>
      </c>
      <c r="F238" s="20" t="str">
        <f>IFERROR(VLOOKUP(I238,KET!$B:$F,5,0),"")</f>
        <v>GMM</v>
      </c>
      <c r="G238" s="20">
        <f>IFERROR(INDEX('Kode Outlet dan Target Toko'!$C:$C,MATCH($I238,'Kode Outlet dan Target Toko'!$E:$E,0)),0)</f>
        <v>103277</v>
      </c>
      <c r="H238" s="20">
        <f>IFERROR(INDEX('Kode Outlet dan Target Toko'!$D:$D,MATCH($I238,'Kode Outlet dan Target Toko'!$E:$E,0)),0)</f>
        <v>6300538</v>
      </c>
      <c r="I238" s="51" t="s">
        <v>19</v>
      </c>
      <c r="J238" s="27" t="s">
        <v>252</v>
      </c>
      <c r="K238" s="39" t="s">
        <v>13</v>
      </c>
      <c r="L238" s="29">
        <v>2975</v>
      </c>
      <c r="M238" s="26">
        <v>33</v>
      </c>
      <c r="N238" s="25">
        <f t="shared" si="7"/>
        <v>98175</v>
      </c>
      <c r="O238" s="24"/>
    </row>
    <row r="239" spans="1:15" ht="15.75" hidden="1" customHeight="1" x14ac:dyDescent="0.3">
      <c r="A239" s="26">
        <v>24</v>
      </c>
      <c r="B239" s="20" t="str">
        <f t="shared" si="6"/>
        <v>JUN</v>
      </c>
      <c r="C239" s="28">
        <v>46185</v>
      </c>
      <c r="D239" s="22" t="str">
        <f t="array" ref="D239">IFERROR(INDEX('Kode Outlet dan Target Toko'!$A:$A,MATCH($I239,'Kode Outlet dan Target Toko'!$E:$E,0)),"")</f>
        <v>GRSM 4</v>
      </c>
      <c r="E239" s="20" t="str">
        <f>IFERROR(VLOOKUP(I239,KET!$B:$F,4,0),"")</f>
        <v>FAHMI LUKMANUL HAKIM</v>
      </c>
      <c r="F239" s="20" t="str">
        <f>IFERROR(VLOOKUP(I239,KET!$B:$F,5,0),"")</f>
        <v>GMM</v>
      </c>
      <c r="G239" s="20">
        <f>IFERROR(INDEX('Kode Outlet dan Target Toko'!$C:$C,MATCH($I239,'Kode Outlet dan Target Toko'!$E:$E,0)),0)</f>
        <v>103277</v>
      </c>
      <c r="H239" s="20">
        <f>IFERROR(INDEX('Kode Outlet dan Target Toko'!$D:$D,MATCH($I239,'Kode Outlet dan Target Toko'!$E:$E,0)),0)</f>
        <v>6300538</v>
      </c>
      <c r="I239" s="51" t="s">
        <v>19</v>
      </c>
      <c r="J239" s="27" t="s">
        <v>252</v>
      </c>
      <c r="K239" s="39" t="s">
        <v>16</v>
      </c>
      <c r="L239" s="29">
        <v>2975</v>
      </c>
      <c r="M239" s="26">
        <v>174</v>
      </c>
      <c r="N239" s="25">
        <f t="shared" si="7"/>
        <v>517650</v>
      </c>
      <c r="O239" s="26">
        <v>160</v>
      </c>
    </row>
    <row r="240" spans="1:15" ht="15.75" hidden="1" customHeight="1" x14ac:dyDescent="0.3">
      <c r="A240" s="26">
        <v>24</v>
      </c>
      <c r="B240" s="20" t="str">
        <f t="shared" si="6"/>
        <v>JUN</v>
      </c>
      <c r="C240" s="28">
        <v>46185</v>
      </c>
      <c r="D240" s="22" t="str">
        <f t="array" ref="D240">IFERROR(INDEX('Kode Outlet dan Target Toko'!$A:$A,MATCH($I240,'Kode Outlet dan Target Toko'!$E:$E,0)),"")</f>
        <v>GRSM 3A</v>
      </c>
      <c r="E240" s="20" t="str">
        <f>IFERROR(VLOOKUP(I240,KET!$B:$F,4,0),"")</f>
        <v>FAHMI LUKMANUL HAKIM</v>
      </c>
      <c r="F240" s="20" t="str">
        <f>IFERROR(VLOOKUP(I240,KET!$B:$F,5,0),"")</f>
        <v>GMM</v>
      </c>
      <c r="G240" s="20">
        <f>IFERROR(INDEX('Kode Outlet dan Target Toko'!$C:$C,MATCH($I240,'Kode Outlet dan Target Toko'!$E:$E,0)),0)</f>
        <v>103272</v>
      </c>
      <c r="H240" s="20">
        <f>IFERROR(INDEX('Kode Outlet dan Target Toko'!$D:$D,MATCH($I240,'Kode Outlet dan Target Toko'!$E:$E,0)),0)</f>
        <v>1178</v>
      </c>
      <c r="I240" s="51" t="s">
        <v>22</v>
      </c>
      <c r="J240" s="27" t="s">
        <v>254</v>
      </c>
      <c r="K240" s="39" t="s">
        <v>15</v>
      </c>
      <c r="L240" s="29">
        <v>3145</v>
      </c>
      <c r="M240" s="26">
        <v>27</v>
      </c>
      <c r="N240" s="25">
        <f t="shared" si="7"/>
        <v>84915</v>
      </c>
      <c r="O240" s="24"/>
    </row>
    <row r="241" spans="1:15" ht="15.75" hidden="1" customHeight="1" x14ac:dyDescent="0.3">
      <c r="A241" s="26">
        <v>24</v>
      </c>
      <c r="B241" s="20" t="str">
        <f t="shared" si="6"/>
        <v>JUN</v>
      </c>
      <c r="C241" s="28">
        <v>46185</v>
      </c>
      <c r="D241" s="22" t="str">
        <f t="array" ref="D241">IFERROR(INDEX('Kode Outlet dan Target Toko'!$A:$A,MATCH($I241,'Kode Outlet dan Target Toko'!$E:$E,0)),"")</f>
        <v>GRSM 3A</v>
      </c>
      <c r="E241" s="20" t="str">
        <f>IFERROR(VLOOKUP(I241,KET!$B:$F,4,0),"")</f>
        <v>FAHMI LUKMANUL HAKIM</v>
      </c>
      <c r="F241" s="20" t="str">
        <f>IFERROR(VLOOKUP(I241,KET!$B:$F,5,0),"")</f>
        <v>GMM</v>
      </c>
      <c r="G241" s="20">
        <f>IFERROR(INDEX('Kode Outlet dan Target Toko'!$C:$C,MATCH($I241,'Kode Outlet dan Target Toko'!$E:$E,0)),0)</f>
        <v>103272</v>
      </c>
      <c r="H241" s="20">
        <f>IFERROR(INDEX('Kode Outlet dan Target Toko'!$D:$D,MATCH($I241,'Kode Outlet dan Target Toko'!$E:$E,0)),0)</f>
        <v>1178</v>
      </c>
      <c r="I241" s="51" t="s">
        <v>22</v>
      </c>
      <c r="J241" s="27" t="s">
        <v>254</v>
      </c>
      <c r="K241" s="39" t="s">
        <v>14</v>
      </c>
      <c r="L241" s="29">
        <v>3145</v>
      </c>
      <c r="M241" s="26">
        <v>24</v>
      </c>
      <c r="N241" s="25">
        <f t="shared" si="7"/>
        <v>75480</v>
      </c>
      <c r="O241" s="24"/>
    </row>
    <row r="242" spans="1:15" ht="15.75" hidden="1" customHeight="1" x14ac:dyDescent="0.3">
      <c r="A242" s="26">
        <v>24</v>
      </c>
      <c r="B242" s="20" t="str">
        <f t="shared" si="6"/>
        <v>JUN</v>
      </c>
      <c r="C242" s="28">
        <v>46185</v>
      </c>
      <c r="D242" s="22" t="str">
        <f t="array" ref="D242">IFERROR(INDEX('Kode Outlet dan Target Toko'!$A:$A,MATCH($I242,'Kode Outlet dan Target Toko'!$E:$E,0)),"")</f>
        <v>GRSM 3A</v>
      </c>
      <c r="E242" s="20" t="str">
        <f>IFERROR(VLOOKUP(I242,KET!$B:$F,4,0),"")</f>
        <v>FAHMI LUKMANUL HAKIM</v>
      </c>
      <c r="F242" s="20" t="str">
        <f>IFERROR(VLOOKUP(I242,KET!$B:$F,5,0),"")</f>
        <v>GMM</v>
      </c>
      <c r="G242" s="20">
        <f>IFERROR(INDEX('Kode Outlet dan Target Toko'!$C:$C,MATCH($I242,'Kode Outlet dan Target Toko'!$E:$E,0)),0)</f>
        <v>103272</v>
      </c>
      <c r="H242" s="20">
        <f>IFERROR(INDEX('Kode Outlet dan Target Toko'!$D:$D,MATCH($I242,'Kode Outlet dan Target Toko'!$E:$E,0)),0)</f>
        <v>1178</v>
      </c>
      <c r="I242" s="51" t="s">
        <v>22</v>
      </c>
      <c r="J242" s="27" t="s">
        <v>254</v>
      </c>
      <c r="K242" s="39" t="s">
        <v>13</v>
      </c>
      <c r="L242" s="29">
        <v>3145</v>
      </c>
      <c r="M242" s="26">
        <v>14</v>
      </c>
      <c r="N242" s="25">
        <f t="shared" si="7"/>
        <v>44030</v>
      </c>
      <c r="O242" s="24"/>
    </row>
    <row r="243" spans="1:15" ht="15.75" hidden="1" customHeight="1" x14ac:dyDescent="0.3">
      <c r="A243" s="26">
        <v>24</v>
      </c>
      <c r="B243" s="20" t="str">
        <f t="shared" si="6"/>
        <v>JUN</v>
      </c>
      <c r="C243" s="28">
        <v>46185</v>
      </c>
      <c r="D243" s="22" t="str">
        <f t="array" ref="D243">IFERROR(INDEX('Kode Outlet dan Target Toko'!$A:$A,MATCH($I243,'Kode Outlet dan Target Toko'!$E:$E,0)),"")</f>
        <v>GRSM 3A</v>
      </c>
      <c r="E243" s="20" t="str">
        <f>IFERROR(VLOOKUP(I243,KET!$B:$F,4,0),"")</f>
        <v>FAHMI LUKMANUL HAKIM</v>
      </c>
      <c r="F243" s="20" t="str">
        <f>IFERROR(VLOOKUP(I243,KET!$B:$F,5,0),"")</f>
        <v>GMM</v>
      </c>
      <c r="G243" s="20">
        <f>IFERROR(INDEX('Kode Outlet dan Target Toko'!$C:$C,MATCH($I243,'Kode Outlet dan Target Toko'!$E:$E,0)),0)</f>
        <v>103272</v>
      </c>
      <c r="H243" s="20">
        <f>IFERROR(INDEX('Kode Outlet dan Target Toko'!$D:$D,MATCH($I243,'Kode Outlet dan Target Toko'!$E:$E,0)),0)</f>
        <v>1178</v>
      </c>
      <c r="I243" s="51" t="s">
        <v>22</v>
      </c>
      <c r="J243" s="27" t="s">
        <v>254</v>
      </c>
      <c r="K243" s="39" t="s">
        <v>16</v>
      </c>
      <c r="L243" s="29">
        <v>3145</v>
      </c>
      <c r="M243" s="26">
        <v>35</v>
      </c>
      <c r="N243" s="25">
        <f t="shared" si="7"/>
        <v>110075</v>
      </c>
      <c r="O243" s="26">
        <v>160</v>
      </c>
    </row>
    <row r="244" spans="1:15" ht="15.75" hidden="1" customHeight="1" x14ac:dyDescent="0.3">
      <c r="A244" s="26">
        <v>24</v>
      </c>
      <c r="B244" s="20" t="str">
        <f t="shared" si="6"/>
        <v>JUN</v>
      </c>
      <c r="C244" s="28">
        <v>46185</v>
      </c>
      <c r="D244" s="22" t="str">
        <f t="array" ref="D244">IFERROR(INDEX('Kode Outlet dan Target Toko'!$A:$A,MATCH($I244,'Kode Outlet dan Target Toko'!$E:$E,0)),"")</f>
        <v>GRSM 3A</v>
      </c>
      <c r="E244" s="20" t="str">
        <f>IFERROR(VLOOKUP(I244,KET!$B:$F,4,0),"")</f>
        <v>FAHMI LUKMANUL HAKIM</v>
      </c>
      <c r="F244" s="20" t="str">
        <f>IFERROR(VLOOKUP(I244,KET!$B:$F,5,0),"")</f>
        <v>GMM</v>
      </c>
      <c r="G244" s="20">
        <f>IFERROR(INDEX('Kode Outlet dan Target Toko'!$C:$C,MATCH($I244,'Kode Outlet dan Target Toko'!$E:$E,0)),0)</f>
        <v>103272</v>
      </c>
      <c r="H244" s="20">
        <f>IFERROR(INDEX('Kode Outlet dan Target Toko'!$D:$D,MATCH($I244,'Kode Outlet dan Target Toko'!$E:$E,0)),0)</f>
        <v>1178</v>
      </c>
      <c r="I244" s="51" t="s">
        <v>22</v>
      </c>
      <c r="J244" s="27" t="s">
        <v>256</v>
      </c>
      <c r="K244" s="39" t="s">
        <v>15</v>
      </c>
      <c r="L244" s="29">
        <v>3145</v>
      </c>
      <c r="M244" s="26">
        <v>27</v>
      </c>
      <c r="N244" s="25">
        <f t="shared" si="7"/>
        <v>84915</v>
      </c>
      <c r="O244" s="24"/>
    </row>
    <row r="245" spans="1:15" ht="15.75" hidden="1" customHeight="1" x14ac:dyDescent="0.3">
      <c r="A245" s="26">
        <v>24</v>
      </c>
      <c r="B245" s="20" t="str">
        <f t="shared" si="6"/>
        <v>JUN</v>
      </c>
      <c r="C245" s="28">
        <v>46185</v>
      </c>
      <c r="D245" s="22" t="str">
        <f t="array" ref="D245">IFERROR(INDEX('Kode Outlet dan Target Toko'!$A:$A,MATCH($I245,'Kode Outlet dan Target Toko'!$E:$E,0)),"")</f>
        <v>GRSM 3A</v>
      </c>
      <c r="E245" s="20" t="str">
        <f>IFERROR(VLOOKUP(I245,KET!$B:$F,4,0),"")</f>
        <v>FAHMI LUKMANUL HAKIM</v>
      </c>
      <c r="F245" s="20" t="str">
        <f>IFERROR(VLOOKUP(I245,KET!$B:$F,5,0),"")</f>
        <v>GMM</v>
      </c>
      <c r="G245" s="20">
        <f>IFERROR(INDEX('Kode Outlet dan Target Toko'!$C:$C,MATCH($I245,'Kode Outlet dan Target Toko'!$E:$E,0)),0)</f>
        <v>103272</v>
      </c>
      <c r="H245" s="20">
        <f>IFERROR(INDEX('Kode Outlet dan Target Toko'!$D:$D,MATCH($I245,'Kode Outlet dan Target Toko'!$E:$E,0)),0)</f>
        <v>1178</v>
      </c>
      <c r="I245" s="51" t="s">
        <v>22</v>
      </c>
      <c r="J245" s="27" t="s">
        <v>256</v>
      </c>
      <c r="K245" s="39" t="s">
        <v>14</v>
      </c>
      <c r="L245" s="29">
        <v>3145</v>
      </c>
      <c r="M245" s="26">
        <v>24</v>
      </c>
      <c r="N245" s="25">
        <f t="shared" si="7"/>
        <v>75480</v>
      </c>
      <c r="O245" s="24"/>
    </row>
    <row r="246" spans="1:15" ht="15.75" hidden="1" customHeight="1" x14ac:dyDescent="0.3">
      <c r="A246" s="26">
        <v>24</v>
      </c>
      <c r="B246" s="20" t="str">
        <f t="shared" si="6"/>
        <v>JUN</v>
      </c>
      <c r="C246" s="28">
        <v>46185</v>
      </c>
      <c r="D246" s="22" t="str">
        <f t="array" ref="D246">IFERROR(INDEX('Kode Outlet dan Target Toko'!$A:$A,MATCH($I246,'Kode Outlet dan Target Toko'!$E:$E,0)),"")</f>
        <v>GRSM 3A</v>
      </c>
      <c r="E246" s="20" t="str">
        <f>IFERROR(VLOOKUP(I246,KET!$B:$F,4,0),"")</f>
        <v>FAHMI LUKMANUL HAKIM</v>
      </c>
      <c r="F246" s="20" t="str">
        <f>IFERROR(VLOOKUP(I246,KET!$B:$F,5,0),"")</f>
        <v>GMM</v>
      </c>
      <c r="G246" s="20">
        <f>IFERROR(INDEX('Kode Outlet dan Target Toko'!$C:$C,MATCH($I246,'Kode Outlet dan Target Toko'!$E:$E,0)),0)</f>
        <v>103272</v>
      </c>
      <c r="H246" s="20">
        <f>IFERROR(INDEX('Kode Outlet dan Target Toko'!$D:$D,MATCH($I246,'Kode Outlet dan Target Toko'!$E:$E,0)),0)</f>
        <v>1178</v>
      </c>
      <c r="I246" s="51" t="s">
        <v>22</v>
      </c>
      <c r="J246" s="27" t="s">
        <v>256</v>
      </c>
      <c r="K246" s="39" t="s">
        <v>13</v>
      </c>
      <c r="L246" s="29">
        <v>3145</v>
      </c>
      <c r="M246" s="26">
        <v>14</v>
      </c>
      <c r="N246" s="25">
        <f t="shared" si="7"/>
        <v>44030</v>
      </c>
      <c r="O246" s="24"/>
    </row>
    <row r="247" spans="1:15" ht="15.75" hidden="1" customHeight="1" x14ac:dyDescent="0.3">
      <c r="A247" s="26">
        <v>24</v>
      </c>
      <c r="B247" s="20" t="str">
        <f t="shared" si="6"/>
        <v>JUN</v>
      </c>
      <c r="C247" s="28">
        <v>46185</v>
      </c>
      <c r="D247" s="22" t="str">
        <f t="array" ref="D247">IFERROR(INDEX('Kode Outlet dan Target Toko'!$A:$A,MATCH($I247,'Kode Outlet dan Target Toko'!$E:$E,0)),"")</f>
        <v>GRSM 3A</v>
      </c>
      <c r="E247" s="20" t="str">
        <f>IFERROR(VLOOKUP(I247,KET!$B:$F,4,0),"")</f>
        <v>FAHMI LUKMANUL HAKIM</v>
      </c>
      <c r="F247" s="20" t="str">
        <f>IFERROR(VLOOKUP(I247,KET!$B:$F,5,0),"")</f>
        <v>GMM</v>
      </c>
      <c r="G247" s="20">
        <f>IFERROR(INDEX('Kode Outlet dan Target Toko'!$C:$C,MATCH($I247,'Kode Outlet dan Target Toko'!$E:$E,0)),0)</f>
        <v>103272</v>
      </c>
      <c r="H247" s="20">
        <f>IFERROR(INDEX('Kode Outlet dan Target Toko'!$D:$D,MATCH($I247,'Kode Outlet dan Target Toko'!$E:$E,0)),0)</f>
        <v>1178</v>
      </c>
      <c r="I247" s="51" t="s">
        <v>22</v>
      </c>
      <c r="J247" s="27" t="s">
        <v>256</v>
      </c>
      <c r="K247" s="39" t="s">
        <v>16</v>
      </c>
      <c r="L247" s="29">
        <v>3145</v>
      </c>
      <c r="M247" s="26">
        <v>35</v>
      </c>
      <c r="N247" s="25">
        <f t="shared" si="7"/>
        <v>110075</v>
      </c>
      <c r="O247" s="26">
        <v>155</v>
      </c>
    </row>
    <row r="248" spans="1:15" ht="15.75" hidden="1" customHeight="1" x14ac:dyDescent="0.3">
      <c r="A248" s="26">
        <v>24</v>
      </c>
      <c r="B248" s="20" t="str">
        <f t="shared" si="6"/>
        <v>JUN</v>
      </c>
      <c r="C248" s="28">
        <v>46185</v>
      </c>
      <c r="D248" s="22" t="str">
        <f t="array" ref="D248">IFERROR(INDEX('Kode Outlet dan Target Toko'!$A:$A,MATCH($I248,'Kode Outlet dan Target Toko'!$E:$E,0)),"")</f>
        <v>GRSM 4</v>
      </c>
      <c r="E248" s="20" t="str">
        <f>IFERROR(VLOOKUP(I248,KET!$B:$F,4,0),"")</f>
        <v>FAHMI LUKMANUL HAKIM</v>
      </c>
      <c r="F248" s="20" t="str">
        <f>IFERROR(VLOOKUP(I248,KET!$B:$F,5,0),"")</f>
        <v>GMM</v>
      </c>
      <c r="G248" s="20">
        <f>IFERROR(INDEX('Kode Outlet dan Target Toko'!$C:$C,MATCH($I248,'Kode Outlet dan Target Toko'!$E:$E,0)),0)</f>
        <v>103259</v>
      </c>
      <c r="H248" s="20">
        <f>IFERROR(INDEX('Kode Outlet dan Target Toko'!$D:$D,MATCH($I248,'Kode Outlet dan Target Toko'!$E:$E,0)),0)</f>
        <v>9013525</v>
      </c>
      <c r="I248" s="51" t="s">
        <v>24</v>
      </c>
      <c r="J248" s="45" t="s">
        <v>188</v>
      </c>
      <c r="K248" s="39" t="s">
        <v>15</v>
      </c>
      <c r="L248" s="29">
        <v>2000</v>
      </c>
      <c r="M248" s="26">
        <v>48</v>
      </c>
      <c r="N248" s="25">
        <f t="shared" si="7"/>
        <v>96000</v>
      </c>
      <c r="O248" s="26"/>
    </row>
    <row r="249" spans="1:15" ht="15.75" hidden="1" customHeight="1" x14ac:dyDescent="0.3">
      <c r="A249" s="26">
        <v>24</v>
      </c>
      <c r="B249" s="20" t="str">
        <f t="shared" si="6"/>
        <v>JUN</v>
      </c>
      <c r="C249" s="28">
        <v>46185</v>
      </c>
      <c r="D249" s="22" t="str">
        <f t="array" ref="D249">IFERROR(INDEX('Kode Outlet dan Target Toko'!$A:$A,MATCH($I249,'Kode Outlet dan Target Toko'!$E:$E,0)),"")</f>
        <v>GRSM 4</v>
      </c>
      <c r="E249" s="20" t="str">
        <f>IFERROR(VLOOKUP(I249,KET!$B:$F,4,0),"")</f>
        <v>FAHMI LUKMANUL HAKIM</v>
      </c>
      <c r="F249" s="20" t="str">
        <f>IFERROR(VLOOKUP(I249,KET!$B:$F,5,0),"")</f>
        <v>GMM</v>
      </c>
      <c r="G249" s="20">
        <f>IFERROR(INDEX('Kode Outlet dan Target Toko'!$C:$C,MATCH($I249,'Kode Outlet dan Target Toko'!$E:$E,0)),0)</f>
        <v>103259</v>
      </c>
      <c r="H249" s="20">
        <f>IFERROR(INDEX('Kode Outlet dan Target Toko'!$D:$D,MATCH($I249,'Kode Outlet dan Target Toko'!$E:$E,0)),0)</f>
        <v>9013525</v>
      </c>
      <c r="I249" s="51" t="s">
        <v>24</v>
      </c>
      <c r="J249" s="45" t="s">
        <v>188</v>
      </c>
      <c r="K249" s="39" t="s">
        <v>14</v>
      </c>
      <c r="L249" s="29">
        <v>2000</v>
      </c>
      <c r="M249" s="26">
        <v>48</v>
      </c>
      <c r="N249" s="25">
        <f t="shared" si="7"/>
        <v>96000</v>
      </c>
      <c r="O249" s="26"/>
    </row>
    <row r="250" spans="1:15" ht="15.75" hidden="1" customHeight="1" x14ac:dyDescent="0.3">
      <c r="A250" s="26">
        <v>24</v>
      </c>
      <c r="B250" s="20" t="str">
        <f t="shared" si="6"/>
        <v>JUN</v>
      </c>
      <c r="C250" s="28">
        <v>46185</v>
      </c>
      <c r="D250" s="22" t="str">
        <f t="array" ref="D250">IFERROR(INDEX('Kode Outlet dan Target Toko'!$A:$A,MATCH($I250,'Kode Outlet dan Target Toko'!$E:$E,0)),"")</f>
        <v>GRSM 4</v>
      </c>
      <c r="E250" s="20" t="str">
        <f>IFERROR(VLOOKUP(I250,KET!$B:$F,4,0),"")</f>
        <v>FAHMI LUKMANUL HAKIM</v>
      </c>
      <c r="F250" s="20" t="str">
        <f>IFERROR(VLOOKUP(I250,KET!$B:$F,5,0),"")</f>
        <v>GMM</v>
      </c>
      <c r="G250" s="20">
        <f>IFERROR(INDEX('Kode Outlet dan Target Toko'!$C:$C,MATCH($I250,'Kode Outlet dan Target Toko'!$E:$E,0)),0)</f>
        <v>103259</v>
      </c>
      <c r="H250" s="20">
        <f>IFERROR(INDEX('Kode Outlet dan Target Toko'!$D:$D,MATCH($I250,'Kode Outlet dan Target Toko'!$E:$E,0)),0)</f>
        <v>9013525</v>
      </c>
      <c r="I250" s="51" t="s">
        <v>24</v>
      </c>
      <c r="J250" s="45" t="s">
        <v>188</v>
      </c>
      <c r="K250" s="39" t="s">
        <v>13</v>
      </c>
      <c r="L250" s="29">
        <v>2000</v>
      </c>
      <c r="M250" s="26">
        <v>30</v>
      </c>
      <c r="N250" s="25">
        <f t="shared" si="7"/>
        <v>60000</v>
      </c>
      <c r="O250" s="26"/>
    </row>
    <row r="251" spans="1:15" ht="15.75" hidden="1" customHeight="1" x14ac:dyDescent="0.3">
      <c r="A251" s="26">
        <v>24</v>
      </c>
      <c r="B251" s="20" t="str">
        <f t="shared" si="6"/>
        <v>JUN</v>
      </c>
      <c r="C251" s="28">
        <v>46185</v>
      </c>
      <c r="D251" s="22" t="str">
        <f t="array" ref="D251">IFERROR(INDEX('Kode Outlet dan Target Toko'!$A:$A,MATCH($I251,'Kode Outlet dan Target Toko'!$E:$E,0)),"")</f>
        <v>GRSM 4</v>
      </c>
      <c r="E251" s="20" t="str">
        <f>IFERROR(VLOOKUP(I251,KET!$B:$F,4,0),"")</f>
        <v>FAHMI LUKMANUL HAKIM</v>
      </c>
      <c r="F251" s="20" t="str">
        <f>IFERROR(VLOOKUP(I251,KET!$B:$F,5,0),"")</f>
        <v>GMM</v>
      </c>
      <c r="G251" s="20">
        <f>IFERROR(INDEX('Kode Outlet dan Target Toko'!$C:$C,MATCH($I251,'Kode Outlet dan Target Toko'!$E:$E,0)),0)</f>
        <v>103259</v>
      </c>
      <c r="H251" s="20">
        <f>IFERROR(INDEX('Kode Outlet dan Target Toko'!$D:$D,MATCH($I251,'Kode Outlet dan Target Toko'!$E:$E,0)),0)</f>
        <v>9013525</v>
      </c>
      <c r="I251" s="51" t="s">
        <v>24</v>
      </c>
      <c r="J251" s="45" t="s">
        <v>188</v>
      </c>
      <c r="K251" s="39" t="s">
        <v>16</v>
      </c>
      <c r="L251" s="29">
        <v>2000</v>
      </c>
      <c r="M251" s="26">
        <v>144</v>
      </c>
      <c r="N251" s="25">
        <f t="shared" si="7"/>
        <v>288000</v>
      </c>
      <c r="O251" s="26">
        <v>155</v>
      </c>
    </row>
    <row r="252" spans="1:15" ht="15.75" hidden="1" customHeight="1" x14ac:dyDescent="0.3">
      <c r="A252" s="26">
        <v>24</v>
      </c>
      <c r="B252" s="20" t="str">
        <f t="shared" si="6"/>
        <v>JUN</v>
      </c>
      <c r="C252" s="28">
        <v>46185</v>
      </c>
      <c r="D252" s="22" t="str">
        <f t="array" ref="D252">IFERROR(INDEX('Kode Outlet dan Target Toko'!$A:$A,MATCH($I252,'Kode Outlet dan Target Toko'!$E:$E,0)),"")</f>
        <v>GRSM 4</v>
      </c>
      <c r="E252" s="20" t="str">
        <f>IFERROR(VLOOKUP(I252,KET!$B:$F,4,0),"")</f>
        <v>FAHMI LUKMANUL HAKIM</v>
      </c>
      <c r="F252" s="20" t="str">
        <f>IFERROR(VLOOKUP(I252,KET!$B:$F,5,0),"")</f>
        <v>GMM</v>
      </c>
      <c r="G252" s="20">
        <f>IFERROR(INDEX('Kode Outlet dan Target Toko'!$C:$C,MATCH($I252,'Kode Outlet dan Target Toko'!$E:$E,0)),0)</f>
        <v>103259</v>
      </c>
      <c r="H252" s="20">
        <f>IFERROR(INDEX('Kode Outlet dan Target Toko'!$D:$D,MATCH($I252,'Kode Outlet dan Target Toko'!$E:$E,0)),0)</f>
        <v>9013525</v>
      </c>
      <c r="I252" s="51" t="s">
        <v>24</v>
      </c>
      <c r="J252" s="27" t="s">
        <v>189</v>
      </c>
      <c r="K252" s="39" t="s">
        <v>15</v>
      </c>
      <c r="L252" s="29">
        <v>2000</v>
      </c>
      <c r="M252" s="26">
        <v>48</v>
      </c>
      <c r="N252" s="25">
        <f t="shared" si="7"/>
        <v>96000</v>
      </c>
      <c r="O252" s="24"/>
    </row>
    <row r="253" spans="1:15" ht="15.75" hidden="1" customHeight="1" x14ac:dyDescent="0.3">
      <c r="A253" s="26">
        <v>24</v>
      </c>
      <c r="B253" s="20" t="str">
        <f t="shared" si="6"/>
        <v>JUN</v>
      </c>
      <c r="C253" s="28">
        <v>46185</v>
      </c>
      <c r="D253" s="22" t="str">
        <f t="array" ref="D253">IFERROR(INDEX('Kode Outlet dan Target Toko'!$A:$A,MATCH($I253,'Kode Outlet dan Target Toko'!$E:$E,0)),"")</f>
        <v>GRSM 4</v>
      </c>
      <c r="E253" s="20" t="str">
        <f>IFERROR(VLOOKUP(I253,KET!$B:$F,4,0),"")</f>
        <v>FAHMI LUKMANUL HAKIM</v>
      </c>
      <c r="F253" s="20" t="str">
        <f>IFERROR(VLOOKUP(I253,KET!$B:$F,5,0),"")</f>
        <v>GMM</v>
      </c>
      <c r="G253" s="20">
        <f>IFERROR(INDEX('Kode Outlet dan Target Toko'!$C:$C,MATCH($I253,'Kode Outlet dan Target Toko'!$E:$E,0)),0)</f>
        <v>103259</v>
      </c>
      <c r="H253" s="20">
        <f>IFERROR(INDEX('Kode Outlet dan Target Toko'!$D:$D,MATCH($I253,'Kode Outlet dan Target Toko'!$E:$E,0)),0)</f>
        <v>9013525</v>
      </c>
      <c r="I253" s="51" t="s">
        <v>24</v>
      </c>
      <c r="J253" s="27" t="s">
        <v>189</v>
      </c>
      <c r="K253" s="39" t="s">
        <v>14</v>
      </c>
      <c r="L253" s="29">
        <v>2000</v>
      </c>
      <c r="M253" s="26">
        <v>48</v>
      </c>
      <c r="N253" s="25">
        <f t="shared" si="7"/>
        <v>96000</v>
      </c>
      <c r="O253" s="24"/>
    </row>
    <row r="254" spans="1:15" ht="15.75" hidden="1" customHeight="1" x14ac:dyDescent="0.3">
      <c r="A254" s="26">
        <v>24</v>
      </c>
      <c r="B254" s="20" t="str">
        <f t="shared" si="6"/>
        <v>JUN</v>
      </c>
      <c r="C254" s="28">
        <v>46185</v>
      </c>
      <c r="D254" s="22" t="str">
        <f t="array" ref="D254">IFERROR(INDEX('Kode Outlet dan Target Toko'!$A:$A,MATCH($I254,'Kode Outlet dan Target Toko'!$E:$E,0)),"")</f>
        <v>GRSM 4</v>
      </c>
      <c r="E254" s="20" t="str">
        <f>IFERROR(VLOOKUP(I254,KET!$B:$F,4,0),"")</f>
        <v>FAHMI LUKMANUL HAKIM</v>
      </c>
      <c r="F254" s="20" t="str">
        <f>IFERROR(VLOOKUP(I254,KET!$B:$F,5,0),"")</f>
        <v>GMM</v>
      </c>
      <c r="G254" s="20">
        <f>IFERROR(INDEX('Kode Outlet dan Target Toko'!$C:$C,MATCH($I254,'Kode Outlet dan Target Toko'!$E:$E,0)),0)</f>
        <v>103259</v>
      </c>
      <c r="H254" s="20">
        <f>IFERROR(INDEX('Kode Outlet dan Target Toko'!$D:$D,MATCH($I254,'Kode Outlet dan Target Toko'!$E:$E,0)),0)</f>
        <v>9013525</v>
      </c>
      <c r="I254" s="51" t="s">
        <v>24</v>
      </c>
      <c r="J254" s="27" t="s">
        <v>189</v>
      </c>
      <c r="K254" s="39" t="s">
        <v>13</v>
      </c>
      <c r="L254" s="29">
        <v>2000</v>
      </c>
      <c r="M254" s="26">
        <v>30</v>
      </c>
      <c r="N254" s="25">
        <f t="shared" si="7"/>
        <v>60000</v>
      </c>
      <c r="O254" s="24"/>
    </row>
    <row r="255" spans="1:15" ht="15.75" hidden="1" customHeight="1" x14ac:dyDescent="0.3">
      <c r="A255" s="26">
        <v>24</v>
      </c>
      <c r="B255" s="20" t="str">
        <f t="shared" si="6"/>
        <v>JUN</v>
      </c>
      <c r="C255" s="28">
        <v>46185</v>
      </c>
      <c r="D255" s="22" t="str">
        <f t="array" ref="D255">IFERROR(INDEX('Kode Outlet dan Target Toko'!$A:$A,MATCH($I255,'Kode Outlet dan Target Toko'!$E:$E,0)),"")</f>
        <v>GRSM 4</v>
      </c>
      <c r="E255" s="20" t="str">
        <f>IFERROR(VLOOKUP(I255,KET!$B:$F,4,0),"")</f>
        <v>FAHMI LUKMANUL HAKIM</v>
      </c>
      <c r="F255" s="20" t="str">
        <f>IFERROR(VLOOKUP(I255,KET!$B:$F,5,0),"")</f>
        <v>GMM</v>
      </c>
      <c r="G255" s="20">
        <f>IFERROR(INDEX('Kode Outlet dan Target Toko'!$C:$C,MATCH($I255,'Kode Outlet dan Target Toko'!$E:$E,0)),0)</f>
        <v>103259</v>
      </c>
      <c r="H255" s="20">
        <f>IFERROR(INDEX('Kode Outlet dan Target Toko'!$D:$D,MATCH($I255,'Kode Outlet dan Target Toko'!$E:$E,0)),0)</f>
        <v>9013525</v>
      </c>
      <c r="I255" s="51" t="s">
        <v>24</v>
      </c>
      <c r="J255" s="27" t="s">
        <v>189</v>
      </c>
      <c r="K255" s="39" t="s">
        <v>16</v>
      </c>
      <c r="L255" s="29">
        <v>2000</v>
      </c>
      <c r="M255" s="26">
        <v>153</v>
      </c>
      <c r="N255" s="25">
        <f t="shared" si="7"/>
        <v>306000</v>
      </c>
      <c r="O255" s="26">
        <v>160</v>
      </c>
    </row>
    <row r="256" spans="1:15" ht="15.75" hidden="1" customHeight="1" x14ac:dyDescent="0.3">
      <c r="A256" s="26">
        <v>24</v>
      </c>
      <c r="B256" s="20" t="str">
        <f t="shared" si="6"/>
        <v>JUN</v>
      </c>
      <c r="C256" s="28">
        <v>46185</v>
      </c>
      <c r="D256" s="22" t="str">
        <f t="array" ref="D256">IFERROR(INDEX('Kode Outlet dan Target Toko'!$A:$A,MATCH($I256,'Kode Outlet dan Target Toko'!$E:$E,0)),"")</f>
        <v>GRSM 4</v>
      </c>
      <c r="E256" s="20" t="str">
        <f>IFERROR(VLOOKUP(I256,KET!$B:$F,4,0),"")</f>
        <v>FAHMI LUKMANUL HAKIM</v>
      </c>
      <c r="F256" s="20" t="str">
        <f>IFERROR(VLOOKUP(I256,KET!$B:$F,5,0),"")</f>
        <v>GMM</v>
      </c>
      <c r="G256" s="20">
        <f>IFERROR(INDEX('Kode Outlet dan Target Toko'!$C:$C,MATCH($I256,'Kode Outlet dan Target Toko'!$E:$E,0)),0)</f>
        <v>189901</v>
      </c>
      <c r="H256" s="20">
        <f>IFERROR(INDEX('Kode Outlet dan Target Toko'!$D:$D,MATCH($I256,'Kode Outlet dan Target Toko'!$E:$E,0)),0)</f>
        <v>1602020</v>
      </c>
      <c r="I256" s="51" t="s">
        <v>20</v>
      </c>
      <c r="J256" s="27" t="s">
        <v>198</v>
      </c>
      <c r="K256" s="39" t="s">
        <v>15</v>
      </c>
      <c r="L256" s="29">
        <v>2200</v>
      </c>
      <c r="M256" s="26">
        <v>57</v>
      </c>
      <c r="N256" s="25">
        <f t="shared" si="7"/>
        <v>125400</v>
      </c>
      <c r="O256" s="24"/>
    </row>
    <row r="257" spans="1:15" ht="15.75" hidden="1" customHeight="1" x14ac:dyDescent="0.3">
      <c r="A257" s="26">
        <v>24</v>
      </c>
      <c r="B257" s="20" t="str">
        <f t="shared" si="6"/>
        <v>JUN</v>
      </c>
      <c r="C257" s="28">
        <v>46185</v>
      </c>
      <c r="D257" s="22" t="str">
        <f t="array" ref="D257">IFERROR(INDEX('Kode Outlet dan Target Toko'!$A:$A,MATCH($I257,'Kode Outlet dan Target Toko'!$E:$E,0)),"")</f>
        <v>GRSM 4</v>
      </c>
      <c r="E257" s="20" t="str">
        <f>IFERROR(VLOOKUP(I257,KET!$B:$F,4,0),"")</f>
        <v>FAHMI LUKMANUL HAKIM</v>
      </c>
      <c r="F257" s="20" t="str">
        <f>IFERROR(VLOOKUP(I257,KET!$B:$F,5,0),"")</f>
        <v>GMM</v>
      </c>
      <c r="G257" s="20">
        <f>IFERROR(INDEX('Kode Outlet dan Target Toko'!$C:$C,MATCH($I257,'Kode Outlet dan Target Toko'!$E:$E,0)),0)</f>
        <v>189901</v>
      </c>
      <c r="H257" s="20">
        <f>IFERROR(INDEX('Kode Outlet dan Target Toko'!$D:$D,MATCH($I257,'Kode Outlet dan Target Toko'!$E:$E,0)),0)</f>
        <v>1602020</v>
      </c>
      <c r="I257" s="51" t="s">
        <v>20</v>
      </c>
      <c r="J257" s="27" t="s">
        <v>198</v>
      </c>
      <c r="K257" s="39" t="s">
        <v>14</v>
      </c>
      <c r="L257" s="29">
        <v>2200</v>
      </c>
      <c r="M257" s="26">
        <v>108</v>
      </c>
      <c r="N257" s="25">
        <f t="shared" si="7"/>
        <v>237600</v>
      </c>
      <c r="O257" s="24"/>
    </row>
    <row r="258" spans="1:15" ht="15.75" hidden="1" customHeight="1" x14ac:dyDescent="0.3">
      <c r="A258" s="26">
        <v>24</v>
      </c>
      <c r="B258" s="20" t="str">
        <f t="shared" si="6"/>
        <v>JUN</v>
      </c>
      <c r="C258" s="28">
        <v>46185</v>
      </c>
      <c r="D258" s="22" t="str">
        <f t="array" ref="D258">IFERROR(INDEX('Kode Outlet dan Target Toko'!$A:$A,MATCH($I258,'Kode Outlet dan Target Toko'!$E:$E,0)),"")</f>
        <v>GRSM 4</v>
      </c>
      <c r="E258" s="20" t="str">
        <f>IFERROR(VLOOKUP(I258,KET!$B:$F,4,0),"")</f>
        <v>FAHMI LUKMANUL HAKIM</v>
      </c>
      <c r="F258" s="20" t="str">
        <f>IFERROR(VLOOKUP(I258,KET!$B:$F,5,0),"")</f>
        <v>GMM</v>
      </c>
      <c r="G258" s="20">
        <f>IFERROR(INDEX('Kode Outlet dan Target Toko'!$C:$C,MATCH($I258,'Kode Outlet dan Target Toko'!$E:$E,0)),0)</f>
        <v>189901</v>
      </c>
      <c r="H258" s="20">
        <f>IFERROR(INDEX('Kode Outlet dan Target Toko'!$D:$D,MATCH($I258,'Kode Outlet dan Target Toko'!$E:$E,0)),0)</f>
        <v>1602020</v>
      </c>
      <c r="I258" s="51" t="s">
        <v>20</v>
      </c>
      <c r="J258" s="27" t="s">
        <v>198</v>
      </c>
      <c r="K258" s="39" t="s">
        <v>13</v>
      </c>
      <c r="L258" s="29">
        <v>2200</v>
      </c>
      <c r="M258" s="26">
        <v>36</v>
      </c>
      <c r="N258" s="25">
        <f t="shared" si="7"/>
        <v>79200</v>
      </c>
      <c r="O258" s="24"/>
    </row>
    <row r="259" spans="1:15" ht="15.75" hidden="1" customHeight="1" x14ac:dyDescent="0.3">
      <c r="A259" s="26">
        <v>24</v>
      </c>
      <c r="B259" s="20" t="str">
        <f t="shared" si="6"/>
        <v>JUN</v>
      </c>
      <c r="C259" s="28">
        <v>46185</v>
      </c>
      <c r="D259" s="22" t="str">
        <f t="array" ref="D259">IFERROR(INDEX('Kode Outlet dan Target Toko'!$A:$A,MATCH($I259,'Kode Outlet dan Target Toko'!$E:$E,0)),"")</f>
        <v>GRSM 4</v>
      </c>
      <c r="E259" s="20" t="str">
        <f>IFERROR(VLOOKUP(I259,KET!$B:$F,4,0),"")</f>
        <v>FAHMI LUKMANUL HAKIM</v>
      </c>
      <c r="F259" s="20" t="str">
        <f>IFERROR(VLOOKUP(I259,KET!$B:$F,5,0),"")</f>
        <v>GMM</v>
      </c>
      <c r="G259" s="20">
        <f>IFERROR(INDEX('Kode Outlet dan Target Toko'!$C:$C,MATCH($I259,'Kode Outlet dan Target Toko'!$E:$E,0)),0)</f>
        <v>103259</v>
      </c>
      <c r="H259" s="20">
        <f>IFERROR(INDEX('Kode Outlet dan Target Toko'!$D:$D,MATCH($I259,'Kode Outlet dan Target Toko'!$E:$E,0)),0)</f>
        <v>9029389</v>
      </c>
      <c r="I259" s="51" t="s">
        <v>18</v>
      </c>
      <c r="J259" s="27" t="s">
        <v>196</v>
      </c>
      <c r="K259" s="39" t="s">
        <v>15</v>
      </c>
      <c r="L259" s="29">
        <v>2000</v>
      </c>
      <c r="M259" s="26">
        <v>45</v>
      </c>
      <c r="N259" s="25">
        <f t="shared" si="7"/>
        <v>90000</v>
      </c>
      <c r="O259" s="26">
        <v>160</v>
      </c>
    </row>
    <row r="260" spans="1:15" ht="15.75" hidden="1" customHeight="1" x14ac:dyDescent="0.3">
      <c r="A260" s="26">
        <v>24</v>
      </c>
      <c r="B260" s="20" t="str">
        <f t="shared" si="6"/>
        <v>JUN</v>
      </c>
      <c r="C260" s="28">
        <v>46185</v>
      </c>
      <c r="D260" s="22" t="str">
        <f t="array" ref="D260">IFERROR(INDEX('Kode Outlet dan Target Toko'!$A:$A,MATCH($I260,'Kode Outlet dan Target Toko'!$E:$E,0)),"")</f>
        <v>GRSM 4</v>
      </c>
      <c r="E260" s="20" t="str">
        <f>IFERROR(VLOOKUP(I260,KET!$B:$F,4,0),"")</f>
        <v>FAHMI LUKMANUL HAKIM</v>
      </c>
      <c r="F260" s="20" t="str">
        <f>IFERROR(VLOOKUP(I260,KET!$B:$F,5,0),"")</f>
        <v>GMM</v>
      </c>
      <c r="G260" s="20">
        <f>IFERROR(INDEX('Kode Outlet dan Target Toko'!$C:$C,MATCH($I260,'Kode Outlet dan Target Toko'!$E:$E,0)),0)</f>
        <v>103259</v>
      </c>
      <c r="H260" s="20">
        <f>IFERROR(INDEX('Kode Outlet dan Target Toko'!$D:$D,MATCH($I260,'Kode Outlet dan Target Toko'!$E:$E,0)),0)</f>
        <v>9029389</v>
      </c>
      <c r="I260" s="51" t="s">
        <v>18</v>
      </c>
      <c r="J260" s="27" t="s">
        <v>196</v>
      </c>
      <c r="K260" s="39" t="s">
        <v>14</v>
      </c>
      <c r="L260" s="29">
        <v>2000</v>
      </c>
      <c r="M260" s="26">
        <v>63</v>
      </c>
      <c r="N260" s="25">
        <f t="shared" si="7"/>
        <v>126000</v>
      </c>
      <c r="O260" s="24"/>
    </row>
    <row r="261" spans="1:15" ht="15.75" hidden="1" customHeight="1" x14ac:dyDescent="0.3">
      <c r="A261" s="26">
        <v>24</v>
      </c>
      <c r="B261" s="20" t="str">
        <f t="shared" si="6"/>
        <v>JUN</v>
      </c>
      <c r="C261" s="28">
        <v>46185</v>
      </c>
      <c r="D261" s="22" t="str">
        <f t="array" ref="D261">IFERROR(INDEX('Kode Outlet dan Target Toko'!$A:$A,MATCH($I261,'Kode Outlet dan Target Toko'!$E:$E,0)),"")</f>
        <v>GRSM 4</v>
      </c>
      <c r="E261" s="20" t="str">
        <f>IFERROR(VLOOKUP(I261,KET!$B:$F,4,0),"")</f>
        <v>FAHMI LUKMANUL HAKIM</v>
      </c>
      <c r="F261" s="20" t="str">
        <f>IFERROR(VLOOKUP(I261,KET!$B:$F,5,0),"")</f>
        <v>GMM</v>
      </c>
      <c r="G261" s="20">
        <f>IFERROR(INDEX('Kode Outlet dan Target Toko'!$C:$C,MATCH($I261,'Kode Outlet dan Target Toko'!$E:$E,0)),0)</f>
        <v>103259</v>
      </c>
      <c r="H261" s="20">
        <f>IFERROR(INDEX('Kode Outlet dan Target Toko'!$D:$D,MATCH($I261,'Kode Outlet dan Target Toko'!$E:$E,0)),0)</f>
        <v>9029389</v>
      </c>
      <c r="I261" s="51" t="s">
        <v>18</v>
      </c>
      <c r="J261" s="27" t="s">
        <v>196</v>
      </c>
      <c r="K261" s="39" t="s">
        <v>13</v>
      </c>
      <c r="L261" s="29">
        <v>2000</v>
      </c>
      <c r="M261" s="26">
        <v>45</v>
      </c>
      <c r="N261" s="25">
        <f t="shared" si="7"/>
        <v>90000</v>
      </c>
      <c r="O261" s="24"/>
    </row>
    <row r="262" spans="1:15" ht="15.75" hidden="1" customHeight="1" x14ac:dyDescent="0.3">
      <c r="A262" s="26">
        <v>24</v>
      </c>
      <c r="B262" s="20" t="str">
        <f t="shared" si="6"/>
        <v>JUN</v>
      </c>
      <c r="C262" s="28">
        <v>46185</v>
      </c>
      <c r="D262" s="22" t="str">
        <f t="array" ref="D262">IFERROR(INDEX('Kode Outlet dan Target Toko'!$A:$A,MATCH($I262,'Kode Outlet dan Target Toko'!$E:$E,0)),"")</f>
        <v>GRSM 4</v>
      </c>
      <c r="E262" s="20" t="str">
        <f>IFERROR(VLOOKUP(I262,KET!$B:$F,4,0),"")</f>
        <v>FAHMI LUKMANUL HAKIM</v>
      </c>
      <c r="F262" s="20" t="str">
        <f>IFERROR(VLOOKUP(I262,KET!$B:$F,5,0),"")</f>
        <v>GMM</v>
      </c>
      <c r="G262" s="20">
        <f>IFERROR(INDEX('Kode Outlet dan Target Toko'!$C:$C,MATCH($I262,'Kode Outlet dan Target Toko'!$E:$E,0)),0)</f>
        <v>103259</v>
      </c>
      <c r="H262" s="20">
        <f>IFERROR(INDEX('Kode Outlet dan Target Toko'!$D:$D,MATCH($I262,'Kode Outlet dan Target Toko'!$E:$E,0)),0)</f>
        <v>9029389</v>
      </c>
      <c r="I262" s="51" t="s">
        <v>18</v>
      </c>
      <c r="J262" s="27" t="s">
        <v>196</v>
      </c>
      <c r="K262" s="39" t="s">
        <v>16</v>
      </c>
      <c r="L262" s="29">
        <v>2000</v>
      </c>
      <c r="M262" s="26">
        <v>66</v>
      </c>
      <c r="N262" s="25">
        <f t="shared" si="7"/>
        <v>132000</v>
      </c>
      <c r="O262" s="24"/>
    </row>
    <row r="263" spans="1:15" ht="15.75" hidden="1" customHeight="1" x14ac:dyDescent="0.3">
      <c r="A263" s="26">
        <v>24</v>
      </c>
      <c r="B263" s="20" t="str">
        <f t="shared" ref="B263:B326" si="8">IF(C263="","",UPPER(TEXT(C263, "MMM")))</f>
        <v>JUN</v>
      </c>
      <c r="C263" s="28">
        <v>46185</v>
      </c>
      <c r="D263" s="22" t="str">
        <f t="array" ref="D263">IFERROR(INDEX('Kode Outlet dan Target Toko'!$A:$A,MATCH($I263,'Kode Outlet dan Target Toko'!$E:$E,0)),"")</f>
        <v>GRSM 4</v>
      </c>
      <c r="E263" s="20" t="str">
        <f>IFERROR(VLOOKUP(I263,KET!$B:$F,4,0),"")</f>
        <v>FAHMI LUKMANUL HAKIM</v>
      </c>
      <c r="F263" s="20" t="str">
        <f>IFERROR(VLOOKUP(I263,KET!$B:$F,5,0),"")</f>
        <v>GMM</v>
      </c>
      <c r="G263" s="20">
        <f>IFERROR(INDEX('Kode Outlet dan Target Toko'!$C:$C,MATCH($I263,'Kode Outlet dan Target Toko'!$E:$E,0)),0)</f>
        <v>103259</v>
      </c>
      <c r="H263" s="20">
        <f>IFERROR(INDEX('Kode Outlet dan Target Toko'!$D:$D,MATCH($I263,'Kode Outlet dan Target Toko'!$E:$E,0)),0)</f>
        <v>9029389</v>
      </c>
      <c r="I263" s="51" t="s">
        <v>18</v>
      </c>
      <c r="J263" s="27" t="s">
        <v>174</v>
      </c>
      <c r="K263" s="39" t="s">
        <v>15</v>
      </c>
      <c r="L263" s="29">
        <v>2000</v>
      </c>
      <c r="M263" s="26">
        <v>51</v>
      </c>
      <c r="N263" s="25">
        <f t="shared" ref="N263:N326" si="9">IFERROR(M263*L263,"")</f>
        <v>102000</v>
      </c>
      <c r="O263" s="26">
        <v>160</v>
      </c>
    </row>
    <row r="264" spans="1:15" ht="15.75" hidden="1" customHeight="1" x14ac:dyDescent="0.3">
      <c r="A264" s="26">
        <v>24</v>
      </c>
      <c r="B264" s="20" t="str">
        <f t="shared" si="8"/>
        <v>JUN</v>
      </c>
      <c r="C264" s="28">
        <v>46185</v>
      </c>
      <c r="D264" s="22" t="str">
        <f t="array" ref="D264">IFERROR(INDEX('Kode Outlet dan Target Toko'!$A:$A,MATCH($I264,'Kode Outlet dan Target Toko'!$E:$E,0)),"")</f>
        <v>GRSM 4</v>
      </c>
      <c r="E264" s="20" t="str">
        <f>IFERROR(VLOOKUP(I264,KET!$B:$F,4,0),"")</f>
        <v>FAHMI LUKMANUL HAKIM</v>
      </c>
      <c r="F264" s="20" t="str">
        <f>IFERROR(VLOOKUP(I264,KET!$B:$F,5,0),"")</f>
        <v>GMM</v>
      </c>
      <c r="G264" s="20">
        <f>IFERROR(INDEX('Kode Outlet dan Target Toko'!$C:$C,MATCH($I264,'Kode Outlet dan Target Toko'!$E:$E,0)),0)</f>
        <v>103259</v>
      </c>
      <c r="H264" s="20">
        <f>IFERROR(INDEX('Kode Outlet dan Target Toko'!$D:$D,MATCH($I264,'Kode Outlet dan Target Toko'!$E:$E,0)),0)</f>
        <v>9029389</v>
      </c>
      <c r="I264" s="51" t="s">
        <v>18</v>
      </c>
      <c r="J264" s="27" t="s">
        <v>174</v>
      </c>
      <c r="K264" s="39" t="s">
        <v>14</v>
      </c>
      <c r="L264" s="29">
        <v>2000</v>
      </c>
      <c r="M264" s="26">
        <v>48</v>
      </c>
      <c r="N264" s="25">
        <f t="shared" si="9"/>
        <v>96000</v>
      </c>
      <c r="O264" s="24"/>
    </row>
    <row r="265" spans="1:15" ht="15.75" hidden="1" customHeight="1" x14ac:dyDescent="0.3">
      <c r="A265" s="26">
        <v>24</v>
      </c>
      <c r="B265" s="20" t="str">
        <f t="shared" si="8"/>
        <v>JUN</v>
      </c>
      <c r="C265" s="28">
        <v>46185</v>
      </c>
      <c r="D265" s="22" t="str">
        <f t="array" ref="D265">IFERROR(INDEX('Kode Outlet dan Target Toko'!$A:$A,MATCH($I265,'Kode Outlet dan Target Toko'!$E:$E,0)),"")</f>
        <v>GRSM 4</v>
      </c>
      <c r="E265" s="20" t="str">
        <f>IFERROR(VLOOKUP(I265,KET!$B:$F,4,0),"")</f>
        <v>FAHMI LUKMANUL HAKIM</v>
      </c>
      <c r="F265" s="20" t="str">
        <f>IFERROR(VLOOKUP(I265,KET!$B:$F,5,0),"")</f>
        <v>GMM</v>
      </c>
      <c r="G265" s="20">
        <f>IFERROR(INDEX('Kode Outlet dan Target Toko'!$C:$C,MATCH($I265,'Kode Outlet dan Target Toko'!$E:$E,0)),0)</f>
        <v>103259</v>
      </c>
      <c r="H265" s="20">
        <f>IFERROR(INDEX('Kode Outlet dan Target Toko'!$D:$D,MATCH($I265,'Kode Outlet dan Target Toko'!$E:$E,0)),0)</f>
        <v>9029389</v>
      </c>
      <c r="I265" s="51" t="s">
        <v>18</v>
      </c>
      <c r="J265" s="27" t="s">
        <v>174</v>
      </c>
      <c r="K265" s="39" t="s">
        <v>13</v>
      </c>
      <c r="L265" s="29">
        <v>2000</v>
      </c>
      <c r="M265" s="26">
        <v>21</v>
      </c>
      <c r="N265" s="25">
        <f t="shared" si="9"/>
        <v>42000</v>
      </c>
      <c r="O265" s="24"/>
    </row>
    <row r="266" spans="1:15" ht="15.75" hidden="1" customHeight="1" x14ac:dyDescent="0.3">
      <c r="A266" s="26">
        <v>24</v>
      </c>
      <c r="B266" s="20" t="str">
        <f t="shared" si="8"/>
        <v>JUN</v>
      </c>
      <c r="C266" s="28">
        <v>46185</v>
      </c>
      <c r="D266" s="22" t="str">
        <f t="array" ref="D266">IFERROR(INDEX('Kode Outlet dan Target Toko'!$A:$A,MATCH($I266,'Kode Outlet dan Target Toko'!$E:$E,0)),"")</f>
        <v>GRSM 4</v>
      </c>
      <c r="E266" s="20" t="str">
        <f>IFERROR(VLOOKUP(I266,KET!$B:$F,4,0),"")</f>
        <v>FAHMI LUKMANUL HAKIM</v>
      </c>
      <c r="F266" s="20" t="str">
        <f>IFERROR(VLOOKUP(I266,KET!$B:$F,5,0),"")</f>
        <v>GMM</v>
      </c>
      <c r="G266" s="20">
        <f>IFERROR(INDEX('Kode Outlet dan Target Toko'!$C:$C,MATCH($I266,'Kode Outlet dan Target Toko'!$E:$E,0)),0)</f>
        <v>103259</v>
      </c>
      <c r="H266" s="20">
        <f>IFERROR(INDEX('Kode Outlet dan Target Toko'!$D:$D,MATCH($I266,'Kode Outlet dan Target Toko'!$E:$E,0)),0)</f>
        <v>9029389</v>
      </c>
      <c r="I266" s="51" t="s">
        <v>18</v>
      </c>
      <c r="J266" s="27" t="s">
        <v>174</v>
      </c>
      <c r="K266" s="39" t="s">
        <v>16</v>
      </c>
      <c r="L266" s="29">
        <v>2000</v>
      </c>
      <c r="M266" s="26">
        <v>87</v>
      </c>
      <c r="N266" s="25">
        <f t="shared" si="9"/>
        <v>174000</v>
      </c>
      <c r="O266" s="24"/>
    </row>
    <row r="267" spans="1:15" ht="15.75" hidden="1" customHeight="1" x14ac:dyDescent="0.3">
      <c r="A267" s="26">
        <v>24</v>
      </c>
      <c r="B267" s="20" t="str">
        <f t="shared" si="8"/>
        <v>JUN</v>
      </c>
      <c r="C267" s="28">
        <v>46185</v>
      </c>
      <c r="D267" s="22" t="str">
        <f t="array" ref="D267">IFERROR(INDEX('Kode Outlet dan Target Toko'!$A:$A,MATCH($I267,'Kode Outlet dan Target Toko'!$E:$E,0)),"")</f>
        <v>GRSM 4</v>
      </c>
      <c r="E267" s="20" t="str">
        <f>IFERROR(VLOOKUP(I267,KET!$B:$F,4,0),"")</f>
        <v>FAHMI LUKMANUL HAKIM</v>
      </c>
      <c r="F267" s="20" t="str">
        <f>IFERROR(VLOOKUP(I267,KET!$B:$F,5,0),"")</f>
        <v>GMM</v>
      </c>
      <c r="G267" s="20">
        <f>IFERROR(INDEX('Kode Outlet dan Target Toko'!$C:$C,MATCH($I267,'Kode Outlet dan Target Toko'!$E:$E,0)),0)</f>
        <v>103277</v>
      </c>
      <c r="H267" s="20">
        <f>IFERROR(INDEX('Kode Outlet dan Target Toko'!$D:$D,MATCH($I267,'Kode Outlet dan Target Toko'!$E:$E,0)),0)</f>
        <v>6300538</v>
      </c>
      <c r="I267" s="51" t="s">
        <v>19</v>
      </c>
      <c r="J267" s="27" t="s">
        <v>251</v>
      </c>
      <c r="K267" s="39" t="s">
        <v>15</v>
      </c>
      <c r="L267" s="29">
        <v>2975</v>
      </c>
      <c r="M267" s="26">
        <v>63</v>
      </c>
      <c r="N267" s="25">
        <f t="shared" si="9"/>
        <v>187425</v>
      </c>
      <c r="O267" s="26">
        <v>160</v>
      </c>
    </row>
    <row r="268" spans="1:15" ht="15.75" hidden="1" customHeight="1" x14ac:dyDescent="0.3">
      <c r="A268" s="26">
        <v>24</v>
      </c>
      <c r="B268" s="20" t="str">
        <f t="shared" si="8"/>
        <v>JUN</v>
      </c>
      <c r="C268" s="28">
        <v>46186</v>
      </c>
      <c r="D268" s="22" t="str">
        <f t="array" ref="D268">IFERROR(INDEX('Kode Outlet dan Target Toko'!$A:$A,MATCH($I268,'Kode Outlet dan Target Toko'!$E:$E,0)),"")</f>
        <v>GRSM 4</v>
      </c>
      <c r="E268" s="20" t="str">
        <f>IFERROR(VLOOKUP(I268,KET!$B:$F,4,0),"")</f>
        <v>FAHMI LUKMANUL HAKIM</v>
      </c>
      <c r="F268" s="20" t="str">
        <f>IFERROR(VLOOKUP(I268,KET!$B:$F,5,0),"")</f>
        <v>GMM</v>
      </c>
      <c r="G268" s="20">
        <f>IFERROR(INDEX('Kode Outlet dan Target Toko'!$C:$C,MATCH($I268,'Kode Outlet dan Target Toko'!$E:$E,0)),0)</f>
        <v>103277</v>
      </c>
      <c r="H268" s="20">
        <f>IFERROR(INDEX('Kode Outlet dan Target Toko'!$D:$D,MATCH($I268,'Kode Outlet dan Target Toko'!$E:$E,0)),0)</f>
        <v>6300538</v>
      </c>
      <c r="I268" s="51" t="s">
        <v>19</v>
      </c>
      <c r="J268" s="27" t="s">
        <v>251</v>
      </c>
      <c r="K268" s="39" t="s">
        <v>14</v>
      </c>
      <c r="L268" s="29">
        <v>2975</v>
      </c>
      <c r="M268" s="26">
        <v>71</v>
      </c>
      <c r="N268" s="25">
        <f t="shared" si="9"/>
        <v>211225</v>
      </c>
      <c r="O268" s="24"/>
    </row>
    <row r="269" spans="1:15" ht="15.75" hidden="1" customHeight="1" x14ac:dyDescent="0.3">
      <c r="A269" s="26">
        <v>24</v>
      </c>
      <c r="B269" s="20" t="str">
        <f t="shared" si="8"/>
        <v>JUN</v>
      </c>
      <c r="C269" s="28">
        <v>46186</v>
      </c>
      <c r="D269" s="22" t="str">
        <f t="array" ref="D269">IFERROR(INDEX('Kode Outlet dan Target Toko'!$A:$A,MATCH($I269,'Kode Outlet dan Target Toko'!$E:$E,0)),"")</f>
        <v>GRSM 4</v>
      </c>
      <c r="E269" s="20" t="str">
        <f>IFERROR(VLOOKUP(I269,KET!$B:$F,4,0),"")</f>
        <v>FAHMI LUKMANUL HAKIM</v>
      </c>
      <c r="F269" s="20" t="str">
        <f>IFERROR(VLOOKUP(I269,KET!$B:$F,5,0),"")</f>
        <v>GMM</v>
      </c>
      <c r="G269" s="20">
        <f>IFERROR(INDEX('Kode Outlet dan Target Toko'!$C:$C,MATCH($I269,'Kode Outlet dan Target Toko'!$E:$E,0)),0)</f>
        <v>103277</v>
      </c>
      <c r="H269" s="20">
        <f>IFERROR(INDEX('Kode Outlet dan Target Toko'!$D:$D,MATCH($I269,'Kode Outlet dan Target Toko'!$E:$E,0)),0)</f>
        <v>6300538</v>
      </c>
      <c r="I269" s="51" t="s">
        <v>19</v>
      </c>
      <c r="J269" s="27" t="s">
        <v>251</v>
      </c>
      <c r="K269" s="39" t="s">
        <v>13</v>
      </c>
      <c r="L269" s="29">
        <v>2975</v>
      </c>
      <c r="M269" s="26">
        <v>44</v>
      </c>
      <c r="N269" s="25">
        <f t="shared" si="9"/>
        <v>130900</v>
      </c>
      <c r="O269" s="24"/>
    </row>
    <row r="270" spans="1:15" ht="15.75" hidden="1" customHeight="1" x14ac:dyDescent="0.3">
      <c r="A270" s="26">
        <v>24</v>
      </c>
      <c r="B270" s="20" t="str">
        <f t="shared" si="8"/>
        <v>JUN</v>
      </c>
      <c r="C270" s="28">
        <v>46186</v>
      </c>
      <c r="D270" s="22" t="str">
        <f t="array" ref="D270">IFERROR(INDEX('Kode Outlet dan Target Toko'!$A:$A,MATCH($I270,'Kode Outlet dan Target Toko'!$E:$E,0)),"")</f>
        <v>GRSM 4</v>
      </c>
      <c r="E270" s="20" t="str">
        <f>IFERROR(VLOOKUP(I270,KET!$B:$F,4,0),"")</f>
        <v>FAHMI LUKMANUL HAKIM</v>
      </c>
      <c r="F270" s="20" t="str">
        <f>IFERROR(VLOOKUP(I270,KET!$B:$F,5,0),"")</f>
        <v>GMM</v>
      </c>
      <c r="G270" s="20">
        <f>IFERROR(INDEX('Kode Outlet dan Target Toko'!$C:$C,MATCH($I270,'Kode Outlet dan Target Toko'!$E:$E,0)),0)</f>
        <v>103277</v>
      </c>
      <c r="H270" s="20">
        <f>IFERROR(INDEX('Kode Outlet dan Target Toko'!$D:$D,MATCH($I270,'Kode Outlet dan Target Toko'!$E:$E,0)),0)</f>
        <v>6300538</v>
      </c>
      <c r="I270" s="51" t="s">
        <v>19</v>
      </c>
      <c r="J270" s="27" t="s">
        <v>251</v>
      </c>
      <c r="K270" s="39" t="s">
        <v>16</v>
      </c>
      <c r="L270" s="29">
        <v>2975</v>
      </c>
      <c r="M270" s="26">
        <v>191</v>
      </c>
      <c r="N270" s="25">
        <f t="shared" si="9"/>
        <v>568225</v>
      </c>
      <c r="O270" s="24"/>
    </row>
    <row r="271" spans="1:15" ht="15.75" hidden="1" customHeight="1" x14ac:dyDescent="0.3">
      <c r="A271" s="26">
        <v>24</v>
      </c>
      <c r="B271" s="20" t="str">
        <f t="shared" si="8"/>
        <v>JUN</v>
      </c>
      <c r="C271" s="28">
        <v>46186</v>
      </c>
      <c r="D271" s="22" t="str">
        <f t="array" ref="D271">IFERROR(INDEX('Kode Outlet dan Target Toko'!$A:$A,MATCH($I271,'Kode Outlet dan Target Toko'!$E:$E,0)),"")</f>
        <v>GRSM 4</v>
      </c>
      <c r="E271" s="20" t="str">
        <f>IFERROR(VLOOKUP(I271,KET!$B:$F,4,0),"")</f>
        <v>FAHMI LUKMANUL HAKIM</v>
      </c>
      <c r="F271" s="20" t="str">
        <f>IFERROR(VLOOKUP(I271,KET!$B:$F,5,0),"")</f>
        <v>GMM</v>
      </c>
      <c r="G271" s="20">
        <f>IFERROR(INDEX('Kode Outlet dan Target Toko'!$C:$C,MATCH($I271,'Kode Outlet dan Target Toko'!$E:$E,0)),0)</f>
        <v>103277</v>
      </c>
      <c r="H271" s="20">
        <f>IFERROR(INDEX('Kode Outlet dan Target Toko'!$D:$D,MATCH($I271,'Kode Outlet dan Target Toko'!$E:$E,0)),0)</f>
        <v>6300538</v>
      </c>
      <c r="I271" s="51" t="s">
        <v>19</v>
      </c>
      <c r="J271" s="27" t="s">
        <v>252</v>
      </c>
      <c r="K271" s="39" t="s">
        <v>15</v>
      </c>
      <c r="L271" s="29">
        <v>2975</v>
      </c>
      <c r="M271" s="26">
        <v>59</v>
      </c>
      <c r="N271" s="25">
        <f t="shared" si="9"/>
        <v>175525</v>
      </c>
      <c r="O271" s="26">
        <v>100</v>
      </c>
    </row>
    <row r="272" spans="1:15" ht="15.75" hidden="1" customHeight="1" x14ac:dyDescent="0.3">
      <c r="A272" s="26">
        <v>24</v>
      </c>
      <c r="B272" s="20" t="str">
        <f t="shared" si="8"/>
        <v>JUN</v>
      </c>
      <c r="C272" s="28">
        <v>46186</v>
      </c>
      <c r="D272" s="22" t="str">
        <f t="array" ref="D272">IFERROR(INDEX('Kode Outlet dan Target Toko'!$A:$A,MATCH($I272,'Kode Outlet dan Target Toko'!$E:$E,0)),"")</f>
        <v>GRSM 4</v>
      </c>
      <c r="E272" s="20" t="str">
        <f>IFERROR(VLOOKUP(I272,KET!$B:$F,4,0),"")</f>
        <v>FAHMI LUKMANUL HAKIM</v>
      </c>
      <c r="F272" s="20" t="str">
        <f>IFERROR(VLOOKUP(I272,KET!$B:$F,5,0),"")</f>
        <v>GMM</v>
      </c>
      <c r="G272" s="20">
        <f>IFERROR(INDEX('Kode Outlet dan Target Toko'!$C:$C,MATCH($I272,'Kode Outlet dan Target Toko'!$E:$E,0)),0)</f>
        <v>103277</v>
      </c>
      <c r="H272" s="20">
        <f>IFERROR(INDEX('Kode Outlet dan Target Toko'!$D:$D,MATCH($I272,'Kode Outlet dan Target Toko'!$E:$E,0)),0)</f>
        <v>6300538</v>
      </c>
      <c r="I272" s="51" t="s">
        <v>19</v>
      </c>
      <c r="J272" s="27" t="s">
        <v>252</v>
      </c>
      <c r="K272" s="39" t="s">
        <v>14</v>
      </c>
      <c r="L272" s="29">
        <v>2975</v>
      </c>
      <c r="M272" s="26">
        <v>68</v>
      </c>
      <c r="N272" s="25">
        <f t="shared" si="9"/>
        <v>202300</v>
      </c>
      <c r="O272" s="24"/>
    </row>
    <row r="273" spans="1:15" ht="15.75" hidden="1" customHeight="1" x14ac:dyDescent="0.3">
      <c r="A273" s="26">
        <v>24</v>
      </c>
      <c r="B273" s="20" t="str">
        <f t="shared" si="8"/>
        <v>JUN</v>
      </c>
      <c r="C273" s="28">
        <v>46186</v>
      </c>
      <c r="D273" s="22" t="str">
        <f t="array" ref="D273">IFERROR(INDEX('Kode Outlet dan Target Toko'!$A:$A,MATCH($I273,'Kode Outlet dan Target Toko'!$E:$E,0)),"")</f>
        <v>GRSM 4</v>
      </c>
      <c r="E273" s="20" t="str">
        <f>IFERROR(VLOOKUP(I273,KET!$B:$F,4,0),"")</f>
        <v>FAHMI LUKMANUL HAKIM</v>
      </c>
      <c r="F273" s="20" t="str">
        <f>IFERROR(VLOOKUP(I273,KET!$B:$F,5,0),"")</f>
        <v>GMM</v>
      </c>
      <c r="G273" s="20">
        <f>IFERROR(INDEX('Kode Outlet dan Target Toko'!$C:$C,MATCH($I273,'Kode Outlet dan Target Toko'!$E:$E,0)),0)</f>
        <v>103277</v>
      </c>
      <c r="H273" s="20">
        <f>IFERROR(INDEX('Kode Outlet dan Target Toko'!$D:$D,MATCH($I273,'Kode Outlet dan Target Toko'!$E:$E,0)),0)</f>
        <v>6300538</v>
      </c>
      <c r="I273" s="51" t="s">
        <v>19</v>
      </c>
      <c r="J273" s="27" t="s">
        <v>252</v>
      </c>
      <c r="K273" s="39" t="s">
        <v>13</v>
      </c>
      <c r="L273" s="29">
        <v>2975</v>
      </c>
      <c r="M273" s="26">
        <v>31</v>
      </c>
      <c r="N273" s="25">
        <f t="shared" si="9"/>
        <v>92225</v>
      </c>
      <c r="O273" s="24"/>
    </row>
    <row r="274" spans="1:15" ht="15.75" hidden="1" customHeight="1" x14ac:dyDescent="0.3">
      <c r="A274" s="26">
        <v>24</v>
      </c>
      <c r="B274" s="20" t="str">
        <f t="shared" si="8"/>
        <v>JUN</v>
      </c>
      <c r="C274" s="28">
        <v>46186</v>
      </c>
      <c r="D274" s="22" t="str">
        <f t="array" ref="D274">IFERROR(INDEX('Kode Outlet dan Target Toko'!$A:$A,MATCH($I274,'Kode Outlet dan Target Toko'!$E:$E,0)),"")</f>
        <v>GRSM 4</v>
      </c>
      <c r="E274" s="20" t="str">
        <f>IFERROR(VLOOKUP(I274,KET!$B:$F,4,0),"")</f>
        <v>FAHMI LUKMANUL HAKIM</v>
      </c>
      <c r="F274" s="20" t="str">
        <f>IFERROR(VLOOKUP(I274,KET!$B:$F,5,0),"")</f>
        <v>GMM</v>
      </c>
      <c r="G274" s="20">
        <f>IFERROR(INDEX('Kode Outlet dan Target Toko'!$C:$C,MATCH($I274,'Kode Outlet dan Target Toko'!$E:$E,0)),0)</f>
        <v>103277</v>
      </c>
      <c r="H274" s="20">
        <f>IFERROR(INDEX('Kode Outlet dan Target Toko'!$D:$D,MATCH($I274,'Kode Outlet dan Target Toko'!$E:$E,0)),0)</f>
        <v>6300538</v>
      </c>
      <c r="I274" s="51" t="s">
        <v>19</v>
      </c>
      <c r="J274" s="27" t="s">
        <v>252</v>
      </c>
      <c r="K274" s="39" t="s">
        <v>16</v>
      </c>
      <c r="L274" s="29">
        <v>2975</v>
      </c>
      <c r="M274" s="26">
        <v>171</v>
      </c>
      <c r="N274" s="25">
        <f t="shared" si="9"/>
        <v>508725</v>
      </c>
      <c r="O274" s="24"/>
    </row>
    <row r="275" spans="1:15" ht="15.75" hidden="1" customHeight="1" x14ac:dyDescent="0.3">
      <c r="A275" s="26">
        <v>24</v>
      </c>
      <c r="B275" s="20" t="str">
        <f t="shared" si="8"/>
        <v>JUN</v>
      </c>
      <c r="C275" s="28">
        <v>46186</v>
      </c>
      <c r="D275" s="22" t="str">
        <f t="array" ref="D275">IFERROR(INDEX('Kode Outlet dan Target Toko'!$A:$A,MATCH($I275,'Kode Outlet dan Target Toko'!$E:$E,0)),"")</f>
        <v>GRSM 4</v>
      </c>
      <c r="E275" s="20" t="str">
        <f>IFERROR(VLOOKUP(I275,KET!$B:$F,4,0),"")</f>
        <v>FAHMI LUKMANUL HAKIM</v>
      </c>
      <c r="F275" s="20" t="str">
        <f>IFERROR(VLOOKUP(I275,KET!$B:$F,5,0),"")</f>
        <v>GMM</v>
      </c>
      <c r="G275" s="20">
        <f>IFERROR(INDEX('Kode Outlet dan Target Toko'!$C:$C,MATCH($I275,'Kode Outlet dan Target Toko'!$E:$E,0)),0)</f>
        <v>103257</v>
      </c>
      <c r="H275" s="20">
        <f>IFERROR(INDEX('Kode Outlet dan Target Toko'!$D:$D,MATCH($I275,'Kode Outlet dan Target Toko'!$E:$E,0)),0)</f>
        <v>9162509</v>
      </c>
      <c r="I275" s="41" t="s">
        <v>23</v>
      </c>
      <c r="J275" s="56" t="s">
        <v>181</v>
      </c>
      <c r="K275" s="39" t="s">
        <v>15</v>
      </c>
      <c r="L275" s="29">
        <v>3200</v>
      </c>
      <c r="M275" s="26">
        <v>35</v>
      </c>
      <c r="N275" s="25">
        <f t="shared" si="9"/>
        <v>112000</v>
      </c>
      <c r="O275" s="26">
        <v>100</v>
      </c>
    </row>
    <row r="276" spans="1:15" ht="15.75" hidden="1" customHeight="1" x14ac:dyDescent="0.3">
      <c r="A276" s="26">
        <v>24</v>
      </c>
      <c r="B276" s="20" t="str">
        <f t="shared" si="8"/>
        <v>JUN</v>
      </c>
      <c r="C276" s="28">
        <v>46186</v>
      </c>
      <c r="D276" s="22" t="str">
        <f t="array" ref="D276">IFERROR(INDEX('Kode Outlet dan Target Toko'!$A:$A,MATCH($I276,'Kode Outlet dan Target Toko'!$E:$E,0)),"")</f>
        <v>GRSM 4</v>
      </c>
      <c r="E276" s="20" t="str">
        <f>IFERROR(VLOOKUP(I276,KET!$B:$F,4,0),"")</f>
        <v>FAHMI LUKMANUL HAKIM</v>
      </c>
      <c r="F276" s="20" t="str">
        <f>IFERROR(VLOOKUP(I276,KET!$B:$F,5,0),"")</f>
        <v>GMM</v>
      </c>
      <c r="G276" s="20">
        <f>IFERROR(INDEX('Kode Outlet dan Target Toko'!$C:$C,MATCH($I276,'Kode Outlet dan Target Toko'!$E:$E,0)),0)</f>
        <v>103257</v>
      </c>
      <c r="H276" s="20">
        <f>IFERROR(INDEX('Kode Outlet dan Target Toko'!$D:$D,MATCH($I276,'Kode Outlet dan Target Toko'!$E:$E,0)),0)</f>
        <v>9162509</v>
      </c>
      <c r="I276" s="41" t="s">
        <v>23</v>
      </c>
      <c r="J276" s="56" t="s">
        <v>181</v>
      </c>
      <c r="K276" s="39" t="s">
        <v>14</v>
      </c>
      <c r="L276" s="29">
        <v>3200</v>
      </c>
      <c r="M276" s="26">
        <v>42</v>
      </c>
      <c r="N276" s="25">
        <f t="shared" si="9"/>
        <v>134400</v>
      </c>
      <c r="O276" s="24"/>
    </row>
    <row r="277" spans="1:15" ht="15.75" hidden="1" customHeight="1" x14ac:dyDescent="0.3">
      <c r="A277" s="26">
        <v>24</v>
      </c>
      <c r="B277" s="20" t="str">
        <f t="shared" si="8"/>
        <v>JUN</v>
      </c>
      <c r="C277" s="28">
        <v>46186</v>
      </c>
      <c r="D277" s="22" t="str">
        <f t="array" ref="D277">IFERROR(INDEX('Kode Outlet dan Target Toko'!$A:$A,MATCH($I277,'Kode Outlet dan Target Toko'!$E:$E,0)),"")</f>
        <v>GRSM 4</v>
      </c>
      <c r="E277" s="20" t="str">
        <f>IFERROR(VLOOKUP(I277,KET!$B:$F,4,0),"")</f>
        <v>FAHMI LUKMANUL HAKIM</v>
      </c>
      <c r="F277" s="20" t="str">
        <f>IFERROR(VLOOKUP(I277,KET!$B:$F,5,0),"")</f>
        <v>GMM</v>
      </c>
      <c r="G277" s="20">
        <f>IFERROR(INDEX('Kode Outlet dan Target Toko'!$C:$C,MATCH($I277,'Kode Outlet dan Target Toko'!$E:$E,0)),0)</f>
        <v>103257</v>
      </c>
      <c r="H277" s="20">
        <f>IFERROR(INDEX('Kode Outlet dan Target Toko'!$D:$D,MATCH($I277,'Kode Outlet dan Target Toko'!$E:$E,0)),0)</f>
        <v>9162509</v>
      </c>
      <c r="I277" s="41" t="s">
        <v>23</v>
      </c>
      <c r="J277" s="56" t="s">
        <v>181</v>
      </c>
      <c r="K277" s="39" t="s">
        <v>13</v>
      </c>
      <c r="L277" s="29">
        <v>3200</v>
      </c>
      <c r="M277" s="26">
        <v>38</v>
      </c>
      <c r="N277" s="25">
        <f t="shared" si="9"/>
        <v>121600</v>
      </c>
      <c r="O277" s="24"/>
    </row>
    <row r="278" spans="1:15" ht="15.75" hidden="1" customHeight="1" x14ac:dyDescent="0.3">
      <c r="A278" s="26">
        <v>24</v>
      </c>
      <c r="B278" s="20" t="str">
        <f t="shared" si="8"/>
        <v>JUN</v>
      </c>
      <c r="C278" s="28">
        <v>46186</v>
      </c>
      <c r="D278" s="22" t="str">
        <f t="array" ref="D278">IFERROR(INDEX('Kode Outlet dan Target Toko'!$A:$A,MATCH($I278,'Kode Outlet dan Target Toko'!$E:$E,0)),"")</f>
        <v>GRSM 4</v>
      </c>
      <c r="E278" s="20" t="str">
        <f>IFERROR(VLOOKUP(I278,KET!$B:$F,4,0),"")</f>
        <v>FAHMI LUKMANUL HAKIM</v>
      </c>
      <c r="F278" s="20" t="str">
        <f>IFERROR(VLOOKUP(I278,KET!$B:$F,5,0),"")</f>
        <v>GMM</v>
      </c>
      <c r="G278" s="20">
        <f>IFERROR(INDEX('Kode Outlet dan Target Toko'!$C:$C,MATCH($I278,'Kode Outlet dan Target Toko'!$E:$E,0)),0)</f>
        <v>103257</v>
      </c>
      <c r="H278" s="20">
        <f>IFERROR(INDEX('Kode Outlet dan Target Toko'!$D:$D,MATCH($I278,'Kode Outlet dan Target Toko'!$E:$E,0)),0)</f>
        <v>9162509</v>
      </c>
      <c r="I278" s="41" t="s">
        <v>23</v>
      </c>
      <c r="J278" s="56" t="s">
        <v>181</v>
      </c>
      <c r="K278" s="39" t="s">
        <v>16</v>
      </c>
      <c r="L278" s="29">
        <v>3200</v>
      </c>
      <c r="M278" s="26">
        <v>120</v>
      </c>
      <c r="N278" s="25">
        <f t="shared" si="9"/>
        <v>384000</v>
      </c>
      <c r="O278" s="24"/>
    </row>
    <row r="279" spans="1:15" ht="15.75" hidden="1" customHeight="1" x14ac:dyDescent="0.3">
      <c r="A279" s="26">
        <v>24</v>
      </c>
      <c r="B279" s="20" t="str">
        <f t="shared" si="8"/>
        <v>JUN</v>
      </c>
      <c r="C279" s="28">
        <v>46186</v>
      </c>
      <c r="D279" s="22" t="str">
        <f t="array" ref="D279">IFERROR(INDEX('Kode Outlet dan Target Toko'!$A:$A,MATCH($I279,'Kode Outlet dan Target Toko'!$E:$E,0)),"")</f>
        <v>GRSM 4</v>
      </c>
      <c r="E279" s="20" t="str">
        <f>IFERROR(VLOOKUP(I279,KET!$B:$F,4,0),"")</f>
        <v>FAHMI LUKMANUL HAKIM</v>
      </c>
      <c r="F279" s="20" t="str">
        <f>IFERROR(VLOOKUP(I279,KET!$B:$F,5,0),"")</f>
        <v>GMM</v>
      </c>
      <c r="G279" s="20">
        <f>IFERROR(INDEX('Kode Outlet dan Target Toko'!$C:$C,MATCH($I279,'Kode Outlet dan Target Toko'!$E:$E,0)),0)</f>
        <v>103257</v>
      </c>
      <c r="H279" s="20">
        <f>IFERROR(INDEX('Kode Outlet dan Target Toko'!$D:$D,MATCH($I279,'Kode Outlet dan Target Toko'!$E:$E,0)),0)</f>
        <v>9162509</v>
      </c>
      <c r="I279" s="41" t="s">
        <v>23</v>
      </c>
      <c r="J279" s="27" t="s">
        <v>180</v>
      </c>
      <c r="K279" s="39" t="s">
        <v>15</v>
      </c>
      <c r="L279" s="29">
        <v>3200</v>
      </c>
      <c r="M279" s="26">
        <v>40</v>
      </c>
      <c r="N279" s="25">
        <f t="shared" si="9"/>
        <v>128000</v>
      </c>
      <c r="O279" s="26">
        <v>160</v>
      </c>
    </row>
    <row r="280" spans="1:15" ht="15.75" hidden="1" customHeight="1" x14ac:dyDescent="0.3">
      <c r="A280" s="26">
        <v>24</v>
      </c>
      <c r="B280" s="20" t="str">
        <f t="shared" si="8"/>
        <v>JUN</v>
      </c>
      <c r="C280" s="28">
        <v>46186</v>
      </c>
      <c r="D280" s="22" t="str">
        <f t="array" ref="D280">IFERROR(INDEX('Kode Outlet dan Target Toko'!$A:$A,MATCH($I280,'Kode Outlet dan Target Toko'!$E:$E,0)),"")</f>
        <v>GRSM 4</v>
      </c>
      <c r="E280" s="20" t="str">
        <f>IFERROR(VLOOKUP(I280,KET!$B:$F,4,0),"")</f>
        <v>FAHMI LUKMANUL HAKIM</v>
      </c>
      <c r="F280" s="20" t="str">
        <f>IFERROR(VLOOKUP(I280,KET!$B:$F,5,0),"")</f>
        <v>GMM</v>
      </c>
      <c r="G280" s="20">
        <f>IFERROR(INDEX('Kode Outlet dan Target Toko'!$C:$C,MATCH($I280,'Kode Outlet dan Target Toko'!$E:$E,0)),0)</f>
        <v>103257</v>
      </c>
      <c r="H280" s="20">
        <f>IFERROR(INDEX('Kode Outlet dan Target Toko'!$D:$D,MATCH($I280,'Kode Outlet dan Target Toko'!$E:$E,0)),0)</f>
        <v>9162509</v>
      </c>
      <c r="I280" s="41" t="s">
        <v>23</v>
      </c>
      <c r="J280" s="27" t="s">
        <v>180</v>
      </c>
      <c r="K280" s="39" t="s">
        <v>14</v>
      </c>
      <c r="L280" s="29">
        <v>3200</v>
      </c>
      <c r="M280" s="26">
        <v>45</v>
      </c>
      <c r="N280" s="25">
        <f t="shared" si="9"/>
        <v>144000</v>
      </c>
      <c r="O280" s="24"/>
    </row>
    <row r="281" spans="1:15" ht="15.75" hidden="1" customHeight="1" x14ac:dyDescent="0.3">
      <c r="A281" s="26">
        <v>24</v>
      </c>
      <c r="B281" s="20" t="str">
        <f t="shared" si="8"/>
        <v>JUN</v>
      </c>
      <c r="C281" s="28">
        <v>46186</v>
      </c>
      <c r="D281" s="22" t="str">
        <f t="array" ref="D281">IFERROR(INDEX('Kode Outlet dan Target Toko'!$A:$A,MATCH($I281,'Kode Outlet dan Target Toko'!$E:$E,0)),"")</f>
        <v>GRSM 4</v>
      </c>
      <c r="E281" s="20" t="str">
        <f>IFERROR(VLOOKUP(I281,KET!$B:$F,4,0),"")</f>
        <v>FAHMI LUKMANUL HAKIM</v>
      </c>
      <c r="F281" s="20" t="str">
        <f>IFERROR(VLOOKUP(I281,KET!$B:$F,5,0),"")</f>
        <v>GMM</v>
      </c>
      <c r="G281" s="20">
        <f>IFERROR(INDEX('Kode Outlet dan Target Toko'!$C:$C,MATCH($I281,'Kode Outlet dan Target Toko'!$E:$E,0)),0)</f>
        <v>103257</v>
      </c>
      <c r="H281" s="20">
        <f>IFERROR(INDEX('Kode Outlet dan Target Toko'!$D:$D,MATCH($I281,'Kode Outlet dan Target Toko'!$E:$E,0)),0)</f>
        <v>9162509</v>
      </c>
      <c r="I281" s="41" t="s">
        <v>23</v>
      </c>
      <c r="J281" s="27" t="s">
        <v>180</v>
      </c>
      <c r="K281" s="39" t="s">
        <v>13</v>
      </c>
      <c r="L281" s="29">
        <v>3200</v>
      </c>
      <c r="M281" s="26">
        <v>43</v>
      </c>
      <c r="N281" s="25">
        <f t="shared" si="9"/>
        <v>137600</v>
      </c>
      <c r="O281" s="24"/>
    </row>
    <row r="282" spans="1:15" ht="15.75" hidden="1" customHeight="1" x14ac:dyDescent="0.3">
      <c r="A282" s="26">
        <v>24</v>
      </c>
      <c r="B282" s="20" t="str">
        <f t="shared" si="8"/>
        <v>JUN</v>
      </c>
      <c r="C282" s="28">
        <v>46186</v>
      </c>
      <c r="D282" s="22" t="str">
        <f t="array" ref="D282">IFERROR(INDEX('Kode Outlet dan Target Toko'!$A:$A,MATCH($I282,'Kode Outlet dan Target Toko'!$E:$E,0)),"")</f>
        <v>GRSM 4</v>
      </c>
      <c r="E282" s="20" t="str">
        <f>IFERROR(VLOOKUP(I282,KET!$B:$F,4,0),"")</f>
        <v>FAHMI LUKMANUL HAKIM</v>
      </c>
      <c r="F282" s="20" t="str">
        <f>IFERROR(VLOOKUP(I282,KET!$B:$F,5,0),"")</f>
        <v>GMM</v>
      </c>
      <c r="G282" s="20">
        <f>IFERROR(INDEX('Kode Outlet dan Target Toko'!$C:$C,MATCH($I282,'Kode Outlet dan Target Toko'!$E:$E,0)),0)</f>
        <v>103257</v>
      </c>
      <c r="H282" s="20">
        <f>IFERROR(INDEX('Kode Outlet dan Target Toko'!$D:$D,MATCH($I282,'Kode Outlet dan Target Toko'!$E:$E,0)),0)</f>
        <v>9162509</v>
      </c>
      <c r="I282" s="41" t="s">
        <v>23</v>
      </c>
      <c r="J282" s="27" t="s">
        <v>180</v>
      </c>
      <c r="K282" s="39" t="s">
        <v>16</v>
      </c>
      <c r="L282" s="29">
        <v>3200</v>
      </c>
      <c r="M282" s="26">
        <v>124</v>
      </c>
      <c r="N282" s="25">
        <f t="shared" si="9"/>
        <v>396800</v>
      </c>
      <c r="O282" s="24"/>
    </row>
    <row r="283" spans="1:15" ht="15.75" hidden="1" customHeight="1" x14ac:dyDescent="0.3">
      <c r="A283" s="26">
        <v>24</v>
      </c>
      <c r="B283" s="20" t="str">
        <f t="shared" si="8"/>
        <v>JUN</v>
      </c>
      <c r="C283" s="28">
        <v>46186</v>
      </c>
      <c r="D283" s="22" t="str">
        <f t="array" ref="D283">IFERROR(INDEX('Kode Outlet dan Target Toko'!$A:$A,MATCH($I283,'Kode Outlet dan Target Toko'!$E:$E,0)),"")</f>
        <v>GRSM 4</v>
      </c>
      <c r="E283" s="20" t="str">
        <f>IFERROR(VLOOKUP(I283,KET!$B:$F,4,0),"")</f>
        <v>FAHMI LUKMANUL HAKIM</v>
      </c>
      <c r="F283" s="20" t="str">
        <f>IFERROR(VLOOKUP(I283,KET!$B:$F,5,0),"")</f>
        <v>GMM</v>
      </c>
      <c r="G283" s="20">
        <f>IFERROR(INDEX('Kode Outlet dan Target Toko'!$C:$C,MATCH($I283,'Kode Outlet dan Target Toko'!$E:$E,0)),0)</f>
        <v>103259</v>
      </c>
      <c r="H283" s="20">
        <f>IFERROR(INDEX('Kode Outlet dan Target Toko'!$D:$D,MATCH($I283,'Kode Outlet dan Target Toko'!$E:$E,0)),0)</f>
        <v>9029389</v>
      </c>
      <c r="I283" s="51" t="s">
        <v>18</v>
      </c>
      <c r="J283" s="27" t="s">
        <v>196</v>
      </c>
      <c r="K283" s="39" t="s">
        <v>15</v>
      </c>
      <c r="L283" s="29">
        <v>2000</v>
      </c>
      <c r="M283" s="26">
        <v>66</v>
      </c>
      <c r="N283" s="25">
        <f t="shared" si="9"/>
        <v>132000</v>
      </c>
      <c r="O283" s="26">
        <v>160</v>
      </c>
    </row>
    <row r="284" spans="1:15" ht="15.75" hidden="1" customHeight="1" x14ac:dyDescent="0.3">
      <c r="A284" s="26">
        <v>24</v>
      </c>
      <c r="B284" s="20" t="str">
        <f t="shared" si="8"/>
        <v>JUN</v>
      </c>
      <c r="C284" s="28">
        <v>46186</v>
      </c>
      <c r="D284" s="22" t="str">
        <f t="array" ref="D284">IFERROR(INDEX('Kode Outlet dan Target Toko'!$A:$A,MATCH($I284,'Kode Outlet dan Target Toko'!$E:$E,0)),"")</f>
        <v>GRSM 4</v>
      </c>
      <c r="E284" s="20" t="str">
        <f>IFERROR(VLOOKUP(I284,KET!$B:$F,4,0),"")</f>
        <v>FAHMI LUKMANUL HAKIM</v>
      </c>
      <c r="F284" s="20" t="str">
        <f>IFERROR(VLOOKUP(I284,KET!$B:$F,5,0),"")</f>
        <v>GMM</v>
      </c>
      <c r="G284" s="20">
        <f>IFERROR(INDEX('Kode Outlet dan Target Toko'!$C:$C,MATCH($I284,'Kode Outlet dan Target Toko'!$E:$E,0)),0)</f>
        <v>103259</v>
      </c>
      <c r="H284" s="20">
        <f>IFERROR(INDEX('Kode Outlet dan Target Toko'!$D:$D,MATCH($I284,'Kode Outlet dan Target Toko'!$E:$E,0)),0)</f>
        <v>9029389</v>
      </c>
      <c r="I284" s="51" t="s">
        <v>18</v>
      </c>
      <c r="J284" s="27" t="s">
        <v>196</v>
      </c>
      <c r="K284" s="39" t="s">
        <v>14</v>
      </c>
      <c r="L284" s="29">
        <v>2000</v>
      </c>
      <c r="M284" s="26">
        <v>60</v>
      </c>
      <c r="N284" s="25">
        <f t="shared" si="9"/>
        <v>120000</v>
      </c>
      <c r="O284" s="24"/>
    </row>
    <row r="285" spans="1:15" ht="15.75" hidden="1" customHeight="1" x14ac:dyDescent="0.3">
      <c r="A285" s="26">
        <v>24</v>
      </c>
      <c r="B285" s="20" t="str">
        <f t="shared" si="8"/>
        <v>JUN</v>
      </c>
      <c r="C285" s="28">
        <v>46186</v>
      </c>
      <c r="D285" s="22" t="str">
        <f t="array" ref="D285">IFERROR(INDEX('Kode Outlet dan Target Toko'!$A:$A,MATCH($I285,'Kode Outlet dan Target Toko'!$E:$E,0)),"")</f>
        <v>GRSM 4</v>
      </c>
      <c r="E285" s="20" t="str">
        <f>IFERROR(VLOOKUP(I285,KET!$B:$F,4,0),"")</f>
        <v>FAHMI LUKMANUL HAKIM</v>
      </c>
      <c r="F285" s="20" t="str">
        <f>IFERROR(VLOOKUP(I285,KET!$B:$F,5,0),"")</f>
        <v>GMM</v>
      </c>
      <c r="G285" s="20">
        <f>IFERROR(INDEX('Kode Outlet dan Target Toko'!$C:$C,MATCH($I285,'Kode Outlet dan Target Toko'!$E:$E,0)),0)</f>
        <v>103259</v>
      </c>
      <c r="H285" s="20">
        <f>IFERROR(INDEX('Kode Outlet dan Target Toko'!$D:$D,MATCH($I285,'Kode Outlet dan Target Toko'!$E:$E,0)),0)</f>
        <v>9029389</v>
      </c>
      <c r="I285" s="51" t="s">
        <v>18</v>
      </c>
      <c r="J285" s="27" t="s">
        <v>196</v>
      </c>
      <c r="K285" s="39" t="s">
        <v>13</v>
      </c>
      <c r="L285" s="29">
        <v>2000</v>
      </c>
      <c r="M285" s="26">
        <v>21</v>
      </c>
      <c r="N285" s="25">
        <f t="shared" si="9"/>
        <v>42000</v>
      </c>
      <c r="O285" s="24"/>
    </row>
    <row r="286" spans="1:15" ht="15.75" hidden="1" customHeight="1" x14ac:dyDescent="0.3">
      <c r="A286" s="26">
        <v>24</v>
      </c>
      <c r="B286" s="20" t="str">
        <f t="shared" si="8"/>
        <v>JUN</v>
      </c>
      <c r="C286" s="28">
        <v>46186</v>
      </c>
      <c r="D286" s="22" t="str">
        <f t="array" ref="D286">IFERROR(INDEX('Kode Outlet dan Target Toko'!$A:$A,MATCH($I286,'Kode Outlet dan Target Toko'!$E:$E,0)),"")</f>
        <v>GRSM 4</v>
      </c>
      <c r="E286" s="20" t="str">
        <f>IFERROR(VLOOKUP(I286,KET!$B:$F,4,0),"")</f>
        <v>FAHMI LUKMANUL HAKIM</v>
      </c>
      <c r="F286" s="20" t="str">
        <f>IFERROR(VLOOKUP(I286,KET!$B:$F,5,0),"")</f>
        <v>GMM</v>
      </c>
      <c r="G286" s="20">
        <f>IFERROR(INDEX('Kode Outlet dan Target Toko'!$C:$C,MATCH($I286,'Kode Outlet dan Target Toko'!$E:$E,0)),0)</f>
        <v>103259</v>
      </c>
      <c r="H286" s="20">
        <f>IFERROR(INDEX('Kode Outlet dan Target Toko'!$D:$D,MATCH($I286,'Kode Outlet dan Target Toko'!$E:$E,0)),0)</f>
        <v>9029389</v>
      </c>
      <c r="I286" s="51" t="s">
        <v>18</v>
      </c>
      <c r="J286" s="27" t="s">
        <v>196</v>
      </c>
      <c r="K286" s="39" t="s">
        <v>16</v>
      </c>
      <c r="L286" s="29">
        <v>2000</v>
      </c>
      <c r="M286" s="26">
        <v>102</v>
      </c>
      <c r="N286" s="25">
        <f t="shared" si="9"/>
        <v>204000</v>
      </c>
      <c r="O286" s="24"/>
    </row>
    <row r="287" spans="1:15" ht="15.75" hidden="1" customHeight="1" x14ac:dyDescent="0.3">
      <c r="A287" s="26">
        <v>24</v>
      </c>
      <c r="B287" s="20" t="str">
        <f t="shared" si="8"/>
        <v>JUN</v>
      </c>
      <c r="C287" s="28">
        <v>46186</v>
      </c>
      <c r="D287" s="22" t="str">
        <f t="array" ref="D287">IFERROR(INDEX('Kode Outlet dan Target Toko'!$A:$A,MATCH($I287,'Kode Outlet dan Target Toko'!$E:$E,0)),"")</f>
        <v>GRSM 4</v>
      </c>
      <c r="E287" s="20" t="str">
        <f>IFERROR(VLOOKUP(I287,KET!$B:$F,4,0),"")</f>
        <v>FAHMI LUKMANUL HAKIM</v>
      </c>
      <c r="F287" s="20" t="str">
        <f>IFERROR(VLOOKUP(I287,KET!$B:$F,5,0),"")</f>
        <v>GMM</v>
      </c>
      <c r="G287" s="20">
        <f>IFERROR(INDEX('Kode Outlet dan Target Toko'!$C:$C,MATCH($I287,'Kode Outlet dan Target Toko'!$E:$E,0)),0)</f>
        <v>103259</v>
      </c>
      <c r="H287" s="20">
        <f>IFERROR(INDEX('Kode Outlet dan Target Toko'!$D:$D,MATCH($I287,'Kode Outlet dan Target Toko'!$E:$E,0)),0)</f>
        <v>9029389</v>
      </c>
      <c r="I287" s="51" t="s">
        <v>18</v>
      </c>
      <c r="J287" s="27" t="s">
        <v>174</v>
      </c>
      <c r="K287" s="39" t="s">
        <v>15</v>
      </c>
      <c r="L287" s="29">
        <v>2000</v>
      </c>
      <c r="M287" s="26">
        <v>72</v>
      </c>
      <c r="N287" s="25">
        <f t="shared" si="9"/>
        <v>144000</v>
      </c>
      <c r="O287" s="26">
        <v>160</v>
      </c>
    </row>
    <row r="288" spans="1:15" ht="15.75" hidden="1" customHeight="1" x14ac:dyDescent="0.3">
      <c r="A288" s="26">
        <v>24</v>
      </c>
      <c r="B288" s="20" t="str">
        <f t="shared" si="8"/>
        <v>JUN</v>
      </c>
      <c r="C288" s="28">
        <v>46186</v>
      </c>
      <c r="D288" s="22" t="str">
        <f t="array" ref="D288">IFERROR(INDEX('Kode Outlet dan Target Toko'!$A:$A,MATCH($I288,'Kode Outlet dan Target Toko'!$E:$E,0)),"")</f>
        <v>GRSM 4</v>
      </c>
      <c r="E288" s="20" t="str">
        <f>IFERROR(VLOOKUP(I288,KET!$B:$F,4,0),"")</f>
        <v>FAHMI LUKMANUL HAKIM</v>
      </c>
      <c r="F288" s="20" t="str">
        <f>IFERROR(VLOOKUP(I288,KET!$B:$F,5,0),"")</f>
        <v>GMM</v>
      </c>
      <c r="G288" s="20">
        <f>IFERROR(INDEX('Kode Outlet dan Target Toko'!$C:$C,MATCH($I288,'Kode Outlet dan Target Toko'!$E:$E,0)),0)</f>
        <v>103259</v>
      </c>
      <c r="H288" s="20">
        <f>IFERROR(INDEX('Kode Outlet dan Target Toko'!$D:$D,MATCH($I288,'Kode Outlet dan Target Toko'!$E:$E,0)),0)</f>
        <v>9029389</v>
      </c>
      <c r="I288" s="51" t="s">
        <v>18</v>
      </c>
      <c r="J288" s="27" t="s">
        <v>174</v>
      </c>
      <c r="K288" s="39" t="s">
        <v>14</v>
      </c>
      <c r="L288" s="29">
        <v>2000</v>
      </c>
      <c r="M288" s="26">
        <v>54</v>
      </c>
      <c r="N288" s="25">
        <f t="shared" si="9"/>
        <v>108000</v>
      </c>
      <c r="O288" s="24"/>
    </row>
    <row r="289" spans="1:15" ht="15.75" hidden="1" customHeight="1" x14ac:dyDescent="0.3">
      <c r="A289" s="26">
        <v>24</v>
      </c>
      <c r="B289" s="20" t="str">
        <f t="shared" si="8"/>
        <v>JUN</v>
      </c>
      <c r="C289" s="28">
        <v>46186</v>
      </c>
      <c r="D289" s="22" t="str">
        <f t="array" ref="D289">IFERROR(INDEX('Kode Outlet dan Target Toko'!$A:$A,MATCH($I289,'Kode Outlet dan Target Toko'!$E:$E,0)),"")</f>
        <v>GRSM 4</v>
      </c>
      <c r="E289" s="20" t="str">
        <f>IFERROR(VLOOKUP(I289,KET!$B:$F,4,0),"")</f>
        <v>FAHMI LUKMANUL HAKIM</v>
      </c>
      <c r="F289" s="20" t="str">
        <f>IFERROR(VLOOKUP(I289,KET!$B:$F,5,0),"")</f>
        <v>GMM</v>
      </c>
      <c r="G289" s="20">
        <f>IFERROR(INDEX('Kode Outlet dan Target Toko'!$C:$C,MATCH($I289,'Kode Outlet dan Target Toko'!$E:$E,0)),0)</f>
        <v>103259</v>
      </c>
      <c r="H289" s="20">
        <f>IFERROR(INDEX('Kode Outlet dan Target Toko'!$D:$D,MATCH($I289,'Kode Outlet dan Target Toko'!$E:$E,0)),0)</f>
        <v>9029389</v>
      </c>
      <c r="I289" s="51" t="s">
        <v>18</v>
      </c>
      <c r="J289" s="27" t="s">
        <v>174</v>
      </c>
      <c r="K289" s="39" t="s">
        <v>13</v>
      </c>
      <c r="L289" s="29">
        <v>2000</v>
      </c>
      <c r="M289" s="26">
        <v>45</v>
      </c>
      <c r="N289" s="25">
        <f t="shared" si="9"/>
        <v>90000</v>
      </c>
      <c r="O289" s="24"/>
    </row>
    <row r="290" spans="1:15" ht="15.75" hidden="1" customHeight="1" x14ac:dyDescent="0.3">
      <c r="A290" s="26">
        <v>24</v>
      </c>
      <c r="B290" s="20" t="str">
        <f t="shared" si="8"/>
        <v>JUN</v>
      </c>
      <c r="C290" s="28">
        <v>46186</v>
      </c>
      <c r="D290" s="22" t="str">
        <f t="array" ref="D290">IFERROR(INDEX('Kode Outlet dan Target Toko'!$A:$A,MATCH($I290,'Kode Outlet dan Target Toko'!$E:$E,0)),"")</f>
        <v>GRSM 4</v>
      </c>
      <c r="E290" s="20" t="str">
        <f>IFERROR(VLOOKUP(I290,KET!$B:$F,4,0),"")</f>
        <v>FAHMI LUKMANUL HAKIM</v>
      </c>
      <c r="F290" s="20" t="str">
        <f>IFERROR(VLOOKUP(I290,KET!$B:$F,5,0),"")</f>
        <v>GMM</v>
      </c>
      <c r="G290" s="20">
        <f>IFERROR(INDEX('Kode Outlet dan Target Toko'!$C:$C,MATCH($I290,'Kode Outlet dan Target Toko'!$E:$E,0)),0)</f>
        <v>103259</v>
      </c>
      <c r="H290" s="20">
        <f>IFERROR(INDEX('Kode Outlet dan Target Toko'!$D:$D,MATCH($I290,'Kode Outlet dan Target Toko'!$E:$E,0)),0)</f>
        <v>9029389</v>
      </c>
      <c r="I290" s="51" t="s">
        <v>18</v>
      </c>
      <c r="J290" s="27" t="s">
        <v>174</v>
      </c>
      <c r="K290" s="39" t="s">
        <v>16</v>
      </c>
      <c r="L290" s="29">
        <v>2000</v>
      </c>
      <c r="M290" s="26">
        <v>141</v>
      </c>
      <c r="N290" s="25">
        <f t="shared" si="9"/>
        <v>282000</v>
      </c>
      <c r="O290" s="24"/>
    </row>
    <row r="291" spans="1:15" ht="15.75" hidden="1" customHeight="1" x14ac:dyDescent="0.3">
      <c r="A291" s="26">
        <v>24</v>
      </c>
      <c r="B291" s="20" t="str">
        <f t="shared" si="8"/>
        <v>JUN</v>
      </c>
      <c r="C291" s="28">
        <v>46186</v>
      </c>
      <c r="D291" s="22" t="str">
        <f t="array" ref="D291">IFERROR(INDEX('Kode Outlet dan Target Toko'!$A:$A,MATCH($I291,'Kode Outlet dan Target Toko'!$E:$E,0)),"")</f>
        <v>GRSM 3A</v>
      </c>
      <c r="E291" s="20" t="str">
        <f>IFERROR(VLOOKUP(I291,KET!$B:$F,4,0),"")</f>
        <v>FAHMI LUKMANUL HAKIM</v>
      </c>
      <c r="F291" s="20" t="str">
        <f>IFERROR(VLOOKUP(I291,KET!$B:$F,5,0),"")</f>
        <v>GMM</v>
      </c>
      <c r="G291" s="20">
        <f>IFERROR(INDEX('Kode Outlet dan Target Toko'!$C:$C,MATCH($I291,'Kode Outlet dan Target Toko'!$E:$E,0)),0)</f>
        <v>103272</v>
      </c>
      <c r="H291" s="20">
        <f>IFERROR(INDEX('Kode Outlet dan Target Toko'!$D:$D,MATCH($I291,'Kode Outlet dan Target Toko'!$E:$E,0)),0)</f>
        <v>1178</v>
      </c>
      <c r="I291" s="51" t="s">
        <v>22</v>
      </c>
      <c r="J291" s="27" t="s">
        <v>256</v>
      </c>
      <c r="K291" s="39" t="s">
        <v>15</v>
      </c>
      <c r="L291" s="29">
        <v>3145</v>
      </c>
      <c r="M291" s="26">
        <v>30</v>
      </c>
      <c r="N291" s="25">
        <f t="shared" si="9"/>
        <v>94350</v>
      </c>
      <c r="O291" s="26">
        <v>160</v>
      </c>
    </row>
    <row r="292" spans="1:15" ht="15.75" hidden="1" customHeight="1" x14ac:dyDescent="0.3">
      <c r="A292" s="26">
        <v>24</v>
      </c>
      <c r="B292" s="20" t="str">
        <f t="shared" si="8"/>
        <v>JUN</v>
      </c>
      <c r="C292" s="28">
        <v>46186</v>
      </c>
      <c r="D292" s="22" t="str">
        <f t="array" ref="D292">IFERROR(INDEX('Kode Outlet dan Target Toko'!$A:$A,MATCH($I292,'Kode Outlet dan Target Toko'!$E:$E,0)),"")</f>
        <v>GRSM 3A</v>
      </c>
      <c r="E292" s="20" t="str">
        <f>IFERROR(VLOOKUP(I292,KET!$B:$F,4,0),"")</f>
        <v>FAHMI LUKMANUL HAKIM</v>
      </c>
      <c r="F292" s="20" t="str">
        <f>IFERROR(VLOOKUP(I292,KET!$B:$F,5,0),"")</f>
        <v>GMM</v>
      </c>
      <c r="G292" s="20">
        <f>IFERROR(INDEX('Kode Outlet dan Target Toko'!$C:$C,MATCH($I292,'Kode Outlet dan Target Toko'!$E:$E,0)),0)</f>
        <v>103272</v>
      </c>
      <c r="H292" s="20">
        <f>IFERROR(INDEX('Kode Outlet dan Target Toko'!$D:$D,MATCH($I292,'Kode Outlet dan Target Toko'!$E:$E,0)),0)</f>
        <v>1178</v>
      </c>
      <c r="I292" s="51" t="s">
        <v>22</v>
      </c>
      <c r="J292" s="27" t="s">
        <v>256</v>
      </c>
      <c r="K292" s="39" t="s">
        <v>14</v>
      </c>
      <c r="L292" s="29">
        <v>3145</v>
      </c>
      <c r="M292" s="26">
        <v>23</v>
      </c>
      <c r="N292" s="25">
        <f t="shared" si="9"/>
        <v>72335</v>
      </c>
      <c r="O292" s="24"/>
    </row>
    <row r="293" spans="1:15" ht="15.75" hidden="1" customHeight="1" x14ac:dyDescent="0.3">
      <c r="A293" s="26">
        <v>24</v>
      </c>
      <c r="B293" s="20" t="str">
        <f t="shared" si="8"/>
        <v>JUN</v>
      </c>
      <c r="C293" s="28">
        <v>46186</v>
      </c>
      <c r="D293" s="22" t="str">
        <f t="array" ref="D293">IFERROR(INDEX('Kode Outlet dan Target Toko'!$A:$A,MATCH($I293,'Kode Outlet dan Target Toko'!$E:$E,0)),"")</f>
        <v>GRSM 3A</v>
      </c>
      <c r="E293" s="20" t="str">
        <f>IFERROR(VLOOKUP(I293,KET!$B:$F,4,0),"")</f>
        <v>FAHMI LUKMANUL HAKIM</v>
      </c>
      <c r="F293" s="20" t="str">
        <f>IFERROR(VLOOKUP(I293,KET!$B:$F,5,0),"")</f>
        <v>GMM</v>
      </c>
      <c r="G293" s="20">
        <f>IFERROR(INDEX('Kode Outlet dan Target Toko'!$C:$C,MATCH($I293,'Kode Outlet dan Target Toko'!$E:$E,0)),0)</f>
        <v>103272</v>
      </c>
      <c r="H293" s="20">
        <f>IFERROR(INDEX('Kode Outlet dan Target Toko'!$D:$D,MATCH($I293,'Kode Outlet dan Target Toko'!$E:$E,0)),0)</f>
        <v>1178</v>
      </c>
      <c r="I293" s="51" t="s">
        <v>22</v>
      </c>
      <c r="J293" s="27" t="s">
        <v>256</v>
      </c>
      <c r="K293" s="39" t="s">
        <v>13</v>
      </c>
      <c r="L293" s="29">
        <v>3145</v>
      </c>
      <c r="M293" s="26">
        <v>6</v>
      </c>
      <c r="N293" s="25">
        <f t="shared" si="9"/>
        <v>18870</v>
      </c>
      <c r="O293" s="24"/>
    </row>
    <row r="294" spans="1:15" ht="15.75" hidden="1" customHeight="1" x14ac:dyDescent="0.3">
      <c r="A294" s="26">
        <v>24</v>
      </c>
      <c r="B294" s="20" t="str">
        <f t="shared" si="8"/>
        <v>JUN</v>
      </c>
      <c r="C294" s="28">
        <v>46186</v>
      </c>
      <c r="D294" s="22" t="str">
        <f t="array" ref="D294">IFERROR(INDEX('Kode Outlet dan Target Toko'!$A:$A,MATCH($I294,'Kode Outlet dan Target Toko'!$E:$E,0)),"")</f>
        <v>GRSM 3A</v>
      </c>
      <c r="E294" s="20" t="str">
        <f>IFERROR(VLOOKUP(I294,KET!$B:$F,4,0),"")</f>
        <v>FAHMI LUKMANUL HAKIM</v>
      </c>
      <c r="F294" s="20" t="str">
        <f>IFERROR(VLOOKUP(I294,KET!$B:$F,5,0),"")</f>
        <v>GMM</v>
      </c>
      <c r="G294" s="20">
        <f>IFERROR(INDEX('Kode Outlet dan Target Toko'!$C:$C,MATCH($I294,'Kode Outlet dan Target Toko'!$E:$E,0)),0)</f>
        <v>103272</v>
      </c>
      <c r="H294" s="20">
        <f>IFERROR(INDEX('Kode Outlet dan Target Toko'!$D:$D,MATCH($I294,'Kode Outlet dan Target Toko'!$E:$E,0)),0)</f>
        <v>1178</v>
      </c>
      <c r="I294" s="51" t="s">
        <v>22</v>
      </c>
      <c r="J294" s="27" t="s">
        <v>256</v>
      </c>
      <c r="K294" s="39" t="s">
        <v>16</v>
      </c>
      <c r="L294" s="29">
        <v>3145</v>
      </c>
      <c r="M294" s="26">
        <v>60</v>
      </c>
      <c r="N294" s="25">
        <f t="shared" si="9"/>
        <v>188700</v>
      </c>
      <c r="O294" s="24"/>
    </row>
    <row r="295" spans="1:15" ht="15.75" hidden="1" customHeight="1" x14ac:dyDescent="0.3">
      <c r="A295" s="26">
        <v>24</v>
      </c>
      <c r="B295" s="20" t="str">
        <f t="shared" si="8"/>
        <v>JUN</v>
      </c>
      <c r="C295" s="28">
        <v>46186</v>
      </c>
      <c r="D295" s="22" t="str">
        <f t="array" ref="D295">IFERROR(INDEX('Kode Outlet dan Target Toko'!$A:$A,MATCH($I295,'Kode Outlet dan Target Toko'!$E:$E,0)),"")</f>
        <v>GRSM 3A</v>
      </c>
      <c r="E295" s="20" t="str">
        <f>IFERROR(VLOOKUP(I295,KET!$B:$F,4,0),"")</f>
        <v>FAHMI LUKMANUL HAKIM</v>
      </c>
      <c r="F295" s="20" t="str">
        <f>IFERROR(VLOOKUP(I295,KET!$B:$F,5,0),"")</f>
        <v>GMM</v>
      </c>
      <c r="G295" s="20">
        <f>IFERROR(INDEX('Kode Outlet dan Target Toko'!$C:$C,MATCH($I295,'Kode Outlet dan Target Toko'!$E:$E,0)),0)</f>
        <v>103272</v>
      </c>
      <c r="H295" s="20">
        <f>IFERROR(INDEX('Kode Outlet dan Target Toko'!$D:$D,MATCH($I295,'Kode Outlet dan Target Toko'!$E:$E,0)),0)</f>
        <v>1178</v>
      </c>
      <c r="I295" s="51" t="s">
        <v>22</v>
      </c>
      <c r="J295" s="27" t="s">
        <v>254</v>
      </c>
      <c r="K295" s="39" t="s">
        <v>15</v>
      </c>
      <c r="L295" s="29">
        <v>3145</v>
      </c>
      <c r="M295" s="26">
        <v>30</v>
      </c>
      <c r="N295" s="25">
        <f t="shared" si="9"/>
        <v>94350</v>
      </c>
      <c r="O295" s="26">
        <v>160</v>
      </c>
    </row>
    <row r="296" spans="1:15" ht="15.75" hidden="1" customHeight="1" x14ac:dyDescent="0.3">
      <c r="A296" s="26">
        <v>24</v>
      </c>
      <c r="B296" s="20" t="str">
        <f t="shared" si="8"/>
        <v>JUN</v>
      </c>
      <c r="C296" s="28">
        <v>46186</v>
      </c>
      <c r="D296" s="22" t="str">
        <f t="array" ref="D296">IFERROR(INDEX('Kode Outlet dan Target Toko'!$A:$A,MATCH($I296,'Kode Outlet dan Target Toko'!$E:$E,0)),"")</f>
        <v>GRSM 3A</v>
      </c>
      <c r="E296" s="20" t="str">
        <f>IFERROR(VLOOKUP(I296,KET!$B:$F,4,0),"")</f>
        <v>FAHMI LUKMANUL HAKIM</v>
      </c>
      <c r="F296" s="20" t="str">
        <f>IFERROR(VLOOKUP(I296,KET!$B:$F,5,0),"")</f>
        <v>GMM</v>
      </c>
      <c r="G296" s="20">
        <f>IFERROR(INDEX('Kode Outlet dan Target Toko'!$C:$C,MATCH($I296,'Kode Outlet dan Target Toko'!$E:$E,0)),0)</f>
        <v>103272</v>
      </c>
      <c r="H296" s="20">
        <f>IFERROR(INDEX('Kode Outlet dan Target Toko'!$D:$D,MATCH($I296,'Kode Outlet dan Target Toko'!$E:$E,0)),0)</f>
        <v>1178</v>
      </c>
      <c r="I296" s="51" t="s">
        <v>22</v>
      </c>
      <c r="J296" s="27" t="s">
        <v>254</v>
      </c>
      <c r="K296" s="39" t="s">
        <v>14</v>
      </c>
      <c r="L296" s="29">
        <v>3145</v>
      </c>
      <c r="M296" s="26">
        <v>23</v>
      </c>
      <c r="N296" s="25">
        <f t="shared" si="9"/>
        <v>72335</v>
      </c>
      <c r="O296" s="24"/>
    </row>
    <row r="297" spans="1:15" ht="15.75" hidden="1" customHeight="1" x14ac:dyDescent="0.3">
      <c r="A297" s="26">
        <v>24</v>
      </c>
      <c r="B297" s="20" t="str">
        <f t="shared" si="8"/>
        <v>JUN</v>
      </c>
      <c r="C297" s="28">
        <v>46186</v>
      </c>
      <c r="D297" s="22" t="str">
        <f t="array" ref="D297">IFERROR(INDEX('Kode Outlet dan Target Toko'!$A:$A,MATCH($I297,'Kode Outlet dan Target Toko'!$E:$E,0)),"")</f>
        <v>GRSM 3A</v>
      </c>
      <c r="E297" s="20" t="str">
        <f>IFERROR(VLOOKUP(I297,KET!$B:$F,4,0),"")</f>
        <v>FAHMI LUKMANUL HAKIM</v>
      </c>
      <c r="F297" s="20" t="str">
        <f>IFERROR(VLOOKUP(I297,KET!$B:$F,5,0),"")</f>
        <v>GMM</v>
      </c>
      <c r="G297" s="20">
        <f>IFERROR(INDEX('Kode Outlet dan Target Toko'!$C:$C,MATCH($I297,'Kode Outlet dan Target Toko'!$E:$E,0)),0)</f>
        <v>103272</v>
      </c>
      <c r="H297" s="20">
        <f>IFERROR(INDEX('Kode Outlet dan Target Toko'!$D:$D,MATCH($I297,'Kode Outlet dan Target Toko'!$E:$E,0)),0)</f>
        <v>1178</v>
      </c>
      <c r="I297" s="51" t="s">
        <v>22</v>
      </c>
      <c r="J297" s="27" t="s">
        <v>254</v>
      </c>
      <c r="K297" s="39" t="s">
        <v>13</v>
      </c>
      <c r="L297" s="29">
        <v>3145</v>
      </c>
      <c r="M297" s="26">
        <v>6</v>
      </c>
      <c r="N297" s="25">
        <f t="shared" si="9"/>
        <v>18870</v>
      </c>
      <c r="O297" s="24"/>
    </row>
    <row r="298" spans="1:15" ht="15.75" hidden="1" customHeight="1" x14ac:dyDescent="0.3">
      <c r="A298" s="26">
        <v>24</v>
      </c>
      <c r="B298" s="20" t="str">
        <f t="shared" si="8"/>
        <v>JUN</v>
      </c>
      <c r="C298" s="28">
        <v>46186</v>
      </c>
      <c r="D298" s="22" t="str">
        <f t="array" ref="D298">IFERROR(INDEX('Kode Outlet dan Target Toko'!$A:$A,MATCH($I298,'Kode Outlet dan Target Toko'!$E:$E,0)),"")</f>
        <v>GRSM 3A</v>
      </c>
      <c r="E298" s="20" t="str">
        <f>IFERROR(VLOOKUP(I298,KET!$B:$F,4,0),"")</f>
        <v>FAHMI LUKMANUL HAKIM</v>
      </c>
      <c r="F298" s="20" t="str">
        <f>IFERROR(VLOOKUP(I298,KET!$B:$F,5,0),"")</f>
        <v>GMM</v>
      </c>
      <c r="G298" s="20">
        <f>IFERROR(INDEX('Kode Outlet dan Target Toko'!$C:$C,MATCH($I298,'Kode Outlet dan Target Toko'!$E:$E,0)),0)</f>
        <v>103272</v>
      </c>
      <c r="H298" s="20">
        <f>IFERROR(INDEX('Kode Outlet dan Target Toko'!$D:$D,MATCH($I298,'Kode Outlet dan Target Toko'!$E:$E,0)),0)</f>
        <v>1178</v>
      </c>
      <c r="I298" s="51" t="s">
        <v>22</v>
      </c>
      <c r="J298" s="27" t="s">
        <v>254</v>
      </c>
      <c r="K298" s="39" t="s">
        <v>16</v>
      </c>
      <c r="L298" s="29">
        <v>3145</v>
      </c>
      <c r="M298" s="26">
        <v>60</v>
      </c>
      <c r="N298" s="25">
        <f t="shared" si="9"/>
        <v>188700</v>
      </c>
      <c r="O298" s="24"/>
    </row>
    <row r="299" spans="1:15" ht="15.75" hidden="1" customHeight="1" x14ac:dyDescent="0.3">
      <c r="A299" s="26">
        <v>24</v>
      </c>
      <c r="B299" s="20" t="str">
        <f t="shared" si="8"/>
        <v>JUN</v>
      </c>
      <c r="C299" s="28">
        <v>46186</v>
      </c>
      <c r="D299" s="22" t="str">
        <f t="array" ref="D299">IFERROR(INDEX('Kode Outlet dan Target Toko'!$A:$A,MATCH($I299,'Kode Outlet dan Target Toko'!$E:$E,0)),"")</f>
        <v>GRSM 4</v>
      </c>
      <c r="E299" s="20" t="str">
        <f>IFERROR(VLOOKUP(I299,KET!$B:$F,4,0),"")</f>
        <v>FAHMI LUKMANUL HAKIM</v>
      </c>
      <c r="F299" s="20" t="str">
        <f>IFERROR(VLOOKUP(I299,KET!$B:$F,5,0),"")</f>
        <v>GMM</v>
      </c>
      <c r="G299" s="20">
        <f>IFERROR(INDEX('Kode Outlet dan Target Toko'!$C:$C,MATCH($I299,'Kode Outlet dan Target Toko'!$E:$E,0)),0)</f>
        <v>103259</v>
      </c>
      <c r="H299" s="20">
        <f>IFERROR(INDEX('Kode Outlet dan Target Toko'!$D:$D,MATCH($I299,'Kode Outlet dan Target Toko'!$E:$E,0)),0)</f>
        <v>9013525</v>
      </c>
      <c r="I299" s="51" t="s">
        <v>24</v>
      </c>
      <c r="J299" s="45" t="s">
        <v>188</v>
      </c>
      <c r="K299" s="39" t="s">
        <v>15</v>
      </c>
      <c r="L299" s="29">
        <v>2000</v>
      </c>
      <c r="M299" s="26">
        <v>60</v>
      </c>
      <c r="N299" s="25">
        <f t="shared" si="9"/>
        <v>120000</v>
      </c>
      <c r="O299" s="26">
        <v>160</v>
      </c>
    </row>
    <row r="300" spans="1:15" ht="15.75" hidden="1" customHeight="1" x14ac:dyDescent="0.3">
      <c r="A300" s="26">
        <v>24</v>
      </c>
      <c r="B300" s="20" t="str">
        <f t="shared" si="8"/>
        <v>JUN</v>
      </c>
      <c r="C300" s="28">
        <v>46186</v>
      </c>
      <c r="D300" s="22" t="str">
        <f t="array" ref="D300">IFERROR(INDEX('Kode Outlet dan Target Toko'!$A:$A,MATCH($I300,'Kode Outlet dan Target Toko'!$E:$E,0)),"")</f>
        <v>GRSM 4</v>
      </c>
      <c r="E300" s="20" t="str">
        <f>IFERROR(VLOOKUP(I300,KET!$B:$F,4,0),"")</f>
        <v>FAHMI LUKMANUL HAKIM</v>
      </c>
      <c r="F300" s="20" t="str">
        <f>IFERROR(VLOOKUP(I300,KET!$B:$F,5,0),"")</f>
        <v>GMM</v>
      </c>
      <c r="G300" s="20">
        <f>IFERROR(INDEX('Kode Outlet dan Target Toko'!$C:$C,MATCH($I300,'Kode Outlet dan Target Toko'!$E:$E,0)),0)</f>
        <v>103259</v>
      </c>
      <c r="H300" s="20">
        <f>IFERROR(INDEX('Kode Outlet dan Target Toko'!$D:$D,MATCH($I300,'Kode Outlet dan Target Toko'!$E:$E,0)),0)</f>
        <v>9013525</v>
      </c>
      <c r="I300" s="51" t="s">
        <v>24</v>
      </c>
      <c r="J300" s="45" t="s">
        <v>188</v>
      </c>
      <c r="K300" s="39" t="s">
        <v>14</v>
      </c>
      <c r="L300" s="29">
        <v>2000</v>
      </c>
      <c r="M300" s="26">
        <v>60</v>
      </c>
      <c r="N300" s="25">
        <f t="shared" si="9"/>
        <v>120000</v>
      </c>
      <c r="O300" s="24"/>
    </row>
    <row r="301" spans="1:15" ht="15.75" hidden="1" customHeight="1" x14ac:dyDescent="0.3">
      <c r="A301" s="26">
        <v>24</v>
      </c>
      <c r="B301" s="20" t="str">
        <f t="shared" si="8"/>
        <v>JUN</v>
      </c>
      <c r="C301" s="28">
        <v>46186</v>
      </c>
      <c r="D301" s="22" t="str">
        <f t="array" ref="D301">IFERROR(INDEX('Kode Outlet dan Target Toko'!$A:$A,MATCH($I301,'Kode Outlet dan Target Toko'!$E:$E,0)),"")</f>
        <v>GRSM 4</v>
      </c>
      <c r="E301" s="20" t="str">
        <f>IFERROR(VLOOKUP(I301,KET!$B:$F,4,0),"")</f>
        <v>FAHMI LUKMANUL HAKIM</v>
      </c>
      <c r="F301" s="20" t="str">
        <f>IFERROR(VLOOKUP(I301,KET!$B:$F,5,0),"")</f>
        <v>GMM</v>
      </c>
      <c r="G301" s="20">
        <f>IFERROR(INDEX('Kode Outlet dan Target Toko'!$C:$C,MATCH($I301,'Kode Outlet dan Target Toko'!$E:$E,0)),0)</f>
        <v>103259</v>
      </c>
      <c r="H301" s="20">
        <f>IFERROR(INDEX('Kode Outlet dan Target Toko'!$D:$D,MATCH($I301,'Kode Outlet dan Target Toko'!$E:$E,0)),0)</f>
        <v>9013525</v>
      </c>
      <c r="I301" s="51" t="s">
        <v>24</v>
      </c>
      <c r="J301" s="45" t="s">
        <v>188</v>
      </c>
      <c r="K301" s="39" t="s">
        <v>13</v>
      </c>
      <c r="L301" s="29">
        <v>2000</v>
      </c>
      <c r="M301" s="26">
        <v>60</v>
      </c>
      <c r="N301" s="25">
        <f t="shared" si="9"/>
        <v>120000</v>
      </c>
      <c r="O301" s="24"/>
    </row>
    <row r="302" spans="1:15" ht="15.75" hidden="1" customHeight="1" x14ac:dyDescent="0.3">
      <c r="A302" s="26">
        <v>24</v>
      </c>
      <c r="B302" s="20" t="str">
        <f t="shared" si="8"/>
        <v>JUN</v>
      </c>
      <c r="C302" s="28">
        <v>46186</v>
      </c>
      <c r="D302" s="22" t="str">
        <f t="array" ref="D302">IFERROR(INDEX('Kode Outlet dan Target Toko'!$A:$A,MATCH($I302,'Kode Outlet dan Target Toko'!$E:$E,0)),"")</f>
        <v>GRSM 4</v>
      </c>
      <c r="E302" s="20" t="str">
        <f>IFERROR(VLOOKUP(I302,KET!$B:$F,4,0),"")</f>
        <v>FAHMI LUKMANUL HAKIM</v>
      </c>
      <c r="F302" s="20" t="str">
        <f>IFERROR(VLOOKUP(I302,KET!$B:$F,5,0),"")</f>
        <v>GMM</v>
      </c>
      <c r="G302" s="20">
        <f>IFERROR(INDEX('Kode Outlet dan Target Toko'!$C:$C,MATCH($I302,'Kode Outlet dan Target Toko'!$E:$E,0)),0)</f>
        <v>103259</v>
      </c>
      <c r="H302" s="20">
        <f>IFERROR(INDEX('Kode Outlet dan Target Toko'!$D:$D,MATCH($I302,'Kode Outlet dan Target Toko'!$E:$E,0)),0)</f>
        <v>9013525</v>
      </c>
      <c r="I302" s="51" t="s">
        <v>24</v>
      </c>
      <c r="J302" s="45" t="s">
        <v>188</v>
      </c>
      <c r="K302" s="39" t="s">
        <v>16</v>
      </c>
      <c r="L302" s="29">
        <v>2000</v>
      </c>
      <c r="M302" s="26">
        <v>180</v>
      </c>
      <c r="N302" s="25">
        <f t="shared" si="9"/>
        <v>360000</v>
      </c>
      <c r="O302" s="24"/>
    </row>
    <row r="303" spans="1:15" ht="15.75" hidden="1" customHeight="1" x14ac:dyDescent="0.3">
      <c r="A303" s="26">
        <v>24</v>
      </c>
      <c r="B303" s="20" t="str">
        <f t="shared" si="8"/>
        <v>JUN</v>
      </c>
      <c r="C303" s="28">
        <v>46186</v>
      </c>
      <c r="D303" s="22" t="str">
        <f t="array" ref="D303">IFERROR(INDEX('Kode Outlet dan Target Toko'!$A:$A,MATCH($I303,'Kode Outlet dan Target Toko'!$E:$E,0)),"")</f>
        <v>GRSM 4</v>
      </c>
      <c r="E303" s="20" t="str">
        <f>IFERROR(VLOOKUP(I303,KET!$B:$F,4,0),"")</f>
        <v>FAHMI LUKMANUL HAKIM</v>
      </c>
      <c r="F303" s="20" t="str">
        <f>IFERROR(VLOOKUP(I303,KET!$B:$F,5,0),"")</f>
        <v>GMM</v>
      </c>
      <c r="G303" s="20">
        <f>IFERROR(INDEX('Kode Outlet dan Target Toko'!$C:$C,MATCH($I303,'Kode Outlet dan Target Toko'!$E:$E,0)),0)</f>
        <v>103259</v>
      </c>
      <c r="H303" s="20">
        <f>IFERROR(INDEX('Kode Outlet dan Target Toko'!$D:$D,MATCH($I303,'Kode Outlet dan Target Toko'!$E:$E,0)),0)</f>
        <v>9013525</v>
      </c>
      <c r="I303" s="51" t="s">
        <v>24</v>
      </c>
      <c r="J303" s="27" t="s">
        <v>189</v>
      </c>
      <c r="K303" s="39" t="s">
        <v>15</v>
      </c>
      <c r="L303" s="29">
        <v>2000</v>
      </c>
      <c r="M303" s="26">
        <v>60</v>
      </c>
      <c r="N303" s="25">
        <f t="shared" si="9"/>
        <v>120000</v>
      </c>
      <c r="O303" s="26">
        <v>160</v>
      </c>
    </row>
    <row r="304" spans="1:15" ht="15.75" hidden="1" customHeight="1" x14ac:dyDescent="0.3">
      <c r="A304" s="26">
        <v>24</v>
      </c>
      <c r="B304" s="20" t="str">
        <f t="shared" si="8"/>
        <v>JUN</v>
      </c>
      <c r="C304" s="28">
        <v>46186</v>
      </c>
      <c r="D304" s="22" t="str">
        <f t="array" ref="D304">IFERROR(INDEX('Kode Outlet dan Target Toko'!$A:$A,MATCH($I304,'Kode Outlet dan Target Toko'!$E:$E,0)),"")</f>
        <v>GRSM 4</v>
      </c>
      <c r="E304" s="20" t="str">
        <f>IFERROR(VLOOKUP(I304,KET!$B:$F,4,0),"")</f>
        <v>FAHMI LUKMANUL HAKIM</v>
      </c>
      <c r="F304" s="20" t="str">
        <f>IFERROR(VLOOKUP(I304,KET!$B:$F,5,0),"")</f>
        <v>GMM</v>
      </c>
      <c r="G304" s="20">
        <f>IFERROR(INDEX('Kode Outlet dan Target Toko'!$C:$C,MATCH($I304,'Kode Outlet dan Target Toko'!$E:$E,0)),0)</f>
        <v>103259</v>
      </c>
      <c r="H304" s="20">
        <f>IFERROR(INDEX('Kode Outlet dan Target Toko'!$D:$D,MATCH($I304,'Kode Outlet dan Target Toko'!$E:$E,0)),0)</f>
        <v>9013525</v>
      </c>
      <c r="I304" s="51" t="s">
        <v>24</v>
      </c>
      <c r="J304" s="27" t="s">
        <v>189</v>
      </c>
      <c r="K304" s="39" t="s">
        <v>14</v>
      </c>
      <c r="L304" s="29">
        <v>2000</v>
      </c>
      <c r="M304" s="26">
        <v>48</v>
      </c>
      <c r="N304" s="25">
        <f t="shared" si="9"/>
        <v>96000</v>
      </c>
      <c r="O304" s="24"/>
    </row>
    <row r="305" spans="1:15" ht="15.75" hidden="1" customHeight="1" x14ac:dyDescent="0.3">
      <c r="A305" s="26">
        <v>24</v>
      </c>
      <c r="B305" s="20" t="str">
        <f t="shared" si="8"/>
        <v>JUN</v>
      </c>
      <c r="C305" s="28">
        <v>46186</v>
      </c>
      <c r="D305" s="22" t="str">
        <f t="array" ref="D305">IFERROR(INDEX('Kode Outlet dan Target Toko'!$A:$A,MATCH($I305,'Kode Outlet dan Target Toko'!$E:$E,0)),"")</f>
        <v>GRSM 4</v>
      </c>
      <c r="E305" s="20" t="str">
        <f>IFERROR(VLOOKUP(I305,KET!$B:$F,4,0),"")</f>
        <v>FAHMI LUKMANUL HAKIM</v>
      </c>
      <c r="F305" s="20" t="str">
        <f>IFERROR(VLOOKUP(I305,KET!$B:$F,5,0),"")</f>
        <v>GMM</v>
      </c>
      <c r="G305" s="20">
        <f>IFERROR(INDEX('Kode Outlet dan Target Toko'!$C:$C,MATCH($I305,'Kode Outlet dan Target Toko'!$E:$E,0)),0)</f>
        <v>103259</v>
      </c>
      <c r="H305" s="20">
        <f>IFERROR(INDEX('Kode Outlet dan Target Toko'!$D:$D,MATCH($I305,'Kode Outlet dan Target Toko'!$E:$E,0)),0)</f>
        <v>9013525</v>
      </c>
      <c r="I305" s="51" t="s">
        <v>24</v>
      </c>
      <c r="J305" s="27" t="s">
        <v>189</v>
      </c>
      <c r="K305" s="39" t="s">
        <v>13</v>
      </c>
      <c r="L305" s="29">
        <v>2000</v>
      </c>
      <c r="M305" s="26">
        <v>36</v>
      </c>
      <c r="N305" s="25">
        <f t="shared" si="9"/>
        <v>72000</v>
      </c>
      <c r="O305" s="24"/>
    </row>
    <row r="306" spans="1:15" ht="15.75" hidden="1" customHeight="1" x14ac:dyDescent="0.3">
      <c r="A306" s="26">
        <v>24</v>
      </c>
      <c r="B306" s="20" t="str">
        <f t="shared" si="8"/>
        <v>JUN</v>
      </c>
      <c r="C306" s="28">
        <v>46186</v>
      </c>
      <c r="D306" s="22" t="str">
        <f t="array" ref="D306">IFERROR(INDEX('Kode Outlet dan Target Toko'!$A:$A,MATCH($I306,'Kode Outlet dan Target Toko'!$E:$E,0)),"")</f>
        <v>GRSM 4</v>
      </c>
      <c r="E306" s="20" t="str">
        <f>IFERROR(VLOOKUP(I306,KET!$B:$F,4,0),"")</f>
        <v>FAHMI LUKMANUL HAKIM</v>
      </c>
      <c r="F306" s="20" t="str">
        <f>IFERROR(VLOOKUP(I306,KET!$B:$F,5,0),"")</f>
        <v>GMM</v>
      </c>
      <c r="G306" s="20">
        <f>IFERROR(INDEX('Kode Outlet dan Target Toko'!$C:$C,MATCH($I306,'Kode Outlet dan Target Toko'!$E:$E,0)),0)</f>
        <v>103259</v>
      </c>
      <c r="H306" s="20">
        <f>IFERROR(INDEX('Kode Outlet dan Target Toko'!$D:$D,MATCH($I306,'Kode Outlet dan Target Toko'!$E:$E,0)),0)</f>
        <v>9013525</v>
      </c>
      <c r="I306" s="51" t="s">
        <v>24</v>
      </c>
      <c r="J306" s="27" t="s">
        <v>189</v>
      </c>
      <c r="K306" s="39" t="s">
        <v>16</v>
      </c>
      <c r="L306" s="29">
        <v>2000</v>
      </c>
      <c r="M306" s="26">
        <v>180</v>
      </c>
      <c r="N306" s="25">
        <f t="shared" si="9"/>
        <v>360000</v>
      </c>
      <c r="O306" s="24"/>
    </row>
    <row r="307" spans="1:15" ht="15.75" hidden="1" customHeight="1" x14ac:dyDescent="0.3">
      <c r="A307" s="26">
        <v>24</v>
      </c>
      <c r="B307" s="20" t="str">
        <f t="shared" si="8"/>
        <v>JUN</v>
      </c>
      <c r="C307" s="28">
        <v>46186</v>
      </c>
      <c r="D307" s="22" t="str">
        <f t="array" ref="D307">IFERROR(INDEX('Kode Outlet dan Target Toko'!$A:$A,MATCH($I307,'Kode Outlet dan Target Toko'!$E:$E,0)),"")</f>
        <v>GRSM 4</v>
      </c>
      <c r="E307" s="20" t="str">
        <f>IFERROR(VLOOKUP(I307,KET!$B:$F,4,0),"")</f>
        <v>FAHMI LUKMANUL HAKIM</v>
      </c>
      <c r="F307" s="20" t="str">
        <f>IFERROR(VLOOKUP(I307,KET!$B:$F,5,0),"")</f>
        <v>GMM</v>
      </c>
      <c r="G307" s="20">
        <f>IFERROR(INDEX('Kode Outlet dan Target Toko'!$C:$C,MATCH($I307,'Kode Outlet dan Target Toko'!$E:$E,0)),0)</f>
        <v>103257</v>
      </c>
      <c r="H307" s="20">
        <f>IFERROR(INDEX('Kode Outlet dan Target Toko'!$D:$D,MATCH($I307,'Kode Outlet dan Target Toko'!$E:$E,0)),0)</f>
        <v>9162509</v>
      </c>
      <c r="I307" s="41" t="s">
        <v>23</v>
      </c>
      <c r="J307" s="27" t="s">
        <v>180</v>
      </c>
      <c r="K307" s="39" t="s">
        <v>15</v>
      </c>
      <c r="L307" s="29">
        <v>3200</v>
      </c>
      <c r="M307" s="26">
        <v>80</v>
      </c>
      <c r="N307" s="25">
        <f t="shared" si="9"/>
        <v>256000</v>
      </c>
      <c r="O307" s="26">
        <v>160</v>
      </c>
    </row>
    <row r="308" spans="1:15" ht="15.75" hidden="1" customHeight="1" x14ac:dyDescent="0.3">
      <c r="A308" s="26">
        <v>24</v>
      </c>
      <c r="B308" s="20" t="str">
        <f t="shared" si="8"/>
        <v>JUN</v>
      </c>
      <c r="C308" s="28">
        <v>46187</v>
      </c>
      <c r="D308" s="22" t="str">
        <f t="array" ref="D308">IFERROR(INDEX('Kode Outlet dan Target Toko'!$A:$A,MATCH($I308,'Kode Outlet dan Target Toko'!$E:$E,0)),"")</f>
        <v>GRSM 4</v>
      </c>
      <c r="E308" s="20" t="str">
        <f>IFERROR(VLOOKUP(I308,KET!$B:$F,4,0),"")</f>
        <v>FAHMI LUKMANUL HAKIM</v>
      </c>
      <c r="F308" s="20" t="str">
        <f>IFERROR(VLOOKUP(I308,KET!$B:$F,5,0),"")</f>
        <v>GMM</v>
      </c>
      <c r="G308" s="20">
        <f>IFERROR(INDEX('Kode Outlet dan Target Toko'!$C:$C,MATCH($I308,'Kode Outlet dan Target Toko'!$E:$E,0)),0)</f>
        <v>103257</v>
      </c>
      <c r="H308" s="20">
        <f>IFERROR(INDEX('Kode Outlet dan Target Toko'!$D:$D,MATCH($I308,'Kode Outlet dan Target Toko'!$E:$E,0)),0)</f>
        <v>9162509</v>
      </c>
      <c r="I308" s="41" t="s">
        <v>23</v>
      </c>
      <c r="J308" s="27" t="s">
        <v>180</v>
      </c>
      <c r="K308" s="39" t="s">
        <v>14</v>
      </c>
      <c r="L308" s="29">
        <v>3200</v>
      </c>
      <c r="M308" s="26">
        <v>47</v>
      </c>
      <c r="N308" s="25">
        <f t="shared" si="9"/>
        <v>150400</v>
      </c>
      <c r="O308" s="24"/>
    </row>
    <row r="309" spans="1:15" ht="15.75" hidden="1" customHeight="1" x14ac:dyDescent="0.3">
      <c r="A309" s="26">
        <v>24</v>
      </c>
      <c r="B309" s="20" t="str">
        <f t="shared" si="8"/>
        <v>JUN</v>
      </c>
      <c r="C309" s="28">
        <v>46187</v>
      </c>
      <c r="D309" s="22" t="str">
        <f t="array" ref="D309">IFERROR(INDEX('Kode Outlet dan Target Toko'!$A:$A,MATCH($I309,'Kode Outlet dan Target Toko'!$E:$E,0)),"")</f>
        <v>GRSM 4</v>
      </c>
      <c r="E309" s="20" t="str">
        <f>IFERROR(VLOOKUP(I309,KET!$B:$F,4,0),"")</f>
        <v>FAHMI LUKMANUL HAKIM</v>
      </c>
      <c r="F309" s="20" t="str">
        <f>IFERROR(VLOOKUP(I309,KET!$B:$F,5,0),"")</f>
        <v>GMM</v>
      </c>
      <c r="G309" s="20">
        <f>IFERROR(INDEX('Kode Outlet dan Target Toko'!$C:$C,MATCH($I309,'Kode Outlet dan Target Toko'!$E:$E,0)),0)</f>
        <v>103257</v>
      </c>
      <c r="H309" s="20">
        <f>IFERROR(INDEX('Kode Outlet dan Target Toko'!$D:$D,MATCH($I309,'Kode Outlet dan Target Toko'!$E:$E,0)),0)</f>
        <v>9162509</v>
      </c>
      <c r="I309" s="41" t="s">
        <v>23</v>
      </c>
      <c r="J309" s="27" t="s">
        <v>180</v>
      </c>
      <c r="K309" s="39" t="s">
        <v>13</v>
      </c>
      <c r="L309" s="29">
        <v>3200</v>
      </c>
      <c r="M309" s="26">
        <v>55</v>
      </c>
      <c r="N309" s="25">
        <f t="shared" si="9"/>
        <v>176000</v>
      </c>
      <c r="O309" s="24"/>
    </row>
    <row r="310" spans="1:15" ht="15.75" hidden="1" customHeight="1" x14ac:dyDescent="0.3">
      <c r="A310" s="26">
        <v>24</v>
      </c>
      <c r="B310" s="20" t="str">
        <f t="shared" si="8"/>
        <v>JUN</v>
      </c>
      <c r="C310" s="28">
        <v>46187</v>
      </c>
      <c r="D310" s="22" t="str">
        <f t="array" ref="D310">IFERROR(INDEX('Kode Outlet dan Target Toko'!$A:$A,MATCH($I310,'Kode Outlet dan Target Toko'!$E:$E,0)),"")</f>
        <v>GRSM 4</v>
      </c>
      <c r="E310" s="20" t="str">
        <f>IFERROR(VLOOKUP(I310,KET!$B:$F,4,0),"")</f>
        <v>FAHMI LUKMANUL HAKIM</v>
      </c>
      <c r="F310" s="20" t="str">
        <f>IFERROR(VLOOKUP(I310,KET!$B:$F,5,0),"")</f>
        <v>GMM</v>
      </c>
      <c r="G310" s="20">
        <f>IFERROR(INDEX('Kode Outlet dan Target Toko'!$C:$C,MATCH($I310,'Kode Outlet dan Target Toko'!$E:$E,0)),0)</f>
        <v>103257</v>
      </c>
      <c r="H310" s="20">
        <f>IFERROR(INDEX('Kode Outlet dan Target Toko'!$D:$D,MATCH($I310,'Kode Outlet dan Target Toko'!$E:$E,0)),0)</f>
        <v>9162509</v>
      </c>
      <c r="I310" s="41" t="s">
        <v>23</v>
      </c>
      <c r="J310" s="27" t="s">
        <v>180</v>
      </c>
      <c r="K310" s="39" t="s">
        <v>16</v>
      </c>
      <c r="L310" s="29">
        <v>3200</v>
      </c>
      <c r="M310" s="26">
        <v>182</v>
      </c>
      <c r="N310" s="25">
        <f t="shared" si="9"/>
        <v>582400</v>
      </c>
      <c r="O310" s="24"/>
    </row>
    <row r="311" spans="1:15" ht="15.75" hidden="1" customHeight="1" x14ac:dyDescent="0.3">
      <c r="A311" s="26">
        <v>24</v>
      </c>
      <c r="B311" s="20" t="str">
        <f t="shared" si="8"/>
        <v>JUN</v>
      </c>
      <c r="C311" s="28">
        <v>46187</v>
      </c>
      <c r="D311" s="22" t="str">
        <f t="array" ref="D311">IFERROR(INDEX('Kode Outlet dan Target Toko'!$A:$A,MATCH($I311,'Kode Outlet dan Target Toko'!$E:$E,0)),"")</f>
        <v>GRSM 4</v>
      </c>
      <c r="E311" s="20" t="str">
        <f>IFERROR(VLOOKUP(I311,KET!$B:$F,4,0),"")</f>
        <v>FAHMI LUKMANUL HAKIM</v>
      </c>
      <c r="F311" s="20" t="str">
        <f>IFERROR(VLOOKUP(I311,KET!$B:$F,5,0),"")</f>
        <v>GMM</v>
      </c>
      <c r="G311" s="20">
        <f>IFERROR(INDEX('Kode Outlet dan Target Toko'!$C:$C,MATCH($I311,'Kode Outlet dan Target Toko'!$E:$E,0)),0)</f>
        <v>103257</v>
      </c>
      <c r="H311" s="20">
        <f>IFERROR(INDEX('Kode Outlet dan Target Toko'!$D:$D,MATCH($I311,'Kode Outlet dan Target Toko'!$E:$E,0)),0)</f>
        <v>9162509</v>
      </c>
      <c r="I311" s="41" t="s">
        <v>23</v>
      </c>
      <c r="J311" s="56" t="s">
        <v>181</v>
      </c>
      <c r="K311" s="39" t="s">
        <v>15</v>
      </c>
      <c r="L311" s="29">
        <v>3200</v>
      </c>
      <c r="M311" s="26">
        <v>72</v>
      </c>
      <c r="N311" s="25">
        <f t="shared" si="9"/>
        <v>230400</v>
      </c>
      <c r="O311" s="26">
        <v>160</v>
      </c>
    </row>
    <row r="312" spans="1:15" ht="15.75" hidden="1" customHeight="1" x14ac:dyDescent="0.3">
      <c r="A312" s="26">
        <v>24</v>
      </c>
      <c r="B312" s="20" t="str">
        <f t="shared" si="8"/>
        <v>JUN</v>
      </c>
      <c r="C312" s="28">
        <v>46187</v>
      </c>
      <c r="D312" s="22" t="str">
        <f t="array" ref="D312">IFERROR(INDEX('Kode Outlet dan Target Toko'!$A:$A,MATCH($I312,'Kode Outlet dan Target Toko'!$E:$E,0)),"")</f>
        <v>GRSM 4</v>
      </c>
      <c r="E312" s="20" t="str">
        <f>IFERROR(VLOOKUP(I312,KET!$B:$F,4,0),"")</f>
        <v>FAHMI LUKMANUL HAKIM</v>
      </c>
      <c r="F312" s="20" t="str">
        <f>IFERROR(VLOOKUP(I312,KET!$B:$F,5,0),"")</f>
        <v>GMM</v>
      </c>
      <c r="G312" s="20">
        <f>IFERROR(INDEX('Kode Outlet dan Target Toko'!$C:$C,MATCH($I312,'Kode Outlet dan Target Toko'!$E:$E,0)),0)</f>
        <v>103257</v>
      </c>
      <c r="H312" s="20">
        <f>IFERROR(INDEX('Kode Outlet dan Target Toko'!$D:$D,MATCH($I312,'Kode Outlet dan Target Toko'!$E:$E,0)),0)</f>
        <v>9162509</v>
      </c>
      <c r="I312" s="41" t="s">
        <v>23</v>
      </c>
      <c r="J312" s="56" t="s">
        <v>181</v>
      </c>
      <c r="K312" s="39" t="s">
        <v>14</v>
      </c>
      <c r="L312" s="29">
        <v>3200</v>
      </c>
      <c r="M312" s="26">
        <v>39</v>
      </c>
      <c r="N312" s="25">
        <f t="shared" si="9"/>
        <v>124800</v>
      </c>
      <c r="O312" s="24"/>
    </row>
    <row r="313" spans="1:15" ht="15.75" hidden="1" customHeight="1" x14ac:dyDescent="0.3">
      <c r="A313" s="26">
        <v>24</v>
      </c>
      <c r="B313" s="20" t="str">
        <f t="shared" si="8"/>
        <v>JUN</v>
      </c>
      <c r="C313" s="28">
        <v>46187</v>
      </c>
      <c r="D313" s="22" t="str">
        <f t="array" ref="D313">IFERROR(INDEX('Kode Outlet dan Target Toko'!$A:$A,MATCH($I313,'Kode Outlet dan Target Toko'!$E:$E,0)),"")</f>
        <v>GRSM 4</v>
      </c>
      <c r="E313" s="20" t="str">
        <f>IFERROR(VLOOKUP(I313,KET!$B:$F,4,0),"")</f>
        <v>FAHMI LUKMANUL HAKIM</v>
      </c>
      <c r="F313" s="20" t="str">
        <f>IFERROR(VLOOKUP(I313,KET!$B:$F,5,0),"")</f>
        <v>GMM</v>
      </c>
      <c r="G313" s="20">
        <f>IFERROR(INDEX('Kode Outlet dan Target Toko'!$C:$C,MATCH($I313,'Kode Outlet dan Target Toko'!$E:$E,0)),0)</f>
        <v>103257</v>
      </c>
      <c r="H313" s="20">
        <f>IFERROR(INDEX('Kode Outlet dan Target Toko'!$D:$D,MATCH($I313,'Kode Outlet dan Target Toko'!$E:$E,0)),0)</f>
        <v>9162509</v>
      </c>
      <c r="I313" s="41" t="s">
        <v>23</v>
      </c>
      <c r="J313" s="56" t="s">
        <v>181</v>
      </c>
      <c r="K313" s="39" t="s">
        <v>13</v>
      </c>
      <c r="L313" s="29">
        <v>3200</v>
      </c>
      <c r="M313" s="26">
        <v>51</v>
      </c>
      <c r="N313" s="25">
        <f t="shared" si="9"/>
        <v>163200</v>
      </c>
      <c r="O313" s="24"/>
    </row>
    <row r="314" spans="1:15" ht="15.75" hidden="1" customHeight="1" x14ac:dyDescent="0.3">
      <c r="A314" s="26">
        <v>24</v>
      </c>
      <c r="B314" s="20" t="str">
        <f t="shared" si="8"/>
        <v>JUN</v>
      </c>
      <c r="C314" s="28">
        <v>46187</v>
      </c>
      <c r="D314" s="22" t="str">
        <f t="array" ref="D314">IFERROR(INDEX('Kode Outlet dan Target Toko'!$A:$A,MATCH($I314,'Kode Outlet dan Target Toko'!$E:$E,0)),"")</f>
        <v>GRSM 4</v>
      </c>
      <c r="E314" s="20" t="str">
        <f>IFERROR(VLOOKUP(I314,KET!$B:$F,4,0),"")</f>
        <v>FAHMI LUKMANUL HAKIM</v>
      </c>
      <c r="F314" s="20" t="str">
        <f>IFERROR(VLOOKUP(I314,KET!$B:$F,5,0),"")</f>
        <v>GMM</v>
      </c>
      <c r="G314" s="20">
        <f>IFERROR(INDEX('Kode Outlet dan Target Toko'!$C:$C,MATCH($I314,'Kode Outlet dan Target Toko'!$E:$E,0)),0)</f>
        <v>103257</v>
      </c>
      <c r="H314" s="20">
        <f>IFERROR(INDEX('Kode Outlet dan Target Toko'!$D:$D,MATCH($I314,'Kode Outlet dan Target Toko'!$E:$E,0)),0)</f>
        <v>9162509</v>
      </c>
      <c r="I314" s="41" t="s">
        <v>23</v>
      </c>
      <c r="J314" s="56" t="s">
        <v>181</v>
      </c>
      <c r="K314" s="39" t="s">
        <v>16</v>
      </c>
      <c r="L314" s="29">
        <v>3200</v>
      </c>
      <c r="M314" s="26">
        <v>150</v>
      </c>
      <c r="N314" s="25">
        <f t="shared" si="9"/>
        <v>480000</v>
      </c>
      <c r="O314" s="24"/>
    </row>
    <row r="315" spans="1:15" ht="15.75" hidden="1" customHeight="1" x14ac:dyDescent="0.3">
      <c r="A315" s="26">
        <v>24</v>
      </c>
      <c r="B315" s="20" t="str">
        <f t="shared" si="8"/>
        <v>JUN</v>
      </c>
      <c r="C315" s="28">
        <v>46187</v>
      </c>
      <c r="D315" s="22" t="str">
        <f t="array" ref="D315">IFERROR(INDEX('Kode Outlet dan Target Toko'!$A:$A,MATCH($I315,'Kode Outlet dan Target Toko'!$E:$E,0)),"")</f>
        <v>GRSM 4</v>
      </c>
      <c r="E315" s="20" t="str">
        <f>IFERROR(VLOOKUP(I315,KET!$B:$F,4,0),"")</f>
        <v>FAHMI LUKMANUL HAKIM</v>
      </c>
      <c r="F315" s="20" t="str">
        <f>IFERROR(VLOOKUP(I315,KET!$B:$F,5,0),"")</f>
        <v>GMM</v>
      </c>
      <c r="G315" s="20">
        <f>IFERROR(INDEX('Kode Outlet dan Target Toko'!$C:$C,MATCH($I315,'Kode Outlet dan Target Toko'!$E:$E,0)),0)</f>
        <v>103277</v>
      </c>
      <c r="H315" s="20">
        <f>IFERROR(INDEX('Kode Outlet dan Target Toko'!$D:$D,MATCH($I315,'Kode Outlet dan Target Toko'!$E:$E,0)),0)</f>
        <v>6300538</v>
      </c>
      <c r="I315" s="51" t="s">
        <v>19</v>
      </c>
      <c r="J315" s="27" t="s">
        <v>251</v>
      </c>
      <c r="K315" s="39" t="s">
        <v>15</v>
      </c>
      <c r="L315" s="29">
        <v>2975</v>
      </c>
      <c r="M315" s="26">
        <v>65</v>
      </c>
      <c r="N315" s="25">
        <f t="shared" si="9"/>
        <v>193375</v>
      </c>
      <c r="O315" s="26">
        <v>160</v>
      </c>
    </row>
    <row r="316" spans="1:15" ht="15.75" hidden="1" customHeight="1" x14ac:dyDescent="0.3">
      <c r="A316" s="26">
        <v>24</v>
      </c>
      <c r="B316" s="20" t="str">
        <f t="shared" si="8"/>
        <v>JUN</v>
      </c>
      <c r="C316" s="28">
        <v>46187</v>
      </c>
      <c r="D316" s="22" t="str">
        <f t="array" ref="D316">IFERROR(INDEX('Kode Outlet dan Target Toko'!$A:$A,MATCH($I316,'Kode Outlet dan Target Toko'!$E:$E,0)),"")</f>
        <v>GRSM 4</v>
      </c>
      <c r="E316" s="20" t="str">
        <f>IFERROR(VLOOKUP(I316,KET!$B:$F,4,0),"")</f>
        <v>FAHMI LUKMANUL HAKIM</v>
      </c>
      <c r="F316" s="20" t="str">
        <f>IFERROR(VLOOKUP(I316,KET!$B:$F,5,0),"")</f>
        <v>GMM</v>
      </c>
      <c r="G316" s="20">
        <f>IFERROR(INDEX('Kode Outlet dan Target Toko'!$C:$C,MATCH($I316,'Kode Outlet dan Target Toko'!$E:$E,0)),0)</f>
        <v>103277</v>
      </c>
      <c r="H316" s="20">
        <f>IFERROR(INDEX('Kode Outlet dan Target Toko'!$D:$D,MATCH($I316,'Kode Outlet dan Target Toko'!$E:$E,0)),0)</f>
        <v>6300538</v>
      </c>
      <c r="I316" s="41" t="s">
        <v>19</v>
      </c>
      <c r="J316" s="56" t="s">
        <v>251</v>
      </c>
      <c r="K316" s="39" t="s">
        <v>14</v>
      </c>
      <c r="L316" s="23">
        <v>2975</v>
      </c>
      <c r="M316" s="24">
        <v>75</v>
      </c>
      <c r="N316" s="25">
        <f t="shared" si="9"/>
        <v>223125</v>
      </c>
      <c r="O316" s="24"/>
    </row>
    <row r="317" spans="1:15" ht="15.75" hidden="1" customHeight="1" x14ac:dyDescent="0.3">
      <c r="A317" s="26">
        <v>24</v>
      </c>
      <c r="B317" s="20" t="str">
        <f t="shared" si="8"/>
        <v>JUN</v>
      </c>
      <c r="C317" s="28">
        <v>46187</v>
      </c>
      <c r="D317" s="22" t="str">
        <f t="array" ref="D317">IFERROR(INDEX('Kode Outlet dan Target Toko'!$A:$A,MATCH($I317,'Kode Outlet dan Target Toko'!$E:$E,0)),"")</f>
        <v>GRSM 4</v>
      </c>
      <c r="E317" s="20" t="str">
        <f>IFERROR(VLOOKUP(I317,KET!$B:$F,4,0),"")</f>
        <v>FAHMI LUKMANUL HAKIM</v>
      </c>
      <c r="F317" s="20" t="str">
        <f>IFERROR(VLOOKUP(I317,KET!$B:$F,5,0),"")</f>
        <v>GMM</v>
      </c>
      <c r="G317" s="20">
        <f>IFERROR(INDEX('Kode Outlet dan Target Toko'!$C:$C,MATCH($I317,'Kode Outlet dan Target Toko'!$E:$E,0)),0)</f>
        <v>103277</v>
      </c>
      <c r="H317" s="20">
        <f>IFERROR(INDEX('Kode Outlet dan Target Toko'!$D:$D,MATCH($I317,'Kode Outlet dan Target Toko'!$E:$E,0)),0)</f>
        <v>6300538</v>
      </c>
      <c r="I317" s="41" t="s">
        <v>19</v>
      </c>
      <c r="J317" s="56" t="s">
        <v>251</v>
      </c>
      <c r="K317" s="39" t="s">
        <v>13</v>
      </c>
      <c r="L317" s="23">
        <v>2975</v>
      </c>
      <c r="M317" s="24">
        <v>48</v>
      </c>
      <c r="N317" s="25">
        <f t="shared" si="9"/>
        <v>142800</v>
      </c>
      <c r="O317" s="24"/>
    </row>
    <row r="318" spans="1:15" ht="15.75" hidden="1" customHeight="1" x14ac:dyDescent="0.3">
      <c r="A318" s="26">
        <v>24</v>
      </c>
      <c r="B318" s="20" t="str">
        <f t="shared" si="8"/>
        <v>JUN</v>
      </c>
      <c r="C318" s="28">
        <v>46187</v>
      </c>
      <c r="D318" s="22" t="str">
        <f t="array" ref="D318">IFERROR(INDEX('Kode Outlet dan Target Toko'!$A:$A,MATCH($I318,'Kode Outlet dan Target Toko'!$E:$E,0)),"")</f>
        <v>GRSM 4</v>
      </c>
      <c r="E318" s="20" t="str">
        <f>IFERROR(VLOOKUP(I318,KET!$B:$F,4,0),"")</f>
        <v>FAHMI LUKMANUL HAKIM</v>
      </c>
      <c r="F318" s="20" t="str">
        <f>IFERROR(VLOOKUP(I318,KET!$B:$F,5,0),"")</f>
        <v>GMM</v>
      </c>
      <c r="G318" s="20">
        <f>IFERROR(INDEX('Kode Outlet dan Target Toko'!$C:$C,MATCH($I318,'Kode Outlet dan Target Toko'!$E:$E,0)),0)</f>
        <v>103277</v>
      </c>
      <c r="H318" s="20">
        <f>IFERROR(INDEX('Kode Outlet dan Target Toko'!$D:$D,MATCH($I318,'Kode Outlet dan Target Toko'!$E:$E,0)),0)</f>
        <v>6300538</v>
      </c>
      <c r="I318" s="41" t="s">
        <v>19</v>
      </c>
      <c r="J318" s="56" t="s">
        <v>251</v>
      </c>
      <c r="K318" s="39" t="s">
        <v>16</v>
      </c>
      <c r="L318" s="23">
        <v>2975</v>
      </c>
      <c r="M318" s="24">
        <v>194</v>
      </c>
      <c r="N318" s="25">
        <f t="shared" si="9"/>
        <v>577150</v>
      </c>
      <c r="O318" s="24"/>
    </row>
    <row r="319" spans="1:15" ht="15.75" hidden="1" customHeight="1" x14ac:dyDescent="0.3">
      <c r="A319" s="26">
        <v>24</v>
      </c>
      <c r="B319" s="20" t="str">
        <f t="shared" si="8"/>
        <v>JUN</v>
      </c>
      <c r="C319" s="28">
        <v>46187</v>
      </c>
      <c r="D319" s="22" t="str">
        <f t="array" ref="D319">IFERROR(INDEX('Kode Outlet dan Target Toko'!$A:$A,MATCH($I319,'Kode Outlet dan Target Toko'!$E:$E,0)),"")</f>
        <v>GRSM 4</v>
      </c>
      <c r="E319" s="20" t="str">
        <f>IFERROR(VLOOKUP(I319,KET!$B:$F,4,0),"")</f>
        <v>FAHMI LUKMANUL HAKIM</v>
      </c>
      <c r="F319" s="20" t="str">
        <f>IFERROR(VLOOKUP(I319,KET!$B:$F,5,0),"")</f>
        <v>GMM</v>
      </c>
      <c r="G319" s="20">
        <f>IFERROR(INDEX('Kode Outlet dan Target Toko'!$C:$C,MATCH($I319,'Kode Outlet dan Target Toko'!$E:$E,0)),0)</f>
        <v>103277</v>
      </c>
      <c r="H319" s="20">
        <f>IFERROR(INDEX('Kode Outlet dan Target Toko'!$D:$D,MATCH($I319,'Kode Outlet dan Target Toko'!$E:$E,0)),0)</f>
        <v>6300538</v>
      </c>
      <c r="I319" s="51" t="s">
        <v>19</v>
      </c>
      <c r="J319" s="27" t="s">
        <v>252</v>
      </c>
      <c r="K319" s="39" t="s">
        <v>15</v>
      </c>
      <c r="L319" s="29">
        <v>2975</v>
      </c>
      <c r="M319" s="24">
        <v>50</v>
      </c>
      <c r="N319" s="25">
        <f t="shared" si="9"/>
        <v>148750</v>
      </c>
      <c r="O319" s="24"/>
    </row>
    <row r="320" spans="1:15" ht="15.75" hidden="1" customHeight="1" x14ac:dyDescent="0.3">
      <c r="A320" s="26">
        <v>24</v>
      </c>
      <c r="B320" s="20" t="str">
        <f t="shared" si="8"/>
        <v>JUN</v>
      </c>
      <c r="C320" s="28">
        <v>46187</v>
      </c>
      <c r="D320" s="22" t="str">
        <f t="array" ref="D320">IFERROR(INDEX('Kode Outlet dan Target Toko'!$A:$A,MATCH($I320,'Kode Outlet dan Target Toko'!$E:$E,0)),"")</f>
        <v>GRSM 4</v>
      </c>
      <c r="E320" s="20" t="str">
        <f>IFERROR(VLOOKUP(I320,KET!$B:$F,4,0),"")</f>
        <v>FAHMI LUKMANUL HAKIM</v>
      </c>
      <c r="F320" s="20" t="str">
        <f>IFERROR(VLOOKUP(I320,KET!$B:$F,5,0),"")</f>
        <v>GMM</v>
      </c>
      <c r="G320" s="20">
        <f>IFERROR(INDEX('Kode Outlet dan Target Toko'!$C:$C,MATCH($I320,'Kode Outlet dan Target Toko'!$E:$E,0)),0)</f>
        <v>103277</v>
      </c>
      <c r="H320" s="20">
        <f>IFERROR(INDEX('Kode Outlet dan Target Toko'!$D:$D,MATCH($I320,'Kode Outlet dan Target Toko'!$E:$E,0)),0)</f>
        <v>6300538</v>
      </c>
      <c r="I320" s="51" t="s">
        <v>19</v>
      </c>
      <c r="J320" s="27" t="s">
        <v>252</v>
      </c>
      <c r="K320" s="39" t="s">
        <v>14</v>
      </c>
      <c r="L320" s="29">
        <v>2975</v>
      </c>
      <c r="M320" s="24">
        <v>66</v>
      </c>
      <c r="N320" s="25">
        <f t="shared" si="9"/>
        <v>196350</v>
      </c>
      <c r="O320" s="24"/>
    </row>
    <row r="321" spans="1:15" ht="15.75" hidden="1" customHeight="1" x14ac:dyDescent="0.3">
      <c r="A321" s="26">
        <v>24</v>
      </c>
      <c r="B321" s="20" t="str">
        <f t="shared" si="8"/>
        <v>JUN</v>
      </c>
      <c r="C321" s="28">
        <v>46187</v>
      </c>
      <c r="D321" s="22" t="str">
        <f t="array" ref="D321">IFERROR(INDEX('Kode Outlet dan Target Toko'!$A:$A,MATCH($I321,'Kode Outlet dan Target Toko'!$E:$E,0)),"")</f>
        <v>GRSM 4</v>
      </c>
      <c r="E321" s="20" t="str">
        <f>IFERROR(VLOOKUP(I321,KET!$B:$F,4,0),"")</f>
        <v>FAHMI LUKMANUL HAKIM</v>
      </c>
      <c r="F321" s="20" t="str">
        <f>IFERROR(VLOOKUP(I321,KET!$B:$F,5,0),"")</f>
        <v>GMM</v>
      </c>
      <c r="G321" s="20">
        <f>IFERROR(INDEX('Kode Outlet dan Target Toko'!$C:$C,MATCH($I321,'Kode Outlet dan Target Toko'!$E:$E,0)),0)</f>
        <v>103277</v>
      </c>
      <c r="H321" s="20">
        <f>IFERROR(INDEX('Kode Outlet dan Target Toko'!$D:$D,MATCH($I321,'Kode Outlet dan Target Toko'!$E:$E,0)),0)</f>
        <v>6300538</v>
      </c>
      <c r="I321" s="51" t="s">
        <v>19</v>
      </c>
      <c r="J321" s="27" t="s">
        <v>252</v>
      </c>
      <c r="K321" s="39" t="s">
        <v>13</v>
      </c>
      <c r="L321" s="29">
        <v>2975</v>
      </c>
      <c r="M321" s="24">
        <v>53</v>
      </c>
      <c r="N321" s="25">
        <f t="shared" si="9"/>
        <v>157675</v>
      </c>
      <c r="O321" s="24"/>
    </row>
    <row r="322" spans="1:15" ht="15.75" hidden="1" customHeight="1" x14ac:dyDescent="0.3">
      <c r="A322" s="26">
        <v>24</v>
      </c>
      <c r="B322" s="20" t="str">
        <f t="shared" si="8"/>
        <v>JUN</v>
      </c>
      <c r="C322" s="28">
        <v>46187</v>
      </c>
      <c r="D322" s="22" t="str">
        <f t="array" ref="D322">IFERROR(INDEX('Kode Outlet dan Target Toko'!$A:$A,MATCH($I322,'Kode Outlet dan Target Toko'!$E:$E,0)),"")</f>
        <v>GRSM 4</v>
      </c>
      <c r="E322" s="20" t="str">
        <f>IFERROR(VLOOKUP(I322,KET!$B:$F,4,0),"")</f>
        <v>FAHMI LUKMANUL HAKIM</v>
      </c>
      <c r="F322" s="20" t="str">
        <f>IFERROR(VLOOKUP(I322,KET!$B:$F,5,0),"")</f>
        <v>GMM</v>
      </c>
      <c r="G322" s="20">
        <f>IFERROR(INDEX('Kode Outlet dan Target Toko'!$C:$C,MATCH($I322,'Kode Outlet dan Target Toko'!$E:$E,0)),0)</f>
        <v>103277</v>
      </c>
      <c r="H322" s="20">
        <f>IFERROR(INDEX('Kode Outlet dan Target Toko'!$D:$D,MATCH($I322,'Kode Outlet dan Target Toko'!$E:$E,0)),0)</f>
        <v>6300538</v>
      </c>
      <c r="I322" s="41" t="s">
        <v>19</v>
      </c>
      <c r="J322" s="56" t="s">
        <v>252</v>
      </c>
      <c r="K322" s="39" t="s">
        <v>16</v>
      </c>
      <c r="L322" s="23">
        <v>2975</v>
      </c>
      <c r="M322" s="24">
        <v>189</v>
      </c>
      <c r="N322" s="25">
        <f t="shared" si="9"/>
        <v>562275</v>
      </c>
      <c r="O322" s="24"/>
    </row>
    <row r="323" spans="1:15" ht="15.75" hidden="1" customHeight="1" x14ac:dyDescent="0.3">
      <c r="A323" s="26">
        <v>24</v>
      </c>
      <c r="B323" s="20" t="str">
        <f t="shared" si="8"/>
        <v>JUN</v>
      </c>
      <c r="C323" s="28">
        <v>46187</v>
      </c>
      <c r="D323" s="22" t="str">
        <f t="array" ref="D323">IFERROR(INDEX('Kode Outlet dan Target Toko'!$A:$A,MATCH($I323,'Kode Outlet dan Target Toko'!$E:$E,0)),"")</f>
        <v>GRSM 4</v>
      </c>
      <c r="E323" s="20" t="str">
        <f>IFERROR(VLOOKUP(I323,KET!$B:$F,4,0),"")</f>
        <v>FAHMI LUKMANUL HAKIM</v>
      </c>
      <c r="F323" s="20" t="str">
        <f>IFERROR(VLOOKUP(I323,KET!$B:$F,5,0),"")</f>
        <v>GMM</v>
      </c>
      <c r="G323" s="20">
        <f>IFERROR(INDEX('Kode Outlet dan Target Toko'!$C:$C,MATCH($I323,'Kode Outlet dan Target Toko'!$E:$E,0)),0)</f>
        <v>103259</v>
      </c>
      <c r="H323" s="20">
        <f>IFERROR(INDEX('Kode Outlet dan Target Toko'!$D:$D,MATCH($I323,'Kode Outlet dan Target Toko'!$E:$E,0)),0)</f>
        <v>9029389</v>
      </c>
      <c r="I323" s="41" t="s">
        <v>18</v>
      </c>
      <c r="J323" s="56" t="s">
        <v>196</v>
      </c>
      <c r="K323" s="39" t="s">
        <v>15</v>
      </c>
      <c r="L323" s="23">
        <v>2000</v>
      </c>
      <c r="M323" s="24">
        <v>78</v>
      </c>
      <c r="N323" s="25">
        <f t="shared" si="9"/>
        <v>156000</v>
      </c>
      <c r="O323" s="24"/>
    </row>
    <row r="324" spans="1:15" ht="15.75" hidden="1" customHeight="1" x14ac:dyDescent="0.3">
      <c r="A324" s="26">
        <v>24</v>
      </c>
      <c r="B324" s="20" t="str">
        <f t="shared" si="8"/>
        <v>JUN</v>
      </c>
      <c r="C324" s="28">
        <v>46187</v>
      </c>
      <c r="D324" s="22" t="str">
        <f t="array" ref="D324">IFERROR(INDEX('Kode Outlet dan Target Toko'!$A:$A,MATCH($I324,'Kode Outlet dan Target Toko'!$E:$E,0)),"")</f>
        <v>GRSM 4</v>
      </c>
      <c r="E324" s="20" t="str">
        <f>IFERROR(VLOOKUP(I324,KET!$B:$F,4,0),"")</f>
        <v>FAHMI LUKMANUL HAKIM</v>
      </c>
      <c r="F324" s="20" t="str">
        <f>IFERROR(VLOOKUP(I324,KET!$B:$F,5,0),"")</f>
        <v>GMM</v>
      </c>
      <c r="G324" s="20">
        <f>IFERROR(INDEX('Kode Outlet dan Target Toko'!$C:$C,MATCH($I324,'Kode Outlet dan Target Toko'!$E:$E,0)),0)</f>
        <v>103259</v>
      </c>
      <c r="H324" s="20">
        <f>IFERROR(INDEX('Kode Outlet dan Target Toko'!$D:$D,MATCH($I324,'Kode Outlet dan Target Toko'!$E:$E,0)),0)</f>
        <v>9029389</v>
      </c>
      <c r="I324" s="41" t="s">
        <v>18</v>
      </c>
      <c r="J324" s="56" t="s">
        <v>196</v>
      </c>
      <c r="K324" s="39" t="s">
        <v>14</v>
      </c>
      <c r="L324" s="23">
        <v>2000</v>
      </c>
      <c r="M324" s="24">
        <v>72</v>
      </c>
      <c r="N324" s="25">
        <f t="shared" si="9"/>
        <v>144000</v>
      </c>
      <c r="O324" s="24"/>
    </row>
    <row r="325" spans="1:15" ht="15.75" hidden="1" customHeight="1" x14ac:dyDescent="0.3">
      <c r="A325" s="26">
        <v>24</v>
      </c>
      <c r="B325" s="20" t="str">
        <f t="shared" si="8"/>
        <v>JUN</v>
      </c>
      <c r="C325" s="28">
        <v>46187</v>
      </c>
      <c r="D325" s="22" t="str">
        <f t="array" ref="D325">IFERROR(INDEX('Kode Outlet dan Target Toko'!$A:$A,MATCH($I325,'Kode Outlet dan Target Toko'!$E:$E,0)),"")</f>
        <v>GRSM 4</v>
      </c>
      <c r="E325" s="20" t="str">
        <f>IFERROR(VLOOKUP(I325,KET!$B:$F,4,0),"")</f>
        <v>FAHMI LUKMANUL HAKIM</v>
      </c>
      <c r="F325" s="20" t="str">
        <f>IFERROR(VLOOKUP(I325,KET!$B:$F,5,0),"")</f>
        <v>GMM</v>
      </c>
      <c r="G325" s="20">
        <f>IFERROR(INDEX('Kode Outlet dan Target Toko'!$C:$C,MATCH($I325,'Kode Outlet dan Target Toko'!$E:$E,0)),0)</f>
        <v>103259</v>
      </c>
      <c r="H325" s="20">
        <f>IFERROR(INDEX('Kode Outlet dan Target Toko'!$D:$D,MATCH($I325,'Kode Outlet dan Target Toko'!$E:$E,0)),0)</f>
        <v>9029389</v>
      </c>
      <c r="I325" s="51" t="s">
        <v>18</v>
      </c>
      <c r="J325" s="27" t="s">
        <v>196</v>
      </c>
      <c r="K325" s="39" t="s">
        <v>13</v>
      </c>
      <c r="L325" s="29">
        <v>2000</v>
      </c>
      <c r="M325" s="26">
        <v>33</v>
      </c>
      <c r="N325" s="25">
        <f t="shared" si="9"/>
        <v>66000</v>
      </c>
      <c r="O325" s="24"/>
    </row>
    <row r="326" spans="1:15" ht="15.75" hidden="1" customHeight="1" x14ac:dyDescent="0.3">
      <c r="A326" s="26">
        <v>24</v>
      </c>
      <c r="B326" s="20" t="str">
        <f t="shared" si="8"/>
        <v>JUN</v>
      </c>
      <c r="C326" s="28">
        <v>46187</v>
      </c>
      <c r="D326" s="22" t="str">
        <f t="array" ref="D326">IFERROR(INDEX('Kode Outlet dan Target Toko'!$A:$A,MATCH($I326,'Kode Outlet dan Target Toko'!$E:$E,0)),"")</f>
        <v>GRSM 4</v>
      </c>
      <c r="E326" s="20" t="str">
        <f>IFERROR(VLOOKUP(I326,KET!$B:$F,4,0),"")</f>
        <v>FAHMI LUKMANUL HAKIM</v>
      </c>
      <c r="F326" s="20" t="str">
        <f>IFERROR(VLOOKUP(I326,KET!$B:$F,5,0),"")</f>
        <v>GMM</v>
      </c>
      <c r="G326" s="20">
        <f>IFERROR(INDEX('Kode Outlet dan Target Toko'!$C:$C,MATCH($I326,'Kode Outlet dan Target Toko'!$E:$E,0)),0)</f>
        <v>103259</v>
      </c>
      <c r="H326" s="20">
        <f>IFERROR(INDEX('Kode Outlet dan Target Toko'!$D:$D,MATCH($I326,'Kode Outlet dan Target Toko'!$E:$E,0)),0)</f>
        <v>9029389</v>
      </c>
      <c r="I326" s="51" t="s">
        <v>18</v>
      </c>
      <c r="J326" s="27" t="s">
        <v>196</v>
      </c>
      <c r="K326" s="39" t="s">
        <v>16</v>
      </c>
      <c r="L326" s="29">
        <v>2000</v>
      </c>
      <c r="M326" s="26">
        <v>93</v>
      </c>
      <c r="N326" s="25">
        <f t="shared" si="9"/>
        <v>186000</v>
      </c>
      <c r="O326" s="24"/>
    </row>
    <row r="327" spans="1:15" ht="15.75" hidden="1" customHeight="1" x14ac:dyDescent="0.3">
      <c r="A327" s="26">
        <v>24</v>
      </c>
      <c r="B327" s="20" t="str">
        <f t="shared" ref="B327:B390" si="10">IF(C327="","",UPPER(TEXT(C327, "MMM")))</f>
        <v>JUN</v>
      </c>
      <c r="C327" s="28">
        <v>46187</v>
      </c>
      <c r="D327" s="22" t="str">
        <f t="array" ref="D327">IFERROR(INDEX('Kode Outlet dan Target Toko'!$A:$A,MATCH($I327,'Kode Outlet dan Target Toko'!$E:$E,0)),"")</f>
        <v>GRSM 4</v>
      </c>
      <c r="E327" s="20" t="str">
        <f>IFERROR(VLOOKUP(I327,KET!$B:$F,4,0),"")</f>
        <v>FAHMI LUKMANUL HAKIM</v>
      </c>
      <c r="F327" s="20" t="str">
        <f>IFERROR(VLOOKUP(I327,KET!$B:$F,5,0),"")</f>
        <v>GMM</v>
      </c>
      <c r="G327" s="20">
        <f>IFERROR(INDEX('Kode Outlet dan Target Toko'!$C:$C,MATCH($I327,'Kode Outlet dan Target Toko'!$E:$E,0)),0)</f>
        <v>103259</v>
      </c>
      <c r="H327" s="20">
        <f>IFERROR(INDEX('Kode Outlet dan Target Toko'!$D:$D,MATCH($I327,'Kode Outlet dan Target Toko'!$E:$E,0)),0)</f>
        <v>9029389</v>
      </c>
      <c r="I327" s="51" t="s">
        <v>18</v>
      </c>
      <c r="J327" s="27" t="s">
        <v>174</v>
      </c>
      <c r="K327" s="39" t="s">
        <v>15</v>
      </c>
      <c r="L327" s="29">
        <v>2000</v>
      </c>
      <c r="M327" s="26">
        <v>48</v>
      </c>
      <c r="N327" s="25">
        <f t="shared" ref="N327:N390" si="11">IFERROR(M327*L327,"")</f>
        <v>96000</v>
      </c>
      <c r="O327" s="24">
        <v>120</v>
      </c>
    </row>
    <row r="328" spans="1:15" ht="15.75" hidden="1" customHeight="1" x14ac:dyDescent="0.3">
      <c r="A328" s="26">
        <v>24</v>
      </c>
      <c r="B328" s="20" t="str">
        <f t="shared" si="10"/>
        <v>JUN</v>
      </c>
      <c r="C328" s="28">
        <v>46187</v>
      </c>
      <c r="D328" s="22" t="str">
        <f t="array" ref="D328">IFERROR(INDEX('Kode Outlet dan Target Toko'!$A:$A,MATCH($I328,'Kode Outlet dan Target Toko'!$E:$E,0)),"")</f>
        <v>GRSM 4</v>
      </c>
      <c r="E328" s="20" t="str">
        <f>IFERROR(VLOOKUP(I328,KET!$B:$F,4,0),"")</f>
        <v>FAHMI LUKMANUL HAKIM</v>
      </c>
      <c r="F328" s="20" t="str">
        <f>IFERROR(VLOOKUP(I328,KET!$B:$F,5,0),"")</f>
        <v>GMM</v>
      </c>
      <c r="G328" s="20">
        <f>IFERROR(INDEX('Kode Outlet dan Target Toko'!$C:$C,MATCH($I328,'Kode Outlet dan Target Toko'!$E:$E,0)),0)</f>
        <v>103259</v>
      </c>
      <c r="H328" s="20">
        <f>IFERROR(INDEX('Kode Outlet dan Target Toko'!$D:$D,MATCH($I328,'Kode Outlet dan Target Toko'!$E:$E,0)),0)</f>
        <v>9029389</v>
      </c>
      <c r="I328" s="41" t="s">
        <v>18</v>
      </c>
      <c r="J328" s="27" t="s">
        <v>174</v>
      </c>
      <c r="K328" s="39" t="s">
        <v>14</v>
      </c>
      <c r="L328" s="23">
        <v>2000</v>
      </c>
      <c r="M328" s="26">
        <v>60</v>
      </c>
      <c r="N328" s="25">
        <f t="shared" si="11"/>
        <v>120000</v>
      </c>
      <c r="O328" s="24"/>
    </row>
    <row r="329" spans="1:15" ht="15.75" hidden="1" customHeight="1" x14ac:dyDescent="0.3">
      <c r="A329" s="26">
        <v>24</v>
      </c>
      <c r="B329" s="20" t="str">
        <f t="shared" si="10"/>
        <v>JUN</v>
      </c>
      <c r="C329" s="28">
        <v>46187</v>
      </c>
      <c r="D329" s="22" t="str">
        <f t="array" ref="D329">IFERROR(INDEX('Kode Outlet dan Target Toko'!$A:$A,MATCH($I329,'Kode Outlet dan Target Toko'!$E:$E,0)),"")</f>
        <v>GRSM 4</v>
      </c>
      <c r="E329" s="20" t="str">
        <f>IFERROR(VLOOKUP(I329,KET!$B:$F,4,0),"")</f>
        <v>FAHMI LUKMANUL HAKIM</v>
      </c>
      <c r="F329" s="20" t="str">
        <f>IFERROR(VLOOKUP(I329,KET!$B:$F,5,0),"")</f>
        <v>GMM</v>
      </c>
      <c r="G329" s="20">
        <f>IFERROR(INDEX('Kode Outlet dan Target Toko'!$C:$C,MATCH($I329,'Kode Outlet dan Target Toko'!$E:$E,0)),0)</f>
        <v>103259</v>
      </c>
      <c r="H329" s="20">
        <f>IFERROR(INDEX('Kode Outlet dan Target Toko'!$D:$D,MATCH($I329,'Kode Outlet dan Target Toko'!$E:$E,0)),0)</f>
        <v>9029389</v>
      </c>
      <c r="I329" s="41" t="s">
        <v>18</v>
      </c>
      <c r="J329" s="27" t="s">
        <v>174</v>
      </c>
      <c r="K329" s="39" t="s">
        <v>13</v>
      </c>
      <c r="L329" s="23">
        <v>2000</v>
      </c>
      <c r="M329" s="26">
        <v>48</v>
      </c>
      <c r="N329" s="25">
        <f t="shared" si="11"/>
        <v>96000</v>
      </c>
      <c r="O329" s="24"/>
    </row>
    <row r="330" spans="1:15" ht="15.75" hidden="1" customHeight="1" x14ac:dyDescent="0.3">
      <c r="A330" s="26">
        <v>24</v>
      </c>
      <c r="B330" s="20" t="str">
        <f t="shared" si="10"/>
        <v>JUN</v>
      </c>
      <c r="C330" s="28">
        <v>46187</v>
      </c>
      <c r="D330" s="22" t="str">
        <f t="array" ref="D330">IFERROR(INDEX('Kode Outlet dan Target Toko'!$A:$A,MATCH($I330,'Kode Outlet dan Target Toko'!$E:$E,0)),"")</f>
        <v>GRSM 4</v>
      </c>
      <c r="E330" s="20" t="str">
        <f>IFERROR(VLOOKUP(I330,KET!$B:$F,4,0),"")</f>
        <v>FAHMI LUKMANUL HAKIM</v>
      </c>
      <c r="F330" s="20" t="str">
        <f>IFERROR(VLOOKUP(I330,KET!$B:$F,5,0),"")</f>
        <v>GMM</v>
      </c>
      <c r="G330" s="20">
        <f>IFERROR(INDEX('Kode Outlet dan Target Toko'!$C:$C,MATCH($I330,'Kode Outlet dan Target Toko'!$E:$E,0)),0)</f>
        <v>103259</v>
      </c>
      <c r="H330" s="20">
        <f>IFERROR(INDEX('Kode Outlet dan Target Toko'!$D:$D,MATCH($I330,'Kode Outlet dan Target Toko'!$E:$E,0)),0)</f>
        <v>9029389</v>
      </c>
      <c r="I330" s="41" t="s">
        <v>18</v>
      </c>
      <c r="J330" s="27" t="s">
        <v>174</v>
      </c>
      <c r="K330" s="39" t="s">
        <v>16</v>
      </c>
      <c r="L330" s="23">
        <v>2000</v>
      </c>
      <c r="M330" s="26">
        <v>57</v>
      </c>
      <c r="N330" s="25">
        <f t="shared" si="11"/>
        <v>114000</v>
      </c>
      <c r="O330" s="24">
        <v>120</v>
      </c>
    </row>
    <row r="331" spans="1:15" ht="15.75" hidden="1" customHeight="1" x14ac:dyDescent="0.3">
      <c r="A331" s="26">
        <v>24</v>
      </c>
      <c r="B331" s="20" t="str">
        <f t="shared" si="10"/>
        <v>JUN</v>
      </c>
      <c r="C331" s="28">
        <v>46187</v>
      </c>
      <c r="D331" s="22" t="str">
        <f t="array" ref="D331">IFERROR(INDEX('Kode Outlet dan Target Toko'!$A:$A,MATCH($I331,'Kode Outlet dan Target Toko'!$E:$E,0)),"")</f>
        <v>GRSM 4</v>
      </c>
      <c r="E331" s="20" t="str">
        <f>IFERROR(VLOOKUP(I331,KET!$B:$F,4,0),"")</f>
        <v>FAHMI LUKMANUL HAKIM</v>
      </c>
      <c r="F331" s="20" t="str">
        <f>IFERROR(VLOOKUP(I331,KET!$B:$F,5,0),"")</f>
        <v>GMM</v>
      </c>
      <c r="G331" s="20">
        <f>IFERROR(INDEX('Kode Outlet dan Target Toko'!$C:$C,MATCH($I331,'Kode Outlet dan Target Toko'!$E:$E,0)),0)</f>
        <v>103259</v>
      </c>
      <c r="H331" s="20">
        <f>IFERROR(INDEX('Kode Outlet dan Target Toko'!$D:$D,MATCH($I331,'Kode Outlet dan Target Toko'!$E:$E,0)),0)</f>
        <v>9013525</v>
      </c>
      <c r="I331" s="51" t="s">
        <v>24</v>
      </c>
      <c r="J331" s="45" t="s">
        <v>188</v>
      </c>
      <c r="K331" s="39" t="s">
        <v>15</v>
      </c>
      <c r="L331" s="29">
        <v>2000</v>
      </c>
      <c r="M331" s="24">
        <v>72</v>
      </c>
      <c r="N331" s="25">
        <f t="shared" si="11"/>
        <v>144000</v>
      </c>
      <c r="O331" s="24"/>
    </row>
    <row r="332" spans="1:15" ht="15.75" hidden="1" customHeight="1" x14ac:dyDescent="0.3">
      <c r="A332" s="26">
        <v>24</v>
      </c>
      <c r="B332" s="20" t="str">
        <f t="shared" si="10"/>
        <v>JUN</v>
      </c>
      <c r="C332" s="28">
        <v>46187</v>
      </c>
      <c r="D332" s="22" t="str">
        <f t="array" ref="D332">IFERROR(INDEX('Kode Outlet dan Target Toko'!$A:$A,MATCH($I332,'Kode Outlet dan Target Toko'!$E:$E,0)),"")</f>
        <v>GRSM 4</v>
      </c>
      <c r="E332" s="20" t="str">
        <f>IFERROR(VLOOKUP(I332,KET!$B:$F,4,0),"")</f>
        <v>FAHMI LUKMANUL HAKIM</v>
      </c>
      <c r="F332" s="20" t="str">
        <f>IFERROR(VLOOKUP(I332,KET!$B:$F,5,0),"")</f>
        <v>GMM</v>
      </c>
      <c r="G332" s="20">
        <f>IFERROR(INDEX('Kode Outlet dan Target Toko'!$C:$C,MATCH($I332,'Kode Outlet dan Target Toko'!$E:$E,0)),0)</f>
        <v>103259</v>
      </c>
      <c r="H332" s="20">
        <f>IFERROR(INDEX('Kode Outlet dan Target Toko'!$D:$D,MATCH($I332,'Kode Outlet dan Target Toko'!$E:$E,0)),0)</f>
        <v>9013525</v>
      </c>
      <c r="I332" s="51" t="s">
        <v>24</v>
      </c>
      <c r="J332" s="45" t="s">
        <v>188</v>
      </c>
      <c r="K332" s="39" t="s">
        <v>14</v>
      </c>
      <c r="L332" s="29">
        <v>2000</v>
      </c>
      <c r="M332" s="24">
        <v>60</v>
      </c>
      <c r="N332" s="25">
        <f t="shared" si="11"/>
        <v>120000</v>
      </c>
      <c r="O332" s="24"/>
    </row>
    <row r="333" spans="1:15" ht="15.75" hidden="1" customHeight="1" x14ac:dyDescent="0.3">
      <c r="A333" s="26">
        <v>24</v>
      </c>
      <c r="B333" s="20" t="str">
        <f t="shared" si="10"/>
        <v>JUN</v>
      </c>
      <c r="C333" s="28">
        <v>46187</v>
      </c>
      <c r="D333" s="22" t="str">
        <f t="array" ref="D333">IFERROR(INDEX('Kode Outlet dan Target Toko'!$A:$A,MATCH($I333,'Kode Outlet dan Target Toko'!$E:$E,0)),"")</f>
        <v>GRSM 4</v>
      </c>
      <c r="E333" s="20" t="str">
        <f>IFERROR(VLOOKUP(I333,KET!$B:$F,4,0),"")</f>
        <v>FAHMI LUKMANUL HAKIM</v>
      </c>
      <c r="F333" s="20" t="str">
        <f>IFERROR(VLOOKUP(I333,KET!$B:$F,5,0),"")</f>
        <v>GMM</v>
      </c>
      <c r="G333" s="20">
        <f>IFERROR(INDEX('Kode Outlet dan Target Toko'!$C:$C,MATCH($I333,'Kode Outlet dan Target Toko'!$E:$E,0)),0)</f>
        <v>103259</v>
      </c>
      <c r="H333" s="20">
        <f>IFERROR(INDEX('Kode Outlet dan Target Toko'!$D:$D,MATCH($I333,'Kode Outlet dan Target Toko'!$E:$E,0)),0)</f>
        <v>9013525</v>
      </c>
      <c r="I333" s="51" t="s">
        <v>24</v>
      </c>
      <c r="J333" s="45" t="s">
        <v>188</v>
      </c>
      <c r="K333" s="39" t="s">
        <v>13</v>
      </c>
      <c r="L333" s="29">
        <v>2000</v>
      </c>
      <c r="M333" s="24">
        <v>36</v>
      </c>
      <c r="N333" s="25">
        <f t="shared" si="11"/>
        <v>72000</v>
      </c>
      <c r="O333" s="24"/>
    </row>
    <row r="334" spans="1:15" ht="15.75" hidden="1" customHeight="1" x14ac:dyDescent="0.3">
      <c r="A334" s="26">
        <v>24</v>
      </c>
      <c r="B334" s="20" t="str">
        <f t="shared" si="10"/>
        <v>JUN</v>
      </c>
      <c r="C334" s="28">
        <v>46187</v>
      </c>
      <c r="D334" s="22" t="str">
        <f t="array" ref="D334">IFERROR(INDEX('Kode Outlet dan Target Toko'!$A:$A,MATCH($I334,'Kode Outlet dan Target Toko'!$E:$E,0)),"")</f>
        <v>GRSM 4</v>
      </c>
      <c r="E334" s="20" t="str">
        <f>IFERROR(VLOOKUP(I334,KET!$B:$F,4,0),"")</f>
        <v>FAHMI LUKMANUL HAKIM</v>
      </c>
      <c r="F334" s="20" t="str">
        <f>IFERROR(VLOOKUP(I334,KET!$B:$F,5,0),"")</f>
        <v>GMM</v>
      </c>
      <c r="G334" s="20">
        <f>IFERROR(INDEX('Kode Outlet dan Target Toko'!$C:$C,MATCH($I334,'Kode Outlet dan Target Toko'!$E:$E,0)),0)</f>
        <v>103259</v>
      </c>
      <c r="H334" s="20">
        <f>IFERROR(INDEX('Kode Outlet dan Target Toko'!$D:$D,MATCH($I334,'Kode Outlet dan Target Toko'!$E:$E,0)),0)</f>
        <v>9013525</v>
      </c>
      <c r="I334" s="51" t="s">
        <v>24</v>
      </c>
      <c r="J334" s="45" t="s">
        <v>188</v>
      </c>
      <c r="K334" s="39" t="s">
        <v>16</v>
      </c>
      <c r="L334" s="29">
        <v>2000</v>
      </c>
      <c r="M334" s="24">
        <v>204</v>
      </c>
      <c r="N334" s="25">
        <f t="shared" si="11"/>
        <v>408000</v>
      </c>
      <c r="O334" s="24">
        <v>160</v>
      </c>
    </row>
    <row r="335" spans="1:15" ht="15.75" hidden="1" customHeight="1" x14ac:dyDescent="0.3">
      <c r="A335" s="26">
        <v>24</v>
      </c>
      <c r="B335" s="20" t="str">
        <f t="shared" si="10"/>
        <v>JUN</v>
      </c>
      <c r="C335" s="28">
        <v>46187</v>
      </c>
      <c r="D335" s="22" t="str">
        <f t="array" ref="D335">IFERROR(INDEX('Kode Outlet dan Target Toko'!$A:$A,MATCH($I335,'Kode Outlet dan Target Toko'!$E:$E,0)),"")</f>
        <v>GRSM 4</v>
      </c>
      <c r="E335" s="20" t="str">
        <f>IFERROR(VLOOKUP(I335,KET!$B:$F,4,0),"")</f>
        <v>FAHMI LUKMANUL HAKIM</v>
      </c>
      <c r="F335" s="20" t="str">
        <f>IFERROR(VLOOKUP(I335,KET!$B:$F,5,0),"")</f>
        <v>GMM</v>
      </c>
      <c r="G335" s="20">
        <f>IFERROR(INDEX('Kode Outlet dan Target Toko'!$C:$C,MATCH($I335,'Kode Outlet dan Target Toko'!$E:$E,0)),0)</f>
        <v>103259</v>
      </c>
      <c r="H335" s="20">
        <f>IFERROR(INDEX('Kode Outlet dan Target Toko'!$D:$D,MATCH($I335,'Kode Outlet dan Target Toko'!$E:$E,0)),0)</f>
        <v>9013525</v>
      </c>
      <c r="I335" s="51" t="s">
        <v>24</v>
      </c>
      <c r="J335" s="27" t="s">
        <v>189</v>
      </c>
      <c r="K335" s="39" t="s">
        <v>15</v>
      </c>
      <c r="L335" s="29">
        <v>2000</v>
      </c>
      <c r="M335" s="24">
        <v>60</v>
      </c>
      <c r="N335" s="25">
        <f t="shared" si="11"/>
        <v>120000</v>
      </c>
      <c r="O335" s="24"/>
    </row>
    <row r="336" spans="1:15" ht="15.75" hidden="1" customHeight="1" x14ac:dyDescent="0.3">
      <c r="A336" s="26">
        <v>24</v>
      </c>
      <c r="B336" s="20" t="str">
        <f t="shared" si="10"/>
        <v>JUN</v>
      </c>
      <c r="C336" s="28">
        <v>46187</v>
      </c>
      <c r="D336" s="22" t="str">
        <f t="array" ref="D336">IFERROR(INDEX('Kode Outlet dan Target Toko'!$A:$A,MATCH($I336,'Kode Outlet dan Target Toko'!$E:$E,0)),"")</f>
        <v>GRSM 4</v>
      </c>
      <c r="E336" s="20" t="str">
        <f>IFERROR(VLOOKUP(I336,KET!$B:$F,4,0),"")</f>
        <v>FAHMI LUKMANUL HAKIM</v>
      </c>
      <c r="F336" s="20" t="str">
        <f>IFERROR(VLOOKUP(I336,KET!$B:$F,5,0),"")</f>
        <v>GMM</v>
      </c>
      <c r="G336" s="20">
        <f>IFERROR(INDEX('Kode Outlet dan Target Toko'!$C:$C,MATCH($I336,'Kode Outlet dan Target Toko'!$E:$E,0)),0)</f>
        <v>103259</v>
      </c>
      <c r="H336" s="20">
        <f>IFERROR(INDEX('Kode Outlet dan Target Toko'!$D:$D,MATCH($I336,'Kode Outlet dan Target Toko'!$E:$E,0)),0)</f>
        <v>9013525</v>
      </c>
      <c r="I336" s="51" t="s">
        <v>24</v>
      </c>
      <c r="J336" s="27" t="s">
        <v>189</v>
      </c>
      <c r="K336" s="39" t="s">
        <v>14</v>
      </c>
      <c r="L336" s="29">
        <v>2000</v>
      </c>
      <c r="M336" s="24">
        <v>60</v>
      </c>
      <c r="N336" s="25">
        <f t="shared" si="11"/>
        <v>120000</v>
      </c>
      <c r="O336" s="24"/>
    </row>
    <row r="337" spans="1:15" ht="15.75" hidden="1" customHeight="1" x14ac:dyDescent="0.3">
      <c r="A337" s="26">
        <v>24</v>
      </c>
      <c r="B337" s="20" t="str">
        <f t="shared" si="10"/>
        <v>JUN</v>
      </c>
      <c r="C337" s="28">
        <v>46187</v>
      </c>
      <c r="D337" s="22" t="str">
        <f t="array" ref="D337">IFERROR(INDEX('Kode Outlet dan Target Toko'!$A:$A,MATCH($I337,'Kode Outlet dan Target Toko'!$E:$E,0)),"")</f>
        <v>GRSM 4</v>
      </c>
      <c r="E337" s="20" t="str">
        <f>IFERROR(VLOOKUP(I337,KET!$B:$F,4,0),"")</f>
        <v>FAHMI LUKMANUL HAKIM</v>
      </c>
      <c r="F337" s="20" t="str">
        <f>IFERROR(VLOOKUP(I337,KET!$B:$F,5,0),"")</f>
        <v>GMM</v>
      </c>
      <c r="G337" s="20">
        <f>IFERROR(INDEX('Kode Outlet dan Target Toko'!$C:$C,MATCH($I337,'Kode Outlet dan Target Toko'!$E:$E,0)),0)</f>
        <v>103259</v>
      </c>
      <c r="H337" s="20">
        <f>IFERROR(INDEX('Kode Outlet dan Target Toko'!$D:$D,MATCH($I337,'Kode Outlet dan Target Toko'!$E:$E,0)),0)</f>
        <v>9013525</v>
      </c>
      <c r="I337" s="51" t="s">
        <v>24</v>
      </c>
      <c r="J337" s="27" t="s">
        <v>189</v>
      </c>
      <c r="K337" s="39" t="s">
        <v>13</v>
      </c>
      <c r="L337" s="29">
        <v>2000</v>
      </c>
      <c r="M337" s="24">
        <v>60</v>
      </c>
      <c r="N337" s="25">
        <f t="shared" si="11"/>
        <v>120000</v>
      </c>
      <c r="O337" s="24"/>
    </row>
    <row r="338" spans="1:15" ht="15.75" hidden="1" customHeight="1" x14ac:dyDescent="0.3">
      <c r="A338" s="26">
        <v>24</v>
      </c>
      <c r="B338" s="20" t="str">
        <f t="shared" si="10"/>
        <v>JUN</v>
      </c>
      <c r="C338" s="28">
        <v>46187</v>
      </c>
      <c r="D338" s="22" t="str">
        <f t="array" ref="D338">IFERROR(INDEX('Kode Outlet dan Target Toko'!$A:$A,MATCH($I338,'Kode Outlet dan Target Toko'!$E:$E,0)),"")</f>
        <v>GRSM 4</v>
      </c>
      <c r="E338" s="20" t="str">
        <f>IFERROR(VLOOKUP(I338,KET!$B:$F,4,0),"")</f>
        <v>FAHMI LUKMANUL HAKIM</v>
      </c>
      <c r="F338" s="20" t="str">
        <f>IFERROR(VLOOKUP(I338,KET!$B:$F,5,0),"")</f>
        <v>GMM</v>
      </c>
      <c r="G338" s="20">
        <f>IFERROR(INDEX('Kode Outlet dan Target Toko'!$C:$C,MATCH($I338,'Kode Outlet dan Target Toko'!$E:$E,0)),0)</f>
        <v>103259</v>
      </c>
      <c r="H338" s="20">
        <f>IFERROR(INDEX('Kode Outlet dan Target Toko'!$D:$D,MATCH($I338,'Kode Outlet dan Target Toko'!$E:$E,0)),0)</f>
        <v>9013525</v>
      </c>
      <c r="I338" s="51" t="s">
        <v>24</v>
      </c>
      <c r="J338" s="27" t="s">
        <v>189</v>
      </c>
      <c r="K338" s="39" t="s">
        <v>16</v>
      </c>
      <c r="L338" s="29">
        <v>2000</v>
      </c>
      <c r="M338" s="24">
        <v>180</v>
      </c>
      <c r="N338" s="25">
        <f t="shared" si="11"/>
        <v>360000</v>
      </c>
      <c r="O338" s="24">
        <v>160</v>
      </c>
    </row>
    <row r="339" spans="1:15" ht="15.75" hidden="1" customHeight="1" x14ac:dyDescent="0.3">
      <c r="A339" s="26">
        <v>24</v>
      </c>
      <c r="B339" s="20" t="str">
        <f t="shared" si="10"/>
        <v>JUN</v>
      </c>
      <c r="C339" s="28">
        <v>46187</v>
      </c>
      <c r="D339" s="22" t="str">
        <f t="array" ref="D339">IFERROR(INDEX('Kode Outlet dan Target Toko'!$A:$A,MATCH($I339,'Kode Outlet dan Target Toko'!$E:$E,0)),"")</f>
        <v>GRSM 4</v>
      </c>
      <c r="E339" s="20" t="str">
        <f>IFERROR(VLOOKUP(I339,KET!$B:$F,4,0),"")</f>
        <v>FAHMI LUKMANUL HAKIM</v>
      </c>
      <c r="F339" s="20" t="str">
        <f>IFERROR(VLOOKUP(I339,KET!$B:$F,5,0),"")</f>
        <v>GMM</v>
      </c>
      <c r="G339" s="20">
        <f>IFERROR(INDEX('Kode Outlet dan Target Toko'!$C:$C,MATCH($I339,'Kode Outlet dan Target Toko'!$E:$E,0)),0)</f>
        <v>189901</v>
      </c>
      <c r="H339" s="20">
        <f>IFERROR(INDEX('Kode Outlet dan Target Toko'!$D:$D,MATCH($I339,'Kode Outlet dan Target Toko'!$E:$E,0)),0)</f>
        <v>1602020</v>
      </c>
      <c r="I339" s="51" t="s">
        <v>20</v>
      </c>
      <c r="J339" s="56" t="s">
        <v>253</v>
      </c>
      <c r="K339" s="39" t="s">
        <v>15</v>
      </c>
      <c r="L339" s="29">
        <v>2200</v>
      </c>
      <c r="M339" s="24">
        <v>51</v>
      </c>
      <c r="N339" s="25">
        <f t="shared" si="11"/>
        <v>112200</v>
      </c>
      <c r="O339" s="24"/>
    </row>
    <row r="340" spans="1:15" ht="15.75" hidden="1" customHeight="1" x14ac:dyDescent="0.3">
      <c r="A340" s="26">
        <v>24</v>
      </c>
      <c r="B340" s="20" t="str">
        <f t="shared" si="10"/>
        <v>JUN</v>
      </c>
      <c r="C340" s="28">
        <v>46185</v>
      </c>
      <c r="D340" s="22" t="str">
        <f t="array" ref="D340">IFERROR(INDEX('Kode Outlet dan Target Toko'!$A:$A,MATCH($I340,'Kode Outlet dan Target Toko'!$E:$E,0)),"")</f>
        <v>GRSM 4</v>
      </c>
      <c r="E340" s="20" t="str">
        <f>IFERROR(VLOOKUP(I340,KET!$B:$F,4,0),"")</f>
        <v>FAHMI LUKMANUL HAKIM</v>
      </c>
      <c r="F340" s="20" t="str">
        <f>IFERROR(VLOOKUP(I340,KET!$B:$F,5,0),"")</f>
        <v>GMM</v>
      </c>
      <c r="G340" s="20">
        <f>IFERROR(INDEX('Kode Outlet dan Target Toko'!$C:$C,MATCH($I340,'Kode Outlet dan Target Toko'!$E:$E,0)),0)</f>
        <v>189901</v>
      </c>
      <c r="H340" s="20">
        <f>IFERROR(INDEX('Kode Outlet dan Target Toko'!$D:$D,MATCH($I340,'Kode Outlet dan Target Toko'!$E:$E,0)),0)</f>
        <v>1602020</v>
      </c>
      <c r="I340" s="51" t="s">
        <v>20</v>
      </c>
      <c r="J340" s="56" t="s">
        <v>253</v>
      </c>
      <c r="K340" s="39" t="s">
        <v>14</v>
      </c>
      <c r="L340" s="29">
        <v>2200</v>
      </c>
      <c r="M340" s="24">
        <v>125</v>
      </c>
      <c r="N340" s="25">
        <f t="shared" si="11"/>
        <v>275000</v>
      </c>
      <c r="O340" s="24"/>
    </row>
    <row r="341" spans="1:15" ht="15.75" hidden="1" customHeight="1" x14ac:dyDescent="0.3">
      <c r="A341" s="26">
        <v>24</v>
      </c>
      <c r="B341" s="20" t="str">
        <f t="shared" si="10"/>
        <v>JUN</v>
      </c>
      <c r="C341" s="28">
        <v>46185</v>
      </c>
      <c r="D341" s="22" t="str">
        <f t="array" ref="D341">IFERROR(INDEX('Kode Outlet dan Target Toko'!$A:$A,MATCH($I341,'Kode Outlet dan Target Toko'!$E:$E,0)),"")</f>
        <v>GRSM 4</v>
      </c>
      <c r="E341" s="20" t="str">
        <f>IFERROR(VLOOKUP(I341,KET!$B:$F,4,0),"")</f>
        <v>FAHMI LUKMANUL HAKIM</v>
      </c>
      <c r="F341" s="20" t="str">
        <f>IFERROR(VLOOKUP(I341,KET!$B:$F,5,0),"")</f>
        <v>GMM</v>
      </c>
      <c r="G341" s="20">
        <f>IFERROR(INDEX('Kode Outlet dan Target Toko'!$C:$C,MATCH($I341,'Kode Outlet dan Target Toko'!$E:$E,0)),0)</f>
        <v>189901</v>
      </c>
      <c r="H341" s="20">
        <f>IFERROR(INDEX('Kode Outlet dan Target Toko'!$D:$D,MATCH($I341,'Kode Outlet dan Target Toko'!$E:$E,0)),0)</f>
        <v>1602020</v>
      </c>
      <c r="I341" s="51" t="s">
        <v>20</v>
      </c>
      <c r="J341" s="56" t="s">
        <v>253</v>
      </c>
      <c r="K341" s="39" t="s">
        <v>13</v>
      </c>
      <c r="L341" s="29">
        <v>2200</v>
      </c>
      <c r="M341" s="24">
        <v>49</v>
      </c>
      <c r="N341" s="25">
        <f t="shared" si="11"/>
        <v>107800</v>
      </c>
      <c r="O341" s="24">
        <v>160</v>
      </c>
    </row>
    <row r="342" spans="1:15" ht="15.75" hidden="1" customHeight="1" x14ac:dyDescent="0.3">
      <c r="A342" s="26">
        <v>24</v>
      </c>
      <c r="B342" s="20" t="str">
        <f t="shared" si="10"/>
        <v>JUN</v>
      </c>
      <c r="C342" s="28">
        <v>46185</v>
      </c>
      <c r="D342" s="22" t="str">
        <f t="array" ref="D342">IFERROR(INDEX('Kode Outlet dan Target Toko'!$A:$A,MATCH($I342,'Kode Outlet dan Target Toko'!$E:$E,0)),"")</f>
        <v>GRSM 4</v>
      </c>
      <c r="E342" s="20" t="str">
        <f>IFERROR(VLOOKUP(I342,KET!$B:$F,4,0),"")</f>
        <v>FAHMI LUKMANUL HAKIM</v>
      </c>
      <c r="F342" s="20" t="str">
        <f>IFERROR(VLOOKUP(I342,KET!$B:$F,5,0),"")</f>
        <v>GMM</v>
      </c>
      <c r="G342" s="20">
        <f>IFERROR(INDEX('Kode Outlet dan Target Toko'!$C:$C,MATCH($I342,'Kode Outlet dan Target Toko'!$E:$E,0)),0)</f>
        <v>189901</v>
      </c>
      <c r="H342" s="20">
        <f>IFERROR(INDEX('Kode Outlet dan Target Toko'!$D:$D,MATCH($I342,'Kode Outlet dan Target Toko'!$E:$E,0)),0)</f>
        <v>1602020</v>
      </c>
      <c r="I342" s="51" t="s">
        <v>20</v>
      </c>
      <c r="J342" s="27" t="s">
        <v>198</v>
      </c>
      <c r="K342" s="39" t="s">
        <v>15</v>
      </c>
      <c r="L342" s="29">
        <v>2200</v>
      </c>
      <c r="M342" s="24">
        <v>73</v>
      </c>
      <c r="N342" s="25">
        <f t="shared" si="11"/>
        <v>160600</v>
      </c>
      <c r="O342" s="24"/>
    </row>
    <row r="343" spans="1:15" ht="15.75" hidden="1" customHeight="1" x14ac:dyDescent="0.3">
      <c r="A343" s="26">
        <v>24</v>
      </c>
      <c r="B343" s="20" t="str">
        <f t="shared" si="10"/>
        <v>JUN</v>
      </c>
      <c r="C343" s="28">
        <v>46186</v>
      </c>
      <c r="D343" s="22" t="str">
        <f t="array" ref="D343">IFERROR(INDEX('Kode Outlet dan Target Toko'!$A:$A,MATCH($I343,'Kode Outlet dan Target Toko'!$E:$E,0)),"")</f>
        <v>GRSM 4</v>
      </c>
      <c r="E343" s="20" t="str">
        <f>IFERROR(VLOOKUP(I343,KET!$B:$F,4,0),"")</f>
        <v>FAHMI LUKMANUL HAKIM</v>
      </c>
      <c r="F343" s="20" t="str">
        <f>IFERROR(VLOOKUP(I343,KET!$B:$F,5,0),"")</f>
        <v>GMM</v>
      </c>
      <c r="G343" s="20">
        <f>IFERROR(INDEX('Kode Outlet dan Target Toko'!$C:$C,MATCH($I343,'Kode Outlet dan Target Toko'!$E:$E,0)),0)</f>
        <v>189901</v>
      </c>
      <c r="H343" s="20">
        <f>IFERROR(INDEX('Kode Outlet dan Target Toko'!$D:$D,MATCH($I343,'Kode Outlet dan Target Toko'!$E:$E,0)),0)</f>
        <v>1602020</v>
      </c>
      <c r="I343" s="51" t="s">
        <v>20</v>
      </c>
      <c r="J343" s="27" t="s">
        <v>198</v>
      </c>
      <c r="K343" s="39" t="s">
        <v>14</v>
      </c>
      <c r="L343" s="29">
        <v>2200</v>
      </c>
      <c r="M343" s="24">
        <v>106</v>
      </c>
      <c r="N343" s="25">
        <f t="shared" si="11"/>
        <v>233200</v>
      </c>
      <c r="O343" s="24"/>
    </row>
    <row r="344" spans="1:15" ht="15.75" hidden="1" customHeight="1" x14ac:dyDescent="0.3">
      <c r="A344" s="26">
        <v>24</v>
      </c>
      <c r="B344" s="20" t="str">
        <f t="shared" si="10"/>
        <v>JUN</v>
      </c>
      <c r="C344" s="28">
        <v>46186</v>
      </c>
      <c r="D344" s="22" t="str">
        <f t="array" ref="D344">IFERROR(INDEX('Kode Outlet dan Target Toko'!$A:$A,MATCH($I344,'Kode Outlet dan Target Toko'!$E:$E,0)),"")</f>
        <v>GRSM 4</v>
      </c>
      <c r="E344" s="20" t="str">
        <f>IFERROR(VLOOKUP(I344,KET!$B:$F,4,0),"")</f>
        <v>FAHMI LUKMANUL HAKIM</v>
      </c>
      <c r="F344" s="20" t="str">
        <f>IFERROR(VLOOKUP(I344,KET!$B:$F,5,0),"")</f>
        <v>GMM</v>
      </c>
      <c r="G344" s="20">
        <f>IFERROR(INDEX('Kode Outlet dan Target Toko'!$C:$C,MATCH($I344,'Kode Outlet dan Target Toko'!$E:$E,0)),0)</f>
        <v>189901</v>
      </c>
      <c r="H344" s="20">
        <f>IFERROR(INDEX('Kode Outlet dan Target Toko'!$D:$D,MATCH($I344,'Kode Outlet dan Target Toko'!$E:$E,0)),0)</f>
        <v>1602020</v>
      </c>
      <c r="I344" s="51" t="s">
        <v>20</v>
      </c>
      <c r="J344" s="27" t="s">
        <v>198</v>
      </c>
      <c r="K344" s="39" t="s">
        <v>13</v>
      </c>
      <c r="L344" s="29">
        <v>2200</v>
      </c>
      <c r="M344" s="24">
        <v>39</v>
      </c>
      <c r="N344" s="25">
        <f t="shared" si="11"/>
        <v>85800</v>
      </c>
      <c r="O344" s="24"/>
    </row>
    <row r="345" spans="1:15" ht="15.75" hidden="1" customHeight="1" x14ac:dyDescent="0.3">
      <c r="A345" s="26">
        <v>24</v>
      </c>
      <c r="B345" s="20" t="str">
        <f t="shared" si="10"/>
        <v>JUN</v>
      </c>
      <c r="C345" s="28">
        <v>46186</v>
      </c>
      <c r="D345" s="22" t="str">
        <f t="array" ref="D345">IFERROR(INDEX('Kode Outlet dan Target Toko'!$A:$A,MATCH($I345,'Kode Outlet dan Target Toko'!$E:$E,0)),"")</f>
        <v>GRSM 4</v>
      </c>
      <c r="E345" s="20" t="str">
        <f>IFERROR(VLOOKUP(I345,KET!$B:$F,4,0),"")</f>
        <v>FAHMI LUKMANUL HAKIM</v>
      </c>
      <c r="F345" s="20" t="str">
        <f>IFERROR(VLOOKUP(I345,KET!$B:$F,5,0),"")</f>
        <v>GMM</v>
      </c>
      <c r="G345" s="20">
        <f>IFERROR(INDEX('Kode Outlet dan Target Toko'!$C:$C,MATCH($I345,'Kode Outlet dan Target Toko'!$E:$E,0)),0)</f>
        <v>189901</v>
      </c>
      <c r="H345" s="20">
        <f>IFERROR(INDEX('Kode Outlet dan Target Toko'!$D:$D,MATCH($I345,'Kode Outlet dan Target Toko'!$E:$E,0)),0)</f>
        <v>1602020</v>
      </c>
      <c r="I345" s="51" t="s">
        <v>20</v>
      </c>
      <c r="J345" s="56" t="s">
        <v>253</v>
      </c>
      <c r="K345" s="39" t="s">
        <v>15</v>
      </c>
      <c r="L345" s="29">
        <v>2200</v>
      </c>
      <c r="M345" s="24">
        <v>67</v>
      </c>
      <c r="N345" s="25">
        <f t="shared" si="11"/>
        <v>147400</v>
      </c>
      <c r="O345" s="24">
        <v>160</v>
      </c>
    </row>
    <row r="346" spans="1:15" ht="15.75" hidden="1" customHeight="1" x14ac:dyDescent="0.3">
      <c r="A346" s="26">
        <v>24</v>
      </c>
      <c r="B346" s="20" t="str">
        <f t="shared" si="10"/>
        <v>JUN</v>
      </c>
      <c r="C346" s="28">
        <v>46186</v>
      </c>
      <c r="D346" s="22" t="str">
        <f t="array" ref="D346">IFERROR(INDEX('Kode Outlet dan Target Toko'!$A:$A,MATCH($I346,'Kode Outlet dan Target Toko'!$E:$E,0)),"")</f>
        <v>GRSM 4</v>
      </c>
      <c r="E346" s="20" t="str">
        <f>IFERROR(VLOOKUP(I346,KET!$B:$F,4,0),"")</f>
        <v>FAHMI LUKMANUL HAKIM</v>
      </c>
      <c r="F346" s="20" t="str">
        <f>IFERROR(VLOOKUP(I346,KET!$B:$F,5,0),"")</f>
        <v>GMM</v>
      </c>
      <c r="G346" s="20">
        <f>IFERROR(INDEX('Kode Outlet dan Target Toko'!$C:$C,MATCH($I346,'Kode Outlet dan Target Toko'!$E:$E,0)),0)</f>
        <v>189901</v>
      </c>
      <c r="H346" s="20">
        <f>IFERROR(INDEX('Kode Outlet dan Target Toko'!$D:$D,MATCH($I346,'Kode Outlet dan Target Toko'!$E:$E,0)),0)</f>
        <v>1602020</v>
      </c>
      <c r="I346" s="51" t="s">
        <v>20</v>
      </c>
      <c r="J346" s="56" t="s">
        <v>253</v>
      </c>
      <c r="K346" s="39" t="s">
        <v>14</v>
      </c>
      <c r="L346" s="29">
        <v>2200</v>
      </c>
      <c r="M346" s="24">
        <v>98</v>
      </c>
      <c r="N346" s="25">
        <f t="shared" si="11"/>
        <v>215600</v>
      </c>
      <c r="O346" s="24"/>
    </row>
    <row r="347" spans="1:15" ht="15.75" hidden="1" customHeight="1" x14ac:dyDescent="0.3">
      <c r="A347" s="26">
        <v>24</v>
      </c>
      <c r="B347" s="20" t="str">
        <f t="shared" si="10"/>
        <v>JUN</v>
      </c>
      <c r="C347" s="28">
        <v>46186</v>
      </c>
      <c r="D347" s="22" t="str">
        <f t="array" ref="D347">IFERROR(INDEX('Kode Outlet dan Target Toko'!$A:$A,MATCH($I347,'Kode Outlet dan Target Toko'!$E:$E,0)),"")</f>
        <v>GRSM 4</v>
      </c>
      <c r="E347" s="20" t="str">
        <f>IFERROR(VLOOKUP(I347,KET!$B:$F,4,0),"")</f>
        <v>FAHMI LUKMANUL HAKIM</v>
      </c>
      <c r="F347" s="20" t="str">
        <f>IFERROR(VLOOKUP(I347,KET!$B:$F,5,0),"")</f>
        <v>GMM</v>
      </c>
      <c r="G347" s="20">
        <f>IFERROR(INDEX('Kode Outlet dan Target Toko'!$C:$C,MATCH($I347,'Kode Outlet dan Target Toko'!$E:$E,0)),0)</f>
        <v>189901</v>
      </c>
      <c r="H347" s="20">
        <f>IFERROR(INDEX('Kode Outlet dan Target Toko'!$D:$D,MATCH($I347,'Kode Outlet dan Target Toko'!$E:$E,0)),0)</f>
        <v>1602020</v>
      </c>
      <c r="I347" s="51" t="s">
        <v>20</v>
      </c>
      <c r="J347" s="56" t="s">
        <v>253</v>
      </c>
      <c r="K347" s="39" t="s">
        <v>13</v>
      </c>
      <c r="L347" s="29">
        <v>2200</v>
      </c>
      <c r="M347" s="24">
        <v>45</v>
      </c>
      <c r="N347" s="25">
        <f t="shared" si="11"/>
        <v>99000</v>
      </c>
      <c r="O347" s="24"/>
    </row>
    <row r="348" spans="1:15" ht="15.75" hidden="1" customHeight="1" x14ac:dyDescent="0.3">
      <c r="A348" s="26">
        <v>24</v>
      </c>
      <c r="B348" s="20" t="str">
        <f t="shared" si="10"/>
        <v>JUN</v>
      </c>
      <c r="C348" s="28">
        <v>46186</v>
      </c>
      <c r="D348" s="22" t="str">
        <f t="array" ref="D348">IFERROR(INDEX('Kode Outlet dan Target Toko'!$A:$A,MATCH($I348,'Kode Outlet dan Target Toko'!$E:$E,0)),"")</f>
        <v>GRSM 4</v>
      </c>
      <c r="E348" s="20" t="str">
        <f>IFERROR(VLOOKUP(I348,KET!$B:$F,4,0),"")</f>
        <v>FAHMI LUKMANUL HAKIM</v>
      </c>
      <c r="F348" s="20" t="str">
        <f>IFERROR(VLOOKUP(I348,KET!$B:$F,5,0),"")</f>
        <v>GMM</v>
      </c>
      <c r="G348" s="20">
        <f>IFERROR(INDEX('Kode Outlet dan Target Toko'!$C:$C,MATCH($I348,'Kode Outlet dan Target Toko'!$E:$E,0)),0)</f>
        <v>189901</v>
      </c>
      <c r="H348" s="20">
        <f>IFERROR(INDEX('Kode Outlet dan Target Toko'!$D:$D,MATCH($I348,'Kode Outlet dan Target Toko'!$E:$E,0)),0)</f>
        <v>1602020</v>
      </c>
      <c r="I348" s="51" t="s">
        <v>20</v>
      </c>
      <c r="J348" s="27" t="s">
        <v>198</v>
      </c>
      <c r="K348" s="39" t="s">
        <v>15</v>
      </c>
      <c r="L348" s="29">
        <v>2200</v>
      </c>
      <c r="M348" s="24">
        <v>121</v>
      </c>
      <c r="N348" s="25">
        <f t="shared" si="11"/>
        <v>266200</v>
      </c>
      <c r="O348" s="24"/>
    </row>
    <row r="349" spans="1:15" ht="15.75" hidden="1" customHeight="1" x14ac:dyDescent="0.3">
      <c r="A349" s="26">
        <v>24</v>
      </c>
      <c r="B349" s="20" t="str">
        <f t="shared" si="10"/>
        <v>JUN</v>
      </c>
      <c r="C349" s="28">
        <v>46187</v>
      </c>
      <c r="D349" s="22" t="str">
        <f t="array" ref="D349">IFERROR(INDEX('Kode Outlet dan Target Toko'!$A:$A,MATCH($I349,'Kode Outlet dan Target Toko'!$E:$E,0)),"")</f>
        <v>GRSM 4</v>
      </c>
      <c r="E349" s="20" t="str">
        <f>IFERROR(VLOOKUP(I349,KET!$B:$F,4,0),"")</f>
        <v>FAHMI LUKMANUL HAKIM</v>
      </c>
      <c r="F349" s="20" t="str">
        <f>IFERROR(VLOOKUP(I349,KET!$B:$F,5,0),"")</f>
        <v>GMM</v>
      </c>
      <c r="G349" s="20">
        <f>IFERROR(INDEX('Kode Outlet dan Target Toko'!$C:$C,MATCH($I349,'Kode Outlet dan Target Toko'!$E:$E,0)),0)</f>
        <v>189901</v>
      </c>
      <c r="H349" s="20">
        <f>IFERROR(INDEX('Kode Outlet dan Target Toko'!$D:$D,MATCH($I349,'Kode Outlet dan Target Toko'!$E:$E,0)),0)</f>
        <v>1602020</v>
      </c>
      <c r="I349" s="51" t="s">
        <v>20</v>
      </c>
      <c r="J349" s="27" t="s">
        <v>198</v>
      </c>
      <c r="K349" s="39" t="s">
        <v>14</v>
      </c>
      <c r="L349" s="29">
        <v>2200</v>
      </c>
      <c r="M349" s="24">
        <v>85</v>
      </c>
      <c r="N349" s="25">
        <f t="shared" si="11"/>
        <v>187000</v>
      </c>
      <c r="O349" s="24">
        <v>160</v>
      </c>
    </row>
    <row r="350" spans="1:15" ht="15.75" hidden="1" customHeight="1" x14ac:dyDescent="0.3">
      <c r="A350" s="26">
        <v>24</v>
      </c>
      <c r="B350" s="20" t="str">
        <f t="shared" si="10"/>
        <v>JUN</v>
      </c>
      <c r="C350" s="28">
        <v>46187</v>
      </c>
      <c r="D350" s="22" t="str">
        <f t="array" ref="D350">IFERROR(INDEX('Kode Outlet dan Target Toko'!$A:$A,MATCH($I350,'Kode Outlet dan Target Toko'!$E:$E,0)),"")</f>
        <v>GRSM 4</v>
      </c>
      <c r="E350" s="20" t="str">
        <f>IFERROR(VLOOKUP(I350,KET!$B:$F,4,0),"")</f>
        <v>FAHMI LUKMANUL HAKIM</v>
      </c>
      <c r="F350" s="20" t="str">
        <f>IFERROR(VLOOKUP(I350,KET!$B:$F,5,0),"")</f>
        <v>GMM</v>
      </c>
      <c r="G350" s="20">
        <f>IFERROR(INDEX('Kode Outlet dan Target Toko'!$C:$C,MATCH($I350,'Kode Outlet dan Target Toko'!$E:$E,0)),0)</f>
        <v>189901</v>
      </c>
      <c r="H350" s="20">
        <f>IFERROR(INDEX('Kode Outlet dan Target Toko'!$D:$D,MATCH($I350,'Kode Outlet dan Target Toko'!$E:$E,0)),0)</f>
        <v>1602020</v>
      </c>
      <c r="I350" s="51" t="s">
        <v>20</v>
      </c>
      <c r="J350" s="27" t="s">
        <v>198</v>
      </c>
      <c r="K350" s="39" t="s">
        <v>13</v>
      </c>
      <c r="L350" s="29">
        <v>2200</v>
      </c>
      <c r="M350" s="24">
        <v>31</v>
      </c>
      <c r="N350" s="25">
        <f t="shared" si="11"/>
        <v>68200</v>
      </c>
      <c r="O350" s="24"/>
    </row>
    <row r="351" spans="1:15" ht="15.75" hidden="1" customHeight="1" x14ac:dyDescent="0.3">
      <c r="A351" s="26">
        <v>24</v>
      </c>
      <c r="B351" s="20" t="str">
        <f t="shared" si="10"/>
        <v>JUN</v>
      </c>
      <c r="C351" s="28">
        <v>46187</v>
      </c>
      <c r="D351" s="22" t="str">
        <f t="array" ref="D351">IFERROR(INDEX('Kode Outlet dan Target Toko'!$A:$A,MATCH($I351,'Kode Outlet dan Target Toko'!$E:$E,0)),"")</f>
        <v>GRSM 4</v>
      </c>
      <c r="E351" s="20" t="str">
        <f>IFERROR(VLOOKUP(I351,KET!$B:$F,4,0),"")</f>
        <v>FAHMI LUKMANUL HAKIM</v>
      </c>
      <c r="F351" s="20" t="str">
        <f>IFERROR(VLOOKUP(I351,KET!$B:$F,5,0),"")</f>
        <v>GMM</v>
      </c>
      <c r="G351" s="20">
        <f>IFERROR(INDEX('Kode Outlet dan Target Toko'!$C:$C,MATCH($I351,'Kode Outlet dan Target Toko'!$E:$E,0)),0)</f>
        <v>189901</v>
      </c>
      <c r="H351" s="20">
        <f>IFERROR(INDEX('Kode Outlet dan Target Toko'!$D:$D,MATCH($I351,'Kode Outlet dan Target Toko'!$E:$E,0)),0)</f>
        <v>1602020</v>
      </c>
      <c r="I351" s="51" t="s">
        <v>20</v>
      </c>
      <c r="J351" s="56" t="s">
        <v>253</v>
      </c>
      <c r="K351" s="39" t="s">
        <v>15</v>
      </c>
      <c r="L351" s="29">
        <v>2200</v>
      </c>
      <c r="M351" s="24">
        <v>96</v>
      </c>
      <c r="N351" s="25">
        <f t="shared" si="11"/>
        <v>211200</v>
      </c>
      <c r="O351" s="24"/>
    </row>
    <row r="352" spans="1:15" ht="15.75" hidden="1" customHeight="1" x14ac:dyDescent="0.3">
      <c r="A352" s="26">
        <v>24</v>
      </c>
      <c r="B352" s="20" t="str">
        <f t="shared" si="10"/>
        <v>JUN</v>
      </c>
      <c r="C352" s="28">
        <v>46187</v>
      </c>
      <c r="D352" s="22" t="str">
        <f t="array" ref="D352">IFERROR(INDEX('Kode Outlet dan Target Toko'!$A:$A,MATCH($I352,'Kode Outlet dan Target Toko'!$E:$E,0)),"")</f>
        <v>GRSM 4</v>
      </c>
      <c r="E352" s="20" t="str">
        <f>IFERROR(VLOOKUP(I352,KET!$B:$F,4,0),"")</f>
        <v>FAHMI LUKMANUL HAKIM</v>
      </c>
      <c r="F352" s="20" t="str">
        <f>IFERROR(VLOOKUP(I352,KET!$B:$F,5,0),"")</f>
        <v>GMM</v>
      </c>
      <c r="G352" s="20">
        <f>IFERROR(INDEX('Kode Outlet dan Target Toko'!$C:$C,MATCH($I352,'Kode Outlet dan Target Toko'!$E:$E,0)),0)</f>
        <v>189901</v>
      </c>
      <c r="H352" s="20">
        <f>IFERROR(INDEX('Kode Outlet dan Target Toko'!$D:$D,MATCH($I352,'Kode Outlet dan Target Toko'!$E:$E,0)),0)</f>
        <v>1602020</v>
      </c>
      <c r="I352" s="51" t="s">
        <v>20</v>
      </c>
      <c r="J352" s="56" t="s">
        <v>253</v>
      </c>
      <c r="K352" s="39" t="s">
        <v>14</v>
      </c>
      <c r="L352" s="29">
        <v>2200</v>
      </c>
      <c r="M352" s="24">
        <v>117</v>
      </c>
      <c r="N352" s="25">
        <f t="shared" si="11"/>
        <v>257400</v>
      </c>
      <c r="O352" s="24"/>
    </row>
    <row r="353" spans="1:15" ht="15.75" hidden="1" customHeight="1" x14ac:dyDescent="0.3">
      <c r="A353" s="26">
        <v>24</v>
      </c>
      <c r="B353" s="20" t="str">
        <f t="shared" si="10"/>
        <v>JUN</v>
      </c>
      <c r="C353" s="28">
        <v>46187</v>
      </c>
      <c r="D353" s="22" t="str">
        <f t="array" ref="D353">IFERROR(INDEX('Kode Outlet dan Target Toko'!$A:$A,MATCH($I353,'Kode Outlet dan Target Toko'!$E:$E,0)),"")</f>
        <v>GRSM 4</v>
      </c>
      <c r="E353" s="20" t="str">
        <f>IFERROR(VLOOKUP(I353,KET!$B:$F,4,0),"")</f>
        <v>FAHMI LUKMANUL HAKIM</v>
      </c>
      <c r="F353" s="20" t="str">
        <f>IFERROR(VLOOKUP(I353,KET!$B:$F,5,0),"")</f>
        <v>GMM</v>
      </c>
      <c r="G353" s="20">
        <f>IFERROR(INDEX('Kode Outlet dan Target Toko'!$C:$C,MATCH($I353,'Kode Outlet dan Target Toko'!$E:$E,0)),0)</f>
        <v>189901</v>
      </c>
      <c r="H353" s="20">
        <f>IFERROR(INDEX('Kode Outlet dan Target Toko'!$D:$D,MATCH($I353,'Kode Outlet dan Target Toko'!$E:$E,0)),0)</f>
        <v>1602020</v>
      </c>
      <c r="I353" s="51" t="s">
        <v>20</v>
      </c>
      <c r="J353" s="56" t="s">
        <v>253</v>
      </c>
      <c r="K353" s="39" t="s">
        <v>13</v>
      </c>
      <c r="L353" s="29">
        <v>2200</v>
      </c>
      <c r="M353" s="24">
        <v>24</v>
      </c>
      <c r="N353" s="25">
        <f t="shared" si="11"/>
        <v>52800</v>
      </c>
      <c r="O353" s="24">
        <v>160</v>
      </c>
    </row>
    <row r="354" spans="1:15" ht="15.75" hidden="1" customHeight="1" x14ac:dyDescent="0.3">
      <c r="A354" s="26">
        <v>25</v>
      </c>
      <c r="B354" s="20" t="str">
        <f t="shared" si="10"/>
        <v>JUN</v>
      </c>
      <c r="C354" s="28">
        <v>46188</v>
      </c>
      <c r="D354" s="22" t="str">
        <f t="array" ref="D354">IFERROR(INDEX('Kode Outlet dan Target Toko'!$A:$A,MATCH($I354,'Kode Outlet dan Target Toko'!$E:$E,0)),"")</f>
        <v>GRSM 3A</v>
      </c>
      <c r="E354" s="20" t="str">
        <f>IFERROR(VLOOKUP(I354,KET!$B:$F,4,0),"")</f>
        <v>FAHMI LUKMANUL HAKIM</v>
      </c>
      <c r="F354" s="20" t="str">
        <f>IFERROR(VLOOKUP(I354,KET!$B:$F,5,0),"")</f>
        <v>GMM</v>
      </c>
      <c r="G354" s="20">
        <f>IFERROR(INDEX('Kode Outlet dan Target Toko'!$C:$C,MATCH($I354,'Kode Outlet dan Target Toko'!$E:$E,0)),0)</f>
        <v>103272</v>
      </c>
      <c r="H354" s="20">
        <f>IFERROR(INDEX('Kode Outlet dan Target Toko'!$D:$D,MATCH($I354,'Kode Outlet dan Target Toko'!$E:$E,0)),0)</f>
        <v>1178</v>
      </c>
      <c r="I354" s="51" t="s">
        <v>22</v>
      </c>
      <c r="J354" s="27" t="s">
        <v>256</v>
      </c>
      <c r="K354" s="39" t="s">
        <v>15</v>
      </c>
      <c r="L354" s="29">
        <v>3145</v>
      </c>
      <c r="M354" s="24">
        <v>16</v>
      </c>
      <c r="N354" s="25">
        <f t="shared" si="11"/>
        <v>50320</v>
      </c>
      <c r="O354" s="24"/>
    </row>
    <row r="355" spans="1:15" ht="15.75" hidden="1" customHeight="1" x14ac:dyDescent="0.3">
      <c r="A355" s="24">
        <v>24</v>
      </c>
      <c r="B355" s="20" t="str">
        <f t="shared" si="10"/>
        <v>JUN</v>
      </c>
      <c r="C355" s="21">
        <v>46185</v>
      </c>
      <c r="D355" s="22" t="str">
        <f t="array" ref="D355">IFERROR(INDEX('Kode Outlet dan Target Toko'!$A:$A,MATCH($I355,'Kode Outlet dan Target Toko'!$E:$E,0)),"")</f>
        <v>GRSM 4</v>
      </c>
      <c r="E355" s="20" t="str">
        <f>IFERROR(VLOOKUP(I355,KET!$B:$F,4,0),"")</f>
        <v>FAHMI LUKMANUL HAKIM</v>
      </c>
      <c r="F355" s="20" t="str">
        <f>IFERROR(VLOOKUP(I355,KET!$B:$F,5,0),"")</f>
        <v>GMM</v>
      </c>
      <c r="G355" s="20">
        <f>IFERROR(INDEX('Kode Outlet dan Target Toko'!$C:$C,MATCH($I355,'Kode Outlet dan Target Toko'!$E:$E,0)),0)</f>
        <v>103277</v>
      </c>
      <c r="H355" s="20">
        <f>IFERROR(INDEX('Kode Outlet dan Target Toko'!$D:$D,MATCH($I355,'Kode Outlet dan Target Toko'!$E:$E,0)),0)</f>
        <v>6301424</v>
      </c>
      <c r="I355" s="50" t="s">
        <v>25</v>
      </c>
      <c r="J355" s="56" t="s">
        <v>183</v>
      </c>
      <c r="K355" s="54" t="s">
        <v>14</v>
      </c>
      <c r="L355" s="23">
        <v>3000</v>
      </c>
      <c r="M355" s="24">
        <v>10</v>
      </c>
      <c r="N355" s="25">
        <f t="shared" si="11"/>
        <v>30000</v>
      </c>
      <c r="O355" s="24"/>
    </row>
    <row r="356" spans="1:15" ht="15.75" hidden="1" customHeight="1" x14ac:dyDescent="0.3">
      <c r="A356" s="24">
        <v>24</v>
      </c>
      <c r="B356" s="20" t="str">
        <f t="shared" si="10"/>
        <v>JUN</v>
      </c>
      <c r="C356" s="21">
        <v>46185</v>
      </c>
      <c r="D356" s="22" t="str">
        <f t="array" ref="D356">IFERROR(INDEX('Kode Outlet dan Target Toko'!$A:$A,MATCH($I356,'Kode Outlet dan Target Toko'!$E:$E,0)),"")</f>
        <v>GRSM 4</v>
      </c>
      <c r="E356" s="20" t="str">
        <f>IFERROR(VLOOKUP(I356,KET!$B:$F,4,0),"")</f>
        <v>FAHMI LUKMANUL HAKIM</v>
      </c>
      <c r="F356" s="20" t="str">
        <f>IFERROR(VLOOKUP(I356,KET!$B:$F,5,0),"")</f>
        <v>GMM</v>
      </c>
      <c r="G356" s="20">
        <f>IFERROR(INDEX('Kode Outlet dan Target Toko'!$C:$C,MATCH($I356,'Kode Outlet dan Target Toko'!$E:$E,0)),0)</f>
        <v>103277</v>
      </c>
      <c r="H356" s="20">
        <f>IFERROR(INDEX('Kode Outlet dan Target Toko'!$D:$D,MATCH($I356,'Kode Outlet dan Target Toko'!$E:$E,0)),0)</f>
        <v>6301424</v>
      </c>
      <c r="I356" s="50" t="s">
        <v>25</v>
      </c>
      <c r="J356" s="56" t="s">
        <v>183</v>
      </c>
      <c r="K356" s="54" t="s">
        <v>13</v>
      </c>
      <c r="L356" s="23">
        <v>3000</v>
      </c>
      <c r="M356" s="24">
        <v>10</v>
      </c>
      <c r="N356" s="25">
        <f t="shared" si="11"/>
        <v>30000</v>
      </c>
      <c r="O356" s="24"/>
    </row>
    <row r="357" spans="1:15" ht="15.75" hidden="1" customHeight="1" x14ac:dyDescent="0.3">
      <c r="A357" s="24">
        <v>24</v>
      </c>
      <c r="B357" s="20" t="str">
        <f t="shared" si="10"/>
        <v>JUN</v>
      </c>
      <c r="C357" s="21">
        <v>46185</v>
      </c>
      <c r="D357" s="22" t="str">
        <f t="array" ref="D357">IFERROR(INDEX('Kode Outlet dan Target Toko'!$A:$A,MATCH($I357,'Kode Outlet dan Target Toko'!$E:$E,0)),"")</f>
        <v>GRSM 4</v>
      </c>
      <c r="E357" s="20" t="str">
        <f>IFERROR(VLOOKUP(I357,KET!$B:$F,4,0),"")</f>
        <v>FAHMI LUKMANUL HAKIM</v>
      </c>
      <c r="F357" s="20" t="str">
        <f>IFERROR(VLOOKUP(I357,KET!$B:$F,5,0),"")</f>
        <v>GMM</v>
      </c>
      <c r="G357" s="20">
        <f>IFERROR(INDEX('Kode Outlet dan Target Toko'!$C:$C,MATCH($I357,'Kode Outlet dan Target Toko'!$E:$E,0)),0)</f>
        <v>103277</v>
      </c>
      <c r="H357" s="20">
        <f>IFERROR(INDEX('Kode Outlet dan Target Toko'!$D:$D,MATCH($I357,'Kode Outlet dan Target Toko'!$E:$E,0)),0)</f>
        <v>6301424</v>
      </c>
      <c r="I357" s="50" t="s">
        <v>25</v>
      </c>
      <c r="J357" s="56" t="s">
        <v>183</v>
      </c>
      <c r="K357" s="54" t="s">
        <v>16</v>
      </c>
      <c r="L357" s="23">
        <v>3000</v>
      </c>
      <c r="M357" s="24">
        <v>200</v>
      </c>
      <c r="N357" s="25">
        <f t="shared" si="11"/>
        <v>600000</v>
      </c>
      <c r="O357" s="24">
        <v>120</v>
      </c>
    </row>
    <row r="358" spans="1:15" ht="15.75" hidden="1" customHeight="1" x14ac:dyDescent="0.3">
      <c r="A358" s="24">
        <v>24</v>
      </c>
      <c r="B358" s="20" t="str">
        <f t="shared" si="10"/>
        <v>JUN</v>
      </c>
      <c r="C358" s="21">
        <v>46185</v>
      </c>
      <c r="D358" s="22" t="str">
        <f t="array" ref="D358">IFERROR(INDEX('Kode Outlet dan Target Toko'!$A:$A,MATCH($I358,'Kode Outlet dan Target Toko'!$E:$E,0)),"")</f>
        <v>GRSM 4</v>
      </c>
      <c r="E358" s="20" t="str">
        <f>IFERROR(VLOOKUP(I358,KET!$B:$F,4,0),"")</f>
        <v>FAHMI LUKMANUL HAKIM</v>
      </c>
      <c r="F358" s="20" t="str">
        <f>IFERROR(VLOOKUP(I358,KET!$B:$F,5,0),"")</f>
        <v>GMM</v>
      </c>
      <c r="G358" s="20">
        <f>IFERROR(INDEX('Kode Outlet dan Target Toko'!$C:$C,MATCH($I358,'Kode Outlet dan Target Toko'!$E:$E,0)),0)</f>
        <v>103277</v>
      </c>
      <c r="H358" s="20">
        <f>IFERROR(INDEX('Kode Outlet dan Target Toko'!$D:$D,MATCH($I358,'Kode Outlet dan Target Toko'!$E:$E,0)),0)</f>
        <v>6301424</v>
      </c>
      <c r="I358" s="50" t="s">
        <v>25</v>
      </c>
      <c r="J358" s="19" t="s">
        <v>257</v>
      </c>
      <c r="K358" s="54" t="s">
        <v>15</v>
      </c>
      <c r="L358" s="23">
        <v>3000</v>
      </c>
      <c r="M358" s="24">
        <v>20</v>
      </c>
      <c r="N358" s="25">
        <f t="shared" si="11"/>
        <v>60000</v>
      </c>
      <c r="O358" s="24"/>
    </row>
    <row r="359" spans="1:15" ht="15.75" hidden="1" customHeight="1" x14ac:dyDescent="0.3">
      <c r="A359" s="24">
        <v>24</v>
      </c>
      <c r="B359" s="20" t="str">
        <f t="shared" si="10"/>
        <v>JUN</v>
      </c>
      <c r="C359" s="21">
        <v>46185</v>
      </c>
      <c r="D359" s="22" t="str">
        <f t="array" ref="D359">IFERROR(INDEX('Kode Outlet dan Target Toko'!$A:$A,MATCH($I359,'Kode Outlet dan Target Toko'!$E:$E,0)),"")</f>
        <v>GRSM 4</v>
      </c>
      <c r="E359" s="20" t="str">
        <f>IFERROR(VLOOKUP(I359,KET!$B:$F,4,0),"")</f>
        <v>FAHMI LUKMANUL HAKIM</v>
      </c>
      <c r="F359" s="20" t="str">
        <f>IFERROR(VLOOKUP(I359,KET!$B:$F,5,0),"")</f>
        <v>GMM</v>
      </c>
      <c r="G359" s="20">
        <f>IFERROR(INDEX('Kode Outlet dan Target Toko'!$C:$C,MATCH($I359,'Kode Outlet dan Target Toko'!$E:$E,0)),0)</f>
        <v>103277</v>
      </c>
      <c r="H359" s="20">
        <f>IFERROR(INDEX('Kode Outlet dan Target Toko'!$D:$D,MATCH($I359,'Kode Outlet dan Target Toko'!$E:$E,0)),0)</f>
        <v>6301424</v>
      </c>
      <c r="I359" s="50" t="s">
        <v>25</v>
      </c>
      <c r="J359" s="19" t="s">
        <v>257</v>
      </c>
      <c r="K359" s="54" t="s">
        <v>14</v>
      </c>
      <c r="L359" s="23">
        <v>3000</v>
      </c>
      <c r="M359" s="24">
        <v>15</v>
      </c>
      <c r="N359" s="25">
        <f t="shared" si="11"/>
        <v>45000</v>
      </c>
      <c r="O359" s="24"/>
    </row>
    <row r="360" spans="1:15" ht="15.75" hidden="1" customHeight="1" x14ac:dyDescent="0.3">
      <c r="A360" s="24">
        <v>24</v>
      </c>
      <c r="B360" s="20" t="str">
        <f t="shared" si="10"/>
        <v>JUN</v>
      </c>
      <c r="C360" s="21">
        <v>46185</v>
      </c>
      <c r="D360" s="22" t="str">
        <f t="array" ref="D360">IFERROR(INDEX('Kode Outlet dan Target Toko'!$A:$A,MATCH($I360,'Kode Outlet dan Target Toko'!$E:$E,0)),"")</f>
        <v>GRSM 4</v>
      </c>
      <c r="E360" s="20" t="str">
        <f>IFERROR(VLOOKUP(I360,KET!$B:$F,4,0),"")</f>
        <v>FAHMI LUKMANUL HAKIM</v>
      </c>
      <c r="F360" s="20" t="str">
        <f>IFERROR(VLOOKUP(I360,KET!$B:$F,5,0),"")</f>
        <v>GMM</v>
      </c>
      <c r="G360" s="20">
        <f>IFERROR(INDEX('Kode Outlet dan Target Toko'!$C:$C,MATCH($I360,'Kode Outlet dan Target Toko'!$E:$E,0)),0)</f>
        <v>103277</v>
      </c>
      <c r="H360" s="20">
        <f>IFERROR(INDEX('Kode Outlet dan Target Toko'!$D:$D,MATCH($I360,'Kode Outlet dan Target Toko'!$E:$E,0)),0)</f>
        <v>6301424</v>
      </c>
      <c r="I360" s="50" t="s">
        <v>25</v>
      </c>
      <c r="J360" s="19" t="s">
        <v>257</v>
      </c>
      <c r="K360" s="54" t="s">
        <v>13</v>
      </c>
      <c r="L360" s="23">
        <v>3000</v>
      </c>
      <c r="M360" s="24">
        <v>10</v>
      </c>
      <c r="N360" s="25">
        <f t="shared" si="11"/>
        <v>30000</v>
      </c>
      <c r="O360" s="24"/>
    </row>
    <row r="361" spans="1:15" ht="15.75" hidden="1" customHeight="1" x14ac:dyDescent="0.3">
      <c r="A361" s="24">
        <v>24</v>
      </c>
      <c r="B361" s="20" t="str">
        <f t="shared" si="10"/>
        <v>JUN</v>
      </c>
      <c r="C361" s="21">
        <v>46185</v>
      </c>
      <c r="D361" s="22" t="str">
        <f t="array" ref="D361">IFERROR(INDEX('Kode Outlet dan Target Toko'!$A:$A,MATCH($I361,'Kode Outlet dan Target Toko'!$E:$E,0)),"")</f>
        <v>GRSM 4</v>
      </c>
      <c r="E361" s="20" t="str">
        <f>IFERROR(VLOOKUP(I361,KET!$B:$F,4,0),"")</f>
        <v>FAHMI LUKMANUL HAKIM</v>
      </c>
      <c r="F361" s="20" t="str">
        <f>IFERROR(VLOOKUP(I361,KET!$B:$F,5,0),"")</f>
        <v>GMM</v>
      </c>
      <c r="G361" s="20">
        <f>IFERROR(INDEX('Kode Outlet dan Target Toko'!$C:$C,MATCH($I361,'Kode Outlet dan Target Toko'!$E:$E,0)),0)</f>
        <v>103277</v>
      </c>
      <c r="H361" s="20">
        <f>IFERROR(INDEX('Kode Outlet dan Target Toko'!$D:$D,MATCH($I361,'Kode Outlet dan Target Toko'!$E:$E,0)),0)</f>
        <v>6301424</v>
      </c>
      <c r="I361" s="50" t="s">
        <v>25</v>
      </c>
      <c r="J361" s="19" t="s">
        <v>257</v>
      </c>
      <c r="K361" s="54" t="s">
        <v>16</v>
      </c>
      <c r="L361" s="23">
        <v>3000</v>
      </c>
      <c r="M361" s="24">
        <v>200</v>
      </c>
      <c r="N361" s="25">
        <f t="shared" si="11"/>
        <v>600000</v>
      </c>
      <c r="O361" s="24">
        <v>120</v>
      </c>
    </row>
    <row r="362" spans="1:15" ht="15.75" hidden="1" customHeight="1" x14ac:dyDescent="0.3">
      <c r="A362" s="24">
        <v>24</v>
      </c>
      <c r="B362" s="20" t="str">
        <f t="shared" si="10"/>
        <v>JUN</v>
      </c>
      <c r="C362" s="21">
        <v>46185</v>
      </c>
      <c r="D362" s="22" t="str">
        <f t="array" ref="D362">IFERROR(INDEX('Kode Outlet dan Target Toko'!$A:$A,MATCH($I362,'Kode Outlet dan Target Toko'!$E:$E,0)),"")</f>
        <v>GRSM 4</v>
      </c>
      <c r="E362" s="20" t="str">
        <f>IFERROR(VLOOKUP(I362,KET!$B:$F,4,0),"")</f>
        <v>FAHMI LUKMANUL HAKIM</v>
      </c>
      <c r="F362" s="20" t="str">
        <f>IFERROR(VLOOKUP(I362,KET!$B:$F,5,0),"")</f>
        <v>GMM</v>
      </c>
      <c r="G362" s="20">
        <f>IFERROR(INDEX('Kode Outlet dan Target Toko'!$C:$C,MATCH($I362,'Kode Outlet dan Target Toko'!$E:$E,0)),0)</f>
        <v>103277</v>
      </c>
      <c r="H362" s="20">
        <f>IFERROR(INDEX('Kode Outlet dan Target Toko'!$D:$D,MATCH($I362,'Kode Outlet dan Target Toko'!$E:$E,0)),0)</f>
        <v>6301424</v>
      </c>
      <c r="I362" s="50" t="s">
        <v>25</v>
      </c>
      <c r="J362" s="56" t="s">
        <v>183</v>
      </c>
      <c r="K362" s="54" t="s">
        <v>15</v>
      </c>
      <c r="L362" s="23">
        <v>3000</v>
      </c>
      <c r="M362" s="24">
        <v>60</v>
      </c>
      <c r="N362" s="25">
        <f t="shared" si="11"/>
        <v>180000</v>
      </c>
      <c r="O362" s="24"/>
    </row>
    <row r="363" spans="1:15" ht="15.75" hidden="1" customHeight="1" x14ac:dyDescent="0.3">
      <c r="A363" s="24">
        <v>24</v>
      </c>
      <c r="B363" s="20" t="str">
        <f t="shared" si="10"/>
        <v>JUN</v>
      </c>
      <c r="C363" s="21">
        <v>46186</v>
      </c>
      <c r="D363" s="22" t="str">
        <f t="array" ref="D363">IFERROR(INDEX('Kode Outlet dan Target Toko'!$A:$A,MATCH($I363,'Kode Outlet dan Target Toko'!$E:$E,0)),"")</f>
        <v>GRSM 4</v>
      </c>
      <c r="E363" s="20" t="str">
        <f>IFERROR(VLOOKUP(I363,KET!$B:$F,4,0),"")</f>
        <v>FAHMI LUKMANUL HAKIM</v>
      </c>
      <c r="F363" s="20" t="str">
        <f>IFERROR(VLOOKUP(I363,KET!$B:$F,5,0),"")</f>
        <v>GMM</v>
      </c>
      <c r="G363" s="20">
        <f>IFERROR(INDEX('Kode Outlet dan Target Toko'!$C:$C,MATCH($I363,'Kode Outlet dan Target Toko'!$E:$E,0)),0)</f>
        <v>103277</v>
      </c>
      <c r="H363" s="20">
        <f>IFERROR(INDEX('Kode Outlet dan Target Toko'!$D:$D,MATCH($I363,'Kode Outlet dan Target Toko'!$E:$E,0)),0)</f>
        <v>6301424</v>
      </c>
      <c r="I363" s="50" t="s">
        <v>25</v>
      </c>
      <c r="J363" s="56" t="s">
        <v>183</v>
      </c>
      <c r="K363" s="54" t="s">
        <v>14</v>
      </c>
      <c r="L363" s="23">
        <v>3000</v>
      </c>
      <c r="M363" s="24">
        <v>95</v>
      </c>
      <c r="N363" s="25">
        <f t="shared" si="11"/>
        <v>285000</v>
      </c>
      <c r="O363" s="24"/>
    </row>
    <row r="364" spans="1:15" ht="15.75" hidden="1" customHeight="1" x14ac:dyDescent="0.3">
      <c r="A364" s="24">
        <v>24</v>
      </c>
      <c r="B364" s="20" t="str">
        <f t="shared" si="10"/>
        <v>JUN</v>
      </c>
      <c r="C364" s="21">
        <v>46186</v>
      </c>
      <c r="D364" s="22" t="str">
        <f t="array" ref="D364">IFERROR(INDEX('Kode Outlet dan Target Toko'!$A:$A,MATCH($I364,'Kode Outlet dan Target Toko'!$E:$E,0)),"")</f>
        <v>GRSM 4</v>
      </c>
      <c r="E364" s="20" t="str">
        <f>IFERROR(VLOOKUP(I364,KET!$B:$F,4,0),"")</f>
        <v>FAHMI LUKMANUL HAKIM</v>
      </c>
      <c r="F364" s="20" t="str">
        <f>IFERROR(VLOOKUP(I364,KET!$B:$F,5,0),"")</f>
        <v>GMM</v>
      </c>
      <c r="G364" s="20">
        <f>IFERROR(INDEX('Kode Outlet dan Target Toko'!$C:$C,MATCH($I364,'Kode Outlet dan Target Toko'!$E:$E,0)),0)</f>
        <v>103277</v>
      </c>
      <c r="H364" s="20">
        <f>IFERROR(INDEX('Kode Outlet dan Target Toko'!$D:$D,MATCH($I364,'Kode Outlet dan Target Toko'!$E:$E,0)),0)</f>
        <v>6301424</v>
      </c>
      <c r="I364" s="50" t="s">
        <v>25</v>
      </c>
      <c r="J364" s="56" t="s">
        <v>183</v>
      </c>
      <c r="K364" s="54" t="s">
        <v>13</v>
      </c>
      <c r="L364" s="23">
        <v>3000</v>
      </c>
      <c r="M364" s="24">
        <v>25</v>
      </c>
      <c r="N364" s="25">
        <f t="shared" si="11"/>
        <v>75000</v>
      </c>
      <c r="O364" s="24"/>
    </row>
    <row r="365" spans="1:15" ht="15.75" hidden="1" customHeight="1" x14ac:dyDescent="0.3">
      <c r="A365" s="24">
        <v>24</v>
      </c>
      <c r="B365" s="20" t="str">
        <f t="shared" si="10"/>
        <v>JUN</v>
      </c>
      <c r="C365" s="21">
        <v>46186</v>
      </c>
      <c r="D365" s="22" t="str">
        <f t="array" ref="D365">IFERROR(INDEX('Kode Outlet dan Target Toko'!$A:$A,MATCH($I365,'Kode Outlet dan Target Toko'!$E:$E,0)),"")</f>
        <v>GRSM 4</v>
      </c>
      <c r="E365" s="20" t="str">
        <f>IFERROR(VLOOKUP(I365,KET!$B:$F,4,0),"")</f>
        <v>FAHMI LUKMANUL HAKIM</v>
      </c>
      <c r="F365" s="20" t="str">
        <f>IFERROR(VLOOKUP(I365,KET!$B:$F,5,0),"")</f>
        <v>GMM</v>
      </c>
      <c r="G365" s="20">
        <f>IFERROR(INDEX('Kode Outlet dan Target Toko'!$C:$C,MATCH($I365,'Kode Outlet dan Target Toko'!$E:$E,0)),0)</f>
        <v>103277</v>
      </c>
      <c r="H365" s="20">
        <f>IFERROR(INDEX('Kode Outlet dan Target Toko'!$D:$D,MATCH($I365,'Kode Outlet dan Target Toko'!$E:$E,0)),0)</f>
        <v>6301424</v>
      </c>
      <c r="I365" s="50" t="s">
        <v>25</v>
      </c>
      <c r="J365" s="56" t="s">
        <v>183</v>
      </c>
      <c r="K365" s="54" t="s">
        <v>16</v>
      </c>
      <c r="L365" s="23">
        <v>3000</v>
      </c>
      <c r="M365" s="24">
        <v>130</v>
      </c>
      <c r="N365" s="25">
        <f t="shared" si="11"/>
        <v>390000</v>
      </c>
      <c r="O365" s="24">
        <v>120</v>
      </c>
    </row>
    <row r="366" spans="1:15" ht="15.75" hidden="1" customHeight="1" x14ac:dyDescent="0.3">
      <c r="A366" s="24">
        <v>24</v>
      </c>
      <c r="B366" s="20" t="str">
        <f t="shared" si="10"/>
        <v>JUN</v>
      </c>
      <c r="C366" s="21">
        <v>46186</v>
      </c>
      <c r="D366" s="22" t="str">
        <f t="array" ref="D366">IFERROR(INDEX('Kode Outlet dan Target Toko'!$A:$A,MATCH($I366,'Kode Outlet dan Target Toko'!$E:$E,0)),"")</f>
        <v>GRSM 4</v>
      </c>
      <c r="E366" s="20" t="str">
        <f>IFERROR(VLOOKUP(I366,KET!$B:$F,4,0),"")</f>
        <v>FAHMI LUKMANUL HAKIM</v>
      </c>
      <c r="F366" s="20" t="str">
        <f>IFERROR(VLOOKUP(I366,KET!$B:$F,5,0),"")</f>
        <v>GMM</v>
      </c>
      <c r="G366" s="20">
        <f>IFERROR(INDEX('Kode Outlet dan Target Toko'!$C:$C,MATCH($I366,'Kode Outlet dan Target Toko'!$E:$E,0)),0)</f>
        <v>103277</v>
      </c>
      <c r="H366" s="20">
        <f>IFERROR(INDEX('Kode Outlet dan Target Toko'!$D:$D,MATCH($I366,'Kode Outlet dan Target Toko'!$E:$E,0)),0)</f>
        <v>6301424</v>
      </c>
      <c r="I366" s="50" t="s">
        <v>25</v>
      </c>
      <c r="J366" s="19" t="s">
        <v>257</v>
      </c>
      <c r="K366" s="54" t="s">
        <v>15</v>
      </c>
      <c r="L366" s="23">
        <v>3000</v>
      </c>
      <c r="M366" s="24">
        <v>64</v>
      </c>
      <c r="N366" s="25">
        <f t="shared" si="11"/>
        <v>192000</v>
      </c>
      <c r="O366" s="24"/>
    </row>
    <row r="367" spans="1:15" ht="15.75" hidden="1" customHeight="1" x14ac:dyDescent="0.3">
      <c r="A367" s="24">
        <v>24</v>
      </c>
      <c r="B367" s="20" t="str">
        <f t="shared" si="10"/>
        <v>JUN</v>
      </c>
      <c r="C367" s="21">
        <v>46186</v>
      </c>
      <c r="D367" s="22" t="str">
        <f t="array" ref="D367">IFERROR(INDEX('Kode Outlet dan Target Toko'!$A:$A,MATCH($I367,'Kode Outlet dan Target Toko'!$E:$E,0)),"")</f>
        <v>GRSM 4</v>
      </c>
      <c r="E367" s="20" t="str">
        <f>IFERROR(VLOOKUP(I367,KET!$B:$F,4,0),"")</f>
        <v>FAHMI LUKMANUL HAKIM</v>
      </c>
      <c r="F367" s="20" t="str">
        <f>IFERROR(VLOOKUP(I367,KET!$B:$F,5,0),"")</f>
        <v>GMM</v>
      </c>
      <c r="G367" s="20">
        <f>IFERROR(INDEX('Kode Outlet dan Target Toko'!$C:$C,MATCH($I367,'Kode Outlet dan Target Toko'!$E:$E,0)),0)</f>
        <v>103277</v>
      </c>
      <c r="H367" s="20">
        <f>IFERROR(INDEX('Kode Outlet dan Target Toko'!$D:$D,MATCH($I367,'Kode Outlet dan Target Toko'!$E:$E,0)),0)</f>
        <v>6301424</v>
      </c>
      <c r="I367" s="50" t="s">
        <v>25</v>
      </c>
      <c r="J367" s="19" t="s">
        <v>257</v>
      </c>
      <c r="K367" s="54" t="s">
        <v>14</v>
      </c>
      <c r="L367" s="23">
        <v>3000</v>
      </c>
      <c r="M367" s="24">
        <v>90</v>
      </c>
      <c r="N367" s="25">
        <f t="shared" si="11"/>
        <v>270000</v>
      </c>
      <c r="O367" s="24"/>
    </row>
    <row r="368" spans="1:15" ht="15.75" hidden="1" customHeight="1" x14ac:dyDescent="0.3">
      <c r="A368" s="24">
        <v>24</v>
      </c>
      <c r="B368" s="20" t="str">
        <f t="shared" si="10"/>
        <v>JUN</v>
      </c>
      <c r="C368" s="21">
        <v>46186</v>
      </c>
      <c r="D368" s="22" t="str">
        <f t="array" ref="D368">IFERROR(INDEX('Kode Outlet dan Target Toko'!$A:$A,MATCH($I368,'Kode Outlet dan Target Toko'!$E:$E,0)),"")</f>
        <v>GRSM 4</v>
      </c>
      <c r="E368" s="20" t="str">
        <f>IFERROR(VLOOKUP(I368,KET!$B:$F,4,0),"")</f>
        <v>FAHMI LUKMANUL HAKIM</v>
      </c>
      <c r="F368" s="20" t="str">
        <f>IFERROR(VLOOKUP(I368,KET!$B:$F,5,0),"")</f>
        <v>GMM</v>
      </c>
      <c r="G368" s="20">
        <f>IFERROR(INDEX('Kode Outlet dan Target Toko'!$C:$C,MATCH($I368,'Kode Outlet dan Target Toko'!$E:$E,0)),0)</f>
        <v>103277</v>
      </c>
      <c r="H368" s="20">
        <f>IFERROR(INDEX('Kode Outlet dan Target Toko'!$D:$D,MATCH($I368,'Kode Outlet dan Target Toko'!$E:$E,0)),0)</f>
        <v>6301424</v>
      </c>
      <c r="I368" s="50" t="s">
        <v>25</v>
      </c>
      <c r="J368" s="19" t="s">
        <v>257</v>
      </c>
      <c r="K368" s="54" t="s">
        <v>13</v>
      </c>
      <c r="L368" s="23">
        <v>3000</v>
      </c>
      <c r="M368" s="24">
        <v>20</v>
      </c>
      <c r="N368" s="25">
        <f t="shared" si="11"/>
        <v>60000</v>
      </c>
      <c r="O368" s="24"/>
    </row>
    <row r="369" spans="1:15" ht="15.75" hidden="1" customHeight="1" x14ac:dyDescent="0.3">
      <c r="A369" s="24">
        <v>24</v>
      </c>
      <c r="B369" s="20" t="str">
        <f t="shared" si="10"/>
        <v>JUN</v>
      </c>
      <c r="C369" s="21">
        <v>46186</v>
      </c>
      <c r="D369" s="22" t="str">
        <f t="array" ref="D369">IFERROR(INDEX('Kode Outlet dan Target Toko'!$A:$A,MATCH($I369,'Kode Outlet dan Target Toko'!$E:$E,0)),"")</f>
        <v>GRSM 4</v>
      </c>
      <c r="E369" s="20" t="str">
        <f>IFERROR(VLOOKUP(I369,KET!$B:$F,4,0),"")</f>
        <v>FAHMI LUKMANUL HAKIM</v>
      </c>
      <c r="F369" s="20" t="str">
        <f>IFERROR(VLOOKUP(I369,KET!$B:$F,5,0),"")</f>
        <v>GMM</v>
      </c>
      <c r="G369" s="20">
        <f>IFERROR(INDEX('Kode Outlet dan Target Toko'!$C:$C,MATCH($I369,'Kode Outlet dan Target Toko'!$E:$E,0)),0)</f>
        <v>103277</v>
      </c>
      <c r="H369" s="20">
        <f>IFERROR(INDEX('Kode Outlet dan Target Toko'!$D:$D,MATCH($I369,'Kode Outlet dan Target Toko'!$E:$E,0)),0)</f>
        <v>6301424</v>
      </c>
      <c r="I369" s="50" t="s">
        <v>25</v>
      </c>
      <c r="J369" s="19" t="s">
        <v>257</v>
      </c>
      <c r="K369" s="54" t="s">
        <v>16</v>
      </c>
      <c r="L369" s="23">
        <v>3000</v>
      </c>
      <c r="M369" s="24">
        <v>120</v>
      </c>
      <c r="N369" s="25">
        <f t="shared" si="11"/>
        <v>360000</v>
      </c>
      <c r="O369" s="24">
        <v>120</v>
      </c>
    </row>
    <row r="370" spans="1:15" ht="15.75" hidden="1" customHeight="1" x14ac:dyDescent="0.3">
      <c r="A370" s="24">
        <v>24</v>
      </c>
      <c r="B370" s="20" t="str">
        <f t="shared" si="10"/>
        <v>JUN</v>
      </c>
      <c r="C370" s="21">
        <v>46186</v>
      </c>
      <c r="D370" s="22" t="str">
        <f t="array" ref="D370">IFERROR(INDEX('Kode Outlet dan Target Toko'!$A:$A,MATCH($I370,'Kode Outlet dan Target Toko'!$E:$E,0)),"")</f>
        <v>GRSM 4</v>
      </c>
      <c r="E370" s="20" t="str">
        <f>IFERROR(VLOOKUP(I370,KET!$B:$F,4,0),"")</f>
        <v>FAHMI LUKMANUL HAKIM</v>
      </c>
      <c r="F370" s="20" t="str">
        <f>IFERROR(VLOOKUP(I370,KET!$B:$F,5,0),"")</f>
        <v>GMM</v>
      </c>
      <c r="G370" s="20">
        <f>IFERROR(INDEX('Kode Outlet dan Target Toko'!$C:$C,MATCH($I370,'Kode Outlet dan Target Toko'!$E:$E,0)),0)</f>
        <v>103277</v>
      </c>
      <c r="H370" s="20">
        <f>IFERROR(INDEX('Kode Outlet dan Target Toko'!$D:$D,MATCH($I370,'Kode Outlet dan Target Toko'!$E:$E,0)),0)</f>
        <v>6301424</v>
      </c>
      <c r="I370" s="50" t="s">
        <v>25</v>
      </c>
      <c r="J370" s="56" t="s">
        <v>183</v>
      </c>
      <c r="K370" s="54" t="s">
        <v>15</v>
      </c>
      <c r="L370" s="23">
        <v>3000</v>
      </c>
      <c r="M370" s="24">
        <v>31</v>
      </c>
      <c r="N370" s="25">
        <f t="shared" si="11"/>
        <v>93000</v>
      </c>
      <c r="O370" s="24"/>
    </row>
    <row r="371" spans="1:15" ht="15.75" hidden="1" customHeight="1" x14ac:dyDescent="0.3">
      <c r="A371" s="24">
        <v>24</v>
      </c>
      <c r="B371" s="20" t="str">
        <f t="shared" si="10"/>
        <v>JUN</v>
      </c>
      <c r="C371" s="21">
        <v>46187</v>
      </c>
      <c r="D371" s="22" t="str">
        <f t="array" ref="D371">IFERROR(INDEX('Kode Outlet dan Target Toko'!$A:$A,MATCH($I371,'Kode Outlet dan Target Toko'!$E:$E,0)),"")</f>
        <v>GRSM 4</v>
      </c>
      <c r="E371" s="20" t="str">
        <f>IFERROR(VLOOKUP(I371,KET!$B:$F,4,0),"")</f>
        <v>FAHMI LUKMANUL HAKIM</v>
      </c>
      <c r="F371" s="20" t="str">
        <f>IFERROR(VLOOKUP(I371,KET!$B:$F,5,0),"")</f>
        <v>GMM</v>
      </c>
      <c r="G371" s="20">
        <f>IFERROR(INDEX('Kode Outlet dan Target Toko'!$C:$C,MATCH($I371,'Kode Outlet dan Target Toko'!$E:$E,0)),0)</f>
        <v>103277</v>
      </c>
      <c r="H371" s="20">
        <f>IFERROR(INDEX('Kode Outlet dan Target Toko'!$D:$D,MATCH($I371,'Kode Outlet dan Target Toko'!$E:$E,0)),0)</f>
        <v>6301424</v>
      </c>
      <c r="I371" s="50" t="s">
        <v>25</v>
      </c>
      <c r="J371" s="56" t="s">
        <v>183</v>
      </c>
      <c r="K371" s="54" t="s">
        <v>14</v>
      </c>
      <c r="L371" s="23">
        <v>3000</v>
      </c>
      <c r="M371" s="24">
        <v>80</v>
      </c>
      <c r="N371" s="25">
        <f t="shared" si="11"/>
        <v>240000</v>
      </c>
      <c r="O371" s="24"/>
    </row>
    <row r="372" spans="1:15" ht="15.75" hidden="1" customHeight="1" x14ac:dyDescent="0.3">
      <c r="A372" s="24">
        <v>24</v>
      </c>
      <c r="B372" s="20" t="str">
        <f t="shared" si="10"/>
        <v>JUN</v>
      </c>
      <c r="C372" s="21">
        <v>46187</v>
      </c>
      <c r="D372" s="22" t="str">
        <f t="array" ref="D372">IFERROR(INDEX('Kode Outlet dan Target Toko'!$A:$A,MATCH($I372,'Kode Outlet dan Target Toko'!$E:$E,0)),"")</f>
        <v>GRSM 4</v>
      </c>
      <c r="E372" s="20" t="str">
        <f>IFERROR(VLOOKUP(I372,KET!$B:$F,4,0),"")</f>
        <v>FAHMI LUKMANUL HAKIM</v>
      </c>
      <c r="F372" s="20" t="str">
        <f>IFERROR(VLOOKUP(I372,KET!$B:$F,5,0),"")</f>
        <v>GMM</v>
      </c>
      <c r="G372" s="20">
        <f>IFERROR(INDEX('Kode Outlet dan Target Toko'!$C:$C,MATCH($I372,'Kode Outlet dan Target Toko'!$E:$E,0)),0)</f>
        <v>103277</v>
      </c>
      <c r="H372" s="20">
        <f>IFERROR(INDEX('Kode Outlet dan Target Toko'!$D:$D,MATCH($I372,'Kode Outlet dan Target Toko'!$E:$E,0)),0)</f>
        <v>6301424</v>
      </c>
      <c r="I372" s="50" t="s">
        <v>25</v>
      </c>
      <c r="J372" s="56" t="s">
        <v>183</v>
      </c>
      <c r="K372" s="54" t="s">
        <v>13</v>
      </c>
      <c r="L372" s="23">
        <v>3000</v>
      </c>
      <c r="M372" s="24">
        <v>20</v>
      </c>
      <c r="N372" s="25">
        <f t="shared" si="11"/>
        <v>60000</v>
      </c>
      <c r="O372" s="24"/>
    </row>
    <row r="373" spans="1:15" ht="15.75" hidden="1" customHeight="1" x14ac:dyDescent="0.3">
      <c r="A373" s="24">
        <v>24</v>
      </c>
      <c r="B373" s="20" t="str">
        <f t="shared" si="10"/>
        <v>JUN</v>
      </c>
      <c r="C373" s="21">
        <v>46187</v>
      </c>
      <c r="D373" s="22" t="str">
        <f t="array" ref="D373">IFERROR(INDEX('Kode Outlet dan Target Toko'!$A:$A,MATCH($I373,'Kode Outlet dan Target Toko'!$E:$E,0)),"")</f>
        <v>GRSM 4</v>
      </c>
      <c r="E373" s="20" t="str">
        <f>IFERROR(VLOOKUP(I373,KET!$B:$F,4,0),"")</f>
        <v>FAHMI LUKMANUL HAKIM</v>
      </c>
      <c r="F373" s="20" t="str">
        <f>IFERROR(VLOOKUP(I373,KET!$B:$F,5,0),"")</f>
        <v>GMM</v>
      </c>
      <c r="G373" s="20">
        <f>IFERROR(INDEX('Kode Outlet dan Target Toko'!$C:$C,MATCH($I373,'Kode Outlet dan Target Toko'!$E:$E,0)),0)</f>
        <v>103277</v>
      </c>
      <c r="H373" s="20">
        <f>IFERROR(INDEX('Kode Outlet dan Target Toko'!$D:$D,MATCH($I373,'Kode Outlet dan Target Toko'!$E:$E,0)),0)</f>
        <v>6301424</v>
      </c>
      <c r="I373" s="50" t="s">
        <v>25</v>
      </c>
      <c r="J373" s="56" t="s">
        <v>183</v>
      </c>
      <c r="K373" s="54" t="s">
        <v>16</v>
      </c>
      <c r="L373" s="23">
        <v>3000</v>
      </c>
      <c r="M373" s="24">
        <v>160</v>
      </c>
      <c r="N373" s="25">
        <f t="shared" si="11"/>
        <v>480000</v>
      </c>
      <c r="O373" s="24">
        <v>120</v>
      </c>
    </row>
    <row r="374" spans="1:15" ht="15.75" hidden="1" customHeight="1" x14ac:dyDescent="0.3">
      <c r="A374" s="24">
        <v>24</v>
      </c>
      <c r="B374" s="20" t="str">
        <f t="shared" si="10"/>
        <v>JUN</v>
      </c>
      <c r="C374" s="21">
        <v>46187</v>
      </c>
      <c r="D374" s="22" t="str">
        <f t="array" ref="D374">IFERROR(INDEX('Kode Outlet dan Target Toko'!$A:$A,MATCH($I374,'Kode Outlet dan Target Toko'!$E:$E,0)),"")</f>
        <v>GRSM 4</v>
      </c>
      <c r="E374" s="20" t="str">
        <f>IFERROR(VLOOKUP(I374,KET!$B:$F,4,0),"")</f>
        <v>FAHMI LUKMANUL HAKIM</v>
      </c>
      <c r="F374" s="20" t="str">
        <f>IFERROR(VLOOKUP(I374,KET!$B:$F,5,0),"")</f>
        <v>GMM</v>
      </c>
      <c r="G374" s="20">
        <f>IFERROR(INDEX('Kode Outlet dan Target Toko'!$C:$C,MATCH($I374,'Kode Outlet dan Target Toko'!$E:$E,0)),0)</f>
        <v>103277</v>
      </c>
      <c r="H374" s="20">
        <f>IFERROR(INDEX('Kode Outlet dan Target Toko'!$D:$D,MATCH($I374,'Kode Outlet dan Target Toko'!$E:$E,0)),0)</f>
        <v>6301424</v>
      </c>
      <c r="I374" s="50" t="s">
        <v>25</v>
      </c>
      <c r="J374" s="19" t="s">
        <v>257</v>
      </c>
      <c r="K374" s="54" t="s">
        <v>15</v>
      </c>
      <c r="L374" s="23">
        <v>3000</v>
      </c>
      <c r="M374" s="24">
        <v>35</v>
      </c>
      <c r="N374" s="25">
        <f t="shared" si="11"/>
        <v>105000</v>
      </c>
      <c r="O374" s="24"/>
    </row>
    <row r="375" spans="1:15" ht="15.75" hidden="1" customHeight="1" x14ac:dyDescent="0.3">
      <c r="A375" s="24">
        <v>24</v>
      </c>
      <c r="B375" s="20" t="str">
        <f t="shared" si="10"/>
        <v>JUN</v>
      </c>
      <c r="C375" s="21">
        <v>46187</v>
      </c>
      <c r="D375" s="22" t="str">
        <f t="array" ref="D375">IFERROR(INDEX('Kode Outlet dan Target Toko'!$A:$A,MATCH($I375,'Kode Outlet dan Target Toko'!$E:$E,0)),"")</f>
        <v>GRSM 4</v>
      </c>
      <c r="E375" s="20" t="str">
        <f>IFERROR(VLOOKUP(I375,KET!$B:$F,4,0),"")</f>
        <v>FAHMI LUKMANUL HAKIM</v>
      </c>
      <c r="F375" s="20" t="str">
        <f>IFERROR(VLOOKUP(I375,KET!$B:$F,5,0),"")</f>
        <v>GMM</v>
      </c>
      <c r="G375" s="20">
        <f>IFERROR(INDEX('Kode Outlet dan Target Toko'!$C:$C,MATCH($I375,'Kode Outlet dan Target Toko'!$E:$E,0)),0)</f>
        <v>103277</v>
      </c>
      <c r="H375" s="20">
        <f>IFERROR(INDEX('Kode Outlet dan Target Toko'!$D:$D,MATCH($I375,'Kode Outlet dan Target Toko'!$E:$E,0)),0)</f>
        <v>6301424</v>
      </c>
      <c r="I375" s="50" t="s">
        <v>25</v>
      </c>
      <c r="J375" s="19" t="s">
        <v>257</v>
      </c>
      <c r="K375" s="54" t="s">
        <v>14</v>
      </c>
      <c r="L375" s="23">
        <v>3000</v>
      </c>
      <c r="M375" s="24">
        <v>85</v>
      </c>
      <c r="N375" s="25">
        <f t="shared" si="11"/>
        <v>255000</v>
      </c>
      <c r="O375" s="24"/>
    </row>
    <row r="376" spans="1:15" ht="15.75" hidden="1" customHeight="1" x14ac:dyDescent="0.3">
      <c r="A376" s="24">
        <v>24</v>
      </c>
      <c r="B376" s="20" t="str">
        <f t="shared" si="10"/>
        <v>JUN</v>
      </c>
      <c r="C376" s="21">
        <v>46187</v>
      </c>
      <c r="D376" s="22" t="str">
        <f t="array" ref="D376">IFERROR(INDEX('Kode Outlet dan Target Toko'!$A:$A,MATCH($I376,'Kode Outlet dan Target Toko'!$E:$E,0)),"")</f>
        <v>GRSM 4</v>
      </c>
      <c r="E376" s="20" t="str">
        <f>IFERROR(VLOOKUP(I376,KET!$B:$F,4,0),"")</f>
        <v>FAHMI LUKMANUL HAKIM</v>
      </c>
      <c r="F376" s="20" t="str">
        <f>IFERROR(VLOOKUP(I376,KET!$B:$F,5,0),"")</f>
        <v>GMM</v>
      </c>
      <c r="G376" s="20">
        <f>IFERROR(INDEX('Kode Outlet dan Target Toko'!$C:$C,MATCH($I376,'Kode Outlet dan Target Toko'!$E:$E,0)),0)</f>
        <v>103277</v>
      </c>
      <c r="H376" s="20">
        <f>IFERROR(INDEX('Kode Outlet dan Target Toko'!$D:$D,MATCH($I376,'Kode Outlet dan Target Toko'!$E:$E,0)),0)</f>
        <v>6301424</v>
      </c>
      <c r="I376" s="50" t="s">
        <v>25</v>
      </c>
      <c r="J376" s="19" t="s">
        <v>257</v>
      </c>
      <c r="K376" s="54" t="s">
        <v>13</v>
      </c>
      <c r="L376" s="23">
        <v>3000</v>
      </c>
      <c r="M376" s="24">
        <v>23</v>
      </c>
      <c r="N376" s="25">
        <f t="shared" si="11"/>
        <v>69000</v>
      </c>
      <c r="O376" s="24"/>
    </row>
    <row r="377" spans="1:15" ht="15.75" hidden="1" customHeight="1" x14ac:dyDescent="0.3">
      <c r="A377" s="24">
        <v>24</v>
      </c>
      <c r="B377" s="20" t="str">
        <f t="shared" si="10"/>
        <v>JUN</v>
      </c>
      <c r="C377" s="21">
        <v>46187</v>
      </c>
      <c r="D377" s="22" t="str">
        <f t="array" ref="D377">IFERROR(INDEX('Kode Outlet dan Target Toko'!$A:$A,MATCH($I377,'Kode Outlet dan Target Toko'!$E:$E,0)),"")</f>
        <v>GRSM 4</v>
      </c>
      <c r="E377" s="20" t="str">
        <f>IFERROR(VLOOKUP(I377,KET!$B:$F,4,0),"")</f>
        <v>FAHMI LUKMANUL HAKIM</v>
      </c>
      <c r="F377" s="20" t="str">
        <f>IFERROR(VLOOKUP(I377,KET!$B:$F,5,0),"")</f>
        <v>GMM</v>
      </c>
      <c r="G377" s="20">
        <f>IFERROR(INDEX('Kode Outlet dan Target Toko'!$C:$C,MATCH($I377,'Kode Outlet dan Target Toko'!$E:$E,0)),0)</f>
        <v>103277</v>
      </c>
      <c r="H377" s="20">
        <f>IFERROR(INDEX('Kode Outlet dan Target Toko'!$D:$D,MATCH($I377,'Kode Outlet dan Target Toko'!$E:$E,0)),0)</f>
        <v>6301424</v>
      </c>
      <c r="I377" s="50" t="s">
        <v>25</v>
      </c>
      <c r="J377" s="19" t="s">
        <v>257</v>
      </c>
      <c r="K377" s="54" t="s">
        <v>16</v>
      </c>
      <c r="L377" s="23">
        <v>3000</v>
      </c>
      <c r="M377" s="24">
        <v>152</v>
      </c>
      <c r="N377" s="25">
        <f t="shared" si="11"/>
        <v>456000</v>
      </c>
      <c r="O377" s="24">
        <v>120</v>
      </c>
    </row>
    <row r="378" spans="1:15" ht="15.75" hidden="1" customHeight="1" x14ac:dyDescent="0.3">
      <c r="A378" s="26">
        <v>25</v>
      </c>
      <c r="B378" s="20" t="str">
        <f t="shared" si="10"/>
        <v>JUN</v>
      </c>
      <c r="C378" s="28">
        <v>46188</v>
      </c>
      <c r="D378" s="22" t="str">
        <f t="array" ref="D378">IFERROR(INDEX('Kode Outlet dan Target Toko'!$A:$A,MATCH($I378,'Kode Outlet dan Target Toko'!$E:$E,0)),"")</f>
        <v>GRSM 3A</v>
      </c>
      <c r="E378" s="20" t="str">
        <f>IFERROR(VLOOKUP(I378,KET!$B:$F,4,0),"")</f>
        <v>FAHMI LUKMANUL HAKIM</v>
      </c>
      <c r="F378" s="20" t="str">
        <f>IFERROR(VLOOKUP(I378,KET!$B:$F,5,0),"")</f>
        <v>GMM</v>
      </c>
      <c r="G378" s="20">
        <f>IFERROR(INDEX('Kode Outlet dan Target Toko'!$C:$C,MATCH($I378,'Kode Outlet dan Target Toko'!$E:$E,0)),0)</f>
        <v>103272</v>
      </c>
      <c r="H378" s="20">
        <f>IFERROR(INDEX('Kode Outlet dan Target Toko'!$D:$D,MATCH($I378,'Kode Outlet dan Target Toko'!$E:$E,0)),0)</f>
        <v>1178</v>
      </c>
      <c r="I378" s="51" t="s">
        <v>22</v>
      </c>
      <c r="J378" s="27" t="s">
        <v>256</v>
      </c>
      <c r="K378" s="39" t="s">
        <v>14</v>
      </c>
      <c r="L378" s="29">
        <v>3145</v>
      </c>
      <c r="M378" s="24">
        <v>25</v>
      </c>
      <c r="N378" s="25">
        <f t="shared" si="11"/>
        <v>78625</v>
      </c>
      <c r="O378" s="24"/>
    </row>
    <row r="379" spans="1:15" ht="15.75" hidden="1" customHeight="1" x14ac:dyDescent="0.3">
      <c r="A379" s="26">
        <v>25</v>
      </c>
      <c r="B379" s="20" t="str">
        <f t="shared" si="10"/>
        <v>JUN</v>
      </c>
      <c r="C379" s="28">
        <v>46188</v>
      </c>
      <c r="D379" s="22" t="str">
        <f t="array" ref="D379">IFERROR(INDEX('Kode Outlet dan Target Toko'!$A:$A,MATCH($I379,'Kode Outlet dan Target Toko'!$E:$E,0)),"")</f>
        <v>GRSM 3A</v>
      </c>
      <c r="E379" s="20" t="str">
        <f>IFERROR(VLOOKUP(I379,KET!$B:$F,4,0),"")</f>
        <v>FAHMI LUKMANUL HAKIM</v>
      </c>
      <c r="F379" s="20" t="str">
        <f>IFERROR(VLOOKUP(I379,KET!$B:$F,5,0),"")</f>
        <v>GMM</v>
      </c>
      <c r="G379" s="20">
        <f>IFERROR(INDEX('Kode Outlet dan Target Toko'!$C:$C,MATCH($I379,'Kode Outlet dan Target Toko'!$E:$E,0)),0)</f>
        <v>103272</v>
      </c>
      <c r="H379" s="20">
        <f>IFERROR(INDEX('Kode Outlet dan Target Toko'!$D:$D,MATCH($I379,'Kode Outlet dan Target Toko'!$E:$E,0)),0)</f>
        <v>1178</v>
      </c>
      <c r="I379" s="51" t="s">
        <v>22</v>
      </c>
      <c r="J379" s="27" t="s">
        <v>256</v>
      </c>
      <c r="K379" s="39" t="s">
        <v>13</v>
      </c>
      <c r="L379" s="29">
        <v>3145</v>
      </c>
      <c r="M379" s="24">
        <v>12</v>
      </c>
      <c r="N379" s="25">
        <f t="shared" si="11"/>
        <v>37740</v>
      </c>
      <c r="O379" s="24"/>
    </row>
    <row r="380" spans="1:15" ht="15.75" hidden="1" customHeight="1" x14ac:dyDescent="0.3">
      <c r="A380" s="26">
        <v>25</v>
      </c>
      <c r="B380" s="20" t="str">
        <f t="shared" si="10"/>
        <v>JUN</v>
      </c>
      <c r="C380" s="28">
        <v>46188</v>
      </c>
      <c r="D380" s="22" t="str">
        <f t="array" ref="D380">IFERROR(INDEX('Kode Outlet dan Target Toko'!$A:$A,MATCH($I380,'Kode Outlet dan Target Toko'!$E:$E,0)),"")</f>
        <v>GRSM 3A</v>
      </c>
      <c r="E380" s="20" t="str">
        <f>IFERROR(VLOOKUP(I380,KET!$B:$F,4,0),"")</f>
        <v>FAHMI LUKMANUL HAKIM</v>
      </c>
      <c r="F380" s="20" t="str">
        <f>IFERROR(VLOOKUP(I380,KET!$B:$F,5,0),"")</f>
        <v>GMM</v>
      </c>
      <c r="G380" s="20">
        <f>IFERROR(INDEX('Kode Outlet dan Target Toko'!$C:$C,MATCH($I380,'Kode Outlet dan Target Toko'!$E:$E,0)),0)</f>
        <v>103272</v>
      </c>
      <c r="H380" s="20">
        <f>IFERROR(INDEX('Kode Outlet dan Target Toko'!$D:$D,MATCH($I380,'Kode Outlet dan Target Toko'!$E:$E,0)),0)</f>
        <v>1178</v>
      </c>
      <c r="I380" s="51" t="s">
        <v>22</v>
      </c>
      <c r="J380" s="27" t="s">
        <v>256</v>
      </c>
      <c r="K380" s="39" t="s">
        <v>16</v>
      </c>
      <c r="L380" s="29">
        <v>3145</v>
      </c>
      <c r="M380" s="24">
        <v>45</v>
      </c>
      <c r="N380" s="25">
        <f t="shared" si="11"/>
        <v>141525</v>
      </c>
      <c r="O380" s="24">
        <v>120</v>
      </c>
    </row>
    <row r="381" spans="1:15" ht="15.75" hidden="1" customHeight="1" x14ac:dyDescent="0.3">
      <c r="A381" s="26">
        <v>25</v>
      </c>
      <c r="B381" s="20" t="str">
        <f t="shared" si="10"/>
        <v>JUN</v>
      </c>
      <c r="C381" s="28">
        <v>46188</v>
      </c>
      <c r="D381" s="22" t="str">
        <f t="array" ref="D381">IFERROR(INDEX('Kode Outlet dan Target Toko'!$A:$A,MATCH($I381,'Kode Outlet dan Target Toko'!$E:$E,0)),"")</f>
        <v>GRSM 3A</v>
      </c>
      <c r="E381" s="20" t="str">
        <f>IFERROR(VLOOKUP(I381,KET!$B:$F,4,0),"")</f>
        <v>FAHMI LUKMANUL HAKIM</v>
      </c>
      <c r="F381" s="20" t="str">
        <f>IFERROR(VLOOKUP(I381,KET!$B:$F,5,0),"")</f>
        <v>GMM</v>
      </c>
      <c r="G381" s="20">
        <f>IFERROR(INDEX('Kode Outlet dan Target Toko'!$C:$C,MATCH($I381,'Kode Outlet dan Target Toko'!$E:$E,0)),0)</f>
        <v>103272</v>
      </c>
      <c r="H381" s="20">
        <f>IFERROR(INDEX('Kode Outlet dan Target Toko'!$D:$D,MATCH($I381,'Kode Outlet dan Target Toko'!$E:$E,0)),0)</f>
        <v>1178</v>
      </c>
      <c r="I381" s="51" t="s">
        <v>22</v>
      </c>
      <c r="J381" s="27" t="s">
        <v>254</v>
      </c>
      <c r="K381" s="39" t="s">
        <v>15</v>
      </c>
      <c r="L381" s="29">
        <v>3145</v>
      </c>
      <c r="M381" s="24">
        <v>16</v>
      </c>
      <c r="N381" s="25">
        <f t="shared" si="11"/>
        <v>50320</v>
      </c>
      <c r="O381" s="24"/>
    </row>
    <row r="382" spans="1:15" ht="15.75" hidden="1" customHeight="1" x14ac:dyDescent="0.3">
      <c r="A382" s="26">
        <v>25</v>
      </c>
      <c r="B382" s="20" t="str">
        <f t="shared" si="10"/>
        <v>JUN</v>
      </c>
      <c r="C382" s="28">
        <v>46188</v>
      </c>
      <c r="D382" s="22" t="str">
        <f t="array" ref="D382">IFERROR(INDEX('Kode Outlet dan Target Toko'!$A:$A,MATCH($I382,'Kode Outlet dan Target Toko'!$E:$E,0)),"")</f>
        <v>GRSM 3A</v>
      </c>
      <c r="E382" s="20" t="str">
        <f>IFERROR(VLOOKUP(I382,KET!$B:$F,4,0),"")</f>
        <v>FAHMI LUKMANUL HAKIM</v>
      </c>
      <c r="F382" s="20" t="str">
        <f>IFERROR(VLOOKUP(I382,KET!$B:$F,5,0),"")</f>
        <v>GMM</v>
      </c>
      <c r="G382" s="20">
        <f>IFERROR(INDEX('Kode Outlet dan Target Toko'!$C:$C,MATCH($I382,'Kode Outlet dan Target Toko'!$E:$E,0)),0)</f>
        <v>103272</v>
      </c>
      <c r="H382" s="20">
        <f>IFERROR(INDEX('Kode Outlet dan Target Toko'!$D:$D,MATCH($I382,'Kode Outlet dan Target Toko'!$E:$E,0)),0)</f>
        <v>1178</v>
      </c>
      <c r="I382" s="41" t="s">
        <v>22</v>
      </c>
      <c r="J382" s="56" t="s">
        <v>254</v>
      </c>
      <c r="K382" s="39" t="s">
        <v>14</v>
      </c>
      <c r="L382" s="29">
        <v>3145</v>
      </c>
      <c r="M382" s="24">
        <v>25</v>
      </c>
      <c r="N382" s="25">
        <f t="shared" si="11"/>
        <v>78625</v>
      </c>
      <c r="O382" s="24"/>
    </row>
    <row r="383" spans="1:15" ht="15.75" hidden="1" customHeight="1" x14ac:dyDescent="0.3">
      <c r="A383" s="26">
        <v>25</v>
      </c>
      <c r="B383" s="20" t="str">
        <f t="shared" si="10"/>
        <v>JUN</v>
      </c>
      <c r="C383" s="28">
        <v>46188</v>
      </c>
      <c r="D383" s="22" t="str">
        <f t="array" ref="D383">IFERROR(INDEX('Kode Outlet dan Target Toko'!$A:$A,MATCH($I383,'Kode Outlet dan Target Toko'!$E:$E,0)),"")</f>
        <v>GRSM 3A</v>
      </c>
      <c r="E383" s="20" t="str">
        <f>IFERROR(VLOOKUP(I383,KET!$B:$F,4,0),"")</f>
        <v>FAHMI LUKMANUL HAKIM</v>
      </c>
      <c r="F383" s="20" t="str">
        <f>IFERROR(VLOOKUP(I383,KET!$B:$F,5,0),"")</f>
        <v>GMM</v>
      </c>
      <c r="G383" s="20">
        <f>IFERROR(INDEX('Kode Outlet dan Target Toko'!$C:$C,MATCH($I383,'Kode Outlet dan Target Toko'!$E:$E,0)),0)</f>
        <v>103272</v>
      </c>
      <c r="H383" s="20">
        <f>IFERROR(INDEX('Kode Outlet dan Target Toko'!$D:$D,MATCH($I383,'Kode Outlet dan Target Toko'!$E:$E,0)),0)</f>
        <v>1178</v>
      </c>
      <c r="I383" s="41" t="s">
        <v>22</v>
      </c>
      <c r="J383" s="56" t="s">
        <v>254</v>
      </c>
      <c r="K383" s="39" t="s">
        <v>13</v>
      </c>
      <c r="L383" s="29">
        <v>3145</v>
      </c>
      <c r="M383" s="24">
        <v>12</v>
      </c>
      <c r="N383" s="25">
        <f t="shared" si="11"/>
        <v>37740</v>
      </c>
      <c r="O383" s="24"/>
    </row>
    <row r="384" spans="1:15" ht="15.75" hidden="1" customHeight="1" x14ac:dyDescent="0.3">
      <c r="A384" s="26">
        <v>25</v>
      </c>
      <c r="B384" s="20" t="str">
        <f t="shared" si="10"/>
        <v>JUN</v>
      </c>
      <c r="C384" s="28">
        <v>46188</v>
      </c>
      <c r="D384" s="22" t="str">
        <f t="array" ref="D384">IFERROR(INDEX('Kode Outlet dan Target Toko'!$A:$A,MATCH($I384,'Kode Outlet dan Target Toko'!$E:$E,0)),"")</f>
        <v>GRSM 3A</v>
      </c>
      <c r="E384" s="20" t="str">
        <f>IFERROR(VLOOKUP(I384,KET!$B:$F,4,0),"")</f>
        <v>FAHMI LUKMANUL HAKIM</v>
      </c>
      <c r="F384" s="20" t="str">
        <f>IFERROR(VLOOKUP(I384,KET!$B:$F,5,0),"")</f>
        <v>GMM</v>
      </c>
      <c r="G384" s="20">
        <f>IFERROR(INDEX('Kode Outlet dan Target Toko'!$C:$C,MATCH($I384,'Kode Outlet dan Target Toko'!$E:$E,0)),0)</f>
        <v>103272</v>
      </c>
      <c r="H384" s="20">
        <f>IFERROR(INDEX('Kode Outlet dan Target Toko'!$D:$D,MATCH($I384,'Kode Outlet dan Target Toko'!$E:$E,0)),0)</f>
        <v>1178</v>
      </c>
      <c r="I384" s="41" t="s">
        <v>22</v>
      </c>
      <c r="J384" s="56" t="s">
        <v>254</v>
      </c>
      <c r="K384" s="39" t="s">
        <v>16</v>
      </c>
      <c r="L384" s="29">
        <v>3145</v>
      </c>
      <c r="M384" s="24">
        <v>45</v>
      </c>
      <c r="N384" s="25">
        <f t="shared" si="11"/>
        <v>141525</v>
      </c>
      <c r="O384" s="24">
        <v>120</v>
      </c>
    </row>
    <row r="385" spans="1:15" ht="15.75" hidden="1" customHeight="1" x14ac:dyDescent="0.3">
      <c r="A385" s="26">
        <v>25</v>
      </c>
      <c r="B385" s="20" t="str">
        <f t="shared" si="10"/>
        <v>JUN</v>
      </c>
      <c r="C385" s="28">
        <v>46192</v>
      </c>
      <c r="D385" s="22" t="str">
        <f t="array" ref="D385">IFERROR(INDEX('Kode Outlet dan Target Toko'!$A:$A,MATCH($I385,'Kode Outlet dan Target Toko'!$E:$E,0)),"")</f>
        <v>GRSM 4</v>
      </c>
      <c r="E385" s="20" t="str">
        <f>IFERROR(VLOOKUP(I385,KET!$B:$F,4,0),"")</f>
        <v>FAHMI LUKMANUL HAKIM</v>
      </c>
      <c r="F385" s="20" t="str">
        <f>IFERROR(VLOOKUP(I385,KET!$B:$F,5,0),"")</f>
        <v>GMM</v>
      </c>
      <c r="G385" s="20">
        <f>IFERROR(INDEX('Kode Outlet dan Target Toko'!$C:$C,MATCH($I385,'Kode Outlet dan Target Toko'!$E:$E,0)),0)</f>
        <v>103259</v>
      </c>
      <c r="H385" s="20">
        <f>IFERROR(INDEX('Kode Outlet dan Target Toko'!$D:$D,MATCH($I385,'Kode Outlet dan Target Toko'!$E:$E,0)),0)</f>
        <v>9029389</v>
      </c>
      <c r="I385" s="41" t="s">
        <v>18</v>
      </c>
      <c r="J385" s="56" t="s">
        <v>196</v>
      </c>
      <c r="K385" s="39" t="s">
        <v>15</v>
      </c>
      <c r="L385" s="29">
        <v>2000</v>
      </c>
      <c r="M385" s="24">
        <v>45</v>
      </c>
      <c r="N385" s="25">
        <f t="shared" si="11"/>
        <v>90000</v>
      </c>
      <c r="O385" s="24"/>
    </row>
    <row r="386" spans="1:15" ht="15.75" hidden="1" customHeight="1" x14ac:dyDescent="0.3">
      <c r="A386" s="26">
        <v>25</v>
      </c>
      <c r="B386" s="20" t="str">
        <f t="shared" si="10"/>
        <v>JUN</v>
      </c>
      <c r="C386" s="28">
        <v>46192</v>
      </c>
      <c r="D386" s="22" t="str">
        <f t="array" ref="D386">IFERROR(INDEX('Kode Outlet dan Target Toko'!$A:$A,MATCH($I386,'Kode Outlet dan Target Toko'!$E:$E,0)),"")</f>
        <v>GRSM 4</v>
      </c>
      <c r="E386" s="20" t="str">
        <f>IFERROR(VLOOKUP(I386,KET!$B:$F,4,0),"")</f>
        <v>FAHMI LUKMANUL HAKIM</v>
      </c>
      <c r="F386" s="20" t="str">
        <f>IFERROR(VLOOKUP(I386,KET!$B:$F,5,0),"")</f>
        <v>GMM</v>
      </c>
      <c r="G386" s="20">
        <f>IFERROR(INDEX('Kode Outlet dan Target Toko'!$C:$C,MATCH($I386,'Kode Outlet dan Target Toko'!$E:$E,0)),0)</f>
        <v>103259</v>
      </c>
      <c r="H386" s="20">
        <f>IFERROR(INDEX('Kode Outlet dan Target Toko'!$D:$D,MATCH($I386,'Kode Outlet dan Target Toko'!$E:$E,0)),0)</f>
        <v>9029389</v>
      </c>
      <c r="I386" s="51" t="s">
        <v>18</v>
      </c>
      <c r="J386" s="27" t="s">
        <v>196</v>
      </c>
      <c r="K386" s="39" t="s">
        <v>14</v>
      </c>
      <c r="L386" s="29">
        <v>2000</v>
      </c>
      <c r="M386" s="24">
        <v>5</v>
      </c>
      <c r="N386" s="25">
        <f t="shared" si="11"/>
        <v>10000</v>
      </c>
      <c r="O386" s="24"/>
    </row>
    <row r="387" spans="1:15" ht="15.75" hidden="1" customHeight="1" x14ac:dyDescent="0.3">
      <c r="A387" s="26">
        <v>25</v>
      </c>
      <c r="B387" s="20" t="str">
        <f t="shared" si="10"/>
        <v>JUN</v>
      </c>
      <c r="C387" s="28">
        <v>46192</v>
      </c>
      <c r="D387" s="22" t="str">
        <f t="array" ref="D387">IFERROR(INDEX('Kode Outlet dan Target Toko'!$A:$A,MATCH($I387,'Kode Outlet dan Target Toko'!$E:$E,0)),"")</f>
        <v>GRSM 4</v>
      </c>
      <c r="E387" s="20" t="str">
        <f>IFERROR(VLOOKUP(I387,KET!$B:$F,4,0),"")</f>
        <v>FAHMI LUKMANUL HAKIM</v>
      </c>
      <c r="F387" s="20" t="str">
        <f>IFERROR(VLOOKUP(I387,KET!$B:$F,5,0),"")</f>
        <v>GMM</v>
      </c>
      <c r="G387" s="20">
        <f>IFERROR(INDEX('Kode Outlet dan Target Toko'!$C:$C,MATCH($I387,'Kode Outlet dan Target Toko'!$E:$E,0)),0)</f>
        <v>103259</v>
      </c>
      <c r="H387" s="20">
        <f>IFERROR(INDEX('Kode Outlet dan Target Toko'!$D:$D,MATCH($I387,'Kode Outlet dan Target Toko'!$E:$E,0)),0)</f>
        <v>9029389</v>
      </c>
      <c r="I387" s="51" t="s">
        <v>18</v>
      </c>
      <c r="J387" s="27" t="s">
        <v>196</v>
      </c>
      <c r="K387" s="39" t="s">
        <v>13</v>
      </c>
      <c r="L387" s="29">
        <v>2000</v>
      </c>
      <c r="M387" s="24">
        <v>36</v>
      </c>
      <c r="N387" s="25">
        <f t="shared" si="11"/>
        <v>72000</v>
      </c>
      <c r="O387" s="24"/>
    </row>
    <row r="388" spans="1:15" ht="15.75" hidden="1" customHeight="1" x14ac:dyDescent="0.3">
      <c r="A388" s="26">
        <v>25</v>
      </c>
      <c r="B388" s="20" t="str">
        <f t="shared" si="10"/>
        <v>JUN</v>
      </c>
      <c r="C388" s="28">
        <v>46192</v>
      </c>
      <c r="D388" s="22" t="str">
        <f t="array" ref="D388">IFERROR(INDEX('Kode Outlet dan Target Toko'!$A:$A,MATCH($I388,'Kode Outlet dan Target Toko'!$E:$E,0)),"")</f>
        <v>GRSM 4</v>
      </c>
      <c r="E388" s="20" t="str">
        <f>IFERROR(VLOOKUP(I388,KET!$B:$F,4,0),"")</f>
        <v>FAHMI LUKMANUL HAKIM</v>
      </c>
      <c r="F388" s="20" t="str">
        <f>IFERROR(VLOOKUP(I388,KET!$B:$F,5,0),"")</f>
        <v>GMM</v>
      </c>
      <c r="G388" s="20">
        <f>IFERROR(INDEX('Kode Outlet dan Target Toko'!$C:$C,MATCH($I388,'Kode Outlet dan Target Toko'!$E:$E,0)),0)</f>
        <v>103259</v>
      </c>
      <c r="H388" s="20">
        <f>IFERROR(INDEX('Kode Outlet dan Target Toko'!$D:$D,MATCH($I388,'Kode Outlet dan Target Toko'!$E:$E,0)),0)</f>
        <v>9029389</v>
      </c>
      <c r="I388" s="51" t="s">
        <v>18</v>
      </c>
      <c r="J388" s="27" t="s">
        <v>196</v>
      </c>
      <c r="K388" s="39" t="s">
        <v>16</v>
      </c>
      <c r="L388" s="29">
        <v>2000</v>
      </c>
      <c r="M388" s="24">
        <v>123</v>
      </c>
      <c r="N388" s="25">
        <f t="shared" si="11"/>
        <v>246000</v>
      </c>
      <c r="O388" s="24">
        <v>160</v>
      </c>
    </row>
    <row r="389" spans="1:15" ht="15.75" hidden="1" customHeight="1" x14ac:dyDescent="0.3">
      <c r="A389" s="26">
        <v>25</v>
      </c>
      <c r="B389" s="20" t="str">
        <f t="shared" si="10"/>
        <v>JUN</v>
      </c>
      <c r="C389" s="28">
        <v>46192</v>
      </c>
      <c r="D389" s="22" t="str">
        <f t="array" ref="D389">IFERROR(INDEX('Kode Outlet dan Target Toko'!$A:$A,MATCH($I389,'Kode Outlet dan Target Toko'!$E:$E,0)),"")</f>
        <v>GRSM 4</v>
      </c>
      <c r="E389" s="20" t="str">
        <f>IFERROR(VLOOKUP(I389,KET!$B:$F,4,0),"")</f>
        <v>FAHMI LUKMANUL HAKIM</v>
      </c>
      <c r="F389" s="20" t="str">
        <f>IFERROR(VLOOKUP(I389,KET!$B:$F,5,0),"")</f>
        <v>GMM</v>
      </c>
      <c r="G389" s="20">
        <f>IFERROR(INDEX('Kode Outlet dan Target Toko'!$C:$C,MATCH($I389,'Kode Outlet dan Target Toko'!$E:$E,0)),0)</f>
        <v>103259</v>
      </c>
      <c r="H389" s="20">
        <f>IFERROR(INDEX('Kode Outlet dan Target Toko'!$D:$D,MATCH($I389,'Kode Outlet dan Target Toko'!$E:$E,0)),0)</f>
        <v>9029389</v>
      </c>
      <c r="I389" s="51" t="s">
        <v>18</v>
      </c>
      <c r="J389" s="27" t="s">
        <v>174</v>
      </c>
      <c r="K389" s="39" t="s">
        <v>15</v>
      </c>
      <c r="L389" s="29">
        <v>2000</v>
      </c>
      <c r="M389" s="24">
        <v>54</v>
      </c>
      <c r="N389" s="25">
        <f t="shared" si="11"/>
        <v>108000</v>
      </c>
      <c r="O389" s="24"/>
    </row>
    <row r="390" spans="1:15" ht="15.75" hidden="1" customHeight="1" x14ac:dyDescent="0.3">
      <c r="A390" s="26">
        <v>25</v>
      </c>
      <c r="B390" s="20" t="str">
        <f t="shared" si="10"/>
        <v>JUN</v>
      </c>
      <c r="C390" s="28">
        <v>46192</v>
      </c>
      <c r="D390" s="22" t="str">
        <f t="array" ref="D390">IFERROR(INDEX('Kode Outlet dan Target Toko'!$A:$A,MATCH($I390,'Kode Outlet dan Target Toko'!$E:$E,0)),"")</f>
        <v>GRSM 4</v>
      </c>
      <c r="E390" s="20" t="str">
        <f>IFERROR(VLOOKUP(I390,KET!$B:$F,4,0),"")</f>
        <v>FAHMI LUKMANUL HAKIM</v>
      </c>
      <c r="F390" s="20" t="str">
        <f>IFERROR(VLOOKUP(I390,KET!$B:$F,5,0),"")</f>
        <v>GMM</v>
      </c>
      <c r="G390" s="20">
        <f>IFERROR(INDEX('Kode Outlet dan Target Toko'!$C:$C,MATCH($I390,'Kode Outlet dan Target Toko'!$E:$E,0)),0)</f>
        <v>103259</v>
      </c>
      <c r="H390" s="20">
        <f>IFERROR(INDEX('Kode Outlet dan Target Toko'!$D:$D,MATCH($I390,'Kode Outlet dan Target Toko'!$E:$E,0)),0)</f>
        <v>9029389</v>
      </c>
      <c r="I390" s="51" t="s">
        <v>18</v>
      </c>
      <c r="J390" s="27" t="s">
        <v>174</v>
      </c>
      <c r="K390" s="39" t="s">
        <v>14</v>
      </c>
      <c r="L390" s="29">
        <v>2000</v>
      </c>
      <c r="M390" s="24">
        <v>63</v>
      </c>
      <c r="N390" s="25">
        <f t="shared" si="11"/>
        <v>126000</v>
      </c>
      <c r="O390" s="24"/>
    </row>
    <row r="391" spans="1:15" ht="15.75" hidden="1" customHeight="1" x14ac:dyDescent="0.3">
      <c r="A391" s="26">
        <v>25</v>
      </c>
      <c r="B391" s="20" t="str">
        <f t="shared" ref="B391:B454" si="12">IF(C391="","",UPPER(TEXT(C391, "MMM")))</f>
        <v>JUN</v>
      </c>
      <c r="C391" s="28">
        <v>46192</v>
      </c>
      <c r="D391" s="22" t="str">
        <f t="array" ref="D391">IFERROR(INDEX('Kode Outlet dan Target Toko'!$A:$A,MATCH($I391,'Kode Outlet dan Target Toko'!$E:$E,0)),"")</f>
        <v>GRSM 4</v>
      </c>
      <c r="E391" s="20" t="str">
        <f>IFERROR(VLOOKUP(I391,KET!$B:$F,4,0),"")</f>
        <v>FAHMI LUKMANUL HAKIM</v>
      </c>
      <c r="F391" s="20" t="str">
        <f>IFERROR(VLOOKUP(I391,KET!$B:$F,5,0),"")</f>
        <v>GMM</v>
      </c>
      <c r="G391" s="20">
        <f>IFERROR(INDEX('Kode Outlet dan Target Toko'!$C:$C,MATCH($I391,'Kode Outlet dan Target Toko'!$E:$E,0)),0)</f>
        <v>103259</v>
      </c>
      <c r="H391" s="20">
        <f>IFERROR(INDEX('Kode Outlet dan Target Toko'!$D:$D,MATCH($I391,'Kode Outlet dan Target Toko'!$E:$E,0)),0)</f>
        <v>9029389</v>
      </c>
      <c r="I391" s="51" t="s">
        <v>18</v>
      </c>
      <c r="J391" s="27" t="s">
        <v>174</v>
      </c>
      <c r="K391" s="39" t="s">
        <v>13</v>
      </c>
      <c r="L391" s="29">
        <v>2000</v>
      </c>
      <c r="M391" s="24">
        <v>27</v>
      </c>
      <c r="N391" s="25">
        <f t="shared" ref="N391:N454" si="13">IFERROR(M391*L391,"")</f>
        <v>54000</v>
      </c>
      <c r="O391" s="24"/>
    </row>
    <row r="392" spans="1:15" ht="15.75" hidden="1" customHeight="1" x14ac:dyDescent="0.3">
      <c r="A392" s="26">
        <v>25</v>
      </c>
      <c r="B392" s="20" t="str">
        <f t="shared" si="12"/>
        <v>JUN</v>
      </c>
      <c r="C392" s="28">
        <v>46192</v>
      </c>
      <c r="D392" s="22" t="str">
        <f t="array" ref="D392">IFERROR(INDEX('Kode Outlet dan Target Toko'!$A:$A,MATCH($I392,'Kode Outlet dan Target Toko'!$E:$E,0)),"")</f>
        <v>GRSM 4</v>
      </c>
      <c r="E392" s="20" t="str">
        <f>IFERROR(VLOOKUP(I392,KET!$B:$F,4,0),"")</f>
        <v>FAHMI LUKMANUL HAKIM</v>
      </c>
      <c r="F392" s="20" t="str">
        <f>IFERROR(VLOOKUP(I392,KET!$B:$F,5,0),"")</f>
        <v>GMM</v>
      </c>
      <c r="G392" s="20">
        <f>IFERROR(INDEX('Kode Outlet dan Target Toko'!$C:$C,MATCH($I392,'Kode Outlet dan Target Toko'!$E:$E,0)),0)</f>
        <v>103259</v>
      </c>
      <c r="H392" s="20">
        <f>IFERROR(INDEX('Kode Outlet dan Target Toko'!$D:$D,MATCH($I392,'Kode Outlet dan Target Toko'!$E:$E,0)),0)</f>
        <v>9029389</v>
      </c>
      <c r="I392" s="51" t="s">
        <v>18</v>
      </c>
      <c r="J392" s="27" t="s">
        <v>174</v>
      </c>
      <c r="K392" s="39" t="s">
        <v>16</v>
      </c>
      <c r="L392" s="29">
        <v>2000</v>
      </c>
      <c r="M392" s="24">
        <v>78</v>
      </c>
      <c r="N392" s="25">
        <f t="shared" si="13"/>
        <v>156000</v>
      </c>
      <c r="O392" s="24">
        <v>160</v>
      </c>
    </row>
    <row r="393" spans="1:15" ht="15.75" hidden="1" customHeight="1" x14ac:dyDescent="0.3">
      <c r="A393" s="26">
        <v>25</v>
      </c>
      <c r="B393" s="20" t="str">
        <f t="shared" si="12"/>
        <v>JUN</v>
      </c>
      <c r="C393" s="28">
        <v>46192</v>
      </c>
      <c r="D393" s="22" t="str">
        <f t="array" ref="D393">IFERROR(INDEX('Kode Outlet dan Target Toko'!$A:$A,MATCH($I393,'Kode Outlet dan Target Toko'!$E:$E,0)),"")</f>
        <v>GRSM 4</v>
      </c>
      <c r="E393" s="20" t="str">
        <f>IFERROR(VLOOKUP(I393,KET!$B:$F,4,0),"")</f>
        <v>FAHMI LUKMANUL HAKIM</v>
      </c>
      <c r="F393" s="20" t="str">
        <f>IFERROR(VLOOKUP(I393,KET!$B:$F,5,0),"")</f>
        <v>GMM</v>
      </c>
      <c r="G393" s="20">
        <f>IFERROR(INDEX('Kode Outlet dan Target Toko'!$C:$C,MATCH($I393,'Kode Outlet dan Target Toko'!$E:$E,0)),0)</f>
        <v>103259</v>
      </c>
      <c r="H393" s="20">
        <f>IFERROR(INDEX('Kode Outlet dan Target Toko'!$D:$D,MATCH($I393,'Kode Outlet dan Target Toko'!$E:$E,0)),0)</f>
        <v>9013525</v>
      </c>
      <c r="I393" s="51" t="s">
        <v>24</v>
      </c>
      <c r="J393" s="45" t="s">
        <v>188</v>
      </c>
      <c r="K393" s="39" t="s">
        <v>15</v>
      </c>
      <c r="L393" s="29">
        <v>2000</v>
      </c>
      <c r="M393" s="24">
        <v>60</v>
      </c>
      <c r="N393" s="25">
        <f t="shared" si="13"/>
        <v>120000</v>
      </c>
      <c r="O393" s="24"/>
    </row>
    <row r="394" spans="1:15" ht="15.75" hidden="1" customHeight="1" x14ac:dyDescent="0.3">
      <c r="A394" s="26">
        <v>25</v>
      </c>
      <c r="B394" s="20" t="str">
        <f t="shared" si="12"/>
        <v>JUN</v>
      </c>
      <c r="C394" s="28">
        <v>46192</v>
      </c>
      <c r="D394" s="22" t="str">
        <f t="array" ref="D394">IFERROR(INDEX('Kode Outlet dan Target Toko'!$A:$A,MATCH($I394,'Kode Outlet dan Target Toko'!$E:$E,0)),"")</f>
        <v>GRSM 4</v>
      </c>
      <c r="E394" s="20" t="str">
        <f>IFERROR(VLOOKUP(I394,KET!$B:$F,4,0),"")</f>
        <v>FAHMI LUKMANUL HAKIM</v>
      </c>
      <c r="F394" s="20" t="str">
        <f>IFERROR(VLOOKUP(I394,KET!$B:$F,5,0),"")</f>
        <v>GMM</v>
      </c>
      <c r="G394" s="20">
        <f>IFERROR(INDEX('Kode Outlet dan Target Toko'!$C:$C,MATCH($I394,'Kode Outlet dan Target Toko'!$E:$E,0)),0)</f>
        <v>103259</v>
      </c>
      <c r="H394" s="20">
        <f>IFERROR(INDEX('Kode Outlet dan Target Toko'!$D:$D,MATCH($I394,'Kode Outlet dan Target Toko'!$E:$E,0)),0)</f>
        <v>9013525</v>
      </c>
      <c r="I394" s="51" t="s">
        <v>24</v>
      </c>
      <c r="J394" s="45" t="s">
        <v>188</v>
      </c>
      <c r="K394" s="39" t="s">
        <v>14</v>
      </c>
      <c r="L394" s="29">
        <v>2000</v>
      </c>
      <c r="M394" s="24">
        <v>48</v>
      </c>
      <c r="N394" s="25">
        <f t="shared" si="13"/>
        <v>96000</v>
      </c>
      <c r="O394" s="24"/>
    </row>
    <row r="395" spans="1:15" ht="15.75" hidden="1" customHeight="1" x14ac:dyDescent="0.3">
      <c r="A395" s="26">
        <v>25</v>
      </c>
      <c r="B395" s="20" t="str">
        <f t="shared" si="12"/>
        <v>JUN</v>
      </c>
      <c r="C395" s="28">
        <v>46192</v>
      </c>
      <c r="D395" s="22" t="str">
        <f t="array" ref="D395">IFERROR(INDEX('Kode Outlet dan Target Toko'!$A:$A,MATCH($I395,'Kode Outlet dan Target Toko'!$E:$E,0)),"")</f>
        <v>GRSM 4</v>
      </c>
      <c r="E395" s="20" t="str">
        <f>IFERROR(VLOOKUP(I395,KET!$B:$F,4,0),"")</f>
        <v>FAHMI LUKMANUL HAKIM</v>
      </c>
      <c r="F395" s="20" t="str">
        <f>IFERROR(VLOOKUP(I395,KET!$B:$F,5,0),"")</f>
        <v>GMM</v>
      </c>
      <c r="G395" s="20">
        <f>IFERROR(INDEX('Kode Outlet dan Target Toko'!$C:$C,MATCH($I395,'Kode Outlet dan Target Toko'!$E:$E,0)),0)</f>
        <v>103259</v>
      </c>
      <c r="H395" s="20">
        <f>IFERROR(INDEX('Kode Outlet dan Target Toko'!$D:$D,MATCH($I395,'Kode Outlet dan Target Toko'!$E:$E,0)),0)</f>
        <v>9013525</v>
      </c>
      <c r="I395" s="51" t="s">
        <v>24</v>
      </c>
      <c r="J395" s="45" t="s">
        <v>188</v>
      </c>
      <c r="K395" s="39" t="s">
        <v>13</v>
      </c>
      <c r="L395" s="29">
        <v>2000</v>
      </c>
      <c r="M395" s="24">
        <v>42</v>
      </c>
      <c r="N395" s="25">
        <f t="shared" si="13"/>
        <v>84000</v>
      </c>
      <c r="O395" s="24"/>
    </row>
    <row r="396" spans="1:15" ht="15.75" hidden="1" customHeight="1" x14ac:dyDescent="0.3">
      <c r="A396" s="26">
        <v>25</v>
      </c>
      <c r="B396" s="20" t="str">
        <f t="shared" si="12"/>
        <v>JUN</v>
      </c>
      <c r="C396" s="28">
        <v>46192</v>
      </c>
      <c r="D396" s="22" t="str">
        <f t="array" ref="D396">IFERROR(INDEX('Kode Outlet dan Target Toko'!$A:$A,MATCH($I396,'Kode Outlet dan Target Toko'!$E:$E,0)),"")</f>
        <v>GRSM 4</v>
      </c>
      <c r="E396" s="20" t="str">
        <f>IFERROR(VLOOKUP(I396,KET!$B:$F,4,0),"")</f>
        <v>FAHMI LUKMANUL HAKIM</v>
      </c>
      <c r="F396" s="20" t="str">
        <f>IFERROR(VLOOKUP(I396,KET!$B:$F,5,0),"")</f>
        <v>GMM</v>
      </c>
      <c r="G396" s="20">
        <f>IFERROR(INDEX('Kode Outlet dan Target Toko'!$C:$C,MATCH($I396,'Kode Outlet dan Target Toko'!$E:$E,0)),0)</f>
        <v>103259</v>
      </c>
      <c r="H396" s="20">
        <f>IFERROR(INDEX('Kode Outlet dan Target Toko'!$D:$D,MATCH($I396,'Kode Outlet dan Target Toko'!$E:$E,0)),0)</f>
        <v>9013525</v>
      </c>
      <c r="I396" s="51" t="s">
        <v>24</v>
      </c>
      <c r="J396" s="45" t="s">
        <v>188</v>
      </c>
      <c r="K396" s="39" t="s">
        <v>16</v>
      </c>
      <c r="L396" s="29">
        <v>2000</v>
      </c>
      <c r="M396" s="24">
        <v>120</v>
      </c>
      <c r="N396" s="25">
        <f t="shared" si="13"/>
        <v>240000</v>
      </c>
      <c r="O396" s="24">
        <v>150</v>
      </c>
    </row>
    <row r="397" spans="1:15" ht="15.75" hidden="1" customHeight="1" x14ac:dyDescent="0.3">
      <c r="A397" s="26">
        <v>25</v>
      </c>
      <c r="B397" s="20" t="str">
        <f t="shared" si="12"/>
        <v>JUN</v>
      </c>
      <c r="C397" s="28">
        <v>46192</v>
      </c>
      <c r="D397" s="22" t="str">
        <f t="array" ref="D397">IFERROR(INDEX('Kode Outlet dan Target Toko'!$A:$A,MATCH($I397,'Kode Outlet dan Target Toko'!$E:$E,0)),"")</f>
        <v>GRSM 4</v>
      </c>
      <c r="E397" s="20" t="str">
        <f>IFERROR(VLOOKUP(I397,KET!$B:$F,4,0),"")</f>
        <v>FAHMI LUKMANUL HAKIM</v>
      </c>
      <c r="F397" s="20" t="str">
        <f>IFERROR(VLOOKUP(I397,KET!$B:$F,5,0),"")</f>
        <v>GMM</v>
      </c>
      <c r="G397" s="20">
        <f>IFERROR(INDEX('Kode Outlet dan Target Toko'!$C:$C,MATCH($I397,'Kode Outlet dan Target Toko'!$E:$E,0)),0)</f>
        <v>103259</v>
      </c>
      <c r="H397" s="20">
        <f>IFERROR(INDEX('Kode Outlet dan Target Toko'!$D:$D,MATCH($I397,'Kode Outlet dan Target Toko'!$E:$E,0)),0)</f>
        <v>9013525</v>
      </c>
      <c r="I397" s="51" t="s">
        <v>24</v>
      </c>
      <c r="J397" s="27" t="s">
        <v>189</v>
      </c>
      <c r="K397" s="39" t="s">
        <v>15</v>
      </c>
      <c r="L397" s="29">
        <v>2000</v>
      </c>
      <c r="M397" s="24">
        <v>60</v>
      </c>
      <c r="N397" s="25">
        <f t="shared" si="13"/>
        <v>120000</v>
      </c>
      <c r="O397" s="24"/>
    </row>
    <row r="398" spans="1:15" ht="15.75" hidden="1" customHeight="1" x14ac:dyDescent="0.3">
      <c r="A398" s="26">
        <v>25</v>
      </c>
      <c r="B398" s="20" t="str">
        <f t="shared" si="12"/>
        <v>JUN</v>
      </c>
      <c r="C398" s="28">
        <v>46192</v>
      </c>
      <c r="D398" s="22" t="str">
        <f t="array" ref="D398">IFERROR(INDEX('Kode Outlet dan Target Toko'!$A:$A,MATCH($I398,'Kode Outlet dan Target Toko'!$E:$E,0)),"")</f>
        <v>GRSM 4</v>
      </c>
      <c r="E398" s="20" t="str">
        <f>IFERROR(VLOOKUP(I398,KET!$B:$F,4,0),"")</f>
        <v>FAHMI LUKMANUL HAKIM</v>
      </c>
      <c r="F398" s="20" t="str">
        <f>IFERROR(VLOOKUP(I398,KET!$B:$F,5,0),"")</f>
        <v>GMM</v>
      </c>
      <c r="G398" s="20">
        <f>IFERROR(INDEX('Kode Outlet dan Target Toko'!$C:$C,MATCH($I398,'Kode Outlet dan Target Toko'!$E:$E,0)),0)</f>
        <v>103259</v>
      </c>
      <c r="H398" s="20">
        <f>IFERROR(INDEX('Kode Outlet dan Target Toko'!$D:$D,MATCH($I398,'Kode Outlet dan Target Toko'!$E:$E,0)),0)</f>
        <v>9013525</v>
      </c>
      <c r="I398" s="51" t="s">
        <v>24</v>
      </c>
      <c r="J398" s="27" t="s">
        <v>189</v>
      </c>
      <c r="K398" s="39" t="s">
        <v>14</v>
      </c>
      <c r="L398" s="29">
        <v>2000</v>
      </c>
      <c r="M398" s="24">
        <v>48</v>
      </c>
      <c r="N398" s="25">
        <f t="shared" si="13"/>
        <v>96000</v>
      </c>
      <c r="O398" s="24"/>
    </row>
    <row r="399" spans="1:15" ht="15.75" hidden="1" customHeight="1" x14ac:dyDescent="0.3">
      <c r="A399" s="26">
        <v>25</v>
      </c>
      <c r="B399" s="20" t="str">
        <f t="shared" si="12"/>
        <v>JUN</v>
      </c>
      <c r="C399" s="28">
        <v>46192</v>
      </c>
      <c r="D399" s="22" t="str">
        <f t="array" ref="D399">IFERROR(INDEX('Kode Outlet dan Target Toko'!$A:$A,MATCH($I399,'Kode Outlet dan Target Toko'!$E:$E,0)),"")</f>
        <v>GRSM 4</v>
      </c>
      <c r="E399" s="20" t="str">
        <f>IFERROR(VLOOKUP(I399,KET!$B:$F,4,0),"")</f>
        <v>FAHMI LUKMANUL HAKIM</v>
      </c>
      <c r="F399" s="20" t="str">
        <f>IFERROR(VLOOKUP(I399,KET!$B:$F,5,0),"")</f>
        <v>GMM</v>
      </c>
      <c r="G399" s="20">
        <f>IFERROR(INDEX('Kode Outlet dan Target Toko'!$C:$C,MATCH($I399,'Kode Outlet dan Target Toko'!$E:$E,0)),0)</f>
        <v>103259</v>
      </c>
      <c r="H399" s="20">
        <f>IFERROR(INDEX('Kode Outlet dan Target Toko'!$D:$D,MATCH($I399,'Kode Outlet dan Target Toko'!$E:$E,0)),0)</f>
        <v>9013525</v>
      </c>
      <c r="I399" s="51" t="s">
        <v>24</v>
      </c>
      <c r="J399" s="27" t="s">
        <v>189</v>
      </c>
      <c r="K399" s="39" t="s">
        <v>13</v>
      </c>
      <c r="L399" s="29">
        <v>2000</v>
      </c>
      <c r="M399" s="24">
        <v>42</v>
      </c>
      <c r="N399" s="25">
        <f t="shared" si="13"/>
        <v>84000</v>
      </c>
      <c r="O399" s="24"/>
    </row>
    <row r="400" spans="1:15" ht="15.75" hidden="1" customHeight="1" x14ac:dyDescent="0.3">
      <c r="A400" s="26">
        <v>25</v>
      </c>
      <c r="B400" s="20" t="str">
        <f t="shared" si="12"/>
        <v>JUN</v>
      </c>
      <c r="C400" s="28">
        <v>46192</v>
      </c>
      <c r="D400" s="22" t="str">
        <f t="array" ref="D400">IFERROR(INDEX('Kode Outlet dan Target Toko'!$A:$A,MATCH($I400,'Kode Outlet dan Target Toko'!$E:$E,0)),"")</f>
        <v>GRSM 4</v>
      </c>
      <c r="E400" s="20" t="str">
        <f>IFERROR(VLOOKUP(I400,KET!$B:$F,4,0),"")</f>
        <v>FAHMI LUKMANUL HAKIM</v>
      </c>
      <c r="F400" s="20" t="str">
        <f>IFERROR(VLOOKUP(I400,KET!$B:$F,5,0),"")</f>
        <v>GMM</v>
      </c>
      <c r="G400" s="20">
        <f>IFERROR(INDEX('Kode Outlet dan Target Toko'!$C:$C,MATCH($I400,'Kode Outlet dan Target Toko'!$E:$E,0)),0)</f>
        <v>103259</v>
      </c>
      <c r="H400" s="20">
        <f>IFERROR(INDEX('Kode Outlet dan Target Toko'!$D:$D,MATCH($I400,'Kode Outlet dan Target Toko'!$E:$E,0)),0)</f>
        <v>9013525</v>
      </c>
      <c r="I400" s="51" t="s">
        <v>24</v>
      </c>
      <c r="J400" s="27" t="s">
        <v>189</v>
      </c>
      <c r="K400" s="39" t="s">
        <v>16</v>
      </c>
      <c r="L400" s="29">
        <v>2000</v>
      </c>
      <c r="M400" s="24">
        <v>120</v>
      </c>
      <c r="N400" s="25">
        <f t="shared" si="13"/>
        <v>240000</v>
      </c>
      <c r="O400" s="24">
        <v>150</v>
      </c>
    </row>
    <row r="401" spans="1:15" ht="15.75" hidden="1" customHeight="1" x14ac:dyDescent="0.3">
      <c r="A401" s="26">
        <v>25</v>
      </c>
      <c r="B401" s="20" t="str">
        <f t="shared" si="12"/>
        <v>JUN</v>
      </c>
      <c r="C401" s="28">
        <v>46192</v>
      </c>
      <c r="D401" s="22" t="str">
        <f t="array" ref="D401">IFERROR(INDEX('Kode Outlet dan Target Toko'!$A:$A,MATCH($I401,'Kode Outlet dan Target Toko'!$E:$E,0)),"")</f>
        <v>GRSM 4</v>
      </c>
      <c r="E401" s="20" t="str">
        <f>IFERROR(VLOOKUP(I401,KET!$B:$F,4,0),"")</f>
        <v>FAHMI LUKMANUL HAKIM</v>
      </c>
      <c r="F401" s="20" t="str">
        <f>IFERROR(VLOOKUP(I401,KET!$B:$F,5,0),"")</f>
        <v>GMM</v>
      </c>
      <c r="G401" s="20">
        <f>IFERROR(INDEX('Kode Outlet dan Target Toko'!$C:$C,MATCH($I401,'Kode Outlet dan Target Toko'!$E:$E,0)),0)</f>
        <v>189901</v>
      </c>
      <c r="H401" s="20">
        <f>IFERROR(INDEX('Kode Outlet dan Target Toko'!$D:$D,MATCH($I401,'Kode Outlet dan Target Toko'!$E:$E,0)),0)</f>
        <v>1602020</v>
      </c>
      <c r="I401" s="51" t="s">
        <v>20</v>
      </c>
      <c r="J401" s="27" t="s">
        <v>198</v>
      </c>
      <c r="K401" s="39" t="s">
        <v>15</v>
      </c>
      <c r="L401" s="29">
        <v>2200</v>
      </c>
      <c r="M401" s="24">
        <v>42</v>
      </c>
      <c r="N401" s="25">
        <f t="shared" si="13"/>
        <v>92400</v>
      </c>
      <c r="O401" s="24"/>
    </row>
    <row r="402" spans="1:15" ht="15.75" hidden="1" customHeight="1" x14ac:dyDescent="0.3">
      <c r="A402" s="26">
        <v>25</v>
      </c>
      <c r="B402" s="20" t="str">
        <f t="shared" si="12"/>
        <v>JUN</v>
      </c>
      <c r="C402" s="28">
        <v>46192</v>
      </c>
      <c r="D402" s="22" t="str">
        <f t="array" ref="D402">IFERROR(INDEX('Kode Outlet dan Target Toko'!$A:$A,MATCH($I402,'Kode Outlet dan Target Toko'!$E:$E,0)),"")</f>
        <v>GRSM 4</v>
      </c>
      <c r="E402" s="20" t="str">
        <f>IFERROR(VLOOKUP(I402,KET!$B:$F,4,0),"")</f>
        <v>FAHMI LUKMANUL HAKIM</v>
      </c>
      <c r="F402" s="20" t="str">
        <f>IFERROR(VLOOKUP(I402,KET!$B:$F,5,0),"")</f>
        <v>GMM</v>
      </c>
      <c r="G402" s="20">
        <f>IFERROR(INDEX('Kode Outlet dan Target Toko'!$C:$C,MATCH($I402,'Kode Outlet dan Target Toko'!$E:$E,0)),0)</f>
        <v>189901</v>
      </c>
      <c r="H402" s="20">
        <f>IFERROR(INDEX('Kode Outlet dan Target Toko'!$D:$D,MATCH($I402,'Kode Outlet dan Target Toko'!$E:$E,0)),0)</f>
        <v>1602020</v>
      </c>
      <c r="I402" s="41" t="s">
        <v>20</v>
      </c>
      <c r="J402" s="27" t="s">
        <v>198</v>
      </c>
      <c r="K402" s="39" t="s">
        <v>14</v>
      </c>
      <c r="L402" s="23">
        <v>2200</v>
      </c>
      <c r="M402" s="24">
        <v>71</v>
      </c>
      <c r="N402" s="25">
        <f t="shared" si="13"/>
        <v>156200</v>
      </c>
      <c r="O402" s="24"/>
    </row>
    <row r="403" spans="1:15" ht="15.75" hidden="1" customHeight="1" x14ac:dyDescent="0.3">
      <c r="A403" s="26">
        <v>25</v>
      </c>
      <c r="B403" s="20" t="str">
        <f t="shared" si="12"/>
        <v>JUN</v>
      </c>
      <c r="C403" s="28">
        <v>46192</v>
      </c>
      <c r="D403" s="22" t="str">
        <f t="array" ref="D403">IFERROR(INDEX('Kode Outlet dan Target Toko'!$A:$A,MATCH($I403,'Kode Outlet dan Target Toko'!$E:$E,0)),"")</f>
        <v>GRSM 4</v>
      </c>
      <c r="E403" s="20" t="str">
        <f>IFERROR(VLOOKUP(I403,KET!$B:$F,4,0),"")</f>
        <v>FAHMI LUKMANUL HAKIM</v>
      </c>
      <c r="F403" s="20" t="str">
        <f>IFERROR(VLOOKUP(I403,KET!$B:$F,5,0),"")</f>
        <v>GMM</v>
      </c>
      <c r="G403" s="20">
        <f>IFERROR(INDEX('Kode Outlet dan Target Toko'!$C:$C,MATCH($I403,'Kode Outlet dan Target Toko'!$E:$E,0)),0)</f>
        <v>189901</v>
      </c>
      <c r="H403" s="20">
        <f>IFERROR(INDEX('Kode Outlet dan Target Toko'!$D:$D,MATCH($I403,'Kode Outlet dan Target Toko'!$E:$E,0)),0)</f>
        <v>1602020</v>
      </c>
      <c r="I403" s="41" t="s">
        <v>20</v>
      </c>
      <c r="J403" s="27" t="s">
        <v>198</v>
      </c>
      <c r="K403" s="39" t="s">
        <v>13</v>
      </c>
      <c r="L403" s="23">
        <v>2200</v>
      </c>
      <c r="M403" s="24">
        <v>35</v>
      </c>
      <c r="N403" s="25">
        <f t="shared" si="13"/>
        <v>77000</v>
      </c>
      <c r="O403" s="24"/>
    </row>
    <row r="404" spans="1:15" ht="15.75" hidden="1" customHeight="1" x14ac:dyDescent="0.3">
      <c r="A404" s="26">
        <v>25</v>
      </c>
      <c r="B404" s="20" t="str">
        <f t="shared" si="12"/>
        <v>JUN</v>
      </c>
      <c r="C404" s="28">
        <v>46192</v>
      </c>
      <c r="D404" s="22" t="str">
        <f t="array" ref="D404">IFERROR(INDEX('Kode Outlet dan Target Toko'!$A:$A,MATCH($I404,'Kode Outlet dan Target Toko'!$E:$E,0)),"")</f>
        <v>GRSM 4</v>
      </c>
      <c r="E404" s="20" t="str">
        <f>IFERROR(VLOOKUP(I404,KET!$B:$F,4,0),"")</f>
        <v>FAHMI LUKMANUL HAKIM</v>
      </c>
      <c r="F404" s="20" t="str">
        <f>IFERROR(VLOOKUP(I404,KET!$B:$F,5,0),"")</f>
        <v>GMM</v>
      </c>
      <c r="G404" s="20">
        <f>IFERROR(INDEX('Kode Outlet dan Target Toko'!$C:$C,MATCH($I404,'Kode Outlet dan Target Toko'!$E:$E,0)),0)</f>
        <v>189901</v>
      </c>
      <c r="H404" s="20">
        <f>IFERROR(INDEX('Kode Outlet dan Target Toko'!$D:$D,MATCH($I404,'Kode Outlet dan Target Toko'!$E:$E,0)),0)</f>
        <v>1602020</v>
      </c>
      <c r="I404" s="41" t="s">
        <v>20</v>
      </c>
      <c r="J404" s="27" t="s">
        <v>198</v>
      </c>
      <c r="K404" s="39" t="s">
        <v>16</v>
      </c>
      <c r="L404" s="23">
        <v>2200</v>
      </c>
      <c r="M404" s="24">
        <v>85</v>
      </c>
      <c r="N404" s="25">
        <f t="shared" si="13"/>
        <v>187000</v>
      </c>
      <c r="O404" s="24">
        <v>120</v>
      </c>
    </row>
    <row r="405" spans="1:15" ht="15.75" hidden="1" customHeight="1" x14ac:dyDescent="0.3">
      <c r="A405" s="26">
        <v>25</v>
      </c>
      <c r="B405" s="20" t="str">
        <f t="shared" si="12"/>
        <v>JUN</v>
      </c>
      <c r="C405" s="28">
        <v>46192</v>
      </c>
      <c r="D405" s="22" t="str">
        <f t="array" ref="D405">IFERROR(INDEX('Kode Outlet dan Target Toko'!$A:$A,MATCH($I405,'Kode Outlet dan Target Toko'!$E:$E,0)),"")</f>
        <v>GRSM 4</v>
      </c>
      <c r="E405" s="20" t="str">
        <f>IFERROR(VLOOKUP(I405,KET!$B:$F,4,0),"")</f>
        <v>FAHMI LUKMANUL HAKIM</v>
      </c>
      <c r="F405" s="20" t="str">
        <f>IFERROR(VLOOKUP(I405,KET!$B:$F,5,0),"")</f>
        <v>GMM</v>
      </c>
      <c r="G405" s="20">
        <f>IFERROR(INDEX('Kode Outlet dan Target Toko'!$C:$C,MATCH($I405,'Kode Outlet dan Target Toko'!$E:$E,0)),0)</f>
        <v>189901</v>
      </c>
      <c r="H405" s="20">
        <f>IFERROR(INDEX('Kode Outlet dan Target Toko'!$D:$D,MATCH($I405,'Kode Outlet dan Target Toko'!$E:$E,0)),0)</f>
        <v>1602020</v>
      </c>
      <c r="I405" s="41" t="s">
        <v>20</v>
      </c>
      <c r="J405" s="56" t="s">
        <v>253</v>
      </c>
      <c r="K405" s="39" t="s">
        <v>15</v>
      </c>
      <c r="L405" s="23">
        <v>2200</v>
      </c>
      <c r="M405" s="24">
        <v>34</v>
      </c>
      <c r="N405" s="25">
        <f t="shared" si="13"/>
        <v>74800</v>
      </c>
      <c r="O405" s="24"/>
    </row>
    <row r="406" spans="1:15" ht="15.75" hidden="1" customHeight="1" x14ac:dyDescent="0.3">
      <c r="A406" s="26">
        <v>25</v>
      </c>
      <c r="B406" s="20" t="str">
        <f t="shared" si="12"/>
        <v>JUN</v>
      </c>
      <c r="C406" s="28">
        <v>46192</v>
      </c>
      <c r="D406" s="22" t="str">
        <f t="array" ref="D406">IFERROR(INDEX('Kode Outlet dan Target Toko'!$A:$A,MATCH($I406,'Kode Outlet dan Target Toko'!$E:$E,0)),"")</f>
        <v>GRSM 4</v>
      </c>
      <c r="E406" s="20" t="str">
        <f>IFERROR(VLOOKUP(I406,KET!$B:$F,4,0),"")</f>
        <v>FAHMI LUKMANUL HAKIM</v>
      </c>
      <c r="F406" s="20" t="str">
        <f>IFERROR(VLOOKUP(I406,KET!$B:$F,5,0),"")</f>
        <v>GMM</v>
      </c>
      <c r="G406" s="20">
        <f>IFERROR(INDEX('Kode Outlet dan Target Toko'!$C:$C,MATCH($I406,'Kode Outlet dan Target Toko'!$E:$E,0)),0)</f>
        <v>189901</v>
      </c>
      <c r="H406" s="20">
        <f>IFERROR(INDEX('Kode Outlet dan Target Toko'!$D:$D,MATCH($I406,'Kode Outlet dan Target Toko'!$E:$E,0)),0)</f>
        <v>1602020</v>
      </c>
      <c r="I406" s="41" t="s">
        <v>20</v>
      </c>
      <c r="J406" s="56" t="s">
        <v>253</v>
      </c>
      <c r="K406" s="39" t="s">
        <v>14</v>
      </c>
      <c r="L406" s="23">
        <v>2200</v>
      </c>
      <c r="M406" s="24">
        <v>57</v>
      </c>
      <c r="N406" s="25">
        <f t="shared" si="13"/>
        <v>125400</v>
      </c>
      <c r="O406" s="24"/>
    </row>
    <row r="407" spans="1:15" ht="15.75" hidden="1" customHeight="1" x14ac:dyDescent="0.3">
      <c r="A407" s="26">
        <v>25</v>
      </c>
      <c r="B407" s="20" t="str">
        <f t="shared" si="12"/>
        <v>JUN</v>
      </c>
      <c r="C407" s="28">
        <v>46192</v>
      </c>
      <c r="D407" s="22" t="str">
        <f t="array" ref="D407">IFERROR(INDEX('Kode Outlet dan Target Toko'!$A:$A,MATCH($I407,'Kode Outlet dan Target Toko'!$E:$E,0)),"")</f>
        <v>GRSM 4</v>
      </c>
      <c r="E407" s="20" t="str">
        <f>IFERROR(VLOOKUP(I407,KET!$B:$F,4,0),"")</f>
        <v>FAHMI LUKMANUL HAKIM</v>
      </c>
      <c r="F407" s="20" t="str">
        <f>IFERROR(VLOOKUP(I407,KET!$B:$F,5,0),"")</f>
        <v>GMM</v>
      </c>
      <c r="G407" s="20">
        <f>IFERROR(INDEX('Kode Outlet dan Target Toko'!$C:$C,MATCH($I407,'Kode Outlet dan Target Toko'!$E:$E,0)),0)</f>
        <v>189901</v>
      </c>
      <c r="H407" s="20">
        <f>IFERROR(INDEX('Kode Outlet dan Target Toko'!$D:$D,MATCH($I407,'Kode Outlet dan Target Toko'!$E:$E,0)),0)</f>
        <v>1602020</v>
      </c>
      <c r="I407" s="41" t="s">
        <v>20</v>
      </c>
      <c r="J407" s="56" t="s">
        <v>253</v>
      </c>
      <c r="K407" s="39" t="s">
        <v>13</v>
      </c>
      <c r="L407" s="23">
        <v>2200</v>
      </c>
      <c r="M407" s="24">
        <v>39</v>
      </c>
      <c r="N407" s="25">
        <f t="shared" si="13"/>
        <v>85800</v>
      </c>
      <c r="O407" s="24"/>
    </row>
    <row r="408" spans="1:15" ht="15.75" hidden="1" customHeight="1" x14ac:dyDescent="0.3">
      <c r="A408" s="26">
        <v>25</v>
      </c>
      <c r="B408" s="20" t="str">
        <f t="shared" si="12"/>
        <v>JUN</v>
      </c>
      <c r="C408" s="28">
        <v>46192</v>
      </c>
      <c r="D408" s="22" t="str">
        <f t="array" ref="D408">IFERROR(INDEX('Kode Outlet dan Target Toko'!$A:$A,MATCH($I408,'Kode Outlet dan Target Toko'!$E:$E,0)),"")</f>
        <v>GRSM 4</v>
      </c>
      <c r="E408" s="20" t="str">
        <f>IFERROR(VLOOKUP(I408,KET!$B:$F,4,0),"")</f>
        <v>FAHMI LUKMANUL HAKIM</v>
      </c>
      <c r="F408" s="20" t="str">
        <f>IFERROR(VLOOKUP(I408,KET!$B:$F,5,0),"")</f>
        <v>GMM</v>
      </c>
      <c r="G408" s="20">
        <f>IFERROR(INDEX('Kode Outlet dan Target Toko'!$C:$C,MATCH($I408,'Kode Outlet dan Target Toko'!$E:$E,0)),0)</f>
        <v>189901</v>
      </c>
      <c r="H408" s="20">
        <f>IFERROR(INDEX('Kode Outlet dan Target Toko'!$D:$D,MATCH($I408,'Kode Outlet dan Target Toko'!$E:$E,0)),0)</f>
        <v>1602020</v>
      </c>
      <c r="I408" s="41" t="s">
        <v>20</v>
      </c>
      <c r="J408" s="56" t="s">
        <v>253</v>
      </c>
      <c r="K408" s="39" t="s">
        <v>16</v>
      </c>
      <c r="L408" s="23">
        <v>2200</v>
      </c>
      <c r="M408" s="24">
        <v>79</v>
      </c>
      <c r="N408" s="25">
        <f t="shared" si="13"/>
        <v>173800</v>
      </c>
      <c r="O408" s="24">
        <v>120</v>
      </c>
    </row>
    <row r="409" spans="1:15" ht="15.75" hidden="1" customHeight="1" x14ac:dyDescent="0.3">
      <c r="A409" s="26">
        <v>25</v>
      </c>
      <c r="B409" s="20" t="str">
        <f t="shared" si="12"/>
        <v>JUN</v>
      </c>
      <c r="C409" s="28">
        <v>46192</v>
      </c>
      <c r="D409" s="22" t="str">
        <f t="array" ref="D409">IFERROR(INDEX('Kode Outlet dan Target Toko'!$A:$A,MATCH($I409,'Kode Outlet dan Target Toko'!$E:$E,0)),"")</f>
        <v>GRSM 4</v>
      </c>
      <c r="E409" s="20" t="str">
        <f>IFERROR(VLOOKUP(I409,KET!$B:$F,4,0),"")</f>
        <v>FAHMI LUKMANUL HAKIM</v>
      </c>
      <c r="F409" s="20" t="str">
        <f>IFERROR(VLOOKUP(I409,KET!$B:$F,5,0),"")</f>
        <v>GMM</v>
      </c>
      <c r="G409" s="20">
        <f>IFERROR(INDEX('Kode Outlet dan Target Toko'!$C:$C,MATCH($I409,'Kode Outlet dan Target Toko'!$E:$E,0)),0)</f>
        <v>103257</v>
      </c>
      <c r="H409" s="20">
        <f>IFERROR(INDEX('Kode Outlet dan Target Toko'!$D:$D,MATCH($I409,'Kode Outlet dan Target Toko'!$E:$E,0)),0)</f>
        <v>9162509</v>
      </c>
      <c r="I409" s="41" t="s">
        <v>23</v>
      </c>
      <c r="J409" s="27" t="s">
        <v>180</v>
      </c>
      <c r="K409" s="39" t="s">
        <v>15</v>
      </c>
      <c r="L409" s="23">
        <v>3200</v>
      </c>
      <c r="M409" s="24">
        <v>39</v>
      </c>
      <c r="N409" s="25">
        <f t="shared" si="13"/>
        <v>124800</v>
      </c>
      <c r="O409" s="24"/>
    </row>
    <row r="410" spans="1:15" ht="15.75" hidden="1" customHeight="1" x14ac:dyDescent="0.3">
      <c r="A410" s="26">
        <v>25</v>
      </c>
      <c r="B410" s="20" t="str">
        <f t="shared" si="12"/>
        <v>JUN</v>
      </c>
      <c r="C410" s="28">
        <v>46192</v>
      </c>
      <c r="D410" s="22" t="str">
        <f t="array" ref="D410">IFERROR(INDEX('Kode Outlet dan Target Toko'!$A:$A,MATCH($I410,'Kode Outlet dan Target Toko'!$E:$E,0)),"")</f>
        <v>GRSM 4</v>
      </c>
      <c r="E410" s="20" t="str">
        <f>IFERROR(VLOOKUP(I410,KET!$B:$F,4,0),"")</f>
        <v>FAHMI LUKMANUL HAKIM</v>
      </c>
      <c r="F410" s="20" t="str">
        <f>IFERROR(VLOOKUP(I410,KET!$B:$F,5,0),"")</f>
        <v>GMM</v>
      </c>
      <c r="G410" s="20">
        <f>IFERROR(INDEX('Kode Outlet dan Target Toko'!$C:$C,MATCH($I410,'Kode Outlet dan Target Toko'!$E:$E,0)),0)</f>
        <v>103257</v>
      </c>
      <c r="H410" s="20">
        <f>IFERROR(INDEX('Kode Outlet dan Target Toko'!$D:$D,MATCH($I410,'Kode Outlet dan Target Toko'!$E:$E,0)),0)</f>
        <v>9162509</v>
      </c>
      <c r="I410" s="41" t="s">
        <v>23</v>
      </c>
      <c r="J410" s="27" t="s">
        <v>180</v>
      </c>
      <c r="K410" s="39" t="s">
        <v>14</v>
      </c>
      <c r="L410" s="29">
        <v>3200</v>
      </c>
      <c r="M410" s="24">
        <v>32</v>
      </c>
      <c r="N410" s="25">
        <f t="shared" si="13"/>
        <v>102400</v>
      </c>
      <c r="O410" s="24"/>
    </row>
    <row r="411" spans="1:15" ht="15.75" hidden="1" customHeight="1" x14ac:dyDescent="0.3">
      <c r="A411" s="26">
        <v>25</v>
      </c>
      <c r="B411" s="20" t="str">
        <f t="shared" si="12"/>
        <v>JUN</v>
      </c>
      <c r="C411" s="28">
        <v>46192</v>
      </c>
      <c r="D411" s="22" t="str">
        <f t="array" ref="D411">IFERROR(INDEX('Kode Outlet dan Target Toko'!$A:$A,MATCH($I411,'Kode Outlet dan Target Toko'!$E:$E,0)),"")</f>
        <v>GRSM 4</v>
      </c>
      <c r="E411" s="20" t="str">
        <f>IFERROR(VLOOKUP(I411,KET!$B:$F,4,0),"")</f>
        <v>FAHMI LUKMANUL HAKIM</v>
      </c>
      <c r="F411" s="20" t="str">
        <f>IFERROR(VLOOKUP(I411,KET!$B:$F,5,0),"")</f>
        <v>GMM</v>
      </c>
      <c r="G411" s="20">
        <f>IFERROR(INDEX('Kode Outlet dan Target Toko'!$C:$C,MATCH($I411,'Kode Outlet dan Target Toko'!$E:$E,0)),0)</f>
        <v>103257</v>
      </c>
      <c r="H411" s="20">
        <f>IFERROR(INDEX('Kode Outlet dan Target Toko'!$D:$D,MATCH($I411,'Kode Outlet dan Target Toko'!$E:$E,0)),0)</f>
        <v>9162509</v>
      </c>
      <c r="I411" s="41" t="s">
        <v>23</v>
      </c>
      <c r="J411" s="27" t="s">
        <v>180</v>
      </c>
      <c r="K411" s="39" t="s">
        <v>13</v>
      </c>
      <c r="L411" s="29">
        <v>3200</v>
      </c>
      <c r="M411" s="24">
        <v>33</v>
      </c>
      <c r="N411" s="25">
        <f t="shared" si="13"/>
        <v>105600</v>
      </c>
      <c r="O411" s="24"/>
    </row>
    <row r="412" spans="1:15" ht="15.75" hidden="1" customHeight="1" x14ac:dyDescent="0.3">
      <c r="A412" s="26">
        <v>25</v>
      </c>
      <c r="B412" s="20" t="str">
        <f t="shared" si="12"/>
        <v>JUN</v>
      </c>
      <c r="C412" s="28">
        <v>46192</v>
      </c>
      <c r="D412" s="22" t="str">
        <f t="array" ref="D412">IFERROR(INDEX('Kode Outlet dan Target Toko'!$A:$A,MATCH($I412,'Kode Outlet dan Target Toko'!$E:$E,0)),"")</f>
        <v>GRSM 4</v>
      </c>
      <c r="E412" s="20" t="str">
        <f>IFERROR(VLOOKUP(I412,KET!$B:$F,4,0),"")</f>
        <v>FAHMI LUKMANUL HAKIM</v>
      </c>
      <c r="F412" s="20" t="str">
        <f>IFERROR(VLOOKUP(I412,KET!$B:$F,5,0),"")</f>
        <v>GMM</v>
      </c>
      <c r="G412" s="20">
        <f>IFERROR(INDEX('Kode Outlet dan Target Toko'!$C:$C,MATCH($I412,'Kode Outlet dan Target Toko'!$E:$E,0)),0)</f>
        <v>103257</v>
      </c>
      <c r="H412" s="20">
        <f>IFERROR(INDEX('Kode Outlet dan Target Toko'!$D:$D,MATCH($I412,'Kode Outlet dan Target Toko'!$E:$E,0)),0)</f>
        <v>9162509</v>
      </c>
      <c r="I412" s="41" t="s">
        <v>23</v>
      </c>
      <c r="J412" s="27" t="s">
        <v>180</v>
      </c>
      <c r="K412" s="39" t="s">
        <v>16</v>
      </c>
      <c r="L412" s="29">
        <v>3200</v>
      </c>
      <c r="M412" s="24">
        <v>83</v>
      </c>
      <c r="N412" s="25">
        <f t="shared" si="13"/>
        <v>265600</v>
      </c>
      <c r="O412" s="24">
        <v>160</v>
      </c>
    </row>
    <row r="413" spans="1:15" ht="15.75" hidden="1" customHeight="1" x14ac:dyDescent="0.3">
      <c r="A413" s="26">
        <v>25</v>
      </c>
      <c r="B413" s="20" t="str">
        <f t="shared" si="12"/>
        <v>JUN</v>
      </c>
      <c r="C413" s="28">
        <v>46192</v>
      </c>
      <c r="D413" s="22" t="str">
        <f t="array" ref="D413">IFERROR(INDEX('Kode Outlet dan Target Toko'!$A:$A,MATCH($I413,'Kode Outlet dan Target Toko'!$E:$E,0)),"")</f>
        <v>GRSM 4</v>
      </c>
      <c r="E413" s="20" t="str">
        <f>IFERROR(VLOOKUP(I413,KET!$B:$F,4,0),"")</f>
        <v>FAHMI LUKMANUL HAKIM</v>
      </c>
      <c r="F413" s="20" t="str">
        <f>IFERROR(VLOOKUP(I413,KET!$B:$F,5,0),"")</f>
        <v>GMM</v>
      </c>
      <c r="G413" s="20">
        <f>IFERROR(INDEX('Kode Outlet dan Target Toko'!$C:$C,MATCH($I413,'Kode Outlet dan Target Toko'!$E:$E,0)),0)</f>
        <v>103257</v>
      </c>
      <c r="H413" s="20">
        <f>IFERROR(INDEX('Kode Outlet dan Target Toko'!$D:$D,MATCH($I413,'Kode Outlet dan Target Toko'!$E:$E,0)),0)</f>
        <v>9162509</v>
      </c>
      <c r="I413" s="41" t="s">
        <v>23</v>
      </c>
      <c r="J413" s="56" t="s">
        <v>181</v>
      </c>
      <c r="K413" s="39" t="s">
        <v>15</v>
      </c>
      <c r="L413" s="29">
        <v>3200</v>
      </c>
      <c r="M413" s="24">
        <v>38</v>
      </c>
      <c r="N413" s="25">
        <f t="shared" si="13"/>
        <v>121600</v>
      </c>
      <c r="O413" s="24"/>
    </row>
    <row r="414" spans="1:15" ht="15.75" hidden="1" customHeight="1" x14ac:dyDescent="0.3">
      <c r="A414" s="26">
        <v>25</v>
      </c>
      <c r="B414" s="20" t="str">
        <f t="shared" si="12"/>
        <v>JUN</v>
      </c>
      <c r="C414" s="28">
        <v>46192</v>
      </c>
      <c r="D414" s="22" t="str">
        <f t="array" ref="D414">IFERROR(INDEX('Kode Outlet dan Target Toko'!$A:$A,MATCH($I414,'Kode Outlet dan Target Toko'!$E:$E,0)),"")</f>
        <v>GRSM 4</v>
      </c>
      <c r="E414" s="20" t="str">
        <f>IFERROR(VLOOKUP(I414,KET!$B:$F,4,0),"")</f>
        <v>FAHMI LUKMANUL HAKIM</v>
      </c>
      <c r="F414" s="20" t="str">
        <f>IFERROR(VLOOKUP(I414,KET!$B:$F,5,0),"")</f>
        <v>GMM</v>
      </c>
      <c r="G414" s="20">
        <f>IFERROR(INDEX('Kode Outlet dan Target Toko'!$C:$C,MATCH($I414,'Kode Outlet dan Target Toko'!$E:$E,0)),0)</f>
        <v>103257</v>
      </c>
      <c r="H414" s="20">
        <f>IFERROR(INDEX('Kode Outlet dan Target Toko'!$D:$D,MATCH($I414,'Kode Outlet dan Target Toko'!$E:$E,0)),0)</f>
        <v>9162509</v>
      </c>
      <c r="I414" s="41" t="s">
        <v>23</v>
      </c>
      <c r="J414" s="56" t="s">
        <v>181</v>
      </c>
      <c r="K414" s="39" t="s">
        <v>14</v>
      </c>
      <c r="L414" s="29">
        <v>3200</v>
      </c>
      <c r="M414" s="24">
        <v>32</v>
      </c>
      <c r="N414" s="25">
        <f t="shared" si="13"/>
        <v>102400</v>
      </c>
      <c r="O414" s="24"/>
    </row>
    <row r="415" spans="1:15" ht="15.75" hidden="1" customHeight="1" x14ac:dyDescent="0.3">
      <c r="A415" s="26">
        <v>25</v>
      </c>
      <c r="B415" s="20" t="str">
        <f t="shared" si="12"/>
        <v>JUN</v>
      </c>
      <c r="C415" s="28">
        <v>46192</v>
      </c>
      <c r="D415" s="22" t="str">
        <f t="array" ref="D415">IFERROR(INDEX('Kode Outlet dan Target Toko'!$A:$A,MATCH($I415,'Kode Outlet dan Target Toko'!$E:$E,0)),"")</f>
        <v>GRSM 4</v>
      </c>
      <c r="E415" s="20" t="str">
        <f>IFERROR(VLOOKUP(I415,KET!$B:$F,4,0),"")</f>
        <v>FAHMI LUKMANUL HAKIM</v>
      </c>
      <c r="F415" s="20" t="str">
        <f>IFERROR(VLOOKUP(I415,KET!$B:$F,5,0),"")</f>
        <v>GMM</v>
      </c>
      <c r="G415" s="20">
        <f>IFERROR(INDEX('Kode Outlet dan Target Toko'!$C:$C,MATCH($I415,'Kode Outlet dan Target Toko'!$E:$E,0)),0)</f>
        <v>103257</v>
      </c>
      <c r="H415" s="20">
        <f>IFERROR(INDEX('Kode Outlet dan Target Toko'!$D:$D,MATCH($I415,'Kode Outlet dan Target Toko'!$E:$E,0)),0)</f>
        <v>9162509</v>
      </c>
      <c r="I415" s="41" t="s">
        <v>23</v>
      </c>
      <c r="J415" s="56" t="s">
        <v>181</v>
      </c>
      <c r="K415" s="39" t="s">
        <v>13</v>
      </c>
      <c r="L415" s="29">
        <v>3200</v>
      </c>
      <c r="M415" s="24">
        <v>30</v>
      </c>
      <c r="N415" s="25">
        <f t="shared" si="13"/>
        <v>96000</v>
      </c>
      <c r="O415" s="24"/>
    </row>
    <row r="416" spans="1:15" ht="15.75" hidden="1" customHeight="1" x14ac:dyDescent="0.3">
      <c r="A416" s="26">
        <v>25</v>
      </c>
      <c r="B416" s="20" t="str">
        <f t="shared" si="12"/>
        <v>JUN</v>
      </c>
      <c r="C416" s="28">
        <v>46192</v>
      </c>
      <c r="D416" s="22" t="str">
        <f t="array" ref="D416">IFERROR(INDEX('Kode Outlet dan Target Toko'!$A:$A,MATCH($I416,'Kode Outlet dan Target Toko'!$E:$E,0)),"")</f>
        <v>GRSM 4</v>
      </c>
      <c r="E416" s="20" t="str">
        <f>IFERROR(VLOOKUP(I416,KET!$B:$F,4,0),"")</f>
        <v>FAHMI LUKMANUL HAKIM</v>
      </c>
      <c r="F416" s="20" t="str">
        <f>IFERROR(VLOOKUP(I416,KET!$B:$F,5,0),"")</f>
        <v>GMM</v>
      </c>
      <c r="G416" s="20">
        <f>IFERROR(INDEX('Kode Outlet dan Target Toko'!$C:$C,MATCH($I416,'Kode Outlet dan Target Toko'!$E:$E,0)),0)</f>
        <v>103257</v>
      </c>
      <c r="H416" s="20">
        <f>IFERROR(INDEX('Kode Outlet dan Target Toko'!$D:$D,MATCH($I416,'Kode Outlet dan Target Toko'!$E:$E,0)),0)</f>
        <v>9162509</v>
      </c>
      <c r="I416" s="41" t="s">
        <v>23</v>
      </c>
      <c r="J416" s="56" t="s">
        <v>181</v>
      </c>
      <c r="K416" s="39" t="s">
        <v>16</v>
      </c>
      <c r="L416" s="29">
        <v>3200</v>
      </c>
      <c r="M416" s="24">
        <v>80</v>
      </c>
      <c r="N416" s="25">
        <f t="shared" si="13"/>
        <v>256000</v>
      </c>
      <c r="O416" s="24">
        <v>160</v>
      </c>
    </row>
    <row r="417" spans="1:15" ht="15.75" hidden="1" customHeight="1" x14ac:dyDescent="0.3">
      <c r="A417" s="26">
        <v>25</v>
      </c>
      <c r="B417" s="20" t="str">
        <f t="shared" si="12"/>
        <v>JUN</v>
      </c>
      <c r="C417" s="28">
        <v>46192</v>
      </c>
      <c r="D417" s="22" t="str">
        <f t="array" ref="D417">IFERROR(INDEX('Kode Outlet dan Target Toko'!$A:$A,MATCH($I417,'Kode Outlet dan Target Toko'!$E:$E,0)),"")</f>
        <v>GRSM 4</v>
      </c>
      <c r="E417" s="20" t="str">
        <f>IFERROR(VLOOKUP(I417,KET!$B:$F,4,0),"")</f>
        <v>FAHMI LUKMANUL HAKIM</v>
      </c>
      <c r="F417" s="20" t="str">
        <f>IFERROR(VLOOKUP(I417,KET!$B:$F,5,0),"")</f>
        <v>GMM</v>
      </c>
      <c r="G417" s="20">
        <f>IFERROR(INDEX('Kode Outlet dan Target Toko'!$C:$C,MATCH($I417,'Kode Outlet dan Target Toko'!$E:$E,0)),0)</f>
        <v>103277</v>
      </c>
      <c r="H417" s="20">
        <f>IFERROR(INDEX('Kode Outlet dan Target Toko'!$D:$D,MATCH($I417,'Kode Outlet dan Target Toko'!$E:$E,0)),0)</f>
        <v>6300538</v>
      </c>
      <c r="I417" s="51" t="s">
        <v>19</v>
      </c>
      <c r="J417" s="27" t="s">
        <v>251</v>
      </c>
      <c r="K417" s="39" t="s">
        <v>15</v>
      </c>
      <c r="L417" s="29">
        <v>2975</v>
      </c>
      <c r="M417" s="24">
        <v>67</v>
      </c>
      <c r="N417" s="25">
        <f t="shared" si="13"/>
        <v>199325</v>
      </c>
      <c r="O417" s="24"/>
    </row>
    <row r="418" spans="1:15" ht="15.75" hidden="1" customHeight="1" x14ac:dyDescent="0.3">
      <c r="A418" s="26">
        <v>25</v>
      </c>
      <c r="B418" s="20" t="str">
        <f t="shared" si="12"/>
        <v>JUN</v>
      </c>
      <c r="C418" s="28">
        <v>46192</v>
      </c>
      <c r="D418" s="22" t="str">
        <f t="array" ref="D418">IFERROR(INDEX('Kode Outlet dan Target Toko'!$A:$A,MATCH($I418,'Kode Outlet dan Target Toko'!$E:$E,0)),"")</f>
        <v>GRSM 4</v>
      </c>
      <c r="E418" s="20" t="str">
        <f>IFERROR(VLOOKUP(I418,KET!$B:$F,4,0),"")</f>
        <v>FAHMI LUKMANUL HAKIM</v>
      </c>
      <c r="F418" s="20" t="str">
        <f>IFERROR(VLOOKUP(I418,KET!$B:$F,5,0),"")</f>
        <v>GMM</v>
      </c>
      <c r="G418" s="20">
        <f>IFERROR(INDEX('Kode Outlet dan Target Toko'!$C:$C,MATCH($I418,'Kode Outlet dan Target Toko'!$E:$E,0)),0)</f>
        <v>103277</v>
      </c>
      <c r="H418" s="20">
        <f>IFERROR(INDEX('Kode Outlet dan Target Toko'!$D:$D,MATCH($I418,'Kode Outlet dan Target Toko'!$E:$E,0)),0)</f>
        <v>6300538</v>
      </c>
      <c r="I418" s="41" t="s">
        <v>19</v>
      </c>
      <c r="J418" s="19" t="s">
        <v>251</v>
      </c>
      <c r="K418" s="39" t="s">
        <v>14</v>
      </c>
      <c r="L418" s="23">
        <v>2975</v>
      </c>
      <c r="M418" s="24">
        <v>77</v>
      </c>
      <c r="N418" s="25">
        <f t="shared" si="13"/>
        <v>229075</v>
      </c>
      <c r="O418" s="24"/>
    </row>
    <row r="419" spans="1:15" ht="15.75" hidden="1" customHeight="1" x14ac:dyDescent="0.3">
      <c r="A419" s="26">
        <v>25</v>
      </c>
      <c r="B419" s="20" t="str">
        <f t="shared" si="12"/>
        <v>JUN</v>
      </c>
      <c r="C419" s="28">
        <v>46192</v>
      </c>
      <c r="D419" s="22" t="str">
        <f t="array" ref="D419">IFERROR(INDEX('Kode Outlet dan Target Toko'!$A:$A,MATCH($I419,'Kode Outlet dan Target Toko'!$E:$E,0)),"")</f>
        <v>GRSM 4</v>
      </c>
      <c r="E419" s="20" t="str">
        <f>IFERROR(VLOOKUP(I419,KET!$B:$F,4,0),"")</f>
        <v>FAHMI LUKMANUL HAKIM</v>
      </c>
      <c r="F419" s="20" t="str">
        <f>IFERROR(VLOOKUP(I419,KET!$B:$F,5,0),"")</f>
        <v>GMM</v>
      </c>
      <c r="G419" s="20">
        <f>IFERROR(INDEX('Kode Outlet dan Target Toko'!$C:$C,MATCH($I419,'Kode Outlet dan Target Toko'!$E:$E,0)),0)</f>
        <v>103277</v>
      </c>
      <c r="H419" s="20">
        <f>IFERROR(INDEX('Kode Outlet dan Target Toko'!$D:$D,MATCH($I419,'Kode Outlet dan Target Toko'!$E:$E,0)),0)</f>
        <v>6300538</v>
      </c>
      <c r="I419" s="41" t="s">
        <v>19</v>
      </c>
      <c r="J419" s="19" t="s">
        <v>251</v>
      </c>
      <c r="K419" s="39" t="s">
        <v>13</v>
      </c>
      <c r="L419" s="23">
        <v>2975</v>
      </c>
      <c r="M419" s="24">
        <v>56</v>
      </c>
      <c r="N419" s="25">
        <f t="shared" si="13"/>
        <v>166600</v>
      </c>
      <c r="O419" s="24"/>
    </row>
    <row r="420" spans="1:15" ht="15.75" hidden="1" customHeight="1" x14ac:dyDescent="0.3">
      <c r="A420" s="26">
        <v>25</v>
      </c>
      <c r="B420" s="20" t="str">
        <f t="shared" si="12"/>
        <v>JUN</v>
      </c>
      <c r="C420" s="28">
        <v>46192</v>
      </c>
      <c r="D420" s="22" t="str">
        <f t="array" ref="D420">IFERROR(INDEX('Kode Outlet dan Target Toko'!$A:$A,MATCH($I420,'Kode Outlet dan Target Toko'!$E:$E,0)),"")</f>
        <v>GRSM 4</v>
      </c>
      <c r="E420" s="20" t="str">
        <f>IFERROR(VLOOKUP(I420,KET!$B:$F,4,0),"")</f>
        <v>FAHMI LUKMANUL HAKIM</v>
      </c>
      <c r="F420" s="20" t="str">
        <f>IFERROR(VLOOKUP(I420,KET!$B:$F,5,0),"")</f>
        <v>GMM</v>
      </c>
      <c r="G420" s="20">
        <f>IFERROR(INDEX('Kode Outlet dan Target Toko'!$C:$C,MATCH($I420,'Kode Outlet dan Target Toko'!$E:$E,0)),0)</f>
        <v>103277</v>
      </c>
      <c r="H420" s="20">
        <f>IFERROR(INDEX('Kode Outlet dan Target Toko'!$D:$D,MATCH($I420,'Kode Outlet dan Target Toko'!$E:$E,0)),0)</f>
        <v>6300538</v>
      </c>
      <c r="I420" s="41" t="s">
        <v>19</v>
      </c>
      <c r="J420" s="19" t="s">
        <v>251</v>
      </c>
      <c r="K420" s="39" t="s">
        <v>16</v>
      </c>
      <c r="L420" s="23">
        <v>2975</v>
      </c>
      <c r="M420" s="24">
        <v>201</v>
      </c>
      <c r="N420" s="25">
        <f t="shared" si="13"/>
        <v>597975</v>
      </c>
      <c r="O420" s="24">
        <v>160</v>
      </c>
    </row>
    <row r="421" spans="1:15" ht="15.75" hidden="1" customHeight="1" x14ac:dyDescent="0.3">
      <c r="A421" s="26">
        <v>25</v>
      </c>
      <c r="B421" s="20" t="str">
        <f t="shared" si="12"/>
        <v>JUN</v>
      </c>
      <c r="C421" s="28">
        <v>46192</v>
      </c>
      <c r="D421" s="22" t="str">
        <f t="array" ref="D421">IFERROR(INDEX('Kode Outlet dan Target Toko'!$A:$A,MATCH($I421,'Kode Outlet dan Target Toko'!$E:$E,0)),"")</f>
        <v>GRSM 4</v>
      </c>
      <c r="E421" s="20" t="str">
        <f>IFERROR(VLOOKUP(I421,KET!$B:$F,4,0),"")</f>
        <v>FAHMI LUKMANUL HAKIM</v>
      </c>
      <c r="F421" s="20" t="str">
        <f>IFERROR(VLOOKUP(I421,KET!$B:$F,5,0),"")</f>
        <v>GMM</v>
      </c>
      <c r="G421" s="20">
        <f>IFERROR(INDEX('Kode Outlet dan Target Toko'!$C:$C,MATCH($I421,'Kode Outlet dan Target Toko'!$E:$E,0)),0)</f>
        <v>103277</v>
      </c>
      <c r="H421" s="20">
        <f>IFERROR(INDEX('Kode Outlet dan Target Toko'!$D:$D,MATCH($I421,'Kode Outlet dan Target Toko'!$E:$E,0)),0)</f>
        <v>6300538</v>
      </c>
      <c r="I421" s="41" t="s">
        <v>19</v>
      </c>
      <c r="J421" s="19" t="s">
        <v>252</v>
      </c>
      <c r="K421" s="39" t="s">
        <v>15</v>
      </c>
      <c r="L421" s="23">
        <v>2975</v>
      </c>
      <c r="M421" s="24">
        <v>50</v>
      </c>
      <c r="N421" s="25">
        <f t="shared" si="13"/>
        <v>148750</v>
      </c>
      <c r="O421" s="24"/>
    </row>
    <row r="422" spans="1:15" ht="15.75" hidden="1" customHeight="1" x14ac:dyDescent="0.3">
      <c r="A422" s="26">
        <v>25</v>
      </c>
      <c r="B422" s="20" t="str">
        <f t="shared" si="12"/>
        <v>JUN</v>
      </c>
      <c r="C422" s="28">
        <v>46192</v>
      </c>
      <c r="D422" s="22" t="str">
        <f t="array" ref="D422">IFERROR(INDEX('Kode Outlet dan Target Toko'!$A:$A,MATCH($I422,'Kode Outlet dan Target Toko'!$E:$E,0)),"")</f>
        <v>GRSM 4</v>
      </c>
      <c r="E422" s="20" t="str">
        <f>IFERROR(VLOOKUP(I422,KET!$B:$F,4,0),"")</f>
        <v>FAHMI LUKMANUL HAKIM</v>
      </c>
      <c r="F422" s="20" t="str">
        <f>IFERROR(VLOOKUP(I422,KET!$B:$F,5,0),"")</f>
        <v>GMM</v>
      </c>
      <c r="G422" s="20">
        <f>IFERROR(INDEX('Kode Outlet dan Target Toko'!$C:$C,MATCH($I422,'Kode Outlet dan Target Toko'!$E:$E,0)),0)</f>
        <v>103277</v>
      </c>
      <c r="H422" s="20">
        <f>IFERROR(INDEX('Kode Outlet dan Target Toko'!$D:$D,MATCH($I422,'Kode Outlet dan Target Toko'!$E:$E,0)),0)</f>
        <v>6300538</v>
      </c>
      <c r="I422" s="41" t="s">
        <v>19</v>
      </c>
      <c r="J422" s="19" t="s">
        <v>252</v>
      </c>
      <c r="K422" s="39" t="s">
        <v>14</v>
      </c>
      <c r="L422" s="23">
        <v>2975</v>
      </c>
      <c r="M422" s="24">
        <v>75</v>
      </c>
      <c r="N422" s="25">
        <f t="shared" si="13"/>
        <v>223125</v>
      </c>
      <c r="O422" s="24"/>
    </row>
    <row r="423" spans="1:15" ht="15.75" hidden="1" customHeight="1" x14ac:dyDescent="0.3">
      <c r="A423" s="26">
        <v>25</v>
      </c>
      <c r="B423" s="20" t="str">
        <f t="shared" si="12"/>
        <v>JUN</v>
      </c>
      <c r="C423" s="28">
        <v>46192</v>
      </c>
      <c r="D423" s="22" t="str">
        <f t="array" ref="D423">IFERROR(INDEX('Kode Outlet dan Target Toko'!$A:$A,MATCH($I423,'Kode Outlet dan Target Toko'!$E:$E,0)),"")</f>
        <v>GRSM 4</v>
      </c>
      <c r="E423" s="20" t="str">
        <f>IFERROR(VLOOKUP(I423,KET!$B:$F,4,0),"")</f>
        <v>FAHMI LUKMANUL HAKIM</v>
      </c>
      <c r="F423" s="20" t="str">
        <f>IFERROR(VLOOKUP(I423,KET!$B:$F,5,0),"")</f>
        <v>GMM</v>
      </c>
      <c r="G423" s="20">
        <f>IFERROR(INDEX('Kode Outlet dan Target Toko'!$C:$C,MATCH($I423,'Kode Outlet dan Target Toko'!$E:$E,0)),0)</f>
        <v>103277</v>
      </c>
      <c r="H423" s="20">
        <f>IFERROR(INDEX('Kode Outlet dan Target Toko'!$D:$D,MATCH($I423,'Kode Outlet dan Target Toko'!$E:$E,0)),0)</f>
        <v>6300538</v>
      </c>
      <c r="I423" s="41" t="s">
        <v>19</v>
      </c>
      <c r="J423" s="19" t="s">
        <v>252</v>
      </c>
      <c r="K423" s="39" t="s">
        <v>13</v>
      </c>
      <c r="L423" s="23">
        <v>2975</v>
      </c>
      <c r="M423" s="24">
        <v>46</v>
      </c>
      <c r="N423" s="25">
        <f t="shared" si="13"/>
        <v>136850</v>
      </c>
      <c r="O423" s="24"/>
    </row>
    <row r="424" spans="1:15" ht="15.75" hidden="1" customHeight="1" x14ac:dyDescent="0.3">
      <c r="A424" s="26">
        <v>25</v>
      </c>
      <c r="B424" s="20" t="str">
        <f t="shared" si="12"/>
        <v>JUN</v>
      </c>
      <c r="C424" s="28">
        <v>46192</v>
      </c>
      <c r="D424" s="22" t="str">
        <f t="array" ref="D424">IFERROR(INDEX('Kode Outlet dan Target Toko'!$A:$A,MATCH($I424,'Kode Outlet dan Target Toko'!$E:$E,0)),"")</f>
        <v>GRSM 4</v>
      </c>
      <c r="E424" s="20" t="str">
        <f>IFERROR(VLOOKUP(I424,KET!$B:$F,4,0),"")</f>
        <v>FAHMI LUKMANUL HAKIM</v>
      </c>
      <c r="F424" s="20" t="str">
        <f>IFERROR(VLOOKUP(I424,KET!$B:$F,5,0),"")</f>
        <v>GMM</v>
      </c>
      <c r="G424" s="20">
        <f>IFERROR(INDEX('Kode Outlet dan Target Toko'!$C:$C,MATCH($I424,'Kode Outlet dan Target Toko'!$E:$E,0)),0)</f>
        <v>103277</v>
      </c>
      <c r="H424" s="20">
        <f>IFERROR(INDEX('Kode Outlet dan Target Toko'!$D:$D,MATCH($I424,'Kode Outlet dan Target Toko'!$E:$E,0)),0)</f>
        <v>6300538</v>
      </c>
      <c r="I424" s="41" t="s">
        <v>19</v>
      </c>
      <c r="J424" s="19" t="s">
        <v>252</v>
      </c>
      <c r="K424" s="39" t="s">
        <v>16</v>
      </c>
      <c r="L424" s="23">
        <v>2975</v>
      </c>
      <c r="M424" s="24">
        <v>97</v>
      </c>
      <c r="N424" s="25">
        <f t="shared" si="13"/>
        <v>288575</v>
      </c>
      <c r="O424" s="24">
        <v>160</v>
      </c>
    </row>
    <row r="425" spans="1:15" ht="15.75" hidden="1" customHeight="1" x14ac:dyDescent="0.3">
      <c r="A425" s="26">
        <v>25</v>
      </c>
      <c r="B425" s="20" t="str">
        <f t="shared" si="12"/>
        <v>JUN</v>
      </c>
      <c r="C425" s="28">
        <v>46192</v>
      </c>
      <c r="D425" s="22" t="str">
        <f t="array" ref="D425">IFERROR(INDEX('Kode Outlet dan Target Toko'!$A:$A,MATCH($I425,'Kode Outlet dan Target Toko'!$E:$E,0)),"")</f>
        <v>GRSM 4</v>
      </c>
      <c r="E425" s="20" t="str">
        <f>IFERROR(VLOOKUP(I425,KET!$B:$F,4,0),"")</f>
        <v>FAHMI LUKMANUL HAKIM</v>
      </c>
      <c r="F425" s="20" t="str">
        <f>IFERROR(VLOOKUP(I425,KET!$B:$F,5,0),"")</f>
        <v>GMM</v>
      </c>
      <c r="G425" s="20">
        <f>IFERROR(INDEX('Kode Outlet dan Target Toko'!$C:$C,MATCH($I425,'Kode Outlet dan Target Toko'!$E:$E,0)),0)</f>
        <v>103277</v>
      </c>
      <c r="H425" s="20">
        <f>IFERROR(INDEX('Kode Outlet dan Target Toko'!$D:$D,MATCH($I425,'Kode Outlet dan Target Toko'!$E:$E,0)),0)</f>
        <v>6301424</v>
      </c>
      <c r="I425" s="41" t="s">
        <v>25</v>
      </c>
      <c r="J425" s="56" t="s">
        <v>183</v>
      </c>
      <c r="K425" s="39" t="s">
        <v>15</v>
      </c>
      <c r="L425" s="23">
        <v>3000</v>
      </c>
      <c r="M425" s="24">
        <v>38</v>
      </c>
      <c r="N425" s="25">
        <f t="shared" si="13"/>
        <v>114000</v>
      </c>
      <c r="O425" s="24"/>
    </row>
    <row r="426" spans="1:15" ht="15.75" hidden="1" customHeight="1" x14ac:dyDescent="0.3">
      <c r="A426" s="26">
        <v>25</v>
      </c>
      <c r="B426" s="20" t="str">
        <f t="shared" si="12"/>
        <v>JUN</v>
      </c>
      <c r="C426" s="28">
        <v>46192</v>
      </c>
      <c r="D426" s="22" t="str">
        <f t="array" ref="D426">IFERROR(INDEX('Kode Outlet dan Target Toko'!$A:$A,MATCH($I426,'Kode Outlet dan Target Toko'!$E:$E,0)),"")</f>
        <v>GRSM 4</v>
      </c>
      <c r="E426" s="20" t="str">
        <f>IFERROR(VLOOKUP(I426,KET!$B:$F,4,0),"")</f>
        <v>FAHMI LUKMANUL HAKIM</v>
      </c>
      <c r="F426" s="20" t="str">
        <f>IFERROR(VLOOKUP(I426,KET!$B:$F,5,0),"")</f>
        <v>GMM</v>
      </c>
      <c r="G426" s="20">
        <f>IFERROR(INDEX('Kode Outlet dan Target Toko'!$C:$C,MATCH($I426,'Kode Outlet dan Target Toko'!$E:$E,0)),0)</f>
        <v>103277</v>
      </c>
      <c r="H426" s="20">
        <f>IFERROR(INDEX('Kode Outlet dan Target Toko'!$D:$D,MATCH($I426,'Kode Outlet dan Target Toko'!$E:$E,0)),0)</f>
        <v>6301424</v>
      </c>
      <c r="I426" s="41" t="s">
        <v>25</v>
      </c>
      <c r="J426" s="56" t="s">
        <v>183</v>
      </c>
      <c r="K426" s="39" t="s">
        <v>14</v>
      </c>
      <c r="L426" s="23">
        <v>3000</v>
      </c>
      <c r="M426" s="24">
        <v>86</v>
      </c>
      <c r="N426" s="25">
        <f t="shared" si="13"/>
        <v>258000</v>
      </c>
      <c r="O426" s="24"/>
    </row>
    <row r="427" spans="1:15" ht="15.75" hidden="1" customHeight="1" x14ac:dyDescent="0.3">
      <c r="A427" s="26">
        <v>25</v>
      </c>
      <c r="B427" s="20" t="str">
        <f t="shared" si="12"/>
        <v>JUN</v>
      </c>
      <c r="C427" s="28">
        <v>46192</v>
      </c>
      <c r="D427" s="22" t="str">
        <f t="array" ref="D427">IFERROR(INDEX('Kode Outlet dan Target Toko'!$A:$A,MATCH($I427,'Kode Outlet dan Target Toko'!$E:$E,0)),"")</f>
        <v>GRSM 4</v>
      </c>
      <c r="E427" s="20" t="str">
        <f>IFERROR(VLOOKUP(I427,KET!$B:$F,4,0),"")</f>
        <v>FAHMI LUKMANUL HAKIM</v>
      </c>
      <c r="F427" s="20" t="str">
        <f>IFERROR(VLOOKUP(I427,KET!$B:$F,5,0),"")</f>
        <v>GMM</v>
      </c>
      <c r="G427" s="20">
        <f>IFERROR(INDEX('Kode Outlet dan Target Toko'!$C:$C,MATCH($I427,'Kode Outlet dan Target Toko'!$E:$E,0)),0)</f>
        <v>103277</v>
      </c>
      <c r="H427" s="20">
        <f>IFERROR(INDEX('Kode Outlet dan Target Toko'!$D:$D,MATCH($I427,'Kode Outlet dan Target Toko'!$E:$E,0)),0)</f>
        <v>6301424</v>
      </c>
      <c r="I427" s="41" t="s">
        <v>25</v>
      </c>
      <c r="J427" s="56" t="s">
        <v>183</v>
      </c>
      <c r="K427" s="39" t="s">
        <v>13</v>
      </c>
      <c r="L427" s="23">
        <v>3000</v>
      </c>
      <c r="M427" s="24">
        <v>42</v>
      </c>
      <c r="N427" s="25">
        <f t="shared" si="13"/>
        <v>126000</v>
      </c>
      <c r="O427" s="24"/>
    </row>
    <row r="428" spans="1:15" ht="15.75" hidden="1" customHeight="1" x14ac:dyDescent="0.3">
      <c r="A428" s="26">
        <v>25</v>
      </c>
      <c r="B428" s="20" t="str">
        <f t="shared" si="12"/>
        <v>JUN</v>
      </c>
      <c r="C428" s="28">
        <v>46192</v>
      </c>
      <c r="D428" s="22" t="str">
        <f t="array" ref="D428">IFERROR(INDEX('Kode Outlet dan Target Toko'!$A:$A,MATCH($I428,'Kode Outlet dan Target Toko'!$E:$E,0)),"")</f>
        <v>GRSM 4</v>
      </c>
      <c r="E428" s="20" t="str">
        <f>IFERROR(VLOOKUP(I428,KET!$B:$F,4,0),"")</f>
        <v>FAHMI LUKMANUL HAKIM</v>
      </c>
      <c r="F428" s="20" t="str">
        <f>IFERROR(VLOOKUP(I428,KET!$B:$F,5,0),"")</f>
        <v>GMM</v>
      </c>
      <c r="G428" s="20">
        <f>IFERROR(INDEX('Kode Outlet dan Target Toko'!$C:$C,MATCH($I428,'Kode Outlet dan Target Toko'!$E:$E,0)),0)</f>
        <v>103277</v>
      </c>
      <c r="H428" s="20">
        <f>IFERROR(INDEX('Kode Outlet dan Target Toko'!$D:$D,MATCH($I428,'Kode Outlet dan Target Toko'!$E:$E,0)),0)</f>
        <v>6301424</v>
      </c>
      <c r="I428" s="41" t="s">
        <v>25</v>
      </c>
      <c r="J428" s="56" t="s">
        <v>183</v>
      </c>
      <c r="K428" s="39" t="s">
        <v>16</v>
      </c>
      <c r="L428" s="23">
        <v>3000</v>
      </c>
      <c r="M428" s="24">
        <v>110</v>
      </c>
      <c r="N428" s="25">
        <f t="shared" si="13"/>
        <v>330000</v>
      </c>
      <c r="O428" s="24"/>
    </row>
    <row r="429" spans="1:15" ht="15.75" hidden="1" customHeight="1" x14ac:dyDescent="0.3">
      <c r="A429" s="26">
        <v>25</v>
      </c>
      <c r="B429" s="20" t="str">
        <f t="shared" si="12"/>
        <v>JUN</v>
      </c>
      <c r="C429" s="28">
        <v>46192</v>
      </c>
      <c r="D429" s="22" t="str">
        <f t="array" ref="D429">IFERROR(INDEX('Kode Outlet dan Target Toko'!$A:$A,MATCH($I429,'Kode Outlet dan Target Toko'!$E:$E,0)),"")</f>
        <v>GRSM 4</v>
      </c>
      <c r="E429" s="20" t="str">
        <f>IFERROR(VLOOKUP(I429,KET!$B:$F,4,0),"")</f>
        <v>FAHMI LUKMANUL HAKIM</v>
      </c>
      <c r="F429" s="20" t="str">
        <f>IFERROR(VLOOKUP(I429,KET!$B:$F,5,0),"")</f>
        <v>GMM</v>
      </c>
      <c r="G429" s="20">
        <f>IFERROR(INDEX('Kode Outlet dan Target Toko'!$C:$C,MATCH($I429,'Kode Outlet dan Target Toko'!$E:$E,0)),0)</f>
        <v>103277</v>
      </c>
      <c r="H429" s="20">
        <f>IFERROR(INDEX('Kode Outlet dan Target Toko'!$D:$D,MATCH($I429,'Kode Outlet dan Target Toko'!$E:$E,0)),0)</f>
        <v>6301424</v>
      </c>
      <c r="I429" s="41" t="s">
        <v>25</v>
      </c>
      <c r="J429" s="19" t="s">
        <v>257</v>
      </c>
      <c r="K429" s="39" t="s">
        <v>15</v>
      </c>
      <c r="L429" s="23">
        <v>3000</v>
      </c>
      <c r="M429" s="24">
        <v>40</v>
      </c>
      <c r="N429" s="25">
        <f t="shared" si="13"/>
        <v>120000</v>
      </c>
      <c r="O429" s="24">
        <v>160</v>
      </c>
    </row>
    <row r="430" spans="1:15" ht="15.75" hidden="1" customHeight="1" x14ac:dyDescent="0.3">
      <c r="A430" s="26">
        <v>25</v>
      </c>
      <c r="B430" s="20" t="str">
        <f t="shared" si="12"/>
        <v>JUN</v>
      </c>
      <c r="C430" s="28">
        <v>46192</v>
      </c>
      <c r="D430" s="22" t="str">
        <f t="array" ref="D430">IFERROR(INDEX('Kode Outlet dan Target Toko'!$A:$A,MATCH($I430,'Kode Outlet dan Target Toko'!$E:$E,0)),"")</f>
        <v>GRSM 4</v>
      </c>
      <c r="E430" s="20" t="str">
        <f>IFERROR(VLOOKUP(I430,KET!$B:$F,4,0),"")</f>
        <v>FAHMI LUKMANUL HAKIM</v>
      </c>
      <c r="F430" s="20" t="str">
        <f>IFERROR(VLOOKUP(I430,KET!$B:$F,5,0),"")</f>
        <v>GMM</v>
      </c>
      <c r="G430" s="20">
        <f>IFERROR(INDEX('Kode Outlet dan Target Toko'!$C:$C,MATCH($I430,'Kode Outlet dan Target Toko'!$E:$E,0)),0)</f>
        <v>103277</v>
      </c>
      <c r="H430" s="20">
        <f>IFERROR(INDEX('Kode Outlet dan Target Toko'!$D:$D,MATCH($I430,'Kode Outlet dan Target Toko'!$E:$E,0)),0)</f>
        <v>6301424</v>
      </c>
      <c r="I430" s="41" t="s">
        <v>25</v>
      </c>
      <c r="J430" s="19" t="s">
        <v>257</v>
      </c>
      <c r="K430" s="39" t="s">
        <v>14</v>
      </c>
      <c r="L430" s="23">
        <v>3000</v>
      </c>
      <c r="M430" s="24">
        <v>81</v>
      </c>
      <c r="N430" s="25">
        <f t="shared" si="13"/>
        <v>243000</v>
      </c>
      <c r="O430" s="24"/>
    </row>
    <row r="431" spans="1:15" ht="15.75" hidden="1" customHeight="1" x14ac:dyDescent="0.3">
      <c r="A431" s="26">
        <v>25</v>
      </c>
      <c r="B431" s="20" t="str">
        <f t="shared" si="12"/>
        <v>JUN</v>
      </c>
      <c r="C431" s="28">
        <v>46192</v>
      </c>
      <c r="D431" s="22" t="str">
        <f t="array" ref="D431">IFERROR(INDEX('Kode Outlet dan Target Toko'!$A:$A,MATCH($I431,'Kode Outlet dan Target Toko'!$E:$E,0)),"")</f>
        <v>GRSM 4</v>
      </c>
      <c r="E431" s="20" t="str">
        <f>IFERROR(VLOOKUP(I431,KET!$B:$F,4,0),"")</f>
        <v>FAHMI LUKMANUL HAKIM</v>
      </c>
      <c r="F431" s="20" t="str">
        <f>IFERROR(VLOOKUP(I431,KET!$B:$F,5,0),"")</f>
        <v>GMM</v>
      </c>
      <c r="G431" s="20">
        <f>IFERROR(INDEX('Kode Outlet dan Target Toko'!$C:$C,MATCH($I431,'Kode Outlet dan Target Toko'!$E:$E,0)),0)</f>
        <v>103277</v>
      </c>
      <c r="H431" s="20">
        <f>IFERROR(INDEX('Kode Outlet dan Target Toko'!$D:$D,MATCH($I431,'Kode Outlet dan Target Toko'!$E:$E,0)),0)</f>
        <v>6301424</v>
      </c>
      <c r="I431" s="41" t="s">
        <v>25</v>
      </c>
      <c r="J431" s="19" t="s">
        <v>257</v>
      </c>
      <c r="K431" s="39" t="s">
        <v>13</v>
      </c>
      <c r="L431" s="23">
        <v>3000</v>
      </c>
      <c r="M431" s="24">
        <v>36</v>
      </c>
      <c r="N431" s="25">
        <f t="shared" si="13"/>
        <v>108000</v>
      </c>
      <c r="O431" s="24"/>
    </row>
    <row r="432" spans="1:15" ht="15.75" hidden="1" customHeight="1" x14ac:dyDescent="0.3">
      <c r="A432" s="26">
        <v>25</v>
      </c>
      <c r="B432" s="20" t="str">
        <f t="shared" si="12"/>
        <v>JUN</v>
      </c>
      <c r="C432" s="28">
        <v>46192</v>
      </c>
      <c r="D432" s="22" t="str">
        <f t="array" ref="D432">IFERROR(INDEX('Kode Outlet dan Target Toko'!$A:$A,MATCH($I432,'Kode Outlet dan Target Toko'!$E:$E,0)),"")</f>
        <v>GRSM 4</v>
      </c>
      <c r="E432" s="20" t="str">
        <f>IFERROR(VLOOKUP(I432,KET!$B:$F,4,0),"")</f>
        <v>FAHMI LUKMANUL HAKIM</v>
      </c>
      <c r="F432" s="20" t="str">
        <f>IFERROR(VLOOKUP(I432,KET!$B:$F,5,0),"")</f>
        <v>GMM</v>
      </c>
      <c r="G432" s="20">
        <f>IFERROR(INDEX('Kode Outlet dan Target Toko'!$C:$C,MATCH($I432,'Kode Outlet dan Target Toko'!$E:$E,0)),0)</f>
        <v>103277</v>
      </c>
      <c r="H432" s="20">
        <f>IFERROR(INDEX('Kode Outlet dan Target Toko'!$D:$D,MATCH($I432,'Kode Outlet dan Target Toko'!$E:$E,0)),0)</f>
        <v>6301424</v>
      </c>
      <c r="I432" s="41" t="s">
        <v>25</v>
      </c>
      <c r="J432" s="19" t="s">
        <v>257</v>
      </c>
      <c r="K432" s="39" t="s">
        <v>16</v>
      </c>
      <c r="L432" s="23">
        <v>3000</v>
      </c>
      <c r="M432" s="24">
        <v>114</v>
      </c>
      <c r="N432" s="25">
        <f t="shared" si="13"/>
        <v>342000</v>
      </c>
      <c r="O432" s="24"/>
    </row>
    <row r="433" spans="1:15" ht="15.75" hidden="1" customHeight="1" x14ac:dyDescent="0.3">
      <c r="A433" s="26">
        <v>25</v>
      </c>
      <c r="B433" s="20" t="str">
        <f t="shared" si="12"/>
        <v>JUN</v>
      </c>
      <c r="C433" s="28">
        <v>46192</v>
      </c>
      <c r="D433" s="22" t="str">
        <f t="array" ref="D433">IFERROR(INDEX('Kode Outlet dan Target Toko'!$A:$A,MATCH($I433,'Kode Outlet dan Target Toko'!$E:$E,0)),"")</f>
        <v>GRSM 3A</v>
      </c>
      <c r="E433" s="20" t="str">
        <f>IFERROR(VLOOKUP(I433,KET!$B:$F,4,0),"")</f>
        <v>FAHMI LUKMANUL HAKIM</v>
      </c>
      <c r="F433" s="20" t="str">
        <f>IFERROR(VLOOKUP(I433,KET!$B:$F,5,0),"")</f>
        <v>GMM</v>
      </c>
      <c r="G433" s="20">
        <f>IFERROR(INDEX('Kode Outlet dan Target Toko'!$C:$C,MATCH($I433,'Kode Outlet dan Target Toko'!$E:$E,0)),0)</f>
        <v>103272</v>
      </c>
      <c r="H433" s="20">
        <f>IFERROR(INDEX('Kode Outlet dan Target Toko'!$D:$D,MATCH($I433,'Kode Outlet dan Target Toko'!$E:$E,0)),0)</f>
        <v>1178</v>
      </c>
      <c r="I433" s="41" t="s">
        <v>22</v>
      </c>
      <c r="J433" s="19" t="s">
        <v>256</v>
      </c>
      <c r="K433" s="39" t="s">
        <v>15</v>
      </c>
      <c r="L433" s="23">
        <v>3145</v>
      </c>
      <c r="M433" s="24">
        <v>13</v>
      </c>
      <c r="N433" s="25">
        <f t="shared" si="13"/>
        <v>40885</v>
      </c>
      <c r="O433" s="24">
        <v>160</v>
      </c>
    </row>
    <row r="434" spans="1:15" ht="15.75" hidden="1" customHeight="1" x14ac:dyDescent="0.3">
      <c r="A434" s="26">
        <v>25</v>
      </c>
      <c r="B434" s="20" t="str">
        <f t="shared" si="12"/>
        <v>JUN</v>
      </c>
      <c r="C434" s="28">
        <v>46192</v>
      </c>
      <c r="D434" s="22" t="str">
        <f t="array" ref="D434">IFERROR(INDEX('Kode Outlet dan Target Toko'!$A:$A,MATCH($I434,'Kode Outlet dan Target Toko'!$E:$E,0)),"")</f>
        <v>GRSM 3A</v>
      </c>
      <c r="E434" s="20" t="str">
        <f>IFERROR(VLOOKUP(I434,KET!$B:$F,4,0),"")</f>
        <v>FAHMI LUKMANUL HAKIM</v>
      </c>
      <c r="F434" s="20" t="str">
        <f>IFERROR(VLOOKUP(I434,KET!$B:$F,5,0),"")</f>
        <v>GMM</v>
      </c>
      <c r="G434" s="20">
        <f>IFERROR(INDEX('Kode Outlet dan Target Toko'!$C:$C,MATCH($I434,'Kode Outlet dan Target Toko'!$E:$E,0)),0)</f>
        <v>103272</v>
      </c>
      <c r="H434" s="20">
        <f>IFERROR(INDEX('Kode Outlet dan Target Toko'!$D:$D,MATCH($I434,'Kode Outlet dan Target Toko'!$E:$E,0)),0)</f>
        <v>1178</v>
      </c>
      <c r="I434" s="51" t="s">
        <v>22</v>
      </c>
      <c r="J434" s="27" t="s">
        <v>256</v>
      </c>
      <c r="K434" s="39" t="s">
        <v>14</v>
      </c>
      <c r="L434" s="29">
        <v>3145</v>
      </c>
      <c r="M434" s="24">
        <v>15</v>
      </c>
      <c r="N434" s="25">
        <f t="shared" si="13"/>
        <v>47175</v>
      </c>
      <c r="O434" s="24"/>
    </row>
    <row r="435" spans="1:15" ht="15.75" hidden="1" customHeight="1" x14ac:dyDescent="0.3">
      <c r="A435" s="26">
        <v>25</v>
      </c>
      <c r="B435" s="20" t="str">
        <f t="shared" si="12"/>
        <v>JUN</v>
      </c>
      <c r="C435" s="28">
        <v>46192</v>
      </c>
      <c r="D435" s="22" t="str">
        <f t="array" ref="D435">IFERROR(INDEX('Kode Outlet dan Target Toko'!$A:$A,MATCH($I435,'Kode Outlet dan Target Toko'!$E:$E,0)),"")</f>
        <v>GRSM 3A</v>
      </c>
      <c r="E435" s="20" t="str">
        <f>IFERROR(VLOOKUP(I435,KET!$B:$F,4,0),"")</f>
        <v>FAHMI LUKMANUL HAKIM</v>
      </c>
      <c r="F435" s="20" t="str">
        <f>IFERROR(VLOOKUP(I435,KET!$B:$F,5,0),"")</f>
        <v>GMM</v>
      </c>
      <c r="G435" s="20">
        <f>IFERROR(INDEX('Kode Outlet dan Target Toko'!$C:$C,MATCH($I435,'Kode Outlet dan Target Toko'!$E:$E,0)),0)</f>
        <v>103272</v>
      </c>
      <c r="H435" s="20">
        <f>IFERROR(INDEX('Kode Outlet dan Target Toko'!$D:$D,MATCH($I435,'Kode Outlet dan Target Toko'!$E:$E,0)),0)</f>
        <v>1178</v>
      </c>
      <c r="I435" s="51" t="s">
        <v>22</v>
      </c>
      <c r="J435" s="27" t="s">
        <v>256</v>
      </c>
      <c r="K435" s="39" t="s">
        <v>13</v>
      </c>
      <c r="L435" s="29">
        <v>3145</v>
      </c>
      <c r="M435" s="24">
        <v>12</v>
      </c>
      <c r="N435" s="25">
        <f t="shared" si="13"/>
        <v>37740</v>
      </c>
      <c r="O435" s="24"/>
    </row>
    <row r="436" spans="1:15" ht="15.75" hidden="1" customHeight="1" x14ac:dyDescent="0.3">
      <c r="A436" s="26">
        <v>25</v>
      </c>
      <c r="B436" s="20" t="str">
        <f t="shared" si="12"/>
        <v>JUN</v>
      </c>
      <c r="C436" s="28">
        <v>46192</v>
      </c>
      <c r="D436" s="22" t="str">
        <f t="array" ref="D436">IFERROR(INDEX('Kode Outlet dan Target Toko'!$A:$A,MATCH($I436,'Kode Outlet dan Target Toko'!$E:$E,0)),"")</f>
        <v>GRSM 3A</v>
      </c>
      <c r="E436" s="20" t="str">
        <f>IFERROR(VLOOKUP(I436,KET!$B:$F,4,0),"")</f>
        <v>FAHMI LUKMANUL HAKIM</v>
      </c>
      <c r="F436" s="20" t="str">
        <f>IFERROR(VLOOKUP(I436,KET!$B:$F,5,0),"")</f>
        <v>GMM</v>
      </c>
      <c r="G436" s="20">
        <f>IFERROR(INDEX('Kode Outlet dan Target Toko'!$C:$C,MATCH($I436,'Kode Outlet dan Target Toko'!$E:$E,0)),0)</f>
        <v>103272</v>
      </c>
      <c r="H436" s="20">
        <f>IFERROR(INDEX('Kode Outlet dan Target Toko'!$D:$D,MATCH($I436,'Kode Outlet dan Target Toko'!$E:$E,0)),0)</f>
        <v>1178</v>
      </c>
      <c r="I436" s="51" t="s">
        <v>22</v>
      </c>
      <c r="J436" s="27" t="s">
        <v>256</v>
      </c>
      <c r="K436" s="39" t="s">
        <v>16</v>
      </c>
      <c r="L436" s="29">
        <v>3145</v>
      </c>
      <c r="M436" s="24">
        <v>25</v>
      </c>
      <c r="N436" s="25">
        <f t="shared" si="13"/>
        <v>78625</v>
      </c>
      <c r="O436" s="24"/>
    </row>
    <row r="437" spans="1:15" ht="15.75" hidden="1" customHeight="1" x14ac:dyDescent="0.3">
      <c r="A437" s="26">
        <v>25</v>
      </c>
      <c r="B437" s="20" t="str">
        <f t="shared" si="12"/>
        <v>JUN</v>
      </c>
      <c r="C437" s="28">
        <v>46192</v>
      </c>
      <c r="D437" s="22" t="str">
        <f t="array" ref="D437">IFERROR(INDEX('Kode Outlet dan Target Toko'!$A:$A,MATCH($I437,'Kode Outlet dan Target Toko'!$E:$E,0)),"")</f>
        <v>GRSM 3A</v>
      </c>
      <c r="E437" s="20" t="str">
        <f>IFERROR(VLOOKUP(I437,KET!$B:$F,4,0),"")</f>
        <v>FAHMI LUKMANUL HAKIM</v>
      </c>
      <c r="F437" s="20" t="str">
        <f>IFERROR(VLOOKUP(I437,KET!$B:$F,5,0),"")</f>
        <v>GMM</v>
      </c>
      <c r="G437" s="20">
        <f>IFERROR(INDEX('Kode Outlet dan Target Toko'!$C:$C,MATCH($I437,'Kode Outlet dan Target Toko'!$E:$E,0)),0)</f>
        <v>103272</v>
      </c>
      <c r="H437" s="20">
        <f>IFERROR(INDEX('Kode Outlet dan Target Toko'!$D:$D,MATCH($I437,'Kode Outlet dan Target Toko'!$E:$E,0)),0)</f>
        <v>1178</v>
      </c>
      <c r="I437" s="51" t="s">
        <v>22</v>
      </c>
      <c r="J437" s="27" t="s">
        <v>254</v>
      </c>
      <c r="K437" s="39" t="s">
        <v>15</v>
      </c>
      <c r="L437" s="29">
        <v>3145</v>
      </c>
      <c r="M437" s="24">
        <v>13</v>
      </c>
      <c r="N437" s="25">
        <f t="shared" si="13"/>
        <v>40885</v>
      </c>
      <c r="O437" s="24">
        <v>160</v>
      </c>
    </row>
    <row r="438" spans="1:15" ht="15.75" hidden="1" customHeight="1" x14ac:dyDescent="0.3">
      <c r="A438" s="26">
        <v>25</v>
      </c>
      <c r="B438" s="20" t="str">
        <f t="shared" si="12"/>
        <v>JUN</v>
      </c>
      <c r="C438" s="28">
        <v>46192</v>
      </c>
      <c r="D438" s="22" t="str">
        <f t="array" ref="D438">IFERROR(INDEX('Kode Outlet dan Target Toko'!$A:$A,MATCH($I438,'Kode Outlet dan Target Toko'!$E:$E,0)),"")</f>
        <v>GRSM 3A</v>
      </c>
      <c r="E438" s="20" t="str">
        <f>IFERROR(VLOOKUP(I438,KET!$B:$F,4,0),"")</f>
        <v>FAHMI LUKMANUL HAKIM</v>
      </c>
      <c r="F438" s="20" t="str">
        <f>IFERROR(VLOOKUP(I438,KET!$B:$F,5,0),"")</f>
        <v>GMM</v>
      </c>
      <c r="G438" s="20">
        <f>IFERROR(INDEX('Kode Outlet dan Target Toko'!$C:$C,MATCH($I438,'Kode Outlet dan Target Toko'!$E:$E,0)),0)</f>
        <v>103272</v>
      </c>
      <c r="H438" s="20">
        <f>IFERROR(INDEX('Kode Outlet dan Target Toko'!$D:$D,MATCH($I438,'Kode Outlet dan Target Toko'!$E:$E,0)),0)</f>
        <v>1178</v>
      </c>
      <c r="I438" s="51" t="s">
        <v>22</v>
      </c>
      <c r="J438" s="27" t="s">
        <v>254</v>
      </c>
      <c r="K438" s="39" t="s">
        <v>14</v>
      </c>
      <c r="L438" s="29">
        <v>3145</v>
      </c>
      <c r="M438" s="24">
        <v>15</v>
      </c>
      <c r="N438" s="25">
        <f t="shared" si="13"/>
        <v>47175</v>
      </c>
      <c r="O438" s="24"/>
    </row>
    <row r="439" spans="1:15" ht="15.75" hidden="1" customHeight="1" x14ac:dyDescent="0.3">
      <c r="A439" s="26">
        <v>25</v>
      </c>
      <c r="B439" s="20" t="str">
        <f t="shared" si="12"/>
        <v>JUN</v>
      </c>
      <c r="C439" s="28">
        <v>46192</v>
      </c>
      <c r="D439" s="22" t="str">
        <f t="array" ref="D439">IFERROR(INDEX('Kode Outlet dan Target Toko'!$A:$A,MATCH($I439,'Kode Outlet dan Target Toko'!$E:$E,0)),"")</f>
        <v>GRSM 3A</v>
      </c>
      <c r="E439" s="20" t="str">
        <f>IFERROR(VLOOKUP(I439,KET!$B:$F,4,0),"")</f>
        <v>FAHMI LUKMANUL HAKIM</v>
      </c>
      <c r="F439" s="20" t="str">
        <f>IFERROR(VLOOKUP(I439,KET!$B:$F,5,0),"")</f>
        <v>GMM</v>
      </c>
      <c r="G439" s="20">
        <f>IFERROR(INDEX('Kode Outlet dan Target Toko'!$C:$C,MATCH($I439,'Kode Outlet dan Target Toko'!$E:$E,0)),0)</f>
        <v>103272</v>
      </c>
      <c r="H439" s="20">
        <f>IFERROR(INDEX('Kode Outlet dan Target Toko'!$D:$D,MATCH($I439,'Kode Outlet dan Target Toko'!$E:$E,0)),0)</f>
        <v>1178</v>
      </c>
      <c r="I439" s="51" t="s">
        <v>22</v>
      </c>
      <c r="J439" s="27" t="s">
        <v>254</v>
      </c>
      <c r="K439" s="39" t="s">
        <v>13</v>
      </c>
      <c r="L439" s="29">
        <v>3145</v>
      </c>
      <c r="M439" s="24">
        <v>12</v>
      </c>
      <c r="N439" s="25">
        <f t="shared" si="13"/>
        <v>37740</v>
      </c>
      <c r="O439" s="24"/>
    </row>
    <row r="440" spans="1:15" ht="15.75" hidden="1" customHeight="1" x14ac:dyDescent="0.3">
      <c r="A440" s="26">
        <v>25</v>
      </c>
      <c r="B440" s="20" t="str">
        <f t="shared" si="12"/>
        <v>JUN</v>
      </c>
      <c r="C440" s="28">
        <v>46192</v>
      </c>
      <c r="D440" s="22" t="str">
        <f t="array" ref="D440">IFERROR(INDEX('Kode Outlet dan Target Toko'!$A:$A,MATCH($I440,'Kode Outlet dan Target Toko'!$E:$E,0)),"")</f>
        <v>GRSM 3A</v>
      </c>
      <c r="E440" s="20" t="str">
        <f>IFERROR(VLOOKUP(I440,KET!$B:$F,4,0),"")</f>
        <v>FAHMI LUKMANUL HAKIM</v>
      </c>
      <c r="F440" s="20" t="str">
        <f>IFERROR(VLOOKUP(I440,KET!$B:$F,5,0),"")</f>
        <v>GMM</v>
      </c>
      <c r="G440" s="20">
        <f>IFERROR(INDEX('Kode Outlet dan Target Toko'!$C:$C,MATCH($I440,'Kode Outlet dan Target Toko'!$E:$E,0)),0)</f>
        <v>103272</v>
      </c>
      <c r="H440" s="20">
        <f>IFERROR(INDEX('Kode Outlet dan Target Toko'!$D:$D,MATCH($I440,'Kode Outlet dan Target Toko'!$E:$E,0)),0)</f>
        <v>1178</v>
      </c>
      <c r="I440" s="51" t="s">
        <v>22</v>
      </c>
      <c r="J440" s="27" t="s">
        <v>254</v>
      </c>
      <c r="K440" s="39" t="s">
        <v>16</v>
      </c>
      <c r="L440" s="29">
        <v>3145</v>
      </c>
      <c r="M440" s="24">
        <v>25</v>
      </c>
      <c r="N440" s="25">
        <f t="shared" si="13"/>
        <v>78625</v>
      </c>
      <c r="O440" s="24"/>
    </row>
    <row r="441" spans="1:15" ht="15.75" hidden="1" customHeight="1" x14ac:dyDescent="0.3">
      <c r="A441" s="26">
        <v>25</v>
      </c>
      <c r="B441" s="20" t="str">
        <f t="shared" si="12"/>
        <v>JUN</v>
      </c>
      <c r="C441" s="28">
        <v>46192</v>
      </c>
      <c r="D441" s="22" t="str">
        <f t="array" ref="D441">IFERROR(INDEX('Kode Outlet dan Target Toko'!$A:$A,MATCH($I441,'Kode Outlet dan Target Toko'!$E:$E,0)),"")</f>
        <v>GRSM 4</v>
      </c>
      <c r="E441" s="20" t="str">
        <f>IFERROR(VLOOKUP(I441,KET!$B:$F,4,0),"")</f>
        <v>FAHMI LUKMANUL HAKIM</v>
      </c>
      <c r="F441" s="20" t="str">
        <f>IFERROR(VLOOKUP(I441,KET!$B:$F,5,0),"")</f>
        <v>GMM</v>
      </c>
      <c r="G441" s="20">
        <f>IFERROR(INDEX('Kode Outlet dan Target Toko'!$C:$C,MATCH($I441,'Kode Outlet dan Target Toko'!$E:$E,0)),0)</f>
        <v>103259</v>
      </c>
      <c r="H441" s="20">
        <f>IFERROR(INDEX('Kode Outlet dan Target Toko'!$D:$D,MATCH($I441,'Kode Outlet dan Target Toko'!$E:$E,0)),0)</f>
        <v>9029389</v>
      </c>
      <c r="I441" s="51" t="s">
        <v>27</v>
      </c>
      <c r="J441" s="27" t="s">
        <v>258</v>
      </c>
      <c r="K441" s="39" t="s">
        <v>15</v>
      </c>
      <c r="L441" s="29">
        <v>3000</v>
      </c>
      <c r="M441" s="24">
        <v>60</v>
      </c>
      <c r="N441" s="25">
        <f t="shared" si="13"/>
        <v>180000</v>
      </c>
      <c r="O441" s="24">
        <v>160</v>
      </c>
    </row>
    <row r="442" spans="1:15" ht="15.75" hidden="1" customHeight="1" x14ac:dyDescent="0.3">
      <c r="A442" s="26">
        <v>25</v>
      </c>
      <c r="B442" s="20" t="str">
        <f t="shared" si="12"/>
        <v>JUN</v>
      </c>
      <c r="C442" s="28">
        <v>46192</v>
      </c>
      <c r="D442" s="22" t="str">
        <f t="array" ref="D442">IFERROR(INDEX('Kode Outlet dan Target Toko'!$A:$A,MATCH($I442,'Kode Outlet dan Target Toko'!$E:$E,0)),"")</f>
        <v>GRSM 4</v>
      </c>
      <c r="E442" s="20" t="str">
        <f>IFERROR(VLOOKUP(I442,KET!$B:$F,4,0),"")</f>
        <v>FAHMI LUKMANUL HAKIM</v>
      </c>
      <c r="F442" s="20" t="str">
        <f>IFERROR(VLOOKUP(I442,KET!$B:$F,5,0),"")</f>
        <v>GMM</v>
      </c>
      <c r="G442" s="20">
        <f>IFERROR(INDEX('Kode Outlet dan Target Toko'!$C:$C,MATCH($I442,'Kode Outlet dan Target Toko'!$E:$E,0)),0)</f>
        <v>103259</v>
      </c>
      <c r="H442" s="20">
        <f>IFERROR(INDEX('Kode Outlet dan Target Toko'!$D:$D,MATCH($I442,'Kode Outlet dan Target Toko'!$E:$E,0)),0)</f>
        <v>9029389</v>
      </c>
      <c r="I442" s="51" t="s">
        <v>27</v>
      </c>
      <c r="J442" s="27" t="s">
        <v>258</v>
      </c>
      <c r="K442" s="39" t="s">
        <v>14</v>
      </c>
      <c r="L442" s="29">
        <v>3000</v>
      </c>
      <c r="M442" s="24">
        <v>45</v>
      </c>
      <c r="N442" s="25">
        <f t="shared" si="13"/>
        <v>135000</v>
      </c>
      <c r="O442" s="24"/>
    </row>
    <row r="443" spans="1:15" ht="15.75" hidden="1" customHeight="1" x14ac:dyDescent="0.3">
      <c r="A443" s="26">
        <v>25</v>
      </c>
      <c r="B443" s="20" t="str">
        <f t="shared" si="12"/>
        <v>JUN</v>
      </c>
      <c r="C443" s="28">
        <v>46192</v>
      </c>
      <c r="D443" s="22" t="str">
        <f t="array" ref="D443">IFERROR(INDEX('Kode Outlet dan Target Toko'!$A:$A,MATCH($I443,'Kode Outlet dan Target Toko'!$E:$E,0)),"")</f>
        <v>GRSM 4</v>
      </c>
      <c r="E443" s="20" t="str">
        <f>IFERROR(VLOOKUP(I443,KET!$B:$F,4,0),"")</f>
        <v>FAHMI LUKMANUL HAKIM</v>
      </c>
      <c r="F443" s="20" t="str">
        <f>IFERROR(VLOOKUP(I443,KET!$B:$F,5,0),"")</f>
        <v>GMM</v>
      </c>
      <c r="G443" s="20">
        <f>IFERROR(INDEX('Kode Outlet dan Target Toko'!$C:$C,MATCH($I443,'Kode Outlet dan Target Toko'!$E:$E,0)),0)</f>
        <v>103259</v>
      </c>
      <c r="H443" s="20">
        <f>IFERROR(INDEX('Kode Outlet dan Target Toko'!$D:$D,MATCH($I443,'Kode Outlet dan Target Toko'!$E:$E,0)),0)</f>
        <v>9029389</v>
      </c>
      <c r="I443" s="51" t="s">
        <v>27</v>
      </c>
      <c r="J443" s="27" t="s">
        <v>258</v>
      </c>
      <c r="K443" s="39" t="s">
        <v>13</v>
      </c>
      <c r="L443" s="29">
        <v>3000</v>
      </c>
      <c r="M443" s="24">
        <v>37</v>
      </c>
      <c r="N443" s="25">
        <f t="shared" si="13"/>
        <v>111000</v>
      </c>
      <c r="O443" s="24"/>
    </row>
    <row r="444" spans="1:15" ht="15.75" hidden="1" customHeight="1" x14ac:dyDescent="0.3">
      <c r="A444" s="26">
        <v>25</v>
      </c>
      <c r="B444" s="20" t="str">
        <f t="shared" si="12"/>
        <v>JUN</v>
      </c>
      <c r="C444" s="28">
        <v>46192</v>
      </c>
      <c r="D444" s="22" t="str">
        <f t="array" ref="D444">IFERROR(INDEX('Kode Outlet dan Target Toko'!$A:$A,MATCH($I444,'Kode Outlet dan Target Toko'!$E:$E,0)),"")</f>
        <v>GRSM 4</v>
      </c>
      <c r="E444" s="20" t="str">
        <f>IFERROR(VLOOKUP(I444,KET!$B:$F,4,0),"")</f>
        <v>FAHMI LUKMANUL HAKIM</v>
      </c>
      <c r="F444" s="20" t="str">
        <f>IFERROR(VLOOKUP(I444,KET!$B:$F,5,0),"")</f>
        <v>GMM</v>
      </c>
      <c r="G444" s="20">
        <f>IFERROR(INDEX('Kode Outlet dan Target Toko'!$C:$C,MATCH($I444,'Kode Outlet dan Target Toko'!$E:$E,0)),0)</f>
        <v>103259</v>
      </c>
      <c r="H444" s="20">
        <f>IFERROR(INDEX('Kode Outlet dan Target Toko'!$D:$D,MATCH($I444,'Kode Outlet dan Target Toko'!$E:$E,0)),0)</f>
        <v>9029389</v>
      </c>
      <c r="I444" s="51" t="s">
        <v>27</v>
      </c>
      <c r="J444" s="27" t="s">
        <v>258</v>
      </c>
      <c r="K444" s="39" t="s">
        <v>16</v>
      </c>
      <c r="L444" s="29">
        <v>3000</v>
      </c>
      <c r="M444" s="24">
        <v>130</v>
      </c>
      <c r="N444" s="25">
        <f t="shared" si="13"/>
        <v>390000</v>
      </c>
      <c r="O444" s="24"/>
    </row>
    <row r="445" spans="1:15" ht="15.75" hidden="1" customHeight="1" x14ac:dyDescent="0.3">
      <c r="A445" s="26">
        <v>25</v>
      </c>
      <c r="B445" s="20" t="str">
        <f t="shared" si="12"/>
        <v>JUN</v>
      </c>
      <c r="C445" s="28">
        <v>46192</v>
      </c>
      <c r="D445" s="22" t="str">
        <f t="array" ref="D445">IFERROR(INDEX('Kode Outlet dan Target Toko'!$A:$A,MATCH($I445,'Kode Outlet dan Target Toko'!$E:$E,0)),"")</f>
        <v>GRSM 4</v>
      </c>
      <c r="E445" s="20" t="str">
        <f>IFERROR(VLOOKUP(I445,KET!$B:$F,4,0),"")</f>
        <v>FAHMI LUKMANUL HAKIM</v>
      </c>
      <c r="F445" s="20" t="str">
        <f>IFERROR(VLOOKUP(I445,KET!$B:$F,5,0),"")</f>
        <v>GMM</v>
      </c>
      <c r="G445" s="20">
        <f>IFERROR(INDEX('Kode Outlet dan Target Toko'!$C:$C,MATCH($I445,'Kode Outlet dan Target Toko'!$E:$E,0)),0)</f>
        <v>103259</v>
      </c>
      <c r="H445" s="20">
        <f>IFERROR(INDEX('Kode Outlet dan Target Toko'!$D:$D,MATCH($I445,'Kode Outlet dan Target Toko'!$E:$E,0)),0)</f>
        <v>9029389</v>
      </c>
      <c r="I445" s="51" t="s">
        <v>27</v>
      </c>
      <c r="J445" s="27" t="s">
        <v>179</v>
      </c>
      <c r="K445" s="39" t="s">
        <v>15</v>
      </c>
      <c r="L445" s="29">
        <v>3000</v>
      </c>
      <c r="M445" s="24">
        <v>50</v>
      </c>
      <c r="N445" s="25">
        <f t="shared" si="13"/>
        <v>150000</v>
      </c>
      <c r="O445" s="24">
        <v>160</v>
      </c>
    </row>
    <row r="446" spans="1:15" ht="15.75" hidden="1" customHeight="1" x14ac:dyDescent="0.3">
      <c r="A446" s="26">
        <v>25</v>
      </c>
      <c r="B446" s="20" t="str">
        <f t="shared" si="12"/>
        <v>JUN</v>
      </c>
      <c r="C446" s="28">
        <v>46192</v>
      </c>
      <c r="D446" s="22" t="str">
        <f t="array" ref="D446">IFERROR(INDEX('Kode Outlet dan Target Toko'!$A:$A,MATCH($I446,'Kode Outlet dan Target Toko'!$E:$E,0)),"")</f>
        <v>GRSM 4</v>
      </c>
      <c r="E446" s="20" t="str">
        <f>IFERROR(VLOOKUP(I446,KET!$B:$F,4,0),"")</f>
        <v>FAHMI LUKMANUL HAKIM</v>
      </c>
      <c r="F446" s="20" t="str">
        <f>IFERROR(VLOOKUP(I446,KET!$B:$F,5,0),"")</f>
        <v>GMM</v>
      </c>
      <c r="G446" s="20">
        <f>IFERROR(INDEX('Kode Outlet dan Target Toko'!$C:$C,MATCH($I446,'Kode Outlet dan Target Toko'!$E:$E,0)),0)</f>
        <v>103259</v>
      </c>
      <c r="H446" s="20">
        <f>IFERROR(INDEX('Kode Outlet dan Target Toko'!$D:$D,MATCH($I446,'Kode Outlet dan Target Toko'!$E:$E,0)),0)</f>
        <v>9029389</v>
      </c>
      <c r="I446" s="51" t="s">
        <v>27</v>
      </c>
      <c r="J446" s="27" t="s">
        <v>179</v>
      </c>
      <c r="K446" s="39" t="s">
        <v>14</v>
      </c>
      <c r="L446" s="29">
        <v>3000</v>
      </c>
      <c r="M446" s="24">
        <v>40</v>
      </c>
      <c r="N446" s="25">
        <f t="shared" si="13"/>
        <v>120000</v>
      </c>
      <c r="O446" s="24"/>
    </row>
    <row r="447" spans="1:15" ht="15.75" hidden="1" customHeight="1" x14ac:dyDescent="0.3">
      <c r="A447" s="26">
        <v>25</v>
      </c>
      <c r="B447" s="20" t="str">
        <f t="shared" si="12"/>
        <v>JUN</v>
      </c>
      <c r="C447" s="28">
        <v>46192</v>
      </c>
      <c r="D447" s="22" t="str">
        <f t="array" ref="D447">IFERROR(INDEX('Kode Outlet dan Target Toko'!$A:$A,MATCH($I447,'Kode Outlet dan Target Toko'!$E:$E,0)),"")</f>
        <v>GRSM 4</v>
      </c>
      <c r="E447" s="20" t="str">
        <f>IFERROR(VLOOKUP(I447,KET!$B:$F,4,0),"")</f>
        <v>FAHMI LUKMANUL HAKIM</v>
      </c>
      <c r="F447" s="20" t="str">
        <f>IFERROR(VLOOKUP(I447,KET!$B:$F,5,0),"")</f>
        <v>GMM</v>
      </c>
      <c r="G447" s="20">
        <f>IFERROR(INDEX('Kode Outlet dan Target Toko'!$C:$C,MATCH($I447,'Kode Outlet dan Target Toko'!$E:$E,0)),0)</f>
        <v>103259</v>
      </c>
      <c r="H447" s="20">
        <f>IFERROR(INDEX('Kode Outlet dan Target Toko'!$D:$D,MATCH($I447,'Kode Outlet dan Target Toko'!$E:$E,0)),0)</f>
        <v>9029389</v>
      </c>
      <c r="I447" s="51" t="s">
        <v>27</v>
      </c>
      <c r="J447" s="27" t="s">
        <v>179</v>
      </c>
      <c r="K447" s="39" t="s">
        <v>13</v>
      </c>
      <c r="L447" s="29">
        <v>3000</v>
      </c>
      <c r="M447" s="24">
        <v>35</v>
      </c>
      <c r="N447" s="25">
        <f t="shared" si="13"/>
        <v>105000</v>
      </c>
      <c r="O447" s="24"/>
    </row>
    <row r="448" spans="1:15" ht="15.75" hidden="1" customHeight="1" x14ac:dyDescent="0.3">
      <c r="A448" s="26">
        <v>25</v>
      </c>
      <c r="B448" s="20" t="str">
        <f t="shared" si="12"/>
        <v>JUN</v>
      </c>
      <c r="C448" s="28">
        <v>46192</v>
      </c>
      <c r="D448" s="22" t="str">
        <f t="array" ref="D448">IFERROR(INDEX('Kode Outlet dan Target Toko'!$A:$A,MATCH($I448,'Kode Outlet dan Target Toko'!$E:$E,0)),"")</f>
        <v>GRSM 4</v>
      </c>
      <c r="E448" s="20" t="str">
        <f>IFERROR(VLOOKUP(I448,KET!$B:$F,4,0),"")</f>
        <v>FAHMI LUKMANUL HAKIM</v>
      </c>
      <c r="F448" s="20" t="str">
        <f>IFERROR(VLOOKUP(I448,KET!$B:$F,5,0),"")</f>
        <v>GMM</v>
      </c>
      <c r="G448" s="20">
        <f>IFERROR(INDEX('Kode Outlet dan Target Toko'!$C:$C,MATCH($I448,'Kode Outlet dan Target Toko'!$E:$E,0)),0)</f>
        <v>103259</v>
      </c>
      <c r="H448" s="20">
        <f>IFERROR(INDEX('Kode Outlet dan Target Toko'!$D:$D,MATCH($I448,'Kode Outlet dan Target Toko'!$E:$E,0)),0)</f>
        <v>9029389</v>
      </c>
      <c r="I448" s="51" t="s">
        <v>27</v>
      </c>
      <c r="J448" s="27" t="s">
        <v>179</v>
      </c>
      <c r="K448" s="39" t="s">
        <v>16</v>
      </c>
      <c r="L448" s="29">
        <v>3000</v>
      </c>
      <c r="M448" s="24">
        <v>165</v>
      </c>
      <c r="N448" s="25">
        <f t="shared" si="13"/>
        <v>495000</v>
      </c>
      <c r="O448" s="24"/>
    </row>
    <row r="449" spans="1:15" ht="15.75" hidden="1" customHeight="1" x14ac:dyDescent="0.3">
      <c r="A449" s="26">
        <v>25</v>
      </c>
      <c r="B449" s="20" t="str">
        <f t="shared" si="12"/>
        <v>JUN</v>
      </c>
      <c r="C449" s="28">
        <v>46192</v>
      </c>
      <c r="D449" s="22" t="str">
        <f t="array" ref="D449">IFERROR(INDEX('Kode Outlet dan Target Toko'!$A:$A,MATCH($I449,'Kode Outlet dan Target Toko'!$E:$E,0)),"")</f>
        <v>GRSM 4</v>
      </c>
      <c r="E449" s="20" t="str">
        <f>IFERROR(VLOOKUP(I449,KET!$B:$F,4,0),"")</f>
        <v>FAHMI LUKMANUL HAKIM</v>
      </c>
      <c r="F449" s="20" t="str">
        <f>IFERROR(VLOOKUP(I449,KET!$B:$F,5,0),"")</f>
        <v>NKA</v>
      </c>
      <c r="G449" s="20">
        <f>IFERROR(INDEX('Kode Outlet dan Target Toko'!$C:$C,MATCH($I449,'Kode Outlet dan Target Toko'!$E:$E,0)),0)</f>
        <v>490034</v>
      </c>
      <c r="H449" s="20">
        <f>IFERROR(INDEX('Kode Outlet dan Target Toko'!$D:$D,MATCH($I449,'Kode Outlet dan Target Toko'!$E:$E,0)),0)</f>
        <v>209554</v>
      </c>
      <c r="I449" s="51" t="s">
        <v>26</v>
      </c>
      <c r="J449" s="27" t="s">
        <v>176</v>
      </c>
      <c r="K449" s="39" t="s">
        <v>15</v>
      </c>
      <c r="L449" s="29">
        <v>3275</v>
      </c>
      <c r="M449" s="24">
        <v>60</v>
      </c>
      <c r="N449" s="25">
        <f t="shared" si="13"/>
        <v>196500</v>
      </c>
      <c r="O449" s="24">
        <v>160</v>
      </c>
    </row>
    <row r="450" spans="1:15" ht="15.75" hidden="1" customHeight="1" x14ac:dyDescent="0.3">
      <c r="A450" s="26">
        <v>25</v>
      </c>
      <c r="B450" s="20" t="str">
        <f t="shared" si="12"/>
        <v>JUN</v>
      </c>
      <c r="C450" s="28">
        <v>46192</v>
      </c>
      <c r="D450" s="22" t="str">
        <f t="array" ref="D450">IFERROR(INDEX('Kode Outlet dan Target Toko'!$A:$A,MATCH($I450,'Kode Outlet dan Target Toko'!$E:$E,0)),"")</f>
        <v>GRSM 4</v>
      </c>
      <c r="E450" s="20" t="str">
        <f>IFERROR(VLOOKUP(I450,KET!$B:$F,4,0),"")</f>
        <v>FAHMI LUKMANUL HAKIM</v>
      </c>
      <c r="F450" s="20" t="str">
        <f>IFERROR(VLOOKUP(I450,KET!$B:$F,5,0),"")</f>
        <v>NKA</v>
      </c>
      <c r="G450" s="20">
        <f>IFERROR(INDEX('Kode Outlet dan Target Toko'!$C:$C,MATCH($I450,'Kode Outlet dan Target Toko'!$E:$E,0)),0)</f>
        <v>490034</v>
      </c>
      <c r="H450" s="20">
        <f>IFERROR(INDEX('Kode Outlet dan Target Toko'!$D:$D,MATCH($I450,'Kode Outlet dan Target Toko'!$E:$E,0)),0)</f>
        <v>209554</v>
      </c>
      <c r="I450" s="51" t="s">
        <v>26</v>
      </c>
      <c r="J450" s="27" t="s">
        <v>176</v>
      </c>
      <c r="K450" s="39" t="s">
        <v>14</v>
      </c>
      <c r="L450" s="29">
        <v>3275</v>
      </c>
      <c r="M450" s="24">
        <v>90</v>
      </c>
      <c r="N450" s="25">
        <f t="shared" si="13"/>
        <v>294750</v>
      </c>
      <c r="O450" s="24"/>
    </row>
    <row r="451" spans="1:15" ht="15.75" hidden="1" customHeight="1" x14ac:dyDescent="0.3">
      <c r="A451" s="26">
        <v>25</v>
      </c>
      <c r="B451" s="20" t="str">
        <f t="shared" si="12"/>
        <v>JUN</v>
      </c>
      <c r="C451" s="28">
        <v>46192</v>
      </c>
      <c r="D451" s="22" t="str">
        <f t="array" ref="D451">IFERROR(INDEX('Kode Outlet dan Target Toko'!$A:$A,MATCH($I451,'Kode Outlet dan Target Toko'!$E:$E,0)),"")</f>
        <v>GRSM 4</v>
      </c>
      <c r="E451" s="20" t="str">
        <f>IFERROR(VLOOKUP(I451,KET!$B:$F,4,0),"")</f>
        <v>FAHMI LUKMANUL HAKIM</v>
      </c>
      <c r="F451" s="20" t="str">
        <f>IFERROR(VLOOKUP(I451,KET!$B:$F,5,0),"")</f>
        <v>NKA</v>
      </c>
      <c r="G451" s="20">
        <f>IFERROR(INDEX('Kode Outlet dan Target Toko'!$C:$C,MATCH($I451,'Kode Outlet dan Target Toko'!$E:$E,0)),0)</f>
        <v>490034</v>
      </c>
      <c r="H451" s="20">
        <f>IFERROR(INDEX('Kode Outlet dan Target Toko'!$D:$D,MATCH($I451,'Kode Outlet dan Target Toko'!$E:$E,0)),0)</f>
        <v>209554</v>
      </c>
      <c r="I451" s="51" t="s">
        <v>26</v>
      </c>
      <c r="J451" s="27" t="s">
        <v>176</v>
      </c>
      <c r="K451" s="39" t="s">
        <v>13</v>
      </c>
      <c r="L451" s="29">
        <v>3275</v>
      </c>
      <c r="M451" s="24">
        <v>40</v>
      </c>
      <c r="N451" s="25">
        <f t="shared" si="13"/>
        <v>131000</v>
      </c>
      <c r="O451" s="24"/>
    </row>
    <row r="452" spans="1:15" ht="15.75" hidden="1" customHeight="1" x14ac:dyDescent="0.3">
      <c r="A452" s="26">
        <v>25</v>
      </c>
      <c r="B452" s="20" t="str">
        <f t="shared" si="12"/>
        <v>JUN</v>
      </c>
      <c r="C452" s="28">
        <v>46192</v>
      </c>
      <c r="D452" s="22" t="str">
        <f t="array" ref="D452">IFERROR(INDEX('Kode Outlet dan Target Toko'!$A:$A,MATCH($I452,'Kode Outlet dan Target Toko'!$E:$E,0)),"")</f>
        <v>GRSM 4</v>
      </c>
      <c r="E452" s="20" t="str">
        <f>IFERROR(VLOOKUP(I452,KET!$B:$F,4,0),"")</f>
        <v>FAHMI LUKMANUL HAKIM</v>
      </c>
      <c r="F452" s="20" t="str">
        <f>IFERROR(VLOOKUP(I452,KET!$B:$F,5,0),"")</f>
        <v>NKA</v>
      </c>
      <c r="G452" s="20">
        <f>IFERROR(INDEX('Kode Outlet dan Target Toko'!$C:$C,MATCH($I452,'Kode Outlet dan Target Toko'!$E:$E,0)),0)</f>
        <v>490034</v>
      </c>
      <c r="H452" s="20">
        <f>IFERROR(INDEX('Kode Outlet dan Target Toko'!$D:$D,MATCH($I452,'Kode Outlet dan Target Toko'!$E:$E,0)),0)</f>
        <v>209554</v>
      </c>
      <c r="I452" s="51" t="s">
        <v>26</v>
      </c>
      <c r="J452" s="27" t="s">
        <v>176</v>
      </c>
      <c r="K452" s="39" t="s">
        <v>16</v>
      </c>
      <c r="L452" s="29">
        <v>3275</v>
      </c>
      <c r="M452" s="24">
        <v>100</v>
      </c>
      <c r="N452" s="25">
        <f t="shared" si="13"/>
        <v>327500</v>
      </c>
      <c r="O452" s="24"/>
    </row>
    <row r="453" spans="1:15" ht="15.75" hidden="1" customHeight="1" x14ac:dyDescent="0.3">
      <c r="A453" s="26">
        <v>25</v>
      </c>
      <c r="B453" s="20" t="str">
        <f t="shared" si="12"/>
        <v>JUN</v>
      </c>
      <c r="C453" s="28">
        <v>46192</v>
      </c>
      <c r="D453" s="22" t="str">
        <f t="array" ref="D453">IFERROR(INDEX('Kode Outlet dan Target Toko'!$A:$A,MATCH($I453,'Kode Outlet dan Target Toko'!$E:$E,0)),"")</f>
        <v>GRSM 4</v>
      </c>
      <c r="E453" s="20" t="str">
        <f>IFERROR(VLOOKUP(I453,KET!$B:$F,4,0),"")</f>
        <v>FAHMI LUKMANUL HAKIM</v>
      </c>
      <c r="F453" s="20" t="str">
        <f>IFERROR(VLOOKUP(I453,KET!$B:$F,5,0),"")</f>
        <v>NKA</v>
      </c>
      <c r="G453" s="20">
        <f>IFERROR(INDEX('Kode Outlet dan Target Toko'!$C:$C,MATCH($I453,'Kode Outlet dan Target Toko'!$E:$E,0)),0)</f>
        <v>490034</v>
      </c>
      <c r="H453" s="20">
        <f>IFERROR(INDEX('Kode Outlet dan Target Toko'!$D:$D,MATCH($I453,'Kode Outlet dan Target Toko'!$E:$E,0)),0)</f>
        <v>209554</v>
      </c>
      <c r="I453" s="51" t="s">
        <v>26</v>
      </c>
      <c r="J453" s="27" t="s">
        <v>177</v>
      </c>
      <c r="K453" s="39" t="s">
        <v>15</v>
      </c>
      <c r="L453" s="29">
        <v>3275</v>
      </c>
      <c r="M453" s="24">
        <v>60</v>
      </c>
      <c r="N453" s="25">
        <f t="shared" si="13"/>
        <v>196500</v>
      </c>
      <c r="O453" s="24">
        <v>120</v>
      </c>
    </row>
    <row r="454" spans="1:15" ht="15.75" hidden="1" customHeight="1" x14ac:dyDescent="0.3">
      <c r="A454" s="26">
        <v>25</v>
      </c>
      <c r="B454" s="20" t="str">
        <f t="shared" si="12"/>
        <v>JUN</v>
      </c>
      <c r="C454" s="28">
        <v>46192</v>
      </c>
      <c r="D454" s="22" t="str">
        <f t="array" ref="D454">IFERROR(INDEX('Kode Outlet dan Target Toko'!$A:$A,MATCH($I454,'Kode Outlet dan Target Toko'!$E:$E,0)),"")</f>
        <v>GRSM 4</v>
      </c>
      <c r="E454" s="20" t="str">
        <f>IFERROR(VLOOKUP(I454,KET!$B:$F,4,0),"")</f>
        <v>FAHMI LUKMANUL HAKIM</v>
      </c>
      <c r="F454" s="20" t="str">
        <f>IFERROR(VLOOKUP(I454,KET!$B:$F,5,0),"")</f>
        <v>NKA</v>
      </c>
      <c r="G454" s="20">
        <f>IFERROR(INDEX('Kode Outlet dan Target Toko'!$C:$C,MATCH($I454,'Kode Outlet dan Target Toko'!$E:$E,0)),0)</f>
        <v>490034</v>
      </c>
      <c r="H454" s="20">
        <f>IFERROR(INDEX('Kode Outlet dan Target Toko'!$D:$D,MATCH($I454,'Kode Outlet dan Target Toko'!$E:$E,0)),0)</f>
        <v>209554</v>
      </c>
      <c r="I454" s="41" t="s">
        <v>26</v>
      </c>
      <c r="J454" s="56" t="s">
        <v>177</v>
      </c>
      <c r="K454" s="39" t="s">
        <v>14</v>
      </c>
      <c r="L454" s="29">
        <v>3275</v>
      </c>
      <c r="M454" s="24">
        <v>90</v>
      </c>
      <c r="N454" s="25">
        <f t="shared" si="13"/>
        <v>294750</v>
      </c>
      <c r="O454" s="24"/>
    </row>
    <row r="455" spans="1:15" ht="15.75" hidden="1" customHeight="1" x14ac:dyDescent="0.3">
      <c r="A455" s="26">
        <v>25</v>
      </c>
      <c r="B455" s="20" t="str">
        <f t="shared" ref="B455:B518" si="14">IF(C455="","",UPPER(TEXT(C455, "MMM")))</f>
        <v>JUN</v>
      </c>
      <c r="C455" s="28">
        <v>46192</v>
      </c>
      <c r="D455" s="22" t="str">
        <f t="array" ref="D455">IFERROR(INDEX('Kode Outlet dan Target Toko'!$A:$A,MATCH($I455,'Kode Outlet dan Target Toko'!$E:$E,0)),"")</f>
        <v>GRSM 4</v>
      </c>
      <c r="E455" s="20" t="str">
        <f>IFERROR(VLOOKUP(I455,KET!$B:$F,4,0),"")</f>
        <v>FAHMI LUKMANUL HAKIM</v>
      </c>
      <c r="F455" s="20" t="str">
        <f>IFERROR(VLOOKUP(I455,KET!$B:$F,5,0),"")</f>
        <v>NKA</v>
      </c>
      <c r="G455" s="20">
        <f>IFERROR(INDEX('Kode Outlet dan Target Toko'!$C:$C,MATCH($I455,'Kode Outlet dan Target Toko'!$E:$E,0)),0)</f>
        <v>490034</v>
      </c>
      <c r="H455" s="20">
        <f>IFERROR(INDEX('Kode Outlet dan Target Toko'!$D:$D,MATCH($I455,'Kode Outlet dan Target Toko'!$E:$E,0)),0)</f>
        <v>209554</v>
      </c>
      <c r="I455" s="41" t="s">
        <v>26</v>
      </c>
      <c r="J455" s="56" t="s">
        <v>177</v>
      </c>
      <c r="K455" s="39" t="s">
        <v>13</v>
      </c>
      <c r="L455" s="29">
        <v>3275</v>
      </c>
      <c r="M455" s="24">
        <v>40</v>
      </c>
      <c r="N455" s="25">
        <f t="shared" ref="N455:N518" si="15">IFERROR(M455*L455,"")</f>
        <v>131000</v>
      </c>
      <c r="O455" s="24"/>
    </row>
    <row r="456" spans="1:15" ht="15.75" hidden="1" customHeight="1" x14ac:dyDescent="0.3">
      <c r="A456" s="26">
        <v>25</v>
      </c>
      <c r="B456" s="20" t="str">
        <f t="shared" si="14"/>
        <v>JUN</v>
      </c>
      <c r="C456" s="28">
        <v>46192</v>
      </c>
      <c r="D456" s="22" t="str">
        <f t="array" ref="D456">IFERROR(INDEX('Kode Outlet dan Target Toko'!$A:$A,MATCH($I456,'Kode Outlet dan Target Toko'!$E:$E,0)),"")</f>
        <v>GRSM 4</v>
      </c>
      <c r="E456" s="20" t="str">
        <f>IFERROR(VLOOKUP(I456,KET!$B:$F,4,0),"")</f>
        <v>FAHMI LUKMANUL HAKIM</v>
      </c>
      <c r="F456" s="20" t="str">
        <f>IFERROR(VLOOKUP(I456,KET!$B:$F,5,0),"")</f>
        <v>NKA</v>
      </c>
      <c r="G456" s="20">
        <f>IFERROR(INDEX('Kode Outlet dan Target Toko'!$C:$C,MATCH($I456,'Kode Outlet dan Target Toko'!$E:$E,0)),0)</f>
        <v>490034</v>
      </c>
      <c r="H456" s="20">
        <f>IFERROR(INDEX('Kode Outlet dan Target Toko'!$D:$D,MATCH($I456,'Kode Outlet dan Target Toko'!$E:$E,0)),0)</f>
        <v>209554</v>
      </c>
      <c r="I456" s="41" t="s">
        <v>26</v>
      </c>
      <c r="J456" s="56" t="s">
        <v>177</v>
      </c>
      <c r="K456" s="39" t="s">
        <v>16</v>
      </c>
      <c r="L456" s="29">
        <v>3275</v>
      </c>
      <c r="M456" s="24">
        <v>100</v>
      </c>
      <c r="N456" s="25">
        <f t="shared" si="15"/>
        <v>327500</v>
      </c>
      <c r="O456" s="24"/>
    </row>
    <row r="457" spans="1:15" ht="15.75" hidden="1" customHeight="1" x14ac:dyDescent="0.3">
      <c r="A457" s="26">
        <v>25</v>
      </c>
      <c r="B457" s="20" t="str">
        <f t="shared" si="14"/>
        <v>JUN</v>
      </c>
      <c r="C457" s="28">
        <v>46192</v>
      </c>
      <c r="D457" s="22" t="str">
        <f t="array" ref="D457">IFERROR(INDEX('Kode Outlet dan Target Toko'!$A:$A,MATCH($I457,'Kode Outlet dan Target Toko'!$E:$E,0)),"")</f>
        <v>GRSM 4</v>
      </c>
      <c r="E457" s="20" t="str">
        <f>IFERROR(VLOOKUP(I457,KET!$B:$F,4,0),"")</f>
        <v>FAHMI LUKMANUL HAKIM</v>
      </c>
      <c r="F457" s="20" t="str">
        <f>IFERROR(VLOOKUP(I457,KET!$B:$F,5,0),"")</f>
        <v>GMM</v>
      </c>
      <c r="G457" s="20">
        <f>IFERROR(INDEX('Kode Outlet dan Target Toko'!$C:$C,MATCH($I457,'Kode Outlet dan Target Toko'!$E:$E,0)),0)</f>
        <v>103259</v>
      </c>
      <c r="H457" s="20">
        <f>IFERROR(INDEX('Kode Outlet dan Target Toko'!$D:$D,MATCH($I457,'Kode Outlet dan Target Toko'!$E:$E,0)),0)</f>
        <v>9029389</v>
      </c>
      <c r="I457" s="41" t="s">
        <v>18</v>
      </c>
      <c r="J457" s="56" t="s">
        <v>196</v>
      </c>
      <c r="K457" s="39" t="s">
        <v>15</v>
      </c>
      <c r="L457" s="29">
        <v>2000</v>
      </c>
      <c r="M457" s="24">
        <v>48</v>
      </c>
      <c r="N457" s="25">
        <f t="shared" si="15"/>
        <v>96000</v>
      </c>
      <c r="O457" s="24">
        <v>120</v>
      </c>
    </row>
    <row r="458" spans="1:15" ht="15.75" hidden="1" customHeight="1" x14ac:dyDescent="0.3">
      <c r="A458" s="26">
        <v>25</v>
      </c>
      <c r="B458" s="20" t="str">
        <f t="shared" si="14"/>
        <v>JUN</v>
      </c>
      <c r="C458" s="28">
        <v>46193</v>
      </c>
      <c r="D458" s="22" t="str">
        <f t="array" ref="D458">IFERROR(INDEX('Kode Outlet dan Target Toko'!$A:$A,MATCH($I458,'Kode Outlet dan Target Toko'!$E:$E,0)),"")</f>
        <v>GRSM 4</v>
      </c>
      <c r="E458" s="20" t="str">
        <f>IFERROR(VLOOKUP(I458,KET!$B:$F,4,0),"")</f>
        <v>FAHMI LUKMANUL HAKIM</v>
      </c>
      <c r="F458" s="20" t="str">
        <f>IFERROR(VLOOKUP(I458,KET!$B:$F,5,0),"")</f>
        <v>GMM</v>
      </c>
      <c r="G458" s="20">
        <f>IFERROR(INDEX('Kode Outlet dan Target Toko'!$C:$C,MATCH($I458,'Kode Outlet dan Target Toko'!$E:$E,0)),0)</f>
        <v>103259</v>
      </c>
      <c r="H458" s="20">
        <f>IFERROR(INDEX('Kode Outlet dan Target Toko'!$D:$D,MATCH($I458,'Kode Outlet dan Target Toko'!$E:$E,0)),0)</f>
        <v>9029389</v>
      </c>
      <c r="I458" s="51" t="s">
        <v>18</v>
      </c>
      <c r="J458" s="27" t="s">
        <v>196</v>
      </c>
      <c r="K458" s="39" t="s">
        <v>14</v>
      </c>
      <c r="L458" s="29">
        <v>2000</v>
      </c>
      <c r="M458" s="24">
        <v>57</v>
      </c>
      <c r="N458" s="25">
        <f t="shared" si="15"/>
        <v>114000</v>
      </c>
      <c r="O458" s="24"/>
    </row>
    <row r="459" spans="1:15" ht="15.75" hidden="1" customHeight="1" x14ac:dyDescent="0.3">
      <c r="A459" s="26">
        <v>25</v>
      </c>
      <c r="B459" s="20" t="str">
        <f t="shared" si="14"/>
        <v>JUN</v>
      </c>
      <c r="C459" s="28">
        <v>46193</v>
      </c>
      <c r="D459" s="22" t="str">
        <f t="array" ref="D459">IFERROR(INDEX('Kode Outlet dan Target Toko'!$A:$A,MATCH($I459,'Kode Outlet dan Target Toko'!$E:$E,0)),"")</f>
        <v>GRSM 4</v>
      </c>
      <c r="E459" s="20" t="str">
        <f>IFERROR(VLOOKUP(I459,KET!$B:$F,4,0),"")</f>
        <v>FAHMI LUKMANUL HAKIM</v>
      </c>
      <c r="F459" s="20" t="str">
        <f>IFERROR(VLOOKUP(I459,KET!$B:$F,5,0),"")</f>
        <v>GMM</v>
      </c>
      <c r="G459" s="20">
        <f>IFERROR(INDEX('Kode Outlet dan Target Toko'!$C:$C,MATCH($I459,'Kode Outlet dan Target Toko'!$E:$E,0)),0)</f>
        <v>103259</v>
      </c>
      <c r="H459" s="20">
        <f>IFERROR(INDEX('Kode Outlet dan Target Toko'!$D:$D,MATCH($I459,'Kode Outlet dan Target Toko'!$E:$E,0)),0)</f>
        <v>9029389</v>
      </c>
      <c r="I459" s="51" t="s">
        <v>18</v>
      </c>
      <c r="J459" s="27" t="s">
        <v>196</v>
      </c>
      <c r="K459" s="39" t="s">
        <v>13</v>
      </c>
      <c r="L459" s="29">
        <v>2000</v>
      </c>
      <c r="M459" s="24">
        <v>33</v>
      </c>
      <c r="N459" s="25">
        <f t="shared" si="15"/>
        <v>66000</v>
      </c>
      <c r="O459" s="24"/>
    </row>
    <row r="460" spans="1:15" ht="15.75" hidden="1" customHeight="1" x14ac:dyDescent="0.3">
      <c r="A460" s="26">
        <v>25</v>
      </c>
      <c r="B460" s="20" t="str">
        <f t="shared" si="14"/>
        <v>JUN</v>
      </c>
      <c r="C460" s="28">
        <v>46193</v>
      </c>
      <c r="D460" s="22" t="str">
        <f t="array" ref="D460">IFERROR(INDEX('Kode Outlet dan Target Toko'!$A:$A,MATCH($I460,'Kode Outlet dan Target Toko'!$E:$E,0)),"")</f>
        <v>GRSM 4</v>
      </c>
      <c r="E460" s="20" t="str">
        <f>IFERROR(VLOOKUP(I460,KET!$B:$F,4,0),"")</f>
        <v>FAHMI LUKMANUL HAKIM</v>
      </c>
      <c r="F460" s="20" t="str">
        <f>IFERROR(VLOOKUP(I460,KET!$B:$F,5,0),"")</f>
        <v>GMM</v>
      </c>
      <c r="G460" s="20">
        <f>IFERROR(INDEX('Kode Outlet dan Target Toko'!$C:$C,MATCH($I460,'Kode Outlet dan Target Toko'!$E:$E,0)),0)</f>
        <v>103259</v>
      </c>
      <c r="H460" s="20">
        <f>IFERROR(INDEX('Kode Outlet dan Target Toko'!$D:$D,MATCH($I460,'Kode Outlet dan Target Toko'!$E:$E,0)),0)</f>
        <v>9029389</v>
      </c>
      <c r="I460" s="51" t="s">
        <v>18</v>
      </c>
      <c r="J460" s="27" t="s">
        <v>196</v>
      </c>
      <c r="K460" s="39" t="s">
        <v>16</v>
      </c>
      <c r="L460" s="29">
        <v>2000</v>
      </c>
      <c r="M460" s="24">
        <v>87</v>
      </c>
      <c r="N460" s="25">
        <f t="shared" si="15"/>
        <v>174000</v>
      </c>
      <c r="O460" s="24"/>
    </row>
    <row r="461" spans="1:15" ht="15.75" hidden="1" customHeight="1" x14ac:dyDescent="0.3">
      <c r="A461" s="26">
        <v>25</v>
      </c>
      <c r="B461" s="20" t="str">
        <f t="shared" si="14"/>
        <v>JUN</v>
      </c>
      <c r="C461" s="28">
        <v>46193</v>
      </c>
      <c r="D461" s="22" t="str">
        <f t="array" ref="D461">IFERROR(INDEX('Kode Outlet dan Target Toko'!$A:$A,MATCH($I461,'Kode Outlet dan Target Toko'!$E:$E,0)),"")</f>
        <v>GRSM 4</v>
      </c>
      <c r="E461" s="20" t="str">
        <f>IFERROR(VLOOKUP(I461,KET!$B:$F,4,0),"")</f>
        <v>FAHMI LUKMANUL HAKIM</v>
      </c>
      <c r="F461" s="20" t="str">
        <f>IFERROR(VLOOKUP(I461,KET!$B:$F,5,0),"")</f>
        <v>GMM</v>
      </c>
      <c r="G461" s="20">
        <f>IFERROR(INDEX('Kode Outlet dan Target Toko'!$C:$C,MATCH($I461,'Kode Outlet dan Target Toko'!$E:$E,0)),0)</f>
        <v>103259</v>
      </c>
      <c r="H461" s="20">
        <f>IFERROR(INDEX('Kode Outlet dan Target Toko'!$D:$D,MATCH($I461,'Kode Outlet dan Target Toko'!$E:$E,0)),0)</f>
        <v>9029389</v>
      </c>
      <c r="I461" s="51" t="s">
        <v>18</v>
      </c>
      <c r="J461" s="27" t="s">
        <v>174</v>
      </c>
      <c r="K461" s="39" t="s">
        <v>15</v>
      </c>
      <c r="L461" s="29">
        <v>2000</v>
      </c>
      <c r="M461" s="24">
        <v>55</v>
      </c>
      <c r="N461" s="25">
        <f t="shared" si="15"/>
        <v>110000</v>
      </c>
      <c r="O461" s="24">
        <v>160</v>
      </c>
    </row>
    <row r="462" spans="1:15" ht="15.75" hidden="1" customHeight="1" x14ac:dyDescent="0.3">
      <c r="A462" s="26">
        <v>25</v>
      </c>
      <c r="B462" s="20" t="str">
        <f t="shared" si="14"/>
        <v>JUN</v>
      </c>
      <c r="C462" s="28">
        <v>46193</v>
      </c>
      <c r="D462" s="22" t="str">
        <f t="array" ref="D462">IFERROR(INDEX('Kode Outlet dan Target Toko'!$A:$A,MATCH($I462,'Kode Outlet dan Target Toko'!$E:$E,0)),"")</f>
        <v>GRSM 4</v>
      </c>
      <c r="E462" s="20" t="str">
        <f>IFERROR(VLOOKUP(I462,KET!$B:$F,4,0),"")</f>
        <v>FAHMI LUKMANUL HAKIM</v>
      </c>
      <c r="F462" s="20" t="str">
        <f>IFERROR(VLOOKUP(I462,KET!$B:$F,5,0),"")</f>
        <v>GMM</v>
      </c>
      <c r="G462" s="20">
        <f>IFERROR(INDEX('Kode Outlet dan Target Toko'!$C:$C,MATCH($I462,'Kode Outlet dan Target Toko'!$E:$E,0)),0)</f>
        <v>103259</v>
      </c>
      <c r="H462" s="20">
        <f>IFERROR(INDEX('Kode Outlet dan Target Toko'!$D:$D,MATCH($I462,'Kode Outlet dan Target Toko'!$E:$E,0)),0)</f>
        <v>9029389</v>
      </c>
      <c r="I462" s="51" t="s">
        <v>18</v>
      </c>
      <c r="J462" s="27" t="s">
        <v>174</v>
      </c>
      <c r="K462" s="39" t="s">
        <v>14</v>
      </c>
      <c r="L462" s="29">
        <v>2000</v>
      </c>
      <c r="M462" s="24">
        <v>43</v>
      </c>
      <c r="N462" s="25">
        <f t="shared" si="15"/>
        <v>86000</v>
      </c>
      <c r="O462" s="24"/>
    </row>
    <row r="463" spans="1:15" ht="15.75" hidden="1" customHeight="1" x14ac:dyDescent="0.3">
      <c r="A463" s="26">
        <v>25</v>
      </c>
      <c r="B463" s="20" t="str">
        <f t="shared" si="14"/>
        <v>JUN</v>
      </c>
      <c r="C463" s="28">
        <v>46193</v>
      </c>
      <c r="D463" s="22" t="str">
        <f t="array" ref="D463">IFERROR(INDEX('Kode Outlet dan Target Toko'!$A:$A,MATCH($I463,'Kode Outlet dan Target Toko'!$E:$E,0)),"")</f>
        <v>GRSM 4</v>
      </c>
      <c r="E463" s="20" t="str">
        <f>IFERROR(VLOOKUP(I463,KET!$B:$F,4,0),"")</f>
        <v>FAHMI LUKMANUL HAKIM</v>
      </c>
      <c r="F463" s="20" t="str">
        <f>IFERROR(VLOOKUP(I463,KET!$B:$F,5,0),"")</f>
        <v>GMM</v>
      </c>
      <c r="G463" s="20">
        <f>IFERROR(INDEX('Kode Outlet dan Target Toko'!$C:$C,MATCH($I463,'Kode Outlet dan Target Toko'!$E:$E,0)),0)</f>
        <v>103259</v>
      </c>
      <c r="H463" s="20">
        <f>IFERROR(INDEX('Kode Outlet dan Target Toko'!$D:$D,MATCH($I463,'Kode Outlet dan Target Toko'!$E:$E,0)),0)</f>
        <v>9029389</v>
      </c>
      <c r="I463" s="51" t="s">
        <v>18</v>
      </c>
      <c r="J463" s="27" t="s">
        <v>174</v>
      </c>
      <c r="K463" s="39" t="s">
        <v>13</v>
      </c>
      <c r="L463" s="29">
        <v>2000</v>
      </c>
      <c r="M463" s="24">
        <v>41</v>
      </c>
      <c r="N463" s="25">
        <f t="shared" si="15"/>
        <v>82000</v>
      </c>
      <c r="O463" s="24"/>
    </row>
    <row r="464" spans="1:15" ht="15.75" hidden="1" customHeight="1" x14ac:dyDescent="0.3">
      <c r="A464" s="26">
        <v>25</v>
      </c>
      <c r="B464" s="20" t="str">
        <f t="shared" si="14"/>
        <v>JUN</v>
      </c>
      <c r="C464" s="28">
        <v>46193</v>
      </c>
      <c r="D464" s="22" t="str">
        <f t="array" ref="D464">IFERROR(INDEX('Kode Outlet dan Target Toko'!$A:$A,MATCH($I464,'Kode Outlet dan Target Toko'!$E:$E,0)),"")</f>
        <v>GRSM 4</v>
      </c>
      <c r="E464" s="20" t="str">
        <f>IFERROR(VLOOKUP(I464,KET!$B:$F,4,0),"")</f>
        <v>FAHMI LUKMANUL HAKIM</v>
      </c>
      <c r="F464" s="20" t="str">
        <f>IFERROR(VLOOKUP(I464,KET!$B:$F,5,0),"")</f>
        <v>GMM</v>
      </c>
      <c r="G464" s="20">
        <f>IFERROR(INDEX('Kode Outlet dan Target Toko'!$C:$C,MATCH($I464,'Kode Outlet dan Target Toko'!$E:$E,0)),0)</f>
        <v>103259</v>
      </c>
      <c r="H464" s="20">
        <f>IFERROR(INDEX('Kode Outlet dan Target Toko'!$D:$D,MATCH($I464,'Kode Outlet dan Target Toko'!$E:$E,0)),0)</f>
        <v>9029389</v>
      </c>
      <c r="I464" s="51" t="s">
        <v>18</v>
      </c>
      <c r="J464" s="27" t="s">
        <v>174</v>
      </c>
      <c r="K464" s="39" t="s">
        <v>16</v>
      </c>
      <c r="L464" s="29">
        <v>2000</v>
      </c>
      <c r="M464" s="24">
        <v>195</v>
      </c>
      <c r="N464" s="25">
        <f t="shared" si="15"/>
        <v>390000</v>
      </c>
      <c r="O464" s="24"/>
    </row>
    <row r="465" spans="1:15" ht="15.75" hidden="1" customHeight="1" x14ac:dyDescent="0.3">
      <c r="A465" s="26">
        <v>25</v>
      </c>
      <c r="B465" s="20" t="str">
        <f t="shared" si="14"/>
        <v>JUN</v>
      </c>
      <c r="C465" s="28">
        <v>46193</v>
      </c>
      <c r="D465" s="22" t="str">
        <f t="array" ref="D465">IFERROR(INDEX('Kode Outlet dan Target Toko'!$A:$A,MATCH($I465,'Kode Outlet dan Target Toko'!$E:$E,0)),"")</f>
        <v>GRSM 4</v>
      </c>
      <c r="E465" s="20" t="str">
        <f>IFERROR(VLOOKUP(I465,KET!$B:$F,4,0),"")</f>
        <v>FAHMI LUKMANUL HAKIM</v>
      </c>
      <c r="F465" s="20" t="str">
        <f>IFERROR(VLOOKUP(I465,KET!$B:$F,5,0),"")</f>
        <v>GMM</v>
      </c>
      <c r="G465" s="20">
        <f>IFERROR(INDEX('Kode Outlet dan Target Toko'!$C:$C,MATCH($I465,'Kode Outlet dan Target Toko'!$E:$E,0)),0)</f>
        <v>103259</v>
      </c>
      <c r="H465" s="20">
        <f>IFERROR(INDEX('Kode Outlet dan Target Toko'!$D:$D,MATCH($I465,'Kode Outlet dan Target Toko'!$E:$E,0)),0)</f>
        <v>9013525</v>
      </c>
      <c r="I465" s="51" t="s">
        <v>24</v>
      </c>
      <c r="J465" s="45" t="s">
        <v>188</v>
      </c>
      <c r="K465" s="39" t="s">
        <v>15</v>
      </c>
      <c r="L465" s="29">
        <v>2000</v>
      </c>
      <c r="M465" s="24">
        <v>54</v>
      </c>
      <c r="N465" s="25">
        <f t="shared" si="15"/>
        <v>108000</v>
      </c>
      <c r="O465" s="24">
        <v>160</v>
      </c>
    </row>
    <row r="466" spans="1:15" ht="15.75" hidden="1" customHeight="1" x14ac:dyDescent="0.3">
      <c r="A466" s="26">
        <v>25</v>
      </c>
      <c r="B466" s="20" t="str">
        <f t="shared" si="14"/>
        <v>JUN</v>
      </c>
      <c r="C466" s="28">
        <v>46193</v>
      </c>
      <c r="D466" s="22" t="str">
        <f t="array" ref="D466">IFERROR(INDEX('Kode Outlet dan Target Toko'!$A:$A,MATCH($I466,'Kode Outlet dan Target Toko'!$E:$E,0)),"")</f>
        <v>GRSM 4</v>
      </c>
      <c r="E466" s="20" t="str">
        <f>IFERROR(VLOOKUP(I466,KET!$B:$F,4,0),"")</f>
        <v>FAHMI LUKMANUL HAKIM</v>
      </c>
      <c r="F466" s="20" t="str">
        <f>IFERROR(VLOOKUP(I466,KET!$B:$F,5,0),"")</f>
        <v>GMM</v>
      </c>
      <c r="G466" s="20">
        <f>IFERROR(INDEX('Kode Outlet dan Target Toko'!$C:$C,MATCH($I466,'Kode Outlet dan Target Toko'!$E:$E,0)),0)</f>
        <v>103259</v>
      </c>
      <c r="H466" s="20">
        <f>IFERROR(INDEX('Kode Outlet dan Target Toko'!$D:$D,MATCH($I466,'Kode Outlet dan Target Toko'!$E:$E,0)),0)</f>
        <v>9013525</v>
      </c>
      <c r="I466" s="51" t="s">
        <v>24</v>
      </c>
      <c r="J466" s="45" t="s">
        <v>188</v>
      </c>
      <c r="K466" s="39" t="s">
        <v>14</v>
      </c>
      <c r="L466" s="29">
        <v>2000</v>
      </c>
      <c r="M466" s="24">
        <v>48</v>
      </c>
      <c r="N466" s="25">
        <f t="shared" si="15"/>
        <v>96000</v>
      </c>
      <c r="O466" s="24"/>
    </row>
    <row r="467" spans="1:15" ht="15.75" hidden="1" customHeight="1" x14ac:dyDescent="0.3">
      <c r="A467" s="26">
        <v>25</v>
      </c>
      <c r="B467" s="20" t="str">
        <f t="shared" si="14"/>
        <v>JUN</v>
      </c>
      <c r="C467" s="28">
        <v>46193</v>
      </c>
      <c r="D467" s="22" t="str">
        <f t="array" ref="D467">IFERROR(INDEX('Kode Outlet dan Target Toko'!$A:$A,MATCH($I467,'Kode Outlet dan Target Toko'!$E:$E,0)),"")</f>
        <v>GRSM 4</v>
      </c>
      <c r="E467" s="20" t="str">
        <f>IFERROR(VLOOKUP(I467,KET!$B:$F,4,0),"")</f>
        <v>FAHMI LUKMANUL HAKIM</v>
      </c>
      <c r="F467" s="20" t="str">
        <f>IFERROR(VLOOKUP(I467,KET!$B:$F,5,0),"")</f>
        <v>GMM</v>
      </c>
      <c r="G467" s="20">
        <f>IFERROR(INDEX('Kode Outlet dan Target Toko'!$C:$C,MATCH($I467,'Kode Outlet dan Target Toko'!$E:$E,0)),0)</f>
        <v>103259</v>
      </c>
      <c r="H467" s="20">
        <f>IFERROR(INDEX('Kode Outlet dan Target Toko'!$D:$D,MATCH($I467,'Kode Outlet dan Target Toko'!$E:$E,0)),0)</f>
        <v>9013525</v>
      </c>
      <c r="I467" s="51" t="s">
        <v>24</v>
      </c>
      <c r="J467" s="45" t="s">
        <v>188</v>
      </c>
      <c r="K467" s="39" t="s">
        <v>13</v>
      </c>
      <c r="L467" s="29">
        <v>2000</v>
      </c>
      <c r="M467" s="24">
        <v>42</v>
      </c>
      <c r="N467" s="25">
        <f t="shared" si="15"/>
        <v>84000</v>
      </c>
      <c r="O467" s="24"/>
    </row>
    <row r="468" spans="1:15" ht="15.75" hidden="1" customHeight="1" x14ac:dyDescent="0.3">
      <c r="A468" s="26">
        <v>25</v>
      </c>
      <c r="B468" s="20" t="str">
        <f t="shared" si="14"/>
        <v>JUN</v>
      </c>
      <c r="C468" s="28">
        <v>46193</v>
      </c>
      <c r="D468" s="22" t="str">
        <f t="array" ref="D468">IFERROR(INDEX('Kode Outlet dan Target Toko'!$A:$A,MATCH($I468,'Kode Outlet dan Target Toko'!$E:$E,0)),"")</f>
        <v>GRSM 4</v>
      </c>
      <c r="E468" s="20" t="str">
        <f>IFERROR(VLOOKUP(I468,KET!$B:$F,4,0),"")</f>
        <v>FAHMI LUKMANUL HAKIM</v>
      </c>
      <c r="F468" s="20" t="str">
        <f>IFERROR(VLOOKUP(I468,KET!$B:$F,5,0),"")</f>
        <v>GMM</v>
      </c>
      <c r="G468" s="20">
        <f>IFERROR(INDEX('Kode Outlet dan Target Toko'!$C:$C,MATCH($I468,'Kode Outlet dan Target Toko'!$E:$E,0)),0)</f>
        <v>103259</v>
      </c>
      <c r="H468" s="20">
        <f>IFERROR(INDEX('Kode Outlet dan Target Toko'!$D:$D,MATCH($I468,'Kode Outlet dan Target Toko'!$E:$E,0)),0)</f>
        <v>9013525</v>
      </c>
      <c r="I468" s="51" t="s">
        <v>24</v>
      </c>
      <c r="J468" s="45" t="s">
        <v>188</v>
      </c>
      <c r="K468" s="39" t="s">
        <v>16</v>
      </c>
      <c r="L468" s="29">
        <v>2000</v>
      </c>
      <c r="M468" s="24">
        <v>132</v>
      </c>
      <c r="N468" s="25">
        <f t="shared" si="15"/>
        <v>264000</v>
      </c>
      <c r="O468" s="24"/>
    </row>
    <row r="469" spans="1:15" ht="15.75" hidden="1" customHeight="1" x14ac:dyDescent="0.3">
      <c r="A469" s="26">
        <v>25</v>
      </c>
      <c r="B469" s="20" t="str">
        <f t="shared" si="14"/>
        <v>JUN</v>
      </c>
      <c r="C469" s="28">
        <v>46193</v>
      </c>
      <c r="D469" s="22" t="str">
        <f t="array" ref="D469">IFERROR(INDEX('Kode Outlet dan Target Toko'!$A:$A,MATCH($I469,'Kode Outlet dan Target Toko'!$E:$E,0)),"")</f>
        <v>GRSM 4</v>
      </c>
      <c r="E469" s="20" t="str">
        <f>IFERROR(VLOOKUP(I469,KET!$B:$F,4,0),"")</f>
        <v>FAHMI LUKMANUL HAKIM</v>
      </c>
      <c r="F469" s="20" t="str">
        <f>IFERROR(VLOOKUP(I469,KET!$B:$F,5,0),"")</f>
        <v>GMM</v>
      </c>
      <c r="G469" s="20">
        <f>IFERROR(INDEX('Kode Outlet dan Target Toko'!$C:$C,MATCH($I469,'Kode Outlet dan Target Toko'!$E:$E,0)),0)</f>
        <v>103259</v>
      </c>
      <c r="H469" s="20">
        <f>IFERROR(INDEX('Kode Outlet dan Target Toko'!$D:$D,MATCH($I469,'Kode Outlet dan Target Toko'!$E:$E,0)),0)</f>
        <v>9013525</v>
      </c>
      <c r="I469" s="51" t="s">
        <v>24</v>
      </c>
      <c r="J469" s="27" t="s">
        <v>189</v>
      </c>
      <c r="K469" s="39" t="s">
        <v>15</v>
      </c>
      <c r="L469" s="29">
        <v>2000</v>
      </c>
      <c r="M469" s="24">
        <v>60</v>
      </c>
      <c r="N469" s="25">
        <f t="shared" si="15"/>
        <v>120000</v>
      </c>
      <c r="O469" s="24">
        <v>150</v>
      </c>
    </row>
    <row r="470" spans="1:15" ht="15.75" hidden="1" customHeight="1" x14ac:dyDescent="0.3">
      <c r="A470" s="26">
        <v>25</v>
      </c>
      <c r="B470" s="20" t="str">
        <f t="shared" si="14"/>
        <v>JUN</v>
      </c>
      <c r="C470" s="28">
        <v>46193</v>
      </c>
      <c r="D470" s="22" t="str">
        <f t="array" ref="D470">IFERROR(INDEX('Kode Outlet dan Target Toko'!$A:$A,MATCH($I470,'Kode Outlet dan Target Toko'!$E:$E,0)),"")</f>
        <v>GRSM 4</v>
      </c>
      <c r="E470" s="20" t="str">
        <f>IFERROR(VLOOKUP(I470,KET!$B:$F,4,0),"")</f>
        <v>FAHMI LUKMANUL HAKIM</v>
      </c>
      <c r="F470" s="20" t="str">
        <f>IFERROR(VLOOKUP(I470,KET!$B:$F,5,0),"")</f>
        <v>GMM</v>
      </c>
      <c r="G470" s="20">
        <f>IFERROR(INDEX('Kode Outlet dan Target Toko'!$C:$C,MATCH($I470,'Kode Outlet dan Target Toko'!$E:$E,0)),0)</f>
        <v>103259</v>
      </c>
      <c r="H470" s="20">
        <f>IFERROR(INDEX('Kode Outlet dan Target Toko'!$D:$D,MATCH($I470,'Kode Outlet dan Target Toko'!$E:$E,0)),0)</f>
        <v>9013525</v>
      </c>
      <c r="I470" s="51" t="s">
        <v>24</v>
      </c>
      <c r="J470" s="27" t="s">
        <v>189</v>
      </c>
      <c r="K470" s="39" t="s">
        <v>14</v>
      </c>
      <c r="L470" s="29">
        <v>2000</v>
      </c>
      <c r="M470" s="24">
        <v>42</v>
      </c>
      <c r="N470" s="25">
        <f t="shared" si="15"/>
        <v>84000</v>
      </c>
      <c r="O470" s="24"/>
    </row>
    <row r="471" spans="1:15" ht="15.75" hidden="1" customHeight="1" x14ac:dyDescent="0.3">
      <c r="A471" s="26">
        <v>25</v>
      </c>
      <c r="B471" s="20" t="str">
        <f t="shared" si="14"/>
        <v>JUN</v>
      </c>
      <c r="C471" s="28">
        <v>46193</v>
      </c>
      <c r="D471" s="22" t="str">
        <f t="array" ref="D471">IFERROR(INDEX('Kode Outlet dan Target Toko'!$A:$A,MATCH($I471,'Kode Outlet dan Target Toko'!$E:$E,0)),"")</f>
        <v>GRSM 4</v>
      </c>
      <c r="E471" s="20" t="str">
        <f>IFERROR(VLOOKUP(I471,KET!$B:$F,4,0),"")</f>
        <v>FAHMI LUKMANUL HAKIM</v>
      </c>
      <c r="F471" s="20" t="str">
        <f>IFERROR(VLOOKUP(I471,KET!$B:$F,5,0),"")</f>
        <v>GMM</v>
      </c>
      <c r="G471" s="20">
        <f>IFERROR(INDEX('Kode Outlet dan Target Toko'!$C:$C,MATCH($I471,'Kode Outlet dan Target Toko'!$E:$E,0)),0)</f>
        <v>103259</v>
      </c>
      <c r="H471" s="20">
        <f>IFERROR(INDEX('Kode Outlet dan Target Toko'!$D:$D,MATCH($I471,'Kode Outlet dan Target Toko'!$E:$E,0)),0)</f>
        <v>9013525</v>
      </c>
      <c r="I471" s="51" t="s">
        <v>24</v>
      </c>
      <c r="J471" s="27" t="s">
        <v>189</v>
      </c>
      <c r="K471" s="39" t="s">
        <v>13</v>
      </c>
      <c r="L471" s="29">
        <v>2000</v>
      </c>
      <c r="M471" s="24">
        <v>42</v>
      </c>
      <c r="N471" s="25">
        <f t="shared" si="15"/>
        <v>84000</v>
      </c>
      <c r="O471" s="24"/>
    </row>
    <row r="472" spans="1:15" ht="15.75" hidden="1" customHeight="1" x14ac:dyDescent="0.3">
      <c r="A472" s="26">
        <v>25</v>
      </c>
      <c r="B472" s="20" t="str">
        <f t="shared" si="14"/>
        <v>JUN</v>
      </c>
      <c r="C472" s="28">
        <v>46193</v>
      </c>
      <c r="D472" s="22" t="str">
        <f t="array" ref="D472">IFERROR(INDEX('Kode Outlet dan Target Toko'!$A:$A,MATCH($I472,'Kode Outlet dan Target Toko'!$E:$E,0)),"")</f>
        <v>GRSM 4</v>
      </c>
      <c r="E472" s="20" t="str">
        <f>IFERROR(VLOOKUP(I472,KET!$B:$F,4,0),"")</f>
        <v>FAHMI LUKMANUL HAKIM</v>
      </c>
      <c r="F472" s="20" t="str">
        <f>IFERROR(VLOOKUP(I472,KET!$B:$F,5,0),"")</f>
        <v>GMM</v>
      </c>
      <c r="G472" s="20">
        <f>IFERROR(INDEX('Kode Outlet dan Target Toko'!$C:$C,MATCH($I472,'Kode Outlet dan Target Toko'!$E:$E,0)),0)</f>
        <v>103259</v>
      </c>
      <c r="H472" s="20">
        <f>IFERROR(INDEX('Kode Outlet dan Target Toko'!$D:$D,MATCH($I472,'Kode Outlet dan Target Toko'!$E:$E,0)),0)</f>
        <v>9013525</v>
      </c>
      <c r="I472" s="51" t="s">
        <v>24</v>
      </c>
      <c r="J472" s="27" t="s">
        <v>189</v>
      </c>
      <c r="K472" s="39" t="s">
        <v>16</v>
      </c>
      <c r="L472" s="29">
        <v>2000</v>
      </c>
      <c r="M472" s="24">
        <v>120</v>
      </c>
      <c r="N472" s="25">
        <f t="shared" si="15"/>
        <v>240000</v>
      </c>
      <c r="O472" s="24"/>
    </row>
    <row r="473" spans="1:15" ht="15.75" hidden="1" customHeight="1" x14ac:dyDescent="0.3">
      <c r="A473" s="26">
        <v>25</v>
      </c>
      <c r="B473" s="20" t="str">
        <f t="shared" si="14"/>
        <v>JUN</v>
      </c>
      <c r="C473" s="28">
        <v>46193</v>
      </c>
      <c r="D473" s="22" t="str">
        <f t="array" ref="D473">IFERROR(INDEX('Kode Outlet dan Target Toko'!$A:$A,MATCH($I473,'Kode Outlet dan Target Toko'!$E:$E,0)),"")</f>
        <v>GRSM 4</v>
      </c>
      <c r="E473" s="20" t="str">
        <f>IFERROR(VLOOKUP(I473,KET!$B:$F,4,0),"")</f>
        <v>FAHMI LUKMANUL HAKIM</v>
      </c>
      <c r="F473" s="20" t="str">
        <f>IFERROR(VLOOKUP(I473,KET!$B:$F,5,0),"")</f>
        <v>GMM</v>
      </c>
      <c r="G473" s="20">
        <f>IFERROR(INDEX('Kode Outlet dan Target Toko'!$C:$C,MATCH($I473,'Kode Outlet dan Target Toko'!$E:$E,0)),0)</f>
        <v>189901</v>
      </c>
      <c r="H473" s="20">
        <f>IFERROR(INDEX('Kode Outlet dan Target Toko'!$D:$D,MATCH($I473,'Kode Outlet dan Target Toko'!$E:$E,0)),0)</f>
        <v>1602020</v>
      </c>
      <c r="I473" s="51" t="s">
        <v>20</v>
      </c>
      <c r="J473" s="27" t="s">
        <v>198</v>
      </c>
      <c r="K473" s="39" t="s">
        <v>15</v>
      </c>
      <c r="L473" s="29">
        <v>2200</v>
      </c>
      <c r="M473" s="24">
        <v>54</v>
      </c>
      <c r="N473" s="25">
        <f t="shared" si="15"/>
        <v>118800</v>
      </c>
      <c r="O473" s="24">
        <v>150</v>
      </c>
    </row>
    <row r="474" spans="1:15" ht="15.75" hidden="1" customHeight="1" x14ac:dyDescent="0.3">
      <c r="A474" s="26">
        <v>25</v>
      </c>
      <c r="B474" s="20" t="str">
        <f t="shared" si="14"/>
        <v>JUN</v>
      </c>
      <c r="C474" s="28">
        <v>46193</v>
      </c>
      <c r="D474" s="22" t="str">
        <f t="array" ref="D474">IFERROR(INDEX('Kode Outlet dan Target Toko'!$A:$A,MATCH($I474,'Kode Outlet dan Target Toko'!$E:$E,0)),"")</f>
        <v>GRSM 4</v>
      </c>
      <c r="E474" s="20" t="str">
        <f>IFERROR(VLOOKUP(I474,KET!$B:$F,4,0),"")</f>
        <v>FAHMI LUKMANUL HAKIM</v>
      </c>
      <c r="F474" s="20" t="str">
        <f>IFERROR(VLOOKUP(I474,KET!$B:$F,5,0),"")</f>
        <v>GMM</v>
      </c>
      <c r="G474" s="20">
        <f>IFERROR(INDEX('Kode Outlet dan Target Toko'!$C:$C,MATCH($I474,'Kode Outlet dan Target Toko'!$E:$E,0)),0)</f>
        <v>189901</v>
      </c>
      <c r="H474" s="20">
        <f>IFERROR(INDEX('Kode Outlet dan Target Toko'!$D:$D,MATCH($I474,'Kode Outlet dan Target Toko'!$E:$E,0)),0)</f>
        <v>1602020</v>
      </c>
      <c r="I474" s="41" t="s">
        <v>20</v>
      </c>
      <c r="J474" s="27" t="s">
        <v>198</v>
      </c>
      <c r="K474" s="39" t="s">
        <v>14</v>
      </c>
      <c r="L474" s="23">
        <v>2200</v>
      </c>
      <c r="M474" s="24">
        <v>69</v>
      </c>
      <c r="N474" s="25">
        <f t="shared" si="15"/>
        <v>151800</v>
      </c>
      <c r="O474" s="24"/>
    </row>
    <row r="475" spans="1:15" ht="15.75" hidden="1" customHeight="1" x14ac:dyDescent="0.3">
      <c r="A475" s="26">
        <v>25</v>
      </c>
      <c r="B475" s="20" t="str">
        <f t="shared" si="14"/>
        <v>JUN</v>
      </c>
      <c r="C475" s="28">
        <v>46193</v>
      </c>
      <c r="D475" s="22" t="str">
        <f t="array" ref="D475">IFERROR(INDEX('Kode Outlet dan Target Toko'!$A:$A,MATCH($I475,'Kode Outlet dan Target Toko'!$E:$E,0)),"")</f>
        <v>GRSM 4</v>
      </c>
      <c r="E475" s="20" t="str">
        <f>IFERROR(VLOOKUP(I475,KET!$B:$F,4,0),"")</f>
        <v>FAHMI LUKMANUL HAKIM</v>
      </c>
      <c r="F475" s="20" t="str">
        <f>IFERROR(VLOOKUP(I475,KET!$B:$F,5,0),"")</f>
        <v>GMM</v>
      </c>
      <c r="G475" s="20">
        <f>IFERROR(INDEX('Kode Outlet dan Target Toko'!$C:$C,MATCH($I475,'Kode Outlet dan Target Toko'!$E:$E,0)),0)</f>
        <v>189901</v>
      </c>
      <c r="H475" s="20">
        <f>IFERROR(INDEX('Kode Outlet dan Target Toko'!$D:$D,MATCH($I475,'Kode Outlet dan Target Toko'!$E:$E,0)),0)</f>
        <v>1602020</v>
      </c>
      <c r="I475" s="41" t="s">
        <v>20</v>
      </c>
      <c r="J475" s="27" t="s">
        <v>198</v>
      </c>
      <c r="K475" s="39" t="s">
        <v>13</v>
      </c>
      <c r="L475" s="23">
        <v>2200</v>
      </c>
      <c r="M475" s="24">
        <v>33</v>
      </c>
      <c r="N475" s="25">
        <f t="shared" si="15"/>
        <v>72600</v>
      </c>
      <c r="O475" s="24"/>
    </row>
    <row r="476" spans="1:15" ht="15.75" hidden="1" customHeight="1" x14ac:dyDescent="0.3">
      <c r="A476" s="26">
        <v>25</v>
      </c>
      <c r="B476" s="20" t="str">
        <f t="shared" si="14"/>
        <v>JUN</v>
      </c>
      <c r="C476" s="28">
        <v>46193</v>
      </c>
      <c r="D476" s="22" t="str">
        <f t="array" ref="D476">IFERROR(INDEX('Kode Outlet dan Target Toko'!$A:$A,MATCH($I476,'Kode Outlet dan Target Toko'!$E:$E,0)),"")</f>
        <v>GRSM 4</v>
      </c>
      <c r="E476" s="20" t="str">
        <f>IFERROR(VLOOKUP(I476,KET!$B:$F,4,0),"")</f>
        <v>FAHMI LUKMANUL HAKIM</v>
      </c>
      <c r="F476" s="20" t="str">
        <f>IFERROR(VLOOKUP(I476,KET!$B:$F,5,0),"")</f>
        <v>GMM</v>
      </c>
      <c r="G476" s="20">
        <f>IFERROR(INDEX('Kode Outlet dan Target Toko'!$C:$C,MATCH($I476,'Kode Outlet dan Target Toko'!$E:$E,0)),0)</f>
        <v>189901</v>
      </c>
      <c r="H476" s="20">
        <f>IFERROR(INDEX('Kode Outlet dan Target Toko'!$D:$D,MATCH($I476,'Kode Outlet dan Target Toko'!$E:$E,0)),0)</f>
        <v>1602020</v>
      </c>
      <c r="I476" s="41" t="s">
        <v>20</v>
      </c>
      <c r="J476" s="27" t="s">
        <v>198</v>
      </c>
      <c r="K476" s="39" t="s">
        <v>16</v>
      </c>
      <c r="L476" s="23">
        <v>2200</v>
      </c>
      <c r="M476" s="24">
        <v>70</v>
      </c>
      <c r="N476" s="25">
        <f t="shared" si="15"/>
        <v>154000</v>
      </c>
      <c r="O476" s="24"/>
    </row>
    <row r="477" spans="1:15" ht="15.75" hidden="1" customHeight="1" x14ac:dyDescent="0.3">
      <c r="A477" s="26">
        <v>25</v>
      </c>
      <c r="B477" s="20" t="str">
        <f t="shared" si="14"/>
        <v>JUN</v>
      </c>
      <c r="C477" s="28">
        <v>46193</v>
      </c>
      <c r="D477" s="22" t="str">
        <f t="array" ref="D477">IFERROR(INDEX('Kode Outlet dan Target Toko'!$A:$A,MATCH($I477,'Kode Outlet dan Target Toko'!$E:$E,0)),"")</f>
        <v>GRSM 4</v>
      </c>
      <c r="E477" s="20" t="str">
        <f>IFERROR(VLOOKUP(I477,KET!$B:$F,4,0),"")</f>
        <v>FAHMI LUKMANUL HAKIM</v>
      </c>
      <c r="F477" s="20" t="str">
        <f>IFERROR(VLOOKUP(I477,KET!$B:$F,5,0),"")</f>
        <v>GMM</v>
      </c>
      <c r="G477" s="20">
        <f>IFERROR(INDEX('Kode Outlet dan Target Toko'!$C:$C,MATCH($I477,'Kode Outlet dan Target Toko'!$E:$E,0)),0)</f>
        <v>189901</v>
      </c>
      <c r="H477" s="20">
        <f>IFERROR(INDEX('Kode Outlet dan Target Toko'!$D:$D,MATCH($I477,'Kode Outlet dan Target Toko'!$E:$E,0)),0)</f>
        <v>1602020</v>
      </c>
      <c r="I477" s="41" t="s">
        <v>20</v>
      </c>
      <c r="J477" s="56" t="s">
        <v>253</v>
      </c>
      <c r="K477" s="39" t="s">
        <v>15</v>
      </c>
      <c r="L477" s="23">
        <v>2200</v>
      </c>
      <c r="M477" s="24">
        <v>62</v>
      </c>
      <c r="N477" s="25">
        <f t="shared" si="15"/>
        <v>136400</v>
      </c>
      <c r="O477" s="24">
        <v>120</v>
      </c>
    </row>
    <row r="478" spans="1:15" ht="15.75" hidden="1" customHeight="1" x14ac:dyDescent="0.3">
      <c r="A478" s="26">
        <v>25</v>
      </c>
      <c r="B478" s="20" t="str">
        <f t="shared" si="14"/>
        <v>JUN</v>
      </c>
      <c r="C478" s="28">
        <v>46193</v>
      </c>
      <c r="D478" s="22" t="str">
        <f t="array" ref="D478">IFERROR(INDEX('Kode Outlet dan Target Toko'!$A:$A,MATCH($I478,'Kode Outlet dan Target Toko'!$E:$E,0)),"")</f>
        <v>GRSM 4</v>
      </c>
      <c r="E478" s="20" t="str">
        <f>IFERROR(VLOOKUP(I478,KET!$B:$F,4,0),"")</f>
        <v>FAHMI LUKMANUL HAKIM</v>
      </c>
      <c r="F478" s="20" t="str">
        <f>IFERROR(VLOOKUP(I478,KET!$B:$F,5,0),"")</f>
        <v>GMM</v>
      </c>
      <c r="G478" s="20">
        <f>IFERROR(INDEX('Kode Outlet dan Target Toko'!$C:$C,MATCH($I478,'Kode Outlet dan Target Toko'!$E:$E,0)),0)</f>
        <v>189901</v>
      </c>
      <c r="H478" s="20">
        <f>IFERROR(INDEX('Kode Outlet dan Target Toko'!$D:$D,MATCH($I478,'Kode Outlet dan Target Toko'!$E:$E,0)),0)</f>
        <v>1602020</v>
      </c>
      <c r="I478" s="41" t="s">
        <v>20</v>
      </c>
      <c r="J478" s="56" t="s">
        <v>253</v>
      </c>
      <c r="K478" s="39" t="s">
        <v>14</v>
      </c>
      <c r="L478" s="23">
        <v>2200</v>
      </c>
      <c r="M478" s="24">
        <v>71</v>
      </c>
      <c r="N478" s="25">
        <f t="shared" si="15"/>
        <v>156200</v>
      </c>
      <c r="O478" s="24"/>
    </row>
    <row r="479" spans="1:15" ht="15.75" hidden="1" customHeight="1" x14ac:dyDescent="0.3">
      <c r="A479" s="26">
        <v>25</v>
      </c>
      <c r="B479" s="20" t="str">
        <f t="shared" si="14"/>
        <v>JUN</v>
      </c>
      <c r="C479" s="28">
        <v>46193</v>
      </c>
      <c r="D479" s="22" t="str">
        <f t="array" ref="D479">IFERROR(INDEX('Kode Outlet dan Target Toko'!$A:$A,MATCH($I479,'Kode Outlet dan Target Toko'!$E:$E,0)),"")</f>
        <v>GRSM 4</v>
      </c>
      <c r="E479" s="20" t="str">
        <f>IFERROR(VLOOKUP(I479,KET!$B:$F,4,0),"")</f>
        <v>FAHMI LUKMANUL HAKIM</v>
      </c>
      <c r="F479" s="20" t="str">
        <f>IFERROR(VLOOKUP(I479,KET!$B:$F,5,0),"")</f>
        <v>GMM</v>
      </c>
      <c r="G479" s="20">
        <f>IFERROR(INDEX('Kode Outlet dan Target Toko'!$C:$C,MATCH($I479,'Kode Outlet dan Target Toko'!$E:$E,0)),0)</f>
        <v>189901</v>
      </c>
      <c r="H479" s="20">
        <f>IFERROR(INDEX('Kode Outlet dan Target Toko'!$D:$D,MATCH($I479,'Kode Outlet dan Target Toko'!$E:$E,0)),0)</f>
        <v>1602020</v>
      </c>
      <c r="I479" s="41" t="s">
        <v>20</v>
      </c>
      <c r="J479" s="56" t="s">
        <v>253</v>
      </c>
      <c r="K479" s="39" t="s">
        <v>13</v>
      </c>
      <c r="L479" s="23">
        <v>2200</v>
      </c>
      <c r="M479" s="24">
        <v>30</v>
      </c>
      <c r="N479" s="25">
        <f t="shared" si="15"/>
        <v>66000</v>
      </c>
      <c r="O479" s="24"/>
    </row>
    <row r="480" spans="1:15" ht="15.75" hidden="1" customHeight="1" x14ac:dyDescent="0.3">
      <c r="A480" s="26">
        <v>25</v>
      </c>
      <c r="B480" s="20" t="str">
        <f t="shared" si="14"/>
        <v>JUN</v>
      </c>
      <c r="C480" s="28">
        <v>46193</v>
      </c>
      <c r="D480" s="22" t="str">
        <f t="array" ref="D480">IFERROR(INDEX('Kode Outlet dan Target Toko'!$A:$A,MATCH($I480,'Kode Outlet dan Target Toko'!$E:$E,0)),"")</f>
        <v>GRSM 4</v>
      </c>
      <c r="E480" s="20" t="str">
        <f>IFERROR(VLOOKUP(I480,KET!$B:$F,4,0),"")</f>
        <v>FAHMI LUKMANUL HAKIM</v>
      </c>
      <c r="F480" s="20" t="str">
        <f>IFERROR(VLOOKUP(I480,KET!$B:$F,5,0),"")</f>
        <v>GMM</v>
      </c>
      <c r="G480" s="20">
        <f>IFERROR(INDEX('Kode Outlet dan Target Toko'!$C:$C,MATCH($I480,'Kode Outlet dan Target Toko'!$E:$E,0)),0)</f>
        <v>189901</v>
      </c>
      <c r="H480" s="20">
        <f>IFERROR(INDEX('Kode Outlet dan Target Toko'!$D:$D,MATCH($I480,'Kode Outlet dan Target Toko'!$E:$E,0)),0)</f>
        <v>1602020</v>
      </c>
      <c r="I480" s="41" t="s">
        <v>20</v>
      </c>
      <c r="J480" s="56" t="s">
        <v>253</v>
      </c>
      <c r="K480" s="39" t="s">
        <v>16</v>
      </c>
      <c r="L480" s="23">
        <v>2200</v>
      </c>
      <c r="M480" s="24">
        <v>89</v>
      </c>
      <c r="N480" s="25">
        <f t="shared" si="15"/>
        <v>195800</v>
      </c>
      <c r="O480" s="24"/>
    </row>
    <row r="481" spans="1:15" ht="15.75" hidden="1" customHeight="1" x14ac:dyDescent="0.3">
      <c r="A481" s="26">
        <v>25</v>
      </c>
      <c r="B481" s="20" t="str">
        <f t="shared" si="14"/>
        <v>JUN</v>
      </c>
      <c r="C481" s="28">
        <v>46193</v>
      </c>
      <c r="D481" s="22" t="str">
        <f t="array" ref="D481">IFERROR(INDEX('Kode Outlet dan Target Toko'!$A:$A,MATCH($I481,'Kode Outlet dan Target Toko'!$E:$E,0)),"")</f>
        <v>GRSM 4</v>
      </c>
      <c r="E481" s="20" t="str">
        <f>IFERROR(VLOOKUP(I481,KET!$B:$F,4,0),"")</f>
        <v>FAHMI LUKMANUL HAKIM</v>
      </c>
      <c r="F481" s="20" t="str">
        <f>IFERROR(VLOOKUP(I481,KET!$B:$F,5,0),"")</f>
        <v>GMM</v>
      </c>
      <c r="G481" s="20">
        <f>IFERROR(INDEX('Kode Outlet dan Target Toko'!$C:$C,MATCH($I481,'Kode Outlet dan Target Toko'!$E:$E,0)),0)</f>
        <v>103257</v>
      </c>
      <c r="H481" s="20">
        <f>IFERROR(INDEX('Kode Outlet dan Target Toko'!$D:$D,MATCH($I481,'Kode Outlet dan Target Toko'!$E:$E,0)),0)</f>
        <v>9162509</v>
      </c>
      <c r="I481" s="41" t="s">
        <v>23</v>
      </c>
      <c r="J481" s="27" t="s">
        <v>180</v>
      </c>
      <c r="K481" s="39" t="s">
        <v>15</v>
      </c>
      <c r="L481" s="23">
        <v>3200</v>
      </c>
      <c r="M481" s="24">
        <v>68</v>
      </c>
      <c r="N481" s="25">
        <f t="shared" si="15"/>
        <v>217600</v>
      </c>
      <c r="O481" s="24">
        <v>120</v>
      </c>
    </row>
    <row r="482" spans="1:15" ht="15.75" hidden="1" customHeight="1" x14ac:dyDescent="0.3">
      <c r="A482" s="26">
        <v>25</v>
      </c>
      <c r="B482" s="20" t="str">
        <f t="shared" si="14"/>
        <v>JUN</v>
      </c>
      <c r="C482" s="28">
        <v>46193</v>
      </c>
      <c r="D482" s="22" t="str">
        <f t="array" ref="D482">IFERROR(INDEX('Kode Outlet dan Target Toko'!$A:$A,MATCH($I482,'Kode Outlet dan Target Toko'!$E:$E,0)),"")</f>
        <v>GRSM 4</v>
      </c>
      <c r="E482" s="20" t="str">
        <f>IFERROR(VLOOKUP(I482,KET!$B:$F,4,0),"")</f>
        <v>FAHMI LUKMANUL HAKIM</v>
      </c>
      <c r="F482" s="20" t="str">
        <f>IFERROR(VLOOKUP(I482,KET!$B:$F,5,0),"")</f>
        <v>GMM</v>
      </c>
      <c r="G482" s="20">
        <f>IFERROR(INDEX('Kode Outlet dan Target Toko'!$C:$C,MATCH($I482,'Kode Outlet dan Target Toko'!$E:$E,0)),0)</f>
        <v>103257</v>
      </c>
      <c r="H482" s="20">
        <f>IFERROR(INDEX('Kode Outlet dan Target Toko'!$D:$D,MATCH($I482,'Kode Outlet dan Target Toko'!$E:$E,0)),0)</f>
        <v>9162509</v>
      </c>
      <c r="I482" s="41" t="s">
        <v>23</v>
      </c>
      <c r="J482" s="27" t="s">
        <v>180</v>
      </c>
      <c r="K482" s="39" t="s">
        <v>14</v>
      </c>
      <c r="L482" s="29">
        <v>3200</v>
      </c>
      <c r="M482" s="24">
        <v>53</v>
      </c>
      <c r="N482" s="25">
        <f t="shared" si="15"/>
        <v>169600</v>
      </c>
      <c r="O482" s="24"/>
    </row>
    <row r="483" spans="1:15" ht="15.75" hidden="1" customHeight="1" x14ac:dyDescent="0.3">
      <c r="A483" s="26">
        <v>25</v>
      </c>
      <c r="B483" s="20" t="str">
        <f t="shared" si="14"/>
        <v>JUN</v>
      </c>
      <c r="C483" s="28">
        <v>46193</v>
      </c>
      <c r="D483" s="22" t="str">
        <f t="array" ref="D483">IFERROR(INDEX('Kode Outlet dan Target Toko'!$A:$A,MATCH($I483,'Kode Outlet dan Target Toko'!$E:$E,0)),"")</f>
        <v>GRSM 4</v>
      </c>
      <c r="E483" s="20" t="str">
        <f>IFERROR(VLOOKUP(I483,KET!$B:$F,4,0),"")</f>
        <v>FAHMI LUKMANUL HAKIM</v>
      </c>
      <c r="F483" s="20" t="str">
        <f>IFERROR(VLOOKUP(I483,KET!$B:$F,5,0),"")</f>
        <v>GMM</v>
      </c>
      <c r="G483" s="20">
        <f>IFERROR(INDEX('Kode Outlet dan Target Toko'!$C:$C,MATCH($I483,'Kode Outlet dan Target Toko'!$E:$E,0)),0)</f>
        <v>103257</v>
      </c>
      <c r="H483" s="20">
        <f>IFERROR(INDEX('Kode Outlet dan Target Toko'!$D:$D,MATCH($I483,'Kode Outlet dan Target Toko'!$E:$E,0)),0)</f>
        <v>9162509</v>
      </c>
      <c r="I483" s="41" t="s">
        <v>23</v>
      </c>
      <c r="J483" s="27" t="s">
        <v>180</v>
      </c>
      <c r="K483" s="39" t="s">
        <v>13</v>
      </c>
      <c r="L483" s="29">
        <v>3200</v>
      </c>
      <c r="M483" s="24">
        <v>73</v>
      </c>
      <c r="N483" s="25">
        <f t="shared" si="15"/>
        <v>233600</v>
      </c>
      <c r="O483" s="24"/>
    </row>
    <row r="484" spans="1:15" ht="15.75" hidden="1" customHeight="1" x14ac:dyDescent="0.3">
      <c r="A484" s="26">
        <v>25</v>
      </c>
      <c r="B484" s="20" t="str">
        <f t="shared" si="14"/>
        <v>JUN</v>
      </c>
      <c r="C484" s="28">
        <v>46193</v>
      </c>
      <c r="D484" s="22" t="str">
        <f t="array" ref="D484">IFERROR(INDEX('Kode Outlet dan Target Toko'!$A:$A,MATCH($I484,'Kode Outlet dan Target Toko'!$E:$E,0)),"")</f>
        <v>GRSM 4</v>
      </c>
      <c r="E484" s="20" t="str">
        <f>IFERROR(VLOOKUP(I484,KET!$B:$F,4,0),"")</f>
        <v>FAHMI LUKMANUL HAKIM</v>
      </c>
      <c r="F484" s="20" t="str">
        <f>IFERROR(VLOOKUP(I484,KET!$B:$F,5,0),"")</f>
        <v>GMM</v>
      </c>
      <c r="G484" s="20">
        <f>IFERROR(INDEX('Kode Outlet dan Target Toko'!$C:$C,MATCH($I484,'Kode Outlet dan Target Toko'!$E:$E,0)),0)</f>
        <v>103257</v>
      </c>
      <c r="H484" s="20">
        <f>IFERROR(INDEX('Kode Outlet dan Target Toko'!$D:$D,MATCH($I484,'Kode Outlet dan Target Toko'!$E:$E,0)),0)</f>
        <v>9162509</v>
      </c>
      <c r="I484" s="41" t="s">
        <v>23</v>
      </c>
      <c r="J484" s="27" t="s">
        <v>180</v>
      </c>
      <c r="K484" s="39" t="s">
        <v>16</v>
      </c>
      <c r="L484" s="29">
        <v>3200</v>
      </c>
      <c r="M484" s="24">
        <v>97</v>
      </c>
      <c r="N484" s="25">
        <f t="shared" si="15"/>
        <v>310400</v>
      </c>
      <c r="O484" s="24"/>
    </row>
    <row r="485" spans="1:15" ht="15.75" hidden="1" customHeight="1" x14ac:dyDescent="0.3">
      <c r="A485" s="26">
        <v>25</v>
      </c>
      <c r="B485" s="20" t="str">
        <f t="shared" si="14"/>
        <v>JUN</v>
      </c>
      <c r="C485" s="28">
        <v>46193</v>
      </c>
      <c r="D485" s="22" t="str">
        <f t="array" ref="D485">IFERROR(INDEX('Kode Outlet dan Target Toko'!$A:$A,MATCH($I485,'Kode Outlet dan Target Toko'!$E:$E,0)),"")</f>
        <v>GRSM 4</v>
      </c>
      <c r="E485" s="20" t="str">
        <f>IFERROR(VLOOKUP(I485,KET!$B:$F,4,0),"")</f>
        <v>FAHMI LUKMANUL HAKIM</v>
      </c>
      <c r="F485" s="20" t="str">
        <f>IFERROR(VLOOKUP(I485,KET!$B:$F,5,0),"")</f>
        <v>GMM</v>
      </c>
      <c r="G485" s="20">
        <f>IFERROR(INDEX('Kode Outlet dan Target Toko'!$C:$C,MATCH($I485,'Kode Outlet dan Target Toko'!$E:$E,0)),0)</f>
        <v>103257</v>
      </c>
      <c r="H485" s="20">
        <f>IFERROR(INDEX('Kode Outlet dan Target Toko'!$D:$D,MATCH($I485,'Kode Outlet dan Target Toko'!$E:$E,0)),0)</f>
        <v>9162509</v>
      </c>
      <c r="I485" s="41" t="s">
        <v>23</v>
      </c>
      <c r="J485" s="56" t="s">
        <v>181</v>
      </c>
      <c r="K485" s="39" t="s">
        <v>15</v>
      </c>
      <c r="L485" s="29">
        <v>3200</v>
      </c>
      <c r="M485" s="24">
        <v>63</v>
      </c>
      <c r="N485" s="25">
        <f t="shared" si="15"/>
        <v>201600</v>
      </c>
      <c r="O485" s="24">
        <v>160</v>
      </c>
    </row>
    <row r="486" spans="1:15" ht="15.75" hidden="1" customHeight="1" x14ac:dyDescent="0.3">
      <c r="A486" s="26">
        <v>25</v>
      </c>
      <c r="B486" s="20" t="str">
        <f t="shared" si="14"/>
        <v>JUN</v>
      </c>
      <c r="C486" s="28">
        <v>46193</v>
      </c>
      <c r="D486" s="22" t="str">
        <f t="array" ref="D486">IFERROR(INDEX('Kode Outlet dan Target Toko'!$A:$A,MATCH($I486,'Kode Outlet dan Target Toko'!$E:$E,0)),"")</f>
        <v>GRSM 4</v>
      </c>
      <c r="E486" s="20" t="str">
        <f>IFERROR(VLOOKUP(I486,KET!$B:$F,4,0),"")</f>
        <v>FAHMI LUKMANUL HAKIM</v>
      </c>
      <c r="F486" s="20" t="str">
        <f>IFERROR(VLOOKUP(I486,KET!$B:$F,5,0),"")</f>
        <v>GMM</v>
      </c>
      <c r="G486" s="20">
        <f>IFERROR(INDEX('Kode Outlet dan Target Toko'!$C:$C,MATCH($I486,'Kode Outlet dan Target Toko'!$E:$E,0)),0)</f>
        <v>103257</v>
      </c>
      <c r="H486" s="20">
        <f>IFERROR(INDEX('Kode Outlet dan Target Toko'!$D:$D,MATCH($I486,'Kode Outlet dan Target Toko'!$E:$E,0)),0)</f>
        <v>9162509</v>
      </c>
      <c r="I486" s="41" t="s">
        <v>23</v>
      </c>
      <c r="J486" s="56" t="s">
        <v>181</v>
      </c>
      <c r="K486" s="39" t="s">
        <v>14</v>
      </c>
      <c r="L486" s="29">
        <v>3200</v>
      </c>
      <c r="M486" s="24">
        <v>50</v>
      </c>
      <c r="N486" s="25">
        <f t="shared" si="15"/>
        <v>160000</v>
      </c>
      <c r="O486" s="24"/>
    </row>
    <row r="487" spans="1:15" ht="15.75" hidden="1" customHeight="1" x14ac:dyDescent="0.3">
      <c r="A487" s="26">
        <v>25</v>
      </c>
      <c r="B487" s="20" t="str">
        <f t="shared" si="14"/>
        <v>JUN</v>
      </c>
      <c r="C487" s="28">
        <v>46193</v>
      </c>
      <c r="D487" s="22" t="str">
        <f t="array" ref="D487">IFERROR(INDEX('Kode Outlet dan Target Toko'!$A:$A,MATCH($I487,'Kode Outlet dan Target Toko'!$E:$E,0)),"")</f>
        <v>GRSM 4</v>
      </c>
      <c r="E487" s="20" t="str">
        <f>IFERROR(VLOOKUP(I487,KET!$B:$F,4,0),"")</f>
        <v>FAHMI LUKMANUL HAKIM</v>
      </c>
      <c r="F487" s="20" t="str">
        <f>IFERROR(VLOOKUP(I487,KET!$B:$F,5,0),"")</f>
        <v>GMM</v>
      </c>
      <c r="G487" s="20">
        <f>IFERROR(INDEX('Kode Outlet dan Target Toko'!$C:$C,MATCH($I487,'Kode Outlet dan Target Toko'!$E:$E,0)),0)</f>
        <v>103257</v>
      </c>
      <c r="H487" s="20">
        <f>IFERROR(INDEX('Kode Outlet dan Target Toko'!$D:$D,MATCH($I487,'Kode Outlet dan Target Toko'!$E:$E,0)),0)</f>
        <v>9162509</v>
      </c>
      <c r="I487" s="41" t="s">
        <v>23</v>
      </c>
      <c r="J487" s="56" t="s">
        <v>181</v>
      </c>
      <c r="K487" s="39" t="s">
        <v>13</v>
      </c>
      <c r="L487" s="29">
        <v>3200</v>
      </c>
      <c r="M487" s="24">
        <v>70</v>
      </c>
      <c r="N487" s="25">
        <f t="shared" si="15"/>
        <v>224000</v>
      </c>
      <c r="O487" s="24"/>
    </row>
    <row r="488" spans="1:15" ht="15.75" hidden="1" customHeight="1" x14ac:dyDescent="0.3">
      <c r="A488" s="26">
        <v>25</v>
      </c>
      <c r="B488" s="20" t="str">
        <f t="shared" si="14"/>
        <v>JUN</v>
      </c>
      <c r="C488" s="28">
        <v>46193</v>
      </c>
      <c r="D488" s="22" t="str">
        <f t="array" ref="D488">IFERROR(INDEX('Kode Outlet dan Target Toko'!$A:$A,MATCH($I488,'Kode Outlet dan Target Toko'!$E:$E,0)),"")</f>
        <v>GRSM 4</v>
      </c>
      <c r="E488" s="20" t="str">
        <f>IFERROR(VLOOKUP(I488,KET!$B:$F,4,0),"")</f>
        <v>FAHMI LUKMANUL HAKIM</v>
      </c>
      <c r="F488" s="20" t="str">
        <f>IFERROR(VLOOKUP(I488,KET!$B:$F,5,0),"")</f>
        <v>GMM</v>
      </c>
      <c r="G488" s="20">
        <f>IFERROR(INDEX('Kode Outlet dan Target Toko'!$C:$C,MATCH($I488,'Kode Outlet dan Target Toko'!$E:$E,0)),0)</f>
        <v>103257</v>
      </c>
      <c r="H488" s="20">
        <f>IFERROR(INDEX('Kode Outlet dan Target Toko'!$D:$D,MATCH($I488,'Kode Outlet dan Target Toko'!$E:$E,0)),0)</f>
        <v>9162509</v>
      </c>
      <c r="I488" s="41" t="s">
        <v>23</v>
      </c>
      <c r="J488" s="56" t="s">
        <v>181</v>
      </c>
      <c r="K488" s="39" t="s">
        <v>16</v>
      </c>
      <c r="L488" s="29">
        <v>3200</v>
      </c>
      <c r="M488" s="24">
        <v>93</v>
      </c>
      <c r="N488" s="25">
        <f t="shared" si="15"/>
        <v>297600</v>
      </c>
      <c r="O488" s="24"/>
    </row>
    <row r="489" spans="1:15" ht="15.75" hidden="1" customHeight="1" x14ac:dyDescent="0.3">
      <c r="A489" s="26">
        <v>25</v>
      </c>
      <c r="B489" s="20" t="str">
        <f t="shared" si="14"/>
        <v>JUN</v>
      </c>
      <c r="C489" s="28">
        <v>46193</v>
      </c>
      <c r="D489" s="22" t="str">
        <f t="array" ref="D489">IFERROR(INDEX('Kode Outlet dan Target Toko'!$A:$A,MATCH($I489,'Kode Outlet dan Target Toko'!$E:$E,0)),"")</f>
        <v>GRSM 4</v>
      </c>
      <c r="E489" s="20" t="str">
        <f>IFERROR(VLOOKUP(I489,KET!$B:$F,4,0),"")</f>
        <v>FAHMI LUKMANUL HAKIM</v>
      </c>
      <c r="F489" s="20" t="str">
        <f>IFERROR(VLOOKUP(I489,KET!$B:$F,5,0),"")</f>
        <v>GMM</v>
      </c>
      <c r="G489" s="20">
        <f>IFERROR(INDEX('Kode Outlet dan Target Toko'!$C:$C,MATCH($I489,'Kode Outlet dan Target Toko'!$E:$E,0)),0)</f>
        <v>103277</v>
      </c>
      <c r="H489" s="20">
        <f>IFERROR(INDEX('Kode Outlet dan Target Toko'!$D:$D,MATCH($I489,'Kode Outlet dan Target Toko'!$E:$E,0)),0)</f>
        <v>6300538</v>
      </c>
      <c r="I489" s="51" t="s">
        <v>19</v>
      </c>
      <c r="J489" s="27" t="s">
        <v>251</v>
      </c>
      <c r="K489" s="39" t="s">
        <v>15</v>
      </c>
      <c r="L489" s="29">
        <v>2975</v>
      </c>
      <c r="M489" s="24">
        <v>66</v>
      </c>
      <c r="N489" s="25">
        <f t="shared" si="15"/>
        <v>196350</v>
      </c>
      <c r="O489" s="24">
        <v>160</v>
      </c>
    </row>
    <row r="490" spans="1:15" ht="15.75" hidden="1" customHeight="1" x14ac:dyDescent="0.3">
      <c r="A490" s="26">
        <v>25</v>
      </c>
      <c r="B490" s="20" t="str">
        <f t="shared" si="14"/>
        <v>JUN</v>
      </c>
      <c r="C490" s="28">
        <v>46193</v>
      </c>
      <c r="D490" s="22" t="str">
        <f t="array" ref="D490">IFERROR(INDEX('Kode Outlet dan Target Toko'!$A:$A,MATCH($I490,'Kode Outlet dan Target Toko'!$E:$E,0)),"")</f>
        <v>GRSM 4</v>
      </c>
      <c r="E490" s="20" t="str">
        <f>IFERROR(VLOOKUP(I490,KET!$B:$F,4,0),"")</f>
        <v>FAHMI LUKMANUL HAKIM</v>
      </c>
      <c r="F490" s="20" t="str">
        <f>IFERROR(VLOOKUP(I490,KET!$B:$F,5,0),"")</f>
        <v>GMM</v>
      </c>
      <c r="G490" s="20">
        <f>IFERROR(INDEX('Kode Outlet dan Target Toko'!$C:$C,MATCH($I490,'Kode Outlet dan Target Toko'!$E:$E,0)),0)</f>
        <v>103277</v>
      </c>
      <c r="H490" s="20">
        <f>IFERROR(INDEX('Kode Outlet dan Target Toko'!$D:$D,MATCH($I490,'Kode Outlet dan Target Toko'!$E:$E,0)),0)</f>
        <v>6300538</v>
      </c>
      <c r="I490" s="41" t="s">
        <v>19</v>
      </c>
      <c r="J490" s="19" t="s">
        <v>251</v>
      </c>
      <c r="K490" s="39" t="s">
        <v>14</v>
      </c>
      <c r="L490" s="23">
        <v>2975</v>
      </c>
      <c r="M490" s="24">
        <v>65</v>
      </c>
      <c r="N490" s="25">
        <f t="shared" si="15"/>
        <v>193375</v>
      </c>
      <c r="O490" s="24"/>
    </row>
    <row r="491" spans="1:15" ht="15.75" hidden="1" customHeight="1" x14ac:dyDescent="0.3">
      <c r="A491" s="26">
        <v>25</v>
      </c>
      <c r="B491" s="20" t="str">
        <f t="shared" si="14"/>
        <v>JUN</v>
      </c>
      <c r="C491" s="28">
        <v>46193</v>
      </c>
      <c r="D491" s="22" t="str">
        <f t="array" ref="D491">IFERROR(INDEX('Kode Outlet dan Target Toko'!$A:$A,MATCH($I491,'Kode Outlet dan Target Toko'!$E:$E,0)),"")</f>
        <v>GRSM 4</v>
      </c>
      <c r="E491" s="20" t="str">
        <f>IFERROR(VLOOKUP(I491,KET!$B:$F,4,0),"")</f>
        <v>FAHMI LUKMANUL HAKIM</v>
      </c>
      <c r="F491" s="20" t="str">
        <f>IFERROR(VLOOKUP(I491,KET!$B:$F,5,0),"")</f>
        <v>GMM</v>
      </c>
      <c r="G491" s="20">
        <f>IFERROR(INDEX('Kode Outlet dan Target Toko'!$C:$C,MATCH($I491,'Kode Outlet dan Target Toko'!$E:$E,0)),0)</f>
        <v>103277</v>
      </c>
      <c r="H491" s="20">
        <f>IFERROR(INDEX('Kode Outlet dan Target Toko'!$D:$D,MATCH($I491,'Kode Outlet dan Target Toko'!$E:$E,0)),0)</f>
        <v>6300538</v>
      </c>
      <c r="I491" s="41" t="s">
        <v>19</v>
      </c>
      <c r="J491" s="19" t="s">
        <v>251</v>
      </c>
      <c r="K491" s="39" t="s">
        <v>13</v>
      </c>
      <c r="L491" s="23">
        <v>2975</v>
      </c>
      <c r="M491" s="24">
        <v>47</v>
      </c>
      <c r="N491" s="25">
        <f t="shared" si="15"/>
        <v>139825</v>
      </c>
      <c r="O491" s="24"/>
    </row>
    <row r="492" spans="1:15" ht="15.75" hidden="1" customHeight="1" x14ac:dyDescent="0.3">
      <c r="A492" s="26">
        <v>25</v>
      </c>
      <c r="B492" s="20" t="str">
        <f t="shared" si="14"/>
        <v>JUN</v>
      </c>
      <c r="C492" s="28">
        <v>46193</v>
      </c>
      <c r="D492" s="22" t="str">
        <f t="array" ref="D492">IFERROR(INDEX('Kode Outlet dan Target Toko'!$A:$A,MATCH($I492,'Kode Outlet dan Target Toko'!$E:$E,0)),"")</f>
        <v>GRSM 4</v>
      </c>
      <c r="E492" s="20" t="str">
        <f>IFERROR(VLOOKUP(I492,KET!$B:$F,4,0),"")</f>
        <v>FAHMI LUKMANUL HAKIM</v>
      </c>
      <c r="F492" s="20" t="str">
        <f>IFERROR(VLOOKUP(I492,KET!$B:$F,5,0),"")</f>
        <v>GMM</v>
      </c>
      <c r="G492" s="20">
        <f>IFERROR(INDEX('Kode Outlet dan Target Toko'!$C:$C,MATCH($I492,'Kode Outlet dan Target Toko'!$E:$E,0)),0)</f>
        <v>103277</v>
      </c>
      <c r="H492" s="20">
        <f>IFERROR(INDEX('Kode Outlet dan Target Toko'!$D:$D,MATCH($I492,'Kode Outlet dan Target Toko'!$E:$E,0)),0)</f>
        <v>6300538</v>
      </c>
      <c r="I492" s="41" t="s">
        <v>19</v>
      </c>
      <c r="J492" s="19" t="s">
        <v>251</v>
      </c>
      <c r="K492" s="39" t="s">
        <v>16</v>
      </c>
      <c r="L492" s="23">
        <v>2975</v>
      </c>
      <c r="M492" s="24">
        <v>209</v>
      </c>
      <c r="N492" s="25">
        <f t="shared" si="15"/>
        <v>621775</v>
      </c>
      <c r="O492" s="24"/>
    </row>
    <row r="493" spans="1:15" ht="15.75" hidden="1" customHeight="1" x14ac:dyDescent="0.3">
      <c r="A493" s="26">
        <v>25</v>
      </c>
      <c r="B493" s="20" t="str">
        <f t="shared" si="14"/>
        <v>JUN</v>
      </c>
      <c r="C493" s="28">
        <v>46193</v>
      </c>
      <c r="D493" s="22" t="str">
        <f t="array" ref="D493">IFERROR(INDEX('Kode Outlet dan Target Toko'!$A:$A,MATCH($I493,'Kode Outlet dan Target Toko'!$E:$E,0)),"")</f>
        <v>GRSM 4</v>
      </c>
      <c r="E493" s="20" t="str">
        <f>IFERROR(VLOOKUP(I493,KET!$B:$F,4,0),"")</f>
        <v>FAHMI LUKMANUL HAKIM</v>
      </c>
      <c r="F493" s="20" t="str">
        <f>IFERROR(VLOOKUP(I493,KET!$B:$F,5,0),"")</f>
        <v>GMM</v>
      </c>
      <c r="G493" s="20">
        <f>IFERROR(INDEX('Kode Outlet dan Target Toko'!$C:$C,MATCH($I493,'Kode Outlet dan Target Toko'!$E:$E,0)),0)</f>
        <v>103277</v>
      </c>
      <c r="H493" s="20">
        <f>IFERROR(INDEX('Kode Outlet dan Target Toko'!$D:$D,MATCH($I493,'Kode Outlet dan Target Toko'!$E:$E,0)),0)</f>
        <v>6300538</v>
      </c>
      <c r="I493" s="41" t="s">
        <v>19</v>
      </c>
      <c r="J493" s="19" t="s">
        <v>252</v>
      </c>
      <c r="K493" s="39" t="s">
        <v>15</v>
      </c>
      <c r="L493" s="23">
        <v>2975</v>
      </c>
      <c r="M493" s="24">
        <v>55</v>
      </c>
      <c r="N493" s="25">
        <f t="shared" si="15"/>
        <v>163625</v>
      </c>
      <c r="O493" s="24">
        <v>160</v>
      </c>
    </row>
    <row r="494" spans="1:15" ht="15.75" hidden="1" customHeight="1" x14ac:dyDescent="0.3">
      <c r="A494" s="26">
        <v>25</v>
      </c>
      <c r="B494" s="20" t="str">
        <f t="shared" si="14"/>
        <v>JUN</v>
      </c>
      <c r="C494" s="28">
        <v>46193</v>
      </c>
      <c r="D494" s="22" t="str">
        <f t="array" ref="D494">IFERROR(INDEX('Kode Outlet dan Target Toko'!$A:$A,MATCH($I494,'Kode Outlet dan Target Toko'!$E:$E,0)),"")</f>
        <v>GRSM 4</v>
      </c>
      <c r="E494" s="20" t="str">
        <f>IFERROR(VLOOKUP(I494,KET!$B:$F,4,0),"")</f>
        <v>FAHMI LUKMANUL HAKIM</v>
      </c>
      <c r="F494" s="20" t="str">
        <f>IFERROR(VLOOKUP(I494,KET!$B:$F,5,0),"")</f>
        <v>GMM</v>
      </c>
      <c r="G494" s="20">
        <f>IFERROR(INDEX('Kode Outlet dan Target Toko'!$C:$C,MATCH($I494,'Kode Outlet dan Target Toko'!$E:$E,0)),0)</f>
        <v>103277</v>
      </c>
      <c r="H494" s="20">
        <f>IFERROR(INDEX('Kode Outlet dan Target Toko'!$D:$D,MATCH($I494,'Kode Outlet dan Target Toko'!$E:$E,0)),0)</f>
        <v>6300538</v>
      </c>
      <c r="I494" s="41" t="s">
        <v>19</v>
      </c>
      <c r="J494" s="19" t="s">
        <v>252</v>
      </c>
      <c r="K494" s="39" t="s">
        <v>14</v>
      </c>
      <c r="L494" s="23">
        <v>2975</v>
      </c>
      <c r="M494" s="24">
        <v>43</v>
      </c>
      <c r="N494" s="25">
        <f t="shared" si="15"/>
        <v>127925</v>
      </c>
      <c r="O494" s="24"/>
    </row>
    <row r="495" spans="1:15" ht="15.75" hidden="1" customHeight="1" x14ac:dyDescent="0.3">
      <c r="A495" s="26">
        <v>25</v>
      </c>
      <c r="B495" s="20" t="str">
        <f t="shared" si="14"/>
        <v>JUN</v>
      </c>
      <c r="C495" s="28">
        <v>46193</v>
      </c>
      <c r="D495" s="22" t="str">
        <f t="array" ref="D495">IFERROR(INDEX('Kode Outlet dan Target Toko'!$A:$A,MATCH($I495,'Kode Outlet dan Target Toko'!$E:$E,0)),"")</f>
        <v>GRSM 4</v>
      </c>
      <c r="E495" s="20" t="str">
        <f>IFERROR(VLOOKUP(I495,KET!$B:$F,4,0),"")</f>
        <v>FAHMI LUKMANUL HAKIM</v>
      </c>
      <c r="F495" s="20" t="str">
        <f>IFERROR(VLOOKUP(I495,KET!$B:$F,5,0),"")</f>
        <v>GMM</v>
      </c>
      <c r="G495" s="20">
        <f>IFERROR(INDEX('Kode Outlet dan Target Toko'!$C:$C,MATCH($I495,'Kode Outlet dan Target Toko'!$E:$E,0)),0)</f>
        <v>103277</v>
      </c>
      <c r="H495" s="20">
        <f>IFERROR(INDEX('Kode Outlet dan Target Toko'!$D:$D,MATCH($I495,'Kode Outlet dan Target Toko'!$E:$E,0)),0)</f>
        <v>6300538</v>
      </c>
      <c r="I495" s="41" t="s">
        <v>19</v>
      </c>
      <c r="J495" s="19" t="s">
        <v>252</v>
      </c>
      <c r="K495" s="39" t="s">
        <v>13</v>
      </c>
      <c r="L495" s="23">
        <v>2975</v>
      </c>
      <c r="M495" s="24">
        <v>41</v>
      </c>
      <c r="N495" s="25">
        <f t="shared" si="15"/>
        <v>121975</v>
      </c>
      <c r="O495" s="24"/>
    </row>
    <row r="496" spans="1:15" ht="15.75" hidden="1" customHeight="1" x14ac:dyDescent="0.3">
      <c r="A496" s="26">
        <v>25</v>
      </c>
      <c r="B496" s="20" t="str">
        <f t="shared" si="14"/>
        <v>JUN</v>
      </c>
      <c r="C496" s="28">
        <v>46193</v>
      </c>
      <c r="D496" s="22" t="str">
        <f t="array" ref="D496">IFERROR(INDEX('Kode Outlet dan Target Toko'!$A:$A,MATCH($I496,'Kode Outlet dan Target Toko'!$E:$E,0)),"")</f>
        <v>GRSM 4</v>
      </c>
      <c r="E496" s="20" t="str">
        <f>IFERROR(VLOOKUP(I496,KET!$B:$F,4,0),"")</f>
        <v>FAHMI LUKMANUL HAKIM</v>
      </c>
      <c r="F496" s="20" t="str">
        <f>IFERROR(VLOOKUP(I496,KET!$B:$F,5,0),"")</f>
        <v>GMM</v>
      </c>
      <c r="G496" s="20">
        <f>IFERROR(INDEX('Kode Outlet dan Target Toko'!$C:$C,MATCH($I496,'Kode Outlet dan Target Toko'!$E:$E,0)),0)</f>
        <v>103277</v>
      </c>
      <c r="H496" s="20">
        <f>IFERROR(INDEX('Kode Outlet dan Target Toko'!$D:$D,MATCH($I496,'Kode Outlet dan Target Toko'!$E:$E,0)),0)</f>
        <v>6300538</v>
      </c>
      <c r="I496" s="41" t="s">
        <v>19</v>
      </c>
      <c r="J496" s="19" t="s">
        <v>252</v>
      </c>
      <c r="K496" s="39" t="s">
        <v>16</v>
      </c>
      <c r="L496" s="23">
        <v>2975</v>
      </c>
      <c r="M496" s="24">
        <v>195</v>
      </c>
      <c r="N496" s="25">
        <f t="shared" si="15"/>
        <v>580125</v>
      </c>
      <c r="O496" s="24"/>
    </row>
    <row r="497" spans="1:15" ht="15.75" hidden="1" customHeight="1" x14ac:dyDescent="0.3">
      <c r="A497" s="26">
        <v>25</v>
      </c>
      <c r="B497" s="20" t="str">
        <f t="shared" si="14"/>
        <v>JUN</v>
      </c>
      <c r="C497" s="28">
        <v>46193</v>
      </c>
      <c r="D497" s="22" t="str">
        <f t="array" ref="D497">IFERROR(INDEX('Kode Outlet dan Target Toko'!$A:$A,MATCH($I497,'Kode Outlet dan Target Toko'!$E:$E,0)),"")</f>
        <v>GRSM 4</v>
      </c>
      <c r="E497" s="20" t="str">
        <f>IFERROR(VLOOKUP(I497,KET!$B:$F,4,0),"")</f>
        <v>FAHMI LUKMANUL HAKIM</v>
      </c>
      <c r="F497" s="20" t="str">
        <f>IFERROR(VLOOKUP(I497,KET!$B:$F,5,0),"")</f>
        <v>GMM</v>
      </c>
      <c r="G497" s="20">
        <f>IFERROR(INDEX('Kode Outlet dan Target Toko'!$C:$C,MATCH($I497,'Kode Outlet dan Target Toko'!$E:$E,0)),0)</f>
        <v>103277</v>
      </c>
      <c r="H497" s="20">
        <f>IFERROR(INDEX('Kode Outlet dan Target Toko'!$D:$D,MATCH($I497,'Kode Outlet dan Target Toko'!$E:$E,0)),0)</f>
        <v>6301424</v>
      </c>
      <c r="I497" s="41" t="s">
        <v>25</v>
      </c>
      <c r="J497" s="56" t="s">
        <v>183</v>
      </c>
      <c r="K497" s="39" t="s">
        <v>15</v>
      </c>
      <c r="L497" s="23">
        <v>3000</v>
      </c>
      <c r="M497" s="24">
        <v>74</v>
      </c>
      <c r="N497" s="25">
        <f t="shared" si="15"/>
        <v>222000</v>
      </c>
      <c r="O497" s="24">
        <v>160</v>
      </c>
    </row>
    <row r="498" spans="1:15" ht="15.75" hidden="1" customHeight="1" x14ac:dyDescent="0.3">
      <c r="A498" s="26">
        <v>25</v>
      </c>
      <c r="B498" s="20" t="str">
        <f t="shared" si="14"/>
        <v>JUN</v>
      </c>
      <c r="C498" s="28">
        <v>46193</v>
      </c>
      <c r="D498" s="22" t="str">
        <f t="array" ref="D498">IFERROR(INDEX('Kode Outlet dan Target Toko'!$A:$A,MATCH($I498,'Kode Outlet dan Target Toko'!$E:$E,0)),"")</f>
        <v>GRSM 4</v>
      </c>
      <c r="E498" s="20" t="str">
        <f>IFERROR(VLOOKUP(I498,KET!$B:$F,4,0),"")</f>
        <v>FAHMI LUKMANUL HAKIM</v>
      </c>
      <c r="F498" s="20" t="str">
        <f>IFERROR(VLOOKUP(I498,KET!$B:$F,5,0),"")</f>
        <v>GMM</v>
      </c>
      <c r="G498" s="20">
        <f>IFERROR(INDEX('Kode Outlet dan Target Toko'!$C:$C,MATCH($I498,'Kode Outlet dan Target Toko'!$E:$E,0)),0)</f>
        <v>103277</v>
      </c>
      <c r="H498" s="20">
        <f>IFERROR(INDEX('Kode Outlet dan Target Toko'!$D:$D,MATCH($I498,'Kode Outlet dan Target Toko'!$E:$E,0)),0)</f>
        <v>6301424</v>
      </c>
      <c r="I498" s="41" t="s">
        <v>25</v>
      </c>
      <c r="J498" s="56" t="s">
        <v>183</v>
      </c>
      <c r="K498" s="39" t="s">
        <v>14</v>
      </c>
      <c r="L498" s="23">
        <v>3000</v>
      </c>
      <c r="M498" s="24">
        <v>46</v>
      </c>
      <c r="N498" s="25">
        <f t="shared" si="15"/>
        <v>138000</v>
      </c>
      <c r="O498" s="24"/>
    </row>
    <row r="499" spans="1:15" ht="15.75" hidden="1" customHeight="1" x14ac:dyDescent="0.3">
      <c r="A499" s="26">
        <v>25</v>
      </c>
      <c r="B499" s="20" t="str">
        <f t="shared" si="14"/>
        <v>JUN</v>
      </c>
      <c r="C499" s="28">
        <v>46193</v>
      </c>
      <c r="D499" s="22" t="str">
        <f t="array" ref="D499">IFERROR(INDEX('Kode Outlet dan Target Toko'!$A:$A,MATCH($I499,'Kode Outlet dan Target Toko'!$E:$E,0)),"")</f>
        <v>GRSM 4</v>
      </c>
      <c r="E499" s="20" t="str">
        <f>IFERROR(VLOOKUP(I499,KET!$B:$F,4,0),"")</f>
        <v>FAHMI LUKMANUL HAKIM</v>
      </c>
      <c r="F499" s="20" t="str">
        <f>IFERROR(VLOOKUP(I499,KET!$B:$F,5,0),"")</f>
        <v>GMM</v>
      </c>
      <c r="G499" s="20">
        <f>IFERROR(INDEX('Kode Outlet dan Target Toko'!$C:$C,MATCH($I499,'Kode Outlet dan Target Toko'!$E:$E,0)),0)</f>
        <v>103277</v>
      </c>
      <c r="H499" s="20">
        <f>IFERROR(INDEX('Kode Outlet dan Target Toko'!$D:$D,MATCH($I499,'Kode Outlet dan Target Toko'!$E:$E,0)),0)</f>
        <v>6301424</v>
      </c>
      <c r="I499" s="41" t="s">
        <v>25</v>
      </c>
      <c r="J499" s="56" t="s">
        <v>183</v>
      </c>
      <c r="K499" s="39" t="s">
        <v>13</v>
      </c>
      <c r="L499" s="23">
        <v>3000</v>
      </c>
      <c r="M499" s="24">
        <v>28</v>
      </c>
      <c r="N499" s="25">
        <f t="shared" si="15"/>
        <v>84000</v>
      </c>
      <c r="O499" s="24"/>
    </row>
    <row r="500" spans="1:15" ht="15.75" hidden="1" customHeight="1" x14ac:dyDescent="0.3">
      <c r="A500" s="26">
        <v>25</v>
      </c>
      <c r="B500" s="20" t="str">
        <f t="shared" si="14"/>
        <v>JUN</v>
      </c>
      <c r="C500" s="28">
        <v>46193</v>
      </c>
      <c r="D500" s="22" t="str">
        <f t="array" ref="D500">IFERROR(INDEX('Kode Outlet dan Target Toko'!$A:$A,MATCH($I500,'Kode Outlet dan Target Toko'!$E:$E,0)),"")</f>
        <v>GRSM 4</v>
      </c>
      <c r="E500" s="20" t="str">
        <f>IFERROR(VLOOKUP(I500,KET!$B:$F,4,0),"")</f>
        <v>FAHMI LUKMANUL HAKIM</v>
      </c>
      <c r="F500" s="20" t="str">
        <f>IFERROR(VLOOKUP(I500,KET!$B:$F,5,0),"")</f>
        <v>GMM</v>
      </c>
      <c r="G500" s="20">
        <f>IFERROR(INDEX('Kode Outlet dan Target Toko'!$C:$C,MATCH($I500,'Kode Outlet dan Target Toko'!$E:$E,0)),0)</f>
        <v>103277</v>
      </c>
      <c r="H500" s="20">
        <f>IFERROR(INDEX('Kode Outlet dan Target Toko'!$D:$D,MATCH($I500,'Kode Outlet dan Target Toko'!$E:$E,0)),0)</f>
        <v>6301424</v>
      </c>
      <c r="I500" s="41" t="s">
        <v>25</v>
      </c>
      <c r="J500" s="56" t="s">
        <v>183</v>
      </c>
      <c r="K500" s="39" t="s">
        <v>16</v>
      </c>
      <c r="L500" s="23">
        <v>3000</v>
      </c>
      <c r="M500" s="24">
        <v>154</v>
      </c>
      <c r="N500" s="25">
        <f t="shared" si="15"/>
        <v>462000</v>
      </c>
      <c r="O500" s="24"/>
    </row>
    <row r="501" spans="1:15" ht="15.75" hidden="1" customHeight="1" x14ac:dyDescent="0.3">
      <c r="A501" s="26">
        <v>25</v>
      </c>
      <c r="B501" s="20" t="str">
        <f t="shared" si="14"/>
        <v>JUN</v>
      </c>
      <c r="C501" s="28">
        <v>46193</v>
      </c>
      <c r="D501" s="22" t="str">
        <f t="array" ref="D501">IFERROR(INDEX('Kode Outlet dan Target Toko'!$A:$A,MATCH($I501,'Kode Outlet dan Target Toko'!$E:$E,0)),"")</f>
        <v>GRSM 4</v>
      </c>
      <c r="E501" s="20" t="str">
        <f>IFERROR(VLOOKUP(I501,KET!$B:$F,4,0),"")</f>
        <v>FAHMI LUKMANUL HAKIM</v>
      </c>
      <c r="F501" s="20" t="str">
        <f>IFERROR(VLOOKUP(I501,KET!$B:$F,5,0),"")</f>
        <v>GMM</v>
      </c>
      <c r="G501" s="20">
        <f>IFERROR(INDEX('Kode Outlet dan Target Toko'!$C:$C,MATCH($I501,'Kode Outlet dan Target Toko'!$E:$E,0)),0)</f>
        <v>103277</v>
      </c>
      <c r="H501" s="20">
        <f>IFERROR(INDEX('Kode Outlet dan Target Toko'!$D:$D,MATCH($I501,'Kode Outlet dan Target Toko'!$E:$E,0)),0)</f>
        <v>6301424</v>
      </c>
      <c r="I501" s="41" t="s">
        <v>25</v>
      </c>
      <c r="J501" s="19" t="s">
        <v>257</v>
      </c>
      <c r="K501" s="39" t="s">
        <v>15</v>
      </c>
      <c r="L501" s="23">
        <v>3000</v>
      </c>
      <c r="M501" s="24">
        <v>80</v>
      </c>
      <c r="N501" s="25">
        <f t="shared" si="15"/>
        <v>240000</v>
      </c>
      <c r="O501" s="24">
        <v>160</v>
      </c>
    </row>
    <row r="502" spans="1:15" ht="15.75" hidden="1" customHeight="1" x14ac:dyDescent="0.3">
      <c r="A502" s="26">
        <v>25</v>
      </c>
      <c r="B502" s="20" t="str">
        <f t="shared" si="14"/>
        <v>JUN</v>
      </c>
      <c r="C502" s="28">
        <v>46193</v>
      </c>
      <c r="D502" s="22" t="str">
        <f t="array" ref="D502">IFERROR(INDEX('Kode Outlet dan Target Toko'!$A:$A,MATCH($I502,'Kode Outlet dan Target Toko'!$E:$E,0)),"")</f>
        <v>GRSM 4</v>
      </c>
      <c r="E502" s="20" t="str">
        <f>IFERROR(VLOOKUP(I502,KET!$B:$F,4,0),"")</f>
        <v>FAHMI LUKMANUL HAKIM</v>
      </c>
      <c r="F502" s="20" t="str">
        <f>IFERROR(VLOOKUP(I502,KET!$B:$F,5,0),"")</f>
        <v>GMM</v>
      </c>
      <c r="G502" s="20">
        <f>IFERROR(INDEX('Kode Outlet dan Target Toko'!$C:$C,MATCH($I502,'Kode Outlet dan Target Toko'!$E:$E,0)),0)</f>
        <v>103277</v>
      </c>
      <c r="H502" s="20">
        <f>IFERROR(INDEX('Kode Outlet dan Target Toko'!$D:$D,MATCH($I502,'Kode Outlet dan Target Toko'!$E:$E,0)),0)</f>
        <v>6301424</v>
      </c>
      <c r="I502" s="41" t="s">
        <v>25</v>
      </c>
      <c r="J502" s="19" t="s">
        <v>257</v>
      </c>
      <c r="K502" s="39" t="s">
        <v>14</v>
      </c>
      <c r="L502" s="23">
        <v>3000</v>
      </c>
      <c r="M502" s="24">
        <v>48</v>
      </c>
      <c r="N502" s="25">
        <f t="shared" si="15"/>
        <v>144000</v>
      </c>
      <c r="O502" s="24"/>
    </row>
    <row r="503" spans="1:15" ht="15.75" hidden="1" customHeight="1" x14ac:dyDescent="0.3">
      <c r="A503" s="26">
        <v>25</v>
      </c>
      <c r="B503" s="20" t="str">
        <f t="shared" si="14"/>
        <v>JUN</v>
      </c>
      <c r="C503" s="28">
        <v>46193</v>
      </c>
      <c r="D503" s="22" t="str">
        <f t="array" ref="D503">IFERROR(INDEX('Kode Outlet dan Target Toko'!$A:$A,MATCH($I503,'Kode Outlet dan Target Toko'!$E:$E,0)),"")</f>
        <v>GRSM 4</v>
      </c>
      <c r="E503" s="20" t="str">
        <f>IFERROR(VLOOKUP(I503,KET!$B:$F,4,0),"")</f>
        <v>FAHMI LUKMANUL HAKIM</v>
      </c>
      <c r="F503" s="20" t="str">
        <f>IFERROR(VLOOKUP(I503,KET!$B:$F,5,0),"")</f>
        <v>GMM</v>
      </c>
      <c r="G503" s="20">
        <f>IFERROR(INDEX('Kode Outlet dan Target Toko'!$C:$C,MATCH($I503,'Kode Outlet dan Target Toko'!$E:$E,0)),0)</f>
        <v>103277</v>
      </c>
      <c r="H503" s="20">
        <f>IFERROR(INDEX('Kode Outlet dan Target Toko'!$D:$D,MATCH($I503,'Kode Outlet dan Target Toko'!$E:$E,0)),0)</f>
        <v>6301424</v>
      </c>
      <c r="I503" s="41" t="s">
        <v>25</v>
      </c>
      <c r="J503" s="19" t="s">
        <v>257</v>
      </c>
      <c r="K503" s="39" t="s">
        <v>13</v>
      </c>
      <c r="L503" s="23">
        <v>3000</v>
      </c>
      <c r="M503" s="24">
        <v>26</v>
      </c>
      <c r="N503" s="25">
        <f t="shared" si="15"/>
        <v>78000</v>
      </c>
      <c r="O503" s="24"/>
    </row>
    <row r="504" spans="1:15" ht="15.75" hidden="1" customHeight="1" x14ac:dyDescent="0.3">
      <c r="A504" s="26">
        <v>25</v>
      </c>
      <c r="B504" s="20" t="str">
        <f t="shared" si="14"/>
        <v>JUN</v>
      </c>
      <c r="C504" s="28">
        <v>46193</v>
      </c>
      <c r="D504" s="22" t="str">
        <f t="array" ref="D504">IFERROR(INDEX('Kode Outlet dan Target Toko'!$A:$A,MATCH($I504,'Kode Outlet dan Target Toko'!$E:$E,0)),"")</f>
        <v>GRSM 4</v>
      </c>
      <c r="E504" s="20" t="str">
        <f>IFERROR(VLOOKUP(I504,KET!$B:$F,4,0),"")</f>
        <v>FAHMI LUKMANUL HAKIM</v>
      </c>
      <c r="F504" s="20" t="str">
        <f>IFERROR(VLOOKUP(I504,KET!$B:$F,5,0),"")</f>
        <v>GMM</v>
      </c>
      <c r="G504" s="20">
        <f>IFERROR(INDEX('Kode Outlet dan Target Toko'!$C:$C,MATCH($I504,'Kode Outlet dan Target Toko'!$E:$E,0)),0)</f>
        <v>103277</v>
      </c>
      <c r="H504" s="20">
        <f>IFERROR(INDEX('Kode Outlet dan Target Toko'!$D:$D,MATCH($I504,'Kode Outlet dan Target Toko'!$E:$E,0)),0)</f>
        <v>6301424</v>
      </c>
      <c r="I504" s="41" t="s">
        <v>25</v>
      </c>
      <c r="J504" s="19" t="s">
        <v>257</v>
      </c>
      <c r="K504" s="39" t="s">
        <v>16</v>
      </c>
      <c r="L504" s="23">
        <v>3000</v>
      </c>
      <c r="M504" s="24">
        <v>160</v>
      </c>
      <c r="N504" s="25">
        <f t="shared" si="15"/>
        <v>480000</v>
      </c>
      <c r="O504" s="24"/>
    </row>
    <row r="505" spans="1:15" ht="15.75" hidden="1" customHeight="1" x14ac:dyDescent="0.3">
      <c r="A505" s="26">
        <v>25</v>
      </c>
      <c r="B505" s="20" t="str">
        <f t="shared" si="14"/>
        <v>JUN</v>
      </c>
      <c r="C505" s="28">
        <v>46193</v>
      </c>
      <c r="D505" s="22" t="str">
        <f t="array" ref="D505">IFERROR(INDEX('Kode Outlet dan Target Toko'!$A:$A,MATCH($I505,'Kode Outlet dan Target Toko'!$E:$E,0)),"")</f>
        <v>GRSM 3A</v>
      </c>
      <c r="E505" s="20" t="str">
        <f>IFERROR(VLOOKUP(I505,KET!$B:$F,4,0),"")</f>
        <v>FAHMI LUKMANUL HAKIM</v>
      </c>
      <c r="F505" s="20" t="str">
        <f>IFERROR(VLOOKUP(I505,KET!$B:$F,5,0),"")</f>
        <v>GMM</v>
      </c>
      <c r="G505" s="20">
        <f>IFERROR(INDEX('Kode Outlet dan Target Toko'!$C:$C,MATCH($I505,'Kode Outlet dan Target Toko'!$E:$E,0)),0)</f>
        <v>103272</v>
      </c>
      <c r="H505" s="20">
        <f>IFERROR(INDEX('Kode Outlet dan Target Toko'!$D:$D,MATCH($I505,'Kode Outlet dan Target Toko'!$E:$E,0)),0)</f>
        <v>1178</v>
      </c>
      <c r="I505" s="41" t="s">
        <v>22</v>
      </c>
      <c r="J505" s="19" t="s">
        <v>259</v>
      </c>
      <c r="K505" s="39" t="s">
        <v>15</v>
      </c>
      <c r="L505" s="23">
        <v>3145</v>
      </c>
      <c r="M505" s="24">
        <v>18</v>
      </c>
      <c r="N505" s="25">
        <f t="shared" si="15"/>
        <v>56610</v>
      </c>
      <c r="O505" s="24">
        <v>160</v>
      </c>
    </row>
    <row r="506" spans="1:15" ht="15.75" hidden="1" customHeight="1" x14ac:dyDescent="0.3">
      <c r="A506" s="26">
        <v>25</v>
      </c>
      <c r="B506" s="20" t="str">
        <f t="shared" si="14"/>
        <v>JUN</v>
      </c>
      <c r="C506" s="28">
        <v>46193</v>
      </c>
      <c r="D506" s="22" t="str">
        <f t="array" ref="D506">IFERROR(INDEX('Kode Outlet dan Target Toko'!$A:$A,MATCH($I506,'Kode Outlet dan Target Toko'!$E:$E,0)),"")</f>
        <v>GRSM 3A</v>
      </c>
      <c r="E506" s="20" t="str">
        <f>IFERROR(VLOOKUP(I506,KET!$B:$F,4,0),"")</f>
        <v>FAHMI LUKMANUL HAKIM</v>
      </c>
      <c r="F506" s="20" t="str">
        <f>IFERROR(VLOOKUP(I506,KET!$B:$F,5,0),"")</f>
        <v>GMM</v>
      </c>
      <c r="G506" s="20">
        <f>IFERROR(INDEX('Kode Outlet dan Target Toko'!$C:$C,MATCH($I506,'Kode Outlet dan Target Toko'!$E:$E,0)),0)</f>
        <v>103272</v>
      </c>
      <c r="H506" s="20">
        <f>IFERROR(INDEX('Kode Outlet dan Target Toko'!$D:$D,MATCH($I506,'Kode Outlet dan Target Toko'!$E:$E,0)),0)</f>
        <v>1178</v>
      </c>
      <c r="I506" s="51" t="s">
        <v>22</v>
      </c>
      <c r="J506" s="27" t="s">
        <v>259</v>
      </c>
      <c r="K506" s="39" t="s">
        <v>14</v>
      </c>
      <c r="L506" s="29">
        <v>3145</v>
      </c>
      <c r="M506" s="24">
        <v>34</v>
      </c>
      <c r="N506" s="25">
        <f t="shared" si="15"/>
        <v>106930</v>
      </c>
      <c r="O506" s="24"/>
    </row>
    <row r="507" spans="1:15" ht="15.75" hidden="1" customHeight="1" x14ac:dyDescent="0.3">
      <c r="A507" s="26">
        <v>25</v>
      </c>
      <c r="B507" s="20" t="str">
        <f t="shared" si="14"/>
        <v>JUN</v>
      </c>
      <c r="C507" s="28">
        <v>46193</v>
      </c>
      <c r="D507" s="22" t="str">
        <f t="array" ref="D507">IFERROR(INDEX('Kode Outlet dan Target Toko'!$A:$A,MATCH($I507,'Kode Outlet dan Target Toko'!$E:$E,0)),"")</f>
        <v>GRSM 3A</v>
      </c>
      <c r="E507" s="20" t="str">
        <f>IFERROR(VLOOKUP(I507,KET!$B:$F,4,0),"")</f>
        <v>FAHMI LUKMANUL HAKIM</v>
      </c>
      <c r="F507" s="20" t="str">
        <f>IFERROR(VLOOKUP(I507,KET!$B:$F,5,0),"")</f>
        <v>GMM</v>
      </c>
      <c r="G507" s="20">
        <f>IFERROR(INDEX('Kode Outlet dan Target Toko'!$C:$C,MATCH($I507,'Kode Outlet dan Target Toko'!$E:$E,0)),0)</f>
        <v>103272</v>
      </c>
      <c r="H507" s="20">
        <f>IFERROR(INDEX('Kode Outlet dan Target Toko'!$D:$D,MATCH($I507,'Kode Outlet dan Target Toko'!$E:$E,0)),0)</f>
        <v>1178</v>
      </c>
      <c r="I507" s="51" t="s">
        <v>22</v>
      </c>
      <c r="J507" s="27" t="s">
        <v>259</v>
      </c>
      <c r="K507" s="39" t="s">
        <v>13</v>
      </c>
      <c r="L507" s="29">
        <v>3145</v>
      </c>
      <c r="M507" s="24">
        <v>15</v>
      </c>
      <c r="N507" s="25">
        <f t="shared" si="15"/>
        <v>47175</v>
      </c>
      <c r="O507" s="24"/>
    </row>
    <row r="508" spans="1:15" ht="15.75" hidden="1" customHeight="1" x14ac:dyDescent="0.3">
      <c r="A508" s="26">
        <v>25</v>
      </c>
      <c r="B508" s="20" t="str">
        <f t="shared" si="14"/>
        <v>JUN</v>
      </c>
      <c r="C508" s="28">
        <v>46193</v>
      </c>
      <c r="D508" s="22" t="str">
        <f t="array" ref="D508">IFERROR(INDEX('Kode Outlet dan Target Toko'!$A:$A,MATCH($I508,'Kode Outlet dan Target Toko'!$E:$E,0)),"")</f>
        <v>GRSM 3A</v>
      </c>
      <c r="E508" s="20" t="str">
        <f>IFERROR(VLOOKUP(I508,KET!$B:$F,4,0),"")</f>
        <v>FAHMI LUKMANUL HAKIM</v>
      </c>
      <c r="F508" s="20" t="str">
        <f>IFERROR(VLOOKUP(I508,KET!$B:$F,5,0),"")</f>
        <v>GMM</v>
      </c>
      <c r="G508" s="20">
        <f>IFERROR(INDEX('Kode Outlet dan Target Toko'!$C:$C,MATCH($I508,'Kode Outlet dan Target Toko'!$E:$E,0)),0)</f>
        <v>103272</v>
      </c>
      <c r="H508" s="20">
        <f>IFERROR(INDEX('Kode Outlet dan Target Toko'!$D:$D,MATCH($I508,'Kode Outlet dan Target Toko'!$E:$E,0)),0)</f>
        <v>1178</v>
      </c>
      <c r="I508" s="51" t="s">
        <v>22</v>
      </c>
      <c r="J508" s="27" t="s">
        <v>259</v>
      </c>
      <c r="K508" s="39" t="s">
        <v>16</v>
      </c>
      <c r="L508" s="29">
        <v>3145</v>
      </c>
      <c r="M508" s="24">
        <v>34</v>
      </c>
      <c r="N508" s="25">
        <f t="shared" si="15"/>
        <v>106930</v>
      </c>
      <c r="O508" s="24"/>
    </row>
    <row r="509" spans="1:15" ht="15.75" hidden="1" customHeight="1" x14ac:dyDescent="0.3">
      <c r="A509" s="26">
        <v>25</v>
      </c>
      <c r="B509" s="20" t="str">
        <f t="shared" si="14"/>
        <v>JUN</v>
      </c>
      <c r="C509" s="28">
        <v>46193</v>
      </c>
      <c r="D509" s="22" t="str">
        <f t="array" ref="D509">IFERROR(INDEX('Kode Outlet dan Target Toko'!$A:$A,MATCH($I509,'Kode Outlet dan Target Toko'!$E:$E,0)),"")</f>
        <v>GRSM 3A</v>
      </c>
      <c r="E509" s="20" t="str">
        <f>IFERROR(VLOOKUP(I509,KET!$B:$F,4,0),"")</f>
        <v>FAHMI LUKMANUL HAKIM</v>
      </c>
      <c r="F509" s="20" t="str">
        <f>IFERROR(VLOOKUP(I509,KET!$B:$F,5,0),"")</f>
        <v>GMM</v>
      </c>
      <c r="G509" s="20">
        <f>IFERROR(INDEX('Kode Outlet dan Target Toko'!$C:$C,MATCH($I509,'Kode Outlet dan Target Toko'!$E:$E,0)),0)</f>
        <v>103272</v>
      </c>
      <c r="H509" s="20">
        <f>IFERROR(INDEX('Kode Outlet dan Target Toko'!$D:$D,MATCH($I509,'Kode Outlet dan Target Toko'!$E:$E,0)),0)</f>
        <v>1178</v>
      </c>
      <c r="I509" s="51" t="s">
        <v>22</v>
      </c>
      <c r="J509" s="27" t="s">
        <v>254</v>
      </c>
      <c r="K509" s="39" t="s">
        <v>15</v>
      </c>
      <c r="L509" s="29">
        <v>3145</v>
      </c>
      <c r="M509" s="24">
        <v>18</v>
      </c>
      <c r="N509" s="25">
        <f t="shared" si="15"/>
        <v>56610</v>
      </c>
      <c r="O509" s="24">
        <v>160</v>
      </c>
    </row>
    <row r="510" spans="1:15" ht="15.75" hidden="1" customHeight="1" x14ac:dyDescent="0.3">
      <c r="A510" s="26">
        <v>25</v>
      </c>
      <c r="B510" s="20" t="str">
        <f t="shared" si="14"/>
        <v>JUN</v>
      </c>
      <c r="C510" s="28">
        <v>46193</v>
      </c>
      <c r="D510" s="22" t="str">
        <f t="array" ref="D510">IFERROR(INDEX('Kode Outlet dan Target Toko'!$A:$A,MATCH($I510,'Kode Outlet dan Target Toko'!$E:$E,0)),"")</f>
        <v>GRSM 3A</v>
      </c>
      <c r="E510" s="20" t="str">
        <f>IFERROR(VLOOKUP(I510,KET!$B:$F,4,0),"")</f>
        <v>FAHMI LUKMANUL HAKIM</v>
      </c>
      <c r="F510" s="20" t="str">
        <f>IFERROR(VLOOKUP(I510,KET!$B:$F,5,0),"")</f>
        <v>GMM</v>
      </c>
      <c r="G510" s="20">
        <f>IFERROR(INDEX('Kode Outlet dan Target Toko'!$C:$C,MATCH($I510,'Kode Outlet dan Target Toko'!$E:$E,0)),0)</f>
        <v>103272</v>
      </c>
      <c r="H510" s="20">
        <f>IFERROR(INDEX('Kode Outlet dan Target Toko'!$D:$D,MATCH($I510,'Kode Outlet dan Target Toko'!$E:$E,0)),0)</f>
        <v>1178</v>
      </c>
      <c r="I510" s="51" t="s">
        <v>22</v>
      </c>
      <c r="J510" s="27" t="s">
        <v>254</v>
      </c>
      <c r="K510" s="39" t="s">
        <v>14</v>
      </c>
      <c r="L510" s="29">
        <v>3145</v>
      </c>
      <c r="M510" s="24">
        <v>34</v>
      </c>
      <c r="N510" s="25">
        <f t="shared" si="15"/>
        <v>106930</v>
      </c>
      <c r="O510" s="24"/>
    </row>
    <row r="511" spans="1:15" ht="15.75" hidden="1" customHeight="1" x14ac:dyDescent="0.3">
      <c r="A511" s="26">
        <v>25</v>
      </c>
      <c r="B511" s="20" t="str">
        <f t="shared" si="14"/>
        <v>JUN</v>
      </c>
      <c r="C511" s="28">
        <v>46193</v>
      </c>
      <c r="D511" s="22" t="str">
        <f t="array" ref="D511">IFERROR(INDEX('Kode Outlet dan Target Toko'!$A:$A,MATCH($I511,'Kode Outlet dan Target Toko'!$E:$E,0)),"")</f>
        <v>GRSM 3A</v>
      </c>
      <c r="E511" s="20" t="str">
        <f>IFERROR(VLOOKUP(I511,KET!$B:$F,4,0),"")</f>
        <v>FAHMI LUKMANUL HAKIM</v>
      </c>
      <c r="F511" s="20" t="str">
        <f>IFERROR(VLOOKUP(I511,KET!$B:$F,5,0),"")</f>
        <v>GMM</v>
      </c>
      <c r="G511" s="20">
        <f>IFERROR(INDEX('Kode Outlet dan Target Toko'!$C:$C,MATCH($I511,'Kode Outlet dan Target Toko'!$E:$E,0)),0)</f>
        <v>103272</v>
      </c>
      <c r="H511" s="20">
        <f>IFERROR(INDEX('Kode Outlet dan Target Toko'!$D:$D,MATCH($I511,'Kode Outlet dan Target Toko'!$E:$E,0)),0)</f>
        <v>1178</v>
      </c>
      <c r="I511" s="51" t="s">
        <v>22</v>
      </c>
      <c r="J511" s="27" t="s">
        <v>254</v>
      </c>
      <c r="K511" s="39" t="s">
        <v>13</v>
      </c>
      <c r="L511" s="29">
        <v>3145</v>
      </c>
      <c r="M511" s="24">
        <v>15</v>
      </c>
      <c r="N511" s="25">
        <f t="shared" si="15"/>
        <v>47175</v>
      </c>
      <c r="O511" s="24"/>
    </row>
    <row r="512" spans="1:15" ht="15.75" hidden="1" customHeight="1" x14ac:dyDescent="0.3">
      <c r="A512" s="26">
        <v>25</v>
      </c>
      <c r="B512" s="20" t="str">
        <f t="shared" si="14"/>
        <v>JUN</v>
      </c>
      <c r="C512" s="28">
        <v>46193</v>
      </c>
      <c r="D512" s="22" t="str">
        <f t="array" ref="D512">IFERROR(INDEX('Kode Outlet dan Target Toko'!$A:$A,MATCH($I512,'Kode Outlet dan Target Toko'!$E:$E,0)),"")</f>
        <v>GRSM 3A</v>
      </c>
      <c r="E512" s="20" t="str">
        <f>IFERROR(VLOOKUP(I512,KET!$B:$F,4,0),"")</f>
        <v>FAHMI LUKMANUL HAKIM</v>
      </c>
      <c r="F512" s="20" t="str">
        <f>IFERROR(VLOOKUP(I512,KET!$B:$F,5,0),"")</f>
        <v>GMM</v>
      </c>
      <c r="G512" s="20">
        <f>IFERROR(INDEX('Kode Outlet dan Target Toko'!$C:$C,MATCH($I512,'Kode Outlet dan Target Toko'!$E:$E,0)),0)</f>
        <v>103272</v>
      </c>
      <c r="H512" s="20">
        <f>IFERROR(INDEX('Kode Outlet dan Target Toko'!$D:$D,MATCH($I512,'Kode Outlet dan Target Toko'!$E:$E,0)),0)</f>
        <v>1178</v>
      </c>
      <c r="I512" s="51" t="s">
        <v>22</v>
      </c>
      <c r="J512" s="27" t="s">
        <v>254</v>
      </c>
      <c r="K512" s="39" t="s">
        <v>16</v>
      </c>
      <c r="L512" s="29">
        <v>3145</v>
      </c>
      <c r="M512" s="24">
        <v>34</v>
      </c>
      <c r="N512" s="25">
        <f t="shared" si="15"/>
        <v>106930</v>
      </c>
      <c r="O512" s="24"/>
    </row>
    <row r="513" spans="1:15" ht="15.75" hidden="1" customHeight="1" x14ac:dyDescent="0.3">
      <c r="A513" s="26">
        <v>25</v>
      </c>
      <c r="B513" s="20" t="str">
        <f t="shared" si="14"/>
        <v>JUN</v>
      </c>
      <c r="C513" s="28">
        <v>46193</v>
      </c>
      <c r="D513" s="22" t="str">
        <f t="array" ref="D513">IFERROR(INDEX('Kode Outlet dan Target Toko'!$A:$A,MATCH($I513,'Kode Outlet dan Target Toko'!$E:$E,0)),"")</f>
        <v>GRSM 4</v>
      </c>
      <c r="E513" s="20" t="str">
        <f>IFERROR(VLOOKUP(I513,KET!$B:$F,4,0),"")</f>
        <v>FAHMI LUKMANUL HAKIM</v>
      </c>
      <c r="F513" s="20" t="str">
        <f>IFERROR(VLOOKUP(I513,KET!$B:$F,5,0),"")</f>
        <v>GMM</v>
      </c>
      <c r="G513" s="20">
        <f>IFERROR(INDEX('Kode Outlet dan Target Toko'!$C:$C,MATCH($I513,'Kode Outlet dan Target Toko'!$E:$E,0)),0)</f>
        <v>103259</v>
      </c>
      <c r="H513" s="20">
        <f>IFERROR(INDEX('Kode Outlet dan Target Toko'!$D:$D,MATCH($I513,'Kode Outlet dan Target Toko'!$E:$E,0)),0)</f>
        <v>9029389</v>
      </c>
      <c r="I513" s="51" t="s">
        <v>27</v>
      </c>
      <c r="J513" s="27" t="s">
        <v>258</v>
      </c>
      <c r="K513" s="39" t="s">
        <v>15</v>
      </c>
      <c r="L513" s="29">
        <v>3000</v>
      </c>
      <c r="M513" s="24">
        <v>55</v>
      </c>
      <c r="N513" s="25">
        <f t="shared" si="15"/>
        <v>165000</v>
      </c>
      <c r="O513" s="24">
        <v>160</v>
      </c>
    </row>
    <row r="514" spans="1:15" ht="15.75" hidden="1" customHeight="1" x14ac:dyDescent="0.3">
      <c r="A514" s="26">
        <v>25</v>
      </c>
      <c r="B514" s="20" t="str">
        <f t="shared" si="14"/>
        <v>JUN</v>
      </c>
      <c r="C514" s="28">
        <v>46193</v>
      </c>
      <c r="D514" s="22" t="str">
        <f t="array" ref="D514">IFERROR(INDEX('Kode Outlet dan Target Toko'!$A:$A,MATCH($I514,'Kode Outlet dan Target Toko'!$E:$E,0)),"")</f>
        <v>GRSM 4</v>
      </c>
      <c r="E514" s="20" t="str">
        <f>IFERROR(VLOOKUP(I514,KET!$B:$F,4,0),"")</f>
        <v>FAHMI LUKMANUL HAKIM</v>
      </c>
      <c r="F514" s="20" t="str">
        <f>IFERROR(VLOOKUP(I514,KET!$B:$F,5,0),"")</f>
        <v>GMM</v>
      </c>
      <c r="G514" s="20">
        <f>IFERROR(INDEX('Kode Outlet dan Target Toko'!$C:$C,MATCH($I514,'Kode Outlet dan Target Toko'!$E:$E,0)),0)</f>
        <v>103259</v>
      </c>
      <c r="H514" s="20">
        <f>IFERROR(INDEX('Kode Outlet dan Target Toko'!$D:$D,MATCH($I514,'Kode Outlet dan Target Toko'!$E:$E,0)),0)</f>
        <v>9029389</v>
      </c>
      <c r="I514" s="51" t="s">
        <v>27</v>
      </c>
      <c r="J514" s="27" t="s">
        <v>258</v>
      </c>
      <c r="K514" s="39" t="s">
        <v>14</v>
      </c>
      <c r="L514" s="29">
        <v>3000</v>
      </c>
      <c r="M514" s="24">
        <v>88</v>
      </c>
      <c r="N514" s="25">
        <f t="shared" si="15"/>
        <v>264000</v>
      </c>
      <c r="O514" s="24"/>
    </row>
    <row r="515" spans="1:15" ht="15.75" hidden="1" customHeight="1" x14ac:dyDescent="0.3">
      <c r="A515" s="26">
        <v>25</v>
      </c>
      <c r="B515" s="20" t="str">
        <f t="shared" si="14"/>
        <v>JUN</v>
      </c>
      <c r="C515" s="28">
        <v>46193</v>
      </c>
      <c r="D515" s="22" t="str">
        <f t="array" ref="D515">IFERROR(INDEX('Kode Outlet dan Target Toko'!$A:$A,MATCH($I515,'Kode Outlet dan Target Toko'!$E:$E,0)),"")</f>
        <v>GRSM 4</v>
      </c>
      <c r="E515" s="20" t="str">
        <f>IFERROR(VLOOKUP(I515,KET!$B:$F,4,0),"")</f>
        <v>FAHMI LUKMANUL HAKIM</v>
      </c>
      <c r="F515" s="20" t="str">
        <f>IFERROR(VLOOKUP(I515,KET!$B:$F,5,0),"")</f>
        <v>GMM</v>
      </c>
      <c r="G515" s="20">
        <f>IFERROR(INDEX('Kode Outlet dan Target Toko'!$C:$C,MATCH($I515,'Kode Outlet dan Target Toko'!$E:$E,0)),0)</f>
        <v>103259</v>
      </c>
      <c r="H515" s="20">
        <f>IFERROR(INDEX('Kode Outlet dan Target Toko'!$D:$D,MATCH($I515,'Kode Outlet dan Target Toko'!$E:$E,0)),0)</f>
        <v>9029389</v>
      </c>
      <c r="I515" s="51" t="s">
        <v>27</v>
      </c>
      <c r="J515" s="27" t="s">
        <v>258</v>
      </c>
      <c r="K515" s="39" t="s">
        <v>13</v>
      </c>
      <c r="L515" s="29">
        <v>3000</v>
      </c>
      <c r="M515" s="24">
        <v>25</v>
      </c>
      <c r="N515" s="25">
        <f t="shared" si="15"/>
        <v>75000</v>
      </c>
      <c r="O515" s="24"/>
    </row>
    <row r="516" spans="1:15" ht="15.75" hidden="1" customHeight="1" x14ac:dyDescent="0.3">
      <c r="A516" s="26">
        <v>25</v>
      </c>
      <c r="B516" s="20" t="str">
        <f t="shared" si="14"/>
        <v>JUN</v>
      </c>
      <c r="C516" s="28">
        <v>46193</v>
      </c>
      <c r="D516" s="22" t="str">
        <f t="array" ref="D516">IFERROR(INDEX('Kode Outlet dan Target Toko'!$A:$A,MATCH($I516,'Kode Outlet dan Target Toko'!$E:$E,0)),"")</f>
        <v>GRSM 4</v>
      </c>
      <c r="E516" s="20" t="str">
        <f>IFERROR(VLOOKUP(I516,KET!$B:$F,4,0),"")</f>
        <v>FAHMI LUKMANUL HAKIM</v>
      </c>
      <c r="F516" s="20" t="str">
        <f>IFERROR(VLOOKUP(I516,KET!$B:$F,5,0),"")</f>
        <v>GMM</v>
      </c>
      <c r="G516" s="20">
        <f>IFERROR(INDEX('Kode Outlet dan Target Toko'!$C:$C,MATCH($I516,'Kode Outlet dan Target Toko'!$E:$E,0)),0)</f>
        <v>103259</v>
      </c>
      <c r="H516" s="20">
        <f>IFERROR(INDEX('Kode Outlet dan Target Toko'!$D:$D,MATCH($I516,'Kode Outlet dan Target Toko'!$E:$E,0)),0)</f>
        <v>9029389</v>
      </c>
      <c r="I516" s="51" t="s">
        <v>27</v>
      </c>
      <c r="J516" s="27" t="s">
        <v>258</v>
      </c>
      <c r="K516" s="39" t="s">
        <v>16</v>
      </c>
      <c r="L516" s="29">
        <v>3000</v>
      </c>
      <c r="M516" s="24">
        <v>170</v>
      </c>
      <c r="N516" s="25">
        <f t="shared" si="15"/>
        <v>510000</v>
      </c>
      <c r="O516" s="24"/>
    </row>
    <row r="517" spans="1:15" ht="15.75" hidden="1" customHeight="1" x14ac:dyDescent="0.3">
      <c r="A517" s="26">
        <v>25</v>
      </c>
      <c r="B517" s="20" t="str">
        <f t="shared" si="14"/>
        <v>JUN</v>
      </c>
      <c r="C517" s="28">
        <v>46193</v>
      </c>
      <c r="D517" s="22" t="str">
        <f t="array" ref="D517">IFERROR(INDEX('Kode Outlet dan Target Toko'!$A:$A,MATCH($I517,'Kode Outlet dan Target Toko'!$E:$E,0)),"")</f>
        <v>GRSM 4</v>
      </c>
      <c r="E517" s="20" t="str">
        <f>IFERROR(VLOOKUP(I517,KET!$B:$F,4,0),"")</f>
        <v>FAHMI LUKMANUL HAKIM</v>
      </c>
      <c r="F517" s="20" t="str">
        <f>IFERROR(VLOOKUP(I517,KET!$B:$F,5,0),"")</f>
        <v>GMM</v>
      </c>
      <c r="G517" s="20">
        <f>IFERROR(INDEX('Kode Outlet dan Target Toko'!$C:$C,MATCH($I517,'Kode Outlet dan Target Toko'!$E:$E,0)),0)</f>
        <v>103259</v>
      </c>
      <c r="H517" s="20">
        <f>IFERROR(INDEX('Kode Outlet dan Target Toko'!$D:$D,MATCH($I517,'Kode Outlet dan Target Toko'!$E:$E,0)),0)</f>
        <v>9029389</v>
      </c>
      <c r="I517" s="51" t="s">
        <v>27</v>
      </c>
      <c r="J517" s="27" t="s">
        <v>179</v>
      </c>
      <c r="K517" s="39" t="s">
        <v>15</v>
      </c>
      <c r="L517" s="29">
        <v>3000</v>
      </c>
      <c r="M517" s="24">
        <v>35</v>
      </c>
      <c r="N517" s="25">
        <f t="shared" si="15"/>
        <v>105000</v>
      </c>
      <c r="O517" s="24">
        <v>160</v>
      </c>
    </row>
    <row r="518" spans="1:15" ht="15.75" hidden="1" customHeight="1" x14ac:dyDescent="0.3">
      <c r="A518" s="26">
        <v>25</v>
      </c>
      <c r="B518" s="20" t="str">
        <f t="shared" si="14"/>
        <v>JUN</v>
      </c>
      <c r="C518" s="28">
        <v>46193</v>
      </c>
      <c r="D518" s="22" t="str">
        <f t="array" ref="D518">IFERROR(INDEX('Kode Outlet dan Target Toko'!$A:$A,MATCH($I518,'Kode Outlet dan Target Toko'!$E:$E,0)),"")</f>
        <v>GRSM 4</v>
      </c>
      <c r="E518" s="20" t="str">
        <f>IFERROR(VLOOKUP(I518,KET!$B:$F,4,0),"")</f>
        <v>FAHMI LUKMANUL HAKIM</v>
      </c>
      <c r="F518" s="20" t="str">
        <f>IFERROR(VLOOKUP(I518,KET!$B:$F,5,0),"")</f>
        <v>GMM</v>
      </c>
      <c r="G518" s="20">
        <f>IFERROR(INDEX('Kode Outlet dan Target Toko'!$C:$C,MATCH($I518,'Kode Outlet dan Target Toko'!$E:$E,0)),0)</f>
        <v>103259</v>
      </c>
      <c r="H518" s="20">
        <f>IFERROR(INDEX('Kode Outlet dan Target Toko'!$D:$D,MATCH($I518,'Kode Outlet dan Target Toko'!$E:$E,0)),0)</f>
        <v>9029389</v>
      </c>
      <c r="I518" s="51" t="s">
        <v>27</v>
      </c>
      <c r="J518" s="27" t="s">
        <v>179</v>
      </c>
      <c r="K518" s="39" t="s">
        <v>14</v>
      </c>
      <c r="L518" s="29">
        <v>3000</v>
      </c>
      <c r="M518" s="24">
        <v>42</v>
      </c>
      <c r="N518" s="25">
        <f t="shared" si="15"/>
        <v>126000</v>
      </c>
      <c r="O518" s="24"/>
    </row>
    <row r="519" spans="1:15" ht="15.75" hidden="1" customHeight="1" x14ac:dyDescent="0.3">
      <c r="A519" s="26">
        <v>25</v>
      </c>
      <c r="B519" s="20" t="str">
        <f t="shared" ref="B519:B582" si="16">IF(C519="","",UPPER(TEXT(C519, "MMM")))</f>
        <v>JUN</v>
      </c>
      <c r="C519" s="28">
        <v>46193</v>
      </c>
      <c r="D519" s="22" t="str">
        <f t="array" ref="D519">IFERROR(INDEX('Kode Outlet dan Target Toko'!$A:$A,MATCH($I519,'Kode Outlet dan Target Toko'!$E:$E,0)),"")</f>
        <v>GRSM 4</v>
      </c>
      <c r="E519" s="20" t="str">
        <f>IFERROR(VLOOKUP(I519,KET!$B:$F,4,0),"")</f>
        <v>FAHMI LUKMANUL HAKIM</v>
      </c>
      <c r="F519" s="20" t="str">
        <f>IFERROR(VLOOKUP(I519,KET!$B:$F,5,0),"")</f>
        <v>GMM</v>
      </c>
      <c r="G519" s="20">
        <f>IFERROR(INDEX('Kode Outlet dan Target Toko'!$C:$C,MATCH($I519,'Kode Outlet dan Target Toko'!$E:$E,0)),0)</f>
        <v>103259</v>
      </c>
      <c r="H519" s="20">
        <f>IFERROR(INDEX('Kode Outlet dan Target Toko'!$D:$D,MATCH($I519,'Kode Outlet dan Target Toko'!$E:$E,0)),0)</f>
        <v>9029389</v>
      </c>
      <c r="I519" s="51" t="s">
        <v>27</v>
      </c>
      <c r="J519" s="27" t="s">
        <v>179</v>
      </c>
      <c r="K519" s="39" t="s">
        <v>13</v>
      </c>
      <c r="L519" s="29">
        <v>3000</v>
      </c>
      <c r="M519" s="24">
        <v>60</v>
      </c>
      <c r="N519" s="25">
        <f t="shared" ref="N519:N582" si="17">IFERROR(M519*L519,"")</f>
        <v>180000</v>
      </c>
      <c r="O519" s="24"/>
    </row>
    <row r="520" spans="1:15" ht="15.75" hidden="1" customHeight="1" x14ac:dyDescent="0.3">
      <c r="A520" s="26">
        <v>25</v>
      </c>
      <c r="B520" s="20" t="str">
        <f t="shared" si="16"/>
        <v>JUN</v>
      </c>
      <c r="C520" s="28">
        <v>46193</v>
      </c>
      <c r="D520" s="22" t="str">
        <f t="array" ref="D520">IFERROR(INDEX('Kode Outlet dan Target Toko'!$A:$A,MATCH($I520,'Kode Outlet dan Target Toko'!$E:$E,0)),"")</f>
        <v>GRSM 4</v>
      </c>
      <c r="E520" s="20" t="str">
        <f>IFERROR(VLOOKUP(I520,KET!$B:$F,4,0),"")</f>
        <v>FAHMI LUKMANUL HAKIM</v>
      </c>
      <c r="F520" s="20" t="str">
        <f>IFERROR(VLOOKUP(I520,KET!$B:$F,5,0),"")</f>
        <v>GMM</v>
      </c>
      <c r="G520" s="20">
        <f>IFERROR(INDEX('Kode Outlet dan Target Toko'!$C:$C,MATCH($I520,'Kode Outlet dan Target Toko'!$E:$E,0)),0)</f>
        <v>103259</v>
      </c>
      <c r="H520" s="20">
        <f>IFERROR(INDEX('Kode Outlet dan Target Toko'!$D:$D,MATCH($I520,'Kode Outlet dan Target Toko'!$E:$E,0)),0)</f>
        <v>9029389</v>
      </c>
      <c r="I520" s="51" t="s">
        <v>27</v>
      </c>
      <c r="J520" s="27" t="s">
        <v>179</v>
      </c>
      <c r="K520" s="39" t="s">
        <v>16</v>
      </c>
      <c r="L520" s="29">
        <v>3000</v>
      </c>
      <c r="M520" s="24">
        <v>170</v>
      </c>
      <c r="N520" s="25">
        <f t="shared" si="17"/>
        <v>510000</v>
      </c>
      <c r="O520" s="24"/>
    </row>
    <row r="521" spans="1:15" ht="15.75" hidden="1" customHeight="1" x14ac:dyDescent="0.3">
      <c r="A521" s="26">
        <v>25</v>
      </c>
      <c r="B521" s="20" t="str">
        <f t="shared" si="16"/>
        <v>JUN</v>
      </c>
      <c r="C521" s="28">
        <v>46193</v>
      </c>
      <c r="D521" s="22" t="str">
        <f t="array" ref="D521">IFERROR(INDEX('Kode Outlet dan Target Toko'!$A:$A,MATCH($I521,'Kode Outlet dan Target Toko'!$E:$E,0)),"")</f>
        <v>GRSM 4</v>
      </c>
      <c r="E521" s="20" t="str">
        <f>IFERROR(VLOOKUP(I521,KET!$B:$F,4,0),"")</f>
        <v>FAHMI LUKMANUL HAKIM</v>
      </c>
      <c r="F521" s="20" t="str">
        <f>IFERROR(VLOOKUP(I521,KET!$B:$F,5,0),"")</f>
        <v>NKA</v>
      </c>
      <c r="G521" s="20">
        <f>IFERROR(INDEX('Kode Outlet dan Target Toko'!$C:$C,MATCH($I521,'Kode Outlet dan Target Toko'!$E:$E,0)),0)</f>
        <v>490034</v>
      </c>
      <c r="H521" s="20">
        <f>IFERROR(INDEX('Kode Outlet dan Target Toko'!$D:$D,MATCH($I521,'Kode Outlet dan Target Toko'!$E:$E,0)),0)</f>
        <v>209554</v>
      </c>
      <c r="I521" s="51" t="s">
        <v>26</v>
      </c>
      <c r="J521" s="27" t="s">
        <v>176</v>
      </c>
      <c r="K521" s="39" t="s">
        <v>15</v>
      </c>
      <c r="L521" s="29">
        <v>3275</v>
      </c>
      <c r="M521" s="24">
        <v>90</v>
      </c>
      <c r="N521" s="25">
        <f t="shared" si="17"/>
        <v>294750</v>
      </c>
      <c r="O521" s="24">
        <v>160</v>
      </c>
    </row>
    <row r="522" spans="1:15" ht="15.75" hidden="1" customHeight="1" x14ac:dyDescent="0.3">
      <c r="A522" s="26">
        <v>25</v>
      </c>
      <c r="B522" s="20" t="str">
        <f t="shared" si="16"/>
        <v>JUN</v>
      </c>
      <c r="C522" s="28">
        <v>46193</v>
      </c>
      <c r="D522" s="22" t="str">
        <f t="array" ref="D522">IFERROR(INDEX('Kode Outlet dan Target Toko'!$A:$A,MATCH($I522,'Kode Outlet dan Target Toko'!$E:$E,0)),"")</f>
        <v>GRSM 4</v>
      </c>
      <c r="E522" s="20" t="str">
        <f>IFERROR(VLOOKUP(I522,KET!$B:$F,4,0),"")</f>
        <v>FAHMI LUKMANUL HAKIM</v>
      </c>
      <c r="F522" s="20" t="str">
        <f>IFERROR(VLOOKUP(I522,KET!$B:$F,5,0),"")</f>
        <v>NKA</v>
      </c>
      <c r="G522" s="20">
        <f>IFERROR(INDEX('Kode Outlet dan Target Toko'!$C:$C,MATCH($I522,'Kode Outlet dan Target Toko'!$E:$E,0)),0)</f>
        <v>490034</v>
      </c>
      <c r="H522" s="20">
        <f>IFERROR(INDEX('Kode Outlet dan Target Toko'!$D:$D,MATCH($I522,'Kode Outlet dan Target Toko'!$E:$E,0)),0)</f>
        <v>209554</v>
      </c>
      <c r="I522" s="51" t="s">
        <v>26</v>
      </c>
      <c r="J522" s="27" t="s">
        <v>176</v>
      </c>
      <c r="K522" s="39" t="s">
        <v>14</v>
      </c>
      <c r="L522" s="29">
        <v>3275</v>
      </c>
      <c r="M522" s="24">
        <v>120</v>
      </c>
      <c r="N522" s="25">
        <f t="shared" si="17"/>
        <v>393000</v>
      </c>
      <c r="O522" s="24"/>
    </row>
    <row r="523" spans="1:15" ht="15.75" hidden="1" customHeight="1" x14ac:dyDescent="0.3">
      <c r="A523" s="26">
        <v>25</v>
      </c>
      <c r="B523" s="20" t="str">
        <f t="shared" si="16"/>
        <v>JUN</v>
      </c>
      <c r="C523" s="28">
        <v>46193</v>
      </c>
      <c r="D523" s="22" t="str">
        <f t="array" ref="D523">IFERROR(INDEX('Kode Outlet dan Target Toko'!$A:$A,MATCH($I523,'Kode Outlet dan Target Toko'!$E:$E,0)),"")</f>
        <v>GRSM 4</v>
      </c>
      <c r="E523" s="20" t="str">
        <f>IFERROR(VLOOKUP(I523,KET!$B:$F,4,0),"")</f>
        <v>FAHMI LUKMANUL HAKIM</v>
      </c>
      <c r="F523" s="20" t="str">
        <f>IFERROR(VLOOKUP(I523,KET!$B:$F,5,0),"")</f>
        <v>NKA</v>
      </c>
      <c r="G523" s="20">
        <f>IFERROR(INDEX('Kode Outlet dan Target Toko'!$C:$C,MATCH($I523,'Kode Outlet dan Target Toko'!$E:$E,0)),0)</f>
        <v>490034</v>
      </c>
      <c r="H523" s="20">
        <f>IFERROR(INDEX('Kode Outlet dan Target Toko'!$D:$D,MATCH($I523,'Kode Outlet dan Target Toko'!$E:$E,0)),0)</f>
        <v>209554</v>
      </c>
      <c r="I523" s="51" t="s">
        <v>26</v>
      </c>
      <c r="J523" s="27" t="s">
        <v>176</v>
      </c>
      <c r="K523" s="39" t="s">
        <v>13</v>
      </c>
      <c r="L523" s="29">
        <v>3275</v>
      </c>
      <c r="M523" s="24">
        <v>20</v>
      </c>
      <c r="N523" s="25">
        <f t="shared" si="17"/>
        <v>65500</v>
      </c>
      <c r="O523" s="24"/>
    </row>
    <row r="524" spans="1:15" ht="15.75" hidden="1" customHeight="1" x14ac:dyDescent="0.3">
      <c r="A524" s="26">
        <v>25</v>
      </c>
      <c r="B524" s="20" t="str">
        <f t="shared" si="16"/>
        <v>JUN</v>
      </c>
      <c r="C524" s="28">
        <v>46193</v>
      </c>
      <c r="D524" s="22" t="str">
        <f t="array" ref="D524">IFERROR(INDEX('Kode Outlet dan Target Toko'!$A:$A,MATCH($I524,'Kode Outlet dan Target Toko'!$E:$E,0)),"")</f>
        <v>GRSM 4</v>
      </c>
      <c r="E524" s="20" t="str">
        <f>IFERROR(VLOOKUP(I524,KET!$B:$F,4,0),"")</f>
        <v>FAHMI LUKMANUL HAKIM</v>
      </c>
      <c r="F524" s="20" t="str">
        <f>IFERROR(VLOOKUP(I524,KET!$B:$F,5,0),"")</f>
        <v>NKA</v>
      </c>
      <c r="G524" s="20">
        <f>IFERROR(INDEX('Kode Outlet dan Target Toko'!$C:$C,MATCH($I524,'Kode Outlet dan Target Toko'!$E:$E,0)),0)</f>
        <v>490034</v>
      </c>
      <c r="H524" s="20">
        <f>IFERROR(INDEX('Kode Outlet dan Target Toko'!$D:$D,MATCH($I524,'Kode Outlet dan Target Toko'!$E:$E,0)),0)</f>
        <v>209554</v>
      </c>
      <c r="I524" s="51" t="s">
        <v>26</v>
      </c>
      <c r="J524" s="27" t="s">
        <v>176</v>
      </c>
      <c r="K524" s="39" t="s">
        <v>16</v>
      </c>
      <c r="L524" s="29">
        <v>3275</v>
      </c>
      <c r="M524" s="24">
        <v>130</v>
      </c>
      <c r="N524" s="25">
        <f t="shared" si="17"/>
        <v>425750</v>
      </c>
      <c r="O524" s="24"/>
    </row>
    <row r="525" spans="1:15" ht="15.75" hidden="1" customHeight="1" x14ac:dyDescent="0.3">
      <c r="A525" s="26">
        <v>25</v>
      </c>
      <c r="B525" s="20" t="str">
        <f t="shared" si="16"/>
        <v>JUN</v>
      </c>
      <c r="C525" s="28">
        <v>46193</v>
      </c>
      <c r="D525" s="22" t="str">
        <f t="array" ref="D525">IFERROR(INDEX('Kode Outlet dan Target Toko'!$A:$A,MATCH($I525,'Kode Outlet dan Target Toko'!$E:$E,0)),"")</f>
        <v>GRSM 4</v>
      </c>
      <c r="E525" s="20" t="str">
        <f>IFERROR(VLOOKUP(I525,KET!$B:$F,4,0),"")</f>
        <v>FAHMI LUKMANUL HAKIM</v>
      </c>
      <c r="F525" s="20" t="str">
        <f>IFERROR(VLOOKUP(I525,KET!$B:$F,5,0),"")</f>
        <v>NKA</v>
      </c>
      <c r="G525" s="20">
        <f>IFERROR(INDEX('Kode Outlet dan Target Toko'!$C:$C,MATCH($I525,'Kode Outlet dan Target Toko'!$E:$E,0)),0)</f>
        <v>490034</v>
      </c>
      <c r="H525" s="20">
        <f>IFERROR(INDEX('Kode Outlet dan Target Toko'!$D:$D,MATCH($I525,'Kode Outlet dan Target Toko'!$E:$E,0)),0)</f>
        <v>209554</v>
      </c>
      <c r="I525" s="51" t="s">
        <v>26</v>
      </c>
      <c r="J525" s="27" t="s">
        <v>177</v>
      </c>
      <c r="K525" s="39" t="s">
        <v>15</v>
      </c>
      <c r="L525" s="29">
        <v>3275</v>
      </c>
      <c r="M525" s="24">
        <v>90</v>
      </c>
      <c r="N525" s="25">
        <f t="shared" si="17"/>
        <v>294750</v>
      </c>
      <c r="O525" s="24">
        <v>120</v>
      </c>
    </row>
    <row r="526" spans="1:15" ht="15.75" hidden="1" customHeight="1" x14ac:dyDescent="0.3">
      <c r="A526" s="26">
        <v>25</v>
      </c>
      <c r="B526" s="20" t="str">
        <f t="shared" si="16"/>
        <v>JUN</v>
      </c>
      <c r="C526" s="28">
        <v>46193</v>
      </c>
      <c r="D526" s="22" t="str">
        <f t="array" ref="D526">IFERROR(INDEX('Kode Outlet dan Target Toko'!$A:$A,MATCH($I526,'Kode Outlet dan Target Toko'!$E:$E,0)),"")</f>
        <v>GRSM 4</v>
      </c>
      <c r="E526" s="20" t="str">
        <f>IFERROR(VLOOKUP(I526,KET!$B:$F,4,0),"")</f>
        <v>FAHMI LUKMANUL HAKIM</v>
      </c>
      <c r="F526" s="20" t="str">
        <f>IFERROR(VLOOKUP(I526,KET!$B:$F,5,0),"")</f>
        <v>NKA</v>
      </c>
      <c r="G526" s="20">
        <f>IFERROR(INDEX('Kode Outlet dan Target Toko'!$C:$C,MATCH($I526,'Kode Outlet dan Target Toko'!$E:$E,0)),0)</f>
        <v>490034</v>
      </c>
      <c r="H526" s="20">
        <f>IFERROR(INDEX('Kode Outlet dan Target Toko'!$D:$D,MATCH($I526,'Kode Outlet dan Target Toko'!$E:$E,0)),0)</f>
        <v>209554</v>
      </c>
      <c r="I526" s="41" t="s">
        <v>26</v>
      </c>
      <c r="J526" s="56" t="s">
        <v>177</v>
      </c>
      <c r="K526" s="39" t="s">
        <v>14</v>
      </c>
      <c r="L526" s="29">
        <v>3275</v>
      </c>
      <c r="M526" s="24">
        <v>120</v>
      </c>
      <c r="N526" s="25">
        <f t="shared" si="17"/>
        <v>393000</v>
      </c>
      <c r="O526" s="24"/>
    </row>
    <row r="527" spans="1:15" ht="15.75" hidden="1" customHeight="1" x14ac:dyDescent="0.3">
      <c r="A527" s="26">
        <v>25</v>
      </c>
      <c r="B527" s="20" t="str">
        <f t="shared" si="16"/>
        <v>JUN</v>
      </c>
      <c r="C527" s="28">
        <v>46193</v>
      </c>
      <c r="D527" s="22" t="str">
        <f t="array" ref="D527">IFERROR(INDEX('Kode Outlet dan Target Toko'!$A:$A,MATCH($I527,'Kode Outlet dan Target Toko'!$E:$E,0)),"")</f>
        <v>GRSM 4</v>
      </c>
      <c r="E527" s="20" t="str">
        <f>IFERROR(VLOOKUP(I527,KET!$B:$F,4,0),"")</f>
        <v>FAHMI LUKMANUL HAKIM</v>
      </c>
      <c r="F527" s="20" t="str">
        <f>IFERROR(VLOOKUP(I527,KET!$B:$F,5,0),"")</f>
        <v>NKA</v>
      </c>
      <c r="G527" s="20">
        <f>IFERROR(INDEX('Kode Outlet dan Target Toko'!$C:$C,MATCH($I527,'Kode Outlet dan Target Toko'!$E:$E,0)),0)</f>
        <v>490034</v>
      </c>
      <c r="H527" s="20">
        <f>IFERROR(INDEX('Kode Outlet dan Target Toko'!$D:$D,MATCH($I527,'Kode Outlet dan Target Toko'!$E:$E,0)),0)</f>
        <v>209554</v>
      </c>
      <c r="I527" s="41" t="s">
        <v>26</v>
      </c>
      <c r="J527" s="56" t="s">
        <v>177</v>
      </c>
      <c r="K527" s="39" t="s">
        <v>13</v>
      </c>
      <c r="L527" s="29">
        <v>3275</v>
      </c>
      <c r="M527" s="24">
        <v>20</v>
      </c>
      <c r="N527" s="25">
        <f t="shared" si="17"/>
        <v>65500</v>
      </c>
      <c r="O527" s="24"/>
    </row>
    <row r="528" spans="1:15" ht="15.75" hidden="1" customHeight="1" x14ac:dyDescent="0.3">
      <c r="A528" s="26">
        <v>25</v>
      </c>
      <c r="B528" s="20" t="str">
        <f t="shared" si="16"/>
        <v>JUN</v>
      </c>
      <c r="C528" s="28">
        <v>46193</v>
      </c>
      <c r="D528" s="22" t="str">
        <f t="array" ref="D528">IFERROR(INDEX('Kode Outlet dan Target Toko'!$A:$A,MATCH($I528,'Kode Outlet dan Target Toko'!$E:$E,0)),"")</f>
        <v>GRSM 4</v>
      </c>
      <c r="E528" s="20" t="str">
        <f>IFERROR(VLOOKUP(I528,KET!$B:$F,4,0),"")</f>
        <v>FAHMI LUKMANUL HAKIM</v>
      </c>
      <c r="F528" s="20" t="str">
        <f>IFERROR(VLOOKUP(I528,KET!$B:$F,5,0),"")</f>
        <v>NKA</v>
      </c>
      <c r="G528" s="20">
        <f>IFERROR(INDEX('Kode Outlet dan Target Toko'!$C:$C,MATCH($I528,'Kode Outlet dan Target Toko'!$E:$E,0)),0)</f>
        <v>490034</v>
      </c>
      <c r="H528" s="20">
        <f>IFERROR(INDEX('Kode Outlet dan Target Toko'!$D:$D,MATCH($I528,'Kode Outlet dan Target Toko'!$E:$E,0)),0)</f>
        <v>209554</v>
      </c>
      <c r="I528" s="41" t="s">
        <v>26</v>
      </c>
      <c r="J528" s="56" t="s">
        <v>177</v>
      </c>
      <c r="K528" s="39" t="s">
        <v>16</v>
      </c>
      <c r="L528" s="29">
        <v>3275</v>
      </c>
      <c r="M528" s="24">
        <v>130</v>
      </c>
      <c r="N528" s="25">
        <f t="shared" si="17"/>
        <v>425750</v>
      </c>
      <c r="O528" s="24"/>
    </row>
    <row r="529" spans="1:15" ht="15.75" hidden="1" customHeight="1" x14ac:dyDescent="0.3">
      <c r="A529" s="26">
        <v>25</v>
      </c>
      <c r="B529" s="20" t="str">
        <f t="shared" si="16"/>
        <v>JUN</v>
      </c>
      <c r="C529" s="28">
        <v>46193</v>
      </c>
      <c r="D529" s="22" t="str">
        <f t="array" ref="D529">IFERROR(INDEX('Kode Outlet dan Target Toko'!$A:$A,MATCH($I529,'Kode Outlet dan Target Toko'!$E:$E,0)),"")</f>
        <v>GRSM 4</v>
      </c>
      <c r="E529" s="20" t="str">
        <f>IFERROR(VLOOKUP(I529,KET!$B:$F,4,0),"")</f>
        <v>FAHMI LUKMANUL HAKIM</v>
      </c>
      <c r="F529" s="20" t="str">
        <f>IFERROR(VLOOKUP(I529,KET!$B:$F,5,0),"")</f>
        <v>GMM</v>
      </c>
      <c r="G529" s="20">
        <f>IFERROR(INDEX('Kode Outlet dan Target Toko'!$C:$C,MATCH($I529,'Kode Outlet dan Target Toko'!$E:$E,0)),0)</f>
        <v>103259</v>
      </c>
      <c r="H529" s="20">
        <f>IFERROR(INDEX('Kode Outlet dan Target Toko'!$D:$D,MATCH($I529,'Kode Outlet dan Target Toko'!$E:$E,0)),0)</f>
        <v>9029389</v>
      </c>
      <c r="I529" s="41" t="s">
        <v>18</v>
      </c>
      <c r="J529" s="56" t="s">
        <v>196</v>
      </c>
      <c r="K529" s="39" t="s">
        <v>15</v>
      </c>
      <c r="L529" s="29">
        <v>2000</v>
      </c>
      <c r="M529" s="24">
        <v>48</v>
      </c>
      <c r="N529" s="25">
        <f t="shared" si="17"/>
        <v>96000</v>
      </c>
      <c r="O529" s="24">
        <v>120</v>
      </c>
    </row>
    <row r="530" spans="1:15" ht="15.75" hidden="1" customHeight="1" x14ac:dyDescent="0.3">
      <c r="A530" s="26">
        <v>25</v>
      </c>
      <c r="B530" s="20" t="str">
        <f t="shared" si="16"/>
        <v>JUN</v>
      </c>
      <c r="C530" s="28">
        <v>46194</v>
      </c>
      <c r="D530" s="22" t="str">
        <f t="array" ref="D530">IFERROR(INDEX('Kode Outlet dan Target Toko'!$A:$A,MATCH($I530,'Kode Outlet dan Target Toko'!$E:$E,0)),"")</f>
        <v>GRSM 4</v>
      </c>
      <c r="E530" s="20" t="str">
        <f>IFERROR(VLOOKUP(I530,KET!$B:$F,4,0),"")</f>
        <v>FAHMI LUKMANUL HAKIM</v>
      </c>
      <c r="F530" s="20" t="str">
        <f>IFERROR(VLOOKUP(I530,KET!$B:$F,5,0),"")</f>
        <v>GMM</v>
      </c>
      <c r="G530" s="20">
        <f>IFERROR(INDEX('Kode Outlet dan Target Toko'!$C:$C,MATCH($I530,'Kode Outlet dan Target Toko'!$E:$E,0)),0)</f>
        <v>103259</v>
      </c>
      <c r="H530" s="20">
        <f>IFERROR(INDEX('Kode Outlet dan Target Toko'!$D:$D,MATCH($I530,'Kode Outlet dan Target Toko'!$E:$E,0)),0)</f>
        <v>9029389</v>
      </c>
      <c r="I530" s="51" t="s">
        <v>18</v>
      </c>
      <c r="J530" s="27" t="s">
        <v>196</v>
      </c>
      <c r="K530" s="39" t="s">
        <v>14</v>
      </c>
      <c r="L530" s="29">
        <v>2000</v>
      </c>
      <c r="M530" s="24">
        <v>57</v>
      </c>
      <c r="N530" s="25">
        <f t="shared" si="17"/>
        <v>114000</v>
      </c>
      <c r="O530" s="24"/>
    </row>
    <row r="531" spans="1:15" ht="15.75" hidden="1" customHeight="1" x14ac:dyDescent="0.3">
      <c r="A531" s="26">
        <v>25</v>
      </c>
      <c r="B531" s="20" t="str">
        <f t="shared" si="16"/>
        <v>JUN</v>
      </c>
      <c r="C531" s="28">
        <v>46194</v>
      </c>
      <c r="D531" s="22" t="str">
        <f t="array" ref="D531">IFERROR(INDEX('Kode Outlet dan Target Toko'!$A:$A,MATCH($I531,'Kode Outlet dan Target Toko'!$E:$E,0)),"")</f>
        <v>GRSM 4</v>
      </c>
      <c r="E531" s="20" t="str">
        <f>IFERROR(VLOOKUP(I531,KET!$B:$F,4,0),"")</f>
        <v>FAHMI LUKMANUL HAKIM</v>
      </c>
      <c r="F531" s="20" t="str">
        <f>IFERROR(VLOOKUP(I531,KET!$B:$F,5,0),"")</f>
        <v>GMM</v>
      </c>
      <c r="G531" s="20">
        <f>IFERROR(INDEX('Kode Outlet dan Target Toko'!$C:$C,MATCH($I531,'Kode Outlet dan Target Toko'!$E:$E,0)),0)</f>
        <v>103259</v>
      </c>
      <c r="H531" s="20">
        <f>IFERROR(INDEX('Kode Outlet dan Target Toko'!$D:$D,MATCH($I531,'Kode Outlet dan Target Toko'!$E:$E,0)),0)</f>
        <v>9029389</v>
      </c>
      <c r="I531" s="51" t="s">
        <v>18</v>
      </c>
      <c r="J531" s="27" t="s">
        <v>196</v>
      </c>
      <c r="K531" s="39" t="s">
        <v>13</v>
      </c>
      <c r="L531" s="29">
        <v>2000</v>
      </c>
      <c r="M531" s="24">
        <v>33</v>
      </c>
      <c r="N531" s="25">
        <f t="shared" si="17"/>
        <v>66000</v>
      </c>
      <c r="O531" s="24"/>
    </row>
    <row r="532" spans="1:15" ht="15.75" hidden="1" customHeight="1" x14ac:dyDescent="0.3">
      <c r="A532" s="26">
        <v>25</v>
      </c>
      <c r="B532" s="20" t="str">
        <f t="shared" si="16"/>
        <v>JUN</v>
      </c>
      <c r="C532" s="28">
        <v>46194</v>
      </c>
      <c r="D532" s="22" t="str">
        <f t="array" ref="D532">IFERROR(INDEX('Kode Outlet dan Target Toko'!$A:$A,MATCH($I532,'Kode Outlet dan Target Toko'!$E:$E,0)),"")</f>
        <v>GRSM 4</v>
      </c>
      <c r="E532" s="20" t="str">
        <f>IFERROR(VLOOKUP(I532,KET!$B:$F,4,0),"")</f>
        <v>FAHMI LUKMANUL HAKIM</v>
      </c>
      <c r="F532" s="20" t="str">
        <f>IFERROR(VLOOKUP(I532,KET!$B:$F,5,0),"")</f>
        <v>GMM</v>
      </c>
      <c r="G532" s="20">
        <f>IFERROR(INDEX('Kode Outlet dan Target Toko'!$C:$C,MATCH($I532,'Kode Outlet dan Target Toko'!$E:$E,0)),0)</f>
        <v>103259</v>
      </c>
      <c r="H532" s="20">
        <f>IFERROR(INDEX('Kode Outlet dan Target Toko'!$D:$D,MATCH($I532,'Kode Outlet dan Target Toko'!$E:$E,0)),0)</f>
        <v>9029389</v>
      </c>
      <c r="I532" s="51" t="s">
        <v>18</v>
      </c>
      <c r="J532" s="27" t="s">
        <v>196</v>
      </c>
      <c r="K532" s="39" t="s">
        <v>16</v>
      </c>
      <c r="L532" s="29">
        <v>2000</v>
      </c>
      <c r="M532" s="24">
        <v>102</v>
      </c>
      <c r="N532" s="25">
        <f t="shared" si="17"/>
        <v>204000</v>
      </c>
      <c r="O532" s="24"/>
    </row>
    <row r="533" spans="1:15" ht="15.75" hidden="1" customHeight="1" x14ac:dyDescent="0.3">
      <c r="A533" s="26">
        <v>25</v>
      </c>
      <c r="B533" s="20" t="str">
        <f t="shared" si="16"/>
        <v>JUN</v>
      </c>
      <c r="C533" s="28">
        <v>46194</v>
      </c>
      <c r="D533" s="22" t="str">
        <f t="array" ref="D533">IFERROR(INDEX('Kode Outlet dan Target Toko'!$A:$A,MATCH($I533,'Kode Outlet dan Target Toko'!$E:$E,0)),"")</f>
        <v>GRSM 4</v>
      </c>
      <c r="E533" s="20" t="str">
        <f>IFERROR(VLOOKUP(I533,KET!$B:$F,4,0),"")</f>
        <v>FAHMI LUKMANUL HAKIM</v>
      </c>
      <c r="F533" s="20" t="str">
        <f>IFERROR(VLOOKUP(I533,KET!$B:$F,5,0),"")</f>
        <v>GMM</v>
      </c>
      <c r="G533" s="20">
        <f>IFERROR(INDEX('Kode Outlet dan Target Toko'!$C:$C,MATCH($I533,'Kode Outlet dan Target Toko'!$E:$E,0)),0)</f>
        <v>103259</v>
      </c>
      <c r="H533" s="20">
        <f>IFERROR(INDEX('Kode Outlet dan Target Toko'!$D:$D,MATCH($I533,'Kode Outlet dan Target Toko'!$E:$E,0)),0)</f>
        <v>9029389</v>
      </c>
      <c r="I533" s="51" t="s">
        <v>18</v>
      </c>
      <c r="J533" s="27" t="s">
        <v>174</v>
      </c>
      <c r="K533" s="39" t="s">
        <v>15</v>
      </c>
      <c r="L533" s="29">
        <v>2000</v>
      </c>
      <c r="M533" s="24">
        <v>63</v>
      </c>
      <c r="N533" s="25">
        <f t="shared" si="17"/>
        <v>126000</v>
      </c>
      <c r="O533" s="24">
        <v>160</v>
      </c>
    </row>
    <row r="534" spans="1:15" ht="15.75" hidden="1" customHeight="1" x14ac:dyDescent="0.3">
      <c r="A534" s="26">
        <v>25</v>
      </c>
      <c r="B534" s="20" t="str">
        <f t="shared" si="16"/>
        <v>JUN</v>
      </c>
      <c r="C534" s="28">
        <v>46194</v>
      </c>
      <c r="D534" s="22" t="str">
        <f t="array" ref="D534">IFERROR(INDEX('Kode Outlet dan Target Toko'!$A:$A,MATCH($I534,'Kode Outlet dan Target Toko'!$E:$E,0)),"")</f>
        <v>GRSM 4</v>
      </c>
      <c r="E534" s="20" t="str">
        <f>IFERROR(VLOOKUP(I534,KET!$B:$F,4,0),"")</f>
        <v>FAHMI LUKMANUL HAKIM</v>
      </c>
      <c r="F534" s="20" t="str">
        <f>IFERROR(VLOOKUP(I534,KET!$B:$F,5,0),"")</f>
        <v>GMM</v>
      </c>
      <c r="G534" s="20">
        <f>IFERROR(INDEX('Kode Outlet dan Target Toko'!$C:$C,MATCH($I534,'Kode Outlet dan Target Toko'!$E:$E,0)),0)</f>
        <v>103259</v>
      </c>
      <c r="H534" s="20">
        <f>IFERROR(INDEX('Kode Outlet dan Target Toko'!$D:$D,MATCH($I534,'Kode Outlet dan Target Toko'!$E:$E,0)),0)</f>
        <v>9029389</v>
      </c>
      <c r="I534" s="51" t="s">
        <v>18</v>
      </c>
      <c r="J534" s="27" t="s">
        <v>174</v>
      </c>
      <c r="K534" s="39" t="s">
        <v>14</v>
      </c>
      <c r="L534" s="29">
        <v>2000</v>
      </c>
      <c r="M534" s="24">
        <v>51</v>
      </c>
      <c r="N534" s="25">
        <f t="shared" si="17"/>
        <v>102000</v>
      </c>
      <c r="O534" s="24"/>
    </row>
    <row r="535" spans="1:15" ht="15.75" hidden="1" customHeight="1" x14ac:dyDescent="0.3">
      <c r="A535" s="26">
        <v>25</v>
      </c>
      <c r="B535" s="20" t="str">
        <f t="shared" si="16"/>
        <v>JUN</v>
      </c>
      <c r="C535" s="28">
        <v>46194</v>
      </c>
      <c r="D535" s="22" t="str">
        <f t="array" ref="D535">IFERROR(INDEX('Kode Outlet dan Target Toko'!$A:$A,MATCH($I535,'Kode Outlet dan Target Toko'!$E:$E,0)),"")</f>
        <v>GRSM 4</v>
      </c>
      <c r="E535" s="20" t="str">
        <f>IFERROR(VLOOKUP(I535,KET!$B:$F,4,0),"")</f>
        <v>FAHMI LUKMANUL HAKIM</v>
      </c>
      <c r="F535" s="20" t="str">
        <f>IFERROR(VLOOKUP(I535,KET!$B:$F,5,0),"")</f>
        <v>GMM</v>
      </c>
      <c r="G535" s="20">
        <f>IFERROR(INDEX('Kode Outlet dan Target Toko'!$C:$C,MATCH($I535,'Kode Outlet dan Target Toko'!$E:$E,0)),0)</f>
        <v>103259</v>
      </c>
      <c r="H535" s="20">
        <f>IFERROR(INDEX('Kode Outlet dan Target Toko'!$D:$D,MATCH($I535,'Kode Outlet dan Target Toko'!$E:$E,0)),0)</f>
        <v>9029389</v>
      </c>
      <c r="I535" s="51" t="s">
        <v>18</v>
      </c>
      <c r="J535" s="27" t="s">
        <v>174</v>
      </c>
      <c r="K535" s="39" t="s">
        <v>13</v>
      </c>
      <c r="L535" s="29">
        <v>2000</v>
      </c>
      <c r="M535" s="24">
        <v>42</v>
      </c>
      <c r="N535" s="25">
        <f t="shared" si="17"/>
        <v>84000</v>
      </c>
      <c r="O535" s="24"/>
    </row>
    <row r="536" spans="1:15" ht="15.75" hidden="1" customHeight="1" x14ac:dyDescent="0.3">
      <c r="A536" s="26">
        <v>25</v>
      </c>
      <c r="B536" s="20" t="str">
        <f t="shared" si="16"/>
        <v>JUN</v>
      </c>
      <c r="C536" s="28">
        <v>46194</v>
      </c>
      <c r="D536" s="22" t="str">
        <f t="array" ref="D536">IFERROR(INDEX('Kode Outlet dan Target Toko'!$A:$A,MATCH($I536,'Kode Outlet dan Target Toko'!$E:$E,0)),"")</f>
        <v>GRSM 4</v>
      </c>
      <c r="E536" s="20" t="str">
        <f>IFERROR(VLOOKUP(I536,KET!$B:$F,4,0),"")</f>
        <v>FAHMI LUKMANUL HAKIM</v>
      </c>
      <c r="F536" s="20" t="str">
        <f>IFERROR(VLOOKUP(I536,KET!$B:$F,5,0),"")</f>
        <v>GMM</v>
      </c>
      <c r="G536" s="20">
        <f>IFERROR(INDEX('Kode Outlet dan Target Toko'!$C:$C,MATCH($I536,'Kode Outlet dan Target Toko'!$E:$E,0)),0)</f>
        <v>103259</v>
      </c>
      <c r="H536" s="20">
        <f>IFERROR(INDEX('Kode Outlet dan Target Toko'!$D:$D,MATCH($I536,'Kode Outlet dan Target Toko'!$E:$E,0)),0)</f>
        <v>9029389</v>
      </c>
      <c r="I536" s="51" t="s">
        <v>18</v>
      </c>
      <c r="J536" s="27" t="s">
        <v>174</v>
      </c>
      <c r="K536" s="39" t="s">
        <v>16</v>
      </c>
      <c r="L536" s="29">
        <v>2000</v>
      </c>
      <c r="M536" s="24">
        <v>117</v>
      </c>
      <c r="N536" s="25">
        <f t="shared" si="17"/>
        <v>234000</v>
      </c>
      <c r="O536" s="24"/>
    </row>
    <row r="537" spans="1:15" ht="15.75" hidden="1" customHeight="1" x14ac:dyDescent="0.3">
      <c r="A537" s="26">
        <v>25</v>
      </c>
      <c r="B537" s="20" t="str">
        <f t="shared" si="16"/>
        <v>JUN</v>
      </c>
      <c r="C537" s="28">
        <v>46194</v>
      </c>
      <c r="D537" s="22" t="str">
        <f t="array" ref="D537">IFERROR(INDEX('Kode Outlet dan Target Toko'!$A:$A,MATCH($I537,'Kode Outlet dan Target Toko'!$E:$E,0)),"")</f>
        <v>GRSM 4</v>
      </c>
      <c r="E537" s="20" t="str">
        <f>IFERROR(VLOOKUP(I537,KET!$B:$F,4,0),"")</f>
        <v>FAHMI LUKMANUL HAKIM</v>
      </c>
      <c r="F537" s="20" t="str">
        <f>IFERROR(VLOOKUP(I537,KET!$B:$F,5,0),"")</f>
        <v>GMM</v>
      </c>
      <c r="G537" s="20">
        <f>IFERROR(INDEX('Kode Outlet dan Target Toko'!$C:$C,MATCH($I537,'Kode Outlet dan Target Toko'!$E:$E,0)),0)</f>
        <v>103259</v>
      </c>
      <c r="H537" s="20">
        <f>IFERROR(INDEX('Kode Outlet dan Target Toko'!$D:$D,MATCH($I537,'Kode Outlet dan Target Toko'!$E:$E,0)),0)</f>
        <v>9013525</v>
      </c>
      <c r="I537" s="51" t="s">
        <v>24</v>
      </c>
      <c r="J537" s="45" t="s">
        <v>188</v>
      </c>
      <c r="K537" s="39" t="s">
        <v>15</v>
      </c>
      <c r="L537" s="29">
        <v>2000</v>
      </c>
      <c r="M537" s="24">
        <v>72</v>
      </c>
      <c r="N537" s="25">
        <f t="shared" si="17"/>
        <v>144000</v>
      </c>
      <c r="O537" s="24">
        <v>160</v>
      </c>
    </row>
    <row r="538" spans="1:15" ht="15.75" hidden="1" customHeight="1" x14ac:dyDescent="0.3">
      <c r="A538" s="26">
        <v>25</v>
      </c>
      <c r="B538" s="20" t="str">
        <f t="shared" si="16"/>
        <v>JUN</v>
      </c>
      <c r="C538" s="28">
        <v>46194</v>
      </c>
      <c r="D538" s="22" t="str">
        <f t="array" ref="D538">IFERROR(INDEX('Kode Outlet dan Target Toko'!$A:$A,MATCH($I538,'Kode Outlet dan Target Toko'!$E:$E,0)),"")</f>
        <v>GRSM 4</v>
      </c>
      <c r="E538" s="20" t="str">
        <f>IFERROR(VLOOKUP(I538,KET!$B:$F,4,0),"")</f>
        <v>FAHMI LUKMANUL HAKIM</v>
      </c>
      <c r="F538" s="20" t="str">
        <f>IFERROR(VLOOKUP(I538,KET!$B:$F,5,0),"")</f>
        <v>GMM</v>
      </c>
      <c r="G538" s="20">
        <f>IFERROR(INDEX('Kode Outlet dan Target Toko'!$C:$C,MATCH($I538,'Kode Outlet dan Target Toko'!$E:$E,0)),0)</f>
        <v>103259</v>
      </c>
      <c r="H538" s="20">
        <f>IFERROR(INDEX('Kode Outlet dan Target Toko'!$D:$D,MATCH($I538,'Kode Outlet dan Target Toko'!$E:$E,0)),0)</f>
        <v>9013525</v>
      </c>
      <c r="I538" s="51" t="s">
        <v>24</v>
      </c>
      <c r="J538" s="45" t="s">
        <v>188</v>
      </c>
      <c r="K538" s="39" t="s">
        <v>14</v>
      </c>
      <c r="L538" s="29">
        <v>2000</v>
      </c>
      <c r="M538" s="24">
        <v>72</v>
      </c>
      <c r="N538" s="25">
        <f t="shared" si="17"/>
        <v>144000</v>
      </c>
      <c r="O538" s="24"/>
    </row>
    <row r="539" spans="1:15" ht="15.75" hidden="1" customHeight="1" x14ac:dyDescent="0.3">
      <c r="A539" s="26">
        <v>25</v>
      </c>
      <c r="B539" s="20" t="str">
        <f t="shared" si="16"/>
        <v>JUN</v>
      </c>
      <c r="C539" s="28">
        <v>46194</v>
      </c>
      <c r="D539" s="22" t="str">
        <f t="array" ref="D539">IFERROR(INDEX('Kode Outlet dan Target Toko'!$A:$A,MATCH($I539,'Kode Outlet dan Target Toko'!$E:$E,0)),"")</f>
        <v>GRSM 4</v>
      </c>
      <c r="E539" s="20" t="str">
        <f>IFERROR(VLOOKUP(I539,KET!$B:$F,4,0),"")</f>
        <v>FAHMI LUKMANUL HAKIM</v>
      </c>
      <c r="F539" s="20" t="str">
        <f>IFERROR(VLOOKUP(I539,KET!$B:$F,5,0),"")</f>
        <v>GMM</v>
      </c>
      <c r="G539" s="20">
        <f>IFERROR(INDEX('Kode Outlet dan Target Toko'!$C:$C,MATCH($I539,'Kode Outlet dan Target Toko'!$E:$E,0)),0)</f>
        <v>103259</v>
      </c>
      <c r="H539" s="20">
        <f>IFERROR(INDEX('Kode Outlet dan Target Toko'!$D:$D,MATCH($I539,'Kode Outlet dan Target Toko'!$E:$E,0)),0)</f>
        <v>9013525</v>
      </c>
      <c r="I539" s="51" t="s">
        <v>24</v>
      </c>
      <c r="J539" s="45" t="s">
        <v>188</v>
      </c>
      <c r="K539" s="39" t="s">
        <v>13</v>
      </c>
      <c r="L539" s="29">
        <v>2000</v>
      </c>
      <c r="M539" s="24">
        <v>90</v>
      </c>
      <c r="N539" s="25">
        <f t="shared" si="17"/>
        <v>180000</v>
      </c>
      <c r="O539" s="24"/>
    </row>
    <row r="540" spans="1:15" ht="15.75" hidden="1" customHeight="1" x14ac:dyDescent="0.3">
      <c r="A540" s="26">
        <v>25</v>
      </c>
      <c r="B540" s="20" t="str">
        <f t="shared" si="16"/>
        <v>JUN</v>
      </c>
      <c r="C540" s="28">
        <v>46194</v>
      </c>
      <c r="D540" s="22" t="str">
        <f t="array" ref="D540">IFERROR(INDEX('Kode Outlet dan Target Toko'!$A:$A,MATCH($I540,'Kode Outlet dan Target Toko'!$E:$E,0)),"")</f>
        <v>GRSM 4</v>
      </c>
      <c r="E540" s="20" t="str">
        <f>IFERROR(VLOOKUP(I540,KET!$B:$F,4,0),"")</f>
        <v>FAHMI LUKMANUL HAKIM</v>
      </c>
      <c r="F540" s="20" t="str">
        <f>IFERROR(VLOOKUP(I540,KET!$B:$F,5,0),"")</f>
        <v>GMM</v>
      </c>
      <c r="G540" s="20">
        <f>IFERROR(INDEX('Kode Outlet dan Target Toko'!$C:$C,MATCH($I540,'Kode Outlet dan Target Toko'!$E:$E,0)),0)</f>
        <v>103259</v>
      </c>
      <c r="H540" s="20">
        <f>IFERROR(INDEX('Kode Outlet dan Target Toko'!$D:$D,MATCH($I540,'Kode Outlet dan Target Toko'!$E:$E,0)),0)</f>
        <v>9013525</v>
      </c>
      <c r="I540" s="51" t="s">
        <v>24</v>
      </c>
      <c r="J540" s="45" t="s">
        <v>188</v>
      </c>
      <c r="K540" s="39" t="s">
        <v>16</v>
      </c>
      <c r="L540" s="29">
        <v>2000</v>
      </c>
      <c r="M540" s="24">
        <v>192</v>
      </c>
      <c r="N540" s="25">
        <f t="shared" si="17"/>
        <v>384000</v>
      </c>
      <c r="O540" s="24"/>
    </row>
    <row r="541" spans="1:15" ht="15.75" hidden="1" customHeight="1" x14ac:dyDescent="0.3">
      <c r="A541" s="26">
        <v>25</v>
      </c>
      <c r="B541" s="20" t="str">
        <f t="shared" si="16"/>
        <v>JUN</v>
      </c>
      <c r="C541" s="28">
        <v>46194</v>
      </c>
      <c r="D541" s="22" t="str">
        <f t="array" ref="D541">IFERROR(INDEX('Kode Outlet dan Target Toko'!$A:$A,MATCH($I541,'Kode Outlet dan Target Toko'!$E:$E,0)),"")</f>
        <v>GRSM 4</v>
      </c>
      <c r="E541" s="20" t="str">
        <f>IFERROR(VLOOKUP(I541,KET!$B:$F,4,0),"")</f>
        <v>FAHMI LUKMANUL HAKIM</v>
      </c>
      <c r="F541" s="20" t="str">
        <f>IFERROR(VLOOKUP(I541,KET!$B:$F,5,0),"")</f>
        <v>GMM</v>
      </c>
      <c r="G541" s="20">
        <f>IFERROR(INDEX('Kode Outlet dan Target Toko'!$C:$C,MATCH($I541,'Kode Outlet dan Target Toko'!$E:$E,0)),0)</f>
        <v>103259</v>
      </c>
      <c r="H541" s="20">
        <f>IFERROR(INDEX('Kode Outlet dan Target Toko'!$D:$D,MATCH($I541,'Kode Outlet dan Target Toko'!$E:$E,0)),0)</f>
        <v>9013525</v>
      </c>
      <c r="I541" s="51" t="s">
        <v>24</v>
      </c>
      <c r="J541" s="27" t="s">
        <v>189</v>
      </c>
      <c r="K541" s="39" t="s">
        <v>15</v>
      </c>
      <c r="L541" s="29">
        <v>2000</v>
      </c>
      <c r="M541" s="24">
        <v>60</v>
      </c>
      <c r="N541" s="25">
        <f t="shared" si="17"/>
        <v>120000</v>
      </c>
      <c r="O541" s="24">
        <v>150</v>
      </c>
    </row>
    <row r="542" spans="1:15" ht="15.75" hidden="1" customHeight="1" x14ac:dyDescent="0.3">
      <c r="A542" s="26">
        <v>25</v>
      </c>
      <c r="B542" s="20" t="str">
        <f t="shared" si="16"/>
        <v>JUN</v>
      </c>
      <c r="C542" s="28">
        <v>46194</v>
      </c>
      <c r="D542" s="22" t="str">
        <f t="array" ref="D542">IFERROR(INDEX('Kode Outlet dan Target Toko'!$A:$A,MATCH($I542,'Kode Outlet dan Target Toko'!$E:$E,0)),"")</f>
        <v>GRSM 4</v>
      </c>
      <c r="E542" s="20" t="str">
        <f>IFERROR(VLOOKUP(I542,KET!$B:$F,4,0),"")</f>
        <v>FAHMI LUKMANUL HAKIM</v>
      </c>
      <c r="F542" s="20" t="str">
        <f>IFERROR(VLOOKUP(I542,KET!$B:$F,5,0),"")</f>
        <v>GMM</v>
      </c>
      <c r="G542" s="20">
        <f>IFERROR(INDEX('Kode Outlet dan Target Toko'!$C:$C,MATCH($I542,'Kode Outlet dan Target Toko'!$E:$E,0)),0)</f>
        <v>103259</v>
      </c>
      <c r="H542" s="20">
        <f>IFERROR(INDEX('Kode Outlet dan Target Toko'!$D:$D,MATCH($I542,'Kode Outlet dan Target Toko'!$E:$E,0)),0)</f>
        <v>9013525</v>
      </c>
      <c r="I542" s="51" t="s">
        <v>24</v>
      </c>
      <c r="J542" s="27" t="s">
        <v>189</v>
      </c>
      <c r="K542" s="39" t="s">
        <v>14</v>
      </c>
      <c r="L542" s="29">
        <v>2000</v>
      </c>
      <c r="M542" s="24">
        <v>60</v>
      </c>
      <c r="N542" s="25">
        <f t="shared" si="17"/>
        <v>120000</v>
      </c>
      <c r="O542" s="24"/>
    </row>
    <row r="543" spans="1:15" ht="15.75" hidden="1" customHeight="1" x14ac:dyDescent="0.3">
      <c r="A543" s="26">
        <v>25</v>
      </c>
      <c r="B543" s="20" t="str">
        <f t="shared" si="16"/>
        <v>JUN</v>
      </c>
      <c r="C543" s="28">
        <v>46194</v>
      </c>
      <c r="D543" s="22" t="str">
        <f t="array" ref="D543">IFERROR(INDEX('Kode Outlet dan Target Toko'!$A:$A,MATCH($I543,'Kode Outlet dan Target Toko'!$E:$E,0)),"")</f>
        <v>GRSM 4</v>
      </c>
      <c r="E543" s="20" t="str">
        <f>IFERROR(VLOOKUP(I543,KET!$B:$F,4,0),"")</f>
        <v>FAHMI LUKMANUL HAKIM</v>
      </c>
      <c r="F543" s="20" t="str">
        <f>IFERROR(VLOOKUP(I543,KET!$B:$F,5,0),"")</f>
        <v>GMM</v>
      </c>
      <c r="G543" s="20">
        <f>IFERROR(INDEX('Kode Outlet dan Target Toko'!$C:$C,MATCH($I543,'Kode Outlet dan Target Toko'!$E:$E,0)),0)</f>
        <v>103259</v>
      </c>
      <c r="H543" s="20">
        <f>IFERROR(INDEX('Kode Outlet dan Target Toko'!$D:$D,MATCH($I543,'Kode Outlet dan Target Toko'!$E:$E,0)),0)</f>
        <v>9013525</v>
      </c>
      <c r="I543" s="51" t="s">
        <v>24</v>
      </c>
      <c r="J543" s="27" t="s">
        <v>189</v>
      </c>
      <c r="K543" s="39" t="s">
        <v>13</v>
      </c>
      <c r="L543" s="29">
        <v>2000</v>
      </c>
      <c r="M543" s="24">
        <v>102</v>
      </c>
      <c r="N543" s="25">
        <f t="shared" si="17"/>
        <v>204000</v>
      </c>
      <c r="O543" s="24"/>
    </row>
    <row r="544" spans="1:15" ht="15.75" hidden="1" customHeight="1" x14ac:dyDescent="0.3">
      <c r="A544" s="26">
        <v>25</v>
      </c>
      <c r="B544" s="20" t="str">
        <f t="shared" si="16"/>
        <v>JUN</v>
      </c>
      <c r="C544" s="28">
        <v>46194</v>
      </c>
      <c r="D544" s="22" t="str">
        <f t="array" ref="D544">IFERROR(INDEX('Kode Outlet dan Target Toko'!$A:$A,MATCH($I544,'Kode Outlet dan Target Toko'!$E:$E,0)),"")</f>
        <v>GRSM 4</v>
      </c>
      <c r="E544" s="20" t="str">
        <f>IFERROR(VLOOKUP(I544,KET!$B:$F,4,0),"")</f>
        <v>FAHMI LUKMANUL HAKIM</v>
      </c>
      <c r="F544" s="20" t="str">
        <f>IFERROR(VLOOKUP(I544,KET!$B:$F,5,0),"")</f>
        <v>GMM</v>
      </c>
      <c r="G544" s="20">
        <f>IFERROR(INDEX('Kode Outlet dan Target Toko'!$C:$C,MATCH($I544,'Kode Outlet dan Target Toko'!$E:$E,0)),0)</f>
        <v>103259</v>
      </c>
      <c r="H544" s="20">
        <f>IFERROR(INDEX('Kode Outlet dan Target Toko'!$D:$D,MATCH($I544,'Kode Outlet dan Target Toko'!$E:$E,0)),0)</f>
        <v>9013525</v>
      </c>
      <c r="I544" s="51" t="s">
        <v>24</v>
      </c>
      <c r="J544" s="27" t="s">
        <v>189</v>
      </c>
      <c r="K544" s="39" t="s">
        <v>16</v>
      </c>
      <c r="L544" s="29">
        <v>2000</v>
      </c>
      <c r="M544" s="24">
        <v>168</v>
      </c>
      <c r="N544" s="25">
        <f t="shared" si="17"/>
        <v>336000</v>
      </c>
      <c r="O544" s="24"/>
    </row>
    <row r="545" spans="1:15" ht="15.75" hidden="1" customHeight="1" x14ac:dyDescent="0.3">
      <c r="A545" s="26">
        <v>25</v>
      </c>
      <c r="B545" s="20" t="str">
        <f t="shared" si="16"/>
        <v>JUN</v>
      </c>
      <c r="C545" s="28">
        <v>46194</v>
      </c>
      <c r="D545" s="22" t="str">
        <f t="array" ref="D545">IFERROR(INDEX('Kode Outlet dan Target Toko'!$A:$A,MATCH($I545,'Kode Outlet dan Target Toko'!$E:$E,0)),"")</f>
        <v>GRSM 4</v>
      </c>
      <c r="E545" s="20" t="str">
        <f>IFERROR(VLOOKUP(I545,KET!$B:$F,4,0),"")</f>
        <v>FAHMI LUKMANUL HAKIM</v>
      </c>
      <c r="F545" s="20" t="str">
        <f>IFERROR(VLOOKUP(I545,KET!$B:$F,5,0),"")</f>
        <v>GMM</v>
      </c>
      <c r="G545" s="20">
        <f>IFERROR(INDEX('Kode Outlet dan Target Toko'!$C:$C,MATCH($I545,'Kode Outlet dan Target Toko'!$E:$E,0)),0)</f>
        <v>189901</v>
      </c>
      <c r="H545" s="20">
        <f>IFERROR(INDEX('Kode Outlet dan Target Toko'!$D:$D,MATCH($I545,'Kode Outlet dan Target Toko'!$E:$E,0)),0)</f>
        <v>1602020</v>
      </c>
      <c r="I545" s="51" t="s">
        <v>20</v>
      </c>
      <c r="J545" s="27" t="s">
        <v>198</v>
      </c>
      <c r="K545" s="39" t="s">
        <v>15</v>
      </c>
      <c r="L545" s="29">
        <v>2200</v>
      </c>
      <c r="M545" s="24">
        <v>45</v>
      </c>
      <c r="N545" s="25">
        <f t="shared" si="17"/>
        <v>99000</v>
      </c>
      <c r="O545" s="24">
        <v>150</v>
      </c>
    </row>
    <row r="546" spans="1:15" ht="15.75" hidden="1" customHeight="1" x14ac:dyDescent="0.3">
      <c r="A546" s="26">
        <v>25</v>
      </c>
      <c r="B546" s="20" t="str">
        <f t="shared" si="16"/>
        <v>JUN</v>
      </c>
      <c r="C546" s="28">
        <v>46194</v>
      </c>
      <c r="D546" s="22" t="str">
        <f t="array" ref="D546">IFERROR(INDEX('Kode Outlet dan Target Toko'!$A:$A,MATCH($I546,'Kode Outlet dan Target Toko'!$E:$E,0)),"")</f>
        <v>GRSM 4</v>
      </c>
      <c r="E546" s="20" t="str">
        <f>IFERROR(VLOOKUP(I546,KET!$B:$F,4,0),"")</f>
        <v>FAHMI LUKMANUL HAKIM</v>
      </c>
      <c r="F546" s="20" t="str">
        <f>IFERROR(VLOOKUP(I546,KET!$B:$F,5,0),"")</f>
        <v>GMM</v>
      </c>
      <c r="G546" s="20">
        <f>IFERROR(INDEX('Kode Outlet dan Target Toko'!$C:$C,MATCH($I546,'Kode Outlet dan Target Toko'!$E:$E,0)),0)</f>
        <v>189901</v>
      </c>
      <c r="H546" s="20">
        <f>IFERROR(INDEX('Kode Outlet dan Target Toko'!$D:$D,MATCH($I546,'Kode Outlet dan Target Toko'!$E:$E,0)),0)</f>
        <v>1602020</v>
      </c>
      <c r="I546" s="41" t="s">
        <v>20</v>
      </c>
      <c r="J546" s="27" t="s">
        <v>198</v>
      </c>
      <c r="K546" s="39" t="s">
        <v>14</v>
      </c>
      <c r="L546" s="23">
        <v>2200</v>
      </c>
      <c r="M546" s="24">
        <v>57</v>
      </c>
      <c r="N546" s="25">
        <f t="shared" si="17"/>
        <v>125400</v>
      </c>
      <c r="O546" s="24"/>
    </row>
    <row r="547" spans="1:15" ht="15.75" hidden="1" customHeight="1" x14ac:dyDescent="0.3">
      <c r="A547" s="26">
        <v>25</v>
      </c>
      <c r="B547" s="20" t="str">
        <f t="shared" si="16"/>
        <v>JUN</v>
      </c>
      <c r="C547" s="28">
        <v>46194</v>
      </c>
      <c r="D547" s="22" t="str">
        <f t="array" ref="D547">IFERROR(INDEX('Kode Outlet dan Target Toko'!$A:$A,MATCH($I547,'Kode Outlet dan Target Toko'!$E:$E,0)),"")</f>
        <v>GRSM 4</v>
      </c>
      <c r="E547" s="20" t="str">
        <f>IFERROR(VLOOKUP(I547,KET!$B:$F,4,0),"")</f>
        <v>FAHMI LUKMANUL HAKIM</v>
      </c>
      <c r="F547" s="20" t="str">
        <f>IFERROR(VLOOKUP(I547,KET!$B:$F,5,0),"")</f>
        <v>GMM</v>
      </c>
      <c r="G547" s="20">
        <f>IFERROR(INDEX('Kode Outlet dan Target Toko'!$C:$C,MATCH($I547,'Kode Outlet dan Target Toko'!$E:$E,0)),0)</f>
        <v>189901</v>
      </c>
      <c r="H547" s="20">
        <f>IFERROR(INDEX('Kode Outlet dan Target Toko'!$D:$D,MATCH($I547,'Kode Outlet dan Target Toko'!$E:$E,0)),0)</f>
        <v>1602020</v>
      </c>
      <c r="I547" s="41" t="s">
        <v>20</v>
      </c>
      <c r="J547" s="27" t="s">
        <v>198</v>
      </c>
      <c r="K547" s="39" t="s">
        <v>13</v>
      </c>
      <c r="L547" s="23">
        <v>2200</v>
      </c>
      <c r="M547" s="24">
        <v>29</v>
      </c>
      <c r="N547" s="25">
        <f t="shared" si="17"/>
        <v>63800</v>
      </c>
      <c r="O547" s="24"/>
    </row>
    <row r="548" spans="1:15" ht="15.75" hidden="1" customHeight="1" x14ac:dyDescent="0.3">
      <c r="A548" s="26">
        <v>25</v>
      </c>
      <c r="B548" s="20" t="str">
        <f t="shared" si="16"/>
        <v>JUN</v>
      </c>
      <c r="C548" s="28">
        <v>46194</v>
      </c>
      <c r="D548" s="22" t="str">
        <f t="array" ref="D548">IFERROR(INDEX('Kode Outlet dan Target Toko'!$A:$A,MATCH($I548,'Kode Outlet dan Target Toko'!$E:$E,0)),"")</f>
        <v>GRSM 4</v>
      </c>
      <c r="E548" s="20" t="str">
        <f>IFERROR(VLOOKUP(I548,KET!$B:$F,4,0),"")</f>
        <v>FAHMI LUKMANUL HAKIM</v>
      </c>
      <c r="F548" s="20" t="str">
        <f>IFERROR(VLOOKUP(I548,KET!$B:$F,5,0),"")</f>
        <v>GMM</v>
      </c>
      <c r="G548" s="20">
        <f>IFERROR(INDEX('Kode Outlet dan Target Toko'!$C:$C,MATCH($I548,'Kode Outlet dan Target Toko'!$E:$E,0)),0)</f>
        <v>189901</v>
      </c>
      <c r="H548" s="20">
        <f>IFERROR(INDEX('Kode Outlet dan Target Toko'!$D:$D,MATCH($I548,'Kode Outlet dan Target Toko'!$E:$E,0)),0)</f>
        <v>1602020</v>
      </c>
      <c r="I548" s="41" t="s">
        <v>20</v>
      </c>
      <c r="J548" s="27" t="s">
        <v>198</v>
      </c>
      <c r="K548" s="39" t="s">
        <v>16</v>
      </c>
      <c r="L548" s="23">
        <v>2200</v>
      </c>
      <c r="M548" s="24">
        <v>80</v>
      </c>
      <c r="N548" s="25">
        <f t="shared" si="17"/>
        <v>176000</v>
      </c>
      <c r="O548" s="24"/>
    </row>
    <row r="549" spans="1:15" ht="15.75" hidden="1" customHeight="1" x14ac:dyDescent="0.3">
      <c r="A549" s="26">
        <v>25</v>
      </c>
      <c r="B549" s="20" t="str">
        <f t="shared" si="16"/>
        <v>JUN</v>
      </c>
      <c r="C549" s="28">
        <v>46194</v>
      </c>
      <c r="D549" s="22" t="str">
        <f t="array" ref="D549">IFERROR(INDEX('Kode Outlet dan Target Toko'!$A:$A,MATCH($I549,'Kode Outlet dan Target Toko'!$E:$E,0)),"")</f>
        <v>GRSM 4</v>
      </c>
      <c r="E549" s="20" t="str">
        <f>IFERROR(VLOOKUP(I549,KET!$B:$F,4,0),"")</f>
        <v>FAHMI LUKMANUL HAKIM</v>
      </c>
      <c r="F549" s="20" t="str">
        <f>IFERROR(VLOOKUP(I549,KET!$B:$F,5,0),"")</f>
        <v>GMM</v>
      </c>
      <c r="G549" s="20">
        <f>IFERROR(INDEX('Kode Outlet dan Target Toko'!$C:$C,MATCH($I549,'Kode Outlet dan Target Toko'!$E:$E,0)),0)</f>
        <v>189901</v>
      </c>
      <c r="H549" s="20">
        <f>IFERROR(INDEX('Kode Outlet dan Target Toko'!$D:$D,MATCH($I549,'Kode Outlet dan Target Toko'!$E:$E,0)),0)</f>
        <v>1602020</v>
      </c>
      <c r="I549" s="41" t="s">
        <v>20</v>
      </c>
      <c r="J549" s="56" t="s">
        <v>253</v>
      </c>
      <c r="K549" s="39" t="s">
        <v>15</v>
      </c>
      <c r="L549" s="23">
        <v>2200</v>
      </c>
      <c r="M549" s="24">
        <v>39</v>
      </c>
      <c r="N549" s="25">
        <f t="shared" si="17"/>
        <v>85800</v>
      </c>
      <c r="O549" s="24">
        <v>120</v>
      </c>
    </row>
    <row r="550" spans="1:15" ht="15.75" hidden="1" customHeight="1" x14ac:dyDescent="0.3">
      <c r="A550" s="26">
        <v>25</v>
      </c>
      <c r="B550" s="20" t="str">
        <f t="shared" si="16"/>
        <v>JUN</v>
      </c>
      <c r="C550" s="28">
        <v>46194</v>
      </c>
      <c r="D550" s="22" t="str">
        <f t="array" ref="D550">IFERROR(INDEX('Kode Outlet dan Target Toko'!$A:$A,MATCH($I550,'Kode Outlet dan Target Toko'!$E:$E,0)),"")</f>
        <v>GRSM 4</v>
      </c>
      <c r="E550" s="20" t="str">
        <f>IFERROR(VLOOKUP(I550,KET!$B:$F,4,0),"")</f>
        <v>FAHMI LUKMANUL HAKIM</v>
      </c>
      <c r="F550" s="20" t="str">
        <f>IFERROR(VLOOKUP(I550,KET!$B:$F,5,0),"")</f>
        <v>GMM</v>
      </c>
      <c r="G550" s="20">
        <f>IFERROR(INDEX('Kode Outlet dan Target Toko'!$C:$C,MATCH($I550,'Kode Outlet dan Target Toko'!$E:$E,0)),0)</f>
        <v>189901</v>
      </c>
      <c r="H550" s="20">
        <f>IFERROR(INDEX('Kode Outlet dan Target Toko'!$D:$D,MATCH($I550,'Kode Outlet dan Target Toko'!$E:$E,0)),0)</f>
        <v>1602020</v>
      </c>
      <c r="I550" s="41" t="s">
        <v>20</v>
      </c>
      <c r="J550" s="56" t="s">
        <v>253</v>
      </c>
      <c r="K550" s="39" t="s">
        <v>14</v>
      </c>
      <c r="L550" s="23">
        <v>2200</v>
      </c>
      <c r="M550" s="24">
        <v>46</v>
      </c>
      <c r="N550" s="25">
        <f t="shared" si="17"/>
        <v>101200</v>
      </c>
      <c r="O550" s="24"/>
    </row>
    <row r="551" spans="1:15" ht="15.75" hidden="1" customHeight="1" x14ac:dyDescent="0.3">
      <c r="A551" s="26">
        <v>25</v>
      </c>
      <c r="B551" s="20" t="str">
        <f t="shared" si="16"/>
        <v>JUN</v>
      </c>
      <c r="C551" s="28">
        <v>46194</v>
      </c>
      <c r="D551" s="22" t="str">
        <f t="array" ref="D551">IFERROR(INDEX('Kode Outlet dan Target Toko'!$A:$A,MATCH($I551,'Kode Outlet dan Target Toko'!$E:$E,0)),"")</f>
        <v>GRSM 4</v>
      </c>
      <c r="E551" s="20" t="str">
        <f>IFERROR(VLOOKUP(I551,KET!$B:$F,4,0),"")</f>
        <v>FAHMI LUKMANUL HAKIM</v>
      </c>
      <c r="F551" s="20" t="str">
        <f>IFERROR(VLOOKUP(I551,KET!$B:$F,5,0),"")</f>
        <v>GMM</v>
      </c>
      <c r="G551" s="20">
        <f>IFERROR(INDEX('Kode Outlet dan Target Toko'!$C:$C,MATCH($I551,'Kode Outlet dan Target Toko'!$E:$E,0)),0)</f>
        <v>189901</v>
      </c>
      <c r="H551" s="20">
        <f>IFERROR(INDEX('Kode Outlet dan Target Toko'!$D:$D,MATCH($I551,'Kode Outlet dan Target Toko'!$E:$E,0)),0)</f>
        <v>1602020</v>
      </c>
      <c r="I551" s="41" t="s">
        <v>20</v>
      </c>
      <c r="J551" s="56" t="s">
        <v>253</v>
      </c>
      <c r="K551" s="39" t="s">
        <v>13</v>
      </c>
      <c r="L551" s="23">
        <v>2200</v>
      </c>
      <c r="M551" s="24">
        <v>30</v>
      </c>
      <c r="N551" s="25">
        <f t="shared" si="17"/>
        <v>66000</v>
      </c>
      <c r="O551" s="24"/>
    </row>
    <row r="552" spans="1:15" ht="15.75" hidden="1" customHeight="1" x14ac:dyDescent="0.3">
      <c r="A552" s="26">
        <v>25</v>
      </c>
      <c r="B552" s="20" t="str">
        <f t="shared" si="16"/>
        <v>JUN</v>
      </c>
      <c r="C552" s="28">
        <v>46194</v>
      </c>
      <c r="D552" s="22" t="str">
        <f t="array" ref="D552">IFERROR(INDEX('Kode Outlet dan Target Toko'!$A:$A,MATCH($I552,'Kode Outlet dan Target Toko'!$E:$E,0)),"")</f>
        <v>GRSM 4</v>
      </c>
      <c r="E552" s="20" t="str">
        <f>IFERROR(VLOOKUP(I552,KET!$B:$F,4,0),"")</f>
        <v>FAHMI LUKMANUL HAKIM</v>
      </c>
      <c r="F552" s="20" t="str">
        <f>IFERROR(VLOOKUP(I552,KET!$B:$F,5,0),"")</f>
        <v>GMM</v>
      </c>
      <c r="G552" s="20">
        <f>IFERROR(INDEX('Kode Outlet dan Target Toko'!$C:$C,MATCH($I552,'Kode Outlet dan Target Toko'!$E:$E,0)),0)</f>
        <v>189901</v>
      </c>
      <c r="H552" s="20">
        <f>IFERROR(INDEX('Kode Outlet dan Target Toko'!$D:$D,MATCH($I552,'Kode Outlet dan Target Toko'!$E:$E,0)),0)</f>
        <v>1602020</v>
      </c>
      <c r="I552" s="41" t="s">
        <v>20</v>
      </c>
      <c r="J552" s="56" t="s">
        <v>253</v>
      </c>
      <c r="K552" s="39" t="s">
        <v>16</v>
      </c>
      <c r="L552" s="23">
        <v>2200</v>
      </c>
      <c r="M552" s="24">
        <v>88</v>
      </c>
      <c r="N552" s="25">
        <f t="shared" si="17"/>
        <v>193600</v>
      </c>
      <c r="O552" s="24"/>
    </row>
    <row r="553" spans="1:15" ht="15.75" hidden="1" customHeight="1" x14ac:dyDescent="0.3">
      <c r="A553" s="26">
        <v>25</v>
      </c>
      <c r="B553" s="20" t="str">
        <f t="shared" si="16"/>
        <v>JUN</v>
      </c>
      <c r="C553" s="28">
        <v>46194</v>
      </c>
      <c r="D553" s="22" t="str">
        <f t="array" ref="D553">IFERROR(INDEX('Kode Outlet dan Target Toko'!$A:$A,MATCH($I553,'Kode Outlet dan Target Toko'!$E:$E,0)),"")</f>
        <v>GRSM 4</v>
      </c>
      <c r="E553" s="20" t="str">
        <f>IFERROR(VLOOKUP(I553,KET!$B:$F,4,0),"")</f>
        <v>FAHMI LUKMANUL HAKIM</v>
      </c>
      <c r="F553" s="20" t="str">
        <f>IFERROR(VLOOKUP(I553,KET!$B:$F,5,0),"")</f>
        <v>GMM</v>
      </c>
      <c r="G553" s="20">
        <f>IFERROR(INDEX('Kode Outlet dan Target Toko'!$C:$C,MATCH($I553,'Kode Outlet dan Target Toko'!$E:$E,0)),0)</f>
        <v>103257</v>
      </c>
      <c r="H553" s="20">
        <f>IFERROR(INDEX('Kode Outlet dan Target Toko'!$D:$D,MATCH($I553,'Kode Outlet dan Target Toko'!$E:$E,0)),0)</f>
        <v>9162509</v>
      </c>
      <c r="I553" s="41" t="s">
        <v>23</v>
      </c>
      <c r="J553" s="27" t="s">
        <v>180</v>
      </c>
      <c r="K553" s="39" t="s">
        <v>15</v>
      </c>
      <c r="L553" s="23">
        <v>3200</v>
      </c>
      <c r="M553" s="24">
        <v>63</v>
      </c>
      <c r="N553" s="25">
        <f t="shared" si="17"/>
        <v>201600</v>
      </c>
      <c r="O553" s="24">
        <v>120</v>
      </c>
    </row>
    <row r="554" spans="1:15" ht="15.75" hidden="1" customHeight="1" x14ac:dyDescent="0.3">
      <c r="A554" s="26">
        <v>25</v>
      </c>
      <c r="B554" s="20" t="str">
        <f t="shared" si="16"/>
        <v>JUN</v>
      </c>
      <c r="C554" s="28">
        <v>46194</v>
      </c>
      <c r="D554" s="22" t="str">
        <f t="array" ref="D554">IFERROR(INDEX('Kode Outlet dan Target Toko'!$A:$A,MATCH($I554,'Kode Outlet dan Target Toko'!$E:$E,0)),"")</f>
        <v>GRSM 4</v>
      </c>
      <c r="E554" s="20" t="str">
        <f>IFERROR(VLOOKUP(I554,KET!$B:$F,4,0),"")</f>
        <v>FAHMI LUKMANUL HAKIM</v>
      </c>
      <c r="F554" s="20" t="str">
        <f>IFERROR(VLOOKUP(I554,KET!$B:$F,5,0),"")</f>
        <v>GMM</v>
      </c>
      <c r="G554" s="20">
        <f>IFERROR(INDEX('Kode Outlet dan Target Toko'!$C:$C,MATCH($I554,'Kode Outlet dan Target Toko'!$E:$E,0)),0)</f>
        <v>103257</v>
      </c>
      <c r="H554" s="20">
        <f>IFERROR(INDEX('Kode Outlet dan Target Toko'!$D:$D,MATCH($I554,'Kode Outlet dan Target Toko'!$E:$E,0)),0)</f>
        <v>9162509</v>
      </c>
      <c r="I554" s="41" t="s">
        <v>23</v>
      </c>
      <c r="J554" s="19" t="s">
        <v>180</v>
      </c>
      <c r="K554" s="39" t="s">
        <v>14</v>
      </c>
      <c r="L554" s="23">
        <v>3200</v>
      </c>
      <c r="M554" s="24">
        <v>59</v>
      </c>
      <c r="N554" s="25">
        <f t="shared" si="17"/>
        <v>188800</v>
      </c>
      <c r="O554" s="24"/>
    </row>
    <row r="555" spans="1:15" ht="15.75" hidden="1" customHeight="1" x14ac:dyDescent="0.3">
      <c r="A555" s="26">
        <v>25</v>
      </c>
      <c r="B555" s="20" t="str">
        <f t="shared" si="16"/>
        <v>JUN</v>
      </c>
      <c r="C555" s="28">
        <v>46194</v>
      </c>
      <c r="D555" s="22" t="str">
        <f t="array" ref="D555">IFERROR(INDEX('Kode Outlet dan Target Toko'!$A:$A,MATCH($I555,'Kode Outlet dan Target Toko'!$E:$E,0)),"")</f>
        <v>GRSM 4</v>
      </c>
      <c r="E555" s="20" t="str">
        <f>IFERROR(VLOOKUP(I555,KET!$B:$F,4,0),"")</f>
        <v>FAHMI LUKMANUL HAKIM</v>
      </c>
      <c r="F555" s="20" t="str">
        <f>IFERROR(VLOOKUP(I555,KET!$B:$F,5,0),"")</f>
        <v>GMM</v>
      </c>
      <c r="G555" s="20">
        <f>IFERROR(INDEX('Kode Outlet dan Target Toko'!$C:$C,MATCH($I555,'Kode Outlet dan Target Toko'!$E:$E,0)),0)</f>
        <v>103257</v>
      </c>
      <c r="H555" s="20">
        <f>IFERROR(INDEX('Kode Outlet dan Target Toko'!$D:$D,MATCH($I555,'Kode Outlet dan Target Toko'!$E:$E,0)),0)</f>
        <v>9162509</v>
      </c>
      <c r="I555" s="41" t="s">
        <v>23</v>
      </c>
      <c r="J555" s="19" t="s">
        <v>180</v>
      </c>
      <c r="K555" s="39" t="s">
        <v>13</v>
      </c>
      <c r="L555" s="23">
        <v>3200</v>
      </c>
      <c r="M555" s="24">
        <v>69</v>
      </c>
      <c r="N555" s="25">
        <f t="shared" si="17"/>
        <v>220800</v>
      </c>
      <c r="O555" s="24"/>
    </row>
    <row r="556" spans="1:15" ht="15.75" hidden="1" customHeight="1" x14ac:dyDescent="0.3">
      <c r="A556" s="26">
        <v>25</v>
      </c>
      <c r="B556" s="20" t="str">
        <f t="shared" si="16"/>
        <v>JUN</v>
      </c>
      <c r="C556" s="28">
        <v>46194</v>
      </c>
      <c r="D556" s="22" t="str">
        <f t="array" ref="D556">IFERROR(INDEX('Kode Outlet dan Target Toko'!$A:$A,MATCH($I556,'Kode Outlet dan Target Toko'!$E:$E,0)),"")</f>
        <v>GRSM 4</v>
      </c>
      <c r="E556" s="20" t="str">
        <f>IFERROR(VLOOKUP(I556,KET!$B:$F,4,0),"")</f>
        <v>FAHMI LUKMANUL HAKIM</v>
      </c>
      <c r="F556" s="20" t="str">
        <f>IFERROR(VLOOKUP(I556,KET!$B:$F,5,0),"")</f>
        <v>GMM</v>
      </c>
      <c r="G556" s="20">
        <f>IFERROR(INDEX('Kode Outlet dan Target Toko'!$C:$C,MATCH($I556,'Kode Outlet dan Target Toko'!$E:$E,0)),0)</f>
        <v>103257</v>
      </c>
      <c r="H556" s="20">
        <f>IFERROR(INDEX('Kode Outlet dan Target Toko'!$D:$D,MATCH($I556,'Kode Outlet dan Target Toko'!$E:$E,0)),0)</f>
        <v>9162509</v>
      </c>
      <c r="I556" s="41" t="s">
        <v>23</v>
      </c>
      <c r="J556" s="19" t="s">
        <v>180</v>
      </c>
      <c r="K556" s="39" t="s">
        <v>16</v>
      </c>
      <c r="L556" s="23">
        <v>3200</v>
      </c>
      <c r="M556" s="24">
        <v>120</v>
      </c>
      <c r="N556" s="25">
        <f t="shared" si="17"/>
        <v>384000</v>
      </c>
      <c r="O556" s="24"/>
    </row>
    <row r="557" spans="1:15" ht="15.75" hidden="1" customHeight="1" x14ac:dyDescent="0.3">
      <c r="A557" s="26">
        <v>25</v>
      </c>
      <c r="B557" s="20" t="str">
        <f t="shared" si="16"/>
        <v>JUN</v>
      </c>
      <c r="C557" s="28">
        <v>46194</v>
      </c>
      <c r="D557" s="22" t="str">
        <f t="array" ref="D557">IFERROR(INDEX('Kode Outlet dan Target Toko'!$A:$A,MATCH($I557,'Kode Outlet dan Target Toko'!$E:$E,0)),"")</f>
        <v>GRSM 4</v>
      </c>
      <c r="E557" s="20" t="str">
        <f>IFERROR(VLOOKUP(I557,KET!$B:$F,4,0),"")</f>
        <v>FAHMI LUKMANUL HAKIM</v>
      </c>
      <c r="F557" s="20" t="str">
        <f>IFERROR(VLOOKUP(I557,KET!$B:$F,5,0),"")</f>
        <v>GMM</v>
      </c>
      <c r="G557" s="20">
        <f>IFERROR(INDEX('Kode Outlet dan Target Toko'!$C:$C,MATCH($I557,'Kode Outlet dan Target Toko'!$E:$E,0)),0)</f>
        <v>103257</v>
      </c>
      <c r="H557" s="20">
        <f>IFERROR(INDEX('Kode Outlet dan Target Toko'!$D:$D,MATCH($I557,'Kode Outlet dan Target Toko'!$E:$E,0)),0)</f>
        <v>9162509</v>
      </c>
      <c r="I557" s="41" t="s">
        <v>23</v>
      </c>
      <c r="J557" s="56" t="s">
        <v>181</v>
      </c>
      <c r="K557" s="39" t="s">
        <v>15</v>
      </c>
      <c r="L557" s="23">
        <v>3200</v>
      </c>
      <c r="M557" s="24">
        <v>60</v>
      </c>
      <c r="N557" s="25">
        <f t="shared" si="17"/>
        <v>192000</v>
      </c>
      <c r="O557" s="24">
        <v>160</v>
      </c>
    </row>
    <row r="558" spans="1:15" ht="15.75" hidden="1" customHeight="1" x14ac:dyDescent="0.3">
      <c r="A558" s="26">
        <v>25</v>
      </c>
      <c r="B558" s="20" t="str">
        <f t="shared" si="16"/>
        <v>JUN</v>
      </c>
      <c r="C558" s="28">
        <v>46194</v>
      </c>
      <c r="D558" s="22" t="str">
        <f t="array" ref="D558">IFERROR(INDEX('Kode Outlet dan Target Toko'!$A:$A,MATCH($I558,'Kode Outlet dan Target Toko'!$E:$E,0)),"")</f>
        <v>GRSM 4</v>
      </c>
      <c r="E558" s="20" t="str">
        <f>IFERROR(VLOOKUP(I558,KET!$B:$F,4,0),"")</f>
        <v>FAHMI LUKMANUL HAKIM</v>
      </c>
      <c r="F558" s="20" t="str">
        <f>IFERROR(VLOOKUP(I558,KET!$B:$F,5,0),"")</f>
        <v>GMM</v>
      </c>
      <c r="G558" s="20">
        <f>IFERROR(INDEX('Kode Outlet dan Target Toko'!$C:$C,MATCH($I558,'Kode Outlet dan Target Toko'!$E:$E,0)),0)</f>
        <v>103257</v>
      </c>
      <c r="H558" s="20">
        <f>IFERROR(INDEX('Kode Outlet dan Target Toko'!$D:$D,MATCH($I558,'Kode Outlet dan Target Toko'!$E:$E,0)),0)</f>
        <v>9162509</v>
      </c>
      <c r="I558" s="41" t="s">
        <v>23</v>
      </c>
      <c r="J558" s="56" t="s">
        <v>181</v>
      </c>
      <c r="K558" s="39" t="s">
        <v>14</v>
      </c>
      <c r="L558" s="23">
        <v>3200</v>
      </c>
      <c r="M558" s="24">
        <v>53</v>
      </c>
      <c r="N558" s="25">
        <f t="shared" si="17"/>
        <v>169600</v>
      </c>
      <c r="O558" s="24"/>
    </row>
    <row r="559" spans="1:15" ht="15.75" hidden="1" customHeight="1" x14ac:dyDescent="0.3">
      <c r="A559" s="26">
        <v>25</v>
      </c>
      <c r="B559" s="20" t="str">
        <f t="shared" si="16"/>
        <v>JUN</v>
      </c>
      <c r="C559" s="28">
        <v>46194</v>
      </c>
      <c r="D559" s="22" t="str">
        <f t="array" ref="D559">IFERROR(INDEX('Kode Outlet dan Target Toko'!$A:$A,MATCH($I559,'Kode Outlet dan Target Toko'!$E:$E,0)),"")</f>
        <v>GRSM 4</v>
      </c>
      <c r="E559" s="20" t="str">
        <f>IFERROR(VLOOKUP(I559,KET!$B:$F,4,0),"")</f>
        <v>FAHMI LUKMANUL HAKIM</v>
      </c>
      <c r="F559" s="20" t="str">
        <f>IFERROR(VLOOKUP(I559,KET!$B:$F,5,0),"")</f>
        <v>GMM</v>
      </c>
      <c r="G559" s="20">
        <f>IFERROR(INDEX('Kode Outlet dan Target Toko'!$C:$C,MATCH($I559,'Kode Outlet dan Target Toko'!$E:$E,0)),0)</f>
        <v>103257</v>
      </c>
      <c r="H559" s="20">
        <f>IFERROR(INDEX('Kode Outlet dan Target Toko'!$D:$D,MATCH($I559,'Kode Outlet dan Target Toko'!$E:$E,0)),0)</f>
        <v>9162509</v>
      </c>
      <c r="I559" s="41" t="s">
        <v>23</v>
      </c>
      <c r="J559" s="56" t="s">
        <v>181</v>
      </c>
      <c r="K559" s="39" t="s">
        <v>13</v>
      </c>
      <c r="L559" s="23">
        <v>3200</v>
      </c>
      <c r="M559" s="24">
        <v>63</v>
      </c>
      <c r="N559" s="25">
        <f t="shared" si="17"/>
        <v>201600</v>
      </c>
      <c r="O559" s="24"/>
    </row>
    <row r="560" spans="1:15" ht="15.75" hidden="1" customHeight="1" x14ac:dyDescent="0.3">
      <c r="A560" s="26">
        <v>25</v>
      </c>
      <c r="B560" s="20" t="str">
        <f t="shared" si="16"/>
        <v>JUN</v>
      </c>
      <c r="C560" s="28">
        <v>46194</v>
      </c>
      <c r="D560" s="22" t="str">
        <f t="array" ref="D560">IFERROR(INDEX('Kode Outlet dan Target Toko'!$A:$A,MATCH($I560,'Kode Outlet dan Target Toko'!$E:$E,0)),"")</f>
        <v>GRSM 4</v>
      </c>
      <c r="E560" s="20" t="str">
        <f>IFERROR(VLOOKUP(I560,KET!$B:$F,4,0),"")</f>
        <v>FAHMI LUKMANUL HAKIM</v>
      </c>
      <c r="F560" s="20" t="str">
        <f>IFERROR(VLOOKUP(I560,KET!$B:$F,5,0),"")</f>
        <v>GMM</v>
      </c>
      <c r="G560" s="20">
        <f>IFERROR(INDEX('Kode Outlet dan Target Toko'!$C:$C,MATCH($I560,'Kode Outlet dan Target Toko'!$E:$E,0)),0)</f>
        <v>103257</v>
      </c>
      <c r="H560" s="20">
        <f>IFERROR(INDEX('Kode Outlet dan Target Toko'!$D:$D,MATCH($I560,'Kode Outlet dan Target Toko'!$E:$E,0)),0)</f>
        <v>9162509</v>
      </c>
      <c r="I560" s="41" t="s">
        <v>23</v>
      </c>
      <c r="J560" s="56" t="s">
        <v>181</v>
      </c>
      <c r="K560" s="39" t="s">
        <v>16</v>
      </c>
      <c r="L560" s="23">
        <v>3200</v>
      </c>
      <c r="M560" s="24">
        <v>110</v>
      </c>
      <c r="N560" s="25">
        <f t="shared" si="17"/>
        <v>352000</v>
      </c>
      <c r="O560" s="24"/>
    </row>
    <row r="561" spans="1:15" ht="15.75" hidden="1" customHeight="1" x14ac:dyDescent="0.3">
      <c r="A561" s="26">
        <v>25</v>
      </c>
      <c r="B561" s="20" t="str">
        <f t="shared" si="16"/>
        <v>JUN</v>
      </c>
      <c r="C561" s="28">
        <v>46194</v>
      </c>
      <c r="D561" s="22" t="str">
        <f t="array" ref="D561">IFERROR(INDEX('Kode Outlet dan Target Toko'!$A:$A,MATCH($I561,'Kode Outlet dan Target Toko'!$E:$E,0)),"")</f>
        <v>GRSM 4</v>
      </c>
      <c r="E561" s="20" t="str">
        <f>IFERROR(VLOOKUP(I561,KET!$B:$F,4,0),"")</f>
        <v>FAHMI LUKMANUL HAKIM</v>
      </c>
      <c r="F561" s="20" t="str">
        <f>IFERROR(VLOOKUP(I561,KET!$B:$F,5,0),"")</f>
        <v>GMM</v>
      </c>
      <c r="G561" s="20">
        <f>IFERROR(INDEX('Kode Outlet dan Target Toko'!$C:$C,MATCH($I561,'Kode Outlet dan Target Toko'!$E:$E,0)),0)</f>
        <v>103277</v>
      </c>
      <c r="H561" s="20">
        <f>IFERROR(INDEX('Kode Outlet dan Target Toko'!$D:$D,MATCH($I561,'Kode Outlet dan Target Toko'!$E:$E,0)),0)</f>
        <v>6300538</v>
      </c>
      <c r="I561" s="41" t="s">
        <v>19</v>
      </c>
      <c r="J561" s="19" t="s">
        <v>251</v>
      </c>
      <c r="K561" s="39" t="s">
        <v>15</v>
      </c>
      <c r="L561" s="23">
        <v>2975</v>
      </c>
      <c r="M561" s="24">
        <v>48</v>
      </c>
      <c r="N561" s="25">
        <f t="shared" si="17"/>
        <v>142800</v>
      </c>
      <c r="O561" s="24">
        <v>160</v>
      </c>
    </row>
    <row r="562" spans="1:15" ht="15.75" hidden="1" customHeight="1" x14ac:dyDescent="0.3">
      <c r="A562" s="26">
        <v>25</v>
      </c>
      <c r="B562" s="20" t="str">
        <f t="shared" si="16"/>
        <v>JUN</v>
      </c>
      <c r="C562" s="28">
        <v>46194</v>
      </c>
      <c r="D562" s="22" t="str">
        <f t="array" ref="D562">IFERROR(INDEX('Kode Outlet dan Target Toko'!$A:$A,MATCH($I562,'Kode Outlet dan Target Toko'!$E:$E,0)),"")</f>
        <v>GRSM 4</v>
      </c>
      <c r="E562" s="20" t="str">
        <f>IFERROR(VLOOKUP(I562,KET!$B:$F,4,0),"")</f>
        <v>FAHMI LUKMANUL HAKIM</v>
      </c>
      <c r="F562" s="20" t="str">
        <f>IFERROR(VLOOKUP(I562,KET!$B:$F,5,0),"")</f>
        <v>GMM</v>
      </c>
      <c r="G562" s="20">
        <f>IFERROR(INDEX('Kode Outlet dan Target Toko'!$C:$C,MATCH($I562,'Kode Outlet dan Target Toko'!$E:$E,0)),0)</f>
        <v>103277</v>
      </c>
      <c r="H562" s="20">
        <f>IFERROR(INDEX('Kode Outlet dan Target Toko'!$D:$D,MATCH($I562,'Kode Outlet dan Target Toko'!$E:$E,0)),0)</f>
        <v>6300538</v>
      </c>
      <c r="I562" s="41" t="s">
        <v>19</v>
      </c>
      <c r="J562" s="19" t="s">
        <v>251</v>
      </c>
      <c r="K562" s="39" t="s">
        <v>14</v>
      </c>
      <c r="L562" s="23">
        <v>2975</v>
      </c>
      <c r="M562" s="24">
        <v>72</v>
      </c>
      <c r="N562" s="25">
        <f t="shared" si="17"/>
        <v>214200</v>
      </c>
      <c r="O562" s="24"/>
    </row>
    <row r="563" spans="1:15" ht="15.75" hidden="1" customHeight="1" x14ac:dyDescent="0.3">
      <c r="A563" s="26">
        <v>25</v>
      </c>
      <c r="B563" s="20" t="str">
        <f t="shared" si="16"/>
        <v>JUN</v>
      </c>
      <c r="C563" s="28">
        <v>46194</v>
      </c>
      <c r="D563" s="22" t="str">
        <f t="array" ref="D563">IFERROR(INDEX('Kode Outlet dan Target Toko'!$A:$A,MATCH($I563,'Kode Outlet dan Target Toko'!$E:$E,0)),"")</f>
        <v>GRSM 4</v>
      </c>
      <c r="E563" s="20" t="str">
        <f>IFERROR(VLOOKUP(I563,KET!$B:$F,4,0),"")</f>
        <v>FAHMI LUKMANUL HAKIM</v>
      </c>
      <c r="F563" s="20" t="str">
        <f>IFERROR(VLOOKUP(I563,KET!$B:$F,5,0),"")</f>
        <v>GMM</v>
      </c>
      <c r="G563" s="20">
        <f>IFERROR(INDEX('Kode Outlet dan Target Toko'!$C:$C,MATCH($I563,'Kode Outlet dan Target Toko'!$E:$E,0)),0)</f>
        <v>103277</v>
      </c>
      <c r="H563" s="20">
        <f>IFERROR(INDEX('Kode Outlet dan Target Toko'!$D:$D,MATCH($I563,'Kode Outlet dan Target Toko'!$E:$E,0)),0)</f>
        <v>6300538</v>
      </c>
      <c r="I563" s="41" t="s">
        <v>19</v>
      </c>
      <c r="J563" s="19" t="s">
        <v>251</v>
      </c>
      <c r="K563" s="39" t="s">
        <v>13</v>
      </c>
      <c r="L563" s="23">
        <v>2975</v>
      </c>
      <c r="M563" s="24">
        <v>53</v>
      </c>
      <c r="N563" s="25">
        <f t="shared" si="17"/>
        <v>157675</v>
      </c>
      <c r="O563" s="24"/>
    </row>
    <row r="564" spans="1:15" ht="15.75" hidden="1" customHeight="1" x14ac:dyDescent="0.3">
      <c r="A564" s="26">
        <v>25</v>
      </c>
      <c r="B564" s="20" t="str">
        <f t="shared" si="16"/>
        <v>JUN</v>
      </c>
      <c r="C564" s="28">
        <v>46194</v>
      </c>
      <c r="D564" s="22" t="str">
        <f t="array" ref="D564">IFERROR(INDEX('Kode Outlet dan Target Toko'!$A:$A,MATCH($I564,'Kode Outlet dan Target Toko'!$E:$E,0)),"")</f>
        <v>GRSM 4</v>
      </c>
      <c r="E564" s="20" t="str">
        <f>IFERROR(VLOOKUP(I564,KET!$B:$F,4,0),"")</f>
        <v>FAHMI LUKMANUL HAKIM</v>
      </c>
      <c r="F564" s="20" t="str">
        <f>IFERROR(VLOOKUP(I564,KET!$B:$F,5,0),"")</f>
        <v>GMM</v>
      </c>
      <c r="G564" s="20">
        <f>IFERROR(INDEX('Kode Outlet dan Target Toko'!$C:$C,MATCH($I564,'Kode Outlet dan Target Toko'!$E:$E,0)),0)</f>
        <v>103277</v>
      </c>
      <c r="H564" s="20">
        <f>IFERROR(INDEX('Kode Outlet dan Target Toko'!$D:$D,MATCH($I564,'Kode Outlet dan Target Toko'!$E:$E,0)),0)</f>
        <v>6300538</v>
      </c>
      <c r="I564" s="41" t="s">
        <v>19</v>
      </c>
      <c r="J564" s="19" t="s">
        <v>251</v>
      </c>
      <c r="K564" s="39" t="s">
        <v>16</v>
      </c>
      <c r="L564" s="23">
        <v>2975</v>
      </c>
      <c r="M564" s="24">
        <v>215</v>
      </c>
      <c r="N564" s="25">
        <f t="shared" si="17"/>
        <v>639625</v>
      </c>
      <c r="O564" s="24"/>
    </row>
    <row r="565" spans="1:15" ht="15.75" hidden="1" customHeight="1" x14ac:dyDescent="0.3">
      <c r="A565" s="26">
        <v>25</v>
      </c>
      <c r="B565" s="20" t="str">
        <f t="shared" si="16"/>
        <v>JUN</v>
      </c>
      <c r="C565" s="28">
        <v>46194</v>
      </c>
      <c r="D565" s="22" t="str">
        <f t="array" ref="D565">IFERROR(INDEX('Kode Outlet dan Target Toko'!$A:$A,MATCH($I565,'Kode Outlet dan Target Toko'!$E:$E,0)),"")</f>
        <v>GRSM 4</v>
      </c>
      <c r="E565" s="20" t="str">
        <f>IFERROR(VLOOKUP(I565,KET!$B:$F,4,0),"")</f>
        <v>FAHMI LUKMANUL HAKIM</v>
      </c>
      <c r="F565" s="20" t="str">
        <f>IFERROR(VLOOKUP(I565,KET!$B:$F,5,0),"")</f>
        <v>GMM</v>
      </c>
      <c r="G565" s="20">
        <f>IFERROR(INDEX('Kode Outlet dan Target Toko'!$C:$C,MATCH($I565,'Kode Outlet dan Target Toko'!$E:$E,0)),0)</f>
        <v>103277</v>
      </c>
      <c r="H565" s="20">
        <f>IFERROR(INDEX('Kode Outlet dan Target Toko'!$D:$D,MATCH($I565,'Kode Outlet dan Target Toko'!$E:$E,0)),0)</f>
        <v>6300538</v>
      </c>
      <c r="I565" s="41" t="s">
        <v>19</v>
      </c>
      <c r="J565" s="19" t="s">
        <v>252</v>
      </c>
      <c r="K565" s="39" t="s">
        <v>15</v>
      </c>
      <c r="L565" s="23">
        <v>2975</v>
      </c>
      <c r="M565" s="24">
        <v>45</v>
      </c>
      <c r="N565" s="25">
        <f t="shared" si="17"/>
        <v>133875</v>
      </c>
      <c r="O565" s="24">
        <v>160</v>
      </c>
    </row>
    <row r="566" spans="1:15" ht="15.75" hidden="1" customHeight="1" x14ac:dyDescent="0.3">
      <c r="A566" s="26">
        <v>25</v>
      </c>
      <c r="B566" s="20" t="str">
        <f t="shared" si="16"/>
        <v>JUN</v>
      </c>
      <c r="C566" s="28">
        <v>46194</v>
      </c>
      <c r="D566" s="22" t="str">
        <f t="array" ref="D566">IFERROR(INDEX('Kode Outlet dan Target Toko'!$A:$A,MATCH($I566,'Kode Outlet dan Target Toko'!$E:$E,0)),"")</f>
        <v>GRSM 4</v>
      </c>
      <c r="E566" s="20" t="str">
        <f>IFERROR(VLOOKUP(I566,KET!$B:$F,4,0),"")</f>
        <v>FAHMI LUKMANUL HAKIM</v>
      </c>
      <c r="F566" s="20" t="str">
        <f>IFERROR(VLOOKUP(I566,KET!$B:$F,5,0),"")</f>
        <v>GMM</v>
      </c>
      <c r="G566" s="20">
        <f>IFERROR(INDEX('Kode Outlet dan Target Toko'!$C:$C,MATCH($I566,'Kode Outlet dan Target Toko'!$E:$E,0)),0)</f>
        <v>103277</v>
      </c>
      <c r="H566" s="20">
        <f>IFERROR(INDEX('Kode Outlet dan Target Toko'!$D:$D,MATCH($I566,'Kode Outlet dan Target Toko'!$E:$E,0)),0)</f>
        <v>6300538</v>
      </c>
      <c r="I566" s="41" t="s">
        <v>19</v>
      </c>
      <c r="J566" s="19" t="s">
        <v>252</v>
      </c>
      <c r="K566" s="39" t="s">
        <v>14</v>
      </c>
      <c r="L566" s="23">
        <v>2975</v>
      </c>
      <c r="M566" s="24">
        <v>65</v>
      </c>
      <c r="N566" s="25">
        <f t="shared" si="17"/>
        <v>193375</v>
      </c>
      <c r="O566" s="24"/>
    </row>
    <row r="567" spans="1:15" ht="15.75" hidden="1" customHeight="1" x14ac:dyDescent="0.3">
      <c r="A567" s="26">
        <v>25</v>
      </c>
      <c r="B567" s="20" t="str">
        <f t="shared" si="16"/>
        <v>JUN</v>
      </c>
      <c r="C567" s="28">
        <v>46194</v>
      </c>
      <c r="D567" s="22" t="str">
        <f t="array" ref="D567">IFERROR(INDEX('Kode Outlet dan Target Toko'!$A:$A,MATCH($I567,'Kode Outlet dan Target Toko'!$E:$E,0)),"")</f>
        <v>GRSM 4</v>
      </c>
      <c r="E567" s="20" t="str">
        <f>IFERROR(VLOOKUP(I567,KET!$B:$F,4,0),"")</f>
        <v>FAHMI LUKMANUL HAKIM</v>
      </c>
      <c r="F567" s="20" t="str">
        <f>IFERROR(VLOOKUP(I567,KET!$B:$F,5,0),"")</f>
        <v>GMM</v>
      </c>
      <c r="G567" s="20">
        <f>IFERROR(INDEX('Kode Outlet dan Target Toko'!$C:$C,MATCH($I567,'Kode Outlet dan Target Toko'!$E:$E,0)),0)</f>
        <v>103277</v>
      </c>
      <c r="H567" s="20">
        <f>IFERROR(INDEX('Kode Outlet dan Target Toko'!$D:$D,MATCH($I567,'Kode Outlet dan Target Toko'!$E:$E,0)),0)</f>
        <v>6300538</v>
      </c>
      <c r="I567" s="41" t="s">
        <v>19</v>
      </c>
      <c r="J567" s="19" t="s">
        <v>252</v>
      </c>
      <c r="K567" s="39" t="s">
        <v>13</v>
      </c>
      <c r="L567" s="23">
        <v>2975</v>
      </c>
      <c r="M567" s="24">
        <v>55</v>
      </c>
      <c r="N567" s="25">
        <f t="shared" si="17"/>
        <v>163625</v>
      </c>
      <c r="O567" s="24"/>
    </row>
    <row r="568" spans="1:15" ht="15.75" hidden="1" customHeight="1" x14ac:dyDescent="0.3">
      <c r="A568" s="26">
        <v>25</v>
      </c>
      <c r="B568" s="20" t="str">
        <f t="shared" si="16"/>
        <v>JUN</v>
      </c>
      <c r="C568" s="28">
        <v>46194</v>
      </c>
      <c r="D568" s="22" t="str">
        <f t="array" ref="D568">IFERROR(INDEX('Kode Outlet dan Target Toko'!$A:$A,MATCH($I568,'Kode Outlet dan Target Toko'!$E:$E,0)),"")</f>
        <v>GRSM 4</v>
      </c>
      <c r="E568" s="20" t="str">
        <f>IFERROR(VLOOKUP(I568,KET!$B:$F,4,0),"")</f>
        <v>FAHMI LUKMANUL HAKIM</v>
      </c>
      <c r="F568" s="20" t="str">
        <f>IFERROR(VLOOKUP(I568,KET!$B:$F,5,0),"")</f>
        <v>GMM</v>
      </c>
      <c r="G568" s="20">
        <f>IFERROR(INDEX('Kode Outlet dan Target Toko'!$C:$C,MATCH($I568,'Kode Outlet dan Target Toko'!$E:$E,0)),0)</f>
        <v>103277</v>
      </c>
      <c r="H568" s="20">
        <f>IFERROR(INDEX('Kode Outlet dan Target Toko'!$D:$D,MATCH($I568,'Kode Outlet dan Target Toko'!$E:$E,0)),0)</f>
        <v>6300538</v>
      </c>
      <c r="I568" s="41" t="s">
        <v>19</v>
      </c>
      <c r="J568" s="19" t="s">
        <v>252</v>
      </c>
      <c r="K568" s="39" t="s">
        <v>16</v>
      </c>
      <c r="L568" s="23">
        <v>2975</v>
      </c>
      <c r="M568" s="24">
        <v>205</v>
      </c>
      <c r="N568" s="25">
        <f t="shared" si="17"/>
        <v>609875</v>
      </c>
      <c r="O568" s="24"/>
    </row>
    <row r="569" spans="1:15" ht="15.75" hidden="1" customHeight="1" x14ac:dyDescent="0.3">
      <c r="A569" s="26">
        <v>25</v>
      </c>
      <c r="B569" s="20" t="str">
        <f t="shared" si="16"/>
        <v>JUN</v>
      </c>
      <c r="C569" s="28">
        <v>46194</v>
      </c>
      <c r="D569" s="22" t="str">
        <f t="array" ref="D569">IFERROR(INDEX('Kode Outlet dan Target Toko'!$A:$A,MATCH($I569,'Kode Outlet dan Target Toko'!$E:$E,0)),"")</f>
        <v>GRSM 4</v>
      </c>
      <c r="E569" s="20" t="str">
        <f>IFERROR(VLOOKUP(I569,KET!$B:$F,4,0),"")</f>
        <v>FAHMI LUKMANUL HAKIM</v>
      </c>
      <c r="F569" s="20" t="str">
        <f>IFERROR(VLOOKUP(I569,KET!$B:$F,5,0),"")</f>
        <v>GMM</v>
      </c>
      <c r="G569" s="20">
        <f>IFERROR(INDEX('Kode Outlet dan Target Toko'!$C:$C,MATCH($I569,'Kode Outlet dan Target Toko'!$E:$E,0)),0)</f>
        <v>103277</v>
      </c>
      <c r="H569" s="20">
        <f>IFERROR(INDEX('Kode Outlet dan Target Toko'!$D:$D,MATCH($I569,'Kode Outlet dan Target Toko'!$E:$E,0)),0)</f>
        <v>6301424</v>
      </c>
      <c r="I569" s="41" t="s">
        <v>25</v>
      </c>
      <c r="J569" s="56" t="s">
        <v>183</v>
      </c>
      <c r="K569" s="39" t="s">
        <v>15</v>
      </c>
      <c r="L569" s="23">
        <v>3000</v>
      </c>
      <c r="M569" s="24">
        <v>116</v>
      </c>
      <c r="N569" s="25">
        <f t="shared" si="17"/>
        <v>348000</v>
      </c>
      <c r="O569" s="24">
        <v>160</v>
      </c>
    </row>
    <row r="570" spans="1:15" ht="15.75" hidden="1" customHeight="1" x14ac:dyDescent="0.3">
      <c r="A570" s="24">
        <v>25</v>
      </c>
      <c r="B570" s="20" t="str">
        <f t="shared" si="16"/>
        <v>JUN</v>
      </c>
      <c r="C570" s="21">
        <v>46194</v>
      </c>
      <c r="D570" s="22" t="str">
        <f t="array" ref="D570">IFERROR(INDEX('Kode Outlet dan Target Toko'!$A:$A,MATCH($I570,'Kode Outlet dan Target Toko'!$E:$E,0)),"")</f>
        <v>GRSM 4</v>
      </c>
      <c r="E570" s="20" t="str">
        <f>IFERROR(VLOOKUP(I570,KET!$B:$F,4,0),"")</f>
        <v>FAHMI LUKMANUL HAKIM</v>
      </c>
      <c r="F570" s="20" t="str">
        <f>IFERROR(VLOOKUP(I570,KET!$B:$F,5,0),"")</f>
        <v>GMM</v>
      </c>
      <c r="G570" s="20">
        <f>IFERROR(INDEX('Kode Outlet dan Target Toko'!$C:$C,MATCH($I570,'Kode Outlet dan Target Toko'!$E:$E,0)),0)</f>
        <v>103277</v>
      </c>
      <c r="H570" s="20">
        <f>IFERROR(INDEX('Kode Outlet dan Target Toko'!$D:$D,MATCH($I570,'Kode Outlet dan Target Toko'!$E:$E,0)),0)</f>
        <v>6301424</v>
      </c>
      <c r="I570" s="50" t="s">
        <v>25</v>
      </c>
      <c r="J570" s="56" t="s">
        <v>183</v>
      </c>
      <c r="K570" s="54" t="s">
        <v>14</v>
      </c>
      <c r="L570" s="23">
        <v>3000</v>
      </c>
      <c r="M570" s="24">
        <v>40</v>
      </c>
      <c r="N570" s="25">
        <f t="shared" si="17"/>
        <v>120000</v>
      </c>
      <c r="O570" s="24">
        <v>160</v>
      </c>
    </row>
    <row r="571" spans="1:15" ht="15.75" hidden="1" customHeight="1" x14ac:dyDescent="0.3">
      <c r="A571" s="24">
        <v>25</v>
      </c>
      <c r="B571" s="20" t="str">
        <f t="shared" si="16"/>
        <v>JUN</v>
      </c>
      <c r="C571" s="21">
        <v>46194</v>
      </c>
      <c r="D571" s="22" t="str">
        <f t="array" ref="D571">IFERROR(INDEX('Kode Outlet dan Target Toko'!$A:$A,MATCH($I571,'Kode Outlet dan Target Toko'!$E:$E,0)),"")</f>
        <v>GRSM 4</v>
      </c>
      <c r="E571" s="20" t="str">
        <f>IFERROR(VLOOKUP(I571,KET!$B:$F,4,0),"")</f>
        <v>FAHMI LUKMANUL HAKIM</v>
      </c>
      <c r="F571" s="20" t="str">
        <f>IFERROR(VLOOKUP(I571,KET!$B:$F,5,0),"")</f>
        <v>GMM</v>
      </c>
      <c r="G571" s="20">
        <f>IFERROR(INDEX('Kode Outlet dan Target Toko'!$C:$C,MATCH($I571,'Kode Outlet dan Target Toko'!$E:$E,0)),0)</f>
        <v>103277</v>
      </c>
      <c r="H571" s="20">
        <f>IFERROR(INDEX('Kode Outlet dan Target Toko'!$D:$D,MATCH($I571,'Kode Outlet dan Target Toko'!$E:$E,0)),0)</f>
        <v>6301424</v>
      </c>
      <c r="I571" s="50" t="s">
        <v>25</v>
      </c>
      <c r="J571" s="56" t="s">
        <v>183</v>
      </c>
      <c r="K571" s="54" t="s">
        <v>13</v>
      </c>
      <c r="L571" s="23">
        <v>3000</v>
      </c>
      <c r="M571" s="24">
        <v>82</v>
      </c>
      <c r="N571" s="25">
        <f t="shared" si="17"/>
        <v>246000</v>
      </c>
      <c r="O571" s="24">
        <v>160</v>
      </c>
    </row>
    <row r="572" spans="1:15" ht="15.75" hidden="1" customHeight="1" x14ac:dyDescent="0.3">
      <c r="A572" s="24">
        <v>25</v>
      </c>
      <c r="B572" s="20" t="str">
        <f t="shared" si="16"/>
        <v>JUN</v>
      </c>
      <c r="C572" s="21">
        <v>46194</v>
      </c>
      <c r="D572" s="22" t="str">
        <f t="array" ref="D572">IFERROR(INDEX('Kode Outlet dan Target Toko'!$A:$A,MATCH($I572,'Kode Outlet dan Target Toko'!$E:$E,0)),"")</f>
        <v>GRSM 4</v>
      </c>
      <c r="E572" s="20" t="str">
        <f>IFERROR(VLOOKUP(I572,KET!$B:$F,4,0),"")</f>
        <v>FAHMI LUKMANUL HAKIM</v>
      </c>
      <c r="F572" s="20" t="str">
        <f>IFERROR(VLOOKUP(I572,KET!$B:$F,5,0),"")</f>
        <v>GMM</v>
      </c>
      <c r="G572" s="20">
        <f>IFERROR(INDEX('Kode Outlet dan Target Toko'!$C:$C,MATCH($I572,'Kode Outlet dan Target Toko'!$E:$E,0)),0)</f>
        <v>103277</v>
      </c>
      <c r="H572" s="20">
        <f>IFERROR(INDEX('Kode Outlet dan Target Toko'!$D:$D,MATCH($I572,'Kode Outlet dan Target Toko'!$E:$E,0)),0)</f>
        <v>6301424</v>
      </c>
      <c r="I572" s="50" t="s">
        <v>25</v>
      </c>
      <c r="J572" s="56" t="s">
        <v>183</v>
      </c>
      <c r="K572" s="54" t="s">
        <v>16</v>
      </c>
      <c r="L572" s="23">
        <v>3000</v>
      </c>
      <c r="M572" s="24">
        <v>126</v>
      </c>
      <c r="N572" s="25">
        <f t="shared" si="17"/>
        <v>378000</v>
      </c>
      <c r="O572" s="24">
        <v>160</v>
      </c>
    </row>
    <row r="573" spans="1:15" ht="15.75" hidden="1" customHeight="1" x14ac:dyDescent="0.3">
      <c r="A573" s="24">
        <v>25</v>
      </c>
      <c r="B573" s="20" t="str">
        <f t="shared" si="16"/>
        <v>JUN</v>
      </c>
      <c r="C573" s="21">
        <v>46194</v>
      </c>
      <c r="D573" s="22" t="str">
        <f t="array" ref="D573">IFERROR(INDEX('Kode Outlet dan Target Toko'!$A:$A,MATCH($I573,'Kode Outlet dan Target Toko'!$E:$E,0)),"")</f>
        <v>GRSM 4</v>
      </c>
      <c r="E573" s="20" t="str">
        <f>IFERROR(VLOOKUP(I573,KET!$B:$F,4,0),"")</f>
        <v>FAHMI LUKMANUL HAKIM</v>
      </c>
      <c r="F573" s="20" t="str">
        <f>IFERROR(VLOOKUP(I573,KET!$B:$F,5,0),"")</f>
        <v>GMM</v>
      </c>
      <c r="G573" s="20">
        <f>IFERROR(INDEX('Kode Outlet dan Target Toko'!$C:$C,MATCH($I573,'Kode Outlet dan Target Toko'!$E:$E,0)),0)</f>
        <v>103277</v>
      </c>
      <c r="H573" s="20">
        <f>IFERROR(INDEX('Kode Outlet dan Target Toko'!$D:$D,MATCH($I573,'Kode Outlet dan Target Toko'!$E:$E,0)),0)</f>
        <v>6301424</v>
      </c>
      <c r="I573" s="50" t="s">
        <v>25</v>
      </c>
      <c r="J573" s="19" t="s">
        <v>257</v>
      </c>
      <c r="K573" s="54" t="s">
        <v>15</v>
      </c>
      <c r="L573" s="23">
        <v>3000</v>
      </c>
      <c r="M573" s="24">
        <v>118</v>
      </c>
      <c r="N573" s="25">
        <f t="shared" si="17"/>
        <v>354000</v>
      </c>
      <c r="O573" s="24">
        <v>160</v>
      </c>
    </row>
    <row r="574" spans="1:15" ht="15.75" hidden="1" customHeight="1" x14ac:dyDescent="0.3">
      <c r="A574" s="24">
        <v>25</v>
      </c>
      <c r="B574" s="20" t="str">
        <f t="shared" si="16"/>
        <v>JUN</v>
      </c>
      <c r="C574" s="21">
        <v>46194</v>
      </c>
      <c r="D574" s="22" t="str">
        <f t="array" ref="D574">IFERROR(INDEX('Kode Outlet dan Target Toko'!$A:$A,MATCH($I574,'Kode Outlet dan Target Toko'!$E:$E,0)),"")</f>
        <v>GRSM 4</v>
      </c>
      <c r="E574" s="20" t="str">
        <f>IFERROR(VLOOKUP(I574,KET!$B:$F,4,0),"")</f>
        <v>FAHMI LUKMANUL HAKIM</v>
      </c>
      <c r="F574" s="20" t="str">
        <f>IFERROR(VLOOKUP(I574,KET!$B:$F,5,0),"")</f>
        <v>GMM</v>
      </c>
      <c r="G574" s="20">
        <f>IFERROR(INDEX('Kode Outlet dan Target Toko'!$C:$C,MATCH($I574,'Kode Outlet dan Target Toko'!$E:$E,0)),0)</f>
        <v>103277</v>
      </c>
      <c r="H574" s="20">
        <f>IFERROR(INDEX('Kode Outlet dan Target Toko'!$D:$D,MATCH($I574,'Kode Outlet dan Target Toko'!$E:$E,0)),0)</f>
        <v>6301424</v>
      </c>
      <c r="I574" s="50" t="s">
        <v>25</v>
      </c>
      <c r="J574" s="19" t="s">
        <v>257</v>
      </c>
      <c r="K574" s="54" t="s">
        <v>14</v>
      </c>
      <c r="L574" s="23">
        <v>3000</v>
      </c>
      <c r="M574" s="24">
        <v>42</v>
      </c>
      <c r="N574" s="25">
        <f t="shared" si="17"/>
        <v>126000</v>
      </c>
      <c r="O574" s="24">
        <v>160</v>
      </c>
    </row>
    <row r="575" spans="1:15" ht="15.75" hidden="1" customHeight="1" x14ac:dyDescent="0.3">
      <c r="A575" s="24">
        <v>25</v>
      </c>
      <c r="B575" s="20" t="str">
        <f t="shared" si="16"/>
        <v>JUN</v>
      </c>
      <c r="C575" s="21">
        <v>46194</v>
      </c>
      <c r="D575" s="22" t="str">
        <f t="array" ref="D575">IFERROR(INDEX('Kode Outlet dan Target Toko'!$A:$A,MATCH($I575,'Kode Outlet dan Target Toko'!$E:$E,0)),"")</f>
        <v>GRSM 4</v>
      </c>
      <c r="E575" s="20" t="str">
        <f>IFERROR(VLOOKUP(I575,KET!$B:$F,4,0),"")</f>
        <v>FAHMI LUKMANUL HAKIM</v>
      </c>
      <c r="F575" s="20" t="str">
        <f>IFERROR(VLOOKUP(I575,KET!$B:$F,5,0),"")</f>
        <v>GMM</v>
      </c>
      <c r="G575" s="20">
        <f>IFERROR(INDEX('Kode Outlet dan Target Toko'!$C:$C,MATCH($I575,'Kode Outlet dan Target Toko'!$E:$E,0)),0)</f>
        <v>103277</v>
      </c>
      <c r="H575" s="20">
        <f>IFERROR(INDEX('Kode Outlet dan Target Toko'!$D:$D,MATCH($I575,'Kode Outlet dan Target Toko'!$E:$E,0)),0)</f>
        <v>6301424</v>
      </c>
      <c r="I575" s="50" t="s">
        <v>25</v>
      </c>
      <c r="J575" s="19" t="s">
        <v>257</v>
      </c>
      <c r="K575" s="54" t="s">
        <v>13</v>
      </c>
      <c r="L575" s="23">
        <v>3000</v>
      </c>
      <c r="M575" s="24">
        <v>76</v>
      </c>
      <c r="N575" s="25">
        <f t="shared" si="17"/>
        <v>228000</v>
      </c>
      <c r="O575" s="24">
        <v>160</v>
      </c>
    </row>
    <row r="576" spans="1:15" ht="15.75" hidden="1" customHeight="1" x14ac:dyDescent="0.3">
      <c r="A576" s="24">
        <v>25</v>
      </c>
      <c r="B576" s="20" t="str">
        <f t="shared" si="16"/>
        <v>JUN</v>
      </c>
      <c r="C576" s="21">
        <v>46194</v>
      </c>
      <c r="D576" s="22" t="str">
        <f t="array" ref="D576">IFERROR(INDEX('Kode Outlet dan Target Toko'!$A:$A,MATCH($I576,'Kode Outlet dan Target Toko'!$E:$E,0)),"")</f>
        <v>GRSM 4</v>
      </c>
      <c r="E576" s="20" t="str">
        <f>IFERROR(VLOOKUP(I576,KET!$B:$F,4,0),"")</f>
        <v>FAHMI LUKMANUL HAKIM</v>
      </c>
      <c r="F576" s="20" t="str">
        <f>IFERROR(VLOOKUP(I576,KET!$B:$F,5,0),"")</f>
        <v>GMM</v>
      </c>
      <c r="G576" s="20">
        <f>IFERROR(INDEX('Kode Outlet dan Target Toko'!$C:$C,MATCH($I576,'Kode Outlet dan Target Toko'!$E:$E,0)),0)</f>
        <v>103277</v>
      </c>
      <c r="H576" s="20">
        <f>IFERROR(INDEX('Kode Outlet dan Target Toko'!$D:$D,MATCH($I576,'Kode Outlet dan Target Toko'!$E:$E,0)),0)</f>
        <v>6301424</v>
      </c>
      <c r="I576" s="50" t="s">
        <v>25</v>
      </c>
      <c r="J576" s="19" t="s">
        <v>257</v>
      </c>
      <c r="K576" s="54" t="s">
        <v>16</v>
      </c>
      <c r="L576" s="23">
        <v>3000</v>
      </c>
      <c r="M576" s="24">
        <v>122</v>
      </c>
      <c r="N576" s="25">
        <f t="shared" si="17"/>
        <v>366000</v>
      </c>
      <c r="O576" s="24">
        <v>160</v>
      </c>
    </row>
    <row r="577" spans="1:15" ht="15.75" hidden="1" customHeight="1" x14ac:dyDescent="0.3">
      <c r="A577" s="24">
        <v>25</v>
      </c>
      <c r="B577" s="20" t="str">
        <f t="shared" si="16"/>
        <v>JUN</v>
      </c>
      <c r="C577" s="21">
        <v>46194</v>
      </c>
      <c r="D577" s="22" t="str">
        <f t="array" ref="D577">IFERROR(INDEX('Kode Outlet dan Target Toko'!$A:$A,MATCH($I577,'Kode Outlet dan Target Toko'!$E:$E,0)),"")</f>
        <v>GRSM 4</v>
      </c>
      <c r="E577" s="20" t="str">
        <f>IFERROR(VLOOKUP(I577,KET!$B:$F,4,0),"")</f>
        <v>FAHMI LUKMANUL HAKIM</v>
      </c>
      <c r="F577" s="20" t="str">
        <f>IFERROR(VLOOKUP(I577,KET!$B:$F,5,0),"")</f>
        <v>GMM</v>
      </c>
      <c r="G577" s="20">
        <f>IFERROR(INDEX('Kode Outlet dan Target Toko'!$C:$C,MATCH($I577,'Kode Outlet dan Target Toko'!$E:$E,0)),0)</f>
        <v>103259</v>
      </c>
      <c r="H577" s="20">
        <f>IFERROR(INDEX('Kode Outlet dan Target Toko'!$D:$D,MATCH($I577,'Kode Outlet dan Target Toko'!$E:$E,0)),0)</f>
        <v>9029389</v>
      </c>
      <c r="I577" s="50" t="s">
        <v>27</v>
      </c>
      <c r="J577" s="27" t="s">
        <v>258</v>
      </c>
      <c r="K577" s="54" t="s">
        <v>15</v>
      </c>
      <c r="L577" s="23">
        <v>3000</v>
      </c>
      <c r="M577" s="24">
        <v>60</v>
      </c>
      <c r="N577" s="25">
        <f t="shared" si="17"/>
        <v>180000</v>
      </c>
      <c r="O577" s="24">
        <v>160</v>
      </c>
    </row>
    <row r="578" spans="1:15" ht="15.75" hidden="1" customHeight="1" x14ac:dyDescent="0.3">
      <c r="A578" s="24">
        <v>25</v>
      </c>
      <c r="B578" s="20" t="str">
        <f t="shared" si="16"/>
        <v>JUN</v>
      </c>
      <c r="C578" s="21">
        <v>46194</v>
      </c>
      <c r="D578" s="22" t="str">
        <f t="array" ref="D578">IFERROR(INDEX('Kode Outlet dan Target Toko'!$A:$A,MATCH($I578,'Kode Outlet dan Target Toko'!$E:$E,0)),"")</f>
        <v>GRSM 4</v>
      </c>
      <c r="E578" s="20" t="str">
        <f>IFERROR(VLOOKUP(I578,KET!$B:$F,4,0),"")</f>
        <v>FAHMI LUKMANUL HAKIM</v>
      </c>
      <c r="F578" s="20" t="str">
        <f>IFERROR(VLOOKUP(I578,KET!$B:$F,5,0),"")</f>
        <v>GMM</v>
      </c>
      <c r="G578" s="20">
        <f>IFERROR(INDEX('Kode Outlet dan Target Toko'!$C:$C,MATCH($I578,'Kode Outlet dan Target Toko'!$E:$E,0)),0)</f>
        <v>103259</v>
      </c>
      <c r="H578" s="20">
        <f>IFERROR(INDEX('Kode Outlet dan Target Toko'!$D:$D,MATCH($I578,'Kode Outlet dan Target Toko'!$E:$E,0)),0)</f>
        <v>9029389</v>
      </c>
      <c r="I578" s="50" t="s">
        <v>27</v>
      </c>
      <c r="J578" s="27" t="s">
        <v>258</v>
      </c>
      <c r="K578" s="54" t="s">
        <v>14</v>
      </c>
      <c r="L578" s="23">
        <v>3000</v>
      </c>
      <c r="M578" s="24">
        <v>82</v>
      </c>
      <c r="N578" s="25">
        <f t="shared" si="17"/>
        <v>246000</v>
      </c>
      <c r="O578" s="24">
        <v>160</v>
      </c>
    </row>
    <row r="579" spans="1:15" ht="15.75" hidden="1" customHeight="1" x14ac:dyDescent="0.3">
      <c r="A579" s="24">
        <v>25</v>
      </c>
      <c r="B579" s="20" t="str">
        <f t="shared" si="16"/>
        <v>JUN</v>
      </c>
      <c r="C579" s="21">
        <v>46194</v>
      </c>
      <c r="D579" s="22" t="str">
        <f t="array" ref="D579">IFERROR(INDEX('Kode Outlet dan Target Toko'!$A:$A,MATCH($I579,'Kode Outlet dan Target Toko'!$E:$E,0)),"")</f>
        <v>GRSM 4</v>
      </c>
      <c r="E579" s="20" t="str">
        <f>IFERROR(VLOOKUP(I579,KET!$B:$F,4,0),"")</f>
        <v>FAHMI LUKMANUL HAKIM</v>
      </c>
      <c r="F579" s="20" t="str">
        <f>IFERROR(VLOOKUP(I579,KET!$B:$F,5,0),"")</f>
        <v>GMM</v>
      </c>
      <c r="G579" s="20">
        <f>IFERROR(INDEX('Kode Outlet dan Target Toko'!$C:$C,MATCH($I579,'Kode Outlet dan Target Toko'!$E:$E,0)),0)</f>
        <v>103259</v>
      </c>
      <c r="H579" s="20">
        <f>IFERROR(INDEX('Kode Outlet dan Target Toko'!$D:$D,MATCH($I579,'Kode Outlet dan Target Toko'!$E:$E,0)),0)</f>
        <v>9029389</v>
      </c>
      <c r="I579" s="50" t="s">
        <v>27</v>
      </c>
      <c r="J579" s="27" t="s">
        <v>258</v>
      </c>
      <c r="K579" s="54" t="s">
        <v>13</v>
      </c>
      <c r="L579" s="23">
        <v>3000</v>
      </c>
      <c r="M579" s="24">
        <v>38</v>
      </c>
      <c r="N579" s="25">
        <f t="shared" si="17"/>
        <v>114000</v>
      </c>
      <c r="O579" s="24">
        <v>160</v>
      </c>
    </row>
    <row r="580" spans="1:15" ht="15.75" hidden="1" customHeight="1" x14ac:dyDescent="0.3">
      <c r="A580" s="24">
        <v>25</v>
      </c>
      <c r="B580" s="20" t="str">
        <f t="shared" si="16"/>
        <v>JUN</v>
      </c>
      <c r="C580" s="21">
        <v>46194</v>
      </c>
      <c r="D580" s="22" t="str">
        <f t="array" ref="D580">IFERROR(INDEX('Kode Outlet dan Target Toko'!$A:$A,MATCH($I580,'Kode Outlet dan Target Toko'!$E:$E,0)),"")</f>
        <v>GRSM 4</v>
      </c>
      <c r="E580" s="20" t="str">
        <f>IFERROR(VLOOKUP(I580,KET!$B:$F,4,0),"")</f>
        <v>FAHMI LUKMANUL HAKIM</v>
      </c>
      <c r="F580" s="20" t="str">
        <f>IFERROR(VLOOKUP(I580,KET!$B:$F,5,0),"")</f>
        <v>GMM</v>
      </c>
      <c r="G580" s="20">
        <f>IFERROR(INDEX('Kode Outlet dan Target Toko'!$C:$C,MATCH($I580,'Kode Outlet dan Target Toko'!$E:$E,0)),0)</f>
        <v>103259</v>
      </c>
      <c r="H580" s="20">
        <f>IFERROR(INDEX('Kode Outlet dan Target Toko'!$D:$D,MATCH($I580,'Kode Outlet dan Target Toko'!$E:$E,0)),0)</f>
        <v>9029389</v>
      </c>
      <c r="I580" s="50" t="s">
        <v>27</v>
      </c>
      <c r="J580" s="27" t="s">
        <v>258</v>
      </c>
      <c r="K580" s="54" t="s">
        <v>16</v>
      </c>
      <c r="L580" s="23">
        <v>3000</v>
      </c>
      <c r="M580" s="24">
        <v>182</v>
      </c>
      <c r="N580" s="25">
        <f t="shared" si="17"/>
        <v>546000</v>
      </c>
      <c r="O580" s="24">
        <v>160</v>
      </c>
    </row>
    <row r="581" spans="1:15" ht="15.75" hidden="1" customHeight="1" x14ac:dyDescent="0.3">
      <c r="A581" s="24">
        <v>25</v>
      </c>
      <c r="B581" s="20" t="str">
        <f t="shared" si="16"/>
        <v>JUN</v>
      </c>
      <c r="C581" s="21">
        <v>46194</v>
      </c>
      <c r="D581" s="22" t="str">
        <f t="array" ref="D581">IFERROR(INDEX('Kode Outlet dan Target Toko'!$A:$A,MATCH($I581,'Kode Outlet dan Target Toko'!$E:$E,0)),"")</f>
        <v>GRSM 4</v>
      </c>
      <c r="E581" s="20" t="str">
        <f>IFERROR(VLOOKUP(I581,KET!$B:$F,4,0),"")</f>
        <v>FAHMI LUKMANUL HAKIM</v>
      </c>
      <c r="F581" s="20" t="str">
        <f>IFERROR(VLOOKUP(I581,KET!$B:$F,5,0),"")</f>
        <v>GMM</v>
      </c>
      <c r="G581" s="20">
        <f>IFERROR(INDEX('Kode Outlet dan Target Toko'!$C:$C,MATCH($I581,'Kode Outlet dan Target Toko'!$E:$E,0)),0)</f>
        <v>103259</v>
      </c>
      <c r="H581" s="20">
        <f>IFERROR(INDEX('Kode Outlet dan Target Toko'!$D:$D,MATCH($I581,'Kode Outlet dan Target Toko'!$E:$E,0)),0)</f>
        <v>9029389</v>
      </c>
      <c r="I581" s="51" t="s">
        <v>27</v>
      </c>
      <c r="J581" s="27" t="s">
        <v>179</v>
      </c>
      <c r="K581" s="54" t="s">
        <v>15</v>
      </c>
      <c r="L581" s="23">
        <v>3000</v>
      </c>
      <c r="M581" s="24">
        <v>50</v>
      </c>
      <c r="N581" s="25">
        <f t="shared" si="17"/>
        <v>150000</v>
      </c>
      <c r="O581" s="24">
        <v>160</v>
      </c>
    </row>
    <row r="582" spans="1:15" ht="15.75" hidden="1" customHeight="1" x14ac:dyDescent="0.3">
      <c r="A582" s="24">
        <v>25</v>
      </c>
      <c r="B582" s="20" t="str">
        <f t="shared" si="16"/>
        <v>JUN</v>
      </c>
      <c r="C582" s="21">
        <v>46194</v>
      </c>
      <c r="D582" s="22" t="str">
        <f t="array" ref="D582">IFERROR(INDEX('Kode Outlet dan Target Toko'!$A:$A,MATCH($I582,'Kode Outlet dan Target Toko'!$E:$E,0)),"")</f>
        <v>GRSM 4</v>
      </c>
      <c r="E582" s="20" t="str">
        <f>IFERROR(VLOOKUP(I582,KET!$B:$F,4,0),"")</f>
        <v>FAHMI LUKMANUL HAKIM</v>
      </c>
      <c r="F582" s="20" t="str">
        <f>IFERROR(VLOOKUP(I582,KET!$B:$F,5,0),"")</f>
        <v>GMM</v>
      </c>
      <c r="G582" s="20">
        <f>IFERROR(INDEX('Kode Outlet dan Target Toko'!$C:$C,MATCH($I582,'Kode Outlet dan Target Toko'!$E:$E,0)),0)</f>
        <v>103259</v>
      </c>
      <c r="H582" s="20">
        <f>IFERROR(INDEX('Kode Outlet dan Target Toko'!$D:$D,MATCH($I582,'Kode Outlet dan Target Toko'!$E:$E,0)),0)</f>
        <v>9029389</v>
      </c>
      <c r="I582" s="51" t="s">
        <v>27</v>
      </c>
      <c r="J582" s="27" t="s">
        <v>179</v>
      </c>
      <c r="K582" s="54" t="s">
        <v>14</v>
      </c>
      <c r="L582" s="23">
        <v>3000</v>
      </c>
      <c r="M582" s="24">
        <v>55</v>
      </c>
      <c r="N582" s="25">
        <f t="shared" si="17"/>
        <v>165000</v>
      </c>
      <c r="O582" s="24">
        <v>160</v>
      </c>
    </row>
    <row r="583" spans="1:15" ht="15.75" hidden="1" customHeight="1" x14ac:dyDescent="0.3">
      <c r="A583" s="24">
        <v>25</v>
      </c>
      <c r="B583" s="20" t="str">
        <f t="shared" ref="B583:B646" si="18">IF(C583="","",UPPER(TEXT(C583, "MMM")))</f>
        <v>JUN</v>
      </c>
      <c r="C583" s="21">
        <v>46194</v>
      </c>
      <c r="D583" s="22" t="str">
        <f t="array" ref="D583">IFERROR(INDEX('Kode Outlet dan Target Toko'!$A:$A,MATCH($I583,'Kode Outlet dan Target Toko'!$E:$E,0)),"")</f>
        <v>GRSM 4</v>
      </c>
      <c r="E583" s="20" t="str">
        <f>IFERROR(VLOOKUP(I583,KET!$B:$F,4,0),"")</f>
        <v>FAHMI LUKMANUL HAKIM</v>
      </c>
      <c r="F583" s="20" t="str">
        <f>IFERROR(VLOOKUP(I583,KET!$B:$F,5,0),"")</f>
        <v>GMM</v>
      </c>
      <c r="G583" s="20">
        <f>IFERROR(INDEX('Kode Outlet dan Target Toko'!$C:$C,MATCH($I583,'Kode Outlet dan Target Toko'!$E:$E,0)),0)</f>
        <v>103259</v>
      </c>
      <c r="H583" s="20">
        <f>IFERROR(INDEX('Kode Outlet dan Target Toko'!$D:$D,MATCH($I583,'Kode Outlet dan Target Toko'!$E:$E,0)),0)</f>
        <v>9029389</v>
      </c>
      <c r="I583" s="51" t="s">
        <v>27</v>
      </c>
      <c r="J583" s="27" t="s">
        <v>179</v>
      </c>
      <c r="K583" s="54" t="s">
        <v>13</v>
      </c>
      <c r="L583" s="23">
        <v>3000</v>
      </c>
      <c r="M583" s="24">
        <v>46</v>
      </c>
      <c r="N583" s="25">
        <f t="shared" ref="N583:N646" si="19">IFERROR(M583*L583,"")</f>
        <v>138000</v>
      </c>
      <c r="O583" s="24">
        <v>160</v>
      </c>
    </row>
    <row r="584" spans="1:15" ht="15.75" hidden="1" customHeight="1" x14ac:dyDescent="0.3">
      <c r="A584" s="24">
        <v>25</v>
      </c>
      <c r="B584" s="20" t="str">
        <f t="shared" si="18"/>
        <v>JUN</v>
      </c>
      <c r="C584" s="21">
        <v>46194</v>
      </c>
      <c r="D584" s="22" t="str">
        <f t="array" ref="D584">IFERROR(INDEX('Kode Outlet dan Target Toko'!$A:$A,MATCH($I584,'Kode Outlet dan Target Toko'!$E:$E,0)),"")</f>
        <v>GRSM 4</v>
      </c>
      <c r="E584" s="20" t="str">
        <f>IFERROR(VLOOKUP(I584,KET!$B:$F,4,0),"")</f>
        <v>FAHMI LUKMANUL HAKIM</v>
      </c>
      <c r="F584" s="20" t="str">
        <f>IFERROR(VLOOKUP(I584,KET!$B:$F,5,0),"")</f>
        <v>GMM</v>
      </c>
      <c r="G584" s="20">
        <f>IFERROR(INDEX('Kode Outlet dan Target Toko'!$C:$C,MATCH($I584,'Kode Outlet dan Target Toko'!$E:$E,0)),0)</f>
        <v>103259</v>
      </c>
      <c r="H584" s="20">
        <f>IFERROR(INDEX('Kode Outlet dan Target Toko'!$D:$D,MATCH($I584,'Kode Outlet dan Target Toko'!$E:$E,0)),0)</f>
        <v>9029389</v>
      </c>
      <c r="I584" s="51" t="s">
        <v>27</v>
      </c>
      <c r="J584" s="27" t="s">
        <v>179</v>
      </c>
      <c r="K584" s="54" t="s">
        <v>16</v>
      </c>
      <c r="L584" s="23">
        <v>3000</v>
      </c>
      <c r="M584" s="24">
        <v>202</v>
      </c>
      <c r="N584" s="25">
        <f t="shared" si="19"/>
        <v>606000</v>
      </c>
      <c r="O584" s="24">
        <v>160</v>
      </c>
    </row>
    <row r="585" spans="1:15" ht="15.75" hidden="1" customHeight="1" x14ac:dyDescent="0.3">
      <c r="A585" s="24">
        <v>25</v>
      </c>
      <c r="B585" s="20" t="str">
        <f t="shared" si="18"/>
        <v>JUN</v>
      </c>
      <c r="C585" s="21">
        <v>46194</v>
      </c>
      <c r="D585" s="22" t="str">
        <f t="array" ref="D585">IFERROR(INDEX('Kode Outlet dan Target Toko'!$A:$A,MATCH($I585,'Kode Outlet dan Target Toko'!$E:$E,0)),"")</f>
        <v>GRSM 4</v>
      </c>
      <c r="E585" s="20" t="str">
        <f>IFERROR(VLOOKUP(I585,KET!$B:$F,4,0),"")</f>
        <v>FAHMI LUKMANUL HAKIM</v>
      </c>
      <c r="F585" s="20" t="str">
        <f>IFERROR(VLOOKUP(I585,KET!$B:$F,5,0),"")</f>
        <v>NKA</v>
      </c>
      <c r="G585" s="20">
        <f>IFERROR(INDEX('Kode Outlet dan Target Toko'!$C:$C,MATCH($I585,'Kode Outlet dan Target Toko'!$E:$E,0)),0)</f>
        <v>490034</v>
      </c>
      <c r="H585" s="20">
        <f>IFERROR(INDEX('Kode Outlet dan Target Toko'!$D:$D,MATCH($I585,'Kode Outlet dan Target Toko'!$E:$E,0)),0)</f>
        <v>209554</v>
      </c>
      <c r="I585" s="50" t="s">
        <v>26</v>
      </c>
      <c r="J585" s="27" t="s">
        <v>176</v>
      </c>
      <c r="K585" s="54" t="s">
        <v>15</v>
      </c>
      <c r="L585" s="23">
        <v>3275</v>
      </c>
      <c r="M585" s="24">
        <v>30</v>
      </c>
      <c r="N585" s="25">
        <f t="shared" si="19"/>
        <v>98250</v>
      </c>
      <c r="O585" s="24">
        <v>160</v>
      </c>
    </row>
    <row r="586" spans="1:15" ht="15.75" hidden="1" customHeight="1" x14ac:dyDescent="0.3">
      <c r="A586" s="24">
        <v>25</v>
      </c>
      <c r="B586" s="20" t="str">
        <f t="shared" si="18"/>
        <v>JUN</v>
      </c>
      <c r="C586" s="21">
        <v>46194</v>
      </c>
      <c r="D586" s="22" t="str">
        <f t="array" ref="D586">IFERROR(INDEX('Kode Outlet dan Target Toko'!$A:$A,MATCH($I586,'Kode Outlet dan Target Toko'!$E:$E,0)),"")</f>
        <v>GRSM 4</v>
      </c>
      <c r="E586" s="20" t="str">
        <f>IFERROR(VLOOKUP(I586,KET!$B:$F,4,0),"")</f>
        <v>FAHMI LUKMANUL HAKIM</v>
      </c>
      <c r="F586" s="20" t="str">
        <f>IFERROR(VLOOKUP(I586,KET!$B:$F,5,0),"")</f>
        <v>NKA</v>
      </c>
      <c r="G586" s="20">
        <f>IFERROR(INDEX('Kode Outlet dan Target Toko'!$C:$C,MATCH($I586,'Kode Outlet dan Target Toko'!$E:$E,0)),0)</f>
        <v>490034</v>
      </c>
      <c r="H586" s="20">
        <f>IFERROR(INDEX('Kode Outlet dan Target Toko'!$D:$D,MATCH($I586,'Kode Outlet dan Target Toko'!$E:$E,0)),0)</f>
        <v>209554</v>
      </c>
      <c r="I586" s="50" t="s">
        <v>26</v>
      </c>
      <c r="J586" s="27" t="s">
        <v>176</v>
      </c>
      <c r="K586" s="54" t="s">
        <v>14</v>
      </c>
      <c r="L586" s="23">
        <v>3275</v>
      </c>
      <c r="M586" s="24">
        <v>70</v>
      </c>
      <c r="N586" s="25">
        <f t="shared" si="19"/>
        <v>229250</v>
      </c>
      <c r="O586" s="24">
        <v>160</v>
      </c>
    </row>
    <row r="587" spans="1:15" ht="15.75" hidden="1" customHeight="1" x14ac:dyDescent="0.3">
      <c r="A587" s="24">
        <v>25</v>
      </c>
      <c r="B587" s="20" t="str">
        <f t="shared" si="18"/>
        <v>JUN</v>
      </c>
      <c r="C587" s="21">
        <v>46194</v>
      </c>
      <c r="D587" s="22" t="str">
        <f t="array" ref="D587">IFERROR(INDEX('Kode Outlet dan Target Toko'!$A:$A,MATCH($I587,'Kode Outlet dan Target Toko'!$E:$E,0)),"")</f>
        <v>GRSM 4</v>
      </c>
      <c r="E587" s="20" t="str">
        <f>IFERROR(VLOOKUP(I587,KET!$B:$F,4,0),"")</f>
        <v>FAHMI LUKMANUL HAKIM</v>
      </c>
      <c r="F587" s="20" t="str">
        <f>IFERROR(VLOOKUP(I587,KET!$B:$F,5,0),"")</f>
        <v>NKA</v>
      </c>
      <c r="G587" s="20">
        <f>IFERROR(INDEX('Kode Outlet dan Target Toko'!$C:$C,MATCH($I587,'Kode Outlet dan Target Toko'!$E:$E,0)),0)</f>
        <v>490034</v>
      </c>
      <c r="H587" s="20">
        <f>IFERROR(INDEX('Kode Outlet dan Target Toko'!$D:$D,MATCH($I587,'Kode Outlet dan Target Toko'!$E:$E,0)),0)</f>
        <v>209554</v>
      </c>
      <c r="I587" s="50" t="s">
        <v>26</v>
      </c>
      <c r="J587" s="27" t="s">
        <v>176</v>
      </c>
      <c r="K587" s="54" t="s">
        <v>13</v>
      </c>
      <c r="L587" s="23">
        <v>3275</v>
      </c>
      <c r="M587" s="24">
        <v>30</v>
      </c>
      <c r="N587" s="25">
        <f t="shared" si="19"/>
        <v>98250</v>
      </c>
      <c r="O587" s="24">
        <v>160</v>
      </c>
    </row>
    <row r="588" spans="1:15" ht="15.75" hidden="1" customHeight="1" x14ac:dyDescent="0.3">
      <c r="A588" s="24">
        <v>25</v>
      </c>
      <c r="B588" s="20" t="str">
        <f t="shared" si="18"/>
        <v>JUN</v>
      </c>
      <c r="C588" s="21">
        <v>46194</v>
      </c>
      <c r="D588" s="22" t="str">
        <f t="array" ref="D588">IFERROR(INDEX('Kode Outlet dan Target Toko'!$A:$A,MATCH($I588,'Kode Outlet dan Target Toko'!$E:$E,0)),"")</f>
        <v>GRSM 4</v>
      </c>
      <c r="E588" s="20" t="str">
        <f>IFERROR(VLOOKUP(I588,KET!$B:$F,4,0),"")</f>
        <v>FAHMI LUKMANUL HAKIM</v>
      </c>
      <c r="F588" s="20" t="str">
        <f>IFERROR(VLOOKUP(I588,KET!$B:$F,5,0),"")</f>
        <v>NKA</v>
      </c>
      <c r="G588" s="20">
        <f>IFERROR(INDEX('Kode Outlet dan Target Toko'!$C:$C,MATCH($I588,'Kode Outlet dan Target Toko'!$E:$E,0)),0)</f>
        <v>490034</v>
      </c>
      <c r="H588" s="20">
        <f>IFERROR(INDEX('Kode Outlet dan Target Toko'!$D:$D,MATCH($I588,'Kode Outlet dan Target Toko'!$E:$E,0)),0)</f>
        <v>209554</v>
      </c>
      <c r="I588" s="50" t="s">
        <v>26</v>
      </c>
      <c r="J588" s="27" t="s">
        <v>176</v>
      </c>
      <c r="K588" s="54" t="s">
        <v>16</v>
      </c>
      <c r="L588" s="23">
        <v>3275</v>
      </c>
      <c r="M588" s="24">
        <v>160</v>
      </c>
      <c r="N588" s="25">
        <f t="shared" si="19"/>
        <v>524000</v>
      </c>
      <c r="O588" s="24">
        <v>160</v>
      </c>
    </row>
    <row r="589" spans="1:15" ht="15.75" hidden="1" customHeight="1" x14ac:dyDescent="0.3">
      <c r="A589" s="24">
        <v>25</v>
      </c>
      <c r="B589" s="20" t="str">
        <f t="shared" si="18"/>
        <v>JUN</v>
      </c>
      <c r="C589" s="21">
        <v>46194</v>
      </c>
      <c r="D589" s="22" t="str">
        <f t="array" ref="D589">IFERROR(INDEX('Kode Outlet dan Target Toko'!$A:$A,MATCH($I589,'Kode Outlet dan Target Toko'!$E:$E,0)),"")</f>
        <v>GRSM 4</v>
      </c>
      <c r="E589" s="20" t="str">
        <f>IFERROR(VLOOKUP(I589,KET!$B:$F,4,0),"")</f>
        <v>FAHMI LUKMANUL HAKIM</v>
      </c>
      <c r="F589" s="20" t="str">
        <f>IFERROR(VLOOKUP(I589,KET!$B:$F,5,0),"")</f>
        <v>NKA</v>
      </c>
      <c r="G589" s="20">
        <f>IFERROR(INDEX('Kode Outlet dan Target Toko'!$C:$C,MATCH($I589,'Kode Outlet dan Target Toko'!$E:$E,0)),0)</f>
        <v>490034</v>
      </c>
      <c r="H589" s="20">
        <f>IFERROR(INDEX('Kode Outlet dan Target Toko'!$D:$D,MATCH($I589,'Kode Outlet dan Target Toko'!$E:$E,0)),0)</f>
        <v>209554</v>
      </c>
      <c r="I589" s="50" t="s">
        <v>26</v>
      </c>
      <c r="J589" s="19" t="s">
        <v>177</v>
      </c>
      <c r="K589" s="54" t="s">
        <v>15</v>
      </c>
      <c r="L589" s="23">
        <v>3275</v>
      </c>
      <c r="M589" s="24">
        <v>30</v>
      </c>
      <c r="N589" s="25">
        <f t="shared" si="19"/>
        <v>98250</v>
      </c>
      <c r="O589" s="24">
        <v>160</v>
      </c>
    </row>
    <row r="590" spans="1:15" ht="15.75" hidden="1" customHeight="1" x14ac:dyDescent="0.3">
      <c r="A590" s="24">
        <v>25</v>
      </c>
      <c r="B590" s="20" t="str">
        <f t="shared" si="18"/>
        <v>JUN</v>
      </c>
      <c r="C590" s="21">
        <v>46194</v>
      </c>
      <c r="D590" s="22" t="str">
        <f t="array" ref="D590">IFERROR(INDEX('Kode Outlet dan Target Toko'!$A:$A,MATCH($I590,'Kode Outlet dan Target Toko'!$E:$E,0)),"")</f>
        <v>GRSM 4</v>
      </c>
      <c r="E590" s="20" t="str">
        <f>IFERROR(VLOOKUP(I590,KET!$B:$F,4,0),"")</f>
        <v>FAHMI LUKMANUL HAKIM</v>
      </c>
      <c r="F590" s="20" t="str">
        <f>IFERROR(VLOOKUP(I590,KET!$B:$F,5,0),"")</f>
        <v>NKA</v>
      </c>
      <c r="G590" s="20">
        <f>IFERROR(INDEX('Kode Outlet dan Target Toko'!$C:$C,MATCH($I590,'Kode Outlet dan Target Toko'!$E:$E,0)),0)</f>
        <v>490034</v>
      </c>
      <c r="H590" s="20">
        <f>IFERROR(INDEX('Kode Outlet dan Target Toko'!$D:$D,MATCH($I590,'Kode Outlet dan Target Toko'!$E:$E,0)),0)</f>
        <v>209554</v>
      </c>
      <c r="I590" s="50" t="s">
        <v>26</v>
      </c>
      <c r="J590" s="19" t="s">
        <v>177</v>
      </c>
      <c r="K590" s="54" t="s">
        <v>14</v>
      </c>
      <c r="L590" s="23">
        <v>3275</v>
      </c>
      <c r="M590" s="24">
        <v>70</v>
      </c>
      <c r="N590" s="25">
        <f t="shared" si="19"/>
        <v>229250</v>
      </c>
      <c r="O590" s="24">
        <v>160</v>
      </c>
    </row>
    <row r="591" spans="1:15" ht="15.75" hidden="1" customHeight="1" x14ac:dyDescent="0.3">
      <c r="A591" s="24">
        <v>25</v>
      </c>
      <c r="B591" s="20" t="str">
        <f t="shared" si="18"/>
        <v>JUN</v>
      </c>
      <c r="C591" s="21">
        <v>46194</v>
      </c>
      <c r="D591" s="22" t="str">
        <f t="array" ref="D591">IFERROR(INDEX('Kode Outlet dan Target Toko'!$A:$A,MATCH($I591,'Kode Outlet dan Target Toko'!$E:$E,0)),"")</f>
        <v>GRSM 4</v>
      </c>
      <c r="E591" s="20" t="str">
        <f>IFERROR(VLOOKUP(I591,KET!$B:$F,4,0),"")</f>
        <v>FAHMI LUKMANUL HAKIM</v>
      </c>
      <c r="F591" s="20" t="str">
        <f>IFERROR(VLOOKUP(I591,KET!$B:$F,5,0),"")</f>
        <v>NKA</v>
      </c>
      <c r="G591" s="20">
        <f>IFERROR(INDEX('Kode Outlet dan Target Toko'!$C:$C,MATCH($I591,'Kode Outlet dan Target Toko'!$E:$E,0)),0)</f>
        <v>490034</v>
      </c>
      <c r="H591" s="20">
        <f>IFERROR(INDEX('Kode Outlet dan Target Toko'!$D:$D,MATCH($I591,'Kode Outlet dan Target Toko'!$E:$E,0)),0)</f>
        <v>209554</v>
      </c>
      <c r="I591" s="50" t="s">
        <v>26</v>
      </c>
      <c r="J591" s="19" t="s">
        <v>177</v>
      </c>
      <c r="K591" s="54" t="s">
        <v>13</v>
      </c>
      <c r="L591" s="23">
        <v>3275</v>
      </c>
      <c r="M591" s="24">
        <v>30</v>
      </c>
      <c r="N591" s="25">
        <f t="shared" si="19"/>
        <v>98250</v>
      </c>
      <c r="O591" s="24">
        <v>160</v>
      </c>
    </row>
    <row r="592" spans="1:15" ht="15.75" hidden="1" customHeight="1" x14ac:dyDescent="0.3">
      <c r="A592" s="24">
        <v>25</v>
      </c>
      <c r="B592" s="20" t="str">
        <f t="shared" si="18"/>
        <v>JUN</v>
      </c>
      <c r="C592" s="21">
        <v>46194</v>
      </c>
      <c r="D592" s="22" t="str">
        <f t="array" ref="D592">IFERROR(INDEX('Kode Outlet dan Target Toko'!$A:$A,MATCH($I592,'Kode Outlet dan Target Toko'!$E:$E,0)),"")</f>
        <v>GRSM 4</v>
      </c>
      <c r="E592" s="20" t="str">
        <f>IFERROR(VLOOKUP(I592,KET!$B:$F,4,0),"")</f>
        <v>FAHMI LUKMANUL HAKIM</v>
      </c>
      <c r="F592" s="20" t="str">
        <f>IFERROR(VLOOKUP(I592,KET!$B:$F,5,0),"")</f>
        <v>NKA</v>
      </c>
      <c r="G592" s="20">
        <f>IFERROR(INDEX('Kode Outlet dan Target Toko'!$C:$C,MATCH($I592,'Kode Outlet dan Target Toko'!$E:$E,0)),0)</f>
        <v>490034</v>
      </c>
      <c r="H592" s="20">
        <f>IFERROR(INDEX('Kode Outlet dan Target Toko'!$D:$D,MATCH($I592,'Kode Outlet dan Target Toko'!$E:$E,0)),0)</f>
        <v>209554</v>
      </c>
      <c r="I592" s="50" t="s">
        <v>26</v>
      </c>
      <c r="J592" s="19" t="s">
        <v>177</v>
      </c>
      <c r="K592" s="54" t="s">
        <v>16</v>
      </c>
      <c r="L592" s="23">
        <v>3275</v>
      </c>
      <c r="M592" s="24">
        <v>160</v>
      </c>
      <c r="N592" s="25">
        <f t="shared" si="19"/>
        <v>524000</v>
      </c>
      <c r="O592" s="24">
        <v>160</v>
      </c>
    </row>
    <row r="593" spans="1:15" ht="15.75" hidden="1" customHeight="1" x14ac:dyDescent="0.3">
      <c r="A593" s="24">
        <v>25</v>
      </c>
      <c r="B593" s="20" t="str">
        <f t="shared" si="18"/>
        <v>JUN</v>
      </c>
      <c r="C593" s="21">
        <v>46194</v>
      </c>
      <c r="D593" s="22" t="str">
        <f t="array" ref="D593">IFERROR(INDEX('Kode Outlet dan Target Toko'!$A:$A,MATCH($I593,'Kode Outlet dan Target Toko'!$E:$E,0)),"")</f>
        <v>GRSM 4</v>
      </c>
      <c r="E593" s="20" t="str">
        <f>IFERROR(VLOOKUP(I593,KET!$B:$F,4,0),"")</f>
        <v>FAHMI LUKMANUL HAKIM</v>
      </c>
      <c r="F593" s="20" t="str">
        <f>IFERROR(VLOOKUP(I593,KET!$B:$F,5,0),"")</f>
        <v>GMM</v>
      </c>
      <c r="G593" s="20">
        <f>IFERROR(INDEX('Kode Outlet dan Target Toko'!$C:$C,MATCH($I593,'Kode Outlet dan Target Toko'!$E:$E,0)),0)</f>
        <v>103277</v>
      </c>
      <c r="H593" s="20">
        <f>IFERROR(INDEX('Kode Outlet dan Target Toko'!$D:$D,MATCH($I593,'Kode Outlet dan Target Toko'!$E:$E,0)),0)</f>
        <v>6301424</v>
      </c>
      <c r="I593" s="50" t="s">
        <v>25</v>
      </c>
      <c r="J593" s="56" t="s">
        <v>183</v>
      </c>
      <c r="K593" s="54" t="s">
        <v>15</v>
      </c>
      <c r="L593" s="23">
        <v>3000</v>
      </c>
      <c r="M593" s="24">
        <v>15</v>
      </c>
      <c r="N593" s="25">
        <f t="shared" si="19"/>
        <v>45000</v>
      </c>
      <c r="O593" s="24"/>
    </row>
    <row r="594" spans="1:15" ht="15.75" hidden="1" customHeight="1" x14ac:dyDescent="0.3">
      <c r="A594" s="24">
        <v>26</v>
      </c>
      <c r="B594" s="20" t="str">
        <f t="shared" si="18"/>
        <v>JUN</v>
      </c>
      <c r="C594" s="21">
        <v>46199</v>
      </c>
      <c r="D594" s="22" t="str">
        <f t="array" ref="D594">IFERROR(INDEX('Kode Outlet dan Target Toko'!$A:$A,MATCH($I594,'Kode Outlet dan Target Toko'!$E:$E,0)),"")</f>
        <v>GRSM 4</v>
      </c>
      <c r="E594" s="20" t="str">
        <f>IFERROR(VLOOKUP(I594,KET!$B:$F,4,0),"")</f>
        <v>FAHMI LUKMANUL HAKIM</v>
      </c>
      <c r="F594" s="20" t="str">
        <f>IFERROR(VLOOKUP(I594,KET!$B:$F,5,0),"")</f>
        <v>GMM</v>
      </c>
      <c r="G594" s="20">
        <f>IFERROR(INDEX('Kode Outlet dan Target Toko'!$C:$C,MATCH($I594,'Kode Outlet dan Target Toko'!$E:$E,0)),0)</f>
        <v>103257</v>
      </c>
      <c r="H594" s="20">
        <f>IFERROR(INDEX('Kode Outlet dan Target Toko'!$D:$D,MATCH($I594,'Kode Outlet dan Target Toko'!$E:$E,0)),0)</f>
        <v>9162509</v>
      </c>
      <c r="I594" s="41" t="s">
        <v>23</v>
      </c>
      <c r="J594" s="27" t="s">
        <v>180</v>
      </c>
      <c r="K594" s="39" t="s">
        <v>15</v>
      </c>
      <c r="L594" s="29">
        <v>3200</v>
      </c>
      <c r="M594" s="24">
        <v>58</v>
      </c>
      <c r="N594" s="25">
        <f t="shared" si="19"/>
        <v>185600</v>
      </c>
      <c r="O594" s="24"/>
    </row>
    <row r="595" spans="1:15" ht="15.75" hidden="1" customHeight="1" x14ac:dyDescent="0.3">
      <c r="A595" s="24">
        <v>26</v>
      </c>
      <c r="B595" s="20" t="str">
        <f t="shared" si="18"/>
        <v>JUN</v>
      </c>
      <c r="C595" s="21">
        <v>46199</v>
      </c>
      <c r="D595" s="22" t="str">
        <f t="array" ref="D595">IFERROR(INDEX('Kode Outlet dan Target Toko'!$A:$A,MATCH($I595,'Kode Outlet dan Target Toko'!$E:$E,0)),"")</f>
        <v>GRSM 4</v>
      </c>
      <c r="E595" s="20" t="str">
        <f>IFERROR(VLOOKUP(I595,KET!$B:$F,4,0),"")</f>
        <v>FAHMI LUKMANUL HAKIM</v>
      </c>
      <c r="F595" s="20" t="str">
        <f>IFERROR(VLOOKUP(I595,KET!$B:$F,5,0),"")</f>
        <v>GMM</v>
      </c>
      <c r="G595" s="20">
        <f>IFERROR(INDEX('Kode Outlet dan Target Toko'!$C:$C,MATCH($I595,'Kode Outlet dan Target Toko'!$E:$E,0)),0)</f>
        <v>103257</v>
      </c>
      <c r="H595" s="20">
        <f>IFERROR(INDEX('Kode Outlet dan Target Toko'!$D:$D,MATCH($I595,'Kode Outlet dan Target Toko'!$E:$E,0)),0)</f>
        <v>9162509</v>
      </c>
      <c r="I595" s="41" t="s">
        <v>23</v>
      </c>
      <c r="J595" s="27" t="s">
        <v>180</v>
      </c>
      <c r="K595" s="39" t="s">
        <v>14</v>
      </c>
      <c r="L595" s="29">
        <v>3200</v>
      </c>
      <c r="M595" s="24">
        <v>64</v>
      </c>
      <c r="N595" s="25">
        <f t="shared" si="19"/>
        <v>204800</v>
      </c>
      <c r="O595" s="24"/>
    </row>
    <row r="596" spans="1:15" ht="15.75" hidden="1" customHeight="1" x14ac:dyDescent="0.3">
      <c r="A596" s="24">
        <v>26</v>
      </c>
      <c r="B596" s="20" t="str">
        <f t="shared" si="18"/>
        <v>JUN</v>
      </c>
      <c r="C596" s="21">
        <v>46199</v>
      </c>
      <c r="D596" s="22" t="str">
        <f t="array" ref="D596">IFERROR(INDEX('Kode Outlet dan Target Toko'!$A:$A,MATCH($I596,'Kode Outlet dan Target Toko'!$E:$E,0)),"")</f>
        <v>GRSM 4</v>
      </c>
      <c r="E596" s="20" t="str">
        <f>IFERROR(VLOOKUP(I596,KET!$B:$F,4,0),"")</f>
        <v>FAHMI LUKMANUL HAKIM</v>
      </c>
      <c r="F596" s="20" t="str">
        <f>IFERROR(VLOOKUP(I596,KET!$B:$F,5,0),"")</f>
        <v>GMM</v>
      </c>
      <c r="G596" s="20">
        <f>IFERROR(INDEX('Kode Outlet dan Target Toko'!$C:$C,MATCH($I596,'Kode Outlet dan Target Toko'!$E:$E,0)),0)</f>
        <v>103257</v>
      </c>
      <c r="H596" s="20">
        <f>IFERROR(INDEX('Kode Outlet dan Target Toko'!$D:$D,MATCH($I596,'Kode Outlet dan Target Toko'!$E:$E,0)),0)</f>
        <v>9162509</v>
      </c>
      <c r="I596" s="41" t="s">
        <v>23</v>
      </c>
      <c r="J596" s="27" t="s">
        <v>180</v>
      </c>
      <c r="K596" s="39" t="s">
        <v>13</v>
      </c>
      <c r="L596" s="29">
        <v>3200</v>
      </c>
      <c r="M596" s="24">
        <v>55</v>
      </c>
      <c r="N596" s="25">
        <f t="shared" si="19"/>
        <v>176000</v>
      </c>
      <c r="O596" s="24"/>
    </row>
    <row r="597" spans="1:15" ht="15.75" hidden="1" customHeight="1" x14ac:dyDescent="0.3">
      <c r="A597" s="24">
        <v>26</v>
      </c>
      <c r="B597" s="20" t="str">
        <f t="shared" si="18"/>
        <v>JUN</v>
      </c>
      <c r="C597" s="21">
        <v>46199</v>
      </c>
      <c r="D597" s="22" t="str">
        <f t="array" ref="D597">IFERROR(INDEX('Kode Outlet dan Target Toko'!$A:$A,MATCH($I597,'Kode Outlet dan Target Toko'!$E:$E,0)),"")</f>
        <v>GRSM 4</v>
      </c>
      <c r="E597" s="20" t="str">
        <f>IFERROR(VLOOKUP(I597,KET!$B:$F,4,0),"")</f>
        <v>FAHMI LUKMANUL HAKIM</v>
      </c>
      <c r="F597" s="20" t="str">
        <f>IFERROR(VLOOKUP(I597,KET!$B:$F,5,0),"")</f>
        <v>GMM</v>
      </c>
      <c r="G597" s="20">
        <f>IFERROR(INDEX('Kode Outlet dan Target Toko'!$C:$C,MATCH($I597,'Kode Outlet dan Target Toko'!$E:$E,0)),0)</f>
        <v>103257</v>
      </c>
      <c r="H597" s="20">
        <f>IFERROR(INDEX('Kode Outlet dan Target Toko'!$D:$D,MATCH($I597,'Kode Outlet dan Target Toko'!$E:$E,0)),0)</f>
        <v>9162509</v>
      </c>
      <c r="I597" s="41" t="s">
        <v>23</v>
      </c>
      <c r="J597" s="27" t="s">
        <v>180</v>
      </c>
      <c r="K597" s="39" t="s">
        <v>16</v>
      </c>
      <c r="L597" s="29">
        <v>3200</v>
      </c>
      <c r="M597" s="24">
        <v>93</v>
      </c>
      <c r="N597" s="25">
        <f t="shared" si="19"/>
        <v>297600</v>
      </c>
      <c r="O597" s="24">
        <v>160</v>
      </c>
    </row>
    <row r="598" spans="1:15" ht="15.75" hidden="1" customHeight="1" x14ac:dyDescent="0.3">
      <c r="A598" s="24">
        <v>26</v>
      </c>
      <c r="B598" s="20" t="str">
        <f t="shared" si="18"/>
        <v>JUN</v>
      </c>
      <c r="C598" s="21">
        <v>46199</v>
      </c>
      <c r="D598" s="22" t="str">
        <f t="array" ref="D598">IFERROR(INDEX('Kode Outlet dan Target Toko'!$A:$A,MATCH($I598,'Kode Outlet dan Target Toko'!$E:$E,0)),"")</f>
        <v>GRSM 4</v>
      </c>
      <c r="E598" s="20" t="str">
        <f>IFERROR(VLOOKUP(I598,KET!$B:$F,4,0),"")</f>
        <v>FAHMI LUKMANUL HAKIM</v>
      </c>
      <c r="F598" s="20" t="str">
        <f>IFERROR(VLOOKUP(I598,KET!$B:$F,5,0),"")</f>
        <v>GMM</v>
      </c>
      <c r="G598" s="20">
        <f>IFERROR(INDEX('Kode Outlet dan Target Toko'!$C:$C,MATCH($I598,'Kode Outlet dan Target Toko'!$E:$E,0)),0)</f>
        <v>103257</v>
      </c>
      <c r="H598" s="20">
        <f>IFERROR(INDEX('Kode Outlet dan Target Toko'!$D:$D,MATCH($I598,'Kode Outlet dan Target Toko'!$E:$E,0)),0)</f>
        <v>9162509</v>
      </c>
      <c r="I598" s="41" t="s">
        <v>23</v>
      </c>
      <c r="J598" s="56" t="s">
        <v>181</v>
      </c>
      <c r="K598" s="39" t="s">
        <v>15</v>
      </c>
      <c r="L598" s="29">
        <v>3200</v>
      </c>
      <c r="M598" s="24">
        <v>55</v>
      </c>
      <c r="N598" s="25">
        <f t="shared" si="19"/>
        <v>176000</v>
      </c>
      <c r="O598" s="24"/>
    </row>
    <row r="599" spans="1:15" ht="15.75" hidden="1" customHeight="1" x14ac:dyDescent="0.3">
      <c r="A599" s="24">
        <v>26</v>
      </c>
      <c r="B599" s="20" t="str">
        <f t="shared" si="18"/>
        <v>JUN</v>
      </c>
      <c r="C599" s="21">
        <v>46199</v>
      </c>
      <c r="D599" s="22" t="str">
        <f t="array" ref="D599">IFERROR(INDEX('Kode Outlet dan Target Toko'!$A:$A,MATCH($I599,'Kode Outlet dan Target Toko'!$E:$E,0)),"")</f>
        <v>GRSM 4</v>
      </c>
      <c r="E599" s="20" t="str">
        <f>IFERROR(VLOOKUP(I599,KET!$B:$F,4,0),"")</f>
        <v>FAHMI LUKMANUL HAKIM</v>
      </c>
      <c r="F599" s="20" t="str">
        <f>IFERROR(VLOOKUP(I599,KET!$B:$F,5,0),"")</f>
        <v>GMM</v>
      </c>
      <c r="G599" s="20">
        <f>IFERROR(INDEX('Kode Outlet dan Target Toko'!$C:$C,MATCH($I599,'Kode Outlet dan Target Toko'!$E:$E,0)),0)</f>
        <v>103257</v>
      </c>
      <c r="H599" s="20">
        <f>IFERROR(INDEX('Kode Outlet dan Target Toko'!$D:$D,MATCH($I599,'Kode Outlet dan Target Toko'!$E:$E,0)),0)</f>
        <v>9162509</v>
      </c>
      <c r="I599" s="41" t="s">
        <v>23</v>
      </c>
      <c r="J599" s="56" t="s">
        <v>181</v>
      </c>
      <c r="K599" s="39" t="s">
        <v>14</v>
      </c>
      <c r="L599" s="29">
        <v>3200</v>
      </c>
      <c r="M599" s="24">
        <v>62</v>
      </c>
      <c r="N599" s="25">
        <f t="shared" si="19"/>
        <v>198400</v>
      </c>
      <c r="O599" s="24"/>
    </row>
    <row r="600" spans="1:15" ht="15.75" hidden="1" customHeight="1" x14ac:dyDescent="0.3">
      <c r="A600" s="24">
        <v>26</v>
      </c>
      <c r="B600" s="20" t="str">
        <f t="shared" si="18"/>
        <v>JUN</v>
      </c>
      <c r="C600" s="21">
        <v>46199</v>
      </c>
      <c r="D600" s="22" t="str">
        <f t="array" ref="D600">IFERROR(INDEX('Kode Outlet dan Target Toko'!$A:$A,MATCH($I600,'Kode Outlet dan Target Toko'!$E:$E,0)),"")</f>
        <v>GRSM 4</v>
      </c>
      <c r="E600" s="20" t="str">
        <f>IFERROR(VLOOKUP(I600,KET!$B:$F,4,0),"")</f>
        <v>FAHMI LUKMANUL HAKIM</v>
      </c>
      <c r="F600" s="20" t="str">
        <f>IFERROR(VLOOKUP(I600,KET!$B:$F,5,0),"")</f>
        <v>GMM</v>
      </c>
      <c r="G600" s="20">
        <f>IFERROR(INDEX('Kode Outlet dan Target Toko'!$C:$C,MATCH($I600,'Kode Outlet dan Target Toko'!$E:$E,0)),0)</f>
        <v>103257</v>
      </c>
      <c r="H600" s="20">
        <f>IFERROR(INDEX('Kode Outlet dan Target Toko'!$D:$D,MATCH($I600,'Kode Outlet dan Target Toko'!$E:$E,0)),0)</f>
        <v>9162509</v>
      </c>
      <c r="I600" s="41" t="s">
        <v>23</v>
      </c>
      <c r="J600" s="56" t="s">
        <v>181</v>
      </c>
      <c r="K600" s="39" t="s">
        <v>13</v>
      </c>
      <c r="L600" s="29">
        <v>3200</v>
      </c>
      <c r="M600" s="24">
        <v>53</v>
      </c>
      <c r="N600" s="25">
        <f t="shared" si="19"/>
        <v>169600</v>
      </c>
      <c r="O600" s="24"/>
    </row>
    <row r="601" spans="1:15" ht="15.75" hidden="1" customHeight="1" x14ac:dyDescent="0.3">
      <c r="A601" s="24">
        <v>26</v>
      </c>
      <c r="B601" s="20" t="str">
        <f t="shared" si="18"/>
        <v>JUN</v>
      </c>
      <c r="C601" s="21">
        <v>46199</v>
      </c>
      <c r="D601" s="22" t="str">
        <f t="array" ref="D601">IFERROR(INDEX('Kode Outlet dan Target Toko'!$A:$A,MATCH($I601,'Kode Outlet dan Target Toko'!$E:$E,0)),"")</f>
        <v>GRSM 4</v>
      </c>
      <c r="E601" s="20" t="str">
        <f>IFERROR(VLOOKUP(I601,KET!$B:$F,4,0),"")</f>
        <v>FAHMI LUKMANUL HAKIM</v>
      </c>
      <c r="F601" s="20" t="str">
        <f>IFERROR(VLOOKUP(I601,KET!$B:$F,5,0),"")</f>
        <v>GMM</v>
      </c>
      <c r="G601" s="20">
        <f>IFERROR(INDEX('Kode Outlet dan Target Toko'!$C:$C,MATCH($I601,'Kode Outlet dan Target Toko'!$E:$E,0)),0)</f>
        <v>103257</v>
      </c>
      <c r="H601" s="20">
        <f>IFERROR(INDEX('Kode Outlet dan Target Toko'!$D:$D,MATCH($I601,'Kode Outlet dan Target Toko'!$E:$E,0)),0)</f>
        <v>9162509</v>
      </c>
      <c r="I601" s="41" t="s">
        <v>23</v>
      </c>
      <c r="J601" s="56" t="s">
        <v>181</v>
      </c>
      <c r="K601" s="39" t="s">
        <v>16</v>
      </c>
      <c r="L601" s="29">
        <v>3200</v>
      </c>
      <c r="M601" s="24">
        <v>91</v>
      </c>
      <c r="N601" s="25">
        <f t="shared" si="19"/>
        <v>291200</v>
      </c>
      <c r="O601" s="24">
        <v>160</v>
      </c>
    </row>
    <row r="602" spans="1:15" ht="15.75" hidden="1" customHeight="1" x14ac:dyDescent="0.3">
      <c r="A602" s="24">
        <v>26</v>
      </c>
      <c r="B602" s="20" t="str">
        <f t="shared" si="18"/>
        <v>JUN</v>
      </c>
      <c r="C602" s="21">
        <v>46199</v>
      </c>
      <c r="D602" s="22" t="str">
        <f t="array" ref="D602">IFERROR(INDEX('Kode Outlet dan Target Toko'!$A:$A,MATCH($I602,'Kode Outlet dan Target Toko'!$E:$E,0)),"")</f>
        <v>GRSM 3A</v>
      </c>
      <c r="E602" s="20" t="str">
        <f>IFERROR(VLOOKUP(I602,KET!$B:$F,4,0),"")</f>
        <v>FAHMI LUKMANUL HAKIM</v>
      </c>
      <c r="F602" s="20" t="str">
        <f>IFERROR(VLOOKUP(I602,KET!$B:$F,5,0),"")</f>
        <v>GMM</v>
      </c>
      <c r="G602" s="20">
        <f>IFERROR(INDEX('Kode Outlet dan Target Toko'!$C:$C,MATCH($I602,'Kode Outlet dan Target Toko'!$E:$E,0)),0)</f>
        <v>103272</v>
      </c>
      <c r="H602" s="20">
        <f>IFERROR(INDEX('Kode Outlet dan Target Toko'!$D:$D,MATCH($I602,'Kode Outlet dan Target Toko'!$E:$E,0)),0)</f>
        <v>1178</v>
      </c>
      <c r="I602" s="51" t="s">
        <v>22</v>
      </c>
      <c r="J602" s="27" t="s">
        <v>259</v>
      </c>
      <c r="K602" s="39" t="s">
        <v>15</v>
      </c>
      <c r="L602" s="29">
        <v>3145</v>
      </c>
      <c r="M602" s="24">
        <v>18</v>
      </c>
      <c r="N602" s="25">
        <f t="shared" si="19"/>
        <v>56610</v>
      </c>
      <c r="O602" s="24"/>
    </row>
    <row r="603" spans="1:15" ht="15.75" hidden="1" customHeight="1" x14ac:dyDescent="0.3">
      <c r="A603" s="24">
        <v>26</v>
      </c>
      <c r="B603" s="20" t="str">
        <f t="shared" si="18"/>
        <v>JUN</v>
      </c>
      <c r="C603" s="21">
        <v>46199</v>
      </c>
      <c r="D603" s="22" t="str">
        <f t="array" ref="D603">IFERROR(INDEX('Kode Outlet dan Target Toko'!$A:$A,MATCH($I603,'Kode Outlet dan Target Toko'!$E:$E,0)),"")</f>
        <v>GRSM 3A</v>
      </c>
      <c r="E603" s="20" t="str">
        <f>IFERROR(VLOOKUP(I603,KET!$B:$F,4,0),"")</f>
        <v>FAHMI LUKMANUL HAKIM</v>
      </c>
      <c r="F603" s="20" t="str">
        <f>IFERROR(VLOOKUP(I603,KET!$B:$F,5,0),"")</f>
        <v>GMM</v>
      </c>
      <c r="G603" s="20">
        <f>IFERROR(INDEX('Kode Outlet dan Target Toko'!$C:$C,MATCH($I603,'Kode Outlet dan Target Toko'!$E:$E,0)),0)</f>
        <v>103272</v>
      </c>
      <c r="H603" s="20">
        <f>IFERROR(INDEX('Kode Outlet dan Target Toko'!$D:$D,MATCH($I603,'Kode Outlet dan Target Toko'!$E:$E,0)),0)</f>
        <v>1178</v>
      </c>
      <c r="I603" s="51" t="s">
        <v>22</v>
      </c>
      <c r="J603" s="27" t="s">
        <v>259</v>
      </c>
      <c r="K603" s="39" t="s">
        <v>14</v>
      </c>
      <c r="L603" s="29">
        <v>3145</v>
      </c>
      <c r="M603" s="24">
        <v>39</v>
      </c>
      <c r="N603" s="25">
        <f t="shared" si="19"/>
        <v>122655</v>
      </c>
      <c r="O603" s="24"/>
    </row>
    <row r="604" spans="1:15" ht="15.75" hidden="1" customHeight="1" x14ac:dyDescent="0.3">
      <c r="A604" s="24">
        <v>26</v>
      </c>
      <c r="B604" s="20" t="str">
        <f t="shared" si="18"/>
        <v>JUN</v>
      </c>
      <c r="C604" s="21">
        <v>46199</v>
      </c>
      <c r="D604" s="22" t="str">
        <f t="array" ref="D604">IFERROR(INDEX('Kode Outlet dan Target Toko'!$A:$A,MATCH($I604,'Kode Outlet dan Target Toko'!$E:$E,0)),"")</f>
        <v>GRSM 3A</v>
      </c>
      <c r="E604" s="20" t="str">
        <f>IFERROR(VLOOKUP(I604,KET!$B:$F,4,0),"")</f>
        <v>FAHMI LUKMANUL HAKIM</v>
      </c>
      <c r="F604" s="20" t="str">
        <f>IFERROR(VLOOKUP(I604,KET!$B:$F,5,0),"")</f>
        <v>GMM</v>
      </c>
      <c r="G604" s="20">
        <f>IFERROR(INDEX('Kode Outlet dan Target Toko'!$C:$C,MATCH($I604,'Kode Outlet dan Target Toko'!$E:$E,0)),0)</f>
        <v>103272</v>
      </c>
      <c r="H604" s="20">
        <f>IFERROR(INDEX('Kode Outlet dan Target Toko'!$D:$D,MATCH($I604,'Kode Outlet dan Target Toko'!$E:$E,0)),0)</f>
        <v>1178</v>
      </c>
      <c r="I604" s="51" t="s">
        <v>22</v>
      </c>
      <c r="J604" s="27" t="s">
        <v>259</v>
      </c>
      <c r="K604" s="39" t="s">
        <v>13</v>
      </c>
      <c r="L604" s="29">
        <v>3145</v>
      </c>
      <c r="M604" s="24">
        <v>10</v>
      </c>
      <c r="N604" s="25">
        <f t="shared" si="19"/>
        <v>31450</v>
      </c>
      <c r="O604" s="24"/>
    </row>
    <row r="605" spans="1:15" ht="15.75" hidden="1" customHeight="1" x14ac:dyDescent="0.3">
      <c r="A605" s="24">
        <v>26</v>
      </c>
      <c r="B605" s="20" t="str">
        <f t="shared" si="18"/>
        <v>JUN</v>
      </c>
      <c r="C605" s="21">
        <v>46199</v>
      </c>
      <c r="D605" s="22" t="str">
        <f t="array" ref="D605">IFERROR(INDEX('Kode Outlet dan Target Toko'!$A:$A,MATCH($I605,'Kode Outlet dan Target Toko'!$E:$E,0)),"")</f>
        <v>GRSM 3A</v>
      </c>
      <c r="E605" s="20" t="str">
        <f>IFERROR(VLOOKUP(I605,KET!$B:$F,4,0),"")</f>
        <v>FAHMI LUKMANUL HAKIM</v>
      </c>
      <c r="F605" s="20" t="str">
        <f>IFERROR(VLOOKUP(I605,KET!$B:$F,5,0),"")</f>
        <v>GMM</v>
      </c>
      <c r="G605" s="20">
        <f>IFERROR(INDEX('Kode Outlet dan Target Toko'!$C:$C,MATCH($I605,'Kode Outlet dan Target Toko'!$E:$E,0)),0)</f>
        <v>103272</v>
      </c>
      <c r="H605" s="20">
        <f>IFERROR(INDEX('Kode Outlet dan Target Toko'!$D:$D,MATCH($I605,'Kode Outlet dan Target Toko'!$E:$E,0)),0)</f>
        <v>1178</v>
      </c>
      <c r="I605" s="51" t="s">
        <v>22</v>
      </c>
      <c r="J605" s="27" t="s">
        <v>259</v>
      </c>
      <c r="K605" s="39" t="s">
        <v>16</v>
      </c>
      <c r="L605" s="29">
        <v>3145</v>
      </c>
      <c r="M605" s="24">
        <v>131</v>
      </c>
      <c r="N605" s="25">
        <f t="shared" si="19"/>
        <v>411995</v>
      </c>
      <c r="O605" s="24">
        <v>100</v>
      </c>
    </row>
    <row r="606" spans="1:15" ht="15.75" hidden="1" customHeight="1" x14ac:dyDescent="0.3">
      <c r="A606" s="24">
        <v>26</v>
      </c>
      <c r="B606" s="20" t="str">
        <f t="shared" si="18"/>
        <v>JUN</v>
      </c>
      <c r="C606" s="21">
        <v>46199</v>
      </c>
      <c r="D606" s="22" t="str">
        <f t="array" ref="D606">IFERROR(INDEX('Kode Outlet dan Target Toko'!$A:$A,MATCH($I606,'Kode Outlet dan Target Toko'!$E:$E,0)),"")</f>
        <v>GRSM 3A</v>
      </c>
      <c r="E606" s="20" t="str">
        <f>IFERROR(VLOOKUP(I606,KET!$B:$F,4,0),"")</f>
        <v>FAHMI LUKMANUL HAKIM</v>
      </c>
      <c r="F606" s="20" t="str">
        <f>IFERROR(VLOOKUP(I606,KET!$B:$F,5,0),"")</f>
        <v>GMM</v>
      </c>
      <c r="G606" s="20">
        <f>IFERROR(INDEX('Kode Outlet dan Target Toko'!$C:$C,MATCH($I606,'Kode Outlet dan Target Toko'!$E:$E,0)),0)</f>
        <v>103272</v>
      </c>
      <c r="H606" s="20">
        <f>IFERROR(INDEX('Kode Outlet dan Target Toko'!$D:$D,MATCH($I606,'Kode Outlet dan Target Toko'!$E:$E,0)),0)</f>
        <v>1178</v>
      </c>
      <c r="I606" s="51" t="s">
        <v>22</v>
      </c>
      <c r="J606" s="27" t="s">
        <v>254</v>
      </c>
      <c r="K606" s="39" t="s">
        <v>15</v>
      </c>
      <c r="L606" s="29">
        <v>3145</v>
      </c>
      <c r="M606" s="24">
        <v>18</v>
      </c>
      <c r="N606" s="25">
        <f t="shared" si="19"/>
        <v>56610</v>
      </c>
      <c r="O606" s="24"/>
    </row>
    <row r="607" spans="1:15" ht="15.75" hidden="1" customHeight="1" x14ac:dyDescent="0.3">
      <c r="A607" s="24">
        <v>26</v>
      </c>
      <c r="B607" s="20" t="str">
        <f t="shared" si="18"/>
        <v>JUN</v>
      </c>
      <c r="C607" s="21">
        <v>46199</v>
      </c>
      <c r="D607" s="22" t="str">
        <f t="array" ref="D607">IFERROR(INDEX('Kode Outlet dan Target Toko'!$A:$A,MATCH($I607,'Kode Outlet dan Target Toko'!$E:$E,0)),"")</f>
        <v>GRSM 3A</v>
      </c>
      <c r="E607" s="20" t="str">
        <f>IFERROR(VLOOKUP(I607,KET!$B:$F,4,0),"")</f>
        <v>FAHMI LUKMANUL HAKIM</v>
      </c>
      <c r="F607" s="20" t="str">
        <f>IFERROR(VLOOKUP(I607,KET!$B:$F,5,0),"")</f>
        <v>GMM</v>
      </c>
      <c r="G607" s="20">
        <f>IFERROR(INDEX('Kode Outlet dan Target Toko'!$C:$C,MATCH($I607,'Kode Outlet dan Target Toko'!$E:$E,0)),0)</f>
        <v>103272</v>
      </c>
      <c r="H607" s="20">
        <f>IFERROR(INDEX('Kode Outlet dan Target Toko'!$D:$D,MATCH($I607,'Kode Outlet dan Target Toko'!$E:$E,0)),0)</f>
        <v>1178</v>
      </c>
      <c r="I607" s="51" t="s">
        <v>22</v>
      </c>
      <c r="J607" s="27" t="s">
        <v>254</v>
      </c>
      <c r="K607" s="39" t="s">
        <v>14</v>
      </c>
      <c r="L607" s="29">
        <v>3145</v>
      </c>
      <c r="M607" s="24">
        <v>39</v>
      </c>
      <c r="N607" s="25">
        <f t="shared" si="19"/>
        <v>122655</v>
      </c>
      <c r="O607" s="24"/>
    </row>
    <row r="608" spans="1:15" ht="15.75" hidden="1" customHeight="1" x14ac:dyDescent="0.3">
      <c r="A608" s="24">
        <v>26</v>
      </c>
      <c r="B608" s="20" t="str">
        <f t="shared" si="18"/>
        <v>JUN</v>
      </c>
      <c r="C608" s="21">
        <v>46199</v>
      </c>
      <c r="D608" s="22" t="str">
        <f t="array" ref="D608">IFERROR(INDEX('Kode Outlet dan Target Toko'!$A:$A,MATCH($I608,'Kode Outlet dan Target Toko'!$E:$E,0)),"")</f>
        <v>GRSM 3A</v>
      </c>
      <c r="E608" s="20" t="str">
        <f>IFERROR(VLOOKUP(I608,KET!$B:$F,4,0),"")</f>
        <v>FAHMI LUKMANUL HAKIM</v>
      </c>
      <c r="F608" s="20" t="str">
        <f>IFERROR(VLOOKUP(I608,KET!$B:$F,5,0),"")</f>
        <v>GMM</v>
      </c>
      <c r="G608" s="20">
        <f>IFERROR(INDEX('Kode Outlet dan Target Toko'!$C:$C,MATCH($I608,'Kode Outlet dan Target Toko'!$E:$E,0)),0)</f>
        <v>103272</v>
      </c>
      <c r="H608" s="20">
        <f>IFERROR(INDEX('Kode Outlet dan Target Toko'!$D:$D,MATCH($I608,'Kode Outlet dan Target Toko'!$E:$E,0)),0)</f>
        <v>1178</v>
      </c>
      <c r="I608" s="51" t="s">
        <v>22</v>
      </c>
      <c r="J608" s="27" t="s">
        <v>254</v>
      </c>
      <c r="K608" s="39" t="s">
        <v>13</v>
      </c>
      <c r="L608" s="29">
        <v>3145</v>
      </c>
      <c r="M608" s="24">
        <v>10</v>
      </c>
      <c r="N608" s="25">
        <f t="shared" si="19"/>
        <v>31450</v>
      </c>
      <c r="O608" s="24"/>
    </row>
    <row r="609" spans="1:15" ht="15.75" hidden="1" customHeight="1" x14ac:dyDescent="0.3">
      <c r="A609" s="24">
        <v>26</v>
      </c>
      <c r="B609" s="20" t="str">
        <f t="shared" si="18"/>
        <v>JUN</v>
      </c>
      <c r="C609" s="21">
        <v>46199</v>
      </c>
      <c r="D609" s="22" t="str">
        <f t="array" ref="D609">IFERROR(INDEX('Kode Outlet dan Target Toko'!$A:$A,MATCH($I609,'Kode Outlet dan Target Toko'!$E:$E,0)),"")</f>
        <v>GRSM 3A</v>
      </c>
      <c r="E609" s="20" t="str">
        <f>IFERROR(VLOOKUP(I609,KET!$B:$F,4,0),"")</f>
        <v>FAHMI LUKMANUL HAKIM</v>
      </c>
      <c r="F609" s="20" t="str">
        <f>IFERROR(VLOOKUP(I609,KET!$B:$F,5,0),"")</f>
        <v>GMM</v>
      </c>
      <c r="G609" s="20">
        <f>IFERROR(INDEX('Kode Outlet dan Target Toko'!$C:$C,MATCH($I609,'Kode Outlet dan Target Toko'!$E:$E,0)),0)</f>
        <v>103272</v>
      </c>
      <c r="H609" s="20">
        <f>IFERROR(INDEX('Kode Outlet dan Target Toko'!$D:$D,MATCH($I609,'Kode Outlet dan Target Toko'!$E:$E,0)),0)</f>
        <v>1178</v>
      </c>
      <c r="I609" s="51" t="s">
        <v>22</v>
      </c>
      <c r="J609" s="27" t="s">
        <v>254</v>
      </c>
      <c r="K609" s="39" t="s">
        <v>16</v>
      </c>
      <c r="L609" s="29">
        <v>3145</v>
      </c>
      <c r="M609" s="24">
        <v>131</v>
      </c>
      <c r="N609" s="25">
        <f t="shared" si="19"/>
        <v>411995</v>
      </c>
      <c r="O609" s="24">
        <v>100</v>
      </c>
    </row>
    <row r="610" spans="1:15" ht="15.75" hidden="1" customHeight="1" x14ac:dyDescent="0.3">
      <c r="A610" s="24">
        <v>26</v>
      </c>
      <c r="B610" s="20" t="str">
        <f t="shared" si="18"/>
        <v>JUN</v>
      </c>
      <c r="C610" s="21">
        <v>46199</v>
      </c>
      <c r="D610" s="22" t="str">
        <f t="array" ref="D610">IFERROR(INDEX('Kode Outlet dan Target Toko'!$A:$A,MATCH($I610,'Kode Outlet dan Target Toko'!$E:$E,0)),"")</f>
        <v>GRSM 4</v>
      </c>
      <c r="E610" s="20" t="str">
        <f>IFERROR(VLOOKUP(I610,KET!$B:$F,4,0),"")</f>
        <v>FAHMI LUKMANUL HAKIM</v>
      </c>
      <c r="F610" s="20" t="str">
        <f>IFERROR(VLOOKUP(I610,KET!$B:$F,5,0),"")</f>
        <v>GMM</v>
      </c>
      <c r="G610" s="20">
        <f>IFERROR(INDEX('Kode Outlet dan Target Toko'!$C:$C,MATCH($I610,'Kode Outlet dan Target Toko'!$E:$E,0)),0)</f>
        <v>103259</v>
      </c>
      <c r="H610" s="20">
        <f>IFERROR(INDEX('Kode Outlet dan Target Toko'!$D:$D,MATCH($I610,'Kode Outlet dan Target Toko'!$E:$E,0)),0)</f>
        <v>9013525</v>
      </c>
      <c r="I610" s="51" t="s">
        <v>24</v>
      </c>
      <c r="J610" s="45" t="s">
        <v>188</v>
      </c>
      <c r="K610" s="39" t="s">
        <v>15</v>
      </c>
      <c r="L610" s="29">
        <v>2000</v>
      </c>
      <c r="M610" s="24">
        <v>84</v>
      </c>
      <c r="N610" s="25">
        <f t="shared" si="19"/>
        <v>168000</v>
      </c>
      <c r="O610" s="24"/>
    </row>
    <row r="611" spans="1:15" ht="15.75" hidden="1" customHeight="1" x14ac:dyDescent="0.3">
      <c r="A611" s="24">
        <v>26</v>
      </c>
      <c r="B611" s="20" t="str">
        <f t="shared" si="18"/>
        <v>JUN</v>
      </c>
      <c r="C611" s="21">
        <v>46199</v>
      </c>
      <c r="D611" s="22" t="str">
        <f t="array" ref="D611">IFERROR(INDEX('Kode Outlet dan Target Toko'!$A:$A,MATCH($I611,'Kode Outlet dan Target Toko'!$E:$E,0)),"")</f>
        <v>GRSM 4</v>
      </c>
      <c r="E611" s="20" t="str">
        <f>IFERROR(VLOOKUP(I611,KET!$B:$F,4,0),"")</f>
        <v>FAHMI LUKMANUL HAKIM</v>
      </c>
      <c r="F611" s="20" t="str">
        <f>IFERROR(VLOOKUP(I611,KET!$B:$F,5,0),"")</f>
        <v>GMM</v>
      </c>
      <c r="G611" s="20">
        <f>IFERROR(INDEX('Kode Outlet dan Target Toko'!$C:$C,MATCH($I611,'Kode Outlet dan Target Toko'!$E:$E,0)),0)</f>
        <v>103259</v>
      </c>
      <c r="H611" s="20">
        <f>IFERROR(INDEX('Kode Outlet dan Target Toko'!$D:$D,MATCH($I611,'Kode Outlet dan Target Toko'!$E:$E,0)),0)</f>
        <v>9013525</v>
      </c>
      <c r="I611" s="51" t="s">
        <v>24</v>
      </c>
      <c r="J611" s="45" t="s">
        <v>188</v>
      </c>
      <c r="K611" s="39" t="s">
        <v>14</v>
      </c>
      <c r="L611" s="29">
        <v>2000</v>
      </c>
      <c r="M611" s="24">
        <v>96</v>
      </c>
      <c r="N611" s="25">
        <f t="shared" si="19"/>
        <v>192000</v>
      </c>
      <c r="O611" s="24"/>
    </row>
    <row r="612" spans="1:15" ht="15.75" hidden="1" customHeight="1" x14ac:dyDescent="0.3">
      <c r="A612" s="24">
        <v>26</v>
      </c>
      <c r="B612" s="20" t="str">
        <f t="shared" si="18"/>
        <v>JUN</v>
      </c>
      <c r="C612" s="21">
        <v>46199</v>
      </c>
      <c r="D612" s="22" t="str">
        <f t="array" ref="D612">IFERROR(INDEX('Kode Outlet dan Target Toko'!$A:$A,MATCH($I612,'Kode Outlet dan Target Toko'!$E:$E,0)),"")</f>
        <v>GRSM 4</v>
      </c>
      <c r="E612" s="20" t="str">
        <f>IFERROR(VLOOKUP(I612,KET!$B:$F,4,0),"")</f>
        <v>FAHMI LUKMANUL HAKIM</v>
      </c>
      <c r="F612" s="20" t="str">
        <f>IFERROR(VLOOKUP(I612,KET!$B:$F,5,0),"")</f>
        <v>GMM</v>
      </c>
      <c r="G612" s="20">
        <f>IFERROR(INDEX('Kode Outlet dan Target Toko'!$C:$C,MATCH($I612,'Kode Outlet dan Target Toko'!$E:$E,0)),0)</f>
        <v>103259</v>
      </c>
      <c r="H612" s="20">
        <f>IFERROR(INDEX('Kode Outlet dan Target Toko'!$D:$D,MATCH($I612,'Kode Outlet dan Target Toko'!$E:$E,0)),0)</f>
        <v>9013525</v>
      </c>
      <c r="I612" s="51" t="s">
        <v>24</v>
      </c>
      <c r="J612" s="45" t="s">
        <v>188</v>
      </c>
      <c r="K612" s="39" t="s">
        <v>13</v>
      </c>
      <c r="L612" s="29">
        <v>2000</v>
      </c>
      <c r="M612" s="24">
        <v>96</v>
      </c>
      <c r="N612" s="25">
        <f t="shared" si="19"/>
        <v>192000</v>
      </c>
      <c r="O612" s="24"/>
    </row>
    <row r="613" spans="1:15" ht="15.75" hidden="1" customHeight="1" x14ac:dyDescent="0.3">
      <c r="A613" s="24">
        <v>26</v>
      </c>
      <c r="B613" s="20" t="str">
        <f t="shared" si="18"/>
        <v>JUN</v>
      </c>
      <c r="C613" s="21">
        <v>46199</v>
      </c>
      <c r="D613" s="22" t="str">
        <f t="array" ref="D613">IFERROR(INDEX('Kode Outlet dan Target Toko'!$A:$A,MATCH($I613,'Kode Outlet dan Target Toko'!$E:$E,0)),"")</f>
        <v>GRSM 4</v>
      </c>
      <c r="E613" s="20" t="str">
        <f>IFERROR(VLOOKUP(I613,KET!$B:$F,4,0),"")</f>
        <v>FAHMI LUKMANUL HAKIM</v>
      </c>
      <c r="F613" s="20" t="str">
        <f>IFERROR(VLOOKUP(I613,KET!$B:$F,5,0),"")</f>
        <v>GMM</v>
      </c>
      <c r="G613" s="20">
        <f>IFERROR(INDEX('Kode Outlet dan Target Toko'!$C:$C,MATCH($I613,'Kode Outlet dan Target Toko'!$E:$E,0)),0)</f>
        <v>103259</v>
      </c>
      <c r="H613" s="20">
        <f>IFERROR(INDEX('Kode Outlet dan Target Toko'!$D:$D,MATCH($I613,'Kode Outlet dan Target Toko'!$E:$E,0)),0)</f>
        <v>9013525</v>
      </c>
      <c r="I613" s="51" t="s">
        <v>24</v>
      </c>
      <c r="J613" s="45" t="s">
        <v>188</v>
      </c>
      <c r="K613" s="39" t="s">
        <v>16</v>
      </c>
      <c r="L613" s="29">
        <v>2000</v>
      </c>
      <c r="M613" s="24">
        <v>144</v>
      </c>
      <c r="N613" s="25">
        <f t="shared" si="19"/>
        <v>288000</v>
      </c>
      <c r="O613" s="24">
        <v>160</v>
      </c>
    </row>
    <row r="614" spans="1:15" ht="15.75" hidden="1" customHeight="1" x14ac:dyDescent="0.3">
      <c r="A614" s="24">
        <v>26</v>
      </c>
      <c r="B614" s="20" t="str">
        <f t="shared" si="18"/>
        <v>JUN</v>
      </c>
      <c r="C614" s="21">
        <v>46199</v>
      </c>
      <c r="D614" s="22" t="str">
        <f t="array" ref="D614">IFERROR(INDEX('Kode Outlet dan Target Toko'!$A:$A,MATCH($I614,'Kode Outlet dan Target Toko'!$E:$E,0)),"")</f>
        <v>GRSM 4</v>
      </c>
      <c r="E614" s="20" t="str">
        <f>IFERROR(VLOOKUP(I614,KET!$B:$F,4,0),"")</f>
        <v>FAHMI LUKMANUL HAKIM</v>
      </c>
      <c r="F614" s="20" t="str">
        <f>IFERROR(VLOOKUP(I614,KET!$B:$F,5,0),"")</f>
        <v>GMM</v>
      </c>
      <c r="G614" s="20">
        <f>IFERROR(INDEX('Kode Outlet dan Target Toko'!$C:$C,MATCH($I614,'Kode Outlet dan Target Toko'!$E:$E,0)),0)</f>
        <v>103259</v>
      </c>
      <c r="H614" s="20">
        <f>IFERROR(INDEX('Kode Outlet dan Target Toko'!$D:$D,MATCH($I614,'Kode Outlet dan Target Toko'!$E:$E,0)),0)</f>
        <v>9013525</v>
      </c>
      <c r="I614" s="51" t="s">
        <v>24</v>
      </c>
      <c r="J614" s="27" t="s">
        <v>189</v>
      </c>
      <c r="K614" s="39" t="s">
        <v>15</v>
      </c>
      <c r="L614" s="29">
        <v>2000</v>
      </c>
      <c r="M614" s="24">
        <v>96</v>
      </c>
      <c r="N614" s="25">
        <f t="shared" si="19"/>
        <v>192000</v>
      </c>
      <c r="O614" s="24"/>
    </row>
    <row r="615" spans="1:15" ht="15.75" hidden="1" customHeight="1" x14ac:dyDescent="0.3">
      <c r="A615" s="24">
        <v>26</v>
      </c>
      <c r="B615" s="20" t="str">
        <f t="shared" si="18"/>
        <v>JUN</v>
      </c>
      <c r="C615" s="21">
        <v>46199</v>
      </c>
      <c r="D615" s="22" t="str">
        <f t="array" ref="D615">IFERROR(INDEX('Kode Outlet dan Target Toko'!$A:$A,MATCH($I615,'Kode Outlet dan Target Toko'!$E:$E,0)),"")</f>
        <v>GRSM 4</v>
      </c>
      <c r="E615" s="20" t="str">
        <f>IFERROR(VLOOKUP(I615,KET!$B:$F,4,0),"")</f>
        <v>FAHMI LUKMANUL HAKIM</v>
      </c>
      <c r="F615" s="20" t="str">
        <f>IFERROR(VLOOKUP(I615,KET!$B:$F,5,0),"")</f>
        <v>GMM</v>
      </c>
      <c r="G615" s="20">
        <f>IFERROR(INDEX('Kode Outlet dan Target Toko'!$C:$C,MATCH($I615,'Kode Outlet dan Target Toko'!$E:$E,0)),0)</f>
        <v>103259</v>
      </c>
      <c r="H615" s="20">
        <f>IFERROR(INDEX('Kode Outlet dan Target Toko'!$D:$D,MATCH($I615,'Kode Outlet dan Target Toko'!$E:$E,0)),0)</f>
        <v>9013525</v>
      </c>
      <c r="I615" s="51" t="s">
        <v>24</v>
      </c>
      <c r="J615" s="27" t="s">
        <v>189</v>
      </c>
      <c r="K615" s="39" t="s">
        <v>14</v>
      </c>
      <c r="L615" s="29">
        <v>2000</v>
      </c>
      <c r="M615" s="24">
        <v>120</v>
      </c>
      <c r="N615" s="25">
        <f t="shared" si="19"/>
        <v>240000</v>
      </c>
      <c r="O615" s="24"/>
    </row>
    <row r="616" spans="1:15" ht="15.75" hidden="1" customHeight="1" x14ac:dyDescent="0.3">
      <c r="A616" s="24">
        <v>26</v>
      </c>
      <c r="B616" s="20" t="str">
        <f t="shared" si="18"/>
        <v>JUN</v>
      </c>
      <c r="C616" s="21">
        <v>46199</v>
      </c>
      <c r="D616" s="22" t="str">
        <f t="array" ref="D616">IFERROR(INDEX('Kode Outlet dan Target Toko'!$A:$A,MATCH($I616,'Kode Outlet dan Target Toko'!$E:$E,0)),"")</f>
        <v>GRSM 4</v>
      </c>
      <c r="E616" s="20" t="str">
        <f>IFERROR(VLOOKUP(I616,KET!$B:$F,4,0),"")</f>
        <v>FAHMI LUKMANUL HAKIM</v>
      </c>
      <c r="F616" s="20" t="str">
        <f>IFERROR(VLOOKUP(I616,KET!$B:$F,5,0),"")</f>
        <v>GMM</v>
      </c>
      <c r="G616" s="20">
        <f>IFERROR(INDEX('Kode Outlet dan Target Toko'!$C:$C,MATCH($I616,'Kode Outlet dan Target Toko'!$E:$E,0)),0)</f>
        <v>103259</v>
      </c>
      <c r="H616" s="20">
        <f>IFERROR(INDEX('Kode Outlet dan Target Toko'!$D:$D,MATCH($I616,'Kode Outlet dan Target Toko'!$E:$E,0)),0)</f>
        <v>9013525</v>
      </c>
      <c r="I616" s="51" t="s">
        <v>24</v>
      </c>
      <c r="J616" s="27" t="s">
        <v>189</v>
      </c>
      <c r="K616" s="39" t="s">
        <v>13</v>
      </c>
      <c r="L616" s="29">
        <v>2000</v>
      </c>
      <c r="M616" s="24">
        <v>30</v>
      </c>
      <c r="N616" s="25">
        <f t="shared" si="19"/>
        <v>60000</v>
      </c>
      <c r="O616" s="24"/>
    </row>
    <row r="617" spans="1:15" ht="15.75" hidden="1" customHeight="1" x14ac:dyDescent="0.3">
      <c r="A617" s="24">
        <v>26</v>
      </c>
      <c r="B617" s="20" t="str">
        <f t="shared" si="18"/>
        <v>JUN</v>
      </c>
      <c r="C617" s="21">
        <v>46199</v>
      </c>
      <c r="D617" s="22" t="str">
        <f t="array" ref="D617">IFERROR(INDEX('Kode Outlet dan Target Toko'!$A:$A,MATCH($I617,'Kode Outlet dan Target Toko'!$E:$E,0)),"")</f>
        <v>GRSM 4</v>
      </c>
      <c r="E617" s="20" t="str">
        <f>IFERROR(VLOOKUP(I617,KET!$B:$F,4,0),"")</f>
        <v>FAHMI LUKMANUL HAKIM</v>
      </c>
      <c r="F617" s="20" t="str">
        <f>IFERROR(VLOOKUP(I617,KET!$B:$F,5,0),"")</f>
        <v>GMM</v>
      </c>
      <c r="G617" s="20">
        <f>IFERROR(INDEX('Kode Outlet dan Target Toko'!$C:$C,MATCH($I617,'Kode Outlet dan Target Toko'!$E:$E,0)),0)</f>
        <v>103259</v>
      </c>
      <c r="H617" s="20">
        <f>IFERROR(INDEX('Kode Outlet dan Target Toko'!$D:$D,MATCH($I617,'Kode Outlet dan Target Toko'!$E:$E,0)),0)</f>
        <v>9013525</v>
      </c>
      <c r="I617" s="51" t="s">
        <v>24</v>
      </c>
      <c r="J617" s="27" t="s">
        <v>189</v>
      </c>
      <c r="K617" s="39" t="s">
        <v>16</v>
      </c>
      <c r="L617" s="29">
        <v>2000</v>
      </c>
      <c r="M617" s="24">
        <v>144</v>
      </c>
      <c r="N617" s="25">
        <f t="shared" si="19"/>
        <v>288000</v>
      </c>
      <c r="O617" s="24">
        <v>160</v>
      </c>
    </row>
    <row r="618" spans="1:15" ht="15.75" hidden="1" customHeight="1" x14ac:dyDescent="0.3">
      <c r="A618" s="24">
        <v>26</v>
      </c>
      <c r="B618" s="20" t="str">
        <f t="shared" si="18"/>
        <v>JUN</v>
      </c>
      <c r="C618" s="21">
        <v>46199</v>
      </c>
      <c r="D618" s="22" t="str">
        <f t="array" ref="D618">IFERROR(INDEX('Kode Outlet dan Target Toko'!$A:$A,MATCH($I618,'Kode Outlet dan Target Toko'!$E:$E,0)),"")</f>
        <v>GRSM 4</v>
      </c>
      <c r="E618" s="20" t="str">
        <f>IFERROR(VLOOKUP(I618,KET!$B:$F,4,0),"")</f>
        <v>FAHMI LUKMANUL HAKIM</v>
      </c>
      <c r="F618" s="20" t="str">
        <f>IFERROR(VLOOKUP(I618,KET!$B:$F,5,0),"")</f>
        <v>GMM</v>
      </c>
      <c r="G618" s="20">
        <f>IFERROR(INDEX('Kode Outlet dan Target Toko'!$C:$C,MATCH($I618,'Kode Outlet dan Target Toko'!$E:$E,0)),0)</f>
        <v>103277</v>
      </c>
      <c r="H618" s="20">
        <f>IFERROR(INDEX('Kode Outlet dan Target Toko'!$D:$D,MATCH($I618,'Kode Outlet dan Target Toko'!$E:$E,0)),0)</f>
        <v>6300538</v>
      </c>
      <c r="I618" s="41" t="s">
        <v>19</v>
      </c>
      <c r="J618" s="27" t="s">
        <v>251</v>
      </c>
      <c r="K618" s="39" t="s">
        <v>15</v>
      </c>
      <c r="L618" s="23">
        <v>2975</v>
      </c>
      <c r="M618" s="24">
        <v>71</v>
      </c>
      <c r="N618" s="25">
        <f t="shared" si="19"/>
        <v>211225</v>
      </c>
      <c r="O618" s="24"/>
    </row>
    <row r="619" spans="1:15" ht="15.75" hidden="1" customHeight="1" x14ac:dyDescent="0.3">
      <c r="A619" s="24">
        <v>26</v>
      </c>
      <c r="B619" s="20" t="str">
        <f t="shared" si="18"/>
        <v>JUN</v>
      </c>
      <c r="C619" s="21">
        <v>46199</v>
      </c>
      <c r="D619" s="22" t="str">
        <f t="array" ref="D619">IFERROR(INDEX('Kode Outlet dan Target Toko'!$A:$A,MATCH($I619,'Kode Outlet dan Target Toko'!$E:$E,0)),"")</f>
        <v>GRSM 4</v>
      </c>
      <c r="E619" s="20" t="str">
        <f>IFERROR(VLOOKUP(I619,KET!$B:$F,4,0),"")</f>
        <v>FAHMI LUKMANUL HAKIM</v>
      </c>
      <c r="F619" s="20" t="str">
        <f>IFERROR(VLOOKUP(I619,KET!$B:$F,5,0),"")</f>
        <v>GMM</v>
      </c>
      <c r="G619" s="20">
        <f>IFERROR(INDEX('Kode Outlet dan Target Toko'!$C:$C,MATCH($I619,'Kode Outlet dan Target Toko'!$E:$E,0)),0)</f>
        <v>103277</v>
      </c>
      <c r="H619" s="20">
        <f>IFERROR(INDEX('Kode Outlet dan Target Toko'!$D:$D,MATCH($I619,'Kode Outlet dan Target Toko'!$E:$E,0)),0)</f>
        <v>6300538</v>
      </c>
      <c r="I619" s="41" t="s">
        <v>19</v>
      </c>
      <c r="J619" s="27" t="s">
        <v>251</v>
      </c>
      <c r="K619" s="39" t="s">
        <v>14</v>
      </c>
      <c r="L619" s="23">
        <v>2975</v>
      </c>
      <c r="M619" s="24">
        <v>68</v>
      </c>
      <c r="N619" s="25">
        <f t="shared" si="19"/>
        <v>202300</v>
      </c>
      <c r="O619" s="24"/>
    </row>
    <row r="620" spans="1:15" ht="15.75" hidden="1" customHeight="1" x14ac:dyDescent="0.3">
      <c r="A620" s="24">
        <v>26</v>
      </c>
      <c r="B620" s="20" t="str">
        <f t="shared" si="18"/>
        <v>JUN</v>
      </c>
      <c r="C620" s="21">
        <v>46199</v>
      </c>
      <c r="D620" s="22" t="str">
        <f t="array" ref="D620">IFERROR(INDEX('Kode Outlet dan Target Toko'!$A:$A,MATCH($I620,'Kode Outlet dan Target Toko'!$E:$E,0)),"")</f>
        <v>GRSM 4</v>
      </c>
      <c r="E620" s="20" t="str">
        <f>IFERROR(VLOOKUP(I620,KET!$B:$F,4,0),"")</f>
        <v>FAHMI LUKMANUL HAKIM</v>
      </c>
      <c r="F620" s="20" t="str">
        <f>IFERROR(VLOOKUP(I620,KET!$B:$F,5,0),"")</f>
        <v>GMM</v>
      </c>
      <c r="G620" s="20">
        <f>IFERROR(INDEX('Kode Outlet dan Target Toko'!$C:$C,MATCH($I620,'Kode Outlet dan Target Toko'!$E:$E,0)),0)</f>
        <v>103277</v>
      </c>
      <c r="H620" s="20">
        <f>IFERROR(INDEX('Kode Outlet dan Target Toko'!$D:$D,MATCH($I620,'Kode Outlet dan Target Toko'!$E:$E,0)),0)</f>
        <v>6300538</v>
      </c>
      <c r="I620" s="41" t="s">
        <v>19</v>
      </c>
      <c r="J620" s="27" t="s">
        <v>251</v>
      </c>
      <c r="K620" s="39" t="s">
        <v>13</v>
      </c>
      <c r="L620" s="23">
        <v>2975</v>
      </c>
      <c r="M620" s="24">
        <v>62</v>
      </c>
      <c r="N620" s="25">
        <f t="shared" si="19"/>
        <v>184450</v>
      </c>
      <c r="O620" s="24"/>
    </row>
    <row r="621" spans="1:15" ht="15.75" hidden="1" customHeight="1" x14ac:dyDescent="0.3">
      <c r="A621" s="24">
        <v>26</v>
      </c>
      <c r="B621" s="20" t="str">
        <f t="shared" si="18"/>
        <v>JUN</v>
      </c>
      <c r="C621" s="21">
        <v>46199</v>
      </c>
      <c r="D621" s="22" t="str">
        <f t="array" ref="D621">IFERROR(INDEX('Kode Outlet dan Target Toko'!$A:$A,MATCH($I621,'Kode Outlet dan Target Toko'!$E:$E,0)),"")</f>
        <v>GRSM 4</v>
      </c>
      <c r="E621" s="20" t="str">
        <f>IFERROR(VLOOKUP(I621,KET!$B:$F,4,0),"")</f>
        <v>FAHMI LUKMANUL HAKIM</v>
      </c>
      <c r="F621" s="20" t="str">
        <f>IFERROR(VLOOKUP(I621,KET!$B:$F,5,0),"")</f>
        <v>GMM</v>
      </c>
      <c r="G621" s="20">
        <f>IFERROR(INDEX('Kode Outlet dan Target Toko'!$C:$C,MATCH($I621,'Kode Outlet dan Target Toko'!$E:$E,0)),0)</f>
        <v>103277</v>
      </c>
      <c r="H621" s="20">
        <f>IFERROR(INDEX('Kode Outlet dan Target Toko'!$D:$D,MATCH($I621,'Kode Outlet dan Target Toko'!$E:$E,0)),0)</f>
        <v>6300538</v>
      </c>
      <c r="I621" s="41" t="s">
        <v>19</v>
      </c>
      <c r="J621" s="27" t="s">
        <v>251</v>
      </c>
      <c r="K621" s="39" t="s">
        <v>16</v>
      </c>
      <c r="L621" s="23">
        <v>2975</v>
      </c>
      <c r="M621" s="24">
        <v>221</v>
      </c>
      <c r="N621" s="25">
        <f t="shared" si="19"/>
        <v>657475</v>
      </c>
      <c r="O621" s="24">
        <v>146</v>
      </c>
    </row>
    <row r="622" spans="1:15" ht="15.75" hidden="1" customHeight="1" x14ac:dyDescent="0.3">
      <c r="A622" s="24">
        <v>26</v>
      </c>
      <c r="B622" s="20" t="str">
        <f t="shared" si="18"/>
        <v>JUN</v>
      </c>
      <c r="C622" s="21">
        <v>46199</v>
      </c>
      <c r="D622" s="22" t="str">
        <f t="array" ref="D622">IFERROR(INDEX('Kode Outlet dan Target Toko'!$A:$A,MATCH($I622,'Kode Outlet dan Target Toko'!$E:$E,0)),"")</f>
        <v>GRSM 4</v>
      </c>
      <c r="E622" s="20" t="str">
        <f>IFERROR(VLOOKUP(I622,KET!$B:$F,4,0),"")</f>
        <v>FAHMI LUKMANUL HAKIM</v>
      </c>
      <c r="F622" s="20" t="str">
        <f>IFERROR(VLOOKUP(I622,KET!$B:$F,5,0),"")</f>
        <v>GMM</v>
      </c>
      <c r="G622" s="20">
        <f>IFERROR(INDEX('Kode Outlet dan Target Toko'!$C:$C,MATCH($I622,'Kode Outlet dan Target Toko'!$E:$E,0)),0)</f>
        <v>103277</v>
      </c>
      <c r="H622" s="20">
        <f>IFERROR(INDEX('Kode Outlet dan Target Toko'!$D:$D,MATCH($I622,'Kode Outlet dan Target Toko'!$E:$E,0)),0)</f>
        <v>6300538</v>
      </c>
      <c r="I622" s="41" t="s">
        <v>19</v>
      </c>
      <c r="J622" s="27" t="s">
        <v>252</v>
      </c>
      <c r="K622" s="39" t="s">
        <v>15</v>
      </c>
      <c r="L622" s="23">
        <v>2975</v>
      </c>
      <c r="M622" s="24">
        <v>69</v>
      </c>
      <c r="N622" s="25">
        <f t="shared" si="19"/>
        <v>205275</v>
      </c>
      <c r="O622" s="24"/>
    </row>
    <row r="623" spans="1:15" ht="15.75" hidden="1" customHeight="1" x14ac:dyDescent="0.3">
      <c r="A623" s="24">
        <v>26</v>
      </c>
      <c r="B623" s="20" t="str">
        <f t="shared" si="18"/>
        <v>JUN</v>
      </c>
      <c r="C623" s="21">
        <v>46199</v>
      </c>
      <c r="D623" s="22" t="str">
        <f t="array" ref="D623">IFERROR(INDEX('Kode Outlet dan Target Toko'!$A:$A,MATCH($I623,'Kode Outlet dan Target Toko'!$E:$E,0)),"")</f>
        <v>GRSM 4</v>
      </c>
      <c r="E623" s="20" t="str">
        <f>IFERROR(VLOOKUP(I623,KET!$B:$F,4,0),"")</f>
        <v>FAHMI LUKMANUL HAKIM</v>
      </c>
      <c r="F623" s="20" t="str">
        <f>IFERROR(VLOOKUP(I623,KET!$B:$F,5,0),"")</f>
        <v>GMM</v>
      </c>
      <c r="G623" s="20">
        <f>IFERROR(INDEX('Kode Outlet dan Target Toko'!$C:$C,MATCH($I623,'Kode Outlet dan Target Toko'!$E:$E,0)),0)</f>
        <v>103277</v>
      </c>
      <c r="H623" s="20">
        <f>IFERROR(INDEX('Kode Outlet dan Target Toko'!$D:$D,MATCH($I623,'Kode Outlet dan Target Toko'!$E:$E,0)),0)</f>
        <v>6300538</v>
      </c>
      <c r="I623" s="41" t="s">
        <v>19</v>
      </c>
      <c r="J623" s="27" t="s">
        <v>252</v>
      </c>
      <c r="K623" s="39" t="s">
        <v>14</v>
      </c>
      <c r="L623" s="23">
        <v>2975</v>
      </c>
      <c r="M623" s="24">
        <v>65</v>
      </c>
      <c r="N623" s="25">
        <f t="shared" si="19"/>
        <v>193375</v>
      </c>
      <c r="O623" s="24"/>
    </row>
    <row r="624" spans="1:15" ht="15.75" hidden="1" customHeight="1" x14ac:dyDescent="0.3">
      <c r="A624" s="24">
        <v>26</v>
      </c>
      <c r="B624" s="20" t="str">
        <f t="shared" si="18"/>
        <v>JUN</v>
      </c>
      <c r="C624" s="21">
        <v>46199</v>
      </c>
      <c r="D624" s="22" t="str">
        <f t="array" ref="D624">IFERROR(INDEX('Kode Outlet dan Target Toko'!$A:$A,MATCH($I624,'Kode Outlet dan Target Toko'!$E:$E,0)),"")</f>
        <v>GRSM 4</v>
      </c>
      <c r="E624" s="20" t="str">
        <f>IFERROR(VLOOKUP(I624,KET!$B:$F,4,0),"")</f>
        <v>FAHMI LUKMANUL HAKIM</v>
      </c>
      <c r="F624" s="20" t="str">
        <f>IFERROR(VLOOKUP(I624,KET!$B:$F,5,0),"")</f>
        <v>GMM</v>
      </c>
      <c r="G624" s="20">
        <f>IFERROR(INDEX('Kode Outlet dan Target Toko'!$C:$C,MATCH($I624,'Kode Outlet dan Target Toko'!$E:$E,0)),0)</f>
        <v>103277</v>
      </c>
      <c r="H624" s="20">
        <f>IFERROR(INDEX('Kode Outlet dan Target Toko'!$D:$D,MATCH($I624,'Kode Outlet dan Target Toko'!$E:$E,0)),0)</f>
        <v>6300538</v>
      </c>
      <c r="I624" s="41" t="s">
        <v>19</v>
      </c>
      <c r="J624" s="27" t="s">
        <v>252</v>
      </c>
      <c r="K624" s="39" t="s">
        <v>13</v>
      </c>
      <c r="L624" s="23">
        <v>2975</v>
      </c>
      <c r="M624" s="24">
        <v>54</v>
      </c>
      <c r="N624" s="25">
        <f t="shared" si="19"/>
        <v>160650</v>
      </c>
      <c r="O624" s="24"/>
    </row>
    <row r="625" spans="1:15" ht="15.75" hidden="1" customHeight="1" x14ac:dyDescent="0.3">
      <c r="A625" s="24">
        <v>26</v>
      </c>
      <c r="B625" s="20" t="str">
        <f t="shared" si="18"/>
        <v>JUN</v>
      </c>
      <c r="C625" s="21">
        <v>46199</v>
      </c>
      <c r="D625" s="22" t="str">
        <f t="array" ref="D625">IFERROR(INDEX('Kode Outlet dan Target Toko'!$A:$A,MATCH($I625,'Kode Outlet dan Target Toko'!$E:$E,0)),"")</f>
        <v>GRSM 4</v>
      </c>
      <c r="E625" s="20" t="str">
        <f>IFERROR(VLOOKUP(I625,KET!$B:$F,4,0),"")</f>
        <v>FAHMI LUKMANUL HAKIM</v>
      </c>
      <c r="F625" s="20" t="str">
        <f>IFERROR(VLOOKUP(I625,KET!$B:$F,5,0),"")</f>
        <v>GMM</v>
      </c>
      <c r="G625" s="20">
        <f>IFERROR(INDEX('Kode Outlet dan Target Toko'!$C:$C,MATCH($I625,'Kode Outlet dan Target Toko'!$E:$E,0)),0)</f>
        <v>103277</v>
      </c>
      <c r="H625" s="20">
        <f>IFERROR(INDEX('Kode Outlet dan Target Toko'!$D:$D,MATCH($I625,'Kode Outlet dan Target Toko'!$E:$E,0)),0)</f>
        <v>6300538</v>
      </c>
      <c r="I625" s="41" t="s">
        <v>19</v>
      </c>
      <c r="J625" s="27" t="s">
        <v>252</v>
      </c>
      <c r="K625" s="39" t="s">
        <v>16</v>
      </c>
      <c r="L625" s="23">
        <v>2975</v>
      </c>
      <c r="M625" s="24">
        <v>215</v>
      </c>
      <c r="N625" s="25">
        <f t="shared" si="19"/>
        <v>639625</v>
      </c>
      <c r="O625" s="24">
        <v>146</v>
      </c>
    </row>
    <row r="626" spans="1:15" ht="15.75" hidden="1" customHeight="1" x14ac:dyDescent="0.3">
      <c r="A626" s="24">
        <v>26</v>
      </c>
      <c r="B626" s="20" t="str">
        <f t="shared" si="18"/>
        <v>JUN</v>
      </c>
      <c r="C626" s="21">
        <v>46199</v>
      </c>
      <c r="D626" s="22" t="str">
        <f t="array" ref="D626">IFERROR(INDEX('Kode Outlet dan Target Toko'!$A:$A,MATCH($I626,'Kode Outlet dan Target Toko'!$E:$E,0)),"")</f>
        <v>GRSM 4</v>
      </c>
      <c r="E626" s="20" t="str">
        <f>IFERROR(VLOOKUP(I626,KET!$B:$F,4,0),"")</f>
        <v>FAHMI LUKMANUL HAKIM</v>
      </c>
      <c r="F626" s="20" t="str">
        <f>IFERROR(VLOOKUP(I626,KET!$B:$F,5,0),"")</f>
        <v>GMM</v>
      </c>
      <c r="G626" s="20">
        <f>IFERROR(INDEX('Kode Outlet dan Target Toko'!$C:$C,MATCH($I626,'Kode Outlet dan Target Toko'!$E:$E,0)),0)</f>
        <v>103259</v>
      </c>
      <c r="H626" s="20">
        <f>IFERROR(INDEX('Kode Outlet dan Target Toko'!$D:$D,MATCH($I626,'Kode Outlet dan Target Toko'!$E:$E,0)),0)</f>
        <v>9029389</v>
      </c>
      <c r="I626" s="51" t="s">
        <v>27</v>
      </c>
      <c r="J626" s="27" t="s">
        <v>178</v>
      </c>
      <c r="K626" s="39" t="s">
        <v>15</v>
      </c>
      <c r="L626" s="29">
        <v>2000</v>
      </c>
      <c r="M626" s="24">
        <v>39</v>
      </c>
      <c r="N626" s="25">
        <f t="shared" si="19"/>
        <v>78000</v>
      </c>
      <c r="O626" s="24"/>
    </row>
    <row r="627" spans="1:15" ht="15.75" hidden="1" customHeight="1" x14ac:dyDescent="0.3">
      <c r="A627" s="24">
        <v>26</v>
      </c>
      <c r="B627" s="20" t="str">
        <f t="shared" si="18"/>
        <v>JUN</v>
      </c>
      <c r="C627" s="21">
        <v>46199</v>
      </c>
      <c r="D627" s="22" t="str">
        <f t="array" ref="D627">IFERROR(INDEX('Kode Outlet dan Target Toko'!$A:$A,MATCH($I627,'Kode Outlet dan Target Toko'!$E:$E,0)),"")</f>
        <v>GRSM 4</v>
      </c>
      <c r="E627" s="20" t="str">
        <f>IFERROR(VLOOKUP(I627,KET!$B:$F,4,0),"")</f>
        <v>FAHMI LUKMANUL HAKIM</v>
      </c>
      <c r="F627" s="20" t="str">
        <f>IFERROR(VLOOKUP(I627,KET!$B:$F,5,0),"")</f>
        <v>GMM</v>
      </c>
      <c r="G627" s="20">
        <f>IFERROR(INDEX('Kode Outlet dan Target Toko'!$C:$C,MATCH($I627,'Kode Outlet dan Target Toko'!$E:$E,0)),0)</f>
        <v>103259</v>
      </c>
      <c r="H627" s="20">
        <f>IFERROR(INDEX('Kode Outlet dan Target Toko'!$D:$D,MATCH($I627,'Kode Outlet dan Target Toko'!$E:$E,0)),0)</f>
        <v>9029389</v>
      </c>
      <c r="I627" s="51" t="s">
        <v>27</v>
      </c>
      <c r="J627" s="27" t="s">
        <v>178</v>
      </c>
      <c r="K627" s="39" t="s">
        <v>14</v>
      </c>
      <c r="L627" s="29">
        <v>2000</v>
      </c>
      <c r="M627" s="24">
        <v>57</v>
      </c>
      <c r="N627" s="25">
        <f t="shared" si="19"/>
        <v>114000</v>
      </c>
      <c r="O627" s="24"/>
    </row>
    <row r="628" spans="1:15" ht="15.75" hidden="1" customHeight="1" x14ac:dyDescent="0.3">
      <c r="A628" s="24">
        <v>26</v>
      </c>
      <c r="B628" s="20" t="str">
        <f t="shared" si="18"/>
        <v>JUN</v>
      </c>
      <c r="C628" s="21">
        <v>46199</v>
      </c>
      <c r="D628" s="22" t="str">
        <f t="array" ref="D628">IFERROR(INDEX('Kode Outlet dan Target Toko'!$A:$A,MATCH($I628,'Kode Outlet dan Target Toko'!$E:$E,0)),"")</f>
        <v>GRSM 4</v>
      </c>
      <c r="E628" s="20" t="str">
        <f>IFERROR(VLOOKUP(I628,KET!$B:$F,4,0),"")</f>
        <v>FAHMI LUKMANUL HAKIM</v>
      </c>
      <c r="F628" s="20" t="str">
        <f>IFERROR(VLOOKUP(I628,KET!$B:$F,5,0),"")</f>
        <v>GMM</v>
      </c>
      <c r="G628" s="20">
        <f>IFERROR(INDEX('Kode Outlet dan Target Toko'!$C:$C,MATCH($I628,'Kode Outlet dan Target Toko'!$E:$E,0)),0)</f>
        <v>103259</v>
      </c>
      <c r="H628" s="20">
        <f>IFERROR(INDEX('Kode Outlet dan Target Toko'!$D:$D,MATCH($I628,'Kode Outlet dan Target Toko'!$E:$E,0)),0)</f>
        <v>9029389</v>
      </c>
      <c r="I628" s="51" t="s">
        <v>27</v>
      </c>
      <c r="J628" s="27" t="s">
        <v>178</v>
      </c>
      <c r="K628" s="39" t="s">
        <v>13</v>
      </c>
      <c r="L628" s="29">
        <v>2000</v>
      </c>
      <c r="M628" s="24">
        <v>23</v>
      </c>
      <c r="N628" s="25">
        <f t="shared" si="19"/>
        <v>46000</v>
      </c>
      <c r="O628" s="24"/>
    </row>
    <row r="629" spans="1:15" ht="15.75" hidden="1" customHeight="1" x14ac:dyDescent="0.3">
      <c r="A629" s="24">
        <v>26</v>
      </c>
      <c r="B629" s="20" t="str">
        <f t="shared" si="18"/>
        <v>JUN</v>
      </c>
      <c r="C629" s="21">
        <v>46199</v>
      </c>
      <c r="D629" s="22" t="str">
        <f t="array" ref="D629">IFERROR(INDEX('Kode Outlet dan Target Toko'!$A:$A,MATCH($I629,'Kode Outlet dan Target Toko'!$E:$E,0)),"")</f>
        <v>GRSM 4</v>
      </c>
      <c r="E629" s="20" t="str">
        <f>IFERROR(VLOOKUP(I629,KET!$B:$F,4,0),"")</f>
        <v>FAHMI LUKMANUL HAKIM</v>
      </c>
      <c r="F629" s="20" t="str">
        <f>IFERROR(VLOOKUP(I629,KET!$B:$F,5,0),"")</f>
        <v>GMM</v>
      </c>
      <c r="G629" s="20">
        <f>IFERROR(INDEX('Kode Outlet dan Target Toko'!$C:$C,MATCH($I629,'Kode Outlet dan Target Toko'!$E:$E,0)),0)</f>
        <v>103259</v>
      </c>
      <c r="H629" s="20">
        <f>IFERROR(INDEX('Kode Outlet dan Target Toko'!$D:$D,MATCH($I629,'Kode Outlet dan Target Toko'!$E:$E,0)),0)</f>
        <v>9029389</v>
      </c>
      <c r="I629" s="51" t="s">
        <v>27</v>
      </c>
      <c r="J629" s="27" t="s">
        <v>178</v>
      </c>
      <c r="K629" s="39" t="s">
        <v>16</v>
      </c>
      <c r="L629" s="29">
        <v>2000</v>
      </c>
      <c r="M629" s="24">
        <v>128</v>
      </c>
      <c r="N629" s="25">
        <f t="shared" si="19"/>
        <v>256000</v>
      </c>
      <c r="O629" s="24">
        <v>160</v>
      </c>
    </row>
    <row r="630" spans="1:15" ht="15.75" hidden="1" customHeight="1" x14ac:dyDescent="0.3">
      <c r="A630" s="24">
        <v>26</v>
      </c>
      <c r="B630" s="20" t="str">
        <f t="shared" si="18"/>
        <v>JUN</v>
      </c>
      <c r="C630" s="21">
        <v>46199</v>
      </c>
      <c r="D630" s="22" t="str">
        <f t="array" ref="D630">IFERROR(INDEX('Kode Outlet dan Target Toko'!$A:$A,MATCH($I630,'Kode Outlet dan Target Toko'!$E:$E,0)),"")</f>
        <v>GRSM 4</v>
      </c>
      <c r="E630" s="20" t="str">
        <f>IFERROR(VLOOKUP(I630,KET!$B:$F,4,0),"")</f>
        <v>FAHMI LUKMANUL HAKIM</v>
      </c>
      <c r="F630" s="20" t="str">
        <f>IFERROR(VLOOKUP(I630,KET!$B:$F,5,0),"")</f>
        <v>GMM</v>
      </c>
      <c r="G630" s="20">
        <f>IFERROR(INDEX('Kode Outlet dan Target Toko'!$C:$C,MATCH($I630,'Kode Outlet dan Target Toko'!$E:$E,0)),0)</f>
        <v>103259</v>
      </c>
      <c r="H630" s="20">
        <f>IFERROR(INDEX('Kode Outlet dan Target Toko'!$D:$D,MATCH($I630,'Kode Outlet dan Target Toko'!$E:$E,0)),0)</f>
        <v>9029389</v>
      </c>
      <c r="I630" s="51" t="s">
        <v>27</v>
      </c>
      <c r="J630" s="27" t="s">
        <v>179</v>
      </c>
      <c r="K630" s="39" t="s">
        <v>15</v>
      </c>
      <c r="L630" s="29">
        <v>2000</v>
      </c>
      <c r="M630" s="24">
        <v>40</v>
      </c>
      <c r="N630" s="25">
        <f t="shared" si="19"/>
        <v>80000</v>
      </c>
      <c r="O630" s="24"/>
    </row>
    <row r="631" spans="1:15" ht="15.75" hidden="1" customHeight="1" x14ac:dyDescent="0.3">
      <c r="A631" s="24">
        <v>26</v>
      </c>
      <c r="B631" s="20" t="str">
        <f t="shared" si="18"/>
        <v>JUN</v>
      </c>
      <c r="C631" s="21">
        <v>46199</v>
      </c>
      <c r="D631" s="22" t="str">
        <f t="array" ref="D631">IFERROR(INDEX('Kode Outlet dan Target Toko'!$A:$A,MATCH($I631,'Kode Outlet dan Target Toko'!$E:$E,0)),"")</f>
        <v>GRSM 4</v>
      </c>
      <c r="E631" s="20" t="str">
        <f>IFERROR(VLOOKUP(I631,KET!$B:$F,4,0),"")</f>
        <v>FAHMI LUKMANUL HAKIM</v>
      </c>
      <c r="F631" s="20" t="str">
        <f>IFERROR(VLOOKUP(I631,KET!$B:$F,5,0),"")</f>
        <v>GMM</v>
      </c>
      <c r="G631" s="20">
        <f>IFERROR(INDEX('Kode Outlet dan Target Toko'!$C:$C,MATCH($I631,'Kode Outlet dan Target Toko'!$E:$E,0)),0)</f>
        <v>103259</v>
      </c>
      <c r="H631" s="20">
        <f>IFERROR(INDEX('Kode Outlet dan Target Toko'!$D:$D,MATCH($I631,'Kode Outlet dan Target Toko'!$E:$E,0)),0)</f>
        <v>9029389</v>
      </c>
      <c r="I631" s="51" t="s">
        <v>27</v>
      </c>
      <c r="J631" s="27" t="s">
        <v>179</v>
      </c>
      <c r="K631" s="39" t="s">
        <v>14</v>
      </c>
      <c r="L631" s="29">
        <v>2000</v>
      </c>
      <c r="M631" s="24">
        <v>50</v>
      </c>
      <c r="N631" s="25">
        <f t="shared" si="19"/>
        <v>100000</v>
      </c>
      <c r="O631" s="24"/>
    </row>
    <row r="632" spans="1:15" ht="15.75" hidden="1" customHeight="1" x14ac:dyDescent="0.3">
      <c r="A632" s="24">
        <v>26</v>
      </c>
      <c r="B632" s="20" t="str">
        <f t="shared" si="18"/>
        <v>JUN</v>
      </c>
      <c r="C632" s="21">
        <v>46199</v>
      </c>
      <c r="D632" s="22" t="str">
        <f t="array" ref="D632">IFERROR(INDEX('Kode Outlet dan Target Toko'!$A:$A,MATCH($I632,'Kode Outlet dan Target Toko'!$E:$E,0)),"")</f>
        <v>GRSM 4</v>
      </c>
      <c r="E632" s="20" t="str">
        <f>IFERROR(VLOOKUP(I632,KET!$B:$F,4,0),"")</f>
        <v>FAHMI LUKMANUL HAKIM</v>
      </c>
      <c r="F632" s="20" t="str">
        <f>IFERROR(VLOOKUP(I632,KET!$B:$F,5,0),"")</f>
        <v>GMM</v>
      </c>
      <c r="G632" s="20">
        <f>IFERROR(INDEX('Kode Outlet dan Target Toko'!$C:$C,MATCH($I632,'Kode Outlet dan Target Toko'!$E:$E,0)),0)</f>
        <v>103259</v>
      </c>
      <c r="H632" s="20">
        <f>IFERROR(INDEX('Kode Outlet dan Target Toko'!$D:$D,MATCH($I632,'Kode Outlet dan Target Toko'!$E:$E,0)),0)</f>
        <v>9029389</v>
      </c>
      <c r="I632" s="51" t="s">
        <v>27</v>
      </c>
      <c r="J632" s="27" t="s">
        <v>179</v>
      </c>
      <c r="K632" s="39" t="s">
        <v>13</v>
      </c>
      <c r="L632" s="29">
        <v>2000</v>
      </c>
      <c r="M632" s="24">
        <v>30</v>
      </c>
      <c r="N632" s="25">
        <f t="shared" si="19"/>
        <v>60000</v>
      </c>
      <c r="O632" s="24"/>
    </row>
    <row r="633" spans="1:15" ht="15.75" hidden="1" customHeight="1" x14ac:dyDescent="0.3">
      <c r="A633" s="24">
        <v>26</v>
      </c>
      <c r="B633" s="20" t="str">
        <f t="shared" si="18"/>
        <v>JUN</v>
      </c>
      <c r="C633" s="21">
        <v>46199</v>
      </c>
      <c r="D633" s="22" t="str">
        <f t="array" ref="D633">IFERROR(INDEX('Kode Outlet dan Target Toko'!$A:$A,MATCH($I633,'Kode Outlet dan Target Toko'!$E:$E,0)),"")</f>
        <v>GRSM 4</v>
      </c>
      <c r="E633" s="20" t="str">
        <f>IFERROR(VLOOKUP(I633,KET!$B:$F,4,0),"")</f>
        <v>FAHMI LUKMANUL HAKIM</v>
      </c>
      <c r="F633" s="20" t="str">
        <f>IFERROR(VLOOKUP(I633,KET!$B:$F,5,0),"")</f>
        <v>GMM</v>
      </c>
      <c r="G633" s="20">
        <f>IFERROR(INDEX('Kode Outlet dan Target Toko'!$C:$C,MATCH($I633,'Kode Outlet dan Target Toko'!$E:$E,0)),0)</f>
        <v>103259</v>
      </c>
      <c r="H633" s="20">
        <f>IFERROR(INDEX('Kode Outlet dan Target Toko'!$D:$D,MATCH($I633,'Kode Outlet dan Target Toko'!$E:$E,0)),0)</f>
        <v>9029389</v>
      </c>
      <c r="I633" s="51" t="s">
        <v>27</v>
      </c>
      <c r="J633" s="27" t="s">
        <v>179</v>
      </c>
      <c r="K633" s="39" t="s">
        <v>16</v>
      </c>
      <c r="L633" s="29">
        <v>2000</v>
      </c>
      <c r="M633" s="24">
        <v>130</v>
      </c>
      <c r="N633" s="25">
        <f t="shared" si="19"/>
        <v>260000</v>
      </c>
      <c r="O633" s="24">
        <v>160</v>
      </c>
    </row>
    <row r="634" spans="1:15" ht="15.75" hidden="1" customHeight="1" x14ac:dyDescent="0.3">
      <c r="A634" s="24">
        <v>26</v>
      </c>
      <c r="B634" s="20" t="str">
        <f t="shared" si="18"/>
        <v>JUN</v>
      </c>
      <c r="C634" s="21">
        <v>46199</v>
      </c>
      <c r="D634" s="22" t="str">
        <f t="array" ref="D634">IFERROR(INDEX('Kode Outlet dan Target Toko'!$A:$A,MATCH($I634,'Kode Outlet dan Target Toko'!$E:$E,0)),"")</f>
        <v>GRSM 4</v>
      </c>
      <c r="E634" s="20" t="str">
        <f>IFERROR(VLOOKUP(I634,KET!$B:$F,4,0),"")</f>
        <v>FAHMI LUKMANUL HAKIM</v>
      </c>
      <c r="F634" s="20" t="str">
        <f>IFERROR(VLOOKUP(I634,KET!$B:$F,5,0),"")</f>
        <v>GMM</v>
      </c>
      <c r="G634" s="20">
        <f>IFERROR(INDEX('Kode Outlet dan Target Toko'!$C:$C,MATCH($I634,'Kode Outlet dan Target Toko'!$E:$E,0)),0)</f>
        <v>103259</v>
      </c>
      <c r="H634" s="20">
        <f>IFERROR(INDEX('Kode Outlet dan Target Toko'!$D:$D,MATCH($I634,'Kode Outlet dan Target Toko'!$E:$E,0)),0)</f>
        <v>9029389</v>
      </c>
      <c r="I634" s="41" t="s">
        <v>18</v>
      </c>
      <c r="J634" s="27" t="s">
        <v>174</v>
      </c>
      <c r="K634" s="39" t="s">
        <v>15</v>
      </c>
      <c r="L634" s="23">
        <v>2000</v>
      </c>
      <c r="M634" s="24">
        <v>66</v>
      </c>
      <c r="N634" s="25">
        <f t="shared" si="19"/>
        <v>132000</v>
      </c>
      <c r="O634" s="24"/>
    </row>
    <row r="635" spans="1:15" ht="15.75" hidden="1" customHeight="1" x14ac:dyDescent="0.3">
      <c r="A635" s="24">
        <v>26</v>
      </c>
      <c r="B635" s="20" t="str">
        <f t="shared" si="18"/>
        <v>JUN</v>
      </c>
      <c r="C635" s="21">
        <v>46199</v>
      </c>
      <c r="D635" s="22" t="str">
        <f t="array" ref="D635">IFERROR(INDEX('Kode Outlet dan Target Toko'!$A:$A,MATCH($I635,'Kode Outlet dan Target Toko'!$E:$E,0)),"")</f>
        <v>GRSM 4</v>
      </c>
      <c r="E635" s="20" t="str">
        <f>IFERROR(VLOOKUP(I635,KET!$B:$F,4,0),"")</f>
        <v>FAHMI LUKMANUL HAKIM</v>
      </c>
      <c r="F635" s="20" t="str">
        <f>IFERROR(VLOOKUP(I635,KET!$B:$F,5,0),"")</f>
        <v>GMM</v>
      </c>
      <c r="G635" s="20">
        <f>IFERROR(INDEX('Kode Outlet dan Target Toko'!$C:$C,MATCH($I635,'Kode Outlet dan Target Toko'!$E:$E,0)),0)</f>
        <v>103259</v>
      </c>
      <c r="H635" s="20">
        <f>IFERROR(INDEX('Kode Outlet dan Target Toko'!$D:$D,MATCH($I635,'Kode Outlet dan Target Toko'!$E:$E,0)),0)</f>
        <v>9029389</v>
      </c>
      <c r="I635" s="41" t="s">
        <v>18</v>
      </c>
      <c r="J635" s="27" t="s">
        <v>174</v>
      </c>
      <c r="K635" s="39" t="s">
        <v>14</v>
      </c>
      <c r="L635" s="23">
        <v>2000</v>
      </c>
      <c r="M635" s="24">
        <v>57</v>
      </c>
      <c r="N635" s="25">
        <f t="shared" si="19"/>
        <v>114000</v>
      </c>
      <c r="O635" s="24"/>
    </row>
    <row r="636" spans="1:15" ht="15.75" hidden="1" customHeight="1" x14ac:dyDescent="0.3">
      <c r="A636" s="24">
        <v>26</v>
      </c>
      <c r="B636" s="20" t="str">
        <f t="shared" si="18"/>
        <v>JUN</v>
      </c>
      <c r="C636" s="21">
        <v>46199</v>
      </c>
      <c r="D636" s="22" t="str">
        <f t="array" ref="D636">IFERROR(INDEX('Kode Outlet dan Target Toko'!$A:$A,MATCH($I636,'Kode Outlet dan Target Toko'!$E:$E,0)),"")</f>
        <v>GRSM 4</v>
      </c>
      <c r="E636" s="20" t="str">
        <f>IFERROR(VLOOKUP(I636,KET!$B:$F,4,0),"")</f>
        <v>FAHMI LUKMANUL HAKIM</v>
      </c>
      <c r="F636" s="20" t="str">
        <f>IFERROR(VLOOKUP(I636,KET!$B:$F,5,0),"")</f>
        <v>GMM</v>
      </c>
      <c r="G636" s="20">
        <f>IFERROR(INDEX('Kode Outlet dan Target Toko'!$C:$C,MATCH($I636,'Kode Outlet dan Target Toko'!$E:$E,0)),0)</f>
        <v>103259</v>
      </c>
      <c r="H636" s="20">
        <f>IFERROR(INDEX('Kode Outlet dan Target Toko'!$D:$D,MATCH($I636,'Kode Outlet dan Target Toko'!$E:$E,0)),0)</f>
        <v>9029389</v>
      </c>
      <c r="I636" s="41" t="s">
        <v>18</v>
      </c>
      <c r="J636" s="27" t="s">
        <v>174</v>
      </c>
      <c r="K636" s="39" t="s">
        <v>13</v>
      </c>
      <c r="L636" s="23">
        <v>2000</v>
      </c>
      <c r="M636" s="24">
        <v>45</v>
      </c>
      <c r="N636" s="25">
        <f t="shared" si="19"/>
        <v>90000</v>
      </c>
      <c r="O636" s="24"/>
    </row>
    <row r="637" spans="1:15" ht="15.75" hidden="1" customHeight="1" x14ac:dyDescent="0.3">
      <c r="A637" s="24">
        <v>26</v>
      </c>
      <c r="B637" s="20" t="str">
        <f t="shared" si="18"/>
        <v>JUN</v>
      </c>
      <c r="C637" s="21">
        <v>46199</v>
      </c>
      <c r="D637" s="22" t="str">
        <f t="array" ref="D637">IFERROR(INDEX('Kode Outlet dan Target Toko'!$A:$A,MATCH($I637,'Kode Outlet dan Target Toko'!$E:$E,0)),"")</f>
        <v>GRSM 4</v>
      </c>
      <c r="E637" s="20" t="str">
        <f>IFERROR(VLOOKUP(I637,KET!$B:$F,4,0),"")</f>
        <v>FAHMI LUKMANUL HAKIM</v>
      </c>
      <c r="F637" s="20" t="str">
        <f>IFERROR(VLOOKUP(I637,KET!$B:$F,5,0),"")</f>
        <v>GMM</v>
      </c>
      <c r="G637" s="20">
        <f>IFERROR(INDEX('Kode Outlet dan Target Toko'!$C:$C,MATCH($I637,'Kode Outlet dan Target Toko'!$E:$E,0)),0)</f>
        <v>103259</v>
      </c>
      <c r="H637" s="20">
        <f>IFERROR(INDEX('Kode Outlet dan Target Toko'!$D:$D,MATCH($I637,'Kode Outlet dan Target Toko'!$E:$E,0)),0)</f>
        <v>9029389</v>
      </c>
      <c r="I637" s="41" t="s">
        <v>18</v>
      </c>
      <c r="J637" s="27" t="s">
        <v>174</v>
      </c>
      <c r="K637" s="39" t="s">
        <v>16</v>
      </c>
      <c r="L637" s="23">
        <v>2000</v>
      </c>
      <c r="M637" s="24">
        <v>120</v>
      </c>
      <c r="N637" s="25">
        <f t="shared" si="19"/>
        <v>240000</v>
      </c>
      <c r="O637" s="24">
        <v>160</v>
      </c>
    </row>
    <row r="638" spans="1:15" ht="15.75" hidden="1" customHeight="1" x14ac:dyDescent="0.3">
      <c r="A638" s="24">
        <v>26</v>
      </c>
      <c r="B638" s="20" t="str">
        <f t="shared" si="18"/>
        <v>JUN</v>
      </c>
      <c r="C638" s="21">
        <v>46199</v>
      </c>
      <c r="D638" s="22" t="str">
        <f t="array" ref="D638">IFERROR(INDEX('Kode Outlet dan Target Toko'!$A:$A,MATCH($I638,'Kode Outlet dan Target Toko'!$E:$E,0)),"")</f>
        <v>GRSM 4</v>
      </c>
      <c r="E638" s="20" t="str">
        <f>IFERROR(VLOOKUP(I638,KET!$B:$F,4,0),"")</f>
        <v>FAHMI LUKMANUL HAKIM</v>
      </c>
      <c r="F638" s="20" t="str">
        <f>IFERROR(VLOOKUP(I638,KET!$B:$F,5,0),"")</f>
        <v>GMM</v>
      </c>
      <c r="G638" s="20">
        <f>IFERROR(INDEX('Kode Outlet dan Target Toko'!$C:$C,MATCH($I638,'Kode Outlet dan Target Toko'!$E:$E,0)),0)</f>
        <v>103277</v>
      </c>
      <c r="H638" s="20">
        <f>IFERROR(INDEX('Kode Outlet dan Target Toko'!$D:$D,MATCH($I638,'Kode Outlet dan Target Toko'!$E:$E,0)),0)</f>
        <v>6301424</v>
      </c>
      <c r="I638" s="41" t="s">
        <v>25</v>
      </c>
      <c r="J638" s="19" t="s">
        <v>257</v>
      </c>
      <c r="K638" s="39" t="s">
        <v>15</v>
      </c>
      <c r="L638" s="23">
        <v>3000</v>
      </c>
      <c r="M638" s="24">
        <v>78</v>
      </c>
      <c r="N638" s="25">
        <f t="shared" si="19"/>
        <v>234000</v>
      </c>
      <c r="O638" s="24"/>
    </row>
    <row r="639" spans="1:15" ht="15.75" hidden="1" customHeight="1" x14ac:dyDescent="0.3">
      <c r="A639" s="24">
        <v>26</v>
      </c>
      <c r="B639" s="20" t="str">
        <f t="shared" si="18"/>
        <v>JUN</v>
      </c>
      <c r="C639" s="21">
        <v>46199</v>
      </c>
      <c r="D639" s="22" t="str">
        <f t="array" ref="D639">IFERROR(INDEX('Kode Outlet dan Target Toko'!$A:$A,MATCH($I639,'Kode Outlet dan Target Toko'!$E:$E,0)),"")</f>
        <v>GRSM 4</v>
      </c>
      <c r="E639" s="20" t="str">
        <f>IFERROR(VLOOKUP(I639,KET!$B:$F,4,0),"")</f>
        <v>FAHMI LUKMANUL HAKIM</v>
      </c>
      <c r="F639" s="20" t="str">
        <f>IFERROR(VLOOKUP(I639,KET!$B:$F,5,0),"")</f>
        <v>GMM</v>
      </c>
      <c r="G639" s="20">
        <f>IFERROR(INDEX('Kode Outlet dan Target Toko'!$C:$C,MATCH($I639,'Kode Outlet dan Target Toko'!$E:$E,0)),0)</f>
        <v>103277</v>
      </c>
      <c r="H639" s="20">
        <f>IFERROR(INDEX('Kode Outlet dan Target Toko'!$D:$D,MATCH($I639,'Kode Outlet dan Target Toko'!$E:$E,0)),0)</f>
        <v>6301424</v>
      </c>
      <c r="I639" s="41" t="s">
        <v>25</v>
      </c>
      <c r="J639" s="19" t="s">
        <v>257</v>
      </c>
      <c r="K639" s="39" t="s">
        <v>14</v>
      </c>
      <c r="L639" s="23">
        <v>3000</v>
      </c>
      <c r="M639" s="24">
        <v>82</v>
      </c>
      <c r="N639" s="25">
        <f t="shared" si="19"/>
        <v>246000</v>
      </c>
      <c r="O639" s="24"/>
    </row>
    <row r="640" spans="1:15" ht="15.75" hidden="1" customHeight="1" x14ac:dyDescent="0.3">
      <c r="A640" s="24">
        <v>26</v>
      </c>
      <c r="B640" s="20" t="str">
        <f t="shared" si="18"/>
        <v>JUN</v>
      </c>
      <c r="C640" s="21">
        <v>46199</v>
      </c>
      <c r="D640" s="22" t="str">
        <f t="array" ref="D640">IFERROR(INDEX('Kode Outlet dan Target Toko'!$A:$A,MATCH($I640,'Kode Outlet dan Target Toko'!$E:$E,0)),"")</f>
        <v>GRSM 4</v>
      </c>
      <c r="E640" s="20" t="str">
        <f>IFERROR(VLOOKUP(I640,KET!$B:$F,4,0),"")</f>
        <v>FAHMI LUKMANUL HAKIM</v>
      </c>
      <c r="F640" s="20" t="str">
        <f>IFERROR(VLOOKUP(I640,KET!$B:$F,5,0),"")</f>
        <v>GMM</v>
      </c>
      <c r="G640" s="20">
        <f>IFERROR(INDEX('Kode Outlet dan Target Toko'!$C:$C,MATCH($I640,'Kode Outlet dan Target Toko'!$E:$E,0)),0)</f>
        <v>103277</v>
      </c>
      <c r="H640" s="20">
        <f>IFERROR(INDEX('Kode Outlet dan Target Toko'!$D:$D,MATCH($I640,'Kode Outlet dan Target Toko'!$E:$E,0)),0)</f>
        <v>6301424</v>
      </c>
      <c r="I640" s="41" t="s">
        <v>25</v>
      </c>
      <c r="J640" s="19" t="s">
        <v>257</v>
      </c>
      <c r="K640" s="39" t="s">
        <v>13</v>
      </c>
      <c r="L640" s="23">
        <v>3000</v>
      </c>
      <c r="M640" s="24">
        <v>38</v>
      </c>
      <c r="N640" s="25">
        <f t="shared" si="19"/>
        <v>114000</v>
      </c>
      <c r="O640" s="24"/>
    </row>
    <row r="641" spans="1:15" ht="15.75" hidden="1" customHeight="1" x14ac:dyDescent="0.3">
      <c r="A641" s="24">
        <v>26</v>
      </c>
      <c r="B641" s="20" t="str">
        <f t="shared" si="18"/>
        <v>JUN</v>
      </c>
      <c r="C641" s="21">
        <v>46199</v>
      </c>
      <c r="D641" s="22" t="str">
        <f t="array" ref="D641">IFERROR(INDEX('Kode Outlet dan Target Toko'!$A:$A,MATCH($I641,'Kode Outlet dan Target Toko'!$E:$E,0)),"")</f>
        <v>GRSM 4</v>
      </c>
      <c r="E641" s="20" t="str">
        <f>IFERROR(VLOOKUP(I641,KET!$B:$F,4,0),"")</f>
        <v>FAHMI LUKMANUL HAKIM</v>
      </c>
      <c r="F641" s="20" t="str">
        <f>IFERROR(VLOOKUP(I641,KET!$B:$F,5,0),"")</f>
        <v>GMM</v>
      </c>
      <c r="G641" s="20">
        <f>IFERROR(INDEX('Kode Outlet dan Target Toko'!$C:$C,MATCH($I641,'Kode Outlet dan Target Toko'!$E:$E,0)),0)</f>
        <v>103277</v>
      </c>
      <c r="H641" s="20">
        <f>IFERROR(INDEX('Kode Outlet dan Target Toko'!$D:$D,MATCH($I641,'Kode Outlet dan Target Toko'!$E:$E,0)),0)</f>
        <v>6301424</v>
      </c>
      <c r="I641" s="41" t="s">
        <v>25</v>
      </c>
      <c r="J641" s="19" t="s">
        <v>257</v>
      </c>
      <c r="K641" s="39" t="s">
        <v>16</v>
      </c>
      <c r="L641" s="23">
        <v>3000</v>
      </c>
      <c r="M641" s="24">
        <v>122</v>
      </c>
      <c r="N641" s="25">
        <f t="shared" si="19"/>
        <v>366000</v>
      </c>
      <c r="O641" s="24">
        <v>120</v>
      </c>
    </row>
    <row r="642" spans="1:15" ht="15.75" hidden="1" customHeight="1" x14ac:dyDescent="0.3">
      <c r="A642" s="24">
        <v>26</v>
      </c>
      <c r="B642" s="20" t="str">
        <f t="shared" si="18"/>
        <v>JUN</v>
      </c>
      <c r="C642" s="21">
        <v>46199</v>
      </c>
      <c r="D642" s="22" t="str">
        <f t="array" ref="D642">IFERROR(INDEX('Kode Outlet dan Target Toko'!$A:$A,MATCH($I642,'Kode Outlet dan Target Toko'!$E:$E,0)),"")</f>
        <v>GRSM 4</v>
      </c>
      <c r="E642" s="20" t="str">
        <f>IFERROR(VLOOKUP(I642,KET!$B:$F,4,0),"")</f>
        <v>FAHMI LUKMANUL HAKIM</v>
      </c>
      <c r="F642" s="20" t="str">
        <f>IFERROR(VLOOKUP(I642,KET!$B:$F,5,0),"")</f>
        <v>GMM</v>
      </c>
      <c r="G642" s="20">
        <f>IFERROR(INDEX('Kode Outlet dan Target Toko'!$C:$C,MATCH($I642,'Kode Outlet dan Target Toko'!$E:$E,0)),0)</f>
        <v>103277</v>
      </c>
      <c r="H642" s="20">
        <f>IFERROR(INDEX('Kode Outlet dan Target Toko'!$D:$D,MATCH($I642,'Kode Outlet dan Target Toko'!$E:$E,0)),0)</f>
        <v>6301424</v>
      </c>
      <c r="I642" s="41" t="s">
        <v>25</v>
      </c>
      <c r="J642" s="56" t="s">
        <v>183</v>
      </c>
      <c r="K642" s="39" t="s">
        <v>15</v>
      </c>
      <c r="L642" s="23">
        <v>3000</v>
      </c>
      <c r="M642" s="24">
        <v>82</v>
      </c>
      <c r="N642" s="25">
        <f t="shared" si="19"/>
        <v>246000</v>
      </c>
      <c r="O642" s="24"/>
    </row>
    <row r="643" spans="1:15" ht="15.75" hidden="1" customHeight="1" x14ac:dyDescent="0.3">
      <c r="A643" s="24">
        <v>26</v>
      </c>
      <c r="B643" s="20" t="str">
        <f t="shared" si="18"/>
        <v>JUN</v>
      </c>
      <c r="C643" s="21">
        <v>46199</v>
      </c>
      <c r="D643" s="22" t="str">
        <f t="array" ref="D643">IFERROR(INDEX('Kode Outlet dan Target Toko'!$A:$A,MATCH($I643,'Kode Outlet dan Target Toko'!$E:$E,0)),"")</f>
        <v>GRSM 4</v>
      </c>
      <c r="E643" s="20" t="str">
        <f>IFERROR(VLOOKUP(I643,KET!$B:$F,4,0),"")</f>
        <v>FAHMI LUKMANUL HAKIM</v>
      </c>
      <c r="F643" s="20" t="str">
        <f>IFERROR(VLOOKUP(I643,KET!$B:$F,5,0),"")</f>
        <v>GMM</v>
      </c>
      <c r="G643" s="20">
        <f>IFERROR(INDEX('Kode Outlet dan Target Toko'!$C:$C,MATCH($I643,'Kode Outlet dan Target Toko'!$E:$E,0)),0)</f>
        <v>103277</v>
      </c>
      <c r="H643" s="20">
        <f>IFERROR(INDEX('Kode Outlet dan Target Toko'!$D:$D,MATCH($I643,'Kode Outlet dan Target Toko'!$E:$E,0)),0)</f>
        <v>6301424</v>
      </c>
      <c r="I643" s="41" t="s">
        <v>25</v>
      </c>
      <c r="J643" s="56" t="s">
        <v>183</v>
      </c>
      <c r="K643" s="39" t="s">
        <v>14</v>
      </c>
      <c r="L643" s="23">
        <v>3000</v>
      </c>
      <c r="M643" s="24">
        <v>84</v>
      </c>
      <c r="N643" s="25">
        <f t="shared" si="19"/>
        <v>252000</v>
      </c>
      <c r="O643" s="24"/>
    </row>
    <row r="644" spans="1:15" ht="15.75" hidden="1" customHeight="1" x14ac:dyDescent="0.3">
      <c r="A644" s="24">
        <v>26</v>
      </c>
      <c r="B644" s="20" t="str">
        <f t="shared" si="18"/>
        <v>JUN</v>
      </c>
      <c r="C644" s="21">
        <v>46199</v>
      </c>
      <c r="D644" s="22" t="str">
        <f t="array" ref="D644">IFERROR(INDEX('Kode Outlet dan Target Toko'!$A:$A,MATCH($I644,'Kode Outlet dan Target Toko'!$E:$E,0)),"")</f>
        <v>GRSM 4</v>
      </c>
      <c r="E644" s="20" t="str">
        <f>IFERROR(VLOOKUP(I644,KET!$B:$F,4,0),"")</f>
        <v>FAHMI LUKMANUL HAKIM</v>
      </c>
      <c r="F644" s="20" t="str">
        <f>IFERROR(VLOOKUP(I644,KET!$B:$F,5,0),"")</f>
        <v>GMM</v>
      </c>
      <c r="G644" s="20">
        <f>IFERROR(INDEX('Kode Outlet dan Target Toko'!$C:$C,MATCH($I644,'Kode Outlet dan Target Toko'!$E:$E,0)),0)</f>
        <v>103277</v>
      </c>
      <c r="H644" s="20">
        <f>IFERROR(INDEX('Kode Outlet dan Target Toko'!$D:$D,MATCH($I644,'Kode Outlet dan Target Toko'!$E:$E,0)),0)</f>
        <v>6301424</v>
      </c>
      <c r="I644" s="41" t="s">
        <v>25</v>
      </c>
      <c r="J644" s="56" t="s">
        <v>183</v>
      </c>
      <c r="K644" s="39" t="s">
        <v>13</v>
      </c>
      <c r="L644" s="23">
        <v>3000</v>
      </c>
      <c r="M644" s="24">
        <v>40</v>
      </c>
      <c r="N644" s="25">
        <f t="shared" si="19"/>
        <v>120000</v>
      </c>
      <c r="O644" s="24"/>
    </row>
    <row r="645" spans="1:15" ht="15.75" hidden="1" customHeight="1" x14ac:dyDescent="0.3">
      <c r="A645" s="24">
        <v>26</v>
      </c>
      <c r="B645" s="20" t="str">
        <f t="shared" si="18"/>
        <v>JUN</v>
      </c>
      <c r="C645" s="21">
        <v>46199</v>
      </c>
      <c r="D645" s="22" t="str">
        <f t="array" ref="D645">IFERROR(INDEX('Kode Outlet dan Target Toko'!$A:$A,MATCH($I645,'Kode Outlet dan Target Toko'!$E:$E,0)),"")</f>
        <v>GRSM 4</v>
      </c>
      <c r="E645" s="20" t="str">
        <f>IFERROR(VLOOKUP(I645,KET!$B:$F,4,0),"")</f>
        <v>FAHMI LUKMANUL HAKIM</v>
      </c>
      <c r="F645" s="20" t="str">
        <f>IFERROR(VLOOKUP(I645,KET!$B:$F,5,0),"")</f>
        <v>GMM</v>
      </c>
      <c r="G645" s="20">
        <f>IFERROR(INDEX('Kode Outlet dan Target Toko'!$C:$C,MATCH($I645,'Kode Outlet dan Target Toko'!$E:$E,0)),0)</f>
        <v>103277</v>
      </c>
      <c r="H645" s="20">
        <f>IFERROR(INDEX('Kode Outlet dan Target Toko'!$D:$D,MATCH($I645,'Kode Outlet dan Target Toko'!$E:$E,0)),0)</f>
        <v>6301424</v>
      </c>
      <c r="I645" s="41" t="s">
        <v>25</v>
      </c>
      <c r="J645" s="56" t="s">
        <v>183</v>
      </c>
      <c r="K645" s="39" t="s">
        <v>16</v>
      </c>
      <c r="L645" s="23">
        <v>3000</v>
      </c>
      <c r="M645" s="24">
        <v>126</v>
      </c>
      <c r="N645" s="25">
        <f t="shared" si="19"/>
        <v>378000</v>
      </c>
      <c r="O645" s="24">
        <v>120</v>
      </c>
    </row>
    <row r="646" spans="1:15" ht="15.75" hidden="1" customHeight="1" x14ac:dyDescent="0.3">
      <c r="A646" s="24">
        <v>26</v>
      </c>
      <c r="B646" s="20" t="str">
        <f t="shared" si="18"/>
        <v>JUN</v>
      </c>
      <c r="C646" s="21">
        <v>46199</v>
      </c>
      <c r="D646" s="22" t="str">
        <f t="array" ref="D646">IFERROR(INDEX('Kode Outlet dan Target Toko'!$A:$A,MATCH($I646,'Kode Outlet dan Target Toko'!$E:$E,0)),"")</f>
        <v>GRSM 4</v>
      </c>
      <c r="E646" s="20" t="str">
        <f>IFERROR(VLOOKUP(I646,KET!$B:$F,4,0),"")</f>
        <v>FAHMI LUKMANUL HAKIM</v>
      </c>
      <c r="F646" s="20" t="str">
        <f>IFERROR(VLOOKUP(I646,KET!$B:$F,5,0),"")</f>
        <v>NKA</v>
      </c>
      <c r="G646" s="20">
        <f>IFERROR(INDEX('Kode Outlet dan Target Toko'!$C:$C,MATCH($I646,'Kode Outlet dan Target Toko'!$E:$E,0)),0)</f>
        <v>490034</v>
      </c>
      <c r="H646" s="20">
        <f>IFERROR(INDEX('Kode Outlet dan Target Toko'!$D:$D,MATCH($I646,'Kode Outlet dan Target Toko'!$E:$E,0)),0)</f>
        <v>209554</v>
      </c>
      <c r="I646" s="41" t="s">
        <v>26</v>
      </c>
      <c r="J646" s="19" t="s">
        <v>177</v>
      </c>
      <c r="K646" s="39" t="s">
        <v>15</v>
      </c>
      <c r="L646" s="23">
        <v>3275</v>
      </c>
      <c r="M646" s="24">
        <v>30</v>
      </c>
      <c r="N646" s="25">
        <f t="shared" si="19"/>
        <v>98250</v>
      </c>
      <c r="O646" s="24"/>
    </row>
    <row r="647" spans="1:15" ht="15.75" hidden="1" customHeight="1" x14ac:dyDescent="0.3">
      <c r="A647" s="24">
        <v>26</v>
      </c>
      <c r="B647" s="20" t="str">
        <f t="shared" ref="B647:B710" si="20">IF(C647="","",UPPER(TEXT(C647, "MMM")))</f>
        <v>JUN</v>
      </c>
      <c r="C647" s="21">
        <v>46199</v>
      </c>
      <c r="D647" s="22" t="str">
        <f t="array" ref="D647">IFERROR(INDEX('Kode Outlet dan Target Toko'!$A:$A,MATCH($I647,'Kode Outlet dan Target Toko'!$E:$E,0)),"")</f>
        <v>GRSM 4</v>
      </c>
      <c r="E647" s="20" t="str">
        <f>IFERROR(VLOOKUP(I647,KET!$B:$F,4,0),"")</f>
        <v>FAHMI LUKMANUL HAKIM</v>
      </c>
      <c r="F647" s="20" t="str">
        <f>IFERROR(VLOOKUP(I647,KET!$B:$F,5,0),"")</f>
        <v>NKA</v>
      </c>
      <c r="G647" s="20">
        <f>IFERROR(INDEX('Kode Outlet dan Target Toko'!$C:$C,MATCH($I647,'Kode Outlet dan Target Toko'!$E:$E,0)),0)</f>
        <v>490034</v>
      </c>
      <c r="H647" s="20">
        <f>IFERROR(INDEX('Kode Outlet dan Target Toko'!$D:$D,MATCH($I647,'Kode Outlet dan Target Toko'!$E:$E,0)),0)</f>
        <v>209554</v>
      </c>
      <c r="I647" s="41" t="s">
        <v>26</v>
      </c>
      <c r="J647" s="19" t="s">
        <v>177</v>
      </c>
      <c r="K647" s="39" t="s">
        <v>14</v>
      </c>
      <c r="L647" s="23">
        <v>3275</v>
      </c>
      <c r="M647" s="24">
        <v>42</v>
      </c>
      <c r="N647" s="25">
        <f t="shared" ref="N647:N710" si="21">IFERROR(M647*L647,"")</f>
        <v>137550</v>
      </c>
      <c r="O647" s="24"/>
    </row>
    <row r="648" spans="1:15" ht="15.75" hidden="1" customHeight="1" x14ac:dyDescent="0.3">
      <c r="A648" s="24">
        <v>26</v>
      </c>
      <c r="B648" s="20" t="str">
        <f t="shared" si="20"/>
        <v>JUN</v>
      </c>
      <c r="C648" s="21">
        <v>46199</v>
      </c>
      <c r="D648" s="22" t="str">
        <f t="array" ref="D648">IFERROR(INDEX('Kode Outlet dan Target Toko'!$A:$A,MATCH($I648,'Kode Outlet dan Target Toko'!$E:$E,0)),"")</f>
        <v>GRSM 4</v>
      </c>
      <c r="E648" s="20" t="str">
        <f>IFERROR(VLOOKUP(I648,KET!$B:$F,4,0),"")</f>
        <v>FAHMI LUKMANUL HAKIM</v>
      </c>
      <c r="F648" s="20" t="str">
        <f>IFERROR(VLOOKUP(I648,KET!$B:$F,5,0),"")</f>
        <v>NKA</v>
      </c>
      <c r="G648" s="20">
        <f>IFERROR(INDEX('Kode Outlet dan Target Toko'!$C:$C,MATCH($I648,'Kode Outlet dan Target Toko'!$E:$E,0)),0)</f>
        <v>490034</v>
      </c>
      <c r="H648" s="20">
        <f>IFERROR(INDEX('Kode Outlet dan Target Toko'!$D:$D,MATCH($I648,'Kode Outlet dan Target Toko'!$E:$E,0)),0)</f>
        <v>209554</v>
      </c>
      <c r="I648" s="41" t="s">
        <v>26</v>
      </c>
      <c r="J648" s="19" t="s">
        <v>177</v>
      </c>
      <c r="K648" s="39" t="s">
        <v>13</v>
      </c>
      <c r="L648" s="23">
        <v>3275</v>
      </c>
      <c r="M648" s="24">
        <v>24</v>
      </c>
      <c r="N648" s="25">
        <f t="shared" si="21"/>
        <v>78600</v>
      </c>
      <c r="O648" s="24"/>
    </row>
    <row r="649" spans="1:15" ht="15.75" hidden="1" customHeight="1" x14ac:dyDescent="0.3">
      <c r="A649" s="24">
        <v>26</v>
      </c>
      <c r="B649" s="20" t="str">
        <f t="shared" si="20"/>
        <v>JUN</v>
      </c>
      <c r="C649" s="21">
        <v>46199</v>
      </c>
      <c r="D649" s="22" t="str">
        <f t="array" ref="D649">IFERROR(INDEX('Kode Outlet dan Target Toko'!$A:$A,MATCH($I649,'Kode Outlet dan Target Toko'!$E:$E,0)),"")</f>
        <v>GRSM 4</v>
      </c>
      <c r="E649" s="20" t="str">
        <f>IFERROR(VLOOKUP(I649,KET!$B:$F,4,0),"")</f>
        <v>FAHMI LUKMANUL HAKIM</v>
      </c>
      <c r="F649" s="20" t="str">
        <f>IFERROR(VLOOKUP(I649,KET!$B:$F,5,0),"")</f>
        <v>NKA</v>
      </c>
      <c r="G649" s="20">
        <f>IFERROR(INDEX('Kode Outlet dan Target Toko'!$C:$C,MATCH($I649,'Kode Outlet dan Target Toko'!$E:$E,0)),0)</f>
        <v>490034</v>
      </c>
      <c r="H649" s="20">
        <f>IFERROR(INDEX('Kode Outlet dan Target Toko'!$D:$D,MATCH($I649,'Kode Outlet dan Target Toko'!$E:$E,0)),0)</f>
        <v>209554</v>
      </c>
      <c r="I649" s="41" t="s">
        <v>26</v>
      </c>
      <c r="J649" s="19" t="s">
        <v>177</v>
      </c>
      <c r="K649" s="39" t="s">
        <v>16</v>
      </c>
      <c r="L649" s="23">
        <v>3275</v>
      </c>
      <c r="M649" s="24">
        <v>234</v>
      </c>
      <c r="N649" s="25">
        <f t="shared" si="21"/>
        <v>766350</v>
      </c>
      <c r="O649" s="24">
        <v>160</v>
      </c>
    </row>
    <row r="650" spans="1:15" ht="15.75" hidden="1" customHeight="1" x14ac:dyDescent="0.3">
      <c r="A650" s="24">
        <v>26</v>
      </c>
      <c r="B650" s="20" t="str">
        <f t="shared" si="20"/>
        <v>JUN</v>
      </c>
      <c r="C650" s="21">
        <v>46199</v>
      </c>
      <c r="D650" s="22" t="str">
        <f t="array" ref="D650">IFERROR(INDEX('Kode Outlet dan Target Toko'!$A:$A,MATCH($I650,'Kode Outlet dan Target Toko'!$E:$E,0)),"")</f>
        <v>GRSM 4</v>
      </c>
      <c r="E650" s="20" t="str">
        <f>IFERROR(VLOOKUP(I650,KET!$B:$F,4,0),"")</f>
        <v>FAHMI LUKMANUL HAKIM</v>
      </c>
      <c r="F650" s="20" t="str">
        <f>IFERROR(VLOOKUP(I650,KET!$B:$F,5,0),"")</f>
        <v>NKA</v>
      </c>
      <c r="G650" s="20">
        <f>IFERROR(INDEX('Kode Outlet dan Target Toko'!$C:$C,MATCH($I650,'Kode Outlet dan Target Toko'!$E:$E,0)),0)</f>
        <v>490034</v>
      </c>
      <c r="H650" s="20">
        <f>IFERROR(INDEX('Kode Outlet dan Target Toko'!$D:$D,MATCH($I650,'Kode Outlet dan Target Toko'!$E:$E,0)),0)</f>
        <v>209554</v>
      </c>
      <c r="I650" s="51" t="s">
        <v>26</v>
      </c>
      <c r="J650" s="27" t="s">
        <v>176</v>
      </c>
      <c r="K650" s="39" t="s">
        <v>15</v>
      </c>
      <c r="L650" s="29">
        <v>3275</v>
      </c>
      <c r="M650" s="24">
        <v>30</v>
      </c>
      <c r="N650" s="25">
        <f t="shared" si="21"/>
        <v>98250</v>
      </c>
      <c r="O650" s="24"/>
    </row>
    <row r="651" spans="1:15" ht="15.75" hidden="1" customHeight="1" x14ac:dyDescent="0.3">
      <c r="A651" s="24">
        <v>26</v>
      </c>
      <c r="B651" s="20" t="str">
        <f t="shared" si="20"/>
        <v>JUN</v>
      </c>
      <c r="C651" s="21">
        <v>46199</v>
      </c>
      <c r="D651" s="22" t="str">
        <f t="array" ref="D651">IFERROR(INDEX('Kode Outlet dan Target Toko'!$A:$A,MATCH($I651,'Kode Outlet dan Target Toko'!$E:$E,0)),"")</f>
        <v>GRSM 4</v>
      </c>
      <c r="E651" s="20" t="str">
        <f>IFERROR(VLOOKUP(I651,KET!$B:$F,4,0),"")</f>
        <v>FAHMI LUKMANUL HAKIM</v>
      </c>
      <c r="F651" s="20" t="str">
        <f>IFERROR(VLOOKUP(I651,KET!$B:$F,5,0),"")</f>
        <v>NKA</v>
      </c>
      <c r="G651" s="20">
        <f>IFERROR(INDEX('Kode Outlet dan Target Toko'!$C:$C,MATCH($I651,'Kode Outlet dan Target Toko'!$E:$E,0)),0)</f>
        <v>490034</v>
      </c>
      <c r="H651" s="20">
        <f>IFERROR(INDEX('Kode Outlet dan Target Toko'!$D:$D,MATCH($I651,'Kode Outlet dan Target Toko'!$E:$E,0)),0)</f>
        <v>209554</v>
      </c>
      <c r="I651" s="51" t="s">
        <v>26</v>
      </c>
      <c r="J651" s="27" t="s">
        <v>176</v>
      </c>
      <c r="K651" s="39" t="s">
        <v>14</v>
      </c>
      <c r="L651" s="29">
        <v>3275</v>
      </c>
      <c r="M651" s="24">
        <v>42</v>
      </c>
      <c r="N651" s="25">
        <f t="shared" si="21"/>
        <v>137550</v>
      </c>
      <c r="O651" s="24"/>
    </row>
    <row r="652" spans="1:15" ht="15.75" hidden="1" customHeight="1" x14ac:dyDescent="0.3">
      <c r="A652" s="24">
        <v>26</v>
      </c>
      <c r="B652" s="20" t="str">
        <f t="shared" si="20"/>
        <v>JUN</v>
      </c>
      <c r="C652" s="21">
        <v>46199</v>
      </c>
      <c r="D652" s="22" t="str">
        <f t="array" ref="D652">IFERROR(INDEX('Kode Outlet dan Target Toko'!$A:$A,MATCH($I652,'Kode Outlet dan Target Toko'!$E:$E,0)),"")</f>
        <v>GRSM 4</v>
      </c>
      <c r="E652" s="20" t="str">
        <f>IFERROR(VLOOKUP(I652,KET!$B:$F,4,0),"")</f>
        <v>FAHMI LUKMANUL HAKIM</v>
      </c>
      <c r="F652" s="20" t="str">
        <f>IFERROR(VLOOKUP(I652,KET!$B:$F,5,0),"")</f>
        <v>NKA</v>
      </c>
      <c r="G652" s="20">
        <f>IFERROR(INDEX('Kode Outlet dan Target Toko'!$C:$C,MATCH($I652,'Kode Outlet dan Target Toko'!$E:$E,0)),0)</f>
        <v>490034</v>
      </c>
      <c r="H652" s="20">
        <f>IFERROR(INDEX('Kode Outlet dan Target Toko'!$D:$D,MATCH($I652,'Kode Outlet dan Target Toko'!$E:$E,0)),0)</f>
        <v>209554</v>
      </c>
      <c r="I652" s="51" t="s">
        <v>26</v>
      </c>
      <c r="J652" s="27" t="s">
        <v>176</v>
      </c>
      <c r="K652" s="39" t="s">
        <v>13</v>
      </c>
      <c r="L652" s="29">
        <v>3275</v>
      </c>
      <c r="M652" s="24">
        <v>24</v>
      </c>
      <c r="N652" s="25">
        <f t="shared" si="21"/>
        <v>78600</v>
      </c>
      <c r="O652" s="24"/>
    </row>
    <row r="653" spans="1:15" ht="15.75" hidden="1" customHeight="1" x14ac:dyDescent="0.3">
      <c r="A653" s="24">
        <v>26</v>
      </c>
      <c r="B653" s="20" t="str">
        <f t="shared" si="20"/>
        <v>JUN</v>
      </c>
      <c r="C653" s="21">
        <v>46199</v>
      </c>
      <c r="D653" s="22" t="str">
        <f t="array" ref="D653">IFERROR(INDEX('Kode Outlet dan Target Toko'!$A:$A,MATCH($I653,'Kode Outlet dan Target Toko'!$E:$E,0)),"")</f>
        <v>GRSM 4</v>
      </c>
      <c r="E653" s="20" t="str">
        <f>IFERROR(VLOOKUP(I653,KET!$B:$F,4,0),"")</f>
        <v>FAHMI LUKMANUL HAKIM</v>
      </c>
      <c r="F653" s="20" t="str">
        <f>IFERROR(VLOOKUP(I653,KET!$B:$F,5,0),"")</f>
        <v>NKA</v>
      </c>
      <c r="G653" s="20">
        <f>IFERROR(INDEX('Kode Outlet dan Target Toko'!$C:$C,MATCH($I653,'Kode Outlet dan Target Toko'!$E:$E,0)),0)</f>
        <v>490034</v>
      </c>
      <c r="H653" s="20">
        <f>IFERROR(INDEX('Kode Outlet dan Target Toko'!$D:$D,MATCH($I653,'Kode Outlet dan Target Toko'!$E:$E,0)),0)</f>
        <v>209554</v>
      </c>
      <c r="I653" s="51" t="s">
        <v>26</v>
      </c>
      <c r="J653" s="27" t="s">
        <v>176</v>
      </c>
      <c r="K653" s="39" t="s">
        <v>16</v>
      </c>
      <c r="L653" s="29">
        <v>3275</v>
      </c>
      <c r="M653" s="24">
        <v>234</v>
      </c>
      <c r="N653" s="25">
        <f t="shared" si="21"/>
        <v>766350</v>
      </c>
      <c r="O653" s="24">
        <v>160</v>
      </c>
    </row>
    <row r="654" spans="1:15" ht="15.75" hidden="1" customHeight="1" x14ac:dyDescent="0.3">
      <c r="A654" s="24">
        <v>26</v>
      </c>
      <c r="B654" s="20" t="str">
        <f t="shared" si="20"/>
        <v>JUN</v>
      </c>
      <c r="C654" s="21">
        <v>46199</v>
      </c>
      <c r="D654" s="22" t="str">
        <f t="array" ref="D654">IFERROR(INDEX('Kode Outlet dan Target Toko'!$A:$A,MATCH($I654,'Kode Outlet dan Target Toko'!$E:$E,0)),"")</f>
        <v>GRSM 4</v>
      </c>
      <c r="E654" s="20" t="str">
        <f>IFERROR(VLOOKUP(I654,KET!$B:$F,4,0),"")</f>
        <v>FAHMI LUKMANUL HAKIM</v>
      </c>
      <c r="F654" s="20" t="str">
        <f>IFERROR(VLOOKUP(I654,KET!$B:$F,5,0),"")</f>
        <v>GMM</v>
      </c>
      <c r="G654" s="20">
        <f>IFERROR(INDEX('Kode Outlet dan Target Toko'!$C:$C,MATCH($I654,'Kode Outlet dan Target Toko'!$E:$E,0)),0)</f>
        <v>189901</v>
      </c>
      <c r="H654" s="20">
        <f>IFERROR(INDEX('Kode Outlet dan Target Toko'!$D:$D,MATCH($I654,'Kode Outlet dan Target Toko'!$E:$E,0)),0)</f>
        <v>1602020</v>
      </c>
      <c r="I654" s="51" t="s">
        <v>20</v>
      </c>
      <c r="J654" s="56" t="s">
        <v>253</v>
      </c>
      <c r="K654" s="39" t="s">
        <v>15</v>
      </c>
      <c r="L654" s="29">
        <v>2200</v>
      </c>
      <c r="M654" s="24">
        <v>36</v>
      </c>
      <c r="N654" s="25">
        <f t="shared" si="21"/>
        <v>79200</v>
      </c>
      <c r="O654" s="24"/>
    </row>
    <row r="655" spans="1:15" ht="15.75" hidden="1" customHeight="1" x14ac:dyDescent="0.3">
      <c r="A655" s="24">
        <v>26</v>
      </c>
      <c r="B655" s="20" t="str">
        <f t="shared" si="20"/>
        <v>JUN</v>
      </c>
      <c r="C655" s="21">
        <v>46199</v>
      </c>
      <c r="D655" s="22" t="str">
        <f t="array" ref="D655">IFERROR(INDEX('Kode Outlet dan Target Toko'!$A:$A,MATCH($I655,'Kode Outlet dan Target Toko'!$E:$E,0)),"")</f>
        <v>GRSM 4</v>
      </c>
      <c r="E655" s="20" t="str">
        <f>IFERROR(VLOOKUP(I655,KET!$B:$F,4,0),"")</f>
        <v>FAHMI LUKMANUL HAKIM</v>
      </c>
      <c r="F655" s="20" t="str">
        <f>IFERROR(VLOOKUP(I655,KET!$B:$F,5,0),"")</f>
        <v>GMM</v>
      </c>
      <c r="G655" s="20">
        <f>IFERROR(INDEX('Kode Outlet dan Target Toko'!$C:$C,MATCH($I655,'Kode Outlet dan Target Toko'!$E:$E,0)),0)</f>
        <v>189901</v>
      </c>
      <c r="H655" s="20">
        <f>IFERROR(INDEX('Kode Outlet dan Target Toko'!$D:$D,MATCH($I655,'Kode Outlet dan Target Toko'!$E:$E,0)),0)</f>
        <v>1602020</v>
      </c>
      <c r="I655" s="51" t="s">
        <v>20</v>
      </c>
      <c r="J655" s="56" t="s">
        <v>253</v>
      </c>
      <c r="K655" s="39" t="s">
        <v>14</v>
      </c>
      <c r="L655" s="29">
        <v>2200</v>
      </c>
      <c r="M655" s="24">
        <v>49</v>
      </c>
      <c r="N655" s="25">
        <f t="shared" si="21"/>
        <v>107800</v>
      </c>
      <c r="O655" s="24"/>
    </row>
    <row r="656" spans="1:15" ht="15.75" hidden="1" customHeight="1" x14ac:dyDescent="0.3">
      <c r="A656" s="24">
        <v>26</v>
      </c>
      <c r="B656" s="20" t="str">
        <f t="shared" si="20"/>
        <v>JUN</v>
      </c>
      <c r="C656" s="21">
        <v>46199</v>
      </c>
      <c r="D656" s="22" t="str">
        <f t="array" ref="D656">IFERROR(INDEX('Kode Outlet dan Target Toko'!$A:$A,MATCH($I656,'Kode Outlet dan Target Toko'!$E:$E,0)),"")</f>
        <v>GRSM 4</v>
      </c>
      <c r="E656" s="20" t="str">
        <f>IFERROR(VLOOKUP(I656,KET!$B:$F,4,0),"")</f>
        <v>FAHMI LUKMANUL HAKIM</v>
      </c>
      <c r="F656" s="20" t="str">
        <f>IFERROR(VLOOKUP(I656,KET!$B:$F,5,0),"")</f>
        <v>GMM</v>
      </c>
      <c r="G656" s="20">
        <f>IFERROR(INDEX('Kode Outlet dan Target Toko'!$C:$C,MATCH($I656,'Kode Outlet dan Target Toko'!$E:$E,0)),0)</f>
        <v>189901</v>
      </c>
      <c r="H656" s="20">
        <f>IFERROR(INDEX('Kode Outlet dan Target Toko'!$D:$D,MATCH($I656,'Kode Outlet dan Target Toko'!$E:$E,0)),0)</f>
        <v>1602020</v>
      </c>
      <c r="I656" s="51" t="s">
        <v>20</v>
      </c>
      <c r="J656" s="56" t="s">
        <v>253</v>
      </c>
      <c r="K656" s="39" t="s">
        <v>13</v>
      </c>
      <c r="L656" s="29">
        <v>2200</v>
      </c>
      <c r="M656" s="24">
        <v>12</v>
      </c>
      <c r="N656" s="25">
        <f t="shared" si="21"/>
        <v>26400</v>
      </c>
      <c r="O656" s="24"/>
    </row>
    <row r="657" spans="1:15" ht="15.75" hidden="1" customHeight="1" x14ac:dyDescent="0.3">
      <c r="A657" s="24">
        <v>26</v>
      </c>
      <c r="B657" s="20" t="str">
        <f t="shared" si="20"/>
        <v>JUN</v>
      </c>
      <c r="C657" s="21">
        <v>46199</v>
      </c>
      <c r="D657" s="22" t="str">
        <f t="array" ref="D657">IFERROR(INDEX('Kode Outlet dan Target Toko'!$A:$A,MATCH($I657,'Kode Outlet dan Target Toko'!$E:$E,0)),"")</f>
        <v>GRSM 4</v>
      </c>
      <c r="E657" s="20" t="str">
        <f>IFERROR(VLOOKUP(I657,KET!$B:$F,4,0),"")</f>
        <v>FAHMI LUKMANUL HAKIM</v>
      </c>
      <c r="F657" s="20" t="str">
        <f>IFERROR(VLOOKUP(I657,KET!$B:$F,5,0),"")</f>
        <v>GMM</v>
      </c>
      <c r="G657" s="20">
        <f>IFERROR(INDEX('Kode Outlet dan Target Toko'!$C:$C,MATCH($I657,'Kode Outlet dan Target Toko'!$E:$E,0)),0)</f>
        <v>189901</v>
      </c>
      <c r="H657" s="20">
        <f>IFERROR(INDEX('Kode Outlet dan Target Toko'!$D:$D,MATCH($I657,'Kode Outlet dan Target Toko'!$E:$E,0)),0)</f>
        <v>1602020</v>
      </c>
      <c r="I657" s="51" t="s">
        <v>20</v>
      </c>
      <c r="J657" s="56" t="s">
        <v>253</v>
      </c>
      <c r="K657" s="39" t="s">
        <v>16</v>
      </c>
      <c r="L657" s="29">
        <v>2200</v>
      </c>
      <c r="M657" s="24">
        <v>110</v>
      </c>
      <c r="N657" s="25">
        <f t="shared" si="21"/>
        <v>242000</v>
      </c>
      <c r="O657" s="24">
        <v>120</v>
      </c>
    </row>
    <row r="658" spans="1:15" ht="15.75" hidden="1" customHeight="1" x14ac:dyDescent="0.3">
      <c r="A658" s="24">
        <v>26</v>
      </c>
      <c r="B658" s="20" t="str">
        <f t="shared" si="20"/>
        <v>JUN</v>
      </c>
      <c r="C658" s="21">
        <v>46199</v>
      </c>
      <c r="D658" s="22" t="str">
        <f t="array" ref="D658">IFERROR(INDEX('Kode Outlet dan Target Toko'!$A:$A,MATCH($I658,'Kode Outlet dan Target Toko'!$E:$E,0)),"")</f>
        <v>GRSM 4</v>
      </c>
      <c r="E658" s="20" t="str">
        <f>IFERROR(VLOOKUP(I658,KET!$B:$F,4,0),"")</f>
        <v>FAHMI LUKMANUL HAKIM</v>
      </c>
      <c r="F658" s="20" t="str">
        <f>IFERROR(VLOOKUP(I658,KET!$B:$F,5,0),"")</f>
        <v>GMM</v>
      </c>
      <c r="G658" s="20">
        <f>IFERROR(INDEX('Kode Outlet dan Target Toko'!$C:$C,MATCH($I658,'Kode Outlet dan Target Toko'!$E:$E,0)),0)</f>
        <v>103258</v>
      </c>
      <c r="H658" s="20">
        <f>IFERROR(INDEX('Kode Outlet dan Target Toko'!$D:$D,MATCH($I658,'Kode Outlet dan Target Toko'!$E:$E,0)),0)</f>
        <v>9210369</v>
      </c>
      <c r="I658" s="51" t="s">
        <v>28</v>
      </c>
      <c r="J658" s="27" t="s">
        <v>187</v>
      </c>
      <c r="K658" s="39" t="s">
        <v>15</v>
      </c>
      <c r="L658" s="29">
        <v>3500</v>
      </c>
      <c r="M658" s="24">
        <v>30</v>
      </c>
      <c r="N658" s="25">
        <f t="shared" si="21"/>
        <v>105000</v>
      </c>
      <c r="O658" s="24"/>
    </row>
    <row r="659" spans="1:15" ht="15.75" hidden="1" customHeight="1" x14ac:dyDescent="0.3">
      <c r="A659" s="24">
        <v>26</v>
      </c>
      <c r="B659" s="20" t="str">
        <f t="shared" si="20"/>
        <v>JUN</v>
      </c>
      <c r="C659" s="21">
        <v>46199</v>
      </c>
      <c r="D659" s="22" t="str">
        <f t="array" ref="D659">IFERROR(INDEX('Kode Outlet dan Target Toko'!$A:$A,MATCH($I659,'Kode Outlet dan Target Toko'!$E:$E,0)),"")</f>
        <v>GRSM 4</v>
      </c>
      <c r="E659" s="20" t="str">
        <f>IFERROR(VLOOKUP(I659,KET!$B:$F,4,0),"")</f>
        <v>FAHMI LUKMANUL HAKIM</v>
      </c>
      <c r="F659" s="20" t="str">
        <f>IFERROR(VLOOKUP(I659,KET!$B:$F,5,0),"")</f>
        <v>GMM</v>
      </c>
      <c r="G659" s="20">
        <f>IFERROR(INDEX('Kode Outlet dan Target Toko'!$C:$C,MATCH($I659,'Kode Outlet dan Target Toko'!$E:$E,0)),0)</f>
        <v>103258</v>
      </c>
      <c r="H659" s="20">
        <f>IFERROR(INDEX('Kode Outlet dan Target Toko'!$D:$D,MATCH($I659,'Kode Outlet dan Target Toko'!$E:$E,0)),0)</f>
        <v>9210369</v>
      </c>
      <c r="I659" s="51" t="s">
        <v>28</v>
      </c>
      <c r="J659" s="27" t="s">
        <v>187</v>
      </c>
      <c r="K659" s="39" t="s">
        <v>14</v>
      </c>
      <c r="L659" s="29">
        <v>3500</v>
      </c>
      <c r="M659" s="24">
        <v>25</v>
      </c>
      <c r="N659" s="25">
        <f t="shared" si="21"/>
        <v>87500</v>
      </c>
      <c r="O659" s="24"/>
    </row>
    <row r="660" spans="1:15" ht="15.75" hidden="1" customHeight="1" x14ac:dyDescent="0.3">
      <c r="A660" s="24">
        <v>26</v>
      </c>
      <c r="B660" s="20" t="str">
        <f t="shared" si="20"/>
        <v>JUN</v>
      </c>
      <c r="C660" s="21">
        <v>46199</v>
      </c>
      <c r="D660" s="22" t="str">
        <f t="array" ref="D660">IFERROR(INDEX('Kode Outlet dan Target Toko'!$A:$A,MATCH($I660,'Kode Outlet dan Target Toko'!$E:$E,0)),"")</f>
        <v>GRSM 4</v>
      </c>
      <c r="E660" s="20" t="str">
        <f>IFERROR(VLOOKUP(I660,KET!$B:$F,4,0),"")</f>
        <v>FAHMI LUKMANUL HAKIM</v>
      </c>
      <c r="F660" s="20" t="str">
        <f>IFERROR(VLOOKUP(I660,KET!$B:$F,5,0),"")</f>
        <v>GMM</v>
      </c>
      <c r="G660" s="20">
        <f>IFERROR(INDEX('Kode Outlet dan Target Toko'!$C:$C,MATCH($I660,'Kode Outlet dan Target Toko'!$E:$E,0)),0)</f>
        <v>103258</v>
      </c>
      <c r="H660" s="20">
        <f>IFERROR(INDEX('Kode Outlet dan Target Toko'!$D:$D,MATCH($I660,'Kode Outlet dan Target Toko'!$E:$E,0)),0)</f>
        <v>9210369</v>
      </c>
      <c r="I660" s="51" t="s">
        <v>28</v>
      </c>
      <c r="J660" s="27" t="s">
        <v>187</v>
      </c>
      <c r="K660" s="39" t="s">
        <v>13</v>
      </c>
      <c r="L660" s="29">
        <v>3500</v>
      </c>
      <c r="M660" s="24">
        <v>15</v>
      </c>
      <c r="N660" s="25">
        <f t="shared" si="21"/>
        <v>52500</v>
      </c>
      <c r="O660" s="24"/>
    </row>
    <row r="661" spans="1:15" ht="15.75" hidden="1" customHeight="1" x14ac:dyDescent="0.3">
      <c r="A661" s="24">
        <v>26</v>
      </c>
      <c r="B661" s="20" t="str">
        <f t="shared" si="20"/>
        <v>JUN</v>
      </c>
      <c r="C661" s="21">
        <v>46199</v>
      </c>
      <c r="D661" s="22" t="str">
        <f t="array" ref="D661">IFERROR(INDEX('Kode Outlet dan Target Toko'!$A:$A,MATCH($I661,'Kode Outlet dan Target Toko'!$E:$E,0)),"")</f>
        <v>GRSM 4</v>
      </c>
      <c r="E661" s="20" t="str">
        <f>IFERROR(VLOOKUP(I661,KET!$B:$F,4,0),"")</f>
        <v>FAHMI LUKMANUL HAKIM</v>
      </c>
      <c r="F661" s="20" t="str">
        <f>IFERROR(VLOOKUP(I661,KET!$B:$F,5,0),"")</f>
        <v>GMM</v>
      </c>
      <c r="G661" s="20">
        <f>IFERROR(INDEX('Kode Outlet dan Target Toko'!$C:$C,MATCH($I661,'Kode Outlet dan Target Toko'!$E:$E,0)),0)</f>
        <v>103258</v>
      </c>
      <c r="H661" s="20">
        <f>IFERROR(INDEX('Kode Outlet dan Target Toko'!$D:$D,MATCH($I661,'Kode Outlet dan Target Toko'!$E:$E,0)),0)</f>
        <v>9210369</v>
      </c>
      <c r="I661" s="51" t="s">
        <v>28</v>
      </c>
      <c r="J661" s="27" t="s">
        <v>187</v>
      </c>
      <c r="K661" s="39" t="s">
        <v>16</v>
      </c>
      <c r="L661" s="29">
        <v>3500</v>
      </c>
      <c r="M661" s="24">
        <v>45</v>
      </c>
      <c r="N661" s="25">
        <f t="shared" si="21"/>
        <v>157500</v>
      </c>
      <c r="O661" s="24">
        <v>160</v>
      </c>
    </row>
    <row r="662" spans="1:15" ht="15.75" hidden="1" customHeight="1" x14ac:dyDescent="0.3">
      <c r="A662" s="24">
        <v>26</v>
      </c>
      <c r="B662" s="20" t="str">
        <f t="shared" si="20"/>
        <v>JUN</v>
      </c>
      <c r="C662" s="21">
        <v>46200</v>
      </c>
      <c r="D662" s="22" t="str">
        <f t="array" ref="D662">IFERROR(INDEX('Kode Outlet dan Target Toko'!$A:$A,MATCH($I662,'Kode Outlet dan Target Toko'!$E:$E,0)),"")</f>
        <v>GRSM 4</v>
      </c>
      <c r="E662" s="20" t="str">
        <f>IFERROR(VLOOKUP(I662,KET!$B:$F,4,0),"")</f>
        <v>FAHMI LUKMANUL HAKIM</v>
      </c>
      <c r="F662" s="20" t="str">
        <f>IFERROR(VLOOKUP(I662,KET!$B:$F,5,0),"")</f>
        <v>GMM</v>
      </c>
      <c r="G662" s="20">
        <f>IFERROR(INDEX('Kode Outlet dan Target Toko'!$C:$C,MATCH($I662,'Kode Outlet dan Target Toko'!$E:$E,0)),0)</f>
        <v>103259</v>
      </c>
      <c r="H662" s="20">
        <f>IFERROR(INDEX('Kode Outlet dan Target Toko'!$D:$D,MATCH($I662,'Kode Outlet dan Target Toko'!$E:$E,0)),0)</f>
        <v>9029389</v>
      </c>
      <c r="I662" s="51" t="s">
        <v>18</v>
      </c>
      <c r="J662" s="27" t="s">
        <v>196</v>
      </c>
      <c r="K662" s="39" t="s">
        <v>15</v>
      </c>
      <c r="L662" s="29">
        <v>2000</v>
      </c>
      <c r="M662" s="24">
        <v>72</v>
      </c>
      <c r="N662" s="25">
        <f t="shared" si="21"/>
        <v>144000</v>
      </c>
      <c r="O662" s="24"/>
    </row>
    <row r="663" spans="1:15" ht="15.75" hidden="1" customHeight="1" x14ac:dyDescent="0.3">
      <c r="A663" s="24">
        <v>26</v>
      </c>
      <c r="B663" s="20" t="str">
        <f t="shared" si="20"/>
        <v>JUN</v>
      </c>
      <c r="C663" s="21">
        <v>46200</v>
      </c>
      <c r="D663" s="22" t="str">
        <f t="array" ref="D663">IFERROR(INDEX('Kode Outlet dan Target Toko'!$A:$A,MATCH($I663,'Kode Outlet dan Target Toko'!$E:$E,0)),"")</f>
        <v>GRSM 4</v>
      </c>
      <c r="E663" s="20" t="str">
        <f>IFERROR(VLOOKUP(I663,KET!$B:$F,4,0),"")</f>
        <v>FAHMI LUKMANUL HAKIM</v>
      </c>
      <c r="F663" s="20" t="str">
        <f>IFERROR(VLOOKUP(I663,KET!$B:$F,5,0),"")</f>
        <v>GMM</v>
      </c>
      <c r="G663" s="20">
        <f>IFERROR(INDEX('Kode Outlet dan Target Toko'!$C:$C,MATCH($I663,'Kode Outlet dan Target Toko'!$E:$E,0)),0)</f>
        <v>103259</v>
      </c>
      <c r="H663" s="20">
        <f>IFERROR(INDEX('Kode Outlet dan Target Toko'!$D:$D,MATCH($I663,'Kode Outlet dan Target Toko'!$E:$E,0)),0)</f>
        <v>9029389</v>
      </c>
      <c r="I663" s="51" t="s">
        <v>18</v>
      </c>
      <c r="J663" s="27" t="s">
        <v>196</v>
      </c>
      <c r="K663" s="39" t="s">
        <v>14</v>
      </c>
      <c r="L663" s="29">
        <v>2000</v>
      </c>
      <c r="M663" s="24">
        <v>57</v>
      </c>
      <c r="N663" s="25">
        <f t="shared" si="21"/>
        <v>114000</v>
      </c>
      <c r="O663" s="24"/>
    </row>
    <row r="664" spans="1:15" ht="15.75" hidden="1" customHeight="1" x14ac:dyDescent="0.3">
      <c r="A664" s="24">
        <v>26</v>
      </c>
      <c r="B664" s="20" t="str">
        <f t="shared" si="20"/>
        <v>JUN</v>
      </c>
      <c r="C664" s="21">
        <v>46200</v>
      </c>
      <c r="D664" s="22" t="str">
        <f t="array" ref="D664">IFERROR(INDEX('Kode Outlet dan Target Toko'!$A:$A,MATCH($I664,'Kode Outlet dan Target Toko'!$E:$E,0)),"")</f>
        <v>GRSM 4</v>
      </c>
      <c r="E664" s="20" t="str">
        <f>IFERROR(VLOOKUP(I664,KET!$B:$F,4,0),"")</f>
        <v>FAHMI LUKMANUL HAKIM</v>
      </c>
      <c r="F664" s="20" t="str">
        <f>IFERROR(VLOOKUP(I664,KET!$B:$F,5,0),"")</f>
        <v>GMM</v>
      </c>
      <c r="G664" s="20">
        <f>IFERROR(INDEX('Kode Outlet dan Target Toko'!$C:$C,MATCH($I664,'Kode Outlet dan Target Toko'!$E:$E,0)),0)</f>
        <v>103259</v>
      </c>
      <c r="H664" s="20">
        <f>IFERROR(INDEX('Kode Outlet dan Target Toko'!$D:$D,MATCH($I664,'Kode Outlet dan Target Toko'!$E:$E,0)),0)</f>
        <v>9029389</v>
      </c>
      <c r="I664" s="51" t="s">
        <v>18</v>
      </c>
      <c r="J664" s="27" t="s">
        <v>196</v>
      </c>
      <c r="K664" s="39" t="s">
        <v>13</v>
      </c>
      <c r="L664" s="29">
        <v>2000</v>
      </c>
      <c r="M664" s="24">
        <v>51</v>
      </c>
      <c r="N664" s="25">
        <f t="shared" si="21"/>
        <v>102000</v>
      </c>
      <c r="O664" s="24"/>
    </row>
    <row r="665" spans="1:15" ht="15.75" hidden="1" customHeight="1" x14ac:dyDescent="0.3">
      <c r="A665" s="24">
        <v>26</v>
      </c>
      <c r="B665" s="20" t="str">
        <f t="shared" si="20"/>
        <v>JUN</v>
      </c>
      <c r="C665" s="21">
        <v>46200</v>
      </c>
      <c r="D665" s="22" t="str">
        <f t="array" ref="D665">IFERROR(INDEX('Kode Outlet dan Target Toko'!$A:$A,MATCH($I665,'Kode Outlet dan Target Toko'!$E:$E,0)),"")</f>
        <v>GRSM 4</v>
      </c>
      <c r="E665" s="20" t="str">
        <f>IFERROR(VLOOKUP(I665,KET!$B:$F,4,0),"")</f>
        <v>FAHMI LUKMANUL HAKIM</v>
      </c>
      <c r="F665" s="20" t="str">
        <f>IFERROR(VLOOKUP(I665,KET!$B:$F,5,0),"")</f>
        <v>GMM</v>
      </c>
      <c r="G665" s="20">
        <f>IFERROR(INDEX('Kode Outlet dan Target Toko'!$C:$C,MATCH($I665,'Kode Outlet dan Target Toko'!$E:$E,0)),0)</f>
        <v>103259</v>
      </c>
      <c r="H665" s="20">
        <f>IFERROR(INDEX('Kode Outlet dan Target Toko'!$D:$D,MATCH($I665,'Kode Outlet dan Target Toko'!$E:$E,0)),0)</f>
        <v>9029389</v>
      </c>
      <c r="I665" s="51" t="s">
        <v>18</v>
      </c>
      <c r="J665" s="27" t="s">
        <v>196</v>
      </c>
      <c r="K665" s="39" t="s">
        <v>16</v>
      </c>
      <c r="L665" s="29">
        <v>2000</v>
      </c>
      <c r="M665" s="24">
        <v>138</v>
      </c>
      <c r="N665" s="25">
        <f t="shared" si="21"/>
        <v>276000</v>
      </c>
      <c r="O665" s="24">
        <v>160</v>
      </c>
    </row>
    <row r="666" spans="1:15" ht="15.75" hidden="1" customHeight="1" x14ac:dyDescent="0.3">
      <c r="A666" s="24">
        <v>26</v>
      </c>
      <c r="B666" s="20" t="str">
        <f t="shared" si="20"/>
        <v>JUN</v>
      </c>
      <c r="C666" s="21">
        <v>46200</v>
      </c>
      <c r="D666" s="22" t="str">
        <f t="array" ref="D666">IFERROR(INDEX('Kode Outlet dan Target Toko'!$A:$A,MATCH($I666,'Kode Outlet dan Target Toko'!$E:$E,0)),"")</f>
        <v>GRSM 4</v>
      </c>
      <c r="E666" s="20" t="str">
        <f>IFERROR(VLOOKUP(I666,KET!$B:$F,4,0),"")</f>
        <v>FAHMI LUKMANUL HAKIM</v>
      </c>
      <c r="F666" s="20" t="str">
        <f>IFERROR(VLOOKUP(I666,KET!$B:$F,5,0),"")</f>
        <v>GMM</v>
      </c>
      <c r="G666" s="20">
        <f>IFERROR(INDEX('Kode Outlet dan Target Toko'!$C:$C,MATCH($I666,'Kode Outlet dan Target Toko'!$E:$E,0)),0)</f>
        <v>103259</v>
      </c>
      <c r="H666" s="20">
        <f>IFERROR(INDEX('Kode Outlet dan Target Toko'!$D:$D,MATCH($I666,'Kode Outlet dan Target Toko'!$E:$E,0)),0)</f>
        <v>9029389</v>
      </c>
      <c r="I666" s="51" t="s">
        <v>18</v>
      </c>
      <c r="J666" s="27" t="s">
        <v>174</v>
      </c>
      <c r="K666" s="39" t="s">
        <v>15</v>
      </c>
      <c r="L666" s="29">
        <v>2000</v>
      </c>
      <c r="M666" s="24">
        <v>81</v>
      </c>
      <c r="N666" s="25">
        <f t="shared" si="21"/>
        <v>162000</v>
      </c>
      <c r="O666" s="24"/>
    </row>
    <row r="667" spans="1:15" ht="15.75" hidden="1" customHeight="1" x14ac:dyDescent="0.3">
      <c r="A667" s="24">
        <v>26</v>
      </c>
      <c r="B667" s="20" t="str">
        <f t="shared" si="20"/>
        <v>JUN</v>
      </c>
      <c r="C667" s="21">
        <v>46200</v>
      </c>
      <c r="D667" s="22" t="str">
        <f t="array" ref="D667">IFERROR(INDEX('Kode Outlet dan Target Toko'!$A:$A,MATCH($I667,'Kode Outlet dan Target Toko'!$E:$E,0)),"")</f>
        <v>GRSM 4</v>
      </c>
      <c r="E667" s="20" t="str">
        <f>IFERROR(VLOOKUP(I667,KET!$B:$F,4,0),"")</f>
        <v>FAHMI LUKMANUL HAKIM</v>
      </c>
      <c r="F667" s="20" t="str">
        <f>IFERROR(VLOOKUP(I667,KET!$B:$F,5,0),"")</f>
        <v>GMM</v>
      </c>
      <c r="G667" s="20">
        <f>IFERROR(INDEX('Kode Outlet dan Target Toko'!$C:$C,MATCH($I667,'Kode Outlet dan Target Toko'!$E:$E,0)),0)</f>
        <v>103259</v>
      </c>
      <c r="H667" s="20">
        <f>IFERROR(INDEX('Kode Outlet dan Target Toko'!$D:$D,MATCH($I667,'Kode Outlet dan Target Toko'!$E:$E,0)),0)</f>
        <v>9029389</v>
      </c>
      <c r="I667" s="51" t="s">
        <v>18</v>
      </c>
      <c r="J667" s="27" t="s">
        <v>174</v>
      </c>
      <c r="K667" s="39" t="s">
        <v>14</v>
      </c>
      <c r="L667" s="29">
        <v>2000</v>
      </c>
      <c r="M667" s="24">
        <v>66</v>
      </c>
      <c r="N667" s="25">
        <f t="shared" si="21"/>
        <v>132000</v>
      </c>
      <c r="O667" s="24"/>
    </row>
    <row r="668" spans="1:15" ht="15.75" hidden="1" customHeight="1" x14ac:dyDescent="0.3">
      <c r="A668" s="24">
        <v>26</v>
      </c>
      <c r="B668" s="20" t="str">
        <f t="shared" si="20"/>
        <v>JUN</v>
      </c>
      <c r="C668" s="21">
        <v>46200</v>
      </c>
      <c r="D668" s="22" t="str">
        <f t="array" ref="D668">IFERROR(INDEX('Kode Outlet dan Target Toko'!$A:$A,MATCH($I668,'Kode Outlet dan Target Toko'!$E:$E,0)),"")</f>
        <v>GRSM 4</v>
      </c>
      <c r="E668" s="20" t="str">
        <f>IFERROR(VLOOKUP(I668,KET!$B:$F,4,0),"")</f>
        <v>FAHMI LUKMANUL HAKIM</v>
      </c>
      <c r="F668" s="20" t="str">
        <f>IFERROR(VLOOKUP(I668,KET!$B:$F,5,0),"")</f>
        <v>GMM</v>
      </c>
      <c r="G668" s="20">
        <f>IFERROR(INDEX('Kode Outlet dan Target Toko'!$C:$C,MATCH($I668,'Kode Outlet dan Target Toko'!$E:$E,0)),0)</f>
        <v>103259</v>
      </c>
      <c r="H668" s="20">
        <f>IFERROR(INDEX('Kode Outlet dan Target Toko'!$D:$D,MATCH($I668,'Kode Outlet dan Target Toko'!$E:$E,0)),0)</f>
        <v>9029389</v>
      </c>
      <c r="I668" s="51" t="s">
        <v>18</v>
      </c>
      <c r="J668" s="27" t="s">
        <v>174</v>
      </c>
      <c r="K668" s="39" t="s">
        <v>13</v>
      </c>
      <c r="L668" s="29">
        <v>2000</v>
      </c>
      <c r="M668" s="24">
        <v>42</v>
      </c>
      <c r="N668" s="25">
        <f t="shared" si="21"/>
        <v>84000</v>
      </c>
      <c r="O668" s="24"/>
    </row>
    <row r="669" spans="1:15" ht="15.75" hidden="1" customHeight="1" x14ac:dyDescent="0.3">
      <c r="A669" s="24">
        <v>26</v>
      </c>
      <c r="B669" s="20" t="str">
        <f t="shared" si="20"/>
        <v>JUN</v>
      </c>
      <c r="C669" s="21">
        <v>46200</v>
      </c>
      <c r="D669" s="22" t="str">
        <f t="array" ref="D669">IFERROR(INDEX('Kode Outlet dan Target Toko'!$A:$A,MATCH($I669,'Kode Outlet dan Target Toko'!$E:$E,0)),"")</f>
        <v>GRSM 4</v>
      </c>
      <c r="E669" s="20" t="str">
        <f>IFERROR(VLOOKUP(I669,KET!$B:$F,4,0),"")</f>
        <v>FAHMI LUKMANUL HAKIM</v>
      </c>
      <c r="F669" s="20" t="str">
        <f>IFERROR(VLOOKUP(I669,KET!$B:$F,5,0),"")</f>
        <v>GMM</v>
      </c>
      <c r="G669" s="20">
        <f>IFERROR(INDEX('Kode Outlet dan Target Toko'!$C:$C,MATCH($I669,'Kode Outlet dan Target Toko'!$E:$E,0)),0)</f>
        <v>103259</v>
      </c>
      <c r="H669" s="20">
        <f>IFERROR(INDEX('Kode Outlet dan Target Toko'!$D:$D,MATCH($I669,'Kode Outlet dan Target Toko'!$E:$E,0)),0)</f>
        <v>9029389</v>
      </c>
      <c r="I669" s="51" t="s">
        <v>18</v>
      </c>
      <c r="J669" s="27" t="s">
        <v>174</v>
      </c>
      <c r="K669" s="39" t="s">
        <v>16</v>
      </c>
      <c r="L669" s="29">
        <v>2000</v>
      </c>
      <c r="M669" s="24">
        <v>144</v>
      </c>
      <c r="N669" s="25">
        <f t="shared" si="21"/>
        <v>288000</v>
      </c>
      <c r="O669" s="24">
        <v>160</v>
      </c>
    </row>
    <row r="670" spans="1:15" ht="15.75" hidden="1" customHeight="1" x14ac:dyDescent="0.3">
      <c r="A670" s="24">
        <v>26</v>
      </c>
      <c r="B670" s="20" t="str">
        <f t="shared" si="20"/>
        <v>JUN</v>
      </c>
      <c r="C670" s="21">
        <v>46200</v>
      </c>
      <c r="D670" s="22" t="str">
        <f t="array" ref="D670">IFERROR(INDEX('Kode Outlet dan Target Toko'!$A:$A,MATCH($I670,'Kode Outlet dan Target Toko'!$E:$E,0)),"")</f>
        <v>GRSM 4</v>
      </c>
      <c r="E670" s="20" t="str">
        <f>IFERROR(VLOOKUP(I670,KET!$B:$F,4,0),"")</f>
        <v>FAHMI LUKMANUL HAKIM</v>
      </c>
      <c r="F670" s="20" t="str">
        <f>IFERROR(VLOOKUP(I670,KET!$B:$F,5,0),"")</f>
        <v>GMM</v>
      </c>
      <c r="G670" s="20">
        <f>IFERROR(INDEX('Kode Outlet dan Target Toko'!$C:$C,MATCH($I670,'Kode Outlet dan Target Toko'!$E:$E,0)),0)</f>
        <v>103259</v>
      </c>
      <c r="H670" s="20">
        <f>IFERROR(INDEX('Kode Outlet dan Target Toko'!$D:$D,MATCH($I670,'Kode Outlet dan Target Toko'!$E:$E,0)),0)</f>
        <v>9029389</v>
      </c>
      <c r="I670" s="51" t="s">
        <v>27</v>
      </c>
      <c r="J670" s="27" t="s">
        <v>179</v>
      </c>
      <c r="K670" s="39" t="s">
        <v>15</v>
      </c>
      <c r="L670" s="29">
        <v>3000</v>
      </c>
      <c r="M670" s="24">
        <v>60</v>
      </c>
      <c r="N670" s="25">
        <f t="shared" si="21"/>
        <v>180000</v>
      </c>
      <c r="O670" s="24"/>
    </row>
    <row r="671" spans="1:15" ht="15.75" hidden="1" customHeight="1" x14ac:dyDescent="0.3">
      <c r="A671" s="24">
        <v>26</v>
      </c>
      <c r="B671" s="20" t="str">
        <f t="shared" si="20"/>
        <v>JUN</v>
      </c>
      <c r="C671" s="21">
        <v>46200</v>
      </c>
      <c r="D671" s="22" t="str">
        <f t="array" ref="D671">IFERROR(INDEX('Kode Outlet dan Target Toko'!$A:$A,MATCH($I671,'Kode Outlet dan Target Toko'!$E:$E,0)),"")</f>
        <v>GRSM 4</v>
      </c>
      <c r="E671" s="20" t="str">
        <f>IFERROR(VLOOKUP(I671,KET!$B:$F,4,0),"")</f>
        <v>FAHMI LUKMANUL HAKIM</v>
      </c>
      <c r="F671" s="20" t="str">
        <f>IFERROR(VLOOKUP(I671,KET!$B:$F,5,0),"")</f>
        <v>GMM</v>
      </c>
      <c r="G671" s="20">
        <f>IFERROR(INDEX('Kode Outlet dan Target Toko'!$C:$C,MATCH($I671,'Kode Outlet dan Target Toko'!$E:$E,0)),0)</f>
        <v>103259</v>
      </c>
      <c r="H671" s="20">
        <f>IFERROR(INDEX('Kode Outlet dan Target Toko'!$D:$D,MATCH($I671,'Kode Outlet dan Target Toko'!$E:$E,0)),0)</f>
        <v>9029389</v>
      </c>
      <c r="I671" s="51" t="s">
        <v>27</v>
      </c>
      <c r="J671" s="27" t="s">
        <v>179</v>
      </c>
      <c r="K671" s="39" t="s">
        <v>14</v>
      </c>
      <c r="L671" s="29">
        <v>3000</v>
      </c>
      <c r="M671" s="24">
        <v>80</v>
      </c>
      <c r="N671" s="25">
        <f t="shared" si="21"/>
        <v>240000</v>
      </c>
      <c r="O671" s="24"/>
    </row>
    <row r="672" spans="1:15" ht="15.75" hidden="1" customHeight="1" x14ac:dyDescent="0.3">
      <c r="A672" s="24">
        <v>26</v>
      </c>
      <c r="B672" s="20" t="str">
        <f t="shared" si="20"/>
        <v>JUN</v>
      </c>
      <c r="C672" s="21">
        <v>46200</v>
      </c>
      <c r="D672" s="22" t="str">
        <f t="array" ref="D672">IFERROR(INDEX('Kode Outlet dan Target Toko'!$A:$A,MATCH($I672,'Kode Outlet dan Target Toko'!$E:$E,0)),"")</f>
        <v>GRSM 4</v>
      </c>
      <c r="E672" s="20" t="str">
        <f>IFERROR(VLOOKUP(I672,KET!$B:$F,4,0),"")</f>
        <v>FAHMI LUKMANUL HAKIM</v>
      </c>
      <c r="F672" s="20" t="str">
        <f>IFERROR(VLOOKUP(I672,KET!$B:$F,5,0),"")</f>
        <v>GMM</v>
      </c>
      <c r="G672" s="20">
        <f>IFERROR(INDEX('Kode Outlet dan Target Toko'!$C:$C,MATCH($I672,'Kode Outlet dan Target Toko'!$E:$E,0)),0)</f>
        <v>103259</v>
      </c>
      <c r="H672" s="20">
        <f>IFERROR(INDEX('Kode Outlet dan Target Toko'!$D:$D,MATCH($I672,'Kode Outlet dan Target Toko'!$E:$E,0)),0)</f>
        <v>9029389</v>
      </c>
      <c r="I672" s="51" t="s">
        <v>27</v>
      </c>
      <c r="J672" s="27" t="s">
        <v>179</v>
      </c>
      <c r="K672" s="39" t="s">
        <v>13</v>
      </c>
      <c r="L672" s="29">
        <v>3000</v>
      </c>
      <c r="M672" s="24">
        <v>52</v>
      </c>
      <c r="N672" s="25">
        <f t="shared" si="21"/>
        <v>156000</v>
      </c>
      <c r="O672" s="24"/>
    </row>
    <row r="673" spans="1:15" ht="15.75" hidden="1" customHeight="1" x14ac:dyDescent="0.3">
      <c r="A673" s="24">
        <v>26</v>
      </c>
      <c r="B673" s="20" t="str">
        <f t="shared" si="20"/>
        <v>JUN</v>
      </c>
      <c r="C673" s="21">
        <v>46200</v>
      </c>
      <c r="D673" s="22" t="str">
        <f t="array" ref="D673">IFERROR(INDEX('Kode Outlet dan Target Toko'!$A:$A,MATCH($I673,'Kode Outlet dan Target Toko'!$E:$E,0)),"")</f>
        <v>GRSM 4</v>
      </c>
      <c r="E673" s="20" t="str">
        <f>IFERROR(VLOOKUP(I673,KET!$B:$F,4,0),"")</f>
        <v>FAHMI LUKMANUL HAKIM</v>
      </c>
      <c r="F673" s="20" t="str">
        <f>IFERROR(VLOOKUP(I673,KET!$B:$F,5,0),"")</f>
        <v>GMM</v>
      </c>
      <c r="G673" s="20">
        <f>IFERROR(INDEX('Kode Outlet dan Target Toko'!$C:$C,MATCH($I673,'Kode Outlet dan Target Toko'!$E:$E,0)),0)</f>
        <v>103259</v>
      </c>
      <c r="H673" s="20">
        <f>IFERROR(INDEX('Kode Outlet dan Target Toko'!$D:$D,MATCH($I673,'Kode Outlet dan Target Toko'!$E:$E,0)),0)</f>
        <v>9029389</v>
      </c>
      <c r="I673" s="51" t="s">
        <v>27</v>
      </c>
      <c r="J673" s="27" t="s">
        <v>179</v>
      </c>
      <c r="K673" s="39" t="s">
        <v>16</v>
      </c>
      <c r="L673" s="29">
        <v>3000</v>
      </c>
      <c r="M673" s="24">
        <v>178</v>
      </c>
      <c r="N673" s="25">
        <f t="shared" si="21"/>
        <v>534000</v>
      </c>
      <c r="O673" s="24">
        <v>160</v>
      </c>
    </row>
    <row r="674" spans="1:15" ht="15.75" hidden="1" customHeight="1" x14ac:dyDescent="0.3">
      <c r="A674" s="24">
        <v>26</v>
      </c>
      <c r="B674" s="20" t="str">
        <f t="shared" si="20"/>
        <v>JUN</v>
      </c>
      <c r="C674" s="21">
        <v>46200</v>
      </c>
      <c r="D674" s="22" t="str">
        <f t="array" ref="D674">IFERROR(INDEX('Kode Outlet dan Target Toko'!$A:$A,MATCH($I674,'Kode Outlet dan Target Toko'!$E:$E,0)),"")</f>
        <v>GRSM 4</v>
      </c>
      <c r="E674" s="20" t="str">
        <f>IFERROR(VLOOKUP(I674,KET!$B:$F,4,0),"")</f>
        <v>FAHMI LUKMANUL HAKIM</v>
      </c>
      <c r="F674" s="20" t="str">
        <f>IFERROR(VLOOKUP(I674,KET!$B:$F,5,0),"")</f>
        <v>GMM</v>
      </c>
      <c r="G674" s="20">
        <f>IFERROR(INDEX('Kode Outlet dan Target Toko'!$C:$C,MATCH($I674,'Kode Outlet dan Target Toko'!$E:$E,0)),0)</f>
        <v>103259</v>
      </c>
      <c r="H674" s="20">
        <f>IFERROR(INDEX('Kode Outlet dan Target Toko'!$D:$D,MATCH($I674,'Kode Outlet dan Target Toko'!$E:$E,0)),0)</f>
        <v>9029389</v>
      </c>
      <c r="I674" s="51" t="s">
        <v>27</v>
      </c>
      <c r="J674" s="27" t="s">
        <v>178</v>
      </c>
      <c r="K674" s="39" t="s">
        <v>15</v>
      </c>
      <c r="L674" s="29">
        <v>3000</v>
      </c>
      <c r="M674" s="24">
        <v>65</v>
      </c>
      <c r="N674" s="25">
        <f t="shared" si="21"/>
        <v>195000</v>
      </c>
      <c r="O674" s="24"/>
    </row>
    <row r="675" spans="1:15" ht="15.75" hidden="1" customHeight="1" x14ac:dyDescent="0.3">
      <c r="A675" s="24">
        <v>26</v>
      </c>
      <c r="B675" s="20" t="str">
        <f t="shared" si="20"/>
        <v>JUN</v>
      </c>
      <c r="C675" s="21">
        <v>46200</v>
      </c>
      <c r="D675" s="22" t="str">
        <f t="array" ref="D675">IFERROR(INDEX('Kode Outlet dan Target Toko'!$A:$A,MATCH($I675,'Kode Outlet dan Target Toko'!$E:$E,0)),"")</f>
        <v>GRSM 4</v>
      </c>
      <c r="E675" s="20" t="str">
        <f>IFERROR(VLOOKUP(I675,KET!$B:$F,4,0),"")</f>
        <v>FAHMI LUKMANUL HAKIM</v>
      </c>
      <c r="F675" s="20" t="str">
        <f>IFERROR(VLOOKUP(I675,KET!$B:$F,5,0),"")</f>
        <v>GMM</v>
      </c>
      <c r="G675" s="20">
        <f>IFERROR(INDEX('Kode Outlet dan Target Toko'!$C:$C,MATCH($I675,'Kode Outlet dan Target Toko'!$E:$E,0)),0)</f>
        <v>103259</v>
      </c>
      <c r="H675" s="20">
        <f>IFERROR(INDEX('Kode Outlet dan Target Toko'!$D:$D,MATCH($I675,'Kode Outlet dan Target Toko'!$E:$E,0)),0)</f>
        <v>9029389</v>
      </c>
      <c r="I675" s="51" t="s">
        <v>27</v>
      </c>
      <c r="J675" s="27" t="s">
        <v>178</v>
      </c>
      <c r="K675" s="39" t="s">
        <v>14</v>
      </c>
      <c r="L675" s="29">
        <v>3000</v>
      </c>
      <c r="M675" s="24">
        <v>93</v>
      </c>
      <c r="N675" s="25">
        <f t="shared" si="21"/>
        <v>279000</v>
      </c>
      <c r="O675" s="24"/>
    </row>
    <row r="676" spans="1:15" ht="15.75" hidden="1" customHeight="1" x14ac:dyDescent="0.3">
      <c r="A676" s="24">
        <v>26</v>
      </c>
      <c r="B676" s="20" t="str">
        <f t="shared" si="20"/>
        <v>JUN</v>
      </c>
      <c r="C676" s="21">
        <v>46200</v>
      </c>
      <c r="D676" s="22" t="str">
        <f t="array" ref="D676">IFERROR(INDEX('Kode Outlet dan Target Toko'!$A:$A,MATCH($I676,'Kode Outlet dan Target Toko'!$E:$E,0)),"")</f>
        <v>GRSM 4</v>
      </c>
      <c r="E676" s="20" t="str">
        <f>IFERROR(VLOOKUP(I676,KET!$B:$F,4,0),"")</f>
        <v>FAHMI LUKMANUL HAKIM</v>
      </c>
      <c r="F676" s="20" t="str">
        <f>IFERROR(VLOOKUP(I676,KET!$B:$F,5,0),"")</f>
        <v>GMM</v>
      </c>
      <c r="G676" s="20">
        <f>IFERROR(INDEX('Kode Outlet dan Target Toko'!$C:$C,MATCH($I676,'Kode Outlet dan Target Toko'!$E:$E,0)),0)</f>
        <v>103259</v>
      </c>
      <c r="H676" s="20">
        <f>IFERROR(INDEX('Kode Outlet dan Target Toko'!$D:$D,MATCH($I676,'Kode Outlet dan Target Toko'!$E:$E,0)),0)</f>
        <v>9029389</v>
      </c>
      <c r="I676" s="51" t="s">
        <v>27</v>
      </c>
      <c r="J676" s="27" t="s">
        <v>178</v>
      </c>
      <c r="K676" s="39" t="s">
        <v>13</v>
      </c>
      <c r="L676" s="29">
        <v>3000</v>
      </c>
      <c r="M676" s="24">
        <v>56</v>
      </c>
      <c r="N676" s="25">
        <f t="shared" si="21"/>
        <v>168000</v>
      </c>
      <c r="O676" s="24"/>
    </row>
    <row r="677" spans="1:15" ht="15.75" hidden="1" customHeight="1" x14ac:dyDescent="0.3">
      <c r="A677" s="24">
        <v>26</v>
      </c>
      <c r="B677" s="20" t="str">
        <f t="shared" si="20"/>
        <v>JUN</v>
      </c>
      <c r="C677" s="21">
        <v>46200</v>
      </c>
      <c r="D677" s="22" t="str">
        <f t="array" ref="D677">IFERROR(INDEX('Kode Outlet dan Target Toko'!$A:$A,MATCH($I677,'Kode Outlet dan Target Toko'!$E:$E,0)),"")</f>
        <v>GRSM 4</v>
      </c>
      <c r="E677" s="20" t="str">
        <f>IFERROR(VLOOKUP(I677,KET!$B:$F,4,0),"")</f>
        <v>FAHMI LUKMANUL HAKIM</v>
      </c>
      <c r="F677" s="20" t="str">
        <f>IFERROR(VLOOKUP(I677,KET!$B:$F,5,0),"")</f>
        <v>GMM</v>
      </c>
      <c r="G677" s="20">
        <f>IFERROR(INDEX('Kode Outlet dan Target Toko'!$C:$C,MATCH($I677,'Kode Outlet dan Target Toko'!$E:$E,0)),0)</f>
        <v>103259</v>
      </c>
      <c r="H677" s="20">
        <f>IFERROR(INDEX('Kode Outlet dan Target Toko'!$D:$D,MATCH($I677,'Kode Outlet dan Target Toko'!$E:$E,0)),0)</f>
        <v>9029389</v>
      </c>
      <c r="I677" s="51" t="s">
        <v>27</v>
      </c>
      <c r="J677" s="27" t="s">
        <v>178</v>
      </c>
      <c r="K677" s="39" t="s">
        <v>16</v>
      </c>
      <c r="L677" s="29">
        <v>3000</v>
      </c>
      <c r="M677" s="24">
        <v>219</v>
      </c>
      <c r="N677" s="25">
        <f t="shared" si="21"/>
        <v>657000</v>
      </c>
      <c r="O677" s="24">
        <v>160</v>
      </c>
    </row>
    <row r="678" spans="1:15" ht="15.75" hidden="1" customHeight="1" x14ac:dyDescent="0.3">
      <c r="A678" s="24">
        <v>26</v>
      </c>
      <c r="B678" s="20" t="str">
        <f t="shared" si="20"/>
        <v>JUN</v>
      </c>
      <c r="C678" s="21">
        <v>46200</v>
      </c>
      <c r="D678" s="22" t="str">
        <f t="array" ref="D678">IFERROR(INDEX('Kode Outlet dan Target Toko'!$A:$A,MATCH($I678,'Kode Outlet dan Target Toko'!$E:$E,0)),"")</f>
        <v>GRSM 4</v>
      </c>
      <c r="E678" s="20" t="str">
        <f>IFERROR(VLOOKUP(I678,KET!$B:$F,4,0),"")</f>
        <v>FAHMI LUKMANUL HAKIM</v>
      </c>
      <c r="F678" s="20" t="str">
        <f>IFERROR(VLOOKUP(I678,KET!$B:$F,5,0),"")</f>
        <v>GMM</v>
      </c>
      <c r="G678" s="20">
        <f>IFERROR(INDEX('Kode Outlet dan Target Toko'!$C:$C,MATCH($I678,'Kode Outlet dan Target Toko'!$E:$E,0)),0)</f>
        <v>103277</v>
      </c>
      <c r="H678" s="20">
        <f>IFERROR(INDEX('Kode Outlet dan Target Toko'!$D:$D,MATCH($I678,'Kode Outlet dan Target Toko'!$E:$E,0)),0)</f>
        <v>6300538</v>
      </c>
      <c r="I678" s="51" t="s">
        <v>19</v>
      </c>
      <c r="J678" s="27" t="s">
        <v>251</v>
      </c>
      <c r="K678" s="39" t="s">
        <v>15</v>
      </c>
      <c r="L678" s="29">
        <v>2975</v>
      </c>
      <c r="M678" s="24">
        <v>68</v>
      </c>
      <c r="N678" s="25">
        <f t="shared" si="21"/>
        <v>202300</v>
      </c>
      <c r="O678" s="24"/>
    </row>
    <row r="679" spans="1:15" ht="15.75" hidden="1" customHeight="1" x14ac:dyDescent="0.3">
      <c r="A679" s="24">
        <v>26</v>
      </c>
      <c r="B679" s="20" t="str">
        <f t="shared" si="20"/>
        <v>JUN</v>
      </c>
      <c r="C679" s="21">
        <v>46200</v>
      </c>
      <c r="D679" s="22" t="str">
        <f t="array" ref="D679">IFERROR(INDEX('Kode Outlet dan Target Toko'!$A:$A,MATCH($I679,'Kode Outlet dan Target Toko'!$E:$E,0)),"")</f>
        <v>GRSM 4</v>
      </c>
      <c r="E679" s="20" t="str">
        <f>IFERROR(VLOOKUP(I679,KET!$B:$F,4,0),"")</f>
        <v>FAHMI LUKMANUL HAKIM</v>
      </c>
      <c r="F679" s="20" t="str">
        <f>IFERROR(VLOOKUP(I679,KET!$B:$F,5,0),"")</f>
        <v>GMM</v>
      </c>
      <c r="G679" s="20">
        <f>IFERROR(INDEX('Kode Outlet dan Target Toko'!$C:$C,MATCH($I679,'Kode Outlet dan Target Toko'!$E:$E,0)),0)</f>
        <v>103277</v>
      </c>
      <c r="H679" s="20">
        <f>IFERROR(INDEX('Kode Outlet dan Target Toko'!$D:$D,MATCH($I679,'Kode Outlet dan Target Toko'!$E:$E,0)),0)</f>
        <v>6300538</v>
      </c>
      <c r="I679" s="51" t="s">
        <v>19</v>
      </c>
      <c r="J679" s="27" t="s">
        <v>251</v>
      </c>
      <c r="K679" s="39" t="s">
        <v>14</v>
      </c>
      <c r="L679" s="29">
        <v>2975</v>
      </c>
      <c r="M679" s="24">
        <v>63</v>
      </c>
      <c r="N679" s="25">
        <f t="shared" si="21"/>
        <v>187425</v>
      </c>
      <c r="O679" s="24"/>
    </row>
    <row r="680" spans="1:15" ht="15.75" hidden="1" customHeight="1" x14ac:dyDescent="0.3">
      <c r="A680" s="24">
        <v>26</v>
      </c>
      <c r="B680" s="20" t="str">
        <f t="shared" si="20"/>
        <v>JUN</v>
      </c>
      <c r="C680" s="21">
        <v>46200</v>
      </c>
      <c r="D680" s="22" t="str">
        <f t="array" ref="D680">IFERROR(INDEX('Kode Outlet dan Target Toko'!$A:$A,MATCH($I680,'Kode Outlet dan Target Toko'!$E:$E,0)),"")</f>
        <v>GRSM 4</v>
      </c>
      <c r="E680" s="20" t="str">
        <f>IFERROR(VLOOKUP(I680,KET!$B:$F,4,0),"")</f>
        <v>FAHMI LUKMANUL HAKIM</v>
      </c>
      <c r="F680" s="20" t="str">
        <f>IFERROR(VLOOKUP(I680,KET!$B:$F,5,0),"")</f>
        <v>GMM</v>
      </c>
      <c r="G680" s="20">
        <f>IFERROR(INDEX('Kode Outlet dan Target Toko'!$C:$C,MATCH($I680,'Kode Outlet dan Target Toko'!$E:$E,0)),0)</f>
        <v>103277</v>
      </c>
      <c r="H680" s="20">
        <f>IFERROR(INDEX('Kode Outlet dan Target Toko'!$D:$D,MATCH($I680,'Kode Outlet dan Target Toko'!$E:$E,0)),0)</f>
        <v>6300538</v>
      </c>
      <c r="I680" s="51" t="s">
        <v>19</v>
      </c>
      <c r="J680" s="27" t="s">
        <v>251</v>
      </c>
      <c r="K680" s="39" t="s">
        <v>13</v>
      </c>
      <c r="L680" s="29">
        <v>2975</v>
      </c>
      <c r="M680" s="24">
        <v>56</v>
      </c>
      <c r="N680" s="25">
        <f t="shared" si="21"/>
        <v>166600</v>
      </c>
      <c r="O680" s="24"/>
    </row>
    <row r="681" spans="1:15" ht="15.75" hidden="1" customHeight="1" x14ac:dyDescent="0.3">
      <c r="A681" s="24">
        <v>26</v>
      </c>
      <c r="B681" s="20" t="str">
        <f t="shared" si="20"/>
        <v>JUN</v>
      </c>
      <c r="C681" s="21">
        <v>46200</v>
      </c>
      <c r="D681" s="22" t="str">
        <f t="array" ref="D681">IFERROR(INDEX('Kode Outlet dan Target Toko'!$A:$A,MATCH($I681,'Kode Outlet dan Target Toko'!$E:$E,0)),"")</f>
        <v>GRSM 4</v>
      </c>
      <c r="E681" s="20" t="str">
        <f>IFERROR(VLOOKUP(I681,KET!$B:$F,4,0),"")</f>
        <v>FAHMI LUKMANUL HAKIM</v>
      </c>
      <c r="F681" s="20" t="str">
        <f>IFERROR(VLOOKUP(I681,KET!$B:$F,5,0),"")</f>
        <v>GMM</v>
      </c>
      <c r="G681" s="20">
        <f>IFERROR(INDEX('Kode Outlet dan Target Toko'!$C:$C,MATCH($I681,'Kode Outlet dan Target Toko'!$E:$E,0)),0)</f>
        <v>103277</v>
      </c>
      <c r="H681" s="20">
        <f>IFERROR(INDEX('Kode Outlet dan Target Toko'!$D:$D,MATCH($I681,'Kode Outlet dan Target Toko'!$E:$E,0)),0)</f>
        <v>6300538</v>
      </c>
      <c r="I681" s="51" t="s">
        <v>19</v>
      </c>
      <c r="J681" s="27" t="s">
        <v>251</v>
      </c>
      <c r="K681" s="39" t="s">
        <v>16</v>
      </c>
      <c r="L681" s="29">
        <v>2975</v>
      </c>
      <c r="M681" s="24">
        <v>224</v>
      </c>
      <c r="N681" s="25">
        <f t="shared" si="21"/>
        <v>666400</v>
      </c>
      <c r="O681" s="24">
        <v>150</v>
      </c>
    </row>
    <row r="682" spans="1:15" ht="15.75" hidden="1" customHeight="1" x14ac:dyDescent="0.3">
      <c r="A682" s="24">
        <v>26</v>
      </c>
      <c r="B682" s="20" t="str">
        <f t="shared" si="20"/>
        <v>JUN</v>
      </c>
      <c r="C682" s="21">
        <v>46200</v>
      </c>
      <c r="D682" s="22" t="str">
        <f t="array" ref="D682">IFERROR(INDEX('Kode Outlet dan Target Toko'!$A:$A,MATCH($I682,'Kode Outlet dan Target Toko'!$E:$E,0)),"")</f>
        <v>GRSM 4</v>
      </c>
      <c r="E682" s="20" t="str">
        <f>IFERROR(VLOOKUP(I682,KET!$B:$F,4,0),"")</f>
        <v>FAHMI LUKMANUL HAKIM</v>
      </c>
      <c r="F682" s="20" t="str">
        <f>IFERROR(VLOOKUP(I682,KET!$B:$F,5,0),"")</f>
        <v>GMM</v>
      </c>
      <c r="G682" s="20">
        <f>IFERROR(INDEX('Kode Outlet dan Target Toko'!$C:$C,MATCH($I682,'Kode Outlet dan Target Toko'!$E:$E,0)),0)</f>
        <v>103277</v>
      </c>
      <c r="H682" s="20">
        <f>IFERROR(INDEX('Kode Outlet dan Target Toko'!$D:$D,MATCH($I682,'Kode Outlet dan Target Toko'!$E:$E,0)),0)</f>
        <v>6300538</v>
      </c>
      <c r="I682" s="51" t="s">
        <v>19</v>
      </c>
      <c r="J682" s="27" t="s">
        <v>252</v>
      </c>
      <c r="K682" s="39" t="s">
        <v>15</v>
      </c>
      <c r="L682" s="29">
        <v>2975</v>
      </c>
      <c r="M682" s="24">
        <v>63</v>
      </c>
      <c r="N682" s="25">
        <f t="shared" si="21"/>
        <v>187425</v>
      </c>
      <c r="O682" s="24"/>
    </row>
    <row r="683" spans="1:15" ht="15.75" hidden="1" customHeight="1" x14ac:dyDescent="0.3">
      <c r="A683" s="24">
        <v>26</v>
      </c>
      <c r="B683" s="20" t="str">
        <f t="shared" si="20"/>
        <v>JUN</v>
      </c>
      <c r="C683" s="21">
        <v>46200</v>
      </c>
      <c r="D683" s="22" t="str">
        <f t="array" ref="D683">IFERROR(INDEX('Kode Outlet dan Target Toko'!$A:$A,MATCH($I683,'Kode Outlet dan Target Toko'!$E:$E,0)),"")</f>
        <v>GRSM 4</v>
      </c>
      <c r="E683" s="20" t="str">
        <f>IFERROR(VLOOKUP(I683,KET!$B:$F,4,0),"")</f>
        <v>FAHMI LUKMANUL HAKIM</v>
      </c>
      <c r="F683" s="20" t="str">
        <f>IFERROR(VLOOKUP(I683,KET!$B:$F,5,0),"")</f>
        <v>GMM</v>
      </c>
      <c r="G683" s="20">
        <f>IFERROR(INDEX('Kode Outlet dan Target Toko'!$C:$C,MATCH($I683,'Kode Outlet dan Target Toko'!$E:$E,0)),0)</f>
        <v>103277</v>
      </c>
      <c r="H683" s="20">
        <f>IFERROR(INDEX('Kode Outlet dan Target Toko'!$D:$D,MATCH($I683,'Kode Outlet dan Target Toko'!$E:$E,0)),0)</f>
        <v>6300538</v>
      </c>
      <c r="I683" s="51" t="s">
        <v>19</v>
      </c>
      <c r="J683" s="27" t="s">
        <v>252</v>
      </c>
      <c r="K683" s="39" t="s">
        <v>14</v>
      </c>
      <c r="L683" s="29">
        <v>2975</v>
      </c>
      <c r="M683" s="24">
        <v>59</v>
      </c>
      <c r="N683" s="25">
        <f t="shared" si="21"/>
        <v>175525</v>
      </c>
      <c r="O683" s="24"/>
    </row>
    <row r="684" spans="1:15" ht="15.75" hidden="1" customHeight="1" x14ac:dyDescent="0.3">
      <c r="A684" s="24">
        <v>26</v>
      </c>
      <c r="B684" s="20" t="str">
        <f t="shared" si="20"/>
        <v>JUN</v>
      </c>
      <c r="C684" s="21">
        <v>46200</v>
      </c>
      <c r="D684" s="22" t="str">
        <f t="array" ref="D684">IFERROR(INDEX('Kode Outlet dan Target Toko'!$A:$A,MATCH($I684,'Kode Outlet dan Target Toko'!$E:$E,0)),"")</f>
        <v>GRSM 4</v>
      </c>
      <c r="E684" s="20" t="str">
        <f>IFERROR(VLOOKUP(I684,KET!$B:$F,4,0),"")</f>
        <v>FAHMI LUKMANUL HAKIM</v>
      </c>
      <c r="F684" s="20" t="str">
        <f>IFERROR(VLOOKUP(I684,KET!$B:$F,5,0),"")</f>
        <v>GMM</v>
      </c>
      <c r="G684" s="20">
        <f>IFERROR(INDEX('Kode Outlet dan Target Toko'!$C:$C,MATCH($I684,'Kode Outlet dan Target Toko'!$E:$E,0)),0)</f>
        <v>103277</v>
      </c>
      <c r="H684" s="20">
        <f>IFERROR(INDEX('Kode Outlet dan Target Toko'!$D:$D,MATCH($I684,'Kode Outlet dan Target Toko'!$E:$E,0)),0)</f>
        <v>6300538</v>
      </c>
      <c r="I684" s="51" t="s">
        <v>19</v>
      </c>
      <c r="J684" s="27" t="s">
        <v>252</v>
      </c>
      <c r="K684" s="39" t="s">
        <v>13</v>
      </c>
      <c r="L684" s="29">
        <v>2975</v>
      </c>
      <c r="M684" s="24">
        <v>55</v>
      </c>
      <c r="N684" s="25">
        <f t="shared" si="21"/>
        <v>163625</v>
      </c>
      <c r="O684" s="24"/>
    </row>
    <row r="685" spans="1:15" ht="15.75" hidden="1" customHeight="1" x14ac:dyDescent="0.3">
      <c r="A685" s="24">
        <v>26</v>
      </c>
      <c r="B685" s="20" t="str">
        <f t="shared" si="20"/>
        <v>JUN</v>
      </c>
      <c r="C685" s="21">
        <v>46200</v>
      </c>
      <c r="D685" s="22" t="str">
        <f t="array" ref="D685">IFERROR(INDEX('Kode Outlet dan Target Toko'!$A:$A,MATCH($I685,'Kode Outlet dan Target Toko'!$E:$E,0)),"")</f>
        <v>GRSM 4</v>
      </c>
      <c r="E685" s="20" t="str">
        <f>IFERROR(VLOOKUP(I685,KET!$B:$F,4,0),"")</f>
        <v>FAHMI LUKMANUL HAKIM</v>
      </c>
      <c r="F685" s="20" t="str">
        <f>IFERROR(VLOOKUP(I685,KET!$B:$F,5,0),"")</f>
        <v>GMM</v>
      </c>
      <c r="G685" s="20">
        <f>IFERROR(INDEX('Kode Outlet dan Target Toko'!$C:$C,MATCH($I685,'Kode Outlet dan Target Toko'!$E:$E,0)),0)</f>
        <v>103277</v>
      </c>
      <c r="H685" s="20">
        <f>IFERROR(INDEX('Kode Outlet dan Target Toko'!$D:$D,MATCH($I685,'Kode Outlet dan Target Toko'!$E:$E,0)),0)</f>
        <v>6300538</v>
      </c>
      <c r="I685" s="51" t="s">
        <v>19</v>
      </c>
      <c r="J685" s="27" t="s">
        <v>252</v>
      </c>
      <c r="K685" s="39" t="s">
        <v>16</v>
      </c>
      <c r="L685" s="29">
        <v>2975</v>
      </c>
      <c r="M685" s="24">
        <v>222</v>
      </c>
      <c r="N685" s="25">
        <f t="shared" si="21"/>
        <v>660450</v>
      </c>
      <c r="O685" s="24">
        <v>150</v>
      </c>
    </row>
    <row r="686" spans="1:15" ht="15.75" hidden="1" customHeight="1" x14ac:dyDescent="0.3">
      <c r="A686" s="24">
        <v>26</v>
      </c>
      <c r="B686" s="20" t="str">
        <f t="shared" si="20"/>
        <v>JUN</v>
      </c>
      <c r="C686" s="21">
        <v>46200</v>
      </c>
      <c r="D686" s="22" t="str">
        <f t="array" ref="D686">IFERROR(INDEX('Kode Outlet dan Target Toko'!$A:$A,MATCH($I686,'Kode Outlet dan Target Toko'!$E:$E,0)),"")</f>
        <v>GRSM 3A</v>
      </c>
      <c r="E686" s="20" t="str">
        <f>IFERROR(VLOOKUP(I686,KET!$B:$F,4,0),"")</f>
        <v>FAHMI LUKMANUL HAKIM</v>
      </c>
      <c r="F686" s="20" t="str">
        <f>IFERROR(VLOOKUP(I686,KET!$B:$F,5,0),"")</f>
        <v>GMM</v>
      </c>
      <c r="G686" s="20">
        <f>IFERROR(INDEX('Kode Outlet dan Target Toko'!$C:$C,MATCH($I686,'Kode Outlet dan Target Toko'!$E:$E,0)),0)</f>
        <v>103272</v>
      </c>
      <c r="H686" s="20">
        <f>IFERROR(INDEX('Kode Outlet dan Target Toko'!$D:$D,MATCH($I686,'Kode Outlet dan Target Toko'!$E:$E,0)),0)</f>
        <v>1178</v>
      </c>
      <c r="I686" s="51" t="s">
        <v>22</v>
      </c>
      <c r="J686" s="27" t="s">
        <v>259</v>
      </c>
      <c r="K686" s="39" t="s">
        <v>15</v>
      </c>
      <c r="L686" s="29">
        <v>3145</v>
      </c>
      <c r="M686" s="24">
        <v>14</v>
      </c>
      <c r="N686" s="25">
        <f t="shared" si="21"/>
        <v>44030</v>
      </c>
      <c r="O686" s="24"/>
    </row>
    <row r="687" spans="1:15" ht="15.75" hidden="1" customHeight="1" x14ac:dyDescent="0.3">
      <c r="A687" s="24">
        <v>26</v>
      </c>
      <c r="B687" s="20" t="str">
        <f t="shared" si="20"/>
        <v>JUN</v>
      </c>
      <c r="C687" s="21">
        <v>46200</v>
      </c>
      <c r="D687" s="22" t="str">
        <f t="array" ref="D687">IFERROR(INDEX('Kode Outlet dan Target Toko'!$A:$A,MATCH($I687,'Kode Outlet dan Target Toko'!$E:$E,0)),"")</f>
        <v>GRSM 3A</v>
      </c>
      <c r="E687" s="20" t="str">
        <f>IFERROR(VLOOKUP(I687,KET!$B:$F,4,0),"")</f>
        <v>FAHMI LUKMANUL HAKIM</v>
      </c>
      <c r="F687" s="20" t="str">
        <f>IFERROR(VLOOKUP(I687,KET!$B:$F,5,0),"")</f>
        <v>GMM</v>
      </c>
      <c r="G687" s="20">
        <f>IFERROR(INDEX('Kode Outlet dan Target Toko'!$C:$C,MATCH($I687,'Kode Outlet dan Target Toko'!$E:$E,0)),0)</f>
        <v>103272</v>
      </c>
      <c r="H687" s="20">
        <f>IFERROR(INDEX('Kode Outlet dan Target Toko'!$D:$D,MATCH($I687,'Kode Outlet dan Target Toko'!$E:$E,0)),0)</f>
        <v>1178</v>
      </c>
      <c r="I687" s="51" t="s">
        <v>22</v>
      </c>
      <c r="J687" s="27" t="s">
        <v>259</v>
      </c>
      <c r="K687" s="39" t="s">
        <v>14</v>
      </c>
      <c r="L687" s="29">
        <v>3145</v>
      </c>
      <c r="M687" s="24">
        <v>33</v>
      </c>
      <c r="N687" s="25">
        <f t="shared" si="21"/>
        <v>103785</v>
      </c>
      <c r="O687" s="24"/>
    </row>
    <row r="688" spans="1:15" ht="15.75" hidden="1" customHeight="1" x14ac:dyDescent="0.3">
      <c r="A688" s="24">
        <v>26</v>
      </c>
      <c r="B688" s="20" t="str">
        <f t="shared" si="20"/>
        <v>JUN</v>
      </c>
      <c r="C688" s="21">
        <v>46200</v>
      </c>
      <c r="D688" s="22" t="str">
        <f t="array" ref="D688">IFERROR(INDEX('Kode Outlet dan Target Toko'!$A:$A,MATCH($I688,'Kode Outlet dan Target Toko'!$E:$E,0)),"")</f>
        <v>GRSM 3A</v>
      </c>
      <c r="E688" s="20" t="str">
        <f>IFERROR(VLOOKUP(I688,KET!$B:$F,4,0),"")</f>
        <v>FAHMI LUKMANUL HAKIM</v>
      </c>
      <c r="F688" s="20" t="str">
        <f>IFERROR(VLOOKUP(I688,KET!$B:$F,5,0),"")</f>
        <v>GMM</v>
      </c>
      <c r="G688" s="20">
        <f>IFERROR(INDEX('Kode Outlet dan Target Toko'!$C:$C,MATCH($I688,'Kode Outlet dan Target Toko'!$E:$E,0)),0)</f>
        <v>103272</v>
      </c>
      <c r="H688" s="20">
        <f>IFERROR(INDEX('Kode Outlet dan Target Toko'!$D:$D,MATCH($I688,'Kode Outlet dan Target Toko'!$E:$E,0)),0)</f>
        <v>1178</v>
      </c>
      <c r="I688" s="51" t="s">
        <v>22</v>
      </c>
      <c r="J688" s="27" t="s">
        <v>259</v>
      </c>
      <c r="K688" s="39" t="s">
        <v>13</v>
      </c>
      <c r="L688" s="29">
        <v>3145</v>
      </c>
      <c r="M688" s="24">
        <v>5</v>
      </c>
      <c r="N688" s="25">
        <f t="shared" si="21"/>
        <v>15725</v>
      </c>
      <c r="O688" s="24"/>
    </row>
    <row r="689" spans="1:15" ht="15.75" hidden="1" customHeight="1" x14ac:dyDescent="0.3">
      <c r="A689" s="24">
        <v>26</v>
      </c>
      <c r="B689" s="20" t="str">
        <f t="shared" si="20"/>
        <v>JUN</v>
      </c>
      <c r="C689" s="21">
        <v>46200</v>
      </c>
      <c r="D689" s="22" t="str">
        <f t="array" ref="D689">IFERROR(INDEX('Kode Outlet dan Target Toko'!$A:$A,MATCH($I689,'Kode Outlet dan Target Toko'!$E:$E,0)),"")</f>
        <v>GRSM 3A</v>
      </c>
      <c r="E689" s="20" t="str">
        <f>IFERROR(VLOOKUP(I689,KET!$B:$F,4,0),"")</f>
        <v>FAHMI LUKMANUL HAKIM</v>
      </c>
      <c r="F689" s="20" t="str">
        <f>IFERROR(VLOOKUP(I689,KET!$B:$F,5,0),"")</f>
        <v>GMM</v>
      </c>
      <c r="G689" s="20">
        <f>IFERROR(INDEX('Kode Outlet dan Target Toko'!$C:$C,MATCH($I689,'Kode Outlet dan Target Toko'!$E:$E,0)),0)</f>
        <v>103272</v>
      </c>
      <c r="H689" s="20">
        <f>IFERROR(INDEX('Kode Outlet dan Target Toko'!$D:$D,MATCH($I689,'Kode Outlet dan Target Toko'!$E:$E,0)),0)</f>
        <v>1178</v>
      </c>
      <c r="I689" s="51" t="s">
        <v>22</v>
      </c>
      <c r="J689" s="27" t="s">
        <v>259</v>
      </c>
      <c r="K689" s="39" t="s">
        <v>16</v>
      </c>
      <c r="L689" s="29">
        <v>3145</v>
      </c>
      <c r="M689" s="24">
        <v>86</v>
      </c>
      <c r="N689" s="25">
        <f t="shared" si="21"/>
        <v>270470</v>
      </c>
      <c r="O689" s="24">
        <v>100</v>
      </c>
    </row>
    <row r="690" spans="1:15" ht="15.75" hidden="1" customHeight="1" x14ac:dyDescent="0.3">
      <c r="A690" s="24">
        <v>26</v>
      </c>
      <c r="B690" s="20" t="str">
        <f t="shared" si="20"/>
        <v>JUN</v>
      </c>
      <c r="C690" s="21">
        <v>46200</v>
      </c>
      <c r="D690" s="22" t="str">
        <f t="array" ref="D690">IFERROR(INDEX('Kode Outlet dan Target Toko'!$A:$A,MATCH($I690,'Kode Outlet dan Target Toko'!$E:$E,0)),"")</f>
        <v>GRSM 3A</v>
      </c>
      <c r="E690" s="20" t="str">
        <f>IFERROR(VLOOKUP(I690,KET!$B:$F,4,0),"")</f>
        <v>FAHMI LUKMANUL HAKIM</v>
      </c>
      <c r="F690" s="20" t="str">
        <f>IFERROR(VLOOKUP(I690,KET!$B:$F,5,0),"")</f>
        <v>GMM</v>
      </c>
      <c r="G690" s="20">
        <f>IFERROR(INDEX('Kode Outlet dan Target Toko'!$C:$C,MATCH($I690,'Kode Outlet dan Target Toko'!$E:$E,0)),0)</f>
        <v>103272</v>
      </c>
      <c r="H690" s="20">
        <f>IFERROR(INDEX('Kode Outlet dan Target Toko'!$D:$D,MATCH($I690,'Kode Outlet dan Target Toko'!$E:$E,0)),0)</f>
        <v>1178</v>
      </c>
      <c r="I690" s="41" t="s">
        <v>22</v>
      </c>
      <c r="J690" s="27" t="s">
        <v>254</v>
      </c>
      <c r="K690" s="39" t="s">
        <v>15</v>
      </c>
      <c r="L690" s="23">
        <v>3145</v>
      </c>
      <c r="M690" s="24">
        <v>14</v>
      </c>
      <c r="N690" s="25">
        <f t="shared" si="21"/>
        <v>44030</v>
      </c>
      <c r="O690" s="24"/>
    </row>
    <row r="691" spans="1:15" ht="15.75" hidden="1" customHeight="1" x14ac:dyDescent="0.3">
      <c r="A691" s="24">
        <v>26</v>
      </c>
      <c r="B691" s="20" t="str">
        <f t="shared" si="20"/>
        <v>JUN</v>
      </c>
      <c r="C691" s="21">
        <v>46200</v>
      </c>
      <c r="D691" s="22" t="str">
        <f t="array" ref="D691">IFERROR(INDEX('Kode Outlet dan Target Toko'!$A:$A,MATCH($I691,'Kode Outlet dan Target Toko'!$E:$E,0)),"")</f>
        <v>GRSM 3A</v>
      </c>
      <c r="E691" s="20" t="str">
        <f>IFERROR(VLOOKUP(I691,KET!$B:$F,4,0),"")</f>
        <v>FAHMI LUKMANUL HAKIM</v>
      </c>
      <c r="F691" s="20" t="str">
        <f>IFERROR(VLOOKUP(I691,KET!$B:$F,5,0),"")</f>
        <v>GMM</v>
      </c>
      <c r="G691" s="20">
        <f>IFERROR(INDEX('Kode Outlet dan Target Toko'!$C:$C,MATCH($I691,'Kode Outlet dan Target Toko'!$E:$E,0)),0)</f>
        <v>103272</v>
      </c>
      <c r="H691" s="20">
        <f>IFERROR(INDEX('Kode Outlet dan Target Toko'!$D:$D,MATCH($I691,'Kode Outlet dan Target Toko'!$E:$E,0)),0)</f>
        <v>1178</v>
      </c>
      <c r="I691" s="41" t="s">
        <v>22</v>
      </c>
      <c r="J691" s="27" t="s">
        <v>254</v>
      </c>
      <c r="K691" s="39" t="s">
        <v>14</v>
      </c>
      <c r="L691" s="23">
        <v>3145</v>
      </c>
      <c r="M691" s="24">
        <v>33</v>
      </c>
      <c r="N691" s="25">
        <f t="shared" si="21"/>
        <v>103785</v>
      </c>
      <c r="O691" s="24"/>
    </row>
    <row r="692" spans="1:15" ht="15.75" hidden="1" customHeight="1" x14ac:dyDescent="0.3">
      <c r="A692" s="24">
        <v>26</v>
      </c>
      <c r="B692" s="20" t="str">
        <f t="shared" si="20"/>
        <v>JUN</v>
      </c>
      <c r="C692" s="21">
        <v>46200</v>
      </c>
      <c r="D692" s="22" t="str">
        <f t="array" ref="D692">IFERROR(INDEX('Kode Outlet dan Target Toko'!$A:$A,MATCH($I692,'Kode Outlet dan Target Toko'!$E:$E,0)),"")</f>
        <v>GRSM 3A</v>
      </c>
      <c r="E692" s="20" t="str">
        <f>IFERROR(VLOOKUP(I692,KET!$B:$F,4,0),"")</f>
        <v>FAHMI LUKMANUL HAKIM</v>
      </c>
      <c r="F692" s="20" t="str">
        <f>IFERROR(VLOOKUP(I692,KET!$B:$F,5,0),"")</f>
        <v>GMM</v>
      </c>
      <c r="G692" s="20">
        <f>IFERROR(INDEX('Kode Outlet dan Target Toko'!$C:$C,MATCH($I692,'Kode Outlet dan Target Toko'!$E:$E,0)),0)</f>
        <v>103272</v>
      </c>
      <c r="H692" s="20">
        <f>IFERROR(INDEX('Kode Outlet dan Target Toko'!$D:$D,MATCH($I692,'Kode Outlet dan Target Toko'!$E:$E,0)),0)</f>
        <v>1178</v>
      </c>
      <c r="I692" s="41" t="s">
        <v>22</v>
      </c>
      <c r="J692" s="27" t="s">
        <v>254</v>
      </c>
      <c r="K692" s="39" t="s">
        <v>13</v>
      </c>
      <c r="L692" s="23">
        <v>3145</v>
      </c>
      <c r="M692" s="24">
        <v>5</v>
      </c>
      <c r="N692" s="25">
        <f t="shared" si="21"/>
        <v>15725</v>
      </c>
      <c r="O692" s="24"/>
    </row>
    <row r="693" spans="1:15" ht="15.75" hidden="1" customHeight="1" x14ac:dyDescent="0.3">
      <c r="A693" s="24">
        <v>26</v>
      </c>
      <c r="B693" s="20" t="str">
        <f t="shared" si="20"/>
        <v>JUN</v>
      </c>
      <c r="C693" s="21">
        <v>46200</v>
      </c>
      <c r="D693" s="22" t="str">
        <f t="array" ref="D693">IFERROR(INDEX('Kode Outlet dan Target Toko'!$A:$A,MATCH($I693,'Kode Outlet dan Target Toko'!$E:$E,0)),"")</f>
        <v>GRSM 3A</v>
      </c>
      <c r="E693" s="20" t="str">
        <f>IFERROR(VLOOKUP(I693,KET!$B:$F,4,0),"")</f>
        <v>FAHMI LUKMANUL HAKIM</v>
      </c>
      <c r="F693" s="20" t="str">
        <f>IFERROR(VLOOKUP(I693,KET!$B:$F,5,0),"")</f>
        <v>GMM</v>
      </c>
      <c r="G693" s="20">
        <f>IFERROR(INDEX('Kode Outlet dan Target Toko'!$C:$C,MATCH($I693,'Kode Outlet dan Target Toko'!$E:$E,0)),0)</f>
        <v>103272</v>
      </c>
      <c r="H693" s="20">
        <f>IFERROR(INDEX('Kode Outlet dan Target Toko'!$D:$D,MATCH($I693,'Kode Outlet dan Target Toko'!$E:$E,0)),0)</f>
        <v>1178</v>
      </c>
      <c r="I693" s="41" t="s">
        <v>22</v>
      </c>
      <c r="J693" s="27" t="s">
        <v>254</v>
      </c>
      <c r="K693" s="39" t="s">
        <v>16</v>
      </c>
      <c r="L693" s="23">
        <v>3145</v>
      </c>
      <c r="M693" s="24">
        <v>86</v>
      </c>
      <c r="N693" s="25">
        <f t="shared" si="21"/>
        <v>270470</v>
      </c>
      <c r="O693" s="24">
        <v>100</v>
      </c>
    </row>
    <row r="694" spans="1:15" ht="15.75" hidden="1" customHeight="1" x14ac:dyDescent="0.3">
      <c r="A694" s="24">
        <v>26</v>
      </c>
      <c r="B694" s="20" t="str">
        <f t="shared" si="20"/>
        <v>JUN</v>
      </c>
      <c r="C694" s="21">
        <v>46200</v>
      </c>
      <c r="D694" s="22" t="str">
        <f t="array" ref="D694">IFERROR(INDEX('Kode Outlet dan Target Toko'!$A:$A,MATCH($I694,'Kode Outlet dan Target Toko'!$E:$E,0)),"")</f>
        <v>GRSM 4</v>
      </c>
      <c r="E694" s="20" t="str">
        <f>IFERROR(VLOOKUP(I694,KET!$B:$F,4,0),"")</f>
        <v>FAHMI LUKMANUL HAKIM</v>
      </c>
      <c r="F694" s="20" t="str">
        <f>IFERROR(VLOOKUP(I694,KET!$B:$F,5,0),"")</f>
        <v>GMM</v>
      </c>
      <c r="G694" s="20">
        <f>IFERROR(INDEX('Kode Outlet dan Target Toko'!$C:$C,MATCH($I694,'Kode Outlet dan Target Toko'!$E:$E,0)),0)</f>
        <v>103277</v>
      </c>
      <c r="H694" s="20">
        <f>IFERROR(INDEX('Kode Outlet dan Target Toko'!$D:$D,MATCH($I694,'Kode Outlet dan Target Toko'!$E:$E,0)),0)</f>
        <v>6301424</v>
      </c>
      <c r="I694" s="41" t="s">
        <v>25</v>
      </c>
      <c r="J694" s="27" t="s">
        <v>257</v>
      </c>
      <c r="K694" s="39" t="s">
        <v>15</v>
      </c>
      <c r="L694" s="23">
        <v>3000</v>
      </c>
      <c r="M694" s="24">
        <v>82</v>
      </c>
      <c r="N694" s="25">
        <f t="shared" si="21"/>
        <v>246000</v>
      </c>
      <c r="O694" s="24"/>
    </row>
    <row r="695" spans="1:15" ht="15.75" hidden="1" customHeight="1" x14ac:dyDescent="0.3">
      <c r="A695" s="24">
        <v>26</v>
      </c>
      <c r="B695" s="20" t="str">
        <f t="shared" si="20"/>
        <v>JUN</v>
      </c>
      <c r="C695" s="21">
        <v>46200</v>
      </c>
      <c r="D695" s="22" t="str">
        <f t="array" ref="D695">IFERROR(INDEX('Kode Outlet dan Target Toko'!$A:$A,MATCH($I695,'Kode Outlet dan Target Toko'!$E:$E,0)),"")</f>
        <v>GRSM 4</v>
      </c>
      <c r="E695" s="20" t="str">
        <f>IFERROR(VLOOKUP(I695,KET!$B:$F,4,0),"")</f>
        <v>FAHMI LUKMANUL HAKIM</v>
      </c>
      <c r="F695" s="20" t="str">
        <f>IFERROR(VLOOKUP(I695,KET!$B:$F,5,0),"")</f>
        <v>GMM</v>
      </c>
      <c r="G695" s="20">
        <f>IFERROR(INDEX('Kode Outlet dan Target Toko'!$C:$C,MATCH($I695,'Kode Outlet dan Target Toko'!$E:$E,0)),0)</f>
        <v>103277</v>
      </c>
      <c r="H695" s="20">
        <f>IFERROR(INDEX('Kode Outlet dan Target Toko'!$D:$D,MATCH($I695,'Kode Outlet dan Target Toko'!$E:$E,0)),0)</f>
        <v>6301424</v>
      </c>
      <c r="I695" s="41" t="s">
        <v>25</v>
      </c>
      <c r="J695" s="27" t="s">
        <v>257</v>
      </c>
      <c r="K695" s="39" t="s">
        <v>14</v>
      </c>
      <c r="L695" s="23">
        <v>3000</v>
      </c>
      <c r="M695" s="24">
        <v>120</v>
      </c>
      <c r="N695" s="25">
        <f t="shared" si="21"/>
        <v>360000</v>
      </c>
      <c r="O695" s="24"/>
    </row>
    <row r="696" spans="1:15" ht="15.75" hidden="1" customHeight="1" x14ac:dyDescent="0.3">
      <c r="A696" s="24">
        <v>26</v>
      </c>
      <c r="B696" s="20" t="str">
        <f t="shared" si="20"/>
        <v>JUN</v>
      </c>
      <c r="C696" s="21">
        <v>46200</v>
      </c>
      <c r="D696" s="22" t="str">
        <f t="array" ref="D696">IFERROR(INDEX('Kode Outlet dan Target Toko'!$A:$A,MATCH($I696,'Kode Outlet dan Target Toko'!$E:$E,0)),"")</f>
        <v>GRSM 4</v>
      </c>
      <c r="E696" s="20" t="str">
        <f>IFERROR(VLOOKUP(I696,KET!$B:$F,4,0),"")</f>
        <v>FAHMI LUKMANUL HAKIM</v>
      </c>
      <c r="F696" s="20" t="str">
        <f>IFERROR(VLOOKUP(I696,KET!$B:$F,5,0),"")</f>
        <v>GMM</v>
      </c>
      <c r="G696" s="20">
        <f>IFERROR(INDEX('Kode Outlet dan Target Toko'!$C:$C,MATCH($I696,'Kode Outlet dan Target Toko'!$E:$E,0)),0)</f>
        <v>103277</v>
      </c>
      <c r="H696" s="20">
        <f>IFERROR(INDEX('Kode Outlet dan Target Toko'!$D:$D,MATCH($I696,'Kode Outlet dan Target Toko'!$E:$E,0)),0)</f>
        <v>6301424</v>
      </c>
      <c r="I696" s="41" t="s">
        <v>25</v>
      </c>
      <c r="J696" s="27" t="s">
        <v>257</v>
      </c>
      <c r="K696" s="39" t="s">
        <v>13</v>
      </c>
      <c r="L696" s="23">
        <v>3000</v>
      </c>
      <c r="M696" s="24">
        <v>40</v>
      </c>
      <c r="N696" s="25">
        <f t="shared" si="21"/>
        <v>120000</v>
      </c>
      <c r="O696" s="24"/>
    </row>
    <row r="697" spans="1:15" ht="15.75" hidden="1" customHeight="1" x14ac:dyDescent="0.3">
      <c r="A697" s="24">
        <v>26</v>
      </c>
      <c r="B697" s="20" t="str">
        <f t="shared" si="20"/>
        <v>JUN</v>
      </c>
      <c r="C697" s="21">
        <v>46200</v>
      </c>
      <c r="D697" s="22" t="str">
        <f t="array" ref="D697">IFERROR(INDEX('Kode Outlet dan Target Toko'!$A:$A,MATCH($I697,'Kode Outlet dan Target Toko'!$E:$E,0)),"")</f>
        <v>GRSM 4</v>
      </c>
      <c r="E697" s="20" t="str">
        <f>IFERROR(VLOOKUP(I697,KET!$B:$F,4,0),"")</f>
        <v>FAHMI LUKMANUL HAKIM</v>
      </c>
      <c r="F697" s="20" t="str">
        <f>IFERROR(VLOOKUP(I697,KET!$B:$F,5,0),"")</f>
        <v>GMM</v>
      </c>
      <c r="G697" s="20">
        <f>IFERROR(INDEX('Kode Outlet dan Target Toko'!$C:$C,MATCH($I697,'Kode Outlet dan Target Toko'!$E:$E,0)),0)</f>
        <v>103277</v>
      </c>
      <c r="H697" s="20">
        <f>IFERROR(INDEX('Kode Outlet dan Target Toko'!$D:$D,MATCH($I697,'Kode Outlet dan Target Toko'!$E:$E,0)),0)</f>
        <v>6301424</v>
      </c>
      <c r="I697" s="41" t="s">
        <v>25</v>
      </c>
      <c r="J697" s="27" t="s">
        <v>257</v>
      </c>
      <c r="K697" s="39" t="s">
        <v>16</v>
      </c>
      <c r="L697" s="23">
        <v>3000</v>
      </c>
      <c r="M697" s="24">
        <v>120</v>
      </c>
      <c r="N697" s="25">
        <f t="shared" si="21"/>
        <v>360000</v>
      </c>
      <c r="O697" s="24">
        <v>120</v>
      </c>
    </row>
    <row r="698" spans="1:15" ht="15.75" hidden="1" customHeight="1" x14ac:dyDescent="0.3">
      <c r="A698" s="24">
        <v>26</v>
      </c>
      <c r="B698" s="20" t="str">
        <f t="shared" si="20"/>
        <v>JUN</v>
      </c>
      <c r="C698" s="21">
        <v>46200</v>
      </c>
      <c r="D698" s="22" t="str">
        <f t="array" ref="D698">IFERROR(INDEX('Kode Outlet dan Target Toko'!$A:$A,MATCH($I698,'Kode Outlet dan Target Toko'!$E:$E,0)),"")</f>
        <v>GRSM 4</v>
      </c>
      <c r="E698" s="20" t="str">
        <f>IFERROR(VLOOKUP(I698,KET!$B:$F,4,0),"")</f>
        <v>FAHMI LUKMANUL HAKIM</v>
      </c>
      <c r="F698" s="20" t="str">
        <f>IFERROR(VLOOKUP(I698,KET!$B:$F,5,0),"")</f>
        <v>GMM</v>
      </c>
      <c r="G698" s="20">
        <f>IFERROR(INDEX('Kode Outlet dan Target Toko'!$C:$C,MATCH($I698,'Kode Outlet dan Target Toko'!$E:$E,0)),0)</f>
        <v>103277</v>
      </c>
      <c r="H698" s="20">
        <f>IFERROR(INDEX('Kode Outlet dan Target Toko'!$D:$D,MATCH($I698,'Kode Outlet dan Target Toko'!$E:$E,0)),0)</f>
        <v>6301424</v>
      </c>
      <c r="I698" s="51" t="s">
        <v>25</v>
      </c>
      <c r="J698" s="56" t="s">
        <v>183</v>
      </c>
      <c r="K698" s="39" t="s">
        <v>15</v>
      </c>
      <c r="L698" s="29">
        <v>3000</v>
      </c>
      <c r="M698" s="24">
        <v>85</v>
      </c>
      <c r="N698" s="25">
        <f t="shared" si="21"/>
        <v>255000</v>
      </c>
      <c r="O698" s="24"/>
    </row>
    <row r="699" spans="1:15" ht="15.75" hidden="1" customHeight="1" x14ac:dyDescent="0.3">
      <c r="A699" s="24">
        <v>26</v>
      </c>
      <c r="B699" s="20" t="str">
        <f t="shared" si="20"/>
        <v>JUN</v>
      </c>
      <c r="C699" s="21">
        <v>46200</v>
      </c>
      <c r="D699" s="22" t="str">
        <f t="array" ref="D699">IFERROR(INDEX('Kode Outlet dan Target Toko'!$A:$A,MATCH($I699,'Kode Outlet dan Target Toko'!$E:$E,0)),"")</f>
        <v>GRSM 4</v>
      </c>
      <c r="E699" s="20" t="str">
        <f>IFERROR(VLOOKUP(I699,KET!$B:$F,4,0),"")</f>
        <v>FAHMI LUKMANUL HAKIM</v>
      </c>
      <c r="F699" s="20" t="str">
        <f>IFERROR(VLOOKUP(I699,KET!$B:$F,5,0),"")</f>
        <v>GMM</v>
      </c>
      <c r="G699" s="20">
        <f>IFERROR(INDEX('Kode Outlet dan Target Toko'!$C:$C,MATCH($I699,'Kode Outlet dan Target Toko'!$E:$E,0)),0)</f>
        <v>103277</v>
      </c>
      <c r="H699" s="20">
        <f>IFERROR(INDEX('Kode Outlet dan Target Toko'!$D:$D,MATCH($I699,'Kode Outlet dan Target Toko'!$E:$E,0)),0)</f>
        <v>6301424</v>
      </c>
      <c r="I699" s="51" t="s">
        <v>25</v>
      </c>
      <c r="J699" s="56" t="s">
        <v>183</v>
      </c>
      <c r="K699" s="39" t="s">
        <v>14</v>
      </c>
      <c r="L699" s="29">
        <v>3000</v>
      </c>
      <c r="M699" s="24">
        <v>112</v>
      </c>
      <c r="N699" s="25">
        <f t="shared" si="21"/>
        <v>336000</v>
      </c>
      <c r="O699" s="24"/>
    </row>
    <row r="700" spans="1:15" ht="15.75" hidden="1" customHeight="1" x14ac:dyDescent="0.3">
      <c r="A700" s="24">
        <v>26</v>
      </c>
      <c r="B700" s="20" t="str">
        <f t="shared" si="20"/>
        <v>JUN</v>
      </c>
      <c r="C700" s="21">
        <v>46200</v>
      </c>
      <c r="D700" s="22" t="str">
        <f t="array" ref="D700">IFERROR(INDEX('Kode Outlet dan Target Toko'!$A:$A,MATCH($I700,'Kode Outlet dan Target Toko'!$E:$E,0)),"")</f>
        <v>GRSM 4</v>
      </c>
      <c r="E700" s="20" t="str">
        <f>IFERROR(VLOOKUP(I700,KET!$B:$F,4,0),"")</f>
        <v>FAHMI LUKMANUL HAKIM</v>
      </c>
      <c r="F700" s="20" t="str">
        <f>IFERROR(VLOOKUP(I700,KET!$B:$F,5,0),"")</f>
        <v>GMM</v>
      </c>
      <c r="G700" s="20">
        <f>IFERROR(INDEX('Kode Outlet dan Target Toko'!$C:$C,MATCH($I700,'Kode Outlet dan Target Toko'!$E:$E,0)),0)</f>
        <v>103277</v>
      </c>
      <c r="H700" s="20">
        <f>IFERROR(INDEX('Kode Outlet dan Target Toko'!$D:$D,MATCH($I700,'Kode Outlet dan Target Toko'!$E:$E,0)),0)</f>
        <v>6301424</v>
      </c>
      <c r="I700" s="51" t="s">
        <v>25</v>
      </c>
      <c r="J700" s="56" t="s">
        <v>183</v>
      </c>
      <c r="K700" s="39" t="s">
        <v>13</v>
      </c>
      <c r="L700" s="29">
        <v>3000</v>
      </c>
      <c r="M700" s="24">
        <v>38</v>
      </c>
      <c r="N700" s="25">
        <f t="shared" si="21"/>
        <v>114000</v>
      </c>
      <c r="O700" s="24"/>
    </row>
    <row r="701" spans="1:15" ht="15.75" hidden="1" customHeight="1" x14ac:dyDescent="0.3">
      <c r="A701" s="24">
        <v>26</v>
      </c>
      <c r="B701" s="20" t="str">
        <f t="shared" si="20"/>
        <v>JUN</v>
      </c>
      <c r="C701" s="21">
        <v>46200</v>
      </c>
      <c r="D701" s="22" t="str">
        <f t="array" ref="D701">IFERROR(INDEX('Kode Outlet dan Target Toko'!$A:$A,MATCH($I701,'Kode Outlet dan Target Toko'!$E:$E,0)),"")</f>
        <v>GRSM 4</v>
      </c>
      <c r="E701" s="20" t="str">
        <f>IFERROR(VLOOKUP(I701,KET!$B:$F,4,0),"")</f>
        <v>FAHMI LUKMANUL HAKIM</v>
      </c>
      <c r="F701" s="20" t="str">
        <f>IFERROR(VLOOKUP(I701,KET!$B:$F,5,0),"")</f>
        <v>GMM</v>
      </c>
      <c r="G701" s="20">
        <f>IFERROR(INDEX('Kode Outlet dan Target Toko'!$C:$C,MATCH($I701,'Kode Outlet dan Target Toko'!$E:$E,0)),0)</f>
        <v>103277</v>
      </c>
      <c r="H701" s="20">
        <f>IFERROR(INDEX('Kode Outlet dan Target Toko'!$D:$D,MATCH($I701,'Kode Outlet dan Target Toko'!$E:$E,0)),0)</f>
        <v>6301424</v>
      </c>
      <c r="I701" s="51" t="s">
        <v>25</v>
      </c>
      <c r="J701" s="56" t="s">
        <v>183</v>
      </c>
      <c r="K701" s="39" t="s">
        <v>16</v>
      </c>
      <c r="L701" s="29">
        <v>3000</v>
      </c>
      <c r="M701" s="24">
        <v>122</v>
      </c>
      <c r="N701" s="25">
        <f t="shared" si="21"/>
        <v>366000</v>
      </c>
      <c r="O701" s="24">
        <v>120</v>
      </c>
    </row>
    <row r="702" spans="1:15" ht="15.75" hidden="1" customHeight="1" x14ac:dyDescent="0.3">
      <c r="A702" s="24">
        <v>26</v>
      </c>
      <c r="B702" s="20" t="str">
        <f t="shared" si="20"/>
        <v>JUN</v>
      </c>
      <c r="C702" s="21">
        <v>46200</v>
      </c>
      <c r="D702" s="22" t="str">
        <f t="array" ref="D702">IFERROR(INDEX('Kode Outlet dan Target Toko'!$A:$A,MATCH($I702,'Kode Outlet dan Target Toko'!$E:$E,0)),"")</f>
        <v>GRSM 4</v>
      </c>
      <c r="E702" s="20" t="str">
        <f>IFERROR(VLOOKUP(I702,KET!$B:$F,4,0),"")</f>
        <v>FAHMI LUKMANUL HAKIM</v>
      </c>
      <c r="F702" s="20" t="str">
        <f>IFERROR(VLOOKUP(I702,KET!$B:$F,5,0),"")</f>
        <v>NKA</v>
      </c>
      <c r="G702" s="20">
        <f>IFERROR(INDEX('Kode Outlet dan Target Toko'!$C:$C,MATCH($I702,'Kode Outlet dan Target Toko'!$E:$E,0)),0)</f>
        <v>490034</v>
      </c>
      <c r="H702" s="20">
        <f>IFERROR(INDEX('Kode Outlet dan Target Toko'!$D:$D,MATCH($I702,'Kode Outlet dan Target Toko'!$E:$E,0)),0)</f>
        <v>209554</v>
      </c>
      <c r="I702" s="51" t="s">
        <v>26</v>
      </c>
      <c r="J702" s="27" t="s">
        <v>177</v>
      </c>
      <c r="K702" s="39" t="s">
        <v>15</v>
      </c>
      <c r="L702" s="29">
        <v>3275</v>
      </c>
      <c r="M702" s="24">
        <v>30</v>
      </c>
      <c r="N702" s="25">
        <f t="shared" si="21"/>
        <v>98250</v>
      </c>
      <c r="O702" s="24"/>
    </row>
    <row r="703" spans="1:15" ht="15.75" hidden="1" customHeight="1" x14ac:dyDescent="0.3">
      <c r="A703" s="24">
        <v>26</v>
      </c>
      <c r="B703" s="20" t="str">
        <f t="shared" si="20"/>
        <v>JUN</v>
      </c>
      <c r="C703" s="21">
        <v>46200</v>
      </c>
      <c r="D703" s="22" t="str">
        <f t="array" ref="D703">IFERROR(INDEX('Kode Outlet dan Target Toko'!$A:$A,MATCH($I703,'Kode Outlet dan Target Toko'!$E:$E,0)),"")</f>
        <v>GRSM 4</v>
      </c>
      <c r="E703" s="20" t="str">
        <f>IFERROR(VLOOKUP(I703,KET!$B:$F,4,0),"")</f>
        <v>FAHMI LUKMANUL HAKIM</v>
      </c>
      <c r="F703" s="20" t="str">
        <f>IFERROR(VLOOKUP(I703,KET!$B:$F,5,0),"")</f>
        <v>NKA</v>
      </c>
      <c r="G703" s="20">
        <f>IFERROR(INDEX('Kode Outlet dan Target Toko'!$C:$C,MATCH($I703,'Kode Outlet dan Target Toko'!$E:$E,0)),0)</f>
        <v>490034</v>
      </c>
      <c r="H703" s="20">
        <f>IFERROR(INDEX('Kode Outlet dan Target Toko'!$D:$D,MATCH($I703,'Kode Outlet dan Target Toko'!$E:$E,0)),0)</f>
        <v>209554</v>
      </c>
      <c r="I703" s="51" t="s">
        <v>26</v>
      </c>
      <c r="J703" s="27" t="s">
        <v>177</v>
      </c>
      <c r="K703" s="39" t="s">
        <v>14</v>
      </c>
      <c r="L703" s="29">
        <v>3275</v>
      </c>
      <c r="M703" s="24">
        <v>60</v>
      </c>
      <c r="N703" s="25">
        <f t="shared" si="21"/>
        <v>196500</v>
      </c>
      <c r="O703" s="24"/>
    </row>
    <row r="704" spans="1:15" ht="15.75" hidden="1" customHeight="1" x14ac:dyDescent="0.3">
      <c r="A704" s="24">
        <v>26</v>
      </c>
      <c r="B704" s="20" t="str">
        <f t="shared" si="20"/>
        <v>JUN</v>
      </c>
      <c r="C704" s="21">
        <v>46200</v>
      </c>
      <c r="D704" s="22" t="str">
        <f t="array" ref="D704">IFERROR(INDEX('Kode Outlet dan Target Toko'!$A:$A,MATCH($I704,'Kode Outlet dan Target Toko'!$E:$E,0)),"")</f>
        <v>GRSM 4</v>
      </c>
      <c r="E704" s="20" t="str">
        <f>IFERROR(VLOOKUP(I704,KET!$B:$F,4,0),"")</f>
        <v>FAHMI LUKMANUL HAKIM</v>
      </c>
      <c r="F704" s="20" t="str">
        <f>IFERROR(VLOOKUP(I704,KET!$B:$F,5,0),"")</f>
        <v>NKA</v>
      </c>
      <c r="G704" s="20">
        <f>IFERROR(INDEX('Kode Outlet dan Target Toko'!$C:$C,MATCH($I704,'Kode Outlet dan Target Toko'!$E:$E,0)),0)</f>
        <v>490034</v>
      </c>
      <c r="H704" s="20">
        <f>IFERROR(INDEX('Kode Outlet dan Target Toko'!$D:$D,MATCH($I704,'Kode Outlet dan Target Toko'!$E:$E,0)),0)</f>
        <v>209554</v>
      </c>
      <c r="I704" s="51" t="s">
        <v>26</v>
      </c>
      <c r="J704" s="27" t="s">
        <v>177</v>
      </c>
      <c r="K704" s="39" t="s">
        <v>13</v>
      </c>
      <c r="L704" s="29">
        <v>3275</v>
      </c>
      <c r="M704" s="24">
        <v>20</v>
      </c>
      <c r="N704" s="25">
        <f t="shared" si="21"/>
        <v>65500</v>
      </c>
      <c r="O704" s="24"/>
    </row>
    <row r="705" spans="1:15" ht="15.75" hidden="1" customHeight="1" x14ac:dyDescent="0.3">
      <c r="A705" s="24">
        <v>26</v>
      </c>
      <c r="B705" s="20" t="str">
        <f t="shared" si="20"/>
        <v>JUN</v>
      </c>
      <c r="C705" s="21">
        <v>46200</v>
      </c>
      <c r="D705" s="22" t="str">
        <f t="array" ref="D705">IFERROR(INDEX('Kode Outlet dan Target Toko'!$A:$A,MATCH($I705,'Kode Outlet dan Target Toko'!$E:$E,0)),"")</f>
        <v>GRSM 4</v>
      </c>
      <c r="E705" s="20" t="str">
        <f>IFERROR(VLOOKUP(I705,KET!$B:$F,4,0),"")</f>
        <v>FAHMI LUKMANUL HAKIM</v>
      </c>
      <c r="F705" s="20" t="str">
        <f>IFERROR(VLOOKUP(I705,KET!$B:$F,5,0),"")</f>
        <v>NKA</v>
      </c>
      <c r="G705" s="20">
        <f>IFERROR(INDEX('Kode Outlet dan Target Toko'!$C:$C,MATCH($I705,'Kode Outlet dan Target Toko'!$E:$E,0)),0)</f>
        <v>490034</v>
      </c>
      <c r="H705" s="20">
        <f>IFERROR(INDEX('Kode Outlet dan Target Toko'!$D:$D,MATCH($I705,'Kode Outlet dan Target Toko'!$E:$E,0)),0)</f>
        <v>209554</v>
      </c>
      <c r="I705" s="51" t="s">
        <v>26</v>
      </c>
      <c r="J705" s="27" t="s">
        <v>177</v>
      </c>
      <c r="K705" s="39" t="s">
        <v>16</v>
      </c>
      <c r="L705" s="29">
        <v>3275</v>
      </c>
      <c r="M705" s="24">
        <v>126</v>
      </c>
      <c r="N705" s="25">
        <f t="shared" si="21"/>
        <v>412650</v>
      </c>
      <c r="O705" s="24">
        <v>160</v>
      </c>
    </row>
    <row r="706" spans="1:15" ht="15.75" hidden="1" customHeight="1" x14ac:dyDescent="0.3">
      <c r="A706" s="24">
        <v>26</v>
      </c>
      <c r="B706" s="20" t="str">
        <f t="shared" si="20"/>
        <v>JUN</v>
      </c>
      <c r="C706" s="21">
        <v>46200</v>
      </c>
      <c r="D706" s="22" t="str">
        <f t="array" ref="D706">IFERROR(INDEX('Kode Outlet dan Target Toko'!$A:$A,MATCH($I706,'Kode Outlet dan Target Toko'!$E:$E,0)),"")</f>
        <v>GRSM 4</v>
      </c>
      <c r="E706" s="20" t="str">
        <f>IFERROR(VLOOKUP(I706,KET!$B:$F,4,0),"")</f>
        <v>FAHMI LUKMANUL HAKIM</v>
      </c>
      <c r="F706" s="20" t="str">
        <f>IFERROR(VLOOKUP(I706,KET!$B:$F,5,0),"")</f>
        <v>NKA</v>
      </c>
      <c r="G706" s="20">
        <f>IFERROR(INDEX('Kode Outlet dan Target Toko'!$C:$C,MATCH($I706,'Kode Outlet dan Target Toko'!$E:$E,0)),0)</f>
        <v>490034</v>
      </c>
      <c r="H706" s="20">
        <f>IFERROR(INDEX('Kode Outlet dan Target Toko'!$D:$D,MATCH($I706,'Kode Outlet dan Target Toko'!$E:$E,0)),0)</f>
        <v>209554</v>
      </c>
      <c r="I706" s="41" t="s">
        <v>26</v>
      </c>
      <c r="J706" s="27" t="s">
        <v>176</v>
      </c>
      <c r="K706" s="39" t="s">
        <v>15</v>
      </c>
      <c r="L706" s="23">
        <v>3275</v>
      </c>
      <c r="M706" s="24">
        <v>30</v>
      </c>
      <c r="N706" s="25">
        <f t="shared" si="21"/>
        <v>98250</v>
      </c>
      <c r="O706" s="24"/>
    </row>
    <row r="707" spans="1:15" ht="15.75" hidden="1" customHeight="1" x14ac:dyDescent="0.3">
      <c r="A707" s="24">
        <v>26</v>
      </c>
      <c r="B707" s="20" t="str">
        <f t="shared" si="20"/>
        <v>JUN</v>
      </c>
      <c r="C707" s="21">
        <v>46200</v>
      </c>
      <c r="D707" s="22" t="str">
        <f t="array" ref="D707">IFERROR(INDEX('Kode Outlet dan Target Toko'!$A:$A,MATCH($I707,'Kode Outlet dan Target Toko'!$E:$E,0)),"")</f>
        <v>GRSM 4</v>
      </c>
      <c r="E707" s="20" t="str">
        <f>IFERROR(VLOOKUP(I707,KET!$B:$F,4,0),"")</f>
        <v>FAHMI LUKMANUL HAKIM</v>
      </c>
      <c r="F707" s="20" t="str">
        <f>IFERROR(VLOOKUP(I707,KET!$B:$F,5,0),"")</f>
        <v>NKA</v>
      </c>
      <c r="G707" s="20">
        <f>IFERROR(INDEX('Kode Outlet dan Target Toko'!$C:$C,MATCH($I707,'Kode Outlet dan Target Toko'!$E:$E,0)),0)</f>
        <v>490034</v>
      </c>
      <c r="H707" s="20">
        <f>IFERROR(INDEX('Kode Outlet dan Target Toko'!$D:$D,MATCH($I707,'Kode Outlet dan Target Toko'!$E:$E,0)),0)</f>
        <v>209554</v>
      </c>
      <c r="I707" s="41" t="s">
        <v>26</v>
      </c>
      <c r="J707" s="27" t="s">
        <v>176</v>
      </c>
      <c r="K707" s="39" t="s">
        <v>14</v>
      </c>
      <c r="L707" s="23">
        <v>3275</v>
      </c>
      <c r="M707" s="24">
        <v>60</v>
      </c>
      <c r="N707" s="25">
        <f t="shared" si="21"/>
        <v>196500</v>
      </c>
      <c r="O707" s="24"/>
    </row>
    <row r="708" spans="1:15" ht="15.75" hidden="1" customHeight="1" x14ac:dyDescent="0.3">
      <c r="A708" s="24">
        <v>26</v>
      </c>
      <c r="B708" s="20" t="str">
        <f t="shared" si="20"/>
        <v>JUN</v>
      </c>
      <c r="C708" s="21">
        <v>46200</v>
      </c>
      <c r="D708" s="22" t="str">
        <f t="array" ref="D708">IFERROR(INDEX('Kode Outlet dan Target Toko'!$A:$A,MATCH($I708,'Kode Outlet dan Target Toko'!$E:$E,0)),"")</f>
        <v>GRSM 4</v>
      </c>
      <c r="E708" s="20" t="str">
        <f>IFERROR(VLOOKUP(I708,KET!$B:$F,4,0),"")</f>
        <v>FAHMI LUKMANUL HAKIM</v>
      </c>
      <c r="F708" s="20" t="str">
        <f>IFERROR(VLOOKUP(I708,KET!$B:$F,5,0),"")</f>
        <v>NKA</v>
      </c>
      <c r="G708" s="20">
        <f>IFERROR(INDEX('Kode Outlet dan Target Toko'!$C:$C,MATCH($I708,'Kode Outlet dan Target Toko'!$E:$E,0)),0)</f>
        <v>490034</v>
      </c>
      <c r="H708" s="20">
        <f>IFERROR(INDEX('Kode Outlet dan Target Toko'!$D:$D,MATCH($I708,'Kode Outlet dan Target Toko'!$E:$E,0)),0)</f>
        <v>209554</v>
      </c>
      <c r="I708" s="41" t="s">
        <v>26</v>
      </c>
      <c r="J708" s="27" t="s">
        <v>176</v>
      </c>
      <c r="K708" s="39" t="s">
        <v>13</v>
      </c>
      <c r="L708" s="23">
        <v>3275</v>
      </c>
      <c r="M708" s="24">
        <v>20</v>
      </c>
      <c r="N708" s="25">
        <f t="shared" si="21"/>
        <v>65500</v>
      </c>
      <c r="O708" s="24"/>
    </row>
    <row r="709" spans="1:15" ht="15.75" hidden="1" customHeight="1" x14ac:dyDescent="0.3">
      <c r="A709" s="24">
        <v>26</v>
      </c>
      <c r="B709" s="20" t="str">
        <f t="shared" si="20"/>
        <v>JUN</v>
      </c>
      <c r="C709" s="21">
        <v>46200</v>
      </c>
      <c r="D709" s="22" t="str">
        <f t="array" ref="D709">IFERROR(INDEX('Kode Outlet dan Target Toko'!$A:$A,MATCH($I709,'Kode Outlet dan Target Toko'!$E:$E,0)),"")</f>
        <v>GRSM 4</v>
      </c>
      <c r="E709" s="20" t="str">
        <f>IFERROR(VLOOKUP(I709,KET!$B:$F,4,0),"")</f>
        <v>FAHMI LUKMANUL HAKIM</v>
      </c>
      <c r="F709" s="20" t="str">
        <f>IFERROR(VLOOKUP(I709,KET!$B:$F,5,0),"")</f>
        <v>NKA</v>
      </c>
      <c r="G709" s="20">
        <f>IFERROR(INDEX('Kode Outlet dan Target Toko'!$C:$C,MATCH($I709,'Kode Outlet dan Target Toko'!$E:$E,0)),0)</f>
        <v>490034</v>
      </c>
      <c r="H709" s="20">
        <f>IFERROR(INDEX('Kode Outlet dan Target Toko'!$D:$D,MATCH($I709,'Kode Outlet dan Target Toko'!$E:$E,0)),0)</f>
        <v>209554</v>
      </c>
      <c r="I709" s="41" t="s">
        <v>26</v>
      </c>
      <c r="J709" s="27" t="s">
        <v>176</v>
      </c>
      <c r="K709" s="39" t="s">
        <v>16</v>
      </c>
      <c r="L709" s="23">
        <v>3275</v>
      </c>
      <c r="M709" s="24">
        <v>126</v>
      </c>
      <c r="N709" s="25">
        <f t="shared" si="21"/>
        <v>412650</v>
      </c>
      <c r="O709" s="24">
        <v>160</v>
      </c>
    </row>
    <row r="710" spans="1:15" ht="15.75" hidden="1" customHeight="1" x14ac:dyDescent="0.3">
      <c r="A710" s="24">
        <v>26</v>
      </c>
      <c r="B710" s="20" t="str">
        <f t="shared" si="20"/>
        <v>JUN</v>
      </c>
      <c r="C710" s="21">
        <v>46200</v>
      </c>
      <c r="D710" s="22" t="str">
        <f t="array" ref="D710">IFERROR(INDEX('Kode Outlet dan Target Toko'!$A:$A,MATCH($I710,'Kode Outlet dan Target Toko'!$E:$E,0)),"")</f>
        <v>GRSM 4</v>
      </c>
      <c r="E710" s="20" t="str">
        <f>IFERROR(VLOOKUP(I710,KET!$B:$F,4,0),"")</f>
        <v>FAHMI LUKMANUL HAKIM</v>
      </c>
      <c r="F710" s="20" t="str">
        <f>IFERROR(VLOOKUP(I710,KET!$B:$F,5,0),"")</f>
        <v>GMM</v>
      </c>
      <c r="G710" s="20">
        <f>IFERROR(INDEX('Kode Outlet dan Target Toko'!$C:$C,MATCH($I710,'Kode Outlet dan Target Toko'!$E:$E,0)),0)</f>
        <v>103257</v>
      </c>
      <c r="H710" s="20">
        <f>IFERROR(INDEX('Kode Outlet dan Target Toko'!$D:$D,MATCH($I710,'Kode Outlet dan Target Toko'!$E:$E,0)),0)</f>
        <v>9162509</v>
      </c>
      <c r="I710" s="41" t="s">
        <v>23</v>
      </c>
      <c r="J710" s="19" t="s">
        <v>180</v>
      </c>
      <c r="K710" s="39" t="s">
        <v>15</v>
      </c>
      <c r="L710" s="23">
        <v>3200</v>
      </c>
      <c r="M710" s="24">
        <v>64</v>
      </c>
      <c r="N710" s="25">
        <f t="shared" si="21"/>
        <v>204800</v>
      </c>
      <c r="O710" s="24"/>
    </row>
    <row r="711" spans="1:15" ht="15.75" hidden="1" customHeight="1" x14ac:dyDescent="0.3">
      <c r="A711" s="24">
        <v>26</v>
      </c>
      <c r="B711" s="20" t="str">
        <f t="shared" ref="B711:B774" si="22">IF(C711="","",UPPER(TEXT(C711, "MMM")))</f>
        <v>JUN</v>
      </c>
      <c r="C711" s="21">
        <v>46200</v>
      </c>
      <c r="D711" s="22" t="str">
        <f t="array" ref="D711">IFERROR(INDEX('Kode Outlet dan Target Toko'!$A:$A,MATCH($I711,'Kode Outlet dan Target Toko'!$E:$E,0)),"")</f>
        <v>GRSM 4</v>
      </c>
      <c r="E711" s="20" t="str">
        <f>IFERROR(VLOOKUP(I711,KET!$B:$F,4,0),"")</f>
        <v>FAHMI LUKMANUL HAKIM</v>
      </c>
      <c r="F711" s="20" t="str">
        <f>IFERROR(VLOOKUP(I711,KET!$B:$F,5,0),"")</f>
        <v>GMM</v>
      </c>
      <c r="G711" s="20">
        <f>IFERROR(INDEX('Kode Outlet dan Target Toko'!$C:$C,MATCH($I711,'Kode Outlet dan Target Toko'!$E:$E,0)),0)</f>
        <v>103257</v>
      </c>
      <c r="H711" s="20">
        <f>IFERROR(INDEX('Kode Outlet dan Target Toko'!$D:$D,MATCH($I711,'Kode Outlet dan Target Toko'!$E:$E,0)),0)</f>
        <v>9162509</v>
      </c>
      <c r="I711" s="41" t="s">
        <v>23</v>
      </c>
      <c r="J711" s="19" t="s">
        <v>180</v>
      </c>
      <c r="K711" s="39" t="s">
        <v>14</v>
      </c>
      <c r="L711" s="23">
        <v>3200</v>
      </c>
      <c r="M711" s="24">
        <v>72</v>
      </c>
      <c r="N711" s="25">
        <f t="shared" ref="N711:N774" si="23">IFERROR(M711*L711,"")</f>
        <v>230400</v>
      </c>
      <c r="O711" s="24"/>
    </row>
    <row r="712" spans="1:15" ht="15.75" hidden="1" customHeight="1" x14ac:dyDescent="0.3">
      <c r="A712" s="24">
        <v>26</v>
      </c>
      <c r="B712" s="20" t="str">
        <f t="shared" si="22"/>
        <v>JUN</v>
      </c>
      <c r="C712" s="21">
        <v>46200</v>
      </c>
      <c r="D712" s="22" t="str">
        <f t="array" ref="D712">IFERROR(INDEX('Kode Outlet dan Target Toko'!$A:$A,MATCH($I712,'Kode Outlet dan Target Toko'!$E:$E,0)),"")</f>
        <v>GRSM 4</v>
      </c>
      <c r="E712" s="20" t="str">
        <f>IFERROR(VLOOKUP(I712,KET!$B:$F,4,0),"")</f>
        <v>FAHMI LUKMANUL HAKIM</v>
      </c>
      <c r="F712" s="20" t="str">
        <f>IFERROR(VLOOKUP(I712,KET!$B:$F,5,0),"")</f>
        <v>GMM</v>
      </c>
      <c r="G712" s="20">
        <f>IFERROR(INDEX('Kode Outlet dan Target Toko'!$C:$C,MATCH($I712,'Kode Outlet dan Target Toko'!$E:$E,0)),0)</f>
        <v>103257</v>
      </c>
      <c r="H712" s="20">
        <f>IFERROR(INDEX('Kode Outlet dan Target Toko'!$D:$D,MATCH($I712,'Kode Outlet dan Target Toko'!$E:$E,0)),0)</f>
        <v>9162509</v>
      </c>
      <c r="I712" s="41" t="s">
        <v>23</v>
      </c>
      <c r="J712" s="19" t="s">
        <v>180</v>
      </c>
      <c r="K712" s="39" t="s">
        <v>13</v>
      </c>
      <c r="L712" s="23">
        <v>3200</v>
      </c>
      <c r="M712" s="24">
        <v>60</v>
      </c>
      <c r="N712" s="25">
        <f t="shared" si="23"/>
        <v>192000</v>
      </c>
      <c r="O712" s="24"/>
    </row>
    <row r="713" spans="1:15" ht="15.75" hidden="1" customHeight="1" x14ac:dyDescent="0.3">
      <c r="A713" s="24">
        <v>26</v>
      </c>
      <c r="B713" s="20" t="str">
        <f t="shared" si="22"/>
        <v>JUN</v>
      </c>
      <c r="C713" s="21">
        <v>46200</v>
      </c>
      <c r="D713" s="22" t="str">
        <f t="array" ref="D713">IFERROR(INDEX('Kode Outlet dan Target Toko'!$A:$A,MATCH($I713,'Kode Outlet dan Target Toko'!$E:$E,0)),"")</f>
        <v>GRSM 4</v>
      </c>
      <c r="E713" s="20" t="str">
        <f>IFERROR(VLOOKUP(I713,KET!$B:$F,4,0),"")</f>
        <v>FAHMI LUKMANUL HAKIM</v>
      </c>
      <c r="F713" s="20" t="str">
        <f>IFERROR(VLOOKUP(I713,KET!$B:$F,5,0),"")</f>
        <v>GMM</v>
      </c>
      <c r="G713" s="20">
        <f>IFERROR(INDEX('Kode Outlet dan Target Toko'!$C:$C,MATCH($I713,'Kode Outlet dan Target Toko'!$E:$E,0)),0)</f>
        <v>103257</v>
      </c>
      <c r="H713" s="20">
        <f>IFERROR(INDEX('Kode Outlet dan Target Toko'!$D:$D,MATCH($I713,'Kode Outlet dan Target Toko'!$E:$E,0)),0)</f>
        <v>9162509</v>
      </c>
      <c r="I713" s="41" t="s">
        <v>23</v>
      </c>
      <c r="J713" s="19" t="s">
        <v>180</v>
      </c>
      <c r="K713" s="39" t="s">
        <v>16</v>
      </c>
      <c r="L713" s="23">
        <v>3200</v>
      </c>
      <c r="M713" s="24">
        <v>98</v>
      </c>
      <c r="N713" s="25">
        <f t="shared" si="23"/>
        <v>313600</v>
      </c>
      <c r="O713" s="24">
        <v>160</v>
      </c>
    </row>
    <row r="714" spans="1:15" ht="15.75" hidden="1" customHeight="1" x14ac:dyDescent="0.3">
      <c r="A714" s="24">
        <v>26</v>
      </c>
      <c r="B714" s="20" t="str">
        <f t="shared" si="22"/>
        <v>JUN</v>
      </c>
      <c r="C714" s="21">
        <v>46201</v>
      </c>
      <c r="D714" s="22" t="str">
        <f t="array" ref="D714">IFERROR(INDEX('Kode Outlet dan Target Toko'!$A:$A,MATCH($I714,'Kode Outlet dan Target Toko'!$E:$E,0)),"")</f>
        <v>GRSM 4</v>
      </c>
      <c r="E714" s="20" t="str">
        <f>IFERROR(VLOOKUP(I714,KET!$B:$F,4,0),"")</f>
        <v>FAHMI LUKMANUL HAKIM</v>
      </c>
      <c r="F714" s="20" t="str">
        <f>IFERROR(VLOOKUP(I714,KET!$B:$F,5,0),"")</f>
        <v>GMM</v>
      </c>
      <c r="G714" s="20">
        <f>IFERROR(INDEX('Kode Outlet dan Target Toko'!$C:$C,MATCH($I714,'Kode Outlet dan Target Toko'!$E:$E,0)),0)</f>
        <v>103257</v>
      </c>
      <c r="H714" s="20">
        <f>IFERROR(INDEX('Kode Outlet dan Target Toko'!$D:$D,MATCH($I714,'Kode Outlet dan Target Toko'!$E:$E,0)),0)</f>
        <v>9162509</v>
      </c>
      <c r="I714" s="41" t="s">
        <v>23</v>
      </c>
      <c r="J714" s="19" t="s">
        <v>180</v>
      </c>
      <c r="K714" s="39" t="s">
        <v>15</v>
      </c>
      <c r="L714" s="23">
        <v>3200</v>
      </c>
      <c r="M714" s="24">
        <v>55</v>
      </c>
      <c r="N714" s="25">
        <f t="shared" si="23"/>
        <v>176000</v>
      </c>
      <c r="O714" s="24"/>
    </row>
    <row r="715" spans="1:15" ht="15.75" hidden="1" customHeight="1" x14ac:dyDescent="0.3">
      <c r="A715" s="24">
        <v>26</v>
      </c>
      <c r="B715" s="20" t="str">
        <f t="shared" si="22"/>
        <v>JUN</v>
      </c>
      <c r="C715" s="21">
        <v>46201</v>
      </c>
      <c r="D715" s="22" t="str">
        <f t="array" ref="D715">IFERROR(INDEX('Kode Outlet dan Target Toko'!$A:$A,MATCH($I715,'Kode Outlet dan Target Toko'!$E:$E,0)),"")</f>
        <v>GRSM 4</v>
      </c>
      <c r="E715" s="20" t="str">
        <f>IFERROR(VLOOKUP(I715,KET!$B:$F,4,0),"")</f>
        <v>FAHMI LUKMANUL HAKIM</v>
      </c>
      <c r="F715" s="20" t="str">
        <f>IFERROR(VLOOKUP(I715,KET!$B:$F,5,0),"")</f>
        <v>GMM</v>
      </c>
      <c r="G715" s="20">
        <f>IFERROR(INDEX('Kode Outlet dan Target Toko'!$C:$C,MATCH($I715,'Kode Outlet dan Target Toko'!$E:$E,0)),0)</f>
        <v>103257</v>
      </c>
      <c r="H715" s="20">
        <f>IFERROR(INDEX('Kode Outlet dan Target Toko'!$D:$D,MATCH($I715,'Kode Outlet dan Target Toko'!$E:$E,0)),0)</f>
        <v>9162509</v>
      </c>
      <c r="I715" s="41" t="s">
        <v>23</v>
      </c>
      <c r="J715" s="19" t="s">
        <v>180</v>
      </c>
      <c r="K715" s="39" t="s">
        <v>14</v>
      </c>
      <c r="L715" s="23">
        <v>3200</v>
      </c>
      <c r="M715" s="24">
        <v>62</v>
      </c>
      <c r="N715" s="25">
        <f t="shared" si="23"/>
        <v>198400</v>
      </c>
      <c r="O715" s="24"/>
    </row>
    <row r="716" spans="1:15" ht="15.75" hidden="1" customHeight="1" x14ac:dyDescent="0.3">
      <c r="A716" s="24">
        <v>26</v>
      </c>
      <c r="B716" s="20" t="str">
        <f t="shared" si="22"/>
        <v>JUN</v>
      </c>
      <c r="C716" s="21">
        <v>46201</v>
      </c>
      <c r="D716" s="22" t="str">
        <f t="array" ref="D716">IFERROR(INDEX('Kode Outlet dan Target Toko'!$A:$A,MATCH($I716,'Kode Outlet dan Target Toko'!$E:$E,0)),"")</f>
        <v>GRSM 4</v>
      </c>
      <c r="E716" s="20" t="str">
        <f>IFERROR(VLOOKUP(I716,KET!$B:$F,4,0),"")</f>
        <v>FAHMI LUKMANUL HAKIM</v>
      </c>
      <c r="F716" s="20" t="str">
        <f>IFERROR(VLOOKUP(I716,KET!$B:$F,5,0),"")</f>
        <v>GMM</v>
      </c>
      <c r="G716" s="20">
        <f>IFERROR(INDEX('Kode Outlet dan Target Toko'!$C:$C,MATCH($I716,'Kode Outlet dan Target Toko'!$E:$E,0)),0)</f>
        <v>103257</v>
      </c>
      <c r="H716" s="20">
        <f>IFERROR(INDEX('Kode Outlet dan Target Toko'!$D:$D,MATCH($I716,'Kode Outlet dan Target Toko'!$E:$E,0)),0)</f>
        <v>9162509</v>
      </c>
      <c r="I716" s="41" t="s">
        <v>23</v>
      </c>
      <c r="J716" s="19" t="s">
        <v>180</v>
      </c>
      <c r="K716" s="39" t="s">
        <v>13</v>
      </c>
      <c r="L716" s="23">
        <v>3200</v>
      </c>
      <c r="M716" s="24">
        <v>53</v>
      </c>
      <c r="N716" s="25">
        <f t="shared" si="23"/>
        <v>169600</v>
      </c>
      <c r="O716" s="24"/>
    </row>
    <row r="717" spans="1:15" ht="15.75" hidden="1" customHeight="1" x14ac:dyDescent="0.3">
      <c r="A717" s="24">
        <v>26</v>
      </c>
      <c r="B717" s="20" t="str">
        <f t="shared" si="22"/>
        <v>JUN</v>
      </c>
      <c r="C717" s="21">
        <v>46201</v>
      </c>
      <c r="D717" s="22" t="str">
        <f t="array" ref="D717">IFERROR(INDEX('Kode Outlet dan Target Toko'!$A:$A,MATCH($I717,'Kode Outlet dan Target Toko'!$E:$E,0)),"")</f>
        <v>GRSM 4</v>
      </c>
      <c r="E717" s="20" t="str">
        <f>IFERROR(VLOOKUP(I717,KET!$B:$F,4,0),"")</f>
        <v>FAHMI LUKMANUL HAKIM</v>
      </c>
      <c r="F717" s="20" t="str">
        <f>IFERROR(VLOOKUP(I717,KET!$B:$F,5,0),"")</f>
        <v>GMM</v>
      </c>
      <c r="G717" s="20">
        <f>IFERROR(INDEX('Kode Outlet dan Target Toko'!$C:$C,MATCH($I717,'Kode Outlet dan Target Toko'!$E:$E,0)),0)</f>
        <v>103257</v>
      </c>
      <c r="H717" s="20">
        <f>IFERROR(INDEX('Kode Outlet dan Target Toko'!$D:$D,MATCH($I717,'Kode Outlet dan Target Toko'!$E:$E,0)),0)</f>
        <v>9162509</v>
      </c>
      <c r="I717" s="41" t="s">
        <v>23</v>
      </c>
      <c r="J717" s="19" t="s">
        <v>180</v>
      </c>
      <c r="K717" s="39" t="s">
        <v>16</v>
      </c>
      <c r="L717" s="23">
        <v>3200</v>
      </c>
      <c r="M717" s="24">
        <v>91</v>
      </c>
      <c r="N717" s="25">
        <f t="shared" si="23"/>
        <v>291200</v>
      </c>
      <c r="O717" s="24">
        <v>160</v>
      </c>
    </row>
    <row r="718" spans="1:15" ht="15.75" hidden="1" customHeight="1" x14ac:dyDescent="0.3">
      <c r="A718" s="24">
        <v>26</v>
      </c>
      <c r="B718" s="20" t="str">
        <f t="shared" si="22"/>
        <v>JUN</v>
      </c>
      <c r="C718" s="21">
        <v>46200</v>
      </c>
      <c r="D718" s="22" t="str">
        <f t="array" ref="D718">IFERROR(INDEX('Kode Outlet dan Target Toko'!$A:$A,MATCH($I718,'Kode Outlet dan Target Toko'!$E:$E,0)),"")</f>
        <v>GRSM 4</v>
      </c>
      <c r="E718" s="20" t="str">
        <f>IFERROR(VLOOKUP(I718,KET!$B:$F,4,0),"")</f>
        <v>FAHMI LUKMANUL HAKIM</v>
      </c>
      <c r="F718" s="20" t="str">
        <f>IFERROR(VLOOKUP(I718,KET!$B:$F,5,0),"")</f>
        <v>GMM</v>
      </c>
      <c r="G718" s="20">
        <f>IFERROR(INDEX('Kode Outlet dan Target Toko'!$C:$C,MATCH($I718,'Kode Outlet dan Target Toko'!$E:$E,0)),0)</f>
        <v>103257</v>
      </c>
      <c r="H718" s="20">
        <f>IFERROR(INDEX('Kode Outlet dan Target Toko'!$D:$D,MATCH($I718,'Kode Outlet dan Target Toko'!$E:$E,0)),0)</f>
        <v>9162509</v>
      </c>
      <c r="I718" s="41" t="s">
        <v>23</v>
      </c>
      <c r="J718" s="56" t="s">
        <v>181</v>
      </c>
      <c r="K718" s="39" t="s">
        <v>16</v>
      </c>
      <c r="L718" s="23">
        <v>3200</v>
      </c>
      <c r="M718" s="24">
        <v>60</v>
      </c>
      <c r="N718" s="25">
        <f t="shared" si="23"/>
        <v>192000</v>
      </c>
      <c r="O718" s="24"/>
    </row>
    <row r="719" spans="1:15" ht="15.75" hidden="1" customHeight="1" x14ac:dyDescent="0.3">
      <c r="A719" s="24">
        <v>26</v>
      </c>
      <c r="B719" s="20" t="str">
        <f t="shared" si="22"/>
        <v>JUN</v>
      </c>
      <c r="C719" s="21">
        <v>46200</v>
      </c>
      <c r="D719" s="22" t="str">
        <f t="array" ref="D719">IFERROR(INDEX('Kode Outlet dan Target Toko'!$A:$A,MATCH($I719,'Kode Outlet dan Target Toko'!$E:$E,0)),"")</f>
        <v>GRSM 4</v>
      </c>
      <c r="E719" s="20" t="str">
        <f>IFERROR(VLOOKUP(I719,KET!$B:$F,4,0),"")</f>
        <v>FAHMI LUKMANUL HAKIM</v>
      </c>
      <c r="F719" s="20" t="str">
        <f>IFERROR(VLOOKUP(I719,KET!$B:$F,5,0),"")</f>
        <v>GMM</v>
      </c>
      <c r="G719" s="20">
        <f>IFERROR(INDEX('Kode Outlet dan Target Toko'!$C:$C,MATCH($I719,'Kode Outlet dan Target Toko'!$E:$E,0)),0)</f>
        <v>103257</v>
      </c>
      <c r="H719" s="20">
        <f>IFERROR(INDEX('Kode Outlet dan Target Toko'!$D:$D,MATCH($I719,'Kode Outlet dan Target Toko'!$E:$E,0)),0)</f>
        <v>9162509</v>
      </c>
      <c r="I719" s="41" t="s">
        <v>23</v>
      </c>
      <c r="J719" s="56" t="s">
        <v>181</v>
      </c>
      <c r="K719" s="39" t="s">
        <v>14</v>
      </c>
      <c r="L719" s="23">
        <v>3200</v>
      </c>
      <c r="M719" s="24">
        <v>69</v>
      </c>
      <c r="N719" s="25">
        <f t="shared" si="23"/>
        <v>220800</v>
      </c>
      <c r="O719" s="24"/>
    </row>
    <row r="720" spans="1:15" ht="15.75" hidden="1" customHeight="1" x14ac:dyDescent="0.3">
      <c r="A720" s="24">
        <v>26</v>
      </c>
      <c r="B720" s="20" t="str">
        <f t="shared" si="22"/>
        <v>JUN</v>
      </c>
      <c r="C720" s="21">
        <v>46200</v>
      </c>
      <c r="D720" s="22" t="str">
        <f t="array" ref="D720">IFERROR(INDEX('Kode Outlet dan Target Toko'!$A:$A,MATCH($I720,'Kode Outlet dan Target Toko'!$E:$E,0)),"")</f>
        <v>GRSM 4</v>
      </c>
      <c r="E720" s="20" t="str">
        <f>IFERROR(VLOOKUP(I720,KET!$B:$F,4,0),"")</f>
        <v>FAHMI LUKMANUL HAKIM</v>
      </c>
      <c r="F720" s="20" t="str">
        <f>IFERROR(VLOOKUP(I720,KET!$B:$F,5,0),"")</f>
        <v>GMM</v>
      </c>
      <c r="G720" s="20">
        <f>IFERROR(INDEX('Kode Outlet dan Target Toko'!$C:$C,MATCH($I720,'Kode Outlet dan Target Toko'!$E:$E,0)),0)</f>
        <v>103257</v>
      </c>
      <c r="H720" s="20">
        <f>IFERROR(INDEX('Kode Outlet dan Target Toko'!$D:$D,MATCH($I720,'Kode Outlet dan Target Toko'!$E:$E,0)),0)</f>
        <v>9162509</v>
      </c>
      <c r="I720" s="41" t="s">
        <v>23</v>
      </c>
      <c r="J720" s="56" t="s">
        <v>181</v>
      </c>
      <c r="K720" s="39" t="s">
        <v>13</v>
      </c>
      <c r="L720" s="23">
        <v>3200</v>
      </c>
      <c r="M720" s="24">
        <v>58</v>
      </c>
      <c r="N720" s="25">
        <f t="shared" si="23"/>
        <v>185600</v>
      </c>
      <c r="O720" s="24"/>
    </row>
    <row r="721" spans="1:15" ht="15.75" hidden="1" customHeight="1" x14ac:dyDescent="0.3">
      <c r="A721" s="24">
        <v>26</v>
      </c>
      <c r="B721" s="20" t="str">
        <f t="shared" si="22"/>
        <v>JUN</v>
      </c>
      <c r="C721" s="21">
        <v>46200</v>
      </c>
      <c r="D721" s="22" t="str">
        <f t="array" ref="D721">IFERROR(INDEX('Kode Outlet dan Target Toko'!$A:$A,MATCH($I721,'Kode Outlet dan Target Toko'!$E:$E,0)),"")</f>
        <v>GRSM 4</v>
      </c>
      <c r="E721" s="20" t="str">
        <f>IFERROR(VLOOKUP(I721,KET!$B:$F,4,0),"")</f>
        <v>FAHMI LUKMANUL HAKIM</v>
      </c>
      <c r="F721" s="20" t="str">
        <f>IFERROR(VLOOKUP(I721,KET!$B:$F,5,0),"")</f>
        <v>GMM</v>
      </c>
      <c r="G721" s="20">
        <f>IFERROR(INDEX('Kode Outlet dan Target Toko'!$C:$C,MATCH($I721,'Kode Outlet dan Target Toko'!$E:$E,0)),0)</f>
        <v>103257</v>
      </c>
      <c r="H721" s="20">
        <f>IFERROR(INDEX('Kode Outlet dan Target Toko'!$D:$D,MATCH($I721,'Kode Outlet dan Target Toko'!$E:$E,0)),0)</f>
        <v>9162509</v>
      </c>
      <c r="I721" s="41" t="s">
        <v>23</v>
      </c>
      <c r="J721" s="56" t="s">
        <v>181</v>
      </c>
      <c r="K721" s="39" t="s">
        <v>16</v>
      </c>
      <c r="L721" s="23">
        <v>3200</v>
      </c>
      <c r="M721" s="24">
        <v>95</v>
      </c>
      <c r="N721" s="25">
        <f t="shared" si="23"/>
        <v>304000</v>
      </c>
      <c r="O721" s="24">
        <v>160</v>
      </c>
    </row>
    <row r="722" spans="1:15" ht="15.75" hidden="1" customHeight="1" x14ac:dyDescent="0.3">
      <c r="A722" s="24">
        <v>26</v>
      </c>
      <c r="B722" s="20" t="str">
        <f t="shared" si="22"/>
        <v>JUN</v>
      </c>
      <c r="C722" s="21">
        <v>46200</v>
      </c>
      <c r="D722" s="22" t="str">
        <f t="array" ref="D722">IFERROR(INDEX('Kode Outlet dan Target Toko'!$A:$A,MATCH($I722,'Kode Outlet dan Target Toko'!$E:$E,0)),"")</f>
        <v>GRSM 4</v>
      </c>
      <c r="E722" s="20" t="str">
        <f>IFERROR(VLOOKUP(I722,KET!$B:$F,4,0),"")</f>
        <v>FAHMI LUKMANUL HAKIM</v>
      </c>
      <c r="F722" s="20" t="str">
        <f>IFERROR(VLOOKUP(I722,KET!$B:$F,5,0),"")</f>
        <v>GMM</v>
      </c>
      <c r="G722" s="20">
        <f>IFERROR(INDEX('Kode Outlet dan Target Toko'!$C:$C,MATCH($I722,'Kode Outlet dan Target Toko'!$E:$E,0)),0)</f>
        <v>189901</v>
      </c>
      <c r="H722" s="20">
        <f>IFERROR(INDEX('Kode Outlet dan Target Toko'!$D:$D,MATCH($I722,'Kode Outlet dan Target Toko'!$E:$E,0)),0)</f>
        <v>1602020</v>
      </c>
      <c r="I722" s="41" t="s">
        <v>20</v>
      </c>
      <c r="J722" s="56" t="s">
        <v>253</v>
      </c>
      <c r="K722" s="39" t="s">
        <v>15</v>
      </c>
      <c r="L722" s="23">
        <v>2200</v>
      </c>
      <c r="M722" s="24">
        <v>38</v>
      </c>
      <c r="N722" s="25">
        <f t="shared" si="23"/>
        <v>83600</v>
      </c>
      <c r="O722" s="24"/>
    </row>
    <row r="723" spans="1:15" ht="15.75" hidden="1" customHeight="1" x14ac:dyDescent="0.3">
      <c r="A723" s="24">
        <v>26</v>
      </c>
      <c r="B723" s="20" t="str">
        <f t="shared" si="22"/>
        <v>JUN</v>
      </c>
      <c r="C723" s="21">
        <v>46200</v>
      </c>
      <c r="D723" s="22" t="str">
        <f t="array" ref="D723">IFERROR(INDEX('Kode Outlet dan Target Toko'!$A:$A,MATCH($I723,'Kode Outlet dan Target Toko'!$E:$E,0)),"")</f>
        <v>GRSM 4</v>
      </c>
      <c r="E723" s="20" t="str">
        <f>IFERROR(VLOOKUP(I723,KET!$B:$F,4,0),"")</f>
        <v>FAHMI LUKMANUL HAKIM</v>
      </c>
      <c r="F723" s="20" t="str">
        <f>IFERROR(VLOOKUP(I723,KET!$B:$F,5,0),"")</f>
        <v>GMM</v>
      </c>
      <c r="G723" s="20">
        <f>IFERROR(INDEX('Kode Outlet dan Target Toko'!$C:$C,MATCH($I723,'Kode Outlet dan Target Toko'!$E:$E,0)),0)</f>
        <v>189901</v>
      </c>
      <c r="H723" s="20">
        <f>IFERROR(INDEX('Kode Outlet dan Target Toko'!$D:$D,MATCH($I723,'Kode Outlet dan Target Toko'!$E:$E,0)),0)</f>
        <v>1602020</v>
      </c>
      <c r="I723" s="41" t="s">
        <v>20</v>
      </c>
      <c r="J723" s="56" t="s">
        <v>253</v>
      </c>
      <c r="K723" s="39" t="s">
        <v>14</v>
      </c>
      <c r="L723" s="23">
        <v>2200</v>
      </c>
      <c r="M723" s="24">
        <v>49</v>
      </c>
      <c r="N723" s="25">
        <f t="shared" si="23"/>
        <v>107800</v>
      </c>
      <c r="O723" s="24"/>
    </row>
    <row r="724" spans="1:15" ht="15.75" hidden="1" customHeight="1" x14ac:dyDescent="0.3">
      <c r="A724" s="24">
        <v>26</v>
      </c>
      <c r="B724" s="20" t="str">
        <f t="shared" si="22"/>
        <v>JUN</v>
      </c>
      <c r="C724" s="21">
        <v>46200</v>
      </c>
      <c r="D724" s="22" t="str">
        <f t="array" ref="D724">IFERROR(INDEX('Kode Outlet dan Target Toko'!$A:$A,MATCH($I724,'Kode Outlet dan Target Toko'!$E:$E,0)),"")</f>
        <v>GRSM 4</v>
      </c>
      <c r="E724" s="20" t="str">
        <f>IFERROR(VLOOKUP(I724,KET!$B:$F,4,0),"")</f>
        <v>FAHMI LUKMANUL HAKIM</v>
      </c>
      <c r="F724" s="20" t="str">
        <f>IFERROR(VLOOKUP(I724,KET!$B:$F,5,0),"")</f>
        <v>GMM</v>
      </c>
      <c r="G724" s="20">
        <f>IFERROR(INDEX('Kode Outlet dan Target Toko'!$C:$C,MATCH($I724,'Kode Outlet dan Target Toko'!$E:$E,0)),0)</f>
        <v>189901</v>
      </c>
      <c r="H724" s="20">
        <f>IFERROR(INDEX('Kode Outlet dan Target Toko'!$D:$D,MATCH($I724,'Kode Outlet dan Target Toko'!$E:$E,0)),0)</f>
        <v>1602020</v>
      </c>
      <c r="I724" s="41" t="s">
        <v>20</v>
      </c>
      <c r="J724" s="56" t="s">
        <v>253</v>
      </c>
      <c r="K724" s="39" t="s">
        <v>13</v>
      </c>
      <c r="L724" s="23">
        <v>2200</v>
      </c>
      <c r="M724" s="24">
        <v>13</v>
      </c>
      <c r="N724" s="25">
        <f t="shared" si="23"/>
        <v>28600</v>
      </c>
      <c r="O724" s="24"/>
    </row>
    <row r="725" spans="1:15" ht="15.75" hidden="1" customHeight="1" x14ac:dyDescent="0.3">
      <c r="A725" s="24">
        <v>26</v>
      </c>
      <c r="B725" s="20" t="str">
        <f t="shared" si="22"/>
        <v>JUN</v>
      </c>
      <c r="C725" s="21">
        <v>46200</v>
      </c>
      <c r="D725" s="22" t="str">
        <f t="array" ref="D725">IFERROR(INDEX('Kode Outlet dan Target Toko'!$A:$A,MATCH($I725,'Kode Outlet dan Target Toko'!$E:$E,0)),"")</f>
        <v>GRSM 4</v>
      </c>
      <c r="E725" s="20" t="str">
        <f>IFERROR(VLOOKUP(I725,KET!$B:$F,4,0),"")</f>
        <v>FAHMI LUKMANUL HAKIM</v>
      </c>
      <c r="F725" s="20" t="str">
        <f>IFERROR(VLOOKUP(I725,KET!$B:$F,5,0),"")</f>
        <v>GMM</v>
      </c>
      <c r="G725" s="20">
        <f>IFERROR(INDEX('Kode Outlet dan Target Toko'!$C:$C,MATCH($I725,'Kode Outlet dan Target Toko'!$E:$E,0)),0)</f>
        <v>189901</v>
      </c>
      <c r="H725" s="20">
        <f>IFERROR(INDEX('Kode Outlet dan Target Toko'!$D:$D,MATCH($I725,'Kode Outlet dan Target Toko'!$E:$E,0)),0)</f>
        <v>1602020</v>
      </c>
      <c r="I725" s="41" t="s">
        <v>20</v>
      </c>
      <c r="J725" s="56" t="s">
        <v>253</v>
      </c>
      <c r="K725" s="39" t="s">
        <v>16</v>
      </c>
      <c r="L725" s="23">
        <v>2200</v>
      </c>
      <c r="M725" s="24">
        <v>151</v>
      </c>
      <c r="N725" s="25">
        <f t="shared" si="23"/>
        <v>332200</v>
      </c>
      <c r="O725" s="24">
        <v>120</v>
      </c>
    </row>
    <row r="726" spans="1:15" ht="15.75" hidden="1" customHeight="1" x14ac:dyDescent="0.3">
      <c r="A726" s="24">
        <v>26</v>
      </c>
      <c r="B726" s="20" t="str">
        <f t="shared" si="22"/>
        <v>JUN</v>
      </c>
      <c r="C726" s="21">
        <v>46200</v>
      </c>
      <c r="D726" s="22" t="str">
        <f t="array" ref="D726">IFERROR(INDEX('Kode Outlet dan Target Toko'!$A:$A,MATCH($I726,'Kode Outlet dan Target Toko'!$E:$E,0)),"")</f>
        <v>GRSM 4</v>
      </c>
      <c r="E726" s="20" t="str">
        <f>IFERROR(VLOOKUP(I726,KET!$B:$F,4,0),"")</f>
        <v>FAHMI LUKMANUL HAKIM</v>
      </c>
      <c r="F726" s="20" t="str">
        <f>IFERROR(VLOOKUP(I726,KET!$B:$F,5,0),"")</f>
        <v>GMM</v>
      </c>
      <c r="G726" s="20">
        <f>IFERROR(INDEX('Kode Outlet dan Target Toko'!$C:$C,MATCH($I726,'Kode Outlet dan Target Toko'!$E:$E,0)),0)</f>
        <v>189901</v>
      </c>
      <c r="H726" s="20">
        <f>IFERROR(INDEX('Kode Outlet dan Target Toko'!$D:$D,MATCH($I726,'Kode Outlet dan Target Toko'!$E:$E,0)),0)</f>
        <v>1602020</v>
      </c>
      <c r="I726" s="51" t="s">
        <v>20</v>
      </c>
      <c r="J726" s="27" t="s">
        <v>198</v>
      </c>
      <c r="K726" s="39" t="s">
        <v>15</v>
      </c>
      <c r="L726" s="29">
        <v>2200</v>
      </c>
      <c r="M726" s="24">
        <v>40</v>
      </c>
      <c r="N726" s="25">
        <f t="shared" si="23"/>
        <v>88000</v>
      </c>
      <c r="O726" s="24"/>
    </row>
    <row r="727" spans="1:15" ht="15.75" hidden="1" customHeight="1" x14ac:dyDescent="0.3">
      <c r="A727" s="24">
        <v>26</v>
      </c>
      <c r="B727" s="20" t="str">
        <f t="shared" si="22"/>
        <v>JUN</v>
      </c>
      <c r="C727" s="21">
        <v>46200</v>
      </c>
      <c r="D727" s="22" t="str">
        <f t="array" ref="D727">IFERROR(INDEX('Kode Outlet dan Target Toko'!$A:$A,MATCH($I727,'Kode Outlet dan Target Toko'!$E:$E,0)),"")</f>
        <v>GRSM 4</v>
      </c>
      <c r="E727" s="20" t="str">
        <f>IFERROR(VLOOKUP(I727,KET!$B:$F,4,0),"")</f>
        <v>FAHMI LUKMANUL HAKIM</v>
      </c>
      <c r="F727" s="20" t="str">
        <f>IFERROR(VLOOKUP(I727,KET!$B:$F,5,0),"")</f>
        <v>GMM</v>
      </c>
      <c r="G727" s="20">
        <f>IFERROR(INDEX('Kode Outlet dan Target Toko'!$C:$C,MATCH($I727,'Kode Outlet dan Target Toko'!$E:$E,0)),0)</f>
        <v>189901</v>
      </c>
      <c r="H727" s="20">
        <f>IFERROR(INDEX('Kode Outlet dan Target Toko'!$D:$D,MATCH($I727,'Kode Outlet dan Target Toko'!$E:$E,0)),0)</f>
        <v>1602020</v>
      </c>
      <c r="I727" s="51" t="s">
        <v>20</v>
      </c>
      <c r="J727" s="27" t="s">
        <v>198</v>
      </c>
      <c r="K727" s="39" t="s">
        <v>14</v>
      </c>
      <c r="L727" s="29">
        <v>2200</v>
      </c>
      <c r="M727" s="24">
        <v>51</v>
      </c>
      <c r="N727" s="25">
        <f t="shared" si="23"/>
        <v>112200</v>
      </c>
      <c r="O727" s="24"/>
    </row>
    <row r="728" spans="1:15" ht="15.75" hidden="1" customHeight="1" x14ac:dyDescent="0.3">
      <c r="A728" s="24">
        <v>26</v>
      </c>
      <c r="B728" s="20" t="str">
        <f t="shared" si="22"/>
        <v>JUN</v>
      </c>
      <c r="C728" s="21">
        <v>46200</v>
      </c>
      <c r="D728" s="22" t="str">
        <f t="array" ref="D728">IFERROR(INDEX('Kode Outlet dan Target Toko'!$A:$A,MATCH($I728,'Kode Outlet dan Target Toko'!$E:$E,0)),"")</f>
        <v>GRSM 4</v>
      </c>
      <c r="E728" s="20" t="str">
        <f>IFERROR(VLOOKUP(I728,KET!$B:$F,4,0),"")</f>
        <v>FAHMI LUKMANUL HAKIM</v>
      </c>
      <c r="F728" s="20" t="str">
        <f>IFERROR(VLOOKUP(I728,KET!$B:$F,5,0),"")</f>
        <v>GMM</v>
      </c>
      <c r="G728" s="20">
        <f>IFERROR(INDEX('Kode Outlet dan Target Toko'!$C:$C,MATCH($I728,'Kode Outlet dan Target Toko'!$E:$E,0)),0)</f>
        <v>189901</v>
      </c>
      <c r="H728" s="20">
        <f>IFERROR(INDEX('Kode Outlet dan Target Toko'!$D:$D,MATCH($I728,'Kode Outlet dan Target Toko'!$E:$E,0)),0)</f>
        <v>1602020</v>
      </c>
      <c r="I728" s="51" t="s">
        <v>20</v>
      </c>
      <c r="J728" s="27" t="s">
        <v>198</v>
      </c>
      <c r="K728" s="39" t="s">
        <v>13</v>
      </c>
      <c r="L728" s="29">
        <v>2200</v>
      </c>
      <c r="M728" s="24">
        <v>10</v>
      </c>
      <c r="N728" s="25">
        <f t="shared" si="23"/>
        <v>22000</v>
      </c>
      <c r="O728" s="24"/>
    </row>
    <row r="729" spans="1:15" ht="15.75" hidden="1" customHeight="1" x14ac:dyDescent="0.3">
      <c r="A729" s="24">
        <v>26</v>
      </c>
      <c r="B729" s="20" t="str">
        <f t="shared" si="22"/>
        <v>JUN</v>
      </c>
      <c r="C729" s="21">
        <v>46200</v>
      </c>
      <c r="D729" s="22" t="str">
        <f t="array" ref="D729">IFERROR(INDEX('Kode Outlet dan Target Toko'!$A:$A,MATCH($I729,'Kode Outlet dan Target Toko'!$E:$E,0)),"")</f>
        <v>GRSM 4</v>
      </c>
      <c r="E729" s="20" t="str">
        <f>IFERROR(VLOOKUP(I729,KET!$B:$F,4,0),"")</f>
        <v>FAHMI LUKMANUL HAKIM</v>
      </c>
      <c r="F729" s="20" t="str">
        <f>IFERROR(VLOOKUP(I729,KET!$B:$F,5,0),"")</f>
        <v>GMM</v>
      </c>
      <c r="G729" s="20">
        <f>IFERROR(INDEX('Kode Outlet dan Target Toko'!$C:$C,MATCH($I729,'Kode Outlet dan Target Toko'!$E:$E,0)),0)</f>
        <v>189901</v>
      </c>
      <c r="H729" s="20">
        <f>IFERROR(INDEX('Kode Outlet dan Target Toko'!$D:$D,MATCH($I729,'Kode Outlet dan Target Toko'!$E:$E,0)),0)</f>
        <v>1602020</v>
      </c>
      <c r="I729" s="51" t="s">
        <v>20</v>
      </c>
      <c r="J729" s="27" t="s">
        <v>198</v>
      </c>
      <c r="K729" s="39" t="s">
        <v>16</v>
      </c>
      <c r="L729" s="29">
        <v>2200</v>
      </c>
      <c r="M729" s="24">
        <v>148</v>
      </c>
      <c r="N729" s="25">
        <f t="shared" si="23"/>
        <v>325600</v>
      </c>
      <c r="O729" s="24">
        <v>120</v>
      </c>
    </row>
    <row r="730" spans="1:15" ht="15.75" hidden="1" customHeight="1" x14ac:dyDescent="0.3">
      <c r="A730" s="24">
        <v>26</v>
      </c>
      <c r="B730" s="20" t="str">
        <f t="shared" si="22"/>
        <v>JUN</v>
      </c>
      <c r="C730" s="21">
        <v>46200</v>
      </c>
      <c r="D730" s="22" t="str">
        <f t="array" ref="D730">IFERROR(INDEX('Kode Outlet dan Target Toko'!$A:$A,MATCH($I730,'Kode Outlet dan Target Toko'!$E:$E,0)),"")</f>
        <v>GRSM 4</v>
      </c>
      <c r="E730" s="20" t="str">
        <f>IFERROR(VLOOKUP(I730,KET!$B:$F,4,0),"")</f>
        <v>FAHMI LUKMANUL HAKIM</v>
      </c>
      <c r="F730" s="20" t="str">
        <f>IFERROR(VLOOKUP(I730,KET!$B:$F,5,0),"")</f>
        <v>GMM</v>
      </c>
      <c r="G730" s="20">
        <f>IFERROR(INDEX('Kode Outlet dan Target Toko'!$C:$C,MATCH($I730,'Kode Outlet dan Target Toko'!$E:$E,0)),0)</f>
        <v>103258</v>
      </c>
      <c r="H730" s="20">
        <f>IFERROR(INDEX('Kode Outlet dan Target Toko'!$D:$D,MATCH($I730,'Kode Outlet dan Target Toko'!$E:$E,0)),0)</f>
        <v>9210369</v>
      </c>
      <c r="I730" s="51" t="s">
        <v>28</v>
      </c>
      <c r="J730" s="27" t="s">
        <v>187</v>
      </c>
      <c r="K730" s="39" t="s">
        <v>15</v>
      </c>
      <c r="L730" s="29">
        <v>3500</v>
      </c>
      <c r="M730" s="24">
        <v>35</v>
      </c>
      <c r="N730" s="25">
        <f t="shared" si="23"/>
        <v>122500</v>
      </c>
      <c r="O730" s="24"/>
    </row>
    <row r="731" spans="1:15" ht="15.75" hidden="1" customHeight="1" x14ac:dyDescent="0.3">
      <c r="A731" s="24">
        <v>26</v>
      </c>
      <c r="B731" s="20" t="str">
        <f t="shared" si="22"/>
        <v>JUN</v>
      </c>
      <c r="C731" s="21">
        <v>46200</v>
      </c>
      <c r="D731" s="22" t="str">
        <f t="array" ref="D731">IFERROR(INDEX('Kode Outlet dan Target Toko'!$A:$A,MATCH($I731,'Kode Outlet dan Target Toko'!$E:$E,0)),"")</f>
        <v>GRSM 4</v>
      </c>
      <c r="E731" s="20" t="str">
        <f>IFERROR(VLOOKUP(I731,KET!$B:$F,4,0),"")</f>
        <v>FAHMI LUKMANUL HAKIM</v>
      </c>
      <c r="F731" s="20" t="str">
        <f>IFERROR(VLOOKUP(I731,KET!$B:$F,5,0),"")</f>
        <v>GMM</v>
      </c>
      <c r="G731" s="20">
        <f>IFERROR(INDEX('Kode Outlet dan Target Toko'!$C:$C,MATCH($I731,'Kode Outlet dan Target Toko'!$E:$E,0)),0)</f>
        <v>103258</v>
      </c>
      <c r="H731" s="20">
        <f>IFERROR(INDEX('Kode Outlet dan Target Toko'!$D:$D,MATCH($I731,'Kode Outlet dan Target Toko'!$E:$E,0)),0)</f>
        <v>9210369</v>
      </c>
      <c r="I731" s="51" t="s">
        <v>28</v>
      </c>
      <c r="J731" s="27" t="s">
        <v>187</v>
      </c>
      <c r="K731" s="39" t="s">
        <v>14</v>
      </c>
      <c r="L731" s="29">
        <v>3500</v>
      </c>
      <c r="M731" s="24">
        <v>45</v>
      </c>
      <c r="N731" s="25">
        <f t="shared" si="23"/>
        <v>157500</v>
      </c>
      <c r="O731" s="24"/>
    </row>
    <row r="732" spans="1:15" ht="15.75" hidden="1" customHeight="1" x14ac:dyDescent="0.3">
      <c r="A732" s="24">
        <v>26</v>
      </c>
      <c r="B732" s="20" t="str">
        <f t="shared" si="22"/>
        <v>JUN</v>
      </c>
      <c r="C732" s="21">
        <v>46200</v>
      </c>
      <c r="D732" s="22" t="str">
        <f t="array" ref="D732">IFERROR(INDEX('Kode Outlet dan Target Toko'!$A:$A,MATCH($I732,'Kode Outlet dan Target Toko'!$E:$E,0)),"")</f>
        <v>GRSM 4</v>
      </c>
      <c r="E732" s="20" t="str">
        <f>IFERROR(VLOOKUP(I732,KET!$B:$F,4,0),"")</f>
        <v>FAHMI LUKMANUL HAKIM</v>
      </c>
      <c r="F732" s="20" t="str">
        <f>IFERROR(VLOOKUP(I732,KET!$B:$F,5,0),"")</f>
        <v>GMM</v>
      </c>
      <c r="G732" s="20">
        <f>IFERROR(INDEX('Kode Outlet dan Target Toko'!$C:$C,MATCH($I732,'Kode Outlet dan Target Toko'!$E:$E,0)),0)</f>
        <v>103258</v>
      </c>
      <c r="H732" s="20">
        <f>IFERROR(INDEX('Kode Outlet dan Target Toko'!$D:$D,MATCH($I732,'Kode Outlet dan Target Toko'!$E:$E,0)),0)</f>
        <v>9210369</v>
      </c>
      <c r="I732" s="51" t="s">
        <v>28</v>
      </c>
      <c r="J732" s="27" t="s">
        <v>187</v>
      </c>
      <c r="K732" s="39" t="s">
        <v>13</v>
      </c>
      <c r="L732" s="29">
        <v>3500</v>
      </c>
      <c r="M732" s="24">
        <v>30</v>
      </c>
      <c r="N732" s="25">
        <f t="shared" si="23"/>
        <v>105000</v>
      </c>
      <c r="O732" s="24"/>
    </row>
    <row r="733" spans="1:15" ht="15.75" hidden="1" customHeight="1" x14ac:dyDescent="0.3">
      <c r="A733" s="24">
        <v>26</v>
      </c>
      <c r="B733" s="20" t="str">
        <f t="shared" si="22"/>
        <v>JUN</v>
      </c>
      <c r="C733" s="21">
        <v>46200</v>
      </c>
      <c r="D733" s="22" t="str">
        <f t="array" ref="D733">IFERROR(INDEX('Kode Outlet dan Target Toko'!$A:$A,MATCH($I733,'Kode Outlet dan Target Toko'!$E:$E,0)),"")</f>
        <v>GRSM 4</v>
      </c>
      <c r="E733" s="20" t="str">
        <f>IFERROR(VLOOKUP(I733,KET!$B:$F,4,0),"")</f>
        <v>FAHMI LUKMANUL HAKIM</v>
      </c>
      <c r="F733" s="20" t="str">
        <f>IFERROR(VLOOKUP(I733,KET!$B:$F,5,0),"")</f>
        <v>GMM</v>
      </c>
      <c r="G733" s="20">
        <f>IFERROR(INDEX('Kode Outlet dan Target Toko'!$C:$C,MATCH($I733,'Kode Outlet dan Target Toko'!$E:$E,0)),0)</f>
        <v>103258</v>
      </c>
      <c r="H733" s="20">
        <f>IFERROR(INDEX('Kode Outlet dan Target Toko'!$D:$D,MATCH($I733,'Kode Outlet dan Target Toko'!$E:$E,0)),0)</f>
        <v>9210369</v>
      </c>
      <c r="I733" s="51" t="s">
        <v>28</v>
      </c>
      <c r="J733" s="27" t="s">
        <v>187</v>
      </c>
      <c r="K733" s="39" t="s">
        <v>16</v>
      </c>
      <c r="L733" s="29">
        <v>3500</v>
      </c>
      <c r="M733" s="24">
        <v>25</v>
      </c>
      <c r="N733" s="25">
        <f t="shared" si="23"/>
        <v>87500</v>
      </c>
      <c r="O733" s="24"/>
    </row>
    <row r="734" spans="1:15" ht="15.75" hidden="1" customHeight="1" x14ac:dyDescent="0.3">
      <c r="A734" s="24">
        <v>26</v>
      </c>
      <c r="B734" s="20" t="str">
        <f t="shared" si="22"/>
        <v>JUN</v>
      </c>
      <c r="C734" s="21">
        <v>46199</v>
      </c>
      <c r="D734" s="22" t="str">
        <f t="array" ref="D734">IFERROR(INDEX('Kode Outlet dan Target Toko'!$A:$A,MATCH($I734,'Kode Outlet dan Target Toko'!$E:$E,0)),"")</f>
        <v>GRSM 4</v>
      </c>
      <c r="E734" s="20" t="str">
        <f>IFERROR(VLOOKUP(I734,KET!$B:$F,4,0),"")</f>
        <v>FAHMI LUKMANUL HAKIM</v>
      </c>
      <c r="F734" s="20" t="str">
        <f>IFERROR(VLOOKUP(I734,KET!$B:$F,5,0),"")</f>
        <v>GMM</v>
      </c>
      <c r="G734" s="20">
        <f>IFERROR(INDEX('Kode Outlet dan Target Toko'!$C:$C,MATCH($I734,'Kode Outlet dan Target Toko'!$E:$E,0)),0)</f>
        <v>103258</v>
      </c>
      <c r="H734" s="20">
        <f>IFERROR(INDEX('Kode Outlet dan Target Toko'!$D:$D,MATCH($I734,'Kode Outlet dan Target Toko'!$E:$E,0)),0)</f>
        <v>9210369</v>
      </c>
      <c r="I734" s="51" t="s">
        <v>28</v>
      </c>
      <c r="J734" s="27" t="s">
        <v>186</v>
      </c>
      <c r="K734" s="39" t="s">
        <v>15</v>
      </c>
      <c r="L734" s="29">
        <v>3500</v>
      </c>
      <c r="M734" s="24">
        <v>33</v>
      </c>
      <c r="N734" s="25">
        <f t="shared" si="23"/>
        <v>115500</v>
      </c>
      <c r="O734" s="24"/>
    </row>
    <row r="735" spans="1:15" ht="15.75" hidden="1" customHeight="1" x14ac:dyDescent="0.3">
      <c r="A735" s="24">
        <v>26</v>
      </c>
      <c r="B735" s="20" t="str">
        <f t="shared" si="22"/>
        <v>JUN</v>
      </c>
      <c r="C735" s="21">
        <v>46199</v>
      </c>
      <c r="D735" s="22" t="str">
        <f t="array" ref="D735">IFERROR(INDEX('Kode Outlet dan Target Toko'!$A:$A,MATCH($I735,'Kode Outlet dan Target Toko'!$E:$E,0)),"")</f>
        <v>GRSM 4</v>
      </c>
      <c r="E735" s="20" t="str">
        <f>IFERROR(VLOOKUP(I735,KET!$B:$F,4,0),"")</f>
        <v>FAHMI LUKMANUL HAKIM</v>
      </c>
      <c r="F735" s="20" t="str">
        <f>IFERROR(VLOOKUP(I735,KET!$B:$F,5,0),"")</f>
        <v>GMM</v>
      </c>
      <c r="G735" s="20">
        <f>IFERROR(INDEX('Kode Outlet dan Target Toko'!$C:$C,MATCH($I735,'Kode Outlet dan Target Toko'!$E:$E,0)),0)</f>
        <v>103258</v>
      </c>
      <c r="H735" s="20">
        <f>IFERROR(INDEX('Kode Outlet dan Target Toko'!$D:$D,MATCH($I735,'Kode Outlet dan Target Toko'!$E:$E,0)),0)</f>
        <v>9210369</v>
      </c>
      <c r="I735" s="51" t="s">
        <v>28</v>
      </c>
      <c r="J735" s="27" t="s">
        <v>186</v>
      </c>
      <c r="K735" s="39" t="s">
        <v>14</v>
      </c>
      <c r="L735" s="29">
        <v>3500</v>
      </c>
      <c r="M735" s="24">
        <v>30</v>
      </c>
      <c r="N735" s="25">
        <f t="shared" si="23"/>
        <v>105000</v>
      </c>
      <c r="O735" s="24"/>
    </row>
    <row r="736" spans="1:15" ht="15.75" hidden="1" customHeight="1" x14ac:dyDescent="0.3">
      <c r="A736" s="24">
        <v>26</v>
      </c>
      <c r="B736" s="20" t="str">
        <f t="shared" si="22"/>
        <v>JUN</v>
      </c>
      <c r="C736" s="21">
        <v>46199</v>
      </c>
      <c r="D736" s="22" t="str">
        <f t="array" ref="D736">IFERROR(INDEX('Kode Outlet dan Target Toko'!$A:$A,MATCH($I736,'Kode Outlet dan Target Toko'!$E:$E,0)),"")</f>
        <v>GRSM 4</v>
      </c>
      <c r="E736" s="20" t="str">
        <f>IFERROR(VLOOKUP(I736,KET!$B:$F,4,0),"")</f>
        <v>FAHMI LUKMANUL HAKIM</v>
      </c>
      <c r="F736" s="20" t="str">
        <f>IFERROR(VLOOKUP(I736,KET!$B:$F,5,0),"")</f>
        <v>GMM</v>
      </c>
      <c r="G736" s="20">
        <f>IFERROR(INDEX('Kode Outlet dan Target Toko'!$C:$C,MATCH($I736,'Kode Outlet dan Target Toko'!$E:$E,0)),0)</f>
        <v>103258</v>
      </c>
      <c r="H736" s="20">
        <f>IFERROR(INDEX('Kode Outlet dan Target Toko'!$D:$D,MATCH($I736,'Kode Outlet dan Target Toko'!$E:$E,0)),0)</f>
        <v>9210369</v>
      </c>
      <c r="I736" s="51" t="s">
        <v>28</v>
      </c>
      <c r="J736" s="27" t="s">
        <v>186</v>
      </c>
      <c r="K736" s="39" t="s">
        <v>13</v>
      </c>
      <c r="L736" s="29">
        <v>3500</v>
      </c>
      <c r="M736" s="24">
        <v>15</v>
      </c>
      <c r="N736" s="25">
        <f t="shared" si="23"/>
        <v>52500</v>
      </c>
      <c r="O736" s="24"/>
    </row>
    <row r="737" spans="1:15" ht="15.75" hidden="1" customHeight="1" x14ac:dyDescent="0.3">
      <c r="A737" s="24">
        <v>26</v>
      </c>
      <c r="B737" s="20" t="str">
        <f t="shared" si="22"/>
        <v>JUN</v>
      </c>
      <c r="C737" s="21">
        <v>46199</v>
      </c>
      <c r="D737" s="22" t="str">
        <f t="array" ref="D737">IFERROR(INDEX('Kode Outlet dan Target Toko'!$A:$A,MATCH($I737,'Kode Outlet dan Target Toko'!$E:$E,0)),"")</f>
        <v>GRSM 4</v>
      </c>
      <c r="E737" s="20" t="str">
        <f>IFERROR(VLOOKUP(I737,KET!$B:$F,4,0),"")</f>
        <v>FAHMI LUKMANUL HAKIM</v>
      </c>
      <c r="F737" s="20" t="str">
        <f>IFERROR(VLOOKUP(I737,KET!$B:$F,5,0),"")</f>
        <v>GMM</v>
      </c>
      <c r="G737" s="20">
        <f>IFERROR(INDEX('Kode Outlet dan Target Toko'!$C:$C,MATCH($I737,'Kode Outlet dan Target Toko'!$E:$E,0)),0)</f>
        <v>103258</v>
      </c>
      <c r="H737" s="20">
        <f>IFERROR(INDEX('Kode Outlet dan Target Toko'!$D:$D,MATCH($I737,'Kode Outlet dan Target Toko'!$E:$E,0)),0)</f>
        <v>9210369</v>
      </c>
      <c r="I737" s="51" t="s">
        <v>28</v>
      </c>
      <c r="J737" s="27" t="s">
        <v>186</v>
      </c>
      <c r="K737" s="39" t="s">
        <v>16</v>
      </c>
      <c r="L737" s="29">
        <v>3500</v>
      </c>
      <c r="M737" s="24">
        <v>45</v>
      </c>
      <c r="N737" s="25">
        <f t="shared" si="23"/>
        <v>157500</v>
      </c>
      <c r="O737" s="24">
        <v>160</v>
      </c>
    </row>
    <row r="738" spans="1:15" ht="15.75" hidden="1" customHeight="1" x14ac:dyDescent="0.3">
      <c r="A738" s="24">
        <v>26</v>
      </c>
      <c r="B738" s="20" t="str">
        <f t="shared" si="22"/>
        <v>JUN</v>
      </c>
      <c r="C738" s="21">
        <v>46200</v>
      </c>
      <c r="D738" s="22" t="str">
        <f t="array" ref="D738">IFERROR(INDEX('Kode Outlet dan Target Toko'!$A:$A,MATCH($I738,'Kode Outlet dan Target Toko'!$E:$E,0)),"")</f>
        <v>GRSM 4</v>
      </c>
      <c r="E738" s="20" t="str">
        <f>IFERROR(VLOOKUP(I738,KET!$B:$F,4,0),"")</f>
        <v>FAHMI LUKMANUL HAKIM</v>
      </c>
      <c r="F738" s="20" t="str">
        <f>IFERROR(VLOOKUP(I738,KET!$B:$F,5,0),"")</f>
        <v>GMM</v>
      </c>
      <c r="G738" s="20">
        <f>IFERROR(INDEX('Kode Outlet dan Target Toko'!$C:$C,MATCH($I738,'Kode Outlet dan Target Toko'!$E:$E,0)),0)</f>
        <v>103258</v>
      </c>
      <c r="H738" s="20">
        <f>IFERROR(INDEX('Kode Outlet dan Target Toko'!$D:$D,MATCH($I738,'Kode Outlet dan Target Toko'!$E:$E,0)),0)</f>
        <v>9210369</v>
      </c>
      <c r="I738" s="51" t="s">
        <v>28</v>
      </c>
      <c r="J738" s="27" t="s">
        <v>186</v>
      </c>
      <c r="K738" s="39" t="s">
        <v>15</v>
      </c>
      <c r="L738" s="29">
        <v>3500</v>
      </c>
      <c r="M738" s="24">
        <v>40</v>
      </c>
      <c r="N738" s="25">
        <f t="shared" si="23"/>
        <v>140000</v>
      </c>
      <c r="O738" s="24"/>
    </row>
    <row r="739" spans="1:15" ht="15.75" hidden="1" customHeight="1" x14ac:dyDescent="0.3">
      <c r="A739" s="24">
        <v>26</v>
      </c>
      <c r="B739" s="20" t="str">
        <f t="shared" si="22"/>
        <v>JUN</v>
      </c>
      <c r="C739" s="21">
        <v>46200</v>
      </c>
      <c r="D739" s="22" t="str">
        <f t="array" ref="D739">IFERROR(INDEX('Kode Outlet dan Target Toko'!$A:$A,MATCH($I739,'Kode Outlet dan Target Toko'!$E:$E,0)),"")</f>
        <v>GRSM 4</v>
      </c>
      <c r="E739" s="20" t="str">
        <f>IFERROR(VLOOKUP(I739,KET!$B:$F,4,0),"")</f>
        <v>FAHMI LUKMANUL HAKIM</v>
      </c>
      <c r="F739" s="20" t="str">
        <f>IFERROR(VLOOKUP(I739,KET!$B:$F,5,0),"")</f>
        <v>GMM</v>
      </c>
      <c r="G739" s="20">
        <f>IFERROR(INDEX('Kode Outlet dan Target Toko'!$C:$C,MATCH($I739,'Kode Outlet dan Target Toko'!$E:$E,0)),0)</f>
        <v>103258</v>
      </c>
      <c r="H739" s="20">
        <f>IFERROR(INDEX('Kode Outlet dan Target Toko'!$D:$D,MATCH($I739,'Kode Outlet dan Target Toko'!$E:$E,0)),0)</f>
        <v>9210369</v>
      </c>
      <c r="I739" s="51" t="s">
        <v>28</v>
      </c>
      <c r="J739" s="27" t="s">
        <v>186</v>
      </c>
      <c r="K739" s="39" t="s">
        <v>14</v>
      </c>
      <c r="L739" s="29">
        <v>3500</v>
      </c>
      <c r="M739" s="24">
        <v>50</v>
      </c>
      <c r="N739" s="25">
        <f t="shared" si="23"/>
        <v>175000</v>
      </c>
      <c r="O739" s="24"/>
    </row>
    <row r="740" spans="1:15" ht="15.75" hidden="1" customHeight="1" x14ac:dyDescent="0.3">
      <c r="A740" s="24">
        <v>26</v>
      </c>
      <c r="B740" s="20" t="str">
        <f t="shared" si="22"/>
        <v>JUN</v>
      </c>
      <c r="C740" s="21">
        <v>46200</v>
      </c>
      <c r="D740" s="22" t="str">
        <f t="array" ref="D740">IFERROR(INDEX('Kode Outlet dan Target Toko'!$A:$A,MATCH($I740,'Kode Outlet dan Target Toko'!$E:$E,0)),"")</f>
        <v>GRSM 4</v>
      </c>
      <c r="E740" s="20" t="str">
        <f>IFERROR(VLOOKUP(I740,KET!$B:$F,4,0),"")</f>
        <v>FAHMI LUKMANUL HAKIM</v>
      </c>
      <c r="F740" s="20" t="str">
        <f>IFERROR(VLOOKUP(I740,KET!$B:$F,5,0),"")</f>
        <v>GMM</v>
      </c>
      <c r="G740" s="20">
        <f>IFERROR(INDEX('Kode Outlet dan Target Toko'!$C:$C,MATCH($I740,'Kode Outlet dan Target Toko'!$E:$E,0)),0)</f>
        <v>103258</v>
      </c>
      <c r="H740" s="20">
        <f>IFERROR(INDEX('Kode Outlet dan Target Toko'!$D:$D,MATCH($I740,'Kode Outlet dan Target Toko'!$E:$E,0)),0)</f>
        <v>9210369</v>
      </c>
      <c r="I740" s="51" t="s">
        <v>28</v>
      </c>
      <c r="J740" s="27" t="s">
        <v>186</v>
      </c>
      <c r="K740" s="39" t="s">
        <v>13</v>
      </c>
      <c r="L740" s="29">
        <v>3500</v>
      </c>
      <c r="M740" s="24">
        <v>30</v>
      </c>
      <c r="N740" s="25">
        <f t="shared" si="23"/>
        <v>105000</v>
      </c>
      <c r="O740" s="24"/>
    </row>
    <row r="741" spans="1:15" ht="15.75" hidden="1" customHeight="1" x14ac:dyDescent="0.3">
      <c r="A741" s="24">
        <v>26</v>
      </c>
      <c r="B741" s="20" t="str">
        <f t="shared" si="22"/>
        <v>JUN</v>
      </c>
      <c r="C741" s="21">
        <v>46200</v>
      </c>
      <c r="D741" s="22" t="str">
        <f t="array" ref="D741">IFERROR(INDEX('Kode Outlet dan Target Toko'!$A:$A,MATCH($I741,'Kode Outlet dan Target Toko'!$E:$E,0)),"")</f>
        <v>GRSM 4</v>
      </c>
      <c r="E741" s="20" t="str">
        <f>IFERROR(VLOOKUP(I741,KET!$B:$F,4,0),"")</f>
        <v>FAHMI LUKMANUL HAKIM</v>
      </c>
      <c r="F741" s="20" t="str">
        <f>IFERROR(VLOOKUP(I741,KET!$B:$F,5,0),"")</f>
        <v>GMM</v>
      </c>
      <c r="G741" s="20">
        <f>IFERROR(INDEX('Kode Outlet dan Target Toko'!$C:$C,MATCH($I741,'Kode Outlet dan Target Toko'!$E:$E,0)),0)</f>
        <v>103258</v>
      </c>
      <c r="H741" s="20">
        <f>IFERROR(INDEX('Kode Outlet dan Target Toko'!$D:$D,MATCH($I741,'Kode Outlet dan Target Toko'!$E:$E,0)),0)</f>
        <v>9210369</v>
      </c>
      <c r="I741" s="51" t="s">
        <v>28</v>
      </c>
      <c r="J741" s="27" t="s">
        <v>186</v>
      </c>
      <c r="K741" s="39" t="s">
        <v>16</v>
      </c>
      <c r="L741" s="29">
        <v>3500</v>
      </c>
      <c r="M741" s="24">
        <v>25</v>
      </c>
      <c r="N741" s="25">
        <f t="shared" si="23"/>
        <v>87500</v>
      </c>
      <c r="O741" s="24">
        <v>160</v>
      </c>
    </row>
    <row r="742" spans="1:15" ht="15.75" hidden="1" customHeight="1" x14ac:dyDescent="0.3">
      <c r="A742" s="24">
        <v>26</v>
      </c>
      <c r="B742" s="20" t="str">
        <f t="shared" si="22"/>
        <v>JUN</v>
      </c>
      <c r="C742" s="21">
        <v>46200</v>
      </c>
      <c r="D742" s="22" t="str">
        <f t="array" ref="D742">IFERROR(INDEX('Kode Outlet dan Target Toko'!$A:$A,MATCH($I742,'Kode Outlet dan Target Toko'!$E:$E,0)),"")</f>
        <v>GRSM 4</v>
      </c>
      <c r="E742" s="20" t="str">
        <f>IFERROR(VLOOKUP(I742,KET!$B:$F,4,0),"")</f>
        <v>FAHMI LUKMANUL HAKIM</v>
      </c>
      <c r="F742" s="20" t="str">
        <f>IFERROR(VLOOKUP(I742,KET!$B:$F,5,0),"")</f>
        <v>GMM</v>
      </c>
      <c r="G742" s="20">
        <f>IFERROR(INDEX('Kode Outlet dan Target Toko'!$C:$C,MATCH($I742,'Kode Outlet dan Target Toko'!$E:$E,0)),0)</f>
        <v>103259</v>
      </c>
      <c r="H742" s="20">
        <f>IFERROR(INDEX('Kode Outlet dan Target Toko'!$D:$D,MATCH($I742,'Kode Outlet dan Target Toko'!$E:$E,0)),0)</f>
        <v>9013525</v>
      </c>
      <c r="I742" s="51" t="s">
        <v>24</v>
      </c>
      <c r="J742" s="27" t="s">
        <v>189</v>
      </c>
      <c r="K742" s="39" t="s">
        <v>15</v>
      </c>
      <c r="L742" s="29">
        <v>2000</v>
      </c>
      <c r="M742" s="24">
        <v>36</v>
      </c>
      <c r="N742" s="25">
        <f t="shared" si="23"/>
        <v>72000</v>
      </c>
      <c r="O742" s="24"/>
    </row>
    <row r="743" spans="1:15" ht="15.75" hidden="1" customHeight="1" x14ac:dyDescent="0.3">
      <c r="A743" s="24">
        <v>26</v>
      </c>
      <c r="B743" s="20" t="str">
        <f t="shared" si="22"/>
        <v>JUN</v>
      </c>
      <c r="C743" s="21">
        <v>46200</v>
      </c>
      <c r="D743" s="22" t="str">
        <f t="array" ref="D743">IFERROR(INDEX('Kode Outlet dan Target Toko'!$A:$A,MATCH($I743,'Kode Outlet dan Target Toko'!$E:$E,0)),"")</f>
        <v>GRSM 4</v>
      </c>
      <c r="E743" s="20" t="str">
        <f>IFERROR(VLOOKUP(I743,KET!$B:$F,4,0),"")</f>
        <v>FAHMI LUKMANUL HAKIM</v>
      </c>
      <c r="F743" s="20" t="str">
        <f>IFERROR(VLOOKUP(I743,KET!$B:$F,5,0),"")</f>
        <v>GMM</v>
      </c>
      <c r="G743" s="20">
        <f>IFERROR(INDEX('Kode Outlet dan Target Toko'!$C:$C,MATCH($I743,'Kode Outlet dan Target Toko'!$E:$E,0)),0)</f>
        <v>103259</v>
      </c>
      <c r="H743" s="20">
        <f>IFERROR(INDEX('Kode Outlet dan Target Toko'!$D:$D,MATCH($I743,'Kode Outlet dan Target Toko'!$E:$E,0)),0)</f>
        <v>9013525</v>
      </c>
      <c r="I743" s="51" t="s">
        <v>24</v>
      </c>
      <c r="J743" s="27" t="s">
        <v>189</v>
      </c>
      <c r="K743" s="39" t="s">
        <v>14</v>
      </c>
      <c r="L743" s="29">
        <v>2000</v>
      </c>
      <c r="M743" s="24">
        <v>180</v>
      </c>
      <c r="N743" s="25">
        <f t="shared" si="23"/>
        <v>360000</v>
      </c>
      <c r="O743" s="24"/>
    </row>
    <row r="744" spans="1:15" ht="15.75" hidden="1" customHeight="1" x14ac:dyDescent="0.3">
      <c r="A744" s="24">
        <v>26</v>
      </c>
      <c r="B744" s="20" t="str">
        <f t="shared" si="22"/>
        <v>JUN</v>
      </c>
      <c r="C744" s="21">
        <v>46200</v>
      </c>
      <c r="D744" s="22" t="str">
        <f t="array" ref="D744">IFERROR(INDEX('Kode Outlet dan Target Toko'!$A:$A,MATCH($I744,'Kode Outlet dan Target Toko'!$E:$E,0)),"")</f>
        <v>GRSM 4</v>
      </c>
      <c r="E744" s="20" t="str">
        <f>IFERROR(VLOOKUP(I744,KET!$B:$F,4,0),"")</f>
        <v>FAHMI LUKMANUL HAKIM</v>
      </c>
      <c r="F744" s="20" t="str">
        <f>IFERROR(VLOOKUP(I744,KET!$B:$F,5,0),"")</f>
        <v>GMM</v>
      </c>
      <c r="G744" s="20">
        <f>IFERROR(INDEX('Kode Outlet dan Target Toko'!$C:$C,MATCH($I744,'Kode Outlet dan Target Toko'!$E:$E,0)),0)</f>
        <v>103259</v>
      </c>
      <c r="H744" s="20">
        <f>IFERROR(INDEX('Kode Outlet dan Target Toko'!$D:$D,MATCH($I744,'Kode Outlet dan Target Toko'!$E:$E,0)),0)</f>
        <v>9013525</v>
      </c>
      <c r="I744" s="51" t="s">
        <v>24</v>
      </c>
      <c r="J744" s="27" t="s">
        <v>189</v>
      </c>
      <c r="K744" s="39" t="s">
        <v>13</v>
      </c>
      <c r="L744" s="29">
        <v>2000</v>
      </c>
      <c r="M744" s="24">
        <v>18</v>
      </c>
      <c r="N744" s="25">
        <f t="shared" si="23"/>
        <v>36000</v>
      </c>
      <c r="O744" s="24"/>
    </row>
    <row r="745" spans="1:15" ht="15.75" hidden="1" customHeight="1" x14ac:dyDescent="0.3">
      <c r="A745" s="24">
        <v>26</v>
      </c>
      <c r="B745" s="20" t="str">
        <f t="shared" si="22"/>
        <v>JUN</v>
      </c>
      <c r="C745" s="21">
        <v>46200</v>
      </c>
      <c r="D745" s="22" t="str">
        <f t="array" ref="D745">IFERROR(INDEX('Kode Outlet dan Target Toko'!$A:$A,MATCH($I745,'Kode Outlet dan Target Toko'!$E:$E,0)),"")</f>
        <v>GRSM 4</v>
      </c>
      <c r="E745" s="20" t="str">
        <f>IFERROR(VLOOKUP(I745,KET!$B:$F,4,0),"")</f>
        <v>FAHMI LUKMANUL HAKIM</v>
      </c>
      <c r="F745" s="20" t="str">
        <f>IFERROR(VLOOKUP(I745,KET!$B:$F,5,0),"")</f>
        <v>GMM</v>
      </c>
      <c r="G745" s="20">
        <f>IFERROR(INDEX('Kode Outlet dan Target Toko'!$C:$C,MATCH($I745,'Kode Outlet dan Target Toko'!$E:$E,0)),0)</f>
        <v>103259</v>
      </c>
      <c r="H745" s="20">
        <f>IFERROR(INDEX('Kode Outlet dan Target Toko'!$D:$D,MATCH($I745,'Kode Outlet dan Target Toko'!$E:$E,0)),0)</f>
        <v>9013525</v>
      </c>
      <c r="I745" s="51" t="s">
        <v>24</v>
      </c>
      <c r="J745" s="27" t="s">
        <v>189</v>
      </c>
      <c r="K745" s="39" t="s">
        <v>16</v>
      </c>
      <c r="L745" s="29">
        <v>2000</v>
      </c>
      <c r="M745" s="24">
        <v>300</v>
      </c>
      <c r="N745" s="25">
        <f t="shared" si="23"/>
        <v>600000</v>
      </c>
      <c r="O745" s="24">
        <v>160</v>
      </c>
    </row>
    <row r="746" spans="1:15" ht="15.75" hidden="1" customHeight="1" x14ac:dyDescent="0.3">
      <c r="A746" s="24">
        <v>26</v>
      </c>
      <c r="B746" s="20" t="str">
        <f t="shared" si="22"/>
        <v>JUN</v>
      </c>
      <c r="C746" s="21">
        <v>46201</v>
      </c>
      <c r="D746" s="22" t="str">
        <f t="array" ref="D746">IFERROR(INDEX('Kode Outlet dan Target Toko'!$A:$A,MATCH($I746,'Kode Outlet dan Target Toko'!$E:$E,0)),"")</f>
        <v>GRSM 4</v>
      </c>
      <c r="E746" s="20" t="str">
        <f>IFERROR(VLOOKUP(I746,KET!$B:$F,4,0),"")</f>
        <v>FAHMI LUKMANUL HAKIM</v>
      </c>
      <c r="F746" s="20" t="str">
        <f>IFERROR(VLOOKUP(I746,KET!$B:$F,5,0),"")</f>
        <v>GMM</v>
      </c>
      <c r="G746" s="20">
        <f>IFERROR(INDEX('Kode Outlet dan Target Toko'!$C:$C,MATCH($I746,'Kode Outlet dan Target Toko'!$E:$E,0)),0)</f>
        <v>103259</v>
      </c>
      <c r="H746" s="20">
        <f>IFERROR(INDEX('Kode Outlet dan Target Toko'!$D:$D,MATCH($I746,'Kode Outlet dan Target Toko'!$E:$E,0)),0)</f>
        <v>9029389</v>
      </c>
      <c r="I746" s="51" t="s">
        <v>18</v>
      </c>
      <c r="J746" s="27" t="s">
        <v>196</v>
      </c>
      <c r="K746" s="39" t="s">
        <v>15</v>
      </c>
      <c r="L746" s="29">
        <v>2000</v>
      </c>
      <c r="M746" s="24">
        <v>87</v>
      </c>
      <c r="N746" s="25">
        <f t="shared" si="23"/>
        <v>174000</v>
      </c>
      <c r="O746" s="24"/>
    </row>
    <row r="747" spans="1:15" ht="15.75" hidden="1" customHeight="1" x14ac:dyDescent="0.3">
      <c r="A747" s="24">
        <v>26</v>
      </c>
      <c r="B747" s="20" t="str">
        <f t="shared" si="22"/>
        <v>JUN</v>
      </c>
      <c r="C747" s="21">
        <v>46201</v>
      </c>
      <c r="D747" s="22" t="str">
        <f t="array" ref="D747">IFERROR(INDEX('Kode Outlet dan Target Toko'!$A:$A,MATCH($I747,'Kode Outlet dan Target Toko'!$E:$E,0)),"")</f>
        <v>GRSM 4</v>
      </c>
      <c r="E747" s="20" t="str">
        <f>IFERROR(VLOOKUP(I747,KET!$B:$F,4,0),"")</f>
        <v>FAHMI LUKMANUL HAKIM</v>
      </c>
      <c r="F747" s="20" t="str">
        <f>IFERROR(VLOOKUP(I747,KET!$B:$F,5,0),"")</f>
        <v>GMM</v>
      </c>
      <c r="G747" s="20">
        <f>IFERROR(INDEX('Kode Outlet dan Target Toko'!$C:$C,MATCH($I747,'Kode Outlet dan Target Toko'!$E:$E,0)),0)</f>
        <v>103259</v>
      </c>
      <c r="H747" s="20">
        <f>IFERROR(INDEX('Kode Outlet dan Target Toko'!$D:$D,MATCH($I747,'Kode Outlet dan Target Toko'!$E:$E,0)),0)</f>
        <v>9029389</v>
      </c>
      <c r="I747" s="51" t="s">
        <v>18</v>
      </c>
      <c r="J747" s="27" t="s">
        <v>196</v>
      </c>
      <c r="K747" s="39" t="s">
        <v>14</v>
      </c>
      <c r="L747" s="29">
        <v>2000</v>
      </c>
      <c r="M747" s="24">
        <v>69</v>
      </c>
      <c r="N747" s="25">
        <f t="shared" si="23"/>
        <v>138000</v>
      </c>
      <c r="O747" s="24"/>
    </row>
    <row r="748" spans="1:15" ht="15.75" hidden="1" customHeight="1" x14ac:dyDescent="0.3">
      <c r="A748" s="24">
        <v>26</v>
      </c>
      <c r="B748" s="20" t="str">
        <f t="shared" si="22"/>
        <v>JUN</v>
      </c>
      <c r="C748" s="21">
        <v>46201</v>
      </c>
      <c r="D748" s="22" t="str">
        <f t="array" ref="D748">IFERROR(INDEX('Kode Outlet dan Target Toko'!$A:$A,MATCH($I748,'Kode Outlet dan Target Toko'!$E:$E,0)),"")</f>
        <v>GRSM 4</v>
      </c>
      <c r="E748" s="20" t="str">
        <f>IFERROR(VLOOKUP(I748,KET!$B:$F,4,0),"")</f>
        <v>FAHMI LUKMANUL HAKIM</v>
      </c>
      <c r="F748" s="20" t="str">
        <f>IFERROR(VLOOKUP(I748,KET!$B:$F,5,0),"")</f>
        <v>GMM</v>
      </c>
      <c r="G748" s="20">
        <f>IFERROR(INDEX('Kode Outlet dan Target Toko'!$C:$C,MATCH($I748,'Kode Outlet dan Target Toko'!$E:$E,0)),0)</f>
        <v>103259</v>
      </c>
      <c r="H748" s="20">
        <f>IFERROR(INDEX('Kode Outlet dan Target Toko'!$D:$D,MATCH($I748,'Kode Outlet dan Target Toko'!$E:$E,0)),0)</f>
        <v>9029389</v>
      </c>
      <c r="I748" s="51" t="s">
        <v>18</v>
      </c>
      <c r="J748" s="27" t="s">
        <v>196</v>
      </c>
      <c r="K748" s="39" t="s">
        <v>13</v>
      </c>
      <c r="L748" s="29">
        <v>2000</v>
      </c>
      <c r="M748" s="24">
        <v>57</v>
      </c>
      <c r="N748" s="25">
        <f t="shared" si="23"/>
        <v>114000</v>
      </c>
      <c r="O748" s="24"/>
    </row>
    <row r="749" spans="1:15" ht="15.75" hidden="1" customHeight="1" x14ac:dyDescent="0.3">
      <c r="A749" s="24">
        <v>26</v>
      </c>
      <c r="B749" s="20" t="str">
        <f t="shared" si="22"/>
        <v>JUN</v>
      </c>
      <c r="C749" s="21">
        <v>46201</v>
      </c>
      <c r="D749" s="22" t="str">
        <f t="array" ref="D749">IFERROR(INDEX('Kode Outlet dan Target Toko'!$A:$A,MATCH($I749,'Kode Outlet dan Target Toko'!$E:$E,0)),"")</f>
        <v>GRSM 4</v>
      </c>
      <c r="E749" s="20" t="str">
        <f>IFERROR(VLOOKUP(I749,KET!$B:$F,4,0),"")</f>
        <v>FAHMI LUKMANUL HAKIM</v>
      </c>
      <c r="F749" s="20" t="str">
        <f>IFERROR(VLOOKUP(I749,KET!$B:$F,5,0),"")</f>
        <v>GMM</v>
      </c>
      <c r="G749" s="20">
        <f>IFERROR(INDEX('Kode Outlet dan Target Toko'!$C:$C,MATCH($I749,'Kode Outlet dan Target Toko'!$E:$E,0)),0)</f>
        <v>103259</v>
      </c>
      <c r="H749" s="20">
        <f>IFERROR(INDEX('Kode Outlet dan Target Toko'!$D:$D,MATCH($I749,'Kode Outlet dan Target Toko'!$E:$E,0)),0)</f>
        <v>9029389</v>
      </c>
      <c r="I749" s="51" t="s">
        <v>18</v>
      </c>
      <c r="J749" s="27" t="s">
        <v>196</v>
      </c>
      <c r="K749" s="39" t="s">
        <v>16</v>
      </c>
      <c r="L749" s="29">
        <v>2000</v>
      </c>
      <c r="M749" s="24">
        <v>111</v>
      </c>
      <c r="N749" s="25">
        <f t="shared" si="23"/>
        <v>222000</v>
      </c>
      <c r="O749" s="24">
        <v>160</v>
      </c>
    </row>
    <row r="750" spans="1:15" ht="15.75" hidden="1" customHeight="1" x14ac:dyDescent="0.3">
      <c r="A750" s="24">
        <v>26</v>
      </c>
      <c r="B750" s="20" t="str">
        <f t="shared" si="22"/>
        <v>JUN</v>
      </c>
      <c r="C750" s="21">
        <v>46201</v>
      </c>
      <c r="D750" s="22" t="str">
        <f t="array" ref="D750">IFERROR(INDEX('Kode Outlet dan Target Toko'!$A:$A,MATCH($I750,'Kode Outlet dan Target Toko'!$E:$E,0)),"")</f>
        <v>GRSM 4</v>
      </c>
      <c r="E750" s="20" t="str">
        <f>IFERROR(VLOOKUP(I750,KET!$B:$F,4,0),"")</f>
        <v>FAHMI LUKMANUL HAKIM</v>
      </c>
      <c r="F750" s="20" t="str">
        <f>IFERROR(VLOOKUP(I750,KET!$B:$F,5,0),"")</f>
        <v>GMM</v>
      </c>
      <c r="G750" s="20">
        <f>IFERROR(INDEX('Kode Outlet dan Target Toko'!$C:$C,MATCH($I750,'Kode Outlet dan Target Toko'!$E:$E,0)),0)</f>
        <v>103259</v>
      </c>
      <c r="H750" s="20">
        <f>IFERROR(INDEX('Kode Outlet dan Target Toko'!$D:$D,MATCH($I750,'Kode Outlet dan Target Toko'!$E:$E,0)),0)</f>
        <v>9029389</v>
      </c>
      <c r="I750" s="41" t="s">
        <v>18</v>
      </c>
      <c r="J750" s="27" t="s">
        <v>174</v>
      </c>
      <c r="K750" s="39" t="s">
        <v>15</v>
      </c>
      <c r="L750" s="29">
        <v>2000</v>
      </c>
      <c r="M750" s="24">
        <v>57</v>
      </c>
      <c r="N750" s="25">
        <f t="shared" si="23"/>
        <v>114000</v>
      </c>
      <c r="O750" s="24"/>
    </row>
    <row r="751" spans="1:15" ht="15.75" hidden="1" customHeight="1" x14ac:dyDescent="0.3">
      <c r="A751" s="24">
        <v>26</v>
      </c>
      <c r="B751" s="20" t="str">
        <f t="shared" si="22"/>
        <v>JUN</v>
      </c>
      <c r="C751" s="21">
        <v>46201</v>
      </c>
      <c r="D751" s="22" t="str">
        <f t="array" ref="D751">IFERROR(INDEX('Kode Outlet dan Target Toko'!$A:$A,MATCH($I751,'Kode Outlet dan Target Toko'!$E:$E,0)),"")</f>
        <v>GRSM 4</v>
      </c>
      <c r="E751" s="20" t="str">
        <f>IFERROR(VLOOKUP(I751,KET!$B:$F,4,0),"")</f>
        <v>FAHMI LUKMANUL HAKIM</v>
      </c>
      <c r="F751" s="20" t="str">
        <f>IFERROR(VLOOKUP(I751,KET!$B:$F,5,0),"")</f>
        <v>GMM</v>
      </c>
      <c r="G751" s="20">
        <f>IFERROR(INDEX('Kode Outlet dan Target Toko'!$C:$C,MATCH($I751,'Kode Outlet dan Target Toko'!$E:$E,0)),0)</f>
        <v>103259</v>
      </c>
      <c r="H751" s="20">
        <f>IFERROR(INDEX('Kode Outlet dan Target Toko'!$D:$D,MATCH($I751,'Kode Outlet dan Target Toko'!$E:$E,0)),0)</f>
        <v>9029389</v>
      </c>
      <c r="I751" s="41" t="s">
        <v>18</v>
      </c>
      <c r="J751" s="27" t="s">
        <v>174</v>
      </c>
      <c r="K751" s="39" t="s">
        <v>14</v>
      </c>
      <c r="L751" s="29">
        <v>2000</v>
      </c>
      <c r="M751" s="24">
        <v>78</v>
      </c>
      <c r="N751" s="25">
        <f t="shared" si="23"/>
        <v>156000</v>
      </c>
      <c r="O751" s="24"/>
    </row>
    <row r="752" spans="1:15" ht="15.75" hidden="1" customHeight="1" x14ac:dyDescent="0.3">
      <c r="A752" s="24">
        <v>26</v>
      </c>
      <c r="B752" s="20" t="str">
        <f t="shared" si="22"/>
        <v>JUN</v>
      </c>
      <c r="C752" s="21">
        <v>46201</v>
      </c>
      <c r="D752" s="22" t="str">
        <f t="array" ref="D752">IFERROR(INDEX('Kode Outlet dan Target Toko'!$A:$A,MATCH($I752,'Kode Outlet dan Target Toko'!$E:$E,0)),"")</f>
        <v>GRSM 4</v>
      </c>
      <c r="E752" s="20" t="str">
        <f>IFERROR(VLOOKUP(I752,KET!$B:$F,4,0),"")</f>
        <v>FAHMI LUKMANUL HAKIM</v>
      </c>
      <c r="F752" s="20" t="str">
        <f>IFERROR(VLOOKUP(I752,KET!$B:$F,5,0),"")</f>
        <v>GMM</v>
      </c>
      <c r="G752" s="20">
        <f>IFERROR(INDEX('Kode Outlet dan Target Toko'!$C:$C,MATCH($I752,'Kode Outlet dan Target Toko'!$E:$E,0)),0)</f>
        <v>103259</v>
      </c>
      <c r="H752" s="20">
        <f>IFERROR(INDEX('Kode Outlet dan Target Toko'!$D:$D,MATCH($I752,'Kode Outlet dan Target Toko'!$E:$E,0)),0)</f>
        <v>9029389</v>
      </c>
      <c r="I752" s="41" t="s">
        <v>18</v>
      </c>
      <c r="J752" s="27" t="s">
        <v>174</v>
      </c>
      <c r="K752" s="39" t="s">
        <v>13</v>
      </c>
      <c r="L752" s="29">
        <v>2000</v>
      </c>
      <c r="M752" s="24">
        <v>60</v>
      </c>
      <c r="N752" s="25">
        <f t="shared" si="23"/>
        <v>120000</v>
      </c>
      <c r="O752" s="24"/>
    </row>
    <row r="753" spans="1:15" ht="15.75" hidden="1" customHeight="1" x14ac:dyDescent="0.3">
      <c r="A753" s="24">
        <v>26</v>
      </c>
      <c r="B753" s="20" t="str">
        <f t="shared" si="22"/>
        <v>JUN</v>
      </c>
      <c r="C753" s="21">
        <v>46201</v>
      </c>
      <c r="D753" s="22" t="str">
        <f t="array" ref="D753">IFERROR(INDEX('Kode Outlet dan Target Toko'!$A:$A,MATCH($I753,'Kode Outlet dan Target Toko'!$E:$E,0)),"")</f>
        <v>GRSM 4</v>
      </c>
      <c r="E753" s="20" t="str">
        <f>IFERROR(VLOOKUP(I753,KET!$B:$F,4,0),"")</f>
        <v>FAHMI LUKMANUL HAKIM</v>
      </c>
      <c r="F753" s="20" t="str">
        <f>IFERROR(VLOOKUP(I753,KET!$B:$F,5,0),"")</f>
        <v>GMM</v>
      </c>
      <c r="G753" s="20">
        <f>IFERROR(INDEX('Kode Outlet dan Target Toko'!$C:$C,MATCH($I753,'Kode Outlet dan Target Toko'!$E:$E,0)),0)</f>
        <v>103259</v>
      </c>
      <c r="H753" s="20">
        <f>IFERROR(INDEX('Kode Outlet dan Target Toko'!$D:$D,MATCH($I753,'Kode Outlet dan Target Toko'!$E:$E,0)),0)</f>
        <v>9029389</v>
      </c>
      <c r="I753" s="41" t="s">
        <v>18</v>
      </c>
      <c r="J753" s="27" t="s">
        <v>174</v>
      </c>
      <c r="K753" s="39" t="s">
        <v>16</v>
      </c>
      <c r="L753" s="29">
        <v>2000</v>
      </c>
      <c r="M753" s="24">
        <v>114</v>
      </c>
      <c r="N753" s="25">
        <f t="shared" si="23"/>
        <v>228000</v>
      </c>
      <c r="O753" s="24">
        <v>160</v>
      </c>
    </row>
    <row r="754" spans="1:15" ht="15.75" hidden="1" customHeight="1" x14ac:dyDescent="0.3">
      <c r="A754" s="24">
        <v>26</v>
      </c>
      <c r="B754" s="20" t="str">
        <f t="shared" si="22"/>
        <v>JUN</v>
      </c>
      <c r="C754" s="21">
        <v>46201</v>
      </c>
      <c r="D754" s="22" t="str">
        <f t="array" ref="D754">IFERROR(INDEX('Kode Outlet dan Target Toko'!$A:$A,MATCH($I754,'Kode Outlet dan Target Toko'!$E:$E,0)),"")</f>
        <v>GRSM 4</v>
      </c>
      <c r="E754" s="20" t="str">
        <f>IFERROR(VLOOKUP(I754,KET!$B:$F,4,0),"")</f>
        <v>FAHMI LUKMANUL HAKIM</v>
      </c>
      <c r="F754" s="20" t="str">
        <f>IFERROR(VLOOKUP(I754,KET!$B:$F,5,0),"")</f>
        <v>GMM</v>
      </c>
      <c r="G754" s="20">
        <f>IFERROR(INDEX('Kode Outlet dan Target Toko'!$C:$C,MATCH($I754,'Kode Outlet dan Target Toko'!$E:$E,0)),0)</f>
        <v>103259</v>
      </c>
      <c r="H754" s="20">
        <f>IFERROR(INDEX('Kode Outlet dan Target Toko'!$D:$D,MATCH($I754,'Kode Outlet dan Target Toko'!$E:$E,0)),0)</f>
        <v>9013525</v>
      </c>
      <c r="I754" s="51" t="s">
        <v>24</v>
      </c>
      <c r="J754" s="45" t="s">
        <v>188</v>
      </c>
      <c r="K754" s="39" t="s">
        <v>15</v>
      </c>
      <c r="L754" s="29">
        <v>2000</v>
      </c>
      <c r="M754" s="24">
        <v>24</v>
      </c>
      <c r="N754" s="25">
        <f t="shared" si="23"/>
        <v>48000</v>
      </c>
      <c r="O754" s="24"/>
    </row>
    <row r="755" spans="1:15" ht="15.75" hidden="1" customHeight="1" x14ac:dyDescent="0.3">
      <c r="A755" s="24">
        <v>26</v>
      </c>
      <c r="B755" s="20" t="str">
        <f t="shared" si="22"/>
        <v>JUN</v>
      </c>
      <c r="C755" s="21">
        <v>46201</v>
      </c>
      <c r="D755" s="22" t="str">
        <f t="array" ref="D755">IFERROR(INDEX('Kode Outlet dan Target Toko'!$A:$A,MATCH($I755,'Kode Outlet dan Target Toko'!$E:$E,0)),"")</f>
        <v>GRSM 4</v>
      </c>
      <c r="E755" s="20" t="str">
        <f>IFERROR(VLOOKUP(I755,KET!$B:$F,4,0),"")</f>
        <v>FAHMI LUKMANUL HAKIM</v>
      </c>
      <c r="F755" s="20" t="str">
        <f>IFERROR(VLOOKUP(I755,KET!$B:$F,5,0),"")</f>
        <v>GMM</v>
      </c>
      <c r="G755" s="20">
        <f>IFERROR(INDEX('Kode Outlet dan Target Toko'!$C:$C,MATCH($I755,'Kode Outlet dan Target Toko'!$E:$E,0)),0)</f>
        <v>103259</v>
      </c>
      <c r="H755" s="20">
        <f>IFERROR(INDEX('Kode Outlet dan Target Toko'!$D:$D,MATCH($I755,'Kode Outlet dan Target Toko'!$E:$E,0)),0)</f>
        <v>9013525</v>
      </c>
      <c r="I755" s="51" t="s">
        <v>24</v>
      </c>
      <c r="J755" s="45" t="s">
        <v>188</v>
      </c>
      <c r="K755" s="39" t="s">
        <v>14</v>
      </c>
      <c r="L755" s="29">
        <v>2000</v>
      </c>
      <c r="M755" s="24">
        <v>210</v>
      </c>
      <c r="N755" s="25">
        <f t="shared" si="23"/>
        <v>420000</v>
      </c>
      <c r="O755" s="24"/>
    </row>
    <row r="756" spans="1:15" ht="15.75" hidden="1" customHeight="1" x14ac:dyDescent="0.3">
      <c r="A756" s="24">
        <v>26</v>
      </c>
      <c r="B756" s="20" t="str">
        <f t="shared" si="22"/>
        <v>JUN</v>
      </c>
      <c r="C756" s="21">
        <v>46201</v>
      </c>
      <c r="D756" s="22" t="str">
        <f t="array" ref="D756">IFERROR(INDEX('Kode Outlet dan Target Toko'!$A:$A,MATCH($I756,'Kode Outlet dan Target Toko'!$E:$E,0)),"")</f>
        <v>GRSM 4</v>
      </c>
      <c r="E756" s="20" t="str">
        <f>IFERROR(VLOOKUP(I756,KET!$B:$F,4,0),"")</f>
        <v>FAHMI LUKMANUL HAKIM</v>
      </c>
      <c r="F756" s="20" t="str">
        <f>IFERROR(VLOOKUP(I756,KET!$B:$F,5,0),"")</f>
        <v>GMM</v>
      </c>
      <c r="G756" s="20">
        <f>IFERROR(INDEX('Kode Outlet dan Target Toko'!$C:$C,MATCH($I756,'Kode Outlet dan Target Toko'!$E:$E,0)),0)</f>
        <v>103259</v>
      </c>
      <c r="H756" s="20">
        <f>IFERROR(INDEX('Kode Outlet dan Target Toko'!$D:$D,MATCH($I756,'Kode Outlet dan Target Toko'!$E:$E,0)),0)</f>
        <v>9013525</v>
      </c>
      <c r="I756" s="51" t="s">
        <v>24</v>
      </c>
      <c r="J756" s="45" t="s">
        <v>188</v>
      </c>
      <c r="K756" s="39" t="s">
        <v>13</v>
      </c>
      <c r="L756" s="29">
        <v>2000</v>
      </c>
      <c r="M756" s="24">
        <v>12</v>
      </c>
      <c r="N756" s="25">
        <f t="shared" si="23"/>
        <v>24000</v>
      </c>
      <c r="O756" s="24"/>
    </row>
    <row r="757" spans="1:15" ht="15.75" hidden="1" customHeight="1" x14ac:dyDescent="0.3">
      <c r="A757" s="24">
        <v>26</v>
      </c>
      <c r="B757" s="20" t="str">
        <f t="shared" si="22"/>
        <v>JUN</v>
      </c>
      <c r="C757" s="21">
        <v>46201</v>
      </c>
      <c r="D757" s="22" t="str">
        <f t="array" ref="D757">IFERROR(INDEX('Kode Outlet dan Target Toko'!$A:$A,MATCH($I757,'Kode Outlet dan Target Toko'!$E:$E,0)),"")</f>
        <v>GRSM 4</v>
      </c>
      <c r="E757" s="20" t="str">
        <f>IFERROR(VLOOKUP(I757,KET!$B:$F,4,0),"")</f>
        <v>FAHMI LUKMANUL HAKIM</v>
      </c>
      <c r="F757" s="20" t="str">
        <f>IFERROR(VLOOKUP(I757,KET!$B:$F,5,0),"")</f>
        <v>GMM</v>
      </c>
      <c r="G757" s="20">
        <f>IFERROR(INDEX('Kode Outlet dan Target Toko'!$C:$C,MATCH($I757,'Kode Outlet dan Target Toko'!$E:$E,0)),0)</f>
        <v>103259</v>
      </c>
      <c r="H757" s="20">
        <f>IFERROR(INDEX('Kode Outlet dan Target Toko'!$D:$D,MATCH($I757,'Kode Outlet dan Target Toko'!$E:$E,0)),0)</f>
        <v>9013525</v>
      </c>
      <c r="I757" s="51" t="s">
        <v>24</v>
      </c>
      <c r="J757" s="45" t="s">
        <v>188</v>
      </c>
      <c r="K757" s="39" t="s">
        <v>16</v>
      </c>
      <c r="L757" s="29">
        <v>2000</v>
      </c>
      <c r="M757" s="24">
        <v>300</v>
      </c>
      <c r="N757" s="25">
        <f t="shared" si="23"/>
        <v>600000</v>
      </c>
      <c r="O757" s="24">
        <v>160</v>
      </c>
    </row>
    <row r="758" spans="1:15" ht="15.75" hidden="1" customHeight="1" x14ac:dyDescent="0.3">
      <c r="A758" s="24">
        <v>26</v>
      </c>
      <c r="B758" s="20" t="str">
        <f t="shared" si="22"/>
        <v>JUN</v>
      </c>
      <c r="C758" s="21">
        <v>46201</v>
      </c>
      <c r="D758" s="22" t="str">
        <f t="array" ref="D758">IFERROR(INDEX('Kode Outlet dan Target Toko'!$A:$A,MATCH($I758,'Kode Outlet dan Target Toko'!$E:$E,0)),"")</f>
        <v>GRSM 4</v>
      </c>
      <c r="E758" s="20" t="str">
        <f>IFERROR(VLOOKUP(I758,KET!$B:$F,4,0),"")</f>
        <v>FAHMI LUKMANUL HAKIM</v>
      </c>
      <c r="F758" s="20" t="str">
        <f>IFERROR(VLOOKUP(I758,KET!$B:$F,5,0),"")</f>
        <v>GMM</v>
      </c>
      <c r="G758" s="20">
        <f>IFERROR(INDEX('Kode Outlet dan Target Toko'!$C:$C,MATCH($I758,'Kode Outlet dan Target Toko'!$E:$E,0)),0)</f>
        <v>103259</v>
      </c>
      <c r="H758" s="20">
        <f>IFERROR(INDEX('Kode Outlet dan Target Toko'!$D:$D,MATCH($I758,'Kode Outlet dan Target Toko'!$E:$E,0)),0)</f>
        <v>9029389</v>
      </c>
      <c r="I758" s="51" t="s">
        <v>27</v>
      </c>
      <c r="J758" s="27" t="s">
        <v>179</v>
      </c>
      <c r="K758" s="39" t="s">
        <v>15</v>
      </c>
      <c r="L758" s="29">
        <v>3000</v>
      </c>
      <c r="M758" s="24">
        <v>62</v>
      </c>
      <c r="N758" s="25">
        <f t="shared" si="23"/>
        <v>186000</v>
      </c>
      <c r="O758" s="24"/>
    </row>
    <row r="759" spans="1:15" ht="15.75" hidden="1" customHeight="1" x14ac:dyDescent="0.3">
      <c r="A759" s="24">
        <v>26</v>
      </c>
      <c r="B759" s="20" t="str">
        <f t="shared" si="22"/>
        <v>JUN</v>
      </c>
      <c r="C759" s="21">
        <v>46201</v>
      </c>
      <c r="D759" s="22" t="str">
        <f t="array" ref="D759">IFERROR(INDEX('Kode Outlet dan Target Toko'!$A:$A,MATCH($I759,'Kode Outlet dan Target Toko'!$E:$E,0)),"")</f>
        <v>GRSM 4</v>
      </c>
      <c r="E759" s="20" t="str">
        <f>IFERROR(VLOOKUP(I759,KET!$B:$F,4,0),"")</f>
        <v>FAHMI LUKMANUL HAKIM</v>
      </c>
      <c r="F759" s="20" t="str">
        <f>IFERROR(VLOOKUP(I759,KET!$B:$F,5,0),"")</f>
        <v>GMM</v>
      </c>
      <c r="G759" s="20">
        <f>IFERROR(INDEX('Kode Outlet dan Target Toko'!$C:$C,MATCH($I759,'Kode Outlet dan Target Toko'!$E:$E,0)),0)</f>
        <v>103259</v>
      </c>
      <c r="H759" s="20">
        <f>IFERROR(INDEX('Kode Outlet dan Target Toko'!$D:$D,MATCH($I759,'Kode Outlet dan Target Toko'!$E:$E,0)),0)</f>
        <v>9029389</v>
      </c>
      <c r="I759" s="51" t="s">
        <v>27</v>
      </c>
      <c r="J759" s="27" t="s">
        <v>179</v>
      </c>
      <c r="K759" s="39" t="s">
        <v>14</v>
      </c>
      <c r="L759" s="29">
        <v>3000</v>
      </c>
      <c r="M759" s="24">
        <v>75</v>
      </c>
      <c r="N759" s="25">
        <f t="shared" si="23"/>
        <v>225000</v>
      </c>
      <c r="O759" s="24"/>
    </row>
    <row r="760" spans="1:15" ht="15.75" hidden="1" customHeight="1" x14ac:dyDescent="0.3">
      <c r="A760" s="24">
        <v>26</v>
      </c>
      <c r="B760" s="20" t="str">
        <f t="shared" si="22"/>
        <v>JUN</v>
      </c>
      <c r="C760" s="21">
        <v>46201</v>
      </c>
      <c r="D760" s="22" t="str">
        <f t="array" ref="D760">IFERROR(INDEX('Kode Outlet dan Target Toko'!$A:$A,MATCH($I760,'Kode Outlet dan Target Toko'!$E:$E,0)),"")</f>
        <v>GRSM 4</v>
      </c>
      <c r="E760" s="20" t="str">
        <f>IFERROR(VLOOKUP(I760,KET!$B:$F,4,0),"")</f>
        <v>FAHMI LUKMANUL HAKIM</v>
      </c>
      <c r="F760" s="20" t="str">
        <f>IFERROR(VLOOKUP(I760,KET!$B:$F,5,0),"")</f>
        <v>GMM</v>
      </c>
      <c r="G760" s="20">
        <f>IFERROR(INDEX('Kode Outlet dan Target Toko'!$C:$C,MATCH($I760,'Kode Outlet dan Target Toko'!$E:$E,0)),0)</f>
        <v>103259</v>
      </c>
      <c r="H760" s="20">
        <f>IFERROR(INDEX('Kode Outlet dan Target Toko'!$D:$D,MATCH($I760,'Kode Outlet dan Target Toko'!$E:$E,0)),0)</f>
        <v>9029389</v>
      </c>
      <c r="I760" s="51" t="s">
        <v>27</v>
      </c>
      <c r="J760" s="27" t="s">
        <v>179</v>
      </c>
      <c r="K760" s="39" t="s">
        <v>13</v>
      </c>
      <c r="L760" s="29">
        <v>3000</v>
      </c>
      <c r="M760" s="24">
        <v>67</v>
      </c>
      <c r="N760" s="25">
        <f t="shared" si="23"/>
        <v>201000</v>
      </c>
      <c r="O760" s="24"/>
    </row>
    <row r="761" spans="1:15" ht="15.75" hidden="1" customHeight="1" x14ac:dyDescent="0.3">
      <c r="A761" s="24">
        <v>26</v>
      </c>
      <c r="B761" s="20" t="str">
        <f t="shared" si="22"/>
        <v>JUN</v>
      </c>
      <c r="C761" s="21">
        <v>46201</v>
      </c>
      <c r="D761" s="22" t="str">
        <f t="array" ref="D761">IFERROR(INDEX('Kode Outlet dan Target Toko'!$A:$A,MATCH($I761,'Kode Outlet dan Target Toko'!$E:$E,0)),"")</f>
        <v>GRSM 4</v>
      </c>
      <c r="E761" s="20" t="str">
        <f>IFERROR(VLOOKUP(I761,KET!$B:$F,4,0),"")</f>
        <v>FAHMI LUKMANUL HAKIM</v>
      </c>
      <c r="F761" s="20" t="str">
        <f>IFERROR(VLOOKUP(I761,KET!$B:$F,5,0),"")</f>
        <v>GMM</v>
      </c>
      <c r="G761" s="20">
        <f>IFERROR(INDEX('Kode Outlet dan Target Toko'!$C:$C,MATCH($I761,'Kode Outlet dan Target Toko'!$E:$E,0)),0)</f>
        <v>103259</v>
      </c>
      <c r="H761" s="20">
        <f>IFERROR(INDEX('Kode Outlet dan Target Toko'!$D:$D,MATCH($I761,'Kode Outlet dan Target Toko'!$E:$E,0)),0)</f>
        <v>9029389</v>
      </c>
      <c r="I761" s="51" t="s">
        <v>27</v>
      </c>
      <c r="J761" s="27" t="s">
        <v>179</v>
      </c>
      <c r="K761" s="39" t="s">
        <v>16</v>
      </c>
      <c r="L761" s="29">
        <v>3000</v>
      </c>
      <c r="M761" s="24">
        <v>197</v>
      </c>
      <c r="N761" s="25">
        <f t="shared" si="23"/>
        <v>591000</v>
      </c>
      <c r="O761" s="24">
        <v>160</v>
      </c>
    </row>
    <row r="762" spans="1:15" ht="15.75" hidden="1" customHeight="1" x14ac:dyDescent="0.3">
      <c r="A762" s="24">
        <v>26</v>
      </c>
      <c r="B762" s="20" t="str">
        <f t="shared" si="22"/>
        <v>JUN</v>
      </c>
      <c r="C762" s="21">
        <v>46201</v>
      </c>
      <c r="D762" s="22" t="str">
        <f t="array" ref="D762">IFERROR(INDEX('Kode Outlet dan Target Toko'!$A:$A,MATCH($I762,'Kode Outlet dan Target Toko'!$E:$E,0)),"")</f>
        <v>GRSM 4</v>
      </c>
      <c r="E762" s="20" t="str">
        <f>IFERROR(VLOOKUP(I762,KET!$B:$F,4,0),"")</f>
        <v>FAHMI LUKMANUL HAKIM</v>
      </c>
      <c r="F762" s="20" t="str">
        <f>IFERROR(VLOOKUP(I762,KET!$B:$F,5,0),"")</f>
        <v>GMM</v>
      </c>
      <c r="G762" s="20">
        <f>IFERROR(INDEX('Kode Outlet dan Target Toko'!$C:$C,MATCH($I762,'Kode Outlet dan Target Toko'!$E:$E,0)),0)</f>
        <v>103259</v>
      </c>
      <c r="H762" s="20">
        <f>IFERROR(INDEX('Kode Outlet dan Target Toko'!$D:$D,MATCH($I762,'Kode Outlet dan Target Toko'!$E:$E,0)),0)</f>
        <v>9029389</v>
      </c>
      <c r="I762" s="51" t="s">
        <v>27</v>
      </c>
      <c r="J762" s="27" t="s">
        <v>178</v>
      </c>
      <c r="K762" s="39" t="s">
        <v>15</v>
      </c>
      <c r="L762" s="29">
        <v>3000</v>
      </c>
      <c r="M762" s="24">
        <v>54</v>
      </c>
      <c r="N762" s="25">
        <f t="shared" si="23"/>
        <v>162000</v>
      </c>
      <c r="O762" s="24"/>
    </row>
    <row r="763" spans="1:15" ht="15.75" hidden="1" customHeight="1" x14ac:dyDescent="0.3">
      <c r="A763" s="24">
        <v>26</v>
      </c>
      <c r="B763" s="20" t="str">
        <f t="shared" si="22"/>
        <v>JUN</v>
      </c>
      <c r="C763" s="21">
        <v>46201</v>
      </c>
      <c r="D763" s="22" t="str">
        <f t="array" ref="D763">IFERROR(INDEX('Kode Outlet dan Target Toko'!$A:$A,MATCH($I763,'Kode Outlet dan Target Toko'!$E:$E,0)),"")</f>
        <v>GRSM 4</v>
      </c>
      <c r="E763" s="20" t="str">
        <f>IFERROR(VLOOKUP(I763,KET!$B:$F,4,0),"")</f>
        <v>FAHMI LUKMANUL HAKIM</v>
      </c>
      <c r="F763" s="20" t="str">
        <f>IFERROR(VLOOKUP(I763,KET!$B:$F,5,0),"")</f>
        <v>GMM</v>
      </c>
      <c r="G763" s="20">
        <f>IFERROR(INDEX('Kode Outlet dan Target Toko'!$C:$C,MATCH($I763,'Kode Outlet dan Target Toko'!$E:$E,0)),0)</f>
        <v>103259</v>
      </c>
      <c r="H763" s="20">
        <f>IFERROR(INDEX('Kode Outlet dan Target Toko'!$D:$D,MATCH($I763,'Kode Outlet dan Target Toko'!$E:$E,0)),0)</f>
        <v>9029389</v>
      </c>
      <c r="I763" s="51" t="s">
        <v>27</v>
      </c>
      <c r="J763" s="27" t="s">
        <v>178</v>
      </c>
      <c r="K763" s="39" t="s">
        <v>14</v>
      </c>
      <c r="L763" s="29">
        <v>3000</v>
      </c>
      <c r="M763" s="24">
        <v>77</v>
      </c>
      <c r="N763" s="25">
        <f t="shared" si="23"/>
        <v>231000</v>
      </c>
      <c r="O763" s="24"/>
    </row>
    <row r="764" spans="1:15" ht="15.75" hidden="1" customHeight="1" x14ac:dyDescent="0.3">
      <c r="A764" s="24">
        <v>26</v>
      </c>
      <c r="B764" s="20" t="str">
        <f t="shared" si="22"/>
        <v>JUN</v>
      </c>
      <c r="C764" s="21">
        <v>46201</v>
      </c>
      <c r="D764" s="22" t="str">
        <f t="array" ref="D764">IFERROR(INDEX('Kode Outlet dan Target Toko'!$A:$A,MATCH($I764,'Kode Outlet dan Target Toko'!$E:$E,0)),"")</f>
        <v>GRSM 4</v>
      </c>
      <c r="E764" s="20" t="str">
        <f>IFERROR(VLOOKUP(I764,KET!$B:$F,4,0),"")</f>
        <v>FAHMI LUKMANUL HAKIM</v>
      </c>
      <c r="F764" s="20" t="str">
        <f>IFERROR(VLOOKUP(I764,KET!$B:$F,5,0),"")</f>
        <v>GMM</v>
      </c>
      <c r="G764" s="20">
        <f>IFERROR(INDEX('Kode Outlet dan Target Toko'!$C:$C,MATCH($I764,'Kode Outlet dan Target Toko'!$E:$E,0)),0)</f>
        <v>103259</v>
      </c>
      <c r="H764" s="20">
        <f>IFERROR(INDEX('Kode Outlet dan Target Toko'!$D:$D,MATCH($I764,'Kode Outlet dan Target Toko'!$E:$E,0)),0)</f>
        <v>9029389</v>
      </c>
      <c r="I764" s="51" t="s">
        <v>27</v>
      </c>
      <c r="J764" s="27" t="s">
        <v>178</v>
      </c>
      <c r="K764" s="39" t="s">
        <v>13</v>
      </c>
      <c r="L764" s="29">
        <v>3000</v>
      </c>
      <c r="M764" s="24">
        <v>52</v>
      </c>
      <c r="N764" s="25">
        <f t="shared" si="23"/>
        <v>156000</v>
      </c>
      <c r="O764" s="24"/>
    </row>
    <row r="765" spans="1:15" ht="15.75" hidden="1" customHeight="1" x14ac:dyDescent="0.3">
      <c r="A765" s="24">
        <v>26</v>
      </c>
      <c r="B765" s="20" t="str">
        <f t="shared" si="22"/>
        <v>JUN</v>
      </c>
      <c r="C765" s="21">
        <v>46201</v>
      </c>
      <c r="D765" s="22" t="str">
        <f t="array" ref="D765">IFERROR(INDEX('Kode Outlet dan Target Toko'!$A:$A,MATCH($I765,'Kode Outlet dan Target Toko'!$E:$E,0)),"")</f>
        <v>GRSM 4</v>
      </c>
      <c r="E765" s="20" t="str">
        <f>IFERROR(VLOOKUP(I765,KET!$B:$F,4,0),"")</f>
        <v>FAHMI LUKMANUL HAKIM</v>
      </c>
      <c r="F765" s="20" t="str">
        <f>IFERROR(VLOOKUP(I765,KET!$B:$F,5,0),"")</f>
        <v>GMM</v>
      </c>
      <c r="G765" s="20">
        <f>IFERROR(INDEX('Kode Outlet dan Target Toko'!$C:$C,MATCH($I765,'Kode Outlet dan Target Toko'!$E:$E,0)),0)</f>
        <v>103259</v>
      </c>
      <c r="H765" s="20">
        <f>IFERROR(INDEX('Kode Outlet dan Target Toko'!$D:$D,MATCH($I765,'Kode Outlet dan Target Toko'!$E:$E,0)),0)</f>
        <v>9029389</v>
      </c>
      <c r="I765" s="51" t="s">
        <v>27</v>
      </c>
      <c r="J765" s="27" t="s">
        <v>178</v>
      </c>
      <c r="K765" s="39" t="s">
        <v>16</v>
      </c>
      <c r="L765" s="29">
        <v>3000</v>
      </c>
      <c r="M765" s="24">
        <v>190</v>
      </c>
      <c r="N765" s="25">
        <f t="shared" si="23"/>
        <v>570000</v>
      </c>
      <c r="O765" s="24">
        <v>160</v>
      </c>
    </row>
    <row r="766" spans="1:15" ht="15.75" hidden="1" customHeight="1" x14ac:dyDescent="0.3">
      <c r="A766" s="24">
        <v>26</v>
      </c>
      <c r="B766" s="20" t="str">
        <f t="shared" si="22"/>
        <v>JUN</v>
      </c>
      <c r="C766" s="21">
        <v>46201</v>
      </c>
      <c r="D766" s="22" t="str">
        <f t="array" ref="D766">IFERROR(INDEX('Kode Outlet dan Target Toko'!$A:$A,MATCH($I766,'Kode Outlet dan Target Toko'!$E:$E,0)),"")</f>
        <v>GRSM 4</v>
      </c>
      <c r="E766" s="20" t="str">
        <f>IFERROR(VLOOKUP(I766,KET!$B:$F,4,0),"")</f>
        <v>FAHMI LUKMANUL HAKIM</v>
      </c>
      <c r="F766" s="20" t="str">
        <f>IFERROR(VLOOKUP(I766,KET!$B:$F,5,0),"")</f>
        <v>GMM</v>
      </c>
      <c r="G766" s="20">
        <f>IFERROR(INDEX('Kode Outlet dan Target Toko'!$C:$C,MATCH($I766,'Kode Outlet dan Target Toko'!$E:$E,0)),0)</f>
        <v>103277</v>
      </c>
      <c r="H766" s="20">
        <f>IFERROR(INDEX('Kode Outlet dan Target Toko'!$D:$D,MATCH($I766,'Kode Outlet dan Target Toko'!$E:$E,0)),0)</f>
        <v>6300538</v>
      </c>
      <c r="I766" s="51" t="s">
        <v>19</v>
      </c>
      <c r="J766" s="27" t="s">
        <v>251</v>
      </c>
      <c r="K766" s="39" t="s">
        <v>15</v>
      </c>
      <c r="L766" s="29">
        <v>2975</v>
      </c>
      <c r="M766" s="24">
        <v>82</v>
      </c>
      <c r="N766" s="25">
        <f t="shared" si="23"/>
        <v>243950</v>
      </c>
      <c r="O766" s="24"/>
    </row>
    <row r="767" spans="1:15" ht="15.75" hidden="1" customHeight="1" x14ac:dyDescent="0.3">
      <c r="A767" s="24">
        <v>26</v>
      </c>
      <c r="B767" s="20" t="str">
        <f t="shared" si="22"/>
        <v>JUN</v>
      </c>
      <c r="C767" s="21">
        <v>46201</v>
      </c>
      <c r="D767" s="22" t="str">
        <f t="array" ref="D767">IFERROR(INDEX('Kode Outlet dan Target Toko'!$A:$A,MATCH($I767,'Kode Outlet dan Target Toko'!$E:$E,0)),"")</f>
        <v>GRSM 4</v>
      </c>
      <c r="E767" s="20" t="str">
        <f>IFERROR(VLOOKUP(I767,KET!$B:$F,4,0),"")</f>
        <v>FAHMI LUKMANUL HAKIM</v>
      </c>
      <c r="F767" s="20" t="str">
        <f>IFERROR(VLOOKUP(I767,KET!$B:$F,5,0),"")</f>
        <v>GMM</v>
      </c>
      <c r="G767" s="20">
        <f>IFERROR(INDEX('Kode Outlet dan Target Toko'!$C:$C,MATCH($I767,'Kode Outlet dan Target Toko'!$E:$E,0)),0)</f>
        <v>103277</v>
      </c>
      <c r="H767" s="20">
        <f>IFERROR(INDEX('Kode Outlet dan Target Toko'!$D:$D,MATCH($I767,'Kode Outlet dan Target Toko'!$E:$E,0)),0)</f>
        <v>6300538</v>
      </c>
      <c r="I767" s="51" t="s">
        <v>19</v>
      </c>
      <c r="J767" s="27" t="s">
        <v>251</v>
      </c>
      <c r="K767" s="39" t="s">
        <v>14</v>
      </c>
      <c r="L767" s="29">
        <v>2975</v>
      </c>
      <c r="M767" s="24">
        <v>74</v>
      </c>
      <c r="N767" s="25">
        <f t="shared" si="23"/>
        <v>220150</v>
      </c>
      <c r="O767" s="24"/>
    </row>
    <row r="768" spans="1:15" ht="15.75" hidden="1" customHeight="1" x14ac:dyDescent="0.3">
      <c r="A768" s="24">
        <v>26</v>
      </c>
      <c r="B768" s="20" t="str">
        <f t="shared" si="22"/>
        <v>JUN</v>
      </c>
      <c r="C768" s="21">
        <v>46201</v>
      </c>
      <c r="D768" s="22" t="str">
        <f t="array" ref="D768">IFERROR(INDEX('Kode Outlet dan Target Toko'!$A:$A,MATCH($I768,'Kode Outlet dan Target Toko'!$E:$E,0)),"")</f>
        <v>GRSM 4</v>
      </c>
      <c r="E768" s="20" t="str">
        <f>IFERROR(VLOOKUP(I768,KET!$B:$F,4,0),"")</f>
        <v>FAHMI LUKMANUL HAKIM</v>
      </c>
      <c r="F768" s="20" t="str">
        <f>IFERROR(VLOOKUP(I768,KET!$B:$F,5,0),"")</f>
        <v>GMM</v>
      </c>
      <c r="G768" s="20">
        <f>IFERROR(INDEX('Kode Outlet dan Target Toko'!$C:$C,MATCH($I768,'Kode Outlet dan Target Toko'!$E:$E,0)),0)</f>
        <v>103277</v>
      </c>
      <c r="H768" s="20">
        <f>IFERROR(INDEX('Kode Outlet dan Target Toko'!$D:$D,MATCH($I768,'Kode Outlet dan Target Toko'!$E:$E,0)),0)</f>
        <v>6300538</v>
      </c>
      <c r="I768" s="51" t="s">
        <v>19</v>
      </c>
      <c r="J768" s="27" t="s">
        <v>251</v>
      </c>
      <c r="K768" s="39" t="s">
        <v>13</v>
      </c>
      <c r="L768" s="29">
        <v>2975</v>
      </c>
      <c r="M768" s="24">
        <v>52</v>
      </c>
      <c r="N768" s="25">
        <f t="shared" si="23"/>
        <v>154700</v>
      </c>
      <c r="O768" s="24"/>
    </row>
    <row r="769" spans="1:15" ht="15.75" hidden="1" customHeight="1" x14ac:dyDescent="0.3">
      <c r="A769" s="24">
        <v>26</v>
      </c>
      <c r="B769" s="20" t="str">
        <f t="shared" si="22"/>
        <v>JUN</v>
      </c>
      <c r="C769" s="21">
        <v>46201</v>
      </c>
      <c r="D769" s="22" t="str">
        <f t="array" ref="D769">IFERROR(INDEX('Kode Outlet dan Target Toko'!$A:$A,MATCH($I769,'Kode Outlet dan Target Toko'!$E:$E,0)),"")</f>
        <v>GRSM 4</v>
      </c>
      <c r="E769" s="20" t="str">
        <f>IFERROR(VLOOKUP(I769,KET!$B:$F,4,0),"")</f>
        <v>FAHMI LUKMANUL HAKIM</v>
      </c>
      <c r="F769" s="20" t="str">
        <f>IFERROR(VLOOKUP(I769,KET!$B:$F,5,0),"")</f>
        <v>GMM</v>
      </c>
      <c r="G769" s="20">
        <f>IFERROR(INDEX('Kode Outlet dan Target Toko'!$C:$C,MATCH($I769,'Kode Outlet dan Target Toko'!$E:$E,0)),0)</f>
        <v>103277</v>
      </c>
      <c r="H769" s="20">
        <f>IFERROR(INDEX('Kode Outlet dan Target Toko'!$D:$D,MATCH($I769,'Kode Outlet dan Target Toko'!$E:$E,0)),0)</f>
        <v>6300538</v>
      </c>
      <c r="I769" s="51" t="s">
        <v>19</v>
      </c>
      <c r="J769" s="27" t="s">
        <v>251</v>
      </c>
      <c r="K769" s="39" t="s">
        <v>16</v>
      </c>
      <c r="L769" s="29">
        <v>2975</v>
      </c>
      <c r="M769" s="24">
        <v>227</v>
      </c>
      <c r="N769" s="25">
        <f t="shared" si="23"/>
        <v>675325</v>
      </c>
      <c r="O769" s="24">
        <v>160</v>
      </c>
    </row>
    <row r="770" spans="1:15" ht="15.75" hidden="1" customHeight="1" x14ac:dyDescent="0.3">
      <c r="A770" s="24">
        <v>26</v>
      </c>
      <c r="B770" s="20" t="str">
        <f t="shared" si="22"/>
        <v>JUN</v>
      </c>
      <c r="C770" s="21">
        <v>46201</v>
      </c>
      <c r="D770" s="22" t="str">
        <f t="array" ref="D770">IFERROR(INDEX('Kode Outlet dan Target Toko'!$A:$A,MATCH($I770,'Kode Outlet dan Target Toko'!$E:$E,0)),"")</f>
        <v>GRSM 4</v>
      </c>
      <c r="E770" s="20" t="str">
        <f>IFERROR(VLOOKUP(I770,KET!$B:$F,4,0),"")</f>
        <v>FAHMI LUKMANUL HAKIM</v>
      </c>
      <c r="F770" s="20" t="str">
        <f>IFERROR(VLOOKUP(I770,KET!$B:$F,5,0),"")</f>
        <v>GMM</v>
      </c>
      <c r="G770" s="20">
        <f>IFERROR(INDEX('Kode Outlet dan Target Toko'!$C:$C,MATCH($I770,'Kode Outlet dan Target Toko'!$E:$E,0)),0)</f>
        <v>103277</v>
      </c>
      <c r="H770" s="20">
        <f>IFERROR(INDEX('Kode Outlet dan Target Toko'!$D:$D,MATCH($I770,'Kode Outlet dan Target Toko'!$E:$E,0)),0)</f>
        <v>6300538</v>
      </c>
      <c r="I770" s="41" t="s">
        <v>19</v>
      </c>
      <c r="J770" s="27" t="s">
        <v>252</v>
      </c>
      <c r="K770" s="39" t="s">
        <v>15</v>
      </c>
      <c r="L770" s="23">
        <v>2975</v>
      </c>
      <c r="M770" s="24">
        <v>72</v>
      </c>
      <c r="N770" s="25">
        <f t="shared" si="23"/>
        <v>214200</v>
      </c>
      <c r="O770" s="24"/>
    </row>
    <row r="771" spans="1:15" ht="15.75" hidden="1" customHeight="1" x14ac:dyDescent="0.3">
      <c r="A771" s="24">
        <v>26</v>
      </c>
      <c r="B771" s="20" t="str">
        <f t="shared" si="22"/>
        <v>JUN</v>
      </c>
      <c r="C771" s="21">
        <v>46201</v>
      </c>
      <c r="D771" s="22" t="str">
        <f t="array" ref="D771">IFERROR(INDEX('Kode Outlet dan Target Toko'!$A:$A,MATCH($I771,'Kode Outlet dan Target Toko'!$E:$E,0)),"")</f>
        <v>GRSM 4</v>
      </c>
      <c r="E771" s="20" t="str">
        <f>IFERROR(VLOOKUP(I771,KET!$B:$F,4,0),"")</f>
        <v>FAHMI LUKMANUL HAKIM</v>
      </c>
      <c r="F771" s="20" t="str">
        <f>IFERROR(VLOOKUP(I771,KET!$B:$F,5,0),"")</f>
        <v>GMM</v>
      </c>
      <c r="G771" s="20">
        <f>IFERROR(INDEX('Kode Outlet dan Target Toko'!$C:$C,MATCH($I771,'Kode Outlet dan Target Toko'!$E:$E,0)),0)</f>
        <v>103277</v>
      </c>
      <c r="H771" s="20">
        <f>IFERROR(INDEX('Kode Outlet dan Target Toko'!$D:$D,MATCH($I771,'Kode Outlet dan Target Toko'!$E:$E,0)),0)</f>
        <v>6300538</v>
      </c>
      <c r="I771" s="41" t="s">
        <v>19</v>
      </c>
      <c r="J771" s="27" t="s">
        <v>252</v>
      </c>
      <c r="K771" s="39" t="s">
        <v>14</v>
      </c>
      <c r="L771" s="23">
        <v>2975</v>
      </c>
      <c r="M771" s="24">
        <v>72</v>
      </c>
      <c r="N771" s="25">
        <f t="shared" si="23"/>
        <v>214200</v>
      </c>
      <c r="O771" s="24"/>
    </row>
    <row r="772" spans="1:15" ht="15.75" hidden="1" customHeight="1" x14ac:dyDescent="0.3">
      <c r="A772" s="24">
        <v>26</v>
      </c>
      <c r="B772" s="20" t="str">
        <f t="shared" si="22"/>
        <v>JUN</v>
      </c>
      <c r="C772" s="21">
        <v>46201</v>
      </c>
      <c r="D772" s="22" t="str">
        <f t="array" ref="D772">IFERROR(INDEX('Kode Outlet dan Target Toko'!$A:$A,MATCH($I772,'Kode Outlet dan Target Toko'!$E:$E,0)),"")</f>
        <v>GRSM 4</v>
      </c>
      <c r="E772" s="20" t="str">
        <f>IFERROR(VLOOKUP(I772,KET!$B:$F,4,0),"")</f>
        <v>FAHMI LUKMANUL HAKIM</v>
      </c>
      <c r="F772" s="20" t="str">
        <f>IFERROR(VLOOKUP(I772,KET!$B:$F,5,0),"")</f>
        <v>GMM</v>
      </c>
      <c r="G772" s="20">
        <f>IFERROR(INDEX('Kode Outlet dan Target Toko'!$C:$C,MATCH($I772,'Kode Outlet dan Target Toko'!$E:$E,0)),0)</f>
        <v>103277</v>
      </c>
      <c r="H772" s="20">
        <f>IFERROR(INDEX('Kode Outlet dan Target Toko'!$D:$D,MATCH($I772,'Kode Outlet dan Target Toko'!$E:$E,0)),0)</f>
        <v>6300538</v>
      </c>
      <c r="I772" s="41" t="s">
        <v>19</v>
      </c>
      <c r="J772" s="27" t="s">
        <v>252</v>
      </c>
      <c r="K772" s="39" t="s">
        <v>13</v>
      </c>
      <c r="L772" s="23">
        <v>2975</v>
      </c>
      <c r="M772" s="24">
        <v>53</v>
      </c>
      <c r="N772" s="25">
        <f t="shared" si="23"/>
        <v>157675</v>
      </c>
      <c r="O772" s="24"/>
    </row>
    <row r="773" spans="1:15" ht="15.75" hidden="1" customHeight="1" x14ac:dyDescent="0.3">
      <c r="A773" s="24">
        <v>26</v>
      </c>
      <c r="B773" s="20" t="str">
        <f t="shared" si="22"/>
        <v>JUN</v>
      </c>
      <c r="C773" s="21">
        <v>46201</v>
      </c>
      <c r="D773" s="22" t="str">
        <f t="array" ref="D773">IFERROR(INDEX('Kode Outlet dan Target Toko'!$A:$A,MATCH($I773,'Kode Outlet dan Target Toko'!$E:$E,0)),"")</f>
        <v>GRSM 4</v>
      </c>
      <c r="E773" s="20" t="str">
        <f>IFERROR(VLOOKUP(I773,KET!$B:$F,4,0),"")</f>
        <v>FAHMI LUKMANUL HAKIM</v>
      </c>
      <c r="F773" s="20" t="str">
        <f>IFERROR(VLOOKUP(I773,KET!$B:$F,5,0),"")</f>
        <v>GMM</v>
      </c>
      <c r="G773" s="20">
        <f>IFERROR(INDEX('Kode Outlet dan Target Toko'!$C:$C,MATCH($I773,'Kode Outlet dan Target Toko'!$E:$E,0)),0)</f>
        <v>103277</v>
      </c>
      <c r="H773" s="20">
        <f>IFERROR(INDEX('Kode Outlet dan Target Toko'!$D:$D,MATCH($I773,'Kode Outlet dan Target Toko'!$E:$E,0)),0)</f>
        <v>6300538</v>
      </c>
      <c r="I773" s="41" t="s">
        <v>19</v>
      </c>
      <c r="J773" s="27" t="s">
        <v>252</v>
      </c>
      <c r="K773" s="39" t="s">
        <v>16</v>
      </c>
      <c r="L773" s="23">
        <v>2975</v>
      </c>
      <c r="M773" s="24">
        <v>220</v>
      </c>
      <c r="N773" s="25">
        <f t="shared" si="23"/>
        <v>654500</v>
      </c>
      <c r="O773" s="24">
        <v>160</v>
      </c>
    </row>
    <row r="774" spans="1:15" ht="15.75" hidden="1" customHeight="1" x14ac:dyDescent="0.3">
      <c r="A774" s="24">
        <v>26</v>
      </c>
      <c r="B774" s="20" t="str">
        <f t="shared" si="22"/>
        <v>JUN</v>
      </c>
      <c r="C774" s="21">
        <v>46201</v>
      </c>
      <c r="D774" s="22" t="str">
        <f t="array" ref="D774">IFERROR(INDEX('Kode Outlet dan Target Toko'!$A:$A,MATCH($I774,'Kode Outlet dan Target Toko'!$E:$E,0)),"")</f>
        <v>GRSM 4</v>
      </c>
      <c r="E774" s="20" t="str">
        <f>IFERROR(VLOOKUP(I774,KET!$B:$F,4,0),"")</f>
        <v>FAHMI LUKMANUL HAKIM</v>
      </c>
      <c r="F774" s="20" t="str">
        <f>IFERROR(VLOOKUP(I774,KET!$B:$F,5,0),"")</f>
        <v>GMM</v>
      </c>
      <c r="G774" s="20">
        <f>IFERROR(INDEX('Kode Outlet dan Target Toko'!$C:$C,MATCH($I774,'Kode Outlet dan Target Toko'!$E:$E,0)),0)</f>
        <v>103277</v>
      </c>
      <c r="H774" s="20">
        <f>IFERROR(INDEX('Kode Outlet dan Target Toko'!$D:$D,MATCH($I774,'Kode Outlet dan Target Toko'!$E:$E,0)),0)</f>
        <v>6301424</v>
      </c>
      <c r="I774" s="41" t="s">
        <v>25</v>
      </c>
      <c r="J774" s="27" t="s">
        <v>257</v>
      </c>
      <c r="K774" s="39" t="s">
        <v>15</v>
      </c>
      <c r="L774" s="23">
        <v>3000</v>
      </c>
      <c r="M774" s="24">
        <v>78</v>
      </c>
      <c r="N774" s="25">
        <f t="shared" si="23"/>
        <v>234000</v>
      </c>
      <c r="O774" s="24"/>
    </row>
    <row r="775" spans="1:15" ht="15.75" hidden="1" customHeight="1" x14ac:dyDescent="0.3">
      <c r="A775" s="24">
        <v>26</v>
      </c>
      <c r="B775" s="20" t="str">
        <f t="shared" ref="B775:B838" si="24">IF(C775="","",UPPER(TEXT(C775, "MMM")))</f>
        <v>JUN</v>
      </c>
      <c r="C775" s="21">
        <v>46201</v>
      </c>
      <c r="D775" s="22" t="str">
        <f t="array" ref="D775">IFERROR(INDEX('Kode Outlet dan Target Toko'!$A:$A,MATCH($I775,'Kode Outlet dan Target Toko'!$E:$E,0)),"")</f>
        <v>GRSM 4</v>
      </c>
      <c r="E775" s="20" t="str">
        <f>IFERROR(VLOOKUP(I775,KET!$B:$F,4,0),"")</f>
        <v>FAHMI LUKMANUL HAKIM</v>
      </c>
      <c r="F775" s="20" t="str">
        <f>IFERROR(VLOOKUP(I775,KET!$B:$F,5,0),"")</f>
        <v>GMM</v>
      </c>
      <c r="G775" s="20">
        <f>IFERROR(INDEX('Kode Outlet dan Target Toko'!$C:$C,MATCH($I775,'Kode Outlet dan Target Toko'!$E:$E,0)),0)</f>
        <v>103277</v>
      </c>
      <c r="H775" s="20">
        <f>IFERROR(INDEX('Kode Outlet dan Target Toko'!$D:$D,MATCH($I775,'Kode Outlet dan Target Toko'!$E:$E,0)),0)</f>
        <v>6301424</v>
      </c>
      <c r="I775" s="41" t="s">
        <v>25</v>
      </c>
      <c r="J775" s="27" t="s">
        <v>257</v>
      </c>
      <c r="K775" s="39" t="s">
        <v>14</v>
      </c>
      <c r="L775" s="23">
        <v>3000</v>
      </c>
      <c r="M775" s="24">
        <v>86</v>
      </c>
      <c r="N775" s="25">
        <f t="shared" ref="N775:N838" si="25">IFERROR(M775*L775,"")</f>
        <v>258000</v>
      </c>
      <c r="O775" s="24"/>
    </row>
    <row r="776" spans="1:15" ht="15.75" hidden="1" customHeight="1" x14ac:dyDescent="0.3">
      <c r="A776" s="24">
        <v>26</v>
      </c>
      <c r="B776" s="20" t="str">
        <f t="shared" si="24"/>
        <v>JUN</v>
      </c>
      <c r="C776" s="21">
        <v>46201</v>
      </c>
      <c r="D776" s="22" t="str">
        <f t="array" ref="D776">IFERROR(INDEX('Kode Outlet dan Target Toko'!$A:$A,MATCH($I776,'Kode Outlet dan Target Toko'!$E:$E,0)),"")</f>
        <v>GRSM 4</v>
      </c>
      <c r="E776" s="20" t="str">
        <f>IFERROR(VLOOKUP(I776,KET!$B:$F,4,0),"")</f>
        <v>FAHMI LUKMANUL HAKIM</v>
      </c>
      <c r="F776" s="20" t="str">
        <f>IFERROR(VLOOKUP(I776,KET!$B:$F,5,0),"")</f>
        <v>GMM</v>
      </c>
      <c r="G776" s="20">
        <f>IFERROR(INDEX('Kode Outlet dan Target Toko'!$C:$C,MATCH($I776,'Kode Outlet dan Target Toko'!$E:$E,0)),0)</f>
        <v>103277</v>
      </c>
      <c r="H776" s="20">
        <f>IFERROR(INDEX('Kode Outlet dan Target Toko'!$D:$D,MATCH($I776,'Kode Outlet dan Target Toko'!$E:$E,0)),0)</f>
        <v>6301424</v>
      </c>
      <c r="I776" s="41" t="s">
        <v>25</v>
      </c>
      <c r="J776" s="27" t="s">
        <v>257</v>
      </c>
      <c r="K776" s="39" t="s">
        <v>13</v>
      </c>
      <c r="L776" s="23">
        <v>3000</v>
      </c>
      <c r="M776" s="24">
        <v>74</v>
      </c>
      <c r="N776" s="25">
        <f t="shared" si="25"/>
        <v>222000</v>
      </c>
      <c r="O776" s="24"/>
    </row>
    <row r="777" spans="1:15" ht="15.75" hidden="1" customHeight="1" x14ac:dyDescent="0.3">
      <c r="A777" s="24">
        <v>26</v>
      </c>
      <c r="B777" s="20" t="str">
        <f t="shared" si="24"/>
        <v>JUN</v>
      </c>
      <c r="C777" s="21">
        <v>46201</v>
      </c>
      <c r="D777" s="22" t="str">
        <f t="array" ref="D777">IFERROR(INDEX('Kode Outlet dan Target Toko'!$A:$A,MATCH($I777,'Kode Outlet dan Target Toko'!$E:$E,0)),"")</f>
        <v>GRSM 4</v>
      </c>
      <c r="E777" s="20" t="str">
        <f>IFERROR(VLOOKUP(I777,KET!$B:$F,4,0),"")</f>
        <v>FAHMI LUKMANUL HAKIM</v>
      </c>
      <c r="F777" s="20" t="str">
        <f>IFERROR(VLOOKUP(I777,KET!$B:$F,5,0),"")</f>
        <v>GMM</v>
      </c>
      <c r="G777" s="20">
        <f>IFERROR(INDEX('Kode Outlet dan Target Toko'!$C:$C,MATCH($I777,'Kode Outlet dan Target Toko'!$E:$E,0)),0)</f>
        <v>103277</v>
      </c>
      <c r="H777" s="20">
        <f>IFERROR(INDEX('Kode Outlet dan Target Toko'!$D:$D,MATCH($I777,'Kode Outlet dan Target Toko'!$E:$E,0)),0)</f>
        <v>6301424</v>
      </c>
      <c r="I777" s="41" t="s">
        <v>25</v>
      </c>
      <c r="J777" s="27" t="s">
        <v>257</v>
      </c>
      <c r="K777" s="39" t="s">
        <v>16</v>
      </c>
      <c r="L777" s="23">
        <v>3000</v>
      </c>
      <c r="M777" s="24">
        <v>158</v>
      </c>
      <c r="N777" s="25">
        <f t="shared" si="25"/>
        <v>474000</v>
      </c>
      <c r="O777" s="24">
        <v>120</v>
      </c>
    </row>
    <row r="778" spans="1:15" ht="15.75" hidden="1" customHeight="1" x14ac:dyDescent="0.3">
      <c r="A778" s="24">
        <v>26</v>
      </c>
      <c r="B778" s="20" t="str">
        <f t="shared" si="24"/>
        <v>JUN</v>
      </c>
      <c r="C778" s="21">
        <v>46201</v>
      </c>
      <c r="D778" s="22" t="str">
        <f t="array" ref="D778">IFERROR(INDEX('Kode Outlet dan Target Toko'!$A:$A,MATCH($I778,'Kode Outlet dan Target Toko'!$E:$E,0)),"")</f>
        <v>GRSM 4</v>
      </c>
      <c r="E778" s="20" t="str">
        <f>IFERROR(VLOOKUP(I778,KET!$B:$F,4,0),"")</f>
        <v>FAHMI LUKMANUL HAKIM</v>
      </c>
      <c r="F778" s="20" t="str">
        <f>IFERROR(VLOOKUP(I778,KET!$B:$F,5,0),"")</f>
        <v>GMM</v>
      </c>
      <c r="G778" s="20">
        <f>IFERROR(INDEX('Kode Outlet dan Target Toko'!$C:$C,MATCH($I778,'Kode Outlet dan Target Toko'!$E:$E,0)),0)</f>
        <v>103277</v>
      </c>
      <c r="H778" s="20">
        <f>IFERROR(INDEX('Kode Outlet dan Target Toko'!$D:$D,MATCH($I778,'Kode Outlet dan Target Toko'!$E:$E,0)),0)</f>
        <v>6301424</v>
      </c>
      <c r="I778" s="41" t="s">
        <v>25</v>
      </c>
      <c r="J778" s="56" t="s">
        <v>183</v>
      </c>
      <c r="K778" s="39" t="s">
        <v>15</v>
      </c>
      <c r="L778" s="23">
        <v>3000</v>
      </c>
      <c r="M778" s="24">
        <v>80</v>
      </c>
      <c r="N778" s="25">
        <f t="shared" si="25"/>
        <v>240000</v>
      </c>
      <c r="O778" s="24"/>
    </row>
    <row r="779" spans="1:15" ht="15.75" hidden="1" customHeight="1" x14ac:dyDescent="0.3">
      <c r="A779" s="24">
        <v>26</v>
      </c>
      <c r="B779" s="20" t="str">
        <f t="shared" si="24"/>
        <v>JUN</v>
      </c>
      <c r="C779" s="21">
        <v>46201</v>
      </c>
      <c r="D779" s="22" t="str">
        <f t="array" ref="D779">IFERROR(INDEX('Kode Outlet dan Target Toko'!$A:$A,MATCH($I779,'Kode Outlet dan Target Toko'!$E:$E,0)),"")</f>
        <v>GRSM 4</v>
      </c>
      <c r="E779" s="20" t="str">
        <f>IFERROR(VLOOKUP(I779,KET!$B:$F,4,0),"")</f>
        <v>FAHMI LUKMANUL HAKIM</v>
      </c>
      <c r="F779" s="20" t="str">
        <f>IFERROR(VLOOKUP(I779,KET!$B:$F,5,0),"")</f>
        <v>GMM</v>
      </c>
      <c r="G779" s="20">
        <f>IFERROR(INDEX('Kode Outlet dan Target Toko'!$C:$C,MATCH($I779,'Kode Outlet dan Target Toko'!$E:$E,0)),0)</f>
        <v>103277</v>
      </c>
      <c r="H779" s="20">
        <f>IFERROR(INDEX('Kode Outlet dan Target Toko'!$D:$D,MATCH($I779,'Kode Outlet dan Target Toko'!$E:$E,0)),0)</f>
        <v>6301424</v>
      </c>
      <c r="I779" s="41" t="s">
        <v>25</v>
      </c>
      <c r="J779" s="56" t="s">
        <v>183</v>
      </c>
      <c r="K779" s="39" t="s">
        <v>14</v>
      </c>
      <c r="L779" s="23">
        <v>3000</v>
      </c>
      <c r="M779" s="24">
        <v>84</v>
      </c>
      <c r="N779" s="25">
        <f t="shared" si="25"/>
        <v>252000</v>
      </c>
      <c r="O779" s="24"/>
    </row>
    <row r="780" spans="1:15" ht="15.75" hidden="1" customHeight="1" x14ac:dyDescent="0.3">
      <c r="A780" s="24">
        <v>26</v>
      </c>
      <c r="B780" s="20" t="str">
        <f t="shared" si="24"/>
        <v>JUN</v>
      </c>
      <c r="C780" s="21">
        <v>46201</v>
      </c>
      <c r="D780" s="22" t="str">
        <f t="array" ref="D780">IFERROR(INDEX('Kode Outlet dan Target Toko'!$A:$A,MATCH($I780,'Kode Outlet dan Target Toko'!$E:$E,0)),"")</f>
        <v>GRSM 4</v>
      </c>
      <c r="E780" s="20" t="str">
        <f>IFERROR(VLOOKUP(I780,KET!$B:$F,4,0),"")</f>
        <v>FAHMI LUKMANUL HAKIM</v>
      </c>
      <c r="F780" s="20" t="str">
        <f>IFERROR(VLOOKUP(I780,KET!$B:$F,5,0),"")</f>
        <v>GMM</v>
      </c>
      <c r="G780" s="20">
        <f>IFERROR(INDEX('Kode Outlet dan Target Toko'!$C:$C,MATCH($I780,'Kode Outlet dan Target Toko'!$E:$E,0)),0)</f>
        <v>103277</v>
      </c>
      <c r="H780" s="20">
        <f>IFERROR(INDEX('Kode Outlet dan Target Toko'!$D:$D,MATCH($I780,'Kode Outlet dan Target Toko'!$E:$E,0)),0)</f>
        <v>6301424</v>
      </c>
      <c r="I780" s="41" t="s">
        <v>25</v>
      </c>
      <c r="J780" s="56" t="s">
        <v>183</v>
      </c>
      <c r="K780" s="39" t="s">
        <v>13</v>
      </c>
      <c r="L780" s="23">
        <v>3000</v>
      </c>
      <c r="M780" s="24">
        <v>80</v>
      </c>
      <c r="N780" s="25">
        <f t="shared" si="25"/>
        <v>240000</v>
      </c>
      <c r="O780" s="24"/>
    </row>
    <row r="781" spans="1:15" ht="15.75" hidden="1" customHeight="1" x14ac:dyDescent="0.3">
      <c r="A781" s="24">
        <v>26</v>
      </c>
      <c r="B781" s="20" t="str">
        <f t="shared" si="24"/>
        <v>JUN</v>
      </c>
      <c r="C781" s="21">
        <v>46201</v>
      </c>
      <c r="D781" s="22" t="str">
        <f t="array" ref="D781">IFERROR(INDEX('Kode Outlet dan Target Toko'!$A:$A,MATCH($I781,'Kode Outlet dan Target Toko'!$E:$E,0)),"")</f>
        <v>GRSM 4</v>
      </c>
      <c r="E781" s="20" t="str">
        <f>IFERROR(VLOOKUP(I781,KET!$B:$F,4,0),"")</f>
        <v>FAHMI LUKMANUL HAKIM</v>
      </c>
      <c r="F781" s="20" t="str">
        <f>IFERROR(VLOOKUP(I781,KET!$B:$F,5,0),"")</f>
        <v>GMM</v>
      </c>
      <c r="G781" s="20">
        <f>IFERROR(INDEX('Kode Outlet dan Target Toko'!$C:$C,MATCH($I781,'Kode Outlet dan Target Toko'!$E:$E,0)),0)</f>
        <v>103277</v>
      </c>
      <c r="H781" s="20">
        <f>IFERROR(INDEX('Kode Outlet dan Target Toko'!$D:$D,MATCH($I781,'Kode Outlet dan Target Toko'!$E:$E,0)),0)</f>
        <v>6301424</v>
      </c>
      <c r="I781" s="41" t="s">
        <v>25</v>
      </c>
      <c r="J781" s="56" t="s">
        <v>183</v>
      </c>
      <c r="K781" s="39" t="s">
        <v>16</v>
      </c>
      <c r="L781" s="23">
        <v>3000</v>
      </c>
      <c r="M781" s="24">
        <v>158</v>
      </c>
      <c r="N781" s="25">
        <f t="shared" si="25"/>
        <v>474000</v>
      </c>
      <c r="O781" s="24">
        <v>120</v>
      </c>
    </row>
    <row r="782" spans="1:15" ht="15.75" hidden="1" customHeight="1" x14ac:dyDescent="0.3">
      <c r="A782" s="24">
        <v>26</v>
      </c>
      <c r="B782" s="20" t="str">
        <f t="shared" si="24"/>
        <v>JUN</v>
      </c>
      <c r="C782" s="21">
        <v>46201</v>
      </c>
      <c r="D782" s="22" t="str">
        <f t="array" ref="D782">IFERROR(INDEX('Kode Outlet dan Target Toko'!$A:$A,MATCH($I782,'Kode Outlet dan Target Toko'!$E:$E,0)),"")</f>
        <v>GRSM 4</v>
      </c>
      <c r="E782" s="20" t="str">
        <f>IFERROR(VLOOKUP(I782,KET!$B:$F,4,0),"")</f>
        <v>FAHMI LUKMANUL HAKIM</v>
      </c>
      <c r="F782" s="20" t="str">
        <f>IFERROR(VLOOKUP(I782,KET!$B:$F,5,0),"")</f>
        <v>NKA</v>
      </c>
      <c r="G782" s="20">
        <f>IFERROR(INDEX('Kode Outlet dan Target Toko'!$C:$C,MATCH($I782,'Kode Outlet dan Target Toko'!$E:$E,0)),0)</f>
        <v>490034</v>
      </c>
      <c r="H782" s="20">
        <f>IFERROR(INDEX('Kode Outlet dan Target Toko'!$D:$D,MATCH($I782,'Kode Outlet dan Target Toko'!$E:$E,0)),0)</f>
        <v>209554</v>
      </c>
      <c r="I782" s="41" t="s">
        <v>26</v>
      </c>
      <c r="J782" s="27" t="s">
        <v>176</v>
      </c>
      <c r="K782" s="39" t="s">
        <v>15</v>
      </c>
      <c r="L782" s="23">
        <v>3275</v>
      </c>
      <c r="M782" s="24">
        <v>20</v>
      </c>
      <c r="N782" s="25">
        <f t="shared" si="25"/>
        <v>65500</v>
      </c>
      <c r="O782" s="24"/>
    </row>
    <row r="783" spans="1:15" ht="15.75" hidden="1" customHeight="1" x14ac:dyDescent="0.3">
      <c r="A783" s="24">
        <v>26</v>
      </c>
      <c r="B783" s="20" t="str">
        <f t="shared" si="24"/>
        <v>JUN</v>
      </c>
      <c r="C783" s="21">
        <v>46201</v>
      </c>
      <c r="D783" s="22" t="str">
        <f t="array" ref="D783">IFERROR(INDEX('Kode Outlet dan Target Toko'!$A:$A,MATCH($I783,'Kode Outlet dan Target Toko'!$E:$E,0)),"")</f>
        <v>GRSM 4</v>
      </c>
      <c r="E783" s="20" t="str">
        <f>IFERROR(VLOOKUP(I783,KET!$B:$F,4,0),"")</f>
        <v>FAHMI LUKMANUL HAKIM</v>
      </c>
      <c r="F783" s="20" t="str">
        <f>IFERROR(VLOOKUP(I783,KET!$B:$F,5,0),"")</f>
        <v>NKA</v>
      </c>
      <c r="G783" s="20">
        <f>IFERROR(INDEX('Kode Outlet dan Target Toko'!$C:$C,MATCH($I783,'Kode Outlet dan Target Toko'!$E:$E,0)),0)</f>
        <v>490034</v>
      </c>
      <c r="H783" s="20">
        <f>IFERROR(INDEX('Kode Outlet dan Target Toko'!$D:$D,MATCH($I783,'Kode Outlet dan Target Toko'!$E:$E,0)),0)</f>
        <v>209554</v>
      </c>
      <c r="I783" s="41" t="s">
        <v>26</v>
      </c>
      <c r="J783" s="27" t="s">
        <v>176</v>
      </c>
      <c r="K783" s="39" t="s">
        <v>14</v>
      </c>
      <c r="L783" s="23">
        <v>3275</v>
      </c>
      <c r="M783" s="24">
        <v>18</v>
      </c>
      <c r="N783" s="25">
        <f t="shared" si="25"/>
        <v>58950</v>
      </c>
      <c r="O783" s="24"/>
    </row>
    <row r="784" spans="1:15" ht="15.75" hidden="1" customHeight="1" x14ac:dyDescent="0.3">
      <c r="A784" s="24">
        <v>26</v>
      </c>
      <c r="B784" s="20" t="str">
        <f t="shared" si="24"/>
        <v>JUN</v>
      </c>
      <c r="C784" s="21">
        <v>46201</v>
      </c>
      <c r="D784" s="22" t="str">
        <f t="array" ref="D784">IFERROR(INDEX('Kode Outlet dan Target Toko'!$A:$A,MATCH($I784,'Kode Outlet dan Target Toko'!$E:$E,0)),"")</f>
        <v>GRSM 4</v>
      </c>
      <c r="E784" s="20" t="str">
        <f>IFERROR(VLOOKUP(I784,KET!$B:$F,4,0),"")</f>
        <v>FAHMI LUKMANUL HAKIM</v>
      </c>
      <c r="F784" s="20" t="str">
        <f>IFERROR(VLOOKUP(I784,KET!$B:$F,5,0),"")</f>
        <v>NKA</v>
      </c>
      <c r="G784" s="20">
        <f>IFERROR(INDEX('Kode Outlet dan Target Toko'!$C:$C,MATCH($I784,'Kode Outlet dan Target Toko'!$E:$E,0)),0)</f>
        <v>490034</v>
      </c>
      <c r="H784" s="20">
        <f>IFERROR(INDEX('Kode Outlet dan Target Toko'!$D:$D,MATCH($I784,'Kode Outlet dan Target Toko'!$E:$E,0)),0)</f>
        <v>209554</v>
      </c>
      <c r="I784" s="41" t="s">
        <v>26</v>
      </c>
      <c r="J784" s="27" t="s">
        <v>176</v>
      </c>
      <c r="K784" s="39" t="s">
        <v>13</v>
      </c>
      <c r="L784" s="23">
        <v>3275</v>
      </c>
      <c r="M784" s="24">
        <v>10</v>
      </c>
      <c r="N784" s="25">
        <f t="shared" si="25"/>
        <v>32750</v>
      </c>
      <c r="O784" s="24"/>
    </row>
    <row r="785" spans="1:15" ht="15.75" hidden="1" customHeight="1" x14ac:dyDescent="0.3">
      <c r="A785" s="24">
        <v>26</v>
      </c>
      <c r="B785" s="20" t="str">
        <f t="shared" si="24"/>
        <v>JUN</v>
      </c>
      <c r="C785" s="21">
        <v>46201</v>
      </c>
      <c r="D785" s="22" t="str">
        <f t="array" ref="D785">IFERROR(INDEX('Kode Outlet dan Target Toko'!$A:$A,MATCH($I785,'Kode Outlet dan Target Toko'!$E:$E,0)),"")</f>
        <v>GRSM 4</v>
      </c>
      <c r="E785" s="20" t="str">
        <f>IFERROR(VLOOKUP(I785,KET!$B:$F,4,0),"")</f>
        <v>FAHMI LUKMANUL HAKIM</v>
      </c>
      <c r="F785" s="20" t="str">
        <f>IFERROR(VLOOKUP(I785,KET!$B:$F,5,0),"")</f>
        <v>NKA</v>
      </c>
      <c r="G785" s="20">
        <f>IFERROR(INDEX('Kode Outlet dan Target Toko'!$C:$C,MATCH($I785,'Kode Outlet dan Target Toko'!$E:$E,0)),0)</f>
        <v>490034</v>
      </c>
      <c r="H785" s="20">
        <f>IFERROR(INDEX('Kode Outlet dan Target Toko'!$D:$D,MATCH($I785,'Kode Outlet dan Target Toko'!$E:$E,0)),0)</f>
        <v>209554</v>
      </c>
      <c r="I785" s="41" t="s">
        <v>26</v>
      </c>
      <c r="J785" s="27" t="s">
        <v>176</v>
      </c>
      <c r="K785" s="39" t="s">
        <v>16</v>
      </c>
      <c r="L785" s="23">
        <v>3275</v>
      </c>
      <c r="M785" s="24">
        <v>203</v>
      </c>
      <c r="N785" s="25">
        <f t="shared" si="25"/>
        <v>664825</v>
      </c>
      <c r="O785" s="24">
        <v>160</v>
      </c>
    </row>
    <row r="786" spans="1:15" ht="15.75" hidden="1" customHeight="1" x14ac:dyDescent="0.3">
      <c r="A786" s="24">
        <v>26</v>
      </c>
      <c r="B786" s="20" t="str">
        <f t="shared" si="24"/>
        <v>JUN</v>
      </c>
      <c r="C786" s="21">
        <v>46201</v>
      </c>
      <c r="D786" s="22" t="str">
        <f t="array" ref="D786">IFERROR(INDEX('Kode Outlet dan Target Toko'!$A:$A,MATCH($I786,'Kode Outlet dan Target Toko'!$E:$E,0)),"")</f>
        <v>GRSM 4</v>
      </c>
      <c r="E786" s="20" t="str">
        <f>IFERROR(VLOOKUP(I786,KET!$B:$F,4,0),"")</f>
        <v>FAHMI LUKMANUL HAKIM</v>
      </c>
      <c r="F786" s="20" t="str">
        <f>IFERROR(VLOOKUP(I786,KET!$B:$F,5,0),"")</f>
        <v>NKA</v>
      </c>
      <c r="G786" s="20">
        <f>IFERROR(INDEX('Kode Outlet dan Target Toko'!$C:$C,MATCH($I786,'Kode Outlet dan Target Toko'!$E:$E,0)),0)</f>
        <v>490034</v>
      </c>
      <c r="H786" s="20">
        <f>IFERROR(INDEX('Kode Outlet dan Target Toko'!$D:$D,MATCH($I786,'Kode Outlet dan Target Toko'!$E:$E,0)),0)</f>
        <v>209554</v>
      </c>
      <c r="I786" s="41" t="s">
        <v>26</v>
      </c>
      <c r="J786" s="19" t="s">
        <v>177</v>
      </c>
      <c r="K786" s="39" t="s">
        <v>15</v>
      </c>
      <c r="L786" s="23">
        <v>3275</v>
      </c>
      <c r="M786" s="24">
        <v>20</v>
      </c>
      <c r="N786" s="25">
        <f t="shared" si="25"/>
        <v>65500</v>
      </c>
      <c r="O786" s="24"/>
    </row>
    <row r="787" spans="1:15" ht="15.75" hidden="1" customHeight="1" x14ac:dyDescent="0.3">
      <c r="A787" s="24">
        <v>26</v>
      </c>
      <c r="B787" s="20" t="str">
        <f t="shared" si="24"/>
        <v>JUN</v>
      </c>
      <c r="C787" s="21">
        <v>46201</v>
      </c>
      <c r="D787" s="22" t="str">
        <f t="array" ref="D787">IFERROR(INDEX('Kode Outlet dan Target Toko'!$A:$A,MATCH($I787,'Kode Outlet dan Target Toko'!$E:$E,0)),"")</f>
        <v>GRSM 4</v>
      </c>
      <c r="E787" s="20" t="str">
        <f>IFERROR(VLOOKUP(I787,KET!$B:$F,4,0),"")</f>
        <v>FAHMI LUKMANUL HAKIM</v>
      </c>
      <c r="F787" s="20" t="str">
        <f>IFERROR(VLOOKUP(I787,KET!$B:$F,5,0),"")</f>
        <v>NKA</v>
      </c>
      <c r="G787" s="20">
        <f>IFERROR(INDEX('Kode Outlet dan Target Toko'!$C:$C,MATCH($I787,'Kode Outlet dan Target Toko'!$E:$E,0)),0)</f>
        <v>490034</v>
      </c>
      <c r="H787" s="20">
        <f>IFERROR(INDEX('Kode Outlet dan Target Toko'!$D:$D,MATCH($I787,'Kode Outlet dan Target Toko'!$E:$E,0)),0)</f>
        <v>209554</v>
      </c>
      <c r="I787" s="41" t="s">
        <v>26</v>
      </c>
      <c r="J787" s="19" t="s">
        <v>177</v>
      </c>
      <c r="K787" s="39" t="s">
        <v>14</v>
      </c>
      <c r="L787" s="23">
        <v>3275</v>
      </c>
      <c r="M787" s="24">
        <v>18</v>
      </c>
      <c r="N787" s="25">
        <f t="shared" si="25"/>
        <v>58950</v>
      </c>
      <c r="O787" s="24"/>
    </row>
    <row r="788" spans="1:15" ht="15.75" hidden="1" customHeight="1" x14ac:dyDescent="0.3">
      <c r="A788" s="24">
        <v>26</v>
      </c>
      <c r="B788" s="20" t="str">
        <f t="shared" si="24"/>
        <v>JUN</v>
      </c>
      <c r="C788" s="21">
        <v>46201</v>
      </c>
      <c r="D788" s="22" t="str">
        <f t="array" ref="D788">IFERROR(INDEX('Kode Outlet dan Target Toko'!$A:$A,MATCH($I788,'Kode Outlet dan Target Toko'!$E:$E,0)),"")</f>
        <v>GRSM 4</v>
      </c>
      <c r="E788" s="20" t="str">
        <f>IFERROR(VLOOKUP(I788,KET!$B:$F,4,0),"")</f>
        <v>FAHMI LUKMANUL HAKIM</v>
      </c>
      <c r="F788" s="20" t="str">
        <f>IFERROR(VLOOKUP(I788,KET!$B:$F,5,0),"")</f>
        <v>NKA</v>
      </c>
      <c r="G788" s="20">
        <f>IFERROR(INDEX('Kode Outlet dan Target Toko'!$C:$C,MATCH($I788,'Kode Outlet dan Target Toko'!$E:$E,0)),0)</f>
        <v>490034</v>
      </c>
      <c r="H788" s="20">
        <f>IFERROR(INDEX('Kode Outlet dan Target Toko'!$D:$D,MATCH($I788,'Kode Outlet dan Target Toko'!$E:$E,0)),0)</f>
        <v>209554</v>
      </c>
      <c r="I788" s="41" t="s">
        <v>26</v>
      </c>
      <c r="J788" s="19" t="s">
        <v>177</v>
      </c>
      <c r="K788" s="39" t="s">
        <v>13</v>
      </c>
      <c r="L788" s="23">
        <v>3275</v>
      </c>
      <c r="M788" s="24">
        <v>10</v>
      </c>
      <c r="N788" s="25">
        <f t="shared" si="25"/>
        <v>32750</v>
      </c>
      <c r="O788" s="24"/>
    </row>
    <row r="789" spans="1:15" ht="15.75" hidden="1" customHeight="1" x14ac:dyDescent="0.3">
      <c r="A789" s="24">
        <v>26</v>
      </c>
      <c r="B789" s="20" t="str">
        <f t="shared" si="24"/>
        <v>JUN</v>
      </c>
      <c r="C789" s="21">
        <v>46201</v>
      </c>
      <c r="D789" s="22" t="str">
        <f t="array" ref="D789">IFERROR(INDEX('Kode Outlet dan Target Toko'!$A:$A,MATCH($I789,'Kode Outlet dan Target Toko'!$E:$E,0)),"")</f>
        <v>GRSM 4</v>
      </c>
      <c r="E789" s="20" t="str">
        <f>IFERROR(VLOOKUP(I789,KET!$B:$F,4,0),"")</f>
        <v>FAHMI LUKMANUL HAKIM</v>
      </c>
      <c r="F789" s="20" t="str">
        <f>IFERROR(VLOOKUP(I789,KET!$B:$F,5,0),"")</f>
        <v>NKA</v>
      </c>
      <c r="G789" s="20">
        <f>IFERROR(INDEX('Kode Outlet dan Target Toko'!$C:$C,MATCH($I789,'Kode Outlet dan Target Toko'!$E:$E,0)),0)</f>
        <v>490034</v>
      </c>
      <c r="H789" s="20">
        <f>IFERROR(INDEX('Kode Outlet dan Target Toko'!$D:$D,MATCH($I789,'Kode Outlet dan Target Toko'!$E:$E,0)),0)</f>
        <v>209554</v>
      </c>
      <c r="I789" s="41" t="s">
        <v>26</v>
      </c>
      <c r="J789" s="19" t="s">
        <v>177</v>
      </c>
      <c r="K789" s="39" t="s">
        <v>16</v>
      </c>
      <c r="L789" s="23">
        <v>3275</v>
      </c>
      <c r="M789" s="24">
        <v>203</v>
      </c>
      <c r="N789" s="25">
        <f t="shared" si="25"/>
        <v>664825</v>
      </c>
      <c r="O789" s="24">
        <v>160</v>
      </c>
    </row>
    <row r="790" spans="1:15" ht="15.75" hidden="1" customHeight="1" x14ac:dyDescent="0.3">
      <c r="A790" s="24">
        <v>26</v>
      </c>
      <c r="B790" s="20" t="str">
        <f t="shared" si="24"/>
        <v>JUN</v>
      </c>
      <c r="C790" s="21">
        <v>46201</v>
      </c>
      <c r="D790" s="22" t="str">
        <f t="array" ref="D790">IFERROR(INDEX('Kode Outlet dan Target Toko'!$A:$A,MATCH($I790,'Kode Outlet dan Target Toko'!$E:$E,0)),"")</f>
        <v>GRSM 4</v>
      </c>
      <c r="E790" s="20" t="str">
        <f>IFERROR(VLOOKUP(I790,KET!$B:$F,4,0),"")</f>
        <v>FAHMI LUKMANUL HAKIM</v>
      </c>
      <c r="F790" s="20" t="str">
        <f>IFERROR(VLOOKUP(I790,KET!$B:$F,5,0),"")</f>
        <v>GMM</v>
      </c>
      <c r="G790" s="20">
        <f>IFERROR(INDEX('Kode Outlet dan Target Toko'!$C:$C,MATCH($I790,'Kode Outlet dan Target Toko'!$E:$E,0)),0)</f>
        <v>103257</v>
      </c>
      <c r="H790" s="20">
        <f>IFERROR(INDEX('Kode Outlet dan Target Toko'!$D:$D,MATCH($I790,'Kode Outlet dan Target Toko'!$E:$E,0)),0)</f>
        <v>9162509</v>
      </c>
      <c r="I790" s="41" t="s">
        <v>23</v>
      </c>
      <c r="J790" s="56" t="s">
        <v>181</v>
      </c>
      <c r="K790" s="39" t="s">
        <v>15</v>
      </c>
      <c r="L790" s="23">
        <v>3200</v>
      </c>
      <c r="M790" s="24">
        <v>52</v>
      </c>
      <c r="N790" s="25">
        <f t="shared" si="25"/>
        <v>166400</v>
      </c>
      <c r="O790" s="24"/>
    </row>
    <row r="791" spans="1:15" ht="15.75" hidden="1" customHeight="1" x14ac:dyDescent="0.3">
      <c r="A791" s="24">
        <v>26</v>
      </c>
      <c r="B791" s="20" t="str">
        <f t="shared" si="24"/>
        <v>JUN</v>
      </c>
      <c r="C791" s="21">
        <v>46201</v>
      </c>
      <c r="D791" s="22" t="str">
        <f t="array" ref="D791">IFERROR(INDEX('Kode Outlet dan Target Toko'!$A:$A,MATCH($I791,'Kode Outlet dan Target Toko'!$E:$E,0)),"")</f>
        <v>GRSM 4</v>
      </c>
      <c r="E791" s="20" t="str">
        <f>IFERROR(VLOOKUP(I791,KET!$B:$F,4,0),"")</f>
        <v>FAHMI LUKMANUL HAKIM</v>
      </c>
      <c r="F791" s="20" t="str">
        <f>IFERROR(VLOOKUP(I791,KET!$B:$F,5,0),"")</f>
        <v>GMM</v>
      </c>
      <c r="G791" s="20">
        <f>IFERROR(INDEX('Kode Outlet dan Target Toko'!$C:$C,MATCH($I791,'Kode Outlet dan Target Toko'!$E:$E,0)),0)</f>
        <v>103257</v>
      </c>
      <c r="H791" s="20">
        <f>IFERROR(INDEX('Kode Outlet dan Target Toko'!$D:$D,MATCH($I791,'Kode Outlet dan Target Toko'!$E:$E,0)),0)</f>
        <v>9162509</v>
      </c>
      <c r="I791" s="41" t="s">
        <v>23</v>
      </c>
      <c r="J791" s="56" t="s">
        <v>181</v>
      </c>
      <c r="K791" s="39" t="s">
        <v>14</v>
      </c>
      <c r="L791" s="23">
        <v>3200</v>
      </c>
      <c r="M791" s="24">
        <v>59</v>
      </c>
      <c r="N791" s="25">
        <f t="shared" si="25"/>
        <v>188800</v>
      </c>
      <c r="O791" s="24"/>
    </row>
    <row r="792" spans="1:15" ht="15.75" hidden="1" customHeight="1" x14ac:dyDescent="0.3">
      <c r="A792" s="24">
        <v>26</v>
      </c>
      <c r="B792" s="20" t="str">
        <f t="shared" si="24"/>
        <v>JUN</v>
      </c>
      <c r="C792" s="21">
        <v>46201</v>
      </c>
      <c r="D792" s="22" t="str">
        <f t="array" ref="D792">IFERROR(INDEX('Kode Outlet dan Target Toko'!$A:$A,MATCH($I792,'Kode Outlet dan Target Toko'!$E:$E,0)),"")</f>
        <v>GRSM 4</v>
      </c>
      <c r="E792" s="20" t="str">
        <f>IFERROR(VLOOKUP(I792,KET!$B:$F,4,0),"")</f>
        <v>FAHMI LUKMANUL HAKIM</v>
      </c>
      <c r="F792" s="20" t="str">
        <f>IFERROR(VLOOKUP(I792,KET!$B:$F,5,0),"")</f>
        <v>GMM</v>
      </c>
      <c r="G792" s="20">
        <f>IFERROR(INDEX('Kode Outlet dan Target Toko'!$C:$C,MATCH($I792,'Kode Outlet dan Target Toko'!$E:$E,0)),0)</f>
        <v>103257</v>
      </c>
      <c r="H792" s="20">
        <f>IFERROR(INDEX('Kode Outlet dan Target Toko'!$D:$D,MATCH($I792,'Kode Outlet dan Target Toko'!$E:$E,0)),0)</f>
        <v>9162509</v>
      </c>
      <c r="I792" s="41" t="s">
        <v>23</v>
      </c>
      <c r="J792" s="56" t="s">
        <v>181</v>
      </c>
      <c r="K792" s="39" t="s">
        <v>13</v>
      </c>
      <c r="L792" s="23">
        <v>3200</v>
      </c>
      <c r="M792" s="24">
        <v>50</v>
      </c>
      <c r="N792" s="25">
        <f t="shared" si="25"/>
        <v>160000</v>
      </c>
      <c r="O792" s="24"/>
    </row>
    <row r="793" spans="1:15" ht="15.75" hidden="1" customHeight="1" x14ac:dyDescent="0.3">
      <c r="A793" s="24">
        <v>26</v>
      </c>
      <c r="B793" s="20" t="str">
        <f t="shared" si="24"/>
        <v>JUN</v>
      </c>
      <c r="C793" s="21">
        <v>46201</v>
      </c>
      <c r="D793" s="22" t="str">
        <f t="array" ref="D793">IFERROR(INDEX('Kode Outlet dan Target Toko'!$A:$A,MATCH($I793,'Kode Outlet dan Target Toko'!$E:$E,0)),"")</f>
        <v>GRSM 4</v>
      </c>
      <c r="E793" s="20" t="str">
        <f>IFERROR(VLOOKUP(I793,KET!$B:$F,4,0),"")</f>
        <v>FAHMI LUKMANUL HAKIM</v>
      </c>
      <c r="F793" s="20" t="str">
        <f>IFERROR(VLOOKUP(I793,KET!$B:$F,5,0),"")</f>
        <v>GMM</v>
      </c>
      <c r="G793" s="20">
        <f>IFERROR(INDEX('Kode Outlet dan Target Toko'!$C:$C,MATCH($I793,'Kode Outlet dan Target Toko'!$E:$E,0)),0)</f>
        <v>103257</v>
      </c>
      <c r="H793" s="20">
        <f>IFERROR(INDEX('Kode Outlet dan Target Toko'!$D:$D,MATCH($I793,'Kode Outlet dan Target Toko'!$E:$E,0)),0)</f>
        <v>9162509</v>
      </c>
      <c r="I793" s="41" t="s">
        <v>23</v>
      </c>
      <c r="J793" s="56" t="s">
        <v>181</v>
      </c>
      <c r="K793" s="39" t="s">
        <v>16</v>
      </c>
      <c r="L793" s="23">
        <v>3200</v>
      </c>
      <c r="M793" s="24">
        <v>88</v>
      </c>
      <c r="N793" s="25">
        <f t="shared" si="25"/>
        <v>281600</v>
      </c>
      <c r="O793" s="24">
        <v>160</v>
      </c>
    </row>
    <row r="794" spans="1:15" ht="15.75" hidden="1" customHeight="1" x14ac:dyDescent="0.3">
      <c r="A794" s="24">
        <v>26</v>
      </c>
      <c r="B794" s="20" t="str">
        <f t="shared" si="24"/>
        <v>JUN</v>
      </c>
      <c r="C794" s="21">
        <v>46201</v>
      </c>
      <c r="D794" s="22" t="str">
        <f t="array" ref="D794">IFERROR(INDEX('Kode Outlet dan Target Toko'!$A:$A,MATCH($I794,'Kode Outlet dan Target Toko'!$E:$E,0)),"")</f>
        <v>GRSM 4</v>
      </c>
      <c r="E794" s="20" t="str">
        <f>IFERROR(VLOOKUP(I794,KET!$B:$F,4,0),"")</f>
        <v>FAHMI LUKMANUL HAKIM</v>
      </c>
      <c r="F794" s="20" t="str">
        <f>IFERROR(VLOOKUP(I794,KET!$B:$F,5,0),"")</f>
        <v>GMM</v>
      </c>
      <c r="G794" s="20">
        <f>IFERROR(INDEX('Kode Outlet dan Target Toko'!$C:$C,MATCH($I794,'Kode Outlet dan Target Toko'!$E:$E,0)),0)</f>
        <v>189901</v>
      </c>
      <c r="H794" s="20">
        <f>IFERROR(INDEX('Kode Outlet dan Target Toko'!$D:$D,MATCH($I794,'Kode Outlet dan Target Toko'!$E:$E,0)),0)</f>
        <v>1602020</v>
      </c>
      <c r="I794" s="50" t="s">
        <v>20</v>
      </c>
      <c r="J794" s="56" t="s">
        <v>253</v>
      </c>
      <c r="K794" s="54" t="s">
        <v>15</v>
      </c>
      <c r="L794" s="23">
        <v>2200</v>
      </c>
      <c r="M794" s="24">
        <v>46</v>
      </c>
      <c r="N794" s="25">
        <f t="shared" si="25"/>
        <v>101200</v>
      </c>
      <c r="O794" s="24"/>
    </row>
    <row r="795" spans="1:15" ht="15.75" hidden="1" customHeight="1" x14ac:dyDescent="0.3">
      <c r="A795" s="24">
        <v>26</v>
      </c>
      <c r="B795" s="20" t="str">
        <f t="shared" si="24"/>
        <v>JUN</v>
      </c>
      <c r="C795" s="21">
        <v>46201</v>
      </c>
      <c r="D795" s="22" t="str">
        <f t="array" ref="D795">IFERROR(INDEX('Kode Outlet dan Target Toko'!$A:$A,MATCH($I795,'Kode Outlet dan Target Toko'!$E:$E,0)),"")</f>
        <v>GRSM 4</v>
      </c>
      <c r="E795" s="20" t="str">
        <f>IFERROR(VLOOKUP(I795,KET!$B:$F,4,0),"")</f>
        <v>FAHMI LUKMANUL HAKIM</v>
      </c>
      <c r="F795" s="20" t="str">
        <f>IFERROR(VLOOKUP(I795,KET!$B:$F,5,0),"")</f>
        <v>GMM</v>
      </c>
      <c r="G795" s="20">
        <f>IFERROR(INDEX('Kode Outlet dan Target Toko'!$C:$C,MATCH($I795,'Kode Outlet dan Target Toko'!$E:$E,0)),0)</f>
        <v>189901</v>
      </c>
      <c r="H795" s="20">
        <f>IFERROR(INDEX('Kode Outlet dan Target Toko'!$D:$D,MATCH($I795,'Kode Outlet dan Target Toko'!$E:$E,0)),0)</f>
        <v>1602020</v>
      </c>
      <c r="I795" s="50" t="s">
        <v>20</v>
      </c>
      <c r="J795" s="56" t="s">
        <v>253</v>
      </c>
      <c r="K795" s="54" t="s">
        <v>14</v>
      </c>
      <c r="L795" s="23">
        <v>2200</v>
      </c>
      <c r="M795" s="24">
        <v>30</v>
      </c>
      <c r="N795" s="25">
        <f t="shared" si="25"/>
        <v>66000</v>
      </c>
      <c r="O795" s="24"/>
    </row>
    <row r="796" spans="1:15" ht="15.75" hidden="1" customHeight="1" x14ac:dyDescent="0.3">
      <c r="A796" s="24">
        <v>26</v>
      </c>
      <c r="B796" s="20" t="str">
        <f t="shared" si="24"/>
        <v>JUN</v>
      </c>
      <c r="C796" s="21">
        <v>46201</v>
      </c>
      <c r="D796" s="22" t="str">
        <f t="array" ref="D796">IFERROR(INDEX('Kode Outlet dan Target Toko'!$A:$A,MATCH($I796,'Kode Outlet dan Target Toko'!$E:$E,0)),"")</f>
        <v>GRSM 4</v>
      </c>
      <c r="E796" s="20" t="str">
        <f>IFERROR(VLOOKUP(I796,KET!$B:$F,4,0),"")</f>
        <v>FAHMI LUKMANUL HAKIM</v>
      </c>
      <c r="F796" s="20" t="str">
        <f>IFERROR(VLOOKUP(I796,KET!$B:$F,5,0),"")</f>
        <v>GMM</v>
      </c>
      <c r="G796" s="20">
        <f>IFERROR(INDEX('Kode Outlet dan Target Toko'!$C:$C,MATCH($I796,'Kode Outlet dan Target Toko'!$E:$E,0)),0)</f>
        <v>189901</v>
      </c>
      <c r="H796" s="20">
        <f>IFERROR(INDEX('Kode Outlet dan Target Toko'!$D:$D,MATCH($I796,'Kode Outlet dan Target Toko'!$E:$E,0)),0)</f>
        <v>1602020</v>
      </c>
      <c r="I796" s="50" t="s">
        <v>20</v>
      </c>
      <c r="J796" s="56" t="s">
        <v>253</v>
      </c>
      <c r="K796" s="54" t="s">
        <v>13</v>
      </c>
      <c r="L796" s="23">
        <v>2200</v>
      </c>
      <c r="M796" s="24">
        <v>6</v>
      </c>
      <c r="N796" s="25">
        <f t="shared" si="25"/>
        <v>13200</v>
      </c>
      <c r="O796" s="24"/>
    </row>
    <row r="797" spans="1:15" ht="15.75" hidden="1" customHeight="1" x14ac:dyDescent="0.3">
      <c r="A797" s="24">
        <v>26</v>
      </c>
      <c r="B797" s="20" t="str">
        <f t="shared" si="24"/>
        <v>JUN</v>
      </c>
      <c r="C797" s="21">
        <v>46201</v>
      </c>
      <c r="D797" s="22" t="str">
        <f t="array" ref="D797">IFERROR(INDEX('Kode Outlet dan Target Toko'!$A:$A,MATCH($I797,'Kode Outlet dan Target Toko'!$E:$E,0)),"")</f>
        <v>GRSM 4</v>
      </c>
      <c r="E797" s="20" t="str">
        <f>IFERROR(VLOOKUP(I797,KET!$B:$F,4,0),"")</f>
        <v>FAHMI LUKMANUL HAKIM</v>
      </c>
      <c r="F797" s="20" t="str">
        <f>IFERROR(VLOOKUP(I797,KET!$B:$F,5,0),"")</f>
        <v>GMM</v>
      </c>
      <c r="G797" s="20">
        <f>IFERROR(INDEX('Kode Outlet dan Target Toko'!$C:$C,MATCH($I797,'Kode Outlet dan Target Toko'!$E:$E,0)),0)</f>
        <v>189901</v>
      </c>
      <c r="H797" s="20">
        <f>IFERROR(INDEX('Kode Outlet dan Target Toko'!$D:$D,MATCH($I797,'Kode Outlet dan Target Toko'!$E:$E,0)),0)</f>
        <v>1602020</v>
      </c>
      <c r="I797" s="50" t="s">
        <v>20</v>
      </c>
      <c r="J797" s="56" t="s">
        <v>253</v>
      </c>
      <c r="K797" s="54" t="s">
        <v>16</v>
      </c>
      <c r="L797" s="23">
        <v>2200</v>
      </c>
      <c r="M797" s="24">
        <v>183</v>
      </c>
      <c r="N797" s="25">
        <f t="shared" si="25"/>
        <v>402600</v>
      </c>
      <c r="O797" s="24">
        <v>120</v>
      </c>
    </row>
    <row r="798" spans="1:15" ht="15.75" hidden="1" customHeight="1" x14ac:dyDescent="0.3">
      <c r="A798" s="24">
        <v>26</v>
      </c>
      <c r="B798" s="20" t="str">
        <f t="shared" si="24"/>
        <v>JUN</v>
      </c>
      <c r="C798" s="21">
        <v>46201</v>
      </c>
      <c r="D798" s="22" t="str">
        <f t="array" ref="D798">IFERROR(INDEX('Kode Outlet dan Target Toko'!$A:$A,MATCH($I798,'Kode Outlet dan Target Toko'!$E:$E,0)),"")</f>
        <v>GRSM 4</v>
      </c>
      <c r="E798" s="20" t="str">
        <f>IFERROR(VLOOKUP(I798,KET!$B:$F,4,0),"")</f>
        <v>FAHMI LUKMANUL HAKIM</v>
      </c>
      <c r="F798" s="20" t="str">
        <f>IFERROR(VLOOKUP(I798,KET!$B:$F,5,0),"")</f>
        <v>GMM</v>
      </c>
      <c r="G798" s="20">
        <f>IFERROR(INDEX('Kode Outlet dan Target Toko'!$C:$C,MATCH($I798,'Kode Outlet dan Target Toko'!$E:$E,0)),0)</f>
        <v>189901</v>
      </c>
      <c r="H798" s="20">
        <f>IFERROR(INDEX('Kode Outlet dan Target Toko'!$D:$D,MATCH($I798,'Kode Outlet dan Target Toko'!$E:$E,0)),0)</f>
        <v>1602020</v>
      </c>
      <c r="I798" s="50" t="s">
        <v>20</v>
      </c>
      <c r="J798" s="19" t="s">
        <v>198</v>
      </c>
      <c r="K798" s="54" t="s">
        <v>15</v>
      </c>
      <c r="L798" s="23">
        <v>2200</v>
      </c>
      <c r="M798" s="24">
        <v>40</v>
      </c>
      <c r="N798" s="25">
        <f t="shared" si="25"/>
        <v>88000</v>
      </c>
      <c r="O798" s="24"/>
    </row>
    <row r="799" spans="1:15" ht="15.75" hidden="1" customHeight="1" x14ac:dyDescent="0.3">
      <c r="A799" s="24">
        <v>26</v>
      </c>
      <c r="B799" s="20" t="str">
        <f t="shared" si="24"/>
        <v>JUN</v>
      </c>
      <c r="C799" s="21">
        <v>46201</v>
      </c>
      <c r="D799" s="22" t="str">
        <f t="array" ref="D799">IFERROR(INDEX('Kode Outlet dan Target Toko'!$A:$A,MATCH($I799,'Kode Outlet dan Target Toko'!$E:$E,0)),"")</f>
        <v>GRSM 4</v>
      </c>
      <c r="E799" s="20" t="str">
        <f>IFERROR(VLOOKUP(I799,KET!$B:$F,4,0),"")</f>
        <v>FAHMI LUKMANUL HAKIM</v>
      </c>
      <c r="F799" s="20" t="str">
        <f>IFERROR(VLOOKUP(I799,KET!$B:$F,5,0),"")</f>
        <v>GMM</v>
      </c>
      <c r="G799" s="20">
        <f>IFERROR(INDEX('Kode Outlet dan Target Toko'!$C:$C,MATCH($I799,'Kode Outlet dan Target Toko'!$E:$E,0)),0)</f>
        <v>189901</v>
      </c>
      <c r="H799" s="20">
        <f>IFERROR(INDEX('Kode Outlet dan Target Toko'!$D:$D,MATCH($I799,'Kode Outlet dan Target Toko'!$E:$E,0)),0)</f>
        <v>1602020</v>
      </c>
      <c r="I799" s="50" t="s">
        <v>20</v>
      </c>
      <c r="J799" s="19" t="s">
        <v>198</v>
      </c>
      <c r="K799" s="54" t="s">
        <v>14</v>
      </c>
      <c r="L799" s="23">
        <v>2200</v>
      </c>
      <c r="M799" s="24">
        <v>42</v>
      </c>
      <c r="N799" s="25">
        <f t="shared" si="25"/>
        <v>92400</v>
      </c>
      <c r="O799" s="24"/>
    </row>
    <row r="800" spans="1:15" ht="15.75" hidden="1" customHeight="1" x14ac:dyDescent="0.3">
      <c r="A800" s="24">
        <v>26</v>
      </c>
      <c r="B800" s="20" t="str">
        <f t="shared" si="24"/>
        <v>JUN</v>
      </c>
      <c r="C800" s="21">
        <v>46201</v>
      </c>
      <c r="D800" s="22" t="str">
        <f t="array" ref="D800">IFERROR(INDEX('Kode Outlet dan Target Toko'!$A:$A,MATCH($I800,'Kode Outlet dan Target Toko'!$E:$E,0)),"")</f>
        <v>GRSM 4</v>
      </c>
      <c r="E800" s="20" t="str">
        <f>IFERROR(VLOOKUP(I800,KET!$B:$F,4,0),"")</f>
        <v>FAHMI LUKMANUL HAKIM</v>
      </c>
      <c r="F800" s="20" t="str">
        <f>IFERROR(VLOOKUP(I800,KET!$B:$F,5,0),"")</f>
        <v>GMM</v>
      </c>
      <c r="G800" s="20">
        <f>IFERROR(INDEX('Kode Outlet dan Target Toko'!$C:$C,MATCH($I800,'Kode Outlet dan Target Toko'!$E:$E,0)),0)</f>
        <v>189901</v>
      </c>
      <c r="H800" s="20">
        <f>IFERROR(INDEX('Kode Outlet dan Target Toko'!$D:$D,MATCH($I800,'Kode Outlet dan Target Toko'!$E:$E,0)),0)</f>
        <v>1602020</v>
      </c>
      <c r="I800" s="50" t="s">
        <v>20</v>
      </c>
      <c r="J800" s="19" t="s">
        <v>198</v>
      </c>
      <c r="K800" s="54" t="s">
        <v>13</v>
      </c>
      <c r="L800" s="23">
        <v>2200</v>
      </c>
      <c r="M800" s="24">
        <v>8</v>
      </c>
      <c r="N800" s="25">
        <f t="shared" si="25"/>
        <v>17600</v>
      </c>
      <c r="O800" s="24"/>
    </row>
    <row r="801" spans="1:15" ht="15.75" hidden="1" customHeight="1" x14ac:dyDescent="0.3">
      <c r="A801" s="24">
        <v>26</v>
      </c>
      <c r="B801" s="20" t="str">
        <f t="shared" si="24"/>
        <v>JUN</v>
      </c>
      <c r="C801" s="21">
        <v>46201</v>
      </c>
      <c r="D801" s="22" t="str">
        <f t="array" ref="D801">IFERROR(INDEX('Kode Outlet dan Target Toko'!$A:$A,MATCH($I801,'Kode Outlet dan Target Toko'!$E:$E,0)),"")</f>
        <v>GRSM 4</v>
      </c>
      <c r="E801" s="20" t="str">
        <f>IFERROR(VLOOKUP(I801,KET!$B:$F,4,0),"")</f>
        <v>FAHMI LUKMANUL HAKIM</v>
      </c>
      <c r="F801" s="20" t="str">
        <f>IFERROR(VLOOKUP(I801,KET!$B:$F,5,0),"")</f>
        <v>GMM</v>
      </c>
      <c r="G801" s="20">
        <f>IFERROR(INDEX('Kode Outlet dan Target Toko'!$C:$C,MATCH($I801,'Kode Outlet dan Target Toko'!$E:$E,0)),0)</f>
        <v>189901</v>
      </c>
      <c r="H801" s="20">
        <f>IFERROR(INDEX('Kode Outlet dan Target Toko'!$D:$D,MATCH($I801,'Kode Outlet dan Target Toko'!$E:$E,0)),0)</f>
        <v>1602020</v>
      </c>
      <c r="I801" s="50" t="s">
        <v>20</v>
      </c>
      <c r="J801" s="19" t="s">
        <v>198</v>
      </c>
      <c r="K801" s="54" t="s">
        <v>16</v>
      </c>
      <c r="L801" s="23">
        <v>2200</v>
      </c>
      <c r="M801" s="24">
        <v>179</v>
      </c>
      <c r="N801" s="25">
        <f t="shared" si="25"/>
        <v>393800</v>
      </c>
      <c r="O801" s="24">
        <v>120</v>
      </c>
    </row>
    <row r="802" spans="1:15" ht="15.75" hidden="1" customHeight="1" x14ac:dyDescent="0.3">
      <c r="A802" s="24">
        <v>26</v>
      </c>
      <c r="B802" s="20" t="str">
        <f t="shared" si="24"/>
        <v>JUN</v>
      </c>
      <c r="C802" s="21">
        <v>46200</v>
      </c>
      <c r="D802" s="22" t="str">
        <f t="array" ref="D802">IFERROR(INDEX('Kode Outlet dan Target Toko'!$A:$A,MATCH($I802,'Kode Outlet dan Target Toko'!$E:$E,0)),"")</f>
        <v>GRSM 4</v>
      </c>
      <c r="E802" s="20" t="str">
        <f>IFERROR(VLOOKUP(I802,KET!$B:$F,4,0),"")</f>
        <v>FAHMI LUKMANUL HAKIM</v>
      </c>
      <c r="F802" s="20" t="str">
        <f>IFERROR(VLOOKUP(I802,KET!$B:$F,5,0),"")</f>
        <v>GMM</v>
      </c>
      <c r="G802" s="20">
        <f>IFERROR(INDEX('Kode Outlet dan Target Toko'!$C:$C,MATCH($I802,'Kode Outlet dan Target Toko'!$E:$E,0)),0)</f>
        <v>103259</v>
      </c>
      <c r="H802" s="20">
        <f>IFERROR(INDEX('Kode Outlet dan Target Toko'!$D:$D,MATCH($I802,'Kode Outlet dan Target Toko'!$E:$E,0)),0)</f>
        <v>9013525</v>
      </c>
      <c r="I802" s="50" t="s">
        <v>24</v>
      </c>
      <c r="J802" s="45" t="s">
        <v>188</v>
      </c>
      <c r="K802" s="54" t="s">
        <v>15</v>
      </c>
      <c r="L802" s="23">
        <v>2000</v>
      </c>
      <c r="M802" s="24">
        <v>48</v>
      </c>
      <c r="N802" s="25">
        <f t="shared" si="25"/>
        <v>96000</v>
      </c>
      <c r="O802" s="24"/>
    </row>
    <row r="803" spans="1:15" ht="15.75" hidden="1" customHeight="1" x14ac:dyDescent="0.3">
      <c r="A803" s="24">
        <v>26</v>
      </c>
      <c r="B803" s="20" t="str">
        <f t="shared" si="24"/>
        <v>JUN</v>
      </c>
      <c r="C803" s="21">
        <v>46200</v>
      </c>
      <c r="D803" s="22" t="str">
        <f t="array" ref="D803">IFERROR(INDEX('Kode Outlet dan Target Toko'!$A:$A,MATCH($I803,'Kode Outlet dan Target Toko'!$E:$E,0)),"")</f>
        <v>GRSM 4</v>
      </c>
      <c r="E803" s="20" t="str">
        <f>IFERROR(VLOOKUP(I803,KET!$B:$F,4,0),"")</f>
        <v>FAHMI LUKMANUL HAKIM</v>
      </c>
      <c r="F803" s="20" t="str">
        <f>IFERROR(VLOOKUP(I803,KET!$B:$F,5,0),"")</f>
        <v>GMM</v>
      </c>
      <c r="G803" s="20">
        <f>IFERROR(INDEX('Kode Outlet dan Target Toko'!$C:$C,MATCH($I803,'Kode Outlet dan Target Toko'!$E:$E,0)),0)</f>
        <v>103259</v>
      </c>
      <c r="H803" s="20">
        <f>IFERROR(INDEX('Kode Outlet dan Target Toko'!$D:$D,MATCH($I803,'Kode Outlet dan Target Toko'!$E:$E,0)),0)</f>
        <v>9013525</v>
      </c>
      <c r="I803" s="50" t="s">
        <v>24</v>
      </c>
      <c r="J803" s="45" t="s">
        <v>188</v>
      </c>
      <c r="K803" s="54" t="s">
        <v>14</v>
      </c>
      <c r="L803" s="23">
        <v>2000</v>
      </c>
      <c r="M803" s="24">
        <v>210</v>
      </c>
      <c r="N803" s="25">
        <f t="shared" si="25"/>
        <v>420000</v>
      </c>
      <c r="O803" s="24"/>
    </row>
    <row r="804" spans="1:15" ht="15.75" hidden="1" customHeight="1" x14ac:dyDescent="0.3">
      <c r="A804" s="24">
        <v>26</v>
      </c>
      <c r="B804" s="20" t="str">
        <f t="shared" si="24"/>
        <v>JUN</v>
      </c>
      <c r="C804" s="21">
        <v>46200</v>
      </c>
      <c r="D804" s="22" t="str">
        <f t="array" ref="D804">IFERROR(INDEX('Kode Outlet dan Target Toko'!$A:$A,MATCH($I804,'Kode Outlet dan Target Toko'!$E:$E,0)),"")</f>
        <v>GRSM 4</v>
      </c>
      <c r="E804" s="20" t="str">
        <f>IFERROR(VLOOKUP(I804,KET!$B:$F,4,0),"")</f>
        <v>FAHMI LUKMANUL HAKIM</v>
      </c>
      <c r="F804" s="20" t="str">
        <f>IFERROR(VLOOKUP(I804,KET!$B:$F,5,0),"")</f>
        <v>GMM</v>
      </c>
      <c r="G804" s="20">
        <f>IFERROR(INDEX('Kode Outlet dan Target Toko'!$C:$C,MATCH($I804,'Kode Outlet dan Target Toko'!$E:$E,0)),0)</f>
        <v>103259</v>
      </c>
      <c r="H804" s="20">
        <f>IFERROR(INDEX('Kode Outlet dan Target Toko'!$D:$D,MATCH($I804,'Kode Outlet dan Target Toko'!$E:$E,0)),0)</f>
        <v>9013525</v>
      </c>
      <c r="I804" s="50" t="s">
        <v>24</v>
      </c>
      <c r="J804" s="45" t="s">
        <v>188</v>
      </c>
      <c r="K804" s="54" t="s">
        <v>13</v>
      </c>
      <c r="L804" s="23">
        <v>2000</v>
      </c>
      <c r="M804" s="24">
        <v>18</v>
      </c>
      <c r="N804" s="25">
        <f t="shared" si="25"/>
        <v>36000</v>
      </c>
      <c r="O804" s="24"/>
    </row>
    <row r="805" spans="1:15" ht="15.75" hidden="1" customHeight="1" x14ac:dyDescent="0.3">
      <c r="A805" s="24">
        <v>26</v>
      </c>
      <c r="B805" s="20" t="str">
        <f t="shared" si="24"/>
        <v>JUN</v>
      </c>
      <c r="C805" s="21">
        <v>46200</v>
      </c>
      <c r="D805" s="22" t="str">
        <f t="array" ref="D805">IFERROR(INDEX('Kode Outlet dan Target Toko'!$A:$A,MATCH($I805,'Kode Outlet dan Target Toko'!$E:$E,0)),"")</f>
        <v>GRSM 4</v>
      </c>
      <c r="E805" s="20" t="str">
        <f>IFERROR(VLOOKUP(I805,KET!$B:$F,4,0),"")</f>
        <v>FAHMI LUKMANUL HAKIM</v>
      </c>
      <c r="F805" s="20" t="str">
        <f>IFERROR(VLOOKUP(I805,KET!$B:$F,5,0),"")</f>
        <v>GMM</v>
      </c>
      <c r="G805" s="20">
        <f>IFERROR(INDEX('Kode Outlet dan Target Toko'!$C:$C,MATCH($I805,'Kode Outlet dan Target Toko'!$E:$E,0)),0)</f>
        <v>103259</v>
      </c>
      <c r="H805" s="20">
        <f>IFERROR(INDEX('Kode Outlet dan Target Toko'!$D:$D,MATCH($I805,'Kode Outlet dan Target Toko'!$E:$E,0)),0)</f>
        <v>9013525</v>
      </c>
      <c r="I805" s="50" t="s">
        <v>24</v>
      </c>
      <c r="J805" s="45" t="s">
        <v>188</v>
      </c>
      <c r="K805" s="54" t="s">
        <v>16</v>
      </c>
      <c r="L805" s="23">
        <v>2000</v>
      </c>
      <c r="M805" s="24">
        <v>264</v>
      </c>
      <c r="N805" s="25">
        <f t="shared" si="25"/>
        <v>528000</v>
      </c>
      <c r="O805" s="24">
        <v>160</v>
      </c>
    </row>
    <row r="806" spans="1:15" ht="15.75" hidden="1" customHeight="1" x14ac:dyDescent="0.3">
      <c r="A806" s="24">
        <v>26</v>
      </c>
      <c r="B806" s="20" t="str">
        <f t="shared" si="24"/>
        <v>JUN</v>
      </c>
      <c r="C806" s="21">
        <v>46201</v>
      </c>
      <c r="D806" s="22" t="str">
        <f t="array" ref="D806">IFERROR(INDEX('Kode Outlet dan Target Toko'!$A:$A,MATCH($I806,'Kode Outlet dan Target Toko'!$E:$E,0)),"")</f>
        <v>GRSM 4</v>
      </c>
      <c r="E806" s="20" t="str">
        <f>IFERROR(VLOOKUP(I806,KET!$B:$F,4,0),"")</f>
        <v>FAHMI LUKMANUL HAKIM</v>
      </c>
      <c r="F806" s="20" t="str">
        <f>IFERROR(VLOOKUP(I806,KET!$B:$F,5,0),"")</f>
        <v>GMM</v>
      </c>
      <c r="G806" s="20">
        <f>IFERROR(INDEX('Kode Outlet dan Target Toko'!$C:$C,MATCH($I806,'Kode Outlet dan Target Toko'!$E:$E,0)),0)</f>
        <v>103259</v>
      </c>
      <c r="H806" s="20">
        <f>IFERROR(INDEX('Kode Outlet dan Target Toko'!$D:$D,MATCH($I806,'Kode Outlet dan Target Toko'!$E:$E,0)),0)</f>
        <v>9013525</v>
      </c>
      <c r="I806" s="50" t="s">
        <v>24</v>
      </c>
      <c r="J806" s="19" t="s">
        <v>189</v>
      </c>
      <c r="K806" s="54" t="s">
        <v>15</v>
      </c>
      <c r="L806" s="23">
        <v>2000</v>
      </c>
      <c r="M806" s="24">
        <v>24</v>
      </c>
      <c r="N806" s="25">
        <f t="shared" si="25"/>
        <v>48000</v>
      </c>
      <c r="O806" s="24"/>
    </row>
    <row r="807" spans="1:15" ht="15.75" hidden="1" customHeight="1" x14ac:dyDescent="0.3">
      <c r="A807" s="24">
        <v>26</v>
      </c>
      <c r="B807" s="20" t="str">
        <f t="shared" si="24"/>
        <v>JUN</v>
      </c>
      <c r="C807" s="21">
        <v>46201</v>
      </c>
      <c r="D807" s="22" t="str">
        <f t="array" ref="D807">IFERROR(INDEX('Kode Outlet dan Target Toko'!$A:$A,MATCH($I807,'Kode Outlet dan Target Toko'!$E:$E,0)),"")</f>
        <v>GRSM 4</v>
      </c>
      <c r="E807" s="20" t="str">
        <f>IFERROR(VLOOKUP(I807,KET!$B:$F,4,0),"")</f>
        <v>FAHMI LUKMANUL HAKIM</v>
      </c>
      <c r="F807" s="20" t="str">
        <f>IFERROR(VLOOKUP(I807,KET!$B:$F,5,0),"")</f>
        <v>GMM</v>
      </c>
      <c r="G807" s="20">
        <f>IFERROR(INDEX('Kode Outlet dan Target Toko'!$C:$C,MATCH($I807,'Kode Outlet dan Target Toko'!$E:$E,0)),0)</f>
        <v>103259</v>
      </c>
      <c r="H807" s="20">
        <f>IFERROR(INDEX('Kode Outlet dan Target Toko'!$D:$D,MATCH($I807,'Kode Outlet dan Target Toko'!$E:$E,0)),0)</f>
        <v>9013525</v>
      </c>
      <c r="I807" s="50" t="s">
        <v>24</v>
      </c>
      <c r="J807" s="19" t="s">
        <v>189</v>
      </c>
      <c r="K807" s="54" t="s">
        <v>14</v>
      </c>
      <c r="L807" s="23">
        <v>2000</v>
      </c>
      <c r="M807" s="24">
        <v>240</v>
      </c>
      <c r="N807" s="25">
        <f t="shared" si="25"/>
        <v>480000</v>
      </c>
      <c r="O807" s="24"/>
    </row>
    <row r="808" spans="1:15" ht="15.75" hidden="1" customHeight="1" x14ac:dyDescent="0.3">
      <c r="A808" s="24">
        <v>26</v>
      </c>
      <c r="B808" s="20" t="str">
        <f t="shared" si="24"/>
        <v>JUN</v>
      </c>
      <c r="C808" s="21">
        <v>46201</v>
      </c>
      <c r="D808" s="22" t="str">
        <f t="array" ref="D808">IFERROR(INDEX('Kode Outlet dan Target Toko'!$A:$A,MATCH($I808,'Kode Outlet dan Target Toko'!$E:$E,0)),"")</f>
        <v>GRSM 4</v>
      </c>
      <c r="E808" s="20" t="str">
        <f>IFERROR(VLOOKUP(I808,KET!$B:$F,4,0),"")</f>
        <v>FAHMI LUKMANUL HAKIM</v>
      </c>
      <c r="F808" s="20" t="str">
        <f>IFERROR(VLOOKUP(I808,KET!$B:$F,5,0),"")</f>
        <v>GMM</v>
      </c>
      <c r="G808" s="20">
        <f>IFERROR(INDEX('Kode Outlet dan Target Toko'!$C:$C,MATCH($I808,'Kode Outlet dan Target Toko'!$E:$E,0)),0)</f>
        <v>103259</v>
      </c>
      <c r="H808" s="20">
        <f>IFERROR(INDEX('Kode Outlet dan Target Toko'!$D:$D,MATCH($I808,'Kode Outlet dan Target Toko'!$E:$E,0)),0)</f>
        <v>9013525</v>
      </c>
      <c r="I808" s="50" t="s">
        <v>24</v>
      </c>
      <c r="J808" s="19" t="s">
        <v>189</v>
      </c>
      <c r="K808" s="54" t="s">
        <v>13</v>
      </c>
      <c r="L808" s="23">
        <v>2000</v>
      </c>
      <c r="M808" s="24">
        <v>12</v>
      </c>
      <c r="N808" s="25">
        <f t="shared" si="25"/>
        <v>24000</v>
      </c>
      <c r="O808" s="24"/>
    </row>
    <row r="809" spans="1:15" ht="15.75" hidden="1" customHeight="1" x14ac:dyDescent="0.3">
      <c r="A809" s="24">
        <v>26</v>
      </c>
      <c r="B809" s="20" t="str">
        <f t="shared" si="24"/>
        <v>JUN</v>
      </c>
      <c r="C809" s="21">
        <v>46201</v>
      </c>
      <c r="D809" s="22" t="str">
        <f t="array" ref="D809">IFERROR(INDEX('Kode Outlet dan Target Toko'!$A:$A,MATCH($I809,'Kode Outlet dan Target Toko'!$E:$E,0)),"")</f>
        <v>GRSM 4</v>
      </c>
      <c r="E809" s="20" t="str">
        <f>IFERROR(VLOOKUP(I809,KET!$B:$F,4,0),"")</f>
        <v>FAHMI LUKMANUL HAKIM</v>
      </c>
      <c r="F809" s="20" t="str">
        <f>IFERROR(VLOOKUP(I809,KET!$B:$F,5,0),"")</f>
        <v>GMM</v>
      </c>
      <c r="G809" s="20">
        <f>IFERROR(INDEX('Kode Outlet dan Target Toko'!$C:$C,MATCH($I809,'Kode Outlet dan Target Toko'!$E:$E,0)),0)</f>
        <v>103259</v>
      </c>
      <c r="H809" s="20">
        <f>IFERROR(INDEX('Kode Outlet dan Target Toko'!$D:$D,MATCH($I809,'Kode Outlet dan Target Toko'!$E:$E,0)),0)</f>
        <v>9013525</v>
      </c>
      <c r="I809" s="50" t="s">
        <v>24</v>
      </c>
      <c r="J809" s="19" t="s">
        <v>189</v>
      </c>
      <c r="K809" s="54" t="s">
        <v>16</v>
      </c>
      <c r="L809" s="23">
        <v>2000</v>
      </c>
      <c r="M809" s="24">
        <v>340</v>
      </c>
      <c r="N809" s="25">
        <f t="shared" si="25"/>
        <v>680000</v>
      </c>
      <c r="O809" s="24">
        <v>160</v>
      </c>
    </row>
    <row r="810" spans="1:15" ht="15.75" hidden="1" customHeight="1" x14ac:dyDescent="0.3">
      <c r="A810" s="24">
        <v>26</v>
      </c>
      <c r="B810" s="20" t="str">
        <f t="shared" si="24"/>
        <v>JUN</v>
      </c>
      <c r="C810" s="21">
        <v>46201</v>
      </c>
      <c r="D810" s="22" t="str">
        <f t="array" ref="D810">IFERROR(INDEX('Kode Outlet dan Target Toko'!$A:$A,MATCH($I810,'Kode Outlet dan Target Toko'!$E:$E,0)),"")</f>
        <v>GRSM 4</v>
      </c>
      <c r="E810" s="20" t="str">
        <f>IFERROR(VLOOKUP(I810,KET!$B:$F,4,0),"")</f>
        <v>FAHMI LUKMANUL HAKIM</v>
      </c>
      <c r="F810" s="20" t="str">
        <f>IFERROR(VLOOKUP(I810,KET!$B:$F,5,0),"")</f>
        <v>GMM</v>
      </c>
      <c r="G810" s="20">
        <f>IFERROR(INDEX('Kode Outlet dan Target Toko'!$C:$C,MATCH($I810,'Kode Outlet dan Target Toko'!$E:$E,0)),0)</f>
        <v>103257</v>
      </c>
      <c r="H810" s="20">
        <f>IFERROR(INDEX('Kode Outlet dan Target Toko'!$D:$D,MATCH($I810,'Kode Outlet dan Target Toko'!$E:$E,0)),0)</f>
        <v>9162509</v>
      </c>
      <c r="I810" s="41" t="s">
        <v>23</v>
      </c>
      <c r="J810" s="56" t="s">
        <v>181</v>
      </c>
      <c r="K810" s="54" t="s">
        <v>15</v>
      </c>
      <c r="L810" s="23">
        <v>3200</v>
      </c>
      <c r="M810" s="24">
        <v>55</v>
      </c>
      <c r="N810" s="25">
        <f t="shared" si="25"/>
        <v>176000</v>
      </c>
      <c r="O810" s="24"/>
    </row>
    <row r="811" spans="1:15" ht="15.75" hidden="1" customHeight="1" x14ac:dyDescent="0.3">
      <c r="A811" s="24">
        <v>26</v>
      </c>
      <c r="B811" s="20" t="str">
        <f t="shared" si="24"/>
        <v>JUN</v>
      </c>
      <c r="C811" s="21">
        <v>46201</v>
      </c>
      <c r="D811" s="22" t="str">
        <f t="array" ref="D811">IFERROR(INDEX('Kode Outlet dan Target Toko'!$A:$A,MATCH($I811,'Kode Outlet dan Target Toko'!$E:$E,0)),"")</f>
        <v>GRSM 4</v>
      </c>
      <c r="E811" s="20" t="str">
        <f>IFERROR(VLOOKUP(I811,KET!$B:$F,4,0),"")</f>
        <v>FAHMI LUKMANUL HAKIM</v>
      </c>
      <c r="F811" s="20" t="str">
        <f>IFERROR(VLOOKUP(I811,KET!$B:$F,5,0),"")</f>
        <v>GMM</v>
      </c>
      <c r="G811" s="20">
        <f>IFERROR(INDEX('Kode Outlet dan Target Toko'!$C:$C,MATCH($I811,'Kode Outlet dan Target Toko'!$E:$E,0)),0)</f>
        <v>103257</v>
      </c>
      <c r="H811" s="20">
        <f>IFERROR(INDEX('Kode Outlet dan Target Toko'!$D:$D,MATCH($I811,'Kode Outlet dan Target Toko'!$E:$E,0)),0)</f>
        <v>9162509</v>
      </c>
      <c r="I811" s="41" t="s">
        <v>23</v>
      </c>
      <c r="J811" s="56" t="s">
        <v>181</v>
      </c>
      <c r="K811" s="54" t="s">
        <v>14</v>
      </c>
      <c r="L811" s="23">
        <v>3200</v>
      </c>
      <c r="M811" s="24">
        <v>62</v>
      </c>
      <c r="N811" s="25">
        <f t="shared" si="25"/>
        <v>198400</v>
      </c>
      <c r="O811" s="24"/>
    </row>
    <row r="812" spans="1:15" ht="15.75" hidden="1" customHeight="1" x14ac:dyDescent="0.3">
      <c r="A812" s="24">
        <v>26</v>
      </c>
      <c r="B812" s="20" t="str">
        <f t="shared" si="24"/>
        <v>JUN</v>
      </c>
      <c r="C812" s="21">
        <v>46201</v>
      </c>
      <c r="D812" s="22" t="str">
        <f t="array" ref="D812">IFERROR(INDEX('Kode Outlet dan Target Toko'!$A:$A,MATCH($I812,'Kode Outlet dan Target Toko'!$E:$E,0)),"")</f>
        <v>GRSM 4</v>
      </c>
      <c r="E812" s="20" t="str">
        <f>IFERROR(VLOOKUP(I812,KET!$B:$F,4,0),"")</f>
        <v>FAHMI LUKMANUL HAKIM</v>
      </c>
      <c r="F812" s="20" t="str">
        <f>IFERROR(VLOOKUP(I812,KET!$B:$F,5,0),"")</f>
        <v>GMM</v>
      </c>
      <c r="G812" s="20">
        <f>IFERROR(INDEX('Kode Outlet dan Target Toko'!$C:$C,MATCH($I812,'Kode Outlet dan Target Toko'!$E:$E,0)),0)</f>
        <v>103257</v>
      </c>
      <c r="H812" s="20">
        <f>IFERROR(INDEX('Kode Outlet dan Target Toko'!$D:$D,MATCH($I812,'Kode Outlet dan Target Toko'!$E:$E,0)),0)</f>
        <v>9162509</v>
      </c>
      <c r="I812" s="41" t="s">
        <v>23</v>
      </c>
      <c r="J812" s="56" t="s">
        <v>181</v>
      </c>
      <c r="K812" s="54" t="s">
        <v>13</v>
      </c>
      <c r="L812" s="23">
        <v>3200</v>
      </c>
      <c r="M812" s="24">
        <v>53</v>
      </c>
      <c r="N812" s="25">
        <f t="shared" si="25"/>
        <v>169600</v>
      </c>
      <c r="O812" s="24"/>
    </row>
    <row r="813" spans="1:15" ht="15.75" hidden="1" customHeight="1" x14ac:dyDescent="0.3">
      <c r="A813" s="24">
        <v>26</v>
      </c>
      <c r="B813" s="20" t="str">
        <f t="shared" si="24"/>
        <v>JUN</v>
      </c>
      <c r="C813" s="21">
        <v>46201</v>
      </c>
      <c r="D813" s="22" t="str">
        <f t="array" ref="D813">IFERROR(INDEX('Kode Outlet dan Target Toko'!$A:$A,MATCH($I813,'Kode Outlet dan Target Toko'!$E:$E,0)),"")</f>
        <v>GRSM 4</v>
      </c>
      <c r="E813" s="20" t="str">
        <f>IFERROR(VLOOKUP(I813,KET!$B:$F,4,0),"")</f>
        <v>FAHMI LUKMANUL HAKIM</v>
      </c>
      <c r="F813" s="20" t="str">
        <f>IFERROR(VLOOKUP(I813,KET!$B:$F,5,0),"")</f>
        <v>GMM</v>
      </c>
      <c r="G813" s="20">
        <f>IFERROR(INDEX('Kode Outlet dan Target Toko'!$C:$C,MATCH($I813,'Kode Outlet dan Target Toko'!$E:$E,0)),0)</f>
        <v>103257</v>
      </c>
      <c r="H813" s="20">
        <f>IFERROR(INDEX('Kode Outlet dan Target Toko'!$D:$D,MATCH($I813,'Kode Outlet dan Target Toko'!$E:$E,0)),0)</f>
        <v>9162509</v>
      </c>
      <c r="I813" s="41" t="s">
        <v>23</v>
      </c>
      <c r="J813" s="56" t="s">
        <v>181</v>
      </c>
      <c r="K813" s="54" t="s">
        <v>16</v>
      </c>
      <c r="L813" s="23">
        <v>3200</v>
      </c>
      <c r="M813" s="24">
        <v>91</v>
      </c>
      <c r="N813" s="25">
        <f t="shared" si="25"/>
        <v>291200</v>
      </c>
      <c r="O813" s="24">
        <v>160</v>
      </c>
    </row>
    <row r="814" spans="1:15" ht="15.75" hidden="1" customHeight="1" x14ac:dyDescent="0.3">
      <c r="A814" s="24">
        <v>26</v>
      </c>
      <c r="B814" s="20" t="str">
        <f t="shared" si="24"/>
        <v>JUN</v>
      </c>
      <c r="C814" s="21">
        <v>46199</v>
      </c>
      <c r="D814" s="22" t="str">
        <f t="array" ref="D814">IFERROR(INDEX('Kode Outlet dan Target Toko'!$A:$A,MATCH($I814,'Kode Outlet dan Target Toko'!$E:$E,0)),"")</f>
        <v>GRSM 4</v>
      </c>
      <c r="E814" s="20" t="str">
        <f>IFERROR(VLOOKUP(I814,KET!$B:$F,4,0),"")</f>
        <v>FAHMI LUKMANUL HAKIM</v>
      </c>
      <c r="F814" s="20" t="str">
        <f>IFERROR(VLOOKUP(I814,KET!$B:$F,5,0),"")</f>
        <v>GMM</v>
      </c>
      <c r="G814" s="20">
        <f>IFERROR(INDEX('Kode Outlet dan Target Toko'!$C:$C,MATCH($I814,'Kode Outlet dan Target Toko'!$E:$E,0)),0)</f>
        <v>189901</v>
      </c>
      <c r="H814" s="20">
        <f>IFERROR(INDEX('Kode Outlet dan Target Toko'!$D:$D,MATCH($I814,'Kode Outlet dan Target Toko'!$E:$E,0)),0)</f>
        <v>1602020</v>
      </c>
      <c r="I814" s="50" t="s">
        <v>20</v>
      </c>
      <c r="J814" s="19" t="s">
        <v>198</v>
      </c>
      <c r="K814" s="54" t="s">
        <v>15</v>
      </c>
      <c r="L814" s="24">
        <v>2200</v>
      </c>
      <c r="M814" s="24">
        <v>34</v>
      </c>
      <c r="N814" s="25">
        <f t="shared" si="25"/>
        <v>74800</v>
      </c>
      <c r="O814" s="24"/>
    </row>
    <row r="815" spans="1:15" ht="15.75" hidden="1" customHeight="1" x14ac:dyDescent="0.3">
      <c r="A815" s="24">
        <v>26</v>
      </c>
      <c r="B815" s="20" t="str">
        <f t="shared" si="24"/>
        <v>JUN</v>
      </c>
      <c r="C815" s="21">
        <v>46199</v>
      </c>
      <c r="D815" s="22" t="str">
        <f t="array" ref="D815">IFERROR(INDEX('Kode Outlet dan Target Toko'!$A:$A,MATCH($I815,'Kode Outlet dan Target Toko'!$E:$E,0)),"")</f>
        <v>GRSM 4</v>
      </c>
      <c r="E815" s="20" t="str">
        <f>IFERROR(VLOOKUP(I815,KET!$B:$F,4,0),"")</f>
        <v>FAHMI LUKMANUL HAKIM</v>
      </c>
      <c r="F815" s="20" t="str">
        <f>IFERROR(VLOOKUP(I815,KET!$B:$F,5,0),"")</f>
        <v>GMM</v>
      </c>
      <c r="G815" s="20">
        <f>IFERROR(INDEX('Kode Outlet dan Target Toko'!$C:$C,MATCH($I815,'Kode Outlet dan Target Toko'!$E:$E,0)),0)</f>
        <v>189901</v>
      </c>
      <c r="H815" s="20">
        <f>IFERROR(INDEX('Kode Outlet dan Target Toko'!$D:$D,MATCH($I815,'Kode Outlet dan Target Toko'!$E:$E,0)),0)</f>
        <v>1602020</v>
      </c>
      <c r="I815" s="50" t="s">
        <v>20</v>
      </c>
      <c r="J815" s="19" t="s">
        <v>198</v>
      </c>
      <c r="K815" s="54" t="s">
        <v>14</v>
      </c>
      <c r="L815" s="24">
        <v>2200</v>
      </c>
      <c r="M815" s="24">
        <v>52</v>
      </c>
      <c r="N815" s="25">
        <f t="shared" si="25"/>
        <v>114400</v>
      </c>
      <c r="O815" s="24"/>
    </row>
    <row r="816" spans="1:15" ht="15.75" hidden="1" customHeight="1" x14ac:dyDescent="0.3">
      <c r="A816" s="24">
        <v>26</v>
      </c>
      <c r="B816" s="20" t="str">
        <f t="shared" si="24"/>
        <v>JUN</v>
      </c>
      <c r="C816" s="21">
        <v>46199</v>
      </c>
      <c r="D816" s="22" t="str">
        <f t="array" ref="D816">IFERROR(INDEX('Kode Outlet dan Target Toko'!$A:$A,MATCH($I816,'Kode Outlet dan Target Toko'!$E:$E,0)),"")</f>
        <v>GRSM 4</v>
      </c>
      <c r="E816" s="20" t="str">
        <f>IFERROR(VLOOKUP(I816,KET!$B:$F,4,0),"")</f>
        <v>FAHMI LUKMANUL HAKIM</v>
      </c>
      <c r="F816" s="20" t="str">
        <f>IFERROR(VLOOKUP(I816,KET!$B:$F,5,0),"")</f>
        <v>GMM</v>
      </c>
      <c r="G816" s="20">
        <f>IFERROR(INDEX('Kode Outlet dan Target Toko'!$C:$C,MATCH($I816,'Kode Outlet dan Target Toko'!$E:$E,0)),0)</f>
        <v>189901</v>
      </c>
      <c r="H816" s="20">
        <f>IFERROR(INDEX('Kode Outlet dan Target Toko'!$D:$D,MATCH($I816,'Kode Outlet dan Target Toko'!$E:$E,0)),0)</f>
        <v>1602020</v>
      </c>
      <c r="I816" s="50" t="s">
        <v>20</v>
      </c>
      <c r="J816" s="19" t="s">
        <v>198</v>
      </c>
      <c r="K816" s="54" t="s">
        <v>13</v>
      </c>
      <c r="L816" s="24">
        <v>2200</v>
      </c>
      <c r="M816" s="24">
        <v>9</v>
      </c>
      <c r="N816" s="25">
        <f t="shared" si="25"/>
        <v>19800</v>
      </c>
      <c r="O816" s="24"/>
    </row>
    <row r="817" spans="1:15" ht="15.75" hidden="1" customHeight="1" x14ac:dyDescent="0.3">
      <c r="A817" s="24">
        <v>26</v>
      </c>
      <c r="B817" s="20" t="str">
        <f t="shared" si="24"/>
        <v>JUN</v>
      </c>
      <c r="C817" s="21">
        <v>46199</v>
      </c>
      <c r="D817" s="22" t="str">
        <f t="array" ref="D817">IFERROR(INDEX('Kode Outlet dan Target Toko'!$A:$A,MATCH($I817,'Kode Outlet dan Target Toko'!$E:$E,0)),"")</f>
        <v>GRSM 4</v>
      </c>
      <c r="E817" s="20" t="str">
        <f>IFERROR(VLOOKUP(I817,KET!$B:$F,4,0),"")</f>
        <v>FAHMI LUKMANUL HAKIM</v>
      </c>
      <c r="F817" s="20" t="str">
        <f>IFERROR(VLOOKUP(I817,KET!$B:$F,5,0),"")</f>
        <v>GMM</v>
      </c>
      <c r="G817" s="20">
        <f>IFERROR(INDEX('Kode Outlet dan Target Toko'!$C:$C,MATCH($I817,'Kode Outlet dan Target Toko'!$E:$E,0)),0)</f>
        <v>189901</v>
      </c>
      <c r="H817" s="20">
        <f>IFERROR(INDEX('Kode Outlet dan Target Toko'!$D:$D,MATCH($I817,'Kode Outlet dan Target Toko'!$E:$E,0)),0)</f>
        <v>1602020</v>
      </c>
      <c r="I817" s="50" t="s">
        <v>20</v>
      </c>
      <c r="J817" s="19" t="s">
        <v>198</v>
      </c>
      <c r="K817" s="54" t="s">
        <v>16</v>
      </c>
      <c r="L817" s="24">
        <v>2200</v>
      </c>
      <c r="M817" s="24">
        <v>127</v>
      </c>
      <c r="N817" s="25">
        <f t="shared" si="25"/>
        <v>279400</v>
      </c>
      <c r="O817" s="24">
        <v>120</v>
      </c>
    </row>
    <row r="818" spans="1:15" ht="15.75" hidden="1" customHeight="1" x14ac:dyDescent="0.3">
      <c r="A818" s="24">
        <v>26</v>
      </c>
      <c r="B818" s="20" t="str">
        <f t="shared" si="24"/>
        <v>JUN</v>
      </c>
      <c r="C818" s="21">
        <v>46199</v>
      </c>
      <c r="D818" s="22" t="str">
        <f t="array" ref="D818">IFERROR(INDEX('Kode Outlet dan Target Toko'!$A:$A,MATCH($I818,'Kode Outlet dan Target Toko'!$E:$E,0)),"")</f>
        <v>GRSM 4</v>
      </c>
      <c r="E818" s="20" t="str">
        <f>IFERROR(VLOOKUP(I818,KET!$B:$F,4,0),"")</f>
        <v>FAHMI LUKMANUL HAKIM</v>
      </c>
      <c r="F818" s="20" t="str">
        <f>IFERROR(VLOOKUP(I818,KET!$B:$F,5,0),"")</f>
        <v>GMM</v>
      </c>
      <c r="G818" s="20">
        <f>IFERROR(INDEX('Kode Outlet dan Target Toko'!$C:$C,MATCH($I818,'Kode Outlet dan Target Toko'!$E:$E,0)),0)</f>
        <v>103259</v>
      </c>
      <c r="H818" s="20">
        <f>IFERROR(INDEX('Kode Outlet dan Target Toko'!$D:$D,MATCH($I818,'Kode Outlet dan Target Toko'!$E:$E,0)),0)</f>
        <v>9029389</v>
      </c>
      <c r="I818" s="50" t="s">
        <v>18</v>
      </c>
      <c r="J818" s="19" t="s">
        <v>196</v>
      </c>
      <c r="K818" s="54" t="s">
        <v>15</v>
      </c>
      <c r="L818" s="24">
        <v>2000</v>
      </c>
      <c r="M818" s="24">
        <v>51</v>
      </c>
      <c r="N818" s="25">
        <f t="shared" si="25"/>
        <v>102000</v>
      </c>
      <c r="O818" s="24"/>
    </row>
    <row r="819" spans="1:15" ht="15.75" hidden="1" customHeight="1" x14ac:dyDescent="0.3">
      <c r="A819" s="24">
        <v>26</v>
      </c>
      <c r="B819" s="20" t="str">
        <f t="shared" si="24"/>
        <v>JUN</v>
      </c>
      <c r="C819" s="21">
        <v>46199</v>
      </c>
      <c r="D819" s="22" t="str">
        <f t="array" ref="D819">IFERROR(INDEX('Kode Outlet dan Target Toko'!$A:$A,MATCH($I819,'Kode Outlet dan Target Toko'!$E:$E,0)),"")</f>
        <v>GRSM 4</v>
      </c>
      <c r="E819" s="20" t="str">
        <f>IFERROR(VLOOKUP(I819,KET!$B:$F,4,0),"")</f>
        <v>FAHMI LUKMANUL HAKIM</v>
      </c>
      <c r="F819" s="20" t="str">
        <f>IFERROR(VLOOKUP(I819,KET!$B:$F,5,0),"")</f>
        <v>GMM</v>
      </c>
      <c r="G819" s="20">
        <f>IFERROR(INDEX('Kode Outlet dan Target Toko'!$C:$C,MATCH($I819,'Kode Outlet dan Target Toko'!$E:$E,0)),0)</f>
        <v>103259</v>
      </c>
      <c r="H819" s="20">
        <f>IFERROR(INDEX('Kode Outlet dan Target Toko'!$D:$D,MATCH($I819,'Kode Outlet dan Target Toko'!$E:$E,0)),0)</f>
        <v>9029389</v>
      </c>
      <c r="I819" s="50" t="s">
        <v>18</v>
      </c>
      <c r="J819" s="19" t="s">
        <v>196</v>
      </c>
      <c r="K819" s="54" t="s">
        <v>14</v>
      </c>
      <c r="L819" s="24">
        <v>2000</v>
      </c>
      <c r="M819" s="24">
        <v>57</v>
      </c>
      <c r="N819" s="25">
        <f t="shared" si="25"/>
        <v>114000</v>
      </c>
      <c r="O819" s="24"/>
    </row>
    <row r="820" spans="1:15" ht="15.75" hidden="1" customHeight="1" x14ac:dyDescent="0.3">
      <c r="A820" s="24">
        <v>26</v>
      </c>
      <c r="B820" s="20" t="str">
        <f t="shared" si="24"/>
        <v>JUN</v>
      </c>
      <c r="C820" s="21">
        <v>46199</v>
      </c>
      <c r="D820" s="22" t="str">
        <f t="array" ref="D820">IFERROR(INDEX('Kode Outlet dan Target Toko'!$A:$A,MATCH($I820,'Kode Outlet dan Target Toko'!$E:$E,0)),"")</f>
        <v>GRSM 4</v>
      </c>
      <c r="E820" s="20" t="str">
        <f>IFERROR(VLOOKUP(I820,KET!$B:$F,4,0),"")</f>
        <v>FAHMI LUKMANUL HAKIM</v>
      </c>
      <c r="F820" s="20" t="str">
        <f>IFERROR(VLOOKUP(I820,KET!$B:$F,5,0),"")</f>
        <v>GMM</v>
      </c>
      <c r="G820" s="20">
        <f>IFERROR(INDEX('Kode Outlet dan Target Toko'!$C:$C,MATCH($I820,'Kode Outlet dan Target Toko'!$E:$E,0)),0)</f>
        <v>103259</v>
      </c>
      <c r="H820" s="20">
        <f>IFERROR(INDEX('Kode Outlet dan Target Toko'!$D:$D,MATCH($I820,'Kode Outlet dan Target Toko'!$E:$E,0)),0)</f>
        <v>9029389</v>
      </c>
      <c r="I820" s="50" t="s">
        <v>18</v>
      </c>
      <c r="J820" s="19" t="s">
        <v>196</v>
      </c>
      <c r="K820" s="54" t="s">
        <v>13</v>
      </c>
      <c r="L820" s="24">
        <v>2000</v>
      </c>
      <c r="M820" s="24">
        <v>27</v>
      </c>
      <c r="N820" s="25">
        <f t="shared" si="25"/>
        <v>54000</v>
      </c>
      <c r="O820" s="24"/>
    </row>
    <row r="821" spans="1:15" ht="15.75" hidden="1" customHeight="1" x14ac:dyDescent="0.3">
      <c r="A821" s="24">
        <v>26</v>
      </c>
      <c r="B821" s="20" t="str">
        <f t="shared" si="24"/>
        <v>JUN</v>
      </c>
      <c r="C821" s="21">
        <v>46199</v>
      </c>
      <c r="D821" s="22" t="str">
        <f t="array" ref="D821">IFERROR(INDEX('Kode Outlet dan Target Toko'!$A:$A,MATCH($I821,'Kode Outlet dan Target Toko'!$E:$E,0)),"")</f>
        <v>GRSM 4</v>
      </c>
      <c r="E821" s="20" t="str">
        <f>IFERROR(VLOOKUP(I821,KET!$B:$F,4,0),"")</f>
        <v>FAHMI LUKMANUL HAKIM</v>
      </c>
      <c r="F821" s="20" t="str">
        <f>IFERROR(VLOOKUP(I821,KET!$B:$F,5,0),"")</f>
        <v>GMM</v>
      </c>
      <c r="G821" s="20">
        <f>IFERROR(INDEX('Kode Outlet dan Target Toko'!$C:$C,MATCH($I821,'Kode Outlet dan Target Toko'!$E:$E,0)),0)</f>
        <v>103259</v>
      </c>
      <c r="H821" s="20">
        <f>IFERROR(INDEX('Kode Outlet dan Target Toko'!$D:$D,MATCH($I821,'Kode Outlet dan Target Toko'!$E:$E,0)),0)</f>
        <v>9029389</v>
      </c>
      <c r="I821" s="50" t="s">
        <v>18</v>
      </c>
      <c r="J821" s="19" t="s">
        <v>196</v>
      </c>
      <c r="K821" s="54" t="s">
        <v>16</v>
      </c>
      <c r="L821" s="24">
        <v>2000</v>
      </c>
      <c r="M821" s="24">
        <v>72</v>
      </c>
      <c r="N821" s="25">
        <f t="shared" si="25"/>
        <v>144000</v>
      </c>
      <c r="O821" s="24">
        <v>160</v>
      </c>
    </row>
    <row r="822" spans="1:15" ht="15.75" hidden="1" customHeight="1" x14ac:dyDescent="0.3">
      <c r="A822" s="24">
        <v>26</v>
      </c>
      <c r="B822" s="20" t="str">
        <f t="shared" si="24"/>
        <v>JUN</v>
      </c>
      <c r="C822" s="21">
        <v>46201</v>
      </c>
      <c r="D822" s="22" t="str">
        <f t="array" ref="D822">IFERROR(INDEX('Kode Outlet dan Target Toko'!$A:$A,MATCH($I822,'Kode Outlet dan Target Toko'!$E:$E,0)),"")</f>
        <v>GRSM 4</v>
      </c>
      <c r="E822" s="20" t="str">
        <f>IFERROR(VLOOKUP(I822,KET!$B:$F,4,0),"")</f>
        <v>FAHMI LUKMANUL HAKIM</v>
      </c>
      <c r="F822" s="20" t="str">
        <f>IFERROR(VLOOKUP(I822,KET!$B:$F,5,0),"")</f>
        <v>GMM</v>
      </c>
      <c r="G822" s="20">
        <f>IFERROR(INDEX('Kode Outlet dan Target Toko'!$C:$C,MATCH($I822,'Kode Outlet dan Target Toko'!$E:$E,0)),0)</f>
        <v>103258</v>
      </c>
      <c r="H822" s="20">
        <f>IFERROR(INDEX('Kode Outlet dan Target Toko'!$D:$D,MATCH($I822,'Kode Outlet dan Target Toko'!$E:$E,0)),0)</f>
        <v>9210369</v>
      </c>
      <c r="I822" s="50" t="s">
        <v>28</v>
      </c>
      <c r="J822" s="19" t="s">
        <v>187</v>
      </c>
      <c r="K822" s="54" t="s">
        <v>15</v>
      </c>
      <c r="L822" s="24">
        <v>3500</v>
      </c>
      <c r="M822" s="24">
        <v>35</v>
      </c>
      <c r="N822" s="25">
        <f t="shared" si="25"/>
        <v>122500</v>
      </c>
      <c r="O822" s="24"/>
    </row>
    <row r="823" spans="1:15" ht="15.75" hidden="1" customHeight="1" x14ac:dyDescent="0.3">
      <c r="A823" s="24">
        <v>26</v>
      </c>
      <c r="B823" s="20" t="str">
        <f t="shared" si="24"/>
        <v>JUN</v>
      </c>
      <c r="C823" s="21">
        <v>46201</v>
      </c>
      <c r="D823" s="22" t="str">
        <f t="array" ref="D823">IFERROR(INDEX('Kode Outlet dan Target Toko'!$A:$A,MATCH($I823,'Kode Outlet dan Target Toko'!$E:$E,0)),"")</f>
        <v>GRSM 4</v>
      </c>
      <c r="E823" s="20" t="str">
        <f>IFERROR(VLOOKUP(I823,KET!$B:$F,4,0),"")</f>
        <v>FAHMI LUKMANUL HAKIM</v>
      </c>
      <c r="F823" s="20" t="str">
        <f>IFERROR(VLOOKUP(I823,KET!$B:$F,5,0),"")</f>
        <v>GMM</v>
      </c>
      <c r="G823" s="20">
        <f>IFERROR(INDEX('Kode Outlet dan Target Toko'!$C:$C,MATCH($I823,'Kode Outlet dan Target Toko'!$E:$E,0)),0)</f>
        <v>103258</v>
      </c>
      <c r="H823" s="20">
        <f>IFERROR(INDEX('Kode Outlet dan Target Toko'!$D:$D,MATCH($I823,'Kode Outlet dan Target Toko'!$E:$E,0)),0)</f>
        <v>9210369</v>
      </c>
      <c r="I823" s="50" t="s">
        <v>28</v>
      </c>
      <c r="J823" s="19" t="s">
        <v>187</v>
      </c>
      <c r="K823" s="54" t="s">
        <v>14</v>
      </c>
      <c r="L823" s="24">
        <v>3500</v>
      </c>
      <c r="M823" s="24">
        <v>45</v>
      </c>
      <c r="N823" s="25">
        <f t="shared" si="25"/>
        <v>157500</v>
      </c>
      <c r="O823" s="24"/>
    </row>
    <row r="824" spans="1:15" ht="15.75" hidden="1" customHeight="1" x14ac:dyDescent="0.3">
      <c r="A824" s="24">
        <v>26</v>
      </c>
      <c r="B824" s="20" t="str">
        <f t="shared" si="24"/>
        <v>JUN</v>
      </c>
      <c r="C824" s="21">
        <v>46201</v>
      </c>
      <c r="D824" s="22" t="str">
        <f t="array" ref="D824">IFERROR(INDEX('Kode Outlet dan Target Toko'!$A:$A,MATCH($I824,'Kode Outlet dan Target Toko'!$E:$E,0)),"")</f>
        <v>GRSM 4</v>
      </c>
      <c r="E824" s="20" t="str">
        <f>IFERROR(VLOOKUP(I824,KET!$B:$F,4,0),"")</f>
        <v>FAHMI LUKMANUL HAKIM</v>
      </c>
      <c r="F824" s="20" t="str">
        <f>IFERROR(VLOOKUP(I824,KET!$B:$F,5,0),"")</f>
        <v>GMM</v>
      </c>
      <c r="G824" s="20">
        <f>IFERROR(INDEX('Kode Outlet dan Target Toko'!$C:$C,MATCH($I824,'Kode Outlet dan Target Toko'!$E:$E,0)),0)</f>
        <v>103258</v>
      </c>
      <c r="H824" s="20">
        <f>IFERROR(INDEX('Kode Outlet dan Target Toko'!$D:$D,MATCH($I824,'Kode Outlet dan Target Toko'!$E:$E,0)),0)</f>
        <v>9210369</v>
      </c>
      <c r="I824" s="50" t="s">
        <v>28</v>
      </c>
      <c r="J824" s="19" t="s">
        <v>187</v>
      </c>
      <c r="K824" s="54" t="s">
        <v>13</v>
      </c>
      <c r="L824" s="24">
        <v>3500</v>
      </c>
      <c r="M824" s="24">
        <v>25</v>
      </c>
      <c r="N824" s="25">
        <f t="shared" si="25"/>
        <v>87500</v>
      </c>
      <c r="O824" s="24"/>
    </row>
    <row r="825" spans="1:15" ht="15.75" hidden="1" customHeight="1" x14ac:dyDescent="0.3">
      <c r="A825" s="24">
        <v>26</v>
      </c>
      <c r="B825" s="20" t="str">
        <f t="shared" si="24"/>
        <v>JUN</v>
      </c>
      <c r="C825" s="21">
        <v>46201</v>
      </c>
      <c r="D825" s="22" t="str">
        <f t="array" ref="D825">IFERROR(INDEX('Kode Outlet dan Target Toko'!$A:$A,MATCH($I825,'Kode Outlet dan Target Toko'!$E:$E,0)),"")</f>
        <v>GRSM 4</v>
      </c>
      <c r="E825" s="20" t="str">
        <f>IFERROR(VLOOKUP(I825,KET!$B:$F,4,0),"")</f>
        <v>FAHMI LUKMANUL HAKIM</v>
      </c>
      <c r="F825" s="20" t="str">
        <f>IFERROR(VLOOKUP(I825,KET!$B:$F,5,0),"")</f>
        <v>GMM</v>
      </c>
      <c r="G825" s="20">
        <f>IFERROR(INDEX('Kode Outlet dan Target Toko'!$C:$C,MATCH($I825,'Kode Outlet dan Target Toko'!$E:$E,0)),0)</f>
        <v>103258</v>
      </c>
      <c r="H825" s="20">
        <f>IFERROR(INDEX('Kode Outlet dan Target Toko'!$D:$D,MATCH($I825,'Kode Outlet dan Target Toko'!$E:$E,0)),0)</f>
        <v>9210369</v>
      </c>
      <c r="I825" s="50" t="s">
        <v>28</v>
      </c>
      <c r="J825" s="19" t="s">
        <v>187</v>
      </c>
      <c r="K825" s="54" t="s">
        <v>16</v>
      </c>
      <c r="L825" s="24">
        <v>3500</v>
      </c>
      <c r="M825" s="24">
        <v>15</v>
      </c>
      <c r="N825" s="25">
        <f t="shared" si="25"/>
        <v>52500</v>
      </c>
      <c r="O825" s="24">
        <v>160</v>
      </c>
    </row>
    <row r="826" spans="1:15" ht="15.75" hidden="1" customHeight="1" x14ac:dyDescent="0.3">
      <c r="A826" s="24">
        <v>26</v>
      </c>
      <c r="B826" s="20" t="str">
        <f t="shared" si="24"/>
        <v>JUN</v>
      </c>
      <c r="C826" s="21">
        <v>46201</v>
      </c>
      <c r="D826" s="22" t="str">
        <f t="array" ref="D826">IFERROR(INDEX('Kode Outlet dan Target Toko'!$A:$A,MATCH($I826,'Kode Outlet dan Target Toko'!$E:$E,0)),"")</f>
        <v>GRSM 4</v>
      </c>
      <c r="E826" s="20" t="str">
        <f>IFERROR(VLOOKUP(I826,KET!$B:$F,4,0),"")</f>
        <v>FAHMI LUKMANUL HAKIM</v>
      </c>
      <c r="F826" s="20" t="str">
        <f>IFERROR(VLOOKUP(I826,KET!$B:$F,5,0),"")</f>
        <v>GMM</v>
      </c>
      <c r="G826" s="20">
        <f>IFERROR(INDEX('Kode Outlet dan Target Toko'!$C:$C,MATCH($I826,'Kode Outlet dan Target Toko'!$E:$E,0)),0)</f>
        <v>103258</v>
      </c>
      <c r="H826" s="20">
        <f>IFERROR(INDEX('Kode Outlet dan Target Toko'!$D:$D,MATCH($I826,'Kode Outlet dan Target Toko'!$E:$E,0)),0)</f>
        <v>9210369</v>
      </c>
      <c r="I826" s="50" t="s">
        <v>28</v>
      </c>
      <c r="J826" s="27" t="s">
        <v>186</v>
      </c>
      <c r="K826" s="54" t="s">
        <v>15</v>
      </c>
      <c r="L826" s="24">
        <v>3500</v>
      </c>
      <c r="M826" s="24">
        <v>40</v>
      </c>
      <c r="N826" s="25">
        <f t="shared" si="25"/>
        <v>140000</v>
      </c>
      <c r="O826" s="24"/>
    </row>
    <row r="827" spans="1:15" ht="15.75" hidden="1" customHeight="1" x14ac:dyDescent="0.3">
      <c r="A827" s="24">
        <v>26</v>
      </c>
      <c r="B827" s="20" t="str">
        <f t="shared" si="24"/>
        <v>JUN</v>
      </c>
      <c r="C827" s="21">
        <v>46201</v>
      </c>
      <c r="D827" s="22" t="str">
        <f t="array" ref="D827">IFERROR(INDEX('Kode Outlet dan Target Toko'!$A:$A,MATCH($I827,'Kode Outlet dan Target Toko'!$E:$E,0)),"")</f>
        <v>GRSM 4</v>
      </c>
      <c r="E827" s="20" t="str">
        <f>IFERROR(VLOOKUP(I827,KET!$B:$F,4,0),"")</f>
        <v>FAHMI LUKMANUL HAKIM</v>
      </c>
      <c r="F827" s="20" t="str">
        <f>IFERROR(VLOOKUP(I827,KET!$B:$F,5,0),"")</f>
        <v>GMM</v>
      </c>
      <c r="G827" s="20">
        <f>IFERROR(INDEX('Kode Outlet dan Target Toko'!$C:$C,MATCH($I827,'Kode Outlet dan Target Toko'!$E:$E,0)),0)</f>
        <v>103258</v>
      </c>
      <c r="H827" s="20">
        <f>IFERROR(INDEX('Kode Outlet dan Target Toko'!$D:$D,MATCH($I827,'Kode Outlet dan Target Toko'!$E:$E,0)),0)</f>
        <v>9210369</v>
      </c>
      <c r="I827" s="50" t="s">
        <v>28</v>
      </c>
      <c r="J827" s="27" t="s">
        <v>186</v>
      </c>
      <c r="K827" s="54" t="s">
        <v>14</v>
      </c>
      <c r="L827" s="24">
        <v>3500</v>
      </c>
      <c r="M827" s="24">
        <v>45</v>
      </c>
      <c r="N827" s="25">
        <f t="shared" si="25"/>
        <v>157500</v>
      </c>
      <c r="O827" s="24"/>
    </row>
    <row r="828" spans="1:15" ht="15.75" hidden="1" customHeight="1" x14ac:dyDescent="0.3">
      <c r="A828" s="24">
        <v>26</v>
      </c>
      <c r="B828" s="20" t="str">
        <f t="shared" si="24"/>
        <v>JUN</v>
      </c>
      <c r="C828" s="21">
        <v>46201</v>
      </c>
      <c r="D828" s="22" t="str">
        <f t="array" ref="D828">IFERROR(INDEX('Kode Outlet dan Target Toko'!$A:$A,MATCH($I828,'Kode Outlet dan Target Toko'!$E:$E,0)),"")</f>
        <v>GRSM 4</v>
      </c>
      <c r="E828" s="20" t="str">
        <f>IFERROR(VLOOKUP(I828,KET!$B:$F,4,0),"")</f>
        <v>FAHMI LUKMANUL HAKIM</v>
      </c>
      <c r="F828" s="20" t="str">
        <f>IFERROR(VLOOKUP(I828,KET!$B:$F,5,0),"")</f>
        <v>GMM</v>
      </c>
      <c r="G828" s="20">
        <f>IFERROR(INDEX('Kode Outlet dan Target Toko'!$C:$C,MATCH($I828,'Kode Outlet dan Target Toko'!$E:$E,0)),0)</f>
        <v>103258</v>
      </c>
      <c r="H828" s="20">
        <f>IFERROR(INDEX('Kode Outlet dan Target Toko'!$D:$D,MATCH($I828,'Kode Outlet dan Target Toko'!$E:$E,0)),0)</f>
        <v>9210369</v>
      </c>
      <c r="I828" s="50" t="s">
        <v>28</v>
      </c>
      <c r="J828" s="27" t="s">
        <v>186</v>
      </c>
      <c r="K828" s="54" t="s">
        <v>13</v>
      </c>
      <c r="L828" s="24">
        <v>3500</v>
      </c>
      <c r="M828" s="24">
        <v>25</v>
      </c>
      <c r="N828" s="25">
        <f t="shared" si="25"/>
        <v>87500</v>
      </c>
      <c r="O828" s="24"/>
    </row>
    <row r="829" spans="1:15" ht="15.75" hidden="1" customHeight="1" x14ac:dyDescent="0.3">
      <c r="A829" s="24">
        <v>26</v>
      </c>
      <c r="B829" s="20" t="str">
        <f t="shared" si="24"/>
        <v>JUN</v>
      </c>
      <c r="C829" s="21">
        <v>46201</v>
      </c>
      <c r="D829" s="22" t="str">
        <f t="array" ref="D829">IFERROR(INDEX('Kode Outlet dan Target Toko'!$A:$A,MATCH($I829,'Kode Outlet dan Target Toko'!$E:$E,0)),"")</f>
        <v>GRSM 4</v>
      </c>
      <c r="E829" s="20" t="str">
        <f>IFERROR(VLOOKUP(I829,KET!$B:$F,4,0),"")</f>
        <v>FAHMI LUKMANUL HAKIM</v>
      </c>
      <c r="F829" s="20" t="str">
        <f>IFERROR(VLOOKUP(I829,KET!$B:$F,5,0),"")</f>
        <v>GMM</v>
      </c>
      <c r="G829" s="20">
        <f>IFERROR(INDEX('Kode Outlet dan Target Toko'!$C:$C,MATCH($I829,'Kode Outlet dan Target Toko'!$E:$E,0)),0)</f>
        <v>103258</v>
      </c>
      <c r="H829" s="20">
        <f>IFERROR(INDEX('Kode Outlet dan Target Toko'!$D:$D,MATCH($I829,'Kode Outlet dan Target Toko'!$E:$E,0)),0)</f>
        <v>9210369</v>
      </c>
      <c r="I829" s="50" t="s">
        <v>28</v>
      </c>
      <c r="J829" s="27" t="s">
        <v>186</v>
      </c>
      <c r="K829" s="54" t="s">
        <v>16</v>
      </c>
      <c r="L829" s="24">
        <v>3500</v>
      </c>
      <c r="M829" s="24">
        <v>15</v>
      </c>
      <c r="N829" s="25">
        <f t="shared" si="25"/>
        <v>52500</v>
      </c>
      <c r="O829" s="24">
        <v>160</v>
      </c>
    </row>
    <row r="830" spans="1:15" ht="15.75" hidden="1" customHeight="1" x14ac:dyDescent="0.3">
      <c r="A830" s="24">
        <v>27</v>
      </c>
      <c r="B830" s="20" t="str">
        <f t="shared" si="24"/>
        <v>JUL</v>
      </c>
      <c r="C830" s="21">
        <v>46206</v>
      </c>
      <c r="D830" s="22" t="str">
        <f t="array" ref="D830">IFERROR(INDEX('Kode Outlet dan Target Toko'!$A:$A,MATCH($I830,'Kode Outlet dan Target Toko'!$E:$E,0)),"")</f>
        <v>GRSM 4</v>
      </c>
      <c r="E830" s="20" t="str">
        <f>IFERROR(VLOOKUP(I830,KET!$B:$F,4,0),"")</f>
        <v>FAHMI LUKMANUL HAKIM</v>
      </c>
      <c r="F830" s="20" t="str">
        <f>IFERROR(VLOOKUP(I830,KET!$B:$F,5,0),"")</f>
        <v>GMM</v>
      </c>
      <c r="G830" s="20">
        <f>IFERROR(INDEX('Kode Outlet dan Target Toko'!$C:$C,MATCH($I830,'Kode Outlet dan Target Toko'!$E:$E,0)),0)</f>
        <v>103257</v>
      </c>
      <c r="H830" s="20">
        <f>IFERROR(INDEX('Kode Outlet dan Target Toko'!$D:$D,MATCH($I830,'Kode Outlet dan Target Toko'!$E:$E,0)),0)</f>
        <v>9162509</v>
      </c>
      <c r="I830" s="41" t="s">
        <v>23</v>
      </c>
      <c r="J830" s="19" t="s">
        <v>180</v>
      </c>
      <c r="K830" s="54" t="s">
        <v>15</v>
      </c>
      <c r="L830" s="24">
        <v>3100</v>
      </c>
      <c r="M830" s="24">
        <v>47</v>
      </c>
      <c r="N830" s="25">
        <f t="shared" si="25"/>
        <v>145700</v>
      </c>
      <c r="O830" s="24"/>
    </row>
    <row r="831" spans="1:15" ht="15.75" hidden="1" customHeight="1" x14ac:dyDescent="0.3">
      <c r="A831" s="24">
        <v>27</v>
      </c>
      <c r="B831" s="20" t="str">
        <f t="shared" si="24"/>
        <v>JUL</v>
      </c>
      <c r="C831" s="21">
        <v>46206</v>
      </c>
      <c r="D831" s="22" t="str">
        <f t="array" ref="D831">IFERROR(INDEX('Kode Outlet dan Target Toko'!$A:$A,MATCH($I831,'Kode Outlet dan Target Toko'!$E:$E,0)),"")</f>
        <v>GRSM 4</v>
      </c>
      <c r="E831" s="20" t="str">
        <f>IFERROR(VLOOKUP(I831,KET!$B:$F,4,0),"")</f>
        <v>FAHMI LUKMANUL HAKIM</v>
      </c>
      <c r="F831" s="20" t="str">
        <f>IFERROR(VLOOKUP(I831,KET!$B:$F,5,0),"")</f>
        <v>GMM</v>
      </c>
      <c r="G831" s="20">
        <f>IFERROR(INDEX('Kode Outlet dan Target Toko'!$C:$C,MATCH($I831,'Kode Outlet dan Target Toko'!$E:$E,0)),0)</f>
        <v>103257</v>
      </c>
      <c r="H831" s="20">
        <f>IFERROR(INDEX('Kode Outlet dan Target Toko'!$D:$D,MATCH($I831,'Kode Outlet dan Target Toko'!$E:$E,0)),0)</f>
        <v>9162509</v>
      </c>
      <c r="I831" s="41" t="s">
        <v>23</v>
      </c>
      <c r="J831" s="19" t="s">
        <v>180</v>
      </c>
      <c r="K831" s="54" t="s">
        <v>14</v>
      </c>
      <c r="L831" s="24">
        <v>3100</v>
      </c>
      <c r="M831" s="24">
        <v>37</v>
      </c>
      <c r="N831" s="25">
        <f t="shared" si="25"/>
        <v>114700</v>
      </c>
      <c r="O831" s="24"/>
    </row>
    <row r="832" spans="1:15" ht="15.75" hidden="1" customHeight="1" x14ac:dyDescent="0.3">
      <c r="A832" s="24">
        <v>27</v>
      </c>
      <c r="B832" s="20" t="str">
        <f t="shared" si="24"/>
        <v>JUL</v>
      </c>
      <c r="C832" s="21">
        <v>46206</v>
      </c>
      <c r="D832" s="22" t="str">
        <f t="array" ref="D832">IFERROR(INDEX('Kode Outlet dan Target Toko'!$A:$A,MATCH($I832,'Kode Outlet dan Target Toko'!$E:$E,0)),"")</f>
        <v>GRSM 4</v>
      </c>
      <c r="E832" s="20" t="str">
        <f>IFERROR(VLOOKUP(I832,KET!$B:$F,4,0),"")</f>
        <v>FAHMI LUKMANUL HAKIM</v>
      </c>
      <c r="F832" s="20" t="str">
        <f>IFERROR(VLOOKUP(I832,KET!$B:$F,5,0),"")</f>
        <v>GMM</v>
      </c>
      <c r="G832" s="20">
        <f>IFERROR(INDEX('Kode Outlet dan Target Toko'!$C:$C,MATCH($I832,'Kode Outlet dan Target Toko'!$E:$E,0)),0)</f>
        <v>103257</v>
      </c>
      <c r="H832" s="20">
        <f>IFERROR(INDEX('Kode Outlet dan Target Toko'!$D:$D,MATCH($I832,'Kode Outlet dan Target Toko'!$E:$E,0)),0)</f>
        <v>9162509</v>
      </c>
      <c r="I832" s="41" t="s">
        <v>23</v>
      </c>
      <c r="J832" s="19" t="s">
        <v>180</v>
      </c>
      <c r="K832" s="54" t="s">
        <v>13</v>
      </c>
      <c r="L832" s="24">
        <v>3100</v>
      </c>
      <c r="M832" s="24">
        <v>51</v>
      </c>
      <c r="N832" s="25">
        <f t="shared" si="25"/>
        <v>158100</v>
      </c>
      <c r="O832" s="24"/>
    </row>
    <row r="833" spans="1:15" ht="15.75" hidden="1" customHeight="1" x14ac:dyDescent="0.3">
      <c r="A833" s="24">
        <v>27</v>
      </c>
      <c r="B833" s="20" t="str">
        <f t="shared" si="24"/>
        <v>JUL</v>
      </c>
      <c r="C833" s="21">
        <v>46206</v>
      </c>
      <c r="D833" s="22" t="str">
        <f t="array" ref="D833">IFERROR(INDEX('Kode Outlet dan Target Toko'!$A:$A,MATCH($I833,'Kode Outlet dan Target Toko'!$E:$E,0)),"")</f>
        <v>GRSM 4</v>
      </c>
      <c r="E833" s="20" t="str">
        <f>IFERROR(VLOOKUP(I833,KET!$B:$F,4,0),"")</f>
        <v>FAHMI LUKMANUL HAKIM</v>
      </c>
      <c r="F833" s="20" t="str">
        <f>IFERROR(VLOOKUP(I833,KET!$B:$F,5,0),"")</f>
        <v>GMM</v>
      </c>
      <c r="G833" s="20">
        <f>IFERROR(INDEX('Kode Outlet dan Target Toko'!$C:$C,MATCH($I833,'Kode Outlet dan Target Toko'!$E:$E,0)),0)</f>
        <v>103257</v>
      </c>
      <c r="H833" s="20">
        <f>IFERROR(INDEX('Kode Outlet dan Target Toko'!$D:$D,MATCH($I833,'Kode Outlet dan Target Toko'!$E:$E,0)),0)</f>
        <v>9162509</v>
      </c>
      <c r="I833" s="41" t="s">
        <v>23</v>
      </c>
      <c r="J833" s="19" t="s">
        <v>180</v>
      </c>
      <c r="K833" s="54" t="s">
        <v>16</v>
      </c>
      <c r="L833" s="24">
        <v>3100</v>
      </c>
      <c r="M833" s="24">
        <v>53</v>
      </c>
      <c r="N833" s="25">
        <f t="shared" si="25"/>
        <v>164300</v>
      </c>
      <c r="O833" s="24">
        <v>160</v>
      </c>
    </row>
    <row r="834" spans="1:15" ht="15.75" hidden="1" customHeight="1" x14ac:dyDescent="0.3">
      <c r="A834" s="24">
        <v>27</v>
      </c>
      <c r="B834" s="20" t="str">
        <f t="shared" si="24"/>
        <v>JUL</v>
      </c>
      <c r="C834" s="21">
        <v>46206</v>
      </c>
      <c r="D834" s="22" t="str">
        <f t="array" ref="D834">IFERROR(INDEX('Kode Outlet dan Target Toko'!$A:$A,MATCH($I834,'Kode Outlet dan Target Toko'!$E:$E,0)),"")</f>
        <v>GRSM 4</v>
      </c>
      <c r="E834" s="20" t="str">
        <f>IFERROR(VLOOKUP(I834,KET!$B:$F,4,0),"")</f>
        <v>FAHMI LUKMANUL HAKIM</v>
      </c>
      <c r="F834" s="20" t="str">
        <f>IFERROR(VLOOKUP(I834,KET!$B:$F,5,0),"")</f>
        <v>GMM</v>
      </c>
      <c r="G834" s="20">
        <f>IFERROR(INDEX('Kode Outlet dan Target Toko'!$C:$C,MATCH($I834,'Kode Outlet dan Target Toko'!$E:$E,0)),0)</f>
        <v>103257</v>
      </c>
      <c r="H834" s="20">
        <f>IFERROR(INDEX('Kode Outlet dan Target Toko'!$D:$D,MATCH($I834,'Kode Outlet dan Target Toko'!$E:$E,0)),0)</f>
        <v>9162509</v>
      </c>
      <c r="I834" s="41" t="s">
        <v>23</v>
      </c>
      <c r="J834" s="56" t="s">
        <v>181</v>
      </c>
      <c r="K834" s="54" t="s">
        <v>15</v>
      </c>
      <c r="L834" s="24">
        <v>3100</v>
      </c>
      <c r="M834" s="24">
        <v>44</v>
      </c>
      <c r="N834" s="25">
        <f t="shared" si="25"/>
        <v>136400</v>
      </c>
      <c r="O834" s="24"/>
    </row>
    <row r="835" spans="1:15" ht="15.75" hidden="1" customHeight="1" x14ac:dyDescent="0.3">
      <c r="A835" s="24">
        <v>27</v>
      </c>
      <c r="B835" s="20" t="str">
        <f t="shared" si="24"/>
        <v>JUL</v>
      </c>
      <c r="C835" s="21">
        <v>46206</v>
      </c>
      <c r="D835" s="22" t="str">
        <f t="array" ref="D835">IFERROR(INDEX('Kode Outlet dan Target Toko'!$A:$A,MATCH($I835,'Kode Outlet dan Target Toko'!$E:$E,0)),"")</f>
        <v>GRSM 4</v>
      </c>
      <c r="E835" s="20" t="str">
        <f>IFERROR(VLOOKUP(I835,KET!$B:$F,4,0),"")</f>
        <v>FAHMI LUKMANUL HAKIM</v>
      </c>
      <c r="F835" s="20" t="str">
        <f>IFERROR(VLOOKUP(I835,KET!$B:$F,5,0),"")</f>
        <v>GMM</v>
      </c>
      <c r="G835" s="20">
        <f>IFERROR(INDEX('Kode Outlet dan Target Toko'!$C:$C,MATCH($I835,'Kode Outlet dan Target Toko'!$E:$E,0)),0)</f>
        <v>103257</v>
      </c>
      <c r="H835" s="20">
        <f>IFERROR(INDEX('Kode Outlet dan Target Toko'!$D:$D,MATCH($I835,'Kode Outlet dan Target Toko'!$E:$E,0)),0)</f>
        <v>9162509</v>
      </c>
      <c r="I835" s="41" t="s">
        <v>23</v>
      </c>
      <c r="J835" s="56" t="s">
        <v>181</v>
      </c>
      <c r="K835" s="54" t="s">
        <v>14</v>
      </c>
      <c r="L835" s="24">
        <v>3100</v>
      </c>
      <c r="M835" s="24">
        <v>34</v>
      </c>
      <c r="N835" s="25">
        <f t="shared" si="25"/>
        <v>105400</v>
      </c>
      <c r="O835" s="24"/>
    </row>
    <row r="836" spans="1:15" ht="15.75" hidden="1" customHeight="1" x14ac:dyDescent="0.3">
      <c r="A836" s="24">
        <v>27</v>
      </c>
      <c r="B836" s="20" t="str">
        <f t="shared" si="24"/>
        <v>JUL</v>
      </c>
      <c r="C836" s="21">
        <v>46206</v>
      </c>
      <c r="D836" s="22" t="str">
        <f t="array" ref="D836">IFERROR(INDEX('Kode Outlet dan Target Toko'!$A:$A,MATCH($I836,'Kode Outlet dan Target Toko'!$E:$E,0)),"")</f>
        <v>GRSM 4</v>
      </c>
      <c r="E836" s="20" t="str">
        <f>IFERROR(VLOOKUP(I836,KET!$B:$F,4,0),"")</f>
        <v>FAHMI LUKMANUL HAKIM</v>
      </c>
      <c r="F836" s="20" t="str">
        <f>IFERROR(VLOOKUP(I836,KET!$B:$F,5,0),"")</f>
        <v>GMM</v>
      </c>
      <c r="G836" s="20">
        <f>IFERROR(INDEX('Kode Outlet dan Target Toko'!$C:$C,MATCH($I836,'Kode Outlet dan Target Toko'!$E:$E,0)),0)</f>
        <v>103257</v>
      </c>
      <c r="H836" s="20">
        <f>IFERROR(INDEX('Kode Outlet dan Target Toko'!$D:$D,MATCH($I836,'Kode Outlet dan Target Toko'!$E:$E,0)),0)</f>
        <v>9162509</v>
      </c>
      <c r="I836" s="41" t="s">
        <v>23</v>
      </c>
      <c r="J836" s="56" t="s">
        <v>181</v>
      </c>
      <c r="K836" s="54" t="s">
        <v>13</v>
      </c>
      <c r="L836" s="24">
        <v>3100</v>
      </c>
      <c r="M836" s="24">
        <v>52</v>
      </c>
      <c r="N836" s="25">
        <f t="shared" si="25"/>
        <v>161200</v>
      </c>
      <c r="O836" s="24"/>
    </row>
    <row r="837" spans="1:15" ht="15.75" hidden="1" customHeight="1" x14ac:dyDescent="0.3">
      <c r="A837" s="24">
        <v>27</v>
      </c>
      <c r="B837" s="20" t="str">
        <f t="shared" si="24"/>
        <v>JUL</v>
      </c>
      <c r="C837" s="21">
        <v>46206</v>
      </c>
      <c r="D837" s="22" t="str">
        <f t="array" ref="D837">IFERROR(INDEX('Kode Outlet dan Target Toko'!$A:$A,MATCH($I837,'Kode Outlet dan Target Toko'!$E:$E,0)),"")</f>
        <v>GRSM 4</v>
      </c>
      <c r="E837" s="20" t="str">
        <f>IFERROR(VLOOKUP(I837,KET!$B:$F,4,0),"")</f>
        <v>FAHMI LUKMANUL HAKIM</v>
      </c>
      <c r="F837" s="20" t="str">
        <f>IFERROR(VLOOKUP(I837,KET!$B:$F,5,0),"")</f>
        <v>GMM</v>
      </c>
      <c r="G837" s="20">
        <f>IFERROR(INDEX('Kode Outlet dan Target Toko'!$C:$C,MATCH($I837,'Kode Outlet dan Target Toko'!$E:$E,0)),0)</f>
        <v>103257</v>
      </c>
      <c r="H837" s="20">
        <f>IFERROR(INDEX('Kode Outlet dan Target Toko'!$D:$D,MATCH($I837,'Kode Outlet dan Target Toko'!$E:$E,0)),0)</f>
        <v>9162509</v>
      </c>
      <c r="I837" s="41" t="s">
        <v>23</v>
      </c>
      <c r="J837" s="56" t="s">
        <v>181</v>
      </c>
      <c r="K837" s="54" t="s">
        <v>16</v>
      </c>
      <c r="L837" s="24">
        <v>3100</v>
      </c>
      <c r="M837" s="24">
        <v>51</v>
      </c>
      <c r="N837" s="25">
        <f t="shared" si="25"/>
        <v>158100</v>
      </c>
      <c r="O837" s="24">
        <v>160</v>
      </c>
    </row>
    <row r="838" spans="1:15" ht="15.75" hidden="1" customHeight="1" x14ac:dyDescent="0.3">
      <c r="A838" s="24">
        <v>27</v>
      </c>
      <c r="B838" s="20" t="str">
        <f t="shared" si="24"/>
        <v>JUL</v>
      </c>
      <c r="C838" s="21">
        <v>46206</v>
      </c>
      <c r="D838" s="22" t="str">
        <f t="array" ref="D838">IFERROR(INDEX('Kode Outlet dan Target Toko'!$A:$A,MATCH($I838,'Kode Outlet dan Target Toko'!$E:$E,0)),"")</f>
        <v>GRSM 4</v>
      </c>
      <c r="E838" s="20" t="str">
        <f>IFERROR(VLOOKUP(I838,KET!$B:$F,4,0),"")</f>
        <v>FAHMI LUKMANUL HAKIM</v>
      </c>
      <c r="F838" s="20" t="str">
        <f>IFERROR(VLOOKUP(I838,KET!$B:$F,5,0),"")</f>
        <v>GMM</v>
      </c>
      <c r="G838" s="20">
        <f>IFERROR(INDEX('Kode Outlet dan Target Toko'!$C:$C,MATCH($I838,'Kode Outlet dan Target Toko'!$E:$E,0)),0)</f>
        <v>189901</v>
      </c>
      <c r="H838" s="20">
        <f>IFERROR(INDEX('Kode Outlet dan Target Toko'!$D:$D,MATCH($I838,'Kode Outlet dan Target Toko'!$E:$E,0)),0)</f>
        <v>1602057</v>
      </c>
      <c r="I838" s="50" t="s">
        <v>68</v>
      </c>
      <c r="J838" s="56" t="s">
        <v>175</v>
      </c>
      <c r="K838" s="54" t="s">
        <v>15</v>
      </c>
      <c r="L838" s="24">
        <v>2150</v>
      </c>
      <c r="M838" s="24">
        <v>126</v>
      </c>
      <c r="N838" s="25">
        <f t="shared" si="25"/>
        <v>270900</v>
      </c>
      <c r="O838" s="24"/>
    </row>
    <row r="839" spans="1:15" ht="15.75" hidden="1" customHeight="1" x14ac:dyDescent="0.3">
      <c r="A839" s="24">
        <v>27</v>
      </c>
      <c r="B839" s="20" t="str">
        <f t="shared" ref="B839:B902" si="26">IF(C839="","",UPPER(TEXT(C839, "MMM")))</f>
        <v>JUL</v>
      </c>
      <c r="C839" s="21">
        <v>46206</v>
      </c>
      <c r="D839" s="22" t="str">
        <f t="array" ref="D839">IFERROR(INDEX('Kode Outlet dan Target Toko'!$A:$A,MATCH($I839,'Kode Outlet dan Target Toko'!$E:$E,0)),"")</f>
        <v>GRSM 4</v>
      </c>
      <c r="E839" s="20" t="str">
        <f>IFERROR(VLOOKUP(I839,KET!$B:$F,4,0),"")</f>
        <v>FAHMI LUKMANUL HAKIM</v>
      </c>
      <c r="F839" s="20" t="str">
        <f>IFERROR(VLOOKUP(I839,KET!$B:$F,5,0),"")</f>
        <v>GMM</v>
      </c>
      <c r="G839" s="20">
        <f>IFERROR(INDEX('Kode Outlet dan Target Toko'!$C:$C,MATCH($I839,'Kode Outlet dan Target Toko'!$E:$E,0)),0)</f>
        <v>189901</v>
      </c>
      <c r="H839" s="20">
        <f>IFERROR(INDEX('Kode Outlet dan Target Toko'!$D:$D,MATCH($I839,'Kode Outlet dan Target Toko'!$E:$E,0)),0)</f>
        <v>1602057</v>
      </c>
      <c r="I839" s="50" t="s">
        <v>68</v>
      </c>
      <c r="J839" s="56" t="s">
        <v>175</v>
      </c>
      <c r="K839" s="54" t="s">
        <v>14</v>
      </c>
      <c r="L839" s="24">
        <v>2150</v>
      </c>
      <c r="M839" s="24">
        <v>156</v>
      </c>
      <c r="N839" s="25">
        <f t="shared" ref="N839:N902" si="27">IFERROR(M839*L839,"")</f>
        <v>335400</v>
      </c>
      <c r="O839" s="24"/>
    </row>
    <row r="840" spans="1:15" ht="15.75" hidden="1" customHeight="1" x14ac:dyDescent="0.3">
      <c r="A840" s="24">
        <v>27</v>
      </c>
      <c r="B840" s="20" t="str">
        <f t="shared" si="26"/>
        <v>JUL</v>
      </c>
      <c r="C840" s="21">
        <v>46206</v>
      </c>
      <c r="D840" s="22" t="str">
        <f t="array" ref="D840">IFERROR(INDEX('Kode Outlet dan Target Toko'!$A:$A,MATCH($I840,'Kode Outlet dan Target Toko'!$E:$E,0)),"")</f>
        <v>GRSM 4</v>
      </c>
      <c r="E840" s="20" t="str">
        <f>IFERROR(VLOOKUP(I840,KET!$B:$F,4,0),"")</f>
        <v>FAHMI LUKMANUL HAKIM</v>
      </c>
      <c r="F840" s="20" t="str">
        <f>IFERROR(VLOOKUP(I840,KET!$B:$F,5,0),"")</f>
        <v>GMM</v>
      </c>
      <c r="G840" s="20">
        <f>IFERROR(INDEX('Kode Outlet dan Target Toko'!$C:$C,MATCH($I840,'Kode Outlet dan Target Toko'!$E:$E,0)),0)</f>
        <v>189901</v>
      </c>
      <c r="H840" s="20">
        <f>IFERROR(INDEX('Kode Outlet dan Target Toko'!$D:$D,MATCH($I840,'Kode Outlet dan Target Toko'!$E:$E,0)),0)</f>
        <v>1602057</v>
      </c>
      <c r="I840" s="50" t="s">
        <v>68</v>
      </c>
      <c r="J840" s="56" t="s">
        <v>175</v>
      </c>
      <c r="K840" s="54" t="s">
        <v>13</v>
      </c>
      <c r="L840" s="24">
        <v>2150</v>
      </c>
      <c r="M840" s="24">
        <v>108</v>
      </c>
      <c r="N840" s="25">
        <f t="shared" si="27"/>
        <v>232200</v>
      </c>
      <c r="O840" s="24"/>
    </row>
    <row r="841" spans="1:15" ht="15.75" hidden="1" customHeight="1" x14ac:dyDescent="0.3">
      <c r="A841" s="24">
        <v>27</v>
      </c>
      <c r="B841" s="20" t="str">
        <f t="shared" si="26"/>
        <v>JUL</v>
      </c>
      <c r="C841" s="21">
        <v>46206</v>
      </c>
      <c r="D841" s="22" t="str">
        <f t="array" ref="D841">IFERROR(INDEX('Kode Outlet dan Target Toko'!$A:$A,MATCH($I841,'Kode Outlet dan Target Toko'!$E:$E,0)),"")</f>
        <v>GRSM 4</v>
      </c>
      <c r="E841" s="20" t="str">
        <f>IFERROR(VLOOKUP(I841,KET!$B:$F,4,0),"")</f>
        <v>FAHMI LUKMANUL HAKIM</v>
      </c>
      <c r="F841" s="20" t="str">
        <f>IFERROR(VLOOKUP(I841,KET!$B:$F,5,0),"")</f>
        <v>GMM</v>
      </c>
      <c r="G841" s="20">
        <f>IFERROR(INDEX('Kode Outlet dan Target Toko'!$C:$C,MATCH($I841,'Kode Outlet dan Target Toko'!$E:$E,0)),0)</f>
        <v>189901</v>
      </c>
      <c r="H841" s="20">
        <f>IFERROR(INDEX('Kode Outlet dan Target Toko'!$D:$D,MATCH($I841,'Kode Outlet dan Target Toko'!$E:$E,0)),0)</f>
        <v>1602057</v>
      </c>
      <c r="I841" s="50" t="s">
        <v>68</v>
      </c>
      <c r="J841" s="56" t="s">
        <v>175</v>
      </c>
      <c r="K841" s="54" t="s">
        <v>16</v>
      </c>
      <c r="L841" s="24">
        <v>2150</v>
      </c>
      <c r="M841" s="24">
        <v>183</v>
      </c>
      <c r="N841" s="25">
        <f t="shared" si="27"/>
        <v>393450</v>
      </c>
      <c r="O841" s="24">
        <v>160</v>
      </c>
    </row>
    <row r="842" spans="1:15" ht="15.75" hidden="1" customHeight="1" x14ac:dyDescent="0.3">
      <c r="A842" s="24">
        <v>27</v>
      </c>
      <c r="B842" s="20" t="str">
        <f t="shared" si="26"/>
        <v>JUL</v>
      </c>
      <c r="C842" s="21">
        <v>46206</v>
      </c>
      <c r="D842" s="22" t="str">
        <f t="array" ref="D842">IFERROR(INDEX('Kode Outlet dan Target Toko'!$A:$A,MATCH($I842,'Kode Outlet dan Target Toko'!$E:$E,0)),"")</f>
        <v>GRSM 4</v>
      </c>
      <c r="E842" s="20" t="str">
        <f>IFERROR(VLOOKUP(I842,KET!$B:$F,4,0),"")</f>
        <v>FAHMI LUKMANUL HAKIM</v>
      </c>
      <c r="F842" s="20" t="str">
        <f>IFERROR(VLOOKUP(I842,KET!$B:$F,5,0),"")</f>
        <v>GMM</v>
      </c>
      <c r="G842" s="20">
        <f>IFERROR(INDEX('Kode Outlet dan Target Toko'!$C:$C,MATCH($I842,'Kode Outlet dan Target Toko'!$E:$E,0)),0)</f>
        <v>189901</v>
      </c>
      <c r="H842" s="20">
        <f>IFERROR(INDEX('Kode Outlet dan Target Toko'!$D:$D,MATCH($I842,'Kode Outlet dan Target Toko'!$E:$E,0)),0)</f>
        <v>1602057</v>
      </c>
      <c r="I842" s="50" t="s">
        <v>68</v>
      </c>
      <c r="J842" s="27" t="s">
        <v>174</v>
      </c>
      <c r="K842" s="54" t="s">
        <v>15</v>
      </c>
      <c r="L842" s="24">
        <v>3000</v>
      </c>
      <c r="M842" s="24">
        <v>73</v>
      </c>
      <c r="N842" s="25">
        <f t="shared" si="27"/>
        <v>219000</v>
      </c>
      <c r="O842" s="24"/>
    </row>
    <row r="843" spans="1:15" ht="15.75" hidden="1" customHeight="1" x14ac:dyDescent="0.3">
      <c r="A843" s="24">
        <v>27</v>
      </c>
      <c r="B843" s="20" t="str">
        <f t="shared" si="26"/>
        <v>JUL</v>
      </c>
      <c r="C843" s="21">
        <v>46206</v>
      </c>
      <c r="D843" s="22" t="str">
        <f t="array" ref="D843">IFERROR(INDEX('Kode Outlet dan Target Toko'!$A:$A,MATCH($I843,'Kode Outlet dan Target Toko'!$E:$E,0)),"")</f>
        <v>GRSM 4</v>
      </c>
      <c r="E843" s="20" t="str">
        <f>IFERROR(VLOOKUP(I843,KET!$B:$F,4,0),"")</f>
        <v>FAHMI LUKMANUL HAKIM</v>
      </c>
      <c r="F843" s="20" t="str">
        <f>IFERROR(VLOOKUP(I843,KET!$B:$F,5,0),"")</f>
        <v>GMM</v>
      </c>
      <c r="G843" s="20">
        <f>IFERROR(INDEX('Kode Outlet dan Target Toko'!$C:$C,MATCH($I843,'Kode Outlet dan Target Toko'!$E:$E,0)),0)</f>
        <v>189901</v>
      </c>
      <c r="H843" s="20">
        <f>IFERROR(INDEX('Kode Outlet dan Target Toko'!$D:$D,MATCH($I843,'Kode Outlet dan Target Toko'!$E:$E,0)),0)</f>
        <v>1602057</v>
      </c>
      <c r="I843" s="50" t="s">
        <v>68</v>
      </c>
      <c r="J843" s="27" t="s">
        <v>174</v>
      </c>
      <c r="K843" s="54" t="s">
        <v>14</v>
      </c>
      <c r="L843" s="24">
        <v>3000</v>
      </c>
      <c r="M843" s="24">
        <v>90</v>
      </c>
      <c r="N843" s="25">
        <f t="shared" si="27"/>
        <v>270000</v>
      </c>
      <c r="O843" s="24"/>
    </row>
    <row r="844" spans="1:15" ht="15.75" hidden="1" customHeight="1" x14ac:dyDescent="0.3">
      <c r="A844" s="24">
        <v>27</v>
      </c>
      <c r="B844" s="20" t="str">
        <f t="shared" si="26"/>
        <v>JUL</v>
      </c>
      <c r="C844" s="21">
        <v>46206</v>
      </c>
      <c r="D844" s="22" t="str">
        <f t="array" ref="D844">IFERROR(INDEX('Kode Outlet dan Target Toko'!$A:$A,MATCH($I844,'Kode Outlet dan Target Toko'!$E:$E,0)),"")</f>
        <v>GRSM 4</v>
      </c>
      <c r="E844" s="20" t="str">
        <f>IFERROR(VLOOKUP(I844,KET!$B:$F,4,0),"")</f>
        <v>FAHMI LUKMANUL HAKIM</v>
      </c>
      <c r="F844" s="20" t="str">
        <f>IFERROR(VLOOKUP(I844,KET!$B:$F,5,0),"")</f>
        <v>GMM</v>
      </c>
      <c r="G844" s="20">
        <f>IFERROR(INDEX('Kode Outlet dan Target Toko'!$C:$C,MATCH($I844,'Kode Outlet dan Target Toko'!$E:$E,0)),0)</f>
        <v>189901</v>
      </c>
      <c r="H844" s="20">
        <f>IFERROR(INDEX('Kode Outlet dan Target Toko'!$D:$D,MATCH($I844,'Kode Outlet dan Target Toko'!$E:$E,0)),0)</f>
        <v>1602057</v>
      </c>
      <c r="I844" s="50" t="s">
        <v>68</v>
      </c>
      <c r="J844" s="27" t="s">
        <v>174</v>
      </c>
      <c r="K844" s="54" t="s">
        <v>13</v>
      </c>
      <c r="L844" s="24">
        <v>3000</v>
      </c>
      <c r="M844" s="24">
        <v>55</v>
      </c>
      <c r="N844" s="25">
        <f t="shared" si="27"/>
        <v>165000</v>
      </c>
      <c r="O844" s="24"/>
    </row>
    <row r="845" spans="1:15" ht="15.75" hidden="1" customHeight="1" x14ac:dyDescent="0.3">
      <c r="A845" s="24">
        <v>27</v>
      </c>
      <c r="B845" s="20" t="str">
        <f t="shared" si="26"/>
        <v>JUL</v>
      </c>
      <c r="C845" s="21">
        <v>46206</v>
      </c>
      <c r="D845" s="22" t="str">
        <f t="array" ref="D845">IFERROR(INDEX('Kode Outlet dan Target Toko'!$A:$A,MATCH($I845,'Kode Outlet dan Target Toko'!$E:$E,0)),"")</f>
        <v>GRSM 4</v>
      </c>
      <c r="E845" s="20" t="str">
        <f>IFERROR(VLOOKUP(I845,KET!$B:$F,4,0),"")</f>
        <v>FAHMI LUKMANUL HAKIM</v>
      </c>
      <c r="F845" s="20" t="str">
        <f>IFERROR(VLOOKUP(I845,KET!$B:$F,5,0),"")</f>
        <v>GMM</v>
      </c>
      <c r="G845" s="20">
        <f>IFERROR(INDEX('Kode Outlet dan Target Toko'!$C:$C,MATCH($I845,'Kode Outlet dan Target Toko'!$E:$E,0)),0)</f>
        <v>189901</v>
      </c>
      <c r="H845" s="20">
        <f>IFERROR(INDEX('Kode Outlet dan Target Toko'!$D:$D,MATCH($I845,'Kode Outlet dan Target Toko'!$E:$E,0)),0)</f>
        <v>1602057</v>
      </c>
      <c r="I845" s="50" t="s">
        <v>68</v>
      </c>
      <c r="J845" s="27" t="s">
        <v>174</v>
      </c>
      <c r="K845" s="54" t="s">
        <v>16</v>
      </c>
      <c r="L845" s="24">
        <v>3000</v>
      </c>
      <c r="M845" s="24">
        <v>202</v>
      </c>
      <c r="N845" s="25">
        <f t="shared" si="27"/>
        <v>606000</v>
      </c>
      <c r="O845" s="24">
        <v>160</v>
      </c>
    </row>
    <row r="846" spans="1:15" ht="15.75" hidden="1" customHeight="1" x14ac:dyDescent="0.3">
      <c r="A846" s="24">
        <v>27</v>
      </c>
      <c r="B846" s="20" t="str">
        <f t="shared" si="26"/>
        <v>JUL</v>
      </c>
      <c r="C846" s="21">
        <v>46206</v>
      </c>
      <c r="D846" s="22" t="str">
        <f t="array" ref="D846">IFERROR(INDEX('Kode Outlet dan Target Toko'!$A:$A,MATCH($I846,'Kode Outlet dan Target Toko'!$E:$E,0)),"")</f>
        <v>GRSM 4</v>
      </c>
      <c r="E846" s="20" t="str">
        <f>IFERROR(VLOOKUP(I846,KET!$B:$F,4,0),"")</f>
        <v>FAHMI LUKMANUL HAKIM</v>
      </c>
      <c r="F846" s="20" t="str">
        <f>IFERROR(VLOOKUP(I846,KET!$B:$F,5,0),"")</f>
        <v>NKA</v>
      </c>
      <c r="G846" s="20">
        <f>IFERROR(INDEX('Kode Outlet dan Target Toko'!$C:$C,MATCH($I846,'Kode Outlet dan Target Toko'!$E:$E,0)),0)</f>
        <v>490034</v>
      </c>
      <c r="H846" s="20">
        <f>IFERROR(INDEX('Kode Outlet dan Target Toko'!$D:$D,MATCH($I846,'Kode Outlet dan Target Toko'!$E:$E,0)),0)</f>
        <v>209554</v>
      </c>
      <c r="I846" s="50" t="s">
        <v>26</v>
      </c>
      <c r="J846" s="27" t="s">
        <v>176</v>
      </c>
      <c r="K846" s="54" t="s">
        <v>15</v>
      </c>
      <c r="L846" s="24">
        <v>3275</v>
      </c>
      <c r="M846" s="24">
        <v>20</v>
      </c>
      <c r="N846" s="25">
        <f t="shared" si="27"/>
        <v>65500</v>
      </c>
      <c r="O846" s="24"/>
    </row>
    <row r="847" spans="1:15" ht="15.75" hidden="1" customHeight="1" x14ac:dyDescent="0.3">
      <c r="A847" s="24">
        <v>27</v>
      </c>
      <c r="B847" s="20" t="str">
        <f t="shared" si="26"/>
        <v>JUL</v>
      </c>
      <c r="C847" s="21">
        <v>46206</v>
      </c>
      <c r="D847" s="22" t="str">
        <f t="array" ref="D847">IFERROR(INDEX('Kode Outlet dan Target Toko'!$A:$A,MATCH($I847,'Kode Outlet dan Target Toko'!$E:$E,0)),"")</f>
        <v>GRSM 4</v>
      </c>
      <c r="E847" s="20" t="str">
        <f>IFERROR(VLOOKUP(I847,KET!$B:$F,4,0),"")</f>
        <v>FAHMI LUKMANUL HAKIM</v>
      </c>
      <c r="F847" s="20" t="str">
        <f>IFERROR(VLOOKUP(I847,KET!$B:$F,5,0),"")</f>
        <v>NKA</v>
      </c>
      <c r="G847" s="20">
        <f>IFERROR(INDEX('Kode Outlet dan Target Toko'!$C:$C,MATCH($I847,'Kode Outlet dan Target Toko'!$E:$E,0)),0)</f>
        <v>490034</v>
      </c>
      <c r="H847" s="20">
        <f>IFERROR(INDEX('Kode Outlet dan Target Toko'!$D:$D,MATCH($I847,'Kode Outlet dan Target Toko'!$E:$E,0)),0)</f>
        <v>209554</v>
      </c>
      <c r="I847" s="50" t="s">
        <v>26</v>
      </c>
      <c r="J847" s="27" t="s">
        <v>176</v>
      </c>
      <c r="K847" s="54" t="s">
        <v>14</v>
      </c>
      <c r="L847" s="24">
        <v>3275</v>
      </c>
      <c r="M847" s="24">
        <v>40</v>
      </c>
      <c r="N847" s="25">
        <f t="shared" si="27"/>
        <v>131000</v>
      </c>
      <c r="O847" s="24"/>
    </row>
    <row r="848" spans="1:15" ht="15.75" hidden="1" customHeight="1" x14ac:dyDescent="0.3">
      <c r="A848" s="24">
        <v>27</v>
      </c>
      <c r="B848" s="20" t="str">
        <f t="shared" si="26"/>
        <v>JUL</v>
      </c>
      <c r="C848" s="21">
        <v>46206</v>
      </c>
      <c r="D848" s="22" t="str">
        <f t="array" ref="D848">IFERROR(INDEX('Kode Outlet dan Target Toko'!$A:$A,MATCH($I848,'Kode Outlet dan Target Toko'!$E:$E,0)),"")</f>
        <v>GRSM 4</v>
      </c>
      <c r="E848" s="20" t="str">
        <f>IFERROR(VLOOKUP(I848,KET!$B:$F,4,0),"")</f>
        <v>FAHMI LUKMANUL HAKIM</v>
      </c>
      <c r="F848" s="20" t="str">
        <f>IFERROR(VLOOKUP(I848,KET!$B:$F,5,0),"")</f>
        <v>NKA</v>
      </c>
      <c r="G848" s="20">
        <f>IFERROR(INDEX('Kode Outlet dan Target Toko'!$C:$C,MATCH($I848,'Kode Outlet dan Target Toko'!$E:$E,0)),0)</f>
        <v>490034</v>
      </c>
      <c r="H848" s="20">
        <f>IFERROR(INDEX('Kode Outlet dan Target Toko'!$D:$D,MATCH($I848,'Kode Outlet dan Target Toko'!$E:$E,0)),0)</f>
        <v>209554</v>
      </c>
      <c r="I848" s="50" t="s">
        <v>26</v>
      </c>
      <c r="J848" s="27" t="s">
        <v>176</v>
      </c>
      <c r="K848" s="54" t="s">
        <v>13</v>
      </c>
      <c r="L848" s="24">
        <v>3275</v>
      </c>
      <c r="M848" s="24">
        <v>10</v>
      </c>
      <c r="N848" s="25">
        <f t="shared" si="27"/>
        <v>32750</v>
      </c>
      <c r="O848" s="24"/>
    </row>
    <row r="849" spans="1:15" ht="15.75" hidden="1" customHeight="1" x14ac:dyDescent="0.3">
      <c r="A849" s="24">
        <v>27</v>
      </c>
      <c r="B849" s="20" t="str">
        <f t="shared" si="26"/>
        <v>JUL</v>
      </c>
      <c r="C849" s="21">
        <v>46206</v>
      </c>
      <c r="D849" s="22" t="str">
        <f t="array" ref="D849">IFERROR(INDEX('Kode Outlet dan Target Toko'!$A:$A,MATCH($I849,'Kode Outlet dan Target Toko'!$E:$E,0)),"")</f>
        <v>GRSM 4</v>
      </c>
      <c r="E849" s="20" t="str">
        <f>IFERROR(VLOOKUP(I849,KET!$B:$F,4,0),"")</f>
        <v>FAHMI LUKMANUL HAKIM</v>
      </c>
      <c r="F849" s="20" t="str">
        <f>IFERROR(VLOOKUP(I849,KET!$B:$F,5,0),"")</f>
        <v>NKA</v>
      </c>
      <c r="G849" s="20">
        <f>IFERROR(INDEX('Kode Outlet dan Target Toko'!$C:$C,MATCH($I849,'Kode Outlet dan Target Toko'!$E:$E,0)),0)</f>
        <v>490034</v>
      </c>
      <c r="H849" s="20">
        <f>IFERROR(INDEX('Kode Outlet dan Target Toko'!$D:$D,MATCH($I849,'Kode Outlet dan Target Toko'!$E:$E,0)),0)</f>
        <v>209554</v>
      </c>
      <c r="I849" s="50" t="s">
        <v>26</v>
      </c>
      <c r="J849" s="27" t="s">
        <v>176</v>
      </c>
      <c r="K849" s="54" t="s">
        <v>16</v>
      </c>
      <c r="L849" s="24">
        <v>3275</v>
      </c>
      <c r="M849" s="24">
        <v>60</v>
      </c>
      <c r="N849" s="25">
        <f t="shared" si="27"/>
        <v>196500</v>
      </c>
      <c r="O849" s="24">
        <v>160</v>
      </c>
    </row>
    <row r="850" spans="1:15" ht="15.75" hidden="1" customHeight="1" x14ac:dyDescent="0.3">
      <c r="A850" s="24">
        <v>27</v>
      </c>
      <c r="B850" s="20" t="str">
        <f t="shared" si="26"/>
        <v>JUL</v>
      </c>
      <c r="C850" s="21">
        <v>46206</v>
      </c>
      <c r="D850" s="22" t="str">
        <f t="array" ref="D850">IFERROR(INDEX('Kode Outlet dan Target Toko'!$A:$A,MATCH($I850,'Kode Outlet dan Target Toko'!$E:$E,0)),"")</f>
        <v>GRSM 4</v>
      </c>
      <c r="E850" s="20" t="str">
        <f>IFERROR(VLOOKUP(I850,KET!$B:$F,4,0),"")</f>
        <v>FAHMI LUKMANUL HAKIM</v>
      </c>
      <c r="F850" s="20" t="str">
        <f>IFERROR(VLOOKUP(I850,KET!$B:$F,5,0),"")</f>
        <v>NKA</v>
      </c>
      <c r="G850" s="20">
        <f>IFERROR(INDEX('Kode Outlet dan Target Toko'!$C:$C,MATCH($I850,'Kode Outlet dan Target Toko'!$E:$E,0)),0)</f>
        <v>490034</v>
      </c>
      <c r="H850" s="20">
        <f>IFERROR(INDEX('Kode Outlet dan Target Toko'!$D:$D,MATCH($I850,'Kode Outlet dan Target Toko'!$E:$E,0)),0)</f>
        <v>209554</v>
      </c>
      <c r="I850" s="50" t="s">
        <v>26</v>
      </c>
      <c r="J850" s="19" t="s">
        <v>177</v>
      </c>
      <c r="K850" s="54" t="s">
        <v>15</v>
      </c>
      <c r="L850" s="24">
        <v>3275</v>
      </c>
      <c r="M850" s="24">
        <v>20</v>
      </c>
      <c r="N850" s="25">
        <f t="shared" si="27"/>
        <v>65500</v>
      </c>
      <c r="O850" s="24"/>
    </row>
    <row r="851" spans="1:15" ht="15.75" hidden="1" customHeight="1" x14ac:dyDescent="0.3">
      <c r="A851" s="24">
        <v>27</v>
      </c>
      <c r="B851" s="20" t="str">
        <f t="shared" si="26"/>
        <v>JUL</v>
      </c>
      <c r="C851" s="21">
        <v>46206</v>
      </c>
      <c r="D851" s="22" t="str">
        <f t="array" ref="D851">IFERROR(INDEX('Kode Outlet dan Target Toko'!$A:$A,MATCH($I851,'Kode Outlet dan Target Toko'!$E:$E,0)),"")</f>
        <v>GRSM 4</v>
      </c>
      <c r="E851" s="20" t="str">
        <f>IFERROR(VLOOKUP(I851,KET!$B:$F,4,0),"")</f>
        <v>FAHMI LUKMANUL HAKIM</v>
      </c>
      <c r="F851" s="20" t="str">
        <f>IFERROR(VLOOKUP(I851,KET!$B:$F,5,0),"")</f>
        <v>NKA</v>
      </c>
      <c r="G851" s="20">
        <f>IFERROR(INDEX('Kode Outlet dan Target Toko'!$C:$C,MATCH($I851,'Kode Outlet dan Target Toko'!$E:$E,0)),0)</f>
        <v>490034</v>
      </c>
      <c r="H851" s="20">
        <f>IFERROR(INDEX('Kode Outlet dan Target Toko'!$D:$D,MATCH($I851,'Kode Outlet dan Target Toko'!$E:$E,0)),0)</f>
        <v>209554</v>
      </c>
      <c r="I851" s="50" t="s">
        <v>26</v>
      </c>
      <c r="J851" s="19" t="s">
        <v>177</v>
      </c>
      <c r="K851" s="54" t="s">
        <v>14</v>
      </c>
      <c r="L851" s="24">
        <v>3275</v>
      </c>
      <c r="M851" s="24">
        <v>40</v>
      </c>
      <c r="N851" s="25">
        <f t="shared" si="27"/>
        <v>131000</v>
      </c>
      <c r="O851" s="24"/>
    </row>
    <row r="852" spans="1:15" ht="15.75" hidden="1" customHeight="1" x14ac:dyDescent="0.3">
      <c r="A852" s="24">
        <v>27</v>
      </c>
      <c r="B852" s="20" t="str">
        <f t="shared" si="26"/>
        <v>JUL</v>
      </c>
      <c r="C852" s="21">
        <v>46206</v>
      </c>
      <c r="D852" s="22" t="str">
        <f t="array" ref="D852">IFERROR(INDEX('Kode Outlet dan Target Toko'!$A:$A,MATCH($I852,'Kode Outlet dan Target Toko'!$E:$E,0)),"")</f>
        <v>GRSM 4</v>
      </c>
      <c r="E852" s="20" t="str">
        <f>IFERROR(VLOOKUP(I852,KET!$B:$F,4,0),"")</f>
        <v>FAHMI LUKMANUL HAKIM</v>
      </c>
      <c r="F852" s="20" t="str">
        <f>IFERROR(VLOOKUP(I852,KET!$B:$F,5,0),"")</f>
        <v>NKA</v>
      </c>
      <c r="G852" s="20">
        <f>IFERROR(INDEX('Kode Outlet dan Target Toko'!$C:$C,MATCH($I852,'Kode Outlet dan Target Toko'!$E:$E,0)),0)</f>
        <v>490034</v>
      </c>
      <c r="H852" s="20">
        <f>IFERROR(INDEX('Kode Outlet dan Target Toko'!$D:$D,MATCH($I852,'Kode Outlet dan Target Toko'!$E:$E,0)),0)</f>
        <v>209554</v>
      </c>
      <c r="I852" s="50" t="s">
        <v>26</v>
      </c>
      <c r="J852" s="19" t="s">
        <v>177</v>
      </c>
      <c r="K852" s="54" t="s">
        <v>13</v>
      </c>
      <c r="L852" s="24">
        <v>3275</v>
      </c>
      <c r="M852" s="24">
        <v>10</v>
      </c>
      <c r="N852" s="25">
        <f t="shared" si="27"/>
        <v>32750</v>
      </c>
      <c r="O852" s="24"/>
    </row>
    <row r="853" spans="1:15" ht="15.75" hidden="1" customHeight="1" x14ac:dyDescent="0.3">
      <c r="A853" s="24">
        <v>27</v>
      </c>
      <c r="B853" s="20" t="str">
        <f t="shared" si="26"/>
        <v>JUL</v>
      </c>
      <c r="C853" s="21">
        <v>46206</v>
      </c>
      <c r="D853" s="22" t="str">
        <f t="array" ref="D853">IFERROR(INDEX('Kode Outlet dan Target Toko'!$A:$A,MATCH($I853,'Kode Outlet dan Target Toko'!$E:$E,0)),"")</f>
        <v>GRSM 4</v>
      </c>
      <c r="E853" s="20" t="str">
        <f>IFERROR(VLOOKUP(I853,KET!$B:$F,4,0),"")</f>
        <v>FAHMI LUKMANUL HAKIM</v>
      </c>
      <c r="F853" s="20" t="str">
        <f>IFERROR(VLOOKUP(I853,KET!$B:$F,5,0),"")</f>
        <v>NKA</v>
      </c>
      <c r="G853" s="20">
        <f>IFERROR(INDEX('Kode Outlet dan Target Toko'!$C:$C,MATCH($I853,'Kode Outlet dan Target Toko'!$E:$E,0)),0)</f>
        <v>490034</v>
      </c>
      <c r="H853" s="20">
        <f>IFERROR(INDEX('Kode Outlet dan Target Toko'!$D:$D,MATCH($I853,'Kode Outlet dan Target Toko'!$E:$E,0)),0)</f>
        <v>209554</v>
      </c>
      <c r="I853" s="50" t="s">
        <v>26</v>
      </c>
      <c r="J853" s="19" t="s">
        <v>177</v>
      </c>
      <c r="K853" s="54" t="s">
        <v>16</v>
      </c>
      <c r="L853" s="24">
        <v>3275</v>
      </c>
      <c r="M853" s="24">
        <v>60</v>
      </c>
      <c r="N853" s="25">
        <f t="shared" si="27"/>
        <v>196500</v>
      </c>
      <c r="O853" s="24">
        <v>160</v>
      </c>
    </row>
    <row r="854" spans="1:15" ht="15.75" hidden="1" customHeight="1" x14ac:dyDescent="0.3">
      <c r="A854" s="24">
        <v>27</v>
      </c>
      <c r="B854" s="20" t="str">
        <f t="shared" si="26"/>
        <v>JUL</v>
      </c>
      <c r="C854" s="21">
        <v>46206</v>
      </c>
      <c r="D854" s="22" t="str">
        <f t="array" ref="D854">IFERROR(INDEX('Kode Outlet dan Target Toko'!$A:$A,MATCH($I854,'Kode Outlet dan Target Toko'!$E:$E,0)),"")</f>
        <v>GRSM 4</v>
      </c>
      <c r="E854" s="20" t="str">
        <f>IFERROR(VLOOKUP(I854,KET!$B:$F,4,0),"")</f>
        <v>FAHMI LUKMANUL HAKIM</v>
      </c>
      <c r="F854" s="20" t="str">
        <f>IFERROR(VLOOKUP(I854,KET!$B:$F,5,0),"")</f>
        <v>GMM</v>
      </c>
      <c r="G854" s="20">
        <f>IFERROR(INDEX('Kode Outlet dan Target Toko'!$C:$C,MATCH($I854,'Kode Outlet dan Target Toko'!$E:$E,0)),0)</f>
        <v>189901</v>
      </c>
      <c r="H854" s="20">
        <f>IFERROR(INDEX('Kode Outlet dan Target Toko'!$D:$D,MATCH($I854,'Kode Outlet dan Target Toko'!$E:$E,0)),0)</f>
        <v>1602057</v>
      </c>
      <c r="I854" s="50" t="s">
        <v>68</v>
      </c>
      <c r="J854" s="27" t="s">
        <v>174</v>
      </c>
      <c r="K854" s="54" t="s">
        <v>15</v>
      </c>
      <c r="L854" s="24">
        <v>2150</v>
      </c>
      <c r="M854" s="24">
        <v>141</v>
      </c>
      <c r="N854" s="25">
        <f t="shared" si="27"/>
        <v>303150</v>
      </c>
      <c r="O854" s="24"/>
    </row>
    <row r="855" spans="1:15" ht="15.75" hidden="1" customHeight="1" x14ac:dyDescent="0.3">
      <c r="A855" s="24">
        <v>27</v>
      </c>
      <c r="B855" s="20" t="str">
        <f t="shared" si="26"/>
        <v>JUL</v>
      </c>
      <c r="C855" s="21">
        <v>46206</v>
      </c>
      <c r="D855" s="22" t="str">
        <f t="array" ref="D855">IFERROR(INDEX('Kode Outlet dan Target Toko'!$A:$A,MATCH($I855,'Kode Outlet dan Target Toko'!$E:$E,0)),"")</f>
        <v>GRSM 4</v>
      </c>
      <c r="E855" s="20" t="str">
        <f>IFERROR(VLOOKUP(I855,KET!$B:$F,4,0),"")</f>
        <v>FAHMI LUKMANUL HAKIM</v>
      </c>
      <c r="F855" s="20" t="str">
        <f>IFERROR(VLOOKUP(I855,KET!$B:$F,5,0),"")</f>
        <v>GMM</v>
      </c>
      <c r="G855" s="20">
        <f>IFERROR(INDEX('Kode Outlet dan Target Toko'!$C:$C,MATCH($I855,'Kode Outlet dan Target Toko'!$E:$E,0)),0)</f>
        <v>189901</v>
      </c>
      <c r="H855" s="20">
        <f>IFERROR(INDEX('Kode Outlet dan Target Toko'!$D:$D,MATCH($I855,'Kode Outlet dan Target Toko'!$E:$E,0)),0)</f>
        <v>1602057</v>
      </c>
      <c r="I855" s="50" t="s">
        <v>68</v>
      </c>
      <c r="J855" s="27" t="s">
        <v>174</v>
      </c>
      <c r="K855" s="54" t="s">
        <v>14</v>
      </c>
      <c r="L855" s="24">
        <v>2150</v>
      </c>
      <c r="M855" s="24">
        <v>156</v>
      </c>
      <c r="N855" s="25">
        <f t="shared" si="27"/>
        <v>335400</v>
      </c>
      <c r="O855" s="24"/>
    </row>
    <row r="856" spans="1:15" ht="15.75" hidden="1" customHeight="1" x14ac:dyDescent="0.3">
      <c r="A856" s="24">
        <v>27</v>
      </c>
      <c r="B856" s="20" t="str">
        <f t="shared" si="26"/>
        <v>JUL</v>
      </c>
      <c r="C856" s="21">
        <v>46206</v>
      </c>
      <c r="D856" s="22" t="str">
        <f t="array" ref="D856">IFERROR(INDEX('Kode Outlet dan Target Toko'!$A:$A,MATCH($I856,'Kode Outlet dan Target Toko'!$E:$E,0)),"")</f>
        <v>GRSM 4</v>
      </c>
      <c r="E856" s="20" t="str">
        <f>IFERROR(VLOOKUP(I856,KET!$B:$F,4,0),"")</f>
        <v>FAHMI LUKMANUL HAKIM</v>
      </c>
      <c r="F856" s="20" t="str">
        <f>IFERROR(VLOOKUP(I856,KET!$B:$F,5,0),"")</f>
        <v>GMM</v>
      </c>
      <c r="G856" s="20">
        <f>IFERROR(INDEX('Kode Outlet dan Target Toko'!$C:$C,MATCH($I856,'Kode Outlet dan Target Toko'!$E:$E,0)),0)</f>
        <v>189901</v>
      </c>
      <c r="H856" s="20">
        <f>IFERROR(INDEX('Kode Outlet dan Target Toko'!$D:$D,MATCH($I856,'Kode Outlet dan Target Toko'!$E:$E,0)),0)</f>
        <v>1602057</v>
      </c>
      <c r="I856" s="50" t="s">
        <v>68</v>
      </c>
      <c r="J856" s="27" t="s">
        <v>174</v>
      </c>
      <c r="K856" s="54" t="s">
        <v>13</v>
      </c>
      <c r="L856" s="24">
        <v>2150</v>
      </c>
      <c r="M856" s="24">
        <v>126</v>
      </c>
      <c r="N856" s="25">
        <f t="shared" si="27"/>
        <v>270900</v>
      </c>
      <c r="O856" s="24"/>
    </row>
    <row r="857" spans="1:15" ht="15.75" hidden="1" customHeight="1" x14ac:dyDescent="0.3">
      <c r="A857" s="24">
        <v>27</v>
      </c>
      <c r="B857" s="20" t="str">
        <f t="shared" si="26"/>
        <v>JUL</v>
      </c>
      <c r="C857" s="21">
        <v>46206</v>
      </c>
      <c r="D857" s="22" t="str">
        <f t="array" ref="D857">IFERROR(INDEX('Kode Outlet dan Target Toko'!$A:$A,MATCH($I857,'Kode Outlet dan Target Toko'!$E:$E,0)),"")</f>
        <v>GRSM 4</v>
      </c>
      <c r="E857" s="20" t="str">
        <f>IFERROR(VLOOKUP(I857,KET!$B:$F,4,0),"")</f>
        <v>FAHMI LUKMANUL HAKIM</v>
      </c>
      <c r="F857" s="20" t="str">
        <f>IFERROR(VLOOKUP(I857,KET!$B:$F,5,0),"")</f>
        <v>GMM</v>
      </c>
      <c r="G857" s="20">
        <f>IFERROR(INDEX('Kode Outlet dan Target Toko'!$C:$C,MATCH($I857,'Kode Outlet dan Target Toko'!$E:$E,0)),0)</f>
        <v>189901</v>
      </c>
      <c r="H857" s="20">
        <f>IFERROR(INDEX('Kode Outlet dan Target Toko'!$D:$D,MATCH($I857,'Kode Outlet dan Target Toko'!$E:$E,0)),0)</f>
        <v>1602057</v>
      </c>
      <c r="I857" s="50" t="s">
        <v>68</v>
      </c>
      <c r="J857" s="27" t="s">
        <v>174</v>
      </c>
      <c r="K857" s="54" t="s">
        <v>16</v>
      </c>
      <c r="L857" s="24">
        <v>2150</v>
      </c>
      <c r="M857" s="24">
        <v>228</v>
      </c>
      <c r="N857" s="25">
        <f t="shared" si="27"/>
        <v>490200</v>
      </c>
      <c r="O857" s="24">
        <v>160</v>
      </c>
    </row>
    <row r="858" spans="1:15" ht="15.75" hidden="1" customHeight="1" x14ac:dyDescent="0.3">
      <c r="A858" s="24">
        <v>27</v>
      </c>
      <c r="B858" s="20" t="str">
        <f t="shared" si="26"/>
        <v>JUL</v>
      </c>
      <c r="C858" s="21">
        <v>46206</v>
      </c>
      <c r="D858" s="22" t="str">
        <f t="array" ref="D858">IFERROR(INDEX('Kode Outlet dan Target Toko'!$A:$A,MATCH($I858,'Kode Outlet dan Target Toko'!$E:$E,0)),"")</f>
        <v>GRSM 4</v>
      </c>
      <c r="E858" s="20" t="str">
        <f>IFERROR(VLOOKUP(I858,KET!$B:$F,4,0),"")</f>
        <v>FAHMI LUKMANUL HAKIM</v>
      </c>
      <c r="F858" s="20" t="str">
        <f>IFERROR(VLOOKUP(I858,KET!$B:$F,5,0),"")</f>
        <v>GMM</v>
      </c>
      <c r="G858" s="20">
        <f>IFERROR(INDEX('Kode Outlet dan Target Toko'!$C:$C,MATCH($I858,'Kode Outlet dan Target Toko'!$E:$E,0)),0)</f>
        <v>103277</v>
      </c>
      <c r="H858" s="20">
        <f>IFERROR(INDEX('Kode Outlet dan Target Toko'!$D:$D,MATCH($I858,'Kode Outlet dan Target Toko'!$E:$E,0)),0)</f>
        <v>6300700</v>
      </c>
      <c r="I858" s="50" t="s">
        <v>30</v>
      </c>
      <c r="J858" s="19" t="s">
        <v>182</v>
      </c>
      <c r="K858" s="54" t="s">
        <v>15</v>
      </c>
      <c r="L858" s="24">
        <v>3000</v>
      </c>
      <c r="M858" s="24">
        <v>25</v>
      </c>
      <c r="N858" s="25">
        <f t="shared" si="27"/>
        <v>75000</v>
      </c>
      <c r="O858" s="24"/>
    </row>
    <row r="859" spans="1:15" ht="15.75" hidden="1" customHeight="1" x14ac:dyDescent="0.3">
      <c r="A859" s="24">
        <v>27</v>
      </c>
      <c r="B859" s="20" t="str">
        <f t="shared" si="26"/>
        <v>JUL</v>
      </c>
      <c r="C859" s="21">
        <v>46206</v>
      </c>
      <c r="D859" s="22" t="str">
        <f t="array" ref="D859">IFERROR(INDEX('Kode Outlet dan Target Toko'!$A:$A,MATCH($I859,'Kode Outlet dan Target Toko'!$E:$E,0)),"")</f>
        <v>GRSM 4</v>
      </c>
      <c r="E859" s="20" t="str">
        <f>IFERROR(VLOOKUP(I859,KET!$B:$F,4,0),"")</f>
        <v>FAHMI LUKMANUL HAKIM</v>
      </c>
      <c r="F859" s="20" t="str">
        <f>IFERROR(VLOOKUP(I859,KET!$B:$F,5,0),"")</f>
        <v>GMM</v>
      </c>
      <c r="G859" s="20">
        <f>IFERROR(INDEX('Kode Outlet dan Target Toko'!$C:$C,MATCH($I859,'Kode Outlet dan Target Toko'!$E:$E,0)),0)</f>
        <v>103277</v>
      </c>
      <c r="H859" s="20">
        <f>IFERROR(INDEX('Kode Outlet dan Target Toko'!$D:$D,MATCH($I859,'Kode Outlet dan Target Toko'!$E:$E,0)),0)</f>
        <v>6300700</v>
      </c>
      <c r="I859" s="50" t="s">
        <v>30</v>
      </c>
      <c r="J859" s="19" t="s">
        <v>182</v>
      </c>
      <c r="K859" s="54" t="s">
        <v>14</v>
      </c>
      <c r="L859" s="24">
        <v>3000</v>
      </c>
      <c r="M859" s="24">
        <v>42</v>
      </c>
      <c r="N859" s="25">
        <f t="shared" si="27"/>
        <v>126000</v>
      </c>
      <c r="O859" s="24"/>
    </row>
    <row r="860" spans="1:15" ht="15.75" hidden="1" customHeight="1" x14ac:dyDescent="0.3">
      <c r="A860" s="24">
        <v>27</v>
      </c>
      <c r="B860" s="20" t="str">
        <f t="shared" si="26"/>
        <v>JUL</v>
      </c>
      <c r="C860" s="21">
        <v>46206</v>
      </c>
      <c r="D860" s="22" t="str">
        <f t="array" ref="D860">IFERROR(INDEX('Kode Outlet dan Target Toko'!$A:$A,MATCH($I860,'Kode Outlet dan Target Toko'!$E:$E,0)),"")</f>
        <v>GRSM 4</v>
      </c>
      <c r="E860" s="20" t="str">
        <f>IFERROR(VLOOKUP(I860,KET!$B:$F,4,0),"")</f>
        <v>FAHMI LUKMANUL HAKIM</v>
      </c>
      <c r="F860" s="20" t="str">
        <f>IFERROR(VLOOKUP(I860,KET!$B:$F,5,0),"")</f>
        <v>GMM</v>
      </c>
      <c r="G860" s="20">
        <f>IFERROR(INDEX('Kode Outlet dan Target Toko'!$C:$C,MATCH($I860,'Kode Outlet dan Target Toko'!$E:$E,0)),0)</f>
        <v>103277</v>
      </c>
      <c r="H860" s="20">
        <f>IFERROR(INDEX('Kode Outlet dan Target Toko'!$D:$D,MATCH($I860,'Kode Outlet dan Target Toko'!$E:$E,0)),0)</f>
        <v>6300700</v>
      </c>
      <c r="I860" s="50" t="s">
        <v>30</v>
      </c>
      <c r="J860" s="19" t="s">
        <v>182</v>
      </c>
      <c r="K860" s="54" t="s">
        <v>13</v>
      </c>
      <c r="L860" s="24">
        <v>3000</v>
      </c>
      <c r="M860" s="24">
        <v>45</v>
      </c>
      <c r="N860" s="25">
        <f t="shared" si="27"/>
        <v>135000</v>
      </c>
      <c r="O860" s="24"/>
    </row>
    <row r="861" spans="1:15" ht="15.75" hidden="1" customHeight="1" x14ac:dyDescent="0.3">
      <c r="A861" s="24">
        <v>27</v>
      </c>
      <c r="B861" s="20" t="str">
        <f t="shared" si="26"/>
        <v>JUL</v>
      </c>
      <c r="C861" s="21">
        <v>46206</v>
      </c>
      <c r="D861" s="22" t="str">
        <f t="array" ref="D861">IFERROR(INDEX('Kode Outlet dan Target Toko'!$A:$A,MATCH($I861,'Kode Outlet dan Target Toko'!$E:$E,0)),"")</f>
        <v>GRSM 4</v>
      </c>
      <c r="E861" s="20" t="str">
        <f>IFERROR(VLOOKUP(I861,KET!$B:$F,4,0),"")</f>
        <v>FAHMI LUKMANUL HAKIM</v>
      </c>
      <c r="F861" s="20" t="str">
        <f>IFERROR(VLOOKUP(I861,KET!$B:$F,5,0),"")</f>
        <v>GMM</v>
      </c>
      <c r="G861" s="20">
        <f>IFERROR(INDEX('Kode Outlet dan Target Toko'!$C:$C,MATCH($I861,'Kode Outlet dan Target Toko'!$E:$E,0)),0)</f>
        <v>103277</v>
      </c>
      <c r="H861" s="20">
        <f>IFERROR(INDEX('Kode Outlet dan Target Toko'!$D:$D,MATCH($I861,'Kode Outlet dan Target Toko'!$E:$E,0)),0)</f>
        <v>6300700</v>
      </c>
      <c r="I861" s="50" t="s">
        <v>30</v>
      </c>
      <c r="J861" s="19" t="s">
        <v>182</v>
      </c>
      <c r="K861" s="54" t="s">
        <v>16</v>
      </c>
      <c r="L861" s="24">
        <v>3000</v>
      </c>
      <c r="M861" s="24">
        <v>200</v>
      </c>
      <c r="N861" s="25">
        <f t="shared" si="27"/>
        <v>600000</v>
      </c>
      <c r="O861" s="24">
        <v>120</v>
      </c>
    </row>
    <row r="862" spans="1:15" ht="15.75" hidden="1" customHeight="1" x14ac:dyDescent="0.3">
      <c r="A862" s="24">
        <v>27</v>
      </c>
      <c r="B862" s="20" t="str">
        <f t="shared" si="26"/>
        <v>JUL</v>
      </c>
      <c r="C862" s="21">
        <v>46206</v>
      </c>
      <c r="D862" s="22" t="str">
        <f t="array" ref="D862">IFERROR(INDEX('Kode Outlet dan Target Toko'!$A:$A,MATCH($I862,'Kode Outlet dan Target Toko'!$E:$E,0)),"")</f>
        <v>GRSM 4</v>
      </c>
      <c r="E862" s="20" t="str">
        <f>IFERROR(VLOOKUP(I862,KET!$B:$F,4,0),"")</f>
        <v>FAHMI LUKMANUL HAKIM</v>
      </c>
      <c r="F862" s="20" t="str">
        <f>IFERROR(VLOOKUP(I862,KET!$B:$F,5,0),"")</f>
        <v>GMM</v>
      </c>
      <c r="G862" s="20">
        <f>IFERROR(INDEX('Kode Outlet dan Target Toko'!$C:$C,MATCH($I862,'Kode Outlet dan Target Toko'!$E:$E,0)),0)</f>
        <v>103259</v>
      </c>
      <c r="H862" s="20">
        <f>IFERROR(INDEX('Kode Outlet dan Target Toko'!$D:$D,MATCH($I862,'Kode Outlet dan Target Toko'!$E:$E,0)),0)</f>
        <v>9029389</v>
      </c>
      <c r="I862" s="51" t="s">
        <v>27</v>
      </c>
      <c r="J862" s="27" t="s">
        <v>178</v>
      </c>
      <c r="K862" s="54" t="s">
        <v>15</v>
      </c>
      <c r="L862" s="24">
        <v>3000</v>
      </c>
      <c r="M862" s="24">
        <v>70</v>
      </c>
      <c r="N862" s="25">
        <f t="shared" si="27"/>
        <v>210000</v>
      </c>
      <c r="O862" s="24"/>
    </row>
    <row r="863" spans="1:15" ht="15.75" hidden="1" customHeight="1" x14ac:dyDescent="0.3">
      <c r="A863" s="24">
        <v>27</v>
      </c>
      <c r="B863" s="20" t="str">
        <f t="shared" si="26"/>
        <v>JUL</v>
      </c>
      <c r="C863" s="21">
        <v>46206</v>
      </c>
      <c r="D863" s="22" t="str">
        <f t="array" ref="D863">IFERROR(INDEX('Kode Outlet dan Target Toko'!$A:$A,MATCH($I863,'Kode Outlet dan Target Toko'!$E:$E,0)),"")</f>
        <v>GRSM 4</v>
      </c>
      <c r="E863" s="20" t="str">
        <f>IFERROR(VLOOKUP(I863,KET!$B:$F,4,0),"")</f>
        <v>FAHMI LUKMANUL HAKIM</v>
      </c>
      <c r="F863" s="20" t="str">
        <f>IFERROR(VLOOKUP(I863,KET!$B:$F,5,0),"")</f>
        <v>GMM</v>
      </c>
      <c r="G863" s="20">
        <f>IFERROR(INDEX('Kode Outlet dan Target Toko'!$C:$C,MATCH($I863,'Kode Outlet dan Target Toko'!$E:$E,0)),0)</f>
        <v>103259</v>
      </c>
      <c r="H863" s="20">
        <f>IFERROR(INDEX('Kode Outlet dan Target Toko'!$D:$D,MATCH($I863,'Kode Outlet dan Target Toko'!$E:$E,0)),0)</f>
        <v>9029389</v>
      </c>
      <c r="I863" s="51" t="s">
        <v>27</v>
      </c>
      <c r="J863" s="27" t="s">
        <v>178</v>
      </c>
      <c r="K863" s="54" t="s">
        <v>14</v>
      </c>
      <c r="L863" s="24">
        <v>3000</v>
      </c>
      <c r="M863" s="24">
        <v>88</v>
      </c>
      <c r="N863" s="25">
        <f t="shared" si="27"/>
        <v>264000</v>
      </c>
      <c r="O863" s="24"/>
    </row>
    <row r="864" spans="1:15" ht="15.75" hidden="1" customHeight="1" x14ac:dyDescent="0.3">
      <c r="A864" s="24">
        <v>27</v>
      </c>
      <c r="B864" s="20" t="str">
        <f t="shared" si="26"/>
        <v>JUL</v>
      </c>
      <c r="C864" s="21">
        <v>46206</v>
      </c>
      <c r="D864" s="22" t="str">
        <f t="array" ref="D864">IFERROR(INDEX('Kode Outlet dan Target Toko'!$A:$A,MATCH($I864,'Kode Outlet dan Target Toko'!$E:$E,0)),"")</f>
        <v>GRSM 4</v>
      </c>
      <c r="E864" s="20" t="str">
        <f>IFERROR(VLOOKUP(I864,KET!$B:$F,4,0),"")</f>
        <v>FAHMI LUKMANUL HAKIM</v>
      </c>
      <c r="F864" s="20" t="str">
        <f>IFERROR(VLOOKUP(I864,KET!$B:$F,5,0),"")</f>
        <v>GMM</v>
      </c>
      <c r="G864" s="20">
        <f>IFERROR(INDEX('Kode Outlet dan Target Toko'!$C:$C,MATCH($I864,'Kode Outlet dan Target Toko'!$E:$E,0)),0)</f>
        <v>103259</v>
      </c>
      <c r="H864" s="20">
        <f>IFERROR(INDEX('Kode Outlet dan Target Toko'!$D:$D,MATCH($I864,'Kode Outlet dan Target Toko'!$E:$E,0)),0)</f>
        <v>9029389</v>
      </c>
      <c r="I864" s="51" t="s">
        <v>27</v>
      </c>
      <c r="J864" s="27" t="s">
        <v>178</v>
      </c>
      <c r="K864" s="54" t="s">
        <v>13</v>
      </c>
      <c r="L864" s="24">
        <v>3000</v>
      </c>
      <c r="M864" s="24">
        <v>46</v>
      </c>
      <c r="N864" s="25">
        <f t="shared" si="27"/>
        <v>138000</v>
      </c>
      <c r="O864" s="24"/>
    </row>
    <row r="865" spans="1:15" ht="15.75" hidden="1" customHeight="1" x14ac:dyDescent="0.3">
      <c r="A865" s="24">
        <v>27</v>
      </c>
      <c r="B865" s="20" t="str">
        <f t="shared" si="26"/>
        <v>JUL</v>
      </c>
      <c r="C865" s="21">
        <v>46206</v>
      </c>
      <c r="D865" s="22" t="str">
        <f t="array" ref="D865">IFERROR(INDEX('Kode Outlet dan Target Toko'!$A:$A,MATCH($I865,'Kode Outlet dan Target Toko'!$E:$E,0)),"")</f>
        <v>GRSM 4</v>
      </c>
      <c r="E865" s="20" t="str">
        <f>IFERROR(VLOOKUP(I865,KET!$B:$F,4,0),"")</f>
        <v>FAHMI LUKMANUL HAKIM</v>
      </c>
      <c r="F865" s="20" t="str">
        <f>IFERROR(VLOOKUP(I865,KET!$B:$F,5,0),"")</f>
        <v>GMM</v>
      </c>
      <c r="G865" s="20">
        <f>IFERROR(INDEX('Kode Outlet dan Target Toko'!$C:$C,MATCH($I865,'Kode Outlet dan Target Toko'!$E:$E,0)),0)</f>
        <v>103259</v>
      </c>
      <c r="H865" s="20">
        <f>IFERROR(INDEX('Kode Outlet dan Target Toko'!$D:$D,MATCH($I865,'Kode Outlet dan Target Toko'!$E:$E,0)),0)</f>
        <v>9029389</v>
      </c>
      <c r="I865" s="51" t="s">
        <v>27</v>
      </c>
      <c r="J865" s="27" t="s">
        <v>178</v>
      </c>
      <c r="K865" s="54" t="s">
        <v>16</v>
      </c>
      <c r="L865" s="24">
        <v>3000</v>
      </c>
      <c r="M865" s="24">
        <v>197</v>
      </c>
      <c r="N865" s="25">
        <f t="shared" si="27"/>
        <v>591000</v>
      </c>
      <c r="O865" s="24">
        <v>160</v>
      </c>
    </row>
    <row r="866" spans="1:15" ht="15.75" hidden="1" customHeight="1" x14ac:dyDescent="0.3">
      <c r="A866" s="24">
        <v>27</v>
      </c>
      <c r="B866" s="20" t="str">
        <f t="shared" si="26"/>
        <v>JUL</v>
      </c>
      <c r="C866" s="21">
        <v>46206</v>
      </c>
      <c r="D866" s="22" t="str">
        <f t="array" ref="D866">IFERROR(INDEX('Kode Outlet dan Target Toko'!$A:$A,MATCH($I866,'Kode Outlet dan Target Toko'!$E:$E,0)),"")</f>
        <v>GRSM 4</v>
      </c>
      <c r="E866" s="20" t="str">
        <f>IFERROR(VLOOKUP(I866,KET!$B:$F,4,0),"")</f>
        <v>FAHMI LUKMANUL HAKIM</v>
      </c>
      <c r="F866" s="20" t="str">
        <f>IFERROR(VLOOKUP(I866,KET!$B:$F,5,0),"")</f>
        <v>GMM</v>
      </c>
      <c r="G866" s="20">
        <f>IFERROR(INDEX('Kode Outlet dan Target Toko'!$C:$C,MATCH($I866,'Kode Outlet dan Target Toko'!$E:$E,0)),0)</f>
        <v>103277</v>
      </c>
      <c r="H866" s="20">
        <f>IFERROR(INDEX('Kode Outlet dan Target Toko'!$D:$D,MATCH($I866,'Kode Outlet dan Target Toko'!$E:$E,0)),0)</f>
        <v>6300700</v>
      </c>
      <c r="I866" s="50" t="s">
        <v>30</v>
      </c>
      <c r="J866" s="56" t="s">
        <v>183</v>
      </c>
      <c r="K866" s="54" t="s">
        <v>15</v>
      </c>
      <c r="L866" s="24">
        <v>3000</v>
      </c>
      <c r="M866" s="24">
        <v>30</v>
      </c>
      <c r="N866" s="25">
        <f t="shared" si="27"/>
        <v>90000</v>
      </c>
      <c r="O866" s="24"/>
    </row>
    <row r="867" spans="1:15" ht="15.75" hidden="1" customHeight="1" x14ac:dyDescent="0.3">
      <c r="A867" s="24">
        <v>27</v>
      </c>
      <c r="B867" s="20" t="str">
        <f t="shared" si="26"/>
        <v>JUL</v>
      </c>
      <c r="C867" s="21">
        <v>46206</v>
      </c>
      <c r="D867" s="22" t="str">
        <f t="array" ref="D867">IFERROR(INDEX('Kode Outlet dan Target Toko'!$A:$A,MATCH($I867,'Kode Outlet dan Target Toko'!$E:$E,0)),"")</f>
        <v>GRSM 4</v>
      </c>
      <c r="E867" s="20" t="str">
        <f>IFERROR(VLOOKUP(I867,KET!$B:$F,4,0),"")</f>
        <v>FAHMI LUKMANUL HAKIM</v>
      </c>
      <c r="F867" s="20" t="str">
        <f>IFERROR(VLOOKUP(I867,KET!$B:$F,5,0),"")</f>
        <v>GMM</v>
      </c>
      <c r="G867" s="20">
        <f>IFERROR(INDEX('Kode Outlet dan Target Toko'!$C:$C,MATCH($I867,'Kode Outlet dan Target Toko'!$E:$E,0)),0)</f>
        <v>103277</v>
      </c>
      <c r="H867" s="20">
        <f>IFERROR(INDEX('Kode Outlet dan Target Toko'!$D:$D,MATCH($I867,'Kode Outlet dan Target Toko'!$E:$E,0)),0)</f>
        <v>6300700</v>
      </c>
      <c r="I867" s="50" t="s">
        <v>30</v>
      </c>
      <c r="J867" s="56" t="s">
        <v>183</v>
      </c>
      <c r="K867" s="54" t="s">
        <v>14</v>
      </c>
      <c r="L867" s="24">
        <v>3000</v>
      </c>
      <c r="M867" s="24">
        <v>50</v>
      </c>
      <c r="N867" s="25">
        <f t="shared" si="27"/>
        <v>150000</v>
      </c>
      <c r="O867" s="24"/>
    </row>
    <row r="868" spans="1:15" ht="15.75" hidden="1" customHeight="1" x14ac:dyDescent="0.3">
      <c r="A868" s="24">
        <v>27</v>
      </c>
      <c r="B868" s="20" t="str">
        <f t="shared" si="26"/>
        <v>JUL</v>
      </c>
      <c r="C868" s="21">
        <v>46206</v>
      </c>
      <c r="D868" s="22" t="str">
        <f t="array" ref="D868">IFERROR(INDEX('Kode Outlet dan Target Toko'!$A:$A,MATCH($I868,'Kode Outlet dan Target Toko'!$E:$E,0)),"")</f>
        <v>GRSM 4</v>
      </c>
      <c r="E868" s="20" t="str">
        <f>IFERROR(VLOOKUP(I868,KET!$B:$F,4,0),"")</f>
        <v>FAHMI LUKMANUL HAKIM</v>
      </c>
      <c r="F868" s="20" t="str">
        <f>IFERROR(VLOOKUP(I868,KET!$B:$F,5,0),"")</f>
        <v>GMM</v>
      </c>
      <c r="G868" s="20">
        <f>IFERROR(INDEX('Kode Outlet dan Target Toko'!$C:$C,MATCH($I868,'Kode Outlet dan Target Toko'!$E:$E,0)),0)</f>
        <v>103277</v>
      </c>
      <c r="H868" s="20">
        <f>IFERROR(INDEX('Kode Outlet dan Target Toko'!$D:$D,MATCH($I868,'Kode Outlet dan Target Toko'!$E:$E,0)),0)</f>
        <v>6300700</v>
      </c>
      <c r="I868" s="50" t="s">
        <v>30</v>
      </c>
      <c r="J868" s="56" t="s">
        <v>183</v>
      </c>
      <c r="K868" s="54" t="s">
        <v>13</v>
      </c>
      <c r="L868" s="24">
        <v>3000</v>
      </c>
      <c r="M868" s="24">
        <v>40</v>
      </c>
      <c r="N868" s="25">
        <f t="shared" si="27"/>
        <v>120000</v>
      </c>
      <c r="O868" s="24"/>
    </row>
    <row r="869" spans="1:15" ht="15.75" hidden="1" customHeight="1" x14ac:dyDescent="0.3">
      <c r="A869" s="24">
        <v>27</v>
      </c>
      <c r="B869" s="20" t="str">
        <f t="shared" si="26"/>
        <v>JUL</v>
      </c>
      <c r="C869" s="21">
        <v>46206</v>
      </c>
      <c r="D869" s="22" t="str">
        <f t="array" ref="D869">IFERROR(INDEX('Kode Outlet dan Target Toko'!$A:$A,MATCH($I869,'Kode Outlet dan Target Toko'!$E:$E,0)),"")</f>
        <v>GRSM 4</v>
      </c>
      <c r="E869" s="20" t="str">
        <f>IFERROR(VLOOKUP(I869,KET!$B:$F,4,0),"")</f>
        <v>FAHMI LUKMANUL HAKIM</v>
      </c>
      <c r="F869" s="20" t="str">
        <f>IFERROR(VLOOKUP(I869,KET!$B:$F,5,0),"")</f>
        <v>GMM</v>
      </c>
      <c r="G869" s="20">
        <f>IFERROR(INDEX('Kode Outlet dan Target Toko'!$C:$C,MATCH($I869,'Kode Outlet dan Target Toko'!$E:$E,0)),0)</f>
        <v>103277</v>
      </c>
      <c r="H869" s="20">
        <f>IFERROR(INDEX('Kode Outlet dan Target Toko'!$D:$D,MATCH($I869,'Kode Outlet dan Target Toko'!$E:$E,0)),0)</f>
        <v>6300700</v>
      </c>
      <c r="I869" s="50" t="s">
        <v>30</v>
      </c>
      <c r="J869" s="56" t="s">
        <v>183</v>
      </c>
      <c r="K869" s="54" t="s">
        <v>16</v>
      </c>
      <c r="L869" s="24">
        <v>3000</v>
      </c>
      <c r="M869" s="24">
        <v>200</v>
      </c>
      <c r="N869" s="25">
        <f t="shared" si="27"/>
        <v>600000</v>
      </c>
      <c r="O869" s="24">
        <v>120</v>
      </c>
    </row>
    <row r="870" spans="1:15" ht="15.75" hidden="1" customHeight="1" x14ac:dyDescent="0.3">
      <c r="A870" s="24">
        <v>27</v>
      </c>
      <c r="B870" s="20" t="str">
        <f t="shared" si="26"/>
        <v>JUL</v>
      </c>
      <c r="C870" s="21">
        <v>46206</v>
      </c>
      <c r="D870" s="22" t="str">
        <f t="array" ref="D870">IFERROR(INDEX('Kode Outlet dan Target Toko'!$A:$A,MATCH($I870,'Kode Outlet dan Target Toko'!$E:$E,0)),"")</f>
        <v>GRSM 4</v>
      </c>
      <c r="E870" s="20" t="str">
        <f>IFERROR(VLOOKUP(I870,KET!$B:$F,4,0),"")</f>
        <v>FAHMI LUKMANUL HAKIM</v>
      </c>
      <c r="F870" s="20" t="str">
        <f>IFERROR(VLOOKUP(I870,KET!$B:$F,5,0),"")</f>
        <v>GMM</v>
      </c>
      <c r="G870" s="20">
        <f>IFERROR(INDEX('Kode Outlet dan Target Toko'!$C:$C,MATCH($I870,'Kode Outlet dan Target Toko'!$E:$E,0)),0)</f>
        <v>121409</v>
      </c>
      <c r="H870" s="20">
        <f>IFERROR(INDEX('Kode Outlet dan Target Toko'!$D:$D,MATCH($I870,'Kode Outlet dan Target Toko'!$E:$E,0)),0)</f>
        <v>5205014</v>
      </c>
      <c r="I870" s="50" t="s">
        <v>31</v>
      </c>
      <c r="J870" s="19" t="s">
        <v>184</v>
      </c>
      <c r="K870" s="54" t="s">
        <v>15</v>
      </c>
      <c r="L870" s="24">
        <v>2100</v>
      </c>
      <c r="M870" s="24">
        <v>80</v>
      </c>
      <c r="N870" s="25">
        <f t="shared" si="27"/>
        <v>168000</v>
      </c>
      <c r="O870" s="24"/>
    </row>
    <row r="871" spans="1:15" ht="15.75" hidden="1" customHeight="1" x14ac:dyDescent="0.3">
      <c r="A871" s="24">
        <v>27</v>
      </c>
      <c r="B871" s="20" t="str">
        <f t="shared" si="26"/>
        <v>JUL</v>
      </c>
      <c r="C871" s="21">
        <v>46206</v>
      </c>
      <c r="D871" s="22" t="str">
        <f t="array" ref="D871">IFERROR(INDEX('Kode Outlet dan Target Toko'!$A:$A,MATCH($I871,'Kode Outlet dan Target Toko'!$E:$E,0)),"")</f>
        <v>GRSM 4</v>
      </c>
      <c r="E871" s="20" t="str">
        <f>IFERROR(VLOOKUP(I871,KET!$B:$F,4,0),"")</f>
        <v>FAHMI LUKMANUL HAKIM</v>
      </c>
      <c r="F871" s="20" t="str">
        <f>IFERROR(VLOOKUP(I871,KET!$B:$F,5,0),"")</f>
        <v>GMM</v>
      </c>
      <c r="G871" s="20">
        <f>IFERROR(INDEX('Kode Outlet dan Target Toko'!$C:$C,MATCH($I871,'Kode Outlet dan Target Toko'!$E:$E,0)),0)</f>
        <v>121409</v>
      </c>
      <c r="H871" s="20">
        <f>IFERROR(INDEX('Kode Outlet dan Target Toko'!$D:$D,MATCH($I871,'Kode Outlet dan Target Toko'!$E:$E,0)),0)</f>
        <v>5205014</v>
      </c>
      <c r="I871" s="50" t="s">
        <v>31</v>
      </c>
      <c r="J871" s="19" t="s">
        <v>184</v>
      </c>
      <c r="K871" s="54" t="s">
        <v>14</v>
      </c>
      <c r="L871" s="24">
        <v>2100</v>
      </c>
      <c r="M871" s="24">
        <v>105</v>
      </c>
      <c r="N871" s="25">
        <f t="shared" si="27"/>
        <v>220500</v>
      </c>
      <c r="O871" s="24"/>
    </row>
    <row r="872" spans="1:15" ht="15.75" hidden="1" customHeight="1" x14ac:dyDescent="0.3">
      <c r="A872" s="24">
        <v>27</v>
      </c>
      <c r="B872" s="20" t="str">
        <f t="shared" si="26"/>
        <v>JUL</v>
      </c>
      <c r="C872" s="21">
        <v>46206</v>
      </c>
      <c r="D872" s="22" t="str">
        <f t="array" ref="D872">IFERROR(INDEX('Kode Outlet dan Target Toko'!$A:$A,MATCH($I872,'Kode Outlet dan Target Toko'!$E:$E,0)),"")</f>
        <v>GRSM 4</v>
      </c>
      <c r="E872" s="20" t="str">
        <f>IFERROR(VLOOKUP(I872,KET!$B:$F,4,0),"")</f>
        <v>FAHMI LUKMANUL HAKIM</v>
      </c>
      <c r="F872" s="20" t="str">
        <f>IFERROR(VLOOKUP(I872,KET!$B:$F,5,0),"")</f>
        <v>GMM</v>
      </c>
      <c r="G872" s="20">
        <f>IFERROR(INDEX('Kode Outlet dan Target Toko'!$C:$C,MATCH($I872,'Kode Outlet dan Target Toko'!$E:$E,0)),0)</f>
        <v>121409</v>
      </c>
      <c r="H872" s="20">
        <f>IFERROR(INDEX('Kode Outlet dan Target Toko'!$D:$D,MATCH($I872,'Kode Outlet dan Target Toko'!$E:$E,0)),0)</f>
        <v>5205014</v>
      </c>
      <c r="I872" s="50" t="s">
        <v>31</v>
      </c>
      <c r="J872" s="19" t="s">
        <v>184</v>
      </c>
      <c r="K872" s="54" t="s">
        <v>13</v>
      </c>
      <c r="L872" s="24">
        <v>2100</v>
      </c>
      <c r="M872" s="24">
        <v>83</v>
      </c>
      <c r="N872" s="25">
        <f t="shared" si="27"/>
        <v>174300</v>
      </c>
      <c r="O872" s="24"/>
    </row>
    <row r="873" spans="1:15" ht="15.75" hidden="1" customHeight="1" x14ac:dyDescent="0.3">
      <c r="A873" s="24">
        <v>27</v>
      </c>
      <c r="B873" s="20" t="str">
        <f t="shared" si="26"/>
        <v>JUL</v>
      </c>
      <c r="C873" s="21">
        <v>46206</v>
      </c>
      <c r="D873" s="22" t="str">
        <f t="array" ref="D873">IFERROR(INDEX('Kode Outlet dan Target Toko'!$A:$A,MATCH($I873,'Kode Outlet dan Target Toko'!$E:$E,0)),"")</f>
        <v>GRSM 4</v>
      </c>
      <c r="E873" s="20" t="str">
        <f>IFERROR(VLOOKUP(I873,KET!$B:$F,4,0),"")</f>
        <v>FAHMI LUKMANUL HAKIM</v>
      </c>
      <c r="F873" s="20" t="str">
        <f>IFERROR(VLOOKUP(I873,KET!$B:$F,5,0),"")</f>
        <v>GMM</v>
      </c>
      <c r="G873" s="20">
        <f>IFERROR(INDEX('Kode Outlet dan Target Toko'!$C:$C,MATCH($I873,'Kode Outlet dan Target Toko'!$E:$E,0)),0)</f>
        <v>121409</v>
      </c>
      <c r="H873" s="20">
        <f>IFERROR(INDEX('Kode Outlet dan Target Toko'!$D:$D,MATCH($I873,'Kode Outlet dan Target Toko'!$E:$E,0)),0)</f>
        <v>5205014</v>
      </c>
      <c r="I873" s="50" t="s">
        <v>31</v>
      </c>
      <c r="J873" s="19" t="s">
        <v>184</v>
      </c>
      <c r="K873" s="54" t="s">
        <v>16</v>
      </c>
      <c r="L873" s="24">
        <v>2100</v>
      </c>
      <c r="M873" s="24">
        <v>347</v>
      </c>
      <c r="N873" s="25">
        <f t="shared" si="27"/>
        <v>728700</v>
      </c>
      <c r="O873" s="24">
        <v>160</v>
      </c>
    </row>
    <row r="874" spans="1:15" ht="15.75" hidden="1" customHeight="1" x14ac:dyDescent="0.3">
      <c r="A874" s="24">
        <v>27</v>
      </c>
      <c r="B874" s="20" t="str">
        <f t="shared" si="26"/>
        <v>JUL</v>
      </c>
      <c r="C874" s="21">
        <v>46206</v>
      </c>
      <c r="D874" s="22" t="str">
        <f t="array" ref="D874">IFERROR(INDEX('Kode Outlet dan Target Toko'!$A:$A,MATCH($I874,'Kode Outlet dan Target Toko'!$E:$E,0)),"")</f>
        <v>GRSM 4</v>
      </c>
      <c r="E874" s="20" t="str">
        <f>IFERROR(VLOOKUP(I874,KET!$B:$F,4,0),"")</f>
        <v>FAHMI LUKMANUL HAKIM</v>
      </c>
      <c r="F874" s="20" t="str">
        <f>IFERROR(VLOOKUP(I874,KET!$B:$F,5,0),"")</f>
        <v>GMM</v>
      </c>
      <c r="G874" s="20">
        <f>IFERROR(INDEX('Kode Outlet dan Target Toko'!$C:$C,MATCH($I874,'Kode Outlet dan Target Toko'!$E:$E,0)),0)</f>
        <v>121409</v>
      </c>
      <c r="H874" s="20">
        <f>IFERROR(INDEX('Kode Outlet dan Target Toko'!$D:$D,MATCH($I874,'Kode Outlet dan Target Toko'!$E:$E,0)),0)</f>
        <v>5205014</v>
      </c>
      <c r="I874" s="50" t="s">
        <v>31</v>
      </c>
      <c r="J874" s="19" t="s">
        <v>185</v>
      </c>
      <c r="K874" s="54" t="s">
        <v>15</v>
      </c>
      <c r="L874" s="24">
        <v>2100</v>
      </c>
      <c r="M874" s="24">
        <v>80</v>
      </c>
      <c r="N874" s="25">
        <f t="shared" si="27"/>
        <v>168000</v>
      </c>
      <c r="O874" s="24"/>
    </row>
    <row r="875" spans="1:15" ht="15.75" hidden="1" customHeight="1" x14ac:dyDescent="0.3">
      <c r="A875" s="24">
        <v>27</v>
      </c>
      <c r="B875" s="20" t="str">
        <f t="shared" si="26"/>
        <v>JUL</v>
      </c>
      <c r="C875" s="21">
        <v>46206</v>
      </c>
      <c r="D875" s="22" t="str">
        <f t="array" ref="D875">IFERROR(INDEX('Kode Outlet dan Target Toko'!$A:$A,MATCH($I875,'Kode Outlet dan Target Toko'!$E:$E,0)),"")</f>
        <v>GRSM 4</v>
      </c>
      <c r="E875" s="20" t="str">
        <f>IFERROR(VLOOKUP(I875,KET!$B:$F,4,0),"")</f>
        <v>FAHMI LUKMANUL HAKIM</v>
      </c>
      <c r="F875" s="20" t="str">
        <f>IFERROR(VLOOKUP(I875,KET!$B:$F,5,0),"")</f>
        <v>GMM</v>
      </c>
      <c r="G875" s="20">
        <f>IFERROR(INDEX('Kode Outlet dan Target Toko'!$C:$C,MATCH($I875,'Kode Outlet dan Target Toko'!$E:$E,0)),0)</f>
        <v>121409</v>
      </c>
      <c r="H875" s="20">
        <f>IFERROR(INDEX('Kode Outlet dan Target Toko'!$D:$D,MATCH($I875,'Kode Outlet dan Target Toko'!$E:$E,0)),0)</f>
        <v>5205014</v>
      </c>
      <c r="I875" s="50" t="s">
        <v>31</v>
      </c>
      <c r="J875" s="19" t="s">
        <v>185</v>
      </c>
      <c r="K875" s="54" t="s">
        <v>14</v>
      </c>
      <c r="L875" s="24">
        <v>2100</v>
      </c>
      <c r="M875" s="24">
        <v>105</v>
      </c>
      <c r="N875" s="25">
        <f t="shared" si="27"/>
        <v>220500</v>
      </c>
      <c r="O875" s="24"/>
    </row>
    <row r="876" spans="1:15" ht="15.75" hidden="1" customHeight="1" x14ac:dyDescent="0.3">
      <c r="A876" s="24">
        <v>27</v>
      </c>
      <c r="B876" s="20" t="str">
        <f t="shared" si="26"/>
        <v>JUL</v>
      </c>
      <c r="C876" s="21">
        <v>46206</v>
      </c>
      <c r="D876" s="22" t="str">
        <f t="array" ref="D876">IFERROR(INDEX('Kode Outlet dan Target Toko'!$A:$A,MATCH($I876,'Kode Outlet dan Target Toko'!$E:$E,0)),"")</f>
        <v>GRSM 4</v>
      </c>
      <c r="E876" s="20" t="str">
        <f>IFERROR(VLOOKUP(I876,KET!$B:$F,4,0),"")</f>
        <v>FAHMI LUKMANUL HAKIM</v>
      </c>
      <c r="F876" s="20" t="str">
        <f>IFERROR(VLOOKUP(I876,KET!$B:$F,5,0),"")</f>
        <v>GMM</v>
      </c>
      <c r="G876" s="20">
        <f>IFERROR(INDEX('Kode Outlet dan Target Toko'!$C:$C,MATCH($I876,'Kode Outlet dan Target Toko'!$E:$E,0)),0)</f>
        <v>121409</v>
      </c>
      <c r="H876" s="20">
        <f>IFERROR(INDEX('Kode Outlet dan Target Toko'!$D:$D,MATCH($I876,'Kode Outlet dan Target Toko'!$E:$E,0)),0)</f>
        <v>5205014</v>
      </c>
      <c r="I876" s="50" t="s">
        <v>31</v>
      </c>
      <c r="J876" s="19" t="s">
        <v>185</v>
      </c>
      <c r="K876" s="54" t="s">
        <v>13</v>
      </c>
      <c r="L876" s="24">
        <v>2100</v>
      </c>
      <c r="M876" s="24">
        <v>83</v>
      </c>
      <c r="N876" s="25">
        <f t="shared" si="27"/>
        <v>174300</v>
      </c>
      <c r="O876" s="24"/>
    </row>
    <row r="877" spans="1:15" ht="15.75" hidden="1" customHeight="1" x14ac:dyDescent="0.3">
      <c r="A877" s="24">
        <v>27</v>
      </c>
      <c r="B877" s="20" t="str">
        <f t="shared" si="26"/>
        <v>JUL</v>
      </c>
      <c r="C877" s="21">
        <v>46206</v>
      </c>
      <c r="D877" s="22" t="str">
        <f t="array" ref="D877">IFERROR(INDEX('Kode Outlet dan Target Toko'!$A:$A,MATCH($I877,'Kode Outlet dan Target Toko'!$E:$E,0)),"")</f>
        <v>GRSM 4</v>
      </c>
      <c r="E877" s="20" t="str">
        <f>IFERROR(VLOOKUP(I877,KET!$B:$F,4,0),"")</f>
        <v>FAHMI LUKMANUL HAKIM</v>
      </c>
      <c r="F877" s="20" t="str">
        <f>IFERROR(VLOOKUP(I877,KET!$B:$F,5,0),"")</f>
        <v>GMM</v>
      </c>
      <c r="G877" s="20">
        <f>IFERROR(INDEX('Kode Outlet dan Target Toko'!$C:$C,MATCH($I877,'Kode Outlet dan Target Toko'!$E:$E,0)),0)</f>
        <v>121409</v>
      </c>
      <c r="H877" s="20">
        <f>IFERROR(INDEX('Kode Outlet dan Target Toko'!$D:$D,MATCH($I877,'Kode Outlet dan Target Toko'!$E:$E,0)),0)</f>
        <v>5205014</v>
      </c>
      <c r="I877" s="50" t="s">
        <v>31</v>
      </c>
      <c r="J877" s="19" t="s">
        <v>185</v>
      </c>
      <c r="K877" s="54" t="s">
        <v>16</v>
      </c>
      <c r="L877" s="24">
        <v>2100</v>
      </c>
      <c r="M877" s="24">
        <v>347</v>
      </c>
      <c r="N877" s="25">
        <f t="shared" si="27"/>
        <v>728700</v>
      </c>
      <c r="O877" s="24">
        <v>160</v>
      </c>
    </row>
    <row r="878" spans="1:15" ht="15.75" hidden="1" customHeight="1" x14ac:dyDescent="0.3">
      <c r="A878" s="24">
        <v>27</v>
      </c>
      <c r="B878" s="20" t="str">
        <f t="shared" si="26"/>
        <v>JUL</v>
      </c>
      <c r="C878" s="21">
        <v>46207</v>
      </c>
      <c r="D878" s="22" t="str">
        <f t="array" ref="D878">IFERROR(INDEX('Kode Outlet dan Target Toko'!$A:$A,MATCH($I878,'Kode Outlet dan Target Toko'!$E:$E,0)),"")</f>
        <v>GRSM 4</v>
      </c>
      <c r="E878" s="20" t="str">
        <f>IFERROR(VLOOKUP(I878,KET!$B:$F,4,0),"")</f>
        <v>FAHMI LUKMANUL HAKIM</v>
      </c>
      <c r="F878" s="20" t="str">
        <f>IFERROR(VLOOKUP(I878,KET!$B:$F,5,0),"")</f>
        <v>GMM</v>
      </c>
      <c r="G878" s="20">
        <f>IFERROR(INDEX('Kode Outlet dan Target Toko'!$C:$C,MATCH($I878,'Kode Outlet dan Target Toko'!$E:$E,0)),0)</f>
        <v>121409</v>
      </c>
      <c r="H878" s="20">
        <f>IFERROR(INDEX('Kode Outlet dan Target Toko'!$D:$D,MATCH($I878,'Kode Outlet dan Target Toko'!$E:$E,0)),0)</f>
        <v>5205014</v>
      </c>
      <c r="I878" s="50" t="s">
        <v>31</v>
      </c>
      <c r="J878" s="19" t="s">
        <v>185</v>
      </c>
      <c r="K878" s="54" t="s">
        <v>15</v>
      </c>
      <c r="L878" s="24">
        <v>2100</v>
      </c>
      <c r="M878" s="24">
        <v>125</v>
      </c>
      <c r="N878" s="25">
        <f t="shared" si="27"/>
        <v>262500</v>
      </c>
      <c r="O878" s="24"/>
    </row>
    <row r="879" spans="1:15" ht="15.75" hidden="1" customHeight="1" x14ac:dyDescent="0.3">
      <c r="A879" s="24">
        <v>27</v>
      </c>
      <c r="B879" s="20" t="str">
        <f t="shared" si="26"/>
        <v>JUL</v>
      </c>
      <c r="C879" s="21">
        <v>46207</v>
      </c>
      <c r="D879" s="22" t="str">
        <f t="array" ref="D879">IFERROR(INDEX('Kode Outlet dan Target Toko'!$A:$A,MATCH($I879,'Kode Outlet dan Target Toko'!$E:$E,0)),"")</f>
        <v>GRSM 4</v>
      </c>
      <c r="E879" s="20" t="str">
        <f>IFERROR(VLOOKUP(I879,KET!$B:$F,4,0),"")</f>
        <v>FAHMI LUKMANUL HAKIM</v>
      </c>
      <c r="F879" s="20" t="str">
        <f>IFERROR(VLOOKUP(I879,KET!$B:$F,5,0),"")</f>
        <v>GMM</v>
      </c>
      <c r="G879" s="20">
        <f>IFERROR(INDEX('Kode Outlet dan Target Toko'!$C:$C,MATCH($I879,'Kode Outlet dan Target Toko'!$E:$E,0)),0)</f>
        <v>121409</v>
      </c>
      <c r="H879" s="20">
        <f>IFERROR(INDEX('Kode Outlet dan Target Toko'!$D:$D,MATCH($I879,'Kode Outlet dan Target Toko'!$E:$E,0)),0)</f>
        <v>5205014</v>
      </c>
      <c r="I879" s="50" t="s">
        <v>31</v>
      </c>
      <c r="J879" s="19" t="s">
        <v>185</v>
      </c>
      <c r="K879" s="54" t="s">
        <v>14</v>
      </c>
      <c r="L879" s="24">
        <v>2100</v>
      </c>
      <c r="M879" s="24">
        <v>85</v>
      </c>
      <c r="N879" s="25">
        <f t="shared" si="27"/>
        <v>178500</v>
      </c>
      <c r="O879" s="24"/>
    </row>
    <row r="880" spans="1:15" ht="15.75" hidden="1" customHeight="1" x14ac:dyDescent="0.3">
      <c r="A880" s="24">
        <v>27</v>
      </c>
      <c r="B880" s="20" t="str">
        <f t="shared" si="26"/>
        <v>JUL</v>
      </c>
      <c r="C880" s="21">
        <v>46207</v>
      </c>
      <c r="D880" s="22" t="str">
        <f t="array" ref="D880">IFERROR(INDEX('Kode Outlet dan Target Toko'!$A:$A,MATCH($I880,'Kode Outlet dan Target Toko'!$E:$E,0)),"")</f>
        <v>GRSM 4</v>
      </c>
      <c r="E880" s="20" t="str">
        <f>IFERROR(VLOOKUP(I880,KET!$B:$F,4,0),"")</f>
        <v>FAHMI LUKMANUL HAKIM</v>
      </c>
      <c r="F880" s="20" t="str">
        <f>IFERROR(VLOOKUP(I880,KET!$B:$F,5,0),"")</f>
        <v>GMM</v>
      </c>
      <c r="G880" s="20">
        <f>IFERROR(INDEX('Kode Outlet dan Target Toko'!$C:$C,MATCH($I880,'Kode Outlet dan Target Toko'!$E:$E,0)),0)</f>
        <v>121409</v>
      </c>
      <c r="H880" s="20">
        <f>IFERROR(INDEX('Kode Outlet dan Target Toko'!$D:$D,MATCH($I880,'Kode Outlet dan Target Toko'!$E:$E,0)),0)</f>
        <v>5205014</v>
      </c>
      <c r="I880" s="50" t="s">
        <v>31</v>
      </c>
      <c r="J880" s="19" t="s">
        <v>185</v>
      </c>
      <c r="K880" s="54" t="s">
        <v>13</v>
      </c>
      <c r="L880" s="24">
        <v>2100</v>
      </c>
      <c r="M880" s="24">
        <v>97</v>
      </c>
      <c r="N880" s="25">
        <f t="shared" si="27"/>
        <v>203700</v>
      </c>
      <c r="O880" s="24"/>
    </row>
    <row r="881" spans="1:15" ht="15.75" hidden="1" customHeight="1" x14ac:dyDescent="0.3">
      <c r="A881" s="24">
        <v>27</v>
      </c>
      <c r="B881" s="20" t="str">
        <f t="shared" si="26"/>
        <v>JUL</v>
      </c>
      <c r="C881" s="21">
        <v>46207</v>
      </c>
      <c r="D881" s="22" t="str">
        <f t="array" ref="D881">IFERROR(INDEX('Kode Outlet dan Target Toko'!$A:$A,MATCH($I881,'Kode Outlet dan Target Toko'!$E:$E,0)),"")</f>
        <v>GRSM 4</v>
      </c>
      <c r="E881" s="20" t="str">
        <f>IFERROR(VLOOKUP(I881,KET!$B:$F,4,0),"")</f>
        <v>FAHMI LUKMANUL HAKIM</v>
      </c>
      <c r="F881" s="20" t="str">
        <f>IFERROR(VLOOKUP(I881,KET!$B:$F,5,0),"")</f>
        <v>GMM</v>
      </c>
      <c r="G881" s="20">
        <f>IFERROR(INDEX('Kode Outlet dan Target Toko'!$C:$C,MATCH($I881,'Kode Outlet dan Target Toko'!$E:$E,0)),0)</f>
        <v>121409</v>
      </c>
      <c r="H881" s="20">
        <f>IFERROR(INDEX('Kode Outlet dan Target Toko'!$D:$D,MATCH($I881,'Kode Outlet dan Target Toko'!$E:$E,0)),0)</f>
        <v>5205014</v>
      </c>
      <c r="I881" s="50" t="s">
        <v>31</v>
      </c>
      <c r="J881" s="19" t="s">
        <v>185</v>
      </c>
      <c r="K881" s="54" t="s">
        <v>16</v>
      </c>
      <c r="L881" s="24">
        <v>2100</v>
      </c>
      <c r="M881" s="24">
        <v>341</v>
      </c>
      <c r="N881" s="25">
        <f t="shared" si="27"/>
        <v>716100</v>
      </c>
      <c r="O881" s="24">
        <v>160</v>
      </c>
    </row>
    <row r="882" spans="1:15" ht="15.75" hidden="1" customHeight="1" x14ac:dyDescent="0.3">
      <c r="A882" s="24">
        <v>27</v>
      </c>
      <c r="B882" s="20" t="str">
        <f t="shared" si="26"/>
        <v>JUL</v>
      </c>
      <c r="C882" s="21">
        <v>46207</v>
      </c>
      <c r="D882" s="22" t="str">
        <f t="array" ref="D882">IFERROR(INDEX('Kode Outlet dan Target Toko'!$A:$A,MATCH($I882,'Kode Outlet dan Target Toko'!$E:$E,0)),"")</f>
        <v>GRSM 4</v>
      </c>
      <c r="E882" s="20" t="str">
        <f>IFERROR(VLOOKUP(I882,KET!$B:$F,4,0),"")</f>
        <v>FAHMI LUKMANUL HAKIM</v>
      </c>
      <c r="F882" s="20" t="str">
        <f>IFERROR(VLOOKUP(I882,KET!$B:$F,5,0),"")</f>
        <v>GMM</v>
      </c>
      <c r="G882" s="20">
        <f>IFERROR(INDEX('Kode Outlet dan Target Toko'!$C:$C,MATCH($I882,'Kode Outlet dan Target Toko'!$E:$E,0)),0)</f>
        <v>121409</v>
      </c>
      <c r="H882" s="20">
        <f>IFERROR(INDEX('Kode Outlet dan Target Toko'!$D:$D,MATCH($I882,'Kode Outlet dan Target Toko'!$E:$E,0)),0)</f>
        <v>5205014</v>
      </c>
      <c r="I882" s="50" t="s">
        <v>31</v>
      </c>
      <c r="J882" s="19" t="s">
        <v>184</v>
      </c>
      <c r="K882" s="54" t="s">
        <v>15</v>
      </c>
      <c r="L882" s="24">
        <v>2100</v>
      </c>
      <c r="M882" s="24">
        <v>125</v>
      </c>
      <c r="N882" s="25">
        <f t="shared" si="27"/>
        <v>262500</v>
      </c>
      <c r="O882" s="24"/>
    </row>
    <row r="883" spans="1:15" ht="15.75" hidden="1" customHeight="1" x14ac:dyDescent="0.3">
      <c r="A883" s="24">
        <v>27</v>
      </c>
      <c r="B883" s="20" t="str">
        <f t="shared" si="26"/>
        <v>JUL</v>
      </c>
      <c r="C883" s="21">
        <v>46207</v>
      </c>
      <c r="D883" s="22" t="str">
        <f t="array" ref="D883">IFERROR(INDEX('Kode Outlet dan Target Toko'!$A:$A,MATCH($I883,'Kode Outlet dan Target Toko'!$E:$E,0)),"")</f>
        <v>GRSM 4</v>
      </c>
      <c r="E883" s="20" t="str">
        <f>IFERROR(VLOOKUP(I883,KET!$B:$F,4,0),"")</f>
        <v>FAHMI LUKMANUL HAKIM</v>
      </c>
      <c r="F883" s="20" t="str">
        <f>IFERROR(VLOOKUP(I883,KET!$B:$F,5,0),"")</f>
        <v>GMM</v>
      </c>
      <c r="G883" s="20">
        <f>IFERROR(INDEX('Kode Outlet dan Target Toko'!$C:$C,MATCH($I883,'Kode Outlet dan Target Toko'!$E:$E,0)),0)</f>
        <v>121409</v>
      </c>
      <c r="H883" s="20">
        <f>IFERROR(INDEX('Kode Outlet dan Target Toko'!$D:$D,MATCH($I883,'Kode Outlet dan Target Toko'!$E:$E,0)),0)</f>
        <v>5205014</v>
      </c>
      <c r="I883" s="50" t="s">
        <v>31</v>
      </c>
      <c r="J883" s="19" t="s">
        <v>184</v>
      </c>
      <c r="K883" s="54" t="s">
        <v>14</v>
      </c>
      <c r="L883" s="24">
        <v>2100</v>
      </c>
      <c r="M883" s="24">
        <v>85</v>
      </c>
      <c r="N883" s="25">
        <f t="shared" si="27"/>
        <v>178500</v>
      </c>
      <c r="O883" s="24"/>
    </row>
    <row r="884" spans="1:15" ht="15.75" hidden="1" customHeight="1" x14ac:dyDescent="0.3">
      <c r="A884" s="24">
        <v>27</v>
      </c>
      <c r="B884" s="20" t="str">
        <f t="shared" si="26"/>
        <v>JUL</v>
      </c>
      <c r="C884" s="21">
        <v>46207</v>
      </c>
      <c r="D884" s="22" t="str">
        <f t="array" ref="D884">IFERROR(INDEX('Kode Outlet dan Target Toko'!$A:$A,MATCH($I884,'Kode Outlet dan Target Toko'!$E:$E,0)),"")</f>
        <v>GRSM 4</v>
      </c>
      <c r="E884" s="20" t="str">
        <f>IFERROR(VLOOKUP(I884,KET!$B:$F,4,0),"")</f>
        <v>FAHMI LUKMANUL HAKIM</v>
      </c>
      <c r="F884" s="20" t="str">
        <f>IFERROR(VLOOKUP(I884,KET!$B:$F,5,0),"")</f>
        <v>GMM</v>
      </c>
      <c r="G884" s="20">
        <f>IFERROR(INDEX('Kode Outlet dan Target Toko'!$C:$C,MATCH($I884,'Kode Outlet dan Target Toko'!$E:$E,0)),0)</f>
        <v>121409</v>
      </c>
      <c r="H884" s="20">
        <f>IFERROR(INDEX('Kode Outlet dan Target Toko'!$D:$D,MATCH($I884,'Kode Outlet dan Target Toko'!$E:$E,0)),0)</f>
        <v>5205014</v>
      </c>
      <c r="I884" s="50" t="s">
        <v>31</v>
      </c>
      <c r="J884" s="19" t="s">
        <v>184</v>
      </c>
      <c r="K884" s="54" t="s">
        <v>13</v>
      </c>
      <c r="L884" s="24">
        <v>2100</v>
      </c>
      <c r="M884" s="24">
        <v>97</v>
      </c>
      <c r="N884" s="25">
        <f t="shared" si="27"/>
        <v>203700</v>
      </c>
      <c r="O884" s="24"/>
    </row>
    <row r="885" spans="1:15" ht="15.75" hidden="1" customHeight="1" x14ac:dyDescent="0.3">
      <c r="A885" s="24">
        <v>27</v>
      </c>
      <c r="B885" s="20" t="str">
        <f t="shared" si="26"/>
        <v>JUL</v>
      </c>
      <c r="C885" s="21">
        <v>46207</v>
      </c>
      <c r="D885" s="22" t="str">
        <f t="array" ref="D885">IFERROR(INDEX('Kode Outlet dan Target Toko'!$A:$A,MATCH($I885,'Kode Outlet dan Target Toko'!$E:$E,0)),"")</f>
        <v>GRSM 4</v>
      </c>
      <c r="E885" s="20" t="str">
        <f>IFERROR(VLOOKUP(I885,KET!$B:$F,4,0),"")</f>
        <v>FAHMI LUKMANUL HAKIM</v>
      </c>
      <c r="F885" s="20" t="str">
        <f>IFERROR(VLOOKUP(I885,KET!$B:$F,5,0),"")</f>
        <v>GMM</v>
      </c>
      <c r="G885" s="20">
        <f>IFERROR(INDEX('Kode Outlet dan Target Toko'!$C:$C,MATCH($I885,'Kode Outlet dan Target Toko'!$E:$E,0)),0)</f>
        <v>121409</v>
      </c>
      <c r="H885" s="20">
        <f>IFERROR(INDEX('Kode Outlet dan Target Toko'!$D:$D,MATCH($I885,'Kode Outlet dan Target Toko'!$E:$E,0)),0)</f>
        <v>5205014</v>
      </c>
      <c r="I885" s="50" t="s">
        <v>31</v>
      </c>
      <c r="J885" s="19" t="s">
        <v>184</v>
      </c>
      <c r="K885" s="54" t="s">
        <v>16</v>
      </c>
      <c r="L885" s="24">
        <v>2100</v>
      </c>
      <c r="M885" s="24">
        <v>341</v>
      </c>
      <c r="N885" s="25">
        <f t="shared" si="27"/>
        <v>716100</v>
      </c>
      <c r="O885" s="24">
        <v>160</v>
      </c>
    </row>
    <row r="886" spans="1:15" ht="15.75" hidden="1" customHeight="1" x14ac:dyDescent="0.3">
      <c r="A886" s="24">
        <v>27</v>
      </c>
      <c r="B886" s="20" t="str">
        <f t="shared" si="26"/>
        <v>JUL</v>
      </c>
      <c r="C886" s="21">
        <v>46207</v>
      </c>
      <c r="D886" s="22" t="str">
        <f t="array" ref="D886">IFERROR(INDEX('Kode Outlet dan Target Toko'!$A:$A,MATCH($I886,'Kode Outlet dan Target Toko'!$E:$E,0)),"")</f>
        <v>GRSM 4</v>
      </c>
      <c r="E886" s="20" t="str">
        <f>IFERROR(VLOOKUP(I886,KET!$B:$F,4,0),"")</f>
        <v>FAHMI LUKMANUL HAKIM</v>
      </c>
      <c r="F886" s="20" t="str">
        <f>IFERROR(VLOOKUP(I886,KET!$B:$F,5,0),"")</f>
        <v>GMM</v>
      </c>
      <c r="G886" s="20">
        <f>IFERROR(INDEX('Kode Outlet dan Target Toko'!$C:$C,MATCH($I886,'Kode Outlet dan Target Toko'!$E:$E,0)),0)</f>
        <v>103277</v>
      </c>
      <c r="H886" s="20">
        <f>IFERROR(INDEX('Kode Outlet dan Target Toko'!$D:$D,MATCH($I886,'Kode Outlet dan Target Toko'!$E:$E,0)),0)</f>
        <v>6300700</v>
      </c>
      <c r="I886" s="50" t="s">
        <v>30</v>
      </c>
      <c r="J886" s="19" t="s">
        <v>182</v>
      </c>
      <c r="K886" s="54" t="s">
        <v>15</v>
      </c>
      <c r="L886" s="24">
        <v>3000</v>
      </c>
      <c r="M886" s="24">
        <v>45</v>
      </c>
      <c r="N886" s="25">
        <f t="shared" si="27"/>
        <v>135000</v>
      </c>
      <c r="O886" s="24"/>
    </row>
    <row r="887" spans="1:15" ht="15.75" hidden="1" customHeight="1" x14ac:dyDescent="0.3">
      <c r="A887" s="24">
        <v>27</v>
      </c>
      <c r="B887" s="20" t="str">
        <f t="shared" si="26"/>
        <v>JUL</v>
      </c>
      <c r="C887" s="21">
        <v>46207</v>
      </c>
      <c r="D887" s="22" t="str">
        <f t="array" ref="D887">IFERROR(INDEX('Kode Outlet dan Target Toko'!$A:$A,MATCH($I887,'Kode Outlet dan Target Toko'!$E:$E,0)),"")</f>
        <v>GRSM 4</v>
      </c>
      <c r="E887" s="20" t="str">
        <f>IFERROR(VLOOKUP(I887,KET!$B:$F,4,0),"")</f>
        <v>FAHMI LUKMANUL HAKIM</v>
      </c>
      <c r="F887" s="20" t="str">
        <f>IFERROR(VLOOKUP(I887,KET!$B:$F,5,0),"")</f>
        <v>GMM</v>
      </c>
      <c r="G887" s="20">
        <f>IFERROR(INDEX('Kode Outlet dan Target Toko'!$C:$C,MATCH($I887,'Kode Outlet dan Target Toko'!$E:$E,0)),0)</f>
        <v>103277</v>
      </c>
      <c r="H887" s="20">
        <f>IFERROR(INDEX('Kode Outlet dan Target Toko'!$D:$D,MATCH($I887,'Kode Outlet dan Target Toko'!$E:$E,0)),0)</f>
        <v>6300700</v>
      </c>
      <c r="I887" s="50" t="s">
        <v>30</v>
      </c>
      <c r="J887" s="19" t="s">
        <v>182</v>
      </c>
      <c r="K887" s="54" t="s">
        <v>14</v>
      </c>
      <c r="L887" s="24">
        <v>3000</v>
      </c>
      <c r="M887" s="24">
        <v>50</v>
      </c>
      <c r="N887" s="25">
        <f t="shared" si="27"/>
        <v>150000</v>
      </c>
      <c r="O887" s="24"/>
    </row>
    <row r="888" spans="1:15" ht="15.75" hidden="1" customHeight="1" x14ac:dyDescent="0.3">
      <c r="A888" s="24">
        <v>27</v>
      </c>
      <c r="B888" s="20" t="str">
        <f t="shared" si="26"/>
        <v>JUL</v>
      </c>
      <c r="C888" s="21">
        <v>46207</v>
      </c>
      <c r="D888" s="22" t="str">
        <f t="array" ref="D888">IFERROR(INDEX('Kode Outlet dan Target Toko'!$A:$A,MATCH($I888,'Kode Outlet dan Target Toko'!$E:$E,0)),"")</f>
        <v>GRSM 4</v>
      </c>
      <c r="E888" s="20" t="str">
        <f>IFERROR(VLOOKUP(I888,KET!$B:$F,4,0),"")</f>
        <v>FAHMI LUKMANUL HAKIM</v>
      </c>
      <c r="F888" s="20" t="str">
        <f>IFERROR(VLOOKUP(I888,KET!$B:$F,5,0),"")</f>
        <v>GMM</v>
      </c>
      <c r="G888" s="20">
        <f>IFERROR(INDEX('Kode Outlet dan Target Toko'!$C:$C,MATCH($I888,'Kode Outlet dan Target Toko'!$E:$E,0)),0)</f>
        <v>103277</v>
      </c>
      <c r="H888" s="20">
        <f>IFERROR(INDEX('Kode Outlet dan Target Toko'!$D:$D,MATCH($I888,'Kode Outlet dan Target Toko'!$E:$E,0)),0)</f>
        <v>6300700</v>
      </c>
      <c r="I888" s="50" t="s">
        <v>30</v>
      </c>
      <c r="J888" s="19" t="s">
        <v>182</v>
      </c>
      <c r="K888" s="54" t="s">
        <v>13</v>
      </c>
      <c r="L888" s="24">
        <v>3000</v>
      </c>
      <c r="M888" s="24">
        <v>35</v>
      </c>
      <c r="N888" s="25">
        <f t="shared" si="27"/>
        <v>105000</v>
      </c>
      <c r="O888" s="24"/>
    </row>
    <row r="889" spans="1:15" ht="15.75" hidden="1" customHeight="1" x14ac:dyDescent="0.3">
      <c r="A889" s="24">
        <v>27</v>
      </c>
      <c r="B889" s="20" t="str">
        <f t="shared" si="26"/>
        <v>JUL</v>
      </c>
      <c r="C889" s="21">
        <v>46207</v>
      </c>
      <c r="D889" s="22" t="str">
        <f t="array" ref="D889">IFERROR(INDEX('Kode Outlet dan Target Toko'!$A:$A,MATCH($I889,'Kode Outlet dan Target Toko'!$E:$E,0)),"")</f>
        <v>GRSM 4</v>
      </c>
      <c r="E889" s="20" t="str">
        <f>IFERROR(VLOOKUP(I889,KET!$B:$F,4,0),"")</f>
        <v>FAHMI LUKMANUL HAKIM</v>
      </c>
      <c r="F889" s="20" t="str">
        <f>IFERROR(VLOOKUP(I889,KET!$B:$F,5,0),"")</f>
        <v>GMM</v>
      </c>
      <c r="G889" s="20">
        <f>IFERROR(INDEX('Kode Outlet dan Target Toko'!$C:$C,MATCH($I889,'Kode Outlet dan Target Toko'!$E:$E,0)),0)</f>
        <v>103277</v>
      </c>
      <c r="H889" s="20">
        <f>IFERROR(INDEX('Kode Outlet dan Target Toko'!$D:$D,MATCH($I889,'Kode Outlet dan Target Toko'!$E:$E,0)),0)</f>
        <v>6300700</v>
      </c>
      <c r="I889" s="50" t="s">
        <v>30</v>
      </c>
      <c r="J889" s="19" t="s">
        <v>182</v>
      </c>
      <c r="K889" s="54" t="s">
        <v>16</v>
      </c>
      <c r="L889" s="24">
        <v>3000</v>
      </c>
      <c r="M889" s="24">
        <v>150</v>
      </c>
      <c r="N889" s="25">
        <f t="shared" si="27"/>
        <v>450000</v>
      </c>
      <c r="O889" s="24">
        <v>130</v>
      </c>
    </row>
    <row r="890" spans="1:15" ht="15.75" hidden="1" customHeight="1" x14ac:dyDescent="0.3">
      <c r="A890" s="24">
        <v>27</v>
      </c>
      <c r="B890" s="20" t="str">
        <f t="shared" si="26"/>
        <v>JUL</v>
      </c>
      <c r="C890" s="21">
        <v>46207</v>
      </c>
      <c r="D890" s="22" t="str">
        <f t="array" ref="D890">IFERROR(INDEX('Kode Outlet dan Target Toko'!$A:$A,MATCH($I890,'Kode Outlet dan Target Toko'!$E:$E,0)),"")</f>
        <v>GRSM 4</v>
      </c>
      <c r="E890" s="20" t="str">
        <f>IFERROR(VLOOKUP(I890,KET!$B:$F,4,0),"")</f>
        <v>FAHMI LUKMANUL HAKIM</v>
      </c>
      <c r="F890" s="20" t="str">
        <f>IFERROR(VLOOKUP(I890,KET!$B:$F,5,0),"")</f>
        <v>GMM</v>
      </c>
      <c r="G890" s="20">
        <f>IFERROR(INDEX('Kode Outlet dan Target Toko'!$C:$C,MATCH($I890,'Kode Outlet dan Target Toko'!$E:$E,0)),0)</f>
        <v>103257</v>
      </c>
      <c r="H890" s="20">
        <f>IFERROR(INDEX('Kode Outlet dan Target Toko'!$D:$D,MATCH($I890,'Kode Outlet dan Target Toko'!$E:$E,0)),0)</f>
        <v>9162509</v>
      </c>
      <c r="I890" s="41" t="s">
        <v>23</v>
      </c>
      <c r="J890" s="19" t="s">
        <v>180</v>
      </c>
      <c r="K890" s="54" t="s">
        <v>15</v>
      </c>
      <c r="L890" s="24">
        <v>3100</v>
      </c>
      <c r="M890" s="24">
        <v>43</v>
      </c>
      <c r="N890" s="25">
        <f t="shared" si="27"/>
        <v>133300</v>
      </c>
      <c r="O890" s="24"/>
    </row>
    <row r="891" spans="1:15" ht="15.75" hidden="1" customHeight="1" x14ac:dyDescent="0.3">
      <c r="A891" s="24">
        <v>27</v>
      </c>
      <c r="B891" s="20" t="str">
        <f t="shared" si="26"/>
        <v>JUL</v>
      </c>
      <c r="C891" s="21">
        <v>46207</v>
      </c>
      <c r="D891" s="22" t="str">
        <f t="array" ref="D891">IFERROR(INDEX('Kode Outlet dan Target Toko'!$A:$A,MATCH($I891,'Kode Outlet dan Target Toko'!$E:$E,0)),"")</f>
        <v>GRSM 4</v>
      </c>
      <c r="E891" s="20" t="str">
        <f>IFERROR(VLOOKUP(I891,KET!$B:$F,4,0),"")</f>
        <v>FAHMI LUKMANUL HAKIM</v>
      </c>
      <c r="F891" s="20" t="str">
        <f>IFERROR(VLOOKUP(I891,KET!$B:$F,5,0),"")</f>
        <v>GMM</v>
      </c>
      <c r="G891" s="20">
        <f>IFERROR(INDEX('Kode Outlet dan Target Toko'!$C:$C,MATCH($I891,'Kode Outlet dan Target Toko'!$E:$E,0)),0)</f>
        <v>103257</v>
      </c>
      <c r="H891" s="20">
        <f>IFERROR(INDEX('Kode Outlet dan Target Toko'!$D:$D,MATCH($I891,'Kode Outlet dan Target Toko'!$E:$E,0)),0)</f>
        <v>9162509</v>
      </c>
      <c r="I891" s="41" t="s">
        <v>23</v>
      </c>
      <c r="J891" s="19" t="s">
        <v>180</v>
      </c>
      <c r="K891" s="54" t="s">
        <v>14</v>
      </c>
      <c r="L891" s="24">
        <v>3100</v>
      </c>
      <c r="M891" s="24">
        <v>54</v>
      </c>
      <c r="N891" s="25">
        <f t="shared" si="27"/>
        <v>167400</v>
      </c>
      <c r="O891" s="24"/>
    </row>
    <row r="892" spans="1:15" ht="15.75" hidden="1" customHeight="1" x14ac:dyDescent="0.3">
      <c r="A892" s="24">
        <v>27</v>
      </c>
      <c r="B892" s="20" t="str">
        <f t="shared" si="26"/>
        <v>JUL</v>
      </c>
      <c r="C892" s="21">
        <v>46207</v>
      </c>
      <c r="D892" s="22" t="str">
        <f t="array" ref="D892">IFERROR(INDEX('Kode Outlet dan Target Toko'!$A:$A,MATCH($I892,'Kode Outlet dan Target Toko'!$E:$E,0)),"")</f>
        <v>GRSM 4</v>
      </c>
      <c r="E892" s="20" t="str">
        <f>IFERROR(VLOOKUP(I892,KET!$B:$F,4,0),"")</f>
        <v>FAHMI LUKMANUL HAKIM</v>
      </c>
      <c r="F892" s="20" t="str">
        <f>IFERROR(VLOOKUP(I892,KET!$B:$F,5,0),"")</f>
        <v>GMM</v>
      </c>
      <c r="G892" s="20">
        <f>IFERROR(INDEX('Kode Outlet dan Target Toko'!$C:$C,MATCH($I892,'Kode Outlet dan Target Toko'!$E:$E,0)),0)</f>
        <v>103257</v>
      </c>
      <c r="H892" s="20">
        <f>IFERROR(INDEX('Kode Outlet dan Target Toko'!$D:$D,MATCH($I892,'Kode Outlet dan Target Toko'!$E:$E,0)),0)</f>
        <v>9162509</v>
      </c>
      <c r="I892" s="41" t="s">
        <v>23</v>
      </c>
      <c r="J892" s="19" t="s">
        <v>180</v>
      </c>
      <c r="K892" s="54" t="s">
        <v>13</v>
      </c>
      <c r="L892" s="24">
        <v>3100</v>
      </c>
      <c r="M892" s="24">
        <v>48</v>
      </c>
      <c r="N892" s="25">
        <f t="shared" si="27"/>
        <v>148800</v>
      </c>
      <c r="O892" s="24"/>
    </row>
    <row r="893" spans="1:15" ht="15.75" hidden="1" customHeight="1" x14ac:dyDescent="0.3">
      <c r="A893" s="24">
        <v>27</v>
      </c>
      <c r="B893" s="20" t="str">
        <f t="shared" si="26"/>
        <v>JUL</v>
      </c>
      <c r="C893" s="21">
        <v>46207</v>
      </c>
      <c r="D893" s="22" t="str">
        <f t="array" ref="D893">IFERROR(INDEX('Kode Outlet dan Target Toko'!$A:$A,MATCH($I893,'Kode Outlet dan Target Toko'!$E:$E,0)),"")</f>
        <v>GRSM 4</v>
      </c>
      <c r="E893" s="20" t="str">
        <f>IFERROR(VLOOKUP(I893,KET!$B:$F,4,0),"")</f>
        <v>FAHMI LUKMANUL HAKIM</v>
      </c>
      <c r="F893" s="20" t="str">
        <f>IFERROR(VLOOKUP(I893,KET!$B:$F,5,0),"")</f>
        <v>GMM</v>
      </c>
      <c r="G893" s="20">
        <f>IFERROR(INDEX('Kode Outlet dan Target Toko'!$C:$C,MATCH($I893,'Kode Outlet dan Target Toko'!$E:$E,0)),0)</f>
        <v>103257</v>
      </c>
      <c r="H893" s="20">
        <f>IFERROR(INDEX('Kode Outlet dan Target Toko'!$D:$D,MATCH($I893,'Kode Outlet dan Target Toko'!$E:$E,0)),0)</f>
        <v>9162509</v>
      </c>
      <c r="I893" s="41" t="s">
        <v>23</v>
      </c>
      <c r="J893" s="19" t="s">
        <v>180</v>
      </c>
      <c r="K893" s="54" t="s">
        <v>16</v>
      </c>
      <c r="L893" s="24">
        <v>3100</v>
      </c>
      <c r="M893" s="24">
        <v>53</v>
      </c>
      <c r="N893" s="25">
        <f t="shared" si="27"/>
        <v>164300</v>
      </c>
      <c r="O893" s="24">
        <v>160</v>
      </c>
    </row>
    <row r="894" spans="1:15" ht="15.75" hidden="1" customHeight="1" x14ac:dyDescent="0.3">
      <c r="A894" s="24">
        <v>27</v>
      </c>
      <c r="B894" s="20" t="str">
        <f t="shared" si="26"/>
        <v>JUL</v>
      </c>
      <c r="C894" s="21">
        <v>46207</v>
      </c>
      <c r="D894" s="22" t="str">
        <f t="array" ref="D894">IFERROR(INDEX('Kode Outlet dan Target Toko'!$A:$A,MATCH($I894,'Kode Outlet dan Target Toko'!$E:$E,0)),"")</f>
        <v>GRSM 4</v>
      </c>
      <c r="E894" s="20" t="str">
        <f>IFERROR(VLOOKUP(I894,KET!$B:$F,4,0),"")</f>
        <v>FAHMI LUKMANUL HAKIM</v>
      </c>
      <c r="F894" s="20" t="str">
        <f>IFERROR(VLOOKUP(I894,KET!$B:$F,5,0),"")</f>
        <v>GMM</v>
      </c>
      <c r="G894" s="20">
        <f>IFERROR(INDEX('Kode Outlet dan Target Toko'!$C:$C,MATCH($I894,'Kode Outlet dan Target Toko'!$E:$E,0)),0)</f>
        <v>103257</v>
      </c>
      <c r="H894" s="20">
        <f>IFERROR(INDEX('Kode Outlet dan Target Toko'!$D:$D,MATCH($I894,'Kode Outlet dan Target Toko'!$E:$E,0)),0)</f>
        <v>9162509</v>
      </c>
      <c r="I894" s="41" t="s">
        <v>23</v>
      </c>
      <c r="J894" s="56" t="s">
        <v>181</v>
      </c>
      <c r="K894" s="54" t="s">
        <v>15</v>
      </c>
      <c r="L894" s="24">
        <v>3100</v>
      </c>
      <c r="M894" s="24">
        <v>40</v>
      </c>
      <c r="N894" s="25">
        <f t="shared" si="27"/>
        <v>124000</v>
      </c>
      <c r="O894" s="24"/>
    </row>
    <row r="895" spans="1:15" ht="15.75" hidden="1" customHeight="1" x14ac:dyDescent="0.3">
      <c r="A895" s="24">
        <v>27</v>
      </c>
      <c r="B895" s="20" t="str">
        <f t="shared" si="26"/>
        <v>JUL</v>
      </c>
      <c r="C895" s="21">
        <v>46207</v>
      </c>
      <c r="D895" s="22" t="str">
        <f t="array" ref="D895">IFERROR(INDEX('Kode Outlet dan Target Toko'!$A:$A,MATCH($I895,'Kode Outlet dan Target Toko'!$E:$E,0)),"")</f>
        <v>GRSM 4</v>
      </c>
      <c r="E895" s="20" t="str">
        <f>IFERROR(VLOOKUP(I895,KET!$B:$F,4,0),"")</f>
        <v>FAHMI LUKMANUL HAKIM</v>
      </c>
      <c r="F895" s="20" t="str">
        <f>IFERROR(VLOOKUP(I895,KET!$B:$F,5,0),"")</f>
        <v>GMM</v>
      </c>
      <c r="G895" s="20">
        <f>IFERROR(INDEX('Kode Outlet dan Target Toko'!$C:$C,MATCH($I895,'Kode Outlet dan Target Toko'!$E:$E,0)),0)</f>
        <v>103257</v>
      </c>
      <c r="H895" s="20">
        <f>IFERROR(INDEX('Kode Outlet dan Target Toko'!$D:$D,MATCH($I895,'Kode Outlet dan Target Toko'!$E:$E,0)),0)</f>
        <v>9162509</v>
      </c>
      <c r="I895" s="41" t="s">
        <v>23</v>
      </c>
      <c r="J895" s="56" t="s">
        <v>181</v>
      </c>
      <c r="K895" s="54" t="s">
        <v>14</v>
      </c>
      <c r="L895" s="24">
        <v>3100</v>
      </c>
      <c r="M895" s="24">
        <v>51</v>
      </c>
      <c r="N895" s="25">
        <f t="shared" si="27"/>
        <v>158100</v>
      </c>
      <c r="O895" s="24"/>
    </row>
    <row r="896" spans="1:15" ht="15.75" hidden="1" customHeight="1" x14ac:dyDescent="0.3">
      <c r="A896" s="24">
        <v>27</v>
      </c>
      <c r="B896" s="20" t="str">
        <f t="shared" si="26"/>
        <v>JUL</v>
      </c>
      <c r="C896" s="21">
        <v>46207</v>
      </c>
      <c r="D896" s="22" t="str">
        <f t="array" ref="D896">IFERROR(INDEX('Kode Outlet dan Target Toko'!$A:$A,MATCH($I896,'Kode Outlet dan Target Toko'!$E:$E,0)),"")</f>
        <v>GRSM 4</v>
      </c>
      <c r="E896" s="20" t="str">
        <f>IFERROR(VLOOKUP(I896,KET!$B:$F,4,0),"")</f>
        <v>FAHMI LUKMANUL HAKIM</v>
      </c>
      <c r="F896" s="20" t="str">
        <f>IFERROR(VLOOKUP(I896,KET!$B:$F,5,0),"")</f>
        <v>GMM</v>
      </c>
      <c r="G896" s="20">
        <f>IFERROR(INDEX('Kode Outlet dan Target Toko'!$C:$C,MATCH($I896,'Kode Outlet dan Target Toko'!$E:$E,0)),0)</f>
        <v>103257</v>
      </c>
      <c r="H896" s="20">
        <f>IFERROR(INDEX('Kode Outlet dan Target Toko'!$D:$D,MATCH($I896,'Kode Outlet dan Target Toko'!$E:$E,0)),0)</f>
        <v>9162509</v>
      </c>
      <c r="I896" s="41" t="s">
        <v>23</v>
      </c>
      <c r="J896" s="56" t="s">
        <v>181</v>
      </c>
      <c r="K896" s="54" t="s">
        <v>13</v>
      </c>
      <c r="L896" s="24">
        <v>3100</v>
      </c>
      <c r="M896" s="24">
        <v>44</v>
      </c>
      <c r="N896" s="25">
        <f t="shared" si="27"/>
        <v>136400</v>
      </c>
      <c r="O896" s="24"/>
    </row>
    <row r="897" spans="1:15" ht="15.75" hidden="1" customHeight="1" x14ac:dyDescent="0.3">
      <c r="A897" s="24">
        <v>27</v>
      </c>
      <c r="B897" s="20" t="str">
        <f t="shared" si="26"/>
        <v>JUL</v>
      </c>
      <c r="C897" s="21">
        <v>46207</v>
      </c>
      <c r="D897" s="22" t="str">
        <f t="array" ref="D897">IFERROR(INDEX('Kode Outlet dan Target Toko'!$A:$A,MATCH($I897,'Kode Outlet dan Target Toko'!$E:$E,0)),"")</f>
        <v>GRSM 4</v>
      </c>
      <c r="E897" s="20" t="str">
        <f>IFERROR(VLOOKUP(I897,KET!$B:$F,4,0),"")</f>
        <v>FAHMI LUKMANUL HAKIM</v>
      </c>
      <c r="F897" s="20" t="str">
        <f>IFERROR(VLOOKUP(I897,KET!$B:$F,5,0),"")</f>
        <v>GMM</v>
      </c>
      <c r="G897" s="20">
        <f>IFERROR(INDEX('Kode Outlet dan Target Toko'!$C:$C,MATCH($I897,'Kode Outlet dan Target Toko'!$E:$E,0)),0)</f>
        <v>103257</v>
      </c>
      <c r="H897" s="20">
        <f>IFERROR(INDEX('Kode Outlet dan Target Toko'!$D:$D,MATCH($I897,'Kode Outlet dan Target Toko'!$E:$E,0)),0)</f>
        <v>9162509</v>
      </c>
      <c r="I897" s="41" t="s">
        <v>23</v>
      </c>
      <c r="J897" s="56" t="s">
        <v>181</v>
      </c>
      <c r="K897" s="54" t="s">
        <v>16</v>
      </c>
      <c r="L897" s="24">
        <v>3100</v>
      </c>
      <c r="M897" s="24">
        <v>52</v>
      </c>
      <c r="N897" s="25">
        <f t="shared" si="27"/>
        <v>161200</v>
      </c>
      <c r="O897" s="24">
        <v>160</v>
      </c>
    </row>
    <row r="898" spans="1:15" ht="15.75" hidden="1" customHeight="1" x14ac:dyDescent="0.3">
      <c r="A898" s="24">
        <v>27</v>
      </c>
      <c r="B898" s="20" t="str">
        <f t="shared" si="26"/>
        <v>JUL</v>
      </c>
      <c r="C898" s="21">
        <v>46207</v>
      </c>
      <c r="D898" s="22" t="str">
        <f t="array" ref="D898">IFERROR(INDEX('Kode Outlet dan Target Toko'!$A:$A,MATCH($I898,'Kode Outlet dan Target Toko'!$E:$E,0)),"")</f>
        <v>GRSM 4</v>
      </c>
      <c r="E898" s="20" t="str">
        <f>IFERROR(VLOOKUP(I898,KET!$B:$F,4,0),"")</f>
        <v>FAHMI LUKMANUL HAKIM</v>
      </c>
      <c r="F898" s="20" t="str">
        <f>IFERROR(VLOOKUP(I898,KET!$B:$F,5,0),"")</f>
        <v>GMM</v>
      </c>
      <c r="G898" s="20">
        <f>IFERROR(INDEX('Kode Outlet dan Target Toko'!$C:$C,MATCH($I898,'Kode Outlet dan Target Toko'!$E:$E,0)),0)</f>
        <v>103259</v>
      </c>
      <c r="H898" s="20">
        <f>IFERROR(INDEX('Kode Outlet dan Target Toko'!$D:$D,MATCH($I898,'Kode Outlet dan Target Toko'!$E:$E,0)),0)</f>
        <v>9029389</v>
      </c>
      <c r="I898" s="51" t="s">
        <v>27</v>
      </c>
      <c r="J898" s="27" t="s">
        <v>178</v>
      </c>
      <c r="K898" s="54" t="s">
        <v>15</v>
      </c>
      <c r="L898" s="24">
        <v>3000</v>
      </c>
      <c r="M898" s="24">
        <v>71</v>
      </c>
      <c r="N898" s="25">
        <f t="shared" si="27"/>
        <v>213000</v>
      </c>
      <c r="O898" s="24"/>
    </row>
    <row r="899" spans="1:15" ht="15.75" hidden="1" customHeight="1" x14ac:dyDescent="0.3">
      <c r="A899" s="24">
        <v>27</v>
      </c>
      <c r="B899" s="20" t="str">
        <f t="shared" si="26"/>
        <v>JUL</v>
      </c>
      <c r="C899" s="21">
        <v>46207</v>
      </c>
      <c r="D899" s="22" t="str">
        <f t="array" ref="D899">IFERROR(INDEX('Kode Outlet dan Target Toko'!$A:$A,MATCH($I899,'Kode Outlet dan Target Toko'!$E:$E,0)),"")</f>
        <v>GRSM 4</v>
      </c>
      <c r="E899" s="20" t="str">
        <f>IFERROR(VLOOKUP(I899,KET!$B:$F,4,0),"")</f>
        <v>FAHMI LUKMANUL HAKIM</v>
      </c>
      <c r="F899" s="20" t="str">
        <f>IFERROR(VLOOKUP(I899,KET!$B:$F,5,0),"")</f>
        <v>GMM</v>
      </c>
      <c r="G899" s="20">
        <f>IFERROR(INDEX('Kode Outlet dan Target Toko'!$C:$C,MATCH($I899,'Kode Outlet dan Target Toko'!$E:$E,0)),0)</f>
        <v>103259</v>
      </c>
      <c r="H899" s="20">
        <f>IFERROR(INDEX('Kode Outlet dan Target Toko'!$D:$D,MATCH($I899,'Kode Outlet dan Target Toko'!$E:$E,0)),0)</f>
        <v>9029389</v>
      </c>
      <c r="I899" s="51" t="s">
        <v>27</v>
      </c>
      <c r="J899" s="27" t="s">
        <v>178</v>
      </c>
      <c r="K899" s="54" t="s">
        <v>14</v>
      </c>
      <c r="L899" s="24">
        <v>3000</v>
      </c>
      <c r="M899" s="24">
        <v>87</v>
      </c>
      <c r="N899" s="25">
        <f t="shared" si="27"/>
        <v>261000</v>
      </c>
      <c r="O899" s="24"/>
    </row>
    <row r="900" spans="1:15" ht="15.75" hidden="1" customHeight="1" x14ac:dyDescent="0.3">
      <c r="A900" s="24">
        <v>27</v>
      </c>
      <c r="B900" s="20" t="str">
        <f t="shared" si="26"/>
        <v>JUL</v>
      </c>
      <c r="C900" s="21">
        <v>46207</v>
      </c>
      <c r="D900" s="22" t="str">
        <f t="array" ref="D900">IFERROR(INDEX('Kode Outlet dan Target Toko'!$A:$A,MATCH($I900,'Kode Outlet dan Target Toko'!$E:$E,0)),"")</f>
        <v>GRSM 4</v>
      </c>
      <c r="E900" s="20" t="str">
        <f>IFERROR(VLOOKUP(I900,KET!$B:$F,4,0),"")</f>
        <v>FAHMI LUKMANUL HAKIM</v>
      </c>
      <c r="F900" s="20" t="str">
        <f>IFERROR(VLOOKUP(I900,KET!$B:$F,5,0),"")</f>
        <v>GMM</v>
      </c>
      <c r="G900" s="20">
        <f>IFERROR(INDEX('Kode Outlet dan Target Toko'!$C:$C,MATCH($I900,'Kode Outlet dan Target Toko'!$E:$E,0)),0)</f>
        <v>103259</v>
      </c>
      <c r="H900" s="20">
        <f>IFERROR(INDEX('Kode Outlet dan Target Toko'!$D:$D,MATCH($I900,'Kode Outlet dan Target Toko'!$E:$E,0)),0)</f>
        <v>9029389</v>
      </c>
      <c r="I900" s="51" t="s">
        <v>27</v>
      </c>
      <c r="J900" s="27" t="s">
        <v>178</v>
      </c>
      <c r="K900" s="54" t="s">
        <v>13</v>
      </c>
      <c r="L900" s="24">
        <v>3000</v>
      </c>
      <c r="M900" s="24">
        <v>53</v>
      </c>
      <c r="N900" s="25">
        <f t="shared" si="27"/>
        <v>159000</v>
      </c>
      <c r="O900" s="24"/>
    </row>
    <row r="901" spans="1:15" ht="15.75" hidden="1" customHeight="1" x14ac:dyDescent="0.3">
      <c r="A901" s="24">
        <v>27</v>
      </c>
      <c r="B901" s="20" t="str">
        <f t="shared" si="26"/>
        <v>JUL</v>
      </c>
      <c r="C901" s="21">
        <v>46207</v>
      </c>
      <c r="D901" s="22" t="str">
        <f t="array" ref="D901">IFERROR(INDEX('Kode Outlet dan Target Toko'!$A:$A,MATCH($I901,'Kode Outlet dan Target Toko'!$E:$E,0)),"")</f>
        <v>GRSM 4</v>
      </c>
      <c r="E901" s="20" t="str">
        <f>IFERROR(VLOOKUP(I901,KET!$B:$F,4,0),"")</f>
        <v>FAHMI LUKMANUL HAKIM</v>
      </c>
      <c r="F901" s="20" t="str">
        <f>IFERROR(VLOOKUP(I901,KET!$B:$F,5,0),"")</f>
        <v>GMM</v>
      </c>
      <c r="G901" s="20">
        <f>IFERROR(INDEX('Kode Outlet dan Target Toko'!$C:$C,MATCH($I901,'Kode Outlet dan Target Toko'!$E:$E,0)),0)</f>
        <v>103259</v>
      </c>
      <c r="H901" s="20">
        <f>IFERROR(INDEX('Kode Outlet dan Target Toko'!$D:$D,MATCH($I901,'Kode Outlet dan Target Toko'!$E:$E,0)),0)</f>
        <v>9029389</v>
      </c>
      <c r="I901" s="51" t="s">
        <v>27</v>
      </c>
      <c r="J901" s="27" t="s">
        <v>178</v>
      </c>
      <c r="K901" s="54" t="s">
        <v>16</v>
      </c>
      <c r="L901" s="24">
        <v>3000</v>
      </c>
      <c r="M901" s="24">
        <v>223</v>
      </c>
      <c r="N901" s="25">
        <f t="shared" si="27"/>
        <v>669000</v>
      </c>
      <c r="O901" s="24">
        <v>160</v>
      </c>
    </row>
    <row r="902" spans="1:15" ht="15.75" hidden="1" customHeight="1" x14ac:dyDescent="0.3">
      <c r="A902" s="24">
        <v>27</v>
      </c>
      <c r="B902" s="20" t="str">
        <f t="shared" si="26"/>
        <v>JUL</v>
      </c>
      <c r="C902" s="21">
        <v>46207</v>
      </c>
      <c r="D902" s="22" t="str">
        <f t="array" ref="D902">IFERROR(INDEX('Kode Outlet dan Target Toko'!$A:$A,MATCH($I902,'Kode Outlet dan Target Toko'!$E:$E,0)),"")</f>
        <v>GRSM 4</v>
      </c>
      <c r="E902" s="20" t="str">
        <f>IFERROR(VLOOKUP(I902,KET!$B:$F,4,0),"")</f>
        <v>FAHMI LUKMANUL HAKIM</v>
      </c>
      <c r="F902" s="20" t="str">
        <f>IFERROR(VLOOKUP(I902,KET!$B:$F,5,0),"")</f>
        <v>GMM</v>
      </c>
      <c r="G902" s="20">
        <f>IFERROR(INDEX('Kode Outlet dan Target Toko'!$C:$C,MATCH($I902,'Kode Outlet dan Target Toko'!$E:$E,0)),0)</f>
        <v>189901</v>
      </c>
      <c r="H902" s="20">
        <f>IFERROR(INDEX('Kode Outlet dan Target Toko'!$D:$D,MATCH($I902,'Kode Outlet dan Target Toko'!$E:$E,0)),0)</f>
        <v>1602057</v>
      </c>
      <c r="I902" s="50" t="s">
        <v>68</v>
      </c>
      <c r="J902" s="27" t="s">
        <v>174</v>
      </c>
      <c r="K902" s="54" t="s">
        <v>15</v>
      </c>
      <c r="L902" s="24">
        <v>3000</v>
      </c>
      <c r="M902" s="24">
        <v>66</v>
      </c>
      <c r="N902" s="25">
        <f t="shared" si="27"/>
        <v>198000</v>
      </c>
      <c r="O902" s="24"/>
    </row>
    <row r="903" spans="1:15" ht="15.75" hidden="1" customHeight="1" x14ac:dyDescent="0.3">
      <c r="A903" s="24">
        <v>27</v>
      </c>
      <c r="B903" s="20" t="str">
        <f t="shared" ref="B903:B966" si="28">IF(C903="","",UPPER(TEXT(C903, "MMM")))</f>
        <v>JUL</v>
      </c>
      <c r="C903" s="21">
        <v>46207</v>
      </c>
      <c r="D903" s="22" t="str">
        <f t="array" ref="D903">IFERROR(INDEX('Kode Outlet dan Target Toko'!$A:$A,MATCH($I903,'Kode Outlet dan Target Toko'!$E:$E,0)),"")</f>
        <v>GRSM 4</v>
      </c>
      <c r="E903" s="20" t="str">
        <f>IFERROR(VLOOKUP(I903,KET!$B:$F,4,0),"")</f>
        <v>FAHMI LUKMANUL HAKIM</v>
      </c>
      <c r="F903" s="20" t="str">
        <f>IFERROR(VLOOKUP(I903,KET!$B:$F,5,0),"")</f>
        <v>GMM</v>
      </c>
      <c r="G903" s="20">
        <f>IFERROR(INDEX('Kode Outlet dan Target Toko'!$C:$C,MATCH($I903,'Kode Outlet dan Target Toko'!$E:$E,0)),0)</f>
        <v>189901</v>
      </c>
      <c r="H903" s="20">
        <f>IFERROR(INDEX('Kode Outlet dan Target Toko'!$D:$D,MATCH($I903,'Kode Outlet dan Target Toko'!$E:$E,0)),0)</f>
        <v>1602057</v>
      </c>
      <c r="I903" s="50" t="s">
        <v>68</v>
      </c>
      <c r="J903" s="27" t="s">
        <v>174</v>
      </c>
      <c r="K903" s="54" t="s">
        <v>14</v>
      </c>
      <c r="L903" s="24">
        <v>3000</v>
      </c>
      <c r="M903" s="24">
        <v>78</v>
      </c>
      <c r="N903" s="25">
        <f t="shared" ref="N903:N966" si="29">IFERROR(M903*L903,"")</f>
        <v>234000</v>
      </c>
      <c r="O903" s="24"/>
    </row>
    <row r="904" spans="1:15" ht="15.75" hidden="1" customHeight="1" x14ac:dyDescent="0.3">
      <c r="A904" s="24">
        <v>27</v>
      </c>
      <c r="B904" s="20" t="str">
        <f t="shared" si="28"/>
        <v>JUL</v>
      </c>
      <c r="C904" s="21">
        <v>46207</v>
      </c>
      <c r="D904" s="22" t="str">
        <f t="array" ref="D904">IFERROR(INDEX('Kode Outlet dan Target Toko'!$A:$A,MATCH($I904,'Kode Outlet dan Target Toko'!$E:$E,0)),"")</f>
        <v>GRSM 4</v>
      </c>
      <c r="E904" s="20" t="str">
        <f>IFERROR(VLOOKUP(I904,KET!$B:$F,4,0),"")</f>
        <v>FAHMI LUKMANUL HAKIM</v>
      </c>
      <c r="F904" s="20" t="str">
        <f>IFERROR(VLOOKUP(I904,KET!$B:$F,5,0),"")</f>
        <v>GMM</v>
      </c>
      <c r="G904" s="20">
        <f>IFERROR(INDEX('Kode Outlet dan Target Toko'!$C:$C,MATCH($I904,'Kode Outlet dan Target Toko'!$E:$E,0)),0)</f>
        <v>189901</v>
      </c>
      <c r="H904" s="20">
        <f>IFERROR(INDEX('Kode Outlet dan Target Toko'!$D:$D,MATCH($I904,'Kode Outlet dan Target Toko'!$E:$E,0)),0)</f>
        <v>1602057</v>
      </c>
      <c r="I904" s="50" t="s">
        <v>68</v>
      </c>
      <c r="J904" s="27" t="s">
        <v>174</v>
      </c>
      <c r="K904" s="54" t="s">
        <v>13</v>
      </c>
      <c r="L904" s="24">
        <v>3000</v>
      </c>
      <c r="M904" s="24">
        <v>60</v>
      </c>
      <c r="N904" s="25">
        <f t="shared" si="29"/>
        <v>180000</v>
      </c>
      <c r="O904" s="24"/>
    </row>
    <row r="905" spans="1:15" ht="15.75" hidden="1" customHeight="1" x14ac:dyDescent="0.3">
      <c r="A905" s="24">
        <v>27</v>
      </c>
      <c r="B905" s="20" t="str">
        <f t="shared" si="28"/>
        <v>JUL</v>
      </c>
      <c r="C905" s="21">
        <v>46207</v>
      </c>
      <c r="D905" s="22" t="str">
        <f t="array" ref="D905">IFERROR(INDEX('Kode Outlet dan Target Toko'!$A:$A,MATCH($I905,'Kode Outlet dan Target Toko'!$E:$E,0)),"")</f>
        <v>GRSM 4</v>
      </c>
      <c r="E905" s="20" t="str">
        <f>IFERROR(VLOOKUP(I905,KET!$B:$F,4,0),"")</f>
        <v>FAHMI LUKMANUL HAKIM</v>
      </c>
      <c r="F905" s="20" t="str">
        <f>IFERROR(VLOOKUP(I905,KET!$B:$F,5,0),"")</f>
        <v>GMM</v>
      </c>
      <c r="G905" s="20">
        <f>IFERROR(INDEX('Kode Outlet dan Target Toko'!$C:$C,MATCH($I905,'Kode Outlet dan Target Toko'!$E:$E,0)),0)</f>
        <v>189901</v>
      </c>
      <c r="H905" s="20">
        <f>IFERROR(INDEX('Kode Outlet dan Target Toko'!$D:$D,MATCH($I905,'Kode Outlet dan Target Toko'!$E:$E,0)),0)</f>
        <v>1602057</v>
      </c>
      <c r="I905" s="50" t="s">
        <v>68</v>
      </c>
      <c r="J905" s="27" t="s">
        <v>174</v>
      </c>
      <c r="K905" s="54" t="s">
        <v>16</v>
      </c>
      <c r="L905" s="24">
        <v>3000</v>
      </c>
      <c r="M905" s="24">
        <v>212</v>
      </c>
      <c r="N905" s="25">
        <f t="shared" si="29"/>
        <v>636000</v>
      </c>
      <c r="O905" s="24">
        <v>160</v>
      </c>
    </row>
    <row r="906" spans="1:15" ht="15.75" hidden="1" customHeight="1" x14ac:dyDescent="0.3">
      <c r="A906" s="24">
        <v>27</v>
      </c>
      <c r="B906" s="20" t="str">
        <f t="shared" si="28"/>
        <v>JUL</v>
      </c>
      <c r="C906" s="21">
        <v>46207</v>
      </c>
      <c r="D906" s="22" t="str">
        <f t="array" ref="D906">IFERROR(INDEX('Kode Outlet dan Target Toko'!$A:$A,MATCH($I906,'Kode Outlet dan Target Toko'!$E:$E,0)),"")</f>
        <v>GRSM 4</v>
      </c>
      <c r="E906" s="20" t="str">
        <f>IFERROR(VLOOKUP(I906,KET!$B:$F,4,0),"")</f>
        <v>FAHMI LUKMANUL HAKIM</v>
      </c>
      <c r="F906" s="20" t="str">
        <f>IFERROR(VLOOKUP(I906,KET!$B:$F,5,0),"")</f>
        <v>NKA</v>
      </c>
      <c r="G906" s="20">
        <f>IFERROR(INDEX('Kode Outlet dan Target Toko'!$C:$C,MATCH($I906,'Kode Outlet dan Target Toko'!$E:$E,0)),0)</f>
        <v>490034</v>
      </c>
      <c r="H906" s="20">
        <f>IFERROR(INDEX('Kode Outlet dan Target Toko'!$D:$D,MATCH($I906,'Kode Outlet dan Target Toko'!$E:$E,0)),0)</f>
        <v>209554</v>
      </c>
      <c r="I906" s="50" t="s">
        <v>26</v>
      </c>
      <c r="J906" s="19" t="s">
        <v>177</v>
      </c>
      <c r="K906" s="54" t="s">
        <v>15</v>
      </c>
      <c r="L906" s="24">
        <v>3275</v>
      </c>
      <c r="M906" s="24">
        <v>43</v>
      </c>
      <c r="N906" s="25">
        <f t="shared" si="29"/>
        <v>140825</v>
      </c>
      <c r="O906" s="24"/>
    </row>
    <row r="907" spans="1:15" ht="15.75" hidden="1" customHeight="1" x14ac:dyDescent="0.3">
      <c r="A907" s="24">
        <v>27</v>
      </c>
      <c r="B907" s="20" t="str">
        <f t="shared" si="28"/>
        <v>JUL</v>
      </c>
      <c r="C907" s="21">
        <v>46207</v>
      </c>
      <c r="D907" s="22" t="str">
        <f t="array" ref="D907">IFERROR(INDEX('Kode Outlet dan Target Toko'!$A:$A,MATCH($I907,'Kode Outlet dan Target Toko'!$E:$E,0)),"")</f>
        <v>GRSM 4</v>
      </c>
      <c r="E907" s="20" t="str">
        <f>IFERROR(VLOOKUP(I907,KET!$B:$F,4,0),"")</f>
        <v>FAHMI LUKMANUL HAKIM</v>
      </c>
      <c r="F907" s="20" t="str">
        <f>IFERROR(VLOOKUP(I907,KET!$B:$F,5,0),"")</f>
        <v>NKA</v>
      </c>
      <c r="G907" s="20">
        <f>IFERROR(INDEX('Kode Outlet dan Target Toko'!$C:$C,MATCH($I907,'Kode Outlet dan Target Toko'!$E:$E,0)),0)</f>
        <v>490034</v>
      </c>
      <c r="H907" s="20">
        <f>IFERROR(INDEX('Kode Outlet dan Target Toko'!$D:$D,MATCH($I907,'Kode Outlet dan Target Toko'!$E:$E,0)),0)</f>
        <v>209554</v>
      </c>
      <c r="I907" s="50" t="s">
        <v>26</v>
      </c>
      <c r="J907" s="19" t="s">
        <v>177</v>
      </c>
      <c r="K907" s="54" t="s">
        <v>14</v>
      </c>
      <c r="L907" s="24">
        <v>3275</v>
      </c>
      <c r="M907" s="24">
        <v>31</v>
      </c>
      <c r="N907" s="25">
        <f t="shared" si="29"/>
        <v>101525</v>
      </c>
      <c r="O907" s="24"/>
    </row>
    <row r="908" spans="1:15" ht="15.75" hidden="1" customHeight="1" x14ac:dyDescent="0.3">
      <c r="A908" s="24">
        <v>27</v>
      </c>
      <c r="B908" s="20" t="str">
        <f t="shared" si="28"/>
        <v>JUL</v>
      </c>
      <c r="C908" s="21">
        <v>46207</v>
      </c>
      <c r="D908" s="22" t="str">
        <f t="array" ref="D908">IFERROR(INDEX('Kode Outlet dan Target Toko'!$A:$A,MATCH($I908,'Kode Outlet dan Target Toko'!$E:$E,0)),"")</f>
        <v>GRSM 4</v>
      </c>
      <c r="E908" s="20" t="str">
        <f>IFERROR(VLOOKUP(I908,KET!$B:$F,4,0),"")</f>
        <v>FAHMI LUKMANUL HAKIM</v>
      </c>
      <c r="F908" s="20" t="str">
        <f>IFERROR(VLOOKUP(I908,KET!$B:$F,5,0),"")</f>
        <v>NKA</v>
      </c>
      <c r="G908" s="20">
        <f>IFERROR(INDEX('Kode Outlet dan Target Toko'!$C:$C,MATCH($I908,'Kode Outlet dan Target Toko'!$E:$E,0)),0)</f>
        <v>490034</v>
      </c>
      <c r="H908" s="20">
        <f>IFERROR(INDEX('Kode Outlet dan Target Toko'!$D:$D,MATCH($I908,'Kode Outlet dan Target Toko'!$E:$E,0)),0)</f>
        <v>209554</v>
      </c>
      <c r="I908" s="50" t="s">
        <v>26</v>
      </c>
      <c r="J908" s="19" t="s">
        <v>177</v>
      </c>
      <c r="K908" s="54" t="s">
        <v>13</v>
      </c>
      <c r="L908" s="24">
        <v>3275</v>
      </c>
      <c r="M908" s="24">
        <v>16</v>
      </c>
      <c r="N908" s="25">
        <f t="shared" si="29"/>
        <v>52400</v>
      </c>
      <c r="O908" s="24"/>
    </row>
    <row r="909" spans="1:15" ht="15.75" hidden="1" customHeight="1" x14ac:dyDescent="0.3">
      <c r="A909" s="24">
        <v>27</v>
      </c>
      <c r="B909" s="20" t="str">
        <f t="shared" si="28"/>
        <v>JUL</v>
      </c>
      <c r="C909" s="21">
        <v>46207</v>
      </c>
      <c r="D909" s="22" t="str">
        <f t="array" ref="D909">IFERROR(INDEX('Kode Outlet dan Target Toko'!$A:$A,MATCH($I909,'Kode Outlet dan Target Toko'!$E:$E,0)),"")</f>
        <v>GRSM 4</v>
      </c>
      <c r="E909" s="20" t="str">
        <f>IFERROR(VLOOKUP(I909,KET!$B:$F,4,0),"")</f>
        <v>FAHMI LUKMANUL HAKIM</v>
      </c>
      <c r="F909" s="20" t="str">
        <f>IFERROR(VLOOKUP(I909,KET!$B:$F,5,0),"")</f>
        <v>NKA</v>
      </c>
      <c r="G909" s="20">
        <f>IFERROR(INDEX('Kode Outlet dan Target Toko'!$C:$C,MATCH($I909,'Kode Outlet dan Target Toko'!$E:$E,0)),0)</f>
        <v>490034</v>
      </c>
      <c r="H909" s="20">
        <f>IFERROR(INDEX('Kode Outlet dan Target Toko'!$D:$D,MATCH($I909,'Kode Outlet dan Target Toko'!$E:$E,0)),0)</f>
        <v>209554</v>
      </c>
      <c r="I909" s="50" t="s">
        <v>26</v>
      </c>
      <c r="J909" s="19" t="s">
        <v>177</v>
      </c>
      <c r="K909" s="54" t="s">
        <v>16</v>
      </c>
      <c r="L909" s="24">
        <v>3275</v>
      </c>
      <c r="M909" s="24">
        <v>154</v>
      </c>
      <c r="N909" s="25">
        <f t="shared" si="29"/>
        <v>504350</v>
      </c>
      <c r="O909" s="24">
        <v>160</v>
      </c>
    </row>
    <row r="910" spans="1:15" ht="15.75" hidden="1" customHeight="1" x14ac:dyDescent="0.3">
      <c r="A910" s="24">
        <v>27</v>
      </c>
      <c r="B910" s="20" t="str">
        <f t="shared" si="28"/>
        <v>JUL</v>
      </c>
      <c r="C910" s="21">
        <v>46207</v>
      </c>
      <c r="D910" s="22" t="str">
        <f t="array" ref="D910">IFERROR(INDEX('Kode Outlet dan Target Toko'!$A:$A,MATCH($I910,'Kode Outlet dan Target Toko'!$E:$E,0)),"")</f>
        <v>GRSM 4</v>
      </c>
      <c r="E910" s="20" t="str">
        <f>IFERROR(VLOOKUP(I910,KET!$B:$F,4,0),"")</f>
        <v>FAHMI LUKMANUL HAKIM</v>
      </c>
      <c r="F910" s="20" t="str">
        <f>IFERROR(VLOOKUP(I910,KET!$B:$F,5,0),"")</f>
        <v>GMM</v>
      </c>
      <c r="G910" s="20">
        <f>IFERROR(INDEX('Kode Outlet dan Target Toko'!$C:$C,MATCH($I910,'Kode Outlet dan Target Toko'!$E:$E,0)),0)</f>
        <v>189901</v>
      </c>
      <c r="H910" s="20">
        <f>IFERROR(INDEX('Kode Outlet dan Target Toko'!$D:$D,MATCH($I910,'Kode Outlet dan Target Toko'!$E:$E,0)),0)</f>
        <v>1602057</v>
      </c>
      <c r="I910" s="50" t="s">
        <v>68</v>
      </c>
      <c r="J910" s="56" t="s">
        <v>175</v>
      </c>
      <c r="K910" s="54" t="s">
        <v>15</v>
      </c>
      <c r="L910" s="24">
        <v>2150</v>
      </c>
      <c r="M910" s="24">
        <v>132</v>
      </c>
      <c r="N910" s="25">
        <f t="shared" si="29"/>
        <v>283800</v>
      </c>
      <c r="O910" s="24"/>
    </row>
    <row r="911" spans="1:15" ht="15.75" hidden="1" customHeight="1" x14ac:dyDescent="0.3">
      <c r="A911" s="24">
        <v>27</v>
      </c>
      <c r="B911" s="20" t="str">
        <f t="shared" si="28"/>
        <v>JUL</v>
      </c>
      <c r="C911" s="21">
        <v>46207</v>
      </c>
      <c r="D911" s="22" t="str">
        <f t="array" ref="D911">IFERROR(INDEX('Kode Outlet dan Target Toko'!$A:$A,MATCH($I911,'Kode Outlet dan Target Toko'!$E:$E,0)),"")</f>
        <v>GRSM 4</v>
      </c>
      <c r="E911" s="20" t="str">
        <f>IFERROR(VLOOKUP(I911,KET!$B:$F,4,0),"")</f>
        <v>FAHMI LUKMANUL HAKIM</v>
      </c>
      <c r="F911" s="20" t="str">
        <f>IFERROR(VLOOKUP(I911,KET!$B:$F,5,0),"")</f>
        <v>GMM</v>
      </c>
      <c r="G911" s="20">
        <f>IFERROR(INDEX('Kode Outlet dan Target Toko'!$C:$C,MATCH($I911,'Kode Outlet dan Target Toko'!$E:$E,0)),0)</f>
        <v>189901</v>
      </c>
      <c r="H911" s="20">
        <f>IFERROR(INDEX('Kode Outlet dan Target Toko'!$D:$D,MATCH($I911,'Kode Outlet dan Target Toko'!$E:$E,0)),0)</f>
        <v>1602057</v>
      </c>
      <c r="I911" s="50" t="s">
        <v>68</v>
      </c>
      <c r="J911" s="56" t="s">
        <v>175</v>
      </c>
      <c r="K911" s="54" t="s">
        <v>14</v>
      </c>
      <c r="L911" s="24">
        <v>2150</v>
      </c>
      <c r="M911" s="24">
        <v>160</v>
      </c>
      <c r="N911" s="25">
        <f t="shared" si="29"/>
        <v>344000</v>
      </c>
      <c r="O911" s="24"/>
    </row>
    <row r="912" spans="1:15" ht="15.75" hidden="1" customHeight="1" x14ac:dyDescent="0.3">
      <c r="A912" s="24">
        <v>27</v>
      </c>
      <c r="B912" s="20" t="str">
        <f t="shared" si="28"/>
        <v>JUL</v>
      </c>
      <c r="C912" s="21">
        <v>46207</v>
      </c>
      <c r="D912" s="22" t="str">
        <f t="array" ref="D912">IFERROR(INDEX('Kode Outlet dan Target Toko'!$A:$A,MATCH($I912,'Kode Outlet dan Target Toko'!$E:$E,0)),"")</f>
        <v>GRSM 4</v>
      </c>
      <c r="E912" s="20" t="str">
        <f>IFERROR(VLOOKUP(I912,KET!$B:$F,4,0),"")</f>
        <v>FAHMI LUKMANUL HAKIM</v>
      </c>
      <c r="F912" s="20" t="str">
        <f>IFERROR(VLOOKUP(I912,KET!$B:$F,5,0),"")</f>
        <v>GMM</v>
      </c>
      <c r="G912" s="20">
        <f>IFERROR(INDEX('Kode Outlet dan Target Toko'!$C:$C,MATCH($I912,'Kode Outlet dan Target Toko'!$E:$E,0)),0)</f>
        <v>189901</v>
      </c>
      <c r="H912" s="20">
        <f>IFERROR(INDEX('Kode Outlet dan Target Toko'!$D:$D,MATCH($I912,'Kode Outlet dan Target Toko'!$E:$E,0)),0)</f>
        <v>1602057</v>
      </c>
      <c r="I912" s="50" t="s">
        <v>68</v>
      </c>
      <c r="J912" s="56" t="s">
        <v>175</v>
      </c>
      <c r="K912" s="54" t="s">
        <v>13</v>
      </c>
      <c r="L912" s="24">
        <v>2150</v>
      </c>
      <c r="M912" s="24">
        <v>95</v>
      </c>
      <c r="N912" s="25">
        <f t="shared" si="29"/>
        <v>204250</v>
      </c>
      <c r="O912" s="24"/>
    </row>
    <row r="913" spans="1:15" ht="15.75" hidden="1" customHeight="1" x14ac:dyDescent="0.3">
      <c r="A913" s="24">
        <v>27</v>
      </c>
      <c r="B913" s="20" t="str">
        <f t="shared" si="28"/>
        <v>JUL</v>
      </c>
      <c r="C913" s="21">
        <v>46207</v>
      </c>
      <c r="D913" s="22" t="str">
        <f t="array" ref="D913">IFERROR(INDEX('Kode Outlet dan Target Toko'!$A:$A,MATCH($I913,'Kode Outlet dan Target Toko'!$E:$E,0)),"")</f>
        <v>GRSM 4</v>
      </c>
      <c r="E913" s="20" t="str">
        <f>IFERROR(VLOOKUP(I913,KET!$B:$F,4,0),"")</f>
        <v>FAHMI LUKMANUL HAKIM</v>
      </c>
      <c r="F913" s="20" t="str">
        <f>IFERROR(VLOOKUP(I913,KET!$B:$F,5,0),"")</f>
        <v>GMM</v>
      </c>
      <c r="G913" s="20">
        <f>IFERROR(INDEX('Kode Outlet dan Target Toko'!$C:$C,MATCH($I913,'Kode Outlet dan Target Toko'!$E:$E,0)),0)</f>
        <v>189901</v>
      </c>
      <c r="H913" s="20">
        <f>IFERROR(INDEX('Kode Outlet dan Target Toko'!$D:$D,MATCH($I913,'Kode Outlet dan Target Toko'!$E:$E,0)),0)</f>
        <v>1602057</v>
      </c>
      <c r="I913" s="50" t="s">
        <v>68</v>
      </c>
      <c r="J913" s="56" t="s">
        <v>175</v>
      </c>
      <c r="K913" s="54" t="s">
        <v>16</v>
      </c>
      <c r="L913" s="24">
        <v>2150</v>
      </c>
      <c r="M913" s="24">
        <v>196</v>
      </c>
      <c r="N913" s="25">
        <f t="shared" si="29"/>
        <v>421400</v>
      </c>
      <c r="O913" s="24">
        <v>160</v>
      </c>
    </row>
    <row r="914" spans="1:15" ht="15.75" hidden="1" customHeight="1" x14ac:dyDescent="0.3">
      <c r="A914" s="24">
        <v>27</v>
      </c>
      <c r="B914" s="20" t="str">
        <f t="shared" si="28"/>
        <v>JUL</v>
      </c>
      <c r="C914" s="21">
        <v>46207</v>
      </c>
      <c r="D914" s="22" t="str">
        <f t="array" ref="D914">IFERROR(INDEX('Kode Outlet dan Target Toko'!$A:$A,MATCH($I914,'Kode Outlet dan Target Toko'!$E:$E,0)),"")</f>
        <v>GRSM 4</v>
      </c>
      <c r="E914" s="20" t="str">
        <f>IFERROR(VLOOKUP(I914,KET!$B:$F,4,0),"")</f>
        <v>FAHMI LUKMANUL HAKIM</v>
      </c>
      <c r="F914" s="20" t="str">
        <f>IFERROR(VLOOKUP(I914,KET!$B:$F,5,0),"")</f>
        <v>GMM</v>
      </c>
      <c r="G914" s="20">
        <f>IFERROR(INDEX('Kode Outlet dan Target Toko'!$C:$C,MATCH($I914,'Kode Outlet dan Target Toko'!$E:$E,0)),0)</f>
        <v>189901</v>
      </c>
      <c r="H914" s="20">
        <f>IFERROR(INDEX('Kode Outlet dan Target Toko'!$D:$D,MATCH($I914,'Kode Outlet dan Target Toko'!$E:$E,0)),0)</f>
        <v>1602057</v>
      </c>
      <c r="I914" s="50" t="s">
        <v>68</v>
      </c>
      <c r="J914" s="27" t="s">
        <v>174</v>
      </c>
      <c r="K914" s="54" t="s">
        <v>15</v>
      </c>
      <c r="L914" s="24">
        <v>2150</v>
      </c>
      <c r="M914" s="24">
        <v>151</v>
      </c>
      <c r="N914" s="25">
        <f t="shared" si="29"/>
        <v>324650</v>
      </c>
      <c r="O914" s="24"/>
    </row>
    <row r="915" spans="1:15" ht="15.75" hidden="1" customHeight="1" x14ac:dyDescent="0.3">
      <c r="A915" s="24">
        <v>27</v>
      </c>
      <c r="B915" s="20" t="str">
        <f t="shared" si="28"/>
        <v>JUL</v>
      </c>
      <c r="C915" s="21">
        <v>46207</v>
      </c>
      <c r="D915" s="22" t="str">
        <f t="array" ref="D915">IFERROR(INDEX('Kode Outlet dan Target Toko'!$A:$A,MATCH($I915,'Kode Outlet dan Target Toko'!$E:$E,0)),"")</f>
        <v>GRSM 4</v>
      </c>
      <c r="E915" s="20" t="str">
        <f>IFERROR(VLOOKUP(I915,KET!$B:$F,4,0),"")</f>
        <v>FAHMI LUKMANUL HAKIM</v>
      </c>
      <c r="F915" s="20" t="str">
        <f>IFERROR(VLOOKUP(I915,KET!$B:$F,5,0),"")</f>
        <v>GMM</v>
      </c>
      <c r="G915" s="20">
        <f>IFERROR(INDEX('Kode Outlet dan Target Toko'!$C:$C,MATCH($I915,'Kode Outlet dan Target Toko'!$E:$E,0)),0)</f>
        <v>189901</v>
      </c>
      <c r="H915" s="20">
        <f>IFERROR(INDEX('Kode Outlet dan Target Toko'!$D:$D,MATCH($I915,'Kode Outlet dan Target Toko'!$E:$E,0)),0)</f>
        <v>1602057</v>
      </c>
      <c r="I915" s="50" t="s">
        <v>68</v>
      </c>
      <c r="J915" s="27" t="s">
        <v>174</v>
      </c>
      <c r="K915" s="54" t="s">
        <v>14</v>
      </c>
      <c r="L915" s="24">
        <v>2150</v>
      </c>
      <c r="M915" s="24">
        <v>147</v>
      </c>
      <c r="N915" s="25">
        <f t="shared" si="29"/>
        <v>316050</v>
      </c>
      <c r="O915" s="24"/>
    </row>
    <row r="916" spans="1:15" ht="15.75" hidden="1" customHeight="1" x14ac:dyDescent="0.3">
      <c r="A916" s="24">
        <v>27</v>
      </c>
      <c r="B916" s="20" t="str">
        <f t="shared" si="28"/>
        <v>JUL</v>
      </c>
      <c r="C916" s="21">
        <v>46207</v>
      </c>
      <c r="D916" s="22" t="str">
        <f t="array" ref="D916">IFERROR(INDEX('Kode Outlet dan Target Toko'!$A:$A,MATCH($I916,'Kode Outlet dan Target Toko'!$E:$E,0)),"")</f>
        <v>GRSM 4</v>
      </c>
      <c r="E916" s="20" t="str">
        <f>IFERROR(VLOOKUP(I916,KET!$B:$F,4,0),"")</f>
        <v>FAHMI LUKMANUL HAKIM</v>
      </c>
      <c r="F916" s="20" t="str">
        <f>IFERROR(VLOOKUP(I916,KET!$B:$F,5,0),"")</f>
        <v>GMM</v>
      </c>
      <c r="G916" s="20">
        <f>IFERROR(INDEX('Kode Outlet dan Target Toko'!$C:$C,MATCH($I916,'Kode Outlet dan Target Toko'!$E:$E,0)),0)</f>
        <v>189901</v>
      </c>
      <c r="H916" s="20">
        <f>IFERROR(INDEX('Kode Outlet dan Target Toko'!$D:$D,MATCH($I916,'Kode Outlet dan Target Toko'!$E:$E,0)),0)</f>
        <v>1602057</v>
      </c>
      <c r="I916" s="50" t="s">
        <v>68</v>
      </c>
      <c r="J916" s="27" t="s">
        <v>174</v>
      </c>
      <c r="K916" s="54" t="s">
        <v>13</v>
      </c>
      <c r="L916" s="24">
        <v>2150</v>
      </c>
      <c r="M916" s="24">
        <v>112</v>
      </c>
      <c r="N916" s="25">
        <f t="shared" si="29"/>
        <v>240800</v>
      </c>
      <c r="O916" s="24"/>
    </row>
    <row r="917" spans="1:15" ht="15.75" hidden="1" customHeight="1" x14ac:dyDescent="0.3">
      <c r="A917" s="24">
        <v>27</v>
      </c>
      <c r="B917" s="20" t="str">
        <f t="shared" si="28"/>
        <v>JUL</v>
      </c>
      <c r="C917" s="21">
        <v>46207</v>
      </c>
      <c r="D917" s="22" t="str">
        <f t="array" ref="D917">IFERROR(INDEX('Kode Outlet dan Target Toko'!$A:$A,MATCH($I917,'Kode Outlet dan Target Toko'!$E:$E,0)),"")</f>
        <v>GRSM 4</v>
      </c>
      <c r="E917" s="20" t="str">
        <f>IFERROR(VLOOKUP(I917,KET!$B:$F,4,0),"")</f>
        <v>FAHMI LUKMANUL HAKIM</v>
      </c>
      <c r="F917" s="20" t="str">
        <f>IFERROR(VLOOKUP(I917,KET!$B:$F,5,0),"")</f>
        <v>GMM</v>
      </c>
      <c r="G917" s="20">
        <f>IFERROR(INDEX('Kode Outlet dan Target Toko'!$C:$C,MATCH($I917,'Kode Outlet dan Target Toko'!$E:$E,0)),0)</f>
        <v>189901</v>
      </c>
      <c r="H917" s="20">
        <f>IFERROR(INDEX('Kode Outlet dan Target Toko'!$D:$D,MATCH($I917,'Kode Outlet dan Target Toko'!$E:$E,0)),0)</f>
        <v>1602057</v>
      </c>
      <c r="I917" s="50" t="s">
        <v>68</v>
      </c>
      <c r="J917" s="27" t="s">
        <v>174</v>
      </c>
      <c r="K917" s="54" t="s">
        <v>16</v>
      </c>
      <c r="L917" s="24">
        <v>2150</v>
      </c>
      <c r="M917" s="24">
        <v>235</v>
      </c>
      <c r="N917" s="25">
        <f t="shared" si="29"/>
        <v>505250</v>
      </c>
      <c r="O917" s="24">
        <v>160</v>
      </c>
    </row>
    <row r="918" spans="1:15" ht="15.75" hidden="1" customHeight="1" x14ac:dyDescent="0.3">
      <c r="A918" s="24">
        <v>27</v>
      </c>
      <c r="B918" s="20" t="str">
        <f t="shared" si="28"/>
        <v>JUL</v>
      </c>
      <c r="C918" s="21">
        <v>46208</v>
      </c>
      <c r="D918" s="22" t="str">
        <f t="array" ref="D918">IFERROR(INDEX('Kode Outlet dan Target Toko'!$A:$A,MATCH($I918,'Kode Outlet dan Target Toko'!$E:$E,0)),"")</f>
        <v>GRSM 4</v>
      </c>
      <c r="E918" s="20" t="str">
        <f>IFERROR(VLOOKUP(I918,KET!$B:$F,4,0),"")</f>
        <v>FAHMI LUKMANUL HAKIM</v>
      </c>
      <c r="F918" s="20" t="str">
        <f>IFERROR(VLOOKUP(I918,KET!$B:$F,5,0),"")</f>
        <v>GMM</v>
      </c>
      <c r="G918" s="20">
        <f>IFERROR(INDEX('Kode Outlet dan Target Toko'!$C:$C,MATCH($I918,'Kode Outlet dan Target Toko'!$E:$E,0)),0)</f>
        <v>121409</v>
      </c>
      <c r="H918" s="20">
        <f>IFERROR(INDEX('Kode Outlet dan Target Toko'!$D:$D,MATCH($I918,'Kode Outlet dan Target Toko'!$E:$E,0)),0)</f>
        <v>5205014</v>
      </c>
      <c r="I918" s="50" t="s">
        <v>31</v>
      </c>
      <c r="J918" s="19" t="s">
        <v>185</v>
      </c>
      <c r="K918" s="54" t="s">
        <v>15</v>
      </c>
      <c r="L918" s="24">
        <v>2100</v>
      </c>
      <c r="M918" s="24">
        <v>108</v>
      </c>
      <c r="N918" s="25">
        <f t="shared" si="29"/>
        <v>226800</v>
      </c>
      <c r="O918" s="24"/>
    </row>
    <row r="919" spans="1:15" ht="15.75" hidden="1" customHeight="1" x14ac:dyDescent="0.3">
      <c r="A919" s="24">
        <v>27</v>
      </c>
      <c r="B919" s="20" t="str">
        <f t="shared" si="28"/>
        <v>JUL</v>
      </c>
      <c r="C919" s="21">
        <v>46208</v>
      </c>
      <c r="D919" s="22" t="str">
        <f t="array" ref="D919">IFERROR(INDEX('Kode Outlet dan Target Toko'!$A:$A,MATCH($I919,'Kode Outlet dan Target Toko'!$E:$E,0)),"")</f>
        <v>GRSM 4</v>
      </c>
      <c r="E919" s="20" t="str">
        <f>IFERROR(VLOOKUP(I919,KET!$B:$F,4,0),"")</f>
        <v>FAHMI LUKMANUL HAKIM</v>
      </c>
      <c r="F919" s="20" t="str">
        <f>IFERROR(VLOOKUP(I919,KET!$B:$F,5,0),"")</f>
        <v>GMM</v>
      </c>
      <c r="G919" s="20">
        <f>IFERROR(INDEX('Kode Outlet dan Target Toko'!$C:$C,MATCH($I919,'Kode Outlet dan Target Toko'!$E:$E,0)),0)</f>
        <v>121409</v>
      </c>
      <c r="H919" s="20">
        <f>IFERROR(INDEX('Kode Outlet dan Target Toko'!$D:$D,MATCH($I919,'Kode Outlet dan Target Toko'!$E:$E,0)),0)</f>
        <v>5205014</v>
      </c>
      <c r="I919" s="50" t="s">
        <v>31</v>
      </c>
      <c r="J919" s="19" t="s">
        <v>185</v>
      </c>
      <c r="K919" s="54" t="s">
        <v>14</v>
      </c>
      <c r="L919" s="24">
        <v>2100</v>
      </c>
      <c r="M919" s="24">
        <v>133</v>
      </c>
      <c r="N919" s="25">
        <f t="shared" si="29"/>
        <v>279300</v>
      </c>
      <c r="O919" s="24"/>
    </row>
    <row r="920" spans="1:15" ht="15.75" hidden="1" customHeight="1" x14ac:dyDescent="0.3">
      <c r="A920" s="24">
        <v>27</v>
      </c>
      <c r="B920" s="20" t="str">
        <f t="shared" si="28"/>
        <v>JUL</v>
      </c>
      <c r="C920" s="21">
        <v>46208</v>
      </c>
      <c r="D920" s="22" t="str">
        <f t="array" ref="D920">IFERROR(INDEX('Kode Outlet dan Target Toko'!$A:$A,MATCH($I920,'Kode Outlet dan Target Toko'!$E:$E,0)),"")</f>
        <v>GRSM 4</v>
      </c>
      <c r="E920" s="20" t="str">
        <f>IFERROR(VLOOKUP(I920,KET!$B:$F,4,0),"")</f>
        <v>FAHMI LUKMANUL HAKIM</v>
      </c>
      <c r="F920" s="20" t="str">
        <f>IFERROR(VLOOKUP(I920,KET!$B:$F,5,0),"")</f>
        <v>GMM</v>
      </c>
      <c r="G920" s="20">
        <f>IFERROR(INDEX('Kode Outlet dan Target Toko'!$C:$C,MATCH($I920,'Kode Outlet dan Target Toko'!$E:$E,0)),0)</f>
        <v>121409</v>
      </c>
      <c r="H920" s="20">
        <f>IFERROR(INDEX('Kode Outlet dan Target Toko'!$D:$D,MATCH($I920,'Kode Outlet dan Target Toko'!$E:$E,0)),0)</f>
        <v>5205014</v>
      </c>
      <c r="I920" s="50" t="s">
        <v>31</v>
      </c>
      <c r="J920" s="19" t="s">
        <v>185</v>
      </c>
      <c r="K920" s="54" t="s">
        <v>13</v>
      </c>
      <c r="L920" s="24">
        <v>2100</v>
      </c>
      <c r="M920" s="24">
        <v>95</v>
      </c>
      <c r="N920" s="25">
        <f t="shared" si="29"/>
        <v>199500</v>
      </c>
      <c r="O920" s="24"/>
    </row>
    <row r="921" spans="1:15" ht="15.75" hidden="1" customHeight="1" x14ac:dyDescent="0.3">
      <c r="A921" s="24">
        <v>27</v>
      </c>
      <c r="B921" s="20" t="str">
        <f t="shared" si="28"/>
        <v>JUL</v>
      </c>
      <c r="C921" s="21">
        <v>46208</v>
      </c>
      <c r="D921" s="22" t="str">
        <f t="array" ref="D921">IFERROR(INDEX('Kode Outlet dan Target Toko'!$A:$A,MATCH($I921,'Kode Outlet dan Target Toko'!$E:$E,0)),"")</f>
        <v>GRSM 4</v>
      </c>
      <c r="E921" s="20" t="str">
        <f>IFERROR(VLOOKUP(I921,KET!$B:$F,4,0),"")</f>
        <v>FAHMI LUKMANUL HAKIM</v>
      </c>
      <c r="F921" s="20" t="str">
        <f>IFERROR(VLOOKUP(I921,KET!$B:$F,5,0),"")</f>
        <v>GMM</v>
      </c>
      <c r="G921" s="20">
        <f>IFERROR(INDEX('Kode Outlet dan Target Toko'!$C:$C,MATCH($I921,'Kode Outlet dan Target Toko'!$E:$E,0)),0)</f>
        <v>121409</v>
      </c>
      <c r="H921" s="20">
        <f>IFERROR(INDEX('Kode Outlet dan Target Toko'!$D:$D,MATCH($I921,'Kode Outlet dan Target Toko'!$E:$E,0)),0)</f>
        <v>5205014</v>
      </c>
      <c r="I921" s="50" t="s">
        <v>31</v>
      </c>
      <c r="J921" s="19" t="s">
        <v>185</v>
      </c>
      <c r="K921" s="54" t="s">
        <v>16</v>
      </c>
      <c r="L921" s="24">
        <v>2100</v>
      </c>
      <c r="M921" s="24">
        <v>323</v>
      </c>
      <c r="N921" s="25">
        <f t="shared" si="29"/>
        <v>678300</v>
      </c>
      <c r="O921" s="24">
        <v>160</v>
      </c>
    </row>
    <row r="922" spans="1:15" ht="15.75" hidden="1" customHeight="1" x14ac:dyDescent="0.3">
      <c r="A922" s="24">
        <v>27</v>
      </c>
      <c r="B922" s="20" t="str">
        <f t="shared" si="28"/>
        <v>JUL</v>
      </c>
      <c r="C922" s="21">
        <v>46208</v>
      </c>
      <c r="D922" s="22" t="str">
        <f t="array" ref="D922">IFERROR(INDEX('Kode Outlet dan Target Toko'!$A:$A,MATCH($I922,'Kode Outlet dan Target Toko'!$E:$E,0)),"")</f>
        <v>GRSM 4</v>
      </c>
      <c r="E922" s="20" t="str">
        <f>IFERROR(VLOOKUP(I922,KET!$B:$F,4,0),"")</f>
        <v>FAHMI LUKMANUL HAKIM</v>
      </c>
      <c r="F922" s="20" t="str">
        <f>IFERROR(VLOOKUP(I922,KET!$B:$F,5,0),"")</f>
        <v>GMM</v>
      </c>
      <c r="G922" s="20">
        <f>IFERROR(INDEX('Kode Outlet dan Target Toko'!$C:$C,MATCH($I922,'Kode Outlet dan Target Toko'!$E:$E,0)),0)</f>
        <v>121409</v>
      </c>
      <c r="H922" s="20">
        <f>IFERROR(INDEX('Kode Outlet dan Target Toko'!$D:$D,MATCH($I922,'Kode Outlet dan Target Toko'!$E:$E,0)),0)</f>
        <v>5205014</v>
      </c>
      <c r="I922" s="50" t="s">
        <v>31</v>
      </c>
      <c r="J922" s="19" t="s">
        <v>184</v>
      </c>
      <c r="K922" s="54" t="s">
        <v>15</v>
      </c>
      <c r="L922" s="24">
        <v>2100</v>
      </c>
      <c r="M922" s="24">
        <v>108</v>
      </c>
      <c r="N922" s="25">
        <f t="shared" si="29"/>
        <v>226800</v>
      </c>
      <c r="O922" s="24"/>
    </row>
    <row r="923" spans="1:15" ht="15.75" hidden="1" customHeight="1" x14ac:dyDescent="0.3">
      <c r="A923" s="24">
        <v>27</v>
      </c>
      <c r="B923" s="20" t="str">
        <f t="shared" si="28"/>
        <v>JUL</v>
      </c>
      <c r="C923" s="21">
        <v>46208</v>
      </c>
      <c r="D923" s="22" t="str">
        <f t="array" ref="D923">IFERROR(INDEX('Kode Outlet dan Target Toko'!$A:$A,MATCH($I923,'Kode Outlet dan Target Toko'!$E:$E,0)),"")</f>
        <v>GRSM 4</v>
      </c>
      <c r="E923" s="20" t="str">
        <f>IFERROR(VLOOKUP(I923,KET!$B:$F,4,0),"")</f>
        <v>FAHMI LUKMANUL HAKIM</v>
      </c>
      <c r="F923" s="20" t="str">
        <f>IFERROR(VLOOKUP(I923,KET!$B:$F,5,0),"")</f>
        <v>GMM</v>
      </c>
      <c r="G923" s="20">
        <f>IFERROR(INDEX('Kode Outlet dan Target Toko'!$C:$C,MATCH($I923,'Kode Outlet dan Target Toko'!$E:$E,0)),0)</f>
        <v>121409</v>
      </c>
      <c r="H923" s="20">
        <f>IFERROR(INDEX('Kode Outlet dan Target Toko'!$D:$D,MATCH($I923,'Kode Outlet dan Target Toko'!$E:$E,0)),0)</f>
        <v>5205014</v>
      </c>
      <c r="I923" s="50" t="s">
        <v>31</v>
      </c>
      <c r="J923" s="19" t="s">
        <v>184</v>
      </c>
      <c r="K923" s="54" t="s">
        <v>14</v>
      </c>
      <c r="L923" s="24">
        <v>2100</v>
      </c>
      <c r="M923" s="24">
        <v>133</v>
      </c>
      <c r="N923" s="25">
        <f t="shared" si="29"/>
        <v>279300</v>
      </c>
      <c r="O923" s="24"/>
    </row>
    <row r="924" spans="1:15" ht="15.75" hidden="1" customHeight="1" x14ac:dyDescent="0.3">
      <c r="A924" s="24">
        <v>27</v>
      </c>
      <c r="B924" s="20" t="str">
        <f t="shared" si="28"/>
        <v>JUL</v>
      </c>
      <c r="C924" s="21">
        <v>46208</v>
      </c>
      <c r="D924" s="22" t="str">
        <f t="array" ref="D924">IFERROR(INDEX('Kode Outlet dan Target Toko'!$A:$A,MATCH($I924,'Kode Outlet dan Target Toko'!$E:$E,0)),"")</f>
        <v>GRSM 4</v>
      </c>
      <c r="E924" s="20" t="str">
        <f>IFERROR(VLOOKUP(I924,KET!$B:$F,4,0),"")</f>
        <v>FAHMI LUKMANUL HAKIM</v>
      </c>
      <c r="F924" s="20" t="str">
        <f>IFERROR(VLOOKUP(I924,KET!$B:$F,5,0),"")</f>
        <v>GMM</v>
      </c>
      <c r="G924" s="20">
        <f>IFERROR(INDEX('Kode Outlet dan Target Toko'!$C:$C,MATCH($I924,'Kode Outlet dan Target Toko'!$E:$E,0)),0)</f>
        <v>121409</v>
      </c>
      <c r="H924" s="20">
        <f>IFERROR(INDEX('Kode Outlet dan Target Toko'!$D:$D,MATCH($I924,'Kode Outlet dan Target Toko'!$E:$E,0)),0)</f>
        <v>5205014</v>
      </c>
      <c r="I924" s="50" t="s">
        <v>31</v>
      </c>
      <c r="J924" s="19" t="s">
        <v>184</v>
      </c>
      <c r="K924" s="54" t="s">
        <v>13</v>
      </c>
      <c r="L924" s="24">
        <v>2100</v>
      </c>
      <c r="M924" s="24">
        <v>95</v>
      </c>
      <c r="N924" s="25">
        <f t="shared" si="29"/>
        <v>199500</v>
      </c>
      <c r="O924" s="24"/>
    </row>
    <row r="925" spans="1:15" ht="15.75" hidden="1" customHeight="1" x14ac:dyDescent="0.3">
      <c r="A925" s="24">
        <v>27</v>
      </c>
      <c r="B925" s="20" t="str">
        <f t="shared" si="28"/>
        <v>JUL</v>
      </c>
      <c r="C925" s="21">
        <v>46208</v>
      </c>
      <c r="D925" s="22" t="str">
        <f t="array" ref="D925">IFERROR(INDEX('Kode Outlet dan Target Toko'!$A:$A,MATCH($I925,'Kode Outlet dan Target Toko'!$E:$E,0)),"")</f>
        <v>GRSM 4</v>
      </c>
      <c r="E925" s="20" t="str">
        <f>IFERROR(VLOOKUP(I925,KET!$B:$F,4,0),"")</f>
        <v>FAHMI LUKMANUL HAKIM</v>
      </c>
      <c r="F925" s="20" t="str">
        <f>IFERROR(VLOOKUP(I925,KET!$B:$F,5,0),"")</f>
        <v>GMM</v>
      </c>
      <c r="G925" s="20">
        <f>IFERROR(INDEX('Kode Outlet dan Target Toko'!$C:$C,MATCH($I925,'Kode Outlet dan Target Toko'!$E:$E,0)),0)</f>
        <v>121409</v>
      </c>
      <c r="H925" s="20">
        <f>IFERROR(INDEX('Kode Outlet dan Target Toko'!$D:$D,MATCH($I925,'Kode Outlet dan Target Toko'!$E:$E,0)),0)</f>
        <v>5205014</v>
      </c>
      <c r="I925" s="50" t="s">
        <v>31</v>
      </c>
      <c r="J925" s="19" t="s">
        <v>184</v>
      </c>
      <c r="K925" s="54" t="s">
        <v>16</v>
      </c>
      <c r="L925" s="24">
        <v>2100</v>
      </c>
      <c r="M925" s="24">
        <v>323</v>
      </c>
      <c r="N925" s="25">
        <f t="shared" si="29"/>
        <v>678300</v>
      </c>
      <c r="O925" s="24">
        <v>160</v>
      </c>
    </row>
    <row r="926" spans="1:15" ht="15.75" hidden="1" customHeight="1" x14ac:dyDescent="0.3">
      <c r="A926" s="24">
        <v>27</v>
      </c>
      <c r="B926" s="20" t="str">
        <f t="shared" si="28"/>
        <v>JUL</v>
      </c>
      <c r="C926" s="21">
        <v>46208</v>
      </c>
      <c r="D926" s="22" t="str">
        <f t="array" ref="D926">IFERROR(INDEX('Kode Outlet dan Target Toko'!$A:$A,MATCH($I926,'Kode Outlet dan Target Toko'!$E:$E,0)),"")</f>
        <v>GRSM 4</v>
      </c>
      <c r="E926" s="20" t="str">
        <f>IFERROR(VLOOKUP(I926,KET!$B:$F,4,0),"")</f>
        <v>FAHMI LUKMANUL HAKIM</v>
      </c>
      <c r="F926" s="20" t="str">
        <f>IFERROR(VLOOKUP(I926,KET!$B:$F,5,0),"")</f>
        <v>GMM</v>
      </c>
      <c r="G926" s="20">
        <f>IFERROR(INDEX('Kode Outlet dan Target Toko'!$C:$C,MATCH($I926,'Kode Outlet dan Target Toko'!$E:$E,0)),0)</f>
        <v>103257</v>
      </c>
      <c r="H926" s="20">
        <f>IFERROR(INDEX('Kode Outlet dan Target Toko'!$D:$D,MATCH($I926,'Kode Outlet dan Target Toko'!$E:$E,0)),0)</f>
        <v>9162509</v>
      </c>
      <c r="I926" s="41" t="s">
        <v>23</v>
      </c>
      <c r="J926" s="19" t="s">
        <v>180</v>
      </c>
      <c r="K926" s="54" t="s">
        <v>15</v>
      </c>
      <c r="L926" s="24">
        <v>3100</v>
      </c>
      <c r="M926" s="24">
        <v>46</v>
      </c>
      <c r="N926" s="25">
        <f t="shared" si="29"/>
        <v>142600</v>
      </c>
      <c r="O926" s="24"/>
    </row>
    <row r="927" spans="1:15" ht="15.75" hidden="1" customHeight="1" x14ac:dyDescent="0.3">
      <c r="A927" s="24">
        <v>27</v>
      </c>
      <c r="B927" s="20" t="str">
        <f t="shared" si="28"/>
        <v>JUL</v>
      </c>
      <c r="C927" s="21">
        <v>46208</v>
      </c>
      <c r="D927" s="22" t="str">
        <f t="array" ref="D927">IFERROR(INDEX('Kode Outlet dan Target Toko'!$A:$A,MATCH($I927,'Kode Outlet dan Target Toko'!$E:$E,0)),"")</f>
        <v>GRSM 4</v>
      </c>
      <c r="E927" s="20" t="str">
        <f>IFERROR(VLOOKUP(I927,KET!$B:$F,4,0),"")</f>
        <v>FAHMI LUKMANUL HAKIM</v>
      </c>
      <c r="F927" s="20" t="str">
        <f>IFERROR(VLOOKUP(I927,KET!$B:$F,5,0),"")</f>
        <v>GMM</v>
      </c>
      <c r="G927" s="20">
        <f>IFERROR(INDEX('Kode Outlet dan Target Toko'!$C:$C,MATCH($I927,'Kode Outlet dan Target Toko'!$E:$E,0)),0)</f>
        <v>103257</v>
      </c>
      <c r="H927" s="20">
        <f>IFERROR(INDEX('Kode Outlet dan Target Toko'!$D:$D,MATCH($I927,'Kode Outlet dan Target Toko'!$E:$E,0)),0)</f>
        <v>9162509</v>
      </c>
      <c r="I927" s="41" t="s">
        <v>23</v>
      </c>
      <c r="J927" s="19" t="s">
        <v>180</v>
      </c>
      <c r="K927" s="54" t="s">
        <v>14</v>
      </c>
      <c r="L927" s="24">
        <v>3100</v>
      </c>
      <c r="M927" s="24">
        <v>53</v>
      </c>
      <c r="N927" s="25">
        <f t="shared" si="29"/>
        <v>164300</v>
      </c>
      <c r="O927" s="24"/>
    </row>
    <row r="928" spans="1:15" ht="15.75" hidden="1" customHeight="1" x14ac:dyDescent="0.3">
      <c r="A928" s="24">
        <v>27</v>
      </c>
      <c r="B928" s="20" t="str">
        <f t="shared" si="28"/>
        <v>JUL</v>
      </c>
      <c r="C928" s="21">
        <v>46208</v>
      </c>
      <c r="D928" s="22" t="str">
        <f t="array" ref="D928">IFERROR(INDEX('Kode Outlet dan Target Toko'!$A:$A,MATCH($I928,'Kode Outlet dan Target Toko'!$E:$E,0)),"")</f>
        <v>GRSM 4</v>
      </c>
      <c r="E928" s="20" t="str">
        <f>IFERROR(VLOOKUP(I928,KET!$B:$F,4,0),"")</f>
        <v>FAHMI LUKMANUL HAKIM</v>
      </c>
      <c r="F928" s="20" t="str">
        <f>IFERROR(VLOOKUP(I928,KET!$B:$F,5,0),"")</f>
        <v>GMM</v>
      </c>
      <c r="G928" s="20">
        <f>IFERROR(INDEX('Kode Outlet dan Target Toko'!$C:$C,MATCH($I928,'Kode Outlet dan Target Toko'!$E:$E,0)),0)</f>
        <v>103257</v>
      </c>
      <c r="H928" s="20">
        <f>IFERROR(INDEX('Kode Outlet dan Target Toko'!$D:$D,MATCH($I928,'Kode Outlet dan Target Toko'!$E:$E,0)),0)</f>
        <v>9162509</v>
      </c>
      <c r="I928" s="41" t="s">
        <v>23</v>
      </c>
      <c r="J928" s="19" t="s">
        <v>180</v>
      </c>
      <c r="K928" s="54" t="s">
        <v>13</v>
      </c>
      <c r="L928" s="24">
        <v>3100</v>
      </c>
      <c r="M928" s="24">
        <v>58</v>
      </c>
      <c r="N928" s="25">
        <f t="shared" si="29"/>
        <v>179800</v>
      </c>
      <c r="O928" s="24"/>
    </row>
    <row r="929" spans="1:15" ht="15.75" hidden="1" customHeight="1" x14ac:dyDescent="0.3">
      <c r="A929" s="24">
        <v>27</v>
      </c>
      <c r="B929" s="20" t="str">
        <f t="shared" si="28"/>
        <v>JUL</v>
      </c>
      <c r="C929" s="21">
        <v>46208</v>
      </c>
      <c r="D929" s="22" t="str">
        <f t="array" ref="D929">IFERROR(INDEX('Kode Outlet dan Target Toko'!$A:$A,MATCH($I929,'Kode Outlet dan Target Toko'!$E:$E,0)),"")</f>
        <v>GRSM 4</v>
      </c>
      <c r="E929" s="20" t="str">
        <f>IFERROR(VLOOKUP(I929,KET!$B:$F,4,0),"")</f>
        <v>FAHMI LUKMANUL HAKIM</v>
      </c>
      <c r="F929" s="20" t="str">
        <f>IFERROR(VLOOKUP(I929,KET!$B:$F,5,0),"")</f>
        <v>GMM</v>
      </c>
      <c r="G929" s="20">
        <f>IFERROR(INDEX('Kode Outlet dan Target Toko'!$C:$C,MATCH($I929,'Kode Outlet dan Target Toko'!$E:$E,0)),0)</f>
        <v>103257</v>
      </c>
      <c r="H929" s="20">
        <f>IFERROR(INDEX('Kode Outlet dan Target Toko'!$D:$D,MATCH($I929,'Kode Outlet dan Target Toko'!$E:$E,0)),0)</f>
        <v>9162509</v>
      </c>
      <c r="I929" s="41" t="s">
        <v>23</v>
      </c>
      <c r="J929" s="19" t="s">
        <v>180</v>
      </c>
      <c r="K929" s="54" t="s">
        <v>16</v>
      </c>
      <c r="L929" s="24">
        <v>3100</v>
      </c>
      <c r="M929" s="24">
        <v>51</v>
      </c>
      <c r="N929" s="25">
        <f t="shared" si="29"/>
        <v>158100</v>
      </c>
      <c r="O929" s="24">
        <v>160</v>
      </c>
    </row>
    <row r="930" spans="1:15" ht="15.75" hidden="1" customHeight="1" x14ac:dyDescent="0.3">
      <c r="A930" s="24">
        <v>27</v>
      </c>
      <c r="B930" s="20" t="str">
        <f t="shared" si="28"/>
        <v>JUL</v>
      </c>
      <c r="C930" s="21">
        <v>46208</v>
      </c>
      <c r="D930" s="22" t="str">
        <f t="array" ref="D930">IFERROR(INDEX('Kode Outlet dan Target Toko'!$A:$A,MATCH($I930,'Kode Outlet dan Target Toko'!$E:$E,0)),"")</f>
        <v>GRSM 4</v>
      </c>
      <c r="E930" s="20" t="str">
        <f>IFERROR(VLOOKUP(I930,KET!$B:$F,4,0),"")</f>
        <v>FAHMI LUKMANUL HAKIM</v>
      </c>
      <c r="F930" s="20" t="str">
        <f>IFERROR(VLOOKUP(I930,KET!$B:$F,5,0),"")</f>
        <v>GMM</v>
      </c>
      <c r="G930" s="20">
        <f>IFERROR(INDEX('Kode Outlet dan Target Toko'!$C:$C,MATCH($I930,'Kode Outlet dan Target Toko'!$E:$E,0)),0)</f>
        <v>103257</v>
      </c>
      <c r="H930" s="20">
        <f>IFERROR(INDEX('Kode Outlet dan Target Toko'!$D:$D,MATCH($I930,'Kode Outlet dan Target Toko'!$E:$E,0)),0)</f>
        <v>9162509</v>
      </c>
      <c r="I930" s="41" t="s">
        <v>23</v>
      </c>
      <c r="J930" s="56" t="s">
        <v>181</v>
      </c>
      <c r="K930" s="54" t="s">
        <v>15</v>
      </c>
      <c r="L930" s="24">
        <v>3100</v>
      </c>
      <c r="M930" s="24">
        <v>42</v>
      </c>
      <c r="N930" s="25">
        <f t="shared" si="29"/>
        <v>130200</v>
      </c>
      <c r="O930" s="24"/>
    </row>
    <row r="931" spans="1:15" ht="15.75" hidden="1" customHeight="1" x14ac:dyDescent="0.3">
      <c r="A931" s="24">
        <v>27</v>
      </c>
      <c r="B931" s="20" t="str">
        <f t="shared" si="28"/>
        <v>JUL</v>
      </c>
      <c r="C931" s="21">
        <v>46208</v>
      </c>
      <c r="D931" s="22" t="str">
        <f t="array" ref="D931">IFERROR(INDEX('Kode Outlet dan Target Toko'!$A:$A,MATCH($I931,'Kode Outlet dan Target Toko'!$E:$E,0)),"")</f>
        <v>GRSM 4</v>
      </c>
      <c r="E931" s="20" t="str">
        <f>IFERROR(VLOOKUP(I931,KET!$B:$F,4,0),"")</f>
        <v>FAHMI LUKMANUL HAKIM</v>
      </c>
      <c r="F931" s="20" t="str">
        <f>IFERROR(VLOOKUP(I931,KET!$B:$F,5,0),"")</f>
        <v>GMM</v>
      </c>
      <c r="G931" s="20">
        <f>IFERROR(INDEX('Kode Outlet dan Target Toko'!$C:$C,MATCH($I931,'Kode Outlet dan Target Toko'!$E:$E,0)),0)</f>
        <v>103257</v>
      </c>
      <c r="H931" s="20">
        <f>IFERROR(INDEX('Kode Outlet dan Target Toko'!$D:$D,MATCH($I931,'Kode Outlet dan Target Toko'!$E:$E,0)),0)</f>
        <v>9162509</v>
      </c>
      <c r="I931" s="41" t="s">
        <v>23</v>
      </c>
      <c r="J931" s="56" t="s">
        <v>181</v>
      </c>
      <c r="K931" s="54" t="s">
        <v>14</v>
      </c>
      <c r="L931" s="24">
        <v>3100</v>
      </c>
      <c r="M931" s="24">
        <v>51</v>
      </c>
      <c r="N931" s="25">
        <f t="shared" si="29"/>
        <v>158100</v>
      </c>
      <c r="O931" s="24"/>
    </row>
    <row r="932" spans="1:15" ht="15.75" hidden="1" customHeight="1" x14ac:dyDescent="0.3">
      <c r="A932" s="24">
        <v>27</v>
      </c>
      <c r="B932" s="20" t="str">
        <f t="shared" si="28"/>
        <v>JUL</v>
      </c>
      <c r="C932" s="21">
        <v>46208</v>
      </c>
      <c r="D932" s="22" t="str">
        <f t="array" ref="D932">IFERROR(INDEX('Kode Outlet dan Target Toko'!$A:$A,MATCH($I932,'Kode Outlet dan Target Toko'!$E:$E,0)),"")</f>
        <v>GRSM 4</v>
      </c>
      <c r="E932" s="20" t="str">
        <f>IFERROR(VLOOKUP(I932,KET!$B:$F,4,0),"")</f>
        <v>FAHMI LUKMANUL HAKIM</v>
      </c>
      <c r="F932" s="20" t="str">
        <f>IFERROR(VLOOKUP(I932,KET!$B:$F,5,0),"")</f>
        <v>GMM</v>
      </c>
      <c r="G932" s="20">
        <f>IFERROR(INDEX('Kode Outlet dan Target Toko'!$C:$C,MATCH($I932,'Kode Outlet dan Target Toko'!$E:$E,0)),0)</f>
        <v>103257</v>
      </c>
      <c r="H932" s="20">
        <f>IFERROR(INDEX('Kode Outlet dan Target Toko'!$D:$D,MATCH($I932,'Kode Outlet dan Target Toko'!$E:$E,0)),0)</f>
        <v>9162509</v>
      </c>
      <c r="I932" s="41" t="s">
        <v>23</v>
      </c>
      <c r="J932" s="56" t="s">
        <v>181</v>
      </c>
      <c r="K932" s="54" t="s">
        <v>13</v>
      </c>
      <c r="L932" s="24">
        <v>3100</v>
      </c>
      <c r="M932" s="24">
        <v>55</v>
      </c>
      <c r="N932" s="25">
        <f t="shared" si="29"/>
        <v>170500</v>
      </c>
      <c r="O932" s="24"/>
    </row>
    <row r="933" spans="1:15" ht="15.75" hidden="1" customHeight="1" x14ac:dyDescent="0.3">
      <c r="A933" s="24">
        <v>27</v>
      </c>
      <c r="B933" s="20" t="str">
        <f t="shared" si="28"/>
        <v>JUL</v>
      </c>
      <c r="C933" s="21">
        <v>46208</v>
      </c>
      <c r="D933" s="22" t="str">
        <f t="array" ref="D933">IFERROR(INDEX('Kode Outlet dan Target Toko'!$A:$A,MATCH($I933,'Kode Outlet dan Target Toko'!$E:$E,0)),"")</f>
        <v>GRSM 4</v>
      </c>
      <c r="E933" s="20" t="str">
        <f>IFERROR(VLOOKUP(I933,KET!$B:$F,4,0),"")</f>
        <v>FAHMI LUKMANUL HAKIM</v>
      </c>
      <c r="F933" s="20" t="str">
        <f>IFERROR(VLOOKUP(I933,KET!$B:$F,5,0),"")</f>
        <v>GMM</v>
      </c>
      <c r="G933" s="20">
        <f>IFERROR(INDEX('Kode Outlet dan Target Toko'!$C:$C,MATCH($I933,'Kode Outlet dan Target Toko'!$E:$E,0)),0)</f>
        <v>103257</v>
      </c>
      <c r="H933" s="20">
        <f>IFERROR(INDEX('Kode Outlet dan Target Toko'!$D:$D,MATCH($I933,'Kode Outlet dan Target Toko'!$E:$E,0)),0)</f>
        <v>9162509</v>
      </c>
      <c r="I933" s="41" t="s">
        <v>23</v>
      </c>
      <c r="J933" s="56" t="s">
        <v>181</v>
      </c>
      <c r="K933" s="54" t="s">
        <v>16</v>
      </c>
      <c r="L933" s="24">
        <v>3100</v>
      </c>
      <c r="M933" s="24">
        <v>48</v>
      </c>
      <c r="N933" s="25">
        <f t="shared" si="29"/>
        <v>148800</v>
      </c>
      <c r="O933" s="24">
        <v>160</v>
      </c>
    </row>
    <row r="934" spans="1:15" ht="15.75" hidden="1" customHeight="1" x14ac:dyDescent="0.3">
      <c r="A934" s="24">
        <v>27</v>
      </c>
      <c r="B934" s="20" t="str">
        <f t="shared" si="28"/>
        <v>JUL</v>
      </c>
      <c r="C934" s="21">
        <v>46208</v>
      </c>
      <c r="D934" s="22" t="str">
        <f t="array" ref="D934">IFERROR(INDEX('Kode Outlet dan Target Toko'!$A:$A,MATCH($I934,'Kode Outlet dan Target Toko'!$E:$E,0)),"")</f>
        <v>GRSM 4</v>
      </c>
      <c r="E934" s="20" t="str">
        <f>IFERROR(VLOOKUP(I934,KET!$B:$F,4,0),"")</f>
        <v>FAHMI LUKMANUL HAKIM</v>
      </c>
      <c r="F934" s="20" t="str">
        <f>IFERROR(VLOOKUP(I934,KET!$B:$F,5,0),"")</f>
        <v>GMM</v>
      </c>
      <c r="G934" s="20">
        <f>IFERROR(INDEX('Kode Outlet dan Target Toko'!$C:$C,MATCH($I934,'Kode Outlet dan Target Toko'!$E:$E,0)),0)</f>
        <v>103259</v>
      </c>
      <c r="H934" s="20">
        <f>IFERROR(INDEX('Kode Outlet dan Target Toko'!$D:$D,MATCH($I934,'Kode Outlet dan Target Toko'!$E:$E,0)),0)</f>
        <v>9029389</v>
      </c>
      <c r="I934" s="51" t="s">
        <v>27</v>
      </c>
      <c r="J934" s="27" t="s">
        <v>178</v>
      </c>
      <c r="K934" s="54" t="s">
        <v>15</v>
      </c>
      <c r="L934" s="24">
        <v>3000</v>
      </c>
      <c r="M934" s="24">
        <v>53</v>
      </c>
      <c r="N934" s="25">
        <f t="shared" si="29"/>
        <v>159000</v>
      </c>
      <c r="O934" s="24"/>
    </row>
    <row r="935" spans="1:15" ht="15.75" hidden="1" customHeight="1" x14ac:dyDescent="0.3">
      <c r="A935" s="24">
        <v>27</v>
      </c>
      <c r="B935" s="20" t="str">
        <f t="shared" si="28"/>
        <v>JUL</v>
      </c>
      <c r="C935" s="21">
        <v>46208</v>
      </c>
      <c r="D935" s="22" t="str">
        <f t="array" ref="D935">IFERROR(INDEX('Kode Outlet dan Target Toko'!$A:$A,MATCH($I935,'Kode Outlet dan Target Toko'!$E:$E,0)),"")</f>
        <v>GRSM 4</v>
      </c>
      <c r="E935" s="20" t="str">
        <f>IFERROR(VLOOKUP(I935,KET!$B:$F,4,0),"")</f>
        <v>FAHMI LUKMANUL HAKIM</v>
      </c>
      <c r="F935" s="20" t="str">
        <f>IFERROR(VLOOKUP(I935,KET!$B:$F,5,0),"")</f>
        <v>GMM</v>
      </c>
      <c r="G935" s="20">
        <f>IFERROR(INDEX('Kode Outlet dan Target Toko'!$C:$C,MATCH($I935,'Kode Outlet dan Target Toko'!$E:$E,0)),0)</f>
        <v>103259</v>
      </c>
      <c r="H935" s="20">
        <f>IFERROR(INDEX('Kode Outlet dan Target Toko'!$D:$D,MATCH($I935,'Kode Outlet dan Target Toko'!$E:$E,0)),0)</f>
        <v>9029389</v>
      </c>
      <c r="I935" s="51" t="s">
        <v>27</v>
      </c>
      <c r="J935" s="27" t="s">
        <v>178</v>
      </c>
      <c r="K935" s="54" t="s">
        <v>14</v>
      </c>
      <c r="L935" s="24">
        <v>3000</v>
      </c>
      <c r="M935" s="24">
        <v>82</v>
      </c>
      <c r="N935" s="25">
        <f t="shared" si="29"/>
        <v>246000</v>
      </c>
      <c r="O935" s="24"/>
    </row>
    <row r="936" spans="1:15" ht="15.75" hidden="1" customHeight="1" x14ac:dyDescent="0.3">
      <c r="A936" s="24">
        <v>27</v>
      </c>
      <c r="B936" s="20" t="str">
        <f t="shared" si="28"/>
        <v>JUL</v>
      </c>
      <c r="C936" s="21">
        <v>46208</v>
      </c>
      <c r="D936" s="22" t="str">
        <f t="array" ref="D936">IFERROR(INDEX('Kode Outlet dan Target Toko'!$A:$A,MATCH($I936,'Kode Outlet dan Target Toko'!$E:$E,0)),"")</f>
        <v>GRSM 4</v>
      </c>
      <c r="E936" s="20" t="str">
        <f>IFERROR(VLOOKUP(I936,KET!$B:$F,4,0),"")</f>
        <v>FAHMI LUKMANUL HAKIM</v>
      </c>
      <c r="F936" s="20" t="str">
        <f>IFERROR(VLOOKUP(I936,KET!$B:$F,5,0),"")</f>
        <v>GMM</v>
      </c>
      <c r="G936" s="20">
        <f>IFERROR(INDEX('Kode Outlet dan Target Toko'!$C:$C,MATCH($I936,'Kode Outlet dan Target Toko'!$E:$E,0)),0)</f>
        <v>103259</v>
      </c>
      <c r="H936" s="20">
        <f>IFERROR(INDEX('Kode Outlet dan Target Toko'!$D:$D,MATCH($I936,'Kode Outlet dan Target Toko'!$E:$E,0)),0)</f>
        <v>9029389</v>
      </c>
      <c r="I936" s="51" t="s">
        <v>27</v>
      </c>
      <c r="J936" s="27" t="s">
        <v>178</v>
      </c>
      <c r="K936" s="54" t="s">
        <v>13</v>
      </c>
      <c r="L936" s="24">
        <v>3000</v>
      </c>
      <c r="M936" s="24">
        <v>49</v>
      </c>
      <c r="N936" s="25">
        <f t="shared" si="29"/>
        <v>147000</v>
      </c>
      <c r="O936" s="24"/>
    </row>
    <row r="937" spans="1:15" ht="15.75" hidden="1" customHeight="1" x14ac:dyDescent="0.3">
      <c r="A937" s="24">
        <v>27</v>
      </c>
      <c r="B937" s="20" t="str">
        <f t="shared" si="28"/>
        <v>JUL</v>
      </c>
      <c r="C937" s="21">
        <v>46208</v>
      </c>
      <c r="D937" s="22" t="str">
        <f t="array" ref="D937">IFERROR(INDEX('Kode Outlet dan Target Toko'!$A:$A,MATCH($I937,'Kode Outlet dan Target Toko'!$E:$E,0)),"")</f>
        <v>GRSM 4</v>
      </c>
      <c r="E937" s="20" t="str">
        <f>IFERROR(VLOOKUP(I937,KET!$B:$F,4,0),"")</f>
        <v>FAHMI LUKMANUL HAKIM</v>
      </c>
      <c r="F937" s="20" t="str">
        <f>IFERROR(VLOOKUP(I937,KET!$B:$F,5,0),"")</f>
        <v>GMM</v>
      </c>
      <c r="G937" s="20">
        <f>IFERROR(INDEX('Kode Outlet dan Target Toko'!$C:$C,MATCH($I937,'Kode Outlet dan Target Toko'!$E:$E,0)),0)</f>
        <v>103259</v>
      </c>
      <c r="H937" s="20">
        <f>IFERROR(INDEX('Kode Outlet dan Target Toko'!$D:$D,MATCH($I937,'Kode Outlet dan Target Toko'!$E:$E,0)),0)</f>
        <v>9029389</v>
      </c>
      <c r="I937" s="51" t="s">
        <v>27</v>
      </c>
      <c r="J937" s="27" t="s">
        <v>178</v>
      </c>
      <c r="K937" s="54" t="s">
        <v>16</v>
      </c>
      <c r="L937" s="24">
        <v>3000</v>
      </c>
      <c r="M937" s="24">
        <v>206</v>
      </c>
      <c r="N937" s="25">
        <f t="shared" si="29"/>
        <v>618000</v>
      </c>
      <c r="O937" s="24">
        <v>160</v>
      </c>
    </row>
    <row r="938" spans="1:15" ht="15.75" hidden="1" customHeight="1" x14ac:dyDescent="0.3">
      <c r="A938" s="24">
        <v>27</v>
      </c>
      <c r="B938" s="20" t="str">
        <f t="shared" si="28"/>
        <v>JUL</v>
      </c>
      <c r="C938" s="21">
        <v>46208</v>
      </c>
      <c r="D938" s="22" t="str">
        <f t="array" ref="D938">IFERROR(INDEX('Kode Outlet dan Target Toko'!$A:$A,MATCH($I938,'Kode Outlet dan Target Toko'!$E:$E,0)),"")</f>
        <v>GRSM 4</v>
      </c>
      <c r="E938" s="20" t="str">
        <f>IFERROR(VLOOKUP(I938,KET!$B:$F,4,0),"")</f>
        <v>FAHMI LUKMANUL HAKIM</v>
      </c>
      <c r="F938" s="20" t="str">
        <f>IFERROR(VLOOKUP(I938,KET!$B:$F,5,0),"")</f>
        <v>GMM</v>
      </c>
      <c r="G938" s="20">
        <f>IFERROR(INDEX('Kode Outlet dan Target Toko'!$C:$C,MATCH($I938,'Kode Outlet dan Target Toko'!$E:$E,0)),0)</f>
        <v>103277</v>
      </c>
      <c r="H938" s="20">
        <f>IFERROR(INDEX('Kode Outlet dan Target Toko'!$D:$D,MATCH($I938,'Kode Outlet dan Target Toko'!$E:$E,0)),0)</f>
        <v>6300700</v>
      </c>
      <c r="I938" s="50" t="s">
        <v>30</v>
      </c>
      <c r="J938" s="19" t="s">
        <v>182</v>
      </c>
      <c r="K938" s="54" t="s">
        <v>15</v>
      </c>
      <c r="L938" s="24">
        <v>3000</v>
      </c>
      <c r="M938" s="24">
        <v>69</v>
      </c>
      <c r="N938" s="25">
        <f t="shared" si="29"/>
        <v>207000</v>
      </c>
      <c r="O938" s="24"/>
    </row>
    <row r="939" spans="1:15" ht="15.75" hidden="1" customHeight="1" x14ac:dyDescent="0.3">
      <c r="A939" s="24">
        <v>27</v>
      </c>
      <c r="B939" s="20" t="str">
        <f t="shared" si="28"/>
        <v>JUL</v>
      </c>
      <c r="C939" s="21">
        <v>46208</v>
      </c>
      <c r="D939" s="22" t="str">
        <f t="array" ref="D939">IFERROR(INDEX('Kode Outlet dan Target Toko'!$A:$A,MATCH($I939,'Kode Outlet dan Target Toko'!$E:$E,0)),"")</f>
        <v>GRSM 4</v>
      </c>
      <c r="E939" s="20" t="str">
        <f>IFERROR(VLOOKUP(I939,KET!$B:$F,4,0),"")</f>
        <v>FAHMI LUKMANUL HAKIM</v>
      </c>
      <c r="F939" s="20" t="str">
        <f>IFERROR(VLOOKUP(I939,KET!$B:$F,5,0),"")</f>
        <v>GMM</v>
      </c>
      <c r="G939" s="20">
        <f>IFERROR(INDEX('Kode Outlet dan Target Toko'!$C:$C,MATCH($I939,'Kode Outlet dan Target Toko'!$E:$E,0)),0)</f>
        <v>103277</v>
      </c>
      <c r="H939" s="20">
        <f>IFERROR(INDEX('Kode Outlet dan Target Toko'!$D:$D,MATCH($I939,'Kode Outlet dan Target Toko'!$E:$E,0)),0)</f>
        <v>6300700</v>
      </c>
      <c r="I939" s="50" t="s">
        <v>30</v>
      </c>
      <c r="J939" s="19" t="s">
        <v>182</v>
      </c>
      <c r="K939" s="54" t="s">
        <v>14</v>
      </c>
      <c r="L939" s="24">
        <v>3000</v>
      </c>
      <c r="M939" s="24">
        <v>72</v>
      </c>
      <c r="N939" s="25">
        <f t="shared" si="29"/>
        <v>216000</v>
      </c>
      <c r="O939" s="24"/>
    </row>
    <row r="940" spans="1:15" ht="15.75" hidden="1" customHeight="1" x14ac:dyDescent="0.3">
      <c r="A940" s="24">
        <v>27</v>
      </c>
      <c r="B940" s="20" t="str">
        <f t="shared" si="28"/>
        <v>JUL</v>
      </c>
      <c r="C940" s="21">
        <v>46208</v>
      </c>
      <c r="D940" s="22" t="str">
        <f t="array" ref="D940">IFERROR(INDEX('Kode Outlet dan Target Toko'!$A:$A,MATCH($I940,'Kode Outlet dan Target Toko'!$E:$E,0)),"")</f>
        <v>GRSM 4</v>
      </c>
      <c r="E940" s="20" t="str">
        <f>IFERROR(VLOOKUP(I940,KET!$B:$F,4,0),"")</f>
        <v>FAHMI LUKMANUL HAKIM</v>
      </c>
      <c r="F940" s="20" t="str">
        <f>IFERROR(VLOOKUP(I940,KET!$B:$F,5,0),"")</f>
        <v>GMM</v>
      </c>
      <c r="G940" s="20">
        <f>IFERROR(INDEX('Kode Outlet dan Target Toko'!$C:$C,MATCH($I940,'Kode Outlet dan Target Toko'!$E:$E,0)),0)</f>
        <v>103277</v>
      </c>
      <c r="H940" s="20">
        <f>IFERROR(INDEX('Kode Outlet dan Target Toko'!$D:$D,MATCH($I940,'Kode Outlet dan Target Toko'!$E:$E,0)),0)</f>
        <v>6300700</v>
      </c>
      <c r="I940" s="50" t="s">
        <v>30</v>
      </c>
      <c r="J940" s="19" t="s">
        <v>182</v>
      </c>
      <c r="K940" s="54" t="s">
        <v>13</v>
      </c>
      <c r="L940" s="24">
        <v>3000</v>
      </c>
      <c r="M940" s="24">
        <v>70</v>
      </c>
      <c r="N940" s="25">
        <f t="shared" si="29"/>
        <v>210000</v>
      </c>
      <c r="O940" s="24"/>
    </row>
    <row r="941" spans="1:15" ht="15.75" hidden="1" customHeight="1" x14ac:dyDescent="0.3">
      <c r="A941" s="24">
        <v>27</v>
      </c>
      <c r="B941" s="20" t="str">
        <f t="shared" si="28"/>
        <v>JUL</v>
      </c>
      <c r="C941" s="21">
        <v>46208</v>
      </c>
      <c r="D941" s="22" t="str">
        <f t="array" ref="D941">IFERROR(INDEX('Kode Outlet dan Target Toko'!$A:$A,MATCH($I941,'Kode Outlet dan Target Toko'!$E:$E,0)),"")</f>
        <v>GRSM 4</v>
      </c>
      <c r="E941" s="20" t="str">
        <f>IFERROR(VLOOKUP(I941,KET!$B:$F,4,0),"")</f>
        <v>FAHMI LUKMANUL HAKIM</v>
      </c>
      <c r="F941" s="20" t="str">
        <f>IFERROR(VLOOKUP(I941,KET!$B:$F,5,0),"")</f>
        <v>GMM</v>
      </c>
      <c r="G941" s="20">
        <f>IFERROR(INDEX('Kode Outlet dan Target Toko'!$C:$C,MATCH($I941,'Kode Outlet dan Target Toko'!$E:$E,0)),0)</f>
        <v>103277</v>
      </c>
      <c r="H941" s="20">
        <f>IFERROR(INDEX('Kode Outlet dan Target Toko'!$D:$D,MATCH($I941,'Kode Outlet dan Target Toko'!$E:$E,0)),0)</f>
        <v>6300700</v>
      </c>
      <c r="I941" s="50" t="s">
        <v>30</v>
      </c>
      <c r="J941" s="19" t="s">
        <v>182</v>
      </c>
      <c r="K941" s="54" t="s">
        <v>16</v>
      </c>
      <c r="L941" s="24">
        <v>3000</v>
      </c>
      <c r="M941" s="24">
        <v>185</v>
      </c>
      <c r="N941" s="25">
        <f t="shared" si="29"/>
        <v>555000</v>
      </c>
      <c r="O941" s="24">
        <v>160</v>
      </c>
    </row>
    <row r="942" spans="1:15" ht="15.75" hidden="1" customHeight="1" x14ac:dyDescent="0.3">
      <c r="A942" s="24">
        <v>27</v>
      </c>
      <c r="B942" s="20" t="str">
        <f t="shared" si="28"/>
        <v>JUL</v>
      </c>
      <c r="C942" s="21">
        <v>46206</v>
      </c>
      <c r="D942" s="22" t="str">
        <f t="array" ref="D942">IFERROR(INDEX('Kode Outlet dan Target Toko'!$A:$A,MATCH($I942,'Kode Outlet dan Target Toko'!$E:$E,0)),"")</f>
        <v>GRSM 4</v>
      </c>
      <c r="E942" s="20" t="str">
        <f>IFERROR(VLOOKUP(I942,KET!$B:$F,4,0),"")</f>
        <v>FAHMI LUKMANUL HAKIM</v>
      </c>
      <c r="F942" s="20" t="str">
        <f>IFERROR(VLOOKUP(I942,KET!$B:$F,5,0),"")</f>
        <v>GMM</v>
      </c>
      <c r="G942" s="20">
        <f>IFERROR(INDEX('Kode Outlet dan Target Toko'!$C:$C,MATCH($I942,'Kode Outlet dan Target Toko'!$E:$E,0)),0)</f>
        <v>189901</v>
      </c>
      <c r="H942" s="20">
        <f>IFERROR(INDEX('Kode Outlet dan Target Toko'!$D:$D,MATCH($I942,'Kode Outlet dan Target Toko'!$E:$E,0)),0)</f>
        <v>1602008</v>
      </c>
      <c r="I942" s="50" t="s">
        <v>32</v>
      </c>
      <c r="J942" s="45" t="s">
        <v>188</v>
      </c>
      <c r="K942" s="54" t="s">
        <v>15</v>
      </c>
      <c r="L942" s="24">
        <v>3300</v>
      </c>
      <c r="M942" s="24">
        <v>40</v>
      </c>
      <c r="N942" s="25">
        <f t="shared" si="29"/>
        <v>132000</v>
      </c>
      <c r="O942" s="24"/>
    </row>
    <row r="943" spans="1:15" ht="15.75" hidden="1" customHeight="1" x14ac:dyDescent="0.3">
      <c r="A943" s="24">
        <v>27</v>
      </c>
      <c r="B943" s="20" t="str">
        <f t="shared" si="28"/>
        <v>JUL</v>
      </c>
      <c r="C943" s="21">
        <v>46206</v>
      </c>
      <c r="D943" s="22" t="str">
        <f t="array" ref="D943">IFERROR(INDEX('Kode Outlet dan Target Toko'!$A:$A,MATCH($I943,'Kode Outlet dan Target Toko'!$E:$E,0)),"")</f>
        <v>GRSM 4</v>
      </c>
      <c r="E943" s="20" t="str">
        <f>IFERROR(VLOOKUP(I943,KET!$B:$F,4,0),"")</f>
        <v>FAHMI LUKMANUL HAKIM</v>
      </c>
      <c r="F943" s="20" t="str">
        <f>IFERROR(VLOOKUP(I943,KET!$B:$F,5,0),"")</f>
        <v>GMM</v>
      </c>
      <c r="G943" s="20">
        <f>IFERROR(INDEX('Kode Outlet dan Target Toko'!$C:$C,MATCH($I943,'Kode Outlet dan Target Toko'!$E:$E,0)),0)</f>
        <v>189901</v>
      </c>
      <c r="H943" s="20">
        <f>IFERROR(INDEX('Kode Outlet dan Target Toko'!$D:$D,MATCH($I943,'Kode Outlet dan Target Toko'!$E:$E,0)),0)</f>
        <v>1602008</v>
      </c>
      <c r="I943" s="50" t="s">
        <v>32</v>
      </c>
      <c r="J943" s="45" t="s">
        <v>188</v>
      </c>
      <c r="K943" s="54" t="s">
        <v>14</v>
      </c>
      <c r="L943" s="24">
        <v>3300</v>
      </c>
      <c r="M943" s="24">
        <v>40</v>
      </c>
      <c r="N943" s="25">
        <f t="shared" si="29"/>
        <v>132000</v>
      </c>
      <c r="O943" s="24"/>
    </row>
    <row r="944" spans="1:15" ht="15.75" hidden="1" customHeight="1" x14ac:dyDescent="0.3">
      <c r="A944" s="24">
        <v>27</v>
      </c>
      <c r="B944" s="20" t="str">
        <f t="shared" si="28"/>
        <v>JUL</v>
      </c>
      <c r="C944" s="21">
        <v>46206</v>
      </c>
      <c r="D944" s="22" t="str">
        <f t="array" ref="D944">IFERROR(INDEX('Kode Outlet dan Target Toko'!$A:$A,MATCH($I944,'Kode Outlet dan Target Toko'!$E:$E,0)),"")</f>
        <v>GRSM 4</v>
      </c>
      <c r="E944" s="20" t="str">
        <f>IFERROR(VLOOKUP(I944,KET!$B:$F,4,0),"")</f>
        <v>FAHMI LUKMANUL HAKIM</v>
      </c>
      <c r="F944" s="20" t="str">
        <f>IFERROR(VLOOKUP(I944,KET!$B:$F,5,0),"")</f>
        <v>GMM</v>
      </c>
      <c r="G944" s="20">
        <f>IFERROR(INDEX('Kode Outlet dan Target Toko'!$C:$C,MATCH($I944,'Kode Outlet dan Target Toko'!$E:$E,0)),0)</f>
        <v>189901</v>
      </c>
      <c r="H944" s="20">
        <f>IFERROR(INDEX('Kode Outlet dan Target Toko'!$D:$D,MATCH($I944,'Kode Outlet dan Target Toko'!$E:$E,0)),0)</f>
        <v>1602008</v>
      </c>
      <c r="I944" s="50" t="s">
        <v>32</v>
      </c>
      <c r="J944" s="45" t="s">
        <v>188</v>
      </c>
      <c r="K944" s="54" t="s">
        <v>13</v>
      </c>
      <c r="L944" s="24">
        <v>3300</v>
      </c>
      <c r="M944" s="24">
        <v>40</v>
      </c>
      <c r="N944" s="25">
        <f t="shared" si="29"/>
        <v>132000</v>
      </c>
      <c r="O944" s="24"/>
    </row>
    <row r="945" spans="1:15" ht="15.75" hidden="1" customHeight="1" x14ac:dyDescent="0.3">
      <c r="A945" s="24">
        <v>27</v>
      </c>
      <c r="B945" s="20" t="str">
        <f t="shared" si="28"/>
        <v>JUL</v>
      </c>
      <c r="C945" s="21">
        <v>46206</v>
      </c>
      <c r="D945" s="22" t="str">
        <f t="array" ref="D945">IFERROR(INDEX('Kode Outlet dan Target Toko'!$A:$A,MATCH($I945,'Kode Outlet dan Target Toko'!$E:$E,0)),"")</f>
        <v>GRSM 4</v>
      </c>
      <c r="E945" s="20" t="str">
        <f>IFERROR(VLOOKUP(I945,KET!$B:$F,4,0),"")</f>
        <v>FAHMI LUKMANUL HAKIM</v>
      </c>
      <c r="F945" s="20" t="str">
        <f>IFERROR(VLOOKUP(I945,KET!$B:$F,5,0),"")</f>
        <v>GMM</v>
      </c>
      <c r="G945" s="20">
        <f>IFERROR(INDEX('Kode Outlet dan Target Toko'!$C:$C,MATCH($I945,'Kode Outlet dan Target Toko'!$E:$E,0)),0)</f>
        <v>189901</v>
      </c>
      <c r="H945" s="20">
        <f>IFERROR(INDEX('Kode Outlet dan Target Toko'!$D:$D,MATCH($I945,'Kode Outlet dan Target Toko'!$E:$E,0)),0)</f>
        <v>1602008</v>
      </c>
      <c r="I945" s="50" t="s">
        <v>32</v>
      </c>
      <c r="J945" s="45" t="s">
        <v>188</v>
      </c>
      <c r="K945" s="54" t="s">
        <v>16</v>
      </c>
      <c r="L945" s="24">
        <v>3300</v>
      </c>
      <c r="M945" s="24">
        <v>105</v>
      </c>
      <c r="N945" s="25">
        <f t="shared" si="29"/>
        <v>346500</v>
      </c>
      <c r="O945" s="24">
        <v>160</v>
      </c>
    </row>
    <row r="946" spans="1:15" ht="15.75" hidden="1" customHeight="1" x14ac:dyDescent="0.3">
      <c r="A946" s="24">
        <v>27</v>
      </c>
      <c r="B946" s="20" t="str">
        <f t="shared" si="28"/>
        <v>JUL</v>
      </c>
      <c r="C946" s="21">
        <v>46208</v>
      </c>
      <c r="D946" s="22" t="str">
        <f t="array" ref="D946">IFERROR(INDEX('Kode Outlet dan Target Toko'!$A:$A,MATCH($I946,'Kode Outlet dan Target Toko'!$E:$E,0)),"")</f>
        <v>GRSM 4</v>
      </c>
      <c r="E946" s="20" t="str">
        <f>IFERROR(VLOOKUP(I946,KET!$B:$F,4,0),"")</f>
        <v>FAHMI LUKMANUL HAKIM</v>
      </c>
      <c r="F946" s="20" t="str">
        <f>IFERROR(VLOOKUP(I946,KET!$B:$F,5,0),"")</f>
        <v>GMM</v>
      </c>
      <c r="G946" s="20">
        <f>IFERROR(INDEX('Kode Outlet dan Target Toko'!$C:$C,MATCH($I946,'Kode Outlet dan Target Toko'!$E:$E,0)),0)</f>
        <v>189901</v>
      </c>
      <c r="H946" s="20">
        <f>IFERROR(INDEX('Kode Outlet dan Target Toko'!$D:$D,MATCH($I946,'Kode Outlet dan Target Toko'!$E:$E,0)),0)</f>
        <v>1602008</v>
      </c>
      <c r="I946" s="50" t="s">
        <v>32</v>
      </c>
      <c r="J946" s="45" t="s">
        <v>188</v>
      </c>
      <c r="K946" s="54" t="s">
        <v>15</v>
      </c>
      <c r="L946" s="24">
        <v>3300</v>
      </c>
      <c r="M946" s="24">
        <v>50</v>
      </c>
      <c r="N946" s="25">
        <f t="shared" si="29"/>
        <v>165000</v>
      </c>
      <c r="O946" s="24"/>
    </row>
    <row r="947" spans="1:15" ht="15.75" hidden="1" customHeight="1" x14ac:dyDescent="0.3">
      <c r="A947" s="24">
        <v>27</v>
      </c>
      <c r="B947" s="20" t="str">
        <f t="shared" si="28"/>
        <v>JUL</v>
      </c>
      <c r="C947" s="21">
        <v>46208</v>
      </c>
      <c r="D947" s="22" t="str">
        <f t="array" ref="D947">IFERROR(INDEX('Kode Outlet dan Target Toko'!$A:$A,MATCH($I947,'Kode Outlet dan Target Toko'!$E:$E,0)),"")</f>
        <v>GRSM 4</v>
      </c>
      <c r="E947" s="20" t="str">
        <f>IFERROR(VLOOKUP(I947,KET!$B:$F,4,0),"")</f>
        <v>FAHMI LUKMANUL HAKIM</v>
      </c>
      <c r="F947" s="20" t="str">
        <f>IFERROR(VLOOKUP(I947,KET!$B:$F,5,0),"")</f>
        <v>GMM</v>
      </c>
      <c r="G947" s="20">
        <f>IFERROR(INDEX('Kode Outlet dan Target Toko'!$C:$C,MATCH($I947,'Kode Outlet dan Target Toko'!$E:$E,0)),0)</f>
        <v>189901</v>
      </c>
      <c r="H947" s="20">
        <f>IFERROR(INDEX('Kode Outlet dan Target Toko'!$D:$D,MATCH($I947,'Kode Outlet dan Target Toko'!$E:$E,0)),0)</f>
        <v>1602008</v>
      </c>
      <c r="I947" s="50" t="s">
        <v>32</v>
      </c>
      <c r="J947" s="45" t="s">
        <v>188</v>
      </c>
      <c r="K947" s="54" t="s">
        <v>14</v>
      </c>
      <c r="L947" s="24">
        <v>3300</v>
      </c>
      <c r="M947" s="24">
        <v>50</v>
      </c>
      <c r="N947" s="25">
        <f t="shared" si="29"/>
        <v>165000</v>
      </c>
      <c r="O947" s="24"/>
    </row>
    <row r="948" spans="1:15" ht="15.75" hidden="1" customHeight="1" x14ac:dyDescent="0.3">
      <c r="A948" s="24">
        <v>27</v>
      </c>
      <c r="B948" s="20" t="str">
        <f t="shared" si="28"/>
        <v>JUL</v>
      </c>
      <c r="C948" s="21">
        <v>46208</v>
      </c>
      <c r="D948" s="22" t="str">
        <f t="array" ref="D948">IFERROR(INDEX('Kode Outlet dan Target Toko'!$A:$A,MATCH($I948,'Kode Outlet dan Target Toko'!$E:$E,0)),"")</f>
        <v>GRSM 4</v>
      </c>
      <c r="E948" s="20" t="str">
        <f>IFERROR(VLOOKUP(I948,KET!$B:$F,4,0),"")</f>
        <v>FAHMI LUKMANUL HAKIM</v>
      </c>
      <c r="F948" s="20" t="str">
        <f>IFERROR(VLOOKUP(I948,KET!$B:$F,5,0),"")</f>
        <v>GMM</v>
      </c>
      <c r="G948" s="20">
        <f>IFERROR(INDEX('Kode Outlet dan Target Toko'!$C:$C,MATCH($I948,'Kode Outlet dan Target Toko'!$E:$E,0)),0)</f>
        <v>189901</v>
      </c>
      <c r="H948" s="20">
        <f>IFERROR(INDEX('Kode Outlet dan Target Toko'!$D:$D,MATCH($I948,'Kode Outlet dan Target Toko'!$E:$E,0)),0)</f>
        <v>1602008</v>
      </c>
      <c r="I948" s="50" t="s">
        <v>32</v>
      </c>
      <c r="J948" s="45" t="s">
        <v>188</v>
      </c>
      <c r="K948" s="54" t="s">
        <v>13</v>
      </c>
      <c r="L948" s="24">
        <v>3300</v>
      </c>
      <c r="M948" s="24">
        <v>50</v>
      </c>
      <c r="N948" s="25">
        <f t="shared" si="29"/>
        <v>165000</v>
      </c>
      <c r="O948" s="24"/>
    </row>
    <row r="949" spans="1:15" ht="15.75" hidden="1" customHeight="1" x14ac:dyDescent="0.3">
      <c r="A949" s="24">
        <v>27</v>
      </c>
      <c r="B949" s="20" t="str">
        <f t="shared" si="28"/>
        <v>JUL</v>
      </c>
      <c r="C949" s="21">
        <v>46208</v>
      </c>
      <c r="D949" s="22" t="str">
        <f t="array" ref="D949">IFERROR(INDEX('Kode Outlet dan Target Toko'!$A:$A,MATCH($I949,'Kode Outlet dan Target Toko'!$E:$E,0)),"")</f>
        <v>GRSM 4</v>
      </c>
      <c r="E949" s="20" t="str">
        <f>IFERROR(VLOOKUP(I949,KET!$B:$F,4,0),"")</f>
        <v>FAHMI LUKMANUL HAKIM</v>
      </c>
      <c r="F949" s="20" t="str">
        <f>IFERROR(VLOOKUP(I949,KET!$B:$F,5,0),"")</f>
        <v>GMM</v>
      </c>
      <c r="G949" s="20">
        <f>IFERROR(INDEX('Kode Outlet dan Target Toko'!$C:$C,MATCH($I949,'Kode Outlet dan Target Toko'!$E:$E,0)),0)</f>
        <v>189901</v>
      </c>
      <c r="H949" s="20">
        <f>IFERROR(INDEX('Kode Outlet dan Target Toko'!$D:$D,MATCH($I949,'Kode Outlet dan Target Toko'!$E:$E,0)),0)</f>
        <v>1602008</v>
      </c>
      <c r="I949" s="50" t="s">
        <v>32</v>
      </c>
      <c r="J949" s="45" t="s">
        <v>188</v>
      </c>
      <c r="K949" s="54" t="s">
        <v>16</v>
      </c>
      <c r="L949" s="24">
        <v>3300</v>
      </c>
      <c r="M949" s="24">
        <v>160</v>
      </c>
      <c r="N949" s="25">
        <f t="shared" si="29"/>
        <v>528000</v>
      </c>
      <c r="O949" s="24">
        <v>160</v>
      </c>
    </row>
    <row r="950" spans="1:15" ht="15.75" hidden="1" customHeight="1" x14ac:dyDescent="0.3">
      <c r="A950" s="24">
        <v>27</v>
      </c>
      <c r="B950" s="20" t="str">
        <f t="shared" si="28"/>
        <v>JUL</v>
      </c>
      <c r="C950" s="21">
        <v>46207</v>
      </c>
      <c r="D950" s="22" t="str">
        <f t="array" ref="D950">IFERROR(INDEX('Kode Outlet dan Target Toko'!$A:$A,MATCH($I950,'Kode Outlet dan Target Toko'!$E:$E,0)),"")</f>
        <v>GRSM 4</v>
      </c>
      <c r="E950" s="20" t="str">
        <f>IFERROR(VLOOKUP(I950,KET!$B:$F,4,0),"")</f>
        <v>FAHMI LUKMANUL HAKIM</v>
      </c>
      <c r="F950" s="20" t="str">
        <f>IFERROR(VLOOKUP(I950,KET!$B:$F,5,0),"")</f>
        <v>GMM</v>
      </c>
      <c r="G950" s="20">
        <f>IFERROR(INDEX('Kode Outlet dan Target Toko'!$C:$C,MATCH($I950,'Kode Outlet dan Target Toko'!$E:$E,0)),0)</f>
        <v>189901</v>
      </c>
      <c r="H950" s="20">
        <f>IFERROR(INDEX('Kode Outlet dan Target Toko'!$D:$D,MATCH($I950,'Kode Outlet dan Target Toko'!$E:$E,0)),0)</f>
        <v>1602008</v>
      </c>
      <c r="I950" s="50" t="s">
        <v>32</v>
      </c>
      <c r="J950" s="45" t="s">
        <v>188</v>
      </c>
      <c r="K950" s="54" t="s">
        <v>15</v>
      </c>
      <c r="L950" s="24">
        <v>3300</v>
      </c>
      <c r="M950" s="24">
        <v>40</v>
      </c>
      <c r="N950" s="25">
        <f t="shared" si="29"/>
        <v>132000</v>
      </c>
      <c r="O950" s="24"/>
    </row>
    <row r="951" spans="1:15" ht="15.75" hidden="1" customHeight="1" x14ac:dyDescent="0.3">
      <c r="A951" s="24">
        <v>27</v>
      </c>
      <c r="B951" s="20" t="str">
        <f t="shared" si="28"/>
        <v>JUL</v>
      </c>
      <c r="C951" s="21">
        <v>46207</v>
      </c>
      <c r="D951" s="22" t="str">
        <f t="array" ref="D951">IFERROR(INDEX('Kode Outlet dan Target Toko'!$A:$A,MATCH($I951,'Kode Outlet dan Target Toko'!$E:$E,0)),"")</f>
        <v>GRSM 4</v>
      </c>
      <c r="E951" s="20" t="str">
        <f>IFERROR(VLOOKUP(I951,KET!$B:$F,4,0),"")</f>
        <v>FAHMI LUKMANUL HAKIM</v>
      </c>
      <c r="F951" s="20" t="str">
        <f>IFERROR(VLOOKUP(I951,KET!$B:$F,5,0),"")</f>
        <v>GMM</v>
      </c>
      <c r="G951" s="20">
        <f>IFERROR(INDEX('Kode Outlet dan Target Toko'!$C:$C,MATCH($I951,'Kode Outlet dan Target Toko'!$E:$E,0)),0)</f>
        <v>189901</v>
      </c>
      <c r="H951" s="20">
        <f>IFERROR(INDEX('Kode Outlet dan Target Toko'!$D:$D,MATCH($I951,'Kode Outlet dan Target Toko'!$E:$E,0)),0)</f>
        <v>1602008</v>
      </c>
      <c r="I951" s="50" t="s">
        <v>32</v>
      </c>
      <c r="J951" s="45" t="s">
        <v>188</v>
      </c>
      <c r="K951" s="54" t="s">
        <v>14</v>
      </c>
      <c r="L951" s="24">
        <v>3300</v>
      </c>
      <c r="M951" s="24">
        <v>40</v>
      </c>
      <c r="N951" s="25">
        <f t="shared" si="29"/>
        <v>132000</v>
      </c>
      <c r="O951" s="24"/>
    </row>
    <row r="952" spans="1:15" ht="15.75" hidden="1" customHeight="1" x14ac:dyDescent="0.3">
      <c r="A952" s="24">
        <v>27</v>
      </c>
      <c r="B952" s="20" t="str">
        <f t="shared" si="28"/>
        <v>JUL</v>
      </c>
      <c r="C952" s="21">
        <v>46207</v>
      </c>
      <c r="D952" s="22" t="str">
        <f t="array" ref="D952">IFERROR(INDEX('Kode Outlet dan Target Toko'!$A:$A,MATCH($I952,'Kode Outlet dan Target Toko'!$E:$E,0)),"")</f>
        <v>GRSM 4</v>
      </c>
      <c r="E952" s="20" t="str">
        <f>IFERROR(VLOOKUP(I952,KET!$B:$F,4,0),"")</f>
        <v>FAHMI LUKMANUL HAKIM</v>
      </c>
      <c r="F952" s="20" t="str">
        <f>IFERROR(VLOOKUP(I952,KET!$B:$F,5,0),"")</f>
        <v>GMM</v>
      </c>
      <c r="G952" s="20">
        <f>IFERROR(INDEX('Kode Outlet dan Target Toko'!$C:$C,MATCH($I952,'Kode Outlet dan Target Toko'!$E:$E,0)),0)</f>
        <v>189901</v>
      </c>
      <c r="H952" s="20">
        <f>IFERROR(INDEX('Kode Outlet dan Target Toko'!$D:$D,MATCH($I952,'Kode Outlet dan Target Toko'!$E:$E,0)),0)</f>
        <v>1602008</v>
      </c>
      <c r="I952" s="50" t="s">
        <v>32</v>
      </c>
      <c r="J952" s="45" t="s">
        <v>188</v>
      </c>
      <c r="K952" s="54" t="s">
        <v>13</v>
      </c>
      <c r="L952" s="24">
        <v>3300</v>
      </c>
      <c r="M952" s="24">
        <v>30</v>
      </c>
      <c r="N952" s="25">
        <f t="shared" si="29"/>
        <v>99000</v>
      </c>
      <c r="O952" s="24"/>
    </row>
    <row r="953" spans="1:15" ht="15.75" hidden="1" customHeight="1" x14ac:dyDescent="0.3">
      <c r="A953" s="24">
        <v>27</v>
      </c>
      <c r="B953" s="20" t="str">
        <f t="shared" si="28"/>
        <v>JUL</v>
      </c>
      <c r="C953" s="21">
        <v>46207</v>
      </c>
      <c r="D953" s="22" t="str">
        <f t="array" ref="D953">IFERROR(INDEX('Kode Outlet dan Target Toko'!$A:$A,MATCH($I953,'Kode Outlet dan Target Toko'!$E:$E,0)),"")</f>
        <v>GRSM 4</v>
      </c>
      <c r="E953" s="20" t="str">
        <f>IFERROR(VLOOKUP(I953,KET!$B:$F,4,0),"")</f>
        <v>FAHMI LUKMANUL HAKIM</v>
      </c>
      <c r="F953" s="20" t="str">
        <f>IFERROR(VLOOKUP(I953,KET!$B:$F,5,0),"")</f>
        <v>GMM</v>
      </c>
      <c r="G953" s="20">
        <f>IFERROR(INDEX('Kode Outlet dan Target Toko'!$C:$C,MATCH($I953,'Kode Outlet dan Target Toko'!$E:$E,0)),0)</f>
        <v>189901</v>
      </c>
      <c r="H953" s="20">
        <f>IFERROR(INDEX('Kode Outlet dan Target Toko'!$D:$D,MATCH($I953,'Kode Outlet dan Target Toko'!$E:$E,0)),0)</f>
        <v>1602008</v>
      </c>
      <c r="I953" s="50" t="s">
        <v>32</v>
      </c>
      <c r="J953" s="45" t="s">
        <v>188</v>
      </c>
      <c r="K953" s="54" t="s">
        <v>16</v>
      </c>
      <c r="L953" s="24">
        <v>3300</v>
      </c>
      <c r="M953" s="24">
        <v>110</v>
      </c>
      <c r="N953" s="25">
        <f t="shared" si="29"/>
        <v>363000</v>
      </c>
      <c r="O953" s="24">
        <v>160</v>
      </c>
    </row>
    <row r="954" spans="1:15" ht="15.75" hidden="1" customHeight="1" x14ac:dyDescent="0.3">
      <c r="A954" s="24">
        <v>27</v>
      </c>
      <c r="B954" s="20" t="str">
        <f t="shared" si="28"/>
        <v>JUL</v>
      </c>
      <c r="C954" s="21">
        <v>46206</v>
      </c>
      <c r="D954" s="22" t="str">
        <f t="array" ref="D954">IFERROR(INDEX('Kode Outlet dan Target Toko'!$A:$A,MATCH($I954,'Kode Outlet dan Target Toko'!$E:$E,0)),"")</f>
        <v>GRSM 4</v>
      </c>
      <c r="E954" s="20" t="str">
        <f>IFERROR(VLOOKUP(I954,KET!$B:$F,4,0),"")</f>
        <v>FAHMI LUKMANUL HAKIM</v>
      </c>
      <c r="F954" s="20" t="str">
        <f>IFERROR(VLOOKUP(I954,KET!$B:$F,5,0),"")</f>
        <v>GMM</v>
      </c>
      <c r="G954" s="20">
        <f>IFERROR(INDEX('Kode Outlet dan Target Toko'!$C:$C,MATCH($I954,'Kode Outlet dan Target Toko'!$E:$E,0)),0)</f>
        <v>103259</v>
      </c>
      <c r="H954" s="20">
        <f>IFERROR(INDEX('Kode Outlet dan Target Toko'!$D:$D,MATCH($I954,'Kode Outlet dan Target Toko'!$E:$E,0)),0)</f>
        <v>9029389</v>
      </c>
      <c r="I954" s="51" t="s">
        <v>27</v>
      </c>
      <c r="J954" s="27" t="s">
        <v>179</v>
      </c>
      <c r="K954" s="54" t="s">
        <v>15</v>
      </c>
      <c r="L954" s="24">
        <v>3300</v>
      </c>
      <c r="M954" s="46">
        <v>73</v>
      </c>
      <c r="N954" s="25">
        <f t="shared" si="29"/>
        <v>240900</v>
      </c>
      <c r="O954" s="24"/>
    </row>
    <row r="955" spans="1:15" ht="15.75" hidden="1" customHeight="1" x14ac:dyDescent="0.3">
      <c r="A955" s="24">
        <v>27</v>
      </c>
      <c r="B955" s="20" t="str">
        <f t="shared" si="28"/>
        <v>JUL</v>
      </c>
      <c r="C955" s="21">
        <v>46206</v>
      </c>
      <c r="D955" s="22" t="str">
        <f t="array" ref="D955">IFERROR(INDEX('Kode Outlet dan Target Toko'!$A:$A,MATCH($I955,'Kode Outlet dan Target Toko'!$E:$E,0)),"")</f>
        <v>GRSM 4</v>
      </c>
      <c r="E955" s="20" t="str">
        <f>IFERROR(VLOOKUP(I955,KET!$B:$F,4,0),"")</f>
        <v>FAHMI LUKMANUL HAKIM</v>
      </c>
      <c r="F955" s="20" t="str">
        <f>IFERROR(VLOOKUP(I955,KET!$B:$F,5,0),"")</f>
        <v>GMM</v>
      </c>
      <c r="G955" s="20">
        <f>IFERROR(INDEX('Kode Outlet dan Target Toko'!$C:$C,MATCH($I955,'Kode Outlet dan Target Toko'!$E:$E,0)),0)</f>
        <v>103259</v>
      </c>
      <c r="H955" s="20">
        <f>IFERROR(INDEX('Kode Outlet dan Target Toko'!$D:$D,MATCH($I955,'Kode Outlet dan Target Toko'!$E:$E,0)),0)</f>
        <v>9029389</v>
      </c>
      <c r="I955" s="51" t="s">
        <v>27</v>
      </c>
      <c r="J955" s="27" t="s">
        <v>179</v>
      </c>
      <c r="K955" s="54" t="s">
        <v>14</v>
      </c>
      <c r="L955" s="24">
        <v>3300</v>
      </c>
      <c r="M955" s="24">
        <v>90</v>
      </c>
      <c r="N955" s="25">
        <f t="shared" si="29"/>
        <v>297000</v>
      </c>
      <c r="O955" s="24"/>
    </row>
    <row r="956" spans="1:15" ht="15.75" hidden="1" customHeight="1" x14ac:dyDescent="0.3">
      <c r="A956" s="24">
        <v>27</v>
      </c>
      <c r="B956" s="20" t="str">
        <f t="shared" si="28"/>
        <v>JUL</v>
      </c>
      <c r="C956" s="21">
        <v>46206</v>
      </c>
      <c r="D956" s="22" t="str">
        <f t="array" ref="D956">IFERROR(INDEX('Kode Outlet dan Target Toko'!$A:$A,MATCH($I956,'Kode Outlet dan Target Toko'!$E:$E,0)),"")</f>
        <v>GRSM 4</v>
      </c>
      <c r="E956" s="20" t="str">
        <f>IFERROR(VLOOKUP(I956,KET!$B:$F,4,0),"")</f>
        <v>FAHMI LUKMANUL HAKIM</v>
      </c>
      <c r="F956" s="20" t="str">
        <f>IFERROR(VLOOKUP(I956,KET!$B:$F,5,0),"")</f>
        <v>GMM</v>
      </c>
      <c r="G956" s="20">
        <f>IFERROR(INDEX('Kode Outlet dan Target Toko'!$C:$C,MATCH($I956,'Kode Outlet dan Target Toko'!$E:$E,0)),0)</f>
        <v>103259</v>
      </c>
      <c r="H956" s="20">
        <f>IFERROR(INDEX('Kode Outlet dan Target Toko'!$D:$D,MATCH($I956,'Kode Outlet dan Target Toko'!$E:$E,0)),0)</f>
        <v>9029389</v>
      </c>
      <c r="I956" s="51" t="s">
        <v>27</v>
      </c>
      <c r="J956" s="27" t="s">
        <v>179</v>
      </c>
      <c r="K956" s="54" t="s">
        <v>13</v>
      </c>
      <c r="L956" s="24">
        <v>3300</v>
      </c>
      <c r="M956" s="24">
        <v>55</v>
      </c>
      <c r="N956" s="25">
        <f t="shared" si="29"/>
        <v>181500</v>
      </c>
      <c r="O956" s="24"/>
    </row>
    <row r="957" spans="1:15" ht="15.75" hidden="1" customHeight="1" x14ac:dyDescent="0.3">
      <c r="A957" s="24">
        <v>27</v>
      </c>
      <c r="B957" s="20" t="str">
        <f t="shared" si="28"/>
        <v>JUL</v>
      </c>
      <c r="C957" s="21">
        <v>46206</v>
      </c>
      <c r="D957" s="22" t="str">
        <f t="array" ref="D957">IFERROR(INDEX('Kode Outlet dan Target Toko'!$A:$A,MATCH($I957,'Kode Outlet dan Target Toko'!$E:$E,0)),"")</f>
        <v>GRSM 4</v>
      </c>
      <c r="E957" s="20" t="str">
        <f>IFERROR(VLOOKUP(I957,KET!$B:$F,4,0),"")</f>
        <v>FAHMI LUKMANUL HAKIM</v>
      </c>
      <c r="F957" s="20" t="str">
        <f>IFERROR(VLOOKUP(I957,KET!$B:$F,5,0),"")</f>
        <v>GMM</v>
      </c>
      <c r="G957" s="20">
        <f>IFERROR(INDEX('Kode Outlet dan Target Toko'!$C:$C,MATCH($I957,'Kode Outlet dan Target Toko'!$E:$E,0)),0)</f>
        <v>103259</v>
      </c>
      <c r="H957" s="20">
        <f>IFERROR(INDEX('Kode Outlet dan Target Toko'!$D:$D,MATCH($I957,'Kode Outlet dan Target Toko'!$E:$E,0)),0)</f>
        <v>9029389</v>
      </c>
      <c r="I957" s="51" t="s">
        <v>27</v>
      </c>
      <c r="J957" s="27" t="s">
        <v>179</v>
      </c>
      <c r="K957" s="54" t="s">
        <v>16</v>
      </c>
      <c r="L957" s="24">
        <v>3300</v>
      </c>
      <c r="M957" s="24">
        <v>212</v>
      </c>
      <c r="N957" s="25">
        <f t="shared" si="29"/>
        <v>699600</v>
      </c>
      <c r="O957" s="24"/>
    </row>
    <row r="958" spans="1:15" ht="15.75" hidden="1" customHeight="1" x14ac:dyDescent="0.3">
      <c r="A958" s="24">
        <v>27</v>
      </c>
      <c r="B958" s="20" t="str">
        <f t="shared" si="28"/>
        <v>JUL</v>
      </c>
      <c r="C958" s="21">
        <v>46207</v>
      </c>
      <c r="D958" s="22" t="str">
        <f t="array" ref="D958">IFERROR(INDEX('Kode Outlet dan Target Toko'!$A:$A,MATCH($I958,'Kode Outlet dan Target Toko'!$E:$E,0)),"")</f>
        <v>GRSM 4</v>
      </c>
      <c r="E958" s="20" t="str">
        <f>IFERROR(VLOOKUP(I958,KET!$B:$F,4,0),"")</f>
        <v>FAHMI LUKMANUL HAKIM</v>
      </c>
      <c r="F958" s="20" t="str">
        <f>IFERROR(VLOOKUP(I958,KET!$B:$F,5,0),"")</f>
        <v>GMM</v>
      </c>
      <c r="G958" s="20">
        <f>IFERROR(INDEX('Kode Outlet dan Target Toko'!$C:$C,MATCH($I958,'Kode Outlet dan Target Toko'!$E:$E,0)),0)</f>
        <v>103259</v>
      </c>
      <c r="H958" s="20">
        <f>IFERROR(INDEX('Kode Outlet dan Target Toko'!$D:$D,MATCH($I958,'Kode Outlet dan Target Toko'!$E:$E,0)),0)</f>
        <v>9029389</v>
      </c>
      <c r="I958" s="51" t="s">
        <v>27</v>
      </c>
      <c r="J958" s="27" t="s">
        <v>179</v>
      </c>
      <c r="K958" s="54" t="s">
        <v>15</v>
      </c>
      <c r="L958" s="24">
        <v>3300</v>
      </c>
      <c r="M958" s="24">
        <v>66</v>
      </c>
      <c r="N958" s="25">
        <f t="shared" si="29"/>
        <v>217800</v>
      </c>
      <c r="O958" s="24"/>
    </row>
    <row r="959" spans="1:15" ht="15.75" hidden="1" customHeight="1" x14ac:dyDescent="0.3">
      <c r="A959" s="24">
        <v>27</v>
      </c>
      <c r="B959" s="20" t="str">
        <f t="shared" si="28"/>
        <v>JUL</v>
      </c>
      <c r="C959" s="21">
        <v>46207</v>
      </c>
      <c r="D959" s="22" t="str">
        <f t="array" ref="D959">IFERROR(INDEX('Kode Outlet dan Target Toko'!$A:$A,MATCH($I959,'Kode Outlet dan Target Toko'!$E:$E,0)),"")</f>
        <v>GRSM 4</v>
      </c>
      <c r="E959" s="20" t="str">
        <f>IFERROR(VLOOKUP(I959,KET!$B:$F,4,0),"")</f>
        <v>FAHMI LUKMANUL HAKIM</v>
      </c>
      <c r="F959" s="20" t="str">
        <f>IFERROR(VLOOKUP(I959,KET!$B:$F,5,0),"")</f>
        <v>GMM</v>
      </c>
      <c r="G959" s="20">
        <f>IFERROR(INDEX('Kode Outlet dan Target Toko'!$C:$C,MATCH($I959,'Kode Outlet dan Target Toko'!$E:$E,0)),0)</f>
        <v>103259</v>
      </c>
      <c r="H959" s="20">
        <f>IFERROR(INDEX('Kode Outlet dan Target Toko'!$D:$D,MATCH($I959,'Kode Outlet dan Target Toko'!$E:$E,0)),0)</f>
        <v>9029389</v>
      </c>
      <c r="I959" s="51" t="s">
        <v>27</v>
      </c>
      <c r="J959" s="27" t="s">
        <v>179</v>
      </c>
      <c r="K959" s="54" t="s">
        <v>14</v>
      </c>
      <c r="L959" s="24">
        <v>3300</v>
      </c>
      <c r="M959" s="24">
        <v>78</v>
      </c>
      <c r="N959" s="25">
        <f t="shared" si="29"/>
        <v>257400</v>
      </c>
      <c r="O959" s="24"/>
    </row>
    <row r="960" spans="1:15" ht="15.75" hidden="1" customHeight="1" x14ac:dyDescent="0.3">
      <c r="A960" s="24">
        <v>27</v>
      </c>
      <c r="B960" s="20" t="str">
        <f t="shared" si="28"/>
        <v>JUL</v>
      </c>
      <c r="C960" s="21">
        <v>46207</v>
      </c>
      <c r="D960" s="22" t="str">
        <f t="array" ref="D960">IFERROR(INDEX('Kode Outlet dan Target Toko'!$A:$A,MATCH($I960,'Kode Outlet dan Target Toko'!$E:$E,0)),"")</f>
        <v>GRSM 4</v>
      </c>
      <c r="E960" s="20" t="str">
        <f>IFERROR(VLOOKUP(I960,KET!$B:$F,4,0),"")</f>
        <v>FAHMI LUKMANUL HAKIM</v>
      </c>
      <c r="F960" s="20" t="str">
        <f>IFERROR(VLOOKUP(I960,KET!$B:$F,5,0),"")</f>
        <v>GMM</v>
      </c>
      <c r="G960" s="20">
        <f>IFERROR(INDEX('Kode Outlet dan Target Toko'!$C:$C,MATCH($I960,'Kode Outlet dan Target Toko'!$E:$E,0)),0)</f>
        <v>103259</v>
      </c>
      <c r="H960" s="20">
        <f>IFERROR(INDEX('Kode Outlet dan Target Toko'!$D:$D,MATCH($I960,'Kode Outlet dan Target Toko'!$E:$E,0)),0)</f>
        <v>9029389</v>
      </c>
      <c r="I960" s="51" t="s">
        <v>27</v>
      </c>
      <c r="J960" s="27" t="s">
        <v>179</v>
      </c>
      <c r="K960" s="54" t="s">
        <v>13</v>
      </c>
      <c r="L960" s="24">
        <v>3300</v>
      </c>
      <c r="M960" s="24">
        <v>60</v>
      </c>
      <c r="N960" s="25">
        <f t="shared" si="29"/>
        <v>198000</v>
      </c>
      <c r="O960" s="24"/>
    </row>
    <row r="961" spans="1:15" ht="15.75" hidden="1" customHeight="1" x14ac:dyDescent="0.3">
      <c r="A961" s="24">
        <v>27</v>
      </c>
      <c r="B961" s="20" t="str">
        <f t="shared" si="28"/>
        <v>JUL</v>
      </c>
      <c r="C961" s="21">
        <v>46207</v>
      </c>
      <c r="D961" s="22" t="str">
        <f t="array" ref="D961">IFERROR(INDEX('Kode Outlet dan Target Toko'!$A:$A,MATCH($I961,'Kode Outlet dan Target Toko'!$E:$E,0)),"")</f>
        <v>GRSM 4</v>
      </c>
      <c r="E961" s="20" t="str">
        <f>IFERROR(VLOOKUP(I961,KET!$B:$F,4,0),"")</f>
        <v>FAHMI LUKMANUL HAKIM</v>
      </c>
      <c r="F961" s="20" t="str">
        <f>IFERROR(VLOOKUP(I961,KET!$B:$F,5,0),"")</f>
        <v>GMM</v>
      </c>
      <c r="G961" s="20">
        <f>IFERROR(INDEX('Kode Outlet dan Target Toko'!$C:$C,MATCH($I961,'Kode Outlet dan Target Toko'!$E:$E,0)),0)</f>
        <v>103259</v>
      </c>
      <c r="H961" s="20">
        <f>IFERROR(INDEX('Kode Outlet dan Target Toko'!$D:$D,MATCH($I961,'Kode Outlet dan Target Toko'!$E:$E,0)),0)</f>
        <v>9029389</v>
      </c>
      <c r="I961" s="51" t="s">
        <v>27</v>
      </c>
      <c r="J961" s="27" t="s">
        <v>179</v>
      </c>
      <c r="K961" s="54" t="s">
        <v>16</v>
      </c>
      <c r="L961" s="24">
        <v>3300</v>
      </c>
      <c r="M961" s="24">
        <v>202</v>
      </c>
      <c r="N961" s="25">
        <f t="shared" si="29"/>
        <v>666600</v>
      </c>
      <c r="O961" s="24"/>
    </row>
    <row r="962" spans="1:15" ht="15.75" hidden="1" customHeight="1" x14ac:dyDescent="0.3">
      <c r="A962" s="24">
        <v>27</v>
      </c>
      <c r="B962" s="20" t="str">
        <f t="shared" si="28"/>
        <v>JUL</v>
      </c>
      <c r="C962" s="21">
        <v>46208</v>
      </c>
      <c r="D962" s="22" t="str">
        <f t="array" ref="D962">IFERROR(INDEX('Kode Outlet dan Target Toko'!$A:$A,MATCH($I962,'Kode Outlet dan Target Toko'!$E:$E,0)),"")</f>
        <v>GRSM 4</v>
      </c>
      <c r="E962" s="20" t="str">
        <f>IFERROR(VLOOKUP(I962,KET!$B:$F,4,0),"")</f>
        <v>FAHMI LUKMANUL HAKIM</v>
      </c>
      <c r="F962" s="20" t="str">
        <f>IFERROR(VLOOKUP(I962,KET!$B:$F,5,0),"")</f>
        <v>GMM</v>
      </c>
      <c r="G962" s="20">
        <f>IFERROR(INDEX('Kode Outlet dan Target Toko'!$C:$C,MATCH($I962,'Kode Outlet dan Target Toko'!$E:$E,0)),0)</f>
        <v>103259</v>
      </c>
      <c r="H962" s="20">
        <f>IFERROR(INDEX('Kode Outlet dan Target Toko'!$D:$D,MATCH($I962,'Kode Outlet dan Target Toko'!$E:$E,0)),0)</f>
        <v>9029389</v>
      </c>
      <c r="I962" s="51" t="s">
        <v>27</v>
      </c>
      <c r="J962" s="27" t="s">
        <v>179</v>
      </c>
      <c r="K962" s="54" t="s">
        <v>15</v>
      </c>
      <c r="L962" s="24">
        <v>3300</v>
      </c>
      <c r="M962" s="24">
        <v>60</v>
      </c>
      <c r="N962" s="25">
        <f t="shared" si="29"/>
        <v>198000</v>
      </c>
      <c r="O962" s="24"/>
    </row>
    <row r="963" spans="1:15" ht="15.75" hidden="1" customHeight="1" x14ac:dyDescent="0.3">
      <c r="A963" s="24">
        <v>27</v>
      </c>
      <c r="B963" s="20" t="str">
        <f t="shared" si="28"/>
        <v>JUL</v>
      </c>
      <c r="C963" s="21">
        <v>46208</v>
      </c>
      <c r="D963" s="22" t="str">
        <f t="array" ref="D963">IFERROR(INDEX('Kode Outlet dan Target Toko'!$A:$A,MATCH($I963,'Kode Outlet dan Target Toko'!$E:$E,0)),"")</f>
        <v>GRSM 4</v>
      </c>
      <c r="E963" s="20" t="str">
        <f>IFERROR(VLOOKUP(I963,KET!$B:$F,4,0),"")</f>
        <v>FAHMI LUKMANUL HAKIM</v>
      </c>
      <c r="F963" s="20" t="str">
        <f>IFERROR(VLOOKUP(I963,KET!$B:$F,5,0),"")</f>
        <v>GMM</v>
      </c>
      <c r="G963" s="20">
        <f>IFERROR(INDEX('Kode Outlet dan Target Toko'!$C:$C,MATCH($I963,'Kode Outlet dan Target Toko'!$E:$E,0)),0)</f>
        <v>103259</v>
      </c>
      <c r="H963" s="20">
        <f>IFERROR(INDEX('Kode Outlet dan Target Toko'!$D:$D,MATCH($I963,'Kode Outlet dan Target Toko'!$E:$E,0)),0)</f>
        <v>9029389</v>
      </c>
      <c r="I963" s="51" t="s">
        <v>27</v>
      </c>
      <c r="J963" s="27" t="s">
        <v>179</v>
      </c>
      <c r="K963" s="54" t="s">
        <v>14</v>
      </c>
      <c r="L963" s="24">
        <v>3000</v>
      </c>
      <c r="M963" s="24">
        <v>89</v>
      </c>
      <c r="N963" s="25">
        <f t="shared" si="29"/>
        <v>267000</v>
      </c>
      <c r="O963" s="24"/>
    </row>
    <row r="964" spans="1:15" ht="15.75" hidden="1" customHeight="1" x14ac:dyDescent="0.3">
      <c r="A964" s="24">
        <v>27</v>
      </c>
      <c r="B964" s="20" t="str">
        <f t="shared" si="28"/>
        <v>JUL</v>
      </c>
      <c r="C964" s="21">
        <v>46208</v>
      </c>
      <c r="D964" s="22" t="str">
        <f t="array" ref="D964">IFERROR(INDEX('Kode Outlet dan Target Toko'!$A:$A,MATCH($I964,'Kode Outlet dan Target Toko'!$E:$E,0)),"")</f>
        <v>GRSM 4</v>
      </c>
      <c r="E964" s="20" t="str">
        <f>IFERROR(VLOOKUP(I964,KET!$B:$F,4,0),"")</f>
        <v>FAHMI LUKMANUL HAKIM</v>
      </c>
      <c r="F964" s="20" t="str">
        <f>IFERROR(VLOOKUP(I964,KET!$B:$F,5,0),"")</f>
        <v>GMM</v>
      </c>
      <c r="G964" s="20">
        <f>IFERROR(INDEX('Kode Outlet dan Target Toko'!$C:$C,MATCH($I964,'Kode Outlet dan Target Toko'!$E:$E,0)),0)</f>
        <v>103259</v>
      </c>
      <c r="H964" s="20">
        <f>IFERROR(INDEX('Kode Outlet dan Target Toko'!$D:$D,MATCH($I964,'Kode Outlet dan Target Toko'!$E:$E,0)),0)</f>
        <v>9029389</v>
      </c>
      <c r="I964" s="51" t="s">
        <v>27</v>
      </c>
      <c r="J964" s="27" t="s">
        <v>179</v>
      </c>
      <c r="K964" s="54" t="s">
        <v>13</v>
      </c>
      <c r="L964" s="24">
        <v>3000</v>
      </c>
      <c r="M964" s="24">
        <v>53</v>
      </c>
      <c r="N964" s="25">
        <f t="shared" si="29"/>
        <v>159000</v>
      </c>
      <c r="O964" s="24"/>
    </row>
    <row r="965" spans="1:15" ht="15.75" hidden="1" customHeight="1" x14ac:dyDescent="0.3">
      <c r="A965" s="24">
        <v>27</v>
      </c>
      <c r="B965" s="20" t="str">
        <f t="shared" si="28"/>
        <v>JUL</v>
      </c>
      <c r="C965" s="21">
        <v>46208</v>
      </c>
      <c r="D965" s="22" t="str">
        <f t="array" ref="D965">IFERROR(INDEX('Kode Outlet dan Target Toko'!$A:$A,MATCH($I965,'Kode Outlet dan Target Toko'!$E:$E,0)),"")</f>
        <v>GRSM 4</v>
      </c>
      <c r="E965" s="20" t="str">
        <f>IFERROR(VLOOKUP(I965,KET!$B:$F,4,0),"")</f>
        <v>FAHMI LUKMANUL HAKIM</v>
      </c>
      <c r="F965" s="20" t="str">
        <f>IFERROR(VLOOKUP(I965,KET!$B:$F,5,0),"")</f>
        <v>GMM</v>
      </c>
      <c r="G965" s="20">
        <f>IFERROR(INDEX('Kode Outlet dan Target Toko'!$C:$C,MATCH($I965,'Kode Outlet dan Target Toko'!$E:$E,0)),0)</f>
        <v>103259</v>
      </c>
      <c r="H965" s="20">
        <f>IFERROR(INDEX('Kode Outlet dan Target Toko'!$D:$D,MATCH($I965,'Kode Outlet dan Target Toko'!$E:$E,0)),0)</f>
        <v>9029389</v>
      </c>
      <c r="I965" s="51" t="s">
        <v>27</v>
      </c>
      <c r="J965" s="27" t="s">
        <v>179</v>
      </c>
      <c r="K965" s="54" t="s">
        <v>16</v>
      </c>
      <c r="L965" s="24">
        <v>3000</v>
      </c>
      <c r="M965" s="24">
        <v>205</v>
      </c>
      <c r="N965" s="25">
        <f t="shared" si="29"/>
        <v>615000</v>
      </c>
      <c r="O965" s="24">
        <v>160</v>
      </c>
    </row>
    <row r="966" spans="1:15" ht="15.75" hidden="1" customHeight="1" x14ac:dyDescent="0.3">
      <c r="A966" s="24">
        <v>27</v>
      </c>
      <c r="B966" s="20" t="str">
        <f t="shared" si="28"/>
        <v>JUL</v>
      </c>
      <c r="C966" s="21">
        <v>46207</v>
      </c>
      <c r="D966" s="22" t="str">
        <f t="array" ref="D966">IFERROR(INDEX('Kode Outlet dan Target Toko'!$A:$A,MATCH($I966,'Kode Outlet dan Target Toko'!$E:$E,0)),"")</f>
        <v>GRSM 4</v>
      </c>
      <c r="E966" s="20" t="str">
        <f>IFERROR(VLOOKUP(I966,KET!$B:$F,4,0),"")</f>
        <v>FAHMI LUKMANUL HAKIM</v>
      </c>
      <c r="F966" s="20" t="str">
        <f>IFERROR(VLOOKUP(I966,KET!$B:$F,5,0),"")</f>
        <v>NKA</v>
      </c>
      <c r="G966" s="20">
        <f>IFERROR(INDEX('Kode Outlet dan Target Toko'!$C:$C,MATCH($I966,'Kode Outlet dan Target Toko'!$E:$E,0)),0)</f>
        <v>490034</v>
      </c>
      <c r="H966" s="20">
        <f>IFERROR(INDEX('Kode Outlet dan Target Toko'!$D:$D,MATCH($I966,'Kode Outlet dan Target Toko'!$E:$E,0)),0)</f>
        <v>209554</v>
      </c>
      <c r="I966" s="50" t="s">
        <v>26</v>
      </c>
      <c r="J966" s="19" t="s">
        <v>177</v>
      </c>
      <c r="K966" s="54" t="s">
        <v>15</v>
      </c>
      <c r="L966" s="24">
        <v>3275</v>
      </c>
      <c r="M966" s="24">
        <v>52</v>
      </c>
      <c r="N966" s="25">
        <f t="shared" si="29"/>
        <v>170300</v>
      </c>
      <c r="O966" s="24"/>
    </row>
    <row r="967" spans="1:15" ht="15.75" hidden="1" customHeight="1" x14ac:dyDescent="0.3">
      <c r="A967" s="24">
        <v>27</v>
      </c>
      <c r="B967" s="20" t="str">
        <f t="shared" ref="B967:B1030" si="30">IF(C967="","",UPPER(TEXT(C967, "MMM")))</f>
        <v>JUL</v>
      </c>
      <c r="C967" s="21">
        <v>46207</v>
      </c>
      <c r="D967" s="22" t="str">
        <f t="array" ref="D967">IFERROR(INDEX('Kode Outlet dan Target Toko'!$A:$A,MATCH($I967,'Kode Outlet dan Target Toko'!$E:$E,0)),"")</f>
        <v>GRSM 4</v>
      </c>
      <c r="E967" s="20" t="str">
        <f>IFERROR(VLOOKUP(I967,KET!$B:$F,4,0),"")</f>
        <v>FAHMI LUKMANUL HAKIM</v>
      </c>
      <c r="F967" s="20" t="str">
        <f>IFERROR(VLOOKUP(I967,KET!$B:$F,5,0),"")</f>
        <v>NKA</v>
      </c>
      <c r="G967" s="20">
        <f>IFERROR(INDEX('Kode Outlet dan Target Toko'!$C:$C,MATCH($I967,'Kode Outlet dan Target Toko'!$E:$E,0)),0)</f>
        <v>490034</v>
      </c>
      <c r="H967" s="20">
        <f>IFERROR(INDEX('Kode Outlet dan Target Toko'!$D:$D,MATCH($I967,'Kode Outlet dan Target Toko'!$E:$E,0)),0)</f>
        <v>209554</v>
      </c>
      <c r="I967" s="50" t="s">
        <v>26</v>
      </c>
      <c r="J967" s="19" t="s">
        <v>177</v>
      </c>
      <c r="K967" s="54" t="s">
        <v>14</v>
      </c>
      <c r="L967" s="24">
        <v>3275</v>
      </c>
      <c r="M967" s="24">
        <v>58</v>
      </c>
      <c r="N967" s="25">
        <f t="shared" ref="N967:N1030" si="31">IFERROR(M967*L967,"")</f>
        <v>189950</v>
      </c>
      <c r="O967" s="24"/>
    </row>
    <row r="968" spans="1:15" ht="15.75" hidden="1" customHeight="1" x14ac:dyDescent="0.3">
      <c r="A968" s="24">
        <v>27</v>
      </c>
      <c r="B968" s="20" t="str">
        <f t="shared" si="30"/>
        <v>JUL</v>
      </c>
      <c r="C968" s="21">
        <v>46207</v>
      </c>
      <c r="D968" s="22" t="str">
        <f t="array" ref="D968">IFERROR(INDEX('Kode Outlet dan Target Toko'!$A:$A,MATCH($I968,'Kode Outlet dan Target Toko'!$E:$E,0)),"")</f>
        <v>GRSM 4</v>
      </c>
      <c r="E968" s="20" t="str">
        <f>IFERROR(VLOOKUP(I968,KET!$B:$F,4,0),"")</f>
        <v>FAHMI LUKMANUL HAKIM</v>
      </c>
      <c r="F968" s="20" t="str">
        <f>IFERROR(VLOOKUP(I968,KET!$B:$F,5,0),"")</f>
        <v>NKA</v>
      </c>
      <c r="G968" s="20">
        <f>IFERROR(INDEX('Kode Outlet dan Target Toko'!$C:$C,MATCH($I968,'Kode Outlet dan Target Toko'!$E:$E,0)),0)</f>
        <v>490034</v>
      </c>
      <c r="H968" s="20">
        <f>IFERROR(INDEX('Kode Outlet dan Target Toko'!$D:$D,MATCH($I968,'Kode Outlet dan Target Toko'!$E:$E,0)),0)</f>
        <v>209554</v>
      </c>
      <c r="I968" s="50" t="s">
        <v>26</v>
      </c>
      <c r="J968" s="19" t="s">
        <v>177</v>
      </c>
      <c r="K968" s="54" t="s">
        <v>13</v>
      </c>
      <c r="L968" s="24">
        <v>3275</v>
      </c>
      <c r="M968" s="24">
        <v>37</v>
      </c>
      <c r="N968" s="25">
        <f t="shared" si="31"/>
        <v>121175</v>
      </c>
      <c r="O968" s="24"/>
    </row>
    <row r="969" spans="1:15" ht="15.75" hidden="1" customHeight="1" x14ac:dyDescent="0.3">
      <c r="A969" s="24">
        <v>27</v>
      </c>
      <c r="B969" s="20" t="str">
        <f t="shared" si="30"/>
        <v>JUL</v>
      </c>
      <c r="C969" s="21">
        <v>46207</v>
      </c>
      <c r="D969" s="22" t="str">
        <f t="array" ref="D969">IFERROR(INDEX('Kode Outlet dan Target Toko'!$A:$A,MATCH($I969,'Kode Outlet dan Target Toko'!$E:$E,0)),"")</f>
        <v>GRSM 4</v>
      </c>
      <c r="E969" s="20" t="str">
        <f>IFERROR(VLOOKUP(I969,KET!$B:$F,4,0),"")</f>
        <v>FAHMI LUKMANUL HAKIM</v>
      </c>
      <c r="F969" s="20" t="str">
        <f>IFERROR(VLOOKUP(I969,KET!$B:$F,5,0),"")</f>
        <v>NKA</v>
      </c>
      <c r="G969" s="20">
        <f>IFERROR(INDEX('Kode Outlet dan Target Toko'!$C:$C,MATCH($I969,'Kode Outlet dan Target Toko'!$E:$E,0)),0)</f>
        <v>490034</v>
      </c>
      <c r="H969" s="20">
        <f>IFERROR(INDEX('Kode Outlet dan Target Toko'!$D:$D,MATCH($I969,'Kode Outlet dan Target Toko'!$E:$E,0)),0)</f>
        <v>209554</v>
      </c>
      <c r="I969" s="50" t="s">
        <v>26</v>
      </c>
      <c r="J969" s="19" t="s">
        <v>177</v>
      </c>
      <c r="K969" s="54" t="s">
        <v>16</v>
      </c>
      <c r="L969" s="24">
        <v>3275</v>
      </c>
      <c r="M969" s="24">
        <v>119</v>
      </c>
      <c r="N969" s="25">
        <f t="shared" si="31"/>
        <v>389725</v>
      </c>
      <c r="O969" s="24">
        <v>160</v>
      </c>
    </row>
    <row r="970" spans="1:15" ht="15.75" hidden="1" customHeight="1" x14ac:dyDescent="0.3">
      <c r="A970" s="24">
        <v>27</v>
      </c>
      <c r="B970" s="20" t="str">
        <f t="shared" si="30"/>
        <v>JUL</v>
      </c>
      <c r="C970" s="21">
        <v>46208</v>
      </c>
      <c r="D970" s="22" t="str">
        <f t="array" ref="D970">IFERROR(INDEX('Kode Outlet dan Target Toko'!$A:$A,MATCH($I970,'Kode Outlet dan Target Toko'!$E:$E,0)),"")</f>
        <v>GRSM 4</v>
      </c>
      <c r="E970" s="20" t="str">
        <f>IFERROR(VLOOKUP(I970,KET!$B:$F,4,0),"")</f>
        <v>FAHMI LUKMANUL HAKIM</v>
      </c>
      <c r="F970" s="20" t="str">
        <f>IFERROR(VLOOKUP(I970,KET!$B:$F,5,0),"")</f>
        <v>GMM</v>
      </c>
      <c r="G970" s="20">
        <f>IFERROR(INDEX('Kode Outlet dan Target Toko'!$C:$C,MATCH($I970,'Kode Outlet dan Target Toko'!$E:$E,0)),0)</f>
        <v>189901</v>
      </c>
      <c r="H970" s="20">
        <f>IFERROR(INDEX('Kode Outlet dan Target Toko'!$D:$D,MATCH($I970,'Kode Outlet dan Target Toko'!$E:$E,0)),0)</f>
        <v>1602057</v>
      </c>
      <c r="I970" s="50" t="s">
        <v>68</v>
      </c>
      <c r="J970" s="27" t="s">
        <v>174</v>
      </c>
      <c r="K970" s="54" t="s">
        <v>15</v>
      </c>
      <c r="L970" s="24">
        <v>2150</v>
      </c>
      <c r="M970" s="24">
        <v>143</v>
      </c>
      <c r="N970" s="25">
        <f t="shared" si="31"/>
        <v>307450</v>
      </c>
      <c r="O970" s="24"/>
    </row>
    <row r="971" spans="1:15" ht="15.75" hidden="1" customHeight="1" x14ac:dyDescent="0.3">
      <c r="A971" s="24">
        <v>27</v>
      </c>
      <c r="B971" s="20" t="str">
        <f t="shared" si="30"/>
        <v>JUL</v>
      </c>
      <c r="C971" s="21">
        <v>46208</v>
      </c>
      <c r="D971" s="22" t="str">
        <f t="array" ref="D971">IFERROR(INDEX('Kode Outlet dan Target Toko'!$A:$A,MATCH($I971,'Kode Outlet dan Target Toko'!$E:$E,0)),"")</f>
        <v>GRSM 4</v>
      </c>
      <c r="E971" s="20" t="str">
        <f>IFERROR(VLOOKUP(I971,KET!$B:$F,4,0),"")</f>
        <v>FAHMI LUKMANUL HAKIM</v>
      </c>
      <c r="F971" s="20" t="str">
        <f>IFERROR(VLOOKUP(I971,KET!$B:$F,5,0),"")</f>
        <v>GMM</v>
      </c>
      <c r="G971" s="20">
        <f>IFERROR(INDEX('Kode Outlet dan Target Toko'!$C:$C,MATCH($I971,'Kode Outlet dan Target Toko'!$E:$E,0)),0)</f>
        <v>189901</v>
      </c>
      <c r="H971" s="20">
        <f>IFERROR(INDEX('Kode Outlet dan Target Toko'!$D:$D,MATCH($I971,'Kode Outlet dan Target Toko'!$E:$E,0)),0)</f>
        <v>1602057</v>
      </c>
      <c r="I971" s="50" t="s">
        <v>68</v>
      </c>
      <c r="J971" s="27" t="s">
        <v>174</v>
      </c>
      <c r="K971" s="54" t="s">
        <v>14</v>
      </c>
      <c r="L971" s="24">
        <v>2150</v>
      </c>
      <c r="M971" s="24">
        <v>133</v>
      </c>
      <c r="N971" s="25">
        <f t="shared" si="31"/>
        <v>285950</v>
      </c>
      <c r="O971" s="24"/>
    </row>
    <row r="972" spans="1:15" ht="15.75" hidden="1" customHeight="1" x14ac:dyDescent="0.3">
      <c r="A972" s="24">
        <v>27</v>
      </c>
      <c r="B972" s="20" t="str">
        <f t="shared" si="30"/>
        <v>JUL</v>
      </c>
      <c r="C972" s="21">
        <v>46208</v>
      </c>
      <c r="D972" s="22" t="str">
        <f t="array" ref="D972">IFERROR(INDEX('Kode Outlet dan Target Toko'!$A:$A,MATCH($I972,'Kode Outlet dan Target Toko'!$E:$E,0)),"")</f>
        <v>GRSM 4</v>
      </c>
      <c r="E972" s="20" t="str">
        <f>IFERROR(VLOOKUP(I972,KET!$B:$F,4,0),"")</f>
        <v>FAHMI LUKMANUL HAKIM</v>
      </c>
      <c r="F972" s="20" t="str">
        <f>IFERROR(VLOOKUP(I972,KET!$B:$F,5,0),"")</f>
        <v>GMM</v>
      </c>
      <c r="G972" s="20">
        <f>IFERROR(INDEX('Kode Outlet dan Target Toko'!$C:$C,MATCH($I972,'Kode Outlet dan Target Toko'!$E:$E,0)),0)</f>
        <v>189901</v>
      </c>
      <c r="H972" s="20">
        <f>IFERROR(INDEX('Kode Outlet dan Target Toko'!$D:$D,MATCH($I972,'Kode Outlet dan Target Toko'!$E:$E,0)),0)</f>
        <v>1602057</v>
      </c>
      <c r="I972" s="50" t="s">
        <v>68</v>
      </c>
      <c r="J972" s="27" t="s">
        <v>174</v>
      </c>
      <c r="K972" s="54" t="s">
        <v>13</v>
      </c>
      <c r="L972" s="24">
        <v>2150</v>
      </c>
      <c r="M972" s="24">
        <v>151</v>
      </c>
      <c r="N972" s="25">
        <f t="shared" si="31"/>
        <v>324650</v>
      </c>
      <c r="O972" s="24"/>
    </row>
    <row r="973" spans="1:15" ht="15.75" hidden="1" customHeight="1" x14ac:dyDescent="0.3">
      <c r="A973" s="24">
        <v>27</v>
      </c>
      <c r="B973" s="20" t="str">
        <f t="shared" si="30"/>
        <v>JUL</v>
      </c>
      <c r="C973" s="21">
        <v>46208</v>
      </c>
      <c r="D973" s="22" t="str">
        <f t="array" ref="D973">IFERROR(INDEX('Kode Outlet dan Target Toko'!$A:$A,MATCH($I973,'Kode Outlet dan Target Toko'!$E:$E,0)),"")</f>
        <v>GRSM 4</v>
      </c>
      <c r="E973" s="20" t="str">
        <f>IFERROR(VLOOKUP(I973,KET!$B:$F,4,0),"")</f>
        <v>FAHMI LUKMANUL HAKIM</v>
      </c>
      <c r="F973" s="20" t="str">
        <f>IFERROR(VLOOKUP(I973,KET!$B:$F,5,0),"")</f>
        <v>GMM</v>
      </c>
      <c r="G973" s="20">
        <f>IFERROR(INDEX('Kode Outlet dan Target Toko'!$C:$C,MATCH($I973,'Kode Outlet dan Target Toko'!$E:$E,0)),0)</f>
        <v>189901</v>
      </c>
      <c r="H973" s="20">
        <f>IFERROR(INDEX('Kode Outlet dan Target Toko'!$D:$D,MATCH($I973,'Kode Outlet dan Target Toko'!$E:$E,0)),0)</f>
        <v>1602057</v>
      </c>
      <c r="I973" s="50" t="s">
        <v>68</v>
      </c>
      <c r="J973" s="27" t="s">
        <v>174</v>
      </c>
      <c r="K973" s="54" t="s">
        <v>16</v>
      </c>
      <c r="L973" s="24">
        <v>2150</v>
      </c>
      <c r="M973" s="24">
        <v>197</v>
      </c>
      <c r="N973" s="25">
        <f t="shared" si="31"/>
        <v>423550</v>
      </c>
      <c r="O973" s="24">
        <v>160</v>
      </c>
    </row>
    <row r="974" spans="1:15" ht="15.75" hidden="1" customHeight="1" x14ac:dyDescent="0.3">
      <c r="A974" s="24">
        <v>27</v>
      </c>
      <c r="B974" s="20" t="str">
        <f t="shared" si="30"/>
        <v>JUL</v>
      </c>
      <c r="C974" s="21">
        <v>46208</v>
      </c>
      <c r="D974" s="22" t="str">
        <f t="array" ref="D974">IFERROR(INDEX('Kode Outlet dan Target Toko'!$A:$A,MATCH($I974,'Kode Outlet dan Target Toko'!$E:$E,0)),"")</f>
        <v>GRSM 4</v>
      </c>
      <c r="E974" s="20" t="str">
        <f>IFERROR(VLOOKUP(I974,KET!$B:$F,4,0),"")</f>
        <v>FAHMI LUKMANUL HAKIM</v>
      </c>
      <c r="F974" s="20" t="str">
        <f>IFERROR(VLOOKUP(I974,KET!$B:$F,5,0),"")</f>
        <v>GMM</v>
      </c>
      <c r="G974" s="20">
        <f>IFERROR(INDEX('Kode Outlet dan Target Toko'!$C:$C,MATCH($I974,'Kode Outlet dan Target Toko'!$E:$E,0)),0)</f>
        <v>189901</v>
      </c>
      <c r="H974" s="20">
        <f>IFERROR(INDEX('Kode Outlet dan Target Toko'!$D:$D,MATCH($I974,'Kode Outlet dan Target Toko'!$E:$E,0)),0)</f>
        <v>1602057</v>
      </c>
      <c r="I974" s="50" t="s">
        <v>68</v>
      </c>
      <c r="J974" s="56" t="s">
        <v>175</v>
      </c>
      <c r="K974" s="54" t="s">
        <v>15</v>
      </c>
      <c r="L974" s="24">
        <v>2150</v>
      </c>
      <c r="M974" s="24">
        <v>124</v>
      </c>
      <c r="N974" s="25">
        <f t="shared" si="31"/>
        <v>266600</v>
      </c>
      <c r="O974" s="24"/>
    </row>
    <row r="975" spans="1:15" ht="15.75" hidden="1" customHeight="1" x14ac:dyDescent="0.3">
      <c r="A975" s="24">
        <v>27</v>
      </c>
      <c r="B975" s="20" t="str">
        <f t="shared" si="30"/>
        <v>JUL</v>
      </c>
      <c r="C975" s="21">
        <v>46208</v>
      </c>
      <c r="D975" s="22" t="str">
        <f t="array" ref="D975">IFERROR(INDEX('Kode Outlet dan Target Toko'!$A:$A,MATCH($I975,'Kode Outlet dan Target Toko'!$E:$E,0)),"")</f>
        <v>GRSM 4</v>
      </c>
      <c r="E975" s="20" t="str">
        <f>IFERROR(VLOOKUP(I975,KET!$B:$F,4,0),"")</f>
        <v>FAHMI LUKMANUL HAKIM</v>
      </c>
      <c r="F975" s="20" t="str">
        <f>IFERROR(VLOOKUP(I975,KET!$B:$F,5,0),"")</f>
        <v>GMM</v>
      </c>
      <c r="G975" s="20">
        <f>IFERROR(INDEX('Kode Outlet dan Target Toko'!$C:$C,MATCH($I975,'Kode Outlet dan Target Toko'!$E:$E,0)),0)</f>
        <v>189901</v>
      </c>
      <c r="H975" s="20">
        <f>IFERROR(INDEX('Kode Outlet dan Target Toko'!$D:$D,MATCH($I975,'Kode Outlet dan Target Toko'!$E:$E,0)),0)</f>
        <v>1602057</v>
      </c>
      <c r="I975" s="50" t="s">
        <v>68</v>
      </c>
      <c r="J975" s="56" t="s">
        <v>175</v>
      </c>
      <c r="K975" s="54" t="s">
        <v>14</v>
      </c>
      <c r="L975" s="24">
        <v>2150</v>
      </c>
      <c r="M975" s="24">
        <v>141</v>
      </c>
      <c r="N975" s="25">
        <f t="shared" si="31"/>
        <v>303150</v>
      </c>
      <c r="O975" s="24"/>
    </row>
    <row r="976" spans="1:15" ht="15.75" hidden="1" customHeight="1" x14ac:dyDescent="0.3">
      <c r="A976" s="24">
        <v>27</v>
      </c>
      <c r="B976" s="20" t="str">
        <f t="shared" si="30"/>
        <v>JUL</v>
      </c>
      <c r="C976" s="21">
        <v>46208</v>
      </c>
      <c r="D976" s="22" t="str">
        <f t="array" ref="D976">IFERROR(INDEX('Kode Outlet dan Target Toko'!$A:$A,MATCH($I976,'Kode Outlet dan Target Toko'!$E:$E,0)),"")</f>
        <v>GRSM 4</v>
      </c>
      <c r="E976" s="20" t="str">
        <f>IFERROR(VLOOKUP(I976,KET!$B:$F,4,0),"")</f>
        <v>FAHMI LUKMANUL HAKIM</v>
      </c>
      <c r="F976" s="20" t="str">
        <f>IFERROR(VLOOKUP(I976,KET!$B:$F,5,0),"")</f>
        <v>GMM</v>
      </c>
      <c r="G976" s="20">
        <f>IFERROR(INDEX('Kode Outlet dan Target Toko'!$C:$C,MATCH($I976,'Kode Outlet dan Target Toko'!$E:$E,0)),0)</f>
        <v>189901</v>
      </c>
      <c r="H976" s="20">
        <f>IFERROR(INDEX('Kode Outlet dan Target Toko'!$D:$D,MATCH($I976,'Kode Outlet dan Target Toko'!$E:$E,0)),0)</f>
        <v>1602057</v>
      </c>
      <c r="I976" s="50" t="s">
        <v>68</v>
      </c>
      <c r="J976" s="56" t="s">
        <v>175</v>
      </c>
      <c r="K976" s="54" t="s">
        <v>13</v>
      </c>
      <c r="L976" s="24">
        <v>2150</v>
      </c>
      <c r="M976" s="24">
        <v>146</v>
      </c>
      <c r="N976" s="25">
        <f t="shared" si="31"/>
        <v>313900</v>
      </c>
      <c r="O976" s="24"/>
    </row>
    <row r="977" spans="1:15" ht="15.75" hidden="1" customHeight="1" x14ac:dyDescent="0.3">
      <c r="A977" s="24">
        <v>27</v>
      </c>
      <c r="B977" s="20" t="str">
        <f t="shared" si="30"/>
        <v>JUL</v>
      </c>
      <c r="C977" s="21">
        <v>46208</v>
      </c>
      <c r="D977" s="22" t="str">
        <f t="array" ref="D977">IFERROR(INDEX('Kode Outlet dan Target Toko'!$A:$A,MATCH($I977,'Kode Outlet dan Target Toko'!$E:$E,0)),"")</f>
        <v>GRSM 4</v>
      </c>
      <c r="E977" s="20" t="str">
        <f>IFERROR(VLOOKUP(I977,KET!$B:$F,4,0),"")</f>
        <v>FAHMI LUKMANUL HAKIM</v>
      </c>
      <c r="F977" s="20" t="str">
        <f>IFERROR(VLOOKUP(I977,KET!$B:$F,5,0),"")</f>
        <v>GMM</v>
      </c>
      <c r="G977" s="20">
        <f>IFERROR(INDEX('Kode Outlet dan Target Toko'!$C:$C,MATCH($I977,'Kode Outlet dan Target Toko'!$E:$E,0)),0)</f>
        <v>189901</v>
      </c>
      <c r="H977" s="20">
        <f>IFERROR(INDEX('Kode Outlet dan Target Toko'!$D:$D,MATCH($I977,'Kode Outlet dan Target Toko'!$E:$E,0)),0)</f>
        <v>1602057</v>
      </c>
      <c r="I977" s="50" t="s">
        <v>68</v>
      </c>
      <c r="J977" s="56" t="s">
        <v>175</v>
      </c>
      <c r="K977" s="54" t="s">
        <v>16</v>
      </c>
      <c r="L977" s="24">
        <v>2150</v>
      </c>
      <c r="M977" s="24">
        <v>209</v>
      </c>
      <c r="N977" s="25">
        <f t="shared" si="31"/>
        <v>449350</v>
      </c>
      <c r="O977" s="24">
        <v>160</v>
      </c>
    </row>
    <row r="978" spans="1:15" ht="15.75" hidden="1" customHeight="1" x14ac:dyDescent="0.3">
      <c r="A978" s="24">
        <v>27</v>
      </c>
      <c r="B978" s="20" t="str">
        <f t="shared" si="30"/>
        <v>JUL</v>
      </c>
      <c r="C978" s="21">
        <v>46208</v>
      </c>
      <c r="D978" s="22" t="str">
        <f t="array" ref="D978">IFERROR(INDEX('Kode Outlet dan Target Toko'!$A:$A,MATCH($I978,'Kode Outlet dan Target Toko'!$E:$E,0)),"")</f>
        <v>GRSM 4</v>
      </c>
      <c r="E978" s="20" t="str">
        <f>IFERROR(VLOOKUP(I978,KET!$B:$F,4,0),"")</f>
        <v>FAHMI LUKMANUL HAKIM</v>
      </c>
      <c r="F978" s="20" t="str">
        <f>IFERROR(VLOOKUP(I978,KET!$B:$F,5,0),"")</f>
        <v>GMM</v>
      </c>
      <c r="G978" s="20">
        <f>IFERROR(INDEX('Kode Outlet dan Target Toko'!$C:$C,MATCH($I978,'Kode Outlet dan Target Toko'!$E:$E,0)),0)</f>
        <v>189901</v>
      </c>
      <c r="H978" s="20">
        <f>IFERROR(INDEX('Kode Outlet dan Target Toko'!$D:$D,MATCH($I978,'Kode Outlet dan Target Toko'!$E:$E,0)),0)</f>
        <v>1602018</v>
      </c>
      <c r="I978" s="50" t="s">
        <v>34</v>
      </c>
      <c r="J978" s="27" t="s">
        <v>186</v>
      </c>
      <c r="K978" s="54" t="s">
        <v>15</v>
      </c>
      <c r="L978" s="24">
        <v>3500</v>
      </c>
      <c r="M978" s="24">
        <v>20</v>
      </c>
      <c r="N978" s="25">
        <f t="shared" si="31"/>
        <v>70000</v>
      </c>
      <c r="O978" s="24"/>
    </row>
    <row r="979" spans="1:15" ht="15.75" hidden="1" customHeight="1" x14ac:dyDescent="0.3">
      <c r="A979" s="24">
        <v>27</v>
      </c>
      <c r="B979" s="20" t="str">
        <f t="shared" si="30"/>
        <v>JUL</v>
      </c>
      <c r="C979" s="21">
        <v>46208</v>
      </c>
      <c r="D979" s="22" t="str">
        <f t="array" ref="D979">IFERROR(INDEX('Kode Outlet dan Target Toko'!$A:$A,MATCH($I979,'Kode Outlet dan Target Toko'!$E:$E,0)),"")</f>
        <v>GRSM 4</v>
      </c>
      <c r="E979" s="20" t="str">
        <f>IFERROR(VLOOKUP(I979,KET!$B:$F,4,0),"")</f>
        <v>FAHMI LUKMANUL HAKIM</v>
      </c>
      <c r="F979" s="20" t="str">
        <f>IFERROR(VLOOKUP(I979,KET!$B:$F,5,0),"")</f>
        <v>GMM</v>
      </c>
      <c r="G979" s="20">
        <f>IFERROR(INDEX('Kode Outlet dan Target Toko'!$C:$C,MATCH($I979,'Kode Outlet dan Target Toko'!$E:$E,0)),0)</f>
        <v>189901</v>
      </c>
      <c r="H979" s="20">
        <f>IFERROR(INDEX('Kode Outlet dan Target Toko'!$D:$D,MATCH($I979,'Kode Outlet dan Target Toko'!$E:$E,0)),0)</f>
        <v>1602018</v>
      </c>
      <c r="I979" s="50" t="s">
        <v>34</v>
      </c>
      <c r="J979" s="27" t="s">
        <v>186</v>
      </c>
      <c r="K979" s="54" t="s">
        <v>14</v>
      </c>
      <c r="L979" s="24">
        <v>3500</v>
      </c>
      <c r="M979" s="24">
        <v>20</v>
      </c>
      <c r="N979" s="25">
        <f t="shared" si="31"/>
        <v>70000</v>
      </c>
      <c r="O979" s="24"/>
    </row>
    <row r="980" spans="1:15" ht="15.75" hidden="1" customHeight="1" x14ac:dyDescent="0.3">
      <c r="A980" s="24">
        <v>27</v>
      </c>
      <c r="B980" s="20" t="str">
        <f t="shared" si="30"/>
        <v>JUL</v>
      </c>
      <c r="C980" s="21">
        <v>46208</v>
      </c>
      <c r="D980" s="22" t="str">
        <f t="array" ref="D980">IFERROR(INDEX('Kode Outlet dan Target Toko'!$A:$A,MATCH($I980,'Kode Outlet dan Target Toko'!$E:$E,0)),"")</f>
        <v>GRSM 4</v>
      </c>
      <c r="E980" s="20" t="str">
        <f>IFERROR(VLOOKUP(I980,KET!$B:$F,4,0),"")</f>
        <v>FAHMI LUKMANUL HAKIM</v>
      </c>
      <c r="F980" s="20" t="str">
        <f>IFERROR(VLOOKUP(I980,KET!$B:$F,5,0),"")</f>
        <v>GMM</v>
      </c>
      <c r="G980" s="20">
        <f>IFERROR(INDEX('Kode Outlet dan Target Toko'!$C:$C,MATCH($I980,'Kode Outlet dan Target Toko'!$E:$E,0)),0)</f>
        <v>189901</v>
      </c>
      <c r="H980" s="20">
        <f>IFERROR(INDEX('Kode Outlet dan Target Toko'!$D:$D,MATCH($I980,'Kode Outlet dan Target Toko'!$E:$E,0)),0)</f>
        <v>1602018</v>
      </c>
      <c r="I980" s="50" t="s">
        <v>34</v>
      </c>
      <c r="J980" s="27" t="s">
        <v>186</v>
      </c>
      <c r="K980" s="54" t="s">
        <v>13</v>
      </c>
      <c r="L980" s="24">
        <v>3500</v>
      </c>
      <c r="M980" s="24">
        <v>15</v>
      </c>
      <c r="N980" s="25">
        <f t="shared" si="31"/>
        <v>52500</v>
      </c>
      <c r="O980" s="24"/>
    </row>
    <row r="981" spans="1:15" ht="15.75" hidden="1" customHeight="1" x14ac:dyDescent="0.3">
      <c r="A981" s="24">
        <v>27</v>
      </c>
      <c r="B981" s="20" t="str">
        <f t="shared" si="30"/>
        <v>JUL</v>
      </c>
      <c r="C981" s="21">
        <v>46208</v>
      </c>
      <c r="D981" s="22" t="str">
        <f t="array" ref="D981">IFERROR(INDEX('Kode Outlet dan Target Toko'!$A:$A,MATCH($I981,'Kode Outlet dan Target Toko'!$E:$E,0)),"")</f>
        <v>GRSM 4</v>
      </c>
      <c r="E981" s="20" t="str">
        <f>IFERROR(VLOOKUP(I981,KET!$B:$F,4,0),"")</f>
        <v>FAHMI LUKMANUL HAKIM</v>
      </c>
      <c r="F981" s="20" t="str">
        <f>IFERROR(VLOOKUP(I981,KET!$B:$F,5,0),"")</f>
        <v>GMM</v>
      </c>
      <c r="G981" s="20">
        <f>IFERROR(INDEX('Kode Outlet dan Target Toko'!$C:$C,MATCH($I981,'Kode Outlet dan Target Toko'!$E:$E,0)),0)</f>
        <v>189901</v>
      </c>
      <c r="H981" s="20">
        <f>IFERROR(INDEX('Kode Outlet dan Target Toko'!$D:$D,MATCH($I981,'Kode Outlet dan Target Toko'!$E:$E,0)),0)</f>
        <v>1602018</v>
      </c>
      <c r="I981" s="50" t="s">
        <v>34</v>
      </c>
      <c r="J981" s="27" t="s">
        <v>186</v>
      </c>
      <c r="K981" s="54" t="s">
        <v>16</v>
      </c>
      <c r="L981" s="24">
        <v>3500</v>
      </c>
      <c r="M981" s="24">
        <v>60</v>
      </c>
      <c r="N981" s="25">
        <f t="shared" si="31"/>
        <v>210000</v>
      </c>
      <c r="O981" s="24">
        <v>160</v>
      </c>
    </row>
    <row r="982" spans="1:15" ht="15.75" hidden="1" customHeight="1" x14ac:dyDescent="0.3">
      <c r="A982" s="24">
        <v>27</v>
      </c>
      <c r="B982" s="20" t="str">
        <f t="shared" si="30"/>
        <v>JUL</v>
      </c>
      <c r="C982" s="21">
        <v>46206</v>
      </c>
      <c r="D982" s="22" t="str">
        <f t="array" ref="D982">IFERROR(INDEX('Kode Outlet dan Target Toko'!$A:$A,MATCH($I982,'Kode Outlet dan Target Toko'!$E:$E,0)),"")</f>
        <v>GRSM 5</v>
      </c>
      <c r="E982" s="20" t="str">
        <f>IFERROR(VLOOKUP(I982,KET!$B:$F,4,0),"")</f>
        <v>SUPRIYATI</v>
      </c>
      <c r="F982" s="20" t="str">
        <f>IFERROR(VLOOKUP(I982,KET!$B:$F,5,0),"")</f>
        <v>GMM</v>
      </c>
      <c r="G982" s="20">
        <f>IFERROR(INDEX('Kode Outlet dan Target Toko'!$C:$C,MATCH($I982,'Kode Outlet dan Target Toko'!$E:$E,0)),0)</f>
        <v>170220</v>
      </c>
      <c r="H982" s="20">
        <f>IFERROR(INDEX('Kode Outlet dan Target Toko'!$D:$D,MATCH($I982,'Kode Outlet dan Target Toko'!$E:$E,0)),0)</f>
        <v>9000015</v>
      </c>
      <c r="I982" s="50" t="s">
        <v>33</v>
      </c>
      <c r="J982" s="19" t="s">
        <v>260</v>
      </c>
      <c r="K982" s="54" t="s">
        <v>15</v>
      </c>
      <c r="L982" s="24">
        <v>3300</v>
      </c>
      <c r="M982" s="24">
        <v>63</v>
      </c>
      <c r="N982" s="25">
        <f t="shared" si="31"/>
        <v>207900</v>
      </c>
      <c r="O982" s="24"/>
    </row>
    <row r="983" spans="1:15" ht="15.75" hidden="1" customHeight="1" x14ac:dyDescent="0.3">
      <c r="A983" s="24">
        <v>27</v>
      </c>
      <c r="B983" s="20" t="str">
        <f t="shared" si="30"/>
        <v>JUL</v>
      </c>
      <c r="C983" s="21">
        <v>46206</v>
      </c>
      <c r="D983" s="22" t="str">
        <f t="array" ref="D983">IFERROR(INDEX('Kode Outlet dan Target Toko'!$A:$A,MATCH($I983,'Kode Outlet dan Target Toko'!$E:$E,0)),"")</f>
        <v>GRSM 5</v>
      </c>
      <c r="E983" s="20" t="str">
        <f>IFERROR(VLOOKUP(I983,KET!$B:$F,4,0),"")</f>
        <v>SUPRIYATI</v>
      </c>
      <c r="F983" s="20" t="str">
        <f>IFERROR(VLOOKUP(I983,KET!$B:$F,5,0),"")</f>
        <v>GMM</v>
      </c>
      <c r="G983" s="20">
        <f>IFERROR(INDEX('Kode Outlet dan Target Toko'!$C:$C,MATCH($I983,'Kode Outlet dan Target Toko'!$E:$E,0)),0)</f>
        <v>170220</v>
      </c>
      <c r="H983" s="20">
        <f>IFERROR(INDEX('Kode Outlet dan Target Toko'!$D:$D,MATCH($I983,'Kode Outlet dan Target Toko'!$E:$E,0)),0)</f>
        <v>9000015</v>
      </c>
      <c r="I983" s="50" t="s">
        <v>33</v>
      </c>
      <c r="J983" s="19" t="s">
        <v>260</v>
      </c>
      <c r="K983" s="54" t="s">
        <v>14</v>
      </c>
      <c r="L983" s="24">
        <v>3300</v>
      </c>
      <c r="M983" s="24">
        <v>85</v>
      </c>
      <c r="N983" s="25">
        <f t="shared" si="31"/>
        <v>280500</v>
      </c>
      <c r="O983" s="24"/>
    </row>
    <row r="984" spans="1:15" ht="15.75" hidden="1" customHeight="1" x14ac:dyDescent="0.3">
      <c r="A984" s="24">
        <v>27</v>
      </c>
      <c r="B984" s="20" t="str">
        <f t="shared" si="30"/>
        <v>JUL</v>
      </c>
      <c r="C984" s="21">
        <v>46206</v>
      </c>
      <c r="D984" s="22" t="str">
        <f t="array" ref="D984">IFERROR(INDEX('Kode Outlet dan Target Toko'!$A:$A,MATCH($I984,'Kode Outlet dan Target Toko'!$E:$E,0)),"")</f>
        <v>GRSM 5</v>
      </c>
      <c r="E984" s="20" t="str">
        <f>IFERROR(VLOOKUP(I984,KET!$B:$F,4,0),"")</f>
        <v>SUPRIYATI</v>
      </c>
      <c r="F984" s="20" t="str">
        <f>IFERROR(VLOOKUP(I984,KET!$B:$F,5,0),"")</f>
        <v>GMM</v>
      </c>
      <c r="G984" s="20">
        <f>IFERROR(INDEX('Kode Outlet dan Target Toko'!$C:$C,MATCH($I984,'Kode Outlet dan Target Toko'!$E:$E,0)),0)</f>
        <v>170220</v>
      </c>
      <c r="H984" s="20">
        <f>IFERROR(INDEX('Kode Outlet dan Target Toko'!$D:$D,MATCH($I984,'Kode Outlet dan Target Toko'!$E:$E,0)),0)</f>
        <v>9000015</v>
      </c>
      <c r="I984" s="50" t="s">
        <v>33</v>
      </c>
      <c r="J984" s="19" t="s">
        <v>260</v>
      </c>
      <c r="K984" s="54" t="s">
        <v>13</v>
      </c>
      <c r="L984" s="24">
        <v>3300</v>
      </c>
      <c r="M984" s="24">
        <v>34</v>
      </c>
      <c r="N984" s="25">
        <f t="shared" si="31"/>
        <v>112200</v>
      </c>
      <c r="O984" s="24">
        <v>50</v>
      </c>
    </row>
    <row r="985" spans="1:15" ht="15.75" hidden="1" customHeight="1" x14ac:dyDescent="0.3">
      <c r="A985" s="24">
        <v>27</v>
      </c>
      <c r="B985" s="20" t="str">
        <f t="shared" si="30"/>
        <v>JUL</v>
      </c>
      <c r="C985" s="21">
        <v>46207</v>
      </c>
      <c r="D985" s="22" t="str">
        <f t="array" ref="D985">IFERROR(INDEX('Kode Outlet dan Target Toko'!$A:$A,MATCH($I985,'Kode Outlet dan Target Toko'!$E:$E,0)),"")</f>
        <v>GRSM 5</v>
      </c>
      <c r="E985" s="20" t="str">
        <f>IFERROR(VLOOKUP(I985,KET!$B:$F,4,0),"")</f>
        <v>SUPRIYATI</v>
      </c>
      <c r="F985" s="20" t="str">
        <f>IFERROR(VLOOKUP(I985,KET!$B:$F,5,0),"")</f>
        <v>GMM</v>
      </c>
      <c r="G985" s="20">
        <f>IFERROR(INDEX('Kode Outlet dan Target Toko'!$C:$C,MATCH($I985,'Kode Outlet dan Target Toko'!$E:$E,0)),0)</f>
        <v>170220</v>
      </c>
      <c r="H985" s="20">
        <f>IFERROR(INDEX('Kode Outlet dan Target Toko'!$D:$D,MATCH($I985,'Kode Outlet dan Target Toko'!$E:$E,0)),0)</f>
        <v>9000015</v>
      </c>
      <c r="I985" s="50" t="s">
        <v>33</v>
      </c>
      <c r="J985" s="19" t="s">
        <v>260</v>
      </c>
      <c r="K985" s="54" t="s">
        <v>15</v>
      </c>
      <c r="L985" s="24">
        <v>3300</v>
      </c>
      <c r="M985" s="24">
        <v>128</v>
      </c>
      <c r="N985" s="25">
        <f t="shared" si="31"/>
        <v>422400</v>
      </c>
      <c r="O985" s="24"/>
    </row>
    <row r="986" spans="1:15" ht="15.75" hidden="1" customHeight="1" x14ac:dyDescent="0.3">
      <c r="A986" s="24">
        <v>27</v>
      </c>
      <c r="B986" s="20" t="str">
        <f t="shared" si="30"/>
        <v>JUL</v>
      </c>
      <c r="C986" s="21">
        <v>46207</v>
      </c>
      <c r="D986" s="22" t="str">
        <f t="array" ref="D986">IFERROR(INDEX('Kode Outlet dan Target Toko'!$A:$A,MATCH($I986,'Kode Outlet dan Target Toko'!$E:$E,0)),"")</f>
        <v>GRSM 5</v>
      </c>
      <c r="E986" s="20" t="str">
        <f>IFERROR(VLOOKUP(I986,KET!$B:$F,4,0),"")</f>
        <v>SUPRIYATI</v>
      </c>
      <c r="F986" s="20" t="str">
        <f>IFERROR(VLOOKUP(I986,KET!$B:$F,5,0),"")</f>
        <v>GMM</v>
      </c>
      <c r="G986" s="20">
        <f>IFERROR(INDEX('Kode Outlet dan Target Toko'!$C:$C,MATCH($I986,'Kode Outlet dan Target Toko'!$E:$E,0)),0)</f>
        <v>170220</v>
      </c>
      <c r="H986" s="20">
        <f>IFERROR(INDEX('Kode Outlet dan Target Toko'!$D:$D,MATCH($I986,'Kode Outlet dan Target Toko'!$E:$E,0)),0)</f>
        <v>9000015</v>
      </c>
      <c r="I986" s="50" t="s">
        <v>33</v>
      </c>
      <c r="J986" s="19" t="s">
        <v>260</v>
      </c>
      <c r="K986" s="54" t="s">
        <v>14</v>
      </c>
      <c r="L986" s="24">
        <v>3300</v>
      </c>
      <c r="M986" s="24">
        <v>62</v>
      </c>
      <c r="N986" s="25">
        <f t="shared" si="31"/>
        <v>204600</v>
      </c>
      <c r="O986" s="24"/>
    </row>
    <row r="987" spans="1:15" ht="15.75" hidden="1" customHeight="1" x14ac:dyDescent="0.3">
      <c r="A987" s="24">
        <v>27</v>
      </c>
      <c r="B987" s="20" t="str">
        <f t="shared" si="30"/>
        <v>JUL</v>
      </c>
      <c r="C987" s="21">
        <v>46207</v>
      </c>
      <c r="D987" s="22" t="str">
        <f t="array" ref="D987">IFERROR(INDEX('Kode Outlet dan Target Toko'!$A:$A,MATCH($I987,'Kode Outlet dan Target Toko'!$E:$E,0)),"")</f>
        <v>GRSM 5</v>
      </c>
      <c r="E987" s="20" t="str">
        <f>IFERROR(VLOOKUP(I987,KET!$B:$F,4,0),"")</f>
        <v>SUPRIYATI</v>
      </c>
      <c r="F987" s="20" t="str">
        <f>IFERROR(VLOOKUP(I987,KET!$B:$F,5,0),"")</f>
        <v>GMM</v>
      </c>
      <c r="G987" s="20">
        <f>IFERROR(INDEX('Kode Outlet dan Target Toko'!$C:$C,MATCH($I987,'Kode Outlet dan Target Toko'!$E:$E,0)),0)</f>
        <v>170220</v>
      </c>
      <c r="H987" s="20">
        <f>IFERROR(INDEX('Kode Outlet dan Target Toko'!$D:$D,MATCH($I987,'Kode Outlet dan Target Toko'!$E:$E,0)),0)</f>
        <v>9000015</v>
      </c>
      <c r="I987" s="50" t="s">
        <v>33</v>
      </c>
      <c r="J987" s="19" t="s">
        <v>260</v>
      </c>
      <c r="K987" s="54" t="s">
        <v>13</v>
      </c>
      <c r="L987" s="24">
        <v>3300</v>
      </c>
      <c r="M987" s="24">
        <v>34</v>
      </c>
      <c r="N987" s="25">
        <f t="shared" si="31"/>
        <v>112200</v>
      </c>
      <c r="O987" s="24"/>
    </row>
    <row r="988" spans="1:15" ht="15.75" hidden="1" customHeight="1" x14ac:dyDescent="0.3">
      <c r="A988" s="24">
        <v>27</v>
      </c>
      <c r="B988" s="20" t="str">
        <f t="shared" si="30"/>
        <v>JUL</v>
      </c>
      <c r="C988" s="21">
        <v>46207</v>
      </c>
      <c r="D988" s="22" t="str">
        <f t="array" ref="D988">IFERROR(INDEX('Kode Outlet dan Target Toko'!$A:$A,MATCH($I988,'Kode Outlet dan Target Toko'!$E:$E,0)),"")</f>
        <v>GRSM 5</v>
      </c>
      <c r="E988" s="20" t="str">
        <f>IFERROR(VLOOKUP(I988,KET!$B:$F,4,0),"")</f>
        <v>SUPRIYATI</v>
      </c>
      <c r="F988" s="20" t="str">
        <f>IFERROR(VLOOKUP(I988,KET!$B:$F,5,0),"")</f>
        <v>GMM</v>
      </c>
      <c r="G988" s="20">
        <f>IFERROR(INDEX('Kode Outlet dan Target Toko'!$C:$C,MATCH($I988,'Kode Outlet dan Target Toko'!$E:$E,0)),0)</f>
        <v>170220</v>
      </c>
      <c r="H988" s="20">
        <f>IFERROR(INDEX('Kode Outlet dan Target Toko'!$D:$D,MATCH($I988,'Kode Outlet dan Target Toko'!$E:$E,0)),0)</f>
        <v>9000015</v>
      </c>
      <c r="I988" s="50" t="s">
        <v>33</v>
      </c>
      <c r="J988" s="19" t="s">
        <v>260</v>
      </c>
      <c r="K988" s="54" t="s">
        <v>16</v>
      </c>
      <c r="L988" s="24">
        <v>3300</v>
      </c>
      <c r="M988" s="24">
        <v>58</v>
      </c>
      <c r="N988" s="25">
        <f t="shared" si="31"/>
        <v>191400</v>
      </c>
      <c r="O988" s="24">
        <v>50</v>
      </c>
    </row>
    <row r="989" spans="1:15" ht="15.75" hidden="1" customHeight="1" x14ac:dyDescent="0.3">
      <c r="A989" s="24">
        <v>27</v>
      </c>
      <c r="B989" s="20" t="str">
        <f t="shared" si="30"/>
        <v>JUL</v>
      </c>
      <c r="C989" s="21">
        <v>46208</v>
      </c>
      <c r="D989" s="22" t="str">
        <f t="array" ref="D989">IFERROR(INDEX('Kode Outlet dan Target Toko'!$A:$A,MATCH($I989,'Kode Outlet dan Target Toko'!$E:$E,0)),"")</f>
        <v>GRSM 5</v>
      </c>
      <c r="E989" s="20" t="str">
        <f>IFERROR(VLOOKUP(I989,KET!$B:$F,4,0),"")</f>
        <v>SUPRIYATI</v>
      </c>
      <c r="F989" s="20" t="str">
        <f>IFERROR(VLOOKUP(I989,KET!$B:$F,5,0),"")</f>
        <v>GMM</v>
      </c>
      <c r="G989" s="20">
        <f>IFERROR(INDEX('Kode Outlet dan Target Toko'!$C:$C,MATCH($I989,'Kode Outlet dan Target Toko'!$E:$E,0)),0)</f>
        <v>170220</v>
      </c>
      <c r="H989" s="20">
        <f>IFERROR(INDEX('Kode Outlet dan Target Toko'!$D:$D,MATCH($I989,'Kode Outlet dan Target Toko'!$E:$E,0)),0)</f>
        <v>9000015</v>
      </c>
      <c r="I989" s="50" t="s">
        <v>33</v>
      </c>
      <c r="J989" s="19" t="s">
        <v>260</v>
      </c>
      <c r="K989" s="54" t="s">
        <v>15</v>
      </c>
      <c r="L989" s="24">
        <v>3300</v>
      </c>
      <c r="M989" s="24">
        <v>127</v>
      </c>
      <c r="N989" s="25">
        <f t="shared" si="31"/>
        <v>419100</v>
      </c>
      <c r="O989" s="24"/>
    </row>
    <row r="990" spans="1:15" ht="15.75" hidden="1" customHeight="1" x14ac:dyDescent="0.3">
      <c r="A990" s="24">
        <v>27</v>
      </c>
      <c r="B990" s="20" t="str">
        <f t="shared" si="30"/>
        <v>JUL</v>
      </c>
      <c r="C990" s="21">
        <v>46208</v>
      </c>
      <c r="D990" s="22" t="str">
        <f t="array" ref="D990">IFERROR(INDEX('Kode Outlet dan Target Toko'!$A:$A,MATCH($I990,'Kode Outlet dan Target Toko'!$E:$E,0)),"")</f>
        <v>GRSM 5</v>
      </c>
      <c r="E990" s="20" t="str">
        <f>IFERROR(VLOOKUP(I990,KET!$B:$F,4,0),"")</f>
        <v>SUPRIYATI</v>
      </c>
      <c r="F990" s="20" t="str">
        <f>IFERROR(VLOOKUP(I990,KET!$B:$F,5,0),"")</f>
        <v>GMM</v>
      </c>
      <c r="G990" s="20">
        <f>IFERROR(INDEX('Kode Outlet dan Target Toko'!$C:$C,MATCH($I990,'Kode Outlet dan Target Toko'!$E:$E,0)),0)</f>
        <v>170220</v>
      </c>
      <c r="H990" s="20">
        <f>IFERROR(INDEX('Kode Outlet dan Target Toko'!$D:$D,MATCH($I990,'Kode Outlet dan Target Toko'!$E:$E,0)),0)</f>
        <v>9000015</v>
      </c>
      <c r="I990" s="50" t="s">
        <v>33</v>
      </c>
      <c r="J990" s="19" t="s">
        <v>260</v>
      </c>
      <c r="K990" s="54" t="s">
        <v>14</v>
      </c>
      <c r="L990" s="24">
        <v>3300</v>
      </c>
      <c r="M990" s="24">
        <v>78</v>
      </c>
      <c r="N990" s="25">
        <f t="shared" si="31"/>
        <v>257400</v>
      </c>
      <c r="O990" s="24"/>
    </row>
    <row r="991" spans="1:15" ht="15.75" hidden="1" customHeight="1" x14ac:dyDescent="0.3">
      <c r="A991" s="24">
        <v>27</v>
      </c>
      <c r="B991" s="20" t="str">
        <f t="shared" si="30"/>
        <v>JUL</v>
      </c>
      <c r="C991" s="21">
        <v>46208</v>
      </c>
      <c r="D991" s="22" t="str">
        <f t="array" ref="D991">IFERROR(INDEX('Kode Outlet dan Target Toko'!$A:$A,MATCH($I991,'Kode Outlet dan Target Toko'!$E:$E,0)),"")</f>
        <v>GRSM 5</v>
      </c>
      <c r="E991" s="20" t="str">
        <f>IFERROR(VLOOKUP(I991,KET!$B:$F,4,0),"")</f>
        <v>SUPRIYATI</v>
      </c>
      <c r="F991" s="20" t="str">
        <f>IFERROR(VLOOKUP(I991,KET!$B:$F,5,0),"")</f>
        <v>GMM</v>
      </c>
      <c r="G991" s="20">
        <f>IFERROR(INDEX('Kode Outlet dan Target Toko'!$C:$C,MATCH($I991,'Kode Outlet dan Target Toko'!$E:$E,0)),0)</f>
        <v>170220</v>
      </c>
      <c r="H991" s="20">
        <f>IFERROR(INDEX('Kode Outlet dan Target Toko'!$D:$D,MATCH($I991,'Kode Outlet dan Target Toko'!$E:$E,0)),0)</f>
        <v>9000015</v>
      </c>
      <c r="I991" s="50" t="s">
        <v>33</v>
      </c>
      <c r="J991" s="19" t="s">
        <v>260</v>
      </c>
      <c r="K991" s="54" t="s">
        <v>13</v>
      </c>
      <c r="L991" s="24">
        <v>3300</v>
      </c>
      <c r="M991" s="24">
        <v>44</v>
      </c>
      <c r="N991" s="25">
        <f t="shared" si="31"/>
        <v>145200</v>
      </c>
      <c r="O991" s="24"/>
    </row>
    <row r="992" spans="1:15" ht="15.75" hidden="1" customHeight="1" x14ac:dyDescent="0.3">
      <c r="A992" s="24">
        <v>27</v>
      </c>
      <c r="B992" s="20" t="str">
        <f t="shared" si="30"/>
        <v>JUL</v>
      </c>
      <c r="C992" s="21">
        <v>46208</v>
      </c>
      <c r="D992" s="22" t="str">
        <f t="array" ref="D992">IFERROR(INDEX('Kode Outlet dan Target Toko'!$A:$A,MATCH($I992,'Kode Outlet dan Target Toko'!$E:$E,0)),"")</f>
        <v>GRSM 5</v>
      </c>
      <c r="E992" s="20" t="str">
        <f>IFERROR(VLOOKUP(I992,KET!$B:$F,4,0),"")</f>
        <v>SUPRIYATI</v>
      </c>
      <c r="F992" s="20" t="str">
        <f>IFERROR(VLOOKUP(I992,KET!$B:$F,5,0),"")</f>
        <v>GMM</v>
      </c>
      <c r="G992" s="20">
        <f>IFERROR(INDEX('Kode Outlet dan Target Toko'!$C:$C,MATCH($I992,'Kode Outlet dan Target Toko'!$E:$E,0)),0)</f>
        <v>170220</v>
      </c>
      <c r="H992" s="20">
        <f>IFERROR(INDEX('Kode Outlet dan Target Toko'!$D:$D,MATCH($I992,'Kode Outlet dan Target Toko'!$E:$E,0)),0)</f>
        <v>9000015</v>
      </c>
      <c r="I992" s="50" t="s">
        <v>33</v>
      </c>
      <c r="J992" s="19" t="s">
        <v>260</v>
      </c>
      <c r="K992" s="54" t="s">
        <v>16</v>
      </c>
      <c r="L992" s="24">
        <v>3300</v>
      </c>
      <c r="M992" s="24">
        <v>255</v>
      </c>
      <c r="N992" s="25">
        <f t="shared" si="31"/>
        <v>841500</v>
      </c>
      <c r="O992" s="24">
        <v>50</v>
      </c>
    </row>
    <row r="993" spans="1:15" ht="15.75" hidden="1" customHeight="1" x14ac:dyDescent="0.3">
      <c r="A993" s="24">
        <v>27</v>
      </c>
      <c r="B993" s="20" t="str">
        <f t="shared" si="30"/>
        <v>JUL</v>
      </c>
      <c r="C993" s="21">
        <v>46206</v>
      </c>
      <c r="D993" s="22" t="str">
        <f t="array" ref="D993">IFERROR(INDEX('Kode Outlet dan Target Toko'!$A:$A,MATCH($I993,'Kode Outlet dan Target Toko'!$E:$E,0)),"")</f>
        <v>GRSM 5</v>
      </c>
      <c r="E993" s="20" t="str">
        <f>IFERROR(VLOOKUP(I993,KET!$B:$F,4,0),"")</f>
        <v>SUPRIYATI</v>
      </c>
      <c r="F993" s="20" t="str">
        <f>IFERROR(VLOOKUP(I993,KET!$B:$F,5,0),"")</f>
        <v>GMM</v>
      </c>
      <c r="G993" s="20">
        <f>IFERROR(INDEX('Kode Outlet dan Target Toko'!$C:$C,MATCH($I993,'Kode Outlet dan Target Toko'!$E:$E,0)),0)</f>
        <v>170220</v>
      </c>
      <c r="H993" s="20">
        <f>IFERROR(INDEX('Kode Outlet dan Target Toko'!$D:$D,MATCH($I993,'Kode Outlet dan Target Toko'!$E:$E,0)),0)</f>
        <v>9000015</v>
      </c>
      <c r="I993" s="50" t="s">
        <v>33</v>
      </c>
      <c r="J993" s="19" t="s">
        <v>261</v>
      </c>
      <c r="K993" s="54" t="s">
        <v>15</v>
      </c>
      <c r="L993" s="24">
        <v>3300</v>
      </c>
      <c r="M993" s="24">
        <v>63</v>
      </c>
      <c r="N993" s="25">
        <f t="shared" si="31"/>
        <v>207900</v>
      </c>
      <c r="O993" s="24"/>
    </row>
    <row r="994" spans="1:15" ht="15.75" hidden="1" customHeight="1" x14ac:dyDescent="0.3">
      <c r="A994" s="24">
        <v>27</v>
      </c>
      <c r="B994" s="20" t="str">
        <f t="shared" si="30"/>
        <v>JUL</v>
      </c>
      <c r="C994" s="21">
        <v>46206</v>
      </c>
      <c r="D994" s="22" t="str">
        <f t="array" ref="D994">IFERROR(INDEX('Kode Outlet dan Target Toko'!$A:$A,MATCH($I994,'Kode Outlet dan Target Toko'!$E:$E,0)),"")</f>
        <v>GRSM 5</v>
      </c>
      <c r="E994" s="20" t="str">
        <f>IFERROR(VLOOKUP(I994,KET!$B:$F,4,0),"")</f>
        <v>SUPRIYATI</v>
      </c>
      <c r="F994" s="20" t="str">
        <f>IFERROR(VLOOKUP(I994,KET!$B:$F,5,0),"")</f>
        <v>GMM</v>
      </c>
      <c r="G994" s="20">
        <f>IFERROR(INDEX('Kode Outlet dan Target Toko'!$C:$C,MATCH($I994,'Kode Outlet dan Target Toko'!$E:$E,0)),0)</f>
        <v>170220</v>
      </c>
      <c r="H994" s="20">
        <f>IFERROR(INDEX('Kode Outlet dan Target Toko'!$D:$D,MATCH($I994,'Kode Outlet dan Target Toko'!$E:$E,0)),0)</f>
        <v>9000015</v>
      </c>
      <c r="I994" s="50" t="s">
        <v>33</v>
      </c>
      <c r="J994" s="19" t="s">
        <v>261</v>
      </c>
      <c r="K994" s="54" t="s">
        <v>14</v>
      </c>
      <c r="L994" s="24">
        <v>3300</v>
      </c>
      <c r="M994" s="24">
        <v>85</v>
      </c>
      <c r="N994" s="25">
        <f t="shared" si="31"/>
        <v>280500</v>
      </c>
      <c r="O994" s="24"/>
    </row>
    <row r="995" spans="1:15" ht="15.75" hidden="1" customHeight="1" x14ac:dyDescent="0.3">
      <c r="A995" s="24">
        <v>27</v>
      </c>
      <c r="B995" s="20" t="str">
        <f t="shared" si="30"/>
        <v>JUL</v>
      </c>
      <c r="C995" s="21">
        <v>46206</v>
      </c>
      <c r="D995" s="22" t="str">
        <f t="array" ref="D995">IFERROR(INDEX('Kode Outlet dan Target Toko'!$A:$A,MATCH($I995,'Kode Outlet dan Target Toko'!$E:$E,0)),"")</f>
        <v>GRSM 5</v>
      </c>
      <c r="E995" s="20" t="str">
        <f>IFERROR(VLOOKUP(I995,KET!$B:$F,4,0),"")</f>
        <v>SUPRIYATI</v>
      </c>
      <c r="F995" s="20" t="str">
        <f>IFERROR(VLOOKUP(I995,KET!$B:$F,5,0),"")</f>
        <v>GMM</v>
      </c>
      <c r="G995" s="20">
        <f>IFERROR(INDEX('Kode Outlet dan Target Toko'!$C:$C,MATCH($I995,'Kode Outlet dan Target Toko'!$E:$E,0)),0)</f>
        <v>170220</v>
      </c>
      <c r="H995" s="20">
        <f>IFERROR(INDEX('Kode Outlet dan Target Toko'!$D:$D,MATCH($I995,'Kode Outlet dan Target Toko'!$E:$E,0)),0)</f>
        <v>9000015</v>
      </c>
      <c r="I995" s="50" t="s">
        <v>33</v>
      </c>
      <c r="J995" s="19" t="s">
        <v>261</v>
      </c>
      <c r="K995" s="54" t="s">
        <v>13</v>
      </c>
      <c r="L995" s="24">
        <v>3300</v>
      </c>
      <c r="M995" s="24">
        <v>34</v>
      </c>
      <c r="N995" s="25">
        <f t="shared" si="31"/>
        <v>112200</v>
      </c>
      <c r="O995" s="24">
        <v>50</v>
      </c>
    </row>
    <row r="996" spans="1:15" ht="15.75" hidden="1" customHeight="1" x14ac:dyDescent="0.3">
      <c r="A996" s="24">
        <v>27</v>
      </c>
      <c r="B996" s="20" t="str">
        <f t="shared" si="30"/>
        <v>JUL</v>
      </c>
      <c r="C996" s="21">
        <v>46207</v>
      </c>
      <c r="D996" s="22" t="str">
        <f t="array" ref="D996">IFERROR(INDEX('Kode Outlet dan Target Toko'!$A:$A,MATCH($I996,'Kode Outlet dan Target Toko'!$E:$E,0)),"")</f>
        <v>GRSM 5</v>
      </c>
      <c r="E996" s="20" t="str">
        <f>IFERROR(VLOOKUP(I996,KET!$B:$F,4,0),"")</f>
        <v>SUPRIYATI</v>
      </c>
      <c r="F996" s="20" t="str">
        <f>IFERROR(VLOOKUP(I996,KET!$B:$F,5,0),"")</f>
        <v>GMM</v>
      </c>
      <c r="G996" s="20">
        <f>IFERROR(INDEX('Kode Outlet dan Target Toko'!$C:$C,MATCH($I996,'Kode Outlet dan Target Toko'!$E:$E,0)),0)</f>
        <v>170220</v>
      </c>
      <c r="H996" s="20">
        <f>IFERROR(INDEX('Kode Outlet dan Target Toko'!$D:$D,MATCH($I996,'Kode Outlet dan Target Toko'!$E:$E,0)),0)</f>
        <v>9000015</v>
      </c>
      <c r="I996" s="50" t="s">
        <v>33</v>
      </c>
      <c r="J996" s="19" t="s">
        <v>261</v>
      </c>
      <c r="K996" s="54" t="s">
        <v>15</v>
      </c>
      <c r="L996" s="24">
        <v>3300</v>
      </c>
      <c r="M996" s="24">
        <v>128</v>
      </c>
      <c r="N996" s="25">
        <f t="shared" si="31"/>
        <v>422400</v>
      </c>
      <c r="O996" s="24"/>
    </row>
    <row r="997" spans="1:15" ht="15.75" hidden="1" customHeight="1" x14ac:dyDescent="0.3">
      <c r="A997" s="24">
        <v>27</v>
      </c>
      <c r="B997" s="20" t="str">
        <f t="shared" si="30"/>
        <v>JUL</v>
      </c>
      <c r="C997" s="21">
        <v>46207</v>
      </c>
      <c r="D997" s="22" t="str">
        <f t="array" ref="D997">IFERROR(INDEX('Kode Outlet dan Target Toko'!$A:$A,MATCH($I997,'Kode Outlet dan Target Toko'!$E:$E,0)),"")</f>
        <v>GRSM 5</v>
      </c>
      <c r="E997" s="20" t="str">
        <f>IFERROR(VLOOKUP(I997,KET!$B:$F,4,0),"")</f>
        <v>SUPRIYATI</v>
      </c>
      <c r="F997" s="20" t="str">
        <f>IFERROR(VLOOKUP(I997,KET!$B:$F,5,0),"")</f>
        <v>GMM</v>
      </c>
      <c r="G997" s="20">
        <f>IFERROR(INDEX('Kode Outlet dan Target Toko'!$C:$C,MATCH($I997,'Kode Outlet dan Target Toko'!$E:$E,0)),0)</f>
        <v>170220</v>
      </c>
      <c r="H997" s="20">
        <f>IFERROR(INDEX('Kode Outlet dan Target Toko'!$D:$D,MATCH($I997,'Kode Outlet dan Target Toko'!$E:$E,0)),0)</f>
        <v>9000015</v>
      </c>
      <c r="I997" s="50" t="s">
        <v>33</v>
      </c>
      <c r="J997" s="19" t="s">
        <v>261</v>
      </c>
      <c r="K997" s="54" t="s">
        <v>14</v>
      </c>
      <c r="L997" s="24">
        <v>3300</v>
      </c>
      <c r="M997" s="24">
        <v>62</v>
      </c>
      <c r="N997" s="25">
        <f t="shared" si="31"/>
        <v>204600</v>
      </c>
      <c r="O997" s="24"/>
    </row>
    <row r="998" spans="1:15" ht="15.75" hidden="1" customHeight="1" x14ac:dyDescent="0.3">
      <c r="A998" s="24">
        <v>27</v>
      </c>
      <c r="B998" s="20" t="str">
        <f t="shared" si="30"/>
        <v>JUL</v>
      </c>
      <c r="C998" s="21">
        <v>46207</v>
      </c>
      <c r="D998" s="22" t="str">
        <f t="array" ref="D998">IFERROR(INDEX('Kode Outlet dan Target Toko'!$A:$A,MATCH($I998,'Kode Outlet dan Target Toko'!$E:$E,0)),"")</f>
        <v>GRSM 5</v>
      </c>
      <c r="E998" s="20" t="str">
        <f>IFERROR(VLOOKUP(I998,KET!$B:$F,4,0),"")</f>
        <v>SUPRIYATI</v>
      </c>
      <c r="F998" s="20" t="str">
        <f>IFERROR(VLOOKUP(I998,KET!$B:$F,5,0),"")</f>
        <v>GMM</v>
      </c>
      <c r="G998" s="20">
        <f>IFERROR(INDEX('Kode Outlet dan Target Toko'!$C:$C,MATCH($I998,'Kode Outlet dan Target Toko'!$E:$E,0)),0)</f>
        <v>170220</v>
      </c>
      <c r="H998" s="20">
        <f>IFERROR(INDEX('Kode Outlet dan Target Toko'!$D:$D,MATCH($I998,'Kode Outlet dan Target Toko'!$E:$E,0)),0)</f>
        <v>9000015</v>
      </c>
      <c r="I998" s="50" t="s">
        <v>33</v>
      </c>
      <c r="J998" s="19" t="s">
        <v>261</v>
      </c>
      <c r="K998" s="54" t="s">
        <v>13</v>
      </c>
      <c r="L998" s="24">
        <v>3300</v>
      </c>
      <c r="M998" s="24">
        <v>34</v>
      </c>
      <c r="N998" s="25">
        <f t="shared" si="31"/>
        <v>112200</v>
      </c>
      <c r="O998" s="24"/>
    </row>
    <row r="999" spans="1:15" ht="15.75" hidden="1" customHeight="1" x14ac:dyDescent="0.3">
      <c r="A999" s="24">
        <v>27</v>
      </c>
      <c r="B999" s="20" t="str">
        <f t="shared" si="30"/>
        <v>JUL</v>
      </c>
      <c r="C999" s="21">
        <v>46207</v>
      </c>
      <c r="D999" s="22" t="str">
        <f t="array" ref="D999">IFERROR(INDEX('Kode Outlet dan Target Toko'!$A:$A,MATCH($I999,'Kode Outlet dan Target Toko'!$E:$E,0)),"")</f>
        <v>GRSM 5</v>
      </c>
      <c r="E999" s="20" t="str">
        <f>IFERROR(VLOOKUP(I999,KET!$B:$F,4,0),"")</f>
        <v>SUPRIYATI</v>
      </c>
      <c r="F999" s="20" t="str">
        <f>IFERROR(VLOOKUP(I999,KET!$B:$F,5,0),"")</f>
        <v>GMM</v>
      </c>
      <c r="G999" s="20">
        <f>IFERROR(INDEX('Kode Outlet dan Target Toko'!$C:$C,MATCH($I999,'Kode Outlet dan Target Toko'!$E:$E,0)),0)</f>
        <v>170220</v>
      </c>
      <c r="H999" s="20">
        <f>IFERROR(INDEX('Kode Outlet dan Target Toko'!$D:$D,MATCH($I999,'Kode Outlet dan Target Toko'!$E:$E,0)),0)</f>
        <v>9000015</v>
      </c>
      <c r="I999" s="50" t="s">
        <v>33</v>
      </c>
      <c r="J999" s="19" t="s">
        <v>261</v>
      </c>
      <c r="K999" s="54" t="s">
        <v>16</v>
      </c>
      <c r="L999" s="24">
        <v>3300</v>
      </c>
      <c r="M999" s="24">
        <v>58</v>
      </c>
      <c r="N999" s="25">
        <f t="shared" si="31"/>
        <v>191400</v>
      </c>
      <c r="O999" s="24">
        <v>50</v>
      </c>
    </row>
    <row r="1000" spans="1:15" ht="15.75" hidden="1" customHeight="1" x14ac:dyDescent="0.3">
      <c r="A1000" s="24">
        <v>27</v>
      </c>
      <c r="B1000" s="20" t="str">
        <f t="shared" si="30"/>
        <v>JUL</v>
      </c>
      <c r="C1000" s="21">
        <v>46208</v>
      </c>
      <c r="D1000" s="22" t="str">
        <f t="array" ref="D1000">IFERROR(INDEX('Kode Outlet dan Target Toko'!$A:$A,MATCH($I1000,'Kode Outlet dan Target Toko'!$E:$E,0)),"")</f>
        <v>GRSM 5</v>
      </c>
      <c r="E1000" s="20" t="str">
        <f>IFERROR(VLOOKUP(I1000,KET!$B:$F,4,0),"")</f>
        <v>SUPRIYATI</v>
      </c>
      <c r="F1000" s="20" t="str">
        <f>IFERROR(VLOOKUP(I1000,KET!$B:$F,5,0),"")</f>
        <v>GMM</v>
      </c>
      <c r="G1000" s="20">
        <f>IFERROR(INDEX('Kode Outlet dan Target Toko'!$C:$C,MATCH($I1000,'Kode Outlet dan Target Toko'!$E:$E,0)),0)</f>
        <v>170220</v>
      </c>
      <c r="H1000" s="20">
        <f>IFERROR(INDEX('Kode Outlet dan Target Toko'!$D:$D,MATCH($I1000,'Kode Outlet dan Target Toko'!$E:$E,0)),0)</f>
        <v>9000015</v>
      </c>
      <c r="I1000" s="50" t="s">
        <v>33</v>
      </c>
      <c r="J1000" s="19" t="s">
        <v>261</v>
      </c>
      <c r="K1000" s="54" t="s">
        <v>15</v>
      </c>
      <c r="L1000" s="24">
        <v>3300</v>
      </c>
      <c r="M1000" s="24">
        <v>127</v>
      </c>
      <c r="N1000" s="25">
        <f t="shared" si="31"/>
        <v>419100</v>
      </c>
      <c r="O1000" s="24"/>
    </row>
    <row r="1001" spans="1:15" ht="15.75" hidden="1" customHeight="1" x14ac:dyDescent="0.3">
      <c r="A1001" s="24">
        <v>27</v>
      </c>
      <c r="B1001" s="20" t="str">
        <f t="shared" si="30"/>
        <v>JUL</v>
      </c>
      <c r="C1001" s="21">
        <v>46208</v>
      </c>
      <c r="D1001" s="22" t="str">
        <f t="array" ref="D1001">IFERROR(INDEX('Kode Outlet dan Target Toko'!$A:$A,MATCH($I1001,'Kode Outlet dan Target Toko'!$E:$E,0)),"")</f>
        <v>GRSM 5</v>
      </c>
      <c r="E1001" s="20" t="str">
        <f>IFERROR(VLOOKUP(I1001,KET!$B:$F,4,0),"")</f>
        <v>SUPRIYATI</v>
      </c>
      <c r="F1001" s="20" t="str">
        <f>IFERROR(VLOOKUP(I1001,KET!$B:$F,5,0),"")</f>
        <v>GMM</v>
      </c>
      <c r="G1001" s="20">
        <f>IFERROR(INDEX('Kode Outlet dan Target Toko'!$C:$C,MATCH($I1001,'Kode Outlet dan Target Toko'!$E:$E,0)),0)</f>
        <v>170220</v>
      </c>
      <c r="H1001" s="20">
        <f>IFERROR(INDEX('Kode Outlet dan Target Toko'!$D:$D,MATCH($I1001,'Kode Outlet dan Target Toko'!$E:$E,0)),0)</f>
        <v>9000015</v>
      </c>
      <c r="I1001" s="50" t="s">
        <v>33</v>
      </c>
      <c r="J1001" s="19" t="s">
        <v>261</v>
      </c>
      <c r="K1001" s="54" t="s">
        <v>14</v>
      </c>
      <c r="L1001" s="24">
        <v>3300</v>
      </c>
      <c r="M1001" s="24">
        <v>78</v>
      </c>
      <c r="N1001" s="25">
        <f t="shared" si="31"/>
        <v>257400</v>
      </c>
      <c r="O1001" s="24"/>
    </row>
    <row r="1002" spans="1:15" ht="15.75" hidden="1" customHeight="1" x14ac:dyDescent="0.3">
      <c r="A1002" s="24">
        <v>27</v>
      </c>
      <c r="B1002" s="20" t="str">
        <f t="shared" si="30"/>
        <v>JUL</v>
      </c>
      <c r="C1002" s="21">
        <v>46208</v>
      </c>
      <c r="D1002" s="22" t="str">
        <f t="array" ref="D1002">IFERROR(INDEX('Kode Outlet dan Target Toko'!$A:$A,MATCH($I1002,'Kode Outlet dan Target Toko'!$E:$E,0)),"")</f>
        <v>GRSM 5</v>
      </c>
      <c r="E1002" s="20" t="str">
        <f>IFERROR(VLOOKUP(I1002,KET!$B:$F,4,0),"")</f>
        <v>SUPRIYATI</v>
      </c>
      <c r="F1002" s="20" t="str">
        <f>IFERROR(VLOOKUP(I1002,KET!$B:$F,5,0),"")</f>
        <v>GMM</v>
      </c>
      <c r="G1002" s="20">
        <f>IFERROR(INDEX('Kode Outlet dan Target Toko'!$C:$C,MATCH($I1002,'Kode Outlet dan Target Toko'!$E:$E,0)),0)</f>
        <v>170220</v>
      </c>
      <c r="H1002" s="20">
        <f>IFERROR(INDEX('Kode Outlet dan Target Toko'!$D:$D,MATCH($I1002,'Kode Outlet dan Target Toko'!$E:$E,0)),0)</f>
        <v>9000015</v>
      </c>
      <c r="I1002" s="50" t="s">
        <v>33</v>
      </c>
      <c r="J1002" s="19" t="s">
        <v>261</v>
      </c>
      <c r="K1002" s="54" t="s">
        <v>13</v>
      </c>
      <c r="L1002" s="24">
        <v>3300</v>
      </c>
      <c r="M1002" s="24">
        <v>44</v>
      </c>
      <c r="N1002" s="25">
        <f t="shared" si="31"/>
        <v>145200</v>
      </c>
      <c r="O1002" s="24"/>
    </row>
    <row r="1003" spans="1:15" ht="15.75" hidden="1" customHeight="1" x14ac:dyDescent="0.3">
      <c r="A1003" s="24">
        <v>27</v>
      </c>
      <c r="B1003" s="20" t="str">
        <f t="shared" si="30"/>
        <v>JUL</v>
      </c>
      <c r="C1003" s="21">
        <v>46208</v>
      </c>
      <c r="D1003" s="22" t="str">
        <f t="array" ref="D1003">IFERROR(INDEX('Kode Outlet dan Target Toko'!$A:$A,MATCH($I1003,'Kode Outlet dan Target Toko'!$E:$E,0)),"")</f>
        <v>GRSM 5</v>
      </c>
      <c r="E1003" s="20" t="str">
        <f>IFERROR(VLOOKUP(I1003,KET!$B:$F,4,0),"")</f>
        <v>SUPRIYATI</v>
      </c>
      <c r="F1003" s="20" t="str">
        <f>IFERROR(VLOOKUP(I1003,KET!$B:$F,5,0),"")</f>
        <v>GMM</v>
      </c>
      <c r="G1003" s="20">
        <f>IFERROR(INDEX('Kode Outlet dan Target Toko'!$C:$C,MATCH($I1003,'Kode Outlet dan Target Toko'!$E:$E,0)),0)</f>
        <v>170220</v>
      </c>
      <c r="H1003" s="20">
        <f>IFERROR(INDEX('Kode Outlet dan Target Toko'!$D:$D,MATCH($I1003,'Kode Outlet dan Target Toko'!$E:$E,0)),0)</f>
        <v>9000015</v>
      </c>
      <c r="I1003" s="50" t="s">
        <v>33</v>
      </c>
      <c r="J1003" s="37" t="s">
        <v>261</v>
      </c>
      <c r="K1003" s="55" t="s">
        <v>16</v>
      </c>
      <c r="L1003" s="38">
        <v>3300</v>
      </c>
      <c r="M1003" s="38">
        <v>255</v>
      </c>
      <c r="N1003" s="25">
        <f t="shared" si="31"/>
        <v>841500</v>
      </c>
      <c r="O1003" s="24">
        <v>50</v>
      </c>
    </row>
    <row r="1004" spans="1:15" hidden="1" x14ac:dyDescent="0.3">
      <c r="A1004" s="26">
        <v>26</v>
      </c>
      <c r="B1004" s="20" t="str">
        <f t="shared" si="30"/>
        <v>JUN</v>
      </c>
      <c r="C1004" s="21">
        <v>46195</v>
      </c>
      <c r="D1004" s="22" t="str">
        <f t="array" ref="D1004">IFERROR(INDEX('Kode Outlet dan Target Toko'!$A:$A,MATCH($I1004,'Kode Outlet dan Target Toko'!$E:$E,0)),"")</f>
        <v>GRSM 3A</v>
      </c>
      <c r="E1004" s="20" t="str">
        <f>IFERROR(VLOOKUP(I1004,KET!$B:$F,4,0),"")</f>
        <v>FAHMI LUKMANUL HAKIM</v>
      </c>
      <c r="F1004" s="20" t="str">
        <f>IFERROR(VLOOKUP(I1004,KET!$B:$F,5,0),"")</f>
        <v>GMM</v>
      </c>
      <c r="G1004" s="20">
        <f>IFERROR(INDEX('Kode Outlet dan Target Toko'!$C:$C,MATCH($I1004,'Kode Outlet dan Target Toko'!$E:$E,0)),0)</f>
        <v>103272</v>
      </c>
      <c r="H1004" s="20">
        <f>IFERROR(INDEX('Kode Outlet dan Target Toko'!$D:$D,MATCH($I1004,'Kode Outlet dan Target Toko'!$E:$E,0)),0)</f>
        <v>1178</v>
      </c>
      <c r="I1004" s="41" t="s">
        <v>22</v>
      </c>
      <c r="J1004" s="56" t="s">
        <v>254</v>
      </c>
      <c r="K1004" s="40" t="s">
        <v>15</v>
      </c>
      <c r="L1004" s="23">
        <v>3145</v>
      </c>
      <c r="M1004" s="26">
        <v>14</v>
      </c>
      <c r="N1004" s="25">
        <f t="shared" si="31"/>
        <v>44030</v>
      </c>
      <c r="O1004" s="26"/>
    </row>
    <row r="1005" spans="1:15" hidden="1" x14ac:dyDescent="0.3">
      <c r="A1005" s="26">
        <v>26</v>
      </c>
      <c r="B1005" s="20" t="str">
        <f t="shared" si="30"/>
        <v>JUN</v>
      </c>
      <c r="C1005" s="21">
        <v>46195</v>
      </c>
      <c r="D1005" s="22" t="str">
        <f t="array" ref="D1005">IFERROR(INDEX('Kode Outlet dan Target Toko'!$A:$A,MATCH($I1005,'Kode Outlet dan Target Toko'!$E:$E,0)),"")</f>
        <v>GRSM 3A</v>
      </c>
      <c r="E1005" s="20" t="str">
        <f>IFERROR(VLOOKUP(I1005,KET!$B:$F,4,0),"")</f>
        <v>FAHMI LUKMANUL HAKIM</v>
      </c>
      <c r="F1005" s="20" t="str">
        <f>IFERROR(VLOOKUP(I1005,KET!$B:$F,5,0),"")</f>
        <v>GMM</v>
      </c>
      <c r="G1005" s="20">
        <f>IFERROR(INDEX('Kode Outlet dan Target Toko'!$C:$C,MATCH($I1005,'Kode Outlet dan Target Toko'!$E:$E,0)),0)</f>
        <v>103272</v>
      </c>
      <c r="H1005" s="20">
        <f>IFERROR(INDEX('Kode Outlet dan Target Toko'!$D:$D,MATCH($I1005,'Kode Outlet dan Target Toko'!$E:$E,0)),0)</f>
        <v>1178</v>
      </c>
      <c r="I1005" s="41" t="s">
        <v>22</v>
      </c>
      <c r="J1005" s="56" t="s">
        <v>254</v>
      </c>
      <c r="K1005" s="40" t="s">
        <v>14</v>
      </c>
      <c r="L1005" s="23">
        <v>3145</v>
      </c>
      <c r="M1005" s="26">
        <v>20</v>
      </c>
      <c r="N1005" s="25">
        <f t="shared" si="31"/>
        <v>62900</v>
      </c>
      <c r="O1005" s="26"/>
    </row>
    <row r="1006" spans="1:15" hidden="1" x14ac:dyDescent="0.3">
      <c r="A1006" s="26">
        <v>26</v>
      </c>
      <c r="B1006" s="20" t="str">
        <f t="shared" si="30"/>
        <v>JUN</v>
      </c>
      <c r="C1006" s="21">
        <v>46195</v>
      </c>
      <c r="D1006" s="22" t="str">
        <f t="array" ref="D1006">IFERROR(INDEX('Kode Outlet dan Target Toko'!$A:$A,MATCH($I1006,'Kode Outlet dan Target Toko'!$E:$E,0)),"")</f>
        <v>GRSM 3A</v>
      </c>
      <c r="E1006" s="20" t="str">
        <f>IFERROR(VLOOKUP(I1006,KET!$B:$F,4,0),"")</f>
        <v>FAHMI LUKMANUL HAKIM</v>
      </c>
      <c r="F1006" s="20" t="str">
        <f>IFERROR(VLOOKUP(I1006,KET!$B:$F,5,0),"")</f>
        <v>GMM</v>
      </c>
      <c r="G1006" s="20">
        <f>IFERROR(INDEX('Kode Outlet dan Target Toko'!$C:$C,MATCH($I1006,'Kode Outlet dan Target Toko'!$E:$E,0)),0)</f>
        <v>103272</v>
      </c>
      <c r="H1006" s="20">
        <f>IFERROR(INDEX('Kode Outlet dan Target Toko'!$D:$D,MATCH($I1006,'Kode Outlet dan Target Toko'!$E:$E,0)),0)</f>
        <v>1178</v>
      </c>
      <c r="I1006" s="41" t="s">
        <v>22</v>
      </c>
      <c r="J1006" s="56" t="s">
        <v>254</v>
      </c>
      <c r="K1006" s="40" t="s">
        <v>13</v>
      </c>
      <c r="L1006" s="23">
        <v>3145</v>
      </c>
      <c r="M1006" s="26">
        <v>9</v>
      </c>
      <c r="N1006" s="25">
        <f t="shared" si="31"/>
        <v>28305</v>
      </c>
      <c r="O1006" s="26"/>
    </row>
    <row r="1007" spans="1:15" hidden="1" x14ac:dyDescent="0.3">
      <c r="A1007" s="26">
        <v>26</v>
      </c>
      <c r="B1007" s="20" t="str">
        <f t="shared" si="30"/>
        <v>JUN</v>
      </c>
      <c r="C1007" s="21">
        <v>46195</v>
      </c>
      <c r="D1007" s="22" t="str">
        <f t="array" ref="D1007">IFERROR(INDEX('Kode Outlet dan Target Toko'!$A:$A,MATCH($I1007,'Kode Outlet dan Target Toko'!$E:$E,0)),"")</f>
        <v>GRSM 3A</v>
      </c>
      <c r="E1007" s="20" t="str">
        <f>IFERROR(VLOOKUP(I1007,KET!$B:$F,4,0),"")</f>
        <v>FAHMI LUKMANUL HAKIM</v>
      </c>
      <c r="F1007" s="20" t="str">
        <f>IFERROR(VLOOKUP(I1007,KET!$B:$F,5,0),"")</f>
        <v>GMM</v>
      </c>
      <c r="G1007" s="20">
        <f>IFERROR(INDEX('Kode Outlet dan Target Toko'!$C:$C,MATCH($I1007,'Kode Outlet dan Target Toko'!$E:$E,0)),0)</f>
        <v>103272</v>
      </c>
      <c r="H1007" s="20">
        <f>IFERROR(INDEX('Kode Outlet dan Target Toko'!$D:$D,MATCH($I1007,'Kode Outlet dan Target Toko'!$E:$E,0)),0)</f>
        <v>1178</v>
      </c>
      <c r="I1007" s="41" t="s">
        <v>22</v>
      </c>
      <c r="J1007" s="56" t="s">
        <v>254</v>
      </c>
      <c r="K1007" s="40" t="s">
        <v>16</v>
      </c>
      <c r="L1007" s="23">
        <v>3145</v>
      </c>
      <c r="M1007" s="26">
        <v>42</v>
      </c>
      <c r="N1007" s="25">
        <f t="shared" si="31"/>
        <v>132090</v>
      </c>
      <c r="O1007" s="26">
        <v>100</v>
      </c>
    </row>
    <row r="1008" spans="1:15" hidden="1" x14ac:dyDescent="0.3">
      <c r="A1008" s="26">
        <v>26</v>
      </c>
      <c r="B1008" s="20" t="str">
        <f t="shared" si="30"/>
        <v>JUN</v>
      </c>
      <c r="C1008" s="21">
        <v>46195</v>
      </c>
      <c r="D1008" s="22" t="str">
        <f t="array" ref="D1008">IFERROR(INDEX('Kode Outlet dan Target Toko'!$A:$A,MATCH($I1008,'Kode Outlet dan Target Toko'!$E:$E,0)),"")</f>
        <v>GRSM 3A</v>
      </c>
      <c r="E1008" s="20" t="str">
        <f>IFERROR(VLOOKUP(I1008,KET!$B:$F,4,0),"")</f>
        <v>FAHMI LUKMANUL HAKIM</v>
      </c>
      <c r="F1008" s="20" t="str">
        <f>IFERROR(VLOOKUP(I1008,KET!$B:$F,5,0),"")</f>
        <v>GMM</v>
      </c>
      <c r="G1008" s="20">
        <f>IFERROR(INDEX('Kode Outlet dan Target Toko'!$C:$C,MATCH($I1008,'Kode Outlet dan Target Toko'!$E:$E,0)),0)</f>
        <v>103272</v>
      </c>
      <c r="H1008" s="20">
        <f>IFERROR(INDEX('Kode Outlet dan Target Toko'!$D:$D,MATCH($I1008,'Kode Outlet dan Target Toko'!$E:$E,0)),0)</f>
        <v>1178</v>
      </c>
      <c r="I1008" s="41" t="s">
        <v>22</v>
      </c>
      <c r="J1008" s="56" t="s">
        <v>259</v>
      </c>
      <c r="K1008" s="40" t="s">
        <v>15</v>
      </c>
      <c r="L1008" s="23">
        <v>3145</v>
      </c>
      <c r="M1008" s="26">
        <v>14</v>
      </c>
      <c r="N1008" s="25">
        <f t="shared" si="31"/>
        <v>44030</v>
      </c>
      <c r="O1008" s="26"/>
    </row>
    <row r="1009" spans="1:15" hidden="1" x14ac:dyDescent="0.3">
      <c r="A1009" s="26">
        <v>26</v>
      </c>
      <c r="B1009" s="20" t="str">
        <f t="shared" si="30"/>
        <v>JUN</v>
      </c>
      <c r="C1009" s="21">
        <v>46195</v>
      </c>
      <c r="D1009" s="22" t="str">
        <f t="array" ref="D1009">IFERROR(INDEX('Kode Outlet dan Target Toko'!$A:$A,MATCH($I1009,'Kode Outlet dan Target Toko'!$E:$E,0)),"")</f>
        <v>GRSM 3A</v>
      </c>
      <c r="E1009" s="20" t="str">
        <f>IFERROR(VLOOKUP(I1009,KET!$B:$F,4,0),"")</f>
        <v>FAHMI LUKMANUL HAKIM</v>
      </c>
      <c r="F1009" s="20" t="str">
        <f>IFERROR(VLOOKUP(I1009,KET!$B:$F,5,0),"")</f>
        <v>GMM</v>
      </c>
      <c r="G1009" s="20">
        <f>IFERROR(INDEX('Kode Outlet dan Target Toko'!$C:$C,MATCH($I1009,'Kode Outlet dan Target Toko'!$E:$E,0)),0)</f>
        <v>103272</v>
      </c>
      <c r="H1009" s="20">
        <f>IFERROR(INDEX('Kode Outlet dan Target Toko'!$D:$D,MATCH($I1009,'Kode Outlet dan Target Toko'!$E:$E,0)),0)</f>
        <v>1178</v>
      </c>
      <c r="I1009" s="41" t="s">
        <v>22</v>
      </c>
      <c r="J1009" s="56" t="s">
        <v>259</v>
      </c>
      <c r="K1009" s="40" t="s">
        <v>14</v>
      </c>
      <c r="L1009" s="23">
        <v>3145</v>
      </c>
      <c r="M1009" s="26">
        <v>20</v>
      </c>
      <c r="N1009" s="25">
        <f t="shared" si="31"/>
        <v>62900</v>
      </c>
      <c r="O1009" s="26"/>
    </row>
    <row r="1010" spans="1:15" hidden="1" x14ac:dyDescent="0.3">
      <c r="A1010" s="26">
        <v>26</v>
      </c>
      <c r="B1010" s="20" t="str">
        <f t="shared" si="30"/>
        <v>JUN</v>
      </c>
      <c r="C1010" s="21">
        <v>46195</v>
      </c>
      <c r="D1010" s="22" t="str">
        <f t="array" ref="D1010">IFERROR(INDEX('Kode Outlet dan Target Toko'!$A:$A,MATCH($I1010,'Kode Outlet dan Target Toko'!$E:$E,0)),"")</f>
        <v>GRSM 3A</v>
      </c>
      <c r="E1010" s="20" t="str">
        <f>IFERROR(VLOOKUP(I1010,KET!$B:$F,4,0),"")</f>
        <v>FAHMI LUKMANUL HAKIM</v>
      </c>
      <c r="F1010" s="20" t="str">
        <f>IFERROR(VLOOKUP(I1010,KET!$B:$F,5,0),"")</f>
        <v>GMM</v>
      </c>
      <c r="G1010" s="20">
        <f>IFERROR(INDEX('Kode Outlet dan Target Toko'!$C:$C,MATCH($I1010,'Kode Outlet dan Target Toko'!$E:$E,0)),0)</f>
        <v>103272</v>
      </c>
      <c r="H1010" s="20">
        <f>IFERROR(INDEX('Kode Outlet dan Target Toko'!$D:$D,MATCH($I1010,'Kode Outlet dan Target Toko'!$E:$E,0)),0)</f>
        <v>1178</v>
      </c>
      <c r="I1010" s="41" t="s">
        <v>22</v>
      </c>
      <c r="J1010" s="56" t="s">
        <v>259</v>
      </c>
      <c r="K1010" s="40" t="s">
        <v>13</v>
      </c>
      <c r="L1010" s="23">
        <v>3145</v>
      </c>
      <c r="M1010" s="26">
        <v>9</v>
      </c>
      <c r="N1010" s="25">
        <f t="shared" si="31"/>
        <v>28305</v>
      </c>
      <c r="O1010" s="26"/>
    </row>
    <row r="1011" spans="1:15" hidden="1" x14ac:dyDescent="0.3">
      <c r="A1011" s="26">
        <v>26</v>
      </c>
      <c r="B1011" s="20" t="str">
        <f t="shared" si="30"/>
        <v>JUN</v>
      </c>
      <c r="C1011" s="21">
        <v>46195</v>
      </c>
      <c r="D1011" s="22" t="str">
        <f t="array" ref="D1011">IFERROR(INDEX('Kode Outlet dan Target Toko'!$A:$A,MATCH($I1011,'Kode Outlet dan Target Toko'!$E:$E,0)),"")</f>
        <v>GRSM 3A</v>
      </c>
      <c r="E1011" s="20" t="str">
        <f>IFERROR(VLOOKUP(I1011,KET!$B:$F,4,0),"")</f>
        <v>FAHMI LUKMANUL HAKIM</v>
      </c>
      <c r="F1011" s="20" t="str">
        <f>IFERROR(VLOOKUP(I1011,KET!$B:$F,5,0),"")</f>
        <v>GMM</v>
      </c>
      <c r="G1011" s="20">
        <f>IFERROR(INDEX('Kode Outlet dan Target Toko'!$C:$C,MATCH($I1011,'Kode Outlet dan Target Toko'!$E:$E,0)),0)</f>
        <v>103272</v>
      </c>
      <c r="H1011" s="20">
        <f>IFERROR(INDEX('Kode Outlet dan Target Toko'!$D:$D,MATCH($I1011,'Kode Outlet dan Target Toko'!$E:$E,0)),0)</f>
        <v>1178</v>
      </c>
      <c r="I1011" s="41" t="s">
        <v>22</v>
      </c>
      <c r="J1011" s="56" t="s">
        <v>259</v>
      </c>
      <c r="K1011" s="40" t="s">
        <v>16</v>
      </c>
      <c r="L1011" s="23">
        <v>3145</v>
      </c>
      <c r="M1011" s="26">
        <v>42</v>
      </c>
      <c r="N1011" s="25">
        <f t="shared" si="31"/>
        <v>132090</v>
      </c>
      <c r="O1011" s="26">
        <v>100</v>
      </c>
    </row>
    <row r="1012" spans="1:15" hidden="1" x14ac:dyDescent="0.3">
      <c r="A1012" s="26">
        <v>27</v>
      </c>
      <c r="B1012" s="20" t="str">
        <f t="shared" si="30"/>
        <v>JUN</v>
      </c>
      <c r="C1012" s="21">
        <v>46202</v>
      </c>
      <c r="D1012" s="22" t="str">
        <f t="array" ref="D1012">IFERROR(INDEX('Kode Outlet dan Target Toko'!$A:$A,MATCH($I1012,'Kode Outlet dan Target Toko'!$E:$E,0)),"")</f>
        <v>GRSM 3A</v>
      </c>
      <c r="E1012" s="20" t="str">
        <f>IFERROR(VLOOKUP(I1012,KET!$B:$F,4,0),"")</f>
        <v>FAHMI LUKMANUL HAKIM</v>
      </c>
      <c r="F1012" s="20" t="str">
        <f>IFERROR(VLOOKUP(I1012,KET!$B:$F,5,0),"")</f>
        <v>GMM</v>
      </c>
      <c r="G1012" s="20">
        <f>IFERROR(INDEX('Kode Outlet dan Target Toko'!$C:$C,MATCH($I1012,'Kode Outlet dan Target Toko'!$E:$E,0)),0)</f>
        <v>103272</v>
      </c>
      <c r="H1012" s="20">
        <f>IFERROR(INDEX('Kode Outlet dan Target Toko'!$D:$D,MATCH($I1012,'Kode Outlet dan Target Toko'!$E:$E,0)),0)</f>
        <v>1178</v>
      </c>
      <c r="I1012" s="41" t="s">
        <v>22</v>
      </c>
      <c r="J1012" s="56" t="s">
        <v>254</v>
      </c>
      <c r="K1012" s="40" t="s">
        <v>15</v>
      </c>
      <c r="L1012" s="23">
        <v>3145</v>
      </c>
      <c r="M1012" s="26">
        <v>10</v>
      </c>
      <c r="N1012" s="25">
        <f t="shared" si="31"/>
        <v>31450</v>
      </c>
      <c r="O1012" s="26"/>
    </row>
    <row r="1013" spans="1:15" hidden="1" x14ac:dyDescent="0.3">
      <c r="A1013" s="26">
        <v>27</v>
      </c>
      <c r="B1013" s="20" t="str">
        <f t="shared" si="30"/>
        <v>JUN</v>
      </c>
      <c r="C1013" s="21">
        <v>46202</v>
      </c>
      <c r="D1013" s="22" t="str">
        <f t="array" ref="D1013">IFERROR(INDEX('Kode Outlet dan Target Toko'!$A:$A,MATCH($I1013,'Kode Outlet dan Target Toko'!$E:$E,0)),"")</f>
        <v>GRSM 3A</v>
      </c>
      <c r="E1013" s="20" t="str">
        <f>IFERROR(VLOOKUP(I1013,KET!$B:$F,4,0),"")</f>
        <v>FAHMI LUKMANUL HAKIM</v>
      </c>
      <c r="F1013" s="20" t="str">
        <f>IFERROR(VLOOKUP(I1013,KET!$B:$F,5,0),"")</f>
        <v>GMM</v>
      </c>
      <c r="G1013" s="20">
        <f>IFERROR(INDEX('Kode Outlet dan Target Toko'!$C:$C,MATCH($I1013,'Kode Outlet dan Target Toko'!$E:$E,0)),0)</f>
        <v>103272</v>
      </c>
      <c r="H1013" s="20">
        <f>IFERROR(INDEX('Kode Outlet dan Target Toko'!$D:$D,MATCH($I1013,'Kode Outlet dan Target Toko'!$E:$E,0)),0)</f>
        <v>1178</v>
      </c>
      <c r="I1013" s="41" t="s">
        <v>22</v>
      </c>
      <c r="J1013" s="56" t="s">
        <v>254</v>
      </c>
      <c r="K1013" s="40" t="s">
        <v>14</v>
      </c>
      <c r="L1013" s="23">
        <v>3145</v>
      </c>
      <c r="M1013" s="26">
        <v>40</v>
      </c>
      <c r="N1013" s="25">
        <f t="shared" si="31"/>
        <v>125800</v>
      </c>
      <c r="O1013" s="26"/>
    </row>
    <row r="1014" spans="1:15" hidden="1" x14ac:dyDescent="0.3">
      <c r="A1014" s="26">
        <v>27</v>
      </c>
      <c r="B1014" s="20" t="str">
        <f t="shared" si="30"/>
        <v>JUN</v>
      </c>
      <c r="C1014" s="21">
        <v>46202</v>
      </c>
      <c r="D1014" s="22" t="str">
        <f t="array" ref="D1014">IFERROR(INDEX('Kode Outlet dan Target Toko'!$A:$A,MATCH($I1014,'Kode Outlet dan Target Toko'!$E:$E,0)),"")</f>
        <v>GRSM 3A</v>
      </c>
      <c r="E1014" s="20" t="str">
        <f>IFERROR(VLOOKUP(I1014,KET!$B:$F,4,0),"")</f>
        <v>FAHMI LUKMANUL HAKIM</v>
      </c>
      <c r="F1014" s="20" t="str">
        <f>IFERROR(VLOOKUP(I1014,KET!$B:$F,5,0),"")</f>
        <v>GMM</v>
      </c>
      <c r="G1014" s="20">
        <f>IFERROR(INDEX('Kode Outlet dan Target Toko'!$C:$C,MATCH($I1014,'Kode Outlet dan Target Toko'!$E:$E,0)),0)</f>
        <v>103272</v>
      </c>
      <c r="H1014" s="20">
        <f>IFERROR(INDEX('Kode Outlet dan Target Toko'!$D:$D,MATCH($I1014,'Kode Outlet dan Target Toko'!$E:$E,0)),0)</f>
        <v>1178</v>
      </c>
      <c r="I1014" s="41" t="s">
        <v>22</v>
      </c>
      <c r="J1014" s="56" t="s">
        <v>254</v>
      </c>
      <c r="K1014" s="40" t="s">
        <v>13</v>
      </c>
      <c r="L1014" s="23">
        <v>3145</v>
      </c>
      <c r="M1014" s="26">
        <v>7</v>
      </c>
      <c r="N1014" s="25">
        <f t="shared" si="31"/>
        <v>22015</v>
      </c>
      <c r="O1014" s="26"/>
    </row>
    <row r="1015" spans="1:15" hidden="1" x14ac:dyDescent="0.3">
      <c r="A1015" s="26">
        <v>27</v>
      </c>
      <c r="B1015" s="20" t="str">
        <f t="shared" si="30"/>
        <v>JUN</v>
      </c>
      <c r="C1015" s="21">
        <v>46202</v>
      </c>
      <c r="D1015" s="22" t="str">
        <f t="array" ref="D1015">IFERROR(INDEX('Kode Outlet dan Target Toko'!$A:$A,MATCH($I1015,'Kode Outlet dan Target Toko'!$E:$E,0)),"")</f>
        <v>GRSM 3A</v>
      </c>
      <c r="E1015" s="20" t="str">
        <f>IFERROR(VLOOKUP(I1015,KET!$B:$F,4,0),"")</f>
        <v>FAHMI LUKMANUL HAKIM</v>
      </c>
      <c r="F1015" s="20" t="str">
        <f>IFERROR(VLOOKUP(I1015,KET!$B:$F,5,0),"")</f>
        <v>GMM</v>
      </c>
      <c r="G1015" s="20">
        <f>IFERROR(INDEX('Kode Outlet dan Target Toko'!$C:$C,MATCH($I1015,'Kode Outlet dan Target Toko'!$E:$E,0)),0)</f>
        <v>103272</v>
      </c>
      <c r="H1015" s="20">
        <f>IFERROR(INDEX('Kode Outlet dan Target Toko'!$D:$D,MATCH($I1015,'Kode Outlet dan Target Toko'!$E:$E,0)),0)</f>
        <v>1178</v>
      </c>
      <c r="I1015" s="41" t="s">
        <v>22</v>
      </c>
      <c r="J1015" s="56" t="s">
        <v>254</v>
      </c>
      <c r="K1015" s="40" t="s">
        <v>16</v>
      </c>
      <c r="L1015" s="23">
        <v>3145</v>
      </c>
      <c r="M1015" s="26">
        <v>43</v>
      </c>
      <c r="N1015" s="25">
        <f t="shared" si="31"/>
        <v>135235</v>
      </c>
      <c r="O1015" s="26">
        <v>100</v>
      </c>
    </row>
    <row r="1016" spans="1:15" hidden="1" x14ac:dyDescent="0.3">
      <c r="A1016" s="26">
        <v>27</v>
      </c>
      <c r="B1016" s="20" t="str">
        <f t="shared" si="30"/>
        <v>JUN</v>
      </c>
      <c r="C1016" s="21">
        <v>46202</v>
      </c>
      <c r="D1016" s="22" t="str">
        <f t="array" ref="D1016">IFERROR(INDEX('Kode Outlet dan Target Toko'!$A:$A,MATCH($I1016,'Kode Outlet dan Target Toko'!$E:$E,0)),"")</f>
        <v>GRSM 3A</v>
      </c>
      <c r="E1016" s="20" t="str">
        <f>IFERROR(VLOOKUP(I1016,KET!$B:$F,4,0),"")</f>
        <v>FAHMI LUKMANUL HAKIM</v>
      </c>
      <c r="F1016" s="20" t="str">
        <f>IFERROR(VLOOKUP(I1016,KET!$B:$F,5,0),"")</f>
        <v>GMM</v>
      </c>
      <c r="G1016" s="20">
        <f>IFERROR(INDEX('Kode Outlet dan Target Toko'!$C:$C,MATCH($I1016,'Kode Outlet dan Target Toko'!$E:$E,0)),0)</f>
        <v>103272</v>
      </c>
      <c r="H1016" s="20">
        <f>IFERROR(INDEX('Kode Outlet dan Target Toko'!$D:$D,MATCH($I1016,'Kode Outlet dan Target Toko'!$E:$E,0)),0)</f>
        <v>1178</v>
      </c>
      <c r="I1016" s="41" t="s">
        <v>22</v>
      </c>
      <c r="J1016" s="56" t="s">
        <v>259</v>
      </c>
      <c r="K1016" s="40" t="s">
        <v>15</v>
      </c>
      <c r="L1016" s="23">
        <v>3145</v>
      </c>
      <c r="M1016" s="26">
        <v>10</v>
      </c>
      <c r="N1016" s="25">
        <f t="shared" si="31"/>
        <v>31450</v>
      </c>
      <c r="O1016" s="26"/>
    </row>
    <row r="1017" spans="1:15" hidden="1" x14ac:dyDescent="0.3">
      <c r="A1017" s="26">
        <v>27</v>
      </c>
      <c r="B1017" s="20" t="str">
        <f t="shared" si="30"/>
        <v>JUN</v>
      </c>
      <c r="C1017" s="21">
        <v>46202</v>
      </c>
      <c r="D1017" s="22" t="str">
        <f t="array" ref="D1017">IFERROR(INDEX('Kode Outlet dan Target Toko'!$A:$A,MATCH($I1017,'Kode Outlet dan Target Toko'!$E:$E,0)),"")</f>
        <v>GRSM 3A</v>
      </c>
      <c r="E1017" s="20" t="str">
        <f>IFERROR(VLOOKUP(I1017,KET!$B:$F,4,0),"")</f>
        <v>FAHMI LUKMANUL HAKIM</v>
      </c>
      <c r="F1017" s="20" t="str">
        <f>IFERROR(VLOOKUP(I1017,KET!$B:$F,5,0),"")</f>
        <v>GMM</v>
      </c>
      <c r="G1017" s="20">
        <f>IFERROR(INDEX('Kode Outlet dan Target Toko'!$C:$C,MATCH($I1017,'Kode Outlet dan Target Toko'!$E:$E,0)),0)</f>
        <v>103272</v>
      </c>
      <c r="H1017" s="20">
        <f>IFERROR(INDEX('Kode Outlet dan Target Toko'!$D:$D,MATCH($I1017,'Kode Outlet dan Target Toko'!$E:$E,0)),0)</f>
        <v>1178</v>
      </c>
      <c r="I1017" s="41" t="s">
        <v>22</v>
      </c>
      <c r="J1017" s="56" t="s">
        <v>259</v>
      </c>
      <c r="K1017" s="40" t="s">
        <v>14</v>
      </c>
      <c r="L1017" s="23">
        <v>3145</v>
      </c>
      <c r="M1017" s="26">
        <v>40</v>
      </c>
      <c r="N1017" s="25">
        <f t="shared" si="31"/>
        <v>125800</v>
      </c>
      <c r="O1017" s="26"/>
    </row>
    <row r="1018" spans="1:15" hidden="1" x14ac:dyDescent="0.3">
      <c r="A1018" s="26">
        <v>27</v>
      </c>
      <c r="B1018" s="20" t="str">
        <f t="shared" si="30"/>
        <v>JUN</v>
      </c>
      <c r="C1018" s="21">
        <v>46202</v>
      </c>
      <c r="D1018" s="22" t="str">
        <f t="array" ref="D1018">IFERROR(INDEX('Kode Outlet dan Target Toko'!$A:$A,MATCH($I1018,'Kode Outlet dan Target Toko'!$E:$E,0)),"")</f>
        <v>GRSM 3A</v>
      </c>
      <c r="E1018" s="20" t="str">
        <f>IFERROR(VLOOKUP(I1018,KET!$B:$F,4,0),"")</f>
        <v>FAHMI LUKMANUL HAKIM</v>
      </c>
      <c r="F1018" s="20" t="str">
        <f>IFERROR(VLOOKUP(I1018,KET!$B:$F,5,0),"")</f>
        <v>GMM</v>
      </c>
      <c r="G1018" s="20">
        <f>IFERROR(INDEX('Kode Outlet dan Target Toko'!$C:$C,MATCH($I1018,'Kode Outlet dan Target Toko'!$E:$E,0)),0)</f>
        <v>103272</v>
      </c>
      <c r="H1018" s="20">
        <f>IFERROR(INDEX('Kode Outlet dan Target Toko'!$D:$D,MATCH($I1018,'Kode Outlet dan Target Toko'!$E:$E,0)),0)</f>
        <v>1178</v>
      </c>
      <c r="I1018" s="41" t="s">
        <v>22</v>
      </c>
      <c r="J1018" s="56" t="s">
        <v>259</v>
      </c>
      <c r="K1018" s="40" t="s">
        <v>13</v>
      </c>
      <c r="L1018" s="23">
        <v>3145</v>
      </c>
      <c r="M1018" s="26">
        <v>7</v>
      </c>
      <c r="N1018" s="25">
        <f t="shared" si="31"/>
        <v>22015</v>
      </c>
      <c r="O1018" s="26"/>
    </row>
    <row r="1019" spans="1:15" hidden="1" x14ac:dyDescent="0.3">
      <c r="A1019" s="26">
        <v>27</v>
      </c>
      <c r="B1019" s="20" t="str">
        <f t="shared" si="30"/>
        <v>JUN</v>
      </c>
      <c r="C1019" s="21">
        <v>46202</v>
      </c>
      <c r="D1019" s="22" t="str">
        <f t="array" ref="D1019">IFERROR(INDEX('Kode Outlet dan Target Toko'!$A:$A,MATCH($I1019,'Kode Outlet dan Target Toko'!$E:$E,0)),"")</f>
        <v>GRSM 3A</v>
      </c>
      <c r="E1019" s="20" t="str">
        <f>IFERROR(VLOOKUP(I1019,KET!$B:$F,4,0),"")</f>
        <v>FAHMI LUKMANUL HAKIM</v>
      </c>
      <c r="F1019" s="20" t="str">
        <f>IFERROR(VLOOKUP(I1019,KET!$B:$F,5,0),"")</f>
        <v>GMM</v>
      </c>
      <c r="G1019" s="20">
        <f>IFERROR(INDEX('Kode Outlet dan Target Toko'!$C:$C,MATCH($I1019,'Kode Outlet dan Target Toko'!$E:$E,0)),0)</f>
        <v>103272</v>
      </c>
      <c r="H1019" s="20">
        <f>IFERROR(INDEX('Kode Outlet dan Target Toko'!$D:$D,MATCH($I1019,'Kode Outlet dan Target Toko'!$E:$E,0)),0)</f>
        <v>1178</v>
      </c>
      <c r="I1019" s="41" t="s">
        <v>22</v>
      </c>
      <c r="J1019" s="56" t="s">
        <v>259</v>
      </c>
      <c r="K1019" s="40" t="s">
        <v>16</v>
      </c>
      <c r="L1019" s="23">
        <v>3145</v>
      </c>
      <c r="M1019" s="26">
        <v>43</v>
      </c>
      <c r="N1019" s="25">
        <f t="shared" si="31"/>
        <v>135235</v>
      </c>
      <c r="O1019" s="26">
        <v>100</v>
      </c>
    </row>
    <row r="1020" spans="1:15" hidden="1" x14ac:dyDescent="0.3">
      <c r="A1020" s="26">
        <v>27</v>
      </c>
      <c r="B1020" s="20" t="str">
        <f t="shared" si="30"/>
        <v>JUL</v>
      </c>
      <c r="C1020" s="21">
        <v>46206</v>
      </c>
      <c r="D1020" s="22" t="str">
        <f t="array" ref="D1020">IFERROR(INDEX('Kode Outlet dan Target Toko'!$A:$A,MATCH($I1020,'Kode Outlet dan Target Toko'!$E:$E,0)),"")</f>
        <v>GRSM 4</v>
      </c>
      <c r="E1020" s="20" t="str">
        <f>IFERROR(VLOOKUP(I1020,KET!$B:$F,4,0),"")</f>
        <v>FAHMI LUKMANUL HAKIM</v>
      </c>
      <c r="F1020" s="20" t="str">
        <f>IFERROR(VLOOKUP(I1020,KET!$B:$F,5,0),"")</f>
        <v>GMM</v>
      </c>
      <c r="G1020" s="20">
        <f>IFERROR(INDEX('Kode Outlet dan Target Toko'!$C:$C,MATCH($I1020,'Kode Outlet dan Target Toko'!$E:$E,0)),0)</f>
        <v>189901</v>
      </c>
      <c r="H1020" s="20">
        <f>IFERROR(INDEX('Kode Outlet dan Target Toko'!$D:$D,MATCH($I1020,'Kode Outlet dan Target Toko'!$E:$E,0)),0)</f>
        <v>1602018</v>
      </c>
      <c r="I1020" s="50" t="s">
        <v>34</v>
      </c>
      <c r="J1020" s="56" t="s">
        <v>186</v>
      </c>
      <c r="K1020" s="40" t="s">
        <v>15</v>
      </c>
      <c r="L1020" s="43">
        <v>3500</v>
      </c>
      <c r="M1020" s="26">
        <v>25</v>
      </c>
      <c r="N1020" s="25">
        <f t="shared" si="31"/>
        <v>87500</v>
      </c>
      <c r="O1020" s="26"/>
    </row>
    <row r="1021" spans="1:15" hidden="1" x14ac:dyDescent="0.3">
      <c r="A1021" s="26">
        <v>27</v>
      </c>
      <c r="B1021" s="20" t="str">
        <f t="shared" si="30"/>
        <v>JUL</v>
      </c>
      <c r="C1021" s="21">
        <v>46206</v>
      </c>
      <c r="D1021" s="22" t="str">
        <f t="array" ref="D1021">IFERROR(INDEX('Kode Outlet dan Target Toko'!$A:$A,MATCH($I1021,'Kode Outlet dan Target Toko'!$E:$E,0)),"")</f>
        <v>GRSM 4</v>
      </c>
      <c r="E1021" s="20" t="str">
        <f>IFERROR(VLOOKUP(I1021,KET!$B:$F,4,0),"")</f>
        <v>FAHMI LUKMANUL HAKIM</v>
      </c>
      <c r="F1021" s="20" t="str">
        <f>IFERROR(VLOOKUP(I1021,KET!$B:$F,5,0),"")</f>
        <v>GMM</v>
      </c>
      <c r="G1021" s="20">
        <f>IFERROR(INDEX('Kode Outlet dan Target Toko'!$C:$C,MATCH($I1021,'Kode Outlet dan Target Toko'!$E:$E,0)),0)</f>
        <v>189901</v>
      </c>
      <c r="H1021" s="20">
        <f>IFERROR(INDEX('Kode Outlet dan Target Toko'!$D:$D,MATCH($I1021,'Kode Outlet dan Target Toko'!$E:$E,0)),0)</f>
        <v>1602018</v>
      </c>
      <c r="I1021" s="50" t="s">
        <v>34</v>
      </c>
      <c r="J1021" s="56" t="s">
        <v>186</v>
      </c>
      <c r="K1021" s="40" t="s">
        <v>14</v>
      </c>
      <c r="L1021" s="43">
        <v>3500</v>
      </c>
      <c r="M1021" s="26">
        <v>25</v>
      </c>
      <c r="N1021" s="25">
        <f t="shared" si="31"/>
        <v>87500</v>
      </c>
      <c r="O1021" s="26"/>
    </row>
    <row r="1022" spans="1:15" hidden="1" x14ac:dyDescent="0.3">
      <c r="A1022" s="26">
        <v>27</v>
      </c>
      <c r="B1022" s="20" t="str">
        <f t="shared" si="30"/>
        <v>JUL</v>
      </c>
      <c r="C1022" s="21">
        <v>46206</v>
      </c>
      <c r="D1022" s="22" t="str">
        <f t="array" ref="D1022">IFERROR(INDEX('Kode Outlet dan Target Toko'!$A:$A,MATCH($I1022,'Kode Outlet dan Target Toko'!$E:$E,0)),"")</f>
        <v>GRSM 4</v>
      </c>
      <c r="E1022" s="20" t="str">
        <f>IFERROR(VLOOKUP(I1022,KET!$B:$F,4,0),"")</f>
        <v>FAHMI LUKMANUL HAKIM</v>
      </c>
      <c r="F1022" s="20" t="str">
        <f>IFERROR(VLOOKUP(I1022,KET!$B:$F,5,0),"")</f>
        <v>GMM</v>
      </c>
      <c r="G1022" s="20">
        <f>IFERROR(INDEX('Kode Outlet dan Target Toko'!$C:$C,MATCH($I1022,'Kode Outlet dan Target Toko'!$E:$E,0)),0)</f>
        <v>189901</v>
      </c>
      <c r="H1022" s="20">
        <f>IFERROR(INDEX('Kode Outlet dan Target Toko'!$D:$D,MATCH($I1022,'Kode Outlet dan Target Toko'!$E:$E,0)),0)</f>
        <v>1602018</v>
      </c>
      <c r="I1022" s="50" t="s">
        <v>34</v>
      </c>
      <c r="J1022" s="56" t="s">
        <v>186</v>
      </c>
      <c r="K1022" s="40" t="s">
        <v>13</v>
      </c>
      <c r="L1022" s="43">
        <v>3500</v>
      </c>
      <c r="M1022" s="26">
        <v>23</v>
      </c>
      <c r="N1022" s="25">
        <f t="shared" si="31"/>
        <v>80500</v>
      </c>
      <c r="O1022" s="26"/>
    </row>
    <row r="1023" spans="1:15" hidden="1" x14ac:dyDescent="0.3">
      <c r="A1023" s="26">
        <v>27</v>
      </c>
      <c r="B1023" s="20" t="str">
        <f t="shared" si="30"/>
        <v>JUL</v>
      </c>
      <c r="C1023" s="21">
        <v>46206</v>
      </c>
      <c r="D1023" s="22" t="str">
        <f t="array" ref="D1023">IFERROR(INDEX('Kode Outlet dan Target Toko'!$A:$A,MATCH($I1023,'Kode Outlet dan Target Toko'!$E:$E,0)),"")</f>
        <v>GRSM 4</v>
      </c>
      <c r="E1023" s="20" t="str">
        <f>IFERROR(VLOOKUP(I1023,KET!$B:$F,4,0),"")</f>
        <v>FAHMI LUKMANUL HAKIM</v>
      </c>
      <c r="F1023" s="20" t="str">
        <f>IFERROR(VLOOKUP(I1023,KET!$B:$F,5,0),"")</f>
        <v>GMM</v>
      </c>
      <c r="G1023" s="20">
        <f>IFERROR(INDEX('Kode Outlet dan Target Toko'!$C:$C,MATCH($I1023,'Kode Outlet dan Target Toko'!$E:$E,0)),0)</f>
        <v>189901</v>
      </c>
      <c r="H1023" s="20">
        <f>IFERROR(INDEX('Kode Outlet dan Target Toko'!$D:$D,MATCH($I1023,'Kode Outlet dan Target Toko'!$E:$E,0)),0)</f>
        <v>1602018</v>
      </c>
      <c r="I1023" s="50" t="s">
        <v>34</v>
      </c>
      <c r="J1023" s="56" t="s">
        <v>186</v>
      </c>
      <c r="K1023" s="40" t="s">
        <v>16</v>
      </c>
      <c r="L1023" s="43">
        <v>3500</v>
      </c>
      <c r="M1023" s="26">
        <v>40</v>
      </c>
      <c r="N1023" s="25">
        <f t="shared" si="31"/>
        <v>140000</v>
      </c>
      <c r="O1023" s="26">
        <v>160</v>
      </c>
    </row>
    <row r="1024" spans="1:15" hidden="1" x14ac:dyDescent="0.3">
      <c r="A1024" s="26">
        <v>27</v>
      </c>
      <c r="B1024" s="20" t="str">
        <f t="shared" si="30"/>
        <v>JUL</v>
      </c>
      <c r="C1024" s="21">
        <v>46207</v>
      </c>
      <c r="D1024" s="22" t="str">
        <f t="array" ref="D1024">IFERROR(INDEX('Kode Outlet dan Target Toko'!$A:$A,MATCH($I1024,'Kode Outlet dan Target Toko'!$E:$E,0)),"")</f>
        <v>GRSM 4</v>
      </c>
      <c r="E1024" s="20" t="str">
        <f>IFERROR(VLOOKUP(I1024,KET!$B:$F,4,0),"")</f>
        <v>FAHMI LUKMANUL HAKIM</v>
      </c>
      <c r="F1024" s="20" t="str">
        <f>IFERROR(VLOOKUP(I1024,KET!$B:$F,5,0),"")</f>
        <v>GMM</v>
      </c>
      <c r="G1024" s="20">
        <f>IFERROR(INDEX('Kode Outlet dan Target Toko'!$C:$C,MATCH($I1024,'Kode Outlet dan Target Toko'!$E:$E,0)),0)</f>
        <v>189901</v>
      </c>
      <c r="H1024" s="20">
        <f>IFERROR(INDEX('Kode Outlet dan Target Toko'!$D:$D,MATCH($I1024,'Kode Outlet dan Target Toko'!$E:$E,0)),0)</f>
        <v>1602018</v>
      </c>
      <c r="I1024" s="50" t="s">
        <v>34</v>
      </c>
      <c r="J1024" s="56" t="s">
        <v>186</v>
      </c>
      <c r="K1024" s="40" t="s">
        <v>15</v>
      </c>
      <c r="L1024" s="43">
        <v>3500</v>
      </c>
      <c r="M1024" s="26">
        <v>20</v>
      </c>
      <c r="N1024" s="25">
        <f t="shared" si="31"/>
        <v>70000</v>
      </c>
      <c r="O1024" s="26"/>
    </row>
    <row r="1025" spans="1:15" hidden="1" x14ac:dyDescent="0.3">
      <c r="A1025" s="26">
        <v>27</v>
      </c>
      <c r="B1025" s="20" t="str">
        <f t="shared" si="30"/>
        <v>JUL</v>
      </c>
      <c r="C1025" s="21">
        <v>46207</v>
      </c>
      <c r="D1025" s="22" t="str">
        <f t="array" ref="D1025">IFERROR(INDEX('Kode Outlet dan Target Toko'!$A:$A,MATCH($I1025,'Kode Outlet dan Target Toko'!$E:$E,0)),"")</f>
        <v>GRSM 4</v>
      </c>
      <c r="E1025" s="20" t="str">
        <f>IFERROR(VLOOKUP(I1025,KET!$B:$F,4,0),"")</f>
        <v>FAHMI LUKMANUL HAKIM</v>
      </c>
      <c r="F1025" s="20" t="str">
        <f>IFERROR(VLOOKUP(I1025,KET!$B:$F,5,0),"")</f>
        <v>GMM</v>
      </c>
      <c r="G1025" s="20">
        <f>IFERROR(INDEX('Kode Outlet dan Target Toko'!$C:$C,MATCH($I1025,'Kode Outlet dan Target Toko'!$E:$E,0)),0)</f>
        <v>189901</v>
      </c>
      <c r="H1025" s="20">
        <f>IFERROR(INDEX('Kode Outlet dan Target Toko'!$D:$D,MATCH($I1025,'Kode Outlet dan Target Toko'!$E:$E,0)),0)</f>
        <v>1602018</v>
      </c>
      <c r="I1025" s="50" t="s">
        <v>34</v>
      </c>
      <c r="J1025" s="56" t="s">
        <v>186</v>
      </c>
      <c r="K1025" s="40" t="s">
        <v>14</v>
      </c>
      <c r="L1025" s="43">
        <v>3500</v>
      </c>
      <c r="M1025" s="26">
        <v>25</v>
      </c>
      <c r="N1025" s="25">
        <f t="shared" si="31"/>
        <v>87500</v>
      </c>
      <c r="O1025" s="26"/>
    </row>
    <row r="1026" spans="1:15" hidden="1" x14ac:dyDescent="0.3">
      <c r="A1026" s="26">
        <v>27</v>
      </c>
      <c r="B1026" s="20" t="str">
        <f t="shared" si="30"/>
        <v>JUL</v>
      </c>
      <c r="C1026" s="21">
        <v>46207</v>
      </c>
      <c r="D1026" s="22" t="str">
        <f t="array" ref="D1026">IFERROR(INDEX('Kode Outlet dan Target Toko'!$A:$A,MATCH($I1026,'Kode Outlet dan Target Toko'!$E:$E,0)),"")</f>
        <v>GRSM 4</v>
      </c>
      <c r="E1026" s="20" t="str">
        <f>IFERROR(VLOOKUP(I1026,KET!$B:$F,4,0),"")</f>
        <v>FAHMI LUKMANUL HAKIM</v>
      </c>
      <c r="F1026" s="20" t="str">
        <f>IFERROR(VLOOKUP(I1026,KET!$B:$F,5,0),"")</f>
        <v>GMM</v>
      </c>
      <c r="G1026" s="20">
        <f>IFERROR(INDEX('Kode Outlet dan Target Toko'!$C:$C,MATCH($I1026,'Kode Outlet dan Target Toko'!$E:$E,0)),0)</f>
        <v>189901</v>
      </c>
      <c r="H1026" s="20">
        <f>IFERROR(INDEX('Kode Outlet dan Target Toko'!$D:$D,MATCH($I1026,'Kode Outlet dan Target Toko'!$E:$E,0)),0)</f>
        <v>1602018</v>
      </c>
      <c r="I1026" s="50" t="s">
        <v>34</v>
      </c>
      <c r="J1026" s="56" t="s">
        <v>186</v>
      </c>
      <c r="K1026" s="40" t="s">
        <v>13</v>
      </c>
      <c r="L1026" s="43">
        <v>3500</v>
      </c>
      <c r="M1026" s="26">
        <v>15</v>
      </c>
      <c r="N1026" s="25">
        <f t="shared" si="31"/>
        <v>52500</v>
      </c>
      <c r="O1026" s="26"/>
    </row>
    <row r="1027" spans="1:15" hidden="1" x14ac:dyDescent="0.3">
      <c r="A1027" s="26">
        <v>27</v>
      </c>
      <c r="B1027" s="20" t="str">
        <f t="shared" si="30"/>
        <v>JUL</v>
      </c>
      <c r="C1027" s="21">
        <v>46207</v>
      </c>
      <c r="D1027" s="22" t="str">
        <f t="array" ref="D1027">IFERROR(INDEX('Kode Outlet dan Target Toko'!$A:$A,MATCH($I1027,'Kode Outlet dan Target Toko'!$E:$E,0)),"")</f>
        <v>GRSM 4</v>
      </c>
      <c r="E1027" s="20" t="str">
        <f>IFERROR(VLOOKUP(I1027,KET!$B:$F,4,0),"")</f>
        <v>FAHMI LUKMANUL HAKIM</v>
      </c>
      <c r="F1027" s="20" t="str">
        <f>IFERROR(VLOOKUP(I1027,KET!$B:$F,5,0),"")</f>
        <v>GMM</v>
      </c>
      <c r="G1027" s="20">
        <f>IFERROR(INDEX('Kode Outlet dan Target Toko'!$C:$C,MATCH($I1027,'Kode Outlet dan Target Toko'!$E:$E,0)),0)</f>
        <v>189901</v>
      </c>
      <c r="H1027" s="20">
        <f>IFERROR(INDEX('Kode Outlet dan Target Toko'!$D:$D,MATCH($I1027,'Kode Outlet dan Target Toko'!$E:$E,0)),0)</f>
        <v>1602018</v>
      </c>
      <c r="I1027" s="50" t="s">
        <v>34</v>
      </c>
      <c r="J1027" s="56" t="s">
        <v>186</v>
      </c>
      <c r="K1027" s="40" t="s">
        <v>16</v>
      </c>
      <c r="L1027" s="43">
        <v>3500</v>
      </c>
      <c r="M1027" s="26">
        <v>40</v>
      </c>
      <c r="N1027" s="25">
        <f t="shared" si="31"/>
        <v>140000</v>
      </c>
      <c r="O1027" s="26">
        <v>160</v>
      </c>
    </row>
    <row r="1028" spans="1:15" hidden="1" x14ac:dyDescent="0.3">
      <c r="A1028" s="26">
        <v>27</v>
      </c>
      <c r="B1028" s="20" t="str">
        <f t="shared" si="30"/>
        <v>JUL</v>
      </c>
      <c r="C1028" s="21">
        <v>46207</v>
      </c>
      <c r="D1028" s="22" t="str">
        <f t="array" ref="D1028">IFERROR(INDEX('Kode Outlet dan Target Toko'!$A:$A,MATCH($I1028,'Kode Outlet dan Target Toko'!$E:$E,0)),"")</f>
        <v>GRSM 4</v>
      </c>
      <c r="E1028" s="20" t="str">
        <f>IFERROR(VLOOKUP(I1028,KET!$B:$F,4,0),"")</f>
        <v>FAHMI LUKMANUL HAKIM</v>
      </c>
      <c r="F1028" s="20" t="str">
        <f>IFERROR(VLOOKUP(I1028,KET!$B:$F,5,0),"")</f>
        <v>NKA</v>
      </c>
      <c r="G1028" s="20">
        <f>IFERROR(INDEX('Kode Outlet dan Target Toko'!$C:$C,MATCH($I1028,'Kode Outlet dan Target Toko'!$E:$E,0)),0)</f>
        <v>490034</v>
      </c>
      <c r="H1028" s="20">
        <f>IFERROR(INDEX('Kode Outlet dan Target Toko'!$D:$D,MATCH($I1028,'Kode Outlet dan Target Toko'!$E:$E,0)),0)</f>
        <v>209554</v>
      </c>
      <c r="I1028" s="42" t="s">
        <v>26</v>
      </c>
      <c r="J1028" s="27" t="s">
        <v>176</v>
      </c>
      <c r="K1028" s="40" t="s">
        <v>15</v>
      </c>
      <c r="L1028" s="43">
        <v>3275</v>
      </c>
      <c r="M1028" s="26">
        <v>43</v>
      </c>
      <c r="N1028" s="25">
        <f t="shared" si="31"/>
        <v>140825</v>
      </c>
      <c r="O1028" s="26"/>
    </row>
    <row r="1029" spans="1:15" hidden="1" x14ac:dyDescent="0.3">
      <c r="A1029" s="26">
        <v>27</v>
      </c>
      <c r="B1029" s="20" t="str">
        <f t="shared" si="30"/>
        <v>JUL</v>
      </c>
      <c r="C1029" s="21">
        <v>46207</v>
      </c>
      <c r="D1029" s="22" t="str">
        <f t="array" ref="D1029">IFERROR(INDEX('Kode Outlet dan Target Toko'!$A:$A,MATCH($I1029,'Kode Outlet dan Target Toko'!$E:$E,0)),"")</f>
        <v>GRSM 4</v>
      </c>
      <c r="E1029" s="20" t="str">
        <f>IFERROR(VLOOKUP(I1029,KET!$B:$F,4,0),"")</f>
        <v>FAHMI LUKMANUL HAKIM</v>
      </c>
      <c r="F1029" s="20" t="str">
        <f>IFERROR(VLOOKUP(I1029,KET!$B:$F,5,0),"")</f>
        <v>NKA</v>
      </c>
      <c r="G1029" s="20">
        <f>IFERROR(INDEX('Kode Outlet dan Target Toko'!$C:$C,MATCH($I1029,'Kode Outlet dan Target Toko'!$E:$E,0)),0)</f>
        <v>490034</v>
      </c>
      <c r="H1029" s="20">
        <f>IFERROR(INDEX('Kode Outlet dan Target Toko'!$D:$D,MATCH($I1029,'Kode Outlet dan Target Toko'!$E:$E,0)),0)</f>
        <v>209554</v>
      </c>
      <c r="I1029" s="42" t="s">
        <v>26</v>
      </c>
      <c r="J1029" s="27" t="s">
        <v>176</v>
      </c>
      <c r="K1029" s="40" t="s">
        <v>14</v>
      </c>
      <c r="L1029" s="43">
        <v>3275</v>
      </c>
      <c r="M1029" s="26">
        <v>31</v>
      </c>
      <c r="N1029" s="25">
        <f t="shared" si="31"/>
        <v>101525</v>
      </c>
      <c r="O1029" s="26"/>
    </row>
    <row r="1030" spans="1:15" hidden="1" x14ac:dyDescent="0.3">
      <c r="A1030" s="26">
        <v>27</v>
      </c>
      <c r="B1030" s="20" t="str">
        <f t="shared" si="30"/>
        <v>JUL</v>
      </c>
      <c r="C1030" s="21">
        <v>46207</v>
      </c>
      <c r="D1030" s="22" t="str">
        <f t="array" ref="D1030">IFERROR(INDEX('Kode Outlet dan Target Toko'!$A:$A,MATCH($I1030,'Kode Outlet dan Target Toko'!$E:$E,0)),"")</f>
        <v>GRSM 4</v>
      </c>
      <c r="E1030" s="20" t="str">
        <f>IFERROR(VLOOKUP(I1030,KET!$B:$F,4,0),"")</f>
        <v>FAHMI LUKMANUL HAKIM</v>
      </c>
      <c r="F1030" s="20" t="str">
        <f>IFERROR(VLOOKUP(I1030,KET!$B:$F,5,0),"")</f>
        <v>NKA</v>
      </c>
      <c r="G1030" s="20">
        <f>IFERROR(INDEX('Kode Outlet dan Target Toko'!$C:$C,MATCH($I1030,'Kode Outlet dan Target Toko'!$E:$E,0)),0)</f>
        <v>490034</v>
      </c>
      <c r="H1030" s="20">
        <f>IFERROR(INDEX('Kode Outlet dan Target Toko'!$D:$D,MATCH($I1030,'Kode Outlet dan Target Toko'!$E:$E,0)),0)</f>
        <v>209554</v>
      </c>
      <c r="I1030" s="42" t="s">
        <v>26</v>
      </c>
      <c r="J1030" s="27" t="s">
        <v>176</v>
      </c>
      <c r="K1030" s="40" t="s">
        <v>13</v>
      </c>
      <c r="L1030" s="43">
        <v>3275</v>
      </c>
      <c r="M1030" s="26">
        <v>16</v>
      </c>
      <c r="N1030" s="25">
        <f t="shared" si="31"/>
        <v>52400</v>
      </c>
      <c r="O1030" s="26"/>
    </row>
    <row r="1031" spans="1:15" hidden="1" x14ac:dyDescent="0.3">
      <c r="A1031" s="26">
        <v>27</v>
      </c>
      <c r="B1031" s="20" t="str">
        <f t="shared" ref="B1031:B1094" si="32">IF(C1031="","",UPPER(TEXT(C1031, "MMM")))</f>
        <v>JUL</v>
      </c>
      <c r="C1031" s="21">
        <v>46207</v>
      </c>
      <c r="D1031" s="22" t="str">
        <f t="array" ref="D1031">IFERROR(INDEX('Kode Outlet dan Target Toko'!$A:$A,MATCH($I1031,'Kode Outlet dan Target Toko'!$E:$E,0)),"")</f>
        <v>GRSM 4</v>
      </c>
      <c r="E1031" s="20" t="str">
        <f>IFERROR(VLOOKUP(I1031,KET!$B:$F,4,0),"")</f>
        <v>FAHMI LUKMANUL HAKIM</v>
      </c>
      <c r="F1031" s="20" t="str">
        <f>IFERROR(VLOOKUP(I1031,KET!$B:$F,5,0),"")</f>
        <v>NKA</v>
      </c>
      <c r="G1031" s="20">
        <f>IFERROR(INDEX('Kode Outlet dan Target Toko'!$C:$C,MATCH($I1031,'Kode Outlet dan Target Toko'!$E:$E,0)),0)</f>
        <v>490034</v>
      </c>
      <c r="H1031" s="20">
        <f>IFERROR(INDEX('Kode Outlet dan Target Toko'!$D:$D,MATCH($I1031,'Kode Outlet dan Target Toko'!$E:$E,0)),0)</f>
        <v>209554</v>
      </c>
      <c r="I1031" s="42" t="s">
        <v>26</v>
      </c>
      <c r="J1031" s="27" t="s">
        <v>176</v>
      </c>
      <c r="K1031" s="40" t="s">
        <v>16</v>
      </c>
      <c r="L1031" s="43">
        <v>3275</v>
      </c>
      <c r="M1031" s="26">
        <v>154</v>
      </c>
      <c r="N1031" s="25">
        <f t="shared" ref="N1031:N1094" si="33">IFERROR(M1031*L1031,"")</f>
        <v>504350</v>
      </c>
      <c r="O1031" s="26">
        <v>160</v>
      </c>
    </row>
    <row r="1032" spans="1:15" hidden="1" x14ac:dyDescent="0.3">
      <c r="A1032" s="24">
        <v>27</v>
      </c>
      <c r="B1032" s="20" t="str">
        <f t="shared" si="32"/>
        <v>JUL</v>
      </c>
      <c r="C1032" s="21">
        <v>46207</v>
      </c>
      <c r="D1032" s="22" t="str">
        <f t="array" ref="D1032">IFERROR(INDEX('Kode Outlet dan Target Toko'!$A:$A,MATCH($I1032,'Kode Outlet dan Target Toko'!$E:$E,0)),"")</f>
        <v>GRSM 4</v>
      </c>
      <c r="E1032" s="20" t="str">
        <f>IFERROR(VLOOKUP(I1032,KET!$B:$F,4,0),"")</f>
        <v>FAHMI LUKMANUL HAKIM</v>
      </c>
      <c r="F1032" s="20" t="str">
        <f>IFERROR(VLOOKUP(I1032,KET!$B:$F,5,0),"")</f>
        <v>GMM</v>
      </c>
      <c r="G1032" s="20">
        <f>IFERROR(INDEX('Kode Outlet dan Target Toko'!$C:$C,MATCH($I1032,'Kode Outlet dan Target Toko'!$E:$E,0)),0)</f>
        <v>103277</v>
      </c>
      <c r="H1032" s="20">
        <f>IFERROR(INDEX('Kode Outlet dan Target Toko'!$D:$D,MATCH($I1032,'Kode Outlet dan Target Toko'!$E:$E,0)),0)</f>
        <v>6300700</v>
      </c>
      <c r="I1032" s="50" t="s">
        <v>30</v>
      </c>
      <c r="J1032" s="56" t="s">
        <v>183</v>
      </c>
      <c r="K1032" s="54" t="s">
        <v>15</v>
      </c>
      <c r="L1032" s="24">
        <v>3000</v>
      </c>
      <c r="M1032" s="26">
        <v>45</v>
      </c>
      <c r="N1032" s="25">
        <f t="shared" si="33"/>
        <v>135000</v>
      </c>
      <c r="O1032" s="26"/>
    </row>
    <row r="1033" spans="1:15" hidden="1" x14ac:dyDescent="0.3">
      <c r="A1033" s="24">
        <v>27</v>
      </c>
      <c r="B1033" s="20" t="str">
        <f t="shared" si="32"/>
        <v>JUL</v>
      </c>
      <c r="C1033" s="21">
        <v>46207</v>
      </c>
      <c r="D1033" s="22" t="str">
        <f t="array" ref="D1033">IFERROR(INDEX('Kode Outlet dan Target Toko'!$A:$A,MATCH($I1033,'Kode Outlet dan Target Toko'!$E:$E,0)),"")</f>
        <v>GRSM 4</v>
      </c>
      <c r="E1033" s="20" t="str">
        <f>IFERROR(VLOOKUP(I1033,KET!$B:$F,4,0),"")</f>
        <v>FAHMI LUKMANUL HAKIM</v>
      </c>
      <c r="F1033" s="20" t="str">
        <f>IFERROR(VLOOKUP(I1033,KET!$B:$F,5,0),"")</f>
        <v>GMM</v>
      </c>
      <c r="G1033" s="20">
        <f>IFERROR(INDEX('Kode Outlet dan Target Toko'!$C:$C,MATCH($I1033,'Kode Outlet dan Target Toko'!$E:$E,0)),0)</f>
        <v>103277</v>
      </c>
      <c r="H1033" s="20">
        <f>IFERROR(INDEX('Kode Outlet dan Target Toko'!$D:$D,MATCH($I1033,'Kode Outlet dan Target Toko'!$E:$E,0)),0)</f>
        <v>6300700</v>
      </c>
      <c r="I1033" s="50" t="s">
        <v>30</v>
      </c>
      <c r="J1033" s="56" t="s">
        <v>183</v>
      </c>
      <c r="K1033" s="54" t="s">
        <v>14</v>
      </c>
      <c r="L1033" s="24">
        <v>3000</v>
      </c>
      <c r="M1033" s="26">
        <v>50</v>
      </c>
      <c r="N1033" s="25">
        <f t="shared" si="33"/>
        <v>150000</v>
      </c>
      <c r="O1033" s="26"/>
    </row>
    <row r="1034" spans="1:15" hidden="1" x14ac:dyDescent="0.3">
      <c r="A1034" s="24">
        <v>27</v>
      </c>
      <c r="B1034" s="20" t="str">
        <f t="shared" si="32"/>
        <v>JUL</v>
      </c>
      <c r="C1034" s="21">
        <v>46207</v>
      </c>
      <c r="D1034" s="22" t="str">
        <f t="array" ref="D1034">IFERROR(INDEX('Kode Outlet dan Target Toko'!$A:$A,MATCH($I1034,'Kode Outlet dan Target Toko'!$E:$E,0)),"")</f>
        <v>GRSM 4</v>
      </c>
      <c r="E1034" s="20" t="str">
        <f>IFERROR(VLOOKUP(I1034,KET!$B:$F,4,0),"")</f>
        <v>FAHMI LUKMANUL HAKIM</v>
      </c>
      <c r="F1034" s="20" t="str">
        <f>IFERROR(VLOOKUP(I1034,KET!$B:$F,5,0),"")</f>
        <v>GMM</v>
      </c>
      <c r="G1034" s="20">
        <f>IFERROR(INDEX('Kode Outlet dan Target Toko'!$C:$C,MATCH($I1034,'Kode Outlet dan Target Toko'!$E:$E,0)),0)</f>
        <v>103277</v>
      </c>
      <c r="H1034" s="20">
        <f>IFERROR(INDEX('Kode Outlet dan Target Toko'!$D:$D,MATCH($I1034,'Kode Outlet dan Target Toko'!$E:$E,0)),0)</f>
        <v>6300700</v>
      </c>
      <c r="I1034" s="50" t="s">
        <v>30</v>
      </c>
      <c r="J1034" s="56" t="s">
        <v>183</v>
      </c>
      <c r="K1034" s="54" t="s">
        <v>13</v>
      </c>
      <c r="L1034" s="24">
        <v>3000</v>
      </c>
      <c r="M1034" s="26">
        <v>35</v>
      </c>
      <c r="N1034" s="25">
        <f t="shared" si="33"/>
        <v>105000</v>
      </c>
      <c r="O1034" s="26"/>
    </row>
    <row r="1035" spans="1:15" hidden="1" x14ac:dyDescent="0.3">
      <c r="A1035" s="24">
        <v>27</v>
      </c>
      <c r="B1035" s="20" t="str">
        <f t="shared" si="32"/>
        <v>JUL</v>
      </c>
      <c r="C1035" s="21">
        <v>46207</v>
      </c>
      <c r="D1035" s="22" t="str">
        <f t="array" ref="D1035">IFERROR(INDEX('Kode Outlet dan Target Toko'!$A:$A,MATCH($I1035,'Kode Outlet dan Target Toko'!$E:$E,0)),"")</f>
        <v>GRSM 4</v>
      </c>
      <c r="E1035" s="20" t="str">
        <f>IFERROR(VLOOKUP(I1035,KET!$B:$F,4,0),"")</f>
        <v>FAHMI LUKMANUL HAKIM</v>
      </c>
      <c r="F1035" s="20" t="str">
        <f>IFERROR(VLOOKUP(I1035,KET!$B:$F,5,0),"")</f>
        <v>GMM</v>
      </c>
      <c r="G1035" s="20">
        <f>IFERROR(INDEX('Kode Outlet dan Target Toko'!$C:$C,MATCH($I1035,'Kode Outlet dan Target Toko'!$E:$E,0)),0)</f>
        <v>103277</v>
      </c>
      <c r="H1035" s="20">
        <f>IFERROR(INDEX('Kode Outlet dan Target Toko'!$D:$D,MATCH($I1035,'Kode Outlet dan Target Toko'!$E:$E,0)),0)</f>
        <v>6300700</v>
      </c>
      <c r="I1035" s="50" t="s">
        <v>30</v>
      </c>
      <c r="J1035" s="56" t="s">
        <v>183</v>
      </c>
      <c r="K1035" s="54" t="s">
        <v>16</v>
      </c>
      <c r="L1035" s="24">
        <v>3000</v>
      </c>
      <c r="M1035" s="26">
        <v>150</v>
      </c>
      <c r="N1035" s="25">
        <f t="shared" si="33"/>
        <v>450000</v>
      </c>
      <c r="O1035" s="26"/>
    </row>
    <row r="1036" spans="1:15" hidden="1" x14ac:dyDescent="0.3">
      <c r="A1036" s="24">
        <v>27</v>
      </c>
      <c r="B1036" s="20" t="str">
        <f t="shared" si="32"/>
        <v>JUL</v>
      </c>
      <c r="C1036" s="21">
        <v>46208</v>
      </c>
      <c r="D1036" s="22" t="str">
        <f t="array" ref="D1036">IFERROR(INDEX('Kode Outlet dan Target Toko'!$A:$A,MATCH($I1036,'Kode Outlet dan Target Toko'!$E:$E,0)),"")</f>
        <v>GRSM 4</v>
      </c>
      <c r="E1036" s="20" t="str">
        <f>IFERROR(VLOOKUP(I1036,KET!$B:$F,4,0),"")</f>
        <v>FAHMI LUKMANUL HAKIM</v>
      </c>
      <c r="F1036" s="20" t="str">
        <f>IFERROR(VLOOKUP(I1036,KET!$B:$F,5,0),"")</f>
        <v>GMM</v>
      </c>
      <c r="G1036" s="20">
        <f>IFERROR(INDEX('Kode Outlet dan Target Toko'!$C:$C,MATCH($I1036,'Kode Outlet dan Target Toko'!$E:$E,0)),0)</f>
        <v>103277</v>
      </c>
      <c r="H1036" s="20">
        <f>IFERROR(INDEX('Kode Outlet dan Target Toko'!$D:$D,MATCH($I1036,'Kode Outlet dan Target Toko'!$E:$E,0)),0)</f>
        <v>6300700</v>
      </c>
      <c r="I1036" s="50" t="s">
        <v>30</v>
      </c>
      <c r="J1036" s="56" t="s">
        <v>183</v>
      </c>
      <c r="K1036" s="40" t="s">
        <v>15</v>
      </c>
      <c r="L1036" s="24">
        <v>3000</v>
      </c>
      <c r="M1036" s="26">
        <v>69</v>
      </c>
      <c r="N1036" s="25">
        <f t="shared" si="33"/>
        <v>207000</v>
      </c>
      <c r="O1036" s="26"/>
    </row>
    <row r="1037" spans="1:15" hidden="1" x14ac:dyDescent="0.3">
      <c r="A1037" s="26">
        <v>27</v>
      </c>
      <c r="B1037" s="20" t="str">
        <f t="shared" si="32"/>
        <v>JUL</v>
      </c>
      <c r="C1037" s="21">
        <v>46208</v>
      </c>
      <c r="D1037" s="22" t="str">
        <f t="array" ref="D1037">IFERROR(INDEX('Kode Outlet dan Target Toko'!$A:$A,MATCH($I1037,'Kode Outlet dan Target Toko'!$E:$E,0)),"")</f>
        <v>GRSM 4</v>
      </c>
      <c r="E1037" s="20" t="str">
        <f>IFERROR(VLOOKUP(I1037,KET!$B:$F,4,0),"")</f>
        <v>FAHMI LUKMANUL HAKIM</v>
      </c>
      <c r="F1037" s="20" t="str">
        <f>IFERROR(VLOOKUP(I1037,KET!$B:$F,5,0),"")</f>
        <v>GMM</v>
      </c>
      <c r="G1037" s="20">
        <f>IFERROR(INDEX('Kode Outlet dan Target Toko'!$C:$C,MATCH($I1037,'Kode Outlet dan Target Toko'!$E:$E,0)),0)</f>
        <v>103277</v>
      </c>
      <c r="H1037" s="20">
        <f>IFERROR(INDEX('Kode Outlet dan Target Toko'!$D:$D,MATCH($I1037,'Kode Outlet dan Target Toko'!$E:$E,0)),0)</f>
        <v>6300700</v>
      </c>
      <c r="I1037" s="50" t="s">
        <v>30</v>
      </c>
      <c r="J1037" s="56" t="s">
        <v>183</v>
      </c>
      <c r="K1037" s="40" t="s">
        <v>14</v>
      </c>
      <c r="L1037" s="43">
        <v>3000</v>
      </c>
      <c r="M1037" s="26">
        <v>72</v>
      </c>
      <c r="N1037" s="25">
        <f t="shared" si="33"/>
        <v>216000</v>
      </c>
      <c r="O1037" s="26"/>
    </row>
    <row r="1038" spans="1:15" hidden="1" x14ac:dyDescent="0.3">
      <c r="A1038" s="26">
        <v>27</v>
      </c>
      <c r="B1038" s="20" t="str">
        <f t="shared" si="32"/>
        <v>JUL</v>
      </c>
      <c r="C1038" s="21">
        <v>46208</v>
      </c>
      <c r="D1038" s="22" t="str">
        <f t="array" ref="D1038">IFERROR(INDEX('Kode Outlet dan Target Toko'!$A:$A,MATCH($I1038,'Kode Outlet dan Target Toko'!$E:$E,0)),"")</f>
        <v>GRSM 4</v>
      </c>
      <c r="E1038" s="20" t="str">
        <f>IFERROR(VLOOKUP(I1038,KET!$B:$F,4,0),"")</f>
        <v>FAHMI LUKMANUL HAKIM</v>
      </c>
      <c r="F1038" s="20" t="str">
        <f>IFERROR(VLOOKUP(I1038,KET!$B:$F,5,0),"")</f>
        <v>GMM</v>
      </c>
      <c r="G1038" s="20">
        <f>IFERROR(INDEX('Kode Outlet dan Target Toko'!$C:$C,MATCH($I1038,'Kode Outlet dan Target Toko'!$E:$E,0)),0)</f>
        <v>103277</v>
      </c>
      <c r="H1038" s="20">
        <f>IFERROR(INDEX('Kode Outlet dan Target Toko'!$D:$D,MATCH($I1038,'Kode Outlet dan Target Toko'!$E:$E,0)),0)</f>
        <v>6300700</v>
      </c>
      <c r="I1038" s="50" t="s">
        <v>30</v>
      </c>
      <c r="J1038" s="56" t="s">
        <v>183</v>
      </c>
      <c r="K1038" s="40" t="s">
        <v>13</v>
      </c>
      <c r="L1038" s="43">
        <v>3000</v>
      </c>
      <c r="M1038" s="26">
        <v>70</v>
      </c>
      <c r="N1038" s="25">
        <f t="shared" si="33"/>
        <v>210000</v>
      </c>
      <c r="O1038" s="26"/>
    </row>
    <row r="1039" spans="1:15" hidden="1" x14ac:dyDescent="0.3">
      <c r="A1039" s="26">
        <v>27</v>
      </c>
      <c r="B1039" s="20" t="str">
        <f t="shared" si="32"/>
        <v>JUL</v>
      </c>
      <c r="C1039" s="21">
        <v>46208</v>
      </c>
      <c r="D1039" s="22" t="str">
        <f t="array" ref="D1039">IFERROR(INDEX('Kode Outlet dan Target Toko'!$A:$A,MATCH($I1039,'Kode Outlet dan Target Toko'!$E:$E,0)),"")</f>
        <v>GRSM 4</v>
      </c>
      <c r="E1039" s="20" t="str">
        <f>IFERROR(VLOOKUP(I1039,KET!$B:$F,4,0),"")</f>
        <v>FAHMI LUKMANUL HAKIM</v>
      </c>
      <c r="F1039" s="20" t="str">
        <f>IFERROR(VLOOKUP(I1039,KET!$B:$F,5,0),"")</f>
        <v>GMM</v>
      </c>
      <c r="G1039" s="20">
        <f>IFERROR(INDEX('Kode Outlet dan Target Toko'!$C:$C,MATCH($I1039,'Kode Outlet dan Target Toko'!$E:$E,0)),0)</f>
        <v>103277</v>
      </c>
      <c r="H1039" s="20">
        <f>IFERROR(INDEX('Kode Outlet dan Target Toko'!$D:$D,MATCH($I1039,'Kode Outlet dan Target Toko'!$E:$E,0)),0)</f>
        <v>6300700</v>
      </c>
      <c r="I1039" s="50" t="s">
        <v>30</v>
      </c>
      <c r="J1039" s="56" t="s">
        <v>183</v>
      </c>
      <c r="K1039" s="40" t="s">
        <v>16</v>
      </c>
      <c r="L1039" s="43">
        <v>3000</v>
      </c>
      <c r="M1039" s="26">
        <v>185</v>
      </c>
      <c r="N1039" s="25">
        <f t="shared" si="33"/>
        <v>555000</v>
      </c>
      <c r="O1039" s="26">
        <v>160</v>
      </c>
    </row>
    <row r="1040" spans="1:15" hidden="1" x14ac:dyDescent="0.3">
      <c r="A1040" s="26">
        <v>27</v>
      </c>
      <c r="B1040" s="20" t="str">
        <f t="shared" si="32"/>
        <v>JUL</v>
      </c>
      <c r="C1040" s="21">
        <v>46208</v>
      </c>
      <c r="D1040" s="22" t="str">
        <f t="array" ref="D1040">IFERROR(INDEX('Kode Outlet dan Target Toko'!$A:$A,MATCH($I1040,'Kode Outlet dan Target Toko'!$E:$E,0)),"")</f>
        <v>GRSM 4</v>
      </c>
      <c r="E1040" s="20" t="str">
        <f>IFERROR(VLOOKUP(I1040,KET!$B:$F,4,0),"")</f>
        <v>FAHMI LUKMANUL HAKIM</v>
      </c>
      <c r="F1040" s="20" t="str">
        <f>IFERROR(VLOOKUP(I1040,KET!$B:$F,5,0),"")</f>
        <v>NKA</v>
      </c>
      <c r="G1040" s="20">
        <f>IFERROR(INDEX('Kode Outlet dan Target Toko'!$C:$C,MATCH($I1040,'Kode Outlet dan Target Toko'!$E:$E,0)),0)</f>
        <v>490034</v>
      </c>
      <c r="H1040" s="20">
        <f>IFERROR(INDEX('Kode Outlet dan Target Toko'!$D:$D,MATCH($I1040,'Kode Outlet dan Target Toko'!$E:$E,0)),0)</f>
        <v>209554</v>
      </c>
      <c r="I1040" s="42" t="s">
        <v>26</v>
      </c>
      <c r="J1040" s="27" t="s">
        <v>176</v>
      </c>
      <c r="K1040" s="40" t="s">
        <v>15</v>
      </c>
      <c r="L1040" s="43">
        <v>3275</v>
      </c>
      <c r="M1040" s="26">
        <v>52</v>
      </c>
      <c r="N1040" s="25">
        <f t="shared" si="33"/>
        <v>170300</v>
      </c>
      <c r="O1040" s="26"/>
    </row>
    <row r="1041" spans="1:15" hidden="1" x14ac:dyDescent="0.3">
      <c r="A1041" s="26">
        <v>27</v>
      </c>
      <c r="B1041" s="20" t="str">
        <f t="shared" si="32"/>
        <v>JUL</v>
      </c>
      <c r="C1041" s="21">
        <v>46208</v>
      </c>
      <c r="D1041" s="22" t="str">
        <f t="array" ref="D1041">IFERROR(INDEX('Kode Outlet dan Target Toko'!$A:$A,MATCH($I1041,'Kode Outlet dan Target Toko'!$E:$E,0)),"")</f>
        <v>GRSM 4</v>
      </c>
      <c r="E1041" s="20" t="str">
        <f>IFERROR(VLOOKUP(I1041,KET!$B:$F,4,0),"")</f>
        <v>FAHMI LUKMANUL HAKIM</v>
      </c>
      <c r="F1041" s="20" t="str">
        <f>IFERROR(VLOOKUP(I1041,KET!$B:$F,5,0),"")</f>
        <v>NKA</v>
      </c>
      <c r="G1041" s="20">
        <f>IFERROR(INDEX('Kode Outlet dan Target Toko'!$C:$C,MATCH($I1041,'Kode Outlet dan Target Toko'!$E:$E,0)),0)</f>
        <v>490034</v>
      </c>
      <c r="H1041" s="20">
        <f>IFERROR(INDEX('Kode Outlet dan Target Toko'!$D:$D,MATCH($I1041,'Kode Outlet dan Target Toko'!$E:$E,0)),0)</f>
        <v>209554</v>
      </c>
      <c r="I1041" s="42" t="s">
        <v>26</v>
      </c>
      <c r="J1041" s="27" t="s">
        <v>176</v>
      </c>
      <c r="K1041" s="40" t="s">
        <v>14</v>
      </c>
      <c r="L1041" s="43">
        <v>3275</v>
      </c>
      <c r="M1041" s="26">
        <v>58</v>
      </c>
      <c r="N1041" s="25">
        <f t="shared" si="33"/>
        <v>189950</v>
      </c>
      <c r="O1041" s="26"/>
    </row>
    <row r="1042" spans="1:15" hidden="1" x14ac:dyDescent="0.3">
      <c r="A1042" s="26">
        <v>27</v>
      </c>
      <c r="B1042" s="20" t="str">
        <f t="shared" si="32"/>
        <v>JUL</v>
      </c>
      <c r="C1042" s="21">
        <v>46208</v>
      </c>
      <c r="D1042" s="22" t="str">
        <f t="array" ref="D1042">IFERROR(INDEX('Kode Outlet dan Target Toko'!$A:$A,MATCH($I1042,'Kode Outlet dan Target Toko'!$E:$E,0)),"")</f>
        <v>GRSM 4</v>
      </c>
      <c r="E1042" s="20" t="str">
        <f>IFERROR(VLOOKUP(I1042,KET!$B:$F,4,0),"")</f>
        <v>FAHMI LUKMANUL HAKIM</v>
      </c>
      <c r="F1042" s="20" t="str">
        <f>IFERROR(VLOOKUP(I1042,KET!$B:$F,5,0),"")</f>
        <v>NKA</v>
      </c>
      <c r="G1042" s="20">
        <f>IFERROR(INDEX('Kode Outlet dan Target Toko'!$C:$C,MATCH($I1042,'Kode Outlet dan Target Toko'!$E:$E,0)),0)</f>
        <v>490034</v>
      </c>
      <c r="H1042" s="20">
        <f>IFERROR(INDEX('Kode Outlet dan Target Toko'!$D:$D,MATCH($I1042,'Kode Outlet dan Target Toko'!$E:$E,0)),0)</f>
        <v>209554</v>
      </c>
      <c r="I1042" s="42" t="s">
        <v>26</v>
      </c>
      <c r="J1042" s="27" t="s">
        <v>176</v>
      </c>
      <c r="K1042" s="40" t="s">
        <v>13</v>
      </c>
      <c r="L1042" s="43">
        <v>3275</v>
      </c>
      <c r="M1042" s="26">
        <v>37</v>
      </c>
      <c r="N1042" s="25">
        <f t="shared" si="33"/>
        <v>121175</v>
      </c>
      <c r="O1042" s="26"/>
    </row>
    <row r="1043" spans="1:15" hidden="1" x14ac:dyDescent="0.3">
      <c r="A1043" s="26">
        <v>27</v>
      </c>
      <c r="B1043" s="20" t="str">
        <f t="shared" si="32"/>
        <v>JUL</v>
      </c>
      <c r="C1043" s="21">
        <v>46208</v>
      </c>
      <c r="D1043" s="22" t="str">
        <f t="array" ref="D1043">IFERROR(INDEX('Kode Outlet dan Target Toko'!$A:$A,MATCH($I1043,'Kode Outlet dan Target Toko'!$E:$E,0)),"")</f>
        <v>GRSM 4</v>
      </c>
      <c r="E1043" s="20" t="str">
        <f>IFERROR(VLOOKUP(I1043,KET!$B:$F,4,0),"")</f>
        <v>FAHMI LUKMANUL HAKIM</v>
      </c>
      <c r="F1043" s="20" t="str">
        <f>IFERROR(VLOOKUP(I1043,KET!$B:$F,5,0),"")</f>
        <v>NKA</v>
      </c>
      <c r="G1043" s="20">
        <f>IFERROR(INDEX('Kode Outlet dan Target Toko'!$C:$C,MATCH($I1043,'Kode Outlet dan Target Toko'!$E:$E,0)),0)</f>
        <v>490034</v>
      </c>
      <c r="H1043" s="20">
        <f>IFERROR(INDEX('Kode Outlet dan Target Toko'!$D:$D,MATCH($I1043,'Kode Outlet dan Target Toko'!$E:$E,0)),0)</f>
        <v>209554</v>
      </c>
      <c r="I1043" s="42" t="s">
        <v>26</v>
      </c>
      <c r="J1043" s="27" t="s">
        <v>176</v>
      </c>
      <c r="K1043" s="40" t="s">
        <v>16</v>
      </c>
      <c r="L1043" s="43">
        <v>3275</v>
      </c>
      <c r="M1043" s="26">
        <v>119</v>
      </c>
      <c r="N1043" s="25">
        <f t="shared" si="33"/>
        <v>389725</v>
      </c>
      <c r="O1043" s="26">
        <v>160</v>
      </c>
    </row>
    <row r="1044" spans="1:15" hidden="1" x14ac:dyDescent="0.3">
      <c r="A1044" s="26">
        <v>27</v>
      </c>
      <c r="B1044" s="20" t="str">
        <f t="shared" si="32"/>
        <v>JUL</v>
      </c>
      <c r="C1044" s="21">
        <v>46208</v>
      </c>
      <c r="D1044" s="22" t="str">
        <f t="array" ref="D1044">IFERROR(INDEX('Kode Outlet dan Target Toko'!$A:$A,MATCH($I1044,'Kode Outlet dan Target Toko'!$E:$E,0)),"")</f>
        <v>GRSM 4</v>
      </c>
      <c r="E1044" s="20" t="str">
        <f>IFERROR(VLOOKUP(I1044,KET!$B:$F,4,0),"")</f>
        <v>FAHMI LUKMANUL HAKIM</v>
      </c>
      <c r="F1044" s="20" t="str">
        <f>IFERROR(VLOOKUP(I1044,KET!$B:$F,5,0),"")</f>
        <v>NKA</v>
      </c>
      <c r="G1044" s="20">
        <f>IFERROR(INDEX('Kode Outlet dan Target Toko'!$C:$C,MATCH($I1044,'Kode Outlet dan Target Toko'!$E:$E,0)),0)</f>
        <v>490034</v>
      </c>
      <c r="H1044" s="20">
        <f>IFERROR(INDEX('Kode Outlet dan Target Toko'!$D:$D,MATCH($I1044,'Kode Outlet dan Target Toko'!$E:$E,0)),0)</f>
        <v>209554</v>
      </c>
      <c r="I1044" s="42" t="s">
        <v>26</v>
      </c>
      <c r="J1044" s="56" t="s">
        <v>177</v>
      </c>
      <c r="K1044" s="40" t="s">
        <v>15</v>
      </c>
      <c r="L1044" s="43">
        <v>3275</v>
      </c>
      <c r="M1044" s="26">
        <v>52</v>
      </c>
      <c r="N1044" s="25">
        <f t="shared" si="33"/>
        <v>170300</v>
      </c>
      <c r="O1044" s="26"/>
    </row>
    <row r="1045" spans="1:15" hidden="1" x14ac:dyDescent="0.3">
      <c r="A1045" s="26">
        <v>27</v>
      </c>
      <c r="B1045" s="20" t="str">
        <f t="shared" si="32"/>
        <v>JUL</v>
      </c>
      <c r="C1045" s="21">
        <v>46208</v>
      </c>
      <c r="D1045" s="22" t="str">
        <f t="array" ref="D1045">IFERROR(INDEX('Kode Outlet dan Target Toko'!$A:$A,MATCH($I1045,'Kode Outlet dan Target Toko'!$E:$E,0)),"")</f>
        <v>GRSM 4</v>
      </c>
      <c r="E1045" s="20" t="str">
        <f>IFERROR(VLOOKUP(I1045,KET!$B:$F,4,0),"")</f>
        <v>FAHMI LUKMANUL HAKIM</v>
      </c>
      <c r="F1045" s="20" t="str">
        <f>IFERROR(VLOOKUP(I1045,KET!$B:$F,5,0),"")</f>
        <v>NKA</v>
      </c>
      <c r="G1045" s="20">
        <f>IFERROR(INDEX('Kode Outlet dan Target Toko'!$C:$C,MATCH($I1045,'Kode Outlet dan Target Toko'!$E:$E,0)),0)</f>
        <v>490034</v>
      </c>
      <c r="H1045" s="20">
        <f>IFERROR(INDEX('Kode Outlet dan Target Toko'!$D:$D,MATCH($I1045,'Kode Outlet dan Target Toko'!$E:$E,0)),0)</f>
        <v>209554</v>
      </c>
      <c r="I1045" s="42" t="s">
        <v>26</v>
      </c>
      <c r="J1045" s="56" t="s">
        <v>177</v>
      </c>
      <c r="K1045" s="40" t="s">
        <v>14</v>
      </c>
      <c r="L1045" s="43">
        <v>3275</v>
      </c>
      <c r="M1045" s="26">
        <v>58</v>
      </c>
      <c r="N1045" s="25">
        <f t="shared" si="33"/>
        <v>189950</v>
      </c>
      <c r="O1045" s="26"/>
    </row>
    <row r="1046" spans="1:15" hidden="1" x14ac:dyDescent="0.3">
      <c r="A1046" s="26">
        <v>27</v>
      </c>
      <c r="B1046" s="20" t="str">
        <f t="shared" si="32"/>
        <v>JUL</v>
      </c>
      <c r="C1046" s="21">
        <v>46208</v>
      </c>
      <c r="D1046" s="22" t="str">
        <f t="array" ref="D1046">IFERROR(INDEX('Kode Outlet dan Target Toko'!$A:$A,MATCH($I1046,'Kode Outlet dan Target Toko'!$E:$E,0)),"")</f>
        <v>GRSM 4</v>
      </c>
      <c r="E1046" s="20" t="str">
        <f>IFERROR(VLOOKUP(I1046,KET!$B:$F,4,0),"")</f>
        <v>FAHMI LUKMANUL HAKIM</v>
      </c>
      <c r="F1046" s="20" t="str">
        <f>IFERROR(VLOOKUP(I1046,KET!$B:$F,5,0),"")</f>
        <v>NKA</v>
      </c>
      <c r="G1046" s="20">
        <f>IFERROR(INDEX('Kode Outlet dan Target Toko'!$C:$C,MATCH($I1046,'Kode Outlet dan Target Toko'!$E:$E,0)),0)</f>
        <v>490034</v>
      </c>
      <c r="H1046" s="20">
        <f>IFERROR(INDEX('Kode Outlet dan Target Toko'!$D:$D,MATCH($I1046,'Kode Outlet dan Target Toko'!$E:$E,0)),0)</f>
        <v>209554</v>
      </c>
      <c r="I1046" s="42" t="s">
        <v>26</v>
      </c>
      <c r="J1046" s="56" t="s">
        <v>177</v>
      </c>
      <c r="K1046" s="40" t="s">
        <v>13</v>
      </c>
      <c r="L1046" s="43">
        <v>3275</v>
      </c>
      <c r="M1046" s="26">
        <v>37</v>
      </c>
      <c r="N1046" s="25">
        <f t="shared" si="33"/>
        <v>121175</v>
      </c>
      <c r="O1046" s="26"/>
    </row>
    <row r="1047" spans="1:15" hidden="1" x14ac:dyDescent="0.3">
      <c r="A1047" s="26">
        <v>27</v>
      </c>
      <c r="B1047" s="20" t="str">
        <f t="shared" si="32"/>
        <v>JUL</v>
      </c>
      <c r="C1047" s="21">
        <v>46208</v>
      </c>
      <c r="D1047" s="22" t="str">
        <f t="array" ref="D1047">IFERROR(INDEX('Kode Outlet dan Target Toko'!$A:$A,MATCH($I1047,'Kode Outlet dan Target Toko'!$E:$E,0)),"")</f>
        <v>GRSM 4</v>
      </c>
      <c r="E1047" s="20" t="str">
        <f>IFERROR(VLOOKUP(I1047,KET!$B:$F,4,0),"")</f>
        <v>FAHMI LUKMANUL HAKIM</v>
      </c>
      <c r="F1047" s="20" t="str">
        <f>IFERROR(VLOOKUP(I1047,KET!$B:$F,5,0),"")</f>
        <v>NKA</v>
      </c>
      <c r="G1047" s="20">
        <f>IFERROR(INDEX('Kode Outlet dan Target Toko'!$C:$C,MATCH($I1047,'Kode Outlet dan Target Toko'!$E:$E,0)),0)</f>
        <v>490034</v>
      </c>
      <c r="H1047" s="20">
        <f>IFERROR(INDEX('Kode Outlet dan Target Toko'!$D:$D,MATCH($I1047,'Kode Outlet dan Target Toko'!$E:$E,0)),0)</f>
        <v>209554</v>
      </c>
      <c r="I1047" s="42" t="s">
        <v>26</v>
      </c>
      <c r="J1047" s="56" t="s">
        <v>177</v>
      </c>
      <c r="K1047" s="40" t="s">
        <v>16</v>
      </c>
      <c r="L1047" s="43">
        <v>3275</v>
      </c>
      <c r="M1047" s="26">
        <v>119</v>
      </c>
      <c r="N1047" s="25">
        <f t="shared" si="33"/>
        <v>389725</v>
      </c>
      <c r="O1047" s="26">
        <v>160</v>
      </c>
    </row>
    <row r="1048" spans="1:15" hidden="1" x14ac:dyDescent="0.3">
      <c r="A1048" s="24">
        <v>27</v>
      </c>
      <c r="B1048" s="20" t="str">
        <f t="shared" si="32"/>
        <v>JUL</v>
      </c>
      <c r="C1048" s="21">
        <v>46206</v>
      </c>
      <c r="D1048" s="22" t="str">
        <f t="array" ref="D1048">IFERROR(INDEX('Kode Outlet dan Target Toko'!$A:$A,MATCH($I1048,'Kode Outlet dan Target Toko'!$E:$E,0)),"")</f>
        <v>GRSM 4</v>
      </c>
      <c r="E1048" s="20" t="str">
        <f>IFERROR(VLOOKUP(I1048,KET!$B:$F,4,0),"")</f>
        <v>FAHMI LUKMANUL HAKIM</v>
      </c>
      <c r="F1048" s="20" t="str">
        <f>IFERROR(VLOOKUP(I1048,KET!$B:$F,5,0),"")</f>
        <v>GMM</v>
      </c>
      <c r="G1048" s="20">
        <f>IFERROR(INDEX('Kode Outlet dan Target Toko'!$C:$C,MATCH($I1048,'Kode Outlet dan Target Toko'!$E:$E,0)),0)</f>
        <v>189901</v>
      </c>
      <c r="H1048" s="20">
        <f>IFERROR(INDEX('Kode Outlet dan Target Toko'!$D:$D,MATCH($I1048,'Kode Outlet dan Target Toko'!$E:$E,0)),0)</f>
        <v>1602008</v>
      </c>
      <c r="I1048" s="50" t="s">
        <v>32</v>
      </c>
      <c r="J1048" s="45" t="s">
        <v>189</v>
      </c>
      <c r="K1048" s="54" t="s">
        <v>15</v>
      </c>
      <c r="L1048" s="24">
        <v>3300</v>
      </c>
      <c r="M1048" s="26">
        <v>40</v>
      </c>
      <c r="N1048" s="25">
        <f t="shared" si="33"/>
        <v>132000</v>
      </c>
      <c r="O1048" s="24"/>
    </row>
    <row r="1049" spans="1:15" hidden="1" x14ac:dyDescent="0.3">
      <c r="A1049" s="24">
        <v>27</v>
      </c>
      <c r="B1049" s="20" t="str">
        <f t="shared" si="32"/>
        <v>JUL</v>
      </c>
      <c r="C1049" s="21">
        <v>46206</v>
      </c>
      <c r="D1049" s="22" t="str">
        <f t="array" ref="D1049">IFERROR(INDEX('Kode Outlet dan Target Toko'!$A:$A,MATCH($I1049,'Kode Outlet dan Target Toko'!$E:$E,0)),"")</f>
        <v>GRSM 4</v>
      </c>
      <c r="E1049" s="20" t="str">
        <f>IFERROR(VLOOKUP(I1049,KET!$B:$F,4,0),"")</f>
        <v>FAHMI LUKMANUL HAKIM</v>
      </c>
      <c r="F1049" s="20" t="str">
        <f>IFERROR(VLOOKUP(I1049,KET!$B:$F,5,0),"")</f>
        <v>GMM</v>
      </c>
      <c r="G1049" s="20">
        <f>IFERROR(INDEX('Kode Outlet dan Target Toko'!$C:$C,MATCH($I1049,'Kode Outlet dan Target Toko'!$E:$E,0)),0)</f>
        <v>189901</v>
      </c>
      <c r="H1049" s="20">
        <f>IFERROR(INDEX('Kode Outlet dan Target Toko'!$D:$D,MATCH($I1049,'Kode Outlet dan Target Toko'!$E:$E,0)),0)</f>
        <v>1602008</v>
      </c>
      <c r="I1049" s="50" t="s">
        <v>32</v>
      </c>
      <c r="J1049" s="45" t="s">
        <v>189</v>
      </c>
      <c r="K1049" s="54" t="s">
        <v>14</v>
      </c>
      <c r="L1049" s="24">
        <v>3300</v>
      </c>
      <c r="M1049" s="26">
        <v>40</v>
      </c>
      <c r="N1049" s="25">
        <f t="shared" si="33"/>
        <v>132000</v>
      </c>
      <c r="O1049" s="24"/>
    </row>
    <row r="1050" spans="1:15" hidden="1" x14ac:dyDescent="0.3">
      <c r="A1050" s="24">
        <v>27</v>
      </c>
      <c r="B1050" s="20" t="str">
        <f t="shared" si="32"/>
        <v>JUL</v>
      </c>
      <c r="C1050" s="21">
        <v>46206</v>
      </c>
      <c r="D1050" s="22" t="str">
        <f t="array" ref="D1050">IFERROR(INDEX('Kode Outlet dan Target Toko'!$A:$A,MATCH($I1050,'Kode Outlet dan Target Toko'!$E:$E,0)),"")</f>
        <v>GRSM 4</v>
      </c>
      <c r="E1050" s="20" t="str">
        <f>IFERROR(VLOOKUP(I1050,KET!$B:$F,4,0),"")</f>
        <v>FAHMI LUKMANUL HAKIM</v>
      </c>
      <c r="F1050" s="20" t="str">
        <f>IFERROR(VLOOKUP(I1050,KET!$B:$F,5,0),"")</f>
        <v>GMM</v>
      </c>
      <c r="G1050" s="20">
        <f>IFERROR(INDEX('Kode Outlet dan Target Toko'!$C:$C,MATCH($I1050,'Kode Outlet dan Target Toko'!$E:$E,0)),0)</f>
        <v>189901</v>
      </c>
      <c r="H1050" s="20">
        <f>IFERROR(INDEX('Kode Outlet dan Target Toko'!$D:$D,MATCH($I1050,'Kode Outlet dan Target Toko'!$E:$E,0)),0)</f>
        <v>1602008</v>
      </c>
      <c r="I1050" s="50" t="s">
        <v>32</v>
      </c>
      <c r="J1050" s="45" t="s">
        <v>189</v>
      </c>
      <c r="K1050" s="54" t="s">
        <v>13</v>
      </c>
      <c r="L1050" s="24">
        <v>3300</v>
      </c>
      <c r="M1050" s="26">
        <v>40</v>
      </c>
      <c r="N1050" s="25">
        <f t="shared" si="33"/>
        <v>132000</v>
      </c>
      <c r="O1050" s="24"/>
    </row>
    <row r="1051" spans="1:15" hidden="1" x14ac:dyDescent="0.3">
      <c r="A1051" s="24">
        <v>27</v>
      </c>
      <c r="B1051" s="20" t="str">
        <f t="shared" si="32"/>
        <v>JUL</v>
      </c>
      <c r="C1051" s="21">
        <v>46206</v>
      </c>
      <c r="D1051" s="22" t="str">
        <f t="array" ref="D1051">IFERROR(INDEX('Kode Outlet dan Target Toko'!$A:$A,MATCH($I1051,'Kode Outlet dan Target Toko'!$E:$E,0)),"")</f>
        <v>GRSM 4</v>
      </c>
      <c r="E1051" s="20" t="str">
        <f>IFERROR(VLOOKUP(I1051,KET!$B:$F,4,0),"")</f>
        <v>FAHMI LUKMANUL HAKIM</v>
      </c>
      <c r="F1051" s="20" t="str">
        <f>IFERROR(VLOOKUP(I1051,KET!$B:$F,5,0),"")</f>
        <v>GMM</v>
      </c>
      <c r="G1051" s="20">
        <f>IFERROR(INDEX('Kode Outlet dan Target Toko'!$C:$C,MATCH($I1051,'Kode Outlet dan Target Toko'!$E:$E,0)),0)</f>
        <v>189901</v>
      </c>
      <c r="H1051" s="20">
        <f>IFERROR(INDEX('Kode Outlet dan Target Toko'!$D:$D,MATCH($I1051,'Kode Outlet dan Target Toko'!$E:$E,0)),0)</f>
        <v>1602008</v>
      </c>
      <c r="I1051" s="50" t="s">
        <v>32</v>
      </c>
      <c r="J1051" s="45" t="s">
        <v>189</v>
      </c>
      <c r="K1051" s="54" t="s">
        <v>16</v>
      </c>
      <c r="L1051" s="24">
        <v>3300</v>
      </c>
      <c r="M1051" s="26">
        <v>100</v>
      </c>
      <c r="N1051" s="25">
        <f t="shared" si="33"/>
        <v>330000</v>
      </c>
      <c r="O1051" s="24">
        <v>160</v>
      </c>
    </row>
    <row r="1052" spans="1:15" hidden="1" x14ac:dyDescent="0.3">
      <c r="A1052" s="24">
        <v>27</v>
      </c>
      <c r="B1052" s="20" t="str">
        <f t="shared" si="32"/>
        <v>JUL</v>
      </c>
      <c r="C1052" s="21">
        <v>46207</v>
      </c>
      <c r="D1052" s="22" t="str">
        <f t="array" ref="D1052">IFERROR(INDEX('Kode Outlet dan Target Toko'!$A:$A,MATCH($I1052,'Kode Outlet dan Target Toko'!$E:$E,0)),"")</f>
        <v>GRSM 4</v>
      </c>
      <c r="E1052" s="20" t="str">
        <f>IFERROR(VLOOKUP(I1052,KET!$B:$F,4,0),"")</f>
        <v>FAHMI LUKMANUL HAKIM</v>
      </c>
      <c r="F1052" s="20" t="str">
        <f>IFERROR(VLOOKUP(I1052,KET!$B:$F,5,0),"")</f>
        <v>GMM</v>
      </c>
      <c r="G1052" s="20">
        <f>IFERROR(INDEX('Kode Outlet dan Target Toko'!$C:$C,MATCH($I1052,'Kode Outlet dan Target Toko'!$E:$E,0)),0)</f>
        <v>189901</v>
      </c>
      <c r="H1052" s="20">
        <f>IFERROR(INDEX('Kode Outlet dan Target Toko'!$D:$D,MATCH($I1052,'Kode Outlet dan Target Toko'!$E:$E,0)),0)</f>
        <v>1602008</v>
      </c>
      <c r="I1052" s="50" t="s">
        <v>32</v>
      </c>
      <c r="J1052" s="45" t="s">
        <v>189</v>
      </c>
      <c r="K1052" s="54" t="s">
        <v>15</v>
      </c>
      <c r="L1052" s="24">
        <v>3300</v>
      </c>
      <c r="M1052" s="26">
        <v>30</v>
      </c>
      <c r="N1052" s="25">
        <f t="shared" si="33"/>
        <v>99000</v>
      </c>
      <c r="O1052" s="24"/>
    </row>
    <row r="1053" spans="1:15" hidden="1" x14ac:dyDescent="0.3">
      <c r="A1053" s="24">
        <v>27</v>
      </c>
      <c r="B1053" s="20" t="str">
        <f t="shared" si="32"/>
        <v>JUL</v>
      </c>
      <c r="C1053" s="21">
        <v>46207</v>
      </c>
      <c r="D1053" s="22" t="str">
        <f t="array" ref="D1053">IFERROR(INDEX('Kode Outlet dan Target Toko'!$A:$A,MATCH($I1053,'Kode Outlet dan Target Toko'!$E:$E,0)),"")</f>
        <v>GRSM 4</v>
      </c>
      <c r="E1053" s="20" t="str">
        <f>IFERROR(VLOOKUP(I1053,KET!$B:$F,4,0),"")</f>
        <v>FAHMI LUKMANUL HAKIM</v>
      </c>
      <c r="F1053" s="20" t="str">
        <f>IFERROR(VLOOKUP(I1053,KET!$B:$F,5,0),"")</f>
        <v>GMM</v>
      </c>
      <c r="G1053" s="20">
        <f>IFERROR(INDEX('Kode Outlet dan Target Toko'!$C:$C,MATCH($I1053,'Kode Outlet dan Target Toko'!$E:$E,0)),0)</f>
        <v>189901</v>
      </c>
      <c r="H1053" s="20">
        <f>IFERROR(INDEX('Kode Outlet dan Target Toko'!$D:$D,MATCH($I1053,'Kode Outlet dan Target Toko'!$E:$E,0)),0)</f>
        <v>1602008</v>
      </c>
      <c r="I1053" s="50" t="s">
        <v>32</v>
      </c>
      <c r="J1053" s="45" t="s">
        <v>189</v>
      </c>
      <c r="K1053" s="54" t="s">
        <v>14</v>
      </c>
      <c r="L1053" s="24">
        <v>3300</v>
      </c>
      <c r="M1053" s="26">
        <v>30</v>
      </c>
      <c r="N1053" s="25">
        <f t="shared" si="33"/>
        <v>99000</v>
      </c>
      <c r="O1053" s="24"/>
    </row>
    <row r="1054" spans="1:15" hidden="1" x14ac:dyDescent="0.3">
      <c r="A1054" s="24">
        <v>27</v>
      </c>
      <c r="B1054" s="20" t="str">
        <f t="shared" si="32"/>
        <v>JUL</v>
      </c>
      <c r="C1054" s="21">
        <v>46207</v>
      </c>
      <c r="D1054" s="22" t="str">
        <f t="array" ref="D1054">IFERROR(INDEX('Kode Outlet dan Target Toko'!$A:$A,MATCH($I1054,'Kode Outlet dan Target Toko'!$E:$E,0)),"")</f>
        <v>GRSM 4</v>
      </c>
      <c r="E1054" s="20" t="str">
        <f>IFERROR(VLOOKUP(I1054,KET!$B:$F,4,0),"")</f>
        <v>FAHMI LUKMANUL HAKIM</v>
      </c>
      <c r="F1054" s="20" t="str">
        <f>IFERROR(VLOOKUP(I1054,KET!$B:$F,5,0),"")</f>
        <v>GMM</v>
      </c>
      <c r="G1054" s="20">
        <f>IFERROR(INDEX('Kode Outlet dan Target Toko'!$C:$C,MATCH($I1054,'Kode Outlet dan Target Toko'!$E:$E,0)),0)</f>
        <v>189901</v>
      </c>
      <c r="H1054" s="20">
        <f>IFERROR(INDEX('Kode Outlet dan Target Toko'!$D:$D,MATCH($I1054,'Kode Outlet dan Target Toko'!$E:$E,0)),0)</f>
        <v>1602008</v>
      </c>
      <c r="I1054" s="50" t="s">
        <v>32</v>
      </c>
      <c r="J1054" s="45" t="s">
        <v>189</v>
      </c>
      <c r="K1054" s="54" t="s">
        <v>13</v>
      </c>
      <c r="L1054" s="24">
        <v>3300</v>
      </c>
      <c r="M1054" s="26">
        <v>40</v>
      </c>
      <c r="N1054" s="25">
        <f t="shared" si="33"/>
        <v>132000</v>
      </c>
      <c r="O1054" s="24"/>
    </row>
    <row r="1055" spans="1:15" hidden="1" x14ac:dyDescent="0.3">
      <c r="A1055" s="24">
        <v>27</v>
      </c>
      <c r="B1055" s="20" t="str">
        <f t="shared" si="32"/>
        <v>JUL</v>
      </c>
      <c r="C1055" s="21">
        <v>46207</v>
      </c>
      <c r="D1055" s="22" t="str">
        <f t="array" ref="D1055">IFERROR(INDEX('Kode Outlet dan Target Toko'!$A:$A,MATCH($I1055,'Kode Outlet dan Target Toko'!$E:$E,0)),"")</f>
        <v>GRSM 4</v>
      </c>
      <c r="E1055" s="20" t="str">
        <f>IFERROR(VLOOKUP(I1055,KET!$B:$F,4,0),"")</f>
        <v>FAHMI LUKMANUL HAKIM</v>
      </c>
      <c r="F1055" s="20" t="str">
        <f>IFERROR(VLOOKUP(I1055,KET!$B:$F,5,0),"")</f>
        <v>GMM</v>
      </c>
      <c r="G1055" s="20">
        <f>IFERROR(INDEX('Kode Outlet dan Target Toko'!$C:$C,MATCH($I1055,'Kode Outlet dan Target Toko'!$E:$E,0)),0)</f>
        <v>189901</v>
      </c>
      <c r="H1055" s="20">
        <f>IFERROR(INDEX('Kode Outlet dan Target Toko'!$D:$D,MATCH($I1055,'Kode Outlet dan Target Toko'!$E:$E,0)),0)</f>
        <v>1602008</v>
      </c>
      <c r="I1055" s="50" t="s">
        <v>32</v>
      </c>
      <c r="J1055" s="45" t="s">
        <v>189</v>
      </c>
      <c r="K1055" s="54" t="s">
        <v>16</v>
      </c>
      <c r="L1055" s="24">
        <v>3300</v>
      </c>
      <c r="M1055" s="26">
        <v>120</v>
      </c>
      <c r="N1055" s="25">
        <f t="shared" si="33"/>
        <v>396000</v>
      </c>
      <c r="O1055" s="24">
        <v>160</v>
      </c>
    </row>
    <row r="1056" spans="1:15" hidden="1" x14ac:dyDescent="0.3">
      <c r="A1056" s="24">
        <v>27</v>
      </c>
      <c r="B1056" s="20" t="str">
        <f t="shared" si="32"/>
        <v>JUL</v>
      </c>
      <c r="C1056" s="21">
        <v>46208</v>
      </c>
      <c r="D1056" s="22" t="str">
        <f t="array" ref="D1056">IFERROR(INDEX('Kode Outlet dan Target Toko'!$A:$A,MATCH($I1056,'Kode Outlet dan Target Toko'!$E:$E,0)),"")</f>
        <v>GRSM 4</v>
      </c>
      <c r="E1056" s="20" t="str">
        <f>IFERROR(VLOOKUP(I1056,KET!$B:$F,4,0),"")</f>
        <v>FAHMI LUKMANUL HAKIM</v>
      </c>
      <c r="F1056" s="20" t="str">
        <f>IFERROR(VLOOKUP(I1056,KET!$B:$F,5,0),"")</f>
        <v>GMM</v>
      </c>
      <c r="G1056" s="20">
        <f>IFERROR(INDEX('Kode Outlet dan Target Toko'!$C:$C,MATCH($I1056,'Kode Outlet dan Target Toko'!$E:$E,0)),0)</f>
        <v>189901</v>
      </c>
      <c r="H1056" s="20">
        <f>IFERROR(INDEX('Kode Outlet dan Target Toko'!$D:$D,MATCH($I1056,'Kode Outlet dan Target Toko'!$E:$E,0)),0)</f>
        <v>1602008</v>
      </c>
      <c r="I1056" s="50" t="s">
        <v>32</v>
      </c>
      <c r="J1056" s="45" t="s">
        <v>189</v>
      </c>
      <c r="K1056" s="54" t="s">
        <v>15</v>
      </c>
      <c r="L1056" s="24">
        <v>3300</v>
      </c>
      <c r="M1056" s="26">
        <v>50</v>
      </c>
      <c r="N1056" s="25">
        <f t="shared" si="33"/>
        <v>165000</v>
      </c>
      <c r="O1056" s="24"/>
    </row>
    <row r="1057" spans="1:15" hidden="1" x14ac:dyDescent="0.3">
      <c r="A1057" s="24">
        <v>27</v>
      </c>
      <c r="B1057" s="20" t="str">
        <f t="shared" si="32"/>
        <v>JUL</v>
      </c>
      <c r="C1057" s="21">
        <v>46208</v>
      </c>
      <c r="D1057" s="22" t="str">
        <f t="array" ref="D1057">IFERROR(INDEX('Kode Outlet dan Target Toko'!$A:$A,MATCH($I1057,'Kode Outlet dan Target Toko'!$E:$E,0)),"")</f>
        <v>GRSM 4</v>
      </c>
      <c r="E1057" s="20" t="str">
        <f>IFERROR(VLOOKUP(I1057,KET!$B:$F,4,0),"")</f>
        <v>FAHMI LUKMANUL HAKIM</v>
      </c>
      <c r="F1057" s="20" t="str">
        <f>IFERROR(VLOOKUP(I1057,KET!$B:$F,5,0),"")</f>
        <v>GMM</v>
      </c>
      <c r="G1057" s="20">
        <f>IFERROR(INDEX('Kode Outlet dan Target Toko'!$C:$C,MATCH($I1057,'Kode Outlet dan Target Toko'!$E:$E,0)),0)</f>
        <v>189901</v>
      </c>
      <c r="H1057" s="20">
        <f>IFERROR(INDEX('Kode Outlet dan Target Toko'!$D:$D,MATCH($I1057,'Kode Outlet dan Target Toko'!$E:$E,0)),0)</f>
        <v>1602008</v>
      </c>
      <c r="I1057" s="50" t="s">
        <v>32</v>
      </c>
      <c r="J1057" s="45" t="s">
        <v>189</v>
      </c>
      <c r="K1057" s="54" t="s">
        <v>14</v>
      </c>
      <c r="L1057" s="24">
        <v>3300</v>
      </c>
      <c r="M1057" s="26">
        <v>50</v>
      </c>
      <c r="N1057" s="25">
        <f t="shared" si="33"/>
        <v>165000</v>
      </c>
      <c r="O1057" s="24"/>
    </row>
    <row r="1058" spans="1:15" hidden="1" x14ac:dyDescent="0.3">
      <c r="A1058" s="24">
        <v>27</v>
      </c>
      <c r="B1058" s="20" t="str">
        <f t="shared" si="32"/>
        <v>JUL</v>
      </c>
      <c r="C1058" s="21">
        <v>46208</v>
      </c>
      <c r="D1058" s="22" t="str">
        <f t="array" ref="D1058">IFERROR(INDEX('Kode Outlet dan Target Toko'!$A:$A,MATCH($I1058,'Kode Outlet dan Target Toko'!$E:$E,0)),"")</f>
        <v>GRSM 4</v>
      </c>
      <c r="E1058" s="20" t="str">
        <f>IFERROR(VLOOKUP(I1058,KET!$B:$F,4,0),"")</f>
        <v>FAHMI LUKMANUL HAKIM</v>
      </c>
      <c r="F1058" s="20" t="str">
        <f>IFERROR(VLOOKUP(I1058,KET!$B:$F,5,0),"")</f>
        <v>GMM</v>
      </c>
      <c r="G1058" s="20">
        <f>IFERROR(INDEX('Kode Outlet dan Target Toko'!$C:$C,MATCH($I1058,'Kode Outlet dan Target Toko'!$E:$E,0)),0)</f>
        <v>189901</v>
      </c>
      <c r="H1058" s="20">
        <f>IFERROR(INDEX('Kode Outlet dan Target Toko'!$D:$D,MATCH($I1058,'Kode Outlet dan Target Toko'!$E:$E,0)),0)</f>
        <v>1602008</v>
      </c>
      <c r="I1058" s="50" t="s">
        <v>32</v>
      </c>
      <c r="J1058" s="45" t="s">
        <v>189</v>
      </c>
      <c r="K1058" s="54" t="s">
        <v>13</v>
      </c>
      <c r="L1058" s="24">
        <v>3300</v>
      </c>
      <c r="M1058" s="26">
        <v>50</v>
      </c>
      <c r="N1058" s="25">
        <f t="shared" si="33"/>
        <v>165000</v>
      </c>
      <c r="O1058" s="24"/>
    </row>
    <row r="1059" spans="1:15" hidden="1" x14ac:dyDescent="0.3">
      <c r="A1059" s="24">
        <v>27</v>
      </c>
      <c r="B1059" s="20" t="str">
        <f t="shared" si="32"/>
        <v>JUL</v>
      </c>
      <c r="C1059" s="21">
        <v>46208</v>
      </c>
      <c r="D1059" s="22" t="str">
        <f t="array" ref="D1059">IFERROR(INDEX('Kode Outlet dan Target Toko'!$A:$A,MATCH($I1059,'Kode Outlet dan Target Toko'!$E:$E,0)),"")</f>
        <v>GRSM 4</v>
      </c>
      <c r="E1059" s="20" t="str">
        <f>IFERROR(VLOOKUP(I1059,KET!$B:$F,4,0),"")</f>
        <v>FAHMI LUKMANUL HAKIM</v>
      </c>
      <c r="F1059" s="20" t="str">
        <f>IFERROR(VLOOKUP(I1059,KET!$B:$F,5,0),"")</f>
        <v>GMM</v>
      </c>
      <c r="G1059" s="20">
        <f>IFERROR(INDEX('Kode Outlet dan Target Toko'!$C:$C,MATCH($I1059,'Kode Outlet dan Target Toko'!$E:$E,0)),0)</f>
        <v>189901</v>
      </c>
      <c r="H1059" s="20">
        <f>IFERROR(INDEX('Kode Outlet dan Target Toko'!$D:$D,MATCH($I1059,'Kode Outlet dan Target Toko'!$E:$E,0)),0)</f>
        <v>1602008</v>
      </c>
      <c r="I1059" s="50" t="s">
        <v>32</v>
      </c>
      <c r="J1059" s="45" t="s">
        <v>189</v>
      </c>
      <c r="K1059" s="54" t="s">
        <v>16</v>
      </c>
      <c r="L1059" s="24">
        <v>3300</v>
      </c>
      <c r="M1059" s="26">
        <v>170</v>
      </c>
      <c r="N1059" s="25">
        <f t="shared" si="33"/>
        <v>561000</v>
      </c>
      <c r="O1059" s="24">
        <v>160</v>
      </c>
    </row>
    <row r="1060" spans="1:15" hidden="1" x14ac:dyDescent="0.3">
      <c r="A1060" s="24">
        <v>27</v>
      </c>
      <c r="B1060" s="20" t="str">
        <f t="shared" si="32"/>
        <v>JUL</v>
      </c>
      <c r="C1060" s="21">
        <v>46206</v>
      </c>
      <c r="D1060" s="22" t="str">
        <f t="array" ref="D1060">IFERROR(INDEX('Kode Outlet dan Target Toko'!$A:$A,MATCH($I1060,'Kode Outlet dan Target Toko'!$E:$E,0)),"")</f>
        <v>GRSM 4</v>
      </c>
      <c r="E1060" s="20" t="str">
        <f>IFERROR(VLOOKUP(I1060,KET!$B:$F,4,0),"")</f>
        <v>FAHMI LUKMANUL HAKIM</v>
      </c>
      <c r="F1060" s="20" t="str">
        <f>IFERROR(VLOOKUP(I1060,KET!$B:$F,5,0),"")</f>
        <v>GMM</v>
      </c>
      <c r="G1060" s="20">
        <f>IFERROR(INDEX('Kode Outlet dan Target Toko'!$C:$C,MATCH($I1060,'Kode Outlet dan Target Toko'!$E:$E,0)),0)</f>
        <v>189901</v>
      </c>
      <c r="H1060" s="20">
        <f>IFERROR(INDEX('Kode Outlet dan Target Toko'!$D:$D,MATCH($I1060,'Kode Outlet dan Target Toko'!$E:$E,0)),0)</f>
        <v>1602018</v>
      </c>
      <c r="I1060" s="50" t="s">
        <v>34</v>
      </c>
      <c r="J1060" s="27" t="s">
        <v>262</v>
      </c>
      <c r="K1060" s="54" t="s">
        <v>15</v>
      </c>
      <c r="L1060" s="24">
        <v>3500</v>
      </c>
      <c r="M1060" s="24">
        <v>25</v>
      </c>
      <c r="N1060" s="25">
        <f t="shared" si="33"/>
        <v>87500</v>
      </c>
      <c r="O1060" s="24"/>
    </row>
    <row r="1061" spans="1:15" hidden="1" x14ac:dyDescent="0.3">
      <c r="A1061" s="24">
        <v>27</v>
      </c>
      <c r="B1061" s="20" t="str">
        <f t="shared" si="32"/>
        <v>JUL</v>
      </c>
      <c r="C1061" s="21">
        <v>46206</v>
      </c>
      <c r="D1061" s="22" t="str">
        <f t="array" ref="D1061">IFERROR(INDEX('Kode Outlet dan Target Toko'!$A:$A,MATCH($I1061,'Kode Outlet dan Target Toko'!$E:$E,0)),"")</f>
        <v>GRSM 4</v>
      </c>
      <c r="E1061" s="20" t="str">
        <f>IFERROR(VLOOKUP(I1061,KET!$B:$F,4,0),"")</f>
        <v>FAHMI LUKMANUL HAKIM</v>
      </c>
      <c r="F1061" s="20" t="str">
        <f>IFERROR(VLOOKUP(I1061,KET!$B:$F,5,0),"")</f>
        <v>GMM</v>
      </c>
      <c r="G1061" s="20">
        <f>IFERROR(INDEX('Kode Outlet dan Target Toko'!$C:$C,MATCH($I1061,'Kode Outlet dan Target Toko'!$E:$E,0)),0)</f>
        <v>189901</v>
      </c>
      <c r="H1061" s="20">
        <f>IFERROR(INDEX('Kode Outlet dan Target Toko'!$D:$D,MATCH($I1061,'Kode Outlet dan Target Toko'!$E:$E,0)),0)</f>
        <v>1602018</v>
      </c>
      <c r="I1061" s="50" t="s">
        <v>34</v>
      </c>
      <c r="J1061" s="27" t="s">
        <v>262</v>
      </c>
      <c r="K1061" s="54" t="s">
        <v>14</v>
      </c>
      <c r="L1061" s="24">
        <v>3500</v>
      </c>
      <c r="M1061" s="24">
        <v>25</v>
      </c>
      <c r="N1061" s="25">
        <f t="shared" si="33"/>
        <v>87500</v>
      </c>
      <c r="O1061" s="24"/>
    </row>
    <row r="1062" spans="1:15" hidden="1" x14ac:dyDescent="0.3">
      <c r="A1062" s="24">
        <v>27</v>
      </c>
      <c r="B1062" s="20" t="str">
        <f t="shared" si="32"/>
        <v>JUL</v>
      </c>
      <c r="C1062" s="21">
        <v>46206</v>
      </c>
      <c r="D1062" s="22" t="str">
        <f t="array" ref="D1062">IFERROR(INDEX('Kode Outlet dan Target Toko'!$A:$A,MATCH($I1062,'Kode Outlet dan Target Toko'!$E:$E,0)),"")</f>
        <v>GRSM 4</v>
      </c>
      <c r="E1062" s="20" t="str">
        <f>IFERROR(VLOOKUP(I1062,KET!$B:$F,4,0),"")</f>
        <v>FAHMI LUKMANUL HAKIM</v>
      </c>
      <c r="F1062" s="20" t="str">
        <f>IFERROR(VLOOKUP(I1062,KET!$B:$F,5,0),"")</f>
        <v>GMM</v>
      </c>
      <c r="G1062" s="20">
        <f>IFERROR(INDEX('Kode Outlet dan Target Toko'!$C:$C,MATCH($I1062,'Kode Outlet dan Target Toko'!$E:$E,0)),0)</f>
        <v>189901</v>
      </c>
      <c r="H1062" s="20">
        <f>IFERROR(INDEX('Kode Outlet dan Target Toko'!$D:$D,MATCH($I1062,'Kode Outlet dan Target Toko'!$E:$E,0)),0)</f>
        <v>1602018</v>
      </c>
      <c r="I1062" s="50" t="s">
        <v>34</v>
      </c>
      <c r="J1062" s="27" t="s">
        <v>262</v>
      </c>
      <c r="K1062" s="54" t="s">
        <v>13</v>
      </c>
      <c r="L1062" s="24">
        <v>3500</v>
      </c>
      <c r="M1062" s="24">
        <v>23</v>
      </c>
      <c r="N1062" s="25">
        <f t="shared" si="33"/>
        <v>80500</v>
      </c>
      <c r="O1062" s="24"/>
    </row>
    <row r="1063" spans="1:15" hidden="1" x14ac:dyDescent="0.3">
      <c r="A1063" s="24">
        <v>27</v>
      </c>
      <c r="B1063" s="20" t="str">
        <f t="shared" si="32"/>
        <v>JUL</v>
      </c>
      <c r="C1063" s="21">
        <v>46206</v>
      </c>
      <c r="D1063" s="22" t="str">
        <f t="array" ref="D1063">IFERROR(INDEX('Kode Outlet dan Target Toko'!$A:$A,MATCH($I1063,'Kode Outlet dan Target Toko'!$E:$E,0)),"")</f>
        <v>GRSM 4</v>
      </c>
      <c r="E1063" s="20" t="str">
        <f>IFERROR(VLOOKUP(I1063,KET!$B:$F,4,0),"")</f>
        <v>FAHMI LUKMANUL HAKIM</v>
      </c>
      <c r="F1063" s="20" t="str">
        <f>IFERROR(VLOOKUP(I1063,KET!$B:$F,5,0),"")</f>
        <v>GMM</v>
      </c>
      <c r="G1063" s="20">
        <f>IFERROR(INDEX('Kode Outlet dan Target Toko'!$C:$C,MATCH($I1063,'Kode Outlet dan Target Toko'!$E:$E,0)),0)</f>
        <v>189901</v>
      </c>
      <c r="H1063" s="20">
        <f>IFERROR(INDEX('Kode Outlet dan Target Toko'!$D:$D,MATCH($I1063,'Kode Outlet dan Target Toko'!$E:$E,0)),0)</f>
        <v>1602018</v>
      </c>
      <c r="I1063" s="50" t="s">
        <v>34</v>
      </c>
      <c r="J1063" s="27" t="s">
        <v>262</v>
      </c>
      <c r="K1063" s="54" t="s">
        <v>16</v>
      </c>
      <c r="L1063" s="24">
        <v>3500</v>
      </c>
      <c r="M1063" s="24">
        <v>40</v>
      </c>
      <c r="N1063" s="25">
        <f t="shared" si="33"/>
        <v>140000</v>
      </c>
      <c r="O1063" s="24">
        <v>160</v>
      </c>
    </row>
    <row r="1064" spans="1:15" hidden="1" x14ac:dyDescent="0.3">
      <c r="A1064" s="26">
        <v>27</v>
      </c>
      <c r="B1064" s="20" t="str">
        <f t="shared" si="32"/>
        <v>JUL</v>
      </c>
      <c r="C1064" s="21">
        <v>46207</v>
      </c>
      <c r="D1064" s="22" t="str">
        <f t="array" ref="D1064">IFERROR(INDEX('Kode Outlet dan Target Toko'!$A:$A,MATCH($I1064,'Kode Outlet dan Target Toko'!$E:$E,0)),"")</f>
        <v>GRSM 4</v>
      </c>
      <c r="E1064" s="20" t="str">
        <f>IFERROR(VLOOKUP(I1064,KET!$B:$F,4,0),"")</f>
        <v>FAHMI LUKMANUL HAKIM</v>
      </c>
      <c r="F1064" s="20" t="str">
        <f>IFERROR(VLOOKUP(I1064,KET!$B:$F,5,0),"")</f>
        <v>GMM</v>
      </c>
      <c r="G1064" s="20">
        <f>IFERROR(INDEX('Kode Outlet dan Target Toko'!$C:$C,MATCH($I1064,'Kode Outlet dan Target Toko'!$E:$E,0)),0)</f>
        <v>189901</v>
      </c>
      <c r="H1064" s="20">
        <f>IFERROR(INDEX('Kode Outlet dan Target Toko'!$D:$D,MATCH($I1064,'Kode Outlet dan Target Toko'!$E:$E,0)),0)</f>
        <v>1602018</v>
      </c>
      <c r="I1064" s="50" t="s">
        <v>34</v>
      </c>
      <c r="J1064" s="27" t="s">
        <v>262</v>
      </c>
      <c r="K1064" s="40" t="s">
        <v>15</v>
      </c>
      <c r="L1064" s="43">
        <v>3500</v>
      </c>
      <c r="M1064" s="26">
        <v>20</v>
      </c>
      <c r="N1064" s="25">
        <f t="shared" si="33"/>
        <v>70000</v>
      </c>
      <c r="O1064" s="26"/>
    </row>
    <row r="1065" spans="1:15" hidden="1" x14ac:dyDescent="0.3">
      <c r="A1065" s="26">
        <v>27</v>
      </c>
      <c r="B1065" s="20" t="str">
        <f t="shared" si="32"/>
        <v>JUL</v>
      </c>
      <c r="C1065" s="21">
        <v>46207</v>
      </c>
      <c r="D1065" s="22" t="str">
        <f t="array" ref="D1065">IFERROR(INDEX('Kode Outlet dan Target Toko'!$A:$A,MATCH($I1065,'Kode Outlet dan Target Toko'!$E:$E,0)),"")</f>
        <v>GRSM 4</v>
      </c>
      <c r="E1065" s="20" t="str">
        <f>IFERROR(VLOOKUP(I1065,KET!$B:$F,4,0),"")</f>
        <v>FAHMI LUKMANUL HAKIM</v>
      </c>
      <c r="F1065" s="20" t="str">
        <f>IFERROR(VLOOKUP(I1065,KET!$B:$F,5,0),"")</f>
        <v>GMM</v>
      </c>
      <c r="G1065" s="20">
        <f>IFERROR(INDEX('Kode Outlet dan Target Toko'!$C:$C,MATCH($I1065,'Kode Outlet dan Target Toko'!$E:$E,0)),0)</f>
        <v>189901</v>
      </c>
      <c r="H1065" s="20">
        <f>IFERROR(INDEX('Kode Outlet dan Target Toko'!$D:$D,MATCH($I1065,'Kode Outlet dan Target Toko'!$E:$E,0)),0)</f>
        <v>1602018</v>
      </c>
      <c r="I1065" s="50" t="s">
        <v>34</v>
      </c>
      <c r="J1065" s="27" t="s">
        <v>262</v>
      </c>
      <c r="K1065" s="40" t="s">
        <v>14</v>
      </c>
      <c r="L1065" s="43">
        <v>3500</v>
      </c>
      <c r="M1065" s="26">
        <v>25</v>
      </c>
      <c r="N1065" s="25">
        <f t="shared" si="33"/>
        <v>87500</v>
      </c>
      <c r="O1065" s="26"/>
    </row>
    <row r="1066" spans="1:15" hidden="1" x14ac:dyDescent="0.3">
      <c r="A1066" s="26">
        <v>27</v>
      </c>
      <c r="B1066" s="20" t="str">
        <f t="shared" si="32"/>
        <v>JUL</v>
      </c>
      <c r="C1066" s="21">
        <v>46207</v>
      </c>
      <c r="D1066" s="22" t="str">
        <f t="array" ref="D1066">IFERROR(INDEX('Kode Outlet dan Target Toko'!$A:$A,MATCH($I1066,'Kode Outlet dan Target Toko'!$E:$E,0)),"")</f>
        <v>GRSM 4</v>
      </c>
      <c r="E1066" s="20" t="str">
        <f>IFERROR(VLOOKUP(I1066,KET!$B:$F,4,0),"")</f>
        <v>FAHMI LUKMANUL HAKIM</v>
      </c>
      <c r="F1066" s="20" t="str">
        <f>IFERROR(VLOOKUP(I1066,KET!$B:$F,5,0),"")</f>
        <v>GMM</v>
      </c>
      <c r="G1066" s="20">
        <f>IFERROR(INDEX('Kode Outlet dan Target Toko'!$C:$C,MATCH($I1066,'Kode Outlet dan Target Toko'!$E:$E,0)),0)</f>
        <v>189901</v>
      </c>
      <c r="H1066" s="20">
        <f>IFERROR(INDEX('Kode Outlet dan Target Toko'!$D:$D,MATCH($I1066,'Kode Outlet dan Target Toko'!$E:$E,0)),0)</f>
        <v>1602018</v>
      </c>
      <c r="I1066" s="50" t="s">
        <v>34</v>
      </c>
      <c r="J1066" s="27" t="s">
        <v>262</v>
      </c>
      <c r="K1066" s="40" t="s">
        <v>13</v>
      </c>
      <c r="L1066" s="43">
        <v>3500</v>
      </c>
      <c r="M1066" s="26">
        <v>15</v>
      </c>
      <c r="N1066" s="25">
        <f t="shared" si="33"/>
        <v>52500</v>
      </c>
      <c r="O1066" s="26"/>
    </row>
    <row r="1067" spans="1:15" hidden="1" x14ac:dyDescent="0.3">
      <c r="A1067" s="26">
        <v>27</v>
      </c>
      <c r="B1067" s="20" t="str">
        <f t="shared" si="32"/>
        <v>JUL</v>
      </c>
      <c r="C1067" s="21">
        <v>46207</v>
      </c>
      <c r="D1067" s="22" t="str">
        <f t="array" ref="D1067">IFERROR(INDEX('Kode Outlet dan Target Toko'!$A:$A,MATCH($I1067,'Kode Outlet dan Target Toko'!$E:$E,0)),"")</f>
        <v>GRSM 4</v>
      </c>
      <c r="E1067" s="20" t="str">
        <f>IFERROR(VLOOKUP(I1067,KET!$B:$F,4,0),"")</f>
        <v>FAHMI LUKMANUL HAKIM</v>
      </c>
      <c r="F1067" s="20" t="str">
        <f>IFERROR(VLOOKUP(I1067,KET!$B:$F,5,0),"")</f>
        <v>GMM</v>
      </c>
      <c r="G1067" s="20">
        <f>IFERROR(INDEX('Kode Outlet dan Target Toko'!$C:$C,MATCH($I1067,'Kode Outlet dan Target Toko'!$E:$E,0)),0)</f>
        <v>189901</v>
      </c>
      <c r="H1067" s="20">
        <f>IFERROR(INDEX('Kode Outlet dan Target Toko'!$D:$D,MATCH($I1067,'Kode Outlet dan Target Toko'!$E:$E,0)),0)</f>
        <v>1602018</v>
      </c>
      <c r="I1067" s="50" t="s">
        <v>34</v>
      </c>
      <c r="J1067" s="27" t="s">
        <v>262</v>
      </c>
      <c r="K1067" s="40" t="s">
        <v>16</v>
      </c>
      <c r="L1067" s="43">
        <v>3500</v>
      </c>
      <c r="M1067" s="26">
        <v>40</v>
      </c>
      <c r="N1067" s="25">
        <f t="shared" si="33"/>
        <v>140000</v>
      </c>
      <c r="O1067" s="26">
        <v>160</v>
      </c>
    </row>
    <row r="1068" spans="1:15" hidden="1" x14ac:dyDescent="0.3">
      <c r="A1068" s="26">
        <v>27</v>
      </c>
      <c r="B1068" s="20" t="str">
        <f t="shared" si="32"/>
        <v>JUL</v>
      </c>
      <c r="C1068" s="21">
        <v>46208</v>
      </c>
      <c r="D1068" s="22" t="str">
        <f t="array" ref="D1068">IFERROR(INDEX('Kode Outlet dan Target Toko'!$A:$A,MATCH($I1068,'Kode Outlet dan Target Toko'!$E:$E,0)),"")</f>
        <v>GRSM 4</v>
      </c>
      <c r="E1068" s="20" t="str">
        <f>IFERROR(VLOOKUP(I1068,KET!$B:$F,4,0),"")</f>
        <v>FAHMI LUKMANUL HAKIM</v>
      </c>
      <c r="F1068" s="20" t="str">
        <f>IFERROR(VLOOKUP(I1068,KET!$B:$F,5,0),"")</f>
        <v>GMM</v>
      </c>
      <c r="G1068" s="20">
        <f>IFERROR(INDEX('Kode Outlet dan Target Toko'!$C:$C,MATCH($I1068,'Kode Outlet dan Target Toko'!$E:$E,0)),0)</f>
        <v>189901</v>
      </c>
      <c r="H1068" s="20">
        <f>IFERROR(INDEX('Kode Outlet dan Target Toko'!$D:$D,MATCH($I1068,'Kode Outlet dan Target Toko'!$E:$E,0)),0)</f>
        <v>1602018</v>
      </c>
      <c r="I1068" s="50" t="s">
        <v>34</v>
      </c>
      <c r="J1068" s="27" t="s">
        <v>262</v>
      </c>
      <c r="K1068" s="40" t="s">
        <v>15</v>
      </c>
      <c r="L1068" s="43">
        <v>3500</v>
      </c>
      <c r="M1068" s="26">
        <v>20</v>
      </c>
      <c r="N1068" s="25">
        <f t="shared" si="33"/>
        <v>70000</v>
      </c>
      <c r="O1068" s="26"/>
    </row>
    <row r="1069" spans="1:15" hidden="1" x14ac:dyDescent="0.3">
      <c r="A1069" s="26">
        <v>27</v>
      </c>
      <c r="B1069" s="20" t="str">
        <f t="shared" si="32"/>
        <v>JUL</v>
      </c>
      <c r="C1069" s="21">
        <v>46208</v>
      </c>
      <c r="D1069" s="22" t="str">
        <f t="array" ref="D1069">IFERROR(INDEX('Kode Outlet dan Target Toko'!$A:$A,MATCH($I1069,'Kode Outlet dan Target Toko'!$E:$E,0)),"")</f>
        <v>GRSM 4</v>
      </c>
      <c r="E1069" s="20" t="str">
        <f>IFERROR(VLOOKUP(I1069,KET!$B:$F,4,0),"")</f>
        <v>FAHMI LUKMANUL HAKIM</v>
      </c>
      <c r="F1069" s="20" t="str">
        <f>IFERROR(VLOOKUP(I1069,KET!$B:$F,5,0),"")</f>
        <v>GMM</v>
      </c>
      <c r="G1069" s="20">
        <f>IFERROR(INDEX('Kode Outlet dan Target Toko'!$C:$C,MATCH($I1069,'Kode Outlet dan Target Toko'!$E:$E,0)),0)</f>
        <v>189901</v>
      </c>
      <c r="H1069" s="20">
        <f>IFERROR(INDEX('Kode Outlet dan Target Toko'!$D:$D,MATCH($I1069,'Kode Outlet dan Target Toko'!$E:$E,0)),0)</f>
        <v>1602018</v>
      </c>
      <c r="I1069" s="50" t="s">
        <v>34</v>
      </c>
      <c r="J1069" s="27" t="s">
        <v>262</v>
      </c>
      <c r="K1069" s="40" t="s">
        <v>14</v>
      </c>
      <c r="L1069" s="43">
        <v>3500</v>
      </c>
      <c r="M1069" s="26">
        <v>20</v>
      </c>
      <c r="N1069" s="25">
        <f t="shared" si="33"/>
        <v>70000</v>
      </c>
      <c r="O1069" s="26"/>
    </row>
    <row r="1070" spans="1:15" hidden="1" x14ac:dyDescent="0.3">
      <c r="A1070" s="26">
        <v>27</v>
      </c>
      <c r="B1070" s="20" t="str">
        <f t="shared" si="32"/>
        <v>JUL</v>
      </c>
      <c r="C1070" s="21">
        <v>46208</v>
      </c>
      <c r="D1070" s="22" t="str">
        <f t="array" ref="D1070">IFERROR(INDEX('Kode Outlet dan Target Toko'!$A:$A,MATCH($I1070,'Kode Outlet dan Target Toko'!$E:$E,0)),"")</f>
        <v>GRSM 4</v>
      </c>
      <c r="E1070" s="20" t="str">
        <f>IFERROR(VLOOKUP(I1070,KET!$B:$F,4,0),"")</f>
        <v>FAHMI LUKMANUL HAKIM</v>
      </c>
      <c r="F1070" s="20" t="str">
        <f>IFERROR(VLOOKUP(I1070,KET!$B:$F,5,0),"")</f>
        <v>GMM</v>
      </c>
      <c r="G1070" s="20">
        <f>IFERROR(INDEX('Kode Outlet dan Target Toko'!$C:$C,MATCH($I1070,'Kode Outlet dan Target Toko'!$E:$E,0)),0)</f>
        <v>189901</v>
      </c>
      <c r="H1070" s="20">
        <f>IFERROR(INDEX('Kode Outlet dan Target Toko'!$D:$D,MATCH($I1070,'Kode Outlet dan Target Toko'!$E:$E,0)),0)</f>
        <v>1602018</v>
      </c>
      <c r="I1070" s="50" t="s">
        <v>34</v>
      </c>
      <c r="J1070" s="27" t="s">
        <v>262</v>
      </c>
      <c r="K1070" s="40" t="s">
        <v>13</v>
      </c>
      <c r="L1070" s="43">
        <v>3500</v>
      </c>
      <c r="M1070" s="26">
        <v>15</v>
      </c>
      <c r="N1070" s="25">
        <f t="shared" si="33"/>
        <v>52500</v>
      </c>
      <c r="O1070" s="26"/>
    </row>
    <row r="1071" spans="1:15" hidden="1" x14ac:dyDescent="0.3">
      <c r="A1071" s="26">
        <v>27</v>
      </c>
      <c r="B1071" s="20" t="str">
        <f t="shared" si="32"/>
        <v>JUL</v>
      </c>
      <c r="C1071" s="21">
        <v>46208</v>
      </c>
      <c r="D1071" s="22" t="str">
        <f t="array" ref="D1071">IFERROR(INDEX('Kode Outlet dan Target Toko'!$A:$A,MATCH($I1071,'Kode Outlet dan Target Toko'!$E:$E,0)),"")</f>
        <v>GRSM 4</v>
      </c>
      <c r="E1071" s="20" t="str">
        <f>IFERROR(VLOOKUP(I1071,KET!$B:$F,4,0),"")</f>
        <v>FAHMI LUKMANUL HAKIM</v>
      </c>
      <c r="F1071" s="20" t="str">
        <f>IFERROR(VLOOKUP(I1071,KET!$B:$F,5,0),"")</f>
        <v>GMM</v>
      </c>
      <c r="G1071" s="20">
        <f>IFERROR(INDEX('Kode Outlet dan Target Toko'!$C:$C,MATCH($I1071,'Kode Outlet dan Target Toko'!$E:$E,0)),0)</f>
        <v>189901</v>
      </c>
      <c r="H1071" s="20">
        <f>IFERROR(INDEX('Kode Outlet dan Target Toko'!$D:$D,MATCH($I1071,'Kode Outlet dan Target Toko'!$E:$E,0)),0)</f>
        <v>1602018</v>
      </c>
      <c r="I1071" s="50" t="s">
        <v>34</v>
      </c>
      <c r="J1071" s="44" t="s">
        <v>262</v>
      </c>
      <c r="K1071" s="47" t="s">
        <v>16</v>
      </c>
      <c r="L1071" s="48">
        <v>3500</v>
      </c>
      <c r="M1071" s="49">
        <v>60</v>
      </c>
      <c r="N1071" s="25">
        <f t="shared" si="33"/>
        <v>210000</v>
      </c>
      <c r="O1071" s="26">
        <v>160</v>
      </c>
    </row>
    <row r="1072" spans="1:15" hidden="1" x14ac:dyDescent="0.3">
      <c r="A1072" s="26">
        <v>28</v>
      </c>
      <c r="B1072" s="20" t="str">
        <f t="shared" si="32"/>
        <v>JUL</v>
      </c>
      <c r="C1072" s="21">
        <v>46213</v>
      </c>
      <c r="D1072" s="22" t="str">
        <f t="array" ref="D1072">IFERROR(INDEX('Kode Outlet dan Target Toko'!$A:$A,MATCH($I1072,'Kode Outlet dan Target Toko'!$E:$E,0)),"")</f>
        <v>GRSM 4</v>
      </c>
      <c r="E1072" s="20" t="str">
        <f>IFERROR(VLOOKUP(I1072,KET!$B:$F,4,0),"")</f>
        <v>FAHMI LUKMANUL HAKIM</v>
      </c>
      <c r="F1072" s="20" t="str">
        <f>IFERROR(VLOOKUP(I1072,KET!$B:$F,5,0),"")</f>
        <v>GMM</v>
      </c>
      <c r="G1072" s="20">
        <f>IFERROR(INDEX('Kode Outlet dan Target Toko'!$C:$C,MATCH($I1072,'Kode Outlet dan Target Toko'!$E:$E,0)),0)</f>
        <v>121409</v>
      </c>
      <c r="H1072" s="20">
        <f>IFERROR(INDEX('Kode Outlet dan Target Toko'!$D:$D,MATCH($I1072,'Kode Outlet dan Target Toko'!$E:$E,0)),0)</f>
        <v>5205014</v>
      </c>
      <c r="I1072" s="50" t="s">
        <v>31</v>
      </c>
      <c r="J1072" s="56" t="s">
        <v>184</v>
      </c>
      <c r="K1072" s="40" t="s">
        <v>15</v>
      </c>
      <c r="L1072" s="56">
        <v>2100</v>
      </c>
      <c r="M1072" s="56">
        <v>89</v>
      </c>
      <c r="N1072" s="25">
        <f t="shared" si="33"/>
        <v>186900</v>
      </c>
      <c r="O1072" s="26"/>
    </row>
    <row r="1073" spans="1:15" hidden="1" x14ac:dyDescent="0.3">
      <c r="A1073" s="26">
        <v>28</v>
      </c>
      <c r="B1073" s="20" t="str">
        <f t="shared" si="32"/>
        <v>JUL</v>
      </c>
      <c r="C1073" s="21">
        <v>46213</v>
      </c>
      <c r="D1073" s="22" t="str">
        <f t="array" ref="D1073">IFERROR(INDEX('Kode Outlet dan Target Toko'!$A:$A,MATCH($I1073,'Kode Outlet dan Target Toko'!$E:$E,0)),"")</f>
        <v>GRSM 4</v>
      </c>
      <c r="E1073" s="20" t="str">
        <f>IFERROR(VLOOKUP(I1073,KET!$B:$F,4,0),"")</f>
        <v>FAHMI LUKMANUL HAKIM</v>
      </c>
      <c r="F1073" s="20" t="str">
        <f>IFERROR(VLOOKUP(I1073,KET!$B:$F,5,0),"")</f>
        <v>GMM</v>
      </c>
      <c r="G1073" s="20">
        <f>IFERROR(INDEX('Kode Outlet dan Target Toko'!$C:$C,MATCH($I1073,'Kode Outlet dan Target Toko'!$E:$E,0)),0)</f>
        <v>121409</v>
      </c>
      <c r="H1073" s="20">
        <f>IFERROR(INDEX('Kode Outlet dan Target Toko'!$D:$D,MATCH($I1073,'Kode Outlet dan Target Toko'!$E:$E,0)),0)</f>
        <v>5205014</v>
      </c>
      <c r="I1073" s="50" t="s">
        <v>31</v>
      </c>
      <c r="J1073" s="56" t="s">
        <v>184</v>
      </c>
      <c r="K1073" s="40" t="s">
        <v>14</v>
      </c>
      <c r="L1073" s="56">
        <v>2100</v>
      </c>
      <c r="M1073" s="56">
        <v>92</v>
      </c>
      <c r="N1073" s="25">
        <f t="shared" si="33"/>
        <v>193200</v>
      </c>
      <c r="O1073" s="26"/>
    </row>
    <row r="1074" spans="1:15" hidden="1" x14ac:dyDescent="0.3">
      <c r="A1074" s="26">
        <v>28</v>
      </c>
      <c r="B1074" s="20" t="str">
        <f t="shared" si="32"/>
        <v>JUL</v>
      </c>
      <c r="C1074" s="21">
        <v>46213</v>
      </c>
      <c r="D1074" s="22" t="str">
        <f t="array" ref="D1074">IFERROR(INDEX('Kode Outlet dan Target Toko'!$A:$A,MATCH($I1074,'Kode Outlet dan Target Toko'!$E:$E,0)),"")</f>
        <v>GRSM 4</v>
      </c>
      <c r="E1074" s="20" t="str">
        <f>IFERROR(VLOOKUP(I1074,KET!$B:$F,4,0),"")</f>
        <v>FAHMI LUKMANUL HAKIM</v>
      </c>
      <c r="F1074" s="20" t="str">
        <f>IFERROR(VLOOKUP(I1074,KET!$B:$F,5,0),"")</f>
        <v>GMM</v>
      </c>
      <c r="G1074" s="20">
        <f>IFERROR(INDEX('Kode Outlet dan Target Toko'!$C:$C,MATCH($I1074,'Kode Outlet dan Target Toko'!$E:$E,0)),0)</f>
        <v>121409</v>
      </c>
      <c r="H1074" s="20">
        <f>IFERROR(INDEX('Kode Outlet dan Target Toko'!$D:$D,MATCH($I1074,'Kode Outlet dan Target Toko'!$E:$E,0)),0)</f>
        <v>5205014</v>
      </c>
      <c r="I1074" s="50" t="s">
        <v>31</v>
      </c>
      <c r="J1074" s="56" t="s">
        <v>184</v>
      </c>
      <c r="K1074" s="40" t="s">
        <v>13</v>
      </c>
      <c r="L1074" s="56">
        <v>2100</v>
      </c>
      <c r="M1074" s="56">
        <v>100</v>
      </c>
      <c r="N1074" s="25">
        <f t="shared" si="33"/>
        <v>210000</v>
      </c>
      <c r="O1074" s="26"/>
    </row>
    <row r="1075" spans="1:15" hidden="1" x14ac:dyDescent="0.3">
      <c r="A1075" s="26">
        <v>28</v>
      </c>
      <c r="B1075" s="20" t="str">
        <f t="shared" si="32"/>
        <v>JUL</v>
      </c>
      <c r="C1075" s="21">
        <v>46213</v>
      </c>
      <c r="D1075" s="22" t="str">
        <f t="array" ref="D1075">IFERROR(INDEX('Kode Outlet dan Target Toko'!$A:$A,MATCH($I1075,'Kode Outlet dan Target Toko'!$E:$E,0)),"")</f>
        <v>GRSM 4</v>
      </c>
      <c r="E1075" s="20" t="str">
        <f>IFERROR(VLOOKUP(I1075,KET!$B:$F,4,0),"")</f>
        <v>FAHMI LUKMANUL HAKIM</v>
      </c>
      <c r="F1075" s="20" t="str">
        <f>IFERROR(VLOOKUP(I1075,KET!$B:$F,5,0),"")</f>
        <v>GMM</v>
      </c>
      <c r="G1075" s="20">
        <f>IFERROR(INDEX('Kode Outlet dan Target Toko'!$C:$C,MATCH($I1075,'Kode Outlet dan Target Toko'!$E:$E,0)),0)</f>
        <v>121409</v>
      </c>
      <c r="H1075" s="20">
        <f>IFERROR(INDEX('Kode Outlet dan Target Toko'!$D:$D,MATCH($I1075,'Kode Outlet dan Target Toko'!$E:$E,0)),0)</f>
        <v>5205014</v>
      </c>
      <c r="I1075" s="50" t="s">
        <v>31</v>
      </c>
      <c r="J1075" s="56" t="s">
        <v>184</v>
      </c>
      <c r="K1075" s="40" t="s">
        <v>16</v>
      </c>
      <c r="L1075" s="56">
        <v>2100</v>
      </c>
      <c r="M1075" s="56">
        <v>171</v>
      </c>
      <c r="N1075" s="25">
        <f t="shared" si="33"/>
        <v>359100</v>
      </c>
      <c r="O1075" s="26">
        <v>160</v>
      </c>
    </row>
    <row r="1076" spans="1:15" hidden="1" x14ac:dyDescent="0.3">
      <c r="A1076" s="26">
        <v>28</v>
      </c>
      <c r="B1076" s="20" t="str">
        <f t="shared" si="32"/>
        <v>JUL</v>
      </c>
      <c r="C1076" s="21">
        <v>46213</v>
      </c>
      <c r="D1076" s="22" t="str">
        <f t="array" ref="D1076">IFERROR(INDEX('Kode Outlet dan Target Toko'!$A:$A,MATCH($I1076,'Kode Outlet dan Target Toko'!$E:$E,0)),"")</f>
        <v>GRSM 4</v>
      </c>
      <c r="E1076" s="20" t="str">
        <f>IFERROR(VLOOKUP(I1076,KET!$B:$F,4,0),"")</f>
        <v>FAHMI LUKMANUL HAKIM</v>
      </c>
      <c r="F1076" s="20" t="str">
        <f>IFERROR(VLOOKUP(I1076,KET!$B:$F,5,0),"")</f>
        <v>GMM</v>
      </c>
      <c r="G1076" s="20">
        <f>IFERROR(INDEX('Kode Outlet dan Target Toko'!$C:$C,MATCH($I1076,'Kode Outlet dan Target Toko'!$E:$E,0)),0)</f>
        <v>121409</v>
      </c>
      <c r="H1076" s="20">
        <f>IFERROR(INDEX('Kode Outlet dan Target Toko'!$D:$D,MATCH($I1076,'Kode Outlet dan Target Toko'!$E:$E,0)),0)</f>
        <v>5205014</v>
      </c>
      <c r="I1076" s="50" t="s">
        <v>31</v>
      </c>
      <c r="J1076" s="56" t="s">
        <v>185</v>
      </c>
      <c r="K1076" s="40" t="s">
        <v>15</v>
      </c>
      <c r="L1076" s="56">
        <v>2100</v>
      </c>
      <c r="M1076" s="56">
        <v>89</v>
      </c>
      <c r="N1076" s="25">
        <f t="shared" si="33"/>
        <v>186900</v>
      </c>
      <c r="O1076" s="26"/>
    </row>
    <row r="1077" spans="1:15" hidden="1" x14ac:dyDescent="0.3">
      <c r="A1077" s="26">
        <v>28</v>
      </c>
      <c r="B1077" s="20" t="str">
        <f t="shared" si="32"/>
        <v>JUL</v>
      </c>
      <c r="C1077" s="21">
        <v>46213</v>
      </c>
      <c r="D1077" s="22" t="str">
        <f t="array" ref="D1077">IFERROR(INDEX('Kode Outlet dan Target Toko'!$A:$A,MATCH($I1077,'Kode Outlet dan Target Toko'!$E:$E,0)),"")</f>
        <v>GRSM 4</v>
      </c>
      <c r="E1077" s="20" t="str">
        <f>IFERROR(VLOOKUP(I1077,KET!$B:$F,4,0),"")</f>
        <v>FAHMI LUKMANUL HAKIM</v>
      </c>
      <c r="F1077" s="20" t="str">
        <f>IFERROR(VLOOKUP(I1077,KET!$B:$F,5,0),"")</f>
        <v>GMM</v>
      </c>
      <c r="G1077" s="20">
        <f>IFERROR(INDEX('Kode Outlet dan Target Toko'!$C:$C,MATCH($I1077,'Kode Outlet dan Target Toko'!$E:$E,0)),0)</f>
        <v>121409</v>
      </c>
      <c r="H1077" s="20">
        <f>IFERROR(INDEX('Kode Outlet dan Target Toko'!$D:$D,MATCH($I1077,'Kode Outlet dan Target Toko'!$E:$E,0)),0)</f>
        <v>5205014</v>
      </c>
      <c r="I1077" s="50" t="s">
        <v>31</v>
      </c>
      <c r="J1077" s="56" t="s">
        <v>185</v>
      </c>
      <c r="K1077" s="40" t="s">
        <v>14</v>
      </c>
      <c r="L1077" s="56">
        <v>2100</v>
      </c>
      <c r="M1077" s="56">
        <v>92</v>
      </c>
      <c r="N1077" s="25">
        <f t="shared" si="33"/>
        <v>193200</v>
      </c>
      <c r="O1077" s="26"/>
    </row>
    <row r="1078" spans="1:15" hidden="1" x14ac:dyDescent="0.3">
      <c r="A1078" s="26">
        <v>28</v>
      </c>
      <c r="B1078" s="20" t="str">
        <f t="shared" si="32"/>
        <v>JUL</v>
      </c>
      <c r="C1078" s="21">
        <v>46213</v>
      </c>
      <c r="D1078" s="22" t="str">
        <f t="array" ref="D1078">IFERROR(INDEX('Kode Outlet dan Target Toko'!$A:$A,MATCH($I1078,'Kode Outlet dan Target Toko'!$E:$E,0)),"")</f>
        <v>GRSM 4</v>
      </c>
      <c r="E1078" s="20" t="str">
        <f>IFERROR(VLOOKUP(I1078,KET!$B:$F,4,0),"")</f>
        <v>FAHMI LUKMANUL HAKIM</v>
      </c>
      <c r="F1078" s="20" t="str">
        <f>IFERROR(VLOOKUP(I1078,KET!$B:$F,5,0),"")</f>
        <v>GMM</v>
      </c>
      <c r="G1078" s="20">
        <f>IFERROR(INDEX('Kode Outlet dan Target Toko'!$C:$C,MATCH($I1078,'Kode Outlet dan Target Toko'!$E:$E,0)),0)</f>
        <v>121409</v>
      </c>
      <c r="H1078" s="20">
        <f>IFERROR(INDEX('Kode Outlet dan Target Toko'!$D:$D,MATCH($I1078,'Kode Outlet dan Target Toko'!$E:$E,0)),0)</f>
        <v>5205014</v>
      </c>
      <c r="I1078" s="50" t="s">
        <v>31</v>
      </c>
      <c r="J1078" s="56" t="s">
        <v>185</v>
      </c>
      <c r="K1078" s="40" t="s">
        <v>13</v>
      </c>
      <c r="L1078" s="56">
        <v>2100</v>
      </c>
      <c r="M1078" s="56">
        <v>100</v>
      </c>
      <c r="N1078" s="25">
        <f t="shared" si="33"/>
        <v>210000</v>
      </c>
      <c r="O1078" s="26"/>
    </row>
    <row r="1079" spans="1:15" hidden="1" x14ac:dyDescent="0.3">
      <c r="A1079" s="26">
        <v>28</v>
      </c>
      <c r="B1079" s="20" t="str">
        <f t="shared" si="32"/>
        <v>JUL</v>
      </c>
      <c r="C1079" s="21">
        <v>46213</v>
      </c>
      <c r="D1079" s="22" t="str">
        <f t="array" ref="D1079">IFERROR(INDEX('Kode Outlet dan Target Toko'!$A:$A,MATCH($I1079,'Kode Outlet dan Target Toko'!$E:$E,0)),"")</f>
        <v>GRSM 4</v>
      </c>
      <c r="E1079" s="20" t="str">
        <f>IFERROR(VLOOKUP(I1079,KET!$B:$F,4,0),"")</f>
        <v>FAHMI LUKMANUL HAKIM</v>
      </c>
      <c r="F1079" s="20" t="str">
        <f>IFERROR(VLOOKUP(I1079,KET!$B:$F,5,0),"")</f>
        <v>GMM</v>
      </c>
      <c r="G1079" s="20">
        <f>IFERROR(INDEX('Kode Outlet dan Target Toko'!$C:$C,MATCH($I1079,'Kode Outlet dan Target Toko'!$E:$E,0)),0)</f>
        <v>121409</v>
      </c>
      <c r="H1079" s="20">
        <f>IFERROR(INDEX('Kode Outlet dan Target Toko'!$D:$D,MATCH($I1079,'Kode Outlet dan Target Toko'!$E:$E,0)),0)</f>
        <v>5205014</v>
      </c>
      <c r="I1079" s="50" t="s">
        <v>31</v>
      </c>
      <c r="J1079" s="56" t="s">
        <v>185</v>
      </c>
      <c r="K1079" s="40" t="s">
        <v>16</v>
      </c>
      <c r="L1079" s="56">
        <v>2100</v>
      </c>
      <c r="M1079" s="56">
        <v>171</v>
      </c>
      <c r="N1079" s="25">
        <f t="shared" si="33"/>
        <v>359100</v>
      </c>
      <c r="O1079" s="26">
        <v>160</v>
      </c>
    </row>
    <row r="1080" spans="1:15" hidden="1" x14ac:dyDescent="0.3">
      <c r="A1080" s="26">
        <v>28</v>
      </c>
      <c r="B1080" s="20" t="str">
        <f t="shared" si="32"/>
        <v>JUL</v>
      </c>
      <c r="C1080" s="21">
        <v>46213</v>
      </c>
      <c r="D1080" s="22" t="str">
        <f t="array" ref="D1080">IFERROR(INDEX('Kode Outlet dan Target Toko'!$A:$A,MATCH($I1080,'Kode Outlet dan Target Toko'!$E:$E,0)),"")</f>
        <v>GRSM 4</v>
      </c>
      <c r="E1080" s="20" t="str">
        <f>IFERROR(VLOOKUP(I1080,KET!$B:$F,4,0),"")</f>
        <v>FAHMI LUKMANUL HAKIM</v>
      </c>
      <c r="F1080" s="20" t="str">
        <f>IFERROR(VLOOKUP(I1080,KET!$B:$F,5,0),"")</f>
        <v>GMM</v>
      </c>
      <c r="G1080" s="20">
        <f>IFERROR(INDEX('Kode Outlet dan Target Toko'!$C:$C,MATCH($I1080,'Kode Outlet dan Target Toko'!$E:$E,0)),0)</f>
        <v>189901</v>
      </c>
      <c r="H1080" s="20">
        <f>IFERROR(INDEX('Kode Outlet dan Target Toko'!$D:$D,MATCH($I1080,'Kode Outlet dan Target Toko'!$E:$E,0)),0)</f>
        <v>1602057</v>
      </c>
      <c r="I1080" s="50" t="s">
        <v>68</v>
      </c>
      <c r="J1080" s="27" t="s">
        <v>174</v>
      </c>
      <c r="K1080" s="40" t="s">
        <v>15</v>
      </c>
      <c r="L1080" s="56">
        <v>2150</v>
      </c>
      <c r="M1080" s="56">
        <v>101</v>
      </c>
      <c r="N1080" s="25">
        <f t="shared" si="33"/>
        <v>217150</v>
      </c>
      <c r="O1080" s="26"/>
    </row>
    <row r="1081" spans="1:15" hidden="1" x14ac:dyDescent="0.3">
      <c r="A1081" s="26">
        <v>28</v>
      </c>
      <c r="B1081" s="20" t="str">
        <f t="shared" si="32"/>
        <v>JUL</v>
      </c>
      <c r="C1081" s="21">
        <v>46213</v>
      </c>
      <c r="D1081" s="22" t="str">
        <f t="array" ref="D1081">IFERROR(INDEX('Kode Outlet dan Target Toko'!$A:$A,MATCH($I1081,'Kode Outlet dan Target Toko'!$E:$E,0)),"")</f>
        <v>GRSM 4</v>
      </c>
      <c r="E1081" s="20" t="str">
        <f>IFERROR(VLOOKUP(I1081,KET!$B:$F,4,0),"")</f>
        <v>FAHMI LUKMANUL HAKIM</v>
      </c>
      <c r="F1081" s="20" t="str">
        <f>IFERROR(VLOOKUP(I1081,KET!$B:$F,5,0),"")</f>
        <v>GMM</v>
      </c>
      <c r="G1081" s="20">
        <f>IFERROR(INDEX('Kode Outlet dan Target Toko'!$C:$C,MATCH($I1081,'Kode Outlet dan Target Toko'!$E:$E,0)),0)</f>
        <v>189901</v>
      </c>
      <c r="H1081" s="20">
        <f>IFERROR(INDEX('Kode Outlet dan Target Toko'!$D:$D,MATCH($I1081,'Kode Outlet dan Target Toko'!$E:$E,0)),0)</f>
        <v>1602057</v>
      </c>
      <c r="I1081" s="50" t="s">
        <v>68</v>
      </c>
      <c r="J1081" s="27" t="s">
        <v>174</v>
      </c>
      <c r="K1081" s="40" t="s">
        <v>14</v>
      </c>
      <c r="L1081" s="56">
        <v>2150</v>
      </c>
      <c r="M1081" s="56">
        <v>119</v>
      </c>
      <c r="N1081" s="25">
        <f t="shared" si="33"/>
        <v>255850</v>
      </c>
      <c r="O1081" s="26"/>
    </row>
    <row r="1082" spans="1:15" hidden="1" x14ac:dyDescent="0.3">
      <c r="A1082" s="26">
        <v>28</v>
      </c>
      <c r="B1082" s="20" t="str">
        <f t="shared" si="32"/>
        <v>JUL</v>
      </c>
      <c r="C1082" s="21">
        <v>46213</v>
      </c>
      <c r="D1082" s="22" t="str">
        <f t="array" ref="D1082">IFERROR(INDEX('Kode Outlet dan Target Toko'!$A:$A,MATCH($I1082,'Kode Outlet dan Target Toko'!$E:$E,0)),"")</f>
        <v>GRSM 4</v>
      </c>
      <c r="E1082" s="20" t="str">
        <f>IFERROR(VLOOKUP(I1082,KET!$B:$F,4,0),"")</f>
        <v>FAHMI LUKMANUL HAKIM</v>
      </c>
      <c r="F1082" s="20" t="str">
        <f>IFERROR(VLOOKUP(I1082,KET!$B:$F,5,0),"")</f>
        <v>GMM</v>
      </c>
      <c r="G1082" s="20">
        <f>IFERROR(INDEX('Kode Outlet dan Target Toko'!$C:$C,MATCH($I1082,'Kode Outlet dan Target Toko'!$E:$E,0)),0)</f>
        <v>189901</v>
      </c>
      <c r="H1082" s="20">
        <f>IFERROR(INDEX('Kode Outlet dan Target Toko'!$D:$D,MATCH($I1082,'Kode Outlet dan Target Toko'!$E:$E,0)),0)</f>
        <v>1602057</v>
      </c>
      <c r="I1082" s="50" t="s">
        <v>68</v>
      </c>
      <c r="J1082" s="27" t="s">
        <v>174</v>
      </c>
      <c r="K1082" s="40" t="s">
        <v>13</v>
      </c>
      <c r="L1082" s="56">
        <v>2150</v>
      </c>
      <c r="M1082" s="56">
        <v>129</v>
      </c>
      <c r="N1082" s="25">
        <f t="shared" si="33"/>
        <v>277350</v>
      </c>
      <c r="O1082" s="26"/>
    </row>
    <row r="1083" spans="1:15" hidden="1" x14ac:dyDescent="0.3">
      <c r="A1083" s="26">
        <v>28</v>
      </c>
      <c r="B1083" s="20" t="str">
        <f t="shared" si="32"/>
        <v>JUL</v>
      </c>
      <c r="C1083" s="21">
        <v>46213</v>
      </c>
      <c r="D1083" s="22" t="str">
        <f t="array" ref="D1083">IFERROR(INDEX('Kode Outlet dan Target Toko'!$A:$A,MATCH($I1083,'Kode Outlet dan Target Toko'!$E:$E,0)),"")</f>
        <v>GRSM 4</v>
      </c>
      <c r="E1083" s="20" t="str">
        <f>IFERROR(VLOOKUP(I1083,KET!$B:$F,4,0),"")</f>
        <v>FAHMI LUKMANUL HAKIM</v>
      </c>
      <c r="F1083" s="20" t="str">
        <f>IFERROR(VLOOKUP(I1083,KET!$B:$F,5,0),"")</f>
        <v>GMM</v>
      </c>
      <c r="G1083" s="20">
        <f>IFERROR(INDEX('Kode Outlet dan Target Toko'!$C:$C,MATCH($I1083,'Kode Outlet dan Target Toko'!$E:$E,0)),0)</f>
        <v>189901</v>
      </c>
      <c r="H1083" s="20">
        <f>IFERROR(INDEX('Kode Outlet dan Target Toko'!$D:$D,MATCH($I1083,'Kode Outlet dan Target Toko'!$E:$E,0)),0)</f>
        <v>1602057</v>
      </c>
      <c r="I1083" s="50" t="s">
        <v>68</v>
      </c>
      <c r="J1083" s="27" t="s">
        <v>174</v>
      </c>
      <c r="K1083" s="40" t="s">
        <v>16</v>
      </c>
      <c r="L1083" s="56">
        <v>2150</v>
      </c>
      <c r="M1083" s="56">
        <v>185</v>
      </c>
      <c r="N1083" s="25">
        <f t="shared" si="33"/>
        <v>397750</v>
      </c>
      <c r="O1083" s="26">
        <v>160</v>
      </c>
    </row>
    <row r="1084" spans="1:15" hidden="1" x14ac:dyDescent="0.3">
      <c r="A1084" s="26">
        <v>28</v>
      </c>
      <c r="B1084" s="20" t="str">
        <f t="shared" si="32"/>
        <v>JUL</v>
      </c>
      <c r="C1084" s="21">
        <v>46213</v>
      </c>
      <c r="D1084" s="22" t="str">
        <f t="array" ref="D1084">IFERROR(INDEX('Kode Outlet dan Target Toko'!$A:$A,MATCH($I1084,'Kode Outlet dan Target Toko'!$E:$E,0)),"")</f>
        <v>GRSM 4</v>
      </c>
      <c r="E1084" s="20" t="str">
        <f>IFERROR(VLOOKUP(I1084,KET!$B:$F,4,0),"")</f>
        <v>FAHMI LUKMANUL HAKIM</v>
      </c>
      <c r="F1084" s="20" t="str">
        <f>IFERROR(VLOOKUP(I1084,KET!$B:$F,5,0),"")</f>
        <v>GMM</v>
      </c>
      <c r="G1084" s="20">
        <f>IFERROR(INDEX('Kode Outlet dan Target Toko'!$C:$C,MATCH($I1084,'Kode Outlet dan Target Toko'!$E:$E,0)),0)</f>
        <v>189901</v>
      </c>
      <c r="H1084" s="20">
        <f>IFERROR(INDEX('Kode Outlet dan Target Toko'!$D:$D,MATCH($I1084,'Kode Outlet dan Target Toko'!$E:$E,0)),0)</f>
        <v>1602057</v>
      </c>
      <c r="I1084" s="50" t="s">
        <v>68</v>
      </c>
      <c r="J1084" s="56" t="s">
        <v>175</v>
      </c>
      <c r="K1084" s="40" t="s">
        <v>15</v>
      </c>
      <c r="L1084" s="56">
        <v>2150</v>
      </c>
      <c r="M1084" s="56">
        <v>98</v>
      </c>
      <c r="N1084" s="25">
        <f t="shared" si="33"/>
        <v>210700</v>
      </c>
      <c r="O1084" s="26"/>
    </row>
    <row r="1085" spans="1:15" hidden="1" x14ac:dyDescent="0.3">
      <c r="A1085" s="26">
        <v>28</v>
      </c>
      <c r="B1085" s="20" t="str">
        <f t="shared" si="32"/>
        <v>JUL</v>
      </c>
      <c r="C1085" s="21">
        <v>46213</v>
      </c>
      <c r="D1085" s="22" t="str">
        <f t="array" ref="D1085">IFERROR(INDEX('Kode Outlet dan Target Toko'!$A:$A,MATCH($I1085,'Kode Outlet dan Target Toko'!$E:$E,0)),"")</f>
        <v>GRSM 4</v>
      </c>
      <c r="E1085" s="20" t="str">
        <f>IFERROR(VLOOKUP(I1085,KET!$B:$F,4,0),"")</f>
        <v>FAHMI LUKMANUL HAKIM</v>
      </c>
      <c r="F1085" s="20" t="str">
        <f>IFERROR(VLOOKUP(I1085,KET!$B:$F,5,0),"")</f>
        <v>GMM</v>
      </c>
      <c r="G1085" s="20">
        <f>IFERROR(INDEX('Kode Outlet dan Target Toko'!$C:$C,MATCH($I1085,'Kode Outlet dan Target Toko'!$E:$E,0)),0)</f>
        <v>189901</v>
      </c>
      <c r="H1085" s="20">
        <f>IFERROR(INDEX('Kode Outlet dan Target Toko'!$D:$D,MATCH($I1085,'Kode Outlet dan Target Toko'!$E:$E,0)),0)</f>
        <v>1602057</v>
      </c>
      <c r="I1085" s="50" t="s">
        <v>68</v>
      </c>
      <c r="J1085" s="56" t="s">
        <v>175</v>
      </c>
      <c r="K1085" s="40" t="s">
        <v>14</v>
      </c>
      <c r="L1085" s="56">
        <v>2150</v>
      </c>
      <c r="M1085" s="56">
        <v>123</v>
      </c>
      <c r="N1085" s="25">
        <f t="shared" si="33"/>
        <v>264450</v>
      </c>
      <c r="O1085" s="26"/>
    </row>
    <row r="1086" spans="1:15" hidden="1" x14ac:dyDescent="0.3">
      <c r="A1086" s="26">
        <v>28</v>
      </c>
      <c r="B1086" s="20" t="str">
        <f t="shared" si="32"/>
        <v>JUL</v>
      </c>
      <c r="C1086" s="21">
        <v>46213</v>
      </c>
      <c r="D1086" s="22" t="str">
        <f t="array" ref="D1086">IFERROR(INDEX('Kode Outlet dan Target Toko'!$A:$A,MATCH($I1086,'Kode Outlet dan Target Toko'!$E:$E,0)),"")</f>
        <v>GRSM 4</v>
      </c>
      <c r="E1086" s="20" t="str">
        <f>IFERROR(VLOOKUP(I1086,KET!$B:$F,4,0),"")</f>
        <v>FAHMI LUKMANUL HAKIM</v>
      </c>
      <c r="F1086" s="20" t="str">
        <f>IFERROR(VLOOKUP(I1086,KET!$B:$F,5,0),"")</f>
        <v>GMM</v>
      </c>
      <c r="G1086" s="20">
        <f>IFERROR(INDEX('Kode Outlet dan Target Toko'!$C:$C,MATCH($I1086,'Kode Outlet dan Target Toko'!$E:$E,0)),0)</f>
        <v>189901</v>
      </c>
      <c r="H1086" s="20">
        <f>IFERROR(INDEX('Kode Outlet dan Target Toko'!$D:$D,MATCH($I1086,'Kode Outlet dan Target Toko'!$E:$E,0)),0)</f>
        <v>1602057</v>
      </c>
      <c r="I1086" s="50" t="s">
        <v>68</v>
      </c>
      <c r="J1086" s="56" t="s">
        <v>175</v>
      </c>
      <c r="K1086" s="40" t="s">
        <v>13</v>
      </c>
      <c r="L1086" s="56">
        <v>2150</v>
      </c>
      <c r="M1086" s="56">
        <v>133</v>
      </c>
      <c r="N1086" s="25">
        <f t="shared" si="33"/>
        <v>285950</v>
      </c>
      <c r="O1086" s="26"/>
    </row>
    <row r="1087" spans="1:15" hidden="1" x14ac:dyDescent="0.3">
      <c r="A1087" s="26">
        <v>28</v>
      </c>
      <c r="B1087" s="20" t="str">
        <f t="shared" si="32"/>
        <v>JUL</v>
      </c>
      <c r="C1087" s="21">
        <v>46213</v>
      </c>
      <c r="D1087" s="22" t="str">
        <f t="array" ref="D1087">IFERROR(INDEX('Kode Outlet dan Target Toko'!$A:$A,MATCH($I1087,'Kode Outlet dan Target Toko'!$E:$E,0)),"")</f>
        <v>GRSM 4</v>
      </c>
      <c r="E1087" s="20" t="str">
        <f>IFERROR(VLOOKUP(I1087,KET!$B:$F,4,0),"")</f>
        <v>FAHMI LUKMANUL HAKIM</v>
      </c>
      <c r="F1087" s="20" t="str">
        <f>IFERROR(VLOOKUP(I1087,KET!$B:$F,5,0),"")</f>
        <v>GMM</v>
      </c>
      <c r="G1087" s="20">
        <f>IFERROR(INDEX('Kode Outlet dan Target Toko'!$C:$C,MATCH($I1087,'Kode Outlet dan Target Toko'!$E:$E,0)),0)</f>
        <v>189901</v>
      </c>
      <c r="H1087" s="20">
        <f>IFERROR(INDEX('Kode Outlet dan Target Toko'!$D:$D,MATCH($I1087,'Kode Outlet dan Target Toko'!$E:$E,0)),0)</f>
        <v>1602057</v>
      </c>
      <c r="I1087" s="50" t="s">
        <v>68</v>
      </c>
      <c r="J1087" s="56" t="s">
        <v>175</v>
      </c>
      <c r="K1087" s="40" t="s">
        <v>16</v>
      </c>
      <c r="L1087" s="56">
        <v>2150</v>
      </c>
      <c r="M1087" s="56">
        <v>197</v>
      </c>
      <c r="N1087" s="25">
        <f t="shared" si="33"/>
        <v>423550</v>
      </c>
      <c r="O1087" s="26">
        <v>160</v>
      </c>
    </row>
    <row r="1088" spans="1:15" hidden="1" x14ac:dyDescent="0.3">
      <c r="A1088" s="26">
        <v>28</v>
      </c>
      <c r="B1088" s="20" t="str">
        <f t="shared" si="32"/>
        <v>JUL</v>
      </c>
      <c r="C1088" s="21">
        <v>46213</v>
      </c>
      <c r="D1088" s="22" t="str">
        <f t="array" ref="D1088">IFERROR(INDEX('Kode Outlet dan Target Toko'!$A:$A,MATCH($I1088,'Kode Outlet dan Target Toko'!$E:$E,0)),"")</f>
        <v>GRSM 4</v>
      </c>
      <c r="E1088" s="20" t="str">
        <f>IFERROR(VLOOKUP(I1088,KET!$B:$F,4,0),"")</f>
        <v>FAHMI LUKMANUL HAKIM</v>
      </c>
      <c r="F1088" s="20" t="str">
        <f>IFERROR(VLOOKUP(I1088,KET!$B:$F,5,0),"")</f>
        <v>GMM</v>
      </c>
      <c r="G1088" s="20">
        <f>IFERROR(INDEX('Kode Outlet dan Target Toko'!$C:$C,MATCH($I1088,'Kode Outlet dan Target Toko'!$E:$E,0)),0)</f>
        <v>103259</v>
      </c>
      <c r="H1088" s="20">
        <f>IFERROR(INDEX('Kode Outlet dan Target Toko'!$D:$D,MATCH($I1088,'Kode Outlet dan Target Toko'!$E:$E,0)),0)</f>
        <v>9029389</v>
      </c>
      <c r="I1088" s="42" t="s">
        <v>27</v>
      </c>
      <c r="J1088" s="27" t="s">
        <v>179</v>
      </c>
      <c r="K1088" s="40" t="s">
        <v>15</v>
      </c>
      <c r="L1088" s="56">
        <v>3000</v>
      </c>
      <c r="M1088" s="56">
        <v>53</v>
      </c>
      <c r="N1088" s="25">
        <f t="shared" si="33"/>
        <v>159000</v>
      </c>
      <c r="O1088" s="26"/>
    </row>
    <row r="1089" spans="1:15" hidden="1" x14ac:dyDescent="0.3">
      <c r="A1089" s="26">
        <v>28</v>
      </c>
      <c r="B1089" s="20" t="str">
        <f t="shared" si="32"/>
        <v>JUL</v>
      </c>
      <c r="C1089" s="21">
        <v>46213</v>
      </c>
      <c r="D1089" s="22" t="str">
        <f t="array" ref="D1089">IFERROR(INDEX('Kode Outlet dan Target Toko'!$A:$A,MATCH($I1089,'Kode Outlet dan Target Toko'!$E:$E,0)),"")</f>
        <v>GRSM 4</v>
      </c>
      <c r="E1089" s="20" t="str">
        <f>IFERROR(VLOOKUP(I1089,KET!$B:$F,4,0),"")</f>
        <v>FAHMI LUKMANUL HAKIM</v>
      </c>
      <c r="F1089" s="20" t="str">
        <f>IFERROR(VLOOKUP(I1089,KET!$B:$F,5,0),"")</f>
        <v>GMM</v>
      </c>
      <c r="G1089" s="20">
        <f>IFERROR(INDEX('Kode Outlet dan Target Toko'!$C:$C,MATCH($I1089,'Kode Outlet dan Target Toko'!$E:$E,0)),0)</f>
        <v>103259</v>
      </c>
      <c r="H1089" s="20">
        <f>IFERROR(INDEX('Kode Outlet dan Target Toko'!$D:$D,MATCH($I1089,'Kode Outlet dan Target Toko'!$E:$E,0)),0)</f>
        <v>9029389</v>
      </c>
      <c r="I1089" s="42" t="s">
        <v>27</v>
      </c>
      <c r="J1089" s="27" t="s">
        <v>179</v>
      </c>
      <c r="K1089" s="40" t="s">
        <v>14</v>
      </c>
      <c r="L1089" s="56">
        <v>3000</v>
      </c>
      <c r="M1089" s="56">
        <v>72</v>
      </c>
      <c r="N1089" s="25">
        <f t="shared" si="33"/>
        <v>216000</v>
      </c>
      <c r="O1089" s="26"/>
    </row>
    <row r="1090" spans="1:15" hidden="1" x14ac:dyDescent="0.3">
      <c r="A1090" s="26">
        <v>28</v>
      </c>
      <c r="B1090" s="20" t="str">
        <f t="shared" si="32"/>
        <v>JUL</v>
      </c>
      <c r="C1090" s="21">
        <v>46213</v>
      </c>
      <c r="D1090" s="22" t="str">
        <f t="array" ref="D1090">IFERROR(INDEX('Kode Outlet dan Target Toko'!$A:$A,MATCH($I1090,'Kode Outlet dan Target Toko'!$E:$E,0)),"")</f>
        <v>GRSM 4</v>
      </c>
      <c r="E1090" s="20" t="str">
        <f>IFERROR(VLOOKUP(I1090,KET!$B:$F,4,0),"")</f>
        <v>FAHMI LUKMANUL HAKIM</v>
      </c>
      <c r="F1090" s="20" t="str">
        <f>IFERROR(VLOOKUP(I1090,KET!$B:$F,5,0),"")</f>
        <v>GMM</v>
      </c>
      <c r="G1090" s="20">
        <f>IFERROR(INDEX('Kode Outlet dan Target Toko'!$C:$C,MATCH($I1090,'Kode Outlet dan Target Toko'!$E:$E,0)),0)</f>
        <v>103259</v>
      </c>
      <c r="H1090" s="20">
        <f>IFERROR(INDEX('Kode Outlet dan Target Toko'!$D:$D,MATCH($I1090,'Kode Outlet dan Target Toko'!$E:$E,0)),0)</f>
        <v>9029389</v>
      </c>
      <c r="I1090" s="42" t="s">
        <v>27</v>
      </c>
      <c r="J1090" s="27" t="s">
        <v>179</v>
      </c>
      <c r="K1090" s="40" t="s">
        <v>13</v>
      </c>
      <c r="L1090" s="56">
        <v>3000</v>
      </c>
      <c r="M1090" s="56">
        <v>47</v>
      </c>
      <c r="N1090" s="25">
        <f t="shared" si="33"/>
        <v>141000</v>
      </c>
      <c r="O1090" s="26"/>
    </row>
    <row r="1091" spans="1:15" hidden="1" x14ac:dyDescent="0.3">
      <c r="A1091" s="26">
        <v>28</v>
      </c>
      <c r="B1091" s="20" t="str">
        <f t="shared" si="32"/>
        <v>JUL</v>
      </c>
      <c r="C1091" s="21">
        <v>46213</v>
      </c>
      <c r="D1091" s="22" t="str">
        <f t="array" ref="D1091">IFERROR(INDEX('Kode Outlet dan Target Toko'!$A:$A,MATCH($I1091,'Kode Outlet dan Target Toko'!$E:$E,0)),"")</f>
        <v>GRSM 4</v>
      </c>
      <c r="E1091" s="20" t="str">
        <f>IFERROR(VLOOKUP(I1091,KET!$B:$F,4,0),"")</f>
        <v>FAHMI LUKMANUL HAKIM</v>
      </c>
      <c r="F1091" s="20" t="str">
        <f>IFERROR(VLOOKUP(I1091,KET!$B:$F,5,0),"")</f>
        <v>GMM</v>
      </c>
      <c r="G1091" s="20">
        <f>IFERROR(INDEX('Kode Outlet dan Target Toko'!$C:$C,MATCH($I1091,'Kode Outlet dan Target Toko'!$E:$E,0)),0)</f>
        <v>103259</v>
      </c>
      <c r="H1091" s="20">
        <f>IFERROR(INDEX('Kode Outlet dan Target Toko'!$D:$D,MATCH($I1091,'Kode Outlet dan Target Toko'!$E:$E,0)),0)</f>
        <v>9029389</v>
      </c>
      <c r="I1091" s="42" t="s">
        <v>27</v>
      </c>
      <c r="J1091" s="27" t="s">
        <v>179</v>
      </c>
      <c r="K1091" s="40" t="s">
        <v>16</v>
      </c>
      <c r="L1091" s="56">
        <v>3000</v>
      </c>
      <c r="M1091" s="56">
        <v>204</v>
      </c>
      <c r="N1091" s="25">
        <f t="shared" si="33"/>
        <v>612000</v>
      </c>
      <c r="O1091" s="26">
        <v>160</v>
      </c>
    </row>
    <row r="1092" spans="1:15" hidden="1" x14ac:dyDescent="0.3">
      <c r="A1092" s="26">
        <v>28</v>
      </c>
      <c r="B1092" s="20" t="str">
        <f t="shared" si="32"/>
        <v>JUL</v>
      </c>
      <c r="C1092" s="21">
        <v>46213</v>
      </c>
      <c r="D1092" s="22" t="str">
        <f t="array" ref="D1092">IFERROR(INDEX('Kode Outlet dan Target Toko'!$A:$A,MATCH($I1092,'Kode Outlet dan Target Toko'!$E:$E,0)),"")</f>
        <v>GRSM 4</v>
      </c>
      <c r="E1092" s="20" t="str">
        <f>IFERROR(VLOOKUP(I1092,KET!$B:$F,4,0),"")</f>
        <v>FAHMI LUKMANUL HAKIM</v>
      </c>
      <c r="F1092" s="20" t="str">
        <f>IFERROR(VLOOKUP(I1092,KET!$B:$F,5,0),"")</f>
        <v>GMM</v>
      </c>
      <c r="G1092" s="20">
        <f>IFERROR(INDEX('Kode Outlet dan Target Toko'!$C:$C,MATCH($I1092,'Kode Outlet dan Target Toko'!$E:$E,0)),0)</f>
        <v>103259</v>
      </c>
      <c r="H1092" s="20">
        <f>IFERROR(INDEX('Kode Outlet dan Target Toko'!$D:$D,MATCH($I1092,'Kode Outlet dan Target Toko'!$E:$E,0)),0)</f>
        <v>9029389</v>
      </c>
      <c r="I1092" s="42" t="s">
        <v>27</v>
      </c>
      <c r="J1092" s="56" t="s">
        <v>178</v>
      </c>
      <c r="K1092" s="40" t="s">
        <v>15</v>
      </c>
      <c r="L1092" s="56">
        <v>3000</v>
      </c>
      <c r="M1092" s="56">
        <v>59</v>
      </c>
      <c r="N1092" s="25">
        <f t="shared" si="33"/>
        <v>177000</v>
      </c>
      <c r="O1092" s="26"/>
    </row>
    <row r="1093" spans="1:15" hidden="1" x14ac:dyDescent="0.3">
      <c r="A1093" s="26">
        <v>28</v>
      </c>
      <c r="B1093" s="20" t="str">
        <f t="shared" si="32"/>
        <v>JUL</v>
      </c>
      <c r="C1093" s="21">
        <v>46213</v>
      </c>
      <c r="D1093" s="22" t="str">
        <f t="array" ref="D1093">IFERROR(INDEX('Kode Outlet dan Target Toko'!$A:$A,MATCH($I1093,'Kode Outlet dan Target Toko'!$E:$E,0)),"")</f>
        <v>GRSM 4</v>
      </c>
      <c r="E1093" s="20" t="str">
        <f>IFERROR(VLOOKUP(I1093,KET!$B:$F,4,0),"")</f>
        <v>FAHMI LUKMANUL HAKIM</v>
      </c>
      <c r="F1093" s="20" t="str">
        <f>IFERROR(VLOOKUP(I1093,KET!$B:$F,5,0),"")</f>
        <v>GMM</v>
      </c>
      <c r="G1093" s="20">
        <f>IFERROR(INDEX('Kode Outlet dan Target Toko'!$C:$C,MATCH($I1093,'Kode Outlet dan Target Toko'!$E:$E,0)),0)</f>
        <v>103259</v>
      </c>
      <c r="H1093" s="20">
        <f>IFERROR(INDEX('Kode Outlet dan Target Toko'!$D:$D,MATCH($I1093,'Kode Outlet dan Target Toko'!$E:$E,0)),0)</f>
        <v>9029389</v>
      </c>
      <c r="I1093" s="42" t="s">
        <v>27</v>
      </c>
      <c r="J1093" s="56" t="s">
        <v>178</v>
      </c>
      <c r="K1093" s="40" t="s">
        <v>14</v>
      </c>
      <c r="L1093" s="56">
        <v>3000</v>
      </c>
      <c r="M1093" s="56">
        <v>81</v>
      </c>
      <c r="N1093" s="25">
        <f t="shared" si="33"/>
        <v>243000</v>
      </c>
      <c r="O1093" s="26"/>
    </row>
    <row r="1094" spans="1:15" hidden="1" x14ac:dyDescent="0.3">
      <c r="A1094" s="26">
        <v>28</v>
      </c>
      <c r="B1094" s="20" t="str">
        <f t="shared" si="32"/>
        <v>JUL</v>
      </c>
      <c r="C1094" s="21">
        <v>46213</v>
      </c>
      <c r="D1094" s="22" t="str">
        <f t="array" ref="D1094">IFERROR(INDEX('Kode Outlet dan Target Toko'!$A:$A,MATCH($I1094,'Kode Outlet dan Target Toko'!$E:$E,0)),"")</f>
        <v>GRSM 4</v>
      </c>
      <c r="E1094" s="20" t="str">
        <f>IFERROR(VLOOKUP(I1094,KET!$B:$F,4,0),"")</f>
        <v>FAHMI LUKMANUL HAKIM</v>
      </c>
      <c r="F1094" s="20" t="str">
        <f>IFERROR(VLOOKUP(I1094,KET!$B:$F,5,0),"")</f>
        <v>GMM</v>
      </c>
      <c r="G1094" s="20">
        <f>IFERROR(INDEX('Kode Outlet dan Target Toko'!$C:$C,MATCH($I1094,'Kode Outlet dan Target Toko'!$E:$E,0)),0)</f>
        <v>103259</v>
      </c>
      <c r="H1094" s="20">
        <f>IFERROR(INDEX('Kode Outlet dan Target Toko'!$D:$D,MATCH($I1094,'Kode Outlet dan Target Toko'!$E:$E,0)),0)</f>
        <v>9029389</v>
      </c>
      <c r="I1094" s="42" t="s">
        <v>27</v>
      </c>
      <c r="J1094" s="56" t="s">
        <v>178</v>
      </c>
      <c r="K1094" s="40" t="s">
        <v>13</v>
      </c>
      <c r="L1094" s="56">
        <v>3000</v>
      </c>
      <c r="M1094" s="56">
        <v>49</v>
      </c>
      <c r="N1094" s="25">
        <f t="shared" si="33"/>
        <v>147000</v>
      </c>
      <c r="O1094" s="26"/>
    </row>
    <row r="1095" spans="1:15" hidden="1" x14ac:dyDescent="0.3">
      <c r="A1095" s="26">
        <v>28</v>
      </c>
      <c r="B1095" s="20" t="str">
        <f t="shared" ref="B1095:B1158" si="34">IF(C1095="","",UPPER(TEXT(C1095, "MMM")))</f>
        <v>JUL</v>
      </c>
      <c r="C1095" s="21">
        <v>46213</v>
      </c>
      <c r="D1095" s="22" t="str">
        <f t="array" ref="D1095">IFERROR(INDEX('Kode Outlet dan Target Toko'!$A:$A,MATCH($I1095,'Kode Outlet dan Target Toko'!$E:$E,0)),"")</f>
        <v>GRSM 4</v>
      </c>
      <c r="E1095" s="20" t="str">
        <f>IFERROR(VLOOKUP(I1095,KET!$B:$F,4,0),"")</f>
        <v>FAHMI LUKMANUL HAKIM</v>
      </c>
      <c r="F1095" s="20" t="str">
        <f>IFERROR(VLOOKUP(I1095,KET!$B:$F,5,0),"")</f>
        <v>GMM</v>
      </c>
      <c r="G1095" s="20">
        <f>IFERROR(INDEX('Kode Outlet dan Target Toko'!$C:$C,MATCH($I1095,'Kode Outlet dan Target Toko'!$E:$E,0)),0)</f>
        <v>103259</v>
      </c>
      <c r="H1095" s="20">
        <f>IFERROR(INDEX('Kode Outlet dan Target Toko'!$D:$D,MATCH($I1095,'Kode Outlet dan Target Toko'!$E:$E,0)),0)</f>
        <v>9029389</v>
      </c>
      <c r="I1095" s="42" t="s">
        <v>27</v>
      </c>
      <c r="J1095" s="56" t="s">
        <v>178</v>
      </c>
      <c r="K1095" s="40" t="s">
        <v>16</v>
      </c>
      <c r="L1095" s="56">
        <v>3000</v>
      </c>
      <c r="M1095" s="56">
        <v>214</v>
      </c>
      <c r="N1095" s="25">
        <f t="shared" ref="N1095:N1158" si="35">IFERROR(M1095*L1095,"")</f>
        <v>642000</v>
      </c>
      <c r="O1095" s="26">
        <v>160</v>
      </c>
    </row>
    <row r="1096" spans="1:15" hidden="1" x14ac:dyDescent="0.3">
      <c r="A1096" s="26">
        <v>28</v>
      </c>
      <c r="B1096" s="20" t="str">
        <f t="shared" si="34"/>
        <v>JUL</v>
      </c>
      <c r="C1096" s="21">
        <v>46213</v>
      </c>
      <c r="D1096" s="22" t="str">
        <f t="array" ref="D1096">IFERROR(INDEX('Kode Outlet dan Target Toko'!$A:$A,MATCH($I1096,'Kode Outlet dan Target Toko'!$E:$E,0)),"")</f>
        <v>GRSM 4</v>
      </c>
      <c r="E1096" s="20" t="str">
        <f>IFERROR(VLOOKUP(I1096,KET!$B:$F,4,0),"")</f>
        <v>FAHMI LUKMANUL HAKIM</v>
      </c>
      <c r="F1096" s="20" t="str">
        <f>IFERROR(VLOOKUP(I1096,KET!$B:$F,5,0),"")</f>
        <v>NKA</v>
      </c>
      <c r="G1096" s="20">
        <f>IFERROR(INDEX('Kode Outlet dan Target Toko'!$C:$C,MATCH($I1096,'Kode Outlet dan Target Toko'!$E:$E,0)),0)</f>
        <v>490034</v>
      </c>
      <c r="H1096" s="20">
        <f>IFERROR(INDEX('Kode Outlet dan Target Toko'!$D:$D,MATCH($I1096,'Kode Outlet dan Target Toko'!$E:$E,0)),0)</f>
        <v>209554</v>
      </c>
      <c r="I1096" s="42" t="s">
        <v>26</v>
      </c>
      <c r="J1096" s="56" t="s">
        <v>177</v>
      </c>
      <c r="K1096" s="40" t="s">
        <v>15</v>
      </c>
      <c r="L1096" s="56">
        <v>3275</v>
      </c>
      <c r="M1096" s="56">
        <v>36</v>
      </c>
      <c r="N1096" s="25">
        <f t="shared" si="35"/>
        <v>117900</v>
      </c>
      <c r="O1096" s="26"/>
    </row>
    <row r="1097" spans="1:15" hidden="1" x14ac:dyDescent="0.3">
      <c r="A1097" s="26">
        <v>28</v>
      </c>
      <c r="B1097" s="20" t="str">
        <f t="shared" si="34"/>
        <v>JUL</v>
      </c>
      <c r="C1097" s="21">
        <v>46213</v>
      </c>
      <c r="D1097" s="22" t="str">
        <f t="array" ref="D1097">IFERROR(INDEX('Kode Outlet dan Target Toko'!$A:$A,MATCH($I1097,'Kode Outlet dan Target Toko'!$E:$E,0)),"")</f>
        <v>GRSM 4</v>
      </c>
      <c r="E1097" s="20" t="str">
        <f>IFERROR(VLOOKUP(I1097,KET!$B:$F,4,0),"")</f>
        <v>FAHMI LUKMANUL HAKIM</v>
      </c>
      <c r="F1097" s="20" t="str">
        <f>IFERROR(VLOOKUP(I1097,KET!$B:$F,5,0),"")</f>
        <v>NKA</v>
      </c>
      <c r="G1097" s="20">
        <f>IFERROR(INDEX('Kode Outlet dan Target Toko'!$C:$C,MATCH($I1097,'Kode Outlet dan Target Toko'!$E:$E,0)),0)</f>
        <v>490034</v>
      </c>
      <c r="H1097" s="20">
        <f>IFERROR(INDEX('Kode Outlet dan Target Toko'!$D:$D,MATCH($I1097,'Kode Outlet dan Target Toko'!$E:$E,0)),0)</f>
        <v>209554</v>
      </c>
      <c r="I1097" s="42" t="s">
        <v>26</v>
      </c>
      <c r="J1097" s="56" t="s">
        <v>177</v>
      </c>
      <c r="K1097" s="40" t="s">
        <v>14</v>
      </c>
      <c r="L1097" s="56">
        <v>3275</v>
      </c>
      <c r="M1097" s="56">
        <v>48</v>
      </c>
      <c r="N1097" s="25">
        <f t="shared" si="35"/>
        <v>157200</v>
      </c>
      <c r="O1097" s="26"/>
    </row>
    <row r="1098" spans="1:15" hidden="1" x14ac:dyDescent="0.3">
      <c r="A1098" s="26">
        <v>28</v>
      </c>
      <c r="B1098" s="20" t="str">
        <f t="shared" si="34"/>
        <v>JUL</v>
      </c>
      <c r="C1098" s="21">
        <v>46213</v>
      </c>
      <c r="D1098" s="22" t="str">
        <f t="array" ref="D1098">IFERROR(INDEX('Kode Outlet dan Target Toko'!$A:$A,MATCH($I1098,'Kode Outlet dan Target Toko'!$E:$E,0)),"")</f>
        <v>GRSM 4</v>
      </c>
      <c r="E1098" s="20" t="str">
        <f>IFERROR(VLOOKUP(I1098,KET!$B:$F,4,0),"")</f>
        <v>FAHMI LUKMANUL HAKIM</v>
      </c>
      <c r="F1098" s="20" t="str">
        <f>IFERROR(VLOOKUP(I1098,KET!$B:$F,5,0),"")</f>
        <v>NKA</v>
      </c>
      <c r="G1098" s="20">
        <f>IFERROR(INDEX('Kode Outlet dan Target Toko'!$C:$C,MATCH($I1098,'Kode Outlet dan Target Toko'!$E:$E,0)),0)</f>
        <v>490034</v>
      </c>
      <c r="H1098" s="20">
        <f>IFERROR(INDEX('Kode Outlet dan Target Toko'!$D:$D,MATCH($I1098,'Kode Outlet dan Target Toko'!$E:$E,0)),0)</f>
        <v>209554</v>
      </c>
      <c r="I1098" s="42" t="s">
        <v>26</v>
      </c>
      <c r="J1098" s="56" t="s">
        <v>177</v>
      </c>
      <c r="K1098" s="40" t="s">
        <v>13</v>
      </c>
      <c r="L1098" s="56">
        <v>3275</v>
      </c>
      <c r="M1098" s="56">
        <v>24</v>
      </c>
      <c r="N1098" s="25">
        <f t="shared" si="35"/>
        <v>78600</v>
      </c>
      <c r="O1098" s="26"/>
    </row>
    <row r="1099" spans="1:15" hidden="1" x14ac:dyDescent="0.3">
      <c r="A1099" s="26">
        <v>28</v>
      </c>
      <c r="B1099" s="20" t="str">
        <f t="shared" si="34"/>
        <v>JUL</v>
      </c>
      <c r="C1099" s="21">
        <v>46213</v>
      </c>
      <c r="D1099" s="22" t="str">
        <f t="array" ref="D1099">IFERROR(INDEX('Kode Outlet dan Target Toko'!$A:$A,MATCH($I1099,'Kode Outlet dan Target Toko'!$E:$E,0)),"")</f>
        <v>GRSM 4</v>
      </c>
      <c r="E1099" s="20" t="str">
        <f>IFERROR(VLOOKUP(I1099,KET!$B:$F,4,0),"")</f>
        <v>FAHMI LUKMANUL HAKIM</v>
      </c>
      <c r="F1099" s="20" t="str">
        <f>IFERROR(VLOOKUP(I1099,KET!$B:$F,5,0),"")</f>
        <v>NKA</v>
      </c>
      <c r="G1099" s="20">
        <f>IFERROR(INDEX('Kode Outlet dan Target Toko'!$C:$C,MATCH($I1099,'Kode Outlet dan Target Toko'!$E:$E,0)),0)</f>
        <v>490034</v>
      </c>
      <c r="H1099" s="20">
        <f>IFERROR(INDEX('Kode Outlet dan Target Toko'!$D:$D,MATCH($I1099,'Kode Outlet dan Target Toko'!$E:$E,0)),0)</f>
        <v>209554</v>
      </c>
      <c r="I1099" s="42" t="s">
        <v>26</v>
      </c>
      <c r="J1099" s="56" t="s">
        <v>177</v>
      </c>
      <c r="K1099" s="40" t="s">
        <v>16</v>
      </c>
      <c r="L1099" s="56">
        <v>3275</v>
      </c>
      <c r="M1099" s="56">
        <v>135</v>
      </c>
      <c r="N1099" s="25">
        <f t="shared" si="35"/>
        <v>442125</v>
      </c>
      <c r="O1099" s="26">
        <v>160</v>
      </c>
    </row>
    <row r="1100" spans="1:15" hidden="1" x14ac:dyDescent="0.3">
      <c r="A1100" s="26">
        <v>28</v>
      </c>
      <c r="B1100" s="20" t="str">
        <f t="shared" si="34"/>
        <v>JUL</v>
      </c>
      <c r="C1100" s="21">
        <v>46213</v>
      </c>
      <c r="D1100" s="22" t="str">
        <f t="array" ref="D1100">IFERROR(INDEX('Kode Outlet dan Target Toko'!$A:$A,MATCH($I1100,'Kode Outlet dan Target Toko'!$E:$E,0)),"")</f>
        <v>GRSM 4</v>
      </c>
      <c r="E1100" s="20" t="str">
        <f>IFERROR(VLOOKUP(I1100,KET!$B:$F,4,0),"")</f>
        <v>FAHMI LUKMANUL HAKIM</v>
      </c>
      <c r="F1100" s="20" t="str">
        <f>IFERROR(VLOOKUP(I1100,KET!$B:$F,5,0),"")</f>
        <v>NKA</v>
      </c>
      <c r="G1100" s="20">
        <f>IFERROR(INDEX('Kode Outlet dan Target Toko'!$C:$C,MATCH($I1100,'Kode Outlet dan Target Toko'!$E:$E,0)),0)</f>
        <v>490034</v>
      </c>
      <c r="H1100" s="20">
        <f>IFERROR(INDEX('Kode Outlet dan Target Toko'!$D:$D,MATCH($I1100,'Kode Outlet dan Target Toko'!$E:$E,0)),0)</f>
        <v>209554</v>
      </c>
      <c r="I1100" s="42" t="s">
        <v>26</v>
      </c>
      <c r="J1100" s="56" t="s">
        <v>176</v>
      </c>
      <c r="K1100" s="40" t="s">
        <v>15</v>
      </c>
      <c r="L1100" s="56">
        <v>3275</v>
      </c>
      <c r="M1100" s="56">
        <v>36</v>
      </c>
      <c r="N1100" s="25">
        <f t="shared" si="35"/>
        <v>117900</v>
      </c>
      <c r="O1100" s="26"/>
    </row>
    <row r="1101" spans="1:15" hidden="1" x14ac:dyDescent="0.3">
      <c r="A1101" s="26">
        <v>28</v>
      </c>
      <c r="B1101" s="20" t="str">
        <f t="shared" si="34"/>
        <v>JUL</v>
      </c>
      <c r="C1101" s="21">
        <v>46213</v>
      </c>
      <c r="D1101" s="22" t="str">
        <f t="array" ref="D1101">IFERROR(INDEX('Kode Outlet dan Target Toko'!$A:$A,MATCH($I1101,'Kode Outlet dan Target Toko'!$E:$E,0)),"")</f>
        <v>GRSM 4</v>
      </c>
      <c r="E1101" s="20" t="str">
        <f>IFERROR(VLOOKUP(I1101,KET!$B:$F,4,0),"")</f>
        <v>FAHMI LUKMANUL HAKIM</v>
      </c>
      <c r="F1101" s="20" t="str">
        <f>IFERROR(VLOOKUP(I1101,KET!$B:$F,5,0),"")</f>
        <v>NKA</v>
      </c>
      <c r="G1101" s="20">
        <f>IFERROR(INDEX('Kode Outlet dan Target Toko'!$C:$C,MATCH($I1101,'Kode Outlet dan Target Toko'!$E:$E,0)),0)</f>
        <v>490034</v>
      </c>
      <c r="H1101" s="20">
        <f>IFERROR(INDEX('Kode Outlet dan Target Toko'!$D:$D,MATCH($I1101,'Kode Outlet dan Target Toko'!$E:$E,0)),0)</f>
        <v>209554</v>
      </c>
      <c r="I1101" s="42" t="s">
        <v>26</v>
      </c>
      <c r="J1101" s="56" t="s">
        <v>176</v>
      </c>
      <c r="K1101" s="40" t="s">
        <v>14</v>
      </c>
      <c r="L1101" s="56">
        <v>3275</v>
      </c>
      <c r="M1101" s="56">
        <v>48</v>
      </c>
      <c r="N1101" s="25">
        <f t="shared" si="35"/>
        <v>157200</v>
      </c>
      <c r="O1101" s="26"/>
    </row>
    <row r="1102" spans="1:15" hidden="1" x14ac:dyDescent="0.3">
      <c r="A1102" s="26">
        <v>28</v>
      </c>
      <c r="B1102" s="20" t="str">
        <f t="shared" si="34"/>
        <v>JUL</v>
      </c>
      <c r="C1102" s="21">
        <v>46213</v>
      </c>
      <c r="D1102" s="22" t="str">
        <f t="array" ref="D1102">IFERROR(INDEX('Kode Outlet dan Target Toko'!$A:$A,MATCH($I1102,'Kode Outlet dan Target Toko'!$E:$E,0)),"")</f>
        <v>GRSM 4</v>
      </c>
      <c r="E1102" s="20" t="str">
        <f>IFERROR(VLOOKUP(I1102,KET!$B:$F,4,0),"")</f>
        <v>FAHMI LUKMANUL HAKIM</v>
      </c>
      <c r="F1102" s="20" t="str">
        <f>IFERROR(VLOOKUP(I1102,KET!$B:$F,5,0),"")</f>
        <v>NKA</v>
      </c>
      <c r="G1102" s="20">
        <f>IFERROR(INDEX('Kode Outlet dan Target Toko'!$C:$C,MATCH($I1102,'Kode Outlet dan Target Toko'!$E:$E,0)),0)</f>
        <v>490034</v>
      </c>
      <c r="H1102" s="20">
        <f>IFERROR(INDEX('Kode Outlet dan Target Toko'!$D:$D,MATCH($I1102,'Kode Outlet dan Target Toko'!$E:$E,0)),0)</f>
        <v>209554</v>
      </c>
      <c r="I1102" s="42" t="s">
        <v>26</v>
      </c>
      <c r="J1102" s="56" t="s">
        <v>176</v>
      </c>
      <c r="K1102" s="40" t="s">
        <v>13</v>
      </c>
      <c r="L1102" s="56">
        <v>3275</v>
      </c>
      <c r="M1102" s="56">
        <v>24</v>
      </c>
      <c r="N1102" s="25">
        <f t="shared" si="35"/>
        <v>78600</v>
      </c>
      <c r="O1102" s="26"/>
    </row>
    <row r="1103" spans="1:15" hidden="1" x14ac:dyDescent="0.3">
      <c r="A1103" s="26">
        <v>28</v>
      </c>
      <c r="B1103" s="20" t="str">
        <f t="shared" si="34"/>
        <v>JUL</v>
      </c>
      <c r="C1103" s="21">
        <v>46213</v>
      </c>
      <c r="D1103" s="22" t="str">
        <f t="array" ref="D1103">IFERROR(INDEX('Kode Outlet dan Target Toko'!$A:$A,MATCH($I1103,'Kode Outlet dan Target Toko'!$E:$E,0)),"")</f>
        <v>GRSM 4</v>
      </c>
      <c r="E1103" s="20" t="str">
        <f>IFERROR(VLOOKUP(I1103,KET!$B:$F,4,0),"")</f>
        <v>FAHMI LUKMANUL HAKIM</v>
      </c>
      <c r="F1103" s="20" t="str">
        <f>IFERROR(VLOOKUP(I1103,KET!$B:$F,5,0),"")</f>
        <v>NKA</v>
      </c>
      <c r="G1103" s="20">
        <f>IFERROR(INDEX('Kode Outlet dan Target Toko'!$C:$C,MATCH($I1103,'Kode Outlet dan Target Toko'!$E:$E,0)),0)</f>
        <v>490034</v>
      </c>
      <c r="H1103" s="20">
        <f>IFERROR(INDEX('Kode Outlet dan Target Toko'!$D:$D,MATCH($I1103,'Kode Outlet dan Target Toko'!$E:$E,0)),0)</f>
        <v>209554</v>
      </c>
      <c r="I1103" s="42" t="s">
        <v>26</v>
      </c>
      <c r="J1103" s="56" t="s">
        <v>176</v>
      </c>
      <c r="K1103" s="40" t="s">
        <v>16</v>
      </c>
      <c r="L1103" s="56">
        <v>3275</v>
      </c>
      <c r="M1103" s="56">
        <v>135</v>
      </c>
      <c r="N1103" s="25">
        <f t="shared" si="35"/>
        <v>442125</v>
      </c>
      <c r="O1103" s="26">
        <v>160</v>
      </c>
    </row>
    <row r="1104" spans="1:15" hidden="1" x14ac:dyDescent="0.3">
      <c r="A1104" s="26">
        <v>28</v>
      </c>
      <c r="B1104" s="20" t="str">
        <f t="shared" si="34"/>
        <v>JUL</v>
      </c>
      <c r="C1104" s="21">
        <v>46213</v>
      </c>
      <c r="D1104" s="22" t="str">
        <f t="array" ref="D1104">IFERROR(INDEX('Kode Outlet dan Target Toko'!$A:$A,MATCH($I1104,'Kode Outlet dan Target Toko'!$E:$E,0)),"")</f>
        <v>GRSM 4</v>
      </c>
      <c r="E1104" s="20" t="str">
        <f>IFERROR(VLOOKUP(I1104,KET!$B:$F,4,0),"")</f>
        <v>FAHMI LUKMANUL HAKIM</v>
      </c>
      <c r="F1104" s="20" t="str">
        <f>IFERROR(VLOOKUP(I1104,KET!$B:$F,5,0),"")</f>
        <v>GMM</v>
      </c>
      <c r="G1104" s="20">
        <f>IFERROR(INDEX('Kode Outlet dan Target Toko'!$C:$C,MATCH($I1104,'Kode Outlet dan Target Toko'!$E:$E,0)),0)</f>
        <v>103277</v>
      </c>
      <c r="H1104" s="20">
        <f>IFERROR(INDEX('Kode Outlet dan Target Toko'!$D:$D,MATCH($I1104,'Kode Outlet dan Target Toko'!$E:$E,0)),0)</f>
        <v>6300700</v>
      </c>
      <c r="I1104" s="50" t="s">
        <v>30</v>
      </c>
      <c r="J1104" s="56" t="s">
        <v>182</v>
      </c>
      <c r="K1104" s="40" t="s">
        <v>15</v>
      </c>
      <c r="L1104" s="56">
        <v>3000</v>
      </c>
      <c r="M1104" s="56">
        <v>55</v>
      </c>
      <c r="N1104" s="25">
        <f t="shared" si="35"/>
        <v>165000</v>
      </c>
      <c r="O1104" s="26"/>
    </row>
    <row r="1105" spans="1:15" hidden="1" x14ac:dyDescent="0.3">
      <c r="A1105" s="26">
        <v>28</v>
      </c>
      <c r="B1105" s="20" t="str">
        <f t="shared" si="34"/>
        <v>JUL</v>
      </c>
      <c r="C1105" s="21">
        <v>46213</v>
      </c>
      <c r="D1105" s="22" t="str">
        <f t="array" ref="D1105">IFERROR(INDEX('Kode Outlet dan Target Toko'!$A:$A,MATCH($I1105,'Kode Outlet dan Target Toko'!$E:$E,0)),"")</f>
        <v>GRSM 4</v>
      </c>
      <c r="E1105" s="20" t="str">
        <f>IFERROR(VLOOKUP(I1105,KET!$B:$F,4,0),"")</f>
        <v>FAHMI LUKMANUL HAKIM</v>
      </c>
      <c r="F1105" s="20" t="str">
        <f>IFERROR(VLOOKUP(I1105,KET!$B:$F,5,0),"")</f>
        <v>GMM</v>
      </c>
      <c r="G1105" s="20">
        <f>IFERROR(INDEX('Kode Outlet dan Target Toko'!$C:$C,MATCH($I1105,'Kode Outlet dan Target Toko'!$E:$E,0)),0)</f>
        <v>103277</v>
      </c>
      <c r="H1105" s="20">
        <f>IFERROR(INDEX('Kode Outlet dan Target Toko'!$D:$D,MATCH($I1105,'Kode Outlet dan Target Toko'!$E:$E,0)),0)</f>
        <v>6300700</v>
      </c>
      <c r="I1105" s="50" t="s">
        <v>30</v>
      </c>
      <c r="J1105" s="56" t="s">
        <v>182</v>
      </c>
      <c r="K1105" s="40" t="s">
        <v>14</v>
      </c>
      <c r="L1105" s="56">
        <v>3000</v>
      </c>
      <c r="M1105" s="56">
        <v>40</v>
      </c>
      <c r="N1105" s="25">
        <f t="shared" si="35"/>
        <v>120000</v>
      </c>
      <c r="O1105" s="26"/>
    </row>
    <row r="1106" spans="1:15" hidden="1" x14ac:dyDescent="0.3">
      <c r="A1106" s="26">
        <v>28</v>
      </c>
      <c r="B1106" s="20" t="str">
        <f t="shared" si="34"/>
        <v>JUL</v>
      </c>
      <c r="C1106" s="21">
        <v>46213</v>
      </c>
      <c r="D1106" s="22" t="str">
        <f t="array" ref="D1106">IFERROR(INDEX('Kode Outlet dan Target Toko'!$A:$A,MATCH($I1106,'Kode Outlet dan Target Toko'!$E:$E,0)),"")</f>
        <v>GRSM 4</v>
      </c>
      <c r="E1106" s="20" t="str">
        <f>IFERROR(VLOOKUP(I1106,KET!$B:$F,4,0),"")</f>
        <v>FAHMI LUKMANUL HAKIM</v>
      </c>
      <c r="F1106" s="20" t="str">
        <f>IFERROR(VLOOKUP(I1106,KET!$B:$F,5,0),"")</f>
        <v>GMM</v>
      </c>
      <c r="G1106" s="20">
        <f>IFERROR(INDEX('Kode Outlet dan Target Toko'!$C:$C,MATCH($I1106,'Kode Outlet dan Target Toko'!$E:$E,0)),0)</f>
        <v>103277</v>
      </c>
      <c r="H1106" s="20">
        <f>IFERROR(INDEX('Kode Outlet dan Target Toko'!$D:$D,MATCH($I1106,'Kode Outlet dan Target Toko'!$E:$E,0)),0)</f>
        <v>6300700</v>
      </c>
      <c r="I1106" s="50" t="s">
        <v>30</v>
      </c>
      <c r="J1106" s="56" t="s">
        <v>182</v>
      </c>
      <c r="K1106" s="40" t="s">
        <v>13</v>
      </c>
      <c r="L1106" s="56">
        <v>3000</v>
      </c>
      <c r="M1106" s="56">
        <v>40</v>
      </c>
      <c r="N1106" s="25">
        <f t="shared" si="35"/>
        <v>120000</v>
      </c>
      <c r="O1106" s="26"/>
    </row>
    <row r="1107" spans="1:15" hidden="1" x14ac:dyDescent="0.3">
      <c r="A1107" s="26">
        <v>28</v>
      </c>
      <c r="B1107" s="20" t="str">
        <f t="shared" si="34"/>
        <v>JUL</v>
      </c>
      <c r="C1107" s="21">
        <v>46213</v>
      </c>
      <c r="D1107" s="22" t="str">
        <f t="array" ref="D1107">IFERROR(INDEX('Kode Outlet dan Target Toko'!$A:$A,MATCH($I1107,'Kode Outlet dan Target Toko'!$E:$E,0)),"")</f>
        <v>GRSM 4</v>
      </c>
      <c r="E1107" s="20" t="str">
        <f>IFERROR(VLOOKUP(I1107,KET!$B:$F,4,0),"")</f>
        <v>FAHMI LUKMANUL HAKIM</v>
      </c>
      <c r="F1107" s="20" t="str">
        <f>IFERROR(VLOOKUP(I1107,KET!$B:$F,5,0),"")</f>
        <v>GMM</v>
      </c>
      <c r="G1107" s="20">
        <f>IFERROR(INDEX('Kode Outlet dan Target Toko'!$C:$C,MATCH($I1107,'Kode Outlet dan Target Toko'!$E:$E,0)),0)</f>
        <v>103277</v>
      </c>
      <c r="H1107" s="20">
        <f>IFERROR(INDEX('Kode Outlet dan Target Toko'!$D:$D,MATCH($I1107,'Kode Outlet dan Target Toko'!$E:$E,0)),0)</f>
        <v>6300700</v>
      </c>
      <c r="I1107" s="50" t="s">
        <v>30</v>
      </c>
      <c r="J1107" s="56" t="s">
        <v>182</v>
      </c>
      <c r="K1107" s="40" t="s">
        <v>16</v>
      </c>
      <c r="L1107" s="56">
        <v>3000</v>
      </c>
      <c r="M1107" s="56">
        <v>150</v>
      </c>
      <c r="N1107" s="25">
        <f t="shared" si="35"/>
        <v>450000</v>
      </c>
      <c r="O1107" s="26">
        <v>160</v>
      </c>
    </row>
    <row r="1108" spans="1:15" hidden="1" x14ac:dyDescent="0.3">
      <c r="A1108" s="26">
        <v>28</v>
      </c>
      <c r="B1108" s="20" t="str">
        <f t="shared" si="34"/>
        <v>JUL</v>
      </c>
      <c r="C1108" s="21">
        <v>46213</v>
      </c>
      <c r="D1108" s="22" t="str">
        <f t="array" ref="D1108">IFERROR(INDEX('Kode Outlet dan Target Toko'!$A:$A,MATCH($I1108,'Kode Outlet dan Target Toko'!$E:$E,0)),"")</f>
        <v>GRSM 4</v>
      </c>
      <c r="E1108" s="20" t="str">
        <f>IFERROR(VLOOKUP(I1108,KET!$B:$F,4,0),"")</f>
        <v>FAHMI LUKMANUL HAKIM</v>
      </c>
      <c r="F1108" s="20" t="str">
        <f>IFERROR(VLOOKUP(I1108,KET!$B:$F,5,0),"")</f>
        <v>GMM</v>
      </c>
      <c r="G1108" s="20">
        <f>IFERROR(INDEX('Kode Outlet dan Target Toko'!$C:$C,MATCH($I1108,'Kode Outlet dan Target Toko'!$E:$E,0)),0)</f>
        <v>103257</v>
      </c>
      <c r="H1108" s="20">
        <f>IFERROR(INDEX('Kode Outlet dan Target Toko'!$D:$D,MATCH($I1108,'Kode Outlet dan Target Toko'!$E:$E,0)),0)</f>
        <v>9162509</v>
      </c>
      <c r="I1108" s="41" t="s">
        <v>23</v>
      </c>
      <c r="J1108" s="56" t="s">
        <v>180</v>
      </c>
      <c r="K1108" s="40" t="s">
        <v>15</v>
      </c>
      <c r="L1108" s="56">
        <v>3100</v>
      </c>
      <c r="M1108" s="56">
        <v>53</v>
      </c>
      <c r="N1108" s="25">
        <f t="shared" si="35"/>
        <v>164300</v>
      </c>
      <c r="O1108" s="26"/>
    </row>
    <row r="1109" spans="1:15" hidden="1" x14ac:dyDescent="0.3">
      <c r="A1109" s="26">
        <v>28</v>
      </c>
      <c r="B1109" s="20" t="str">
        <f t="shared" si="34"/>
        <v>JUL</v>
      </c>
      <c r="C1109" s="21">
        <v>46213</v>
      </c>
      <c r="D1109" s="22" t="str">
        <f t="array" ref="D1109">IFERROR(INDEX('Kode Outlet dan Target Toko'!$A:$A,MATCH($I1109,'Kode Outlet dan Target Toko'!$E:$E,0)),"")</f>
        <v>GRSM 4</v>
      </c>
      <c r="E1109" s="20" t="str">
        <f>IFERROR(VLOOKUP(I1109,KET!$B:$F,4,0),"")</f>
        <v>FAHMI LUKMANUL HAKIM</v>
      </c>
      <c r="F1109" s="20" t="str">
        <f>IFERROR(VLOOKUP(I1109,KET!$B:$F,5,0),"")</f>
        <v>GMM</v>
      </c>
      <c r="G1109" s="20">
        <f>IFERROR(INDEX('Kode Outlet dan Target Toko'!$C:$C,MATCH($I1109,'Kode Outlet dan Target Toko'!$E:$E,0)),0)</f>
        <v>103257</v>
      </c>
      <c r="H1109" s="20">
        <f>IFERROR(INDEX('Kode Outlet dan Target Toko'!$D:$D,MATCH($I1109,'Kode Outlet dan Target Toko'!$E:$E,0)),0)</f>
        <v>9162509</v>
      </c>
      <c r="I1109" s="41" t="s">
        <v>23</v>
      </c>
      <c r="J1109" s="56" t="s">
        <v>180</v>
      </c>
      <c r="K1109" s="40" t="s">
        <v>14</v>
      </c>
      <c r="L1109" s="56">
        <v>3100</v>
      </c>
      <c r="M1109" s="56">
        <v>48</v>
      </c>
      <c r="N1109" s="25">
        <f t="shared" si="35"/>
        <v>148800</v>
      </c>
      <c r="O1109" s="26"/>
    </row>
    <row r="1110" spans="1:15" hidden="1" x14ac:dyDescent="0.3">
      <c r="A1110" s="26">
        <v>28</v>
      </c>
      <c r="B1110" s="20" t="str">
        <f t="shared" si="34"/>
        <v>JUL</v>
      </c>
      <c r="C1110" s="21">
        <v>46213</v>
      </c>
      <c r="D1110" s="22" t="str">
        <f t="array" ref="D1110">IFERROR(INDEX('Kode Outlet dan Target Toko'!$A:$A,MATCH($I1110,'Kode Outlet dan Target Toko'!$E:$E,0)),"")</f>
        <v>GRSM 4</v>
      </c>
      <c r="E1110" s="20" t="str">
        <f>IFERROR(VLOOKUP(I1110,KET!$B:$F,4,0),"")</f>
        <v>FAHMI LUKMANUL HAKIM</v>
      </c>
      <c r="F1110" s="20" t="str">
        <f>IFERROR(VLOOKUP(I1110,KET!$B:$F,5,0),"")</f>
        <v>GMM</v>
      </c>
      <c r="G1110" s="20">
        <f>IFERROR(INDEX('Kode Outlet dan Target Toko'!$C:$C,MATCH($I1110,'Kode Outlet dan Target Toko'!$E:$E,0)),0)</f>
        <v>103257</v>
      </c>
      <c r="H1110" s="20">
        <f>IFERROR(INDEX('Kode Outlet dan Target Toko'!$D:$D,MATCH($I1110,'Kode Outlet dan Target Toko'!$E:$E,0)),0)</f>
        <v>9162509</v>
      </c>
      <c r="I1110" s="41" t="s">
        <v>23</v>
      </c>
      <c r="J1110" s="56" t="s">
        <v>180</v>
      </c>
      <c r="K1110" s="40" t="s">
        <v>13</v>
      </c>
      <c r="L1110" s="56">
        <v>3100</v>
      </c>
      <c r="M1110" s="56">
        <v>36</v>
      </c>
      <c r="N1110" s="25">
        <f t="shared" si="35"/>
        <v>111600</v>
      </c>
      <c r="O1110" s="26"/>
    </row>
    <row r="1111" spans="1:15" hidden="1" x14ac:dyDescent="0.3">
      <c r="A1111" s="26">
        <v>28</v>
      </c>
      <c r="B1111" s="20" t="str">
        <f t="shared" si="34"/>
        <v>JUL</v>
      </c>
      <c r="C1111" s="21">
        <v>46213</v>
      </c>
      <c r="D1111" s="22" t="str">
        <f t="array" ref="D1111">IFERROR(INDEX('Kode Outlet dan Target Toko'!$A:$A,MATCH($I1111,'Kode Outlet dan Target Toko'!$E:$E,0)),"")</f>
        <v>GRSM 4</v>
      </c>
      <c r="E1111" s="20" t="str">
        <f>IFERROR(VLOOKUP(I1111,KET!$B:$F,4,0),"")</f>
        <v>FAHMI LUKMANUL HAKIM</v>
      </c>
      <c r="F1111" s="20" t="str">
        <f>IFERROR(VLOOKUP(I1111,KET!$B:$F,5,0),"")</f>
        <v>GMM</v>
      </c>
      <c r="G1111" s="20">
        <f>IFERROR(INDEX('Kode Outlet dan Target Toko'!$C:$C,MATCH($I1111,'Kode Outlet dan Target Toko'!$E:$E,0)),0)</f>
        <v>103257</v>
      </c>
      <c r="H1111" s="20">
        <f>IFERROR(INDEX('Kode Outlet dan Target Toko'!$D:$D,MATCH($I1111,'Kode Outlet dan Target Toko'!$E:$E,0)),0)</f>
        <v>9162509</v>
      </c>
      <c r="I1111" s="41" t="s">
        <v>23</v>
      </c>
      <c r="J1111" s="56" t="s">
        <v>180</v>
      </c>
      <c r="K1111" s="40" t="s">
        <v>16</v>
      </c>
      <c r="L1111" s="56">
        <v>3100</v>
      </c>
      <c r="M1111" s="56">
        <v>41</v>
      </c>
      <c r="N1111" s="25">
        <f t="shared" si="35"/>
        <v>127100</v>
      </c>
      <c r="O1111" s="26">
        <v>160</v>
      </c>
    </row>
    <row r="1112" spans="1:15" hidden="1" x14ac:dyDescent="0.3">
      <c r="A1112" s="26">
        <v>28</v>
      </c>
      <c r="B1112" s="20" t="str">
        <f t="shared" si="34"/>
        <v>JUL</v>
      </c>
      <c r="C1112" s="21">
        <v>46213</v>
      </c>
      <c r="D1112" s="22" t="str">
        <f t="array" ref="D1112">IFERROR(INDEX('Kode Outlet dan Target Toko'!$A:$A,MATCH($I1112,'Kode Outlet dan Target Toko'!$E:$E,0)),"")</f>
        <v>GRSM 4</v>
      </c>
      <c r="E1112" s="20" t="str">
        <f>IFERROR(VLOOKUP(I1112,KET!$B:$F,4,0),"")</f>
        <v>FAHMI LUKMANUL HAKIM</v>
      </c>
      <c r="F1112" s="20" t="str">
        <f>IFERROR(VLOOKUP(I1112,KET!$B:$F,5,0),"")</f>
        <v>GMM</v>
      </c>
      <c r="G1112" s="20">
        <f>IFERROR(INDEX('Kode Outlet dan Target Toko'!$C:$C,MATCH($I1112,'Kode Outlet dan Target Toko'!$E:$E,0)),0)</f>
        <v>103257</v>
      </c>
      <c r="H1112" s="20">
        <f>IFERROR(INDEX('Kode Outlet dan Target Toko'!$D:$D,MATCH($I1112,'Kode Outlet dan Target Toko'!$E:$E,0)),0)</f>
        <v>9162509</v>
      </c>
      <c r="I1112" s="41" t="s">
        <v>23</v>
      </c>
      <c r="J1112" s="56" t="s">
        <v>181</v>
      </c>
      <c r="K1112" s="40" t="s">
        <v>15</v>
      </c>
      <c r="L1112" s="56">
        <v>3100</v>
      </c>
      <c r="M1112" s="56">
        <v>50</v>
      </c>
      <c r="N1112" s="25">
        <f t="shared" si="35"/>
        <v>155000</v>
      </c>
      <c r="O1112" s="26"/>
    </row>
    <row r="1113" spans="1:15" hidden="1" x14ac:dyDescent="0.3">
      <c r="A1113" s="26">
        <v>28</v>
      </c>
      <c r="B1113" s="20" t="str">
        <f t="shared" si="34"/>
        <v>JUL</v>
      </c>
      <c r="C1113" s="21">
        <v>46213</v>
      </c>
      <c r="D1113" s="22" t="str">
        <f t="array" ref="D1113">IFERROR(INDEX('Kode Outlet dan Target Toko'!$A:$A,MATCH($I1113,'Kode Outlet dan Target Toko'!$E:$E,0)),"")</f>
        <v>GRSM 4</v>
      </c>
      <c r="E1113" s="20" t="str">
        <f>IFERROR(VLOOKUP(I1113,KET!$B:$F,4,0),"")</f>
        <v>FAHMI LUKMANUL HAKIM</v>
      </c>
      <c r="F1113" s="20" t="str">
        <f>IFERROR(VLOOKUP(I1113,KET!$B:$F,5,0),"")</f>
        <v>GMM</v>
      </c>
      <c r="G1113" s="20">
        <f>IFERROR(INDEX('Kode Outlet dan Target Toko'!$C:$C,MATCH($I1113,'Kode Outlet dan Target Toko'!$E:$E,0)),0)</f>
        <v>103257</v>
      </c>
      <c r="H1113" s="20">
        <f>IFERROR(INDEX('Kode Outlet dan Target Toko'!$D:$D,MATCH($I1113,'Kode Outlet dan Target Toko'!$E:$E,0)),0)</f>
        <v>9162509</v>
      </c>
      <c r="I1113" s="41" t="s">
        <v>23</v>
      </c>
      <c r="J1113" s="56" t="s">
        <v>181</v>
      </c>
      <c r="K1113" s="40" t="s">
        <v>14</v>
      </c>
      <c r="L1113" s="56">
        <v>3100</v>
      </c>
      <c r="M1113" s="56">
        <v>45</v>
      </c>
      <c r="N1113" s="25">
        <f t="shared" si="35"/>
        <v>139500</v>
      </c>
      <c r="O1113" s="26"/>
    </row>
    <row r="1114" spans="1:15" hidden="1" x14ac:dyDescent="0.3">
      <c r="A1114" s="26">
        <v>28</v>
      </c>
      <c r="B1114" s="20" t="str">
        <f t="shared" si="34"/>
        <v>JUL</v>
      </c>
      <c r="C1114" s="21">
        <v>46213</v>
      </c>
      <c r="D1114" s="22" t="str">
        <f t="array" ref="D1114">IFERROR(INDEX('Kode Outlet dan Target Toko'!$A:$A,MATCH($I1114,'Kode Outlet dan Target Toko'!$E:$E,0)),"")</f>
        <v>GRSM 4</v>
      </c>
      <c r="E1114" s="20" t="str">
        <f>IFERROR(VLOOKUP(I1114,KET!$B:$F,4,0),"")</f>
        <v>FAHMI LUKMANUL HAKIM</v>
      </c>
      <c r="F1114" s="20" t="str">
        <f>IFERROR(VLOOKUP(I1114,KET!$B:$F,5,0),"")</f>
        <v>GMM</v>
      </c>
      <c r="G1114" s="20">
        <f>IFERROR(INDEX('Kode Outlet dan Target Toko'!$C:$C,MATCH($I1114,'Kode Outlet dan Target Toko'!$E:$E,0)),0)</f>
        <v>103257</v>
      </c>
      <c r="H1114" s="20">
        <f>IFERROR(INDEX('Kode Outlet dan Target Toko'!$D:$D,MATCH($I1114,'Kode Outlet dan Target Toko'!$E:$E,0)),0)</f>
        <v>9162509</v>
      </c>
      <c r="I1114" s="41" t="s">
        <v>23</v>
      </c>
      <c r="J1114" s="56" t="s">
        <v>181</v>
      </c>
      <c r="K1114" s="40" t="s">
        <v>13</v>
      </c>
      <c r="L1114" s="56">
        <v>3100</v>
      </c>
      <c r="M1114" s="56">
        <v>30</v>
      </c>
      <c r="N1114" s="25">
        <f t="shared" si="35"/>
        <v>93000</v>
      </c>
      <c r="O1114" s="26"/>
    </row>
    <row r="1115" spans="1:15" hidden="1" x14ac:dyDescent="0.3">
      <c r="A1115" s="26">
        <v>28</v>
      </c>
      <c r="B1115" s="20" t="str">
        <f t="shared" si="34"/>
        <v>JUL</v>
      </c>
      <c r="C1115" s="21">
        <v>46213</v>
      </c>
      <c r="D1115" s="22" t="str">
        <f t="array" ref="D1115">IFERROR(INDEX('Kode Outlet dan Target Toko'!$A:$A,MATCH($I1115,'Kode Outlet dan Target Toko'!$E:$E,0)),"")</f>
        <v>GRSM 4</v>
      </c>
      <c r="E1115" s="20" t="str">
        <f>IFERROR(VLOOKUP(I1115,KET!$B:$F,4,0),"")</f>
        <v>FAHMI LUKMANUL HAKIM</v>
      </c>
      <c r="F1115" s="20" t="str">
        <f>IFERROR(VLOOKUP(I1115,KET!$B:$F,5,0),"")</f>
        <v>GMM</v>
      </c>
      <c r="G1115" s="20">
        <f>IFERROR(INDEX('Kode Outlet dan Target Toko'!$C:$C,MATCH($I1115,'Kode Outlet dan Target Toko'!$E:$E,0)),0)</f>
        <v>103257</v>
      </c>
      <c r="H1115" s="20">
        <f>IFERROR(INDEX('Kode Outlet dan Target Toko'!$D:$D,MATCH($I1115,'Kode Outlet dan Target Toko'!$E:$E,0)),0)</f>
        <v>9162509</v>
      </c>
      <c r="I1115" s="41" t="s">
        <v>23</v>
      </c>
      <c r="J1115" s="56" t="s">
        <v>181</v>
      </c>
      <c r="K1115" s="40" t="s">
        <v>16</v>
      </c>
      <c r="L1115" s="56">
        <v>3100</v>
      </c>
      <c r="M1115" s="56">
        <v>39</v>
      </c>
      <c r="N1115" s="25">
        <f t="shared" si="35"/>
        <v>120900</v>
      </c>
      <c r="O1115" s="26">
        <v>160</v>
      </c>
    </row>
    <row r="1116" spans="1:15" hidden="1" x14ac:dyDescent="0.3">
      <c r="A1116" s="26">
        <v>28</v>
      </c>
      <c r="B1116" s="20" t="str">
        <f t="shared" si="34"/>
        <v>JUL</v>
      </c>
      <c r="C1116" s="21">
        <v>46213</v>
      </c>
      <c r="D1116" s="22" t="str">
        <f t="array" ref="D1116">IFERROR(INDEX('Kode Outlet dan Target Toko'!$A:$A,MATCH($I1116,'Kode Outlet dan Target Toko'!$E:$E,0)),"")</f>
        <v>GRSM 4</v>
      </c>
      <c r="E1116" s="20" t="str">
        <f>IFERROR(VLOOKUP(I1116,KET!$B:$F,4,0),"")</f>
        <v>FAHMI LUKMANUL HAKIM</v>
      </c>
      <c r="F1116" s="20" t="str">
        <f>IFERROR(VLOOKUP(I1116,KET!$B:$F,5,0),"")</f>
        <v>GMM</v>
      </c>
      <c r="G1116" s="20">
        <f>IFERROR(INDEX('Kode Outlet dan Target Toko'!$C:$C,MATCH($I1116,'Kode Outlet dan Target Toko'!$E:$E,0)),0)</f>
        <v>189901</v>
      </c>
      <c r="H1116" s="20">
        <f>IFERROR(INDEX('Kode Outlet dan Target Toko'!$D:$D,MATCH($I1116,'Kode Outlet dan Target Toko'!$E:$E,0)),0)</f>
        <v>1602016</v>
      </c>
      <c r="I1116" s="42" t="s">
        <v>35</v>
      </c>
      <c r="J1116" s="56" t="s">
        <v>173</v>
      </c>
      <c r="K1116" s="40" t="s">
        <v>15</v>
      </c>
      <c r="L1116" s="56">
        <v>3400</v>
      </c>
      <c r="M1116" s="56">
        <v>87</v>
      </c>
      <c r="N1116" s="25">
        <f t="shared" si="35"/>
        <v>295800</v>
      </c>
      <c r="O1116" s="26"/>
    </row>
    <row r="1117" spans="1:15" hidden="1" x14ac:dyDescent="0.3">
      <c r="A1117" s="26">
        <v>28</v>
      </c>
      <c r="B1117" s="20" t="str">
        <f t="shared" si="34"/>
        <v>JUL</v>
      </c>
      <c r="C1117" s="21">
        <v>46213</v>
      </c>
      <c r="D1117" s="22" t="str">
        <f t="array" ref="D1117">IFERROR(INDEX('Kode Outlet dan Target Toko'!$A:$A,MATCH($I1117,'Kode Outlet dan Target Toko'!$E:$E,0)),"")</f>
        <v>GRSM 4</v>
      </c>
      <c r="E1117" s="20" t="str">
        <f>IFERROR(VLOOKUP(I1117,KET!$B:$F,4,0),"")</f>
        <v>FAHMI LUKMANUL HAKIM</v>
      </c>
      <c r="F1117" s="20" t="str">
        <f>IFERROR(VLOOKUP(I1117,KET!$B:$F,5,0),"")</f>
        <v>GMM</v>
      </c>
      <c r="G1117" s="20">
        <f>IFERROR(INDEX('Kode Outlet dan Target Toko'!$C:$C,MATCH($I1117,'Kode Outlet dan Target Toko'!$E:$E,0)),0)</f>
        <v>189901</v>
      </c>
      <c r="H1117" s="20">
        <f>IFERROR(INDEX('Kode Outlet dan Target Toko'!$D:$D,MATCH($I1117,'Kode Outlet dan Target Toko'!$E:$E,0)),0)</f>
        <v>1602016</v>
      </c>
      <c r="I1117" s="42" t="s">
        <v>35</v>
      </c>
      <c r="J1117" s="56" t="s">
        <v>173</v>
      </c>
      <c r="K1117" s="40" t="s">
        <v>14</v>
      </c>
      <c r="L1117" s="56">
        <v>3400</v>
      </c>
      <c r="M1117" s="56">
        <v>100</v>
      </c>
      <c r="N1117" s="25">
        <f t="shared" si="35"/>
        <v>340000</v>
      </c>
      <c r="O1117" s="26"/>
    </row>
    <row r="1118" spans="1:15" hidden="1" x14ac:dyDescent="0.3">
      <c r="A1118" s="26">
        <v>28</v>
      </c>
      <c r="B1118" s="20" t="str">
        <f t="shared" si="34"/>
        <v>JUL</v>
      </c>
      <c r="C1118" s="21">
        <v>46213</v>
      </c>
      <c r="D1118" s="22" t="str">
        <f t="array" ref="D1118">IFERROR(INDEX('Kode Outlet dan Target Toko'!$A:$A,MATCH($I1118,'Kode Outlet dan Target Toko'!$E:$E,0)),"")</f>
        <v>GRSM 4</v>
      </c>
      <c r="E1118" s="20" t="str">
        <f>IFERROR(VLOOKUP(I1118,KET!$B:$F,4,0),"")</f>
        <v>FAHMI LUKMANUL HAKIM</v>
      </c>
      <c r="F1118" s="20" t="str">
        <f>IFERROR(VLOOKUP(I1118,KET!$B:$F,5,0),"")</f>
        <v>GMM</v>
      </c>
      <c r="G1118" s="20">
        <f>IFERROR(INDEX('Kode Outlet dan Target Toko'!$C:$C,MATCH($I1118,'Kode Outlet dan Target Toko'!$E:$E,0)),0)</f>
        <v>189901</v>
      </c>
      <c r="H1118" s="20">
        <f>IFERROR(INDEX('Kode Outlet dan Target Toko'!$D:$D,MATCH($I1118,'Kode Outlet dan Target Toko'!$E:$E,0)),0)</f>
        <v>1602016</v>
      </c>
      <c r="I1118" s="42" t="s">
        <v>35</v>
      </c>
      <c r="J1118" s="56" t="s">
        <v>173</v>
      </c>
      <c r="K1118" s="40" t="s">
        <v>13</v>
      </c>
      <c r="L1118" s="56">
        <v>3400</v>
      </c>
      <c r="M1118" s="56">
        <v>80</v>
      </c>
      <c r="N1118" s="25">
        <f t="shared" si="35"/>
        <v>272000</v>
      </c>
      <c r="O1118" s="26"/>
    </row>
    <row r="1119" spans="1:15" hidden="1" x14ac:dyDescent="0.3">
      <c r="A1119" s="26">
        <v>28</v>
      </c>
      <c r="B1119" s="20" t="str">
        <f t="shared" si="34"/>
        <v>JUL</v>
      </c>
      <c r="C1119" s="21">
        <v>46213</v>
      </c>
      <c r="D1119" s="22" t="str">
        <f t="array" ref="D1119">IFERROR(INDEX('Kode Outlet dan Target Toko'!$A:$A,MATCH($I1119,'Kode Outlet dan Target Toko'!$E:$E,0)),"")</f>
        <v>GRSM 4</v>
      </c>
      <c r="E1119" s="20" t="str">
        <f>IFERROR(VLOOKUP(I1119,KET!$B:$F,4,0),"")</f>
        <v>FAHMI LUKMANUL HAKIM</v>
      </c>
      <c r="F1119" s="20" t="str">
        <f>IFERROR(VLOOKUP(I1119,KET!$B:$F,5,0),"")</f>
        <v>GMM</v>
      </c>
      <c r="G1119" s="20">
        <f>IFERROR(INDEX('Kode Outlet dan Target Toko'!$C:$C,MATCH($I1119,'Kode Outlet dan Target Toko'!$E:$E,0)),0)</f>
        <v>189901</v>
      </c>
      <c r="H1119" s="20">
        <f>IFERROR(INDEX('Kode Outlet dan Target Toko'!$D:$D,MATCH($I1119,'Kode Outlet dan Target Toko'!$E:$E,0)),0)</f>
        <v>1602016</v>
      </c>
      <c r="I1119" s="42" t="s">
        <v>35</v>
      </c>
      <c r="J1119" s="56" t="s">
        <v>173</v>
      </c>
      <c r="K1119" s="40" t="s">
        <v>16</v>
      </c>
      <c r="L1119" s="56">
        <v>3400</v>
      </c>
      <c r="M1119" s="56">
        <v>199</v>
      </c>
      <c r="N1119" s="25">
        <f t="shared" si="35"/>
        <v>676600</v>
      </c>
      <c r="O1119" s="26">
        <v>160</v>
      </c>
    </row>
    <row r="1120" spans="1:15" hidden="1" x14ac:dyDescent="0.3">
      <c r="A1120" s="26">
        <v>28</v>
      </c>
      <c r="B1120" s="20" t="str">
        <f t="shared" si="34"/>
        <v>JUL</v>
      </c>
      <c r="C1120" s="21">
        <v>46214</v>
      </c>
      <c r="D1120" s="22" t="str">
        <f t="array" ref="D1120">IFERROR(INDEX('Kode Outlet dan Target Toko'!$A:$A,MATCH($I1120,'Kode Outlet dan Target Toko'!$E:$E,0)),"")</f>
        <v>GRSM 4</v>
      </c>
      <c r="E1120" s="20" t="str">
        <f>IFERROR(VLOOKUP(I1120,KET!$B:$F,4,0),"")</f>
        <v>FAHMI LUKMANUL HAKIM</v>
      </c>
      <c r="F1120" s="20" t="str">
        <f>IFERROR(VLOOKUP(I1120,KET!$B:$F,5,0),"")</f>
        <v>GMM</v>
      </c>
      <c r="G1120" s="20">
        <f>IFERROR(INDEX('Kode Outlet dan Target Toko'!$C:$C,MATCH($I1120,'Kode Outlet dan Target Toko'!$E:$E,0)),0)</f>
        <v>121409</v>
      </c>
      <c r="H1120" s="20">
        <f>IFERROR(INDEX('Kode Outlet dan Target Toko'!$D:$D,MATCH($I1120,'Kode Outlet dan Target Toko'!$E:$E,0)),0)</f>
        <v>5205014</v>
      </c>
      <c r="I1120" s="50" t="s">
        <v>31</v>
      </c>
      <c r="J1120" s="56" t="s">
        <v>184</v>
      </c>
      <c r="K1120" s="40" t="s">
        <v>15</v>
      </c>
      <c r="L1120" s="56">
        <v>2100</v>
      </c>
      <c r="M1120" s="56">
        <v>153</v>
      </c>
      <c r="N1120" s="25">
        <f t="shared" si="35"/>
        <v>321300</v>
      </c>
      <c r="O1120" s="26"/>
    </row>
    <row r="1121" spans="1:15" hidden="1" x14ac:dyDescent="0.3">
      <c r="A1121" s="26">
        <v>28</v>
      </c>
      <c r="B1121" s="20" t="str">
        <f t="shared" si="34"/>
        <v>JUL</v>
      </c>
      <c r="C1121" s="21">
        <v>46214</v>
      </c>
      <c r="D1121" s="22" t="str">
        <f t="array" ref="D1121">IFERROR(INDEX('Kode Outlet dan Target Toko'!$A:$A,MATCH($I1121,'Kode Outlet dan Target Toko'!$E:$E,0)),"")</f>
        <v>GRSM 4</v>
      </c>
      <c r="E1121" s="20" t="str">
        <f>IFERROR(VLOOKUP(I1121,KET!$B:$F,4,0),"")</f>
        <v>FAHMI LUKMANUL HAKIM</v>
      </c>
      <c r="F1121" s="20" t="str">
        <f>IFERROR(VLOOKUP(I1121,KET!$B:$F,5,0),"")</f>
        <v>GMM</v>
      </c>
      <c r="G1121" s="20">
        <f>IFERROR(INDEX('Kode Outlet dan Target Toko'!$C:$C,MATCH($I1121,'Kode Outlet dan Target Toko'!$E:$E,0)),0)</f>
        <v>121409</v>
      </c>
      <c r="H1121" s="20">
        <f>IFERROR(INDEX('Kode Outlet dan Target Toko'!$D:$D,MATCH($I1121,'Kode Outlet dan Target Toko'!$E:$E,0)),0)</f>
        <v>5205014</v>
      </c>
      <c r="I1121" s="50" t="s">
        <v>31</v>
      </c>
      <c r="J1121" s="56" t="s">
        <v>184</v>
      </c>
      <c r="K1121" s="40" t="s">
        <v>14</v>
      </c>
      <c r="L1121" s="56">
        <v>2100</v>
      </c>
      <c r="M1121" s="56">
        <v>145</v>
      </c>
      <c r="N1121" s="25">
        <f t="shared" si="35"/>
        <v>304500</v>
      </c>
      <c r="O1121" s="26"/>
    </row>
    <row r="1122" spans="1:15" hidden="1" x14ac:dyDescent="0.3">
      <c r="A1122" s="26">
        <v>28</v>
      </c>
      <c r="B1122" s="20" t="str">
        <f t="shared" si="34"/>
        <v>JUL</v>
      </c>
      <c r="C1122" s="21">
        <v>46214</v>
      </c>
      <c r="D1122" s="22" t="str">
        <f t="array" ref="D1122">IFERROR(INDEX('Kode Outlet dan Target Toko'!$A:$A,MATCH($I1122,'Kode Outlet dan Target Toko'!$E:$E,0)),"")</f>
        <v>GRSM 4</v>
      </c>
      <c r="E1122" s="20" t="str">
        <f>IFERROR(VLOOKUP(I1122,KET!$B:$F,4,0),"")</f>
        <v>FAHMI LUKMANUL HAKIM</v>
      </c>
      <c r="F1122" s="20" t="str">
        <f>IFERROR(VLOOKUP(I1122,KET!$B:$F,5,0),"")</f>
        <v>GMM</v>
      </c>
      <c r="G1122" s="20">
        <f>IFERROR(INDEX('Kode Outlet dan Target Toko'!$C:$C,MATCH($I1122,'Kode Outlet dan Target Toko'!$E:$E,0)),0)</f>
        <v>121409</v>
      </c>
      <c r="H1122" s="20">
        <f>IFERROR(INDEX('Kode Outlet dan Target Toko'!$D:$D,MATCH($I1122,'Kode Outlet dan Target Toko'!$E:$E,0)),0)</f>
        <v>5205014</v>
      </c>
      <c r="I1122" s="50" t="s">
        <v>31</v>
      </c>
      <c r="J1122" s="56" t="s">
        <v>184</v>
      </c>
      <c r="K1122" s="40" t="s">
        <v>13</v>
      </c>
      <c r="L1122" s="56">
        <v>2100</v>
      </c>
      <c r="M1122" s="56">
        <v>143</v>
      </c>
      <c r="N1122" s="25">
        <f t="shared" si="35"/>
        <v>300300</v>
      </c>
      <c r="O1122" s="26"/>
    </row>
    <row r="1123" spans="1:15" hidden="1" x14ac:dyDescent="0.3">
      <c r="A1123" s="26">
        <v>28</v>
      </c>
      <c r="B1123" s="20" t="str">
        <f t="shared" si="34"/>
        <v>JUL</v>
      </c>
      <c r="C1123" s="21">
        <v>46214</v>
      </c>
      <c r="D1123" s="22" t="str">
        <f t="array" ref="D1123">IFERROR(INDEX('Kode Outlet dan Target Toko'!$A:$A,MATCH($I1123,'Kode Outlet dan Target Toko'!$E:$E,0)),"")</f>
        <v>GRSM 4</v>
      </c>
      <c r="E1123" s="20" t="str">
        <f>IFERROR(VLOOKUP(I1123,KET!$B:$F,4,0),"")</f>
        <v>FAHMI LUKMANUL HAKIM</v>
      </c>
      <c r="F1123" s="20" t="str">
        <f>IFERROR(VLOOKUP(I1123,KET!$B:$F,5,0),"")</f>
        <v>GMM</v>
      </c>
      <c r="G1123" s="20">
        <f>IFERROR(INDEX('Kode Outlet dan Target Toko'!$C:$C,MATCH($I1123,'Kode Outlet dan Target Toko'!$E:$E,0)),0)</f>
        <v>121409</v>
      </c>
      <c r="H1123" s="20">
        <f>IFERROR(INDEX('Kode Outlet dan Target Toko'!$D:$D,MATCH($I1123,'Kode Outlet dan Target Toko'!$E:$E,0)),0)</f>
        <v>5205014</v>
      </c>
      <c r="I1123" s="50" t="s">
        <v>31</v>
      </c>
      <c r="J1123" s="56" t="s">
        <v>184</v>
      </c>
      <c r="K1123" s="40" t="s">
        <v>16</v>
      </c>
      <c r="L1123" s="56">
        <v>2100</v>
      </c>
      <c r="M1123" s="56">
        <v>315</v>
      </c>
      <c r="N1123" s="25">
        <f t="shared" si="35"/>
        <v>661500</v>
      </c>
      <c r="O1123" s="26">
        <v>160</v>
      </c>
    </row>
    <row r="1124" spans="1:15" hidden="1" x14ac:dyDescent="0.3">
      <c r="A1124" s="26">
        <v>28</v>
      </c>
      <c r="B1124" s="20" t="str">
        <f t="shared" si="34"/>
        <v>JUL</v>
      </c>
      <c r="C1124" s="21">
        <v>46214</v>
      </c>
      <c r="D1124" s="22" t="str">
        <f t="array" ref="D1124">IFERROR(INDEX('Kode Outlet dan Target Toko'!$A:$A,MATCH($I1124,'Kode Outlet dan Target Toko'!$E:$E,0)),"")</f>
        <v>GRSM 4</v>
      </c>
      <c r="E1124" s="20" t="str">
        <f>IFERROR(VLOOKUP(I1124,KET!$B:$F,4,0),"")</f>
        <v>FAHMI LUKMANUL HAKIM</v>
      </c>
      <c r="F1124" s="20" t="str">
        <f>IFERROR(VLOOKUP(I1124,KET!$B:$F,5,0),"")</f>
        <v>GMM</v>
      </c>
      <c r="G1124" s="20">
        <f>IFERROR(INDEX('Kode Outlet dan Target Toko'!$C:$C,MATCH($I1124,'Kode Outlet dan Target Toko'!$E:$E,0)),0)</f>
        <v>121409</v>
      </c>
      <c r="H1124" s="20">
        <f>IFERROR(INDEX('Kode Outlet dan Target Toko'!$D:$D,MATCH($I1124,'Kode Outlet dan Target Toko'!$E:$E,0)),0)</f>
        <v>5205014</v>
      </c>
      <c r="I1124" s="50" t="s">
        <v>31</v>
      </c>
      <c r="J1124" s="56" t="s">
        <v>185</v>
      </c>
      <c r="K1124" s="40" t="s">
        <v>15</v>
      </c>
      <c r="L1124" s="56">
        <v>2100</v>
      </c>
      <c r="M1124" s="56">
        <v>153</v>
      </c>
      <c r="N1124" s="25">
        <f t="shared" si="35"/>
        <v>321300</v>
      </c>
      <c r="O1124" s="26"/>
    </row>
    <row r="1125" spans="1:15" hidden="1" x14ac:dyDescent="0.3">
      <c r="A1125" s="26">
        <v>28</v>
      </c>
      <c r="B1125" s="20" t="str">
        <f t="shared" si="34"/>
        <v>JUL</v>
      </c>
      <c r="C1125" s="21">
        <v>46214</v>
      </c>
      <c r="D1125" s="22" t="str">
        <f t="array" ref="D1125">IFERROR(INDEX('Kode Outlet dan Target Toko'!$A:$A,MATCH($I1125,'Kode Outlet dan Target Toko'!$E:$E,0)),"")</f>
        <v>GRSM 4</v>
      </c>
      <c r="E1125" s="20" t="str">
        <f>IFERROR(VLOOKUP(I1125,KET!$B:$F,4,0),"")</f>
        <v>FAHMI LUKMANUL HAKIM</v>
      </c>
      <c r="F1125" s="20" t="str">
        <f>IFERROR(VLOOKUP(I1125,KET!$B:$F,5,0),"")</f>
        <v>GMM</v>
      </c>
      <c r="G1125" s="20">
        <f>IFERROR(INDEX('Kode Outlet dan Target Toko'!$C:$C,MATCH($I1125,'Kode Outlet dan Target Toko'!$E:$E,0)),0)</f>
        <v>121409</v>
      </c>
      <c r="H1125" s="20">
        <f>IFERROR(INDEX('Kode Outlet dan Target Toko'!$D:$D,MATCH($I1125,'Kode Outlet dan Target Toko'!$E:$E,0)),0)</f>
        <v>5205014</v>
      </c>
      <c r="I1125" s="50" t="s">
        <v>31</v>
      </c>
      <c r="J1125" s="56" t="s">
        <v>185</v>
      </c>
      <c r="K1125" s="40" t="s">
        <v>14</v>
      </c>
      <c r="L1125" s="56">
        <v>2100</v>
      </c>
      <c r="M1125" s="56">
        <v>145</v>
      </c>
      <c r="N1125" s="25">
        <f t="shared" si="35"/>
        <v>304500</v>
      </c>
      <c r="O1125" s="26"/>
    </row>
    <row r="1126" spans="1:15" hidden="1" x14ac:dyDescent="0.3">
      <c r="A1126" s="26">
        <v>28</v>
      </c>
      <c r="B1126" s="20" t="str">
        <f t="shared" si="34"/>
        <v>JUL</v>
      </c>
      <c r="C1126" s="21">
        <v>46214</v>
      </c>
      <c r="D1126" s="22" t="str">
        <f t="array" ref="D1126">IFERROR(INDEX('Kode Outlet dan Target Toko'!$A:$A,MATCH($I1126,'Kode Outlet dan Target Toko'!$E:$E,0)),"")</f>
        <v>GRSM 4</v>
      </c>
      <c r="E1126" s="20" t="str">
        <f>IFERROR(VLOOKUP(I1126,KET!$B:$F,4,0),"")</f>
        <v>FAHMI LUKMANUL HAKIM</v>
      </c>
      <c r="F1126" s="20" t="str">
        <f>IFERROR(VLOOKUP(I1126,KET!$B:$F,5,0),"")</f>
        <v>GMM</v>
      </c>
      <c r="G1126" s="20">
        <f>IFERROR(INDEX('Kode Outlet dan Target Toko'!$C:$C,MATCH($I1126,'Kode Outlet dan Target Toko'!$E:$E,0)),0)</f>
        <v>121409</v>
      </c>
      <c r="H1126" s="20">
        <f>IFERROR(INDEX('Kode Outlet dan Target Toko'!$D:$D,MATCH($I1126,'Kode Outlet dan Target Toko'!$E:$E,0)),0)</f>
        <v>5205014</v>
      </c>
      <c r="I1126" s="50" t="s">
        <v>31</v>
      </c>
      <c r="J1126" s="56" t="s">
        <v>185</v>
      </c>
      <c r="K1126" s="40" t="s">
        <v>13</v>
      </c>
      <c r="L1126" s="56">
        <v>2100</v>
      </c>
      <c r="M1126" s="56">
        <v>143</v>
      </c>
      <c r="N1126" s="25">
        <f t="shared" si="35"/>
        <v>300300</v>
      </c>
      <c r="O1126" s="26"/>
    </row>
    <row r="1127" spans="1:15" hidden="1" x14ac:dyDescent="0.3">
      <c r="A1127" s="26">
        <v>28</v>
      </c>
      <c r="B1127" s="20" t="str">
        <f t="shared" si="34"/>
        <v>JUL</v>
      </c>
      <c r="C1127" s="21">
        <v>46214</v>
      </c>
      <c r="D1127" s="22" t="str">
        <f t="array" ref="D1127">IFERROR(INDEX('Kode Outlet dan Target Toko'!$A:$A,MATCH($I1127,'Kode Outlet dan Target Toko'!$E:$E,0)),"")</f>
        <v>GRSM 4</v>
      </c>
      <c r="E1127" s="20" t="str">
        <f>IFERROR(VLOOKUP(I1127,KET!$B:$F,4,0),"")</f>
        <v>FAHMI LUKMANUL HAKIM</v>
      </c>
      <c r="F1127" s="20" t="str">
        <f>IFERROR(VLOOKUP(I1127,KET!$B:$F,5,0),"")</f>
        <v>GMM</v>
      </c>
      <c r="G1127" s="20">
        <f>IFERROR(INDEX('Kode Outlet dan Target Toko'!$C:$C,MATCH($I1127,'Kode Outlet dan Target Toko'!$E:$E,0)),0)</f>
        <v>121409</v>
      </c>
      <c r="H1127" s="20">
        <f>IFERROR(INDEX('Kode Outlet dan Target Toko'!$D:$D,MATCH($I1127,'Kode Outlet dan Target Toko'!$E:$E,0)),0)</f>
        <v>5205014</v>
      </c>
      <c r="I1127" s="50" t="s">
        <v>31</v>
      </c>
      <c r="J1127" s="56" t="s">
        <v>185</v>
      </c>
      <c r="K1127" s="40" t="s">
        <v>16</v>
      </c>
      <c r="L1127" s="56">
        <v>2100</v>
      </c>
      <c r="M1127" s="56">
        <v>315</v>
      </c>
      <c r="N1127" s="25">
        <f t="shared" si="35"/>
        <v>661500</v>
      </c>
      <c r="O1127" s="26">
        <v>160</v>
      </c>
    </row>
    <row r="1128" spans="1:15" hidden="1" x14ac:dyDescent="0.3">
      <c r="A1128" s="26">
        <v>28</v>
      </c>
      <c r="B1128" s="20" t="str">
        <f t="shared" si="34"/>
        <v>JUL</v>
      </c>
      <c r="C1128" s="21">
        <v>46214</v>
      </c>
      <c r="D1128" s="22" t="str">
        <f t="array" ref="D1128">IFERROR(INDEX('Kode Outlet dan Target Toko'!$A:$A,MATCH($I1128,'Kode Outlet dan Target Toko'!$E:$E,0)),"")</f>
        <v>GRSM 4</v>
      </c>
      <c r="E1128" s="20" t="str">
        <f>IFERROR(VLOOKUP(I1128,KET!$B:$F,4,0),"")</f>
        <v>FAHMI LUKMANUL HAKIM</v>
      </c>
      <c r="F1128" s="20" t="str">
        <f>IFERROR(VLOOKUP(I1128,KET!$B:$F,5,0),"")</f>
        <v>GMM</v>
      </c>
      <c r="G1128" s="20">
        <f>IFERROR(INDEX('Kode Outlet dan Target Toko'!$C:$C,MATCH($I1128,'Kode Outlet dan Target Toko'!$E:$E,0)),0)</f>
        <v>103259</v>
      </c>
      <c r="H1128" s="20">
        <f>IFERROR(INDEX('Kode Outlet dan Target Toko'!$D:$D,MATCH($I1128,'Kode Outlet dan Target Toko'!$E:$E,0)),0)</f>
        <v>9029389</v>
      </c>
      <c r="I1128" s="42" t="s">
        <v>27</v>
      </c>
      <c r="J1128" s="56" t="s">
        <v>178</v>
      </c>
      <c r="K1128" s="40" t="s">
        <v>15</v>
      </c>
      <c r="L1128" s="56">
        <v>3000</v>
      </c>
      <c r="M1128" s="56">
        <v>51</v>
      </c>
      <c r="N1128" s="25">
        <f t="shared" si="35"/>
        <v>153000</v>
      </c>
      <c r="O1128" s="26"/>
    </row>
    <row r="1129" spans="1:15" hidden="1" x14ac:dyDescent="0.3">
      <c r="A1129" s="26">
        <v>28</v>
      </c>
      <c r="B1129" s="20" t="str">
        <f t="shared" si="34"/>
        <v>JUL</v>
      </c>
      <c r="C1129" s="21">
        <v>46214</v>
      </c>
      <c r="D1129" s="22" t="str">
        <f t="array" ref="D1129">IFERROR(INDEX('Kode Outlet dan Target Toko'!$A:$A,MATCH($I1129,'Kode Outlet dan Target Toko'!$E:$E,0)),"")</f>
        <v>GRSM 4</v>
      </c>
      <c r="E1129" s="20" t="str">
        <f>IFERROR(VLOOKUP(I1129,KET!$B:$F,4,0),"")</f>
        <v>FAHMI LUKMANUL HAKIM</v>
      </c>
      <c r="F1129" s="20" t="str">
        <f>IFERROR(VLOOKUP(I1129,KET!$B:$F,5,0),"")</f>
        <v>GMM</v>
      </c>
      <c r="G1129" s="20">
        <f>IFERROR(INDEX('Kode Outlet dan Target Toko'!$C:$C,MATCH($I1129,'Kode Outlet dan Target Toko'!$E:$E,0)),0)</f>
        <v>103259</v>
      </c>
      <c r="H1129" s="20">
        <f>IFERROR(INDEX('Kode Outlet dan Target Toko'!$D:$D,MATCH($I1129,'Kode Outlet dan Target Toko'!$E:$E,0)),0)</f>
        <v>9029389</v>
      </c>
      <c r="I1129" s="42" t="s">
        <v>27</v>
      </c>
      <c r="J1129" s="56" t="s">
        <v>178</v>
      </c>
      <c r="K1129" s="40" t="s">
        <v>14</v>
      </c>
      <c r="L1129" s="56">
        <v>3000</v>
      </c>
      <c r="M1129" s="56">
        <v>80</v>
      </c>
      <c r="N1129" s="25">
        <f t="shared" si="35"/>
        <v>240000</v>
      </c>
      <c r="O1129" s="26"/>
    </row>
    <row r="1130" spans="1:15" hidden="1" x14ac:dyDescent="0.3">
      <c r="A1130" s="26">
        <v>28</v>
      </c>
      <c r="B1130" s="20" t="str">
        <f t="shared" si="34"/>
        <v>JUL</v>
      </c>
      <c r="C1130" s="21">
        <v>46214</v>
      </c>
      <c r="D1130" s="22" t="str">
        <f t="array" ref="D1130">IFERROR(INDEX('Kode Outlet dan Target Toko'!$A:$A,MATCH($I1130,'Kode Outlet dan Target Toko'!$E:$E,0)),"")</f>
        <v>GRSM 4</v>
      </c>
      <c r="E1130" s="20" t="str">
        <f>IFERROR(VLOOKUP(I1130,KET!$B:$F,4,0),"")</f>
        <v>FAHMI LUKMANUL HAKIM</v>
      </c>
      <c r="F1130" s="20" t="str">
        <f>IFERROR(VLOOKUP(I1130,KET!$B:$F,5,0),"")</f>
        <v>GMM</v>
      </c>
      <c r="G1130" s="20">
        <f>IFERROR(INDEX('Kode Outlet dan Target Toko'!$C:$C,MATCH($I1130,'Kode Outlet dan Target Toko'!$E:$E,0)),0)</f>
        <v>103259</v>
      </c>
      <c r="H1130" s="20">
        <f>IFERROR(INDEX('Kode Outlet dan Target Toko'!$D:$D,MATCH($I1130,'Kode Outlet dan Target Toko'!$E:$E,0)),0)</f>
        <v>9029389</v>
      </c>
      <c r="I1130" s="42" t="s">
        <v>27</v>
      </c>
      <c r="J1130" s="56" t="s">
        <v>178</v>
      </c>
      <c r="K1130" s="40" t="s">
        <v>13</v>
      </c>
      <c r="L1130" s="56">
        <v>3000</v>
      </c>
      <c r="M1130" s="56">
        <v>40</v>
      </c>
      <c r="N1130" s="25">
        <f t="shared" si="35"/>
        <v>120000</v>
      </c>
      <c r="O1130" s="26"/>
    </row>
    <row r="1131" spans="1:15" hidden="1" x14ac:dyDescent="0.3">
      <c r="A1131" s="26">
        <v>28</v>
      </c>
      <c r="B1131" s="20" t="str">
        <f t="shared" si="34"/>
        <v>JUL</v>
      </c>
      <c r="C1131" s="21">
        <v>46214</v>
      </c>
      <c r="D1131" s="22" t="str">
        <f t="array" ref="D1131">IFERROR(INDEX('Kode Outlet dan Target Toko'!$A:$A,MATCH($I1131,'Kode Outlet dan Target Toko'!$E:$E,0)),"")</f>
        <v>GRSM 4</v>
      </c>
      <c r="E1131" s="20" t="str">
        <f>IFERROR(VLOOKUP(I1131,KET!$B:$F,4,0),"")</f>
        <v>FAHMI LUKMANUL HAKIM</v>
      </c>
      <c r="F1131" s="20" t="str">
        <f>IFERROR(VLOOKUP(I1131,KET!$B:$F,5,0),"")</f>
        <v>GMM</v>
      </c>
      <c r="G1131" s="20">
        <f>IFERROR(INDEX('Kode Outlet dan Target Toko'!$C:$C,MATCH($I1131,'Kode Outlet dan Target Toko'!$E:$E,0)),0)</f>
        <v>103259</v>
      </c>
      <c r="H1131" s="20">
        <f>IFERROR(INDEX('Kode Outlet dan Target Toko'!$D:$D,MATCH($I1131,'Kode Outlet dan Target Toko'!$E:$E,0)),0)</f>
        <v>9029389</v>
      </c>
      <c r="I1131" s="42" t="s">
        <v>27</v>
      </c>
      <c r="J1131" s="56" t="s">
        <v>178</v>
      </c>
      <c r="K1131" s="40" t="s">
        <v>16</v>
      </c>
      <c r="L1131" s="56">
        <v>3000</v>
      </c>
      <c r="M1131" s="56">
        <v>206</v>
      </c>
      <c r="N1131" s="25">
        <f t="shared" si="35"/>
        <v>618000</v>
      </c>
      <c r="O1131" s="26">
        <v>160</v>
      </c>
    </row>
    <row r="1132" spans="1:15" hidden="1" x14ac:dyDescent="0.3">
      <c r="A1132" s="26">
        <v>28</v>
      </c>
      <c r="B1132" s="20" t="str">
        <f t="shared" si="34"/>
        <v>JUL</v>
      </c>
      <c r="C1132" s="21">
        <v>46214</v>
      </c>
      <c r="D1132" s="22" t="str">
        <f t="array" ref="D1132">IFERROR(INDEX('Kode Outlet dan Target Toko'!$A:$A,MATCH($I1132,'Kode Outlet dan Target Toko'!$E:$E,0)),"")</f>
        <v>GRSM 4</v>
      </c>
      <c r="E1132" s="20" t="str">
        <f>IFERROR(VLOOKUP(I1132,KET!$B:$F,4,0),"")</f>
        <v>FAHMI LUKMANUL HAKIM</v>
      </c>
      <c r="F1132" s="20" t="str">
        <f>IFERROR(VLOOKUP(I1132,KET!$B:$F,5,0),"")</f>
        <v>GMM</v>
      </c>
      <c r="G1132" s="20">
        <f>IFERROR(INDEX('Kode Outlet dan Target Toko'!$C:$C,MATCH($I1132,'Kode Outlet dan Target Toko'!$E:$E,0)),0)</f>
        <v>103259</v>
      </c>
      <c r="H1132" s="20">
        <f>IFERROR(INDEX('Kode Outlet dan Target Toko'!$D:$D,MATCH($I1132,'Kode Outlet dan Target Toko'!$E:$E,0)),0)</f>
        <v>9029389</v>
      </c>
      <c r="I1132" s="42" t="s">
        <v>27</v>
      </c>
      <c r="J1132" s="27" t="s">
        <v>179</v>
      </c>
      <c r="K1132" s="40" t="s">
        <v>15</v>
      </c>
      <c r="L1132" s="56">
        <v>3000</v>
      </c>
      <c r="M1132" s="56">
        <v>51</v>
      </c>
      <c r="N1132" s="25">
        <f t="shared" si="35"/>
        <v>153000</v>
      </c>
      <c r="O1132" s="26"/>
    </row>
    <row r="1133" spans="1:15" hidden="1" x14ac:dyDescent="0.3">
      <c r="A1133" s="26">
        <v>28</v>
      </c>
      <c r="B1133" s="20" t="str">
        <f t="shared" si="34"/>
        <v>JUL</v>
      </c>
      <c r="C1133" s="21">
        <v>46214</v>
      </c>
      <c r="D1133" s="22" t="str">
        <f t="array" ref="D1133">IFERROR(INDEX('Kode Outlet dan Target Toko'!$A:$A,MATCH($I1133,'Kode Outlet dan Target Toko'!$E:$E,0)),"")</f>
        <v>GRSM 4</v>
      </c>
      <c r="E1133" s="20" t="str">
        <f>IFERROR(VLOOKUP(I1133,KET!$B:$F,4,0),"")</f>
        <v>FAHMI LUKMANUL HAKIM</v>
      </c>
      <c r="F1133" s="20" t="str">
        <f>IFERROR(VLOOKUP(I1133,KET!$B:$F,5,0),"")</f>
        <v>GMM</v>
      </c>
      <c r="G1133" s="20">
        <f>IFERROR(INDEX('Kode Outlet dan Target Toko'!$C:$C,MATCH($I1133,'Kode Outlet dan Target Toko'!$E:$E,0)),0)</f>
        <v>103259</v>
      </c>
      <c r="H1133" s="20">
        <f>IFERROR(INDEX('Kode Outlet dan Target Toko'!$D:$D,MATCH($I1133,'Kode Outlet dan Target Toko'!$E:$E,0)),0)</f>
        <v>9029389</v>
      </c>
      <c r="I1133" s="42" t="s">
        <v>27</v>
      </c>
      <c r="J1133" s="27" t="s">
        <v>179</v>
      </c>
      <c r="K1133" s="40" t="s">
        <v>14</v>
      </c>
      <c r="L1133" s="56">
        <v>3000</v>
      </c>
      <c r="M1133" s="56">
        <v>82</v>
      </c>
      <c r="N1133" s="25">
        <f t="shared" si="35"/>
        <v>246000</v>
      </c>
      <c r="O1133" s="26"/>
    </row>
    <row r="1134" spans="1:15" hidden="1" x14ac:dyDescent="0.3">
      <c r="A1134" s="26">
        <v>28</v>
      </c>
      <c r="B1134" s="20" t="str">
        <f t="shared" si="34"/>
        <v>JUL</v>
      </c>
      <c r="C1134" s="21">
        <v>46214</v>
      </c>
      <c r="D1134" s="22" t="str">
        <f t="array" ref="D1134">IFERROR(INDEX('Kode Outlet dan Target Toko'!$A:$A,MATCH($I1134,'Kode Outlet dan Target Toko'!$E:$E,0)),"")</f>
        <v>GRSM 4</v>
      </c>
      <c r="E1134" s="20" t="str">
        <f>IFERROR(VLOOKUP(I1134,KET!$B:$F,4,0),"")</f>
        <v>FAHMI LUKMANUL HAKIM</v>
      </c>
      <c r="F1134" s="20" t="str">
        <f>IFERROR(VLOOKUP(I1134,KET!$B:$F,5,0),"")</f>
        <v>GMM</v>
      </c>
      <c r="G1134" s="20">
        <f>IFERROR(INDEX('Kode Outlet dan Target Toko'!$C:$C,MATCH($I1134,'Kode Outlet dan Target Toko'!$E:$E,0)),0)</f>
        <v>103259</v>
      </c>
      <c r="H1134" s="20">
        <f>IFERROR(INDEX('Kode Outlet dan Target Toko'!$D:$D,MATCH($I1134,'Kode Outlet dan Target Toko'!$E:$E,0)),0)</f>
        <v>9029389</v>
      </c>
      <c r="I1134" s="42" t="s">
        <v>27</v>
      </c>
      <c r="J1134" s="27" t="s">
        <v>179</v>
      </c>
      <c r="K1134" s="40" t="s">
        <v>13</v>
      </c>
      <c r="L1134" s="56">
        <v>3000</v>
      </c>
      <c r="M1134" s="56">
        <v>48</v>
      </c>
      <c r="N1134" s="25">
        <f t="shared" si="35"/>
        <v>144000</v>
      </c>
      <c r="O1134" s="26"/>
    </row>
    <row r="1135" spans="1:15" hidden="1" x14ac:dyDescent="0.3">
      <c r="A1135" s="26">
        <v>28</v>
      </c>
      <c r="B1135" s="20" t="str">
        <f t="shared" si="34"/>
        <v>JUL</v>
      </c>
      <c r="C1135" s="21">
        <v>46214</v>
      </c>
      <c r="D1135" s="22" t="str">
        <f t="array" ref="D1135">IFERROR(INDEX('Kode Outlet dan Target Toko'!$A:$A,MATCH($I1135,'Kode Outlet dan Target Toko'!$E:$E,0)),"")</f>
        <v>GRSM 4</v>
      </c>
      <c r="E1135" s="20" t="str">
        <f>IFERROR(VLOOKUP(I1135,KET!$B:$F,4,0),"")</f>
        <v>FAHMI LUKMANUL HAKIM</v>
      </c>
      <c r="F1135" s="20" t="str">
        <f>IFERROR(VLOOKUP(I1135,KET!$B:$F,5,0),"")</f>
        <v>GMM</v>
      </c>
      <c r="G1135" s="20">
        <f>IFERROR(INDEX('Kode Outlet dan Target Toko'!$C:$C,MATCH($I1135,'Kode Outlet dan Target Toko'!$E:$E,0)),0)</f>
        <v>103259</v>
      </c>
      <c r="H1135" s="20">
        <f>IFERROR(INDEX('Kode Outlet dan Target Toko'!$D:$D,MATCH($I1135,'Kode Outlet dan Target Toko'!$E:$E,0)),0)</f>
        <v>9029389</v>
      </c>
      <c r="I1135" s="42" t="s">
        <v>27</v>
      </c>
      <c r="J1135" s="27" t="s">
        <v>179</v>
      </c>
      <c r="K1135" s="40" t="s">
        <v>16</v>
      </c>
      <c r="L1135" s="56">
        <v>3000</v>
      </c>
      <c r="M1135" s="56">
        <v>213</v>
      </c>
      <c r="N1135" s="25">
        <f t="shared" si="35"/>
        <v>639000</v>
      </c>
      <c r="O1135" s="26">
        <v>160</v>
      </c>
    </row>
    <row r="1136" spans="1:15" hidden="1" x14ac:dyDescent="0.3">
      <c r="A1136" s="26">
        <v>28</v>
      </c>
      <c r="B1136" s="20" t="str">
        <f t="shared" si="34"/>
        <v>JUL</v>
      </c>
      <c r="C1136" s="21">
        <v>46213</v>
      </c>
      <c r="D1136" s="22" t="str">
        <f t="array" ref="D1136">IFERROR(INDEX('Kode Outlet dan Target Toko'!$A:$A,MATCH($I1136,'Kode Outlet dan Target Toko'!$E:$E,0)),"")</f>
        <v>GRSM 4</v>
      </c>
      <c r="E1136" s="20" t="str">
        <f>IFERROR(VLOOKUP(I1136,KET!$B:$F,4,0),"")</f>
        <v>FAHMI LUKMANUL HAKIM</v>
      </c>
      <c r="F1136" s="20" t="str">
        <f>IFERROR(VLOOKUP(I1136,KET!$B:$F,5,0),"")</f>
        <v>GMM</v>
      </c>
      <c r="G1136" s="20">
        <f>IFERROR(INDEX('Kode Outlet dan Target Toko'!$C:$C,MATCH($I1136,'Kode Outlet dan Target Toko'!$E:$E,0)),0)</f>
        <v>189901</v>
      </c>
      <c r="H1136" s="20">
        <f>IFERROR(INDEX('Kode Outlet dan Target Toko'!$D:$D,MATCH($I1136,'Kode Outlet dan Target Toko'!$E:$E,0)),0)</f>
        <v>1602016</v>
      </c>
      <c r="I1136" s="42" t="s">
        <v>35</v>
      </c>
      <c r="J1136" s="56" t="s">
        <v>172</v>
      </c>
      <c r="K1136" s="40" t="s">
        <v>15</v>
      </c>
      <c r="L1136" s="56">
        <v>3400</v>
      </c>
      <c r="M1136" s="56">
        <v>87</v>
      </c>
      <c r="N1136" s="25">
        <f t="shared" si="35"/>
        <v>295800</v>
      </c>
      <c r="O1136" s="26"/>
    </row>
    <row r="1137" spans="1:15" hidden="1" x14ac:dyDescent="0.3">
      <c r="A1137" s="26">
        <v>28</v>
      </c>
      <c r="B1137" s="20" t="str">
        <f t="shared" si="34"/>
        <v>JUL</v>
      </c>
      <c r="C1137" s="21">
        <v>46213</v>
      </c>
      <c r="D1137" s="22" t="str">
        <f t="array" ref="D1137">IFERROR(INDEX('Kode Outlet dan Target Toko'!$A:$A,MATCH($I1137,'Kode Outlet dan Target Toko'!$E:$E,0)),"")</f>
        <v>GRSM 4</v>
      </c>
      <c r="E1137" s="20" t="str">
        <f>IFERROR(VLOOKUP(I1137,KET!$B:$F,4,0),"")</f>
        <v>FAHMI LUKMANUL HAKIM</v>
      </c>
      <c r="F1137" s="20" t="str">
        <f>IFERROR(VLOOKUP(I1137,KET!$B:$F,5,0),"")</f>
        <v>GMM</v>
      </c>
      <c r="G1137" s="20">
        <f>IFERROR(INDEX('Kode Outlet dan Target Toko'!$C:$C,MATCH($I1137,'Kode Outlet dan Target Toko'!$E:$E,0)),0)</f>
        <v>189901</v>
      </c>
      <c r="H1137" s="20">
        <f>IFERROR(INDEX('Kode Outlet dan Target Toko'!$D:$D,MATCH($I1137,'Kode Outlet dan Target Toko'!$E:$E,0)),0)</f>
        <v>1602016</v>
      </c>
      <c r="I1137" s="42" t="s">
        <v>35</v>
      </c>
      <c r="J1137" s="56" t="s">
        <v>172</v>
      </c>
      <c r="K1137" s="40" t="s">
        <v>14</v>
      </c>
      <c r="L1137" s="56">
        <v>3400</v>
      </c>
      <c r="M1137" s="56">
        <v>100</v>
      </c>
      <c r="N1137" s="25">
        <f t="shared" si="35"/>
        <v>340000</v>
      </c>
      <c r="O1137" s="26"/>
    </row>
    <row r="1138" spans="1:15" hidden="1" x14ac:dyDescent="0.3">
      <c r="A1138" s="26">
        <v>28</v>
      </c>
      <c r="B1138" s="20" t="str">
        <f t="shared" si="34"/>
        <v>JUL</v>
      </c>
      <c r="C1138" s="21">
        <v>46213</v>
      </c>
      <c r="D1138" s="22" t="str">
        <f t="array" ref="D1138">IFERROR(INDEX('Kode Outlet dan Target Toko'!$A:$A,MATCH($I1138,'Kode Outlet dan Target Toko'!$E:$E,0)),"")</f>
        <v>GRSM 4</v>
      </c>
      <c r="E1138" s="20" t="str">
        <f>IFERROR(VLOOKUP(I1138,KET!$B:$F,4,0),"")</f>
        <v>FAHMI LUKMANUL HAKIM</v>
      </c>
      <c r="F1138" s="20" t="str">
        <f>IFERROR(VLOOKUP(I1138,KET!$B:$F,5,0),"")</f>
        <v>GMM</v>
      </c>
      <c r="G1138" s="20">
        <f>IFERROR(INDEX('Kode Outlet dan Target Toko'!$C:$C,MATCH($I1138,'Kode Outlet dan Target Toko'!$E:$E,0)),0)</f>
        <v>189901</v>
      </c>
      <c r="H1138" s="20">
        <f>IFERROR(INDEX('Kode Outlet dan Target Toko'!$D:$D,MATCH($I1138,'Kode Outlet dan Target Toko'!$E:$E,0)),0)</f>
        <v>1602016</v>
      </c>
      <c r="I1138" s="42" t="s">
        <v>35</v>
      </c>
      <c r="J1138" s="56" t="s">
        <v>172</v>
      </c>
      <c r="K1138" s="40" t="s">
        <v>13</v>
      </c>
      <c r="L1138" s="56">
        <v>3400</v>
      </c>
      <c r="M1138" s="56">
        <v>80</v>
      </c>
      <c r="N1138" s="25">
        <f t="shared" si="35"/>
        <v>272000</v>
      </c>
      <c r="O1138" s="26"/>
    </row>
    <row r="1139" spans="1:15" hidden="1" x14ac:dyDescent="0.3">
      <c r="A1139" s="26">
        <v>28</v>
      </c>
      <c r="B1139" s="20" t="str">
        <f t="shared" si="34"/>
        <v>JUL</v>
      </c>
      <c r="C1139" s="21">
        <v>46213</v>
      </c>
      <c r="D1139" s="22" t="str">
        <f t="array" ref="D1139">IFERROR(INDEX('Kode Outlet dan Target Toko'!$A:$A,MATCH($I1139,'Kode Outlet dan Target Toko'!$E:$E,0)),"")</f>
        <v>GRSM 4</v>
      </c>
      <c r="E1139" s="20" t="str">
        <f>IFERROR(VLOOKUP(I1139,KET!$B:$F,4,0),"")</f>
        <v>FAHMI LUKMANUL HAKIM</v>
      </c>
      <c r="F1139" s="20" t="str">
        <f>IFERROR(VLOOKUP(I1139,KET!$B:$F,5,0),"")</f>
        <v>GMM</v>
      </c>
      <c r="G1139" s="20">
        <f>IFERROR(INDEX('Kode Outlet dan Target Toko'!$C:$C,MATCH($I1139,'Kode Outlet dan Target Toko'!$E:$E,0)),0)</f>
        <v>189901</v>
      </c>
      <c r="H1139" s="20">
        <f>IFERROR(INDEX('Kode Outlet dan Target Toko'!$D:$D,MATCH($I1139,'Kode Outlet dan Target Toko'!$E:$E,0)),0)</f>
        <v>1602016</v>
      </c>
      <c r="I1139" s="42" t="s">
        <v>35</v>
      </c>
      <c r="J1139" s="56" t="s">
        <v>172</v>
      </c>
      <c r="K1139" s="40" t="s">
        <v>16</v>
      </c>
      <c r="L1139" s="56">
        <v>3400</v>
      </c>
      <c r="M1139" s="56">
        <v>199</v>
      </c>
      <c r="N1139" s="25">
        <f t="shared" si="35"/>
        <v>676600</v>
      </c>
      <c r="O1139" s="26"/>
    </row>
    <row r="1140" spans="1:15" hidden="1" x14ac:dyDescent="0.3">
      <c r="A1140" s="26">
        <v>28</v>
      </c>
      <c r="B1140" s="20" t="str">
        <f t="shared" si="34"/>
        <v>JUL</v>
      </c>
      <c r="C1140" s="21">
        <v>46214</v>
      </c>
      <c r="D1140" s="22" t="str">
        <f t="array" ref="D1140">IFERROR(INDEX('Kode Outlet dan Target Toko'!$A:$A,MATCH($I1140,'Kode Outlet dan Target Toko'!$E:$E,0)),"")</f>
        <v>GRSM 4</v>
      </c>
      <c r="E1140" s="20" t="str">
        <f>IFERROR(VLOOKUP(I1140,KET!$B:$F,4,0),"")</f>
        <v>FAHMI LUKMANUL HAKIM</v>
      </c>
      <c r="F1140" s="20" t="str">
        <f>IFERROR(VLOOKUP(I1140,KET!$B:$F,5,0),"")</f>
        <v>GMM</v>
      </c>
      <c r="G1140" s="20">
        <f>IFERROR(INDEX('Kode Outlet dan Target Toko'!$C:$C,MATCH($I1140,'Kode Outlet dan Target Toko'!$E:$E,0)),0)</f>
        <v>189901</v>
      </c>
      <c r="H1140" s="20">
        <f>IFERROR(INDEX('Kode Outlet dan Target Toko'!$D:$D,MATCH($I1140,'Kode Outlet dan Target Toko'!$E:$E,0)),0)</f>
        <v>1602016</v>
      </c>
      <c r="I1140" s="42" t="s">
        <v>35</v>
      </c>
      <c r="J1140" s="56" t="s">
        <v>173</v>
      </c>
      <c r="K1140" s="40" t="s">
        <v>15</v>
      </c>
      <c r="L1140" s="56">
        <v>3400</v>
      </c>
      <c r="M1140" s="56">
        <v>120</v>
      </c>
      <c r="N1140" s="25">
        <f t="shared" si="35"/>
        <v>408000</v>
      </c>
      <c r="O1140" s="26"/>
    </row>
    <row r="1141" spans="1:15" hidden="1" x14ac:dyDescent="0.3">
      <c r="A1141" s="26">
        <v>28</v>
      </c>
      <c r="B1141" s="20" t="str">
        <f t="shared" si="34"/>
        <v>JUL</v>
      </c>
      <c r="C1141" s="21">
        <v>46214</v>
      </c>
      <c r="D1141" s="22" t="str">
        <f t="array" ref="D1141">IFERROR(INDEX('Kode Outlet dan Target Toko'!$A:$A,MATCH($I1141,'Kode Outlet dan Target Toko'!$E:$E,0)),"")</f>
        <v>GRSM 4</v>
      </c>
      <c r="E1141" s="20" t="str">
        <f>IFERROR(VLOOKUP(I1141,KET!$B:$F,4,0),"")</f>
        <v>FAHMI LUKMANUL HAKIM</v>
      </c>
      <c r="F1141" s="20" t="str">
        <f>IFERROR(VLOOKUP(I1141,KET!$B:$F,5,0),"")</f>
        <v>GMM</v>
      </c>
      <c r="G1141" s="20">
        <f>IFERROR(INDEX('Kode Outlet dan Target Toko'!$C:$C,MATCH($I1141,'Kode Outlet dan Target Toko'!$E:$E,0)),0)</f>
        <v>189901</v>
      </c>
      <c r="H1141" s="20">
        <f>IFERROR(INDEX('Kode Outlet dan Target Toko'!$D:$D,MATCH($I1141,'Kode Outlet dan Target Toko'!$E:$E,0)),0)</f>
        <v>1602016</v>
      </c>
      <c r="I1141" s="42" t="s">
        <v>35</v>
      </c>
      <c r="J1141" s="56" t="s">
        <v>173</v>
      </c>
      <c r="K1141" s="40" t="s">
        <v>14</v>
      </c>
      <c r="L1141" s="56">
        <v>3400</v>
      </c>
      <c r="M1141" s="56">
        <v>120</v>
      </c>
      <c r="N1141" s="25">
        <f t="shared" si="35"/>
        <v>408000</v>
      </c>
      <c r="O1141" s="26"/>
    </row>
    <row r="1142" spans="1:15" hidden="1" x14ac:dyDescent="0.3">
      <c r="A1142" s="26">
        <v>28</v>
      </c>
      <c r="B1142" s="20" t="str">
        <f t="shared" si="34"/>
        <v>JUL</v>
      </c>
      <c r="C1142" s="21">
        <v>46214</v>
      </c>
      <c r="D1142" s="22" t="str">
        <f t="array" ref="D1142">IFERROR(INDEX('Kode Outlet dan Target Toko'!$A:$A,MATCH($I1142,'Kode Outlet dan Target Toko'!$E:$E,0)),"")</f>
        <v>GRSM 4</v>
      </c>
      <c r="E1142" s="20" t="str">
        <f>IFERROR(VLOOKUP(I1142,KET!$B:$F,4,0),"")</f>
        <v>FAHMI LUKMANUL HAKIM</v>
      </c>
      <c r="F1142" s="20" t="str">
        <f>IFERROR(VLOOKUP(I1142,KET!$B:$F,5,0),"")</f>
        <v>GMM</v>
      </c>
      <c r="G1142" s="20">
        <f>IFERROR(INDEX('Kode Outlet dan Target Toko'!$C:$C,MATCH($I1142,'Kode Outlet dan Target Toko'!$E:$E,0)),0)</f>
        <v>189901</v>
      </c>
      <c r="H1142" s="20">
        <f>IFERROR(INDEX('Kode Outlet dan Target Toko'!$D:$D,MATCH($I1142,'Kode Outlet dan Target Toko'!$E:$E,0)),0)</f>
        <v>1602016</v>
      </c>
      <c r="I1142" s="42" t="s">
        <v>35</v>
      </c>
      <c r="J1142" s="56" t="s">
        <v>173</v>
      </c>
      <c r="K1142" s="40" t="s">
        <v>13</v>
      </c>
      <c r="L1142" s="56">
        <v>3400</v>
      </c>
      <c r="M1142" s="56">
        <v>60</v>
      </c>
      <c r="N1142" s="25">
        <f t="shared" si="35"/>
        <v>204000</v>
      </c>
      <c r="O1142" s="26"/>
    </row>
    <row r="1143" spans="1:15" hidden="1" x14ac:dyDescent="0.3">
      <c r="A1143" s="26">
        <v>28</v>
      </c>
      <c r="B1143" s="20" t="str">
        <f t="shared" si="34"/>
        <v>JUL</v>
      </c>
      <c r="C1143" s="21">
        <v>46214</v>
      </c>
      <c r="D1143" s="22" t="str">
        <f t="array" ref="D1143">IFERROR(INDEX('Kode Outlet dan Target Toko'!$A:$A,MATCH($I1143,'Kode Outlet dan Target Toko'!$E:$E,0)),"")</f>
        <v>GRSM 4</v>
      </c>
      <c r="E1143" s="20" t="str">
        <f>IFERROR(VLOOKUP(I1143,KET!$B:$F,4,0),"")</f>
        <v>FAHMI LUKMANUL HAKIM</v>
      </c>
      <c r="F1143" s="20" t="str">
        <f>IFERROR(VLOOKUP(I1143,KET!$B:$F,5,0),"")</f>
        <v>GMM</v>
      </c>
      <c r="G1143" s="20">
        <f>IFERROR(INDEX('Kode Outlet dan Target Toko'!$C:$C,MATCH($I1143,'Kode Outlet dan Target Toko'!$E:$E,0)),0)</f>
        <v>189901</v>
      </c>
      <c r="H1143" s="20">
        <f>IFERROR(INDEX('Kode Outlet dan Target Toko'!$D:$D,MATCH($I1143,'Kode Outlet dan Target Toko'!$E:$E,0)),0)</f>
        <v>1602016</v>
      </c>
      <c r="I1143" s="42" t="s">
        <v>35</v>
      </c>
      <c r="J1143" s="56" t="s">
        <v>173</v>
      </c>
      <c r="K1143" s="40" t="s">
        <v>16</v>
      </c>
      <c r="L1143" s="56">
        <v>3400</v>
      </c>
      <c r="M1143" s="56">
        <v>120</v>
      </c>
      <c r="N1143" s="25">
        <f t="shared" si="35"/>
        <v>408000</v>
      </c>
      <c r="O1143" s="26"/>
    </row>
    <row r="1144" spans="1:15" hidden="1" x14ac:dyDescent="0.3">
      <c r="A1144" s="26">
        <v>28</v>
      </c>
      <c r="B1144" s="20" t="str">
        <f t="shared" si="34"/>
        <v>JUL</v>
      </c>
      <c r="C1144" s="21">
        <v>46214</v>
      </c>
      <c r="D1144" s="22" t="str">
        <f t="array" ref="D1144">IFERROR(INDEX('Kode Outlet dan Target Toko'!$A:$A,MATCH($I1144,'Kode Outlet dan Target Toko'!$E:$E,0)),"")</f>
        <v>GRSM 4</v>
      </c>
      <c r="E1144" s="20" t="str">
        <f>IFERROR(VLOOKUP(I1144,KET!$B:$F,4,0),"")</f>
        <v>FAHMI LUKMANUL HAKIM</v>
      </c>
      <c r="F1144" s="20" t="str">
        <f>IFERROR(VLOOKUP(I1144,KET!$B:$F,5,0),"")</f>
        <v>GMM</v>
      </c>
      <c r="G1144" s="20">
        <f>IFERROR(INDEX('Kode Outlet dan Target Toko'!$C:$C,MATCH($I1144,'Kode Outlet dan Target Toko'!$E:$E,0)),0)</f>
        <v>189901</v>
      </c>
      <c r="H1144" s="20">
        <f>IFERROR(INDEX('Kode Outlet dan Target Toko'!$D:$D,MATCH($I1144,'Kode Outlet dan Target Toko'!$E:$E,0)),0)</f>
        <v>1602016</v>
      </c>
      <c r="I1144" s="42" t="s">
        <v>35</v>
      </c>
      <c r="J1144" s="56" t="s">
        <v>172</v>
      </c>
      <c r="K1144" s="40" t="s">
        <v>15</v>
      </c>
      <c r="L1144" s="56">
        <v>3400</v>
      </c>
      <c r="M1144" s="56">
        <v>120</v>
      </c>
      <c r="N1144" s="25">
        <f t="shared" si="35"/>
        <v>408000</v>
      </c>
      <c r="O1144" s="26"/>
    </row>
    <row r="1145" spans="1:15" hidden="1" x14ac:dyDescent="0.3">
      <c r="A1145" s="26">
        <v>28</v>
      </c>
      <c r="B1145" s="20" t="str">
        <f t="shared" si="34"/>
        <v>JUL</v>
      </c>
      <c r="C1145" s="21">
        <v>46214</v>
      </c>
      <c r="D1145" s="22" t="str">
        <f t="array" ref="D1145">IFERROR(INDEX('Kode Outlet dan Target Toko'!$A:$A,MATCH($I1145,'Kode Outlet dan Target Toko'!$E:$E,0)),"")</f>
        <v>GRSM 4</v>
      </c>
      <c r="E1145" s="20" t="str">
        <f>IFERROR(VLOOKUP(I1145,KET!$B:$F,4,0),"")</f>
        <v>FAHMI LUKMANUL HAKIM</v>
      </c>
      <c r="F1145" s="20" t="str">
        <f>IFERROR(VLOOKUP(I1145,KET!$B:$F,5,0),"")</f>
        <v>GMM</v>
      </c>
      <c r="G1145" s="20">
        <f>IFERROR(INDEX('Kode Outlet dan Target Toko'!$C:$C,MATCH($I1145,'Kode Outlet dan Target Toko'!$E:$E,0)),0)</f>
        <v>189901</v>
      </c>
      <c r="H1145" s="20">
        <f>IFERROR(INDEX('Kode Outlet dan Target Toko'!$D:$D,MATCH($I1145,'Kode Outlet dan Target Toko'!$E:$E,0)),0)</f>
        <v>1602016</v>
      </c>
      <c r="I1145" s="42" t="s">
        <v>35</v>
      </c>
      <c r="J1145" s="56" t="s">
        <v>172</v>
      </c>
      <c r="K1145" s="40" t="s">
        <v>14</v>
      </c>
      <c r="L1145" s="56">
        <v>3400</v>
      </c>
      <c r="M1145" s="56">
        <v>120</v>
      </c>
      <c r="N1145" s="25">
        <f t="shared" si="35"/>
        <v>408000</v>
      </c>
      <c r="O1145" s="26"/>
    </row>
    <row r="1146" spans="1:15" hidden="1" x14ac:dyDescent="0.3">
      <c r="A1146" s="26">
        <v>28</v>
      </c>
      <c r="B1146" s="20" t="str">
        <f t="shared" si="34"/>
        <v>JUL</v>
      </c>
      <c r="C1146" s="21">
        <v>46214</v>
      </c>
      <c r="D1146" s="22" t="str">
        <f t="array" ref="D1146">IFERROR(INDEX('Kode Outlet dan Target Toko'!$A:$A,MATCH($I1146,'Kode Outlet dan Target Toko'!$E:$E,0)),"")</f>
        <v>GRSM 4</v>
      </c>
      <c r="E1146" s="20" t="str">
        <f>IFERROR(VLOOKUP(I1146,KET!$B:$F,4,0),"")</f>
        <v>FAHMI LUKMANUL HAKIM</v>
      </c>
      <c r="F1146" s="20" t="str">
        <f>IFERROR(VLOOKUP(I1146,KET!$B:$F,5,0),"")</f>
        <v>GMM</v>
      </c>
      <c r="G1146" s="20">
        <f>IFERROR(INDEX('Kode Outlet dan Target Toko'!$C:$C,MATCH($I1146,'Kode Outlet dan Target Toko'!$E:$E,0)),0)</f>
        <v>189901</v>
      </c>
      <c r="H1146" s="20">
        <f>IFERROR(INDEX('Kode Outlet dan Target Toko'!$D:$D,MATCH($I1146,'Kode Outlet dan Target Toko'!$E:$E,0)),0)</f>
        <v>1602016</v>
      </c>
      <c r="I1146" s="42" t="s">
        <v>35</v>
      </c>
      <c r="J1146" s="56" t="s">
        <v>172</v>
      </c>
      <c r="K1146" s="40" t="s">
        <v>13</v>
      </c>
      <c r="L1146" s="56">
        <v>3400</v>
      </c>
      <c r="M1146" s="56">
        <v>60</v>
      </c>
      <c r="N1146" s="25">
        <f t="shared" si="35"/>
        <v>204000</v>
      </c>
      <c r="O1146" s="26"/>
    </row>
    <row r="1147" spans="1:15" hidden="1" x14ac:dyDescent="0.3">
      <c r="A1147" s="26">
        <v>28</v>
      </c>
      <c r="B1147" s="20" t="str">
        <f t="shared" si="34"/>
        <v>JUL</v>
      </c>
      <c r="C1147" s="21">
        <v>46214</v>
      </c>
      <c r="D1147" s="22" t="str">
        <f t="array" ref="D1147">IFERROR(INDEX('Kode Outlet dan Target Toko'!$A:$A,MATCH($I1147,'Kode Outlet dan Target Toko'!$E:$E,0)),"")</f>
        <v>GRSM 4</v>
      </c>
      <c r="E1147" s="20" t="str">
        <f>IFERROR(VLOOKUP(I1147,KET!$B:$F,4,0),"")</f>
        <v>FAHMI LUKMANUL HAKIM</v>
      </c>
      <c r="F1147" s="20" t="str">
        <f>IFERROR(VLOOKUP(I1147,KET!$B:$F,5,0),"")</f>
        <v>GMM</v>
      </c>
      <c r="G1147" s="20">
        <f>IFERROR(INDEX('Kode Outlet dan Target Toko'!$C:$C,MATCH($I1147,'Kode Outlet dan Target Toko'!$E:$E,0)),0)</f>
        <v>189901</v>
      </c>
      <c r="H1147" s="20">
        <f>IFERROR(INDEX('Kode Outlet dan Target Toko'!$D:$D,MATCH($I1147,'Kode Outlet dan Target Toko'!$E:$E,0)),0)</f>
        <v>1602016</v>
      </c>
      <c r="I1147" s="42" t="s">
        <v>35</v>
      </c>
      <c r="J1147" s="56" t="s">
        <v>172</v>
      </c>
      <c r="K1147" s="40" t="s">
        <v>16</v>
      </c>
      <c r="L1147" s="56">
        <v>3400</v>
      </c>
      <c r="M1147" s="56">
        <v>120</v>
      </c>
      <c r="N1147" s="25">
        <f t="shared" si="35"/>
        <v>408000</v>
      </c>
      <c r="O1147" s="26">
        <v>160</v>
      </c>
    </row>
    <row r="1148" spans="1:15" hidden="1" x14ac:dyDescent="0.3">
      <c r="A1148" s="26">
        <v>28</v>
      </c>
      <c r="B1148" s="20" t="str">
        <f t="shared" si="34"/>
        <v>JUL</v>
      </c>
      <c r="C1148" s="21">
        <v>46214</v>
      </c>
      <c r="D1148" s="22" t="str">
        <f t="array" ref="D1148">IFERROR(INDEX('Kode Outlet dan Target Toko'!$A:$A,MATCH($I1148,'Kode Outlet dan Target Toko'!$E:$E,0)),"")</f>
        <v>GRSM 4</v>
      </c>
      <c r="E1148" s="20" t="str">
        <f>IFERROR(VLOOKUP(I1148,KET!$B:$F,4,0),"")</f>
        <v>FAHMI LUKMANUL HAKIM</v>
      </c>
      <c r="F1148" s="20" t="str">
        <f>IFERROR(VLOOKUP(I1148,KET!$B:$F,5,0),"")</f>
        <v>NKA</v>
      </c>
      <c r="G1148" s="20">
        <f>IFERROR(INDEX('Kode Outlet dan Target Toko'!$C:$C,MATCH($I1148,'Kode Outlet dan Target Toko'!$E:$E,0)),0)</f>
        <v>490034</v>
      </c>
      <c r="H1148" s="20">
        <f>IFERROR(INDEX('Kode Outlet dan Target Toko'!$D:$D,MATCH($I1148,'Kode Outlet dan Target Toko'!$E:$E,0)),0)</f>
        <v>209554</v>
      </c>
      <c r="I1148" s="42" t="s">
        <v>26</v>
      </c>
      <c r="J1148" s="56" t="s">
        <v>176</v>
      </c>
      <c r="K1148" s="40" t="s">
        <v>15</v>
      </c>
      <c r="L1148" s="56">
        <v>3275</v>
      </c>
      <c r="M1148" s="56">
        <v>45</v>
      </c>
      <c r="N1148" s="25">
        <f t="shared" si="35"/>
        <v>147375</v>
      </c>
      <c r="O1148" s="26"/>
    </row>
    <row r="1149" spans="1:15" hidden="1" x14ac:dyDescent="0.3">
      <c r="A1149" s="26">
        <v>28</v>
      </c>
      <c r="B1149" s="20" t="str">
        <f t="shared" si="34"/>
        <v>JUL</v>
      </c>
      <c r="C1149" s="21">
        <v>46214</v>
      </c>
      <c r="D1149" s="22" t="str">
        <f t="array" ref="D1149">IFERROR(INDEX('Kode Outlet dan Target Toko'!$A:$A,MATCH($I1149,'Kode Outlet dan Target Toko'!$E:$E,0)),"")</f>
        <v>GRSM 4</v>
      </c>
      <c r="E1149" s="20" t="str">
        <f>IFERROR(VLOOKUP(I1149,KET!$B:$F,4,0),"")</f>
        <v>FAHMI LUKMANUL HAKIM</v>
      </c>
      <c r="F1149" s="20" t="str">
        <f>IFERROR(VLOOKUP(I1149,KET!$B:$F,5,0),"")</f>
        <v>NKA</v>
      </c>
      <c r="G1149" s="20">
        <f>IFERROR(INDEX('Kode Outlet dan Target Toko'!$C:$C,MATCH($I1149,'Kode Outlet dan Target Toko'!$E:$E,0)),0)</f>
        <v>490034</v>
      </c>
      <c r="H1149" s="20">
        <f>IFERROR(INDEX('Kode Outlet dan Target Toko'!$D:$D,MATCH($I1149,'Kode Outlet dan Target Toko'!$E:$E,0)),0)</f>
        <v>209554</v>
      </c>
      <c r="I1149" s="42" t="s">
        <v>26</v>
      </c>
      <c r="J1149" s="56" t="s">
        <v>176</v>
      </c>
      <c r="K1149" s="40" t="s">
        <v>14</v>
      </c>
      <c r="L1149" s="56">
        <v>3275</v>
      </c>
      <c r="M1149" s="56">
        <v>53</v>
      </c>
      <c r="N1149" s="25">
        <f t="shared" si="35"/>
        <v>173575</v>
      </c>
      <c r="O1149" s="26"/>
    </row>
    <row r="1150" spans="1:15" hidden="1" x14ac:dyDescent="0.3">
      <c r="A1150" s="26">
        <v>28</v>
      </c>
      <c r="B1150" s="20" t="str">
        <f t="shared" si="34"/>
        <v>JUL</v>
      </c>
      <c r="C1150" s="21">
        <v>46214</v>
      </c>
      <c r="D1150" s="22" t="str">
        <f t="array" ref="D1150">IFERROR(INDEX('Kode Outlet dan Target Toko'!$A:$A,MATCH($I1150,'Kode Outlet dan Target Toko'!$E:$E,0)),"")</f>
        <v>GRSM 4</v>
      </c>
      <c r="E1150" s="20" t="str">
        <f>IFERROR(VLOOKUP(I1150,KET!$B:$F,4,0),"")</f>
        <v>FAHMI LUKMANUL HAKIM</v>
      </c>
      <c r="F1150" s="20" t="str">
        <f>IFERROR(VLOOKUP(I1150,KET!$B:$F,5,0),"")</f>
        <v>NKA</v>
      </c>
      <c r="G1150" s="20">
        <f>IFERROR(INDEX('Kode Outlet dan Target Toko'!$C:$C,MATCH($I1150,'Kode Outlet dan Target Toko'!$E:$E,0)),0)</f>
        <v>490034</v>
      </c>
      <c r="H1150" s="20">
        <f>IFERROR(INDEX('Kode Outlet dan Target Toko'!$D:$D,MATCH($I1150,'Kode Outlet dan Target Toko'!$E:$E,0)),0)</f>
        <v>209554</v>
      </c>
      <c r="I1150" s="42" t="s">
        <v>26</v>
      </c>
      <c r="J1150" s="56" t="s">
        <v>176</v>
      </c>
      <c r="K1150" s="40" t="s">
        <v>13</v>
      </c>
      <c r="L1150" s="56">
        <v>3275</v>
      </c>
      <c r="M1150" s="56">
        <v>31</v>
      </c>
      <c r="N1150" s="25">
        <f t="shared" si="35"/>
        <v>101525</v>
      </c>
      <c r="O1150" s="26"/>
    </row>
    <row r="1151" spans="1:15" hidden="1" x14ac:dyDescent="0.3">
      <c r="A1151" s="26">
        <v>28</v>
      </c>
      <c r="B1151" s="20" t="str">
        <f t="shared" si="34"/>
        <v>JUL</v>
      </c>
      <c r="C1151" s="21">
        <v>46214</v>
      </c>
      <c r="D1151" s="22" t="str">
        <f t="array" ref="D1151">IFERROR(INDEX('Kode Outlet dan Target Toko'!$A:$A,MATCH($I1151,'Kode Outlet dan Target Toko'!$E:$E,0)),"")</f>
        <v>GRSM 4</v>
      </c>
      <c r="E1151" s="20" t="str">
        <f>IFERROR(VLOOKUP(I1151,KET!$B:$F,4,0),"")</f>
        <v>FAHMI LUKMANUL HAKIM</v>
      </c>
      <c r="F1151" s="20" t="str">
        <f>IFERROR(VLOOKUP(I1151,KET!$B:$F,5,0),"")</f>
        <v>NKA</v>
      </c>
      <c r="G1151" s="20">
        <f>IFERROR(INDEX('Kode Outlet dan Target Toko'!$C:$C,MATCH($I1151,'Kode Outlet dan Target Toko'!$E:$E,0)),0)</f>
        <v>490034</v>
      </c>
      <c r="H1151" s="20">
        <f>IFERROR(INDEX('Kode Outlet dan Target Toko'!$D:$D,MATCH($I1151,'Kode Outlet dan Target Toko'!$E:$E,0)),0)</f>
        <v>209554</v>
      </c>
      <c r="I1151" s="42" t="s">
        <v>26</v>
      </c>
      <c r="J1151" s="56" t="s">
        <v>176</v>
      </c>
      <c r="K1151" s="40" t="s">
        <v>16</v>
      </c>
      <c r="L1151" s="56">
        <v>3275</v>
      </c>
      <c r="M1151" s="56">
        <v>180</v>
      </c>
      <c r="N1151" s="25">
        <f t="shared" si="35"/>
        <v>589500</v>
      </c>
      <c r="O1151" s="26">
        <v>160</v>
      </c>
    </row>
    <row r="1152" spans="1:15" hidden="1" x14ac:dyDescent="0.3">
      <c r="A1152" s="26">
        <v>28</v>
      </c>
      <c r="B1152" s="20" t="str">
        <f t="shared" si="34"/>
        <v>JUL</v>
      </c>
      <c r="C1152" s="21">
        <v>46214</v>
      </c>
      <c r="D1152" s="22" t="str">
        <f t="array" ref="D1152">IFERROR(INDEX('Kode Outlet dan Target Toko'!$A:$A,MATCH($I1152,'Kode Outlet dan Target Toko'!$E:$E,0)),"")</f>
        <v>GRSM 4</v>
      </c>
      <c r="E1152" s="20" t="str">
        <f>IFERROR(VLOOKUP(I1152,KET!$B:$F,4,0),"")</f>
        <v>FAHMI LUKMANUL HAKIM</v>
      </c>
      <c r="F1152" s="20" t="str">
        <f>IFERROR(VLOOKUP(I1152,KET!$B:$F,5,0),"")</f>
        <v>NKA</v>
      </c>
      <c r="G1152" s="20">
        <f>IFERROR(INDEX('Kode Outlet dan Target Toko'!$C:$C,MATCH($I1152,'Kode Outlet dan Target Toko'!$E:$E,0)),0)</f>
        <v>490034</v>
      </c>
      <c r="H1152" s="20">
        <f>IFERROR(INDEX('Kode Outlet dan Target Toko'!$D:$D,MATCH($I1152,'Kode Outlet dan Target Toko'!$E:$E,0)),0)</f>
        <v>209554</v>
      </c>
      <c r="I1152" s="42" t="s">
        <v>26</v>
      </c>
      <c r="J1152" s="56" t="s">
        <v>177</v>
      </c>
      <c r="K1152" s="40" t="s">
        <v>15</v>
      </c>
      <c r="L1152" s="56">
        <v>3275</v>
      </c>
      <c r="M1152" s="56">
        <v>45</v>
      </c>
      <c r="N1152" s="25">
        <f t="shared" si="35"/>
        <v>147375</v>
      </c>
      <c r="O1152" s="26"/>
    </row>
    <row r="1153" spans="1:15" hidden="1" x14ac:dyDescent="0.3">
      <c r="A1153" s="26">
        <v>28</v>
      </c>
      <c r="B1153" s="20" t="str">
        <f t="shared" si="34"/>
        <v>JUL</v>
      </c>
      <c r="C1153" s="21">
        <v>46214</v>
      </c>
      <c r="D1153" s="22" t="str">
        <f t="array" ref="D1153">IFERROR(INDEX('Kode Outlet dan Target Toko'!$A:$A,MATCH($I1153,'Kode Outlet dan Target Toko'!$E:$E,0)),"")</f>
        <v>GRSM 4</v>
      </c>
      <c r="E1153" s="20" t="str">
        <f>IFERROR(VLOOKUP(I1153,KET!$B:$F,4,0),"")</f>
        <v>FAHMI LUKMANUL HAKIM</v>
      </c>
      <c r="F1153" s="20" t="str">
        <f>IFERROR(VLOOKUP(I1153,KET!$B:$F,5,0),"")</f>
        <v>NKA</v>
      </c>
      <c r="G1153" s="20">
        <f>IFERROR(INDEX('Kode Outlet dan Target Toko'!$C:$C,MATCH($I1153,'Kode Outlet dan Target Toko'!$E:$E,0)),0)</f>
        <v>490034</v>
      </c>
      <c r="H1153" s="20">
        <f>IFERROR(INDEX('Kode Outlet dan Target Toko'!$D:$D,MATCH($I1153,'Kode Outlet dan Target Toko'!$E:$E,0)),0)</f>
        <v>209554</v>
      </c>
      <c r="I1153" s="42" t="s">
        <v>26</v>
      </c>
      <c r="J1153" s="56" t="s">
        <v>177</v>
      </c>
      <c r="K1153" s="40" t="s">
        <v>14</v>
      </c>
      <c r="L1153" s="56">
        <v>3275</v>
      </c>
      <c r="M1153" s="56">
        <v>53</v>
      </c>
      <c r="N1153" s="25">
        <f t="shared" si="35"/>
        <v>173575</v>
      </c>
      <c r="O1153" s="26"/>
    </row>
    <row r="1154" spans="1:15" hidden="1" x14ac:dyDescent="0.3">
      <c r="A1154" s="26">
        <v>28</v>
      </c>
      <c r="B1154" s="20" t="str">
        <f t="shared" si="34"/>
        <v>JUL</v>
      </c>
      <c r="C1154" s="21">
        <v>46214</v>
      </c>
      <c r="D1154" s="22" t="str">
        <f t="array" ref="D1154">IFERROR(INDEX('Kode Outlet dan Target Toko'!$A:$A,MATCH($I1154,'Kode Outlet dan Target Toko'!$E:$E,0)),"")</f>
        <v>GRSM 4</v>
      </c>
      <c r="E1154" s="20" t="str">
        <f>IFERROR(VLOOKUP(I1154,KET!$B:$F,4,0),"")</f>
        <v>FAHMI LUKMANUL HAKIM</v>
      </c>
      <c r="F1154" s="20" t="str">
        <f>IFERROR(VLOOKUP(I1154,KET!$B:$F,5,0),"")</f>
        <v>NKA</v>
      </c>
      <c r="G1154" s="20">
        <f>IFERROR(INDEX('Kode Outlet dan Target Toko'!$C:$C,MATCH($I1154,'Kode Outlet dan Target Toko'!$E:$E,0)),0)</f>
        <v>490034</v>
      </c>
      <c r="H1154" s="20">
        <f>IFERROR(INDEX('Kode Outlet dan Target Toko'!$D:$D,MATCH($I1154,'Kode Outlet dan Target Toko'!$E:$E,0)),0)</f>
        <v>209554</v>
      </c>
      <c r="I1154" s="42" t="s">
        <v>26</v>
      </c>
      <c r="J1154" s="56" t="s">
        <v>177</v>
      </c>
      <c r="K1154" s="40" t="s">
        <v>13</v>
      </c>
      <c r="L1154" s="56">
        <v>3275</v>
      </c>
      <c r="M1154" s="56">
        <v>31</v>
      </c>
      <c r="N1154" s="25">
        <f t="shared" si="35"/>
        <v>101525</v>
      </c>
      <c r="O1154" s="26"/>
    </row>
    <row r="1155" spans="1:15" hidden="1" x14ac:dyDescent="0.3">
      <c r="A1155" s="26">
        <v>28</v>
      </c>
      <c r="B1155" s="20" t="str">
        <f t="shared" si="34"/>
        <v>JUL</v>
      </c>
      <c r="C1155" s="21">
        <v>46214</v>
      </c>
      <c r="D1155" s="22" t="str">
        <f t="array" ref="D1155">IFERROR(INDEX('Kode Outlet dan Target Toko'!$A:$A,MATCH($I1155,'Kode Outlet dan Target Toko'!$E:$E,0)),"")</f>
        <v>GRSM 4</v>
      </c>
      <c r="E1155" s="20" t="str">
        <f>IFERROR(VLOOKUP(I1155,KET!$B:$F,4,0),"")</f>
        <v>FAHMI LUKMANUL HAKIM</v>
      </c>
      <c r="F1155" s="20" t="str">
        <f>IFERROR(VLOOKUP(I1155,KET!$B:$F,5,0),"")</f>
        <v>NKA</v>
      </c>
      <c r="G1155" s="20">
        <f>IFERROR(INDEX('Kode Outlet dan Target Toko'!$C:$C,MATCH($I1155,'Kode Outlet dan Target Toko'!$E:$E,0)),0)</f>
        <v>490034</v>
      </c>
      <c r="H1155" s="20">
        <f>IFERROR(INDEX('Kode Outlet dan Target Toko'!$D:$D,MATCH($I1155,'Kode Outlet dan Target Toko'!$E:$E,0)),0)</f>
        <v>209554</v>
      </c>
      <c r="I1155" s="42" t="s">
        <v>26</v>
      </c>
      <c r="J1155" s="56" t="s">
        <v>177</v>
      </c>
      <c r="K1155" s="40" t="s">
        <v>16</v>
      </c>
      <c r="L1155" s="56">
        <v>3275</v>
      </c>
      <c r="M1155" s="56">
        <v>180</v>
      </c>
      <c r="N1155" s="25">
        <f t="shared" si="35"/>
        <v>589500</v>
      </c>
      <c r="O1155" s="26">
        <v>160</v>
      </c>
    </row>
    <row r="1156" spans="1:15" hidden="1" x14ac:dyDescent="0.3">
      <c r="A1156" s="26">
        <v>28</v>
      </c>
      <c r="B1156" s="20" t="str">
        <f t="shared" si="34"/>
        <v>JUL</v>
      </c>
      <c r="C1156" s="21">
        <v>46214</v>
      </c>
      <c r="D1156" s="22" t="str">
        <f t="array" ref="D1156">IFERROR(INDEX('Kode Outlet dan Target Toko'!$A:$A,MATCH($I1156,'Kode Outlet dan Target Toko'!$E:$E,0)),"")</f>
        <v>GRSM 4</v>
      </c>
      <c r="E1156" s="20" t="str">
        <f>IFERROR(VLOOKUP(I1156,KET!$B:$F,4,0),"")</f>
        <v>FAHMI LUKMANUL HAKIM</v>
      </c>
      <c r="F1156" s="20" t="str">
        <f>IFERROR(VLOOKUP(I1156,KET!$B:$F,5,0),"")</f>
        <v>GMM</v>
      </c>
      <c r="G1156" s="20">
        <f>IFERROR(INDEX('Kode Outlet dan Target Toko'!$C:$C,MATCH($I1156,'Kode Outlet dan Target Toko'!$E:$E,0)),0)</f>
        <v>103257</v>
      </c>
      <c r="H1156" s="20">
        <f>IFERROR(INDEX('Kode Outlet dan Target Toko'!$D:$D,MATCH($I1156,'Kode Outlet dan Target Toko'!$E:$E,0)),0)</f>
        <v>9162509</v>
      </c>
      <c r="I1156" s="41" t="s">
        <v>23</v>
      </c>
      <c r="J1156" s="56" t="s">
        <v>181</v>
      </c>
      <c r="K1156" s="40" t="s">
        <v>15</v>
      </c>
      <c r="L1156" s="56">
        <v>3100</v>
      </c>
      <c r="M1156" s="56">
        <v>49</v>
      </c>
      <c r="N1156" s="25">
        <f t="shared" si="35"/>
        <v>151900</v>
      </c>
      <c r="O1156" s="26"/>
    </row>
    <row r="1157" spans="1:15" hidden="1" x14ac:dyDescent="0.3">
      <c r="A1157" s="26">
        <v>28</v>
      </c>
      <c r="B1157" s="20" t="str">
        <f t="shared" si="34"/>
        <v>JUL</v>
      </c>
      <c r="C1157" s="21">
        <v>46214</v>
      </c>
      <c r="D1157" s="22" t="str">
        <f t="array" ref="D1157">IFERROR(INDEX('Kode Outlet dan Target Toko'!$A:$A,MATCH($I1157,'Kode Outlet dan Target Toko'!$E:$E,0)),"")</f>
        <v>GRSM 4</v>
      </c>
      <c r="E1157" s="20" t="str">
        <f>IFERROR(VLOOKUP(I1157,KET!$B:$F,4,0),"")</f>
        <v>FAHMI LUKMANUL HAKIM</v>
      </c>
      <c r="F1157" s="20" t="str">
        <f>IFERROR(VLOOKUP(I1157,KET!$B:$F,5,0),"")</f>
        <v>GMM</v>
      </c>
      <c r="G1157" s="20">
        <f>IFERROR(INDEX('Kode Outlet dan Target Toko'!$C:$C,MATCH($I1157,'Kode Outlet dan Target Toko'!$E:$E,0)),0)</f>
        <v>103257</v>
      </c>
      <c r="H1157" s="20">
        <f>IFERROR(INDEX('Kode Outlet dan Target Toko'!$D:$D,MATCH($I1157,'Kode Outlet dan Target Toko'!$E:$E,0)),0)</f>
        <v>9162509</v>
      </c>
      <c r="I1157" s="41" t="s">
        <v>23</v>
      </c>
      <c r="J1157" s="56" t="s">
        <v>181</v>
      </c>
      <c r="K1157" s="40" t="s">
        <v>14</v>
      </c>
      <c r="L1157" s="56">
        <v>3100</v>
      </c>
      <c r="M1157" s="56">
        <v>45</v>
      </c>
      <c r="N1157" s="25">
        <f t="shared" si="35"/>
        <v>139500</v>
      </c>
      <c r="O1157" s="26"/>
    </row>
    <row r="1158" spans="1:15" hidden="1" x14ac:dyDescent="0.3">
      <c r="A1158" s="26">
        <v>28</v>
      </c>
      <c r="B1158" s="20" t="str">
        <f t="shared" si="34"/>
        <v>JUL</v>
      </c>
      <c r="C1158" s="21">
        <v>46214</v>
      </c>
      <c r="D1158" s="22" t="str">
        <f t="array" ref="D1158">IFERROR(INDEX('Kode Outlet dan Target Toko'!$A:$A,MATCH($I1158,'Kode Outlet dan Target Toko'!$E:$E,0)),"")</f>
        <v>GRSM 4</v>
      </c>
      <c r="E1158" s="20" t="str">
        <f>IFERROR(VLOOKUP(I1158,KET!$B:$F,4,0),"")</f>
        <v>FAHMI LUKMANUL HAKIM</v>
      </c>
      <c r="F1158" s="20" t="str">
        <f>IFERROR(VLOOKUP(I1158,KET!$B:$F,5,0),"")</f>
        <v>GMM</v>
      </c>
      <c r="G1158" s="20">
        <f>IFERROR(INDEX('Kode Outlet dan Target Toko'!$C:$C,MATCH($I1158,'Kode Outlet dan Target Toko'!$E:$E,0)),0)</f>
        <v>103257</v>
      </c>
      <c r="H1158" s="20">
        <f>IFERROR(INDEX('Kode Outlet dan Target Toko'!$D:$D,MATCH($I1158,'Kode Outlet dan Target Toko'!$E:$E,0)),0)</f>
        <v>9162509</v>
      </c>
      <c r="I1158" s="41" t="s">
        <v>23</v>
      </c>
      <c r="J1158" s="56" t="s">
        <v>181</v>
      </c>
      <c r="K1158" s="40" t="s">
        <v>13</v>
      </c>
      <c r="L1158" s="56">
        <v>3100</v>
      </c>
      <c r="M1158" s="56">
        <v>56</v>
      </c>
      <c r="N1158" s="25">
        <f t="shared" si="35"/>
        <v>173600</v>
      </c>
      <c r="O1158" s="26"/>
    </row>
    <row r="1159" spans="1:15" hidden="1" x14ac:dyDescent="0.3">
      <c r="A1159" s="26">
        <v>28</v>
      </c>
      <c r="B1159" s="20" t="str">
        <f t="shared" ref="B1159:B1222" si="36">IF(C1159="","",UPPER(TEXT(C1159, "MMM")))</f>
        <v>JUL</v>
      </c>
      <c r="C1159" s="21">
        <v>46214</v>
      </c>
      <c r="D1159" s="22" t="str">
        <f t="array" ref="D1159">IFERROR(INDEX('Kode Outlet dan Target Toko'!$A:$A,MATCH($I1159,'Kode Outlet dan Target Toko'!$E:$E,0)),"")</f>
        <v>GRSM 4</v>
      </c>
      <c r="E1159" s="20" t="str">
        <f>IFERROR(VLOOKUP(I1159,KET!$B:$F,4,0),"")</f>
        <v>FAHMI LUKMANUL HAKIM</v>
      </c>
      <c r="F1159" s="20" t="str">
        <f>IFERROR(VLOOKUP(I1159,KET!$B:$F,5,0),"")</f>
        <v>GMM</v>
      </c>
      <c r="G1159" s="20">
        <f>IFERROR(INDEX('Kode Outlet dan Target Toko'!$C:$C,MATCH($I1159,'Kode Outlet dan Target Toko'!$E:$E,0)),0)</f>
        <v>103257</v>
      </c>
      <c r="H1159" s="20">
        <f>IFERROR(INDEX('Kode Outlet dan Target Toko'!$D:$D,MATCH($I1159,'Kode Outlet dan Target Toko'!$E:$E,0)),0)</f>
        <v>9162509</v>
      </c>
      <c r="I1159" s="41" t="s">
        <v>23</v>
      </c>
      <c r="J1159" s="56" t="s">
        <v>181</v>
      </c>
      <c r="K1159" s="40" t="s">
        <v>16</v>
      </c>
      <c r="L1159" s="56">
        <v>3100</v>
      </c>
      <c r="M1159" s="56">
        <v>70</v>
      </c>
      <c r="N1159" s="25">
        <f t="shared" ref="N1159:N1222" si="37">IFERROR(M1159*L1159,"")</f>
        <v>217000</v>
      </c>
      <c r="O1159" s="26">
        <v>160</v>
      </c>
    </row>
    <row r="1160" spans="1:15" hidden="1" x14ac:dyDescent="0.3">
      <c r="A1160" s="26">
        <v>28</v>
      </c>
      <c r="B1160" s="20" t="str">
        <f t="shared" si="36"/>
        <v>JUL</v>
      </c>
      <c r="C1160" s="21">
        <v>46214</v>
      </c>
      <c r="D1160" s="22" t="str">
        <f t="array" ref="D1160">IFERROR(INDEX('Kode Outlet dan Target Toko'!$A:$A,MATCH($I1160,'Kode Outlet dan Target Toko'!$E:$E,0)),"")</f>
        <v>GRSM 4</v>
      </c>
      <c r="E1160" s="20" t="str">
        <f>IFERROR(VLOOKUP(I1160,KET!$B:$F,4,0),"")</f>
        <v>FAHMI LUKMANUL HAKIM</v>
      </c>
      <c r="F1160" s="20" t="str">
        <f>IFERROR(VLOOKUP(I1160,KET!$B:$F,5,0),"")</f>
        <v>GMM</v>
      </c>
      <c r="G1160" s="20">
        <f>IFERROR(INDEX('Kode Outlet dan Target Toko'!$C:$C,MATCH($I1160,'Kode Outlet dan Target Toko'!$E:$E,0)),0)</f>
        <v>103257</v>
      </c>
      <c r="H1160" s="20">
        <f>IFERROR(INDEX('Kode Outlet dan Target Toko'!$D:$D,MATCH($I1160,'Kode Outlet dan Target Toko'!$E:$E,0)),0)</f>
        <v>9162509</v>
      </c>
      <c r="I1160" s="41" t="s">
        <v>23</v>
      </c>
      <c r="J1160" s="56" t="s">
        <v>180</v>
      </c>
      <c r="K1160" s="40" t="s">
        <v>15</v>
      </c>
      <c r="L1160" s="56">
        <v>3100</v>
      </c>
      <c r="M1160" s="56">
        <v>52</v>
      </c>
      <c r="N1160" s="25">
        <f t="shared" si="37"/>
        <v>161200</v>
      </c>
      <c r="O1160" s="26"/>
    </row>
    <row r="1161" spans="1:15" hidden="1" x14ac:dyDescent="0.3">
      <c r="A1161" s="26">
        <v>28</v>
      </c>
      <c r="B1161" s="20" t="str">
        <f t="shared" si="36"/>
        <v>JUL</v>
      </c>
      <c r="C1161" s="21">
        <v>46214</v>
      </c>
      <c r="D1161" s="22" t="str">
        <f t="array" ref="D1161">IFERROR(INDEX('Kode Outlet dan Target Toko'!$A:$A,MATCH($I1161,'Kode Outlet dan Target Toko'!$E:$E,0)),"")</f>
        <v>GRSM 4</v>
      </c>
      <c r="E1161" s="20" t="str">
        <f>IFERROR(VLOOKUP(I1161,KET!$B:$F,4,0),"")</f>
        <v>FAHMI LUKMANUL HAKIM</v>
      </c>
      <c r="F1161" s="20" t="str">
        <f>IFERROR(VLOOKUP(I1161,KET!$B:$F,5,0),"")</f>
        <v>GMM</v>
      </c>
      <c r="G1161" s="20">
        <f>IFERROR(INDEX('Kode Outlet dan Target Toko'!$C:$C,MATCH($I1161,'Kode Outlet dan Target Toko'!$E:$E,0)),0)</f>
        <v>103257</v>
      </c>
      <c r="H1161" s="20">
        <f>IFERROR(INDEX('Kode Outlet dan Target Toko'!$D:$D,MATCH($I1161,'Kode Outlet dan Target Toko'!$E:$E,0)),0)</f>
        <v>9162509</v>
      </c>
      <c r="I1161" s="41" t="s">
        <v>23</v>
      </c>
      <c r="J1161" s="56" t="s">
        <v>180</v>
      </c>
      <c r="K1161" s="40" t="s">
        <v>14</v>
      </c>
      <c r="L1161" s="56">
        <v>3100</v>
      </c>
      <c r="M1161" s="56">
        <v>47</v>
      </c>
      <c r="N1161" s="25">
        <f t="shared" si="37"/>
        <v>145700</v>
      </c>
      <c r="O1161" s="26"/>
    </row>
    <row r="1162" spans="1:15" hidden="1" x14ac:dyDescent="0.3">
      <c r="A1162" s="26">
        <v>28</v>
      </c>
      <c r="B1162" s="20" t="str">
        <f t="shared" si="36"/>
        <v>JUL</v>
      </c>
      <c r="C1162" s="21">
        <v>46214</v>
      </c>
      <c r="D1162" s="22" t="str">
        <f t="array" ref="D1162">IFERROR(INDEX('Kode Outlet dan Target Toko'!$A:$A,MATCH($I1162,'Kode Outlet dan Target Toko'!$E:$E,0)),"")</f>
        <v>GRSM 4</v>
      </c>
      <c r="E1162" s="20" t="str">
        <f>IFERROR(VLOOKUP(I1162,KET!$B:$F,4,0),"")</f>
        <v>FAHMI LUKMANUL HAKIM</v>
      </c>
      <c r="F1162" s="20" t="str">
        <f>IFERROR(VLOOKUP(I1162,KET!$B:$F,5,0),"")</f>
        <v>GMM</v>
      </c>
      <c r="G1162" s="20">
        <f>IFERROR(INDEX('Kode Outlet dan Target Toko'!$C:$C,MATCH($I1162,'Kode Outlet dan Target Toko'!$E:$E,0)),0)</f>
        <v>103257</v>
      </c>
      <c r="H1162" s="20">
        <f>IFERROR(INDEX('Kode Outlet dan Target Toko'!$D:$D,MATCH($I1162,'Kode Outlet dan Target Toko'!$E:$E,0)),0)</f>
        <v>9162509</v>
      </c>
      <c r="I1162" s="41" t="s">
        <v>23</v>
      </c>
      <c r="J1162" s="56" t="s">
        <v>180</v>
      </c>
      <c r="K1162" s="40" t="s">
        <v>13</v>
      </c>
      <c r="L1162" s="56">
        <v>3100</v>
      </c>
      <c r="M1162" s="56">
        <v>59</v>
      </c>
      <c r="N1162" s="25">
        <f t="shared" si="37"/>
        <v>182900</v>
      </c>
      <c r="O1162" s="26"/>
    </row>
    <row r="1163" spans="1:15" hidden="1" x14ac:dyDescent="0.3">
      <c r="A1163" s="26">
        <v>28</v>
      </c>
      <c r="B1163" s="20" t="str">
        <f t="shared" si="36"/>
        <v>JUL</v>
      </c>
      <c r="C1163" s="21">
        <v>46214</v>
      </c>
      <c r="D1163" s="22" t="str">
        <f t="array" ref="D1163">IFERROR(INDEX('Kode Outlet dan Target Toko'!$A:$A,MATCH($I1163,'Kode Outlet dan Target Toko'!$E:$E,0)),"")</f>
        <v>GRSM 4</v>
      </c>
      <c r="E1163" s="20" t="str">
        <f>IFERROR(VLOOKUP(I1163,KET!$B:$F,4,0),"")</f>
        <v>FAHMI LUKMANUL HAKIM</v>
      </c>
      <c r="F1163" s="20" t="str">
        <f>IFERROR(VLOOKUP(I1163,KET!$B:$F,5,0),"")</f>
        <v>GMM</v>
      </c>
      <c r="G1163" s="20">
        <f>IFERROR(INDEX('Kode Outlet dan Target Toko'!$C:$C,MATCH($I1163,'Kode Outlet dan Target Toko'!$E:$E,0)),0)</f>
        <v>103257</v>
      </c>
      <c r="H1163" s="20">
        <f>IFERROR(INDEX('Kode Outlet dan Target Toko'!$D:$D,MATCH($I1163,'Kode Outlet dan Target Toko'!$E:$E,0)),0)</f>
        <v>9162509</v>
      </c>
      <c r="I1163" s="41" t="s">
        <v>23</v>
      </c>
      <c r="J1163" s="56" t="s">
        <v>180</v>
      </c>
      <c r="K1163" s="40" t="s">
        <v>16</v>
      </c>
      <c r="L1163" s="56">
        <v>3100</v>
      </c>
      <c r="M1163" s="56">
        <v>72</v>
      </c>
      <c r="N1163" s="25">
        <f t="shared" si="37"/>
        <v>223200</v>
      </c>
      <c r="O1163" s="26">
        <v>160</v>
      </c>
    </row>
    <row r="1164" spans="1:15" hidden="1" x14ac:dyDescent="0.3">
      <c r="A1164" s="26">
        <v>28</v>
      </c>
      <c r="B1164" s="20" t="str">
        <f t="shared" si="36"/>
        <v>JUL</v>
      </c>
      <c r="C1164" s="21">
        <v>46214</v>
      </c>
      <c r="D1164" s="22" t="str">
        <f t="array" ref="D1164">IFERROR(INDEX('Kode Outlet dan Target Toko'!$A:$A,MATCH($I1164,'Kode Outlet dan Target Toko'!$E:$E,0)),"")</f>
        <v>GRSM 4</v>
      </c>
      <c r="E1164" s="20" t="str">
        <f>IFERROR(VLOOKUP(I1164,KET!$B:$F,4,0),"")</f>
        <v>FAHMI LUKMANUL HAKIM</v>
      </c>
      <c r="F1164" s="20" t="str">
        <f>IFERROR(VLOOKUP(I1164,KET!$B:$F,5,0),"")</f>
        <v>GMM</v>
      </c>
      <c r="G1164" s="20">
        <f>IFERROR(INDEX('Kode Outlet dan Target Toko'!$C:$C,MATCH($I1164,'Kode Outlet dan Target Toko'!$E:$E,0)),0)</f>
        <v>189901</v>
      </c>
      <c r="H1164" s="20">
        <f>IFERROR(INDEX('Kode Outlet dan Target Toko'!$D:$D,MATCH($I1164,'Kode Outlet dan Target Toko'!$E:$E,0)),0)</f>
        <v>1602057</v>
      </c>
      <c r="I1164" s="50" t="s">
        <v>68</v>
      </c>
      <c r="J1164" s="27" t="s">
        <v>174</v>
      </c>
      <c r="K1164" s="40" t="s">
        <v>15</v>
      </c>
      <c r="L1164" s="56">
        <v>2150</v>
      </c>
      <c r="M1164" s="56">
        <v>87</v>
      </c>
      <c r="N1164" s="25">
        <f t="shared" si="37"/>
        <v>187050</v>
      </c>
      <c r="O1164" s="26"/>
    </row>
    <row r="1165" spans="1:15" hidden="1" x14ac:dyDescent="0.3">
      <c r="A1165" s="26">
        <v>28</v>
      </c>
      <c r="B1165" s="20" t="str">
        <f t="shared" si="36"/>
        <v>JUL</v>
      </c>
      <c r="C1165" s="21">
        <v>46214</v>
      </c>
      <c r="D1165" s="22" t="str">
        <f t="array" ref="D1165">IFERROR(INDEX('Kode Outlet dan Target Toko'!$A:$A,MATCH($I1165,'Kode Outlet dan Target Toko'!$E:$E,0)),"")</f>
        <v>GRSM 4</v>
      </c>
      <c r="E1165" s="20" t="str">
        <f>IFERROR(VLOOKUP(I1165,KET!$B:$F,4,0),"")</f>
        <v>FAHMI LUKMANUL HAKIM</v>
      </c>
      <c r="F1165" s="20" t="str">
        <f>IFERROR(VLOOKUP(I1165,KET!$B:$F,5,0),"")</f>
        <v>GMM</v>
      </c>
      <c r="G1165" s="20">
        <f>IFERROR(INDEX('Kode Outlet dan Target Toko'!$C:$C,MATCH($I1165,'Kode Outlet dan Target Toko'!$E:$E,0)),0)</f>
        <v>189901</v>
      </c>
      <c r="H1165" s="20">
        <f>IFERROR(INDEX('Kode Outlet dan Target Toko'!$D:$D,MATCH($I1165,'Kode Outlet dan Target Toko'!$E:$E,0)),0)</f>
        <v>1602057</v>
      </c>
      <c r="I1165" s="50" t="s">
        <v>68</v>
      </c>
      <c r="J1165" s="27" t="s">
        <v>174</v>
      </c>
      <c r="K1165" s="40" t="s">
        <v>14</v>
      </c>
      <c r="L1165" s="56">
        <v>2150</v>
      </c>
      <c r="M1165" s="56">
        <v>139</v>
      </c>
      <c r="N1165" s="25">
        <f t="shared" si="37"/>
        <v>298850</v>
      </c>
      <c r="O1165" s="26"/>
    </row>
    <row r="1166" spans="1:15" hidden="1" x14ac:dyDescent="0.3">
      <c r="A1166" s="26">
        <v>28</v>
      </c>
      <c r="B1166" s="20" t="str">
        <f t="shared" si="36"/>
        <v>JUL</v>
      </c>
      <c r="C1166" s="21">
        <v>46214</v>
      </c>
      <c r="D1166" s="22" t="str">
        <f t="array" ref="D1166">IFERROR(INDEX('Kode Outlet dan Target Toko'!$A:$A,MATCH($I1166,'Kode Outlet dan Target Toko'!$E:$E,0)),"")</f>
        <v>GRSM 4</v>
      </c>
      <c r="E1166" s="20" t="str">
        <f>IFERROR(VLOOKUP(I1166,KET!$B:$F,4,0),"")</f>
        <v>FAHMI LUKMANUL HAKIM</v>
      </c>
      <c r="F1166" s="20" t="str">
        <f>IFERROR(VLOOKUP(I1166,KET!$B:$F,5,0),"")</f>
        <v>GMM</v>
      </c>
      <c r="G1166" s="20">
        <f>IFERROR(INDEX('Kode Outlet dan Target Toko'!$C:$C,MATCH($I1166,'Kode Outlet dan Target Toko'!$E:$E,0)),0)</f>
        <v>189901</v>
      </c>
      <c r="H1166" s="20">
        <f>IFERROR(INDEX('Kode Outlet dan Target Toko'!$D:$D,MATCH($I1166,'Kode Outlet dan Target Toko'!$E:$E,0)),0)</f>
        <v>1602057</v>
      </c>
      <c r="I1166" s="50" t="s">
        <v>68</v>
      </c>
      <c r="J1166" s="27" t="s">
        <v>174</v>
      </c>
      <c r="K1166" s="40" t="s">
        <v>13</v>
      </c>
      <c r="L1166" s="56">
        <v>2150</v>
      </c>
      <c r="M1166" s="56">
        <v>76</v>
      </c>
      <c r="N1166" s="25">
        <f t="shared" si="37"/>
        <v>163400</v>
      </c>
      <c r="O1166" s="26"/>
    </row>
    <row r="1167" spans="1:15" hidden="1" x14ac:dyDescent="0.3">
      <c r="A1167" s="26">
        <v>28</v>
      </c>
      <c r="B1167" s="20" t="str">
        <f t="shared" si="36"/>
        <v>JUL</v>
      </c>
      <c r="C1167" s="21">
        <v>46214</v>
      </c>
      <c r="D1167" s="22" t="str">
        <f t="array" ref="D1167">IFERROR(INDEX('Kode Outlet dan Target Toko'!$A:$A,MATCH($I1167,'Kode Outlet dan Target Toko'!$E:$E,0)),"")</f>
        <v>GRSM 4</v>
      </c>
      <c r="E1167" s="20" t="str">
        <f>IFERROR(VLOOKUP(I1167,KET!$B:$F,4,0),"")</f>
        <v>FAHMI LUKMANUL HAKIM</v>
      </c>
      <c r="F1167" s="20" t="str">
        <f>IFERROR(VLOOKUP(I1167,KET!$B:$F,5,0),"")</f>
        <v>GMM</v>
      </c>
      <c r="G1167" s="20">
        <f>IFERROR(INDEX('Kode Outlet dan Target Toko'!$C:$C,MATCH($I1167,'Kode Outlet dan Target Toko'!$E:$E,0)),0)</f>
        <v>189901</v>
      </c>
      <c r="H1167" s="20">
        <f>IFERROR(INDEX('Kode Outlet dan Target Toko'!$D:$D,MATCH($I1167,'Kode Outlet dan Target Toko'!$E:$E,0)),0)</f>
        <v>1602057</v>
      </c>
      <c r="I1167" s="50" t="s">
        <v>68</v>
      </c>
      <c r="J1167" s="27" t="s">
        <v>174</v>
      </c>
      <c r="K1167" s="40" t="s">
        <v>16</v>
      </c>
      <c r="L1167" s="56">
        <v>2150</v>
      </c>
      <c r="M1167" s="56">
        <v>233</v>
      </c>
      <c r="N1167" s="25">
        <f t="shared" si="37"/>
        <v>500950</v>
      </c>
      <c r="O1167" s="26">
        <v>160</v>
      </c>
    </row>
    <row r="1168" spans="1:15" hidden="1" x14ac:dyDescent="0.3">
      <c r="A1168" s="26">
        <v>28</v>
      </c>
      <c r="B1168" s="20" t="str">
        <f t="shared" si="36"/>
        <v>JUL</v>
      </c>
      <c r="C1168" s="21">
        <v>46214</v>
      </c>
      <c r="D1168" s="22" t="str">
        <f t="array" ref="D1168">IFERROR(INDEX('Kode Outlet dan Target Toko'!$A:$A,MATCH($I1168,'Kode Outlet dan Target Toko'!$E:$E,0)),"")</f>
        <v>GRSM 4</v>
      </c>
      <c r="E1168" s="20" t="str">
        <f>IFERROR(VLOOKUP(I1168,KET!$B:$F,4,0),"")</f>
        <v>FAHMI LUKMANUL HAKIM</v>
      </c>
      <c r="F1168" s="20" t="str">
        <f>IFERROR(VLOOKUP(I1168,KET!$B:$F,5,0),"")</f>
        <v>GMM</v>
      </c>
      <c r="G1168" s="20">
        <f>IFERROR(INDEX('Kode Outlet dan Target Toko'!$C:$C,MATCH($I1168,'Kode Outlet dan Target Toko'!$E:$E,0)),0)</f>
        <v>189901</v>
      </c>
      <c r="H1168" s="20">
        <f>IFERROR(INDEX('Kode Outlet dan Target Toko'!$D:$D,MATCH($I1168,'Kode Outlet dan Target Toko'!$E:$E,0)),0)</f>
        <v>1602057</v>
      </c>
      <c r="I1168" s="50" t="s">
        <v>68</v>
      </c>
      <c r="J1168" s="56" t="s">
        <v>175</v>
      </c>
      <c r="K1168" s="40" t="s">
        <v>15</v>
      </c>
      <c r="L1168" s="56">
        <v>2150</v>
      </c>
      <c r="M1168" s="56">
        <v>91</v>
      </c>
      <c r="N1168" s="25">
        <f t="shared" si="37"/>
        <v>195650</v>
      </c>
      <c r="O1168" s="26"/>
    </row>
    <row r="1169" spans="1:15" hidden="1" x14ac:dyDescent="0.3">
      <c r="A1169" s="26">
        <v>28</v>
      </c>
      <c r="B1169" s="20" t="str">
        <f t="shared" si="36"/>
        <v>JUL</v>
      </c>
      <c r="C1169" s="21">
        <v>46214</v>
      </c>
      <c r="D1169" s="22" t="str">
        <f t="array" ref="D1169">IFERROR(INDEX('Kode Outlet dan Target Toko'!$A:$A,MATCH($I1169,'Kode Outlet dan Target Toko'!$E:$E,0)),"")</f>
        <v>GRSM 4</v>
      </c>
      <c r="E1169" s="20" t="str">
        <f>IFERROR(VLOOKUP(I1169,KET!$B:$F,4,0),"")</f>
        <v>FAHMI LUKMANUL HAKIM</v>
      </c>
      <c r="F1169" s="20" t="str">
        <f>IFERROR(VLOOKUP(I1169,KET!$B:$F,5,0),"")</f>
        <v>GMM</v>
      </c>
      <c r="G1169" s="20">
        <f>IFERROR(INDEX('Kode Outlet dan Target Toko'!$C:$C,MATCH($I1169,'Kode Outlet dan Target Toko'!$E:$E,0)),0)</f>
        <v>189901</v>
      </c>
      <c r="H1169" s="20">
        <f>IFERROR(INDEX('Kode Outlet dan Target Toko'!$D:$D,MATCH($I1169,'Kode Outlet dan Target Toko'!$E:$E,0)),0)</f>
        <v>1602057</v>
      </c>
      <c r="I1169" s="50" t="s">
        <v>68</v>
      </c>
      <c r="J1169" s="56" t="s">
        <v>175</v>
      </c>
      <c r="K1169" s="40" t="s">
        <v>14</v>
      </c>
      <c r="L1169" s="56">
        <v>2150</v>
      </c>
      <c r="M1169" s="56">
        <v>131</v>
      </c>
      <c r="N1169" s="25">
        <f t="shared" si="37"/>
        <v>281650</v>
      </c>
      <c r="O1169" s="26"/>
    </row>
    <row r="1170" spans="1:15" hidden="1" x14ac:dyDescent="0.3">
      <c r="A1170" s="26">
        <v>28</v>
      </c>
      <c r="B1170" s="20" t="str">
        <f t="shared" si="36"/>
        <v>JUL</v>
      </c>
      <c r="C1170" s="21">
        <v>46214</v>
      </c>
      <c r="D1170" s="22" t="str">
        <f t="array" ref="D1170">IFERROR(INDEX('Kode Outlet dan Target Toko'!$A:$A,MATCH($I1170,'Kode Outlet dan Target Toko'!$E:$E,0)),"")</f>
        <v>GRSM 4</v>
      </c>
      <c r="E1170" s="20" t="str">
        <f>IFERROR(VLOOKUP(I1170,KET!$B:$F,4,0),"")</f>
        <v>FAHMI LUKMANUL HAKIM</v>
      </c>
      <c r="F1170" s="20" t="str">
        <f>IFERROR(VLOOKUP(I1170,KET!$B:$F,5,0),"")</f>
        <v>GMM</v>
      </c>
      <c r="G1170" s="20">
        <f>IFERROR(INDEX('Kode Outlet dan Target Toko'!$C:$C,MATCH($I1170,'Kode Outlet dan Target Toko'!$E:$E,0)),0)</f>
        <v>189901</v>
      </c>
      <c r="H1170" s="20">
        <f>IFERROR(INDEX('Kode Outlet dan Target Toko'!$D:$D,MATCH($I1170,'Kode Outlet dan Target Toko'!$E:$E,0)),0)</f>
        <v>1602057</v>
      </c>
      <c r="I1170" s="50" t="s">
        <v>68</v>
      </c>
      <c r="J1170" s="56" t="s">
        <v>175</v>
      </c>
      <c r="K1170" s="40" t="s">
        <v>13</v>
      </c>
      <c r="L1170" s="56">
        <v>2150</v>
      </c>
      <c r="M1170" s="56">
        <v>69</v>
      </c>
      <c r="N1170" s="25">
        <f t="shared" si="37"/>
        <v>148350</v>
      </c>
      <c r="O1170" s="26"/>
    </row>
    <row r="1171" spans="1:15" hidden="1" x14ac:dyDescent="0.3">
      <c r="A1171" s="26">
        <v>28</v>
      </c>
      <c r="B1171" s="20" t="str">
        <f t="shared" si="36"/>
        <v>JUL</v>
      </c>
      <c r="C1171" s="21">
        <v>46214</v>
      </c>
      <c r="D1171" s="22" t="str">
        <f t="array" ref="D1171">IFERROR(INDEX('Kode Outlet dan Target Toko'!$A:$A,MATCH($I1171,'Kode Outlet dan Target Toko'!$E:$E,0)),"")</f>
        <v>GRSM 4</v>
      </c>
      <c r="E1171" s="20" t="str">
        <f>IFERROR(VLOOKUP(I1171,KET!$B:$F,4,0),"")</f>
        <v>FAHMI LUKMANUL HAKIM</v>
      </c>
      <c r="F1171" s="20" t="str">
        <f>IFERROR(VLOOKUP(I1171,KET!$B:$F,5,0),"")</f>
        <v>GMM</v>
      </c>
      <c r="G1171" s="20">
        <f>IFERROR(INDEX('Kode Outlet dan Target Toko'!$C:$C,MATCH($I1171,'Kode Outlet dan Target Toko'!$E:$E,0)),0)</f>
        <v>189901</v>
      </c>
      <c r="H1171" s="20">
        <f>IFERROR(INDEX('Kode Outlet dan Target Toko'!$D:$D,MATCH($I1171,'Kode Outlet dan Target Toko'!$E:$E,0)),0)</f>
        <v>1602057</v>
      </c>
      <c r="I1171" s="50" t="s">
        <v>68</v>
      </c>
      <c r="J1171" s="56" t="s">
        <v>175</v>
      </c>
      <c r="K1171" s="40" t="s">
        <v>16</v>
      </c>
      <c r="L1171" s="56">
        <v>2150</v>
      </c>
      <c r="M1171" s="56">
        <v>228</v>
      </c>
      <c r="N1171" s="25">
        <f t="shared" si="37"/>
        <v>490200</v>
      </c>
      <c r="O1171" s="26">
        <v>160</v>
      </c>
    </row>
    <row r="1172" spans="1:15" hidden="1" x14ac:dyDescent="0.3">
      <c r="A1172" s="26">
        <v>28</v>
      </c>
      <c r="B1172" s="20" t="str">
        <f t="shared" si="36"/>
        <v>JUL</v>
      </c>
      <c r="C1172" s="21">
        <v>46214</v>
      </c>
      <c r="D1172" s="22" t="str">
        <f t="array" ref="D1172">IFERROR(INDEX('Kode Outlet dan Target Toko'!$A:$A,MATCH($I1172,'Kode Outlet dan Target Toko'!$E:$E,0)),"")</f>
        <v>GRSM 4</v>
      </c>
      <c r="E1172" s="20" t="str">
        <f>IFERROR(VLOOKUP(I1172,KET!$B:$F,4,0),"")</f>
        <v>FAHMI LUKMANUL HAKIM</v>
      </c>
      <c r="F1172" s="20" t="str">
        <f>IFERROR(VLOOKUP(I1172,KET!$B:$F,5,0),"")</f>
        <v>GMM</v>
      </c>
      <c r="G1172" s="20">
        <f>IFERROR(INDEX('Kode Outlet dan Target Toko'!$C:$C,MATCH($I1172,'Kode Outlet dan Target Toko'!$E:$E,0)),0)</f>
        <v>103277</v>
      </c>
      <c r="H1172" s="20">
        <f>IFERROR(INDEX('Kode Outlet dan Target Toko'!$D:$D,MATCH($I1172,'Kode Outlet dan Target Toko'!$E:$E,0)),0)</f>
        <v>6300700</v>
      </c>
      <c r="I1172" s="50" t="s">
        <v>30</v>
      </c>
      <c r="J1172" s="56" t="s">
        <v>182</v>
      </c>
      <c r="K1172" s="40" t="s">
        <v>15</v>
      </c>
      <c r="L1172" s="56">
        <v>3000</v>
      </c>
      <c r="M1172" s="56">
        <v>50</v>
      </c>
      <c r="N1172" s="25">
        <f t="shared" si="37"/>
        <v>150000</v>
      </c>
      <c r="O1172" s="26"/>
    </row>
    <row r="1173" spans="1:15" hidden="1" x14ac:dyDescent="0.3">
      <c r="A1173" s="26">
        <v>28</v>
      </c>
      <c r="B1173" s="20" t="str">
        <f t="shared" si="36"/>
        <v>JUL</v>
      </c>
      <c r="C1173" s="21">
        <v>46214</v>
      </c>
      <c r="D1173" s="22" t="str">
        <f t="array" ref="D1173">IFERROR(INDEX('Kode Outlet dan Target Toko'!$A:$A,MATCH($I1173,'Kode Outlet dan Target Toko'!$E:$E,0)),"")</f>
        <v>GRSM 4</v>
      </c>
      <c r="E1173" s="20" t="str">
        <f>IFERROR(VLOOKUP(I1173,KET!$B:$F,4,0),"")</f>
        <v>FAHMI LUKMANUL HAKIM</v>
      </c>
      <c r="F1173" s="20" t="str">
        <f>IFERROR(VLOOKUP(I1173,KET!$B:$F,5,0),"")</f>
        <v>GMM</v>
      </c>
      <c r="G1173" s="20">
        <f>IFERROR(INDEX('Kode Outlet dan Target Toko'!$C:$C,MATCH($I1173,'Kode Outlet dan Target Toko'!$E:$E,0)),0)</f>
        <v>103277</v>
      </c>
      <c r="H1173" s="20">
        <f>IFERROR(INDEX('Kode Outlet dan Target Toko'!$D:$D,MATCH($I1173,'Kode Outlet dan Target Toko'!$E:$E,0)),0)</f>
        <v>6300700</v>
      </c>
      <c r="I1173" s="50" t="s">
        <v>30</v>
      </c>
      <c r="J1173" s="56" t="s">
        <v>182</v>
      </c>
      <c r="K1173" s="40" t="s">
        <v>14</v>
      </c>
      <c r="L1173" s="56">
        <v>3000</v>
      </c>
      <c r="M1173" s="56">
        <v>45</v>
      </c>
      <c r="N1173" s="25">
        <f t="shared" si="37"/>
        <v>135000</v>
      </c>
      <c r="O1173" s="26"/>
    </row>
    <row r="1174" spans="1:15" hidden="1" x14ac:dyDescent="0.3">
      <c r="A1174" s="26">
        <v>28</v>
      </c>
      <c r="B1174" s="20" t="str">
        <f t="shared" si="36"/>
        <v>JUL</v>
      </c>
      <c r="C1174" s="21">
        <v>46214</v>
      </c>
      <c r="D1174" s="22" t="str">
        <f t="array" ref="D1174">IFERROR(INDEX('Kode Outlet dan Target Toko'!$A:$A,MATCH($I1174,'Kode Outlet dan Target Toko'!$E:$E,0)),"")</f>
        <v>GRSM 4</v>
      </c>
      <c r="E1174" s="20" t="str">
        <f>IFERROR(VLOOKUP(I1174,KET!$B:$F,4,0),"")</f>
        <v>FAHMI LUKMANUL HAKIM</v>
      </c>
      <c r="F1174" s="20" t="str">
        <f>IFERROR(VLOOKUP(I1174,KET!$B:$F,5,0),"")</f>
        <v>GMM</v>
      </c>
      <c r="G1174" s="20">
        <f>IFERROR(INDEX('Kode Outlet dan Target Toko'!$C:$C,MATCH($I1174,'Kode Outlet dan Target Toko'!$E:$E,0)),0)</f>
        <v>103277</v>
      </c>
      <c r="H1174" s="20">
        <f>IFERROR(INDEX('Kode Outlet dan Target Toko'!$D:$D,MATCH($I1174,'Kode Outlet dan Target Toko'!$E:$E,0)),0)</f>
        <v>6300700</v>
      </c>
      <c r="I1174" s="50" t="s">
        <v>30</v>
      </c>
      <c r="J1174" s="56" t="s">
        <v>182</v>
      </c>
      <c r="K1174" s="40" t="s">
        <v>13</v>
      </c>
      <c r="L1174" s="56">
        <v>3000</v>
      </c>
      <c r="M1174" s="56">
        <v>35</v>
      </c>
      <c r="N1174" s="25">
        <f t="shared" si="37"/>
        <v>105000</v>
      </c>
      <c r="O1174" s="26"/>
    </row>
    <row r="1175" spans="1:15" hidden="1" x14ac:dyDescent="0.3">
      <c r="A1175" s="26">
        <v>28</v>
      </c>
      <c r="B1175" s="20" t="str">
        <f t="shared" si="36"/>
        <v>JUL</v>
      </c>
      <c r="C1175" s="21">
        <v>46214</v>
      </c>
      <c r="D1175" s="22" t="str">
        <f t="array" ref="D1175">IFERROR(INDEX('Kode Outlet dan Target Toko'!$A:$A,MATCH($I1175,'Kode Outlet dan Target Toko'!$E:$E,0)),"")</f>
        <v>GRSM 4</v>
      </c>
      <c r="E1175" s="20" t="str">
        <f>IFERROR(VLOOKUP(I1175,KET!$B:$F,4,0),"")</f>
        <v>FAHMI LUKMANUL HAKIM</v>
      </c>
      <c r="F1175" s="20" t="str">
        <f>IFERROR(VLOOKUP(I1175,KET!$B:$F,5,0),"")</f>
        <v>GMM</v>
      </c>
      <c r="G1175" s="20">
        <f>IFERROR(INDEX('Kode Outlet dan Target Toko'!$C:$C,MATCH($I1175,'Kode Outlet dan Target Toko'!$E:$E,0)),0)</f>
        <v>103277</v>
      </c>
      <c r="H1175" s="20">
        <f>IFERROR(INDEX('Kode Outlet dan Target Toko'!$D:$D,MATCH($I1175,'Kode Outlet dan Target Toko'!$E:$E,0)),0)</f>
        <v>6300700</v>
      </c>
      <c r="I1175" s="50" t="s">
        <v>30</v>
      </c>
      <c r="J1175" s="56" t="s">
        <v>182</v>
      </c>
      <c r="K1175" s="40" t="s">
        <v>16</v>
      </c>
      <c r="L1175" s="56">
        <v>3000</v>
      </c>
      <c r="M1175" s="56">
        <v>150</v>
      </c>
      <c r="N1175" s="25">
        <f t="shared" si="37"/>
        <v>450000</v>
      </c>
      <c r="O1175" s="26">
        <v>160</v>
      </c>
    </row>
    <row r="1176" spans="1:15" hidden="1" x14ac:dyDescent="0.3">
      <c r="A1176" s="26">
        <v>28</v>
      </c>
      <c r="B1176" s="20" t="str">
        <f t="shared" si="36"/>
        <v>JUL</v>
      </c>
      <c r="C1176" s="21">
        <v>46215</v>
      </c>
      <c r="D1176" s="22" t="str">
        <f t="array" ref="D1176">IFERROR(INDEX('Kode Outlet dan Target Toko'!$A:$A,MATCH($I1176,'Kode Outlet dan Target Toko'!$E:$E,0)),"")</f>
        <v>GRSM 4</v>
      </c>
      <c r="E1176" s="20" t="str">
        <f>IFERROR(VLOOKUP(I1176,KET!$B:$F,4,0),"")</f>
        <v>FAHMI LUKMANUL HAKIM</v>
      </c>
      <c r="F1176" s="20" t="str">
        <f>IFERROR(VLOOKUP(I1176,KET!$B:$F,5,0),"")</f>
        <v>GMM</v>
      </c>
      <c r="G1176" s="20">
        <f>IFERROR(INDEX('Kode Outlet dan Target Toko'!$C:$C,MATCH($I1176,'Kode Outlet dan Target Toko'!$E:$E,0)),0)</f>
        <v>103277</v>
      </c>
      <c r="H1176" s="20">
        <f>IFERROR(INDEX('Kode Outlet dan Target Toko'!$D:$D,MATCH($I1176,'Kode Outlet dan Target Toko'!$E:$E,0)),0)</f>
        <v>6300700</v>
      </c>
      <c r="I1176" s="50" t="s">
        <v>30</v>
      </c>
      <c r="J1176" s="56" t="s">
        <v>182</v>
      </c>
      <c r="K1176" s="40" t="s">
        <v>15</v>
      </c>
      <c r="L1176" s="56">
        <v>3000</v>
      </c>
      <c r="M1176" s="56">
        <v>50</v>
      </c>
      <c r="N1176" s="25">
        <f t="shared" si="37"/>
        <v>150000</v>
      </c>
      <c r="O1176" s="26"/>
    </row>
    <row r="1177" spans="1:15" hidden="1" x14ac:dyDescent="0.3">
      <c r="A1177" s="26">
        <v>28</v>
      </c>
      <c r="B1177" s="20" t="str">
        <f t="shared" si="36"/>
        <v>JUL</v>
      </c>
      <c r="C1177" s="21">
        <v>46215</v>
      </c>
      <c r="D1177" s="22" t="str">
        <f t="array" ref="D1177">IFERROR(INDEX('Kode Outlet dan Target Toko'!$A:$A,MATCH($I1177,'Kode Outlet dan Target Toko'!$E:$E,0)),"")</f>
        <v>GRSM 4</v>
      </c>
      <c r="E1177" s="20" t="str">
        <f>IFERROR(VLOOKUP(I1177,KET!$B:$F,4,0),"")</f>
        <v>FAHMI LUKMANUL HAKIM</v>
      </c>
      <c r="F1177" s="20" t="str">
        <f>IFERROR(VLOOKUP(I1177,KET!$B:$F,5,0),"")</f>
        <v>GMM</v>
      </c>
      <c r="G1177" s="20">
        <f>IFERROR(INDEX('Kode Outlet dan Target Toko'!$C:$C,MATCH($I1177,'Kode Outlet dan Target Toko'!$E:$E,0)),0)</f>
        <v>103277</v>
      </c>
      <c r="H1177" s="20">
        <f>IFERROR(INDEX('Kode Outlet dan Target Toko'!$D:$D,MATCH($I1177,'Kode Outlet dan Target Toko'!$E:$E,0)),0)</f>
        <v>6300700</v>
      </c>
      <c r="I1177" s="50" t="s">
        <v>30</v>
      </c>
      <c r="J1177" s="56" t="s">
        <v>182</v>
      </c>
      <c r="K1177" s="40" t="s">
        <v>14</v>
      </c>
      <c r="L1177" s="56">
        <v>3000</v>
      </c>
      <c r="M1177" s="56">
        <v>60</v>
      </c>
      <c r="N1177" s="25">
        <f t="shared" si="37"/>
        <v>180000</v>
      </c>
      <c r="O1177" s="26"/>
    </row>
    <row r="1178" spans="1:15" hidden="1" x14ac:dyDescent="0.3">
      <c r="A1178" s="26">
        <v>28</v>
      </c>
      <c r="B1178" s="20" t="str">
        <f t="shared" si="36"/>
        <v>JUL</v>
      </c>
      <c r="C1178" s="21">
        <v>46215</v>
      </c>
      <c r="D1178" s="22" t="str">
        <f t="array" ref="D1178">IFERROR(INDEX('Kode Outlet dan Target Toko'!$A:$A,MATCH($I1178,'Kode Outlet dan Target Toko'!$E:$E,0)),"")</f>
        <v>GRSM 4</v>
      </c>
      <c r="E1178" s="20" t="str">
        <f>IFERROR(VLOOKUP(I1178,KET!$B:$F,4,0),"")</f>
        <v>FAHMI LUKMANUL HAKIM</v>
      </c>
      <c r="F1178" s="20" t="str">
        <f>IFERROR(VLOOKUP(I1178,KET!$B:$F,5,0),"")</f>
        <v>GMM</v>
      </c>
      <c r="G1178" s="20">
        <f>IFERROR(INDEX('Kode Outlet dan Target Toko'!$C:$C,MATCH($I1178,'Kode Outlet dan Target Toko'!$E:$E,0)),0)</f>
        <v>103277</v>
      </c>
      <c r="H1178" s="20">
        <f>IFERROR(INDEX('Kode Outlet dan Target Toko'!$D:$D,MATCH($I1178,'Kode Outlet dan Target Toko'!$E:$E,0)),0)</f>
        <v>6300700</v>
      </c>
      <c r="I1178" s="50" t="s">
        <v>30</v>
      </c>
      <c r="J1178" s="56" t="s">
        <v>182</v>
      </c>
      <c r="K1178" s="40" t="s">
        <v>13</v>
      </c>
      <c r="L1178" s="56">
        <v>3000</v>
      </c>
      <c r="M1178" s="56">
        <v>50</v>
      </c>
      <c r="N1178" s="25">
        <f t="shared" si="37"/>
        <v>150000</v>
      </c>
      <c r="O1178" s="26"/>
    </row>
    <row r="1179" spans="1:15" hidden="1" x14ac:dyDescent="0.3">
      <c r="A1179" s="26">
        <v>28</v>
      </c>
      <c r="B1179" s="20" t="str">
        <f t="shared" si="36"/>
        <v>JUL</v>
      </c>
      <c r="C1179" s="21">
        <v>46215</v>
      </c>
      <c r="D1179" s="22" t="str">
        <f t="array" ref="D1179">IFERROR(INDEX('Kode Outlet dan Target Toko'!$A:$A,MATCH($I1179,'Kode Outlet dan Target Toko'!$E:$E,0)),"")</f>
        <v>GRSM 4</v>
      </c>
      <c r="E1179" s="20" t="str">
        <f>IFERROR(VLOOKUP(I1179,KET!$B:$F,4,0),"")</f>
        <v>FAHMI LUKMANUL HAKIM</v>
      </c>
      <c r="F1179" s="20" t="str">
        <f>IFERROR(VLOOKUP(I1179,KET!$B:$F,5,0),"")</f>
        <v>GMM</v>
      </c>
      <c r="G1179" s="20">
        <f>IFERROR(INDEX('Kode Outlet dan Target Toko'!$C:$C,MATCH($I1179,'Kode Outlet dan Target Toko'!$E:$E,0)),0)</f>
        <v>103277</v>
      </c>
      <c r="H1179" s="20">
        <f>IFERROR(INDEX('Kode Outlet dan Target Toko'!$D:$D,MATCH($I1179,'Kode Outlet dan Target Toko'!$E:$E,0)),0)</f>
        <v>6300700</v>
      </c>
      <c r="I1179" s="50" t="s">
        <v>30</v>
      </c>
      <c r="J1179" s="56" t="s">
        <v>182</v>
      </c>
      <c r="K1179" s="40" t="s">
        <v>16</v>
      </c>
      <c r="L1179" s="56">
        <v>3000</v>
      </c>
      <c r="M1179" s="56">
        <v>120</v>
      </c>
      <c r="N1179" s="25">
        <f t="shared" si="37"/>
        <v>360000</v>
      </c>
      <c r="O1179" s="26">
        <v>160</v>
      </c>
    </row>
    <row r="1180" spans="1:15" hidden="1" x14ac:dyDescent="0.3">
      <c r="A1180" s="26">
        <v>28</v>
      </c>
      <c r="B1180" s="20" t="str">
        <f t="shared" si="36"/>
        <v>JUL</v>
      </c>
      <c r="C1180" s="21">
        <v>46213</v>
      </c>
      <c r="D1180" s="22" t="str">
        <f t="array" ref="D1180">IFERROR(INDEX('Kode Outlet dan Target Toko'!$A:$A,MATCH($I1180,'Kode Outlet dan Target Toko'!$E:$E,0)),"")</f>
        <v>GRSM 4</v>
      </c>
      <c r="E1180" s="20" t="str">
        <f>IFERROR(VLOOKUP(I1180,KET!$B:$F,4,0),"")</f>
        <v>FAHMI LUKMANUL HAKIM</v>
      </c>
      <c r="F1180" s="20" t="str">
        <f>IFERROR(VLOOKUP(I1180,KET!$B:$F,5,0),"")</f>
        <v>GMM</v>
      </c>
      <c r="G1180" s="20">
        <f>IFERROR(INDEX('Kode Outlet dan Target Toko'!$C:$C,MATCH($I1180,'Kode Outlet dan Target Toko'!$E:$E,0)),0)</f>
        <v>189901</v>
      </c>
      <c r="H1180" s="20">
        <f>IFERROR(INDEX('Kode Outlet dan Target Toko'!$D:$D,MATCH($I1180,'Kode Outlet dan Target Toko'!$E:$E,0)),0)</f>
        <v>1602018</v>
      </c>
      <c r="I1180" s="50" t="s">
        <v>34</v>
      </c>
      <c r="J1180" s="56" t="s">
        <v>186</v>
      </c>
      <c r="K1180" s="40" t="s">
        <v>15</v>
      </c>
      <c r="L1180" s="48">
        <v>3500</v>
      </c>
      <c r="M1180" s="26">
        <v>30</v>
      </c>
      <c r="N1180" s="25">
        <f t="shared" si="37"/>
        <v>105000</v>
      </c>
      <c r="O1180" s="26"/>
    </row>
    <row r="1181" spans="1:15" hidden="1" x14ac:dyDescent="0.3">
      <c r="A1181" s="26">
        <v>28</v>
      </c>
      <c r="B1181" s="20" t="str">
        <f t="shared" si="36"/>
        <v>JUL</v>
      </c>
      <c r="C1181" s="21">
        <v>46213</v>
      </c>
      <c r="D1181" s="22" t="str">
        <f t="array" ref="D1181">IFERROR(INDEX('Kode Outlet dan Target Toko'!$A:$A,MATCH($I1181,'Kode Outlet dan Target Toko'!$E:$E,0)),"")</f>
        <v>GRSM 4</v>
      </c>
      <c r="E1181" s="20" t="str">
        <f>IFERROR(VLOOKUP(I1181,KET!$B:$F,4,0),"")</f>
        <v>FAHMI LUKMANUL HAKIM</v>
      </c>
      <c r="F1181" s="20" t="str">
        <f>IFERROR(VLOOKUP(I1181,KET!$B:$F,5,0),"")</f>
        <v>GMM</v>
      </c>
      <c r="G1181" s="20">
        <f>IFERROR(INDEX('Kode Outlet dan Target Toko'!$C:$C,MATCH($I1181,'Kode Outlet dan Target Toko'!$E:$E,0)),0)</f>
        <v>189901</v>
      </c>
      <c r="H1181" s="20">
        <f>IFERROR(INDEX('Kode Outlet dan Target Toko'!$D:$D,MATCH($I1181,'Kode Outlet dan Target Toko'!$E:$E,0)),0)</f>
        <v>1602018</v>
      </c>
      <c r="I1181" s="50" t="s">
        <v>34</v>
      </c>
      <c r="J1181" s="56" t="s">
        <v>186</v>
      </c>
      <c r="K1181" s="40" t="s">
        <v>14</v>
      </c>
      <c r="L1181" s="48">
        <v>3500</v>
      </c>
      <c r="M1181" s="26">
        <v>30</v>
      </c>
      <c r="N1181" s="25">
        <f t="shared" si="37"/>
        <v>105000</v>
      </c>
      <c r="O1181" s="26"/>
    </row>
    <row r="1182" spans="1:15" hidden="1" x14ac:dyDescent="0.3">
      <c r="A1182" s="26">
        <v>28</v>
      </c>
      <c r="B1182" s="20" t="str">
        <f t="shared" si="36"/>
        <v>JUL</v>
      </c>
      <c r="C1182" s="21">
        <v>46213</v>
      </c>
      <c r="D1182" s="22" t="str">
        <f t="array" ref="D1182">IFERROR(INDEX('Kode Outlet dan Target Toko'!$A:$A,MATCH($I1182,'Kode Outlet dan Target Toko'!$E:$E,0)),"")</f>
        <v>GRSM 4</v>
      </c>
      <c r="E1182" s="20" t="str">
        <f>IFERROR(VLOOKUP(I1182,KET!$B:$F,4,0),"")</f>
        <v>FAHMI LUKMANUL HAKIM</v>
      </c>
      <c r="F1182" s="20" t="str">
        <f>IFERROR(VLOOKUP(I1182,KET!$B:$F,5,0),"")</f>
        <v>GMM</v>
      </c>
      <c r="G1182" s="20">
        <f>IFERROR(INDEX('Kode Outlet dan Target Toko'!$C:$C,MATCH($I1182,'Kode Outlet dan Target Toko'!$E:$E,0)),0)</f>
        <v>189901</v>
      </c>
      <c r="H1182" s="20">
        <f>IFERROR(INDEX('Kode Outlet dan Target Toko'!$D:$D,MATCH($I1182,'Kode Outlet dan Target Toko'!$E:$E,0)),0)</f>
        <v>1602018</v>
      </c>
      <c r="I1182" s="50" t="s">
        <v>34</v>
      </c>
      <c r="J1182" s="56" t="s">
        <v>186</v>
      </c>
      <c r="K1182" s="40" t="s">
        <v>13</v>
      </c>
      <c r="L1182" s="48">
        <v>3500</v>
      </c>
      <c r="M1182" s="26">
        <v>15</v>
      </c>
      <c r="N1182" s="25">
        <f t="shared" si="37"/>
        <v>52500</v>
      </c>
      <c r="O1182" s="26"/>
    </row>
    <row r="1183" spans="1:15" hidden="1" x14ac:dyDescent="0.3">
      <c r="A1183" s="26">
        <v>28</v>
      </c>
      <c r="B1183" s="20" t="str">
        <f t="shared" si="36"/>
        <v>JUL</v>
      </c>
      <c r="C1183" s="21">
        <v>46213</v>
      </c>
      <c r="D1183" s="22" t="str">
        <f t="array" ref="D1183">IFERROR(INDEX('Kode Outlet dan Target Toko'!$A:$A,MATCH($I1183,'Kode Outlet dan Target Toko'!$E:$E,0)),"")</f>
        <v>GRSM 4</v>
      </c>
      <c r="E1183" s="20" t="str">
        <f>IFERROR(VLOOKUP(I1183,KET!$B:$F,4,0),"")</f>
        <v>FAHMI LUKMANUL HAKIM</v>
      </c>
      <c r="F1183" s="20" t="str">
        <f>IFERROR(VLOOKUP(I1183,KET!$B:$F,5,0),"")</f>
        <v>GMM</v>
      </c>
      <c r="G1183" s="20">
        <f>IFERROR(INDEX('Kode Outlet dan Target Toko'!$C:$C,MATCH($I1183,'Kode Outlet dan Target Toko'!$E:$E,0)),0)</f>
        <v>189901</v>
      </c>
      <c r="H1183" s="20">
        <f>IFERROR(INDEX('Kode Outlet dan Target Toko'!$D:$D,MATCH($I1183,'Kode Outlet dan Target Toko'!$E:$E,0)),0)</f>
        <v>1602018</v>
      </c>
      <c r="I1183" s="50" t="s">
        <v>34</v>
      </c>
      <c r="J1183" s="56" t="s">
        <v>186</v>
      </c>
      <c r="K1183" s="47" t="s">
        <v>16</v>
      </c>
      <c r="L1183" s="48">
        <v>3500</v>
      </c>
      <c r="M1183" s="26">
        <v>40</v>
      </c>
      <c r="N1183" s="25">
        <f t="shared" si="37"/>
        <v>140000</v>
      </c>
      <c r="O1183" s="26">
        <v>160</v>
      </c>
    </row>
    <row r="1184" spans="1:15" hidden="1" x14ac:dyDescent="0.3">
      <c r="A1184" s="26">
        <v>28</v>
      </c>
      <c r="B1184" s="20" t="str">
        <f t="shared" si="36"/>
        <v>JUL</v>
      </c>
      <c r="C1184" s="21">
        <v>46214</v>
      </c>
      <c r="D1184" s="22" t="str">
        <f t="array" ref="D1184">IFERROR(INDEX('Kode Outlet dan Target Toko'!$A:$A,MATCH($I1184,'Kode Outlet dan Target Toko'!$E:$E,0)),"")</f>
        <v>GRSM 4</v>
      </c>
      <c r="E1184" s="20" t="str">
        <f>IFERROR(VLOOKUP(I1184,KET!$B:$F,4,0),"")</f>
        <v>FAHMI LUKMANUL HAKIM</v>
      </c>
      <c r="F1184" s="20" t="str">
        <f>IFERROR(VLOOKUP(I1184,KET!$B:$F,5,0),"")</f>
        <v>GMM</v>
      </c>
      <c r="G1184" s="20">
        <f>IFERROR(INDEX('Kode Outlet dan Target Toko'!$C:$C,MATCH($I1184,'Kode Outlet dan Target Toko'!$E:$E,0)),0)</f>
        <v>189901</v>
      </c>
      <c r="H1184" s="20">
        <f>IFERROR(INDEX('Kode Outlet dan Target Toko'!$D:$D,MATCH($I1184,'Kode Outlet dan Target Toko'!$E:$E,0)),0)</f>
        <v>1602018</v>
      </c>
      <c r="I1184" s="50" t="s">
        <v>34</v>
      </c>
      <c r="J1184" s="56" t="s">
        <v>186</v>
      </c>
      <c r="K1184" s="40" t="s">
        <v>15</v>
      </c>
      <c r="L1184" s="48">
        <v>3500</v>
      </c>
      <c r="M1184" s="26">
        <v>25</v>
      </c>
      <c r="N1184" s="25">
        <f t="shared" si="37"/>
        <v>87500</v>
      </c>
      <c r="O1184" s="26"/>
    </row>
    <row r="1185" spans="1:15" hidden="1" x14ac:dyDescent="0.3">
      <c r="A1185" s="26">
        <v>28</v>
      </c>
      <c r="B1185" s="20" t="str">
        <f t="shared" si="36"/>
        <v>JUL</v>
      </c>
      <c r="C1185" s="21">
        <v>46214</v>
      </c>
      <c r="D1185" s="22" t="str">
        <f t="array" ref="D1185">IFERROR(INDEX('Kode Outlet dan Target Toko'!$A:$A,MATCH($I1185,'Kode Outlet dan Target Toko'!$E:$E,0)),"")</f>
        <v>GRSM 4</v>
      </c>
      <c r="E1185" s="20" t="str">
        <f>IFERROR(VLOOKUP(I1185,KET!$B:$F,4,0),"")</f>
        <v>FAHMI LUKMANUL HAKIM</v>
      </c>
      <c r="F1185" s="20" t="str">
        <f>IFERROR(VLOOKUP(I1185,KET!$B:$F,5,0),"")</f>
        <v>GMM</v>
      </c>
      <c r="G1185" s="20">
        <f>IFERROR(INDEX('Kode Outlet dan Target Toko'!$C:$C,MATCH($I1185,'Kode Outlet dan Target Toko'!$E:$E,0)),0)</f>
        <v>189901</v>
      </c>
      <c r="H1185" s="20">
        <f>IFERROR(INDEX('Kode Outlet dan Target Toko'!$D:$D,MATCH($I1185,'Kode Outlet dan Target Toko'!$E:$E,0)),0)</f>
        <v>1602018</v>
      </c>
      <c r="I1185" s="50" t="s">
        <v>34</v>
      </c>
      <c r="J1185" s="56" t="s">
        <v>186</v>
      </c>
      <c r="K1185" s="40" t="s">
        <v>14</v>
      </c>
      <c r="L1185" s="26">
        <v>3500</v>
      </c>
      <c r="M1185" s="26">
        <v>20</v>
      </c>
      <c r="N1185" s="25">
        <f t="shared" si="37"/>
        <v>70000</v>
      </c>
      <c r="O1185" s="26"/>
    </row>
    <row r="1186" spans="1:15" hidden="1" x14ac:dyDescent="0.3">
      <c r="A1186" s="26">
        <v>28</v>
      </c>
      <c r="B1186" s="20" t="str">
        <f t="shared" si="36"/>
        <v>JUL</v>
      </c>
      <c r="C1186" s="21">
        <v>46214</v>
      </c>
      <c r="D1186" s="22" t="str">
        <f t="array" ref="D1186">IFERROR(INDEX('Kode Outlet dan Target Toko'!$A:$A,MATCH($I1186,'Kode Outlet dan Target Toko'!$E:$E,0)),"")</f>
        <v>GRSM 4</v>
      </c>
      <c r="E1186" s="20" t="str">
        <f>IFERROR(VLOOKUP(I1186,KET!$B:$F,4,0),"")</f>
        <v>FAHMI LUKMANUL HAKIM</v>
      </c>
      <c r="F1186" s="20" t="str">
        <f>IFERROR(VLOOKUP(I1186,KET!$B:$F,5,0),"")</f>
        <v>GMM</v>
      </c>
      <c r="G1186" s="20">
        <f>IFERROR(INDEX('Kode Outlet dan Target Toko'!$C:$C,MATCH($I1186,'Kode Outlet dan Target Toko'!$E:$E,0)),0)</f>
        <v>189901</v>
      </c>
      <c r="H1186" s="20">
        <f>IFERROR(INDEX('Kode Outlet dan Target Toko'!$D:$D,MATCH($I1186,'Kode Outlet dan Target Toko'!$E:$E,0)),0)</f>
        <v>1602018</v>
      </c>
      <c r="I1186" s="50" t="s">
        <v>34</v>
      </c>
      <c r="J1186" s="56" t="s">
        <v>186</v>
      </c>
      <c r="K1186" s="40" t="s">
        <v>13</v>
      </c>
      <c r="L1186" s="26">
        <v>3500</v>
      </c>
      <c r="M1186" s="26">
        <v>15</v>
      </c>
      <c r="N1186" s="25">
        <f t="shared" si="37"/>
        <v>52500</v>
      </c>
      <c r="O1186" s="26"/>
    </row>
    <row r="1187" spans="1:15" hidden="1" x14ac:dyDescent="0.3">
      <c r="A1187" s="26">
        <v>28</v>
      </c>
      <c r="B1187" s="20" t="str">
        <f t="shared" si="36"/>
        <v>JUL</v>
      </c>
      <c r="C1187" s="21">
        <v>46214</v>
      </c>
      <c r="D1187" s="22" t="str">
        <f t="array" ref="D1187">IFERROR(INDEX('Kode Outlet dan Target Toko'!$A:$A,MATCH($I1187,'Kode Outlet dan Target Toko'!$E:$E,0)),"")</f>
        <v>GRSM 4</v>
      </c>
      <c r="E1187" s="20" t="str">
        <f>IFERROR(VLOOKUP(I1187,KET!$B:$F,4,0),"")</f>
        <v>FAHMI LUKMANUL HAKIM</v>
      </c>
      <c r="F1187" s="20" t="str">
        <f>IFERROR(VLOOKUP(I1187,KET!$B:$F,5,0),"")</f>
        <v>GMM</v>
      </c>
      <c r="G1187" s="20">
        <f>IFERROR(INDEX('Kode Outlet dan Target Toko'!$C:$C,MATCH($I1187,'Kode Outlet dan Target Toko'!$E:$E,0)),0)</f>
        <v>189901</v>
      </c>
      <c r="H1187" s="20">
        <f>IFERROR(INDEX('Kode Outlet dan Target Toko'!$D:$D,MATCH($I1187,'Kode Outlet dan Target Toko'!$E:$E,0)),0)</f>
        <v>1602018</v>
      </c>
      <c r="I1187" s="50" t="s">
        <v>34</v>
      </c>
      <c r="J1187" s="56" t="s">
        <v>186</v>
      </c>
      <c r="K1187" s="40" t="s">
        <v>16</v>
      </c>
      <c r="L1187" s="26">
        <v>3500</v>
      </c>
      <c r="M1187" s="26">
        <v>40</v>
      </c>
      <c r="N1187" s="25">
        <f t="shared" si="37"/>
        <v>140000</v>
      </c>
      <c r="O1187" s="26">
        <v>160</v>
      </c>
    </row>
    <row r="1188" spans="1:15" hidden="1" x14ac:dyDescent="0.3">
      <c r="A1188" s="26">
        <v>28</v>
      </c>
      <c r="B1188" s="20" t="str">
        <f t="shared" si="36"/>
        <v>JUL</v>
      </c>
      <c r="C1188" s="21">
        <v>46215</v>
      </c>
      <c r="D1188" s="22" t="str">
        <f t="array" ref="D1188">IFERROR(INDEX('Kode Outlet dan Target Toko'!$A:$A,MATCH($I1188,'Kode Outlet dan Target Toko'!$E:$E,0)),"")</f>
        <v>GRSM 4</v>
      </c>
      <c r="E1188" s="20" t="str">
        <f>IFERROR(VLOOKUP(I1188,KET!$B:$F,4,0),"")</f>
        <v>FAHMI LUKMANUL HAKIM</v>
      </c>
      <c r="F1188" s="20" t="str">
        <f>IFERROR(VLOOKUP(I1188,KET!$B:$F,5,0),"")</f>
        <v>GMM</v>
      </c>
      <c r="G1188" s="20">
        <f>IFERROR(INDEX('Kode Outlet dan Target Toko'!$C:$C,MATCH($I1188,'Kode Outlet dan Target Toko'!$E:$E,0)),0)</f>
        <v>121409</v>
      </c>
      <c r="H1188" s="20">
        <f>IFERROR(INDEX('Kode Outlet dan Target Toko'!$D:$D,MATCH($I1188,'Kode Outlet dan Target Toko'!$E:$E,0)),0)</f>
        <v>5205014</v>
      </c>
      <c r="I1188" s="50" t="s">
        <v>31</v>
      </c>
      <c r="J1188" s="56" t="s">
        <v>184</v>
      </c>
      <c r="K1188" s="40" t="s">
        <v>15</v>
      </c>
      <c r="L1188" s="56">
        <v>2100</v>
      </c>
      <c r="M1188" s="26">
        <v>198</v>
      </c>
      <c r="N1188" s="25">
        <f t="shared" si="37"/>
        <v>415800</v>
      </c>
      <c r="O1188" s="26"/>
    </row>
    <row r="1189" spans="1:15" hidden="1" x14ac:dyDescent="0.3">
      <c r="A1189" s="26">
        <v>28</v>
      </c>
      <c r="B1189" s="20" t="str">
        <f t="shared" si="36"/>
        <v>JUL</v>
      </c>
      <c r="C1189" s="21">
        <v>46215</v>
      </c>
      <c r="D1189" s="22" t="str">
        <f t="array" ref="D1189">IFERROR(INDEX('Kode Outlet dan Target Toko'!$A:$A,MATCH($I1189,'Kode Outlet dan Target Toko'!$E:$E,0)),"")</f>
        <v>GRSM 4</v>
      </c>
      <c r="E1189" s="20" t="str">
        <f>IFERROR(VLOOKUP(I1189,KET!$B:$F,4,0),"")</f>
        <v>FAHMI LUKMANUL HAKIM</v>
      </c>
      <c r="F1189" s="20" t="str">
        <f>IFERROR(VLOOKUP(I1189,KET!$B:$F,5,0),"")</f>
        <v>GMM</v>
      </c>
      <c r="G1189" s="20">
        <f>IFERROR(INDEX('Kode Outlet dan Target Toko'!$C:$C,MATCH($I1189,'Kode Outlet dan Target Toko'!$E:$E,0)),0)</f>
        <v>121409</v>
      </c>
      <c r="H1189" s="20">
        <f>IFERROR(INDEX('Kode Outlet dan Target Toko'!$D:$D,MATCH($I1189,'Kode Outlet dan Target Toko'!$E:$E,0)),0)</f>
        <v>5205014</v>
      </c>
      <c r="I1189" s="50" t="s">
        <v>31</v>
      </c>
      <c r="J1189" s="56" t="s">
        <v>184</v>
      </c>
      <c r="K1189" s="40" t="s">
        <v>14</v>
      </c>
      <c r="L1189" s="56">
        <v>2100</v>
      </c>
      <c r="M1189" s="26">
        <v>155</v>
      </c>
      <c r="N1189" s="25">
        <f t="shared" si="37"/>
        <v>325500</v>
      </c>
      <c r="O1189" s="26"/>
    </row>
    <row r="1190" spans="1:15" hidden="1" x14ac:dyDescent="0.3">
      <c r="A1190" s="26">
        <v>28</v>
      </c>
      <c r="B1190" s="20" t="str">
        <f t="shared" si="36"/>
        <v>JUL</v>
      </c>
      <c r="C1190" s="21">
        <v>46215</v>
      </c>
      <c r="D1190" s="22" t="str">
        <f t="array" ref="D1190">IFERROR(INDEX('Kode Outlet dan Target Toko'!$A:$A,MATCH($I1190,'Kode Outlet dan Target Toko'!$E:$E,0)),"")</f>
        <v>GRSM 4</v>
      </c>
      <c r="E1190" s="20" t="str">
        <f>IFERROR(VLOOKUP(I1190,KET!$B:$F,4,0),"")</f>
        <v>FAHMI LUKMANUL HAKIM</v>
      </c>
      <c r="F1190" s="20" t="str">
        <f>IFERROR(VLOOKUP(I1190,KET!$B:$F,5,0),"")</f>
        <v>GMM</v>
      </c>
      <c r="G1190" s="20">
        <f>IFERROR(INDEX('Kode Outlet dan Target Toko'!$C:$C,MATCH($I1190,'Kode Outlet dan Target Toko'!$E:$E,0)),0)</f>
        <v>121409</v>
      </c>
      <c r="H1190" s="20">
        <f>IFERROR(INDEX('Kode Outlet dan Target Toko'!$D:$D,MATCH($I1190,'Kode Outlet dan Target Toko'!$E:$E,0)),0)</f>
        <v>5205014</v>
      </c>
      <c r="I1190" s="50" t="s">
        <v>31</v>
      </c>
      <c r="J1190" s="56" t="s">
        <v>184</v>
      </c>
      <c r="K1190" s="40" t="s">
        <v>13</v>
      </c>
      <c r="L1190" s="56">
        <v>2100</v>
      </c>
      <c r="M1190" s="26">
        <v>173</v>
      </c>
      <c r="N1190" s="25">
        <f t="shared" si="37"/>
        <v>363300</v>
      </c>
      <c r="O1190" s="26"/>
    </row>
    <row r="1191" spans="1:15" hidden="1" x14ac:dyDescent="0.3">
      <c r="A1191" s="26">
        <v>28</v>
      </c>
      <c r="B1191" s="20" t="str">
        <f t="shared" si="36"/>
        <v>JUL</v>
      </c>
      <c r="C1191" s="21">
        <v>46215</v>
      </c>
      <c r="D1191" s="22" t="str">
        <f t="array" ref="D1191">IFERROR(INDEX('Kode Outlet dan Target Toko'!$A:$A,MATCH($I1191,'Kode Outlet dan Target Toko'!$E:$E,0)),"")</f>
        <v>GRSM 4</v>
      </c>
      <c r="E1191" s="20" t="str">
        <f>IFERROR(VLOOKUP(I1191,KET!$B:$F,4,0),"")</f>
        <v>FAHMI LUKMANUL HAKIM</v>
      </c>
      <c r="F1191" s="20" t="str">
        <f>IFERROR(VLOOKUP(I1191,KET!$B:$F,5,0),"")</f>
        <v>GMM</v>
      </c>
      <c r="G1191" s="20">
        <f>IFERROR(INDEX('Kode Outlet dan Target Toko'!$C:$C,MATCH($I1191,'Kode Outlet dan Target Toko'!$E:$E,0)),0)</f>
        <v>121409</v>
      </c>
      <c r="H1191" s="20">
        <f>IFERROR(INDEX('Kode Outlet dan Target Toko'!$D:$D,MATCH($I1191,'Kode Outlet dan Target Toko'!$E:$E,0)),0)</f>
        <v>5205014</v>
      </c>
      <c r="I1191" s="50" t="s">
        <v>31</v>
      </c>
      <c r="J1191" s="56" t="s">
        <v>184</v>
      </c>
      <c r="K1191" s="40" t="s">
        <v>16</v>
      </c>
      <c r="L1191" s="56">
        <v>2100</v>
      </c>
      <c r="M1191" s="26">
        <v>248</v>
      </c>
      <c r="N1191" s="25">
        <f t="shared" si="37"/>
        <v>520800</v>
      </c>
      <c r="O1191" s="26">
        <v>160</v>
      </c>
    </row>
    <row r="1192" spans="1:15" hidden="1" x14ac:dyDescent="0.3">
      <c r="A1192" s="26">
        <v>28</v>
      </c>
      <c r="B1192" s="20" t="str">
        <f t="shared" si="36"/>
        <v>JUL</v>
      </c>
      <c r="C1192" s="21">
        <v>46215</v>
      </c>
      <c r="D1192" s="22" t="str">
        <f t="array" ref="D1192">IFERROR(INDEX('Kode Outlet dan Target Toko'!$A:$A,MATCH($I1192,'Kode Outlet dan Target Toko'!$E:$E,0)),"")</f>
        <v>GRSM 4</v>
      </c>
      <c r="E1192" s="20" t="str">
        <f>IFERROR(VLOOKUP(I1192,KET!$B:$F,4,0),"")</f>
        <v>FAHMI LUKMANUL HAKIM</v>
      </c>
      <c r="F1192" s="20" t="str">
        <f>IFERROR(VLOOKUP(I1192,KET!$B:$F,5,0),"")</f>
        <v>GMM</v>
      </c>
      <c r="G1192" s="20">
        <f>IFERROR(INDEX('Kode Outlet dan Target Toko'!$C:$C,MATCH($I1192,'Kode Outlet dan Target Toko'!$E:$E,0)),0)</f>
        <v>121409</v>
      </c>
      <c r="H1192" s="20">
        <f>IFERROR(INDEX('Kode Outlet dan Target Toko'!$D:$D,MATCH($I1192,'Kode Outlet dan Target Toko'!$E:$E,0)),0)</f>
        <v>5205014</v>
      </c>
      <c r="I1192" s="50" t="s">
        <v>31</v>
      </c>
      <c r="J1192" s="56" t="s">
        <v>185</v>
      </c>
      <c r="K1192" s="40" t="s">
        <v>15</v>
      </c>
      <c r="L1192" s="56">
        <v>2100</v>
      </c>
      <c r="M1192" s="26">
        <v>198</v>
      </c>
      <c r="N1192" s="25">
        <f t="shared" si="37"/>
        <v>415800</v>
      </c>
      <c r="O1192" s="26"/>
    </row>
    <row r="1193" spans="1:15" hidden="1" x14ac:dyDescent="0.3">
      <c r="A1193" s="26">
        <v>28</v>
      </c>
      <c r="B1193" s="20" t="str">
        <f t="shared" si="36"/>
        <v>JUL</v>
      </c>
      <c r="C1193" s="21">
        <v>46215</v>
      </c>
      <c r="D1193" s="22" t="str">
        <f t="array" ref="D1193">IFERROR(INDEX('Kode Outlet dan Target Toko'!$A:$A,MATCH($I1193,'Kode Outlet dan Target Toko'!$E:$E,0)),"")</f>
        <v>GRSM 4</v>
      </c>
      <c r="E1193" s="20" t="str">
        <f>IFERROR(VLOOKUP(I1193,KET!$B:$F,4,0),"")</f>
        <v>FAHMI LUKMANUL HAKIM</v>
      </c>
      <c r="F1193" s="20" t="str">
        <f>IFERROR(VLOOKUP(I1193,KET!$B:$F,5,0),"")</f>
        <v>GMM</v>
      </c>
      <c r="G1193" s="20">
        <f>IFERROR(INDEX('Kode Outlet dan Target Toko'!$C:$C,MATCH($I1193,'Kode Outlet dan Target Toko'!$E:$E,0)),0)</f>
        <v>121409</v>
      </c>
      <c r="H1193" s="20">
        <f>IFERROR(INDEX('Kode Outlet dan Target Toko'!$D:$D,MATCH($I1193,'Kode Outlet dan Target Toko'!$E:$E,0)),0)</f>
        <v>5205014</v>
      </c>
      <c r="I1193" s="50" t="s">
        <v>31</v>
      </c>
      <c r="J1193" s="56" t="s">
        <v>185</v>
      </c>
      <c r="K1193" s="40" t="s">
        <v>14</v>
      </c>
      <c r="L1193" s="56">
        <v>2100</v>
      </c>
      <c r="M1193" s="26">
        <v>155</v>
      </c>
      <c r="N1193" s="25">
        <f t="shared" si="37"/>
        <v>325500</v>
      </c>
      <c r="O1193" s="26"/>
    </row>
    <row r="1194" spans="1:15" hidden="1" x14ac:dyDescent="0.3">
      <c r="A1194" s="26">
        <v>28</v>
      </c>
      <c r="B1194" s="20" t="str">
        <f t="shared" si="36"/>
        <v>JUL</v>
      </c>
      <c r="C1194" s="21">
        <v>46215</v>
      </c>
      <c r="D1194" s="22" t="str">
        <f t="array" ref="D1194">IFERROR(INDEX('Kode Outlet dan Target Toko'!$A:$A,MATCH($I1194,'Kode Outlet dan Target Toko'!$E:$E,0)),"")</f>
        <v>GRSM 4</v>
      </c>
      <c r="E1194" s="20" t="str">
        <f>IFERROR(VLOOKUP(I1194,KET!$B:$F,4,0),"")</f>
        <v>FAHMI LUKMANUL HAKIM</v>
      </c>
      <c r="F1194" s="20" t="str">
        <f>IFERROR(VLOOKUP(I1194,KET!$B:$F,5,0),"")</f>
        <v>GMM</v>
      </c>
      <c r="G1194" s="20">
        <f>IFERROR(INDEX('Kode Outlet dan Target Toko'!$C:$C,MATCH($I1194,'Kode Outlet dan Target Toko'!$E:$E,0)),0)</f>
        <v>121409</v>
      </c>
      <c r="H1194" s="20">
        <f>IFERROR(INDEX('Kode Outlet dan Target Toko'!$D:$D,MATCH($I1194,'Kode Outlet dan Target Toko'!$E:$E,0)),0)</f>
        <v>5205014</v>
      </c>
      <c r="I1194" s="50" t="s">
        <v>31</v>
      </c>
      <c r="J1194" s="56" t="s">
        <v>185</v>
      </c>
      <c r="K1194" s="40" t="s">
        <v>13</v>
      </c>
      <c r="L1194" s="56">
        <v>2100</v>
      </c>
      <c r="M1194" s="26">
        <v>173</v>
      </c>
      <c r="N1194" s="25">
        <f t="shared" si="37"/>
        <v>363300</v>
      </c>
      <c r="O1194" s="26"/>
    </row>
    <row r="1195" spans="1:15" hidden="1" x14ac:dyDescent="0.3">
      <c r="A1195" s="26">
        <v>28</v>
      </c>
      <c r="B1195" s="20" t="str">
        <f t="shared" si="36"/>
        <v>JUL</v>
      </c>
      <c r="C1195" s="21">
        <v>46215</v>
      </c>
      <c r="D1195" s="22" t="str">
        <f t="array" ref="D1195">IFERROR(INDEX('Kode Outlet dan Target Toko'!$A:$A,MATCH($I1195,'Kode Outlet dan Target Toko'!$E:$E,0)),"")</f>
        <v>GRSM 4</v>
      </c>
      <c r="E1195" s="20" t="str">
        <f>IFERROR(VLOOKUP(I1195,KET!$B:$F,4,0),"")</f>
        <v>FAHMI LUKMANUL HAKIM</v>
      </c>
      <c r="F1195" s="20" t="str">
        <f>IFERROR(VLOOKUP(I1195,KET!$B:$F,5,0),"")</f>
        <v>GMM</v>
      </c>
      <c r="G1195" s="20">
        <f>IFERROR(INDEX('Kode Outlet dan Target Toko'!$C:$C,MATCH($I1195,'Kode Outlet dan Target Toko'!$E:$E,0)),0)</f>
        <v>121409</v>
      </c>
      <c r="H1195" s="20">
        <f>IFERROR(INDEX('Kode Outlet dan Target Toko'!$D:$D,MATCH($I1195,'Kode Outlet dan Target Toko'!$E:$E,0)),0)</f>
        <v>5205014</v>
      </c>
      <c r="I1195" s="50" t="s">
        <v>31</v>
      </c>
      <c r="J1195" s="56" t="s">
        <v>185</v>
      </c>
      <c r="K1195" s="40" t="s">
        <v>16</v>
      </c>
      <c r="L1195" s="56">
        <v>2100</v>
      </c>
      <c r="M1195" s="26">
        <v>248</v>
      </c>
      <c r="N1195" s="25">
        <f t="shared" si="37"/>
        <v>520800</v>
      </c>
      <c r="O1195" s="26">
        <v>160</v>
      </c>
    </row>
    <row r="1196" spans="1:15" hidden="1" x14ac:dyDescent="0.3">
      <c r="A1196" s="26">
        <v>28</v>
      </c>
      <c r="B1196" s="20" t="str">
        <f t="shared" si="36"/>
        <v>JUL</v>
      </c>
      <c r="C1196" s="21">
        <v>46215</v>
      </c>
      <c r="D1196" s="22" t="str">
        <f t="array" ref="D1196">IFERROR(INDEX('Kode Outlet dan Target Toko'!$A:$A,MATCH($I1196,'Kode Outlet dan Target Toko'!$E:$E,0)),"")</f>
        <v>GRSM 4</v>
      </c>
      <c r="E1196" s="20" t="str">
        <f>IFERROR(VLOOKUP(I1196,KET!$B:$F,4,0),"")</f>
        <v>FAHMI LUKMANUL HAKIM</v>
      </c>
      <c r="F1196" s="20" t="str">
        <f>IFERROR(VLOOKUP(I1196,KET!$B:$F,5,0),"")</f>
        <v>GMM</v>
      </c>
      <c r="G1196" s="20">
        <f>IFERROR(INDEX('Kode Outlet dan Target Toko'!$C:$C,MATCH($I1196,'Kode Outlet dan Target Toko'!$E:$E,0)),0)</f>
        <v>103257</v>
      </c>
      <c r="H1196" s="20">
        <f>IFERROR(INDEX('Kode Outlet dan Target Toko'!$D:$D,MATCH($I1196,'Kode Outlet dan Target Toko'!$E:$E,0)),0)</f>
        <v>9162509</v>
      </c>
      <c r="I1196" s="41" t="s">
        <v>23</v>
      </c>
      <c r="J1196" s="56" t="s">
        <v>180</v>
      </c>
      <c r="K1196" s="40" t="s">
        <v>15</v>
      </c>
      <c r="L1196" s="56">
        <v>3100</v>
      </c>
      <c r="M1196" s="26">
        <v>83</v>
      </c>
      <c r="N1196" s="25">
        <f t="shared" si="37"/>
        <v>257300</v>
      </c>
      <c r="O1196" s="26"/>
    </row>
    <row r="1197" spans="1:15" hidden="1" x14ac:dyDescent="0.3">
      <c r="A1197" s="26">
        <v>28</v>
      </c>
      <c r="B1197" s="20" t="str">
        <f t="shared" si="36"/>
        <v>JUL</v>
      </c>
      <c r="C1197" s="21">
        <v>46215</v>
      </c>
      <c r="D1197" s="22" t="str">
        <f t="array" ref="D1197">IFERROR(INDEX('Kode Outlet dan Target Toko'!$A:$A,MATCH($I1197,'Kode Outlet dan Target Toko'!$E:$E,0)),"")</f>
        <v>GRSM 4</v>
      </c>
      <c r="E1197" s="20" t="str">
        <f>IFERROR(VLOOKUP(I1197,KET!$B:$F,4,0),"")</f>
        <v>FAHMI LUKMANUL HAKIM</v>
      </c>
      <c r="F1197" s="20" t="str">
        <f>IFERROR(VLOOKUP(I1197,KET!$B:$F,5,0),"")</f>
        <v>GMM</v>
      </c>
      <c r="G1197" s="20">
        <f>IFERROR(INDEX('Kode Outlet dan Target Toko'!$C:$C,MATCH($I1197,'Kode Outlet dan Target Toko'!$E:$E,0)),0)</f>
        <v>103257</v>
      </c>
      <c r="H1197" s="20">
        <f>IFERROR(INDEX('Kode Outlet dan Target Toko'!$D:$D,MATCH($I1197,'Kode Outlet dan Target Toko'!$E:$E,0)),0)</f>
        <v>9162509</v>
      </c>
      <c r="I1197" s="41" t="s">
        <v>23</v>
      </c>
      <c r="J1197" s="56" t="s">
        <v>180</v>
      </c>
      <c r="K1197" s="40" t="s">
        <v>14</v>
      </c>
      <c r="L1197" s="56">
        <v>3100</v>
      </c>
      <c r="M1197" s="26">
        <v>75</v>
      </c>
      <c r="N1197" s="25">
        <f t="shared" si="37"/>
        <v>232500</v>
      </c>
      <c r="O1197" s="26"/>
    </row>
    <row r="1198" spans="1:15" hidden="1" x14ac:dyDescent="0.3">
      <c r="A1198" s="26">
        <v>28</v>
      </c>
      <c r="B1198" s="20" t="str">
        <f t="shared" si="36"/>
        <v>JUL</v>
      </c>
      <c r="C1198" s="21">
        <v>46215</v>
      </c>
      <c r="D1198" s="22" t="str">
        <f t="array" ref="D1198">IFERROR(INDEX('Kode Outlet dan Target Toko'!$A:$A,MATCH($I1198,'Kode Outlet dan Target Toko'!$E:$E,0)),"")</f>
        <v>GRSM 4</v>
      </c>
      <c r="E1198" s="20" t="str">
        <f>IFERROR(VLOOKUP(I1198,KET!$B:$F,4,0),"")</f>
        <v>FAHMI LUKMANUL HAKIM</v>
      </c>
      <c r="F1198" s="20" t="str">
        <f>IFERROR(VLOOKUP(I1198,KET!$B:$F,5,0),"")</f>
        <v>GMM</v>
      </c>
      <c r="G1198" s="20">
        <f>IFERROR(INDEX('Kode Outlet dan Target Toko'!$C:$C,MATCH($I1198,'Kode Outlet dan Target Toko'!$E:$E,0)),0)</f>
        <v>103257</v>
      </c>
      <c r="H1198" s="20">
        <f>IFERROR(INDEX('Kode Outlet dan Target Toko'!$D:$D,MATCH($I1198,'Kode Outlet dan Target Toko'!$E:$E,0)),0)</f>
        <v>9162509</v>
      </c>
      <c r="I1198" s="41" t="s">
        <v>23</v>
      </c>
      <c r="J1198" s="56" t="s">
        <v>180</v>
      </c>
      <c r="K1198" s="40" t="s">
        <v>13</v>
      </c>
      <c r="L1198" s="56">
        <v>3100</v>
      </c>
      <c r="M1198" s="26">
        <v>53</v>
      </c>
      <c r="N1198" s="25">
        <f t="shared" si="37"/>
        <v>164300</v>
      </c>
      <c r="O1198" s="26"/>
    </row>
    <row r="1199" spans="1:15" hidden="1" x14ac:dyDescent="0.3">
      <c r="A1199" s="26">
        <v>28</v>
      </c>
      <c r="B1199" s="20" t="str">
        <f t="shared" si="36"/>
        <v>JUL</v>
      </c>
      <c r="C1199" s="21">
        <v>46215</v>
      </c>
      <c r="D1199" s="22" t="str">
        <f t="array" ref="D1199">IFERROR(INDEX('Kode Outlet dan Target Toko'!$A:$A,MATCH($I1199,'Kode Outlet dan Target Toko'!$E:$E,0)),"")</f>
        <v>GRSM 4</v>
      </c>
      <c r="E1199" s="20" t="str">
        <f>IFERROR(VLOOKUP(I1199,KET!$B:$F,4,0),"")</f>
        <v>FAHMI LUKMANUL HAKIM</v>
      </c>
      <c r="F1199" s="20" t="str">
        <f>IFERROR(VLOOKUP(I1199,KET!$B:$F,5,0),"")</f>
        <v>GMM</v>
      </c>
      <c r="G1199" s="20">
        <f>IFERROR(INDEX('Kode Outlet dan Target Toko'!$C:$C,MATCH($I1199,'Kode Outlet dan Target Toko'!$E:$E,0)),0)</f>
        <v>103257</v>
      </c>
      <c r="H1199" s="20">
        <f>IFERROR(INDEX('Kode Outlet dan Target Toko'!$D:$D,MATCH($I1199,'Kode Outlet dan Target Toko'!$E:$E,0)),0)</f>
        <v>9162509</v>
      </c>
      <c r="I1199" s="41" t="s">
        <v>23</v>
      </c>
      <c r="J1199" s="56" t="s">
        <v>180</v>
      </c>
      <c r="K1199" s="40" t="s">
        <v>16</v>
      </c>
      <c r="L1199" s="56">
        <v>3100</v>
      </c>
      <c r="M1199" s="26">
        <v>96</v>
      </c>
      <c r="N1199" s="25">
        <f t="shared" si="37"/>
        <v>297600</v>
      </c>
      <c r="O1199" s="26">
        <v>160</v>
      </c>
    </row>
    <row r="1200" spans="1:15" hidden="1" x14ac:dyDescent="0.3">
      <c r="A1200" s="26">
        <v>28</v>
      </c>
      <c r="B1200" s="20" t="str">
        <f t="shared" si="36"/>
        <v>JUL</v>
      </c>
      <c r="C1200" s="21">
        <v>46215</v>
      </c>
      <c r="D1200" s="22" t="str">
        <f t="array" ref="D1200">IFERROR(INDEX('Kode Outlet dan Target Toko'!$A:$A,MATCH($I1200,'Kode Outlet dan Target Toko'!$E:$E,0)),"")</f>
        <v>GRSM 4</v>
      </c>
      <c r="E1200" s="20" t="str">
        <f>IFERROR(VLOOKUP(I1200,KET!$B:$F,4,0),"")</f>
        <v>FAHMI LUKMANUL HAKIM</v>
      </c>
      <c r="F1200" s="20" t="str">
        <f>IFERROR(VLOOKUP(I1200,KET!$B:$F,5,0),"")</f>
        <v>GMM</v>
      </c>
      <c r="G1200" s="20">
        <f>IFERROR(INDEX('Kode Outlet dan Target Toko'!$C:$C,MATCH($I1200,'Kode Outlet dan Target Toko'!$E:$E,0)),0)</f>
        <v>103257</v>
      </c>
      <c r="H1200" s="20">
        <f>IFERROR(INDEX('Kode Outlet dan Target Toko'!$D:$D,MATCH($I1200,'Kode Outlet dan Target Toko'!$E:$E,0)),0)</f>
        <v>9162509</v>
      </c>
      <c r="I1200" s="41" t="s">
        <v>23</v>
      </c>
      <c r="J1200" s="56" t="s">
        <v>181</v>
      </c>
      <c r="K1200" s="40" t="s">
        <v>15</v>
      </c>
      <c r="L1200" s="56">
        <v>3100</v>
      </c>
      <c r="M1200" s="26">
        <v>83</v>
      </c>
      <c r="N1200" s="25">
        <f t="shared" si="37"/>
        <v>257300</v>
      </c>
      <c r="O1200" s="26"/>
    </row>
    <row r="1201" spans="1:15" hidden="1" x14ac:dyDescent="0.3">
      <c r="A1201" s="26">
        <v>28</v>
      </c>
      <c r="B1201" s="20" t="str">
        <f t="shared" si="36"/>
        <v>JUL</v>
      </c>
      <c r="C1201" s="21">
        <v>46215</v>
      </c>
      <c r="D1201" s="22" t="str">
        <f t="array" ref="D1201">IFERROR(INDEX('Kode Outlet dan Target Toko'!$A:$A,MATCH($I1201,'Kode Outlet dan Target Toko'!$E:$E,0)),"")</f>
        <v>GRSM 4</v>
      </c>
      <c r="E1201" s="20" t="str">
        <f>IFERROR(VLOOKUP(I1201,KET!$B:$F,4,0),"")</f>
        <v>FAHMI LUKMANUL HAKIM</v>
      </c>
      <c r="F1201" s="20" t="str">
        <f>IFERROR(VLOOKUP(I1201,KET!$B:$F,5,0),"")</f>
        <v>GMM</v>
      </c>
      <c r="G1201" s="20">
        <f>IFERROR(INDEX('Kode Outlet dan Target Toko'!$C:$C,MATCH($I1201,'Kode Outlet dan Target Toko'!$E:$E,0)),0)</f>
        <v>103257</v>
      </c>
      <c r="H1201" s="20">
        <f>IFERROR(INDEX('Kode Outlet dan Target Toko'!$D:$D,MATCH($I1201,'Kode Outlet dan Target Toko'!$E:$E,0)),0)</f>
        <v>9162509</v>
      </c>
      <c r="I1201" s="41" t="s">
        <v>23</v>
      </c>
      <c r="J1201" s="56" t="s">
        <v>181</v>
      </c>
      <c r="K1201" s="40" t="s">
        <v>14</v>
      </c>
      <c r="L1201" s="56">
        <v>3100</v>
      </c>
      <c r="M1201" s="26">
        <v>75</v>
      </c>
      <c r="N1201" s="25">
        <f t="shared" si="37"/>
        <v>232500</v>
      </c>
      <c r="O1201" s="26"/>
    </row>
    <row r="1202" spans="1:15" hidden="1" x14ac:dyDescent="0.3">
      <c r="A1202" s="26">
        <v>28</v>
      </c>
      <c r="B1202" s="20" t="str">
        <f t="shared" si="36"/>
        <v>JUL</v>
      </c>
      <c r="C1202" s="21">
        <v>46215</v>
      </c>
      <c r="D1202" s="22" t="str">
        <f t="array" ref="D1202">IFERROR(INDEX('Kode Outlet dan Target Toko'!$A:$A,MATCH($I1202,'Kode Outlet dan Target Toko'!$E:$E,0)),"")</f>
        <v>GRSM 4</v>
      </c>
      <c r="E1202" s="20" t="str">
        <f>IFERROR(VLOOKUP(I1202,KET!$B:$F,4,0),"")</f>
        <v>FAHMI LUKMANUL HAKIM</v>
      </c>
      <c r="F1202" s="20" t="str">
        <f>IFERROR(VLOOKUP(I1202,KET!$B:$F,5,0),"")</f>
        <v>GMM</v>
      </c>
      <c r="G1202" s="20">
        <f>IFERROR(INDEX('Kode Outlet dan Target Toko'!$C:$C,MATCH($I1202,'Kode Outlet dan Target Toko'!$E:$E,0)),0)</f>
        <v>103257</v>
      </c>
      <c r="H1202" s="20">
        <f>IFERROR(INDEX('Kode Outlet dan Target Toko'!$D:$D,MATCH($I1202,'Kode Outlet dan Target Toko'!$E:$E,0)),0)</f>
        <v>9162509</v>
      </c>
      <c r="I1202" s="41" t="s">
        <v>23</v>
      </c>
      <c r="J1202" s="56" t="s">
        <v>181</v>
      </c>
      <c r="K1202" s="40" t="s">
        <v>13</v>
      </c>
      <c r="L1202" s="56">
        <v>3100</v>
      </c>
      <c r="M1202" s="26">
        <v>53</v>
      </c>
      <c r="N1202" s="25">
        <f t="shared" si="37"/>
        <v>164300</v>
      </c>
      <c r="O1202" s="26"/>
    </row>
    <row r="1203" spans="1:15" hidden="1" x14ac:dyDescent="0.3">
      <c r="A1203" s="26">
        <v>28</v>
      </c>
      <c r="B1203" s="20" t="str">
        <f t="shared" si="36"/>
        <v>JUL</v>
      </c>
      <c r="C1203" s="21">
        <v>46215</v>
      </c>
      <c r="D1203" s="22" t="str">
        <f t="array" ref="D1203">IFERROR(INDEX('Kode Outlet dan Target Toko'!$A:$A,MATCH($I1203,'Kode Outlet dan Target Toko'!$E:$E,0)),"")</f>
        <v>GRSM 4</v>
      </c>
      <c r="E1203" s="20" t="str">
        <f>IFERROR(VLOOKUP(I1203,KET!$B:$F,4,0),"")</f>
        <v>FAHMI LUKMANUL HAKIM</v>
      </c>
      <c r="F1203" s="20" t="str">
        <f>IFERROR(VLOOKUP(I1203,KET!$B:$F,5,0),"")</f>
        <v>GMM</v>
      </c>
      <c r="G1203" s="20">
        <f>IFERROR(INDEX('Kode Outlet dan Target Toko'!$C:$C,MATCH($I1203,'Kode Outlet dan Target Toko'!$E:$E,0)),0)</f>
        <v>103257</v>
      </c>
      <c r="H1203" s="20">
        <f>IFERROR(INDEX('Kode Outlet dan Target Toko'!$D:$D,MATCH($I1203,'Kode Outlet dan Target Toko'!$E:$E,0)),0)</f>
        <v>9162509</v>
      </c>
      <c r="I1203" s="41" t="s">
        <v>23</v>
      </c>
      <c r="J1203" s="56" t="s">
        <v>181</v>
      </c>
      <c r="K1203" s="40" t="s">
        <v>16</v>
      </c>
      <c r="L1203" s="56">
        <v>3100</v>
      </c>
      <c r="M1203" s="26">
        <v>96</v>
      </c>
      <c r="N1203" s="25">
        <f t="shared" si="37"/>
        <v>297600</v>
      </c>
      <c r="O1203" s="26">
        <v>160</v>
      </c>
    </row>
    <row r="1204" spans="1:15" hidden="1" x14ac:dyDescent="0.3">
      <c r="A1204" s="26">
        <v>28</v>
      </c>
      <c r="B1204" s="20" t="str">
        <f t="shared" si="36"/>
        <v>JUL</v>
      </c>
      <c r="C1204" s="21">
        <v>46215</v>
      </c>
      <c r="D1204" s="22" t="str">
        <f t="array" ref="D1204">IFERROR(INDEX('Kode Outlet dan Target Toko'!$A:$A,MATCH($I1204,'Kode Outlet dan Target Toko'!$E:$E,0)),"")</f>
        <v>GRSM 4</v>
      </c>
      <c r="E1204" s="20" t="str">
        <f>IFERROR(VLOOKUP(I1204,KET!$B:$F,4,0),"")</f>
        <v>FAHMI LUKMANUL HAKIM</v>
      </c>
      <c r="F1204" s="20" t="str">
        <f>IFERROR(VLOOKUP(I1204,KET!$B:$F,5,0),"")</f>
        <v>GMM</v>
      </c>
      <c r="G1204" s="20">
        <f>IFERROR(INDEX('Kode Outlet dan Target Toko'!$C:$C,MATCH($I1204,'Kode Outlet dan Target Toko'!$E:$E,0)),0)</f>
        <v>189901</v>
      </c>
      <c r="H1204" s="20">
        <f>IFERROR(INDEX('Kode Outlet dan Target Toko'!$D:$D,MATCH($I1204,'Kode Outlet dan Target Toko'!$E:$E,0)),0)</f>
        <v>1602057</v>
      </c>
      <c r="I1204" s="50" t="s">
        <v>68</v>
      </c>
      <c r="J1204" s="27" t="s">
        <v>174</v>
      </c>
      <c r="K1204" s="40" t="s">
        <v>15</v>
      </c>
      <c r="L1204" s="56">
        <v>2150</v>
      </c>
      <c r="M1204" s="26">
        <v>128</v>
      </c>
      <c r="N1204" s="25">
        <f t="shared" si="37"/>
        <v>275200</v>
      </c>
      <c r="O1204" s="26"/>
    </row>
    <row r="1205" spans="1:15" hidden="1" x14ac:dyDescent="0.3">
      <c r="A1205" s="26">
        <v>28</v>
      </c>
      <c r="B1205" s="20" t="str">
        <f t="shared" si="36"/>
        <v>JUL</v>
      </c>
      <c r="C1205" s="21">
        <v>46215</v>
      </c>
      <c r="D1205" s="22" t="str">
        <f t="array" ref="D1205">IFERROR(INDEX('Kode Outlet dan Target Toko'!$A:$A,MATCH($I1205,'Kode Outlet dan Target Toko'!$E:$E,0)),"")</f>
        <v>GRSM 4</v>
      </c>
      <c r="E1205" s="20" t="str">
        <f>IFERROR(VLOOKUP(I1205,KET!$B:$F,4,0),"")</f>
        <v>FAHMI LUKMANUL HAKIM</v>
      </c>
      <c r="F1205" s="20" t="str">
        <f>IFERROR(VLOOKUP(I1205,KET!$B:$F,5,0),"")</f>
        <v>GMM</v>
      </c>
      <c r="G1205" s="20">
        <f>IFERROR(INDEX('Kode Outlet dan Target Toko'!$C:$C,MATCH($I1205,'Kode Outlet dan Target Toko'!$E:$E,0)),0)</f>
        <v>189901</v>
      </c>
      <c r="H1205" s="20">
        <f>IFERROR(INDEX('Kode Outlet dan Target Toko'!$D:$D,MATCH($I1205,'Kode Outlet dan Target Toko'!$E:$E,0)),0)</f>
        <v>1602057</v>
      </c>
      <c r="I1205" s="50" t="s">
        <v>68</v>
      </c>
      <c r="J1205" s="27" t="s">
        <v>174</v>
      </c>
      <c r="K1205" s="40" t="s">
        <v>14</v>
      </c>
      <c r="L1205" s="56">
        <v>2150</v>
      </c>
      <c r="M1205" s="26">
        <v>153</v>
      </c>
      <c r="N1205" s="25">
        <f t="shared" si="37"/>
        <v>328950</v>
      </c>
      <c r="O1205" s="26"/>
    </row>
    <row r="1206" spans="1:15" hidden="1" x14ac:dyDescent="0.3">
      <c r="A1206" s="26">
        <v>28</v>
      </c>
      <c r="B1206" s="20" t="str">
        <f t="shared" si="36"/>
        <v>JUL</v>
      </c>
      <c r="C1206" s="21">
        <v>46215</v>
      </c>
      <c r="D1206" s="22" t="str">
        <f t="array" ref="D1206">IFERROR(INDEX('Kode Outlet dan Target Toko'!$A:$A,MATCH($I1206,'Kode Outlet dan Target Toko'!$E:$E,0)),"")</f>
        <v>GRSM 4</v>
      </c>
      <c r="E1206" s="20" t="str">
        <f>IFERROR(VLOOKUP(I1206,KET!$B:$F,4,0),"")</f>
        <v>FAHMI LUKMANUL HAKIM</v>
      </c>
      <c r="F1206" s="20" t="str">
        <f>IFERROR(VLOOKUP(I1206,KET!$B:$F,5,0),"")</f>
        <v>GMM</v>
      </c>
      <c r="G1206" s="20">
        <f>IFERROR(INDEX('Kode Outlet dan Target Toko'!$C:$C,MATCH($I1206,'Kode Outlet dan Target Toko'!$E:$E,0)),0)</f>
        <v>189901</v>
      </c>
      <c r="H1206" s="20">
        <f>IFERROR(INDEX('Kode Outlet dan Target Toko'!$D:$D,MATCH($I1206,'Kode Outlet dan Target Toko'!$E:$E,0)),0)</f>
        <v>1602057</v>
      </c>
      <c r="I1206" s="50" t="s">
        <v>68</v>
      </c>
      <c r="J1206" s="27" t="s">
        <v>174</v>
      </c>
      <c r="K1206" s="40" t="s">
        <v>13</v>
      </c>
      <c r="L1206" s="56">
        <v>2150</v>
      </c>
      <c r="M1206" s="26">
        <v>117</v>
      </c>
      <c r="N1206" s="25">
        <f t="shared" si="37"/>
        <v>251550</v>
      </c>
      <c r="O1206" s="26"/>
    </row>
    <row r="1207" spans="1:15" hidden="1" x14ac:dyDescent="0.3">
      <c r="A1207" s="26">
        <v>28</v>
      </c>
      <c r="B1207" s="20" t="str">
        <f t="shared" si="36"/>
        <v>JUL</v>
      </c>
      <c r="C1207" s="21">
        <v>46215</v>
      </c>
      <c r="D1207" s="22" t="str">
        <f t="array" ref="D1207">IFERROR(INDEX('Kode Outlet dan Target Toko'!$A:$A,MATCH($I1207,'Kode Outlet dan Target Toko'!$E:$E,0)),"")</f>
        <v>GRSM 4</v>
      </c>
      <c r="E1207" s="20" t="str">
        <f>IFERROR(VLOOKUP(I1207,KET!$B:$F,4,0),"")</f>
        <v>FAHMI LUKMANUL HAKIM</v>
      </c>
      <c r="F1207" s="20" t="str">
        <f>IFERROR(VLOOKUP(I1207,KET!$B:$F,5,0),"")</f>
        <v>GMM</v>
      </c>
      <c r="G1207" s="20">
        <f>IFERROR(INDEX('Kode Outlet dan Target Toko'!$C:$C,MATCH($I1207,'Kode Outlet dan Target Toko'!$E:$E,0)),0)</f>
        <v>189901</v>
      </c>
      <c r="H1207" s="20">
        <f>IFERROR(INDEX('Kode Outlet dan Target Toko'!$D:$D,MATCH($I1207,'Kode Outlet dan Target Toko'!$E:$E,0)),0)</f>
        <v>1602057</v>
      </c>
      <c r="I1207" s="50" t="s">
        <v>68</v>
      </c>
      <c r="J1207" s="27" t="s">
        <v>174</v>
      </c>
      <c r="K1207" s="40" t="s">
        <v>16</v>
      </c>
      <c r="L1207" s="56">
        <v>2150</v>
      </c>
      <c r="M1207" s="26">
        <v>253</v>
      </c>
      <c r="N1207" s="25">
        <f t="shared" si="37"/>
        <v>543950</v>
      </c>
      <c r="O1207" s="26">
        <v>160</v>
      </c>
    </row>
    <row r="1208" spans="1:15" hidden="1" x14ac:dyDescent="0.3">
      <c r="A1208" s="26">
        <v>28</v>
      </c>
      <c r="B1208" s="20" t="str">
        <f t="shared" si="36"/>
        <v>JUL</v>
      </c>
      <c r="C1208" s="21">
        <v>46215</v>
      </c>
      <c r="D1208" s="22" t="str">
        <f t="array" ref="D1208">IFERROR(INDEX('Kode Outlet dan Target Toko'!$A:$A,MATCH($I1208,'Kode Outlet dan Target Toko'!$E:$E,0)),"")</f>
        <v>GRSM 4</v>
      </c>
      <c r="E1208" s="20" t="str">
        <f>IFERROR(VLOOKUP(I1208,KET!$B:$F,4,0),"")</f>
        <v>FAHMI LUKMANUL HAKIM</v>
      </c>
      <c r="F1208" s="20" t="str">
        <f>IFERROR(VLOOKUP(I1208,KET!$B:$F,5,0),"")</f>
        <v>GMM</v>
      </c>
      <c r="G1208" s="20">
        <f>IFERROR(INDEX('Kode Outlet dan Target Toko'!$C:$C,MATCH($I1208,'Kode Outlet dan Target Toko'!$E:$E,0)),0)</f>
        <v>189901</v>
      </c>
      <c r="H1208" s="20">
        <f>IFERROR(INDEX('Kode Outlet dan Target Toko'!$D:$D,MATCH($I1208,'Kode Outlet dan Target Toko'!$E:$E,0)),0)</f>
        <v>1602057</v>
      </c>
      <c r="I1208" s="50" t="s">
        <v>68</v>
      </c>
      <c r="J1208" s="56" t="s">
        <v>175</v>
      </c>
      <c r="K1208" s="40" t="s">
        <v>15</v>
      </c>
      <c r="L1208" s="56">
        <v>2150</v>
      </c>
      <c r="M1208" s="26">
        <v>124</v>
      </c>
      <c r="N1208" s="25">
        <f t="shared" si="37"/>
        <v>266600</v>
      </c>
      <c r="O1208" s="26"/>
    </row>
    <row r="1209" spans="1:15" hidden="1" x14ac:dyDescent="0.3">
      <c r="A1209" s="26">
        <v>28</v>
      </c>
      <c r="B1209" s="20" t="str">
        <f t="shared" si="36"/>
        <v>JUL</v>
      </c>
      <c r="C1209" s="21">
        <v>46215</v>
      </c>
      <c r="D1209" s="22" t="str">
        <f t="array" ref="D1209">IFERROR(INDEX('Kode Outlet dan Target Toko'!$A:$A,MATCH($I1209,'Kode Outlet dan Target Toko'!$E:$E,0)),"")</f>
        <v>GRSM 4</v>
      </c>
      <c r="E1209" s="20" t="str">
        <f>IFERROR(VLOOKUP(I1209,KET!$B:$F,4,0),"")</f>
        <v>FAHMI LUKMANUL HAKIM</v>
      </c>
      <c r="F1209" s="20" t="str">
        <f>IFERROR(VLOOKUP(I1209,KET!$B:$F,5,0),"")</f>
        <v>GMM</v>
      </c>
      <c r="G1209" s="20">
        <f>IFERROR(INDEX('Kode Outlet dan Target Toko'!$C:$C,MATCH($I1209,'Kode Outlet dan Target Toko'!$E:$E,0)),0)</f>
        <v>189901</v>
      </c>
      <c r="H1209" s="20">
        <f>IFERROR(INDEX('Kode Outlet dan Target Toko'!$D:$D,MATCH($I1209,'Kode Outlet dan Target Toko'!$E:$E,0)),0)</f>
        <v>1602057</v>
      </c>
      <c r="I1209" s="50" t="s">
        <v>68</v>
      </c>
      <c r="J1209" s="56" t="s">
        <v>175</v>
      </c>
      <c r="K1209" s="40" t="s">
        <v>14</v>
      </c>
      <c r="L1209" s="56">
        <v>2150</v>
      </c>
      <c r="M1209" s="26">
        <v>149</v>
      </c>
      <c r="N1209" s="25">
        <f t="shared" si="37"/>
        <v>320350</v>
      </c>
      <c r="O1209" s="26"/>
    </row>
    <row r="1210" spans="1:15" hidden="1" x14ac:dyDescent="0.3">
      <c r="A1210" s="26">
        <v>28</v>
      </c>
      <c r="B1210" s="20" t="str">
        <f t="shared" si="36"/>
        <v>JUL</v>
      </c>
      <c r="C1210" s="21">
        <v>46215</v>
      </c>
      <c r="D1210" s="22" t="str">
        <f t="array" ref="D1210">IFERROR(INDEX('Kode Outlet dan Target Toko'!$A:$A,MATCH($I1210,'Kode Outlet dan Target Toko'!$E:$E,0)),"")</f>
        <v>GRSM 4</v>
      </c>
      <c r="E1210" s="20" t="str">
        <f>IFERROR(VLOOKUP(I1210,KET!$B:$F,4,0),"")</f>
        <v>FAHMI LUKMANUL HAKIM</v>
      </c>
      <c r="F1210" s="20" t="str">
        <f>IFERROR(VLOOKUP(I1210,KET!$B:$F,5,0),"")</f>
        <v>GMM</v>
      </c>
      <c r="G1210" s="20">
        <f>IFERROR(INDEX('Kode Outlet dan Target Toko'!$C:$C,MATCH($I1210,'Kode Outlet dan Target Toko'!$E:$E,0)),0)</f>
        <v>189901</v>
      </c>
      <c r="H1210" s="20">
        <f>IFERROR(INDEX('Kode Outlet dan Target Toko'!$D:$D,MATCH($I1210,'Kode Outlet dan Target Toko'!$E:$E,0)),0)</f>
        <v>1602057</v>
      </c>
      <c r="I1210" s="50" t="s">
        <v>68</v>
      </c>
      <c r="J1210" s="56" t="s">
        <v>175</v>
      </c>
      <c r="K1210" s="40" t="s">
        <v>13</v>
      </c>
      <c r="L1210" s="56">
        <v>2150</v>
      </c>
      <c r="M1210" s="26">
        <v>110</v>
      </c>
      <c r="N1210" s="25">
        <f t="shared" si="37"/>
        <v>236500</v>
      </c>
      <c r="O1210" s="26"/>
    </row>
    <row r="1211" spans="1:15" hidden="1" x14ac:dyDescent="0.3">
      <c r="A1211" s="26">
        <v>28</v>
      </c>
      <c r="B1211" s="20" t="str">
        <f t="shared" si="36"/>
        <v>JUL</v>
      </c>
      <c r="C1211" s="21">
        <v>46215</v>
      </c>
      <c r="D1211" s="22" t="str">
        <f t="array" ref="D1211">IFERROR(INDEX('Kode Outlet dan Target Toko'!$A:$A,MATCH($I1211,'Kode Outlet dan Target Toko'!$E:$E,0)),"")</f>
        <v>GRSM 4</v>
      </c>
      <c r="E1211" s="20" t="str">
        <f>IFERROR(VLOOKUP(I1211,KET!$B:$F,4,0),"")</f>
        <v>FAHMI LUKMANUL HAKIM</v>
      </c>
      <c r="F1211" s="20" t="str">
        <f>IFERROR(VLOOKUP(I1211,KET!$B:$F,5,0),"")</f>
        <v>GMM</v>
      </c>
      <c r="G1211" s="20">
        <f>IFERROR(INDEX('Kode Outlet dan Target Toko'!$C:$C,MATCH($I1211,'Kode Outlet dan Target Toko'!$E:$E,0)),0)</f>
        <v>189901</v>
      </c>
      <c r="H1211" s="20">
        <f>IFERROR(INDEX('Kode Outlet dan Target Toko'!$D:$D,MATCH($I1211,'Kode Outlet dan Target Toko'!$E:$E,0)),0)</f>
        <v>1602057</v>
      </c>
      <c r="I1211" s="50" t="s">
        <v>68</v>
      </c>
      <c r="J1211" s="56" t="s">
        <v>175</v>
      </c>
      <c r="K1211" s="40" t="s">
        <v>16</v>
      </c>
      <c r="L1211" s="56">
        <v>2150</v>
      </c>
      <c r="M1211" s="26">
        <v>248</v>
      </c>
      <c r="N1211" s="25">
        <f t="shared" si="37"/>
        <v>533200</v>
      </c>
      <c r="O1211" s="26">
        <v>160</v>
      </c>
    </row>
    <row r="1212" spans="1:15" hidden="1" x14ac:dyDescent="0.3">
      <c r="A1212" s="26">
        <v>28</v>
      </c>
      <c r="B1212" s="20" t="str">
        <f t="shared" si="36"/>
        <v>JUL</v>
      </c>
      <c r="C1212" s="21">
        <v>46215</v>
      </c>
      <c r="D1212" s="22" t="str">
        <f t="array" ref="D1212">IFERROR(INDEX('Kode Outlet dan Target Toko'!$A:$A,MATCH($I1212,'Kode Outlet dan Target Toko'!$E:$E,0)),"")</f>
        <v>GRSM 4</v>
      </c>
      <c r="E1212" s="20" t="str">
        <f>IFERROR(VLOOKUP(I1212,KET!$B:$F,4,0),"")</f>
        <v>FAHMI LUKMANUL HAKIM</v>
      </c>
      <c r="F1212" s="20" t="str">
        <f>IFERROR(VLOOKUP(I1212,KET!$B:$F,5,0),"")</f>
        <v>GMM</v>
      </c>
      <c r="G1212" s="20">
        <f>IFERROR(INDEX('Kode Outlet dan Target Toko'!$C:$C,MATCH($I1212,'Kode Outlet dan Target Toko'!$E:$E,0)),0)</f>
        <v>189901</v>
      </c>
      <c r="H1212" s="20">
        <f>IFERROR(INDEX('Kode Outlet dan Target Toko'!$D:$D,MATCH($I1212,'Kode Outlet dan Target Toko'!$E:$E,0)),0)</f>
        <v>1602016</v>
      </c>
      <c r="I1212" s="42" t="s">
        <v>35</v>
      </c>
      <c r="J1212" s="56" t="s">
        <v>172</v>
      </c>
      <c r="K1212" s="40" t="s">
        <v>15</v>
      </c>
      <c r="L1212" s="56">
        <v>3400</v>
      </c>
      <c r="M1212" s="26">
        <v>120</v>
      </c>
      <c r="N1212" s="25">
        <f t="shared" si="37"/>
        <v>408000</v>
      </c>
      <c r="O1212" s="26"/>
    </row>
    <row r="1213" spans="1:15" hidden="1" x14ac:dyDescent="0.3">
      <c r="A1213" s="26">
        <v>28</v>
      </c>
      <c r="B1213" s="20" t="str">
        <f t="shared" si="36"/>
        <v>JUL</v>
      </c>
      <c r="C1213" s="21">
        <v>46215</v>
      </c>
      <c r="D1213" s="22" t="str">
        <f t="array" ref="D1213">IFERROR(INDEX('Kode Outlet dan Target Toko'!$A:$A,MATCH($I1213,'Kode Outlet dan Target Toko'!$E:$E,0)),"")</f>
        <v>GRSM 4</v>
      </c>
      <c r="E1213" s="20" t="str">
        <f>IFERROR(VLOOKUP(I1213,KET!$B:$F,4,0),"")</f>
        <v>FAHMI LUKMANUL HAKIM</v>
      </c>
      <c r="F1213" s="20" t="str">
        <f>IFERROR(VLOOKUP(I1213,KET!$B:$F,5,0),"")</f>
        <v>GMM</v>
      </c>
      <c r="G1213" s="20">
        <f>IFERROR(INDEX('Kode Outlet dan Target Toko'!$C:$C,MATCH($I1213,'Kode Outlet dan Target Toko'!$E:$E,0)),0)</f>
        <v>189901</v>
      </c>
      <c r="H1213" s="20">
        <f>IFERROR(INDEX('Kode Outlet dan Target Toko'!$D:$D,MATCH($I1213,'Kode Outlet dan Target Toko'!$E:$E,0)),0)</f>
        <v>1602016</v>
      </c>
      <c r="I1213" s="42" t="s">
        <v>35</v>
      </c>
      <c r="J1213" s="56" t="s">
        <v>172</v>
      </c>
      <c r="K1213" s="40" t="s">
        <v>14</v>
      </c>
      <c r="L1213" s="56">
        <v>3400</v>
      </c>
      <c r="M1213" s="26">
        <v>140</v>
      </c>
      <c r="N1213" s="25">
        <f t="shared" si="37"/>
        <v>476000</v>
      </c>
      <c r="O1213" s="26"/>
    </row>
    <row r="1214" spans="1:15" hidden="1" x14ac:dyDescent="0.3">
      <c r="A1214" s="26">
        <v>28</v>
      </c>
      <c r="B1214" s="20" t="str">
        <f t="shared" si="36"/>
        <v>JUL</v>
      </c>
      <c r="C1214" s="21">
        <v>46215</v>
      </c>
      <c r="D1214" s="22" t="str">
        <f t="array" ref="D1214">IFERROR(INDEX('Kode Outlet dan Target Toko'!$A:$A,MATCH($I1214,'Kode Outlet dan Target Toko'!$E:$E,0)),"")</f>
        <v>GRSM 4</v>
      </c>
      <c r="E1214" s="20" t="str">
        <f>IFERROR(VLOOKUP(I1214,KET!$B:$F,4,0),"")</f>
        <v>FAHMI LUKMANUL HAKIM</v>
      </c>
      <c r="F1214" s="20" t="str">
        <f>IFERROR(VLOOKUP(I1214,KET!$B:$F,5,0),"")</f>
        <v>GMM</v>
      </c>
      <c r="G1214" s="20">
        <f>IFERROR(INDEX('Kode Outlet dan Target Toko'!$C:$C,MATCH($I1214,'Kode Outlet dan Target Toko'!$E:$E,0)),0)</f>
        <v>189901</v>
      </c>
      <c r="H1214" s="20">
        <f>IFERROR(INDEX('Kode Outlet dan Target Toko'!$D:$D,MATCH($I1214,'Kode Outlet dan Target Toko'!$E:$E,0)),0)</f>
        <v>1602016</v>
      </c>
      <c r="I1214" s="42" t="s">
        <v>35</v>
      </c>
      <c r="J1214" s="56" t="s">
        <v>172</v>
      </c>
      <c r="K1214" s="40" t="s">
        <v>13</v>
      </c>
      <c r="L1214" s="56">
        <v>3400</v>
      </c>
      <c r="M1214" s="26">
        <v>80</v>
      </c>
      <c r="N1214" s="25">
        <f t="shared" si="37"/>
        <v>272000</v>
      </c>
      <c r="O1214" s="26"/>
    </row>
    <row r="1215" spans="1:15" hidden="1" x14ac:dyDescent="0.3">
      <c r="A1215" s="26">
        <v>28</v>
      </c>
      <c r="B1215" s="20" t="str">
        <f t="shared" si="36"/>
        <v>JUL</v>
      </c>
      <c r="C1215" s="21">
        <v>46215</v>
      </c>
      <c r="D1215" s="22" t="str">
        <f t="array" ref="D1215">IFERROR(INDEX('Kode Outlet dan Target Toko'!$A:$A,MATCH($I1215,'Kode Outlet dan Target Toko'!$E:$E,0)),"")</f>
        <v>GRSM 4</v>
      </c>
      <c r="E1215" s="20" t="str">
        <f>IFERROR(VLOOKUP(I1215,KET!$B:$F,4,0),"")</f>
        <v>FAHMI LUKMANUL HAKIM</v>
      </c>
      <c r="F1215" s="20" t="str">
        <f>IFERROR(VLOOKUP(I1215,KET!$B:$F,5,0),"")</f>
        <v>GMM</v>
      </c>
      <c r="G1215" s="20">
        <f>IFERROR(INDEX('Kode Outlet dan Target Toko'!$C:$C,MATCH($I1215,'Kode Outlet dan Target Toko'!$E:$E,0)),0)</f>
        <v>189901</v>
      </c>
      <c r="H1215" s="20">
        <f>IFERROR(INDEX('Kode Outlet dan Target Toko'!$D:$D,MATCH($I1215,'Kode Outlet dan Target Toko'!$E:$E,0)),0)</f>
        <v>1602016</v>
      </c>
      <c r="I1215" s="42" t="s">
        <v>35</v>
      </c>
      <c r="J1215" s="56" t="s">
        <v>172</v>
      </c>
      <c r="K1215" s="40" t="s">
        <v>16</v>
      </c>
      <c r="L1215" s="56">
        <v>3400</v>
      </c>
      <c r="M1215" s="26">
        <v>160</v>
      </c>
      <c r="N1215" s="25">
        <f t="shared" si="37"/>
        <v>544000</v>
      </c>
      <c r="O1215" s="26">
        <v>160</v>
      </c>
    </row>
    <row r="1216" spans="1:15" hidden="1" x14ac:dyDescent="0.3">
      <c r="A1216" s="26">
        <v>28</v>
      </c>
      <c r="B1216" s="20" t="str">
        <f t="shared" si="36"/>
        <v>JUL</v>
      </c>
      <c r="C1216" s="21">
        <v>46215</v>
      </c>
      <c r="D1216" s="22" t="str">
        <f t="array" ref="D1216">IFERROR(INDEX('Kode Outlet dan Target Toko'!$A:$A,MATCH($I1216,'Kode Outlet dan Target Toko'!$E:$E,0)),"")</f>
        <v>GRSM 4</v>
      </c>
      <c r="E1216" s="20" t="str">
        <f>IFERROR(VLOOKUP(I1216,KET!$B:$F,4,0),"")</f>
        <v>FAHMI LUKMANUL HAKIM</v>
      </c>
      <c r="F1216" s="20" t="str">
        <f>IFERROR(VLOOKUP(I1216,KET!$B:$F,5,0),"")</f>
        <v>GMM</v>
      </c>
      <c r="G1216" s="20">
        <f>IFERROR(INDEX('Kode Outlet dan Target Toko'!$C:$C,MATCH($I1216,'Kode Outlet dan Target Toko'!$E:$E,0)),0)</f>
        <v>189901</v>
      </c>
      <c r="H1216" s="20">
        <f>IFERROR(INDEX('Kode Outlet dan Target Toko'!$D:$D,MATCH($I1216,'Kode Outlet dan Target Toko'!$E:$E,0)),0)</f>
        <v>1602016</v>
      </c>
      <c r="I1216" s="42" t="s">
        <v>35</v>
      </c>
      <c r="J1216" s="56" t="s">
        <v>173</v>
      </c>
      <c r="K1216" s="40" t="s">
        <v>15</v>
      </c>
      <c r="L1216" s="56">
        <v>3400</v>
      </c>
      <c r="M1216" s="26">
        <v>120</v>
      </c>
      <c r="N1216" s="25">
        <f t="shared" si="37"/>
        <v>408000</v>
      </c>
      <c r="O1216" s="26"/>
    </row>
    <row r="1217" spans="1:15" hidden="1" x14ac:dyDescent="0.3">
      <c r="A1217" s="26">
        <v>28</v>
      </c>
      <c r="B1217" s="20" t="str">
        <f t="shared" si="36"/>
        <v>JUL</v>
      </c>
      <c r="C1217" s="21">
        <v>46215</v>
      </c>
      <c r="D1217" s="22" t="str">
        <f t="array" ref="D1217">IFERROR(INDEX('Kode Outlet dan Target Toko'!$A:$A,MATCH($I1217,'Kode Outlet dan Target Toko'!$E:$E,0)),"")</f>
        <v>GRSM 4</v>
      </c>
      <c r="E1217" s="20" t="str">
        <f>IFERROR(VLOOKUP(I1217,KET!$B:$F,4,0),"")</f>
        <v>FAHMI LUKMANUL HAKIM</v>
      </c>
      <c r="F1217" s="20" t="str">
        <f>IFERROR(VLOOKUP(I1217,KET!$B:$F,5,0),"")</f>
        <v>GMM</v>
      </c>
      <c r="G1217" s="20">
        <f>IFERROR(INDEX('Kode Outlet dan Target Toko'!$C:$C,MATCH($I1217,'Kode Outlet dan Target Toko'!$E:$E,0)),0)</f>
        <v>189901</v>
      </c>
      <c r="H1217" s="20">
        <f>IFERROR(INDEX('Kode Outlet dan Target Toko'!$D:$D,MATCH($I1217,'Kode Outlet dan Target Toko'!$E:$E,0)),0)</f>
        <v>1602016</v>
      </c>
      <c r="I1217" s="42" t="s">
        <v>35</v>
      </c>
      <c r="J1217" s="56" t="s">
        <v>173</v>
      </c>
      <c r="K1217" s="40" t="s">
        <v>14</v>
      </c>
      <c r="L1217" s="56">
        <v>3400</v>
      </c>
      <c r="M1217" s="26">
        <v>140</v>
      </c>
      <c r="N1217" s="25">
        <f t="shared" si="37"/>
        <v>476000</v>
      </c>
      <c r="O1217" s="26"/>
    </row>
    <row r="1218" spans="1:15" hidden="1" x14ac:dyDescent="0.3">
      <c r="A1218" s="26">
        <v>28</v>
      </c>
      <c r="B1218" s="20" t="str">
        <f t="shared" si="36"/>
        <v>JUL</v>
      </c>
      <c r="C1218" s="21">
        <v>46215</v>
      </c>
      <c r="D1218" s="22" t="str">
        <f t="array" ref="D1218">IFERROR(INDEX('Kode Outlet dan Target Toko'!$A:$A,MATCH($I1218,'Kode Outlet dan Target Toko'!$E:$E,0)),"")</f>
        <v>GRSM 4</v>
      </c>
      <c r="E1218" s="20" t="str">
        <f>IFERROR(VLOOKUP(I1218,KET!$B:$F,4,0),"")</f>
        <v>FAHMI LUKMANUL HAKIM</v>
      </c>
      <c r="F1218" s="20" t="str">
        <f>IFERROR(VLOOKUP(I1218,KET!$B:$F,5,0),"")</f>
        <v>GMM</v>
      </c>
      <c r="G1218" s="20">
        <f>IFERROR(INDEX('Kode Outlet dan Target Toko'!$C:$C,MATCH($I1218,'Kode Outlet dan Target Toko'!$E:$E,0)),0)</f>
        <v>189901</v>
      </c>
      <c r="H1218" s="20">
        <f>IFERROR(INDEX('Kode Outlet dan Target Toko'!$D:$D,MATCH($I1218,'Kode Outlet dan Target Toko'!$E:$E,0)),0)</f>
        <v>1602016</v>
      </c>
      <c r="I1218" s="42" t="s">
        <v>35</v>
      </c>
      <c r="J1218" s="56" t="s">
        <v>173</v>
      </c>
      <c r="K1218" s="40" t="s">
        <v>13</v>
      </c>
      <c r="L1218" s="56">
        <v>3400</v>
      </c>
      <c r="M1218" s="26">
        <v>80</v>
      </c>
      <c r="N1218" s="25">
        <f t="shared" si="37"/>
        <v>272000</v>
      </c>
      <c r="O1218" s="26"/>
    </row>
    <row r="1219" spans="1:15" hidden="1" x14ac:dyDescent="0.3">
      <c r="A1219" s="26">
        <v>28</v>
      </c>
      <c r="B1219" s="20" t="str">
        <f t="shared" si="36"/>
        <v>JUL</v>
      </c>
      <c r="C1219" s="21">
        <v>46215</v>
      </c>
      <c r="D1219" s="22" t="str">
        <f t="array" ref="D1219">IFERROR(INDEX('Kode Outlet dan Target Toko'!$A:$A,MATCH($I1219,'Kode Outlet dan Target Toko'!$E:$E,0)),"")</f>
        <v>GRSM 4</v>
      </c>
      <c r="E1219" s="20" t="str">
        <f>IFERROR(VLOOKUP(I1219,KET!$B:$F,4,0),"")</f>
        <v>FAHMI LUKMANUL HAKIM</v>
      </c>
      <c r="F1219" s="20" t="str">
        <f>IFERROR(VLOOKUP(I1219,KET!$B:$F,5,0),"")</f>
        <v>GMM</v>
      </c>
      <c r="G1219" s="20">
        <f>IFERROR(INDEX('Kode Outlet dan Target Toko'!$C:$C,MATCH($I1219,'Kode Outlet dan Target Toko'!$E:$E,0)),0)</f>
        <v>189901</v>
      </c>
      <c r="H1219" s="20">
        <f>IFERROR(INDEX('Kode Outlet dan Target Toko'!$D:$D,MATCH($I1219,'Kode Outlet dan Target Toko'!$E:$E,0)),0)</f>
        <v>1602016</v>
      </c>
      <c r="I1219" s="42" t="s">
        <v>35</v>
      </c>
      <c r="J1219" s="56" t="s">
        <v>173</v>
      </c>
      <c r="K1219" s="40" t="s">
        <v>16</v>
      </c>
      <c r="L1219" s="56">
        <v>3400</v>
      </c>
      <c r="M1219" s="26">
        <v>160</v>
      </c>
      <c r="N1219" s="25">
        <f t="shared" si="37"/>
        <v>544000</v>
      </c>
      <c r="O1219" s="26">
        <v>160</v>
      </c>
    </row>
    <row r="1220" spans="1:15" hidden="1" x14ac:dyDescent="0.3">
      <c r="A1220" s="26">
        <v>28</v>
      </c>
      <c r="B1220" s="20" t="str">
        <f t="shared" si="36"/>
        <v>JUL</v>
      </c>
      <c r="C1220" s="21">
        <v>46215</v>
      </c>
      <c r="D1220" s="22" t="str">
        <f t="array" ref="D1220">IFERROR(INDEX('Kode Outlet dan Target Toko'!$A:$A,MATCH($I1220,'Kode Outlet dan Target Toko'!$E:$E,0)),"")</f>
        <v>GRSM 4</v>
      </c>
      <c r="E1220" s="20" t="str">
        <f>IFERROR(VLOOKUP(I1220,KET!$B:$F,4,0),"")</f>
        <v>FAHMI LUKMANUL HAKIM</v>
      </c>
      <c r="F1220" s="20" t="str">
        <f>IFERROR(VLOOKUP(I1220,KET!$B:$F,5,0),"")</f>
        <v>GMM</v>
      </c>
      <c r="G1220" s="20">
        <f>IFERROR(INDEX('Kode Outlet dan Target Toko'!$C:$C,MATCH($I1220,'Kode Outlet dan Target Toko'!$E:$E,0)),0)</f>
        <v>103259</v>
      </c>
      <c r="H1220" s="20">
        <f>IFERROR(INDEX('Kode Outlet dan Target Toko'!$D:$D,MATCH($I1220,'Kode Outlet dan Target Toko'!$E:$E,0)),0)</f>
        <v>9029389</v>
      </c>
      <c r="I1220" s="42" t="s">
        <v>27</v>
      </c>
      <c r="J1220" s="27" t="s">
        <v>179</v>
      </c>
      <c r="K1220" s="40" t="s">
        <v>15</v>
      </c>
      <c r="L1220" s="56">
        <v>3000</v>
      </c>
      <c r="M1220" s="26">
        <v>72</v>
      </c>
      <c r="N1220" s="25">
        <f t="shared" si="37"/>
        <v>216000</v>
      </c>
      <c r="O1220" s="26"/>
    </row>
    <row r="1221" spans="1:15" hidden="1" x14ac:dyDescent="0.3">
      <c r="A1221" s="26">
        <v>28</v>
      </c>
      <c r="B1221" s="20" t="str">
        <f t="shared" si="36"/>
        <v>JUL</v>
      </c>
      <c r="C1221" s="21">
        <v>46215</v>
      </c>
      <c r="D1221" s="22" t="str">
        <f t="array" ref="D1221">IFERROR(INDEX('Kode Outlet dan Target Toko'!$A:$A,MATCH($I1221,'Kode Outlet dan Target Toko'!$E:$E,0)),"")</f>
        <v>GRSM 4</v>
      </c>
      <c r="E1221" s="20" t="str">
        <f>IFERROR(VLOOKUP(I1221,KET!$B:$F,4,0),"")</f>
        <v>FAHMI LUKMANUL HAKIM</v>
      </c>
      <c r="F1221" s="20" t="str">
        <f>IFERROR(VLOOKUP(I1221,KET!$B:$F,5,0),"")</f>
        <v>GMM</v>
      </c>
      <c r="G1221" s="20">
        <f>IFERROR(INDEX('Kode Outlet dan Target Toko'!$C:$C,MATCH($I1221,'Kode Outlet dan Target Toko'!$E:$E,0)),0)</f>
        <v>103259</v>
      </c>
      <c r="H1221" s="20">
        <f>IFERROR(INDEX('Kode Outlet dan Target Toko'!$D:$D,MATCH($I1221,'Kode Outlet dan Target Toko'!$E:$E,0)),0)</f>
        <v>9029389</v>
      </c>
      <c r="I1221" s="42" t="s">
        <v>27</v>
      </c>
      <c r="J1221" s="27" t="s">
        <v>179</v>
      </c>
      <c r="K1221" s="40" t="s">
        <v>14</v>
      </c>
      <c r="L1221" s="56">
        <v>3000</v>
      </c>
      <c r="M1221" s="26">
        <v>88</v>
      </c>
      <c r="N1221" s="25">
        <f t="shared" si="37"/>
        <v>264000</v>
      </c>
      <c r="O1221" s="26"/>
    </row>
    <row r="1222" spans="1:15" hidden="1" x14ac:dyDescent="0.3">
      <c r="A1222" s="26">
        <v>28</v>
      </c>
      <c r="B1222" s="20" t="str">
        <f t="shared" si="36"/>
        <v>JUL</v>
      </c>
      <c r="C1222" s="21">
        <v>46215</v>
      </c>
      <c r="D1222" s="22" t="str">
        <f t="array" ref="D1222">IFERROR(INDEX('Kode Outlet dan Target Toko'!$A:$A,MATCH($I1222,'Kode Outlet dan Target Toko'!$E:$E,0)),"")</f>
        <v>GRSM 4</v>
      </c>
      <c r="E1222" s="20" t="str">
        <f>IFERROR(VLOOKUP(I1222,KET!$B:$F,4,0),"")</f>
        <v>FAHMI LUKMANUL HAKIM</v>
      </c>
      <c r="F1222" s="20" t="str">
        <f>IFERROR(VLOOKUP(I1222,KET!$B:$F,5,0),"")</f>
        <v>GMM</v>
      </c>
      <c r="G1222" s="20">
        <f>IFERROR(INDEX('Kode Outlet dan Target Toko'!$C:$C,MATCH($I1222,'Kode Outlet dan Target Toko'!$E:$E,0)),0)</f>
        <v>103259</v>
      </c>
      <c r="H1222" s="20">
        <f>IFERROR(INDEX('Kode Outlet dan Target Toko'!$D:$D,MATCH($I1222,'Kode Outlet dan Target Toko'!$E:$E,0)),0)</f>
        <v>9029389</v>
      </c>
      <c r="I1222" s="42" t="s">
        <v>27</v>
      </c>
      <c r="J1222" s="27" t="s">
        <v>179</v>
      </c>
      <c r="K1222" s="40" t="s">
        <v>13</v>
      </c>
      <c r="L1222" s="56">
        <v>3000</v>
      </c>
      <c r="M1222" s="26">
        <v>50</v>
      </c>
      <c r="N1222" s="25">
        <f t="shared" si="37"/>
        <v>150000</v>
      </c>
      <c r="O1222" s="26"/>
    </row>
    <row r="1223" spans="1:15" hidden="1" x14ac:dyDescent="0.3">
      <c r="A1223" s="26">
        <v>28</v>
      </c>
      <c r="B1223" s="20" t="str">
        <f t="shared" ref="B1223:B1286" si="38">IF(C1223="","",UPPER(TEXT(C1223, "MMM")))</f>
        <v>JUL</v>
      </c>
      <c r="C1223" s="21">
        <v>46215</v>
      </c>
      <c r="D1223" s="22" t="str">
        <f t="array" ref="D1223">IFERROR(INDEX('Kode Outlet dan Target Toko'!$A:$A,MATCH($I1223,'Kode Outlet dan Target Toko'!$E:$E,0)),"")</f>
        <v>GRSM 4</v>
      </c>
      <c r="E1223" s="20" t="str">
        <f>IFERROR(VLOOKUP(I1223,KET!$B:$F,4,0),"")</f>
        <v>FAHMI LUKMANUL HAKIM</v>
      </c>
      <c r="F1223" s="20" t="str">
        <f>IFERROR(VLOOKUP(I1223,KET!$B:$F,5,0),"")</f>
        <v>GMM</v>
      </c>
      <c r="G1223" s="20">
        <f>IFERROR(INDEX('Kode Outlet dan Target Toko'!$C:$C,MATCH($I1223,'Kode Outlet dan Target Toko'!$E:$E,0)),0)</f>
        <v>103259</v>
      </c>
      <c r="H1223" s="20">
        <f>IFERROR(INDEX('Kode Outlet dan Target Toko'!$D:$D,MATCH($I1223,'Kode Outlet dan Target Toko'!$E:$E,0)),0)</f>
        <v>9029389</v>
      </c>
      <c r="I1223" s="42" t="s">
        <v>27</v>
      </c>
      <c r="J1223" s="27" t="s">
        <v>179</v>
      </c>
      <c r="K1223" s="40" t="s">
        <v>16</v>
      </c>
      <c r="L1223" s="56">
        <v>3000</v>
      </c>
      <c r="M1223" s="26">
        <v>220</v>
      </c>
      <c r="N1223" s="25">
        <f t="shared" ref="N1223:N1286" si="39">IFERROR(M1223*L1223,"")</f>
        <v>660000</v>
      </c>
      <c r="O1223" s="26">
        <v>160</v>
      </c>
    </row>
    <row r="1224" spans="1:15" hidden="1" x14ac:dyDescent="0.3">
      <c r="A1224" s="26">
        <v>28</v>
      </c>
      <c r="B1224" s="20" t="str">
        <f t="shared" si="38"/>
        <v>JUL</v>
      </c>
      <c r="C1224" s="21">
        <v>46215</v>
      </c>
      <c r="D1224" s="22" t="str">
        <f t="array" ref="D1224">IFERROR(INDEX('Kode Outlet dan Target Toko'!$A:$A,MATCH($I1224,'Kode Outlet dan Target Toko'!$E:$E,0)),"")</f>
        <v>GRSM 4</v>
      </c>
      <c r="E1224" s="20" t="str">
        <f>IFERROR(VLOOKUP(I1224,KET!$B:$F,4,0),"")</f>
        <v>FAHMI LUKMANUL HAKIM</v>
      </c>
      <c r="F1224" s="20" t="str">
        <f>IFERROR(VLOOKUP(I1224,KET!$B:$F,5,0),"")</f>
        <v>GMM</v>
      </c>
      <c r="G1224" s="20">
        <f>IFERROR(INDEX('Kode Outlet dan Target Toko'!$C:$C,MATCH($I1224,'Kode Outlet dan Target Toko'!$E:$E,0)),0)</f>
        <v>103259</v>
      </c>
      <c r="H1224" s="20">
        <f>IFERROR(INDEX('Kode Outlet dan Target Toko'!$D:$D,MATCH($I1224,'Kode Outlet dan Target Toko'!$E:$E,0)),0)</f>
        <v>9029389</v>
      </c>
      <c r="I1224" s="42" t="s">
        <v>27</v>
      </c>
      <c r="J1224" s="56" t="s">
        <v>178</v>
      </c>
      <c r="K1224" s="40" t="s">
        <v>15</v>
      </c>
      <c r="L1224" s="56">
        <v>3000</v>
      </c>
      <c r="M1224" s="26">
        <v>71</v>
      </c>
      <c r="N1224" s="25">
        <f t="shared" si="39"/>
        <v>213000</v>
      </c>
      <c r="O1224" s="26"/>
    </row>
    <row r="1225" spans="1:15" hidden="1" x14ac:dyDescent="0.3">
      <c r="A1225" s="26">
        <v>28</v>
      </c>
      <c r="B1225" s="20" t="str">
        <f t="shared" si="38"/>
        <v>JUL</v>
      </c>
      <c r="C1225" s="21">
        <v>46215</v>
      </c>
      <c r="D1225" s="22" t="str">
        <f t="array" ref="D1225">IFERROR(INDEX('Kode Outlet dan Target Toko'!$A:$A,MATCH($I1225,'Kode Outlet dan Target Toko'!$E:$E,0)),"")</f>
        <v>GRSM 4</v>
      </c>
      <c r="E1225" s="20" t="str">
        <f>IFERROR(VLOOKUP(I1225,KET!$B:$F,4,0),"")</f>
        <v>FAHMI LUKMANUL HAKIM</v>
      </c>
      <c r="F1225" s="20" t="str">
        <f>IFERROR(VLOOKUP(I1225,KET!$B:$F,5,0),"")</f>
        <v>GMM</v>
      </c>
      <c r="G1225" s="20">
        <f>IFERROR(INDEX('Kode Outlet dan Target Toko'!$C:$C,MATCH($I1225,'Kode Outlet dan Target Toko'!$E:$E,0)),0)</f>
        <v>103259</v>
      </c>
      <c r="H1225" s="20">
        <f>IFERROR(INDEX('Kode Outlet dan Target Toko'!$D:$D,MATCH($I1225,'Kode Outlet dan Target Toko'!$E:$E,0)),0)</f>
        <v>9029389</v>
      </c>
      <c r="I1225" s="42" t="s">
        <v>27</v>
      </c>
      <c r="J1225" s="56" t="s">
        <v>178</v>
      </c>
      <c r="K1225" s="40" t="s">
        <v>14</v>
      </c>
      <c r="L1225" s="56">
        <v>3000</v>
      </c>
      <c r="M1225" s="26">
        <v>86</v>
      </c>
      <c r="N1225" s="25">
        <f t="shared" si="39"/>
        <v>258000</v>
      </c>
      <c r="O1225" s="26"/>
    </row>
    <row r="1226" spans="1:15" hidden="1" x14ac:dyDescent="0.3">
      <c r="A1226" s="26">
        <v>28</v>
      </c>
      <c r="B1226" s="20" t="str">
        <f t="shared" si="38"/>
        <v>JUL</v>
      </c>
      <c r="C1226" s="21">
        <v>46215</v>
      </c>
      <c r="D1226" s="22" t="str">
        <f t="array" ref="D1226">IFERROR(INDEX('Kode Outlet dan Target Toko'!$A:$A,MATCH($I1226,'Kode Outlet dan Target Toko'!$E:$E,0)),"")</f>
        <v>GRSM 4</v>
      </c>
      <c r="E1226" s="20" t="str">
        <f>IFERROR(VLOOKUP(I1226,KET!$B:$F,4,0),"")</f>
        <v>FAHMI LUKMANUL HAKIM</v>
      </c>
      <c r="F1226" s="20" t="str">
        <f>IFERROR(VLOOKUP(I1226,KET!$B:$F,5,0),"")</f>
        <v>GMM</v>
      </c>
      <c r="G1226" s="20">
        <f>IFERROR(INDEX('Kode Outlet dan Target Toko'!$C:$C,MATCH($I1226,'Kode Outlet dan Target Toko'!$E:$E,0)),0)</f>
        <v>103259</v>
      </c>
      <c r="H1226" s="20">
        <f>IFERROR(INDEX('Kode Outlet dan Target Toko'!$D:$D,MATCH($I1226,'Kode Outlet dan Target Toko'!$E:$E,0)),0)</f>
        <v>9029389</v>
      </c>
      <c r="I1226" s="42" t="s">
        <v>27</v>
      </c>
      <c r="J1226" s="56" t="s">
        <v>178</v>
      </c>
      <c r="K1226" s="40" t="s">
        <v>13</v>
      </c>
      <c r="L1226" s="56">
        <v>3000</v>
      </c>
      <c r="M1226" s="26">
        <v>42</v>
      </c>
      <c r="N1226" s="25">
        <f t="shared" si="39"/>
        <v>126000</v>
      </c>
      <c r="O1226" s="26"/>
    </row>
    <row r="1227" spans="1:15" hidden="1" x14ac:dyDescent="0.3">
      <c r="A1227" s="26">
        <v>28</v>
      </c>
      <c r="B1227" s="20" t="str">
        <f t="shared" si="38"/>
        <v>JUL</v>
      </c>
      <c r="C1227" s="21">
        <v>46215</v>
      </c>
      <c r="D1227" s="22" t="str">
        <f t="array" ref="D1227">IFERROR(INDEX('Kode Outlet dan Target Toko'!$A:$A,MATCH($I1227,'Kode Outlet dan Target Toko'!$E:$E,0)),"")</f>
        <v>GRSM 4</v>
      </c>
      <c r="E1227" s="20" t="str">
        <f>IFERROR(VLOOKUP(I1227,KET!$B:$F,4,0),"")</f>
        <v>FAHMI LUKMANUL HAKIM</v>
      </c>
      <c r="F1227" s="20" t="str">
        <f>IFERROR(VLOOKUP(I1227,KET!$B:$F,5,0),"")</f>
        <v>GMM</v>
      </c>
      <c r="G1227" s="20">
        <f>IFERROR(INDEX('Kode Outlet dan Target Toko'!$C:$C,MATCH($I1227,'Kode Outlet dan Target Toko'!$E:$E,0)),0)</f>
        <v>103259</v>
      </c>
      <c r="H1227" s="20">
        <f>IFERROR(INDEX('Kode Outlet dan Target Toko'!$D:$D,MATCH($I1227,'Kode Outlet dan Target Toko'!$E:$E,0)),0)</f>
        <v>9029389</v>
      </c>
      <c r="I1227" s="42" t="s">
        <v>27</v>
      </c>
      <c r="J1227" s="56" t="s">
        <v>178</v>
      </c>
      <c r="K1227" s="40" t="s">
        <v>16</v>
      </c>
      <c r="L1227" s="56">
        <v>3000</v>
      </c>
      <c r="M1227" s="26">
        <v>218</v>
      </c>
      <c r="N1227" s="25">
        <f t="shared" si="39"/>
        <v>654000</v>
      </c>
      <c r="O1227" s="26">
        <v>160</v>
      </c>
    </row>
    <row r="1228" spans="1:15" hidden="1" x14ac:dyDescent="0.3">
      <c r="A1228" s="26">
        <v>28</v>
      </c>
      <c r="B1228" s="20" t="str">
        <f t="shared" si="38"/>
        <v>JUL</v>
      </c>
      <c r="C1228" s="21">
        <v>46215</v>
      </c>
      <c r="D1228" s="22" t="str">
        <f t="array" ref="D1228">IFERROR(INDEX('Kode Outlet dan Target Toko'!$A:$A,MATCH($I1228,'Kode Outlet dan Target Toko'!$E:$E,0)),"")</f>
        <v>GRSM 4</v>
      </c>
      <c r="E1228" s="20" t="str">
        <f>IFERROR(VLOOKUP(I1228,KET!$B:$F,4,0),"")</f>
        <v>FAHMI LUKMANUL HAKIM</v>
      </c>
      <c r="F1228" s="20" t="str">
        <f>IFERROR(VLOOKUP(I1228,KET!$B:$F,5,0),"")</f>
        <v>NKA</v>
      </c>
      <c r="G1228" s="20">
        <f>IFERROR(INDEX('Kode Outlet dan Target Toko'!$C:$C,MATCH($I1228,'Kode Outlet dan Target Toko'!$E:$E,0)),0)</f>
        <v>490034</v>
      </c>
      <c r="H1228" s="20">
        <f>IFERROR(INDEX('Kode Outlet dan Target Toko'!$D:$D,MATCH($I1228,'Kode Outlet dan Target Toko'!$E:$E,0)),0)</f>
        <v>209554</v>
      </c>
      <c r="I1228" s="42" t="s">
        <v>26</v>
      </c>
      <c r="J1228" s="56" t="s">
        <v>177</v>
      </c>
      <c r="K1228" s="40" t="s">
        <v>15</v>
      </c>
      <c r="L1228" s="56">
        <v>3275</v>
      </c>
      <c r="M1228" s="26">
        <v>43</v>
      </c>
      <c r="N1228" s="25">
        <f t="shared" si="39"/>
        <v>140825</v>
      </c>
      <c r="O1228" s="26"/>
    </row>
    <row r="1229" spans="1:15" hidden="1" x14ac:dyDescent="0.3">
      <c r="A1229" s="26">
        <v>28</v>
      </c>
      <c r="B1229" s="20" t="str">
        <f t="shared" si="38"/>
        <v>JUL</v>
      </c>
      <c r="C1229" s="21">
        <v>46215</v>
      </c>
      <c r="D1229" s="22" t="str">
        <f t="array" ref="D1229">IFERROR(INDEX('Kode Outlet dan Target Toko'!$A:$A,MATCH($I1229,'Kode Outlet dan Target Toko'!$E:$E,0)),"")</f>
        <v>GRSM 4</v>
      </c>
      <c r="E1229" s="20" t="str">
        <f>IFERROR(VLOOKUP(I1229,KET!$B:$F,4,0),"")</f>
        <v>FAHMI LUKMANUL HAKIM</v>
      </c>
      <c r="F1229" s="20" t="str">
        <f>IFERROR(VLOOKUP(I1229,KET!$B:$F,5,0),"")</f>
        <v>NKA</v>
      </c>
      <c r="G1229" s="20">
        <f>IFERROR(INDEX('Kode Outlet dan Target Toko'!$C:$C,MATCH($I1229,'Kode Outlet dan Target Toko'!$E:$E,0)),0)</f>
        <v>490034</v>
      </c>
      <c r="H1229" s="20">
        <f>IFERROR(INDEX('Kode Outlet dan Target Toko'!$D:$D,MATCH($I1229,'Kode Outlet dan Target Toko'!$E:$E,0)),0)</f>
        <v>209554</v>
      </c>
      <c r="I1229" s="42" t="s">
        <v>26</v>
      </c>
      <c r="J1229" s="56" t="s">
        <v>177</v>
      </c>
      <c r="K1229" s="40" t="s">
        <v>14</v>
      </c>
      <c r="L1229" s="56">
        <v>3275</v>
      </c>
      <c r="M1229" s="26">
        <v>61</v>
      </c>
      <c r="N1229" s="25">
        <f t="shared" si="39"/>
        <v>199775</v>
      </c>
      <c r="O1229" s="26"/>
    </row>
    <row r="1230" spans="1:15" hidden="1" x14ac:dyDescent="0.3">
      <c r="A1230" s="26">
        <v>28</v>
      </c>
      <c r="B1230" s="20" t="str">
        <f t="shared" si="38"/>
        <v>JUL</v>
      </c>
      <c r="C1230" s="21">
        <v>46215</v>
      </c>
      <c r="D1230" s="22" t="str">
        <f t="array" ref="D1230">IFERROR(INDEX('Kode Outlet dan Target Toko'!$A:$A,MATCH($I1230,'Kode Outlet dan Target Toko'!$E:$E,0)),"")</f>
        <v>GRSM 4</v>
      </c>
      <c r="E1230" s="20" t="str">
        <f>IFERROR(VLOOKUP(I1230,KET!$B:$F,4,0),"")</f>
        <v>FAHMI LUKMANUL HAKIM</v>
      </c>
      <c r="F1230" s="20" t="str">
        <f>IFERROR(VLOOKUP(I1230,KET!$B:$F,5,0),"")</f>
        <v>NKA</v>
      </c>
      <c r="G1230" s="20">
        <f>IFERROR(INDEX('Kode Outlet dan Target Toko'!$C:$C,MATCH($I1230,'Kode Outlet dan Target Toko'!$E:$E,0)),0)</f>
        <v>490034</v>
      </c>
      <c r="H1230" s="20">
        <f>IFERROR(INDEX('Kode Outlet dan Target Toko'!$D:$D,MATCH($I1230,'Kode Outlet dan Target Toko'!$E:$E,0)),0)</f>
        <v>209554</v>
      </c>
      <c r="I1230" s="42" t="s">
        <v>26</v>
      </c>
      <c r="J1230" s="56" t="s">
        <v>177</v>
      </c>
      <c r="K1230" s="40" t="s">
        <v>13</v>
      </c>
      <c r="L1230" s="56">
        <v>3275</v>
      </c>
      <c r="M1230" s="26">
        <v>25</v>
      </c>
      <c r="N1230" s="25">
        <f t="shared" si="39"/>
        <v>81875</v>
      </c>
      <c r="O1230" s="26"/>
    </row>
    <row r="1231" spans="1:15" hidden="1" x14ac:dyDescent="0.3">
      <c r="A1231" s="26">
        <v>28</v>
      </c>
      <c r="B1231" s="20" t="str">
        <f t="shared" si="38"/>
        <v>JUL</v>
      </c>
      <c r="C1231" s="21">
        <v>46215</v>
      </c>
      <c r="D1231" s="22" t="str">
        <f t="array" ref="D1231">IFERROR(INDEX('Kode Outlet dan Target Toko'!$A:$A,MATCH($I1231,'Kode Outlet dan Target Toko'!$E:$E,0)),"")</f>
        <v>GRSM 4</v>
      </c>
      <c r="E1231" s="20" t="str">
        <f>IFERROR(VLOOKUP(I1231,KET!$B:$F,4,0),"")</f>
        <v>FAHMI LUKMANUL HAKIM</v>
      </c>
      <c r="F1231" s="20" t="str">
        <f>IFERROR(VLOOKUP(I1231,KET!$B:$F,5,0),"")</f>
        <v>NKA</v>
      </c>
      <c r="G1231" s="20">
        <f>IFERROR(INDEX('Kode Outlet dan Target Toko'!$C:$C,MATCH($I1231,'Kode Outlet dan Target Toko'!$E:$E,0)),0)</f>
        <v>490034</v>
      </c>
      <c r="H1231" s="20">
        <f>IFERROR(INDEX('Kode Outlet dan Target Toko'!$D:$D,MATCH($I1231,'Kode Outlet dan Target Toko'!$E:$E,0)),0)</f>
        <v>209554</v>
      </c>
      <c r="I1231" s="42" t="s">
        <v>26</v>
      </c>
      <c r="J1231" s="56" t="s">
        <v>177</v>
      </c>
      <c r="K1231" s="40" t="s">
        <v>16</v>
      </c>
      <c r="L1231" s="56">
        <v>3275</v>
      </c>
      <c r="M1231" s="26">
        <v>166</v>
      </c>
      <c r="N1231" s="25">
        <f t="shared" si="39"/>
        <v>543650</v>
      </c>
      <c r="O1231" s="26">
        <v>160</v>
      </c>
    </row>
    <row r="1232" spans="1:15" hidden="1" x14ac:dyDescent="0.3">
      <c r="A1232" s="26">
        <v>28</v>
      </c>
      <c r="B1232" s="20" t="str">
        <f t="shared" si="38"/>
        <v>JUL</v>
      </c>
      <c r="C1232" s="21">
        <v>46215</v>
      </c>
      <c r="D1232" s="22" t="str">
        <f t="array" ref="D1232">IFERROR(INDEX('Kode Outlet dan Target Toko'!$A:$A,MATCH($I1232,'Kode Outlet dan Target Toko'!$E:$E,0)),"")</f>
        <v>GRSM 4</v>
      </c>
      <c r="E1232" s="20" t="str">
        <f>IFERROR(VLOOKUP(I1232,KET!$B:$F,4,0),"")</f>
        <v>FAHMI LUKMANUL HAKIM</v>
      </c>
      <c r="F1232" s="20" t="str">
        <f>IFERROR(VLOOKUP(I1232,KET!$B:$F,5,0),"")</f>
        <v>NKA</v>
      </c>
      <c r="G1232" s="20">
        <f>IFERROR(INDEX('Kode Outlet dan Target Toko'!$C:$C,MATCH($I1232,'Kode Outlet dan Target Toko'!$E:$E,0)),0)</f>
        <v>490034</v>
      </c>
      <c r="H1232" s="20">
        <f>IFERROR(INDEX('Kode Outlet dan Target Toko'!$D:$D,MATCH($I1232,'Kode Outlet dan Target Toko'!$E:$E,0)),0)</f>
        <v>209554</v>
      </c>
      <c r="I1232" s="42" t="s">
        <v>26</v>
      </c>
      <c r="J1232" s="56" t="s">
        <v>176</v>
      </c>
      <c r="K1232" s="40" t="s">
        <v>15</v>
      </c>
      <c r="L1232" s="56">
        <v>3275</v>
      </c>
      <c r="M1232" s="26">
        <v>43</v>
      </c>
      <c r="N1232" s="25">
        <f t="shared" si="39"/>
        <v>140825</v>
      </c>
      <c r="O1232" s="26"/>
    </row>
    <row r="1233" spans="1:15" hidden="1" x14ac:dyDescent="0.3">
      <c r="A1233" s="26">
        <v>28</v>
      </c>
      <c r="B1233" s="20" t="str">
        <f t="shared" si="38"/>
        <v>JUL</v>
      </c>
      <c r="C1233" s="21">
        <v>46215</v>
      </c>
      <c r="D1233" s="22" t="str">
        <f t="array" ref="D1233">IFERROR(INDEX('Kode Outlet dan Target Toko'!$A:$A,MATCH($I1233,'Kode Outlet dan Target Toko'!$E:$E,0)),"")</f>
        <v>GRSM 4</v>
      </c>
      <c r="E1233" s="20" t="str">
        <f>IFERROR(VLOOKUP(I1233,KET!$B:$F,4,0),"")</f>
        <v>FAHMI LUKMANUL HAKIM</v>
      </c>
      <c r="F1233" s="20" t="str">
        <f>IFERROR(VLOOKUP(I1233,KET!$B:$F,5,0),"")</f>
        <v>NKA</v>
      </c>
      <c r="G1233" s="20">
        <f>IFERROR(INDEX('Kode Outlet dan Target Toko'!$C:$C,MATCH($I1233,'Kode Outlet dan Target Toko'!$E:$E,0)),0)</f>
        <v>490034</v>
      </c>
      <c r="H1233" s="20">
        <f>IFERROR(INDEX('Kode Outlet dan Target Toko'!$D:$D,MATCH($I1233,'Kode Outlet dan Target Toko'!$E:$E,0)),0)</f>
        <v>209554</v>
      </c>
      <c r="I1233" s="42" t="s">
        <v>26</v>
      </c>
      <c r="J1233" s="56" t="s">
        <v>176</v>
      </c>
      <c r="K1233" s="40" t="s">
        <v>14</v>
      </c>
      <c r="L1233" s="56">
        <v>3275</v>
      </c>
      <c r="M1233" s="26">
        <v>61</v>
      </c>
      <c r="N1233" s="25">
        <f t="shared" si="39"/>
        <v>199775</v>
      </c>
      <c r="O1233" s="26"/>
    </row>
    <row r="1234" spans="1:15" hidden="1" x14ac:dyDescent="0.3">
      <c r="A1234" s="26">
        <v>28</v>
      </c>
      <c r="B1234" s="20" t="str">
        <f t="shared" si="38"/>
        <v>JUL</v>
      </c>
      <c r="C1234" s="21">
        <v>46215</v>
      </c>
      <c r="D1234" s="22" t="str">
        <f t="array" ref="D1234">IFERROR(INDEX('Kode Outlet dan Target Toko'!$A:$A,MATCH($I1234,'Kode Outlet dan Target Toko'!$E:$E,0)),"")</f>
        <v>GRSM 4</v>
      </c>
      <c r="E1234" s="20" t="str">
        <f>IFERROR(VLOOKUP(I1234,KET!$B:$F,4,0),"")</f>
        <v>FAHMI LUKMANUL HAKIM</v>
      </c>
      <c r="F1234" s="20" t="str">
        <f>IFERROR(VLOOKUP(I1234,KET!$B:$F,5,0),"")</f>
        <v>NKA</v>
      </c>
      <c r="G1234" s="20">
        <f>IFERROR(INDEX('Kode Outlet dan Target Toko'!$C:$C,MATCH($I1234,'Kode Outlet dan Target Toko'!$E:$E,0)),0)</f>
        <v>490034</v>
      </c>
      <c r="H1234" s="20">
        <f>IFERROR(INDEX('Kode Outlet dan Target Toko'!$D:$D,MATCH($I1234,'Kode Outlet dan Target Toko'!$E:$E,0)),0)</f>
        <v>209554</v>
      </c>
      <c r="I1234" s="42" t="s">
        <v>26</v>
      </c>
      <c r="J1234" s="56" t="s">
        <v>176</v>
      </c>
      <c r="K1234" s="40" t="s">
        <v>13</v>
      </c>
      <c r="L1234" s="56">
        <v>3275</v>
      </c>
      <c r="M1234" s="26">
        <v>25</v>
      </c>
      <c r="N1234" s="25">
        <f t="shared" si="39"/>
        <v>81875</v>
      </c>
      <c r="O1234" s="26"/>
    </row>
    <row r="1235" spans="1:15" hidden="1" x14ac:dyDescent="0.3">
      <c r="A1235" s="26">
        <v>28</v>
      </c>
      <c r="B1235" s="20" t="str">
        <f t="shared" si="38"/>
        <v>JUL</v>
      </c>
      <c r="C1235" s="21">
        <v>46215</v>
      </c>
      <c r="D1235" s="22" t="str">
        <f t="array" ref="D1235">IFERROR(INDEX('Kode Outlet dan Target Toko'!$A:$A,MATCH($I1235,'Kode Outlet dan Target Toko'!$E:$E,0)),"")</f>
        <v>GRSM 4</v>
      </c>
      <c r="E1235" s="20" t="str">
        <f>IFERROR(VLOOKUP(I1235,KET!$B:$F,4,0),"")</f>
        <v>FAHMI LUKMANUL HAKIM</v>
      </c>
      <c r="F1235" s="20" t="str">
        <f>IFERROR(VLOOKUP(I1235,KET!$B:$F,5,0),"")</f>
        <v>NKA</v>
      </c>
      <c r="G1235" s="20">
        <f>IFERROR(INDEX('Kode Outlet dan Target Toko'!$C:$C,MATCH($I1235,'Kode Outlet dan Target Toko'!$E:$E,0)),0)</f>
        <v>490034</v>
      </c>
      <c r="H1235" s="20">
        <f>IFERROR(INDEX('Kode Outlet dan Target Toko'!$D:$D,MATCH($I1235,'Kode Outlet dan Target Toko'!$E:$E,0)),0)</f>
        <v>209554</v>
      </c>
      <c r="I1235" s="42" t="s">
        <v>26</v>
      </c>
      <c r="J1235" s="56" t="s">
        <v>176</v>
      </c>
      <c r="K1235" s="40" t="s">
        <v>16</v>
      </c>
      <c r="L1235" s="56">
        <v>3275</v>
      </c>
      <c r="M1235" s="26">
        <v>166</v>
      </c>
      <c r="N1235" s="25">
        <f t="shared" si="39"/>
        <v>543650</v>
      </c>
      <c r="O1235" s="26">
        <v>160</v>
      </c>
    </row>
    <row r="1236" spans="1:15" hidden="1" x14ac:dyDescent="0.3">
      <c r="A1236" s="26">
        <v>28</v>
      </c>
      <c r="B1236" s="20" t="str">
        <f t="shared" si="38"/>
        <v>JUL</v>
      </c>
      <c r="C1236" s="21">
        <v>46215</v>
      </c>
      <c r="D1236" s="22" t="str">
        <f t="array" ref="D1236">IFERROR(INDEX('Kode Outlet dan Target Toko'!$A:$A,MATCH($I1236,'Kode Outlet dan Target Toko'!$E:$E,0)),"")</f>
        <v>GRSM 4</v>
      </c>
      <c r="E1236" s="20" t="str">
        <f>IFERROR(VLOOKUP(I1236,KET!$B:$F,4,0),"")</f>
        <v>FAHMI LUKMANUL HAKIM</v>
      </c>
      <c r="F1236" s="20" t="str">
        <f>IFERROR(VLOOKUP(I1236,KET!$B:$F,5,0),"")</f>
        <v>GMM</v>
      </c>
      <c r="G1236" s="20">
        <f>IFERROR(INDEX('Kode Outlet dan Target Toko'!$C:$C,MATCH($I1236,'Kode Outlet dan Target Toko'!$E:$E,0)),0)</f>
        <v>189901</v>
      </c>
      <c r="H1236" s="20">
        <f>IFERROR(INDEX('Kode Outlet dan Target Toko'!$D:$D,MATCH($I1236,'Kode Outlet dan Target Toko'!$E:$E,0)),0)</f>
        <v>1602018</v>
      </c>
      <c r="I1236" s="50" t="s">
        <v>34</v>
      </c>
      <c r="J1236" s="56" t="s">
        <v>186</v>
      </c>
      <c r="K1236" s="40" t="s">
        <v>15</v>
      </c>
      <c r="L1236" s="26">
        <v>3500</v>
      </c>
      <c r="M1236" s="26">
        <v>15</v>
      </c>
      <c r="N1236" s="25">
        <f t="shared" si="39"/>
        <v>52500</v>
      </c>
      <c r="O1236" s="26"/>
    </row>
    <row r="1237" spans="1:15" hidden="1" x14ac:dyDescent="0.3">
      <c r="A1237" s="26">
        <v>28</v>
      </c>
      <c r="B1237" s="20" t="str">
        <f t="shared" si="38"/>
        <v>JUL</v>
      </c>
      <c r="C1237" s="21">
        <v>46215</v>
      </c>
      <c r="D1237" s="22" t="str">
        <f t="array" ref="D1237">IFERROR(INDEX('Kode Outlet dan Target Toko'!$A:$A,MATCH($I1237,'Kode Outlet dan Target Toko'!$E:$E,0)),"")</f>
        <v>GRSM 4</v>
      </c>
      <c r="E1237" s="20" t="str">
        <f>IFERROR(VLOOKUP(I1237,KET!$B:$F,4,0),"")</f>
        <v>FAHMI LUKMANUL HAKIM</v>
      </c>
      <c r="F1237" s="20" t="str">
        <f>IFERROR(VLOOKUP(I1237,KET!$B:$F,5,0),"")</f>
        <v>GMM</v>
      </c>
      <c r="G1237" s="20">
        <f>IFERROR(INDEX('Kode Outlet dan Target Toko'!$C:$C,MATCH($I1237,'Kode Outlet dan Target Toko'!$E:$E,0)),0)</f>
        <v>189901</v>
      </c>
      <c r="H1237" s="20">
        <f>IFERROR(INDEX('Kode Outlet dan Target Toko'!$D:$D,MATCH($I1237,'Kode Outlet dan Target Toko'!$E:$E,0)),0)</f>
        <v>1602018</v>
      </c>
      <c r="I1237" s="50" t="s">
        <v>34</v>
      </c>
      <c r="J1237" s="56" t="s">
        <v>186</v>
      </c>
      <c r="K1237" s="40" t="s">
        <v>14</v>
      </c>
      <c r="L1237" s="26">
        <v>3500</v>
      </c>
      <c r="M1237" s="26">
        <v>20</v>
      </c>
      <c r="N1237" s="25">
        <f t="shared" si="39"/>
        <v>70000</v>
      </c>
      <c r="O1237" s="26"/>
    </row>
    <row r="1238" spans="1:15" hidden="1" x14ac:dyDescent="0.3">
      <c r="A1238" s="26">
        <v>28</v>
      </c>
      <c r="B1238" s="20" t="str">
        <f t="shared" si="38"/>
        <v>JUL</v>
      </c>
      <c r="C1238" s="21">
        <v>46215</v>
      </c>
      <c r="D1238" s="22" t="str">
        <f t="array" ref="D1238">IFERROR(INDEX('Kode Outlet dan Target Toko'!$A:$A,MATCH($I1238,'Kode Outlet dan Target Toko'!$E:$E,0)),"")</f>
        <v>GRSM 4</v>
      </c>
      <c r="E1238" s="20" t="str">
        <f>IFERROR(VLOOKUP(I1238,KET!$B:$F,4,0),"")</f>
        <v>FAHMI LUKMANUL HAKIM</v>
      </c>
      <c r="F1238" s="20" t="str">
        <f>IFERROR(VLOOKUP(I1238,KET!$B:$F,5,0),"")</f>
        <v>GMM</v>
      </c>
      <c r="G1238" s="20">
        <f>IFERROR(INDEX('Kode Outlet dan Target Toko'!$C:$C,MATCH($I1238,'Kode Outlet dan Target Toko'!$E:$E,0)),0)</f>
        <v>189901</v>
      </c>
      <c r="H1238" s="20">
        <f>IFERROR(INDEX('Kode Outlet dan Target Toko'!$D:$D,MATCH($I1238,'Kode Outlet dan Target Toko'!$E:$E,0)),0)</f>
        <v>1602018</v>
      </c>
      <c r="I1238" s="50" t="s">
        <v>34</v>
      </c>
      <c r="J1238" s="56" t="s">
        <v>186</v>
      </c>
      <c r="K1238" s="40" t="s">
        <v>13</v>
      </c>
      <c r="L1238" s="26">
        <v>3500</v>
      </c>
      <c r="M1238" s="26">
        <v>5</v>
      </c>
      <c r="N1238" s="25">
        <f t="shared" si="39"/>
        <v>17500</v>
      </c>
      <c r="O1238" s="26"/>
    </row>
    <row r="1239" spans="1:15" hidden="1" x14ac:dyDescent="0.3">
      <c r="A1239" s="26">
        <v>28</v>
      </c>
      <c r="B1239" s="20" t="str">
        <f t="shared" si="38"/>
        <v>JUL</v>
      </c>
      <c r="C1239" s="21">
        <v>46213</v>
      </c>
      <c r="D1239" s="22" t="str">
        <f t="array" ref="D1239">IFERROR(INDEX('Kode Outlet dan Target Toko'!$A:$A,MATCH($I1239,'Kode Outlet dan Target Toko'!$E:$E,0)),"")</f>
        <v>GRSM 4</v>
      </c>
      <c r="E1239" s="20" t="str">
        <f>IFERROR(VLOOKUP(I1239,KET!$B:$F,4,0),"")</f>
        <v>FAHMI LUKMANUL HAKIM</v>
      </c>
      <c r="F1239" s="20" t="str">
        <f>IFERROR(VLOOKUP(I1239,KET!$B:$F,5,0),"")</f>
        <v>GMM</v>
      </c>
      <c r="G1239" s="20">
        <f>IFERROR(INDEX('Kode Outlet dan Target Toko'!$C:$C,MATCH($I1239,'Kode Outlet dan Target Toko'!$E:$E,0)),0)</f>
        <v>189901</v>
      </c>
      <c r="H1239" s="20">
        <f>IFERROR(INDEX('Kode Outlet dan Target Toko'!$D:$D,MATCH($I1239,'Kode Outlet dan Target Toko'!$E:$E,0)),0)</f>
        <v>1602018</v>
      </c>
      <c r="I1239" s="50" t="s">
        <v>34</v>
      </c>
      <c r="J1239" s="56" t="s">
        <v>186</v>
      </c>
      <c r="K1239" s="40" t="s">
        <v>16</v>
      </c>
      <c r="L1239" s="26">
        <v>3500</v>
      </c>
      <c r="M1239" s="26">
        <v>70</v>
      </c>
      <c r="N1239" s="25">
        <f t="shared" si="39"/>
        <v>245000</v>
      </c>
      <c r="O1239" s="26"/>
    </row>
    <row r="1240" spans="1:15" hidden="1" x14ac:dyDescent="0.3">
      <c r="A1240" s="26">
        <v>28</v>
      </c>
      <c r="B1240" s="20" t="str">
        <f t="shared" si="38"/>
        <v>JUL</v>
      </c>
      <c r="C1240" s="21">
        <v>46213</v>
      </c>
      <c r="D1240" s="22" t="str">
        <f t="array" ref="D1240">IFERROR(INDEX('Kode Outlet dan Target Toko'!$A:$A,MATCH($I1240,'Kode Outlet dan Target Toko'!$E:$E,0)),"")</f>
        <v>GRSM 5</v>
      </c>
      <c r="E1240" s="20" t="str">
        <f>IFERROR(VLOOKUP(I1240,KET!$B:$F,4,0),"")</f>
        <v>SUPRIYATI</v>
      </c>
      <c r="F1240" s="20" t="str">
        <f>IFERROR(VLOOKUP(I1240,KET!$B:$F,5,0),"")</f>
        <v>GMM</v>
      </c>
      <c r="G1240" s="20">
        <f>IFERROR(INDEX('Kode Outlet dan Target Toko'!$C:$C,MATCH($I1240,'Kode Outlet dan Target Toko'!$E:$E,0)),0)</f>
        <v>170220</v>
      </c>
      <c r="H1240" s="20">
        <f>IFERROR(INDEX('Kode Outlet dan Target Toko'!$D:$D,MATCH($I1240,'Kode Outlet dan Target Toko'!$E:$E,0)),0)</f>
        <v>9000015</v>
      </c>
      <c r="I1240" s="42" t="s">
        <v>33</v>
      </c>
      <c r="J1240" s="56" t="s">
        <v>260</v>
      </c>
      <c r="K1240" s="40" t="s">
        <v>15</v>
      </c>
      <c r="L1240" s="56">
        <v>2200</v>
      </c>
      <c r="M1240" s="26">
        <v>119</v>
      </c>
      <c r="N1240" s="25">
        <f t="shared" si="39"/>
        <v>261800</v>
      </c>
      <c r="O1240" s="26"/>
    </row>
    <row r="1241" spans="1:15" hidden="1" x14ac:dyDescent="0.3">
      <c r="A1241" s="26">
        <v>28</v>
      </c>
      <c r="B1241" s="20" t="str">
        <f t="shared" si="38"/>
        <v>JUL</v>
      </c>
      <c r="C1241" s="21">
        <v>46213</v>
      </c>
      <c r="D1241" s="22" t="str">
        <f t="array" ref="D1241">IFERROR(INDEX('Kode Outlet dan Target Toko'!$A:$A,MATCH($I1241,'Kode Outlet dan Target Toko'!$E:$E,0)),"")</f>
        <v>GRSM 5</v>
      </c>
      <c r="E1241" s="20" t="str">
        <f>IFERROR(VLOOKUP(I1241,KET!$B:$F,4,0),"")</f>
        <v>SUPRIYATI</v>
      </c>
      <c r="F1241" s="20" t="str">
        <f>IFERROR(VLOOKUP(I1241,KET!$B:$F,5,0),"")</f>
        <v>GMM</v>
      </c>
      <c r="G1241" s="20">
        <f>IFERROR(INDEX('Kode Outlet dan Target Toko'!$C:$C,MATCH($I1241,'Kode Outlet dan Target Toko'!$E:$E,0)),0)</f>
        <v>170220</v>
      </c>
      <c r="H1241" s="20">
        <f>IFERROR(INDEX('Kode Outlet dan Target Toko'!$D:$D,MATCH($I1241,'Kode Outlet dan Target Toko'!$E:$E,0)),0)</f>
        <v>9000015</v>
      </c>
      <c r="I1241" s="42" t="s">
        <v>33</v>
      </c>
      <c r="J1241" s="56" t="s">
        <v>260</v>
      </c>
      <c r="K1241" s="40" t="s">
        <v>14</v>
      </c>
      <c r="L1241" s="56">
        <v>2200</v>
      </c>
      <c r="M1241" s="26">
        <v>91</v>
      </c>
      <c r="N1241" s="25">
        <f t="shared" si="39"/>
        <v>200200</v>
      </c>
      <c r="O1241" s="26"/>
    </row>
    <row r="1242" spans="1:15" hidden="1" x14ac:dyDescent="0.3">
      <c r="A1242" s="26">
        <v>28</v>
      </c>
      <c r="B1242" s="20" t="str">
        <f t="shared" si="38"/>
        <v>JUL</v>
      </c>
      <c r="C1242" s="21">
        <v>46213</v>
      </c>
      <c r="D1242" s="22" t="str">
        <f t="array" ref="D1242">IFERROR(INDEX('Kode Outlet dan Target Toko'!$A:$A,MATCH($I1242,'Kode Outlet dan Target Toko'!$E:$E,0)),"")</f>
        <v>GRSM 5</v>
      </c>
      <c r="E1242" s="20" t="str">
        <f>IFERROR(VLOOKUP(I1242,KET!$B:$F,4,0),"")</f>
        <v>SUPRIYATI</v>
      </c>
      <c r="F1242" s="20" t="str">
        <f>IFERROR(VLOOKUP(I1242,KET!$B:$F,5,0),"")</f>
        <v>GMM</v>
      </c>
      <c r="G1242" s="20">
        <f>IFERROR(INDEX('Kode Outlet dan Target Toko'!$C:$C,MATCH($I1242,'Kode Outlet dan Target Toko'!$E:$E,0)),0)</f>
        <v>170220</v>
      </c>
      <c r="H1242" s="20">
        <f>IFERROR(INDEX('Kode Outlet dan Target Toko'!$D:$D,MATCH($I1242,'Kode Outlet dan Target Toko'!$E:$E,0)),0)</f>
        <v>9000015</v>
      </c>
      <c r="I1242" s="42" t="s">
        <v>33</v>
      </c>
      <c r="J1242" s="56" t="s">
        <v>260</v>
      </c>
      <c r="K1242" s="40" t="s">
        <v>13</v>
      </c>
      <c r="L1242" s="56">
        <v>2200</v>
      </c>
      <c r="M1242" s="26">
        <v>39</v>
      </c>
      <c r="N1242" s="25">
        <f t="shared" si="39"/>
        <v>85800</v>
      </c>
      <c r="O1242" s="26"/>
    </row>
    <row r="1243" spans="1:15" hidden="1" x14ac:dyDescent="0.3">
      <c r="A1243" s="26">
        <v>28</v>
      </c>
      <c r="B1243" s="20" t="str">
        <f t="shared" si="38"/>
        <v>JUL</v>
      </c>
      <c r="C1243" s="21">
        <v>46213</v>
      </c>
      <c r="D1243" s="22" t="str">
        <f t="array" ref="D1243">IFERROR(INDEX('Kode Outlet dan Target Toko'!$A:$A,MATCH($I1243,'Kode Outlet dan Target Toko'!$E:$E,0)),"")</f>
        <v>GRSM 5</v>
      </c>
      <c r="E1243" s="20" t="str">
        <f>IFERROR(VLOOKUP(I1243,KET!$B:$F,4,0),"")</f>
        <v>SUPRIYATI</v>
      </c>
      <c r="F1243" s="20" t="str">
        <f>IFERROR(VLOOKUP(I1243,KET!$B:$F,5,0),"")</f>
        <v>GMM</v>
      </c>
      <c r="G1243" s="20">
        <f>IFERROR(INDEX('Kode Outlet dan Target Toko'!$C:$C,MATCH($I1243,'Kode Outlet dan Target Toko'!$E:$E,0)),0)</f>
        <v>170220</v>
      </c>
      <c r="H1243" s="20">
        <f>IFERROR(INDEX('Kode Outlet dan Target Toko'!$D:$D,MATCH($I1243,'Kode Outlet dan Target Toko'!$E:$E,0)),0)</f>
        <v>9000015</v>
      </c>
      <c r="I1243" s="42" t="s">
        <v>33</v>
      </c>
      <c r="J1243" s="56" t="s">
        <v>260</v>
      </c>
      <c r="K1243" s="40" t="s">
        <v>16</v>
      </c>
      <c r="L1243" s="56">
        <v>2200</v>
      </c>
      <c r="M1243" s="26">
        <v>395</v>
      </c>
      <c r="N1243" s="25">
        <f t="shared" si="39"/>
        <v>869000</v>
      </c>
      <c r="O1243" s="26">
        <v>120</v>
      </c>
    </row>
    <row r="1244" spans="1:15" hidden="1" x14ac:dyDescent="0.3">
      <c r="A1244" s="26">
        <v>28</v>
      </c>
      <c r="B1244" s="20" t="str">
        <f t="shared" si="38"/>
        <v>JUL</v>
      </c>
      <c r="C1244" s="21">
        <v>46213</v>
      </c>
      <c r="D1244" s="22" t="str">
        <f t="array" ref="D1244">IFERROR(INDEX('Kode Outlet dan Target Toko'!$A:$A,MATCH($I1244,'Kode Outlet dan Target Toko'!$E:$E,0)),"")</f>
        <v>GRSM 5</v>
      </c>
      <c r="E1244" s="20" t="str">
        <f>IFERROR(VLOOKUP(I1244,KET!$B:$F,4,0),"")</f>
        <v>SUPRIYATI</v>
      </c>
      <c r="F1244" s="20" t="str">
        <f>IFERROR(VLOOKUP(I1244,KET!$B:$F,5,0),"")</f>
        <v>GMM</v>
      </c>
      <c r="G1244" s="20">
        <f>IFERROR(INDEX('Kode Outlet dan Target Toko'!$C:$C,MATCH($I1244,'Kode Outlet dan Target Toko'!$E:$E,0)),0)</f>
        <v>170220</v>
      </c>
      <c r="H1244" s="20">
        <f>IFERROR(INDEX('Kode Outlet dan Target Toko'!$D:$D,MATCH($I1244,'Kode Outlet dan Target Toko'!$E:$E,0)),0)</f>
        <v>9000015</v>
      </c>
      <c r="I1244" s="50" t="s">
        <v>33</v>
      </c>
      <c r="J1244" s="56" t="s">
        <v>261</v>
      </c>
      <c r="K1244" s="40" t="s">
        <v>15</v>
      </c>
      <c r="L1244" s="56">
        <v>2200</v>
      </c>
      <c r="M1244" s="26">
        <v>119</v>
      </c>
      <c r="N1244" s="25">
        <f t="shared" si="39"/>
        <v>261800</v>
      </c>
      <c r="O1244" s="26"/>
    </row>
    <row r="1245" spans="1:15" hidden="1" x14ac:dyDescent="0.3">
      <c r="A1245" s="26">
        <v>28</v>
      </c>
      <c r="B1245" s="20" t="str">
        <f t="shared" si="38"/>
        <v>JUL</v>
      </c>
      <c r="C1245" s="21">
        <v>46213</v>
      </c>
      <c r="D1245" s="22" t="str">
        <f t="array" ref="D1245">IFERROR(INDEX('Kode Outlet dan Target Toko'!$A:$A,MATCH($I1245,'Kode Outlet dan Target Toko'!$E:$E,0)),"")</f>
        <v>GRSM 5</v>
      </c>
      <c r="E1245" s="20" t="str">
        <f>IFERROR(VLOOKUP(I1245,KET!$B:$F,4,0),"")</f>
        <v>SUPRIYATI</v>
      </c>
      <c r="F1245" s="20" t="str">
        <f>IFERROR(VLOOKUP(I1245,KET!$B:$F,5,0),"")</f>
        <v>GMM</v>
      </c>
      <c r="G1245" s="20">
        <f>IFERROR(INDEX('Kode Outlet dan Target Toko'!$C:$C,MATCH($I1245,'Kode Outlet dan Target Toko'!$E:$E,0)),0)</f>
        <v>170220</v>
      </c>
      <c r="H1245" s="20">
        <f>IFERROR(INDEX('Kode Outlet dan Target Toko'!$D:$D,MATCH($I1245,'Kode Outlet dan Target Toko'!$E:$E,0)),0)</f>
        <v>9000015</v>
      </c>
      <c r="I1245" s="50" t="s">
        <v>33</v>
      </c>
      <c r="J1245" s="56" t="s">
        <v>261</v>
      </c>
      <c r="K1245" s="40" t="s">
        <v>14</v>
      </c>
      <c r="L1245" s="56">
        <v>2200</v>
      </c>
      <c r="M1245" s="26">
        <v>91</v>
      </c>
      <c r="N1245" s="25">
        <f t="shared" si="39"/>
        <v>200200</v>
      </c>
      <c r="O1245" s="26"/>
    </row>
    <row r="1246" spans="1:15" hidden="1" x14ac:dyDescent="0.3">
      <c r="A1246" s="26">
        <v>28</v>
      </c>
      <c r="B1246" s="20" t="str">
        <f t="shared" si="38"/>
        <v>JUL</v>
      </c>
      <c r="C1246" s="21">
        <v>46213</v>
      </c>
      <c r="D1246" s="22" t="str">
        <f t="array" ref="D1246">IFERROR(INDEX('Kode Outlet dan Target Toko'!$A:$A,MATCH($I1246,'Kode Outlet dan Target Toko'!$E:$E,0)),"")</f>
        <v>GRSM 5</v>
      </c>
      <c r="E1246" s="20" t="str">
        <f>IFERROR(VLOOKUP(I1246,KET!$B:$F,4,0),"")</f>
        <v>SUPRIYATI</v>
      </c>
      <c r="F1246" s="20" t="str">
        <f>IFERROR(VLOOKUP(I1246,KET!$B:$F,5,0),"")</f>
        <v>GMM</v>
      </c>
      <c r="G1246" s="20">
        <f>IFERROR(INDEX('Kode Outlet dan Target Toko'!$C:$C,MATCH($I1246,'Kode Outlet dan Target Toko'!$E:$E,0)),0)</f>
        <v>170220</v>
      </c>
      <c r="H1246" s="20">
        <f>IFERROR(INDEX('Kode Outlet dan Target Toko'!$D:$D,MATCH($I1246,'Kode Outlet dan Target Toko'!$E:$E,0)),0)</f>
        <v>9000015</v>
      </c>
      <c r="I1246" s="50" t="s">
        <v>33</v>
      </c>
      <c r="J1246" s="56" t="s">
        <v>261</v>
      </c>
      <c r="K1246" s="40" t="s">
        <v>13</v>
      </c>
      <c r="L1246" s="56">
        <v>2200</v>
      </c>
      <c r="M1246" s="26">
        <v>39</v>
      </c>
      <c r="N1246" s="25">
        <f t="shared" si="39"/>
        <v>85800</v>
      </c>
      <c r="O1246" s="26"/>
    </row>
    <row r="1247" spans="1:15" hidden="1" x14ac:dyDescent="0.3">
      <c r="A1247" s="26">
        <v>28</v>
      </c>
      <c r="B1247" s="20" t="str">
        <f t="shared" si="38"/>
        <v>JUL</v>
      </c>
      <c r="C1247" s="21">
        <v>46213</v>
      </c>
      <c r="D1247" s="22" t="str">
        <f t="array" ref="D1247">IFERROR(INDEX('Kode Outlet dan Target Toko'!$A:$A,MATCH($I1247,'Kode Outlet dan Target Toko'!$E:$E,0)),"")</f>
        <v>GRSM 5</v>
      </c>
      <c r="E1247" s="20" t="str">
        <f>IFERROR(VLOOKUP(I1247,KET!$B:$F,4,0),"")</f>
        <v>SUPRIYATI</v>
      </c>
      <c r="F1247" s="20" t="str">
        <f>IFERROR(VLOOKUP(I1247,KET!$B:$F,5,0),"")</f>
        <v>GMM</v>
      </c>
      <c r="G1247" s="20">
        <f>IFERROR(INDEX('Kode Outlet dan Target Toko'!$C:$C,MATCH($I1247,'Kode Outlet dan Target Toko'!$E:$E,0)),0)</f>
        <v>170220</v>
      </c>
      <c r="H1247" s="20">
        <f>IFERROR(INDEX('Kode Outlet dan Target Toko'!$D:$D,MATCH($I1247,'Kode Outlet dan Target Toko'!$E:$E,0)),0)</f>
        <v>9000015</v>
      </c>
      <c r="I1247" s="50" t="s">
        <v>33</v>
      </c>
      <c r="J1247" s="56" t="s">
        <v>261</v>
      </c>
      <c r="K1247" s="40" t="s">
        <v>16</v>
      </c>
      <c r="L1247" s="56">
        <v>2200</v>
      </c>
      <c r="M1247" s="26">
        <v>395</v>
      </c>
      <c r="N1247" s="25">
        <f t="shared" si="39"/>
        <v>869000</v>
      </c>
      <c r="O1247" s="26">
        <v>120</v>
      </c>
    </row>
    <row r="1248" spans="1:15" hidden="1" x14ac:dyDescent="0.3">
      <c r="A1248" s="26">
        <v>28</v>
      </c>
      <c r="B1248" s="20" t="str">
        <f t="shared" si="38"/>
        <v>JUL</v>
      </c>
      <c r="C1248" s="21">
        <v>46213</v>
      </c>
      <c r="D1248" s="22" t="str">
        <f t="array" ref="D1248">IFERROR(INDEX('Kode Outlet dan Target Toko'!$A:$A,MATCH($I1248,'Kode Outlet dan Target Toko'!$E:$E,0)),"")</f>
        <v>GRSM 5</v>
      </c>
      <c r="E1248" s="20" t="str">
        <f>IFERROR(VLOOKUP(I1248,KET!$B:$F,4,0),"")</f>
        <v>SUPRIYATI</v>
      </c>
      <c r="F1248" s="20" t="str">
        <f>IFERROR(VLOOKUP(I1248,KET!$B:$F,5,0),"")</f>
        <v>GMM</v>
      </c>
      <c r="G1248" s="20">
        <f>IFERROR(INDEX('Kode Outlet dan Target Toko'!$C:$C,MATCH($I1248,'Kode Outlet dan Target Toko'!$E:$E,0)),0)</f>
        <v>170220</v>
      </c>
      <c r="H1248" s="20">
        <f>IFERROR(INDEX('Kode Outlet dan Target Toko'!$D:$D,MATCH($I1248,'Kode Outlet dan Target Toko'!$E:$E,0)),0)</f>
        <v>1901004</v>
      </c>
      <c r="I1248" s="42" t="s">
        <v>36</v>
      </c>
      <c r="J1248" s="56" t="s">
        <v>263</v>
      </c>
      <c r="K1248" s="40" t="s">
        <v>15</v>
      </c>
      <c r="L1248" s="56">
        <v>2200</v>
      </c>
      <c r="M1248" s="26">
        <v>47</v>
      </c>
      <c r="N1248" s="25">
        <f t="shared" si="39"/>
        <v>103400</v>
      </c>
      <c r="O1248" s="26"/>
    </row>
    <row r="1249" spans="1:15" hidden="1" x14ac:dyDescent="0.3">
      <c r="A1249" s="26">
        <v>28</v>
      </c>
      <c r="B1249" s="20" t="str">
        <f t="shared" si="38"/>
        <v>JUL</v>
      </c>
      <c r="C1249" s="21">
        <v>46213</v>
      </c>
      <c r="D1249" s="22" t="str">
        <f t="array" ref="D1249">IFERROR(INDEX('Kode Outlet dan Target Toko'!$A:$A,MATCH($I1249,'Kode Outlet dan Target Toko'!$E:$E,0)),"")</f>
        <v>GRSM 5</v>
      </c>
      <c r="E1249" s="20" t="str">
        <f>IFERROR(VLOOKUP(I1249,KET!$B:$F,4,0),"")</f>
        <v>SUPRIYATI</v>
      </c>
      <c r="F1249" s="20" t="str">
        <f>IFERROR(VLOOKUP(I1249,KET!$B:$F,5,0),"")</f>
        <v>GMM</v>
      </c>
      <c r="G1249" s="20">
        <f>IFERROR(INDEX('Kode Outlet dan Target Toko'!$C:$C,MATCH($I1249,'Kode Outlet dan Target Toko'!$E:$E,0)),0)</f>
        <v>170220</v>
      </c>
      <c r="H1249" s="20">
        <f>IFERROR(INDEX('Kode Outlet dan Target Toko'!$D:$D,MATCH($I1249,'Kode Outlet dan Target Toko'!$E:$E,0)),0)</f>
        <v>1901004</v>
      </c>
      <c r="I1249" s="42" t="s">
        <v>36</v>
      </c>
      <c r="J1249" s="56" t="s">
        <v>263</v>
      </c>
      <c r="K1249" s="40" t="s">
        <v>14</v>
      </c>
      <c r="L1249" s="56">
        <v>2200</v>
      </c>
      <c r="M1249" s="26">
        <v>83</v>
      </c>
      <c r="N1249" s="25">
        <f t="shared" si="39"/>
        <v>182600</v>
      </c>
      <c r="O1249" s="26"/>
    </row>
    <row r="1250" spans="1:15" hidden="1" x14ac:dyDescent="0.3">
      <c r="A1250" s="26">
        <v>28</v>
      </c>
      <c r="B1250" s="20" t="str">
        <f t="shared" si="38"/>
        <v>JUL</v>
      </c>
      <c r="C1250" s="21">
        <v>46213</v>
      </c>
      <c r="D1250" s="22" t="str">
        <f t="array" ref="D1250">IFERROR(INDEX('Kode Outlet dan Target Toko'!$A:$A,MATCH($I1250,'Kode Outlet dan Target Toko'!$E:$E,0)),"")</f>
        <v>GRSM 5</v>
      </c>
      <c r="E1250" s="20" t="str">
        <f>IFERROR(VLOOKUP(I1250,KET!$B:$F,4,0),"")</f>
        <v>SUPRIYATI</v>
      </c>
      <c r="F1250" s="20" t="str">
        <f>IFERROR(VLOOKUP(I1250,KET!$B:$F,5,0),"")</f>
        <v>GMM</v>
      </c>
      <c r="G1250" s="20">
        <f>IFERROR(INDEX('Kode Outlet dan Target Toko'!$C:$C,MATCH($I1250,'Kode Outlet dan Target Toko'!$E:$E,0)),0)</f>
        <v>170220</v>
      </c>
      <c r="H1250" s="20">
        <f>IFERROR(INDEX('Kode Outlet dan Target Toko'!$D:$D,MATCH($I1250,'Kode Outlet dan Target Toko'!$E:$E,0)),0)</f>
        <v>1901004</v>
      </c>
      <c r="I1250" s="42" t="s">
        <v>36</v>
      </c>
      <c r="J1250" s="56" t="s">
        <v>263</v>
      </c>
      <c r="K1250" s="40" t="s">
        <v>13</v>
      </c>
      <c r="L1250" s="56">
        <v>2200</v>
      </c>
      <c r="M1250" s="26">
        <v>44</v>
      </c>
      <c r="N1250" s="25">
        <f t="shared" si="39"/>
        <v>96800</v>
      </c>
      <c r="O1250" s="26"/>
    </row>
    <row r="1251" spans="1:15" hidden="1" x14ac:dyDescent="0.3">
      <c r="A1251" s="26">
        <v>28</v>
      </c>
      <c r="B1251" s="20" t="str">
        <f t="shared" si="38"/>
        <v>JUL</v>
      </c>
      <c r="C1251" s="21">
        <v>46213</v>
      </c>
      <c r="D1251" s="22" t="str">
        <f t="array" ref="D1251">IFERROR(INDEX('Kode Outlet dan Target Toko'!$A:$A,MATCH($I1251,'Kode Outlet dan Target Toko'!$E:$E,0)),"")</f>
        <v>GRSM 5</v>
      </c>
      <c r="E1251" s="20" t="str">
        <f>IFERROR(VLOOKUP(I1251,KET!$B:$F,4,0),"")</f>
        <v>SUPRIYATI</v>
      </c>
      <c r="F1251" s="20" t="str">
        <f>IFERROR(VLOOKUP(I1251,KET!$B:$F,5,0),"")</f>
        <v>GMM</v>
      </c>
      <c r="G1251" s="20">
        <f>IFERROR(INDEX('Kode Outlet dan Target Toko'!$C:$C,MATCH($I1251,'Kode Outlet dan Target Toko'!$E:$E,0)),0)</f>
        <v>170220</v>
      </c>
      <c r="H1251" s="20">
        <f>IFERROR(INDEX('Kode Outlet dan Target Toko'!$D:$D,MATCH($I1251,'Kode Outlet dan Target Toko'!$E:$E,0)),0)</f>
        <v>1901004</v>
      </c>
      <c r="I1251" s="42" t="s">
        <v>36</v>
      </c>
      <c r="J1251" s="56" t="s">
        <v>263</v>
      </c>
      <c r="K1251" s="40" t="s">
        <v>16</v>
      </c>
      <c r="L1251" s="56">
        <v>2200</v>
      </c>
      <c r="M1251" s="26">
        <v>97</v>
      </c>
      <c r="N1251" s="25">
        <f t="shared" si="39"/>
        <v>213400</v>
      </c>
      <c r="O1251" s="26">
        <v>104</v>
      </c>
    </row>
    <row r="1252" spans="1:15" hidden="1" x14ac:dyDescent="0.3">
      <c r="A1252" s="26">
        <v>28</v>
      </c>
      <c r="B1252" s="20" t="str">
        <f t="shared" si="38"/>
        <v>JUL</v>
      </c>
      <c r="C1252" s="21">
        <v>46213</v>
      </c>
      <c r="D1252" s="22" t="str">
        <f t="array" ref="D1252">IFERROR(INDEX('Kode Outlet dan Target Toko'!$A:$A,MATCH($I1252,'Kode Outlet dan Target Toko'!$E:$E,0)),"")</f>
        <v>GRSM 5</v>
      </c>
      <c r="E1252" s="20" t="str">
        <f>IFERROR(VLOOKUP(I1252,KET!$B:$F,4,0),"")</f>
        <v>SUPRIYATI</v>
      </c>
      <c r="F1252" s="20" t="str">
        <f>IFERROR(VLOOKUP(I1252,KET!$B:$F,5,0),"")</f>
        <v>GMM</v>
      </c>
      <c r="G1252" s="20">
        <f>IFERROR(INDEX('Kode Outlet dan Target Toko'!$C:$C,MATCH($I1252,'Kode Outlet dan Target Toko'!$E:$E,0)),0)</f>
        <v>170220</v>
      </c>
      <c r="H1252" s="20">
        <f>IFERROR(INDEX('Kode Outlet dan Target Toko'!$D:$D,MATCH($I1252,'Kode Outlet dan Target Toko'!$E:$E,0)),0)</f>
        <v>1901004</v>
      </c>
      <c r="I1252" s="42" t="s">
        <v>36</v>
      </c>
      <c r="J1252" s="56" t="s">
        <v>264</v>
      </c>
      <c r="K1252" s="40" t="s">
        <v>15</v>
      </c>
      <c r="L1252" s="56">
        <v>2200</v>
      </c>
      <c r="M1252" s="26">
        <v>47</v>
      </c>
      <c r="N1252" s="25">
        <f t="shared" si="39"/>
        <v>103400</v>
      </c>
      <c r="O1252" s="26"/>
    </row>
    <row r="1253" spans="1:15" hidden="1" x14ac:dyDescent="0.3">
      <c r="A1253" s="26">
        <v>28</v>
      </c>
      <c r="B1253" s="20" t="str">
        <f t="shared" si="38"/>
        <v>JUL</v>
      </c>
      <c r="C1253" s="21">
        <v>46213</v>
      </c>
      <c r="D1253" s="22" t="str">
        <f t="array" ref="D1253">IFERROR(INDEX('Kode Outlet dan Target Toko'!$A:$A,MATCH($I1253,'Kode Outlet dan Target Toko'!$E:$E,0)),"")</f>
        <v>GRSM 5</v>
      </c>
      <c r="E1253" s="20" t="str">
        <f>IFERROR(VLOOKUP(I1253,KET!$B:$F,4,0),"")</f>
        <v>SUPRIYATI</v>
      </c>
      <c r="F1253" s="20" t="str">
        <f>IFERROR(VLOOKUP(I1253,KET!$B:$F,5,0),"")</f>
        <v>GMM</v>
      </c>
      <c r="G1253" s="20">
        <f>IFERROR(INDEX('Kode Outlet dan Target Toko'!$C:$C,MATCH($I1253,'Kode Outlet dan Target Toko'!$E:$E,0)),0)</f>
        <v>170220</v>
      </c>
      <c r="H1253" s="20">
        <f>IFERROR(INDEX('Kode Outlet dan Target Toko'!$D:$D,MATCH($I1253,'Kode Outlet dan Target Toko'!$E:$E,0)),0)</f>
        <v>1901004</v>
      </c>
      <c r="I1253" s="42" t="s">
        <v>36</v>
      </c>
      <c r="J1253" s="56" t="s">
        <v>264</v>
      </c>
      <c r="K1253" s="40" t="s">
        <v>14</v>
      </c>
      <c r="L1253" s="56">
        <v>2200</v>
      </c>
      <c r="M1253" s="26">
        <v>83</v>
      </c>
      <c r="N1253" s="25">
        <f t="shared" si="39"/>
        <v>182600</v>
      </c>
      <c r="O1253" s="26"/>
    </row>
    <row r="1254" spans="1:15" hidden="1" x14ac:dyDescent="0.3">
      <c r="A1254" s="26">
        <v>28</v>
      </c>
      <c r="B1254" s="20" t="str">
        <f t="shared" si="38"/>
        <v>JUL</v>
      </c>
      <c r="C1254" s="21">
        <v>46213</v>
      </c>
      <c r="D1254" s="22" t="str">
        <f t="array" ref="D1254">IFERROR(INDEX('Kode Outlet dan Target Toko'!$A:$A,MATCH($I1254,'Kode Outlet dan Target Toko'!$E:$E,0)),"")</f>
        <v>GRSM 5</v>
      </c>
      <c r="E1254" s="20" t="str">
        <f>IFERROR(VLOOKUP(I1254,KET!$B:$F,4,0),"")</f>
        <v>SUPRIYATI</v>
      </c>
      <c r="F1254" s="20" t="str">
        <f>IFERROR(VLOOKUP(I1254,KET!$B:$F,5,0),"")</f>
        <v>GMM</v>
      </c>
      <c r="G1254" s="20">
        <f>IFERROR(INDEX('Kode Outlet dan Target Toko'!$C:$C,MATCH($I1254,'Kode Outlet dan Target Toko'!$E:$E,0)),0)</f>
        <v>170220</v>
      </c>
      <c r="H1254" s="20">
        <f>IFERROR(INDEX('Kode Outlet dan Target Toko'!$D:$D,MATCH($I1254,'Kode Outlet dan Target Toko'!$E:$E,0)),0)</f>
        <v>1901004</v>
      </c>
      <c r="I1254" s="42" t="s">
        <v>36</v>
      </c>
      <c r="J1254" s="56" t="s">
        <v>264</v>
      </c>
      <c r="K1254" s="40" t="s">
        <v>13</v>
      </c>
      <c r="L1254" s="56">
        <v>2200</v>
      </c>
      <c r="M1254" s="26">
        <v>44</v>
      </c>
      <c r="N1254" s="25">
        <f t="shared" si="39"/>
        <v>96800</v>
      </c>
      <c r="O1254" s="26"/>
    </row>
    <row r="1255" spans="1:15" hidden="1" x14ac:dyDescent="0.3">
      <c r="A1255" s="26">
        <v>28</v>
      </c>
      <c r="B1255" s="20" t="str">
        <f t="shared" si="38"/>
        <v>JUL</v>
      </c>
      <c r="C1255" s="21">
        <v>46213</v>
      </c>
      <c r="D1255" s="22" t="str">
        <f t="array" ref="D1255">IFERROR(INDEX('Kode Outlet dan Target Toko'!$A:$A,MATCH($I1255,'Kode Outlet dan Target Toko'!$E:$E,0)),"")</f>
        <v>GRSM 5</v>
      </c>
      <c r="E1255" s="20" t="str">
        <f>IFERROR(VLOOKUP(I1255,KET!$B:$F,4,0),"")</f>
        <v>SUPRIYATI</v>
      </c>
      <c r="F1255" s="20" t="str">
        <f>IFERROR(VLOOKUP(I1255,KET!$B:$F,5,0),"")</f>
        <v>GMM</v>
      </c>
      <c r="G1255" s="20">
        <f>IFERROR(INDEX('Kode Outlet dan Target Toko'!$C:$C,MATCH($I1255,'Kode Outlet dan Target Toko'!$E:$E,0)),0)</f>
        <v>170220</v>
      </c>
      <c r="H1255" s="20">
        <f>IFERROR(INDEX('Kode Outlet dan Target Toko'!$D:$D,MATCH($I1255,'Kode Outlet dan Target Toko'!$E:$E,0)),0)</f>
        <v>1901004</v>
      </c>
      <c r="I1255" s="42" t="s">
        <v>36</v>
      </c>
      <c r="J1255" s="56" t="s">
        <v>264</v>
      </c>
      <c r="K1255" s="40" t="s">
        <v>16</v>
      </c>
      <c r="L1255" s="56">
        <v>2200</v>
      </c>
      <c r="M1255" s="26">
        <v>97</v>
      </c>
      <c r="N1255" s="25">
        <f t="shared" si="39"/>
        <v>213400</v>
      </c>
      <c r="O1255" s="26">
        <v>104</v>
      </c>
    </row>
    <row r="1256" spans="1:15" hidden="1" x14ac:dyDescent="0.3">
      <c r="A1256" s="26">
        <v>28</v>
      </c>
      <c r="B1256" s="20" t="str">
        <f t="shared" si="38"/>
        <v>JUL</v>
      </c>
      <c r="C1256" s="21">
        <v>46213</v>
      </c>
      <c r="D1256" s="22" t="str">
        <f t="array" ref="D1256">IFERROR(INDEX('Kode Outlet dan Target Toko'!$A:$A,MATCH($I1256,'Kode Outlet dan Target Toko'!$E:$E,0)),"")</f>
        <v>GRSM 5</v>
      </c>
      <c r="E1256" s="20" t="str">
        <f>IFERROR(VLOOKUP(I1256,KET!$B:$F,4,0),"")</f>
        <v>SUPRIYATI</v>
      </c>
      <c r="F1256" s="20" t="str">
        <f>IFERROR(VLOOKUP(I1256,KET!$B:$F,5,0),"")</f>
        <v>GMM</v>
      </c>
      <c r="G1256" s="20">
        <f>IFERROR(INDEX('Kode Outlet dan Target Toko'!$C:$C,MATCH($I1256,'Kode Outlet dan Target Toko'!$E:$E,0)),0)</f>
        <v>170220</v>
      </c>
      <c r="H1256" s="20">
        <f>IFERROR(INDEX('Kode Outlet dan Target Toko'!$D:$D,MATCH($I1256,'Kode Outlet dan Target Toko'!$E:$E,0)),0)</f>
        <v>9000015</v>
      </c>
      <c r="I1256" s="42" t="s">
        <v>37</v>
      </c>
      <c r="J1256" s="56" t="s">
        <v>265</v>
      </c>
      <c r="K1256" s="40" t="s">
        <v>15</v>
      </c>
      <c r="L1256" s="56">
        <v>2200</v>
      </c>
      <c r="M1256" s="26">
        <v>81</v>
      </c>
      <c r="N1256" s="25">
        <f t="shared" si="39"/>
        <v>178200</v>
      </c>
      <c r="O1256" s="26"/>
    </row>
    <row r="1257" spans="1:15" hidden="1" x14ac:dyDescent="0.3">
      <c r="A1257" s="26">
        <v>28</v>
      </c>
      <c r="B1257" s="20" t="str">
        <f t="shared" si="38"/>
        <v>JUL</v>
      </c>
      <c r="C1257" s="21">
        <v>46213</v>
      </c>
      <c r="D1257" s="22" t="str">
        <f t="array" ref="D1257">IFERROR(INDEX('Kode Outlet dan Target Toko'!$A:$A,MATCH($I1257,'Kode Outlet dan Target Toko'!$E:$E,0)),"")</f>
        <v>GRSM 5</v>
      </c>
      <c r="E1257" s="20" t="str">
        <f>IFERROR(VLOOKUP(I1257,KET!$B:$F,4,0),"")</f>
        <v>SUPRIYATI</v>
      </c>
      <c r="F1257" s="20" t="str">
        <f>IFERROR(VLOOKUP(I1257,KET!$B:$F,5,0),"")</f>
        <v>GMM</v>
      </c>
      <c r="G1257" s="20">
        <f>IFERROR(INDEX('Kode Outlet dan Target Toko'!$C:$C,MATCH($I1257,'Kode Outlet dan Target Toko'!$E:$E,0)),0)</f>
        <v>170220</v>
      </c>
      <c r="H1257" s="20">
        <f>IFERROR(INDEX('Kode Outlet dan Target Toko'!$D:$D,MATCH($I1257,'Kode Outlet dan Target Toko'!$E:$E,0)),0)</f>
        <v>9000015</v>
      </c>
      <c r="I1257" s="42" t="s">
        <v>37</v>
      </c>
      <c r="J1257" s="56" t="s">
        <v>265</v>
      </c>
      <c r="K1257" s="40" t="s">
        <v>14</v>
      </c>
      <c r="L1257" s="56">
        <v>2200</v>
      </c>
      <c r="M1257" s="26">
        <v>239</v>
      </c>
      <c r="N1257" s="25">
        <f t="shared" si="39"/>
        <v>525800</v>
      </c>
      <c r="O1257" s="26"/>
    </row>
    <row r="1258" spans="1:15" hidden="1" x14ac:dyDescent="0.3">
      <c r="A1258" s="26">
        <v>28</v>
      </c>
      <c r="B1258" s="20" t="str">
        <f t="shared" si="38"/>
        <v>JUL</v>
      </c>
      <c r="C1258" s="21">
        <v>46213</v>
      </c>
      <c r="D1258" s="22" t="str">
        <f t="array" ref="D1258">IFERROR(INDEX('Kode Outlet dan Target Toko'!$A:$A,MATCH($I1258,'Kode Outlet dan Target Toko'!$E:$E,0)),"")</f>
        <v>GRSM 5</v>
      </c>
      <c r="E1258" s="20" t="str">
        <f>IFERROR(VLOOKUP(I1258,KET!$B:$F,4,0),"")</f>
        <v>SUPRIYATI</v>
      </c>
      <c r="F1258" s="20" t="str">
        <f>IFERROR(VLOOKUP(I1258,KET!$B:$F,5,0),"")</f>
        <v>GMM</v>
      </c>
      <c r="G1258" s="20">
        <f>IFERROR(INDEX('Kode Outlet dan Target Toko'!$C:$C,MATCH($I1258,'Kode Outlet dan Target Toko'!$E:$E,0)),0)</f>
        <v>170220</v>
      </c>
      <c r="H1258" s="20">
        <f>IFERROR(INDEX('Kode Outlet dan Target Toko'!$D:$D,MATCH($I1258,'Kode Outlet dan Target Toko'!$E:$E,0)),0)</f>
        <v>9000015</v>
      </c>
      <c r="I1258" s="42" t="s">
        <v>37</v>
      </c>
      <c r="J1258" s="56" t="s">
        <v>265</v>
      </c>
      <c r="K1258" s="40" t="s">
        <v>13</v>
      </c>
      <c r="L1258" s="56">
        <v>2200</v>
      </c>
      <c r="M1258" s="26">
        <v>80</v>
      </c>
      <c r="N1258" s="25">
        <f t="shared" si="39"/>
        <v>176000</v>
      </c>
      <c r="O1258" s="26"/>
    </row>
    <row r="1259" spans="1:15" hidden="1" x14ac:dyDescent="0.3">
      <c r="A1259" s="26">
        <v>28</v>
      </c>
      <c r="B1259" s="20" t="str">
        <f t="shared" si="38"/>
        <v>JUL</v>
      </c>
      <c r="C1259" s="21">
        <v>46213</v>
      </c>
      <c r="D1259" s="22" t="str">
        <f t="array" ref="D1259">IFERROR(INDEX('Kode Outlet dan Target Toko'!$A:$A,MATCH($I1259,'Kode Outlet dan Target Toko'!$E:$E,0)),"")</f>
        <v>GRSM 5</v>
      </c>
      <c r="E1259" s="20" t="str">
        <f>IFERROR(VLOOKUP(I1259,KET!$B:$F,4,0),"")</f>
        <v>SUPRIYATI</v>
      </c>
      <c r="F1259" s="20" t="str">
        <f>IFERROR(VLOOKUP(I1259,KET!$B:$F,5,0),"")</f>
        <v>GMM</v>
      </c>
      <c r="G1259" s="20">
        <f>IFERROR(INDEX('Kode Outlet dan Target Toko'!$C:$C,MATCH($I1259,'Kode Outlet dan Target Toko'!$E:$E,0)),0)</f>
        <v>170220</v>
      </c>
      <c r="H1259" s="20">
        <f>IFERROR(INDEX('Kode Outlet dan Target Toko'!$D:$D,MATCH($I1259,'Kode Outlet dan Target Toko'!$E:$E,0)),0)</f>
        <v>9000015</v>
      </c>
      <c r="I1259" s="42" t="s">
        <v>37</v>
      </c>
      <c r="J1259" s="56" t="s">
        <v>265</v>
      </c>
      <c r="K1259" s="40" t="s">
        <v>16</v>
      </c>
      <c r="L1259" s="56">
        <v>2200</v>
      </c>
      <c r="M1259" s="26">
        <v>240</v>
      </c>
      <c r="N1259" s="25">
        <f t="shared" si="39"/>
        <v>528000</v>
      </c>
      <c r="O1259" s="26">
        <v>120</v>
      </c>
    </row>
    <row r="1260" spans="1:15" hidden="1" x14ac:dyDescent="0.3">
      <c r="A1260" s="26">
        <v>28</v>
      </c>
      <c r="B1260" s="20" t="str">
        <f t="shared" si="38"/>
        <v>JUL</v>
      </c>
      <c r="C1260" s="21">
        <v>46213</v>
      </c>
      <c r="D1260" s="22" t="str">
        <f t="array" ref="D1260">IFERROR(INDEX('Kode Outlet dan Target Toko'!$A:$A,MATCH($I1260,'Kode Outlet dan Target Toko'!$E:$E,0)),"")</f>
        <v>GRSM 5</v>
      </c>
      <c r="E1260" s="20" t="str">
        <f>IFERROR(VLOOKUP(I1260,KET!$B:$F,4,0),"")</f>
        <v>SUPRIYATI</v>
      </c>
      <c r="F1260" s="20" t="str">
        <f>IFERROR(VLOOKUP(I1260,KET!$B:$F,5,0),"")</f>
        <v>GMM</v>
      </c>
      <c r="G1260" s="20">
        <f>IFERROR(INDEX('Kode Outlet dan Target Toko'!$C:$C,MATCH($I1260,'Kode Outlet dan Target Toko'!$E:$E,0)),0)</f>
        <v>170220</v>
      </c>
      <c r="H1260" s="20">
        <f>IFERROR(INDEX('Kode Outlet dan Target Toko'!$D:$D,MATCH($I1260,'Kode Outlet dan Target Toko'!$E:$E,0)),0)</f>
        <v>9000015</v>
      </c>
      <c r="I1260" s="42" t="s">
        <v>37</v>
      </c>
      <c r="J1260" s="56" t="s">
        <v>266</v>
      </c>
      <c r="K1260" s="40" t="s">
        <v>15</v>
      </c>
      <c r="L1260" s="56">
        <v>2200</v>
      </c>
      <c r="M1260" s="26">
        <v>81</v>
      </c>
      <c r="N1260" s="25">
        <f t="shared" si="39"/>
        <v>178200</v>
      </c>
      <c r="O1260" s="26"/>
    </row>
    <row r="1261" spans="1:15" hidden="1" x14ac:dyDescent="0.3">
      <c r="A1261" s="26">
        <v>28</v>
      </c>
      <c r="B1261" s="20" t="str">
        <f t="shared" si="38"/>
        <v>JUL</v>
      </c>
      <c r="C1261" s="21">
        <v>46213</v>
      </c>
      <c r="D1261" s="22" t="str">
        <f t="array" ref="D1261">IFERROR(INDEX('Kode Outlet dan Target Toko'!$A:$A,MATCH($I1261,'Kode Outlet dan Target Toko'!$E:$E,0)),"")</f>
        <v>GRSM 5</v>
      </c>
      <c r="E1261" s="20" t="str">
        <f>IFERROR(VLOOKUP(I1261,KET!$B:$F,4,0),"")</f>
        <v>SUPRIYATI</v>
      </c>
      <c r="F1261" s="20" t="str">
        <f>IFERROR(VLOOKUP(I1261,KET!$B:$F,5,0),"")</f>
        <v>GMM</v>
      </c>
      <c r="G1261" s="20">
        <f>IFERROR(INDEX('Kode Outlet dan Target Toko'!$C:$C,MATCH($I1261,'Kode Outlet dan Target Toko'!$E:$E,0)),0)</f>
        <v>170220</v>
      </c>
      <c r="H1261" s="20">
        <f>IFERROR(INDEX('Kode Outlet dan Target Toko'!$D:$D,MATCH($I1261,'Kode Outlet dan Target Toko'!$E:$E,0)),0)</f>
        <v>9000015</v>
      </c>
      <c r="I1261" s="42" t="s">
        <v>37</v>
      </c>
      <c r="J1261" s="56" t="s">
        <v>266</v>
      </c>
      <c r="K1261" s="40" t="s">
        <v>14</v>
      </c>
      <c r="L1261" s="56">
        <v>2200</v>
      </c>
      <c r="M1261" s="26">
        <v>239</v>
      </c>
      <c r="N1261" s="25">
        <f t="shared" si="39"/>
        <v>525800</v>
      </c>
      <c r="O1261" s="26"/>
    </row>
    <row r="1262" spans="1:15" hidden="1" x14ac:dyDescent="0.3">
      <c r="A1262" s="26">
        <v>28</v>
      </c>
      <c r="B1262" s="20" t="str">
        <f t="shared" si="38"/>
        <v>JUL</v>
      </c>
      <c r="C1262" s="21">
        <v>46213</v>
      </c>
      <c r="D1262" s="22" t="str">
        <f t="array" ref="D1262">IFERROR(INDEX('Kode Outlet dan Target Toko'!$A:$A,MATCH($I1262,'Kode Outlet dan Target Toko'!$E:$E,0)),"")</f>
        <v>GRSM 5</v>
      </c>
      <c r="E1262" s="20" t="str">
        <f>IFERROR(VLOOKUP(I1262,KET!$B:$F,4,0),"")</f>
        <v>SUPRIYATI</v>
      </c>
      <c r="F1262" s="20" t="str">
        <f>IFERROR(VLOOKUP(I1262,KET!$B:$F,5,0),"")</f>
        <v>GMM</v>
      </c>
      <c r="G1262" s="20">
        <f>IFERROR(INDEX('Kode Outlet dan Target Toko'!$C:$C,MATCH($I1262,'Kode Outlet dan Target Toko'!$E:$E,0)),0)</f>
        <v>170220</v>
      </c>
      <c r="H1262" s="20">
        <f>IFERROR(INDEX('Kode Outlet dan Target Toko'!$D:$D,MATCH($I1262,'Kode Outlet dan Target Toko'!$E:$E,0)),0)</f>
        <v>9000015</v>
      </c>
      <c r="I1262" s="42" t="s">
        <v>37</v>
      </c>
      <c r="J1262" s="56" t="s">
        <v>266</v>
      </c>
      <c r="K1262" s="40" t="s">
        <v>13</v>
      </c>
      <c r="L1262" s="56">
        <v>2200</v>
      </c>
      <c r="M1262" s="26">
        <v>80</v>
      </c>
      <c r="N1262" s="25">
        <f t="shared" si="39"/>
        <v>176000</v>
      </c>
      <c r="O1262" s="26"/>
    </row>
    <row r="1263" spans="1:15" hidden="1" x14ac:dyDescent="0.3">
      <c r="A1263" s="26">
        <v>28</v>
      </c>
      <c r="B1263" s="20" t="str">
        <f t="shared" si="38"/>
        <v>JUL</v>
      </c>
      <c r="C1263" s="21">
        <v>46213</v>
      </c>
      <c r="D1263" s="22" t="str">
        <f t="array" ref="D1263">IFERROR(INDEX('Kode Outlet dan Target Toko'!$A:$A,MATCH($I1263,'Kode Outlet dan Target Toko'!$E:$E,0)),"")</f>
        <v>GRSM 5</v>
      </c>
      <c r="E1263" s="20" t="str">
        <f>IFERROR(VLOOKUP(I1263,KET!$B:$F,4,0),"")</f>
        <v>SUPRIYATI</v>
      </c>
      <c r="F1263" s="20" t="str">
        <f>IFERROR(VLOOKUP(I1263,KET!$B:$F,5,0),"")</f>
        <v>GMM</v>
      </c>
      <c r="G1263" s="20">
        <f>IFERROR(INDEX('Kode Outlet dan Target Toko'!$C:$C,MATCH($I1263,'Kode Outlet dan Target Toko'!$E:$E,0)),0)</f>
        <v>170220</v>
      </c>
      <c r="H1263" s="20">
        <f>IFERROR(INDEX('Kode Outlet dan Target Toko'!$D:$D,MATCH($I1263,'Kode Outlet dan Target Toko'!$E:$E,0)),0)</f>
        <v>9000015</v>
      </c>
      <c r="I1263" s="42" t="s">
        <v>37</v>
      </c>
      <c r="J1263" s="56" t="s">
        <v>266</v>
      </c>
      <c r="K1263" s="40" t="s">
        <v>16</v>
      </c>
      <c r="L1263" s="56">
        <v>2200</v>
      </c>
      <c r="M1263" s="26">
        <v>240</v>
      </c>
      <c r="N1263" s="25">
        <f t="shared" si="39"/>
        <v>528000</v>
      </c>
      <c r="O1263" s="26">
        <v>120</v>
      </c>
    </row>
    <row r="1264" spans="1:15" hidden="1" x14ac:dyDescent="0.3">
      <c r="A1264" s="26">
        <v>28</v>
      </c>
      <c r="B1264" s="20" t="str">
        <f t="shared" si="38"/>
        <v>JUL</v>
      </c>
      <c r="C1264" s="21">
        <v>46213</v>
      </c>
      <c r="D1264" s="22" t="str">
        <f t="array" ref="D1264">IFERROR(INDEX('Kode Outlet dan Target Toko'!$A:$A,MATCH($I1264,'Kode Outlet dan Target Toko'!$E:$E,0)),"")</f>
        <v>GRSM 5</v>
      </c>
      <c r="E1264" s="20" t="str">
        <f>IFERROR(VLOOKUP(I1264,KET!$B:$F,4,0),"")</f>
        <v>SUPRIYATI</v>
      </c>
      <c r="F1264" s="20" t="str">
        <f>IFERROR(VLOOKUP(I1264,KET!$B:$F,5,0),"")</f>
        <v>GMM</v>
      </c>
      <c r="G1264" s="20">
        <f>IFERROR(INDEX('Kode Outlet dan Target Toko'!$C:$C,MATCH($I1264,'Kode Outlet dan Target Toko'!$E:$E,0)),0)</f>
        <v>170220</v>
      </c>
      <c r="H1264" s="20">
        <f>IFERROR(INDEX('Kode Outlet dan Target Toko'!$D:$D,MATCH($I1264,'Kode Outlet dan Target Toko'!$E:$E,0)),0)</f>
        <v>1901019</v>
      </c>
      <c r="I1264" s="42" t="s">
        <v>38</v>
      </c>
      <c r="J1264" s="56" t="s">
        <v>267</v>
      </c>
      <c r="K1264" s="40" t="s">
        <v>15</v>
      </c>
      <c r="L1264" s="56">
        <v>2200</v>
      </c>
      <c r="M1264" s="26">
        <v>71</v>
      </c>
      <c r="N1264" s="25">
        <f t="shared" si="39"/>
        <v>156200</v>
      </c>
      <c r="O1264" s="26"/>
    </row>
    <row r="1265" spans="1:15" hidden="1" x14ac:dyDescent="0.3">
      <c r="A1265" s="26">
        <v>28</v>
      </c>
      <c r="B1265" s="20" t="str">
        <f t="shared" si="38"/>
        <v>JUL</v>
      </c>
      <c r="C1265" s="21">
        <v>46213</v>
      </c>
      <c r="D1265" s="22" t="str">
        <f t="array" ref="D1265">IFERROR(INDEX('Kode Outlet dan Target Toko'!$A:$A,MATCH($I1265,'Kode Outlet dan Target Toko'!$E:$E,0)),"")</f>
        <v>GRSM 5</v>
      </c>
      <c r="E1265" s="20" t="str">
        <f>IFERROR(VLOOKUP(I1265,KET!$B:$F,4,0),"")</f>
        <v>SUPRIYATI</v>
      </c>
      <c r="F1265" s="20" t="str">
        <f>IFERROR(VLOOKUP(I1265,KET!$B:$F,5,0),"")</f>
        <v>GMM</v>
      </c>
      <c r="G1265" s="20">
        <f>IFERROR(INDEX('Kode Outlet dan Target Toko'!$C:$C,MATCH($I1265,'Kode Outlet dan Target Toko'!$E:$E,0)),0)</f>
        <v>170220</v>
      </c>
      <c r="H1265" s="20">
        <f>IFERROR(INDEX('Kode Outlet dan Target Toko'!$D:$D,MATCH($I1265,'Kode Outlet dan Target Toko'!$E:$E,0)),0)</f>
        <v>1901019</v>
      </c>
      <c r="I1265" s="42" t="s">
        <v>38</v>
      </c>
      <c r="J1265" s="56" t="s">
        <v>267</v>
      </c>
      <c r="K1265" s="40" t="s">
        <v>14</v>
      </c>
      <c r="L1265" s="56">
        <v>2200</v>
      </c>
      <c r="M1265" s="26">
        <v>135</v>
      </c>
      <c r="N1265" s="25">
        <f t="shared" si="39"/>
        <v>297000</v>
      </c>
      <c r="O1265" s="26"/>
    </row>
    <row r="1266" spans="1:15" hidden="1" x14ac:dyDescent="0.3">
      <c r="A1266" s="26">
        <v>28</v>
      </c>
      <c r="B1266" s="20" t="str">
        <f t="shared" si="38"/>
        <v>JUL</v>
      </c>
      <c r="C1266" s="21">
        <v>46213</v>
      </c>
      <c r="D1266" s="22" t="str">
        <f t="array" ref="D1266">IFERROR(INDEX('Kode Outlet dan Target Toko'!$A:$A,MATCH($I1266,'Kode Outlet dan Target Toko'!$E:$E,0)),"")</f>
        <v>GRSM 5</v>
      </c>
      <c r="E1266" s="20" t="str">
        <f>IFERROR(VLOOKUP(I1266,KET!$B:$F,4,0),"")</f>
        <v>SUPRIYATI</v>
      </c>
      <c r="F1266" s="20" t="str">
        <f>IFERROR(VLOOKUP(I1266,KET!$B:$F,5,0),"")</f>
        <v>GMM</v>
      </c>
      <c r="G1266" s="20">
        <f>IFERROR(INDEX('Kode Outlet dan Target Toko'!$C:$C,MATCH($I1266,'Kode Outlet dan Target Toko'!$E:$E,0)),0)</f>
        <v>170220</v>
      </c>
      <c r="H1266" s="20">
        <f>IFERROR(INDEX('Kode Outlet dan Target Toko'!$D:$D,MATCH($I1266,'Kode Outlet dan Target Toko'!$E:$E,0)),0)</f>
        <v>1901019</v>
      </c>
      <c r="I1266" s="42" t="s">
        <v>38</v>
      </c>
      <c r="J1266" s="56" t="s">
        <v>267</v>
      </c>
      <c r="K1266" s="40" t="s">
        <v>13</v>
      </c>
      <c r="L1266" s="56">
        <v>2200</v>
      </c>
      <c r="M1266" s="26">
        <v>42</v>
      </c>
      <c r="N1266" s="25">
        <f t="shared" si="39"/>
        <v>92400</v>
      </c>
      <c r="O1266" s="26"/>
    </row>
    <row r="1267" spans="1:15" hidden="1" x14ac:dyDescent="0.3">
      <c r="A1267" s="26">
        <v>28</v>
      </c>
      <c r="B1267" s="20" t="str">
        <f t="shared" si="38"/>
        <v>JUL</v>
      </c>
      <c r="C1267" s="21">
        <v>46213</v>
      </c>
      <c r="D1267" s="22" t="str">
        <f t="array" ref="D1267">IFERROR(INDEX('Kode Outlet dan Target Toko'!$A:$A,MATCH($I1267,'Kode Outlet dan Target Toko'!$E:$E,0)),"")</f>
        <v>GRSM 5</v>
      </c>
      <c r="E1267" s="20" t="str">
        <f>IFERROR(VLOOKUP(I1267,KET!$B:$F,4,0),"")</f>
        <v>SUPRIYATI</v>
      </c>
      <c r="F1267" s="20" t="str">
        <f>IFERROR(VLOOKUP(I1267,KET!$B:$F,5,0),"")</f>
        <v>GMM</v>
      </c>
      <c r="G1267" s="20">
        <f>IFERROR(INDEX('Kode Outlet dan Target Toko'!$C:$C,MATCH($I1267,'Kode Outlet dan Target Toko'!$E:$E,0)),0)</f>
        <v>170220</v>
      </c>
      <c r="H1267" s="20">
        <f>IFERROR(INDEX('Kode Outlet dan Target Toko'!$D:$D,MATCH($I1267,'Kode Outlet dan Target Toko'!$E:$E,0)),0)</f>
        <v>1901019</v>
      </c>
      <c r="I1267" s="42" t="s">
        <v>38</v>
      </c>
      <c r="J1267" s="56" t="s">
        <v>267</v>
      </c>
      <c r="K1267" s="40" t="s">
        <v>16</v>
      </c>
      <c r="L1267" s="56">
        <v>2200</v>
      </c>
      <c r="M1267" s="26">
        <v>93</v>
      </c>
      <c r="N1267" s="25">
        <f t="shared" si="39"/>
        <v>204600</v>
      </c>
      <c r="O1267" s="26"/>
    </row>
    <row r="1268" spans="1:15" hidden="1" x14ac:dyDescent="0.3">
      <c r="A1268" s="26">
        <v>28</v>
      </c>
      <c r="B1268" s="20" t="str">
        <f t="shared" si="38"/>
        <v>JUL</v>
      </c>
      <c r="C1268" s="21">
        <v>46213</v>
      </c>
      <c r="D1268" s="22" t="str">
        <f t="array" ref="D1268">IFERROR(INDEX('Kode Outlet dan Target Toko'!$A:$A,MATCH($I1268,'Kode Outlet dan Target Toko'!$E:$E,0)),"")</f>
        <v>GRSM 5</v>
      </c>
      <c r="E1268" s="20" t="str">
        <f>IFERROR(VLOOKUP(I1268,KET!$B:$F,4,0),"")</f>
        <v>SUPRIYATI</v>
      </c>
      <c r="F1268" s="20" t="str">
        <f>IFERROR(VLOOKUP(I1268,KET!$B:$F,5,0),"")</f>
        <v>GMM</v>
      </c>
      <c r="G1268" s="20">
        <f>IFERROR(INDEX('Kode Outlet dan Target Toko'!$C:$C,MATCH($I1268,'Kode Outlet dan Target Toko'!$E:$E,0)),0)</f>
        <v>170220</v>
      </c>
      <c r="H1268" s="20">
        <f>IFERROR(INDEX('Kode Outlet dan Target Toko'!$D:$D,MATCH($I1268,'Kode Outlet dan Target Toko'!$E:$E,0)),0)</f>
        <v>1901019</v>
      </c>
      <c r="I1268" s="42" t="s">
        <v>38</v>
      </c>
      <c r="J1268" s="56" t="s">
        <v>268</v>
      </c>
      <c r="K1268" s="40" t="s">
        <v>15</v>
      </c>
      <c r="L1268" s="56">
        <v>2200</v>
      </c>
      <c r="M1268" s="26">
        <v>71</v>
      </c>
      <c r="N1268" s="25">
        <f t="shared" si="39"/>
        <v>156200</v>
      </c>
      <c r="O1268" s="26"/>
    </row>
    <row r="1269" spans="1:15" hidden="1" x14ac:dyDescent="0.3">
      <c r="A1269" s="26">
        <v>28</v>
      </c>
      <c r="B1269" s="20" t="str">
        <f t="shared" si="38"/>
        <v>JUL</v>
      </c>
      <c r="C1269" s="21">
        <v>46213</v>
      </c>
      <c r="D1269" s="22" t="str">
        <f t="array" ref="D1269">IFERROR(INDEX('Kode Outlet dan Target Toko'!$A:$A,MATCH($I1269,'Kode Outlet dan Target Toko'!$E:$E,0)),"")</f>
        <v>GRSM 5</v>
      </c>
      <c r="E1269" s="20" t="str">
        <f>IFERROR(VLOOKUP(I1269,KET!$B:$F,4,0),"")</f>
        <v>SUPRIYATI</v>
      </c>
      <c r="F1269" s="20" t="str">
        <f>IFERROR(VLOOKUP(I1269,KET!$B:$F,5,0),"")</f>
        <v>GMM</v>
      </c>
      <c r="G1269" s="20">
        <f>IFERROR(INDEX('Kode Outlet dan Target Toko'!$C:$C,MATCH($I1269,'Kode Outlet dan Target Toko'!$E:$E,0)),0)</f>
        <v>170220</v>
      </c>
      <c r="H1269" s="20">
        <f>IFERROR(INDEX('Kode Outlet dan Target Toko'!$D:$D,MATCH($I1269,'Kode Outlet dan Target Toko'!$E:$E,0)),0)</f>
        <v>1901019</v>
      </c>
      <c r="I1269" s="42" t="s">
        <v>38</v>
      </c>
      <c r="J1269" s="56" t="s">
        <v>268</v>
      </c>
      <c r="K1269" s="40" t="s">
        <v>14</v>
      </c>
      <c r="L1269" s="56">
        <v>2200</v>
      </c>
      <c r="M1269" s="26">
        <v>135</v>
      </c>
      <c r="N1269" s="25">
        <f t="shared" si="39"/>
        <v>297000</v>
      </c>
      <c r="O1269" s="26"/>
    </row>
    <row r="1270" spans="1:15" hidden="1" x14ac:dyDescent="0.3">
      <c r="A1270" s="26">
        <v>28</v>
      </c>
      <c r="B1270" s="20" t="str">
        <f t="shared" si="38"/>
        <v>JUL</v>
      </c>
      <c r="C1270" s="21">
        <v>46213</v>
      </c>
      <c r="D1270" s="22" t="str">
        <f t="array" ref="D1270">IFERROR(INDEX('Kode Outlet dan Target Toko'!$A:$A,MATCH($I1270,'Kode Outlet dan Target Toko'!$E:$E,0)),"")</f>
        <v>GRSM 5</v>
      </c>
      <c r="E1270" s="20" t="str">
        <f>IFERROR(VLOOKUP(I1270,KET!$B:$F,4,0),"")</f>
        <v>SUPRIYATI</v>
      </c>
      <c r="F1270" s="20" t="str">
        <f>IFERROR(VLOOKUP(I1270,KET!$B:$F,5,0),"")</f>
        <v>GMM</v>
      </c>
      <c r="G1270" s="20">
        <f>IFERROR(INDEX('Kode Outlet dan Target Toko'!$C:$C,MATCH($I1270,'Kode Outlet dan Target Toko'!$E:$E,0)),0)</f>
        <v>170220</v>
      </c>
      <c r="H1270" s="20">
        <f>IFERROR(INDEX('Kode Outlet dan Target Toko'!$D:$D,MATCH($I1270,'Kode Outlet dan Target Toko'!$E:$E,0)),0)</f>
        <v>1901019</v>
      </c>
      <c r="I1270" s="42" t="s">
        <v>38</v>
      </c>
      <c r="J1270" s="56" t="s">
        <v>268</v>
      </c>
      <c r="K1270" s="40" t="s">
        <v>13</v>
      </c>
      <c r="L1270" s="56">
        <v>2200</v>
      </c>
      <c r="M1270" s="26">
        <v>42</v>
      </c>
      <c r="N1270" s="25">
        <f t="shared" si="39"/>
        <v>92400</v>
      </c>
      <c r="O1270" s="26"/>
    </row>
    <row r="1271" spans="1:15" hidden="1" x14ac:dyDescent="0.3">
      <c r="A1271" s="26">
        <v>28</v>
      </c>
      <c r="B1271" s="20" t="str">
        <f t="shared" si="38"/>
        <v>JUL</v>
      </c>
      <c r="C1271" s="21">
        <v>46213</v>
      </c>
      <c r="D1271" s="22" t="str">
        <f t="array" ref="D1271">IFERROR(INDEX('Kode Outlet dan Target Toko'!$A:$A,MATCH($I1271,'Kode Outlet dan Target Toko'!$E:$E,0)),"")</f>
        <v>GRSM 5</v>
      </c>
      <c r="E1271" s="20" t="str">
        <f>IFERROR(VLOOKUP(I1271,KET!$B:$F,4,0),"")</f>
        <v>SUPRIYATI</v>
      </c>
      <c r="F1271" s="20" t="str">
        <f>IFERROR(VLOOKUP(I1271,KET!$B:$F,5,0),"")</f>
        <v>GMM</v>
      </c>
      <c r="G1271" s="20">
        <f>IFERROR(INDEX('Kode Outlet dan Target Toko'!$C:$C,MATCH($I1271,'Kode Outlet dan Target Toko'!$E:$E,0)),0)</f>
        <v>170220</v>
      </c>
      <c r="H1271" s="20">
        <f>IFERROR(INDEX('Kode Outlet dan Target Toko'!$D:$D,MATCH($I1271,'Kode Outlet dan Target Toko'!$E:$E,0)),0)</f>
        <v>1901019</v>
      </c>
      <c r="I1271" s="42" t="s">
        <v>38</v>
      </c>
      <c r="J1271" s="56" t="s">
        <v>268</v>
      </c>
      <c r="K1271" s="40" t="s">
        <v>16</v>
      </c>
      <c r="L1271" s="56">
        <v>2200</v>
      </c>
      <c r="M1271" s="26">
        <v>93</v>
      </c>
      <c r="N1271" s="25">
        <f t="shared" si="39"/>
        <v>204600</v>
      </c>
      <c r="O1271" s="26">
        <v>0</v>
      </c>
    </row>
    <row r="1272" spans="1:15" hidden="1" x14ac:dyDescent="0.3">
      <c r="A1272" s="26">
        <v>28</v>
      </c>
      <c r="B1272" s="20" t="str">
        <f t="shared" si="38"/>
        <v>JUL</v>
      </c>
      <c r="C1272" s="21">
        <v>46214</v>
      </c>
      <c r="D1272" s="22" t="str">
        <f t="array" ref="D1272">IFERROR(INDEX('Kode Outlet dan Target Toko'!$A:$A,MATCH($I1272,'Kode Outlet dan Target Toko'!$E:$E,0)),"")</f>
        <v>GRSM 5</v>
      </c>
      <c r="E1272" s="20" t="str">
        <f>IFERROR(VLOOKUP(I1272,KET!$B:$F,4,0),"")</f>
        <v>SUPRIYATI</v>
      </c>
      <c r="F1272" s="20" t="str">
        <f>IFERROR(VLOOKUP(I1272,KET!$B:$F,5,0),"")</f>
        <v>GMM</v>
      </c>
      <c r="G1272" s="20">
        <f>IFERROR(INDEX('Kode Outlet dan Target Toko'!$C:$C,MATCH($I1272,'Kode Outlet dan Target Toko'!$E:$E,0)),0)</f>
        <v>170220</v>
      </c>
      <c r="H1272" s="20">
        <f>IFERROR(INDEX('Kode Outlet dan Target Toko'!$D:$D,MATCH($I1272,'Kode Outlet dan Target Toko'!$E:$E,0)),0)</f>
        <v>9000015</v>
      </c>
      <c r="I1272" s="42" t="s">
        <v>33</v>
      </c>
      <c r="J1272" s="56" t="s">
        <v>260</v>
      </c>
      <c r="K1272" s="40" t="s">
        <v>15</v>
      </c>
      <c r="L1272" s="56">
        <v>2200</v>
      </c>
      <c r="M1272" s="26">
        <v>75</v>
      </c>
      <c r="N1272" s="25">
        <f t="shared" si="39"/>
        <v>165000</v>
      </c>
      <c r="O1272" s="26"/>
    </row>
    <row r="1273" spans="1:15" hidden="1" x14ac:dyDescent="0.3">
      <c r="A1273" s="26">
        <v>28</v>
      </c>
      <c r="B1273" s="20" t="str">
        <f t="shared" si="38"/>
        <v>JUL</v>
      </c>
      <c r="C1273" s="21">
        <v>46214</v>
      </c>
      <c r="D1273" s="22" t="str">
        <f t="array" ref="D1273">IFERROR(INDEX('Kode Outlet dan Target Toko'!$A:$A,MATCH($I1273,'Kode Outlet dan Target Toko'!$E:$E,0)),"")</f>
        <v>GRSM 5</v>
      </c>
      <c r="E1273" s="20" t="str">
        <f>IFERROR(VLOOKUP(I1273,KET!$B:$F,4,0),"")</f>
        <v>SUPRIYATI</v>
      </c>
      <c r="F1273" s="20" t="str">
        <f>IFERROR(VLOOKUP(I1273,KET!$B:$F,5,0),"")</f>
        <v>GMM</v>
      </c>
      <c r="G1273" s="20">
        <f>IFERROR(INDEX('Kode Outlet dan Target Toko'!$C:$C,MATCH($I1273,'Kode Outlet dan Target Toko'!$E:$E,0)),0)</f>
        <v>170220</v>
      </c>
      <c r="H1273" s="20">
        <f>IFERROR(INDEX('Kode Outlet dan Target Toko'!$D:$D,MATCH($I1273,'Kode Outlet dan Target Toko'!$E:$E,0)),0)</f>
        <v>9000015</v>
      </c>
      <c r="I1273" s="42" t="s">
        <v>33</v>
      </c>
      <c r="J1273" s="56" t="s">
        <v>260</v>
      </c>
      <c r="K1273" s="40" t="s">
        <v>14</v>
      </c>
      <c r="L1273" s="56">
        <v>2200</v>
      </c>
      <c r="M1273" s="26">
        <v>103</v>
      </c>
      <c r="N1273" s="25">
        <f t="shared" si="39"/>
        <v>226600</v>
      </c>
      <c r="O1273" s="26"/>
    </row>
    <row r="1274" spans="1:15" hidden="1" x14ac:dyDescent="0.3">
      <c r="A1274" s="26">
        <v>28</v>
      </c>
      <c r="B1274" s="20" t="str">
        <f t="shared" si="38"/>
        <v>JUL</v>
      </c>
      <c r="C1274" s="21">
        <v>46214</v>
      </c>
      <c r="D1274" s="22" t="str">
        <f t="array" ref="D1274">IFERROR(INDEX('Kode Outlet dan Target Toko'!$A:$A,MATCH($I1274,'Kode Outlet dan Target Toko'!$E:$E,0)),"")</f>
        <v>GRSM 5</v>
      </c>
      <c r="E1274" s="20" t="str">
        <f>IFERROR(VLOOKUP(I1274,KET!$B:$F,4,0),"")</f>
        <v>SUPRIYATI</v>
      </c>
      <c r="F1274" s="20" t="str">
        <f>IFERROR(VLOOKUP(I1274,KET!$B:$F,5,0),"")</f>
        <v>GMM</v>
      </c>
      <c r="G1274" s="20">
        <f>IFERROR(INDEX('Kode Outlet dan Target Toko'!$C:$C,MATCH($I1274,'Kode Outlet dan Target Toko'!$E:$E,0)),0)</f>
        <v>170220</v>
      </c>
      <c r="H1274" s="20">
        <f>IFERROR(INDEX('Kode Outlet dan Target Toko'!$D:$D,MATCH($I1274,'Kode Outlet dan Target Toko'!$E:$E,0)),0)</f>
        <v>9000015</v>
      </c>
      <c r="I1274" s="42" t="s">
        <v>33</v>
      </c>
      <c r="J1274" s="56" t="s">
        <v>260</v>
      </c>
      <c r="K1274" s="40" t="s">
        <v>13</v>
      </c>
      <c r="L1274" s="56">
        <v>2200</v>
      </c>
      <c r="M1274" s="26">
        <v>53</v>
      </c>
      <c r="N1274" s="25">
        <f t="shared" si="39"/>
        <v>116600</v>
      </c>
      <c r="O1274" s="26"/>
    </row>
    <row r="1275" spans="1:15" hidden="1" x14ac:dyDescent="0.3">
      <c r="A1275" s="26">
        <v>28</v>
      </c>
      <c r="B1275" s="20" t="str">
        <f t="shared" si="38"/>
        <v>JUL</v>
      </c>
      <c r="C1275" s="21">
        <v>46214</v>
      </c>
      <c r="D1275" s="22" t="str">
        <f t="array" ref="D1275">IFERROR(INDEX('Kode Outlet dan Target Toko'!$A:$A,MATCH($I1275,'Kode Outlet dan Target Toko'!$E:$E,0)),"")</f>
        <v>GRSM 5</v>
      </c>
      <c r="E1275" s="20" t="str">
        <f>IFERROR(VLOOKUP(I1275,KET!$B:$F,4,0),"")</f>
        <v>SUPRIYATI</v>
      </c>
      <c r="F1275" s="20" t="str">
        <f>IFERROR(VLOOKUP(I1275,KET!$B:$F,5,0),"")</f>
        <v>GMM</v>
      </c>
      <c r="G1275" s="20">
        <f>IFERROR(INDEX('Kode Outlet dan Target Toko'!$C:$C,MATCH($I1275,'Kode Outlet dan Target Toko'!$E:$E,0)),0)</f>
        <v>170220</v>
      </c>
      <c r="H1275" s="20">
        <f>IFERROR(INDEX('Kode Outlet dan Target Toko'!$D:$D,MATCH($I1275,'Kode Outlet dan Target Toko'!$E:$E,0)),0)</f>
        <v>9000015</v>
      </c>
      <c r="I1275" s="42" t="s">
        <v>33</v>
      </c>
      <c r="J1275" s="56" t="s">
        <v>260</v>
      </c>
      <c r="K1275" s="40" t="s">
        <v>16</v>
      </c>
      <c r="L1275" s="56">
        <v>2200</v>
      </c>
      <c r="M1275" s="26">
        <v>187</v>
      </c>
      <c r="N1275" s="25">
        <f t="shared" si="39"/>
        <v>411400</v>
      </c>
      <c r="O1275" s="26">
        <v>120</v>
      </c>
    </row>
    <row r="1276" spans="1:15" hidden="1" x14ac:dyDescent="0.3">
      <c r="A1276" s="26">
        <v>28</v>
      </c>
      <c r="B1276" s="20" t="str">
        <f t="shared" si="38"/>
        <v>JUL</v>
      </c>
      <c r="C1276" s="21">
        <v>46214</v>
      </c>
      <c r="D1276" s="22" t="str">
        <f t="array" ref="D1276">IFERROR(INDEX('Kode Outlet dan Target Toko'!$A:$A,MATCH($I1276,'Kode Outlet dan Target Toko'!$E:$E,0)),"")</f>
        <v>GRSM 5</v>
      </c>
      <c r="E1276" s="20" t="str">
        <f>IFERROR(VLOOKUP(I1276,KET!$B:$F,4,0),"")</f>
        <v>SUPRIYATI</v>
      </c>
      <c r="F1276" s="20" t="str">
        <f>IFERROR(VLOOKUP(I1276,KET!$B:$F,5,0),"")</f>
        <v>GMM</v>
      </c>
      <c r="G1276" s="20">
        <f>IFERROR(INDEX('Kode Outlet dan Target Toko'!$C:$C,MATCH($I1276,'Kode Outlet dan Target Toko'!$E:$E,0)),0)</f>
        <v>170220</v>
      </c>
      <c r="H1276" s="20">
        <f>IFERROR(INDEX('Kode Outlet dan Target Toko'!$D:$D,MATCH($I1276,'Kode Outlet dan Target Toko'!$E:$E,0)),0)</f>
        <v>9000015</v>
      </c>
      <c r="I1276" s="50" t="s">
        <v>33</v>
      </c>
      <c r="J1276" s="56" t="s">
        <v>261</v>
      </c>
      <c r="K1276" s="40" t="s">
        <v>15</v>
      </c>
      <c r="L1276" s="56">
        <v>2200</v>
      </c>
      <c r="M1276" s="26">
        <v>75</v>
      </c>
      <c r="N1276" s="25">
        <f t="shared" si="39"/>
        <v>165000</v>
      </c>
      <c r="O1276" s="26"/>
    </row>
    <row r="1277" spans="1:15" hidden="1" x14ac:dyDescent="0.3">
      <c r="A1277" s="26">
        <v>28</v>
      </c>
      <c r="B1277" s="20" t="str">
        <f t="shared" si="38"/>
        <v>JUL</v>
      </c>
      <c r="C1277" s="21">
        <v>46214</v>
      </c>
      <c r="D1277" s="22" t="str">
        <f t="array" ref="D1277">IFERROR(INDEX('Kode Outlet dan Target Toko'!$A:$A,MATCH($I1277,'Kode Outlet dan Target Toko'!$E:$E,0)),"")</f>
        <v>GRSM 5</v>
      </c>
      <c r="E1277" s="20" t="str">
        <f>IFERROR(VLOOKUP(I1277,KET!$B:$F,4,0),"")</f>
        <v>SUPRIYATI</v>
      </c>
      <c r="F1277" s="20" t="str">
        <f>IFERROR(VLOOKUP(I1277,KET!$B:$F,5,0),"")</f>
        <v>GMM</v>
      </c>
      <c r="G1277" s="20">
        <f>IFERROR(INDEX('Kode Outlet dan Target Toko'!$C:$C,MATCH($I1277,'Kode Outlet dan Target Toko'!$E:$E,0)),0)</f>
        <v>170220</v>
      </c>
      <c r="H1277" s="20">
        <f>IFERROR(INDEX('Kode Outlet dan Target Toko'!$D:$D,MATCH($I1277,'Kode Outlet dan Target Toko'!$E:$E,0)),0)</f>
        <v>9000015</v>
      </c>
      <c r="I1277" s="50" t="s">
        <v>33</v>
      </c>
      <c r="J1277" s="56" t="s">
        <v>261</v>
      </c>
      <c r="K1277" s="40" t="s">
        <v>14</v>
      </c>
      <c r="L1277" s="56">
        <v>2200</v>
      </c>
      <c r="M1277" s="26">
        <v>103</v>
      </c>
      <c r="N1277" s="25">
        <f t="shared" si="39"/>
        <v>226600</v>
      </c>
      <c r="O1277" s="26"/>
    </row>
    <row r="1278" spans="1:15" hidden="1" x14ac:dyDescent="0.3">
      <c r="A1278" s="26">
        <v>28</v>
      </c>
      <c r="B1278" s="20" t="str">
        <f t="shared" si="38"/>
        <v>JUL</v>
      </c>
      <c r="C1278" s="21">
        <v>46214</v>
      </c>
      <c r="D1278" s="22" t="str">
        <f t="array" ref="D1278">IFERROR(INDEX('Kode Outlet dan Target Toko'!$A:$A,MATCH($I1278,'Kode Outlet dan Target Toko'!$E:$E,0)),"")</f>
        <v>GRSM 5</v>
      </c>
      <c r="E1278" s="20" t="str">
        <f>IFERROR(VLOOKUP(I1278,KET!$B:$F,4,0),"")</f>
        <v>SUPRIYATI</v>
      </c>
      <c r="F1278" s="20" t="str">
        <f>IFERROR(VLOOKUP(I1278,KET!$B:$F,5,0),"")</f>
        <v>GMM</v>
      </c>
      <c r="G1278" s="20">
        <f>IFERROR(INDEX('Kode Outlet dan Target Toko'!$C:$C,MATCH($I1278,'Kode Outlet dan Target Toko'!$E:$E,0)),0)</f>
        <v>170220</v>
      </c>
      <c r="H1278" s="20">
        <f>IFERROR(INDEX('Kode Outlet dan Target Toko'!$D:$D,MATCH($I1278,'Kode Outlet dan Target Toko'!$E:$E,0)),0)</f>
        <v>9000015</v>
      </c>
      <c r="I1278" s="50" t="s">
        <v>33</v>
      </c>
      <c r="J1278" s="56" t="s">
        <v>261</v>
      </c>
      <c r="K1278" s="40" t="s">
        <v>13</v>
      </c>
      <c r="L1278" s="56">
        <v>2200</v>
      </c>
      <c r="M1278" s="26">
        <v>53</v>
      </c>
      <c r="N1278" s="25">
        <f t="shared" si="39"/>
        <v>116600</v>
      </c>
      <c r="O1278" s="26"/>
    </row>
    <row r="1279" spans="1:15" hidden="1" x14ac:dyDescent="0.3">
      <c r="A1279" s="26">
        <v>28</v>
      </c>
      <c r="B1279" s="20" t="str">
        <f t="shared" si="38"/>
        <v>JUL</v>
      </c>
      <c r="C1279" s="21">
        <v>46214</v>
      </c>
      <c r="D1279" s="22" t="str">
        <f t="array" ref="D1279">IFERROR(INDEX('Kode Outlet dan Target Toko'!$A:$A,MATCH($I1279,'Kode Outlet dan Target Toko'!$E:$E,0)),"")</f>
        <v>GRSM 5</v>
      </c>
      <c r="E1279" s="20" t="str">
        <f>IFERROR(VLOOKUP(I1279,KET!$B:$F,4,0),"")</f>
        <v>SUPRIYATI</v>
      </c>
      <c r="F1279" s="20" t="str">
        <f>IFERROR(VLOOKUP(I1279,KET!$B:$F,5,0),"")</f>
        <v>GMM</v>
      </c>
      <c r="G1279" s="20">
        <f>IFERROR(INDEX('Kode Outlet dan Target Toko'!$C:$C,MATCH($I1279,'Kode Outlet dan Target Toko'!$E:$E,0)),0)</f>
        <v>170220</v>
      </c>
      <c r="H1279" s="20">
        <f>IFERROR(INDEX('Kode Outlet dan Target Toko'!$D:$D,MATCH($I1279,'Kode Outlet dan Target Toko'!$E:$E,0)),0)</f>
        <v>9000015</v>
      </c>
      <c r="I1279" s="50" t="s">
        <v>33</v>
      </c>
      <c r="J1279" s="56" t="s">
        <v>261</v>
      </c>
      <c r="K1279" s="40" t="s">
        <v>16</v>
      </c>
      <c r="L1279" s="56">
        <v>2200</v>
      </c>
      <c r="M1279" s="26">
        <v>187</v>
      </c>
      <c r="N1279" s="25">
        <f t="shared" si="39"/>
        <v>411400</v>
      </c>
      <c r="O1279" s="26">
        <v>120</v>
      </c>
    </row>
    <row r="1280" spans="1:15" hidden="1" x14ac:dyDescent="0.3">
      <c r="A1280" s="26">
        <v>28</v>
      </c>
      <c r="B1280" s="20" t="str">
        <f t="shared" si="38"/>
        <v>JUL</v>
      </c>
      <c r="C1280" s="21">
        <v>46214</v>
      </c>
      <c r="D1280" s="22" t="str">
        <f t="array" ref="D1280">IFERROR(INDEX('Kode Outlet dan Target Toko'!$A:$A,MATCH($I1280,'Kode Outlet dan Target Toko'!$E:$E,0)),"")</f>
        <v>GRSM 5</v>
      </c>
      <c r="E1280" s="20" t="str">
        <f>IFERROR(VLOOKUP(I1280,KET!$B:$F,4,0),"")</f>
        <v>SUPRIYATI</v>
      </c>
      <c r="F1280" s="20" t="str">
        <f>IFERROR(VLOOKUP(I1280,KET!$B:$F,5,0),"")</f>
        <v>GMM</v>
      </c>
      <c r="G1280" s="20">
        <f>IFERROR(INDEX('Kode Outlet dan Target Toko'!$C:$C,MATCH($I1280,'Kode Outlet dan Target Toko'!$E:$E,0)),0)</f>
        <v>170220</v>
      </c>
      <c r="H1280" s="20">
        <f>IFERROR(INDEX('Kode Outlet dan Target Toko'!$D:$D,MATCH($I1280,'Kode Outlet dan Target Toko'!$E:$E,0)),0)</f>
        <v>1901019</v>
      </c>
      <c r="I1280" s="42" t="s">
        <v>38</v>
      </c>
      <c r="J1280" s="56" t="s">
        <v>267</v>
      </c>
      <c r="K1280" s="40" t="s">
        <v>15</v>
      </c>
      <c r="L1280" s="56">
        <v>2200</v>
      </c>
      <c r="M1280" s="26">
        <v>93</v>
      </c>
      <c r="N1280" s="25">
        <f t="shared" si="39"/>
        <v>204600</v>
      </c>
      <c r="O1280" s="26"/>
    </row>
    <row r="1281" spans="1:15" hidden="1" x14ac:dyDescent="0.3">
      <c r="A1281" s="26">
        <v>28</v>
      </c>
      <c r="B1281" s="20" t="str">
        <f t="shared" si="38"/>
        <v>JUL</v>
      </c>
      <c r="C1281" s="21">
        <v>46214</v>
      </c>
      <c r="D1281" s="22" t="str">
        <f t="array" ref="D1281">IFERROR(INDEX('Kode Outlet dan Target Toko'!$A:$A,MATCH($I1281,'Kode Outlet dan Target Toko'!$E:$E,0)),"")</f>
        <v>GRSM 5</v>
      </c>
      <c r="E1281" s="20" t="str">
        <f>IFERROR(VLOOKUP(I1281,KET!$B:$F,4,0),"")</f>
        <v>SUPRIYATI</v>
      </c>
      <c r="F1281" s="20" t="str">
        <f>IFERROR(VLOOKUP(I1281,KET!$B:$F,5,0),"")</f>
        <v>GMM</v>
      </c>
      <c r="G1281" s="20">
        <f>IFERROR(INDEX('Kode Outlet dan Target Toko'!$C:$C,MATCH($I1281,'Kode Outlet dan Target Toko'!$E:$E,0)),0)</f>
        <v>170220</v>
      </c>
      <c r="H1281" s="20">
        <f>IFERROR(INDEX('Kode Outlet dan Target Toko'!$D:$D,MATCH($I1281,'Kode Outlet dan Target Toko'!$E:$E,0)),0)</f>
        <v>1901019</v>
      </c>
      <c r="I1281" s="42" t="s">
        <v>38</v>
      </c>
      <c r="J1281" s="56" t="s">
        <v>267</v>
      </c>
      <c r="K1281" s="40" t="s">
        <v>14</v>
      </c>
      <c r="L1281" s="56">
        <v>2200</v>
      </c>
      <c r="M1281" s="26">
        <v>97</v>
      </c>
      <c r="N1281" s="25">
        <f t="shared" si="39"/>
        <v>213400</v>
      </c>
      <c r="O1281" s="26"/>
    </row>
    <row r="1282" spans="1:15" hidden="1" x14ac:dyDescent="0.3">
      <c r="A1282" s="26">
        <v>28</v>
      </c>
      <c r="B1282" s="20" t="str">
        <f t="shared" si="38"/>
        <v>JUL</v>
      </c>
      <c r="C1282" s="21">
        <v>46214</v>
      </c>
      <c r="D1282" s="22" t="str">
        <f t="array" ref="D1282">IFERROR(INDEX('Kode Outlet dan Target Toko'!$A:$A,MATCH($I1282,'Kode Outlet dan Target Toko'!$E:$E,0)),"")</f>
        <v>GRSM 5</v>
      </c>
      <c r="E1282" s="20" t="str">
        <f>IFERROR(VLOOKUP(I1282,KET!$B:$F,4,0),"")</f>
        <v>SUPRIYATI</v>
      </c>
      <c r="F1282" s="20" t="str">
        <f>IFERROR(VLOOKUP(I1282,KET!$B:$F,5,0),"")</f>
        <v>GMM</v>
      </c>
      <c r="G1282" s="20">
        <f>IFERROR(INDEX('Kode Outlet dan Target Toko'!$C:$C,MATCH($I1282,'Kode Outlet dan Target Toko'!$E:$E,0)),0)</f>
        <v>170220</v>
      </c>
      <c r="H1282" s="20">
        <f>IFERROR(INDEX('Kode Outlet dan Target Toko'!$D:$D,MATCH($I1282,'Kode Outlet dan Target Toko'!$E:$E,0)),0)</f>
        <v>1901019</v>
      </c>
      <c r="I1282" s="42" t="s">
        <v>38</v>
      </c>
      <c r="J1282" s="56" t="s">
        <v>267</v>
      </c>
      <c r="K1282" s="40" t="s">
        <v>13</v>
      </c>
      <c r="L1282" s="56">
        <v>2200</v>
      </c>
      <c r="M1282" s="26">
        <v>101</v>
      </c>
      <c r="N1282" s="25">
        <f t="shared" si="39"/>
        <v>222200</v>
      </c>
      <c r="O1282" s="26"/>
    </row>
    <row r="1283" spans="1:15" hidden="1" x14ac:dyDescent="0.3">
      <c r="A1283" s="26">
        <v>28</v>
      </c>
      <c r="B1283" s="20" t="str">
        <f t="shared" si="38"/>
        <v>JUL</v>
      </c>
      <c r="C1283" s="21">
        <v>46214</v>
      </c>
      <c r="D1283" s="22" t="str">
        <f t="array" ref="D1283">IFERROR(INDEX('Kode Outlet dan Target Toko'!$A:$A,MATCH($I1283,'Kode Outlet dan Target Toko'!$E:$E,0)),"")</f>
        <v>GRSM 5</v>
      </c>
      <c r="E1283" s="20" t="str">
        <f>IFERROR(VLOOKUP(I1283,KET!$B:$F,4,0),"")</f>
        <v>SUPRIYATI</v>
      </c>
      <c r="F1283" s="20" t="str">
        <f>IFERROR(VLOOKUP(I1283,KET!$B:$F,5,0),"")</f>
        <v>GMM</v>
      </c>
      <c r="G1283" s="20">
        <f>IFERROR(INDEX('Kode Outlet dan Target Toko'!$C:$C,MATCH($I1283,'Kode Outlet dan Target Toko'!$E:$E,0)),0)</f>
        <v>170220</v>
      </c>
      <c r="H1283" s="20">
        <f>IFERROR(INDEX('Kode Outlet dan Target Toko'!$D:$D,MATCH($I1283,'Kode Outlet dan Target Toko'!$E:$E,0)),0)</f>
        <v>1901019</v>
      </c>
      <c r="I1283" s="42" t="s">
        <v>38</v>
      </c>
      <c r="J1283" s="56" t="s">
        <v>267</v>
      </c>
      <c r="K1283" s="40" t="s">
        <v>16</v>
      </c>
      <c r="L1283" s="56">
        <v>2200</v>
      </c>
      <c r="M1283" s="26">
        <v>255</v>
      </c>
      <c r="N1283" s="25">
        <f t="shared" si="39"/>
        <v>561000</v>
      </c>
      <c r="O1283" s="26">
        <v>100</v>
      </c>
    </row>
    <row r="1284" spans="1:15" hidden="1" x14ac:dyDescent="0.3">
      <c r="A1284" s="26">
        <v>28</v>
      </c>
      <c r="B1284" s="20" t="str">
        <f t="shared" si="38"/>
        <v>JUL</v>
      </c>
      <c r="C1284" s="21">
        <v>46214</v>
      </c>
      <c r="D1284" s="22" t="str">
        <f t="array" ref="D1284">IFERROR(INDEX('Kode Outlet dan Target Toko'!$A:$A,MATCH($I1284,'Kode Outlet dan Target Toko'!$E:$E,0)),"")</f>
        <v>GRSM 5</v>
      </c>
      <c r="E1284" s="20" t="str">
        <f>IFERROR(VLOOKUP(I1284,KET!$B:$F,4,0),"")</f>
        <v>SUPRIYATI</v>
      </c>
      <c r="F1284" s="20" t="str">
        <f>IFERROR(VLOOKUP(I1284,KET!$B:$F,5,0),"")</f>
        <v>GMM</v>
      </c>
      <c r="G1284" s="20">
        <f>IFERROR(INDEX('Kode Outlet dan Target Toko'!$C:$C,MATCH($I1284,'Kode Outlet dan Target Toko'!$E:$E,0)),0)</f>
        <v>170220</v>
      </c>
      <c r="H1284" s="20">
        <f>IFERROR(INDEX('Kode Outlet dan Target Toko'!$D:$D,MATCH($I1284,'Kode Outlet dan Target Toko'!$E:$E,0)),0)</f>
        <v>1901019</v>
      </c>
      <c r="I1284" s="42" t="s">
        <v>38</v>
      </c>
      <c r="J1284" s="56" t="s">
        <v>268</v>
      </c>
      <c r="K1284" s="40" t="s">
        <v>15</v>
      </c>
      <c r="L1284" s="56">
        <v>2200</v>
      </c>
      <c r="M1284" s="26">
        <v>93</v>
      </c>
      <c r="N1284" s="25">
        <f t="shared" si="39"/>
        <v>204600</v>
      </c>
      <c r="O1284" s="26"/>
    </row>
    <row r="1285" spans="1:15" hidden="1" x14ac:dyDescent="0.3">
      <c r="A1285" s="26">
        <v>28</v>
      </c>
      <c r="B1285" s="20" t="str">
        <f t="shared" si="38"/>
        <v>JUL</v>
      </c>
      <c r="C1285" s="21">
        <v>46214</v>
      </c>
      <c r="D1285" s="22" t="str">
        <f t="array" ref="D1285">IFERROR(INDEX('Kode Outlet dan Target Toko'!$A:$A,MATCH($I1285,'Kode Outlet dan Target Toko'!$E:$E,0)),"")</f>
        <v>GRSM 5</v>
      </c>
      <c r="E1285" s="20" t="str">
        <f>IFERROR(VLOOKUP(I1285,KET!$B:$F,4,0),"")</f>
        <v>SUPRIYATI</v>
      </c>
      <c r="F1285" s="20" t="str">
        <f>IFERROR(VLOOKUP(I1285,KET!$B:$F,5,0),"")</f>
        <v>GMM</v>
      </c>
      <c r="G1285" s="20">
        <f>IFERROR(INDEX('Kode Outlet dan Target Toko'!$C:$C,MATCH($I1285,'Kode Outlet dan Target Toko'!$E:$E,0)),0)</f>
        <v>170220</v>
      </c>
      <c r="H1285" s="20">
        <f>IFERROR(INDEX('Kode Outlet dan Target Toko'!$D:$D,MATCH($I1285,'Kode Outlet dan Target Toko'!$E:$E,0)),0)</f>
        <v>1901019</v>
      </c>
      <c r="I1285" s="42" t="s">
        <v>38</v>
      </c>
      <c r="J1285" s="56" t="s">
        <v>268</v>
      </c>
      <c r="K1285" s="40" t="s">
        <v>14</v>
      </c>
      <c r="L1285" s="56">
        <v>2200</v>
      </c>
      <c r="M1285" s="26">
        <v>97</v>
      </c>
      <c r="N1285" s="25">
        <f t="shared" si="39"/>
        <v>213400</v>
      </c>
      <c r="O1285" s="26"/>
    </row>
    <row r="1286" spans="1:15" hidden="1" x14ac:dyDescent="0.3">
      <c r="A1286" s="26">
        <v>28</v>
      </c>
      <c r="B1286" s="20" t="str">
        <f t="shared" si="38"/>
        <v>JUL</v>
      </c>
      <c r="C1286" s="21">
        <v>46214</v>
      </c>
      <c r="D1286" s="22" t="str">
        <f t="array" ref="D1286">IFERROR(INDEX('Kode Outlet dan Target Toko'!$A:$A,MATCH($I1286,'Kode Outlet dan Target Toko'!$E:$E,0)),"")</f>
        <v>GRSM 5</v>
      </c>
      <c r="E1286" s="20" t="str">
        <f>IFERROR(VLOOKUP(I1286,KET!$B:$F,4,0),"")</f>
        <v>SUPRIYATI</v>
      </c>
      <c r="F1286" s="20" t="str">
        <f>IFERROR(VLOOKUP(I1286,KET!$B:$F,5,0),"")</f>
        <v>GMM</v>
      </c>
      <c r="G1286" s="20">
        <f>IFERROR(INDEX('Kode Outlet dan Target Toko'!$C:$C,MATCH($I1286,'Kode Outlet dan Target Toko'!$E:$E,0)),0)</f>
        <v>170220</v>
      </c>
      <c r="H1286" s="20">
        <f>IFERROR(INDEX('Kode Outlet dan Target Toko'!$D:$D,MATCH($I1286,'Kode Outlet dan Target Toko'!$E:$E,0)),0)</f>
        <v>1901019</v>
      </c>
      <c r="I1286" s="42" t="s">
        <v>38</v>
      </c>
      <c r="J1286" s="56" t="s">
        <v>268</v>
      </c>
      <c r="K1286" s="40" t="s">
        <v>13</v>
      </c>
      <c r="L1286" s="56">
        <v>2200</v>
      </c>
      <c r="M1286" s="26">
        <v>101</v>
      </c>
      <c r="N1286" s="25">
        <f t="shared" si="39"/>
        <v>222200</v>
      </c>
      <c r="O1286" s="26"/>
    </row>
    <row r="1287" spans="1:15" hidden="1" x14ac:dyDescent="0.3">
      <c r="A1287" s="26">
        <v>28</v>
      </c>
      <c r="B1287" s="20" t="str">
        <f t="shared" ref="B1287:B1350" si="40">IF(C1287="","",UPPER(TEXT(C1287, "MMM")))</f>
        <v>JUL</v>
      </c>
      <c r="C1287" s="21">
        <v>46214</v>
      </c>
      <c r="D1287" s="22" t="str">
        <f t="array" ref="D1287">IFERROR(INDEX('Kode Outlet dan Target Toko'!$A:$A,MATCH($I1287,'Kode Outlet dan Target Toko'!$E:$E,0)),"")</f>
        <v>GRSM 5</v>
      </c>
      <c r="E1287" s="20" t="str">
        <f>IFERROR(VLOOKUP(I1287,KET!$B:$F,4,0),"")</f>
        <v>SUPRIYATI</v>
      </c>
      <c r="F1287" s="20" t="str">
        <f>IFERROR(VLOOKUP(I1287,KET!$B:$F,5,0),"")</f>
        <v>GMM</v>
      </c>
      <c r="G1287" s="20">
        <f>IFERROR(INDEX('Kode Outlet dan Target Toko'!$C:$C,MATCH($I1287,'Kode Outlet dan Target Toko'!$E:$E,0)),0)</f>
        <v>170220</v>
      </c>
      <c r="H1287" s="20">
        <f>IFERROR(INDEX('Kode Outlet dan Target Toko'!$D:$D,MATCH($I1287,'Kode Outlet dan Target Toko'!$E:$E,0)),0)</f>
        <v>1901019</v>
      </c>
      <c r="I1287" s="42" t="s">
        <v>38</v>
      </c>
      <c r="J1287" s="56" t="s">
        <v>268</v>
      </c>
      <c r="K1287" s="40" t="s">
        <v>16</v>
      </c>
      <c r="L1287" s="56">
        <v>2200</v>
      </c>
      <c r="M1287" s="26">
        <v>255</v>
      </c>
      <c r="N1287" s="25">
        <f t="shared" ref="N1287:N1350" si="41">IFERROR(M1287*L1287,"")</f>
        <v>561000</v>
      </c>
      <c r="O1287" s="26">
        <v>100</v>
      </c>
    </row>
    <row r="1288" spans="1:15" hidden="1" x14ac:dyDescent="0.3">
      <c r="A1288" s="26">
        <v>28</v>
      </c>
      <c r="B1288" s="20" t="str">
        <f t="shared" si="40"/>
        <v>JUL</v>
      </c>
      <c r="C1288" s="21">
        <v>46214</v>
      </c>
      <c r="D1288" s="22" t="str">
        <f t="array" ref="D1288">IFERROR(INDEX('Kode Outlet dan Target Toko'!$A:$A,MATCH($I1288,'Kode Outlet dan Target Toko'!$E:$E,0)),"")</f>
        <v>GRSM 5</v>
      </c>
      <c r="E1288" s="20" t="str">
        <f>IFERROR(VLOOKUP(I1288,KET!$B:$F,4,0),"")</f>
        <v>SUPRIYATI</v>
      </c>
      <c r="F1288" s="20" t="str">
        <f>IFERROR(VLOOKUP(I1288,KET!$B:$F,5,0),"")</f>
        <v>GMM</v>
      </c>
      <c r="G1288" s="20">
        <f>IFERROR(INDEX('Kode Outlet dan Target Toko'!$C:$C,MATCH($I1288,'Kode Outlet dan Target Toko'!$E:$E,0)),0)</f>
        <v>170220</v>
      </c>
      <c r="H1288" s="20">
        <f>IFERROR(INDEX('Kode Outlet dan Target Toko'!$D:$D,MATCH($I1288,'Kode Outlet dan Target Toko'!$E:$E,0)),0)</f>
        <v>9000015</v>
      </c>
      <c r="I1288" s="42" t="s">
        <v>37</v>
      </c>
      <c r="J1288" s="56" t="s">
        <v>265</v>
      </c>
      <c r="K1288" s="40" t="s">
        <v>15</v>
      </c>
      <c r="L1288" s="56">
        <v>2200</v>
      </c>
      <c r="M1288" s="26">
        <v>87</v>
      </c>
      <c r="N1288" s="25">
        <f t="shared" si="41"/>
        <v>191400</v>
      </c>
      <c r="O1288" s="26"/>
    </row>
    <row r="1289" spans="1:15" hidden="1" x14ac:dyDescent="0.3">
      <c r="A1289" s="26">
        <v>28</v>
      </c>
      <c r="B1289" s="20" t="str">
        <f t="shared" si="40"/>
        <v>JUL</v>
      </c>
      <c r="C1289" s="21">
        <v>46214</v>
      </c>
      <c r="D1289" s="22" t="str">
        <f t="array" ref="D1289">IFERROR(INDEX('Kode Outlet dan Target Toko'!$A:$A,MATCH($I1289,'Kode Outlet dan Target Toko'!$E:$E,0)),"")</f>
        <v>GRSM 5</v>
      </c>
      <c r="E1289" s="20" t="str">
        <f>IFERROR(VLOOKUP(I1289,KET!$B:$F,4,0),"")</f>
        <v>SUPRIYATI</v>
      </c>
      <c r="F1289" s="20" t="str">
        <f>IFERROR(VLOOKUP(I1289,KET!$B:$F,5,0),"")</f>
        <v>GMM</v>
      </c>
      <c r="G1289" s="20">
        <f>IFERROR(INDEX('Kode Outlet dan Target Toko'!$C:$C,MATCH($I1289,'Kode Outlet dan Target Toko'!$E:$E,0)),0)</f>
        <v>170220</v>
      </c>
      <c r="H1289" s="20">
        <f>IFERROR(INDEX('Kode Outlet dan Target Toko'!$D:$D,MATCH($I1289,'Kode Outlet dan Target Toko'!$E:$E,0)),0)</f>
        <v>9000015</v>
      </c>
      <c r="I1289" s="42" t="s">
        <v>37</v>
      </c>
      <c r="J1289" s="56" t="s">
        <v>265</v>
      </c>
      <c r="K1289" s="40" t="s">
        <v>14</v>
      </c>
      <c r="L1289" s="56">
        <v>2200</v>
      </c>
      <c r="M1289" s="26">
        <v>281</v>
      </c>
      <c r="N1289" s="25">
        <f t="shared" si="41"/>
        <v>618200</v>
      </c>
      <c r="O1289" s="26"/>
    </row>
    <row r="1290" spans="1:15" hidden="1" x14ac:dyDescent="0.3">
      <c r="A1290" s="26">
        <v>28</v>
      </c>
      <c r="B1290" s="20" t="str">
        <f t="shared" si="40"/>
        <v>JUL</v>
      </c>
      <c r="C1290" s="21">
        <v>46214</v>
      </c>
      <c r="D1290" s="22" t="str">
        <f t="array" ref="D1290">IFERROR(INDEX('Kode Outlet dan Target Toko'!$A:$A,MATCH($I1290,'Kode Outlet dan Target Toko'!$E:$E,0)),"")</f>
        <v>GRSM 5</v>
      </c>
      <c r="E1290" s="20" t="str">
        <f>IFERROR(VLOOKUP(I1290,KET!$B:$F,4,0),"")</f>
        <v>SUPRIYATI</v>
      </c>
      <c r="F1290" s="20" t="str">
        <f>IFERROR(VLOOKUP(I1290,KET!$B:$F,5,0),"")</f>
        <v>GMM</v>
      </c>
      <c r="G1290" s="20">
        <f>IFERROR(INDEX('Kode Outlet dan Target Toko'!$C:$C,MATCH($I1290,'Kode Outlet dan Target Toko'!$E:$E,0)),0)</f>
        <v>170220</v>
      </c>
      <c r="H1290" s="20">
        <f>IFERROR(INDEX('Kode Outlet dan Target Toko'!$D:$D,MATCH($I1290,'Kode Outlet dan Target Toko'!$E:$E,0)),0)</f>
        <v>9000015</v>
      </c>
      <c r="I1290" s="42" t="s">
        <v>37</v>
      </c>
      <c r="J1290" s="56" t="s">
        <v>265</v>
      </c>
      <c r="K1290" s="40" t="s">
        <v>13</v>
      </c>
      <c r="L1290" s="56">
        <v>2200</v>
      </c>
      <c r="M1290" s="26">
        <v>52</v>
      </c>
      <c r="N1290" s="25">
        <f t="shared" si="41"/>
        <v>114400</v>
      </c>
      <c r="O1290" s="26"/>
    </row>
    <row r="1291" spans="1:15" hidden="1" x14ac:dyDescent="0.3">
      <c r="A1291" s="26">
        <v>28</v>
      </c>
      <c r="B1291" s="20" t="str">
        <f t="shared" si="40"/>
        <v>JUL</v>
      </c>
      <c r="C1291" s="21">
        <v>46214</v>
      </c>
      <c r="D1291" s="22" t="str">
        <f t="array" ref="D1291">IFERROR(INDEX('Kode Outlet dan Target Toko'!$A:$A,MATCH($I1291,'Kode Outlet dan Target Toko'!$E:$E,0)),"")</f>
        <v>GRSM 5</v>
      </c>
      <c r="E1291" s="20" t="str">
        <f>IFERROR(VLOOKUP(I1291,KET!$B:$F,4,0),"")</f>
        <v>SUPRIYATI</v>
      </c>
      <c r="F1291" s="20" t="str">
        <f>IFERROR(VLOOKUP(I1291,KET!$B:$F,5,0),"")</f>
        <v>GMM</v>
      </c>
      <c r="G1291" s="20">
        <f>IFERROR(INDEX('Kode Outlet dan Target Toko'!$C:$C,MATCH($I1291,'Kode Outlet dan Target Toko'!$E:$E,0)),0)</f>
        <v>170220</v>
      </c>
      <c r="H1291" s="20">
        <f>IFERROR(INDEX('Kode Outlet dan Target Toko'!$D:$D,MATCH($I1291,'Kode Outlet dan Target Toko'!$E:$E,0)),0)</f>
        <v>9000015</v>
      </c>
      <c r="I1291" s="42" t="s">
        <v>37</v>
      </c>
      <c r="J1291" s="56" t="s">
        <v>265</v>
      </c>
      <c r="K1291" s="40" t="s">
        <v>16</v>
      </c>
      <c r="L1291" s="56">
        <v>2200</v>
      </c>
      <c r="M1291" s="26">
        <v>310</v>
      </c>
      <c r="N1291" s="25">
        <f t="shared" si="41"/>
        <v>682000</v>
      </c>
      <c r="O1291" s="26">
        <v>160</v>
      </c>
    </row>
    <row r="1292" spans="1:15" hidden="1" x14ac:dyDescent="0.3">
      <c r="A1292" s="26">
        <v>28</v>
      </c>
      <c r="B1292" s="20" t="str">
        <f t="shared" si="40"/>
        <v>JUL</v>
      </c>
      <c r="C1292" s="21">
        <v>46214</v>
      </c>
      <c r="D1292" s="22" t="str">
        <f t="array" ref="D1292">IFERROR(INDEX('Kode Outlet dan Target Toko'!$A:$A,MATCH($I1292,'Kode Outlet dan Target Toko'!$E:$E,0)),"")</f>
        <v>GRSM 5</v>
      </c>
      <c r="E1292" s="20" t="str">
        <f>IFERROR(VLOOKUP(I1292,KET!$B:$F,4,0),"")</f>
        <v>SUPRIYATI</v>
      </c>
      <c r="F1292" s="20" t="str">
        <f>IFERROR(VLOOKUP(I1292,KET!$B:$F,5,0),"")</f>
        <v>GMM</v>
      </c>
      <c r="G1292" s="20">
        <f>IFERROR(INDEX('Kode Outlet dan Target Toko'!$C:$C,MATCH($I1292,'Kode Outlet dan Target Toko'!$E:$E,0)),0)</f>
        <v>170220</v>
      </c>
      <c r="H1292" s="20">
        <f>IFERROR(INDEX('Kode Outlet dan Target Toko'!$D:$D,MATCH($I1292,'Kode Outlet dan Target Toko'!$E:$E,0)),0)</f>
        <v>9000015</v>
      </c>
      <c r="I1292" s="42" t="s">
        <v>37</v>
      </c>
      <c r="J1292" s="56" t="s">
        <v>266</v>
      </c>
      <c r="K1292" s="40" t="s">
        <v>15</v>
      </c>
      <c r="L1292" s="56">
        <v>2200</v>
      </c>
      <c r="M1292" s="26">
        <v>87</v>
      </c>
      <c r="N1292" s="25">
        <f t="shared" si="41"/>
        <v>191400</v>
      </c>
      <c r="O1292" s="26"/>
    </row>
    <row r="1293" spans="1:15" hidden="1" x14ac:dyDescent="0.3">
      <c r="A1293" s="26">
        <v>28</v>
      </c>
      <c r="B1293" s="20" t="str">
        <f t="shared" si="40"/>
        <v>JUL</v>
      </c>
      <c r="C1293" s="21">
        <v>46214</v>
      </c>
      <c r="D1293" s="22" t="str">
        <f t="array" ref="D1293">IFERROR(INDEX('Kode Outlet dan Target Toko'!$A:$A,MATCH($I1293,'Kode Outlet dan Target Toko'!$E:$E,0)),"")</f>
        <v>GRSM 5</v>
      </c>
      <c r="E1293" s="20" t="str">
        <f>IFERROR(VLOOKUP(I1293,KET!$B:$F,4,0),"")</f>
        <v>SUPRIYATI</v>
      </c>
      <c r="F1293" s="20" t="str">
        <f>IFERROR(VLOOKUP(I1293,KET!$B:$F,5,0),"")</f>
        <v>GMM</v>
      </c>
      <c r="G1293" s="20">
        <f>IFERROR(INDEX('Kode Outlet dan Target Toko'!$C:$C,MATCH($I1293,'Kode Outlet dan Target Toko'!$E:$E,0)),0)</f>
        <v>170220</v>
      </c>
      <c r="H1293" s="20">
        <f>IFERROR(INDEX('Kode Outlet dan Target Toko'!$D:$D,MATCH($I1293,'Kode Outlet dan Target Toko'!$E:$E,0)),0)</f>
        <v>9000015</v>
      </c>
      <c r="I1293" s="42" t="s">
        <v>37</v>
      </c>
      <c r="J1293" s="56" t="s">
        <v>266</v>
      </c>
      <c r="K1293" s="40" t="s">
        <v>14</v>
      </c>
      <c r="L1293" s="56">
        <v>2200</v>
      </c>
      <c r="M1293" s="26">
        <v>281</v>
      </c>
      <c r="N1293" s="25">
        <f t="shared" si="41"/>
        <v>618200</v>
      </c>
      <c r="O1293" s="26"/>
    </row>
    <row r="1294" spans="1:15" hidden="1" x14ac:dyDescent="0.3">
      <c r="A1294" s="26">
        <v>28</v>
      </c>
      <c r="B1294" s="20" t="str">
        <f t="shared" si="40"/>
        <v>JUL</v>
      </c>
      <c r="C1294" s="21">
        <v>46214</v>
      </c>
      <c r="D1294" s="22" t="str">
        <f t="array" ref="D1294">IFERROR(INDEX('Kode Outlet dan Target Toko'!$A:$A,MATCH($I1294,'Kode Outlet dan Target Toko'!$E:$E,0)),"")</f>
        <v>GRSM 5</v>
      </c>
      <c r="E1294" s="20" t="str">
        <f>IFERROR(VLOOKUP(I1294,KET!$B:$F,4,0),"")</f>
        <v>SUPRIYATI</v>
      </c>
      <c r="F1294" s="20" t="str">
        <f>IFERROR(VLOOKUP(I1294,KET!$B:$F,5,0),"")</f>
        <v>GMM</v>
      </c>
      <c r="G1294" s="20">
        <f>IFERROR(INDEX('Kode Outlet dan Target Toko'!$C:$C,MATCH($I1294,'Kode Outlet dan Target Toko'!$E:$E,0)),0)</f>
        <v>170220</v>
      </c>
      <c r="H1294" s="20">
        <f>IFERROR(INDEX('Kode Outlet dan Target Toko'!$D:$D,MATCH($I1294,'Kode Outlet dan Target Toko'!$E:$E,0)),0)</f>
        <v>9000015</v>
      </c>
      <c r="I1294" s="42" t="s">
        <v>37</v>
      </c>
      <c r="J1294" s="56" t="s">
        <v>266</v>
      </c>
      <c r="K1294" s="40" t="s">
        <v>13</v>
      </c>
      <c r="L1294" s="56">
        <v>2200</v>
      </c>
      <c r="M1294" s="26">
        <v>52</v>
      </c>
      <c r="N1294" s="25">
        <f t="shared" si="41"/>
        <v>114400</v>
      </c>
      <c r="O1294" s="26"/>
    </row>
    <row r="1295" spans="1:15" hidden="1" x14ac:dyDescent="0.3">
      <c r="A1295" s="26">
        <v>28</v>
      </c>
      <c r="B1295" s="20" t="str">
        <f t="shared" si="40"/>
        <v>JUL</v>
      </c>
      <c r="C1295" s="21">
        <v>46214</v>
      </c>
      <c r="D1295" s="22" t="str">
        <f t="array" ref="D1295">IFERROR(INDEX('Kode Outlet dan Target Toko'!$A:$A,MATCH($I1295,'Kode Outlet dan Target Toko'!$E:$E,0)),"")</f>
        <v>GRSM 5</v>
      </c>
      <c r="E1295" s="20" t="str">
        <f>IFERROR(VLOOKUP(I1295,KET!$B:$F,4,0),"")</f>
        <v>SUPRIYATI</v>
      </c>
      <c r="F1295" s="20" t="str">
        <f>IFERROR(VLOOKUP(I1295,KET!$B:$F,5,0),"")</f>
        <v>GMM</v>
      </c>
      <c r="G1295" s="20">
        <f>IFERROR(INDEX('Kode Outlet dan Target Toko'!$C:$C,MATCH($I1295,'Kode Outlet dan Target Toko'!$E:$E,0)),0)</f>
        <v>170220</v>
      </c>
      <c r="H1295" s="20">
        <f>IFERROR(INDEX('Kode Outlet dan Target Toko'!$D:$D,MATCH($I1295,'Kode Outlet dan Target Toko'!$E:$E,0)),0)</f>
        <v>9000015</v>
      </c>
      <c r="I1295" s="42" t="s">
        <v>37</v>
      </c>
      <c r="J1295" s="56" t="s">
        <v>266</v>
      </c>
      <c r="K1295" s="40" t="s">
        <v>16</v>
      </c>
      <c r="L1295" s="56">
        <v>2200</v>
      </c>
      <c r="M1295" s="26">
        <v>310</v>
      </c>
      <c r="N1295" s="25">
        <f t="shared" si="41"/>
        <v>682000</v>
      </c>
      <c r="O1295" s="26">
        <v>160</v>
      </c>
    </row>
    <row r="1296" spans="1:15" hidden="1" x14ac:dyDescent="0.3">
      <c r="A1296" s="26">
        <v>28</v>
      </c>
      <c r="B1296" s="20" t="str">
        <f t="shared" si="40"/>
        <v>JUL</v>
      </c>
      <c r="C1296" s="21">
        <v>46214</v>
      </c>
      <c r="D1296" s="22" t="str">
        <f t="array" ref="D1296">IFERROR(INDEX('Kode Outlet dan Target Toko'!$A:$A,MATCH($I1296,'Kode Outlet dan Target Toko'!$E:$E,0)),"")</f>
        <v>GRSM 5</v>
      </c>
      <c r="E1296" s="20" t="str">
        <f>IFERROR(VLOOKUP(I1296,KET!$B:$F,4,0),"")</f>
        <v>SUPRIYATI</v>
      </c>
      <c r="F1296" s="20" t="str">
        <f>IFERROR(VLOOKUP(I1296,KET!$B:$F,5,0),"")</f>
        <v>GMM</v>
      </c>
      <c r="G1296" s="20">
        <f>IFERROR(INDEX('Kode Outlet dan Target Toko'!$C:$C,MATCH($I1296,'Kode Outlet dan Target Toko'!$E:$E,0)),0)</f>
        <v>170220</v>
      </c>
      <c r="H1296" s="20">
        <f>IFERROR(INDEX('Kode Outlet dan Target Toko'!$D:$D,MATCH($I1296,'Kode Outlet dan Target Toko'!$E:$E,0)),0)</f>
        <v>1901004</v>
      </c>
      <c r="I1296" s="42" t="s">
        <v>36</v>
      </c>
      <c r="J1296" s="56" t="s">
        <v>263</v>
      </c>
      <c r="K1296" s="40" t="s">
        <v>15</v>
      </c>
      <c r="L1296" s="56">
        <v>2200</v>
      </c>
      <c r="M1296" s="26">
        <v>103</v>
      </c>
      <c r="N1296" s="25">
        <f t="shared" si="41"/>
        <v>226600</v>
      </c>
      <c r="O1296" s="26"/>
    </row>
    <row r="1297" spans="1:15" hidden="1" x14ac:dyDescent="0.3">
      <c r="A1297" s="26">
        <v>28</v>
      </c>
      <c r="B1297" s="20" t="str">
        <f t="shared" si="40"/>
        <v>JUL</v>
      </c>
      <c r="C1297" s="21">
        <v>46214</v>
      </c>
      <c r="D1297" s="22" t="str">
        <f t="array" ref="D1297">IFERROR(INDEX('Kode Outlet dan Target Toko'!$A:$A,MATCH($I1297,'Kode Outlet dan Target Toko'!$E:$E,0)),"")</f>
        <v>GRSM 5</v>
      </c>
      <c r="E1297" s="20" t="str">
        <f>IFERROR(VLOOKUP(I1297,KET!$B:$F,4,0),"")</f>
        <v>SUPRIYATI</v>
      </c>
      <c r="F1297" s="20" t="str">
        <f>IFERROR(VLOOKUP(I1297,KET!$B:$F,5,0),"")</f>
        <v>GMM</v>
      </c>
      <c r="G1297" s="20">
        <f>IFERROR(INDEX('Kode Outlet dan Target Toko'!$C:$C,MATCH($I1297,'Kode Outlet dan Target Toko'!$E:$E,0)),0)</f>
        <v>170220</v>
      </c>
      <c r="H1297" s="20">
        <f>IFERROR(INDEX('Kode Outlet dan Target Toko'!$D:$D,MATCH($I1297,'Kode Outlet dan Target Toko'!$E:$E,0)),0)</f>
        <v>1901004</v>
      </c>
      <c r="I1297" s="42" t="s">
        <v>36</v>
      </c>
      <c r="J1297" s="56" t="s">
        <v>263</v>
      </c>
      <c r="K1297" s="40" t="s">
        <v>14</v>
      </c>
      <c r="L1297" s="56">
        <v>2200</v>
      </c>
      <c r="M1297" s="26">
        <v>309</v>
      </c>
      <c r="N1297" s="25">
        <f t="shared" si="41"/>
        <v>679800</v>
      </c>
      <c r="O1297" s="26"/>
    </row>
    <row r="1298" spans="1:15" hidden="1" x14ac:dyDescent="0.3">
      <c r="A1298" s="26">
        <v>28</v>
      </c>
      <c r="B1298" s="20" t="str">
        <f t="shared" si="40"/>
        <v>JUL</v>
      </c>
      <c r="C1298" s="21">
        <v>46214</v>
      </c>
      <c r="D1298" s="22" t="str">
        <f t="array" ref="D1298">IFERROR(INDEX('Kode Outlet dan Target Toko'!$A:$A,MATCH($I1298,'Kode Outlet dan Target Toko'!$E:$E,0)),"")</f>
        <v>GRSM 5</v>
      </c>
      <c r="E1298" s="20" t="str">
        <f>IFERROR(VLOOKUP(I1298,KET!$B:$F,4,0),"")</f>
        <v>SUPRIYATI</v>
      </c>
      <c r="F1298" s="20" t="str">
        <f>IFERROR(VLOOKUP(I1298,KET!$B:$F,5,0),"")</f>
        <v>GMM</v>
      </c>
      <c r="G1298" s="20">
        <f>IFERROR(INDEX('Kode Outlet dan Target Toko'!$C:$C,MATCH($I1298,'Kode Outlet dan Target Toko'!$E:$E,0)),0)</f>
        <v>170220</v>
      </c>
      <c r="H1298" s="20">
        <f>IFERROR(INDEX('Kode Outlet dan Target Toko'!$D:$D,MATCH($I1298,'Kode Outlet dan Target Toko'!$E:$E,0)),0)</f>
        <v>1901004</v>
      </c>
      <c r="I1298" s="42" t="s">
        <v>36</v>
      </c>
      <c r="J1298" s="56" t="s">
        <v>263</v>
      </c>
      <c r="K1298" s="40" t="s">
        <v>13</v>
      </c>
      <c r="L1298" s="56">
        <v>2200</v>
      </c>
      <c r="M1298" s="26">
        <v>73</v>
      </c>
      <c r="N1298" s="25">
        <f t="shared" si="41"/>
        <v>160600</v>
      </c>
      <c r="O1298" s="26"/>
    </row>
    <row r="1299" spans="1:15" hidden="1" x14ac:dyDescent="0.3">
      <c r="A1299" s="26">
        <v>28</v>
      </c>
      <c r="B1299" s="20" t="str">
        <f t="shared" si="40"/>
        <v>JUL</v>
      </c>
      <c r="C1299" s="21">
        <v>46214</v>
      </c>
      <c r="D1299" s="22" t="str">
        <f t="array" ref="D1299">IFERROR(INDEX('Kode Outlet dan Target Toko'!$A:$A,MATCH($I1299,'Kode Outlet dan Target Toko'!$E:$E,0)),"")</f>
        <v>GRSM 5</v>
      </c>
      <c r="E1299" s="20" t="str">
        <f>IFERROR(VLOOKUP(I1299,KET!$B:$F,4,0),"")</f>
        <v>SUPRIYATI</v>
      </c>
      <c r="F1299" s="20" t="str">
        <f>IFERROR(VLOOKUP(I1299,KET!$B:$F,5,0),"")</f>
        <v>GMM</v>
      </c>
      <c r="G1299" s="20">
        <f>IFERROR(INDEX('Kode Outlet dan Target Toko'!$C:$C,MATCH($I1299,'Kode Outlet dan Target Toko'!$E:$E,0)),0)</f>
        <v>170220</v>
      </c>
      <c r="H1299" s="20">
        <f>IFERROR(INDEX('Kode Outlet dan Target Toko'!$D:$D,MATCH($I1299,'Kode Outlet dan Target Toko'!$E:$E,0)),0)</f>
        <v>1901004</v>
      </c>
      <c r="I1299" s="42" t="s">
        <v>36</v>
      </c>
      <c r="J1299" s="56" t="s">
        <v>263</v>
      </c>
      <c r="K1299" s="40" t="s">
        <v>16</v>
      </c>
      <c r="L1299" s="56">
        <v>2200</v>
      </c>
      <c r="M1299" s="26">
        <v>277</v>
      </c>
      <c r="N1299" s="25">
        <f t="shared" si="41"/>
        <v>609400</v>
      </c>
      <c r="O1299" s="26">
        <v>120</v>
      </c>
    </row>
    <row r="1300" spans="1:15" hidden="1" x14ac:dyDescent="0.3">
      <c r="A1300" s="26">
        <v>28</v>
      </c>
      <c r="B1300" s="20" t="str">
        <f t="shared" si="40"/>
        <v>JUL</v>
      </c>
      <c r="C1300" s="21">
        <v>46214</v>
      </c>
      <c r="D1300" s="22" t="str">
        <f t="array" ref="D1300">IFERROR(INDEX('Kode Outlet dan Target Toko'!$A:$A,MATCH($I1300,'Kode Outlet dan Target Toko'!$E:$E,0)),"")</f>
        <v>GRSM 5</v>
      </c>
      <c r="E1300" s="20" t="str">
        <f>IFERROR(VLOOKUP(I1300,KET!$B:$F,4,0),"")</f>
        <v>SUPRIYATI</v>
      </c>
      <c r="F1300" s="20" t="str">
        <f>IFERROR(VLOOKUP(I1300,KET!$B:$F,5,0),"")</f>
        <v>GMM</v>
      </c>
      <c r="G1300" s="20">
        <f>IFERROR(INDEX('Kode Outlet dan Target Toko'!$C:$C,MATCH($I1300,'Kode Outlet dan Target Toko'!$E:$E,0)),0)</f>
        <v>170220</v>
      </c>
      <c r="H1300" s="20">
        <f>IFERROR(INDEX('Kode Outlet dan Target Toko'!$D:$D,MATCH($I1300,'Kode Outlet dan Target Toko'!$E:$E,0)),0)</f>
        <v>1901004</v>
      </c>
      <c r="I1300" s="42" t="s">
        <v>36</v>
      </c>
      <c r="J1300" s="56" t="s">
        <v>264</v>
      </c>
      <c r="K1300" s="40" t="s">
        <v>15</v>
      </c>
      <c r="L1300" s="56">
        <v>2200</v>
      </c>
      <c r="M1300" s="26">
        <v>103</v>
      </c>
      <c r="N1300" s="25">
        <f t="shared" si="41"/>
        <v>226600</v>
      </c>
      <c r="O1300" s="26"/>
    </row>
    <row r="1301" spans="1:15" hidden="1" x14ac:dyDescent="0.3">
      <c r="A1301" s="26">
        <v>28</v>
      </c>
      <c r="B1301" s="20" t="str">
        <f t="shared" si="40"/>
        <v>JUL</v>
      </c>
      <c r="C1301" s="21">
        <v>46214</v>
      </c>
      <c r="D1301" s="22" t="str">
        <f t="array" ref="D1301">IFERROR(INDEX('Kode Outlet dan Target Toko'!$A:$A,MATCH($I1301,'Kode Outlet dan Target Toko'!$E:$E,0)),"")</f>
        <v>GRSM 5</v>
      </c>
      <c r="E1301" s="20" t="str">
        <f>IFERROR(VLOOKUP(I1301,KET!$B:$F,4,0),"")</f>
        <v>SUPRIYATI</v>
      </c>
      <c r="F1301" s="20" t="str">
        <f>IFERROR(VLOOKUP(I1301,KET!$B:$F,5,0),"")</f>
        <v>GMM</v>
      </c>
      <c r="G1301" s="20">
        <f>IFERROR(INDEX('Kode Outlet dan Target Toko'!$C:$C,MATCH($I1301,'Kode Outlet dan Target Toko'!$E:$E,0)),0)</f>
        <v>170220</v>
      </c>
      <c r="H1301" s="20">
        <f>IFERROR(INDEX('Kode Outlet dan Target Toko'!$D:$D,MATCH($I1301,'Kode Outlet dan Target Toko'!$E:$E,0)),0)</f>
        <v>1901004</v>
      </c>
      <c r="I1301" s="42" t="s">
        <v>36</v>
      </c>
      <c r="J1301" s="56" t="s">
        <v>264</v>
      </c>
      <c r="K1301" s="40" t="s">
        <v>14</v>
      </c>
      <c r="L1301" s="56">
        <v>2200</v>
      </c>
      <c r="M1301" s="26">
        <v>309</v>
      </c>
      <c r="N1301" s="25">
        <f t="shared" si="41"/>
        <v>679800</v>
      </c>
      <c r="O1301" s="26"/>
    </row>
    <row r="1302" spans="1:15" hidden="1" x14ac:dyDescent="0.3">
      <c r="A1302" s="26">
        <v>28</v>
      </c>
      <c r="B1302" s="20" t="str">
        <f t="shared" si="40"/>
        <v>JUL</v>
      </c>
      <c r="C1302" s="21">
        <v>46214</v>
      </c>
      <c r="D1302" s="22" t="str">
        <f t="array" ref="D1302">IFERROR(INDEX('Kode Outlet dan Target Toko'!$A:$A,MATCH($I1302,'Kode Outlet dan Target Toko'!$E:$E,0)),"")</f>
        <v>GRSM 5</v>
      </c>
      <c r="E1302" s="20" t="str">
        <f>IFERROR(VLOOKUP(I1302,KET!$B:$F,4,0),"")</f>
        <v>SUPRIYATI</v>
      </c>
      <c r="F1302" s="20" t="str">
        <f>IFERROR(VLOOKUP(I1302,KET!$B:$F,5,0),"")</f>
        <v>GMM</v>
      </c>
      <c r="G1302" s="20">
        <f>IFERROR(INDEX('Kode Outlet dan Target Toko'!$C:$C,MATCH($I1302,'Kode Outlet dan Target Toko'!$E:$E,0)),0)</f>
        <v>170220</v>
      </c>
      <c r="H1302" s="20">
        <f>IFERROR(INDEX('Kode Outlet dan Target Toko'!$D:$D,MATCH($I1302,'Kode Outlet dan Target Toko'!$E:$E,0)),0)</f>
        <v>1901004</v>
      </c>
      <c r="I1302" s="42" t="s">
        <v>36</v>
      </c>
      <c r="J1302" s="56" t="s">
        <v>264</v>
      </c>
      <c r="K1302" s="40" t="s">
        <v>13</v>
      </c>
      <c r="L1302" s="56">
        <v>2200</v>
      </c>
      <c r="M1302" s="26">
        <v>73</v>
      </c>
      <c r="N1302" s="25">
        <f t="shared" si="41"/>
        <v>160600</v>
      </c>
      <c r="O1302" s="26"/>
    </row>
    <row r="1303" spans="1:15" hidden="1" x14ac:dyDescent="0.3">
      <c r="A1303" s="26">
        <v>28</v>
      </c>
      <c r="B1303" s="20" t="str">
        <f t="shared" si="40"/>
        <v>JUL</v>
      </c>
      <c r="C1303" s="21">
        <v>46214</v>
      </c>
      <c r="D1303" s="22" t="str">
        <f t="array" ref="D1303">IFERROR(INDEX('Kode Outlet dan Target Toko'!$A:$A,MATCH($I1303,'Kode Outlet dan Target Toko'!$E:$E,0)),"")</f>
        <v>GRSM 5</v>
      </c>
      <c r="E1303" s="20" t="str">
        <f>IFERROR(VLOOKUP(I1303,KET!$B:$F,4,0),"")</f>
        <v>SUPRIYATI</v>
      </c>
      <c r="F1303" s="20" t="str">
        <f>IFERROR(VLOOKUP(I1303,KET!$B:$F,5,0),"")</f>
        <v>GMM</v>
      </c>
      <c r="G1303" s="20">
        <f>IFERROR(INDEX('Kode Outlet dan Target Toko'!$C:$C,MATCH($I1303,'Kode Outlet dan Target Toko'!$E:$E,0)),0)</f>
        <v>170220</v>
      </c>
      <c r="H1303" s="20">
        <f>IFERROR(INDEX('Kode Outlet dan Target Toko'!$D:$D,MATCH($I1303,'Kode Outlet dan Target Toko'!$E:$E,0)),0)</f>
        <v>1901004</v>
      </c>
      <c r="I1303" s="42" t="s">
        <v>36</v>
      </c>
      <c r="J1303" s="56" t="s">
        <v>264</v>
      </c>
      <c r="K1303" s="40" t="s">
        <v>16</v>
      </c>
      <c r="L1303" s="56">
        <v>2200</v>
      </c>
      <c r="M1303" s="26">
        <v>277</v>
      </c>
      <c r="N1303" s="25">
        <f t="shared" si="41"/>
        <v>609400</v>
      </c>
      <c r="O1303" s="26">
        <v>120</v>
      </c>
    </row>
    <row r="1304" spans="1:15" hidden="1" x14ac:dyDescent="0.3">
      <c r="A1304" s="26">
        <v>28</v>
      </c>
      <c r="B1304" s="20" t="str">
        <f t="shared" si="40"/>
        <v>JUL</v>
      </c>
      <c r="C1304" s="21">
        <v>46215</v>
      </c>
      <c r="D1304" s="22" t="str">
        <f t="array" ref="D1304">IFERROR(INDEX('Kode Outlet dan Target Toko'!$A:$A,MATCH($I1304,'Kode Outlet dan Target Toko'!$E:$E,0)),"")</f>
        <v>GRSM 5</v>
      </c>
      <c r="E1304" s="20" t="str">
        <f>IFERROR(VLOOKUP(I1304,KET!$B:$F,4,0),"")</f>
        <v>SUPRIYATI</v>
      </c>
      <c r="F1304" s="20" t="str">
        <f>IFERROR(VLOOKUP(I1304,KET!$B:$F,5,0),"")</f>
        <v>GMM</v>
      </c>
      <c r="G1304" s="20">
        <f>IFERROR(INDEX('Kode Outlet dan Target Toko'!$C:$C,MATCH($I1304,'Kode Outlet dan Target Toko'!$E:$E,0)),0)</f>
        <v>170220</v>
      </c>
      <c r="H1304" s="20">
        <f>IFERROR(INDEX('Kode Outlet dan Target Toko'!$D:$D,MATCH($I1304,'Kode Outlet dan Target Toko'!$E:$E,0)),0)</f>
        <v>9000015</v>
      </c>
      <c r="I1304" s="42" t="s">
        <v>33</v>
      </c>
      <c r="J1304" s="56" t="s">
        <v>260</v>
      </c>
      <c r="K1304" s="40" t="s">
        <v>15</v>
      </c>
      <c r="L1304" s="56">
        <v>2200</v>
      </c>
      <c r="M1304" s="26">
        <v>148</v>
      </c>
      <c r="N1304" s="25">
        <f t="shared" si="41"/>
        <v>325600</v>
      </c>
      <c r="O1304" s="26"/>
    </row>
    <row r="1305" spans="1:15" hidden="1" x14ac:dyDescent="0.3">
      <c r="A1305" s="26">
        <v>28</v>
      </c>
      <c r="B1305" s="20" t="str">
        <f t="shared" si="40"/>
        <v>JUL</v>
      </c>
      <c r="C1305" s="21">
        <v>46215</v>
      </c>
      <c r="D1305" s="22" t="str">
        <f t="array" ref="D1305">IFERROR(INDEX('Kode Outlet dan Target Toko'!$A:$A,MATCH($I1305,'Kode Outlet dan Target Toko'!$E:$E,0)),"")</f>
        <v>GRSM 5</v>
      </c>
      <c r="E1305" s="20" t="str">
        <f>IFERROR(VLOOKUP(I1305,KET!$B:$F,4,0),"")</f>
        <v>SUPRIYATI</v>
      </c>
      <c r="F1305" s="20" t="str">
        <f>IFERROR(VLOOKUP(I1305,KET!$B:$F,5,0),"")</f>
        <v>GMM</v>
      </c>
      <c r="G1305" s="20">
        <f>IFERROR(INDEX('Kode Outlet dan Target Toko'!$C:$C,MATCH($I1305,'Kode Outlet dan Target Toko'!$E:$E,0)),0)</f>
        <v>170220</v>
      </c>
      <c r="H1305" s="20">
        <f>IFERROR(INDEX('Kode Outlet dan Target Toko'!$D:$D,MATCH($I1305,'Kode Outlet dan Target Toko'!$E:$E,0)),0)</f>
        <v>9000015</v>
      </c>
      <c r="I1305" s="42" t="s">
        <v>33</v>
      </c>
      <c r="J1305" s="56" t="s">
        <v>260</v>
      </c>
      <c r="K1305" s="40" t="s">
        <v>14</v>
      </c>
      <c r="L1305" s="56">
        <v>2200</v>
      </c>
      <c r="M1305" s="26">
        <v>142</v>
      </c>
      <c r="N1305" s="25">
        <f t="shared" si="41"/>
        <v>312400</v>
      </c>
      <c r="O1305" s="26"/>
    </row>
    <row r="1306" spans="1:15" hidden="1" x14ac:dyDescent="0.3">
      <c r="A1306" s="26">
        <v>28</v>
      </c>
      <c r="B1306" s="20" t="str">
        <f t="shared" si="40"/>
        <v>JUL</v>
      </c>
      <c r="C1306" s="21">
        <v>46215</v>
      </c>
      <c r="D1306" s="22" t="str">
        <f t="array" ref="D1306">IFERROR(INDEX('Kode Outlet dan Target Toko'!$A:$A,MATCH($I1306,'Kode Outlet dan Target Toko'!$E:$E,0)),"")</f>
        <v>GRSM 5</v>
      </c>
      <c r="E1306" s="20" t="str">
        <f>IFERROR(VLOOKUP(I1306,KET!$B:$F,4,0),"")</f>
        <v>SUPRIYATI</v>
      </c>
      <c r="F1306" s="20" t="str">
        <f>IFERROR(VLOOKUP(I1306,KET!$B:$F,5,0),"")</f>
        <v>GMM</v>
      </c>
      <c r="G1306" s="20">
        <f>IFERROR(INDEX('Kode Outlet dan Target Toko'!$C:$C,MATCH($I1306,'Kode Outlet dan Target Toko'!$E:$E,0)),0)</f>
        <v>170220</v>
      </c>
      <c r="H1306" s="20">
        <f>IFERROR(INDEX('Kode Outlet dan Target Toko'!$D:$D,MATCH($I1306,'Kode Outlet dan Target Toko'!$E:$E,0)),0)</f>
        <v>9000015</v>
      </c>
      <c r="I1306" s="42" t="s">
        <v>33</v>
      </c>
      <c r="J1306" s="56" t="s">
        <v>260</v>
      </c>
      <c r="K1306" s="40" t="s">
        <v>13</v>
      </c>
      <c r="L1306" s="56">
        <v>2200</v>
      </c>
      <c r="M1306" s="26">
        <v>91</v>
      </c>
      <c r="N1306" s="25">
        <f t="shared" si="41"/>
        <v>200200</v>
      </c>
      <c r="O1306" s="26"/>
    </row>
    <row r="1307" spans="1:15" hidden="1" x14ac:dyDescent="0.3">
      <c r="A1307" s="26">
        <v>28</v>
      </c>
      <c r="B1307" s="20" t="str">
        <f t="shared" si="40"/>
        <v>JUL</v>
      </c>
      <c r="C1307" s="21">
        <v>46215</v>
      </c>
      <c r="D1307" s="22" t="str">
        <f t="array" ref="D1307">IFERROR(INDEX('Kode Outlet dan Target Toko'!$A:$A,MATCH($I1307,'Kode Outlet dan Target Toko'!$E:$E,0)),"")</f>
        <v>GRSM 5</v>
      </c>
      <c r="E1307" s="20" t="str">
        <f>IFERROR(VLOOKUP(I1307,KET!$B:$F,4,0),"")</f>
        <v>SUPRIYATI</v>
      </c>
      <c r="F1307" s="20" t="str">
        <f>IFERROR(VLOOKUP(I1307,KET!$B:$F,5,0),"")</f>
        <v>GMM</v>
      </c>
      <c r="G1307" s="20">
        <f>IFERROR(INDEX('Kode Outlet dan Target Toko'!$C:$C,MATCH($I1307,'Kode Outlet dan Target Toko'!$E:$E,0)),0)</f>
        <v>170220</v>
      </c>
      <c r="H1307" s="20">
        <f>IFERROR(INDEX('Kode Outlet dan Target Toko'!$D:$D,MATCH($I1307,'Kode Outlet dan Target Toko'!$E:$E,0)),0)</f>
        <v>9000015</v>
      </c>
      <c r="I1307" s="42" t="s">
        <v>33</v>
      </c>
      <c r="J1307" s="56" t="s">
        <v>260</v>
      </c>
      <c r="K1307" s="40" t="s">
        <v>16</v>
      </c>
      <c r="L1307" s="56">
        <v>2200</v>
      </c>
      <c r="M1307" s="26">
        <v>352</v>
      </c>
      <c r="N1307" s="25">
        <f t="shared" si="41"/>
        <v>774400</v>
      </c>
      <c r="O1307" s="26">
        <v>120</v>
      </c>
    </row>
    <row r="1308" spans="1:15" hidden="1" x14ac:dyDescent="0.3">
      <c r="A1308" s="26">
        <v>28</v>
      </c>
      <c r="B1308" s="20" t="str">
        <f t="shared" si="40"/>
        <v>JUL</v>
      </c>
      <c r="C1308" s="21">
        <v>46215</v>
      </c>
      <c r="D1308" s="22" t="str">
        <f t="array" ref="D1308">IFERROR(INDEX('Kode Outlet dan Target Toko'!$A:$A,MATCH($I1308,'Kode Outlet dan Target Toko'!$E:$E,0)),"")</f>
        <v>GRSM 5</v>
      </c>
      <c r="E1308" s="20" t="str">
        <f>IFERROR(VLOOKUP(I1308,KET!$B:$F,4,0),"")</f>
        <v>SUPRIYATI</v>
      </c>
      <c r="F1308" s="20" t="str">
        <f>IFERROR(VLOOKUP(I1308,KET!$B:$F,5,0),"")</f>
        <v>GMM</v>
      </c>
      <c r="G1308" s="20">
        <f>IFERROR(INDEX('Kode Outlet dan Target Toko'!$C:$C,MATCH($I1308,'Kode Outlet dan Target Toko'!$E:$E,0)),0)</f>
        <v>170220</v>
      </c>
      <c r="H1308" s="20">
        <f>IFERROR(INDEX('Kode Outlet dan Target Toko'!$D:$D,MATCH($I1308,'Kode Outlet dan Target Toko'!$E:$E,0)),0)</f>
        <v>9000015</v>
      </c>
      <c r="I1308" s="50" t="s">
        <v>33</v>
      </c>
      <c r="J1308" s="56" t="s">
        <v>261</v>
      </c>
      <c r="K1308" s="40" t="s">
        <v>15</v>
      </c>
      <c r="L1308" s="56">
        <v>2200</v>
      </c>
      <c r="M1308" s="26">
        <v>148</v>
      </c>
      <c r="N1308" s="25">
        <f t="shared" si="41"/>
        <v>325600</v>
      </c>
      <c r="O1308" s="26"/>
    </row>
    <row r="1309" spans="1:15" hidden="1" x14ac:dyDescent="0.3">
      <c r="A1309" s="26">
        <v>28</v>
      </c>
      <c r="B1309" s="20" t="str">
        <f t="shared" si="40"/>
        <v>JUL</v>
      </c>
      <c r="C1309" s="21">
        <v>46215</v>
      </c>
      <c r="D1309" s="22" t="str">
        <f t="array" ref="D1309">IFERROR(INDEX('Kode Outlet dan Target Toko'!$A:$A,MATCH($I1309,'Kode Outlet dan Target Toko'!$E:$E,0)),"")</f>
        <v>GRSM 5</v>
      </c>
      <c r="E1309" s="20" t="str">
        <f>IFERROR(VLOOKUP(I1309,KET!$B:$F,4,0),"")</f>
        <v>SUPRIYATI</v>
      </c>
      <c r="F1309" s="20" t="str">
        <f>IFERROR(VLOOKUP(I1309,KET!$B:$F,5,0),"")</f>
        <v>GMM</v>
      </c>
      <c r="G1309" s="20">
        <f>IFERROR(INDEX('Kode Outlet dan Target Toko'!$C:$C,MATCH($I1309,'Kode Outlet dan Target Toko'!$E:$E,0)),0)</f>
        <v>170220</v>
      </c>
      <c r="H1309" s="20">
        <f>IFERROR(INDEX('Kode Outlet dan Target Toko'!$D:$D,MATCH($I1309,'Kode Outlet dan Target Toko'!$E:$E,0)),0)</f>
        <v>9000015</v>
      </c>
      <c r="I1309" s="50" t="s">
        <v>33</v>
      </c>
      <c r="J1309" s="56" t="s">
        <v>261</v>
      </c>
      <c r="K1309" s="40" t="s">
        <v>14</v>
      </c>
      <c r="L1309" s="56">
        <v>2200</v>
      </c>
      <c r="M1309" s="26">
        <v>142</v>
      </c>
      <c r="N1309" s="25">
        <f t="shared" si="41"/>
        <v>312400</v>
      </c>
      <c r="O1309" s="26"/>
    </row>
    <row r="1310" spans="1:15" hidden="1" x14ac:dyDescent="0.3">
      <c r="A1310" s="26">
        <v>28</v>
      </c>
      <c r="B1310" s="20" t="str">
        <f t="shared" si="40"/>
        <v>JUL</v>
      </c>
      <c r="C1310" s="21">
        <v>46215</v>
      </c>
      <c r="D1310" s="22" t="str">
        <f t="array" ref="D1310">IFERROR(INDEX('Kode Outlet dan Target Toko'!$A:$A,MATCH($I1310,'Kode Outlet dan Target Toko'!$E:$E,0)),"")</f>
        <v>GRSM 5</v>
      </c>
      <c r="E1310" s="20" t="str">
        <f>IFERROR(VLOOKUP(I1310,KET!$B:$F,4,0),"")</f>
        <v>SUPRIYATI</v>
      </c>
      <c r="F1310" s="20" t="str">
        <f>IFERROR(VLOOKUP(I1310,KET!$B:$F,5,0),"")</f>
        <v>GMM</v>
      </c>
      <c r="G1310" s="20">
        <f>IFERROR(INDEX('Kode Outlet dan Target Toko'!$C:$C,MATCH($I1310,'Kode Outlet dan Target Toko'!$E:$E,0)),0)</f>
        <v>170220</v>
      </c>
      <c r="H1310" s="20">
        <f>IFERROR(INDEX('Kode Outlet dan Target Toko'!$D:$D,MATCH($I1310,'Kode Outlet dan Target Toko'!$E:$E,0)),0)</f>
        <v>9000015</v>
      </c>
      <c r="I1310" s="50" t="s">
        <v>33</v>
      </c>
      <c r="J1310" s="56" t="s">
        <v>261</v>
      </c>
      <c r="K1310" s="40" t="s">
        <v>13</v>
      </c>
      <c r="L1310" s="56">
        <v>2200</v>
      </c>
      <c r="M1310" s="26">
        <v>91</v>
      </c>
      <c r="N1310" s="25">
        <f t="shared" si="41"/>
        <v>200200</v>
      </c>
      <c r="O1310" s="26"/>
    </row>
    <row r="1311" spans="1:15" hidden="1" x14ac:dyDescent="0.3">
      <c r="A1311" s="26">
        <v>28</v>
      </c>
      <c r="B1311" s="20" t="str">
        <f t="shared" si="40"/>
        <v>JUL</v>
      </c>
      <c r="C1311" s="21">
        <v>46215</v>
      </c>
      <c r="D1311" s="22" t="str">
        <f t="array" ref="D1311">IFERROR(INDEX('Kode Outlet dan Target Toko'!$A:$A,MATCH($I1311,'Kode Outlet dan Target Toko'!$E:$E,0)),"")</f>
        <v>GRSM 5</v>
      </c>
      <c r="E1311" s="20" t="str">
        <f>IFERROR(VLOOKUP(I1311,KET!$B:$F,4,0),"")</f>
        <v>SUPRIYATI</v>
      </c>
      <c r="F1311" s="20" t="str">
        <f>IFERROR(VLOOKUP(I1311,KET!$B:$F,5,0),"")</f>
        <v>GMM</v>
      </c>
      <c r="G1311" s="20">
        <f>IFERROR(INDEX('Kode Outlet dan Target Toko'!$C:$C,MATCH($I1311,'Kode Outlet dan Target Toko'!$E:$E,0)),0)</f>
        <v>170220</v>
      </c>
      <c r="H1311" s="20">
        <f>IFERROR(INDEX('Kode Outlet dan Target Toko'!$D:$D,MATCH($I1311,'Kode Outlet dan Target Toko'!$E:$E,0)),0)</f>
        <v>9000015</v>
      </c>
      <c r="I1311" s="50" t="s">
        <v>33</v>
      </c>
      <c r="J1311" s="56" t="s">
        <v>261</v>
      </c>
      <c r="K1311" s="40" t="s">
        <v>16</v>
      </c>
      <c r="L1311" s="56">
        <v>2200</v>
      </c>
      <c r="M1311" s="26">
        <v>352</v>
      </c>
      <c r="N1311" s="25">
        <f t="shared" si="41"/>
        <v>774400</v>
      </c>
      <c r="O1311" s="26">
        <v>120</v>
      </c>
    </row>
    <row r="1312" spans="1:15" hidden="1" x14ac:dyDescent="0.3">
      <c r="A1312" s="26">
        <v>28</v>
      </c>
      <c r="B1312" s="20" t="str">
        <f t="shared" si="40"/>
        <v>JUL</v>
      </c>
      <c r="C1312" s="21">
        <v>46215</v>
      </c>
      <c r="D1312" s="22" t="str">
        <f t="array" ref="D1312">IFERROR(INDEX('Kode Outlet dan Target Toko'!$A:$A,MATCH($I1312,'Kode Outlet dan Target Toko'!$E:$E,0)),"")</f>
        <v>GRSM 5</v>
      </c>
      <c r="E1312" s="20" t="str">
        <f>IFERROR(VLOOKUP(I1312,KET!$B:$F,4,0),"")</f>
        <v>SUPRIYATI</v>
      </c>
      <c r="F1312" s="20" t="str">
        <f>IFERROR(VLOOKUP(I1312,KET!$B:$F,5,0),"")</f>
        <v>GMM</v>
      </c>
      <c r="G1312" s="20">
        <f>IFERROR(INDEX('Kode Outlet dan Target Toko'!$C:$C,MATCH($I1312,'Kode Outlet dan Target Toko'!$E:$E,0)),0)</f>
        <v>170220</v>
      </c>
      <c r="H1312" s="20">
        <f>IFERROR(INDEX('Kode Outlet dan Target Toko'!$D:$D,MATCH($I1312,'Kode Outlet dan Target Toko'!$E:$E,0)),0)</f>
        <v>1901019</v>
      </c>
      <c r="I1312" s="42" t="s">
        <v>38</v>
      </c>
      <c r="J1312" s="56" t="s">
        <v>267</v>
      </c>
      <c r="K1312" s="40" t="s">
        <v>15</v>
      </c>
      <c r="L1312" s="56">
        <v>2200</v>
      </c>
      <c r="M1312" s="26">
        <v>96</v>
      </c>
      <c r="N1312" s="25">
        <f t="shared" si="41"/>
        <v>211200</v>
      </c>
      <c r="O1312" s="26"/>
    </row>
    <row r="1313" spans="1:15" hidden="1" x14ac:dyDescent="0.3">
      <c r="A1313" s="26">
        <v>28</v>
      </c>
      <c r="B1313" s="20" t="str">
        <f t="shared" si="40"/>
        <v>JUL</v>
      </c>
      <c r="C1313" s="21">
        <v>46215</v>
      </c>
      <c r="D1313" s="22" t="str">
        <f t="array" ref="D1313">IFERROR(INDEX('Kode Outlet dan Target Toko'!$A:$A,MATCH($I1313,'Kode Outlet dan Target Toko'!$E:$E,0)),"")</f>
        <v>GRSM 5</v>
      </c>
      <c r="E1313" s="20" t="str">
        <f>IFERROR(VLOOKUP(I1313,KET!$B:$F,4,0),"")</f>
        <v>SUPRIYATI</v>
      </c>
      <c r="F1313" s="20" t="str">
        <f>IFERROR(VLOOKUP(I1313,KET!$B:$F,5,0),"")</f>
        <v>GMM</v>
      </c>
      <c r="G1313" s="20">
        <f>IFERROR(INDEX('Kode Outlet dan Target Toko'!$C:$C,MATCH($I1313,'Kode Outlet dan Target Toko'!$E:$E,0)),0)</f>
        <v>170220</v>
      </c>
      <c r="H1313" s="20">
        <f>IFERROR(INDEX('Kode Outlet dan Target Toko'!$D:$D,MATCH($I1313,'Kode Outlet dan Target Toko'!$E:$E,0)),0)</f>
        <v>1901019</v>
      </c>
      <c r="I1313" s="42" t="s">
        <v>38</v>
      </c>
      <c r="J1313" s="56" t="s">
        <v>267</v>
      </c>
      <c r="K1313" s="40" t="s">
        <v>14</v>
      </c>
      <c r="L1313" s="56">
        <v>2200</v>
      </c>
      <c r="M1313" s="26">
        <v>175</v>
      </c>
      <c r="N1313" s="25">
        <f t="shared" si="41"/>
        <v>385000</v>
      </c>
      <c r="O1313" s="26"/>
    </row>
    <row r="1314" spans="1:15" hidden="1" x14ac:dyDescent="0.3">
      <c r="A1314" s="26">
        <v>28</v>
      </c>
      <c r="B1314" s="20" t="str">
        <f t="shared" si="40"/>
        <v>JUL</v>
      </c>
      <c r="C1314" s="21">
        <v>46215</v>
      </c>
      <c r="D1314" s="22" t="str">
        <f t="array" ref="D1314">IFERROR(INDEX('Kode Outlet dan Target Toko'!$A:$A,MATCH($I1314,'Kode Outlet dan Target Toko'!$E:$E,0)),"")</f>
        <v>GRSM 5</v>
      </c>
      <c r="E1314" s="20" t="str">
        <f>IFERROR(VLOOKUP(I1314,KET!$B:$F,4,0),"")</f>
        <v>SUPRIYATI</v>
      </c>
      <c r="F1314" s="20" t="str">
        <f>IFERROR(VLOOKUP(I1314,KET!$B:$F,5,0),"")</f>
        <v>GMM</v>
      </c>
      <c r="G1314" s="20">
        <f>IFERROR(INDEX('Kode Outlet dan Target Toko'!$C:$C,MATCH($I1314,'Kode Outlet dan Target Toko'!$E:$E,0)),0)</f>
        <v>170220</v>
      </c>
      <c r="H1314" s="20">
        <f>IFERROR(INDEX('Kode Outlet dan Target Toko'!$D:$D,MATCH($I1314,'Kode Outlet dan Target Toko'!$E:$E,0)),0)</f>
        <v>1901019</v>
      </c>
      <c r="I1314" s="42" t="s">
        <v>38</v>
      </c>
      <c r="J1314" s="56" t="s">
        <v>267</v>
      </c>
      <c r="K1314" s="40" t="s">
        <v>13</v>
      </c>
      <c r="L1314" s="56">
        <v>2200</v>
      </c>
      <c r="M1314" s="26">
        <v>172</v>
      </c>
      <c r="N1314" s="25">
        <f t="shared" si="41"/>
        <v>378400</v>
      </c>
      <c r="O1314" s="26"/>
    </row>
    <row r="1315" spans="1:15" hidden="1" x14ac:dyDescent="0.3">
      <c r="A1315" s="26">
        <v>28</v>
      </c>
      <c r="B1315" s="20" t="str">
        <f t="shared" si="40"/>
        <v>JUL</v>
      </c>
      <c r="C1315" s="21">
        <v>46215</v>
      </c>
      <c r="D1315" s="22" t="str">
        <f t="array" ref="D1315">IFERROR(INDEX('Kode Outlet dan Target Toko'!$A:$A,MATCH($I1315,'Kode Outlet dan Target Toko'!$E:$E,0)),"")</f>
        <v>GRSM 5</v>
      </c>
      <c r="E1315" s="20" t="str">
        <f>IFERROR(VLOOKUP(I1315,KET!$B:$F,4,0),"")</f>
        <v>SUPRIYATI</v>
      </c>
      <c r="F1315" s="20" t="str">
        <f>IFERROR(VLOOKUP(I1315,KET!$B:$F,5,0),"")</f>
        <v>GMM</v>
      </c>
      <c r="G1315" s="20">
        <f>IFERROR(INDEX('Kode Outlet dan Target Toko'!$C:$C,MATCH($I1315,'Kode Outlet dan Target Toko'!$E:$E,0)),0)</f>
        <v>170220</v>
      </c>
      <c r="H1315" s="20">
        <f>IFERROR(INDEX('Kode Outlet dan Target Toko'!$D:$D,MATCH($I1315,'Kode Outlet dan Target Toko'!$E:$E,0)),0)</f>
        <v>1901019</v>
      </c>
      <c r="I1315" s="42" t="s">
        <v>38</v>
      </c>
      <c r="J1315" s="56" t="s">
        <v>267</v>
      </c>
      <c r="K1315" s="40" t="s">
        <v>16</v>
      </c>
      <c r="L1315" s="56">
        <v>2200</v>
      </c>
      <c r="M1315" s="26">
        <v>380</v>
      </c>
      <c r="N1315" s="25">
        <f t="shared" si="41"/>
        <v>836000</v>
      </c>
      <c r="O1315" s="26">
        <v>142</v>
      </c>
    </row>
    <row r="1316" spans="1:15" hidden="1" x14ac:dyDescent="0.3">
      <c r="A1316" s="26">
        <v>28</v>
      </c>
      <c r="B1316" s="20" t="str">
        <f t="shared" si="40"/>
        <v>JUL</v>
      </c>
      <c r="C1316" s="21">
        <v>46215</v>
      </c>
      <c r="D1316" s="22" t="str">
        <f t="array" ref="D1316">IFERROR(INDEX('Kode Outlet dan Target Toko'!$A:$A,MATCH($I1316,'Kode Outlet dan Target Toko'!$E:$E,0)),"")</f>
        <v>GRSM 5</v>
      </c>
      <c r="E1316" s="20" t="str">
        <f>IFERROR(VLOOKUP(I1316,KET!$B:$F,4,0),"")</f>
        <v>SUPRIYATI</v>
      </c>
      <c r="F1316" s="20" t="str">
        <f>IFERROR(VLOOKUP(I1316,KET!$B:$F,5,0),"")</f>
        <v>GMM</v>
      </c>
      <c r="G1316" s="20">
        <f>IFERROR(INDEX('Kode Outlet dan Target Toko'!$C:$C,MATCH($I1316,'Kode Outlet dan Target Toko'!$E:$E,0)),0)</f>
        <v>170220</v>
      </c>
      <c r="H1316" s="20">
        <f>IFERROR(INDEX('Kode Outlet dan Target Toko'!$D:$D,MATCH($I1316,'Kode Outlet dan Target Toko'!$E:$E,0)),0)</f>
        <v>1901019</v>
      </c>
      <c r="I1316" s="42" t="s">
        <v>38</v>
      </c>
      <c r="J1316" s="56" t="s">
        <v>268</v>
      </c>
      <c r="K1316" s="40" t="s">
        <v>15</v>
      </c>
      <c r="L1316" s="56">
        <v>2200</v>
      </c>
      <c r="M1316" s="26">
        <v>96</v>
      </c>
      <c r="N1316" s="25">
        <f t="shared" si="41"/>
        <v>211200</v>
      </c>
      <c r="O1316" s="26"/>
    </row>
    <row r="1317" spans="1:15" hidden="1" x14ac:dyDescent="0.3">
      <c r="A1317" s="26">
        <v>28</v>
      </c>
      <c r="B1317" s="20" t="str">
        <f t="shared" si="40"/>
        <v>JUL</v>
      </c>
      <c r="C1317" s="21">
        <v>46215</v>
      </c>
      <c r="D1317" s="22" t="str">
        <f t="array" ref="D1317">IFERROR(INDEX('Kode Outlet dan Target Toko'!$A:$A,MATCH($I1317,'Kode Outlet dan Target Toko'!$E:$E,0)),"")</f>
        <v>GRSM 5</v>
      </c>
      <c r="E1317" s="20" t="str">
        <f>IFERROR(VLOOKUP(I1317,KET!$B:$F,4,0),"")</f>
        <v>SUPRIYATI</v>
      </c>
      <c r="F1317" s="20" t="str">
        <f>IFERROR(VLOOKUP(I1317,KET!$B:$F,5,0),"")</f>
        <v>GMM</v>
      </c>
      <c r="G1317" s="20">
        <f>IFERROR(INDEX('Kode Outlet dan Target Toko'!$C:$C,MATCH($I1317,'Kode Outlet dan Target Toko'!$E:$E,0)),0)</f>
        <v>170220</v>
      </c>
      <c r="H1317" s="20">
        <f>IFERROR(INDEX('Kode Outlet dan Target Toko'!$D:$D,MATCH($I1317,'Kode Outlet dan Target Toko'!$E:$E,0)),0)</f>
        <v>1901019</v>
      </c>
      <c r="I1317" s="42" t="s">
        <v>38</v>
      </c>
      <c r="J1317" s="56" t="s">
        <v>268</v>
      </c>
      <c r="K1317" s="40" t="s">
        <v>14</v>
      </c>
      <c r="L1317" s="56">
        <v>2200</v>
      </c>
      <c r="M1317" s="26">
        <v>175</v>
      </c>
      <c r="N1317" s="25">
        <f t="shared" si="41"/>
        <v>385000</v>
      </c>
      <c r="O1317" s="26"/>
    </row>
    <row r="1318" spans="1:15" hidden="1" x14ac:dyDescent="0.3">
      <c r="A1318" s="26">
        <v>28</v>
      </c>
      <c r="B1318" s="20" t="str">
        <f t="shared" si="40"/>
        <v>JUL</v>
      </c>
      <c r="C1318" s="21">
        <v>46215</v>
      </c>
      <c r="D1318" s="22" t="str">
        <f t="array" ref="D1318">IFERROR(INDEX('Kode Outlet dan Target Toko'!$A:$A,MATCH($I1318,'Kode Outlet dan Target Toko'!$E:$E,0)),"")</f>
        <v>GRSM 5</v>
      </c>
      <c r="E1318" s="20" t="str">
        <f>IFERROR(VLOOKUP(I1318,KET!$B:$F,4,0),"")</f>
        <v>SUPRIYATI</v>
      </c>
      <c r="F1318" s="20" t="str">
        <f>IFERROR(VLOOKUP(I1318,KET!$B:$F,5,0),"")</f>
        <v>GMM</v>
      </c>
      <c r="G1318" s="20">
        <f>IFERROR(INDEX('Kode Outlet dan Target Toko'!$C:$C,MATCH($I1318,'Kode Outlet dan Target Toko'!$E:$E,0)),0)</f>
        <v>170220</v>
      </c>
      <c r="H1318" s="20">
        <f>IFERROR(INDEX('Kode Outlet dan Target Toko'!$D:$D,MATCH($I1318,'Kode Outlet dan Target Toko'!$E:$E,0)),0)</f>
        <v>1901019</v>
      </c>
      <c r="I1318" s="42" t="s">
        <v>38</v>
      </c>
      <c r="J1318" s="56" t="s">
        <v>268</v>
      </c>
      <c r="K1318" s="40" t="s">
        <v>13</v>
      </c>
      <c r="L1318" s="56">
        <v>2200</v>
      </c>
      <c r="M1318" s="26">
        <v>172</v>
      </c>
      <c r="N1318" s="25">
        <f t="shared" si="41"/>
        <v>378400</v>
      </c>
      <c r="O1318" s="26"/>
    </row>
    <row r="1319" spans="1:15" hidden="1" x14ac:dyDescent="0.3">
      <c r="A1319" s="26">
        <v>28</v>
      </c>
      <c r="B1319" s="20" t="str">
        <f t="shared" si="40"/>
        <v>JUL</v>
      </c>
      <c r="C1319" s="21">
        <v>46215</v>
      </c>
      <c r="D1319" s="22" t="str">
        <f t="array" ref="D1319">IFERROR(INDEX('Kode Outlet dan Target Toko'!$A:$A,MATCH($I1319,'Kode Outlet dan Target Toko'!$E:$E,0)),"")</f>
        <v>GRSM 5</v>
      </c>
      <c r="E1319" s="20" t="str">
        <f>IFERROR(VLOOKUP(I1319,KET!$B:$F,4,0),"")</f>
        <v>SUPRIYATI</v>
      </c>
      <c r="F1319" s="20" t="str">
        <f>IFERROR(VLOOKUP(I1319,KET!$B:$F,5,0),"")</f>
        <v>GMM</v>
      </c>
      <c r="G1319" s="20">
        <f>IFERROR(INDEX('Kode Outlet dan Target Toko'!$C:$C,MATCH($I1319,'Kode Outlet dan Target Toko'!$E:$E,0)),0)</f>
        <v>170220</v>
      </c>
      <c r="H1319" s="20">
        <f>IFERROR(INDEX('Kode Outlet dan Target Toko'!$D:$D,MATCH($I1319,'Kode Outlet dan Target Toko'!$E:$E,0)),0)</f>
        <v>1901019</v>
      </c>
      <c r="I1319" s="42" t="s">
        <v>38</v>
      </c>
      <c r="J1319" s="56" t="s">
        <v>268</v>
      </c>
      <c r="K1319" s="40" t="s">
        <v>16</v>
      </c>
      <c r="L1319" s="56">
        <v>2200</v>
      </c>
      <c r="M1319" s="26">
        <v>380</v>
      </c>
      <c r="N1319" s="25">
        <f t="shared" si="41"/>
        <v>836000</v>
      </c>
      <c r="O1319" s="26">
        <v>142</v>
      </c>
    </row>
    <row r="1320" spans="1:15" hidden="1" x14ac:dyDescent="0.3">
      <c r="A1320" s="26">
        <v>28</v>
      </c>
      <c r="B1320" s="20" t="str">
        <f t="shared" si="40"/>
        <v>JUL</v>
      </c>
      <c r="C1320" s="21">
        <v>46215</v>
      </c>
      <c r="D1320" s="22" t="str">
        <f t="array" ref="D1320">IFERROR(INDEX('Kode Outlet dan Target Toko'!$A:$A,MATCH($I1320,'Kode Outlet dan Target Toko'!$E:$E,0)),"")</f>
        <v>GRSM 5</v>
      </c>
      <c r="E1320" s="20" t="str">
        <f>IFERROR(VLOOKUP(I1320,KET!$B:$F,4,0),"")</f>
        <v>SUPRIYATI</v>
      </c>
      <c r="F1320" s="20" t="str">
        <f>IFERROR(VLOOKUP(I1320,KET!$B:$F,5,0),"")</f>
        <v>GMM</v>
      </c>
      <c r="G1320" s="20">
        <f>IFERROR(INDEX('Kode Outlet dan Target Toko'!$C:$C,MATCH($I1320,'Kode Outlet dan Target Toko'!$E:$E,0)),0)</f>
        <v>170220</v>
      </c>
      <c r="H1320" s="20">
        <f>IFERROR(INDEX('Kode Outlet dan Target Toko'!$D:$D,MATCH($I1320,'Kode Outlet dan Target Toko'!$E:$E,0)),0)</f>
        <v>1901004</v>
      </c>
      <c r="I1320" s="42" t="s">
        <v>36</v>
      </c>
      <c r="J1320" s="56" t="s">
        <v>263</v>
      </c>
      <c r="K1320" s="40" t="s">
        <v>15</v>
      </c>
      <c r="L1320" s="56">
        <v>2200</v>
      </c>
      <c r="M1320" s="26">
        <v>120</v>
      </c>
      <c r="N1320" s="25">
        <f t="shared" si="41"/>
        <v>264000</v>
      </c>
      <c r="O1320" s="26"/>
    </row>
    <row r="1321" spans="1:15" hidden="1" x14ac:dyDescent="0.3">
      <c r="A1321" s="26">
        <v>28</v>
      </c>
      <c r="B1321" s="20" t="str">
        <f t="shared" si="40"/>
        <v>JUL</v>
      </c>
      <c r="C1321" s="21">
        <v>46215</v>
      </c>
      <c r="D1321" s="22" t="str">
        <f t="array" ref="D1321">IFERROR(INDEX('Kode Outlet dan Target Toko'!$A:$A,MATCH($I1321,'Kode Outlet dan Target Toko'!$E:$E,0)),"")</f>
        <v>GRSM 5</v>
      </c>
      <c r="E1321" s="20" t="str">
        <f>IFERROR(VLOOKUP(I1321,KET!$B:$F,4,0),"")</f>
        <v>SUPRIYATI</v>
      </c>
      <c r="F1321" s="20" t="str">
        <f>IFERROR(VLOOKUP(I1321,KET!$B:$F,5,0),"")</f>
        <v>GMM</v>
      </c>
      <c r="G1321" s="20">
        <f>IFERROR(INDEX('Kode Outlet dan Target Toko'!$C:$C,MATCH($I1321,'Kode Outlet dan Target Toko'!$E:$E,0)),0)</f>
        <v>170220</v>
      </c>
      <c r="H1321" s="20">
        <f>IFERROR(INDEX('Kode Outlet dan Target Toko'!$D:$D,MATCH($I1321,'Kode Outlet dan Target Toko'!$E:$E,0)),0)</f>
        <v>1901004</v>
      </c>
      <c r="I1321" s="42" t="s">
        <v>36</v>
      </c>
      <c r="J1321" s="56" t="s">
        <v>263</v>
      </c>
      <c r="K1321" s="40" t="s">
        <v>14</v>
      </c>
      <c r="L1321" s="56">
        <v>2200</v>
      </c>
      <c r="M1321" s="26">
        <v>280</v>
      </c>
      <c r="N1321" s="25">
        <f t="shared" si="41"/>
        <v>616000</v>
      </c>
      <c r="O1321" s="26"/>
    </row>
    <row r="1322" spans="1:15" hidden="1" x14ac:dyDescent="0.3">
      <c r="A1322" s="26">
        <v>28</v>
      </c>
      <c r="B1322" s="20" t="str">
        <f t="shared" si="40"/>
        <v>JUL</v>
      </c>
      <c r="C1322" s="21">
        <v>46215</v>
      </c>
      <c r="D1322" s="22" t="str">
        <f t="array" ref="D1322">IFERROR(INDEX('Kode Outlet dan Target Toko'!$A:$A,MATCH($I1322,'Kode Outlet dan Target Toko'!$E:$E,0)),"")</f>
        <v>GRSM 5</v>
      </c>
      <c r="E1322" s="20" t="str">
        <f>IFERROR(VLOOKUP(I1322,KET!$B:$F,4,0),"")</f>
        <v>SUPRIYATI</v>
      </c>
      <c r="F1322" s="20" t="str">
        <f>IFERROR(VLOOKUP(I1322,KET!$B:$F,5,0),"")</f>
        <v>GMM</v>
      </c>
      <c r="G1322" s="20">
        <f>IFERROR(INDEX('Kode Outlet dan Target Toko'!$C:$C,MATCH($I1322,'Kode Outlet dan Target Toko'!$E:$E,0)),0)</f>
        <v>170220</v>
      </c>
      <c r="H1322" s="20">
        <f>IFERROR(INDEX('Kode Outlet dan Target Toko'!$D:$D,MATCH($I1322,'Kode Outlet dan Target Toko'!$E:$E,0)),0)</f>
        <v>1901004</v>
      </c>
      <c r="I1322" s="42" t="s">
        <v>36</v>
      </c>
      <c r="J1322" s="56" t="s">
        <v>263</v>
      </c>
      <c r="K1322" s="40" t="s">
        <v>13</v>
      </c>
      <c r="L1322" s="56">
        <v>2200</v>
      </c>
      <c r="M1322" s="26">
        <v>120</v>
      </c>
      <c r="N1322" s="25">
        <f t="shared" si="41"/>
        <v>264000</v>
      </c>
      <c r="O1322" s="26"/>
    </row>
    <row r="1323" spans="1:15" hidden="1" x14ac:dyDescent="0.3">
      <c r="A1323" s="26">
        <v>28</v>
      </c>
      <c r="B1323" s="20" t="str">
        <f t="shared" si="40"/>
        <v>JUL</v>
      </c>
      <c r="C1323" s="21">
        <v>46215</v>
      </c>
      <c r="D1323" s="22" t="str">
        <f t="array" ref="D1323">IFERROR(INDEX('Kode Outlet dan Target Toko'!$A:$A,MATCH($I1323,'Kode Outlet dan Target Toko'!$E:$E,0)),"")</f>
        <v>GRSM 5</v>
      </c>
      <c r="E1323" s="20" t="str">
        <f>IFERROR(VLOOKUP(I1323,KET!$B:$F,4,0),"")</f>
        <v>SUPRIYATI</v>
      </c>
      <c r="F1323" s="20" t="str">
        <f>IFERROR(VLOOKUP(I1323,KET!$B:$F,5,0),"")</f>
        <v>GMM</v>
      </c>
      <c r="G1323" s="20">
        <f>IFERROR(INDEX('Kode Outlet dan Target Toko'!$C:$C,MATCH($I1323,'Kode Outlet dan Target Toko'!$E:$E,0)),0)</f>
        <v>170220</v>
      </c>
      <c r="H1323" s="20">
        <f>IFERROR(INDEX('Kode Outlet dan Target Toko'!$D:$D,MATCH($I1323,'Kode Outlet dan Target Toko'!$E:$E,0)),0)</f>
        <v>1901004</v>
      </c>
      <c r="I1323" s="42" t="s">
        <v>36</v>
      </c>
      <c r="J1323" s="56" t="s">
        <v>263</v>
      </c>
      <c r="K1323" s="40" t="s">
        <v>16</v>
      </c>
      <c r="L1323" s="56">
        <v>2200</v>
      </c>
      <c r="M1323" s="26">
        <v>240</v>
      </c>
      <c r="N1323" s="25">
        <f t="shared" si="41"/>
        <v>528000</v>
      </c>
      <c r="O1323" s="26">
        <v>120</v>
      </c>
    </row>
    <row r="1324" spans="1:15" hidden="1" x14ac:dyDescent="0.3">
      <c r="A1324" s="26">
        <v>28</v>
      </c>
      <c r="B1324" s="20" t="str">
        <f t="shared" si="40"/>
        <v>JUL</v>
      </c>
      <c r="C1324" s="21">
        <v>46215</v>
      </c>
      <c r="D1324" s="22" t="str">
        <f t="array" ref="D1324">IFERROR(INDEX('Kode Outlet dan Target Toko'!$A:$A,MATCH($I1324,'Kode Outlet dan Target Toko'!$E:$E,0)),"")</f>
        <v>GRSM 5</v>
      </c>
      <c r="E1324" s="20" t="str">
        <f>IFERROR(VLOOKUP(I1324,KET!$B:$F,4,0),"")</f>
        <v>SUPRIYATI</v>
      </c>
      <c r="F1324" s="20" t="str">
        <f>IFERROR(VLOOKUP(I1324,KET!$B:$F,5,0),"")</f>
        <v>GMM</v>
      </c>
      <c r="G1324" s="20">
        <f>IFERROR(INDEX('Kode Outlet dan Target Toko'!$C:$C,MATCH($I1324,'Kode Outlet dan Target Toko'!$E:$E,0)),0)</f>
        <v>170220</v>
      </c>
      <c r="H1324" s="20">
        <f>IFERROR(INDEX('Kode Outlet dan Target Toko'!$D:$D,MATCH($I1324,'Kode Outlet dan Target Toko'!$E:$E,0)),0)</f>
        <v>1901004</v>
      </c>
      <c r="I1324" s="42" t="s">
        <v>36</v>
      </c>
      <c r="J1324" s="56" t="s">
        <v>264</v>
      </c>
      <c r="K1324" s="40" t="s">
        <v>15</v>
      </c>
      <c r="L1324" s="56">
        <v>2200</v>
      </c>
      <c r="M1324" s="26">
        <v>120</v>
      </c>
      <c r="N1324" s="25">
        <f t="shared" si="41"/>
        <v>264000</v>
      </c>
      <c r="O1324" s="26"/>
    </row>
    <row r="1325" spans="1:15" hidden="1" x14ac:dyDescent="0.3">
      <c r="A1325" s="26">
        <v>28</v>
      </c>
      <c r="B1325" s="20" t="str">
        <f t="shared" si="40"/>
        <v>JUL</v>
      </c>
      <c r="C1325" s="21">
        <v>46215</v>
      </c>
      <c r="D1325" s="22" t="str">
        <f t="array" ref="D1325">IFERROR(INDEX('Kode Outlet dan Target Toko'!$A:$A,MATCH($I1325,'Kode Outlet dan Target Toko'!$E:$E,0)),"")</f>
        <v>GRSM 5</v>
      </c>
      <c r="E1325" s="20" t="str">
        <f>IFERROR(VLOOKUP(I1325,KET!$B:$F,4,0),"")</f>
        <v>SUPRIYATI</v>
      </c>
      <c r="F1325" s="20" t="str">
        <f>IFERROR(VLOOKUP(I1325,KET!$B:$F,5,0),"")</f>
        <v>GMM</v>
      </c>
      <c r="G1325" s="20">
        <f>IFERROR(INDEX('Kode Outlet dan Target Toko'!$C:$C,MATCH($I1325,'Kode Outlet dan Target Toko'!$E:$E,0)),0)</f>
        <v>170220</v>
      </c>
      <c r="H1325" s="20">
        <f>IFERROR(INDEX('Kode Outlet dan Target Toko'!$D:$D,MATCH($I1325,'Kode Outlet dan Target Toko'!$E:$E,0)),0)</f>
        <v>1901004</v>
      </c>
      <c r="I1325" s="42" t="s">
        <v>36</v>
      </c>
      <c r="J1325" s="56" t="s">
        <v>264</v>
      </c>
      <c r="K1325" s="40" t="s">
        <v>14</v>
      </c>
      <c r="L1325" s="56">
        <v>2200</v>
      </c>
      <c r="M1325" s="26">
        <v>280</v>
      </c>
      <c r="N1325" s="25">
        <f t="shared" si="41"/>
        <v>616000</v>
      </c>
      <c r="O1325" s="26"/>
    </row>
    <row r="1326" spans="1:15" hidden="1" x14ac:dyDescent="0.3">
      <c r="A1326" s="26">
        <v>28</v>
      </c>
      <c r="B1326" s="20" t="str">
        <f t="shared" si="40"/>
        <v>JUL</v>
      </c>
      <c r="C1326" s="21">
        <v>46215</v>
      </c>
      <c r="D1326" s="22" t="str">
        <f t="array" ref="D1326">IFERROR(INDEX('Kode Outlet dan Target Toko'!$A:$A,MATCH($I1326,'Kode Outlet dan Target Toko'!$E:$E,0)),"")</f>
        <v>GRSM 5</v>
      </c>
      <c r="E1326" s="20" t="str">
        <f>IFERROR(VLOOKUP(I1326,KET!$B:$F,4,0),"")</f>
        <v>SUPRIYATI</v>
      </c>
      <c r="F1326" s="20" t="str">
        <f>IFERROR(VLOOKUP(I1326,KET!$B:$F,5,0),"")</f>
        <v>GMM</v>
      </c>
      <c r="G1326" s="20">
        <f>IFERROR(INDEX('Kode Outlet dan Target Toko'!$C:$C,MATCH($I1326,'Kode Outlet dan Target Toko'!$E:$E,0)),0)</f>
        <v>170220</v>
      </c>
      <c r="H1326" s="20">
        <f>IFERROR(INDEX('Kode Outlet dan Target Toko'!$D:$D,MATCH($I1326,'Kode Outlet dan Target Toko'!$E:$E,0)),0)</f>
        <v>1901004</v>
      </c>
      <c r="I1326" s="42" t="s">
        <v>36</v>
      </c>
      <c r="J1326" s="56" t="s">
        <v>264</v>
      </c>
      <c r="K1326" s="40" t="s">
        <v>13</v>
      </c>
      <c r="L1326" s="56">
        <v>2200</v>
      </c>
      <c r="M1326" s="26">
        <v>120</v>
      </c>
      <c r="N1326" s="25">
        <f t="shared" si="41"/>
        <v>264000</v>
      </c>
      <c r="O1326" s="26"/>
    </row>
    <row r="1327" spans="1:15" hidden="1" x14ac:dyDescent="0.3">
      <c r="A1327" s="26">
        <v>28</v>
      </c>
      <c r="B1327" s="20" t="str">
        <f t="shared" si="40"/>
        <v>JUL</v>
      </c>
      <c r="C1327" s="21">
        <v>46215</v>
      </c>
      <c r="D1327" s="22" t="str">
        <f t="array" ref="D1327">IFERROR(INDEX('Kode Outlet dan Target Toko'!$A:$A,MATCH($I1327,'Kode Outlet dan Target Toko'!$E:$E,0)),"")</f>
        <v>GRSM 5</v>
      </c>
      <c r="E1327" s="20" t="str">
        <f>IFERROR(VLOOKUP(I1327,KET!$B:$F,4,0),"")</f>
        <v>SUPRIYATI</v>
      </c>
      <c r="F1327" s="20" t="str">
        <f>IFERROR(VLOOKUP(I1327,KET!$B:$F,5,0),"")</f>
        <v>GMM</v>
      </c>
      <c r="G1327" s="20">
        <f>IFERROR(INDEX('Kode Outlet dan Target Toko'!$C:$C,MATCH($I1327,'Kode Outlet dan Target Toko'!$E:$E,0)),0)</f>
        <v>170220</v>
      </c>
      <c r="H1327" s="20">
        <f>IFERROR(INDEX('Kode Outlet dan Target Toko'!$D:$D,MATCH($I1327,'Kode Outlet dan Target Toko'!$E:$E,0)),0)</f>
        <v>1901004</v>
      </c>
      <c r="I1327" s="42" t="s">
        <v>36</v>
      </c>
      <c r="J1327" s="56" t="s">
        <v>264</v>
      </c>
      <c r="K1327" s="40" t="s">
        <v>16</v>
      </c>
      <c r="L1327" s="56">
        <v>2200</v>
      </c>
      <c r="M1327" s="26">
        <v>240</v>
      </c>
      <c r="N1327" s="25">
        <f t="shared" si="41"/>
        <v>528000</v>
      </c>
      <c r="O1327" s="26">
        <v>120</v>
      </c>
    </row>
    <row r="1328" spans="1:15" hidden="1" x14ac:dyDescent="0.3">
      <c r="A1328" s="26">
        <v>28</v>
      </c>
      <c r="B1328" s="20" t="str">
        <f t="shared" si="40"/>
        <v>JUL</v>
      </c>
      <c r="C1328" s="21">
        <v>46215</v>
      </c>
      <c r="D1328" s="22" t="str">
        <f t="array" ref="D1328">IFERROR(INDEX('Kode Outlet dan Target Toko'!$A:$A,MATCH($I1328,'Kode Outlet dan Target Toko'!$E:$E,0)),"")</f>
        <v>GRSM 5</v>
      </c>
      <c r="E1328" s="20" t="str">
        <f>IFERROR(VLOOKUP(I1328,KET!$B:$F,4,0),"")</f>
        <v>SUPRIYATI</v>
      </c>
      <c r="F1328" s="20" t="str">
        <f>IFERROR(VLOOKUP(I1328,KET!$B:$F,5,0),"")</f>
        <v>GMM</v>
      </c>
      <c r="G1328" s="20">
        <f>IFERROR(INDEX('Kode Outlet dan Target Toko'!$C:$C,MATCH($I1328,'Kode Outlet dan Target Toko'!$E:$E,0)),0)</f>
        <v>170220</v>
      </c>
      <c r="H1328" s="20">
        <f>IFERROR(INDEX('Kode Outlet dan Target Toko'!$D:$D,MATCH($I1328,'Kode Outlet dan Target Toko'!$E:$E,0)),0)</f>
        <v>9000015</v>
      </c>
      <c r="I1328" s="42" t="s">
        <v>37</v>
      </c>
      <c r="J1328" s="56" t="s">
        <v>265</v>
      </c>
      <c r="K1328" s="40" t="s">
        <v>15</v>
      </c>
      <c r="L1328" s="56">
        <v>2200</v>
      </c>
      <c r="M1328" s="26">
        <v>126</v>
      </c>
      <c r="N1328" s="25">
        <f t="shared" si="41"/>
        <v>277200</v>
      </c>
      <c r="O1328" s="26"/>
    </row>
    <row r="1329" spans="1:15" hidden="1" x14ac:dyDescent="0.3">
      <c r="A1329" s="26">
        <v>28</v>
      </c>
      <c r="B1329" s="20" t="str">
        <f t="shared" si="40"/>
        <v>JUL</v>
      </c>
      <c r="C1329" s="21">
        <v>46215</v>
      </c>
      <c r="D1329" s="22" t="str">
        <f t="array" ref="D1329">IFERROR(INDEX('Kode Outlet dan Target Toko'!$A:$A,MATCH($I1329,'Kode Outlet dan Target Toko'!$E:$E,0)),"")</f>
        <v>GRSM 5</v>
      </c>
      <c r="E1329" s="20" t="str">
        <f>IFERROR(VLOOKUP(I1329,KET!$B:$F,4,0),"")</f>
        <v>SUPRIYATI</v>
      </c>
      <c r="F1329" s="20" t="str">
        <f>IFERROR(VLOOKUP(I1329,KET!$B:$F,5,0),"")</f>
        <v>GMM</v>
      </c>
      <c r="G1329" s="20">
        <f>IFERROR(INDEX('Kode Outlet dan Target Toko'!$C:$C,MATCH($I1329,'Kode Outlet dan Target Toko'!$E:$E,0)),0)</f>
        <v>170220</v>
      </c>
      <c r="H1329" s="20">
        <f>IFERROR(INDEX('Kode Outlet dan Target Toko'!$D:$D,MATCH($I1329,'Kode Outlet dan Target Toko'!$E:$E,0)),0)</f>
        <v>9000015</v>
      </c>
      <c r="I1329" s="42" t="s">
        <v>37</v>
      </c>
      <c r="J1329" s="56" t="s">
        <v>265</v>
      </c>
      <c r="K1329" s="40" t="s">
        <v>14</v>
      </c>
      <c r="L1329" s="56">
        <v>2200</v>
      </c>
      <c r="M1329" s="26">
        <v>248</v>
      </c>
      <c r="N1329" s="25">
        <f t="shared" si="41"/>
        <v>545600</v>
      </c>
      <c r="O1329" s="26"/>
    </row>
    <row r="1330" spans="1:15" hidden="1" x14ac:dyDescent="0.3">
      <c r="A1330" s="26">
        <v>28</v>
      </c>
      <c r="B1330" s="20" t="str">
        <f t="shared" si="40"/>
        <v>JUL</v>
      </c>
      <c r="C1330" s="21">
        <v>46215</v>
      </c>
      <c r="D1330" s="22" t="str">
        <f t="array" ref="D1330">IFERROR(INDEX('Kode Outlet dan Target Toko'!$A:$A,MATCH($I1330,'Kode Outlet dan Target Toko'!$E:$E,0)),"")</f>
        <v>GRSM 5</v>
      </c>
      <c r="E1330" s="20" t="str">
        <f>IFERROR(VLOOKUP(I1330,KET!$B:$F,4,0),"")</f>
        <v>SUPRIYATI</v>
      </c>
      <c r="F1330" s="20" t="str">
        <f>IFERROR(VLOOKUP(I1330,KET!$B:$F,5,0),"")</f>
        <v>GMM</v>
      </c>
      <c r="G1330" s="20">
        <f>IFERROR(INDEX('Kode Outlet dan Target Toko'!$C:$C,MATCH($I1330,'Kode Outlet dan Target Toko'!$E:$E,0)),0)</f>
        <v>170220</v>
      </c>
      <c r="H1330" s="20">
        <f>IFERROR(INDEX('Kode Outlet dan Target Toko'!$D:$D,MATCH($I1330,'Kode Outlet dan Target Toko'!$E:$E,0)),0)</f>
        <v>9000015</v>
      </c>
      <c r="I1330" s="42" t="s">
        <v>37</v>
      </c>
      <c r="J1330" s="56" t="s">
        <v>265</v>
      </c>
      <c r="K1330" s="40" t="s">
        <v>13</v>
      </c>
      <c r="L1330" s="56">
        <v>2200</v>
      </c>
      <c r="M1330" s="26">
        <v>117</v>
      </c>
      <c r="N1330" s="25">
        <f t="shared" si="41"/>
        <v>257400</v>
      </c>
      <c r="O1330" s="26"/>
    </row>
    <row r="1331" spans="1:15" hidden="1" x14ac:dyDescent="0.3">
      <c r="A1331" s="26">
        <v>28</v>
      </c>
      <c r="B1331" s="20" t="str">
        <f t="shared" si="40"/>
        <v>JUL</v>
      </c>
      <c r="C1331" s="21">
        <v>46215</v>
      </c>
      <c r="D1331" s="22" t="str">
        <f t="array" ref="D1331">IFERROR(INDEX('Kode Outlet dan Target Toko'!$A:$A,MATCH($I1331,'Kode Outlet dan Target Toko'!$E:$E,0)),"")</f>
        <v>GRSM 5</v>
      </c>
      <c r="E1331" s="20" t="str">
        <f>IFERROR(VLOOKUP(I1331,KET!$B:$F,4,0),"")</f>
        <v>SUPRIYATI</v>
      </c>
      <c r="F1331" s="20" t="str">
        <f>IFERROR(VLOOKUP(I1331,KET!$B:$F,5,0),"")</f>
        <v>GMM</v>
      </c>
      <c r="G1331" s="20">
        <f>IFERROR(INDEX('Kode Outlet dan Target Toko'!$C:$C,MATCH($I1331,'Kode Outlet dan Target Toko'!$E:$E,0)),0)</f>
        <v>170220</v>
      </c>
      <c r="H1331" s="20">
        <f>IFERROR(INDEX('Kode Outlet dan Target Toko'!$D:$D,MATCH($I1331,'Kode Outlet dan Target Toko'!$E:$E,0)),0)</f>
        <v>9000015</v>
      </c>
      <c r="I1331" s="42" t="s">
        <v>37</v>
      </c>
      <c r="J1331" s="56" t="s">
        <v>265</v>
      </c>
      <c r="K1331" s="40" t="s">
        <v>16</v>
      </c>
      <c r="L1331" s="56">
        <v>2200</v>
      </c>
      <c r="M1331" s="26">
        <v>279</v>
      </c>
      <c r="N1331" s="25">
        <f t="shared" si="41"/>
        <v>613800</v>
      </c>
      <c r="O1331" s="26">
        <v>153</v>
      </c>
    </row>
    <row r="1332" spans="1:15" hidden="1" x14ac:dyDescent="0.3">
      <c r="A1332" s="26">
        <v>28</v>
      </c>
      <c r="B1332" s="20" t="str">
        <f t="shared" si="40"/>
        <v>JUL</v>
      </c>
      <c r="C1332" s="21">
        <v>46215</v>
      </c>
      <c r="D1332" s="22" t="str">
        <f t="array" ref="D1332">IFERROR(INDEX('Kode Outlet dan Target Toko'!$A:$A,MATCH($I1332,'Kode Outlet dan Target Toko'!$E:$E,0)),"")</f>
        <v>GRSM 5</v>
      </c>
      <c r="E1332" s="20" t="str">
        <f>IFERROR(VLOOKUP(I1332,KET!$B:$F,4,0),"")</f>
        <v>SUPRIYATI</v>
      </c>
      <c r="F1332" s="20" t="str">
        <f>IFERROR(VLOOKUP(I1332,KET!$B:$F,5,0),"")</f>
        <v>GMM</v>
      </c>
      <c r="G1332" s="20">
        <f>IFERROR(INDEX('Kode Outlet dan Target Toko'!$C:$C,MATCH($I1332,'Kode Outlet dan Target Toko'!$E:$E,0)),0)</f>
        <v>170220</v>
      </c>
      <c r="H1332" s="20">
        <f>IFERROR(INDEX('Kode Outlet dan Target Toko'!$D:$D,MATCH($I1332,'Kode Outlet dan Target Toko'!$E:$E,0)),0)</f>
        <v>9000015</v>
      </c>
      <c r="I1332" s="42" t="s">
        <v>37</v>
      </c>
      <c r="J1332" s="56" t="s">
        <v>266</v>
      </c>
      <c r="K1332" s="40" t="s">
        <v>15</v>
      </c>
      <c r="L1332" s="56">
        <v>2200</v>
      </c>
      <c r="M1332" s="26">
        <v>126</v>
      </c>
      <c r="N1332" s="25">
        <f t="shared" si="41"/>
        <v>277200</v>
      </c>
      <c r="O1332" s="26"/>
    </row>
    <row r="1333" spans="1:15" hidden="1" x14ac:dyDescent="0.3">
      <c r="A1333" s="26">
        <v>28</v>
      </c>
      <c r="B1333" s="20" t="str">
        <f t="shared" si="40"/>
        <v>JUL</v>
      </c>
      <c r="C1333" s="21">
        <v>46215</v>
      </c>
      <c r="D1333" s="22" t="str">
        <f t="array" ref="D1333">IFERROR(INDEX('Kode Outlet dan Target Toko'!$A:$A,MATCH($I1333,'Kode Outlet dan Target Toko'!$E:$E,0)),"")</f>
        <v>GRSM 5</v>
      </c>
      <c r="E1333" s="20" t="str">
        <f>IFERROR(VLOOKUP(I1333,KET!$B:$F,4,0),"")</f>
        <v>SUPRIYATI</v>
      </c>
      <c r="F1333" s="20" t="str">
        <f>IFERROR(VLOOKUP(I1333,KET!$B:$F,5,0),"")</f>
        <v>GMM</v>
      </c>
      <c r="G1333" s="20">
        <f>IFERROR(INDEX('Kode Outlet dan Target Toko'!$C:$C,MATCH($I1333,'Kode Outlet dan Target Toko'!$E:$E,0)),0)</f>
        <v>170220</v>
      </c>
      <c r="H1333" s="20">
        <f>IFERROR(INDEX('Kode Outlet dan Target Toko'!$D:$D,MATCH($I1333,'Kode Outlet dan Target Toko'!$E:$E,0)),0)</f>
        <v>9000015</v>
      </c>
      <c r="I1333" s="42" t="s">
        <v>37</v>
      </c>
      <c r="J1333" s="56" t="s">
        <v>266</v>
      </c>
      <c r="K1333" s="40" t="s">
        <v>14</v>
      </c>
      <c r="L1333" s="56">
        <v>2200</v>
      </c>
      <c r="M1333" s="26">
        <v>248</v>
      </c>
      <c r="N1333" s="25">
        <f t="shared" si="41"/>
        <v>545600</v>
      </c>
      <c r="O1333" s="26"/>
    </row>
    <row r="1334" spans="1:15" hidden="1" x14ac:dyDescent="0.3">
      <c r="A1334" s="26">
        <v>28</v>
      </c>
      <c r="B1334" s="20" t="str">
        <f t="shared" si="40"/>
        <v>JUL</v>
      </c>
      <c r="C1334" s="21">
        <v>46215</v>
      </c>
      <c r="D1334" s="22" t="str">
        <f t="array" ref="D1334">IFERROR(INDEX('Kode Outlet dan Target Toko'!$A:$A,MATCH($I1334,'Kode Outlet dan Target Toko'!$E:$E,0)),"")</f>
        <v>GRSM 5</v>
      </c>
      <c r="E1334" s="20" t="str">
        <f>IFERROR(VLOOKUP(I1334,KET!$B:$F,4,0),"")</f>
        <v>SUPRIYATI</v>
      </c>
      <c r="F1334" s="20" t="str">
        <f>IFERROR(VLOOKUP(I1334,KET!$B:$F,5,0),"")</f>
        <v>GMM</v>
      </c>
      <c r="G1334" s="20">
        <f>IFERROR(INDEX('Kode Outlet dan Target Toko'!$C:$C,MATCH($I1334,'Kode Outlet dan Target Toko'!$E:$E,0)),0)</f>
        <v>170220</v>
      </c>
      <c r="H1334" s="20">
        <f>IFERROR(INDEX('Kode Outlet dan Target Toko'!$D:$D,MATCH($I1334,'Kode Outlet dan Target Toko'!$E:$E,0)),0)</f>
        <v>9000015</v>
      </c>
      <c r="I1334" s="42" t="s">
        <v>37</v>
      </c>
      <c r="J1334" s="56" t="s">
        <v>266</v>
      </c>
      <c r="K1334" s="40" t="s">
        <v>13</v>
      </c>
      <c r="L1334" s="56">
        <v>2200</v>
      </c>
      <c r="M1334" s="26">
        <v>117</v>
      </c>
      <c r="N1334" s="25">
        <f t="shared" si="41"/>
        <v>257400</v>
      </c>
      <c r="O1334" s="26"/>
    </row>
    <row r="1335" spans="1:15" hidden="1" x14ac:dyDescent="0.3">
      <c r="A1335" s="26">
        <v>28</v>
      </c>
      <c r="B1335" s="20" t="str">
        <f t="shared" si="40"/>
        <v>JUL</v>
      </c>
      <c r="C1335" s="21">
        <v>46215</v>
      </c>
      <c r="D1335" s="22" t="str">
        <f t="array" ref="D1335">IFERROR(INDEX('Kode Outlet dan Target Toko'!$A:$A,MATCH($I1335,'Kode Outlet dan Target Toko'!$E:$E,0)),"")</f>
        <v>GRSM 5</v>
      </c>
      <c r="E1335" s="20" t="str">
        <f>IFERROR(VLOOKUP(I1335,KET!$B:$F,4,0),"")</f>
        <v>SUPRIYATI</v>
      </c>
      <c r="F1335" s="20" t="str">
        <f>IFERROR(VLOOKUP(I1335,KET!$B:$F,5,0),"")</f>
        <v>GMM</v>
      </c>
      <c r="G1335" s="20">
        <f>IFERROR(INDEX('Kode Outlet dan Target Toko'!$C:$C,MATCH($I1335,'Kode Outlet dan Target Toko'!$E:$E,0)),0)</f>
        <v>170220</v>
      </c>
      <c r="H1335" s="20">
        <f>IFERROR(INDEX('Kode Outlet dan Target Toko'!$D:$D,MATCH($I1335,'Kode Outlet dan Target Toko'!$E:$E,0)),0)</f>
        <v>9000015</v>
      </c>
      <c r="I1335" s="42" t="s">
        <v>37</v>
      </c>
      <c r="J1335" s="56" t="s">
        <v>266</v>
      </c>
      <c r="K1335" s="40" t="s">
        <v>16</v>
      </c>
      <c r="L1335" s="56">
        <v>2200</v>
      </c>
      <c r="M1335" s="26">
        <v>279</v>
      </c>
      <c r="N1335" s="25">
        <f t="shared" si="41"/>
        <v>613800</v>
      </c>
      <c r="O1335" s="26">
        <v>153</v>
      </c>
    </row>
    <row r="1336" spans="1:15" hidden="1" x14ac:dyDescent="0.3">
      <c r="A1336" s="26">
        <v>28</v>
      </c>
      <c r="B1336" s="20" t="str">
        <f t="shared" si="40"/>
        <v>JUL</v>
      </c>
      <c r="C1336" s="21">
        <v>46213</v>
      </c>
      <c r="D1336" s="22" t="str">
        <f t="array" ref="D1336">IFERROR(INDEX('Kode Outlet dan Target Toko'!$A:$A,MATCH($I1336,'Kode Outlet dan Target Toko'!$E:$E,0)),"")</f>
        <v>GRSM 4</v>
      </c>
      <c r="E1336" s="20" t="str">
        <f>IFERROR(VLOOKUP(I1336,KET!$B:$F,4,0),"")</f>
        <v>FAHMI LUKMANUL HAKIM</v>
      </c>
      <c r="F1336" s="20" t="str">
        <f>IFERROR(VLOOKUP(I1336,KET!$B:$F,5,0),"")</f>
        <v>GMM</v>
      </c>
      <c r="G1336" s="20">
        <f>IFERROR(INDEX('Kode Outlet dan Target Toko'!$C:$C,MATCH($I1336,'Kode Outlet dan Target Toko'!$E:$E,0)),0)</f>
        <v>189901</v>
      </c>
      <c r="H1336" s="20">
        <f>IFERROR(INDEX('Kode Outlet dan Target Toko'!$D:$D,MATCH($I1336,'Kode Outlet dan Target Toko'!$E:$E,0)),0)</f>
        <v>1602018</v>
      </c>
      <c r="I1336" s="50" t="s">
        <v>34</v>
      </c>
      <c r="J1336" s="52" t="s">
        <v>187</v>
      </c>
      <c r="K1336" s="40" t="s">
        <v>15</v>
      </c>
      <c r="L1336" s="56">
        <v>3500</v>
      </c>
      <c r="M1336" s="26">
        <v>30</v>
      </c>
      <c r="N1336" s="25">
        <f t="shared" si="41"/>
        <v>105000</v>
      </c>
      <c r="O1336" s="26"/>
    </row>
    <row r="1337" spans="1:15" hidden="1" x14ac:dyDescent="0.3">
      <c r="A1337" s="26">
        <v>28</v>
      </c>
      <c r="B1337" s="20" t="str">
        <f t="shared" si="40"/>
        <v>JUL</v>
      </c>
      <c r="C1337" s="21">
        <v>46213</v>
      </c>
      <c r="D1337" s="22" t="str">
        <f t="array" ref="D1337">IFERROR(INDEX('Kode Outlet dan Target Toko'!$A:$A,MATCH($I1337,'Kode Outlet dan Target Toko'!$E:$E,0)),"")</f>
        <v>GRSM 4</v>
      </c>
      <c r="E1337" s="20" t="str">
        <f>IFERROR(VLOOKUP(I1337,KET!$B:$F,4,0),"")</f>
        <v>FAHMI LUKMANUL HAKIM</v>
      </c>
      <c r="F1337" s="20" t="str">
        <f>IFERROR(VLOOKUP(I1337,KET!$B:$F,5,0),"")</f>
        <v>GMM</v>
      </c>
      <c r="G1337" s="20">
        <f>IFERROR(INDEX('Kode Outlet dan Target Toko'!$C:$C,MATCH($I1337,'Kode Outlet dan Target Toko'!$E:$E,0)),0)</f>
        <v>189901</v>
      </c>
      <c r="H1337" s="20">
        <f>IFERROR(INDEX('Kode Outlet dan Target Toko'!$D:$D,MATCH($I1337,'Kode Outlet dan Target Toko'!$E:$E,0)),0)</f>
        <v>1602018</v>
      </c>
      <c r="I1337" s="50" t="s">
        <v>34</v>
      </c>
      <c r="J1337" s="52" t="s">
        <v>187</v>
      </c>
      <c r="K1337" s="40" t="s">
        <v>14</v>
      </c>
      <c r="L1337" s="56">
        <v>3500</v>
      </c>
      <c r="M1337" s="26">
        <v>30</v>
      </c>
      <c r="N1337" s="25">
        <f t="shared" si="41"/>
        <v>105000</v>
      </c>
      <c r="O1337" s="26"/>
    </row>
    <row r="1338" spans="1:15" hidden="1" x14ac:dyDescent="0.3">
      <c r="A1338" s="26">
        <v>28</v>
      </c>
      <c r="B1338" s="20" t="str">
        <f t="shared" si="40"/>
        <v>JUL</v>
      </c>
      <c r="C1338" s="21">
        <v>46213</v>
      </c>
      <c r="D1338" s="22" t="str">
        <f t="array" ref="D1338">IFERROR(INDEX('Kode Outlet dan Target Toko'!$A:$A,MATCH($I1338,'Kode Outlet dan Target Toko'!$E:$E,0)),"")</f>
        <v>GRSM 4</v>
      </c>
      <c r="E1338" s="20" t="str">
        <f>IFERROR(VLOOKUP(I1338,KET!$B:$F,4,0),"")</f>
        <v>FAHMI LUKMANUL HAKIM</v>
      </c>
      <c r="F1338" s="20" t="str">
        <f>IFERROR(VLOOKUP(I1338,KET!$B:$F,5,0),"")</f>
        <v>GMM</v>
      </c>
      <c r="G1338" s="20">
        <f>IFERROR(INDEX('Kode Outlet dan Target Toko'!$C:$C,MATCH($I1338,'Kode Outlet dan Target Toko'!$E:$E,0)),0)</f>
        <v>189901</v>
      </c>
      <c r="H1338" s="20">
        <f>IFERROR(INDEX('Kode Outlet dan Target Toko'!$D:$D,MATCH($I1338,'Kode Outlet dan Target Toko'!$E:$E,0)),0)</f>
        <v>1602018</v>
      </c>
      <c r="I1338" s="50" t="s">
        <v>34</v>
      </c>
      <c r="J1338" s="52" t="s">
        <v>187</v>
      </c>
      <c r="K1338" s="40" t="s">
        <v>13</v>
      </c>
      <c r="L1338" s="56">
        <v>3500</v>
      </c>
      <c r="M1338" s="26">
        <v>15</v>
      </c>
      <c r="N1338" s="25">
        <f t="shared" si="41"/>
        <v>52500</v>
      </c>
      <c r="O1338" s="26"/>
    </row>
    <row r="1339" spans="1:15" hidden="1" x14ac:dyDescent="0.3">
      <c r="A1339" s="26">
        <v>28</v>
      </c>
      <c r="B1339" s="20" t="str">
        <f t="shared" si="40"/>
        <v>JUL</v>
      </c>
      <c r="C1339" s="21">
        <v>46213</v>
      </c>
      <c r="D1339" s="22" t="str">
        <f t="array" ref="D1339">IFERROR(INDEX('Kode Outlet dan Target Toko'!$A:$A,MATCH($I1339,'Kode Outlet dan Target Toko'!$E:$E,0)),"")</f>
        <v>GRSM 4</v>
      </c>
      <c r="E1339" s="20" t="str">
        <f>IFERROR(VLOOKUP(I1339,KET!$B:$F,4,0),"")</f>
        <v>FAHMI LUKMANUL HAKIM</v>
      </c>
      <c r="F1339" s="20" t="str">
        <f>IFERROR(VLOOKUP(I1339,KET!$B:$F,5,0),"")</f>
        <v>GMM</v>
      </c>
      <c r="G1339" s="20">
        <f>IFERROR(INDEX('Kode Outlet dan Target Toko'!$C:$C,MATCH($I1339,'Kode Outlet dan Target Toko'!$E:$E,0)),0)</f>
        <v>189901</v>
      </c>
      <c r="H1339" s="20">
        <f>IFERROR(INDEX('Kode Outlet dan Target Toko'!$D:$D,MATCH($I1339,'Kode Outlet dan Target Toko'!$E:$E,0)),0)</f>
        <v>1602018</v>
      </c>
      <c r="I1339" s="50" t="s">
        <v>34</v>
      </c>
      <c r="J1339" s="52" t="s">
        <v>187</v>
      </c>
      <c r="K1339" s="40" t="s">
        <v>16</v>
      </c>
      <c r="L1339" s="56">
        <v>3500</v>
      </c>
      <c r="M1339" s="26">
        <v>40</v>
      </c>
      <c r="N1339" s="25">
        <f t="shared" si="41"/>
        <v>140000</v>
      </c>
      <c r="O1339" s="26">
        <v>160</v>
      </c>
    </row>
    <row r="1340" spans="1:15" hidden="1" x14ac:dyDescent="0.3">
      <c r="A1340" s="26">
        <v>28</v>
      </c>
      <c r="B1340" s="20" t="str">
        <f t="shared" si="40"/>
        <v>JUL</v>
      </c>
      <c r="C1340" s="21">
        <v>46214</v>
      </c>
      <c r="D1340" s="22" t="str">
        <f t="array" ref="D1340">IFERROR(INDEX('Kode Outlet dan Target Toko'!$A:$A,MATCH($I1340,'Kode Outlet dan Target Toko'!$E:$E,0)),"")</f>
        <v>GRSM 4</v>
      </c>
      <c r="E1340" s="20" t="str">
        <f>IFERROR(VLOOKUP(I1340,KET!$B:$F,4,0),"")</f>
        <v>FAHMI LUKMANUL HAKIM</v>
      </c>
      <c r="F1340" s="20" t="str">
        <f>IFERROR(VLOOKUP(I1340,KET!$B:$F,5,0),"")</f>
        <v>GMM</v>
      </c>
      <c r="G1340" s="20">
        <f>IFERROR(INDEX('Kode Outlet dan Target Toko'!$C:$C,MATCH($I1340,'Kode Outlet dan Target Toko'!$E:$E,0)),0)</f>
        <v>189901</v>
      </c>
      <c r="H1340" s="20">
        <f>IFERROR(INDEX('Kode Outlet dan Target Toko'!$D:$D,MATCH($I1340,'Kode Outlet dan Target Toko'!$E:$E,0)),0)</f>
        <v>1602018</v>
      </c>
      <c r="I1340" s="50" t="s">
        <v>34</v>
      </c>
      <c r="J1340" s="52" t="s">
        <v>187</v>
      </c>
      <c r="K1340" s="40" t="s">
        <v>15</v>
      </c>
      <c r="L1340" s="56">
        <v>3500</v>
      </c>
      <c r="M1340" s="26">
        <v>25</v>
      </c>
      <c r="N1340" s="25">
        <f t="shared" si="41"/>
        <v>87500</v>
      </c>
      <c r="O1340" s="26"/>
    </row>
    <row r="1341" spans="1:15" hidden="1" x14ac:dyDescent="0.3">
      <c r="A1341" s="26">
        <v>28</v>
      </c>
      <c r="B1341" s="20" t="str">
        <f t="shared" si="40"/>
        <v>JUL</v>
      </c>
      <c r="C1341" s="21">
        <v>46214</v>
      </c>
      <c r="D1341" s="22" t="str">
        <f t="array" ref="D1341">IFERROR(INDEX('Kode Outlet dan Target Toko'!$A:$A,MATCH($I1341,'Kode Outlet dan Target Toko'!$E:$E,0)),"")</f>
        <v>GRSM 4</v>
      </c>
      <c r="E1341" s="20" t="str">
        <f>IFERROR(VLOOKUP(I1341,KET!$B:$F,4,0),"")</f>
        <v>FAHMI LUKMANUL HAKIM</v>
      </c>
      <c r="F1341" s="20" t="str">
        <f>IFERROR(VLOOKUP(I1341,KET!$B:$F,5,0),"")</f>
        <v>GMM</v>
      </c>
      <c r="G1341" s="20">
        <f>IFERROR(INDEX('Kode Outlet dan Target Toko'!$C:$C,MATCH($I1341,'Kode Outlet dan Target Toko'!$E:$E,0)),0)</f>
        <v>189901</v>
      </c>
      <c r="H1341" s="20">
        <f>IFERROR(INDEX('Kode Outlet dan Target Toko'!$D:$D,MATCH($I1341,'Kode Outlet dan Target Toko'!$E:$E,0)),0)</f>
        <v>1602018</v>
      </c>
      <c r="I1341" s="50" t="s">
        <v>34</v>
      </c>
      <c r="J1341" s="52" t="s">
        <v>187</v>
      </c>
      <c r="K1341" s="40" t="s">
        <v>14</v>
      </c>
      <c r="L1341" s="56">
        <v>3500</v>
      </c>
      <c r="M1341" s="26">
        <v>20</v>
      </c>
      <c r="N1341" s="25">
        <f t="shared" si="41"/>
        <v>70000</v>
      </c>
      <c r="O1341" s="26"/>
    </row>
    <row r="1342" spans="1:15" hidden="1" x14ac:dyDescent="0.3">
      <c r="A1342" s="26">
        <v>28</v>
      </c>
      <c r="B1342" s="20" t="str">
        <f t="shared" si="40"/>
        <v>JUL</v>
      </c>
      <c r="C1342" s="21">
        <v>46214</v>
      </c>
      <c r="D1342" s="22" t="str">
        <f t="array" ref="D1342">IFERROR(INDEX('Kode Outlet dan Target Toko'!$A:$A,MATCH($I1342,'Kode Outlet dan Target Toko'!$E:$E,0)),"")</f>
        <v>GRSM 4</v>
      </c>
      <c r="E1342" s="20" t="str">
        <f>IFERROR(VLOOKUP(I1342,KET!$B:$F,4,0),"")</f>
        <v>FAHMI LUKMANUL HAKIM</v>
      </c>
      <c r="F1342" s="20" t="str">
        <f>IFERROR(VLOOKUP(I1342,KET!$B:$F,5,0),"")</f>
        <v>GMM</v>
      </c>
      <c r="G1342" s="20">
        <f>IFERROR(INDEX('Kode Outlet dan Target Toko'!$C:$C,MATCH($I1342,'Kode Outlet dan Target Toko'!$E:$E,0)),0)</f>
        <v>189901</v>
      </c>
      <c r="H1342" s="20">
        <f>IFERROR(INDEX('Kode Outlet dan Target Toko'!$D:$D,MATCH($I1342,'Kode Outlet dan Target Toko'!$E:$E,0)),0)</f>
        <v>1602018</v>
      </c>
      <c r="I1342" s="50" t="s">
        <v>34</v>
      </c>
      <c r="J1342" s="52" t="s">
        <v>187</v>
      </c>
      <c r="K1342" s="40" t="s">
        <v>13</v>
      </c>
      <c r="L1342" s="56">
        <v>3500</v>
      </c>
      <c r="M1342" s="26">
        <v>15</v>
      </c>
      <c r="N1342" s="25">
        <f t="shared" si="41"/>
        <v>52500</v>
      </c>
      <c r="O1342" s="26"/>
    </row>
    <row r="1343" spans="1:15" hidden="1" x14ac:dyDescent="0.3">
      <c r="A1343" s="26">
        <v>28</v>
      </c>
      <c r="B1343" s="20" t="str">
        <f t="shared" si="40"/>
        <v>JUL</v>
      </c>
      <c r="C1343" s="21">
        <v>46214</v>
      </c>
      <c r="D1343" s="22" t="str">
        <f t="array" ref="D1343">IFERROR(INDEX('Kode Outlet dan Target Toko'!$A:$A,MATCH($I1343,'Kode Outlet dan Target Toko'!$E:$E,0)),"")</f>
        <v>GRSM 4</v>
      </c>
      <c r="E1343" s="20" t="str">
        <f>IFERROR(VLOOKUP(I1343,KET!$B:$F,4,0),"")</f>
        <v>FAHMI LUKMANUL HAKIM</v>
      </c>
      <c r="F1343" s="20" t="str">
        <f>IFERROR(VLOOKUP(I1343,KET!$B:$F,5,0),"")</f>
        <v>GMM</v>
      </c>
      <c r="G1343" s="20">
        <f>IFERROR(INDEX('Kode Outlet dan Target Toko'!$C:$C,MATCH($I1343,'Kode Outlet dan Target Toko'!$E:$E,0)),0)</f>
        <v>189901</v>
      </c>
      <c r="H1343" s="20">
        <f>IFERROR(INDEX('Kode Outlet dan Target Toko'!$D:$D,MATCH($I1343,'Kode Outlet dan Target Toko'!$E:$E,0)),0)</f>
        <v>1602018</v>
      </c>
      <c r="I1343" s="50" t="s">
        <v>34</v>
      </c>
      <c r="J1343" s="52" t="s">
        <v>187</v>
      </c>
      <c r="K1343" s="40" t="s">
        <v>16</v>
      </c>
      <c r="L1343" s="56">
        <v>3500</v>
      </c>
      <c r="M1343" s="26">
        <v>40</v>
      </c>
      <c r="N1343" s="25">
        <f t="shared" si="41"/>
        <v>140000</v>
      </c>
      <c r="O1343" s="26">
        <v>160</v>
      </c>
    </row>
    <row r="1344" spans="1:15" hidden="1" x14ac:dyDescent="0.3">
      <c r="A1344" s="26">
        <v>28</v>
      </c>
      <c r="B1344" s="20" t="str">
        <f t="shared" si="40"/>
        <v>JUL</v>
      </c>
      <c r="C1344" s="21">
        <v>46215</v>
      </c>
      <c r="D1344" s="22" t="str">
        <f t="array" ref="D1344">IFERROR(INDEX('Kode Outlet dan Target Toko'!$A:$A,MATCH($I1344,'Kode Outlet dan Target Toko'!$E:$E,0)),"")</f>
        <v>GRSM 4</v>
      </c>
      <c r="E1344" s="20" t="str">
        <f>IFERROR(VLOOKUP(I1344,KET!$B:$F,4,0),"")</f>
        <v>FAHMI LUKMANUL HAKIM</v>
      </c>
      <c r="F1344" s="20" t="str">
        <f>IFERROR(VLOOKUP(I1344,KET!$B:$F,5,0),"")</f>
        <v>GMM</v>
      </c>
      <c r="G1344" s="20">
        <f>IFERROR(INDEX('Kode Outlet dan Target Toko'!$C:$C,MATCH($I1344,'Kode Outlet dan Target Toko'!$E:$E,0)),0)</f>
        <v>189901</v>
      </c>
      <c r="H1344" s="20">
        <f>IFERROR(INDEX('Kode Outlet dan Target Toko'!$D:$D,MATCH($I1344,'Kode Outlet dan Target Toko'!$E:$E,0)),0)</f>
        <v>1602018</v>
      </c>
      <c r="I1344" s="50" t="s">
        <v>34</v>
      </c>
      <c r="J1344" s="52" t="s">
        <v>187</v>
      </c>
      <c r="K1344" s="40" t="s">
        <v>15</v>
      </c>
      <c r="L1344" s="56">
        <v>3500</v>
      </c>
      <c r="M1344" s="26">
        <v>15</v>
      </c>
      <c r="N1344" s="25">
        <f t="shared" si="41"/>
        <v>52500</v>
      </c>
      <c r="O1344" s="26"/>
    </row>
    <row r="1345" spans="1:15" hidden="1" x14ac:dyDescent="0.3">
      <c r="A1345" s="26">
        <v>28</v>
      </c>
      <c r="B1345" s="20" t="str">
        <f t="shared" si="40"/>
        <v>JUL</v>
      </c>
      <c r="C1345" s="21">
        <v>46215</v>
      </c>
      <c r="D1345" s="22" t="str">
        <f t="array" ref="D1345">IFERROR(INDEX('Kode Outlet dan Target Toko'!$A:$A,MATCH($I1345,'Kode Outlet dan Target Toko'!$E:$E,0)),"")</f>
        <v>GRSM 4</v>
      </c>
      <c r="E1345" s="20" t="str">
        <f>IFERROR(VLOOKUP(I1345,KET!$B:$F,4,0),"")</f>
        <v>FAHMI LUKMANUL HAKIM</v>
      </c>
      <c r="F1345" s="20" t="str">
        <f>IFERROR(VLOOKUP(I1345,KET!$B:$F,5,0),"")</f>
        <v>GMM</v>
      </c>
      <c r="G1345" s="20">
        <f>IFERROR(INDEX('Kode Outlet dan Target Toko'!$C:$C,MATCH($I1345,'Kode Outlet dan Target Toko'!$E:$E,0)),0)</f>
        <v>189901</v>
      </c>
      <c r="H1345" s="20">
        <f>IFERROR(INDEX('Kode Outlet dan Target Toko'!$D:$D,MATCH($I1345,'Kode Outlet dan Target Toko'!$E:$E,0)),0)</f>
        <v>1602018</v>
      </c>
      <c r="I1345" s="50" t="s">
        <v>34</v>
      </c>
      <c r="J1345" s="52" t="s">
        <v>187</v>
      </c>
      <c r="K1345" s="40" t="s">
        <v>14</v>
      </c>
      <c r="L1345" s="56">
        <v>3500</v>
      </c>
      <c r="M1345" s="26">
        <v>20</v>
      </c>
      <c r="N1345" s="25">
        <f t="shared" si="41"/>
        <v>70000</v>
      </c>
      <c r="O1345" s="26"/>
    </row>
    <row r="1346" spans="1:15" hidden="1" x14ac:dyDescent="0.3">
      <c r="A1346" s="49">
        <v>28</v>
      </c>
      <c r="B1346" s="20" t="str">
        <f t="shared" si="40"/>
        <v>JUL</v>
      </c>
      <c r="C1346" s="58">
        <v>46215</v>
      </c>
      <c r="D1346" s="59" t="str">
        <f t="array" ref="D1346">IFERROR(INDEX('Kode Outlet dan Target Toko'!$A:$A,MATCH($I1346,'Kode Outlet dan Target Toko'!$E:$E,0)),"")</f>
        <v>GRSM 4</v>
      </c>
      <c r="E1346" s="20" t="str">
        <f>IFERROR(VLOOKUP(I1346,KET!$B:$F,4,0),"")</f>
        <v>FAHMI LUKMANUL HAKIM</v>
      </c>
      <c r="F1346" s="57" t="str">
        <f>IFERROR(VLOOKUP(I1346,KET!$B:$F,5,0),"")</f>
        <v>GMM</v>
      </c>
      <c r="G1346" s="20">
        <f>IFERROR(INDEX('Kode Outlet dan Target Toko'!$C:$C,MATCH($I1346,'Kode Outlet dan Target Toko'!$E:$E,0)),0)</f>
        <v>189901</v>
      </c>
      <c r="H1346" s="20">
        <f>IFERROR(INDEX('Kode Outlet dan Target Toko'!$D:$D,MATCH($I1346,'Kode Outlet dan Target Toko'!$E:$E,0)),0)</f>
        <v>1602018</v>
      </c>
      <c r="I1346" s="50" t="s">
        <v>34</v>
      </c>
      <c r="J1346" s="60" t="s">
        <v>187</v>
      </c>
      <c r="K1346" s="47" t="s">
        <v>13</v>
      </c>
      <c r="L1346" s="3">
        <v>3500</v>
      </c>
      <c r="M1346" s="49">
        <v>5</v>
      </c>
      <c r="N1346" s="25">
        <f t="shared" si="41"/>
        <v>17500</v>
      </c>
      <c r="O1346" s="26"/>
    </row>
    <row r="1347" spans="1:15" s="56" customFormat="1" hidden="1" x14ac:dyDescent="0.3">
      <c r="A1347" s="26">
        <v>28</v>
      </c>
      <c r="B1347" s="20" t="str">
        <f t="shared" si="40"/>
        <v>JUL</v>
      </c>
      <c r="C1347" s="21">
        <v>46215</v>
      </c>
      <c r="D1347" s="22" t="str">
        <f t="array" ref="D1347">IFERROR(INDEX('Kode Outlet dan Target Toko'!$A:$A,MATCH($I1347,'Kode Outlet dan Target Toko'!$E:$E,0)),"")</f>
        <v>GRSM 4</v>
      </c>
      <c r="E1347" s="20" t="str">
        <f>IFERROR(VLOOKUP(I1347,KET!$B:$F,4,0),"")</f>
        <v>FAHMI LUKMANUL HAKIM</v>
      </c>
      <c r="F1347" s="20" t="str">
        <f>IFERROR(VLOOKUP(I1347,KET!$B:$F,5,0),"")</f>
        <v>GMM</v>
      </c>
      <c r="G1347" s="20">
        <f>IFERROR(INDEX('Kode Outlet dan Target Toko'!$C:$C,MATCH($I1347,'Kode Outlet dan Target Toko'!$E:$E,0)),0)</f>
        <v>189901</v>
      </c>
      <c r="H1347" s="20">
        <f>IFERROR(INDEX('Kode Outlet dan Target Toko'!$D:$D,MATCH($I1347,'Kode Outlet dan Target Toko'!$E:$E,0)),0)</f>
        <v>1602018</v>
      </c>
      <c r="I1347" s="50" t="s">
        <v>34</v>
      </c>
      <c r="J1347" s="52" t="s">
        <v>187</v>
      </c>
      <c r="K1347" s="40" t="s">
        <v>16</v>
      </c>
      <c r="L1347" s="56">
        <v>3500</v>
      </c>
      <c r="M1347" s="26">
        <v>70</v>
      </c>
      <c r="N1347" s="25">
        <f t="shared" si="41"/>
        <v>245000</v>
      </c>
      <c r="O1347" s="26">
        <v>160</v>
      </c>
    </row>
    <row r="1348" spans="1:15" hidden="1" x14ac:dyDescent="0.3">
      <c r="A1348" s="26">
        <v>28</v>
      </c>
      <c r="B1348" s="20" t="str">
        <f t="shared" si="40"/>
        <v>JUL</v>
      </c>
      <c r="C1348" s="21">
        <v>46213</v>
      </c>
      <c r="D1348" s="22" t="str">
        <f t="array" ref="D1348">IFERROR(INDEX('Kode Outlet dan Target Toko'!$A:$A,MATCH($I1348,'Kode Outlet dan Target Toko'!$E:$E,0)),"")</f>
        <v>GRSM 4</v>
      </c>
      <c r="E1348" s="20" t="str">
        <f>IFERROR(VLOOKUP(I1348,KET!$B:$F,4,0),"")</f>
        <v>FAHMI LUKMANUL HAKIM</v>
      </c>
      <c r="F1348" s="20" t="str">
        <f>IFERROR(VLOOKUP(I1348,KET!$B:$F,5,0),"")</f>
        <v>GMM</v>
      </c>
      <c r="G1348" s="20">
        <f>IFERROR(INDEX('Kode Outlet dan Target Toko'!$C:$C,MATCH($I1348,'Kode Outlet dan Target Toko'!$E:$E,0)),0)</f>
        <v>189901</v>
      </c>
      <c r="H1348" s="20">
        <f>IFERROR(INDEX('Kode Outlet dan Target Toko'!$D:$D,MATCH($I1348,'Kode Outlet dan Target Toko'!$E:$E,0)),0)</f>
        <v>1602008</v>
      </c>
      <c r="I1348" s="50" t="s">
        <v>32</v>
      </c>
      <c r="J1348" s="56" t="s">
        <v>189</v>
      </c>
      <c r="K1348" s="40" t="s">
        <v>15</v>
      </c>
      <c r="L1348" s="24">
        <v>3300</v>
      </c>
      <c r="M1348" s="26">
        <v>50</v>
      </c>
      <c r="N1348" s="25">
        <f t="shared" si="41"/>
        <v>165000</v>
      </c>
      <c r="O1348" s="26"/>
    </row>
    <row r="1349" spans="1:15" hidden="1" x14ac:dyDescent="0.3">
      <c r="A1349" s="26">
        <v>28</v>
      </c>
      <c r="B1349" s="20" t="str">
        <f t="shared" si="40"/>
        <v>JUL</v>
      </c>
      <c r="C1349" s="21">
        <v>46213</v>
      </c>
      <c r="D1349" s="22" t="str">
        <f t="array" ref="D1349">IFERROR(INDEX('Kode Outlet dan Target Toko'!$A:$A,MATCH($I1349,'Kode Outlet dan Target Toko'!$E:$E,0)),"")</f>
        <v>GRSM 4</v>
      </c>
      <c r="E1349" s="20" t="str">
        <f>IFERROR(VLOOKUP(I1349,KET!$B:$F,4,0),"")</f>
        <v>FAHMI LUKMANUL HAKIM</v>
      </c>
      <c r="F1349" s="20" t="str">
        <f>IFERROR(VLOOKUP(I1349,KET!$B:$F,5,0),"")</f>
        <v>GMM</v>
      </c>
      <c r="G1349" s="20">
        <f>IFERROR(INDEX('Kode Outlet dan Target Toko'!$C:$C,MATCH($I1349,'Kode Outlet dan Target Toko'!$E:$E,0)),0)</f>
        <v>189901</v>
      </c>
      <c r="H1349" s="20">
        <f>IFERROR(INDEX('Kode Outlet dan Target Toko'!$D:$D,MATCH($I1349,'Kode Outlet dan Target Toko'!$E:$E,0)),0)</f>
        <v>1602008</v>
      </c>
      <c r="I1349" s="50" t="s">
        <v>32</v>
      </c>
      <c r="J1349" s="56" t="s">
        <v>189</v>
      </c>
      <c r="K1349" s="40" t="s">
        <v>14</v>
      </c>
      <c r="L1349" s="24">
        <v>3300</v>
      </c>
      <c r="M1349" s="26">
        <v>60</v>
      </c>
      <c r="N1349" s="25">
        <f t="shared" si="41"/>
        <v>198000</v>
      </c>
      <c r="O1349" s="26"/>
    </row>
    <row r="1350" spans="1:15" hidden="1" x14ac:dyDescent="0.3">
      <c r="A1350" s="26">
        <v>28</v>
      </c>
      <c r="B1350" s="20" t="str">
        <f t="shared" si="40"/>
        <v>JUL</v>
      </c>
      <c r="C1350" s="21">
        <v>46213</v>
      </c>
      <c r="D1350" s="22" t="str">
        <f t="array" ref="D1350">IFERROR(INDEX('Kode Outlet dan Target Toko'!$A:$A,MATCH($I1350,'Kode Outlet dan Target Toko'!$E:$E,0)),"")</f>
        <v>GRSM 4</v>
      </c>
      <c r="E1350" s="20" t="str">
        <f>IFERROR(VLOOKUP(I1350,KET!$B:$F,4,0),"")</f>
        <v>FAHMI LUKMANUL HAKIM</v>
      </c>
      <c r="F1350" s="20" t="str">
        <f>IFERROR(VLOOKUP(I1350,KET!$B:$F,5,0),"")</f>
        <v>GMM</v>
      </c>
      <c r="G1350" s="20">
        <f>IFERROR(INDEX('Kode Outlet dan Target Toko'!$C:$C,MATCH($I1350,'Kode Outlet dan Target Toko'!$E:$E,0)),0)</f>
        <v>189901</v>
      </c>
      <c r="H1350" s="20">
        <f>IFERROR(INDEX('Kode Outlet dan Target Toko'!$D:$D,MATCH($I1350,'Kode Outlet dan Target Toko'!$E:$E,0)),0)</f>
        <v>1602008</v>
      </c>
      <c r="I1350" s="50" t="s">
        <v>32</v>
      </c>
      <c r="J1350" s="56" t="s">
        <v>189</v>
      </c>
      <c r="K1350" s="40" t="s">
        <v>13</v>
      </c>
      <c r="L1350" s="24">
        <v>3300</v>
      </c>
      <c r="M1350" s="26">
        <v>60</v>
      </c>
      <c r="N1350" s="25">
        <f t="shared" si="41"/>
        <v>198000</v>
      </c>
      <c r="O1350" s="26"/>
    </row>
    <row r="1351" spans="1:15" hidden="1" x14ac:dyDescent="0.3">
      <c r="A1351" s="26">
        <v>28</v>
      </c>
      <c r="B1351" s="20" t="str">
        <f t="shared" ref="B1351:B1414" si="42">IF(C1351="","",UPPER(TEXT(C1351, "MMM")))</f>
        <v>JUL</v>
      </c>
      <c r="C1351" s="21">
        <v>46213</v>
      </c>
      <c r="D1351" s="22" t="str">
        <f t="array" ref="D1351">IFERROR(INDEX('Kode Outlet dan Target Toko'!$A:$A,MATCH($I1351,'Kode Outlet dan Target Toko'!$E:$E,0)),"")</f>
        <v>GRSM 4</v>
      </c>
      <c r="E1351" s="20" t="str">
        <f>IFERROR(VLOOKUP(I1351,KET!$B:$F,4,0),"")</f>
        <v>FAHMI LUKMANUL HAKIM</v>
      </c>
      <c r="F1351" s="20" t="str">
        <f>IFERROR(VLOOKUP(I1351,KET!$B:$F,5,0),"")</f>
        <v>GMM</v>
      </c>
      <c r="G1351" s="20">
        <f>IFERROR(INDEX('Kode Outlet dan Target Toko'!$C:$C,MATCH($I1351,'Kode Outlet dan Target Toko'!$E:$E,0)),0)</f>
        <v>189901</v>
      </c>
      <c r="H1351" s="20">
        <f>IFERROR(INDEX('Kode Outlet dan Target Toko'!$D:$D,MATCH($I1351,'Kode Outlet dan Target Toko'!$E:$E,0)),0)</f>
        <v>1602008</v>
      </c>
      <c r="I1351" s="50" t="s">
        <v>32</v>
      </c>
      <c r="J1351" s="56" t="s">
        <v>189</v>
      </c>
      <c r="K1351" s="40" t="s">
        <v>16</v>
      </c>
      <c r="L1351" s="24">
        <v>3300</v>
      </c>
      <c r="M1351" s="26">
        <v>80</v>
      </c>
      <c r="N1351" s="25">
        <f t="shared" ref="N1351:N1414" si="43">IFERROR(M1351*L1351,"")</f>
        <v>264000</v>
      </c>
      <c r="O1351" s="26">
        <v>160</v>
      </c>
    </row>
    <row r="1352" spans="1:15" hidden="1" x14ac:dyDescent="0.3">
      <c r="A1352" s="26">
        <v>28</v>
      </c>
      <c r="B1352" s="20" t="str">
        <f t="shared" si="42"/>
        <v>JUL</v>
      </c>
      <c r="C1352" s="21">
        <v>46214</v>
      </c>
      <c r="D1352" s="22" t="str">
        <f t="array" ref="D1352">IFERROR(INDEX('Kode Outlet dan Target Toko'!$A:$A,MATCH($I1352,'Kode Outlet dan Target Toko'!$E:$E,0)),"")</f>
        <v>GRSM 4</v>
      </c>
      <c r="E1352" s="20" t="str">
        <f>IFERROR(VLOOKUP(I1352,KET!$B:$F,4,0),"")</f>
        <v>FAHMI LUKMANUL HAKIM</v>
      </c>
      <c r="F1352" s="20" t="str">
        <f>IFERROR(VLOOKUP(I1352,KET!$B:$F,5,0),"")</f>
        <v>GMM</v>
      </c>
      <c r="G1352" s="20">
        <f>IFERROR(INDEX('Kode Outlet dan Target Toko'!$C:$C,MATCH($I1352,'Kode Outlet dan Target Toko'!$E:$E,0)),0)</f>
        <v>189901</v>
      </c>
      <c r="H1352" s="20">
        <f>IFERROR(INDEX('Kode Outlet dan Target Toko'!$D:$D,MATCH($I1352,'Kode Outlet dan Target Toko'!$E:$E,0)),0)</f>
        <v>1602008</v>
      </c>
      <c r="I1352" s="50" t="s">
        <v>32</v>
      </c>
      <c r="J1352" s="56" t="s">
        <v>189</v>
      </c>
      <c r="K1352" s="40" t="s">
        <v>15</v>
      </c>
      <c r="L1352" s="24">
        <v>3300</v>
      </c>
      <c r="M1352" s="26">
        <v>100</v>
      </c>
      <c r="N1352" s="25">
        <f t="shared" si="43"/>
        <v>330000</v>
      </c>
      <c r="O1352" s="26"/>
    </row>
    <row r="1353" spans="1:15" hidden="1" x14ac:dyDescent="0.3">
      <c r="A1353" s="26">
        <v>28</v>
      </c>
      <c r="B1353" s="20" t="str">
        <f t="shared" si="42"/>
        <v>JUL</v>
      </c>
      <c r="C1353" s="21">
        <v>46214</v>
      </c>
      <c r="D1353" s="22" t="str">
        <f t="array" ref="D1353">IFERROR(INDEX('Kode Outlet dan Target Toko'!$A:$A,MATCH($I1353,'Kode Outlet dan Target Toko'!$E:$E,0)),"")</f>
        <v>GRSM 4</v>
      </c>
      <c r="E1353" s="20" t="str">
        <f>IFERROR(VLOOKUP(I1353,KET!$B:$F,4,0),"")</f>
        <v>FAHMI LUKMANUL HAKIM</v>
      </c>
      <c r="F1353" s="20" t="str">
        <f>IFERROR(VLOOKUP(I1353,KET!$B:$F,5,0),"")</f>
        <v>GMM</v>
      </c>
      <c r="G1353" s="20">
        <f>IFERROR(INDEX('Kode Outlet dan Target Toko'!$C:$C,MATCH($I1353,'Kode Outlet dan Target Toko'!$E:$E,0)),0)</f>
        <v>189901</v>
      </c>
      <c r="H1353" s="20">
        <f>IFERROR(INDEX('Kode Outlet dan Target Toko'!$D:$D,MATCH($I1353,'Kode Outlet dan Target Toko'!$E:$E,0)),0)</f>
        <v>1602008</v>
      </c>
      <c r="I1353" s="50" t="s">
        <v>32</v>
      </c>
      <c r="J1353" s="56" t="s">
        <v>189</v>
      </c>
      <c r="K1353" s="40" t="s">
        <v>14</v>
      </c>
      <c r="L1353" s="24">
        <v>3300</v>
      </c>
      <c r="M1353" s="26">
        <v>60</v>
      </c>
      <c r="N1353" s="25">
        <f t="shared" si="43"/>
        <v>198000</v>
      </c>
      <c r="O1353" s="26"/>
    </row>
    <row r="1354" spans="1:15" hidden="1" x14ac:dyDescent="0.3">
      <c r="A1354" s="26">
        <v>28</v>
      </c>
      <c r="B1354" s="20" t="str">
        <f t="shared" si="42"/>
        <v>JUL</v>
      </c>
      <c r="C1354" s="21">
        <v>46214</v>
      </c>
      <c r="D1354" s="22" t="str">
        <f t="array" ref="D1354">IFERROR(INDEX('Kode Outlet dan Target Toko'!$A:$A,MATCH($I1354,'Kode Outlet dan Target Toko'!$E:$E,0)),"")</f>
        <v>GRSM 4</v>
      </c>
      <c r="E1354" s="20" t="str">
        <f>IFERROR(VLOOKUP(I1354,KET!$B:$F,4,0),"")</f>
        <v>FAHMI LUKMANUL HAKIM</v>
      </c>
      <c r="F1354" s="20" t="str">
        <f>IFERROR(VLOOKUP(I1354,KET!$B:$F,5,0),"")</f>
        <v>GMM</v>
      </c>
      <c r="G1354" s="20">
        <f>IFERROR(INDEX('Kode Outlet dan Target Toko'!$C:$C,MATCH($I1354,'Kode Outlet dan Target Toko'!$E:$E,0)),0)</f>
        <v>189901</v>
      </c>
      <c r="H1354" s="20">
        <f>IFERROR(INDEX('Kode Outlet dan Target Toko'!$D:$D,MATCH($I1354,'Kode Outlet dan Target Toko'!$E:$E,0)),0)</f>
        <v>1602008</v>
      </c>
      <c r="I1354" s="50" t="s">
        <v>32</v>
      </c>
      <c r="J1354" s="56" t="s">
        <v>189</v>
      </c>
      <c r="K1354" s="40" t="s">
        <v>13</v>
      </c>
      <c r="L1354" s="24">
        <v>3300</v>
      </c>
      <c r="M1354" s="26">
        <v>100</v>
      </c>
      <c r="N1354" s="25">
        <f t="shared" si="43"/>
        <v>330000</v>
      </c>
      <c r="O1354" s="26"/>
    </row>
    <row r="1355" spans="1:15" hidden="1" x14ac:dyDescent="0.3">
      <c r="A1355" s="26">
        <v>28</v>
      </c>
      <c r="B1355" s="20" t="str">
        <f t="shared" si="42"/>
        <v>JUL</v>
      </c>
      <c r="C1355" s="21">
        <v>46214</v>
      </c>
      <c r="D1355" s="22" t="str">
        <f t="array" ref="D1355">IFERROR(INDEX('Kode Outlet dan Target Toko'!$A:$A,MATCH($I1355,'Kode Outlet dan Target Toko'!$E:$E,0)),"")</f>
        <v>GRSM 4</v>
      </c>
      <c r="E1355" s="20" t="str">
        <f>IFERROR(VLOOKUP(I1355,KET!$B:$F,4,0),"")</f>
        <v>FAHMI LUKMANUL HAKIM</v>
      </c>
      <c r="F1355" s="20" t="str">
        <f>IFERROR(VLOOKUP(I1355,KET!$B:$F,5,0),"")</f>
        <v>GMM</v>
      </c>
      <c r="G1355" s="20">
        <f>IFERROR(INDEX('Kode Outlet dan Target Toko'!$C:$C,MATCH($I1355,'Kode Outlet dan Target Toko'!$E:$E,0)),0)</f>
        <v>189901</v>
      </c>
      <c r="H1355" s="20">
        <f>IFERROR(INDEX('Kode Outlet dan Target Toko'!$D:$D,MATCH($I1355,'Kode Outlet dan Target Toko'!$E:$E,0)),0)</f>
        <v>1602008</v>
      </c>
      <c r="I1355" s="50" t="s">
        <v>32</v>
      </c>
      <c r="J1355" s="56" t="s">
        <v>189</v>
      </c>
      <c r="K1355" s="40" t="s">
        <v>16</v>
      </c>
      <c r="L1355" s="24">
        <v>3300</v>
      </c>
      <c r="M1355" s="26">
        <v>80</v>
      </c>
      <c r="N1355" s="25">
        <f t="shared" si="43"/>
        <v>264000</v>
      </c>
      <c r="O1355" s="26">
        <v>160</v>
      </c>
    </row>
    <row r="1356" spans="1:15" hidden="1" x14ac:dyDescent="0.3">
      <c r="A1356" s="26">
        <v>28</v>
      </c>
      <c r="B1356" s="20" t="str">
        <f t="shared" si="42"/>
        <v>JUL</v>
      </c>
      <c r="C1356" s="21">
        <v>46215</v>
      </c>
      <c r="D1356" s="22" t="str">
        <f t="array" ref="D1356">IFERROR(INDEX('Kode Outlet dan Target Toko'!$A:$A,MATCH($I1356,'Kode Outlet dan Target Toko'!$E:$E,0)),"")</f>
        <v>GRSM 4</v>
      </c>
      <c r="E1356" s="20" t="str">
        <f>IFERROR(VLOOKUP(I1356,KET!$B:$F,4,0),"")</f>
        <v>FAHMI LUKMANUL HAKIM</v>
      </c>
      <c r="F1356" s="20" t="str">
        <f>IFERROR(VLOOKUP(I1356,KET!$B:$F,5,0),"")</f>
        <v>GMM</v>
      </c>
      <c r="G1356" s="20">
        <f>IFERROR(INDEX('Kode Outlet dan Target Toko'!$C:$C,MATCH($I1356,'Kode Outlet dan Target Toko'!$E:$E,0)),0)</f>
        <v>189901</v>
      </c>
      <c r="H1356" s="20">
        <f>IFERROR(INDEX('Kode Outlet dan Target Toko'!$D:$D,MATCH($I1356,'Kode Outlet dan Target Toko'!$E:$E,0)),0)</f>
        <v>1602008</v>
      </c>
      <c r="I1356" s="50" t="s">
        <v>32</v>
      </c>
      <c r="J1356" s="56" t="s">
        <v>189</v>
      </c>
      <c r="K1356" s="40" t="s">
        <v>15</v>
      </c>
      <c r="L1356" s="24">
        <v>3300</v>
      </c>
      <c r="M1356" s="26">
        <v>50</v>
      </c>
      <c r="N1356" s="25">
        <f t="shared" si="43"/>
        <v>165000</v>
      </c>
      <c r="O1356" s="26"/>
    </row>
    <row r="1357" spans="1:15" hidden="1" x14ac:dyDescent="0.3">
      <c r="A1357" s="26">
        <v>28</v>
      </c>
      <c r="B1357" s="20" t="str">
        <f t="shared" si="42"/>
        <v>JUL</v>
      </c>
      <c r="C1357" s="21">
        <v>46215</v>
      </c>
      <c r="D1357" s="22" t="str">
        <f t="array" ref="D1357">IFERROR(INDEX('Kode Outlet dan Target Toko'!$A:$A,MATCH($I1357,'Kode Outlet dan Target Toko'!$E:$E,0)),"")</f>
        <v>GRSM 4</v>
      </c>
      <c r="E1357" s="20" t="str">
        <f>IFERROR(VLOOKUP(I1357,KET!$B:$F,4,0),"")</f>
        <v>FAHMI LUKMANUL HAKIM</v>
      </c>
      <c r="F1357" s="20" t="str">
        <f>IFERROR(VLOOKUP(I1357,KET!$B:$F,5,0),"")</f>
        <v>GMM</v>
      </c>
      <c r="G1357" s="20">
        <f>IFERROR(INDEX('Kode Outlet dan Target Toko'!$C:$C,MATCH($I1357,'Kode Outlet dan Target Toko'!$E:$E,0)),0)</f>
        <v>189901</v>
      </c>
      <c r="H1357" s="20">
        <f>IFERROR(INDEX('Kode Outlet dan Target Toko'!$D:$D,MATCH($I1357,'Kode Outlet dan Target Toko'!$E:$E,0)),0)</f>
        <v>1602008</v>
      </c>
      <c r="I1357" s="50" t="s">
        <v>32</v>
      </c>
      <c r="J1357" s="56" t="s">
        <v>189</v>
      </c>
      <c r="K1357" s="40" t="s">
        <v>14</v>
      </c>
      <c r="L1357" s="24">
        <v>3300</v>
      </c>
      <c r="M1357" s="26">
        <v>50</v>
      </c>
      <c r="N1357" s="25">
        <f t="shared" si="43"/>
        <v>165000</v>
      </c>
      <c r="O1357" s="26"/>
    </row>
    <row r="1358" spans="1:15" hidden="1" x14ac:dyDescent="0.3">
      <c r="A1358" s="26">
        <v>28</v>
      </c>
      <c r="B1358" s="20" t="str">
        <f t="shared" si="42"/>
        <v>JUL</v>
      </c>
      <c r="C1358" s="21">
        <v>46215</v>
      </c>
      <c r="D1358" s="22" t="str">
        <f t="array" ref="D1358">IFERROR(INDEX('Kode Outlet dan Target Toko'!$A:$A,MATCH($I1358,'Kode Outlet dan Target Toko'!$E:$E,0)),"")</f>
        <v>GRSM 4</v>
      </c>
      <c r="E1358" s="20" t="str">
        <f>IFERROR(VLOOKUP(I1358,KET!$B:$F,4,0),"")</f>
        <v>FAHMI LUKMANUL HAKIM</v>
      </c>
      <c r="F1358" s="20" t="str">
        <f>IFERROR(VLOOKUP(I1358,KET!$B:$F,5,0),"")</f>
        <v>GMM</v>
      </c>
      <c r="G1358" s="20">
        <f>IFERROR(INDEX('Kode Outlet dan Target Toko'!$C:$C,MATCH($I1358,'Kode Outlet dan Target Toko'!$E:$E,0)),0)</f>
        <v>189901</v>
      </c>
      <c r="H1358" s="20">
        <f>IFERROR(INDEX('Kode Outlet dan Target Toko'!$D:$D,MATCH($I1358,'Kode Outlet dan Target Toko'!$E:$E,0)),0)</f>
        <v>1602008</v>
      </c>
      <c r="I1358" s="50" t="s">
        <v>32</v>
      </c>
      <c r="J1358" s="56" t="s">
        <v>189</v>
      </c>
      <c r="K1358" s="40" t="s">
        <v>13</v>
      </c>
      <c r="L1358" s="24">
        <v>3300</v>
      </c>
      <c r="M1358" s="26">
        <v>50</v>
      </c>
      <c r="N1358" s="25">
        <f t="shared" si="43"/>
        <v>165000</v>
      </c>
      <c r="O1358" s="26"/>
    </row>
    <row r="1359" spans="1:15" hidden="1" x14ac:dyDescent="0.3">
      <c r="A1359" s="26">
        <v>28</v>
      </c>
      <c r="B1359" s="20" t="str">
        <f t="shared" si="42"/>
        <v>JUL</v>
      </c>
      <c r="C1359" s="21">
        <v>46215</v>
      </c>
      <c r="D1359" s="22" t="str">
        <f t="array" ref="D1359">IFERROR(INDEX('Kode Outlet dan Target Toko'!$A:$A,MATCH($I1359,'Kode Outlet dan Target Toko'!$E:$E,0)),"")</f>
        <v>GRSM 4</v>
      </c>
      <c r="E1359" s="20" t="str">
        <f>IFERROR(VLOOKUP(I1359,KET!$B:$F,4,0),"")</f>
        <v>FAHMI LUKMANUL HAKIM</v>
      </c>
      <c r="F1359" s="20" t="str">
        <f>IFERROR(VLOOKUP(I1359,KET!$B:$F,5,0),"")</f>
        <v>GMM</v>
      </c>
      <c r="G1359" s="20">
        <f>IFERROR(INDEX('Kode Outlet dan Target Toko'!$C:$C,MATCH($I1359,'Kode Outlet dan Target Toko'!$E:$E,0)),0)</f>
        <v>189901</v>
      </c>
      <c r="H1359" s="20">
        <f>IFERROR(INDEX('Kode Outlet dan Target Toko'!$D:$D,MATCH($I1359,'Kode Outlet dan Target Toko'!$E:$E,0)),0)</f>
        <v>1602008</v>
      </c>
      <c r="I1359" s="50" t="s">
        <v>32</v>
      </c>
      <c r="J1359" s="56" t="s">
        <v>189</v>
      </c>
      <c r="K1359" s="40" t="s">
        <v>16</v>
      </c>
      <c r="L1359" s="24">
        <v>3300</v>
      </c>
      <c r="M1359" s="26">
        <v>50</v>
      </c>
      <c r="N1359" s="25">
        <f t="shared" si="43"/>
        <v>165000</v>
      </c>
      <c r="O1359" s="26">
        <v>160</v>
      </c>
    </row>
    <row r="1360" spans="1:15" hidden="1" x14ac:dyDescent="0.3">
      <c r="A1360" s="26">
        <v>28</v>
      </c>
      <c r="B1360" s="20" t="str">
        <f t="shared" si="42"/>
        <v>JUL</v>
      </c>
      <c r="C1360" s="21">
        <v>46213</v>
      </c>
      <c r="D1360" s="22" t="str">
        <f t="array" ref="D1360">IFERROR(INDEX('Kode Outlet dan Target Toko'!$A:$A,MATCH($I1360,'Kode Outlet dan Target Toko'!$E:$E,0)),"")</f>
        <v>GRSM 4</v>
      </c>
      <c r="E1360" s="20" t="str">
        <f>IFERROR(VLOOKUP(I1360,KET!$B:$F,4,0),"")</f>
        <v>FAHMI LUKMANUL HAKIM</v>
      </c>
      <c r="F1360" s="20" t="str">
        <f>IFERROR(VLOOKUP(I1360,KET!$B:$F,5,0),"")</f>
        <v>GMM</v>
      </c>
      <c r="G1360" s="20">
        <f>IFERROR(INDEX('Kode Outlet dan Target Toko'!$C:$C,MATCH($I1360,'Kode Outlet dan Target Toko'!$E:$E,0)),0)</f>
        <v>103277</v>
      </c>
      <c r="H1360" s="20">
        <f>IFERROR(INDEX('Kode Outlet dan Target Toko'!$D:$D,MATCH($I1360,'Kode Outlet dan Target Toko'!$E:$E,0)),0)</f>
        <v>6300700</v>
      </c>
      <c r="I1360" s="50" t="s">
        <v>30</v>
      </c>
      <c r="J1360" s="56" t="s">
        <v>183</v>
      </c>
      <c r="K1360" s="40" t="s">
        <v>15</v>
      </c>
      <c r="L1360" s="24">
        <v>3300</v>
      </c>
      <c r="M1360" s="26">
        <v>50</v>
      </c>
      <c r="N1360" s="25">
        <f t="shared" si="43"/>
        <v>165000</v>
      </c>
      <c r="O1360" s="26"/>
    </row>
    <row r="1361" spans="1:15" hidden="1" x14ac:dyDescent="0.3">
      <c r="A1361" s="26">
        <v>28</v>
      </c>
      <c r="B1361" s="20" t="str">
        <f t="shared" si="42"/>
        <v>JUL</v>
      </c>
      <c r="C1361" s="21">
        <v>46213</v>
      </c>
      <c r="D1361" s="22" t="str">
        <f t="array" ref="D1361">IFERROR(INDEX('Kode Outlet dan Target Toko'!$A:$A,MATCH($I1361,'Kode Outlet dan Target Toko'!$E:$E,0)),"")</f>
        <v>GRSM 4</v>
      </c>
      <c r="E1361" s="20" t="str">
        <f>IFERROR(VLOOKUP(I1361,KET!$B:$F,4,0),"")</f>
        <v>FAHMI LUKMANUL HAKIM</v>
      </c>
      <c r="F1361" s="20" t="str">
        <f>IFERROR(VLOOKUP(I1361,KET!$B:$F,5,0),"")</f>
        <v>GMM</v>
      </c>
      <c r="G1361" s="20">
        <f>IFERROR(INDEX('Kode Outlet dan Target Toko'!$C:$C,MATCH($I1361,'Kode Outlet dan Target Toko'!$E:$E,0)),0)</f>
        <v>103277</v>
      </c>
      <c r="H1361" s="20">
        <f>IFERROR(INDEX('Kode Outlet dan Target Toko'!$D:$D,MATCH($I1361,'Kode Outlet dan Target Toko'!$E:$E,0)),0)</f>
        <v>6300700</v>
      </c>
      <c r="I1361" s="50" t="s">
        <v>30</v>
      </c>
      <c r="J1361" s="56" t="s">
        <v>183</v>
      </c>
      <c r="K1361" s="40" t="s">
        <v>14</v>
      </c>
      <c r="L1361" s="24">
        <v>3300</v>
      </c>
      <c r="M1361" s="26">
        <v>45</v>
      </c>
      <c r="N1361" s="25">
        <f t="shared" si="43"/>
        <v>148500</v>
      </c>
      <c r="O1361" s="26"/>
    </row>
    <row r="1362" spans="1:15" hidden="1" x14ac:dyDescent="0.3">
      <c r="A1362" s="26">
        <v>28</v>
      </c>
      <c r="B1362" s="20" t="str">
        <f t="shared" si="42"/>
        <v>JUL</v>
      </c>
      <c r="C1362" s="21">
        <v>46213</v>
      </c>
      <c r="D1362" s="22" t="str">
        <f t="array" ref="D1362">IFERROR(INDEX('Kode Outlet dan Target Toko'!$A:$A,MATCH($I1362,'Kode Outlet dan Target Toko'!$E:$E,0)),"")</f>
        <v>GRSM 4</v>
      </c>
      <c r="E1362" s="20" t="str">
        <f>IFERROR(VLOOKUP(I1362,KET!$B:$F,4,0),"")</f>
        <v>FAHMI LUKMANUL HAKIM</v>
      </c>
      <c r="F1362" s="20" t="str">
        <f>IFERROR(VLOOKUP(I1362,KET!$B:$F,5,0),"")</f>
        <v>GMM</v>
      </c>
      <c r="G1362" s="20">
        <f>IFERROR(INDEX('Kode Outlet dan Target Toko'!$C:$C,MATCH($I1362,'Kode Outlet dan Target Toko'!$E:$E,0)),0)</f>
        <v>103277</v>
      </c>
      <c r="H1362" s="20">
        <f>IFERROR(INDEX('Kode Outlet dan Target Toko'!$D:$D,MATCH($I1362,'Kode Outlet dan Target Toko'!$E:$E,0)),0)</f>
        <v>6300700</v>
      </c>
      <c r="I1362" s="50" t="s">
        <v>30</v>
      </c>
      <c r="J1362" s="56" t="s">
        <v>183</v>
      </c>
      <c r="K1362" s="40" t="s">
        <v>13</v>
      </c>
      <c r="L1362" s="24">
        <v>3300</v>
      </c>
      <c r="M1362" s="26">
        <v>35</v>
      </c>
      <c r="N1362" s="25">
        <f t="shared" si="43"/>
        <v>115500</v>
      </c>
      <c r="O1362" s="26"/>
    </row>
    <row r="1363" spans="1:15" hidden="1" x14ac:dyDescent="0.3">
      <c r="A1363" s="26">
        <v>28</v>
      </c>
      <c r="B1363" s="20" t="str">
        <f t="shared" si="42"/>
        <v>JUL</v>
      </c>
      <c r="C1363" s="21">
        <v>46213</v>
      </c>
      <c r="D1363" s="22" t="str">
        <f t="array" ref="D1363">IFERROR(INDEX('Kode Outlet dan Target Toko'!$A:$A,MATCH($I1363,'Kode Outlet dan Target Toko'!$E:$E,0)),"")</f>
        <v>GRSM 4</v>
      </c>
      <c r="E1363" s="20" t="str">
        <f>IFERROR(VLOOKUP(I1363,KET!$B:$F,4,0),"")</f>
        <v>FAHMI LUKMANUL HAKIM</v>
      </c>
      <c r="F1363" s="20" t="str">
        <f>IFERROR(VLOOKUP(I1363,KET!$B:$F,5,0),"")</f>
        <v>GMM</v>
      </c>
      <c r="G1363" s="20">
        <f>IFERROR(INDEX('Kode Outlet dan Target Toko'!$C:$C,MATCH($I1363,'Kode Outlet dan Target Toko'!$E:$E,0)),0)</f>
        <v>103277</v>
      </c>
      <c r="H1363" s="20">
        <f>IFERROR(INDEX('Kode Outlet dan Target Toko'!$D:$D,MATCH($I1363,'Kode Outlet dan Target Toko'!$E:$E,0)),0)</f>
        <v>6300700</v>
      </c>
      <c r="I1363" s="50" t="s">
        <v>30</v>
      </c>
      <c r="J1363" s="56" t="s">
        <v>183</v>
      </c>
      <c r="K1363" s="40" t="s">
        <v>16</v>
      </c>
      <c r="L1363" s="24">
        <v>3300</v>
      </c>
      <c r="M1363" s="26">
        <v>150</v>
      </c>
      <c r="N1363" s="25">
        <f t="shared" si="43"/>
        <v>495000</v>
      </c>
      <c r="O1363" s="26">
        <v>160</v>
      </c>
    </row>
    <row r="1364" spans="1:15" hidden="1" x14ac:dyDescent="0.3">
      <c r="A1364" s="26">
        <v>28</v>
      </c>
      <c r="B1364" s="20" t="str">
        <f t="shared" si="42"/>
        <v>JUL</v>
      </c>
      <c r="C1364" s="21">
        <v>46214</v>
      </c>
      <c r="D1364" s="22" t="str">
        <f t="array" ref="D1364">IFERROR(INDEX('Kode Outlet dan Target Toko'!$A:$A,MATCH($I1364,'Kode Outlet dan Target Toko'!$E:$E,0)),"")</f>
        <v>GRSM 4</v>
      </c>
      <c r="E1364" s="20" t="str">
        <f>IFERROR(VLOOKUP(I1364,KET!$B:$F,4,0),"")</f>
        <v>FAHMI LUKMANUL HAKIM</v>
      </c>
      <c r="F1364" s="20" t="str">
        <f>IFERROR(VLOOKUP(I1364,KET!$B:$F,5,0),"")</f>
        <v>GMM</v>
      </c>
      <c r="G1364" s="20">
        <f>IFERROR(INDEX('Kode Outlet dan Target Toko'!$C:$C,MATCH($I1364,'Kode Outlet dan Target Toko'!$E:$E,0)),0)</f>
        <v>103277</v>
      </c>
      <c r="H1364" s="20">
        <f>IFERROR(INDEX('Kode Outlet dan Target Toko'!$D:$D,MATCH($I1364,'Kode Outlet dan Target Toko'!$E:$E,0)),0)</f>
        <v>6300700</v>
      </c>
      <c r="I1364" s="50" t="s">
        <v>30</v>
      </c>
      <c r="J1364" s="56" t="s">
        <v>183</v>
      </c>
      <c r="K1364" s="40" t="s">
        <v>15</v>
      </c>
      <c r="L1364" s="24">
        <v>3300</v>
      </c>
      <c r="M1364" s="26">
        <v>55</v>
      </c>
      <c r="N1364" s="25">
        <f t="shared" si="43"/>
        <v>181500</v>
      </c>
      <c r="O1364" s="26"/>
    </row>
    <row r="1365" spans="1:15" hidden="1" x14ac:dyDescent="0.3">
      <c r="A1365" s="26">
        <v>28</v>
      </c>
      <c r="B1365" s="20" t="str">
        <f t="shared" si="42"/>
        <v>JUL</v>
      </c>
      <c r="C1365" s="21">
        <v>46214</v>
      </c>
      <c r="D1365" s="22" t="str">
        <f t="array" ref="D1365">IFERROR(INDEX('Kode Outlet dan Target Toko'!$A:$A,MATCH($I1365,'Kode Outlet dan Target Toko'!$E:$E,0)),"")</f>
        <v>GRSM 4</v>
      </c>
      <c r="E1365" s="20" t="str">
        <f>IFERROR(VLOOKUP(I1365,KET!$B:$F,4,0),"")</f>
        <v>FAHMI LUKMANUL HAKIM</v>
      </c>
      <c r="F1365" s="20" t="str">
        <f>IFERROR(VLOOKUP(I1365,KET!$B:$F,5,0),"")</f>
        <v>GMM</v>
      </c>
      <c r="G1365" s="20">
        <f>IFERROR(INDEX('Kode Outlet dan Target Toko'!$C:$C,MATCH($I1365,'Kode Outlet dan Target Toko'!$E:$E,0)),0)</f>
        <v>103277</v>
      </c>
      <c r="H1365" s="20">
        <f>IFERROR(INDEX('Kode Outlet dan Target Toko'!$D:$D,MATCH($I1365,'Kode Outlet dan Target Toko'!$E:$E,0)),0)</f>
        <v>6300700</v>
      </c>
      <c r="I1365" s="50" t="s">
        <v>30</v>
      </c>
      <c r="J1365" s="56" t="s">
        <v>183</v>
      </c>
      <c r="K1365" s="40" t="s">
        <v>14</v>
      </c>
      <c r="L1365" s="24">
        <v>3300</v>
      </c>
      <c r="M1365" s="26">
        <v>40</v>
      </c>
      <c r="N1365" s="25">
        <f t="shared" si="43"/>
        <v>132000</v>
      </c>
      <c r="O1365" s="26"/>
    </row>
    <row r="1366" spans="1:15" hidden="1" x14ac:dyDescent="0.3">
      <c r="A1366" s="26">
        <v>28</v>
      </c>
      <c r="B1366" s="20" t="str">
        <f t="shared" si="42"/>
        <v>JUL</v>
      </c>
      <c r="C1366" s="21">
        <v>46214</v>
      </c>
      <c r="D1366" s="22" t="str">
        <f t="array" ref="D1366">IFERROR(INDEX('Kode Outlet dan Target Toko'!$A:$A,MATCH($I1366,'Kode Outlet dan Target Toko'!$E:$E,0)),"")</f>
        <v>GRSM 4</v>
      </c>
      <c r="E1366" s="20" t="str">
        <f>IFERROR(VLOOKUP(I1366,KET!$B:$F,4,0),"")</f>
        <v>FAHMI LUKMANUL HAKIM</v>
      </c>
      <c r="F1366" s="20" t="str">
        <f>IFERROR(VLOOKUP(I1366,KET!$B:$F,5,0),"")</f>
        <v>GMM</v>
      </c>
      <c r="G1366" s="20">
        <f>IFERROR(INDEX('Kode Outlet dan Target Toko'!$C:$C,MATCH($I1366,'Kode Outlet dan Target Toko'!$E:$E,0)),0)</f>
        <v>103277</v>
      </c>
      <c r="H1366" s="20">
        <f>IFERROR(INDEX('Kode Outlet dan Target Toko'!$D:$D,MATCH($I1366,'Kode Outlet dan Target Toko'!$E:$E,0)),0)</f>
        <v>6300700</v>
      </c>
      <c r="I1366" s="50" t="s">
        <v>30</v>
      </c>
      <c r="J1366" s="56" t="s">
        <v>183</v>
      </c>
      <c r="K1366" s="40" t="s">
        <v>13</v>
      </c>
      <c r="L1366" s="24">
        <v>3300</v>
      </c>
      <c r="M1366" s="26">
        <v>40</v>
      </c>
      <c r="N1366" s="25">
        <f t="shared" si="43"/>
        <v>132000</v>
      </c>
      <c r="O1366" s="26"/>
    </row>
    <row r="1367" spans="1:15" hidden="1" x14ac:dyDescent="0.3">
      <c r="A1367" s="26">
        <v>28</v>
      </c>
      <c r="B1367" s="20" t="str">
        <f t="shared" si="42"/>
        <v>JUL</v>
      </c>
      <c r="C1367" s="21">
        <v>46214</v>
      </c>
      <c r="D1367" s="22" t="str">
        <f t="array" ref="D1367">IFERROR(INDEX('Kode Outlet dan Target Toko'!$A:$A,MATCH($I1367,'Kode Outlet dan Target Toko'!$E:$E,0)),"")</f>
        <v>GRSM 4</v>
      </c>
      <c r="E1367" s="20" t="str">
        <f>IFERROR(VLOOKUP(I1367,KET!$B:$F,4,0),"")</f>
        <v>FAHMI LUKMANUL HAKIM</v>
      </c>
      <c r="F1367" s="20" t="str">
        <f>IFERROR(VLOOKUP(I1367,KET!$B:$F,5,0),"")</f>
        <v>GMM</v>
      </c>
      <c r="G1367" s="20">
        <f>IFERROR(INDEX('Kode Outlet dan Target Toko'!$C:$C,MATCH($I1367,'Kode Outlet dan Target Toko'!$E:$E,0)),0)</f>
        <v>103277</v>
      </c>
      <c r="H1367" s="20">
        <f>IFERROR(INDEX('Kode Outlet dan Target Toko'!$D:$D,MATCH($I1367,'Kode Outlet dan Target Toko'!$E:$E,0)),0)</f>
        <v>6300700</v>
      </c>
      <c r="I1367" s="50" t="s">
        <v>30</v>
      </c>
      <c r="J1367" s="56" t="s">
        <v>183</v>
      </c>
      <c r="K1367" s="40" t="s">
        <v>16</v>
      </c>
      <c r="L1367" s="24">
        <v>3300</v>
      </c>
      <c r="M1367" s="26">
        <v>150</v>
      </c>
      <c r="N1367" s="25">
        <f t="shared" si="43"/>
        <v>495000</v>
      </c>
      <c r="O1367" s="26">
        <v>160</v>
      </c>
    </row>
    <row r="1368" spans="1:15" hidden="1" x14ac:dyDescent="0.3">
      <c r="A1368" s="26">
        <v>28</v>
      </c>
      <c r="B1368" s="20" t="str">
        <f t="shared" si="42"/>
        <v>JUL</v>
      </c>
      <c r="C1368" s="21">
        <v>46215</v>
      </c>
      <c r="D1368" s="22" t="str">
        <f t="array" ref="D1368">IFERROR(INDEX('Kode Outlet dan Target Toko'!$A:$A,MATCH($I1368,'Kode Outlet dan Target Toko'!$E:$E,0)),"")</f>
        <v>GRSM 4</v>
      </c>
      <c r="E1368" s="20" t="str">
        <f>IFERROR(VLOOKUP(I1368,KET!$B:$F,4,0),"")</f>
        <v>FAHMI LUKMANUL HAKIM</v>
      </c>
      <c r="F1368" s="20" t="str">
        <f>IFERROR(VLOOKUP(I1368,KET!$B:$F,5,0),"")</f>
        <v>GMM</v>
      </c>
      <c r="G1368" s="20">
        <f>IFERROR(INDEX('Kode Outlet dan Target Toko'!$C:$C,MATCH($I1368,'Kode Outlet dan Target Toko'!$E:$E,0)),0)</f>
        <v>103277</v>
      </c>
      <c r="H1368" s="20">
        <f>IFERROR(INDEX('Kode Outlet dan Target Toko'!$D:$D,MATCH($I1368,'Kode Outlet dan Target Toko'!$E:$E,0)),0)</f>
        <v>6300700</v>
      </c>
      <c r="I1368" s="50" t="s">
        <v>30</v>
      </c>
      <c r="J1368" s="56" t="s">
        <v>183</v>
      </c>
      <c r="K1368" s="40" t="s">
        <v>15</v>
      </c>
      <c r="L1368" s="24">
        <v>3300</v>
      </c>
      <c r="M1368" s="26">
        <v>60</v>
      </c>
      <c r="N1368" s="25">
        <f t="shared" si="43"/>
        <v>198000</v>
      </c>
      <c r="O1368" s="26"/>
    </row>
    <row r="1369" spans="1:15" hidden="1" x14ac:dyDescent="0.3">
      <c r="A1369" s="26">
        <v>28</v>
      </c>
      <c r="B1369" s="20" t="str">
        <f t="shared" si="42"/>
        <v>JUL</v>
      </c>
      <c r="C1369" s="21">
        <v>46215</v>
      </c>
      <c r="D1369" s="22" t="str">
        <f t="array" ref="D1369">IFERROR(INDEX('Kode Outlet dan Target Toko'!$A:$A,MATCH($I1369,'Kode Outlet dan Target Toko'!$E:$E,0)),"")</f>
        <v>GRSM 4</v>
      </c>
      <c r="E1369" s="20" t="str">
        <f>IFERROR(VLOOKUP(I1369,KET!$B:$F,4,0),"")</f>
        <v>FAHMI LUKMANUL HAKIM</v>
      </c>
      <c r="F1369" s="20" t="str">
        <f>IFERROR(VLOOKUP(I1369,KET!$B:$F,5,0),"")</f>
        <v>GMM</v>
      </c>
      <c r="G1369" s="20">
        <f>IFERROR(INDEX('Kode Outlet dan Target Toko'!$C:$C,MATCH($I1369,'Kode Outlet dan Target Toko'!$E:$E,0)),0)</f>
        <v>103277</v>
      </c>
      <c r="H1369" s="20">
        <f>IFERROR(INDEX('Kode Outlet dan Target Toko'!$D:$D,MATCH($I1369,'Kode Outlet dan Target Toko'!$E:$E,0)),0)</f>
        <v>6300700</v>
      </c>
      <c r="I1369" s="50" t="s">
        <v>30</v>
      </c>
      <c r="J1369" s="56" t="s">
        <v>183</v>
      </c>
      <c r="K1369" s="40" t="s">
        <v>14</v>
      </c>
      <c r="L1369" s="24">
        <v>3300</v>
      </c>
      <c r="M1369" s="26">
        <v>50</v>
      </c>
      <c r="N1369" s="25">
        <f t="shared" si="43"/>
        <v>165000</v>
      </c>
      <c r="O1369" s="26"/>
    </row>
    <row r="1370" spans="1:15" hidden="1" x14ac:dyDescent="0.3">
      <c r="A1370" s="26">
        <v>28</v>
      </c>
      <c r="B1370" s="20" t="str">
        <f t="shared" si="42"/>
        <v>JUL</v>
      </c>
      <c r="C1370" s="21">
        <v>46215</v>
      </c>
      <c r="D1370" s="22" t="str">
        <f t="array" ref="D1370">IFERROR(INDEX('Kode Outlet dan Target Toko'!$A:$A,MATCH($I1370,'Kode Outlet dan Target Toko'!$E:$E,0)),"")</f>
        <v>GRSM 4</v>
      </c>
      <c r="E1370" s="20" t="str">
        <f>IFERROR(VLOOKUP(I1370,KET!$B:$F,4,0),"")</f>
        <v>FAHMI LUKMANUL HAKIM</v>
      </c>
      <c r="F1370" s="20" t="str">
        <f>IFERROR(VLOOKUP(I1370,KET!$B:$F,5,0),"")</f>
        <v>GMM</v>
      </c>
      <c r="G1370" s="20">
        <f>IFERROR(INDEX('Kode Outlet dan Target Toko'!$C:$C,MATCH($I1370,'Kode Outlet dan Target Toko'!$E:$E,0)),0)</f>
        <v>103277</v>
      </c>
      <c r="H1370" s="20">
        <f>IFERROR(INDEX('Kode Outlet dan Target Toko'!$D:$D,MATCH($I1370,'Kode Outlet dan Target Toko'!$E:$E,0)),0)</f>
        <v>6300700</v>
      </c>
      <c r="I1370" s="50" t="s">
        <v>30</v>
      </c>
      <c r="J1370" s="56" t="s">
        <v>183</v>
      </c>
      <c r="K1370" s="40" t="s">
        <v>13</v>
      </c>
      <c r="L1370" s="24">
        <v>3300</v>
      </c>
      <c r="M1370" s="26">
        <v>50</v>
      </c>
      <c r="N1370" s="25">
        <f t="shared" si="43"/>
        <v>165000</v>
      </c>
      <c r="O1370" s="26"/>
    </row>
    <row r="1371" spans="1:15" hidden="1" x14ac:dyDescent="0.3">
      <c r="A1371" s="26">
        <v>28</v>
      </c>
      <c r="B1371" s="20" t="str">
        <f t="shared" si="42"/>
        <v>JUL</v>
      </c>
      <c r="C1371" s="21">
        <v>46215</v>
      </c>
      <c r="D1371" s="22" t="str">
        <f t="array" ref="D1371">IFERROR(INDEX('Kode Outlet dan Target Toko'!$A:$A,MATCH($I1371,'Kode Outlet dan Target Toko'!$E:$E,0)),"")</f>
        <v>GRSM 4</v>
      </c>
      <c r="E1371" s="20" t="str">
        <f>IFERROR(VLOOKUP(I1371,KET!$B:$F,4,0),"")</f>
        <v>FAHMI LUKMANUL HAKIM</v>
      </c>
      <c r="F1371" s="20" t="str">
        <f>IFERROR(VLOOKUP(I1371,KET!$B:$F,5,0),"")</f>
        <v>GMM</v>
      </c>
      <c r="G1371" s="20">
        <f>IFERROR(INDEX('Kode Outlet dan Target Toko'!$C:$C,MATCH($I1371,'Kode Outlet dan Target Toko'!$E:$E,0)),0)</f>
        <v>103277</v>
      </c>
      <c r="H1371" s="20">
        <f>IFERROR(INDEX('Kode Outlet dan Target Toko'!$D:$D,MATCH($I1371,'Kode Outlet dan Target Toko'!$E:$E,0)),0)</f>
        <v>6300700</v>
      </c>
      <c r="I1371" s="50" t="s">
        <v>30</v>
      </c>
      <c r="J1371" s="56" t="s">
        <v>183</v>
      </c>
      <c r="K1371" s="40" t="s">
        <v>16</v>
      </c>
      <c r="L1371" s="24">
        <v>3300</v>
      </c>
      <c r="M1371" s="26">
        <v>130</v>
      </c>
      <c r="N1371" s="25">
        <f t="shared" si="43"/>
        <v>429000</v>
      </c>
      <c r="O1371" s="26">
        <v>160</v>
      </c>
    </row>
    <row r="1372" spans="1:15" hidden="1" x14ac:dyDescent="0.3">
      <c r="A1372" s="26">
        <v>28</v>
      </c>
      <c r="B1372" s="20" t="str">
        <f t="shared" si="42"/>
        <v>JUL</v>
      </c>
      <c r="C1372" s="21">
        <v>46213</v>
      </c>
      <c r="D1372" s="22" t="str">
        <f t="array" ref="D1372">IFERROR(INDEX('Kode Outlet dan Target Toko'!$A:$A,MATCH($I1372,'Kode Outlet dan Target Toko'!$E:$E,0)),"")</f>
        <v>GRSM 4</v>
      </c>
      <c r="E1372" s="20" t="str">
        <f>IFERROR(VLOOKUP(I1372,KET!$B:$F,4,0),"")</f>
        <v>FAHMI LUKMANUL HAKIM</v>
      </c>
      <c r="F1372" s="20" t="str">
        <f>IFERROR(VLOOKUP(I1372,KET!$B:$F,5,0),"")</f>
        <v>GMM</v>
      </c>
      <c r="G1372" s="20">
        <f>IFERROR(INDEX('Kode Outlet dan Target Toko'!$C:$C,MATCH($I1372,'Kode Outlet dan Target Toko'!$E:$E,0)),0)</f>
        <v>189901</v>
      </c>
      <c r="H1372" s="20">
        <f>IFERROR(INDEX('Kode Outlet dan Target Toko'!$D:$D,MATCH($I1372,'Kode Outlet dan Target Toko'!$E:$E,0)),0)</f>
        <v>1602008</v>
      </c>
      <c r="I1372" s="42" t="s">
        <v>32</v>
      </c>
      <c r="J1372" s="45" t="s">
        <v>188</v>
      </c>
      <c r="K1372" s="40" t="s">
        <v>15</v>
      </c>
      <c r="L1372" s="24">
        <v>3300</v>
      </c>
      <c r="M1372" s="26">
        <v>60</v>
      </c>
      <c r="N1372" s="25">
        <f t="shared" si="43"/>
        <v>198000</v>
      </c>
      <c r="O1372" s="26"/>
    </row>
    <row r="1373" spans="1:15" hidden="1" x14ac:dyDescent="0.3">
      <c r="A1373" s="26">
        <v>28</v>
      </c>
      <c r="B1373" s="20" t="str">
        <f t="shared" si="42"/>
        <v>JUL</v>
      </c>
      <c r="C1373" s="21">
        <v>46213</v>
      </c>
      <c r="D1373" s="22" t="str">
        <f t="array" ref="D1373">IFERROR(INDEX('Kode Outlet dan Target Toko'!$A:$A,MATCH($I1373,'Kode Outlet dan Target Toko'!$E:$E,0)),"")</f>
        <v>GRSM 4</v>
      </c>
      <c r="E1373" s="20" t="str">
        <f>IFERROR(VLOOKUP(I1373,KET!$B:$F,4,0),"")</f>
        <v>FAHMI LUKMANUL HAKIM</v>
      </c>
      <c r="F1373" s="20" t="str">
        <f>IFERROR(VLOOKUP(I1373,KET!$B:$F,5,0),"")</f>
        <v>GMM</v>
      </c>
      <c r="G1373" s="20">
        <f>IFERROR(INDEX('Kode Outlet dan Target Toko'!$C:$C,MATCH($I1373,'Kode Outlet dan Target Toko'!$E:$E,0)),0)</f>
        <v>189901</v>
      </c>
      <c r="H1373" s="20">
        <f>IFERROR(INDEX('Kode Outlet dan Target Toko'!$D:$D,MATCH($I1373,'Kode Outlet dan Target Toko'!$E:$E,0)),0)</f>
        <v>1602008</v>
      </c>
      <c r="I1373" s="42" t="s">
        <v>32</v>
      </c>
      <c r="J1373" s="45" t="s">
        <v>188</v>
      </c>
      <c r="K1373" s="40" t="s">
        <v>14</v>
      </c>
      <c r="L1373" s="24">
        <v>3300</v>
      </c>
      <c r="M1373" s="26">
        <v>60</v>
      </c>
      <c r="N1373" s="25">
        <f t="shared" si="43"/>
        <v>198000</v>
      </c>
      <c r="O1373" s="26"/>
    </row>
    <row r="1374" spans="1:15" hidden="1" x14ac:dyDescent="0.3">
      <c r="A1374" s="26">
        <v>28</v>
      </c>
      <c r="B1374" s="20" t="str">
        <f t="shared" si="42"/>
        <v>JUL</v>
      </c>
      <c r="C1374" s="21">
        <v>46213</v>
      </c>
      <c r="D1374" s="22" t="str">
        <f t="array" ref="D1374">IFERROR(INDEX('Kode Outlet dan Target Toko'!$A:$A,MATCH($I1374,'Kode Outlet dan Target Toko'!$E:$E,0)),"")</f>
        <v>GRSM 4</v>
      </c>
      <c r="E1374" s="20" t="str">
        <f>IFERROR(VLOOKUP(I1374,KET!$B:$F,4,0),"")</f>
        <v>FAHMI LUKMANUL HAKIM</v>
      </c>
      <c r="F1374" s="20" t="str">
        <f>IFERROR(VLOOKUP(I1374,KET!$B:$F,5,0),"")</f>
        <v>GMM</v>
      </c>
      <c r="G1374" s="20">
        <f>IFERROR(INDEX('Kode Outlet dan Target Toko'!$C:$C,MATCH($I1374,'Kode Outlet dan Target Toko'!$E:$E,0)),0)</f>
        <v>189901</v>
      </c>
      <c r="H1374" s="20">
        <f>IFERROR(INDEX('Kode Outlet dan Target Toko'!$D:$D,MATCH($I1374,'Kode Outlet dan Target Toko'!$E:$E,0)),0)</f>
        <v>1602008</v>
      </c>
      <c r="I1374" s="42" t="s">
        <v>32</v>
      </c>
      <c r="J1374" s="45" t="s">
        <v>188</v>
      </c>
      <c r="K1374" s="40" t="s">
        <v>13</v>
      </c>
      <c r="L1374" s="24">
        <v>3300</v>
      </c>
      <c r="M1374" s="26">
        <v>60</v>
      </c>
      <c r="N1374" s="25">
        <f t="shared" si="43"/>
        <v>198000</v>
      </c>
      <c r="O1374" s="26"/>
    </row>
    <row r="1375" spans="1:15" hidden="1" x14ac:dyDescent="0.3">
      <c r="A1375" s="26">
        <v>28</v>
      </c>
      <c r="B1375" s="20" t="str">
        <f t="shared" si="42"/>
        <v>JUL</v>
      </c>
      <c r="C1375" s="21">
        <v>46213</v>
      </c>
      <c r="D1375" s="22" t="str">
        <f t="array" ref="D1375">IFERROR(INDEX('Kode Outlet dan Target Toko'!$A:$A,MATCH($I1375,'Kode Outlet dan Target Toko'!$E:$E,0)),"")</f>
        <v>GRSM 4</v>
      </c>
      <c r="E1375" s="20" t="str">
        <f>IFERROR(VLOOKUP(I1375,KET!$B:$F,4,0),"")</f>
        <v>FAHMI LUKMANUL HAKIM</v>
      </c>
      <c r="F1375" s="20" t="str">
        <f>IFERROR(VLOOKUP(I1375,KET!$B:$F,5,0),"")</f>
        <v>GMM</v>
      </c>
      <c r="G1375" s="20">
        <f>IFERROR(INDEX('Kode Outlet dan Target Toko'!$C:$C,MATCH($I1375,'Kode Outlet dan Target Toko'!$E:$E,0)),0)</f>
        <v>189901</v>
      </c>
      <c r="H1375" s="20">
        <f>IFERROR(INDEX('Kode Outlet dan Target Toko'!$D:$D,MATCH($I1375,'Kode Outlet dan Target Toko'!$E:$E,0)),0)</f>
        <v>1602008</v>
      </c>
      <c r="I1375" s="42" t="s">
        <v>32</v>
      </c>
      <c r="J1375" s="45" t="s">
        <v>188</v>
      </c>
      <c r="K1375" s="40" t="s">
        <v>16</v>
      </c>
      <c r="L1375" s="24">
        <v>3300</v>
      </c>
      <c r="M1375" s="26">
        <v>70</v>
      </c>
      <c r="N1375" s="25">
        <f t="shared" si="43"/>
        <v>231000</v>
      </c>
      <c r="O1375" s="26">
        <v>160</v>
      </c>
    </row>
    <row r="1376" spans="1:15" hidden="1" x14ac:dyDescent="0.3">
      <c r="A1376" s="26">
        <v>28</v>
      </c>
      <c r="B1376" s="20" t="str">
        <f t="shared" si="42"/>
        <v>JUL</v>
      </c>
      <c r="C1376" s="21">
        <v>46214</v>
      </c>
      <c r="D1376" s="22" t="str">
        <f t="array" ref="D1376">IFERROR(INDEX('Kode Outlet dan Target Toko'!$A:$A,MATCH($I1376,'Kode Outlet dan Target Toko'!$E:$E,0)),"")</f>
        <v>GRSM 4</v>
      </c>
      <c r="E1376" s="20" t="str">
        <f>IFERROR(VLOOKUP(I1376,KET!$B:$F,4,0),"")</f>
        <v>FAHMI LUKMANUL HAKIM</v>
      </c>
      <c r="F1376" s="20" t="str">
        <f>IFERROR(VLOOKUP(I1376,KET!$B:$F,5,0),"")</f>
        <v>GMM</v>
      </c>
      <c r="G1376" s="20">
        <f>IFERROR(INDEX('Kode Outlet dan Target Toko'!$C:$C,MATCH($I1376,'Kode Outlet dan Target Toko'!$E:$E,0)),0)</f>
        <v>189901</v>
      </c>
      <c r="H1376" s="20">
        <f>IFERROR(INDEX('Kode Outlet dan Target Toko'!$D:$D,MATCH($I1376,'Kode Outlet dan Target Toko'!$E:$E,0)),0)</f>
        <v>1602008</v>
      </c>
      <c r="I1376" s="42" t="s">
        <v>32</v>
      </c>
      <c r="J1376" s="45" t="s">
        <v>188</v>
      </c>
      <c r="K1376" s="40" t="s">
        <v>15</v>
      </c>
      <c r="L1376" s="24">
        <v>3300</v>
      </c>
      <c r="M1376" s="26">
        <v>100</v>
      </c>
      <c r="N1376" s="25">
        <f t="shared" si="43"/>
        <v>330000</v>
      </c>
      <c r="O1376" s="26"/>
    </row>
    <row r="1377" spans="1:15" hidden="1" x14ac:dyDescent="0.3">
      <c r="A1377" s="26">
        <v>28</v>
      </c>
      <c r="B1377" s="20" t="str">
        <f t="shared" si="42"/>
        <v>JUL</v>
      </c>
      <c r="C1377" s="21">
        <v>46214</v>
      </c>
      <c r="D1377" s="22" t="str">
        <f t="array" ref="D1377">IFERROR(INDEX('Kode Outlet dan Target Toko'!$A:$A,MATCH($I1377,'Kode Outlet dan Target Toko'!$E:$E,0)),"")</f>
        <v>GRSM 4</v>
      </c>
      <c r="E1377" s="20" t="str">
        <f>IFERROR(VLOOKUP(I1377,KET!$B:$F,4,0),"")</f>
        <v>FAHMI LUKMANUL HAKIM</v>
      </c>
      <c r="F1377" s="20" t="str">
        <f>IFERROR(VLOOKUP(I1377,KET!$B:$F,5,0),"")</f>
        <v>GMM</v>
      </c>
      <c r="G1377" s="20">
        <f>IFERROR(INDEX('Kode Outlet dan Target Toko'!$C:$C,MATCH($I1377,'Kode Outlet dan Target Toko'!$E:$E,0)),0)</f>
        <v>189901</v>
      </c>
      <c r="H1377" s="20">
        <f>IFERROR(INDEX('Kode Outlet dan Target Toko'!$D:$D,MATCH($I1377,'Kode Outlet dan Target Toko'!$E:$E,0)),0)</f>
        <v>1602008</v>
      </c>
      <c r="I1377" s="42" t="s">
        <v>32</v>
      </c>
      <c r="J1377" s="45" t="s">
        <v>188</v>
      </c>
      <c r="K1377" s="40" t="s">
        <v>14</v>
      </c>
      <c r="L1377" s="24">
        <v>3300</v>
      </c>
      <c r="M1377" s="26">
        <v>70</v>
      </c>
      <c r="N1377" s="25">
        <f t="shared" si="43"/>
        <v>231000</v>
      </c>
      <c r="O1377" s="26"/>
    </row>
    <row r="1378" spans="1:15" hidden="1" x14ac:dyDescent="0.3">
      <c r="A1378" s="26">
        <v>28</v>
      </c>
      <c r="B1378" s="20" t="str">
        <f t="shared" si="42"/>
        <v>JUL</v>
      </c>
      <c r="C1378" s="21">
        <v>46214</v>
      </c>
      <c r="D1378" s="22" t="str">
        <f t="array" ref="D1378">IFERROR(INDEX('Kode Outlet dan Target Toko'!$A:$A,MATCH($I1378,'Kode Outlet dan Target Toko'!$E:$E,0)),"")</f>
        <v>GRSM 4</v>
      </c>
      <c r="E1378" s="20" t="str">
        <f>IFERROR(VLOOKUP(I1378,KET!$B:$F,4,0),"")</f>
        <v>FAHMI LUKMANUL HAKIM</v>
      </c>
      <c r="F1378" s="20" t="str">
        <f>IFERROR(VLOOKUP(I1378,KET!$B:$F,5,0),"")</f>
        <v>GMM</v>
      </c>
      <c r="G1378" s="20">
        <f>IFERROR(INDEX('Kode Outlet dan Target Toko'!$C:$C,MATCH($I1378,'Kode Outlet dan Target Toko'!$E:$E,0)),0)</f>
        <v>189901</v>
      </c>
      <c r="H1378" s="20">
        <f>IFERROR(INDEX('Kode Outlet dan Target Toko'!$D:$D,MATCH($I1378,'Kode Outlet dan Target Toko'!$E:$E,0)),0)</f>
        <v>1602008</v>
      </c>
      <c r="I1378" s="42" t="s">
        <v>32</v>
      </c>
      <c r="J1378" s="45" t="s">
        <v>188</v>
      </c>
      <c r="K1378" s="40" t="s">
        <v>13</v>
      </c>
      <c r="L1378" s="24">
        <v>3300</v>
      </c>
      <c r="M1378" s="26">
        <v>60</v>
      </c>
      <c r="N1378" s="25">
        <f t="shared" si="43"/>
        <v>198000</v>
      </c>
      <c r="O1378" s="26"/>
    </row>
    <row r="1379" spans="1:15" hidden="1" x14ac:dyDescent="0.3">
      <c r="A1379" s="26">
        <v>28</v>
      </c>
      <c r="B1379" s="20" t="str">
        <f t="shared" si="42"/>
        <v>JUL</v>
      </c>
      <c r="C1379" s="21">
        <v>46214</v>
      </c>
      <c r="D1379" s="22" t="str">
        <f t="array" ref="D1379">IFERROR(INDEX('Kode Outlet dan Target Toko'!$A:$A,MATCH($I1379,'Kode Outlet dan Target Toko'!$E:$E,0)),"")</f>
        <v>GRSM 4</v>
      </c>
      <c r="E1379" s="20" t="str">
        <f>IFERROR(VLOOKUP(I1379,KET!$B:$F,4,0),"")</f>
        <v>FAHMI LUKMANUL HAKIM</v>
      </c>
      <c r="F1379" s="20" t="str">
        <f>IFERROR(VLOOKUP(I1379,KET!$B:$F,5,0),"")</f>
        <v>GMM</v>
      </c>
      <c r="G1379" s="20">
        <f>IFERROR(INDEX('Kode Outlet dan Target Toko'!$C:$C,MATCH($I1379,'Kode Outlet dan Target Toko'!$E:$E,0)),0)</f>
        <v>189901</v>
      </c>
      <c r="H1379" s="20">
        <f>IFERROR(INDEX('Kode Outlet dan Target Toko'!$D:$D,MATCH($I1379,'Kode Outlet dan Target Toko'!$E:$E,0)),0)</f>
        <v>1602008</v>
      </c>
      <c r="I1379" s="42" t="s">
        <v>32</v>
      </c>
      <c r="J1379" s="45" t="s">
        <v>188</v>
      </c>
      <c r="K1379" s="40" t="s">
        <v>16</v>
      </c>
      <c r="L1379" s="24">
        <v>3300</v>
      </c>
      <c r="M1379" s="26">
        <v>100</v>
      </c>
      <c r="N1379" s="25">
        <f t="shared" si="43"/>
        <v>330000</v>
      </c>
      <c r="O1379" s="26">
        <v>160</v>
      </c>
    </row>
    <row r="1380" spans="1:15" hidden="1" x14ac:dyDescent="0.3">
      <c r="A1380" s="26">
        <v>28</v>
      </c>
      <c r="B1380" s="20" t="str">
        <f t="shared" si="42"/>
        <v>JUL</v>
      </c>
      <c r="C1380" s="21">
        <v>46215</v>
      </c>
      <c r="D1380" s="22" t="str">
        <f t="array" ref="D1380">IFERROR(INDEX('Kode Outlet dan Target Toko'!$A:$A,MATCH($I1380,'Kode Outlet dan Target Toko'!$E:$E,0)),"")</f>
        <v>GRSM 4</v>
      </c>
      <c r="E1380" s="20" t="str">
        <f>IFERROR(VLOOKUP(I1380,KET!$B:$F,4,0),"")</f>
        <v>FAHMI LUKMANUL HAKIM</v>
      </c>
      <c r="F1380" s="20" t="str">
        <f>IFERROR(VLOOKUP(I1380,KET!$B:$F,5,0),"")</f>
        <v>GMM</v>
      </c>
      <c r="G1380" s="20">
        <f>IFERROR(INDEX('Kode Outlet dan Target Toko'!$C:$C,MATCH($I1380,'Kode Outlet dan Target Toko'!$E:$E,0)),0)</f>
        <v>189901</v>
      </c>
      <c r="H1380" s="20">
        <f>IFERROR(INDEX('Kode Outlet dan Target Toko'!$D:$D,MATCH($I1380,'Kode Outlet dan Target Toko'!$E:$E,0)),0)</f>
        <v>1602008</v>
      </c>
      <c r="I1380" s="42" t="s">
        <v>32</v>
      </c>
      <c r="J1380" s="56" t="s">
        <v>190</v>
      </c>
      <c r="K1380" s="40" t="s">
        <v>15</v>
      </c>
      <c r="L1380" s="24">
        <v>3300</v>
      </c>
      <c r="M1380" s="26">
        <v>50</v>
      </c>
      <c r="N1380" s="25">
        <f t="shared" si="43"/>
        <v>165000</v>
      </c>
      <c r="O1380" s="26"/>
    </row>
    <row r="1381" spans="1:15" hidden="1" x14ac:dyDescent="0.3">
      <c r="A1381" s="26">
        <v>28</v>
      </c>
      <c r="B1381" s="20" t="str">
        <f t="shared" si="42"/>
        <v>JUL</v>
      </c>
      <c r="C1381" s="21">
        <v>46215</v>
      </c>
      <c r="D1381" s="22" t="str">
        <f t="array" ref="D1381">IFERROR(INDEX('Kode Outlet dan Target Toko'!$A:$A,MATCH($I1381,'Kode Outlet dan Target Toko'!$E:$E,0)),"")</f>
        <v>GRSM 4</v>
      </c>
      <c r="E1381" s="20" t="str">
        <f>IFERROR(VLOOKUP(I1381,KET!$B:$F,4,0),"")</f>
        <v>FAHMI LUKMANUL HAKIM</v>
      </c>
      <c r="F1381" s="20" t="str">
        <f>IFERROR(VLOOKUP(I1381,KET!$B:$F,5,0),"")</f>
        <v>GMM</v>
      </c>
      <c r="G1381" s="20">
        <f>IFERROR(INDEX('Kode Outlet dan Target Toko'!$C:$C,MATCH($I1381,'Kode Outlet dan Target Toko'!$E:$E,0)),0)</f>
        <v>189901</v>
      </c>
      <c r="H1381" s="20">
        <f>IFERROR(INDEX('Kode Outlet dan Target Toko'!$D:$D,MATCH($I1381,'Kode Outlet dan Target Toko'!$E:$E,0)),0)</f>
        <v>1602008</v>
      </c>
      <c r="I1381" s="42" t="s">
        <v>32</v>
      </c>
      <c r="J1381" s="56" t="s">
        <v>190</v>
      </c>
      <c r="K1381" s="40" t="s">
        <v>14</v>
      </c>
      <c r="L1381" s="24">
        <v>3300</v>
      </c>
      <c r="M1381" s="26">
        <v>50</v>
      </c>
      <c r="N1381" s="25">
        <f t="shared" si="43"/>
        <v>165000</v>
      </c>
      <c r="O1381" s="56"/>
    </row>
    <row r="1382" spans="1:15" hidden="1" x14ac:dyDescent="0.3">
      <c r="A1382" s="26">
        <v>28</v>
      </c>
      <c r="B1382" s="20" t="str">
        <f t="shared" si="42"/>
        <v>JUL</v>
      </c>
      <c r="C1382" s="21">
        <v>46215</v>
      </c>
      <c r="D1382" s="22" t="str">
        <f t="array" ref="D1382">IFERROR(INDEX('Kode Outlet dan Target Toko'!$A:$A,MATCH($I1382,'Kode Outlet dan Target Toko'!$E:$E,0)),"")</f>
        <v>GRSM 4</v>
      </c>
      <c r="E1382" s="20" t="str">
        <f>IFERROR(VLOOKUP(I1382,KET!$B:$F,4,0),"")</f>
        <v>FAHMI LUKMANUL HAKIM</v>
      </c>
      <c r="F1382" s="20" t="str">
        <f>IFERROR(VLOOKUP(I1382,KET!$B:$F,5,0),"")</f>
        <v>GMM</v>
      </c>
      <c r="G1382" s="20">
        <f>IFERROR(INDEX('Kode Outlet dan Target Toko'!$C:$C,MATCH($I1382,'Kode Outlet dan Target Toko'!$E:$E,0)),0)</f>
        <v>189901</v>
      </c>
      <c r="H1382" s="20">
        <f>IFERROR(INDEX('Kode Outlet dan Target Toko'!$D:$D,MATCH($I1382,'Kode Outlet dan Target Toko'!$E:$E,0)),0)</f>
        <v>1602008</v>
      </c>
      <c r="I1382" s="42" t="s">
        <v>32</v>
      </c>
      <c r="J1382" s="56" t="s">
        <v>190</v>
      </c>
      <c r="K1382" s="40" t="s">
        <v>13</v>
      </c>
      <c r="L1382" s="24">
        <v>3300</v>
      </c>
      <c r="M1382" s="26">
        <v>50</v>
      </c>
      <c r="N1382" s="25">
        <f t="shared" si="43"/>
        <v>165000</v>
      </c>
      <c r="O1382" s="56"/>
    </row>
    <row r="1383" spans="1:15" hidden="1" x14ac:dyDescent="0.3">
      <c r="A1383" s="26">
        <v>28</v>
      </c>
      <c r="B1383" s="20" t="str">
        <f t="shared" si="42"/>
        <v>JUL</v>
      </c>
      <c r="C1383" s="21">
        <v>46215</v>
      </c>
      <c r="D1383" s="22" t="str">
        <f t="array" ref="D1383">IFERROR(INDEX('Kode Outlet dan Target Toko'!$A:$A,MATCH($I1383,'Kode Outlet dan Target Toko'!$E:$E,0)),"")</f>
        <v>GRSM 4</v>
      </c>
      <c r="E1383" s="20" t="str">
        <f>IFERROR(VLOOKUP(I1383,KET!$B:$F,4,0),"")</f>
        <v>FAHMI LUKMANUL HAKIM</v>
      </c>
      <c r="F1383" s="20" t="str">
        <f>IFERROR(VLOOKUP(I1383,KET!$B:$F,5,0),"")</f>
        <v>GMM</v>
      </c>
      <c r="G1383" s="20">
        <f>IFERROR(INDEX('Kode Outlet dan Target Toko'!$C:$C,MATCH($I1383,'Kode Outlet dan Target Toko'!$E:$E,0)),0)</f>
        <v>189901</v>
      </c>
      <c r="H1383" s="20">
        <f>IFERROR(INDEX('Kode Outlet dan Target Toko'!$D:$D,MATCH($I1383,'Kode Outlet dan Target Toko'!$E:$E,0)),0)</f>
        <v>1602008</v>
      </c>
      <c r="I1383" s="42" t="s">
        <v>32</v>
      </c>
      <c r="J1383" s="56" t="s">
        <v>190</v>
      </c>
      <c r="K1383" s="40" t="s">
        <v>16</v>
      </c>
      <c r="L1383" s="24">
        <v>3300</v>
      </c>
      <c r="M1383" s="26">
        <v>50</v>
      </c>
      <c r="N1383" s="25">
        <f t="shared" si="43"/>
        <v>165000</v>
      </c>
      <c r="O1383" s="56">
        <v>160</v>
      </c>
    </row>
    <row r="1384" spans="1:15" hidden="1" x14ac:dyDescent="0.3">
      <c r="A1384" s="26">
        <v>28</v>
      </c>
      <c r="B1384" s="20" t="str">
        <f t="shared" si="42"/>
        <v>JUL</v>
      </c>
      <c r="C1384" s="21">
        <v>46214</v>
      </c>
      <c r="D1384" s="22" t="str">
        <f t="array" ref="D1384">IFERROR(INDEX('Kode Outlet dan Target Toko'!$A:$A,MATCH($I1384,'Kode Outlet dan Target Toko'!$E:$E,0)),"")</f>
        <v>GRSM 6</v>
      </c>
      <c r="E1384" s="20" t="str">
        <f>IFERROR(VLOOKUP(I1384,KET!$B:$F,4,0),"")</f>
        <v>WINDA</v>
      </c>
      <c r="F1384" s="20" t="str">
        <f>IFERROR(VLOOKUP(I1384,KET!$B:$F,5,0),"")</f>
        <v>GMM</v>
      </c>
      <c r="G1384" s="20">
        <f>IFERROR(INDEX('Kode Outlet dan Target Toko'!$C:$C,MATCH($I1384,'Kode Outlet dan Target Toko'!$E:$E,0)),0)</f>
        <v>103765</v>
      </c>
      <c r="H1384" s="20">
        <f>IFERROR(INDEX('Kode Outlet dan Target Toko'!$D:$D,MATCH($I1384,'Kode Outlet dan Target Toko'!$E:$E,0)),0)</f>
        <v>4307038</v>
      </c>
      <c r="I1384" s="42" t="s">
        <v>48</v>
      </c>
      <c r="J1384" s="56" t="s">
        <v>269</v>
      </c>
      <c r="K1384" s="40" t="s">
        <v>15</v>
      </c>
      <c r="L1384" s="26">
        <v>2000</v>
      </c>
      <c r="M1384" s="26">
        <v>159</v>
      </c>
      <c r="N1384" s="25">
        <f t="shared" si="43"/>
        <v>318000</v>
      </c>
      <c r="O1384" s="56"/>
    </row>
    <row r="1385" spans="1:15" hidden="1" x14ac:dyDescent="0.3">
      <c r="A1385" s="26">
        <v>28</v>
      </c>
      <c r="B1385" s="20" t="str">
        <f t="shared" si="42"/>
        <v>JUL</v>
      </c>
      <c r="C1385" s="21">
        <v>46214</v>
      </c>
      <c r="D1385" s="22" t="str">
        <f t="array" ref="D1385">IFERROR(INDEX('Kode Outlet dan Target Toko'!$A:$A,MATCH($I1385,'Kode Outlet dan Target Toko'!$E:$E,0)),"")</f>
        <v>GRSM 6</v>
      </c>
      <c r="E1385" s="20" t="str">
        <f>IFERROR(VLOOKUP(I1385,KET!$B:$F,4,0),"")</f>
        <v>WINDA</v>
      </c>
      <c r="F1385" s="20" t="str">
        <f>IFERROR(VLOOKUP(I1385,KET!$B:$F,5,0),"")</f>
        <v>GMM</v>
      </c>
      <c r="G1385" s="20">
        <f>IFERROR(INDEX('Kode Outlet dan Target Toko'!$C:$C,MATCH($I1385,'Kode Outlet dan Target Toko'!$E:$E,0)),0)</f>
        <v>103765</v>
      </c>
      <c r="H1385" s="20">
        <f>IFERROR(INDEX('Kode Outlet dan Target Toko'!$D:$D,MATCH($I1385,'Kode Outlet dan Target Toko'!$E:$E,0)),0)</f>
        <v>4307038</v>
      </c>
      <c r="I1385" s="42" t="s">
        <v>48</v>
      </c>
      <c r="J1385" s="56" t="s">
        <v>269</v>
      </c>
      <c r="K1385" s="40" t="s">
        <v>14</v>
      </c>
      <c r="L1385" s="26">
        <v>2000</v>
      </c>
      <c r="M1385" s="26">
        <v>180</v>
      </c>
      <c r="N1385" s="25">
        <f t="shared" si="43"/>
        <v>360000</v>
      </c>
      <c r="O1385" s="56"/>
    </row>
    <row r="1386" spans="1:15" hidden="1" x14ac:dyDescent="0.3">
      <c r="A1386" s="26">
        <v>28</v>
      </c>
      <c r="B1386" s="20" t="str">
        <f t="shared" si="42"/>
        <v>JUL</v>
      </c>
      <c r="C1386" s="21">
        <v>46214</v>
      </c>
      <c r="D1386" s="22" t="str">
        <f t="array" ref="D1386">IFERROR(INDEX('Kode Outlet dan Target Toko'!$A:$A,MATCH($I1386,'Kode Outlet dan Target Toko'!$E:$E,0)),"")</f>
        <v>GRSM 6</v>
      </c>
      <c r="E1386" s="20" t="str">
        <f>IFERROR(VLOOKUP(I1386,KET!$B:$F,4,0),"")</f>
        <v>WINDA</v>
      </c>
      <c r="F1386" s="20" t="str">
        <f>IFERROR(VLOOKUP(I1386,KET!$B:$F,5,0),"")</f>
        <v>GMM</v>
      </c>
      <c r="G1386" s="20">
        <f>IFERROR(INDEX('Kode Outlet dan Target Toko'!$C:$C,MATCH($I1386,'Kode Outlet dan Target Toko'!$E:$E,0)),0)</f>
        <v>103765</v>
      </c>
      <c r="H1386" s="20">
        <f>IFERROR(INDEX('Kode Outlet dan Target Toko'!$D:$D,MATCH($I1386,'Kode Outlet dan Target Toko'!$E:$E,0)),0)</f>
        <v>4307038</v>
      </c>
      <c r="I1386" s="42" t="s">
        <v>48</v>
      </c>
      <c r="J1386" s="56" t="s">
        <v>269</v>
      </c>
      <c r="K1386" s="40" t="s">
        <v>13</v>
      </c>
      <c r="L1386" s="26">
        <v>2000</v>
      </c>
      <c r="M1386" s="26">
        <v>171</v>
      </c>
      <c r="N1386" s="25">
        <f t="shared" si="43"/>
        <v>342000</v>
      </c>
      <c r="O1386" s="56"/>
    </row>
    <row r="1387" spans="1:15" hidden="1" x14ac:dyDescent="0.3">
      <c r="A1387" s="26">
        <v>28</v>
      </c>
      <c r="B1387" s="20" t="str">
        <f t="shared" si="42"/>
        <v>JUL</v>
      </c>
      <c r="C1387" s="21">
        <v>46214</v>
      </c>
      <c r="D1387" s="22" t="str">
        <f t="array" ref="D1387">IFERROR(INDEX('Kode Outlet dan Target Toko'!$A:$A,MATCH($I1387,'Kode Outlet dan Target Toko'!$E:$E,0)),"")</f>
        <v>GRSM 6</v>
      </c>
      <c r="E1387" s="20" t="str">
        <f>IFERROR(VLOOKUP(I1387,KET!$B:$F,4,0),"")</f>
        <v>WINDA</v>
      </c>
      <c r="F1387" s="20" t="str">
        <f>IFERROR(VLOOKUP(I1387,KET!$B:$F,5,0),"")</f>
        <v>GMM</v>
      </c>
      <c r="G1387" s="20">
        <f>IFERROR(INDEX('Kode Outlet dan Target Toko'!$C:$C,MATCH($I1387,'Kode Outlet dan Target Toko'!$E:$E,0)),0)</f>
        <v>103765</v>
      </c>
      <c r="H1387" s="20">
        <f>IFERROR(INDEX('Kode Outlet dan Target Toko'!$D:$D,MATCH($I1387,'Kode Outlet dan Target Toko'!$E:$E,0)),0)</f>
        <v>4307038</v>
      </c>
      <c r="I1387" s="42" t="s">
        <v>48</v>
      </c>
      <c r="J1387" s="56" t="s">
        <v>269</v>
      </c>
      <c r="K1387" s="40" t="s">
        <v>16</v>
      </c>
      <c r="L1387" s="26">
        <v>2000</v>
      </c>
      <c r="M1387" s="26">
        <v>195</v>
      </c>
      <c r="N1387" s="25">
        <f t="shared" si="43"/>
        <v>390000</v>
      </c>
      <c r="O1387" s="56">
        <v>160</v>
      </c>
    </row>
    <row r="1388" spans="1:15" hidden="1" x14ac:dyDescent="0.3">
      <c r="A1388" s="26">
        <v>28</v>
      </c>
      <c r="B1388" s="20" t="str">
        <f t="shared" si="42"/>
        <v>JUL</v>
      </c>
      <c r="C1388" s="21">
        <v>46214</v>
      </c>
      <c r="D1388" s="22" t="str">
        <f t="array" ref="D1388">IFERROR(INDEX('Kode Outlet dan Target Toko'!$A:$A,MATCH($I1388,'Kode Outlet dan Target Toko'!$E:$E,0)),"")</f>
        <v>GRSM 6</v>
      </c>
      <c r="E1388" s="20" t="str">
        <f>IFERROR(VLOOKUP(I1388,KET!$B:$F,4,0),"")</f>
        <v>WINDA</v>
      </c>
      <c r="F1388" s="20" t="str">
        <f>IFERROR(VLOOKUP(I1388,KET!$B:$F,5,0),"")</f>
        <v>GMM</v>
      </c>
      <c r="G1388" s="20">
        <f>IFERROR(INDEX('Kode Outlet dan Target Toko'!$C:$C,MATCH($I1388,'Kode Outlet dan Target Toko'!$E:$E,0)),0)</f>
        <v>103765</v>
      </c>
      <c r="H1388" s="20">
        <f>IFERROR(INDEX('Kode Outlet dan Target Toko'!$D:$D,MATCH($I1388,'Kode Outlet dan Target Toko'!$E:$E,0)),0)</f>
        <v>4307038</v>
      </c>
      <c r="I1388" s="42" t="s">
        <v>48</v>
      </c>
      <c r="J1388" s="56" t="s">
        <v>270</v>
      </c>
      <c r="K1388" s="40" t="s">
        <v>15</v>
      </c>
      <c r="L1388" s="26">
        <v>2000</v>
      </c>
      <c r="M1388" s="26">
        <v>159</v>
      </c>
      <c r="N1388" s="25">
        <f t="shared" si="43"/>
        <v>318000</v>
      </c>
      <c r="O1388" s="56"/>
    </row>
    <row r="1389" spans="1:15" hidden="1" x14ac:dyDescent="0.3">
      <c r="A1389" s="26">
        <v>28</v>
      </c>
      <c r="B1389" s="20" t="str">
        <f t="shared" si="42"/>
        <v>JUL</v>
      </c>
      <c r="C1389" s="21">
        <v>46214</v>
      </c>
      <c r="D1389" s="22" t="str">
        <f t="array" ref="D1389">IFERROR(INDEX('Kode Outlet dan Target Toko'!$A:$A,MATCH($I1389,'Kode Outlet dan Target Toko'!$E:$E,0)),"")</f>
        <v>GRSM 6</v>
      </c>
      <c r="E1389" s="20" t="str">
        <f>IFERROR(VLOOKUP(I1389,KET!$B:$F,4,0),"")</f>
        <v>WINDA</v>
      </c>
      <c r="F1389" s="20" t="str">
        <f>IFERROR(VLOOKUP(I1389,KET!$B:$F,5,0),"")</f>
        <v>GMM</v>
      </c>
      <c r="G1389" s="20">
        <f>IFERROR(INDEX('Kode Outlet dan Target Toko'!$C:$C,MATCH($I1389,'Kode Outlet dan Target Toko'!$E:$E,0)),0)</f>
        <v>103765</v>
      </c>
      <c r="H1389" s="20">
        <f>IFERROR(INDEX('Kode Outlet dan Target Toko'!$D:$D,MATCH($I1389,'Kode Outlet dan Target Toko'!$E:$E,0)),0)</f>
        <v>4307038</v>
      </c>
      <c r="I1389" s="42" t="s">
        <v>48</v>
      </c>
      <c r="J1389" s="56" t="s">
        <v>270</v>
      </c>
      <c r="K1389" s="40" t="s">
        <v>14</v>
      </c>
      <c r="L1389" s="26">
        <v>2000</v>
      </c>
      <c r="M1389" s="26">
        <v>180</v>
      </c>
      <c r="N1389" s="25">
        <f t="shared" si="43"/>
        <v>360000</v>
      </c>
      <c r="O1389" s="56"/>
    </row>
    <row r="1390" spans="1:15" hidden="1" x14ac:dyDescent="0.3">
      <c r="A1390" s="26">
        <v>28</v>
      </c>
      <c r="B1390" s="20" t="str">
        <f t="shared" si="42"/>
        <v>JUL</v>
      </c>
      <c r="C1390" s="21">
        <v>46214</v>
      </c>
      <c r="D1390" s="22" t="str">
        <f t="array" ref="D1390">IFERROR(INDEX('Kode Outlet dan Target Toko'!$A:$A,MATCH($I1390,'Kode Outlet dan Target Toko'!$E:$E,0)),"")</f>
        <v>GRSM 6</v>
      </c>
      <c r="E1390" s="20" t="str">
        <f>IFERROR(VLOOKUP(I1390,KET!$B:$F,4,0),"")</f>
        <v>WINDA</v>
      </c>
      <c r="F1390" s="20" t="str">
        <f>IFERROR(VLOOKUP(I1390,KET!$B:$F,5,0),"")</f>
        <v>GMM</v>
      </c>
      <c r="G1390" s="20">
        <f>IFERROR(INDEX('Kode Outlet dan Target Toko'!$C:$C,MATCH($I1390,'Kode Outlet dan Target Toko'!$E:$E,0)),0)</f>
        <v>103765</v>
      </c>
      <c r="H1390" s="20">
        <f>IFERROR(INDEX('Kode Outlet dan Target Toko'!$D:$D,MATCH($I1390,'Kode Outlet dan Target Toko'!$E:$E,0)),0)</f>
        <v>4307038</v>
      </c>
      <c r="I1390" s="42" t="s">
        <v>48</v>
      </c>
      <c r="J1390" s="56" t="s">
        <v>270</v>
      </c>
      <c r="K1390" s="40" t="s">
        <v>13</v>
      </c>
      <c r="L1390" s="26">
        <v>2000</v>
      </c>
      <c r="M1390" s="26">
        <v>171</v>
      </c>
      <c r="N1390" s="25">
        <f t="shared" si="43"/>
        <v>342000</v>
      </c>
      <c r="O1390" s="56"/>
    </row>
    <row r="1391" spans="1:15" hidden="1" x14ac:dyDescent="0.3">
      <c r="A1391" s="26">
        <v>28</v>
      </c>
      <c r="B1391" s="20" t="str">
        <f t="shared" si="42"/>
        <v>JUL</v>
      </c>
      <c r="C1391" s="21">
        <v>46214</v>
      </c>
      <c r="D1391" s="22" t="str">
        <f t="array" ref="D1391">IFERROR(INDEX('Kode Outlet dan Target Toko'!$A:$A,MATCH($I1391,'Kode Outlet dan Target Toko'!$E:$E,0)),"")</f>
        <v>GRSM 6</v>
      </c>
      <c r="E1391" s="20" t="str">
        <f>IFERROR(VLOOKUP(I1391,KET!$B:$F,4,0),"")</f>
        <v>WINDA</v>
      </c>
      <c r="F1391" s="20" t="str">
        <f>IFERROR(VLOOKUP(I1391,KET!$B:$F,5,0),"")</f>
        <v>GMM</v>
      </c>
      <c r="G1391" s="20">
        <f>IFERROR(INDEX('Kode Outlet dan Target Toko'!$C:$C,MATCH($I1391,'Kode Outlet dan Target Toko'!$E:$E,0)),0)</f>
        <v>103765</v>
      </c>
      <c r="H1391" s="20">
        <f>IFERROR(INDEX('Kode Outlet dan Target Toko'!$D:$D,MATCH($I1391,'Kode Outlet dan Target Toko'!$E:$E,0)),0)</f>
        <v>4307038</v>
      </c>
      <c r="I1391" s="42" t="s">
        <v>48</v>
      </c>
      <c r="J1391" s="56" t="s">
        <v>270</v>
      </c>
      <c r="K1391" s="40" t="s">
        <v>16</v>
      </c>
      <c r="L1391" s="26">
        <v>2000</v>
      </c>
      <c r="M1391" s="26">
        <v>195</v>
      </c>
      <c r="N1391" s="25">
        <f t="shared" si="43"/>
        <v>390000</v>
      </c>
      <c r="O1391" s="56">
        <v>160</v>
      </c>
    </row>
    <row r="1392" spans="1:15" hidden="1" x14ac:dyDescent="0.3">
      <c r="A1392" s="26">
        <v>28</v>
      </c>
      <c r="B1392" s="20" t="str">
        <f t="shared" si="42"/>
        <v>JUL</v>
      </c>
      <c r="C1392" s="21">
        <v>46213</v>
      </c>
      <c r="D1392" s="22" t="str">
        <f t="array" ref="D1392">IFERROR(INDEX('Kode Outlet dan Target Toko'!$A:$A,MATCH($I1392,'Kode Outlet dan Target Toko'!$E:$E,0)),"")</f>
        <v>GRSM 6</v>
      </c>
      <c r="E1392" s="20" t="str">
        <f>IFERROR(VLOOKUP(I1392,KET!$B:$F,4,0),"")</f>
        <v>WINDA</v>
      </c>
      <c r="F1392" s="20" t="str">
        <f>IFERROR(VLOOKUP(I1392,KET!$B:$F,5,0),"")</f>
        <v>GMM</v>
      </c>
      <c r="G1392" s="20">
        <f>IFERROR(INDEX('Kode Outlet dan Target Toko'!$C:$C,MATCH($I1392,'Kode Outlet dan Target Toko'!$E:$E,0)),0)</f>
        <v>211033</v>
      </c>
      <c r="H1392" s="20">
        <f>IFERROR(INDEX('Kode Outlet dan Target Toko'!$D:$D,MATCH($I1392,'Kode Outlet dan Target Toko'!$E:$E,0)),0)</f>
        <v>6467246</v>
      </c>
      <c r="I1392" s="42" t="s">
        <v>50</v>
      </c>
      <c r="J1392" s="56" t="s">
        <v>271</v>
      </c>
      <c r="K1392" s="40" t="s">
        <v>15</v>
      </c>
      <c r="L1392" s="26">
        <v>2900</v>
      </c>
      <c r="M1392" s="26">
        <v>20</v>
      </c>
      <c r="N1392" s="25">
        <f t="shared" si="43"/>
        <v>58000</v>
      </c>
      <c r="O1392" s="56"/>
    </row>
    <row r="1393" spans="1:15" hidden="1" x14ac:dyDescent="0.3">
      <c r="A1393" s="26">
        <v>28</v>
      </c>
      <c r="B1393" s="20" t="str">
        <f t="shared" si="42"/>
        <v>JUL</v>
      </c>
      <c r="C1393" s="21">
        <v>46213</v>
      </c>
      <c r="D1393" s="22" t="str">
        <f t="array" ref="D1393">IFERROR(INDEX('Kode Outlet dan Target Toko'!$A:$A,MATCH($I1393,'Kode Outlet dan Target Toko'!$E:$E,0)),"")</f>
        <v>GRSM 6</v>
      </c>
      <c r="E1393" s="20" t="str">
        <f>IFERROR(VLOOKUP(I1393,KET!$B:$F,4,0),"")</f>
        <v>WINDA</v>
      </c>
      <c r="F1393" s="20" t="str">
        <f>IFERROR(VLOOKUP(I1393,KET!$B:$F,5,0),"")</f>
        <v>GMM</v>
      </c>
      <c r="G1393" s="20">
        <f>IFERROR(INDEX('Kode Outlet dan Target Toko'!$C:$C,MATCH($I1393,'Kode Outlet dan Target Toko'!$E:$E,0)),0)</f>
        <v>211033</v>
      </c>
      <c r="H1393" s="20">
        <f>IFERROR(INDEX('Kode Outlet dan Target Toko'!$D:$D,MATCH($I1393,'Kode Outlet dan Target Toko'!$E:$E,0)),0)</f>
        <v>6467246</v>
      </c>
      <c r="I1393" s="42" t="s">
        <v>50</v>
      </c>
      <c r="J1393" s="56" t="s">
        <v>271</v>
      </c>
      <c r="K1393" s="40" t="s">
        <v>14</v>
      </c>
      <c r="L1393" s="26">
        <v>2900</v>
      </c>
      <c r="M1393" s="26">
        <v>56</v>
      </c>
      <c r="N1393" s="25">
        <f t="shared" si="43"/>
        <v>162400</v>
      </c>
      <c r="O1393" s="56"/>
    </row>
    <row r="1394" spans="1:15" hidden="1" x14ac:dyDescent="0.3">
      <c r="A1394" s="26">
        <v>28</v>
      </c>
      <c r="B1394" s="20" t="str">
        <f t="shared" si="42"/>
        <v>JUL</v>
      </c>
      <c r="C1394" s="21">
        <v>46213</v>
      </c>
      <c r="D1394" s="22" t="str">
        <f t="array" ref="D1394">IFERROR(INDEX('Kode Outlet dan Target Toko'!$A:$A,MATCH($I1394,'Kode Outlet dan Target Toko'!$E:$E,0)),"")</f>
        <v>GRSM 6</v>
      </c>
      <c r="E1394" s="20" t="str">
        <f>IFERROR(VLOOKUP(I1394,KET!$B:$F,4,0),"")</f>
        <v>WINDA</v>
      </c>
      <c r="F1394" s="20" t="str">
        <f>IFERROR(VLOOKUP(I1394,KET!$B:$F,5,0),"")</f>
        <v>GMM</v>
      </c>
      <c r="G1394" s="20">
        <f>IFERROR(INDEX('Kode Outlet dan Target Toko'!$C:$C,MATCH($I1394,'Kode Outlet dan Target Toko'!$E:$E,0)),0)</f>
        <v>211033</v>
      </c>
      <c r="H1394" s="20">
        <f>IFERROR(INDEX('Kode Outlet dan Target Toko'!$D:$D,MATCH($I1394,'Kode Outlet dan Target Toko'!$E:$E,0)),0)</f>
        <v>6467246</v>
      </c>
      <c r="I1394" s="42" t="s">
        <v>50</v>
      </c>
      <c r="J1394" s="56" t="s">
        <v>271</v>
      </c>
      <c r="K1394" s="40" t="s">
        <v>13</v>
      </c>
      <c r="L1394" s="26">
        <v>2900</v>
      </c>
      <c r="M1394" s="26">
        <v>21</v>
      </c>
      <c r="N1394" s="25">
        <f t="shared" si="43"/>
        <v>60900</v>
      </c>
      <c r="O1394" s="56"/>
    </row>
    <row r="1395" spans="1:15" hidden="1" x14ac:dyDescent="0.3">
      <c r="A1395" s="26">
        <v>28</v>
      </c>
      <c r="B1395" s="20" t="str">
        <f t="shared" si="42"/>
        <v>JUL</v>
      </c>
      <c r="C1395" s="21">
        <v>46213</v>
      </c>
      <c r="D1395" s="22" t="str">
        <f t="array" ref="D1395">IFERROR(INDEX('Kode Outlet dan Target Toko'!$A:$A,MATCH($I1395,'Kode Outlet dan Target Toko'!$E:$E,0)),"")</f>
        <v>GRSM 6</v>
      </c>
      <c r="E1395" s="20" t="str">
        <f>IFERROR(VLOOKUP(I1395,KET!$B:$F,4,0),"")</f>
        <v>WINDA</v>
      </c>
      <c r="F1395" s="20" t="str">
        <f>IFERROR(VLOOKUP(I1395,KET!$B:$F,5,0),"")</f>
        <v>GMM</v>
      </c>
      <c r="G1395" s="20">
        <f>IFERROR(INDEX('Kode Outlet dan Target Toko'!$C:$C,MATCH($I1395,'Kode Outlet dan Target Toko'!$E:$E,0)),0)</f>
        <v>211033</v>
      </c>
      <c r="H1395" s="20">
        <f>IFERROR(INDEX('Kode Outlet dan Target Toko'!$D:$D,MATCH($I1395,'Kode Outlet dan Target Toko'!$E:$E,0)),0)</f>
        <v>6467246</v>
      </c>
      <c r="I1395" s="42" t="s">
        <v>50</v>
      </c>
      <c r="J1395" s="56" t="s">
        <v>271</v>
      </c>
      <c r="K1395" s="40" t="s">
        <v>16</v>
      </c>
      <c r="L1395" s="26">
        <v>2900</v>
      </c>
      <c r="M1395" s="26">
        <v>295</v>
      </c>
      <c r="N1395" s="25">
        <f t="shared" si="43"/>
        <v>855500</v>
      </c>
      <c r="O1395" s="56">
        <v>160</v>
      </c>
    </row>
    <row r="1396" spans="1:15" hidden="1" x14ac:dyDescent="0.3">
      <c r="A1396" s="26">
        <v>28</v>
      </c>
      <c r="B1396" s="20" t="str">
        <f t="shared" si="42"/>
        <v>JUL</v>
      </c>
      <c r="C1396" s="21">
        <v>46213</v>
      </c>
      <c r="D1396" s="22" t="str">
        <f t="array" ref="D1396">IFERROR(INDEX('Kode Outlet dan Target Toko'!$A:$A,MATCH($I1396,'Kode Outlet dan Target Toko'!$E:$E,0)),"")</f>
        <v>GRSM 6</v>
      </c>
      <c r="E1396" s="20" t="str">
        <f>IFERROR(VLOOKUP(I1396,KET!$B:$F,4,0),"")</f>
        <v>WINDA</v>
      </c>
      <c r="F1396" s="20" t="str">
        <f>IFERROR(VLOOKUP(I1396,KET!$B:$F,5,0),"")</f>
        <v>GMM</v>
      </c>
      <c r="G1396" s="20">
        <f>IFERROR(INDEX('Kode Outlet dan Target Toko'!$C:$C,MATCH($I1396,'Kode Outlet dan Target Toko'!$E:$E,0)),0)</f>
        <v>211033</v>
      </c>
      <c r="H1396" s="20">
        <f>IFERROR(INDEX('Kode Outlet dan Target Toko'!$D:$D,MATCH($I1396,'Kode Outlet dan Target Toko'!$E:$E,0)),0)</f>
        <v>6467246</v>
      </c>
      <c r="I1396" s="42" t="s">
        <v>50</v>
      </c>
      <c r="J1396" s="56" t="s">
        <v>272</v>
      </c>
      <c r="K1396" s="40" t="s">
        <v>15</v>
      </c>
      <c r="L1396" s="26">
        <v>2900</v>
      </c>
      <c r="M1396" s="26">
        <v>20</v>
      </c>
      <c r="N1396" s="25">
        <f t="shared" si="43"/>
        <v>58000</v>
      </c>
      <c r="O1396" s="56"/>
    </row>
    <row r="1397" spans="1:15" hidden="1" x14ac:dyDescent="0.3">
      <c r="A1397" s="26">
        <v>28</v>
      </c>
      <c r="B1397" s="20" t="str">
        <f t="shared" si="42"/>
        <v>JUL</v>
      </c>
      <c r="C1397" s="21">
        <v>46213</v>
      </c>
      <c r="D1397" s="22" t="str">
        <f t="array" ref="D1397">IFERROR(INDEX('Kode Outlet dan Target Toko'!$A:$A,MATCH($I1397,'Kode Outlet dan Target Toko'!$E:$E,0)),"")</f>
        <v>GRSM 6</v>
      </c>
      <c r="E1397" s="20" t="str">
        <f>IFERROR(VLOOKUP(I1397,KET!$B:$F,4,0),"")</f>
        <v>WINDA</v>
      </c>
      <c r="F1397" s="20" t="str">
        <f>IFERROR(VLOOKUP(I1397,KET!$B:$F,5,0),"")</f>
        <v>GMM</v>
      </c>
      <c r="G1397" s="20">
        <f>IFERROR(INDEX('Kode Outlet dan Target Toko'!$C:$C,MATCH($I1397,'Kode Outlet dan Target Toko'!$E:$E,0)),0)</f>
        <v>211033</v>
      </c>
      <c r="H1397" s="20">
        <f>IFERROR(INDEX('Kode Outlet dan Target Toko'!$D:$D,MATCH($I1397,'Kode Outlet dan Target Toko'!$E:$E,0)),0)</f>
        <v>6467246</v>
      </c>
      <c r="I1397" s="42" t="s">
        <v>50</v>
      </c>
      <c r="J1397" s="56" t="s">
        <v>272</v>
      </c>
      <c r="K1397" s="40" t="s">
        <v>14</v>
      </c>
      <c r="L1397" s="26">
        <v>2900</v>
      </c>
      <c r="M1397" s="26">
        <v>56</v>
      </c>
      <c r="N1397" s="25">
        <f t="shared" si="43"/>
        <v>162400</v>
      </c>
      <c r="O1397" s="56"/>
    </row>
    <row r="1398" spans="1:15" hidden="1" x14ac:dyDescent="0.3">
      <c r="A1398" s="26">
        <v>28</v>
      </c>
      <c r="B1398" s="20" t="str">
        <f t="shared" si="42"/>
        <v>JUL</v>
      </c>
      <c r="C1398" s="21">
        <v>46213</v>
      </c>
      <c r="D1398" s="22" t="str">
        <f t="array" ref="D1398">IFERROR(INDEX('Kode Outlet dan Target Toko'!$A:$A,MATCH($I1398,'Kode Outlet dan Target Toko'!$E:$E,0)),"")</f>
        <v>GRSM 6</v>
      </c>
      <c r="E1398" s="20" t="str">
        <f>IFERROR(VLOOKUP(I1398,KET!$B:$F,4,0),"")</f>
        <v>WINDA</v>
      </c>
      <c r="F1398" s="20" t="str">
        <f>IFERROR(VLOOKUP(I1398,KET!$B:$F,5,0),"")</f>
        <v>GMM</v>
      </c>
      <c r="G1398" s="20">
        <f>IFERROR(INDEX('Kode Outlet dan Target Toko'!$C:$C,MATCH($I1398,'Kode Outlet dan Target Toko'!$E:$E,0)),0)</f>
        <v>211033</v>
      </c>
      <c r="H1398" s="20">
        <f>IFERROR(INDEX('Kode Outlet dan Target Toko'!$D:$D,MATCH($I1398,'Kode Outlet dan Target Toko'!$E:$E,0)),0)</f>
        <v>6467246</v>
      </c>
      <c r="I1398" s="42" t="s">
        <v>50</v>
      </c>
      <c r="J1398" s="56" t="s">
        <v>272</v>
      </c>
      <c r="K1398" s="40" t="s">
        <v>13</v>
      </c>
      <c r="L1398" s="26">
        <v>2900</v>
      </c>
      <c r="M1398" s="26">
        <v>21</v>
      </c>
      <c r="N1398" s="25">
        <f t="shared" si="43"/>
        <v>60900</v>
      </c>
      <c r="O1398" s="56"/>
    </row>
    <row r="1399" spans="1:15" hidden="1" x14ac:dyDescent="0.3">
      <c r="A1399" s="26">
        <v>28</v>
      </c>
      <c r="B1399" s="20" t="str">
        <f t="shared" si="42"/>
        <v>JUL</v>
      </c>
      <c r="C1399" s="21">
        <v>46213</v>
      </c>
      <c r="D1399" s="22" t="str">
        <f t="array" ref="D1399">IFERROR(INDEX('Kode Outlet dan Target Toko'!$A:$A,MATCH($I1399,'Kode Outlet dan Target Toko'!$E:$E,0)),"")</f>
        <v>GRSM 6</v>
      </c>
      <c r="E1399" s="20" t="str">
        <f>IFERROR(VLOOKUP(I1399,KET!$B:$F,4,0),"")</f>
        <v>WINDA</v>
      </c>
      <c r="F1399" s="20" t="str">
        <f>IFERROR(VLOOKUP(I1399,KET!$B:$F,5,0),"")</f>
        <v>GMM</v>
      </c>
      <c r="G1399" s="20">
        <f>IFERROR(INDEX('Kode Outlet dan Target Toko'!$C:$C,MATCH($I1399,'Kode Outlet dan Target Toko'!$E:$E,0)),0)</f>
        <v>211033</v>
      </c>
      <c r="H1399" s="20">
        <f>IFERROR(INDEX('Kode Outlet dan Target Toko'!$D:$D,MATCH($I1399,'Kode Outlet dan Target Toko'!$E:$E,0)),0)</f>
        <v>6467246</v>
      </c>
      <c r="I1399" s="42" t="s">
        <v>50</v>
      </c>
      <c r="J1399" s="56" t="s">
        <v>272</v>
      </c>
      <c r="K1399" s="40" t="s">
        <v>16</v>
      </c>
      <c r="L1399" s="26">
        <v>2900</v>
      </c>
      <c r="M1399" s="26">
        <v>295</v>
      </c>
      <c r="N1399" s="25">
        <f t="shared" si="43"/>
        <v>855500</v>
      </c>
      <c r="O1399" s="56">
        <v>160</v>
      </c>
    </row>
    <row r="1400" spans="1:15" hidden="1" x14ac:dyDescent="0.3">
      <c r="A1400" s="26">
        <v>28</v>
      </c>
      <c r="B1400" s="20" t="str">
        <f t="shared" si="42"/>
        <v>JUL</v>
      </c>
      <c r="C1400" s="21">
        <v>46214</v>
      </c>
      <c r="D1400" s="22" t="str">
        <f t="array" ref="D1400">IFERROR(INDEX('Kode Outlet dan Target Toko'!$A:$A,MATCH($I1400,'Kode Outlet dan Target Toko'!$E:$E,0)),"")</f>
        <v>GRSM 6</v>
      </c>
      <c r="E1400" s="20" t="str">
        <f>IFERROR(VLOOKUP(I1400,KET!$B:$F,4,0),"")</f>
        <v>WINDA</v>
      </c>
      <c r="F1400" s="20" t="str">
        <f>IFERROR(VLOOKUP(I1400,KET!$B:$F,5,0),"")</f>
        <v>GMM</v>
      </c>
      <c r="G1400" s="20">
        <f>IFERROR(INDEX('Kode Outlet dan Target Toko'!$C:$C,MATCH($I1400,'Kode Outlet dan Target Toko'!$E:$E,0)),0)</f>
        <v>211033</v>
      </c>
      <c r="H1400" s="20">
        <f>IFERROR(INDEX('Kode Outlet dan Target Toko'!$D:$D,MATCH($I1400,'Kode Outlet dan Target Toko'!$E:$E,0)),0)</f>
        <v>6467246</v>
      </c>
      <c r="I1400" s="42" t="s">
        <v>50</v>
      </c>
      <c r="J1400" s="56" t="s">
        <v>271</v>
      </c>
      <c r="K1400" s="40" t="s">
        <v>14</v>
      </c>
      <c r="L1400" s="26">
        <v>2900</v>
      </c>
      <c r="M1400" s="26">
        <v>95</v>
      </c>
      <c r="N1400" s="25">
        <f t="shared" si="43"/>
        <v>275500</v>
      </c>
      <c r="O1400" s="56"/>
    </row>
    <row r="1401" spans="1:15" hidden="1" x14ac:dyDescent="0.3">
      <c r="A1401" s="26">
        <v>28</v>
      </c>
      <c r="B1401" s="20" t="str">
        <f t="shared" si="42"/>
        <v>JUL</v>
      </c>
      <c r="C1401" s="21">
        <v>46214</v>
      </c>
      <c r="D1401" s="22" t="str">
        <f t="array" ref="D1401">IFERROR(INDEX('Kode Outlet dan Target Toko'!$A:$A,MATCH($I1401,'Kode Outlet dan Target Toko'!$E:$E,0)),"")</f>
        <v>GRSM 6</v>
      </c>
      <c r="E1401" s="20" t="str">
        <f>IFERROR(VLOOKUP(I1401,KET!$B:$F,4,0),"")</f>
        <v>WINDA</v>
      </c>
      <c r="F1401" s="20" t="str">
        <f>IFERROR(VLOOKUP(I1401,KET!$B:$F,5,0),"")</f>
        <v>GMM</v>
      </c>
      <c r="G1401" s="20">
        <f>IFERROR(INDEX('Kode Outlet dan Target Toko'!$C:$C,MATCH($I1401,'Kode Outlet dan Target Toko'!$E:$E,0)),0)</f>
        <v>211033</v>
      </c>
      <c r="H1401" s="20">
        <f>IFERROR(INDEX('Kode Outlet dan Target Toko'!$D:$D,MATCH($I1401,'Kode Outlet dan Target Toko'!$E:$E,0)),0)</f>
        <v>6467246</v>
      </c>
      <c r="I1401" s="42" t="s">
        <v>50</v>
      </c>
      <c r="J1401" s="56" t="s">
        <v>271</v>
      </c>
      <c r="K1401" s="40" t="s">
        <v>13</v>
      </c>
      <c r="L1401" s="26">
        <v>2900</v>
      </c>
      <c r="M1401" s="26">
        <v>30</v>
      </c>
      <c r="N1401" s="25">
        <f t="shared" si="43"/>
        <v>87000</v>
      </c>
      <c r="O1401" s="56"/>
    </row>
    <row r="1402" spans="1:15" hidden="1" x14ac:dyDescent="0.3">
      <c r="A1402" s="26">
        <v>28</v>
      </c>
      <c r="B1402" s="20" t="str">
        <f t="shared" si="42"/>
        <v>JUL</v>
      </c>
      <c r="C1402" s="21">
        <v>46214</v>
      </c>
      <c r="D1402" s="22" t="str">
        <f t="array" ref="D1402">IFERROR(INDEX('Kode Outlet dan Target Toko'!$A:$A,MATCH($I1402,'Kode Outlet dan Target Toko'!$E:$E,0)),"")</f>
        <v>GRSM 6</v>
      </c>
      <c r="E1402" s="20" t="str">
        <f>IFERROR(VLOOKUP(I1402,KET!$B:$F,4,0),"")</f>
        <v>WINDA</v>
      </c>
      <c r="F1402" s="20" t="str">
        <f>IFERROR(VLOOKUP(I1402,KET!$B:$F,5,0),"")</f>
        <v>GMM</v>
      </c>
      <c r="G1402" s="20">
        <f>IFERROR(INDEX('Kode Outlet dan Target Toko'!$C:$C,MATCH($I1402,'Kode Outlet dan Target Toko'!$E:$E,0)),0)</f>
        <v>211033</v>
      </c>
      <c r="H1402" s="20">
        <f>IFERROR(INDEX('Kode Outlet dan Target Toko'!$D:$D,MATCH($I1402,'Kode Outlet dan Target Toko'!$E:$E,0)),0)</f>
        <v>6467246</v>
      </c>
      <c r="I1402" s="42" t="s">
        <v>50</v>
      </c>
      <c r="J1402" s="56" t="s">
        <v>271</v>
      </c>
      <c r="K1402" s="40" t="s">
        <v>16</v>
      </c>
      <c r="L1402" s="26">
        <v>2900</v>
      </c>
      <c r="M1402" s="26">
        <v>320</v>
      </c>
      <c r="N1402" s="25">
        <f t="shared" si="43"/>
        <v>928000</v>
      </c>
      <c r="O1402" s="56">
        <v>160</v>
      </c>
    </row>
    <row r="1403" spans="1:15" hidden="1" x14ac:dyDescent="0.3">
      <c r="A1403" s="26">
        <v>28</v>
      </c>
      <c r="B1403" s="20" t="str">
        <f t="shared" si="42"/>
        <v>JUL</v>
      </c>
      <c r="C1403" s="21">
        <v>46214</v>
      </c>
      <c r="D1403" s="22" t="str">
        <f t="array" ref="D1403">IFERROR(INDEX('Kode Outlet dan Target Toko'!$A:$A,MATCH($I1403,'Kode Outlet dan Target Toko'!$E:$E,0)),"")</f>
        <v>GRSM 6</v>
      </c>
      <c r="E1403" s="20" t="str">
        <f>IFERROR(VLOOKUP(I1403,KET!$B:$F,4,0),"")</f>
        <v>WINDA</v>
      </c>
      <c r="F1403" s="20" t="str">
        <f>IFERROR(VLOOKUP(I1403,KET!$B:$F,5,0),"")</f>
        <v>GMM</v>
      </c>
      <c r="G1403" s="20">
        <f>IFERROR(INDEX('Kode Outlet dan Target Toko'!$C:$C,MATCH($I1403,'Kode Outlet dan Target Toko'!$E:$E,0)),0)</f>
        <v>211033</v>
      </c>
      <c r="H1403" s="20">
        <f>IFERROR(INDEX('Kode Outlet dan Target Toko'!$D:$D,MATCH($I1403,'Kode Outlet dan Target Toko'!$E:$E,0)),0)</f>
        <v>6467246</v>
      </c>
      <c r="I1403" s="42" t="s">
        <v>50</v>
      </c>
      <c r="J1403" s="56" t="s">
        <v>272</v>
      </c>
      <c r="K1403" s="40" t="s">
        <v>15</v>
      </c>
      <c r="L1403" s="26">
        <v>2900</v>
      </c>
      <c r="M1403" s="26">
        <v>75</v>
      </c>
      <c r="N1403" s="25">
        <f t="shared" si="43"/>
        <v>217500</v>
      </c>
      <c r="O1403" s="56"/>
    </row>
    <row r="1404" spans="1:15" hidden="1" x14ac:dyDescent="0.3">
      <c r="A1404" s="26">
        <v>28</v>
      </c>
      <c r="B1404" s="20" t="str">
        <f t="shared" si="42"/>
        <v>JUL</v>
      </c>
      <c r="C1404" s="21">
        <v>46214</v>
      </c>
      <c r="D1404" s="22" t="str">
        <f t="array" ref="D1404">IFERROR(INDEX('Kode Outlet dan Target Toko'!$A:$A,MATCH($I1404,'Kode Outlet dan Target Toko'!$E:$E,0)),"")</f>
        <v>GRSM 6</v>
      </c>
      <c r="E1404" s="20" t="str">
        <f>IFERROR(VLOOKUP(I1404,KET!$B:$F,4,0),"")</f>
        <v>WINDA</v>
      </c>
      <c r="F1404" s="20" t="str">
        <f>IFERROR(VLOOKUP(I1404,KET!$B:$F,5,0),"")</f>
        <v>GMM</v>
      </c>
      <c r="G1404" s="20">
        <f>IFERROR(INDEX('Kode Outlet dan Target Toko'!$C:$C,MATCH($I1404,'Kode Outlet dan Target Toko'!$E:$E,0)),0)</f>
        <v>211033</v>
      </c>
      <c r="H1404" s="20">
        <f>IFERROR(INDEX('Kode Outlet dan Target Toko'!$D:$D,MATCH($I1404,'Kode Outlet dan Target Toko'!$E:$E,0)),0)</f>
        <v>6467246</v>
      </c>
      <c r="I1404" s="42" t="s">
        <v>50</v>
      </c>
      <c r="J1404" s="56" t="s">
        <v>272</v>
      </c>
      <c r="K1404" s="40" t="s">
        <v>14</v>
      </c>
      <c r="L1404" s="26">
        <v>2900</v>
      </c>
      <c r="M1404" s="26">
        <v>95</v>
      </c>
      <c r="N1404" s="25">
        <f t="shared" si="43"/>
        <v>275500</v>
      </c>
      <c r="O1404" s="56"/>
    </row>
    <row r="1405" spans="1:15" hidden="1" x14ac:dyDescent="0.3">
      <c r="A1405" s="26">
        <v>28</v>
      </c>
      <c r="B1405" s="20" t="str">
        <f t="shared" si="42"/>
        <v>JUL</v>
      </c>
      <c r="C1405" s="21">
        <v>46214</v>
      </c>
      <c r="D1405" s="22" t="str">
        <f t="array" ref="D1405">IFERROR(INDEX('Kode Outlet dan Target Toko'!$A:$A,MATCH($I1405,'Kode Outlet dan Target Toko'!$E:$E,0)),"")</f>
        <v>GRSM 6</v>
      </c>
      <c r="E1405" s="20" t="str">
        <f>IFERROR(VLOOKUP(I1405,KET!$B:$F,4,0),"")</f>
        <v>WINDA</v>
      </c>
      <c r="F1405" s="20" t="str">
        <f>IFERROR(VLOOKUP(I1405,KET!$B:$F,5,0),"")</f>
        <v>GMM</v>
      </c>
      <c r="G1405" s="20">
        <f>IFERROR(INDEX('Kode Outlet dan Target Toko'!$C:$C,MATCH($I1405,'Kode Outlet dan Target Toko'!$E:$E,0)),0)</f>
        <v>211033</v>
      </c>
      <c r="H1405" s="20">
        <f>IFERROR(INDEX('Kode Outlet dan Target Toko'!$D:$D,MATCH($I1405,'Kode Outlet dan Target Toko'!$E:$E,0)),0)</f>
        <v>6467246</v>
      </c>
      <c r="I1405" s="42" t="s">
        <v>50</v>
      </c>
      <c r="J1405" s="56" t="s">
        <v>272</v>
      </c>
      <c r="K1405" s="40" t="s">
        <v>13</v>
      </c>
      <c r="L1405" s="26">
        <v>2900</v>
      </c>
      <c r="M1405" s="26">
        <v>30</v>
      </c>
      <c r="N1405" s="25">
        <f t="shared" si="43"/>
        <v>87000</v>
      </c>
      <c r="O1405" s="56"/>
    </row>
    <row r="1406" spans="1:15" hidden="1" x14ac:dyDescent="0.3">
      <c r="A1406" s="26">
        <v>28</v>
      </c>
      <c r="B1406" s="20" t="str">
        <f t="shared" si="42"/>
        <v>JUL</v>
      </c>
      <c r="C1406" s="21">
        <v>46214</v>
      </c>
      <c r="D1406" s="22" t="str">
        <f t="array" ref="D1406">IFERROR(INDEX('Kode Outlet dan Target Toko'!$A:$A,MATCH($I1406,'Kode Outlet dan Target Toko'!$E:$E,0)),"")</f>
        <v>GRSM 6</v>
      </c>
      <c r="E1406" s="20" t="str">
        <f>IFERROR(VLOOKUP(I1406,KET!$B:$F,4,0),"")</f>
        <v>WINDA</v>
      </c>
      <c r="F1406" s="20" t="str">
        <f>IFERROR(VLOOKUP(I1406,KET!$B:$F,5,0),"")</f>
        <v>GMM</v>
      </c>
      <c r="G1406" s="20">
        <f>IFERROR(INDEX('Kode Outlet dan Target Toko'!$C:$C,MATCH($I1406,'Kode Outlet dan Target Toko'!$E:$E,0)),0)</f>
        <v>211033</v>
      </c>
      <c r="H1406" s="20">
        <f>IFERROR(INDEX('Kode Outlet dan Target Toko'!$D:$D,MATCH($I1406,'Kode Outlet dan Target Toko'!$E:$E,0)),0)</f>
        <v>6467246</v>
      </c>
      <c r="I1406" s="42" t="s">
        <v>50</v>
      </c>
      <c r="J1406" s="56" t="s">
        <v>272</v>
      </c>
      <c r="K1406" s="40" t="s">
        <v>16</v>
      </c>
      <c r="L1406" s="26">
        <v>2900</v>
      </c>
      <c r="M1406" s="26">
        <v>320</v>
      </c>
      <c r="N1406" s="25">
        <f t="shared" si="43"/>
        <v>928000</v>
      </c>
      <c r="O1406" s="56">
        <v>160</v>
      </c>
    </row>
    <row r="1407" spans="1:15" hidden="1" x14ac:dyDescent="0.3">
      <c r="A1407" s="26">
        <v>28</v>
      </c>
      <c r="B1407" s="20" t="str">
        <f t="shared" si="42"/>
        <v>JUL</v>
      </c>
      <c r="C1407" s="21">
        <v>46214</v>
      </c>
      <c r="D1407" s="22" t="str">
        <f t="array" ref="D1407">IFERROR(INDEX('Kode Outlet dan Target Toko'!$A:$A,MATCH($I1407,'Kode Outlet dan Target Toko'!$E:$E,0)),"")</f>
        <v>GRSM 6</v>
      </c>
      <c r="E1407" s="20" t="str">
        <f>IFERROR(VLOOKUP(I1407,KET!$B:$F,4,0),"")</f>
        <v>WINDA</v>
      </c>
      <c r="F1407" s="20" t="str">
        <f>IFERROR(VLOOKUP(I1407,KET!$B:$F,5,0),"")</f>
        <v>GMM</v>
      </c>
      <c r="G1407" s="20">
        <f>IFERROR(INDEX('Kode Outlet dan Target Toko'!$C:$C,MATCH($I1407,'Kode Outlet dan Target Toko'!$E:$E,0)),0)</f>
        <v>211163</v>
      </c>
      <c r="H1407" s="20">
        <f>IFERROR(INDEX('Kode Outlet dan Target Toko'!$D:$D,MATCH($I1407,'Kode Outlet dan Target Toko'!$E:$E,0)),0)</f>
        <v>3703219</v>
      </c>
      <c r="I1407" s="42" t="s">
        <v>52</v>
      </c>
      <c r="J1407" s="56" t="s">
        <v>273</v>
      </c>
      <c r="K1407" s="40" t="s">
        <v>15</v>
      </c>
      <c r="L1407" s="26">
        <v>2900</v>
      </c>
      <c r="M1407" s="26">
        <v>68</v>
      </c>
      <c r="N1407" s="25">
        <f t="shared" si="43"/>
        <v>197200</v>
      </c>
      <c r="O1407" s="56"/>
    </row>
    <row r="1408" spans="1:15" hidden="1" x14ac:dyDescent="0.3">
      <c r="A1408" s="26">
        <v>28</v>
      </c>
      <c r="B1408" s="20" t="str">
        <f t="shared" si="42"/>
        <v>JUL</v>
      </c>
      <c r="C1408" s="21">
        <v>46214</v>
      </c>
      <c r="D1408" s="22" t="str">
        <f t="array" ref="D1408">IFERROR(INDEX('Kode Outlet dan Target Toko'!$A:$A,MATCH($I1408,'Kode Outlet dan Target Toko'!$E:$E,0)),"")</f>
        <v>GRSM 6</v>
      </c>
      <c r="E1408" s="20" t="str">
        <f>IFERROR(VLOOKUP(I1408,KET!$B:$F,4,0),"")</f>
        <v>WINDA</v>
      </c>
      <c r="F1408" s="20" t="str">
        <f>IFERROR(VLOOKUP(I1408,KET!$B:$F,5,0),"")</f>
        <v>GMM</v>
      </c>
      <c r="G1408" s="20">
        <f>IFERROR(INDEX('Kode Outlet dan Target Toko'!$C:$C,MATCH($I1408,'Kode Outlet dan Target Toko'!$E:$E,0)),0)</f>
        <v>211163</v>
      </c>
      <c r="H1408" s="20">
        <f>IFERROR(INDEX('Kode Outlet dan Target Toko'!$D:$D,MATCH($I1408,'Kode Outlet dan Target Toko'!$E:$E,0)),0)</f>
        <v>3703219</v>
      </c>
      <c r="I1408" s="42" t="s">
        <v>52</v>
      </c>
      <c r="J1408" s="56" t="s">
        <v>273</v>
      </c>
      <c r="K1408" s="40" t="s">
        <v>14</v>
      </c>
      <c r="L1408" s="26">
        <v>2900</v>
      </c>
      <c r="M1408" s="26">
        <v>98</v>
      </c>
      <c r="N1408" s="25">
        <f t="shared" si="43"/>
        <v>284200</v>
      </c>
      <c r="O1408" s="56"/>
    </row>
    <row r="1409" spans="1:15" hidden="1" x14ac:dyDescent="0.3">
      <c r="A1409" s="26">
        <v>28</v>
      </c>
      <c r="B1409" s="20" t="str">
        <f t="shared" si="42"/>
        <v>JUL</v>
      </c>
      <c r="C1409" s="21">
        <v>46214</v>
      </c>
      <c r="D1409" s="22" t="str">
        <f t="array" ref="D1409">IFERROR(INDEX('Kode Outlet dan Target Toko'!$A:$A,MATCH($I1409,'Kode Outlet dan Target Toko'!$E:$E,0)),"")</f>
        <v>GRSM 6</v>
      </c>
      <c r="E1409" s="20" t="str">
        <f>IFERROR(VLOOKUP(I1409,KET!$B:$F,4,0),"")</f>
        <v>WINDA</v>
      </c>
      <c r="F1409" s="20" t="str">
        <f>IFERROR(VLOOKUP(I1409,KET!$B:$F,5,0),"")</f>
        <v>GMM</v>
      </c>
      <c r="G1409" s="20">
        <f>IFERROR(INDEX('Kode Outlet dan Target Toko'!$C:$C,MATCH($I1409,'Kode Outlet dan Target Toko'!$E:$E,0)),0)</f>
        <v>211163</v>
      </c>
      <c r="H1409" s="20">
        <f>IFERROR(INDEX('Kode Outlet dan Target Toko'!$D:$D,MATCH($I1409,'Kode Outlet dan Target Toko'!$E:$E,0)),0)</f>
        <v>3703219</v>
      </c>
      <c r="I1409" s="42" t="s">
        <v>52</v>
      </c>
      <c r="J1409" s="56" t="s">
        <v>273</v>
      </c>
      <c r="K1409" s="40" t="s">
        <v>13</v>
      </c>
      <c r="L1409" s="26">
        <v>2900</v>
      </c>
      <c r="M1409" s="26">
        <v>0</v>
      </c>
      <c r="N1409" s="25">
        <f t="shared" si="43"/>
        <v>0</v>
      </c>
      <c r="O1409" s="56"/>
    </row>
    <row r="1410" spans="1:15" hidden="1" x14ac:dyDescent="0.3">
      <c r="A1410" s="26">
        <v>28</v>
      </c>
      <c r="B1410" s="20" t="str">
        <f t="shared" si="42"/>
        <v>JUL</v>
      </c>
      <c r="C1410" s="21">
        <v>46214</v>
      </c>
      <c r="D1410" s="22" t="str">
        <f t="array" ref="D1410">IFERROR(INDEX('Kode Outlet dan Target Toko'!$A:$A,MATCH($I1410,'Kode Outlet dan Target Toko'!$E:$E,0)),"")</f>
        <v>GRSM 6</v>
      </c>
      <c r="E1410" s="20" t="str">
        <f>IFERROR(VLOOKUP(I1410,KET!$B:$F,4,0),"")</f>
        <v>WINDA</v>
      </c>
      <c r="F1410" s="20" t="str">
        <f>IFERROR(VLOOKUP(I1410,KET!$B:$F,5,0),"")</f>
        <v>GMM</v>
      </c>
      <c r="G1410" s="20">
        <f>IFERROR(INDEX('Kode Outlet dan Target Toko'!$C:$C,MATCH($I1410,'Kode Outlet dan Target Toko'!$E:$E,0)),0)</f>
        <v>211163</v>
      </c>
      <c r="H1410" s="20">
        <f>IFERROR(INDEX('Kode Outlet dan Target Toko'!$D:$D,MATCH($I1410,'Kode Outlet dan Target Toko'!$E:$E,0)),0)</f>
        <v>3703219</v>
      </c>
      <c r="I1410" s="42" t="s">
        <v>52</v>
      </c>
      <c r="J1410" s="56" t="s">
        <v>273</v>
      </c>
      <c r="K1410" s="40" t="s">
        <v>16</v>
      </c>
      <c r="L1410" s="26">
        <v>2900</v>
      </c>
      <c r="M1410" s="26">
        <v>98</v>
      </c>
      <c r="N1410" s="25">
        <f t="shared" si="43"/>
        <v>284200</v>
      </c>
      <c r="O1410" s="56">
        <v>70</v>
      </c>
    </row>
    <row r="1411" spans="1:15" hidden="1" x14ac:dyDescent="0.3">
      <c r="A1411" s="26">
        <v>28</v>
      </c>
      <c r="B1411" s="20" t="str">
        <f t="shared" si="42"/>
        <v>JUL</v>
      </c>
      <c r="C1411" s="21">
        <v>46214</v>
      </c>
      <c r="D1411" s="22" t="str">
        <f t="array" ref="D1411">IFERROR(INDEX('Kode Outlet dan Target Toko'!$A:$A,MATCH($I1411,'Kode Outlet dan Target Toko'!$E:$E,0)),"")</f>
        <v>GRSM 6</v>
      </c>
      <c r="E1411" s="20" t="str">
        <f>IFERROR(VLOOKUP(I1411,KET!$B:$F,4,0),"")</f>
        <v>WINDA</v>
      </c>
      <c r="F1411" s="20" t="str">
        <f>IFERROR(VLOOKUP(I1411,KET!$B:$F,5,0),"")</f>
        <v>GMM</v>
      </c>
      <c r="G1411" s="20">
        <f>IFERROR(INDEX('Kode Outlet dan Target Toko'!$C:$C,MATCH($I1411,'Kode Outlet dan Target Toko'!$E:$E,0)),0)</f>
        <v>211163</v>
      </c>
      <c r="H1411" s="20">
        <f>IFERROR(INDEX('Kode Outlet dan Target Toko'!$D:$D,MATCH($I1411,'Kode Outlet dan Target Toko'!$E:$E,0)),0)</f>
        <v>3703219</v>
      </c>
      <c r="I1411" s="42" t="s">
        <v>52</v>
      </c>
      <c r="J1411" s="56" t="s">
        <v>274</v>
      </c>
      <c r="K1411" s="40" t="s">
        <v>15</v>
      </c>
      <c r="L1411" s="26">
        <v>2900</v>
      </c>
      <c r="M1411" s="26">
        <v>68</v>
      </c>
      <c r="N1411" s="25">
        <f t="shared" si="43"/>
        <v>197200</v>
      </c>
      <c r="O1411" s="56"/>
    </row>
    <row r="1412" spans="1:15" hidden="1" x14ac:dyDescent="0.3">
      <c r="A1412" s="26">
        <v>28</v>
      </c>
      <c r="B1412" s="20" t="str">
        <f t="shared" si="42"/>
        <v>JUL</v>
      </c>
      <c r="C1412" s="21">
        <v>46214</v>
      </c>
      <c r="D1412" s="22" t="str">
        <f t="array" ref="D1412">IFERROR(INDEX('Kode Outlet dan Target Toko'!$A:$A,MATCH($I1412,'Kode Outlet dan Target Toko'!$E:$E,0)),"")</f>
        <v>GRSM 6</v>
      </c>
      <c r="E1412" s="20" t="str">
        <f>IFERROR(VLOOKUP(I1412,KET!$B:$F,4,0),"")</f>
        <v>WINDA</v>
      </c>
      <c r="F1412" s="20" t="str">
        <f>IFERROR(VLOOKUP(I1412,KET!$B:$F,5,0),"")</f>
        <v>GMM</v>
      </c>
      <c r="G1412" s="20">
        <f>IFERROR(INDEX('Kode Outlet dan Target Toko'!$C:$C,MATCH($I1412,'Kode Outlet dan Target Toko'!$E:$E,0)),0)</f>
        <v>211163</v>
      </c>
      <c r="H1412" s="20">
        <f>IFERROR(INDEX('Kode Outlet dan Target Toko'!$D:$D,MATCH($I1412,'Kode Outlet dan Target Toko'!$E:$E,0)),0)</f>
        <v>3703219</v>
      </c>
      <c r="I1412" s="42" t="s">
        <v>52</v>
      </c>
      <c r="J1412" s="56" t="s">
        <v>274</v>
      </c>
      <c r="K1412" s="40" t="s">
        <v>14</v>
      </c>
      <c r="L1412" s="26">
        <v>2900</v>
      </c>
      <c r="M1412" s="26">
        <v>98</v>
      </c>
      <c r="N1412" s="25">
        <f t="shared" si="43"/>
        <v>284200</v>
      </c>
      <c r="O1412" s="56"/>
    </row>
    <row r="1413" spans="1:15" hidden="1" x14ac:dyDescent="0.3">
      <c r="A1413" s="26">
        <v>28</v>
      </c>
      <c r="B1413" s="20" t="str">
        <f t="shared" si="42"/>
        <v>JUL</v>
      </c>
      <c r="C1413" s="21">
        <v>46214</v>
      </c>
      <c r="D1413" s="22" t="str">
        <f t="array" ref="D1413">IFERROR(INDEX('Kode Outlet dan Target Toko'!$A:$A,MATCH($I1413,'Kode Outlet dan Target Toko'!$E:$E,0)),"")</f>
        <v>GRSM 6</v>
      </c>
      <c r="E1413" s="20" t="str">
        <f>IFERROR(VLOOKUP(I1413,KET!$B:$F,4,0),"")</f>
        <v>WINDA</v>
      </c>
      <c r="F1413" s="20" t="str">
        <f>IFERROR(VLOOKUP(I1413,KET!$B:$F,5,0),"")</f>
        <v>GMM</v>
      </c>
      <c r="G1413" s="20">
        <f>IFERROR(INDEX('Kode Outlet dan Target Toko'!$C:$C,MATCH($I1413,'Kode Outlet dan Target Toko'!$E:$E,0)),0)</f>
        <v>211163</v>
      </c>
      <c r="H1413" s="20">
        <f>IFERROR(INDEX('Kode Outlet dan Target Toko'!$D:$D,MATCH($I1413,'Kode Outlet dan Target Toko'!$E:$E,0)),0)</f>
        <v>3703219</v>
      </c>
      <c r="I1413" s="42" t="s">
        <v>52</v>
      </c>
      <c r="J1413" s="56" t="s">
        <v>274</v>
      </c>
      <c r="K1413" s="40" t="s">
        <v>13</v>
      </c>
      <c r="L1413" s="26">
        <v>2900</v>
      </c>
      <c r="M1413" s="26">
        <v>0</v>
      </c>
      <c r="N1413" s="25">
        <f t="shared" si="43"/>
        <v>0</v>
      </c>
      <c r="O1413" s="56"/>
    </row>
    <row r="1414" spans="1:15" hidden="1" x14ac:dyDescent="0.3">
      <c r="A1414" s="26">
        <v>28</v>
      </c>
      <c r="B1414" s="20" t="str">
        <f t="shared" si="42"/>
        <v>JUL</v>
      </c>
      <c r="C1414" s="21">
        <v>46214</v>
      </c>
      <c r="D1414" s="22" t="str">
        <f t="array" ref="D1414">IFERROR(INDEX('Kode Outlet dan Target Toko'!$A:$A,MATCH($I1414,'Kode Outlet dan Target Toko'!$E:$E,0)),"")</f>
        <v>GRSM 6</v>
      </c>
      <c r="E1414" s="20" t="str">
        <f>IFERROR(VLOOKUP(I1414,KET!$B:$F,4,0),"")</f>
        <v>WINDA</v>
      </c>
      <c r="F1414" s="20" t="str">
        <f>IFERROR(VLOOKUP(I1414,KET!$B:$F,5,0),"")</f>
        <v>GMM</v>
      </c>
      <c r="G1414" s="20">
        <f>IFERROR(INDEX('Kode Outlet dan Target Toko'!$C:$C,MATCH($I1414,'Kode Outlet dan Target Toko'!$E:$E,0)),0)</f>
        <v>211163</v>
      </c>
      <c r="H1414" s="20">
        <f>IFERROR(INDEX('Kode Outlet dan Target Toko'!$D:$D,MATCH($I1414,'Kode Outlet dan Target Toko'!$E:$E,0)),0)</f>
        <v>3703219</v>
      </c>
      <c r="I1414" s="42" t="s">
        <v>52</v>
      </c>
      <c r="J1414" s="56" t="s">
        <v>274</v>
      </c>
      <c r="K1414" s="40" t="s">
        <v>16</v>
      </c>
      <c r="L1414" s="26">
        <v>2900</v>
      </c>
      <c r="M1414" s="26">
        <v>98</v>
      </c>
      <c r="N1414" s="25">
        <f t="shared" si="43"/>
        <v>284200</v>
      </c>
      <c r="O1414" s="56">
        <v>70</v>
      </c>
    </row>
    <row r="1415" spans="1:15" hidden="1" x14ac:dyDescent="0.3">
      <c r="A1415" s="26">
        <v>28</v>
      </c>
      <c r="B1415" s="20" t="str">
        <f t="shared" ref="B1415:B1478" si="44">IF(C1415="","",UPPER(TEXT(C1415, "MMM")))</f>
        <v>JUL</v>
      </c>
      <c r="C1415" s="21">
        <v>46214</v>
      </c>
      <c r="D1415" s="22" t="str">
        <f t="array" ref="D1415">IFERROR(INDEX('Kode Outlet dan Target Toko'!$A:$A,MATCH($I1415,'Kode Outlet dan Target Toko'!$E:$E,0)),"")</f>
        <v>GRSM 6</v>
      </c>
      <c r="E1415" s="20" t="str">
        <f>IFERROR(VLOOKUP(I1415,KET!$B:$F,4,0),"")</f>
        <v>WINDA</v>
      </c>
      <c r="F1415" s="20" t="str">
        <f>IFERROR(VLOOKUP(I1415,KET!$B:$F,5,0),"")</f>
        <v>GMM</v>
      </c>
      <c r="G1415" s="20">
        <f>IFERROR(INDEX('Kode Outlet dan Target Toko'!$C:$C,MATCH($I1415,'Kode Outlet dan Target Toko'!$E:$E,0)),0)</f>
        <v>211163</v>
      </c>
      <c r="H1415" s="20">
        <f>IFERROR(INDEX('Kode Outlet dan Target Toko'!$D:$D,MATCH($I1415,'Kode Outlet dan Target Toko'!$E:$E,0)),0)</f>
        <v>3703215</v>
      </c>
      <c r="I1415" s="42" t="s">
        <v>53</v>
      </c>
      <c r="J1415" s="56" t="s">
        <v>275</v>
      </c>
      <c r="K1415" s="40" t="s">
        <v>15</v>
      </c>
      <c r="L1415" s="26">
        <v>5800</v>
      </c>
      <c r="M1415" s="26">
        <v>0</v>
      </c>
      <c r="N1415" s="25">
        <f t="shared" ref="N1415:N1478" si="45">IFERROR(M1415*L1415,"")</f>
        <v>0</v>
      </c>
      <c r="O1415" s="56"/>
    </row>
    <row r="1416" spans="1:15" hidden="1" x14ac:dyDescent="0.3">
      <c r="A1416" s="26">
        <v>28</v>
      </c>
      <c r="B1416" s="20" t="str">
        <f t="shared" si="44"/>
        <v>JUL</v>
      </c>
      <c r="C1416" s="21">
        <v>46214</v>
      </c>
      <c r="D1416" s="22" t="str">
        <f t="array" ref="D1416">IFERROR(INDEX('Kode Outlet dan Target Toko'!$A:$A,MATCH($I1416,'Kode Outlet dan Target Toko'!$E:$E,0)),"")</f>
        <v>GRSM 6</v>
      </c>
      <c r="E1416" s="20" t="str">
        <f>IFERROR(VLOOKUP(I1416,KET!$B:$F,4,0),"")</f>
        <v>WINDA</v>
      </c>
      <c r="F1416" s="20" t="str">
        <f>IFERROR(VLOOKUP(I1416,KET!$B:$F,5,0),"")</f>
        <v>GMM</v>
      </c>
      <c r="G1416" s="20">
        <f>IFERROR(INDEX('Kode Outlet dan Target Toko'!$C:$C,MATCH($I1416,'Kode Outlet dan Target Toko'!$E:$E,0)),0)</f>
        <v>211163</v>
      </c>
      <c r="H1416" s="20">
        <f>IFERROR(INDEX('Kode Outlet dan Target Toko'!$D:$D,MATCH($I1416,'Kode Outlet dan Target Toko'!$E:$E,0)),0)</f>
        <v>3703215</v>
      </c>
      <c r="I1416" s="42" t="s">
        <v>53</v>
      </c>
      <c r="J1416" s="56" t="s">
        <v>275</v>
      </c>
      <c r="K1416" s="40" t="s">
        <v>14</v>
      </c>
      <c r="L1416" s="26">
        <v>5800</v>
      </c>
      <c r="M1416" s="26">
        <v>4</v>
      </c>
      <c r="N1416" s="25">
        <f t="shared" si="45"/>
        <v>23200</v>
      </c>
      <c r="O1416" s="56"/>
    </row>
    <row r="1417" spans="1:15" hidden="1" x14ac:dyDescent="0.3">
      <c r="A1417" s="26">
        <v>28</v>
      </c>
      <c r="B1417" s="20" t="str">
        <f t="shared" si="44"/>
        <v>JUL</v>
      </c>
      <c r="C1417" s="21">
        <v>46214</v>
      </c>
      <c r="D1417" s="22" t="str">
        <f t="array" ref="D1417">IFERROR(INDEX('Kode Outlet dan Target Toko'!$A:$A,MATCH($I1417,'Kode Outlet dan Target Toko'!$E:$E,0)),"")</f>
        <v>GRSM 6</v>
      </c>
      <c r="E1417" s="20" t="str">
        <f>IFERROR(VLOOKUP(I1417,KET!$B:$F,4,0),"")</f>
        <v>WINDA</v>
      </c>
      <c r="F1417" s="20" t="str">
        <f>IFERROR(VLOOKUP(I1417,KET!$B:$F,5,0),"")</f>
        <v>GMM</v>
      </c>
      <c r="G1417" s="20">
        <f>IFERROR(INDEX('Kode Outlet dan Target Toko'!$C:$C,MATCH($I1417,'Kode Outlet dan Target Toko'!$E:$E,0)),0)</f>
        <v>211163</v>
      </c>
      <c r="H1417" s="20">
        <f>IFERROR(INDEX('Kode Outlet dan Target Toko'!$D:$D,MATCH($I1417,'Kode Outlet dan Target Toko'!$E:$E,0)),0)</f>
        <v>3703215</v>
      </c>
      <c r="I1417" s="42" t="s">
        <v>53</v>
      </c>
      <c r="J1417" s="56" t="s">
        <v>275</v>
      </c>
      <c r="K1417" s="40" t="s">
        <v>13</v>
      </c>
      <c r="L1417" s="26">
        <v>5800</v>
      </c>
      <c r="M1417" s="26">
        <v>2</v>
      </c>
      <c r="N1417" s="25">
        <f t="shared" si="45"/>
        <v>11600</v>
      </c>
      <c r="O1417" s="56"/>
    </row>
    <row r="1418" spans="1:15" hidden="1" x14ac:dyDescent="0.3">
      <c r="A1418" s="26">
        <v>28</v>
      </c>
      <c r="B1418" s="20" t="str">
        <f t="shared" si="44"/>
        <v>JUL</v>
      </c>
      <c r="C1418" s="21">
        <v>46214</v>
      </c>
      <c r="D1418" s="22" t="str">
        <f t="array" ref="D1418">IFERROR(INDEX('Kode Outlet dan Target Toko'!$A:$A,MATCH($I1418,'Kode Outlet dan Target Toko'!$E:$E,0)),"")</f>
        <v>GRSM 6</v>
      </c>
      <c r="E1418" s="20" t="str">
        <f>IFERROR(VLOOKUP(I1418,KET!$B:$F,4,0),"")</f>
        <v>WINDA</v>
      </c>
      <c r="F1418" s="20" t="str">
        <f>IFERROR(VLOOKUP(I1418,KET!$B:$F,5,0),"")</f>
        <v>GMM</v>
      </c>
      <c r="G1418" s="20">
        <f>IFERROR(INDEX('Kode Outlet dan Target Toko'!$C:$C,MATCH($I1418,'Kode Outlet dan Target Toko'!$E:$E,0)),0)</f>
        <v>211163</v>
      </c>
      <c r="H1418" s="20">
        <f>IFERROR(INDEX('Kode Outlet dan Target Toko'!$D:$D,MATCH($I1418,'Kode Outlet dan Target Toko'!$E:$E,0)),0)</f>
        <v>3703215</v>
      </c>
      <c r="I1418" s="42" t="s">
        <v>53</v>
      </c>
      <c r="J1418" s="56" t="s">
        <v>275</v>
      </c>
      <c r="K1418" s="40" t="s">
        <v>16</v>
      </c>
      <c r="L1418" s="26">
        <v>5800</v>
      </c>
      <c r="M1418" s="26">
        <v>72</v>
      </c>
      <c r="N1418" s="25">
        <f t="shared" si="45"/>
        <v>417600</v>
      </c>
      <c r="O1418" s="56">
        <v>30</v>
      </c>
    </row>
    <row r="1419" spans="1:15" hidden="1" x14ac:dyDescent="0.3">
      <c r="A1419" s="26">
        <v>28</v>
      </c>
      <c r="B1419" s="20" t="str">
        <f t="shared" si="44"/>
        <v>JUL</v>
      </c>
      <c r="C1419" s="21">
        <v>46214</v>
      </c>
      <c r="D1419" s="22" t="str">
        <f t="array" ref="D1419">IFERROR(INDEX('Kode Outlet dan Target Toko'!$A:$A,MATCH($I1419,'Kode Outlet dan Target Toko'!$E:$E,0)),"")</f>
        <v>GRSM 6</v>
      </c>
      <c r="E1419" s="20" t="str">
        <f>IFERROR(VLOOKUP(I1419,KET!$B:$F,4,0),"")</f>
        <v>WINDA</v>
      </c>
      <c r="F1419" s="20" t="str">
        <f>IFERROR(VLOOKUP(I1419,KET!$B:$F,5,0),"")</f>
        <v>GMM</v>
      </c>
      <c r="G1419" s="20">
        <f>IFERROR(INDEX('Kode Outlet dan Target Toko'!$C:$C,MATCH($I1419,'Kode Outlet dan Target Toko'!$E:$E,0)),0)</f>
        <v>211163</v>
      </c>
      <c r="H1419" s="20">
        <f>IFERROR(INDEX('Kode Outlet dan Target Toko'!$D:$D,MATCH($I1419,'Kode Outlet dan Target Toko'!$E:$E,0)),0)</f>
        <v>3703215</v>
      </c>
      <c r="I1419" s="42" t="s">
        <v>53</v>
      </c>
      <c r="J1419" s="56" t="s">
        <v>276</v>
      </c>
      <c r="K1419" s="40" t="s">
        <v>15</v>
      </c>
      <c r="L1419" s="26">
        <v>5800</v>
      </c>
      <c r="M1419" s="26">
        <v>0</v>
      </c>
      <c r="N1419" s="25">
        <f t="shared" si="45"/>
        <v>0</v>
      </c>
      <c r="O1419" s="56"/>
    </row>
    <row r="1420" spans="1:15" hidden="1" x14ac:dyDescent="0.3">
      <c r="A1420" s="26">
        <v>28</v>
      </c>
      <c r="B1420" s="20" t="str">
        <f t="shared" si="44"/>
        <v>JUL</v>
      </c>
      <c r="C1420" s="21">
        <v>46214</v>
      </c>
      <c r="D1420" s="22" t="str">
        <f t="array" ref="D1420">IFERROR(INDEX('Kode Outlet dan Target Toko'!$A:$A,MATCH($I1420,'Kode Outlet dan Target Toko'!$E:$E,0)),"")</f>
        <v>GRSM 6</v>
      </c>
      <c r="E1420" s="20" t="str">
        <f>IFERROR(VLOOKUP(I1420,KET!$B:$F,4,0),"")</f>
        <v>WINDA</v>
      </c>
      <c r="F1420" s="20" t="str">
        <f>IFERROR(VLOOKUP(I1420,KET!$B:$F,5,0),"")</f>
        <v>GMM</v>
      </c>
      <c r="G1420" s="20">
        <f>IFERROR(INDEX('Kode Outlet dan Target Toko'!$C:$C,MATCH($I1420,'Kode Outlet dan Target Toko'!$E:$E,0)),0)</f>
        <v>211163</v>
      </c>
      <c r="H1420" s="20">
        <f>IFERROR(INDEX('Kode Outlet dan Target Toko'!$D:$D,MATCH($I1420,'Kode Outlet dan Target Toko'!$E:$E,0)),0)</f>
        <v>3703215</v>
      </c>
      <c r="I1420" s="42" t="s">
        <v>53</v>
      </c>
      <c r="J1420" s="56" t="s">
        <v>276</v>
      </c>
      <c r="K1420" s="40" t="s">
        <v>14</v>
      </c>
      <c r="L1420" s="26">
        <v>5800</v>
      </c>
      <c r="M1420" s="26">
        <v>4</v>
      </c>
      <c r="N1420" s="25">
        <f t="shared" si="45"/>
        <v>23200</v>
      </c>
      <c r="O1420" s="56"/>
    </row>
    <row r="1421" spans="1:15" hidden="1" x14ac:dyDescent="0.3">
      <c r="A1421" s="26">
        <v>28</v>
      </c>
      <c r="B1421" s="20" t="str">
        <f t="shared" si="44"/>
        <v>JUL</v>
      </c>
      <c r="C1421" s="21">
        <v>46214</v>
      </c>
      <c r="D1421" s="22" t="str">
        <f t="array" ref="D1421">IFERROR(INDEX('Kode Outlet dan Target Toko'!$A:$A,MATCH($I1421,'Kode Outlet dan Target Toko'!$E:$E,0)),"")</f>
        <v>GRSM 6</v>
      </c>
      <c r="E1421" s="20" t="str">
        <f>IFERROR(VLOOKUP(I1421,KET!$B:$F,4,0),"")</f>
        <v>WINDA</v>
      </c>
      <c r="F1421" s="20" t="str">
        <f>IFERROR(VLOOKUP(I1421,KET!$B:$F,5,0),"")</f>
        <v>GMM</v>
      </c>
      <c r="G1421" s="20">
        <f>IFERROR(INDEX('Kode Outlet dan Target Toko'!$C:$C,MATCH($I1421,'Kode Outlet dan Target Toko'!$E:$E,0)),0)</f>
        <v>211163</v>
      </c>
      <c r="H1421" s="20">
        <f>IFERROR(INDEX('Kode Outlet dan Target Toko'!$D:$D,MATCH($I1421,'Kode Outlet dan Target Toko'!$E:$E,0)),0)</f>
        <v>3703215</v>
      </c>
      <c r="I1421" s="42" t="s">
        <v>53</v>
      </c>
      <c r="J1421" s="56" t="s">
        <v>276</v>
      </c>
      <c r="K1421" s="40" t="s">
        <v>13</v>
      </c>
      <c r="L1421" s="26">
        <v>5800</v>
      </c>
      <c r="M1421" s="26">
        <v>2</v>
      </c>
      <c r="N1421" s="25">
        <f t="shared" si="45"/>
        <v>11600</v>
      </c>
      <c r="O1421" s="56"/>
    </row>
    <row r="1422" spans="1:15" hidden="1" x14ac:dyDescent="0.3">
      <c r="A1422" s="26">
        <v>28</v>
      </c>
      <c r="B1422" s="20" t="str">
        <f t="shared" si="44"/>
        <v>JUL</v>
      </c>
      <c r="C1422" s="21">
        <v>46214</v>
      </c>
      <c r="D1422" s="22" t="str">
        <f t="array" ref="D1422">IFERROR(INDEX('Kode Outlet dan Target Toko'!$A:$A,MATCH($I1422,'Kode Outlet dan Target Toko'!$E:$E,0)),"")</f>
        <v>GRSM 6</v>
      </c>
      <c r="E1422" s="20" t="str">
        <f>IFERROR(VLOOKUP(I1422,KET!$B:$F,4,0),"")</f>
        <v>WINDA</v>
      </c>
      <c r="F1422" s="20" t="str">
        <f>IFERROR(VLOOKUP(I1422,KET!$B:$F,5,0),"")</f>
        <v>GMM</v>
      </c>
      <c r="G1422" s="20">
        <f>IFERROR(INDEX('Kode Outlet dan Target Toko'!$C:$C,MATCH($I1422,'Kode Outlet dan Target Toko'!$E:$E,0)),0)</f>
        <v>211163</v>
      </c>
      <c r="H1422" s="20">
        <f>IFERROR(INDEX('Kode Outlet dan Target Toko'!$D:$D,MATCH($I1422,'Kode Outlet dan Target Toko'!$E:$E,0)),0)</f>
        <v>3703215</v>
      </c>
      <c r="I1422" s="42" t="s">
        <v>53</v>
      </c>
      <c r="J1422" s="56" t="s">
        <v>276</v>
      </c>
      <c r="K1422" s="40" t="s">
        <v>16</v>
      </c>
      <c r="L1422" s="26">
        <v>5800</v>
      </c>
      <c r="M1422" s="26">
        <v>72</v>
      </c>
      <c r="N1422" s="25">
        <f t="shared" si="45"/>
        <v>417600</v>
      </c>
      <c r="O1422" s="56">
        <v>30</v>
      </c>
    </row>
    <row r="1423" spans="1:15" hidden="1" x14ac:dyDescent="0.3">
      <c r="A1423" s="26">
        <v>28</v>
      </c>
      <c r="B1423" s="20" t="str">
        <f t="shared" si="44"/>
        <v>JUL</v>
      </c>
      <c r="C1423" s="21">
        <v>46214</v>
      </c>
      <c r="D1423" s="22" t="str">
        <f t="array" ref="D1423">IFERROR(INDEX('Kode Outlet dan Target Toko'!$A:$A,MATCH($I1423,'Kode Outlet dan Target Toko'!$E:$E,0)),"")</f>
        <v>GRSM 6</v>
      </c>
      <c r="E1423" s="20" t="str">
        <f>IFERROR(VLOOKUP(I1423,KET!$B:$F,4,0),"")</f>
        <v>WINDA</v>
      </c>
      <c r="F1423" s="20" t="str">
        <f>IFERROR(VLOOKUP(I1423,KET!$B:$F,5,0),"")</f>
        <v>GMM</v>
      </c>
      <c r="G1423" s="20">
        <f>IFERROR(INDEX('Kode Outlet dan Target Toko'!$C:$C,MATCH($I1423,'Kode Outlet dan Target Toko'!$E:$E,0)),0)</f>
        <v>103765</v>
      </c>
      <c r="H1423" s="20">
        <f>IFERROR(INDEX('Kode Outlet dan Target Toko'!$D:$D,MATCH($I1423,'Kode Outlet dan Target Toko'!$E:$E,0)),0)</f>
        <v>4305267</v>
      </c>
      <c r="I1423" s="42" t="s">
        <v>54</v>
      </c>
      <c r="J1423" s="56" t="s">
        <v>277</v>
      </c>
      <c r="K1423" s="40" t="s">
        <v>15</v>
      </c>
      <c r="L1423" s="26">
        <v>3000</v>
      </c>
      <c r="M1423" s="26">
        <v>168</v>
      </c>
      <c r="N1423" s="25">
        <f t="shared" si="45"/>
        <v>504000</v>
      </c>
      <c r="O1423" s="56"/>
    </row>
    <row r="1424" spans="1:15" hidden="1" x14ac:dyDescent="0.3">
      <c r="A1424" s="26">
        <v>28</v>
      </c>
      <c r="B1424" s="20" t="str">
        <f t="shared" si="44"/>
        <v>JUL</v>
      </c>
      <c r="C1424" s="21">
        <v>46214</v>
      </c>
      <c r="D1424" s="22" t="str">
        <f t="array" ref="D1424">IFERROR(INDEX('Kode Outlet dan Target Toko'!$A:$A,MATCH($I1424,'Kode Outlet dan Target Toko'!$E:$E,0)),"")</f>
        <v>GRSM 6</v>
      </c>
      <c r="E1424" s="20" t="str">
        <f>IFERROR(VLOOKUP(I1424,KET!$B:$F,4,0),"")</f>
        <v>WINDA</v>
      </c>
      <c r="F1424" s="20" t="str">
        <f>IFERROR(VLOOKUP(I1424,KET!$B:$F,5,0),"")</f>
        <v>GMM</v>
      </c>
      <c r="G1424" s="20">
        <f>IFERROR(INDEX('Kode Outlet dan Target Toko'!$C:$C,MATCH($I1424,'Kode Outlet dan Target Toko'!$E:$E,0)),0)</f>
        <v>103765</v>
      </c>
      <c r="H1424" s="20">
        <f>IFERROR(INDEX('Kode Outlet dan Target Toko'!$D:$D,MATCH($I1424,'Kode Outlet dan Target Toko'!$E:$E,0)),0)</f>
        <v>4305267</v>
      </c>
      <c r="I1424" s="42" t="s">
        <v>54</v>
      </c>
      <c r="J1424" s="56" t="s">
        <v>277</v>
      </c>
      <c r="K1424" s="40" t="s">
        <v>14</v>
      </c>
      <c r="L1424" s="26">
        <v>3000</v>
      </c>
      <c r="M1424" s="26">
        <v>80</v>
      </c>
      <c r="N1424" s="25">
        <f t="shared" si="45"/>
        <v>240000</v>
      </c>
      <c r="O1424" s="56"/>
    </row>
    <row r="1425" spans="1:15" hidden="1" x14ac:dyDescent="0.3">
      <c r="A1425" s="26">
        <v>28</v>
      </c>
      <c r="B1425" s="20" t="str">
        <f t="shared" si="44"/>
        <v>JUL</v>
      </c>
      <c r="C1425" s="21">
        <v>46214</v>
      </c>
      <c r="D1425" s="22" t="str">
        <f t="array" ref="D1425">IFERROR(INDEX('Kode Outlet dan Target Toko'!$A:$A,MATCH($I1425,'Kode Outlet dan Target Toko'!$E:$E,0)),"")</f>
        <v>GRSM 6</v>
      </c>
      <c r="E1425" s="20" t="str">
        <f>IFERROR(VLOOKUP(I1425,KET!$B:$F,4,0),"")</f>
        <v>WINDA</v>
      </c>
      <c r="F1425" s="20" t="str">
        <f>IFERROR(VLOOKUP(I1425,KET!$B:$F,5,0),"")</f>
        <v>GMM</v>
      </c>
      <c r="G1425" s="20">
        <f>IFERROR(INDEX('Kode Outlet dan Target Toko'!$C:$C,MATCH($I1425,'Kode Outlet dan Target Toko'!$E:$E,0)),0)</f>
        <v>103765</v>
      </c>
      <c r="H1425" s="20">
        <f>IFERROR(INDEX('Kode Outlet dan Target Toko'!$D:$D,MATCH($I1425,'Kode Outlet dan Target Toko'!$E:$E,0)),0)</f>
        <v>4305267</v>
      </c>
      <c r="I1425" s="42" t="s">
        <v>54</v>
      </c>
      <c r="J1425" s="56" t="s">
        <v>277</v>
      </c>
      <c r="K1425" s="40" t="s">
        <v>13</v>
      </c>
      <c r="L1425" s="26">
        <v>3000</v>
      </c>
      <c r="M1425" s="26">
        <v>150</v>
      </c>
      <c r="N1425" s="25">
        <f t="shared" si="45"/>
        <v>450000</v>
      </c>
      <c r="O1425" s="56"/>
    </row>
    <row r="1426" spans="1:15" hidden="1" x14ac:dyDescent="0.3">
      <c r="A1426" s="26">
        <v>28</v>
      </c>
      <c r="B1426" s="20" t="str">
        <f t="shared" si="44"/>
        <v>JUL</v>
      </c>
      <c r="C1426" s="21">
        <v>46214</v>
      </c>
      <c r="D1426" s="22" t="str">
        <f t="array" ref="D1426">IFERROR(INDEX('Kode Outlet dan Target Toko'!$A:$A,MATCH($I1426,'Kode Outlet dan Target Toko'!$E:$E,0)),"")</f>
        <v>GRSM 6</v>
      </c>
      <c r="E1426" s="20" t="str">
        <f>IFERROR(VLOOKUP(I1426,KET!$B:$F,4,0),"")</f>
        <v>WINDA</v>
      </c>
      <c r="F1426" s="20" t="str">
        <f>IFERROR(VLOOKUP(I1426,KET!$B:$F,5,0),"")</f>
        <v>GMM</v>
      </c>
      <c r="G1426" s="20">
        <f>IFERROR(INDEX('Kode Outlet dan Target Toko'!$C:$C,MATCH($I1426,'Kode Outlet dan Target Toko'!$E:$E,0)),0)</f>
        <v>103765</v>
      </c>
      <c r="H1426" s="20">
        <f>IFERROR(INDEX('Kode Outlet dan Target Toko'!$D:$D,MATCH($I1426,'Kode Outlet dan Target Toko'!$E:$E,0)),0)</f>
        <v>4305267</v>
      </c>
      <c r="I1426" s="42" t="s">
        <v>54</v>
      </c>
      <c r="J1426" s="56" t="s">
        <v>277</v>
      </c>
      <c r="K1426" s="40" t="s">
        <v>16</v>
      </c>
      <c r="L1426" s="26">
        <v>3000</v>
      </c>
      <c r="M1426" s="26">
        <v>120</v>
      </c>
      <c r="N1426" s="25">
        <f t="shared" si="45"/>
        <v>360000</v>
      </c>
      <c r="O1426" s="56">
        <v>100</v>
      </c>
    </row>
    <row r="1427" spans="1:15" hidden="1" x14ac:dyDescent="0.3">
      <c r="A1427" s="26">
        <v>28</v>
      </c>
      <c r="B1427" s="20" t="str">
        <f t="shared" si="44"/>
        <v>JUL</v>
      </c>
      <c r="C1427" s="21">
        <v>46214</v>
      </c>
      <c r="D1427" s="22" t="str">
        <f t="array" ref="D1427">IFERROR(INDEX('Kode Outlet dan Target Toko'!$A:$A,MATCH($I1427,'Kode Outlet dan Target Toko'!$E:$E,0)),"")</f>
        <v>GRSM 6</v>
      </c>
      <c r="E1427" s="20" t="str">
        <f>IFERROR(VLOOKUP(I1427,KET!$B:$F,4,0),"")</f>
        <v>WINDA</v>
      </c>
      <c r="F1427" s="20" t="str">
        <f>IFERROR(VLOOKUP(I1427,KET!$B:$F,5,0),"")</f>
        <v>GMM</v>
      </c>
      <c r="G1427" s="20">
        <f>IFERROR(INDEX('Kode Outlet dan Target Toko'!$C:$C,MATCH($I1427,'Kode Outlet dan Target Toko'!$E:$E,0)),0)</f>
        <v>103765</v>
      </c>
      <c r="H1427" s="20">
        <f>IFERROR(INDEX('Kode Outlet dan Target Toko'!$D:$D,MATCH($I1427,'Kode Outlet dan Target Toko'!$E:$E,0)),0)</f>
        <v>4305267</v>
      </c>
      <c r="I1427" s="42" t="s">
        <v>54</v>
      </c>
      <c r="J1427" s="56" t="s">
        <v>278</v>
      </c>
      <c r="K1427" s="40" t="s">
        <v>15</v>
      </c>
      <c r="L1427" s="26">
        <v>3000</v>
      </c>
      <c r="M1427" s="26">
        <v>168</v>
      </c>
      <c r="N1427" s="25">
        <f t="shared" si="45"/>
        <v>504000</v>
      </c>
      <c r="O1427" s="56"/>
    </row>
    <row r="1428" spans="1:15" hidden="1" x14ac:dyDescent="0.3">
      <c r="A1428" s="26">
        <v>28</v>
      </c>
      <c r="B1428" s="20" t="str">
        <f t="shared" si="44"/>
        <v>JUL</v>
      </c>
      <c r="C1428" s="21">
        <v>46214</v>
      </c>
      <c r="D1428" s="22" t="str">
        <f t="array" ref="D1428">IFERROR(INDEX('Kode Outlet dan Target Toko'!$A:$A,MATCH($I1428,'Kode Outlet dan Target Toko'!$E:$E,0)),"")</f>
        <v>GRSM 6</v>
      </c>
      <c r="E1428" s="20" t="str">
        <f>IFERROR(VLOOKUP(I1428,KET!$B:$F,4,0),"")</f>
        <v>WINDA</v>
      </c>
      <c r="F1428" s="20" t="str">
        <f>IFERROR(VLOOKUP(I1428,KET!$B:$F,5,0),"")</f>
        <v>GMM</v>
      </c>
      <c r="G1428" s="20">
        <f>IFERROR(INDEX('Kode Outlet dan Target Toko'!$C:$C,MATCH($I1428,'Kode Outlet dan Target Toko'!$E:$E,0)),0)</f>
        <v>103765</v>
      </c>
      <c r="H1428" s="20">
        <f>IFERROR(INDEX('Kode Outlet dan Target Toko'!$D:$D,MATCH($I1428,'Kode Outlet dan Target Toko'!$E:$E,0)),0)</f>
        <v>4305267</v>
      </c>
      <c r="I1428" s="42" t="s">
        <v>54</v>
      </c>
      <c r="J1428" s="56" t="s">
        <v>278</v>
      </c>
      <c r="K1428" s="40" t="s">
        <v>14</v>
      </c>
      <c r="L1428" s="26">
        <v>3000</v>
      </c>
      <c r="M1428" s="26">
        <v>80</v>
      </c>
      <c r="N1428" s="25">
        <f t="shared" si="45"/>
        <v>240000</v>
      </c>
      <c r="O1428" s="56"/>
    </row>
    <row r="1429" spans="1:15" hidden="1" x14ac:dyDescent="0.3">
      <c r="A1429" s="26">
        <v>28</v>
      </c>
      <c r="B1429" s="20" t="str">
        <f t="shared" si="44"/>
        <v>JUL</v>
      </c>
      <c r="C1429" s="21">
        <v>46214</v>
      </c>
      <c r="D1429" s="22" t="str">
        <f t="array" ref="D1429">IFERROR(INDEX('Kode Outlet dan Target Toko'!$A:$A,MATCH($I1429,'Kode Outlet dan Target Toko'!$E:$E,0)),"")</f>
        <v>GRSM 6</v>
      </c>
      <c r="E1429" s="20" t="str">
        <f>IFERROR(VLOOKUP(I1429,KET!$B:$F,4,0),"")</f>
        <v>WINDA</v>
      </c>
      <c r="F1429" s="20" t="str">
        <f>IFERROR(VLOOKUP(I1429,KET!$B:$F,5,0),"")</f>
        <v>GMM</v>
      </c>
      <c r="G1429" s="20">
        <f>IFERROR(INDEX('Kode Outlet dan Target Toko'!$C:$C,MATCH($I1429,'Kode Outlet dan Target Toko'!$E:$E,0)),0)</f>
        <v>103765</v>
      </c>
      <c r="H1429" s="20">
        <f>IFERROR(INDEX('Kode Outlet dan Target Toko'!$D:$D,MATCH($I1429,'Kode Outlet dan Target Toko'!$E:$E,0)),0)</f>
        <v>4305267</v>
      </c>
      <c r="I1429" s="42" t="s">
        <v>54</v>
      </c>
      <c r="J1429" s="56" t="s">
        <v>278</v>
      </c>
      <c r="K1429" s="40" t="s">
        <v>13</v>
      </c>
      <c r="L1429" s="26">
        <v>3000</v>
      </c>
      <c r="M1429" s="26">
        <v>150</v>
      </c>
      <c r="N1429" s="25">
        <f t="shared" si="45"/>
        <v>450000</v>
      </c>
      <c r="O1429" s="56"/>
    </row>
    <row r="1430" spans="1:15" hidden="1" x14ac:dyDescent="0.3">
      <c r="A1430" s="26">
        <v>28</v>
      </c>
      <c r="B1430" s="20" t="str">
        <f t="shared" si="44"/>
        <v>JUL</v>
      </c>
      <c r="C1430" s="21">
        <v>46214</v>
      </c>
      <c r="D1430" s="22" t="str">
        <f t="array" ref="D1430">IFERROR(INDEX('Kode Outlet dan Target Toko'!$A:$A,MATCH($I1430,'Kode Outlet dan Target Toko'!$E:$E,0)),"")</f>
        <v>GRSM 6</v>
      </c>
      <c r="E1430" s="20" t="str">
        <f>IFERROR(VLOOKUP(I1430,KET!$B:$F,4,0),"")</f>
        <v>WINDA</v>
      </c>
      <c r="F1430" s="20" t="str">
        <f>IFERROR(VLOOKUP(I1430,KET!$B:$F,5,0),"")</f>
        <v>GMM</v>
      </c>
      <c r="G1430" s="20">
        <f>IFERROR(INDEX('Kode Outlet dan Target Toko'!$C:$C,MATCH($I1430,'Kode Outlet dan Target Toko'!$E:$E,0)),0)</f>
        <v>103765</v>
      </c>
      <c r="H1430" s="20">
        <f>IFERROR(INDEX('Kode Outlet dan Target Toko'!$D:$D,MATCH($I1430,'Kode Outlet dan Target Toko'!$E:$E,0)),0)</f>
        <v>4305267</v>
      </c>
      <c r="I1430" s="42" t="s">
        <v>54</v>
      </c>
      <c r="J1430" s="56" t="s">
        <v>278</v>
      </c>
      <c r="K1430" s="40" t="s">
        <v>16</v>
      </c>
      <c r="L1430" s="26">
        <v>3000</v>
      </c>
      <c r="M1430" s="26">
        <v>120</v>
      </c>
      <c r="N1430" s="25">
        <f t="shared" si="45"/>
        <v>360000</v>
      </c>
      <c r="O1430" s="56">
        <v>100</v>
      </c>
    </row>
    <row r="1431" spans="1:15" hidden="1" x14ac:dyDescent="0.3">
      <c r="A1431" s="26">
        <v>28</v>
      </c>
      <c r="B1431" s="20" t="str">
        <f t="shared" si="44"/>
        <v>JUL</v>
      </c>
      <c r="C1431" s="21">
        <v>46215</v>
      </c>
      <c r="D1431" s="22" t="str">
        <f t="array" ref="D1431">IFERROR(INDEX('Kode Outlet dan Target Toko'!$A:$A,MATCH($I1431,'Kode Outlet dan Target Toko'!$E:$E,0)),"")</f>
        <v>GRSM 6</v>
      </c>
      <c r="E1431" s="20" t="str">
        <f>IFERROR(VLOOKUP(I1431,KET!$B:$F,4,0),"")</f>
        <v>WINDA</v>
      </c>
      <c r="F1431" s="20" t="str">
        <f>IFERROR(VLOOKUP(I1431,KET!$B:$F,5,0),"")</f>
        <v>GMM</v>
      </c>
      <c r="G1431" s="20">
        <f>IFERROR(INDEX('Kode Outlet dan Target Toko'!$C:$C,MATCH($I1431,'Kode Outlet dan Target Toko'!$E:$E,0)),0)</f>
        <v>211033</v>
      </c>
      <c r="H1431" s="20">
        <f>IFERROR(INDEX('Kode Outlet dan Target Toko'!$D:$D,MATCH($I1431,'Kode Outlet dan Target Toko'!$E:$E,0)),0)</f>
        <v>6467246</v>
      </c>
      <c r="I1431" s="42" t="s">
        <v>50</v>
      </c>
      <c r="J1431" s="56" t="s">
        <v>271</v>
      </c>
      <c r="K1431" s="40" t="s">
        <v>15</v>
      </c>
      <c r="L1431" s="26">
        <v>2900</v>
      </c>
      <c r="M1431" s="26">
        <v>81</v>
      </c>
      <c r="N1431" s="25">
        <f t="shared" si="45"/>
        <v>234900</v>
      </c>
      <c r="O1431" s="56"/>
    </row>
    <row r="1432" spans="1:15" hidden="1" x14ac:dyDescent="0.3">
      <c r="A1432" s="26">
        <v>28</v>
      </c>
      <c r="B1432" s="20" t="str">
        <f t="shared" si="44"/>
        <v>JUL</v>
      </c>
      <c r="C1432" s="21">
        <v>46215</v>
      </c>
      <c r="D1432" s="22" t="str">
        <f t="array" ref="D1432">IFERROR(INDEX('Kode Outlet dan Target Toko'!$A:$A,MATCH($I1432,'Kode Outlet dan Target Toko'!$E:$E,0)),"")</f>
        <v>GRSM 6</v>
      </c>
      <c r="E1432" s="20" t="str">
        <f>IFERROR(VLOOKUP(I1432,KET!$B:$F,4,0),"")</f>
        <v>WINDA</v>
      </c>
      <c r="F1432" s="20" t="str">
        <f>IFERROR(VLOOKUP(I1432,KET!$B:$F,5,0),"")</f>
        <v>GMM</v>
      </c>
      <c r="G1432" s="20">
        <f>IFERROR(INDEX('Kode Outlet dan Target Toko'!$C:$C,MATCH($I1432,'Kode Outlet dan Target Toko'!$E:$E,0)),0)</f>
        <v>211033</v>
      </c>
      <c r="H1432" s="20">
        <f>IFERROR(INDEX('Kode Outlet dan Target Toko'!$D:$D,MATCH($I1432,'Kode Outlet dan Target Toko'!$E:$E,0)),0)</f>
        <v>6467246</v>
      </c>
      <c r="I1432" s="42" t="s">
        <v>50</v>
      </c>
      <c r="J1432" s="56" t="s">
        <v>271</v>
      </c>
      <c r="K1432" s="40" t="s">
        <v>14</v>
      </c>
      <c r="L1432" s="26">
        <v>2900</v>
      </c>
      <c r="M1432" s="26">
        <v>142</v>
      </c>
      <c r="N1432" s="25">
        <f t="shared" si="45"/>
        <v>411800</v>
      </c>
      <c r="O1432" s="56"/>
    </row>
    <row r="1433" spans="1:15" hidden="1" x14ac:dyDescent="0.3">
      <c r="A1433" s="26">
        <v>28</v>
      </c>
      <c r="B1433" s="20" t="str">
        <f t="shared" si="44"/>
        <v>JUL</v>
      </c>
      <c r="C1433" s="21">
        <v>46215</v>
      </c>
      <c r="D1433" s="22" t="str">
        <f t="array" ref="D1433">IFERROR(INDEX('Kode Outlet dan Target Toko'!$A:$A,MATCH($I1433,'Kode Outlet dan Target Toko'!$E:$E,0)),"")</f>
        <v>GRSM 6</v>
      </c>
      <c r="E1433" s="20" t="str">
        <f>IFERROR(VLOOKUP(I1433,KET!$B:$F,4,0),"")</f>
        <v>WINDA</v>
      </c>
      <c r="F1433" s="20" t="str">
        <f>IFERROR(VLOOKUP(I1433,KET!$B:$F,5,0),"")</f>
        <v>GMM</v>
      </c>
      <c r="G1433" s="20">
        <f>IFERROR(INDEX('Kode Outlet dan Target Toko'!$C:$C,MATCH($I1433,'Kode Outlet dan Target Toko'!$E:$E,0)),0)</f>
        <v>211033</v>
      </c>
      <c r="H1433" s="20">
        <f>IFERROR(INDEX('Kode Outlet dan Target Toko'!$D:$D,MATCH($I1433,'Kode Outlet dan Target Toko'!$E:$E,0)),0)</f>
        <v>6467246</v>
      </c>
      <c r="I1433" s="42" t="s">
        <v>50</v>
      </c>
      <c r="J1433" s="56" t="s">
        <v>271</v>
      </c>
      <c r="K1433" s="40" t="s">
        <v>13</v>
      </c>
      <c r="L1433" s="26">
        <v>2900</v>
      </c>
      <c r="M1433" s="26">
        <v>54</v>
      </c>
      <c r="N1433" s="25">
        <f t="shared" si="45"/>
        <v>156600</v>
      </c>
      <c r="O1433" s="56"/>
    </row>
    <row r="1434" spans="1:15" hidden="1" x14ac:dyDescent="0.3">
      <c r="A1434" s="26">
        <v>28</v>
      </c>
      <c r="B1434" s="20" t="str">
        <f t="shared" si="44"/>
        <v>JUL</v>
      </c>
      <c r="C1434" s="21">
        <v>46215</v>
      </c>
      <c r="D1434" s="22" t="str">
        <f t="array" ref="D1434">IFERROR(INDEX('Kode Outlet dan Target Toko'!$A:$A,MATCH($I1434,'Kode Outlet dan Target Toko'!$E:$E,0)),"")</f>
        <v>GRSM 6</v>
      </c>
      <c r="E1434" s="20" t="str">
        <f>IFERROR(VLOOKUP(I1434,KET!$B:$F,4,0),"")</f>
        <v>WINDA</v>
      </c>
      <c r="F1434" s="20" t="str">
        <f>IFERROR(VLOOKUP(I1434,KET!$B:$F,5,0),"")</f>
        <v>GMM</v>
      </c>
      <c r="G1434" s="20">
        <f>IFERROR(INDEX('Kode Outlet dan Target Toko'!$C:$C,MATCH($I1434,'Kode Outlet dan Target Toko'!$E:$E,0)),0)</f>
        <v>211033</v>
      </c>
      <c r="H1434" s="20">
        <f>IFERROR(INDEX('Kode Outlet dan Target Toko'!$D:$D,MATCH($I1434,'Kode Outlet dan Target Toko'!$E:$E,0)),0)</f>
        <v>6467246</v>
      </c>
      <c r="I1434" s="42" t="s">
        <v>50</v>
      </c>
      <c r="J1434" s="56" t="s">
        <v>271</v>
      </c>
      <c r="K1434" s="40" t="s">
        <v>16</v>
      </c>
      <c r="L1434" s="26">
        <v>2900</v>
      </c>
      <c r="M1434" s="26">
        <v>184</v>
      </c>
      <c r="N1434" s="25">
        <f t="shared" si="45"/>
        <v>533600</v>
      </c>
      <c r="O1434" s="56">
        <v>160</v>
      </c>
    </row>
    <row r="1435" spans="1:15" hidden="1" x14ac:dyDescent="0.3">
      <c r="A1435" s="26">
        <v>28</v>
      </c>
      <c r="B1435" s="20" t="str">
        <f t="shared" si="44"/>
        <v>JUL</v>
      </c>
      <c r="C1435" s="21">
        <v>46215</v>
      </c>
      <c r="D1435" s="22" t="str">
        <f t="array" ref="D1435">IFERROR(INDEX('Kode Outlet dan Target Toko'!$A:$A,MATCH($I1435,'Kode Outlet dan Target Toko'!$E:$E,0)),"")</f>
        <v>GRSM 6</v>
      </c>
      <c r="E1435" s="20" t="str">
        <f>IFERROR(VLOOKUP(I1435,KET!$B:$F,4,0),"")</f>
        <v>WINDA</v>
      </c>
      <c r="F1435" s="20" t="str">
        <f>IFERROR(VLOOKUP(I1435,KET!$B:$F,5,0),"")</f>
        <v>GMM</v>
      </c>
      <c r="G1435" s="20">
        <f>IFERROR(INDEX('Kode Outlet dan Target Toko'!$C:$C,MATCH($I1435,'Kode Outlet dan Target Toko'!$E:$E,0)),0)</f>
        <v>211033</v>
      </c>
      <c r="H1435" s="20">
        <f>IFERROR(INDEX('Kode Outlet dan Target Toko'!$D:$D,MATCH($I1435,'Kode Outlet dan Target Toko'!$E:$E,0)),0)</f>
        <v>6467246</v>
      </c>
      <c r="I1435" s="42" t="s">
        <v>50</v>
      </c>
      <c r="J1435" s="56" t="s">
        <v>272</v>
      </c>
      <c r="K1435" s="40" t="s">
        <v>15</v>
      </c>
      <c r="L1435" s="26">
        <v>2900</v>
      </c>
      <c r="M1435" s="26">
        <v>81</v>
      </c>
      <c r="N1435" s="25">
        <f t="shared" si="45"/>
        <v>234900</v>
      </c>
      <c r="O1435" s="56"/>
    </row>
    <row r="1436" spans="1:15" hidden="1" x14ac:dyDescent="0.3">
      <c r="A1436" s="26">
        <v>28</v>
      </c>
      <c r="B1436" s="20" t="str">
        <f t="shared" si="44"/>
        <v>JUL</v>
      </c>
      <c r="C1436" s="21">
        <v>46215</v>
      </c>
      <c r="D1436" s="22" t="str">
        <f t="array" ref="D1436">IFERROR(INDEX('Kode Outlet dan Target Toko'!$A:$A,MATCH($I1436,'Kode Outlet dan Target Toko'!$E:$E,0)),"")</f>
        <v>GRSM 6</v>
      </c>
      <c r="E1436" s="20" t="str">
        <f>IFERROR(VLOOKUP(I1436,KET!$B:$F,4,0),"")</f>
        <v>WINDA</v>
      </c>
      <c r="F1436" s="20" t="str">
        <f>IFERROR(VLOOKUP(I1436,KET!$B:$F,5,0),"")</f>
        <v>GMM</v>
      </c>
      <c r="G1436" s="20">
        <f>IFERROR(INDEX('Kode Outlet dan Target Toko'!$C:$C,MATCH($I1436,'Kode Outlet dan Target Toko'!$E:$E,0)),0)</f>
        <v>211033</v>
      </c>
      <c r="H1436" s="20">
        <f>IFERROR(INDEX('Kode Outlet dan Target Toko'!$D:$D,MATCH($I1436,'Kode Outlet dan Target Toko'!$E:$E,0)),0)</f>
        <v>6467246</v>
      </c>
      <c r="I1436" s="42" t="s">
        <v>50</v>
      </c>
      <c r="J1436" s="56" t="s">
        <v>272</v>
      </c>
      <c r="K1436" s="40" t="s">
        <v>14</v>
      </c>
      <c r="L1436" s="26">
        <v>2900</v>
      </c>
      <c r="M1436" s="26">
        <v>142</v>
      </c>
      <c r="N1436" s="25">
        <f t="shared" si="45"/>
        <v>411800</v>
      </c>
      <c r="O1436" s="56"/>
    </row>
    <row r="1437" spans="1:15" hidden="1" x14ac:dyDescent="0.3">
      <c r="A1437" s="26">
        <v>28</v>
      </c>
      <c r="B1437" s="20" t="str">
        <f t="shared" si="44"/>
        <v>JUL</v>
      </c>
      <c r="C1437" s="21">
        <v>46215</v>
      </c>
      <c r="D1437" s="22" t="str">
        <f t="array" ref="D1437">IFERROR(INDEX('Kode Outlet dan Target Toko'!$A:$A,MATCH($I1437,'Kode Outlet dan Target Toko'!$E:$E,0)),"")</f>
        <v>GRSM 6</v>
      </c>
      <c r="E1437" s="20" t="str">
        <f>IFERROR(VLOOKUP(I1437,KET!$B:$F,4,0),"")</f>
        <v>WINDA</v>
      </c>
      <c r="F1437" s="20" t="str">
        <f>IFERROR(VLOOKUP(I1437,KET!$B:$F,5,0),"")</f>
        <v>GMM</v>
      </c>
      <c r="G1437" s="20">
        <f>IFERROR(INDEX('Kode Outlet dan Target Toko'!$C:$C,MATCH($I1437,'Kode Outlet dan Target Toko'!$E:$E,0)),0)</f>
        <v>211033</v>
      </c>
      <c r="H1437" s="20">
        <f>IFERROR(INDEX('Kode Outlet dan Target Toko'!$D:$D,MATCH($I1437,'Kode Outlet dan Target Toko'!$E:$E,0)),0)</f>
        <v>6467246</v>
      </c>
      <c r="I1437" s="42" t="s">
        <v>50</v>
      </c>
      <c r="J1437" s="56" t="s">
        <v>272</v>
      </c>
      <c r="K1437" s="40" t="s">
        <v>13</v>
      </c>
      <c r="L1437" s="26">
        <v>2900</v>
      </c>
      <c r="M1437" s="26">
        <v>54</v>
      </c>
      <c r="N1437" s="25">
        <f t="shared" si="45"/>
        <v>156600</v>
      </c>
      <c r="O1437" s="56"/>
    </row>
    <row r="1438" spans="1:15" hidden="1" x14ac:dyDescent="0.3">
      <c r="A1438" s="26">
        <v>28</v>
      </c>
      <c r="B1438" s="20" t="str">
        <f t="shared" si="44"/>
        <v>JUL</v>
      </c>
      <c r="C1438" s="21">
        <v>46215</v>
      </c>
      <c r="D1438" s="22" t="str">
        <f t="array" ref="D1438">IFERROR(INDEX('Kode Outlet dan Target Toko'!$A:$A,MATCH($I1438,'Kode Outlet dan Target Toko'!$E:$E,0)),"")</f>
        <v>GRSM 6</v>
      </c>
      <c r="E1438" s="20" t="str">
        <f>IFERROR(VLOOKUP(I1438,KET!$B:$F,4,0),"")</f>
        <v>WINDA</v>
      </c>
      <c r="F1438" s="20" t="str">
        <f>IFERROR(VLOOKUP(I1438,KET!$B:$F,5,0),"")</f>
        <v>GMM</v>
      </c>
      <c r="G1438" s="20">
        <f>IFERROR(INDEX('Kode Outlet dan Target Toko'!$C:$C,MATCH($I1438,'Kode Outlet dan Target Toko'!$E:$E,0)),0)</f>
        <v>211033</v>
      </c>
      <c r="H1438" s="20">
        <f>IFERROR(INDEX('Kode Outlet dan Target Toko'!$D:$D,MATCH($I1438,'Kode Outlet dan Target Toko'!$E:$E,0)),0)</f>
        <v>6467246</v>
      </c>
      <c r="I1438" s="42" t="s">
        <v>50</v>
      </c>
      <c r="J1438" s="56" t="s">
        <v>272</v>
      </c>
      <c r="K1438" s="40" t="s">
        <v>16</v>
      </c>
      <c r="L1438" s="26">
        <v>2900</v>
      </c>
      <c r="M1438" s="26">
        <v>184</v>
      </c>
      <c r="N1438" s="25">
        <f t="shared" si="45"/>
        <v>533600</v>
      </c>
      <c r="O1438" s="56">
        <v>160</v>
      </c>
    </row>
    <row r="1439" spans="1:15" hidden="1" x14ac:dyDescent="0.3">
      <c r="A1439" s="26">
        <v>28</v>
      </c>
      <c r="B1439" s="20" t="str">
        <f t="shared" si="44"/>
        <v>JUL</v>
      </c>
      <c r="C1439" s="21">
        <v>46215</v>
      </c>
      <c r="D1439" s="22" t="str">
        <f t="array" ref="D1439">IFERROR(INDEX('Kode Outlet dan Target Toko'!$A:$A,MATCH($I1439,'Kode Outlet dan Target Toko'!$E:$E,0)),"")</f>
        <v>GRSM 6</v>
      </c>
      <c r="E1439" s="20" t="str">
        <f>IFERROR(VLOOKUP(I1439,KET!$B:$F,4,0),"")</f>
        <v>WINDA</v>
      </c>
      <c r="F1439" s="20" t="str">
        <f>IFERROR(VLOOKUP(I1439,KET!$B:$F,5,0),"")</f>
        <v>GMM</v>
      </c>
      <c r="G1439" s="20">
        <f>IFERROR(INDEX('Kode Outlet dan Target Toko'!$C:$C,MATCH($I1439,'Kode Outlet dan Target Toko'!$E:$E,0)),0)</f>
        <v>103765</v>
      </c>
      <c r="H1439" s="20">
        <f>IFERROR(INDEX('Kode Outlet dan Target Toko'!$D:$D,MATCH($I1439,'Kode Outlet dan Target Toko'!$E:$E,0)),0)</f>
        <v>4307038</v>
      </c>
      <c r="I1439" s="42" t="s">
        <v>48</v>
      </c>
      <c r="J1439" s="56" t="s">
        <v>269</v>
      </c>
      <c r="K1439" s="40" t="s">
        <v>15</v>
      </c>
      <c r="L1439" s="26">
        <v>2000</v>
      </c>
      <c r="M1439" s="26">
        <v>171</v>
      </c>
      <c r="N1439" s="25">
        <f t="shared" si="45"/>
        <v>342000</v>
      </c>
      <c r="O1439" s="56"/>
    </row>
    <row r="1440" spans="1:15" hidden="1" x14ac:dyDescent="0.3">
      <c r="A1440" s="26">
        <v>28</v>
      </c>
      <c r="B1440" s="20" t="str">
        <f t="shared" si="44"/>
        <v>JUL</v>
      </c>
      <c r="C1440" s="21">
        <v>46215</v>
      </c>
      <c r="D1440" s="22" t="str">
        <f t="array" ref="D1440">IFERROR(INDEX('Kode Outlet dan Target Toko'!$A:$A,MATCH($I1440,'Kode Outlet dan Target Toko'!$E:$E,0)),"")</f>
        <v>GRSM 6</v>
      </c>
      <c r="E1440" s="20" t="str">
        <f>IFERROR(VLOOKUP(I1440,KET!$B:$F,4,0),"")</f>
        <v>WINDA</v>
      </c>
      <c r="F1440" s="20" t="str">
        <f>IFERROR(VLOOKUP(I1440,KET!$B:$F,5,0),"")</f>
        <v>GMM</v>
      </c>
      <c r="G1440" s="20">
        <f>IFERROR(INDEX('Kode Outlet dan Target Toko'!$C:$C,MATCH($I1440,'Kode Outlet dan Target Toko'!$E:$E,0)),0)</f>
        <v>103765</v>
      </c>
      <c r="H1440" s="20">
        <f>IFERROR(INDEX('Kode Outlet dan Target Toko'!$D:$D,MATCH($I1440,'Kode Outlet dan Target Toko'!$E:$E,0)),0)</f>
        <v>4307038</v>
      </c>
      <c r="I1440" s="42" t="s">
        <v>48</v>
      </c>
      <c r="J1440" s="56" t="s">
        <v>269</v>
      </c>
      <c r="K1440" s="40" t="s">
        <v>14</v>
      </c>
      <c r="L1440" s="26">
        <v>2000</v>
      </c>
      <c r="M1440" s="26">
        <v>159</v>
      </c>
      <c r="N1440" s="25">
        <f t="shared" si="45"/>
        <v>318000</v>
      </c>
      <c r="O1440" s="56"/>
    </row>
    <row r="1441" spans="1:15" hidden="1" x14ac:dyDescent="0.3">
      <c r="A1441" s="26">
        <v>28</v>
      </c>
      <c r="B1441" s="20" t="str">
        <f t="shared" si="44"/>
        <v>JUL</v>
      </c>
      <c r="C1441" s="21">
        <v>46215</v>
      </c>
      <c r="D1441" s="22" t="str">
        <f t="array" ref="D1441">IFERROR(INDEX('Kode Outlet dan Target Toko'!$A:$A,MATCH($I1441,'Kode Outlet dan Target Toko'!$E:$E,0)),"")</f>
        <v>GRSM 6</v>
      </c>
      <c r="E1441" s="20" t="str">
        <f>IFERROR(VLOOKUP(I1441,KET!$B:$F,4,0),"")</f>
        <v>WINDA</v>
      </c>
      <c r="F1441" s="20" t="str">
        <f>IFERROR(VLOOKUP(I1441,KET!$B:$F,5,0),"")</f>
        <v>GMM</v>
      </c>
      <c r="G1441" s="20">
        <f>IFERROR(INDEX('Kode Outlet dan Target Toko'!$C:$C,MATCH($I1441,'Kode Outlet dan Target Toko'!$E:$E,0)),0)</f>
        <v>103765</v>
      </c>
      <c r="H1441" s="20">
        <f>IFERROR(INDEX('Kode Outlet dan Target Toko'!$D:$D,MATCH($I1441,'Kode Outlet dan Target Toko'!$E:$E,0)),0)</f>
        <v>4307038</v>
      </c>
      <c r="I1441" s="42" t="s">
        <v>48</v>
      </c>
      <c r="J1441" s="56" t="s">
        <v>269</v>
      </c>
      <c r="K1441" s="40" t="s">
        <v>13</v>
      </c>
      <c r="L1441" s="26">
        <v>2000</v>
      </c>
      <c r="M1441" s="26">
        <v>165</v>
      </c>
      <c r="N1441" s="25">
        <f t="shared" si="45"/>
        <v>330000</v>
      </c>
      <c r="O1441" s="56"/>
    </row>
    <row r="1442" spans="1:15" hidden="1" x14ac:dyDescent="0.3">
      <c r="A1442" s="26">
        <v>28</v>
      </c>
      <c r="B1442" s="20" t="str">
        <f t="shared" si="44"/>
        <v>JUL</v>
      </c>
      <c r="C1442" s="21">
        <v>46215</v>
      </c>
      <c r="D1442" s="22" t="str">
        <f t="array" ref="D1442">IFERROR(INDEX('Kode Outlet dan Target Toko'!$A:$A,MATCH($I1442,'Kode Outlet dan Target Toko'!$E:$E,0)),"")</f>
        <v>GRSM 6</v>
      </c>
      <c r="E1442" s="20" t="str">
        <f>IFERROR(VLOOKUP(I1442,KET!$B:$F,4,0),"")</f>
        <v>WINDA</v>
      </c>
      <c r="F1442" s="20" t="str">
        <f>IFERROR(VLOOKUP(I1442,KET!$B:$F,5,0),"")</f>
        <v>GMM</v>
      </c>
      <c r="G1442" s="20">
        <f>IFERROR(INDEX('Kode Outlet dan Target Toko'!$C:$C,MATCH($I1442,'Kode Outlet dan Target Toko'!$E:$E,0)),0)</f>
        <v>103765</v>
      </c>
      <c r="H1442" s="20">
        <f>IFERROR(INDEX('Kode Outlet dan Target Toko'!$D:$D,MATCH($I1442,'Kode Outlet dan Target Toko'!$E:$E,0)),0)</f>
        <v>4307038</v>
      </c>
      <c r="I1442" s="42" t="s">
        <v>48</v>
      </c>
      <c r="J1442" s="56" t="s">
        <v>269</v>
      </c>
      <c r="K1442" s="40" t="s">
        <v>16</v>
      </c>
      <c r="L1442" s="26">
        <v>2000</v>
      </c>
      <c r="M1442" s="26">
        <v>150</v>
      </c>
      <c r="N1442" s="25">
        <f t="shared" si="45"/>
        <v>300000</v>
      </c>
      <c r="O1442" s="56">
        <v>130</v>
      </c>
    </row>
    <row r="1443" spans="1:15" hidden="1" x14ac:dyDescent="0.3">
      <c r="A1443" s="26">
        <v>28</v>
      </c>
      <c r="B1443" s="20" t="str">
        <f t="shared" si="44"/>
        <v>JUL</v>
      </c>
      <c r="C1443" s="21">
        <v>46215</v>
      </c>
      <c r="D1443" s="22" t="str">
        <f t="array" ref="D1443">IFERROR(INDEX('Kode Outlet dan Target Toko'!$A:$A,MATCH($I1443,'Kode Outlet dan Target Toko'!$E:$E,0)),"")</f>
        <v>GRSM 6</v>
      </c>
      <c r="E1443" s="20" t="str">
        <f>IFERROR(VLOOKUP(I1443,KET!$B:$F,4,0),"")</f>
        <v>WINDA</v>
      </c>
      <c r="F1443" s="20" t="str">
        <f>IFERROR(VLOOKUP(I1443,KET!$B:$F,5,0),"")</f>
        <v>GMM</v>
      </c>
      <c r="G1443" s="20">
        <f>IFERROR(INDEX('Kode Outlet dan Target Toko'!$C:$C,MATCH($I1443,'Kode Outlet dan Target Toko'!$E:$E,0)),0)</f>
        <v>103765</v>
      </c>
      <c r="H1443" s="20">
        <f>IFERROR(INDEX('Kode Outlet dan Target Toko'!$D:$D,MATCH($I1443,'Kode Outlet dan Target Toko'!$E:$E,0)),0)</f>
        <v>4307038</v>
      </c>
      <c r="I1443" s="42" t="s">
        <v>48</v>
      </c>
      <c r="J1443" s="56" t="s">
        <v>270</v>
      </c>
      <c r="K1443" s="40" t="s">
        <v>15</v>
      </c>
      <c r="L1443" s="26">
        <v>2000</v>
      </c>
      <c r="M1443" s="26">
        <v>171</v>
      </c>
      <c r="N1443" s="25">
        <f t="shared" si="45"/>
        <v>342000</v>
      </c>
      <c r="O1443" s="56"/>
    </row>
    <row r="1444" spans="1:15" hidden="1" x14ac:dyDescent="0.3">
      <c r="A1444" s="26">
        <v>28</v>
      </c>
      <c r="B1444" s="20" t="str">
        <f t="shared" si="44"/>
        <v>JUL</v>
      </c>
      <c r="C1444" s="21">
        <v>46215</v>
      </c>
      <c r="D1444" s="22" t="str">
        <f t="array" ref="D1444">IFERROR(INDEX('Kode Outlet dan Target Toko'!$A:$A,MATCH($I1444,'Kode Outlet dan Target Toko'!$E:$E,0)),"")</f>
        <v>GRSM 6</v>
      </c>
      <c r="E1444" s="20" t="str">
        <f>IFERROR(VLOOKUP(I1444,KET!$B:$F,4,0),"")</f>
        <v>WINDA</v>
      </c>
      <c r="F1444" s="20" t="str">
        <f>IFERROR(VLOOKUP(I1444,KET!$B:$F,5,0),"")</f>
        <v>GMM</v>
      </c>
      <c r="G1444" s="20">
        <f>IFERROR(INDEX('Kode Outlet dan Target Toko'!$C:$C,MATCH($I1444,'Kode Outlet dan Target Toko'!$E:$E,0)),0)</f>
        <v>103765</v>
      </c>
      <c r="H1444" s="20">
        <f>IFERROR(INDEX('Kode Outlet dan Target Toko'!$D:$D,MATCH($I1444,'Kode Outlet dan Target Toko'!$E:$E,0)),0)</f>
        <v>4307038</v>
      </c>
      <c r="I1444" s="42" t="s">
        <v>48</v>
      </c>
      <c r="J1444" s="56" t="s">
        <v>270</v>
      </c>
      <c r="K1444" s="40" t="s">
        <v>14</v>
      </c>
      <c r="L1444" s="26">
        <v>2000</v>
      </c>
      <c r="M1444" s="26">
        <v>159</v>
      </c>
      <c r="N1444" s="25">
        <f t="shared" si="45"/>
        <v>318000</v>
      </c>
      <c r="O1444" s="56"/>
    </row>
    <row r="1445" spans="1:15" hidden="1" x14ac:dyDescent="0.3">
      <c r="A1445" s="26">
        <v>28</v>
      </c>
      <c r="B1445" s="20" t="str">
        <f t="shared" si="44"/>
        <v>JUL</v>
      </c>
      <c r="C1445" s="21">
        <v>46215</v>
      </c>
      <c r="D1445" s="22" t="str">
        <f t="array" ref="D1445">IFERROR(INDEX('Kode Outlet dan Target Toko'!$A:$A,MATCH($I1445,'Kode Outlet dan Target Toko'!$E:$E,0)),"")</f>
        <v>GRSM 6</v>
      </c>
      <c r="E1445" s="20" t="str">
        <f>IFERROR(VLOOKUP(I1445,KET!$B:$F,4,0),"")</f>
        <v>WINDA</v>
      </c>
      <c r="F1445" s="20" t="str">
        <f>IFERROR(VLOOKUP(I1445,KET!$B:$F,5,0),"")</f>
        <v>GMM</v>
      </c>
      <c r="G1445" s="20">
        <f>IFERROR(INDEX('Kode Outlet dan Target Toko'!$C:$C,MATCH($I1445,'Kode Outlet dan Target Toko'!$E:$E,0)),0)</f>
        <v>103765</v>
      </c>
      <c r="H1445" s="20">
        <f>IFERROR(INDEX('Kode Outlet dan Target Toko'!$D:$D,MATCH($I1445,'Kode Outlet dan Target Toko'!$E:$E,0)),0)</f>
        <v>4307038</v>
      </c>
      <c r="I1445" s="42" t="s">
        <v>48</v>
      </c>
      <c r="J1445" s="56" t="s">
        <v>270</v>
      </c>
      <c r="K1445" s="40" t="s">
        <v>13</v>
      </c>
      <c r="L1445" s="26">
        <v>2000</v>
      </c>
      <c r="M1445" s="26">
        <v>165</v>
      </c>
      <c r="N1445" s="25">
        <f t="shared" si="45"/>
        <v>330000</v>
      </c>
      <c r="O1445" s="56"/>
    </row>
    <row r="1446" spans="1:15" hidden="1" x14ac:dyDescent="0.3">
      <c r="A1446" s="26">
        <v>28</v>
      </c>
      <c r="B1446" s="20" t="str">
        <f t="shared" si="44"/>
        <v>JUL</v>
      </c>
      <c r="C1446" s="21">
        <v>46215</v>
      </c>
      <c r="D1446" s="22" t="str">
        <f t="array" ref="D1446">IFERROR(INDEX('Kode Outlet dan Target Toko'!$A:$A,MATCH($I1446,'Kode Outlet dan Target Toko'!$E:$E,0)),"")</f>
        <v>GRSM 6</v>
      </c>
      <c r="E1446" s="20" t="str">
        <f>IFERROR(VLOOKUP(I1446,KET!$B:$F,4,0),"")</f>
        <v>WINDA</v>
      </c>
      <c r="F1446" s="20" t="str">
        <f>IFERROR(VLOOKUP(I1446,KET!$B:$F,5,0),"")</f>
        <v>GMM</v>
      </c>
      <c r="G1446" s="20">
        <f>IFERROR(INDEX('Kode Outlet dan Target Toko'!$C:$C,MATCH($I1446,'Kode Outlet dan Target Toko'!$E:$E,0)),0)</f>
        <v>103765</v>
      </c>
      <c r="H1446" s="20">
        <f>IFERROR(INDEX('Kode Outlet dan Target Toko'!$D:$D,MATCH($I1446,'Kode Outlet dan Target Toko'!$E:$E,0)),0)</f>
        <v>4307038</v>
      </c>
      <c r="I1446" s="42" t="s">
        <v>48</v>
      </c>
      <c r="J1446" s="56" t="s">
        <v>270</v>
      </c>
      <c r="K1446" s="40" t="s">
        <v>16</v>
      </c>
      <c r="L1446" s="26">
        <v>2000</v>
      </c>
      <c r="M1446" s="26">
        <v>150</v>
      </c>
      <c r="N1446" s="25">
        <f t="shared" si="45"/>
        <v>300000</v>
      </c>
      <c r="O1446" s="56">
        <v>130</v>
      </c>
    </row>
    <row r="1447" spans="1:15" hidden="1" x14ac:dyDescent="0.3">
      <c r="A1447" s="26">
        <v>28</v>
      </c>
      <c r="B1447" s="20" t="str">
        <f t="shared" si="44"/>
        <v>JUL</v>
      </c>
      <c r="C1447" s="21">
        <v>46215</v>
      </c>
      <c r="D1447" s="22" t="str">
        <f t="array" ref="D1447">IFERROR(INDEX('Kode Outlet dan Target Toko'!$A:$A,MATCH($I1447,'Kode Outlet dan Target Toko'!$E:$E,0)),"")</f>
        <v>GRSM 6</v>
      </c>
      <c r="E1447" s="20" t="str">
        <f>IFERROR(VLOOKUP(I1447,KET!$B:$F,4,0),"")</f>
        <v>WINDA</v>
      </c>
      <c r="F1447" s="20" t="str">
        <f>IFERROR(VLOOKUP(I1447,KET!$B:$F,5,0),"")</f>
        <v>GMM</v>
      </c>
      <c r="G1447" s="20">
        <f>IFERROR(INDEX('Kode Outlet dan Target Toko'!$C:$C,MATCH($I1447,'Kode Outlet dan Target Toko'!$E:$E,0)),0)</f>
        <v>211163</v>
      </c>
      <c r="H1447" s="20">
        <f>IFERROR(INDEX('Kode Outlet dan Target Toko'!$D:$D,MATCH($I1447,'Kode Outlet dan Target Toko'!$E:$E,0)),0)</f>
        <v>3703219</v>
      </c>
      <c r="I1447" s="42" t="s">
        <v>52</v>
      </c>
      <c r="J1447" s="56" t="s">
        <v>273</v>
      </c>
      <c r="K1447" s="40" t="s">
        <v>15</v>
      </c>
      <c r="L1447" s="26">
        <v>2900</v>
      </c>
      <c r="M1447" s="26">
        <v>132</v>
      </c>
      <c r="N1447" s="25">
        <f t="shared" si="45"/>
        <v>382800</v>
      </c>
      <c r="O1447" s="56"/>
    </row>
    <row r="1448" spans="1:15" hidden="1" x14ac:dyDescent="0.3">
      <c r="A1448" s="26">
        <v>28</v>
      </c>
      <c r="B1448" s="20" t="str">
        <f t="shared" si="44"/>
        <v>JUL</v>
      </c>
      <c r="C1448" s="21">
        <v>46215</v>
      </c>
      <c r="D1448" s="22" t="str">
        <f t="array" ref="D1448">IFERROR(INDEX('Kode Outlet dan Target Toko'!$A:$A,MATCH($I1448,'Kode Outlet dan Target Toko'!$E:$E,0)),"")</f>
        <v>GRSM 6</v>
      </c>
      <c r="E1448" s="20" t="str">
        <f>IFERROR(VLOOKUP(I1448,KET!$B:$F,4,0),"")</f>
        <v>WINDA</v>
      </c>
      <c r="F1448" s="20" t="str">
        <f>IFERROR(VLOOKUP(I1448,KET!$B:$F,5,0),"")</f>
        <v>GMM</v>
      </c>
      <c r="G1448" s="20">
        <f>IFERROR(INDEX('Kode Outlet dan Target Toko'!$C:$C,MATCH($I1448,'Kode Outlet dan Target Toko'!$E:$E,0)),0)</f>
        <v>211163</v>
      </c>
      <c r="H1448" s="20">
        <f>IFERROR(INDEX('Kode Outlet dan Target Toko'!$D:$D,MATCH($I1448,'Kode Outlet dan Target Toko'!$E:$E,0)),0)</f>
        <v>3703219</v>
      </c>
      <c r="I1448" s="42" t="s">
        <v>52</v>
      </c>
      <c r="J1448" s="56" t="s">
        <v>273</v>
      </c>
      <c r="K1448" s="40" t="s">
        <v>14</v>
      </c>
      <c r="L1448" s="26">
        <v>2900</v>
      </c>
      <c r="M1448" s="26">
        <v>156</v>
      </c>
      <c r="N1448" s="25">
        <f t="shared" si="45"/>
        <v>452400</v>
      </c>
      <c r="O1448" s="56"/>
    </row>
    <row r="1449" spans="1:15" hidden="1" x14ac:dyDescent="0.3">
      <c r="A1449" s="26">
        <v>28</v>
      </c>
      <c r="B1449" s="20" t="str">
        <f t="shared" si="44"/>
        <v>JUL</v>
      </c>
      <c r="C1449" s="21">
        <v>46215</v>
      </c>
      <c r="D1449" s="22" t="str">
        <f t="array" ref="D1449">IFERROR(INDEX('Kode Outlet dan Target Toko'!$A:$A,MATCH($I1449,'Kode Outlet dan Target Toko'!$E:$E,0)),"")</f>
        <v>GRSM 6</v>
      </c>
      <c r="E1449" s="20" t="str">
        <f>IFERROR(VLOOKUP(I1449,KET!$B:$F,4,0),"")</f>
        <v>WINDA</v>
      </c>
      <c r="F1449" s="20" t="str">
        <f>IFERROR(VLOOKUP(I1449,KET!$B:$F,5,0),"")</f>
        <v>GMM</v>
      </c>
      <c r="G1449" s="20">
        <f>IFERROR(INDEX('Kode Outlet dan Target Toko'!$C:$C,MATCH($I1449,'Kode Outlet dan Target Toko'!$E:$E,0)),0)</f>
        <v>211163</v>
      </c>
      <c r="H1449" s="20">
        <f>IFERROR(INDEX('Kode Outlet dan Target Toko'!$D:$D,MATCH($I1449,'Kode Outlet dan Target Toko'!$E:$E,0)),0)</f>
        <v>3703219</v>
      </c>
      <c r="I1449" s="42" t="s">
        <v>52</v>
      </c>
      <c r="J1449" s="56" t="s">
        <v>273</v>
      </c>
      <c r="K1449" s="40" t="s">
        <v>13</v>
      </c>
      <c r="L1449" s="26">
        <v>2900</v>
      </c>
      <c r="M1449" s="26">
        <v>0</v>
      </c>
      <c r="N1449" s="25">
        <f t="shared" si="45"/>
        <v>0</v>
      </c>
      <c r="O1449" s="56"/>
    </row>
    <row r="1450" spans="1:15" hidden="1" x14ac:dyDescent="0.3">
      <c r="A1450" s="26">
        <v>28</v>
      </c>
      <c r="B1450" s="20" t="str">
        <f t="shared" si="44"/>
        <v>JUL</v>
      </c>
      <c r="C1450" s="21">
        <v>46215</v>
      </c>
      <c r="D1450" s="22" t="str">
        <f t="array" ref="D1450">IFERROR(INDEX('Kode Outlet dan Target Toko'!$A:$A,MATCH($I1450,'Kode Outlet dan Target Toko'!$E:$E,0)),"")</f>
        <v>GRSM 6</v>
      </c>
      <c r="E1450" s="20" t="str">
        <f>IFERROR(VLOOKUP(I1450,KET!$B:$F,4,0),"")</f>
        <v>WINDA</v>
      </c>
      <c r="F1450" s="20" t="str">
        <f>IFERROR(VLOOKUP(I1450,KET!$B:$F,5,0),"")</f>
        <v>GMM</v>
      </c>
      <c r="G1450" s="20">
        <f>IFERROR(INDEX('Kode Outlet dan Target Toko'!$C:$C,MATCH($I1450,'Kode Outlet dan Target Toko'!$E:$E,0)),0)</f>
        <v>211163</v>
      </c>
      <c r="H1450" s="20">
        <f>IFERROR(INDEX('Kode Outlet dan Target Toko'!$D:$D,MATCH($I1450,'Kode Outlet dan Target Toko'!$E:$E,0)),0)</f>
        <v>3703219</v>
      </c>
      <c r="I1450" s="42" t="s">
        <v>52</v>
      </c>
      <c r="J1450" s="56" t="s">
        <v>273</v>
      </c>
      <c r="K1450" s="40" t="s">
        <v>16</v>
      </c>
      <c r="L1450" s="26">
        <v>2900</v>
      </c>
      <c r="M1450" s="26">
        <v>273</v>
      </c>
      <c r="N1450" s="25">
        <f t="shared" si="45"/>
        <v>791700</v>
      </c>
      <c r="O1450" s="56">
        <v>160</v>
      </c>
    </row>
    <row r="1451" spans="1:15" hidden="1" x14ac:dyDescent="0.3">
      <c r="A1451" s="26">
        <v>28</v>
      </c>
      <c r="B1451" s="20" t="str">
        <f t="shared" si="44"/>
        <v>JUL</v>
      </c>
      <c r="C1451" s="21">
        <v>46215</v>
      </c>
      <c r="D1451" s="22" t="str">
        <f t="array" ref="D1451">IFERROR(INDEX('Kode Outlet dan Target Toko'!$A:$A,MATCH($I1451,'Kode Outlet dan Target Toko'!$E:$E,0)),"")</f>
        <v>GRSM 6</v>
      </c>
      <c r="E1451" s="20" t="str">
        <f>IFERROR(VLOOKUP(I1451,KET!$B:$F,4,0),"")</f>
        <v>WINDA</v>
      </c>
      <c r="F1451" s="20" t="str">
        <f>IFERROR(VLOOKUP(I1451,KET!$B:$F,5,0),"")</f>
        <v>GMM</v>
      </c>
      <c r="G1451" s="20">
        <f>IFERROR(INDEX('Kode Outlet dan Target Toko'!$C:$C,MATCH($I1451,'Kode Outlet dan Target Toko'!$E:$E,0)),0)</f>
        <v>211163</v>
      </c>
      <c r="H1451" s="20">
        <f>IFERROR(INDEX('Kode Outlet dan Target Toko'!$D:$D,MATCH($I1451,'Kode Outlet dan Target Toko'!$E:$E,0)),0)</f>
        <v>3703219</v>
      </c>
      <c r="I1451" s="42" t="s">
        <v>52</v>
      </c>
      <c r="J1451" s="56" t="s">
        <v>274</v>
      </c>
      <c r="K1451" s="40" t="s">
        <v>15</v>
      </c>
      <c r="L1451" s="26">
        <v>2900</v>
      </c>
      <c r="M1451" s="26">
        <v>132</v>
      </c>
      <c r="N1451" s="25">
        <f t="shared" si="45"/>
        <v>382800</v>
      </c>
      <c r="O1451" s="56"/>
    </row>
    <row r="1452" spans="1:15" hidden="1" x14ac:dyDescent="0.3">
      <c r="A1452" s="26">
        <v>28</v>
      </c>
      <c r="B1452" s="20" t="str">
        <f t="shared" si="44"/>
        <v>JUL</v>
      </c>
      <c r="C1452" s="21">
        <v>46215</v>
      </c>
      <c r="D1452" s="22" t="str">
        <f t="array" ref="D1452">IFERROR(INDEX('Kode Outlet dan Target Toko'!$A:$A,MATCH($I1452,'Kode Outlet dan Target Toko'!$E:$E,0)),"")</f>
        <v>GRSM 6</v>
      </c>
      <c r="E1452" s="20" t="str">
        <f>IFERROR(VLOOKUP(I1452,KET!$B:$F,4,0),"")</f>
        <v>WINDA</v>
      </c>
      <c r="F1452" s="20" t="str">
        <f>IFERROR(VLOOKUP(I1452,KET!$B:$F,5,0),"")</f>
        <v>GMM</v>
      </c>
      <c r="G1452" s="20">
        <f>IFERROR(INDEX('Kode Outlet dan Target Toko'!$C:$C,MATCH($I1452,'Kode Outlet dan Target Toko'!$E:$E,0)),0)</f>
        <v>211163</v>
      </c>
      <c r="H1452" s="20">
        <f>IFERROR(INDEX('Kode Outlet dan Target Toko'!$D:$D,MATCH($I1452,'Kode Outlet dan Target Toko'!$E:$E,0)),0)</f>
        <v>3703219</v>
      </c>
      <c r="I1452" s="42" t="s">
        <v>52</v>
      </c>
      <c r="J1452" s="56" t="s">
        <v>274</v>
      </c>
      <c r="K1452" s="40" t="s">
        <v>14</v>
      </c>
      <c r="L1452" s="26">
        <v>2900</v>
      </c>
      <c r="M1452" s="26">
        <v>156</v>
      </c>
      <c r="N1452" s="25">
        <f t="shared" si="45"/>
        <v>452400</v>
      </c>
      <c r="O1452" s="56"/>
    </row>
    <row r="1453" spans="1:15" hidden="1" x14ac:dyDescent="0.3">
      <c r="A1453" s="26">
        <v>28</v>
      </c>
      <c r="B1453" s="20" t="str">
        <f t="shared" si="44"/>
        <v>JUL</v>
      </c>
      <c r="C1453" s="21">
        <v>46215</v>
      </c>
      <c r="D1453" s="22" t="str">
        <f t="array" ref="D1453">IFERROR(INDEX('Kode Outlet dan Target Toko'!$A:$A,MATCH($I1453,'Kode Outlet dan Target Toko'!$E:$E,0)),"")</f>
        <v>GRSM 6</v>
      </c>
      <c r="E1453" s="20" t="str">
        <f>IFERROR(VLOOKUP(I1453,KET!$B:$F,4,0),"")</f>
        <v>WINDA</v>
      </c>
      <c r="F1453" s="20" t="str">
        <f>IFERROR(VLOOKUP(I1453,KET!$B:$F,5,0),"")</f>
        <v>GMM</v>
      </c>
      <c r="G1453" s="20">
        <f>IFERROR(INDEX('Kode Outlet dan Target Toko'!$C:$C,MATCH($I1453,'Kode Outlet dan Target Toko'!$E:$E,0)),0)</f>
        <v>211163</v>
      </c>
      <c r="H1453" s="20">
        <f>IFERROR(INDEX('Kode Outlet dan Target Toko'!$D:$D,MATCH($I1453,'Kode Outlet dan Target Toko'!$E:$E,0)),0)</f>
        <v>3703219</v>
      </c>
      <c r="I1453" s="42" t="s">
        <v>52</v>
      </c>
      <c r="J1453" s="56" t="s">
        <v>274</v>
      </c>
      <c r="K1453" s="40" t="s">
        <v>13</v>
      </c>
      <c r="L1453" s="26">
        <v>2900</v>
      </c>
      <c r="M1453" s="26">
        <v>0</v>
      </c>
      <c r="N1453" s="25">
        <f t="shared" si="45"/>
        <v>0</v>
      </c>
      <c r="O1453" s="56"/>
    </row>
    <row r="1454" spans="1:15" hidden="1" x14ac:dyDescent="0.3">
      <c r="A1454" s="26">
        <v>28</v>
      </c>
      <c r="B1454" s="20" t="str">
        <f t="shared" si="44"/>
        <v>JUL</v>
      </c>
      <c r="C1454" s="21">
        <v>46215</v>
      </c>
      <c r="D1454" s="22" t="str">
        <f t="array" ref="D1454">IFERROR(INDEX('Kode Outlet dan Target Toko'!$A:$A,MATCH($I1454,'Kode Outlet dan Target Toko'!$E:$E,0)),"")</f>
        <v>GRSM 6</v>
      </c>
      <c r="E1454" s="20" t="str">
        <f>IFERROR(VLOOKUP(I1454,KET!$B:$F,4,0),"")</f>
        <v>WINDA</v>
      </c>
      <c r="F1454" s="20" t="str">
        <f>IFERROR(VLOOKUP(I1454,KET!$B:$F,5,0),"")</f>
        <v>GMM</v>
      </c>
      <c r="G1454" s="20">
        <f>IFERROR(INDEX('Kode Outlet dan Target Toko'!$C:$C,MATCH($I1454,'Kode Outlet dan Target Toko'!$E:$E,0)),0)</f>
        <v>211163</v>
      </c>
      <c r="H1454" s="20">
        <f>IFERROR(INDEX('Kode Outlet dan Target Toko'!$D:$D,MATCH($I1454,'Kode Outlet dan Target Toko'!$E:$E,0)),0)</f>
        <v>3703219</v>
      </c>
      <c r="I1454" s="42" t="s">
        <v>52</v>
      </c>
      <c r="J1454" s="56" t="s">
        <v>274</v>
      </c>
      <c r="K1454" s="40" t="s">
        <v>16</v>
      </c>
      <c r="L1454" s="26">
        <v>2900</v>
      </c>
      <c r="M1454" s="26">
        <v>273</v>
      </c>
      <c r="N1454" s="25">
        <f t="shared" si="45"/>
        <v>791700</v>
      </c>
      <c r="O1454" s="56">
        <v>160</v>
      </c>
    </row>
    <row r="1455" spans="1:15" hidden="1" x14ac:dyDescent="0.3">
      <c r="A1455" s="26">
        <v>28</v>
      </c>
      <c r="B1455" s="20" t="str">
        <f t="shared" si="44"/>
        <v>JUL</v>
      </c>
      <c r="C1455" s="21">
        <v>46215</v>
      </c>
      <c r="D1455" s="22" t="str">
        <f t="array" ref="D1455">IFERROR(INDEX('Kode Outlet dan Target Toko'!$A:$A,MATCH($I1455,'Kode Outlet dan Target Toko'!$E:$E,0)),"")</f>
        <v>GRSM 6</v>
      </c>
      <c r="E1455" s="20" t="str">
        <f>IFERROR(VLOOKUP(I1455,KET!$B:$F,4,0),"")</f>
        <v>WINDA</v>
      </c>
      <c r="F1455" s="20" t="str">
        <f>IFERROR(VLOOKUP(I1455,KET!$B:$F,5,0),"")</f>
        <v>GMM</v>
      </c>
      <c r="G1455" s="20">
        <f>IFERROR(INDEX('Kode Outlet dan Target Toko'!$C:$C,MATCH($I1455,'Kode Outlet dan Target Toko'!$E:$E,0)),0)</f>
        <v>103765</v>
      </c>
      <c r="H1455" s="20">
        <f>IFERROR(INDEX('Kode Outlet dan Target Toko'!$D:$D,MATCH($I1455,'Kode Outlet dan Target Toko'!$E:$E,0)),0)</f>
        <v>4305267</v>
      </c>
      <c r="I1455" s="42" t="s">
        <v>54</v>
      </c>
      <c r="J1455" s="56" t="s">
        <v>277</v>
      </c>
      <c r="K1455" s="40" t="s">
        <v>15</v>
      </c>
      <c r="L1455" s="26">
        <v>3000</v>
      </c>
      <c r="M1455" s="26">
        <v>40</v>
      </c>
      <c r="N1455" s="25">
        <f t="shared" si="45"/>
        <v>120000</v>
      </c>
      <c r="O1455" s="56"/>
    </row>
    <row r="1456" spans="1:15" hidden="1" x14ac:dyDescent="0.3">
      <c r="A1456" s="26">
        <v>28</v>
      </c>
      <c r="B1456" s="20" t="str">
        <f t="shared" si="44"/>
        <v>JUL</v>
      </c>
      <c r="C1456" s="21">
        <v>46215</v>
      </c>
      <c r="D1456" s="22" t="str">
        <f t="array" ref="D1456">IFERROR(INDEX('Kode Outlet dan Target Toko'!$A:$A,MATCH($I1456,'Kode Outlet dan Target Toko'!$E:$E,0)),"")</f>
        <v>GRSM 6</v>
      </c>
      <c r="E1456" s="20" t="str">
        <f>IFERROR(VLOOKUP(I1456,KET!$B:$F,4,0),"")</f>
        <v>WINDA</v>
      </c>
      <c r="F1456" s="20" t="str">
        <f>IFERROR(VLOOKUP(I1456,KET!$B:$F,5,0),"")</f>
        <v>GMM</v>
      </c>
      <c r="G1456" s="20">
        <f>IFERROR(INDEX('Kode Outlet dan Target Toko'!$C:$C,MATCH($I1456,'Kode Outlet dan Target Toko'!$E:$E,0)),0)</f>
        <v>103765</v>
      </c>
      <c r="H1456" s="20">
        <f>IFERROR(INDEX('Kode Outlet dan Target Toko'!$D:$D,MATCH($I1456,'Kode Outlet dan Target Toko'!$E:$E,0)),0)</f>
        <v>4305267</v>
      </c>
      <c r="I1456" s="42" t="s">
        <v>54</v>
      </c>
      <c r="J1456" s="56" t="s">
        <v>277</v>
      </c>
      <c r="K1456" s="40" t="s">
        <v>14</v>
      </c>
      <c r="L1456" s="26">
        <v>3000</v>
      </c>
      <c r="M1456" s="26">
        <v>220</v>
      </c>
      <c r="N1456" s="25">
        <f t="shared" si="45"/>
        <v>660000</v>
      </c>
      <c r="O1456" s="56"/>
    </row>
    <row r="1457" spans="1:15" hidden="1" x14ac:dyDescent="0.3">
      <c r="A1457" s="26">
        <v>28</v>
      </c>
      <c r="B1457" s="20" t="str">
        <f t="shared" si="44"/>
        <v>JUL</v>
      </c>
      <c r="C1457" s="21">
        <v>46215</v>
      </c>
      <c r="D1457" s="22" t="str">
        <f t="array" ref="D1457">IFERROR(INDEX('Kode Outlet dan Target Toko'!$A:$A,MATCH($I1457,'Kode Outlet dan Target Toko'!$E:$E,0)),"")</f>
        <v>GRSM 6</v>
      </c>
      <c r="E1457" s="20" t="str">
        <f>IFERROR(VLOOKUP(I1457,KET!$B:$F,4,0),"")</f>
        <v>WINDA</v>
      </c>
      <c r="F1457" s="20" t="str">
        <f>IFERROR(VLOOKUP(I1457,KET!$B:$F,5,0),"")</f>
        <v>GMM</v>
      </c>
      <c r="G1457" s="20">
        <f>IFERROR(INDEX('Kode Outlet dan Target Toko'!$C:$C,MATCH($I1457,'Kode Outlet dan Target Toko'!$E:$E,0)),0)</f>
        <v>103765</v>
      </c>
      <c r="H1457" s="20">
        <f>IFERROR(INDEX('Kode Outlet dan Target Toko'!$D:$D,MATCH($I1457,'Kode Outlet dan Target Toko'!$E:$E,0)),0)</f>
        <v>4305267</v>
      </c>
      <c r="I1457" s="42" t="s">
        <v>54</v>
      </c>
      <c r="J1457" s="56" t="s">
        <v>277</v>
      </c>
      <c r="K1457" s="40" t="s">
        <v>13</v>
      </c>
      <c r="L1457" s="26">
        <v>3000</v>
      </c>
      <c r="M1457" s="26">
        <v>180</v>
      </c>
      <c r="N1457" s="25">
        <f t="shared" si="45"/>
        <v>540000</v>
      </c>
      <c r="O1457" s="56"/>
    </row>
    <row r="1458" spans="1:15" hidden="1" x14ac:dyDescent="0.3">
      <c r="A1458" s="26">
        <v>28</v>
      </c>
      <c r="B1458" s="20" t="str">
        <f t="shared" si="44"/>
        <v>JUL</v>
      </c>
      <c r="C1458" s="21">
        <v>46215</v>
      </c>
      <c r="D1458" s="22" t="str">
        <f t="array" ref="D1458">IFERROR(INDEX('Kode Outlet dan Target Toko'!$A:$A,MATCH($I1458,'Kode Outlet dan Target Toko'!$E:$E,0)),"")</f>
        <v>GRSM 6</v>
      </c>
      <c r="E1458" s="20" t="str">
        <f>IFERROR(VLOOKUP(I1458,KET!$B:$F,4,0),"")</f>
        <v>WINDA</v>
      </c>
      <c r="F1458" s="20" t="str">
        <f>IFERROR(VLOOKUP(I1458,KET!$B:$F,5,0),"")</f>
        <v>GMM</v>
      </c>
      <c r="G1458" s="20">
        <f>IFERROR(INDEX('Kode Outlet dan Target Toko'!$C:$C,MATCH($I1458,'Kode Outlet dan Target Toko'!$E:$E,0)),0)</f>
        <v>103765</v>
      </c>
      <c r="H1458" s="20">
        <f>IFERROR(INDEX('Kode Outlet dan Target Toko'!$D:$D,MATCH($I1458,'Kode Outlet dan Target Toko'!$E:$E,0)),0)</f>
        <v>4305267</v>
      </c>
      <c r="I1458" s="42" t="s">
        <v>54</v>
      </c>
      <c r="J1458" s="56" t="s">
        <v>277</v>
      </c>
      <c r="K1458" s="40" t="s">
        <v>16</v>
      </c>
      <c r="L1458" s="26">
        <v>3000</v>
      </c>
      <c r="M1458" s="26">
        <v>175</v>
      </c>
      <c r="N1458" s="25">
        <f t="shared" si="45"/>
        <v>525000</v>
      </c>
      <c r="O1458" s="56">
        <v>150</v>
      </c>
    </row>
    <row r="1459" spans="1:15" hidden="1" x14ac:dyDescent="0.3">
      <c r="A1459" s="26">
        <v>28</v>
      </c>
      <c r="B1459" s="20" t="str">
        <f t="shared" si="44"/>
        <v>JUL</v>
      </c>
      <c r="C1459" s="21">
        <v>46215</v>
      </c>
      <c r="D1459" s="22" t="str">
        <f t="array" ref="D1459">IFERROR(INDEX('Kode Outlet dan Target Toko'!$A:$A,MATCH($I1459,'Kode Outlet dan Target Toko'!$E:$E,0)),"")</f>
        <v>GRSM 6</v>
      </c>
      <c r="E1459" s="20" t="str">
        <f>IFERROR(VLOOKUP(I1459,KET!$B:$F,4,0),"")</f>
        <v>WINDA</v>
      </c>
      <c r="F1459" s="20" t="str">
        <f>IFERROR(VLOOKUP(I1459,KET!$B:$F,5,0),"")</f>
        <v>GMM</v>
      </c>
      <c r="G1459" s="20">
        <f>IFERROR(INDEX('Kode Outlet dan Target Toko'!$C:$C,MATCH($I1459,'Kode Outlet dan Target Toko'!$E:$E,0)),0)</f>
        <v>103765</v>
      </c>
      <c r="H1459" s="20">
        <f>IFERROR(INDEX('Kode Outlet dan Target Toko'!$D:$D,MATCH($I1459,'Kode Outlet dan Target Toko'!$E:$E,0)),0)</f>
        <v>4305267</v>
      </c>
      <c r="I1459" s="42" t="s">
        <v>54</v>
      </c>
      <c r="J1459" s="56" t="s">
        <v>278</v>
      </c>
      <c r="K1459" s="40" t="s">
        <v>15</v>
      </c>
      <c r="L1459" s="26">
        <v>3000</v>
      </c>
      <c r="M1459" s="26">
        <v>40</v>
      </c>
      <c r="N1459" s="25">
        <f t="shared" si="45"/>
        <v>120000</v>
      </c>
      <c r="O1459" s="56"/>
    </row>
    <row r="1460" spans="1:15" hidden="1" x14ac:dyDescent="0.3">
      <c r="A1460" s="26">
        <v>28</v>
      </c>
      <c r="B1460" s="20" t="str">
        <f t="shared" si="44"/>
        <v>JUL</v>
      </c>
      <c r="C1460" s="21">
        <v>46215</v>
      </c>
      <c r="D1460" s="22" t="str">
        <f t="array" ref="D1460">IFERROR(INDEX('Kode Outlet dan Target Toko'!$A:$A,MATCH($I1460,'Kode Outlet dan Target Toko'!$E:$E,0)),"")</f>
        <v>GRSM 6</v>
      </c>
      <c r="E1460" s="20" t="str">
        <f>IFERROR(VLOOKUP(I1460,KET!$B:$F,4,0),"")</f>
        <v>WINDA</v>
      </c>
      <c r="F1460" s="20" t="str">
        <f>IFERROR(VLOOKUP(I1460,KET!$B:$F,5,0),"")</f>
        <v>GMM</v>
      </c>
      <c r="G1460" s="20">
        <f>IFERROR(INDEX('Kode Outlet dan Target Toko'!$C:$C,MATCH($I1460,'Kode Outlet dan Target Toko'!$E:$E,0)),0)</f>
        <v>103765</v>
      </c>
      <c r="H1460" s="20">
        <f>IFERROR(INDEX('Kode Outlet dan Target Toko'!$D:$D,MATCH($I1460,'Kode Outlet dan Target Toko'!$E:$E,0)),0)</f>
        <v>4305267</v>
      </c>
      <c r="I1460" s="42" t="s">
        <v>54</v>
      </c>
      <c r="J1460" s="56" t="s">
        <v>278</v>
      </c>
      <c r="K1460" s="40" t="s">
        <v>14</v>
      </c>
      <c r="L1460" s="26">
        <v>3000</v>
      </c>
      <c r="M1460" s="26">
        <v>220</v>
      </c>
      <c r="N1460" s="25">
        <f t="shared" si="45"/>
        <v>660000</v>
      </c>
      <c r="O1460" s="56"/>
    </row>
    <row r="1461" spans="1:15" hidden="1" x14ac:dyDescent="0.3">
      <c r="A1461" s="26">
        <v>28</v>
      </c>
      <c r="B1461" s="20" t="str">
        <f t="shared" si="44"/>
        <v>JUL</v>
      </c>
      <c r="C1461" s="21">
        <v>46215</v>
      </c>
      <c r="D1461" s="22" t="str">
        <f t="array" ref="D1461">IFERROR(INDEX('Kode Outlet dan Target Toko'!$A:$A,MATCH($I1461,'Kode Outlet dan Target Toko'!$E:$E,0)),"")</f>
        <v>GRSM 6</v>
      </c>
      <c r="E1461" s="20" t="str">
        <f>IFERROR(VLOOKUP(I1461,KET!$B:$F,4,0),"")</f>
        <v>WINDA</v>
      </c>
      <c r="F1461" s="20" t="str">
        <f>IFERROR(VLOOKUP(I1461,KET!$B:$F,5,0),"")</f>
        <v>GMM</v>
      </c>
      <c r="G1461" s="20">
        <f>IFERROR(INDEX('Kode Outlet dan Target Toko'!$C:$C,MATCH($I1461,'Kode Outlet dan Target Toko'!$E:$E,0)),0)</f>
        <v>103765</v>
      </c>
      <c r="H1461" s="20">
        <f>IFERROR(INDEX('Kode Outlet dan Target Toko'!$D:$D,MATCH($I1461,'Kode Outlet dan Target Toko'!$E:$E,0)),0)</f>
        <v>4305267</v>
      </c>
      <c r="I1461" s="42" t="s">
        <v>54</v>
      </c>
      <c r="J1461" s="56" t="s">
        <v>278</v>
      </c>
      <c r="K1461" s="40" t="s">
        <v>13</v>
      </c>
      <c r="L1461" s="26">
        <v>3000</v>
      </c>
      <c r="M1461" s="26">
        <v>180</v>
      </c>
      <c r="N1461" s="25">
        <f t="shared" si="45"/>
        <v>540000</v>
      </c>
      <c r="O1461" s="56"/>
    </row>
    <row r="1462" spans="1:15" hidden="1" x14ac:dyDescent="0.3">
      <c r="A1462" s="26">
        <v>28</v>
      </c>
      <c r="B1462" s="20" t="str">
        <f t="shared" si="44"/>
        <v>JUL</v>
      </c>
      <c r="C1462" s="21">
        <v>46215</v>
      </c>
      <c r="D1462" s="22" t="str">
        <f t="array" ref="D1462">IFERROR(INDEX('Kode Outlet dan Target Toko'!$A:$A,MATCH($I1462,'Kode Outlet dan Target Toko'!$E:$E,0)),"")</f>
        <v>GRSM 6</v>
      </c>
      <c r="E1462" s="20" t="str">
        <f>IFERROR(VLOOKUP(I1462,KET!$B:$F,4,0),"")</f>
        <v>WINDA</v>
      </c>
      <c r="F1462" s="20" t="str">
        <f>IFERROR(VLOOKUP(I1462,KET!$B:$F,5,0),"")</f>
        <v>GMM</v>
      </c>
      <c r="G1462" s="20">
        <f>IFERROR(INDEX('Kode Outlet dan Target Toko'!$C:$C,MATCH($I1462,'Kode Outlet dan Target Toko'!$E:$E,0)),0)</f>
        <v>103765</v>
      </c>
      <c r="H1462" s="20">
        <f>IFERROR(INDEX('Kode Outlet dan Target Toko'!$D:$D,MATCH($I1462,'Kode Outlet dan Target Toko'!$E:$E,0)),0)</f>
        <v>4305267</v>
      </c>
      <c r="I1462" s="42" t="s">
        <v>54</v>
      </c>
      <c r="J1462" s="56" t="s">
        <v>278</v>
      </c>
      <c r="K1462" s="40" t="s">
        <v>16</v>
      </c>
      <c r="L1462" s="26">
        <v>3000</v>
      </c>
      <c r="M1462" s="26">
        <v>175</v>
      </c>
      <c r="N1462" s="25">
        <f t="shared" si="45"/>
        <v>525000</v>
      </c>
      <c r="O1462" s="56">
        <v>150</v>
      </c>
    </row>
    <row r="1463" spans="1:15" hidden="1" x14ac:dyDescent="0.3">
      <c r="A1463" s="26">
        <v>28</v>
      </c>
      <c r="B1463" s="20" t="str">
        <f t="shared" si="44"/>
        <v>JUL</v>
      </c>
      <c r="C1463" s="21">
        <v>46215</v>
      </c>
      <c r="D1463" s="22" t="str">
        <f t="array" ref="D1463">IFERROR(INDEX('Kode Outlet dan Target Toko'!$A:$A,MATCH($I1463,'Kode Outlet dan Target Toko'!$E:$E,0)),"")</f>
        <v>GRSM 6</v>
      </c>
      <c r="E1463" s="20" t="str">
        <f>IFERROR(VLOOKUP(I1463,KET!$B:$F,4,0),"")</f>
        <v>WINDA</v>
      </c>
      <c r="F1463" s="20" t="str">
        <f>IFERROR(VLOOKUP(I1463,KET!$B:$F,5,0),"")</f>
        <v>GMM</v>
      </c>
      <c r="G1463" s="20">
        <f>IFERROR(INDEX('Kode Outlet dan Target Toko'!$C:$C,MATCH($I1463,'Kode Outlet dan Target Toko'!$E:$E,0)),0)</f>
        <v>211163</v>
      </c>
      <c r="H1463" s="20">
        <f>IFERROR(INDEX('Kode Outlet dan Target Toko'!$D:$D,MATCH($I1463,'Kode Outlet dan Target Toko'!$E:$E,0)),0)</f>
        <v>3703215</v>
      </c>
      <c r="I1463" s="42" t="s">
        <v>53</v>
      </c>
      <c r="J1463" s="56" t="s">
        <v>275</v>
      </c>
      <c r="K1463" s="40" t="s">
        <v>15</v>
      </c>
      <c r="L1463" s="26">
        <v>5800</v>
      </c>
      <c r="M1463" s="26">
        <v>19</v>
      </c>
      <c r="N1463" s="25">
        <f t="shared" si="45"/>
        <v>110200</v>
      </c>
      <c r="O1463" s="56"/>
    </row>
    <row r="1464" spans="1:15" hidden="1" x14ac:dyDescent="0.3">
      <c r="A1464" s="26">
        <v>28</v>
      </c>
      <c r="B1464" s="20" t="str">
        <f t="shared" si="44"/>
        <v>JUL</v>
      </c>
      <c r="C1464" s="21">
        <v>46215</v>
      </c>
      <c r="D1464" s="22" t="str">
        <f t="array" ref="D1464">IFERROR(INDEX('Kode Outlet dan Target Toko'!$A:$A,MATCH($I1464,'Kode Outlet dan Target Toko'!$E:$E,0)),"")</f>
        <v>GRSM 6</v>
      </c>
      <c r="E1464" s="20" t="str">
        <f>IFERROR(VLOOKUP(I1464,KET!$B:$F,4,0),"")</f>
        <v>WINDA</v>
      </c>
      <c r="F1464" s="20" t="str">
        <f>IFERROR(VLOOKUP(I1464,KET!$B:$F,5,0),"")</f>
        <v>GMM</v>
      </c>
      <c r="G1464" s="20">
        <f>IFERROR(INDEX('Kode Outlet dan Target Toko'!$C:$C,MATCH($I1464,'Kode Outlet dan Target Toko'!$E:$E,0)),0)</f>
        <v>211163</v>
      </c>
      <c r="H1464" s="20">
        <f>IFERROR(INDEX('Kode Outlet dan Target Toko'!$D:$D,MATCH($I1464,'Kode Outlet dan Target Toko'!$E:$E,0)),0)</f>
        <v>3703215</v>
      </c>
      <c r="I1464" s="42" t="s">
        <v>53</v>
      </c>
      <c r="J1464" s="56" t="s">
        <v>275</v>
      </c>
      <c r="K1464" s="40" t="s">
        <v>14</v>
      </c>
      <c r="L1464" s="26">
        <v>5800</v>
      </c>
      <c r="M1464" s="26">
        <v>33</v>
      </c>
      <c r="N1464" s="25">
        <f t="shared" si="45"/>
        <v>191400</v>
      </c>
      <c r="O1464" s="56"/>
    </row>
    <row r="1465" spans="1:15" hidden="1" x14ac:dyDescent="0.3">
      <c r="A1465" s="26">
        <v>28</v>
      </c>
      <c r="B1465" s="20" t="str">
        <f t="shared" si="44"/>
        <v>JUL</v>
      </c>
      <c r="C1465" s="21">
        <v>46215</v>
      </c>
      <c r="D1465" s="22" t="str">
        <f t="array" ref="D1465">IFERROR(INDEX('Kode Outlet dan Target Toko'!$A:$A,MATCH($I1465,'Kode Outlet dan Target Toko'!$E:$E,0)),"")</f>
        <v>GRSM 6</v>
      </c>
      <c r="E1465" s="20" t="str">
        <f>IFERROR(VLOOKUP(I1465,KET!$B:$F,4,0),"")</f>
        <v>WINDA</v>
      </c>
      <c r="F1465" s="20" t="str">
        <f>IFERROR(VLOOKUP(I1465,KET!$B:$F,5,0),"")</f>
        <v>GMM</v>
      </c>
      <c r="G1465" s="20">
        <f>IFERROR(INDEX('Kode Outlet dan Target Toko'!$C:$C,MATCH($I1465,'Kode Outlet dan Target Toko'!$E:$E,0)),0)</f>
        <v>211163</v>
      </c>
      <c r="H1465" s="20">
        <f>IFERROR(INDEX('Kode Outlet dan Target Toko'!$D:$D,MATCH($I1465,'Kode Outlet dan Target Toko'!$E:$E,0)),0)</f>
        <v>3703215</v>
      </c>
      <c r="I1465" s="42" t="s">
        <v>53</v>
      </c>
      <c r="J1465" s="56" t="s">
        <v>275</v>
      </c>
      <c r="K1465" s="40" t="s">
        <v>13</v>
      </c>
      <c r="L1465" s="26">
        <v>5800</v>
      </c>
      <c r="M1465" s="26">
        <v>0</v>
      </c>
      <c r="N1465" s="25">
        <f t="shared" si="45"/>
        <v>0</v>
      </c>
      <c r="O1465" s="56"/>
    </row>
    <row r="1466" spans="1:15" hidden="1" x14ac:dyDescent="0.3">
      <c r="A1466" s="26">
        <v>28</v>
      </c>
      <c r="B1466" s="20" t="str">
        <f t="shared" si="44"/>
        <v>JUL</v>
      </c>
      <c r="C1466" s="21">
        <v>46215</v>
      </c>
      <c r="D1466" s="22" t="str">
        <f t="array" ref="D1466">IFERROR(INDEX('Kode Outlet dan Target Toko'!$A:$A,MATCH($I1466,'Kode Outlet dan Target Toko'!$E:$E,0)),"")</f>
        <v>GRSM 6</v>
      </c>
      <c r="E1466" s="20" t="str">
        <f>IFERROR(VLOOKUP(I1466,KET!$B:$F,4,0),"")</f>
        <v>WINDA</v>
      </c>
      <c r="F1466" s="20" t="str">
        <f>IFERROR(VLOOKUP(I1466,KET!$B:$F,5,0),"")</f>
        <v>GMM</v>
      </c>
      <c r="G1466" s="20">
        <f>IFERROR(INDEX('Kode Outlet dan Target Toko'!$C:$C,MATCH($I1466,'Kode Outlet dan Target Toko'!$E:$E,0)),0)</f>
        <v>211163</v>
      </c>
      <c r="H1466" s="20">
        <f>IFERROR(INDEX('Kode Outlet dan Target Toko'!$D:$D,MATCH($I1466,'Kode Outlet dan Target Toko'!$E:$E,0)),0)</f>
        <v>3703215</v>
      </c>
      <c r="I1466" s="42" t="s">
        <v>53</v>
      </c>
      <c r="J1466" s="56" t="s">
        <v>275</v>
      </c>
      <c r="K1466" s="40" t="s">
        <v>16</v>
      </c>
      <c r="L1466" s="26">
        <v>5800</v>
      </c>
      <c r="M1466" s="26">
        <v>110</v>
      </c>
      <c r="N1466" s="25">
        <f t="shared" si="45"/>
        <v>638000</v>
      </c>
      <c r="O1466" s="56">
        <v>147</v>
      </c>
    </row>
    <row r="1467" spans="1:15" hidden="1" x14ac:dyDescent="0.3">
      <c r="A1467" s="26">
        <v>28</v>
      </c>
      <c r="B1467" s="20" t="str">
        <f t="shared" si="44"/>
        <v>JUL</v>
      </c>
      <c r="C1467" s="21">
        <v>46215</v>
      </c>
      <c r="D1467" s="22" t="str">
        <f t="array" ref="D1467">IFERROR(INDEX('Kode Outlet dan Target Toko'!$A:$A,MATCH($I1467,'Kode Outlet dan Target Toko'!$E:$E,0)),"")</f>
        <v>GRSM 6</v>
      </c>
      <c r="E1467" s="20" t="str">
        <f>IFERROR(VLOOKUP(I1467,KET!$B:$F,4,0),"")</f>
        <v>WINDA</v>
      </c>
      <c r="F1467" s="20" t="str">
        <f>IFERROR(VLOOKUP(I1467,KET!$B:$F,5,0),"")</f>
        <v>GMM</v>
      </c>
      <c r="G1467" s="20">
        <f>IFERROR(INDEX('Kode Outlet dan Target Toko'!$C:$C,MATCH($I1467,'Kode Outlet dan Target Toko'!$E:$E,0)),0)</f>
        <v>211163</v>
      </c>
      <c r="H1467" s="20">
        <f>IFERROR(INDEX('Kode Outlet dan Target Toko'!$D:$D,MATCH($I1467,'Kode Outlet dan Target Toko'!$E:$E,0)),0)</f>
        <v>3703215</v>
      </c>
      <c r="I1467" s="42" t="s">
        <v>53</v>
      </c>
      <c r="J1467" s="56" t="s">
        <v>276</v>
      </c>
      <c r="K1467" s="40" t="s">
        <v>15</v>
      </c>
      <c r="L1467" s="26">
        <v>5800</v>
      </c>
      <c r="M1467" s="26">
        <v>19</v>
      </c>
      <c r="N1467" s="25">
        <f t="shared" si="45"/>
        <v>110200</v>
      </c>
      <c r="O1467" s="56"/>
    </row>
    <row r="1468" spans="1:15" hidden="1" x14ac:dyDescent="0.3">
      <c r="A1468" s="26">
        <v>28</v>
      </c>
      <c r="B1468" s="20" t="str">
        <f t="shared" si="44"/>
        <v>JUL</v>
      </c>
      <c r="C1468" s="21">
        <v>46215</v>
      </c>
      <c r="D1468" s="22" t="str">
        <f t="array" ref="D1468">IFERROR(INDEX('Kode Outlet dan Target Toko'!$A:$A,MATCH($I1468,'Kode Outlet dan Target Toko'!$E:$E,0)),"")</f>
        <v>GRSM 6</v>
      </c>
      <c r="E1468" s="20" t="str">
        <f>IFERROR(VLOOKUP(I1468,KET!$B:$F,4,0),"")</f>
        <v>WINDA</v>
      </c>
      <c r="F1468" s="20" t="str">
        <f>IFERROR(VLOOKUP(I1468,KET!$B:$F,5,0),"")</f>
        <v>GMM</v>
      </c>
      <c r="G1468" s="20">
        <f>IFERROR(INDEX('Kode Outlet dan Target Toko'!$C:$C,MATCH($I1468,'Kode Outlet dan Target Toko'!$E:$E,0)),0)</f>
        <v>211163</v>
      </c>
      <c r="H1468" s="20">
        <f>IFERROR(INDEX('Kode Outlet dan Target Toko'!$D:$D,MATCH($I1468,'Kode Outlet dan Target Toko'!$E:$E,0)),0)</f>
        <v>3703215</v>
      </c>
      <c r="I1468" s="42" t="s">
        <v>53</v>
      </c>
      <c r="J1468" s="56" t="s">
        <v>276</v>
      </c>
      <c r="K1468" s="40" t="s">
        <v>14</v>
      </c>
      <c r="L1468" s="26">
        <v>5800</v>
      </c>
      <c r="M1468" s="26">
        <v>33</v>
      </c>
      <c r="N1468" s="25">
        <f t="shared" si="45"/>
        <v>191400</v>
      </c>
      <c r="O1468" s="56"/>
    </row>
    <row r="1469" spans="1:15" hidden="1" x14ac:dyDescent="0.3">
      <c r="A1469" s="26">
        <v>28</v>
      </c>
      <c r="B1469" s="20" t="str">
        <f t="shared" si="44"/>
        <v>JUL</v>
      </c>
      <c r="C1469" s="21">
        <v>46215</v>
      </c>
      <c r="D1469" s="22" t="str">
        <f t="array" ref="D1469">IFERROR(INDEX('Kode Outlet dan Target Toko'!$A:$A,MATCH($I1469,'Kode Outlet dan Target Toko'!$E:$E,0)),"")</f>
        <v>GRSM 6</v>
      </c>
      <c r="E1469" s="20" t="str">
        <f>IFERROR(VLOOKUP(I1469,KET!$B:$F,4,0),"")</f>
        <v>WINDA</v>
      </c>
      <c r="F1469" s="20" t="str">
        <f>IFERROR(VLOOKUP(I1469,KET!$B:$F,5,0),"")</f>
        <v>GMM</v>
      </c>
      <c r="G1469" s="20">
        <f>IFERROR(INDEX('Kode Outlet dan Target Toko'!$C:$C,MATCH($I1469,'Kode Outlet dan Target Toko'!$E:$E,0)),0)</f>
        <v>211163</v>
      </c>
      <c r="H1469" s="20">
        <f>IFERROR(INDEX('Kode Outlet dan Target Toko'!$D:$D,MATCH($I1469,'Kode Outlet dan Target Toko'!$E:$E,0)),0)</f>
        <v>3703215</v>
      </c>
      <c r="I1469" s="42" t="s">
        <v>53</v>
      </c>
      <c r="J1469" s="56" t="s">
        <v>276</v>
      </c>
      <c r="K1469" s="40" t="s">
        <v>13</v>
      </c>
      <c r="L1469" s="26">
        <v>5800</v>
      </c>
      <c r="M1469" s="26">
        <v>0</v>
      </c>
      <c r="N1469" s="25">
        <f t="shared" si="45"/>
        <v>0</v>
      </c>
      <c r="O1469" s="56"/>
    </row>
    <row r="1470" spans="1:15" hidden="1" x14ac:dyDescent="0.3">
      <c r="A1470" s="26">
        <v>28</v>
      </c>
      <c r="B1470" s="20" t="str">
        <f t="shared" si="44"/>
        <v>JUL</v>
      </c>
      <c r="C1470" s="21">
        <v>46215</v>
      </c>
      <c r="D1470" s="22" t="str">
        <f t="array" ref="D1470">IFERROR(INDEX('Kode Outlet dan Target Toko'!$A:$A,MATCH($I1470,'Kode Outlet dan Target Toko'!$E:$E,0)),"")</f>
        <v>GRSM 6</v>
      </c>
      <c r="E1470" s="20" t="str">
        <f>IFERROR(VLOOKUP(I1470,KET!$B:$F,4,0),"")</f>
        <v>WINDA</v>
      </c>
      <c r="F1470" s="20" t="str">
        <f>IFERROR(VLOOKUP(I1470,KET!$B:$F,5,0),"")</f>
        <v>GMM</v>
      </c>
      <c r="G1470" s="20">
        <f>IFERROR(INDEX('Kode Outlet dan Target Toko'!$C:$C,MATCH($I1470,'Kode Outlet dan Target Toko'!$E:$E,0)),0)</f>
        <v>211163</v>
      </c>
      <c r="H1470" s="20">
        <f>IFERROR(INDEX('Kode Outlet dan Target Toko'!$D:$D,MATCH($I1470,'Kode Outlet dan Target Toko'!$E:$E,0)),0)</f>
        <v>3703215</v>
      </c>
      <c r="I1470" s="42" t="s">
        <v>53</v>
      </c>
      <c r="J1470" s="56" t="s">
        <v>276</v>
      </c>
      <c r="K1470" s="40" t="s">
        <v>16</v>
      </c>
      <c r="L1470" s="26">
        <v>5800</v>
      </c>
      <c r="M1470" s="26">
        <v>110</v>
      </c>
      <c r="N1470" s="25">
        <f t="shared" si="45"/>
        <v>638000</v>
      </c>
      <c r="O1470" s="56">
        <v>147</v>
      </c>
    </row>
    <row r="1471" spans="1:15" hidden="1" x14ac:dyDescent="0.3">
      <c r="A1471" s="26">
        <v>28</v>
      </c>
      <c r="B1471" s="20" t="str">
        <f t="shared" si="44"/>
        <v>JUL</v>
      </c>
      <c r="C1471" s="21">
        <v>46213</v>
      </c>
      <c r="D1471" s="22" t="str">
        <f t="array" ref="D1471">IFERROR(INDEX('Kode Outlet dan Target Toko'!$A:$A,MATCH($I1471,'Kode Outlet dan Target Toko'!$E:$E,0)),"")</f>
        <v>GRSM 6</v>
      </c>
      <c r="E1471" s="20" t="str">
        <f>IFERROR(VLOOKUP(I1471,KET!$B:$F,4,0),"")</f>
        <v>WINDA</v>
      </c>
      <c r="F1471" s="20" t="str">
        <f>IFERROR(VLOOKUP(I1471,KET!$B:$F,5,0),"")</f>
        <v>GMM</v>
      </c>
      <c r="G1471" s="20">
        <f>IFERROR(INDEX('Kode Outlet dan Target Toko'!$C:$C,MATCH($I1471,'Kode Outlet dan Target Toko'!$E:$E,0)),0)</f>
        <v>103765</v>
      </c>
      <c r="H1471" s="20">
        <f>IFERROR(INDEX('Kode Outlet dan Target Toko'!$D:$D,MATCH($I1471,'Kode Outlet dan Target Toko'!$E:$E,0)),0)</f>
        <v>4305267</v>
      </c>
      <c r="I1471" s="42" t="s">
        <v>54</v>
      </c>
      <c r="J1471" s="56" t="s">
        <v>277</v>
      </c>
      <c r="K1471" s="40" t="s">
        <v>15</v>
      </c>
      <c r="L1471" s="26">
        <v>3000</v>
      </c>
      <c r="M1471" s="26">
        <v>120</v>
      </c>
      <c r="N1471" s="25">
        <f t="shared" si="45"/>
        <v>360000</v>
      </c>
      <c r="O1471" s="56"/>
    </row>
    <row r="1472" spans="1:15" hidden="1" x14ac:dyDescent="0.3">
      <c r="A1472" s="26">
        <v>28</v>
      </c>
      <c r="B1472" s="20" t="str">
        <f t="shared" si="44"/>
        <v>JUL</v>
      </c>
      <c r="C1472" s="21">
        <v>46213</v>
      </c>
      <c r="D1472" s="22" t="str">
        <f t="array" ref="D1472">IFERROR(INDEX('Kode Outlet dan Target Toko'!$A:$A,MATCH($I1472,'Kode Outlet dan Target Toko'!$E:$E,0)),"")</f>
        <v>GRSM 6</v>
      </c>
      <c r="E1472" s="20" t="str">
        <f>IFERROR(VLOOKUP(I1472,KET!$B:$F,4,0),"")</f>
        <v>WINDA</v>
      </c>
      <c r="F1472" s="20" t="str">
        <f>IFERROR(VLOOKUP(I1472,KET!$B:$F,5,0),"")</f>
        <v>GMM</v>
      </c>
      <c r="G1472" s="20">
        <f>IFERROR(INDEX('Kode Outlet dan Target Toko'!$C:$C,MATCH($I1472,'Kode Outlet dan Target Toko'!$E:$E,0)),0)</f>
        <v>103765</v>
      </c>
      <c r="H1472" s="20">
        <f>IFERROR(INDEX('Kode Outlet dan Target Toko'!$D:$D,MATCH($I1472,'Kode Outlet dan Target Toko'!$E:$E,0)),0)</f>
        <v>4305267</v>
      </c>
      <c r="I1472" s="42" t="s">
        <v>54</v>
      </c>
      <c r="J1472" s="56" t="s">
        <v>277</v>
      </c>
      <c r="K1472" s="40" t="s">
        <v>14</v>
      </c>
      <c r="L1472" s="26">
        <v>3000</v>
      </c>
      <c r="M1472" s="26">
        <v>180</v>
      </c>
      <c r="N1472" s="25">
        <f t="shared" si="45"/>
        <v>540000</v>
      </c>
      <c r="O1472" s="56"/>
    </row>
    <row r="1473" spans="1:15" hidden="1" x14ac:dyDescent="0.3">
      <c r="A1473" s="26">
        <v>28</v>
      </c>
      <c r="B1473" s="20" t="str">
        <f t="shared" si="44"/>
        <v>JUL</v>
      </c>
      <c r="C1473" s="21">
        <v>46213</v>
      </c>
      <c r="D1473" s="22" t="str">
        <f t="array" ref="D1473">IFERROR(INDEX('Kode Outlet dan Target Toko'!$A:$A,MATCH($I1473,'Kode Outlet dan Target Toko'!$E:$E,0)),"")</f>
        <v>GRSM 6</v>
      </c>
      <c r="E1473" s="20" t="str">
        <f>IFERROR(VLOOKUP(I1473,KET!$B:$F,4,0),"")</f>
        <v>WINDA</v>
      </c>
      <c r="F1473" s="20" t="str">
        <f>IFERROR(VLOOKUP(I1473,KET!$B:$F,5,0),"")</f>
        <v>GMM</v>
      </c>
      <c r="G1473" s="20">
        <f>IFERROR(INDEX('Kode Outlet dan Target Toko'!$C:$C,MATCH($I1473,'Kode Outlet dan Target Toko'!$E:$E,0)),0)</f>
        <v>103765</v>
      </c>
      <c r="H1473" s="20">
        <f>IFERROR(INDEX('Kode Outlet dan Target Toko'!$D:$D,MATCH($I1473,'Kode Outlet dan Target Toko'!$E:$E,0)),0)</f>
        <v>4305267</v>
      </c>
      <c r="I1473" s="42" t="s">
        <v>54</v>
      </c>
      <c r="J1473" s="56" t="s">
        <v>277</v>
      </c>
      <c r="K1473" s="40" t="s">
        <v>13</v>
      </c>
      <c r="L1473" s="26">
        <v>3000</v>
      </c>
      <c r="M1473" s="26">
        <v>60</v>
      </c>
      <c r="N1473" s="25">
        <f t="shared" si="45"/>
        <v>180000</v>
      </c>
      <c r="O1473" s="56"/>
    </row>
    <row r="1474" spans="1:15" hidden="1" x14ac:dyDescent="0.3">
      <c r="A1474" s="26">
        <v>28</v>
      </c>
      <c r="B1474" s="20" t="str">
        <f t="shared" si="44"/>
        <v>JUL</v>
      </c>
      <c r="C1474" s="21">
        <v>46213</v>
      </c>
      <c r="D1474" s="22" t="str">
        <f t="array" ref="D1474">IFERROR(INDEX('Kode Outlet dan Target Toko'!$A:$A,MATCH($I1474,'Kode Outlet dan Target Toko'!$E:$E,0)),"")</f>
        <v>GRSM 6</v>
      </c>
      <c r="E1474" s="20" t="str">
        <f>IFERROR(VLOOKUP(I1474,KET!$B:$F,4,0),"")</f>
        <v>WINDA</v>
      </c>
      <c r="F1474" s="20" t="str">
        <f>IFERROR(VLOOKUP(I1474,KET!$B:$F,5,0),"")</f>
        <v>GMM</v>
      </c>
      <c r="G1474" s="20">
        <f>IFERROR(INDEX('Kode Outlet dan Target Toko'!$C:$C,MATCH($I1474,'Kode Outlet dan Target Toko'!$E:$E,0)),0)</f>
        <v>103765</v>
      </c>
      <c r="H1474" s="20">
        <f>IFERROR(INDEX('Kode Outlet dan Target Toko'!$D:$D,MATCH($I1474,'Kode Outlet dan Target Toko'!$E:$E,0)),0)</f>
        <v>4305267</v>
      </c>
      <c r="I1474" s="42" t="s">
        <v>54</v>
      </c>
      <c r="J1474" s="56" t="s">
        <v>277</v>
      </c>
      <c r="K1474" s="40" t="s">
        <v>16</v>
      </c>
      <c r="L1474" s="26">
        <v>3000</v>
      </c>
      <c r="M1474" s="26">
        <v>230</v>
      </c>
      <c r="N1474" s="25">
        <f t="shared" si="45"/>
        <v>690000</v>
      </c>
      <c r="O1474" s="56">
        <v>130</v>
      </c>
    </row>
    <row r="1475" spans="1:15" hidden="1" x14ac:dyDescent="0.3">
      <c r="A1475" s="26">
        <v>28</v>
      </c>
      <c r="B1475" s="20" t="str">
        <f t="shared" si="44"/>
        <v>JUL</v>
      </c>
      <c r="C1475" s="21">
        <v>46213</v>
      </c>
      <c r="D1475" s="22" t="str">
        <f t="array" ref="D1475">IFERROR(INDEX('Kode Outlet dan Target Toko'!$A:$A,MATCH($I1475,'Kode Outlet dan Target Toko'!$E:$E,0)),"")</f>
        <v>GRSM 6</v>
      </c>
      <c r="E1475" s="20" t="str">
        <f>IFERROR(VLOOKUP(I1475,KET!$B:$F,4,0),"")</f>
        <v>WINDA</v>
      </c>
      <c r="F1475" s="20" t="str">
        <f>IFERROR(VLOOKUP(I1475,KET!$B:$F,5,0),"")</f>
        <v>GMM</v>
      </c>
      <c r="G1475" s="20">
        <f>IFERROR(INDEX('Kode Outlet dan Target Toko'!$C:$C,MATCH($I1475,'Kode Outlet dan Target Toko'!$E:$E,0)),0)</f>
        <v>103765</v>
      </c>
      <c r="H1475" s="20">
        <f>IFERROR(INDEX('Kode Outlet dan Target Toko'!$D:$D,MATCH($I1475,'Kode Outlet dan Target Toko'!$E:$E,0)),0)</f>
        <v>4305267</v>
      </c>
      <c r="I1475" s="42" t="s">
        <v>54</v>
      </c>
      <c r="J1475" s="56" t="s">
        <v>278</v>
      </c>
      <c r="K1475" s="40" t="s">
        <v>15</v>
      </c>
      <c r="L1475" s="26">
        <v>3000</v>
      </c>
      <c r="M1475" s="26">
        <v>120</v>
      </c>
      <c r="N1475" s="25">
        <f t="shared" si="45"/>
        <v>360000</v>
      </c>
      <c r="O1475" s="56"/>
    </row>
    <row r="1476" spans="1:15" hidden="1" x14ac:dyDescent="0.3">
      <c r="A1476" s="26">
        <v>28</v>
      </c>
      <c r="B1476" s="20" t="str">
        <f t="shared" si="44"/>
        <v>JUL</v>
      </c>
      <c r="C1476" s="21">
        <v>46213</v>
      </c>
      <c r="D1476" s="22" t="str">
        <f t="array" ref="D1476">IFERROR(INDEX('Kode Outlet dan Target Toko'!$A:$A,MATCH($I1476,'Kode Outlet dan Target Toko'!$E:$E,0)),"")</f>
        <v>GRSM 6</v>
      </c>
      <c r="E1476" s="20" t="str">
        <f>IFERROR(VLOOKUP(I1476,KET!$B:$F,4,0),"")</f>
        <v>WINDA</v>
      </c>
      <c r="F1476" s="20" t="str">
        <f>IFERROR(VLOOKUP(I1476,KET!$B:$F,5,0),"")</f>
        <v>GMM</v>
      </c>
      <c r="G1476" s="20">
        <f>IFERROR(INDEX('Kode Outlet dan Target Toko'!$C:$C,MATCH($I1476,'Kode Outlet dan Target Toko'!$E:$E,0)),0)</f>
        <v>103765</v>
      </c>
      <c r="H1476" s="20">
        <f>IFERROR(INDEX('Kode Outlet dan Target Toko'!$D:$D,MATCH($I1476,'Kode Outlet dan Target Toko'!$E:$E,0)),0)</f>
        <v>4305267</v>
      </c>
      <c r="I1476" s="42" t="s">
        <v>54</v>
      </c>
      <c r="J1476" s="56" t="s">
        <v>278</v>
      </c>
      <c r="K1476" s="40" t="s">
        <v>14</v>
      </c>
      <c r="L1476" s="26">
        <v>3000</v>
      </c>
      <c r="M1476" s="26">
        <v>180</v>
      </c>
      <c r="N1476" s="25">
        <f t="shared" si="45"/>
        <v>540000</v>
      </c>
      <c r="O1476" s="56"/>
    </row>
    <row r="1477" spans="1:15" hidden="1" x14ac:dyDescent="0.3">
      <c r="A1477" s="26">
        <v>28</v>
      </c>
      <c r="B1477" s="20" t="str">
        <f t="shared" si="44"/>
        <v>JUL</v>
      </c>
      <c r="C1477" s="21">
        <v>46213</v>
      </c>
      <c r="D1477" s="22" t="str">
        <f t="array" ref="D1477">IFERROR(INDEX('Kode Outlet dan Target Toko'!$A:$A,MATCH($I1477,'Kode Outlet dan Target Toko'!$E:$E,0)),"")</f>
        <v>GRSM 6</v>
      </c>
      <c r="E1477" s="20" t="str">
        <f>IFERROR(VLOOKUP(I1477,KET!$B:$F,4,0),"")</f>
        <v>WINDA</v>
      </c>
      <c r="F1477" s="20" t="str">
        <f>IFERROR(VLOOKUP(I1477,KET!$B:$F,5,0),"")</f>
        <v>GMM</v>
      </c>
      <c r="G1477" s="20">
        <f>IFERROR(INDEX('Kode Outlet dan Target Toko'!$C:$C,MATCH($I1477,'Kode Outlet dan Target Toko'!$E:$E,0)),0)</f>
        <v>103765</v>
      </c>
      <c r="H1477" s="20">
        <f>IFERROR(INDEX('Kode Outlet dan Target Toko'!$D:$D,MATCH($I1477,'Kode Outlet dan Target Toko'!$E:$E,0)),0)</f>
        <v>4305267</v>
      </c>
      <c r="I1477" s="42" t="s">
        <v>54</v>
      </c>
      <c r="J1477" s="56" t="s">
        <v>278</v>
      </c>
      <c r="K1477" s="40" t="s">
        <v>13</v>
      </c>
      <c r="L1477" s="26">
        <v>3000</v>
      </c>
      <c r="M1477" s="26">
        <v>60</v>
      </c>
      <c r="N1477" s="25">
        <f t="shared" si="45"/>
        <v>180000</v>
      </c>
      <c r="O1477" s="56"/>
    </row>
    <row r="1478" spans="1:15" hidden="1" x14ac:dyDescent="0.3">
      <c r="A1478" s="26">
        <v>28</v>
      </c>
      <c r="B1478" s="20" t="str">
        <f t="shared" si="44"/>
        <v>JUL</v>
      </c>
      <c r="C1478" s="21">
        <v>46213</v>
      </c>
      <c r="D1478" s="22" t="str">
        <f t="array" ref="D1478">IFERROR(INDEX('Kode Outlet dan Target Toko'!$A:$A,MATCH($I1478,'Kode Outlet dan Target Toko'!$E:$E,0)),"")</f>
        <v>GRSM 6</v>
      </c>
      <c r="E1478" s="20" t="str">
        <f>IFERROR(VLOOKUP(I1478,KET!$B:$F,4,0),"")</f>
        <v>WINDA</v>
      </c>
      <c r="F1478" s="20" t="str">
        <f>IFERROR(VLOOKUP(I1478,KET!$B:$F,5,0),"")</f>
        <v>GMM</v>
      </c>
      <c r="G1478" s="20">
        <f>IFERROR(INDEX('Kode Outlet dan Target Toko'!$C:$C,MATCH($I1478,'Kode Outlet dan Target Toko'!$E:$E,0)),0)</f>
        <v>103765</v>
      </c>
      <c r="H1478" s="20">
        <f>IFERROR(INDEX('Kode Outlet dan Target Toko'!$D:$D,MATCH($I1478,'Kode Outlet dan Target Toko'!$E:$E,0)),0)</f>
        <v>4305267</v>
      </c>
      <c r="I1478" s="42" t="s">
        <v>54</v>
      </c>
      <c r="J1478" s="56" t="s">
        <v>278</v>
      </c>
      <c r="K1478" s="40" t="s">
        <v>16</v>
      </c>
      <c r="L1478" s="26">
        <v>3000</v>
      </c>
      <c r="M1478" s="26">
        <v>230</v>
      </c>
      <c r="N1478" s="25">
        <f t="shared" si="45"/>
        <v>690000</v>
      </c>
      <c r="O1478" s="56">
        <v>130</v>
      </c>
    </row>
    <row r="1479" spans="1:15" hidden="1" x14ac:dyDescent="0.3">
      <c r="A1479" s="26">
        <v>28</v>
      </c>
      <c r="B1479" s="20" t="str">
        <f t="shared" ref="B1479:B1542" si="46">IF(C1479="","",UPPER(TEXT(C1479, "MMM")))</f>
        <v>JUL</v>
      </c>
      <c r="C1479" s="21">
        <v>46213</v>
      </c>
      <c r="D1479" s="22" t="str">
        <f t="array" ref="D1479">IFERROR(INDEX('Kode Outlet dan Target Toko'!$A:$A,MATCH($I1479,'Kode Outlet dan Target Toko'!$E:$E,0)),"")</f>
        <v>GRSM 6</v>
      </c>
      <c r="E1479" s="20" t="str">
        <f>IFERROR(VLOOKUP(I1479,KET!$B:$F,4,0),"")</f>
        <v>WINDA</v>
      </c>
      <c r="F1479" s="20" t="str">
        <f>IFERROR(VLOOKUP(I1479,KET!$B:$F,5,0),"")</f>
        <v>GMM</v>
      </c>
      <c r="G1479" s="20">
        <f>IFERROR(INDEX('Kode Outlet dan Target Toko'!$C:$C,MATCH($I1479,'Kode Outlet dan Target Toko'!$E:$E,0)),0)</f>
        <v>211163</v>
      </c>
      <c r="H1479" s="20">
        <f>IFERROR(INDEX('Kode Outlet dan Target Toko'!$D:$D,MATCH($I1479,'Kode Outlet dan Target Toko'!$E:$E,0)),0)</f>
        <v>3703219</v>
      </c>
      <c r="I1479" s="42" t="s">
        <v>52</v>
      </c>
      <c r="J1479" s="56" t="s">
        <v>273</v>
      </c>
      <c r="K1479" s="40" t="s">
        <v>15</v>
      </c>
      <c r="L1479" s="26">
        <v>2900</v>
      </c>
      <c r="M1479" s="26">
        <v>21</v>
      </c>
      <c r="N1479" s="25">
        <f t="shared" ref="N1479:N1542" si="47">IFERROR(M1479*L1479,"")</f>
        <v>60900</v>
      </c>
      <c r="O1479" s="56"/>
    </row>
    <row r="1480" spans="1:15" hidden="1" x14ac:dyDescent="0.3">
      <c r="A1480" s="26">
        <v>28</v>
      </c>
      <c r="B1480" s="20" t="str">
        <f t="shared" si="46"/>
        <v>JUL</v>
      </c>
      <c r="C1480" s="21">
        <v>46213</v>
      </c>
      <c r="D1480" s="22" t="str">
        <f t="array" ref="D1480">IFERROR(INDEX('Kode Outlet dan Target Toko'!$A:$A,MATCH($I1480,'Kode Outlet dan Target Toko'!$E:$E,0)),"")</f>
        <v>GRSM 6</v>
      </c>
      <c r="E1480" s="20" t="str">
        <f>IFERROR(VLOOKUP(I1480,KET!$B:$F,4,0),"")</f>
        <v>WINDA</v>
      </c>
      <c r="F1480" s="20" t="str">
        <f>IFERROR(VLOOKUP(I1480,KET!$B:$F,5,0),"")</f>
        <v>GMM</v>
      </c>
      <c r="G1480" s="20">
        <f>IFERROR(INDEX('Kode Outlet dan Target Toko'!$C:$C,MATCH($I1480,'Kode Outlet dan Target Toko'!$E:$E,0)),0)</f>
        <v>211163</v>
      </c>
      <c r="H1480" s="20">
        <f>IFERROR(INDEX('Kode Outlet dan Target Toko'!$D:$D,MATCH($I1480,'Kode Outlet dan Target Toko'!$E:$E,0)),0)</f>
        <v>3703219</v>
      </c>
      <c r="I1480" s="42" t="s">
        <v>52</v>
      </c>
      <c r="J1480" s="56" t="s">
        <v>273</v>
      </c>
      <c r="K1480" s="40" t="s">
        <v>14</v>
      </c>
      <c r="L1480" s="26">
        <v>2900</v>
      </c>
      <c r="M1480" s="26">
        <v>60</v>
      </c>
      <c r="N1480" s="25">
        <f t="shared" si="47"/>
        <v>174000</v>
      </c>
      <c r="O1480" s="56"/>
    </row>
    <row r="1481" spans="1:15" hidden="1" x14ac:dyDescent="0.3">
      <c r="A1481" s="26">
        <v>28</v>
      </c>
      <c r="B1481" s="20" t="str">
        <f t="shared" si="46"/>
        <v>JUL</v>
      </c>
      <c r="C1481" s="21">
        <v>46213</v>
      </c>
      <c r="D1481" s="22" t="str">
        <f t="array" ref="D1481">IFERROR(INDEX('Kode Outlet dan Target Toko'!$A:$A,MATCH($I1481,'Kode Outlet dan Target Toko'!$E:$E,0)),"")</f>
        <v>GRSM 6</v>
      </c>
      <c r="E1481" s="20" t="str">
        <f>IFERROR(VLOOKUP(I1481,KET!$B:$F,4,0),"")</f>
        <v>WINDA</v>
      </c>
      <c r="F1481" s="20" t="str">
        <f>IFERROR(VLOOKUP(I1481,KET!$B:$F,5,0),"")</f>
        <v>GMM</v>
      </c>
      <c r="G1481" s="20">
        <f>IFERROR(INDEX('Kode Outlet dan Target Toko'!$C:$C,MATCH($I1481,'Kode Outlet dan Target Toko'!$E:$E,0)),0)</f>
        <v>211163</v>
      </c>
      <c r="H1481" s="20">
        <f>IFERROR(INDEX('Kode Outlet dan Target Toko'!$D:$D,MATCH($I1481,'Kode Outlet dan Target Toko'!$E:$E,0)),0)</f>
        <v>3703219</v>
      </c>
      <c r="I1481" s="42" t="s">
        <v>52</v>
      </c>
      <c r="J1481" s="56" t="s">
        <v>273</v>
      </c>
      <c r="K1481" s="40" t="s">
        <v>13</v>
      </c>
      <c r="L1481" s="26">
        <v>2900</v>
      </c>
      <c r="M1481" s="26">
        <v>0</v>
      </c>
      <c r="N1481" s="25">
        <f t="shared" si="47"/>
        <v>0</v>
      </c>
      <c r="O1481" s="56"/>
    </row>
    <row r="1482" spans="1:15" hidden="1" x14ac:dyDescent="0.3">
      <c r="A1482" s="26">
        <v>28</v>
      </c>
      <c r="B1482" s="20" t="str">
        <f t="shared" si="46"/>
        <v>JUL</v>
      </c>
      <c r="C1482" s="21">
        <v>46213</v>
      </c>
      <c r="D1482" s="22" t="str">
        <f t="array" ref="D1482">IFERROR(INDEX('Kode Outlet dan Target Toko'!$A:$A,MATCH($I1482,'Kode Outlet dan Target Toko'!$E:$E,0)),"")</f>
        <v>GRSM 6</v>
      </c>
      <c r="E1482" s="20" t="str">
        <f>IFERROR(VLOOKUP(I1482,KET!$B:$F,4,0),"")</f>
        <v>WINDA</v>
      </c>
      <c r="F1482" s="20" t="str">
        <f>IFERROR(VLOOKUP(I1482,KET!$B:$F,5,0),"")</f>
        <v>GMM</v>
      </c>
      <c r="G1482" s="20">
        <f>IFERROR(INDEX('Kode Outlet dan Target Toko'!$C:$C,MATCH($I1482,'Kode Outlet dan Target Toko'!$E:$E,0)),0)</f>
        <v>211163</v>
      </c>
      <c r="H1482" s="20">
        <f>IFERROR(INDEX('Kode Outlet dan Target Toko'!$D:$D,MATCH($I1482,'Kode Outlet dan Target Toko'!$E:$E,0)),0)</f>
        <v>3703219</v>
      </c>
      <c r="I1482" s="42" t="s">
        <v>52</v>
      </c>
      <c r="J1482" s="56" t="s">
        <v>273</v>
      </c>
      <c r="K1482" s="40" t="s">
        <v>16</v>
      </c>
      <c r="L1482" s="26">
        <v>2900</v>
      </c>
      <c r="M1482" s="26">
        <v>65</v>
      </c>
      <c r="N1482" s="25">
        <f t="shared" si="47"/>
        <v>188500</v>
      </c>
      <c r="O1482" s="56">
        <v>120</v>
      </c>
    </row>
    <row r="1483" spans="1:15" hidden="1" x14ac:dyDescent="0.3">
      <c r="A1483" s="26">
        <v>28</v>
      </c>
      <c r="B1483" s="20" t="str">
        <f t="shared" si="46"/>
        <v>JUL</v>
      </c>
      <c r="C1483" s="21">
        <v>46213</v>
      </c>
      <c r="D1483" s="22" t="str">
        <f t="array" ref="D1483">IFERROR(INDEX('Kode Outlet dan Target Toko'!$A:$A,MATCH($I1483,'Kode Outlet dan Target Toko'!$E:$E,0)),"")</f>
        <v>GRSM 6</v>
      </c>
      <c r="E1483" s="20" t="str">
        <f>IFERROR(VLOOKUP(I1483,KET!$B:$F,4,0),"")</f>
        <v>WINDA</v>
      </c>
      <c r="F1483" s="20" t="str">
        <f>IFERROR(VLOOKUP(I1483,KET!$B:$F,5,0),"")</f>
        <v>GMM</v>
      </c>
      <c r="G1483" s="20">
        <f>IFERROR(INDEX('Kode Outlet dan Target Toko'!$C:$C,MATCH($I1483,'Kode Outlet dan Target Toko'!$E:$E,0)),0)</f>
        <v>211163</v>
      </c>
      <c r="H1483" s="20">
        <f>IFERROR(INDEX('Kode Outlet dan Target Toko'!$D:$D,MATCH($I1483,'Kode Outlet dan Target Toko'!$E:$E,0)),0)</f>
        <v>3703219</v>
      </c>
      <c r="I1483" s="42" t="s">
        <v>52</v>
      </c>
      <c r="J1483" s="56" t="s">
        <v>274</v>
      </c>
      <c r="K1483" s="40" t="s">
        <v>15</v>
      </c>
      <c r="L1483" s="26">
        <v>2900</v>
      </c>
      <c r="M1483" s="26">
        <v>21</v>
      </c>
      <c r="N1483" s="25">
        <f t="shared" si="47"/>
        <v>60900</v>
      </c>
      <c r="O1483" s="56"/>
    </row>
    <row r="1484" spans="1:15" hidden="1" x14ac:dyDescent="0.3">
      <c r="A1484" s="26">
        <v>28</v>
      </c>
      <c r="B1484" s="20" t="str">
        <f t="shared" si="46"/>
        <v>JUL</v>
      </c>
      <c r="C1484" s="21">
        <v>46213</v>
      </c>
      <c r="D1484" s="22" t="str">
        <f t="array" ref="D1484">IFERROR(INDEX('Kode Outlet dan Target Toko'!$A:$A,MATCH($I1484,'Kode Outlet dan Target Toko'!$E:$E,0)),"")</f>
        <v>GRSM 6</v>
      </c>
      <c r="E1484" s="20" t="str">
        <f>IFERROR(VLOOKUP(I1484,KET!$B:$F,4,0),"")</f>
        <v>WINDA</v>
      </c>
      <c r="F1484" s="20" t="str">
        <f>IFERROR(VLOOKUP(I1484,KET!$B:$F,5,0),"")</f>
        <v>GMM</v>
      </c>
      <c r="G1484" s="20">
        <f>IFERROR(INDEX('Kode Outlet dan Target Toko'!$C:$C,MATCH($I1484,'Kode Outlet dan Target Toko'!$E:$E,0)),0)</f>
        <v>211163</v>
      </c>
      <c r="H1484" s="20">
        <f>IFERROR(INDEX('Kode Outlet dan Target Toko'!$D:$D,MATCH($I1484,'Kode Outlet dan Target Toko'!$E:$E,0)),0)</f>
        <v>3703219</v>
      </c>
      <c r="I1484" s="42" t="s">
        <v>52</v>
      </c>
      <c r="J1484" s="56" t="s">
        <v>274</v>
      </c>
      <c r="K1484" s="40" t="s">
        <v>14</v>
      </c>
      <c r="L1484" s="26">
        <v>2900</v>
      </c>
      <c r="M1484" s="26">
        <v>60</v>
      </c>
      <c r="N1484" s="25">
        <f t="shared" si="47"/>
        <v>174000</v>
      </c>
      <c r="O1484" s="56"/>
    </row>
    <row r="1485" spans="1:15" hidden="1" x14ac:dyDescent="0.3">
      <c r="A1485" s="26">
        <v>28</v>
      </c>
      <c r="B1485" s="20" t="str">
        <f t="shared" si="46"/>
        <v>JUL</v>
      </c>
      <c r="C1485" s="21">
        <v>46213</v>
      </c>
      <c r="D1485" s="22" t="str">
        <f t="array" ref="D1485">IFERROR(INDEX('Kode Outlet dan Target Toko'!$A:$A,MATCH($I1485,'Kode Outlet dan Target Toko'!$E:$E,0)),"")</f>
        <v>GRSM 6</v>
      </c>
      <c r="E1485" s="20" t="str">
        <f>IFERROR(VLOOKUP(I1485,KET!$B:$F,4,0),"")</f>
        <v>WINDA</v>
      </c>
      <c r="F1485" s="20" t="str">
        <f>IFERROR(VLOOKUP(I1485,KET!$B:$F,5,0),"")</f>
        <v>GMM</v>
      </c>
      <c r="G1485" s="20">
        <f>IFERROR(INDEX('Kode Outlet dan Target Toko'!$C:$C,MATCH($I1485,'Kode Outlet dan Target Toko'!$E:$E,0)),0)</f>
        <v>211163</v>
      </c>
      <c r="H1485" s="20">
        <f>IFERROR(INDEX('Kode Outlet dan Target Toko'!$D:$D,MATCH($I1485,'Kode Outlet dan Target Toko'!$E:$E,0)),0)</f>
        <v>3703219</v>
      </c>
      <c r="I1485" s="42" t="s">
        <v>52</v>
      </c>
      <c r="J1485" s="56" t="s">
        <v>274</v>
      </c>
      <c r="K1485" s="40" t="s">
        <v>13</v>
      </c>
      <c r="L1485" s="26">
        <v>2900</v>
      </c>
      <c r="M1485" s="26">
        <v>0</v>
      </c>
      <c r="N1485" s="25">
        <f t="shared" si="47"/>
        <v>0</v>
      </c>
      <c r="O1485" s="56"/>
    </row>
    <row r="1486" spans="1:15" hidden="1" x14ac:dyDescent="0.3">
      <c r="A1486" s="26">
        <v>28</v>
      </c>
      <c r="B1486" s="20" t="str">
        <f t="shared" si="46"/>
        <v>JUL</v>
      </c>
      <c r="C1486" s="21">
        <v>46213</v>
      </c>
      <c r="D1486" s="22" t="str">
        <f t="array" ref="D1486">IFERROR(INDEX('Kode Outlet dan Target Toko'!$A:$A,MATCH($I1486,'Kode Outlet dan Target Toko'!$E:$E,0)),"")</f>
        <v>GRSM 6</v>
      </c>
      <c r="E1486" s="20" t="str">
        <f>IFERROR(VLOOKUP(I1486,KET!$B:$F,4,0),"")</f>
        <v>WINDA</v>
      </c>
      <c r="F1486" s="20" t="str">
        <f>IFERROR(VLOOKUP(I1486,KET!$B:$F,5,0),"")</f>
        <v>GMM</v>
      </c>
      <c r="G1486" s="20">
        <f>IFERROR(INDEX('Kode Outlet dan Target Toko'!$C:$C,MATCH($I1486,'Kode Outlet dan Target Toko'!$E:$E,0)),0)</f>
        <v>211163</v>
      </c>
      <c r="H1486" s="20">
        <f>IFERROR(INDEX('Kode Outlet dan Target Toko'!$D:$D,MATCH($I1486,'Kode Outlet dan Target Toko'!$E:$E,0)),0)</f>
        <v>3703219</v>
      </c>
      <c r="I1486" s="42" t="s">
        <v>52</v>
      </c>
      <c r="J1486" s="56" t="s">
        <v>274</v>
      </c>
      <c r="K1486" s="40" t="s">
        <v>16</v>
      </c>
      <c r="L1486" s="26">
        <v>2900</v>
      </c>
      <c r="M1486" s="26">
        <v>65</v>
      </c>
      <c r="N1486" s="25">
        <f t="shared" si="47"/>
        <v>188500</v>
      </c>
      <c r="O1486" s="56">
        <v>120</v>
      </c>
    </row>
    <row r="1487" spans="1:15" hidden="1" x14ac:dyDescent="0.3">
      <c r="A1487" s="26">
        <v>28</v>
      </c>
      <c r="B1487" s="20" t="str">
        <f t="shared" si="46"/>
        <v>JUL</v>
      </c>
      <c r="C1487" s="21">
        <v>46213</v>
      </c>
      <c r="D1487" s="22" t="str">
        <f t="array" ref="D1487">IFERROR(INDEX('Kode Outlet dan Target Toko'!$A:$A,MATCH($I1487,'Kode Outlet dan Target Toko'!$E:$E,0)),"")</f>
        <v>GRSM 6</v>
      </c>
      <c r="E1487" s="20" t="str">
        <f>IFERROR(VLOOKUP(I1487,KET!$B:$F,4,0),"")</f>
        <v>WINDA</v>
      </c>
      <c r="F1487" s="20" t="str">
        <f>IFERROR(VLOOKUP(I1487,KET!$B:$F,5,0),"")</f>
        <v>GMM</v>
      </c>
      <c r="G1487" s="20">
        <f>IFERROR(INDEX('Kode Outlet dan Target Toko'!$C:$C,MATCH($I1487,'Kode Outlet dan Target Toko'!$E:$E,0)),0)</f>
        <v>103765</v>
      </c>
      <c r="H1487" s="20">
        <f>IFERROR(INDEX('Kode Outlet dan Target Toko'!$D:$D,MATCH($I1487,'Kode Outlet dan Target Toko'!$E:$E,0)),0)</f>
        <v>4307038</v>
      </c>
      <c r="I1487" s="42" t="s">
        <v>48</v>
      </c>
      <c r="J1487" s="56" t="s">
        <v>269</v>
      </c>
      <c r="K1487" s="40" t="s">
        <v>15</v>
      </c>
      <c r="L1487" s="26">
        <v>2000</v>
      </c>
      <c r="M1487" s="26">
        <v>165</v>
      </c>
      <c r="N1487" s="25">
        <f t="shared" si="47"/>
        <v>330000</v>
      </c>
      <c r="O1487" s="56"/>
    </row>
    <row r="1488" spans="1:15" hidden="1" x14ac:dyDescent="0.3">
      <c r="A1488" s="26">
        <v>28</v>
      </c>
      <c r="B1488" s="20" t="str">
        <f t="shared" si="46"/>
        <v>JUL</v>
      </c>
      <c r="C1488" s="21">
        <v>46213</v>
      </c>
      <c r="D1488" s="22" t="str">
        <f t="array" ref="D1488">IFERROR(INDEX('Kode Outlet dan Target Toko'!$A:$A,MATCH($I1488,'Kode Outlet dan Target Toko'!$E:$E,0)),"")</f>
        <v>GRSM 6</v>
      </c>
      <c r="E1488" s="20" t="str">
        <f>IFERROR(VLOOKUP(I1488,KET!$B:$F,4,0),"")</f>
        <v>WINDA</v>
      </c>
      <c r="F1488" s="20" t="str">
        <f>IFERROR(VLOOKUP(I1488,KET!$B:$F,5,0),"")</f>
        <v>GMM</v>
      </c>
      <c r="G1488" s="20">
        <f>IFERROR(INDEX('Kode Outlet dan Target Toko'!$C:$C,MATCH($I1488,'Kode Outlet dan Target Toko'!$E:$E,0)),0)</f>
        <v>103765</v>
      </c>
      <c r="H1488" s="20">
        <f>IFERROR(INDEX('Kode Outlet dan Target Toko'!$D:$D,MATCH($I1488,'Kode Outlet dan Target Toko'!$E:$E,0)),0)</f>
        <v>4307038</v>
      </c>
      <c r="I1488" s="42" t="s">
        <v>48</v>
      </c>
      <c r="J1488" s="56" t="s">
        <v>269</v>
      </c>
      <c r="K1488" s="40" t="s">
        <v>14</v>
      </c>
      <c r="L1488" s="26">
        <v>2000</v>
      </c>
      <c r="M1488" s="26">
        <v>150</v>
      </c>
      <c r="N1488" s="25">
        <f t="shared" si="47"/>
        <v>300000</v>
      </c>
      <c r="O1488" s="56"/>
    </row>
    <row r="1489" spans="1:15" hidden="1" x14ac:dyDescent="0.3">
      <c r="A1489" s="26">
        <v>28</v>
      </c>
      <c r="B1489" s="20" t="str">
        <f t="shared" si="46"/>
        <v>JUL</v>
      </c>
      <c r="C1489" s="21">
        <v>46213</v>
      </c>
      <c r="D1489" s="22" t="str">
        <f t="array" ref="D1489">IFERROR(INDEX('Kode Outlet dan Target Toko'!$A:$A,MATCH($I1489,'Kode Outlet dan Target Toko'!$E:$E,0)),"")</f>
        <v>GRSM 6</v>
      </c>
      <c r="E1489" s="20" t="str">
        <f>IFERROR(VLOOKUP(I1489,KET!$B:$F,4,0),"")</f>
        <v>WINDA</v>
      </c>
      <c r="F1489" s="20" t="str">
        <f>IFERROR(VLOOKUP(I1489,KET!$B:$F,5,0),"")</f>
        <v>GMM</v>
      </c>
      <c r="G1489" s="20">
        <f>IFERROR(INDEX('Kode Outlet dan Target Toko'!$C:$C,MATCH($I1489,'Kode Outlet dan Target Toko'!$E:$E,0)),0)</f>
        <v>103765</v>
      </c>
      <c r="H1489" s="20">
        <f>IFERROR(INDEX('Kode Outlet dan Target Toko'!$D:$D,MATCH($I1489,'Kode Outlet dan Target Toko'!$E:$E,0)),0)</f>
        <v>4307038</v>
      </c>
      <c r="I1489" s="42" t="s">
        <v>48</v>
      </c>
      <c r="J1489" s="56" t="s">
        <v>269</v>
      </c>
      <c r="K1489" s="40" t="s">
        <v>13</v>
      </c>
      <c r="L1489" s="26">
        <v>2000</v>
      </c>
      <c r="M1489" s="26">
        <v>168</v>
      </c>
      <c r="N1489" s="25">
        <f t="shared" si="47"/>
        <v>336000</v>
      </c>
      <c r="O1489" s="56"/>
    </row>
    <row r="1490" spans="1:15" hidden="1" x14ac:dyDescent="0.3">
      <c r="A1490" s="26">
        <v>28</v>
      </c>
      <c r="B1490" s="20" t="str">
        <f t="shared" si="46"/>
        <v>JUL</v>
      </c>
      <c r="C1490" s="21">
        <v>46213</v>
      </c>
      <c r="D1490" s="22" t="str">
        <f t="array" ref="D1490">IFERROR(INDEX('Kode Outlet dan Target Toko'!$A:$A,MATCH($I1490,'Kode Outlet dan Target Toko'!$E:$E,0)),"")</f>
        <v>GRSM 6</v>
      </c>
      <c r="E1490" s="20" t="str">
        <f>IFERROR(VLOOKUP(I1490,KET!$B:$F,4,0),"")</f>
        <v>WINDA</v>
      </c>
      <c r="F1490" s="20" t="str">
        <f>IFERROR(VLOOKUP(I1490,KET!$B:$F,5,0),"")</f>
        <v>GMM</v>
      </c>
      <c r="G1490" s="20">
        <f>IFERROR(INDEX('Kode Outlet dan Target Toko'!$C:$C,MATCH($I1490,'Kode Outlet dan Target Toko'!$E:$E,0)),0)</f>
        <v>103765</v>
      </c>
      <c r="H1490" s="20">
        <f>IFERROR(INDEX('Kode Outlet dan Target Toko'!$D:$D,MATCH($I1490,'Kode Outlet dan Target Toko'!$E:$E,0)),0)</f>
        <v>4307038</v>
      </c>
      <c r="I1490" s="42" t="s">
        <v>48</v>
      </c>
      <c r="J1490" s="56" t="s">
        <v>269</v>
      </c>
      <c r="K1490" s="40" t="s">
        <v>16</v>
      </c>
      <c r="L1490" s="26">
        <v>2000</v>
      </c>
      <c r="M1490" s="26">
        <v>210</v>
      </c>
      <c r="N1490" s="25">
        <f t="shared" si="47"/>
        <v>420000</v>
      </c>
      <c r="O1490" s="56">
        <v>140</v>
      </c>
    </row>
    <row r="1491" spans="1:15" hidden="1" x14ac:dyDescent="0.3">
      <c r="A1491" s="26">
        <v>28</v>
      </c>
      <c r="B1491" s="20" t="str">
        <f t="shared" si="46"/>
        <v>JUL</v>
      </c>
      <c r="C1491" s="21">
        <v>46213</v>
      </c>
      <c r="D1491" s="22" t="str">
        <f t="array" ref="D1491">IFERROR(INDEX('Kode Outlet dan Target Toko'!$A:$A,MATCH($I1491,'Kode Outlet dan Target Toko'!$E:$E,0)),"")</f>
        <v>GRSM 6</v>
      </c>
      <c r="E1491" s="20" t="str">
        <f>IFERROR(VLOOKUP(I1491,KET!$B:$F,4,0),"")</f>
        <v>WINDA</v>
      </c>
      <c r="F1491" s="20" t="str">
        <f>IFERROR(VLOOKUP(I1491,KET!$B:$F,5,0),"")</f>
        <v>GMM</v>
      </c>
      <c r="G1491" s="20">
        <f>IFERROR(INDEX('Kode Outlet dan Target Toko'!$C:$C,MATCH($I1491,'Kode Outlet dan Target Toko'!$E:$E,0)),0)</f>
        <v>103765</v>
      </c>
      <c r="H1491" s="20">
        <f>IFERROR(INDEX('Kode Outlet dan Target Toko'!$D:$D,MATCH($I1491,'Kode Outlet dan Target Toko'!$E:$E,0)),0)</f>
        <v>4307038</v>
      </c>
      <c r="I1491" s="42" t="s">
        <v>48</v>
      </c>
      <c r="J1491" s="56" t="s">
        <v>270</v>
      </c>
      <c r="K1491" s="40" t="s">
        <v>15</v>
      </c>
      <c r="L1491" s="26">
        <v>2000</v>
      </c>
      <c r="M1491" s="26">
        <v>165</v>
      </c>
      <c r="N1491" s="25">
        <f t="shared" si="47"/>
        <v>330000</v>
      </c>
      <c r="O1491" s="56"/>
    </row>
    <row r="1492" spans="1:15" hidden="1" x14ac:dyDescent="0.3">
      <c r="A1492" s="26">
        <v>28</v>
      </c>
      <c r="B1492" s="20" t="str">
        <f t="shared" si="46"/>
        <v>JUL</v>
      </c>
      <c r="C1492" s="21">
        <v>46213</v>
      </c>
      <c r="D1492" s="22" t="str">
        <f t="array" ref="D1492">IFERROR(INDEX('Kode Outlet dan Target Toko'!$A:$A,MATCH($I1492,'Kode Outlet dan Target Toko'!$E:$E,0)),"")</f>
        <v>GRSM 6</v>
      </c>
      <c r="E1492" s="20" t="str">
        <f>IFERROR(VLOOKUP(I1492,KET!$B:$F,4,0),"")</f>
        <v>WINDA</v>
      </c>
      <c r="F1492" s="20" t="str">
        <f>IFERROR(VLOOKUP(I1492,KET!$B:$F,5,0),"")</f>
        <v>GMM</v>
      </c>
      <c r="G1492" s="20">
        <f>IFERROR(INDEX('Kode Outlet dan Target Toko'!$C:$C,MATCH($I1492,'Kode Outlet dan Target Toko'!$E:$E,0)),0)</f>
        <v>103765</v>
      </c>
      <c r="H1492" s="20">
        <f>IFERROR(INDEX('Kode Outlet dan Target Toko'!$D:$D,MATCH($I1492,'Kode Outlet dan Target Toko'!$E:$E,0)),0)</f>
        <v>4307038</v>
      </c>
      <c r="I1492" s="42" t="s">
        <v>48</v>
      </c>
      <c r="J1492" s="56" t="s">
        <v>270</v>
      </c>
      <c r="K1492" s="40" t="s">
        <v>14</v>
      </c>
      <c r="L1492" s="26">
        <v>2000</v>
      </c>
      <c r="M1492" s="26">
        <v>150</v>
      </c>
      <c r="N1492" s="25">
        <f t="shared" si="47"/>
        <v>300000</v>
      </c>
      <c r="O1492" s="56"/>
    </row>
    <row r="1493" spans="1:15" hidden="1" x14ac:dyDescent="0.3">
      <c r="A1493" s="26">
        <v>28</v>
      </c>
      <c r="B1493" s="20" t="str">
        <f t="shared" si="46"/>
        <v>JUL</v>
      </c>
      <c r="C1493" s="21">
        <v>46213</v>
      </c>
      <c r="D1493" s="22" t="str">
        <f t="array" ref="D1493">IFERROR(INDEX('Kode Outlet dan Target Toko'!$A:$A,MATCH($I1493,'Kode Outlet dan Target Toko'!$E:$E,0)),"")</f>
        <v>GRSM 6</v>
      </c>
      <c r="E1493" s="20" t="str">
        <f>IFERROR(VLOOKUP(I1493,KET!$B:$F,4,0),"")</f>
        <v>WINDA</v>
      </c>
      <c r="F1493" s="20" t="str">
        <f>IFERROR(VLOOKUP(I1493,KET!$B:$F,5,0),"")</f>
        <v>GMM</v>
      </c>
      <c r="G1493" s="20">
        <f>IFERROR(INDEX('Kode Outlet dan Target Toko'!$C:$C,MATCH($I1493,'Kode Outlet dan Target Toko'!$E:$E,0)),0)</f>
        <v>103765</v>
      </c>
      <c r="H1493" s="20">
        <f>IFERROR(INDEX('Kode Outlet dan Target Toko'!$D:$D,MATCH($I1493,'Kode Outlet dan Target Toko'!$E:$E,0)),0)</f>
        <v>4307038</v>
      </c>
      <c r="I1493" s="42" t="s">
        <v>48</v>
      </c>
      <c r="J1493" s="56" t="s">
        <v>270</v>
      </c>
      <c r="K1493" s="40" t="s">
        <v>13</v>
      </c>
      <c r="L1493" s="26">
        <v>2000</v>
      </c>
      <c r="M1493" s="26">
        <v>168</v>
      </c>
      <c r="N1493" s="25">
        <f t="shared" si="47"/>
        <v>336000</v>
      </c>
      <c r="O1493" s="56"/>
    </row>
    <row r="1494" spans="1:15" hidden="1" x14ac:dyDescent="0.3">
      <c r="A1494" s="26">
        <v>28</v>
      </c>
      <c r="B1494" s="20" t="str">
        <f t="shared" si="46"/>
        <v>JUL</v>
      </c>
      <c r="C1494" s="21">
        <v>46213</v>
      </c>
      <c r="D1494" s="22" t="str">
        <f t="array" ref="D1494">IFERROR(INDEX('Kode Outlet dan Target Toko'!$A:$A,MATCH($I1494,'Kode Outlet dan Target Toko'!$E:$E,0)),"")</f>
        <v>GRSM 6</v>
      </c>
      <c r="E1494" s="20" t="str">
        <f>IFERROR(VLOOKUP(I1494,KET!$B:$F,4,0),"")</f>
        <v>WINDA</v>
      </c>
      <c r="F1494" s="20" t="str">
        <f>IFERROR(VLOOKUP(I1494,KET!$B:$F,5,0),"")</f>
        <v>GMM</v>
      </c>
      <c r="G1494" s="20">
        <f>IFERROR(INDEX('Kode Outlet dan Target Toko'!$C:$C,MATCH($I1494,'Kode Outlet dan Target Toko'!$E:$E,0)),0)</f>
        <v>103765</v>
      </c>
      <c r="H1494" s="20">
        <f>IFERROR(INDEX('Kode Outlet dan Target Toko'!$D:$D,MATCH($I1494,'Kode Outlet dan Target Toko'!$E:$E,0)),0)</f>
        <v>4307038</v>
      </c>
      <c r="I1494" s="42" t="s">
        <v>48</v>
      </c>
      <c r="J1494" s="56" t="s">
        <v>270</v>
      </c>
      <c r="K1494" s="40" t="s">
        <v>16</v>
      </c>
      <c r="L1494" s="26">
        <v>2000</v>
      </c>
      <c r="M1494" s="26">
        <v>210</v>
      </c>
      <c r="N1494" s="25">
        <f t="shared" si="47"/>
        <v>420000</v>
      </c>
      <c r="O1494" s="56">
        <v>140</v>
      </c>
    </row>
    <row r="1495" spans="1:15" hidden="1" x14ac:dyDescent="0.3">
      <c r="A1495" s="26">
        <v>29</v>
      </c>
      <c r="B1495" s="20" t="str">
        <f t="shared" si="46"/>
        <v>JUL</v>
      </c>
      <c r="C1495" s="21">
        <v>46220</v>
      </c>
      <c r="D1495" s="22" t="str">
        <f t="array" ref="D1495">IFERROR(INDEX('Kode Outlet dan Target Toko'!$A:$A,MATCH($I1495,'Kode Outlet dan Target Toko'!$E:$E,0)),"")</f>
        <v>GRSM 4</v>
      </c>
      <c r="E1495" s="20" t="str">
        <f>IFERROR(VLOOKUP(I1495,KET!$B:$F,4,0),"")</f>
        <v>FAHMI LUKMANUL HAKIM</v>
      </c>
      <c r="F1495" s="20" t="str">
        <f>IFERROR(VLOOKUP(I1495,KET!$B:$F,5,0),"")</f>
        <v>GMM</v>
      </c>
      <c r="G1495" s="20">
        <f>IFERROR(INDEX('Kode Outlet dan Target Toko'!$C:$C,MATCH($I1495,'Kode Outlet dan Target Toko'!$E:$E,0)),0)</f>
        <v>103257</v>
      </c>
      <c r="H1495" s="20">
        <f>IFERROR(INDEX('Kode Outlet dan Target Toko'!$D:$D,MATCH($I1495,'Kode Outlet dan Target Toko'!$E:$E,0)),0)</f>
        <v>9162509</v>
      </c>
      <c r="I1495" s="42" t="s">
        <v>57</v>
      </c>
      <c r="J1495" s="56" t="s">
        <v>181</v>
      </c>
      <c r="K1495" s="40" t="s">
        <v>15</v>
      </c>
      <c r="L1495" s="26">
        <v>3200</v>
      </c>
      <c r="M1495" s="26">
        <v>63</v>
      </c>
      <c r="N1495" s="25">
        <f t="shared" si="47"/>
        <v>201600</v>
      </c>
      <c r="O1495" s="56"/>
    </row>
    <row r="1496" spans="1:15" hidden="1" x14ac:dyDescent="0.3">
      <c r="A1496" s="26">
        <v>29</v>
      </c>
      <c r="B1496" s="20" t="str">
        <f t="shared" si="46"/>
        <v>JUL</v>
      </c>
      <c r="C1496" s="21">
        <v>46220</v>
      </c>
      <c r="D1496" s="22" t="str">
        <f t="array" ref="D1496">IFERROR(INDEX('Kode Outlet dan Target Toko'!$A:$A,MATCH($I1496,'Kode Outlet dan Target Toko'!$E:$E,0)),"")</f>
        <v>GRSM 4</v>
      </c>
      <c r="E1496" s="20" t="str">
        <f>IFERROR(VLOOKUP(I1496,KET!$B:$F,4,0),"")</f>
        <v>FAHMI LUKMANUL HAKIM</v>
      </c>
      <c r="F1496" s="20" t="str">
        <f>IFERROR(VLOOKUP(I1496,KET!$B:$F,5,0),"")</f>
        <v>GMM</v>
      </c>
      <c r="G1496" s="20">
        <f>IFERROR(INDEX('Kode Outlet dan Target Toko'!$C:$C,MATCH($I1496,'Kode Outlet dan Target Toko'!$E:$E,0)),0)</f>
        <v>103257</v>
      </c>
      <c r="H1496" s="20">
        <f>IFERROR(INDEX('Kode Outlet dan Target Toko'!$D:$D,MATCH($I1496,'Kode Outlet dan Target Toko'!$E:$E,0)),0)</f>
        <v>9162509</v>
      </c>
      <c r="I1496" s="42" t="s">
        <v>57</v>
      </c>
      <c r="J1496" s="56" t="s">
        <v>181</v>
      </c>
      <c r="K1496" s="40" t="s">
        <v>14</v>
      </c>
      <c r="L1496" s="26">
        <v>3200</v>
      </c>
      <c r="M1496" s="26">
        <v>59</v>
      </c>
      <c r="N1496" s="25">
        <f t="shared" si="47"/>
        <v>188800</v>
      </c>
      <c r="O1496" s="56"/>
    </row>
    <row r="1497" spans="1:15" hidden="1" x14ac:dyDescent="0.3">
      <c r="A1497" s="26">
        <v>29</v>
      </c>
      <c r="B1497" s="20" t="str">
        <f t="shared" si="46"/>
        <v>JUL</v>
      </c>
      <c r="C1497" s="21">
        <v>46220</v>
      </c>
      <c r="D1497" s="22" t="str">
        <f t="array" ref="D1497">IFERROR(INDEX('Kode Outlet dan Target Toko'!$A:$A,MATCH($I1497,'Kode Outlet dan Target Toko'!$E:$E,0)),"")</f>
        <v>GRSM 4</v>
      </c>
      <c r="E1497" s="20" t="str">
        <f>IFERROR(VLOOKUP(I1497,KET!$B:$F,4,0),"")</f>
        <v>FAHMI LUKMANUL HAKIM</v>
      </c>
      <c r="F1497" s="20" t="str">
        <f>IFERROR(VLOOKUP(I1497,KET!$B:$F,5,0),"")</f>
        <v>GMM</v>
      </c>
      <c r="G1497" s="20">
        <f>IFERROR(INDEX('Kode Outlet dan Target Toko'!$C:$C,MATCH($I1497,'Kode Outlet dan Target Toko'!$E:$E,0)),0)</f>
        <v>103257</v>
      </c>
      <c r="H1497" s="20">
        <f>IFERROR(INDEX('Kode Outlet dan Target Toko'!$D:$D,MATCH($I1497,'Kode Outlet dan Target Toko'!$E:$E,0)),0)</f>
        <v>9162509</v>
      </c>
      <c r="I1497" s="42" t="s">
        <v>57</v>
      </c>
      <c r="J1497" s="56" t="s">
        <v>181</v>
      </c>
      <c r="K1497" s="40" t="s">
        <v>13</v>
      </c>
      <c r="L1497" s="26">
        <v>3200</v>
      </c>
      <c r="M1497" s="26">
        <v>47</v>
      </c>
      <c r="N1497" s="25">
        <f t="shared" si="47"/>
        <v>150400</v>
      </c>
      <c r="O1497" s="56"/>
    </row>
    <row r="1498" spans="1:15" hidden="1" x14ac:dyDescent="0.3">
      <c r="A1498" s="26">
        <v>29</v>
      </c>
      <c r="B1498" s="20" t="str">
        <f t="shared" si="46"/>
        <v>JUL</v>
      </c>
      <c r="C1498" s="21">
        <v>46220</v>
      </c>
      <c r="D1498" s="22" t="str">
        <f t="array" ref="D1498">IFERROR(INDEX('Kode Outlet dan Target Toko'!$A:$A,MATCH($I1498,'Kode Outlet dan Target Toko'!$E:$E,0)),"")</f>
        <v>GRSM 4</v>
      </c>
      <c r="E1498" s="20" t="str">
        <f>IFERROR(VLOOKUP(I1498,KET!$B:$F,4,0),"")</f>
        <v>FAHMI LUKMANUL HAKIM</v>
      </c>
      <c r="F1498" s="20" t="str">
        <f>IFERROR(VLOOKUP(I1498,KET!$B:$F,5,0),"")</f>
        <v>GMM</v>
      </c>
      <c r="G1498" s="20">
        <f>IFERROR(INDEX('Kode Outlet dan Target Toko'!$C:$C,MATCH($I1498,'Kode Outlet dan Target Toko'!$E:$E,0)),0)</f>
        <v>103257</v>
      </c>
      <c r="H1498" s="20">
        <f>IFERROR(INDEX('Kode Outlet dan Target Toko'!$D:$D,MATCH($I1498,'Kode Outlet dan Target Toko'!$E:$E,0)),0)</f>
        <v>9162509</v>
      </c>
      <c r="I1498" s="42" t="s">
        <v>57</v>
      </c>
      <c r="J1498" s="56" t="s">
        <v>181</v>
      </c>
      <c r="K1498" s="40" t="s">
        <v>16</v>
      </c>
      <c r="L1498" s="26">
        <v>3200</v>
      </c>
      <c r="M1498" s="26">
        <v>89</v>
      </c>
      <c r="N1498" s="25">
        <f t="shared" si="47"/>
        <v>284800</v>
      </c>
      <c r="O1498" s="56">
        <v>160</v>
      </c>
    </row>
    <row r="1499" spans="1:15" hidden="1" x14ac:dyDescent="0.3">
      <c r="A1499" s="26">
        <v>29</v>
      </c>
      <c r="B1499" s="20" t="str">
        <f t="shared" si="46"/>
        <v>JUL</v>
      </c>
      <c r="C1499" s="21">
        <v>46220</v>
      </c>
      <c r="D1499" s="22" t="str">
        <f t="array" ref="D1499">IFERROR(INDEX('Kode Outlet dan Target Toko'!$A:$A,MATCH($I1499,'Kode Outlet dan Target Toko'!$E:$E,0)),"")</f>
        <v>GRSM 4</v>
      </c>
      <c r="E1499" s="20" t="str">
        <f>IFERROR(VLOOKUP(I1499,KET!$B:$F,4,0),"")</f>
        <v>FAHMI LUKMANUL HAKIM</v>
      </c>
      <c r="F1499" s="20" t="str">
        <f>IFERROR(VLOOKUP(I1499,KET!$B:$F,5,0),"")</f>
        <v>GMM</v>
      </c>
      <c r="G1499" s="20">
        <f>IFERROR(INDEX('Kode Outlet dan Target Toko'!$C:$C,MATCH($I1499,'Kode Outlet dan Target Toko'!$E:$E,0)),0)</f>
        <v>103277</v>
      </c>
      <c r="H1499" s="20">
        <f>IFERROR(INDEX('Kode Outlet dan Target Toko'!$D:$D,MATCH($I1499,'Kode Outlet dan Target Toko'!$E:$E,0)),0)</f>
        <v>6300700</v>
      </c>
      <c r="I1499" s="50" t="s">
        <v>30</v>
      </c>
      <c r="J1499" s="56" t="s">
        <v>182</v>
      </c>
      <c r="K1499" s="40" t="s">
        <v>15</v>
      </c>
      <c r="L1499" s="26">
        <v>3000</v>
      </c>
      <c r="M1499" s="26">
        <v>35</v>
      </c>
      <c r="N1499" s="25">
        <f t="shared" si="47"/>
        <v>105000</v>
      </c>
      <c r="O1499" s="56"/>
    </row>
    <row r="1500" spans="1:15" hidden="1" x14ac:dyDescent="0.3">
      <c r="A1500" s="26">
        <v>29</v>
      </c>
      <c r="B1500" s="20" t="str">
        <f t="shared" si="46"/>
        <v>JUL</v>
      </c>
      <c r="C1500" s="21">
        <v>46220</v>
      </c>
      <c r="D1500" s="22" t="str">
        <f t="array" ref="D1500">IFERROR(INDEX('Kode Outlet dan Target Toko'!$A:$A,MATCH($I1500,'Kode Outlet dan Target Toko'!$E:$E,0)),"")</f>
        <v>GRSM 4</v>
      </c>
      <c r="E1500" s="20" t="str">
        <f>IFERROR(VLOOKUP(I1500,KET!$B:$F,4,0),"")</f>
        <v>FAHMI LUKMANUL HAKIM</v>
      </c>
      <c r="F1500" s="20" t="str">
        <f>IFERROR(VLOOKUP(I1500,KET!$B:$F,5,0),"")</f>
        <v>GMM</v>
      </c>
      <c r="G1500" s="20">
        <f>IFERROR(INDEX('Kode Outlet dan Target Toko'!$C:$C,MATCH($I1500,'Kode Outlet dan Target Toko'!$E:$E,0)),0)</f>
        <v>103277</v>
      </c>
      <c r="H1500" s="20">
        <f>IFERROR(INDEX('Kode Outlet dan Target Toko'!$D:$D,MATCH($I1500,'Kode Outlet dan Target Toko'!$E:$E,0)),0)</f>
        <v>6300700</v>
      </c>
      <c r="I1500" s="50" t="s">
        <v>30</v>
      </c>
      <c r="J1500" s="56" t="s">
        <v>182</v>
      </c>
      <c r="K1500" s="40" t="s">
        <v>14</v>
      </c>
      <c r="L1500" s="26">
        <v>3000</v>
      </c>
      <c r="M1500" s="26">
        <v>45</v>
      </c>
      <c r="N1500" s="25">
        <f t="shared" si="47"/>
        <v>135000</v>
      </c>
      <c r="O1500" s="56"/>
    </row>
    <row r="1501" spans="1:15" hidden="1" x14ac:dyDescent="0.3">
      <c r="A1501" s="26">
        <v>29</v>
      </c>
      <c r="B1501" s="20" t="str">
        <f t="shared" si="46"/>
        <v>JUL</v>
      </c>
      <c r="C1501" s="21">
        <v>46220</v>
      </c>
      <c r="D1501" s="22" t="str">
        <f t="array" ref="D1501">IFERROR(INDEX('Kode Outlet dan Target Toko'!$A:$A,MATCH($I1501,'Kode Outlet dan Target Toko'!$E:$E,0)),"")</f>
        <v>GRSM 4</v>
      </c>
      <c r="E1501" s="20" t="str">
        <f>IFERROR(VLOOKUP(I1501,KET!$B:$F,4,0),"")</f>
        <v>FAHMI LUKMANUL HAKIM</v>
      </c>
      <c r="F1501" s="20" t="str">
        <f>IFERROR(VLOOKUP(I1501,KET!$B:$F,5,0),"")</f>
        <v>GMM</v>
      </c>
      <c r="G1501" s="20">
        <f>IFERROR(INDEX('Kode Outlet dan Target Toko'!$C:$C,MATCH($I1501,'Kode Outlet dan Target Toko'!$E:$E,0)),0)</f>
        <v>103277</v>
      </c>
      <c r="H1501" s="20">
        <f>IFERROR(INDEX('Kode Outlet dan Target Toko'!$D:$D,MATCH($I1501,'Kode Outlet dan Target Toko'!$E:$E,0)),0)</f>
        <v>6300700</v>
      </c>
      <c r="I1501" s="50" t="s">
        <v>30</v>
      </c>
      <c r="J1501" s="56" t="s">
        <v>182</v>
      </c>
      <c r="K1501" s="40" t="s">
        <v>13</v>
      </c>
      <c r="L1501" s="26">
        <v>3000</v>
      </c>
      <c r="M1501" s="26">
        <v>30</v>
      </c>
      <c r="N1501" s="25">
        <f t="shared" si="47"/>
        <v>90000</v>
      </c>
      <c r="O1501" s="56"/>
    </row>
    <row r="1502" spans="1:15" hidden="1" x14ac:dyDescent="0.3">
      <c r="A1502" s="26">
        <v>29</v>
      </c>
      <c r="B1502" s="20" t="str">
        <f t="shared" si="46"/>
        <v>JUL</v>
      </c>
      <c r="C1502" s="21">
        <v>46220</v>
      </c>
      <c r="D1502" s="22" t="str">
        <f t="array" ref="D1502">IFERROR(INDEX('Kode Outlet dan Target Toko'!$A:$A,MATCH($I1502,'Kode Outlet dan Target Toko'!$E:$E,0)),"")</f>
        <v>GRSM 4</v>
      </c>
      <c r="E1502" s="20" t="str">
        <f>IFERROR(VLOOKUP(I1502,KET!$B:$F,4,0),"")</f>
        <v>FAHMI LUKMANUL HAKIM</v>
      </c>
      <c r="F1502" s="20" t="str">
        <f>IFERROR(VLOOKUP(I1502,KET!$B:$F,5,0),"")</f>
        <v>GMM</v>
      </c>
      <c r="G1502" s="20">
        <f>IFERROR(INDEX('Kode Outlet dan Target Toko'!$C:$C,MATCH($I1502,'Kode Outlet dan Target Toko'!$E:$E,0)),0)</f>
        <v>103277</v>
      </c>
      <c r="H1502" s="20">
        <f>IFERROR(INDEX('Kode Outlet dan Target Toko'!$D:$D,MATCH($I1502,'Kode Outlet dan Target Toko'!$E:$E,0)),0)</f>
        <v>6300700</v>
      </c>
      <c r="I1502" s="50" t="s">
        <v>30</v>
      </c>
      <c r="J1502" s="56" t="s">
        <v>182</v>
      </c>
      <c r="K1502" s="40" t="s">
        <v>16</v>
      </c>
      <c r="L1502" s="26">
        <v>3000</v>
      </c>
      <c r="M1502" s="26">
        <v>130</v>
      </c>
      <c r="N1502" s="25">
        <f t="shared" si="47"/>
        <v>390000</v>
      </c>
      <c r="O1502" s="56">
        <v>160</v>
      </c>
    </row>
    <row r="1503" spans="1:15" hidden="1" x14ac:dyDescent="0.3">
      <c r="A1503" s="26">
        <v>29</v>
      </c>
      <c r="B1503" s="20" t="str">
        <f t="shared" si="46"/>
        <v>JUL</v>
      </c>
      <c r="C1503" s="21">
        <v>46220</v>
      </c>
      <c r="D1503" s="22" t="str">
        <f t="array" ref="D1503">IFERROR(INDEX('Kode Outlet dan Target Toko'!$A:$A,MATCH($I1503,'Kode Outlet dan Target Toko'!$E:$E,0)),"")</f>
        <v>GRSM 4</v>
      </c>
      <c r="E1503" s="20" t="str">
        <f>IFERROR(VLOOKUP(I1503,KET!$B:$F,4,0),"")</f>
        <v>FAHMI LUKMANUL HAKIM</v>
      </c>
      <c r="F1503" s="20" t="str">
        <f>IFERROR(VLOOKUP(I1503,KET!$B:$F,5,0),"")</f>
        <v>GMM</v>
      </c>
      <c r="G1503" s="20">
        <f>IFERROR(INDEX('Kode Outlet dan Target Toko'!$C:$C,MATCH($I1503,'Kode Outlet dan Target Toko'!$E:$E,0)),0)</f>
        <v>103277</v>
      </c>
      <c r="H1503" s="20">
        <f>IFERROR(INDEX('Kode Outlet dan Target Toko'!$D:$D,MATCH($I1503,'Kode Outlet dan Target Toko'!$E:$E,0)),0)</f>
        <v>6300700</v>
      </c>
      <c r="I1503" s="50" t="s">
        <v>30</v>
      </c>
      <c r="J1503" s="56" t="s">
        <v>183</v>
      </c>
      <c r="K1503" s="40" t="s">
        <v>15</v>
      </c>
      <c r="L1503" s="26">
        <v>3000</v>
      </c>
      <c r="M1503" s="26">
        <v>30</v>
      </c>
      <c r="N1503" s="25">
        <f t="shared" si="47"/>
        <v>90000</v>
      </c>
      <c r="O1503" s="56"/>
    </row>
    <row r="1504" spans="1:15" hidden="1" x14ac:dyDescent="0.3">
      <c r="A1504" s="26">
        <v>29</v>
      </c>
      <c r="B1504" s="20" t="str">
        <f t="shared" si="46"/>
        <v>JUL</v>
      </c>
      <c r="C1504" s="21">
        <v>46220</v>
      </c>
      <c r="D1504" s="22" t="str">
        <f t="array" ref="D1504">IFERROR(INDEX('Kode Outlet dan Target Toko'!$A:$A,MATCH($I1504,'Kode Outlet dan Target Toko'!$E:$E,0)),"")</f>
        <v>GRSM 4</v>
      </c>
      <c r="E1504" s="20" t="str">
        <f>IFERROR(VLOOKUP(I1504,KET!$B:$F,4,0),"")</f>
        <v>FAHMI LUKMANUL HAKIM</v>
      </c>
      <c r="F1504" s="20" t="str">
        <f>IFERROR(VLOOKUP(I1504,KET!$B:$F,5,0),"")</f>
        <v>GMM</v>
      </c>
      <c r="G1504" s="20">
        <f>IFERROR(INDEX('Kode Outlet dan Target Toko'!$C:$C,MATCH($I1504,'Kode Outlet dan Target Toko'!$E:$E,0)),0)</f>
        <v>103277</v>
      </c>
      <c r="H1504" s="20">
        <f>IFERROR(INDEX('Kode Outlet dan Target Toko'!$D:$D,MATCH($I1504,'Kode Outlet dan Target Toko'!$E:$E,0)),0)</f>
        <v>6300700</v>
      </c>
      <c r="I1504" s="50" t="s">
        <v>30</v>
      </c>
      <c r="J1504" s="56" t="s">
        <v>183</v>
      </c>
      <c r="K1504" s="40" t="s">
        <v>14</v>
      </c>
      <c r="L1504" s="26">
        <v>3000</v>
      </c>
      <c r="M1504" s="26">
        <v>35</v>
      </c>
      <c r="N1504" s="25">
        <f t="shared" si="47"/>
        <v>105000</v>
      </c>
      <c r="O1504" s="56"/>
    </row>
    <row r="1505" spans="1:15" hidden="1" x14ac:dyDescent="0.3">
      <c r="A1505" s="26">
        <v>29</v>
      </c>
      <c r="B1505" s="20" t="str">
        <f t="shared" si="46"/>
        <v>JUL</v>
      </c>
      <c r="C1505" s="21">
        <v>46220</v>
      </c>
      <c r="D1505" s="22" t="str">
        <f t="array" ref="D1505">IFERROR(INDEX('Kode Outlet dan Target Toko'!$A:$A,MATCH($I1505,'Kode Outlet dan Target Toko'!$E:$E,0)),"")</f>
        <v>GRSM 4</v>
      </c>
      <c r="E1505" s="20" t="str">
        <f>IFERROR(VLOOKUP(I1505,KET!$B:$F,4,0),"")</f>
        <v>FAHMI LUKMANUL HAKIM</v>
      </c>
      <c r="F1505" s="20" t="str">
        <f>IFERROR(VLOOKUP(I1505,KET!$B:$F,5,0),"")</f>
        <v>GMM</v>
      </c>
      <c r="G1505" s="20">
        <f>IFERROR(INDEX('Kode Outlet dan Target Toko'!$C:$C,MATCH($I1505,'Kode Outlet dan Target Toko'!$E:$E,0)),0)</f>
        <v>103277</v>
      </c>
      <c r="H1505" s="20">
        <f>IFERROR(INDEX('Kode Outlet dan Target Toko'!$D:$D,MATCH($I1505,'Kode Outlet dan Target Toko'!$E:$E,0)),0)</f>
        <v>6300700</v>
      </c>
      <c r="I1505" s="50" t="s">
        <v>30</v>
      </c>
      <c r="J1505" s="56" t="s">
        <v>183</v>
      </c>
      <c r="K1505" s="40" t="s">
        <v>13</v>
      </c>
      <c r="L1505" s="26">
        <v>3000</v>
      </c>
      <c r="M1505" s="26">
        <v>25</v>
      </c>
      <c r="N1505" s="25">
        <f t="shared" si="47"/>
        <v>75000</v>
      </c>
      <c r="O1505" s="56"/>
    </row>
    <row r="1506" spans="1:15" hidden="1" x14ac:dyDescent="0.3">
      <c r="A1506" s="26">
        <v>29</v>
      </c>
      <c r="B1506" s="20" t="str">
        <f t="shared" si="46"/>
        <v>JUL</v>
      </c>
      <c r="C1506" s="21">
        <v>46220</v>
      </c>
      <c r="D1506" s="22" t="str">
        <f t="array" ref="D1506">IFERROR(INDEX('Kode Outlet dan Target Toko'!$A:$A,MATCH($I1506,'Kode Outlet dan Target Toko'!$E:$E,0)),"")</f>
        <v>GRSM 4</v>
      </c>
      <c r="E1506" s="20" t="str">
        <f>IFERROR(VLOOKUP(I1506,KET!$B:$F,4,0),"")</f>
        <v>FAHMI LUKMANUL HAKIM</v>
      </c>
      <c r="F1506" s="20" t="str">
        <f>IFERROR(VLOOKUP(I1506,KET!$B:$F,5,0),"")</f>
        <v>GMM</v>
      </c>
      <c r="G1506" s="20">
        <f>IFERROR(INDEX('Kode Outlet dan Target Toko'!$C:$C,MATCH($I1506,'Kode Outlet dan Target Toko'!$E:$E,0)),0)</f>
        <v>103277</v>
      </c>
      <c r="H1506" s="20">
        <f>IFERROR(INDEX('Kode Outlet dan Target Toko'!$D:$D,MATCH($I1506,'Kode Outlet dan Target Toko'!$E:$E,0)),0)</f>
        <v>6300700</v>
      </c>
      <c r="I1506" s="50" t="s">
        <v>30</v>
      </c>
      <c r="J1506" s="56" t="s">
        <v>183</v>
      </c>
      <c r="K1506" s="40" t="s">
        <v>16</v>
      </c>
      <c r="L1506" s="26">
        <v>3000</v>
      </c>
      <c r="M1506" s="26">
        <v>110</v>
      </c>
      <c r="N1506" s="25">
        <f t="shared" si="47"/>
        <v>330000</v>
      </c>
      <c r="O1506" s="56">
        <v>160</v>
      </c>
    </row>
    <row r="1507" spans="1:15" hidden="1" x14ac:dyDescent="0.3">
      <c r="A1507" s="26">
        <v>29</v>
      </c>
      <c r="B1507" s="20" t="str">
        <f t="shared" si="46"/>
        <v>JUL</v>
      </c>
      <c r="C1507" s="21">
        <v>46220</v>
      </c>
      <c r="D1507" s="22" t="str">
        <f t="array" ref="D1507">IFERROR(INDEX('Kode Outlet dan Target Toko'!$A:$A,MATCH($I1507,'Kode Outlet dan Target Toko'!$E:$E,0)),"")</f>
        <v>GRSM 4</v>
      </c>
      <c r="E1507" s="20" t="str">
        <f>IFERROR(VLOOKUP(I1507,KET!$B:$F,4,0),"")</f>
        <v>FAHMI LUKMANUL HAKIM</v>
      </c>
      <c r="F1507" s="20" t="str">
        <f>IFERROR(VLOOKUP(I1507,KET!$B:$F,5,0),"")</f>
        <v>GMM</v>
      </c>
      <c r="G1507" s="20">
        <f>IFERROR(INDEX('Kode Outlet dan Target Toko'!$C:$C,MATCH($I1507,'Kode Outlet dan Target Toko'!$E:$E,0)),0)</f>
        <v>189901</v>
      </c>
      <c r="H1507" s="20">
        <f>IFERROR(INDEX('Kode Outlet dan Target Toko'!$D:$D,MATCH($I1507,'Kode Outlet dan Target Toko'!$E:$E,0)),0)</f>
        <v>1602008</v>
      </c>
      <c r="I1507" s="42" t="s">
        <v>32</v>
      </c>
      <c r="J1507" s="56" t="s">
        <v>188</v>
      </c>
      <c r="K1507" s="40" t="s">
        <v>15</v>
      </c>
      <c r="L1507" s="26">
        <v>3300</v>
      </c>
      <c r="M1507" s="26">
        <v>50</v>
      </c>
      <c r="N1507" s="25">
        <f t="shared" si="47"/>
        <v>165000</v>
      </c>
      <c r="O1507" s="56"/>
    </row>
    <row r="1508" spans="1:15" hidden="1" x14ac:dyDescent="0.3">
      <c r="A1508" s="26">
        <v>29</v>
      </c>
      <c r="B1508" s="20" t="str">
        <f t="shared" si="46"/>
        <v>JUL</v>
      </c>
      <c r="C1508" s="21">
        <v>46220</v>
      </c>
      <c r="D1508" s="22" t="str">
        <f t="array" ref="D1508">IFERROR(INDEX('Kode Outlet dan Target Toko'!$A:$A,MATCH($I1508,'Kode Outlet dan Target Toko'!$E:$E,0)),"")</f>
        <v>GRSM 4</v>
      </c>
      <c r="E1508" s="20" t="str">
        <f>IFERROR(VLOOKUP(I1508,KET!$B:$F,4,0),"")</f>
        <v>FAHMI LUKMANUL HAKIM</v>
      </c>
      <c r="F1508" s="20" t="str">
        <f>IFERROR(VLOOKUP(I1508,KET!$B:$F,5,0),"")</f>
        <v>GMM</v>
      </c>
      <c r="G1508" s="20">
        <f>IFERROR(INDEX('Kode Outlet dan Target Toko'!$C:$C,MATCH($I1508,'Kode Outlet dan Target Toko'!$E:$E,0)),0)</f>
        <v>189901</v>
      </c>
      <c r="H1508" s="20">
        <f>IFERROR(INDEX('Kode Outlet dan Target Toko'!$D:$D,MATCH($I1508,'Kode Outlet dan Target Toko'!$E:$E,0)),0)</f>
        <v>1602008</v>
      </c>
      <c r="I1508" s="42" t="s">
        <v>32</v>
      </c>
      <c r="J1508" s="56" t="s">
        <v>188</v>
      </c>
      <c r="K1508" s="40" t="s">
        <v>14</v>
      </c>
      <c r="L1508" s="26">
        <v>3300</v>
      </c>
      <c r="M1508" s="26">
        <v>50</v>
      </c>
      <c r="N1508" s="25">
        <f t="shared" si="47"/>
        <v>165000</v>
      </c>
      <c r="O1508" s="56"/>
    </row>
    <row r="1509" spans="1:15" hidden="1" x14ac:dyDescent="0.3">
      <c r="A1509" s="26">
        <v>29</v>
      </c>
      <c r="B1509" s="20" t="str">
        <f t="shared" si="46"/>
        <v>JUL</v>
      </c>
      <c r="C1509" s="21">
        <v>46220</v>
      </c>
      <c r="D1509" s="22" t="str">
        <f t="array" ref="D1509">IFERROR(INDEX('Kode Outlet dan Target Toko'!$A:$A,MATCH($I1509,'Kode Outlet dan Target Toko'!$E:$E,0)),"")</f>
        <v>GRSM 4</v>
      </c>
      <c r="E1509" s="20" t="str">
        <f>IFERROR(VLOOKUP(I1509,KET!$B:$F,4,0),"")</f>
        <v>FAHMI LUKMANUL HAKIM</v>
      </c>
      <c r="F1509" s="20" t="str">
        <f>IFERROR(VLOOKUP(I1509,KET!$B:$F,5,0),"")</f>
        <v>GMM</v>
      </c>
      <c r="G1509" s="20">
        <f>IFERROR(INDEX('Kode Outlet dan Target Toko'!$C:$C,MATCH($I1509,'Kode Outlet dan Target Toko'!$E:$E,0)),0)</f>
        <v>189901</v>
      </c>
      <c r="H1509" s="20">
        <f>IFERROR(INDEX('Kode Outlet dan Target Toko'!$D:$D,MATCH($I1509,'Kode Outlet dan Target Toko'!$E:$E,0)),0)</f>
        <v>1602008</v>
      </c>
      <c r="I1509" s="42" t="s">
        <v>32</v>
      </c>
      <c r="J1509" s="56" t="s">
        <v>188</v>
      </c>
      <c r="K1509" s="40" t="s">
        <v>13</v>
      </c>
      <c r="L1509" s="26">
        <v>3300</v>
      </c>
      <c r="M1509" s="26">
        <v>50</v>
      </c>
      <c r="N1509" s="25">
        <f t="shared" si="47"/>
        <v>165000</v>
      </c>
      <c r="O1509" s="56"/>
    </row>
    <row r="1510" spans="1:15" hidden="1" x14ac:dyDescent="0.3">
      <c r="A1510" s="26">
        <v>29</v>
      </c>
      <c r="B1510" s="20" t="str">
        <f t="shared" si="46"/>
        <v>JUL</v>
      </c>
      <c r="C1510" s="21">
        <v>46220</v>
      </c>
      <c r="D1510" s="22" t="str">
        <f t="array" ref="D1510">IFERROR(INDEX('Kode Outlet dan Target Toko'!$A:$A,MATCH($I1510,'Kode Outlet dan Target Toko'!$E:$E,0)),"")</f>
        <v>GRSM 4</v>
      </c>
      <c r="E1510" s="20" t="str">
        <f>IFERROR(VLOOKUP(I1510,KET!$B:$F,4,0),"")</f>
        <v>FAHMI LUKMANUL HAKIM</v>
      </c>
      <c r="F1510" s="20" t="str">
        <f>IFERROR(VLOOKUP(I1510,KET!$B:$F,5,0),"")</f>
        <v>GMM</v>
      </c>
      <c r="G1510" s="20">
        <f>IFERROR(INDEX('Kode Outlet dan Target Toko'!$C:$C,MATCH($I1510,'Kode Outlet dan Target Toko'!$E:$E,0)),0)</f>
        <v>189901</v>
      </c>
      <c r="H1510" s="20">
        <f>IFERROR(INDEX('Kode Outlet dan Target Toko'!$D:$D,MATCH($I1510,'Kode Outlet dan Target Toko'!$E:$E,0)),0)</f>
        <v>1602008</v>
      </c>
      <c r="I1510" s="42" t="s">
        <v>32</v>
      </c>
      <c r="J1510" s="56" t="s">
        <v>188</v>
      </c>
      <c r="K1510" s="40" t="s">
        <v>16</v>
      </c>
      <c r="L1510" s="26">
        <v>3300</v>
      </c>
      <c r="M1510" s="26">
        <v>110</v>
      </c>
      <c r="N1510" s="25">
        <f t="shared" si="47"/>
        <v>363000</v>
      </c>
      <c r="O1510" s="56">
        <v>160</v>
      </c>
    </row>
    <row r="1511" spans="1:15" hidden="1" x14ac:dyDescent="0.3">
      <c r="A1511" s="26">
        <v>29</v>
      </c>
      <c r="B1511" s="20" t="str">
        <f t="shared" si="46"/>
        <v>JUL</v>
      </c>
      <c r="C1511" s="21">
        <v>46220</v>
      </c>
      <c r="D1511" s="22" t="str">
        <f t="array" ref="D1511">IFERROR(INDEX('Kode Outlet dan Target Toko'!$A:$A,MATCH($I1511,'Kode Outlet dan Target Toko'!$E:$E,0)),"")</f>
        <v>GRSM 4</v>
      </c>
      <c r="E1511" s="20" t="str">
        <f>IFERROR(VLOOKUP(I1511,KET!$B:$F,4,0),"")</f>
        <v>FAHMI LUKMANUL HAKIM</v>
      </c>
      <c r="F1511" s="20" t="str">
        <f>IFERROR(VLOOKUP(I1511,KET!$B:$F,5,0),"")</f>
        <v>GMM</v>
      </c>
      <c r="G1511" s="20">
        <f>IFERROR(INDEX('Kode Outlet dan Target Toko'!$C:$C,MATCH($I1511,'Kode Outlet dan Target Toko'!$E:$E,0)),0)</f>
        <v>189901</v>
      </c>
      <c r="H1511" s="20">
        <f>IFERROR(INDEX('Kode Outlet dan Target Toko'!$D:$D,MATCH($I1511,'Kode Outlet dan Target Toko'!$E:$E,0)),0)</f>
        <v>1602008</v>
      </c>
      <c r="I1511" s="42" t="s">
        <v>32</v>
      </c>
      <c r="J1511" s="56" t="s">
        <v>189</v>
      </c>
      <c r="K1511" s="40" t="s">
        <v>15</v>
      </c>
      <c r="L1511" s="26">
        <v>3300</v>
      </c>
      <c r="M1511" s="26">
        <v>70</v>
      </c>
      <c r="N1511" s="25">
        <f t="shared" si="47"/>
        <v>231000</v>
      </c>
      <c r="O1511" s="56"/>
    </row>
    <row r="1512" spans="1:15" hidden="1" x14ac:dyDescent="0.3">
      <c r="A1512" s="26">
        <v>29</v>
      </c>
      <c r="B1512" s="20" t="str">
        <f t="shared" si="46"/>
        <v>JUL</v>
      </c>
      <c r="C1512" s="21">
        <v>46220</v>
      </c>
      <c r="D1512" s="22" t="str">
        <f t="array" ref="D1512">IFERROR(INDEX('Kode Outlet dan Target Toko'!$A:$A,MATCH($I1512,'Kode Outlet dan Target Toko'!$E:$E,0)),"")</f>
        <v>GRSM 4</v>
      </c>
      <c r="E1512" s="20" t="str">
        <f>IFERROR(VLOOKUP(I1512,KET!$B:$F,4,0),"")</f>
        <v>FAHMI LUKMANUL HAKIM</v>
      </c>
      <c r="F1512" s="20" t="str">
        <f>IFERROR(VLOOKUP(I1512,KET!$B:$F,5,0),"")</f>
        <v>GMM</v>
      </c>
      <c r="G1512" s="20">
        <f>IFERROR(INDEX('Kode Outlet dan Target Toko'!$C:$C,MATCH($I1512,'Kode Outlet dan Target Toko'!$E:$E,0)),0)</f>
        <v>189901</v>
      </c>
      <c r="H1512" s="20">
        <f>IFERROR(INDEX('Kode Outlet dan Target Toko'!$D:$D,MATCH($I1512,'Kode Outlet dan Target Toko'!$E:$E,0)),0)</f>
        <v>1602008</v>
      </c>
      <c r="I1512" s="42" t="s">
        <v>32</v>
      </c>
      <c r="J1512" s="56" t="s">
        <v>189</v>
      </c>
      <c r="K1512" s="40" t="s">
        <v>14</v>
      </c>
      <c r="L1512" s="26">
        <v>3300</v>
      </c>
      <c r="M1512" s="26">
        <v>40</v>
      </c>
      <c r="N1512" s="25">
        <f t="shared" si="47"/>
        <v>132000</v>
      </c>
      <c r="O1512" s="56"/>
    </row>
    <row r="1513" spans="1:15" hidden="1" x14ac:dyDescent="0.3">
      <c r="A1513" s="26">
        <v>29</v>
      </c>
      <c r="B1513" s="20" t="str">
        <f t="shared" si="46"/>
        <v>JUL</v>
      </c>
      <c r="C1513" s="21">
        <v>46220</v>
      </c>
      <c r="D1513" s="22" t="str">
        <f t="array" ref="D1513">IFERROR(INDEX('Kode Outlet dan Target Toko'!$A:$A,MATCH($I1513,'Kode Outlet dan Target Toko'!$E:$E,0)),"")</f>
        <v>GRSM 4</v>
      </c>
      <c r="E1513" s="20" t="str">
        <f>IFERROR(VLOOKUP(I1513,KET!$B:$F,4,0),"")</f>
        <v>FAHMI LUKMANUL HAKIM</v>
      </c>
      <c r="F1513" s="20" t="str">
        <f>IFERROR(VLOOKUP(I1513,KET!$B:$F,5,0),"")</f>
        <v>GMM</v>
      </c>
      <c r="G1513" s="20">
        <f>IFERROR(INDEX('Kode Outlet dan Target Toko'!$C:$C,MATCH($I1513,'Kode Outlet dan Target Toko'!$E:$E,0)),0)</f>
        <v>189901</v>
      </c>
      <c r="H1513" s="20">
        <f>IFERROR(INDEX('Kode Outlet dan Target Toko'!$D:$D,MATCH($I1513,'Kode Outlet dan Target Toko'!$E:$E,0)),0)</f>
        <v>1602008</v>
      </c>
      <c r="I1513" s="42" t="s">
        <v>32</v>
      </c>
      <c r="J1513" s="56" t="s">
        <v>189</v>
      </c>
      <c r="K1513" s="40" t="s">
        <v>13</v>
      </c>
      <c r="L1513" s="26">
        <v>3300</v>
      </c>
      <c r="M1513" s="26">
        <v>50</v>
      </c>
      <c r="N1513" s="25">
        <f t="shared" si="47"/>
        <v>165000</v>
      </c>
      <c r="O1513" s="56"/>
    </row>
    <row r="1514" spans="1:15" hidden="1" x14ac:dyDescent="0.3">
      <c r="A1514" s="26">
        <v>29</v>
      </c>
      <c r="B1514" s="20" t="str">
        <f t="shared" si="46"/>
        <v>JUL</v>
      </c>
      <c r="C1514" s="21">
        <v>46220</v>
      </c>
      <c r="D1514" s="22" t="str">
        <f t="array" ref="D1514">IFERROR(INDEX('Kode Outlet dan Target Toko'!$A:$A,MATCH($I1514,'Kode Outlet dan Target Toko'!$E:$E,0)),"")</f>
        <v>GRSM 4</v>
      </c>
      <c r="E1514" s="20" t="str">
        <f>IFERROR(VLOOKUP(I1514,KET!$B:$F,4,0),"")</f>
        <v>FAHMI LUKMANUL HAKIM</v>
      </c>
      <c r="F1514" s="20" t="str">
        <f>IFERROR(VLOOKUP(I1514,KET!$B:$F,5,0),"")</f>
        <v>GMM</v>
      </c>
      <c r="G1514" s="20">
        <f>IFERROR(INDEX('Kode Outlet dan Target Toko'!$C:$C,MATCH($I1514,'Kode Outlet dan Target Toko'!$E:$E,0)),0)</f>
        <v>189901</v>
      </c>
      <c r="H1514" s="20">
        <f>IFERROR(INDEX('Kode Outlet dan Target Toko'!$D:$D,MATCH($I1514,'Kode Outlet dan Target Toko'!$E:$E,0)),0)</f>
        <v>1602008</v>
      </c>
      <c r="I1514" s="42" t="s">
        <v>32</v>
      </c>
      <c r="J1514" s="56" t="s">
        <v>189</v>
      </c>
      <c r="K1514" s="40" t="s">
        <v>16</v>
      </c>
      <c r="L1514" s="26">
        <v>3300</v>
      </c>
      <c r="M1514" s="26">
        <v>100</v>
      </c>
      <c r="N1514" s="25">
        <f t="shared" si="47"/>
        <v>330000</v>
      </c>
      <c r="O1514" s="56">
        <v>160</v>
      </c>
    </row>
    <row r="1515" spans="1:15" hidden="1" x14ac:dyDescent="0.3">
      <c r="A1515" s="26">
        <v>29</v>
      </c>
      <c r="B1515" s="20" t="str">
        <f t="shared" si="46"/>
        <v>JUL</v>
      </c>
      <c r="C1515" s="21">
        <v>46220</v>
      </c>
      <c r="D1515" s="22" t="str">
        <f t="array" ref="D1515">IFERROR(INDEX('Kode Outlet dan Target Toko'!$A:$A,MATCH($I1515,'Kode Outlet dan Target Toko'!$E:$E,0)),"")</f>
        <v>GRSM 4</v>
      </c>
      <c r="E1515" s="20" t="str">
        <f>IFERROR(VLOOKUP(I1515,KET!$B:$F,4,0),"")</f>
        <v>FAHMI LUKMANUL HAKIM</v>
      </c>
      <c r="F1515" s="20" t="str">
        <f>IFERROR(VLOOKUP(I1515,KET!$B:$F,5,0),"")</f>
        <v>GMM</v>
      </c>
      <c r="G1515" s="20">
        <f>IFERROR(INDEX('Kode Outlet dan Target Toko'!$C:$C,MATCH($I1515,'Kode Outlet dan Target Toko'!$E:$E,0)),0)</f>
        <v>121409</v>
      </c>
      <c r="H1515" s="20">
        <f>IFERROR(INDEX('Kode Outlet dan Target Toko'!$D:$D,MATCH($I1515,'Kode Outlet dan Target Toko'!$E:$E,0)),0)</f>
        <v>5205014</v>
      </c>
      <c r="I1515" s="50" t="s">
        <v>31</v>
      </c>
      <c r="J1515" s="56" t="s">
        <v>185</v>
      </c>
      <c r="K1515" s="40" t="s">
        <v>15</v>
      </c>
      <c r="L1515" s="26">
        <v>2100</v>
      </c>
      <c r="M1515" s="26">
        <v>77</v>
      </c>
      <c r="N1515" s="25">
        <f t="shared" si="47"/>
        <v>161700</v>
      </c>
      <c r="O1515" s="56"/>
    </row>
    <row r="1516" spans="1:15" hidden="1" x14ac:dyDescent="0.3">
      <c r="A1516" s="26">
        <v>29</v>
      </c>
      <c r="B1516" s="20" t="str">
        <f t="shared" si="46"/>
        <v>JUL</v>
      </c>
      <c r="C1516" s="21">
        <v>46220</v>
      </c>
      <c r="D1516" s="22" t="str">
        <f t="array" ref="D1516">IFERROR(INDEX('Kode Outlet dan Target Toko'!$A:$A,MATCH($I1516,'Kode Outlet dan Target Toko'!$E:$E,0)),"")</f>
        <v>GRSM 4</v>
      </c>
      <c r="E1516" s="20" t="str">
        <f>IFERROR(VLOOKUP(I1516,KET!$B:$F,4,0),"")</f>
        <v>FAHMI LUKMANUL HAKIM</v>
      </c>
      <c r="F1516" s="20" t="str">
        <f>IFERROR(VLOOKUP(I1516,KET!$B:$F,5,0),"")</f>
        <v>GMM</v>
      </c>
      <c r="G1516" s="20">
        <f>IFERROR(INDEX('Kode Outlet dan Target Toko'!$C:$C,MATCH($I1516,'Kode Outlet dan Target Toko'!$E:$E,0)),0)</f>
        <v>121409</v>
      </c>
      <c r="H1516" s="20">
        <f>IFERROR(INDEX('Kode Outlet dan Target Toko'!$D:$D,MATCH($I1516,'Kode Outlet dan Target Toko'!$E:$E,0)),0)</f>
        <v>5205014</v>
      </c>
      <c r="I1516" s="50" t="s">
        <v>31</v>
      </c>
      <c r="J1516" s="56" t="s">
        <v>185</v>
      </c>
      <c r="K1516" s="40" t="s">
        <v>14</v>
      </c>
      <c r="L1516" s="26">
        <v>2100</v>
      </c>
      <c r="M1516" s="26">
        <v>95</v>
      </c>
      <c r="N1516" s="25">
        <f t="shared" si="47"/>
        <v>199500</v>
      </c>
      <c r="O1516" s="56"/>
    </row>
    <row r="1517" spans="1:15" hidden="1" x14ac:dyDescent="0.3">
      <c r="A1517" s="26">
        <v>29</v>
      </c>
      <c r="B1517" s="20" t="str">
        <f t="shared" si="46"/>
        <v>JUL</v>
      </c>
      <c r="C1517" s="21">
        <v>46220</v>
      </c>
      <c r="D1517" s="22" t="str">
        <f t="array" ref="D1517">IFERROR(INDEX('Kode Outlet dan Target Toko'!$A:$A,MATCH($I1517,'Kode Outlet dan Target Toko'!$E:$E,0)),"")</f>
        <v>GRSM 4</v>
      </c>
      <c r="E1517" s="20" t="str">
        <f>IFERROR(VLOOKUP(I1517,KET!$B:$F,4,0),"")</f>
        <v>FAHMI LUKMANUL HAKIM</v>
      </c>
      <c r="F1517" s="20" t="str">
        <f>IFERROR(VLOOKUP(I1517,KET!$B:$F,5,0),"")</f>
        <v>GMM</v>
      </c>
      <c r="G1517" s="20">
        <f>IFERROR(INDEX('Kode Outlet dan Target Toko'!$C:$C,MATCH($I1517,'Kode Outlet dan Target Toko'!$E:$E,0)),0)</f>
        <v>121409</v>
      </c>
      <c r="H1517" s="20">
        <f>IFERROR(INDEX('Kode Outlet dan Target Toko'!$D:$D,MATCH($I1517,'Kode Outlet dan Target Toko'!$E:$E,0)),0)</f>
        <v>5205014</v>
      </c>
      <c r="I1517" s="50" t="s">
        <v>31</v>
      </c>
      <c r="J1517" s="56" t="s">
        <v>185</v>
      </c>
      <c r="K1517" s="40" t="s">
        <v>13</v>
      </c>
      <c r="L1517" s="26">
        <v>2100</v>
      </c>
      <c r="M1517" s="26">
        <v>92</v>
      </c>
      <c r="N1517" s="25">
        <f t="shared" si="47"/>
        <v>193200</v>
      </c>
      <c r="O1517" s="56"/>
    </row>
    <row r="1518" spans="1:15" hidden="1" x14ac:dyDescent="0.3">
      <c r="A1518" s="26">
        <v>29</v>
      </c>
      <c r="B1518" s="20" t="str">
        <f t="shared" si="46"/>
        <v>JUL</v>
      </c>
      <c r="C1518" s="21">
        <v>46220</v>
      </c>
      <c r="D1518" s="22" t="str">
        <f t="array" ref="D1518">IFERROR(INDEX('Kode Outlet dan Target Toko'!$A:$A,MATCH($I1518,'Kode Outlet dan Target Toko'!$E:$E,0)),"")</f>
        <v>GRSM 4</v>
      </c>
      <c r="E1518" s="20" t="str">
        <f>IFERROR(VLOOKUP(I1518,KET!$B:$F,4,0),"")</f>
        <v>FAHMI LUKMANUL HAKIM</v>
      </c>
      <c r="F1518" s="20" t="str">
        <f>IFERROR(VLOOKUP(I1518,KET!$B:$F,5,0),"")</f>
        <v>GMM</v>
      </c>
      <c r="G1518" s="20">
        <f>IFERROR(INDEX('Kode Outlet dan Target Toko'!$C:$C,MATCH($I1518,'Kode Outlet dan Target Toko'!$E:$E,0)),0)</f>
        <v>121409</v>
      </c>
      <c r="H1518" s="20">
        <f>IFERROR(INDEX('Kode Outlet dan Target Toko'!$D:$D,MATCH($I1518,'Kode Outlet dan Target Toko'!$E:$E,0)),0)</f>
        <v>5205014</v>
      </c>
      <c r="I1518" s="50" t="s">
        <v>31</v>
      </c>
      <c r="J1518" s="56" t="s">
        <v>185</v>
      </c>
      <c r="K1518" s="40" t="s">
        <v>16</v>
      </c>
      <c r="L1518" s="26">
        <v>2100</v>
      </c>
      <c r="M1518" s="26">
        <v>49</v>
      </c>
      <c r="N1518" s="25">
        <f t="shared" si="47"/>
        <v>102900</v>
      </c>
      <c r="O1518" s="56">
        <v>160</v>
      </c>
    </row>
    <row r="1519" spans="1:15" hidden="1" x14ac:dyDescent="0.3">
      <c r="A1519" s="26">
        <v>29</v>
      </c>
      <c r="B1519" s="20" t="str">
        <f t="shared" si="46"/>
        <v>JUL</v>
      </c>
      <c r="C1519" s="21">
        <v>46220</v>
      </c>
      <c r="D1519" s="22" t="str">
        <f t="array" ref="D1519">IFERROR(INDEX('Kode Outlet dan Target Toko'!$A:$A,MATCH($I1519,'Kode Outlet dan Target Toko'!$E:$E,0)),"")</f>
        <v>GRSM 4</v>
      </c>
      <c r="E1519" s="20" t="str">
        <f>IFERROR(VLOOKUP(I1519,KET!$B:$F,4,0),"")</f>
        <v>FAHMI LUKMANUL HAKIM</v>
      </c>
      <c r="F1519" s="20" t="str">
        <f>IFERROR(VLOOKUP(I1519,KET!$B:$F,5,0),"")</f>
        <v>GMM</v>
      </c>
      <c r="G1519" s="20">
        <f>IFERROR(INDEX('Kode Outlet dan Target Toko'!$C:$C,MATCH($I1519,'Kode Outlet dan Target Toko'!$E:$E,0)),0)</f>
        <v>189901</v>
      </c>
      <c r="H1519" s="20">
        <f>IFERROR(INDEX('Kode Outlet dan Target Toko'!$D:$D,MATCH($I1519,'Kode Outlet dan Target Toko'!$E:$E,0)),0)</f>
        <v>1602057</v>
      </c>
      <c r="I1519" s="42" t="s">
        <v>68</v>
      </c>
      <c r="J1519" s="27" t="s">
        <v>174</v>
      </c>
      <c r="K1519" s="40" t="s">
        <v>15</v>
      </c>
      <c r="L1519" s="26">
        <v>2150</v>
      </c>
      <c r="M1519" s="26">
        <v>117</v>
      </c>
      <c r="N1519" s="25">
        <f t="shared" si="47"/>
        <v>251550</v>
      </c>
      <c r="O1519" s="56"/>
    </row>
    <row r="1520" spans="1:15" hidden="1" x14ac:dyDescent="0.3">
      <c r="A1520" s="26">
        <v>29</v>
      </c>
      <c r="B1520" s="20" t="str">
        <f t="shared" si="46"/>
        <v>JUL</v>
      </c>
      <c r="C1520" s="21">
        <v>46220</v>
      </c>
      <c r="D1520" s="22" t="str">
        <f t="array" ref="D1520">IFERROR(INDEX('Kode Outlet dan Target Toko'!$A:$A,MATCH($I1520,'Kode Outlet dan Target Toko'!$E:$E,0)),"")</f>
        <v>GRSM 4</v>
      </c>
      <c r="E1520" s="20" t="str">
        <f>IFERROR(VLOOKUP(I1520,KET!$B:$F,4,0),"")</f>
        <v>FAHMI LUKMANUL HAKIM</v>
      </c>
      <c r="F1520" s="20" t="str">
        <f>IFERROR(VLOOKUP(I1520,KET!$B:$F,5,0),"")</f>
        <v>GMM</v>
      </c>
      <c r="G1520" s="20">
        <f>IFERROR(INDEX('Kode Outlet dan Target Toko'!$C:$C,MATCH($I1520,'Kode Outlet dan Target Toko'!$E:$E,0)),0)</f>
        <v>189901</v>
      </c>
      <c r="H1520" s="20">
        <f>IFERROR(INDEX('Kode Outlet dan Target Toko'!$D:$D,MATCH($I1520,'Kode Outlet dan Target Toko'!$E:$E,0)),0)</f>
        <v>1602057</v>
      </c>
      <c r="I1520" s="42" t="s">
        <v>68</v>
      </c>
      <c r="J1520" s="27" t="s">
        <v>174</v>
      </c>
      <c r="K1520" s="40" t="s">
        <v>14</v>
      </c>
      <c r="L1520" s="26">
        <v>2150</v>
      </c>
      <c r="M1520" s="26">
        <v>98</v>
      </c>
      <c r="N1520" s="25">
        <f t="shared" si="47"/>
        <v>210700</v>
      </c>
      <c r="O1520" s="56"/>
    </row>
    <row r="1521" spans="1:15" hidden="1" x14ac:dyDescent="0.3">
      <c r="A1521" s="26">
        <v>29</v>
      </c>
      <c r="B1521" s="20" t="str">
        <f t="shared" si="46"/>
        <v>JUL</v>
      </c>
      <c r="C1521" s="21">
        <v>46220</v>
      </c>
      <c r="D1521" s="22" t="str">
        <f t="array" ref="D1521">IFERROR(INDEX('Kode Outlet dan Target Toko'!$A:$A,MATCH($I1521,'Kode Outlet dan Target Toko'!$E:$E,0)),"")</f>
        <v>GRSM 4</v>
      </c>
      <c r="E1521" s="20" t="str">
        <f>IFERROR(VLOOKUP(I1521,KET!$B:$F,4,0),"")</f>
        <v>FAHMI LUKMANUL HAKIM</v>
      </c>
      <c r="F1521" s="20" t="str">
        <f>IFERROR(VLOOKUP(I1521,KET!$B:$F,5,0),"")</f>
        <v>GMM</v>
      </c>
      <c r="G1521" s="20">
        <f>IFERROR(INDEX('Kode Outlet dan Target Toko'!$C:$C,MATCH($I1521,'Kode Outlet dan Target Toko'!$E:$E,0)),0)</f>
        <v>189901</v>
      </c>
      <c r="H1521" s="20">
        <f>IFERROR(INDEX('Kode Outlet dan Target Toko'!$D:$D,MATCH($I1521,'Kode Outlet dan Target Toko'!$E:$E,0)),0)</f>
        <v>1602057</v>
      </c>
      <c r="I1521" s="42" t="s">
        <v>68</v>
      </c>
      <c r="J1521" s="27" t="s">
        <v>174</v>
      </c>
      <c r="K1521" s="40" t="s">
        <v>13</v>
      </c>
      <c r="L1521" s="26">
        <v>2150</v>
      </c>
      <c r="M1521" s="26">
        <v>105</v>
      </c>
      <c r="N1521" s="25">
        <f t="shared" si="47"/>
        <v>225750</v>
      </c>
      <c r="O1521" s="56"/>
    </row>
    <row r="1522" spans="1:15" hidden="1" x14ac:dyDescent="0.3">
      <c r="A1522" s="26">
        <v>29</v>
      </c>
      <c r="B1522" s="20" t="str">
        <f t="shared" si="46"/>
        <v>JUL</v>
      </c>
      <c r="C1522" s="21">
        <v>46220</v>
      </c>
      <c r="D1522" s="22" t="str">
        <f t="array" ref="D1522">IFERROR(INDEX('Kode Outlet dan Target Toko'!$A:$A,MATCH($I1522,'Kode Outlet dan Target Toko'!$E:$E,0)),"")</f>
        <v>GRSM 4</v>
      </c>
      <c r="E1522" s="20" t="str">
        <f>IFERROR(VLOOKUP(I1522,KET!$B:$F,4,0),"")</f>
        <v>FAHMI LUKMANUL HAKIM</v>
      </c>
      <c r="F1522" s="20" t="str">
        <f>IFERROR(VLOOKUP(I1522,KET!$B:$F,5,0),"")</f>
        <v>GMM</v>
      </c>
      <c r="G1522" s="20">
        <f>IFERROR(INDEX('Kode Outlet dan Target Toko'!$C:$C,MATCH($I1522,'Kode Outlet dan Target Toko'!$E:$E,0)),0)</f>
        <v>189901</v>
      </c>
      <c r="H1522" s="20">
        <f>IFERROR(INDEX('Kode Outlet dan Target Toko'!$D:$D,MATCH($I1522,'Kode Outlet dan Target Toko'!$E:$E,0)),0)</f>
        <v>1602057</v>
      </c>
      <c r="I1522" s="42" t="s">
        <v>68</v>
      </c>
      <c r="J1522" s="27" t="s">
        <v>174</v>
      </c>
      <c r="K1522" s="40" t="s">
        <v>16</v>
      </c>
      <c r="L1522" s="26">
        <v>2000</v>
      </c>
      <c r="M1522" s="26">
        <v>175</v>
      </c>
      <c r="N1522" s="25">
        <f t="shared" si="47"/>
        <v>350000</v>
      </c>
      <c r="O1522" s="56">
        <v>160</v>
      </c>
    </row>
    <row r="1523" spans="1:15" hidden="1" x14ac:dyDescent="0.3">
      <c r="A1523" s="26">
        <v>29</v>
      </c>
      <c r="B1523" s="20" t="str">
        <f t="shared" si="46"/>
        <v>JUL</v>
      </c>
      <c r="C1523" s="21">
        <v>46220</v>
      </c>
      <c r="D1523" s="22" t="str">
        <f t="array" ref="D1523">IFERROR(INDEX('Kode Outlet dan Target Toko'!$A:$A,MATCH($I1523,'Kode Outlet dan Target Toko'!$E:$E,0)),"")</f>
        <v>GRSM 4</v>
      </c>
      <c r="E1523" s="20" t="str">
        <f>IFERROR(VLOOKUP(I1523,KET!$B:$F,4,0),"")</f>
        <v>FAHMI LUKMANUL HAKIM</v>
      </c>
      <c r="F1523" s="20" t="str">
        <f>IFERROR(VLOOKUP(I1523,KET!$B:$F,5,0),"")</f>
        <v>GMM</v>
      </c>
      <c r="G1523" s="20">
        <f>IFERROR(INDEX('Kode Outlet dan Target Toko'!$C:$C,MATCH($I1523,'Kode Outlet dan Target Toko'!$E:$E,0)),0)</f>
        <v>121409</v>
      </c>
      <c r="H1523" s="20">
        <f>IFERROR(INDEX('Kode Outlet dan Target Toko'!$D:$D,MATCH($I1523,'Kode Outlet dan Target Toko'!$E:$E,0)),0)</f>
        <v>5205014</v>
      </c>
      <c r="I1523" s="50" t="s">
        <v>31</v>
      </c>
      <c r="J1523" s="56" t="s">
        <v>184</v>
      </c>
      <c r="K1523" s="40" t="s">
        <v>15</v>
      </c>
      <c r="L1523" s="26">
        <v>2100</v>
      </c>
      <c r="M1523" s="26">
        <v>77</v>
      </c>
      <c r="N1523" s="25">
        <f t="shared" si="47"/>
        <v>161700</v>
      </c>
      <c r="O1523" s="56"/>
    </row>
    <row r="1524" spans="1:15" hidden="1" x14ac:dyDescent="0.3">
      <c r="A1524" s="26">
        <v>29</v>
      </c>
      <c r="B1524" s="20" t="str">
        <f t="shared" si="46"/>
        <v>JUL</v>
      </c>
      <c r="C1524" s="21">
        <v>46220</v>
      </c>
      <c r="D1524" s="22" t="str">
        <f t="array" ref="D1524">IFERROR(INDEX('Kode Outlet dan Target Toko'!$A:$A,MATCH($I1524,'Kode Outlet dan Target Toko'!$E:$E,0)),"")</f>
        <v>GRSM 4</v>
      </c>
      <c r="E1524" s="20" t="str">
        <f>IFERROR(VLOOKUP(I1524,KET!$B:$F,4,0),"")</f>
        <v>FAHMI LUKMANUL HAKIM</v>
      </c>
      <c r="F1524" s="20" t="str">
        <f>IFERROR(VLOOKUP(I1524,KET!$B:$F,5,0),"")</f>
        <v>GMM</v>
      </c>
      <c r="G1524" s="20">
        <f>IFERROR(INDEX('Kode Outlet dan Target Toko'!$C:$C,MATCH($I1524,'Kode Outlet dan Target Toko'!$E:$E,0)),0)</f>
        <v>121409</v>
      </c>
      <c r="H1524" s="20">
        <f>IFERROR(INDEX('Kode Outlet dan Target Toko'!$D:$D,MATCH($I1524,'Kode Outlet dan Target Toko'!$E:$E,0)),0)</f>
        <v>5205014</v>
      </c>
      <c r="I1524" s="50" t="s">
        <v>31</v>
      </c>
      <c r="J1524" s="56" t="s">
        <v>184</v>
      </c>
      <c r="K1524" s="40" t="s">
        <v>14</v>
      </c>
      <c r="L1524" s="26">
        <v>2100</v>
      </c>
      <c r="M1524" s="26">
        <v>95</v>
      </c>
      <c r="N1524" s="25">
        <f t="shared" si="47"/>
        <v>199500</v>
      </c>
      <c r="O1524" s="56"/>
    </row>
    <row r="1525" spans="1:15" hidden="1" x14ac:dyDescent="0.3">
      <c r="A1525" s="26">
        <v>29</v>
      </c>
      <c r="B1525" s="20" t="str">
        <f t="shared" si="46"/>
        <v>JUL</v>
      </c>
      <c r="C1525" s="21">
        <v>46220</v>
      </c>
      <c r="D1525" s="22" t="str">
        <f t="array" ref="D1525">IFERROR(INDEX('Kode Outlet dan Target Toko'!$A:$A,MATCH($I1525,'Kode Outlet dan Target Toko'!$E:$E,0)),"")</f>
        <v>GRSM 4</v>
      </c>
      <c r="E1525" s="20" t="str">
        <f>IFERROR(VLOOKUP(I1525,KET!$B:$F,4,0),"")</f>
        <v>FAHMI LUKMANUL HAKIM</v>
      </c>
      <c r="F1525" s="20" t="str">
        <f>IFERROR(VLOOKUP(I1525,KET!$B:$F,5,0),"")</f>
        <v>GMM</v>
      </c>
      <c r="G1525" s="20">
        <f>IFERROR(INDEX('Kode Outlet dan Target Toko'!$C:$C,MATCH($I1525,'Kode Outlet dan Target Toko'!$E:$E,0)),0)</f>
        <v>121409</v>
      </c>
      <c r="H1525" s="20">
        <f>IFERROR(INDEX('Kode Outlet dan Target Toko'!$D:$D,MATCH($I1525,'Kode Outlet dan Target Toko'!$E:$E,0)),0)</f>
        <v>5205014</v>
      </c>
      <c r="I1525" s="50" t="s">
        <v>31</v>
      </c>
      <c r="J1525" s="56" t="s">
        <v>184</v>
      </c>
      <c r="K1525" s="40" t="s">
        <v>13</v>
      </c>
      <c r="L1525" s="26">
        <v>2100</v>
      </c>
      <c r="M1525" s="26">
        <v>92</v>
      </c>
      <c r="N1525" s="25">
        <f t="shared" si="47"/>
        <v>193200</v>
      </c>
      <c r="O1525" s="56"/>
    </row>
    <row r="1526" spans="1:15" hidden="1" x14ac:dyDescent="0.3">
      <c r="A1526" s="26">
        <v>29</v>
      </c>
      <c r="B1526" s="20" t="str">
        <f t="shared" si="46"/>
        <v>JUL</v>
      </c>
      <c r="C1526" s="21">
        <v>46220</v>
      </c>
      <c r="D1526" s="22" t="str">
        <f t="array" ref="D1526">IFERROR(INDEX('Kode Outlet dan Target Toko'!$A:$A,MATCH($I1526,'Kode Outlet dan Target Toko'!$E:$E,0)),"")</f>
        <v>GRSM 4</v>
      </c>
      <c r="E1526" s="20" t="str">
        <f>IFERROR(VLOOKUP(I1526,KET!$B:$F,4,0),"")</f>
        <v>FAHMI LUKMANUL HAKIM</v>
      </c>
      <c r="F1526" s="20" t="str">
        <f>IFERROR(VLOOKUP(I1526,KET!$B:$F,5,0),"")</f>
        <v>GMM</v>
      </c>
      <c r="G1526" s="20">
        <f>IFERROR(INDEX('Kode Outlet dan Target Toko'!$C:$C,MATCH($I1526,'Kode Outlet dan Target Toko'!$E:$E,0)),0)</f>
        <v>121409</v>
      </c>
      <c r="H1526" s="20">
        <f>IFERROR(INDEX('Kode Outlet dan Target Toko'!$D:$D,MATCH($I1526,'Kode Outlet dan Target Toko'!$E:$E,0)),0)</f>
        <v>5205014</v>
      </c>
      <c r="I1526" s="50" t="s">
        <v>31</v>
      </c>
      <c r="J1526" s="56" t="s">
        <v>184</v>
      </c>
      <c r="K1526" s="40" t="s">
        <v>16</v>
      </c>
      <c r="L1526" s="26">
        <v>2100</v>
      </c>
      <c r="M1526" s="26">
        <v>49</v>
      </c>
      <c r="N1526" s="25">
        <f t="shared" si="47"/>
        <v>102900</v>
      </c>
      <c r="O1526" s="56">
        <v>160</v>
      </c>
    </row>
    <row r="1527" spans="1:15" hidden="1" x14ac:dyDescent="0.3">
      <c r="A1527" s="26">
        <v>29</v>
      </c>
      <c r="B1527" s="20" t="str">
        <f t="shared" si="46"/>
        <v>JUL</v>
      </c>
      <c r="C1527" s="21">
        <v>46220</v>
      </c>
      <c r="D1527" s="22" t="str">
        <f t="array" ref="D1527">IFERROR(INDEX('Kode Outlet dan Target Toko'!$A:$A,MATCH($I1527,'Kode Outlet dan Target Toko'!$E:$E,0)),"")</f>
        <v>GRSM 4</v>
      </c>
      <c r="E1527" s="20" t="str">
        <f>IFERROR(VLOOKUP(I1527,KET!$B:$F,4,0),"")</f>
        <v>FAHMI LUKMANUL HAKIM</v>
      </c>
      <c r="F1527" s="20" t="str">
        <f>IFERROR(VLOOKUP(I1527,KET!$B:$F,5,0),"")</f>
        <v>GMM</v>
      </c>
      <c r="G1527" s="20">
        <f>IFERROR(INDEX('Kode Outlet dan Target Toko'!$C:$C,MATCH($I1527,'Kode Outlet dan Target Toko'!$E:$E,0)),0)</f>
        <v>189901</v>
      </c>
      <c r="H1527" s="20">
        <f>IFERROR(INDEX('Kode Outlet dan Target Toko'!$D:$D,MATCH($I1527,'Kode Outlet dan Target Toko'!$E:$E,0)),0)</f>
        <v>1602016</v>
      </c>
      <c r="I1527" s="42" t="s">
        <v>35</v>
      </c>
      <c r="J1527" s="56" t="s">
        <v>173</v>
      </c>
      <c r="K1527" s="40" t="s">
        <v>15</v>
      </c>
      <c r="L1527" s="26">
        <v>3400</v>
      </c>
      <c r="M1527" s="26">
        <v>90</v>
      </c>
      <c r="N1527" s="25">
        <f t="shared" si="47"/>
        <v>306000</v>
      </c>
      <c r="O1527" s="56"/>
    </row>
    <row r="1528" spans="1:15" hidden="1" x14ac:dyDescent="0.3">
      <c r="A1528" s="26">
        <v>29</v>
      </c>
      <c r="B1528" s="20" t="str">
        <f t="shared" si="46"/>
        <v>JUL</v>
      </c>
      <c r="C1528" s="21">
        <v>46220</v>
      </c>
      <c r="D1528" s="22" t="str">
        <f t="array" ref="D1528">IFERROR(INDEX('Kode Outlet dan Target Toko'!$A:$A,MATCH($I1528,'Kode Outlet dan Target Toko'!$E:$E,0)),"")</f>
        <v>GRSM 4</v>
      </c>
      <c r="E1528" s="20" t="str">
        <f>IFERROR(VLOOKUP(I1528,KET!$B:$F,4,0),"")</f>
        <v>FAHMI LUKMANUL HAKIM</v>
      </c>
      <c r="F1528" s="20" t="str">
        <f>IFERROR(VLOOKUP(I1528,KET!$B:$F,5,0),"")</f>
        <v>GMM</v>
      </c>
      <c r="G1528" s="20">
        <f>IFERROR(INDEX('Kode Outlet dan Target Toko'!$C:$C,MATCH($I1528,'Kode Outlet dan Target Toko'!$E:$E,0)),0)</f>
        <v>189901</v>
      </c>
      <c r="H1528" s="20">
        <f>IFERROR(INDEX('Kode Outlet dan Target Toko'!$D:$D,MATCH($I1528,'Kode Outlet dan Target Toko'!$E:$E,0)),0)</f>
        <v>1602016</v>
      </c>
      <c r="I1528" s="42" t="s">
        <v>35</v>
      </c>
      <c r="J1528" s="56" t="s">
        <v>173</v>
      </c>
      <c r="K1528" s="40" t="s">
        <v>14</v>
      </c>
      <c r="L1528" s="26">
        <v>3400</v>
      </c>
      <c r="M1528" s="26">
        <v>110</v>
      </c>
      <c r="N1528" s="25">
        <f t="shared" si="47"/>
        <v>374000</v>
      </c>
      <c r="O1528" s="56"/>
    </row>
    <row r="1529" spans="1:15" hidden="1" x14ac:dyDescent="0.3">
      <c r="A1529" s="26">
        <v>29</v>
      </c>
      <c r="B1529" s="20" t="str">
        <f t="shared" si="46"/>
        <v>JUL</v>
      </c>
      <c r="C1529" s="21">
        <v>46220</v>
      </c>
      <c r="D1529" s="22" t="str">
        <f t="array" ref="D1529">IFERROR(INDEX('Kode Outlet dan Target Toko'!$A:$A,MATCH($I1529,'Kode Outlet dan Target Toko'!$E:$E,0)),"")</f>
        <v>GRSM 4</v>
      </c>
      <c r="E1529" s="20" t="str">
        <f>IFERROR(VLOOKUP(I1529,KET!$B:$F,4,0),"")</f>
        <v>FAHMI LUKMANUL HAKIM</v>
      </c>
      <c r="F1529" s="20" t="str">
        <f>IFERROR(VLOOKUP(I1529,KET!$B:$F,5,0),"")</f>
        <v>GMM</v>
      </c>
      <c r="G1529" s="20">
        <f>IFERROR(INDEX('Kode Outlet dan Target Toko'!$C:$C,MATCH($I1529,'Kode Outlet dan Target Toko'!$E:$E,0)),0)</f>
        <v>189901</v>
      </c>
      <c r="H1529" s="20">
        <f>IFERROR(INDEX('Kode Outlet dan Target Toko'!$D:$D,MATCH($I1529,'Kode Outlet dan Target Toko'!$E:$E,0)),0)</f>
        <v>1602016</v>
      </c>
      <c r="I1529" s="42" t="s">
        <v>35</v>
      </c>
      <c r="J1529" s="56" t="s">
        <v>173</v>
      </c>
      <c r="K1529" s="40" t="s">
        <v>13</v>
      </c>
      <c r="L1529" s="26">
        <v>3400</v>
      </c>
      <c r="M1529" s="26">
        <v>80</v>
      </c>
      <c r="N1529" s="25">
        <f t="shared" si="47"/>
        <v>272000</v>
      </c>
      <c r="O1529" s="56"/>
    </row>
    <row r="1530" spans="1:15" hidden="1" x14ac:dyDescent="0.3">
      <c r="A1530" s="26">
        <v>29</v>
      </c>
      <c r="B1530" s="20" t="str">
        <f t="shared" si="46"/>
        <v>JUL</v>
      </c>
      <c r="C1530" s="21">
        <v>46220</v>
      </c>
      <c r="D1530" s="22" t="str">
        <f t="array" ref="D1530">IFERROR(INDEX('Kode Outlet dan Target Toko'!$A:$A,MATCH($I1530,'Kode Outlet dan Target Toko'!$E:$E,0)),"")</f>
        <v>GRSM 4</v>
      </c>
      <c r="E1530" s="20" t="str">
        <f>IFERROR(VLOOKUP(I1530,KET!$B:$F,4,0),"")</f>
        <v>FAHMI LUKMANUL HAKIM</v>
      </c>
      <c r="F1530" s="20" t="str">
        <f>IFERROR(VLOOKUP(I1530,KET!$B:$F,5,0),"")</f>
        <v>GMM</v>
      </c>
      <c r="G1530" s="20">
        <f>IFERROR(INDEX('Kode Outlet dan Target Toko'!$C:$C,MATCH($I1530,'Kode Outlet dan Target Toko'!$E:$E,0)),0)</f>
        <v>189901</v>
      </c>
      <c r="H1530" s="20">
        <f>IFERROR(INDEX('Kode Outlet dan Target Toko'!$D:$D,MATCH($I1530,'Kode Outlet dan Target Toko'!$E:$E,0)),0)</f>
        <v>1602016</v>
      </c>
      <c r="I1530" s="42" t="s">
        <v>35</v>
      </c>
      <c r="J1530" s="56" t="s">
        <v>173</v>
      </c>
      <c r="K1530" s="40" t="s">
        <v>16</v>
      </c>
      <c r="L1530" s="26">
        <v>3400</v>
      </c>
      <c r="M1530" s="26">
        <v>140</v>
      </c>
      <c r="N1530" s="25">
        <f t="shared" si="47"/>
        <v>476000</v>
      </c>
      <c r="O1530" s="56">
        <v>160</v>
      </c>
    </row>
    <row r="1531" spans="1:15" hidden="1" x14ac:dyDescent="0.3">
      <c r="A1531" s="26">
        <v>29</v>
      </c>
      <c r="B1531" s="20" t="str">
        <f t="shared" si="46"/>
        <v>JUL</v>
      </c>
      <c r="C1531" s="21">
        <v>46220</v>
      </c>
      <c r="D1531" s="22" t="str">
        <f t="array" ref="D1531">IFERROR(INDEX('Kode Outlet dan Target Toko'!$A:$A,MATCH($I1531,'Kode Outlet dan Target Toko'!$E:$E,0)),"")</f>
        <v>GRSM 4</v>
      </c>
      <c r="E1531" s="20" t="str">
        <f>IFERROR(VLOOKUP(I1531,KET!$B:$F,4,0),"")</f>
        <v>FAHMI LUKMANUL HAKIM</v>
      </c>
      <c r="F1531" s="20" t="str">
        <f>IFERROR(VLOOKUP(I1531,KET!$B:$F,5,0),"")</f>
        <v>GMM</v>
      </c>
      <c r="G1531" s="20">
        <f>IFERROR(INDEX('Kode Outlet dan Target Toko'!$C:$C,MATCH($I1531,'Kode Outlet dan Target Toko'!$E:$E,0)),0)</f>
        <v>189901</v>
      </c>
      <c r="H1531" s="20">
        <f>IFERROR(INDEX('Kode Outlet dan Target Toko'!$D:$D,MATCH($I1531,'Kode Outlet dan Target Toko'!$E:$E,0)),0)</f>
        <v>1602057</v>
      </c>
      <c r="I1531" s="42" t="s">
        <v>68</v>
      </c>
      <c r="J1531" s="56" t="s">
        <v>175</v>
      </c>
      <c r="K1531" s="40" t="s">
        <v>15</v>
      </c>
      <c r="L1531" s="26">
        <v>2150</v>
      </c>
      <c r="M1531" s="26">
        <v>105</v>
      </c>
      <c r="N1531" s="25">
        <f t="shared" si="47"/>
        <v>225750</v>
      </c>
      <c r="O1531" s="56"/>
    </row>
    <row r="1532" spans="1:15" hidden="1" x14ac:dyDescent="0.3">
      <c r="A1532" s="26">
        <v>29</v>
      </c>
      <c r="B1532" s="20" t="str">
        <f t="shared" si="46"/>
        <v>JUL</v>
      </c>
      <c r="C1532" s="21">
        <v>46220</v>
      </c>
      <c r="D1532" s="22" t="str">
        <f t="array" ref="D1532">IFERROR(INDEX('Kode Outlet dan Target Toko'!$A:$A,MATCH($I1532,'Kode Outlet dan Target Toko'!$E:$E,0)),"")</f>
        <v>GRSM 4</v>
      </c>
      <c r="E1532" s="20" t="str">
        <f>IFERROR(VLOOKUP(I1532,KET!$B:$F,4,0),"")</f>
        <v>FAHMI LUKMANUL HAKIM</v>
      </c>
      <c r="F1532" s="20" t="str">
        <f>IFERROR(VLOOKUP(I1532,KET!$B:$F,5,0),"")</f>
        <v>GMM</v>
      </c>
      <c r="G1532" s="20">
        <f>IFERROR(INDEX('Kode Outlet dan Target Toko'!$C:$C,MATCH($I1532,'Kode Outlet dan Target Toko'!$E:$E,0)),0)</f>
        <v>189901</v>
      </c>
      <c r="H1532" s="20">
        <f>IFERROR(INDEX('Kode Outlet dan Target Toko'!$D:$D,MATCH($I1532,'Kode Outlet dan Target Toko'!$E:$E,0)),0)</f>
        <v>1602057</v>
      </c>
      <c r="I1532" s="42" t="s">
        <v>68</v>
      </c>
      <c r="J1532" s="56" t="s">
        <v>175</v>
      </c>
      <c r="K1532" s="40" t="s">
        <v>14</v>
      </c>
      <c r="L1532" s="26">
        <v>2150</v>
      </c>
      <c r="M1532" s="26">
        <v>101</v>
      </c>
      <c r="N1532" s="25">
        <f t="shared" si="47"/>
        <v>217150</v>
      </c>
      <c r="O1532" s="56"/>
    </row>
    <row r="1533" spans="1:15" hidden="1" x14ac:dyDescent="0.3">
      <c r="A1533" s="26">
        <v>29</v>
      </c>
      <c r="B1533" s="20" t="str">
        <f t="shared" si="46"/>
        <v>JUL</v>
      </c>
      <c r="C1533" s="21">
        <v>46220</v>
      </c>
      <c r="D1533" s="22" t="str">
        <f t="array" ref="D1533">IFERROR(INDEX('Kode Outlet dan Target Toko'!$A:$A,MATCH($I1533,'Kode Outlet dan Target Toko'!$E:$E,0)),"")</f>
        <v>GRSM 4</v>
      </c>
      <c r="E1533" s="20" t="str">
        <f>IFERROR(VLOOKUP(I1533,KET!$B:$F,4,0),"")</f>
        <v>FAHMI LUKMANUL HAKIM</v>
      </c>
      <c r="F1533" s="20" t="str">
        <f>IFERROR(VLOOKUP(I1533,KET!$B:$F,5,0),"")</f>
        <v>GMM</v>
      </c>
      <c r="G1533" s="20">
        <f>IFERROR(INDEX('Kode Outlet dan Target Toko'!$C:$C,MATCH($I1533,'Kode Outlet dan Target Toko'!$E:$E,0)),0)</f>
        <v>189901</v>
      </c>
      <c r="H1533" s="20">
        <f>IFERROR(INDEX('Kode Outlet dan Target Toko'!$D:$D,MATCH($I1533,'Kode Outlet dan Target Toko'!$E:$E,0)),0)</f>
        <v>1602057</v>
      </c>
      <c r="I1533" s="42" t="s">
        <v>68</v>
      </c>
      <c r="J1533" s="56" t="s">
        <v>175</v>
      </c>
      <c r="K1533" s="40" t="s">
        <v>13</v>
      </c>
      <c r="L1533" s="26">
        <v>2150</v>
      </c>
      <c r="M1533" s="26">
        <v>93</v>
      </c>
      <c r="N1533" s="25">
        <f t="shared" si="47"/>
        <v>199950</v>
      </c>
      <c r="O1533" s="56"/>
    </row>
    <row r="1534" spans="1:15" hidden="1" x14ac:dyDescent="0.3">
      <c r="A1534" s="26">
        <v>29</v>
      </c>
      <c r="B1534" s="20" t="str">
        <f t="shared" si="46"/>
        <v>JUL</v>
      </c>
      <c r="C1534" s="21">
        <v>46220</v>
      </c>
      <c r="D1534" s="22" t="str">
        <f t="array" ref="D1534">IFERROR(INDEX('Kode Outlet dan Target Toko'!$A:$A,MATCH($I1534,'Kode Outlet dan Target Toko'!$E:$E,0)),"")</f>
        <v>GRSM 4</v>
      </c>
      <c r="E1534" s="20" t="str">
        <f>IFERROR(VLOOKUP(I1534,KET!$B:$F,4,0),"")</f>
        <v>FAHMI LUKMANUL HAKIM</v>
      </c>
      <c r="F1534" s="20" t="str">
        <f>IFERROR(VLOOKUP(I1534,KET!$B:$F,5,0),"")</f>
        <v>GMM</v>
      </c>
      <c r="G1534" s="20">
        <f>IFERROR(INDEX('Kode Outlet dan Target Toko'!$C:$C,MATCH($I1534,'Kode Outlet dan Target Toko'!$E:$E,0)),0)</f>
        <v>189901</v>
      </c>
      <c r="H1534" s="20">
        <f>IFERROR(INDEX('Kode Outlet dan Target Toko'!$D:$D,MATCH($I1534,'Kode Outlet dan Target Toko'!$E:$E,0)),0)</f>
        <v>1602057</v>
      </c>
      <c r="I1534" s="42" t="s">
        <v>68</v>
      </c>
      <c r="J1534" s="56" t="s">
        <v>175</v>
      </c>
      <c r="K1534" s="40" t="s">
        <v>16</v>
      </c>
      <c r="L1534" s="26">
        <v>2000</v>
      </c>
      <c r="M1534" s="26">
        <v>169</v>
      </c>
      <c r="N1534" s="25">
        <f t="shared" si="47"/>
        <v>338000</v>
      </c>
      <c r="O1534" s="56">
        <v>160</v>
      </c>
    </row>
    <row r="1535" spans="1:15" hidden="1" x14ac:dyDescent="0.3">
      <c r="A1535" s="26">
        <v>29</v>
      </c>
      <c r="B1535" s="20" t="str">
        <f t="shared" si="46"/>
        <v>JUL</v>
      </c>
      <c r="C1535" s="21">
        <v>46220</v>
      </c>
      <c r="D1535" s="22" t="str">
        <f t="array" ref="D1535">IFERROR(INDEX('Kode Outlet dan Target Toko'!$A:$A,MATCH($I1535,'Kode Outlet dan Target Toko'!$E:$E,0)),"")</f>
        <v>GRSM 4</v>
      </c>
      <c r="E1535" s="20" t="str">
        <f>IFERROR(VLOOKUP(I1535,KET!$B:$F,4,0),"")</f>
        <v>FAHMI LUKMANUL HAKIM</v>
      </c>
      <c r="F1535" s="20" t="str">
        <f>IFERROR(VLOOKUP(I1535,KET!$B:$F,5,0),"")</f>
        <v>GMM</v>
      </c>
      <c r="G1535" s="20">
        <f>IFERROR(INDEX('Kode Outlet dan Target Toko'!$C:$C,MATCH($I1535,'Kode Outlet dan Target Toko'!$E:$E,0)),0)</f>
        <v>189901</v>
      </c>
      <c r="H1535" s="20">
        <f>IFERROR(INDEX('Kode Outlet dan Target Toko'!$D:$D,MATCH($I1535,'Kode Outlet dan Target Toko'!$E:$E,0)),0)</f>
        <v>1602018</v>
      </c>
      <c r="I1535" s="50" t="s">
        <v>34</v>
      </c>
      <c r="J1535" s="56" t="s">
        <v>187</v>
      </c>
      <c r="K1535" s="40" t="s">
        <v>15</v>
      </c>
      <c r="L1535" s="26">
        <v>3500</v>
      </c>
      <c r="M1535" s="26">
        <v>40</v>
      </c>
      <c r="N1535" s="25">
        <f t="shared" si="47"/>
        <v>140000</v>
      </c>
      <c r="O1535" s="56"/>
    </row>
    <row r="1536" spans="1:15" hidden="1" x14ac:dyDescent="0.3">
      <c r="A1536" s="26">
        <v>29</v>
      </c>
      <c r="B1536" s="20" t="str">
        <f t="shared" si="46"/>
        <v>JUL</v>
      </c>
      <c r="C1536" s="21">
        <v>46220</v>
      </c>
      <c r="D1536" s="22" t="str">
        <f t="array" ref="D1536">IFERROR(INDEX('Kode Outlet dan Target Toko'!$A:$A,MATCH($I1536,'Kode Outlet dan Target Toko'!$E:$E,0)),"")</f>
        <v>GRSM 4</v>
      </c>
      <c r="E1536" s="20" t="str">
        <f>IFERROR(VLOOKUP(I1536,KET!$B:$F,4,0),"")</f>
        <v>FAHMI LUKMANUL HAKIM</v>
      </c>
      <c r="F1536" s="20" t="str">
        <f>IFERROR(VLOOKUP(I1536,KET!$B:$F,5,0),"")</f>
        <v>GMM</v>
      </c>
      <c r="G1536" s="20">
        <f>IFERROR(INDEX('Kode Outlet dan Target Toko'!$C:$C,MATCH($I1536,'Kode Outlet dan Target Toko'!$E:$E,0)),0)</f>
        <v>189901</v>
      </c>
      <c r="H1536" s="20">
        <f>IFERROR(INDEX('Kode Outlet dan Target Toko'!$D:$D,MATCH($I1536,'Kode Outlet dan Target Toko'!$E:$E,0)),0)</f>
        <v>1602018</v>
      </c>
      <c r="I1536" s="50" t="s">
        <v>34</v>
      </c>
      <c r="J1536" s="56" t="s">
        <v>187</v>
      </c>
      <c r="K1536" s="40" t="s">
        <v>14</v>
      </c>
      <c r="L1536" s="26">
        <v>3500</v>
      </c>
      <c r="M1536" s="26">
        <v>40</v>
      </c>
      <c r="N1536" s="25">
        <f t="shared" si="47"/>
        <v>140000</v>
      </c>
      <c r="O1536" s="56"/>
    </row>
    <row r="1537" spans="1:15" hidden="1" x14ac:dyDescent="0.3">
      <c r="A1537" s="26">
        <v>29</v>
      </c>
      <c r="B1537" s="20" t="str">
        <f t="shared" si="46"/>
        <v>JUL</v>
      </c>
      <c r="C1537" s="21">
        <v>46220</v>
      </c>
      <c r="D1537" s="22" t="str">
        <f t="array" ref="D1537">IFERROR(INDEX('Kode Outlet dan Target Toko'!$A:$A,MATCH($I1537,'Kode Outlet dan Target Toko'!$E:$E,0)),"")</f>
        <v>GRSM 4</v>
      </c>
      <c r="E1537" s="20" t="str">
        <f>IFERROR(VLOOKUP(I1537,KET!$B:$F,4,0),"")</f>
        <v>FAHMI LUKMANUL HAKIM</v>
      </c>
      <c r="F1537" s="20" t="str">
        <f>IFERROR(VLOOKUP(I1537,KET!$B:$F,5,0),"")</f>
        <v>GMM</v>
      </c>
      <c r="G1537" s="20">
        <f>IFERROR(INDEX('Kode Outlet dan Target Toko'!$C:$C,MATCH($I1537,'Kode Outlet dan Target Toko'!$E:$E,0)),0)</f>
        <v>189901</v>
      </c>
      <c r="H1537" s="20">
        <f>IFERROR(INDEX('Kode Outlet dan Target Toko'!$D:$D,MATCH($I1537,'Kode Outlet dan Target Toko'!$E:$E,0)),0)</f>
        <v>1602018</v>
      </c>
      <c r="I1537" s="50" t="s">
        <v>34</v>
      </c>
      <c r="J1537" s="56" t="s">
        <v>187</v>
      </c>
      <c r="K1537" s="40" t="s">
        <v>13</v>
      </c>
      <c r="L1537" s="26">
        <v>3500</v>
      </c>
      <c r="M1537" s="26">
        <v>35</v>
      </c>
      <c r="N1537" s="25">
        <f t="shared" si="47"/>
        <v>122500</v>
      </c>
      <c r="O1537" s="56"/>
    </row>
    <row r="1538" spans="1:15" hidden="1" x14ac:dyDescent="0.3">
      <c r="A1538" s="26">
        <v>29</v>
      </c>
      <c r="B1538" s="20" t="str">
        <f t="shared" si="46"/>
        <v>JUL</v>
      </c>
      <c r="C1538" s="21">
        <v>46220</v>
      </c>
      <c r="D1538" s="22" t="str">
        <f t="array" ref="D1538">IFERROR(INDEX('Kode Outlet dan Target Toko'!$A:$A,MATCH($I1538,'Kode Outlet dan Target Toko'!$E:$E,0)),"")</f>
        <v>GRSM 4</v>
      </c>
      <c r="E1538" s="20" t="str">
        <f>IFERROR(VLOOKUP(I1538,KET!$B:$F,4,0),"")</f>
        <v>FAHMI LUKMANUL HAKIM</v>
      </c>
      <c r="F1538" s="20" t="str">
        <f>IFERROR(VLOOKUP(I1538,KET!$B:$F,5,0),"")</f>
        <v>GMM</v>
      </c>
      <c r="G1538" s="20">
        <f>IFERROR(INDEX('Kode Outlet dan Target Toko'!$C:$C,MATCH($I1538,'Kode Outlet dan Target Toko'!$E:$E,0)),0)</f>
        <v>189901</v>
      </c>
      <c r="H1538" s="20">
        <f>IFERROR(INDEX('Kode Outlet dan Target Toko'!$D:$D,MATCH($I1538,'Kode Outlet dan Target Toko'!$E:$E,0)),0)</f>
        <v>1602018</v>
      </c>
      <c r="I1538" s="50" t="s">
        <v>34</v>
      </c>
      <c r="J1538" s="56" t="s">
        <v>187</v>
      </c>
      <c r="K1538" s="40" t="s">
        <v>16</v>
      </c>
      <c r="L1538" s="26">
        <v>3500</v>
      </c>
      <c r="M1538" s="26">
        <v>80</v>
      </c>
      <c r="N1538" s="25">
        <f t="shared" si="47"/>
        <v>280000</v>
      </c>
      <c r="O1538" s="56">
        <v>160</v>
      </c>
    </row>
    <row r="1539" spans="1:15" hidden="1" x14ac:dyDescent="0.3">
      <c r="A1539" s="26">
        <v>29</v>
      </c>
      <c r="B1539" s="20" t="str">
        <f t="shared" si="46"/>
        <v>JUL</v>
      </c>
      <c r="C1539" s="21">
        <v>46221</v>
      </c>
      <c r="D1539" s="22" t="str">
        <f t="array" ref="D1539">IFERROR(INDEX('Kode Outlet dan Target Toko'!$A:$A,MATCH($I1539,'Kode Outlet dan Target Toko'!$E:$E,0)),"")</f>
        <v>GRSM 4</v>
      </c>
      <c r="E1539" s="20" t="str">
        <f>IFERROR(VLOOKUP(I1539,KET!$B:$F,4,0),"")</f>
        <v>FAHMI LUKMANUL HAKIM</v>
      </c>
      <c r="F1539" s="20" t="str">
        <f>IFERROR(VLOOKUP(I1539,KET!$B:$F,5,0),"")</f>
        <v>GMM</v>
      </c>
      <c r="G1539" s="20">
        <f>IFERROR(INDEX('Kode Outlet dan Target Toko'!$C:$C,MATCH($I1539,'Kode Outlet dan Target Toko'!$E:$E,0)),0)</f>
        <v>121409</v>
      </c>
      <c r="H1539" s="20">
        <f>IFERROR(INDEX('Kode Outlet dan Target Toko'!$D:$D,MATCH($I1539,'Kode Outlet dan Target Toko'!$E:$E,0)),0)</f>
        <v>5205014</v>
      </c>
      <c r="I1539" s="50" t="s">
        <v>31</v>
      </c>
      <c r="J1539" s="56" t="s">
        <v>185</v>
      </c>
      <c r="K1539" s="40" t="s">
        <v>15</v>
      </c>
      <c r="L1539" s="26">
        <v>2100</v>
      </c>
      <c r="M1539" s="26">
        <v>120</v>
      </c>
      <c r="N1539" s="25">
        <f t="shared" si="47"/>
        <v>252000</v>
      </c>
      <c r="O1539" s="56"/>
    </row>
    <row r="1540" spans="1:15" hidden="1" x14ac:dyDescent="0.3">
      <c r="A1540" s="26">
        <v>29</v>
      </c>
      <c r="B1540" s="20" t="str">
        <f t="shared" si="46"/>
        <v>JUL</v>
      </c>
      <c r="C1540" s="21">
        <v>46221</v>
      </c>
      <c r="D1540" s="22" t="str">
        <f t="array" ref="D1540">IFERROR(INDEX('Kode Outlet dan Target Toko'!$A:$A,MATCH($I1540,'Kode Outlet dan Target Toko'!$E:$E,0)),"")</f>
        <v>GRSM 4</v>
      </c>
      <c r="E1540" s="20" t="str">
        <f>IFERROR(VLOOKUP(I1540,KET!$B:$F,4,0),"")</f>
        <v>FAHMI LUKMANUL HAKIM</v>
      </c>
      <c r="F1540" s="20" t="str">
        <f>IFERROR(VLOOKUP(I1540,KET!$B:$F,5,0),"")</f>
        <v>GMM</v>
      </c>
      <c r="G1540" s="20">
        <f>IFERROR(INDEX('Kode Outlet dan Target Toko'!$C:$C,MATCH($I1540,'Kode Outlet dan Target Toko'!$E:$E,0)),0)</f>
        <v>121409</v>
      </c>
      <c r="H1540" s="20">
        <f>IFERROR(INDEX('Kode Outlet dan Target Toko'!$D:$D,MATCH($I1540,'Kode Outlet dan Target Toko'!$E:$E,0)),0)</f>
        <v>5205014</v>
      </c>
      <c r="I1540" s="50" t="s">
        <v>31</v>
      </c>
      <c r="J1540" s="56" t="s">
        <v>185</v>
      </c>
      <c r="K1540" s="40" t="s">
        <v>14</v>
      </c>
      <c r="L1540" s="26">
        <v>2100</v>
      </c>
      <c r="M1540" s="26">
        <v>176</v>
      </c>
      <c r="N1540" s="25">
        <f t="shared" si="47"/>
        <v>369600</v>
      </c>
      <c r="O1540" s="56"/>
    </row>
    <row r="1541" spans="1:15" hidden="1" x14ac:dyDescent="0.3">
      <c r="A1541" s="26">
        <v>29</v>
      </c>
      <c r="B1541" s="20" t="str">
        <f t="shared" si="46"/>
        <v>JUL</v>
      </c>
      <c r="C1541" s="21">
        <v>46221</v>
      </c>
      <c r="D1541" s="22" t="str">
        <f t="array" ref="D1541">IFERROR(INDEX('Kode Outlet dan Target Toko'!$A:$A,MATCH($I1541,'Kode Outlet dan Target Toko'!$E:$E,0)),"")</f>
        <v>GRSM 4</v>
      </c>
      <c r="E1541" s="20" t="str">
        <f>IFERROR(VLOOKUP(I1541,KET!$B:$F,4,0),"")</f>
        <v>FAHMI LUKMANUL HAKIM</v>
      </c>
      <c r="F1541" s="20" t="str">
        <f>IFERROR(VLOOKUP(I1541,KET!$B:$F,5,0),"")</f>
        <v>GMM</v>
      </c>
      <c r="G1541" s="20">
        <f>IFERROR(INDEX('Kode Outlet dan Target Toko'!$C:$C,MATCH($I1541,'Kode Outlet dan Target Toko'!$E:$E,0)),0)</f>
        <v>121409</v>
      </c>
      <c r="H1541" s="20">
        <f>IFERROR(INDEX('Kode Outlet dan Target Toko'!$D:$D,MATCH($I1541,'Kode Outlet dan Target Toko'!$E:$E,0)),0)</f>
        <v>5205014</v>
      </c>
      <c r="I1541" s="50" t="s">
        <v>31</v>
      </c>
      <c r="J1541" s="56" t="s">
        <v>185</v>
      </c>
      <c r="K1541" s="40" t="s">
        <v>13</v>
      </c>
      <c r="L1541" s="26">
        <v>2100</v>
      </c>
      <c r="M1541" s="26">
        <v>98</v>
      </c>
      <c r="N1541" s="25">
        <f t="shared" si="47"/>
        <v>205800</v>
      </c>
      <c r="O1541" s="56"/>
    </row>
    <row r="1542" spans="1:15" hidden="1" x14ac:dyDescent="0.3">
      <c r="A1542" s="26">
        <v>29</v>
      </c>
      <c r="B1542" s="20" t="str">
        <f t="shared" si="46"/>
        <v>JUL</v>
      </c>
      <c r="C1542" s="21">
        <v>46221</v>
      </c>
      <c r="D1542" s="22" t="str">
        <f t="array" ref="D1542">IFERROR(INDEX('Kode Outlet dan Target Toko'!$A:$A,MATCH($I1542,'Kode Outlet dan Target Toko'!$E:$E,0)),"")</f>
        <v>GRSM 4</v>
      </c>
      <c r="E1542" s="20" t="str">
        <f>IFERROR(VLOOKUP(I1542,KET!$B:$F,4,0),"")</f>
        <v>FAHMI LUKMANUL HAKIM</v>
      </c>
      <c r="F1542" s="20" t="str">
        <f>IFERROR(VLOOKUP(I1542,KET!$B:$F,5,0),"")</f>
        <v>GMM</v>
      </c>
      <c r="G1542" s="20">
        <f>IFERROR(INDEX('Kode Outlet dan Target Toko'!$C:$C,MATCH($I1542,'Kode Outlet dan Target Toko'!$E:$E,0)),0)</f>
        <v>121409</v>
      </c>
      <c r="H1542" s="20">
        <f>IFERROR(INDEX('Kode Outlet dan Target Toko'!$D:$D,MATCH($I1542,'Kode Outlet dan Target Toko'!$E:$E,0)),0)</f>
        <v>5205014</v>
      </c>
      <c r="I1542" s="50" t="s">
        <v>31</v>
      </c>
      <c r="J1542" s="56" t="s">
        <v>185</v>
      </c>
      <c r="K1542" s="40" t="s">
        <v>16</v>
      </c>
      <c r="L1542" s="26">
        <v>2100</v>
      </c>
      <c r="M1542" s="26">
        <v>189</v>
      </c>
      <c r="N1542" s="25">
        <f t="shared" si="47"/>
        <v>396900</v>
      </c>
      <c r="O1542" s="56">
        <v>160</v>
      </c>
    </row>
    <row r="1543" spans="1:15" hidden="1" x14ac:dyDescent="0.3">
      <c r="A1543" s="26">
        <v>29</v>
      </c>
      <c r="B1543" s="20" t="str">
        <f t="shared" ref="B1543:B1606" si="48">IF(C1543="","",UPPER(TEXT(C1543, "MMM")))</f>
        <v>JUL</v>
      </c>
      <c r="C1543" s="21">
        <v>46221</v>
      </c>
      <c r="D1543" s="22" t="str">
        <f t="array" ref="D1543">IFERROR(INDEX('Kode Outlet dan Target Toko'!$A:$A,MATCH($I1543,'Kode Outlet dan Target Toko'!$E:$E,0)),"")</f>
        <v>GRSM 4</v>
      </c>
      <c r="E1543" s="20" t="str">
        <f>IFERROR(VLOOKUP(I1543,KET!$B:$F,4,0),"")</f>
        <v>FAHMI LUKMANUL HAKIM</v>
      </c>
      <c r="F1543" s="20" t="str">
        <f>IFERROR(VLOOKUP(I1543,KET!$B:$F,5,0),"")</f>
        <v>GMM</v>
      </c>
      <c r="G1543" s="20">
        <f>IFERROR(INDEX('Kode Outlet dan Target Toko'!$C:$C,MATCH($I1543,'Kode Outlet dan Target Toko'!$E:$E,0)),0)</f>
        <v>121409</v>
      </c>
      <c r="H1543" s="20">
        <f>IFERROR(INDEX('Kode Outlet dan Target Toko'!$D:$D,MATCH($I1543,'Kode Outlet dan Target Toko'!$E:$E,0)),0)</f>
        <v>5205014</v>
      </c>
      <c r="I1543" s="50" t="s">
        <v>31</v>
      </c>
      <c r="J1543" s="56" t="s">
        <v>184</v>
      </c>
      <c r="K1543" s="40" t="s">
        <v>15</v>
      </c>
      <c r="L1543" s="26">
        <v>2100</v>
      </c>
      <c r="M1543" s="26">
        <v>120</v>
      </c>
      <c r="N1543" s="25">
        <f t="shared" ref="N1543:N1606" si="49">IFERROR(M1543*L1543,"")</f>
        <v>252000</v>
      </c>
      <c r="O1543" s="56"/>
    </row>
    <row r="1544" spans="1:15" hidden="1" x14ac:dyDescent="0.3">
      <c r="A1544" s="26">
        <v>29</v>
      </c>
      <c r="B1544" s="20" t="str">
        <f t="shared" si="48"/>
        <v>JUL</v>
      </c>
      <c r="C1544" s="21">
        <v>46221</v>
      </c>
      <c r="D1544" s="22" t="str">
        <f t="array" ref="D1544">IFERROR(INDEX('Kode Outlet dan Target Toko'!$A:$A,MATCH($I1544,'Kode Outlet dan Target Toko'!$E:$E,0)),"")</f>
        <v>GRSM 4</v>
      </c>
      <c r="E1544" s="20" t="str">
        <f>IFERROR(VLOOKUP(I1544,KET!$B:$F,4,0),"")</f>
        <v>FAHMI LUKMANUL HAKIM</v>
      </c>
      <c r="F1544" s="20" t="str">
        <f>IFERROR(VLOOKUP(I1544,KET!$B:$F,5,0),"")</f>
        <v>GMM</v>
      </c>
      <c r="G1544" s="20">
        <f>IFERROR(INDEX('Kode Outlet dan Target Toko'!$C:$C,MATCH($I1544,'Kode Outlet dan Target Toko'!$E:$E,0)),0)</f>
        <v>121409</v>
      </c>
      <c r="H1544" s="20">
        <f>IFERROR(INDEX('Kode Outlet dan Target Toko'!$D:$D,MATCH($I1544,'Kode Outlet dan Target Toko'!$E:$E,0)),0)</f>
        <v>5205014</v>
      </c>
      <c r="I1544" s="50" t="s">
        <v>31</v>
      </c>
      <c r="J1544" s="56" t="s">
        <v>184</v>
      </c>
      <c r="K1544" s="40" t="s">
        <v>14</v>
      </c>
      <c r="L1544" s="26">
        <v>2100</v>
      </c>
      <c r="M1544" s="26">
        <v>176</v>
      </c>
      <c r="N1544" s="25">
        <f t="shared" si="49"/>
        <v>369600</v>
      </c>
      <c r="O1544" s="56"/>
    </row>
    <row r="1545" spans="1:15" hidden="1" x14ac:dyDescent="0.3">
      <c r="A1545" s="26">
        <v>29</v>
      </c>
      <c r="B1545" s="20" t="str">
        <f t="shared" si="48"/>
        <v>JUL</v>
      </c>
      <c r="C1545" s="21">
        <v>46221</v>
      </c>
      <c r="D1545" s="22" t="str">
        <f t="array" ref="D1545">IFERROR(INDEX('Kode Outlet dan Target Toko'!$A:$A,MATCH($I1545,'Kode Outlet dan Target Toko'!$E:$E,0)),"")</f>
        <v>GRSM 4</v>
      </c>
      <c r="E1545" s="20" t="str">
        <f>IFERROR(VLOOKUP(I1545,KET!$B:$F,4,0),"")</f>
        <v>FAHMI LUKMANUL HAKIM</v>
      </c>
      <c r="F1545" s="20" t="str">
        <f>IFERROR(VLOOKUP(I1545,KET!$B:$F,5,0),"")</f>
        <v>GMM</v>
      </c>
      <c r="G1545" s="20">
        <f>IFERROR(INDEX('Kode Outlet dan Target Toko'!$C:$C,MATCH($I1545,'Kode Outlet dan Target Toko'!$E:$E,0)),0)</f>
        <v>121409</v>
      </c>
      <c r="H1545" s="20">
        <f>IFERROR(INDEX('Kode Outlet dan Target Toko'!$D:$D,MATCH($I1545,'Kode Outlet dan Target Toko'!$E:$E,0)),0)</f>
        <v>5205014</v>
      </c>
      <c r="I1545" s="50" t="s">
        <v>31</v>
      </c>
      <c r="J1545" s="56" t="s">
        <v>184</v>
      </c>
      <c r="K1545" s="40" t="s">
        <v>13</v>
      </c>
      <c r="L1545" s="26">
        <v>2100</v>
      </c>
      <c r="M1545" s="26">
        <v>98</v>
      </c>
      <c r="N1545" s="25">
        <f t="shared" si="49"/>
        <v>205800</v>
      </c>
      <c r="O1545" s="56"/>
    </row>
    <row r="1546" spans="1:15" hidden="1" x14ac:dyDescent="0.3">
      <c r="A1546" s="26">
        <v>29</v>
      </c>
      <c r="B1546" s="20" t="str">
        <f t="shared" si="48"/>
        <v>JUL</v>
      </c>
      <c r="C1546" s="21">
        <v>46221</v>
      </c>
      <c r="D1546" s="22" t="str">
        <f t="array" ref="D1546">IFERROR(INDEX('Kode Outlet dan Target Toko'!$A:$A,MATCH($I1546,'Kode Outlet dan Target Toko'!$E:$E,0)),"")</f>
        <v>GRSM 4</v>
      </c>
      <c r="E1546" s="20" t="str">
        <f>IFERROR(VLOOKUP(I1546,KET!$B:$F,4,0),"")</f>
        <v>FAHMI LUKMANUL HAKIM</v>
      </c>
      <c r="F1546" s="20" t="str">
        <f>IFERROR(VLOOKUP(I1546,KET!$B:$F,5,0),"")</f>
        <v>GMM</v>
      </c>
      <c r="G1546" s="20">
        <f>IFERROR(INDEX('Kode Outlet dan Target Toko'!$C:$C,MATCH($I1546,'Kode Outlet dan Target Toko'!$E:$E,0)),0)</f>
        <v>121409</v>
      </c>
      <c r="H1546" s="20">
        <f>IFERROR(INDEX('Kode Outlet dan Target Toko'!$D:$D,MATCH($I1546,'Kode Outlet dan Target Toko'!$E:$E,0)),0)</f>
        <v>5205014</v>
      </c>
      <c r="I1546" s="50" t="s">
        <v>31</v>
      </c>
      <c r="J1546" s="56" t="s">
        <v>184</v>
      </c>
      <c r="K1546" s="40" t="s">
        <v>16</v>
      </c>
      <c r="L1546" s="26">
        <v>2100</v>
      </c>
      <c r="M1546" s="26">
        <v>189</v>
      </c>
      <c r="N1546" s="25">
        <f t="shared" si="49"/>
        <v>396900</v>
      </c>
      <c r="O1546" s="56">
        <v>160</v>
      </c>
    </row>
    <row r="1547" spans="1:15" hidden="1" x14ac:dyDescent="0.3">
      <c r="A1547" s="26">
        <v>29</v>
      </c>
      <c r="B1547" s="20" t="str">
        <f t="shared" si="48"/>
        <v>JUL</v>
      </c>
      <c r="C1547" s="21">
        <v>46221</v>
      </c>
      <c r="D1547" s="22" t="str">
        <f t="array" ref="D1547">IFERROR(INDEX('Kode Outlet dan Target Toko'!$A:$A,MATCH($I1547,'Kode Outlet dan Target Toko'!$E:$E,0)),"")</f>
        <v>GRSM 4</v>
      </c>
      <c r="E1547" s="20" t="str">
        <f>IFERROR(VLOOKUP(I1547,KET!$B:$F,4,0),"")</f>
        <v>FAHMI LUKMANUL HAKIM</v>
      </c>
      <c r="F1547" s="20" t="str">
        <f>IFERROR(VLOOKUP(I1547,KET!$B:$F,5,0),"")</f>
        <v>GMM</v>
      </c>
      <c r="G1547" s="20">
        <f>IFERROR(INDEX('Kode Outlet dan Target Toko'!$C:$C,MATCH($I1547,'Kode Outlet dan Target Toko'!$E:$E,0)),0)</f>
        <v>103277</v>
      </c>
      <c r="H1547" s="20">
        <f>IFERROR(INDEX('Kode Outlet dan Target Toko'!$D:$D,MATCH($I1547,'Kode Outlet dan Target Toko'!$E:$E,0)),0)</f>
        <v>6300700</v>
      </c>
      <c r="I1547" s="50" t="s">
        <v>30</v>
      </c>
      <c r="J1547" s="56" t="s">
        <v>182</v>
      </c>
      <c r="K1547" s="40" t="s">
        <v>15</v>
      </c>
      <c r="L1547" s="26">
        <v>3000</v>
      </c>
      <c r="M1547" s="26">
        <v>45</v>
      </c>
      <c r="N1547" s="25">
        <f t="shared" si="49"/>
        <v>135000</v>
      </c>
      <c r="O1547" s="56"/>
    </row>
    <row r="1548" spans="1:15" hidden="1" x14ac:dyDescent="0.3">
      <c r="A1548" s="26">
        <v>29</v>
      </c>
      <c r="B1548" s="20" t="str">
        <f t="shared" si="48"/>
        <v>JUL</v>
      </c>
      <c r="C1548" s="21">
        <v>46221</v>
      </c>
      <c r="D1548" s="22" t="str">
        <f t="array" ref="D1548">IFERROR(INDEX('Kode Outlet dan Target Toko'!$A:$A,MATCH($I1548,'Kode Outlet dan Target Toko'!$E:$E,0)),"")</f>
        <v>GRSM 4</v>
      </c>
      <c r="E1548" s="20" t="str">
        <f>IFERROR(VLOOKUP(I1548,KET!$B:$F,4,0),"")</f>
        <v>FAHMI LUKMANUL HAKIM</v>
      </c>
      <c r="F1548" s="20" t="str">
        <f>IFERROR(VLOOKUP(I1548,KET!$B:$F,5,0),"")</f>
        <v>GMM</v>
      </c>
      <c r="G1548" s="20">
        <f>IFERROR(INDEX('Kode Outlet dan Target Toko'!$C:$C,MATCH($I1548,'Kode Outlet dan Target Toko'!$E:$E,0)),0)</f>
        <v>103277</v>
      </c>
      <c r="H1548" s="20">
        <f>IFERROR(INDEX('Kode Outlet dan Target Toko'!$D:$D,MATCH($I1548,'Kode Outlet dan Target Toko'!$E:$E,0)),0)</f>
        <v>6300700</v>
      </c>
      <c r="I1548" s="50" t="s">
        <v>30</v>
      </c>
      <c r="J1548" s="56" t="s">
        <v>182</v>
      </c>
      <c r="K1548" s="40" t="s">
        <v>14</v>
      </c>
      <c r="L1548" s="26">
        <v>3000</v>
      </c>
      <c r="M1548" s="26">
        <v>49</v>
      </c>
      <c r="N1548" s="25">
        <f t="shared" si="49"/>
        <v>147000</v>
      </c>
      <c r="O1548" s="56"/>
    </row>
    <row r="1549" spans="1:15" hidden="1" x14ac:dyDescent="0.3">
      <c r="A1549" s="26">
        <v>29</v>
      </c>
      <c r="B1549" s="20" t="str">
        <f t="shared" si="48"/>
        <v>JUL</v>
      </c>
      <c r="C1549" s="21">
        <v>46221</v>
      </c>
      <c r="D1549" s="22" t="str">
        <f t="array" ref="D1549">IFERROR(INDEX('Kode Outlet dan Target Toko'!$A:$A,MATCH($I1549,'Kode Outlet dan Target Toko'!$E:$E,0)),"")</f>
        <v>GRSM 4</v>
      </c>
      <c r="E1549" s="20" t="str">
        <f>IFERROR(VLOOKUP(I1549,KET!$B:$F,4,0),"")</f>
        <v>FAHMI LUKMANUL HAKIM</v>
      </c>
      <c r="F1549" s="20" t="str">
        <f>IFERROR(VLOOKUP(I1549,KET!$B:$F,5,0),"")</f>
        <v>GMM</v>
      </c>
      <c r="G1549" s="20">
        <f>IFERROR(INDEX('Kode Outlet dan Target Toko'!$C:$C,MATCH($I1549,'Kode Outlet dan Target Toko'!$E:$E,0)),0)</f>
        <v>103277</v>
      </c>
      <c r="H1549" s="20">
        <f>IFERROR(INDEX('Kode Outlet dan Target Toko'!$D:$D,MATCH($I1549,'Kode Outlet dan Target Toko'!$E:$E,0)),0)</f>
        <v>6300700</v>
      </c>
      <c r="I1549" s="50" t="s">
        <v>30</v>
      </c>
      <c r="J1549" s="56" t="s">
        <v>182</v>
      </c>
      <c r="K1549" s="40" t="s">
        <v>13</v>
      </c>
      <c r="L1549" s="26">
        <v>3000</v>
      </c>
      <c r="M1549" s="26">
        <v>35</v>
      </c>
      <c r="N1549" s="25">
        <f t="shared" si="49"/>
        <v>105000</v>
      </c>
      <c r="O1549" s="56"/>
    </row>
    <row r="1550" spans="1:15" hidden="1" x14ac:dyDescent="0.3">
      <c r="A1550" s="26">
        <v>29</v>
      </c>
      <c r="B1550" s="20" t="str">
        <f t="shared" si="48"/>
        <v>JUL</v>
      </c>
      <c r="C1550" s="21">
        <v>46221</v>
      </c>
      <c r="D1550" s="22" t="str">
        <f t="array" ref="D1550">IFERROR(INDEX('Kode Outlet dan Target Toko'!$A:$A,MATCH($I1550,'Kode Outlet dan Target Toko'!$E:$E,0)),"")</f>
        <v>GRSM 4</v>
      </c>
      <c r="E1550" s="20" t="str">
        <f>IFERROR(VLOOKUP(I1550,KET!$B:$F,4,0),"")</f>
        <v>FAHMI LUKMANUL HAKIM</v>
      </c>
      <c r="F1550" s="20" t="str">
        <f>IFERROR(VLOOKUP(I1550,KET!$B:$F,5,0),"")</f>
        <v>GMM</v>
      </c>
      <c r="G1550" s="20">
        <f>IFERROR(INDEX('Kode Outlet dan Target Toko'!$C:$C,MATCH($I1550,'Kode Outlet dan Target Toko'!$E:$E,0)),0)</f>
        <v>103277</v>
      </c>
      <c r="H1550" s="20">
        <f>IFERROR(INDEX('Kode Outlet dan Target Toko'!$D:$D,MATCH($I1550,'Kode Outlet dan Target Toko'!$E:$E,0)),0)</f>
        <v>6300700</v>
      </c>
      <c r="I1550" s="50" t="s">
        <v>30</v>
      </c>
      <c r="J1550" s="56" t="s">
        <v>182</v>
      </c>
      <c r="K1550" s="40" t="s">
        <v>16</v>
      </c>
      <c r="L1550" s="26">
        <v>3000</v>
      </c>
      <c r="M1550" s="26">
        <v>151</v>
      </c>
      <c r="N1550" s="25">
        <f t="shared" si="49"/>
        <v>453000</v>
      </c>
      <c r="O1550" s="56">
        <v>160</v>
      </c>
    </row>
    <row r="1551" spans="1:15" hidden="1" x14ac:dyDescent="0.3">
      <c r="A1551" s="26">
        <v>29</v>
      </c>
      <c r="B1551" s="20" t="str">
        <f t="shared" si="48"/>
        <v>JUL</v>
      </c>
      <c r="C1551" s="21">
        <v>46221</v>
      </c>
      <c r="D1551" s="22" t="str">
        <f t="array" ref="D1551">IFERROR(INDEX('Kode Outlet dan Target Toko'!$A:$A,MATCH($I1551,'Kode Outlet dan Target Toko'!$E:$E,0)),"")</f>
        <v>GRSM 4</v>
      </c>
      <c r="E1551" s="20" t="str">
        <f>IFERROR(VLOOKUP(I1551,KET!$B:$F,4,0),"")</f>
        <v>FAHMI LUKMANUL HAKIM</v>
      </c>
      <c r="F1551" s="20" t="str">
        <f>IFERROR(VLOOKUP(I1551,KET!$B:$F,5,0),"")</f>
        <v>GMM</v>
      </c>
      <c r="G1551" s="20">
        <f>IFERROR(INDEX('Kode Outlet dan Target Toko'!$C:$C,MATCH($I1551,'Kode Outlet dan Target Toko'!$E:$E,0)),0)</f>
        <v>103277</v>
      </c>
      <c r="H1551" s="20">
        <f>IFERROR(INDEX('Kode Outlet dan Target Toko'!$D:$D,MATCH($I1551,'Kode Outlet dan Target Toko'!$E:$E,0)),0)</f>
        <v>6300700</v>
      </c>
      <c r="I1551" s="50" t="s">
        <v>30</v>
      </c>
      <c r="J1551" s="56" t="s">
        <v>183</v>
      </c>
      <c r="K1551" s="40" t="s">
        <v>15</v>
      </c>
      <c r="L1551" s="26">
        <v>3000</v>
      </c>
      <c r="M1551" s="26">
        <v>50</v>
      </c>
      <c r="N1551" s="25">
        <f t="shared" si="49"/>
        <v>150000</v>
      </c>
      <c r="O1551" s="56"/>
    </row>
    <row r="1552" spans="1:15" hidden="1" x14ac:dyDescent="0.3">
      <c r="A1552" s="26">
        <v>29</v>
      </c>
      <c r="B1552" s="20" t="str">
        <f t="shared" si="48"/>
        <v>JUL</v>
      </c>
      <c r="C1552" s="21">
        <v>46221</v>
      </c>
      <c r="D1552" s="22" t="str">
        <f t="array" ref="D1552">IFERROR(INDEX('Kode Outlet dan Target Toko'!$A:$A,MATCH($I1552,'Kode Outlet dan Target Toko'!$E:$E,0)),"")</f>
        <v>GRSM 4</v>
      </c>
      <c r="E1552" s="20" t="str">
        <f>IFERROR(VLOOKUP(I1552,KET!$B:$F,4,0),"")</f>
        <v>FAHMI LUKMANUL HAKIM</v>
      </c>
      <c r="F1552" s="20" t="str">
        <f>IFERROR(VLOOKUP(I1552,KET!$B:$F,5,0),"")</f>
        <v>GMM</v>
      </c>
      <c r="G1552" s="20">
        <f>IFERROR(INDEX('Kode Outlet dan Target Toko'!$C:$C,MATCH($I1552,'Kode Outlet dan Target Toko'!$E:$E,0)),0)</f>
        <v>103277</v>
      </c>
      <c r="H1552" s="20">
        <f>IFERROR(INDEX('Kode Outlet dan Target Toko'!$D:$D,MATCH($I1552,'Kode Outlet dan Target Toko'!$E:$E,0)),0)</f>
        <v>6300700</v>
      </c>
      <c r="I1552" s="50" t="s">
        <v>30</v>
      </c>
      <c r="J1552" s="56" t="s">
        <v>183</v>
      </c>
      <c r="K1552" s="40" t="s">
        <v>14</v>
      </c>
      <c r="L1552" s="26">
        <v>3000</v>
      </c>
      <c r="M1552" s="26">
        <v>50</v>
      </c>
      <c r="N1552" s="25">
        <f t="shared" si="49"/>
        <v>150000</v>
      </c>
      <c r="O1552" s="56"/>
    </row>
    <row r="1553" spans="1:15" hidden="1" x14ac:dyDescent="0.3">
      <c r="A1553" s="26">
        <v>29</v>
      </c>
      <c r="B1553" s="20" t="str">
        <f t="shared" si="48"/>
        <v>JUL</v>
      </c>
      <c r="C1553" s="21">
        <v>46221</v>
      </c>
      <c r="D1553" s="22" t="str">
        <f t="array" ref="D1553">IFERROR(INDEX('Kode Outlet dan Target Toko'!$A:$A,MATCH($I1553,'Kode Outlet dan Target Toko'!$E:$E,0)),"")</f>
        <v>GRSM 4</v>
      </c>
      <c r="E1553" s="20" t="str">
        <f>IFERROR(VLOOKUP(I1553,KET!$B:$F,4,0),"")</f>
        <v>FAHMI LUKMANUL HAKIM</v>
      </c>
      <c r="F1553" s="20" t="str">
        <f>IFERROR(VLOOKUP(I1553,KET!$B:$F,5,0),"")</f>
        <v>GMM</v>
      </c>
      <c r="G1553" s="20">
        <f>IFERROR(INDEX('Kode Outlet dan Target Toko'!$C:$C,MATCH($I1553,'Kode Outlet dan Target Toko'!$E:$E,0)),0)</f>
        <v>103277</v>
      </c>
      <c r="H1553" s="20">
        <f>IFERROR(INDEX('Kode Outlet dan Target Toko'!$D:$D,MATCH($I1553,'Kode Outlet dan Target Toko'!$E:$E,0)),0)</f>
        <v>6300700</v>
      </c>
      <c r="I1553" s="50" t="s">
        <v>30</v>
      </c>
      <c r="J1553" s="56" t="s">
        <v>183</v>
      </c>
      <c r="K1553" s="40" t="s">
        <v>13</v>
      </c>
      <c r="L1553" s="26">
        <v>3000</v>
      </c>
      <c r="M1553" s="26">
        <v>35</v>
      </c>
      <c r="N1553" s="25">
        <f t="shared" si="49"/>
        <v>105000</v>
      </c>
      <c r="O1553" s="56"/>
    </row>
    <row r="1554" spans="1:15" hidden="1" x14ac:dyDescent="0.3">
      <c r="A1554" s="26">
        <v>29</v>
      </c>
      <c r="B1554" s="20" t="str">
        <f t="shared" si="48"/>
        <v>JUL</v>
      </c>
      <c r="C1554" s="21">
        <v>46221</v>
      </c>
      <c r="D1554" s="22" t="str">
        <f t="array" ref="D1554">IFERROR(INDEX('Kode Outlet dan Target Toko'!$A:$A,MATCH($I1554,'Kode Outlet dan Target Toko'!$E:$E,0)),"")</f>
        <v>GRSM 4</v>
      </c>
      <c r="E1554" s="20" t="str">
        <f>IFERROR(VLOOKUP(I1554,KET!$B:$F,4,0),"")</f>
        <v>FAHMI LUKMANUL HAKIM</v>
      </c>
      <c r="F1554" s="20" t="str">
        <f>IFERROR(VLOOKUP(I1554,KET!$B:$F,5,0),"")</f>
        <v>GMM</v>
      </c>
      <c r="G1554" s="20">
        <f>IFERROR(INDEX('Kode Outlet dan Target Toko'!$C:$C,MATCH($I1554,'Kode Outlet dan Target Toko'!$E:$E,0)),0)</f>
        <v>103277</v>
      </c>
      <c r="H1554" s="20">
        <f>IFERROR(INDEX('Kode Outlet dan Target Toko'!$D:$D,MATCH($I1554,'Kode Outlet dan Target Toko'!$E:$E,0)),0)</f>
        <v>6300700</v>
      </c>
      <c r="I1554" s="50" t="s">
        <v>30</v>
      </c>
      <c r="J1554" s="56" t="s">
        <v>183</v>
      </c>
      <c r="K1554" s="40" t="s">
        <v>16</v>
      </c>
      <c r="L1554" s="26">
        <v>3000</v>
      </c>
      <c r="M1554" s="26">
        <v>185</v>
      </c>
      <c r="N1554" s="25">
        <f t="shared" si="49"/>
        <v>555000</v>
      </c>
      <c r="O1554" s="56">
        <v>160</v>
      </c>
    </row>
    <row r="1555" spans="1:15" hidden="1" x14ac:dyDescent="0.3">
      <c r="A1555" s="26">
        <v>29</v>
      </c>
      <c r="B1555" s="20" t="str">
        <f t="shared" si="48"/>
        <v>JUL</v>
      </c>
      <c r="C1555" s="21">
        <v>46221</v>
      </c>
      <c r="D1555" s="22" t="str">
        <f t="array" ref="D1555">IFERROR(INDEX('Kode Outlet dan Target Toko'!$A:$A,MATCH($I1555,'Kode Outlet dan Target Toko'!$E:$E,0)),"")</f>
        <v>GRSM 4</v>
      </c>
      <c r="E1555" s="20" t="str">
        <f>IFERROR(VLOOKUP(I1555,KET!$B:$F,4,0),"")</f>
        <v>FAHMI LUKMANUL HAKIM</v>
      </c>
      <c r="F1555" s="20" t="str">
        <f>IFERROR(VLOOKUP(I1555,KET!$B:$F,5,0),"")</f>
        <v>GMM</v>
      </c>
      <c r="G1555" s="20">
        <f>IFERROR(INDEX('Kode Outlet dan Target Toko'!$C:$C,MATCH($I1555,'Kode Outlet dan Target Toko'!$E:$E,0)),0)</f>
        <v>103257</v>
      </c>
      <c r="H1555" s="20">
        <f>IFERROR(INDEX('Kode Outlet dan Target Toko'!$D:$D,MATCH($I1555,'Kode Outlet dan Target Toko'!$E:$E,0)),0)</f>
        <v>9162509</v>
      </c>
      <c r="I1555" s="42" t="s">
        <v>57</v>
      </c>
      <c r="J1555" s="56" t="s">
        <v>181</v>
      </c>
      <c r="K1555" s="40" t="s">
        <v>15</v>
      </c>
      <c r="L1555" s="26">
        <v>3200</v>
      </c>
      <c r="M1555" s="26">
        <v>76</v>
      </c>
      <c r="N1555" s="25">
        <f t="shared" si="49"/>
        <v>243200</v>
      </c>
      <c r="O1555" s="56"/>
    </row>
    <row r="1556" spans="1:15" hidden="1" x14ac:dyDescent="0.3">
      <c r="A1556" s="26">
        <v>29</v>
      </c>
      <c r="B1556" s="20" t="str">
        <f t="shared" si="48"/>
        <v>JUL</v>
      </c>
      <c r="C1556" s="21">
        <v>46221</v>
      </c>
      <c r="D1556" s="22" t="str">
        <f t="array" ref="D1556">IFERROR(INDEX('Kode Outlet dan Target Toko'!$A:$A,MATCH($I1556,'Kode Outlet dan Target Toko'!$E:$E,0)),"")</f>
        <v>GRSM 4</v>
      </c>
      <c r="E1556" s="20" t="str">
        <f>IFERROR(VLOOKUP(I1556,KET!$B:$F,4,0),"")</f>
        <v>FAHMI LUKMANUL HAKIM</v>
      </c>
      <c r="F1556" s="20" t="str">
        <f>IFERROR(VLOOKUP(I1556,KET!$B:$F,5,0),"")</f>
        <v>GMM</v>
      </c>
      <c r="G1556" s="20">
        <f>IFERROR(INDEX('Kode Outlet dan Target Toko'!$C:$C,MATCH($I1556,'Kode Outlet dan Target Toko'!$E:$E,0)),0)</f>
        <v>103257</v>
      </c>
      <c r="H1556" s="20">
        <f>IFERROR(INDEX('Kode Outlet dan Target Toko'!$D:$D,MATCH($I1556,'Kode Outlet dan Target Toko'!$E:$E,0)),0)</f>
        <v>9162509</v>
      </c>
      <c r="I1556" s="42" t="s">
        <v>57</v>
      </c>
      <c r="J1556" s="56" t="s">
        <v>181</v>
      </c>
      <c r="K1556" s="40" t="s">
        <v>14</v>
      </c>
      <c r="L1556" s="26">
        <v>3200</v>
      </c>
      <c r="M1556" s="26">
        <v>65</v>
      </c>
      <c r="N1556" s="25">
        <f t="shared" si="49"/>
        <v>208000</v>
      </c>
      <c r="O1556" s="56"/>
    </row>
    <row r="1557" spans="1:15" hidden="1" x14ac:dyDescent="0.3">
      <c r="A1557" s="26">
        <v>29</v>
      </c>
      <c r="B1557" s="20" t="str">
        <f t="shared" si="48"/>
        <v>JUL</v>
      </c>
      <c r="C1557" s="21">
        <v>46221</v>
      </c>
      <c r="D1557" s="22" t="str">
        <f t="array" ref="D1557">IFERROR(INDEX('Kode Outlet dan Target Toko'!$A:$A,MATCH($I1557,'Kode Outlet dan Target Toko'!$E:$E,0)),"")</f>
        <v>GRSM 4</v>
      </c>
      <c r="E1557" s="20" t="str">
        <f>IFERROR(VLOOKUP(I1557,KET!$B:$F,4,0),"")</f>
        <v>FAHMI LUKMANUL HAKIM</v>
      </c>
      <c r="F1557" s="20" t="str">
        <f>IFERROR(VLOOKUP(I1557,KET!$B:$F,5,0),"")</f>
        <v>GMM</v>
      </c>
      <c r="G1557" s="20">
        <f>IFERROR(INDEX('Kode Outlet dan Target Toko'!$C:$C,MATCH($I1557,'Kode Outlet dan Target Toko'!$E:$E,0)),0)</f>
        <v>103257</v>
      </c>
      <c r="H1557" s="20">
        <f>IFERROR(INDEX('Kode Outlet dan Target Toko'!$D:$D,MATCH($I1557,'Kode Outlet dan Target Toko'!$E:$E,0)),0)</f>
        <v>9162509</v>
      </c>
      <c r="I1557" s="42" t="s">
        <v>57</v>
      </c>
      <c r="J1557" s="56" t="s">
        <v>181</v>
      </c>
      <c r="K1557" s="40" t="s">
        <v>13</v>
      </c>
      <c r="L1557" s="26">
        <v>3200</v>
      </c>
      <c r="M1557" s="26">
        <v>69</v>
      </c>
      <c r="N1557" s="25">
        <f t="shared" si="49"/>
        <v>220800</v>
      </c>
      <c r="O1557" s="56"/>
    </row>
    <row r="1558" spans="1:15" hidden="1" x14ac:dyDescent="0.3">
      <c r="A1558" s="26">
        <v>29</v>
      </c>
      <c r="B1558" s="20" t="str">
        <f t="shared" si="48"/>
        <v>JUL</v>
      </c>
      <c r="C1558" s="21">
        <v>46221</v>
      </c>
      <c r="D1558" s="22" t="str">
        <f t="array" ref="D1558">IFERROR(INDEX('Kode Outlet dan Target Toko'!$A:$A,MATCH($I1558,'Kode Outlet dan Target Toko'!$E:$E,0)),"")</f>
        <v>GRSM 4</v>
      </c>
      <c r="E1558" s="20" t="str">
        <f>IFERROR(VLOOKUP(I1558,KET!$B:$F,4,0),"")</f>
        <v>FAHMI LUKMANUL HAKIM</v>
      </c>
      <c r="F1558" s="20" t="str">
        <f>IFERROR(VLOOKUP(I1558,KET!$B:$F,5,0),"")</f>
        <v>GMM</v>
      </c>
      <c r="G1558" s="20">
        <f>IFERROR(INDEX('Kode Outlet dan Target Toko'!$C:$C,MATCH($I1558,'Kode Outlet dan Target Toko'!$E:$E,0)),0)</f>
        <v>103257</v>
      </c>
      <c r="H1558" s="20">
        <f>IFERROR(INDEX('Kode Outlet dan Target Toko'!$D:$D,MATCH($I1558,'Kode Outlet dan Target Toko'!$E:$E,0)),0)</f>
        <v>9162509</v>
      </c>
      <c r="I1558" s="42" t="s">
        <v>57</v>
      </c>
      <c r="J1558" s="56" t="s">
        <v>181</v>
      </c>
      <c r="K1558" s="40" t="s">
        <v>16</v>
      </c>
      <c r="L1558" s="26">
        <v>3200</v>
      </c>
      <c r="M1558" s="26">
        <v>94</v>
      </c>
      <c r="N1558" s="25">
        <f t="shared" si="49"/>
        <v>300800</v>
      </c>
      <c r="O1558" s="56">
        <v>160</v>
      </c>
    </row>
    <row r="1559" spans="1:15" hidden="1" x14ac:dyDescent="0.3">
      <c r="A1559" s="26">
        <v>29</v>
      </c>
      <c r="B1559" s="20" t="str">
        <f t="shared" si="48"/>
        <v>JUL</v>
      </c>
      <c r="C1559" s="21">
        <v>46221</v>
      </c>
      <c r="D1559" s="22" t="str">
        <f t="array" ref="D1559">IFERROR(INDEX('Kode Outlet dan Target Toko'!$A:$A,MATCH($I1559,'Kode Outlet dan Target Toko'!$E:$E,0)),"")</f>
        <v>GRSM 4</v>
      </c>
      <c r="E1559" s="20" t="str">
        <f>IFERROR(VLOOKUP(I1559,KET!$B:$F,4,0),"")</f>
        <v>FAHMI LUKMANUL HAKIM</v>
      </c>
      <c r="F1559" s="20" t="str">
        <f>IFERROR(VLOOKUP(I1559,KET!$B:$F,5,0),"")</f>
        <v>GMM</v>
      </c>
      <c r="G1559" s="20">
        <f>IFERROR(INDEX('Kode Outlet dan Target Toko'!$C:$C,MATCH($I1559,'Kode Outlet dan Target Toko'!$E:$E,0)),0)</f>
        <v>189901</v>
      </c>
      <c r="H1559" s="20">
        <f>IFERROR(INDEX('Kode Outlet dan Target Toko'!$D:$D,MATCH($I1559,'Kode Outlet dan Target Toko'!$E:$E,0)),0)</f>
        <v>1602008</v>
      </c>
      <c r="I1559" s="42" t="s">
        <v>32</v>
      </c>
      <c r="J1559" s="56" t="s">
        <v>189</v>
      </c>
      <c r="K1559" s="40" t="s">
        <v>15</v>
      </c>
      <c r="L1559" s="26">
        <v>3300</v>
      </c>
      <c r="M1559" s="26">
        <v>40</v>
      </c>
      <c r="N1559" s="25">
        <f t="shared" si="49"/>
        <v>132000</v>
      </c>
      <c r="O1559" s="56"/>
    </row>
    <row r="1560" spans="1:15" hidden="1" x14ac:dyDescent="0.3">
      <c r="A1560" s="26">
        <v>29</v>
      </c>
      <c r="B1560" s="20" t="str">
        <f t="shared" si="48"/>
        <v>JUL</v>
      </c>
      <c r="C1560" s="21">
        <v>46221</v>
      </c>
      <c r="D1560" s="22" t="str">
        <f t="array" ref="D1560">IFERROR(INDEX('Kode Outlet dan Target Toko'!$A:$A,MATCH($I1560,'Kode Outlet dan Target Toko'!$E:$E,0)),"")</f>
        <v>GRSM 4</v>
      </c>
      <c r="E1560" s="20" t="str">
        <f>IFERROR(VLOOKUP(I1560,KET!$B:$F,4,0),"")</f>
        <v>FAHMI LUKMANUL HAKIM</v>
      </c>
      <c r="F1560" s="20" t="str">
        <f>IFERROR(VLOOKUP(I1560,KET!$B:$F,5,0),"")</f>
        <v>GMM</v>
      </c>
      <c r="G1560" s="20">
        <f>IFERROR(INDEX('Kode Outlet dan Target Toko'!$C:$C,MATCH($I1560,'Kode Outlet dan Target Toko'!$E:$E,0)),0)</f>
        <v>189901</v>
      </c>
      <c r="H1560" s="20">
        <f>IFERROR(INDEX('Kode Outlet dan Target Toko'!$D:$D,MATCH($I1560,'Kode Outlet dan Target Toko'!$E:$E,0)),0)</f>
        <v>1602008</v>
      </c>
      <c r="I1560" s="42" t="s">
        <v>32</v>
      </c>
      <c r="J1560" s="56" t="s">
        <v>189</v>
      </c>
      <c r="K1560" s="40" t="s">
        <v>14</v>
      </c>
      <c r="L1560" s="26">
        <v>3300</v>
      </c>
      <c r="M1560" s="26">
        <v>40</v>
      </c>
      <c r="N1560" s="25">
        <f t="shared" si="49"/>
        <v>132000</v>
      </c>
      <c r="O1560" s="56"/>
    </row>
    <row r="1561" spans="1:15" hidden="1" x14ac:dyDescent="0.3">
      <c r="A1561" s="26">
        <v>29</v>
      </c>
      <c r="B1561" s="20" t="str">
        <f t="shared" si="48"/>
        <v>JUL</v>
      </c>
      <c r="C1561" s="21">
        <v>46221</v>
      </c>
      <c r="D1561" s="22" t="str">
        <f t="array" ref="D1561">IFERROR(INDEX('Kode Outlet dan Target Toko'!$A:$A,MATCH($I1561,'Kode Outlet dan Target Toko'!$E:$E,0)),"")</f>
        <v>GRSM 4</v>
      </c>
      <c r="E1561" s="20" t="str">
        <f>IFERROR(VLOOKUP(I1561,KET!$B:$F,4,0),"")</f>
        <v>FAHMI LUKMANUL HAKIM</v>
      </c>
      <c r="F1561" s="20" t="str">
        <f>IFERROR(VLOOKUP(I1561,KET!$B:$F,5,0),"")</f>
        <v>GMM</v>
      </c>
      <c r="G1561" s="20">
        <f>IFERROR(INDEX('Kode Outlet dan Target Toko'!$C:$C,MATCH($I1561,'Kode Outlet dan Target Toko'!$E:$E,0)),0)</f>
        <v>189901</v>
      </c>
      <c r="H1561" s="20">
        <f>IFERROR(INDEX('Kode Outlet dan Target Toko'!$D:$D,MATCH($I1561,'Kode Outlet dan Target Toko'!$E:$E,0)),0)</f>
        <v>1602008</v>
      </c>
      <c r="I1561" s="42" t="s">
        <v>32</v>
      </c>
      <c r="J1561" s="56" t="s">
        <v>189</v>
      </c>
      <c r="K1561" s="40" t="s">
        <v>13</v>
      </c>
      <c r="L1561" s="26">
        <v>3300</v>
      </c>
      <c r="M1561" s="26">
        <v>40</v>
      </c>
      <c r="N1561" s="25">
        <f t="shared" si="49"/>
        <v>132000</v>
      </c>
      <c r="O1561" s="56"/>
    </row>
    <row r="1562" spans="1:15" hidden="1" x14ac:dyDescent="0.3">
      <c r="A1562" s="26">
        <v>29</v>
      </c>
      <c r="B1562" s="20" t="str">
        <f t="shared" si="48"/>
        <v>JUL</v>
      </c>
      <c r="C1562" s="21">
        <v>46221</v>
      </c>
      <c r="D1562" s="22" t="str">
        <f t="array" ref="D1562">IFERROR(INDEX('Kode Outlet dan Target Toko'!$A:$A,MATCH($I1562,'Kode Outlet dan Target Toko'!$E:$E,0)),"")</f>
        <v>GRSM 4</v>
      </c>
      <c r="E1562" s="20" t="str">
        <f>IFERROR(VLOOKUP(I1562,KET!$B:$F,4,0),"")</f>
        <v>FAHMI LUKMANUL HAKIM</v>
      </c>
      <c r="F1562" s="20" t="str">
        <f>IFERROR(VLOOKUP(I1562,KET!$B:$F,5,0),"")</f>
        <v>GMM</v>
      </c>
      <c r="G1562" s="20">
        <f>IFERROR(INDEX('Kode Outlet dan Target Toko'!$C:$C,MATCH($I1562,'Kode Outlet dan Target Toko'!$E:$E,0)),0)</f>
        <v>189901</v>
      </c>
      <c r="H1562" s="20">
        <f>IFERROR(INDEX('Kode Outlet dan Target Toko'!$D:$D,MATCH($I1562,'Kode Outlet dan Target Toko'!$E:$E,0)),0)</f>
        <v>1602008</v>
      </c>
      <c r="I1562" s="42" t="s">
        <v>32</v>
      </c>
      <c r="J1562" s="56" t="s">
        <v>189</v>
      </c>
      <c r="K1562" s="40" t="s">
        <v>16</v>
      </c>
      <c r="L1562" s="26">
        <v>3300</v>
      </c>
      <c r="M1562" s="26">
        <v>110</v>
      </c>
      <c r="N1562" s="25">
        <f t="shared" si="49"/>
        <v>363000</v>
      </c>
      <c r="O1562" s="56">
        <v>160</v>
      </c>
    </row>
    <row r="1563" spans="1:15" hidden="1" x14ac:dyDescent="0.3">
      <c r="A1563" s="26">
        <v>29</v>
      </c>
      <c r="B1563" s="20" t="str">
        <f t="shared" si="48"/>
        <v>JUL</v>
      </c>
      <c r="C1563" s="21">
        <v>46221</v>
      </c>
      <c r="D1563" s="22" t="str">
        <f t="array" ref="D1563">IFERROR(INDEX('Kode Outlet dan Target Toko'!$A:$A,MATCH($I1563,'Kode Outlet dan Target Toko'!$E:$E,0)),"")</f>
        <v>GRSM 4</v>
      </c>
      <c r="E1563" s="20" t="str">
        <f>IFERROR(VLOOKUP(I1563,KET!$B:$F,4,0),"")</f>
        <v>FAHMI LUKMANUL HAKIM</v>
      </c>
      <c r="F1563" s="20" t="str">
        <f>IFERROR(VLOOKUP(I1563,KET!$B:$F,5,0),"")</f>
        <v>GMM</v>
      </c>
      <c r="G1563" s="20">
        <f>IFERROR(INDEX('Kode Outlet dan Target Toko'!$C:$C,MATCH($I1563,'Kode Outlet dan Target Toko'!$E:$E,0)),0)</f>
        <v>189901</v>
      </c>
      <c r="H1563" s="20">
        <f>IFERROR(INDEX('Kode Outlet dan Target Toko'!$D:$D,MATCH($I1563,'Kode Outlet dan Target Toko'!$E:$E,0)),0)</f>
        <v>1602008</v>
      </c>
      <c r="I1563" s="42" t="s">
        <v>32</v>
      </c>
      <c r="J1563" s="56" t="s">
        <v>188</v>
      </c>
      <c r="K1563" s="40" t="s">
        <v>15</v>
      </c>
      <c r="L1563" s="26">
        <v>3300</v>
      </c>
      <c r="M1563" s="26">
        <v>40</v>
      </c>
      <c r="N1563" s="25">
        <f t="shared" si="49"/>
        <v>132000</v>
      </c>
      <c r="O1563" s="56"/>
    </row>
    <row r="1564" spans="1:15" hidden="1" x14ac:dyDescent="0.3">
      <c r="A1564" s="26">
        <v>29</v>
      </c>
      <c r="B1564" s="20" t="str">
        <f t="shared" si="48"/>
        <v>JUL</v>
      </c>
      <c r="C1564" s="21">
        <v>46221</v>
      </c>
      <c r="D1564" s="22" t="str">
        <f t="array" ref="D1564">IFERROR(INDEX('Kode Outlet dan Target Toko'!$A:$A,MATCH($I1564,'Kode Outlet dan Target Toko'!$E:$E,0)),"")</f>
        <v>GRSM 4</v>
      </c>
      <c r="E1564" s="20" t="str">
        <f>IFERROR(VLOOKUP(I1564,KET!$B:$F,4,0),"")</f>
        <v>FAHMI LUKMANUL HAKIM</v>
      </c>
      <c r="F1564" s="20" t="str">
        <f>IFERROR(VLOOKUP(I1564,KET!$B:$F,5,0),"")</f>
        <v>GMM</v>
      </c>
      <c r="G1564" s="20">
        <f>IFERROR(INDEX('Kode Outlet dan Target Toko'!$C:$C,MATCH($I1564,'Kode Outlet dan Target Toko'!$E:$E,0)),0)</f>
        <v>189901</v>
      </c>
      <c r="H1564" s="20">
        <f>IFERROR(INDEX('Kode Outlet dan Target Toko'!$D:$D,MATCH($I1564,'Kode Outlet dan Target Toko'!$E:$E,0)),0)</f>
        <v>1602008</v>
      </c>
      <c r="I1564" s="42" t="s">
        <v>32</v>
      </c>
      <c r="J1564" s="56" t="s">
        <v>188</v>
      </c>
      <c r="K1564" s="40" t="s">
        <v>14</v>
      </c>
      <c r="L1564" s="26">
        <v>3300</v>
      </c>
      <c r="M1564" s="26">
        <v>40</v>
      </c>
      <c r="N1564" s="25">
        <f t="shared" si="49"/>
        <v>132000</v>
      </c>
      <c r="O1564" s="56"/>
    </row>
    <row r="1565" spans="1:15" hidden="1" x14ac:dyDescent="0.3">
      <c r="A1565" s="26">
        <v>29</v>
      </c>
      <c r="B1565" s="20" t="str">
        <f t="shared" si="48"/>
        <v>JUL</v>
      </c>
      <c r="C1565" s="21">
        <v>46221</v>
      </c>
      <c r="D1565" s="22" t="str">
        <f t="array" ref="D1565">IFERROR(INDEX('Kode Outlet dan Target Toko'!$A:$A,MATCH($I1565,'Kode Outlet dan Target Toko'!$E:$E,0)),"")</f>
        <v>GRSM 4</v>
      </c>
      <c r="E1565" s="20" t="str">
        <f>IFERROR(VLOOKUP(I1565,KET!$B:$F,4,0),"")</f>
        <v>FAHMI LUKMANUL HAKIM</v>
      </c>
      <c r="F1565" s="20" t="str">
        <f>IFERROR(VLOOKUP(I1565,KET!$B:$F,5,0),"")</f>
        <v>GMM</v>
      </c>
      <c r="G1565" s="20">
        <f>IFERROR(INDEX('Kode Outlet dan Target Toko'!$C:$C,MATCH($I1565,'Kode Outlet dan Target Toko'!$E:$E,0)),0)</f>
        <v>189901</v>
      </c>
      <c r="H1565" s="20">
        <f>IFERROR(INDEX('Kode Outlet dan Target Toko'!$D:$D,MATCH($I1565,'Kode Outlet dan Target Toko'!$E:$E,0)),0)</f>
        <v>1602008</v>
      </c>
      <c r="I1565" s="42" t="s">
        <v>32</v>
      </c>
      <c r="J1565" s="56" t="s">
        <v>188</v>
      </c>
      <c r="K1565" s="40" t="s">
        <v>13</v>
      </c>
      <c r="L1565" s="26">
        <v>3300</v>
      </c>
      <c r="M1565" s="26">
        <v>40</v>
      </c>
      <c r="N1565" s="25">
        <f t="shared" si="49"/>
        <v>132000</v>
      </c>
      <c r="O1565" s="56"/>
    </row>
    <row r="1566" spans="1:15" hidden="1" x14ac:dyDescent="0.3">
      <c r="A1566" s="26">
        <v>29</v>
      </c>
      <c r="B1566" s="20" t="str">
        <f t="shared" si="48"/>
        <v>JUL</v>
      </c>
      <c r="C1566" s="21">
        <v>46221</v>
      </c>
      <c r="D1566" s="22" t="str">
        <f t="array" ref="D1566">IFERROR(INDEX('Kode Outlet dan Target Toko'!$A:$A,MATCH($I1566,'Kode Outlet dan Target Toko'!$E:$E,0)),"")</f>
        <v>GRSM 4</v>
      </c>
      <c r="E1566" s="20" t="str">
        <f>IFERROR(VLOOKUP(I1566,KET!$B:$F,4,0),"")</f>
        <v>FAHMI LUKMANUL HAKIM</v>
      </c>
      <c r="F1566" s="20" t="str">
        <f>IFERROR(VLOOKUP(I1566,KET!$B:$F,5,0),"")</f>
        <v>GMM</v>
      </c>
      <c r="G1566" s="20">
        <f>IFERROR(INDEX('Kode Outlet dan Target Toko'!$C:$C,MATCH($I1566,'Kode Outlet dan Target Toko'!$E:$E,0)),0)</f>
        <v>189901</v>
      </c>
      <c r="H1566" s="20">
        <f>IFERROR(INDEX('Kode Outlet dan Target Toko'!$D:$D,MATCH($I1566,'Kode Outlet dan Target Toko'!$E:$E,0)),0)</f>
        <v>1602008</v>
      </c>
      <c r="I1566" s="42" t="s">
        <v>32</v>
      </c>
      <c r="J1566" s="56" t="s">
        <v>188</v>
      </c>
      <c r="K1566" s="40" t="s">
        <v>16</v>
      </c>
      <c r="L1566" s="26">
        <v>3300</v>
      </c>
      <c r="M1566" s="26">
        <v>110</v>
      </c>
      <c r="N1566" s="25">
        <f t="shared" si="49"/>
        <v>363000</v>
      </c>
      <c r="O1566" s="56">
        <v>160</v>
      </c>
    </row>
    <row r="1567" spans="1:15" hidden="1" x14ac:dyDescent="0.3">
      <c r="A1567" s="26">
        <v>29</v>
      </c>
      <c r="B1567" s="20" t="str">
        <f t="shared" si="48"/>
        <v>JUL</v>
      </c>
      <c r="C1567" s="21">
        <v>46222</v>
      </c>
      <c r="D1567" s="22" t="str">
        <f t="array" ref="D1567">IFERROR(INDEX('Kode Outlet dan Target Toko'!$A:$A,MATCH($I1567,'Kode Outlet dan Target Toko'!$E:$E,0)),"")</f>
        <v>GRSM 4</v>
      </c>
      <c r="E1567" s="20" t="str">
        <f>IFERROR(VLOOKUP(I1567,KET!$B:$F,4,0),"")</f>
        <v>FAHMI LUKMANUL HAKIM</v>
      </c>
      <c r="F1567" s="20" t="str">
        <f>IFERROR(VLOOKUP(I1567,KET!$B:$F,5,0),"")</f>
        <v>GMM</v>
      </c>
      <c r="G1567" s="20">
        <f>IFERROR(INDEX('Kode Outlet dan Target Toko'!$C:$C,MATCH($I1567,'Kode Outlet dan Target Toko'!$E:$E,0)),0)</f>
        <v>189901</v>
      </c>
      <c r="H1567" s="20">
        <f>IFERROR(INDEX('Kode Outlet dan Target Toko'!$D:$D,MATCH($I1567,'Kode Outlet dan Target Toko'!$E:$E,0)),0)</f>
        <v>1602008</v>
      </c>
      <c r="I1567" s="42" t="s">
        <v>32</v>
      </c>
      <c r="J1567" s="56" t="s">
        <v>190</v>
      </c>
      <c r="K1567" s="40" t="s">
        <v>15</v>
      </c>
      <c r="L1567" s="26">
        <v>3300</v>
      </c>
      <c r="M1567" s="26">
        <v>50</v>
      </c>
      <c r="N1567" s="25">
        <f t="shared" si="49"/>
        <v>165000</v>
      </c>
      <c r="O1567" s="56"/>
    </row>
    <row r="1568" spans="1:15" hidden="1" x14ac:dyDescent="0.3">
      <c r="A1568" s="26">
        <v>29</v>
      </c>
      <c r="B1568" s="20" t="str">
        <f t="shared" si="48"/>
        <v>JUL</v>
      </c>
      <c r="C1568" s="21">
        <v>46222</v>
      </c>
      <c r="D1568" s="22" t="str">
        <f t="array" ref="D1568">IFERROR(INDEX('Kode Outlet dan Target Toko'!$A:$A,MATCH($I1568,'Kode Outlet dan Target Toko'!$E:$E,0)),"")</f>
        <v>GRSM 4</v>
      </c>
      <c r="E1568" s="20" t="str">
        <f>IFERROR(VLOOKUP(I1568,KET!$B:$F,4,0),"")</f>
        <v>FAHMI LUKMANUL HAKIM</v>
      </c>
      <c r="F1568" s="20" t="str">
        <f>IFERROR(VLOOKUP(I1568,KET!$B:$F,5,0),"")</f>
        <v>GMM</v>
      </c>
      <c r="G1568" s="20">
        <f>IFERROR(INDEX('Kode Outlet dan Target Toko'!$C:$C,MATCH($I1568,'Kode Outlet dan Target Toko'!$E:$E,0)),0)</f>
        <v>189901</v>
      </c>
      <c r="H1568" s="20">
        <f>IFERROR(INDEX('Kode Outlet dan Target Toko'!$D:$D,MATCH($I1568,'Kode Outlet dan Target Toko'!$E:$E,0)),0)</f>
        <v>1602008</v>
      </c>
      <c r="I1568" s="42" t="s">
        <v>32</v>
      </c>
      <c r="J1568" s="56" t="s">
        <v>190</v>
      </c>
      <c r="K1568" s="40" t="s">
        <v>14</v>
      </c>
      <c r="L1568" s="26">
        <v>3300</v>
      </c>
      <c r="M1568" s="26">
        <v>50</v>
      </c>
      <c r="N1568" s="25">
        <f t="shared" si="49"/>
        <v>165000</v>
      </c>
      <c r="O1568" s="56"/>
    </row>
    <row r="1569" spans="1:15" hidden="1" x14ac:dyDescent="0.3">
      <c r="A1569" s="26">
        <v>29</v>
      </c>
      <c r="B1569" s="20" t="str">
        <f t="shared" si="48"/>
        <v>JUL</v>
      </c>
      <c r="C1569" s="21">
        <v>46222</v>
      </c>
      <c r="D1569" s="22" t="str">
        <f t="array" ref="D1569">IFERROR(INDEX('Kode Outlet dan Target Toko'!$A:$A,MATCH($I1569,'Kode Outlet dan Target Toko'!$E:$E,0)),"")</f>
        <v>GRSM 4</v>
      </c>
      <c r="E1569" s="20" t="str">
        <f>IFERROR(VLOOKUP(I1569,KET!$B:$F,4,0),"")</f>
        <v>FAHMI LUKMANUL HAKIM</v>
      </c>
      <c r="F1569" s="20" t="str">
        <f>IFERROR(VLOOKUP(I1569,KET!$B:$F,5,0),"")</f>
        <v>GMM</v>
      </c>
      <c r="G1569" s="20">
        <f>IFERROR(INDEX('Kode Outlet dan Target Toko'!$C:$C,MATCH($I1569,'Kode Outlet dan Target Toko'!$E:$E,0)),0)</f>
        <v>189901</v>
      </c>
      <c r="H1569" s="20">
        <f>IFERROR(INDEX('Kode Outlet dan Target Toko'!$D:$D,MATCH($I1569,'Kode Outlet dan Target Toko'!$E:$E,0)),0)</f>
        <v>1602008</v>
      </c>
      <c r="I1569" s="42" t="s">
        <v>32</v>
      </c>
      <c r="J1569" s="56" t="s">
        <v>190</v>
      </c>
      <c r="K1569" s="40" t="s">
        <v>13</v>
      </c>
      <c r="L1569" s="26">
        <v>3300</v>
      </c>
      <c r="M1569" s="26">
        <v>50</v>
      </c>
      <c r="N1569" s="25">
        <f t="shared" si="49"/>
        <v>165000</v>
      </c>
      <c r="O1569" s="56"/>
    </row>
    <row r="1570" spans="1:15" hidden="1" x14ac:dyDescent="0.3">
      <c r="A1570" s="26">
        <v>29</v>
      </c>
      <c r="B1570" s="20" t="str">
        <f t="shared" si="48"/>
        <v>JUL</v>
      </c>
      <c r="C1570" s="21">
        <v>46222</v>
      </c>
      <c r="D1570" s="22" t="str">
        <f t="array" ref="D1570">IFERROR(INDEX('Kode Outlet dan Target Toko'!$A:$A,MATCH($I1570,'Kode Outlet dan Target Toko'!$E:$E,0)),"")</f>
        <v>GRSM 4</v>
      </c>
      <c r="E1570" s="20" t="str">
        <f>IFERROR(VLOOKUP(I1570,KET!$B:$F,4,0),"")</f>
        <v>FAHMI LUKMANUL HAKIM</v>
      </c>
      <c r="F1570" s="20" t="str">
        <f>IFERROR(VLOOKUP(I1570,KET!$B:$F,5,0),"")</f>
        <v>GMM</v>
      </c>
      <c r="G1570" s="20">
        <f>IFERROR(INDEX('Kode Outlet dan Target Toko'!$C:$C,MATCH($I1570,'Kode Outlet dan Target Toko'!$E:$E,0)),0)</f>
        <v>189901</v>
      </c>
      <c r="H1570" s="20">
        <f>IFERROR(INDEX('Kode Outlet dan Target Toko'!$D:$D,MATCH($I1570,'Kode Outlet dan Target Toko'!$E:$E,0)),0)</f>
        <v>1602008</v>
      </c>
      <c r="I1570" s="42" t="s">
        <v>32</v>
      </c>
      <c r="J1570" s="56" t="s">
        <v>190</v>
      </c>
      <c r="K1570" s="40" t="s">
        <v>16</v>
      </c>
      <c r="L1570" s="26">
        <v>3300</v>
      </c>
      <c r="M1570" s="26">
        <v>105</v>
      </c>
      <c r="N1570" s="25">
        <f t="shared" si="49"/>
        <v>346500</v>
      </c>
      <c r="O1570" s="56">
        <v>160</v>
      </c>
    </row>
    <row r="1571" spans="1:15" hidden="1" x14ac:dyDescent="0.3">
      <c r="A1571" s="26">
        <v>29</v>
      </c>
      <c r="B1571" s="20" t="str">
        <f t="shared" si="48"/>
        <v>JUL</v>
      </c>
      <c r="C1571" s="21">
        <v>46220</v>
      </c>
      <c r="D1571" s="22" t="str">
        <f t="array" ref="D1571">IFERROR(INDEX('Kode Outlet dan Target Toko'!$A:$A,MATCH($I1571,'Kode Outlet dan Target Toko'!$E:$E,0)),"")</f>
        <v>GRSM 4</v>
      </c>
      <c r="E1571" s="20" t="str">
        <f>IFERROR(VLOOKUP(I1571,KET!$B:$F,4,0),"")</f>
        <v>FAHMI LUKMANUL HAKIM</v>
      </c>
      <c r="F1571" s="20" t="str">
        <f>IFERROR(VLOOKUP(I1571,KET!$B:$F,5,0),"")</f>
        <v>GMM</v>
      </c>
      <c r="G1571" s="20">
        <f>IFERROR(INDEX('Kode Outlet dan Target Toko'!$C:$C,MATCH($I1571,'Kode Outlet dan Target Toko'!$E:$E,0)),0)</f>
        <v>189901</v>
      </c>
      <c r="H1571" s="20">
        <f>IFERROR(INDEX('Kode Outlet dan Target Toko'!$D:$D,MATCH($I1571,'Kode Outlet dan Target Toko'!$E:$E,0)),0)</f>
        <v>1602016</v>
      </c>
      <c r="I1571" s="42" t="s">
        <v>35</v>
      </c>
      <c r="J1571" s="56" t="s">
        <v>172</v>
      </c>
      <c r="K1571" s="40" t="s">
        <v>15</v>
      </c>
      <c r="L1571" s="26">
        <v>3400</v>
      </c>
      <c r="M1571" s="26">
        <v>90</v>
      </c>
      <c r="N1571" s="25">
        <f t="shared" si="49"/>
        <v>306000</v>
      </c>
      <c r="O1571" s="56"/>
    </row>
    <row r="1572" spans="1:15" hidden="1" x14ac:dyDescent="0.3">
      <c r="A1572" s="26">
        <v>29</v>
      </c>
      <c r="B1572" s="20" t="str">
        <f t="shared" si="48"/>
        <v>JUL</v>
      </c>
      <c r="C1572" s="21">
        <v>46220</v>
      </c>
      <c r="D1572" s="22" t="str">
        <f t="array" ref="D1572">IFERROR(INDEX('Kode Outlet dan Target Toko'!$A:$A,MATCH($I1572,'Kode Outlet dan Target Toko'!$E:$E,0)),"")</f>
        <v>GRSM 4</v>
      </c>
      <c r="E1572" s="20" t="str">
        <f>IFERROR(VLOOKUP(I1572,KET!$B:$F,4,0),"")</f>
        <v>FAHMI LUKMANUL HAKIM</v>
      </c>
      <c r="F1572" s="20" t="str">
        <f>IFERROR(VLOOKUP(I1572,KET!$B:$F,5,0),"")</f>
        <v>GMM</v>
      </c>
      <c r="G1572" s="20">
        <f>IFERROR(INDEX('Kode Outlet dan Target Toko'!$C:$C,MATCH($I1572,'Kode Outlet dan Target Toko'!$E:$E,0)),0)</f>
        <v>189901</v>
      </c>
      <c r="H1572" s="20">
        <f>IFERROR(INDEX('Kode Outlet dan Target Toko'!$D:$D,MATCH($I1572,'Kode Outlet dan Target Toko'!$E:$E,0)),0)</f>
        <v>1602016</v>
      </c>
      <c r="I1572" s="42" t="s">
        <v>35</v>
      </c>
      <c r="J1572" s="56" t="s">
        <v>172</v>
      </c>
      <c r="K1572" s="40" t="s">
        <v>14</v>
      </c>
      <c r="L1572" s="26">
        <v>3400</v>
      </c>
      <c r="M1572" s="26">
        <v>110</v>
      </c>
      <c r="N1572" s="25">
        <f t="shared" si="49"/>
        <v>374000</v>
      </c>
      <c r="O1572" s="56"/>
    </row>
    <row r="1573" spans="1:15" hidden="1" x14ac:dyDescent="0.3">
      <c r="A1573" s="26">
        <v>29</v>
      </c>
      <c r="B1573" s="20" t="str">
        <f t="shared" si="48"/>
        <v>JUL</v>
      </c>
      <c r="C1573" s="21">
        <v>46220</v>
      </c>
      <c r="D1573" s="22" t="str">
        <f t="array" ref="D1573">IFERROR(INDEX('Kode Outlet dan Target Toko'!$A:$A,MATCH($I1573,'Kode Outlet dan Target Toko'!$E:$E,0)),"")</f>
        <v>GRSM 4</v>
      </c>
      <c r="E1573" s="20" t="str">
        <f>IFERROR(VLOOKUP(I1573,KET!$B:$F,4,0),"")</f>
        <v>FAHMI LUKMANUL HAKIM</v>
      </c>
      <c r="F1573" s="20" t="str">
        <f>IFERROR(VLOOKUP(I1573,KET!$B:$F,5,0),"")</f>
        <v>GMM</v>
      </c>
      <c r="G1573" s="20">
        <f>IFERROR(INDEX('Kode Outlet dan Target Toko'!$C:$C,MATCH($I1573,'Kode Outlet dan Target Toko'!$E:$E,0)),0)</f>
        <v>189901</v>
      </c>
      <c r="H1573" s="20">
        <f>IFERROR(INDEX('Kode Outlet dan Target Toko'!$D:$D,MATCH($I1573,'Kode Outlet dan Target Toko'!$E:$E,0)),0)</f>
        <v>1602016</v>
      </c>
      <c r="I1573" s="42" t="s">
        <v>35</v>
      </c>
      <c r="J1573" s="56" t="s">
        <v>172</v>
      </c>
      <c r="K1573" s="40" t="s">
        <v>13</v>
      </c>
      <c r="L1573" s="26">
        <v>3400</v>
      </c>
      <c r="M1573" s="26">
        <v>80</v>
      </c>
      <c r="N1573" s="25">
        <f t="shared" si="49"/>
        <v>272000</v>
      </c>
      <c r="O1573" s="56"/>
    </row>
    <row r="1574" spans="1:15" hidden="1" x14ac:dyDescent="0.3">
      <c r="A1574" s="26">
        <v>29</v>
      </c>
      <c r="B1574" s="20" t="str">
        <f t="shared" si="48"/>
        <v>JUL</v>
      </c>
      <c r="C1574" s="21">
        <v>46220</v>
      </c>
      <c r="D1574" s="22" t="str">
        <f t="array" ref="D1574">IFERROR(INDEX('Kode Outlet dan Target Toko'!$A:$A,MATCH($I1574,'Kode Outlet dan Target Toko'!$E:$E,0)),"")</f>
        <v>GRSM 4</v>
      </c>
      <c r="E1574" s="20" t="str">
        <f>IFERROR(VLOOKUP(I1574,KET!$B:$F,4,0),"")</f>
        <v>FAHMI LUKMANUL HAKIM</v>
      </c>
      <c r="F1574" s="20" t="str">
        <f>IFERROR(VLOOKUP(I1574,KET!$B:$F,5,0),"")</f>
        <v>GMM</v>
      </c>
      <c r="G1574" s="20">
        <f>IFERROR(INDEX('Kode Outlet dan Target Toko'!$C:$C,MATCH($I1574,'Kode Outlet dan Target Toko'!$E:$E,0)),0)</f>
        <v>189901</v>
      </c>
      <c r="H1574" s="20">
        <f>IFERROR(INDEX('Kode Outlet dan Target Toko'!$D:$D,MATCH($I1574,'Kode Outlet dan Target Toko'!$E:$E,0)),0)</f>
        <v>1602016</v>
      </c>
      <c r="I1574" s="42" t="s">
        <v>35</v>
      </c>
      <c r="J1574" s="56" t="s">
        <v>172</v>
      </c>
      <c r="K1574" s="40" t="s">
        <v>16</v>
      </c>
      <c r="L1574" s="26">
        <v>3400</v>
      </c>
      <c r="M1574" s="26">
        <v>140</v>
      </c>
      <c r="N1574" s="25">
        <f t="shared" si="49"/>
        <v>476000</v>
      </c>
      <c r="O1574" s="56">
        <v>160</v>
      </c>
    </row>
    <row r="1575" spans="1:15" hidden="1" x14ac:dyDescent="0.3">
      <c r="A1575" s="26">
        <v>29</v>
      </c>
      <c r="B1575" s="20" t="str">
        <f t="shared" si="48"/>
        <v>JUL</v>
      </c>
      <c r="C1575" s="21">
        <v>46221</v>
      </c>
      <c r="D1575" s="22" t="str">
        <f t="array" ref="D1575">IFERROR(INDEX('Kode Outlet dan Target Toko'!$A:$A,MATCH($I1575,'Kode Outlet dan Target Toko'!$E:$E,0)),"")</f>
        <v>GRSM 4</v>
      </c>
      <c r="E1575" s="20" t="str">
        <f>IFERROR(VLOOKUP(I1575,KET!$B:$F,4,0),"")</f>
        <v>FAHMI LUKMANUL HAKIM</v>
      </c>
      <c r="F1575" s="20" t="str">
        <f>IFERROR(VLOOKUP(I1575,KET!$B:$F,5,0),"")</f>
        <v>GMM</v>
      </c>
      <c r="G1575" s="20">
        <f>IFERROR(INDEX('Kode Outlet dan Target Toko'!$C:$C,MATCH($I1575,'Kode Outlet dan Target Toko'!$E:$E,0)),0)</f>
        <v>189901</v>
      </c>
      <c r="H1575" s="20">
        <f>IFERROR(INDEX('Kode Outlet dan Target Toko'!$D:$D,MATCH($I1575,'Kode Outlet dan Target Toko'!$E:$E,0)),0)</f>
        <v>1602018</v>
      </c>
      <c r="I1575" s="50" t="s">
        <v>34</v>
      </c>
      <c r="J1575" s="56" t="s">
        <v>187</v>
      </c>
      <c r="K1575" s="40" t="s">
        <v>15</v>
      </c>
      <c r="L1575" s="26">
        <v>3500</v>
      </c>
      <c r="M1575" s="26">
        <v>45</v>
      </c>
      <c r="N1575" s="25">
        <f t="shared" si="49"/>
        <v>157500</v>
      </c>
      <c r="O1575" s="56"/>
    </row>
    <row r="1576" spans="1:15" hidden="1" x14ac:dyDescent="0.3">
      <c r="A1576" s="26">
        <v>29</v>
      </c>
      <c r="B1576" s="20" t="str">
        <f t="shared" si="48"/>
        <v>JUL</v>
      </c>
      <c r="C1576" s="21">
        <v>46221</v>
      </c>
      <c r="D1576" s="22" t="str">
        <f t="array" ref="D1576">IFERROR(INDEX('Kode Outlet dan Target Toko'!$A:$A,MATCH($I1576,'Kode Outlet dan Target Toko'!$E:$E,0)),"")</f>
        <v>GRSM 4</v>
      </c>
      <c r="E1576" s="20" t="str">
        <f>IFERROR(VLOOKUP(I1576,KET!$B:$F,4,0),"")</f>
        <v>FAHMI LUKMANUL HAKIM</v>
      </c>
      <c r="F1576" s="20" t="str">
        <f>IFERROR(VLOOKUP(I1576,KET!$B:$F,5,0),"")</f>
        <v>GMM</v>
      </c>
      <c r="G1576" s="20">
        <f>IFERROR(INDEX('Kode Outlet dan Target Toko'!$C:$C,MATCH($I1576,'Kode Outlet dan Target Toko'!$E:$E,0)),0)</f>
        <v>189901</v>
      </c>
      <c r="H1576" s="20">
        <f>IFERROR(INDEX('Kode Outlet dan Target Toko'!$D:$D,MATCH($I1576,'Kode Outlet dan Target Toko'!$E:$E,0)),0)</f>
        <v>1602018</v>
      </c>
      <c r="I1576" s="50" t="s">
        <v>34</v>
      </c>
      <c r="J1576" s="56" t="s">
        <v>187</v>
      </c>
      <c r="K1576" s="40" t="s">
        <v>14</v>
      </c>
      <c r="L1576" s="26">
        <v>3500</v>
      </c>
      <c r="M1576" s="26">
        <v>45</v>
      </c>
      <c r="N1576" s="25">
        <f t="shared" si="49"/>
        <v>157500</v>
      </c>
      <c r="O1576" s="56"/>
    </row>
    <row r="1577" spans="1:15" hidden="1" x14ac:dyDescent="0.3">
      <c r="A1577" s="26">
        <v>29</v>
      </c>
      <c r="B1577" s="20" t="str">
        <f t="shared" si="48"/>
        <v>JUL</v>
      </c>
      <c r="C1577" s="21">
        <v>46221</v>
      </c>
      <c r="D1577" s="22" t="str">
        <f t="array" ref="D1577">IFERROR(INDEX('Kode Outlet dan Target Toko'!$A:$A,MATCH($I1577,'Kode Outlet dan Target Toko'!$E:$E,0)),"")</f>
        <v>GRSM 4</v>
      </c>
      <c r="E1577" s="20" t="str">
        <f>IFERROR(VLOOKUP(I1577,KET!$B:$F,4,0),"")</f>
        <v>FAHMI LUKMANUL HAKIM</v>
      </c>
      <c r="F1577" s="20" t="str">
        <f>IFERROR(VLOOKUP(I1577,KET!$B:$F,5,0),"")</f>
        <v>GMM</v>
      </c>
      <c r="G1577" s="20">
        <f>IFERROR(INDEX('Kode Outlet dan Target Toko'!$C:$C,MATCH($I1577,'Kode Outlet dan Target Toko'!$E:$E,0)),0)</f>
        <v>189901</v>
      </c>
      <c r="H1577" s="20">
        <f>IFERROR(INDEX('Kode Outlet dan Target Toko'!$D:$D,MATCH($I1577,'Kode Outlet dan Target Toko'!$E:$E,0)),0)</f>
        <v>1602018</v>
      </c>
      <c r="I1577" s="50" t="s">
        <v>34</v>
      </c>
      <c r="J1577" s="56" t="s">
        <v>187</v>
      </c>
      <c r="K1577" s="40" t="s">
        <v>13</v>
      </c>
      <c r="L1577" s="26">
        <v>3500</v>
      </c>
      <c r="M1577" s="26">
        <v>30</v>
      </c>
      <c r="N1577" s="25">
        <f t="shared" si="49"/>
        <v>105000</v>
      </c>
      <c r="O1577" s="56"/>
    </row>
    <row r="1578" spans="1:15" hidden="1" x14ac:dyDescent="0.3">
      <c r="A1578" s="26">
        <v>29</v>
      </c>
      <c r="B1578" s="20" t="str">
        <f t="shared" si="48"/>
        <v>JUL</v>
      </c>
      <c r="C1578" s="21">
        <v>46221</v>
      </c>
      <c r="D1578" s="22" t="str">
        <f t="array" ref="D1578">IFERROR(INDEX('Kode Outlet dan Target Toko'!$A:$A,MATCH($I1578,'Kode Outlet dan Target Toko'!$E:$E,0)),"")</f>
        <v>GRSM 4</v>
      </c>
      <c r="E1578" s="20" t="str">
        <f>IFERROR(VLOOKUP(I1578,KET!$B:$F,4,0),"")</f>
        <v>FAHMI LUKMANUL HAKIM</v>
      </c>
      <c r="F1578" s="20" t="str">
        <f>IFERROR(VLOOKUP(I1578,KET!$B:$F,5,0),"")</f>
        <v>GMM</v>
      </c>
      <c r="G1578" s="20">
        <f>IFERROR(INDEX('Kode Outlet dan Target Toko'!$C:$C,MATCH($I1578,'Kode Outlet dan Target Toko'!$E:$E,0)),0)</f>
        <v>189901</v>
      </c>
      <c r="H1578" s="20">
        <f>IFERROR(INDEX('Kode Outlet dan Target Toko'!$D:$D,MATCH($I1578,'Kode Outlet dan Target Toko'!$E:$E,0)),0)</f>
        <v>1602018</v>
      </c>
      <c r="I1578" s="50" t="s">
        <v>34</v>
      </c>
      <c r="J1578" s="56" t="s">
        <v>187</v>
      </c>
      <c r="K1578" s="40" t="s">
        <v>16</v>
      </c>
      <c r="L1578" s="26">
        <v>3500</v>
      </c>
      <c r="M1578" s="26">
        <v>120</v>
      </c>
      <c r="N1578" s="25">
        <f t="shared" si="49"/>
        <v>420000</v>
      </c>
      <c r="O1578" s="56">
        <v>160</v>
      </c>
    </row>
    <row r="1579" spans="1:15" hidden="1" x14ac:dyDescent="0.3">
      <c r="A1579" s="26">
        <v>29</v>
      </c>
      <c r="B1579" s="20" t="str">
        <f t="shared" si="48"/>
        <v>JUL</v>
      </c>
      <c r="C1579" s="21">
        <v>46221</v>
      </c>
      <c r="D1579" s="22" t="str">
        <f t="array" ref="D1579">IFERROR(INDEX('Kode Outlet dan Target Toko'!$A:$A,MATCH($I1579,'Kode Outlet dan Target Toko'!$E:$E,0)),"")</f>
        <v>GRSM 4</v>
      </c>
      <c r="E1579" s="20" t="str">
        <f>IFERROR(VLOOKUP(I1579,KET!$B:$F,4,0),"")</f>
        <v>FAHMI LUKMANUL HAKIM</v>
      </c>
      <c r="F1579" s="20" t="str">
        <f>IFERROR(VLOOKUP(I1579,KET!$B:$F,5,0),"")</f>
        <v>GMM</v>
      </c>
      <c r="G1579" s="20">
        <f>IFERROR(INDEX('Kode Outlet dan Target Toko'!$C:$C,MATCH($I1579,'Kode Outlet dan Target Toko'!$E:$E,0)),0)</f>
        <v>189901</v>
      </c>
      <c r="H1579" s="20">
        <f>IFERROR(INDEX('Kode Outlet dan Target Toko'!$D:$D,MATCH($I1579,'Kode Outlet dan Target Toko'!$E:$E,0)),0)</f>
        <v>1602057</v>
      </c>
      <c r="I1579" s="42" t="s">
        <v>68</v>
      </c>
      <c r="J1579" s="27" t="s">
        <v>174</v>
      </c>
      <c r="K1579" s="40" t="s">
        <v>15</v>
      </c>
      <c r="L1579" s="26">
        <v>2150</v>
      </c>
      <c r="M1579" s="26">
        <v>115</v>
      </c>
      <c r="N1579" s="25">
        <f t="shared" si="49"/>
        <v>247250</v>
      </c>
      <c r="O1579" s="56"/>
    </row>
    <row r="1580" spans="1:15" hidden="1" x14ac:dyDescent="0.3">
      <c r="A1580" s="26">
        <v>29</v>
      </c>
      <c r="B1580" s="20" t="str">
        <f t="shared" si="48"/>
        <v>JUL</v>
      </c>
      <c r="C1580" s="21">
        <v>46221</v>
      </c>
      <c r="D1580" s="22" t="str">
        <f t="array" ref="D1580">IFERROR(INDEX('Kode Outlet dan Target Toko'!$A:$A,MATCH($I1580,'Kode Outlet dan Target Toko'!$E:$E,0)),"")</f>
        <v>GRSM 4</v>
      </c>
      <c r="E1580" s="20" t="str">
        <f>IFERROR(VLOOKUP(I1580,KET!$B:$F,4,0),"")</f>
        <v>FAHMI LUKMANUL HAKIM</v>
      </c>
      <c r="F1580" s="20" t="str">
        <f>IFERROR(VLOOKUP(I1580,KET!$B:$F,5,0),"")</f>
        <v>GMM</v>
      </c>
      <c r="G1580" s="20">
        <f>IFERROR(INDEX('Kode Outlet dan Target Toko'!$C:$C,MATCH($I1580,'Kode Outlet dan Target Toko'!$E:$E,0)),0)</f>
        <v>189901</v>
      </c>
      <c r="H1580" s="20">
        <f>IFERROR(INDEX('Kode Outlet dan Target Toko'!$D:$D,MATCH($I1580,'Kode Outlet dan Target Toko'!$E:$E,0)),0)</f>
        <v>1602057</v>
      </c>
      <c r="I1580" s="42" t="s">
        <v>68</v>
      </c>
      <c r="J1580" s="27" t="s">
        <v>174</v>
      </c>
      <c r="K1580" s="40" t="s">
        <v>14</v>
      </c>
      <c r="L1580" s="26">
        <v>2150</v>
      </c>
      <c r="M1580" s="26">
        <v>111</v>
      </c>
      <c r="N1580" s="25">
        <f t="shared" si="49"/>
        <v>238650</v>
      </c>
      <c r="O1580" s="56"/>
    </row>
    <row r="1581" spans="1:15" hidden="1" x14ac:dyDescent="0.3">
      <c r="A1581" s="26">
        <v>29</v>
      </c>
      <c r="B1581" s="20" t="str">
        <f t="shared" si="48"/>
        <v>JUL</v>
      </c>
      <c r="C1581" s="21">
        <v>46221</v>
      </c>
      <c r="D1581" s="22" t="str">
        <f t="array" ref="D1581">IFERROR(INDEX('Kode Outlet dan Target Toko'!$A:$A,MATCH($I1581,'Kode Outlet dan Target Toko'!$E:$E,0)),"")</f>
        <v>GRSM 4</v>
      </c>
      <c r="E1581" s="20" t="str">
        <f>IFERROR(VLOOKUP(I1581,KET!$B:$F,4,0),"")</f>
        <v>FAHMI LUKMANUL HAKIM</v>
      </c>
      <c r="F1581" s="20" t="str">
        <f>IFERROR(VLOOKUP(I1581,KET!$B:$F,5,0),"")</f>
        <v>GMM</v>
      </c>
      <c r="G1581" s="20">
        <f>IFERROR(INDEX('Kode Outlet dan Target Toko'!$C:$C,MATCH($I1581,'Kode Outlet dan Target Toko'!$E:$E,0)),0)</f>
        <v>189901</v>
      </c>
      <c r="H1581" s="20">
        <f>IFERROR(INDEX('Kode Outlet dan Target Toko'!$D:$D,MATCH($I1581,'Kode Outlet dan Target Toko'!$E:$E,0)),0)</f>
        <v>1602057</v>
      </c>
      <c r="I1581" s="42" t="s">
        <v>68</v>
      </c>
      <c r="J1581" s="27" t="s">
        <v>174</v>
      </c>
      <c r="K1581" s="40" t="s">
        <v>13</v>
      </c>
      <c r="L1581" s="26">
        <v>2150</v>
      </c>
      <c r="M1581" s="26">
        <v>103</v>
      </c>
      <c r="N1581" s="25">
        <f t="shared" si="49"/>
        <v>221450</v>
      </c>
      <c r="O1581" s="56"/>
    </row>
    <row r="1582" spans="1:15" hidden="1" x14ac:dyDescent="0.3">
      <c r="A1582" s="26">
        <v>29</v>
      </c>
      <c r="B1582" s="20" t="str">
        <f t="shared" si="48"/>
        <v>JUL</v>
      </c>
      <c r="C1582" s="21">
        <v>46221</v>
      </c>
      <c r="D1582" s="22" t="str">
        <f t="array" ref="D1582">IFERROR(INDEX('Kode Outlet dan Target Toko'!$A:$A,MATCH($I1582,'Kode Outlet dan Target Toko'!$E:$E,0)),"")</f>
        <v>GRSM 4</v>
      </c>
      <c r="E1582" s="20" t="str">
        <f>IFERROR(VLOOKUP(I1582,KET!$B:$F,4,0),"")</f>
        <v>FAHMI LUKMANUL HAKIM</v>
      </c>
      <c r="F1582" s="20" t="str">
        <f>IFERROR(VLOOKUP(I1582,KET!$B:$F,5,0),"")</f>
        <v>GMM</v>
      </c>
      <c r="G1582" s="20">
        <f>IFERROR(INDEX('Kode Outlet dan Target Toko'!$C:$C,MATCH($I1582,'Kode Outlet dan Target Toko'!$E:$E,0)),0)</f>
        <v>189901</v>
      </c>
      <c r="H1582" s="20">
        <f>IFERROR(INDEX('Kode Outlet dan Target Toko'!$D:$D,MATCH($I1582,'Kode Outlet dan Target Toko'!$E:$E,0)),0)</f>
        <v>1602057</v>
      </c>
      <c r="I1582" s="42" t="s">
        <v>68</v>
      </c>
      <c r="J1582" s="27" t="s">
        <v>174</v>
      </c>
      <c r="K1582" s="40" t="s">
        <v>16</v>
      </c>
      <c r="L1582" s="26">
        <v>2000</v>
      </c>
      <c r="M1582" s="26">
        <v>188</v>
      </c>
      <c r="N1582" s="25">
        <f t="shared" si="49"/>
        <v>376000</v>
      </c>
      <c r="O1582" s="56">
        <v>160</v>
      </c>
    </row>
    <row r="1583" spans="1:15" hidden="1" x14ac:dyDescent="0.3">
      <c r="A1583" s="26">
        <v>29</v>
      </c>
      <c r="B1583" s="20" t="str">
        <f t="shared" si="48"/>
        <v>JUL</v>
      </c>
      <c r="C1583" s="21">
        <v>46221</v>
      </c>
      <c r="D1583" s="22" t="str">
        <f t="array" ref="D1583">IFERROR(INDEX('Kode Outlet dan Target Toko'!$A:$A,MATCH($I1583,'Kode Outlet dan Target Toko'!$E:$E,0)),"")</f>
        <v>GRSM 4</v>
      </c>
      <c r="E1583" s="20" t="str">
        <f>IFERROR(VLOOKUP(I1583,KET!$B:$F,4,0),"")</f>
        <v>FAHMI LUKMANUL HAKIM</v>
      </c>
      <c r="F1583" s="20" t="str">
        <f>IFERROR(VLOOKUP(I1583,KET!$B:$F,5,0),"")</f>
        <v>GMM</v>
      </c>
      <c r="G1583" s="20">
        <f>IFERROR(INDEX('Kode Outlet dan Target Toko'!$C:$C,MATCH($I1583,'Kode Outlet dan Target Toko'!$E:$E,0)),0)</f>
        <v>189901</v>
      </c>
      <c r="H1583" s="20">
        <f>IFERROR(INDEX('Kode Outlet dan Target Toko'!$D:$D,MATCH($I1583,'Kode Outlet dan Target Toko'!$E:$E,0)),0)</f>
        <v>1602057</v>
      </c>
      <c r="I1583" s="42" t="s">
        <v>68</v>
      </c>
      <c r="J1583" s="56" t="s">
        <v>175</v>
      </c>
      <c r="K1583" s="40" t="s">
        <v>15</v>
      </c>
      <c r="L1583" s="26">
        <v>2150</v>
      </c>
      <c r="M1583" s="26">
        <v>108</v>
      </c>
      <c r="N1583" s="25">
        <f t="shared" si="49"/>
        <v>232200</v>
      </c>
      <c r="O1583" s="56"/>
    </row>
    <row r="1584" spans="1:15" hidden="1" x14ac:dyDescent="0.3">
      <c r="A1584" s="26">
        <v>29</v>
      </c>
      <c r="B1584" s="20" t="str">
        <f t="shared" si="48"/>
        <v>JUL</v>
      </c>
      <c r="C1584" s="21">
        <v>46221</v>
      </c>
      <c r="D1584" s="22" t="str">
        <f t="array" ref="D1584">IFERROR(INDEX('Kode Outlet dan Target Toko'!$A:$A,MATCH($I1584,'Kode Outlet dan Target Toko'!$E:$E,0)),"")</f>
        <v>GRSM 4</v>
      </c>
      <c r="E1584" s="20" t="str">
        <f>IFERROR(VLOOKUP(I1584,KET!$B:$F,4,0),"")</f>
        <v>FAHMI LUKMANUL HAKIM</v>
      </c>
      <c r="F1584" s="20" t="str">
        <f>IFERROR(VLOOKUP(I1584,KET!$B:$F,5,0),"")</f>
        <v>GMM</v>
      </c>
      <c r="G1584" s="20">
        <f>IFERROR(INDEX('Kode Outlet dan Target Toko'!$C:$C,MATCH($I1584,'Kode Outlet dan Target Toko'!$E:$E,0)),0)</f>
        <v>189901</v>
      </c>
      <c r="H1584" s="20">
        <f>IFERROR(INDEX('Kode Outlet dan Target Toko'!$D:$D,MATCH($I1584,'Kode Outlet dan Target Toko'!$E:$E,0)),0)</f>
        <v>1602057</v>
      </c>
      <c r="I1584" s="42" t="s">
        <v>68</v>
      </c>
      <c r="J1584" s="56" t="s">
        <v>175</v>
      </c>
      <c r="K1584" s="40" t="s">
        <v>14</v>
      </c>
      <c r="L1584" s="26">
        <v>2150</v>
      </c>
      <c r="M1584" s="26">
        <v>105</v>
      </c>
      <c r="N1584" s="25">
        <f t="shared" si="49"/>
        <v>225750</v>
      </c>
      <c r="O1584" s="56"/>
    </row>
    <row r="1585" spans="1:15" hidden="1" x14ac:dyDescent="0.3">
      <c r="A1585" s="26">
        <v>29</v>
      </c>
      <c r="B1585" s="20" t="str">
        <f t="shared" si="48"/>
        <v>JUL</v>
      </c>
      <c r="C1585" s="21">
        <v>46221</v>
      </c>
      <c r="D1585" s="22" t="str">
        <f t="array" ref="D1585">IFERROR(INDEX('Kode Outlet dan Target Toko'!$A:$A,MATCH($I1585,'Kode Outlet dan Target Toko'!$E:$E,0)),"")</f>
        <v>GRSM 4</v>
      </c>
      <c r="E1585" s="20" t="str">
        <f>IFERROR(VLOOKUP(I1585,KET!$B:$F,4,0),"")</f>
        <v>FAHMI LUKMANUL HAKIM</v>
      </c>
      <c r="F1585" s="20" t="str">
        <f>IFERROR(VLOOKUP(I1585,KET!$B:$F,5,0),"")</f>
        <v>GMM</v>
      </c>
      <c r="G1585" s="20">
        <f>IFERROR(INDEX('Kode Outlet dan Target Toko'!$C:$C,MATCH($I1585,'Kode Outlet dan Target Toko'!$E:$E,0)),0)</f>
        <v>189901</v>
      </c>
      <c r="H1585" s="20">
        <f>IFERROR(INDEX('Kode Outlet dan Target Toko'!$D:$D,MATCH($I1585,'Kode Outlet dan Target Toko'!$E:$E,0)),0)</f>
        <v>1602057</v>
      </c>
      <c r="I1585" s="42" t="s">
        <v>68</v>
      </c>
      <c r="J1585" s="56" t="s">
        <v>175</v>
      </c>
      <c r="K1585" s="40" t="s">
        <v>13</v>
      </c>
      <c r="L1585" s="26">
        <v>2150</v>
      </c>
      <c r="M1585" s="26">
        <v>97</v>
      </c>
      <c r="N1585" s="25">
        <f t="shared" si="49"/>
        <v>208550</v>
      </c>
      <c r="O1585" s="56"/>
    </row>
    <row r="1586" spans="1:15" hidden="1" x14ac:dyDescent="0.3">
      <c r="A1586" s="26">
        <v>29</v>
      </c>
      <c r="B1586" s="20" t="str">
        <f t="shared" si="48"/>
        <v>JUL</v>
      </c>
      <c r="C1586" s="21">
        <v>46221</v>
      </c>
      <c r="D1586" s="22" t="str">
        <f t="array" ref="D1586">IFERROR(INDEX('Kode Outlet dan Target Toko'!$A:$A,MATCH($I1586,'Kode Outlet dan Target Toko'!$E:$E,0)),"")</f>
        <v>GRSM 4</v>
      </c>
      <c r="E1586" s="20" t="str">
        <f>IFERROR(VLOOKUP(I1586,KET!$B:$F,4,0),"")</f>
        <v>FAHMI LUKMANUL HAKIM</v>
      </c>
      <c r="F1586" s="20" t="str">
        <f>IFERROR(VLOOKUP(I1586,KET!$B:$F,5,0),"")</f>
        <v>GMM</v>
      </c>
      <c r="G1586" s="20">
        <f>IFERROR(INDEX('Kode Outlet dan Target Toko'!$C:$C,MATCH($I1586,'Kode Outlet dan Target Toko'!$E:$E,0)),0)</f>
        <v>189901</v>
      </c>
      <c r="H1586" s="20">
        <f>IFERROR(INDEX('Kode Outlet dan Target Toko'!$D:$D,MATCH($I1586,'Kode Outlet dan Target Toko'!$E:$E,0)),0)</f>
        <v>1602057</v>
      </c>
      <c r="I1586" s="42" t="s">
        <v>68</v>
      </c>
      <c r="J1586" s="56" t="s">
        <v>175</v>
      </c>
      <c r="K1586" s="40" t="s">
        <v>16</v>
      </c>
      <c r="L1586" s="26">
        <v>2000</v>
      </c>
      <c r="M1586" s="26">
        <v>177</v>
      </c>
      <c r="N1586" s="25">
        <f t="shared" si="49"/>
        <v>354000</v>
      </c>
      <c r="O1586" s="56">
        <v>160</v>
      </c>
    </row>
    <row r="1587" spans="1:15" hidden="1" x14ac:dyDescent="0.3">
      <c r="A1587" s="26">
        <v>29</v>
      </c>
      <c r="B1587" s="20" t="str">
        <f t="shared" si="48"/>
        <v>JUL</v>
      </c>
      <c r="C1587" s="21">
        <v>46221</v>
      </c>
      <c r="D1587" s="22" t="str">
        <f t="array" ref="D1587">IFERROR(INDEX('Kode Outlet dan Target Toko'!$A:$A,MATCH($I1587,'Kode Outlet dan Target Toko'!$E:$E,0)),"")</f>
        <v>GRSM 4</v>
      </c>
      <c r="E1587" s="20" t="str">
        <f>IFERROR(VLOOKUP(I1587,KET!$B:$F,4,0),"")</f>
        <v>FAHMI LUKMANUL HAKIM</v>
      </c>
      <c r="F1587" s="20" t="str">
        <f>IFERROR(VLOOKUP(I1587,KET!$B:$F,5,0),"")</f>
        <v>GMM</v>
      </c>
      <c r="G1587" s="20">
        <f>IFERROR(INDEX('Kode Outlet dan Target Toko'!$C:$C,MATCH($I1587,'Kode Outlet dan Target Toko'!$E:$E,0)),0)</f>
        <v>189901</v>
      </c>
      <c r="H1587" s="20">
        <f>IFERROR(INDEX('Kode Outlet dan Target Toko'!$D:$D,MATCH($I1587,'Kode Outlet dan Target Toko'!$E:$E,0)),0)</f>
        <v>1602018</v>
      </c>
      <c r="I1587" s="50" t="s">
        <v>34</v>
      </c>
      <c r="J1587" s="56" t="s">
        <v>186</v>
      </c>
      <c r="K1587" s="40" t="s">
        <v>15</v>
      </c>
      <c r="L1587" s="26">
        <v>3500</v>
      </c>
      <c r="M1587" s="26">
        <v>45</v>
      </c>
      <c r="N1587" s="25">
        <f t="shared" si="49"/>
        <v>157500</v>
      </c>
      <c r="O1587" s="56"/>
    </row>
    <row r="1588" spans="1:15" hidden="1" x14ac:dyDescent="0.3">
      <c r="A1588" s="26">
        <v>29</v>
      </c>
      <c r="B1588" s="20" t="str">
        <f t="shared" si="48"/>
        <v>JUL</v>
      </c>
      <c r="C1588" s="21">
        <v>46221</v>
      </c>
      <c r="D1588" s="22" t="str">
        <f t="array" ref="D1588">IFERROR(INDEX('Kode Outlet dan Target Toko'!$A:$A,MATCH($I1588,'Kode Outlet dan Target Toko'!$E:$E,0)),"")</f>
        <v>GRSM 4</v>
      </c>
      <c r="E1588" s="20" t="str">
        <f>IFERROR(VLOOKUP(I1588,KET!$B:$F,4,0),"")</f>
        <v>FAHMI LUKMANUL HAKIM</v>
      </c>
      <c r="F1588" s="20" t="str">
        <f>IFERROR(VLOOKUP(I1588,KET!$B:$F,5,0),"")</f>
        <v>GMM</v>
      </c>
      <c r="G1588" s="20">
        <f>IFERROR(INDEX('Kode Outlet dan Target Toko'!$C:$C,MATCH($I1588,'Kode Outlet dan Target Toko'!$E:$E,0)),0)</f>
        <v>189901</v>
      </c>
      <c r="H1588" s="20">
        <f>IFERROR(INDEX('Kode Outlet dan Target Toko'!$D:$D,MATCH($I1588,'Kode Outlet dan Target Toko'!$E:$E,0)),0)</f>
        <v>1602018</v>
      </c>
      <c r="I1588" s="50" t="s">
        <v>34</v>
      </c>
      <c r="J1588" s="56" t="s">
        <v>186</v>
      </c>
      <c r="K1588" s="40" t="s">
        <v>14</v>
      </c>
      <c r="L1588" s="26">
        <v>3500</v>
      </c>
      <c r="M1588" s="26">
        <v>45</v>
      </c>
      <c r="N1588" s="25">
        <f t="shared" si="49"/>
        <v>157500</v>
      </c>
      <c r="O1588" s="56"/>
    </row>
    <row r="1589" spans="1:15" hidden="1" x14ac:dyDescent="0.3">
      <c r="A1589" s="26">
        <v>29</v>
      </c>
      <c r="B1589" s="20" t="str">
        <f t="shared" si="48"/>
        <v>JUL</v>
      </c>
      <c r="C1589" s="21">
        <v>46221</v>
      </c>
      <c r="D1589" s="22" t="str">
        <f t="array" ref="D1589">IFERROR(INDEX('Kode Outlet dan Target Toko'!$A:$A,MATCH($I1589,'Kode Outlet dan Target Toko'!$E:$E,0)),"")</f>
        <v>GRSM 4</v>
      </c>
      <c r="E1589" s="20" t="str">
        <f>IFERROR(VLOOKUP(I1589,KET!$B:$F,4,0),"")</f>
        <v>FAHMI LUKMANUL HAKIM</v>
      </c>
      <c r="F1589" s="20" t="str">
        <f>IFERROR(VLOOKUP(I1589,KET!$B:$F,5,0),"")</f>
        <v>GMM</v>
      </c>
      <c r="G1589" s="20">
        <f>IFERROR(INDEX('Kode Outlet dan Target Toko'!$C:$C,MATCH($I1589,'Kode Outlet dan Target Toko'!$E:$E,0)),0)</f>
        <v>189901</v>
      </c>
      <c r="H1589" s="20">
        <f>IFERROR(INDEX('Kode Outlet dan Target Toko'!$D:$D,MATCH($I1589,'Kode Outlet dan Target Toko'!$E:$E,0)),0)</f>
        <v>1602018</v>
      </c>
      <c r="I1589" s="50" t="s">
        <v>34</v>
      </c>
      <c r="J1589" s="56" t="s">
        <v>186</v>
      </c>
      <c r="K1589" s="40" t="s">
        <v>13</v>
      </c>
      <c r="L1589" s="26">
        <v>3500</v>
      </c>
      <c r="M1589" s="26">
        <v>30</v>
      </c>
      <c r="N1589" s="25">
        <f t="shared" si="49"/>
        <v>105000</v>
      </c>
      <c r="O1589" s="56"/>
    </row>
    <row r="1590" spans="1:15" hidden="1" x14ac:dyDescent="0.3">
      <c r="A1590" s="26">
        <v>29</v>
      </c>
      <c r="B1590" s="20" t="str">
        <f t="shared" si="48"/>
        <v>JUL</v>
      </c>
      <c r="C1590" s="21">
        <v>46221</v>
      </c>
      <c r="D1590" s="22" t="str">
        <f t="array" ref="D1590">IFERROR(INDEX('Kode Outlet dan Target Toko'!$A:$A,MATCH($I1590,'Kode Outlet dan Target Toko'!$E:$E,0)),"")</f>
        <v>GRSM 4</v>
      </c>
      <c r="E1590" s="20" t="str">
        <f>IFERROR(VLOOKUP(I1590,KET!$B:$F,4,0),"")</f>
        <v>FAHMI LUKMANUL HAKIM</v>
      </c>
      <c r="F1590" s="20" t="str">
        <f>IFERROR(VLOOKUP(I1590,KET!$B:$F,5,0),"")</f>
        <v>GMM</v>
      </c>
      <c r="G1590" s="20">
        <f>IFERROR(INDEX('Kode Outlet dan Target Toko'!$C:$C,MATCH($I1590,'Kode Outlet dan Target Toko'!$E:$E,0)),0)</f>
        <v>189901</v>
      </c>
      <c r="H1590" s="20">
        <f>IFERROR(INDEX('Kode Outlet dan Target Toko'!$D:$D,MATCH($I1590,'Kode Outlet dan Target Toko'!$E:$E,0)),0)</f>
        <v>1602018</v>
      </c>
      <c r="I1590" s="50" t="s">
        <v>34</v>
      </c>
      <c r="J1590" s="56" t="s">
        <v>186</v>
      </c>
      <c r="K1590" s="40" t="s">
        <v>16</v>
      </c>
      <c r="L1590" s="26">
        <v>3500</v>
      </c>
      <c r="M1590" s="26">
        <v>120</v>
      </c>
      <c r="N1590" s="25">
        <f t="shared" si="49"/>
        <v>420000</v>
      </c>
      <c r="O1590" s="56">
        <v>160</v>
      </c>
    </row>
    <row r="1591" spans="1:15" hidden="1" x14ac:dyDescent="0.3">
      <c r="A1591" s="26">
        <v>29</v>
      </c>
      <c r="B1591" s="20" t="str">
        <f t="shared" si="48"/>
        <v>JUL</v>
      </c>
      <c r="C1591" s="21">
        <v>46222</v>
      </c>
      <c r="D1591" s="22" t="str">
        <f t="array" ref="D1591">IFERROR(INDEX('Kode Outlet dan Target Toko'!$A:$A,MATCH($I1591,'Kode Outlet dan Target Toko'!$E:$E,0)),"")</f>
        <v>GRSM 4</v>
      </c>
      <c r="E1591" s="20" t="str">
        <f>IFERROR(VLOOKUP(I1591,KET!$B:$F,4,0),"")</f>
        <v>FAHMI LUKMANUL HAKIM</v>
      </c>
      <c r="F1591" s="20" t="str">
        <f>IFERROR(VLOOKUP(I1591,KET!$B:$F,5,0),"")</f>
        <v>GMM</v>
      </c>
      <c r="G1591" s="20">
        <f>IFERROR(INDEX('Kode Outlet dan Target Toko'!$C:$C,MATCH($I1591,'Kode Outlet dan Target Toko'!$E:$E,0)),0)</f>
        <v>121409</v>
      </c>
      <c r="H1591" s="20">
        <f>IFERROR(INDEX('Kode Outlet dan Target Toko'!$D:$D,MATCH($I1591,'Kode Outlet dan Target Toko'!$E:$E,0)),0)</f>
        <v>5205014</v>
      </c>
      <c r="I1591" s="50" t="s">
        <v>31</v>
      </c>
      <c r="J1591" s="56" t="s">
        <v>185</v>
      </c>
      <c r="K1591" s="40" t="s">
        <v>15</v>
      </c>
      <c r="L1591" s="26">
        <v>2100</v>
      </c>
      <c r="M1591" s="26">
        <v>142</v>
      </c>
      <c r="N1591" s="25">
        <f t="shared" si="49"/>
        <v>298200</v>
      </c>
      <c r="O1591" s="56"/>
    </row>
    <row r="1592" spans="1:15" hidden="1" x14ac:dyDescent="0.3">
      <c r="A1592" s="26">
        <v>29</v>
      </c>
      <c r="B1592" s="20" t="str">
        <f t="shared" si="48"/>
        <v>JUL</v>
      </c>
      <c r="C1592" s="21">
        <v>46222</v>
      </c>
      <c r="D1592" s="22" t="str">
        <f t="array" ref="D1592">IFERROR(INDEX('Kode Outlet dan Target Toko'!$A:$A,MATCH($I1592,'Kode Outlet dan Target Toko'!$E:$E,0)),"")</f>
        <v>GRSM 4</v>
      </c>
      <c r="E1592" s="20" t="str">
        <f>IFERROR(VLOOKUP(I1592,KET!$B:$F,4,0),"")</f>
        <v>FAHMI LUKMANUL HAKIM</v>
      </c>
      <c r="F1592" s="20" t="str">
        <f>IFERROR(VLOOKUP(I1592,KET!$B:$F,5,0),"")</f>
        <v>GMM</v>
      </c>
      <c r="G1592" s="20">
        <f>IFERROR(INDEX('Kode Outlet dan Target Toko'!$C:$C,MATCH($I1592,'Kode Outlet dan Target Toko'!$E:$E,0)),0)</f>
        <v>121409</v>
      </c>
      <c r="H1592" s="20">
        <f>IFERROR(INDEX('Kode Outlet dan Target Toko'!$D:$D,MATCH($I1592,'Kode Outlet dan Target Toko'!$E:$E,0)),0)</f>
        <v>5205014</v>
      </c>
      <c r="I1592" s="50" t="s">
        <v>31</v>
      </c>
      <c r="J1592" s="56" t="s">
        <v>185</v>
      </c>
      <c r="K1592" s="40" t="s">
        <v>14</v>
      </c>
      <c r="L1592" s="26">
        <v>2100</v>
      </c>
      <c r="M1592" s="26">
        <v>232</v>
      </c>
      <c r="N1592" s="25">
        <f t="shared" si="49"/>
        <v>487200</v>
      </c>
      <c r="O1592" s="56"/>
    </row>
    <row r="1593" spans="1:15" hidden="1" x14ac:dyDescent="0.3">
      <c r="A1593" s="26">
        <v>29</v>
      </c>
      <c r="B1593" s="20" t="str">
        <f t="shared" si="48"/>
        <v>JUL</v>
      </c>
      <c r="C1593" s="21">
        <v>46222</v>
      </c>
      <c r="D1593" s="22" t="str">
        <f t="array" ref="D1593">IFERROR(INDEX('Kode Outlet dan Target Toko'!$A:$A,MATCH($I1593,'Kode Outlet dan Target Toko'!$E:$E,0)),"")</f>
        <v>GRSM 4</v>
      </c>
      <c r="E1593" s="20" t="str">
        <f>IFERROR(VLOOKUP(I1593,KET!$B:$F,4,0),"")</f>
        <v>FAHMI LUKMANUL HAKIM</v>
      </c>
      <c r="F1593" s="20" t="str">
        <f>IFERROR(VLOOKUP(I1593,KET!$B:$F,5,0),"")</f>
        <v>GMM</v>
      </c>
      <c r="G1593" s="20">
        <f>IFERROR(INDEX('Kode Outlet dan Target Toko'!$C:$C,MATCH($I1593,'Kode Outlet dan Target Toko'!$E:$E,0)),0)</f>
        <v>121409</v>
      </c>
      <c r="H1593" s="20">
        <f>IFERROR(INDEX('Kode Outlet dan Target Toko'!$D:$D,MATCH($I1593,'Kode Outlet dan Target Toko'!$E:$E,0)),0)</f>
        <v>5205014</v>
      </c>
      <c r="I1593" s="50" t="s">
        <v>31</v>
      </c>
      <c r="J1593" s="56" t="s">
        <v>185</v>
      </c>
      <c r="K1593" s="40" t="s">
        <v>13</v>
      </c>
      <c r="L1593" s="26">
        <v>2100</v>
      </c>
      <c r="M1593" s="26">
        <v>105</v>
      </c>
      <c r="N1593" s="25">
        <f t="shared" si="49"/>
        <v>220500</v>
      </c>
      <c r="O1593" s="56"/>
    </row>
    <row r="1594" spans="1:15" hidden="1" x14ac:dyDescent="0.3">
      <c r="A1594" s="26">
        <v>29</v>
      </c>
      <c r="B1594" s="20" t="str">
        <f t="shared" si="48"/>
        <v>JUL</v>
      </c>
      <c r="C1594" s="21">
        <v>46222</v>
      </c>
      <c r="D1594" s="22" t="str">
        <f t="array" ref="D1594">IFERROR(INDEX('Kode Outlet dan Target Toko'!$A:$A,MATCH($I1594,'Kode Outlet dan Target Toko'!$E:$E,0)),"")</f>
        <v>GRSM 4</v>
      </c>
      <c r="E1594" s="20" t="str">
        <f>IFERROR(VLOOKUP(I1594,KET!$B:$F,4,0),"")</f>
        <v>FAHMI LUKMANUL HAKIM</v>
      </c>
      <c r="F1594" s="20" t="str">
        <f>IFERROR(VLOOKUP(I1594,KET!$B:$F,5,0),"")</f>
        <v>GMM</v>
      </c>
      <c r="G1594" s="20">
        <f>IFERROR(INDEX('Kode Outlet dan Target Toko'!$C:$C,MATCH($I1594,'Kode Outlet dan Target Toko'!$E:$E,0)),0)</f>
        <v>121409</v>
      </c>
      <c r="H1594" s="20">
        <f>IFERROR(INDEX('Kode Outlet dan Target Toko'!$D:$D,MATCH($I1594,'Kode Outlet dan Target Toko'!$E:$E,0)),0)</f>
        <v>5205014</v>
      </c>
      <c r="I1594" s="50" t="s">
        <v>31</v>
      </c>
      <c r="J1594" s="56" t="s">
        <v>185</v>
      </c>
      <c r="K1594" s="40" t="s">
        <v>16</v>
      </c>
      <c r="L1594" s="26">
        <v>2100</v>
      </c>
      <c r="M1594" s="26">
        <v>243</v>
      </c>
      <c r="N1594" s="25">
        <f t="shared" si="49"/>
        <v>510300</v>
      </c>
      <c r="O1594" s="56">
        <v>160</v>
      </c>
    </row>
    <row r="1595" spans="1:15" hidden="1" x14ac:dyDescent="0.3">
      <c r="A1595" s="26">
        <v>29</v>
      </c>
      <c r="B1595" s="20" t="str">
        <f t="shared" si="48"/>
        <v>JUL</v>
      </c>
      <c r="C1595" s="21">
        <v>46222</v>
      </c>
      <c r="D1595" s="22" t="str">
        <f t="array" ref="D1595">IFERROR(INDEX('Kode Outlet dan Target Toko'!$A:$A,MATCH($I1595,'Kode Outlet dan Target Toko'!$E:$E,0)),"")</f>
        <v>GRSM 4</v>
      </c>
      <c r="E1595" s="20" t="str">
        <f>IFERROR(VLOOKUP(I1595,KET!$B:$F,4,0),"")</f>
        <v>FAHMI LUKMANUL HAKIM</v>
      </c>
      <c r="F1595" s="20" t="str">
        <f>IFERROR(VLOOKUP(I1595,KET!$B:$F,5,0),"")</f>
        <v>GMM</v>
      </c>
      <c r="G1595" s="20">
        <f>IFERROR(INDEX('Kode Outlet dan Target Toko'!$C:$C,MATCH($I1595,'Kode Outlet dan Target Toko'!$E:$E,0)),0)</f>
        <v>121409</v>
      </c>
      <c r="H1595" s="20">
        <f>IFERROR(INDEX('Kode Outlet dan Target Toko'!$D:$D,MATCH($I1595,'Kode Outlet dan Target Toko'!$E:$E,0)),0)</f>
        <v>5205014</v>
      </c>
      <c r="I1595" s="50" t="s">
        <v>31</v>
      </c>
      <c r="J1595" s="56" t="s">
        <v>184</v>
      </c>
      <c r="K1595" s="40" t="s">
        <v>15</v>
      </c>
      <c r="L1595" s="26">
        <v>2100</v>
      </c>
      <c r="M1595" s="26">
        <v>142</v>
      </c>
      <c r="N1595" s="25">
        <f t="shared" si="49"/>
        <v>298200</v>
      </c>
      <c r="O1595" s="56"/>
    </row>
    <row r="1596" spans="1:15" hidden="1" x14ac:dyDescent="0.3">
      <c r="A1596" s="26">
        <v>29</v>
      </c>
      <c r="B1596" s="20" t="str">
        <f t="shared" si="48"/>
        <v>JUL</v>
      </c>
      <c r="C1596" s="21">
        <v>46222</v>
      </c>
      <c r="D1596" s="22" t="str">
        <f t="array" ref="D1596">IFERROR(INDEX('Kode Outlet dan Target Toko'!$A:$A,MATCH($I1596,'Kode Outlet dan Target Toko'!$E:$E,0)),"")</f>
        <v>GRSM 4</v>
      </c>
      <c r="E1596" s="20" t="str">
        <f>IFERROR(VLOOKUP(I1596,KET!$B:$F,4,0),"")</f>
        <v>FAHMI LUKMANUL HAKIM</v>
      </c>
      <c r="F1596" s="20" t="str">
        <f>IFERROR(VLOOKUP(I1596,KET!$B:$F,5,0),"")</f>
        <v>GMM</v>
      </c>
      <c r="G1596" s="20">
        <f>IFERROR(INDEX('Kode Outlet dan Target Toko'!$C:$C,MATCH($I1596,'Kode Outlet dan Target Toko'!$E:$E,0)),0)</f>
        <v>121409</v>
      </c>
      <c r="H1596" s="20">
        <f>IFERROR(INDEX('Kode Outlet dan Target Toko'!$D:$D,MATCH($I1596,'Kode Outlet dan Target Toko'!$E:$E,0)),0)</f>
        <v>5205014</v>
      </c>
      <c r="I1596" s="50" t="s">
        <v>31</v>
      </c>
      <c r="J1596" s="56" t="s">
        <v>184</v>
      </c>
      <c r="K1596" s="40" t="s">
        <v>14</v>
      </c>
      <c r="L1596" s="26">
        <v>2100</v>
      </c>
      <c r="M1596" s="26">
        <v>232</v>
      </c>
      <c r="N1596" s="25">
        <f t="shared" si="49"/>
        <v>487200</v>
      </c>
      <c r="O1596" s="56"/>
    </row>
    <row r="1597" spans="1:15" hidden="1" x14ac:dyDescent="0.3">
      <c r="A1597" s="26">
        <v>29</v>
      </c>
      <c r="B1597" s="20" t="str">
        <f t="shared" si="48"/>
        <v>JUL</v>
      </c>
      <c r="C1597" s="21">
        <v>46222</v>
      </c>
      <c r="D1597" s="22" t="str">
        <f t="array" ref="D1597">IFERROR(INDEX('Kode Outlet dan Target Toko'!$A:$A,MATCH($I1597,'Kode Outlet dan Target Toko'!$E:$E,0)),"")</f>
        <v>GRSM 4</v>
      </c>
      <c r="E1597" s="20" t="str">
        <f>IFERROR(VLOOKUP(I1597,KET!$B:$F,4,0),"")</f>
        <v>FAHMI LUKMANUL HAKIM</v>
      </c>
      <c r="F1597" s="20" t="str">
        <f>IFERROR(VLOOKUP(I1597,KET!$B:$F,5,0),"")</f>
        <v>GMM</v>
      </c>
      <c r="G1597" s="20">
        <f>IFERROR(INDEX('Kode Outlet dan Target Toko'!$C:$C,MATCH($I1597,'Kode Outlet dan Target Toko'!$E:$E,0)),0)</f>
        <v>121409</v>
      </c>
      <c r="H1597" s="20">
        <f>IFERROR(INDEX('Kode Outlet dan Target Toko'!$D:$D,MATCH($I1597,'Kode Outlet dan Target Toko'!$E:$E,0)),0)</f>
        <v>5205014</v>
      </c>
      <c r="I1597" s="50" t="s">
        <v>31</v>
      </c>
      <c r="J1597" s="56" t="s">
        <v>184</v>
      </c>
      <c r="K1597" s="40" t="s">
        <v>13</v>
      </c>
      <c r="L1597" s="26">
        <v>2100</v>
      </c>
      <c r="M1597" s="26">
        <v>105</v>
      </c>
      <c r="N1597" s="25">
        <f t="shared" si="49"/>
        <v>220500</v>
      </c>
      <c r="O1597" s="56"/>
    </row>
    <row r="1598" spans="1:15" hidden="1" x14ac:dyDescent="0.3">
      <c r="A1598" s="26">
        <v>29</v>
      </c>
      <c r="B1598" s="20" t="str">
        <f t="shared" si="48"/>
        <v>JUL</v>
      </c>
      <c r="C1598" s="21">
        <v>46222</v>
      </c>
      <c r="D1598" s="22" t="str">
        <f t="array" ref="D1598">IFERROR(INDEX('Kode Outlet dan Target Toko'!$A:$A,MATCH($I1598,'Kode Outlet dan Target Toko'!$E:$E,0)),"")</f>
        <v>GRSM 4</v>
      </c>
      <c r="E1598" s="20" t="str">
        <f>IFERROR(VLOOKUP(I1598,KET!$B:$F,4,0),"")</f>
        <v>FAHMI LUKMANUL HAKIM</v>
      </c>
      <c r="F1598" s="20" t="str">
        <f>IFERROR(VLOOKUP(I1598,KET!$B:$F,5,0),"")</f>
        <v>GMM</v>
      </c>
      <c r="G1598" s="20">
        <f>IFERROR(INDEX('Kode Outlet dan Target Toko'!$C:$C,MATCH($I1598,'Kode Outlet dan Target Toko'!$E:$E,0)),0)</f>
        <v>121409</v>
      </c>
      <c r="H1598" s="20">
        <f>IFERROR(INDEX('Kode Outlet dan Target Toko'!$D:$D,MATCH($I1598,'Kode Outlet dan Target Toko'!$E:$E,0)),0)</f>
        <v>5205014</v>
      </c>
      <c r="I1598" s="50" t="s">
        <v>31</v>
      </c>
      <c r="J1598" s="56" t="s">
        <v>184</v>
      </c>
      <c r="K1598" s="40" t="s">
        <v>16</v>
      </c>
      <c r="L1598" s="26">
        <v>2100</v>
      </c>
      <c r="M1598" s="26">
        <v>243</v>
      </c>
      <c r="N1598" s="25">
        <f t="shared" si="49"/>
        <v>510300</v>
      </c>
      <c r="O1598" s="56">
        <v>160</v>
      </c>
    </row>
    <row r="1599" spans="1:15" hidden="1" x14ac:dyDescent="0.3">
      <c r="A1599" s="26">
        <v>29</v>
      </c>
      <c r="B1599" s="20" t="str">
        <f t="shared" si="48"/>
        <v>JUL</v>
      </c>
      <c r="C1599" s="21">
        <v>46222</v>
      </c>
      <c r="D1599" s="22" t="str">
        <f t="array" ref="D1599">IFERROR(INDEX('Kode Outlet dan Target Toko'!$A:$A,MATCH($I1599,'Kode Outlet dan Target Toko'!$E:$E,0)),"")</f>
        <v>GRSM 4</v>
      </c>
      <c r="E1599" s="20" t="str">
        <f>IFERROR(VLOOKUP(I1599,KET!$B:$F,4,0),"")</f>
        <v>FAHMI LUKMANUL HAKIM</v>
      </c>
      <c r="F1599" s="20" t="str">
        <f>IFERROR(VLOOKUP(I1599,KET!$B:$F,5,0),"")</f>
        <v>GMM</v>
      </c>
      <c r="G1599" s="20">
        <f>IFERROR(INDEX('Kode Outlet dan Target Toko'!$C:$C,MATCH($I1599,'Kode Outlet dan Target Toko'!$E:$E,0)),0)</f>
        <v>103277</v>
      </c>
      <c r="H1599" s="20">
        <f>IFERROR(INDEX('Kode Outlet dan Target Toko'!$D:$D,MATCH($I1599,'Kode Outlet dan Target Toko'!$E:$E,0)),0)</f>
        <v>6300700</v>
      </c>
      <c r="I1599" s="50" t="s">
        <v>30</v>
      </c>
      <c r="J1599" s="56" t="s">
        <v>182</v>
      </c>
      <c r="K1599" s="40" t="s">
        <v>15</v>
      </c>
      <c r="L1599" s="26">
        <v>3000</v>
      </c>
      <c r="M1599" s="26">
        <v>90</v>
      </c>
      <c r="N1599" s="25">
        <f t="shared" si="49"/>
        <v>270000</v>
      </c>
      <c r="O1599" s="56"/>
    </row>
    <row r="1600" spans="1:15" hidden="1" x14ac:dyDescent="0.3">
      <c r="A1600" s="26">
        <v>29</v>
      </c>
      <c r="B1600" s="20" t="str">
        <f t="shared" si="48"/>
        <v>JUL</v>
      </c>
      <c r="C1600" s="21">
        <v>46222</v>
      </c>
      <c r="D1600" s="22" t="str">
        <f t="array" ref="D1600">IFERROR(INDEX('Kode Outlet dan Target Toko'!$A:$A,MATCH($I1600,'Kode Outlet dan Target Toko'!$E:$E,0)),"")</f>
        <v>GRSM 4</v>
      </c>
      <c r="E1600" s="20" t="str">
        <f>IFERROR(VLOOKUP(I1600,KET!$B:$F,4,0),"")</f>
        <v>FAHMI LUKMANUL HAKIM</v>
      </c>
      <c r="F1600" s="20" t="str">
        <f>IFERROR(VLOOKUP(I1600,KET!$B:$F,5,0),"")</f>
        <v>GMM</v>
      </c>
      <c r="G1600" s="20">
        <f>IFERROR(INDEX('Kode Outlet dan Target Toko'!$C:$C,MATCH($I1600,'Kode Outlet dan Target Toko'!$E:$E,0)),0)</f>
        <v>103277</v>
      </c>
      <c r="H1600" s="20">
        <f>IFERROR(INDEX('Kode Outlet dan Target Toko'!$D:$D,MATCH($I1600,'Kode Outlet dan Target Toko'!$E:$E,0)),0)</f>
        <v>6300700</v>
      </c>
      <c r="I1600" s="50" t="s">
        <v>30</v>
      </c>
      <c r="J1600" s="56" t="s">
        <v>182</v>
      </c>
      <c r="K1600" s="40" t="s">
        <v>14</v>
      </c>
      <c r="L1600" s="26">
        <v>3000</v>
      </c>
      <c r="M1600" s="26">
        <v>70</v>
      </c>
      <c r="N1600" s="25">
        <f t="shared" si="49"/>
        <v>210000</v>
      </c>
      <c r="O1600" s="56"/>
    </row>
    <row r="1601" spans="1:15" hidden="1" x14ac:dyDescent="0.3">
      <c r="A1601" s="26">
        <v>29</v>
      </c>
      <c r="B1601" s="20" t="str">
        <f t="shared" si="48"/>
        <v>JUL</v>
      </c>
      <c r="C1601" s="21">
        <v>46222</v>
      </c>
      <c r="D1601" s="22" t="str">
        <f t="array" ref="D1601">IFERROR(INDEX('Kode Outlet dan Target Toko'!$A:$A,MATCH($I1601,'Kode Outlet dan Target Toko'!$E:$E,0)),"")</f>
        <v>GRSM 4</v>
      </c>
      <c r="E1601" s="20" t="str">
        <f>IFERROR(VLOOKUP(I1601,KET!$B:$F,4,0),"")</f>
        <v>FAHMI LUKMANUL HAKIM</v>
      </c>
      <c r="F1601" s="20" t="str">
        <f>IFERROR(VLOOKUP(I1601,KET!$B:$F,5,0),"")</f>
        <v>GMM</v>
      </c>
      <c r="G1601" s="20">
        <f>IFERROR(INDEX('Kode Outlet dan Target Toko'!$C:$C,MATCH($I1601,'Kode Outlet dan Target Toko'!$E:$E,0)),0)</f>
        <v>103277</v>
      </c>
      <c r="H1601" s="20">
        <f>IFERROR(INDEX('Kode Outlet dan Target Toko'!$D:$D,MATCH($I1601,'Kode Outlet dan Target Toko'!$E:$E,0)),0)</f>
        <v>6300700</v>
      </c>
      <c r="I1601" s="50" t="s">
        <v>30</v>
      </c>
      <c r="J1601" s="56" t="s">
        <v>182</v>
      </c>
      <c r="K1601" s="40" t="s">
        <v>13</v>
      </c>
      <c r="L1601" s="26">
        <v>3000</v>
      </c>
      <c r="M1601" s="26">
        <v>70</v>
      </c>
      <c r="N1601" s="25">
        <f t="shared" si="49"/>
        <v>210000</v>
      </c>
      <c r="O1601" s="56"/>
    </row>
    <row r="1602" spans="1:15" hidden="1" x14ac:dyDescent="0.3">
      <c r="A1602" s="26">
        <v>29</v>
      </c>
      <c r="B1602" s="20" t="str">
        <f t="shared" si="48"/>
        <v>JUL</v>
      </c>
      <c r="C1602" s="21">
        <v>46222</v>
      </c>
      <c r="D1602" s="22" t="str">
        <f t="array" ref="D1602">IFERROR(INDEX('Kode Outlet dan Target Toko'!$A:$A,MATCH($I1602,'Kode Outlet dan Target Toko'!$E:$E,0)),"")</f>
        <v>GRSM 4</v>
      </c>
      <c r="E1602" s="20" t="str">
        <f>IFERROR(VLOOKUP(I1602,KET!$B:$F,4,0),"")</f>
        <v>FAHMI LUKMANUL HAKIM</v>
      </c>
      <c r="F1602" s="20" t="str">
        <f>IFERROR(VLOOKUP(I1602,KET!$B:$F,5,0),"")</f>
        <v>GMM</v>
      </c>
      <c r="G1602" s="20">
        <f>IFERROR(INDEX('Kode Outlet dan Target Toko'!$C:$C,MATCH($I1602,'Kode Outlet dan Target Toko'!$E:$E,0)),0)</f>
        <v>103277</v>
      </c>
      <c r="H1602" s="20">
        <f>IFERROR(INDEX('Kode Outlet dan Target Toko'!$D:$D,MATCH($I1602,'Kode Outlet dan Target Toko'!$E:$E,0)),0)</f>
        <v>6300700</v>
      </c>
      <c r="I1602" s="50" t="s">
        <v>30</v>
      </c>
      <c r="J1602" s="56" t="s">
        <v>182</v>
      </c>
      <c r="K1602" s="40" t="s">
        <v>16</v>
      </c>
      <c r="L1602" s="26">
        <v>3000</v>
      </c>
      <c r="M1602" s="26">
        <v>120</v>
      </c>
      <c r="N1602" s="25">
        <f t="shared" si="49"/>
        <v>360000</v>
      </c>
      <c r="O1602" s="56">
        <v>160</v>
      </c>
    </row>
    <row r="1603" spans="1:15" hidden="1" x14ac:dyDescent="0.3">
      <c r="A1603" s="26">
        <v>29</v>
      </c>
      <c r="B1603" s="20" t="str">
        <f t="shared" si="48"/>
        <v>JUL</v>
      </c>
      <c r="C1603" s="21">
        <v>46222</v>
      </c>
      <c r="D1603" s="22" t="str">
        <f t="array" ref="D1603">IFERROR(INDEX('Kode Outlet dan Target Toko'!$A:$A,MATCH($I1603,'Kode Outlet dan Target Toko'!$E:$E,0)),"")</f>
        <v>GRSM 4</v>
      </c>
      <c r="E1603" s="20" t="str">
        <f>IFERROR(VLOOKUP(I1603,KET!$B:$F,4,0),"")</f>
        <v>FAHMI LUKMANUL HAKIM</v>
      </c>
      <c r="F1603" s="20" t="str">
        <f>IFERROR(VLOOKUP(I1603,KET!$B:$F,5,0),"")</f>
        <v>GMM</v>
      </c>
      <c r="G1603" s="20">
        <f>IFERROR(INDEX('Kode Outlet dan Target Toko'!$C:$C,MATCH($I1603,'Kode Outlet dan Target Toko'!$E:$E,0)),0)</f>
        <v>103277</v>
      </c>
      <c r="H1603" s="20">
        <f>IFERROR(INDEX('Kode Outlet dan Target Toko'!$D:$D,MATCH($I1603,'Kode Outlet dan Target Toko'!$E:$E,0)),0)</f>
        <v>6300700</v>
      </c>
      <c r="I1603" s="50" t="s">
        <v>30</v>
      </c>
      <c r="J1603" s="56" t="s">
        <v>183</v>
      </c>
      <c r="K1603" s="40" t="s">
        <v>15</v>
      </c>
      <c r="L1603" s="26">
        <v>3000</v>
      </c>
      <c r="M1603" s="26">
        <v>100</v>
      </c>
      <c r="N1603" s="25">
        <f t="shared" si="49"/>
        <v>300000</v>
      </c>
      <c r="O1603" s="56"/>
    </row>
    <row r="1604" spans="1:15" hidden="1" x14ac:dyDescent="0.3">
      <c r="A1604" s="26">
        <v>29</v>
      </c>
      <c r="B1604" s="20" t="str">
        <f t="shared" si="48"/>
        <v>JUL</v>
      </c>
      <c r="C1604" s="21">
        <v>46222</v>
      </c>
      <c r="D1604" s="22" t="str">
        <f t="array" ref="D1604">IFERROR(INDEX('Kode Outlet dan Target Toko'!$A:$A,MATCH($I1604,'Kode Outlet dan Target Toko'!$E:$E,0)),"")</f>
        <v>GRSM 4</v>
      </c>
      <c r="E1604" s="20" t="str">
        <f>IFERROR(VLOOKUP(I1604,KET!$B:$F,4,0),"")</f>
        <v>FAHMI LUKMANUL HAKIM</v>
      </c>
      <c r="F1604" s="20" t="str">
        <f>IFERROR(VLOOKUP(I1604,KET!$B:$F,5,0),"")</f>
        <v>GMM</v>
      </c>
      <c r="G1604" s="20">
        <f>IFERROR(INDEX('Kode Outlet dan Target Toko'!$C:$C,MATCH($I1604,'Kode Outlet dan Target Toko'!$E:$E,0)),0)</f>
        <v>103277</v>
      </c>
      <c r="H1604" s="20">
        <f>IFERROR(INDEX('Kode Outlet dan Target Toko'!$D:$D,MATCH($I1604,'Kode Outlet dan Target Toko'!$E:$E,0)),0)</f>
        <v>6300700</v>
      </c>
      <c r="I1604" s="50" t="s">
        <v>30</v>
      </c>
      <c r="J1604" s="56" t="s">
        <v>183</v>
      </c>
      <c r="K1604" s="40" t="s">
        <v>14</v>
      </c>
      <c r="L1604" s="26">
        <v>3000</v>
      </c>
      <c r="M1604" s="26">
        <v>80</v>
      </c>
      <c r="N1604" s="25">
        <f t="shared" si="49"/>
        <v>240000</v>
      </c>
      <c r="O1604" s="56"/>
    </row>
    <row r="1605" spans="1:15" hidden="1" x14ac:dyDescent="0.3">
      <c r="A1605" s="26">
        <v>29</v>
      </c>
      <c r="B1605" s="20" t="str">
        <f t="shared" si="48"/>
        <v>JUL</v>
      </c>
      <c r="C1605" s="21">
        <v>46222</v>
      </c>
      <c r="D1605" s="22" t="str">
        <f t="array" ref="D1605">IFERROR(INDEX('Kode Outlet dan Target Toko'!$A:$A,MATCH($I1605,'Kode Outlet dan Target Toko'!$E:$E,0)),"")</f>
        <v>GRSM 4</v>
      </c>
      <c r="E1605" s="20" t="str">
        <f>IFERROR(VLOOKUP(I1605,KET!$B:$F,4,0),"")</f>
        <v>FAHMI LUKMANUL HAKIM</v>
      </c>
      <c r="F1605" s="20" t="str">
        <f>IFERROR(VLOOKUP(I1605,KET!$B:$F,5,0),"")</f>
        <v>GMM</v>
      </c>
      <c r="G1605" s="20">
        <f>IFERROR(INDEX('Kode Outlet dan Target Toko'!$C:$C,MATCH($I1605,'Kode Outlet dan Target Toko'!$E:$E,0)),0)</f>
        <v>103277</v>
      </c>
      <c r="H1605" s="20">
        <f>IFERROR(INDEX('Kode Outlet dan Target Toko'!$D:$D,MATCH($I1605,'Kode Outlet dan Target Toko'!$E:$E,0)),0)</f>
        <v>6300700</v>
      </c>
      <c r="I1605" s="50" t="s">
        <v>30</v>
      </c>
      <c r="J1605" s="56" t="s">
        <v>183</v>
      </c>
      <c r="K1605" s="40" t="s">
        <v>13</v>
      </c>
      <c r="L1605" s="26">
        <v>3000</v>
      </c>
      <c r="M1605" s="26">
        <v>55</v>
      </c>
      <c r="N1605" s="25">
        <f t="shared" si="49"/>
        <v>165000</v>
      </c>
      <c r="O1605" s="56"/>
    </row>
    <row r="1606" spans="1:15" hidden="1" x14ac:dyDescent="0.3">
      <c r="A1606" s="26">
        <v>29</v>
      </c>
      <c r="B1606" s="20" t="str">
        <f t="shared" si="48"/>
        <v>JUL</v>
      </c>
      <c r="C1606" s="21">
        <v>46222</v>
      </c>
      <c r="D1606" s="22" t="str">
        <f t="array" ref="D1606">IFERROR(INDEX('Kode Outlet dan Target Toko'!$A:$A,MATCH($I1606,'Kode Outlet dan Target Toko'!$E:$E,0)),"")</f>
        <v>GRSM 4</v>
      </c>
      <c r="E1606" s="20" t="str">
        <f>IFERROR(VLOOKUP(I1606,KET!$B:$F,4,0),"")</f>
        <v>FAHMI LUKMANUL HAKIM</v>
      </c>
      <c r="F1606" s="20" t="str">
        <f>IFERROR(VLOOKUP(I1606,KET!$B:$F,5,0),"")</f>
        <v>GMM</v>
      </c>
      <c r="G1606" s="20">
        <f>IFERROR(INDEX('Kode Outlet dan Target Toko'!$C:$C,MATCH($I1606,'Kode Outlet dan Target Toko'!$E:$E,0)),0)</f>
        <v>103277</v>
      </c>
      <c r="H1606" s="20">
        <f>IFERROR(INDEX('Kode Outlet dan Target Toko'!$D:$D,MATCH($I1606,'Kode Outlet dan Target Toko'!$E:$E,0)),0)</f>
        <v>6300700</v>
      </c>
      <c r="I1606" s="50" t="s">
        <v>30</v>
      </c>
      <c r="J1606" s="56" t="s">
        <v>183</v>
      </c>
      <c r="K1606" s="40" t="s">
        <v>16</v>
      </c>
      <c r="L1606" s="26">
        <v>3000</v>
      </c>
      <c r="M1606" s="26">
        <v>125</v>
      </c>
      <c r="N1606" s="25">
        <f t="shared" si="49"/>
        <v>375000</v>
      </c>
      <c r="O1606" s="56">
        <v>160</v>
      </c>
    </row>
    <row r="1607" spans="1:15" hidden="1" x14ac:dyDescent="0.3">
      <c r="A1607" s="26">
        <v>29</v>
      </c>
      <c r="B1607" s="20" t="str">
        <f t="shared" ref="B1607:B1670" si="50">IF(C1607="","",UPPER(TEXT(C1607, "MMM")))</f>
        <v>JUL</v>
      </c>
      <c r="C1607" s="21">
        <v>46221</v>
      </c>
      <c r="D1607" s="22" t="str">
        <f t="array" ref="D1607">IFERROR(INDEX('Kode Outlet dan Target Toko'!$A:$A,MATCH($I1607,'Kode Outlet dan Target Toko'!$E:$E,0)),"")</f>
        <v>GRSM 4</v>
      </c>
      <c r="E1607" s="20" t="str">
        <f>IFERROR(VLOOKUP(I1607,KET!$B:$F,4,0),"")</f>
        <v>FAHMI LUKMANUL HAKIM</v>
      </c>
      <c r="F1607" s="20" t="str">
        <f>IFERROR(VLOOKUP(I1607,KET!$B:$F,5,0),"")</f>
        <v>GMM</v>
      </c>
      <c r="G1607" s="20">
        <f>IFERROR(INDEX('Kode Outlet dan Target Toko'!$C:$C,MATCH($I1607,'Kode Outlet dan Target Toko'!$E:$E,0)),0)</f>
        <v>189901</v>
      </c>
      <c r="H1607" s="20">
        <f>IFERROR(INDEX('Kode Outlet dan Target Toko'!$D:$D,MATCH($I1607,'Kode Outlet dan Target Toko'!$E:$E,0)),0)</f>
        <v>1602016</v>
      </c>
      <c r="I1607" s="42" t="s">
        <v>35</v>
      </c>
      <c r="J1607" s="56" t="s">
        <v>173</v>
      </c>
      <c r="K1607" s="40" t="s">
        <v>15</v>
      </c>
      <c r="L1607" s="26">
        <v>3400</v>
      </c>
      <c r="M1607" s="26">
        <v>90</v>
      </c>
      <c r="N1607" s="25">
        <f t="shared" ref="N1607:N1670" si="51">IFERROR(M1607*L1607,"")</f>
        <v>306000</v>
      </c>
      <c r="O1607" s="56"/>
    </row>
    <row r="1608" spans="1:15" hidden="1" x14ac:dyDescent="0.3">
      <c r="A1608" s="26">
        <v>29</v>
      </c>
      <c r="B1608" s="20" t="str">
        <f t="shared" si="50"/>
        <v>JUL</v>
      </c>
      <c r="C1608" s="21">
        <v>46221</v>
      </c>
      <c r="D1608" s="22" t="str">
        <f t="array" ref="D1608">IFERROR(INDEX('Kode Outlet dan Target Toko'!$A:$A,MATCH($I1608,'Kode Outlet dan Target Toko'!$E:$E,0)),"")</f>
        <v>GRSM 4</v>
      </c>
      <c r="E1608" s="20" t="str">
        <f>IFERROR(VLOOKUP(I1608,KET!$B:$F,4,0),"")</f>
        <v>FAHMI LUKMANUL HAKIM</v>
      </c>
      <c r="F1608" s="20" t="str">
        <f>IFERROR(VLOOKUP(I1608,KET!$B:$F,5,0),"")</f>
        <v>GMM</v>
      </c>
      <c r="G1608" s="20">
        <f>IFERROR(INDEX('Kode Outlet dan Target Toko'!$C:$C,MATCH($I1608,'Kode Outlet dan Target Toko'!$E:$E,0)),0)</f>
        <v>189901</v>
      </c>
      <c r="H1608" s="20">
        <f>IFERROR(INDEX('Kode Outlet dan Target Toko'!$D:$D,MATCH($I1608,'Kode Outlet dan Target Toko'!$E:$E,0)),0)</f>
        <v>1602016</v>
      </c>
      <c r="I1608" s="42" t="s">
        <v>35</v>
      </c>
      <c r="J1608" s="56" t="s">
        <v>173</v>
      </c>
      <c r="K1608" s="40" t="s">
        <v>14</v>
      </c>
      <c r="L1608" s="26">
        <v>3400</v>
      </c>
      <c r="M1608" s="26">
        <v>110</v>
      </c>
      <c r="N1608" s="25">
        <f t="shared" si="51"/>
        <v>374000</v>
      </c>
      <c r="O1608" s="56"/>
    </row>
    <row r="1609" spans="1:15" hidden="1" x14ac:dyDescent="0.3">
      <c r="A1609" s="26">
        <v>29</v>
      </c>
      <c r="B1609" s="20" t="str">
        <f t="shared" si="50"/>
        <v>JUL</v>
      </c>
      <c r="C1609" s="21">
        <v>46221</v>
      </c>
      <c r="D1609" s="22" t="str">
        <f t="array" ref="D1609">IFERROR(INDEX('Kode Outlet dan Target Toko'!$A:$A,MATCH($I1609,'Kode Outlet dan Target Toko'!$E:$E,0)),"")</f>
        <v>GRSM 4</v>
      </c>
      <c r="E1609" s="20" t="str">
        <f>IFERROR(VLOOKUP(I1609,KET!$B:$F,4,0),"")</f>
        <v>FAHMI LUKMANUL HAKIM</v>
      </c>
      <c r="F1609" s="20" t="str">
        <f>IFERROR(VLOOKUP(I1609,KET!$B:$F,5,0),"")</f>
        <v>GMM</v>
      </c>
      <c r="G1609" s="20">
        <f>IFERROR(INDEX('Kode Outlet dan Target Toko'!$C:$C,MATCH($I1609,'Kode Outlet dan Target Toko'!$E:$E,0)),0)</f>
        <v>189901</v>
      </c>
      <c r="H1609" s="20">
        <f>IFERROR(INDEX('Kode Outlet dan Target Toko'!$D:$D,MATCH($I1609,'Kode Outlet dan Target Toko'!$E:$E,0)),0)</f>
        <v>1602016</v>
      </c>
      <c r="I1609" s="42" t="s">
        <v>35</v>
      </c>
      <c r="J1609" s="56" t="s">
        <v>173</v>
      </c>
      <c r="K1609" s="40" t="s">
        <v>13</v>
      </c>
      <c r="L1609" s="26">
        <v>3400</v>
      </c>
      <c r="M1609" s="26">
        <v>80</v>
      </c>
      <c r="N1609" s="25">
        <f t="shared" si="51"/>
        <v>272000</v>
      </c>
      <c r="O1609" s="56"/>
    </row>
    <row r="1610" spans="1:15" hidden="1" x14ac:dyDescent="0.3">
      <c r="A1610" s="26">
        <v>29</v>
      </c>
      <c r="B1610" s="20" t="str">
        <f t="shared" si="50"/>
        <v>JUL</v>
      </c>
      <c r="C1610" s="21">
        <v>46221</v>
      </c>
      <c r="D1610" s="22" t="str">
        <f t="array" ref="D1610">IFERROR(INDEX('Kode Outlet dan Target Toko'!$A:$A,MATCH($I1610,'Kode Outlet dan Target Toko'!$E:$E,0)),"")</f>
        <v>GRSM 4</v>
      </c>
      <c r="E1610" s="20" t="str">
        <f>IFERROR(VLOOKUP(I1610,KET!$B:$F,4,0),"")</f>
        <v>FAHMI LUKMANUL HAKIM</v>
      </c>
      <c r="F1610" s="20" t="str">
        <f>IFERROR(VLOOKUP(I1610,KET!$B:$F,5,0),"")</f>
        <v>GMM</v>
      </c>
      <c r="G1610" s="20">
        <f>IFERROR(INDEX('Kode Outlet dan Target Toko'!$C:$C,MATCH($I1610,'Kode Outlet dan Target Toko'!$E:$E,0)),0)</f>
        <v>189901</v>
      </c>
      <c r="H1610" s="20">
        <f>IFERROR(INDEX('Kode Outlet dan Target Toko'!$D:$D,MATCH($I1610,'Kode Outlet dan Target Toko'!$E:$E,0)),0)</f>
        <v>1602016</v>
      </c>
      <c r="I1610" s="42" t="s">
        <v>35</v>
      </c>
      <c r="J1610" s="56" t="s">
        <v>173</v>
      </c>
      <c r="K1610" s="40" t="s">
        <v>16</v>
      </c>
      <c r="L1610" s="26">
        <v>3400</v>
      </c>
      <c r="M1610" s="26">
        <v>140</v>
      </c>
      <c r="N1610" s="25">
        <f t="shared" si="51"/>
        <v>476000</v>
      </c>
      <c r="O1610" s="56">
        <v>160</v>
      </c>
    </row>
    <row r="1611" spans="1:15" hidden="1" x14ac:dyDescent="0.3">
      <c r="A1611" s="26">
        <v>29</v>
      </c>
      <c r="B1611" s="20" t="str">
        <f t="shared" si="50"/>
        <v>JUL</v>
      </c>
      <c r="C1611" s="21">
        <v>46221</v>
      </c>
      <c r="D1611" s="22" t="str">
        <f t="array" ref="D1611">IFERROR(INDEX('Kode Outlet dan Target Toko'!$A:$A,MATCH($I1611,'Kode Outlet dan Target Toko'!$E:$E,0)),"")</f>
        <v>GRSM 4</v>
      </c>
      <c r="E1611" s="20" t="str">
        <f>IFERROR(VLOOKUP(I1611,KET!$B:$F,4,0),"")</f>
        <v>FAHMI LUKMANUL HAKIM</v>
      </c>
      <c r="F1611" s="20" t="str">
        <f>IFERROR(VLOOKUP(I1611,KET!$B:$F,5,0),"")</f>
        <v>GMM</v>
      </c>
      <c r="G1611" s="20">
        <f>IFERROR(INDEX('Kode Outlet dan Target Toko'!$C:$C,MATCH($I1611,'Kode Outlet dan Target Toko'!$E:$E,0)),0)</f>
        <v>189901</v>
      </c>
      <c r="H1611" s="20">
        <f>IFERROR(INDEX('Kode Outlet dan Target Toko'!$D:$D,MATCH($I1611,'Kode Outlet dan Target Toko'!$E:$E,0)),0)</f>
        <v>1602016</v>
      </c>
      <c r="I1611" s="42" t="s">
        <v>35</v>
      </c>
      <c r="J1611" s="56" t="s">
        <v>172</v>
      </c>
      <c r="K1611" s="40" t="s">
        <v>15</v>
      </c>
      <c r="L1611" s="26">
        <v>3400</v>
      </c>
      <c r="M1611" s="26">
        <v>90</v>
      </c>
      <c r="N1611" s="25">
        <f t="shared" si="51"/>
        <v>306000</v>
      </c>
      <c r="O1611" s="56"/>
    </row>
    <row r="1612" spans="1:15" hidden="1" x14ac:dyDescent="0.3">
      <c r="A1612" s="26">
        <v>29</v>
      </c>
      <c r="B1612" s="20" t="str">
        <f t="shared" si="50"/>
        <v>JUL</v>
      </c>
      <c r="C1612" s="21">
        <v>46221</v>
      </c>
      <c r="D1612" s="22" t="str">
        <f t="array" ref="D1612">IFERROR(INDEX('Kode Outlet dan Target Toko'!$A:$A,MATCH($I1612,'Kode Outlet dan Target Toko'!$E:$E,0)),"")</f>
        <v>GRSM 4</v>
      </c>
      <c r="E1612" s="20" t="str">
        <f>IFERROR(VLOOKUP(I1612,KET!$B:$F,4,0),"")</f>
        <v>FAHMI LUKMANUL HAKIM</v>
      </c>
      <c r="F1612" s="20" t="str">
        <f>IFERROR(VLOOKUP(I1612,KET!$B:$F,5,0),"")</f>
        <v>GMM</v>
      </c>
      <c r="G1612" s="20">
        <f>IFERROR(INDEX('Kode Outlet dan Target Toko'!$C:$C,MATCH($I1612,'Kode Outlet dan Target Toko'!$E:$E,0)),0)</f>
        <v>189901</v>
      </c>
      <c r="H1612" s="20">
        <f>IFERROR(INDEX('Kode Outlet dan Target Toko'!$D:$D,MATCH($I1612,'Kode Outlet dan Target Toko'!$E:$E,0)),0)</f>
        <v>1602016</v>
      </c>
      <c r="I1612" s="42" t="s">
        <v>35</v>
      </c>
      <c r="J1612" s="56" t="s">
        <v>172</v>
      </c>
      <c r="K1612" s="40" t="s">
        <v>14</v>
      </c>
      <c r="L1612" s="26">
        <v>3400</v>
      </c>
      <c r="M1612" s="26">
        <v>110</v>
      </c>
      <c r="N1612" s="25">
        <f t="shared" si="51"/>
        <v>374000</v>
      </c>
      <c r="O1612" s="56"/>
    </row>
    <row r="1613" spans="1:15" hidden="1" x14ac:dyDescent="0.3">
      <c r="A1613" s="26">
        <v>29</v>
      </c>
      <c r="B1613" s="20" t="str">
        <f t="shared" si="50"/>
        <v>JUL</v>
      </c>
      <c r="C1613" s="21">
        <v>46221</v>
      </c>
      <c r="D1613" s="22" t="str">
        <f t="array" ref="D1613">IFERROR(INDEX('Kode Outlet dan Target Toko'!$A:$A,MATCH($I1613,'Kode Outlet dan Target Toko'!$E:$E,0)),"")</f>
        <v>GRSM 4</v>
      </c>
      <c r="E1613" s="20" t="str">
        <f>IFERROR(VLOOKUP(I1613,KET!$B:$F,4,0),"")</f>
        <v>FAHMI LUKMANUL HAKIM</v>
      </c>
      <c r="F1613" s="20" t="str">
        <f>IFERROR(VLOOKUP(I1613,KET!$B:$F,5,0),"")</f>
        <v>GMM</v>
      </c>
      <c r="G1613" s="20">
        <f>IFERROR(INDEX('Kode Outlet dan Target Toko'!$C:$C,MATCH($I1613,'Kode Outlet dan Target Toko'!$E:$E,0)),0)</f>
        <v>189901</v>
      </c>
      <c r="H1613" s="20">
        <f>IFERROR(INDEX('Kode Outlet dan Target Toko'!$D:$D,MATCH($I1613,'Kode Outlet dan Target Toko'!$E:$E,0)),0)</f>
        <v>1602016</v>
      </c>
      <c r="I1613" s="42" t="s">
        <v>35</v>
      </c>
      <c r="J1613" s="56" t="s">
        <v>172</v>
      </c>
      <c r="K1613" s="40" t="s">
        <v>13</v>
      </c>
      <c r="L1613" s="26">
        <v>3400</v>
      </c>
      <c r="M1613" s="26">
        <v>80</v>
      </c>
      <c r="N1613" s="25">
        <f t="shared" si="51"/>
        <v>272000</v>
      </c>
      <c r="O1613" s="56"/>
    </row>
    <row r="1614" spans="1:15" hidden="1" x14ac:dyDescent="0.3">
      <c r="A1614" s="26">
        <v>29</v>
      </c>
      <c r="B1614" s="20" t="str">
        <f t="shared" si="50"/>
        <v>JUL</v>
      </c>
      <c r="C1614" s="21">
        <v>46221</v>
      </c>
      <c r="D1614" s="22" t="str">
        <f t="array" ref="D1614">IFERROR(INDEX('Kode Outlet dan Target Toko'!$A:$A,MATCH($I1614,'Kode Outlet dan Target Toko'!$E:$E,0)),"")</f>
        <v>GRSM 4</v>
      </c>
      <c r="E1614" s="20" t="str">
        <f>IFERROR(VLOOKUP(I1614,KET!$B:$F,4,0),"")</f>
        <v>FAHMI LUKMANUL HAKIM</v>
      </c>
      <c r="F1614" s="20" t="str">
        <f>IFERROR(VLOOKUP(I1614,KET!$B:$F,5,0),"")</f>
        <v>GMM</v>
      </c>
      <c r="G1614" s="20">
        <f>IFERROR(INDEX('Kode Outlet dan Target Toko'!$C:$C,MATCH($I1614,'Kode Outlet dan Target Toko'!$E:$E,0)),0)</f>
        <v>189901</v>
      </c>
      <c r="H1614" s="20">
        <f>IFERROR(INDEX('Kode Outlet dan Target Toko'!$D:$D,MATCH($I1614,'Kode Outlet dan Target Toko'!$E:$E,0)),0)</f>
        <v>1602016</v>
      </c>
      <c r="I1614" s="42" t="s">
        <v>35</v>
      </c>
      <c r="J1614" s="56" t="s">
        <v>172</v>
      </c>
      <c r="K1614" s="40" t="s">
        <v>16</v>
      </c>
      <c r="L1614" s="26">
        <v>3400</v>
      </c>
      <c r="M1614" s="26">
        <v>140</v>
      </c>
      <c r="N1614" s="25">
        <f t="shared" si="51"/>
        <v>476000</v>
      </c>
      <c r="O1614" s="56">
        <v>160</v>
      </c>
    </row>
    <row r="1615" spans="1:15" hidden="1" x14ac:dyDescent="0.3">
      <c r="A1615" s="26">
        <v>29</v>
      </c>
      <c r="B1615" s="20" t="str">
        <f t="shared" si="50"/>
        <v>JUL</v>
      </c>
      <c r="C1615" s="21">
        <v>46222</v>
      </c>
      <c r="D1615" s="22" t="str">
        <f t="array" ref="D1615">IFERROR(INDEX('Kode Outlet dan Target Toko'!$A:$A,MATCH($I1615,'Kode Outlet dan Target Toko'!$E:$E,0)),"")</f>
        <v>GRSM 4</v>
      </c>
      <c r="E1615" s="20" t="str">
        <f>IFERROR(VLOOKUP(I1615,KET!$B:$F,4,0),"")</f>
        <v>FAHMI LUKMANUL HAKIM</v>
      </c>
      <c r="F1615" s="20" t="str">
        <f>IFERROR(VLOOKUP(I1615,KET!$B:$F,5,0),"")</f>
        <v>GMM</v>
      </c>
      <c r="G1615" s="20">
        <f>IFERROR(INDEX('Kode Outlet dan Target Toko'!$C:$C,MATCH($I1615,'Kode Outlet dan Target Toko'!$E:$E,0)),0)</f>
        <v>189901</v>
      </c>
      <c r="H1615" s="20">
        <f>IFERROR(INDEX('Kode Outlet dan Target Toko'!$D:$D,MATCH($I1615,'Kode Outlet dan Target Toko'!$E:$E,0)),0)</f>
        <v>1602016</v>
      </c>
      <c r="I1615" s="42" t="s">
        <v>35</v>
      </c>
      <c r="J1615" s="56" t="s">
        <v>173</v>
      </c>
      <c r="K1615" s="40" t="s">
        <v>15</v>
      </c>
      <c r="L1615" s="26">
        <v>3400</v>
      </c>
      <c r="M1615" s="26">
        <v>200</v>
      </c>
      <c r="N1615" s="25">
        <f t="shared" si="51"/>
        <v>680000</v>
      </c>
      <c r="O1615" s="56"/>
    </row>
    <row r="1616" spans="1:15" hidden="1" x14ac:dyDescent="0.3">
      <c r="A1616" s="26">
        <v>29</v>
      </c>
      <c r="B1616" s="20" t="str">
        <f t="shared" si="50"/>
        <v>JUL</v>
      </c>
      <c r="C1616" s="21">
        <v>46222</v>
      </c>
      <c r="D1616" s="22" t="str">
        <f t="array" ref="D1616">IFERROR(INDEX('Kode Outlet dan Target Toko'!$A:$A,MATCH($I1616,'Kode Outlet dan Target Toko'!$E:$E,0)),"")</f>
        <v>GRSM 4</v>
      </c>
      <c r="E1616" s="20" t="str">
        <f>IFERROR(VLOOKUP(I1616,KET!$B:$F,4,0),"")</f>
        <v>FAHMI LUKMANUL HAKIM</v>
      </c>
      <c r="F1616" s="20" t="str">
        <f>IFERROR(VLOOKUP(I1616,KET!$B:$F,5,0),"")</f>
        <v>GMM</v>
      </c>
      <c r="G1616" s="20">
        <f>IFERROR(INDEX('Kode Outlet dan Target Toko'!$C:$C,MATCH($I1616,'Kode Outlet dan Target Toko'!$E:$E,0)),0)</f>
        <v>189901</v>
      </c>
      <c r="H1616" s="20">
        <f>IFERROR(INDEX('Kode Outlet dan Target Toko'!$D:$D,MATCH($I1616,'Kode Outlet dan Target Toko'!$E:$E,0)),0)</f>
        <v>1602016</v>
      </c>
      <c r="I1616" s="42" t="s">
        <v>35</v>
      </c>
      <c r="J1616" s="56" t="s">
        <v>173</v>
      </c>
      <c r="K1616" s="40" t="s">
        <v>14</v>
      </c>
      <c r="L1616" s="26">
        <v>3400</v>
      </c>
      <c r="M1616" s="26">
        <v>210</v>
      </c>
      <c r="N1616" s="25">
        <f t="shared" si="51"/>
        <v>714000</v>
      </c>
      <c r="O1616" s="56"/>
    </row>
    <row r="1617" spans="1:15" hidden="1" x14ac:dyDescent="0.3">
      <c r="A1617" s="26">
        <v>29</v>
      </c>
      <c r="B1617" s="20" t="str">
        <f t="shared" si="50"/>
        <v>JUL</v>
      </c>
      <c r="C1617" s="21">
        <v>46222</v>
      </c>
      <c r="D1617" s="22" t="str">
        <f t="array" ref="D1617">IFERROR(INDEX('Kode Outlet dan Target Toko'!$A:$A,MATCH($I1617,'Kode Outlet dan Target Toko'!$E:$E,0)),"")</f>
        <v>GRSM 4</v>
      </c>
      <c r="E1617" s="20" t="str">
        <f>IFERROR(VLOOKUP(I1617,KET!$B:$F,4,0),"")</f>
        <v>FAHMI LUKMANUL HAKIM</v>
      </c>
      <c r="F1617" s="20" t="str">
        <f>IFERROR(VLOOKUP(I1617,KET!$B:$F,5,0),"")</f>
        <v>GMM</v>
      </c>
      <c r="G1617" s="20">
        <f>IFERROR(INDEX('Kode Outlet dan Target Toko'!$C:$C,MATCH($I1617,'Kode Outlet dan Target Toko'!$E:$E,0)),0)</f>
        <v>189901</v>
      </c>
      <c r="H1617" s="20">
        <f>IFERROR(INDEX('Kode Outlet dan Target Toko'!$D:$D,MATCH($I1617,'Kode Outlet dan Target Toko'!$E:$E,0)),0)</f>
        <v>1602016</v>
      </c>
      <c r="I1617" s="42" t="s">
        <v>35</v>
      </c>
      <c r="J1617" s="56" t="s">
        <v>173</v>
      </c>
      <c r="K1617" s="40" t="s">
        <v>13</v>
      </c>
      <c r="L1617" s="26">
        <v>3400</v>
      </c>
      <c r="M1617" s="26">
        <v>180</v>
      </c>
      <c r="N1617" s="25">
        <f t="shared" si="51"/>
        <v>612000</v>
      </c>
      <c r="O1617" s="56"/>
    </row>
    <row r="1618" spans="1:15" hidden="1" x14ac:dyDescent="0.3">
      <c r="A1618" s="26">
        <v>29</v>
      </c>
      <c r="B1618" s="20" t="str">
        <f t="shared" si="50"/>
        <v>JUL</v>
      </c>
      <c r="C1618" s="21">
        <v>46222</v>
      </c>
      <c r="D1618" s="22" t="str">
        <f t="array" ref="D1618">IFERROR(INDEX('Kode Outlet dan Target Toko'!$A:$A,MATCH($I1618,'Kode Outlet dan Target Toko'!$E:$E,0)),"")</f>
        <v>GRSM 4</v>
      </c>
      <c r="E1618" s="20" t="str">
        <f>IFERROR(VLOOKUP(I1618,KET!$B:$F,4,0),"")</f>
        <v>FAHMI LUKMANUL HAKIM</v>
      </c>
      <c r="F1618" s="20" t="str">
        <f>IFERROR(VLOOKUP(I1618,KET!$B:$F,5,0),"")</f>
        <v>GMM</v>
      </c>
      <c r="G1618" s="20">
        <f>IFERROR(INDEX('Kode Outlet dan Target Toko'!$C:$C,MATCH($I1618,'Kode Outlet dan Target Toko'!$E:$E,0)),0)</f>
        <v>189901</v>
      </c>
      <c r="H1618" s="20">
        <f>IFERROR(INDEX('Kode Outlet dan Target Toko'!$D:$D,MATCH($I1618,'Kode Outlet dan Target Toko'!$E:$E,0)),0)</f>
        <v>1602016</v>
      </c>
      <c r="I1618" s="42" t="s">
        <v>35</v>
      </c>
      <c r="J1618" s="56" t="s">
        <v>173</v>
      </c>
      <c r="K1618" s="40" t="s">
        <v>16</v>
      </c>
      <c r="L1618" s="26">
        <v>3400</v>
      </c>
      <c r="M1618" s="26">
        <v>360</v>
      </c>
      <c r="N1618" s="25">
        <f t="shared" si="51"/>
        <v>1224000</v>
      </c>
      <c r="O1618" s="56">
        <v>160</v>
      </c>
    </row>
    <row r="1619" spans="1:15" hidden="1" x14ac:dyDescent="0.3">
      <c r="A1619" s="26">
        <v>29</v>
      </c>
      <c r="B1619" s="20" t="str">
        <f t="shared" si="50"/>
        <v>JUL</v>
      </c>
      <c r="C1619" s="21">
        <v>46222</v>
      </c>
      <c r="D1619" s="22" t="str">
        <f t="array" ref="D1619">IFERROR(INDEX('Kode Outlet dan Target Toko'!$A:$A,MATCH($I1619,'Kode Outlet dan Target Toko'!$E:$E,0)),"")</f>
        <v>GRSM 4</v>
      </c>
      <c r="E1619" s="20" t="str">
        <f>IFERROR(VLOOKUP(I1619,KET!$B:$F,4,0),"")</f>
        <v>FAHMI LUKMANUL HAKIM</v>
      </c>
      <c r="F1619" s="20" t="str">
        <f>IFERROR(VLOOKUP(I1619,KET!$B:$F,5,0),"")</f>
        <v>GMM</v>
      </c>
      <c r="G1619" s="20">
        <f>IFERROR(INDEX('Kode Outlet dan Target Toko'!$C:$C,MATCH($I1619,'Kode Outlet dan Target Toko'!$E:$E,0)),0)</f>
        <v>189901</v>
      </c>
      <c r="H1619" s="20">
        <f>IFERROR(INDEX('Kode Outlet dan Target Toko'!$D:$D,MATCH($I1619,'Kode Outlet dan Target Toko'!$E:$E,0)),0)</f>
        <v>1602057</v>
      </c>
      <c r="I1619" s="42" t="s">
        <v>68</v>
      </c>
      <c r="J1619" s="27" t="s">
        <v>174</v>
      </c>
      <c r="K1619" s="40" t="s">
        <v>15</v>
      </c>
      <c r="L1619" s="26">
        <v>2150</v>
      </c>
      <c r="M1619" s="26">
        <v>107</v>
      </c>
      <c r="N1619" s="25">
        <f t="shared" si="51"/>
        <v>230050</v>
      </c>
      <c r="O1619" s="56"/>
    </row>
    <row r="1620" spans="1:15" hidden="1" x14ac:dyDescent="0.3">
      <c r="A1620" s="26">
        <v>29</v>
      </c>
      <c r="B1620" s="20" t="str">
        <f t="shared" si="50"/>
        <v>JUL</v>
      </c>
      <c r="C1620" s="21">
        <v>46222</v>
      </c>
      <c r="D1620" s="22" t="str">
        <f t="array" ref="D1620">IFERROR(INDEX('Kode Outlet dan Target Toko'!$A:$A,MATCH($I1620,'Kode Outlet dan Target Toko'!$E:$E,0)),"")</f>
        <v>GRSM 4</v>
      </c>
      <c r="E1620" s="20" t="str">
        <f>IFERROR(VLOOKUP(I1620,KET!$B:$F,4,0),"")</f>
        <v>FAHMI LUKMANUL HAKIM</v>
      </c>
      <c r="F1620" s="20" t="str">
        <f>IFERROR(VLOOKUP(I1620,KET!$B:$F,5,0),"")</f>
        <v>GMM</v>
      </c>
      <c r="G1620" s="20">
        <f>IFERROR(INDEX('Kode Outlet dan Target Toko'!$C:$C,MATCH($I1620,'Kode Outlet dan Target Toko'!$E:$E,0)),0)</f>
        <v>189901</v>
      </c>
      <c r="H1620" s="20">
        <f>IFERROR(INDEX('Kode Outlet dan Target Toko'!$D:$D,MATCH($I1620,'Kode Outlet dan Target Toko'!$E:$E,0)),0)</f>
        <v>1602057</v>
      </c>
      <c r="I1620" s="42" t="s">
        <v>68</v>
      </c>
      <c r="J1620" s="27" t="s">
        <v>174</v>
      </c>
      <c r="K1620" s="40" t="s">
        <v>14</v>
      </c>
      <c r="L1620" s="26">
        <v>2150</v>
      </c>
      <c r="M1620" s="26">
        <v>102</v>
      </c>
      <c r="N1620" s="25">
        <f t="shared" si="51"/>
        <v>219300</v>
      </c>
      <c r="O1620" s="56"/>
    </row>
    <row r="1621" spans="1:15" hidden="1" x14ac:dyDescent="0.3">
      <c r="A1621" s="26">
        <v>29</v>
      </c>
      <c r="B1621" s="20" t="str">
        <f t="shared" si="50"/>
        <v>JUL</v>
      </c>
      <c r="C1621" s="21">
        <v>46222</v>
      </c>
      <c r="D1621" s="22" t="str">
        <f t="array" ref="D1621">IFERROR(INDEX('Kode Outlet dan Target Toko'!$A:$A,MATCH($I1621,'Kode Outlet dan Target Toko'!$E:$E,0)),"")</f>
        <v>GRSM 4</v>
      </c>
      <c r="E1621" s="20" t="str">
        <f>IFERROR(VLOOKUP(I1621,KET!$B:$F,4,0),"")</f>
        <v>FAHMI LUKMANUL HAKIM</v>
      </c>
      <c r="F1621" s="20" t="str">
        <f>IFERROR(VLOOKUP(I1621,KET!$B:$F,5,0),"")</f>
        <v>GMM</v>
      </c>
      <c r="G1621" s="20">
        <f>IFERROR(INDEX('Kode Outlet dan Target Toko'!$C:$C,MATCH($I1621,'Kode Outlet dan Target Toko'!$E:$E,0)),0)</f>
        <v>189901</v>
      </c>
      <c r="H1621" s="20">
        <f>IFERROR(INDEX('Kode Outlet dan Target Toko'!$D:$D,MATCH($I1621,'Kode Outlet dan Target Toko'!$E:$E,0)),0)</f>
        <v>1602057</v>
      </c>
      <c r="I1621" s="42" t="s">
        <v>68</v>
      </c>
      <c r="J1621" s="27" t="s">
        <v>174</v>
      </c>
      <c r="K1621" s="40" t="s">
        <v>13</v>
      </c>
      <c r="L1621" s="26">
        <v>2150</v>
      </c>
      <c r="M1621" s="26">
        <v>106</v>
      </c>
      <c r="N1621" s="25">
        <f t="shared" si="51"/>
        <v>227900</v>
      </c>
      <c r="O1621" s="56"/>
    </row>
    <row r="1622" spans="1:15" hidden="1" x14ac:dyDescent="0.3">
      <c r="A1622" s="26">
        <v>29</v>
      </c>
      <c r="B1622" s="20" t="str">
        <f t="shared" si="50"/>
        <v>JUL</v>
      </c>
      <c r="C1622" s="21">
        <v>46222</v>
      </c>
      <c r="D1622" s="22" t="str">
        <f t="array" ref="D1622">IFERROR(INDEX('Kode Outlet dan Target Toko'!$A:$A,MATCH($I1622,'Kode Outlet dan Target Toko'!$E:$E,0)),"")</f>
        <v>GRSM 4</v>
      </c>
      <c r="E1622" s="20" t="str">
        <f>IFERROR(VLOOKUP(I1622,KET!$B:$F,4,0),"")</f>
        <v>FAHMI LUKMANUL HAKIM</v>
      </c>
      <c r="F1622" s="20" t="str">
        <f>IFERROR(VLOOKUP(I1622,KET!$B:$F,5,0),"")</f>
        <v>GMM</v>
      </c>
      <c r="G1622" s="20">
        <f>IFERROR(INDEX('Kode Outlet dan Target Toko'!$C:$C,MATCH($I1622,'Kode Outlet dan Target Toko'!$E:$E,0)),0)</f>
        <v>189901</v>
      </c>
      <c r="H1622" s="20">
        <f>IFERROR(INDEX('Kode Outlet dan Target Toko'!$D:$D,MATCH($I1622,'Kode Outlet dan Target Toko'!$E:$E,0)),0)</f>
        <v>1602057</v>
      </c>
      <c r="I1622" s="42" t="s">
        <v>68</v>
      </c>
      <c r="J1622" s="27" t="s">
        <v>174</v>
      </c>
      <c r="K1622" s="40" t="s">
        <v>16</v>
      </c>
      <c r="L1622" s="26">
        <v>2000</v>
      </c>
      <c r="M1622" s="26">
        <v>191</v>
      </c>
      <c r="N1622" s="25">
        <f t="shared" si="51"/>
        <v>382000</v>
      </c>
      <c r="O1622" s="56">
        <v>160</v>
      </c>
    </row>
    <row r="1623" spans="1:15" hidden="1" x14ac:dyDescent="0.3">
      <c r="A1623" s="26">
        <v>29</v>
      </c>
      <c r="B1623" s="20" t="str">
        <f t="shared" si="50"/>
        <v>JUL</v>
      </c>
      <c r="C1623" s="21">
        <v>46222</v>
      </c>
      <c r="D1623" s="22" t="str">
        <f t="array" ref="D1623">IFERROR(INDEX('Kode Outlet dan Target Toko'!$A:$A,MATCH($I1623,'Kode Outlet dan Target Toko'!$E:$E,0)),"")</f>
        <v>GRSM 4</v>
      </c>
      <c r="E1623" s="20" t="str">
        <f>IFERROR(VLOOKUP(I1623,KET!$B:$F,4,0),"")</f>
        <v>FAHMI LUKMANUL HAKIM</v>
      </c>
      <c r="F1623" s="20" t="str">
        <f>IFERROR(VLOOKUP(I1623,KET!$B:$F,5,0),"")</f>
        <v>GMM</v>
      </c>
      <c r="G1623" s="20">
        <f>IFERROR(INDEX('Kode Outlet dan Target Toko'!$C:$C,MATCH($I1623,'Kode Outlet dan Target Toko'!$E:$E,0)),0)</f>
        <v>189901</v>
      </c>
      <c r="H1623" s="20">
        <f>IFERROR(INDEX('Kode Outlet dan Target Toko'!$D:$D,MATCH($I1623,'Kode Outlet dan Target Toko'!$E:$E,0)),0)</f>
        <v>1602057</v>
      </c>
      <c r="I1623" s="42" t="s">
        <v>68</v>
      </c>
      <c r="J1623" s="56" t="s">
        <v>175</v>
      </c>
      <c r="K1623" s="40" t="s">
        <v>15</v>
      </c>
      <c r="L1623" s="26">
        <v>2150</v>
      </c>
      <c r="M1623" s="26">
        <v>115</v>
      </c>
      <c r="N1623" s="25">
        <f t="shared" si="51"/>
        <v>247250</v>
      </c>
      <c r="O1623" s="56"/>
    </row>
    <row r="1624" spans="1:15" hidden="1" x14ac:dyDescent="0.3">
      <c r="A1624" s="26">
        <v>29</v>
      </c>
      <c r="B1624" s="20" t="str">
        <f t="shared" si="50"/>
        <v>JUL</v>
      </c>
      <c r="C1624" s="21">
        <v>46222</v>
      </c>
      <c r="D1624" s="22" t="str">
        <f t="array" ref="D1624">IFERROR(INDEX('Kode Outlet dan Target Toko'!$A:$A,MATCH($I1624,'Kode Outlet dan Target Toko'!$E:$E,0)),"")</f>
        <v>GRSM 4</v>
      </c>
      <c r="E1624" s="20" t="str">
        <f>IFERROR(VLOOKUP(I1624,KET!$B:$F,4,0),"")</f>
        <v>FAHMI LUKMANUL HAKIM</v>
      </c>
      <c r="F1624" s="20" t="str">
        <f>IFERROR(VLOOKUP(I1624,KET!$B:$F,5,0),"")</f>
        <v>GMM</v>
      </c>
      <c r="G1624" s="20">
        <f>IFERROR(INDEX('Kode Outlet dan Target Toko'!$C:$C,MATCH($I1624,'Kode Outlet dan Target Toko'!$E:$E,0)),0)</f>
        <v>189901</v>
      </c>
      <c r="H1624" s="20">
        <f>IFERROR(INDEX('Kode Outlet dan Target Toko'!$D:$D,MATCH($I1624,'Kode Outlet dan Target Toko'!$E:$E,0)),0)</f>
        <v>1602057</v>
      </c>
      <c r="I1624" s="42" t="s">
        <v>68</v>
      </c>
      <c r="J1624" s="56" t="s">
        <v>175</v>
      </c>
      <c r="K1624" s="40" t="s">
        <v>14</v>
      </c>
      <c r="L1624" s="26">
        <v>2150</v>
      </c>
      <c r="M1624" s="26">
        <v>108</v>
      </c>
      <c r="N1624" s="25">
        <f t="shared" si="51"/>
        <v>232200</v>
      </c>
      <c r="O1624" s="56"/>
    </row>
    <row r="1625" spans="1:15" hidden="1" x14ac:dyDescent="0.3">
      <c r="A1625" s="26">
        <v>29</v>
      </c>
      <c r="B1625" s="20" t="str">
        <f t="shared" si="50"/>
        <v>JUL</v>
      </c>
      <c r="C1625" s="21">
        <v>46222</v>
      </c>
      <c r="D1625" s="22" t="str">
        <f t="array" ref="D1625">IFERROR(INDEX('Kode Outlet dan Target Toko'!$A:$A,MATCH($I1625,'Kode Outlet dan Target Toko'!$E:$E,0)),"")</f>
        <v>GRSM 4</v>
      </c>
      <c r="E1625" s="20" t="str">
        <f>IFERROR(VLOOKUP(I1625,KET!$B:$F,4,0),"")</f>
        <v>FAHMI LUKMANUL HAKIM</v>
      </c>
      <c r="F1625" s="20" t="str">
        <f>IFERROR(VLOOKUP(I1625,KET!$B:$F,5,0),"")</f>
        <v>GMM</v>
      </c>
      <c r="G1625" s="20">
        <f>IFERROR(INDEX('Kode Outlet dan Target Toko'!$C:$C,MATCH($I1625,'Kode Outlet dan Target Toko'!$E:$E,0)),0)</f>
        <v>189901</v>
      </c>
      <c r="H1625" s="20">
        <f>IFERROR(INDEX('Kode Outlet dan Target Toko'!$D:$D,MATCH($I1625,'Kode Outlet dan Target Toko'!$E:$E,0)),0)</f>
        <v>1602057</v>
      </c>
      <c r="I1625" s="42" t="s">
        <v>68</v>
      </c>
      <c r="J1625" s="56" t="s">
        <v>175</v>
      </c>
      <c r="K1625" s="40" t="s">
        <v>13</v>
      </c>
      <c r="L1625" s="26">
        <v>2150</v>
      </c>
      <c r="M1625" s="26">
        <v>112</v>
      </c>
      <c r="N1625" s="25">
        <f t="shared" si="51"/>
        <v>240800</v>
      </c>
      <c r="O1625" s="56"/>
    </row>
    <row r="1626" spans="1:15" hidden="1" x14ac:dyDescent="0.3">
      <c r="A1626" s="26">
        <v>29</v>
      </c>
      <c r="B1626" s="20" t="str">
        <f t="shared" si="50"/>
        <v>JUL</v>
      </c>
      <c r="C1626" s="21">
        <v>46222</v>
      </c>
      <c r="D1626" s="22" t="str">
        <f t="array" ref="D1626">IFERROR(INDEX('Kode Outlet dan Target Toko'!$A:$A,MATCH($I1626,'Kode Outlet dan Target Toko'!$E:$E,0)),"")</f>
        <v>GRSM 4</v>
      </c>
      <c r="E1626" s="20" t="str">
        <f>IFERROR(VLOOKUP(I1626,KET!$B:$F,4,0),"")</f>
        <v>FAHMI LUKMANUL HAKIM</v>
      </c>
      <c r="F1626" s="20" t="str">
        <f>IFERROR(VLOOKUP(I1626,KET!$B:$F,5,0),"")</f>
        <v>GMM</v>
      </c>
      <c r="G1626" s="20">
        <f>IFERROR(INDEX('Kode Outlet dan Target Toko'!$C:$C,MATCH($I1626,'Kode Outlet dan Target Toko'!$E:$E,0)),0)</f>
        <v>189901</v>
      </c>
      <c r="H1626" s="20">
        <f>IFERROR(INDEX('Kode Outlet dan Target Toko'!$D:$D,MATCH($I1626,'Kode Outlet dan Target Toko'!$E:$E,0)),0)</f>
        <v>1602057</v>
      </c>
      <c r="I1626" s="42" t="s">
        <v>68</v>
      </c>
      <c r="J1626" s="56" t="s">
        <v>175</v>
      </c>
      <c r="K1626" s="40" t="s">
        <v>16</v>
      </c>
      <c r="L1626" s="26">
        <v>2000</v>
      </c>
      <c r="M1626" s="26">
        <v>201</v>
      </c>
      <c r="N1626" s="25">
        <f t="shared" si="51"/>
        <v>402000</v>
      </c>
      <c r="O1626" s="56">
        <v>160</v>
      </c>
    </row>
    <row r="1627" spans="1:15" hidden="1" x14ac:dyDescent="0.3">
      <c r="A1627" s="26">
        <v>29</v>
      </c>
      <c r="B1627" s="20" t="str">
        <f t="shared" si="50"/>
        <v>JUL</v>
      </c>
      <c r="C1627" s="21">
        <v>46222</v>
      </c>
      <c r="D1627" s="22" t="str">
        <f t="array" ref="D1627">IFERROR(INDEX('Kode Outlet dan Target Toko'!$A:$A,MATCH($I1627,'Kode Outlet dan Target Toko'!$E:$E,0)),"")</f>
        <v>GRSM 4</v>
      </c>
      <c r="E1627" s="20" t="str">
        <f>IFERROR(VLOOKUP(I1627,KET!$B:$F,4,0),"")</f>
        <v>FAHMI LUKMANUL HAKIM</v>
      </c>
      <c r="F1627" s="20" t="str">
        <f>IFERROR(VLOOKUP(I1627,KET!$B:$F,5,0),"")</f>
        <v>GMM</v>
      </c>
      <c r="G1627" s="20">
        <f>IFERROR(INDEX('Kode Outlet dan Target Toko'!$C:$C,MATCH($I1627,'Kode Outlet dan Target Toko'!$E:$E,0)),0)</f>
        <v>103257</v>
      </c>
      <c r="H1627" s="20">
        <f>IFERROR(INDEX('Kode Outlet dan Target Toko'!$D:$D,MATCH($I1627,'Kode Outlet dan Target Toko'!$E:$E,0)),0)</f>
        <v>9162509</v>
      </c>
      <c r="I1627" s="42" t="s">
        <v>57</v>
      </c>
      <c r="J1627" s="56" t="s">
        <v>181</v>
      </c>
      <c r="K1627" s="40" t="s">
        <v>15</v>
      </c>
      <c r="L1627" s="26">
        <v>3200</v>
      </c>
      <c r="M1627" s="26">
        <v>90</v>
      </c>
      <c r="N1627" s="25">
        <f t="shared" si="51"/>
        <v>288000</v>
      </c>
      <c r="O1627" s="56"/>
    </row>
    <row r="1628" spans="1:15" hidden="1" x14ac:dyDescent="0.3">
      <c r="A1628" s="26">
        <v>29</v>
      </c>
      <c r="B1628" s="20" t="str">
        <f t="shared" si="50"/>
        <v>JUL</v>
      </c>
      <c r="C1628" s="21">
        <v>46222</v>
      </c>
      <c r="D1628" s="22" t="str">
        <f t="array" ref="D1628">IFERROR(INDEX('Kode Outlet dan Target Toko'!$A:$A,MATCH($I1628,'Kode Outlet dan Target Toko'!$E:$E,0)),"")</f>
        <v>GRSM 4</v>
      </c>
      <c r="E1628" s="20" t="str">
        <f>IFERROR(VLOOKUP(I1628,KET!$B:$F,4,0),"")</f>
        <v>FAHMI LUKMANUL HAKIM</v>
      </c>
      <c r="F1628" s="20" t="str">
        <f>IFERROR(VLOOKUP(I1628,KET!$B:$F,5,0),"")</f>
        <v>GMM</v>
      </c>
      <c r="G1628" s="20">
        <f>IFERROR(INDEX('Kode Outlet dan Target Toko'!$C:$C,MATCH($I1628,'Kode Outlet dan Target Toko'!$E:$E,0)),0)</f>
        <v>103257</v>
      </c>
      <c r="H1628" s="20">
        <f>IFERROR(INDEX('Kode Outlet dan Target Toko'!$D:$D,MATCH($I1628,'Kode Outlet dan Target Toko'!$E:$E,0)),0)</f>
        <v>9162509</v>
      </c>
      <c r="I1628" s="42" t="s">
        <v>57</v>
      </c>
      <c r="J1628" s="56" t="s">
        <v>181</v>
      </c>
      <c r="K1628" s="40" t="s">
        <v>14</v>
      </c>
      <c r="L1628" s="26">
        <v>3200</v>
      </c>
      <c r="M1628" s="26">
        <v>85</v>
      </c>
      <c r="N1628" s="25">
        <f t="shared" si="51"/>
        <v>272000</v>
      </c>
      <c r="O1628" s="56"/>
    </row>
    <row r="1629" spans="1:15" hidden="1" x14ac:dyDescent="0.3">
      <c r="A1629" s="26">
        <v>29</v>
      </c>
      <c r="B1629" s="20" t="str">
        <f t="shared" si="50"/>
        <v>JUL</v>
      </c>
      <c r="C1629" s="21">
        <v>46222</v>
      </c>
      <c r="D1629" s="22" t="str">
        <f t="array" ref="D1629">IFERROR(INDEX('Kode Outlet dan Target Toko'!$A:$A,MATCH($I1629,'Kode Outlet dan Target Toko'!$E:$E,0)),"")</f>
        <v>GRSM 4</v>
      </c>
      <c r="E1629" s="20" t="str">
        <f>IFERROR(VLOOKUP(I1629,KET!$B:$F,4,0),"")</f>
        <v>FAHMI LUKMANUL HAKIM</v>
      </c>
      <c r="F1629" s="20" t="str">
        <f>IFERROR(VLOOKUP(I1629,KET!$B:$F,5,0),"")</f>
        <v>GMM</v>
      </c>
      <c r="G1629" s="20">
        <f>IFERROR(INDEX('Kode Outlet dan Target Toko'!$C:$C,MATCH($I1629,'Kode Outlet dan Target Toko'!$E:$E,0)),0)</f>
        <v>103257</v>
      </c>
      <c r="H1629" s="20">
        <f>IFERROR(INDEX('Kode Outlet dan Target Toko'!$D:$D,MATCH($I1629,'Kode Outlet dan Target Toko'!$E:$E,0)),0)</f>
        <v>9162509</v>
      </c>
      <c r="I1629" s="42" t="s">
        <v>57</v>
      </c>
      <c r="J1629" s="56" t="s">
        <v>181</v>
      </c>
      <c r="K1629" s="40" t="s">
        <v>13</v>
      </c>
      <c r="L1629" s="26">
        <v>3200</v>
      </c>
      <c r="M1629" s="26">
        <v>88</v>
      </c>
      <c r="N1629" s="25">
        <f t="shared" si="51"/>
        <v>281600</v>
      </c>
      <c r="O1629" s="56"/>
    </row>
    <row r="1630" spans="1:15" hidden="1" x14ac:dyDescent="0.3">
      <c r="A1630" s="26">
        <v>29</v>
      </c>
      <c r="B1630" s="20" t="str">
        <f t="shared" si="50"/>
        <v>JUL</v>
      </c>
      <c r="C1630" s="21">
        <v>46222</v>
      </c>
      <c r="D1630" s="22" t="str">
        <f t="array" ref="D1630">IFERROR(INDEX('Kode Outlet dan Target Toko'!$A:$A,MATCH($I1630,'Kode Outlet dan Target Toko'!$E:$E,0)),"")</f>
        <v>GRSM 4</v>
      </c>
      <c r="E1630" s="20" t="str">
        <f>IFERROR(VLOOKUP(I1630,KET!$B:$F,4,0),"")</f>
        <v>FAHMI LUKMANUL HAKIM</v>
      </c>
      <c r="F1630" s="20" t="str">
        <f>IFERROR(VLOOKUP(I1630,KET!$B:$F,5,0),"")</f>
        <v>GMM</v>
      </c>
      <c r="G1630" s="20">
        <f>IFERROR(INDEX('Kode Outlet dan Target Toko'!$C:$C,MATCH($I1630,'Kode Outlet dan Target Toko'!$E:$E,0)),0)</f>
        <v>103257</v>
      </c>
      <c r="H1630" s="20">
        <f>IFERROR(INDEX('Kode Outlet dan Target Toko'!$D:$D,MATCH($I1630,'Kode Outlet dan Target Toko'!$E:$E,0)),0)</f>
        <v>9162509</v>
      </c>
      <c r="I1630" s="42" t="s">
        <v>57</v>
      </c>
      <c r="J1630" s="56" t="s">
        <v>181</v>
      </c>
      <c r="K1630" s="40" t="s">
        <v>16</v>
      </c>
      <c r="L1630" s="26">
        <v>3200</v>
      </c>
      <c r="M1630" s="26">
        <v>97</v>
      </c>
      <c r="N1630" s="25">
        <f t="shared" si="51"/>
        <v>310400</v>
      </c>
      <c r="O1630" s="56">
        <v>160</v>
      </c>
    </row>
    <row r="1631" spans="1:15" hidden="1" x14ac:dyDescent="0.3">
      <c r="A1631" s="26">
        <v>29</v>
      </c>
      <c r="B1631" s="20" t="str">
        <f t="shared" si="50"/>
        <v>JUL</v>
      </c>
      <c r="C1631" s="21">
        <v>46222</v>
      </c>
      <c r="D1631" s="22" t="str">
        <f t="array" ref="D1631">IFERROR(INDEX('Kode Outlet dan Target Toko'!$A:$A,MATCH($I1631,'Kode Outlet dan Target Toko'!$E:$E,0)),"")</f>
        <v>GRSM 4</v>
      </c>
      <c r="E1631" s="20" t="str">
        <f>IFERROR(VLOOKUP(I1631,KET!$B:$F,4,0),"")</f>
        <v>FAHMI LUKMANUL HAKIM</v>
      </c>
      <c r="F1631" s="20" t="str">
        <f>IFERROR(VLOOKUP(I1631,KET!$B:$F,5,0),"")</f>
        <v>GMM</v>
      </c>
      <c r="G1631" s="20">
        <f>IFERROR(INDEX('Kode Outlet dan Target Toko'!$C:$C,MATCH($I1631,'Kode Outlet dan Target Toko'!$E:$E,0)),0)</f>
        <v>189901</v>
      </c>
      <c r="H1631" s="20">
        <f>IFERROR(INDEX('Kode Outlet dan Target Toko'!$D:$D,MATCH($I1631,'Kode Outlet dan Target Toko'!$E:$E,0)),0)</f>
        <v>1602018</v>
      </c>
      <c r="I1631" s="50" t="s">
        <v>34</v>
      </c>
      <c r="J1631" s="56" t="s">
        <v>187</v>
      </c>
      <c r="K1631" s="40" t="s">
        <v>15</v>
      </c>
      <c r="L1631" s="26">
        <v>3500</v>
      </c>
      <c r="M1631" s="26">
        <v>40</v>
      </c>
      <c r="N1631" s="25">
        <f t="shared" si="51"/>
        <v>140000</v>
      </c>
      <c r="O1631" s="56"/>
    </row>
    <row r="1632" spans="1:15" hidden="1" x14ac:dyDescent="0.3">
      <c r="A1632" s="26">
        <v>29</v>
      </c>
      <c r="B1632" s="20" t="str">
        <f t="shared" si="50"/>
        <v>JUL</v>
      </c>
      <c r="C1632" s="21">
        <v>46222</v>
      </c>
      <c r="D1632" s="22" t="str">
        <f t="array" ref="D1632">IFERROR(INDEX('Kode Outlet dan Target Toko'!$A:$A,MATCH($I1632,'Kode Outlet dan Target Toko'!$E:$E,0)),"")</f>
        <v>GRSM 4</v>
      </c>
      <c r="E1632" s="20" t="str">
        <f>IFERROR(VLOOKUP(I1632,KET!$B:$F,4,0),"")</f>
        <v>FAHMI LUKMANUL HAKIM</v>
      </c>
      <c r="F1632" s="20" t="str">
        <f>IFERROR(VLOOKUP(I1632,KET!$B:$F,5,0),"")</f>
        <v>GMM</v>
      </c>
      <c r="G1632" s="20">
        <f>IFERROR(INDEX('Kode Outlet dan Target Toko'!$C:$C,MATCH($I1632,'Kode Outlet dan Target Toko'!$E:$E,0)),0)</f>
        <v>189901</v>
      </c>
      <c r="H1632" s="20">
        <f>IFERROR(INDEX('Kode Outlet dan Target Toko'!$D:$D,MATCH($I1632,'Kode Outlet dan Target Toko'!$E:$E,0)),0)</f>
        <v>1602018</v>
      </c>
      <c r="I1632" s="50" t="s">
        <v>34</v>
      </c>
      <c r="J1632" s="56" t="s">
        <v>187</v>
      </c>
      <c r="K1632" s="40" t="s">
        <v>14</v>
      </c>
      <c r="L1632" s="26">
        <v>3500</v>
      </c>
      <c r="M1632" s="26">
        <v>40</v>
      </c>
      <c r="N1632" s="25">
        <f t="shared" si="51"/>
        <v>140000</v>
      </c>
      <c r="O1632" s="56"/>
    </row>
    <row r="1633" spans="1:15" hidden="1" x14ac:dyDescent="0.3">
      <c r="A1633" s="26">
        <v>29</v>
      </c>
      <c r="B1633" s="20" t="str">
        <f t="shared" si="50"/>
        <v>JUL</v>
      </c>
      <c r="C1633" s="21">
        <v>46222</v>
      </c>
      <c r="D1633" s="22" t="str">
        <f t="array" ref="D1633">IFERROR(INDEX('Kode Outlet dan Target Toko'!$A:$A,MATCH($I1633,'Kode Outlet dan Target Toko'!$E:$E,0)),"")</f>
        <v>GRSM 4</v>
      </c>
      <c r="E1633" s="20" t="str">
        <f>IFERROR(VLOOKUP(I1633,KET!$B:$F,4,0),"")</f>
        <v>FAHMI LUKMANUL HAKIM</v>
      </c>
      <c r="F1633" s="20" t="str">
        <f>IFERROR(VLOOKUP(I1633,KET!$B:$F,5,0),"")</f>
        <v>GMM</v>
      </c>
      <c r="G1633" s="20">
        <f>IFERROR(INDEX('Kode Outlet dan Target Toko'!$C:$C,MATCH($I1633,'Kode Outlet dan Target Toko'!$E:$E,0)),0)</f>
        <v>189901</v>
      </c>
      <c r="H1633" s="20">
        <f>IFERROR(INDEX('Kode Outlet dan Target Toko'!$D:$D,MATCH($I1633,'Kode Outlet dan Target Toko'!$E:$E,0)),0)</f>
        <v>1602018</v>
      </c>
      <c r="I1633" s="50" t="s">
        <v>34</v>
      </c>
      <c r="J1633" s="56" t="s">
        <v>187</v>
      </c>
      <c r="K1633" s="40" t="s">
        <v>13</v>
      </c>
      <c r="L1633" s="26">
        <v>3500</v>
      </c>
      <c r="M1633" s="26">
        <v>35</v>
      </c>
      <c r="N1633" s="25">
        <f t="shared" si="51"/>
        <v>122500</v>
      </c>
      <c r="O1633" s="56"/>
    </row>
    <row r="1634" spans="1:15" hidden="1" x14ac:dyDescent="0.3">
      <c r="A1634" s="26">
        <v>29</v>
      </c>
      <c r="B1634" s="20" t="str">
        <f t="shared" si="50"/>
        <v>JUL</v>
      </c>
      <c r="C1634" s="21">
        <v>46222</v>
      </c>
      <c r="D1634" s="22" t="str">
        <f t="array" ref="D1634">IFERROR(INDEX('Kode Outlet dan Target Toko'!$A:$A,MATCH($I1634,'Kode Outlet dan Target Toko'!$E:$E,0)),"")</f>
        <v>GRSM 4</v>
      </c>
      <c r="E1634" s="20" t="str">
        <f>IFERROR(VLOOKUP(I1634,KET!$B:$F,4,0),"")</f>
        <v>FAHMI LUKMANUL HAKIM</v>
      </c>
      <c r="F1634" s="20" t="str">
        <f>IFERROR(VLOOKUP(I1634,KET!$B:$F,5,0),"")</f>
        <v>GMM</v>
      </c>
      <c r="G1634" s="20">
        <f>IFERROR(INDEX('Kode Outlet dan Target Toko'!$C:$C,MATCH($I1634,'Kode Outlet dan Target Toko'!$E:$E,0)),0)</f>
        <v>189901</v>
      </c>
      <c r="H1634" s="20">
        <f>IFERROR(INDEX('Kode Outlet dan Target Toko'!$D:$D,MATCH($I1634,'Kode Outlet dan Target Toko'!$E:$E,0)),0)</f>
        <v>1602018</v>
      </c>
      <c r="I1634" s="50" t="s">
        <v>34</v>
      </c>
      <c r="J1634" s="56" t="s">
        <v>187</v>
      </c>
      <c r="K1634" s="40" t="s">
        <v>16</v>
      </c>
      <c r="L1634" s="26">
        <v>3500</v>
      </c>
      <c r="M1634" s="26">
        <v>150</v>
      </c>
      <c r="N1634" s="25">
        <f t="shared" si="51"/>
        <v>525000</v>
      </c>
      <c r="O1634" s="56">
        <v>160</v>
      </c>
    </row>
    <row r="1635" spans="1:15" hidden="1" x14ac:dyDescent="0.3">
      <c r="A1635" s="26">
        <v>29</v>
      </c>
      <c r="B1635" s="20" t="str">
        <f t="shared" si="50"/>
        <v>JUL</v>
      </c>
      <c r="C1635" s="21">
        <v>46222</v>
      </c>
      <c r="D1635" s="22" t="str">
        <f t="array" ref="D1635">IFERROR(INDEX('Kode Outlet dan Target Toko'!$A:$A,MATCH($I1635,'Kode Outlet dan Target Toko'!$E:$E,0)),"")</f>
        <v>GRSM 4</v>
      </c>
      <c r="E1635" s="20" t="str">
        <f>IFERROR(VLOOKUP(I1635,KET!$B:$F,4,0),"")</f>
        <v>FAHMI LUKMANUL HAKIM</v>
      </c>
      <c r="F1635" s="20" t="str">
        <f>IFERROR(VLOOKUP(I1635,KET!$B:$F,5,0),"")</f>
        <v>GMM</v>
      </c>
      <c r="G1635" s="20">
        <f>IFERROR(INDEX('Kode Outlet dan Target Toko'!$C:$C,MATCH($I1635,'Kode Outlet dan Target Toko'!$E:$E,0)),0)</f>
        <v>189901</v>
      </c>
      <c r="H1635" s="20">
        <f>IFERROR(INDEX('Kode Outlet dan Target Toko'!$D:$D,MATCH($I1635,'Kode Outlet dan Target Toko'!$E:$E,0)),0)</f>
        <v>1602008</v>
      </c>
      <c r="I1635" s="42" t="s">
        <v>32</v>
      </c>
      <c r="J1635" s="56" t="s">
        <v>189</v>
      </c>
      <c r="K1635" s="40" t="s">
        <v>15</v>
      </c>
      <c r="L1635" s="26">
        <v>3300</v>
      </c>
      <c r="M1635" s="26">
        <v>35</v>
      </c>
      <c r="N1635" s="25">
        <f t="shared" si="51"/>
        <v>115500</v>
      </c>
      <c r="O1635" s="56"/>
    </row>
    <row r="1636" spans="1:15" hidden="1" x14ac:dyDescent="0.3">
      <c r="A1636" s="26">
        <v>29</v>
      </c>
      <c r="B1636" s="20" t="str">
        <f t="shared" si="50"/>
        <v>JUL</v>
      </c>
      <c r="C1636" s="21">
        <v>46222</v>
      </c>
      <c r="D1636" s="22" t="str">
        <f t="array" ref="D1636">IFERROR(INDEX('Kode Outlet dan Target Toko'!$A:$A,MATCH($I1636,'Kode Outlet dan Target Toko'!$E:$E,0)),"")</f>
        <v>GRSM 4</v>
      </c>
      <c r="E1636" s="20" t="str">
        <f>IFERROR(VLOOKUP(I1636,KET!$B:$F,4,0),"")</f>
        <v>FAHMI LUKMANUL HAKIM</v>
      </c>
      <c r="F1636" s="20" t="str">
        <f>IFERROR(VLOOKUP(I1636,KET!$B:$F,5,0),"")</f>
        <v>GMM</v>
      </c>
      <c r="G1636" s="20">
        <f>IFERROR(INDEX('Kode Outlet dan Target Toko'!$C:$C,MATCH($I1636,'Kode Outlet dan Target Toko'!$E:$E,0)),0)</f>
        <v>189901</v>
      </c>
      <c r="H1636" s="20">
        <f>IFERROR(INDEX('Kode Outlet dan Target Toko'!$D:$D,MATCH($I1636,'Kode Outlet dan Target Toko'!$E:$E,0)),0)</f>
        <v>1602008</v>
      </c>
      <c r="I1636" s="42" t="s">
        <v>32</v>
      </c>
      <c r="J1636" s="56" t="s">
        <v>189</v>
      </c>
      <c r="K1636" s="40" t="s">
        <v>14</v>
      </c>
      <c r="L1636" s="26">
        <v>3300</v>
      </c>
      <c r="M1636" s="26">
        <v>50</v>
      </c>
      <c r="N1636" s="25">
        <f t="shared" si="51"/>
        <v>165000</v>
      </c>
      <c r="O1636" s="56"/>
    </row>
    <row r="1637" spans="1:15" hidden="1" x14ac:dyDescent="0.3">
      <c r="A1637" s="26">
        <v>29</v>
      </c>
      <c r="B1637" s="20" t="str">
        <f t="shared" si="50"/>
        <v>JUL</v>
      </c>
      <c r="C1637" s="21">
        <v>46222</v>
      </c>
      <c r="D1637" s="22" t="str">
        <f t="array" ref="D1637">IFERROR(INDEX('Kode Outlet dan Target Toko'!$A:$A,MATCH($I1637,'Kode Outlet dan Target Toko'!$E:$E,0)),"")</f>
        <v>GRSM 4</v>
      </c>
      <c r="E1637" s="20" t="str">
        <f>IFERROR(VLOOKUP(I1637,KET!$B:$F,4,0),"")</f>
        <v>FAHMI LUKMANUL HAKIM</v>
      </c>
      <c r="F1637" s="20" t="str">
        <f>IFERROR(VLOOKUP(I1637,KET!$B:$F,5,0),"")</f>
        <v>GMM</v>
      </c>
      <c r="G1637" s="20">
        <f>IFERROR(INDEX('Kode Outlet dan Target Toko'!$C:$C,MATCH($I1637,'Kode Outlet dan Target Toko'!$E:$E,0)),0)</f>
        <v>189901</v>
      </c>
      <c r="H1637" s="20">
        <f>IFERROR(INDEX('Kode Outlet dan Target Toko'!$D:$D,MATCH($I1637,'Kode Outlet dan Target Toko'!$E:$E,0)),0)</f>
        <v>1602008</v>
      </c>
      <c r="I1637" s="42" t="s">
        <v>32</v>
      </c>
      <c r="J1637" s="56" t="s">
        <v>189</v>
      </c>
      <c r="K1637" s="40" t="s">
        <v>13</v>
      </c>
      <c r="L1637" s="26">
        <v>3300</v>
      </c>
      <c r="M1637" s="26">
        <v>20</v>
      </c>
      <c r="N1637" s="25">
        <f t="shared" si="51"/>
        <v>66000</v>
      </c>
      <c r="O1637" s="56"/>
    </row>
    <row r="1638" spans="1:15" hidden="1" x14ac:dyDescent="0.3">
      <c r="A1638" s="26">
        <v>29</v>
      </c>
      <c r="B1638" s="20" t="str">
        <f t="shared" si="50"/>
        <v>JUL</v>
      </c>
      <c r="C1638" s="21">
        <v>46222</v>
      </c>
      <c r="D1638" s="22" t="str">
        <f t="array" ref="D1638">IFERROR(INDEX('Kode Outlet dan Target Toko'!$A:$A,MATCH($I1638,'Kode Outlet dan Target Toko'!$E:$E,0)),"")</f>
        <v>GRSM 4</v>
      </c>
      <c r="E1638" s="20" t="str">
        <f>IFERROR(VLOOKUP(I1638,KET!$B:$F,4,0),"")</f>
        <v>FAHMI LUKMANUL HAKIM</v>
      </c>
      <c r="F1638" s="20" t="str">
        <f>IFERROR(VLOOKUP(I1638,KET!$B:$F,5,0),"")</f>
        <v>GMM</v>
      </c>
      <c r="G1638" s="20">
        <f>IFERROR(INDEX('Kode Outlet dan Target Toko'!$C:$C,MATCH($I1638,'Kode Outlet dan Target Toko'!$E:$E,0)),0)</f>
        <v>189901</v>
      </c>
      <c r="H1638" s="20">
        <f>IFERROR(INDEX('Kode Outlet dan Target Toko'!$D:$D,MATCH($I1638,'Kode Outlet dan Target Toko'!$E:$E,0)),0)</f>
        <v>1602008</v>
      </c>
      <c r="I1638" s="42" t="s">
        <v>32</v>
      </c>
      <c r="J1638" s="56" t="s">
        <v>189</v>
      </c>
      <c r="K1638" s="40" t="s">
        <v>16</v>
      </c>
      <c r="L1638" s="26">
        <v>3300</v>
      </c>
      <c r="M1638" s="26">
        <v>105</v>
      </c>
      <c r="N1638" s="25">
        <f t="shared" si="51"/>
        <v>346500</v>
      </c>
      <c r="O1638" s="56">
        <v>160</v>
      </c>
    </row>
    <row r="1639" spans="1:15" hidden="1" x14ac:dyDescent="0.3">
      <c r="A1639" s="26">
        <v>29</v>
      </c>
      <c r="B1639" s="20" t="str">
        <f t="shared" si="50"/>
        <v>JUL</v>
      </c>
      <c r="C1639" s="21">
        <v>46220</v>
      </c>
      <c r="D1639" s="22" t="str">
        <f t="array" ref="D1639">IFERROR(INDEX('Kode Outlet dan Target Toko'!$A:$A,MATCH($I1639,'Kode Outlet dan Target Toko'!$E:$E,0)),"")</f>
        <v>GRSM 4</v>
      </c>
      <c r="E1639" s="20" t="str">
        <f>IFERROR(VLOOKUP(I1639,KET!$B:$F,4,0),"")</f>
        <v>FAHMI LUKMANUL HAKIM</v>
      </c>
      <c r="F1639" s="20" t="str">
        <f>IFERROR(VLOOKUP(I1639,KET!$B:$F,5,0),"")</f>
        <v>GMM</v>
      </c>
      <c r="G1639" s="20">
        <f>IFERROR(INDEX('Kode Outlet dan Target Toko'!$C:$C,MATCH($I1639,'Kode Outlet dan Target Toko'!$E:$E,0)),0)</f>
        <v>103257</v>
      </c>
      <c r="H1639" s="20">
        <f>IFERROR(INDEX('Kode Outlet dan Target Toko'!$D:$D,MATCH($I1639,'Kode Outlet dan Target Toko'!$E:$E,0)),0)</f>
        <v>9162509</v>
      </c>
      <c r="I1639" s="42" t="s">
        <v>57</v>
      </c>
      <c r="J1639" s="56" t="s">
        <v>279</v>
      </c>
      <c r="K1639" s="40" t="s">
        <v>15</v>
      </c>
      <c r="L1639" s="26">
        <v>3200</v>
      </c>
      <c r="M1639" s="26">
        <v>63</v>
      </c>
      <c r="N1639" s="25">
        <f t="shared" si="51"/>
        <v>201600</v>
      </c>
      <c r="O1639" s="56"/>
    </row>
    <row r="1640" spans="1:15" hidden="1" x14ac:dyDescent="0.3">
      <c r="A1640" s="26">
        <v>29</v>
      </c>
      <c r="B1640" s="20" t="str">
        <f t="shared" si="50"/>
        <v>JUL</v>
      </c>
      <c r="C1640" s="21">
        <v>46220</v>
      </c>
      <c r="D1640" s="22" t="str">
        <f t="array" ref="D1640">IFERROR(INDEX('Kode Outlet dan Target Toko'!$A:$A,MATCH($I1640,'Kode Outlet dan Target Toko'!$E:$E,0)),"")</f>
        <v>GRSM 4</v>
      </c>
      <c r="E1640" s="20" t="str">
        <f>IFERROR(VLOOKUP(I1640,KET!$B:$F,4,0),"")</f>
        <v>FAHMI LUKMANUL HAKIM</v>
      </c>
      <c r="F1640" s="20" t="str">
        <f>IFERROR(VLOOKUP(I1640,KET!$B:$F,5,0),"")</f>
        <v>GMM</v>
      </c>
      <c r="G1640" s="20">
        <f>IFERROR(INDEX('Kode Outlet dan Target Toko'!$C:$C,MATCH($I1640,'Kode Outlet dan Target Toko'!$E:$E,0)),0)</f>
        <v>103257</v>
      </c>
      <c r="H1640" s="20">
        <f>IFERROR(INDEX('Kode Outlet dan Target Toko'!$D:$D,MATCH($I1640,'Kode Outlet dan Target Toko'!$E:$E,0)),0)</f>
        <v>9162509</v>
      </c>
      <c r="I1640" s="42" t="s">
        <v>57</v>
      </c>
      <c r="J1640" s="56" t="s">
        <v>279</v>
      </c>
      <c r="K1640" s="40" t="s">
        <v>14</v>
      </c>
      <c r="L1640" s="26">
        <v>3200</v>
      </c>
      <c r="M1640" s="26">
        <v>59</v>
      </c>
      <c r="N1640" s="25">
        <f t="shared" si="51"/>
        <v>188800</v>
      </c>
      <c r="O1640" s="56"/>
    </row>
    <row r="1641" spans="1:15" hidden="1" x14ac:dyDescent="0.3">
      <c r="A1641" s="26">
        <v>29</v>
      </c>
      <c r="B1641" s="20" t="str">
        <f t="shared" si="50"/>
        <v>JUL</v>
      </c>
      <c r="C1641" s="21">
        <v>46220</v>
      </c>
      <c r="D1641" s="22" t="str">
        <f t="array" ref="D1641">IFERROR(INDEX('Kode Outlet dan Target Toko'!$A:$A,MATCH($I1641,'Kode Outlet dan Target Toko'!$E:$E,0)),"")</f>
        <v>GRSM 4</v>
      </c>
      <c r="E1641" s="20" t="str">
        <f>IFERROR(VLOOKUP(I1641,KET!$B:$F,4,0),"")</f>
        <v>FAHMI LUKMANUL HAKIM</v>
      </c>
      <c r="F1641" s="20" t="str">
        <f>IFERROR(VLOOKUP(I1641,KET!$B:$F,5,0),"")</f>
        <v>GMM</v>
      </c>
      <c r="G1641" s="20">
        <f>IFERROR(INDEX('Kode Outlet dan Target Toko'!$C:$C,MATCH($I1641,'Kode Outlet dan Target Toko'!$E:$E,0)),0)</f>
        <v>103257</v>
      </c>
      <c r="H1641" s="20">
        <f>IFERROR(INDEX('Kode Outlet dan Target Toko'!$D:$D,MATCH($I1641,'Kode Outlet dan Target Toko'!$E:$E,0)),0)</f>
        <v>9162509</v>
      </c>
      <c r="I1641" s="42" t="s">
        <v>57</v>
      </c>
      <c r="J1641" s="56" t="s">
        <v>279</v>
      </c>
      <c r="K1641" s="40" t="s">
        <v>13</v>
      </c>
      <c r="L1641" s="26">
        <v>3200</v>
      </c>
      <c r="M1641" s="26">
        <v>47</v>
      </c>
      <c r="N1641" s="25">
        <f t="shared" si="51"/>
        <v>150400</v>
      </c>
      <c r="O1641" s="56"/>
    </row>
    <row r="1642" spans="1:15" hidden="1" x14ac:dyDescent="0.3">
      <c r="A1642" s="26">
        <v>29</v>
      </c>
      <c r="B1642" s="20" t="str">
        <f t="shared" si="50"/>
        <v>JUL</v>
      </c>
      <c r="C1642" s="21">
        <v>46220</v>
      </c>
      <c r="D1642" s="22" t="str">
        <f t="array" ref="D1642">IFERROR(INDEX('Kode Outlet dan Target Toko'!$A:$A,MATCH($I1642,'Kode Outlet dan Target Toko'!$E:$E,0)),"")</f>
        <v>GRSM 4</v>
      </c>
      <c r="E1642" s="20" t="str">
        <f>IFERROR(VLOOKUP(I1642,KET!$B:$F,4,0),"")</f>
        <v>FAHMI LUKMANUL HAKIM</v>
      </c>
      <c r="F1642" s="20" t="str">
        <f>IFERROR(VLOOKUP(I1642,KET!$B:$F,5,0),"")</f>
        <v>GMM</v>
      </c>
      <c r="G1642" s="20">
        <f>IFERROR(INDEX('Kode Outlet dan Target Toko'!$C:$C,MATCH($I1642,'Kode Outlet dan Target Toko'!$E:$E,0)),0)</f>
        <v>103257</v>
      </c>
      <c r="H1642" s="20">
        <f>IFERROR(INDEX('Kode Outlet dan Target Toko'!$D:$D,MATCH($I1642,'Kode Outlet dan Target Toko'!$E:$E,0)),0)</f>
        <v>9162509</v>
      </c>
      <c r="I1642" s="42" t="s">
        <v>57</v>
      </c>
      <c r="J1642" s="56" t="s">
        <v>279</v>
      </c>
      <c r="K1642" s="40" t="s">
        <v>16</v>
      </c>
      <c r="L1642" s="26">
        <v>3200</v>
      </c>
      <c r="M1642" s="26">
        <v>89</v>
      </c>
      <c r="N1642" s="25">
        <f t="shared" si="51"/>
        <v>284800</v>
      </c>
      <c r="O1642" s="56">
        <v>160</v>
      </c>
    </row>
    <row r="1643" spans="1:15" hidden="1" x14ac:dyDescent="0.3">
      <c r="A1643" s="26">
        <v>29</v>
      </c>
      <c r="B1643" s="20" t="str">
        <f t="shared" si="50"/>
        <v>JUL</v>
      </c>
      <c r="C1643" s="21">
        <v>46220</v>
      </c>
      <c r="D1643" s="22" t="str">
        <f t="array" ref="D1643">IFERROR(INDEX('Kode Outlet dan Target Toko'!$A:$A,MATCH($I1643,'Kode Outlet dan Target Toko'!$E:$E,0)),"")</f>
        <v>GRSM 4</v>
      </c>
      <c r="E1643" s="20" t="str">
        <f>IFERROR(VLOOKUP(I1643,KET!$B:$F,4,0),"")</f>
        <v>FAHMI LUKMANUL HAKIM</v>
      </c>
      <c r="F1643" s="20" t="str">
        <f>IFERROR(VLOOKUP(I1643,KET!$B:$F,5,0),"")</f>
        <v>GMM</v>
      </c>
      <c r="G1643" s="20">
        <f>IFERROR(INDEX('Kode Outlet dan Target Toko'!$C:$C,MATCH($I1643,'Kode Outlet dan Target Toko'!$E:$E,0)),0)</f>
        <v>189901</v>
      </c>
      <c r="H1643" s="20">
        <f>IFERROR(INDEX('Kode Outlet dan Target Toko'!$D:$D,MATCH($I1643,'Kode Outlet dan Target Toko'!$E:$E,0)),0)</f>
        <v>1602018</v>
      </c>
      <c r="I1643" s="50" t="s">
        <v>34</v>
      </c>
      <c r="J1643" s="56" t="s">
        <v>186</v>
      </c>
      <c r="K1643" s="40" t="s">
        <v>15</v>
      </c>
      <c r="L1643" s="26">
        <v>3500</v>
      </c>
      <c r="M1643" s="26">
        <v>40</v>
      </c>
      <c r="N1643" s="25">
        <f t="shared" si="51"/>
        <v>140000</v>
      </c>
      <c r="O1643" s="56"/>
    </row>
    <row r="1644" spans="1:15" hidden="1" x14ac:dyDescent="0.3">
      <c r="A1644" s="26">
        <v>29</v>
      </c>
      <c r="B1644" s="20" t="str">
        <f t="shared" si="50"/>
        <v>JUL</v>
      </c>
      <c r="C1644" s="21">
        <v>46220</v>
      </c>
      <c r="D1644" s="22" t="str">
        <f t="array" ref="D1644">IFERROR(INDEX('Kode Outlet dan Target Toko'!$A:$A,MATCH($I1644,'Kode Outlet dan Target Toko'!$E:$E,0)),"")</f>
        <v>GRSM 4</v>
      </c>
      <c r="E1644" s="20" t="str">
        <f>IFERROR(VLOOKUP(I1644,KET!$B:$F,4,0),"")</f>
        <v>FAHMI LUKMANUL HAKIM</v>
      </c>
      <c r="F1644" s="20" t="str">
        <f>IFERROR(VLOOKUP(I1644,KET!$B:$F,5,0),"")</f>
        <v>GMM</v>
      </c>
      <c r="G1644" s="20">
        <f>IFERROR(INDEX('Kode Outlet dan Target Toko'!$C:$C,MATCH($I1644,'Kode Outlet dan Target Toko'!$E:$E,0)),0)</f>
        <v>189901</v>
      </c>
      <c r="H1644" s="20">
        <f>IFERROR(INDEX('Kode Outlet dan Target Toko'!$D:$D,MATCH($I1644,'Kode Outlet dan Target Toko'!$E:$E,0)),0)</f>
        <v>1602018</v>
      </c>
      <c r="I1644" s="50" t="s">
        <v>34</v>
      </c>
      <c r="J1644" s="56" t="s">
        <v>186</v>
      </c>
      <c r="K1644" s="40" t="s">
        <v>14</v>
      </c>
      <c r="L1644" s="26">
        <v>3500</v>
      </c>
      <c r="M1644" s="26">
        <v>40</v>
      </c>
      <c r="N1644" s="25">
        <f t="shared" si="51"/>
        <v>140000</v>
      </c>
      <c r="O1644" s="56"/>
    </row>
    <row r="1645" spans="1:15" hidden="1" x14ac:dyDescent="0.3">
      <c r="A1645" s="26">
        <v>29</v>
      </c>
      <c r="B1645" s="20" t="str">
        <f t="shared" si="50"/>
        <v>JUL</v>
      </c>
      <c r="C1645" s="21">
        <v>46220</v>
      </c>
      <c r="D1645" s="22" t="str">
        <f t="array" ref="D1645">IFERROR(INDEX('Kode Outlet dan Target Toko'!$A:$A,MATCH($I1645,'Kode Outlet dan Target Toko'!$E:$E,0)),"")</f>
        <v>GRSM 4</v>
      </c>
      <c r="E1645" s="20" t="str">
        <f>IFERROR(VLOOKUP(I1645,KET!$B:$F,4,0),"")</f>
        <v>FAHMI LUKMANUL HAKIM</v>
      </c>
      <c r="F1645" s="20" t="str">
        <f>IFERROR(VLOOKUP(I1645,KET!$B:$F,5,0),"")</f>
        <v>GMM</v>
      </c>
      <c r="G1645" s="20">
        <f>IFERROR(INDEX('Kode Outlet dan Target Toko'!$C:$C,MATCH($I1645,'Kode Outlet dan Target Toko'!$E:$E,0)),0)</f>
        <v>189901</v>
      </c>
      <c r="H1645" s="20">
        <f>IFERROR(INDEX('Kode Outlet dan Target Toko'!$D:$D,MATCH($I1645,'Kode Outlet dan Target Toko'!$E:$E,0)),0)</f>
        <v>1602018</v>
      </c>
      <c r="I1645" s="50" t="s">
        <v>34</v>
      </c>
      <c r="J1645" s="56" t="s">
        <v>186</v>
      </c>
      <c r="K1645" s="40" t="s">
        <v>13</v>
      </c>
      <c r="L1645" s="26">
        <v>3500</v>
      </c>
      <c r="M1645" s="26">
        <v>35</v>
      </c>
      <c r="N1645" s="25">
        <f t="shared" si="51"/>
        <v>122500</v>
      </c>
      <c r="O1645" s="56"/>
    </row>
    <row r="1646" spans="1:15" hidden="1" x14ac:dyDescent="0.3">
      <c r="A1646" s="26">
        <v>29</v>
      </c>
      <c r="B1646" s="20" t="str">
        <f t="shared" si="50"/>
        <v>JUL</v>
      </c>
      <c r="C1646" s="21">
        <v>46220</v>
      </c>
      <c r="D1646" s="22" t="str">
        <f t="array" ref="D1646">IFERROR(INDEX('Kode Outlet dan Target Toko'!$A:$A,MATCH($I1646,'Kode Outlet dan Target Toko'!$E:$E,0)),"")</f>
        <v>GRSM 4</v>
      </c>
      <c r="E1646" s="20" t="str">
        <f>IFERROR(VLOOKUP(I1646,KET!$B:$F,4,0),"")</f>
        <v>FAHMI LUKMANUL HAKIM</v>
      </c>
      <c r="F1646" s="20" t="str">
        <f>IFERROR(VLOOKUP(I1646,KET!$B:$F,5,0),"")</f>
        <v>GMM</v>
      </c>
      <c r="G1646" s="20">
        <f>IFERROR(INDEX('Kode Outlet dan Target Toko'!$C:$C,MATCH($I1646,'Kode Outlet dan Target Toko'!$E:$E,0)),0)</f>
        <v>189901</v>
      </c>
      <c r="H1646" s="20">
        <f>IFERROR(INDEX('Kode Outlet dan Target Toko'!$D:$D,MATCH($I1646,'Kode Outlet dan Target Toko'!$E:$E,0)),0)</f>
        <v>1602018</v>
      </c>
      <c r="I1646" s="50" t="s">
        <v>34</v>
      </c>
      <c r="J1646" s="56" t="s">
        <v>186</v>
      </c>
      <c r="K1646" s="40" t="s">
        <v>16</v>
      </c>
      <c r="L1646" s="26">
        <v>3500</v>
      </c>
      <c r="M1646" s="26">
        <v>80</v>
      </c>
      <c r="N1646" s="25">
        <f t="shared" si="51"/>
        <v>280000</v>
      </c>
      <c r="O1646" s="56">
        <v>160</v>
      </c>
    </row>
    <row r="1647" spans="1:15" hidden="1" x14ac:dyDescent="0.3">
      <c r="A1647" s="26">
        <v>29</v>
      </c>
      <c r="B1647" s="20" t="str">
        <f t="shared" si="50"/>
        <v>JUL</v>
      </c>
      <c r="C1647" s="21">
        <v>46221</v>
      </c>
      <c r="D1647" s="22" t="str">
        <f t="array" ref="D1647">IFERROR(INDEX('Kode Outlet dan Target Toko'!$A:$A,MATCH($I1647,'Kode Outlet dan Target Toko'!$E:$E,0)),"")</f>
        <v>GRSM 4</v>
      </c>
      <c r="E1647" s="20" t="str">
        <f>IFERROR(VLOOKUP(I1647,KET!$B:$F,4,0),"")</f>
        <v>FAHMI LUKMANUL HAKIM</v>
      </c>
      <c r="F1647" s="20" t="str">
        <f>IFERROR(VLOOKUP(I1647,KET!$B:$F,5,0),"")</f>
        <v>GMM</v>
      </c>
      <c r="G1647" s="20">
        <f>IFERROR(INDEX('Kode Outlet dan Target Toko'!$C:$C,MATCH($I1647,'Kode Outlet dan Target Toko'!$E:$E,0)),0)</f>
        <v>103257</v>
      </c>
      <c r="H1647" s="20">
        <f>IFERROR(INDEX('Kode Outlet dan Target Toko'!$D:$D,MATCH($I1647,'Kode Outlet dan Target Toko'!$E:$E,0)),0)</f>
        <v>9162509</v>
      </c>
      <c r="I1647" s="42" t="s">
        <v>57</v>
      </c>
      <c r="J1647" s="56" t="s">
        <v>279</v>
      </c>
      <c r="K1647" s="40" t="s">
        <v>15</v>
      </c>
      <c r="L1647" s="26">
        <v>3200</v>
      </c>
      <c r="M1647" s="26">
        <v>76</v>
      </c>
      <c r="N1647" s="25">
        <f t="shared" si="51"/>
        <v>243200</v>
      </c>
      <c r="O1647" s="56"/>
    </row>
    <row r="1648" spans="1:15" hidden="1" x14ac:dyDescent="0.3">
      <c r="A1648" s="26">
        <v>29</v>
      </c>
      <c r="B1648" s="20" t="str">
        <f t="shared" si="50"/>
        <v>JUL</v>
      </c>
      <c r="C1648" s="21">
        <v>46221</v>
      </c>
      <c r="D1648" s="22" t="str">
        <f t="array" ref="D1648">IFERROR(INDEX('Kode Outlet dan Target Toko'!$A:$A,MATCH($I1648,'Kode Outlet dan Target Toko'!$E:$E,0)),"")</f>
        <v>GRSM 4</v>
      </c>
      <c r="E1648" s="20" t="str">
        <f>IFERROR(VLOOKUP(I1648,KET!$B:$F,4,0),"")</f>
        <v>FAHMI LUKMANUL HAKIM</v>
      </c>
      <c r="F1648" s="20" t="str">
        <f>IFERROR(VLOOKUP(I1648,KET!$B:$F,5,0),"")</f>
        <v>GMM</v>
      </c>
      <c r="G1648" s="20">
        <f>IFERROR(INDEX('Kode Outlet dan Target Toko'!$C:$C,MATCH($I1648,'Kode Outlet dan Target Toko'!$E:$E,0)),0)</f>
        <v>103257</v>
      </c>
      <c r="H1648" s="20">
        <f>IFERROR(INDEX('Kode Outlet dan Target Toko'!$D:$D,MATCH($I1648,'Kode Outlet dan Target Toko'!$E:$E,0)),0)</f>
        <v>9162509</v>
      </c>
      <c r="I1648" s="42" t="s">
        <v>57</v>
      </c>
      <c r="J1648" s="56" t="s">
        <v>279</v>
      </c>
      <c r="K1648" s="40" t="s">
        <v>14</v>
      </c>
      <c r="L1648" s="26">
        <v>3200</v>
      </c>
      <c r="M1648" s="26">
        <v>65</v>
      </c>
      <c r="N1648" s="25">
        <f t="shared" si="51"/>
        <v>208000</v>
      </c>
      <c r="O1648" s="56"/>
    </row>
    <row r="1649" spans="1:15" hidden="1" x14ac:dyDescent="0.3">
      <c r="A1649" s="26">
        <v>29</v>
      </c>
      <c r="B1649" s="20" t="str">
        <f t="shared" si="50"/>
        <v>JUL</v>
      </c>
      <c r="C1649" s="21">
        <v>46221</v>
      </c>
      <c r="D1649" s="22" t="str">
        <f t="array" ref="D1649">IFERROR(INDEX('Kode Outlet dan Target Toko'!$A:$A,MATCH($I1649,'Kode Outlet dan Target Toko'!$E:$E,0)),"")</f>
        <v>GRSM 4</v>
      </c>
      <c r="E1649" s="20" t="str">
        <f>IFERROR(VLOOKUP(I1649,KET!$B:$F,4,0),"")</f>
        <v>FAHMI LUKMANUL HAKIM</v>
      </c>
      <c r="F1649" s="20" t="str">
        <f>IFERROR(VLOOKUP(I1649,KET!$B:$F,5,0),"")</f>
        <v>GMM</v>
      </c>
      <c r="G1649" s="20">
        <f>IFERROR(INDEX('Kode Outlet dan Target Toko'!$C:$C,MATCH($I1649,'Kode Outlet dan Target Toko'!$E:$E,0)),0)</f>
        <v>103257</v>
      </c>
      <c r="H1649" s="20">
        <f>IFERROR(INDEX('Kode Outlet dan Target Toko'!$D:$D,MATCH($I1649,'Kode Outlet dan Target Toko'!$E:$E,0)),0)</f>
        <v>9162509</v>
      </c>
      <c r="I1649" s="42" t="s">
        <v>57</v>
      </c>
      <c r="J1649" s="56" t="s">
        <v>279</v>
      </c>
      <c r="K1649" s="40" t="s">
        <v>13</v>
      </c>
      <c r="L1649" s="26">
        <v>3200</v>
      </c>
      <c r="M1649" s="26">
        <v>69</v>
      </c>
      <c r="N1649" s="25">
        <f t="shared" si="51"/>
        <v>220800</v>
      </c>
      <c r="O1649" s="56"/>
    </row>
    <row r="1650" spans="1:15" hidden="1" x14ac:dyDescent="0.3">
      <c r="A1650" s="26">
        <v>29</v>
      </c>
      <c r="B1650" s="20" t="str">
        <f t="shared" si="50"/>
        <v>JUL</v>
      </c>
      <c r="C1650" s="21">
        <v>46221</v>
      </c>
      <c r="D1650" s="22" t="str">
        <f t="array" ref="D1650">IFERROR(INDEX('Kode Outlet dan Target Toko'!$A:$A,MATCH($I1650,'Kode Outlet dan Target Toko'!$E:$E,0)),"")</f>
        <v>GRSM 4</v>
      </c>
      <c r="E1650" s="20" t="str">
        <f>IFERROR(VLOOKUP(I1650,KET!$B:$F,4,0),"")</f>
        <v>FAHMI LUKMANUL HAKIM</v>
      </c>
      <c r="F1650" s="20" t="str">
        <f>IFERROR(VLOOKUP(I1650,KET!$B:$F,5,0),"")</f>
        <v>GMM</v>
      </c>
      <c r="G1650" s="20">
        <f>IFERROR(INDEX('Kode Outlet dan Target Toko'!$C:$C,MATCH($I1650,'Kode Outlet dan Target Toko'!$E:$E,0)),0)</f>
        <v>103257</v>
      </c>
      <c r="H1650" s="20">
        <f>IFERROR(INDEX('Kode Outlet dan Target Toko'!$D:$D,MATCH($I1650,'Kode Outlet dan Target Toko'!$E:$E,0)),0)</f>
        <v>9162509</v>
      </c>
      <c r="I1650" s="42" t="s">
        <v>57</v>
      </c>
      <c r="J1650" s="56" t="s">
        <v>279</v>
      </c>
      <c r="K1650" s="40" t="s">
        <v>16</v>
      </c>
      <c r="L1650" s="26">
        <v>3200</v>
      </c>
      <c r="M1650" s="26">
        <v>94</v>
      </c>
      <c r="N1650" s="25">
        <f t="shared" si="51"/>
        <v>300800</v>
      </c>
      <c r="O1650" s="56">
        <v>160</v>
      </c>
    </row>
    <row r="1651" spans="1:15" hidden="1" x14ac:dyDescent="0.3">
      <c r="A1651" s="26">
        <v>29</v>
      </c>
      <c r="B1651" s="20" t="str">
        <f t="shared" si="50"/>
        <v>JUL</v>
      </c>
      <c r="C1651" s="21">
        <v>46222</v>
      </c>
      <c r="D1651" s="22" t="str">
        <f t="array" ref="D1651">IFERROR(INDEX('Kode Outlet dan Target Toko'!$A:$A,MATCH($I1651,'Kode Outlet dan Target Toko'!$E:$E,0)),"")</f>
        <v>GRSM 4</v>
      </c>
      <c r="E1651" s="20" t="str">
        <f>IFERROR(VLOOKUP(I1651,KET!$B:$F,4,0),"")</f>
        <v>FAHMI LUKMANUL HAKIM</v>
      </c>
      <c r="F1651" s="20" t="str">
        <f>IFERROR(VLOOKUP(I1651,KET!$B:$F,5,0),"")</f>
        <v>GMM</v>
      </c>
      <c r="G1651" s="20">
        <f>IFERROR(INDEX('Kode Outlet dan Target Toko'!$C:$C,MATCH($I1651,'Kode Outlet dan Target Toko'!$E:$E,0)),0)</f>
        <v>103257</v>
      </c>
      <c r="H1651" s="20">
        <f>IFERROR(INDEX('Kode Outlet dan Target Toko'!$D:$D,MATCH($I1651,'Kode Outlet dan Target Toko'!$E:$E,0)),0)</f>
        <v>9162509</v>
      </c>
      <c r="I1651" s="42" t="s">
        <v>57</v>
      </c>
      <c r="J1651" s="56" t="s">
        <v>279</v>
      </c>
      <c r="K1651" s="40" t="s">
        <v>15</v>
      </c>
      <c r="L1651" s="26">
        <v>3200</v>
      </c>
      <c r="M1651" s="26">
        <v>90</v>
      </c>
      <c r="N1651" s="25">
        <f t="shared" si="51"/>
        <v>288000</v>
      </c>
      <c r="O1651" s="56"/>
    </row>
    <row r="1652" spans="1:15" hidden="1" x14ac:dyDescent="0.3">
      <c r="A1652" s="26">
        <v>29</v>
      </c>
      <c r="B1652" s="20" t="str">
        <f t="shared" si="50"/>
        <v>JUL</v>
      </c>
      <c r="C1652" s="21">
        <v>46222</v>
      </c>
      <c r="D1652" s="22" t="str">
        <f t="array" ref="D1652">IFERROR(INDEX('Kode Outlet dan Target Toko'!$A:$A,MATCH($I1652,'Kode Outlet dan Target Toko'!$E:$E,0)),"")</f>
        <v>GRSM 4</v>
      </c>
      <c r="E1652" s="20" t="str">
        <f>IFERROR(VLOOKUP(I1652,KET!$B:$F,4,0),"")</f>
        <v>FAHMI LUKMANUL HAKIM</v>
      </c>
      <c r="F1652" s="20" t="str">
        <f>IFERROR(VLOOKUP(I1652,KET!$B:$F,5,0),"")</f>
        <v>GMM</v>
      </c>
      <c r="G1652" s="20">
        <f>IFERROR(INDEX('Kode Outlet dan Target Toko'!$C:$C,MATCH($I1652,'Kode Outlet dan Target Toko'!$E:$E,0)),0)</f>
        <v>103257</v>
      </c>
      <c r="H1652" s="20">
        <f>IFERROR(INDEX('Kode Outlet dan Target Toko'!$D:$D,MATCH($I1652,'Kode Outlet dan Target Toko'!$E:$E,0)),0)</f>
        <v>9162509</v>
      </c>
      <c r="I1652" s="42" t="s">
        <v>57</v>
      </c>
      <c r="J1652" s="56" t="s">
        <v>279</v>
      </c>
      <c r="K1652" s="40" t="s">
        <v>14</v>
      </c>
      <c r="L1652" s="26">
        <v>3200</v>
      </c>
      <c r="M1652" s="26">
        <v>85</v>
      </c>
      <c r="N1652" s="25">
        <f t="shared" si="51"/>
        <v>272000</v>
      </c>
      <c r="O1652" s="56"/>
    </row>
    <row r="1653" spans="1:15" hidden="1" x14ac:dyDescent="0.3">
      <c r="A1653" s="26">
        <v>29</v>
      </c>
      <c r="B1653" s="20" t="str">
        <f t="shared" si="50"/>
        <v>JUL</v>
      </c>
      <c r="C1653" s="21">
        <v>46222</v>
      </c>
      <c r="D1653" s="22" t="str">
        <f t="array" ref="D1653">IFERROR(INDEX('Kode Outlet dan Target Toko'!$A:$A,MATCH($I1653,'Kode Outlet dan Target Toko'!$E:$E,0)),"")</f>
        <v>GRSM 4</v>
      </c>
      <c r="E1653" s="20" t="str">
        <f>IFERROR(VLOOKUP(I1653,KET!$B:$F,4,0),"")</f>
        <v>FAHMI LUKMANUL HAKIM</v>
      </c>
      <c r="F1653" s="20" t="str">
        <f>IFERROR(VLOOKUP(I1653,KET!$B:$F,5,0),"")</f>
        <v>GMM</v>
      </c>
      <c r="G1653" s="20">
        <f>IFERROR(INDEX('Kode Outlet dan Target Toko'!$C:$C,MATCH($I1653,'Kode Outlet dan Target Toko'!$E:$E,0)),0)</f>
        <v>103257</v>
      </c>
      <c r="H1653" s="20">
        <f>IFERROR(INDEX('Kode Outlet dan Target Toko'!$D:$D,MATCH($I1653,'Kode Outlet dan Target Toko'!$E:$E,0)),0)</f>
        <v>9162509</v>
      </c>
      <c r="I1653" s="42" t="s">
        <v>57</v>
      </c>
      <c r="J1653" s="56" t="s">
        <v>279</v>
      </c>
      <c r="K1653" s="40" t="s">
        <v>13</v>
      </c>
      <c r="L1653" s="26">
        <v>3200</v>
      </c>
      <c r="M1653" s="26">
        <v>88</v>
      </c>
      <c r="N1653" s="25">
        <f t="shared" si="51"/>
        <v>281600</v>
      </c>
      <c r="O1653" s="56"/>
    </row>
    <row r="1654" spans="1:15" hidden="1" x14ac:dyDescent="0.3">
      <c r="A1654" s="26">
        <v>29</v>
      </c>
      <c r="B1654" s="20" t="str">
        <f t="shared" si="50"/>
        <v>JUL</v>
      </c>
      <c r="C1654" s="21">
        <v>46222</v>
      </c>
      <c r="D1654" s="22" t="str">
        <f t="array" ref="D1654">IFERROR(INDEX('Kode Outlet dan Target Toko'!$A:$A,MATCH($I1654,'Kode Outlet dan Target Toko'!$E:$E,0)),"")</f>
        <v>GRSM 4</v>
      </c>
      <c r="E1654" s="20" t="str">
        <f>IFERROR(VLOOKUP(I1654,KET!$B:$F,4,0),"")</f>
        <v>FAHMI LUKMANUL HAKIM</v>
      </c>
      <c r="F1654" s="20" t="str">
        <f>IFERROR(VLOOKUP(I1654,KET!$B:$F,5,0),"")</f>
        <v>GMM</v>
      </c>
      <c r="G1654" s="20">
        <f>IFERROR(INDEX('Kode Outlet dan Target Toko'!$C:$C,MATCH($I1654,'Kode Outlet dan Target Toko'!$E:$E,0)),0)</f>
        <v>103257</v>
      </c>
      <c r="H1654" s="20">
        <f>IFERROR(INDEX('Kode Outlet dan Target Toko'!$D:$D,MATCH($I1654,'Kode Outlet dan Target Toko'!$E:$E,0)),0)</f>
        <v>9162509</v>
      </c>
      <c r="I1654" s="42" t="s">
        <v>57</v>
      </c>
      <c r="J1654" s="56" t="s">
        <v>279</v>
      </c>
      <c r="K1654" s="40" t="s">
        <v>16</v>
      </c>
      <c r="L1654" s="26">
        <v>3200</v>
      </c>
      <c r="M1654" s="26">
        <v>97</v>
      </c>
      <c r="N1654" s="25">
        <f t="shared" si="51"/>
        <v>310400</v>
      </c>
      <c r="O1654" s="56">
        <v>160</v>
      </c>
    </row>
    <row r="1655" spans="1:15" hidden="1" x14ac:dyDescent="0.3">
      <c r="A1655" s="26">
        <v>29</v>
      </c>
      <c r="B1655" s="20" t="str">
        <f t="shared" si="50"/>
        <v>JUL</v>
      </c>
      <c r="C1655" s="21">
        <v>46222</v>
      </c>
      <c r="D1655" s="22" t="str">
        <f t="array" ref="D1655">IFERROR(INDEX('Kode Outlet dan Target Toko'!$A:$A,MATCH($I1655,'Kode Outlet dan Target Toko'!$E:$E,0)),"")</f>
        <v>GRSM 4</v>
      </c>
      <c r="E1655" s="20" t="str">
        <f>IFERROR(VLOOKUP(I1655,KET!$B:$F,4,0),"")</f>
        <v>FAHMI LUKMANUL HAKIM</v>
      </c>
      <c r="F1655" s="20" t="str">
        <f>IFERROR(VLOOKUP(I1655,KET!$B:$F,5,0),"")</f>
        <v>GMM</v>
      </c>
      <c r="G1655" s="20">
        <f>IFERROR(INDEX('Kode Outlet dan Target Toko'!$C:$C,MATCH($I1655,'Kode Outlet dan Target Toko'!$E:$E,0)),0)</f>
        <v>189901</v>
      </c>
      <c r="H1655" s="20">
        <f>IFERROR(INDEX('Kode Outlet dan Target Toko'!$D:$D,MATCH($I1655,'Kode Outlet dan Target Toko'!$E:$E,0)),0)</f>
        <v>1602016</v>
      </c>
      <c r="I1655" s="42" t="s">
        <v>35</v>
      </c>
      <c r="J1655" s="56" t="s">
        <v>172</v>
      </c>
      <c r="K1655" s="40" t="s">
        <v>15</v>
      </c>
      <c r="L1655" s="26">
        <v>3400</v>
      </c>
      <c r="M1655" s="26">
        <v>200</v>
      </c>
      <c r="N1655" s="25">
        <f t="shared" si="51"/>
        <v>680000</v>
      </c>
      <c r="O1655" s="56"/>
    </row>
    <row r="1656" spans="1:15" hidden="1" x14ac:dyDescent="0.3">
      <c r="A1656" s="26">
        <v>29</v>
      </c>
      <c r="B1656" s="20" t="str">
        <f t="shared" si="50"/>
        <v>JUL</v>
      </c>
      <c r="C1656" s="21">
        <v>46222</v>
      </c>
      <c r="D1656" s="22" t="str">
        <f t="array" ref="D1656">IFERROR(INDEX('Kode Outlet dan Target Toko'!$A:$A,MATCH($I1656,'Kode Outlet dan Target Toko'!$E:$E,0)),"")</f>
        <v>GRSM 4</v>
      </c>
      <c r="E1656" s="20" t="str">
        <f>IFERROR(VLOOKUP(I1656,KET!$B:$F,4,0),"")</f>
        <v>FAHMI LUKMANUL HAKIM</v>
      </c>
      <c r="F1656" s="20" t="str">
        <f>IFERROR(VLOOKUP(I1656,KET!$B:$F,5,0),"")</f>
        <v>GMM</v>
      </c>
      <c r="G1656" s="20">
        <f>IFERROR(INDEX('Kode Outlet dan Target Toko'!$C:$C,MATCH($I1656,'Kode Outlet dan Target Toko'!$E:$E,0)),0)</f>
        <v>189901</v>
      </c>
      <c r="H1656" s="20">
        <f>IFERROR(INDEX('Kode Outlet dan Target Toko'!$D:$D,MATCH($I1656,'Kode Outlet dan Target Toko'!$E:$E,0)),0)</f>
        <v>1602016</v>
      </c>
      <c r="I1656" s="42" t="s">
        <v>35</v>
      </c>
      <c r="J1656" s="56" t="s">
        <v>172</v>
      </c>
      <c r="K1656" s="40" t="s">
        <v>14</v>
      </c>
      <c r="L1656" s="26">
        <v>3400</v>
      </c>
      <c r="M1656" s="26">
        <v>210</v>
      </c>
      <c r="N1656" s="25">
        <f t="shared" si="51"/>
        <v>714000</v>
      </c>
      <c r="O1656" s="56"/>
    </row>
    <row r="1657" spans="1:15" hidden="1" x14ac:dyDescent="0.3">
      <c r="A1657" s="26">
        <v>29</v>
      </c>
      <c r="B1657" s="20" t="str">
        <f t="shared" si="50"/>
        <v>JUL</v>
      </c>
      <c r="C1657" s="21">
        <v>46222</v>
      </c>
      <c r="D1657" s="22" t="str">
        <f t="array" ref="D1657">IFERROR(INDEX('Kode Outlet dan Target Toko'!$A:$A,MATCH($I1657,'Kode Outlet dan Target Toko'!$E:$E,0)),"")</f>
        <v>GRSM 4</v>
      </c>
      <c r="E1657" s="20" t="str">
        <f>IFERROR(VLOOKUP(I1657,KET!$B:$F,4,0),"")</f>
        <v>FAHMI LUKMANUL HAKIM</v>
      </c>
      <c r="F1657" s="20" t="str">
        <f>IFERROR(VLOOKUP(I1657,KET!$B:$F,5,0),"")</f>
        <v>GMM</v>
      </c>
      <c r="G1657" s="20">
        <f>IFERROR(INDEX('Kode Outlet dan Target Toko'!$C:$C,MATCH($I1657,'Kode Outlet dan Target Toko'!$E:$E,0)),0)</f>
        <v>189901</v>
      </c>
      <c r="H1657" s="20">
        <f>IFERROR(INDEX('Kode Outlet dan Target Toko'!$D:$D,MATCH($I1657,'Kode Outlet dan Target Toko'!$E:$E,0)),0)</f>
        <v>1602016</v>
      </c>
      <c r="I1657" s="42" t="s">
        <v>35</v>
      </c>
      <c r="J1657" s="56" t="s">
        <v>172</v>
      </c>
      <c r="K1657" s="40" t="s">
        <v>13</v>
      </c>
      <c r="L1657" s="26">
        <v>3400</v>
      </c>
      <c r="M1657" s="26">
        <v>180</v>
      </c>
      <c r="N1657" s="25">
        <f t="shared" si="51"/>
        <v>612000</v>
      </c>
      <c r="O1657" s="56"/>
    </row>
    <row r="1658" spans="1:15" hidden="1" x14ac:dyDescent="0.3">
      <c r="A1658" s="26">
        <v>29</v>
      </c>
      <c r="B1658" s="20" t="str">
        <f t="shared" si="50"/>
        <v>JUL</v>
      </c>
      <c r="C1658" s="21">
        <v>46222</v>
      </c>
      <c r="D1658" s="22" t="str">
        <f t="array" ref="D1658">IFERROR(INDEX('Kode Outlet dan Target Toko'!$A:$A,MATCH($I1658,'Kode Outlet dan Target Toko'!$E:$E,0)),"")</f>
        <v>GRSM 4</v>
      </c>
      <c r="E1658" s="20" t="str">
        <f>IFERROR(VLOOKUP(I1658,KET!$B:$F,4,0),"")</f>
        <v>FAHMI LUKMANUL HAKIM</v>
      </c>
      <c r="F1658" s="20" t="str">
        <f>IFERROR(VLOOKUP(I1658,KET!$B:$F,5,0),"")</f>
        <v>GMM</v>
      </c>
      <c r="G1658" s="20">
        <f>IFERROR(INDEX('Kode Outlet dan Target Toko'!$C:$C,MATCH($I1658,'Kode Outlet dan Target Toko'!$E:$E,0)),0)</f>
        <v>189901</v>
      </c>
      <c r="H1658" s="20">
        <f>IFERROR(INDEX('Kode Outlet dan Target Toko'!$D:$D,MATCH($I1658,'Kode Outlet dan Target Toko'!$E:$E,0)),0)</f>
        <v>1602016</v>
      </c>
      <c r="I1658" s="42" t="s">
        <v>35</v>
      </c>
      <c r="J1658" s="56" t="s">
        <v>172</v>
      </c>
      <c r="K1658" s="40" t="s">
        <v>16</v>
      </c>
      <c r="L1658" s="26">
        <v>3400</v>
      </c>
      <c r="M1658" s="26">
        <v>360</v>
      </c>
      <c r="N1658" s="25">
        <f t="shared" si="51"/>
        <v>1224000</v>
      </c>
      <c r="O1658" s="56">
        <v>160</v>
      </c>
    </row>
    <row r="1659" spans="1:15" hidden="1" x14ac:dyDescent="0.3">
      <c r="A1659" s="26">
        <v>29</v>
      </c>
      <c r="B1659" s="20" t="str">
        <f t="shared" si="50"/>
        <v>JUL</v>
      </c>
      <c r="C1659" s="21">
        <v>46222</v>
      </c>
      <c r="D1659" s="22" t="str">
        <f t="array" ref="D1659">IFERROR(INDEX('Kode Outlet dan Target Toko'!$A:$A,MATCH($I1659,'Kode Outlet dan Target Toko'!$E:$E,0)),"")</f>
        <v>GRSM 4</v>
      </c>
      <c r="E1659" s="20" t="str">
        <f>IFERROR(VLOOKUP(I1659,KET!$B:$F,4,0),"")</f>
        <v>FAHMI LUKMANUL HAKIM</v>
      </c>
      <c r="F1659" s="20" t="str">
        <f>IFERROR(VLOOKUP(I1659,KET!$B:$F,5,0),"")</f>
        <v>GMM</v>
      </c>
      <c r="G1659" s="20">
        <f>IFERROR(INDEX('Kode Outlet dan Target Toko'!$C:$C,MATCH($I1659,'Kode Outlet dan Target Toko'!$E:$E,0)),0)</f>
        <v>189901</v>
      </c>
      <c r="H1659" s="20">
        <f>IFERROR(INDEX('Kode Outlet dan Target Toko'!$D:$D,MATCH($I1659,'Kode Outlet dan Target Toko'!$E:$E,0)),0)</f>
        <v>1602018</v>
      </c>
      <c r="I1659" s="50" t="s">
        <v>34</v>
      </c>
      <c r="J1659" s="56" t="s">
        <v>262</v>
      </c>
      <c r="K1659" s="40" t="s">
        <v>15</v>
      </c>
      <c r="L1659" s="26">
        <v>3500</v>
      </c>
      <c r="M1659" s="26">
        <v>40</v>
      </c>
      <c r="N1659" s="25">
        <f t="shared" si="51"/>
        <v>140000</v>
      </c>
      <c r="O1659" s="56"/>
    </row>
    <row r="1660" spans="1:15" hidden="1" x14ac:dyDescent="0.3">
      <c r="A1660" s="26">
        <v>29</v>
      </c>
      <c r="B1660" s="20" t="str">
        <f t="shared" si="50"/>
        <v>JUL</v>
      </c>
      <c r="C1660" s="21">
        <v>46222</v>
      </c>
      <c r="D1660" s="22" t="str">
        <f t="array" ref="D1660">IFERROR(INDEX('Kode Outlet dan Target Toko'!$A:$A,MATCH($I1660,'Kode Outlet dan Target Toko'!$E:$E,0)),"")</f>
        <v>GRSM 4</v>
      </c>
      <c r="E1660" s="20" t="str">
        <f>IFERROR(VLOOKUP(I1660,KET!$B:$F,4,0),"")</f>
        <v>FAHMI LUKMANUL HAKIM</v>
      </c>
      <c r="F1660" s="20" t="str">
        <f>IFERROR(VLOOKUP(I1660,KET!$B:$F,5,0),"")</f>
        <v>GMM</v>
      </c>
      <c r="G1660" s="20">
        <f>IFERROR(INDEX('Kode Outlet dan Target Toko'!$C:$C,MATCH($I1660,'Kode Outlet dan Target Toko'!$E:$E,0)),0)</f>
        <v>189901</v>
      </c>
      <c r="H1660" s="20">
        <f>IFERROR(INDEX('Kode Outlet dan Target Toko'!$D:$D,MATCH($I1660,'Kode Outlet dan Target Toko'!$E:$E,0)),0)</f>
        <v>1602018</v>
      </c>
      <c r="I1660" s="50" t="s">
        <v>34</v>
      </c>
      <c r="J1660" s="56" t="s">
        <v>262</v>
      </c>
      <c r="K1660" s="40" t="s">
        <v>14</v>
      </c>
      <c r="L1660" s="26">
        <v>3500</v>
      </c>
      <c r="M1660" s="26">
        <v>40</v>
      </c>
      <c r="N1660" s="25">
        <f t="shared" si="51"/>
        <v>140000</v>
      </c>
      <c r="O1660" s="56"/>
    </row>
    <row r="1661" spans="1:15" hidden="1" x14ac:dyDescent="0.3">
      <c r="A1661" s="26">
        <v>29</v>
      </c>
      <c r="B1661" s="20" t="str">
        <f t="shared" si="50"/>
        <v>JUL</v>
      </c>
      <c r="C1661" s="21">
        <v>46222</v>
      </c>
      <c r="D1661" s="22" t="str">
        <f t="array" ref="D1661">IFERROR(INDEX('Kode Outlet dan Target Toko'!$A:$A,MATCH($I1661,'Kode Outlet dan Target Toko'!$E:$E,0)),"")</f>
        <v>GRSM 4</v>
      </c>
      <c r="E1661" s="20" t="str">
        <f>IFERROR(VLOOKUP(I1661,KET!$B:$F,4,0),"")</f>
        <v>FAHMI LUKMANUL HAKIM</v>
      </c>
      <c r="F1661" s="20" t="str">
        <f>IFERROR(VLOOKUP(I1661,KET!$B:$F,5,0),"")</f>
        <v>GMM</v>
      </c>
      <c r="G1661" s="20">
        <f>IFERROR(INDEX('Kode Outlet dan Target Toko'!$C:$C,MATCH($I1661,'Kode Outlet dan Target Toko'!$E:$E,0)),0)</f>
        <v>189901</v>
      </c>
      <c r="H1661" s="20">
        <f>IFERROR(INDEX('Kode Outlet dan Target Toko'!$D:$D,MATCH($I1661,'Kode Outlet dan Target Toko'!$E:$E,0)),0)</f>
        <v>1602018</v>
      </c>
      <c r="I1661" s="50" t="s">
        <v>34</v>
      </c>
      <c r="J1661" s="56" t="s">
        <v>262</v>
      </c>
      <c r="K1661" s="40" t="s">
        <v>13</v>
      </c>
      <c r="L1661" s="26">
        <v>3500</v>
      </c>
      <c r="M1661" s="26">
        <v>35</v>
      </c>
      <c r="N1661" s="25">
        <f t="shared" si="51"/>
        <v>122500</v>
      </c>
      <c r="O1661" s="56"/>
    </row>
    <row r="1662" spans="1:15" hidden="1" x14ac:dyDescent="0.3">
      <c r="A1662" s="26">
        <v>29</v>
      </c>
      <c r="B1662" s="20" t="str">
        <f t="shared" si="50"/>
        <v>JUL</v>
      </c>
      <c r="C1662" s="21">
        <v>46222</v>
      </c>
      <c r="D1662" s="22" t="str">
        <f t="array" ref="D1662">IFERROR(INDEX('Kode Outlet dan Target Toko'!$A:$A,MATCH($I1662,'Kode Outlet dan Target Toko'!$E:$E,0)),"")</f>
        <v>GRSM 4</v>
      </c>
      <c r="E1662" s="20" t="str">
        <f>IFERROR(VLOOKUP(I1662,KET!$B:$F,4,0),"")</f>
        <v>FAHMI LUKMANUL HAKIM</v>
      </c>
      <c r="F1662" s="20" t="str">
        <f>IFERROR(VLOOKUP(I1662,KET!$B:$F,5,0),"")</f>
        <v>GMM</v>
      </c>
      <c r="G1662" s="20">
        <f>IFERROR(INDEX('Kode Outlet dan Target Toko'!$C:$C,MATCH($I1662,'Kode Outlet dan Target Toko'!$E:$E,0)),0)</f>
        <v>189901</v>
      </c>
      <c r="H1662" s="20">
        <f>IFERROR(INDEX('Kode Outlet dan Target Toko'!$D:$D,MATCH($I1662,'Kode Outlet dan Target Toko'!$E:$E,0)),0)</f>
        <v>1602018</v>
      </c>
      <c r="I1662" s="50" t="s">
        <v>34</v>
      </c>
      <c r="J1662" s="56" t="s">
        <v>262</v>
      </c>
      <c r="K1662" s="40" t="s">
        <v>16</v>
      </c>
      <c r="L1662" s="26">
        <v>3500</v>
      </c>
      <c r="M1662" s="26">
        <v>150</v>
      </c>
      <c r="N1662" s="25">
        <f t="shared" si="51"/>
        <v>525000</v>
      </c>
      <c r="O1662" s="56">
        <v>160</v>
      </c>
    </row>
    <row r="1663" spans="1:15" hidden="1" x14ac:dyDescent="0.3">
      <c r="A1663" s="26">
        <v>29</v>
      </c>
      <c r="B1663" s="20" t="str">
        <f t="shared" si="50"/>
        <v>JUL</v>
      </c>
      <c r="C1663" s="21">
        <v>46220</v>
      </c>
      <c r="D1663" s="22" t="str">
        <f t="array" ref="D1663">IFERROR(INDEX('Kode Outlet dan Target Toko'!$A:$A,MATCH($I1663,'Kode Outlet dan Target Toko'!$E:$E,0)),"")</f>
        <v>GRSM 5</v>
      </c>
      <c r="E1663" s="20" t="str">
        <f>IFERROR(VLOOKUP(I1663,KET!$B:$F,4,0),"")</f>
        <v>SUPRIYATI</v>
      </c>
      <c r="F1663" s="20" t="str">
        <f>IFERROR(VLOOKUP(I1663,KET!$B:$F,5,0),"")</f>
        <v>GMM</v>
      </c>
      <c r="G1663" s="20">
        <f>IFERROR(INDEX('Kode Outlet dan Target Toko'!$C:$C,MATCH($I1663,'Kode Outlet dan Target Toko'!$E:$E,0)),0)</f>
        <v>170220</v>
      </c>
      <c r="H1663" s="20">
        <f>IFERROR(INDEX('Kode Outlet dan Target Toko'!$D:$D,MATCH($I1663,'Kode Outlet dan Target Toko'!$E:$E,0)),0)</f>
        <v>9000015</v>
      </c>
      <c r="I1663" s="50" t="s">
        <v>33</v>
      </c>
      <c r="J1663" s="56" t="s">
        <v>261</v>
      </c>
      <c r="K1663" s="40" t="s">
        <v>15</v>
      </c>
      <c r="L1663" s="26">
        <v>2200</v>
      </c>
      <c r="M1663" s="26">
        <v>59</v>
      </c>
      <c r="N1663" s="25">
        <f t="shared" si="51"/>
        <v>129800</v>
      </c>
      <c r="O1663" s="56"/>
    </row>
    <row r="1664" spans="1:15" hidden="1" x14ac:dyDescent="0.3">
      <c r="A1664" s="26">
        <v>29</v>
      </c>
      <c r="B1664" s="20" t="str">
        <f t="shared" si="50"/>
        <v>JUL</v>
      </c>
      <c r="C1664" s="21">
        <v>46220</v>
      </c>
      <c r="D1664" s="22" t="str">
        <f t="array" ref="D1664">IFERROR(INDEX('Kode Outlet dan Target Toko'!$A:$A,MATCH($I1664,'Kode Outlet dan Target Toko'!$E:$E,0)),"")</f>
        <v>GRSM 5</v>
      </c>
      <c r="E1664" s="20" t="str">
        <f>IFERROR(VLOOKUP(I1664,KET!$B:$F,4,0),"")</f>
        <v>SUPRIYATI</v>
      </c>
      <c r="F1664" s="20" t="str">
        <f>IFERROR(VLOOKUP(I1664,KET!$B:$F,5,0),"")</f>
        <v>GMM</v>
      </c>
      <c r="G1664" s="20">
        <f>IFERROR(INDEX('Kode Outlet dan Target Toko'!$C:$C,MATCH($I1664,'Kode Outlet dan Target Toko'!$E:$E,0)),0)</f>
        <v>170220</v>
      </c>
      <c r="H1664" s="20">
        <f>IFERROR(INDEX('Kode Outlet dan Target Toko'!$D:$D,MATCH($I1664,'Kode Outlet dan Target Toko'!$E:$E,0)),0)</f>
        <v>9000015</v>
      </c>
      <c r="I1664" s="50" t="s">
        <v>33</v>
      </c>
      <c r="J1664" s="56" t="s">
        <v>261</v>
      </c>
      <c r="K1664" s="40" t="s">
        <v>14</v>
      </c>
      <c r="L1664" s="26">
        <v>2200</v>
      </c>
      <c r="M1664" s="26">
        <v>48</v>
      </c>
      <c r="N1664" s="25">
        <f t="shared" si="51"/>
        <v>105600</v>
      </c>
      <c r="O1664" s="56"/>
    </row>
    <row r="1665" spans="1:15" hidden="1" x14ac:dyDescent="0.3">
      <c r="A1665" s="26">
        <v>29</v>
      </c>
      <c r="B1665" s="20" t="str">
        <f t="shared" si="50"/>
        <v>JUL</v>
      </c>
      <c r="C1665" s="21">
        <v>46220</v>
      </c>
      <c r="D1665" s="22" t="str">
        <f t="array" ref="D1665">IFERROR(INDEX('Kode Outlet dan Target Toko'!$A:$A,MATCH($I1665,'Kode Outlet dan Target Toko'!$E:$E,0)),"")</f>
        <v>GRSM 5</v>
      </c>
      <c r="E1665" s="20" t="str">
        <f>IFERROR(VLOOKUP(I1665,KET!$B:$F,4,0),"")</f>
        <v>SUPRIYATI</v>
      </c>
      <c r="F1665" s="20" t="str">
        <f>IFERROR(VLOOKUP(I1665,KET!$B:$F,5,0),"")</f>
        <v>GMM</v>
      </c>
      <c r="G1665" s="20">
        <f>IFERROR(INDEX('Kode Outlet dan Target Toko'!$C:$C,MATCH($I1665,'Kode Outlet dan Target Toko'!$E:$E,0)),0)</f>
        <v>170220</v>
      </c>
      <c r="H1665" s="20">
        <f>IFERROR(INDEX('Kode Outlet dan Target Toko'!$D:$D,MATCH($I1665,'Kode Outlet dan Target Toko'!$E:$E,0)),0)</f>
        <v>9000015</v>
      </c>
      <c r="I1665" s="50" t="s">
        <v>33</v>
      </c>
      <c r="J1665" s="56" t="s">
        <v>261</v>
      </c>
      <c r="K1665" s="40" t="s">
        <v>13</v>
      </c>
      <c r="L1665" s="26">
        <v>2200</v>
      </c>
      <c r="M1665" s="26">
        <v>23</v>
      </c>
      <c r="N1665" s="25">
        <f t="shared" si="51"/>
        <v>50600</v>
      </c>
      <c r="O1665" s="56"/>
    </row>
    <row r="1666" spans="1:15" hidden="1" x14ac:dyDescent="0.3">
      <c r="A1666" s="26">
        <v>29</v>
      </c>
      <c r="B1666" s="20" t="str">
        <f t="shared" si="50"/>
        <v>JUL</v>
      </c>
      <c r="C1666" s="21">
        <v>46220</v>
      </c>
      <c r="D1666" s="22" t="str">
        <f t="array" ref="D1666">IFERROR(INDEX('Kode Outlet dan Target Toko'!$A:$A,MATCH($I1666,'Kode Outlet dan Target Toko'!$E:$E,0)),"")</f>
        <v>GRSM 5</v>
      </c>
      <c r="E1666" s="20" t="str">
        <f>IFERROR(VLOOKUP(I1666,KET!$B:$F,4,0),"")</f>
        <v>SUPRIYATI</v>
      </c>
      <c r="F1666" s="20" t="str">
        <f>IFERROR(VLOOKUP(I1666,KET!$B:$F,5,0),"")</f>
        <v>GMM</v>
      </c>
      <c r="G1666" s="20">
        <f>IFERROR(INDEX('Kode Outlet dan Target Toko'!$C:$C,MATCH($I1666,'Kode Outlet dan Target Toko'!$E:$E,0)),0)</f>
        <v>170220</v>
      </c>
      <c r="H1666" s="20">
        <f>IFERROR(INDEX('Kode Outlet dan Target Toko'!$D:$D,MATCH($I1666,'Kode Outlet dan Target Toko'!$E:$E,0)),0)</f>
        <v>9000015</v>
      </c>
      <c r="I1666" s="50" t="s">
        <v>33</v>
      </c>
      <c r="J1666" s="56" t="s">
        <v>261</v>
      </c>
      <c r="K1666" s="40" t="s">
        <v>16</v>
      </c>
      <c r="L1666" s="26">
        <v>2200</v>
      </c>
      <c r="M1666" s="26">
        <v>487</v>
      </c>
      <c r="N1666" s="25">
        <f t="shared" si="51"/>
        <v>1071400</v>
      </c>
      <c r="O1666" s="56">
        <v>72</v>
      </c>
    </row>
    <row r="1667" spans="1:15" hidden="1" x14ac:dyDescent="0.3">
      <c r="A1667" s="26">
        <v>29</v>
      </c>
      <c r="B1667" s="20" t="str">
        <f t="shared" si="50"/>
        <v>JUL</v>
      </c>
      <c r="C1667" s="21">
        <v>46220</v>
      </c>
      <c r="D1667" s="22" t="str">
        <f t="array" ref="D1667">IFERROR(INDEX('Kode Outlet dan Target Toko'!$A:$A,MATCH($I1667,'Kode Outlet dan Target Toko'!$E:$E,0)),"")</f>
        <v>GRSM 5</v>
      </c>
      <c r="E1667" s="20" t="str">
        <f>IFERROR(VLOOKUP(I1667,KET!$B:$F,4,0),"")</f>
        <v>SUPRIYATI</v>
      </c>
      <c r="F1667" s="20" t="str">
        <f>IFERROR(VLOOKUP(I1667,KET!$B:$F,5,0),"")</f>
        <v>GMM</v>
      </c>
      <c r="G1667" s="20">
        <f>IFERROR(INDEX('Kode Outlet dan Target Toko'!$C:$C,MATCH($I1667,'Kode Outlet dan Target Toko'!$E:$E,0)),0)</f>
        <v>170220</v>
      </c>
      <c r="H1667" s="20">
        <f>IFERROR(INDEX('Kode Outlet dan Target Toko'!$D:$D,MATCH($I1667,'Kode Outlet dan Target Toko'!$E:$E,0)),0)</f>
        <v>1901019</v>
      </c>
      <c r="I1667" s="42" t="s">
        <v>38</v>
      </c>
      <c r="J1667" s="56" t="s">
        <v>267</v>
      </c>
      <c r="K1667" s="40" t="s">
        <v>15</v>
      </c>
      <c r="L1667" s="26">
        <v>2200</v>
      </c>
      <c r="M1667" s="26">
        <v>72</v>
      </c>
      <c r="N1667" s="25">
        <f t="shared" si="51"/>
        <v>158400</v>
      </c>
      <c r="O1667" s="56"/>
    </row>
    <row r="1668" spans="1:15" hidden="1" x14ac:dyDescent="0.3">
      <c r="A1668" s="26">
        <v>29</v>
      </c>
      <c r="B1668" s="20" t="str">
        <f t="shared" si="50"/>
        <v>JUL</v>
      </c>
      <c r="C1668" s="21">
        <v>46220</v>
      </c>
      <c r="D1668" s="22" t="str">
        <f t="array" ref="D1668">IFERROR(INDEX('Kode Outlet dan Target Toko'!$A:$A,MATCH($I1668,'Kode Outlet dan Target Toko'!$E:$E,0)),"")</f>
        <v>GRSM 5</v>
      </c>
      <c r="E1668" s="20" t="str">
        <f>IFERROR(VLOOKUP(I1668,KET!$B:$F,4,0),"")</f>
        <v>SUPRIYATI</v>
      </c>
      <c r="F1668" s="20" t="str">
        <f>IFERROR(VLOOKUP(I1668,KET!$B:$F,5,0),"")</f>
        <v>GMM</v>
      </c>
      <c r="G1668" s="20">
        <f>IFERROR(INDEX('Kode Outlet dan Target Toko'!$C:$C,MATCH($I1668,'Kode Outlet dan Target Toko'!$E:$E,0)),0)</f>
        <v>170220</v>
      </c>
      <c r="H1668" s="20">
        <f>IFERROR(INDEX('Kode Outlet dan Target Toko'!$D:$D,MATCH($I1668,'Kode Outlet dan Target Toko'!$E:$E,0)),0)</f>
        <v>1901019</v>
      </c>
      <c r="I1668" s="42" t="s">
        <v>38</v>
      </c>
      <c r="J1668" s="56" t="s">
        <v>267</v>
      </c>
      <c r="K1668" s="40" t="s">
        <v>14</v>
      </c>
      <c r="L1668" s="26">
        <v>2200</v>
      </c>
      <c r="M1668" s="26">
        <v>56</v>
      </c>
      <c r="N1668" s="25">
        <f t="shared" si="51"/>
        <v>123200</v>
      </c>
      <c r="O1668" s="56"/>
    </row>
    <row r="1669" spans="1:15" hidden="1" x14ac:dyDescent="0.3">
      <c r="A1669" s="26">
        <v>29</v>
      </c>
      <c r="B1669" s="20" t="str">
        <f t="shared" si="50"/>
        <v>JUL</v>
      </c>
      <c r="C1669" s="21">
        <v>46220</v>
      </c>
      <c r="D1669" s="22" t="str">
        <f t="array" ref="D1669">IFERROR(INDEX('Kode Outlet dan Target Toko'!$A:$A,MATCH($I1669,'Kode Outlet dan Target Toko'!$E:$E,0)),"")</f>
        <v>GRSM 5</v>
      </c>
      <c r="E1669" s="20" t="str">
        <f>IFERROR(VLOOKUP(I1669,KET!$B:$F,4,0),"")</f>
        <v>SUPRIYATI</v>
      </c>
      <c r="F1669" s="20" t="str">
        <f>IFERROR(VLOOKUP(I1669,KET!$B:$F,5,0),"")</f>
        <v>GMM</v>
      </c>
      <c r="G1669" s="20">
        <f>IFERROR(INDEX('Kode Outlet dan Target Toko'!$C:$C,MATCH($I1669,'Kode Outlet dan Target Toko'!$E:$E,0)),0)</f>
        <v>170220</v>
      </c>
      <c r="H1669" s="20">
        <f>IFERROR(INDEX('Kode Outlet dan Target Toko'!$D:$D,MATCH($I1669,'Kode Outlet dan Target Toko'!$E:$E,0)),0)</f>
        <v>1901019</v>
      </c>
      <c r="I1669" s="42" t="s">
        <v>38</v>
      </c>
      <c r="J1669" s="56" t="s">
        <v>267</v>
      </c>
      <c r="K1669" s="40" t="s">
        <v>13</v>
      </c>
      <c r="L1669" s="26">
        <v>2200</v>
      </c>
      <c r="M1669" s="26">
        <v>92</v>
      </c>
      <c r="N1669" s="25">
        <f t="shared" si="51"/>
        <v>202400</v>
      </c>
      <c r="O1669" s="56"/>
    </row>
    <row r="1670" spans="1:15" hidden="1" x14ac:dyDescent="0.3">
      <c r="A1670" s="26">
        <v>29</v>
      </c>
      <c r="B1670" s="20" t="str">
        <f t="shared" si="50"/>
        <v>JUL</v>
      </c>
      <c r="C1670" s="21">
        <v>46220</v>
      </c>
      <c r="D1670" s="22" t="str">
        <f t="array" ref="D1670">IFERROR(INDEX('Kode Outlet dan Target Toko'!$A:$A,MATCH($I1670,'Kode Outlet dan Target Toko'!$E:$E,0)),"")</f>
        <v>GRSM 5</v>
      </c>
      <c r="E1670" s="20" t="str">
        <f>IFERROR(VLOOKUP(I1670,KET!$B:$F,4,0),"")</f>
        <v>SUPRIYATI</v>
      </c>
      <c r="F1670" s="20" t="str">
        <f>IFERROR(VLOOKUP(I1670,KET!$B:$F,5,0),"")</f>
        <v>GMM</v>
      </c>
      <c r="G1670" s="20">
        <f>IFERROR(INDEX('Kode Outlet dan Target Toko'!$C:$C,MATCH($I1670,'Kode Outlet dan Target Toko'!$E:$E,0)),0)</f>
        <v>170220</v>
      </c>
      <c r="H1670" s="20">
        <f>IFERROR(INDEX('Kode Outlet dan Target Toko'!$D:$D,MATCH($I1670,'Kode Outlet dan Target Toko'!$E:$E,0)),0)</f>
        <v>1901019</v>
      </c>
      <c r="I1670" s="42" t="s">
        <v>38</v>
      </c>
      <c r="J1670" s="56" t="s">
        <v>267</v>
      </c>
      <c r="K1670" s="40" t="s">
        <v>16</v>
      </c>
      <c r="L1670" s="26">
        <v>2200</v>
      </c>
      <c r="M1670" s="26">
        <v>176</v>
      </c>
      <c r="N1670" s="25">
        <f t="shared" si="51"/>
        <v>387200</v>
      </c>
      <c r="O1670" s="56">
        <v>160</v>
      </c>
    </row>
    <row r="1671" spans="1:15" hidden="1" x14ac:dyDescent="0.3">
      <c r="A1671" s="26">
        <v>29</v>
      </c>
      <c r="B1671" s="20" t="str">
        <f t="shared" ref="B1671:B1734" si="52">IF(C1671="","",UPPER(TEXT(C1671, "MMM")))</f>
        <v>JUL</v>
      </c>
      <c r="C1671" s="21">
        <v>46220</v>
      </c>
      <c r="D1671" s="22" t="str">
        <f t="array" ref="D1671">IFERROR(INDEX('Kode Outlet dan Target Toko'!$A:$A,MATCH($I1671,'Kode Outlet dan Target Toko'!$E:$E,0)),"")</f>
        <v>GRSM 5</v>
      </c>
      <c r="E1671" s="20" t="str">
        <f>IFERROR(VLOOKUP(I1671,KET!$B:$F,4,0),"")</f>
        <v>SUPRIYATI</v>
      </c>
      <c r="F1671" s="20" t="str">
        <f>IFERROR(VLOOKUP(I1671,KET!$B:$F,5,0),"")</f>
        <v>GMM</v>
      </c>
      <c r="G1671" s="20">
        <f>IFERROR(INDEX('Kode Outlet dan Target Toko'!$C:$C,MATCH($I1671,'Kode Outlet dan Target Toko'!$E:$E,0)),0)</f>
        <v>170220</v>
      </c>
      <c r="H1671" s="20">
        <f>IFERROR(INDEX('Kode Outlet dan Target Toko'!$D:$D,MATCH($I1671,'Kode Outlet dan Target Toko'!$E:$E,0)),0)</f>
        <v>1901019</v>
      </c>
      <c r="I1671" s="42" t="s">
        <v>38</v>
      </c>
      <c r="J1671" s="56" t="s">
        <v>268</v>
      </c>
      <c r="K1671" s="40" t="s">
        <v>15</v>
      </c>
      <c r="L1671" s="26">
        <v>2200</v>
      </c>
      <c r="M1671" s="26">
        <v>72</v>
      </c>
      <c r="N1671" s="25">
        <f t="shared" ref="N1671:N1734" si="53">IFERROR(M1671*L1671,"")</f>
        <v>158400</v>
      </c>
      <c r="O1671" s="56"/>
    </row>
    <row r="1672" spans="1:15" hidden="1" x14ac:dyDescent="0.3">
      <c r="A1672" s="26">
        <v>29</v>
      </c>
      <c r="B1672" s="20" t="str">
        <f t="shared" si="52"/>
        <v>JUL</v>
      </c>
      <c r="C1672" s="21">
        <v>46220</v>
      </c>
      <c r="D1672" s="22" t="str">
        <f t="array" ref="D1672">IFERROR(INDEX('Kode Outlet dan Target Toko'!$A:$A,MATCH($I1672,'Kode Outlet dan Target Toko'!$E:$E,0)),"")</f>
        <v>GRSM 5</v>
      </c>
      <c r="E1672" s="20" t="str">
        <f>IFERROR(VLOOKUP(I1672,KET!$B:$F,4,0),"")</f>
        <v>SUPRIYATI</v>
      </c>
      <c r="F1672" s="20" t="str">
        <f>IFERROR(VLOOKUP(I1672,KET!$B:$F,5,0),"")</f>
        <v>GMM</v>
      </c>
      <c r="G1672" s="20">
        <f>IFERROR(INDEX('Kode Outlet dan Target Toko'!$C:$C,MATCH($I1672,'Kode Outlet dan Target Toko'!$E:$E,0)),0)</f>
        <v>170220</v>
      </c>
      <c r="H1672" s="20">
        <f>IFERROR(INDEX('Kode Outlet dan Target Toko'!$D:$D,MATCH($I1672,'Kode Outlet dan Target Toko'!$E:$E,0)),0)</f>
        <v>1901019</v>
      </c>
      <c r="I1672" s="42" t="s">
        <v>38</v>
      </c>
      <c r="J1672" s="56" t="s">
        <v>268</v>
      </c>
      <c r="K1672" s="40" t="s">
        <v>14</v>
      </c>
      <c r="L1672" s="26">
        <v>2200</v>
      </c>
      <c r="M1672" s="26">
        <v>56</v>
      </c>
      <c r="N1672" s="25">
        <f t="shared" si="53"/>
        <v>123200</v>
      </c>
      <c r="O1672" s="56"/>
    </row>
    <row r="1673" spans="1:15" hidden="1" x14ac:dyDescent="0.3">
      <c r="A1673" s="26">
        <v>29</v>
      </c>
      <c r="B1673" s="20" t="str">
        <f t="shared" si="52"/>
        <v>JUL</v>
      </c>
      <c r="C1673" s="21">
        <v>46220</v>
      </c>
      <c r="D1673" s="22" t="str">
        <f t="array" ref="D1673">IFERROR(INDEX('Kode Outlet dan Target Toko'!$A:$A,MATCH($I1673,'Kode Outlet dan Target Toko'!$E:$E,0)),"")</f>
        <v>GRSM 5</v>
      </c>
      <c r="E1673" s="20" t="str">
        <f>IFERROR(VLOOKUP(I1673,KET!$B:$F,4,0),"")</f>
        <v>SUPRIYATI</v>
      </c>
      <c r="F1673" s="20" t="str">
        <f>IFERROR(VLOOKUP(I1673,KET!$B:$F,5,0),"")</f>
        <v>GMM</v>
      </c>
      <c r="G1673" s="20">
        <f>IFERROR(INDEX('Kode Outlet dan Target Toko'!$C:$C,MATCH($I1673,'Kode Outlet dan Target Toko'!$E:$E,0)),0)</f>
        <v>170220</v>
      </c>
      <c r="H1673" s="20">
        <f>IFERROR(INDEX('Kode Outlet dan Target Toko'!$D:$D,MATCH($I1673,'Kode Outlet dan Target Toko'!$E:$E,0)),0)</f>
        <v>1901019</v>
      </c>
      <c r="I1673" s="42" t="s">
        <v>38</v>
      </c>
      <c r="J1673" s="56" t="s">
        <v>268</v>
      </c>
      <c r="K1673" s="40" t="s">
        <v>13</v>
      </c>
      <c r="L1673" s="26">
        <v>2200</v>
      </c>
      <c r="M1673" s="26">
        <v>92</v>
      </c>
      <c r="N1673" s="25">
        <f t="shared" si="53"/>
        <v>202400</v>
      </c>
      <c r="O1673" s="56"/>
    </row>
    <row r="1674" spans="1:15" hidden="1" x14ac:dyDescent="0.3">
      <c r="A1674" s="26">
        <v>29</v>
      </c>
      <c r="B1674" s="20" t="str">
        <f t="shared" si="52"/>
        <v>JUL</v>
      </c>
      <c r="C1674" s="21">
        <v>46220</v>
      </c>
      <c r="D1674" s="22" t="str">
        <f t="array" ref="D1674">IFERROR(INDEX('Kode Outlet dan Target Toko'!$A:$A,MATCH($I1674,'Kode Outlet dan Target Toko'!$E:$E,0)),"")</f>
        <v>GRSM 5</v>
      </c>
      <c r="E1674" s="20" t="str">
        <f>IFERROR(VLOOKUP(I1674,KET!$B:$F,4,0),"")</f>
        <v>SUPRIYATI</v>
      </c>
      <c r="F1674" s="20" t="str">
        <f>IFERROR(VLOOKUP(I1674,KET!$B:$F,5,0),"")</f>
        <v>GMM</v>
      </c>
      <c r="G1674" s="20">
        <f>IFERROR(INDEX('Kode Outlet dan Target Toko'!$C:$C,MATCH($I1674,'Kode Outlet dan Target Toko'!$E:$E,0)),0)</f>
        <v>170220</v>
      </c>
      <c r="H1674" s="20">
        <f>IFERROR(INDEX('Kode Outlet dan Target Toko'!$D:$D,MATCH($I1674,'Kode Outlet dan Target Toko'!$E:$E,0)),0)</f>
        <v>1901019</v>
      </c>
      <c r="I1674" s="42" t="s">
        <v>38</v>
      </c>
      <c r="J1674" s="56" t="s">
        <v>268</v>
      </c>
      <c r="K1674" s="40" t="s">
        <v>16</v>
      </c>
      <c r="L1674" s="26">
        <v>2200</v>
      </c>
      <c r="M1674" s="26">
        <v>176</v>
      </c>
      <c r="N1674" s="25">
        <f t="shared" si="53"/>
        <v>387200</v>
      </c>
      <c r="O1674" s="56">
        <v>160</v>
      </c>
    </row>
    <row r="1675" spans="1:15" hidden="1" x14ac:dyDescent="0.3">
      <c r="A1675" s="26">
        <v>29</v>
      </c>
      <c r="B1675" s="20" t="str">
        <f t="shared" si="52"/>
        <v>JUL</v>
      </c>
      <c r="C1675" s="21">
        <v>46220</v>
      </c>
      <c r="D1675" s="22" t="str">
        <f t="array" ref="D1675">IFERROR(INDEX('Kode Outlet dan Target Toko'!$A:$A,MATCH($I1675,'Kode Outlet dan Target Toko'!$E:$E,0)),"")</f>
        <v>GRSM 5</v>
      </c>
      <c r="E1675" s="20" t="str">
        <f>IFERROR(VLOOKUP(I1675,KET!$B:$F,4,0),"")</f>
        <v>SUPRIYATI</v>
      </c>
      <c r="F1675" s="20" t="str">
        <f>IFERROR(VLOOKUP(I1675,KET!$B:$F,5,0),"")</f>
        <v>GMM</v>
      </c>
      <c r="G1675" s="20">
        <f>IFERROR(INDEX('Kode Outlet dan Target Toko'!$C:$C,MATCH($I1675,'Kode Outlet dan Target Toko'!$E:$E,0)),0)</f>
        <v>170220</v>
      </c>
      <c r="H1675" s="20">
        <f>IFERROR(INDEX('Kode Outlet dan Target Toko'!$D:$D,MATCH($I1675,'Kode Outlet dan Target Toko'!$E:$E,0)),0)</f>
        <v>9000015</v>
      </c>
      <c r="I1675" s="42" t="s">
        <v>37</v>
      </c>
      <c r="J1675" s="56" t="s">
        <v>265</v>
      </c>
      <c r="K1675" s="40" t="s">
        <v>15</v>
      </c>
      <c r="L1675" s="26">
        <v>2200</v>
      </c>
      <c r="M1675" s="26">
        <v>120</v>
      </c>
      <c r="N1675" s="25">
        <f t="shared" si="53"/>
        <v>264000</v>
      </c>
      <c r="O1675" s="56"/>
    </row>
    <row r="1676" spans="1:15" hidden="1" x14ac:dyDescent="0.3">
      <c r="A1676" s="26">
        <v>29</v>
      </c>
      <c r="B1676" s="20" t="str">
        <f t="shared" si="52"/>
        <v>JUL</v>
      </c>
      <c r="C1676" s="21">
        <v>46220</v>
      </c>
      <c r="D1676" s="22" t="str">
        <f t="array" ref="D1676">IFERROR(INDEX('Kode Outlet dan Target Toko'!$A:$A,MATCH($I1676,'Kode Outlet dan Target Toko'!$E:$E,0)),"")</f>
        <v>GRSM 5</v>
      </c>
      <c r="E1676" s="20" t="str">
        <f>IFERROR(VLOOKUP(I1676,KET!$B:$F,4,0),"")</f>
        <v>SUPRIYATI</v>
      </c>
      <c r="F1676" s="20" t="str">
        <f>IFERROR(VLOOKUP(I1676,KET!$B:$F,5,0),"")</f>
        <v>GMM</v>
      </c>
      <c r="G1676" s="20">
        <f>IFERROR(INDEX('Kode Outlet dan Target Toko'!$C:$C,MATCH($I1676,'Kode Outlet dan Target Toko'!$E:$E,0)),0)</f>
        <v>170220</v>
      </c>
      <c r="H1676" s="20">
        <f>IFERROR(INDEX('Kode Outlet dan Target Toko'!$D:$D,MATCH($I1676,'Kode Outlet dan Target Toko'!$E:$E,0)),0)</f>
        <v>9000015</v>
      </c>
      <c r="I1676" s="42" t="s">
        <v>37</v>
      </c>
      <c r="J1676" s="56" t="s">
        <v>265</v>
      </c>
      <c r="K1676" s="40" t="s">
        <v>14</v>
      </c>
      <c r="L1676" s="26">
        <v>2200</v>
      </c>
      <c r="M1676" s="26">
        <v>236</v>
      </c>
      <c r="N1676" s="25">
        <f t="shared" si="53"/>
        <v>519200</v>
      </c>
      <c r="O1676" s="56"/>
    </row>
    <row r="1677" spans="1:15" hidden="1" x14ac:dyDescent="0.3">
      <c r="A1677" s="26">
        <v>29</v>
      </c>
      <c r="B1677" s="20" t="str">
        <f t="shared" si="52"/>
        <v>JUL</v>
      </c>
      <c r="C1677" s="21">
        <v>46220</v>
      </c>
      <c r="D1677" s="22" t="str">
        <f t="array" ref="D1677">IFERROR(INDEX('Kode Outlet dan Target Toko'!$A:$A,MATCH($I1677,'Kode Outlet dan Target Toko'!$E:$E,0)),"")</f>
        <v>GRSM 5</v>
      </c>
      <c r="E1677" s="20" t="str">
        <f>IFERROR(VLOOKUP(I1677,KET!$B:$F,4,0),"")</f>
        <v>SUPRIYATI</v>
      </c>
      <c r="F1677" s="20" t="str">
        <f>IFERROR(VLOOKUP(I1677,KET!$B:$F,5,0),"")</f>
        <v>GMM</v>
      </c>
      <c r="G1677" s="20">
        <f>IFERROR(INDEX('Kode Outlet dan Target Toko'!$C:$C,MATCH($I1677,'Kode Outlet dan Target Toko'!$E:$E,0)),0)</f>
        <v>170220</v>
      </c>
      <c r="H1677" s="20">
        <f>IFERROR(INDEX('Kode Outlet dan Target Toko'!$D:$D,MATCH($I1677,'Kode Outlet dan Target Toko'!$E:$E,0)),0)</f>
        <v>9000015</v>
      </c>
      <c r="I1677" s="42" t="s">
        <v>37</v>
      </c>
      <c r="J1677" s="56" t="s">
        <v>265</v>
      </c>
      <c r="K1677" s="40" t="s">
        <v>13</v>
      </c>
      <c r="L1677" s="26">
        <v>2200</v>
      </c>
      <c r="M1677" s="26">
        <v>47</v>
      </c>
      <c r="N1677" s="25">
        <f t="shared" si="53"/>
        <v>103400</v>
      </c>
      <c r="O1677" s="56"/>
    </row>
    <row r="1678" spans="1:15" hidden="1" x14ac:dyDescent="0.3">
      <c r="A1678" s="26">
        <v>29</v>
      </c>
      <c r="B1678" s="20" t="str">
        <f t="shared" si="52"/>
        <v>JUL</v>
      </c>
      <c r="C1678" s="21">
        <v>46220</v>
      </c>
      <c r="D1678" s="22" t="str">
        <f t="array" ref="D1678">IFERROR(INDEX('Kode Outlet dan Target Toko'!$A:$A,MATCH($I1678,'Kode Outlet dan Target Toko'!$E:$E,0)),"")</f>
        <v>GRSM 5</v>
      </c>
      <c r="E1678" s="20" t="str">
        <f>IFERROR(VLOOKUP(I1678,KET!$B:$F,4,0),"")</f>
        <v>SUPRIYATI</v>
      </c>
      <c r="F1678" s="20" t="str">
        <f>IFERROR(VLOOKUP(I1678,KET!$B:$F,5,0),"")</f>
        <v>GMM</v>
      </c>
      <c r="G1678" s="20">
        <f>IFERROR(INDEX('Kode Outlet dan Target Toko'!$C:$C,MATCH($I1678,'Kode Outlet dan Target Toko'!$E:$E,0)),0)</f>
        <v>170220</v>
      </c>
      <c r="H1678" s="20">
        <f>IFERROR(INDEX('Kode Outlet dan Target Toko'!$D:$D,MATCH($I1678,'Kode Outlet dan Target Toko'!$E:$E,0)),0)</f>
        <v>9000015</v>
      </c>
      <c r="I1678" s="42" t="s">
        <v>37</v>
      </c>
      <c r="J1678" s="56" t="s">
        <v>265</v>
      </c>
      <c r="K1678" s="40" t="s">
        <v>16</v>
      </c>
      <c r="L1678" s="26">
        <v>2200</v>
      </c>
      <c r="M1678" s="26">
        <v>361</v>
      </c>
      <c r="N1678" s="25">
        <f t="shared" si="53"/>
        <v>794200</v>
      </c>
      <c r="O1678" s="56">
        <v>160</v>
      </c>
    </row>
    <row r="1679" spans="1:15" hidden="1" x14ac:dyDescent="0.3">
      <c r="A1679" s="26">
        <v>29</v>
      </c>
      <c r="B1679" s="20" t="str">
        <f t="shared" si="52"/>
        <v>JUL</v>
      </c>
      <c r="C1679" s="21">
        <v>46220</v>
      </c>
      <c r="D1679" s="22" t="str">
        <f t="array" ref="D1679">IFERROR(INDEX('Kode Outlet dan Target Toko'!$A:$A,MATCH($I1679,'Kode Outlet dan Target Toko'!$E:$E,0)),"")</f>
        <v>GRSM 5</v>
      </c>
      <c r="E1679" s="20" t="str">
        <f>IFERROR(VLOOKUP(I1679,KET!$B:$F,4,0),"")</f>
        <v>SUPRIYATI</v>
      </c>
      <c r="F1679" s="20" t="str">
        <f>IFERROR(VLOOKUP(I1679,KET!$B:$F,5,0),"")</f>
        <v>GMM</v>
      </c>
      <c r="G1679" s="20">
        <f>IFERROR(INDEX('Kode Outlet dan Target Toko'!$C:$C,MATCH($I1679,'Kode Outlet dan Target Toko'!$E:$E,0)),0)</f>
        <v>170220</v>
      </c>
      <c r="H1679" s="20">
        <f>IFERROR(INDEX('Kode Outlet dan Target Toko'!$D:$D,MATCH($I1679,'Kode Outlet dan Target Toko'!$E:$E,0)),0)</f>
        <v>9000015</v>
      </c>
      <c r="I1679" s="42" t="s">
        <v>37</v>
      </c>
      <c r="J1679" s="56" t="s">
        <v>266</v>
      </c>
      <c r="K1679" s="40" t="s">
        <v>15</v>
      </c>
      <c r="L1679" s="26">
        <v>2200</v>
      </c>
      <c r="M1679" s="26">
        <v>120</v>
      </c>
      <c r="N1679" s="25">
        <f t="shared" si="53"/>
        <v>264000</v>
      </c>
      <c r="O1679" s="56"/>
    </row>
    <row r="1680" spans="1:15" hidden="1" x14ac:dyDescent="0.3">
      <c r="A1680" s="26">
        <v>29</v>
      </c>
      <c r="B1680" s="20" t="str">
        <f t="shared" si="52"/>
        <v>JUL</v>
      </c>
      <c r="C1680" s="21">
        <v>46220</v>
      </c>
      <c r="D1680" s="22" t="str">
        <f t="array" ref="D1680">IFERROR(INDEX('Kode Outlet dan Target Toko'!$A:$A,MATCH($I1680,'Kode Outlet dan Target Toko'!$E:$E,0)),"")</f>
        <v>GRSM 5</v>
      </c>
      <c r="E1680" s="20" t="str">
        <f>IFERROR(VLOOKUP(I1680,KET!$B:$F,4,0),"")</f>
        <v>SUPRIYATI</v>
      </c>
      <c r="F1680" s="20" t="str">
        <f>IFERROR(VLOOKUP(I1680,KET!$B:$F,5,0),"")</f>
        <v>GMM</v>
      </c>
      <c r="G1680" s="20">
        <f>IFERROR(INDEX('Kode Outlet dan Target Toko'!$C:$C,MATCH($I1680,'Kode Outlet dan Target Toko'!$E:$E,0)),0)</f>
        <v>170220</v>
      </c>
      <c r="H1680" s="20">
        <f>IFERROR(INDEX('Kode Outlet dan Target Toko'!$D:$D,MATCH($I1680,'Kode Outlet dan Target Toko'!$E:$E,0)),0)</f>
        <v>9000015</v>
      </c>
      <c r="I1680" s="42" t="s">
        <v>37</v>
      </c>
      <c r="J1680" s="56" t="s">
        <v>266</v>
      </c>
      <c r="K1680" s="40" t="s">
        <v>14</v>
      </c>
      <c r="L1680" s="26">
        <v>2200</v>
      </c>
      <c r="M1680" s="26">
        <v>236</v>
      </c>
      <c r="N1680" s="25">
        <f t="shared" si="53"/>
        <v>519200</v>
      </c>
      <c r="O1680" s="56"/>
    </row>
    <row r="1681" spans="1:15" hidden="1" x14ac:dyDescent="0.3">
      <c r="A1681" s="26">
        <v>29</v>
      </c>
      <c r="B1681" s="20" t="str">
        <f t="shared" si="52"/>
        <v>JUL</v>
      </c>
      <c r="C1681" s="21">
        <v>46220</v>
      </c>
      <c r="D1681" s="22" t="str">
        <f t="array" ref="D1681">IFERROR(INDEX('Kode Outlet dan Target Toko'!$A:$A,MATCH($I1681,'Kode Outlet dan Target Toko'!$E:$E,0)),"")</f>
        <v>GRSM 5</v>
      </c>
      <c r="E1681" s="20" t="str">
        <f>IFERROR(VLOOKUP(I1681,KET!$B:$F,4,0),"")</f>
        <v>SUPRIYATI</v>
      </c>
      <c r="F1681" s="20" t="str">
        <f>IFERROR(VLOOKUP(I1681,KET!$B:$F,5,0),"")</f>
        <v>GMM</v>
      </c>
      <c r="G1681" s="20">
        <f>IFERROR(INDEX('Kode Outlet dan Target Toko'!$C:$C,MATCH($I1681,'Kode Outlet dan Target Toko'!$E:$E,0)),0)</f>
        <v>170220</v>
      </c>
      <c r="H1681" s="20">
        <f>IFERROR(INDEX('Kode Outlet dan Target Toko'!$D:$D,MATCH($I1681,'Kode Outlet dan Target Toko'!$E:$E,0)),0)</f>
        <v>9000015</v>
      </c>
      <c r="I1681" s="42" t="s">
        <v>37</v>
      </c>
      <c r="J1681" s="56" t="s">
        <v>266</v>
      </c>
      <c r="K1681" s="40" t="s">
        <v>13</v>
      </c>
      <c r="L1681" s="26">
        <v>2200</v>
      </c>
      <c r="M1681" s="26">
        <v>47</v>
      </c>
      <c r="N1681" s="25">
        <f t="shared" si="53"/>
        <v>103400</v>
      </c>
      <c r="O1681" s="56"/>
    </row>
    <row r="1682" spans="1:15" hidden="1" x14ac:dyDescent="0.3">
      <c r="A1682" s="26">
        <v>29</v>
      </c>
      <c r="B1682" s="20" t="str">
        <f t="shared" si="52"/>
        <v>JUL</v>
      </c>
      <c r="C1682" s="21">
        <v>46220</v>
      </c>
      <c r="D1682" s="22" t="str">
        <f t="array" ref="D1682">IFERROR(INDEX('Kode Outlet dan Target Toko'!$A:$A,MATCH($I1682,'Kode Outlet dan Target Toko'!$E:$E,0)),"")</f>
        <v>GRSM 5</v>
      </c>
      <c r="E1682" s="20" t="str">
        <f>IFERROR(VLOOKUP(I1682,KET!$B:$F,4,0),"")</f>
        <v>SUPRIYATI</v>
      </c>
      <c r="F1682" s="20" t="str">
        <f>IFERROR(VLOOKUP(I1682,KET!$B:$F,5,0),"")</f>
        <v>GMM</v>
      </c>
      <c r="G1682" s="20">
        <f>IFERROR(INDEX('Kode Outlet dan Target Toko'!$C:$C,MATCH($I1682,'Kode Outlet dan Target Toko'!$E:$E,0)),0)</f>
        <v>170220</v>
      </c>
      <c r="H1682" s="20">
        <f>IFERROR(INDEX('Kode Outlet dan Target Toko'!$D:$D,MATCH($I1682,'Kode Outlet dan Target Toko'!$E:$E,0)),0)</f>
        <v>9000015</v>
      </c>
      <c r="I1682" s="42" t="s">
        <v>37</v>
      </c>
      <c r="J1682" s="56" t="s">
        <v>266</v>
      </c>
      <c r="K1682" s="40" t="s">
        <v>16</v>
      </c>
      <c r="L1682" s="26">
        <v>2200</v>
      </c>
      <c r="M1682" s="26">
        <v>361</v>
      </c>
      <c r="N1682" s="25">
        <f t="shared" si="53"/>
        <v>794200</v>
      </c>
      <c r="O1682" s="56">
        <v>160</v>
      </c>
    </row>
    <row r="1683" spans="1:15" hidden="1" x14ac:dyDescent="0.3">
      <c r="A1683" s="26">
        <v>29</v>
      </c>
      <c r="B1683" s="20" t="str">
        <f t="shared" si="52"/>
        <v>JUL</v>
      </c>
      <c r="C1683" s="21">
        <v>46220</v>
      </c>
      <c r="D1683" s="22" t="str">
        <f t="array" ref="D1683">IFERROR(INDEX('Kode Outlet dan Target Toko'!$A:$A,MATCH($I1683,'Kode Outlet dan Target Toko'!$E:$E,0)),"")</f>
        <v>GRSM 5</v>
      </c>
      <c r="E1683" s="20" t="str">
        <f>IFERROR(VLOOKUP(I1683,KET!$B:$F,4,0),"")</f>
        <v>SUPRIYATI</v>
      </c>
      <c r="F1683" s="20" t="str">
        <f>IFERROR(VLOOKUP(I1683,KET!$B:$F,5,0),"")</f>
        <v>GMM</v>
      </c>
      <c r="G1683" s="20">
        <f>IFERROR(INDEX('Kode Outlet dan Target Toko'!$C:$C,MATCH($I1683,'Kode Outlet dan Target Toko'!$E:$E,0)),0)</f>
        <v>170220</v>
      </c>
      <c r="H1683" s="20">
        <f>IFERROR(INDEX('Kode Outlet dan Target Toko'!$D:$D,MATCH($I1683,'Kode Outlet dan Target Toko'!$E:$E,0)),0)</f>
        <v>1901004</v>
      </c>
      <c r="I1683" s="42" t="s">
        <v>36</v>
      </c>
      <c r="J1683" s="56" t="s">
        <v>264</v>
      </c>
      <c r="K1683" s="40" t="s">
        <v>15</v>
      </c>
      <c r="L1683" s="26">
        <v>2200</v>
      </c>
      <c r="M1683" s="26">
        <v>40</v>
      </c>
      <c r="N1683" s="25">
        <f t="shared" si="53"/>
        <v>88000</v>
      </c>
      <c r="O1683" s="56"/>
    </row>
    <row r="1684" spans="1:15" hidden="1" x14ac:dyDescent="0.3">
      <c r="A1684" s="26">
        <v>29</v>
      </c>
      <c r="B1684" s="20" t="str">
        <f t="shared" si="52"/>
        <v>JUL</v>
      </c>
      <c r="C1684" s="21">
        <v>46220</v>
      </c>
      <c r="D1684" s="22" t="str">
        <f t="array" ref="D1684">IFERROR(INDEX('Kode Outlet dan Target Toko'!$A:$A,MATCH($I1684,'Kode Outlet dan Target Toko'!$E:$E,0)),"")</f>
        <v>GRSM 5</v>
      </c>
      <c r="E1684" s="20" t="str">
        <f>IFERROR(VLOOKUP(I1684,KET!$B:$F,4,0),"")</f>
        <v>SUPRIYATI</v>
      </c>
      <c r="F1684" s="20" t="str">
        <f>IFERROR(VLOOKUP(I1684,KET!$B:$F,5,0),"")</f>
        <v>GMM</v>
      </c>
      <c r="G1684" s="20">
        <f>IFERROR(INDEX('Kode Outlet dan Target Toko'!$C:$C,MATCH($I1684,'Kode Outlet dan Target Toko'!$E:$E,0)),0)</f>
        <v>170220</v>
      </c>
      <c r="H1684" s="20">
        <f>IFERROR(INDEX('Kode Outlet dan Target Toko'!$D:$D,MATCH($I1684,'Kode Outlet dan Target Toko'!$E:$E,0)),0)</f>
        <v>1901004</v>
      </c>
      <c r="I1684" s="42" t="s">
        <v>36</v>
      </c>
      <c r="J1684" s="56" t="s">
        <v>264</v>
      </c>
      <c r="K1684" s="40" t="s">
        <v>14</v>
      </c>
      <c r="L1684" s="26">
        <v>2200</v>
      </c>
      <c r="M1684" s="26">
        <v>160</v>
      </c>
      <c r="N1684" s="25">
        <f t="shared" si="53"/>
        <v>352000</v>
      </c>
      <c r="O1684" s="56"/>
    </row>
    <row r="1685" spans="1:15" hidden="1" x14ac:dyDescent="0.3">
      <c r="A1685" s="26">
        <v>29</v>
      </c>
      <c r="B1685" s="20" t="str">
        <f t="shared" si="52"/>
        <v>JUL</v>
      </c>
      <c r="C1685" s="21">
        <v>46220</v>
      </c>
      <c r="D1685" s="22" t="str">
        <f t="array" ref="D1685">IFERROR(INDEX('Kode Outlet dan Target Toko'!$A:$A,MATCH($I1685,'Kode Outlet dan Target Toko'!$E:$E,0)),"")</f>
        <v>GRSM 5</v>
      </c>
      <c r="E1685" s="20" t="str">
        <f>IFERROR(VLOOKUP(I1685,KET!$B:$F,4,0),"")</f>
        <v>SUPRIYATI</v>
      </c>
      <c r="F1685" s="20" t="str">
        <f>IFERROR(VLOOKUP(I1685,KET!$B:$F,5,0),"")</f>
        <v>GMM</v>
      </c>
      <c r="G1685" s="20">
        <f>IFERROR(INDEX('Kode Outlet dan Target Toko'!$C:$C,MATCH($I1685,'Kode Outlet dan Target Toko'!$E:$E,0)),0)</f>
        <v>170220</v>
      </c>
      <c r="H1685" s="20">
        <f>IFERROR(INDEX('Kode Outlet dan Target Toko'!$D:$D,MATCH($I1685,'Kode Outlet dan Target Toko'!$E:$E,0)),0)</f>
        <v>1901004</v>
      </c>
      <c r="I1685" s="42" t="s">
        <v>36</v>
      </c>
      <c r="J1685" s="56" t="s">
        <v>264</v>
      </c>
      <c r="K1685" s="40" t="s">
        <v>13</v>
      </c>
      <c r="L1685" s="26">
        <v>2200</v>
      </c>
      <c r="M1685" s="26">
        <v>80</v>
      </c>
      <c r="N1685" s="25">
        <f t="shared" si="53"/>
        <v>176000</v>
      </c>
      <c r="O1685" s="56"/>
    </row>
    <row r="1686" spans="1:15" hidden="1" x14ac:dyDescent="0.3">
      <c r="A1686" s="26">
        <v>29</v>
      </c>
      <c r="B1686" s="20" t="str">
        <f t="shared" si="52"/>
        <v>JUL</v>
      </c>
      <c r="C1686" s="21">
        <v>46220</v>
      </c>
      <c r="D1686" s="22" t="str">
        <f t="array" ref="D1686">IFERROR(INDEX('Kode Outlet dan Target Toko'!$A:$A,MATCH($I1686,'Kode Outlet dan Target Toko'!$E:$E,0)),"")</f>
        <v>GRSM 5</v>
      </c>
      <c r="E1686" s="20" t="str">
        <f>IFERROR(VLOOKUP(I1686,KET!$B:$F,4,0),"")</f>
        <v>SUPRIYATI</v>
      </c>
      <c r="F1686" s="20" t="str">
        <f>IFERROR(VLOOKUP(I1686,KET!$B:$F,5,0),"")</f>
        <v>GMM</v>
      </c>
      <c r="G1686" s="20">
        <f>IFERROR(INDEX('Kode Outlet dan Target Toko'!$C:$C,MATCH($I1686,'Kode Outlet dan Target Toko'!$E:$E,0)),0)</f>
        <v>170220</v>
      </c>
      <c r="H1686" s="20">
        <f>IFERROR(INDEX('Kode Outlet dan Target Toko'!$D:$D,MATCH($I1686,'Kode Outlet dan Target Toko'!$E:$E,0)),0)</f>
        <v>1901004</v>
      </c>
      <c r="I1686" s="42" t="s">
        <v>36</v>
      </c>
      <c r="J1686" s="56" t="s">
        <v>264</v>
      </c>
      <c r="K1686" s="40" t="s">
        <v>16</v>
      </c>
      <c r="L1686" s="26">
        <v>2200</v>
      </c>
      <c r="M1686" s="26">
        <v>200</v>
      </c>
      <c r="N1686" s="25">
        <f t="shared" si="53"/>
        <v>440000</v>
      </c>
      <c r="O1686" s="56">
        <v>160</v>
      </c>
    </row>
    <row r="1687" spans="1:15" hidden="1" x14ac:dyDescent="0.3">
      <c r="A1687" s="26">
        <v>29</v>
      </c>
      <c r="B1687" s="20" t="str">
        <f t="shared" si="52"/>
        <v>JUL</v>
      </c>
      <c r="C1687" s="21">
        <v>46220</v>
      </c>
      <c r="D1687" s="22" t="str">
        <f t="array" ref="D1687">IFERROR(INDEX('Kode Outlet dan Target Toko'!$A:$A,MATCH($I1687,'Kode Outlet dan Target Toko'!$E:$E,0)),"")</f>
        <v>GRSM 5</v>
      </c>
      <c r="E1687" s="20" t="str">
        <f>IFERROR(VLOOKUP(I1687,KET!$B:$F,4,0),"")</f>
        <v>SUPRIYATI</v>
      </c>
      <c r="F1687" s="20" t="str">
        <f>IFERROR(VLOOKUP(I1687,KET!$B:$F,5,0),"")</f>
        <v>GMM</v>
      </c>
      <c r="G1687" s="20">
        <f>IFERROR(INDEX('Kode Outlet dan Target Toko'!$C:$C,MATCH($I1687,'Kode Outlet dan Target Toko'!$E:$E,0)),0)</f>
        <v>170220</v>
      </c>
      <c r="H1687" s="20">
        <f>IFERROR(INDEX('Kode Outlet dan Target Toko'!$D:$D,MATCH($I1687,'Kode Outlet dan Target Toko'!$E:$E,0)),0)</f>
        <v>1901004</v>
      </c>
      <c r="I1687" s="42" t="s">
        <v>36</v>
      </c>
      <c r="J1687" s="56" t="s">
        <v>280</v>
      </c>
      <c r="K1687" s="40" t="s">
        <v>15</v>
      </c>
      <c r="L1687" s="26">
        <v>2200</v>
      </c>
      <c r="M1687" s="26">
        <v>40</v>
      </c>
      <c r="N1687" s="25">
        <f t="shared" si="53"/>
        <v>88000</v>
      </c>
      <c r="O1687" s="56"/>
    </row>
    <row r="1688" spans="1:15" hidden="1" x14ac:dyDescent="0.3">
      <c r="A1688" s="26">
        <v>29</v>
      </c>
      <c r="B1688" s="20" t="str">
        <f t="shared" si="52"/>
        <v>JUL</v>
      </c>
      <c r="C1688" s="21">
        <v>46220</v>
      </c>
      <c r="D1688" s="22" t="str">
        <f t="array" ref="D1688">IFERROR(INDEX('Kode Outlet dan Target Toko'!$A:$A,MATCH($I1688,'Kode Outlet dan Target Toko'!$E:$E,0)),"")</f>
        <v>GRSM 5</v>
      </c>
      <c r="E1688" s="20" t="str">
        <f>IFERROR(VLOOKUP(I1688,KET!$B:$F,4,0),"")</f>
        <v>SUPRIYATI</v>
      </c>
      <c r="F1688" s="20" t="str">
        <f>IFERROR(VLOOKUP(I1688,KET!$B:$F,5,0),"")</f>
        <v>GMM</v>
      </c>
      <c r="G1688" s="20">
        <f>IFERROR(INDEX('Kode Outlet dan Target Toko'!$C:$C,MATCH($I1688,'Kode Outlet dan Target Toko'!$E:$E,0)),0)</f>
        <v>170220</v>
      </c>
      <c r="H1688" s="20">
        <f>IFERROR(INDEX('Kode Outlet dan Target Toko'!$D:$D,MATCH($I1688,'Kode Outlet dan Target Toko'!$E:$E,0)),0)</f>
        <v>1901004</v>
      </c>
      <c r="I1688" s="42" t="s">
        <v>36</v>
      </c>
      <c r="J1688" s="56" t="s">
        <v>280</v>
      </c>
      <c r="K1688" s="40" t="s">
        <v>14</v>
      </c>
      <c r="L1688" s="26">
        <v>2200</v>
      </c>
      <c r="M1688" s="26">
        <v>160</v>
      </c>
      <c r="N1688" s="25">
        <f t="shared" si="53"/>
        <v>352000</v>
      </c>
      <c r="O1688" s="56"/>
    </row>
    <row r="1689" spans="1:15" hidden="1" x14ac:dyDescent="0.3">
      <c r="A1689" s="26">
        <v>29</v>
      </c>
      <c r="B1689" s="20" t="str">
        <f t="shared" si="52"/>
        <v>JUL</v>
      </c>
      <c r="C1689" s="21">
        <v>46220</v>
      </c>
      <c r="D1689" s="22" t="str">
        <f t="array" ref="D1689">IFERROR(INDEX('Kode Outlet dan Target Toko'!$A:$A,MATCH($I1689,'Kode Outlet dan Target Toko'!$E:$E,0)),"")</f>
        <v>GRSM 5</v>
      </c>
      <c r="E1689" s="20" t="str">
        <f>IFERROR(VLOOKUP(I1689,KET!$B:$F,4,0),"")</f>
        <v>SUPRIYATI</v>
      </c>
      <c r="F1689" s="20" t="str">
        <f>IFERROR(VLOOKUP(I1689,KET!$B:$F,5,0),"")</f>
        <v>GMM</v>
      </c>
      <c r="G1689" s="20">
        <f>IFERROR(INDEX('Kode Outlet dan Target Toko'!$C:$C,MATCH($I1689,'Kode Outlet dan Target Toko'!$E:$E,0)),0)</f>
        <v>170220</v>
      </c>
      <c r="H1689" s="20">
        <f>IFERROR(INDEX('Kode Outlet dan Target Toko'!$D:$D,MATCH($I1689,'Kode Outlet dan Target Toko'!$E:$E,0)),0)</f>
        <v>1901004</v>
      </c>
      <c r="I1689" s="42" t="s">
        <v>36</v>
      </c>
      <c r="J1689" s="56" t="s">
        <v>280</v>
      </c>
      <c r="K1689" s="40" t="s">
        <v>13</v>
      </c>
      <c r="L1689" s="26">
        <v>2200</v>
      </c>
      <c r="M1689" s="26">
        <v>80</v>
      </c>
      <c r="N1689" s="25">
        <f t="shared" si="53"/>
        <v>176000</v>
      </c>
      <c r="O1689" s="56"/>
    </row>
    <row r="1690" spans="1:15" hidden="1" x14ac:dyDescent="0.3">
      <c r="A1690" s="26">
        <v>29</v>
      </c>
      <c r="B1690" s="20" t="str">
        <f t="shared" si="52"/>
        <v>JUL</v>
      </c>
      <c r="C1690" s="21">
        <v>46220</v>
      </c>
      <c r="D1690" s="22" t="str">
        <f t="array" ref="D1690">IFERROR(INDEX('Kode Outlet dan Target Toko'!$A:$A,MATCH($I1690,'Kode Outlet dan Target Toko'!$E:$E,0)),"")</f>
        <v>GRSM 5</v>
      </c>
      <c r="E1690" s="20" t="str">
        <f>IFERROR(VLOOKUP(I1690,KET!$B:$F,4,0),"")</f>
        <v>SUPRIYATI</v>
      </c>
      <c r="F1690" s="20" t="str">
        <f>IFERROR(VLOOKUP(I1690,KET!$B:$F,5,0),"")</f>
        <v>GMM</v>
      </c>
      <c r="G1690" s="20">
        <f>IFERROR(INDEX('Kode Outlet dan Target Toko'!$C:$C,MATCH($I1690,'Kode Outlet dan Target Toko'!$E:$E,0)),0)</f>
        <v>170220</v>
      </c>
      <c r="H1690" s="20">
        <f>IFERROR(INDEX('Kode Outlet dan Target Toko'!$D:$D,MATCH($I1690,'Kode Outlet dan Target Toko'!$E:$E,0)),0)</f>
        <v>1901004</v>
      </c>
      <c r="I1690" s="42" t="s">
        <v>36</v>
      </c>
      <c r="J1690" s="56" t="s">
        <v>280</v>
      </c>
      <c r="K1690" s="40" t="s">
        <v>16</v>
      </c>
      <c r="L1690" s="26">
        <v>2200</v>
      </c>
      <c r="M1690" s="26">
        <v>200</v>
      </c>
      <c r="N1690" s="25">
        <f t="shared" si="53"/>
        <v>440000</v>
      </c>
      <c r="O1690" s="56">
        <v>160</v>
      </c>
    </row>
    <row r="1691" spans="1:15" hidden="1" x14ac:dyDescent="0.3">
      <c r="A1691" s="26">
        <v>29</v>
      </c>
      <c r="B1691" s="20" t="str">
        <f t="shared" si="52"/>
        <v>JUL</v>
      </c>
      <c r="C1691" s="21">
        <v>46221</v>
      </c>
      <c r="D1691" s="22" t="str">
        <f t="array" ref="D1691">IFERROR(INDEX('Kode Outlet dan Target Toko'!$A:$A,MATCH($I1691,'Kode Outlet dan Target Toko'!$E:$E,0)),"")</f>
        <v>GRSM 5</v>
      </c>
      <c r="E1691" s="20" t="str">
        <f>IFERROR(VLOOKUP(I1691,KET!$B:$F,4,0),"")</f>
        <v>SUPRIYATI</v>
      </c>
      <c r="F1691" s="20" t="str">
        <f>IFERROR(VLOOKUP(I1691,KET!$B:$F,5,0),"")</f>
        <v>GMM</v>
      </c>
      <c r="G1691" s="20">
        <f>IFERROR(INDEX('Kode Outlet dan Target Toko'!$C:$C,MATCH($I1691,'Kode Outlet dan Target Toko'!$E:$E,0)),0)</f>
        <v>170220</v>
      </c>
      <c r="H1691" s="20">
        <f>IFERROR(INDEX('Kode Outlet dan Target Toko'!$D:$D,MATCH($I1691,'Kode Outlet dan Target Toko'!$E:$E,0)),0)</f>
        <v>9000015</v>
      </c>
      <c r="I1691" s="50" t="s">
        <v>33</v>
      </c>
      <c r="J1691" s="56" t="s">
        <v>261</v>
      </c>
      <c r="K1691" s="40" t="s">
        <v>15</v>
      </c>
      <c r="L1691" s="26">
        <v>2200</v>
      </c>
      <c r="M1691" s="26">
        <v>53</v>
      </c>
      <c r="N1691" s="25">
        <f t="shared" si="53"/>
        <v>116600</v>
      </c>
      <c r="O1691" s="56"/>
    </row>
    <row r="1692" spans="1:15" hidden="1" x14ac:dyDescent="0.3">
      <c r="A1692" s="26">
        <v>29</v>
      </c>
      <c r="B1692" s="20" t="str">
        <f t="shared" si="52"/>
        <v>JUL</v>
      </c>
      <c r="C1692" s="21">
        <v>46221</v>
      </c>
      <c r="D1692" s="22" t="str">
        <f t="array" ref="D1692">IFERROR(INDEX('Kode Outlet dan Target Toko'!$A:$A,MATCH($I1692,'Kode Outlet dan Target Toko'!$E:$E,0)),"")</f>
        <v>GRSM 5</v>
      </c>
      <c r="E1692" s="20" t="str">
        <f>IFERROR(VLOOKUP(I1692,KET!$B:$F,4,0),"")</f>
        <v>SUPRIYATI</v>
      </c>
      <c r="F1692" s="20" t="str">
        <f>IFERROR(VLOOKUP(I1692,KET!$B:$F,5,0),"")</f>
        <v>GMM</v>
      </c>
      <c r="G1692" s="20">
        <f>IFERROR(INDEX('Kode Outlet dan Target Toko'!$C:$C,MATCH($I1692,'Kode Outlet dan Target Toko'!$E:$E,0)),0)</f>
        <v>170220</v>
      </c>
      <c r="H1692" s="20">
        <f>IFERROR(INDEX('Kode Outlet dan Target Toko'!$D:$D,MATCH($I1692,'Kode Outlet dan Target Toko'!$E:$E,0)),0)</f>
        <v>9000015</v>
      </c>
      <c r="I1692" s="50" t="s">
        <v>33</v>
      </c>
      <c r="J1692" s="56" t="s">
        <v>261</v>
      </c>
      <c r="K1692" s="40" t="s">
        <v>14</v>
      </c>
      <c r="L1692" s="26">
        <v>2200</v>
      </c>
      <c r="M1692" s="26">
        <v>90</v>
      </c>
      <c r="N1692" s="25">
        <f t="shared" si="53"/>
        <v>198000</v>
      </c>
      <c r="O1692" s="56"/>
    </row>
    <row r="1693" spans="1:15" hidden="1" x14ac:dyDescent="0.3">
      <c r="A1693" s="26">
        <v>29</v>
      </c>
      <c r="B1693" s="20" t="str">
        <f t="shared" si="52"/>
        <v>JUL</v>
      </c>
      <c r="C1693" s="21">
        <v>46221</v>
      </c>
      <c r="D1693" s="22" t="str">
        <f t="array" ref="D1693">IFERROR(INDEX('Kode Outlet dan Target Toko'!$A:$A,MATCH($I1693,'Kode Outlet dan Target Toko'!$E:$E,0)),"")</f>
        <v>GRSM 5</v>
      </c>
      <c r="E1693" s="20" t="str">
        <f>IFERROR(VLOOKUP(I1693,KET!$B:$F,4,0),"")</f>
        <v>SUPRIYATI</v>
      </c>
      <c r="F1693" s="20" t="str">
        <f>IFERROR(VLOOKUP(I1693,KET!$B:$F,5,0),"")</f>
        <v>GMM</v>
      </c>
      <c r="G1693" s="20">
        <f>IFERROR(INDEX('Kode Outlet dan Target Toko'!$C:$C,MATCH($I1693,'Kode Outlet dan Target Toko'!$E:$E,0)),0)</f>
        <v>170220</v>
      </c>
      <c r="H1693" s="20">
        <f>IFERROR(INDEX('Kode Outlet dan Target Toko'!$D:$D,MATCH($I1693,'Kode Outlet dan Target Toko'!$E:$E,0)),0)</f>
        <v>9000015</v>
      </c>
      <c r="I1693" s="50" t="s">
        <v>33</v>
      </c>
      <c r="J1693" s="56" t="s">
        <v>261</v>
      </c>
      <c r="K1693" s="40" t="s">
        <v>13</v>
      </c>
      <c r="L1693" s="26">
        <v>2200</v>
      </c>
      <c r="M1693" s="26">
        <v>31</v>
      </c>
      <c r="N1693" s="25">
        <f t="shared" si="53"/>
        <v>68200</v>
      </c>
      <c r="O1693" s="56"/>
    </row>
    <row r="1694" spans="1:15" hidden="1" x14ac:dyDescent="0.3">
      <c r="A1694" s="26">
        <v>29</v>
      </c>
      <c r="B1694" s="20" t="str">
        <f t="shared" si="52"/>
        <v>JUL</v>
      </c>
      <c r="C1694" s="21">
        <v>46221</v>
      </c>
      <c r="D1694" s="22" t="str">
        <f t="array" ref="D1694">IFERROR(INDEX('Kode Outlet dan Target Toko'!$A:$A,MATCH($I1694,'Kode Outlet dan Target Toko'!$E:$E,0)),"")</f>
        <v>GRSM 5</v>
      </c>
      <c r="E1694" s="20" t="str">
        <f>IFERROR(VLOOKUP(I1694,KET!$B:$F,4,0),"")</f>
        <v>SUPRIYATI</v>
      </c>
      <c r="F1694" s="20" t="str">
        <f>IFERROR(VLOOKUP(I1694,KET!$B:$F,5,0),"")</f>
        <v>GMM</v>
      </c>
      <c r="G1694" s="20">
        <f>IFERROR(INDEX('Kode Outlet dan Target Toko'!$C:$C,MATCH($I1694,'Kode Outlet dan Target Toko'!$E:$E,0)),0)</f>
        <v>170220</v>
      </c>
      <c r="H1694" s="20">
        <f>IFERROR(INDEX('Kode Outlet dan Target Toko'!$D:$D,MATCH($I1694,'Kode Outlet dan Target Toko'!$E:$E,0)),0)</f>
        <v>9000015</v>
      </c>
      <c r="I1694" s="50" t="s">
        <v>33</v>
      </c>
      <c r="J1694" s="56" t="s">
        <v>261</v>
      </c>
      <c r="K1694" s="40" t="s">
        <v>16</v>
      </c>
      <c r="L1694" s="26">
        <v>2200</v>
      </c>
      <c r="M1694" s="26">
        <v>195</v>
      </c>
      <c r="N1694" s="25">
        <f t="shared" si="53"/>
        <v>429000</v>
      </c>
      <c r="O1694" s="56">
        <v>120</v>
      </c>
    </row>
    <row r="1695" spans="1:15" hidden="1" x14ac:dyDescent="0.3">
      <c r="A1695" s="26">
        <v>29</v>
      </c>
      <c r="B1695" s="20" t="str">
        <f t="shared" si="52"/>
        <v>JUL</v>
      </c>
      <c r="C1695" s="21">
        <v>46221</v>
      </c>
      <c r="D1695" s="22" t="str">
        <f t="array" ref="D1695">IFERROR(INDEX('Kode Outlet dan Target Toko'!$A:$A,MATCH($I1695,'Kode Outlet dan Target Toko'!$E:$E,0)),"")</f>
        <v>GRSM 5</v>
      </c>
      <c r="E1695" s="20" t="str">
        <f>IFERROR(VLOOKUP(I1695,KET!$B:$F,4,0),"")</f>
        <v>SUPRIYATI</v>
      </c>
      <c r="F1695" s="20" t="str">
        <f>IFERROR(VLOOKUP(I1695,KET!$B:$F,5,0),"")</f>
        <v>GMM</v>
      </c>
      <c r="G1695" s="20">
        <f>IFERROR(INDEX('Kode Outlet dan Target Toko'!$C:$C,MATCH($I1695,'Kode Outlet dan Target Toko'!$E:$E,0)),0)</f>
        <v>170220</v>
      </c>
      <c r="H1695" s="20">
        <f>IFERROR(INDEX('Kode Outlet dan Target Toko'!$D:$D,MATCH($I1695,'Kode Outlet dan Target Toko'!$E:$E,0)),0)</f>
        <v>9000015</v>
      </c>
      <c r="I1695" s="42" t="s">
        <v>33</v>
      </c>
      <c r="J1695" s="56" t="s">
        <v>260</v>
      </c>
      <c r="K1695" s="40" t="s">
        <v>15</v>
      </c>
      <c r="L1695" s="26">
        <v>2200</v>
      </c>
      <c r="M1695" s="26">
        <v>53</v>
      </c>
      <c r="N1695" s="25">
        <f t="shared" si="53"/>
        <v>116600</v>
      </c>
      <c r="O1695" s="56"/>
    </row>
    <row r="1696" spans="1:15" hidden="1" x14ac:dyDescent="0.3">
      <c r="A1696" s="26">
        <v>29</v>
      </c>
      <c r="B1696" s="20" t="str">
        <f t="shared" si="52"/>
        <v>JUL</v>
      </c>
      <c r="C1696" s="21">
        <v>46221</v>
      </c>
      <c r="D1696" s="22" t="str">
        <f t="array" ref="D1696">IFERROR(INDEX('Kode Outlet dan Target Toko'!$A:$A,MATCH($I1696,'Kode Outlet dan Target Toko'!$E:$E,0)),"")</f>
        <v>GRSM 5</v>
      </c>
      <c r="E1696" s="20" t="str">
        <f>IFERROR(VLOOKUP(I1696,KET!$B:$F,4,0),"")</f>
        <v>SUPRIYATI</v>
      </c>
      <c r="F1696" s="20" t="str">
        <f>IFERROR(VLOOKUP(I1696,KET!$B:$F,5,0),"")</f>
        <v>GMM</v>
      </c>
      <c r="G1696" s="20">
        <f>IFERROR(INDEX('Kode Outlet dan Target Toko'!$C:$C,MATCH($I1696,'Kode Outlet dan Target Toko'!$E:$E,0)),0)</f>
        <v>170220</v>
      </c>
      <c r="H1696" s="20">
        <f>IFERROR(INDEX('Kode Outlet dan Target Toko'!$D:$D,MATCH($I1696,'Kode Outlet dan Target Toko'!$E:$E,0)),0)</f>
        <v>9000015</v>
      </c>
      <c r="I1696" s="42" t="s">
        <v>33</v>
      </c>
      <c r="J1696" s="56" t="s">
        <v>260</v>
      </c>
      <c r="K1696" s="40" t="s">
        <v>14</v>
      </c>
      <c r="L1696" s="26">
        <v>2200</v>
      </c>
      <c r="M1696" s="26">
        <v>90</v>
      </c>
      <c r="N1696" s="25">
        <f t="shared" si="53"/>
        <v>198000</v>
      </c>
      <c r="O1696" s="56"/>
    </row>
    <row r="1697" spans="1:15" hidden="1" x14ac:dyDescent="0.3">
      <c r="A1697" s="26">
        <v>29</v>
      </c>
      <c r="B1697" s="20" t="str">
        <f t="shared" si="52"/>
        <v>JUL</v>
      </c>
      <c r="C1697" s="21">
        <v>46221</v>
      </c>
      <c r="D1697" s="22" t="str">
        <f t="array" ref="D1697">IFERROR(INDEX('Kode Outlet dan Target Toko'!$A:$A,MATCH($I1697,'Kode Outlet dan Target Toko'!$E:$E,0)),"")</f>
        <v>GRSM 5</v>
      </c>
      <c r="E1697" s="20" t="str">
        <f>IFERROR(VLOOKUP(I1697,KET!$B:$F,4,0),"")</f>
        <v>SUPRIYATI</v>
      </c>
      <c r="F1697" s="20" t="str">
        <f>IFERROR(VLOOKUP(I1697,KET!$B:$F,5,0),"")</f>
        <v>GMM</v>
      </c>
      <c r="G1697" s="20">
        <f>IFERROR(INDEX('Kode Outlet dan Target Toko'!$C:$C,MATCH($I1697,'Kode Outlet dan Target Toko'!$E:$E,0)),0)</f>
        <v>170220</v>
      </c>
      <c r="H1697" s="20">
        <f>IFERROR(INDEX('Kode Outlet dan Target Toko'!$D:$D,MATCH($I1697,'Kode Outlet dan Target Toko'!$E:$E,0)),0)</f>
        <v>9000015</v>
      </c>
      <c r="I1697" s="42" t="s">
        <v>33</v>
      </c>
      <c r="J1697" s="56" t="s">
        <v>260</v>
      </c>
      <c r="K1697" s="40" t="s">
        <v>13</v>
      </c>
      <c r="L1697" s="26">
        <v>2200</v>
      </c>
      <c r="M1697" s="26">
        <v>31</v>
      </c>
      <c r="N1697" s="25">
        <f t="shared" si="53"/>
        <v>68200</v>
      </c>
      <c r="O1697" s="56"/>
    </row>
    <row r="1698" spans="1:15" hidden="1" x14ac:dyDescent="0.3">
      <c r="A1698" s="26">
        <v>29</v>
      </c>
      <c r="B1698" s="20" t="str">
        <f t="shared" si="52"/>
        <v>JUL</v>
      </c>
      <c r="C1698" s="21">
        <v>46221</v>
      </c>
      <c r="D1698" s="22" t="str">
        <f t="array" ref="D1698">IFERROR(INDEX('Kode Outlet dan Target Toko'!$A:$A,MATCH($I1698,'Kode Outlet dan Target Toko'!$E:$E,0)),"")</f>
        <v>GRSM 5</v>
      </c>
      <c r="E1698" s="20" t="str">
        <f>IFERROR(VLOOKUP(I1698,KET!$B:$F,4,0),"")</f>
        <v>SUPRIYATI</v>
      </c>
      <c r="F1698" s="20" t="str">
        <f>IFERROR(VLOOKUP(I1698,KET!$B:$F,5,0),"")</f>
        <v>GMM</v>
      </c>
      <c r="G1698" s="20">
        <f>IFERROR(INDEX('Kode Outlet dan Target Toko'!$C:$C,MATCH($I1698,'Kode Outlet dan Target Toko'!$E:$E,0)),0)</f>
        <v>170220</v>
      </c>
      <c r="H1698" s="20">
        <f>IFERROR(INDEX('Kode Outlet dan Target Toko'!$D:$D,MATCH($I1698,'Kode Outlet dan Target Toko'!$E:$E,0)),0)</f>
        <v>9000015</v>
      </c>
      <c r="I1698" s="42" t="s">
        <v>33</v>
      </c>
      <c r="J1698" s="56" t="s">
        <v>260</v>
      </c>
      <c r="K1698" s="40" t="s">
        <v>16</v>
      </c>
      <c r="L1698" s="26">
        <v>2200</v>
      </c>
      <c r="M1698" s="26">
        <v>195</v>
      </c>
      <c r="N1698" s="25">
        <f t="shared" si="53"/>
        <v>429000</v>
      </c>
      <c r="O1698" s="56">
        <v>120</v>
      </c>
    </row>
    <row r="1699" spans="1:15" hidden="1" x14ac:dyDescent="0.3">
      <c r="A1699" s="26">
        <v>29</v>
      </c>
      <c r="B1699" s="20" t="str">
        <f t="shared" si="52"/>
        <v>JUL</v>
      </c>
      <c r="C1699" s="21">
        <v>46221</v>
      </c>
      <c r="D1699" s="22" t="str">
        <f t="array" ref="D1699">IFERROR(INDEX('Kode Outlet dan Target Toko'!$A:$A,MATCH($I1699,'Kode Outlet dan Target Toko'!$E:$E,0)),"")</f>
        <v>GRSM 5</v>
      </c>
      <c r="E1699" s="20" t="str">
        <f>IFERROR(VLOOKUP(I1699,KET!$B:$F,4,0),"")</f>
        <v>SUPRIYATI</v>
      </c>
      <c r="F1699" s="20" t="str">
        <f>IFERROR(VLOOKUP(I1699,KET!$B:$F,5,0),"")</f>
        <v>GMM</v>
      </c>
      <c r="G1699" s="20">
        <f>IFERROR(INDEX('Kode Outlet dan Target Toko'!$C:$C,MATCH($I1699,'Kode Outlet dan Target Toko'!$E:$E,0)),0)</f>
        <v>170220</v>
      </c>
      <c r="H1699" s="20">
        <f>IFERROR(INDEX('Kode Outlet dan Target Toko'!$D:$D,MATCH($I1699,'Kode Outlet dan Target Toko'!$E:$E,0)),0)</f>
        <v>9000015</v>
      </c>
      <c r="I1699" s="42" t="s">
        <v>37</v>
      </c>
      <c r="J1699" s="56" t="s">
        <v>265</v>
      </c>
      <c r="K1699" s="40" t="s">
        <v>15</v>
      </c>
      <c r="L1699" s="26">
        <v>2200</v>
      </c>
      <c r="M1699" s="26">
        <v>119</v>
      </c>
      <c r="N1699" s="25">
        <f t="shared" si="53"/>
        <v>261800</v>
      </c>
      <c r="O1699" s="56"/>
    </row>
    <row r="1700" spans="1:15" hidden="1" x14ac:dyDescent="0.3">
      <c r="A1700" s="26">
        <v>29</v>
      </c>
      <c r="B1700" s="20" t="str">
        <f t="shared" si="52"/>
        <v>JUL</v>
      </c>
      <c r="C1700" s="21">
        <v>46221</v>
      </c>
      <c r="D1700" s="22" t="str">
        <f t="array" ref="D1700">IFERROR(INDEX('Kode Outlet dan Target Toko'!$A:$A,MATCH($I1700,'Kode Outlet dan Target Toko'!$E:$E,0)),"")</f>
        <v>GRSM 5</v>
      </c>
      <c r="E1700" s="20" t="str">
        <f>IFERROR(VLOOKUP(I1700,KET!$B:$F,4,0),"")</f>
        <v>SUPRIYATI</v>
      </c>
      <c r="F1700" s="20" t="str">
        <f>IFERROR(VLOOKUP(I1700,KET!$B:$F,5,0),"")</f>
        <v>GMM</v>
      </c>
      <c r="G1700" s="20">
        <f>IFERROR(INDEX('Kode Outlet dan Target Toko'!$C:$C,MATCH($I1700,'Kode Outlet dan Target Toko'!$E:$E,0)),0)</f>
        <v>170220</v>
      </c>
      <c r="H1700" s="20">
        <f>IFERROR(INDEX('Kode Outlet dan Target Toko'!$D:$D,MATCH($I1700,'Kode Outlet dan Target Toko'!$E:$E,0)),0)</f>
        <v>9000015</v>
      </c>
      <c r="I1700" s="42" t="s">
        <v>37</v>
      </c>
      <c r="J1700" s="56" t="s">
        <v>265</v>
      </c>
      <c r="K1700" s="40" t="s">
        <v>14</v>
      </c>
      <c r="L1700" s="26">
        <v>2200</v>
      </c>
      <c r="M1700" s="26">
        <v>281</v>
      </c>
      <c r="N1700" s="25">
        <f t="shared" si="53"/>
        <v>618200</v>
      </c>
      <c r="O1700" s="56"/>
    </row>
    <row r="1701" spans="1:15" hidden="1" x14ac:dyDescent="0.3">
      <c r="A1701" s="26">
        <v>29</v>
      </c>
      <c r="B1701" s="20" t="str">
        <f t="shared" si="52"/>
        <v>JUL</v>
      </c>
      <c r="C1701" s="21">
        <v>46221</v>
      </c>
      <c r="D1701" s="22" t="str">
        <f t="array" ref="D1701">IFERROR(INDEX('Kode Outlet dan Target Toko'!$A:$A,MATCH($I1701,'Kode Outlet dan Target Toko'!$E:$E,0)),"")</f>
        <v>GRSM 5</v>
      </c>
      <c r="E1701" s="20" t="str">
        <f>IFERROR(VLOOKUP(I1701,KET!$B:$F,4,0),"")</f>
        <v>SUPRIYATI</v>
      </c>
      <c r="F1701" s="20" t="str">
        <f>IFERROR(VLOOKUP(I1701,KET!$B:$F,5,0),"")</f>
        <v>GMM</v>
      </c>
      <c r="G1701" s="20">
        <f>IFERROR(INDEX('Kode Outlet dan Target Toko'!$C:$C,MATCH($I1701,'Kode Outlet dan Target Toko'!$E:$E,0)),0)</f>
        <v>170220</v>
      </c>
      <c r="H1701" s="20">
        <f>IFERROR(INDEX('Kode Outlet dan Target Toko'!$D:$D,MATCH($I1701,'Kode Outlet dan Target Toko'!$E:$E,0)),0)</f>
        <v>9000015</v>
      </c>
      <c r="I1701" s="42" t="s">
        <v>37</v>
      </c>
      <c r="J1701" s="56" t="s">
        <v>265</v>
      </c>
      <c r="K1701" s="40" t="s">
        <v>13</v>
      </c>
      <c r="L1701" s="26">
        <v>2200</v>
      </c>
      <c r="M1701" s="26">
        <v>82</v>
      </c>
      <c r="N1701" s="25">
        <f t="shared" si="53"/>
        <v>180400</v>
      </c>
      <c r="O1701" s="56"/>
    </row>
    <row r="1702" spans="1:15" hidden="1" x14ac:dyDescent="0.3">
      <c r="A1702" s="26">
        <v>29</v>
      </c>
      <c r="B1702" s="20" t="str">
        <f t="shared" si="52"/>
        <v>JUL</v>
      </c>
      <c r="C1702" s="21">
        <v>46221</v>
      </c>
      <c r="D1702" s="22" t="str">
        <f t="array" ref="D1702">IFERROR(INDEX('Kode Outlet dan Target Toko'!$A:$A,MATCH($I1702,'Kode Outlet dan Target Toko'!$E:$E,0)),"")</f>
        <v>GRSM 5</v>
      </c>
      <c r="E1702" s="20" t="str">
        <f>IFERROR(VLOOKUP(I1702,KET!$B:$F,4,0),"")</f>
        <v>SUPRIYATI</v>
      </c>
      <c r="F1702" s="20" t="str">
        <f>IFERROR(VLOOKUP(I1702,KET!$B:$F,5,0),"")</f>
        <v>GMM</v>
      </c>
      <c r="G1702" s="20">
        <f>IFERROR(INDEX('Kode Outlet dan Target Toko'!$C:$C,MATCH($I1702,'Kode Outlet dan Target Toko'!$E:$E,0)),0)</f>
        <v>170220</v>
      </c>
      <c r="H1702" s="20">
        <f>IFERROR(INDEX('Kode Outlet dan Target Toko'!$D:$D,MATCH($I1702,'Kode Outlet dan Target Toko'!$E:$E,0)),0)</f>
        <v>9000015</v>
      </c>
      <c r="I1702" s="42" t="s">
        <v>37</v>
      </c>
      <c r="J1702" s="56" t="s">
        <v>265</v>
      </c>
      <c r="K1702" s="40" t="s">
        <v>16</v>
      </c>
      <c r="L1702" s="26">
        <v>2200</v>
      </c>
      <c r="M1702" s="26">
        <v>320</v>
      </c>
      <c r="N1702" s="25">
        <f t="shared" si="53"/>
        <v>704000</v>
      </c>
      <c r="O1702" s="56">
        <v>160</v>
      </c>
    </row>
    <row r="1703" spans="1:15" hidden="1" x14ac:dyDescent="0.3">
      <c r="A1703" s="26">
        <v>29</v>
      </c>
      <c r="B1703" s="20" t="str">
        <f t="shared" si="52"/>
        <v>JUL</v>
      </c>
      <c r="C1703" s="21">
        <v>46221</v>
      </c>
      <c r="D1703" s="22" t="str">
        <f t="array" ref="D1703">IFERROR(INDEX('Kode Outlet dan Target Toko'!$A:$A,MATCH($I1703,'Kode Outlet dan Target Toko'!$E:$E,0)),"")</f>
        <v>GRSM 5</v>
      </c>
      <c r="E1703" s="20" t="str">
        <f>IFERROR(VLOOKUP(I1703,KET!$B:$F,4,0),"")</f>
        <v>SUPRIYATI</v>
      </c>
      <c r="F1703" s="20" t="str">
        <f>IFERROR(VLOOKUP(I1703,KET!$B:$F,5,0),"")</f>
        <v>GMM</v>
      </c>
      <c r="G1703" s="20">
        <f>IFERROR(INDEX('Kode Outlet dan Target Toko'!$C:$C,MATCH($I1703,'Kode Outlet dan Target Toko'!$E:$E,0)),0)</f>
        <v>170220</v>
      </c>
      <c r="H1703" s="20">
        <f>IFERROR(INDEX('Kode Outlet dan Target Toko'!$D:$D,MATCH($I1703,'Kode Outlet dan Target Toko'!$E:$E,0)),0)</f>
        <v>9000015</v>
      </c>
      <c r="I1703" s="42" t="s">
        <v>37</v>
      </c>
      <c r="J1703" s="56" t="s">
        <v>266</v>
      </c>
      <c r="K1703" s="40" t="s">
        <v>15</v>
      </c>
      <c r="L1703" s="26">
        <v>2200</v>
      </c>
      <c r="M1703" s="26">
        <v>119</v>
      </c>
      <c r="N1703" s="25">
        <f t="shared" si="53"/>
        <v>261800</v>
      </c>
      <c r="O1703" s="56"/>
    </row>
    <row r="1704" spans="1:15" hidden="1" x14ac:dyDescent="0.3">
      <c r="A1704" s="26">
        <v>29</v>
      </c>
      <c r="B1704" s="20" t="str">
        <f t="shared" si="52"/>
        <v>JUL</v>
      </c>
      <c r="C1704" s="21">
        <v>46221</v>
      </c>
      <c r="D1704" s="22" t="str">
        <f t="array" ref="D1704">IFERROR(INDEX('Kode Outlet dan Target Toko'!$A:$A,MATCH($I1704,'Kode Outlet dan Target Toko'!$E:$E,0)),"")</f>
        <v>GRSM 5</v>
      </c>
      <c r="E1704" s="20" t="str">
        <f>IFERROR(VLOOKUP(I1704,KET!$B:$F,4,0),"")</f>
        <v>SUPRIYATI</v>
      </c>
      <c r="F1704" s="20" t="str">
        <f>IFERROR(VLOOKUP(I1704,KET!$B:$F,5,0),"")</f>
        <v>GMM</v>
      </c>
      <c r="G1704" s="20">
        <f>IFERROR(INDEX('Kode Outlet dan Target Toko'!$C:$C,MATCH($I1704,'Kode Outlet dan Target Toko'!$E:$E,0)),0)</f>
        <v>170220</v>
      </c>
      <c r="H1704" s="20">
        <f>IFERROR(INDEX('Kode Outlet dan Target Toko'!$D:$D,MATCH($I1704,'Kode Outlet dan Target Toko'!$E:$E,0)),0)</f>
        <v>9000015</v>
      </c>
      <c r="I1704" s="42" t="s">
        <v>37</v>
      </c>
      <c r="J1704" s="56" t="s">
        <v>266</v>
      </c>
      <c r="K1704" s="40" t="s">
        <v>14</v>
      </c>
      <c r="L1704" s="26">
        <v>2200</v>
      </c>
      <c r="M1704" s="26">
        <v>281</v>
      </c>
      <c r="N1704" s="25">
        <f t="shared" si="53"/>
        <v>618200</v>
      </c>
      <c r="O1704" s="56"/>
    </row>
    <row r="1705" spans="1:15" hidden="1" x14ac:dyDescent="0.3">
      <c r="A1705" s="26">
        <v>29</v>
      </c>
      <c r="B1705" s="20" t="str">
        <f t="shared" si="52"/>
        <v>JUL</v>
      </c>
      <c r="C1705" s="21">
        <v>46221</v>
      </c>
      <c r="D1705" s="22" t="str">
        <f t="array" ref="D1705">IFERROR(INDEX('Kode Outlet dan Target Toko'!$A:$A,MATCH($I1705,'Kode Outlet dan Target Toko'!$E:$E,0)),"")</f>
        <v>GRSM 5</v>
      </c>
      <c r="E1705" s="20" t="str">
        <f>IFERROR(VLOOKUP(I1705,KET!$B:$F,4,0),"")</f>
        <v>SUPRIYATI</v>
      </c>
      <c r="F1705" s="20" t="str">
        <f>IFERROR(VLOOKUP(I1705,KET!$B:$F,5,0),"")</f>
        <v>GMM</v>
      </c>
      <c r="G1705" s="20">
        <f>IFERROR(INDEX('Kode Outlet dan Target Toko'!$C:$C,MATCH($I1705,'Kode Outlet dan Target Toko'!$E:$E,0)),0)</f>
        <v>170220</v>
      </c>
      <c r="H1705" s="20">
        <f>IFERROR(INDEX('Kode Outlet dan Target Toko'!$D:$D,MATCH($I1705,'Kode Outlet dan Target Toko'!$E:$E,0)),0)</f>
        <v>9000015</v>
      </c>
      <c r="I1705" s="42" t="s">
        <v>37</v>
      </c>
      <c r="J1705" s="56" t="s">
        <v>266</v>
      </c>
      <c r="K1705" s="40" t="s">
        <v>13</v>
      </c>
      <c r="L1705" s="26">
        <v>2200</v>
      </c>
      <c r="M1705" s="26">
        <v>82</v>
      </c>
      <c r="N1705" s="25">
        <f t="shared" si="53"/>
        <v>180400</v>
      </c>
      <c r="O1705" s="56"/>
    </row>
    <row r="1706" spans="1:15" hidden="1" x14ac:dyDescent="0.3">
      <c r="A1706" s="26">
        <v>29</v>
      </c>
      <c r="B1706" s="20" t="str">
        <f t="shared" si="52"/>
        <v>JUL</v>
      </c>
      <c r="C1706" s="21">
        <v>46221</v>
      </c>
      <c r="D1706" s="22" t="str">
        <f t="array" ref="D1706">IFERROR(INDEX('Kode Outlet dan Target Toko'!$A:$A,MATCH($I1706,'Kode Outlet dan Target Toko'!$E:$E,0)),"")</f>
        <v>GRSM 5</v>
      </c>
      <c r="E1706" s="20" t="str">
        <f>IFERROR(VLOOKUP(I1706,KET!$B:$F,4,0),"")</f>
        <v>SUPRIYATI</v>
      </c>
      <c r="F1706" s="20" t="str">
        <f>IFERROR(VLOOKUP(I1706,KET!$B:$F,5,0),"")</f>
        <v>GMM</v>
      </c>
      <c r="G1706" s="20">
        <f>IFERROR(INDEX('Kode Outlet dan Target Toko'!$C:$C,MATCH($I1706,'Kode Outlet dan Target Toko'!$E:$E,0)),0)</f>
        <v>170220</v>
      </c>
      <c r="H1706" s="20">
        <f>IFERROR(INDEX('Kode Outlet dan Target Toko'!$D:$D,MATCH($I1706,'Kode Outlet dan Target Toko'!$E:$E,0)),0)</f>
        <v>9000015</v>
      </c>
      <c r="I1706" s="42" t="s">
        <v>37</v>
      </c>
      <c r="J1706" s="56" t="s">
        <v>266</v>
      </c>
      <c r="K1706" s="40" t="s">
        <v>16</v>
      </c>
      <c r="L1706" s="26">
        <v>2200</v>
      </c>
      <c r="M1706" s="26">
        <v>320</v>
      </c>
      <c r="N1706" s="25">
        <f t="shared" si="53"/>
        <v>704000</v>
      </c>
      <c r="O1706" s="56">
        <v>160</v>
      </c>
    </row>
    <row r="1707" spans="1:15" hidden="1" x14ac:dyDescent="0.3">
      <c r="A1707" s="26">
        <v>29</v>
      </c>
      <c r="B1707" s="20" t="str">
        <f t="shared" si="52"/>
        <v>JUL</v>
      </c>
      <c r="C1707" s="21">
        <v>46221</v>
      </c>
      <c r="D1707" s="22" t="str">
        <f t="array" ref="D1707">IFERROR(INDEX('Kode Outlet dan Target Toko'!$A:$A,MATCH($I1707,'Kode Outlet dan Target Toko'!$E:$E,0)),"")</f>
        <v>GRSM 5</v>
      </c>
      <c r="E1707" s="20" t="str">
        <f>IFERROR(VLOOKUP(I1707,KET!$B:$F,4,0),"")</f>
        <v>SUPRIYATI</v>
      </c>
      <c r="F1707" s="20" t="str">
        <f>IFERROR(VLOOKUP(I1707,KET!$B:$F,5,0),"")</f>
        <v>GMM</v>
      </c>
      <c r="G1707" s="20">
        <f>IFERROR(INDEX('Kode Outlet dan Target Toko'!$C:$C,MATCH($I1707,'Kode Outlet dan Target Toko'!$E:$E,0)),0)</f>
        <v>170220</v>
      </c>
      <c r="H1707" s="20">
        <f>IFERROR(INDEX('Kode Outlet dan Target Toko'!$D:$D,MATCH($I1707,'Kode Outlet dan Target Toko'!$E:$E,0)),0)</f>
        <v>1901004</v>
      </c>
      <c r="I1707" s="42" t="s">
        <v>36</v>
      </c>
      <c r="J1707" s="56" t="s">
        <v>264</v>
      </c>
      <c r="K1707" s="40" t="s">
        <v>15</v>
      </c>
      <c r="L1707" s="26">
        <v>2200</v>
      </c>
      <c r="M1707" s="26">
        <v>120</v>
      </c>
      <c r="N1707" s="25">
        <f t="shared" si="53"/>
        <v>264000</v>
      </c>
      <c r="O1707" s="56"/>
    </row>
    <row r="1708" spans="1:15" hidden="1" x14ac:dyDescent="0.3">
      <c r="A1708" s="26">
        <v>29</v>
      </c>
      <c r="B1708" s="20" t="str">
        <f t="shared" si="52"/>
        <v>JUL</v>
      </c>
      <c r="C1708" s="21">
        <v>46221</v>
      </c>
      <c r="D1708" s="22" t="str">
        <f t="array" ref="D1708">IFERROR(INDEX('Kode Outlet dan Target Toko'!$A:$A,MATCH($I1708,'Kode Outlet dan Target Toko'!$E:$E,0)),"")</f>
        <v>GRSM 5</v>
      </c>
      <c r="E1708" s="20" t="str">
        <f>IFERROR(VLOOKUP(I1708,KET!$B:$F,4,0),"")</f>
        <v>SUPRIYATI</v>
      </c>
      <c r="F1708" s="20" t="str">
        <f>IFERROR(VLOOKUP(I1708,KET!$B:$F,5,0),"")</f>
        <v>GMM</v>
      </c>
      <c r="G1708" s="20">
        <f>IFERROR(INDEX('Kode Outlet dan Target Toko'!$C:$C,MATCH($I1708,'Kode Outlet dan Target Toko'!$E:$E,0)),0)</f>
        <v>170220</v>
      </c>
      <c r="H1708" s="20">
        <f>IFERROR(INDEX('Kode Outlet dan Target Toko'!$D:$D,MATCH($I1708,'Kode Outlet dan Target Toko'!$E:$E,0)),0)</f>
        <v>1901004</v>
      </c>
      <c r="I1708" s="42" t="s">
        <v>36</v>
      </c>
      <c r="J1708" s="56" t="s">
        <v>264</v>
      </c>
      <c r="K1708" s="40" t="s">
        <v>14</v>
      </c>
      <c r="L1708" s="26">
        <v>2200</v>
      </c>
      <c r="M1708" s="26">
        <v>200</v>
      </c>
      <c r="N1708" s="25">
        <f t="shared" si="53"/>
        <v>440000</v>
      </c>
      <c r="O1708" s="56"/>
    </row>
    <row r="1709" spans="1:15" hidden="1" x14ac:dyDescent="0.3">
      <c r="A1709" s="26">
        <v>29</v>
      </c>
      <c r="B1709" s="20" t="str">
        <f t="shared" si="52"/>
        <v>JUL</v>
      </c>
      <c r="C1709" s="21">
        <v>46221</v>
      </c>
      <c r="D1709" s="22" t="str">
        <f t="array" ref="D1709">IFERROR(INDEX('Kode Outlet dan Target Toko'!$A:$A,MATCH($I1709,'Kode Outlet dan Target Toko'!$E:$E,0)),"")</f>
        <v>GRSM 5</v>
      </c>
      <c r="E1709" s="20" t="str">
        <f>IFERROR(VLOOKUP(I1709,KET!$B:$F,4,0),"")</f>
        <v>SUPRIYATI</v>
      </c>
      <c r="F1709" s="20" t="str">
        <f>IFERROR(VLOOKUP(I1709,KET!$B:$F,5,0),"")</f>
        <v>GMM</v>
      </c>
      <c r="G1709" s="20">
        <f>IFERROR(INDEX('Kode Outlet dan Target Toko'!$C:$C,MATCH($I1709,'Kode Outlet dan Target Toko'!$E:$E,0)),0)</f>
        <v>170220</v>
      </c>
      <c r="H1709" s="20">
        <f>IFERROR(INDEX('Kode Outlet dan Target Toko'!$D:$D,MATCH($I1709,'Kode Outlet dan Target Toko'!$E:$E,0)),0)</f>
        <v>1901004</v>
      </c>
      <c r="I1709" s="42" t="s">
        <v>36</v>
      </c>
      <c r="J1709" s="56" t="s">
        <v>264</v>
      </c>
      <c r="K1709" s="40" t="s">
        <v>13</v>
      </c>
      <c r="L1709" s="26">
        <v>2200</v>
      </c>
      <c r="M1709" s="26">
        <v>80</v>
      </c>
      <c r="N1709" s="25">
        <f t="shared" si="53"/>
        <v>176000</v>
      </c>
      <c r="O1709" s="56"/>
    </row>
    <row r="1710" spans="1:15" hidden="1" x14ac:dyDescent="0.3">
      <c r="A1710" s="26">
        <v>29</v>
      </c>
      <c r="B1710" s="20" t="str">
        <f t="shared" si="52"/>
        <v>JUL</v>
      </c>
      <c r="C1710" s="21">
        <v>46221</v>
      </c>
      <c r="D1710" s="22" t="str">
        <f t="array" ref="D1710">IFERROR(INDEX('Kode Outlet dan Target Toko'!$A:$A,MATCH($I1710,'Kode Outlet dan Target Toko'!$E:$E,0)),"")</f>
        <v>GRSM 5</v>
      </c>
      <c r="E1710" s="20" t="str">
        <f>IFERROR(VLOOKUP(I1710,KET!$B:$F,4,0),"")</f>
        <v>SUPRIYATI</v>
      </c>
      <c r="F1710" s="20" t="str">
        <f>IFERROR(VLOOKUP(I1710,KET!$B:$F,5,0),"")</f>
        <v>GMM</v>
      </c>
      <c r="G1710" s="20">
        <f>IFERROR(INDEX('Kode Outlet dan Target Toko'!$C:$C,MATCH($I1710,'Kode Outlet dan Target Toko'!$E:$E,0)),0)</f>
        <v>170220</v>
      </c>
      <c r="H1710" s="20">
        <f>IFERROR(INDEX('Kode Outlet dan Target Toko'!$D:$D,MATCH($I1710,'Kode Outlet dan Target Toko'!$E:$E,0)),0)</f>
        <v>1901004</v>
      </c>
      <c r="I1710" s="42" t="s">
        <v>36</v>
      </c>
      <c r="J1710" s="56" t="s">
        <v>264</v>
      </c>
      <c r="K1710" s="40" t="s">
        <v>16</v>
      </c>
      <c r="L1710" s="26">
        <v>2200</v>
      </c>
      <c r="M1710" s="26">
        <v>280</v>
      </c>
      <c r="N1710" s="25">
        <f t="shared" si="53"/>
        <v>616000</v>
      </c>
      <c r="O1710" s="56">
        <v>160</v>
      </c>
    </row>
    <row r="1711" spans="1:15" hidden="1" x14ac:dyDescent="0.3">
      <c r="A1711" s="26">
        <v>29</v>
      </c>
      <c r="B1711" s="20" t="str">
        <f t="shared" si="52"/>
        <v>JUL</v>
      </c>
      <c r="C1711" s="21">
        <v>46221</v>
      </c>
      <c r="D1711" s="22" t="str">
        <f t="array" ref="D1711">IFERROR(INDEX('Kode Outlet dan Target Toko'!$A:$A,MATCH($I1711,'Kode Outlet dan Target Toko'!$E:$E,0)),"")</f>
        <v>GRSM 5</v>
      </c>
      <c r="E1711" s="20" t="str">
        <f>IFERROR(VLOOKUP(I1711,KET!$B:$F,4,0),"")</f>
        <v>SUPRIYATI</v>
      </c>
      <c r="F1711" s="20" t="str">
        <f>IFERROR(VLOOKUP(I1711,KET!$B:$F,5,0),"")</f>
        <v>GMM</v>
      </c>
      <c r="G1711" s="20">
        <f>IFERROR(INDEX('Kode Outlet dan Target Toko'!$C:$C,MATCH($I1711,'Kode Outlet dan Target Toko'!$E:$E,0)),0)</f>
        <v>170220</v>
      </c>
      <c r="H1711" s="20">
        <f>IFERROR(INDEX('Kode Outlet dan Target Toko'!$D:$D,MATCH($I1711,'Kode Outlet dan Target Toko'!$E:$E,0)),0)</f>
        <v>1901004</v>
      </c>
      <c r="I1711" s="42" t="s">
        <v>36</v>
      </c>
      <c r="J1711" s="56" t="s">
        <v>263</v>
      </c>
      <c r="K1711" s="40" t="s">
        <v>15</v>
      </c>
      <c r="L1711" s="26">
        <v>2200</v>
      </c>
      <c r="M1711" s="26">
        <v>120</v>
      </c>
      <c r="N1711" s="25">
        <f t="shared" si="53"/>
        <v>264000</v>
      </c>
      <c r="O1711" s="56"/>
    </row>
    <row r="1712" spans="1:15" hidden="1" x14ac:dyDescent="0.3">
      <c r="A1712" s="26">
        <v>29</v>
      </c>
      <c r="B1712" s="20" t="str">
        <f t="shared" si="52"/>
        <v>JUL</v>
      </c>
      <c r="C1712" s="21">
        <v>46221</v>
      </c>
      <c r="D1712" s="22" t="str">
        <f t="array" ref="D1712">IFERROR(INDEX('Kode Outlet dan Target Toko'!$A:$A,MATCH($I1712,'Kode Outlet dan Target Toko'!$E:$E,0)),"")</f>
        <v>GRSM 5</v>
      </c>
      <c r="E1712" s="20" t="str">
        <f>IFERROR(VLOOKUP(I1712,KET!$B:$F,4,0),"")</f>
        <v>SUPRIYATI</v>
      </c>
      <c r="F1712" s="20" t="str">
        <f>IFERROR(VLOOKUP(I1712,KET!$B:$F,5,0),"")</f>
        <v>GMM</v>
      </c>
      <c r="G1712" s="20">
        <f>IFERROR(INDEX('Kode Outlet dan Target Toko'!$C:$C,MATCH($I1712,'Kode Outlet dan Target Toko'!$E:$E,0)),0)</f>
        <v>170220</v>
      </c>
      <c r="H1712" s="20">
        <f>IFERROR(INDEX('Kode Outlet dan Target Toko'!$D:$D,MATCH($I1712,'Kode Outlet dan Target Toko'!$E:$E,0)),0)</f>
        <v>1901004</v>
      </c>
      <c r="I1712" s="42" t="s">
        <v>36</v>
      </c>
      <c r="J1712" s="56" t="s">
        <v>263</v>
      </c>
      <c r="K1712" s="40" t="s">
        <v>14</v>
      </c>
      <c r="L1712" s="26">
        <v>2200</v>
      </c>
      <c r="M1712" s="26">
        <v>200</v>
      </c>
      <c r="N1712" s="25">
        <f t="shared" si="53"/>
        <v>440000</v>
      </c>
      <c r="O1712" s="56"/>
    </row>
    <row r="1713" spans="1:15" hidden="1" x14ac:dyDescent="0.3">
      <c r="A1713" s="26">
        <v>29</v>
      </c>
      <c r="B1713" s="20" t="str">
        <f t="shared" si="52"/>
        <v>JUL</v>
      </c>
      <c r="C1713" s="21">
        <v>46221</v>
      </c>
      <c r="D1713" s="22" t="str">
        <f t="array" ref="D1713">IFERROR(INDEX('Kode Outlet dan Target Toko'!$A:$A,MATCH($I1713,'Kode Outlet dan Target Toko'!$E:$E,0)),"")</f>
        <v>GRSM 5</v>
      </c>
      <c r="E1713" s="20" t="str">
        <f>IFERROR(VLOOKUP(I1713,KET!$B:$F,4,0),"")</f>
        <v>SUPRIYATI</v>
      </c>
      <c r="F1713" s="20" t="str">
        <f>IFERROR(VLOOKUP(I1713,KET!$B:$F,5,0),"")</f>
        <v>GMM</v>
      </c>
      <c r="G1713" s="20">
        <f>IFERROR(INDEX('Kode Outlet dan Target Toko'!$C:$C,MATCH($I1713,'Kode Outlet dan Target Toko'!$E:$E,0)),0)</f>
        <v>170220</v>
      </c>
      <c r="H1713" s="20">
        <f>IFERROR(INDEX('Kode Outlet dan Target Toko'!$D:$D,MATCH($I1713,'Kode Outlet dan Target Toko'!$E:$E,0)),0)</f>
        <v>1901004</v>
      </c>
      <c r="I1713" s="42" t="s">
        <v>36</v>
      </c>
      <c r="J1713" s="56" t="s">
        <v>263</v>
      </c>
      <c r="K1713" s="40" t="s">
        <v>13</v>
      </c>
      <c r="L1713" s="26">
        <v>2200</v>
      </c>
      <c r="M1713" s="26">
        <v>80</v>
      </c>
      <c r="N1713" s="25">
        <f t="shared" si="53"/>
        <v>176000</v>
      </c>
      <c r="O1713" s="56"/>
    </row>
    <row r="1714" spans="1:15" hidden="1" x14ac:dyDescent="0.3">
      <c r="A1714" s="26">
        <v>29</v>
      </c>
      <c r="B1714" s="20" t="str">
        <f t="shared" si="52"/>
        <v>JUL</v>
      </c>
      <c r="C1714" s="21">
        <v>46221</v>
      </c>
      <c r="D1714" s="22" t="str">
        <f t="array" ref="D1714">IFERROR(INDEX('Kode Outlet dan Target Toko'!$A:$A,MATCH($I1714,'Kode Outlet dan Target Toko'!$E:$E,0)),"")</f>
        <v>GRSM 5</v>
      </c>
      <c r="E1714" s="20" t="str">
        <f>IFERROR(VLOOKUP(I1714,KET!$B:$F,4,0),"")</f>
        <v>SUPRIYATI</v>
      </c>
      <c r="F1714" s="20" t="str">
        <f>IFERROR(VLOOKUP(I1714,KET!$B:$F,5,0),"")</f>
        <v>GMM</v>
      </c>
      <c r="G1714" s="20">
        <f>IFERROR(INDEX('Kode Outlet dan Target Toko'!$C:$C,MATCH($I1714,'Kode Outlet dan Target Toko'!$E:$E,0)),0)</f>
        <v>170220</v>
      </c>
      <c r="H1714" s="20">
        <f>IFERROR(INDEX('Kode Outlet dan Target Toko'!$D:$D,MATCH($I1714,'Kode Outlet dan Target Toko'!$E:$E,0)),0)</f>
        <v>1901004</v>
      </c>
      <c r="I1714" s="42" t="s">
        <v>36</v>
      </c>
      <c r="J1714" s="56" t="s">
        <v>263</v>
      </c>
      <c r="K1714" s="40" t="s">
        <v>16</v>
      </c>
      <c r="L1714" s="26">
        <v>2200</v>
      </c>
      <c r="M1714" s="26">
        <v>280</v>
      </c>
      <c r="N1714" s="25">
        <f t="shared" si="53"/>
        <v>616000</v>
      </c>
      <c r="O1714" s="56">
        <v>160</v>
      </c>
    </row>
    <row r="1715" spans="1:15" hidden="1" x14ac:dyDescent="0.3">
      <c r="A1715" s="26">
        <v>29</v>
      </c>
      <c r="B1715" s="20" t="str">
        <f t="shared" si="52"/>
        <v>JUL</v>
      </c>
      <c r="C1715" s="21">
        <v>46221</v>
      </c>
      <c r="D1715" s="22" t="str">
        <f t="array" ref="D1715">IFERROR(INDEX('Kode Outlet dan Target Toko'!$A:$A,MATCH($I1715,'Kode Outlet dan Target Toko'!$E:$E,0)),"")</f>
        <v>GRSM 5</v>
      </c>
      <c r="E1715" s="20" t="str">
        <f>IFERROR(VLOOKUP(I1715,KET!$B:$F,4,0),"")</f>
        <v>SUPRIYATI</v>
      </c>
      <c r="F1715" s="20" t="str">
        <f>IFERROR(VLOOKUP(I1715,KET!$B:$F,5,0),"")</f>
        <v>GMM</v>
      </c>
      <c r="G1715" s="20">
        <f>IFERROR(INDEX('Kode Outlet dan Target Toko'!$C:$C,MATCH($I1715,'Kode Outlet dan Target Toko'!$E:$E,0)),0)</f>
        <v>170220</v>
      </c>
      <c r="H1715" s="20">
        <f>IFERROR(INDEX('Kode Outlet dan Target Toko'!$D:$D,MATCH($I1715,'Kode Outlet dan Target Toko'!$E:$E,0)),0)</f>
        <v>1901019</v>
      </c>
      <c r="I1715" s="42" t="s">
        <v>38</v>
      </c>
      <c r="J1715" s="56" t="s">
        <v>267</v>
      </c>
      <c r="K1715" s="40" t="s">
        <v>15</v>
      </c>
      <c r="L1715" s="26">
        <v>2200</v>
      </c>
      <c r="M1715" s="26">
        <v>126</v>
      </c>
      <c r="N1715" s="25">
        <f t="shared" si="53"/>
        <v>277200</v>
      </c>
      <c r="O1715" s="56"/>
    </row>
    <row r="1716" spans="1:15" hidden="1" x14ac:dyDescent="0.3">
      <c r="A1716" s="26">
        <v>29</v>
      </c>
      <c r="B1716" s="20" t="str">
        <f t="shared" si="52"/>
        <v>JUL</v>
      </c>
      <c r="C1716" s="21">
        <v>46221</v>
      </c>
      <c r="D1716" s="22" t="str">
        <f t="array" ref="D1716">IFERROR(INDEX('Kode Outlet dan Target Toko'!$A:$A,MATCH($I1716,'Kode Outlet dan Target Toko'!$E:$E,0)),"")</f>
        <v>GRSM 5</v>
      </c>
      <c r="E1716" s="20" t="str">
        <f>IFERROR(VLOOKUP(I1716,KET!$B:$F,4,0),"")</f>
        <v>SUPRIYATI</v>
      </c>
      <c r="F1716" s="20" t="str">
        <f>IFERROR(VLOOKUP(I1716,KET!$B:$F,5,0),"")</f>
        <v>GMM</v>
      </c>
      <c r="G1716" s="20">
        <f>IFERROR(INDEX('Kode Outlet dan Target Toko'!$C:$C,MATCH($I1716,'Kode Outlet dan Target Toko'!$E:$E,0)),0)</f>
        <v>170220</v>
      </c>
      <c r="H1716" s="20">
        <f>IFERROR(INDEX('Kode Outlet dan Target Toko'!$D:$D,MATCH($I1716,'Kode Outlet dan Target Toko'!$E:$E,0)),0)</f>
        <v>1901019</v>
      </c>
      <c r="I1716" s="42" t="s">
        <v>38</v>
      </c>
      <c r="J1716" s="56" t="s">
        <v>267</v>
      </c>
      <c r="K1716" s="40" t="s">
        <v>14</v>
      </c>
      <c r="L1716" s="26">
        <v>2200</v>
      </c>
      <c r="M1716" s="26">
        <v>97</v>
      </c>
      <c r="N1716" s="25">
        <f t="shared" si="53"/>
        <v>213400</v>
      </c>
      <c r="O1716" s="56"/>
    </row>
    <row r="1717" spans="1:15" hidden="1" x14ac:dyDescent="0.3">
      <c r="A1717" s="26">
        <v>29</v>
      </c>
      <c r="B1717" s="20" t="str">
        <f t="shared" si="52"/>
        <v>JUL</v>
      </c>
      <c r="C1717" s="21">
        <v>46221</v>
      </c>
      <c r="D1717" s="22" t="str">
        <f t="array" ref="D1717">IFERROR(INDEX('Kode Outlet dan Target Toko'!$A:$A,MATCH($I1717,'Kode Outlet dan Target Toko'!$E:$E,0)),"")</f>
        <v>GRSM 5</v>
      </c>
      <c r="E1717" s="20" t="str">
        <f>IFERROR(VLOOKUP(I1717,KET!$B:$F,4,0),"")</f>
        <v>SUPRIYATI</v>
      </c>
      <c r="F1717" s="20" t="str">
        <f>IFERROR(VLOOKUP(I1717,KET!$B:$F,5,0),"")</f>
        <v>GMM</v>
      </c>
      <c r="G1717" s="20">
        <f>IFERROR(INDEX('Kode Outlet dan Target Toko'!$C:$C,MATCH($I1717,'Kode Outlet dan Target Toko'!$E:$E,0)),0)</f>
        <v>170220</v>
      </c>
      <c r="H1717" s="20">
        <f>IFERROR(INDEX('Kode Outlet dan Target Toko'!$D:$D,MATCH($I1717,'Kode Outlet dan Target Toko'!$E:$E,0)),0)</f>
        <v>1901019</v>
      </c>
      <c r="I1717" s="42" t="s">
        <v>38</v>
      </c>
      <c r="J1717" s="56" t="s">
        <v>267</v>
      </c>
      <c r="K1717" s="40" t="s">
        <v>13</v>
      </c>
      <c r="L1717" s="26">
        <v>2200</v>
      </c>
      <c r="M1717" s="26">
        <v>195</v>
      </c>
      <c r="N1717" s="25">
        <f t="shared" si="53"/>
        <v>429000</v>
      </c>
      <c r="O1717" s="56"/>
    </row>
    <row r="1718" spans="1:15" hidden="1" x14ac:dyDescent="0.3">
      <c r="A1718" s="26">
        <v>29</v>
      </c>
      <c r="B1718" s="20" t="str">
        <f t="shared" si="52"/>
        <v>JUL</v>
      </c>
      <c r="C1718" s="21">
        <v>46221</v>
      </c>
      <c r="D1718" s="22" t="str">
        <f t="array" ref="D1718">IFERROR(INDEX('Kode Outlet dan Target Toko'!$A:$A,MATCH($I1718,'Kode Outlet dan Target Toko'!$E:$E,0)),"")</f>
        <v>GRSM 5</v>
      </c>
      <c r="E1718" s="20" t="str">
        <f>IFERROR(VLOOKUP(I1718,KET!$B:$F,4,0),"")</f>
        <v>SUPRIYATI</v>
      </c>
      <c r="F1718" s="20" t="str">
        <f>IFERROR(VLOOKUP(I1718,KET!$B:$F,5,0),"")</f>
        <v>GMM</v>
      </c>
      <c r="G1718" s="20">
        <f>IFERROR(INDEX('Kode Outlet dan Target Toko'!$C:$C,MATCH($I1718,'Kode Outlet dan Target Toko'!$E:$E,0)),0)</f>
        <v>170220</v>
      </c>
      <c r="H1718" s="20">
        <f>IFERROR(INDEX('Kode Outlet dan Target Toko'!$D:$D,MATCH($I1718,'Kode Outlet dan Target Toko'!$E:$E,0)),0)</f>
        <v>1901019</v>
      </c>
      <c r="I1718" s="42" t="s">
        <v>38</v>
      </c>
      <c r="J1718" s="56" t="s">
        <v>267</v>
      </c>
      <c r="K1718" s="40" t="s">
        <v>16</v>
      </c>
      <c r="L1718" s="26">
        <v>2200</v>
      </c>
      <c r="M1718" s="26">
        <v>310</v>
      </c>
      <c r="N1718" s="25">
        <f t="shared" si="53"/>
        <v>682000</v>
      </c>
      <c r="O1718" s="56">
        <v>160</v>
      </c>
    </row>
    <row r="1719" spans="1:15" hidden="1" x14ac:dyDescent="0.3">
      <c r="A1719" s="26">
        <v>29</v>
      </c>
      <c r="B1719" s="20" t="str">
        <f t="shared" si="52"/>
        <v>JUL</v>
      </c>
      <c r="C1719" s="21">
        <v>46221</v>
      </c>
      <c r="D1719" s="22" t="str">
        <f t="array" ref="D1719">IFERROR(INDEX('Kode Outlet dan Target Toko'!$A:$A,MATCH($I1719,'Kode Outlet dan Target Toko'!$E:$E,0)),"")</f>
        <v>GRSM 5</v>
      </c>
      <c r="E1719" s="20" t="str">
        <f>IFERROR(VLOOKUP(I1719,KET!$B:$F,4,0),"")</f>
        <v>SUPRIYATI</v>
      </c>
      <c r="F1719" s="20" t="str">
        <f>IFERROR(VLOOKUP(I1719,KET!$B:$F,5,0),"")</f>
        <v>GMM</v>
      </c>
      <c r="G1719" s="20">
        <f>IFERROR(INDEX('Kode Outlet dan Target Toko'!$C:$C,MATCH($I1719,'Kode Outlet dan Target Toko'!$E:$E,0)),0)</f>
        <v>170220</v>
      </c>
      <c r="H1719" s="20">
        <f>IFERROR(INDEX('Kode Outlet dan Target Toko'!$D:$D,MATCH($I1719,'Kode Outlet dan Target Toko'!$E:$E,0)),0)</f>
        <v>1901019</v>
      </c>
      <c r="I1719" s="42" t="s">
        <v>38</v>
      </c>
      <c r="J1719" s="56" t="s">
        <v>268</v>
      </c>
      <c r="K1719" s="40" t="s">
        <v>15</v>
      </c>
      <c r="L1719" s="26">
        <v>2200</v>
      </c>
      <c r="M1719" s="26">
        <v>126</v>
      </c>
      <c r="N1719" s="25">
        <f t="shared" si="53"/>
        <v>277200</v>
      </c>
      <c r="O1719" s="56"/>
    </row>
    <row r="1720" spans="1:15" hidden="1" x14ac:dyDescent="0.3">
      <c r="A1720" s="26">
        <v>29</v>
      </c>
      <c r="B1720" s="20" t="str">
        <f t="shared" si="52"/>
        <v>JUL</v>
      </c>
      <c r="C1720" s="21">
        <v>46221</v>
      </c>
      <c r="D1720" s="22" t="str">
        <f t="array" ref="D1720">IFERROR(INDEX('Kode Outlet dan Target Toko'!$A:$A,MATCH($I1720,'Kode Outlet dan Target Toko'!$E:$E,0)),"")</f>
        <v>GRSM 5</v>
      </c>
      <c r="E1720" s="20" t="str">
        <f>IFERROR(VLOOKUP(I1720,KET!$B:$F,4,0),"")</f>
        <v>SUPRIYATI</v>
      </c>
      <c r="F1720" s="20" t="str">
        <f>IFERROR(VLOOKUP(I1720,KET!$B:$F,5,0),"")</f>
        <v>GMM</v>
      </c>
      <c r="G1720" s="20">
        <f>IFERROR(INDEX('Kode Outlet dan Target Toko'!$C:$C,MATCH($I1720,'Kode Outlet dan Target Toko'!$E:$E,0)),0)</f>
        <v>170220</v>
      </c>
      <c r="H1720" s="20">
        <f>IFERROR(INDEX('Kode Outlet dan Target Toko'!$D:$D,MATCH($I1720,'Kode Outlet dan Target Toko'!$E:$E,0)),0)</f>
        <v>1901019</v>
      </c>
      <c r="I1720" s="42" t="s">
        <v>38</v>
      </c>
      <c r="J1720" s="56" t="s">
        <v>268</v>
      </c>
      <c r="K1720" s="40" t="s">
        <v>14</v>
      </c>
      <c r="L1720" s="26">
        <v>2200</v>
      </c>
      <c r="M1720" s="26">
        <v>97</v>
      </c>
      <c r="N1720" s="25">
        <f t="shared" si="53"/>
        <v>213400</v>
      </c>
      <c r="O1720" s="56"/>
    </row>
    <row r="1721" spans="1:15" hidden="1" x14ac:dyDescent="0.3">
      <c r="A1721" s="26">
        <v>29</v>
      </c>
      <c r="B1721" s="20" t="str">
        <f t="shared" si="52"/>
        <v>JUL</v>
      </c>
      <c r="C1721" s="21">
        <v>46221</v>
      </c>
      <c r="D1721" s="22" t="str">
        <f t="array" ref="D1721">IFERROR(INDEX('Kode Outlet dan Target Toko'!$A:$A,MATCH($I1721,'Kode Outlet dan Target Toko'!$E:$E,0)),"")</f>
        <v>GRSM 5</v>
      </c>
      <c r="E1721" s="20" t="str">
        <f>IFERROR(VLOOKUP(I1721,KET!$B:$F,4,0),"")</f>
        <v>SUPRIYATI</v>
      </c>
      <c r="F1721" s="20" t="str">
        <f>IFERROR(VLOOKUP(I1721,KET!$B:$F,5,0),"")</f>
        <v>GMM</v>
      </c>
      <c r="G1721" s="20">
        <f>IFERROR(INDEX('Kode Outlet dan Target Toko'!$C:$C,MATCH($I1721,'Kode Outlet dan Target Toko'!$E:$E,0)),0)</f>
        <v>170220</v>
      </c>
      <c r="H1721" s="20">
        <f>IFERROR(INDEX('Kode Outlet dan Target Toko'!$D:$D,MATCH($I1721,'Kode Outlet dan Target Toko'!$E:$E,0)),0)</f>
        <v>1901019</v>
      </c>
      <c r="I1721" s="42" t="s">
        <v>38</v>
      </c>
      <c r="J1721" s="56" t="s">
        <v>268</v>
      </c>
      <c r="K1721" s="40" t="s">
        <v>13</v>
      </c>
      <c r="L1721" s="26">
        <v>2200</v>
      </c>
      <c r="M1721" s="26">
        <v>195</v>
      </c>
      <c r="N1721" s="25">
        <f t="shared" si="53"/>
        <v>429000</v>
      </c>
      <c r="O1721" s="56"/>
    </row>
    <row r="1722" spans="1:15" hidden="1" x14ac:dyDescent="0.3">
      <c r="A1722" s="26">
        <v>29</v>
      </c>
      <c r="B1722" s="20" t="str">
        <f t="shared" si="52"/>
        <v>JUL</v>
      </c>
      <c r="C1722" s="21">
        <v>46221</v>
      </c>
      <c r="D1722" s="22" t="str">
        <f t="array" ref="D1722">IFERROR(INDEX('Kode Outlet dan Target Toko'!$A:$A,MATCH($I1722,'Kode Outlet dan Target Toko'!$E:$E,0)),"")</f>
        <v>GRSM 5</v>
      </c>
      <c r="E1722" s="20" t="str">
        <f>IFERROR(VLOOKUP(I1722,KET!$B:$F,4,0),"")</f>
        <v>SUPRIYATI</v>
      </c>
      <c r="F1722" s="20" t="str">
        <f>IFERROR(VLOOKUP(I1722,KET!$B:$F,5,0),"")</f>
        <v>GMM</v>
      </c>
      <c r="G1722" s="20">
        <f>IFERROR(INDEX('Kode Outlet dan Target Toko'!$C:$C,MATCH($I1722,'Kode Outlet dan Target Toko'!$E:$E,0)),0)</f>
        <v>170220</v>
      </c>
      <c r="H1722" s="20">
        <f>IFERROR(INDEX('Kode Outlet dan Target Toko'!$D:$D,MATCH($I1722,'Kode Outlet dan Target Toko'!$E:$E,0)),0)</f>
        <v>1901019</v>
      </c>
      <c r="I1722" s="42" t="s">
        <v>38</v>
      </c>
      <c r="J1722" s="56" t="s">
        <v>268</v>
      </c>
      <c r="K1722" s="40" t="s">
        <v>16</v>
      </c>
      <c r="L1722" s="26">
        <v>2200</v>
      </c>
      <c r="M1722" s="26">
        <v>310</v>
      </c>
      <c r="N1722" s="25">
        <f t="shared" si="53"/>
        <v>682000</v>
      </c>
      <c r="O1722" s="56">
        <v>160</v>
      </c>
    </row>
    <row r="1723" spans="1:15" hidden="1" x14ac:dyDescent="0.3">
      <c r="A1723" s="26">
        <v>29</v>
      </c>
      <c r="B1723" s="20" t="str">
        <f t="shared" si="52"/>
        <v>JUL</v>
      </c>
      <c r="C1723" s="21">
        <v>46222</v>
      </c>
      <c r="D1723" s="22" t="str">
        <f t="array" ref="D1723">IFERROR(INDEX('Kode Outlet dan Target Toko'!$A:$A,MATCH($I1723,'Kode Outlet dan Target Toko'!$E:$E,0)),"")</f>
        <v>GRSM 5</v>
      </c>
      <c r="E1723" s="20" t="str">
        <f>IFERROR(VLOOKUP(I1723,KET!$B:$F,4,0),"")</f>
        <v>SUPRIYATI</v>
      </c>
      <c r="F1723" s="20" t="str">
        <f>IFERROR(VLOOKUP(I1723,KET!$B:$F,5,0),"")</f>
        <v>GMM</v>
      </c>
      <c r="G1723" s="20">
        <f>IFERROR(INDEX('Kode Outlet dan Target Toko'!$C:$C,MATCH($I1723,'Kode Outlet dan Target Toko'!$E:$E,0)),0)</f>
        <v>170220</v>
      </c>
      <c r="H1723" s="20">
        <f>IFERROR(INDEX('Kode Outlet dan Target Toko'!$D:$D,MATCH($I1723,'Kode Outlet dan Target Toko'!$E:$E,0)),0)</f>
        <v>1901004</v>
      </c>
      <c r="I1723" s="42" t="s">
        <v>36</v>
      </c>
      <c r="J1723" s="56" t="s">
        <v>264</v>
      </c>
      <c r="K1723" s="40" t="s">
        <v>15</v>
      </c>
      <c r="L1723" s="26">
        <v>2200</v>
      </c>
      <c r="M1723" s="26">
        <v>80</v>
      </c>
      <c r="N1723" s="25">
        <f t="shared" si="53"/>
        <v>176000</v>
      </c>
      <c r="O1723" s="56"/>
    </row>
    <row r="1724" spans="1:15" hidden="1" x14ac:dyDescent="0.3">
      <c r="A1724" s="26">
        <v>29</v>
      </c>
      <c r="B1724" s="20" t="str">
        <f t="shared" si="52"/>
        <v>JUL</v>
      </c>
      <c r="C1724" s="21">
        <v>46222</v>
      </c>
      <c r="D1724" s="22" t="str">
        <f t="array" ref="D1724">IFERROR(INDEX('Kode Outlet dan Target Toko'!$A:$A,MATCH($I1724,'Kode Outlet dan Target Toko'!$E:$E,0)),"")</f>
        <v>GRSM 5</v>
      </c>
      <c r="E1724" s="20" t="str">
        <f>IFERROR(VLOOKUP(I1724,KET!$B:$F,4,0),"")</f>
        <v>SUPRIYATI</v>
      </c>
      <c r="F1724" s="20" t="str">
        <f>IFERROR(VLOOKUP(I1724,KET!$B:$F,5,0),"")</f>
        <v>GMM</v>
      </c>
      <c r="G1724" s="20">
        <f>IFERROR(INDEX('Kode Outlet dan Target Toko'!$C:$C,MATCH($I1724,'Kode Outlet dan Target Toko'!$E:$E,0)),0)</f>
        <v>170220</v>
      </c>
      <c r="H1724" s="20">
        <f>IFERROR(INDEX('Kode Outlet dan Target Toko'!$D:$D,MATCH($I1724,'Kode Outlet dan Target Toko'!$E:$E,0)),0)</f>
        <v>1901004</v>
      </c>
      <c r="I1724" s="42" t="s">
        <v>36</v>
      </c>
      <c r="J1724" s="56" t="s">
        <v>264</v>
      </c>
      <c r="K1724" s="40" t="s">
        <v>14</v>
      </c>
      <c r="L1724" s="26">
        <v>2200</v>
      </c>
      <c r="M1724" s="26">
        <v>203</v>
      </c>
      <c r="N1724" s="25">
        <f t="shared" si="53"/>
        <v>446600</v>
      </c>
      <c r="O1724" s="56"/>
    </row>
    <row r="1725" spans="1:15" hidden="1" x14ac:dyDescent="0.3">
      <c r="A1725" s="26">
        <v>29</v>
      </c>
      <c r="B1725" s="20" t="str">
        <f t="shared" si="52"/>
        <v>JUL</v>
      </c>
      <c r="C1725" s="21">
        <v>46222</v>
      </c>
      <c r="D1725" s="22" t="str">
        <f t="array" ref="D1725">IFERROR(INDEX('Kode Outlet dan Target Toko'!$A:$A,MATCH($I1725,'Kode Outlet dan Target Toko'!$E:$E,0)),"")</f>
        <v>GRSM 5</v>
      </c>
      <c r="E1725" s="20" t="str">
        <f>IFERROR(VLOOKUP(I1725,KET!$B:$F,4,0),"")</f>
        <v>SUPRIYATI</v>
      </c>
      <c r="F1725" s="20" t="str">
        <f>IFERROR(VLOOKUP(I1725,KET!$B:$F,5,0),"")</f>
        <v>GMM</v>
      </c>
      <c r="G1725" s="20">
        <f>IFERROR(INDEX('Kode Outlet dan Target Toko'!$C:$C,MATCH($I1725,'Kode Outlet dan Target Toko'!$E:$E,0)),0)</f>
        <v>170220</v>
      </c>
      <c r="H1725" s="20">
        <f>IFERROR(INDEX('Kode Outlet dan Target Toko'!$D:$D,MATCH($I1725,'Kode Outlet dan Target Toko'!$E:$E,0)),0)</f>
        <v>1901004</v>
      </c>
      <c r="I1725" s="42" t="s">
        <v>36</v>
      </c>
      <c r="J1725" s="56" t="s">
        <v>264</v>
      </c>
      <c r="K1725" s="40" t="s">
        <v>13</v>
      </c>
      <c r="L1725" s="26">
        <v>2200</v>
      </c>
      <c r="M1725" s="26">
        <v>160</v>
      </c>
      <c r="N1725" s="25">
        <f t="shared" si="53"/>
        <v>352000</v>
      </c>
      <c r="O1725" s="56"/>
    </row>
    <row r="1726" spans="1:15" hidden="1" x14ac:dyDescent="0.3">
      <c r="A1726" s="26">
        <v>29</v>
      </c>
      <c r="B1726" s="20" t="str">
        <f t="shared" si="52"/>
        <v>JUL</v>
      </c>
      <c r="C1726" s="21">
        <v>46222</v>
      </c>
      <c r="D1726" s="22" t="str">
        <f t="array" ref="D1726">IFERROR(INDEX('Kode Outlet dan Target Toko'!$A:$A,MATCH($I1726,'Kode Outlet dan Target Toko'!$E:$E,0)),"")</f>
        <v>GRSM 5</v>
      </c>
      <c r="E1726" s="20" t="str">
        <f>IFERROR(VLOOKUP(I1726,KET!$B:$F,4,0),"")</f>
        <v>SUPRIYATI</v>
      </c>
      <c r="F1726" s="20" t="str">
        <f>IFERROR(VLOOKUP(I1726,KET!$B:$F,5,0),"")</f>
        <v>GMM</v>
      </c>
      <c r="G1726" s="20">
        <f>IFERROR(INDEX('Kode Outlet dan Target Toko'!$C:$C,MATCH($I1726,'Kode Outlet dan Target Toko'!$E:$E,0)),0)</f>
        <v>170220</v>
      </c>
      <c r="H1726" s="20">
        <f>IFERROR(INDEX('Kode Outlet dan Target Toko'!$D:$D,MATCH($I1726,'Kode Outlet dan Target Toko'!$E:$E,0)),0)</f>
        <v>1901004</v>
      </c>
      <c r="I1726" s="42" t="s">
        <v>36</v>
      </c>
      <c r="J1726" s="56" t="s">
        <v>264</v>
      </c>
      <c r="K1726" s="40" t="s">
        <v>16</v>
      </c>
      <c r="L1726" s="26">
        <v>2200</v>
      </c>
      <c r="M1726" s="26">
        <v>287</v>
      </c>
      <c r="N1726" s="25">
        <f t="shared" si="53"/>
        <v>631400</v>
      </c>
      <c r="O1726" s="56">
        <v>160</v>
      </c>
    </row>
    <row r="1727" spans="1:15" hidden="1" x14ac:dyDescent="0.3">
      <c r="A1727" s="26">
        <v>29</v>
      </c>
      <c r="B1727" s="20" t="str">
        <f t="shared" si="52"/>
        <v>JUL</v>
      </c>
      <c r="C1727" s="21">
        <v>46222</v>
      </c>
      <c r="D1727" s="22" t="str">
        <f t="array" ref="D1727">IFERROR(INDEX('Kode Outlet dan Target Toko'!$A:$A,MATCH($I1727,'Kode Outlet dan Target Toko'!$E:$E,0)),"")</f>
        <v>GRSM 5</v>
      </c>
      <c r="E1727" s="20" t="str">
        <f>IFERROR(VLOOKUP(I1727,KET!$B:$F,4,0),"")</f>
        <v>SUPRIYATI</v>
      </c>
      <c r="F1727" s="20" t="str">
        <f>IFERROR(VLOOKUP(I1727,KET!$B:$F,5,0),"")</f>
        <v>GMM</v>
      </c>
      <c r="G1727" s="20">
        <f>IFERROR(INDEX('Kode Outlet dan Target Toko'!$C:$C,MATCH($I1727,'Kode Outlet dan Target Toko'!$E:$E,0)),0)</f>
        <v>170220</v>
      </c>
      <c r="H1727" s="20">
        <f>IFERROR(INDEX('Kode Outlet dan Target Toko'!$D:$D,MATCH($I1727,'Kode Outlet dan Target Toko'!$E:$E,0)),0)</f>
        <v>1901004</v>
      </c>
      <c r="I1727" s="42" t="s">
        <v>36</v>
      </c>
      <c r="J1727" s="56" t="s">
        <v>263</v>
      </c>
      <c r="K1727" s="40" t="s">
        <v>15</v>
      </c>
      <c r="L1727" s="26">
        <v>2200</v>
      </c>
      <c r="M1727" s="26">
        <v>80</v>
      </c>
      <c r="N1727" s="25">
        <f t="shared" si="53"/>
        <v>176000</v>
      </c>
      <c r="O1727" s="56"/>
    </row>
    <row r="1728" spans="1:15" hidden="1" x14ac:dyDescent="0.3">
      <c r="A1728" s="26">
        <v>29</v>
      </c>
      <c r="B1728" s="20" t="str">
        <f t="shared" si="52"/>
        <v>JUL</v>
      </c>
      <c r="C1728" s="21">
        <v>46222</v>
      </c>
      <c r="D1728" s="22" t="str">
        <f t="array" ref="D1728">IFERROR(INDEX('Kode Outlet dan Target Toko'!$A:$A,MATCH($I1728,'Kode Outlet dan Target Toko'!$E:$E,0)),"")</f>
        <v>GRSM 5</v>
      </c>
      <c r="E1728" s="20" t="str">
        <f>IFERROR(VLOOKUP(I1728,KET!$B:$F,4,0),"")</f>
        <v>SUPRIYATI</v>
      </c>
      <c r="F1728" s="20" t="str">
        <f>IFERROR(VLOOKUP(I1728,KET!$B:$F,5,0),"")</f>
        <v>GMM</v>
      </c>
      <c r="G1728" s="20">
        <f>IFERROR(INDEX('Kode Outlet dan Target Toko'!$C:$C,MATCH($I1728,'Kode Outlet dan Target Toko'!$E:$E,0)),0)</f>
        <v>170220</v>
      </c>
      <c r="H1728" s="20">
        <f>IFERROR(INDEX('Kode Outlet dan Target Toko'!$D:$D,MATCH($I1728,'Kode Outlet dan Target Toko'!$E:$E,0)),0)</f>
        <v>1901004</v>
      </c>
      <c r="I1728" s="42" t="s">
        <v>36</v>
      </c>
      <c r="J1728" s="56" t="s">
        <v>263</v>
      </c>
      <c r="K1728" s="40" t="s">
        <v>14</v>
      </c>
      <c r="L1728" s="26">
        <v>2200</v>
      </c>
      <c r="M1728" s="26">
        <v>203</v>
      </c>
      <c r="N1728" s="25">
        <f t="shared" si="53"/>
        <v>446600</v>
      </c>
      <c r="O1728" s="56"/>
    </row>
    <row r="1729" spans="1:15" hidden="1" x14ac:dyDescent="0.3">
      <c r="A1729" s="26">
        <v>29</v>
      </c>
      <c r="B1729" s="20" t="str">
        <f t="shared" si="52"/>
        <v>JUL</v>
      </c>
      <c r="C1729" s="21">
        <v>46222</v>
      </c>
      <c r="D1729" s="22" t="str">
        <f t="array" ref="D1729">IFERROR(INDEX('Kode Outlet dan Target Toko'!$A:$A,MATCH($I1729,'Kode Outlet dan Target Toko'!$E:$E,0)),"")</f>
        <v>GRSM 5</v>
      </c>
      <c r="E1729" s="20" t="str">
        <f>IFERROR(VLOOKUP(I1729,KET!$B:$F,4,0),"")</f>
        <v>SUPRIYATI</v>
      </c>
      <c r="F1729" s="20" t="str">
        <f>IFERROR(VLOOKUP(I1729,KET!$B:$F,5,0),"")</f>
        <v>GMM</v>
      </c>
      <c r="G1729" s="20">
        <f>IFERROR(INDEX('Kode Outlet dan Target Toko'!$C:$C,MATCH($I1729,'Kode Outlet dan Target Toko'!$E:$E,0)),0)</f>
        <v>170220</v>
      </c>
      <c r="H1729" s="20">
        <f>IFERROR(INDEX('Kode Outlet dan Target Toko'!$D:$D,MATCH($I1729,'Kode Outlet dan Target Toko'!$E:$E,0)),0)</f>
        <v>1901004</v>
      </c>
      <c r="I1729" s="42" t="s">
        <v>36</v>
      </c>
      <c r="J1729" s="56" t="s">
        <v>263</v>
      </c>
      <c r="K1729" s="40" t="s">
        <v>13</v>
      </c>
      <c r="L1729" s="26">
        <v>2200</v>
      </c>
      <c r="M1729" s="26">
        <v>160</v>
      </c>
      <c r="N1729" s="25">
        <f t="shared" si="53"/>
        <v>352000</v>
      </c>
      <c r="O1729" s="56"/>
    </row>
    <row r="1730" spans="1:15" hidden="1" x14ac:dyDescent="0.3">
      <c r="A1730" s="26">
        <v>29</v>
      </c>
      <c r="B1730" s="20" t="str">
        <f t="shared" si="52"/>
        <v>JUL</v>
      </c>
      <c r="C1730" s="21">
        <v>46222</v>
      </c>
      <c r="D1730" s="22" t="str">
        <f t="array" ref="D1730">IFERROR(INDEX('Kode Outlet dan Target Toko'!$A:$A,MATCH($I1730,'Kode Outlet dan Target Toko'!$E:$E,0)),"")</f>
        <v>GRSM 5</v>
      </c>
      <c r="E1730" s="20" t="str">
        <f>IFERROR(VLOOKUP(I1730,KET!$B:$F,4,0),"")</f>
        <v>SUPRIYATI</v>
      </c>
      <c r="F1730" s="20" t="str">
        <f>IFERROR(VLOOKUP(I1730,KET!$B:$F,5,0),"")</f>
        <v>GMM</v>
      </c>
      <c r="G1730" s="20">
        <f>IFERROR(INDEX('Kode Outlet dan Target Toko'!$C:$C,MATCH($I1730,'Kode Outlet dan Target Toko'!$E:$E,0)),0)</f>
        <v>170220</v>
      </c>
      <c r="H1730" s="20">
        <f>IFERROR(INDEX('Kode Outlet dan Target Toko'!$D:$D,MATCH($I1730,'Kode Outlet dan Target Toko'!$E:$E,0)),0)</f>
        <v>1901004</v>
      </c>
      <c r="I1730" s="42" t="s">
        <v>36</v>
      </c>
      <c r="J1730" s="56" t="s">
        <v>263</v>
      </c>
      <c r="K1730" s="40" t="s">
        <v>16</v>
      </c>
      <c r="L1730" s="26">
        <v>2200</v>
      </c>
      <c r="M1730" s="26">
        <v>287</v>
      </c>
      <c r="N1730" s="25">
        <f t="shared" si="53"/>
        <v>631400</v>
      </c>
      <c r="O1730" s="56">
        <v>160</v>
      </c>
    </row>
    <row r="1731" spans="1:15" hidden="1" x14ac:dyDescent="0.3">
      <c r="A1731" s="26">
        <v>29</v>
      </c>
      <c r="B1731" s="20" t="str">
        <f t="shared" si="52"/>
        <v>JUL</v>
      </c>
      <c r="C1731" s="21">
        <v>46222</v>
      </c>
      <c r="D1731" s="22" t="str">
        <f t="array" ref="D1731">IFERROR(INDEX('Kode Outlet dan Target Toko'!$A:$A,MATCH($I1731,'Kode Outlet dan Target Toko'!$E:$E,0)),"")</f>
        <v>GRSM 5</v>
      </c>
      <c r="E1731" s="20" t="str">
        <f>IFERROR(VLOOKUP(I1731,KET!$B:$F,4,0),"")</f>
        <v>SUPRIYATI</v>
      </c>
      <c r="F1731" s="20" t="str">
        <f>IFERROR(VLOOKUP(I1731,KET!$B:$F,5,0),"")</f>
        <v>GMM</v>
      </c>
      <c r="G1731" s="20">
        <f>IFERROR(INDEX('Kode Outlet dan Target Toko'!$C:$C,MATCH($I1731,'Kode Outlet dan Target Toko'!$E:$E,0)),0)</f>
        <v>170220</v>
      </c>
      <c r="H1731" s="20">
        <f>IFERROR(INDEX('Kode Outlet dan Target Toko'!$D:$D,MATCH($I1731,'Kode Outlet dan Target Toko'!$E:$E,0)),0)</f>
        <v>9000015</v>
      </c>
      <c r="I1731" s="50" t="s">
        <v>33</v>
      </c>
      <c r="J1731" s="56" t="s">
        <v>261</v>
      </c>
      <c r="K1731" s="40" t="s">
        <v>15</v>
      </c>
      <c r="L1731" s="26">
        <v>2200</v>
      </c>
      <c r="M1731" s="26">
        <v>112</v>
      </c>
      <c r="N1731" s="25">
        <f t="shared" si="53"/>
        <v>246400</v>
      </c>
      <c r="O1731" s="56"/>
    </row>
    <row r="1732" spans="1:15" hidden="1" x14ac:dyDescent="0.3">
      <c r="A1732" s="26">
        <v>29</v>
      </c>
      <c r="B1732" s="20" t="str">
        <f t="shared" si="52"/>
        <v>JUL</v>
      </c>
      <c r="C1732" s="21">
        <v>46222</v>
      </c>
      <c r="D1732" s="22" t="str">
        <f t="array" ref="D1732">IFERROR(INDEX('Kode Outlet dan Target Toko'!$A:$A,MATCH($I1732,'Kode Outlet dan Target Toko'!$E:$E,0)),"")</f>
        <v>GRSM 5</v>
      </c>
      <c r="E1732" s="20" t="str">
        <f>IFERROR(VLOOKUP(I1732,KET!$B:$F,4,0),"")</f>
        <v>SUPRIYATI</v>
      </c>
      <c r="F1732" s="20" t="str">
        <f>IFERROR(VLOOKUP(I1732,KET!$B:$F,5,0),"")</f>
        <v>GMM</v>
      </c>
      <c r="G1732" s="20">
        <f>IFERROR(INDEX('Kode Outlet dan Target Toko'!$C:$C,MATCH($I1732,'Kode Outlet dan Target Toko'!$E:$E,0)),0)</f>
        <v>170220</v>
      </c>
      <c r="H1732" s="20">
        <f>IFERROR(INDEX('Kode Outlet dan Target Toko'!$D:$D,MATCH($I1732,'Kode Outlet dan Target Toko'!$E:$E,0)),0)</f>
        <v>9000015</v>
      </c>
      <c r="I1732" s="50" t="s">
        <v>33</v>
      </c>
      <c r="J1732" s="56" t="s">
        <v>261</v>
      </c>
      <c r="K1732" s="40" t="s">
        <v>14</v>
      </c>
      <c r="L1732" s="26">
        <v>2200</v>
      </c>
      <c r="M1732" s="26">
        <v>140</v>
      </c>
      <c r="N1732" s="25">
        <f t="shared" si="53"/>
        <v>308000</v>
      </c>
      <c r="O1732" s="56"/>
    </row>
    <row r="1733" spans="1:15" hidden="1" x14ac:dyDescent="0.3">
      <c r="A1733" s="26">
        <v>29</v>
      </c>
      <c r="B1733" s="20" t="str">
        <f t="shared" si="52"/>
        <v>JUL</v>
      </c>
      <c r="C1733" s="21">
        <v>46222</v>
      </c>
      <c r="D1733" s="22" t="str">
        <f t="array" ref="D1733">IFERROR(INDEX('Kode Outlet dan Target Toko'!$A:$A,MATCH($I1733,'Kode Outlet dan Target Toko'!$E:$E,0)),"")</f>
        <v>GRSM 5</v>
      </c>
      <c r="E1733" s="20" t="str">
        <f>IFERROR(VLOOKUP(I1733,KET!$B:$F,4,0),"")</f>
        <v>SUPRIYATI</v>
      </c>
      <c r="F1733" s="20" t="str">
        <f>IFERROR(VLOOKUP(I1733,KET!$B:$F,5,0),"")</f>
        <v>GMM</v>
      </c>
      <c r="G1733" s="20">
        <f>IFERROR(INDEX('Kode Outlet dan Target Toko'!$C:$C,MATCH($I1733,'Kode Outlet dan Target Toko'!$E:$E,0)),0)</f>
        <v>170220</v>
      </c>
      <c r="H1733" s="20">
        <f>IFERROR(INDEX('Kode Outlet dan Target Toko'!$D:$D,MATCH($I1733,'Kode Outlet dan Target Toko'!$E:$E,0)),0)</f>
        <v>9000015</v>
      </c>
      <c r="I1733" s="50" t="s">
        <v>33</v>
      </c>
      <c r="J1733" s="56" t="s">
        <v>261</v>
      </c>
      <c r="K1733" s="40" t="s">
        <v>13</v>
      </c>
      <c r="L1733" s="26">
        <v>2200</v>
      </c>
      <c r="M1733" s="26">
        <v>78</v>
      </c>
      <c r="N1733" s="25">
        <f t="shared" si="53"/>
        <v>171600</v>
      </c>
      <c r="O1733" s="56"/>
    </row>
    <row r="1734" spans="1:15" hidden="1" x14ac:dyDescent="0.3">
      <c r="A1734" s="26">
        <v>29</v>
      </c>
      <c r="B1734" s="20" t="str">
        <f t="shared" si="52"/>
        <v>JUL</v>
      </c>
      <c r="C1734" s="21">
        <v>46222</v>
      </c>
      <c r="D1734" s="22" t="str">
        <f t="array" ref="D1734">IFERROR(INDEX('Kode Outlet dan Target Toko'!$A:$A,MATCH($I1734,'Kode Outlet dan Target Toko'!$E:$E,0)),"")</f>
        <v>GRSM 5</v>
      </c>
      <c r="E1734" s="20" t="str">
        <f>IFERROR(VLOOKUP(I1734,KET!$B:$F,4,0),"")</f>
        <v>SUPRIYATI</v>
      </c>
      <c r="F1734" s="20" t="str">
        <f>IFERROR(VLOOKUP(I1734,KET!$B:$F,5,0),"")</f>
        <v>GMM</v>
      </c>
      <c r="G1734" s="20">
        <f>IFERROR(INDEX('Kode Outlet dan Target Toko'!$C:$C,MATCH($I1734,'Kode Outlet dan Target Toko'!$E:$E,0)),0)</f>
        <v>170220</v>
      </c>
      <c r="H1734" s="20">
        <f>IFERROR(INDEX('Kode Outlet dan Target Toko'!$D:$D,MATCH($I1734,'Kode Outlet dan Target Toko'!$E:$E,0)),0)</f>
        <v>9000015</v>
      </c>
      <c r="I1734" s="50" t="s">
        <v>33</v>
      </c>
      <c r="J1734" s="56" t="s">
        <v>261</v>
      </c>
      <c r="K1734" s="40" t="s">
        <v>16</v>
      </c>
      <c r="L1734" s="26">
        <v>2200</v>
      </c>
      <c r="M1734" s="26">
        <v>374</v>
      </c>
      <c r="N1734" s="25">
        <f t="shared" si="53"/>
        <v>822800</v>
      </c>
      <c r="O1734" s="56">
        <v>120</v>
      </c>
    </row>
    <row r="1735" spans="1:15" hidden="1" x14ac:dyDescent="0.3">
      <c r="A1735" s="26">
        <v>29</v>
      </c>
      <c r="B1735" s="20" t="str">
        <f t="shared" ref="B1735:B1798" si="54">IF(C1735="","",UPPER(TEXT(C1735, "MMM")))</f>
        <v>JUL</v>
      </c>
      <c r="C1735" s="21">
        <v>46222</v>
      </c>
      <c r="D1735" s="22" t="str">
        <f t="array" ref="D1735">IFERROR(INDEX('Kode Outlet dan Target Toko'!$A:$A,MATCH($I1735,'Kode Outlet dan Target Toko'!$E:$E,0)),"")</f>
        <v>GRSM 5</v>
      </c>
      <c r="E1735" s="20" t="str">
        <f>IFERROR(VLOOKUP(I1735,KET!$B:$F,4,0),"")</f>
        <v>SUPRIYATI</v>
      </c>
      <c r="F1735" s="20" t="str">
        <f>IFERROR(VLOOKUP(I1735,KET!$B:$F,5,0),"")</f>
        <v>GMM</v>
      </c>
      <c r="G1735" s="20">
        <f>IFERROR(INDEX('Kode Outlet dan Target Toko'!$C:$C,MATCH($I1735,'Kode Outlet dan Target Toko'!$E:$E,0)),0)</f>
        <v>170220</v>
      </c>
      <c r="H1735" s="20">
        <f>IFERROR(INDEX('Kode Outlet dan Target Toko'!$D:$D,MATCH($I1735,'Kode Outlet dan Target Toko'!$E:$E,0)),0)</f>
        <v>9000015</v>
      </c>
      <c r="I1735" s="42" t="s">
        <v>33</v>
      </c>
      <c r="J1735" s="56" t="s">
        <v>260</v>
      </c>
      <c r="K1735" s="40" t="s">
        <v>15</v>
      </c>
      <c r="L1735" s="26">
        <v>2200</v>
      </c>
      <c r="M1735" s="26">
        <v>112</v>
      </c>
      <c r="N1735" s="25">
        <f t="shared" ref="N1735:N1798" si="55">IFERROR(M1735*L1735,"")</f>
        <v>246400</v>
      </c>
      <c r="O1735" s="56"/>
    </row>
    <row r="1736" spans="1:15" hidden="1" x14ac:dyDescent="0.3">
      <c r="A1736" s="26">
        <v>29</v>
      </c>
      <c r="B1736" s="20" t="str">
        <f t="shared" si="54"/>
        <v>JUL</v>
      </c>
      <c r="C1736" s="21">
        <v>46222</v>
      </c>
      <c r="D1736" s="22" t="str">
        <f t="array" ref="D1736">IFERROR(INDEX('Kode Outlet dan Target Toko'!$A:$A,MATCH($I1736,'Kode Outlet dan Target Toko'!$E:$E,0)),"")</f>
        <v>GRSM 5</v>
      </c>
      <c r="E1736" s="20" t="str">
        <f>IFERROR(VLOOKUP(I1736,KET!$B:$F,4,0),"")</f>
        <v>SUPRIYATI</v>
      </c>
      <c r="F1736" s="20" t="str">
        <f>IFERROR(VLOOKUP(I1736,KET!$B:$F,5,0),"")</f>
        <v>GMM</v>
      </c>
      <c r="G1736" s="20">
        <f>IFERROR(INDEX('Kode Outlet dan Target Toko'!$C:$C,MATCH($I1736,'Kode Outlet dan Target Toko'!$E:$E,0)),0)</f>
        <v>170220</v>
      </c>
      <c r="H1736" s="20">
        <f>IFERROR(INDEX('Kode Outlet dan Target Toko'!$D:$D,MATCH($I1736,'Kode Outlet dan Target Toko'!$E:$E,0)),0)</f>
        <v>9000015</v>
      </c>
      <c r="I1736" s="42" t="s">
        <v>33</v>
      </c>
      <c r="J1736" s="56" t="s">
        <v>260</v>
      </c>
      <c r="K1736" s="40" t="s">
        <v>14</v>
      </c>
      <c r="L1736" s="26">
        <v>2200</v>
      </c>
      <c r="M1736" s="26">
        <v>140</v>
      </c>
      <c r="N1736" s="25">
        <f t="shared" si="55"/>
        <v>308000</v>
      </c>
      <c r="O1736" s="56"/>
    </row>
    <row r="1737" spans="1:15" hidden="1" x14ac:dyDescent="0.3">
      <c r="A1737" s="26">
        <v>29</v>
      </c>
      <c r="B1737" s="20" t="str">
        <f t="shared" si="54"/>
        <v>JUL</v>
      </c>
      <c r="C1737" s="21">
        <v>46222</v>
      </c>
      <c r="D1737" s="22" t="str">
        <f t="array" ref="D1737">IFERROR(INDEX('Kode Outlet dan Target Toko'!$A:$A,MATCH($I1737,'Kode Outlet dan Target Toko'!$E:$E,0)),"")</f>
        <v>GRSM 5</v>
      </c>
      <c r="E1737" s="20" t="str">
        <f>IFERROR(VLOOKUP(I1737,KET!$B:$F,4,0),"")</f>
        <v>SUPRIYATI</v>
      </c>
      <c r="F1737" s="20" t="str">
        <f>IFERROR(VLOOKUP(I1737,KET!$B:$F,5,0),"")</f>
        <v>GMM</v>
      </c>
      <c r="G1737" s="20">
        <f>IFERROR(INDEX('Kode Outlet dan Target Toko'!$C:$C,MATCH($I1737,'Kode Outlet dan Target Toko'!$E:$E,0)),0)</f>
        <v>170220</v>
      </c>
      <c r="H1737" s="20">
        <f>IFERROR(INDEX('Kode Outlet dan Target Toko'!$D:$D,MATCH($I1737,'Kode Outlet dan Target Toko'!$E:$E,0)),0)</f>
        <v>9000015</v>
      </c>
      <c r="I1737" s="42" t="s">
        <v>33</v>
      </c>
      <c r="J1737" s="56" t="s">
        <v>260</v>
      </c>
      <c r="K1737" s="40" t="s">
        <v>13</v>
      </c>
      <c r="L1737" s="26">
        <v>2200</v>
      </c>
      <c r="M1737" s="26">
        <v>78</v>
      </c>
      <c r="N1737" s="25">
        <f t="shared" si="55"/>
        <v>171600</v>
      </c>
      <c r="O1737" s="56"/>
    </row>
    <row r="1738" spans="1:15" hidden="1" x14ac:dyDescent="0.3">
      <c r="A1738" s="26">
        <v>29</v>
      </c>
      <c r="B1738" s="20" t="str">
        <f t="shared" si="54"/>
        <v>JUL</v>
      </c>
      <c r="C1738" s="21">
        <v>46222</v>
      </c>
      <c r="D1738" s="22" t="str">
        <f t="array" ref="D1738">IFERROR(INDEX('Kode Outlet dan Target Toko'!$A:$A,MATCH($I1738,'Kode Outlet dan Target Toko'!$E:$E,0)),"")</f>
        <v>GRSM 5</v>
      </c>
      <c r="E1738" s="20" t="str">
        <f>IFERROR(VLOOKUP(I1738,KET!$B:$F,4,0),"")</f>
        <v>SUPRIYATI</v>
      </c>
      <c r="F1738" s="20" t="str">
        <f>IFERROR(VLOOKUP(I1738,KET!$B:$F,5,0),"")</f>
        <v>GMM</v>
      </c>
      <c r="G1738" s="20">
        <f>IFERROR(INDEX('Kode Outlet dan Target Toko'!$C:$C,MATCH($I1738,'Kode Outlet dan Target Toko'!$E:$E,0)),0)</f>
        <v>170220</v>
      </c>
      <c r="H1738" s="20">
        <f>IFERROR(INDEX('Kode Outlet dan Target Toko'!$D:$D,MATCH($I1738,'Kode Outlet dan Target Toko'!$E:$E,0)),0)</f>
        <v>9000015</v>
      </c>
      <c r="I1738" s="42" t="s">
        <v>33</v>
      </c>
      <c r="J1738" s="56" t="s">
        <v>260</v>
      </c>
      <c r="K1738" s="40" t="s">
        <v>16</v>
      </c>
      <c r="L1738" s="26">
        <v>2200</v>
      </c>
      <c r="M1738" s="26">
        <v>374</v>
      </c>
      <c r="N1738" s="25">
        <f t="shared" si="55"/>
        <v>822800</v>
      </c>
      <c r="O1738" s="56">
        <v>120</v>
      </c>
    </row>
    <row r="1739" spans="1:15" hidden="1" x14ac:dyDescent="0.3">
      <c r="A1739" s="26">
        <v>29</v>
      </c>
      <c r="B1739" s="20" t="str">
        <f t="shared" si="54"/>
        <v>JUL</v>
      </c>
      <c r="C1739" s="21">
        <v>46222</v>
      </c>
      <c r="D1739" s="22" t="str">
        <f t="array" ref="D1739">IFERROR(INDEX('Kode Outlet dan Target Toko'!$A:$A,MATCH($I1739,'Kode Outlet dan Target Toko'!$E:$E,0)),"")</f>
        <v>GRSM 5</v>
      </c>
      <c r="E1739" s="20" t="str">
        <f>IFERROR(VLOOKUP(I1739,KET!$B:$F,4,0),"")</f>
        <v>SUPRIYATI</v>
      </c>
      <c r="F1739" s="20" t="str">
        <f>IFERROR(VLOOKUP(I1739,KET!$B:$F,5,0),"")</f>
        <v>GMM</v>
      </c>
      <c r="G1739" s="20">
        <f>IFERROR(INDEX('Kode Outlet dan Target Toko'!$C:$C,MATCH($I1739,'Kode Outlet dan Target Toko'!$E:$E,0)),0)</f>
        <v>170220</v>
      </c>
      <c r="H1739" s="20">
        <f>IFERROR(INDEX('Kode Outlet dan Target Toko'!$D:$D,MATCH($I1739,'Kode Outlet dan Target Toko'!$E:$E,0)),0)</f>
        <v>1901019</v>
      </c>
      <c r="I1739" s="42" t="s">
        <v>38</v>
      </c>
      <c r="J1739" s="56" t="s">
        <v>267</v>
      </c>
      <c r="K1739" s="40" t="s">
        <v>15</v>
      </c>
      <c r="L1739" s="26">
        <v>2200</v>
      </c>
      <c r="M1739" s="26">
        <v>126</v>
      </c>
      <c r="N1739" s="25">
        <f t="shared" si="55"/>
        <v>277200</v>
      </c>
      <c r="O1739" s="56"/>
    </row>
    <row r="1740" spans="1:15" hidden="1" x14ac:dyDescent="0.3">
      <c r="A1740" s="26">
        <v>29</v>
      </c>
      <c r="B1740" s="20" t="str">
        <f t="shared" si="54"/>
        <v>JUL</v>
      </c>
      <c r="C1740" s="21">
        <v>46222</v>
      </c>
      <c r="D1740" s="22" t="str">
        <f t="array" ref="D1740">IFERROR(INDEX('Kode Outlet dan Target Toko'!$A:$A,MATCH($I1740,'Kode Outlet dan Target Toko'!$E:$E,0)),"")</f>
        <v>GRSM 5</v>
      </c>
      <c r="E1740" s="20" t="str">
        <f>IFERROR(VLOOKUP(I1740,KET!$B:$F,4,0),"")</f>
        <v>SUPRIYATI</v>
      </c>
      <c r="F1740" s="20" t="str">
        <f>IFERROR(VLOOKUP(I1740,KET!$B:$F,5,0),"")</f>
        <v>GMM</v>
      </c>
      <c r="G1740" s="20">
        <f>IFERROR(INDEX('Kode Outlet dan Target Toko'!$C:$C,MATCH($I1740,'Kode Outlet dan Target Toko'!$E:$E,0)),0)</f>
        <v>170220</v>
      </c>
      <c r="H1740" s="20">
        <f>IFERROR(INDEX('Kode Outlet dan Target Toko'!$D:$D,MATCH($I1740,'Kode Outlet dan Target Toko'!$E:$E,0)),0)</f>
        <v>1901019</v>
      </c>
      <c r="I1740" s="42" t="s">
        <v>38</v>
      </c>
      <c r="J1740" s="56" t="s">
        <v>267</v>
      </c>
      <c r="K1740" s="40" t="s">
        <v>14</v>
      </c>
      <c r="L1740" s="26">
        <v>2200</v>
      </c>
      <c r="M1740" s="26">
        <v>111</v>
      </c>
      <c r="N1740" s="25">
        <f t="shared" si="55"/>
        <v>244200</v>
      </c>
      <c r="O1740" s="56"/>
    </row>
    <row r="1741" spans="1:15" hidden="1" x14ac:dyDescent="0.3">
      <c r="A1741" s="26">
        <v>29</v>
      </c>
      <c r="B1741" s="20" t="str">
        <f t="shared" si="54"/>
        <v>JUL</v>
      </c>
      <c r="C1741" s="21">
        <v>46222</v>
      </c>
      <c r="D1741" s="22" t="str">
        <f t="array" ref="D1741">IFERROR(INDEX('Kode Outlet dan Target Toko'!$A:$A,MATCH($I1741,'Kode Outlet dan Target Toko'!$E:$E,0)),"")</f>
        <v>GRSM 5</v>
      </c>
      <c r="E1741" s="20" t="str">
        <f>IFERROR(VLOOKUP(I1741,KET!$B:$F,4,0),"")</f>
        <v>SUPRIYATI</v>
      </c>
      <c r="F1741" s="20" t="str">
        <f>IFERROR(VLOOKUP(I1741,KET!$B:$F,5,0),"")</f>
        <v>GMM</v>
      </c>
      <c r="G1741" s="20">
        <f>IFERROR(INDEX('Kode Outlet dan Target Toko'!$C:$C,MATCH($I1741,'Kode Outlet dan Target Toko'!$E:$E,0)),0)</f>
        <v>170220</v>
      </c>
      <c r="H1741" s="20">
        <f>IFERROR(INDEX('Kode Outlet dan Target Toko'!$D:$D,MATCH($I1741,'Kode Outlet dan Target Toko'!$E:$E,0)),0)</f>
        <v>1901019</v>
      </c>
      <c r="I1741" s="42" t="s">
        <v>38</v>
      </c>
      <c r="J1741" s="56" t="s">
        <v>267</v>
      </c>
      <c r="K1741" s="40" t="s">
        <v>13</v>
      </c>
      <c r="L1741" s="26">
        <v>2200</v>
      </c>
      <c r="M1741" s="26">
        <v>151</v>
      </c>
      <c r="N1741" s="25">
        <f t="shared" si="55"/>
        <v>332200</v>
      </c>
      <c r="O1741" s="56"/>
    </row>
    <row r="1742" spans="1:15" hidden="1" x14ac:dyDescent="0.3">
      <c r="A1742" s="26">
        <v>29</v>
      </c>
      <c r="B1742" s="20" t="str">
        <f t="shared" si="54"/>
        <v>JUL</v>
      </c>
      <c r="C1742" s="21">
        <v>46222</v>
      </c>
      <c r="D1742" s="22" t="str">
        <f t="array" ref="D1742">IFERROR(INDEX('Kode Outlet dan Target Toko'!$A:$A,MATCH($I1742,'Kode Outlet dan Target Toko'!$E:$E,0)),"")</f>
        <v>GRSM 5</v>
      </c>
      <c r="E1742" s="20" t="str">
        <f>IFERROR(VLOOKUP(I1742,KET!$B:$F,4,0),"")</f>
        <v>SUPRIYATI</v>
      </c>
      <c r="F1742" s="20" t="str">
        <f>IFERROR(VLOOKUP(I1742,KET!$B:$F,5,0),"")</f>
        <v>GMM</v>
      </c>
      <c r="G1742" s="20">
        <f>IFERROR(INDEX('Kode Outlet dan Target Toko'!$C:$C,MATCH($I1742,'Kode Outlet dan Target Toko'!$E:$E,0)),0)</f>
        <v>170220</v>
      </c>
      <c r="H1742" s="20">
        <f>IFERROR(INDEX('Kode Outlet dan Target Toko'!$D:$D,MATCH($I1742,'Kode Outlet dan Target Toko'!$E:$E,0)),0)</f>
        <v>1901019</v>
      </c>
      <c r="I1742" s="42" t="s">
        <v>38</v>
      </c>
      <c r="J1742" s="56" t="s">
        <v>267</v>
      </c>
      <c r="K1742" s="40" t="s">
        <v>16</v>
      </c>
      <c r="L1742" s="26">
        <v>2200</v>
      </c>
      <c r="M1742" s="26">
        <v>324</v>
      </c>
      <c r="N1742" s="25">
        <f t="shared" si="55"/>
        <v>712800</v>
      </c>
      <c r="O1742" s="56">
        <v>160</v>
      </c>
    </row>
    <row r="1743" spans="1:15" hidden="1" x14ac:dyDescent="0.3">
      <c r="A1743" s="26">
        <v>29</v>
      </c>
      <c r="B1743" s="20" t="str">
        <f t="shared" si="54"/>
        <v>JUL</v>
      </c>
      <c r="C1743" s="21">
        <v>46222</v>
      </c>
      <c r="D1743" s="22" t="str">
        <f t="array" ref="D1743">IFERROR(INDEX('Kode Outlet dan Target Toko'!$A:$A,MATCH($I1743,'Kode Outlet dan Target Toko'!$E:$E,0)),"")</f>
        <v>GRSM 5</v>
      </c>
      <c r="E1743" s="20" t="str">
        <f>IFERROR(VLOOKUP(I1743,KET!$B:$F,4,0),"")</f>
        <v>SUPRIYATI</v>
      </c>
      <c r="F1743" s="20" t="str">
        <f>IFERROR(VLOOKUP(I1743,KET!$B:$F,5,0),"")</f>
        <v>GMM</v>
      </c>
      <c r="G1743" s="20">
        <f>IFERROR(INDEX('Kode Outlet dan Target Toko'!$C:$C,MATCH($I1743,'Kode Outlet dan Target Toko'!$E:$E,0)),0)</f>
        <v>170220</v>
      </c>
      <c r="H1743" s="20">
        <f>IFERROR(INDEX('Kode Outlet dan Target Toko'!$D:$D,MATCH($I1743,'Kode Outlet dan Target Toko'!$E:$E,0)),0)</f>
        <v>1901019</v>
      </c>
      <c r="I1743" s="42" t="s">
        <v>38</v>
      </c>
      <c r="J1743" s="56" t="s">
        <v>268</v>
      </c>
      <c r="K1743" s="40" t="s">
        <v>15</v>
      </c>
      <c r="L1743" s="26">
        <v>2200</v>
      </c>
      <c r="M1743" s="26">
        <v>126</v>
      </c>
      <c r="N1743" s="25">
        <f t="shared" si="55"/>
        <v>277200</v>
      </c>
      <c r="O1743" s="56"/>
    </row>
    <row r="1744" spans="1:15" hidden="1" x14ac:dyDescent="0.3">
      <c r="A1744" s="26">
        <v>29</v>
      </c>
      <c r="B1744" s="20" t="str">
        <f t="shared" si="54"/>
        <v>JUL</v>
      </c>
      <c r="C1744" s="21">
        <v>46222</v>
      </c>
      <c r="D1744" s="22" t="str">
        <f t="array" ref="D1744">IFERROR(INDEX('Kode Outlet dan Target Toko'!$A:$A,MATCH($I1744,'Kode Outlet dan Target Toko'!$E:$E,0)),"")</f>
        <v>GRSM 5</v>
      </c>
      <c r="E1744" s="20" t="str">
        <f>IFERROR(VLOOKUP(I1744,KET!$B:$F,4,0),"")</f>
        <v>SUPRIYATI</v>
      </c>
      <c r="F1744" s="20" t="str">
        <f>IFERROR(VLOOKUP(I1744,KET!$B:$F,5,0),"")</f>
        <v>GMM</v>
      </c>
      <c r="G1744" s="20">
        <f>IFERROR(INDEX('Kode Outlet dan Target Toko'!$C:$C,MATCH($I1744,'Kode Outlet dan Target Toko'!$E:$E,0)),0)</f>
        <v>170220</v>
      </c>
      <c r="H1744" s="20">
        <f>IFERROR(INDEX('Kode Outlet dan Target Toko'!$D:$D,MATCH($I1744,'Kode Outlet dan Target Toko'!$E:$E,0)),0)</f>
        <v>1901019</v>
      </c>
      <c r="I1744" s="42" t="s">
        <v>38</v>
      </c>
      <c r="J1744" s="56" t="s">
        <v>268</v>
      </c>
      <c r="K1744" s="40" t="s">
        <v>14</v>
      </c>
      <c r="L1744" s="26">
        <v>2200</v>
      </c>
      <c r="M1744" s="26">
        <v>111</v>
      </c>
      <c r="N1744" s="25">
        <f t="shared" si="55"/>
        <v>244200</v>
      </c>
      <c r="O1744" s="56"/>
    </row>
    <row r="1745" spans="1:15" hidden="1" x14ac:dyDescent="0.3">
      <c r="A1745" s="26">
        <v>29</v>
      </c>
      <c r="B1745" s="20" t="str">
        <f t="shared" si="54"/>
        <v>JUL</v>
      </c>
      <c r="C1745" s="21">
        <v>46222</v>
      </c>
      <c r="D1745" s="22" t="str">
        <f t="array" ref="D1745">IFERROR(INDEX('Kode Outlet dan Target Toko'!$A:$A,MATCH($I1745,'Kode Outlet dan Target Toko'!$E:$E,0)),"")</f>
        <v>GRSM 5</v>
      </c>
      <c r="E1745" s="20" t="str">
        <f>IFERROR(VLOOKUP(I1745,KET!$B:$F,4,0),"")</f>
        <v>SUPRIYATI</v>
      </c>
      <c r="F1745" s="20" t="str">
        <f>IFERROR(VLOOKUP(I1745,KET!$B:$F,5,0),"")</f>
        <v>GMM</v>
      </c>
      <c r="G1745" s="20">
        <f>IFERROR(INDEX('Kode Outlet dan Target Toko'!$C:$C,MATCH($I1745,'Kode Outlet dan Target Toko'!$E:$E,0)),0)</f>
        <v>170220</v>
      </c>
      <c r="H1745" s="20">
        <f>IFERROR(INDEX('Kode Outlet dan Target Toko'!$D:$D,MATCH($I1745,'Kode Outlet dan Target Toko'!$E:$E,0)),0)</f>
        <v>1901019</v>
      </c>
      <c r="I1745" s="42" t="s">
        <v>38</v>
      </c>
      <c r="J1745" s="56" t="s">
        <v>268</v>
      </c>
      <c r="K1745" s="40" t="s">
        <v>13</v>
      </c>
      <c r="L1745" s="26">
        <v>2200</v>
      </c>
      <c r="M1745" s="26">
        <v>151</v>
      </c>
      <c r="N1745" s="25">
        <f t="shared" si="55"/>
        <v>332200</v>
      </c>
      <c r="O1745" s="56"/>
    </row>
    <row r="1746" spans="1:15" hidden="1" x14ac:dyDescent="0.3">
      <c r="A1746" s="26">
        <v>29</v>
      </c>
      <c r="B1746" s="20" t="str">
        <f t="shared" si="54"/>
        <v>JUL</v>
      </c>
      <c r="C1746" s="21">
        <v>46222</v>
      </c>
      <c r="D1746" s="22" t="str">
        <f t="array" ref="D1746">IFERROR(INDEX('Kode Outlet dan Target Toko'!$A:$A,MATCH($I1746,'Kode Outlet dan Target Toko'!$E:$E,0)),"")</f>
        <v>GRSM 5</v>
      </c>
      <c r="E1746" s="20" t="str">
        <f>IFERROR(VLOOKUP(I1746,KET!$B:$F,4,0),"")</f>
        <v>SUPRIYATI</v>
      </c>
      <c r="F1746" s="20" t="str">
        <f>IFERROR(VLOOKUP(I1746,KET!$B:$F,5,0),"")</f>
        <v>GMM</v>
      </c>
      <c r="G1746" s="20">
        <f>IFERROR(INDEX('Kode Outlet dan Target Toko'!$C:$C,MATCH($I1746,'Kode Outlet dan Target Toko'!$E:$E,0)),0)</f>
        <v>170220</v>
      </c>
      <c r="H1746" s="20">
        <f>IFERROR(INDEX('Kode Outlet dan Target Toko'!$D:$D,MATCH($I1746,'Kode Outlet dan Target Toko'!$E:$E,0)),0)</f>
        <v>1901019</v>
      </c>
      <c r="I1746" s="42" t="s">
        <v>38</v>
      </c>
      <c r="J1746" s="56" t="s">
        <v>268</v>
      </c>
      <c r="K1746" s="40" t="s">
        <v>16</v>
      </c>
      <c r="L1746" s="26">
        <v>2200</v>
      </c>
      <c r="M1746" s="26">
        <v>324</v>
      </c>
      <c r="N1746" s="25">
        <f t="shared" si="55"/>
        <v>712800</v>
      </c>
      <c r="O1746" s="56">
        <v>160</v>
      </c>
    </row>
    <row r="1747" spans="1:15" hidden="1" x14ac:dyDescent="0.3">
      <c r="A1747" s="26">
        <v>29</v>
      </c>
      <c r="B1747" s="20" t="str">
        <f t="shared" si="54"/>
        <v>JUL</v>
      </c>
      <c r="C1747" s="21">
        <v>46222</v>
      </c>
      <c r="D1747" s="22" t="str">
        <f t="array" ref="D1747">IFERROR(INDEX('Kode Outlet dan Target Toko'!$A:$A,MATCH($I1747,'Kode Outlet dan Target Toko'!$E:$E,0)),"")</f>
        <v>GRSM 5</v>
      </c>
      <c r="E1747" s="20" t="str">
        <f>IFERROR(VLOOKUP(I1747,KET!$B:$F,4,0),"")</f>
        <v>SUPRIYATI</v>
      </c>
      <c r="F1747" s="20" t="str">
        <f>IFERROR(VLOOKUP(I1747,KET!$B:$F,5,0),"")</f>
        <v>GMM</v>
      </c>
      <c r="G1747" s="20">
        <f>IFERROR(INDEX('Kode Outlet dan Target Toko'!$C:$C,MATCH($I1747,'Kode Outlet dan Target Toko'!$E:$E,0)),0)</f>
        <v>170220</v>
      </c>
      <c r="H1747" s="20">
        <f>IFERROR(INDEX('Kode Outlet dan Target Toko'!$D:$D,MATCH($I1747,'Kode Outlet dan Target Toko'!$E:$E,0)),0)</f>
        <v>9000015</v>
      </c>
      <c r="I1747" s="42" t="s">
        <v>37</v>
      </c>
      <c r="J1747" s="56" t="s">
        <v>265</v>
      </c>
      <c r="K1747" s="40" t="s">
        <v>15</v>
      </c>
      <c r="L1747" s="26">
        <v>2200</v>
      </c>
      <c r="M1747" s="26">
        <v>240</v>
      </c>
      <c r="N1747" s="25">
        <f t="shared" si="55"/>
        <v>528000</v>
      </c>
      <c r="O1747" s="56"/>
    </row>
    <row r="1748" spans="1:15" hidden="1" x14ac:dyDescent="0.3">
      <c r="A1748" s="26">
        <v>29</v>
      </c>
      <c r="B1748" s="20" t="str">
        <f t="shared" si="54"/>
        <v>JUL</v>
      </c>
      <c r="C1748" s="21">
        <v>46222</v>
      </c>
      <c r="D1748" s="22" t="str">
        <f t="array" ref="D1748">IFERROR(INDEX('Kode Outlet dan Target Toko'!$A:$A,MATCH($I1748,'Kode Outlet dan Target Toko'!$E:$E,0)),"")</f>
        <v>GRSM 5</v>
      </c>
      <c r="E1748" s="20" t="str">
        <f>IFERROR(VLOOKUP(I1748,KET!$B:$F,4,0),"")</f>
        <v>SUPRIYATI</v>
      </c>
      <c r="F1748" s="20" t="str">
        <f>IFERROR(VLOOKUP(I1748,KET!$B:$F,5,0),"")</f>
        <v>GMM</v>
      </c>
      <c r="G1748" s="20">
        <f>IFERROR(INDEX('Kode Outlet dan Target Toko'!$C:$C,MATCH($I1748,'Kode Outlet dan Target Toko'!$E:$E,0)),0)</f>
        <v>170220</v>
      </c>
      <c r="H1748" s="20">
        <f>IFERROR(INDEX('Kode Outlet dan Target Toko'!$D:$D,MATCH($I1748,'Kode Outlet dan Target Toko'!$E:$E,0)),0)</f>
        <v>9000015</v>
      </c>
      <c r="I1748" s="42" t="s">
        <v>37</v>
      </c>
      <c r="J1748" s="56" t="s">
        <v>265</v>
      </c>
      <c r="K1748" s="40" t="s">
        <v>14</v>
      </c>
      <c r="L1748" s="26">
        <v>2200</v>
      </c>
      <c r="M1748" s="26">
        <v>128</v>
      </c>
      <c r="N1748" s="25">
        <f t="shared" si="55"/>
        <v>281600</v>
      </c>
      <c r="O1748" s="56"/>
    </row>
    <row r="1749" spans="1:15" hidden="1" x14ac:dyDescent="0.3">
      <c r="A1749" s="26">
        <v>29</v>
      </c>
      <c r="B1749" s="20" t="str">
        <f t="shared" si="54"/>
        <v>JUL</v>
      </c>
      <c r="C1749" s="21">
        <v>46222</v>
      </c>
      <c r="D1749" s="22" t="str">
        <f t="array" ref="D1749">IFERROR(INDEX('Kode Outlet dan Target Toko'!$A:$A,MATCH($I1749,'Kode Outlet dan Target Toko'!$E:$E,0)),"")</f>
        <v>GRSM 5</v>
      </c>
      <c r="E1749" s="20" t="str">
        <f>IFERROR(VLOOKUP(I1749,KET!$B:$F,4,0),"")</f>
        <v>SUPRIYATI</v>
      </c>
      <c r="F1749" s="20" t="str">
        <f>IFERROR(VLOOKUP(I1749,KET!$B:$F,5,0),"")</f>
        <v>GMM</v>
      </c>
      <c r="G1749" s="20">
        <f>IFERROR(INDEX('Kode Outlet dan Target Toko'!$C:$C,MATCH($I1749,'Kode Outlet dan Target Toko'!$E:$E,0)),0)</f>
        <v>170220</v>
      </c>
      <c r="H1749" s="20">
        <f>IFERROR(INDEX('Kode Outlet dan Target Toko'!$D:$D,MATCH($I1749,'Kode Outlet dan Target Toko'!$E:$E,0)),0)</f>
        <v>9000015</v>
      </c>
      <c r="I1749" s="42" t="s">
        <v>37</v>
      </c>
      <c r="J1749" s="56" t="s">
        <v>265</v>
      </c>
      <c r="K1749" s="40" t="s">
        <v>13</v>
      </c>
      <c r="L1749" s="26">
        <v>2200</v>
      </c>
      <c r="M1749" s="26">
        <v>88</v>
      </c>
      <c r="N1749" s="25">
        <f t="shared" si="55"/>
        <v>193600</v>
      </c>
      <c r="O1749" s="56"/>
    </row>
    <row r="1750" spans="1:15" hidden="1" x14ac:dyDescent="0.3">
      <c r="A1750" s="26">
        <v>29</v>
      </c>
      <c r="B1750" s="20" t="str">
        <f t="shared" si="54"/>
        <v>JUL</v>
      </c>
      <c r="C1750" s="21">
        <v>46222</v>
      </c>
      <c r="D1750" s="22" t="str">
        <f t="array" ref="D1750">IFERROR(INDEX('Kode Outlet dan Target Toko'!$A:$A,MATCH($I1750,'Kode Outlet dan Target Toko'!$E:$E,0)),"")</f>
        <v>GRSM 5</v>
      </c>
      <c r="E1750" s="20" t="str">
        <f>IFERROR(VLOOKUP(I1750,KET!$B:$F,4,0),"")</f>
        <v>SUPRIYATI</v>
      </c>
      <c r="F1750" s="20" t="str">
        <f>IFERROR(VLOOKUP(I1750,KET!$B:$F,5,0),"")</f>
        <v>GMM</v>
      </c>
      <c r="G1750" s="20">
        <f>IFERROR(INDEX('Kode Outlet dan Target Toko'!$C:$C,MATCH($I1750,'Kode Outlet dan Target Toko'!$E:$E,0)),0)</f>
        <v>170220</v>
      </c>
      <c r="H1750" s="20">
        <f>IFERROR(INDEX('Kode Outlet dan Target Toko'!$D:$D,MATCH($I1750,'Kode Outlet dan Target Toko'!$E:$E,0)),0)</f>
        <v>9000015</v>
      </c>
      <c r="I1750" s="42" t="s">
        <v>37</v>
      </c>
      <c r="J1750" s="56" t="s">
        <v>265</v>
      </c>
      <c r="K1750" s="40" t="s">
        <v>16</v>
      </c>
      <c r="L1750" s="26">
        <v>2200</v>
      </c>
      <c r="M1750" s="26">
        <v>423</v>
      </c>
      <c r="N1750" s="25">
        <f t="shared" si="55"/>
        <v>930600</v>
      </c>
      <c r="O1750" s="56">
        <v>160</v>
      </c>
    </row>
    <row r="1751" spans="1:15" hidden="1" x14ac:dyDescent="0.3">
      <c r="A1751" s="26">
        <v>29</v>
      </c>
      <c r="B1751" s="20" t="str">
        <f t="shared" si="54"/>
        <v>JUL</v>
      </c>
      <c r="C1751" s="21">
        <v>46222</v>
      </c>
      <c r="D1751" s="22" t="str">
        <f t="array" ref="D1751">IFERROR(INDEX('Kode Outlet dan Target Toko'!$A:$A,MATCH($I1751,'Kode Outlet dan Target Toko'!$E:$E,0)),"")</f>
        <v>GRSM 5</v>
      </c>
      <c r="E1751" s="20" t="str">
        <f>IFERROR(VLOOKUP(I1751,KET!$B:$F,4,0),"")</f>
        <v>SUPRIYATI</v>
      </c>
      <c r="F1751" s="20" t="str">
        <f>IFERROR(VLOOKUP(I1751,KET!$B:$F,5,0),"")</f>
        <v>GMM</v>
      </c>
      <c r="G1751" s="20">
        <f>IFERROR(INDEX('Kode Outlet dan Target Toko'!$C:$C,MATCH($I1751,'Kode Outlet dan Target Toko'!$E:$E,0)),0)</f>
        <v>170220</v>
      </c>
      <c r="H1751" s="20">
        <f>IFERROR(INDEX('Kode Outlet dan Target Toko'!$D:$D,MATCH($I1751,'Kode Outlet dan Target Toko'!$E:$E,0)),0)</f>
        <v>9000015</v>
      </c>
      <c r="I1751" s="42" t="s">
        <v>37</v>
      </c>
      <c r="J1751" s="56" t="s">
        <v>266</v>
      </c>
      <c r="K1751" s="40" t="s">
        <v>15</v>
      </c>
      <c r="L1751" s="26">
        <v>2200</v>
      </c>
      <c r="M1751" s="26">
        <v>240</v>
      </c>
      <c r="N1751" s="25">
        <f t="shared" si="55"/>
        <v>528000</v>
      </c>
      <c r="O1751" s="56"/>
    </row>
    <row r="1752" spans="1:15" hidden="1" x14ac:dyDescent="0.3">
      <c r="A1752" s="26">
        <v>29</v>
      </c>
      <c r="B1752" s="20" t="str">
        <f t="shared" si="54"/>
        <v>JUL</v>
      </c>
      <c r="C1752" s="21">
        <v>46222</v>
      </c>
      <c r="D1752" s="22" t="str">
        <f t="array" ref="D1752">IFERROR(INDEX('Kode Outlet dan Target Toko'!$A:$A,MATCH($I1752,'Kode Outlet dan Target Toko'!$E:$E,0)),"")</f>
        <v>GRSM 5</v>
      </c>
      <c r="E1752" s="20" t="str">
        <f>IFERROR(VLOOKUP(I1752,KET!$B:$F,4,0),"")</f>
        <v>SUPRIYATI</v>
      </c>
      <c r="F1752" s="20" t="str">
        <f>IFERROR(VLOOKUP(I1752,KET!$B:$F,5,0),"")</f>
        <v>GMM</v>
      </c>
      <c r="G1752" s="20">
        <f>IFERROR(INDEX('Kode Outlet dan Target Toko'!$C:$C,MATCH($I1752,'Kode Outlet dan Target Toko'!$E:$E,0)),0)</f>
        <v>170220</v>
      </c>
      <c r="H1752" s="20">
        <f>IFERROR(INDEX('Kode Outlet dan Target Toko'!$D:$D,MATCH($I1752,'Kode Outlet dan Target Toko'!$E:$E,0)),0)</f>
        <v>9000015</v>
      </c>
      <c r="I1752" s="42" t="s">
        <v>37</v>
      </c>
      <c r="J1752" s="56" t="s">
        <v>266</v>
      </c>
      <c r="K1752" s="40" t="s">
        <v>14</v>
      </c>
      <c r="L1752" s="26">
        <v>2200</v>
      </c>
      <c r="M1752" s="26">
        <v>128</v>
      </c>
      <c r="N1752" s="25">
        <f t="shared" si="55"/>
        <v>281600</v>
      </c>
      <c r="O1752" s="56"/>
    </row>
    <row r="1753" spans="1:15" hidden="1" x14ac:dyDescent="0.3">
      <c r="A1753" s="26">
        <v>29</v>
      </c>
      <c r="B1753" s="20" t="str">
        <f t="shared" si="54"/>
        <v>JUL</v>
      </c>
      <c r="C1753" s="21">
        <v>46222</v>
      </c>
      <c r="D1753" s="22" t="str">
        <f t="array" ref="D1753">IFERROR(INDEX('Kode Outlet dan Target Toko'!$A:$A,MATCH($I1753,'Kode Outlet dan Target Toko'!$E:$E,0)),"")</f>
        <v>GRSM 5</v>
      </c>
      <c r="E1753" s="20" t="str">
        <f>IFERROR(VLOOKUP(I1753,KET!$B:$F,4,0),"")</f>
        <v>SUPRIYATI</v>
      </c>
      <c r="F1753" s="20" t="str">
        <f>IFERROR(VLOOKUP(I1753,KET!$B:$F,5,0),"")</f>
        <v>GMM</v>
      </c>
      <c r="G1753" s="20">
        <f>IFERROR(INDEX('Kode Outlet dan Target Toko'!$C:$C,MATCH($I1753,'Kode Outlet dan Target Toko'!$E:$E,0)),0)</f>
        <v>170220</v>
      </c>
      <c r="H1753" s="20">
        <f>IFERROR(INDEX('Kode Outlet dan Target Toko'!$D:$D,MATCH($I1753,'Kode Outlet dan Target Toko'!$E:$E,0)),0)</f>
        <v>9000015</v>
      </c>
      <c r="I1753" s="42" t="s">
        <v>37</v>
      </c>
      <c r="J1753" s="56" t="s">
        <v>266</v>
      </c>
      <c r="K1753" s="40" t="s">
        <v>13</v>
      </c>
      <c r="L1753" s="26">
        <v>2200</v>
      </c>
      <c r="M1753" s="26">
        <v>88</v>
      </c>
      <c r="N1753" s="25">
        <f t="shared" si="55"/>
        <v>193600</v>
      </c>
      <c r="O1753" s="56"/>
    </row>
    <row r="1754" spans="1:15" hidden="1" x14ac:dyDescent="0.3">
      <c r="A1754" s="26">
        <v>29</v>
      </c>
      <c r="B1754" s="20" t="str">
        <f t="shared" si="54"/>
        <v>JUL</v>
      </c>
      <c r="C1754" s="21">
        <v>46222</v>
      </c>
      <c r="D1754" s="22" t="str">
        <f t="array" ref="D1754">IFERROR(INDEX('Kode Outlet dan Target Toko'!$A:$A,MATCH($I1754,'Kode Outlet dan Target Toko'!$E:$E,0)),"")</f>
        <v>GRSM 5</v>
      </c>
      <c r="E1754" s="20" t="str">
        <f>IFERROR(VLOOKUP(I1754,KET!$B:$F,4,0),"")</f>
        <v>SUPRIYATI</v>
      </c>
      <c r="F1754" s="20" t="str">
        <f>IFERROR(VLOOKUP(I1754,KET!$B:$F,5,0),"")</f>
        <v>GMM</v>
      </c>
      <c r="G1754" s="20">
        <f>IFERROR(INDEX('Kode Outlet dan Target Toko'!$C:$C,MATCH($I1754,'Kode Outlet dan Target Toko'!$E:$E,0)),0)</f>
        <v>170220</v>
      </c>
      <c r="H1754" s="20">
        <f>IFERROR(INDEX('Kode Outlet dan Target Toko'!$D:$D,MATCH($I1754,'Kode Outlet dan Target Toko'!$E:$E,0)),0)</f>
        <v>9000015</v>
      </c>
      <c r="I1754" s="42" t="s">
        <v>37</v>
      </c>
      <c r="J1754" s="56" t="s">
        <v>266</v>
      </c>
      <c r="K1754" s="40" t="s">
        <v>16</v>
      </c>
      <c r="L1754" s="26">
        <v>2200</v>
      </c>
      <c r="M1754" s="26">
        <v>423</v>
      </c>
      <c r="N1754" s="25">
        <f t="shared" si="55"/>
        <v>930600</v>
      </c>
      <c r="O1754" s="56">
        <v>160</v>
      </c>
    </row>
    <row r="1755" spans="1:15" hidden="1" x14ac:dyDescent="0.3">
      <c r="A1755" s="26">
        <v>29</v>
      </c>
      <c r="B1755" s="20" t="str">
        <f t="shared" si="54"/>
        <v>JUL</v>
      </c>
      <c r="C1755" s="21">
        <v>46220</v>
      </c>
      <c r="D1755" s="22" t="str">
        <f t="array" ref="D1755">IFERROR(INDEX('Kode Outlet dan Target Toko'!$A:$A,MATCH($I1755,'Kode Outlet dan Target Toko'!$E:$E,0)),"")</f>
        <v>GRSM 5</v>
      </c>
      <c r="E1755" s="20" t="str">
        <f>IFERROR(VLOOKUP(I1755,KET!$B:$F,4,0),"")</f>
        <v>SUPRIYATI</v>
      </c>
      <c r="F1755" s="20" t="str">
        <f>IFERROR(VLOOKUP(I1755,KET!$B:$F,5,0),"")</f>
        <v>GMM</v>
      </c>
      <c r="G1755" s="20">
        <f>IFERROR(INDEX('Kode Outlet dan Target Toko'!$C:$C,MATCH($I1755,'Kode Outlet dan Target Toko'!$E:$E,0)),0)</f>
        <v>170220</v>
      </c>
      <c r="H1755" s="20">
        <f>IFERROR(INDEX('Kode Outlet dan Target Toko'!$D:$D,MATCH($I1755,'Kode Outlet dan Target Toko'!$E:$E,0)),0)</f>
        <v>9000015</v>
      </c>
      <c r="I1755" s="42" t="s">
        <v>33</v>
      </c>
      <c r="J1755" s="56" t="s">
        <v>260</v>
      </c>
      <c r="K1755" s="40" t="s">
        <v>15</v>
      </c>
      <c r="L1755" s="26">
        <v>2200</v>
      </c>
      <c r="M1755" s="26">
        <v>59</v>
      </c>
      <c r="N1755" s="25">
        <f t="shared" si="55"/>
        <v>129800</v>
      </c>
      <c r="O1755" s="56"/>
    </row>
    <row r="1756" spans="1:15" hidden="1" x14ac:dyDescent="0.3">
      <c r="A1756" s="26">
        <v>29</v>
      </c>
      <c r="B1756" s="20" t="str">
        <f t="shared" si="54"/>
        <v>JUL</v>
      </c>
      <c r="C1756" s="21">
        <v>46220</v>
      </c>
      <c r="D1756" s="22" t="str">
        <f t="array" ref="D1756">IFERROR(INDEX('Kode Outlet dan Target Toko'!$A:$A,MATCH($I1756,'Kode Outlet dan Target Toko'!$E:$E,0)),"")</f>
        <v>GRSM 5</v>
      </c>
      <c r="E1756" s="20" t="str">
        <f>IFERROR(VLOOKUP(I1756,KET!$B:$F,4,0),"")</f>
        <v>SUPRIYATI</v>
      </c>
      <c r="F1756" s="20" t="str">
        <f>IFERROR(VLOOKUP(I1756,KET!$B:$F,5,0),"")</f>
        <v>GMM</v>
      </c>
      <c r="G1756" s="20">
        <f>IFERROR(INDEX('Kode Outlet dan Target Toko'!$C:$C,MATCH($I1756,'Kode Outlet dan Target Toko'!$E:$E,0)),0)</f>
        <v>170220</v>
      </c>
      <c r="H1756" s="20">
        <f>IFERROR(INDEX('Kode Outlet dan Target Toko'!$D:$D,MATCH($I1756,'Kode Outlet dan Target Toko'!$E:$E,0)),0)</f>
        <v>9000015</v>
      </c>
      <c r="I1756" s="42" t="s">
        <v>33</v>
      </c>
      <c r="J1756" s="56" t="s">
        <v>260</v>
      </c>
      <c r="K1756" s="40" t="s">
        <v>14</v>
      </c>
      <c r="L1756" s="26">
        <v>2200</v>
      </c>
      <c r="M1756" s="26">
        <v>48</v>
      </c>
      <c r="N1756" s="25">
        <f t="shared" si="55"/>
        <v>105600</v>
      </c>
      <c r="O1756" s="56"/>
    </row>
    <row r="1757" spans="1:15" hidden="1" x14ac:dyDescent="0.3">
      <c r="A1757" s="26">
        <v>29</v>
      </c>
      <c r="B1757" s="20" t="str">
        <f t="shared" si="54"/>
        <v>JUL</v>
      </c>
      <c r="C1757" s="21">
        <v>46220</v>
      </c>
      <c r="D1757" s="22" t="str">
        <f t="array" ref="D1757">IFERROR(INDEX('Kode Outlet dan Target Toko'!$A:$A,MATCH($I1757,'Kode Outlet dan Target Toko'!$E:$E,0)),"")</f>
        <v>GRSM 5</v>
      </c>
      <c r="E1757" s="20" t="str">
        <f>IFERROR(VLOOKUP(I1757,KET!$B:$F,4,0),"")</f>
        <v>SUPRIYATI</v>
      </c>
      <c r="F1757" s="20" t="str">
        <f>IFERROR(VLOOKUP(I1757,KET!$B:$F,5,0),"")</f>
        <v>GMM</v>
      </c>
      <c r="G1757" s="20">
        <f>IFERROR(INDEX('Kode Outlet dan Target Toko'!$C:$C,MATCH($I1757,'Kode Outlet dan Target Toko'!$E:$E,0)),0)</f>
        <v>170220</v>
      </c>
      <c r="H1757" s="20">
        <f>IFERROR(INDEX('Kode Outlet dan Target Toko'!$D:$D,MATCH($I1757,'Kode Outlet dan Target Toko'!$E:$E,0)),0)</f>
        <v>9000015</v>
      </c>
      <c r="I1757" s="42" t="s">
        <v>33</v>
      </c>
      <c r="J1757" s="56" t="s">
        <v>260</v>
      </c>
      <c r="K1757" s="40" t="s">
        <v>13</v>
      </c>
      <c r="L1757" s="26">
        <v>2200</v>
      </c>
      <c r="M1757" s="26">
        <v>23</v>
      </c>
      <c r="N1757" s="25">
        <f t="shared" si="55"/>
        <v>50600</v>
      </c>
      <c r="O1757" s="56"/>
    </row>
    <row r="1758" spans="1:15" hidden="1" x14ac:dyDescent="0.3">
      <c r="A1758" s="26">
        <v>29</v>
      </c>
      <c r="B1758" s="20" t="str">
        <f t="shared" si="54"/>
        <v>JUL</v>
      </c>
      <c r="C1758" s="21">
        <v>46220</v>
      </c>
      <c r="D1758" s="22" t="str">
        <f t="array" ref="D1758">IFERROR(INDEX('Kode Outlet dan Target Toko'!$A:$A,MATCH($I1758,'Kode Outlet dan Target Toko'!$E:$E,0)),"")</f>
        <v>GRSM 5</v>
      </c>
      <c r="E1758" s="20" t="str">
        <f>IFERROR(VLOOKUP(I1758,KET!$B:$F,4,0),"")</f>
        <v>SUPRIYATI</v>
      </c>
      <c r="F1758" s="20" t="str">
        <f>IFERROR(VLOOKUP(I1758,KET!$B:$F,5,0),"")</f>
        <v>GMM</v>
      </c>
      <c r="G1758" s="20">
        <f>IFERROR(INDEX('Kode Outlet dan Target Toko'!$C:$C,MATCH($I1758,'Kode Outlet dan Target Toko'!$E:$E,0)),0)</f>
        <v>170220</v>
      </c>
      <c r="H1758" s="20">
        <f>IFERROR(INDEX('Kode Outlet dan Target Toko'!$D:$D,MATCH($I1758,'Kode Outlet dan Target Toko'!$E:$E,0)),0)</f>
        <v>9000015</v>
      </c>
      <c r="I1758" s="42" t="s">
        <v>33</v>
      </c>
      <c r="J1758" s="56" t="s">
        <v>260</v>
      </c>
      <c r="K1758" s="40" t="s">
        <v>16</v>
      </c>
      <c r="L1758" s="26">
        <v>2200</v>
      </c>
      <c r="M1758" s="26">
        <v>487</v>
      </c>
      <c r="N1758" s="25">
        <f t="shared" si="55"/>
        <v>1071400</v>
      </c>
      <c r="O1758" s="56">
        <v>72</v>
      </c>
    </row>
    <row r="1759" spans="1:15" hidden="1" x14ac:dyDescent="0.3">
      <c r="A1759" s="26">
        <v>29</v>
      </c>
      <c r="B1759" s="20" t="str">
        <f t="shared" si="54"/>
        <v>JUL</v>
      </c>
      <c r="C1759" s="21">
        <v>46220</v>
      </c>
      <c r="D1759" s="22" t="str">
        <f t="array" ref="D1759">IFERROR(INDEX('Kode Outlet dan Target Toko'!$A:$A,MATCH($I1759,'Kode Outlet dan Target Toko'!$E:$E,0)),"")</f>
        <v>GRSM 6</v>
      </c>
      <c r="E1759" s="20" t="str">
        <f>IFERROR(VLOOKUP(I1759,KET!$B:$F,4,0),"")</f>
        <v>WINDA</v>
      </c>
      <c r="F1759" s="20" t="str">
        <f>IFERROR(VLOOKUP(I1759,KET!$B:$F,5,0),"")</f>
        <v>GMM</v>
      </c>
      <c r="G1759" s="20">
        <f>IFERROR(INDEX('Kode Outlet dan Target Toko'!$C:$C,MATCH($I1759,'Kode Outlet dan Target Toko'!$E:$E,0)),0)</f>
        <v>103765</v>
      </c>
      <c r="H1759" s="20">
        <f>IFERROR(INDEX('Kode Outlet dan Target Toko'!$D:$D,MATCH($I1759,'Kode Outlet dan Target Toko'!$E:$E,0)),0)</f>
        <v>4307038</v>
      </c>
      <c r="I1759" s="42" t="s">
        <v>48</v>
      </c>
      <c r="J1759" s="56" t="s">
        <v>269</v>
      </c>
      <c r="K1759" s="40" t="s">
        <v>15</v>
      </c>
      <c r="L1759" s="26">
        <v>3000</v>
      </c>
      <c r="M1759" s="26">
        <v>102</v>
      </c>
      <c r="N1759" s="25">
        <f t="shared" si="55"/>
        <v>306000</v>
      </c>
      <c r="O1759" s="56"/>
    </row>
    <row r="1760" spans="1:15" hidden="1" x14ac:dyDescent="0.3">
      <c r="A1760" s="26">
        <v>29</v>
      </c>
      <c r="B1760" s="20" t="str">
        <f t="shared" si="54"/>
        <v>JUL</v>
      </c>
      <c r="C1760" s="21">
        <v>46220</v>
      </c>
      <c r="D1760" s="22" t="str">
        <f t="array" ref="D1760">IFERROR(INDEX('Kode Outlet dan Target Toko'!$A:$A,MATCH($I1760,'Kode Outlet dan Target Toko'!$E:$E,0)),"")</f>
        <v>GRSM 6</v>
      </c>
      <c r="E1760" s="20" t="str">
        <f>IFERROR(VLOOKUP(I1760,KET!$B:$F,4,0),"")</f>
        <v>WINDA</v>
      </c>
      <c r="F1760" s="20" t="str">
        <f>IFERROR(VLOOKUP(I1760,KET!$B:$F,5,0),"")</f>
        <v>GMM</v>
      </c>
      <c r="G1760" s="20">
        <f>IFERROR(INDEX('Kode Outlet dan Target Toko'!$C:$C,MATCH($I1760,'Kode Outlet dan Target Toko'!$E:$E,0)),0)</f>
        <v>103765</v>
      </c>
      <c r="H1760" s="20">
        <f>IFERROR(INDEX('Kode Outlet dan Target Toko'!$D:$D,MATCH($I1760,'Kode Outlet dan Target Toko'!$E:$E,0)),0)</f>
        <v>4307038</v>
      </c>
      <c r="I1760" s="42" t="s">
        <v>48</v>
      </c>
      <c r="J1760" s="56" t="s">
        <v>269</v>
      </c>
      <c r="K1760" s="40" t="s">
        <v>14</v>
      </c>
      <c r="L1760" s="26">
        <v>3000</v>
      </c>
      <c r="M1760" s="26">
        <v>140</v>
      </c>
      <c r="N1760" s="25">
        <f t="shared" si="55"/>
        <v>420000</v>
      </c>
      <c r="O1760" s="56"/>
    </row>
    <row r="1761" spans="1:15" hidden="1" x14ac:dyDescent="0.3">
      <c r="A1761" s="26">
        <v>29</v>
      </c>
      <c r="B1761" s="20" t="str">
        <f t="shared" si="54"/>
        <v>JUL</v>
      </c>
      <c r="C1761" s="21">
        <v>46220</v>
      </c>
      <c r="D1761" s="22" t="str">
        <f t="array" ref="D1761">IFERROR(INDEX('Kode Outlet dan Target Toko'!$A:$A,MATCH($I1761,'Kode Outlet dan Target Toko'!$E:$E,0)),"")</f>
        <v>GRSM 6</v>
      </c>
      <c r="E1761" s="20" t="str">
        <f>IFERROR(VLOOKUP(I1761,KET!$B:$F,4,0),"")</f>
        <v>WINDA</v>
      </c>
      <c r="F1761" s="20" t="str">
        <f>IFERROR(VLOOKUP(I1761,KET!$B:$F,5,0),"")</f>
        <v>GMM</v>
      </c>
      <c r="G1761" s="20">
        <f>IFERROR(INDEX('Kode Outlet dan Target Toko'!$C:$C,MATCH($I1761,'Kode Outlet dan Target Toko'!$E:$E,0)),0)</f>
        <v>103765</v>
      </c>
      <c r="H1761" s="20">
        <f>IFERROR(INDEX('Kode Outlet dan Target Toko'!$D:$D,MATCH($I1761,'Kode Outlet dan Target Toko'!$E:$E,0)),0)</f>
        <v>4307038</v>
      </c>
      <c r="I1761" s="42" t="s">
        <v>48</v>
      </c>
      <c r="J1761" s="56" t="s">
        <v>269</v>
      </c>
      <c r="K1761" s="40" t="s">
        <v>13</v>
      </c>
      <c r="L1761" s="26">
        <v>3000</v>
      </c>
      <c r="M1761" s="26">
        <v>60</v>
      </c>
      <c r="N1761" s="25">
        <f t="shared" si="55"/>
        <v>180000</v>
      </c>
      <c r="O1761" s="56"/>
    </row>
    <row r="1762" spans="1:15" hidden="1" x14ac:dyDescent="0.3">
      <c r="A1762" s="26">
        <v>29</v>
      </c>
      <c r="B1762" s="20" t="str">
        <f t="shared" si="54"/>
        <v>JUL</v>
      </c>
      <c r="C1762" s="21">
        <v>46220</v>
      </c>
      <c r="D1762" s="22" t="str">
        <f t="array" ref="D1762">IFERROR(INDEX('Kode Outlet dan Target Toko'!$A:$A,MATCH($I1762,'Kode Outlet dan Target Toko'!$E:$E,0)),"")</f>
        <v>GRSM 6</v>
      </c>
      <c r="E1762" s="20" t="str">
        <f>IFERROR(VLOOKUP(I1762,KET!$B:$F,4,0),"")</f>
        <v>WINDA</v>
      </c>
      <c r="F1762" s="20" t="str">
        <f>IFERROR(VLOOKUP(I1762,KET!$B:$F,5,0),"")</f>
        <v>GMM</v>
      </c>
      <c r="G1762" s="20">
        <f>IFERROR(INDEX('Kode Outlet dan Target Toko'!$C:$C,MATCH($I1762,'Kode Outlet dan Target Toko'!$E:$E,0)),0)</f>
        <v>103765</v>
      </c>
      <c r="H1762" s="20">
        <f>IFERROR(INDEX('Kode Outlet dan Target Toko'!$D:$D,MATCH($I1762,'Kode Outlet dan Target Toko'!$E:$E,0)),0)</f>
        <v>4307038</v>
      </c>
      <c r="I1762" s="42" t="s">
        <v>48</v>
      </c>
      <c r="J1762" s="56" t="s">
        <v>269</v>
      </c>
      <c r="K1762" s="40" t="s">
        <v>16</v>
      </c>
      <c r="L1762" s="26">
        <v>3000</v>
      </c>
      <c r="M1762" s="26">
        <v>200</v>
      </c>
      <c r="N1762" s="25">
        <f t="shared" si="55"/>
        <v>600000</v>
      </c>
      <c r="O1762" s="56">
        <v>180</v>
      </c>
    </row>
    <row r="1763" spans="1:15" hidden="1" x14ac:dyDescent="0.3">
      <c r="A1763" s="26">
        <v>29</v>
      </c>
      <c r="B1763" s="20" t="str">
        <f t="shared" si="54"/>
        <v>JUL</v>
      </c>
      <c r="C1763" s="21">
        <v>46220</v>
      </c>
      <c r="D1763" s="22" t="str">
        <f t="array" ref="D1763">IFERROR(INDEX('Kode Outlet dan Target Toko'!$A:$A,MATCH($I1763,'Kode Outlet dan Target Toko'!$E:$E,0)),"")</f>
        <v>GRSM 6</v>
      </c>
      <c r="E1763" s="20" t="str">
        <f>IFERROR(VLOOKUP(I1763,KET!$B:$F,4,0),"")</f>
        <v>WINDA</v>
      </c>
      <c r="F1763" s="20" t="str">
        <f>IFERROR(VLOOKUP(I1763,KET!$B:$F,5,0),"")</f>
        <v>GMM</v>
      </c>
      <c r="G1763" s="20">
        <f>IFERROR(INDEX('Kode Outlet dan Target Toko'!$C:$C,MATCH($I1763,'Kode Outlet dan Target Toko'!$E:$E,0)),0)</f>
        <v>103765</v>
      </c>
      <c r="H1763" s="20">
        <f>IFERROR(INDEX('Kode Outlet dan Target Toko'!$D:$D,MATCH($I1763,'Kode Outlet dan Target Toko'!$E:$E,0)),0)</f>
        <v>4307038</v>
      </c>
      <c r="I1763" s="42" t="s">
        <v>48</v>
      </c>
      <c r="J1763" s="56" t="s">
        <v>270</v>
      </c>
      <c r="K1763" s="40" t="s">
        <v>15</v>
      </c>
      <c r="L1763" s="26">
        <v>3000</v>
      </c>
      <c r="M1763" s="26">
        <v>102</v>
      </c>
      <c r="N1763" s="25">
        <f t="shared" si="55"/>
        <v>306000</v>
      </c>
      <c r="O1763" s="56"/>
    </row>
    <row r="1764" spans="1:15" hidden="1" x14ac:dyDescent="0.3">
      <c r="A1764" s="26">
        <v>29</v>
      </c>
      <c r="B1764" s="20" t="str">
        <f t="shared" si="54"/>
        <v>JUL</v>
      </c>
      <c r="C1764" s="21">
        <v>46220</v>
      </c>
      <c r="D1764" s="22" t="str">
        <f t="array" ref="D1764">IFERROR(INDEX('Kode Outlet dan Target Toko'!$A:$A,MATCH($I1764,'Kode Outlet dan Target Toko'!$E:$E,0)),"")</f>
        <v>GRSM 6</v>
      </c>
      <c r="E1764" s="20" t="str">
        <f>IFERROR(VLOOKUP(I1764,KET!$B:$F,4,0),"")</f>
        <v>WINDA</v>
      </c>
      <c r="F1764" s="20" t="str">
        <f>IFERROR(VLOOKUP(I1764,KET!$B:$F,5,0),"")</f>
        <v>GMM</v>
      </c>
      <c r="G1764" s="20">
        <f>IFERROR(INDEX('Kode Outlet dan Target Toko'!$C:$C,MATCH($I1764,'Kode Outlet dan Target Toko'!$E:$E,0)),0)</f>
        <v>103765</v>
      </c>
      <c r="H1764" s="20">
        <f>IFERROR(INDEX('Kode Outlet dan Target Toko'!$D:$D,MATCH($I1764,'Kode Outlet dan Target Toko'!$E:$E,0)),0)</f>
        <v>4307038</v>
      </c>
      <c r="I1764" s="42" t="s">
        <v>48</v>
      </c>
      <c r="J1764" s="56" t="s">
        <v>270</v>
      </c>
      <c r="K1764" s="40" t="s">
        <v>14</v>
      </c>
      <c r="L1764" s="26">
        <v>3000</v>
      </c>
      <c r="M1764" s="26">
        <v>140</v>
      </c>
      <c r="N1764" s="25">
        <f t="shared" si="55"/>
        <v>420000</v>
      </c>
      <c r="O1764" s="56"/>
    </row>
    <row r="1765" spans="1:15" hidden="1" x14ac:dyDescent="0.3">
      <c r="A1765" s="26">
        <v>29</v>
      </c>
      <c r="B1765" s="20" t="str">
        <f t="shared" si="54"/>
        <v>JUL</v>
      </c>
      <c r="C1765" s="21">
        <v>46220</v>
      </c>
      <c r="D1765" s="22" t="str">
        <f t="array" ref="D1765">IFERROR(INDEX('Kode Outlet dan Target Toko'!$A:$A,MATCH($I1765,'Kode Outlet dan Target Toko'!$E:$E,0)),"")</f>
        <v>GRSM 6</v>
      </c>
      <c r="E1765" s="20" t="str">
        <f>IFERROR(VLOOKUP(I1765,KET!$B:$F,4,0),"")</f>
        <v>WINDA</v>
      </c>
      <c r="F1765" s="20" t="str">
        <f>IFERROR(VLOOKUP(I1765,KET!$B:$F,5,0),"")</f>
        <v>GMM</v>
      </c>
      <c r="G1765" s="20">
        <f>IFERROR(INDEX('Kode Outlet dan Target Toko'!$C:$C,MATCH($I1765,'Kode Outlet dan Target Toko'!$E:$E,0)),0)</f>
        <v>103765</v>
      </c>
      <c r="H1765" s="20">
        <f>IFERROR(INDEX('Kode Outlet dan Target Toko'!$D:$D,MATCH($I1765,'Kode Outlet dan Target Toko'!$E:$E,0)),0)</f>
        <v>4307038</v>
      </c>
      <c r="I1765" s="42" t="s">
        <v>48</v>
      </c>
      <c r="J1765" s="56" t="s">
        <v>270</v>
      </c>
      <c r="K1765" s="40" t="s">
        <v>13</v>
      </c>
      <c r="L1765" s="26">
        <v>3000</v>
      </c>
      <c r="M1765" s="26">
        <v>60</v>
      </c>
      <c r="N1765" s="25">
        <f t="shared" si="55"/>
        <v>180000</v>
      </c>
      <c r="O1765" s="56"/>
    </row>
    <row r="1766" spans="1:15" hidden="1" x14ac:dyDescent="0.3">
      <c r="A1766" s="26">
        <v>29</v>
      </c>
      <c r="B1766" s="20" t="str">
        <f t="shared" si="54"/>
        <v>JUL</v>
      </c>
      <c r="C1766" s="21">
        <v>46220</v>
      </c>
      <c r="D1766" s="22" t="str">
        <f t="array" ref="D1766">IFERROR(INDEX('Kode Outlet dan Target Toko'!$A:$A,MATCH($I1766,'Kode Outlet dan Target Toko'!$E:$E,0)),"")</f>
        <v>GRSM 6</v>
      </c>
      <c r="E1766" s="20" t="str">
        <f>IFERROR(VLOOKUP(I1766,KET!$B:$F,4,0),"")</f>
        <v>WINDA</v>
      </c>
      <c r="F1766" s="20" t="str">
        <f>IFERROR(VLOOKUP(I1766,KET!$B:$F,5,0),"")</f>
        <v>GMM</v>
      </c>
      <c r="G1766" s="20">
        <f>IFERROR(INDEX('Kode Outlet dan Target Toko'!$C:$C,MATCH($I1766,'Kode Outlet dan Target Toko'!$E:$E,0)),0)</f>
        <v>103765</v>
      </c>
      <c r="H1766" s="20">
        <f>IFERROR(INDEX('Kode Outlet dan Target Toko'!$D:$D,MATCH($I1766,'Kode Outlet dan Target Toko'!$E:$E,0)),0)</f>
        <v>4307038</v>
      </c>
      <c r="I1766" s="42" t="s">
        <v>48</v>
      </c>
      <c r="J1766" s="56" t="s">
        <v>270</v>
      </c>
      <c r="K1766" s="40" t="s">
        <v>16</v>
      </c>
      <c r="L1766" s="26">
        <v>3000</v>
      </c>
      <c r="M1766" s="26">
        <v>200</v>
      </c>
      <c r="N1766" s="25">
        <f t="shared" si="55"/>
        <v>600000</v>
      </c>
      <c r="O1766" s="56">
        <v>180</v>
      </c>
    </row>
    <row r="1767" spans="1:15" hidden="1" x14ac:dyDescent="0.3">
      <c r="A1767" s="26">
        <v>29</v>
      </c>
      <c r="B1767" s="20" t="str">
        <f t="shared" si="54"/>
        <v>JUL</v>
      </c>
      <c r="C1767" s="21">
        <v>46220</v>
      </c>
      <c r="D1767" s="22" t="str">
        <f t="array" ref="D1767">IFERROR(INDEX('Kode Outlet dan Target Toko'!$A:$A,MATCH($I1767,'Kode Outlet dan Target Toko'!$E:$E,0)),"")</f>
        <v>GRSM 6</v>
      </c>
      <c r="E1767" s="20" t="str">
        <f>IFERROR(VLOOKUP(I1767,KET!$B:$F,4,0),"")</f>
        <v>WINDA</v>
      </c>
      <c r="F1767" s="20" t="str">
        <f>IFERROR(VLOOKUP(I1767,KET!$B:$F,5,0),"")</f>
        <v>GMM</v>
      </c>
      <c r="G1767" s="20">
        <f>IFERROR(INDEX('Kode Outlet dan Target Toko'!$C:$C,MATCH($I1767,'Kode Outlet dan Target Toko'!$E:$E,0)),0)</f>
        <v>211163</v>
      </c>
      <c r="H1767" s="20">
        <f>IFERROR(INDEX('Kode Outlet dan Target Toko'!$D:$D,MATCH($I1767,'Kode Outlet dan Target Toko'!$E:$E,0)),0)</f>
        <v>3703219</v>
      </c>
      <c r="I1767" s="42" t="s">
        <v>52</v>
      </c>
      <c r="J1767" s="56" t="s">
        <v>273</v>
      </c>
      <c r="K1767" s="40" t="s">
        <v>15</v>
      </c>
      <c r="L1767" s="26">
        <v>2900</v>
      </c>
      <c r="M1767" s="26">
        <v>84</v>
      </c>
      <c r="N1767" s="25">
        <f t="shared" si="55"/>
        <v>243600</v>
      </c>
      <c r="O1767" s="56"/>
    </row>
    <row r="1768" spans="1:15" hidden="1" x14ac:dyDescent="0.3">
      <c r="A1768" s="26">
        <v>29</v>
      </c>
      <c r="B1768" s="20" t="str">
        <f t="shared" si="54"/>
        <v>JUL</v>
      </c>
      <c r="C1768" s="21">
        <v>46220</v>
      </c>
      <c r="D1768" s="22" t="str">
        <f t="array" ref="D1768">IFERROR(INDEX('Kode Outlet dan Target Toko'!$A:$A,MATCH($I1768,'Kode Outlet dan Target Toko'!$E:$E,0)),"")</f>
        <v>GRSM 6</v>
      </c>
      <c r="E1768" s="20" t="str">
        <f>IFERROR(VLOOKUP(I1768,KET!$B:$F,4,0),"")</f>
        <v>WINDA</v>
      </c>
      <c r="F1768" s="20" t="str">
        <f>IFERROR(VLOOKUP(I1768,KET!$B:$F,5,0),"")</f>
        <v>GMM</v>
      </c>
      <c r="G1768" s="20">
        <f>IFERROR(INDEX('Kode Outlet dan Target Toko'!$C:$C,MATCH($I1768,'Kode Outlet dan Target Toko'!$E:$E,0)),0)</f>
        <v>211163</v>
      </c>
      <c r="H1768" s="20">
        <f>IFERROR(INDEX('Kode Outlet dan Target Toko'!$D:$D,MATCH($I1768,'Kode Outlet dan Target Toko'!$E:$E,0)),0)</f>
        <v>3703219</v>
      </c>
      <c r="I1768" s="42" t="s">
        <v>52</v>
      </c>
      <c r="J1768" s="56" t="s">
        <v>273</v>
      </c>
      <c r="K1768" s="40" t="s">
        <v>14</v>
      </c>
      <c r="L1768" s="26">
        <v>2900</v>
      </c>
      <c r="M1768" s="26">
        <v>120</v>
      </c>
      <c r="N1768" s="25">
        <f t="shared" si="55"/>
        <v>348000</v>
      </c>
      <c r="O1768" s="56"/>
    </row>
    <row r="1769" spans="1:15" hidden="1" x14ac:dyDescent="0.3">
      <c r="A1769" s="26">
        <v>29</v>
      </c>
      <c r="B1769" s="20" t="str">
        <f t="shared" si="54"/>
        <v>JUL</v>
      </c>
      <c r="C1769" s="21">
        <v>46220</v>
      </c>
      <c r="D1769" s="22" t="str">
        <f t="array" ref="D1769">IFERROR(INDEX('Kode Outlet dan Target Toko'!$A:$A,MATCH($I1769,'Kode Outlet dan Target Toko'!$E:$E,0)),"")</f>
        <v>GRSM 6</v>
      </c>
      <c r="E1769" s="20" t="str">
        <f>IFERROR(VLOOKUP(I1769,KET!$B:$F,4,0),"")</f>
        <v>WINDA</v>
      </c>
      <c r="F1769" s="20" t="str">
        <f>IFERROR(VLOOKUP(I1769,KET!$B:$F,5,0),"")</f>
        <v>GMM</v>
      </c>
      <c r="G1769" s="20">
        <f>IFERROR(INDEX('Kode Outlet dan Target Toko'!$C:$C,MATCH($I1769,'Kode Outlet dan Target Toko'!$E:$E,0)),0)</f>
        <v>211163</v>
      </c>
      <c r="H1769" s="20">
        <f>IFERROR(INDEX('Kode Outlet dan Target Toko'!$D:$D,MATCH($I1769,'Kode Outlet dan Target Toko'!$E:$E,0)),0)</f>
        <v>3703219</v>
      </c>
      <c r="I1769" s="42" t="s">
        <v>52</v>
      </c>
      <c r="J1769" s="56" t="s">
        <v>273</v>
      </c>
      <c r="K1769" s="40" t="s">
        <v>13</v>
      </c>
      <c r="L1769" s="26">
        <v>2900</v>
      </c>
      <c r="M1769" s="26">
        <v>0</v>
      </c>
      <c r="N1769" s="25">
        <f t="shared" si="55"/>
        <v>0</v>
      </c>
      <c r="O1769" s="56"/>
    </row>
    <row r="1770" spans="1:15" hidden="1" x14ac:dyDescent="0.3">
      <c r="A1770" s="26">
        <v>29</v>
      </c>
      <c r="B1770" s="20" t="str">
        <f t="shared" si="54"/>
        <v>JUL</v>
      </c>
      <c r="C1770" s="21">
        <v>46220</v>
      </c>
      <c r="D1770" s="22" t="str">
        <f t="array" ref="D1770">IFERROR(INDEX('Kode Outlet dan Target Toko'!$A:$A,MATCH($I1770,'Kode Outlet dan Target Toko'!$E:$E,0)),"")</f>
        <v>GRSM 6</v>
      </c>
      <c r="E1770" s="20" t="str">
        <f>IFERROR(VLOOKUP(I1770,KET!$B:$F,4,0),"")</f>
        <v>WINDA</v>
      </c>
      <c r="F1770" s="20" t="str">
        <f>IFERROR(VLOOKUP(I1770,KET!$B:$F,5,0),"")</f>
        <v>GMM</v>
      </c>
      <c r="G1770" s="20">
        <f>IFERROR(INDEX('Kode Outlet dan Target Toko'!$C:$C,MATCH($I1770,'Kode Outlet dan Target Toko'!$E:$E,0)),0)</f>
        <v>211163</v>
      </c>
      <c r="H1770" s="20">
        <f>IFERROR(INDEX('Kode Outlet dan Target Toko'!$D:$D,MATCH($I1770,'Kode Outlet dan Target Toko'!$E:$E,0)),0)</f>
        <v>3703219</v>
      </c>
      <c r="I1770" s="42" t="s">
        <v>52</v>
      </c>
      <c r="J1770" s="56" t="s">
        <v>273</v>
      </c>
      <c r="K1770" s="40" t="s">
        <v>16</v>
      </c>
      <c r="L1770" s="26">
        <v>2900</v>
      </c>
      <c r="M1770" s="26">
        <v>148</v>
      </c>
      <c r="N1770" s="25">
        <f t="shared" si="55"/>
        <v>429200</v>
      </c>
      <c r="O1770" s="56">
        <v>160</v>
      </c>
    </row>
    <row r="1771" spans="1:15" hidden="1" x14ac:dyDescent="0.3">
      <c r="A1771" s="26">
        <v>29</v>
      </c>
      <c r="B1771" s="20" t="str">
        <f t="shared" si="54"/>
        <v>JUL</v>
      </c>
      <c r="C1771" s="21">
        <v>46220</v>
      </c>
      <c r="D1771" s="22" t="str">
        <f t="array" ref="D1771">IFERROR(INDEX('Kode Outlet dan Target Toko'!$A:$A,MATCH($I1771,'Kode Outlet dan Target Toko'!$E:$E,0)),"")</f>
        <v>GRSM 6</v>
      </c>
      <c r="E1771" s="20" t="str">
        <f>IFERROR(VLOOKUP(I1771,KET!$B:$F,4,0),"")</f>
        <v>WINDA</v>
      </c>
      <c r="F1771" s="20" t="str">
        <f>IFERROR(VLOOKUP(I1771,KET!$B:$F,5,0),"")</f>
        <v>GMM</v>
      </c>
      <c r="G1771" s="20">
        <f>IFERROR(INDEX('Kode Outlet dan Target Toko'!$C:$C,MATCH($I1771,'Kode Outlet dan Target Toko'!$E:$E,0)),0)</f>
        <v>211163</v>
      </c>
      <c r="H1771" s="20">
        <f>IFERROR(INDEX('Kode Outlet dan Target Toko'!$D:$D,MATCH($I1771,'Kode Outlet dan Target Toko'!$E:$E,0)),0)</f>
        <v>3703219</v>
      </c>
      <c r="I1771" s="42" t="s">
        <v>52</v>
      </c>
      <c r="J1771" s="56" t="s">
        <v>274</v>
      </c>
      <c r="K1771" s="40" t="s">
        <v>15</v>
      </c>
      <c r="L1771" s="26">
        <v>2900</v>
      </c>
      <c r="M1771" s="26">
        <v>84</v>
      </c>
      <c r="N1771" s="25">
        <f t="shared" si="55"/>
        <v>243600</v>
      </c>
      <c r="O1771" s="56"/>
    </row>
    <row r="1772" spans="1:15" hidden="1" x14ac:dyDescent="0.3">
      <c r="A1772" s="26">
        <v>29</v>
      </c>
      <c r="B1772" s="20" t="str">
        <f t="shared" si="54"/>
        <v>JUL</v>
      </c>
      <c r="C1772" s="21">
        <v>46220</v>
      </c>
      <c r="D1772" s="22" t="str">
        <f t="array" ref="D1772">IFERROR(INDEX('Kode Outlet dan Target Toko'!$A:$A,MATCH($I1772,'Kode Outlet dan Target Toko'!$E:$E,0)),"")</f>
        <v>GRSM 6</v>
      </c>
      <c r="E1772" s="20" t="str">
        <f>IFERROR(VLOOKUP(I1772,KET!$B:$F,4,0),"")</f>
        <v>WINDA</v>
      </c>
      <c r="F1772" s="20" t="str">
        <f>IFERROR(VLOOKUP(I1772,KET!$B:$F,5,0),"")</f>
        <v>GMM</v>
      </c>
      <c r="G1772" s="20">
        <f>IFERROR(INDEX('Kode Outlet dan Target Toko'!$C:$C,MATCH($I1772,'Kode Outlet dan Target Toko'!$E:$E,0)),0)</f>
        <v>211163</v>
      </c>
      <c r="H1772" s="20">
        <f>IFERROR(INDEX('Kode Outlet dan Target Toko'!$D:$D,MATCH($I1772,'Kode Outlet dan Target Toko'!$E:$E,0)),0)</f>
        <v>3703219</v>
      </c>
      <c r="I1772" s="42" t="s">
        <v>52</v>
      </c>
      <c r="J1772" s="56" t="s">
        <v>274</v>
      </c>
      <c r="K1772" s="40" t="s">
        <v>14</v>
      </c>
      <c r="L1772" s="26">
        <v>2900</v>
      </c>
      <c r="M1772" s="26">
        <v>120</v>
      </c>
      <c r="N1772" s="25">
        <f t="shared" si="55"/>
        <v>348000</v>
      </c>
      <c r="O1772" s="56"/>
    </row>
    <row r="1773" spans="1:15" hidden="1" x14ac:dyDescent="0.3">
      <c r="A1773" s="26">
        <v>29</v>
      </c>
      <c r="B1773" s="20" t="str">
        <f t="shared" si="54"/>
        <v>JUL</v>
      </c>
      <c r="C1773" s="21">
        <v>46220</v>
      </c>
      <c r="D1773" s="22" t="str">
        <f t="array" ref="D1773">IFERROR(INDEX('Kode Outlet dan Target Toko'!$A:$A,MATCH($I1773,'Kode Outlet dan Target Toko'!$E:$E,0)),"")</f>
        <v>GRSM 6</v>
      </c>
      <c r="E1773" s="20" t="str">
        <f>IFERROR(VLOOKUP(I1773,KET!$B:$F,4,0),"")</f>
        <v>WINDA</v>
      </c>
      <c r="F1773" s="20" t="str">
        <f>IFERROR(VLOOKUP(I1773,KET!$B:$F,5,0),"")</f>
        <v>GMM</v>
      </c>
      <c r="G1773" s="20">
        <f>IFERROR(INDEX('Kode Outlet dan Target Toko'!$C:$C,MATCH($I1773,'Kode Outlet dan Target Toko'!$E:$E,0)),0)</f>
        <v>211163</v>
      </c>
      <c r="H1773" s="20">
        <f>IFERROR(INDEX('Kode Outlet dan Target Toko'!$D:$D,MATCH($I1773,'Kode Outlet dan Target Toko'!$E:$E,0)),0)</f>
        <v>3703219</v>
      </c>
      <c r="I1773" s="42" t="s">
        <v>52</v>
      </c>
      <c r="J1773" s="56" t="s">
        <v>274</v>
      </c>
      <c r="K1773" s="40" t="s">
        <v>13</v>
      </c>
      <c r="L1773" s="26">
        <v>2900</v>
      </c>
      <c r="M1773" s="26">
        <v>0</v>
      </c>
      <c r="N1773" s="25">
        <f t="shared" si="55"/>
        <v>0</v>
      </c>
      <c r="O1773" s="56"/>
    </row>
    <row r="1774" spans="1:15" hidden="1" x14ac:dyDescent="0.3">
      <c r="A1774" s="26">
        <v>29</v>
      </c>
      <c r="B1774" s="20" t="str">
        <f t="shared" si="54"/>
        <v>JUL</v>
      </c>
      <c r="C1774" s="21">
        <v>46220</v>
      </c>
      <c r="D1774" s="22" t="str">
        <f t="array" ref="D1774">IFERROR(INDEX('Kode Outlet dan Target Toko'!$A:$A,MATCH($I1774,'Kode Outlet dan Target Toko'!$E:$E,0)),"")</f>
        <v>GRSM 6</v>
      </c>
      <c r="E1774" s="20" t="str">
        <f>IFERROR(VLOOKUP(I1774,KET!$B:$F,4,0),"")</f>
        <v>WINDA</v>
      </c>
      <c r="F1774" s="20" t="str">
        <f>IFERROR(VLOOKUP(I1774,KET!$B:$F,5,0),"")</f>
        <v>GMM</v>
      </c>
      <c r="G1774" s="20">
        <f>IFERROR(INDEX('Kode Outlet dan Target Toko'!$C:$C,MATCH($I1774,'Kode Outlet dan Target Toko'!$E:$E,0)),0)</f>
        <v>211163</v>
      </c>
      <c r="H1774" s="20">
        <f>IFERROR(INDEX('Kode Outlet dan Target Toko'!$D:$D,MATCH($I1774,'Kode Outlet dan Target Toko'!$E:$E,0)),0)</f>
        <v>3703219</v>
      </c>
      <c r="I1774" s="42" t="s">
        <v>52</v>
      </c>
      <c r="J1774" s="56" t="s">
        <v>274</v>
      </c>
      <c r="K1774" s="40" t="s">
        <v>16</v>
      </c>
      <c r="L1774" s="26">
        <v>2900</v>
      </c>
      <c r="M1774" s="26">
        <v>148</v>
      </c>
      <c r="N1774" s="25">
        <f t="shared" si="55"/>
        <v>429200</v>
      </c>
      <c r="O1774" s="56">
        <v>160</v>
      </c>
    </row>
    <row r="1775" spans="1:15" hidden="1" x14ac:dyDescent="0.3">
      <c r="A1775" s="26">
        <v>29</v>
      </c>
      <c r="B1775" s="20" t="str">
        <f t="shared" si="54"/>
        <v>JUL</v>
      </c>
      <c r="C1775" s="21">
        <v>46220</v>
      </c>
      <c r="D1775" s="22" t="str">
        <f t="array" ref="D1775">IFERROR(INDEX('Kode Outlet dan Target Toko'!$A:$A,MATCH($I1775,'Kode Outlet dan Target Toko'!$E:$E,0)),"")</f>
        <v>GRSM 6</v>
      </c>
      <c r="E1775" s="20" t="str">
        <f>IFERROR(VLOOKUP(I1775,KET!$B:$F,4,0),"")</f>
        <v>WINDA</v>
      </c>
      <c r="F1775" s="20" t="str">
        <f>IFERROR(VLOOKUP(I1775,KET!$B:$F,5,0),"")</f>
        <v>GMM</v>
      </c>
      <c r="G1775" s="20">
        <f>IFERROR(INDEX('Kode Outlet dan Target Toko'!$C:$C,MATCH($I1775,'Kode Outlet dan Target Toko'!$E:$E,0)),0)</f>
        <v>211163</v>
      </c>
      <c r="H1775" s="20">
        <f>IFERROR(INDEX('Kode Outlet dan Target Toko'!$D:$D,MATCH($I1775,'Kode Outlet dan Target Toko'!$E:$E,0)),0)</f>
        <v>3703215</v>
      </c>
      <c r="I1775" s="42" t="s">
        <v>53</v>
      </c>
      <c r="J1775" s="56" t="s">
        <v>275</v>
      </c>
      <c r="K1775" s="40" t="s">
        <v>15</v>
      </c>
      <c r="L1775" s="26">
        <v>5800</v>
      </c>
      <c r="M1775" s="26">
        <v>22</v>
      </c>
      <c r="N1775" s="25">
        <f t="shared" si="55"/>
        <v>127600</v>
      </c>
      <c r="O1775" s="56"/>
    </row>
    <row r="1776" spans="1:15" hidden="1" x14ac:dyDescent="0.3">
      <c r="A1776" s="26">
        <v>29</v>
      </c>
      <c r="B1776" s="20" t="str">
        <f t="shared" si="54"/>
        <v>JUL</v>
      </c>
      <c r="C1776" s="21">
        <v>46220</v>
      </c>
      <c r="D1776" s="22" t="str">
        <f t="array" ref="D1776">IFERROR(INDEX('Kode Outlet dan Target Toko'!$A:$A,MATCH($I1776,'Kode Outlet dan Target Toko'!$E:$E,0)),"")</f>
        <v>GRSM 6</v>
      </c>
      <c r="E1776" s="20" t="str">
        <f>IFERROR(VLOOKUP(I1776,KET!$B:$F,4,0),"")</f>
        <v>WINDA</v>
      </c>
      <c r="F1776" s="20" t="str">
        <f>IFERROR(VLOOKUP(I1776,KET!$B:$F,5,0),"")</f>
        <v>GMM</v>
      </c>
      <c r="G1776" s="20">
        <f>IFERROR(INDEX('Kode Outlet dan Target Toko'!$C:$C,MATCH($I1776,'Kode Outlet dan Target Toko'!$E:$E,0)),0)</f>
        <v>211163</v>
      </c>
      <c r="H1776" s="20">
        <f>IFERROR(INDEX('Kode Outlet dan Target Toko'!$D:$D,MATCH($I1776,'Kode Outlet dan Target Toko'!$E:$E,0)),0)</f>
        <v>3703215</v>
      </c>
      <c r="I1776" s="42" t="s">
        <v>53</v>
      </c>
      <c r="J1776" s="56" t="s">
        <v>275</v>
      </c>
      <c r="K1776" s="40" t="s">
        <v>14</v>
      </c>
      <c r="L1776" s="26">
        <v>5800</v>
      </c>
      <c r="M1776" s="26">
        <v>76</v>
      </c>
      <c r="N1776" s="25">
        <f t="shared" si="55"/>
        <v>440800</v>
      </c>
      <c r="O1776" s="56"/>
    </row>
    <row r="1777" spans="1:15" hidden="1" x14ac:dyDescent="0.3">
      <c r="A1777" s="26">
        <v>29</v>
      </c>
      <c r="B1777" s="20" t="str">
        <f t="shared" si="54"/>
        <v>JUL</v>
      </c>
      <c r="C1777" s="21">
        <v>46220</v>
      </c>
      <c r="D1777" s="22" t="str">
        <f t="array" ref="D1777">IFERROR(INDEX('Kode Outlet dan Target Toko'!$A:$A,MATCH($I1777,'Kode Outlet dan Target Toko'!$E:$E,0)),"")</f>
        <v>GRSM 6</v>
      </c>
      <c r="E1777" s="20" t="str">
        <f>IFERROR(VLOOKUP(I1777,KET!$B:$F,4,0),"")</f>
        <v>WINDA</v>
      </c>
      <c r="F1777" s="20" t="str">
        <f>IFERROR(VLOOKUP(I1777,KET!$B:$F,5,0),"")</f>
        <v>GMM</v>
      </c>
      <c r="G1777" s="20">
        <f>IFERROR(INDEX('Kode Outlet dan Target Toko'!$C:$C,MATCH($I1777,'Kode Outlet dan Target Toko'!$E:$E,0)),0)</f>
        <v>211163</v>
      </c>
      <c r="H1777" s="20">
        <f>IFERROR(INDEX('Kode Outlet dan Target Toko'!$D:$D,MATCH($I1777,'Kode Outlet dan Target Toko'!$E:$E,0)),0)</f>
        <v>3703215</v>
      </c>
      <c r="I1777" s="42" t="s">
        <v>53</v>
      </c>
      <c r="J1777" s="56" t="s">
        <v>275</v>
      </c>
      <c r="K1777" s="40" t="s">
        <v>13</v>
      </c>
      <c r="L1777" s="26">
        <v>5800</v>
      </c>
      <c r="M1777" s="26">
        <v>0</v>
      </c>
      <c r="N1777" s="25">
        <f t="shared" si="55"/>
        <v>0</v>
      </c>
      <c r="O1777" s="56"/>
    </row>
    <row r="1778" spans="1:15" hidden="1" x14ac:dyDescent="0.3">
      <c r="A1778" s="26">
        <v>29</v>
      </c>
      <c r="B1778" s="20" t="str">
        <f t="shared" si="54"/>
        <v>JUL</v>
      </c>
      <c r="C1778" s="21">
        <v>46220</v>
      </c>
      <c r="D1778" s="22" t="str">
        <f t="array" ref="D1778">IFERROR(INDEX('Kode Outlet dan Target Toko'!$A:$A,MATCH($I1778,'Kode Outlet dan Target Toko'!$E:$E,0)),"")</f>
        <v>GRSM 6</v>
      </c>
      <c r="E1778" s="20" t="str">
        <f>IFERROR(VLOOKUP(I1778,KET!$B:$F,4,0),"")</f>
        <v>WINDA</v>
      </c>
      <c r="F1778" s="20" t="str">
        <f>IFERROR(VLOOKUP(I1778,KET!$B:$F,5,0),"")</f>
        <v>GMM</v>
      </c>
      <c r="G1778" s="20">
        <f>IFERROR(INDEX('Kode Outlet dan Target Toko'!$C:$C,MATCH($I1778,'Kode Outlet dan Target Toko'!$E:$E,0)),0)</f>
        <v>211163</v>
      </c>
      <c r="H1778" s="20">
        <f>IFERROR(INDEX('Kode Outlet dan Target Toko'!$D:$D,MATCH($I1778,'Kode Outlet dan Target Toko'!$E:$E,0)),0)</f>
        <v>3703215</v>
      </c>
      <c r="I1778" s="42" t="s">
        <v>53</v>
      </c>
      <c r="J1778" s="56" t="s">
        <v>275</v>
      </c>
      <c r="K1778" s="40" t="s">
        <v>16</v>
      </c>
      <c r="L1778" s="26">
        <v>5800</v>
      </c>
      <c r="M1778" s="26">
        <v>128</v>
      </c>
      <c r="N1778" s="25">
        <f t="shared" si="55"/>
        <v>742400</v>
      </c>
      <c r="O1778" s="56">
        <v>160</v>
      </c>
    </row>
    <row r="1779" spans="1:15" hidden="1" x14ac:dyDescent="0.3">
      <c r="A1779" s="26">
        <v>29</v>
      </c>
      <c r="B1779" s="20" t="str">
        <f t="shared" si="54"/>
        <v>JUL</v>
      </c>
      <c r="C1779" s="21">
        <v>46220</v>
      </c>
      <c r="D1779" s="22" t="str">
        <f t="array" ref="D1779">IFERROR(INDEX('Kode Outlet dan Target Toko'!$A:$A,MATCH($I1779,'Kode Outlet dan Target Toko'!$E:$E,0)),"")</f>
        <v>GRSM 6</v>
      </c>
      <c r="E1779" s="20" t="str">
        <f>IFERROR(VLOOKUP(I1779,KET!$B:$F,4,0),"")</f>
        <v>WINDA</v>
      </c>
      <c r="F1779" s="20" t="str">
        <f>IFERROR(VLOOKUP(I1779,KET!$B:$F,5,0),"")</f>
        <v>GMM</v>
      </c>
      <c r="G1779" s="20">
        <f>IFERROR(INDEX('Kode Outlet dan Target Toko'!$C:$C,MATCH($I1779,'Kode Outlet dan Target Toko'!$E:$E,0)),0)</f>
        <v>211163</v>
      </c>
      <c r="H1779" s="20">
        <f>IFERROR(INDEX('Kode Outlet dan Target Toko'!$D:$D,MATCH($I1779,'Kode Outlet dan Target Toko'!$E:$E,0)),0)</f>
        <v>3703215</v>
      </c>
      <c r="I1779" s="42" t="s">
        <v>53</v>
      </c>
      <c r="J1779" s="56" t="s">
        <v>276</v>
      </c>
      <c r="K1779" s="40" t="s">
        <v>15</v>
      </c>
      <c r="L1779" s="26">
        <v>5800</v>
      </c>
      <c r="M1779" s="26">
        <v>22</v>
      </c>
      <c r="N1779" s="25">
        <f t="shared" si="55"/>
        <v>127600</v>
      </c>
      <c r="O1779" s="56"/>
    </row>
    <row r="1780" spans="1:15" hidden="1" x14ac:dyDescent="0.3">
      <c r="A1780" s="26">
        <v>29</v>
      </c>
      <c r="B1780" s="20" t="str">
        <f t="shared" si="54"/>
        <v>JUL</v>
      </c>
      <c r="C1780" s="21">
        <v>46220</v>
      </c>
      <c r="D1780" s="22" t="str">
        <f t="array" ref="D1780">IFERROR(INDEX('Kode Outlet dan Target Toko'!$A:$A,MATCH($I1780,'Kode Outlet dan Target Toko'!$E:$E,0)),"")</f>
        <v>GRSM 6</v>
      </c>
      <c r="E1780" s="20" t="str">
        <f>IFERROR(VLOOKUP(I1780,KET!$B:$F,4,0),"")</f>
        <v>WINDA</v>
      </c>
      <c r="F1780" s="20" t="str">
        <f>IFERROR(VLOOKUP(I1780,KET!$B:$F,5,0),"")</f>
        <v>GMM</v>
      </c>
      <c r="G1780" s="20">
        <f>IFERROR(INDEX('Kode Outlet dan Target Toko'!$C:$C,MATCH($I1780,'Kode Outlet dan Target Toko'!$E:$E,0)),0)</f>
        <v>211163</v>
      </c>
      <c r="H1780" s="20">
        <f>IFERROR(INDEX('Kode Outlet dan Target Toko'!$D:$D,MATCH($I1780,'Kode Outlet dan Target Toko'!$E:$E,0)),0)</f>
        <v>3703215</v>
      </c>
      <c r="I1780" s="42" t="s">
        <v>53</v>
      </c>
      <c r="J1780" s="56" t="s">
        <v>276</v>
      </c>
      <c r="K1780" s="40" t="s">
        <v>14</v>
      </c>
      <c r="L1780" s="26">
        <v>5800</v>
      </c>
      <c r="M1780" s="26">
        <v>76</v>
      </c>
      <c r="N1780" s="25">
        <f t="shared" si="55"/>
        <v>440800</v>
      </c>
      <c r="O1780" s="56"/>
    </row>
    <row r="1781" spans="1:15" hidden="1" x14ac:dyDescent="0.3">
      <c r="A1781" s="26">
        <v>29</v>
      </c>
      <c r="B1781" s="20" t="str">
        <f t="shared" si="54"/>
        <v>JUL</v>
      </c>
      <c r="C1781" s="21">
        <v>46220</v>
      </c>
      <c r="D1781" s="22" t="str">
        <f t="array" ref="D1781">IFERROR(INDEX('Kode Outlet dan Target Toko'!$A:$A,MATCH($I1781,'Kode Outlet dan Target Toko'!$E:$E,0)),"")</f>
        <v>GRSM 6</v>
      </c>
      <c r="E1781" s="20" t="str">
        <f>IFERROR(VLOOKUP(I1781,KET!$B:$F,4,0),"")</f>
        <v>WINDA</v>
      </c>
      <c r="F1781" s="20" t="str">
        <f>IFERROR(VLOOKUP(I1781,KET!$B:$F,5,0),"")</f>
        <v>GMM</v>
      </c>
      <c r="G1781" s="20">
        <f>IFERROR(INDEX('Kode Outlet dan Target Toko'!$C:$C,MATCH($I1781,'Kode Outlet dan Target Toko'!$E:$E,0)),0)</f>
        <v>211163</v>
      </c>
      <c r="H1781" s="20">
        <f>IFERROR(INDEX('Kode Outlet dan Target Toko'!$D:$D,MATCH($I1781,'Kode Outlet dan Target Toko'!$E:$E,0)),0)</f>
        <v>3703215</v>
      </c>
      <c r="I1781" s="42" t="s">
        <v>53</v>
      </c>
      <c r="J1781" s="56" t="s">
        <v>276</v>
      </c>
      <c r="K1781" s="40" t="s">
        <v>13</v>
      </c>
      <c r="L1781" s="26">
        <v>5800</v>
      </c>
      <c r="M1781" s="26">
        <v>0</v>
      </c>
      <c r="N1781" s="25">
        <f t="shared" si="55"/>
        <v>0</v>
      </c>
      <c r="O1781" s="56"/>
    </row>
    <row r="1782" spans="1:15" hidden="1" x14ac:dyDescent="0.3">
      <c r="A1782" s="26">
        <v>29</v>
      </c>
      <c r="B1782" s="20" t="str">
        <f t="shared" si="54"/>
        <v>JUL</v>
      </c>
      <c r="C1782" s="21">
        <v>46220</v>
      </c>
      <c r="D1782" s="22" t="str">
        <f t="array" ref="D1782">IFERROR(INDEX('Kode Outlet dan Target Toko'!$A:$A,MATCH($I1782,'Kode Outlet dan Target Toko'!$E:$E,0)),"")</f>
        <v>GRSM 6</v>
      </c>
      <c r="E1782" s="20" t="str">
        <f>IFERROR(VLOOKUP(I1782,KET!$B:$F,4,0),"")</f>
        <v>WINDA</v>
      </c>
      <c r="F1782" s="20" t="str">
        <f>IFERROR(VLOOKUP(I1782,KET!$B:$F,5,0),"")</f>
        <v>GMM</v>
      </c>
      <c r="G1782" s="20">
        <f>IFERROR(INDEX('Kode Outlet dan Target Toko'!$C:$C,MATCH($I1782,'Kode Outlet dan Target Toko'!$E:$E,0)),0)</f>
        <v>211163</v>
      </c>
      <c r="H1782" s="20">
        <f>IFERROR(INDEX('Kode Outlet dan Target Toko'!$D:$D,MATCH($I1782,'Kode Outlet dan Target Toko'!$E:$E,0)),0)</f>
        <v>3703215</v>
      </c>
      <c r="I1782" s="42" t="s">
        <v>53</v>
      </c>
      <c r="J1782" s="56" t="s">
        <v>276</v>
      </c>
      <c r="K1782" s="40" t="s">
        <v>16</v>
      </c>
      <c r="L1782" s="26">
        <v>5800</v>
      </c>
      <c r="M1782" s="26">
        <v>128</v>
      </c>
      <c r="N1782" s="25">
        <f t="shared" si="55"/>
        <v>742400</v>
      </c>
      <c r="O1782" s="56">
        <v>160</v>
      </c>
    </row>
    <row r="1783" spans="1:15" hidden="1" x14ac:dyDescent="0.3">
      <c r="A1783" s="26">
        <v>29</v>
      </c>
      <c r="B1783" s="20" t="str">
        <f t="shared" si="54"/>
        <v>JUL</v>
      </c>
      <c r="C1783" s="21">
        <v>46220</v>
      </c>
      <c r="D1783" s="22" t="str">
        <f t="array" ref="D1783">IFERROR(INDEX('Kode Outlet dan Target Toko'!$A:$A,MATCH($I1783,'Kode Outlet dan Target Toko'!$E:$E,0)),"")</f>
        <v>GRSM 6</v>
      </c>
      <c r="E1783" s="20" t="str">
        <f>IFERROR(VLOOKUP(I1783,KET!$B:$F,4,0),"")</f>
        <v>WINDA</v>
      </c>
      <c r="F1783" s="20" t="str">
        <f>IFERROR(VLOOKUP(I1783,KET!$B:$F,5,0),"")</f>
        <v>GMM</v>
      </c>
      <c r="G1783" s="20">
        <f>IFERROR(INDEX('Kode Outlet dan Target Toko'!$C:$C,MATCH($I1783,'Kode Outlet dan Target Toko'!$E:$E,0)),0)</f>
        <v>103765</v>
      </c>
      <c r="H1783" s="20">
        <f>IFERROR(INDEX('Kode Outlet dan Target Toko'!$D:$D,MATCH($I1783,'Kode Outlet dan Target Toko'!$E:$E,0)),0)</f>
        <v>4305267</v>
      </c>
      <c r="I1783" s="42" t="s">
        <v>54</v>
      </c>
      <c r="J1783" s="56" t="s">
        <v>277</v>
      </c>
      <c r="K1783" s="40" t="s">
        <v>15</v>
      </c>
      <c r="L1783" s="26">
        <v>3000</v>
      </c>
      <c r="M1783" s="26">
        <v>110</v>
      </c>
      <c r="N1783" s="25">
        <f t="shared" si="55"/>
        <v>330000</v>
      </c>
      <c r="O1783" s="56"/>
    </row>
    <row r="1784" spans="1:15" hidden="1" x14ac:dyDescent="0.3">
      <c r="A1784" s="26">
        <v>29</v>
      </c>
      <c r="B1784" s="20" t="str">
        <f t="shared" si="54"/>
        <v>JUL</v>
      </c>
      <c r="C1784" s="21">
        <v>46220</v>
      </c>
      <c r="D1784" s="22" t="str">
        <f t="array" ref="D1784">IFERROR(INDEX('Kode Outlet dan Target Toko'!$A:$A,MATCH($I1784,'Kode Outlet dan Target Toko'!$E:$E,0)),"")</f>
        <v>GRSM 6</v>
      </c>
      <c r="E1784" s="20" t="str">
        <f>IFERROR(VLOOKUP(I1784,KET!$B:$F,4,0),"")</f>
        <v>WINDA</v>
      </c>
      <c r="F1784" s="20" t="str">
        <f>IFERROR(VLOOKUP(I1784,KET!$B:$F,5,0),"")</f>
        <v>GMM</v>
      </c>
      <c r="G1784" s="20">
        <f>IFERROR(INDEX('Kode Outlet dan Target Toko'!$C:$C,MATCH($I1784,'Kode Outlet dan Target Toko'!$E:$E,0)),0)</f>
        <v>103765</v>
      </c>
      <c r="H1784" s="20">
        <f>IFERROR(INDEX('Kode Outlet dan Target Toko'!$D:$D,MATCH($I1784,'Kode Outlet dan Target Toko'!$E:$E,0)),0)</f>
        <v>4305267</v>
      </c>
      <c r="I1784" s="42" t="s">
        <v>54</v>
      </c>
      <c r="J1784" s="56" t="s">
        <v>277</v>
      </c>
      <c r="K1784" s="40" t="s">
        <v>14</v>
      </c>
      <c r="L1784" s="26">
        <v>3000</v>
      </c>
      <c r="M1784" s="26">
        <v>125</v>
      </c>
      <c r="N1784" s="25">
        <f t="shared" si="55"/>
        <v>375000</v>
      </c>
      <c r="O1784" s="56"/>
    </row>
    <row r="1785" spans="1:15" hidden="1" x14ac:dyDescent="0.3">
      <c r="A1785" s="26">
        <v>29</v>
      </c>
      <c r="B1785" s="20" t="str">
        <f t="shared" si="54"/>
        <v>JUL</v>
      </c>
      <c r="C1785" s="21">
        <v>46220</v>
      </c>
      <c r="D1785" s="22" t="str">
        <f t="array" ref="D1785">IFERROR(INDEX('Kode Outlet dan Target Toko'!$A:$A,MATCH($I1785,'Kode Outlet dan Target Toko'!$E:$E,0)),"")</f>
        <v>GRSM 6</v>
      </c>
      <c r="E1785" s="20" t="str">
        <f>IFERROR(VLOOKUP(I1785,KET!$B:$F,4,0),"")</f>
        <v>WINDA</v>
      </c>
      <c r="F1785" s="20" t="str">
        <f>IFERROR(VLOOKUP(I1785,KET!$B:$F,5,0),"")</f>
        <v>GMM</v>
      </c>
      <c r="G1785" s="20">
        <f>IFERROR(INDEX('Kode Outlet dan Target Toko'!$C:$C,MATCH($I1785,'Kode Outlet dan Target Toko'!$E:$E,0)),0)</f>
        <v>103765</v>
      </c>
      <c r="H1785" s="20">
        <f>IFERROR(INDEX('Kode Outlet dan Target Toko'!$D:$D,MATCH($I1785,'Kode Outlet dan Target Toko'!$E:$E,0)),0)</f>
        <v>4305267</v>
      </c>
      <c r="I1785" s="42" t="s">
        <v>54</v>
      </c>
      <c r="J1785" s="56" t="s">
        <v>277</v>
      </c>
      <c r="K1785" s="40" t="s">
        <v>13</v>
      </c>
      <c r="L1785" s="26">
        <v>3000</v>
      </c>
      <c r="M1785" s="26">
        <v>75</v>
      </c>
      <c r="N1785" s="25">
        <f t="shared" si="55"/>
        <v>225000</v>
      </c>
      <c r="O1785" s="56"/>
    </row>
    <row r="1786" spans="1:15" hidden="1" x14ac:dyDescent="0.3">
      <c r="A1786" s="26">
        <v>29</v>
      </c>
      <c r="B1786" s="20" t="str">
        <f t="shared" si="54"/>
        <v>JUL</v>
      </c>
      <c r="C1786" s="21">
        <v>46220</v>
      </c>
      <c r="D1786" s="22" t="str">
        <f t="array" ref="D1786">IFERROR(INDEX('Kode Outlet dan Target Toko'!$A:$A,MATCH($I1786,'Kode Outlet dan Target Toko'!$E:$E,0)),"")</f>
        <v>GRSM 6</v>
      </c>
      <c r="E1786" s="20" t="str">
        <f>IFERROR(VLOOKUP(I1786,KET!$B:$F,4,0),"")</f>
        <v>WINDA</v>
      </c>
      <c r="F1786" s="20" t="str">
        <f>IFERROR(VLOOKUP(I1786,KET!$B:$F,5,0),"")</f>
        <v>GMM</v>
      </c>
      <c r="G1786" s="20">
        <f>IFERROR(INDEX('Kode Outlet dan Target Toko'!$C:$C,MATCH($I1786,'Kode Outlet dan Target Toko'!$E:$E,0)),0)</f>
        <v>103765</v>
      </c>
      <c r="H1786" s="20">
        <f>IFERROR(INDEX('Kode Outlet dan Target Toko'!$D:$D,MATCH($I1786,'Kode Outlet dan Target Toko'!$E:$E,0)),0)</f>
        <v>4305267</v>
      </c>
      <c r="I1786" s="42" t="s">
        <v>54</v>
      </c>
      <c r="J1786" s="56" t="s">
        <v>277</v>
      </c>
      <c r="K1786" s="40" t="s">
        <v>16</v>
      </c>
      <c r="L1786" s="26">
        <v>3000</v>
      </c>
      <c r="M1786" s="26">
        <v>160</v>
      </c>
      <c r="N1786" s="25">
        <f t="shared" si="55"/>
        <v>480000</v>
      </c>
      <c r="O1786" s="56">
        <v>160</v>
      </c>
    </row>
    <row r="1787" spans="1:15" hidden="1" x14ac:dyDescent="0.3">
      <c r="A1787" s="26">
        <v>29</v>
      </c>
      <c r="B1787" s="20" t="str">
        <f t="shared" si="54"/>
        <v>JUL</v>
      </c>
      <c r="C1787" s="21">
        <v>46220</v>
      </c>
      <c r="D1787" s="22" t="str">
        <f t="array" ref="D1787">IFERROR(INDEX('Kode Outlet dan Target Toko'!$A:$A,MATCH($I1787,'Kode Outlet dan Target Toko'!$E:$E,0)),"")</f>
        <v>GRSM 6</v>
      </c>
      <c r="E1787" s="20" t="str">
        <f>IFERROR(VLOOKUP(I1787,KET!$B:$F,4,0),"")</f>
        <v>WINDA</v>
      </c>
      <c r="F1787" s="20" t="str">
        <f>IFERROR(VLOOKUP(I1787,KET!$B:$F,5,0),"")</f>
        <v>GMM</v>
      </c>
      <c r="G1787" s="20">
        <f>IFERROR(INDEX('Kode Outlet dan Target Toko'!$C:$C,MATCH($I1787,'Kode Outlet dan Target Toko'!$E:$E,0)),0)</f>
        <v>103765</v>
      </c>
      <c r="H1787" s="20">
        <f>IFERROR(INDEX('Kode Outlet dan Target Toko'!$D:$D,MATCH($I1787,'Kode Outlet dan Target Toko'!$E:$E,0)),0)</f>
        <v>4305267</v>
      </c>
      <c r="I1787" s="42" t="s">
        <v>54</v>
      </c>
      <c r="J1787" s="56" t="s">
        <v>278</v>
      </c>
      <c r="K1787" s="40" t="s">
        <v>15</v>
      </c>
      <c r="L1787" s="26">
        <v>3000</v>
      </c>
      <c r="M1787" s="26">
        <v>110</v>
      </c>
      <c r="N1787" s="25">
        <f t="shared" si="55"/>
        <v>330000</v>
      </c>
      <c r="O1787" s="56"/>
    </row>
    <row r="1788" spans="1:15" hidden="1" x14ac:dyDescent="0.3">
      <c r="A1788" s="26">
        <v>29</v>
      </c>
      <c r="B1788" s="20" t="str">
        <f t="shared" si="54"/>
        <v>JUL</v>
      </c>
      <c r="C1788" s="21">
        <v>46220</v>
      </c>
      <c r="D1788" s="22" t="str">
        <f t="array" ref="D1788">IFERROR(INDEX('Kode Outlet dan Target Toko'!$A:$A,MATCH($I1788,'Kode Outlet dan Target Toko'!$E:$E,0)),"")</f>
        <v>GRSM 6</v>
      </c>
      <c r="E1788" s="20" t="str">
        <f>IFERROR(VLOOKUP(I1788,KET!$B:$F,4,0),"")</f>
        <v>WINDA</v>
      </c>
      <c r="F1788" s="20" t="str">
        <f>IFERROR(VLOOKUP(I1788,KET!$B:$F,5,0),"")</f>
        <v>GMM</v>
      </c>
      <c r="G1788" s="20">
        <f>IFERROR(INDEX('Kode Outlet dan Target Toko'!$C:$C,MATCH($I1788,'Kode Outlet dan Target Toko'!$E:$E,0)),0)</f>
        <v>103765</v>
      </c>
      <c r="H1788" s="20">
        <f>IFERROR(INDEX('Kode Outlet dan Target Toko'!$D:$D,MATCH($I1788,'Kode Outlet dan Target Toko'!$E:$E,0)),0)</f>
        <v>4305267</v>
      </c>
      <c r="I1788" s="42" t="s">
        <v>54</v>
      </c>
      <c r="J1788" s="56" t="s">
        <v>278</v>
      </c>
      <c r="K1788" s="40" t="s">
        <v>14</v>
      </c>
      <c r="L1788" s="26">
        <v>3000</v>
      </c>
      <c r="M1788" s="26">
        <v>125</v>
      </c>
      <c r="N1788" s="25">
        <f t="shared" si="55"/>
        <v>375000</v>
      </c>
      <c r="O1788" s="56"/>
    </row>
    <row r="1789" spans="1:15" hidden="1" x14ac:dyDescent="0.3">
      <c r="A1789" s="26">
        <v>29</v>
      </c>
      <c r="B1789" s="20" t="str">
        <f t="shared" si="54"/>
        <v>JUL</v>
      </c>
      <c r="C1789" s="21">
        <v>46220</v>
      </c>
      <c r="D1789" s="22" t="str">
        <f t="array" ref="D1789">IFERROR(INDEX('Kode Outlet dan Target Toko'!$A:$A,MATCH($I1789,'Kode Outlet dan Target Toko'!$E:$E,0)),"")</f>
        <v>GRSM 6</v>
      </c>
      <c r="E1789" s="20" t="str">
        <f>IFERROR(VLOOKUP(I1789,KET!$B:$F,4,0),"")</f>
        <v>WINDA</v>
      </c>
      <c r="F1789" s="20" t="str">
        <f>IFERROR(VLOOKUP(I1789,KET!$B:$F,5,0),"")</f>
        <v>GMM</v>
      </c>
      <c r="G1789" s="20">
        <f>IFERROR(INDEX('Kode Outlet dan Target Toko'!$C:$C,MATCH($I1789,'Kode Outlet dan Target Toko'!$E:$E,0)),0)</f>
        <v>103765</v>
      </c>
      <c r="H1789" s="20">
        <f>IFERROR(INDEX('Kode Outlet dan Target Toko'!$D:$D,MATCH($I1789,'Kode Outlet dan Target Toko'!$E:$E,0)),0)</f>
        <v>4305267</v>
      </c>
      <c r="I1789" s="42" t="s">
        <v>54</v>
      </c>
      <c r="J1789" s="56" t="s">
        <v>278</v>
      </c>
      <c r="K1789" s="40" t="s">
        <v>13</v>
      </c>
      <c r="L1789" s="26">
        <v>3000</v>
      </c>
      <c r="M1789" s="26">
        <v>75</v>
      </c>
      <c r="N1789" s="25">
        <f t="shared" si="55"/>
        <v>225000</v>
      </c>
      <c r="O1789" s="56"/>
    </row>
    <row r="1790" spans="1:15" hidden="1" x14ac:dyDescent="0.3">
      <c r="A1790" s="26">
        <v>29</v>
      </c>
      <c r="B1790" s="20" t="str">
        <f t="shared" si="54"/>
        <v>JUL</v>
      </c>
      <c r="C1790" s="21">
        <v>46220</v>
      </c>
      <c r="D1790" s="22" t="str">
        <f t="array" ref="D1790">IFERROR(INDEX('Kode Outlet dan Target Toko'!$A:$A,MATCH($I1790,'Kode Outlet dan Target Toko'!$E:$E,0)),"")</f>
        <v>GRSM 6</v>
      </c>
      <c r="E1790" s="20" t="str">
        <f>IFERROR(VLOOKUP(I1790,KET!$B:$F,4,0),"")</f>
        <v>WINDA</v>
      </c>
      <c r="F1790" s="20" t="str">
        <f>IFERROR(VLOOKUP(I1790,KET!$B:$F,5,0),"")</f>
        <v>GMM</v>
      </c>
      <c r="G1790" s="20">
        <f>IFERROR(INDEX('Kode Outlet dan Target Toko'!$C:$C,MATCH($I1790,'Kode Outlet dan Target Toko'!$E:$E,0)),0)</f>
        <v>103765</v>
      </c>
      <c r="H1790" s="20">
        <f>IFERROR(INDEX('Kode Outlet dan Target Toko'!$D:$D,MATCH($I1790,'Kode Outlet dan Target Toko'!$E:$E,0)),0)</f>
        <v>4305267</v>
      </c>
      <c r="I1790" s="42" t="s">
        <v>54</v>
      </c>
      <c r="J1790" s="56" t="s">
        <v>278</v>
      </c>
      <c r="K1790" s="40" t="s">
        <v>16</v>
      </c>
      <c r="L1790" s="26">
        <v>3000</v>
      </c>
      <c r="M1790" s="26">
        <v>160</v>
      </c>
      <c r="N1790" s="25">
        <f t="shared" si="55"/>
        <v>480000</v>
      </c>
      <c r="O1790" s="56">
        <v>160</v>
      </c>
    </row>
    <row r="1791" spans="1:15" hidden="1" x14ac:dyDescent="0.3">
      <c r="A1791" s="26">
        <v>29</v>
      </c>
      <c r="B1791" s="20" t="str">
        <f t="shared" si="54"/>
        <v>JUL</v>
      </c>
      <c r="C1791" s="21">
        <v>46220</v>
      </c>
      <c r="D1791" s="22" t="str">
        <f t="array" ref="D1791">IFERROR(INDEX('Kode Outlet dan Target Toko'!$A:$A,MATCH($I1791,'Kode Outlet dan Target Toko'!$E:$E,0)),"")</f>
        <v>GRSM 6</v>
      </c>
      <c r="E1791" s="20" t="str">
        <f>IFERROR(VLOOKUP(I1791,KET!$B:$F,4,0),"")</f>
        <v>WINDA</v>
      </c>
      <c r="F1791" s="20" t="str">
        <f>IFERROR(VLOOKUP(I1791,KET!$B:$F,5,0),"")</f>
        <v>GMM</v>
      </c>
      <c r="G1791" s="20">
        <f>IFERROR(INDEX('Kode Outlet dan Target Toko'!$C:$C,MATCH($I1791,'Kode Outlet dan Target Toko'!$E:$E,0)),0)</f>
        <v>211139</v>
      </c>
      <c r="H1791" s="20">
        <f>IFERROR(INDEX('Kode Outlet dan Target Toko'!$D:$D,MATCH($I1791,'Kode Outlet dan Target Toko'!$E:$E,0)),0)</f>
        <v>3604550</v>
      </c>
      <c r="I1791" s="42" t="s">
        <v>69</v>
      </c>
      <c r="J1791" s="56" t="s">
        <v>281</v>
      </c>
      <c r="K1791" s="40" t="s">
        <v>15</v>
      </c>
      <c r="L1791" s="26">
        <v>2800</v>
      </c>
      <c r="M1791" s="26">
        <v>38</v>
      </c>
      <c r="N1791" s="25">
        <f t="shared" si="55"/>
        <v>106400</v>
      </c>
      <c r="O1791" s="56"/>
    </row>
    <row r="1792" spans="1:15" hidden="1" x14ac:dyDescent="0.3">
      <c r="A1792" s="26">
        <v>29</v>
      </c>
      <c r="B1792" s="20" t="str">
        <f t="shared" si="54"/>
        <v>JUL</v>
      </c>
      <c r="C1792" s="21">
        <v>46220</v>
      </c>
      <c r="D1792" s="22" t="str">
        <f t="array" ref="D1792">IFERROR(INDEX('Kode Outlet dan Target Toko'!$A:$A,MATCH($I1792,'Kode Outlet dan Target Toko'!$E:$E,0)),"")</f>
        <v>GRSM 6</v>
      </c>
      <c r="E1792" s="20" t="str">
        <f>IFERROR(VLOOKUP(I1792,KET!$B:$F,4,0),"")</f>
        <v>WINDA</v>
      </c>
      <c r="F1792" s="20" t="str">
        <f>IFERROR(VLOOKUP(I1792,KET!$B:$F,5,0),"")</f>
        <v>GMM</v>
      </c>
      <c r="G1792" s="20">
        <f>IFERROR(INDEX('Kode Outlet dan Target Toko'!$C:$C,MATCH($I1792,'Kode Outlet dan Target Toko'!$E:$E,0)),0)</f>
        <v>211139</v>
      </c>
      <c r="H1792" s="20">
        <f>IFERROR(INDEX('Kode Outlet dan Target Toko'!$D:$D,MATCH($I1792,'Kode Outlet dan Target Toko'!$E:$E,0)),0)</f>
        <v>3604550</v>
      </c>
      <c r="I1792" s="42" t="s">
        <v>69</v>
      </c>
      <c r="J1792" s="56" t="s">
        <v>281</v>
      </c>
      <c r="K1792" s="40" t="s">
        <v>14</v>
      </c>
      <c r="L1792" s="26">
        <v>2800</v>
      </c>
      <c r="M1792" s="26">
        <v>98</v>
      </c>
      <c r="N1792" s="25">
        <f t="shared" si="55"/>
        <v>274400</v>
      </c>
      <c r="O1792" s="56"/>
    </row>
    <row r="1793" spans="1:15" hidden="1" x14ac:dyDescent="0.3">
      <c r="A1793" s="26">
        <v>29</v>
      </c>
      <c r="B1793" s="20" t="str">
        <f t="shared" si="54"/>
        <v>JUL</v>
      </c>
      <c r="C1793" s="21">
        <v>46220</v>
      </c>
      <c r="D1793" s="22" t="str">
        <f t="array" ref="D1793">IFERROR(INDEX('Kode Outlet dan Target Toko'!$A:$A,MATCH($I1793,'Kode Outlet dan Target Toko'!$E:$E,0)),"")</f>
        <v>GRSM 6</v>
      </c>
      <c r="E1793" s="20" t="str">
        <f>IFERROR(VLOOKUP(I1793,KET!$B:$F,4,0),"")</f>
        <v>WINDA</v>
      </c>
      <c r="F1793" s="20" t="str">
        <f>IFERROR(VLOOKUP(I1793,KET!$B:$F,5,0),"")</f>
        <v>GMM</v>
      </c>
      <c r="G1793" s="20">
        <f>IFERROR(INDEX('Kode Outlet dan Target Toko'!$C:$C,MATCH($I1793,'Kode Outlet dan Target Toko'!$E:$E,0)),0)</f>
        <v>211139</v>
      </c>
      <c r="H1793" s="20">
        <f>IFERROR(INDEX('Kode Outlet dan Target Toko'!$D:$D,MATCH($I1793,'Kode Outlet dan Target Toko'!$E:$E,0)),0)</f>
        <v>3604550</v>
      </c>
      <c r="I1793" s="42" t="s">
        <v>69</v>
      </c>
      <c r="J1793" s="56" t="s">
        <v>281</v>
      </c>
      <c r="K1793" s="40" t="s">
        <v>13</v>
      </c>
      <c r="L1793" s="26">
        <v>2800</v>
      </c>
      <c r="M1793" s="26">
        <v>23</v>
      </c>
      <c r="N1793" s="25">
        <f t="shared" si="55"/>
        <v>64400</v>
      </c>
      <c r="O1793" s="56"/>
    </row>
    <row r="1794" spans="1:15" hidden="1" x14ac:dyDescent="0.3">
      <c r="A1794" s="26">
        <v>29</v>
      </c>
      <c r="B1794" s="20" t="str">
        <f t="shared" si="54"/>
        <v>JUL</v>
      </c>
      <c r="C1794" s="21">
        <v>46220</v>
      </c>
      <c r="D1794" s="22" t="str">
        <f t="array" ref="D1794">IFERROR(INDEX('Kode Outlet dan Target Toko'!$A:$A,MATCH($I1794,'Kode Outlet dan Target Toko'!$E:$E,0)),"")</f>
        <v>GRSM 6</v>
      </c>
      <c r="E1794" s="20" t="str">
        <f>IFERROR(VLOOKUP(I1794,KET!$B:$F,4,0),"")</f>
        <v>WINDA</v>
      </c>
      <c r="F1794" s="20" t="str">
        <f>IFERROR(VLOOKUP(I1794,KET!$B:$F,5,0),"")</f>
        <v>GMM</v>
      </c>
      <c r="G1794" s="20">
        <f>IFERROR(INDEX('Kode Outlet dan Target Toko'!$C:$C,MATCH($I1794,'Kode Outlet dan Target Toko'!$E:$E,0)),0)</f>
        <v>211139</v>
      </c>
      <c r="H1794" s="20">
        <f>IFERROR(INDEX('Kode Outlet dan Target Toko'!$D:$D,MATCH($I1794,'Kode Outlet dan Target Toko'!$E:$E,0)),0)</f>
        <v>3604550</v>
      </c>
      <c r="I1794" s="42" t="s">
        <v>69</v>
      </c>
      <c r="J1794" s="56" t="s">
        <v>281</v>
      </c>
      <c r="K1794" s="40" t="s">
        <v>16</v>
      </c>
      <c r="L1794" s="26">
        <v>2800</v>
      </c>
      <c r="M1794" s="26">
        <v>199</v>
      </c>
      <c r="N1794" s="25">
        <f t="shared" si="55"/>
        <v>557200</v>
      </c>
      <c r="O1794" s="56">
        <v>160</v>
      </c>
    </row>
    <row r="1795" spans="1:15" hidden="1" x14ac:dyDescent="0.3">
      <c r="A1795" s="26">
        <v>29</v>
      </c>
      <c r="B1795" s="20" t="str">
        <f t="shared" si="54"/>
        <v>JUL</v>
      </c>
      <c r="C1795" s="21">
        <v>46220</v>
      </c>
      <c r="D1795" s="22" t="str">
        <f t="array" ref="D1795">IFERROR(INDEX('Kode Outlet dan Target Toko'!$A:$A,MATCH($I1795,'Kode Outlet dan Target Toko'!$E:$E,0)),"")</f>
        <v>GRSM 6</v>
      </c>
      <c r="E1795" s="20" t="str">
        <f>IFERROR(VLOOKUP(I1795,KET!$B:$F,4,0),"")</f>
        <v>WINDA</v>
      </c>
      <c r="F1795" s="20" t="str">
        <f>IFERROR(VLOOKUP(I1795,KET!$B:$F,5,0),"")</f>
        <v>GMM</v>
      </c>
      <c r="G1795" s="20">
        <f>IFERROR(INDEX('Kode Outlet dan Target Toko'!$C:$C,MATCH($I1795,'Kode Outlet dan Target Toko'!$E:$E,0)),0)</f>
        <v>211139</v>
      </c>
      <c r="H1795" s="20">
        <f>IFERROR(INDEX('Kode Outlet dan Target Toko'!$D:$D,MATCH($I1795,'Kode Outlet dan Target Toko'!$E:$E,0)),0)</f>
        <v>3604550</v>
      </c>
      <c r="I1795" s="42" t="s">
        <v>69</v>
      </c>
      <c r="J1795" s="56" t="s">
        <v>282</v>
      </c>
      <c r="K1795" s="40" t="s">
        <v>15</v>
      </c>
      <c r="L1795" s="26">
        <v>2800</v>
      </c>
      <c r="M1795" s="26">
        <v>38</v>
      </c>
      <c r="N1795" s="25">
        <f t="shared" si="55"/>
        <v>106400</v>
      </c>
      <c r="O1795" s="56"/>
    </row>
    <row r="1796" spans="1:15" hidden="1" x14ac:dyDescent="0.3">
      <c r="A1796" s="26">
        <v>29</v>
      </c>
      <c r="B1796" s="20" t="str">
        <f t="shared" si="54"/>
        <v>JUL</v>
      </c>
      <c r="C1796" s="21">
        <v>46220</v>
      </c>
      <c r="D1796" s="22" t="str">
        <f t="array" ref="D1796">IFERROR(INDEX('Kode Outlet dan Target Toko'!$A:$A,MATCH($I1796,'Kode Outlet dan Target Toko'!$E:$E,0)),"")</f>
        <v>GRSM 6</v>
      </c>
      <c r="E1796" s="20" t="str">
        <f>IFERROR(VLOOKUP(I1796,KET!$B:$F,4,0),"")</f>
        <v>WINDA</v>
      </c>
      <c r="F1796" s="20" t="str">
        <f>IFERROR(VLOOKUP(I1796,KET!$B:$F,5,0),"")</f>
        <v>GMM</v>
      </c>
      <c r="G1796" s="20">
        <f>IFERROR(INDEX('Kode Outlet dan Target Toko'!$C:$C,MATCH($I1796,'Kode Outlet dan Target Toko'!$E:$E,0)),0)</f>
        <v>211139</v>
      </c>
      <c r="H1796" s="20">
        <f>IFERROR(INDEX('Kode Outlet dan Target Toko'!$D:$D,MATCH($I1796,'Kode Outlet dan Target Toko'!$E:$E,0)),0)</f>
        <v>3604550</v>
      </c>
      <c r="I1796" s="42" t="s">
        <v>69</v>
      </c>
      <c r="J1796" s="56" t="s">
        <v>282</v>
      </c>
      <c r="K1796" s="40" t="s">
        <v>14</v>
      </c>
      <c r="L1796" s="26">
        <v>2800</v>
      </c>
      <c r="M1796" s="26">
        <v>98</v>
      </c>
      <c r="N1796" s="25">
        <f t="shared" si="55"/>
        <v>274400</v>
      </c>
      <c r="O1796" s="56"/>
    </row>
    <row r="1797" spans="1:15" hidden="1" x14ac:dyDescent="0.3">
      <c r="A1797" s="26">
        <v>29</v>
      </c>
      <c r="B1797" s="20" t="str">
        <f t="shared" si="54"/>
        <v>JUL</v>
      </c>
      <c r="C1797" s="21">
        <v>46220</v>
      </c>
      <c r="D1797" s="22" t="str">
        <f t="array" ref="D1797">IFERROR(INDEX('Kode Outlet dan Target Toko'!$A:$A,MATCH($I1797,'Kode Outlet dan Target Toko'!$E:$E,0)),"")</f>
        <v>GRSM 6</v>
      </c>
      <c r="E1797" s="20" t="str">
        <f>IFERROR(VLOOKUP(I1797,KET!$B:$F,4,0),"")</f>
        <v>WINDA</v>
      </c>
      <c r="F1797" s="20" t="str">
        <f>IFERROR(VLOOKUP(I1797,KET!$B:$F,5,0),"")</f>
        <v>GMM</v>
      </c>
      <c r="G1797" s="20">
        <f>IFERROR(INDEX('Kode Outlet dan Target Toko'!$C:$C,MATCH($I1797,'Kode Outlet dan Target Toko'!$E:$E,0)),0)</f>
        <v>211139</v>
      </c>
      <c r="H1797" s="20">
        <f>IFERROR(INDEX('Kode Outlet dan Target Toko'!$D:$D,MATCH($I1797,'Kode Outlet dan Target Toko'!$E:$E,0)),0)</f>
        <v>3604550</v>
      </c>
      <c r="I1797" s="42" t="s">
        <v>69</v>
      </c>
      <c r="J1797" s="56" t="s">
        <v>282</v>
      </c>
      <c r="K1797" s="40" t="s">
        <v>13</v>
      </c>
      <c r="L1797" s="26">
        <v>2800</v>
      </c>
      <c r="M1797" s="26">
        <v>23</v>
      </c>
      <c r="N1797" s="25">
        <f t="shared" si="55"/>
        <v>64400</v>
      </c>
      <c r="O1797" s="56"/>
    </row>
    <row r="1798" spans="1:15" hidden="1" x14ac:dyDescent="0.3">
      <c r="A1798" s="26">
        <v>29</v>
      </c>
      <c r="B1798" s="20" t="str">
        <f t="shared" si="54"/>
        <v>JUL</v>
      </c>
      <c r="C1798" s="21">
        <v>46220</v>
      </c>
      <c r="D1798" s="22" t="str">
        <f t="array" ref="D1798">IFERROR(INDEX('Kode Outlet dan Target Toko'!$A:$A,MATCH($I1798,'Kode Outlet dan Target Toko'!$E:$E,0)),"")</f>
        <v>GRSM 6</v>
      </c>
      <c r="E1798" s="20" t="str">
        <f>IFERROR(VLOOKUP(I1798,KET!$B:$F,4,0),"")</f>
        <v>WINDA</v>
      </c>
      <c r="F1798" s="20" t="str">
        <f>IFERROR(VLOOKUP(I1798,KET!$B:$F,5,0),"")</f>
        <v>GMM</v>
      </c>
      <c r="G1798" s="20">
        <f>IFERROR(INDEX('Kode Outlet dan Target Toko'!$C:$C,MATCH($I1798,'Kode Outlet dan Target Toko'!$E:$E,0)),0)</f>
        <v>211139</v>
      </c>
      <c r="H1798" s="20">
        <f>IFERROR(INDEX('Kode Outlet dan Target Toko'!$D:$D,MATCH($I1798,'Kode Outlet dan Target Toko'!$E:$E,0)),0)</f>
        <v>3604550</v>
      </c>
      <c r="I1798" s="42" t="s">
        <v>69</v>
      </c>
      <c r="J1798" s="56" t="s">
        <v>282</v>
      </c>
      <c r="K1798" s="40" t="s">
        <v>16</v>
      </c>
      <c r="L1798" s="26">
        <v>2800</v>
      </c>
      <c r="M1798" s="26">
        <v>199</v>
      </c>
      <c r="N1798" s="25">
        <f t="shared" si="55"/>
        <v>557200</v>
      </c>
      <c r="O1798" s="56">
        <v>160</v>
      </c>
    </row>
    <row r="1799" spans="1:15" hidden="1" x14ac:dyDescent="0.3">
      <c r="A1799" s="26">
        <v>29</v>
      </c>
      <c r="B1799" s="20" t="str">
        <f t="shared" ref="B1799:B1862" si="56">IF(C1799="","",UPPER(TEXT(C1799, "MMM")))</f>
        <v>JUL</v>
      </c>
      <c r="C1799" s="21">
        <v>46220</v>
      </c>
      <c r="D1799" s="22" t="str">
        <f t="array" ref="D1799">IFERROR(INDEX('Kode Outlet dan Target Toko'!$A:$A,MATCH($I1799,'Kode Outlet dan Target Toko'!$E:$E,0)),"")</f>
        <v>GRSM 6</v>
      </c>
      <c r="E1799" s="20" t="str">
        <f>IFERROR(VLOOKUP(I1799,KET!$B:$F,4,0),"")</f>
        <v>WINDA</v>
      </c>
      <c r="F1799" s="20" t="str">
        <f>IFERROR(VLOOKUP(I1799,KET!$B:$F,5,0),"")</f>
        <v>GMM</v>
      </c>
      <c r="G1799" s="20">
        <f>IFERROR(INDEX('Kode Outlet dan Target Toko'!$C:$C,MATCH($I1799,'Kode Outlet dan Target Toko'!$E:$E,0)),0)</f>
        <v>211033</v>
      </c>
      <c r="H1799" s="20">
        <f>IFERROR(INDEX('Kode Outlet dan Target Toko'!$D:$D,MATCH($I1799,'Kode Outlet dan Target Toko'!$E:$E,0)),0)</f>
        <v>6467246</v>
      </c>
      <c r="I1799" s="42" t="s">
        <v>50</v>
      </c>
      <c r="J1799" s="56" t="s">
        <v>271</v>
      </c>
      <c r="K1799" s="40" t="s">
        <v>15</v>
      </c>
      <c r="L1799" s="26">
        <v>2900</v>
      </c>
      <c r="M1799" s="26">
        <v>131</v>
      </c>
      <c r="N1799" s="25">
        <f t="shared" ref="N1799:N1862" si="57">IFERROR(M1799*L1799,"")</f>
        <v>379900</v>
      </c>
      <c r="O1799" s="56"/>
    </row>
    <row r="1800" spans="1:15" hidden="1" x14ac:dyDescent="0.3">
      <c r="A1800" s="26">
        <v>29</v>
      </c>
      <c r="B1800" s="20" t="str">
        <f t="shared" si="56"/>
        <v>JUL</v>
      </c>
      <c r="C1800" s="21">
        <v>46220</v>
      </c>
      <c r="D1800" s="22" t="str">
        <f t="array" ref="D1800">IFERROR(INDEX('Kode Outlet dan Target Toko'!$A:$A,MATCH($I1800,'Kode Outlet dan Target Toko'!$E:$E,0)),"")</f>
        <v>GRSM 6</v>
      </c>
      <c r="E1800" s="20" t="str">
        <f>IFERROR(VLOOKUP(I1800,KET!$B:$F,4,0),"")</f>
        <v>WINDA</v>
      </c>
      <c r="F1800" s="20" t="str">
        <f>IFERROR(VLOOKUP(I1800,KET!$B:$F,5,0),"")</f>
        <v>GMM</v>
      </c>
      <c r="G1800" s="20">
        <f>IFERROR(INDEX('Kode Outlet dan Target Toko'!$C:$C,MATCH($I1800,'Kode Outlet dan Target Toko'!$E:$E,0)),0)</f>
        <v>211033</v>
      </c>
      <c r="H1800" s="20">
        <f>IFERROR(INDEX('Kode Outlet dan Target Toko'!$D:$D,MATCH($I1800,'Kode Outlet dan Target Toko'!$E:$E,0)),0)</f>
        <v>6467246</v>
      </c>
      <c r="I1800" s="42" t="s">
        <v>50</v>
      </c>
      <c r="J1800" s="56" t="s">
        <v>271</v>
      </c>
      <c r="K1800" s="40" t="s">
        <v>14</v>
      </c>
      <c r="L1800" s="26">
        <v>2900</v>
      </c>
      <c r="M1800" s="26">
        <v>119</v>
      </c>
      <c r="N1800" s="25">
        <f t="shared" si="57"/>
        <v>345100</v>
      </c>
      <c r="O1800" s="56"/>
    </row>
    <row r="1801" spans="1:15" hidden="1" x14ac:dyDescent="0.3">
      <c r="A1801" s="26">
        <v>29</v>
      </c>
      <c r="B1801" s="20" t="str">
        <f t="shared" si="56"/>
        <v>JUL</v>
      </c>
      <c r="C1801" s="21">
        <v>46220</v>
      </c>
      <c r="D1801" s="22" t="str">
        <f t="array" ref="D1801">IFERROR(INDEX('Kode Outlet dan Target Toko'!$A:$A,MATCH($I1801,'Kode Outlet dan Target Toko'!$E:$E,0)),"")</f>
        <v>GRSM 6</v>
      </c>
      <c r="E1801" s="20" t="str">
        <f>IFERROR(VLOOKUP(I1801,KET!$B:$F,4,0),"")</f>
        <v>WINDA</v>
      </c>
      <c r="F1801" s="20" t="str">
        <f>IFERROR(VLOOKUP(I1801,KET!$B:$F,5,0),"")</f>
        <v>GMM</v>
      </c>
      <c r="G1801" s="20">
        <f>IFERROR(INDEX('Kode Outlet dan Target Toko'!$C:$C,MATCH($I1801,'Kode Outlet dan Target Toko'!$E:$E,0)),0)</f>
        <v>211033</v>
      </c>
      <c r="H1801" s="20">
        <f>IFERROR(INDEX('Kode Outlet dan Target Toko'!$D:$D,MATCH($I1801,'Kode Outlet dan Target Toko'!$E:$E,0)),0)</f>
        <v>6467246</v>
      </c>
      <c r="I1801" s="42" t="s">
        <v>50</v>
      </c>
      <c r="J1801" s="56" t="s">
        <v>271</v>
      </c>
      <c r="K1801" s="40" t="s">
        <v>13</v>
      </c>
      <c r="L1801" s="26">
        <v>2900</v>
      </c>
      <c r="M1801" s="26">
        <v>96</v>
      </c>
      <c r="N1801" s="25">
        <f t="shared" si="57"/>
        <v>278400</v>
      </c>
      <c r="O1801" s="56"/>
    </row>
    <row r="1802" spans="1:15" hidden="1" x14ac:dyDescent="0.3">
      <c r="A1802" s="26">
        <v>29</v>
      </c>
      <c r="B1802" s="20" t="str">
        <f t="shared" si="56"/>
        <v>JUL</v>
      </c>
      <c r="C1802" s="21">
        <v>46220</v>
      </c>
      <c r="D1802" s="22" t="str">
        <f t="array" ref="D1802">IFERROR(INDEX('Kode Outlet dan Target Toko'!$A:$A,MATCH($I1802,'Kode Outlet dan Target Toko'!$E:$E,0)),"")</f>
        <v>GRSM 6</v>
      </c>
      <c r="E1802" s="20" t="str">
        <f>IFERROR(VLOOKUP(I1802,KET!$B:$F,4,0),"")</f>
        <v>WINDA</v>
      </c>
      <c r="F1802" s="20" t="str">
        <f>IFERROR(VLOOKUP(I1802,KET!$B:$F,5,0),"")</f>
        <v>GMM</v>
      </c>
      <c r="G1802" s="20">
        <f>IFERROR(INDEX('Kode Outlet dan Target Toko'!$C:$C,MATCH($I1802,'Kode Outlet dan Target Toko'!$E:$E,0)),0)</f>
        <v>211033</v>
      </c>
      <c r="H1802" s="20">
        <f>IFERROR(INDEX('Kode Outlet dan Target Toko'!$D:$D,MATCH($I1802,'Kode Outlet dan Target Toko'!$E:$E,0)),0)</f>
        <v>6467246</v>
      </c>
      <c r="I1802" s="42" t="s">
        <v>50</v>
      </c>
      <c r="J1802" s="56" t="s">
        <v>271</v>
      </c>
      <c r="K1802" s="40" t="s">
        <v>16</v>
      </c>
      <c r="L1802" s="26">
        <v>2900</v>
      </c>
      <c r="M1802" s="26">
        <v>213</v>
      </c>
      <c r="N1802" s="25">
        <f t="shared" si="57"/>
        <v>617700</v>
      </c>
      <c r="O1802" s="56">
        <v>140</v>
      </c>
    </row>
    <row r="1803" spans="1:15" hidden="1" x14ac:dyDescent="0.3">
      <c r="A1803" s="26">
        <v>29</v>
      </c>
      <c r="B1803" s="20" t="str">
        <f t="shared" si="56"/>
        <v>JUL</v>
      </c>
      <c r="C1803" s="21">
        <v>46220</v>
      </c>
      <c r="D1803" s="22" t="str">
        <f t="array" ref="D1803">IFERROR(INDEX('Kode Outlet dan Target Toko'!$A:$A,MATCH($I1803,'Kode Outlet dan Target Toko'!$E:$E,0)),"")</f>
        <v>GRSM 6</v>
      </c>
      <c r="E1803" s="20" t="str">
        <f>IFERROR(VLOOKUP(I1803,KET!$B:$F,4,0),"")</f>
        <v>WINDA</v>
      </c>
      <c r="F1803" s="20" t="str">
        <f>IFERROR(VLOOKUP(I1803,KET!$B:$F,5,0),"")</f>
        <v>GMM</v>
      </c>
      <c r="G1803" s="20">
        <f>IFERROR(INDEX('Kode Outlet dan Target Toko'!$C:$C,MATCH($I1803,'Kode Outlet dan Target Toko'!$E:$E,0)),0)</f>
        <v>211033</v>
      </c>
      <c r="H1803" s="20">
        <f>IFERROR(INDEX('Kode Outlet dan Target Toko'!$D:$D,MATCH($I1803,'Kode Outlet dan Target Toko'!$E:$E,0)),0)</f>
        <v>6467246</v>
      </c>
      <c r="I1803" s="42" t="s">
        <v>50</v>
      </c>
      <c r="J1803" s="56" t="s">
        <v>272</v>
      </c>
      <c r="K1803" s="40" t="s">
        <v>15</v>
      </c>
      <c r="L1803" s="26">
        <v>2900</v>
      </c>
      <c r="M1803" s="26">
        <v>131</v>
      </c>
      <c r="N1803" s="25">
        <f t="shared" si="57"/>
        <v>379900</v>
      </c>
      <c r="O1803" s="56"/>
    </row>
    <row r="1804" spans="1:15" hidden="1" x14ac:dyDescent="0.3">
      <c r="A1804" s="26">
        <v>29</v>
      </c>
      <c r="B1804" s="20" t="str">
        <f t="shared" si="56"/>
        <v>JUL</v>
      </c>
      <c r="C1804" s="21">
        <v>46220</v>
      </c>
      <c r="D1804" s="22" t="str">
        <f t="array" ref="D1804">IFERROR(INDEX('Kode Outlet dan Target Toko'!$A:$A,MATCH($I1804,'Kode Outlet dan Target Toko'!$E:$E,0)),"")</f>
        <v>GRSM 6</v>
      </c>
      <c r="E1804" s="20" t="str">
        <f>IFERROR(VLOOKUP(I1804,KET!$B:$F,4,0),"")</f>
        <v>WINDA</v>
      </c>
      <c r="F1804" s="20" t="str">
        <f>IFERROR(VLOOKUP(I1804,KET!$B:$F,5,0),"")</f>
        <v>GMM</v>
      </c>
      <c r="G1804" s="20">
        <f>IFERROR(INDEX('Kode Outlet dan Target Toko'!$C:$C,MATCH($I1804,'Kode Outlet dan Target Toko'!$E:$E,0)),0)</f>
        <v>211033</v>
      </c>
      <c r="H1804" s="20">
        <f>IFERROR(INDEX('Kode Outlet dan Target Toko'!$D:$D,MATCH($I1804,'Kode Outlet dan Target Toko'!$E:$E,0)),0)</f>
        <v>6467246</v>
      </c>
      <c r="I1804" s="42" t="s">
        <v>50</v>
      </c>
      <c r="J1804" s="56" t="s">
        <v>272</v>
      </c>
      <c r="K1804" s="40" t="s">
        <v>14</v>
      </c>
      <c r="L1804" s="26">
        <v>2900</v>
      </c>
      <c r="M1804" s="26">
        <v>119</v>
      </c>
      <c r="N1804" s="25">
        <f t="shared" si="57"/>
        <v>345100</v>
      </c>
      <c r="O1804" s="56"/>
    </row>
    <row r="1805" spans="1:15" hidden="1" x14ac:dyDescent="0.3">
      <c r="A1805" s="26">
        <v>29</v>
      </c>
      <c r="B1805" s="20" t="str">
        <f t="shared" si="56"/>
        <v>JUL</v>
      </c>
      <c r="C1805" s="21">
        <v>46220</v>
      </c>
      <c r="D1805" s="22" t="str">
        <f t="array" ref="D1805">IFERROR(INDEX('Kode Outlet dan Target Toko'!$A:$A,MATCH($I1805,'Kode Outlet dan Target Toko'!$E:$E,0)),"")</f>
        <v>GRSM 6</v>
      </c>
      <c r="E1805" s="20" t="str">
        <f>IFERROR(VLOOKUP(I1805,KET!$B:$F,4,0),"")</f>
        <v>WINDA</v>
      </c>
      <c r="F1805" s="20" t="str">
        <f>IFERROR(VLOOKUP(I1805,KET!$B:$F,5,0),"")</f>
        <v>GMM</v>
      </c>
      <c r="G1805" s="20">
        <f>IFERROR(INDEX('Kode Outlet dan Target Toko'!$C:$C,MATCH($I1805,'Kode Outlet dan Target Toko'!$E:$E,0)),0)</f>
        <v>211033</v>
      </c>
      <c r="H1805" s="20">
        <f>IFERROR(INDEX('Kode Outlet dan Target Toko'!$D:$D,MATCH($I1805,'Kode Outlet dan Target Toko'!$E:$E,0)),0)</f>
        <v>6467246</v>
      </c>
      <c r="I1805" s="42" t="s">
        <v>50</v>
      </c>
      <c r="J1805" s="56" t="s">
        <v>272</v>
      </c>
      <c r="K1805" s="40" t="s">
        <v>13</v>
      </c>
      <c r="L1805" s="26">
        <v>2900</v>
      </c>
      <c r="M1805" s="26">
        <v>96</v>
      </c>
      <c r="N1805" s="25">
        <f t="shared" si="57"/>
        <v>278400</v>
      </c>
      <c r="O1805" s="56"/>
    </row>
    <row r="1806" spans="1:15" hidden="1" x14ac:dyDescent="0.3">
      <c r="A1806" s="26">
        <v>29</v>
      </c>
      <c r="B1806" s="20" t="str">
        <f t="shared" si="56"/>
        <v>JUL</v>
      </c>
      <c r="C1806" s="21">
        <v>46220</v>
      </c>
      <c r="D1806" s="22" t="str">
        <f t="array" ref="D1806">IFERROR(INDEX('Kode Outlet dan Target Toko'!$A:$A,MATCH($I1806,'Kode Outlet dan Target Toko'!$E:$E,0)),"")</f>
        <v>GRSM 6</v>
      </c>
      <c r="E1806" s="20" t="str">
        <f>IFERROR(VLOOKUP(I1806,KET!$B:$F,4,0),"")</f>
        <v>WINDA</v>
      </c>
      <c r="F1806" s="20" t="str">
        <f>IFERROR(VLOOKUP(I1806,KET!$B:$F,5,0),"")</f>
        <v>GMM</v>
      </c>
      <c r="G1806" s="20">
        <f>IFERROR(INDEX('Kode Outlet dan Target Toko'!$C:$C,MATCH($I1806,'Kode Outlet dan Target Toko'!$E:$E,0)),0)</f>
        <v>211033</v>
      </c>
      <c r="H1806" s="20">
        <f>IFERROR(INDEX('Kode Outlet dan Target Toko'!$D:$D,MATCH($I1806,'Kode Outlet dan Target Toko'!$E:$E,0)),0)</f>
        <v>6467246</v>
      </c>
      <c r="I1806" s="42" t="s">
        <v>50</v>
      </c>
      <c r="J1806" s="56" t="s">
        <v>272</v>
      </c>
      <c r="K1806" s="40" t="s">
        <v>16</v>
      </c>
      <c r="L1806" s="26">
        <v>2900</v>
      </c>
      <c r="M1806" s="26">
        <v>213</v>
      </c>
      <c r="N1806" s="25">
        <f t="shared" si="57"/>
        <v>617700</v>
      </c>
      <c r="O1806" s="56">
        <v>140</v>
      </c>
    </row>
    <row r="1807" spans="1:15" hidden="1" x14ac:dyDescent="0.3">
      <c r="A1807" s="26">
        <v>29</v>
      </c>
      <c r="B1807" s="20" t="str">
        <f t="shared" si="56"/>
        <v>JUL</v>
      </c>
      <c r="C1807" s="21">
        <v>46221</v>
      </c>
      <c r="D1807" s="22" t="str">
        <f t="array" ref="D1807">IFERROR(INDEX('Kode Outlet dan Target Toko'!$A:$A,MATCH($I1807,'Kode Outlet dan Target Toko'!$E:$E,0)),"")</f>
        <v>GRSM 6</v>
      </c>
      <c r="E1807" s="20" t="str">
        <f>IFERROR(VLOOKUP(I1807,KET!$B:$F,4,0),"")</f>
        <v>WINDA</v>
      </c>
      <c r="F1807" s="20" t="str">
        <f>IFERROR(VLOOKUP(I1807,KET!$B:$F,5,0),"")</f>
        <v>GMM</v>
      </c>
      <c r="G1807" s="20">
        <f>IFERROR(INDEX('Kode Outlet dan Target Toko'!$C:$C,MATCH($I1807,'Kode Outlet dan Target Toko'!$E:$E,0)),0)</f>
        <v>103765</v>
      </c>
      <c r="H1807" s="20">
        <f>IFERROR(INDEX('Kode Outlet dan Target Toko'!$D:$D,MATCH($I1807,'Kode Outlet dan Target Toko'!$E:$E,0)),0)</f>
        <v>4307038</v>
      </c>
      <c r="I1807" s="42" t="s">
        <v>48</v>
      </c>
      <c r="J1807" s="56" t="s">
        <v>269</v>
      </c>
      <c r="K1807" s="40" t="s">
        <v>15</v>
      </c>
      <c r="L1807" s="26">
        <v>3000</v>
      </c>
      <c r="M1807" s="26">
        <v>90</v>
      </c>
      <c r="N1807" s="25">
        <f t="shared" si="57"/>
        <v>270000</v>
      </c>
      <c r="O1807" s="56"/>
    </row>
    <row r="1808" spans="1:15" hidden="1" x14ac:dyDescent="0.3">
      <c r="A1808" s="26">
        <v>29</v>
      </c>
      <c r="B1808" s="20" t="str">
        <f t="shared" si="56"/>
        <v>JUL</v>
      </c>
      <c r="C1808" s="21">
        <v>46221</v>
      </c>
      <c r="D1808" s="22" t="str">
        <f t="array" ref="D1808">IFERROR(INDEX('Kode Outlet dan Target Toko'!$A:$A,MATCH($I1808,'Kode Outlet dan Target Toko'!$E:$E,0)),"")</f>
        <v>GRSM 6</v>
      </c>
      <c r="E1808" s="20" t="str">
        <f>IFERROR(VLOOKUP(I1808,KET!$B:$F,4,0),"")</f>
        <v>WINDA</v>
      </c>
      <c r="F1808" s="20" t="str">
        <f>IFERROR(VLOOKUP(I1808,KET!$B:$F,5,0),"")</f>
        <v>GMM</v>
      </c>
      <c r="G1808" s="20">
        <f>IFERROR(INDEX('Kode Outlet dan Target Toko'!$C:$C,MATCH($I1808,'Kode Outlet dan Target Toko'!$E:$E,0)),0)</f>
        <v>103765</v>
      </c>
      <c r="H1808" s="20">
        <f>IFERROR(INDEX('Kode Outlet dan Target Toko'!$D:$D,MATCH($I1808,'Kode Outlet dan Target Toko'!$E:$E,0)),0)</f>
        <v>4307038</v>
      </c>
      <c r="I1808" s="42" t="s">
        <v>48</v>
      </c>
      <c r="J1808" s="56" t="s">
        <v>269</v>
      </c>
      <c r="K1808" s="40" t="s">
        <v>14</v>
      </c>
      <c r="L1808" s="26">
        <v>3000</v>
      </c>
      <c r="M1808" s="26">
        <v>120</v>
      </c>
      <c r="N1808" s="25">
        <f t="shared" si="57"/>
        <v>360000</v>
      </c>
      <c r="O1808" s="56"/>
    </row>
    <row r="1809" spans="1:15" hidden="1" x14ac:dyDescent="0.3">
      <c r="A1809" s="26">
        <v>29</v>
      </c>
      <c r="B1809" s="20" t="str">
        <f t="shared" si="56"/>
        <v>JUL</v>
      </c>
      <c r="C1809" s="21">
        <v>46221</v>
      </c>
      <c r="D1809" s="22" t="str">
        <f t="array" ref="D1809">IFERROR(INDEX('Kode Outlet dan Target Toko'!$A:$A,MATCH($I1809,'Kode Outlet dan Target Toko'!$E:$E,0)),"")</f>
        <v>GRSM 6</v>
      </c>
      <c r="E1809" s="20" t="str">
        <f>IFERROR(VLOOKUP(I1809,KET!$B:$F,4,0),"")</f>
        <v>WINDA</v>
      </c>
      <c r="F1809" s="20" t="str">
        <f>IFERROR(VLOOKUP(I1809,KET!$B:$F,5,0),"")</f>
        <v>GMM</v>
      </c>
      <c r="G1809" s="20">
        <f>IFERROR(INDEX('Kode Outlet dan Target Toko'!$C:$C,MATCH($I1809,'Kode Outlet dan Target Toko'!$E:$E,0)),0)</f>
        <v>103765</v>
      </c>
      <c r="H1809" s="20">
        <f>IFERROR(INDEX('Kode Outlet dan Target Toko'!$D:$D,MATCH($I1809,'Kode Outlet dan Target Toko'!$E:$E,0)),0)</f>
        <v>4307038</v>
      </c>
      <c r="I1809" s="42" t="s">
        <v>48</v>
      </c>
      <c r="J1809" s="56" t="s">
        <v>269</v>
      </c>
      <c r="K1809" s="40" t="s">
        <v>13</v>
      </c>
      <c r="L1809" s="26">
        <v>3000</v>
      </c>
      <c r="M1809" s="26">
        <v>54</v>
      </c>
      <c r="N1809" s="25">
        <f t="shared" si="57"/>
        <v>162000</v>
      </c>
      <c r="O1809" s="56"/>
    </row>
    <row r="1810" spans="1:15" hidden="1" x14ac:dyDescent="0.3">
      <c r="A1810" s="26">
        <v>29</v>
      </c>
      <c r="B1810" s="20" t="str">
        <f t="shared" si="56"/>
        <v>JUL</v>
      </c>
      <c r="C1810" s="21">
        <v>46221</v>
      </c>
      <c r="D1810" s="22" t="str">
        <f t="array" ref="D1810">IFERROR(INDEX('Kode Outlet dan Target Toko'!$A:$A,MATCH($I1810,'Kode Outlet dan Target Toko'!$E:$E,0)),"")</f>
        <v>GRSM 6</v>
      </c>
      <c r="E1810" s="20" t="str">
        <f>IFERROR(VLOOKUP(I1810,KET!$B:$F,4,0),"")</f>
        <v>WINDA</v>
      </c>
      <c r="F1810" s="20" t="str">
        <f>IFERROR(VLOOKUP(I1810,KET!$B:$F,5,0),"")</f>
        <v>GMM</v>
      </c>
      <c r="G1810" s="20">
        <f>IFERROR(INDEX('Kode Outlet dan Target Toko'!$C:$C,MATCH($I1810,'Kode Outlet dan Target Toko'!$E:$E,0)),0)</f>
        <v>103765</v>
      </c>
      <c r="H1810" s="20">
        <f>IFERROR(INDEX('Kode Outlet dan Target Toko'!$D:$D,MATCH($I1810,'Kode Outlet dan Target Toko'!$E:$E,0)),0)</f>
        <v>4307038</v>
      </c>
      <c r="I1810" s="42" t="s">
        <v>48</v>
      </c>
      <c r="J1810" s="56" t="s">
        <v>269</v>
      </c>
      <c r="K1810" s="40" t="s">
        <v>16</v>
      </c>
      <c r="L1810" s="26">
        <v>3000</v>
      </c>
      <c r="M1810" s="26">
        <v>216</v>
      </c>
      <c r="N1810" s="25">
        <f t="shared" si="57"/>
        <v>648000</v>
      </c>
      <c r="O1810" s="56">
        <v>180</v>
      </c>
    </row>
    <row r="1811" spans="1:15" hidden="1" x14ac:dyDescent="0.3">
      <c r="A1811" s="26">
        <v>29</v>
      </c>
      <c r="B1811" s="20" t="str">
        <f t="shared" si="56"/>
        <v>JUL</v>
      </c>
      <c r="C1811" s="21">
        <v>46221</v>
      </c>
      <c r="D1811" s="22" t="str">
        <f t="array" ref="D1811">IFERROR(INDEX('Kode Outlet dan Target Toko'!$A:$A,MATCH($I1811,'Kode Outlet dan Target Toko'!$E:$E,0)),"")</f>
        <v>GRSM 6</v>
      </c>
      <c r="E1811" s="20" t="str">
        <f>IFERROR(VLOOKUP(I1811,KET!$B:$F,4,0),"")</f>
        <v>WINDA</v>
      </c>
      <c r="F1811" s="20" t="str">
        <f>IFERROR(VLOOKUP(I1811,KET!$B:$F,5,0),"")</f>
        <v>GMM</v>
      </c>
      <c r="G1811" s="20">
        <f>IFERROR(INDEX('Kode Outlet dan Target Toko'!$C:$C,MATCH($I1811,'Kode Outlet dan Target Toko'!$E:$E,0)),0)</f>
        <v>103765</v>
      </c>
      <c r="H1811" s="20">
        <f>IFERROR(INDEX('Kode Outlet dan Target Toko'!$D:$D,MATCH($I1811,'Kode Outlet dan Target Toko'!$E:$E,0)),0)</f>
        <v>4307038</v>
      </c>
      <c r="I1811" s="42" t="s">
        <v>48</v>
      </c>
      <c r="J1811" s="56" t="s">
        <v>270</v>
      </c>
      <c r="K1811" s="40" t="s">
        <v>15</v>
      </c>
      <c r="L1811" s="26">
        <v>3000</v>
      </c>
      <c r="M1811" s="26">
        <v>90</v>
      </c>
      <c r="N1811" s="25">
        <f t="shared" si="57"/>
        <v>270000</v>
      </c>
      <c r="O1811" s="56"/>
    </row>
    <row r="1812" spans="1:15" hidden="1" x14ac:dyDescent="0.3">
      <c r="A1812" s="26">
        <v>29</v>
      </c>
      <c r="B1812" s="20" t="str">
        <f t="shared" si="56"/>
        <v>JUL</v>
      </c>
      <c r="C1812" s="21">
        <v>46221</v>
      </c>
      <c r="D1812" s="22" t="str">
        <f t="array" ref="D1812">IFERROR(INDEX('Kode Outlet dan Target Toko'!$A:$A,MATCH($I1812,'Kode Outlet dan Target Toko'!$E:$E,0)),"")</f>
        <v>GRSM 6</v>
      </c>
      <c r="E1812" s="20" t="str">
        <f>IFERROR(VLOOKUP(I1812,KET!$B:$F,4,0),"")</f>
        <v>WINDA</v>
      </c>
      <c r="F1812" s="20" t="str">
        <f>IFERROR(VLOOKUP(I1812,KET!$B:$F,5,0),"")</f>
        <v>GMM</v>
      </c>
      <c r="G1812" s="20">
        <f>IFERROR(INDEX('Kode Outlet dan Target Toko'!$C:$C,MATCH($I1812,'Kode Outlet dan Target Toko'!$E:$E,0)),0)</f>
        <v>103765</v>
      </c>
      <c r="H1812" s="20">
        <f>IFERROR(INDEX('Kode Outlet dan Target Toko'!$D:$D,MATCH($I1812,'Kode Outlet dan Target Toko'!$E:$E,0)),0)</f>
        <v>4307038</v>
      </c>
      <c r="I1812" s="42" t="s">
        <v>48</v>
      </c>
      <c r="J1812" s="56" t="s">
        <v>270</v>
      </c>
      <c r="K1812" s="40" t="s">
        <v>14</v>
      </c>
      <c r="L1812" s="26">
        <v>3000</v>
      </c>
      <c r="M1812" s="26">
        <v>120</v>
      </c>
      <c r="N1812" s="25">
        <f t="shared" si="57"/>
        <v>360000</v>
      </c>
      <c r="O1812" s="56"/>
    </row>
    <row r="1813" spans="1:15" hidden="1" x14ac:dyDescent="0.3">
      <c r="A1813" s="26">
        <v>29</v>
      </c>
      <c r="B1813" s="20" t="str">
        <f t="shared" si="56"/>
        <v>JUL</v>
      </c>
      <c r="C1813" s="21">
        <v>46221</v>
      </c>
      <c r="D1813" s="22" t="str">
        <f t="array" ref="D1813">IFERROR(INDEX('Kode Outlet dan Target Toko'!$A:$A,MATCH($I1813,'Kode Outlet dan Target Toko'!$E:$E,0)),"")</f>
        <v>GRSM 6</v>
      </c>
      <c r="E1813" s="20" t="str">
        <f>IFERROR(VLOOKUP(I1813,KET!$B:$F,4,0),"")</f>
        <v>WINDA</v>
      </c>
      <c r="F1813" s="20" t="str">
        <f>IFERROR(VLOOKUP(I1813,KET!$B:$F,5,0),"")</f>
        <v>GMM</v>
      </c>
      <c r="G1813" s="20">
        <f>IFERROR(INDEX('Kode Outlet dan Target Toko'!$C:$C,MATCH($I1813,'Kode Outlet dan Target Toko'!$E:$E,0)),0)</f>
        <v>103765</v>
      </c>
      <c r="H1813" s="20">
        <f>IFERROR(INDEX('Kode Outlet dan Target Toko'!$D:$D,MATCH($I1813,'Kode Outlet dan Target Toko'!$E:$E,0)),0)</f>
        <v>4307038</v>
      </c>
      <c r="I1813" s="42" t="s">
        <v>48</v>
      </c>
      <c r="J1813" s="56" t="s">
        <v>270</v>
      </c>
      <c r="K1813" s="40" t="s">
        <v>13</v>
      </c>
      <c r="L1813" s="26">
        <v>3000</v>
      </c>
      <c r="M1813" s="26">
        <v>54</v>
      </c>
      <c r="N1813" s="25">
        <f t="shared" si="57"/>
        <v>162000</v>
      </c>
      <c r="O1813" s="56"/>
    </row>
    <row r="1814" spans="1:15" hidden="1" x14ac:dyDescent="0.3">
      <c r="A1814" s="26">
        <v>29</v>
      </c>
      <c r="B1814" s="20" t="str">
        <f t="shared" si="56"/>
        <v>JUL</v>
      </c>
      <c r="C1814" s="21">
        <v>46221</v>
      </c>
      <c r="D1814" s="22" t="str">
        <f t="array" ref="D1814">IFERROR(INDEX('Kode Outlet dan Target Toko'!$A:$A,MATCH($I1814,'Kode Outlet dan Target Toko'!$E:$E,0)),"")</f>
        <v>GRSM 6</v>
      </c>
      <c r="E1814" s="20" t="str">
        <f>IFERROR(VLOOKUP(I1814,KET!$B:$F,4,0),"")</f>
        <v>WINDA</v>
      </c>
      <c r="F1814" s="20" t="str">
        <f>IFERROR(VLOOKUP(I1814,KET!$B:$F,5,0),"")</f>
        <v>GMM</v>
      </c>
      <c r="G1814" s="20">
        <f>IFERROR(INDEX('Kode Outlet dan Target Toko'!$C:$C,MATCH($I1814,'Kode Outlet dan Target Toko'!$E:$E,0)),0)</f>
        <v>103765</v>
      </c>
      <c r="H1814" s="20">
        <f>IFERROR(INDEX('Kode Outlet dan Target Toko'!$D:$D,MATCH($I1814,'Kode Outlet dan Target Toko'!$E:$E,0)),0)</f>
        <v>4307038</v>
      </c>
      <c r="I1814" s="42" t="s">
        <v>48</v>
      </c>
      <c r="J1814" s="56" t="s">
        <v>270</v>
      </c>
      <c r="K1814" s="40" t="s">
        <v>16</v>
      </c>
      <c r="L1814" s="26">
        <v>3000</v>
      </c>
      <c r="M1814" s="26">
        <v>216</v>
      </c>
      <c r="N1814" s="25">
        <f t="shared" si="57"/>
        <v>648000</v>
      </c>
      <c r="O1814" s="56">
        <v>180</v>
      </c>
    </row>
    <row r="1815" spans="1:15" hidden="1" x14ac:dyDescent="0.3">
      <c r="A1815" s="26">
        <v>29</v>
      </c>
      <c r="B1815" s="20" t="str">
        <f t="shared" si="56"/>
        <v>JUL</v>
      </c>
      <c r="C1815" s="21">
        <v>46221</v>
      </c>
      <c r="D1815" s="22" t="str">
        <f t="array" ref="D1815">IFERROR(INDEX('Kode Outlet dan Target Toko'!$A:$A,MATCH($I1815,'Kode Outlet dan Target Toko'!$E:$E,0)),"")</f>
        <v>GRSM 6</v>
      </c>
      <c r="E1815" s="20" t="str">
        <f>IFERROR(VLOOKUP(I1815,KET!$B:$F,4,0),"")</f>
        <v>WINDA</v>
      </c>
      <c r="F1815" s="20" t="str">
        <f>IFERROR(VLOOKUP(I1815,KET!$B:$F,5,0),"")</f>
        <v>GMM</v>
      </c>
      <c r="G1815" s="20">
        <f>IFERROR(INDEX('Kode Outlet dan Target Toko'!$C:$C,MATCH($I1815,'Kode Outlet dan Target Toko'!$E:$E,0)),0)</f>
        <v>211033</v>
      </c>
      <c r="H1815" s="20">
        <f>IFERROR(INDEX('Kode Outlet dan Target Toko'!$D:$D,MATCH($I1815,'Kode Outlet dan Target Toko'!$E:$E,0)),0)</f>
        <v>6467246</v>
      </c>
      <c r="I1815" s="42" t="s">
        <v>50</v>
      </c>
      <c r="J1815" s="56" t="s">
        <v>271</v>
      </c>
      <c r="K1815" s="40" t="s">
        <v>15</v>
      </c>
      <c r="L1815" s="26">
        <v>2900</v>
      </c>
      <c r="M1815" s="26">
        <v>121</v>
      </c>
      <c r="N1815" s="25">
        <f t="shared" si="57"/>
        <v>350900</v>
      </c>
      <c r="O1815" s="56"/>
    </row>
    <row r="1816" spans="1:15" hidden="1" x14ac:dyDescent="0.3">
      <c r="A1816" s="26">
        <v>29</v>
      </c>
      <c r="B1816" s="20" t="str">
        <f t="shared" si="56"/>
        <v>JUL</v>
      </c>
      <c r="C1816" s="21">
        <v>46221</v>
      </c>
      <c r="D1816" s="22" t="str">
        <f t="array" ref="D1816">IFERROR(INDEX('Kode Outlet dan Target Toko'!$A:$A,MATCH($I1816,'Kode Outlet dan Target Toko'!$E:$E,0)),"")</f>
        <v>GRSM 6</v>
      </c>
      <c r="E1816" s="20" t="str">
        <f>IFERROR(VLOOKUP(I1816,KET!$B:$F,4,0),"")</f>
        <v>WINDA</v>
      </c>
      <c r="F1816" s="20" t="str">
        <f>IFERROR(VLOOKUP(I1816,KET!$B:$F,5,0),"")</f>
        <v>GMM</v>
      </c>
      <c r="G1816" s="20">
        <f>IFERROR(INDEX('Kode Outlet dan Target Toko'!$C:$C,MATCH($I1816,'Kode Outlet dan Target Toko'!$E:$E,0)),0)</f>
        <v>211033</v>
      </c>
      <c r="H1816" s="20">
        <f>IFERROR(INDEX('Kode Outlet dan Target Toko'!$D:$D,MATCH($I1816,'Kode Outlet dan Target Toko'!$E:$E,0)),0)</f>
        <v>6467246</v>
      </c>
      <c r="I1816" s="42" t="s">
        <v>50</v>
      </c>
      <c r="J1816" s="56" t="s">
        <v>271</v>
      </c>
      <c r="K1816" s="40" t="s">
        <v>14</v>
      </c>
      <c r="L1816" s="26">
        <v>2900</v>
      </c>
      <c r="M1816" s="26">
        <v>94</v>
      </c>
      <c r="N1816" s="25">
        <f t="shared" si="57"/>
        <v>272600</v>
      </c>
      <c r="O1816" s="56"/>
    </row>
    <row r="1817" spans="1:15" hidden="1" x14ac:dyDescent="0.3">
      <c r="A1817" s="26">
        <v>29</v>
      </c>
      <c r="B1817" s="20" t="str">
        <f t="shared" si="56"/>
        <v>JUL</v>
      </c>
      <c r="C1817" s="21">
        <v>46221</v>
      </c>
      <c r="D1817" s="22" t="str">
        <f t="array" ref="D1817">IFERROR(INDEX('Kode Outlet dan Target Toko'!$A:$A,MATCH($I1817,'Kode Outlet dan Target Toko'!$E:$E,0)),"")</f>
        <v>GRSM 6</v>
      </c>
      <c r="E1817" s="20" t="str">
        <f>IFERROR(VLOOKUP(I1817,KET!$B:$F,4,0),"")</f>
        <v>WINDA</v>
      </c>
      <c r="F1817" s="20" t="str">
        <f>IFERROR(VLOOKUP(I1817,KET!$B:$F,5,0),"")</f>
        <v>GMM</v>
      </c>
      <c r="G1817" s="20">
        <f>IFERROR(INDEX('Kode Outlet dan Target Toko'!$C:$C,MATCH($I1817,'Kode Outlet dan Target Toko'!$E:$E,0)),0)</f>
        <v>211033</v>
      </c>
      <c r="H1817" s="20">
        <f>IFERROR(INDEX('Kode Outlet dan Target Toko'!$D:$D,MATCH($I1817,'Kode Outlet dan Target Toko'!$E:$E,0)),0)</f>
        <v>6467246</v>
      </c>
      <c r="I1817" s="42" t="s">
        <v>50</v>
      </c>
      <c r="J1817" s="56" t="s">
        <v>271</v>
      </c>
      <c r="K1817" s="40" t="s">
        <v>13</v>
      </c>
      <c r="L1817" s="26">
        <v>2900</v>
      </c>
      <c r="M1817" s="26">
        <v>58</v>
      </c>
      <c r="N1817" s="25">
        <f t="shared" si="57"/>
        <v>168200</v>
      </c>
      <c r="O1817" s="56"/>
    </row>
    <row r="1818" spans="1:15" hidden="1" x14ac:dyDescent="0.3">
      <c r="A1818" s="26">
        <v>29</v>
      </c>
      <c r="B1818" s="20" t="str">
        <f t="shared" si="56"/>
        <v>JUL</v>
      </c>
      <c r="C1818" s="21">
        <v>46221</v>
      </c>
      <c r="D1818" s="22" t="str">
        <f t="array" ref="D1818">IFERROR(INDEX('Kode Outlet dan Target Toko'!$A:$A,MATCH($I1818,'Kode Outlet dan Target Toko'!$E:$E,0)),"")</f>
        <v>GRSM 6</v>
      </c>
      <c r="E1818" s="20" t="str">
        <f>IFERROR(VLOOKUP(I1818,KET!$B:$F,4,0),"")</f>
        <v>WINDA</v>
      </c>
      <c r="F1818" s="20" t="str">
        <f>IFERROR(VLOOKUP(I1818,KET!$B:$F,5,0),"")</f>
        <v>GMM</v>
      </c>
      <c r="G1818" s="20">
        <f>IFERROR(INDEX('Kode Outlet dan Target Toko'!$C:$C,MATCH($I1818,'Kode Outlet dan Target Toko'!$E:$E,0)),0)</f>
        <v>211033</v>
      </c>
      <c r="H1818" s="20">
        <f>IFERROR(INDEX('Kode Outlet dan Target Toko'!$D:$D,MATCH($I1818,'Kode Outlet dan Target Toko'!$E:$E,0)),0)</f>
        <v>6467246</v>
      </c>
      <c r="I1818" s="42" t="s">
        <v>50</v>
      </c>
      <c r="J1818" s="56" t="s">
        <v>271</v>
      </c>
      <c r="K1818" s="40" t="s">
        <v>16</v>
      </c>
      <c r="L1818" s="26">
        <v>2900</v>
      </c>
      <c r="M1818" s="26">
        <v>269</v>
      </c>
      <c r="N1818" s="25">
        <f t="shared" si="57"/>
        <v>780100</v>
      </c>
      <c r="O1818" s="56">
        <v>160</v>
      </c>
    </row>
    <row r="1819" spans="1:15" hidden="1" x14ac:dyDescent="0.3">
      <c r="A1819" s="26">
        <v>29</v>
      </c>
      <c r="B1819" s="20" t="str">
        <f t="shared" si="56"/>
        <v>JUL</v>
      </c>
      <c r="C1819" s="21">
        <v>46221</v>
      </c>
      <c r="D1819" s="22" t="str">
        <f t="array" ref="D1819">IFERROR(INDEX('Kode Outlet dan Target Toko'!$A:$A,MATCH($I1819,'Kode Outlet dan Target Toko'!$E:$E,0)),"")</f>
        <v>GRSM 6</v>
      </c>
      <c r="E1819" s="20" t="str">
        <f>IFERROR(VLOOKUP(I1819,KET!$B:$F,4,0),"")</f>
        <v>WINDA</v>
      </c>
      <c r="F1819" s="20" t="str">
        <f>IFERROR(VLOOKUP(I1819,KET!$B:$F,5,0),"")</f>
        <v>GMM</v>
      </c>
      <c r="G1819" s="20">
        <f>IFERROR(INDEX('Kode Outlet dan Target Toko'!$C:$C,MATCH($I1819,'Kode Outlet dan Target Toko'!$E:$E,0)),0)</f>
        <v>211033</v>
      </c>
      <c r="H1819" s="20">
        <f>IFERROR(INDEX('Kode Outlet dan Target Toko'!$D:$D,MATCH($I1819,'Kode Outlet dan Target Toko'!$E:$E,0)),0)</f>
        <v>6467246</v>
      </c>
      <c r="I1819" s="42" t="s">
        <v>50</v>
      </c>
      <c r="J1819" s="56" t="s">
        <v>272</v>
      </c>
      <c r="K1819" s="40" t="s">
        <v>15</v>
      </c>
      <c r="L1819" s="26">
        <v>2900</v>
      </c>
      <c r="M1819" s="26">
        <v>121</v>
      </c>
      <c r="N1819" s="25">
        <f t="shared" si="57"/>
        <v>350900</v>
      </c>
      <c r="O1819" s="56"/>
    </row>
    <row r="1820" spans="1:15" hidden="1" x14ac:dyDescent="0.3">
      <c r="A1820" s="26">
        <v>29</v>
      </c>
      <c r="B1820" s="20" t="str">
        <f t="shared" si="56"/>
        <v>JUL</v>
      </c>
      <c r="C1820" s="21">
        <v>46221</v>
      </c>
      <c r="D1820" s="22" t="str">
        <f t="array" ref="D1820">IFERROR(INDEX('Kode Outlet dan Target Toko'!$A:$A,MATCH($I1820,'Kode Outlet dan Target Toko'!$E:$E,0)),"")</f>
        <v>GRSM 6</v>
      </c>
      <c r="E1820" s="20" t="str">
        <f>IFERROR(VLOOKUP(I1820,KET!$B:$F,4,0),"")</f>
        <v>WINDA</v>
      </c>
      <c r="F1820" s="20" t="str">
        <f>IFERROR(VLOOKUP(I1820,KET!$B:$F,5,0),"")</f>
        <v>GMM</v>
      </c>
      <c r="G1820" s="20">
        <f>IFERROR(INDEX('Kode Outlet dan Target Toko'!$C:$C,MATCH($I1820,'Kode Outlet dan Target Toko'!$E:$E,0)),0)</f>
        <v>211033</v>
      </c>
      <c r="H1820" s="20">
        <f>IFERROR(INDEX('Kode Outlet dan Target Toko'!$D:$D,MATCH($I1820,'Kode Outlet dan Target Toko'!$E:$E,0)),0)</f>
        <v>6467246</v>
      </c>
      <c r="I1820" s="42" t="s">
        <v>50</v>
      </c>
      <c r="J1820" s="56" t="s">
        <v>272</v>
      </c>
      <c r="K1820" s="40" t="s">
        <v>14</v>
      </c>
      <c r="L1820" s="26">
        <v>2900</v>
      </c>
      <c r="M1820" s="26">
        <v>94</v>
      </c>
      <c r="N1820" s="25">
        <f t="shared" si="57"/>
        <v>272600</v>
      </c>
      <c r="O1820" s="56"/>
    </row>
    <row r="1821" spans="1:15" hidden="1" x14ac:dyDescent="0.3">
      <c r="A1821" s="26">
        <v>29</v>
      </c>
      <c r="B1821" s="20" t="str">
        <f t="shared" si="56"/>
        <v>JUL</v>
      </c>
      <c r="C1821" s="21">
        <v>46221</v>
      </c>
      <c r="D1821" s="22" t="str">
        <f t="array" ref="D1821">IFERROR(INDEX('Kode Outlet dan Target Toko'!$A:$A,MATCH($I1821,'Kode Outlet dan Target Toko'!$E:$E,0)),"")</f>
        <v>GRSM 6</v>
      </c>
      <c r="E1821" s="20" t="str">
        <f>IFERROR(VLOOKUP(I1821,KET!$B:$F,4,0),"")</f>
        <v>WINDA</v>
      </c>
      <c r="F1821" s="20" t="str">
        <f>IFERROR(VLOOKUP(I1821,KET!$B:$F,5,0),"")</f>
        <v>GMM</v>
      </c>
      <c r="G1821" s="20">
        <f>IFERROR(INDEX('Kode Outlet dan Target Toko'!$C:$C,MATCH($I1821,'Kode Outlet dan Target Toko'!$E:$E,0)),0)</f>
        <v>211033</v>
      </c>
      <c r="H1821" s="20">
        <f>IFERROR(INDEX('Kode Outlet dan Target Toko'!$D:$D,MATCH($I1821,'Kode Outlet dan Target Toko'!$E:$E,0)),0)</f>
        <v>6467246</v>
      </c>
      <c r="I1821" s="42" t="s">
        <v>50</v>
      </c>
      <c r="J1821" s="56" t="s">
        <v>272</v>
      </c>
      <c r="K1821" s="40" t="s">
        <v>13</v>
      </c>
      <c r="L1821" s="26">
        <v>2900</v>
      </c>
      <c r="M1821" s="26">
        <v>58</v>
      </c>
      <c r="N1821" s="25">
        <f t="shared" si="57"/>
        <v>168200</v>
      </c>
      <c r="O1821" s="56"/>
    </row>
    <row r="1822" spans="1:15" hidden="1" x14ac:dyDescent="0.3">
      <c r="A1822" s="26">
        <v>29</v>
      </c>
      <c r="B1822" s="20" t="str">
        <f t="shared" si="56"/>
        <v>JUL</v>
      </c>
      <c r="C1822" s="21">
        <v>46221</v>
      </c>
      <c r="D1822" s="22" t="str">
        <f t="array" ref="D1822">IFERROR(INDEX('Kode Outlet dan Target Toko'!$A:$A,MATCH($I1822,'Kode Outlet dan Target Toko'!$E:$E,0)),"")</f>
        <v>GRSM 6</v>
      </c>
      <c r="E1822" s="20" t="str">
        <f>IFERROR(VLOOKUP(I1822,KET!$B:$F,4,0),"")</f>
        <v>WINDA</v>
      </c>
      <c r="F1822" s="20" t="str">
        <f>IFERROR(VLOOKUP(I1822,KET!$B:$F,5,0),"")</f>
        <v>GMM</v>
      </c>
      <c r="G1822" s="20">
        <f>IFERROR(INDEX('Kode Outlet dan Target Toko'!$C:$C,MATCH($I1822,'Kode Outlet dan Target Toko'!$E:$E,0)),0)</f>
        <v>211033</v>
      </c>
      <c r="H1822" s="20">
        <f>IFERROR(INDEX('Kode Outlet dan Target Toko'!$D:$D,MATCH($I1822,'Kode Outlet dan Target Toko'!$E:$E,0)),0)</f>
        <v>6467246</v>
      </c>
      <c r="I1822" s="42" t="s">
        <v>50</v>
      </c>
      <c r="J1822" s="56" t="s">
        <v>272</v>
      </c>
      <c r="K1822" s="40" t="s">
        <v>16</v>
      </c>
      <c r="L1822" s="26">
        <v>2900</v>
      </c>
      <c r="M1822" s="26">
        <v>269</v>
      </c>
      <c r="N1822" s="25">
        <f t="shared" si="57"/>
        <v>780100</v>
      </c>
      <c r="O1822" s="56">
        <v>160</v>
      </c>
    </row>
    <row r="1823" spans="1:15" hidden="1" x14ac:dyDescent="0.3">
      <c r="A1823" s="26">
        <v>29</v>
      </c>
      <c r="B1823" s="20" t="str">
        <f t="shared" si="56"/>
        <v>JUL</v>
      </c>
      <c r="C1823" s="21">
        <v>46221</v>
      </c>
      <c r="D1823" s="22" t="str">
        <f t="array" ref="D1823">IFERROR(INDEX('Kode Outlet dan Target Toko'!$A:$A,MATCH($I1823,'Kode Outlet dan Target Toko'!$E:$E,0)),"")</f>
        <v>GRSM 6</v>
      </c>
      <c r="E1823" s="20" t="str">
        <f>IFERROR(VLOOKUP(I1823,KET!$B:$F,4,0),"")</f>
        <v>WINDA</v>
      </c>
      <c r="F1823" s="20" t="str">
        <f>IFERROR(VLOOKUP(I1823,KET!$B:$F,5,0),"")</f>
        <v>GMM</v>
      </c>
      <c r="G1823" s="20">
        <f>IFERROR(INDEX('Kode Outlet dan Target Toko'!$C:$C,MATCH($I1823,'Kode Outlet dan Target Toko'!$E:$E,0)),0)</f>
        <v>211033</v>
      </c>
      <c r="H1823" s="20">
        <f>IFERROR(INDEX('Kode Outlet dan Target Toko'!$D:$D,MATCH($I1823,'Kode Outlet dan Target Toko'!$E:$E,0)),0)</f>
        <v>2001021</v>
      </c>
      <c r="I1823" s="42" t="s">
        <v>66</v>
      </c>
      <c r="J1823" s="56" t="s">
        <v>283</v>
      </c>
      <c r="K1823" s="40" t="s">
        <v>15</v>
      </c>
      <c r="L1823" s="26">
        <v>3100</v>
      </c>
      <c r="M1823" s="26">
        <v>25</v>
      </c>
      <c r="N1823" s="25">
        <f t="shared" si="57"/>
        <v>77500</v>
      </c>
      <c r="O1823" s="56"/>
    </row>
    <row r="1824" spans="1:15" hidden="1" x14ac:dyDescent="0.3">
      <c r="A1824" s="26">
        <v>29</v>
      </c>
      <c r="B1824" s="20" t="str">
        <f t="shared" si="56"/>
        <v>JUL</v>
      </c>
      <c r="C1824" s="21">
        <v>46221</v>
      </c>
      <c r="D1824" s="22" t="str">
        <f t="array" ref="D1824">IFERROR(INDEX('Kode Outlet dan Target Toko'!$A:$A,MATCH($I1824,'Kode Outlet dan Target Toko'!$E:$E,0)),"")</f>
        <v>GRSM 6</v>
      </c>
      <c r="E1824" s="20" t="str">
        <f>IFERROR(VLOOKUP(I1824,KET!$B:$F,4,0),"")</f>
        <v>WINDA</v>
      </c>
      <c r="F1824" s="20" t="str">
        <f>IFERROR(VLOOKUP(I1824,KET!$B:$F,5,0),"")</f>
        <v>GMM</v>
      </c>
      <c r="G1824" s="20">
        <f>IFERROR(INDEX('Kode Outlet dan Target Toko'!$C:$C,MATCH($I1824,'Kode Outlet dan Target Toko'!$E:$E,0)),0)</f>
        <v>211033</v>
      </c>
      <c r="H1824" s="20">
        <f>IFERROR(INDEX('Kode Outlet dan Target Toko'!$D:$D,MATCH($I1824,'Kode Outlet dan Target Toko'!$E:$E,0)),0)</f>
        <v>2001021</v>
      </c>
      <c r="I1824" s="42" t="s">
        <v>66</v>
      </c>
      <c r="J1824" s="56" t="s">
        <v>283</v>
      </c>
      <c r="K1824" s="40" t="s">
        <v>14</v>
      </c>
      <c r="L1824" s="26">
        <v>3100</v>
      </c>
      <c r="M1824" s="26">
        <v>50</v>
      </c>
      <c r="N1824" s="25">
        <f t="shared" si="57"/>
        <v>155000</v>
      </c>
      <c r="O1824" s="56"/>
    </row>
    <row r="1825" spans="1:15" hidden="1" x14ac:dyDescent="0.3">
      <c r="A1825" s="26">
        <v>29</v>
      </c>
      <c r="B1825" s="20" t="str">
        <f t="shared" si="56"/>
        <v>JUL</v>
      </c>
      <c r="C1825" s="21">
        <v>46221</v>
      </c>
      <c r="D1825" s="22" t="str">
        <f t="array" ref="D1825">IFERROR(INDEX('Kode Outlet dan Target Toko'!$A:$A,MATCH($I1825,'Kode Outlet dan Target Toko'!$E:$E,0)),"")</f>
        <v>GRSM 6</v>
      </c>
      <c r="E1825" s="20" t="str">
        <f>IFERROR(VLOOKUP(I1825,KET!$B:$F,4,0),"")</f>
        <v>WINDA</v>
      </c>
      <c r="F1825" s="20" t="str">
        <f>IFERROR(VLOOKUP(I1825,KET!$B:$F,5,0),"")</f>
        <v>GMM</v>
      </c>
      <c r="G1825" s="20">
        <f>IFERROR(INDEX('Kode Outlet dan Target Toko'!$C:$C,MATCH($I1825,'Kode Outlet dan Target Toko'!$E:$E,0)),0)</f>
        <v>211033</v>
      </c>
      <c r="H1825" s="20">
        <f>IFERROR(INDEX('Kode Outlet dan Target Toko'!$D:$D,MATCH($I1825,'Kode Outlet dan Target Toko'!$E:$E,0)),0)</f>
        <v>2001021</v>
      </c>
      <c r="I1825" s="42" t="s">
        <v>66</v>
      </c>
      <c r="J1825" s="56" t="s">
        <v>283</v>
      </c>
      <c r="K1825" s="40" t="s">
        <v>13</v>
      </c>
      <c r="L1825" s="26">
        <v>3100</v>
      </c>
      <c r="M1825" s="26">
        <v>30</v>
      </c>
      <c r="N1825" s="25">
        <f t="shared" si="57"/>
        <v>93000</v>
      </c>
      <c r="O1825" s="56"/>
    </row>
    <row r="1826" spans="1:15" hidden="1" x14ac:dyDescent="0.3">
      <c r="A1826" s="26">
        <v>29</v>
      </c>
      <c r="B1826" s="20" t="str">
        <f t="shared" si="56"/>
        <v>JUL</v>
      </c>
      <c r="C1826" s="21">
        <v>46221</v>
      </c>
      <c r="D1826" s="22" t="str">
        <f t="array" ref="D1826">IFERROR(INDEX('Kode Outlet dan Target Toko'!$A:$A,MATCH($I1826,'Kode Outlet dan Target Toko'!$E:$E,0)),"")</f>
        <v>GRSM 6</v>
      </c>
      <c r="E1826" s="20" t="str">
        <f>IFERROR(VLOOKUP(I1826,KET!$B:$F,4,0),"")</f>
        <v>WINDA</v>
      </c>
      <c r="F1826" s="20" t="str">
        <f>IFERROR(VLOOKUP(I1826,KET!$B:$F,5,0),"")</f>
        <v>GMM</v>
      </c>
      <c r="G1826" s="20">
        <f>IFERROR(INDEX('Kode Outlet dan Target Toko'!$C:$C,MATCH($I1826,'Kode Outlet dan Target Toko'!$E:$E,0)),0)</f>
        <v>211033</v>
      </c>
      <c r="H1826" s="20">
        <f>IFERROR(INDEX('Kode Outlet dan Target Toko'!$D:$D,MATCH($I1826,'Kode Outlet dan Target Toko'!$E:$E,0)),0)</f>
        <v>2001021</v>
      </c>
      <c r="I1826" s="42" t="s">
        <v>66</v>
      </c>
      <c r="J1826" s="56" t="s">
        <v>283</v>
      </c>
      <c r="K1826" s="40" t="s">
        <v>16</v>
      </c>
      <c r="L1826" s="26">
        <v>3100</v>
      </c>
      <c r="M1826" s="26">
        <v>250</v>
      </c>
      <c r="N1826" s="25">
        <f t="shared" si="57"/>
        <v>775000</v>
      </c>
      <c r="O1826" s="56">
        <v>160</v>
      </c>
    </row>
    <row r="1827" spans="1:15" hidden="1" x14ac:dyDescent="0.3">
      <c r="A1827" s="26">
        <v>29</v>
      </c>
      <c r="B1827" s="20" t="str">
        <f t="shared" si="56"/>
        <v>JUL</v>
      </c>
      <c r="C1827" s="21">
        <v>46221</v>
      </c>
      <c r="D1827" s="22" t="str">
        <f t="array" ref="D1827">IFERROR(INDEX('Kode Outlet dan Target Toko'!$A:$A,MATCH($I1827,'Kode Outlet dan Target Toko'!$E:$E,0)),"")</f>
        <v>GRSM 6</v>
      </c>
      <c r="E1827" s="20" t="str">
        <f>IFERROR(VLOOKUP(I1827,KET!$B:$F,4,0),"")</f>
        <v>WINDA</v>
      </c>
      <c r="F1827" s="20" t="str">
        <f>IFERROR(VLOOKUP(I1827,KET!$B:$F,5,0),"")</f>
        <v>GMM</v>
      </c>
      <c r="G1827" s="20">
        <f>IFERROR(INDEX('Kode Outlet dan Target Toko'!$C:$C,MATCH($I1827,'Kode Outlet dan Target Toko'!$E:$E,0)),0)</f>
        <v>211033</v>
      </c>
      <c r="H1827" s="20">
        <f>IFERROR(INDEX('Kode Outlet dan Target Toko'!$D:$D,MATCH($I1827,'Kode Outlet dan Target Toko'!$E:$E,0)),0)</f>
        <v>2001021</v>
      </c>
      <c r="I1827" s="42" t="s">
        <v>66</v>
      </c>
      <c r="J1827" s="56" t="s">
        <v>284</v>
      </c>
      <c r="K1827" s="40" t="s">
        <v>15</v>
      </c>
      <c r="L1827" s="26">
        <v>3100</v>
      </c>
      <c r="M1827" s="26">
        <v>25</v>
      </c>
      <c r="N1827" s="25">
        <f t="shared" si="57"/>
        <v>77500</v>
      </c>
      <c r="O1827" s="56"/>
    </row>
    <row r="1828" spans="1:15" hidden="1" x14ac:dyDescent="0.3">
      <c r="A1828" s="26">
        <v>29</v>
      </c>
      <c r="B1828" s="20" t="str">
        <f t="shared" si="56"/>
        <v>JUL</v>
      </c>
      <c r="C1828" s="21">
        <v>46221</v>
      </c>
      <c r="D1828" s="22" t="str">
        <f t="array" ref="D1828">IFERROR(INDEX('Kode Outlet dan Target Toko'!$A:$A,MATCH($I1828,'Kode Outlet dan Target Toko'!$E:$E,0)),"")</f>
        <v>GRSM 6</v>
      </c>
      <c r="E1828" s="20" t="str">
        <f>IFERROR(VLOOKUP(I1828,KET!$B:$F,4,0),"")</f>
        <v>WINDA</v>
      </c>
      <c r="F1828" s="20" t="str">
        <f>IFERROR(VLOOKUP(I1828,KET!$B:$F,5,0),"")</f>
        <v>GMM</v>
      </c>
      <c r="G1828" s="20">
        <f>IFERROR(INDEX('Kode Outlet dan Target Toko'!$C:$C,MATCH($I1828,'Kode Outlet dan Target Toko'!$E:$E,0)),0)</f>
        <v>211033</v>
      </c>
      <c r="H1828" s="20">
        <f>IFERROR(INDEX('Kode Outlet dan Target Toko'!$D:$D,MATCH($I1828,'Kode Outlet dan Target Toko'!$E:$E,0)),0)</f>
        <v>2001021</v>
      </c>
      <c r="I1828" s="42" t="s">
        <v>66</v>
      </c>
      <c r="J1828" s="56" t="s">
        <v>284</v>
      </c>
      <c r="K1828" s="40" t="s">
        <v>14</v>
      </c>
      <c r="L1828" s="26">
        <v>3100</v>
      </c>
      <c r="M1828" s="26">
        <v>50</v>
      </c>
      <c r="N1828" s="25">
        <f t="shared" si="57"/>
        <v>155000</v>
      </c>
      <c r="O1828" s="56"/>
    </row>
    <row r="1829" spans="1:15" hidden="1" x14ac:dyDescent="0.3">
      <c r="A1829" s="26">
        <v>29</v>
      </c>
      <c r="B1829" s="20" t="str">
        <f t="shared" si="56"/>
        <v>JUL</v>
      </c>
      <c r="C1829" s="21">
        <v>46221</v>
      </c>
      <c r="D1829" s="22" t="str">
        <f t="array" ref="D1829">IFERROR(INDEX('Kode Outlet dan Target Toko'!$A:$A,MATCH($I1829,'Kode Outlet dan Target Toko'!$E:$E,0)),"")</f>
        <v>GRSM 6</v>
      </c>
      <c r="E1829" s="20" t="str">
        <f>IFERROR(VLOOKUP(I1829,KET!$B:$F,4,0),"")</f>
        <v>WINDA</v>
      </c>
      <c r="F1829" s="20" t="str">
        <f>IFERROR(VLOOKUP(I1829,KET!$B:$F,5,0),"")</f>
        <v>GMM</v>
      </c>
      <c r="G1829" s="20">
        <f>IFERROR(INDEX('Kode Outlet dan Target Toko'!$C:$C,MATCH($I1829,'Kode Outlet dan Target Toko'!$E:$E,0)),0)</f>
        <v>211033</v>
      </c>
      <c r="H1829" s="20">
        <f>IFERROR(INDEX('Kode Outlet dan Target Toko'!$D:$D,MATCH($I1829,'Kode Outlet dan Target Toko'!$E:$E,0)),0)</f>
        <v>2001021</v>
      </c>
      <c r="I1829" s="42" t="s">
        <v>66</v>
      </c>
      <c r="J1829" s="56" t="s">
        <v>284</v>
      </c>
      <c r="K1829" s="40" t="s">
        <v>13</v>
      </c>
      <c r="L1829" s="26">
        <v>3100</v>
      </c>
      <c r="M1829" s="26">
        <v>30</v>
      </c>
      <c r="N1829" s="25">
        <f t="shared" si="57"/>
        <v>93000</v>
      </c>
      <c r="O1829" s="56"/>
    </row>
    <row r="1830" spans="1:15" hidden="1" x14ac:dyDescent="0.3">
      <c r="A1830" s="26">
        <v>29</v>
      </c>
      <c r="B1830" s="20" t="str">
        <f t="shared" si="56"/>
        <v>JUL</v>
      </c>
      <c r="C1830" s="21">
        <v>46221</v>
      </c>
      <c r="D1830" s="22" t="str">
        <f t="array" ref="D1830">IFERROR(INDEX('Kode Outlet dan Target Toko'!$A:$A,MATCH($I1830,'Kode Outlet dan Target Toko'!$E:$E,0)),"")</f>
        <v>GRSM 6</v>
      </c>
      <c r="E1830" s="20" t="str">
        <f>IFERROR(VLOOKUP(I1830,KET!$B:$F,4,0),"")</f>
        <v>WINDA</v>
      </c>
      <c r="F1830" s="20" t="str">
        <f>IFERROR(VLOOKUP(I1830,KET!$B:$F,5,0),"")</f>
        <v>GMM</v>
      </c>
      <c r="G1830" s="20">
        <f>IFERROR(INDEX('Kode Outlet dan Target Toko'!$C:$C,MATCH($I1830,'Kode Outlet dan Target Toko'!$E:$E,0)),0)</f>
        <v>211033</v>
      </c>
      <c r="H1830" s="20">
        <f>IFERROR(INDEX('Kode Outlet dan Target Toko'!$D:$D,MATCH($I1830,'Kode Outlet dan Target Toko'!$E:$E,0)),0)</f>
        <v>2001021</v>
      </c>
      <c r="I1830" s="42" t="s">
        <v>66</v>
      </c>
      <c r="J1830" s="56" t="s">
        <v>284</v>
      </c>
      <c r="K1830" s="40" t="s">
        <v>16</v>
      </c>
      <c r="L1830" s="26">
        <v>3100</v>
      </c>
      <c r="M1830" s="26">
        <v>250</v>
      </c>
      <c r="N1830" s="25">
        <f t="shared" si="57"/>
        <v>775000</v>
      </c>
      <c r="O1830" s="56">
        <v>160</v>
      </c>
    </row>
    <row r="1831" spans="1:15" hidden="1" x14ac:dyDescent="0.3">
      <c r="A1831" s="26">
        <v>29</v>
      </c>
      <c r="B1831" s="20" t="str">
        <f t="shared" si="56"/>
        <v>JUL</v>
      </c>
      <c r="C1831" s="21">
        <v>46221</v>
      </c>
      <c r="D1831" s="22" t="str">
        <f t="array" ref="D1831">IFERROR(INDEX('Kode Outlet dan Target Toko'!$A:$A,MATCH($I1831,'Kode Outlet dan Target Toko'!$E:$E,0)),"")</f>
        <v>GRSM 6</v>
      </c>
      <c r="E1831" s="20" t="str">
        <f>IFERROR(VLOOKUP(I1831,KET!$B:$F,4,0),"")</f>
        <v>WINDA</v>
      </c>
      <c r="F1831" s="20" t="str">
        <f>IFERROR(VLOOKUP(I1831,KET!$B:$F,5,0),"")</f>
        <v>GMM</v>
      </c>
      <c r="G1831" s="20">
        <f>IFERROR(INDEX('Kode Outlet dan Target Toko'!$C:$C,MATCH($I1831,'Kode Outlet dan Target Toko'!$E:$E,0)),0)</f>
        <v>211163</v>
      </c>
      <c r="H1831" s="20">
        <f>IFERROR(INDEX('Kode Outlet dan Target Toko'!$D:$D,MATCH($I1831,'Kode Outlet dan Target Toko'!$E:$E,0)),0)</f>
        <v>3703219</v>
      </c>
      <c r="I1831" s="42" t="s">
        <v>52</v>
      </c>
      <c r="J1831" s="56" t="s">
        <v>273</v>
      </c>
      <c r="K1831" s="40" t="s">
        <v>15</v>
      </c>
      <c r="L1831" s="26">
        <v>2900</v>
      </c>
      <c r="M1831" s="26">
        <v>80</v>
      </c>
      <c r="N1831" s="25">
        <f t="shared" si="57"/>
        <v>232000</v>
      </c>
      <c r="O1831" s="56"/>
    </row>
    <row r="1832" spans="1:15" hidden="1" x14ac:dyDescent="0.3">
      <c r="A1832" s="26">
        <v>29</v>
      </c>
      <c r="B1832" s="20" t="str">
        <f t="shared" si="56"/>
        <v>JUL</v>
      </c>
      <c r="C1832" s="21">
        <v>46221</v>
      </c>
      <c r="D1832" s="22" t="str">
        <f t="array" ref="D1832">IFERROR(INDEX('Kode Outlet dan Target Toko'!$A:$A,MATCH($I1832,'Kode Outlet dan Target Toko'!$E:$E,0)),"")</f>
        <v>GRSM 6</v>
      </c>
      <c r="E1832" s="20" t="str">
        <f>IFERROR(VLOOKUP(I1832,KET!$B:$F,4,0),"")</f>
        <v>WINDA</v>
      </c>
      <c r="F1832" s="20" t="str">
        <f>IFERROR(VLOOKUP(I1832,KET!$B:$F,5,0),"")</f>
        <v>GMM</v>
      </c>
      <c r="G1832" s="20">
        <f>IFERROR(INDEX('Kode Outlet dan Target Toko'!$C:$C,MATCH($I1832,'Kode Outlet dan Target Toko'!$E:$E,0)),0)</f>
        <v>211163</v>
      </c>
      <c r="H1832" s="20">
        <f>IFERROR(INDEX('Kode Outlet dan Target Toko'!$D:$D,MATCH($I1832,'Kode Outlet dan Target Toko'!$E:$E,0)),0)</f>
        <v>3703219</v>
      </c>
      <c r="I1832" s="42" t="s">
        <v>52</v>
      </c>
      <c r="J1832" s="56" t="s">
        <v>273</v>
      </c>
      <c r="K1832" s="40" t="s">
        <v>14</v>
      </c>
      <c r="L1832" s="26">
        <v>2900</v>
      </c>
      <c r="M1832" s="26">
        <v>134</v>
      </c>
      <c r="N1832" s="25">
        <f t="shared" si="57"/>
        <v>388600</v>
      </c>
      <c r="O1832" s="56"/>
    </row>
    <row r="1833" spans="1:15" hidden="1" x14ac:dyDescent="0.3">
      <c r="A1833" s="26">
        <v>29</v>
      </c>
      <c r="B1833" s="20" t="str">
        <f t="shared" si="56"/>
        <v>JUL</v>
      </c>
      <c r="C1833" s="21">
        <v>46221</v>
      </c>
      <c r="D1833" s="22" t="str">
        <f t="array" ref="D1833">IFERROR(INDEX('Kode Outlet dan Target Toko'!$A:$A,MATCH($I1833,'Kode Outlet dan Target Toko'!$E:$E,0)),"")</f>
        <v>GRSM 6</v>
      </c>
      <c r="E1833" s="20" t="str">
        <f>IFERROR(VLOOKUP(I1833,KET!$B:$F,4,0),"")</f>
        <v>WINDA</v>
      </c>
      <c r="F1833" s="20" t="str">
        <f>IFERROR(VLOOKUP(I1833,KET!$B:$F,5,0),"")</f>
        <v>GMM</v>
      </c>
      <c r="G1833" s="20">
        <f>IFERROR(INDEX('Kode Outlet dan Target Toko'!$C:$C,MATCH($I1833,'Kode Outlet dan Target Toko'!$E:$E,0)),0)</f>
        <v>211163</v>
      </c>
      <c r="H1833" s="20">
        <f>IFERROR(INDEX('Kode Outlet dan Target Toko'!$D:$D,MATCH($I1833,'Kode Outlet dan Target Toko'!$E:$E,0)),0)</f>
        <v>3703219</v>
      </c>
      <c r="I1833" s="42" t="s">
        <v>52</v>
      </c>
      <c r="J1833" s="56" t="s">
        <v>273</v>
      </c>
      <c r="K1833" s="40" t="s">
        <v>13</v>
      </c>
      <c r="L1833" s="26">
        <v>2900</v>
      </c>
      <c r="M1833" s="26">
        <v>0</v>
      </c>
      <c r="N1833" s="25">
        <f t="shared" si="57"/>
        <v>0</v>
      </c>
      <c r="O1833" s="56"/>
    </row>
    <row r="1834" spans="1:15" hidden="1" x14ac:dyDescent="0.3">
      <c r="A1834" s="26">
        <v>29</v>
      </c>
      <c r="B1834" s="20" t="str">
        <f t="shared" si="56"/>
        <v>JUL</v>
      </c>
      <c r="C1834" s="21">
        <v>46221</v>
      </c>
      <c r="D1834" s="22" t="str">
        <f t="array" ref="D1834">IFERROR(INDEX('Kode Outlet dan Target Toko'!$A:$A,MATCH($I1834,'Kode Outlet dan Target Toko'!$E:$E,0)),"")</f>
        <v>GRSM 6</v>
      </c>
      <c r="E1834" s="20" t="str">
        <f>IFERROR(VLOOKUP(I1834,KET!$B:$F,4,0),"")</f>
        <v>WINDA</v>
      </c>
      <c r="F1834" s="20" t="str">
        <f>IFERROR(VLOOKUP(I1834,KET!$B:$F,5,0),"")</f>
        <v>GMM</v>
      </c>
      <c r="G1834" s="20">
        <f>IFERROR(INDEX('Kode Outlet dan Target Toko'!$C:$C,MATCH($I1834,'Kode Outlet dan Target Toko'!$E:$E,0)),0)</f>
        <v>211163</v>
      </c>
      <c r="H1834" s="20">
        <f>IFERROR(INDEX('Kode Outlet dan Target Toko'!$D:$D,MATCH($I1834,'Kode Outlet dan Target Toko'!$E:$E,0)),0)</f>
        <v>3703219</v>
      </c>
      <c r="I1834" s="42" t="s">
        <v>52</v>
      </c>
      <c r="J1834" s="56" t="s">
        <v>273</v>
      </c>
      <c r="K1834" s="40" t="s">
        <v>16</v>
      </c>
      <c r="L1834" s="26">
        <v>2900</v>
      </c>
      <c r="M1834" s="26">
        <v>146</v>
      </c>
      <c r="N1834" s="25">
        <f t="shared" si="57"/>
        <v>423400</v>
      </c>
      <c r="O1834" s="56">
        <v>170</v>
      </c>
    </row>
    <row r="1835" spans="1:15" hidden="1" x14ac:dyDescent="0.3">
      <c r="A1835" s="26">
        <v>29</v>
      </c>
      <c r="B1835" s="20" t="str">
        <f t="shared" si="56"/>
        <v>JUL</v>
      </c>
      <c r="C1835" s="21">
        <v>46221</v>
      </c>
      <c r="D1835" s="22" t="str">
        <f t="array" ref="D1835">IFERROR(INDEX('Kode Outlet dan Target Toko'!$A:$A,MATCH($I1835,'Kode Outlet dan Target Toko'!$E:$E,0)),"")</f>
        <v>GRSM 6</v>
      </c>
      <c r="E1835" s="20" t="str">
        <f>IFERROR(VLOOKUP(I1835,KET!$B:$F,4,0),"")</f>
        <v>WINDA</v>
      </c>
      <c r="F1835" s="20" t="str">
        <f>IFERROR(VLOOKUP(I1835,KET!$B:$F,5,0),"")</f>
        <v>GMM</v>
      </c>
      <c r="G1835" s="20">
        <f>IFERROR(INDEX('Kode Outlet dan Target Toko'!$C:$C,MATCH($I1835,'Kode Outlet dan Target Toko'!$E:$E,0)),0)</f>
        <v>211163</v>
      </c>
      <c r="H1835" s="20">
        <f>IFERROR(INDEX('Kode Outlet dan Target Toko'!$D:$D,MATCH($I1835,'Kode Outlet dan Target Toko'!$E:$E,0)),0)</f>
        <v>3703219</v>
      </c>
      <c r="I1835" s="42" t="s">
        <v>52</v>
      </c>
      <c r="J1835" s="56" t="s">
        <v>274</v>
      </c>
      <c r="K1835" s="40" t="s">
        <v>15</v>
      </c>
      <c r="L1835" s="26">
        <v>2900</v>
      </c>
      <c r="M1835" s="26">
        <v>80</v>
      </c>
      <c r="N1835" s="25">
        <f t="shared" si="57"/>
        <v>232000</v>
      </c>
      <c r="O1835" s="56"/>
    </row>
    <row r="1836" spans="1:15" hidden="1" x14ac:dyDescent="0.3">
      <c r="A1836" s="26">
        <v>29</v>
      </c>
      <c r="B1836" s="20" t="str">
        <f t="shared" si="56"/>
        <v>JUL</v>
      </c>
      <c r="C1836" s="21">
        <v>46221</v>
      </c>
      <c r="D1836" s="22" t="str">
        <f t="array" ref="D1836">IFERROR(INDEX('Kode Outlet dan Target Toko'!$A:$A,MATCH($I1836,'Kode Outlet dan Target Toko'!$E:$E,0)),"")</f>
        <v>GRSM 6</v>
      </c>
      <c r="E1836" s="20" t="str">
        <f>IFERROR(VLOOKUP(I1836,KET!$B:$F,4,0),"")</f>
        <v>WINDA</v>
      </c>
      <c r="F1836" s="20" t="str">
        <f>IFERROR(VLOOKUP(I1836,KET!$B:$F,5,0),"")</f>
        <v>GMM</v>
      </c>
      <c r="G1836" s="20">
        <f>IFERROR(INDEX('Kode Outlet dan Target Toko'!$C:$C,MATCH($I1836,'Kode Outlet dan Target Toko'!$E:$E,0)),0)</f>
        <v>211163</v>
      </c>
      <c r="H1836" s="20">
        <f>IFERROR(INDEX('Kode Outlet dan Target Toko'!$D:$D,MATCH($I1836,'Kode Outlet dan Target Toko'!$E:$E,0)),0)</f>
        <v>3703219</v>
      </c>
      <c r="I1836" s="42" t="s">
        <v>52</v>
      </c>
      <c r="J1836" s="56" t="s">
        <v>274</v>
      </c>
      <c r="K1836" s="40" t="s">
        <v>14</v>
      </c>
      <c r="L1836" s="26">
        <v>2900</v>
      </c>
      <c r="M1836" s="26">
        <v>134</v>
      </c>
      <c r="N1836" s="25">
        <f t="shared" si="57"/>
        <v>388600</v>
      </c>
      <c r="O1836" s="56"/>
    </row>
    <row r="1837" spans="1:15" hidden="1" x14ac:dyDescent="0.3">
      <c r="A1837" s="26">
        <v>29</v>
      </c>
      <c r="B1837" s="20" t="str">
        <f t="shared" si="56"/>
        <v>JUL</v>
      </c>
      <c r="C1837" s="21">
        <v>46221</v>
      </c>
      <c r="D1837" s="22" t="str">
        <f t="array" ref="D1837">IFERROR(INDEX('Kode Outlet dan Target Toko'!$A:$A,MATCH($I1837,'Kode Outlet dan Target Toko'!$E:$E,0)),"")</f>
        <v>GRSM 6</v>
      </c>
      <c r="E1837" s="20" t="str">
        <f>IFERROR(VLOOKUP(I1837,KET!$B:$F,4,0),"")</f>
        <v>WINDA</v>
      </c>
      <c r="F1837" s="20" t="str">
        <f>IFERROR(VLOOKUP(I1837,KET!$B:$F,5,0),"")</f>
        <v>GMM</v>
      </c>
      <c r="G1837" s="20">
        <f>IFERROR(INDEX('Kode Outlet dan Target Toko'!$C:$C,MATCH($I1837,'Kode Outlet dan Target Toko'!$E:$E,0)),0)</f>
        <v>211163</v>
      </c>
      <c r="H1837" s="20">
        <f>IFERROR(INDEX('Kode Outlet dan Target Toko'!$D:$D,MATCH($I1837,'Kode Outlet dan Target Toko'!$E:$E,0)),0)</f>
        <v>3703219</v>
      </c>
      <c r="I1837" s="42" t="s">
        <v>52</v>
      </c>
      <c r="J1837" s="56" t="s">
        <v>274</v>
      </c>
      <c r="K1837" s="40" t="s">
        <v>13</v>
      </c>
      <c r="L1837" s="26">
        <v>2900</v>
      </c>
      <c r="M1837" s="26">
        <v>0</v>
      </c>
      <c r="N1837" s="25">
        <f t="shared" si="57"/>
        <v>0</v>
      </c>
      <c r="O1837" s="56"/>
    </row>
    <row r="1838" spans="1:15" hidden="1" x14ac:dyDescent="0.3">
      <c r="A1838" s="26">
        <v>29</v>
      </c>
      <c r="B1838" s="20" t="str">
        <f t="shared" si="56"/>
        <v>JUL</v>
      </c>
      <c r="C1838" s="21">
        <v>46221</v>
      </c>
      <c r="D1838" s="22" t="str">
        <f t="array" ref="D1838">IFERROR(INDEX('Kode Outlet dan Target Toko'!$A:$A,MATCH($I1838,'Kode Outlet dan Target Toko'!$E:$E,0)),"")</f>
        <v>GRSM 6</v>
      </c>
      <c r="E1838" s="20" t="str">
        <f>IFERROR(VLOOKUP(I1838,KET!$B:$F,4,0),"")</f>
        <v>WINDA</v>
      </c>
      <c r="F1838" s="20" t="str">
        <f>IFERROR(VLOOKUP(I1838,KET!$B:$F,5,0),"")</f>
        <v>GMM</v>
      </c>
      <c r="G1838" s="20">
        <f>IFERROR(INDEX('Kode Outlet dan Target Toko'!$C:$C,MATCH($I1838,'Kode Outlet dan Target Toko'!$E:$E,0)),0)</f>
        <v>211163</v>
      </c>
      <c r="H1838" s="20">
        <f>IFERROR(INDEX('Kode Outlet dan Target Toko'!$D:$D,MATCH($I1838,'Kode Outlet dan Target Toko'!$E:$E,0)),0)</f>
        <v>3703219</v>
      </c>
      <c r="I1838" s="42" t="s">
        <v>52</v>
      </c>
      <c r="J1838" s="56" t="s">
        <v>274</v>
      </c>
      <c r="K1838" s="40" t="s">
        <v>16</v>
      </c>
      <c r="L1838" s="26">
        <v>2900</v>
      </c>
      <c r="M1838" s="26">
        <v>146</v>
      </c>
      <c r="N1838" s="25">
        <f t="shared" si="57"/>
        <v>423400</v>
      </c>
      <c r="O1838" s="56">
        <v>170</v>
      </c>
    </row>
    <row r="1839" spans="1:15" hidden="1" x14ac:dyDescent="0.3">
      <c r="A1839" s="26">
        <v>29</v>
      </c>
      <c r="B1839" s="20" t="str">
        <f t="shared" si="56"/>
        <v>JUL</v>
      </c>
      <c r="C1839" s="21">
        <v>46221</v>
      </c>
      <c r="D1839" s="22" t="str">
        <f t="array" ref="D1839">IFERROR(INDEX('Kode Outlet dan Target Toko'!$A:$A,MATCH($I1839,'Kode Outlet dan Target Toko'!$E:$E,0)),"")</f>
        <v>GRSM 6</v>
      </c>
      <c r="E1839" s="20" t="str">
        <f>IFERROR(VLOOKUP(I1839,KET!$B:$F,4,0),"")</f>
        <v>WINDA</v>
      </c>
      <c r="F1839" s="20" t="str">
        <f>IFERROR(VLOOKUP(I1839,KET!$B:$F,5,0),"")</f>
        <v>GMM</v>
      </c>
      <c r="G1839" s="20">
        <f>IFERROR(INDEX('Kode Outlet dan Target Toko'!$C:$C,MATCH($I1839,'Kode Outlet dan Target Toko'!$E:$E,0)),0)</f>
        <v>211139</v>
      </c>
      <c r="H1839" s="20">
        <f>IFERROR(INDEX('Kode Outlet dan Target Toko'!$D:$D,MATCH($I1839,'Kode Outlet dan Target Toko'!$E:$E,0)),0)</f>
        <v>3604550</v>
      </c>
      <c r="I1839" s="42" t="s">
        <v>69</v>
      </c>
      <c r="J1839" s="56" t="s">
        <v>281</v>
      </c>
      <c r="K1839" s="40" t="s">
        <v>15</v>
      </c>
      <c r="L1839" s="26">
        <v>2800</v>
      </c>
      <c r="M1839" s="26">
        <v>48</v>
      </c>
      <c r="N1839" s="25">
        <f t="shared" si="57"/>
        <v>134400</v>
      </c>
      <c r="O1839" s="56"/>
    </row>
    <row r="1840" spans="1:15" hidden="1" x14ac:dyDescent="0.3">
      <c r="A1840" s="26">
        <v>29</v>
      </c>
      <c r="B1840" s="20" t="str">
        <f t="shared" si="56"/>
        <v>JUL</v>
      </c>
      <c r="C1840" s="21">
        <v>46221</v>
      </c>
      <c r="D1840" s="22" t="str">
        <f t="array" ref="D1840">IFERROR(INDEX('Kode Outlet dan Target Toko'!$A:$A,MATCH($I1840,'Kode Outlet dan Target Toko'!$E:$E,0)),"")</f>
        <v>GRSM 6</v>
      </c>
      <c r="E1840" s="20" t="str">
        <f>IFERROR(VLOOKUP(I1840,KET!$B:$F,4,0),"")</f>
        <v>WINDA</v>
      </c>
      <c r="F1840" s="20" t="str">
        <f>IFERROR(VLOOKUP(I1840,KET!$B:$F,5,0),"")</f>
        <v>GMM</v>
      </c>
      <c r="G1840" s="20">
        <f>IFERROR(INDEX('Kode Outlet dan Target Toko'!$C:$C,MATCH($I1840,'Kode Outlet dan Target Toko'!$E:$E,0)),0)</f>
        <v>211139</v>
      </c>
      <c r="H1840" s="20">
        <f>IFERROR(INDEX('Kode Outlet dan Target Toko'!$D:$D,MATCH($I1840,'Kode Outlet dan Target Toko'!$E:$E,0)),0)</f>
        <v>3604550</v>
      </c>
      <c r="I1840" s="42" t="s">
        <v>69</v>
      </c>
      <c r="J1840" s="56" t="s">
        <v>281</v>
      </c>
      <c r="K1840" s="40" t="s">
        <v>14</v>
      </c>
      <c r="L1840" s="26">
        <v>2800</v>
      </c>
      <c r="M1840" s="26">
        <v>140</v>
      </c>
      <c r="N1840" s="25">
        <f t="shared" si="57"/>
        <v>392000</v>
      </c>
      <c r="O1840" s="56"/>
    </row>
    <row r="1841" spans="1:15" hidden="1" x14ac:dyDescent="0.3">
      <c r="A1841" s="26">
        <v>29</v>
      </c>
      <c r="B1841" s="20" t="str">
        <f t="shared" si="56"/>
        <v>JUL</v>
      </c>
      <c r="C1841" s="21">
        <v>46221</v>
      </c>
      <c r="D1841" s="22" t="str">
        <f t="array" ref="D1841">IFERROR(INDEX('Kode Outlet dan Target Toko'!$A:$A,MATCH($I1841,'Kode Outlet dan Target Toko'!$E:$E,0)),"")</f>
        <v>GRSM 6</v>
      </c>
      <c r="E1841" s="20" t="str">
        <f>IFERROR(VLOOKUP(I1841,KET!$B:$F,4,0),"")</f>
        <v>WINDA</v>
      </c>
      <c r="F1841" s="20" t="str">
        <f>IFERROR(VLOOKUP(I1841,KET!$B:$F,5,0),"")</f>
        <v>GMM</v>
      </c>
      <c r="G1841" s="20">
        <f>IFERROR(INDEX('Kode Outlet dan Target Toko'!$C:$C,MATCH($I1841,'Kode Outlet dan Target Toko'!$E:$E,0)),0)</f>
        <v>211139</v>
      </c>
      <c r="H1841" s="20">
        <f>IFERROR(INDEX('Kode Outlet dan Target Toko'!$D:$D,MATCH($I1841,'Kode Outlet dan Target Toko'!$E:$E,0)),0)</f>
        <v>3604550</v>
      </c>
      <c r="I1841" s="42" t="s">
        <v>69</v>
      </c>
      <c r="J1841" s="56" t="s">
        <v>281</v>
      </c>
      <c r="K1841" s="40" t="s">
        <v>13</v>
      </c>
      <c r="L1841" s="26">
        <v>2800</v>
      </c>
      <c r="M1841" s="26">
        <v>12</v>
      </c>
      <c r="N1841" s="25">
        <f t="shared" si="57"/>
        <v>33600</v>
      </c>
      <c r="O1841" s="56"/>
    </row>
    <row r="1842" spans="1:15" hidden="1" x14ac:dyDescent="0.3">
      <c r="A1842" s="26">
        <v>29</v>
      </c>
      <c r="B1842" s="20" t="str">
        <f t="shared" si="56"/>
        <v>JUL</v>
      </c>
      <c r="C1842" s="21">
        <v>46221</v>
      </c>
      <c r="D1842" s="22" t="str">
        <f t="array" ref="D1842">IFERROR(INDEX('Kode Outlet dan Target Toko'!$A:$A,MATCH($I1842,'Kode Outlet dan Target Toko'!$E:$E,0)),"")</f>
        <v>GRSM 6</v>
      </c>
      <c r="E1842" s="20" t="str">
        <f>IFERROR(VLOOKUP(I1842,KET!$B:$F,4,0),"")</f>
        <v>WINDA</v>
      </c>
      <c r="F1842" s="20" t="str">
        <f>IFERROR(VLOOKUP(I1842,KET!$B:$F,5,0),"")</f>
        <v>GMM</v>
      </c>
      <c r="G1842" s="20">
        <f>IFERROR(INDEX('Kode Outlet dan Target Toko'!$C:$C,MATCH($I1842,'Kode Outlet dan Target Toko'!$E:$E,0)),0)</f>
        <v>211139</v>
      </c>
      <c r="H1842" s="20">
        <f>IFERROR(INDEX('Kode Outlet dan Target Toko'!$D:$D,MATCH($I1842,'Kode Outlet dan Target Toko'!$E:$E,0)),0)</f>
        <v>3604550</v>
      </c>
      <c r="I1842" s="42" t="s">
        <v>69</v>
      </c>
      <c r="J1842" s="56" t="s">
        <v>281</v>
      </c>
      <c r="K1842" s="40" t="s">
        <v>16</v>
      </c>
      <c r="L1842" s="26">
        <v>2800</v>
      </c>
      <c r="M1842" s="26">
        <v>240</v>
      </c>
      <c r="N1842" s="25">
        <f t="shared" si="57"/>
        <v>672000</v>
      </c>
      <c r="O1842" s="56">
        <v>160</v>
      </c>
    </row>
    <row r="1843" spans="1:15" hidden="1" x14ac:dyDescent="0.3">
      <c r="A1843" s="26">
        <v>29</v>
      </c>
      <c r="B1843" s="20" t="str">
        <f t="shared" si="56"/>
        <v>JUL</v>
      </c>
      <c r="C1843" s="21">
        <v>46221</v>
      </c>
      <c r="D1843" s="22" t="str">
        <f t="array" ref="D1843">IFERROR(INDEX('Kode Outlet dan Target Toko'!$A:$A,MATCH($I1843,'Kode Outlet dan Target Toko'!$E:$E,0)),"")</f>
        <v>GRSM 6</v>
      </c>
      <c r="E1843" s="20" t="str">
        <f>IFERROR(VLOOKUP(I1843,KET!$B:$F,4,0),"")</f>
        <v>WINDA</v>
      </c>
      <c r="F1843" s="20" t="str">
        <f>IFERROR(VLOOKUP(I1843,KET!$B:$F,5,0),"")</f>
        <v>GMM</v>
      </c>
      <c r="G1843" s="20">
        <f>IFERROR(INDEX('Kode Outlet dan Target Toko'!$C:$C,MATCH($I1843,'Kode Outlet dan Target Toko'!$E:$E,0)),0)</f>
        <v>211139</v>
      </c>
      <c r="H1843" s="20">
        <f>IFERROR(INDEX('Kode Outlet dan Target Toko'!$D:$D,MATCH($I1843,'Kode Outlet dan Target Toko'!$E:$E,0)),0)</f>
        <v>3604550</v>
      </c>
      <c r="I1843" s="42" t="s">
        <v>69</v>
      </c>
      <c r="J1843" s="56" t="s">
        <v>282</v>
      </c>
      <c r="K1843" s="40" t="s">
        <v>15</v>
      </c>
      <c r="L1843" s="26">
        <v>2800</v>
      </c>
      <c r="M1843" s="26">
        <v>48</v>
      </c>
      <c r="N1843" s="25">
        <f t="shared" si="57"/>
        <v>134400</v>
      </c>
      <c r="O1843" s="56"/>
    </row>
    <row r="1844" spans="1:15" hidden="1" x14ac:dyDescent="0.3">
      <c r="A1844" s="26">
        <v>29</v>
      </c>
      <c r="B1844" s="20" t="str">
        <f t="shared" si="56"/>
        <v>JUL</v>
      </c>
      <c r="C1844" s="21">
        <v>46221</v>
      </c>
      <c r="D1844" s="22" t="str">
        <f t="array" ref="D1844">IFERROR(INDEX('Kode Outlet dan Target Toko'!$A:$A,MATCH($I1844,'Kode Outlet dan Target Toko'!$E:$E,0)),"")</f>
        <v>GRSM 6</v>
      </c>
      <c r="E1844" s="20" t="str">
        <f>IFERROR(VLOOKUP(I1844,KET!$B:$F,4,0),"")</f>
        <v>WINDA</v>
      </c>
      <c r="F1844" s="20" t="str">
        <f>IFERROR(VLOOKUP(I1844,KET!$B:$F,5,0),"")</f>
        <v>GMM</v>
      </c>
      <c r="G1844" s="20">
        <f>IFERROR(INDEX('Kode Outlet dan Target Toko'!$C:$C,MATCH($I1844,'Kode Outlet dan Target Toko'!$E:$E,0)),0)</f>
        <v>211139</v>
      </c>
      <c r="H1844" s="20">
        <f>IFERROR(INDEX('Kode Outlet dan Target Toko'!$D:$D,MATCH($I1844,'Kode Outlet dan Target Toko'!$E:$E,0)),0)</f>
        <v>3604550</v>
      </c>
      <c r="I1844" s="42" t="s">
        <v>69</v>
      </c>
      <c r="J1844" s="56" t="s">
        <v>282</v>
      </c>
      <c r="K1844" s="40" t="s">
        <v>14</v>
      </c>
      <c r="L1844" s="26">
        <v>2800</v>
      </c>
      <c r="M1844" s="26">
        <v>140</v>
      </c>
      <c r="N1844" s="25">
        <f t="shared" si="57"/>
        <v>392000</v>
      </c>
      <c r="O1844" s="56"/>
    </row>
    <row r="1845" spans="1:15" hidden="1" x14ac:dyDescent="0.3">
      <c r="A1845" s="26">
        <v>29</v>
      </c>
      <c r="B1845" s="20" t="str">
        <f t="shared" si="56"/>
        <v>JUL</v>
      </c>
      <c r="C1845" s="21">
        <v>46221</v>
      </c>
      <c r="D1845" s="22" t="str">
        <f t="array" ref="D1845">IFERROR(INDEX('Kode Outlet dan Target Toko'!$A:$A,MATCH($I1845,'Kode Outlet dan Target Toko'!$E:$E,0)),"")</f>
        <v>GRSM 6</v>
      </c>
      <c r="E1845" s="20" t="str">
        <f>IFERROR(VLOOKUP(I1845,KET!$B:$F,4,0),"")</f>
        <v>WINDA</v>
      </c>
      <c r="F1845" s="20" t="str">
        <f>IFERROR(VLOOKUP(I1845,KET!$B:$F,5,0),"")</f>
        <v>GMM</v>
      </c>
      <c r="G1845" s="20">
        <f>IFERROR(INDEX('Kode Outlet dan Target Toko'!$C:$C,MATCH($I1845,'Kode Outlet dan Target Toko'!$E:$E,0)),0)</f>
        <v>211139</v>
      </c>
      <c r="H1845" s="20">
        <f>IFERROR(INDEX('Kode Outlet dan Target Toko'!$D:$D,MATCH($I1845,'Kode Outlet dan Target Toko'!$E:$E,0)),0)</f>
        <v>3604550</v>
      </c>
      <c r="I1845" s="42" t="s">
        <v>69</v>
      </c>
      <c r="J1845" s="56" t="s">
        <v>282</v>
      </c>
      <c r="K1845" s="40" t="s">
        <v>13</v>
      </c>
      <c r="L1845" s="26">
        <v>2800</v>
      </c>
      <c r="M1845" s="26">
        <v>12</v>
      </c>
      <c r="N1845" s="25">
        <f t="shared" si="57"/>
        <v>33600</v>
      </c>
      <c r="O1845" s="56"/>
    </row>
    <row r="1846" spans="1:15" hidden="1" x14ac:dyDescent="0.3">
      <c r="A1846" s="26">
        <v>29</v>
      </c>
      <c r="B1846" s="20" t="str">
        <f t="shared" si="56"/>
        <v>JUL</v>
      </c>
      <c r="C1846" s="21">
        <v>46221</v>
      </c>
      <c r="D1846" s="22" t="str">
        <f t="array" ref="D1846">IFERROR(INDEX('Kode Outlet dan Target Toko'!$A:$A,MATCH($I1846,'Kode Outlet dan Target Toko'!$E:$E,0)),"")</f>
        <v>GRSM 6</v>
      </c>
      <c r="E1846" s="20" t="str">
        <f>IFERROR(VLOOKUP(I1846,KET!$B:$F,4,0),"")</f>
        <v>WINDA</v>
      </c>
      <c r="F1846" s="20" t="str">
        <f>IFERROR(VLOOKUP(I1846,KET!$B:$F,5,0),"")</f>
        <v>GMM</v>
      </c>
      <c r="G1846" s="20">
        <f>IFERROR(INDEX('Kode Outlet dan Target Toko'!$C:$C,MATCH($I1846,'Kode Outlet dan Target Toko'!$E:$E,0)),0)</f>
        <v>211139</v>
      </c>
      <c r="H1846" s="20">
        <f>IFERROR(INDEX('Kode Outlet dan Target Toko'!$D:$D,MATCH($I1846,'Kode Outlet dan Target Toko'!$E:$E,0)),0)</f>
        <v>3604550</v>
      </c>
      <c r="I1846" s="42" t="s">
        <v>69</v>
      </c>
      <c r="J1846" s="56" t="s">
        <v>282</v>
      </c>
      <c r="K1846" s="40" t="s">
        <v>16</v>
      </c>
      <c r="L1846" s="26">
        <v>2800</v>
      </c>
      <c r="M1846" s="26">
        <v>240</v>
      </c>
      <c r="N1846" s="25">
        <f t="shared" si="57"/>
        <v>672000</v>
      </c>
      <c r="O1846" s="56">
        <v>160</v>
      </c>
    </row>
    <row r="1847" spans="1:15" hidden="1" x14ac:dyDescent="0.3">
      <c r="A1847" s="26">
        <v>29</v>
      </c>
      <c r="B1847" s="20" t="str">
        <f t="shared" si="56"/>
        <v>JUL</v>
      </c>
      <c r="C1847" s="21">
        <v>46221</v>
      </c>
      <c r="D1847" s="22" t="str">
        <f t="array" ref="D1847">IFERROR(INDEX('Kode Outlet dan Target Toko'!$A:$A,MATCH($I1847,'Kode Outlet dan Target Toko'!$E:$E,0)),"")</f>
        <v>GRSM 6</v>
      </c>
      <c r="E1847" s="20" t="str">
        <f>IFERROR(VLOOKUP(I1847,KET!$B:$F,4,0),"")</f>
        <v>WINDA</v>
      </c>
      <c r="F1847" s="20" t="str">
        <f>IFERROR(VLOOKUP(I1847,KET!$B:$F,5,0),"")</f>
        <v>GMM</v>
      </c>
      <c r="G1847" s="20">
        <f>IFERROR(INDEX('Kode Outlet dan Target Toko'!$C:$C,MATCH($I1847,'Kode Outlet dan Target Toko'!$E:$E,0)),0)</f>
        <v>103765</v>
      </c>
      <c r="H1847" s="20">
        <f>IFERROR(INDEX('Kode Outlet dan Target Toko'!$D:$D,MATCH($I1847,'Kode Outlet dan Target Toko'!$E:$E,0)),0)</f>
        <v>4305267</v>
      </c>
      <c r="I1847" s="42" t="s">
        <v>54</v>
      </c>
      <c r="J1847" s="56" t="s">
        <v>277</v>
      </c>
      <c r="K1847" s="40" t="s">
        <v>15</v>
      </c>
      <c r="L1847" s="26">
        <v>3000</v>
      </c>
      <c r="M1847" s="26">
        <v>58</v>
      </c>
      <c r="N1847" s="25">
        <f t="shared" si="57"/>
        <v>174000</v>
      </c>
      <c r="O1847" s="56"/>
    </row>
    <row r="1848" spans="1:15" hidden="1" x14ac:dyDescent="0.3">
      <c r="A1848" s="26">
        <v>29</v>
      </c>
      <c r="B1848" s="20" t="str">
        <f t="shared" si="56"/>
        <v>JUL</v>
      </c>
      <c r="C1848" s="21">
        <v>46221</v>
      </c>
      <c r="D1848" s="22" t="str">
        <f t="array" ref="D1848">IFERROR(INDEX('Kode Outlet dan Target Toko'!$A:$A,MATCH($I1848,'Kode Outlet dan Target Toko'!$E:$E,0)),"")</f>
        <v>GRSM 6</v>
      </c>
      <c r="E1848" s="20" t="str">
        <f>IFERROR(VLOOKUP(I1848,KET!$B:$F,4,0),"")</f>
        <v>WINDA</v>
      </c>
      <c r="F1848" s="20" t="str">
        <f>IFERROR(VLOOKUP(I1848,KET!$B:$F,5,0),"")</f>
        <v>GMM</v>
      </c>
      <c r="G1848" s="20">
        <f>IFERROR(INDEX('Kode Outlet dan Target Toko'!$C:$C,MATCH($I1848,'Kode Outlet dan Target Toko'!$E:$E,0)),0)</f>
        <v>103765</v>
      </c>
      <c r="H1848" s="20">
        <f>IFERROR(INDEX('Kode Outlet dan Target Toko'!$D:$D,MATCH($I1848,'Kode Outlet dan Target Toko'!$E:$E,0)),0)</f>
        <v>4305267</v>
      </c>
      <c r="I1848" s="42" t="s">
        <v>54</v>
      </c>
      <c r="J1848" s="56" t="s">
        <v>277</v>
      </c>
      <c r="K1848" s="40" t="s">
        <v>14</v>
      </c>
      <c r="L1848" s="26">
        <v>3000</v>
      </c>
      <c r="M1848" s="26">
        <v>120</v>
      </c>
      <c r="N1848" s="25">
        <f t="shared" si="57"/>
        <v>360000</v>
      </c>
      <c r="O1848" s="56"/>
    </row>
    <row r="1849" spans="1:15" hidden="1" x14ac:dyDescent="0.3">
      <c r="A1849" s="26">
        <v>29</v>
      </c>
      <c r="B1849" s="20" t="str">
        <f t="shared" si="56"/>
        <v>JUL</v>
      </c>
      <c r="C1849" s="21">
        <v>46221</v>
      </c>
      <c r="D1849" s="22" t="str">
        <f t="array" ref="D1849">IFERROR(INDEX('Kode Outlet dan Target Toko'!$A:$A,MATCH($I1849,'Kode Outlet dan Target Toko'!$E:$E,0)),"")</f>
        <v>GRSM 6</v>
      </c>
      <c r="E1849" s="20" t="str">
        <f>IFERROR(VLOOKUP(I1849,KET!$B:$F,4,0),"")</f>
        <v>WINDA</v>
      </c>
      <c r="F1849" s="20" t="str">
        <f>IFERROR(VLOOKUP(I1849,KET!$B:$F,5,0),"")</f>
        <v>GMM</v>
      </c>
      <c r="G1849" s="20">
        <f>IFERROR(INDEX('Kode Outlet dan Target Toko'!$C:$C,MATCH($I1849,'Kode Outlet dan Target Toko'!$E:$E,0)),0)</f>
        <v>103765</v>
      </c>
      <c r="H1849" s="20">
        <f>IFERROR(INDEX('Kode Outlet dan Target Toko'!$D:$D,MATCH($I1849,'Kode Outlet dan Target Toko'!$E:$E,0)),0)</f>
        <v>4305267</v>
      </c>
      <c r="I1849" s="42" t="s">
        <v>54</v>
      </c>
      <c r="J1849" s="56" t="s">
        <v>277</v>
      </c>
      <c r="K1849" s="40" t="s">
        <v>13</v>
      </c>
      <c r="L1849" s="26">
        <v>3000</v>
      </c>
      <c r="M1849" s="26">
        <v>88</v>
      </c>
      <c r="N1849" s="25">
        <f t="shared" si="57"/>
        <v>264000</v>
      </c>
      <c r="O1849" s="56"/>
    </row>
    <row r="1850" spans="1:15" hidden="1" x14ac:dyDescent="0.3">
      <c r="A1850" s="26">
        <v>29</v>
      </c>
      <c r="B1850" s="20" t="str">
        <f t="shared" si="56"/>
        <v>JUL</v>
      </c>
      <c r="C1850" s="21">
        <v>46221</v>
      </c>
      <c r="D1850" s="22" t="str">
        <f t="array" ref="D1850">IFERROR(INDEX('Kode Outlet dan Target Toko'!$A:$A,MATCH($I1850,'Kode Outlet dan Target Toko'!$E:$E,0)),"")</f>
        <v>GRSM 6</v>
      </c>
      <c r="E1850" s="20" t="str">
        <f>IFERROR(VLOOKUP(I1850,KET!$B:$F,4,0),"")</f>
        <v>WINDA</v>
      </c>
      <c r="F1850" s="20" t="str">
        <f>IFERROR(VLOOKUP(I1850,KET!$B:$F,5,0),"")</f>
        <v>GMM</v>
      </c>
      <c r="G1850" s="20">
        <f>IFERROR(INDEX('Kode Outlet dan Target Toko'!$C:$C,MATCH($I1850,'Kode Outlet dan Target Toko'!$E:$E,0)),0)</f>
        <v>103765</v>
      </c>
      <c r="H1850" s="20">
        <f>IFERROR(INDEX('Kode Outlet dan Target Toko'!$D:$D,MATCH($I1850,'Kode Outlet dan Target Toko'!$E:$E,0)),0)</f>
        <v>4305267</v>
      </c>
      <c r="I1850" s="42" t="s">
        <v>54</v>
      </c>
      <c r="J1850" s="56" t="s">
        <v>277</v>
      </c>
      <c r="K1850" s="40" t="s">
        <v>16</v>
      </c>
      <c r="L1850" s="26">
        <v>3000</v>
      </c>
      <c r="M1850" s="26">
        <v>235</v>
      </c>
      <c r="N1850" s="25">
        <f t="shared" si="57"/>
        <v>705000</v>
      </c>
      <c r="O1850" s="56">
        <v>160</v>
      </c>
    </row>
    <row r="1851" spans="1:15" hidden="1" x14ac:dyDescent="0.3">
      <c r="A1851" s="26">
        <v>29</v>
      </c>
      <c r="B1851" s="20" t="str">
        <f t="shared" si="56"/>
        <v>JUL</v>
      </c>
      <c r="C1851" s="21">
        <v>46221</v>
      </c>
      <c r="D1851" s="22" t="str">
        <f t="array" ref="D1851">IFERROR(INDEX('Kode Outlet dan Target Toko'!$A:$A,MATCH($I1851,'Kode Outlet dan Target Toko'!$E:$E,0)),"")</f>
        <v>GRSM 6</v>
      </c>
      <c r="E1851" s="20" t="str">
        <f>IFERROR(VLOOKUP(I1851,KET!$B:$F,4,0),"")</f>
        <v>WINDA</v>
      </c>
      <c r="F1851" s="20" t="str">
        <f>IFERROR(VLOOKUP(I1851,KET!$B:$F,5,0),"")</f>
        <v>GMM</v>
      </c>
      <c r="G1851" s="20">
        <f>IFERROR(INDEX('Kode Outlet dan Target Toko'!$C:$C,MATCH($I1851,'Kode Outlet dan Target Toko'!$E:$E,0)),0)</f>
        <v>103765</v>
      </c>
      <c r="H1851" s="20">
        <f>IFERROR(INDEX('Kode Outlet dan Target Toko'!$D:$D,MATCH($I1851,'Kode Outlet dan Target Toko'!$E:$E,0)),0)</f>
        <v>4305267</v>
      </c>
      <c r="I1851" s="42" t="s">
        <v>54</v>
      </c>
      <c r="J1851" s="56" t="s">
        <v>278</v>
      </c>
      <c r="K1851" s="40" t="s">
        <v>15</v>
      </c>
      <c r="L1851" s="26">
        <v>3000</v>
      </c>
      <c r="M1851" s="26">
        <v>58</v>
      </c>
      <c r="N1851" s="25">
        <f t="shared" si="57"/>
        <v>174000</v>
      </c>
      <c r="O1851" s="56"/>
    </row>
    <row r="1852" spans="1:15" hidden="1" x14ac:dyDescent="0.3">
      <c r="A1852" s="26">
        <v>29</v>
      </c>
      <c r="B1852" s="20" t="str">
        <f t="shared" si="56"/>
        <v>JUL</v>
      </c>
      <c r="C1852" s="21">
        <v>46221</v>
      </c>
      <c r="D1852" s="22" t="str">
        <f t="array" ref="D1852">IFERROR(INDEX('Kode Outlet dan Target Toko'!$A:$A,MATCH($I1852,'Kode Outlet dan Target Toko'!$E:$E,0)),"")</f>
        <v>GRSM 6</v>
      </c>
      <c r="E1852" s="20" t="str">
        <f>IFERROR(VLOOKUP(I1852,KET!$B:$F,4,0),"")</f>
        <v>WINDA</v>
      </c>
      <c r="F1852" s="20" t="str">
        <f>IFERROR(VLOOKUP(I1852,KET!$B:$F,5,0),"")</f>
        <v>GMM</v>
      </c>
      <c r="G1852" s="20">
        <f>IFERROR(INDEX('Kode Outlet dan Target Toko'!$C:$C,MATCH($I1852,'Kode Outlet dan Target Toko'!$E:$E,0)),0)</f>
        <v>103765</v>
      </c>
      <c r="H1852" s="20">
        <f>IFERROR(INDEX('Kode Outlet dan Target Toko'!$D:$D,MATCH($I1852,'Kode Outlet dan Target Toko'!$E:$E,0)),0)</f>
        <v>4305267</v>
      </c>
      <c r="I1852" s="42" t="s">
        <v>54</v>
      </c>
      <c r="J1852" s="56" t="s">
        <v>278</v>
      </c>
      <c r="K1852" s="40" t="s">
        <v>14</v>
      </c>
      <c r="L1852" s="26">
        <v>3000</v>
      </c>
      <c r="M1852" s="26">
        <v>120</v>
      </c>
      <c r="N1852" s="25">
        <f t="shared" si="57"/>
        <v>360000</v>
      </c>
      <c r="O1852" s="56"/>
    </row>
    <row r="1853" spans="1:15" hidden="1" x14ac:dyDescent="0.3">
      <c r="A1853" s="26">
        <v>29</v>
      </c>
      <c r="B1853" s="20" t="str">
        <f t="shared" si="56"/>
        <v>JUL</v>
      </c>
      <c r="C1853" s="21">
        <v>46221</v>
      </c>
      <c r="D1853" s="22" t="str">
        <f t="array" ref="D1853">IFERROR(INDEX('Kode Outlet dan Target Toko'!$A:$A,MATCH($I1853,'Kode Outlet dan Target Toko'!$E:$E,0)),"")</f>
        <v>GRSM 6</v>
      </c>
      <c r="E1853" s="20" t="str">
        <f>IFERROR(VLOOKUP(I1853,KET!$B:$F,4,0),"")</f>
        <v>WINDA</v>
      </c>
      <c r="F1853" s="20" t="str">
        <f>IFERROR(VLOOKUP(I1853,KET!$B:$F,5,0),"")</f>
        <v>GMM</v>
      </c>
      <c r="G1853" s="20">
        <f>IFERROR(INDEX('Kode Outlet dan Target Toko'!$C:$C,MATCH($I1853,'Kode Outlet dan Target Toko'!$E:$E,0)),0)</f>
        <v>103765</v>
      </c>
      <c r="H1853" s="20">
        <f>IFERROR(INDEX('Kode Outlet dan Target Toko'!$D:$D,MATCH($I1853,'Kode Outlet dan Target Toko'!$E:$E,0)),0)</f>
        <v>4305267</v>
      </c>
      <c r="I1853" s="42" t="s">
        <v>54</v>
      </c>
      <c r="J1853" s="56" t="s">
        <v>278</v>
      </c>
      <c r="K1853" s="40" t="s">
        <v>13</v>
      </c>
      <c r="L1853" s="26">
        <v>3000</v>
      </c>
      <c r="M1853" s="26">
        <v>88</v>
      </c>
      <c r="N1853" s="25">
        <f t="shared" si="57"/>
        <v>264000</v>
      </c>
      <c r="O1853" s="56"/>
    </row>
    <row r="1854" spans="1:15" hidden="1" x14ac:dyDescent="0.3">
      <c r="A1854" s="26">
        <v>29</v>
      </c>
      <c r="B1854" s="20" t="str">
        <f t="shared" si="56"/>
        <v>JUL</v>
      </c>
      <c r="C1854" s="21">
        <v>46221</v>
      </c>
      <c r="D1854" s="22" t="str">
        <f t="array" ref="D1854">IFERROR(INDEX('Kode Outlet dan Target Toko'!$A:$A,MATCH($I1854,'Kode Outlet dan Target Toko'!$E:$E,0)),"")</f>
        <v>GRSM 6</v>
      </c>
      <c r="E1854" s="20" t="str">
        <f>IFERROR(VLOOKUP(I1854,KET!$B:$F,4,0),"")</f>
        <v>WINDA</v>
      </c>
      <c r="F1854" s="20" t="str">
        <f>IFERROR(VLOOKUP(I1854,KET!$B:$F,5,0),"")</f>
        <v>GMM</v>
      </c>
      <c r="G1854" s="20">
        <f>IFERROR(INDEX('Kode Outlet dan Target Toko'!$C:$C,MATCH($I1854,'Kode Outlet dan Target Toko'!$E:$E,0)),0)</f>
        <v>103765</v>
      </c>
      <c r="H1854" s="20">
        <f>IFERROR(INDEX('Kode Outlet dan Target Toko'!$D:$D,MATCH($I1854,'Kode Outlet dan Target Toko'!$E:$E,0)),0)</f>
        <v>4305267</v>
      </c>
      <c r="I1854" s="42" t="s">
        <v>54</v>
      </c>
      <c r="J1854" s="56" t="s">
        <v>278</v>
      </c>
      <c r="K1854" s="40" t="s">
        <v>16</v>
      </c>
      <c r="L1854" s="26">
        <v>3000</v>
      </c>
      <c r="M1854" s="26">
        <v>235</v>
      </c>
      <c r="N1854" s="25">
        <f t="shared" si="57"/>
        <v>705000</v>
      </c>
      <c r="O1854" s="56">
        <v>160</v>
      </c>
    </row>
    <row r="1855" spans="1:15" hidden="1" x14ac:dyDescent="0.3">
      <c r="A1855" s="26">
        <v>29</v>
      </c>
      <c r="B1855" s="20" t="str">
        <f t="shared" si="56"/>
        <v>JUL</v>
      </c>
      <c r="C1855" s="21">
        <v>46221</v>
      </c>
      <c r="D1855" s="22" t="str">
        <f t="array" ref="D1855">IFERROR(INDEX('Kode Outlet dan Target Toko'!$A:$A,MATCH($I1855,'Kode Outlet dan Target Toko'!$E:$E,0)),"")</f>
        <v>GRSM 6</v>
      </c>
      <c r="E1855" s="20" t="str">
        <f>IFERROR(VLOOKUP(I1855,KET!$B:$F,4,0),"")</f>
        <v>WINDA</v>
      </c>
      <c r="F1855" s="20" t="str">
        <f>IFERROR(VLOOKUP(I1855,KET!$B:$F,5,0),"")</f>
        <v>GMM</v>
      </c>
      <c r="G1855" s="20">
        <f>IFERROR(INDEX('Kode Outlet dan Target Toko'!$C:$C,MATCH($I1855,'Kode Outlet dan Target Toko'!$E:$E,0)),0)</f>
        <v>211163</v>
      </c>
      <c r="H1855" s="20">
        <f>IFERROR(INDEX('Kode Outlet dan Target Toko'!$D:$D,MATCH($I1855,'Kode Outlet dan Target Toko'!$E:$E,0)),0)</f>
        <v>3703215</v>
      </c>
      <c r="I1855" s="42" t="s">
        <v>53</v>
      </c>
      <c r="J1855" s="56" t="s">
        <v>275</v>
      </c>
      <c r="K1855" s="40" t="s">
        <v>15</v>
      </c>
      <c r="L1855" s="26">
        <v>5800</v>
      </c>
      <c r="M1855" s="26">
        <v>60</v>
      </c>
      <c r="N1855" s="25">
        <f t="shared" si="57"/>
        <v>348000</v>
      </c>
      <c r="O1855" s="56"/>
    </row>
    <row r="1856" spans="1:15" hidden="1" x14ac:dyDescent="0.3">
      <c r="A1856" s="26">
        <v>29</v>
      </c>
      <c r="B1856" s="20" t="str">
        <f t="shared" si="56"/>
        <v>JUL</v>
      </c>
      <c r="C1856" s="21">
        <v>46221</v>
      </c>
      <c r="D1856" s="22" t="str">
        <f t="array" ref="D1856">IFERROR(INDEX('Kode Outlet dan Target Toko'!$A:$A,MATCH($I1856,'Kode Outlet dan Target Toko'!$E:$E,0)),"")</f>
        <v>GRSM 6</v>
      </c>
      <c r="E1856" s="20" t="str">
        <f>IFERROR(VLOOKUP(I1856,KET!$B:$F,4,0),"")</f>
        <v>WINDA</v>
      </c>
      <c r="F1856" s="20" t="str">
        <f>IFERROR(VLOOKUP(I1856,KET!$B:$F,5,0),"")</f>
        <v>GMM</v>
      </c>
      <c r="G1856" s="20">
        <f>IFERROR(INDEX('Kode Outlet dan Target Toko'!$C:$C,MATCH($I1856,'Kode Outlet dan Target Toko'!$E:$E,0)),0)</f>
        <v>211163</v>
      </c>
      <c r="H1856" s="20">
        <f>IFERROR(INDEX('Kode Outlet dan Target Toko'!$D:$D,MATCH($I1856,'Kode Outlet dan Target Toko'!$E:$E,0)),0)</f>
        <v>3703215</v>
      </c>
      <c r="I1856" s="42" t="s">
        <v>53</v>
      </c>
      <c r="J1856" s="56" t="s">
        <v>275</v>
      </c>
      <c r="K1856" s="40" t="s">
        <v>14</v>
      </c>
      <c r="L1856" s="26">
        <v>5800</v>
      </c>
      <c r="M1856" s="26">
        <v>70</v>
      </c>
      <c r="N1856" s="25">
        <f t="shared" si="57"/>
        <v>406000</v>
      </c>
      <c r="O1856" s="56"/>
    </row>
    <row r="1857" spans="1:15" hidden="1" x14ac:dyDescent="0.3">
      <c r="A1857" s="26">
        <v>29</v>
      </c>
      <c r="B1857" s="20" t="str">
        <f t="shared" si="56"/>
        <v>JUL</v>
      </c>
      <c r="C1857" s="21">
        <v>46221</v>
      </c>
      <c r="D1857" s="22" t="str">
        <f t="array" ref="D1857">IFERROR(INDEX('Kode Outlet dan Target Toko'!$A:$A,MATCH($I1857,'Kode Outlet dan Target Toko'!$E:$E,0)),"")</f>
        <v>GRSM 6</v>
      </c>
      <c r="E1857" s="20" t="str">
        <f>IFERROR(VLOOKUP(I1857,KET!$B:$F,4,0),"")</f>
        <v>WINDA</v>
      </c>
      <c r="F1857" s="20" t="str">
        <f>IFERROR(VLOOKUP(I1857,KET!$B:$F,5,0),"")</f>
        <v>GMM</v>
      </c>
      <c r="G1857" s="20">
        <f>IFERROR(INDEX('Kode Outlet dan Target Toko'!$C:$C,MATCH($I1857,'Kode Outlet dan Target Toko'!$E:$E,0)),0)</f>
        <v>211163</v>
      </c>
      <c r="H1857" s="20">
        <f>IFERROR(INDEX('Kode Outlet dan Target Toko'!$D:$D,MATCH($I1857,'Kode Outlet dan Target Toko'!$E:$E,0)),0)</f>
        <v>3703215</v>
      </c>
      <c r="I1857" s="42" t="s">
        <v>53</v>
      </c>
      <c r="J1857" s="56" t="s">
        <v>275</v>
      </c>
      <c r="K1857" s="40" t="s">
        <v>13</v>
      </c>
      <c r="L1857" s="26">
        <v>5800</v>
      </c>
      <c r="M1857" s="26">
        <v>0</v>
      </c>
      <c r="N1857" s="25">
        <f t="shared" si="57"/>
        <v>0</v>
      </c>
      <c r="O1857" s="56"/>
    </row>
    <row r="1858" spans="1:15" hidden="1" x14ac:dyDescent="0.3">
      <c r="A1858" s="26">
        <v>29</v>
      </c>
      <c r="B1858" s="20" t="str">
        <f t="shared" si="56"/>
        <v>JUL</v>
      </c>
      <c r="C1858" s="21">
        <v>46221</v>
      </c>
      <c r="D1858" s="22" t="str">
        <f t="array" ref="D1858">IFERROR(INDEX('Kode Outlet dan Target Toko'!$A:$A,MATCH($I1858,'Kode Outlet dan Target Toko'!$E:$E,0)),"")</f>
        <v>GRSM 6</v>
      </c>
      <c r="E1858" s="20" t="str">
        <f>IFERROR(VLOOKUP(I1858,KET!$B:$F,4,0),"")</f>
        <v>WINDA</v>
      </c>
      <c r="F1858" s="20" t="str">
        <f>IFERROR(VLOOKUP(I1858,KET!$B:$F,5,0),"")</f>
        <v>GMM</v>
      </c>
      <c r="G1858" s="20">
        <f>IFERROR(INDEX('Kode Outlet dan Target Toko'!$C:$C,MATCH($I1858,'Kode Outlet dan Target Toko'!$E:$E,0)),0)</f>
        <v>211163</v>
      </c>
      <c r="H1858" s="20">
        <f>IFERROR(INDEX('Kode Outlet dan Target Toko'!$D:$D,MATCH($I1858,'Kode Outlet dan Target Toko'!$E:$E,0)),0)</f>
        <v>3703215</v>
      </c>
      <c r="I1858" s="42" t="s">
        <v>53</v>
      </c>
      <c r="J1858" s="56" t="s">
        <v>275</v>
      </c>
      <c r="K1858" s="40" t="s">
        <v>16</v>
      </c>
      <c r="L1858" s="26">
        <v>5800</v>
      </c>
      <c r="M1858" s="26">
        <v>122</v>
      </c>
      <c r="N1858" s="25">
        <f t="shared" si="57"/>
        <v>707600</v>
      </c>
      <c r="O1858" s="56">
        <v>166</v>
      </c>
    </row>
    <row r="1859" spans="1:15" hidden="1" x14ac:dyDescent="0.3">
      <c r="A1859" s="26">
        <v>29</v>
      </c>
      <c r="B1859" s="20" t="str">
        <f t="shared" si="56"/>
        <v>JUL</v>
      </c>
      <c r="C1859" s="21">
        <v>46221</v>
      </c>
      <c r="D1859" s="22" t="str">
        <f t="array" ref="D1859">IFERROR(INDEX('Kode Outlet dan Target Toko'!$A:$A,MATCH($I1859,'Kode Outlet dan Target Toko'!$E:$E,0)),"")</f>
        <v>GRSM 6</v>
      </c>
      <c r="E1859" s="20" t="str">
        <f>IFERROR(VLOOKUP(I1859,KET!$B:$F,4,0),"")</f>
        <v>WINDA</v>
      </c>
      <c r="F1859" s="20" t="str">
        <f>IFERROR(VLOOKUP(I1859,KET!$B:$F,5,0),"")</f>
        <v>GMM</v>
      </c>
      <c r="G1859" s="20">
        <f>IFERROR(INDEX('Kode Outlet dan Target Toko'!$C:$C,MATCH($I1859,'Kode Outlet dan Target Toko'!$E:$E,0)),0)</f>
        <v>211163</v>
      </c>
      <c r="H1859" s="20">
        <f>IFERROR(INDEX('Kode Outlet dan Target Toko'!$D:$D,MATCH($I1859,'Kode Outlet dan Target Toko'!$E:$E,0)),0)</f>
        <v>3703215</v>
      </c>
      <c r="I1859" s="42" t="s">
        <v>53</v>
      </c>
      <c r="J1859" s="56" t="s">
        <v>276</v>
      </c>
      <c r="K1859" s="40" t="s">
        <v>15</v>
      </c>
      <c r="L1859" s="26">
        <v>5800</v>
      </c>
      <c r="M1859" s="26">
        <v>60</v>
      </c>
      <c r="N1859" s="25">
        <f t="shared" si="57"/>
        <v>348000</v>
      </c>
      <c r="O1859" s="56"/>
    </row>
    <row r="1860" spans="1:15" hidden="1" x14ac:dyDescent="0.3">
      <c r="A1860" s="26">
        <v>29</v>
      </c>
      <c r="B1860" s="20" t="str">
        <f t="shared" si="56"/>
        <v>JUL</v>
      </c>
      <c r="C1860" s="21">
        <v>46221</v>
      </c>
      <c r="D1860" s="22" t="str">
        <f t="array" ref="D1860">IFERROR(INDEX('Kode Outlet dan Target Toko'!$A:$A,MATCH($I1860,'Kode Outlet dan Target Toko'!$E:$E,0)),"")</f>
        <v>GRSM 6</v>
      </c>
      <c r="E1860" s="20" t="str">
        <f>IFERROR(VLOOKUP(I1860,KET!$B:$F,4,0),"")</f>
        <v>WINDA</v>
      </c>
      <c r="F1860" s="20" t="str">
        <f>IFERROR(VLOOKUP(I1860,KET!$B:$F,5,0),"")</f>
        <v>GMM</v>
      </c>
      <c r="G1860" s="20">
        <f>IFERROR(INDEX('Kode Outlet dan Target Toko'!$C:$C,MATCH($I1860,'Kode Outlet dan Target Toko'!$E:$E,0)),0)</f>
        <v>211163</v>
      </c>
      <c r="H1860" s="20">
        <f>IFERROR(INDEX('Kode Outlet dan Target Toko'!$D:$D,MATCH($I1860,'Kode Outlet dan Target Toko'!$E:$E,0)),0)</f>
        <v>3703215</v>
      </c>
      <c r="I1860" s="42" t="s">
        <v>53</v>
      </c>
      <c r="J1860" s="56" t="s">
        <v>276</v>
      </c>
      <c r="K1860" s="40" t="s">
        <v>14</v>
      </c>
      <c r="L1860" s="26">
        <v>5800</v>
      </c>
      <c r="M1860" s="26">
        <v>70</v>
      </c>
      <c r="N1860" s="25">
        <f t="shared" si="57"/>
        <v>406000</v>
      </c>
      <c r="O1860" s="56"/>
    </row>
    <row r="1861" spans="1:15" hidden="1" x14ac:dyDescent="0.3">
      <c r="A1861" s="26">
        <v>29</v>
      </c>
      <c r="B1861" s="20" t="str">
        <f t="shared" si="56"/>
        <v>JUL</v>
      </c>
      <c r="C1861" s="21">
        <v>46221</v>
      </c>
      <c r="D1861" s="22" t="str">
        <f t="array" ref="D1861">IFERROR(INDEX('Kode Outlet dan Target Toko'!$A:$A,MATCH($I1861,'Kode Outlet dan Target Toko'!$E:$E,0)),"")</f>
        <v>GRSM 6</v>
      </c>
      <c r="E1861" s="20" t="str">
        <f>IFERROR(VLOOKUP(I1861,KET!$B:$F,4,0),"")</f>
        <v>WINDA</v>
      </c>
      <c r="F1861" s="20" t="str">
        <f>IFERROR(VLOOKUP(I1861,KET!$B:$F,5,0),"")</f>
        <v>GMM</v>
      </c>
      <c r="G1861" s="20">
        <f>IFERROR(INDEX('Kode Outlet dan Target Toko'!$C:$C,MATCH($I1861,'Kode Outlet dan Target Toko'!$E:$E,0)),0)</f>
        <v>211163</v>
      </c>
      <c r="H1861" s="20">
        <f>IFERROR(INDEX('Kode Outlet dan Target Toko'!$D:$D,MATCH($I1861,'Kode Outlet dan Target Toko'!$E:$E,0)),0)</f>
        <v>3703215</v>
      </c>
      <c r="I1861" s="42" t="s">
        <v>53</v>
      </c>
      <c r="J1861" s="56" t="s">
        <v>276</v>
      </c>
      <c r="K1861" s="40" t="s">
        <v>13</v>
      </c>
      <c r="L1861" s="26">
        <v>5800</v>
      </c>
      <c r="M1861" s="26">
        <v>0</v>
      </c>
      <c r="N1861" s="25">
        <f t="shared" si="57"/>
        <v>0</v>
      </c>
      <c r="O1861" s="56"/>
    </row>
    <row r="1862" spans="1:15" hidden="1" x14ac:dyDescent="0.3">
      <c r="A1862" s="26">
        <v>29</v>
      </c>
      <c r="B1862" s="20" t="str">
        <f t="shared" si="56"/>
        <v>JUL</v>
      </c>
      <c r="C1862" s="21">
        <v>46221</v>
      </c>
      <c r="D1862" s="22" t="str">
        <f t="array" ref="D1862">IFERROR(INDEX('Kode Outlet dan Target Toko'!$A:$A,MATCH($I1862,'Kode Outlet dan Target Toko'!$E:$E,0)),"")</f>
        <v>GRSM 6</v>
      </c>
      <c r="E1862" s="20" t="str">
        <f>IFERROR(VLOOKUP(I1862,KET!$B:$F,4,0),"")</f>
        <v>WINDA</v>
      </c>
      <c r="F1862" s="20" t="str">
        <f>IFERROR(VLOOKUP(I1862,KET!$B:$F,5,0),"")</f>
        <v>GMM</v>
      </c>
      <c r="G1862" s="20">
        <f>IFERROR(INDEX('Kode Outlet dan Target Toko'!$C:$C,MATCH($I1862,'Kode Outlet dan Target Toko'!$E:$E,0)),0)</f>
        <v>211163</v>
      </c>
      <c r="H1862" s="20">
        <f>IFERROR(INDEX('Kode Outlet dan Target Toko'!$D:$D,MATCH($I1862,'Kode Outlet dan Target Toko'!$E:$E,0)),0)</f>
        <v>3703215</v>
      </c>
      <c r="I1862" s="42" t="s">
        <v>53</v>
      </c>
      <c r="J1862" s="56" t="s">
        <v>276</v>
      </c>
      <c r="K1862" s="40" t="s">
        <v>16</v>
      </c>
      <c r="L1862" s="26">
        <v>5800</v>
      </c>
      <c r="M1862" s="26">
        <v>122</v>
      </c>
      <c r="N1862" s="25">
        <f t="shared" si="57"/>
        <v>707600</v>
      </c>
      <c r="O1862" s="56">
        <v>166</v>
      </c>
    </row>
    <row r="1863" spans="1:15" hidden="1" x14ac:dyDescent="0.3">
      <c r="A1863" s="26">
        <v>29</v>
      </c>
      <c r="B1863" s="20" t="str">
        <f t="shared" ref="B1863:B1926" si="58">IF(C1863="","",UPPER(TEXT(C1863, "MMM")))</f>
        <v>JUL</v>
      </c>
      <c r="C1863" s="21">
        <v>46222</v>
      </c>
      <c r="D1863" s="22" t="str">
        <f t="array" ref="D1863">IFERROR(INDEX('Kode Outlet dan Target Toko'!$A:$A,MATCH($I1863,'Kode Outlet dan Target Toko'!$E:$E,0)),"")</f>
        <v>GRSM 6</v>
      </c>
      <c r="E1863" s="20" t="str">
        <f>IFERROR(VLOOKUP(I1863,KET!$B:$F,4,0),"")</f>
        <v>WINDA</v>
      </c>
      <c r="F1863" s="20" t="str">
        <f>IFERROR(VLOOKUP(I1863,KET!$B:$F,5,0),"")</f>
        <v>GMM</v>
      </c>
      <c r="G1863" s="20">
        <f>IFERROR(INDEX('Kode Outlet dan Target Toko'!$C:$C,MATCH($I1863,'Kode Outlet dan Target Toko'!$E:$E,0)),0)</f>
        <v>211033</v>
      </c>
      <c r="H1863" s="20">
        <f>IFERROR(INDEX('Kode Outlet dan Target Toko'!$D:$D,MATCH($I1863,'Kode Outlet dan Target Toko'!$E:$E,0)),0)</f>
        <v>2001021</v>
      </c>
      <c r="I1863" s="42" t="s">
        <v>66</v>
      </c>
      <c r="J1863" s="56" t="s">
        <v>283</v>
      </c>
      <c r="K1863" s="40" t="s">
        <v>15</v>
      </c>
      <c r="L1863" s="26">
        <v>3100</v>
      </c>
      <c r="M1863" s="26">
        <v>59</v>
      </c>
      <c r="N1863" s="25">
        <f t="shared" ref="N1863:N1926" si="59">IFERROR(M1863*L1863,"")</f>
        <v>182900</v>
      </c>
      <c r="O1863" s="56"/>
    </row>
    <row r="1864" spans="1:15" hidden="1" x14ac:dyDescent="0.3">
      <c r="A1864" s="26">
        <v>29</v>
      </c>
      <c r="B1864" s="20" t="str">
        <f t="shared" si="58"/>
        <v>JUL</v>
      </c>
      <c r="C1864" s="21">
        <v>46222</v>
      </c>
      <c r="D1864" s="22" t="str">
        <f t="array" ref="D1864">IFERROR(INDEX('Kode Outlet dan Target Toko'!$A:$A,MATCH($I1864,'Kode Outlet dan Target Toko'!$E:$E,0)),"")</f>
        <v>GRSM 6</v>
      </c>
      <c r="E1864" s="20" t="str">
        <f>IFERROR(VLOOKUP(I1864,KET!$B:$F,4,0),"")</f>
        <v>WINDA</v>
      </c>
      <c r="F1864" s="20" t="str">
        <f>IFERROR(VLOOKUP(I1864,KET!$B:$F,5,0),"")</f>
        <v>GMM</v>
      </c>
      <c r="G1864" s="20">
        <f>IFERROR(INDEX('Kode Outlet dan Target Toko'!$C:$C,MATCH($I1864,'Kode Outlet dan Target Toko'!$E:$E,0)),0)</f>
        <v>211033</v>
      </c>
      <c r="H1864" s="20">
        <f>IFERROR(INDEX('Kode Outlet dan Target Toko'!$D:$D,MATCH($I1864,'Kode Outlet dan Target Toko'!$E:$E,0)),0)</f>
        <v>2001021</v>
      </c>
      <c r="I1864" s="42" t="s">
        <v>66</v>
      </c>
      <c r="J1864" s="56" t="s">
        <v>283</v>
      </c>
      <c r="K1864" s="40" t="s">
        <v>14</v>
      </c>
      <c r="L1864" s="26">
        <v>3100</v>
      </c>
      <c r="M1864" s="26">
        <v>84</v>
      </c>
      <c r="N1864" s="25">
        <f t="shared" si="59"/>
        <v>260400</v>
      </c>
      <c r="O1864" s="56"/>
    </row>
    <row r="1865" spans="1:15" hidden="1" x14ac:dyDescent="0.3">
      <c r="A1865" s="26">
        <v>29</v>
      </c>
      <c r="B1865" s="20" t="str">
        <f t="shared" si="58"/>
        <v>JUL</v>
      </c>
      <c r="C1865" s="21">
        <v>46222</v>
      </c>
      <c r="D1865" s="22" t="str">
        <f t="array" ref="D1865">IFERROR(INDEX('Kode Outlet dan Target Toko'!$A:$A,MATCH($I1865,'Kode Outlet dan Target Toko'!$E:$E,0)),"")</f>
        <v>GRSM 6</v>
      </c>
      <c r="E1865" s="20" t="str">
        <f>IFERROR(VLOOKUP(I1865,KET!$B:$F,4,0),"")</f>
        <v>WINDA</v>
      </c>
      <c r="F1865" s="20" t="str">
        <f>IFERROR(VLOOKUP(I1865,KET!$B:$F,5,0),"")</f>
        <v>GMM</v>
      </c>
      <c r="G1865" s="20">
        <f>IFERROR(INDEX('Kode Outlet dan Target Toko'!$C:$C,MATCH($I1865,'Kode Outlet dan Target Toko'!$E:$E,0)),0)</f>
        <v>211033</v>
      </c>
      <c r="H1865" s="20">
        <f>IFERROR(INDEX('Kode Outlet dan Target Toko'!$D:$D,MATCH($I1865,'Kode Outlet dan Target Toko'!$E:$E,0)),0)</f>
        <v>2001021</v>
      </c>
      <c r="I1865" s="42" t="s">
        <v>66</v>
      </c>
      <c r="J1865" s="56" t="s">
        <v>283</v>
      </c>
      <c r="K1865" s="40" t="s">
        <v>13</v>
      </c>
      <c r="L1865" s="26">
        <v>3100</v>
      </c>
      <c r="M1865" s="26">
        <v>71</v>
      </c>
      <c r="N1865" s="25">
        <f t="shared" si="59"/>
        <v>220100</v>
      </c>
      <c r="O1865" s="56"/>
    </row>
    <row r="1866" spans="1:15" hidden="1" x14ac:dyDescent="0.3">
      <c r="A1866" s="26">
        <v>29</v>
      </c>
      <c r="B1866" s="20" t="str">
        <f t="shared" si="58"/>
        <v>JUL</v>
      </c>
      <c r="C1866" s="21">
        <v>46222</v>
      </c>
      <c r="D1866" s="22" t="str">
        <f t="array" ref="D1866">IFERROR(INDEX('Kode Outlet dan Target Toko'!$A:$A,MATCH($I1866,'Kode Outlet dan Target Toko'!$E:$E,0)),"")</f>
        <v>GRSM 6</v>
      </c>
      <c r="E1866" s="20" t="str">
        <f>IFERROR(VLOOKUP(I1866,KET!$B:$F,4,0),"")</f>
        <v>WINDA</v>
      </c>
      <c r="F1866" s="20" t="str">
        <f>IFERROR(VLOOKUP(I1866,KET!$B:$F,5,0),"")</f>
        <v>GMM</v>
      </c>
      <c r="G1866" s="20">
        <f>IFERROR(INDEX('Kode Outlet dan Target Toko'!$C:$C,MATCH($I1866,'Kode Outlet dan Target Toko'!$E:$E,0)),0)</f>
        <v>211033</v>
      </c>
      <c r="H1866" s="20">
        <f>IFERROR(INDEX('Kode Outlet dan Target Toko'!$D:$D,MATCH($I1866,'Kode Outlet dan Target Toko'!$E:$E,0)),0)</f>
        <v>2001021</v>
      </c>
      <c r="I1866" s="42" t="s">
        <v>66</v>
      </c>
      <c r="J1866" s="56" t="s">
        <v>283</v>
      </c>
      <c r="K1866" s="40" t="s">
        <v>16</v>
      </c>
      <c r="L1866" s="26">
        <v>3100</v>
      </c>
      <c r="M1866" s="26">
        <v>200</v>
      </c>
      <c r="N1866" s="25">
        <f t="shared" si="59"/>
        <v>620000</v>
      </c>
      <c r="O1866" s="56">
        <v>160</v>
      </c>
    </row>
    <row r="1867" spans="1:15" hidden="1" x14ac:dyDescent="0.3">
      <c r="A1867" s="26">
        <v>29</v>
      </c>
      <c r="B1867" s="20" t="str">
        <f t="shared" si="58"/>
        <v>JUL</v>
      </c>
      <c r="C1867" s="21">
        <v>46222</v>
      </c>
      <c r="D1867" s="22" t="str">
        <f t="array" ref="D1867">IFERROR(INDEX('Kode Outlet dan Target Toko'!$A:$A,MATCH($I1867,'Kode Outlet dan Target Toko'!$E:$E,0)),"")</f>
        <v>GRSM 6</v>
      </c>
      <c r="E1867" s="20" t="str">
        <f>IFERROR(VLOOKUP(I1867,KET!$B:$F,4,0),"")</f>
        <v>WINDA</v>
      </c>
      <c r="F1867" s="20" t="str">
        <f>IFERROR(VLOOKUP(I1867,KET!$B:$F,5,0),"")</f>
        <v>GMM</v>
      </c>
      <c r="G1867" s="20">
        <f>IFERROR(INDEX('Kode Outlet dan Target Toko'!$C:$C,MATCH($I1867,'Kode Outlet dan Target Toko'!$E:$E,0)),0)</f>
        <v>211033</v>
      </c>
      <c r="H1867" s="20">
        <f>IFERROR(INDEX('Kode Outlet dan Target Toko'!$D:$D,MATCH($I1867,'Kode Outlet dan Target Toko'!$E:$E,0)),0)</f>
        <v>2001021</v>
      </c>
      <c r="I1867" s="42" t="s">
        <v>66</v>
      </c>
      <c r="J1867" s="56" t="s">
        <v>284</v>
      </c>
      <c r="K1867" s="40" t="s">
        <v>15</v>
      </c>
      <c r="L1867" s="26">
        <v>3100</v>
      </c>
      <c r="M1867" s="26">
        <v>59</v>
      </c>
      <c r="N1867" s="25">
        <f t="shared" si="59"/>
        <v>182900</v>
      </c>
      <c r="O1867" s="56"/>
    </row>
    <row r="1868" spans="1:15" hidden="1" x14ac:dyDescent="0.3">
      <c r="A1868" s="26">
        <v>29</v>
      </c>
      <c r="B1868" s="20" t="str">
        <f t="shared" si="58"/>
        <v>JUL</v>
      </c>
      <c r="C1868" s="21">
        <v>46222</v>
      </c>
      <c r="D1868" s="22" t="str">
        <f t="array" ref="D1868">IFERROR(INDEX('Kode Outlet dan Target Toko'!$A:$A,MATCH($I1868,'Kode Outlet dan Target Toko'!$E:$E,0)),"")</f>
        <v>GRSM 6</v>
      </c>
      <c r="E1868" s="20" t="str">
        <f>IFERROR(VLOOKUP(I1868,KET!$B:$F,4,0),"")</f>
        <v>WINDA</v>
      </c>
      <c r="F1868" s="20" t="str">
        <f>IFERROR(VLOOKUP(I1868,KET!$B:$F,5,0),"")</f>
        <v>GMM</v>
      </c>
      <c r="G1868" s="20">
        <f>IFERROR(INDEX('Kode Outlet dan Target Toko'!$C:$C,MATCH($I1868,'Kode Outlet dan Target Toko'!$E:$E,0)),0)</f>
        <v>211033</v>
      </c>
      <c r="H1868" s="20">
        <f>IFERROR(INDEX('Kode Outlet dan Target Toko'!$D:$D,MATCH($I1868,'Kode Outlet dan Target Toko'!$E:$E,0)),0)</f>
        <v>2001021</v>
      </c>
      <c r="I1868" s="42" t="s">
        <v>66</v>
      </c>
      <c r="J1868" s="56" t="s">
        <v>284</v>
      </c>
      <c r="K1868" s="40" t="s">
        <v>14</v>
      </c>
      <c r="L1868" s="26">
        <v>3100</v>
      </c>
      <c r="M1868" s="26">
        <v>84</v>
      </c>
      <c r="N1868" s="25">
        <f t="shared" si="59"/>
        <v>260400</v>
      </c>
      <c r="O1868" s="56"/>
    </row>
    <row r="1869" spans="1:15" hidden="1" x14ac:dyDescent="0.3">
      <c r="A1869" s="26">
        <v>29</v>
      </c>
      <c r="B1869" s="20" t="str">
        <f t="shared" si="58"/>
        <v>JUL</v>
      </c>
      <c r="C1869" s="21">
        <v>46222</v>
      </c>
      <c r="D1869" s="22" t="str">
        <f t="array" ref="D1869">IFERROR(INDEX('Kode Outlet dan Target Toko'!$A:$A,MATCH($I1869,'Kode Outlet dan Target Toko'!$E:$E,0)),"")</f>
        <v>GRSM 6</v>
      </c>
      <c r="E1869" s="20" t="str">
        <f>IFERROR(VLOOKUP(I1869,KET!$B:$F,4,0),"")</f>
        <v>WINDA</v>
      </c>
      <c r="F1869" s="20" t="str">
        <f>IFERROR(VLOOKUP(I1869,KET!$B:$F,5,0),"")</f>
        <v>GMM</v>
      </c>
      <c r="G1869" s="20">
        <f>IFERROR(INDEX('Kode Outlet dan Target Toko'!$C:$C,MATCH($I1869,'Kode Outlet dan Target Toko'!$E:$E,0)),0)</f>
        <v>211033</v>
      </c>
      <c r="H1869" s="20">
        <f>IFERROR(INDEX('Kode Outlet dan Target Toko'!$D:$D,MATCH($I1869,'Kode Outlet dan Target Toko'!$E:$E,0)),0)</f>
        <v>2001021</v>
      </c>
      <c r="I1869" s="42" t="s">
        <v>66</v>
      </c>
      <c r="J1869" s="56" t="s">
        <v>284</v>
      </c>
      <c r="K1869" s="40" t="s">
        <v>13</v>
      </c>
      <c r="L1869" s="26">
        <v>3100</v>
      </c>
      <c r="M1869" s="26">
        <v>71</v>
      </c>
      <c r="N1869" s="25">
        <f t="shared" si="59"/>
        <v>220100</v>
      </c>
      <c r="O1869" s="56"/>
    </row>
    <row r="1870" spans="1:15" hidden="1" x14ac:dyDescent="0.3">
      <c r="A1870" s="26">
        <v>29</v>
      </c>
      <c r="B1870" s="20" t="str">
        <f t="shared" si="58"/>
        <v>JUL</v>
      </c>
      <c r="C1870" s="21">
        <v>46222</v>
      </c>
      <c r="D1870" s="22" t="str">
        <f t="array" ref="D1870">IFERROR(INDEX('Kode Outlet dan Target Toko'!$A:$A,MATCH($I1870,'Kode Outlet dan Target Toko'!$E:$E,0)),"")</f>
        <v>GRSM 6</v>
      </c>
      <c r="E1870" s="20" t="str">
        <f>IFERROR(VLOOKUP(I1870,KET!$B:$F,4,0),"")</f>
        <v>WINDA</v>
      </c>
      <c r="F1870" s="20" t="str">
        <f>IFERROR(VLOOKUP(I1870,KET!$B:$F,5,0),"")</f>
        <v>GMM</v>
      </c>
      <c r="G1870" s="20">
        <f>IFERROR(INDEX('Kode Outlet dan Target Toko'!$C:$C,MATCH($I1870,'Kode Outlet dan Target Toko'!$E:$E,0)),0)</f>
        <v>211033</v>
      </c>
      <c r="H1870" s="20">
        <f>IFERROR(INDEX('Kode Outlet dan Target Toko'!$D:$D,MATCH($I1870,'Kode Outlet dan Target Toko'!$E:$E,0)),0)</f>
        <v>2001021</v>
      </c>
      <c r="I1870" s="42" t="s">
        <v>66</v>
      </c>
      <c r="J1870" s="56" t="s">
        <v>284</v>
      </c>
      <c r="K1870" s="40" t="s">
        <v>16</v>
      </c>
      <c r="L1870" s="26">
        <v>3100</v>
      </c>
      <c r="M1870" s="26">
        <v>200</v>
      </c>
      <c r="N1870" s="25">
        <f t="shared" si="59"/>
        <v>620000</v>
      </c>
      <c r="O1870" s="56">
        <v>160</v>
      </c>
    </row>
    <row r="1871" spans="1:15" hidden="1" x14ac:dyDescent="0.3">
      <c r="A1871" s="26">
        <v>29</v>
      </c>
      <c r="B1871" s="20" t="str">
        <f t="shared" si="58"/>
        <v>JUL</v>
      </c>
      <c r="C1871" s="21">
        <v>46222</v>
      </c>
      <c r="D1871" s="22" t="str">
        <f t="array" ref="D1871">IFERROR(INDEX('Kode Outlet dan Target Toko'!$A:$A,MATCH($I1871,'Kode Outlet dan Target Toko'!$E:$E,0)),"")</f>
        <v>GRSM 6</v>
      </c>
      <c r="E1871" s="20" t="str">
        <f>IFERROR(VLOOKUP(I1871,KET!$B:$F,4,0),"")</f>
        <v>WINDA</v>
      </c>
      <c r="F1871" s="20" t="str">
        <f>IFERROR(VLOOKUP(I1871,KET!$B:$F,5,0),"")</f>
        <v>GMM</v>
      </c>
      <c r="G1871" s="20">
        <f>IFERROR(INDEX('Kode Outlet dan Target Toko'!$C:$C,MATCH($I1871,'Kode Outlet dan Target Toko'!$E:$E,0)),0)</f>
        <v>211139</v>
      </c>
      <c r="H1871" s="20">
        <f>IFERROR(INDEX('Kode Outlet dan Target Toko'!$D:$D,MATCH($I1871,'Kode Outlet dan Target Toko'!$E:$E,0)),0)</f>
        <v>3604550</v>
      </c>
      <c r="I1871" s="42" t="s">
        <v>69</v>
      </c>
      <c r="J1871" s="56" t="s">
        <v>281</v>
      </c>
      <c r="K1871" s="40" t="s">
        <v>15</v>
      </c>
      <c r="L1871" s="26">
        <v>2800</v>
      </c>
      <c r="M1871" s="26">
        <v>52</v>
      </c>
      <c r="N1871" s="25">
        <f t="shared" si="59"/>
        <v>145600</v>
      </c>
      <c r="O1871" s="56"/>
    </row>
    <row r="1872" spans="1:15" hidden="1" x14ac:dyDescent="0.3">
      <c r="A1872" s="26">
        <v>29</v>
      </c>
      <c r="B1872" s="20" t="str">
        <f t="shared" si="58"/>
        <v>JUL</v>
      </c>
      <c r="C1872" s="21">
        <v>46222</v>
      </c>
      <c r="D1872" s="22" t="str">
        <f t="array" ref="D1872">IFERROR(INDEX('Kode Outlet dan Target Toko'!$A:$A,MATCH($I1872,'Kode Outlet dan Target Toko'!$E:$E,0)),"")</f>
        <v>GRSM 6</v>
      </c>
      <c r="E1872" s="20" t="str">
        <f>IFERROR(VLOOKUP(I1872,KET!$B:$F,4,0),"")</f>
        <v>WINDA</v>
      </c>
      <c r="F1872" s="20" t="str">
        <f>IFERROR(VLOOKUP(I1872,KET!$B:$F,5,0),"")</f>
        <v>GMM</v>
      </c>
      <c r="G1872" s="20">
        <f>IFERROR(INDEX('Kode Outlet dan Target Toko'!$C:$C,MATCH($I1872,'Kode Outlet dan Target Toko'!$E:$E,0)),0)</f>
        <v>211139</v>
      </c>
      <c r="H1872" s="20">
        <f>IFERROR(INDEX('Kode Outlet dan Target Toko'!$D:$D,MATCH($I1872,'Kode Outlet dan Target Toko'!$E:$E,0)),0)</f>
        <v>3604550</v>
      </c>
      <c r="I1872" s="42" t="s">
        <v>69</v>
      </c>
      <c r="J1872" s="56" t="s">
        <v>281</v>
      </c>
      <c r="K1872" s="40" t="s">
        <v>14</v>
      </c>
      <c r="L1872" s="26">
        <v>2800</v>
      </c>
      <c r="M1872" s="26">
        <v>162</v>
      </c>
      <c r="N1872" s="25">
        <f t="shared" si="59"/>
        <v>453600</v>
      </c>
      <c r="O1872" s="56"/>
    </row>
    <row r="1873" spans="1:15" hidden="1" x14ac:dyDescent="0.3">
      <c r="A1873" s="26">
        <v>29</v>
      </c>
      <c r="B1873" s="20" t="str">
        <f t="shared" si="58"/>
        <v>JUL</v>
      </c>
      <c r="C1873" s="21">
        <v>46222</v>
      </c>
      <c r="D1873" s="22" t="str">
        <f t="array" ref="D1873">IFERROR(INDEX('Kode Outlet dan Target Toko'!$A:$A,MATCH($I1873,'Kode Outlet dan Target Toko'!$E:$E,0)),"")</f>
        <v>GRSM 6</v>
      </c>
      <c r="E1873" s="20" t="str">
        <f>IFERROR(VLOOKUP(I1873,KET!$B:$F,4,0),"")</f>
        <v>WINDA</v>
      </c>
      <c r="F1873" s="20" t="str">
        <f>IFERROR(VLOOKUP(I1873,KET!$B:$F,5,0),"")</f>
        <v>GMM</v>
      </c>
      <c r="G1873" s="20">
        <f>IFERROR(INDEX('Kode Outlet dan Target Toko'!$C:$C,MATCH($I1873,'Kode Outlet dan Target Toko'!$E:$E,0)),0)</f>
        <v>211139</v>
      </c>
      <c r="H1873" s="20">
        <f>IFERROR(INDEX('Kode Outlet dan Target Toko'!$D:$D,MATCH($I1873,'Kode Outlet dan Target Toko'!$E:$E,0)),0)</f>
        <v>3604550</v>
      </c>
      <c r="I1873" s="42" t="s">
        <v>69</v>
      </c>
      <c r="J1873" s="56" t="s">
        <v>281</v>
      </c>
      <c r="K1873" s="40" t="s">
        <v>13</v>
      </c>
      <c r="L1873" s="26">
        <v>2800</v>
      </c>
      <c r="M1873" s="26">
        <v>20</v>
      </c>
      <c r="N1873" s="25">
        <f t="shared" si="59"/>
        <v>56000</v>
      </c>
      <c r="O1873" s="56"/>
    </row>
    <row r="1874" spans="1:15" hidden="1" x14ac:dyDescent="0.3">
      <c r="A1874" s="26">
        <v>29</v>
      </c>
      <c r="B1874" s="20" t="str">
        <f t="shared" si="58"/>
        <v>JUL</v>
      </c>
      <c r="C1874" s="21">
        <v>46222</v>
      </c>
      <c r="D1874" s="22" t="str">
        <f t="array" ref="D1874">IFERROR(INDEX('Kode Outlet dan Target Toko'!$A:$A,MATCH($I1874,'Kode Outlet dan Target Toko'!$E:$E,0)),"")</f>
        <v>GRSM 6</v>
      </c>
      <c r="E1874" s="20" t="str">
        <f>IFERROR(VLOOKUP(I1874,KET!$B:$F,4,0),"")</f>
        <v>WINDA</v>
      </c>
      <c r="F1874" s="20" t="str">
        <f>IFERROR(VLOOKUP(I1874,KET!$B:$F,5,0),"")</f>
        <v>GMM</v>
      </c>
      <c r="G1874" s="20">
        <f>IFERROR(INDEX('Kode Outlet dan Target Toko'!$C:$C,MATCH($I1874,'Kode Outlet dan Target Toko'!$E:$E,0)),0)</f>
        <v>211139</v>
      </c>
      <c r="H1874" s="20">
        <f>IFERROR(INDEX('Kode Outlet dan Target Toko'!$D:$D,MATCH($I1874,'Kode Outlet dan Target Toko'!$E:$E,0)),0)</f>
        <v>3604550</v>
      </c>
      <c r="I1874" s="42" t="s">
        <v>69</v>
      </c>
      <c r="J1874" s="56" t="s">
        <v>281</v>
      </c>
      <c r="K1874" s="40" t="s">
        <v>16</v>
      </c>
      <c r="L1874" s="26">
        <v>2800</v>
      </c>
      <c r="M1874" s="26">
        <v>268</v>
      </c>
      <c r="N1874" s="25">
        <f t="shared" si="59"/>
        <v>750400</v>
      </c>
      <c r="O1874" s="56">
        <v>160</v>
      </c>
    </row>
    <row r="1875" spans="1:15" hidden="1" x14ac:dyDescent="0.3">
      <c r="A1875" s="26">
        <v>29</v>
      </c>
      <c r="B1875" s="20" t="str">
        <f t="shared" si="58"/>
        <v>JUL</v>
      </c>
      <c r="C1875" s="21">
        <v>46222</v>
      </c>
      <c r="D1875" s="22" t="str">
        <f t="array" ref="D1875">IFERROR(INDEX('Kode Outlet dan Target Toko'!$A:$A,MATCH($I1875,'Kode Outlet dan Target Toko'!$E:$E,0)),"")</f>
        <v>GRSM 6</v>
      </c>
      <c r="E1875" s="20" t="str">
        <f>IFERROR(VLOOKUP(I1875,KET!$B:$F,4,0),"")</f>
        <v>WINDA</v>
      </c>
      <c r="F1875" s="20" t="str">
        <f>IFERROR(VLOOKUP(I1875,KET!$B:$F,5,0),"")</f>
        <v>GMM</v>
      </c>
      <c r="G1875" s="20">
        <f>IFERROR(INDEX('Kode Outlet dan Target Toko'!$C:$C,MATCH($I1875,'Kode Outlet dan Target Toko'!$E:$E,0)),0)</f>
        <v>211139</v>
      </c>
      <c r="H1875" s="20">
        <f>IFERROR(INDEX('Kode Outlet dan Target Toko'!$D:$D,MATCH($I1875,'Kode Outlet dan Target Toko'!$E:$E,0)),0)</f>
        <v>3604550</v>
      </c>
      <c r="I1875" s="42" t="s">
        <v>69</v>
      </c>
      <c r="J1875" s="56" t="s">
        <v>282</v>
      </c>
      <c r="K1875" s="40" t="s">
        <v>15</v>
      </c>
      <c r="L1875" s="26">
        <v>2800</v>
      </c>
      <c r="M1875" s="26">
        <v>52</v>
      </c>
      <c r="N1875" s="25">
        <f t="shared" si="59"/>
        <v>145600</v>
      </c>
      <c r="O1875" s="56"/>
    </row>
    <row r="1876" spans="1:15" hidden="1" x14ac:dyDescent="0.3">
      <c r="A1876" s="26">
        <v>29</v>
      </c>
      <c r="B1876" s="20" t="str">
        <f t="shared" si="58"/>
        <v>JUL</v>
      </c>
      <c r="C1876" s="21">
        <v>46222</v>
      </c>
      <c r="D1876" s="22" t="str">
        <f t="array" ref="D1876">IFERROR(INDEX('Kode Outlet dan Target Toko'!$A:$A,MATCH($I1876,'Kode Outlet dan Target Toko'!$E:$E,0)),"")</f>
        <v>GRSM 6</v>
      </c>
      <c r="E1876" s="20" t="str">
        <f>IFERROR(VLOOKUP(I1876,KET!$B:$F,4,0),"")</f>
        <v>WINDA</v>
      </c>
      <c r="F1876" s="20" t="str">
        <f>IFERROR(VLOOKUP(I1876,KET!$B:$F,5,0),"")</f>
        <v>GMM</v>
      </c>
      <c r="G1876" s="20">
        <f>IFERROR(INDEX('Kode Outlet dan Target Toko'!$C:$C,MATCH($I1876,'Kode Outlet dan Target Toko'!$E:$E,0)),0)</f>
        <v>211139</v>
      </c>
      <c r="H1876" s="20">
        <f>IFERROR(INDEX('Kode Outlet dan Target Toko'!$D:$D,MATCH($I1876,'Kode Outlet dan Target Toko'!$E:$E,0)),0)</f>
        <v>3604550</v>
      </c>
      <c r="I1876" s="42" t="s">
        <v>69</v>
      </c>
      <c r="J1876" s="56" t="s">
        <v>282</v>
      </c>
      <c r="K1876" s="40" t="s">
        <v>14</v>
      </c>
      <c r="L1876" s="26">
        <v>2800</v>
      </c>
      <c r="M1876" s="26">
        <v>162</v>
      </c>
      <c r="N1876" s="25">
        <f t="shared" si="59"/>
        <v>453600</v>
      </c>
      <c r="O1876" s="56"/>
    </row>
    <row r="1877" spans="1:15" hidden="1" x14ac:dyDescent="0.3">
      <c r="A1877" s="26">
        <v>29</v>
      </c>
      <c r="B1877" s="20" t="str">
        <f t="shared" si="58"/>
        <v>JUL</v>
      </c>
      <c r="C1877" s="21">
        <v>46222</v>
      </c>
      <c r="D1877" s="22" t="str">
        <f t="array" ref="D1877">IFERROR(INDEX('Kode Outlet dan Target Toko'!$A:$A,MATCH($I1877,'Kode Outlet dan Target Toko'!$E:$E,0)),"")</f>
        <v>GRSM 6</v>
      </c>
      <c r="E1877" s="20" t="str">
        <f>IFERROR(VLOOKUP(I1877,KET!$B:$F,4,0),"")</f>
        <v>WINDA</v>
      </c>
      <c r="F1877" s="20" t="str">
        <f>IFERROR(VLOOKUP(I1877,KET!$B:$F,5,0),"")</f>
        <v>GMM</v>
      </c>
      <c r="G1877" s="20">
        <f>IFERROR(INDEX('Kode Outlet dan Target Toko'!$C:$C,MATCH($I1877,'Kode Outlet dan Target Toko'!$E:$E,0)),0)</f>
        <v>211139</v>
      </c>
      <c r="H1877" s="20">
        <f>IFERROR(INDEX('Kode Outlet dan Target Toko'!$D:$D,MATCH($I1877,'Kode Outlet dan Target Toko'!$E:$E,0)),0)</f>
        <v>3604550</v>
      </c>
      <c r="I1877" s="42" t="s">
        <v>69</v>
      </c>
      <c r="J1877" s="56" t="s">
        <v>282</v>
      </c>
      <c r="K1877" s="40" t="s">
        <v>13</v>
      </c>
      <c r="L1877" s="26">
        <v>2800</v>
      </c>
      <c r="M1877" s="26">
        <v>20</v>
      </c>
      <c r="N1877" s="25">
        <f t="shared" si="59"/>
        <v>56000</v>
      </c>
      <c r="O1877" s="56"/>
    </row>
    <row r="1878" spans="1:15" hidden="1" x14ac:dyDescent="0.3">
      <c r="A1878" s="26">
        <v>29</v>
      </c>
      <c r="B1878" s="20" t="str">
        <f t="shared" si="58"/>
        <v>JUL</v>
      </c>
      <c r="C1878" s="21">
        <v>46222</v>
      </c>
      <c r="D1878" s="22" t="str">
        <f t="array" ref="D1878">IFERROR(INDEX('Kode Outlet dan Target Toko'!$A:$A,MATCH($I1878,'Kode Outlet dan Target Toko'!$E:$E,0)),"")</f>
        <v>GRSM 6</v>
      </c>
      <c r="E1878" s="20" t="str">
        <f>IFERROR(VLOOKUP(I1878,KET!$B:$F,4,0),"")</f>
        <v>WINDA</v>
      </c>
      <c r="F1878" s="20" t="str">
        <f>IFERROR(VLOOKUP(I1878,KET!$B:$F,5,0),"")</f>
        <v>GMM</v>
      </c>
      <c r="G1878" s="20">
        <f>IFERROR(INDEX('Kode Outlet dan Target Toko'!$C:$C,MATCH($I1878,'Kode Outlet dan Target Toko'!$E:$E,0)),0)</f>
        <v>211139</v>
      </c>
      <c r="H1878" s="20">
        <f>IFERROR(INDEX('Kode Outlet dan Target Toko'!$D:$D,MATCH($I1878,'Kode Outlet dan Target Toko'!$E:$E,0)),0)</f>
        <v>3604550</v>
      </c>
      <c r="I1878" s="42" t="s">
        <v>69</v>
      </c>
      <c r="J1878" s="56" t="s">
        <v>282</v>
      </c>
      <c r="K1878" s="40" t="s">
        <v>16</v>
      </c>
      <c r="L1878" s="26">
        <v>2800</v>
      </c>
      <c r="M1878" s="26">
        <v>268</v>
      </c>
      <c r="N1878" s="25">
        <f t="shared" si="59"/>
        <v>750400</v>
      </c>
      <c r="O1878" s="56">
        <v>160</v>
      </c>
    </row>
    <row r="1879" spans="1:15" hidden="1" x14ac:dyDescent="0.3">
      <c r="A1879" s="26">
        <v>29</v>
      </c>
      <c r="B1879" s="20" t="str">
        <f t="shared" si="58"/>
        <v>JUL</v>
      </c>
      <c r="C1879" s="21">
        <v>46222</v>
      </c>
      <c r="D1879" s="22" t="str">
        <f t="array" ref="D1879">IFERROR(INDEX('Kode Outlet dan Target Toko'!$A:$A,MATCH($I1879,'Kode Outlet dan Target Toko'!$E:$E,0)),"")</f>
        <v>GRSM 6</v>
      </c>
      <c r="E1879" s="20" t="str">
        <f>IFERROR(VLOOKUP(I1879,KET!$B:$F,4,0),"")</f>
        <v>WINDA</v>
      </c>
      <c r="F1879" s="20" t="str">
        <f>IFERROR(VLOOKUP(I1879,KET!$B:$F,5,0),"")</f>
        <v>GMM</v>
      </c>
      <c r="G1879" s="20">
        <f>IFERROR(INDEX('Kode Outlet dan Target Toko'!$C:$C,MATCH($I1879,'Kode Outlet dan Target Toko'!$E:$E,0)),0)</f>
        <v>211033</v>
      </c>
      <c r="H1879" s="20">
        <f>IFERROR(INDEX('Kode Outlet dan Target Toko'!$D:$D,MATCH($I1879,'Kode Outlet dan Target Toko'!$E:$E,0)),0)</f>
        <v>6467246</v>
      </c>
      <c r="I1879" s="42" t="s">
        <v>50</v>
      </c>
      <c r="J1879" s="56" t="s">
        <v>271</v>
      </c>
      <c r="K1879" s="40" t="s">
        <v>15</v>
      </c>
      <c r="L1879" s="26">
        <v>2900</v>
      </c>
      <c r="M1879" s="26">
        <v>60</v>
      </c>
      <c r="N1879" s="25">
        <f t="shared" si="59"/>
        <v>174000</v>
      </c>
      <c r="O1879" s="56"/>
    </row>
    <row r="1880" spans="1:15" hidden="1" x14ac:dyDescent="0.3">
      <c r="A1880" s="26">
        <v>29</v>
      </c>
      <c r="B1880" s="20" t="str">
        <f t="shared" si="58"/>
        <v>JUL</v>
      </c>
      <c r="C1880" s="21">
        <v>46222</v>
      </c>
      <c r="D1880" s="22" t="str">
        <f t="array" ref="D1880">IFERROR(INDEX('Kode Outlet dan Target Toko'!$A:$A,MATCH($I1880,'Kode Outlet dan Target Toko'!$E:$E,0)),"")</f>
        <v>GRSM 6</v>
      </c>
      <c r="E1880" s="20" t="str">
        <f>IFERROR(VLOOKUP(I1880,KET!$B:$F,4,0),"")</f>
        <v>WINDA</v>
      </c>
      <c r="F1880" s="20" t="str">
        <f>IFERROR(VLOOKUP(I1880,KET!$B:$F,5,0),"")</f>
        <v>GMM</v>
      </c>
      <c r="G1880" s="20">
        <f>IFERROR(INDEX('Kode Outlet dan Target Toko'!$C:$C,MATCH($I1880,'Kode Outlet dan Target Toko'!$E:$E,0)),0)</f>
        <v>211033</v>
      </c>
      <c r="H1880" s="20">
        <f>IFERROR(INDEX('Kode Outlet dan Target Toko'!$D:$D,MATCH($I1880,'Kode Outlet dan Target Toko'!$E:$E,0)),0)</f>
        <v>6467246</v>
      </c>
      <c r="I1880" s="42" t="s">
        <v>50</v>
      </c>
      <c r="J1880" s="56" t="s">
        <v>271</v>
      </c>
      <c r="K1880" s="40" t="s">
        <v>14</v>
      </c>
      <c r="L1880" s="26">
        <v>2900</v>
      </c>
      <c r="M1880" s="26">
        <v>92</v>
      </c>
      <c r="N1880" s="25">
        <f t="shared" si="59"/>
        <v>266800</v>
      </c>
      <c r="O1880" s="56"/>
    </row>
    <row r="1881" spans="1:15" hidden="1" x14ac:dyDescent="0.3">
      <c r="A1881" s="26">
        <v>29</v>
      </c>
      <c r="B1881" s="20" t="str">
        <f t="shared" si="58"/>
        <v>JUL</v>
      </c>
      <c r="C1881" s="21">
        <v>46222</v>
      </c>
      <c r="D1881" s="22" t="str">
        <f t="array" ref="D1881">IFERROR(INDEX('Kode Outlet dan Target Toko'!$A:$A,MATCH($I1881,'Kode Outlet dan Target Toko'!$E:$E,0)),"")</f>
        <v>GRSM 6</v>
      </c>
      <c r="E1881" s="20" t="str">
        <f>IFERROR(VLOOKUP(I1881,KET!$B:$F,4,0),"")</f>
        <v>WINDA</v>
      </c>
      <c r="F1881" s="20" t="str">
        <f>IFERROR(VLOOKUP(I1881,KET!$B:$F,5,0),"")</f>
        <v>GMM</v>
      </c>
      <c r="G1881" s="20">
        <f>IFERROR(INDEX('Kode Outlet dan Target Toko'!$C:$C,MATCH($I1881,'Kode Outlet dan Target Toko'!$E:$E,0)),0)</f>
        <v>211033</v>
      </c>
      <c r="H1881" s="20">
        <f>IFERROR(INDEX('Kode Outlet dan Target Toko'!$D:$D,MATCH($I1881,'Kode Outlet dan Target Toko'!$E:$E,0)),0)</f>
        <v>6467246</v>
      </c>
      <c r="I1881" s="42" t="s">
        <v>50</v>
      </c>
      <c r="J1881" s="56" t="s">
        <v>271</v>
      </c>
      <c r="K1881" s="40" t="s">
        <v>13</v>
      </c>
      <c r="L1881" s="26">
        <v>2900</v>
      </c>
      <c r="M1881" s="26">
        <v>52</v>
      </c>
      <c r="N1881" s="25">
        <f t="shared" si="59"/>
        <v>150800</v>
      </c>
      <c r="O1881" s="56"/>
    </row>
    <row r="1882" spans="1:15" hidden="1" x14ac:dyDescent="0.3">
      <c r="A1882" s="26">
        <v>29</v>
      </c>
      <c r="B1882" s="20" t="str">
        <f t="shared" si="58"/>
        <v>JUL</v>
      </c>
      <c r="C1882" s="21">
        <v>46222</v>
      </c>
      <c r="D1882" s="22" t="str">
        <f t="array" ref="D1882">IFERROR(INDEX('Kode Outlet dan Target Toko'!$A:$A,MATCH($I1882,'Kode Outlet dan Target Toko'!$E:$E,0)),"")</f>
        <v>GRSM 6</v>
      </c>
      <c r="E1882" s="20" t="str">
        <f>IFERROR(VLOOKUP(I1882,KET!$B:$F,4,0),"")</f>
        <v>WINDA</v>
      </c>
      <c r="F1882" s="20" t="str">
        <f>IFERROR(VLOOKUP(I1882,KET!$B:$F,5,0),"")</f>
        <v>GMM</v>
      </c>
      <c r="G1882" s="20">
        <f>IFERROR(INDEX('Kode Outlet dan Target Toko'!$C:$C,MATCH($I1882,'Kode Outlet dan Target Toko'!$E:$E,0)),0)</f>
        <v>211033</v>
      </c>
      <c r="H1882" s="20">
        <f>IFERROR(INDEX('Kode Outlet dan Target Toko'!$D:$D,MATCH($I1882,'Kode Outlet dan Target Toko'!$E:$E,0)),0)</f>
        <v>6467246</v>
      </c>
      <c r="I1882" s="42" t="s">
        <v>50</v>
      </c>
      <c r="J1882" s="56" t="s">
        <v>271</v>
      </c>
      <c r="K1882" s="40" t="s">
        <v>16</v>
      </c>
      <c r="L1882" s="26">
        <v>2900</v>
      </c>
      <c r="M1882" s="26">
        <v>364</v>
      </c>
      <c r="N1882" s="25">
        <f t="shared" si="59"/>
        <v>1055600</v>
      </c>
      <c r="O1882" s="56">
        <v>160</v>
      </c>
    </row>
    <row r="1883" spans="1:15" hidden="1" x14ac:dyDescent="0.3">
      <c r="A1883" s="26">
        <v>29</v>
      </c>
      <c r="B1883" s="20" t="str">
        <f t="shared" si="58"/>
        <v>JUL</v>
      </c>
      <c r="C1883" s="21">
        <v>46222</v>
      </c>
      <c r="D1883" s="22" t="str">
        <f t="array" ref="D1883">IFERROR(INDEX('Kode Outlet dan Target Toko'!$A:$A,MATCH($I1883,'Kode Outlet dan Target Toko'!$E:$E,0)),"")</f>
        <v>GRSM 6</v>
      </c>
      <c r="E1883" s="20" t="str">
        <f>IFERROR(VLOOKUP(I1883,KET!$B:$F,4,0),"")</f>
        <v>WINDA</v>
      </c>
      <c r="F1883" s="20" t="str">
        <f>IFERROR(VLOOKUP(I1883,KET!$B:$F,5,0),"")</f>
        <v>GMM</v>
      </c>
      <c r="G1883" s="20">
        <f>IFERROR(INDEX('Kode Outlet dan Target Toko'!$C:$C,MATCH($I1883,'Kode Outlet dan Target Toko'!$E:$E,0)),0)</f>
        <v>211033</v>
      </c>
      <c r="H1883" s="20">
        <f>IFERROR(INDEX('Kode Outlet dan Target Toko'!$D:$D,MATCH($I1883,'Kode Outlet dan Target Toko'!$E:$E,0)),0)</f>
        <v>6467246</v>
      </c>
      <c r="I1883" s="42" t="s">
        <v>50</v>
      </c>
      <c r="J1883" s="56" t="s">
        <v>272</v>
      </c>
      <c r="K1883" s="40" t="s">
        <v>15</v>
      </c>
      <c r="L1883" s="26">
        <v>2900</v>
      </c>
      <c r="M1883" s="26">
        <v>60</v>
      </c>
      <c r="N1883" s="25">
        <f t="shared" si="59"/>
        <v>174000</v>
      </c>
      <c r="O1883" s="56"/>
    </row>
    <row r="1884" spans="1:15" hidden="1" x14ac:dyDescent="0.3">
      <c r="A1884" s="26">
        <v>29</v>
      </c>
      <c r="B1884" s="20" t="str">
        <f t="shared" si="58"/>
        <v>JUL</v>
      </c>
      <c r="C1884" s="21">
        <v>46222</v>
      </c>
      <c r="D1884" s="22" t="str">
        <f t="array" ref="D1884">IFERROR(INDEX('Kode Outlet dan Target Toko'!$A:$A,MATCH($I1884,'Kode Outlet dan Target Toko'!$E:$E,0)),"")</f>
        <v>GRSM 6</v>
      </c>
      <c r="E1884" s="20" t="str">
        <f>IFERROR(VLOOKUP(I1884,KET!$B:$F,4,0),"")</f>
        <v>WINDA</v>
      </c>
      <c r="F1884" s="20" t="str">
        <f>IFERROR(VLOOKUP(I1884,KET!$B:$F,5,0),"")</f>
        <v>GMM</v>
      </c>
      <c r="G1884" s="20">
        <f>IFERROR(INDEX('Kode Outlet dan Target Toko'!$C:$C,MATCH($I1884,'Kode Outlet dan Target Toko'!$E:$E,0)),0)</f>
        <v>211033</v>
      </c>
      <c r="H1884" s="20">
        <f>IFERROR(INDEX('Kode Outlet dan Target Toko'!$D:$D,MATCH($I1884,'Kode Outlet dan Target Toko'!$E:$E,0)),0)</f>
        <v>6467246</v>
      </c>
      <c r="I1884" s="42" t="s">
        <v>50</v>
      </c>
      <c r="J1884" s="56" t="s">
        <v>272</v>
      </c>
      <c r="K1884" s="40" t="s">
        <v>14</v>
      </c>
      <c r="L1884" s="26">
        <v>2900</v>
      </c>
      <c r="M1884" s="26">
        <v>92</v>
      </c>
      <c r="N1884" s="25">
        <f t="shared" si="59"/>
        <v>266800</v>
      </c>
      <c r="O1884" s="56"/>
    </row>
    <row r="1885" spans="1:15" hidden="1" x14ac:dyDescent="0.3">
      <c r="A1885" s="26">
        <v>29</v>
      </c>
      <c r="B1885" s="20" t="str">
        <f t="shared" si="58"/>
        <v>JUL</v>
      </c>
      <c r="C1885" s="21">
        <v>46222</v>
      </c>
      <c r="D1885" s="22" t="str">
        <f t="array" ref="D1885">IFERROR(INDEX('Kode Outlet dan Target Toko'!$A:$A,MATCH($I1885,'Kode Outlet dan Target Toko'!$E:$E,0)),"")</f>
        <v>GRSM 6</v>
      </c>
      <c r="E1885" s="20" t="str">
        <f>IFERROR(VLOOKUP(I1885,KET!$B:$F,4,0),"")</f>
        <v>WINDA</v>
      </c>
      <c r="F1885" s="20" t="str">
        <f>IFERROR(VLOOKUP(I1885,KET!$B:$F,5,0),"")</f>
        <v>GMM</v>
      </c>
      <c r="G1885" s="20">
        <f>IFERROR(INDEX('Kode Outlet dan Target Toko'!$C:$C,MATCH($I1885,'Kode Outlet dan Target Toko'!$E:$E,0)),0)</f>
        <v>211033</v>
      </c>
      <c r="H1885" s="20">
        <f>IFERROR(INDEX('Kode Outlet dan Target Toko'!$D:$D,MATCH($I1885,'Kode Outlet dan Target Toko'!$E:$E,0)),0)</f>
        <v>6467246</v>
      </c>
      <c r="I1885" s="42" t="s">
        <v>50</v>
      </c>
      <c r="J1885" s="56" t="s">
        <v>272</v>
      </c>
      <c r="K1885" s="40" t="s">
        <v>13</v>
      </c>
      <c r="L1885" s="26">
        <v>2900</v>
      </c>
      <c r="M1885" s="26">
        <v>52</v>
      </c>
      <c r="N1885" s="25">
        <f t="shared" si="59"/>
        <v>150800</v>
      </c>
      <c r="O1885" s="56"/>
    </row>
    <row r="1886" spans="1:15" hidden="1" x14ac:dyDescent="0.3">
      <c r="A1886" s="26">
        <v>29</v>
      </c>
      <c r="B1886" s="20" t="str">
        <f t="shared" si="58"/>
        <v>JUL</v>
      </c>
      <c r="C1886" s="21">
        <v>46222</v>
      </c>
      <c r="D1886" s="22" t="str">
        <f t="array" ref="D1886">IFERROR(INDEX('Kode Outlet dan Target Toko'!$A:$A,MATCH($I1886,'Kode Outlet dan Target Toko'!$E:$E,0)),"")</f>
        <v>GRSM 6</v>
      </c>
      <c r="E1886" s="20" t="str">
        <f>IFERROR(VLOOKUP(I1886,KET!$B:$F,4,0),"")</f>
        <v>WINDA</v>
      </c>
      <c r="F1886" s="20" t="str">
        <f>IFERROR(VLOOKUP(I1886,KET!$B:$F,5,0),"")</f>
        <v>GMM</v>
      </c>
      <c r="G1886" s="20">
        <f>IFERROR(INDEX('Kode Outlet dan Target Toko'!$C:$C,MATCH($I1886,'Kode Outlet dan Target Toko'!$E:$E,0)),0)</f>
        <v>211033</v>
      </c>
      <c r="H1886" s="20">
        <f>IFERROR(INDEX('Kode Outlet dan Target Toko'!$D:$D,MATCH($I1886,'Kode Outlet dan Target Toko'!$E:$E,0)),0)</f>
        <v>6467246</v>
      </c>
      <c r="I1886" s="42" t="s">
        <v>50</v>
      </c>
      <c r="J1886" s="56" t="s">
        <v>272</v>
      </c>
      <c r="K1886" s="40" t="s">
        <v>16</v>
      </c>
      <c r="L1886" s="26">
        <v>2900</v>
      </c>
      <c r="M1886" s="26">
        <v>364</v>
      </c>
      <c r="N1886" s="25">
        <f t="shared" si="59"/>
        <v>1055600</v>
      </c>
      <c r="O1886" s="56">
        <v>160</v>
      </c>
    </row>
    <row r="1887" spans="1:15" hidden="1" x14ac:dyDescent="0.3">
      <c r="A1887" s="26">
        <v>29</v>
      </c>
      <c r="B1887" s="20" t="str">
        <f t="shared" si="58"/>
        <v>JUL</v>
      </c>
      <c r="C1887" s="21">
        <v>46222</v>
      </c>
      <c r="D1887" s="22" t="str">
        <f t="array" ref="D1887">IFERROR(INDEX('Kode Outlet dan Target Toko'!$A:$A,MATCH($I1887,'Kode Outlet dan Target Toko'!$E:$E,0)),"")</f>
        <v>GRSM 6</v>
      </c>
      <c r="E1887" s="20" t="str">
        <f>IFERROR(VLOOKUP(I1887,KET!$B:$F,4,0),"")</f>
        <v>WINDA</v>
      </c>
      <c r="F1887" s="20" t="str">
        <f>IFERROR(VLOOKUP(I1887,KET!$B:$F,5,0),"")</f>
        <v>GMM</v>
      </c>
      <c r="G1887" s="20">
        <f>IFERROR(INDEX('Kode Outlet dan Target Toko'!$C:$C,MATCH($I1887,'Kode Outlet dan Target Toko'!$E:$E,0)),0)</f>
        <v>103765</v>
      </c>
      <c r="H1887" s="20">
        <f>IFERROR(INDEX('Kode Outlet dan Target Toko'!$D:$D,MATCH($I1887,'Kode Outlet dan Target Toko'!$E:$E,0)),0)</f>
        <v>4307038</v>
      </c>
      <c r="I1887" s="42" t="s">
        <v>48</v>
      </c>
      <c r="J1887" s="56" t="s">
        <v>269</v>
      </c>
      <c r="K1887" s="40" t="s">
        <v>15</v>
      </c>
      <c r="L1887" s="26">
        <v>3000</v>
      </c>
      <c r="M1887" s="26">
        <v>92</v>
      </c>
      <c r="N1887" s="25">
        <f t="shared" si="59"/>
        <v>276000</v>
      </c>
      <c r="O1887" s="56"/>
    </row>
    <row r="1888" spans="1:15" hidden="1" x14ac:dyDescent="0.3">
      <c r="A1888" s="26">
        <v>29</v>
      </c>
      <c r="B1888" s="20" t="str">
        <f t="shared" si="58"/>
        <v>JUL</v>
      </c>
      <c r="C1888" s="21">
        <v>46222</v>
      </c>
      <c r="D1888" s="22" t="str">
        <f t="array" ref="D1888">IFERROR(INDEX('Kode Outlet dan Target Toko'!$A:$A,MATCH($I1888,'Kode Outlet dan Target Toko'!$E:$E,0)),"")</f>
        <v>GRSM 6</v>
      </c>
      <c r="E1888" s="20" t="str">
        <f>IFERROR(VLOOKUP(I1888,KET!$B:$F,4,0),"")</f>
        <v>WINDA</v>
      </c>
      <c r="F1888" s="20" t="str">
        <f>IFERROR(VLOOKUP(I1888,KET!$B:$F,5,0),"")</f>
        <v>GMM</v>
      </c>
      <c r="G1888" s="20">
        <f>IFERROR(INDEX('Kode Outlet dan Target Toko'!$C:$C,MATCH($I1888,'Kode Outlet dan Target Toko'!$E:$E,0)),0)</f>
        <v>103765</v>
      </c>
      <c r="H1888" s="20">
        <f>IFERROR(INDEX('Kode Outlet dan Target Toko'!$D:$D,MATCH($I1888,'Kode Outlet dan Target Toko'!$E:$E,0)),0)</f>
        <v>4307038</v>
      </c>
      <c r="I1888" s="42" t="s">
        <v>48</v>
      </c>
      <c r="J1888" s="56" t="s">
        <v>269</v>
      </c>
      <c r="K1888" s="40" t="s">
        <v>14</v>
      </c>
      <c r="L1888" s="26">
        <v>3000</v>
      </c>
      <c r="M1888" s="26">
        <v>118</v>
      </c>
      <c r="N1888" s="25">
        <f t="shared" si="59"/>
        <v>354000</v>
      </c>
      <c r="O1888" s="56"/>
    </row>
    <row r="1889" spans="1:15" hidden="1" x14ac:dyDescent="0.3">
      <c r="A1889" s="26">
        <v>29</v>
      </c>
      <c r="B1889" s="20" t="str">
        <f t="shared" si="58"/>
        <v>JUL</v>
      </c>
      <c r="C1889" s="21">
        <v>46222</v>
      </c>
      <c r="D1889" s="22" t="str">
        <f t="array" ref="D1889">IFERROR(INDEX('Kode Outlet dan Target Toko'!$A:$A,MATCH($I1889,'Kode Outlet dan Target Toko'!$E:$E,0)),"")</f>
        <v>GRSM 6</v>
      </c>
      <c r="E1889" s="20" t="str">
        <f>IFERROR(VLOOKUP(I1889,KET!$B:$F,4,0),"")</f>
        <v>WINDA</v>
      </c>
      <c r="F1889" s="20" t="str">
        <f>IFERROR(VLOOKUP(I1889,KET!$B:$F,5,0),"")</f>
        <v>GMM</v>
      </c>
      <c r="G1889" s="20">
        <f>IFERROR(INDEX('Kode Outlet dan Target Toko'!$C:$C,MATCH($I1889,'Kode Outlet dan Target Toko'!$E:$E,0)),0)</f>
        <v>103765</v>
      </c>
      <c r="H1889" s="20">
        <f>IFERROR(INDEX('Kode Outlet dan Target Toko'!$D:$D,MATCH($I1889,'Kode Outlet dan Target Toko'!$E:$E,0)),0)</f>
        <v>4307038</v>
      </c>
      <c r="I1889" s="42" t="s">
        <v>48</v>
      </c>
      <c r="J1889" s="56" t="s">
        <v>269</v>
      </c>
      <c r="K1889" s="40" t="s">
        <v>13</v>
      </c>
      <c r="L1889" s="26">
        <v>3000</v>
      </c>
      <c r="M1889" s="26">
        <v>4</v>
      </c>
      <c r="N1889" s="25">
        <f t="shared" si="59"/>
        <v>12000</v>
      </c>
      <c r="O1889" s="56"/>
    </row>
    <row r="1890" spans="1:15" hidden="1" x14ac:dyDescent="0.3">
      <c r="A1890" s="26">
        <v>29</v>
      </c>
      <c r="B1890" s="20" t="str">
        <f t="shared" si="58"/>
        <v>JUL</v>
      </c>
      <c r="C1890" s="21">
        <v>46222</v>
      </c>
      <c r="D1890" s="22" t="str">
        <f t="array" ref="D1890">IFERROR(INDEX('Kode Outlet dan Target Toko'!$A:$A,MATCH($I1890,'Kode Outlet dan Target Toko'!$E:$E,0)),"")</f>
        <v>GRSM 6</v>
      </c>
      <c r="E1890" s="20" t="str">
        <f>IFERROR(VLOOKUP(I1890,KET!$B:$F,4,0),"")</f>
        <v>WINDA</v>
      </c>
      <c r="F1890" s="20" t="str">
        <f>IFERROR(VLOOKUP(I1890,KET!$B:$F,5,0),"")</f>
        <v>GMM</v>
      </c>
      <c r="G1890" s="20">
        <f>IFERROR(INDEX('Kode Outlet dan Target Toko'!$C:$C,MATCH($I1890,'Kode Outlet dan Target Toko'!$E:$E,0)),0)</f>
        <v>103765</v>
      </c>
      <c r="H1890" s="20">
        <f>IFERROR(INDEX('Kode Outlet dan Target Toko'!$D:$D,MATCH($I1890,'Kode Outlet dan Target Toko'!$E:$E,0)),0)</f>
        <v>4307038</v>
      </c>
      <c r="I1890" s="42" t="s">
        <v>48</v>
      </c>
      <c r="J1890" s="56" t="s">
        <v>269</v>
      </c>
      <c r="K1890" s="40" t="s">
        <v>16</v>
      </c>
      <c r="L1890" s="26">
        <v>3000</v>
      </c>
      <c r="M1890" s="26">
        <v>260</v>
      </c>
      <c r="N1890" s="25">
        <f t="shared" si="59"/>
        <v>780000</v>
      </c>
      <c r="O1890" s="56">
        <v>180</v>
      </c>
    </row>
    <row r="1891" spans="1:15" hidden="1" x14ac:dyDescent="0.3">
      <c r="A1891" s="26">
        <v>29</v>
      </c>
      <c r="B1891" s="20" t="str">
        <f t="shared" si="58"/>
        <v>JUL</v>
      </c>
      <c r="C1891" s="21">
        <v>46222</v>
      </c>
      <c r="D1891" s="22" t="str">
        <f t="array" ref="D1891">IFERROR(INDEX('Kode Outlet dan Target Toko'!$A:$A,MATCH($I1891,'Kode Outlet dan Target Toko'!$E:$E,0)),"")</f>
        <v>GRSM 6</v>
      </c>
      <c r="E1891" s="20" t="str">
        <f>IFERROR(VLOOKUP(I1891,KET!$B:$F,4,0),"")</f>
        <v>WINDA</v>
      </c>
      <c r="F1891" s="20" t="str">
        <f>IFERROR(VLOOKUP(I1891,KET!$B:$F,5,0),"")</f>
        <v>GMM</v>
      </c>
      <c r="G1891" s="20">
        <f>IFERROR(INDEX('Kode Outlet dan Target Toko'!$C:$C,MATCH($I1891,'Kode Outlet dan Target Toko'!$E:$E,0)),0)</f>
        <v>103765</v>
      </c>
      <c r="H1891" s="20">
        <f>IFERROR(INDEX('Kode Outlet dan Target Toko'!$D:$D,MATCH($I1891,'Kode Outlet dan Target Toko'!$E:$E,0)),0)</f>
        <v>4307038</v>
      </c>
      <c r="I1891" s="42" t="s">
        <v>48</v>
      </c>
      <c r="J1891" s="56" t="s">
        <v>270</v>
      </c>
      <c r="K1891" s="40" t="s">
        <v>15</v>
      </c>
      <c r="L1891" s="26">
        <v>3000</v>
      </c>
      <c r="M1891" s="26">
        <v>92</v>
      </c>
      <c r="N1891" s="25">
        <f t="shared" si="59"/>
        <v>276000</v>
      </c>
      <c r="O1891" s="56"/>
    </row>
    <row r="1892" spans="1:15" hidden="1" x14ac:dyDescent="0.3">
      <c r="A1892" s="26">
        <v>29</v>
      </c>
      <c r="B1892" s="20" t="str">
        <f t="shared" si="58"/>
        <v>JUL</v>
      </c>
      <c r="C1892" s="21">
        <v>46222</v>
      </c>
      <c r="D1892" s="22" t="str">
        <f t="array" ref="D1892">IFERROR(INDEX('Kode Outlet dan Target Toko'!$A:$A,MATCH($I1892,'Kode Outlet dan Target Toko'!$E:$E,0)),"")</f>
        <v>GRSM 6</v>
      </c>
      <c r="E1892" s="20" t="str">
        <f>IFERROR(VLOOKUP(I1892,KET!$B:$F,4,0),"")</f>
        <v>WINDA</v>
      </c>
      <c r="F1892" s="20" t="str">
        <f>IFERROR(VLOOKUP(I1892,KET!$B:$F,5,0),"")</f>
        <v>GMM</v>
      </c>
      <c r="G1892" s="20">
        <f>IFERROR(INDEX('Kode Outlet dan Target Toko'!$C:$C,MATCH($I1892,'Kode Outlet dan Target Toko'!$E:$E,0)),0)</f>
        <v>103765</v>
      </c>
      <c r="H1892" s="20">
        <f>IFERROR(INDEX('Kode Outlet dan Target Toko'!$D:$D,MATCH($I1892,'Kode Outlet dan Target Toko'!$E:$E,0)),0)</f>
        <v>4307038</v>
      </c>
      <c r="I1892" s="42" t="s">
        <v>48</v>
      </c>
      <c r="J1892" s="56" t="s">
        <v>270</v>
      </c>
      <c r="K1892" s="40" t="s">
        <v>14</v>
      </c>
      <c r="L1892" s="26">
        <v>3000</v>
      </c>
      <c r="M1892" s="26">
        <v>118</v>
      </c>
      <c r="N1892" s="25">
        <f t="shared" si="59"/>
        <v>354000</v>
      </c>
      <c r="O1892" s="56"/>
    </row>
    <row r="1893" spans="1:15" hidden="1" x14ac:dyDescent="0.3">
      <c r="A1893" s="26">
        <v>29</v>
      </c>
      <c r="B1893" s="20" t="str">
        <f t="shared" si="58"/>
        <v>JUL</v>
      </c>
      <c r="C1893" s="21">
        <v>46222</v>
      </c>
      <c r="D1893" s="22" t="str">
        <f t="array" ref="D1893">IFERROR(INDEX('Kode Outlet dan Target Toko'!$A:$A,MATCH($I1893,'Kode Outlet dan Target Toko'!$E:$E,0)),"")</f>
        <v>GRSM 6</v>
      </c>
      <c r="E1893" s="20" t="str">
        <f>IFERROR(VLOOKUP(I1893,KET!$B:$F,4,0),"")</f>
        <v>WINDA</v>
      </c>
      <c r="F1893" s="20" t="str">
        <f>IFERROR(VLOOKUP(I1893,KET!$B:$F,5,0),"")</f>
        <v>GMM</v>
      </c>
      <c r="G1893" s="20">
        <f>IFERROR(INDEX('Kode Outlet dan Target Toko'!$C:$C,MATCH($I1893,'Kode Outlet dan Target Toko'!$E:$E,0)),0)</f>
        <v>103765</v>
      </c>
      <c r="H1893" s="20">
        <f>IFERROR(INDEX('Kode Outlet dan Target Toko'!$D:$D,MATCH($I1893,'Kode Outlet dan Target Toko'!$E:$E,0)),0)</f>
        <v>4307038</v>
      </c>
      <c r="I1893" s="42" t="s">
        <v>48</v>
      </c>
      <c r="J1893" s="56" t="s">
        <v>270</v>
      </c>
      <c r="K1893" s="40" t="s">
        <v>13</v>
      </c>
      <c r="L1893" s="26">
        <v>3000</v>
      </c>
      <c r="M1893" s="26">
        <v>4</v>
      </c>
      <c r="N1893" s="25">
        <f t="shared" si="59"/>
        <v>12000</v>
      </c>
      <c r="O1893" s="56"/>
    </row>
    <row r="1894" spans="1:15" hidden="1" x14ac:dyDescent="0.3">
      <c r="A1894" s="26">
        <v>29</v>
      </c>
      <c r="B1894" s="20" t="str">
        <f t="shared" si="58"/>
        <v>JUL</v>
      </c>
      <c r="C1894" s="21">
        <v>46222</v>
      </c>
      <c r="D1894" s="22" t="str">
        <f t="array" ref="D1894">IFERROR(INDEX('Kode Outlet dan Target Toko'!$A:$A,MATCH($I1894,'Kode Outlet dan Target Toko'!$E:$E,0)),"")</f>
        <v>GRSM 6</v>
      </c>
      <c r="E1894" s="20" t="str">
        <f>IFERROR(VLOOKUP(I1894,KET!$B:$F,4,0),"")</f>
        <v>WINDA</v>
      </c>
      <c r="F1894" s="20" t="str">
        <f>IFERROR(VLOOKUP(I1894,KET!$B:$F,5,0),"")</f>
        <v>GMM</v>
      </c>
      <c r="G1894" s="20">
        <f>IFERROR(INDEX('Kode Outlet dan Target Toko'!$C:$C,MATCH($I1894,'Kode Outlet dan Target Toko'!$E:$E,0)),0)</f>
        <v>103765</v>
      </c>
      <c r="H1894" s="20">
        <f>IFERROR(INDEX('Kode Outlet dan Target Toko'!$D:$D,MATCH($I1894,'Kode Outlet dan Target Toko'!$E:$E,0)),0)</f>
        <v>4307038</v>
      </c>
      <c r="I1894" s="42" t="s">
        <v>48</v>
      </c>
      <c r="J1894" s="56" t="s">
        <v>270</v>
      </c>
      <c r="K1894" s="40" t="s">
        <v>16</v>
      </c>
      <c r="L1894" s="26">
        <v>3000</v>
      </c>
      <c r="M1894" s="26">
        <v>260</v>
      </c>
      <c r="N1894" s="25">
        <f t="shared" si="59"/>
        <v>780000</v>
      </c>
      <c r="O1894" s="56">
        <v>180</v>
      </c>
    </row>
    <row r="1895" spans="1:15" hidden="1" x14ac:dyDescent="0.3">
      <c r="A1895" s="26">
        <v>29</v>
      </c>
      <c r="B1895" s="20" t="str">
        <f t="shared" si="58"/>
        <v>JUL</v>
      </c>
      <c r="C1895" s="21">
        <v>46222</v>
      </c>
      <c r="D1895" s="22" t="str">
        <f t="array" ref="D1895">IFERROR(INDEX('Kode Outlet dan Target Toko'!$A:$A,MATCH($I1895,'Kode Outlet dan Target Toko'!$E:$E,0)),"")</f>
        <v>GRSM 6</v>
      </c>
      <c r="E1895" s="20" t="str">
        <f>IFERROR(VLOOKUP(I1895,KET!$B:$F,4,0),"")</f>
        <v>WINDA</v>
      </c>
      <c r="F1895" s="20" t="str">
        <f>IFERROR(VLOOKUP(I1895,KET!$B:$F,5,0),"")</f>
        <v>GMM</v>
      </c>
      <c r="G1895" s="20">
        <f>IFERROR(INDEX('Kode Outlet dan Target Toko'!$C:$C,MATCH($I1895,'Kode Outlet dan Target Toko'!$E:$E,0)),0)</f>
        <v>211163</v>
      </c>
      <c r="H1895" s="20">
        <f>IFERROR(INDEX('Kode Outlet dan Target Toko'!$D:$D,MATCH($I1895,'Kode Outlet dan Target Toko'!$E:$E,0)),0)</f>
        <v>3703219</v>
      </c>
      <c r="I1895" s="42" t="s">
        <v>52</v>
      </c>
      <c r="J1895" s="56" t="s">
        <v>273</v>
      </c>
      <c r="K1895" s="40" t="s">
        <v>15</v>
      </c>
      <c r="L1895" s="26">
        <v>2900</v>
      </c>
      <c r="M1895" s="26">
        <v>125</v>
      </c>
      <c r="N1895" s="25">
        <f t="shared" si="59"/>
        <v>362500</v>
      </c>
      <c r="O1895" s="56"/>
    </row>
    <row r="1896" spans="1:15" hidden="1" x14ac:dyDescent="0.3">
      <c r="A1896" s="26">
        <v>29</v>
      </c>
      <c r="B1896" s="20" t="str">
        <f t="shared" si="58"/>
        <v>JUL</v>
      </c>
      <c r="C1896" s="21">
        <v>46222</v>
      </c>
      <c r="D1896" s="22" t="str">
        <f t="array" ref="D1896">IFERROR(INDEX('Kode Outlet dan Target Toko'!$A:$A,MATCH($I1896,'Kode Outlet dan Target Toko'!$E:$E,0)),"")</f>
        <v>GRSM 6</v>
      </c>
      <c r="E1896" s="20" t="str">
        <f>IFERROR(VLOOKUP(I1896,KET!$B:$F,4,0),"")</f>
        <v>WINDA</v>
      </c>
      <c r="F1896" s="20" t="str">
        <f>IFERROR(VLOOKUP(I1896,KET!$B:$F,5,0),"")</f>
        <v>GMM</v>
      </c>
      <c r="G1896" s="20">
        <f>IFERROR(INDEX('Kode Outlet dan Target Toko'!$C:$C,MATCH($I1896,'Kode Outlet dan Target Toko'!$E:$E,0)),0)</f>
        <v>211163</v>
      </c>
      <c r="H1896" s="20">
        <f>IFERROR(INDEX('Kode Outlet dan Target Toko'!$D:$D,MATCH($I1896,'Kode Outlet dan Target Toko'!$E:$E,0)),0)</f>
        <v>3703219</v>
      </c>
      <c r="I1896" s="42" t="s">
        <v>52</v>
      </c>
      <c r="J1896" s="56" t="s">
        <v>273</v>
      </c>
      <c r="K1896" s="40" t="s">
        <v>14</v>
      </c>
      <c r="L1896" s="26">
        <v>2900</v>
      </c>
      <c r="M1896" s="26">
        <v>139</v>
      </c>
      <c r="N1896" s="25">
        <f t="shared" si="59"/>
        <v>403100</v>
      </c>
      <c r="O1896" s="56"/>
    </row>
    <row r="1897" spans="1:15" hidden="1" x14ac:dyDescent="0.3">
      <c r="A1897" s="26">
        <v>29</v>
      </c>
      <c r="B1897" s="20" t="str">
        <f t="shared" si="58"/>
        <v>JUL</v>
      </c>
      <c r="C1897" s="21">
        <v>46222</v>
      </c>
      <c r="D1897" s="22" t="str">
        <f t="array" ref="D1897">IFERROR(INDEX('Kode Outlet dan Target Toko'!$A:$A,MATCH($I1897,'Kode Outlet dan Target Toko'!$E:$E,0)),"")</f>
        <v>GRSM 6</v>
      </c>
      <c r="E1897" s="20" t="str">
        <f>IFERROR(VLOOKUP(I1897,KET!$B:$F,4,0),"")</f>
        <v>WINDA</v>
      </c>
      <c r="F1897" s="20" t="str">
        <f>IFERROR(VLOOKUP(I1897,KET!$B:$F,5,0),"")</f>
        <v>GMM</v>
      </c>
      <c r="G1897" s="20">
        <f>IFERROR(INDEX('Kode Outlet dan Target Toko'!$C:$C,MATCH($I1897,'Kode Outlet dan Target Toko'!$E:$E,0)),0)</f>
        <v>211163</v>
      </c>
      <c r="H1897" s="20">
        <f>IFERROR(INDEX('Kode Outlet dan Target Toko'!$D:$D,MATCH($I1897,'Kode Outlet dan Target Toko'!$E:$E,0)),0)</f>
        <v>3703219</v>
      </c>
      <c r="I1897" s="42" t="s">
        <v>52</v>
      </c>
      <c r="J1897" s="56" t="s">
        <v>273</v>
      </c>
      <c r="K1897" s="40" t="s">
        <v>13</v>
      </c>
      <c r="L1897" s="26">
        <v>2900</v>
      </c>
      <c r="M1897" s="26">
        <v>0</v>
      </c>
      <c r="N1897" s="25">
        <f t="shared" si="59"/>
        <v>0</v>
      </c>
      <c r="O1897" s="56"/>
    </row>
    <row r="1898" spans="1:15" hidden="1" x14ac:dyDescent="0.3">
      <c r="A1898" s="26">
        <v>29</v>
      </c>
      <c r="B1898" s="20" t="str">
        <f t="shared" si="58"/>
        <v>JUL</v>
      </c>
      <c r="C1898" s="21">
        <v>46222</v>
      </c>
      <c r="D1898" s="22" t="str">
        <f t="array" ref="D1898">IFERROR(INDEX('Kode Outlet dan Target Toko'!$A:$A,MATCH($I1898,'Kode Outlet dan Target Toko'!$E:$E,0)),"")</f>
        <v>GRSM 6</v>
      </c>
      <c r="E1898" s="20" t="str">
        <f>IFERROR(VLOOKUP(I1898,KET!$B:$F,4,0),"")</f>
        <v>WINDA</v>
      </c>
      <c r="F1898" s="20" t="str">
        <f>IFERROR(VLOOKUP(I1898,KET!$B:$F,5,0),"")</f>
        <v>GMM</v>
      </c>
      <c r="G1898" s="20">
        <f>IFERROR(INDEX('Kode Outlet dan Target Toko'!$C:$C,MATCH($I1898,'Kode Outlet dan Target Toko'!$E:$E,0)),0)</f>
        <v>211163</v>
      </c>
      <c r="H1898" s="20">
        <f>IFERROR(INDEX('Kode Outlet dan Target Toko'!$D:$D,MATCH($I1898,'Kode Outlet dan Target Toko'!$E:$E,0)),0)</f>
        <v>3703219</v>
      </c>
      <c r="I1898" s="42" t="s">
        <v>52</v>
      </c>
      <c r="J1898" s="56" t="s">
        <v>273</v>
      </c>
      <c r="K1898" s="40" t="s">
        <v>16</v>
      </c>
      <c r="L1898" s="26">
        <v>2900</v>
      </c>
      <c r="M1898" s="26">
        <v>228</v>
      </c>
      <c r="N1898" s="25">
        <f t="shared" si="59"/>
        <v>661200</v>
      </c>
      <c r="O1898" s="56">
        <v>160</v>
      </c>
    </row>
    <row r="1899" spans="1:15" hidden="1" x14ac:dyDescent="0.3">
      <c r="A1899" s="26">
        <v>29</v>
      </c>
      <c r="B1899" s="20" t="str">
        <f t="shared" si="58"/>
        <v>JUL</v>
      </c>
      <c r="C1899" s="21">
        <v>46222</v>
      </c>
      <c r="D1899" s="22" t="str">
        <f t="array" ref="D1899">IFERROR(INDEX('Kode Outlet dan Target Toko'!$A:$A,MATCH($I1899,'Kode Outlet dan Target Toko'!$E:$E,0)),"")</f>
        <v>GRSM 6</v>
      </c>
      <c r="E1899" s="20" t="str">
        <f>IFERROR(VLOOKUP(I1899,KET!$B:$F,4,0),"")</f>
        <v>WINDA</v>
      </c>
      <c r="F1899" s="20" t="str">
        <f>IFERROR(VLOOKUP(I1899,KET!$B:$F,5,0),"")</f>
        <v>GMM</v>
      </c>
      <c r="G1899" s="20">
        <f>IFERROR(INDEX('Kode Outlet dan Target Toko'!$C:$C,MATCH($I1899,'Kode Outlet dan Target Toko'!$E:$E,0)),0)</f>
        <v>211163</v>
      </c>
      <c r="H1899" s="20">
        <f>IFERROR(INDEX('Kode Outlet dan Target Toko'!$D:$D,MATCH($I1899,'Kode Outlet dan Target Toko'!$E:$E,0)),0)</f>
        <v>3703219</v>
      </c>
      <c r="I1899" s="42" t="s">
        <v>52</v>
      </c>
      <c r="J1899" s="56" t="s">
        <v>274</v>
      </c>
      <c r="K1899" s="40" t="s">
        <v>15</v>
      </c>
      <c r="L1899" s="26">
        <v>2900</v>
      </c>
      <c r="M1899" s="26">
        <v>125</v>
      </c>
      <c r="N1899" s="25">
        <f t="shared" si="59"/>
        <v>362500</v>
      </c>
      <c r="O1899" s="56"/>
    </row>
    <row r="1900" spans="1:15" hidden="1" x14ac:dyDescent="0.3">
      <c r="A1900" s="26">
        <v>29</v>
      </c>
      <c r="B1900" s="20" t="str">
        <f t="shared" si="58"/>
        <v>JUL</v>
      </c>
      <c r="C1900" s="21">
        <v>46222</v>
      </c>
      <c r="D1900" s="22" t="str">
        <f t="array" ref="D1900">IFERROR(INDEX('Kode Outlet dan Target Toko'!$A:$A,MATCH($I1900,'Kode Outlet dan Target Toko'!$E:$E,0)),"")</f>
        <v>GRSM 6</v>
      </c>
      <c r="E1900" s="20" t="str">
        <f>IFERROR(VLOOKUP(I1900,KET!$B:$F,4,0),"")</f>
        <v>WINDA</v>
      </c>
      <c r="F1900" s="20" t="str">
        <f>IFERROR(VLOOKUP(I1900,KET!$B:$F,5,0),"")</f>
        <v>GMM</v>
      </c>
      <c r="G1900" s="20">
        <f>IFERROR(INDEX('Kode Outlet dan Target Toko'!$C:$C,MATCH($I1900,'Kode Outlet dan Target Toko'!$E:$E,0)),0)</f>
        <v>211163</v>
      </c>
      <c r="H1900" s="20">
        <f>IFERROR(INDEX('Kode Outlet dan Target Toko'!$D:$D,MATCH($I1900,'Kode Outlet dan Target Toko'!$E:$E,0)),0)</f>
        <v>3703219</v>
      </c>
      <c r="I1900" s="42" t="s">
        <v>52</v>
      </c>
      <c r="J1900" s="56" t="s">
        <v>274</v>
      </c>
      <c r="K1900" s="40" t="s">
        <v>14</v>
      </c>
      <c r="L1900" s="26">
        <v>2900</v>
      </c>
      <c r="M1900" s="26">
        <v>139</v>
      </c>
      <c r="N1900" s="25">
        <f t="shared" si="59"/>
        <v>403100</v>
      </c>
      <c r="O1900" s="56"/>
    </row>
    <row r="1901" spans="1:15" hidden="1" x14ac:dyDescent="0.3">
      <c r="A1901" s="26">
        <v>29</v>
      </c>
      <c r="B1901" s="20" t="str">
        <f t="shared" si="58"/>
        <v>JUL</v>
      </c>
      <c r="C1901" s="21">
        <v>46222</v>
      </c>
      <c r="D1901" s="22" t="str">
        <f t="array" ref="D1901">IFERROR(INDEX('Kode Outlet dan Target Toko'!$A:$A,MATCH($I1901,'Kode Outlet dan Target Toko'!$E:$E,0)),"")</f>
        <v>GRSM 6</v>
      </c>
      <c r="E1901" s="20" t="str">
        <f>IFERROR(VLOOKUP(I1901,KET!$B:$F,4,0),"")</f>
        <v>WINDA</v>
      </c>
      <c r="F1901" s="20" t="str">
        <f>IFERROR(VLOOKUP(I1901,KET!$B:$F,5,0),"")</f>
        <v>GMM</v>
      </c>
      <c r="G1901" s="20">
        <f>IFERROR(INDEX('Kode Outlet dan Target Toko'!$C:$C,MATCH($I1901,'Kode Outlet dan Target Toko'!$E:$E,0)),0)</f>
        <v>211163</v>
      </c>
      <c r="H1901" s="20">
        <f>IFERROR(INDEX('Kode Outlet dan Target Toko'!$D:$D,MATCH($I1901,'Kode Outlet dan Target Toko'!$E:$E,0)),0)</f>
        <v>3703219</v>
      </c>
      <c r="I1901" s="42" t="s">
        <v>52</v>
      </c>
      <c r="J1901" s="56" t="s">
        <v>274</v>
      </c>
      <c r="K1901" s="40" t="s">
        <v>13</v>
      </c>
      <c r="L1901" s="26">
        <v>2900</v>
      </c>
      <c r="M1901" s="26">
        <v>0</v>
      </c>
      <c r="N1901" s="25">
        <f t="shared" si="59"/>
        <v>0</v>
      </c>
      <c r="O1901" s="56"/>
    </row>
    <row r="1902" spans="1:15" hidden="1" x14ac:dyDescent="0.3">
      <c r="A1902" s="26">
        <v>29</v>
      </c>
      <c r="B1902" s="20" t="str">
        <f t="shared" si="58"/>
        <v>JUL</v>
      </c>
      <c r="C1902" s="21">
        <v>46222</v>
      </c>
      <c r="D1902" s="22" t="str">
        <f t="array" ref="D1902">IFERROR(INDEX('Kode Outlet dan Target Toko'!$A:$A,MATCH($I1902,'Kode Outlet dan Target Toko'!$E:$E,0)),"")</f>
        <v>GRSM 6</v>
      </c>
      <c r="E1902" s="20" t="str">
        <f>IFERROR(VLOOKUP(I1902,KET!$B:$F,4,0),"")</f>
        <v>WINDA</v>
      </c>
      <c r="F1902" s="20" t="str">
        <f>IFERROR(VLOOKUP(I1902,KET!$B:$F,5,0),"")</f>
        <v>GMM</v>
      </c>
      <c r="G1902" s="20">
        <f>IFERROR(INDEX('Kode Outlet dan Target Toko'!$C:$C,MATCH($I1902,'Kode Outlet dan Target Toko'!$E:$E,0)),0)</f>
        <v>211163</v>
      </c>
      <c r="H1902" s="20">
        <f>IFERROR(INDEX('Kode Outlet dan Target Toko'!$D:$D,MATCH($I1902,'Kode Outlet dan Target Toko'!$E:$E,0)),0)</f>
        <v>3703219</v>
      </c>
      <c r="I1902" s="42" t="s">
        <v>52</v>
      </c>
      <c r="J1902" s="56" t="s">
        <v>274</v>
      </c>
      <c r="K1902" s="40" t="s">
        <v>16</v>
      </c>
      <c r="L1902" s="26">
        <v>2900</v>
      </c>
      <c r="M1902" s="26">
        <v>228</v>
      </c>
      <c r="N1902" s="25">
        <f t="shared" si="59"/>
        <v>661200</v>
      </c>
      <c r="O1902" s="56">
        <v>160</v>
      </c>
    </row>
    <row r="1903" spans="1:15" hidden="1" x14ac:dyDescent="0.3">
      <c r="A1903" s="26">
        <v>29</v>
      </c>
      <c r="B1903" s="20" t="str">
        <f t="shared" si="58"/>
        <v>JUL</v>
      </c>
      <c r="C1903" s="21">
        <v>46222</v>
      </c>
      <c r="D1903" s="22" t="str">
        <f t="array" ref="D1903">IFERROR(INDEX('Kode Outlet dan Target Toko'!$A:$A,MATCH($I1903,'Kode Outlet dan Target Toko'!$E:$E,0)),"")</f>
        <v>GRSM 6</v>
      </c>
      <c r="E1903" s="20" t="str">
        <f>IFERROR(VLOOKUP(I1903,KET!$B:$F,4,0),"")</f>
        <v>WINDA</v>
      </c>
      <c r="F1903" s="20" t="str">
        <f>IFERROR(VLOOKUP(I1903,KET!$B:$F,5,0),"")</f>
        <v>GMM</v>
      </c>
      <c r="G1903" s="20">
        <f>IFERROR(INDEX('Kode Outlet dan Target Toko'!$C:$C,MATCH($I1903,'Kode Outlet dan Target Toko'!$E:$E,0)),0)</f>
        <v>211163</v>
      </c>
      <c r="H1903" s="20">
        <f>IFERROR(INDEX('Kode Outlet dan Target Toko'!$D:$D,MATCH($I1903,'Kode Outlet dan Target Toko'!$E:$E,0)),0)</f>
        <v>3703215</v>
      </c>
      <c r="I1903" s="42" t="s">
        <v>53</v>
      </c>
      <c r="J1903" s="56" t="s">
        <v>275</v>
      </c>
      <c r="K1903" s="40" t="s">
        <v>15</v>
      </c>
      <c r="L1903" s="26">
        <v>5800</v>
      </c>
      <c r="M1903" s="26">
        <v>34</v>
      </c>
      <c r="N1903" s="25">
        <f t="shared" si="59"/>
        <v>197200</v>
      </c>
      <c r="O1903" s="56"/>
    </row>
    <row r="1904" spans="1:15" hidden="1" x14ac:dyDescent="0.3">
      <c r="A1904" s="26">
        <v>29</v>
      </c>
      <c r="B1904" s="20" t="str">
        <f t="shared" si="58"/>
        <v>JUL</v>
      </c>
      <c r="C1904" s="21">
        <v>46222</v>
      </c>
      <c r="D1904" s="22" t="str">
        <f t="array" ref="D1904">IFERROR(INDEX('Kode Outlet dan Target Toko'!$A:$A,MATCH($I1904,'Kode Outlet dan Target Toko'!$E:$E,0)),"")</f>
        <v>GRSM 6</v>
      </c>
      <c r="E1904" s="20" t="str">
        <f>IFERROR(VLOOKUP(I1904,KET!$B:$F,4,0),"")</f>
        <v>WINDA</v>
      </c>
      <c r="F1904" s="20" t="str">
        <f>IFERROR(VLOOKUP(I1904,KET!$B:$F,5,0),"")</f>
        <v>GMM</v>
      </c>
      <c r="G1904" s="20">
        <f>IFERROR(INDEX('Kode Outlet dan Target Toko'!$C:$C,MATCH($I1904,'Kode Outlet dan Target Toko'!$E:$E,0)),0)</f>
        <v>211163</v>
      </c>
      <c r="H1904" s="20">
        <f>IFERROR(INDEX('Kode Outlet dan Target Toko'!$D:$D,MATCH($I1904,'Kode Outlet dan Target Toko'!$E:$E,0)),0)</f>
        <v>3703215</v>
      </c>
      <c r="I1904" s="42" t="s">
        <v>53</v>
      </c>
      <c r="J1904" s="56" t="s">
        <v>275</v>
      </c>
      <c r="K1904" s="40" t="s">
        <v>14</v>
      </c>
      <c r="L1904" s="26">
        <v>5800</v>
      </c>
      <c r="M1904" s="26">
        <v>48</v>
      </c>
      <c r="N1904" s="25">
        <f t="shared" si="59"/>
        <v>278400</v>
      </c>
      <c r="O1904" s="56"/>
    </row>
    <row r="1905" spans="1:15" hidden="1" x14ac:dyDescent="0.3">
      <c r="A1905" s="26">
        <v>29</v>
      </c>
      <c r="B1905" s="20" t="str">
        <f t="shared" si="58"/>
        <v>JUL</v>
      </c>
      <c r="C1905" s="21">
        <v>46222</v>
      </c>
      <c r="D1905" s="22" t="str">
        <f t="array" ref="D1905">IFERROR(INDEX('Kode Outlet dan Target Toko'!$A:$A,MATCH($I1905,'Kode Outlet dan Target Toko'!$E:$E,0)),"")</f>
        <v>GRSM 6</v>
      </c>
      <c r="E1905" s="20" t="str">
        <f>IFERROR(VLOOKUP(I1905,KET!$B:$F,4,0),"")</f>
        <v>WINDA</v>
      </c>
      <c r="F1905" s="20" t="str">
        <f>IFERROR(VLOOKUP(I1905,KET!$B:$F,5,0),"")</f>
        <v>GMM</v>
      </c>
      <c r="G1905" s="20">
        <f>IFERROR(INDEX('Kode Outlet dan Target Toko'!$C:$C,MATCH($I1905,'Kode Outlet dan Target Toko'!$E:$E,0)),0)</f>
        <v>211163</v>
      </c>
      <c r="H1905" s="20">
        <f>IFERROR(INDEX('Kode Outlet dan Target Toko'!$D:$D,MATCH($I1905,'Kode Outlet dan Target Toko'!$E:$E,0)),0)</f>
        <v>3703215</v>
      </c>
      <c r="I1905" s="42" t="s">
        <v>53</v>
      </c>
      <c r="J1905" s="56" t="s">
        <v>275</v>
      </c>
      <c r="K1905" s="40" t="s">
        <v>13</v>
      </c>
      <c r="L1905" s="26">
        <v>5800</v>
      </c>
      <c r="M1905" s="26">
        <v>0</v>
      </c>
      <c r="N1905" s="25">
        <f t="shared" si="59"/>
        <v>0</v>
      </c>
      <c r="O1905" s="56"/>
    </row>
    <row r="1906" spans="1:15" hidden="1" x14ac:dyDescent="0.3">
      <c r="A1906" s="26">
        <v>29</v>
      </c>
      <c r="B1906" s="20" t="str">
        <f t="shared" si="58"/>
        <v>JUL</v>
      </c>
      <c r="C1906" s="21">
        <v>46222</v>
      </c>
      <c r="D1906" s="22" t="str">
        <f t="array" ref="D1906">IFERROR(INDEX('Kode Outlet dan Target Toko'!$A:$A,MATCH($I1906,'Kode Outlet dan Target Toko'!$E:$E,0)),"")</f>
        <v>GRSM 6</v>
      </c>
      <c r="E1906" s="20" t="str">
        <f>IFERROR(VLOOKUP(I1906,KET!$B:$F,4,0),"")</f>
        <v>WINDA</v>
      </c>
      <c r="F1906" s="20" t="str">
        <f>IFERROR(VLOOKUP(I1906,KET!$B:$F,5,0),"")</f>
        <v>GMM</v>
      </c>
      <c r="G1906" s="20">
        <f>IFERROR(INDEX('Kode Outlet dan Target Toko'!$C:$C,MATCH($I1906,'Kode Outlet dan Target Toko'!$E:$E,0)),0)</f>
        <v>211163</v>
      </c>
      <c r="H1906" s="20">
        <f>IFERROR(INDEX('Kode Outlet dan Target Toko'!$D:$D,MATCH($I1906,'Kode Outlet dan Target Toko'!$E:$E,0)),0)</f>
        <v>3703215</v>
      </c>
      <c r="I1906" s="42" t="s">
        <v>53</v>
      </c>
      <c r="J1906" s="56" t="s">
        <v>275</v>
      </c>
      <c r="K1906" s="40" t="s">
        <v>16</v>
      </c>
      <c r="L1906" s="26">
        <v>5800</v>
      </c>
      <c r="M1906" s="26">
        <v>96</v>
      </c>
      <c r="N1906" s="25">
        <f t="shared" si="59"/>
        <v>556800</v>
      </c>
      <c r="O1906" s="56">
        <v>154</v>
      </c>
    </row>
    <row r="1907" spans="1:15" hidden="1" x14ac:dyDescent="0.3">
      <c r="A1907" s="26">
        <v>29</v>
      </c>
      <c r="B1907" s="20" t="str">
        <f t="shared" si="58"/>
        <v>JUL</v>
      </c>
      <c r="C1907" s="21">
        <v>46222</v>
      </c>
      <c r="D1907" s="22" t="str">
        <f t="array" ref="D1907">IFERROR(INDEX('Kode Outlet dan Target Toko'!$A:$A,MATCH($I1907,'Kode Outlet dan Target Toko'!$E:$E,0)),"")</f>
        <v>GRSM 6</v>
      </c>
      <c r="E1907" s="20" t="str">
        <f>IFERROR(VLOOKUP(I1907,KET!$B:$F,4,0),"")</f>
        <v>WINDA</v>
      </c>
      <c r="F1907" s="20" t="str">
        <f>IFERROR(VLOOKUP(I1907,KET!$B:$F,5,0),"")</f>
        <v>GMM</v>
      </c>
      <c r="G1907" s="20">
        <f>IFERROR(INDEX('Kode Outlet dan Target Toko'!$C:$C,MATCH($I1907,'Kode Outlet dan Target Toko'!$E:$E,0)),0)</f>
        <v>211163</v>
      </c>
      <c r="H1907" s="20">
        <f>IFERROR(INDEX('Kode Outlet dan Target Toko'!$D:$D,MATCH($I1907,'Kode Outlet dan Target Toko'!$E:$E,0)),0)</f>
        <v>3703215</v>
      </c>
      <c r="I1907" s="42" t="s">
        <v>53</v>
      </c>
      <c r="J1907" s="56" t="s">
        <v>276</v>
      </c>
      <c r="K1907" s="40" t="s">
        <v>15</v>
      </c>
      <c r="L1907" s="26">
        <v>5800</v>
      </c>
      <c r="M1907" s="26">
        <v>34</v>
      </c>
      <c r="N1907" s="25">
        <f t="shared" si="59"/>
        <v>197200</v>
      </c>
      <c r="O1907" s="56"/>
    </row>
    <row r="1908" spans="1:15" hidden="1" x14ac:dyDescent="0.3">
      <c r="A1908" s="26">
        <v>29</v>
      </c>
      <c r="B1908" s="20" t="str">
        <f t="shared" si="58"/>
        <v>JUL</v>
      </c>
      <c r="C1908" s="21">
        <v>46222</v>
      </c>
      <c r="D1908" s="22" t="str">
        <f t="array" ref="D1908">IFERROR(INDEX('Kode Outlet dan Target Toko'!$A:$A,MATCH($I1908,'Kode Outlet dan Target Toko'!$E:$E,0)),"")</f>
        <v>GRSM 6</v>
      </c>
      <c r="E1908" s="20" t="str">
        <f>IFERROR(VLOOKUP(I1908,KET!$B:$F,4,0),"")</f>
        <v>WINDA</v>
      </c>
      <c r="F1908" s="20" t="str">
        <f>IFERROR(VLOOKUP(I1908,KET!$B:$F,5,0),"")</f>
        <v>GMM</v>
      </c>
      <c r="G1908" s="20">
        <f>IFERROR(INDEX('Kode Outlet dan Target Toko'!$C:$C,MATCH($I1908,'Kode Outlet dan Target Toko'!$E:$E,0)),0)</f>
        <v>211163</v>
      </c>
      <c r="H1908" s="20">
        <f>IFERROR(INDEX('Kode Outlet dan Target Toko'!$D:$D,MATCH($I1908,'Kode Outlet dan Target Toko'!$E:$E,0)),0)</f>
        <v>3703215</v>
      </c>
      <c r="I1908" s="42" t="s">
        <v>53</v>
      </c>
      <c r="J1908" s="56" t="s">
        <v>276</v>
      </c>
      <c r="K1908" s="40" t="s">
        <v>14</v>
      </c>
      <c r="L1908" s="26">
        <v>5800</v>
      </c>
      <c r="M1908" s="26">
        <v>48</v>
      </c>
      <c r="N1908" s="25">
        <f t="shared" si="59"/>
        <v>278400</v>
      </c>
      <c r="O1908" s="56"/>
    </row>
    <row r="1909" spans="1:15" hidden="1" x14ac:dyDescent="0.3">
      <c r="A1909" s="26">
        <v>29</v>
      </c>
      <c r="B1909" s="20" t="str">
        <f t="shared" si="58"/>
        <v>JUL</v>
      </c>
      <c r="C1909" s="21">
        <v>46222</v>
      </c>
      <c r="D1909" s="22" t="str">
        <f t="array" ref="D1909">IFERROR(INDEX('Kode Outlet dan Target Toko'!$A:$A,MATCH($I1909,'Kode Outlet dan Target Toko'!$E:$E,0)),"")</f>
        <v>GRSM 6</v>
      </c>
      <c r="E1909" s="20" t="str">
        <f>IFERROR(VLOOKUP(I1909,KET!$B:$F,4,0),"")</f>
        <v>WINDA</v>
      </c>
      <c r="F1909" s="20" t="str">
        <f>IFERROR(VLOOKUP(I1909,KET!$B:$F,5,0),"")</f>
        <v>GMM</v>
      </c>
      <c r="G1909" s="20">
        <f>IFERROR(INDEX('Kode Outlet dan Target Toko'!$C:$C,MATCH($I1909,'Kode Outlet dan Target Toko'!$E:$E,0)),0)</f>
        <v>211163</v>
      </c>
      <c r="H1909" s="20">
        <f>IFERROR(INDEX('Kode Outlet dan Target Toko'!$D:$D,MATCH($I1909,'Kode Outlet dan Target Toko'!$E:$E,0)),0)</f>
        <v>3703215</v>
      </c>
      <c r="I1909" s="42" t="s">
        <v>53</v>
      </c>
      <c r="J1909" s="56" t="s">
        <v>276</v>
      </c>
      <c r="K1909" s="40" t="s">
        <v>13</v>
      </c>
      <c r="L1909" s="26">
        <v>5800</v>
      </c>
      <c r="M1909" s="26">
        <v>0</v>
      </c>
      <c r="N1909" s="25">
        <f t="shared" si="59"/>
        <v>0</v>
      </c>
      <c r="O1909" s="56"/>
    </row>
    <row r="1910" spans="1:15" hidden="1" x14ac:dyDescent="0.3">
      <c r="A1910" s="26">
        <v>29</v>
      </c>
      <c r="B1910" s="20" t="str">
        <f t="shared" si="58"/>
        <v>JUL</v>
      </c>
      <c r="C1910" s="21">
        <v>46222</v>
      </c>
      <c r="D1910" s="22" t="str">
        <f t="array" ref="D1910">IFERROR(INDEX('Kode Outlet dan Target Toko'!$A:$A,MATCH($I1910,'Kode Outlet dan Target Toko'!$E:$E,0)),"")</f>
        <v>GRSM 6</v>
      </c>
      <c r="E1910" s="20" t="str">
        <f>IFERROR(VLOOKUP(I1910,KET!$B:$F,4,0),"")</f>
        <v>WINDA</v>
      </c>
      <c r="F1910" s="20" t="str">
        <f>IFERROR(VLOOKUP(I1910,KET!$B:$F,5,0),"")</f>
        <v>GMM</v>
      </c>
      <c r="G1910" s="20">
        <f>IFERROR(INDEX('Kode Outlet dan Target Toko'!$C:$C,MATCH($I1910,'Kode Outlet dan Target Toko'!$E:$E,0)),0)</f>
        <v>211163</v>
      </c>
      <c r="H1910" s="20">
        <f>IFERROR(INDEX('Kode Outlet dan Target Toko'!$D:$D,MATCH($I1910,'Kode Outlet dan Target Toko'!$E:$E,0)),0)</f>
        <v>3703215</v>
      </c>
      <c r="I1910" s="42" t="s">
        <v>53</v>
      </c>
      <c r="J1910" s="56" t="s">
        <v>276</v>
      </c>
      <c r="K1910" s="40" t="s">
        <v>16</v>
      </c>
      <c r="L1910" s="26">
        <v>5800</v>
      </c>
      <c r="M1910" s="26">
        <v>96</v>
      </c>
      <c r="N1910" s="25">
        <f t="shared" si="59"/>
        <v>556800</v>
      </c>
      <c r="O1910" s="56">
        <v>154</v>
      </c>
    </row>
    <row r="1911" spans="1:15" hidden="1" x14ac:dyDescent="0.3">
      <c r="A1911" s="26">
        <v>29</v>
      </c>
      <c r="B1911" s="20" t="str">
        <f t="shared" si="58"/>
        <v>JUL</v>
      </c>
      <c r="C1911" s="21">
        <v>46222</v>
      </c>
      <c r="D1911" s="22" t="str">
        <f t="array" ref="D1911">IFERROR(INDEX('Kode Outlet dan Target Toko'!$A:$A,MATCH($I1911,'Kode Outlet dan Target Toko'!$E:$E,0)),"")</f>
        <v>GRSM 6</v>
      </c>
      <c r="E1911" s="20" t="str">
        <f>IFERROR(VLOOKUP(I1911,KET!$B:$F,4,0),"")</f>
        <v>WINDA</v>
      </c>
      <c r="F1911" s="20" t="str">
        <f>IFERROR(VLOOKUP(I1911,KET!$B:$F,5,0),"")</f>
        <v>GMM</v>
      </c>
      <c r="G1911" s="20">
        <f>IFERROR(INDEX('Kode Outlet dan Target Toko'!$C:$C,MATCH($I1911,'Kode Outlet dan Target Toko'!$E:$E,0)),0)</f>
        <v>103765</v>
      </c>
      <c r="H1911" s="20">
        <f>IFERROR(INDEX('Kode Outlet dan Target Toko'!$D:$D,MATCH($I1911,'Kode Outlet dan Target Toko'!$E:$E,0)),0)</f>
        <v>4305267</v>
      </c>
      <c r="I1911" s="42" t="s">
        <v>54</v>
      </c>
      <c r="J1911" s="56" t="s">
        <v>277</v>
      </c>
      <c r="K1911" s="40" t="s">
        <v>15</v>
      </c>
      <c r="L1911" s="26">
        <v>3000</v>
      </c>
      <c r="M1911" s="26">
        <v>145</v>
      </c>
      <c r="N1911" s="25">
        <f t="shared" si="59"/>
        <v>435000</v>
      </c>
      <c r="O1911" s="56"/>
    </row>
    <row r="1912" spans="1:15" hidden="1" x14ac:dyDescent="0.3">
      <c r="A1912" s="26">
        <v>29</v>
      </c>
      <c r="B1912" s="20" t="str">
        <f t="shared" si="58"/>
        <v>JUL</v>
      </c>
      <c r="C1912" s="21">
        <v>46222</v>
      </c>
      <c r="D1912" s="22" t="str">
        <f t="array" ref="D1912">IFERROR(INDEX('Kode Outlet dan Target Toko'!$A:$A,MATCH($I1912,'Kode Outlet dan Target Toko'!$E:$E,0)),"")</f>
        <v>GRSM 6</v>
      </c>
      <c r="E1912" s="20" t="str">
        <f>IFERROR(VLOOKUP(I1912,KET!$B:$F,4,0),"")</f>
        <v>WINDA</v>
      </c>
      <c r="F1912" s="20" t="str">
        <f>IFERROR(VLOOKUP(I1912,KET!$B:$F,5,0),"")</f>
        <v>GMM</v>
      </c>
      <c r="G1912" s="20">
        <f>IFERROR(INDEX('Kode Outlet dan Target Toko'!$C:$C,MATCH($I1912,'Kode Outlet dan Target Toko'!$E:$E,0)),0)</f>
        <v>103765</v>
      </c>
      <c r="H1912" s="20">
        <f>IFERROR(INDEX('Kode Outlet dan Target Toko'!$D:$D,MATCH($I1912,'Kode Outlet dan Target Toko'!$E:$E,0)),0)</f>
        <v>4305267</v>
      </c>
      <c r="I1912" s="42" t="s">
        <v>54</v>
      </c>
      <c r="J1912" s="56" t="s">
        <v>277</v>
      </c>
      <c r="K1912" s="40" t="s">
        <v>14</v>
      </c>
      <c r="L1912" s="26">
        <v>3000</v>
      </c>
      <c r="M1912" s="26">
        <v>101</v>
      </c>
      <c r="N1912" s="25">
        <f t="shared" si="59"/>
        <v>303000</v>
      </c>
      <c r="O1912" s="56"/>
    </row>
    <row r="1913" spans="1:15" hidden="1" x14ac:dyDescent="0.3">
      <c r="A1913" s="26">
        <v>29</v>
      </c>
      <c r="B1913" s="20" t="str">
        <f t="shared" si="58"/>
        <v>JUL</v>
      </c>
      <c r="C1913" s="21">
        <v>46222</v>
      </c>
      <c r="D1913" s="22" t="str">
        <f t="array" ref="D1913">IFERROR(INDEX('Kode Outlet dan Target Toko'!$A:$A,MATCH($I1913,'Kode Outlet dan Target Toko'!$E:$E,0)),"")</f>
        <v>GRSM 6</v>
      </c>
      <c r="E1913" s="20" t="str">
        <f>IFERROR(VLOOKUP(I1913,KET!$B:$F,4,0),"")</f>
        <v>WINDA</v>
      </c>
      <c r="F1913" s="20" t="str">
        <f>IFERROR(VLOOKUP(I1913,KET!$B:$F,5,0),"")</f>
        <v>GMM</v>
      </c>
      <c r="G1913" s="20">
        <f>IFERROR(INDEX('Kode Outlet dan Target Toko'!$C:$C,MATCH($I1913,'Kode Outlet dan Target Toko'!$E:$E,0)),0)</f>
        <v>103765</v>
      </c>
      <c r="H1913" s="20">
        <f>IFERROR(INDEX('Kode Outlet dan Target Toko'!$D:$D,MATCH($I1913,'Kode Outlet dan Target Toko'!$E:$E,0)),0)</f>
        <v>4305267</v>
      </c>
      <c r="I1913" s="42" t="s">
        <v>54</v>
      </c>
      <c r="J1913" s="56" t="s">
        <v>277</v>
      </c>
      <c r="K1913" s="40" t="s">
        <v>13</v>
      </c>
      <c r="L1913" s="26">
        <v>3000</v>
      </c>
      <c r="M1913" s="26">
        <v>72</v>
      </c>
      <c r="N1913" s="25">
        <f t="shared" si="59"/>
        <v>216000</v>
      </c>
      <c r="O1913" s="56"/>
    </row>
    <row r="1914" spans="1:15" hidden="1" x14ac:dyDescent="0.3">
      <c r="A1914" s="26">
        <v>29</v>
      </c>
      <c r="B1914" s="20" t="str">
        <f t="shared" si="58"/>
        <v>JUL</v>
      </c>
      <c r="C1914" s="21">
        <v>46222</v>
      </c>
      <c r="D1914" s="22" t="str">
        <f t="array" ref="D1914">IFERROR(INDEX('Kode Outlet dan Target Toko'!$A:$A,MATCH($I1914,'Kode Outlet dan Target Toko'!$E:$E,0)),"")</f>
        <v>GRSM 6</v>
      </c>
      <c r="E1914" s="20" t="str">
        <f>IFERROR(VLOOKUP(I1914,KET!$B:$F,4,0),"")</f>
        <v>WINDA</v>
      </c>
      <c r="F1914" s="20" t="str">
        <f>IFERROR(VLOOKUP(I1914,KET!$B:$F,5,0),"")</f>
        <v>GMM</v>
      </c>
      <c r="G1914" s="20">
        <f>IFERROR(INDEX('Kode Outlet dan Target Toko'!$C:$C,MATCH($I1914,'Kode Outlet dan Target Toko'!$E:$E,0)),0)</f>
        <v>103765</v>
      </c>
      <c r="H1914" s="20">
        <f>IFERROR(INDEX('Kode Outlet dan Target Toko'!$D:$D,MATCH($I1914,'Kode Outlet dan Target Toko'!$E:$E,0)),0)</f>
        <v>4305267</v>
      </c>
      <c r="I1914" s="42" t="s">
        <v>54</v>
      </c>
      <c r="J1914" s="56" t="s">
        <v>277</v>
      </c>
      <c r="K1914" s="40" t="s">
        <v>16</v>
      </c>
      <c r="L1914" s="26">
        <v>3000</v>
      </c>
      <c r="M1914" s="26">
        <v>185</v>
      </c>
      <c r="N1914" s="25">
        <f t="shared" si="59"/>
        <v>555000</v>
      </c>
      <c r="O1914" s="56">
        <v>160</v>
      </c>
    </row>
    <row r="1915" spans="1:15" hidden="1" x14ac:dyDescent="0.3">
      <c r="A1915" s="26">
        <v>29</v>
      </c>
      <c r="B1915" s="20" t="str">
        <f t="shared" si="58"/>
        <v>JUL</v>
      </c>
      <c r="C1915" s="21">
        <v>46222</v>
      </c>
      <c r="D1915" s="22" t="str">
        <f t="array" ref="D1915">IFERROR(INDEX('Kode Outlet dan Target Toko'!$A:$A,MATCH($I1915,'Kode Outlet dan Target Toko'!$E:$E,0)),"")</f>
        <v>GRSM 6</v>
      </c>
      <c r="E1915" s="20" t="str">
        <f>IFERROR(VLOOKUP(I1915,KET!$B:$F,4,0),"")</f>
        <v>WINDA</v>
      </c>
      <c r="F1915" s="20" t="str">
        <f>IFERROR(VLOOKUP(I1915,KET!$B:$F,5,0),"")</f>
        <v>GMM</v>
      </c>
      <c r="G1915" s="20">
        <f>IFERROR(INDEX('Kode Outlet dan Target Toko'!$C:$C,MATCH($I1915,'Kode Outlet dan Target Toko'!$E:$E,0)),0)</f>
        <v>103765</v>
      </c>
      <c r="H1915" s="20">
        <f>IFERROR(INDEX('Kode Outlet dan Target Toko'!$D:$D,MATCH($I1915,'Kode Outlet dan Target Toko'!$E:$E,0)),0)</f>
        <v>4305267</v>
      </c>
      <c r="I1915" s="42" t="s">
        <v>54</v>
      </c>
      <c r="J1915" s="56" t="s">
        <v>278</v>
      </c>
      <c r="K1915" s="40" t="s">
        <v>15</v>
      </c>
      <c r="L1915" s="26">
        <v>3000</v>
      </c>
      <c r="M1915" s="26">
        <v>145</v>
      </c>
      <c r="N1915" s="25">
        <f t="shared" si="59"/>
        <v>435000</v>
      </c>
      <c r="O1915" s="56"/>
    </row>
    <row r="1916" spans="1:15" hidden="1" x14ac:dyDescent="0.3">
      <c r="A1916" s="26">
        <v>29</v>
      </c>
      <c r="B1916" s="20" t="str">
        <f t="shared" si="58"/>
        <v>JUL</v>
      </c>
      <c r="C1916" s="21">
        <v>46222</v>
      </c>
      <c r="D1916" s="22" t="str">
        <f t="array" ref="D1916">IFERROR(INDEX('Kode Outlet dan Target Toko'!$A:$A,MATCH($I1916,'Kode Outlet dan Target Toko'!$E:$E,0)),"")</f>
        <v>GRSM 6</v>
      </c>
      <c r="E1916" s="20" t="str">
        <f>IFERROR(VLOOKUP(I1916,KET!$B:$F,4,0),"")</f>
        <v>WINDA</v>
      </c>
      <c r="F1916" s="20" t="str">
        <f>IFERROR(VLOOKUP(I1916,KET!$B:$F,5,0),"")</f>
        <v>GMM</v>
      </c>
      <c r="G1916" s="20">
        <f>IFERROR(INDEX('Kode Outlet dan Target Toko'!$C:$C,MATCH($I1916,'Kode Outlet dan Target Toko'!$E:$E,0)),0)</f>
        <v>103765</v>
      </c>
      <c r="H1916" s="20">
        <f>IFERROR(INDEX('Kode Outlet dan Target Toko'!$D:$D,MATCH($I1916,'Kode Outlet dan Target Toko'!$E:$E,0)),0)</f>
        <v>4305267</v>
      </c>
      <c r="I1916" s="42" t="s">
        <v>54</v>
      </c>
      <c r="J1916" s="56" t="s">
        <v>278</v>
      </c>
      <c r="K1916" s="40" t="s">
        <v>14</v>
      </c>
      <c r="L1916" s="26">
        <v>3000</v>
      </c>
      <c r="M1916" s="26">
        <v>101</v>
      </c>
      <c r="N1916" s="25">
        <f t="shared" si="59"/>
        <v>303000</v>
      </c>
      <c r="O1916" s="56"/>
    </row>
    <row r="1917" spans="1:15" hidden="1" x14ac:dyDescent="0.3">
      <c r="A1917" s="26">
        <v>29</v>
      </c>
      <c r="B1917" s="20" t="str">
        <f t="shared" si="58"/>
        <v>JUL</v>
      </c>
      <c r="C1917" s="21">
        <v>46222</v>
      </c>
      <c r="D1917" s="22" t="str">
        <f t="array" ref="D1917">IFERROR(INDEX('Kode Outlet dan Target Toko'!$A:$A,MATCH($I1917,'Kode Outlet dan Target Toko'!$E:$E,0)),"")</f>
        <v>GRSM 6</v>
      </c>
      <c r="E1917" s="20" t="str">
        <f>IFERROR(VLOOKUP(I1917,KET!$B:$F,4,0),"")</f>
        <v>WINDA</v>
      </c>
      <c r="F1917" s="20" t="str">
        <f>IFERROR(VLOOKUP(I1917,KET!$B:$F,5,0),"")</f>
        <v>GMM</v>
      </c>
      <c r="G1917" s="20">
        <f>IFERROR(INDEX('Kode Outlet dan Target Toko'!$C:$C,MATCH($I1917,'Kode Outlet dan Target Toko'!$E:$E,0)),0)</f>
        <v>103765</v>
      </c>
      <c r="H1917" s="20">
        <f>IFERROR(INDEX('Kode Outlet dan Target Toko'!$D:$D,MATCH($I1917,'Kode Outlet dan Target Toko'!$E:$E,0)),0)</f>
        <v>4305267</v>
      </c>
      <c r="I1917" s="42" t="s">
        <v>54</v>
      </c>
      <c r="J1917" s="56" t="s">
        <v>278</v>
      </c>
      <c r="K1917" s="40" t="s">
        <v>13</v>
      </c>
      <c r="L1917" s="26">
        <v>3000</v>
      </c>
      <c r="M1917" s="26">
        <v>72</v>
      </c>
      <c r="N1917" s="25">
        <f t="shared" si="59"/>
        <v>216000</v>
      </c>
      <c r="O1917" s="56"/>
    </row>
    <row r="1918" spans="1:15" hidden="1" x14ac:dyDescent="0.3">
      <c r="A1918" s="26">
        <v>29</v>
      </c>
      <c r="B1918" s="20" t="str">
        <f t="shared" si="58"/>
        <v>JUL</v>
      </c>
      <c r="C1918" s="21">
        <v>46222</v>
      </c>
      <c r="D1918" s="22" t="str">
        <f t="array" ref="D1918">IFERROR(INDEX('Kode Outlet dan Target Toko'!$A:$A,MATCH($I1918,'Kode Outlet dan Target Toko'!$E:$E,0)),"")</f>
        <v>GRSM 6</v>
      </c>
      <c r="E1918" s="20" t="str">
        <f>IFERROR(VLOOKUP(I1918,KET!$B:$F,4,0),"")</f>
        <v>WINDA</v>
      </c>
      <c r="F1918" s="20" t="str">
        <f>IFERROR(VLOOKUP(I1918,KET!$B:$F,5,0),"")</f>
        <v>GMM</v>
      </c>
      <c r="G1918" s="20">
        <f>IFERROR(INDEX('Kode Outlet dan Target Toko'!$C:$C,MATCH($I1918,'Kode Outlet dan Target Toko'!$E:$E,0)),0)</f>
        <v>103765</v>
      </c>
      <c r="H1918" s="20">
        <f>IFERROR(INDEX('Kode Outlet dan Target Toko'!$D:$D,MATCH($I1918,'Kode Outlet dan Target Toko'!$E:$E,0)),0)</f>
        <v>4305267</v>
      </c>
      <c r="I1918" s="42" t="s">
        <v>54</v>
      </c>
      <c r="J1918" s="56" t="s">
        <v>278</v>
      </c>
      <c r="K1918" s="40" t="s">
        <v>16</v>
      </c>
      <c r="L1918" s="26">
        <v>3000</v>
      </c>
      <c r="M1918" s="26">
        <v>185</v>
      </c>
      <c r="N1918" s="25">
        <f t="shared" si="59"/>
        <v>555000</v>
      </c>
      <c r="O1918" s="56">
        <v>160</v>
      </c>
    </row>
    <row r="1919" spans="1:15" hidden="1" x14ac:dyDescent="0.3">
      <c r="A1919" s="26">
        <v>30</v>
      </c>
      <c r="B1919" s="20" t="str">
        <f t="shared" si="58"/>
        <v>JUL</v>
      </c>
      <c r="C1919" s="21">
        <v>46227</v>
      </c>
      <c r="D1919" s="22" t="str">
        <f t="array" ref="D1919">IFERROR(INDEX('Kode Outlet dan Target Toko'!$A:$A,MATCH($I1919,'Kode Outlet dan Target Toko'!$E:$E,0)),"")</f>
        <v>GRSM 4</v>
      </c>
      <c r="E1919" s="20" t="str">
        <f>IFERROR(VLOOKUP(I1919,KET!$B:$F,4,0),"")</f>
        <v>FAHMI LUKMANUL HAKIM</v>
      </c>
      <c r="F1919" s="20" t="str">
        <f>IFERROR(VLOOKUP(I1919,KET!$B:$F,5,0),"")</f>
        <v>GMM</v>
      </c>
      <c r="G1919" s="20">
        <f>IFERROR(INDEX('Kode Outlet dan Target Toko'!$C:$C,MATCH($I1919,'Kode Outlet dan Target Toko'!$E:$E,0)),0)</f>
        <v>121409</v>
      </c>
      <c r="H1919" s="20">
        <f>IFERROR(INDEX('Kode Outlet dan Target Toko'!$D:$D,MATCH($I1919,'Kode Outlet dan Target Toko'!$E:$E,0)),0)</f>
        <v>5205014</v>
      </c>
      <c r="I1919" s="42" t="s">
        <v>31</v>
      </c>
      <c r="J1919" s="56" t="s">
        <v>184</v>
      </c>
      <c r="K1919" s="40" t="s">
        <v>13</v>
      </c>
      <c r="L1919" s="26">
        <v>2100</v>
      </c>
      <c r="M1919" s="26">
        <v>73</v>
      </c>
      <c r="N1919" s="25">
        <f t="shared" si="59"/>
        <v>153300</v>
      </c>
      <c r="O1919" s="56"/>
    </row>
    <row r="1920" spans="1:15" hidden="1" x14ac:dyDescent="0.3">
      <c r="A1920" s="26">
        <v>30</v>
      </c>
      <c r="B1920" s="20" t="str">
        <f t="shared" si="58"/>
        <v>JUL</v>
      </c>
      <c r="C1920" s="21">
        <v>46227</v>
      </c>
      <c r="D1920" s="22" t="str">
        <f t="array" ref="D1920">IFERROR(INDEX('Kode Outlet dan Target Toko'!$A:$A,MATCH($I1920,'Kode Outlet dan Target Toko'!$E:$E,0)),"")</f>
        <v>GRSM 4</v>
      </c>
      <c r="E1920" s="20" t="str">
        <f>IFERROR(VLOOKUP(I1920,KET!$B:$F,4,0),"")</f>
        <v>FAHMI LUKMANUL HAKIM</v>
      </c>
      <c r="F1920" s="20" t="str">
        <f>IFERROR(VLOOKUP(I1920,KET!$B:$F,5,0),"")</f>
        <v>GMM</v>
      </c>
      <c r="G1920" s="20">
        <f>IFERROR(INDEX('Kode Outlet dan Target Toko'!$C:$C,MATCH($I1920,'Kode Outlet dan Target Toko'!$E:$E,0)),0)</f>
        <v>121409</v>
      </c>
      <c r="H1920" s="20">
        <f>IFERROR(INDEX('Kode Outlet dan Target Toko'!$D:$D,MATCH($I1920,'Kode Outlet dan Target Toko'!$E:$E,0)),0)</f>
        <v>5205014</v>
      </c>
      <c r="I1920" s="42" t="s">
        <v>31</v>
      </c>
      <c r="J1920" s="56" t="s">
        <v>184</v>
      </c>
      <c r="K1920" s="40" t="s">
        <v>14</v>
      </c>
      <c r="L1920" s="26">
        <v>2100</v>
      </c>
      <c r="M1920" s="26">
        <v>77</v>
      </c>
      <c r="N1920" s="25">
        <f t="shared" si="59"/>
        <v>161700</v>
      </c>
      <c r="O1920" s="56"/>
    </row>
    <row r="1921" spans="1:15" hidden="1" x14ac:dyDescent="0.3">
      <c r="A1921" s="26">
        <v>30</v>
      </c>
      <c r="B1921" s="20" t="str">
        <f t="shared" si="58"/>
        <v>JUL</v>
      </c>
      <c r="C1921" s="21">
        <v>46227</v>
      </c>
      <c r="D1921" s="22" t="str">
        <f t="array" ref="D1921">IFERROR(INDEX('Kode Outlet dan Target Toko'!$A:$A,MATCH($I1921,'Kode Outlet dan Target Toko'!$E:$E,0)),"")</f>
        <v>GRSM 4</v>
      </c>
      <c r="E1921" s="20" t="str">
        <f>IFERROR(VLOOKUP(I1921,KET!$B:$F,4,0),"")</f>
        <v>FAHMI LUKMANUL HAKIM</v>
      </c>
      <c r="F1921" s="20" t="str">
        <f>IFERROR(VLOOKUP(I1921,KET!$B:$F,5,0),"")</f>
        <v>GMM</v>
      </c>
      <c r="G1921" s="20">
        <f>IFERROR(INDEX('Kode Outlet dan Target Toko'!$C:$C,MATCH($I1921,'Kode Outlet dan Target Toko'!$E:$E,0)),0)</f>
        <v>121409</v>
      </c>
      <c r="H1921" s="20">
        <f>IFERROR(INDEX('Kode Outlet dan Target Toko'!$D:$D,MATCH($I1921,'Kode Outlet dan Target Toko'!$E:$E,0)),0)</f>
        <v>5205014</v>
      </c>
      <c r="I1921" s="42" t="s">
        <v>31</v>
      </c>
      <c r="J1921" s="56" t="s">
        <v>184</v>
      </c>
      <c r="K1921" s="40" t="s">
        <v>15</v>
      </c>
      <c r="L1921" s="26">
        <v>2100</v>
      </c>
      <c r="M1921" s="26">
        <v>56</v>
      </c>
      <c r="N1921" s="25">
        <f t="shared" si="59"/>
        <v>117600</v>
      </c>
      <c r="O1921" s="56"/>
    </row>
    <row r="1922" spans="1:15" hidden="1" x14ac:dyDescent="0.3">
      <c r="A1922" s="26">
        <v>30</v>
      </c>
      <c r="B1922" s="20" t="str">
        <f t="shared" si="58"/>
        <v>JUL</v>
      </c>
      <c r="C1922" s="21">
        <v>46227</v>
      </c>
      <c r="D1922" s="22" t="str">
        <f t="array" ref="D1922">IFERROR(INDEX('Kode Outlet dan Target Toko'!$A:$A,MATCH($I1922,'Kode Outlet dan Target Toko'!$E:$E,0)),"")</f>
        <v>GRSM 4</v>
      </c>
      <c r="E1922" s="20" t="str">
        <f>IFERROR(VLOOKUP(I1922,KET!$B:$F,4,0),"")</f>
        <v>FAHMI LUKMANUL HAKIM</v>
      </c>
      <c r="F1922" s="20" t="str">
        <f>IFERROR(VLOOKUP(I1922,KET!$B:$F,5,0),"")</f>
        <v>GMM</v>
      </c>
      <c r="G1922" s="20">
        <f>IFERROR(INDEX('Kode Outlet dan Target Toko'!$C:$C,MATCH($I1922,'Kode Outlet dan Target Toko'!$E:$E,0)),0)</f>
        <v>121409</v>
      </c>
      <c r="H1922" s="20">
        <f>IFERROR(INDEX('Kode Outlet dan Target Toko'!$D:$D,MATCH($I1922,'Kode Outlet dan Target Toko'!$E:$E,0)),0)</f>
        <v>5205014</v>
      </c>
      <c r="I1922" s="42" t="s">
        <v>31</v>
      </c>
      <c r="J1922" s="56" t="s">
        <v>184</v>
      </c>
      <c r="K1922" s="40" t="s">
        <v>16</v>
      </c>
      <c r="L1922" s="26">
        <v>2100</v>
      </c>
      <c r="M1922" s="26">
        <v>139</v>
      </c>
      <c r="N1922" s="25">
        <f t="shared" si="59"/>
        <v>291900</v>
      </c>
      <c r="O1922" s="56">
        <v>160</v>
      </c>
    </row>
    <row r="1923" spans="1:15" hidden="1" x14ac:dyDescent="0.3">
      <c r="A1923" s="26">
        <v>30</v>
      </c>
      <c r="B1923" s="20" t="str">
        <f t="shared" si="58"/>
        <v>JUL</v>
      </c>
      <c r="C1923" s="21">
        <v>46227</v>
      </c>
      <c r="D1923" s="22" t="str">
        <f t="array" ref="D1923">IFERROR(INDEX('Kode Outlet dan Target Toko'!$A:$A,MATCH($I1923,'Kode Outlet dan Target Toko'!$E:$E,0)),"")</f>
        <v>GRSM 4</v>
      </c>
      <c r="E1923" s="20" t="str">
        <f>IFERROR(VLOOKUP(I1923,KET!$B:$F,4,0),"")</f>
        <v>FAHMI LUKMANUL HAKIM</v>
      </c>
      <c r="F1923" s="20" t="str">
        <f>IFERROR(VLOOKUP(I1923,KET!$B:$F,5,0),"")</f>
        <v>GMM</v>
      </c>
      <c r="G1923" s="20">
        <f>IFERROR(INDEX('Kode Outlet dan Target Toko'!$C:$C,MATCH($I1923,'Kode Outlet dan Target Toko'!$E:$E,0)),0)</f>
        <v>121409</v>
      </c>
      <c r="H1923" s="20">
        <f>IFERROR(INDEX('Kode Outlet dan Target Toko'!$D:$D,MATCH($I1923,'Kode Outlet dan Target Toko'!$E:$E,0)),0)</f>
        <v>5205014</v>
      </c>
      <c r="I1923" s="42" t="s">
        <v>31</v>
      </c>
      <c r="J1923" s="56" t="s">
        <v>185</v>
      </c>
      <c r="K1923" s="40" t="s">
        <v>13</v>
      </c>
      <c r="L1923" s="26">
        <v>2100</v>
      </c>
      <c r="M1923" s="26">
        <v>73</v>
      </c>
      <c r="N1923" s="25">
        <f t="shared" si="59"/>
        <v>153300</v>
      </c>
      <c r="O1923" s="56"/>
    </row>
    <row r="1924" spans="1:15" hidden="1" x14ac:dyDescent="0.3">
      <c r="A1924" s="26">
        <v>30</v>
      </c>
      <c r="B1924" s="20" t="str">
        <f t="shared" si="58"/>
        <v>JUL</v>
      </c>
      <c r="C1924" s="21">
        <v>46227</v>
      </c>
      <c r="D1924" s="22" t="str">
        <f t="array" ref="D1924">IFERROR(INDEX('Kode Outlet dan Target Toko'!$A:$A,MATCH($I1924,'Kode Outlet dan Target Toko'!$E:$E,0)),"")</f>
        <v>GRSM 4</v>
      </c>
      <c r="E1924" s="20" t="str">
        <f>IFERROR(VLOOKUP(I1924,KET!$B:$F,4,0),"")</f>
        <v>FAHMI LUKMANUL HAKIM</v>
      </c>
      <c r="F1924" s="20" t="str">
        <f>IFERROR(VLOOKUP(I1924,KET!$B:$F,5,0),"")</f>
        <v>GMM</v>
      </c>
      <c r="G1924" s="20">
        <f>IFERROR(INDEX('Kode Outlet dan Target Toko'!$C:$C,MATCH($I1924,'Kode Outlet dan Target Toko'!$E:$E,0)),0)</f>
        <v>121409</v>
      </c>
      <c r="H1924" s="20">
        <f>IFERROR(INDEX('Kode Outlet dan Target Toko'!$D:$D,MATCH($I1924,'Kode Outlet dan Target Toko'!$E:$E,0)),0)</f>
        <v>5205014</v>
      </c>
      <c r="I1924" s="42" t="s">
        <v>31</v>
      </c>
      <c r="J1924" s="56" t="s">
        <v>185</v>
      </c>
      <c r="K1924" s="40" t="s">
        <v>14</v>
      </c>
      <c r="L1924" s="26">
        <v>2100</v>
      </c>
      <c r="M1924" s="26">
        <v>77</v>
      </c>
      <c r="N1924" s="25">
        <f t="shared" si="59"/>
        <v>161700</v>
      </c>
      <c r="O1924" s="56"/>
    </row>
    <row r="1925" spans="1:15" hidden="1" x14ac:dyDescent="0.3">
      <c r="A1925" s="26">
        <v>30</v>
      </c>
      <c r="B1925" s="20" t="str">
        <f t="shared" si="58"/>
        <v>JUL</v>
      </c>
      <c r="C1925" s="21">
        <v>46227</v>
      </c>
      <c r="D1925" s="22" t="str">
        <f t="array" ref="D1925">IFERROR(INDEX('Kode Outlet dan Target Toko'!$A:$A,MATCH($I1925,'Kode Outlet dan Target Toko'!$E:$E,0)),"")</f>
        <v>GRSM 4</v>
      </c>
      <c r="E1925" s="20" t="str">
        <f>IFERROR(VLOOKUP(I1925,KET!$B:$F,4,0),"")</f>
        <v>FAHMI LUKMANUL HAKIM</v>
      </c>
      <c r="F1925" s="20" t="str">
        <f>IFERROR(VLOOKUP(I1925,KET!$B:$F,5,0),"")</f>
        <v>GMM</v>
      </c>
      <c r="G1925" s="20">
        <f>IFERROR(INDEX('Kode Outlet dan Target Toko'!$C:$C,MATCH($I1925,'Kode Outlet dan Target Toko'!$E:$E,0)),0)</f>
        <v>121409</v>
      </c>
      <c r="H1925" s="20">
        <f>IFERROR(INDEX('Kode Outlet dan Target Toko'!$D:$D,MATCH($I1925,'Kode Outlet dan Target Toko'!$E:$E,0)),0)</f>
        <v>5205014</v>
      </c>
      <c r="I1925" s="42" t="s">
        <v>31</v>
      </c>
      <c r="J1925" s="56" t="s">
        <v>185</v>
      </c>
      <c r="K1925" s="40" t="s">
        <v>15</v>
      </c>
      <c r="L1925" s="26">
        <v>2100</v>
      </c>
      <c r="M1925" s="26">
        <v>56</v>
      </c>
      <c r="N1925" s="25">
        <f t="shared" si="59"/>
        <v>117600</v>
      </c>
      <c r="O1925" s="56"/>
    </row>
    <row r="1926" spans="1:15" hidden="1" x14ac:dyDescent="0.3">
      <c r="A1926" s="26">
        <v>30</v>
      </c>
      <c r="B1926" s="20" t="str">
        <f t="shared" si="58"/>
        <v>JUL</v>
      </c>
      <c r="C1926" s="21">
        <v>46227</v>
      </c>
      <c r="D1926" s="22" t="str">
        <f t="array" ref="D1926">IFERROR(INDEX('Kode Outlet dan Target Toko'!$A:$A,MATCH($I1926,'Kode Outlet dan Target Toko'!$E:$E,0)),"")</f>
        <v>GRSM 4</v>
      </c>
      <c r="E1926" s="20" t="str">
        <f>IFERROR(VLOOKUP(I1926,KET!$B:$F,4,0),"")</f>
        <v>FAHMI LUKMANUL HAKIM</v>
      </c>
      <c r="F1926" s="20" t="str">
        <f>IFERROR(VLOOKUP(I1926,KET!$B:$F,5,0),"")</f>
        <v>GMM</v>
      </c>
      <c r="G1926" s="20">
        <f>IFERROR(INDEX('Kode Outlet dan Target Toko'!$C:$C,MATCH($I1926,'Kode Outlet dan Target Toko'!$E:$E,0)),0)</f>
        <v>121409</v>
      </c>
      <c r="H1926" s="20">
        <f>IFERROR(INDEX('Kode Outlet dan Target Toko'!$D:$D,MATCH($I1926,'Kode Outlet dan Target Toko'!$E:$E,0)),0)</f>
        <v>5205014</v>
      </c>
      <c r="I1926" s="42" t="s">
        <v>31</v>
      </c>
      <c r="J1926" s="56" t="s">
        <v>185</v>
      </c>
      <c r="K1926" s="40" t="s">
        <v>16</v>
      </c>
      <c r="L1926" s="26">
        <v>2100</v>
      </c>
      <c r="M1926" s="26">
        <v>139</v>
      </c>
      <c r="N1926" s="25">
        <f t="shared" si="59"/>
        <v>291900</v>
      </c>
      <c r="O1926" s="56">
        <v>160</v>
      </c>
    </row>
    <row r="1927" spans="1:15" hidden="1" x14ac:dyDescent="0.3">
      <c r="A1927" s="26">
        <v>30</v>
      </c>
      <c r="B1927" s="20" t="str">
        <f t="shared" ref="B1927:B1990" si="60">IF(C1927="","",UPPER(TEXT(C1927, "MMM")))</f>
        <v>JUL</v>
      </c>
      <c r="C1927" s="21">
        <v>46227</v>
      </c>
      <c r="D1927" s="22" t="str">
        <f t="array" ref="D1927">IFERROR(INDEX('Kode Outlet dan Target Toko'!$A:$A,MATCH($I1927,'Kode Outlet dan Target Toko'!$E:$E,0)),"")</f>
        <v>GRSM 4</v>
      </c>
      <c r="E1927" s="20" t="str">
        <f>IFERROR(VLOOKUP(I1927,KET!$B:$F,4,0),"")</f>
        <v>FAHMI LUKMANUL HAKIM</v>
      </c>
      <c r="F1927" s="20" t="str">
        <f>IFERROR(VLOOKUP(I1927,KET!$B:$F,5,0),"")</f>
        <v>GMM</v>
      </c>
      <c r="G1927" s="20">
        <f>IFERROR(INDEX('Kode Outlet dan Target Toko'!$C:$C,MATCH($I1927,'Kode Outlet dan Target Toko'!$E:$E,0)),0)</f>
        <v>103277</v>
      </c>
      <c r="H1927" s="20">
        <f>IFERROR(INDEX('Kode Outlet dan Target Toko'!$D:$D,MATCH($I1927,'Kode Outlet dan Target Toko'!$E:$E,0)),0)</f>
        <v>6300700</v>
      </c>
      <c r="I1927" s="42" t="s">
        <v>30</v>
      </c>
      <c r="J1927" s="56" t="s">
        <v>182</v>
      </c>
      <c r="K1927" s="40" t="s">
        <v>13</v>
      </c>
      <c r="L1927" s="26">
        <v>3000</v>
      </c>
      <c r="M1927" s="26">
        <v>35</v>
      </c>
      <c r="N1927" s="25">
        <f t="shared" ref="N1927:N1990" si="61">IFERROR(M1927*L1927,"")</f>
        <v>105000</v>
      </c>
      <c r="O1927" s="56"/>
    </row>
    <row r="1928" spans="1:15" hidden="1" x14ac:dyDescent="0.3">
      <c r="A1928" s="26">
        <v>30</v>
      </c>
      <c r="B1928" s="20" t="str">
        <f t="shared" si="60"/>
        <v>JUL</v>
      </c>
      <c r="C1928" s="21">
        <v>46227</v>
      </c>
      <c r="D1928" s="22" t="str">
        <f t="array" ref="D1928">IFERROR(INDEX('Kode Outlet dan Target Toko'!$A:$A,MATCH($I1928,'Kode Outlet dan Target Toko'!$E:$E,0)),"")</f>
        <v>GRSM 4</v>
      </c>
      <c r="E1928" s="20" t="str">
        <f>IFERROR(VLOOKUP(I1928,KET!$B:$F,4,0),"")</f>
        <v>FAHMI LUKMANUL HAKIM</v>
      </c>
      <c r="F1928" s="20" t="str">
        <f>IFERROR(VLOOKUP(I1928,KET!$B:$F,5,0),"")</f>
        <v>GMM</v>
      </c>
      <c r="G1928" s="20">
        <f>IFERROR(INDEX('Kode Outlet dan Target Toko'!$C:$C,MATCH($I1928,'Kode Outlet dan Target Toko'!$E:$E,0)),0)</f>
        <v>103277</v>
      </c>
      <c r="H1928" s="20">
        <f>IFERROR(INDEX('Kode Outlet dan Target Toko'!$D:$D,MATCH($I1928,'Kode Outlet dan Target Toko'!$E:$E,0)),0)</f>
        <v>6300700</v>
      </c>
      <c r="I1928" s="42" t="s">
        <v>30</v>
      </c>
      <c r="J1928" s="56" t="s">
        <v>182</v>
      </c>
      <c r="K1928" s="40" t="s">
        <v>14</v>
      </c>
      <c r="L1928" s="26">
        <v>3000</v>
      </c>
      <c r="M1928" s="26">
        <v>50</v>
      </c>
      <c r="N1928" s="25">
        <f t="shared" si="61"/>
        <v>150000</v>
      </c>
      <c r="O1928" s="56"/>
    </row>
    <row r="1929" spans="1:15" hidden="1" x14ac:dyDescent="0.3">
      <c r="A1929" s="26">
        <v>30</v>
      </c>
      <c r="B1929" s="20" t="str">
        <f t="shared" si="60"/>
        <v>JUL</v>
      </c>
      <c r="C1929" s="21">
        <v>46227</v>
      </c>
      <c r="D1929" s="22" t="str">
        <f t="array" ref="D1929">IFERROR(INDEX('Kode Outlet dan Target Toko'!$A:$A,MATCH($I1929,'Kode Outlet dan Target Toko'!$E:$E,0)),"")</f>
        <v>GRSM 4</v>
      </c>
      <c r="E1929" s="20" t="str">
        <f>IFERROR(VLOOKUP(I1929,KET!$B:$F,4,0),"")</f>
        <v>FAHMI LUKMANUL HAKIM</v>
      </c>
      <c r="F1929" s="20" t="str">
        <f>IFERROR(VLOOKUP(I1929,KET!$B:$F,5,0),"")</f>
        <v>GMM</v>
      </c>
      <c r="G1929" s="20">
        <f>IFERROR(INDEX('Kode Outlet dan Target Toko'!$C:$C,MATCH($I1929,'Kode Outlet dan Target Toko'!$E:$E,0)),0)</f>
        <v>103277</v>
      </c>
      <c r="H1929" s="20">
        <f>IFERROR(INDEX('Kode Outlet dan Target Toko'!$D:$D,MATCH($I1929,'Kode Outlet dan Target Toko'!$E:$E,0)),0)</f>
        <v>6300700</v>
      </c>
      <c r="I1929" s="42" t="s">
        <v>30</v>
      </c>
      <c r="J1929" s="56" t="s">
        <v>182</v>
      </c>
      <c r="K1929" s="40" t="s">
        <v>15</v>
      </c>
      <c r="L1929" s="26">
        <v>3000</v>
      </c>
      <c r="M1929" s="26">
        <v>50</v>
      </c>
      <c r="N1929" s="25">
        <f t="shared" si="61"/>
        <v>150000</v>
      </c>
      <c r="O1929" s="56"/>
    </row>
    <row r="1930" spans="1:15" hidden="1" x14ac:dyDescent="0.3">
      <c r="A1930" s="26">
        <v>30</v>
      </c>
      <c r="B1930" s="20" t="str">
        <f t="shared" si="60"/>
        <v>JUL</v>
      </c>
      <c r="C1930" s="21">
        <v>46227</v>
      </c>
      <c r="D1930" s="22" t="str">
        <f t="array" ref="D1930">IFERROR(INDEX('Kode Outlet dan Target Toko'!$A:$A,MATCH($I1930,'Kode Outlet dan Target Toko'!$E:$E,0)),"")</f>
        <v>GRSM 4</v>
      </c>
      <c r="E1930" s="20" t="str">
        <f>IFERROR(VLOOKUP(I1930,KET!$B:$F,4,0),"")</f>
        <v>FAHMI LUKMANUL HAKIM</v>
      </c>
      <c r="F1930" s="20" t="str">
        <f>IFERROR(VLOOKUP(I1930,KET!$B:$F,5,0),"")</f>
        <v>GMM</v>
      </c>
      <c r="G1930" s="20">
        <f>IFERROR(INDEX('Kode Outlet dan Target Toko'!$C:$C,MATCH($I1930,'Kode Outlet dan Target Toko'!$E:$E,0)),0)</f>
        <v>103277</v>
      </c>
      <c r="H1930" s="20">
        <f>IFERROR(INDEX('Kode Outlet dan Target Toko'!$D:$D,MATCH($I1930,'Kode Outlet dan Target Toko'!$E:$E,0)),0)</f>
        <v>6300700</v>
      </c>
      <c r="I1930" s="42" t="s">
        <v>30</v>
      </c>
      <c r="J1930" s="56" t="s">
        <v>182</v>
      </c>
      <c r="K1930" s="40" t="s">
        <v>16</v>
      </c>
      <c r="L1930" s="26">
        <v>3000</v>
      </c>
      <c r="M1930" s="26">
        <v>145</v>
      </c>
      <c r="N1930" s="25">
        <f t="shared" si="61"/>
        <v>435000</v>
      </c>
      <c r="O1930" s="56">
        <v>160</v>
      </c>
    </row>
    <row r="1931" spans="1:15" hidden="1" x14ac:dyDescent="0.3">
      <c r="A1931" s="26">
        <v>30</v>
      </c>
      <c r="B1931" s="20" t="str">
        <f t="shared" si="60"/>
        <v>JUL</v>
      </c>
      <c r="C1931" s="21">
        <v>46227</v>
      </c>
      <c r="D1931" s="22" t="str">
        <f t="array" ref="D1931">IFERROR(INDEX('Kode Outlet dan Target Toko'!$A:$A,MATCH($I1931,'Kode Outlet dan Target Toko'!$E:$E,0)),"")</f>
        <v>GRSM 4</v>
      </c>
      <c r="E1931" s="20" t="str">
        <f>IFERROR(VLOOKUP(I1931,KET!$B:$F,4,0),"")</f>
        <v>FAHMI LUKMANUL HAKIM</v>
      </c>
      <c r="F1931" s="20" t="str">
        <f>IFERROR(VLOOKUP(I1931,KET!$B:$F,5,0),"")</f>
        <v>GMM</v>
      </c>
      <c r="G1931" s="20">
        <f>IFERROR(INDEX('Kode Outlet dan Target Toko'!$C:$C,MATCH($I1931,'Kode Outlet dan Target Toko'!$E:$E,0)),0)</f>
        <v>189901</v>
      </c>
      <c r="H1931" s="20">
        <f>IFERROR(INDEX('Kode Outlet dan Target Toko'!$D:$D,MATCH($I1931,'Kode Outlet dan Target Toko'!$E:$E,0)),0)</f>
        <v>1602016</v>
      </c>
      <c r="I1931" s="42" t="s">
        <v>35</v>
      </c>
      <c r="J1931" s="56" t="s">
        <v>172</v>
      </c>
      <c r="K1931" s="40" t="s">
        <v>13</v>
      </c>
      <c r="L1931" s="26">
        <v>3400</v>
      </c>
      <c r="M1931" s="26">
        <v>100</v>
      </c>
      <c r="N1931" s="25">
        <f t="shared" si="61"/>
        <v>340000</v>
      </c>
      <c r="O1931" s="56"/>
    </row>
    <row r="1932" spans="1:15" hidden="1" x14ac:dyDescent="0.3">
      <c r="A1932" s="26">
        <v>30</v>
      </c>
      <c r="B1932" s="20" t="str">
        <f t="shared" si="60"/>
        <v>JUL</v>
      </c>
      <c r="C1932" s="21">
        <v>46227</v>
      </c>
      <c r="D1932" s="22" t="str">
        <f t="array" ref="D1932">IFERROR(INDEX('Kode Outlet dan Target Toko'!$A:$A,MATCH($I1932,'Kode Outlet dan Target Toko'!$E:$E,0)),"")</f>
        <v>GRSM 4</v>
      </c>
      <c r="E1932" s="20" t="str">
        <f>IFERROR(VLOOKUP(I1932,KET!$B:$F,4,0),"")</f>
        <v>FAHMI LUKMANUL HAKIM</v>
      </c>
      <c r="F1932" s="20" t="str">
        <f>IFERROR(VLOOKUP(I1932,KET!$B:$F,5,0),"")</f>
        <v>GMM</v>
      </c>
      <c r="G1932" s="20">
        <f>IFERROR(INDEX('Kode Outlet dan Target Toko'!$C:$C,MATCH($I1932,'Kode Outlet dan Target Toko'!$E:$E,0)),0)</f>
        <v>189901</v>
      </c>
      <c r="H1932" s="20">
        <f>IFERROR(INDEX('Kode Outlet dan Target Toko'!$D:$D,MATCH($I1932,'Kode Outlet dan Target Toko'!$E:$E,0)),0)</f>
        <v>1602016</v>
      </c>
      <c r="I1932" s="42" t="s">
        <v>35</v>
      </c>
      <c r="J1932" s="56" t="s">
        <v>172</v>
      </c>
      <c r="K1932" s="40" t="s">
        <v>14</v>
      </c>
      <c r="L1932" s="26">
        <v>3400</v>
      </c>
      <c r="M1932" s="26">
        <v>110</v>
      </c>
      <c r="N1932" s="25">
        <f t="shared" si="61"/>
        <v>374000</v>
      </c>
      <c r="O1932" s="56"/>
    </row>
    <row r="1933" spans="1:15" hidden="1" x14ac:dyDescent="0.3">
      <c r="A1933" s="26">
        <v>30</v>
      </c>
      <c r="B1933" s="20" t="str">
        <f t="shared" si="60"/>
        <v>JUL</v>
      </c>
      <c r="C1933" s="21">
        <v>46227</v>
      </c>
      <c r="D1933" s="22" t="str">
        <f t="array" ref="D1933">IFERROR(INDEX('Kode Outlet dan Target Toko'!$A:$A,MATCH($I1933,'Kode Outlet dan Target Toko'!$E:$E,0)),"")</f>
        <v>GRSM 4</v>
      </c>
      <c r="E1933" s="20" t="str">
        <f>IFERROR(VLOOKUP(I1933,KET!$B:$F,4,0),"")</f>
        <v>FAHMI LUKMANUL HAKIM</v>
      </c>
      <c r="F1933" s="20" t="str">
        <f>IFERROR(VLOOKUP(I1933,KET!$B:$F,5,0),"")</f>
        <v>GMM</v>
      </c>
      <c r="G1933" s="20">
        <f>IFERROR(INDEX('Kode Outlet dan Target Toko'!$C:$C,MATCH($I1933,'Kode Outlet dan Target Toko'!$E:$E,0)),0)</f>
        <v>189901</v>
      </c>
      <c r="H1933" s="20">
        <f>IFERROR(INDEX('Kode Outlet dan Target Toko'!$D:$D,MATCH($I1933,'Kode Outlet dan Target Toko'!$E:$E,0)),0)</f>
        <v>1602016</v>
      </c>
      <c r="I1933" s="42" t="s">
        <v>35</v>
      </c>
      <c r="J1933" s="56" t="s">
        <v>172</v>
      </c>
      <c r="K1933" s="40" t="s">
        <v>15</v>
      </c>
      <c r="L1933" s="26">
        <v>3400</v>
      </c>
      <c r="M1933" s="26">
        <v>100</v>
      </c>
      <c r="N1933" s="25">
        <f t="shared" si="61"/>
        <v>340000</v>
      </c>
      <c r="O1933" s="56"/>
    </row>
    <row r="1934" spans="1:15" hidden="1" x14ac:dyDescent="0.3">
      <c r="A1934" s="26">
        <v>30</v>
      </c>
      <c r="B1934" s="20" t="str">
        <f t="shared" si="60"/>
        <v>JUL</v>
      </c>
      <c r="C1934" s="21">
        <v>46227</v>
      </c>
      <c r="D1934" s="22" t="str">
        <f t="array" ref="D1934">IFERROR(INDEX('Kode Outlet dan Target Toko'!$A:$A,MATCH($I1934,'Kode Outlet dan Target Toko'!$E:$E,0)),"")</f>
        <v>GRSM 4</v>
      </c>
      <c r="E1934" s="20" t="str">
        <f>IFERROR(VLOOKUP(I1934,KET!$B:$F,4,0),"")</f>
        <v>FAHMI LUKMANUL HAKIM</v>
      </c>
      <c r="F1934" s="20" t="str">
        <f>IFERROR(VLOOKUP(I1934,KET!$B:$F,5,0),"")</f>
        <v>GMM</v>
      </c>
      <c r="G1934" s="20">
        <f>IFERROR(INDEX('Kode Outlet dan Target Toko'!$C:$C,MATCH($I1934,'Kode Outlet dan Target Toko'!$E:$E,0)),0)</f>
        <v>189901</v>
      </c>
      <c r="H1934" s="20">
        <f>IFERROR(INDEX('Kode Outlet dan Target Toko'!$D:$D,MATCH($I1934,'Kode Outlet dan Target Toko'!$E:$E,0)),0)</f>
        <v>1602016</v>
      </c>
      <c r="I1934" s="42" t="s">
        <v>35</v>
      </c>
      <c r="J1934" s="56" t="s">
        <v>172</v>
      </c>
      <c r="K1934" s="40" t="s">
        <v>16</v>
      </c>
      <c r="L1934" s="26">
        <v>3400</v>
      </c>
      <c r="M1934" s="26">
        <v>140</v>
      </c>
      <c r="N1934" s="25">
        <f t="shared" si="61"/>
        <v>476000</v>
      </c>
      <c r="O1934" s="56">
        <v>80</v>
      </c>
    </row>
    <row r="1935" spans="1:15" hidden="1" x14ac:dyDescent="0.3">
      <c r="A1935" s="26">
        <v>30</v>
      </c>
      <c r="B1935" s="20" t="str">
        <f t="shared" si="60"/>
        <v>JUL</v>
      </c>
      <c r="C1935" s="21">
        <v>46227</v>
      </c>
      <c r="D1935" s="22" t="str">
        <f t="array" ref="D1935">IFERROR(INDEX('Kode Outlet dan Target Toko'!$A:$A,MATCH($I1935,'Kode Outlet dan Target Toko'!$E:$E,0)),"")</f>
        <v>GRSM 4</v>
      </c>
      <c r="E1935" s="20" t="str">
        <f>IFERROR(VLOOKUP(I1935,KET!$B:$F,4,0),"")</f>
        <v>FAHMI LUKMANUL HAKIM</v>
      </c>
      <c r="F1935" s="20" t="str">
        <f>IFERROR(VLOOKUP(I1935,KET!$B:$F,5,0),"")</f>
        <v>GMM</v>
      </c>
      <c r="G1935" s="20">
        <f>IFERROR(INDEX('Kode Outlet dan Target Toko'!$C:$C,MATCH($I1935,'Kode Outlet dan Target Toko'!$E:$E,0)),0)</f>
        <v>189901</v>
      </c>
      <c r="H1935" s="20">
        <f>IFERROR(INDEX('Kode Outlet dan Target Toko'!$D:$D,MATCH($I1935,'Kode Outlet dan Target Toko'!$E:$E,0)),0)</f>
        <v>1602016</v>
      </c>
      <c r="I1935" s="42" t="s">
        <v>35</v>
      </c>
      <c r="J1935" s="56" t="s">
        <v>173</v>
      </c>
      <c r="K1935" s="40" t="s">
        <v>13</v>
      </c>
      <c r="L1935" s="26">
        <v>3400</v>
      </c>
      <c r="M1935" s="26">
        <v>100</v>
      </c>
      <c r="N1935" s="25">
        <f t="shared" si="61"/>
        <v>340000</v>
      </c>
      <c r="O1935" s="56"/>
    </row>
    <row r="1936" spans="1:15" hidden="1" x14ac:dyDescent="0.3">
      <c r="A1936" s="26">
        <v>30</v>
      </c>
      <c r="B1936" s="20" t="str">
        <f t="shared" si="60"/>
        <v>JUL</v>
      </c>
      <c r="C1936" s="21">
        <v>46227</v>
      </c>
      <c r="D1936" s="22" t="str">
        <f t="array" ref="D1936">IFERROR(INDEX('Kode Outlet dan Target Toko'!$A:$A,MATCH($I1936,'Kode Outlet dan Target Toko'!$E:$E,0)),"")</f>
        <v>GRSM 4</v>
      </c>
      <c r="E1936" s="20" t="str">
        <f>IFERROR(VLOOKUP(I1936,KET!$B:$F,4,0),"")</f>
        <v>FAHMI LUKMANUL HAKIM</v>
      </c>
      <c r="F1936" s="20" t="str">
        <f>IFERROR(VLOOKUP(I1936,KET!$B:$F,5,0),"")</f>
        <v>GMM</v>
      </c>
      <c r="G1936" s="20">
        <f>IFERROR(INDEX('Kode Outlet dan Target Toko'!$C:$C,MATCH($I1936,'Kode Outlet dan Target Toko'!$E:$E,0)),0)</f>
        <v>189901</v>
      </c>
      <c r="H1936" s="20">
        <f>IFERROR(INDEX('Kode Outlet dan Target Toko'!$D:$D,MATCH($I1936,'Kode Outlet dan Target Toko'!$E:$E,0)),0)</f>
        <v>1602016</v>
      </c>
      <c r="I1936" s="42" t="s">
        <v>35</v>
      </c>
      <c r="J1936" s="56" t="s">
        <v>173</v>
      </c>
      <c r="K1936" s="40" t="s">
        <v>14</v>
      </c>
      <c r="L1936" s="26">
        <v>3400</v>
      </c>
      <c r="M1936" s="26">
        <v>100</v>
      </c>
      <c r="N1936" s="25">
        <f t="shared" si="61"/>
        <v>340000</v>
      </c>
      <c r="O1936" s="56"/>
    </row>
    <row r="1937" spans="1:15" hidden="1" x14ac:dyDescent="0.3">
      <c r="A1937" s="26">
        <v>30</v>
      </c>
      <c r="B1937" s="20" t="str">
        <f t="shared" si="60"/>
        <v>JUL</v>
      </c>
      <c r="C1937" s="21">
        <v>46227</v>
      </c>
      <c r="D1937" s="22" t="str">
        <f t="array" ref="D1937">IFERROR(INDEX('Kode Outlet dan Target Toko'!$A:$A,MATCH($I1937,'Kode Outlet dan Target Toko'!$E:$E,0)),"")</f>
        <v>GRSM 4</v>
      </c>
      <c r="E1937" s="20" t="str">
        <f>IFERROR(VLOOKUP(I1937,KET!$B:$F,4,0),"")</f>
        <v>FAHMI LUKMANUL HAKIM</v>
      </c>
      <c r="F1937" s="20" t="str">
        <f>IFERROR(VLOOKUP(I1937,KET!$B:$F,5,0),"")</f>
        <v>GMM</v>
      </c>
      <c r="G1937" s="20">
        <f>IFERROR(INDEX('Kode Outlet dan Target Toko'!$C:$C,MATCH($I1937,'Kode Outlet dan Target Toko'!$E:$E,0)),0)</f>
        <v>189901</v>
      </c>
      <c r="H1937" s="20">
        <f>IFERROR(INDEX('Kode Outlet dan Target Toko'!$D:$D,MATCH($I1937,'Kode Outlet dan Target Toko'!$E:$E,0)),0)</f>
        <v>1602016</v>
      </c>
      <c r="I1937" s="42" t="s">
        <v>35</v>
      </c>
      <c r="J1937" s="56" t="s">
        <v>173</v>
      </c>
      <c r="K1937" s="40" t="s">
        <v>15</v>
      </c>
      <c r="L1937" s="26">
        <v>3400</v>
      </c>
      <c r="M1937" s="26">
        <v>110</v>
      </c>
      <c r="N1937" s="25">
        <f t="shared" si="61"/>
        <v>374000</v>
      </c>
      <c r="O1937" s="56"/>
    </row>
    <row r="1938" spans="1:15" hidden="1" x14ac:dyDescent="0.3">
      <c r="A1938" s="26">
        <v>30</v>
      </c>
      <c r="B1938" s="20" t="str">
        <f t="shared" si="60"/>
        <v>JUL</v>
      </c>
      <c r="C1938" s="21">
        <v>46227</v>
      </c>
      <c r="D1938" s="22" t="str">
        <f t="array" ref="D1938">IFERROR(INDEX('Kode Outlet dan Target Toko'!$A:$A,MATCH($I1938,'Kode Outlet dan Target Toko'!$E:$E,0)),"")</f>
        <v>GRSM 4</v>
      </c>
      <c r="E1938" s="20" t="str">
        <f>IFERROR(VLOOKUP(I1938,KET!$B:$F,4,0),"")</f>
        <v>FAHMI LUKMANUL HAKIM</v>
      </c>
      <c r="F1938" s="20" t="str">
        <f>IFERROR(VLOOKUP(I1938,KET!$B:$F,5,0),"")</f>
        <v>GMM</v>
      </c>
      <c r="G1938" s="20">
        <f>IFERROR(INDEX('Kode Outlet dan Target Toko'!$C:$C,MATCH($I1938,'Kode Outlet dan Target Toko'!$E:$E,0)),0)</f>
        <v>189901</v>
      </c>
      <c r="H1938" s="20">
        <f>IFERROR(INDEX('Kode Outlet dan Target Toko'!$D:$D,MATCH($I1938,'Kode Outlet dan Target Toko'!$E:$E,0)),0)</f>
        <v>1602016</v>
      </c>
      <c r="I1938" s="42" t="s">
        <v>35</v>
      </c>
      <c r="J1938" s="56" t="s">
        <v>173</v>
      </c>
      <c r="K1938" s="40" t="s">
        <v>16</v>
      </c>
      <c r="L1938" s="26">
        <v>3400</v>
      </c>
      <c r="M1938" s="26">
        <v>130</v>
      </c>
      <c r="N1938" s="25">
        <f t="shared" si="61"/>
        <v>442000</v>
      </c>
      <c r="O1938" s="56">
        <v>80</v>
      </c>
    </row>
    <row r="1939" spans="1:15" hidden="1" x14ac:dyDescent="0.3">
      <c r="A1939" s="26">
        <v>30</v>
      </c>
      <c r="B1939" s="20" t="str">
        <f t="shared" si="60"/>
        <v>JUL</v>
      </c>
      <c r="C1939" s="21">
        <v>46227</v>
      </c>
      <c r="D1939" s="22" t="str">
        <f t="array" ref="D1939">IFERROR(INDEX('Kode Outlet dan Target Toko'!$A:$A,MATCH($I1939,'Kode Outlet dan Target Toko'!$E:$E,0)),"")</f>
        <v>GRSM 4</v>
      </c>
      <c r="E1939" s="20" t="str">
        <f>IFERROR(VLOOKUP(I1939,KET!$B:$F,4,0),"")</f>
        <v>FAHMI LUKMANUL HAKIM</v>
      </c>
      <c r="F1939" s="20" t="str">
        <f>IFERROR(VLOOKUP(I1939,KET!$B:$F,5,0),"")</f>
        <v>GMM</v>
      </c>
      <c r="G1939" s="20">
        <f>IFERROR(INDEX('Kode Outlet dan Target Toko'!$C:$C,MATCH($I1939,'Kode Outlet dan Target Toko'!$E:$E,0)),0)</f>
        <v>103277</v>
      </c>
      <c r="H1939" s="20">
        <f>IFERROR(INDEX('Kode Outlet dan Target Toko'!$D:$D,MATCH($I1939,'Kode Outlet dan Target Toko'!$E:$E,0)),0)</f>
        <v>6300700</v>
      </c>
      <c r="I1939" s="42" t="s">
        <v>30</v>
      </c>
      <c r="J1939" s="56" t="s">
        <v>183</v>
      </c>
      <c r="K1939" s="40" t="s">
        <v>13</v>
      </c>
      <c r="L1939" s="26">
        <v>2100</v>
      </c>
      <c r="M1939" s="26">
        <v>50</v>
      </c>
      <c r="N1939" s="25">
        <f t="shared" si="61"/>
        <v>105000</v>
      </c>
      <c r="O1939" s="56"/>
    </row>
    <row r="1940" spans="1:15" hidden="1" x14ac:dyDescent="0.3">
      <c r="A1940" s="26">
        <v>30</v>
      </c>
      <c r="B1940" s="20" t="str">
        <f t="shared" si="60"/>
        <v>JUL</v>
      </c>
      <c r="C1940" s="21">
        <v>46227</v>
      </c>
      <c r="D1940" s="22" t="str">
        <f t="array" ref="D1940">IFERROR(INDEX('Kode Outlet dan Target Toko'!$A:$A,MATCH($I1940,'Kode Outlet dan Target Toko'!$E:$E,0)),"")</f>
        <v>GRSM 4</v>
      </c>
      <c r="E1940" s="20" t="str">
        <f>IFERROR(VLOOKUP(I1940,KET!$B:$F,4,0),"")</f>
        <v>FAHMI LUKMANUL HAKIM</v>
      </c>
      <c r="F1940" s="20" t="str">
        <f>IFERROR(VLOOKUP(I1940,KET!$B:$F,5,0),"")</f>
        <v>GMM</v>
      </c>
      <c r="G1940" s="20">
        <f>IFERROR(INDEX('Kode Outlet dan Target Toko'!$C:$C,MATCH($I1940,'Kode Outlet dan Target Toko'!$E:$E,0)),0)</f>
        <v>103277</v>
      </c>
      <c r="H1940" s="20">
        <f>IFERROR(INDEX('Kode Outlet dan Target Toko'!$D:$D,MATCH($I1940,'Kode Outlet dan Target Toko'!$E:$E,0)),0)</f>
        <v>6300700</v>
      </c>
      <c r="I1940" s="42" t="s">
        <v>30</v>
      </c>
      <c r="J1940" s="56" t="s">
        <v>183</v>
      </c>
      <c r="K1940" s="40" t="s">
        <v>14</v>
      </c>
      <c r="L1940" s="26">
        <v>2100</v>
      </c>
      <c r="M1940" s="26">
        <v>60</v>
      </c>
      <c r="N1940" s="25">
        <f t="shared" si="61"/>
        <v>126000</v>
      </c>
      <c r="O1940" s="56"/>
    </row>
    <row r="1941" spans="1:15" hidden="1" x14ac:dyDescent="0.3">
      <c r="A1941" s="26">
        <v>30</v>
      </c>
      <c r="B1941" s="20" t="str">
        <f t="shared" si="60"/>
        <v>JUL</v>
      </c>
      <c r="C1941" s="21">
        <v>46227</v>
      </c>
      <c r="D1941" s="22" t="str">
        <f t="array" ref="D1941">IFERROR(INDEX('Kode Outlet dan Target Toko'!$A:$A,MATCH($I1941,'Kode Outlet dan Target Toko'!$E:$E,0)),"")</f>
        <v>GRSM 4</v>
      </c>
      <c r="E1941" s="20" t="str">
        <f>IFERROR(VLOOKUP(I1941,KET!$B:$F,4,0),"")</f>
        <v>FAHMI LUKMANUL HAKIM</v>
      </c>
      <c r="F1941" s="20" t="str">
        <f>IFERROR(VLOOKUP(I1941,KET!$B:$F,5,0),"")</f>
        <v>GMM</v>
      </c>
      <c r="G1941" s="20">
        <f>IFERROR(INDEX('Kode Outlet dan Target Toko'!$C:$C,MATCH($I1941,'Kode Outlet dan Target Toko'!$E:$E,0)),0)</f>
        <v>103277</v>
      </c>
      <c r="H1941" s="20">
        <f>IFERROR(INDEX('Kode Outlet dan Target Toko'!$D:$D,MATCH($I1941,'Kode Outlet dan Target Toko'!$E:$E,0)),0)</f>
        <v>6300700</v>
      </c>
      <c r="I1941" s="42" t="s">
        <v>30</v>
      </c>
      <c r="J1941" s="56" t="s">
        <v>183</v>
      </c>
      <c r="K1941" s="40" t="s">
        <v>15</v>
      </c>
      <c r="L1941" s="26">
        <v>2100</v>
      </c>
      <c r="M1941" s="26">
        <v>65</v>
      </c>
      <c r="N1941" s="25">
        <f t="shared" si="61"/>
        <v>136500</v>
      </c>
      <c r="O1941" s="56"/>
    </row>
    <row r="1942" spans="1:15" hidden="1" x14ac:dyDescent="0.3">
      <c r="A1942" s="26">
        <v>30</v>
      </c>
      <c r="B1942" s="20" t="str">
        <f t="shared" si="60"/>
        <v>JUL</v>
      </c>
      <c r="C1942" s="21">
        <v>46227</v>
      </c>
      <c r="D1942" s="22" t="str">
        <f t="array" ref="D1942">IFERROR(INDEX('Kode Outlet dan Target Toko'!$A:$A,MATCH($I1942,'Kode Outlet dan Target Toko'!$E:$E,0)),"")</f>
        <v>GRSM 4</v>
      </c>
      <c r="E1942" s="20" t="str">
        <f>IFERROR(VLOOKUP(I1942,KET!$B:$F,4,0),"")</f>
        <v>FAHMI LUKMANUL HAKIM</v>
      </c>
      <c r="F1942" s="20" t="str">
        <f>IFERROR(VLOOKUP(I1942,KET!$B:$F,5,0),"")</f>
        <v>GMM</v>
      </c>
      <c r="G1942" s="20">
        <f>IFERROR(INDEX('Kode Outlet dan Target Toko'!$C:$C,MATCH($I1942,'Kode Outlet dan Target Toko'!$E:$E,0)),0)</f>
        <v>103277</v>
      </c>
      <c r="H1942" s="20">
        <f>IFERROR(INDEX('Kode Outlet dan Target Toko'!$D:$D,MATCH($I1942,'Kode Outlet dan Target Toko'!$E:$E,0)),0)</f>
        <v>6300700</v>
      </c>
      <c r="I1942" s="42" t="s">
        <v>30</v>
      </c>
      <c r="J1942" s="56" t="s">
        <v>183</v>
      </c>
      <c r="K1942" s="40" t="s">
        <v>16</v>
      </c>
      <c r="L1942" s="26">
        <v>2100</v>
      </c>
      <c r="M1942" s="26">
        <v>105</v>
      </c>
      <c r="N1942" s="25">
        <f t="shared" si="61"/>
        <v>220500</v>
      </c>
      <c r="O1942" s="56">
        <v>160</v>
      </c>
    </row>
    <row r="1943" spans="1:15" hidden="1" x14ac:dyDescent="0.3">
      <c r="A1943" s="26">
        <v>30</v>
      </c>
      <c r="B1943" s="20" t="str">
        <f t="shared" si="60"/>
        <v>JUL</v>
      </c>
      <c r="C1943" s="21">
        <v>46227</v>
      </c>
      <c r="D1943" s="22" t="str">
        <f t="array" ref="D1943">IFERROR(INDEX('Kode Outlet dan Target Toko'!$A:$A,MATCH($I1943,'Kode Outlet dan Target Toko'!$E:$E,0)),"")</f>
        <v>GRSM 4</v>
      </c>
      <c r="E1943" s="20" t="str">
        <f>IFERROR(VLOOKUP(I1943,KET!$B:$F,4,0),"")</f>
        <v>FAHMI LUKMANUL HAKIM</v>
      </c>
      <c r="F1943" s="20" t="str">
        <f>IFERROR(VLOOKUP(I1943,KET!$B:$F,5,0),"")</f>
        <v>GMM</v>
      </c>
      <c r="G1943" s="20">
        <f>IFERROR(INDEX('Kode Outlet dan Target Toko'!$C:$C,MATCH($I1943,'Kode Outlet dan Target Toko'!$E:$E,0)),0)</f>
        <v>189901</v>
      </c>
      <c r="H1943" s="20">
        <f>IFERROR(INDEX('Kode Outlet dan Target Toko'!$D:$D,MATCH($I1943,'Kode Outlet dan Target Toko'!$E:$E,0)),0)</f>
        <v>1602018</v>
      </c>
      <c r="I1943" s="50" t="s">
        <v>34</v>
      </c>
      <c r="J1943" s="56" t="s">
        <v>187</v>
      </c>
      <c r="K1943" s="40" t="s">
        <v>13</v>
      </c>
      <c r="L1943" s="26">
        <v>3500</v>
      </c>
      <c r="M1943" s="26">
        <v>20</v>
      </c>
      <c r="N1943" s="25">
        <f t="shared" si="61"/>
        <v>70000</v>
      </c>
      <c r="O1943" s="56"/>
    </row>
    <row r="1944" spans="1:15" hidden="1" x14ac:dyDescent="0.3">
      <c r="A1944" s="26">
        <v>30</v>
      </c>
      <c r="B1944" s="20" t="str">
        <f t="shared" si="60"/>
        <v>JUL</v>
      </c>
      <c r="C1944" s="21">
        <v>46227</v>
      </c>
      <c r="D1944" s="22" t="str">
        <f t="array" ref="D1944">IFERROR(INDEX('Kode Outlet dan Target Toko'!$A:$A,MATCH($I1944,'Kode Outlet dan Target Toko'!$E:$E,0)),"")</f>
        <v>GRSM 4</v>
      </c>
      <c r="E1944" s="20" t="str">
        <f>IFERROR(VLOOKUP(I1944,KET!$B:$F,4,0),"")</f>
        <v>FAHMI LUKMANUL HAKIM</v>
      </c>
      <c r="F1944" s="20" t="str">
        <f>IFERROR(VLOOKUP(I1944,KET!$B:$F,5,0),"")</f>
        <v>GMM</v>
      </c>
      <c r="G1944" s="20">
        <f>IFERROR(INDEX('Kode Outlet dan Target Toko'!$C:$C,MATCH($I1944,'Kode Outlet dan Target Toko'!$E:$E,0)),0)</f>
        <v>189901</v>
      </c>
      <c r="H1944" s="20">
        <f>IFERROR(INDEX('Kode Outlet dan Target Toko'!$D:$D,MATCH($I1944,'Kode Outlet dan Target Toko'!$E:$E,0)),0)</f>
        <v>1602018</v>
      </c>
      <c r="I1944" s="50" t="s">
        <v>34</v>
      </c>
      <c r="J1944" s="56" t="s">
        <v>187</v>
      </c>
      <c r="K1944" s="40" t="s">
        <v>14</v>
      </c>
      <c r="L1944" s="26">
        <v>3500</v>
      </c>
      <c r="M1944" s="26">
        <v>25</v>
      </c>
      <c r="N1944" s="25">
        <f t="shared" si="61"/>
        <v>87500</v>
      </c>
      <c r="O1944" s="56"/>
    </row>
    <row r="1945" spans="1:15" hidden="1" x14ac:dyDescent="0.3">
      <c r="A1945" s="26">
        <v>30</v>
      </c>
      <c r="B1945" s="20" t="str">
        <f t="shared" si="60"/>
        <v>JUL</v>
      </c>
      <c r="C1945" s="21">
        <v>46227</v>
      </c>
      <c r="D1945" s="22" t="str">
        <f t="array" ref="D1945">IFERROR(INDEX('Kode Outlet dan Target Toko'!$A:$A,MATCH($I1945,'Kode Outlet dan Target Toko'!$E:$E,0)),"")</f>
        <v>GRSM 4</v>
      </c>
      <c r="E1945" s="20" t="str">
        <f>IFERROR(VLOOKUP(I1945,KET!$B:$F,4,0),"")</f>
        <v>FAHMI LUKMANUL HAKIM</v>
      </c>
      <c r="F1945" s="20" t="str">
        <f>IFERROR(VLOOKUP(I1945,KET!$B:$F,5,0),"")</f>
        <v>GMM</v>
      </c>
      <c r="G1945" s="20">
        <f>IFERROR(INDEX('Kode Outlet dan Target Toko'!$C:$C,MATCH($I1945,'Kode Outlet dan Target Toko'!$E:$E,0)),0)</f>
        <v>189901</v>
      </c>
      <c r="H1945" s="20">
        <f>IFERROR(INDEX('Kode Outlet dan Target Toko'!$D:$D,MATCH($I1945,'Kode Outlet dan Target Toko'!$E:$E,0)),0)</f>
        <v>1602018</v>
      </c>
      <c r="I1945" s="50" t="s">
        <v>34</v>
      </c>
      <c r="J1945" s="56" t="s">
        <v>187</v>
      </c>
      <c r="K1945" s="40" t="s">
        <v>15</v>
      </c>
      <c r="L1945" s="26">
        <v>3500</v>
      </c>
      <c r="M1945" s="26">
        <v>30</v>
      </c>
      <c r="N1945" s="25">
        <f t="shared" si="61"/>
        <v>105000</v>
      </c>
      <c r="O1945" s="56"/>
    </row>
    <row r="1946" spans="1:15" hidden="1" x14ac:dyDescent="0.3">
      <c r="A1946" s="26">
        <v>30</v>
      </c>
      <c r="B1946" s="20" t="str">
        <f t="shared" si="60"/>
        <v>JUL</v>
      </c>
      <c r="C1946" s="21">
        <v>46227</v>
      </c>
      <c r="D1946" s="22" t="str">
        <f t="array" ref="D1946">IFERROR(INDEX('Kode Outlet dan Target Toko'!$A:$A,MATCH($I1946,'Kode Outlet dan Target Toko'!$E:$E,0)),"")</f>
        <v>GRSM 4</v>
      </c>
      <c r="E1946" s="20" t="str">
        <f>IFERROR(VLOOKUP(I1946,KET!$B:$F,4,0),"")</f>
        <v>FAHMI LUKMANUL HAKIM</v>
      </c>
      <c r="F1946" s="20" t="str">
        <f>IFERROR(VLOOKUP(I1946,KET!$B:$F,5,0),"")</f>
        <v>GMM</v>
      </c>
      <c r="G1946" s="20">
        <f>IFERROR(INDEX('Kode Outlet dan Target Toko'!$C:$C,MATCH($I1946,'Kode Outlet dan Target Toko'!$E:$E,0)),0)</f>
        <v>189901</v>
      </c>
      <c r="H1946" s="20">
        <f>IFERROR(INDEX('Kode Outlet dan Target Toko'!$D:$D,MATCH($I1946,'Kode Outlet dan Target Toko'!$E:$E,0)),0)</f>
        <v>1602018</v>
      </c>
      <c r="I1946" s="50" t="s">
        <v>34</v>
      </c>
      <c r="J1946" s="56" t="s">
        <v>187</v>
      </c>
      <c r="K1946" s="40" t="s">
        <v>16</v>
      </c>
      <c r="L1946" s="26">
        <v>3500</v>
      </c>
      <c r="M1946" s="26">
        <v>43</v>
      </c>
      <c r="N1946" s="25">
        <f t="shared" si="61"/>
        <v>150500</v>
      </c>
      <c r="O1946" s="56">
        <v>160</v>
      </c>
    </row>
    <row r="1947" spans="1:15" hidden="1" x14ac:dyDescent="0.3">
      <c r="A1947" s="26">
        <v>30</v>
      </c>
      <c r="B1947" s="20" t="str">
        <f t="shared" si="60"/>
        <v>JUL</v>
      </c>
      <c r="C1947" s="21">
        <v>46227</v>
      </c>
      <c r="D1947" s="22" t="str">
        <f t="array" ref="D1947">IFERROR(INDEX('Kode Outlet dan Target Toko'!$A:$A,MATCH($I1947,'Kode Outlet dan Target Toko'!$E:$E,0)),"")</f>
        <v>GRSM 4</v>
      </c>
      <c r="E1947" s="20" t="str">
        <f>IFERROR(VLOOKUP(I1947,KET!$B:$F,4,0),"")</f>
        <v>FAHMI LUKMANUL HAKIM</v>
      </c>
      <c r="F1947" s="20" t="str">
        <f>IFERROR(VLOOKUP(I1947,KET!$B:$F,5,0),"")</f>
        <v>GMM</v>
      </c>
      <c r="G1947" s="20">
        <f>IFERROR(INDEX('Kode Outlet dan Target Toko'!$C:$C,MATCH($I1947,'Kode Outlet dan Target Toko'!$E:$E,0)),0)</f>
        <v>189901</v>
      </c>
      <c r="H1947" s="20">
        <f>IFERROR(INDEX('Kode Outlet dan Target Toko'!$D:$D,MATCH($I1947,'Kode Outlet dan Target Toko'!$E:$E,0)),0)</f>
        <v>1602008</v>
      </c>
      <c r="I1947" s="42" t="s">
        <v>32</v>
      </c>
      <c r="J1947" s="56" t="s">
        <v>189</v>
      </c>
      <c r="K1947" s="40" t="s">
        <v>13</v>
      </c>
      <c r="L1947" s="26">
        <v>3300</v>
      </c>
      <c r="M1947" s="26">
        <v>90</v>
      </c>
      <c r="N1947" s="25">
        <f t="shared" si="61"/>
        <v>297000</v>
      </c>
      <c r="O1947" s="56"/>
    </row>
    <row r="1948" spans="1:15" hidden="1" x14ac:dyDescent="0.3">
      <c r="A1948" s="26">
        <v>30</v>
      </c>
      <c r="B1948" s="20" t="str">
        <f t="shared" si="60"/>
        <v>JUL</v>
      </c>
      <c r="C1948" s="21">
        <v>46227</v>
      </c>
      <c r="D1948" s="22" t="str">
        <f t="array" ref="D1948">IFERROR(INDEX('Kode Outlet dan Target Toko'!$A:$A,MATCH($I1948,'Kode Outlet dan Target Toko'!$E:$E,0)),"")</f>
        <v>GRSM 4</v>
      </c>
      <c r="E1948" s="20" t="str">
        <f>IFERROR(VLOOKUP(I1948,KET!$B:$F,4,0),"")</f>
        <v>FAHMI LUKMANUL HAKIM</v>
      </c>
      <c r="F1948" s="20" t="str">
        <f>IFERROR(VLOOKUP(I1948,KET!$B:$F,5,0),"")</f>
        <v>GMM</v>
      </c>
      <c r="G1948" s="20">
        <f>IFERROR(INDEX('Kode Outlet dan Target Toko'!$C:$C,MATCH($I1948,'Kode Outlet dan Target Toko'!$E:$E,0)),0)</f>
        <v>189901</v>
      </c>
      <c r="H1948" s="20">
        <f>IFERROR(INDEX('Kode Outlet dan Target Toko'!$D:$D,MATCH($I1948,'Kode Outlet dan Target Toko'!$E:$E,0)),0)</f>
        <v>1602008</v>
      </c>
      <c r="I1948" s="42" t="s">
        <v>32</v>
      </c>
      <c r="J1948" s="56" t="s">
        <v>189</v>
      </c>
      <c r="K1948" s="40" t="s">
        <v>14</v>
      </c>
      <c r="L1948" s="26">
        <v>3300</v>
      </c>
      <c r="M1948" s="26">
        <v>78</v>
      </c>
      <c r="N1948" s="25">
        <f t="shared" si="61"/>
        <v>257400</v>
      </c>
      <c r="O1948" s="56"/>
    </row>
    <row r="1949" spans="1:15" hidden="1" x14ac:dyDescent="0.3">
      <c r="A1949" s="26">
        <v>30</v>
      </c>
      <c r="B1949" s="20" t="str">
        <f t="shared" si="60"/>
        <v>JUL</v>
      </c>
      <c r="C1949" s="21">
        <v>46227</v>
      </c>
      <c r="D1949" s="22" t="str">
        <f t="array" ref="D1949">IFERROR(INDEX('Kode Outlet dan Target Toko'!$A:$A,MATCH($I1949,'Kode Outlet dan Target Toko'!$E:$E,0)),"")</f>
        <v>GRSM 4</v>
      </c>
      <c r="E1949" s="20" t="str">
        <f>IFERROR(VLOOKUP(I1949,KET!$B:$F,4,0),"")</f>
        <v>FAHMI LUKMANUL HAKIM</v>
      </c>
      <c r="F1949" s="20" t="str">
        <f>IFERROR(VLOOKUP(I1949,KET!$B:$F,5,0),"")</f>
        <v>GMM</v>
      </c>
      <c r="G1949" s="20">
        <f>IFERROR(INDEX('Kode Outlet dan Target Toko'!$C:$C,MATCH($I1949,'Kode Outlet dan Target Toko'!$E:$E,0)),0)</f>
        <v>189901</v>
      </c>
      <c r="H1949" s="20">
        <f>IFERROR(INDEX('Kode Outlet dan Target Toko'!$D:$D,MATCH($I1949,'Kode Outlet dan Target Toko'!$E:$E,0)),0)</f>
        <v>1602008</v>
      </c>
      <c r="I1949" s="42" t="s">
        <v>32</v>
      </c>
      <c r="J1949" s="56" t="s">
        <v>189</v>
      </c>
      <c r="K1949" s="40" t="s">
        <v>15</v>
      </c>
      <c r="L1949" s="26">
        <v>3300</v>
      </c>
      <c r="M1949" s="26">
        <v>89</v>
      </c>
      <c r="N1949" s="25">
        <f t="shared" si="61"/>
        <v>293700</v>
      </c>
      <c r="O1949" s="56"/>
    </row>
    <row r="1950" spans="1:15" hidden="1" x14ac:dyDescent="0.3">
      <c r="A1950" s="26">
        <v>30</v>
      </c>
      <c r="B1950" s="20" t="str">
        <f t="shared" si="60"/>
        <v>JUL</v>
      </c>
      <c r="C1950" s="21">
        <v>46227</v>
      </c>
      <c r="D1950" s="22" t="str">
        <f t="array" ref="D1950">IFERROR(INDEX('Kode Outlet dan Target Toko'!$A:$A,MATCH($I1950,'Kode Outlet dan Target Toko'!$E:$E,0)),"")</f>
        <v>GRSM 4</v>
      </c>
      <c r="E1950" s="20" t="str">
        <f>IFERROR(VLOOKUP(I1950,KET!$B:$F,4,0),"")</f>
        <v>FAHMI LUKMANUL HAKIM</v>
      </c>
      <c r="F1950" s="20" t="str">
        <f>IFERROR(VLOOKUP(I1950,KET!$B:$F,5,0),"")</f>
        <v>GMM</v>
      </c>
      <c r="G1950" s="20">
        <f>IFERROR(INDEX('Kode Outlet dan Target Toko'!$C:$C,MATCH($I1950,'Kode Outlet dan Target Toko'!$E:$E,0)),0)</f>
        <v>189901</v>
      </c>
      <c r="H1950" s="20">
        <f>IFERROR(INDEX('Kode Outlet dan Target Toko'!$D:$D,MATCH($I1950,'Kode Outlet dan Target Toko'!$E:$E,0)),0)</f>
        <v>1602008</v>
      </c>
      <c r="I1950" s="42" t="s">
        <v>32</v>
      </c>
      <c r="J1950" s="56" t="s">
        <v>189</v>
      </c>
      <c r="K1950" s="40" t="s">
        <v>16</v>
      </c>
      <c r="L1950" s="26">
        <v>3300</v>
      </c>
      <c r="M1950" s="26">
        <v>150</v>
      </c>
      <c r="N1950" s="25">
        <f t="shared" si="61"/>
        <v>495000</v>
      </c>
      <c r="O1950" s="56">
        <v>160</v>
      </c>
    </row>
    <row r="1951" spans="1:15" hidden="1" x14ac:dyDescent="0.3">
      <c r="A1951" s="26">
        <v>30</v>
      </c>
      <c r="B1951" s="20" t="str">
        <f t="shared" si="60"/>
        <v>JUL</v>
      </c>
      <c r="C1951" s="21">
        <v>46227</v>
      </c>
      <c r="D1951" s="22" t="str">
        <f t="array" ref="D1951">IFERROR(INDEX('Kode Outlet dan Target Toko'!$A:$A,MATCH($I1951,'Kode Outlet dan Target Toko'!$E:$E,0)),"")</f>
        <v>GRSM 4</v>
      </c>
      <c r="E1951" s="20" t="str">
        <f>IFERROR(VLOOKUP(I1951,KET!$B:$F,4,0),"")</f>
        <v>FAHMI LUKMANUL HAKIM</v>
      </c>
      <c r="F1951" s="20" t="str">
        <f>IFERROR(VLOOKUP(I1951,KET!$B:$F,5,0),"")</f>
        <v>GMM</v>
      </c>
      <c r="G1951" s="20">
        <f>IFERROR(INDEX('Kode Outlet dan Target Toko'!$C:$C,MATCH($I1951,'Kode Outlet dan Target Toko'!$E:$E,0)),0)</f>
        <v>189901</v>
      </c>
      <c r="H1951" s="20">
        <f>IFERROR(INDEX('Kode Outlet dan Target Toko'!$D:$D,MATCH($I1951,'Kode Outlet dan Target Toko'!$E:$E,0)),0)</f>
        <v>1602008</v>
      </c>
      <c r="I1951" s="42" t="s">
        <v>32</v>
      </c>
      <c r="J1951" s="56" t="s">
        <v>285</v>
      </c>
      <c r="K1951" s="40" t="s">
        <v>13</v>
      </c>
      <c r="L1951" s="26">
        <v>3300</v>
      </c>
      <c r="M1951" s="26">
        <v>50</v>
      </c>
      <c r="N1951" s="25">
        <f t="shared" si="61"/>
        <v>165000</v>
      </c>
      <c r="O1951" s="56"/>
    </row>
    <row r="1952" spans="1:15" hidden="1" x14ac:dyDescent="0.3">
      <c r="A1952" s="26">
        <v>30</v>
      </c>
      <c r="B1952" s="20" t="str">
        <f t="shared" si="60"/>
        <v>JUL</v>
      </c>
      <c r="C1952" s="21">
        <v>46227</v>
      </c>
      <c r="D1952" s="22" t="str">
        <f t="array" ref="D1952">IFERROR(INDEX('Kode Outlet dan Target Toko'!$A:$A,MATCH($I1952,'Kode Outlet dan Target Toko'!$E:$E,0)),"")</f>
        <v>GRSM 4</v>
      </c>
      <c r="E1952" s="20" t="str">
        <f>IFERROR(VLOOKUP(I1952,KET!$B:$F,4,0),"")</f>
        <v>FAHMI LUKMANUL HAKIM</v>
      </c>
      <c r="F1952" s="20" t="str">
        <f>IFERROR(VLOOKUP(I1952,KET!$B:$F,5,0),"")</f>
        <v>GMM</v>
      </c>
      <c r="G1952" s="20">
        <f>IFERROR(INDEX('Kode Outlet dan Target Toko'!$C:$C,MATCH($I1952,'Kode Outlet dan Target Toko'!$E:$E,0)),0)</f>
        <v>189901</v>
      </c>
      <c r="H1952" s="20">
        <f>IFERROR(INDEX('Kode Outlet dan Target Toko'!$D:$D,MATCH($I1952,'Kode Outlet dan Target Toko'!$E:$E,0)),0)</f>
        <v>1602008</v>
      </c>
      <c r="I1952" s="42" t="s">
        <v>32</v>
      </c>
      <c r="J1952" s="56" t="s">
        <v>285</v>
      </c>
      <c r="K1952" s="40" t="s">
        <v>14</v>
      </c>
      <c r="L1952" s="26">
        <v>3300</v>
      </c>
      <c r="M1952" s="26">
        <v>50</v>
      </c>
      <c r="N1952" s="25">
        <f t="shared" si="61"/>
        <v>165000</v>
      </c>
      <c r="O1952" s="56"/>
    </row>
    <row r="1953" spans="1:15" hidden="1" x14ac:dyDescent="0.3">
      <c r="A1953" s="26">
        <v>30</v>
      </c>
      <c r="B1953" s="20" t="str">
        <f t="shared" si="60"/>
        <v>JUL</v>
      </c>
      <c r="C1953" s="21">
        <v>46227</v>
      </c>
      <c r="D1953" s="22" t="str">
        <f t="array" ref="D1953">IFERROR(INDEX('Kode Outlet dan Target Toko'!$A:$A,MATCH($I1953,'Kode Outlet dan Target Toko'!$E:$E,0)),"")</f>
        <v>GRSM 4</v>
      </c>
      <c r="E1953" s="20" t="str">
        <f>IFERROR(VLOOKUP(I1953,KET!$B:$F,4,0),"")</f>
        <v>FAHMI LUKMANUL HAKIM</v>
      </c>
      <c r="F1953" s="20" t="str">
        <f>IFERROR(VLOOKUP(I1953,KET!$B:$F,5,0),"")</f>
        <v>GMM</v>
      </c>
      <c r="G1953" s="20">
        <f>IFERROR(INDEX('Kode Outlet dan Target Toko'!$C:$C,MATCH($I1953,'Kode Outlet dan Target Toko'!$E:$E,0)),0)</f>
        <v>189901</v>
      </c>
      <c r="H1953" s="20">
        <f>IFERROR(INDEX('Kode Outlet dan Target Toko'!$D:$D,MATCH($I1953,'Kode Outlet dan Target Toko'!$E:$E,0)),0)</f>
        <v>1602008</v>
      </c>
      <c r="I1953" s="42" t="s">
        <v>32</v>
      </c>
      <c r="J1953" s="56" t="s">
        <v>285</v>
      </c>
      <c r="K1953" s="40" t="s">
        <v>15</v>
      </c>
      <c r="L1953" s="26">
        <v>3300</v>
      </c>
      <c r="M1953" s="26">
        <v>60</v>
      </c>
      <c r="N1953" s="25">
        <f t="shared" si="61"/>
        <v>198000</v>
      </c>
      <c r="O1953" s="56"/>
    </row>
    <row r="1954" spans="1:15" hidden="1" x14ac:dyDescent="0.3">
      <c r="A1954" s="26">
        <v>30</v>
      </c>
      <c r="B1954" s="20" t="str">
        <f t="shared" si="60"/>
        <v>JUL</v>
      </c>
      <c r="C1954" s="21">
        <v>46227</v>
      </c>
      <c r="D1954" s="22" t="str">
        <f t="array" ref="D1954">IFERROR(INDEX('Kode Outlet dan Target Toko'!$A:$A,MATCH($I1954,'Kode Outlet dan Target Toko'!$E:$E,0)),"")</f>
        <v>GRSM 4</v>
      </c>
      <c r="E1954" s="20" t="str">
        <f>IFERROR(VLOOKUP(I1954,KET!$B:$F,4,0),"")</f>
        <v>FAHMI LUKMANUL HAKIM</v>
      </c>
      <c r="F1954" s="20" t="str">
        <f>IFERROR(VLOOKUP(I1954,KET!$B:$F,5,0),"")</f>
        <v>GMM</v>
      </c>
      <c r="G1954" s="20">
        <f>IFERROR(INDEX('Kode Outlet dan Target Toko'!$C:$C,MATCH($I1954,'Kode Outlet dan Target Toko'!$E:$E,0)),0)</f>
        <v>189901</v>
      </c>
      <c r="H1954" s="20">
        <f>IFERROR(INDEX('Kode Outlet dan Target Toko'!$D:$D,MATCH($I1954,'Kode Outlet dan Target Toko'!$E:$E,0)),0)</f>
        <v>1602008</v>
      </c>
      <c r="I1954" s="42" t="s">
        <v>32</v>
      </c>
      <c r="J1954" s="56" t="s">
        <v>285</v>
      </c>
      <c r="K1954" s="40" t="s">
        <v>16</v>
      </c>
      <c r="L1954" s="26">
        <v>3300</v>
      </c>
      <c r="M1954" s="26">
        <v>110</v>
      </c>
      <c r="N1954" s="25">
        <f t="shared" si="61"/>
        <v>363000</v>
      </c>
      <c r="O1954" s="56">
        <v>160</v>
      </c>
    </row>
    <row r="1955" spans="1:15" hidden="1" x14ac:dyDescent="0.3">
      <c r="A1955" s="26">
        <v>30</v>
      </c>
      <c r="B1955" s="20" t="str">
        <f t="shared" si="60"/>
        <v>JUL</v>
      </c>
      <c r="C1955" s="21">
        <v>46227</v>
      </c>
      <c r="D1955" s="22" t="str">
        <f t="array" ref="D1955">IFERROR(INDEX('Kode Outlet dan Target Toko'!$A:$A,MATCH($I1955,'Kode Outlet dan Target Toko'!$E:$E,0)),"")</f>
        <v>GRSM 4</v>
      </c>
      <c r="E1955" s="20" t="str">
        <f>IFERROR(VLOOKUP(I1955,KET!$B:$F,4,0),"")</f>
        <v>FAHMI LUKMANUL HAKIM</v>
      </c>
      <c r="F1955" s="20" t="str">
        <f>IFERROR(VLOOKUP(I1955,KET!$B:$F,5,0),"")</f>
        <v>GMM</v>
      </c>
      <c r="G1955" s="20">
        <f>IFERROR(INDEX('Kode Outlet dan Target Toko'!$C:$C,MATCH($I1955,'Kode Outlet dan Target Toko'!$E:$E,0)),0)</f>
        <v>189901</v>
      </c>
      <c r="H1955" s="20">
        <f>IFERROR(INDEX('Kode Outlet dan Target Toko'!$D:$D,MATCH($I1955,'Kode Outlet dan Target Toko'!$E:$E,0)),0)</f>
        <v>1602057</v>
      </c>
      <c r="I1955" s="42" t="s">
        <v>68</v>
      </c>
      <c r="J1955" s="27" t="s">
        <v>174</v>
      </c>
      <c r="K1955" s="40" t="s">
        <v>13</v>
      </c>
      <c r="L1955" s="26">
        <v>2150</v>
      </c>
      <c r="M1955" s="26">
        <v>96</v>
      </c>
      <c r="N1955" s="25">
        <f t="shared" si="61"/>
        <v>206400</v>
      </c>
      <c r="O1955" s="56"/>
    </row>
    <row r="1956" spans="1:15" hidden="1" x14ac:dyDescent="0.3">
      <c r="A1956" s="26">
        <v>30</v>
      </c>
      <c r="B1956" s="20" t="str">
        <f t="shared" si="60"/>
        <v>JUL</v>
      </c>
      <c r="C1956" s="21">
        <v>46227</v>
      </c>
      <c r="D1956" s="22" t="str">
        <f t="array" ref="D1956">IFERROR(INDEX('Kode Outlet dan Target Toko'!$A:$A,MATCH($I1956,'Kode Outlet dan Target Toko'!$E:$E,0)),"")</f>
        <v>GRSM 4</v>
      </c>
      <c r="E1956" s="20" t="str">
        <f>IFERROR(VLOOKUP(I1956,KET!$B:$F,4,0),"")</f>
        <v>FAHMI LUKMANUL HAKIM</v>
      </c>
      <c r="F1956" s="20" t="str">
        <f>IFERROR(VLOOKUP(I1956,KET!$B:$F,5,0),"")</f>
        <v>GMM</v>
      </c>
      <c r="G1956" s="20">
        <f>IFERROR(INDEX('Kode Outlet dan Target Toko'!$C:$C,MATCH($I1956,'Kode Outlet dan Target Toko'!$E:$E,0)),0)</f>
        <v>189901</v>
      </c>
      <c r="H1956" s="20">
        <f>IFERROR(INDEX('Kode Outlet dan Target Toko'!$D:$D,MATCH($I1956,'Kode Outlet dan Target Toko'!$E:$E,0)),0)</f>
        <v>1602057</v>
      </c>
      <c r="I1956" s="42" t="s">
        <v>68</v>
      </c>
      <c r="J1956" s="27" t="s">
        <v>174</v>
      </c>
      <c r="K1956" s="40" t="s">
        <v>14</v>
      </c>
      <c r="L1956" s="26">
        <v>2150</v>
      </c>
      <c r="M1956" s="26">
        <v>144</v>
      </c>
      <c r="N1956" s="25">
        <f t="shared" si="61"/>
        <v>309600</v>
      </c>
      <c r="O1956" s="56"/>
    </row>
    <row r="1957" spans="1:15" hidden="1" x14ac:dyDescent="0.3">
      <c r="A1957" s="26">
        <v>30</v>
      </c>
      <c r="B1957" s="20" t="str">
        <f t="shared" si="60"/>
        <v>JUL</v>
      </c>
      <c r="C1957" s="21">
        <v>46227</v>
      </c>
      <c r="D1957" s="22" t="str">
        <f t="array" ref="D1957">IFERROR(INDEX('Kode Outlet dan Target Toko'!$A:$A,MATCH($I1957,'Kode Outlet dan Target Toko'!$E:$E,0)),"")</f>
        <v>GRSM 4</v>
      </c>
      <c r="E1957" s="20" t="str">
        <f>IFERROR(VLOOKUP(I1957,KET!$B:$F,4,0),"")</f>
        <v>FAHMI LUKMANUL HAKIM</v>
      </c>
      <c r="F1957" s="20" t="str">
        <f>IFERROR(VLOOKUP(I1957,KET!$B:$F,5,0),"")</f>
        <v>GMM</v>
      </c>
      <c r="G1957" s="20">
        <f>IFERROR(INDEX('Kode Outlet dan Target Toko'!$C:$C,MATCH($I1957,'Kode Outlet dan Target Toko'!$E:$E,0)),0)</f>
        <v>189901</v>
      </c>
      <c r="H1957" s="20">
        <f>IFERROR(INDEX('Kode Outlet dan Target Toko'!$D:$D,MATCH($I1957,'Kode Outlet dan Target Toko'!$E:$E,0)),0)</f>
        <v>1602057</v>
      </c>
      <c r="I1957" s="42" t="s">
        <v>68</v>
      </c>
      <c r="J1957" s="27" t="s">
        <v>174</v>
      </c>
      <c r="K1957" s="40" t="s">
        <v>15</v>
      </c>
      <c r="L1957" s="26">
        <v>2150</v>
      </c>
      <c r="M1957" s="26">
        <v>132</v>
      </c>
      <c r="N1957" s="25">
        <f t="shared" si="61"/>
        <v>283800</v>
      </c>
      <c r="O1957" s="56"/>
    </row>
    <row r="1958" spans="1:15" hidden="1" x14ac:dyDescent="0.3">
      <c r="A1958" s="26">
        <v>30</v>
      </c>
      <c r="B1958" s="20" t="str">
        <f t="shared" si="60"/>
        <v>JUL</v>
      </c>
      <c r="C1958" s="21">
        <v>46227</v>
      </c>
      <c r="D1958" s="22" t="str">
        <f t="array" ref="D1958">IFERROR(INDEX('Kode Outlet dan Target Toko'!$A:$A,MATCH($I1958,'Kode Outlet dan Target Toko'!$E:$E,0)),"")</f>
        <v>GRSM 4</v>
      </c>
      <c r="E1958" s="20" t="str">
        <f>IFERROR(VLOOKUP(I1958,KET!$B:$F,4,0),"")</f>
        <v>FAHMI LUKMANUL HAKIM</v>
      </c>
      <c r="F1958" s="20" t="str">
        <f>IFERROR(VLOOKUP(I1958,KET!$B:$F,5,0),"")</f>
        <v>GMM</v>
      </c>
      <c r="G1958" s="20">
        <f>IFERROR(INDEX('Kode Outlet dan Target Toko'!$C:$C,MATCH($I1958,'Kode Outlet dan Target Toko'!$E:$E,0)),0)</f>
        <v>189901</v>
      </c>
      <c r="H1958" s="20">
        <f>IFERROR(INDEX('Kode Outlet dan Target Toko'!$D:$D,MATCH($I1958,'Kode Outlet dan Target Toko'!$E:$E,0)),0)</f>
        <v>1602057</v>
      </c>
      <c r="I1958" s="42" t="s">
        <v>68</v>
      </c>
      <c r="J1958" s="27" t="s">
        <v>174</v>
      </c>
      <c r="K1958" s="40" t="s">
        <v>16</v>
      </c>
      <c r="L1958" s="26">
        <v>2150</v>
      </c>
      <c r="M1958" s="26">
        <v>174</v>
      </c>
      <c r="N1958" s="25">
        <f t="shared" si="61"/>
        <v>374100</v>
      </c>
      <c r="O1958" s="56">
        <v>160</v>
      </c>
    </row>
    <row r="1959" spans="1:15" hidden="1" x14ac:dyDescent="0.3">
      <c r="A1959" s="26">
        <v>30</v>
      </c>
      <c r="B1959" s="20" t="str">
        <f t="shared" si="60"/>
        <v>JUL</v>
      </c>
      <c r="C1959" s="21">
        <v>46228</v>
      </c>
      <c r="D1959" s="22" t="str">
        <f t="array" ref="D1959">IFERROR(INDEX('Kode Outlet dan Target Toko'!$A:$A,MATCH($I1959,'Kode Outlet dan Target Toko'!$E:$E,0)),"")</f>
        <v>GRSM 4</v>
      </c>
      <c r="E1959" s="20" t="str">
        <f>IFERROR(VLOOKUP(I1959,KET!$B:$F,4,0),"")</f>
        <v>FAHMI LUKMANUL HAKIM</v>
      </c>
      <c r="F1959" s="20" t="str">
        <f>IFERROR(VLOOKUP(I1959,KET!$B:$F,5,0),"")</f>
        <v>GMM</v>
      </c>
      <c r="G1959" s="20">
        <f>IFERROR(INDEX('Kode Outlet dan Target Toko'!$C:$C,MATCH($I1959,'Kode Outlet dan Target Toko'!$E:$E,0)),0)</f>
        <v>103257</v>
      </c>
      <c r="H1959" s="20">
        <f>IFERROR(INDEX('Kode Outlet dan Target Toko'!$D:$D,MATCH($I1959,'Kode Outlet dan Target Toko'!$E:$E,0)),0)</f>
        <v>9162509</v>
      </c>
      <c r="I1959" s="42" t="s">
        <v>57</v>
      </c>
      <c r="J1959" s="56" t="s">
        <v>286</v>
      </c>
      <c r="K1959" s="40" t="s">
        <v>13</v>
      </c>
      <c r="L1959" s="26">
        <v>3100</v>
      </c>
      <c r="M1959" s="26">
        <v>50</v>
      </c>
      <c r="N1959" s="25">
        <f t="shared" si="61"/>
        <v>155000</v>
      </c>
      <c r="O1959" s="56"/>
    </row>
    <row r="1960" spans="1:15" hidden="1" x14ac:dyDescent="0.3">
      <c r="A1960" s="26">
        <v>30</v>
      </c>
      <c r="B1960" s="20" t="str">
        <f t="shared" si="60"/>
        <v>JUL</v>
      </c>
      <c r="C1960" s="21">
        <v>46228</v>
      </c>
      <c r="D1960" s="22" t="str">
        <f t="array" ref="D1960">IFERROR(INDEX('Kode Outlet dan Target Toko'!$A:$A,MATCH($I1960,'Kode Outlet dan Target Toko'!$E:$E,0)),"")</f>
        <v>GRSM 4</v>
      </c>
      <c r="E1960" s="20" t="str">
        <f>IFERROR(VLOOKUP(I1960,KET!$B:$F,4,0),"")</f>
        <v>FAHMI LUKMANUL HAKIM</v>
      </c>
      <c r="F1960" s="20" t="str">
        <f>IFERROR(VLOOKUP(I1960,KET!$B:$F,5,0),"")</f>
        <v>GMM</v>
      </c>
      <c r="G1960" s="20">
        <f>IFERROR(INDEX('Kode Outlet dan Target Toko'!$C:$C,MATCH($I1960,'Kode Outlet dan Target Toko'!$E:$E,0)),0)</f>
        <v>103257</v>
      </c>
      <c r="H1960" s="20">
        <f>IFERROR(INDEX('Kode Outlet dan Target Toko'!$D:$D,MATCH($I1960,'Kode Outlet dan Target Toko'!$E:$E,0)),0)</f>
        <v>9162509</v>
      </c>
      <c r="I1960" s="42" t="s">
        <v>57</v>
      </c>
      <c r="J1960" s="56" t="s">
        <v>286</v>
      </c>
      <c r="K1960" s="40" t="s">
        <v>14</v>
      </c>
      <c r="L1960" s="26">
        <v>3100</v>
      </c>
      <c r="M1960" s="26">
        <v>55</v>
      </c>
      <c r="N1960" s="25">
        <f t="shared" si="61"/>
        <v>170500</v>
      </c>
      <c r="O1960" s="56"/>
    </row>
    <row r="1961" spans="1:15" hidden="1" x14ac:dyDescent="0.3">
      <c r="A1961" s="26">
        <v>30</v>
      </c>
      <c r="B1961" s="20" t="str">
        <f t="shared" si="60"/>
        <v>JUL</v>
      </c>
      <c r="C1961" s="21">
        <v>46228</v>
      </c>
      <c r="D1961" s="22" t="str">
        <f t="array" ref="D1961">IFERROR(INDEX('Kode Outlet dan Target Toko'!$A:$A,MATCH($I1961,'Kode Outlet dan Target Toko'!$E:$E,0)),"")</f>
        <v>GRSM 4</v>
      </c>
      <c r="E1961" s="20" t="str">
        <f>IFERROR(VLOOKUP(I1961,KET!$B:$F,4,0),"")</f>
        <v>FAHMI LUKMANUL HAKIM</v>
      </c>
      <c r="F1961" s="20" t="str">
        <f>IFERROR(VLOOKUP(I1961,KET!$B:$F,5,0),"")</f>
        <v>GMM</v>
      </c>
      <c r="G1961" s="20">
        <f>IFERROR(INDEX('Kode Outlet dan Target Toko'!$C:$C,MATCH($I1961,'Kode Outlet dan Target Toko'!$E:$E,0)),0)</f>
        <v>103257</v>
      </c>
      <c r="H1961" s="20">
        <f>IFERROR(INDEX('Kode Outlet dan Target Toko'!$D:$D,MATCH($I1961,'Kode Outlet dan Target Toko'!$E:$E,0)),0)</f>
        <v>9162509</v>
      </c>
      <c r="I1961" s="42" t="s">
        <v>57</v>
      </c>
      <c r="J1961" s="56" t="s">
        <v>286</v>
      </c>
      <c r="K1961" s="40" t="s">
        <v>15</v>
      </c>
      <c r="L1961" s="26">
        <v>3100</v>
      </c>
      <c r="M1961" s="26">
        <v>60</v>
      </c>
      <c r="N1961" s="25">
        <f t="shared" si="61"/>
        <v>186000</v>
      </c>
      <c r="O1961" s="56"/>
    </row>
    <row r="1962" spans="1:15" hidden="1" x14ac:dyDescent="0.3">
      <c r="A1962" s="26">
        <v>30</v>
      </c>
      <c r="B1962" s="20" t="str">
        <f t="shared" si="60"/>
        <v>JUL</v>
      </c>
      <c r="C1962" s="21">
        <v>46228</v>
      </c>
      <c r="D1962" s="22" t="str">
        <f t="array" ref="D1962">IFERROR(INDEX('Kode Outlet dan Target Toko'!$A:$A,MATCH($I1962,'Kode Outlet dan Target Toko'!$E:$E,0)),"")</f>
        <v>GRSM 4</v>
      </c>
      <c r="E1962" s="20" t="str">
        <f>IFERROR(VLOOKUP(I1962,KET!$B:$F,4,0),"")</f>
        <v>FAHMI LUKMANUL HAKIM</v>
      </c>
      <c r="F1962" s="20" t="str">
        <f>IFERROR(VLOOKUP(I1962,KET!$B:$F,5,0),"")</f>
        <v>GMM</v>
      </c>
      <c r="G1962" s="20">
        <f>IFERROR(INDEX('Kode Outlet dan Target Toko'!$C:$C,MATCH($I1962,'Kode Outlet dan Target Toko'!$E:$E,0)),0)</f>
        <v>103257</v>
      </c>
      <c r="H1962" s="20">
        <f>IFERROR(INDEX('Kode Outlet dan Target Toko'!$D:$D,MATCH($I1962,'Kode Outlet dan Target Toko'!$E:$E,0)),0)</f>
        <v>9162509</v>
      </c>
      <c r="I1962" s="42" t="s">
        <v>57</v>
      </c>
      <c r="J1962" s="56" t="s">
        <v>286</v>
      </c>
      <c r="K1962" s="40" t="s">
        <v>16</v>
      </c>
      <c r="L1962" s="26">
        <v>3100</v>
      </c>
      <c r="M1962" s="26">
        <v>40</v>
      </c>
      <c r="N1962" s="25">
        <f t="shared" si="61"/>
        <v>124000</v>
      </c>
      <c r="O1962" s="56">
        <v>160</v>
      </c>
    </row>
    <row r="1963" spans="1:15" hidden="1" x14ac:dyDescent="0.3">
      <c r="A1963" s="26">
        <v>30</v>
      </c>
      <c r="B1963" s="20" t="str">
        <f t="shared" si="60"/>
        <v>JUL</v>
      </c>
      <c r="C1963" s="21">
        <v>46228</v>
      </c>
      <c r="D1963" s="22" t="str">
        <f t="array" ref="D1963">IFERROR(INDEX('Kode Outlet dan Target Toko'!$A:$A,MATCH($I1963,'Kode Outlet dan Target Toko'!$E:$E,0)),"")</f>
        <v>GRSM 4</v>
      </c>
      <c r="E1963" s="20" t="str">
        <f>IFERROR(VLOOKUP(I1963,KET!$B:$F,4,0),"")</f>
        <v>FAHMI LUKMANUL HAKIM</v>
      </c>
      <c r="F1963" s="20" t="str">
        <f>IFERROR(VLOOKUP(I1963,KET!$B:$F,5,0),"")</f>
        <v>GMM</v>
      </c>
      <c r="G1963" s="20">
        <f>IFERROR(INDEX('Kode Outlet dan Target Toko'!$C:$C,MATCH($I1963,'Kode Outlet dan Target Toko'!$E:$E,0)),0)</f>
        <v>103257</v>
      </c>
      <c r="H1963" s="20">
        <f>IFERROR(INDEX('Kode Outlet dan Target Toko'!$D:$D,MATCH($I1963,'Kode Outlet dan Target Toko'!$E:$E,0)),0)</f>
        <v>9162509</v>
      </c>
      <c r="I1963" s="42" t="s">
        <v>57</v>
      </c>
      <c r="J1963" s="56" t="s">
        <v>287</v>
      </c>
      <c r="K1963" s="40" t="s">
        <v>13</v>
      </c>
      <c r="L1963" s="26">
        <v>3100</v>
      </c>
      <c r="M1963" s="26">
        <v>40</v>
      </c>
      <c r="N1963" s="25">
        <f t="shared" si="61"/>
        <v>124000</v>
      </c>
      <c r="O1963" s="56"/>
    </row>
    <row r="1964" spans="1:15" hidden="1" x14ac:dyDescent="0.3">
      <c r="A1964" s="26">
        <v>30</v>
      </c>
      <c r="B1964" s="20" t="str">
        <f t="shared" si="60"/>
        <v>JUL</v>
      </c>
      <c r="C1964" s="21">
        <v>46228</v>
      </c>
      <c r="D1964" s="22" t="str">
        <f t="array" ref="D1964">IFERROR(INDEX('Kode Outlet dan Target Toko'!$A:$A,MATCH($I1964,'Kode Outlet dan Target Toko'!$E:$E,0)),"")</f>
        <v>GRSM 4</v>
      </c>
      <c r="E1964" s="20" t="str">
        <f>IFERROR(VLOOKUP(I1964,KET!$B:$F,4,0),"")</f>
        <v>FAHMI LUKMANUL HAKIM</v>
      </c>
      <c r="F1964" s="20" t="str">
        <f>IFERROR(VLOOKUP(I1964,KET!$B:$F,5,0),"")</f>
        <v>GMM</v>
      </c>
      <c r="G1964" s="20">
        <f>IFERROR(INDEX('Kode Outlet dan Target Toko'!$C:$C,MATCH($I1964,'Kode Outlet dan Target Toko'!$E:$E,0)),0)</f>
        <v>103257</v>
      </c>
      <c r="H1964" s="20">
        <f>IFERROR(INDEX('Kode Outlet dan Target Toko'!$D:$D,MATCH($I1964,'Kode Outlet dan Target Toko'!$E:$E,0)),0)</f>
        <v>9162509</v>
      </c>
      <c r="I1964" s="42" t="s">
        <v>57</v>
      </c>
      <c r="J1964" s="56" t="s">
        <v>287</v>
      </c>
      <c r="K1964" s="40" t="s">
        <v>14</v>
      </c>
      <c r="L1964" s="26">
        <v>3100</v>
      </c>
      <c r="M1964" s="26">
        <v>52</v>
      </c>
      <c r="N1964" s="25">
        <f t="shared" si="61"/>
        <v>161200</v>
      </c>
      <c r="O1964" s="56"/>
    </row>
    <row r="1965" spans="1:15" hidden="1" x14ac:dyDescent="0.3">
      <c r="A1965" s="26">
        <v>30</v>
      </c>
      <c r="B1965" s="20" t="str">
        <f t="shared" si="60"/>
        <v>JUL</v>
      </c>
      <c r="C1965" s="21">
        <v>46228</v>
      </c>
      <c r="D1965" s="22" t="str">
        <f t="array" ref="D1965">IFERROR(INDEX('Kode Outlet dan Target Toko'!$A:$A,MATCH($I1965,'Kode Outlet dan Target Toko'!$E:$E,0)),"")</f>
        <v>GRSM 4</v>
      </c>
      <c r="E1965" s="20" t="str">
        <f>IFERROR(VLOOKUP(I1965,KET!$B:$F,4,0),"")</f>
        <v>FAHMI LUKMANUL HAKIM</v>
      </c>
      <c r="F1965" s="20" t="str">
        <f>IFERROR(VLOOKUP(I1965,KET!$B:$F,5,0),"")</f>
        <v>GMM</v>
      </c>
      <c r="G1965" s="20">
        <f>IFERROR(INDEX('Kode Outlet dan Target Toko'!$C:$C,MATCH($I1965,'Kode Outlet dan Target Toko'!$E:$E,0)),0)</f>
        <v>103257</v>
      </c>
      <c r="H1965" s="20">
        <f>IFERROR(INDEX('Kode Outlet dan Target Toko'!$D:$D,MATCH($I1965,'Kode Outlet dan Target Toko'!$E:$E,0)),0)</f>
        <v>9162509</v>
      </c>
      <c r="I1965" s="42" t="s">
        <v>57</v>
      </c>
      <c r="J1965" s="56" t="s">
        <v>287</v>
      </c>
      <c r="K1965" s="40" t="s">
        <v>15</v>
      </c>
      <c r="L1965" s="26">
        <v>3100</v>
      </c>
      <c r="M1965" s="26">
        <v>55</v>
      </c>
      <c r="N1965" s="25">
        <f t="shared" si="61"/>
        <v>170500</v>
      </c>
      <c r="O1965" s="56"/>
    </row>
    <row r="1966" spans="1:15" hidden="1" x14ac:dyDescent="0.3">
      <c r="A1966" s="26">
        <v>30</v>
      </c>
      <c r="B1966" s="20" t="str">
        <f t="shared" si="60"/>
        <v>JUL</v>
      </c>
      <c r="C1966" s="21">
        <v>46228</v>
      </c>
      <c r="D1966" s="22" t="str">
        <f t="array" ref="D1966">IFERROR(INDEX('Kode Outlet dan Target Toko'!$A:$A,MATCH($I1966,'Kode Outlet dan Target Toko'!$E:$E,0)),"")</f>
        <v>GRSM 4</v>
      </c>
      <c r="E1966" s="20" t="str">
        <f>IFERROR(VLOOKUP(I1966,KET!$B:$F,4,0),"")</f>
        <v>FAHMI LUKMANUL HAKIM</v>
      </c>
      <c r="F1966" s="20" t="str">
        <f>IFERROR(VLOOKUP(I1966,KET!$B:$F,5,0),"")</f>
        <v>GMM</v>
      </c>
      <c r="G1966" s="20">
        <f>IFERROR(INDEX('Kode Outlet dan Target Toko'!$C:$C,MATCH($I1966,'Kode Outlet dan Target Toko'!$E:$E,0)),0)</f>
        <v>103257</v>
      </c>
      <c r="H1966" s="20">
        <f>IFERROR(INDEX('Kode Outlet dan Target Toko'!$D:$D,MATCH($I1966,'Kode Outlet dan Target Toko'!$E:$E,0)),0)</f>
        <v>9162509</v>
      </c>
      <c r="I1966" s="42" t="s">
        <v>57</v>
      </c>
      <c r="J1966" s="56" t="s">
        <v>287</v>
      </c>
      <c r="K1966" s="40" t="s">
        <v>16</v>
      </c>
      <c r="L1966" s="26">
        <v>3100</v>
      </c>
      <c r="M1966" s="26">
        <v>33</v>
      </c>
      <c r="N1966" s="25">
        <f t="shared" si="61"/>
        <v>102300</v>
      </c>
      <c r="O1966" s="56">
        <v>160</v>
      </c>
    </row>
    <row r="1967" spans="1:15" hidden="1" x14ac:dyDescent="0.3">
      <c r="A1967" s="26">
        <v>30</v>
      </c>
      <c r="B1967" s="20" t="str">
        <f t="shared" si="60"/>
        <v>JUL</v>
      </c>
      <c r="C1967" s="21">
        <v>46227</v>
      </c>
      <c r="D1967" s="22" t="str">
        <f t="array" ref="D1967">IFERROR(INDEX('Kode Outlet dan Target Toko'!$A:$A,MATCH($I1967,'Kode Outlet dan Target Toko'!$E:$E,0)),"")</f>
        <v>GRSM 4</v>
      </c>
      <c r="E1967" s="20" t="str">
        <f>IFERROR(VLOOKUP(I1967,KET!$B:$F,4,0),"")</f>
        <v>FAHMI LUKMANUL HAKIM</v>
      </c>
      <c r="F1967" s="20" t="str">
        <f>IFERROR(VLOOKUP(I1967,KET!$B:$F,5,0),"")</f>
        <v>GMM</v>
      </c>
      <c r="G1967" s="20">
        <f>IFERROR(INDEX('Kode Outlet dan Target Toko'!$C:$C,MATCH($I1967,'Kode Outlet dan Target Toko'!$E:$E,0)),0)</f>
        <v>189901</v>
      </c>
      <c r="H1967" s="20">
        <f>IFERROR(INDEX('Kode Outlet dan Target Toko'!$D:$D,MATCH($I1967,'Kode Outlet dan Target Toko'!$E:$E,0)),0)</f>
        <v>1602018</v>
      </c>
      <c r="I1967" s="50" t="s">
        <v>34</v>
      </c>
      <c r="J1967" s="56" t="s">
        <v>186</v>
      </c>
      <c r="K1967" s="40" t="s">
        <v>13</v>
      </c>
      <c r="L1967" s="26">
        <v>3500</v>
      </c>
      <c r="M1967" s="26">
        <v>20</v>
      </c>
      <c r="N1967" s="25">
        <f t="shared" si="61"/>
        <v>70000</v>
      </c>
      <c r="O1967" s="56"/>
    </row>
    <row r="1968" spans="1:15" hidden="1" x14ac:dyDescent="0.3">
      <c r="A1968" s="26">
        <v>30</v>
      </c>
      <c r="B1968" s="20" t="str">
        <f t="shared" si="60"/>
        <v>JUL</v>
      </c>
      <c r="C1968" s="21">
        <v>46227</v>
      </c>
      <c r="D1968" s="22" t="str">
        <f t="array" ref="D1968">IFERROR(INDEX('Kode Outlet dan Target Toko'!$A:$A,MATCH($I1968,'Kode Outlet dan Target Toko'!$E:$E,0)),"")</f>
        <v>GRSM 4</v>
      </c>
      <c r="E1968" s="20" t="str">
        <f>IFERROR(VLOOKUP(I1968,KET!$B:$F,4,0),"")</f>
        <v>FAHMI LUKMANUL HAKIM</v>
      </c>
      <c r="F1968" s="20" t="str">
        <f>IFERROR(VLOOKUP(I1968,KET!$B:$F,5,0),"")</f>
        <v>GMM</v>
      </c>
      <c r="G1968" s="20">
        <f>IFERROR(INDEX('Kode Outlet dan Target Toko'!$C:$C,MATCH($I1968,'Kode Outlet dan Target Toko'!$E:$E,0)),0)</f>
        <v>189901</v>
      </c>
      <c r="H1968" s="20">
        <f>IFERROR(INDEX('Kode Outlet dan Target Toko'!$D:$D,MATCH($I1968,'Kode Outlet dan Target Toko'!$E:$E,0)),0)</f>
        <v>1602018</v>
      </c>
      <c r="I1968" s="50" t="s">
        <v>34</v>
      </c>
      <c r="J1968" s="56" t="s">
        <v>186</v>
      </c>
      <c r="K1968" s="40" t="s">
        <v>14</v>
      </c>
      <c r="L1968" s="26">
        <v>3500</v>
      </c>
      <c r="M1968" s="26">
        <v>25</v>
      </c>
      <c r="N1968" s="25">
        <f t="shared" si="61"/>
        <v>87500</v>
      </c>
      <c r="O1968" s="56"/>
    </row>
    <row r="1969" spans="1:15" hidden="1" x14ac:dyDescent="0.3">
      <c r="A1969" s="26">
        <v>30</v>
      </c>
      <c r="B1969" s="20" t="str">
        <f t="shared" si="60"/>
        <v>JUL</v>
      </c>
      <c r="C1969" s="21">
        <v>46227</v>
      </c>
      <c r="D1969" s="22" t="str">
        <f t="array" ref="D1969">IFERROR(INDEX('Kode Outlet dan Target Toko'!$A:$A,MATCH($I1969,'Kode Outlet dan Target Toko'!$E:$E,0)),"")</f>
        <v>GRSM 4</v>
      </c>
      <c r="E1969" s="20" t="str">
        <f>IFERROR(VLOOKUP(I1969,KET!$B:$F,4,0),"")</f>
        <v>FAHMI LUKMANUL HAKIM</v>
      </c>
      <c r="F1969" s="20" t="str">
        <f>IFERROR(VLOOKUP(I1969,KET!$B:$F,5,0),"")</f>
        <v>GMM</v>
      </c>
      <c r="G1969" s="20">
        <f>IFERROR(INDEX('Kode Outlet dan Target Toko'!$C:$C,MATCH($I1969,'Kode Outlet dan Target Toko'!$E:$E,0)),0)</f>
        <v>189901</v>
      </c>
      <c r="H1969" s="20">
        <f>IFERROR(INDEX('Kode Outlet dan Target Toko'!$D:$D,MATCH($I1969,'Kode Outlet dan Target Toko'!$E:$E,0)),0)</f>
        <v>1602018</v>
      </c>
      <c r="I1969" s="50" t="s">
        <v>34</v>
      </c>
      <c r="J1969" s="56" t="s">
        <v>186</v>
      </c>
      <c r="K1969" s="40" t="s">
        <v>15</v>
      </c>
      <c r="L1969" s="26">
        <v>3500</v>
      </c>
      <c r="M1969" s="26">
        <v>30</v>
      </c>
      <c r="N1969" s="25">
        <f t="shared" si="61"/>
        <v>105000</v>
      </c>
      <c r="O1969" s="56"/>
    </row>
    <row r="1970" spans="1:15" hidden="1" x14ac:dyDescent="0.3">
      <c r="A1970" s="26">
        <v>30</v>
      </c>
      <c r="B1970" s="20" t="str">
        <f t="shared" si="60"/>
        <v>JUL</v>
      </c>
      <c r="C1970" s="21">
        <v>46227</v>
      </c>
      <c r="D1970" s="22" t="str">
        <f t="array" ref="D1970">IFERROR(INDEX('Kode Outlet dan Target Toko'!$A:$A,MATCH($I1970,'Kode Outlet dan Target Toko'!$E:$E,0)),"")</f>
        <v>GRSM 4</v>
      </c>
      <c r="E1970" s="20" t="str">
        <f>IFERROR(VLOOKUP(I1970,KET!$B:$F,4,0),"")</f>
        <v>FAHMI LUKMANUL HAKIM</v>
      </c>
      <c r="F1970" s="20" t="str">
        <f>IFERROR(VLOOKUP(I1970,KET!$B:$F,5,0),"")</f>
        <v>GMM</v>
      </c>
      <c r="G1970" s="20">
        <f>IFERROR(INDEX('Kode Outlet dan Target Toko'!$C:$C,MATCH($I1970,'Kode Outlet dan Target Toko'!$E:$E,0)),0)</f>
        <v>189901</v>
      </c>
      <c r="H1970" s="20">
        <f>IFERROR(INDEX('Kode Outlet dan Target Toko'!$D:$D,MATCH($I1970,'Kode Outlet dan Target Toko'!$E:$E,0)),0)</f>
        <v>1602018</v>
      </c>
      <c r="I1970" s="50" t="s">
        <v>34</v>
      </c>
      <c r="J1970" s="56" t="s">
        <v>186</v>
      </c>
      <c r="K1970" s="40" t="s">
        <v>16</v>
      </c>
      <c r="L1970" s="26">
        <v>3500</v>
      </c>
      <c r="M1970" s="26">
        <v>40</v>
      </c>
      <c r="N1970" s="25">
        <f t="shared" si="61"/>
        <v>140000</v>
      </c>
      <c r="O1970" s="56">
        <v>160</v>
      </c>
    </row>
    <row r="1971" spans="1:15" hidden="1" x14ac:dyDescent="0.3">
      <c r="A1971" s="26">
        <v>30</v>
      </c>
      <c r="B1971" s="20" t="str">
        <f t="shared" si="60"/>
        <v>JUL</v>
      </c>
      <c r="C1971" s="21">
        <v>46227</v>
      </c>
      <c r="D1971" s="22" t="str">
        <f t="array" ref="D1971">IFERROR(INDEX('Kode Outlet dan Target Toko'!$A:$A,MATCH($I1971,'Kode Outlet dan Target Toko'!$E:$E,0)),"")</f>
        <v>GRSM 4</v>
      </c>
      <c r="E1971" s="20" t="str">
        <f>IFERROR(VLOOKUP(I1971,KET!$B:$F,4,0),"")</f>
        <v>FAHMI LUKMANUL HAKIM</v>
      </c>
      <c r="F1971" s="20" t="str">
        <f>IFERROR(VLOOKUP(I1971,KET!$B:$F,5,0),"")</f>
        <v>GMM</v>
      </c>
      <c r="G1971" s="20">
        <f>IFERROR(INDEX('Kode Outlet dan Target Toko'!$C:$C,MATCH($I1971,'Kode Outlet dan Target Toko'!$E:$E,0)),0)</f>
        <v>189901</v>
      </c>
      <c r="H1971" s="20">
        <f>IFERROR(INDEX('Kode Outlet dan Target Toko'!$D:$D,MATCH($I1971,'Kode Outlet dan Target Toko'!$E:$E,0)),0)</f>
        <v>1602057</v>
      </c>
      <c r="I1971" s="42" t="s">
        <v>68</v>
      </c>
      <c r="J1971" s="56" t="s">
        <v>175</v>
      </c>
      <c r="K1971" s="40" t="s">
        <v>13</v>
      </c>
      <c r="L1971" s="26">
        <v>2150</v>
      </c>
      <c r="M1971" s="26">
        <v>96</v>
      </c>
      <c r="N1971" s="25">
        <f t="shared" si="61"/>
        <v>206400</v>
      </c>
      <c r="O1971" s="56"/>
    </row>
    <row r="1972" spans="1:15" hidden="1" x14ac:dyDescent="0.3">
      <c r="A1972" s="26">
        <v>30</v>
      </c>
      <c r="B1972" s="20" t="str">
        <f t="shared" si="60"/>
        <v>JUL</v>
      </c>
      <c r="C1972" s="21">
        <v>46227</v>
      </c>
      <c r="D1972" s="22" t="str">
        <f t="array" ref="D1972">IFERROR(INDEX('Kode Outlet dan Target Toko'!$A:$A,MATCH($I1972,'Kode Outlet dan Target Toko'!$E:$E,0)),"")</f>
        <v>GRSM 4</v>
      </c>
      <c r="E1972" s="20" t="str">
        <f>IFERROR(VLOOKUP(I1972,KET!$B:$F,4,0),"")</f>
        <v>FAHMI LUKMANUL HAKIM</v>
      </c>
      <c r="F1972" s="20" t="str">
        <f>IFERROR(VLOOKUP(I1972,KET!$B:$F,5,0),"")</f>
        <v>GMM</v>
      </c>
      <c r="G1972" s="20">
        <f>IFERROR(INDEX('Kode Outlet dan Target Toko'!$C:$C,MATCH($I1972,'Kode Outlet dan Target Toko'!$E:$E,0)),0)</f>
        <v>189901</v>
      </c>
      <c r="H1972" s="20">
        <f>IFERROR(INDEX('Kode Outlet dan Target Toko'!$D:$D,MATCH($I1972,'Kode Outlet dan Target Toko'!$E:$E,0)),0)</f>
        <v>1602057</v>
      </c>
      <c r="I1972" s="42" t="s">
        <v>68</v>
      </c>
      <c r="J1972" s="56" t="s">
        <v>175</v>
      </c>
      <c r="K1972" s="40" t="s">
        <v>14</v>
      </c>
      <c r="L1972" s="26">
        <v>2150</v>
      </c>
      <c r="M1972" s="26">
        <v>114</v>
      </c>
      <c r="N1972" s="25">
        <f t="shared" si="61"/>
        <v>245100</v>
      </c>
      <c r="O1972" s="56"/>
    </row>
    <row r="1973" spans="1:15" hidden="1" x14ac:dyDescent="0.3">
      <c r="A1973" s="26">
        <v>30</v>
      </c>
      <c r="B1973" s="20" t="str">
        <f t="shared" si="60"/>
        <v>JUL</v>
      </c>
      <c r="C1973" s="21">
        <v>46227</v>
      </c>
      <c r="D1973" s="22" t="str">
        <f t="array" ref="D1973">IFERROR(INDEX('Kode Outlet dan Target Toko'!$A:$A,MATCH($I1973,'Kode Outlet dan Target Toko'!$E:$E,0)),"")</f>
        <v>GRSM 4</v>
      </c>
      <c r="E1973" s="20" t="str">
        <f>IFERROR(VLOOKUP(I1973,KET!$B:$F,4,0),"")</f>
        <v>FAHMI LUKMANUL HAKIM</v>
      </c>
      <c r="F1973" s="20" t="str">
        <f>IFERROR(VLOOKUP(I1973,KET!$B:$F,5,0),"")</f>
        <v>GMM</v>
      </c>
      <c r="G1973" s="20">
        <f>IFERROR(INDEX('Kode Outlet dan Target Toko'!$C:$C,MATCH($I1973,'Kode Outlet dan Target Toko'!$E:$E,0)),0)</f>
        <v>189901</v>
      </c>
      <c r="H1973" s="20">
        <f>IFERROR(INDEX('Kode Outlet dan Target Toko'!$D:$D,MATCH($I1973,'Kode Outlet dan Target Toko'!$E:$E,0)),0)</f>
        <v>1602057</v>
      </c>
      <c r="I1973" s="42" t="s">
        <v>68</v>
      </c>
      <c r="J1973" s="56" t="s">
        <v>175</v>
      </c>
      <c r="K1973" s="40" t="s">
        <v>15</v>
      </c>
      <c r="L1973" s="26">
        <v>2150</v>
      </c>
      <c r="M1973" s="26">
        <v>123</v>
      </c>
      <c r="N1973" s="25">
        <f t="shared" si="61"/>
        <v>264450</v>
      </c>
      <c r="O1973" s="56"/>
    </row>
    <row r="1974" spans="1:15" hidden="1" x14ac:dyDescent="0.3">
      <c r="A1974" s="26">
        <v>30</v>
      </c>
      <c r="B1974" s="20" t="str">
        <f t="shared" si="60"/>
        <v>JUL</v>
      </c>
      <c r="C1974" s="21">
        <v>46227</v>
      </c>
      <c r="D1974" s="22" t="str">
        <f t="array" ref="D1974">IFERROR(INDEX('Kode Outlet dan Target Toko'!$A:$A,MATCH($I1974,'Kode Outlet dan Target Toko'!$E:$E,0)),"")</f>
        <v>GRSM 4</v>
      </c>
      <c r="E1974" s="20" t="str">
        <f>IFERROR(VLOOKUP(I1974,KET!$B:$F,4,0),"")</f>
        <v>FAHMI LUKMANUL HAKIM</v>
      </c>
      <c r="F1974" s="20" t="str">
        <f>IFERROR(VLOOKUP(I1974,KET!$B:$F,5,0),"")</f>
        <v>GMM</v>
      </c>
      <c r="G1974" s="20">
        <f>IFERROR(INDEX('Kode Outlet dan Target Toko'!$C:$C,MATCH($I1974,'Kode Outlet dan Target Toko'!$E:$E,0)),0)</f>
        <v>189901</v>
      </c>
      <c r="H1974" s="20">
        <f>IFERROR(INDEX('Kode Outlet dan Target Toko'!$D:$D,MATCH($I1974,'Kode Outlet dan Target Toko'!$E:$E,0)),0)</f>
        <v>1602057</v>
      </c>
      <c r="I1974" s="42" t="s">
        <v>68</v>
      </c>
      <c r="J1974" s="56" t="s">
        <v>175</v>
      </c>
      <c r="K1974" s="40" t="s">
        <v>16</v>
      </c>
      <c r="L1974" s="26">
        <v>2150</v>
      </c>
      <c r="M1974" s="26">
        <v>138</v>
      </c>
      <c r="N1974" s="25">
        <f t="shared" si="61"/>
        <v>296700</v>
      </c>
      <c r="O1974" s="56">
        <v>160</v>
      </c>
    </row>
    <row r="1975" spans="1:15" hidden="1" x14ac:dyDescent="0.3">
      <c r="A1975" s="26">
        <v>30</v>
      </c>
      <c r="B1975" s="20" t="str">
        <f t="shared" si="60"/>
        <v>JUL</v>
      </c>
      <c r="C1975" s="21">
        <v>46228</v>
      </c>
      <c r="D1975" s="22" t="str">
        <f t="array" ref="D1975">IFERROR(INDEX('Kode Outlet dan Target Toko'!$A:$A,MATCH($I1975,'Kode Outlet dan Target Toko'!$E:$E,0)),"")</f>
        <v>GRSM 4</v>
      </c>
      <c r="E1975" s="20" t="str">
        <f>IFERROR(VLOOKUP(I1975,KET!$B:$F,4,0),"")</f>
        <v>FAHMI LUKMANUL HAKIM</v>
      </c>
      <c r="F1975" s="20" t="str">
        <f>IFERROR(VLOOKUP(I1975,KET!$B:$F,5,0),"")</f>
        <v>GMM</v>
      </c>
      <c r="G1975" s="20">
        <f>IFERROR(INDEX('Kode Outlet dan Target Toko'!$C:$C,MATCH($I1975,'Kode Outlet dan Target Toko'!$E:$E,0)),0)</f>
        <v>103277</v>
      </c>
      <c r="H1975" s="20">
        <f>IFERROR(INDEX('Kode Outlet dan Target Toko'!$D:$D,MATCH($I1975,'Kode Outlet dan Target Toko'!$E:$E,0)),0)</f>
        <v>6300700</v>
      </c>
      <c r="I1975" s="42" t="s">
        <v>30</v>
      </c>
      <c r="J1975" s="56" t="s">
        <v>182</v>
      </c>
      <c r="K1975" s="40" t="s">
        <v>13</v>
      </c>
      <c r="L1975" s="26">
        <v>3000</v>
      </c>
      <c r="M1975" s="26">
        <v>90</v>
      </c>
      <c r="N1975" s="25">
        <f t="shared" si="61"/>
        <v>270000</v>
      </c>
      <c r="O1975" s="56"/>
    </row>
    <row r="1976" spans="1:15" hidden="1" x14ac:dyDescent="0.3">
      <c r="A1976" s="26">
        <v>30</v>
      </c>
      <c r="B1976" s="20" t="str">
        <f t="shared" si="60"/>
        <v>JUL</v>
      </c>
      <c r="C1976" s="21">
        <v>46228</v>
      </c>
      <c r="D1976" s="22" t="str">
        <f t="array" ref="D1976">IFERROR(INDEX('Kode Outlet dan Target Toko'!$A:$A,MATCH($I1976,'Kode Outlet dan Target Toko'!$E:$E,0)),"")</f>
        <v>GRSM 4</v>
      </c>
      <c r="E1976" s="20" t="str">
        <f>IFERROR(VLOOKUP(I1976,KET!$B:$F,4,0),"")</f>
        <v>FAHMI LUKMANUL HAKIM</v>
      </c>
      <c r="F1976" s="20" t="str">
        <f>IFERROR(VLOOKUP(I1976,KET!$B:$F,5,0),"")</f>
        <v>GMM</v>
      </c>
      <c r="G1976" s="20">
        <f>IFERROR(INDEX('Kode Outlet dan Target Toko'!$C:$C,MATCH($I1976,'Kode Outlet dan Target Toko'!$E:$E,0)),0)</f>
        <v>103277</v>
      </c>
      <c r="H1976" s="20">
        <f>IFERROR(INDEX('Kode Outlet dan Target Toko'!$D:$D,MATCH($I1976,'Kode Outlet dan Target Toko'!$E:$E,0)),0)</f>
        <v>6300700</v>
      </c>
      <c r="I1976" s="42" t="s">
        <v>30</v>
      </c>
      <c r="J1976" s="56" t="s">
        <v>182</v>
      </c>
      <c r="K1976" s="40" t="s">
        <v>14</v>
      </c>
      <c r="L1976" s="26">
        <v>3000</v>
      </c>
      <c r="M1976" s="26">
        <v>85</v>
      </c>
      <c r="N1976" s="25">
        <f t="shared" si="61"/>
        <v>255000</v>
      </c>
      <c r="O1976" s="56"/>
    </row>
    <row r="1977" spans="1:15" hidden="1" x14ac:dyDescent="0.3">
      <c r="A1977" s="26">
        <v>30</v>
      </c>
      <c r="B1977" s="20" t="str">
        <f t="shared" si="60"/>
        <v>JUL</v>
      </c>
      <c r="C1977" s="21">
        <v>46228</v>
      </c>
      <c r="D1977" s="22" t="str">
        <f t="array" ref="D1977">IFERROR(INDEX('Kode Outlet dan Target Toko'!$A:$A,MATCH($I1977,'Kode Outlet dan Target Toko'!$E:$E,0)),"")</f>
        <v>GRSM 4</v>
      </c>
      <c r="E1977" s="20" t="str">
        <f>IFERROR(VLOOKUP(I1977,KET!$B:$F,4,0),"")</f>
        <v>FAHMI LUKMANUL HAKIM</v>
      </c>
      <c r="F1977" s="20" t="str">
        <f>IFERROR(VLOOKUP(I1977,KET!$B:$F,5,0),"")</f>
        <v>GMM</v>
      </c>
      <c r="G1977" s="20">
        <f>IFERROR(INDEX('Kode Outlet dan Target Toko'!$C:$C,MATCH($I1977,'Kode Outlet dan Target Toko'!$E:$E,0)),0)</f>
        <v>103277</v>
      </c>
      <c r="H1977" s="20">
        <f>IFERROR(INDEX('Kode Outlet dan Target Toko'!$D:$D,MATCH($I1977,'Kode Outlet dan Target Toko'!$E:$E,0)),0)</f>
        <v>6300700</v>
      </c>
      <c r="I1977" s="42" t="s">
        <v>30</v>
      </c>
      <c r="J1977" s="56" t="s">
        <v>182</v>
      </c>
      <c r="K1977" s="40" t="s">
        <v>15</v>
      </c>
      <c r="L1977" s="26">
        <v>3000</v>
      </c>
      <c r="M1977" s="26">
        <v>98</v>
      </c>
      <c r="N1977" s="25">
        <f t="shared" si="61"/>
        <v>294000</v>
      </c>
      <c r="O1977" s="56"/>
    </row>
    <row r="1978" spans="1:15" hidden="1" x14ac:dyDescent="0.3">
      <c r="A1978" s="26">
        <v>30</v>
      </c>
      <c r="B1978" s="20" t="str">
        <f t="shared" si="60"/>
        <v>JUL</v>
      </c>
      <c r="C1978" s="21">
        <v>46228</v>
      </c>
      <c r="D1978" s="22" t="str">
        <f t="array" ref="D1978">IFERROR(INDEX('Kode Outlet dan Target Toko'!$A:$A,MATCH($I1978,'Kode Outlet dan Target Toko'!$E:$E,0)),"")</f>
        <v>GRSM 4</v>
      </c>
      <c r="E1978" s="20" t="str">
        <f>IFERROR(VLOOKUP(I1978,KET!$B:$F,4,0),"")</f>
        <v>FAHMI LUKMANUL HAKIM</v>
      </c>
      <c r="F1978" s="20" t="str">
        <f>IFERROR(VLOOKUP(I1978,KET!$B:$F,5,0),"")</f>
        <v>GMM</v>
      </c>
      <c r="G1978" s="20">
        <f>IFERROR(INDEX('Kode Outlet dan Target Toko'!$C:$C,MATCH($I1978,'Kode Outlet dan Target Toko'!$E:$E,0)),0)</f>
        <v>103277</v>
      </c>
      <c r="H1978" s="20">
        <f>IFERROR(INDEX('Kode Outlet dan Target Toko'!$D:$D,MATCH($I1978,'Kode Outlet dan Target Toko'!$E:$E,0)),0)</f>
        <v>6300700</v>
      </c>
      <c r="I1978" s="42" t="s">
        <v>30</v>
      </c>
      <c r="J1978" s="56" t="s">
        <v>182</v>
      </c>
      <c r="K1978" s="40" t="s">
        <v>16</v>
      </c>
      <c r="L1978" s="26">
        <v>3000</v>
      </c>
      <c r="M1978" s="26">
        <v>17</v>
      </c>
      <c r="N1978" s="25">
        <f t="shared" si="61"/>
        <v>51000</v>
      </c>
      <c r="O1978" s="56">
        <v>160</v>
      </c>
    </row>
    <row r="1979" spans="1:15" hidden="1" x14ac:dyDescent="0.3">
      <c r="A1979" s="26">
        <v>30</v>
      </c>
      <c r="B1979" s="20" t="str">
        <f t="shared" si="60"/>
        <v>JUL</v>
      </c>
      <c r="C1979" s="21">
        <v>46228</v>
      </c>
      <c r="D1979" s="22" t="str">
        <f t="array" ref="D1979">IFERROR(INDEX('Kode Outlet dan Target Toko'!$A:$A,MATCH($I1979,'Kode Outlet dan Target Toko'!$E:$E,0)),"")</f>
        <v>GRSM 4</v>
      </c>
      <c r="E1979" s="20" t="str">
        <f>IFERROR(VLOOKUP(I1979,KET!$B:$F,4,0),"")</f>
        <v>FAHMI LUKMANUL HAKIM</v>
      </c>
      <c r="F1979" s="20" t="str">
        <f>IFERROR(VLOOKUP(I1979,KET!$B:$F,5,0),"")</f>
        <v>GMM</v>
      </c>
      <c r="G1979" s="20">
        <f>IFERROR(INDEX('Kode Outlet dan Target Toko'!$C:$C,MATCH($I1979,'Kode Outlet dan Target Toko'!$E:$E,0)),0)</f>
        <v>103277</v>
      </c>
      <c r="H1979" s="20">
        <f>IFERROR(INDEX('Kode Outlet dan Target Toko'!$D:$D,MATCH($I1979,'Kode Outlet dan Target Toko'!$E:$E,0)),0)</f>
        <v>6300700</v>
      </c>
      <c r="I1979" s="42" t="s">
        <v>30</v>
      </c>
      <c r="J1979" s="56" t="s">
        <v>183</v>
      </c>
      <c r="K1979" s="40" t="s">
        <v>13</v>
      </c>
      <c r="L1979" s="26">
        <v>3000</v>
      </c>
      <c r="M1979" s="26">
        <v>90</v>
      </c>
      <c r="N1979" s="25">
        <f t="shared" si="61"/>
        <v>270000</v>
      </c>
      <c r="O1979" s="56"/>
    </row>
    <row r="1980" spans="1:15" hidden="1" x14ac:dyDescent="0.3">
      <c r="A1980" s="26">
        <v>30</v>
      </c>
      <c r="B1980" s="20" t="str">
        <f t="shared" si="60"/>
        <v>JUL</v>
      </c>
      <c r="C1980" s="21">
        <v>46228</v>
      </c>
      <c r="D1980" s="22" t="str">
        <f t="array" ref="D1980">IFERROR(INDEX('Kode Outlet dan Target Toko'!$A:$A,MATCH($I1980,'Kode Outlet dan Target Toko'!$E:$E,0)),"")</f>
        <v>GRSM 4</v>
      </c>
      <c r="E1980" s="20" t="str">
        <f>IFERROR(VLOOKUP(I1980,KET!$B:$F,4,0),"")</f>
        <v>FAHMI LUKMANUL HAKIM</v>
      </c>
      <c r="F1980" s="20" t="str">
        <f>IFERROR(VLOOKUP(I1980,KET!$B:$F,5,0),"")</f>
        <v>GMM</v>
      </c>
      <c r="G1980" s="20">
        <f>IFERROR(INDEX('Kode Outlet dan Target Toko'!$C:$C,MATCH($I1980,'Kode Outlet dan Target Toko'!$E:$E,0)),0)</f>
        <v>103277</v>
      </c>
      <c r="H1980" s="20">
        <f>IFERROR(INDEX('Kode Outlet dan Target Toko'!$D:$D,MATCH($I1980,'Kode Outlet dan Target Toko'!$E:$E,0)),0)</f>
        <v>6300700</v>
      </c>
      <c r="I1980" s="42" t="s">
        <v>30</v>
      </c>
      <c r="J1980" s="56" t="s">
        <v>183</v>
      </c>
      <c r="K1980" s="40" t="s">
        <v>14</v>
      </c>
      <c r="L1980" s="26">
        <v>3000</v>
      </c>
      <c r="M1980" s="26">
        <v>85</v>
      </c>
      <c r="N1980" s="25">
        <f t="shared" si="61"/>
        <v>255000</v>
      </c>
      <c r="O1980" s="56"/>
    </row>
    <row r="1981" spans="1:15" hidden="1" x14ac:dyDescent="0.3">
      <c r="A1981" s="26">
        <v>30</v>
      </c>
      <c r="B1981" s="20" t="str">
        <f t="shared" si="60"/>
        <v>JUL</v>
      </c>
      <c r="C1981" s="21">
        <v>46228</v>
      </c>
      <c r="D1981" s="22" t="str">
        <f t="array" ref="D1981">IFERROR(INDEX('Kode Outlet dan Target Toko'!$A:$A,MATCH($I1981,'Kode Outlet dan Target Toko'!$E:$E,0)),"")</f>
        <v>GRSM 4</v>
      </c>
      <c r="E1981" s="20" t="str">
        <f>IFERROR(VLOOKUP(I1981,KET!$B:$F,4,0),"")</f>
        <v>FAHMI LUKMANUL HAKIM</v>
      </c>
      <c r="F1981" s="20" t="str">
        <f>IFERROR(VLOOKUP(I1981,KET!$B:$F,5,0),"")</f>
        <v>GMM</v>
      </c>
      <c r="G1981" s="20">
        <f>IFERROR(INDEX('Kode Outlet dan Target Toko'!$C:$C,MATCH($I1981,'Kode Outlet dan Target Toko'!$E:$E,0)),0)</f>
        <v>103277</v>
      </c>
      <c r="H1981" s="20">
        <f>IFERROR(INDEX('Kode Outlet dan Target Toko'!$D:$D,MATCH($I1981,'Kode Outlet dan Target Toko'!$E:$E,0)),0)</f>
        <v>6300700</v>
      </c>
      <c r="I1981" s="42" t="s">
        <v>30</v>
      </c>
      <c r="J1981" s="56" t="s">
        <v>183</v>
      </c>
      <c r="K1981" s="40" t="s">
        <v>15</v>
      </c>
      <c r="L1981" s="26">
        <v>3000</v>
      </c>
      <c r="M1981" s="26">
        <v>98</v>
      </c>
      <c r="N1981" s="25">
        <f t="shared" si="61"/>
        <v>294000</v>
      </c>
      <c r="O1981" s="56"/>
    </row>
    <row r="1982" spans="1:15" hidden="1" x14ac:dyDescent="0.3">
      <c r="A1982" s="26">
        <v>30</v>
      </c>
      <c r="B1982" s="20" t="str">
        <f t="shared" si="60"/>
        <v>JUL</v>
      </c>
      <c r="C1982" s="21">
        <v>46228</v>
      </c>
      <c r="D1982" s="22" t="str">
        <f t="array" ref="D1982">IFERROR(INDEX('Kode Outlet dan Target Toko'!$A:$A,MATCH($I1982,'Kode Outlet dan Target Toko'!$E:$E,0)),"")</f>
        <v>GRSM 4</v>
      </c>
      <c r="E1982" s="20" t="str">
        <f>IFERROR(VLOOKUP(I1982,KET!$B:$F,4,0),"")</f>
        <v>FAHMI LUKMANUL HAKIM</v>
      </c>
      <c r="F1982" s="20" t="str">
        <f>IFERROR(VLOOKUP(I1982,KET!$B:$F,5,0),"")</f>
        <v>GMM</v>
      </c>
      <c r="G1982" s="20">
        <f>IFERROR(INDEX('Kode Outlet dan Target Toko'!$C:$C,MATCH($I1982,'Kode Outlet dan Target Toko'!$E:$E,0)),0)</f>
        <v>103277</v>
      </c>
      <c r="H1982" s="20">
        <f>IFERROR(INDEX('Kode Outlet dan Target Toko'!$D:$D,MATCH($I1982,'Kode Outlet dan Target Toko'!$E:$E,0)),0)</f>
        <v>6300700</v>
      </c>
      <c r="I1982" s="42" t="s">
        <v>30</v>
      </c>
      <c r="J1982" s="56" t="s">
        <v>183</v>
      </c>
      <c r="K1982" s="40" t="s">
        <v>16</v>
      </c>
      <c r="L1982" s="26">
        <v>3000</v>
      </c>
      <c r="M1982" s="26">
        <v>17</v>
      </c>
      <c r="N1982" s="25">
        <f t="shared" si="61"/>
        <v>51000</v>
      </c>
      <c r="O1982" s="56">
        <v>160</v>
      </c>
    </row>
    <row r="1983" spans="1:15" hidden="1" x14ac:dyDescent="0.3">
      <c r="A1983" s="26">
        <v>30</v>
      </c>
      <c r="B1983" s="20" t="str">
        <f t="shared" si="60"/>
        <v>JUL</v>
      </c>
      <c r="C1983" s="21">
        <v>46228</v>
      </c>
      <c r="D1983" s="22" t="str">
        <f t="array" ref="D1983">IFERROR(INDEX('Kode Outlet dan Target Toko'!$A:$A,MATCH($I1983,'Kode Outlet dan Target Toko'!$E:$E,0)),"")</f>
        <v>GRSM 4</v>
      </c>
      <c r="E1983" s="20" t="str">
        <f>IFERROR(VLOOKUP(I1983,KET!$B:$F,4,0),"")</f>
        <v>FAHMI LUKMANUL HAKIM</v>
      </c>
      <c r="F1983" s="20" t="str">
        <f>IFERROR(VLOOKUP(I1983,KET!$B:$F,5,0),"")</f>
        <v>GMM</v>
      </c>
      <c r="G1983" s="20">
        <f>IFERROR(INDEX('Kode Outlet dan Target Toko'!$C:$C,MATCH($I1983,'Kode Outlet dan Target Toko'!$E:$E,0)),0)</f>
        <v>121409</v>
      </c>
      <c r="H1983" s="20">
        <f>IFERROR(INDEX('Kode Outlet dan Target Toko'!$D:$D,MATCH($I1983,'Kode Outlet dan Target Toko'!$E:$E,0)),0)</f>
        <v>5205014</v>
      </c>
      <c r="I1983" s="42" t="s">
        <v>31</v>
      </c>
      <c r="J1983" s="56" t="s">
        <v>185</v>
      </c>
      <c r="K1983" s="40" t="s">
        <v>13</v>
      </c>
      <c r="L1983" s="26">
        <v>2100</v>
      </c>
      <c r="M1983" s="26">
        <v>60</v>
      </c>
      <c r="N1983" s="25">
        <f t="shared" si="61"/>
        <v>126000</v>
      </c>
      <c r="O1983" s="56"/>
    </row>
    <row r="1984" spans="1:15" hidden="1" x14ac:dyDescent="0.3">
      <c r="A1984" s="26">
        <v>30</v>
      </c>
      <c r="B1984" s="20" t="str">
        <f t="shared" si="60"/>
        <v>JUL</v>
      </c>
      <c r="C1984" s="21">
        <v>46228</v>
      </c>
      <c r="D1984" s="22" t="str">
        <f t="array" ref="D1984">IFERROR(INDEX('Kode Outlet dan Target Toko'!$A:$A,MATCH($I1984,'Kode Outlet dan Target Toko'!$E:$E,0)),"")</f>
        <v>GRSM 4</v>
      </c>
      <c r="E1984" s="20" t="str">
        <f>IFERROR(VLOOKUP(I1984,KET!$B:$F,4,0),"")</f>
        <v>FAHMI LUKMANUL HAKIM</v>
      </c>
      <c r="F1984" s="20" t="str">
        <f>IFERROR(VLOOKUP(I1984,KET!$B:$F,5,0),"")</f>
        <v>GMM</v>
      </c>
      <c r="G1984" s="20">
        <f>IFERROR(INDEX('Kode Outlet dan Target Toko'!$C:$C,MATCH($I1984,'Kode Outlet dan Target Toko'!$E:$E,0)),0)</f>
        <v>121409</v>
      </c>
      <c r="H1984" s="20">
        <f>IFERROR(INDEX('Kode Outlet dan Target Toko'!$D:$D,MATCH($I1984,'Kode Outlet dan Target Toko'!$E:$E,0)),0)</f>
        <v>5205014</v>
      </c>
      <c r="I1984" s="42" t="s">
        <v>31</v>
      </c>
      <c r="J1984" s="56" t="s">
        <v>185</v>
      </c>
      <c r="K1984" s="40" t="s">
        <v>14</v>
      </c>
      <c r="L1984" s="26">
        <v>2100</v>
      </c>
      <c r="M1984" s="26">
        <v>242</v>
      </c>
      <c r="N1984" s="25">
        <f t="shared" si="61"/>
        <v>508200</v>
      </c>
      <c r="O1984" s="56"/>
    </row>
    <row r="1985" spans="1:15" hidden="1" x14ac:dyDescent="0.3">
      <c r="A1985" s="26">
        <v>30</v>
      </c>
      <c r="B1985" s="20" t="str">
        <f t="shared" si="60"/>
        <v>JUL</v>
      </c>
      <c r="C1985" s="21">
        <v>46228</v>
      </c>
      <c r="D1985" s="22" t="str">
        <f t="array" ref="D1985">IFERROR(INDEX('Kode Outlet dan Target Toko'!$A:$A,MATCH($I1985,'Kode Outlet dan Target Toko'!$E:$E,0)),"")</f>
        <v>GRSM 4</v>
      </c>
      <c r="E1985" s="20" t="str">
        <f>IFERROR(VLOOKUP(I1985,KET!$B:$F,4,0),"")</f>
        <v>FAHMI LUKMANUL HAKIM</v>
      </c>
      <c r="F1985" s="20" t="str">
        <f>IFERROR(VLOOKUP(I1985,KET!$B:$F,5,0),"")</f>
        <v>GMM</v>
      </c>
      <c r="G1985" s="20">
        <f>IFERROR(INDEX('Kode Outlet dan Target Toko'!$C:$C,MATCH($I1985,'Kode Outlet dan Target Toko'!$E:$E,0)),0)</f>
        <v>121409</v>
      </c>
      <c r="H1985" s="20">
        <f>IFERROR(INDEX('Kode Outlet dan Target Toko'!$D:$D,MATCH($I1985,'Kode Outlet dan Target Toko'!$E:$E,0)),0)</f>
        <v>5205014</v>
      </c>
      <c r="I1985" s="42" t="s">
        <v>31</v>
      </c>
      <c r="J1985" s="56" t="s">
        <v>185</v>
      </c>
      <c r="K1985" s="40" t="s">
        <v>15</v>
      </c>
      <c r="L1985" s="26">
        <v>2100</v>
      </c>
      <c r="M1985" s="26">
        <v>148</v>
      </c>
      <c r="N1985" s="25">
        <f t="shared" si="61"/>
        <v>310800</v>
      </c>
      <c r="O1985" s="56"/>
    </row>
    <row r="1986" spans="1:15" hidden="1" x14ac:dyDescent="0.3">
      <c r="A1986" s="26">
        <v>30</v>
      </c>
      <c r="B1986" s="20" t="str">
        <f t="shared" si="60"/>
        <v>JUL</v>
      </c>
      <c r="C1986" s="21">
        <v>46228</v>
      </c>
      <c r="D1986" s="22" t="str">
        <f t="array" ref="D1986">IFERROR(INDEX('Kode Outlet dan Target Toko'!$A:$A,MATCH($I1986,'Kode Outlet dan Target Toko'!$E:$E,0)),"")</f>
        <v>GRSM 4</v>
      </c>
      <c r="E1986" s="20" t="str">
        <f>IFERROR(VLOOKUP(I1986,KET!$B:$F,4,0),"")</f>
        <v>FAHMI LUKMANUL HAKIM</v>
      </c>
      <c r="F1986" s="20" t="str">
        <f>IFERROR(VLOOKUP(I1986,KET!$B:$F,5,0),"")</f>
        <v>GMM</v>
      </c>
      <c r="G1986" s="20">
        <f>IFERROR(INDEX('Kode Outlet dan Target Toko'!$C:$C,MATCH($I1986,'Kode Outlet dan Target Toko'!$E:$E,0)),0)</f>
        <v>121409</v>
      </c>
      <c r="H1986" s="20">
        <f>IFERROR(INDEX('Kode Outlet dan Target Toko'!$D:$D,MATCH($I1986,'Kode Outlet dan Target Toko'!$E:$E,0)),0)</f>
        <v>5205014</v>
      </c>
      <c r="I1986" s="42" t="s">
        <v>31</v>
      </c>
      <c r="J1986" s="56" t="s">
        <v>185</v>
      </c>
      <c r="K1986" s="40" t="s">
        <v>16</v>
      </c>
      <c r="L1986" s="26">
        <v>2100</v>
      </c>
      <c r="M1986" s="26">
        <v>298</v>
      </c>
      <c r="N1986" s="25">
        <f t="shared" si="61"/>
        <v>625800</v>
      </c>
      <c r="O1986" s="56">
        <v>160</v>
      </c>
    </row>
    <row r="1987" spans="1:15" hidden="1" x14ac:dyDescent="0.3">
      <c r="A1987" s="26">
        <v>30</v>
      </c>
      <c r="B1987" s="20" t="str">
        <f t="shared" si="60"/>
        <v>JUL</v>
      </c>
      <c r="C1987" s="21">
        <v>46228</v>
      </c>
      <c r="D1987" s="22" t="str">
        <f t="array" ref="D1987">IFERROR(INDEX('Kode Outlet dan Target Toko'!$A:$A,MATCH($I1987,'Kode Outlet dan Target Toko'!$E:$E,0)),"")</f>
        <v>GRSM 4</v>
      </c>
      <c r="E1987" s="20" t="str">
        <f>IFERROR(VLOOKUP(I1987,KET!$B:$F,4,0),"")</f>
        <v>FAHMI LUKMANUL HAKIM</v>
      </c>
      <c r="F1987" s="20" t="str">
        <f>IFERROR(VLOOKUP(I1987,KET!$B:$F,5,0),"")</f>
        <v>GMM</v>
      </c>
      <c r="G1987" s="20">
        <f>IFERROR(INDEX('Kode Outlet dan Target Toko'!$C:$C,MATCH($I1987,'Kode Outlet dan Target Toko'!$E:$E,0)),0)</f>
        <v>121409</v>
      </c>
      <c r="H1987" s="20">
        <f>IFERROR(INDEX('Kode Outlet dan Target Toko'!$D:$D,MATCH($I1987,'Kode Outlet dan Target Toko'!$E:$E,0)),0)</f>
        <v>5205014</v>
      </c>
      <c r="I1987" s="42" t="s">
        <v>31</v>
      </c>
      <c r="J1987" s="56" t="s">
        <v>184</v>
      </c>
      <c r="K1987" s="40" t="s">
        <v>13</v>
      </c>
      <c r="L1987" s="26">
        <v>2100</v>
      </c>
      <c r="M1987" s="26">
        <v>60</v>
      </c>
      <c r="N1987" s="25">
        <f t="shared" si="61"/>
        <v>126000</v>
      </c>
      <c r="O1987" s="56"/>
    </row>
    <row r="1988" spans="1:15" hidden="1" x14ac:dyDescent="0.3">
      <c r="A1988" s="26">
        <v>30</v>
      </c>
      <c r="B1988" s="20" t="str">
        <f t="shared" si="60"/>
        <v>JUL</v>
      </c>
      <c r="C1988" s="21">
        <v>46228</v>
      </c>
      <c r="D1988" s="22" t="str">
        <f t="array" ref="D1988">IFERROR(INDEX('Kode Outlet dan Target Toko'!$A:$A,MATCH($I1988,'Kode Outlet dan Target Toko'!$E:$E,0)),"")</f>
        <v>GRSM 4</v>
      </c>
      <c r="E1988" s="20" t="str">
        <f>IFERROR(VLOOKUP(I1988,KET!$B:$F,4,0),"")</f>
        <v>FAHMI LUKMANUL HAKIM</v>
      </c>
      <c r="F1988" s="20" t="str">
        <f>IFERROR(VLOOKUP(I1988,KET!$B:$F,5,0),"")</f>
        <v>GMM</v>
      </c>
      <c r="G1988" s="20">
        <f>IFERROR(INDEX('Kode Outlet dan Target Toko'!$C:$C,MATCH($I1988,'Kode Outlet dan Target Toko'!$E:$E,0)),0)</f>
        <v>121409</v>
      </c>
      <c r="H1988" s="20">
        <f>IFERROR(INDEX('Kode Outlet dan Target Toko'!$D:$D,MATCH($I1988,'Kode Outlet dan Target Toko'!$E:$E,0)),0)</f>
        <v>5205014</v>
      </c>
      <c r="I1988" s="42" t="s">
        <v>31</v>
      </c>
      <c r="J1988" s="56" t="s">
        <v>184</v>
      </c>
      <c r="K1988" s="40" t="s">
        <v>14</v>
      </c>
      <c r="L1988" s="26">
        <v>2100</v>
      </c>
      <c r="M1988" s="26">
        <v>242</v>
      </c>
      <c r="N1988" s="25">
        <f t="shared" si="61"/>
        <v>508200</v>
      </c>
      <c r="O1988" s="56"/>
    </row>
    <row r="1989" spans="1:15" hidden="1" x14ac:dyDescent="0.3">
      <c r="A1989" s="26">
        <v>30</v>
      </c>
      <c r="B1989" s="20" t="str">
        <f t="shared" si="60"/>
        <v>JUL</v>
      </c>
      <c r="C1989" s="21">
        <v>46228</v>
      </c>
      <c r="D1989" s="22" t="str">
        <f t="array" ref="D1989">IFERROR(INDEX('Kode Outlet dan Target Toko'!$A:$A,MATCH($I1989,'Kode Outlet dan Target Toko'!$E:$E,0)),"")</f>
        <v>GRSM 4</v>
      </c>
      <c r="E1989" s="20" t="str">
        <f>IFERROR(VLOOKUP(I1989,KET!$B:$F,4,0),"")</f>
        <v>FAHMI LUKMANUL HAKIM</v>
      </c>
      <c r="F1989" s="20" t="str">
        <f>IFERROR(VLOOKUP(I1989,KET!$B:$F,5,0),"")</f>
        <v>GMM</v>
      </c>
      <c r="G1989" s="20">
        <f>IFERROR(INDEX('Kode Outlet dan Target Toko'!$C:$C,MATCH($I1989,'Kode Outlet dan Target Toko'!$E:$E,0)),0)</f>
        <v>121409</v>
      </c>
      <c r="H1989" s="20">
        <f>IFERROR(INDEX('Kode Outlet dan Target Toko'!$D:$D,MATCH($I1989,'Kode Outlet dan Target Toko'!$E:$E,0)),0)</f>
        <v>5205014</v>
      </c>
      <c r="I1989" s="42" t="s">
        <v>31</v>
      </c>
      <c r="J1989" s="56" t="s">
        <v>184</v>
      </c>
      <c r="K1989" s="40" t="s">
        <v>15</v>
      </c>
      <c r="L1989" s="26">
        <v>2100</v>
      </c>
      <c r="M1989" s="26">
        <v>148</v>
      </c>
      <c r="N1989" s="25">
        <f t="shared" si="61"/>
        <v>310800</v>
      </c>
      <c r="O1989" s="56"/>
    </row>
    <row r="1990" spans="1:15" hidden="1" x14ac:dyDescent="0.3">
      <c r="A1990" s="26">
        <v>30</v>
      </c>
      <c r="B1990" s="20" t="str">
        <f t="shared" si="60"/>
        <v>JUL</v>
      </c>
      <c r="C1990" s="21">
        <v>46228</v>
      </c>
      <c r="D1990" s="22" t="str">
        <f t="array" ref="D1990">IFERROR(INDEX('Kode Outlet dan Target Toko'!$A:$A,MATCH($I1990,'Kode Outlet dan Target Toko'!$E:$E,0)),"")</f>
        <v>GRSM 4</v>
      </c>
      <c r="E1990" s="20" t="str">
        <f>IFERROR(VLOOKUP(I1990,KET!$B:$F,4,0),"")</f>
        <v>FAHMI LUKMANUL HAKIM</v>
      </c>
      <c r="F1990" s="20" t="str">
        <f>IFERROR(VLOOKUP(I1990,KET!$B:$F,5,0),"")</f>
        <v>GMM</v>
      </c>
      <c r="G1990" s="20">
        <f>IFERROR(INDEX('Kode Outlet dan Target Toko'!$C:$C,MATCH($I1990,'Kode Outlet dan Target Toko'!$E:$E,0)),0)</f>
        <v>121409</v>
      </c>
      <c r="H1990" s="20">
        <f>IFERROR(INDEX('Kode Outlet dan Target Toko'!$D:$D,MATCH($I1990,'Kode Outlet dan Target Toko'!$E:$E,0)),0)</f>
        <v>5205014</v>
      </c>
      <c r="I1990" s="42" t="s">
        <v>31</v>
      </c>
      <c r="J1990" s="56" t="s">
        <v>184</v>
      </c>
      <c r="K1990" s="40" t="s">
        <v>16</v>
      </c>
      <c r="L1990" s="26">
        <v>2100</v>
      </c>
      <c r="M1990" s="26">
        <v>298</v>
      </c>
      <c r="N1990" s="25">
        <f t="shared" si="61"/>
        <v>625800</v>
      </c>
      <c r="O1990" s="56">
        <v>160</v>
      </c>
    </row>
    <row r="1991" spans="1:15" hidden="1" x14ac:dyDescent="0.3">
      <c r="A1991" s="26">
        <v>30</v>
      </c>
      <c r="B1991" s="20" t="str">
        <f t="shared" ref="B1991:B2054" si="62">IF(C1991="","",UPPER(TEXT(C1991, "MMM")))</f>
        <v>JUL</v>
      </c>
      <c r="C1991" s="21">
        <v>46228</v>
      </c>
      <c r="D1991" s="22" t="str">
        <f t="array" ref="D1991">IFERROR(INDEX('Kode Outlet dan Target Toko'!$A:$A,MATCH($I1991,'Kode Outlet dan Target Toko'!$E:$E,0)),"")</f>
        <v>GRSM 4</v>
      </c>
      <c r="E1991" s="20" t="str">
        <f>IFERROR(VLOOKUP(I1991,KET!$B:$F,4,0),"")</f>
        <v>FAHMI LUKMANUL HAKIM</v>
      </c>
      <c r="F1991" s="20" t="str">
        <f>IFERROR(VLOOKUP(I1991,KET!$B:$F,5,0),"")</f>
        <v>GMM</v>
      </c>
      <c r="G1991" s="20">
        <f>IFERROR(INDEX('Kode Outlet dan Target Toko'!$C:$C,MATCH($I1991,'Kode Outlet dan Target Toko'!$E:$E,0)),0)</f>
        <v>189901</v>
      </c>
      <c r="H1991" s="20">
        <f>IFERROR(INDEX('Kode Outlet dan Target Toko'!$D:$D,MATCH($I1991,'Kode Outlet dan Target Toko'!$E:$E,0)),0)</f>
        <v>1602057</v>
      </c>
      <c r="I1991" s="42" t="s">
        <v>68</v>
      </c>
      <c r="J1991" s="27" t="s">
        <v>174</v>
      </c>
      <c r="K1991" s="40" t="s">
        <v>13</v>
      </c>
      <c r="L1991" s="26">
        <v>2150</v>
      </c>
      <c r="M1991" s="26">
        <v>144</v>
      </c>
      <c r="N1991" s="25">
        <f t="shared" ref="N1991:N2054" si="63">IFERROR(M1991*L1991,"")</f>
        <v>309600</v>
      </c>
      <c r="O1991" s="56"/>
    </row>
    <row r="1992" spans="1:15" hidden="1" x14ac:dyDescent="0.3">
      <c r="A1992" s="26">
        <v>30</v>
      </c>
      <c r="B1992" s="20" t="str">
        <f t="shared" si="62"/>
        <v>JUL</v>
      </c>
      <c r="C1992" s="21">
        <v>46228</v>
      </c>
      <c r="D1992" s="22" t="str">
        <f t="array" ref="D1992">IFERROR(INDEX('Kode Outlet dan Target Toko'!$A:$A,MATCH($I1992,'Kode Outlet dan Target Toko'!$E:$E,0)),"")</f>
        <v>GRSM 4</v>
      </c>
      <c r="E1992" s="20" t="str">
        <f>IFERROR(VLOOKUP(I1992,KET!$B:$F,4,0),"")</f>
        <v>FAHMI LUKMANUL HAKIM</v>
      </c>
      <c r="F1992" s="20" t="str">
        <f>IFERROR(VLOOKUP(I1992,KET!$B:$F,5,0),"")</f>
        <v>GMM</v>
      </c>
      <c r="G1992" s="20">
        <f>IFERROR(INDEX('Kode Outlet dan Target Toko'!$C:$C,MATCH($I1992,'Kode Outlet dan Target Toko'!$E:$E,0)),0)</f>
        <v>189901</v>
      </c>
      <c r="H1992" s="20">
        <f>IFERROR(INDEX('Kode Outlet dan Target Toko'!$D:$D,MATCH($I1992,'Kode Outlet dan Target Toko'!$E:$E,0)),0)</f>
        <v>1602057</v>
      </c>
      <c r="I1992" s="42" t="s">
        <v>68</v>
      </c>
      <c r="J1992" s="27" t="s">
        <v>174</v>
      </c>
      <c r="K1992" s="40" t="s">
        <v>14</v>
      </c>
      <c r="L1992" s="26">
        <v>2150</v>
      </c>
      <c r="M1992" s="26">
        <v>171</v>
      </c>
      <c r="N1992" s="25">
        <f t="shared" si="63"/>
        <v>367650</v>
      </c>
      <c r="O1992" s="56"/>
    </row>
    <row r="1993" spans="1:15" hidden="1" x14ac:dyDescent="0.3">
      <c r="A1993" s="26">
        <v>30</v>
      </c>
      <c r="B1993" s="20" t="str">
        <f t="shared" si="62"/>
        <v>JUL</v>
      </c>
      <c r="C1993" s="21">
        <v>46228</v>
      </c>
      <c r="D1993" s="22" t="str">
        <f t="array" ref="D1993">IFERROR(INDEX('Kode Outlet dan Target Toko'!$A:$A,MATCH($I1993,'Kode Outlet dan Target Toko'!$E:$E,0)),"")</f>
        <v>GRSM 4</v>
      </c>
      <c r="E1993" s="20" t="str">
        <f>IFERROR(VLOOKUP(I1993,KET!$B:$F,4,0),"")</f>
        <v>FAHMI LUKMANUL HAKIM</v>
      </c>
      <c r="F1993" s="20" t="str">
        <f>IFERROR(VLOOKUP(I1993,KET!$B:$F,5,0),"")</f>
        <v>GMM</v>
      </c>
      <c r="G1993" s="20">
        <f>IFERROR(INDEX('Kode Outlet dan Target Toko'!$C:$C,MATCH($I1993,'Kode Outlet dan Target Toko'!$E:$E,0)),0)</f>
        <v>189901</v>
      </c>
      <c r="H1993" s="20">
        <f>IFERROR(INDEX('Kode Outlet dan Target Toko'!$D:$D,MATCH($I1993,'Kode Outlet dan Target Toko'!$E:$E,0)),0)</f>
        <v>1602057</v>
      </c>
      <c r="I1993" s="42" t="s">
        <v>68</v>
      </c>
      <c r="J1993" s="27" t="s">
        <v>174</v>
      </c>
      <c r="K1993" s="40" t="s">
        <v>15</v>
      </c>
      <c r="L1993" s="26">
        <v>2150</v>
      </c>
      <c r="M1993" s="26">
        <v>165</v>
      </c>
      <c r="N1993" s="25">
        <f t="shared" si="63"/>
        <v>354750</v>
      </c>
      <c r="O1993" s="56"/>
    </row>
    <row r="1994" spans="1:15" hidden="1" x14ac:dyDescent="0.3">
      <c r="A1994" s="26">
        <v>30</v>
      </c>
      <c r="B1994" s="20" t="str">
        <f t="shared" si="62"/>
        <v>JUL</v>
      </c>
      <c r="C1994" s="21">
        <v>46228</v>
      </c>
      <c r="D1994" s="22" t="str">
        <f t="array" ref="D1994">IFERROR(INDEX('Kode Outlet dan Target Toko'!$A:$A,MATCH($I1994,'Kode Outlet dan Target Toko'!$E:$E,0)),"")</f>
        <v>GRSM 4</v>
      </c>
      <c r="E1994" s="20" t="str">
        <f>IFERROR(VLOOKUP(I1994,KET!$B:$F,4,0),"")</f>
        <v>FAHMI LUKMANUL HAKIM</v>
      </c>
      <c r="F1994" s="20" t="str">
        <f>IFERROR(VLOOKUP(I1994,KET!$B:$F,5,0),"")</f>
        <v>GMM</v>
      </c>
      <c r="G1994" s="20">
        <f>IFERROR(INDEX('Kode Outlet dan Target Toko'!$C:$C,MATCH($I1994,'Kode Outlet dan Target Toko'!$E:$E,0)),0)</f>
        <v>189901</v>
      </c>
      <c r="H1994" s="20">
        <f>IFERROR(INDEX('Kode Outlet dan Target Toko'!$D:$D,MATCH($I1994,'Kode Outlet dan Target Toko'!$E:$E,0)),0)</f>
        <v>1602057</v>
      </c>
      <c r="I1994" s="42" t="s">
        <v>68</v>
      </c>
      <c r="J1994" s="27" t="s">
        <v>174</v>
      </c>
      <c r="K1994" s="40" t="s">
        <v>16</v>
      </c>
      <c r="L1994" s="26">
        <v>2150</v>
      </c>
      <c r="M1994" s="26">
        <v>225</v>
      </c>
      <c r="N1994" s="25">
        <f t="shared" si="63"/>
        <v>483750</v>
      </c>
      <c r="O1994" s="56">
        <v>160</v>
      </c>
    </row>
    <row r="1995" spans="1:15" hidden="1" x14ac:dyDescent="0.3">
      <c r="A1995" s="26">
        <v>30</v>
      </c>
      <c r="B1995" s="20" t="str">
        <f t="shared" si="62"/>
        <v>JUL</v>
      </c>
      <c r="C1995" s="21">
        <v>46228</v>
      </c>
      <c r="D1995" s="22" t="str">
        <f t="array" ref="D1995">IFERROR(INDEX('Kode Outlet dan Target Toko'!$A:$A,MATCH($I1995,'Kode Outlet dan Target Toko'!$E:$E,0)),"")</f>
        <v>GRSM 4</v>
      </c>
      <c r="E1995" s="20" t="str">
        <f>IFERROR(VLOOKUP(I1995,KET!$B:$F,4,0),"")</f>
        <v>FAHMI LUKMANUL HAKIM</v>
      </c>
      <c r="F1995" s="20" t="str">
        <f>IFERROR(VLOOKUP(I1995,KET!$B:$F,5,0),"")</f>
        <v>GMM</v>
      </c>
      <c r="G1995" s="20">
        <f>IFERROR(INDEX('Kode Outlet dan Target Toko'!$C:$C,MATCH($I1995,'Kode Outlet dan Target Toko'!$E:$E,0)),0)</f>
        <v>189901</v>
      </c>
      <c r="H1995" s="20">
        <f>IFERROR(INDEX('Kode Outlet dan Target Toko'!$D:$D,MATCH($I1995,'Kode Outlet dan Target Toko'!$E:$E,0)),0)</f>
        <v>1602057</v>
      </c>
      <c r="I1995" s="42" t="s">
        <v>68</v>
      </c>
      <c r="J1995" s="56" t="s">
        <v>175</v>
      </c>
      <c r="K1995" s="40" t="s">
        <v>13</v>
      </c>
      <c r="L1995" s="26">
        <v>2150</v>
      </c>
      <c r="M1995" s="26">
        <v>135</v>
      </c>
      <c r="N1995" s="25">
        <f t="shared" si="63"/>
        <v>290250</v>
      </c>
      <c r="O1995" s="56"/>
    </row>
    <row r="1996" spans="1:15" hidden="1" x14ac:dyDescent="0.3">
      <c r="A1996" s="26">
        <v>30</v>
      </c>
      <c r="B1996" s="20" t="str">
        <f t="shared" si="62"/>
        <v>JUL</v>
      </c>
      <c r="C1996" s="21">
        <v>46228</v>
      </c>
      <c r="D1996" s="22" t="str">
        <f t="array" ref="D1996">IFERROR(INDEX('Kode Outlet dan Target Toko'!$A:$A,MATCH($I1996,'Kode Outlet dan Target Toko'!$E:$E,0)),"")</f>
        <v>GRSM 4</v>
      </c>
      <c r="E1996" s="20" t="str">
        <f>IFERROR(VLOOKUP(I1996,KET!$B:$F,4,0),"")</f>
        <v>FAHMI LUKMANUL HAKIM</v>
      </c>
      <c r="F1996" s="20" t="str">
        <f>IFERROR(VLOOKUP(I1996,KET!$B:$F,5,0),"")</f>
        <v>GMM</v>
      </c>
      <c r="G1996" s="20">
        <f>IFERROR(INDEX('Kode Outlet dan Target Toko'!$C:$C,MATCH($I1996,'Kode Outlet dan Target Toko'!$E:$E,0)),0)</f>
        <v>189901</v>
      </c>
      <c r="H1996" s="20">
        <f>IFERROR(INDEX('Kode Outlet dan Target Toko'!$D:$D,MATCH($I1996,'Kode Outlet dan Target Toko'!$E:$E,0)),0)</f>
        <v>1602057</v>
      </c>
      <c r="I1996" s="42" t="s">
        <v>68</v>
      </c>
      <c r="J1996" s="56" t="s">
        <v>175</v>
      </c>
      <c r="K1996" s="40" t="s">
        <v>14</v>
      </c>
      <c r="L1996" s="26">
        <v>2150</v>
      </c>
      <c r="M1996" s="26">
        <v>150</v>
      </c>
      <c r="N1996" s="25">
        <f t="shared" si="63"/>
        <v>322500</v>
      </c>
      <c r="O1996" s="56"/>
    </row>
    <row r="1997" spans="1:15" hidden="1" x14ac:dyDescent="0.3">
      <c r="A1997" s="26">
        <v>30</v>
      </c>
      <c r="B1997" s="20" t="str">
        <f t="shared" si="62"/>
        <v>JUL</v>
      </c>
      <c r="C1997" s="21">
        <v>46228</v>
      </c>
      <c r="D1997" s="22" t="str">
        <f t="array" ref="D1997">IFERROR(INDEX('Kode Outlet dan Target Toko'!$A:$A,MATCH($I1997,'Kode Outlet dan Target Toko'!$E:$E,0)),"")</f>
        <v>GRSM 4</v>
      </c>
      <c r="E1997" s="20" t="str">
        <f>IFERROR(VLOOKUP(I1997,KET!$B:$F,4,0),"")</f>
        <v>FAHMI LUKMANUL HAKIM</v>
      </c>
      <c r="F1997" s="20" t="str">
        <f>IFERROR(VLOOKUP(I1997,KET!$B:$F,5,0),"")</f>
        <v>GMM</v>
      </c>
      <c r="G1997" s="20">
        <f>IFERROR(INDEX('Kode Outlet dan Target Toko'!$C:$C,MATCH($I1997,'Kode Outlet dan Target Toko'!$E:$E,0)),0)</f>
        <v>189901</v>
      </c>
      <c r="H1997" s="20">
        <f>IFERROR(INDEX('Kode Outlet dan Target Toko'!$D:$D,MATCH($I1997,'Kode Outlet dan Target Toko'!$E:$E,0)),0)</f>
        <v>1602057</v>
      </c>
      <c r="I1997" s="42" t="s">
        <v>68</v>
      </c>
      <c r="J1997" s="56" t="s">
        <v>175</v>
      </c>
      <c r="K1997" s="40" t="s">
        <v>15</v>
      </c>
      <c r="L1997" s="26">
        <v>2150</v>
      </c>
      <c r="M1997" s="26">
        <v>147</v>
      </c>
      <c r="N1997" s="25">
        <f t="shared" si="63"/>
        <v>316050</v>
      </c>
      <c r="O1997" s="56"/>
    </row>
    <row r="1998" spans="1:15" hidden="1" x14ac:dyDescent="0.3">
      <c r="A1998" s="26">
        <v>30</v>
      </c>
      <c r="B1998" s="20" t="str">
        <f t="shared" si="62"/>
        <v>JUL</v>
      </c>
      <c r="C1998" s="21">
        <v>46228</v>
      </c>
      <c r="D1998" s="22" t="str">
        <f t="array" ref="D1998">IFERROR(INDEX('Kode Outlet dan Target Toko'!$A:$A,MATCH($I1998,'Kode Outlet dan Target Toko'!$E:$E,0)),"")</f>
        <v>GRSM 4</v>
      </c>
      <c r="E1998" s="20" t="str">
        <f>IFERROR(VLOOKUP(I1998,KET!$B:$F,4,0),"")</f>
        <v>FAHMI LUKMANUL HAKIM</v>
      </c>
      <c r="F1998" s="20" t="str">
        <f>IFERROR(VLOOKUP(I1998,KET!$B:$F,5,0),"")</f>
        <v>GMM</v>
      </c>
      <c r="G1998" s="20">
        <f>IFERROR(INDEX('Kode Outlet dan Target Toko'!$C:$C,MATCH($I1998,'Kode Outlet dan Target Toko'!$E:$E,0)),0)</f>
        <v>189901</v>
      </c>
      <c r="H1998" s="20">
        <f>IFERROR(INDEX('Kode Outlet dan Target Toko'!$D:$D,MATCH($I1998,'Kode Outlet dan Target Toko'!$E:$E,0)),0)</f>
        <v>1602057</v>
      </c>
      <c r="I1998" s="42" t="s">
        <v>68</v>
      </c>
      <c r="J1998" s="56" t="s">
        <v>175</v>
      </c>
      <c r="K1998" s="40" t="s">
        <v>16</v>
      </c>
      <c r="L1998" s="26">
        <v>2150</v>
      </c>
      <c r="M1998" s="26">
        <v>237</v>
      </c>
      <c r="N1998" s="25">
        <f t="shared" si="63"/>
        <v>509550</v>
      </c>
      <c r="O1998" s="56">
        <v>160</v>
      </c>
    </row>
    <row r="1999" spans="1:15" hidden="1" x14ac:dyDescent="0.3">
      <c r="A1999" s="26">
        <v>30</v>
      </c>
      <c r="B1999" s="20" t="str">
        <f t="shared" si="62"/>
        <v>JUL</v>
      </c>
      <c r="C1999" s="21">
        <v>46228</v>
      </c>
      <c r="D1999" s="22" t="str">
        <f t="array" ref="D1999">IFERROR(INDEX('Kode Outlet dan Target Toko'!$A:$A,MATCH($I1999,'Kode Outlet dan Target Toko'!$E:$E,0)),"")</f>
        <v>GRSM 4</v>
      </c>
      <c r="E1999" s="20" t="str">
        <f>IFERROR(VLOOKUP(I1999,KET!$B:$F,4,0),"")</f>
        <v>FAHMI LUKMANUL HAKIM</v>
      </c>
      <c r="F1999" s="20" t="str">
        <f>IFERROR(VLOOKUP(I1999,KET!$B:$F,5,0),"")</f>
        <v>GMM</v>
      </c>
      <c r="G1999" s="20">
        <f>IFERROR(INDEX('Kode Outlet dan Target Toko'!$C:$C,MATCH($I1999,'Kode Outlet dan Target Toko'!$E:$E,0)),0)</f>
        <v>103257</v>
      </c>
      <c r="H1999" s="20">
        <f>IFERROR(INDEX('Kode Outlet dan Target Toko'!$D:$D,MATCH($I1999,'Kode Outlet dan Target Toko'!$E:$E,0)),0)</f>
        <v>9162509</v>
      </c>
      <c r="I1999" s="42" t="s">
        <v>57</v>
      </c>
      <c r="J1999" s="56" t="s">
        <v>286</v>
      </c>
      <c r="K1999" s="40" t="s">
        <v>13</v>
      </c>
      <c r="L1999" s="26">
        <v>3100</v>
      </c>
      <c r="M1999" s="26">
        <v>22</v>
      </c>
      <c r="N1999" s="25">
        <f t="shared" si="63"/>
        <v>68200</v>
      </c>
      <c r="O1999" s="56"/>
    </row>
    <row r="2000" spans="1:15" hidden="1" x14ac:dyDescent="0.3">
      <c r="A2000" s="26">
        <v>30</v>
      </c>
      <c r="B2000" s="20" t="str">
        <f t="shared" si="62"/>
        <v>JUL</v>
      </c>
      <c r="C2000" s="21">
        <v>46228</v>
      </c>
      <c r="D2000" s="22" t="str">
        <f t="array" ref="D2000">IFERROR(INDEX('Kode Outlet dan Target Toko'!$A:$A,MATCH($I2000,'Kode Outlet dan Target Toko'!$E:$E,0)),"")</f>
        <v>GRSM 4</v>
      </c>
      <c r="E2000" s="20" t="str">
        <f>IFERROR(VLOOKUP(I2000,KET!$B:$F,4,0),"")</f>
        <v>FAHMI LUKMANUL HAKIM</v>
      </c>
      <c r="F2000" s="20" t="str">
        <f>IFERROR(VLOOKUP(I2000,KET!$B:$F,5,0),"")</f>
        <v>GMM</v>
      </c>
      <c r="G2000" s="20">
        <f>IFERROR(INDEX('Kode Outlet dan Target Toko'!$C:$C,MATCH($I2000,'Kode Outlet dan Target Toko'!$E:$E,0)),0)</f>
        <v>103257</v>
      </c>
      <c r="H2000" s="20">
        <f>IFERROR(INDEX('Kode Outlet dan Target Toko'!$D:$D,MATCH($I2000,'Kode Outlet dan Target Toko'!$E:$E,0)),0)</f>
        <v>9162509</v>
      </c>
      <c r="I2000" s="42" t="s">
        <v>57</v>
      </c>
      <c r="J2000" s="56" t="s">
        <v>286</v>
      </c>
      <c r="K2000" s="40" t="s">
        <v>14</v>
      </c>
      <c r="L2000" s="26">
        <v>3100</v>
      </c>
      <c r="M2000" s="26">
        <v>25</v>
      </c>
      <c r="N2000" s="25">
        <f t="shared" si="63"/>
        <v>77500</v>
      </c>
      <c r="O2000" s="56"/>
    </row>
    <row r="2001" spans="1:15" hidden="1" x14ac:dyDescent="0.3">
      <c r="A2001" s="26">
        <v>30</v>
      </c>
      <c r="B2001" s="20" t="str">
        <f t="shared" si="62"/>
        <v>JUL</v>
      </c>
      <c r="C2001" s="21">
        <v>46228</v>
      </c>
      <c r="D2001" s="22" t="str">
        <f t="array" ref="D2001">IFERROR(INDEX('Kode Outlet dan Target Toko'!$A:$A,MATCH($I2001,'Kode Outlet dan Target Toko'!$E:$E,0)),"")</f>
        <v>GRSM 4</v>
      </c>
      <c r="E2001" s="20" t="str">
        <f>IFERROR(VLOOKUP(I2001,KET!$B:$F,4,0),"")</f>
        <v>FAHMI LUKMANUL HAKIM</v>
      </c>
      <c r="F2001" s="20" t="str">
        <f>IFERROR(VLOOKUP(I2001,KET!$B:$F,5,0),"")</f>
        <v>GMM</v>
      </c>
      <c r="G2001" s="20">
        <f>IFERROR(INDEX('Kode Outlet dan Target Toko'!$C:$C,MATCH($I2001,'Kode Outlet dan Target Toko'!$E:$E,0)),0)</f>
        <v>103257</v>
      </c>
      <c r="H2001" s="20">
        <f>IFERROR(INDEX('Kode Outlet dan Target Toko'!$D:$D,MATCH($I2001,'Kode Outlet dan Target Toko'!$E:$E,0)),0)</f>
        <v>9162509</v>
      </c>
      <c r="I2001" s="42" t="s">
        <v>57</v>
      </c>
      <c r="J2001" s="56" t="s">
        <v>286</v>
      </c>
      <c r="K2001" s="40" t="s">
        <v>15</v>
      </c>
      <c r="L2001" s="26">
        <v>3100</v>
      </c>
      <c r="M2001" s="26">
        <v>30</v>
      </c>
      <c r="N2001" s="25">
        <f t="shared" si="63"/>
        <v>93000</v>
      </c>
      <c r="O2001" s="56"/>
    </row>
    <row r="2002" spans="1:15" hidden="1" x14ac:dyDescent="0.3">
      <c r="A2002" s="26">
        <v>30</v>
      </c>
      <c r="B2002" s="20" t="str">
        <f t="shared" si="62"/>
        <v>JUL</v>
      </c>
      <c r="C2002" s="21">
        <v>46228</v>
      </c>
      <c r="D2002" s="22" t="str">
        <f t="array" ref="D2002">IFERROR(INDEX('Kode Outlet dan Target Toko'!$A:$A,MATCH($I2002,'Kode Outlet dan Target Toko'!$E:$E,0)),"")</f>
        <v>GRSM 4</v>
      </c>
      <c r="E2002" s="20" t="str">
        <f>IFERROR(VLOOKUP(I2002,KET!$B:$F,4,0),"")</f>
        <v>FAHMI LUKMANUL HAKIM</v>
      </c>
      <c r="F2002" s="20" t="str">
        <f>IFERROR(VLOOKUP(I2002,KET!$B:$F,5,0),"")</f>
        <v>GMM</v>
      </c>
      <c r="G2002" s="20">
        <f>IFERROR(INDEX('Kode Outlet dan Target Toko'!$C:$C,MATCH($I2002,'Kode Outlet dan Target Toko'!$E:$E,0)),0)</f>
        <v>103257</v>
      </c>
      <c r="H2002" s="20">
        <f>IFERROR(INDEX('Kode Outlet dan Target Toko'!$D:$D,MATCH($I2002,'Kode Outlet dan Target Toko'!$E:$E,0)),0)</f>
        <v>9162509</v>
      </c>
      <c r="I2002" s="42" t="s">
        <v>57</v>
      </c>
      <c r="J2002" s="56" t="s">
        <v>286</v>
      </c>
      <c r="K2002" s="40" t="s">
        <v>16</v>
      </c>
      <c r="L2002" s="26">
        <v>3100</v>
      </c>
      <c r="M2002" s="26">
        <v>26</v>
      </c>
      <c r="N2002" s="25">
        <f t="shared" si="63"/>
        <v>80600</v>
      </c>
      <c r="O2002" s="56">
        <v>160</v>
      </c>
    </row>
    <row r="2003" spans="1:15" hidden="1" x14ac:dyDescent="0.3">
      <c r="A2003" s="26">
        <v>30</v>
      </c>
      <c r="B2003" s="20" t="str">
        <f t="shared" si="62"/>
        <v>JUL</v>
      </c>
      <c r="C2003" s="21">
        <v>46228</v>
      </c>
      <c r="D2003" s="22" t="str">
        <f t="array" ref="D2003">IFERROR(INDEX('Kode Outlet dan Target Toko'!$A:$A,MATCH($I2003,'Kode Outlet dan Target Toko'!$E:$E,0)),"")</f>
        <v>GRSM 4</v>
      </c>
      <c r="E2003" s="20" t="str">
        <f>IFERROR(VLOOKUP(I2003,KET!$B:$F,4,0),"")</f>
        <v>FAHMI LUKMANUL HAKIM</v>
      </c>
      <c r="F2003" s="20" t="str">
        <f>IFERROR(VLOOKUP(I2003,KET!$B:$F,5,0),"")</f>
        <v>GMM</v>
      </c>
      <c r="G2003" s="20">
        <f>IFERROR(INDEX('Kode Outlet dan Target Toko'!$C:$C,MATCH($I2003,'Kode Outlet dan Target Toko'!$E:$E,0)),0)</f>
        <v>103257</v>
      </c>
      <c r="H2003" s="20">
        <f>IFERROR(INDEX('Kode Outlet dan Target Toko'!$D:$D,MATCH($I2003,'Kode Outlet dan Target Toko'!$E:$E,0)),0)</f>
        <v>9162509</v>
      </c>
      <c r="I2003" s="42" t="s">
        <v>57</v>
      </c>
      <c r="J2003" s="56" t="s">
        <v>287</v>
      </c>
      <c r="K2003" s="40" t="s">
        <v>13</v>
      </c>
      <c r="L2003" s="26">
        <v>3100</v>
      </c>
      <c r="M2003" s="26">
        <v>22</v>
      </c>
      <c r="N2003" s="25">
        <f t="shared" si="63"/>
        <v>68200</v>
      </c>
      <c r="O2003" s="56"/>
    </row>
    <row r="2004" spans="1:15" hidden="1" x14ac:dyDescent="0.3">
      <c r="A2004" s="26">
        <v>30</v>
      </c>
      <c r="B2004" s="20" t="str">
        <f t="shared" si="62"/>
        <v>JUL</v>
      </c>
      <c r="C2004" s="21">
        <v>46228</v>
      </c>
      <c r="D2004" s="22" t="str">
        <f t="array" ref="D2004">IFERROR(INDEX('Kode Outlet dan Target Toko'!$A:$A,MATCH($I2004,'Kode Outlet dan Target Toko'!$E:$E,0)),"")</f>
        <v>GRSM 4</v>
      </c>
      <c r="E2004" s="20" t="str">
        <f>IFERROR(VLOOKUP(I2004,KET!$B:$F,4,0),"")</f>
        <v>FAHMI LUKMANUL HAKIM</v>
      </c>
      <c r="F2004" s="20" t="str">
        <f>IFERROR(VLOOKUP(I2004,KET!$B:$F,5,0),"")</f>
        <v>GMM</v>
      </c>
      <c r="G2004" s="20">
        <f>IFERROR(INDEX('Kode Outlet dan Target Toko'!$C:$C,MATCH($I2004,'Kode Outlet dan Target Toko'!$E:$E,0)),0)</f>
        <v>103257</v>
      </c>
      <c r="H2004" s="20">
        <f>IFERROR(INDEX('Kode Outlet dan Target Toko'!$D:$D,MATCH($I2004,'Kode Outlet dan Target Toko'!$E:$E,0)),0)</f>
        <v>9162509</v>
      </c>
      <c r="I2004" s="42" t="s">
        <v>57</v>
      </c>
      <c r="J2004" s="56" t="s">
        <v>287</v>
      </c>
      <c r="K2004" s="40" t="s">
        <v>14</v>
      </c>
      <c r="L2004" s="26">
        <v>3100</v>
      </c>
      <c r="M2004" s="26">
        <v>28</v>
      </c>
      <c r="N2004" s="25">
        <f t="shared" si="63"/>
        <v>86800</v>
      </c>
      <c r="O2004" s="56"/>
    </row>
    <row r="2005" spans="1:15" hidden="1" x14ac:dyDescent="0.3">
      <c r="A2005" s="26">
        <v>30</v>
      </c>
      <c r="B2005" s="20" t="str">
        <f t="shared" si="62"/>
        <v>JUL</v>
      </c>
      <c r="C2005" s="21">
        <v>46228</v>
      </c>
      <c r="D2005" s="22" t="str">
        <f t="array" ref="D2005">IFERROR(INDEX('Kode Outlet dan Target Toko'!$A:$A,MATCH($I2005,'Kode Outlet dan Target Toko'!$E:$E,0)),"")</f>
        <v>GRSM 4</v>
      </c>
      <c r="E2005" s="20" t="str">
        <f>IFERROR(VLOOKUP(I2005,KET!$B:$F,4,0),"")</f>
        <v>FAHMI LUKMANUL HAKIM</v>
      </c>
      <c r="F2005" s="20" t="str">
        <f>IFERROR(VLOOKUP(I2005,KET!$B:$F,5,0),"")</f>
        <v>GMM</v>
      </c>
      <c r="G2005" s="20">
        <f>IFERROR(INDEX('Kode Outlet dan Target Toko'!$C:$C,MATCH($I2005,'Kode Outlet dan Target Toko'!$E:$E,0)),0)</f>
        <v>103257</v>
      </c>
      <c r="H2005" s="20">
        <f>IFERROR(INDEX('Kode Outlet dan Target Toko'!$D:$D,MATCH($I2005,'Kode Outlet dan Target Toko'!$E:$E,0)),0)</f>
        <v>9162509</v>
      </c>
      <c r="I2005" s="42" t="s">
        <v>57</v>
      </c>
      <c r="J2005" s="56" t="s">
        <v>287</v>
      </c>
      <c r="K2005" s="40" t="s">
        <v>15</v>
      </c>
      <c r="L2005" s="26">
        <v>3100</v>
      </c>
      <c r="M2005" s="26">
        <v>35</v>
      </c>
      <c r="N2005" s="25">
        <f t="shared" si="63"/>
        <v>108500</v>
      </c>
      <c r="O2005" s="56"/>
    </row>
    <row r="2006" spans="1:15" hidden="1" x14ac:dyDescent="0.3">
      <c r="A2006" s="26">
        <v>30</v>
      </c>
      <c r="B2006" s="20" t="str">
        <f t="shared" si="62"/>
        <v>JUL</v>
      </c>
      <c r="C2006" s="21">
        <v>46228</v>
      </c>
      <c r="D2006" s="22" t="str">
        <f t="array" ref="D2006">IFERROR(INDEX('Kode Outlet dan Target Toko'!$A:$A,MATCH($I2006,'Kode Outlet dan Target Toko'!$E:$E,0)),"")</f>
        <v>GRSM 4</v>
      </c>
      <c r="E2006" s="20" t="str">
        <f>IFERROR(VLOOKUP(I2006,KET!$B:$F,4,0),"")</f>
        <v>FAHMI LUKMANUL HAKIM</v>
      </c>
      <c r="F2006" s="20" t="str">
        <f>IFERROR(VLOOKUP(I2006,KET!$B:$F,5,0),"")</f>
        <v>GMM</v>
      </c>
      <c r="G2006" s="20">
        <f>IFERROR(INDEX('Kode Outlet dan Target Toko'!$C:$C,MATCH($I2006,'Kode Outlet dan Target Toko'!$E:$E,0)),0)</f>
        <v>103257</v>
      </c>
      <c r="H2006" s="20">
        <f>IFERROR(INDEX('Kode Outlet dan Target Toko'!$D:$D,MATCH($I2006,'Kode Outlet dan Target Toko'!$E:$E,0)),0)</f>
        <v>9162509</v>
      </c>
      <c r="I2006" s="42" t="s">
        <v>57</v>
      </c>
      <c r="J2006" s="56" t="s">
        <v>287</v>
      </c>
      <c r="K2006" s="40" t="s">
        <v>16</v>
      </c>
      <c r="L2006" s="26">
        <v>3100</v>
      </c>
      <c r="M2006" s="26">
        <v>35</v>
      </c>
      <c r="N2006" s="25">
        <f t="shared" si="63"/>
        <v>108500</v>
      </c>
      <c r="O2006" s="56">
        <v>160</v>
      </c>
    </row>
    <row r="2007" spans="1:15" hidden="1" x14ac:dyDescent="0.3">
      <c r="A2007" s="26">
        <v>30</v>
      </c>
      <c r="B2007" s="20" t="str">
        <f t="shared" si="62"/>
        <v>JUL</v>
      </c>
      <c r="C2007" s="21">
        <v>46228</v>
      </c>
      <c r="D2007" s="22" t="str">
        <f t="array" ref="D2007">IFERROR(INDEX('Kode Outlet dan Target Toko'!$A:$A,MATCH($I2007,'Kode Outlet dan Target Toko'!$E:$E,0)),"")</f>
        <v>GRSM 4</v>
      </c>
      <c r="E2007" s="20" t="str">
        <f>IFERROR(VLOOKUP(I2007,KET!$B:$F,4,0),"")</f>
        <v>FAHMI LUKMANUL HAKIM</v>
      </c>
      <c r="F2007" s="20" t="str">
        <f>IFERROR(VLOOKUP(I2007,KET!$B:$F,5,0),"")</f>
        <v>GMM</v>
      </c>
      <c r="G2007" s="20">
        <f>IFERROR(INDEX('Kode Outlet dan Target Toko'!$C:$C,MATCH($I2007,'Kode Outlet dan Target Toko'!$E:$E,0)),0)</f>
        <v>189901</v>
      </c>
      <c r="H2007" s="20">
        <f>IFERROR(INDEX('Kode Outlet dan Target Toko'!$D:$D,MATCH($I2007,'Kode Outlet dan Target Toko'!$E:$E,0)),0)</f>
        <v>1602018</v>
      </c>
      <c r="I2007" s="50" t="s">
        <v>34</v>
      </c>
      <c r="J2007" s="56" t="s">
        <v>186</v>
      </c>
      <c r="K2007" s="40" t="s">
        <v>13</v>
      </c>
      <c r="L2007" s="26">
        <v>3500</v>
      </c>
      <c r="M2007" s="26">
        <v>30</v>
      </c>
      <c r="N2007" s="25">
        <f t="shared" si="63"/>
        <v>105000</v>
      </c>
      <c r="O2007" s="56"/>
    </row>
    <row r="2008" spans="1:15" hidden="1" x14ac:dyDescent="0.3">
      <c r="A2008" s="26">
        <v>30</v>
      </c>
      <c r="B2008" s="20" t="str">
        <f t="shared" si="62"/>
        <v>JUL</v>
      </c>
      <c r="C2008" s="21">
        <v>46228</v>
      </c>
      <c r="D2008" s="22" t="str">
        <f t="array" ref="D2008">IFERROR(INDEX('Kode Outlet dan Target Toko'!$A:$A,MATCH($I2008,'Kode Outlet dan Target Toko'!$E:$E,0)),"")</f>
        <v>GRSM 4</v>
      </c>
      <c r="E2008" s="20" t="str">
        <f>IFERROR(VLOOKUP(I2008,KET!$B:$F,4,0),"")</f>
        <v>FAHMI LUKMANUL HAKIM</v>
      </c>
      <c r="F2008" s="20" t="str">
        <f>IFERROR(VLOOKUP(I2008,KET!$B:$F,5,0),"")</f>
        <v>GMM</v>
      </c>
      <c r="G2008" s="20">
        <f>IFERROR(INDEX('Kode Outlet dan Target Toko'!$C:$C,MATCH($I2008,'Kode Outlet dan Target Toko'!$E:$E,0)),0)</f>
        <v>189901</v>
      </c>
      <c r="H2008" s="20">
        <f>IFERROR(INDEX('Kode Outlet dan Target Toko'!$D:$D,MATCH($I2008,'Kode Outlet dan Target Toko'!$E:$E,0)),0)</f>
        <v>1602018</v>
      </c>
      <c r="I2008" s="50" t="s">
        <v>34</v>
      </c>
      <c r="J2008" s="56" t="s">
        <v>186</v>
      </c>
      <c r="K2008" s="40" t="s">
        <v>14</v>
      </c>
      <c r="L2008" s="26">
        <v>3500</v>
      </c>
      <c r="M2008" s="26">
        <v>35</v>
      </c>
      <c r="N2008" s="25">
        <f t="shared" si="63"/>
        <v>122500</v>
      </c>
      <c r="O2008" s="56"/>
    </row>
    <row r="2009" spans="1:15" hidden="1" x14ac:dyDescent="0.3">
      <c r="A2009" s="26">
        <v>30</v>
      </c>
      <c r="B2009" s="20" t="str">
        <f t="shared" si="62"/>
        <v>JUL</v>
      </c>
      <c r="C2009" s="21">
        <v>46228</v>
      </c>
      <c r="D2009" s="22" t="str">
        <f t="array" ref="D2009">IFERROR(INDEX('Kode Outlet dan Target Toko'!$A:$A,MATCH($I2009,'Kode Outlet dan Target Toko'!$E:$E,0)),"")</f>
        <v>GRSM 4</v>
      </c>
      <c r="E2009" s="20" t="str">
        <f>IFERROR(VLOOKUP(I2009,KET!$B:$F,4,0),"")</f>
        <v>FAHMI LUKMANUL HAKIM</v>
      </c>
      <c r="F2009" s="20" t="str">
        <f>IFERROR(VLOOKUP(I2009,KET!$B:$F,5,0),"")</f>
        <v>GMM</v>
      </c>
      <c r="G2009" s="20">
        <f>IFERROR(INDEX('Kode Outlet dan Target Toko'!$C:$C,MATCH($I2009,'Kode Outlet dan Target Toko'!$E:$E,0)),0)</f>
        <v>189901</v>
      </c>
      <c r="H2009" s="20">
        <f>IFERROR(INDEX('Kode Outlet dan Target Toko'!$D:$D,MATCH($I2009,'Kode Outlet dan Target Toko'!$E:$E,0)),0)</f>
        <v>1602018</v>
      </c>
      <c r="I2009" s="50" t="s">
        <v>34</v>
      </c>
      <c r="J2009" s="56" t="s">
        <v>186</v>
      </c>
      <c r="K2009" s="40" t="s">
        <v>15</v>
      </c>
      <c r="L2009" s="26">
        <v>3500</v>
      </c>
      <c r="M2009" s="26">
        <v>60</v>
      </c>
      <c r="N2009" s="25">
        <f t="shared" si="63"/>
        <v>210000</v>
      </c>
      <c r="O2009" s="56"/>
    </row>
    <row r="2010" spans="1:15" hidden="1" x14ac:dyDescent="0.3">
      <c r="A2010" s="26">
        <v>30</v>
      </c>
      <c r="B2010" s="20" t="str">
        <f t="shared" si="62"/>
        <v>JUL</v>
      </c>
      <c r="C2010" s="21">
        <v>46228</v>
      </c>
      <c r="D2010" s="22" t="str">
        <f t="array" ref="D2010">IFERROR(INDEX('Kode Outlet dan Target Toko'!$A:$A,MATCH($I2010,'Kode Outlet dan Target Toko'!$E:$E,0)),"")</f>
        <v>GRSM 4</v>
      </c>
      <c r="E2010" s="20" t="str">
        <f>IFERROR(VLOOKUP(I2010,KET!$B:$F,4,0),"")</f>
        <v>FAHMI LUKMANUL HAKIM</v>
      </c>
      <c r="F2010" s="20" t="str">
        <f>IFERROR(VLOOKUP(I2010,KET!$B:$F,5,0),"")</f>
        <v>GMM</v>
      </c>
      <c r="G2010" s="20">
        <f>IFERROR(INDEX('Kode Outlet dan Target Toko'!$C:$C,MATCH($I2010,'Kode Outlet dan Target Toko'!$E:$E,0)),0)</f>
        <v>189901</v>
      </c>
      <c r="H2010" s="20">
        <f>IFERROR(INDEX('Kode Outlet dan Target Toko'!$D:$D,MATCH($I2010,'Kode Outlet dan Target Toko'!$E:$E,0)),0)</f>
        <v>1602018</v>
      </c>
      <c r="I2010" s="50" t="s">
        <v>34</v>
      </c>
      <c r="J2010" s="56" t="s">
        <v>186</v>
      </c>
      <c r="K2010" s="40" t="s">
        <v>16</v>
      </c>
      <c r="L2010" s="26">
        <v>3500</v>
      </c>
      <c r="M2010" s="26">
        <v>80</v>
      </c>
      <c r="N2010" s="25">
        <f t="shared" si="63"/>
        <v>280000</v>
      </c>
      <c r="O2010" s="56">
        <v>160</v>
      </c>
    </row>
    <row r="2011" spans="1:15" hidden="1" x14ac:dyDescent="0.3">
      <c r="A2011" s="26">
        <v>30</v>
      </c>
      <c r="B2011" s="20" t="str">
        <f t="shared" si="62"/>
        <v>JUL</v>
      </c>
      <c r="C2011" s="21">
        <v>46228</v>
      </c>
      <c r="D2011" s="22" t="str">
        <f t="array" ref="D2011">IFERROR(INDEX('Kode Outlet dan Target Toko'!$A:$A,MATCH($I2011,'Kode Outlet dan Target Toko'!$E:$E,0)),"")</f>
        <v>GRSM 4</v>
      </c>
      <c r="E2011" s="20" t="str">
        <f>IFERROR(VLOOKUP(I2011,KET!$B:$F,4,0),"")</f>
        <v>FAHMI LUKMANUL HAKIM</v>
      </c>
      <c r="F2011" s="20" t="str">
        <f>IFERROR(VLOOKUP(I2011,KET!$B:$F,5,0),"")</f>
        <v>GMM</v>
      </c>
      <c r="G2011" s="20">
        <f>IFERROR(INDEX('Kode Outlet dan Target Toko'!$C:$C,MATCH($I2011,'Kode Outlet dan Target Toko'!$E:$E,0)),0)</f>
        <v>189901</v>
      </c>
      <c r="H2011" s="20">
        <f>IFERROR(INDEX('Kode Outlet dan Target Toko'!$D:$D,MATCH($I2011,'Kode Outlet dan Target Toko'!$E:$E,0)),0)</f>
        <v>1602018</v>
      </c>
      <c r="I2011" s="50" t="s">
        <v>34</v>
      </c>
      <c r="J2011" s="56" t="s">
        <v>187</v>
      </c>
      <c r="K2011" s="40" t="s">
        <v>13</v>
      </c>
      <c r="L2011" s="26">
        <v>3500</v>
      </c>
      <c r="M2011" s="26">
        <v>30</v>
      </c>
      <c r="N2011" s="25">
        <f t="shared" si="63"/>
        <v>105000</v>
      </c>
      <c r="O2011" s="56"/>
    </row>
    <row r="2012" spans="1:15" hidden="1" x14ac:dyDescent="0.3">
      <c r="A2012" s="26">
        <v>30</v>
      </c>
      <c r="B2012" s="20" t="str">
        <f t="shared" si="62"/>
        <v>JUL</v>
      </c>
      <c r="C2012" s="21">
        <v>46228</v>
      </c>
      <c r="D2012" s="22" t="str">
        <f t="array" ref="D2012">IFERROR(INDEX('Kode Outlet dan Target Toko'!$A:$A,MATCH($I2012,'Kode Outlet dan Target Toko'!$E:$E,0)),"")</f>
        <v>GRSM 4</v>
      </c>
      <c r="E2012" s="20" t="str">
        <f>IFERROR(VLOOKUP(I2012,KET!$B:$F,4,0),"")</f>
        <v>FAHMI LUKMANUL HAKIM</v>
      </c>
      <c r="F2012" s="20" t="str">
        <f>IFERROR(VLOOKUP(I2012,KET!$B:$F,5,0),"")</f>
        <v>GMM</v>
      </c>
      <c r="G2012" s="20">
        <f>IFERROR(INDEX('Kode Outlet dan Target Toko'!$C:$C,MATCH($I2012,'Kode Outlet dan Target Toko'!$E:$E,0)),0)</f>
        <v>189901</v>
      </c>
      <c r="H2012" s="20">
        <f>IFERROR(INDEX('Kode Outlet dan Target Toko'!$D:$D,MATCH($I2012,'Kode Outlet dan Target Toko'!$E:$E,0)),0)</f>
        <v>1602018</v>
      </c>
      <c r="I2012" s="50" t="s">
        <v>34</v>
      </c>
      <c r="J2012" s="56" t="s">
        <v>187</v>
      </c>
      <c r="K2012" s="40" t="s">
        <v>14</v>
      </c>
      <c r="L2012" s="26">
        <v>3500</v>
      </c>
      <c r="M2012" s="26">
        <v>35</v>
      </c>
      <c r="N2012" s="25">
        <f t="shared" si="63"/>
        <v>122500</v>
      </c>
      <c r="O2012" s="56"/>
    </row>
    <row r="2013" spans="1:15" hidden="1" x14ac:dyDescent="0.3">
      <c r="A2013" s="26">
        <v>30</v>
      </c>
      <c r="B2013" s="20" t="str">
        <f t="shared" si="62"/>
        <v>JUL</v>
      </c>
      <c r="C2013" s="21">
        <v>46228</v>
      </c>
      <c r="D2013" s="22" t="str">
        <f t="array" ref="D2013">IFERROR(INDEX('Kode Outlet dan Target Toko'!$A:$A,MATCH($I2013,'Kode Outlet dan Target Toko'!$E:$E,0)),"")</f>
        <v>GRSM 4</v>
      </c>
      <c r="E2013" s="20" t="str">
        <f>IFERROR(VLOOKUP(I2013,KET!$B:$F,4,0),"")</f>
        <v>FAHMI LUKMANUL HAKIM</v>
      </c>
      <c r="F2013" s="20" t="str">
        <f>IFERROR(VLOOKUP(I2013,KET!$B:$F,5,0),"")</f>
        <v>GMM</v>
      </c>
      <c r="G2013" s="20">
        <f>IFERROR(INDEX('Kode Outlet dan Target Toko'!$C:$C,MATCH($I2013,'Kode Outlet dan Target Toko'!$E:$E,0)),0)</f>
        <v>189901</v>
      </c>
      <c r="H2013" s="20">
        <f>IFERROR(INDEX('Kode Outlet dan Target Toko'!$D:$D,MATCH($I2013,'Kode Outlet dan Target Toko'!$E:$E,0)),0)</f>
        <v>1602018</v>
      </c>
      <c r="I2013" s="50" t="s">
        <v>34</v>
      </c>
      <c r="J2013" s="56" t="s">
        <v>187</v>
      </c>
      <c r="K2013" s="40" t="s">
        <v>15</v>
      </c>
      <c r="L2013" s="26">
        <v>3500</v>
      </c>
      <c r="M2013" s="26">
        <v>60</v>
      </c>
      <c r="N2013" s="25">
        <f t="shared" si="63"/>
        <v>210000</v>
      </c>
      <c r="O2013" s="56"/>
    </row>
    <row r="2014" spans="1:15" hidden="1" x14ac:dyDescent="0.3">
      <c r="A2014" s="26">
        <v>30</v>
      </c>
      <c r="B2014" s="20" t="str">
        <f t="shared" si="62"/>
        <v>JUL</v>
      </c>
      <c r="C2014" s="21">
        <v>46228</v>
      </c>
      <c r="D2014" s="22" t="str">
        <f t="array" ref="D2014">IFERROR(INDEX('Kode Outlet dan Target Toko'!$A:$A,MATCH($I2014,'Kode Outlet dan Target Toko'!$E:$E,0)),"")</f>
        <v>GRSM 4</v>
      </c>
      <c r="E2014" s="20" t="str">
        <f>IFERROR(VLOOKUP(I2014,KET!$B:$F,4,0),"")</f>
        <v>FAHMI LUKMANUL HAKIM</v>
      </c>
      <c r="F2014" s="20" t="str">
        <f>IFERROR(VLOOKUP(I2014,KET!$B:$F,5,0),"")</f>
        <v>GMM</v>
      </c>
      <c r="G2014" s="20">
        <f>IFERROR(INDEX('Kode Outlet dan Target Toko'!$C:$C,MATCH($I2014,'Kode Outlet dan Target Toko'!$E:$E,0)),0)</f>
        <v>189901</v>
      </c>
      <c r="H2014" s="20">
        <f>IFERROR(INDEX('Kode Outlet dan Target Toko'!$D:$D,MATCH($I2014,'Kode Outlet dan Target Toko'!$E:$E,0)),0)</f>
        <v>1602018</v>
      </c>
      <c r="I2014" s="50" t="s">
        <v>34</v>
      </c>
      <c r="J2014" s="56" t="s">
        <v>187</v>
      </c>
      <c r="K2014" s="40" t="s">
        <v>16</v>
      </c>
      <c r="L2014" s="26">
        <v>3500</v>
      </c>
      <c r="M2014" s="26">
        <v>80</v>
      </c>
      <c r="N2014" s="25">
        <f t="shared" si="63"/>
        <v>280000</v>
      </c>
      <c r="O2014" s="56">
        <v>160</v>
      </c>
    </row>
    <row r="2015" spans="1:15" hidden="1" x14ac:dyDescent="0.3">
      <c r="A2015" s="26">
        <v>30</v>
      </c>
      <c r="B2015" s="20" t="str">
        <f t="shared" si="62"/>
        <v>JUL</v>
      </c>
      <c r="C2015" s="21">
        <v>46228</v>
      </c>
      <c r="D2015" s="22" t="str">
        <f t="array" ref="D2015">IFERROR(INDEX('Kode Outlet dan Target Toko'!$A:$A,MATCH($I2015,'Kode Outlet dan Target Toko'!$E:$E,0)),"")</f>
        <v>GRSM 4</v>
      </c>
      <c r="E2015" s="20" t="str">
        <f>IFERROR(VLOOKUP(I2015,KET!$B:$F,4,0),"")</f>
        <v>FAHMI LUKMANUL HAKIM</v>
      </c>
      <c r="F2015" s="20" t="str">
        <f>IFERROR(VLOOKUP(I2015,KET!$B:$F,5,0),"")</f>
        <v>GMM</v>
      </c>
      <c r="G2015" s="20">
        <f>IFERROR(INDEX('Kode Outlet dan Target Toko'!$C:$C,MATCH($I2015,'Kode Outlet dan Target Toko'!$E:$E,0)),0)</f>
        <v>189901</v>
      </c>
      <c r="H2015" s="20">
        <f>IFERROR(INDEX('Kode Outlet dan Target Toko'!$D:$D,MATCH($I2015,'Kode Outlet dan Target Toko'!$E:$E,0)),0)</f>
        <v>1602008</v>
      </c>
      <c r="I2015" s="42" t="s">
        <v>32</v>
      </c>
      <c r="J2015" s="56" t="s">
        <v>189</v>
      </c>
      <c r="K2015" s="40" t="s">
        <v>13</v>
      </c>
      <c r="L2015" s="26">
        <v>3300</v>
      </c>
      <c r="M2015" s="26">
        <v>45</v>
      </c>
      <c r="N2015" s="25">
        <f t="shared" si="63"/>
        <v>148500</v>
      </c>
      <c r="O2015" s="56"/>
    </row>
    <row r="2016" spans="1:15" hidden="1" x14ac:dyDescent="0.3">
      <c r="A2016" s="26">
        <v>30</v>
      </c>
      <c r="B2016" s="20" t="str">
        <f t="shared" si="62"/>
        <v>JUL</v>
      </c>
      <c r="C2016" s="21">
        <v>46228</v>
      </c>
      <c r="D2016" s="22" t="str">
        <f t="array" ref="D2016">IFERROR(INDEX('Kode Outlet dan Target Toko'!$A:$A,MATCH($I2016,'Kode Outlet dan Target Toko'!$E:$E,0)),"")</f>
        <v>GRSM 4</v>
      </c>
      <c r="E2016" s="20" t="str">
        <f>IFERROR(VLOOKUP(I2016,KET!$B:$F,4,0),"")</f>
        <v>FAHMI LUKMANUL HAKIM</v>
      </c>
      <c r="F2016" s="20" t="str">
        <f>IFERROR(VLOOKUP(I2016,KET!$B:$F,5,0),"")</f>
        <v>GMM</v>
      </c>
      <c r="G2016" s="20">
        <f>IFERROR(INDEX('Kode Outlet dan Target Toko'!$C:$C,MATCH($I2016,'Kode Outlet dan Target Toko'!$E:$E,0)),0)</f>
        <v>189901</v>
      </c>
      <c r="H2016" s="20">
        <f>IFERROR(INDEX('Kode Outlet dan Target Toko'!$D:$D,MATCH($I2016,'Kode Outlet dan Target Toko'!$E:$E,0)),0)</f>
        <v>1602008</v>
      </c>
      <c r="I2016" s="42" t="s">
        <v>32</v>
      </c>
      <c r="J2016" s="56" t="s">
        <v>189</v>
      </c>
      <c r="K2016" s="40" t="s">
        <v>14</v>
      </c>
      <c r="L2016" s="26">
        <v>3300</v>
      </c>
      <c r="M2016" s="26">
        <v>35</v>
      </c>
      <c r="N2016" s="25">
        <f t="shared" si="63"/>
        <v>115500</v>
      </c>
      <c r="O2016" s="56"/>
    </row>
    <row r="2017" spans="1:15" hidden="1" x14ac:dyDescent="0.3">
      <c r="A2017" s="26">
        <v>30</v>
      </c>
      <c r="B2017" s="20" t="str">
        <f t="shared" si="62"/>
        <v>JUL</v>
      </c>
      <c r="C2017" s="21">
        <v>46228</v>
      </c>
      <c r="D2017" s="22" t="str">
        <f t="array" ref="D2017">IFERROR(INDEX('Kode Outlet dan Target Toko'!$A:$A,MATCH($I2017,'Kode Outlet dan Target Toko'!$E:$E,0)),"")</f>
        <v>GRSM 4</v>
      </c>
      <c r="E2017" s="20" t="str">
        <f>IFERROR(VLOOKUP(I2017,KET!$B:$F,4,0),"")</f>
        <v>FAHMI LUKMANUL HAKIM</v>
      </c>
      <c r="F2017" s="20" t="str">
        <f>IFERROR(VLOOKUP(I2017,KET!$B:$F,5,0),"")</f>
        <v>GMM</v>
      </c>
      <c r="G2017" s="20">
        <f>IFERROR(INDEX('Kode Outlet dan Target Toko'!$C:$C,MATCH($I2017,'Kode Outlet dan Target Toko'!$E:$E,0)),0)</f>
        <v>189901</v>
      </c>
      <c r="H2017" s="20">
        <f>IFERROR(INDEX('Kode Outlet dan Target Toko'!$D:$D,MATCH($I2017,'Kode Outlet dan Target Toko'!$E:$E,0)),0)</f>
        <v>1602008</v>
      </c>
      <c r="I2017" s="42" t="s">
        <v>32</v>
      </c>
      <c r="J2017" s="56" t="s">
        <v>189</v>
      </c>
      <c r="K2017" s="40" t="s">
        <v>15</v>
      </c>
      <c r="L2017" s="26">
        <v>3300</v>
      </c>
      <c r="M2017" s="26">
        <v>40</v>
      </c>
      <c r="N2017" s="25">
        <f t="shared" si="63"/>
        <v>132000</v>
      </c>
      <c r="O2017" s="56"/>
    </row>
    <row r="2018" spans="1:15" hidden="1" x14ac:dyDescent="0.3">
      <c r="A2018" s="26">
        <v>30</v>
      </c>
      <c r="B2018" s="20" t="str">
        <f t="shared" si="62"/>
        <v>JUL</v>
      </c>
      <c r="C2018" s="21">
        <v>46228</v>
      </c>
      <c r="D2018" s="22" t="str">
        <f t="array" ref="D2018">IFERROR(INDEX('Kode Outlet dan Target Toko'!$A:$A,MATCH($I2018,'Kode Outlet dan Target Toko'!$E:$E,0)),"")</f>
        <v>GRSM 4</v>
      </c>
      <c r="E2018" s="20" t="str">
        <f>IFERROR(VLOOKUP(I2018,KET!$B:$F,4,0),"")</f>
        <v>FAHMI LUKMANUL HAKIM</v>
      </c>
      <c r="F2018" s="20" t="str">
        <f>IFERROR(VLOOKUP(I2018,KET!$B:$F,5,0),"")</f>
        <v>GMM</v>
      </c>
      <c r="G2018" s="20">
        <f>IFERROR(INDEX('Kode Outlet dan Target Toko'!$C:$C,MATCH($I2018,'Kode Outlet dan Target Toko'!$E:$E,0)),0)</f>
        <v>189901</v>
      </c>
      <c r="H2018" s="20">
        <f>IFERROR(INDEX('Kode Outlet dan Target Toko'!$D:$D,MATCH($I2018,'Kode Outlet dan Target Toko'!$E:$E,0)),0)</f>
        <v>1602008</v>
      </c>
      <c r="I2018" s="42" t="s">
        <v>32</v>
      </c>
      <c r="J2018" s="56" t="s">
        <v>189</v>
      </c>
      <c r="K2018" s="40" t="s">
        <v>16</v>
      </c>
      <c r="L2018" s="26">
        <v>3300</v>
      </c>
      <c r="M2018" s="26">
        <v>110</v>
      </c>
      <c r="N2018" s="25">
        <f t="shared" si="63"/>
        <v>363000</v>
      </c>
      <c r="O2018" s="56">
        <v>160</v>
      </c>
    </row>
    <row r="2019" spans="1:15" hidden="1" x14ac:dyDescent="0.3">
      <c r="A2019" s="26">
        <v>30</v>
      </c>
      <c r="B2019" s="20" t="str">
        <f t="shared" si="62"/>
        <v>JUL</v>
      </c>
      <c r="C2019" s="21">
        <v>46228</v>
      </c>
      <c r="D2019" s="22" t="str">
        <f t="array" ref="D2019">IFERROR(INDEX('Kode Outlet dan Target Toko'!$A:$A,MATCH($I2019,'Kode Outlet dan Target Toko'!$E:$E,0)),"")</f>
        <v>GRSM 4</v>
      </c>
      <c r="E2019" s="20" t="str">
        <f>IFERROR(VLOOKUP(I2019,KET!$B:$F,4,0),"")</f>
        <v>FAHMI LUKMANUL HAKIM</v>
      </c>
      <c r="F2019" s="20" t="str">
        <f>IFERROR(VLOOKUP(I2019,KET!$B:$F,5,0),"")</f>
        <v>GMM</v>
      </c>
      <c r="G2019" s="20">
        <f>IFERROR(INDEX('Kode Outlet dan Target Toko'!$C:$C,MATCH($I2019,'Kode Outlet dan Target Toko'!$E:$E,0)),0)</f>
        <v>189901</v>
      </c>
      <c r="H2019" s="20">
        <f>IFERROR(INDEX('Kode Outlet dan Target Toko'!$D:$D,MATCH($I2019,'Kode Outlet dan Target Toko'!$E:$E,0)),0)</f>
        <v>1602008</v>
      </c>
      <c r="I2019" s="42" t="s">
        <v>32</v>
      </c>
      <c r="J2019" s="56" t="s">
        <v>285</v>
      </c>
      <c r="K2019" s="40" t="s">
        <v>13</v>
      </c>
      <c r="L2019" s="26">
        <v>3300</v>
      </c>
      <c r="M2019" s="26">
        <v>50</v>
      </c>
      <c r="N2019" s="25">
        <f t="shared" si="63"/>
        <v>165000</v>
      </c>
      <c r="O2019" s="56"/>
    </row>
    <row r="2020" spans="1:15" hidden="1" x14ac:dyDescent="0.3">
      <c r="A2020" s="26">
        <v>30</v>
      </c>
      <c r="B2020" s="20" t="str">
        <f t="shared" si="62"/>
        <v>JUL</v>
      </c>
      <c r="C2020" s="21">
        <v>46228</v>
      </c>
      <c r="D2020" s="22" t="str">
        <f t="array" ref="D2020">IFERROR(INDEX('Kode Outlet dan Target Toko'!$A:$A,MATCH($I2020,'Kode Outlet dan Target Toko'!$E:$E,0)),"")</f>
        <v>GRSM 4</v>
      </c>
      <c r="E2020" s="20" t="str">
        <f>IFERROR(VLOOKUP(I2020,KET!$B:$F,4,0),"")</f>
        <v>FAHMI LUKMANUL HAKIM</v>
      </c>
      <c r="F2020" s="20" t="str">
        <f>IFERROR(VLOOKUP(I2020,KET!$B:$F,5,0),"")</f>
        <v>GMM</v>
      </c>
      <c r="G2020" s="20">
        <f>IFERROR(INDEX('Kode Outlet dan Target Toko'!$C:$C,MATCH($I2020,'Kode Outlet dan Target Toko'!$E:$E,0)),0)</f>
        <v>189901</v>
      </c>
      <c r="H2020" s="20">
        <f>IFERROR(INDEX('Kode Outlet dan Target Toko'!$D:$D,MATCH($I2020,'Kode Outlet dan Target Toko'!$E:$E,0)),0)</f>
        <v>1602008</v>
      </c>
      <c r="I2020" s="42" t="s">
        <v>32</v>
      </c>
      <c r="J2020" s="56" t="s">
        <v>285</v>
      </c>
      <c r="K2020" s="40" t="s">
        <v>14</v>
      </c>
      <c r="L2020" s="26">
        <v>3300</v>
      </c>
      <c r="M2020" s="26">
        <v>60</v>
      </c>
      <c r="N2020" s="25">
        <f t="shared" si="63"/>
        <v>198000</v>
      </c>
      <c r="O2020" s="56"/>
    </row>
    <row r="2021" spans="1:15" hidden="1" x14ac:dyDescent="0.3">
      <c r="A2021" s="26">
        <v>30</v>
      </c>
      <c r="B2021" s="20" t="str">
        <f t="shared" si="62"/>
        <v>JUL</v>
      </c>
      <c r="C2021" s="21">
        <v>46228</v>
      </c>
      <c r="D2021" s="22" t="str">
        <f t="array" ref="D2021">IFERROR(INDEX('Kode Outlet dan Target Toko'!$A:$A,MATCH($I2021,'Kode Outlet dan Target Toko'!$E:$E,0)),"")</f>
        <v>GRSM 4</v>
      </c>
      <c r="E2021" s="20" t="str">
        <f>IFERROR(VLOOKUP(I2021,KET!$B:$F,4,0),"")</f>
        <v>FAHMI LUKMANUL HAKIM</v>
      </c>
      <c r="F2021" s="20" t="str">
        <f>IFERROR(VLOOKUP(I2021,KET!$B:$F,5,0),"")</f>
        <v>GMM</v>
      </c>
      <c r="G2021" s="20">
        <f>IFERROR(INDEX('Kode Outlet dan Target Toko'!$C:$C,MATCH($I2021,'Kode Outlet dan Target Toko'!$E:$E,0)),0)</f>
        <v>189901</v>
      </c>
      <c r="H2021" s="20">
        <f>IFERROR(INDEX('Kode Outlet dan Target Toko'!$D:$D,MATCH($I2021,'Kode Outlet dan Target Toko'!$E:$E,0)),0)</f>
        <v>1602008</v>
      </c>
      <c r="I2021" s="42" t="s">
        <v>32</v>
      </c>
      <c r="J2021" s="56" t="s">
        <v>285</v>
      </c>
      <c r="K2021" s="40" t="s">
        <v>15</v>
      </c>
      <c r="L2021" s="26">
        <v>3300</v>
      </c>
      <c r="M2021" s="26">
        <v>30</v>
      </c>
      <c r="N2021" s="25">
        <f t="shared" si="63"/>
        <v>99000</v>
      </c>
      <c r="O2021" s="56"/>
    </row>
    <row r="2022" spans="1:15" hidden="1" x14ac:dyDescent="0.3">
      <c r="A2022" s="26">
        <v>30</v>
      </c>
      <c r="B2022" s="20" t="str">
        <f t="shared" si="62"/>
        <v>JUL</v>
      </c>
      <c r="C2022" s="21">
        <v>46228</v>
      </c>
      <c r="D2022" s="22" t="str">
        <f t="array" ref="D2022">IFERROR(INDEX('Kode Outlet dan Target Toko'!$A:$A,MATCH($I2022,'Kode Outlet dan Target Toko'!$E:$E,0)),"")</f>
        <v>GRSM 4</v>
      </c>
      <c r="E2022" s="20" t="str">
        <f>IFERROR(VLOOKUP(I2022,KET!$B:$F,4,0),"")</f>
        <v>FAHMI LUKMANUL HAKIM</v>
      </c>
      <c r="F2022" s="20" t="str">
        <f>IFERROR(VLOOKUP(I2022,KET!$B:$F,5,0),"")</f>
        <v>GMM</v>
      </c>
      <c r="G2022" s="20">
        <f>IFERROR(INDEX('Kode Outlet dan Target Toko'!$C:$C,MATCH($I2022,'Kode Outlet dan Target Toko'!$E:$E,0)),0)</f>
        <v>189901</v>
      </c>
      <c r="H2022" s="20">
        <f>IFERROR(INDEX('Kode Outlet dan Target Toko'!$D:$D,MATCH($I2022,'Kode Outlet dan Target Toko'!$E:$E,0)),0)</f>
        <v>1602008</v>
      </c>
      <c r="I2022" s="42" t="s">
        <v>32</v>
      </c>
      <c r="J2022" s="56" t="s">
        <v>285</v>
      </c>
      <c r="K2022" s="40" t="s">
        <v>16</v>
      </c>
      <c r="L2022" s="26">
        <v>3300</v>
      </c>
      <c r="M2022" s="26">
        <v>105</v>
      </c>
      <c r="N2022" s="25">
        <f t="shared" si="63"/>
        <v>346500</v>
      </c>
      <c r="O2022" s="56">
        <v>160</v>
      </c>
    </row>
    <row r="2023" spans="1:15" hidden="1" x14ac:dyDescent="0.3">
      <c r="A2023" s="26">
        <v>30</v>
      </c>
      <c r="B2023" s="20" t="str">
        <f t="shared" si="62"/>
        <v>JUL</v>
      </c>
      <c r="C2023" s="21">
        <v>46229</v>
      </c>
      <c r="D2023" s="22" t="str">
        <f t="array" ref="D2023">IFERROR(INDEX('Kode Outlet dan Target Toko'!$A:$A,MATCH($I2023,'Kode Outlet dan Target Toko'!$E:$E,0)),"")</f>
        <v>GRSM 4</v>
      </c>
      <c r="E2023" s="20" t="str">
        <f>IFERROR(VLOOKUP(I2023,KET!$B:$F,4,0),"")</f>
        <v>FAHMI LUKMANUL HAKIM</v>
      </c>
      <c r="F2023" s="20" t="str">
        <f>IFERROR(VLOOKUP(I2023,KET!$B:$F,5,0),"")</f>
        <v>GMM</v>
      </c>
      <c r="G2023" s="20">
        <f>IFERROR(INDEX('Kode Outlet dan Target Toko'!$C:$C,MATCH($I2023,'Kode Outlet dan Target Toko'!$E:$E,0)),0)</f>
        <v>103277</v>
      </c>
      <c r="H2023" s="20">
        <f>IFERROR(INDEX('Kode Outlet dan Target Toko'!$D:$D,MATCH($I2023,'Kode Outlet dan Target Toko'!$E:$E,0)),0)</f>
        <v>6300700</v>
      </c>
      <c r="I2023" s="42" t="s">
        <v>30</v>
      </c>
      <c r="J2023" s="56" t="s">
        <v>182</v>
      </c>
      <c r="K2023" s="40" t="s">
        <v>13</v>
      </c>
      <c r="L2023" s="26">
        <v>3000</v>
      </c>
      <c r="M2023" s="26">
        <v>129</v>
      </c>
      <c r="N2023" s="25">
        <f t="shared" si="63"/>
        <v>387000</v>
      </c>
      <c r="O2023" s="56"/>
    </row>
    <row r="2024" spans="1:15" hidden="1" x14ac:dyDescent="0.3">
      <c r="A2024" s="26">
        <v>30</v>
      </c>
      <c r="B2024" s="20" t="str">
        <f t="shared" si="62"/>
        <v>JUL</v>
      </c>
      <c r="C2024" s="21">
        <v>46229</v>
      </c>
      <c r="D2024" s="22" t="str">
        <f t="array" ref="D2024">IFERROR(INDEX('Kode Outlet dan Target Toko'!$A:$A,MATCH($I2024,'Kode Outlet dan Target Toko'!$E:$E,0)),"")</f>
        <v>GRSM 4</v>
      </c>
      <c r="E2024" s="20" t="str">
        <f>IFERROR(VLOOKUP(I2024,KET!$B:$F,4,0),"")</f>
        <v>FAHMI LUKMANUL HAKIM</v>
      </c>
      <c r="F2024" s="20" t="str">
        <f>IFERROR(VLOOKUP(I2024,KET!$B:$F,5,0),"")</f>
        <v>GMM</v>
      </c>
      <c r="G2024" s="20">
        <f>IFERROR(INDEX('Kode Outlet dan Target Toko'!$C:$C,MATCH($I2024,'Kode Outlet dan Target Toko'!$E:$E,0)),0)</f>
        <v>103277</v>
      </c>
      <c r="H2024" s="20">
        <f>IFERROR(INDEX('Kode Outlet dan Target Toko'!$D:$D,MATCH($I2024,'Kode Outlet dan Target Toko'!$E:$E,0)),0)</f>
        <v>6300700</v>
      </c>
      <c r="I2024" s="42" t="s">
        <v>30</v>
      </c>
      <c r="J2024" s="56" t="s">
        <v>182</v>
      </c>
      <c r="K2024" s="40" t="s">
        <v>14</v>
      </c>
      <c r="L2024" s="26">
        <v>3000</v>
      </c>
      <c r="M2024" s="26">
        <v>82</v>
      </c>
      <c r="N2024" s="25">
        <f t="shared" si="63"/>
        <v>246000</v>
      </c>
      <c r="O2024" s="56"/>
    </row>
    <row r="2025" spans="1:15" hidden="1" x14ac:dyDescent="0.3">
      <c r="A2025" s="26">
        <v>30</v>
      </c>
      <c r="B2025" s="20" t="str">
        <f t="shared" si="62"/>
        <v>JUL</v>
      </c>
      <c r="C2025" s="21">
        <v>46229</v>
      </c>
      <c r="D2025" s="22" t="str">
        <f t="array" ref="D2025">IFERROR(INDEX('Kode Outlet dan Target Toko'!$A:$A,MATCH($I2025,'Kode Outlet dan Target Toko'!$E:$E,0)),"")</f>
        <v>GRSM 4</v>
      </c>
      <c r="E2025" s="20" t="str">
        <f>IFERROR(VLOOKUP(I2025,KET!$B:$F,4,0),"")</f>
        <v>FAHMI LUKMANUL HAKIM</v>
      </c>
      <c r="F2025" s="20" t="str">
        <f>IFERROR(VLOOKUP(I2025,KET!$B:$F,5,0),"")</f>
        <v>GMM</v>
      </c>
      <c r="G2025" s="20">
        <f>IFERROR(INDEX('Kode Outlet dan Target Toko'!$C:$C,MATCH($I2025,'Kode Outlet dan Target Toko'!$E:$E,0)),0)</f>
        <v>103277</v>
      </c>
      <c r="H2025" s="20">
        <f>IFERROR(INDEX('Kode Outlet dan Target Toko'!$D:$D,MATCH($I2025,'Kode Outlet dan Target Toko'!$E:$E,0)),0)</f>
        <v>6300700</v>
      </c>
      <c r="I2025" s="42" t="s">
        <v>30</v>
      </c>
      <c r="J2025" s="56" t="s">
        <v>182</v>
      </c>
      <c r="K2025" s="40" t="s">
        <v>15</v>
      </c>
      <c r="L2025" s="26">
        <v>3000</v>
      </c>
      <c r="M2025" s="26">
        <v>105</v>
      </c>
      <c r="N2025" s="25">
        <f t="shared" si="63"/>
        <v>315000</v>
      </c>
      <c r="O2025" s="56"/>
    </row>
    <row r="2026" spans="1:15" hidden="1" x14ac:dyDescent="0.3">
      <c r="A2026" s="26">
        <v>30</v>
      </c>
      <c r="B2026" s="20" t="str">
        <f t="shared" si="62"/>
        <v>JUL</v>
      </c>
      <c r="C2026" s="21">
        <v>46229</v>
      </c>
      <c r="D2026" s="22" t="str">
        <f t="array" ref="D2026">IFERROR(INDEX('Kode Outlet dan Target Toko'!$A:$A,MATCH($I2026,'Kode Outlet dan Target Toko'!$E:$E,0)),"")</f>
        <v>GRSM 4</v>
      </c>
      <c r="E2026" s="20" t="str">
        <f>IFERROR(VLOOKUP(I2026,KET!$B:$F,4,0),"")</f>
        <v>FAHMI LUKMANUL HAKIM</v>
      </c>
      <c r="F2026" s="20" t="str">
        <f>IFERROR(VLOOKUP(I2026,KET!$B:$F,5,0),"")</f>
        <v>GMM</v>
      </c>
      <c r="G2026" s="20">
        <f>IFERROR(INDEX('Kode Outlet dan Target Toko'!$C:$C,MATCH($I2026,'Kode Outlet dan Target Toko'!$E:$E,0)),0)</f>
        <v>103277</v>
      </c>
      <c r="H2026" s="20">
        <f>IFERROR(INDEX('Kode Outlet dan Target Toko'!$D:$D,MATCH($I2026,'Kode Outlet dan Target Toko'!$E:$E,0)),0)</f>
        <v>6300700</v>
      </c>
      <c r="I2026" s="42" t="s">
        <v>30</v>
      </c>
      <c r="J2026" s="56" t="s">
        <v>182</v>
      </c>
      <c r="K2026" s="40" t="s">
        <v>16</v>
      </c>
      <c r="L2026" s="26">
        <v>3000</v>
      </c>
      <c r="M2026" s="26">
        <v>0</v>
      </c>
      <c r="N2026" s="25">
        <f t="shared" si="63"/>
        <v>0</v>
      </c>
      <c r="O2026" s="56">
        <v>160</v>
      </c>
    </row>
    <row r="2027" spans="1:15" hidden="1" x14ac:dyDescent="0.3">
      <c r="A2027" s="26">
        <v>30</v>
      </c>
      <c r="B2027" s="20" t="str">
        <f t="shared" si="62"/>
        <v>JUL</v>
      </c>
      <c r="C2027" s="21">
        <v>46229</v>
      </c>
      <c r="D2027" s="22" t="str">
        <f t="array" ref="D2027">IFERROR(INDEX('Kode Outlet dan Target Toko'!$A:$A,MATCH($I2027,'Kode Outlet dan Target Toko'!$E:$E,0)),"")</f>
        <v>GRSM 4</v>
      </c>
      <c r="E2027" s="20" t="str">
        <f>IFERROR(VLOOKUP(I2027,KET!$B:$F,4,0),"")</f>
        <v>FAHMI LUKMANUL HAKIM</v>
      </c>
      <c r="F2027" s="20" t="str">
        <f>IFERROR(VLOOKUP(I2027,KET!$B:$F,5,0),"")</f>
        <v>GMM</v>
      </c>
      <c r="G2027" s="20">
        <f>IFERROR(INDEX('Kode Outlet dan Target Toko'!$C:$C,MATCH($I2027,'Kode Outlet dan Target Toko'!$E:$E,0)),0)</f>
        <v>121409</v>
      </c>
      <c r="H2027" s="20">
        <f>IFERROR(INDEX('Kode Outlet dan Target Toko'!$D:$D,MATCH($I2027,'Kode Outlet dan Target Toko'!$E:$E,0)),0)</f>
        <v>5205014</v>
      </c>
      <c r="I2027" s="42" t="s">
        <v>31</v>
      </c>
      <c r="J2027" s="56" t="s">
        <v>185</v>
      </c>
      <c r="K2027" s="40" t="s">
        <v>13</v>
      </c>
      <c r="L2027" s="26">
        <v>2100</v>
      </c>
      <c r="M2027" s="26">
        <v>226</v>
      </c>
      <c r="N2027" s="25">
        <f t="shared" si="63"/>
        <v>474600</v>
      </c>
      <c r="O2027" s="56"/>
    </row>
    <row r="2028" spans="1:15" hidden="1" x14ac:dyDescent="0.3">
      <c r="A2028" s="26">
        <v>30</v>
      </c>
      <c r="B2028" s="20" t="str">
        <f t="shared" si="62"/>
        <v>JUL</v>
      </c>
      <c r="C2028" s="21">
        <v>46229</v>
      </c>
      <c r="D2028" s="22" t="str">
        <f t="array" ref="D2028">IFERROR(INDEX('Kode Outlet dan Target Toko'!$A:$A,MATCH($I2028,'Kode Outlet dan Target Toko'!$E:$E,0)),"")</f>
        <v>GRSM 4</v>
      </c>
      <c r="E2028" s="20" t="str">
        <f>IFERROR(VLOOKUP(I2028,KET!$B:$F,4,0),"")</f>
        <v>FAHMI LUKMANUL HAKIM</v>
      </c>
      <c r="F2028" s="20" t="str">
        <f>IFERROR(VLOOKUP(I2028,KET!$B:$F,5,0),"")</f>
        <v>GMM</v>
      </c>
      <c r="G2028" s="20">
        <f>IFERROR(INDEX('Kode Outlet dan Target Toko'!$C:$C,MATCH($I2028,'Kode Outlet dan Target Toko'!$E:$E,0)),0)</f>
        <v>121409</v>
      </c>
      <c r="H2028" s="20">
        <f>IFERROR(INDEX('Kode Outlet dan Target Toko'!$D:$D,MATCH($I2028,'Kode Outlet dan Target Toko'!$E:$E,0)),0)</f>
        <v>5205014</v>
      </c>
      <c r="I2028" s="42" t="s">
        <v>31</v>
      </c>
      <c r="J2028" s="56" t="s">
        <v>185</v>
      </c>
      <c r="K2028" s="40" t="s">
        <v>14</v>
      </c>
      <c r="L2028" s="26">
        <v>2100</v>
      </c>
      <c r="M2028" s="26">
        <v>171</v>
      </c>
      <c r="N2028" s="25">
        <f t="shared" si="63"/>
        <v>359100</v>
      </c>
      <c r="O2028" s="56"/>
    </row>
    <row r="2029" spans="1:15" hidden="1" x14ac:dyDescent="0.3">
      <c r="A2029" s="26">
        <v>30</v>
      </c>
      <c r="B2029" s="20" t="str">
        <f t="shared" si="62"/>
        <v>JUL</v>
      </c>
      <c r="C2029" s="21">
        <v>46229</v>
      </c>
      <c r="D2029" s="22" t="str">
        <f t="array" ref="D2029">IFERROR(INDEX('Kode Outlet dan Target Toko'!$A:$A,MATCH($I2029,'Kode Outlet dan Target Toko'!$E:$E,0)),"")</f>
        <v>GRSM 4</v>
      </c>
      <c r="E2029" s="20" t="str">
        <f>IFERROR(VLOOKUP(I2029,KET!$B:$F,4,0),"")</f>
        <v>FAHMI LUKMANUL HAKIM</v>
      </c>
      <c r="F2029" s="20" t="str">
        <f>IFERROR(VLOOKUP(I2029,KET!$B:$F,5,0),"")</f>
        <v>GMM</v>
      </c>
      <c r="G2029" s="20">
        <f>IFERROR(INDEX('Kode Outlet dan Target Toko'!$C:$C,MATCH($I2029,'Kode Outlet dan Target Toko'!$E:$E,0)),0)</f>
        <v>121409</v>
      </c>
      <c r="H2029" s="20">
        <f>IFERROR(INDEX('Kode Outlet dan Target Toko'!$D:$D,MATCH($I2029,'Kode Outlet dan Target Toko'!$E:$E,0)),0)</f>
        <v>5205014</v>
      </c>
      <c r="I2029" s="42" t="s">
        <v>31</v>
      </c>
      <c r="J2029" s="56" t="s">
        <v>185</v>
      </c>
      <c r="K2029" s="40" t="s">
        <v>15</v>
      </c>
      <c r="L2029" s="26">
        <v>2100</v>
      </c>
      <c r="M2029" s="26">
        <v>198</v>
      </c>
      <c r="N2029" s="25">
        <f t="shared" si="63"/>
        <v>415800</v>
      </c>
      <c r="O2029" s="56"/>
    </row>
    <row r="2030" spans="1:15" hidden="1" x14ac:dyDescent="0.3">
      <c r="A2030" s="26">
        <v>30</v>
      </c>
      <c r="B2030" s="20" t="str">
        <f t="shared" si="62"/>
        <v>JUL</v>
      </c>
      <c r="C2030" s="21">
        <v>46229</v>
      </c>
      <c r="D2030" s="22" t="str">
        <f t="array" ref="D2030">IFERROR(INDEX('Kode Outlet dan Target Toko'!$A:$A,MATCH($I2030,'Kode Outlet dan Target Toko'!$E:$E,0)),"")</f>
        <v>GRSM 4</v>
      </c>
      <c r="E2030" s="20" t="str">
        <f>IFERROR(VLOOKUP(I2030,KET!$B:$F,4,0),"")</f>
        <v>FAHMI LUKMANUL HAKIM</v>
      </c>
      <c r="F2030" s="20" t="str">
        <f>IFERROR(VLOOKUP(I2030,KET!$B:$F,5,0),"")</f>
        <v>GMM</v>
      </c>
      <c r="G2030" s="20">
        <f>IFERROR(INDEX('Kode Outlet dan Target Toko'!$C:$C,MATCH($I2030,'Kode Outlet dan Target Toko'!$E:$E,0)),0)</f>
        <v>121409</v>
      </c>
      <c r="H2030" s="20">
        <f>IFERROR(INDEX('Kode Outlet dan Target Toko'!$D:$D,MATCH($I2030,'Kode Outlet dan Target Toko'!$E:$E,0)),0)</f>
        <v>5205014</v>
      </c>
      <c r="I2030" s="42" t="s">
        <v>31</v>
      </c>
      <c r="J2030" s="56" t="s">
        <v>185</v>
      </c>
      <c r="K2030" s="40" t="s">
        <v>16</v>
      </c>
      <c r="L2030" s="26">
        <v>2100</v>
      </c>
      <c r="M2030" s="26">
        <v>395</v>
      </c>
      <c r="N2030" s="25">
        <f t="shared" si="63"/>
        <v>829500</v>
      </c>
      <c r="O2030" s="56">
        <v>160</v>
      </c>
    </row>
    <row r="2031" spans="1:15" hidden="1" x14ac:dyDescent="0.3">
      <c r="A2031" s="26">
        <v>30</v>
      </c>
      <c r="B2031" s="20" t="str">
        <f t="shared" si="62"/>
        <v>JUL</v>
      </c>
      <c r="C2031" s="21">
        <v>46229</v>
      </c>
      <c r="D2031" s="22" t="str">
        <f t="array" ref="D2031">IFERROR(INDEX('Kode Outlet dan Target Toko'!$A:$A,MATCH($I2031,'Kode Outlet dan Target Toko'!$E:$E,0)),"")</f>
        <v>GRSM 4</v>
      </c>
      <c r="E2031" s="20" t="str">
        <f>IFERROR(VLOOKUP(I2031,KET!$B:$F,4,0),"")</f>
        <v>FAHMI LUKMANUL HAKIM</v>
      </c>
      <c r="F2031" s="20" t="str">
        <f>IFERROR(VLOOKUP(I2031,KET!$B:$F,5,0),"")</f>
        <v>GMM</v>
      </c>
      <c r="G2031" s="20">
        <f>IFERROR(INDEX('Kode Outlet dan Target Toko'!$C:$C,MATCH($I2031,'Kode Outlet dan Target Toko'!$E:$E,0)),0)</f>
        <v>121409</v>
      </c>
      <c r="H2031" s="20">
        <f>IFERROR(INDEX('Kode Outlet dan Target Toko'!$D:$D,MATCH($I2031,'Kode Outlet dan Target Toko'!$E:$E,0)),0)</f>
        <v>5205014</v>
      </c>
      <c r="I2031" s="42" t="s">
        <v>31</v>
      </c>
      <c r="J2031" s="56" t="s">
        <v>184</v>
      </c>
      <c r="K2031" s="40" t="s">
        <v>13</v>
      </c>
      <c r="L2031" s="26">
        <v>2100</v>
      </c>
      <c r="M2031" s="26">
        <v>226</v>
      </c>
      <c r="N2031" s="25">
        <f t="shared" si="63"/>
        <v>474600</v>
      </c>
      <c r="O2031" s="56"/>
    </row>
    <row r="2032" spans="1:15" hidden="1" x14ac:dyDescent="0.3">
      <c r="A2032" s="26">
        <v>30</v>
      </c>
      <c r="B2032" s="20" t="str">
        <f t="shared" si="62"/>
        <v>JUL</v>
      </c>
      <c r="C2032" s="21">
        <v>46229</v>
      </c>
      <c r="D2032" s="22" t="str">
        <f t="array" ref="D2032">IFERROR(INDEX('Kode Outlet dan Target Toko'!$A:$A,MATCH($I2032,'Kode Outlet dan Target Toko'!$E:$E,0)),"")</f>
        <v>GRSM 4</v>
      </c>
      <c r="E2032" s="20" t="str">
        <f>IFERROR(VLOOKUP(I2032,KET!$B:$F,4,0),"")</f>
        <v>FAHMI LUKMANUL HAKIM</v>
      </c>
      <c r="F2032" s="20" t="str">
        <f>IFERROR(VLOOKUP(I2032,KET!$B:$F,5,0),"")</f>
        <v>GMM</v>
      </c>
      <c r="G2032" s="20">
        <f>IFERROR(INDEX('Kode Outlet dan Target Toko'!$C:$C,MATCH($I2032,'Kode Outlet dan Target Toko'!$E:$E,0)),0)</f>
        <v>121409</v>
      </c>
      <c r="H2032" s="20">
        <f>IFERROR(INDEX('Kode Outlet dan Target Toko'!$D:$D,MATCH($I2032,'Kode Outlet dan Target Toko'!$E:$E,0)),0)</f>
        <v>5205014</v>
      </c>
      <c r="I2032" s="42" t="s">
        <v>31</v>
      </c>
      <c r="J2032" s="56" t="s">
        <v>184</v>
      </c>
      <c r="K2032" s="40" t="s">
        <v>14</v>
      </c>
      <c r="L2032" s="26">
        <v>2100</v>
      </c>
      <c r="M2032" s="26">
        <v>171</v>
      </c>
      <c r="N2032" s="25">
        <f t="shared" si="63"/>
        <v>359100</v>
      </c>
      <c r="O2032" s="56"/>
    </row>
    <row r="2033" spans="1:15" hidden="1" x14ac:dyDescent="0.3">
      <c r="A2033" s="26">
        <v>30</v>
      </c>
      <c r="B2033" s="20" t="str">
        <f t="shared" si="62"/>
        <v>JUL</v>
      </c>
      <c r="C2033" s="21">
        <v>46229</v>
      </c>
      <c r="D2033" s="22" t="str">
        <f t="array" ref="D2033">IFERROR(INDEX('Kode Outlet dan Target Toko'!$A:$A,MATCH($I2033,'Kode Outlet dan Target Toko'!$E:$E,0)),"")</f>
        <v>GRSM 4</v>
      </c>
      <c r="E2033" s="20" t="str">
        <f>IFERROR(VLOOKUP(I2033,KET!$B:$F,4,0),"")</f>
        <v>FAHMI LUKMANUL HAKIM</v>
      </c>
      <c r="F2033" s="20" t="str">
        <f>IFERROR(VLOOKUP(I2033,KET!$B:$F,5,0),"")</f>
        <v>GMM</v>
      </c>
      <c r="G2033" s="20">
        <f>IFERROR(INDEX('Kode Outlet dan Target Toko'!$C:$C,MATCH($I2033,'Kode Outlet dan Target Toko'!$E:$E,0)),0)</f>
        <v>121409</v>
      </c>
      <c r="H2033" s="20">
        <f>IFERROR(INDEX('Kode Outlet dan Target Toko'!$D:$D,MATCH($I2033,'Kode Outlet dan Target Toko'!$E:$E,0)),0)</f>
        <v>5205014</v>
      </c>
      <c r="I2033" s="42" t="s">
        <v>31</v>
      </c>
      <c r="J2033" s="56" t="s">
        <v>184</v>
      </c>
      <c r="K2033" s="40" t="s">
        <v>15</v>
      </c>
      <c r="L2033" s="26">
        <v>2100</v>
      </c>
      <c r="M2033" s="26">
        <v>198</v>
      </c>
      <c r="N2033" s="25">
        <f t="shared" si="63"/>
        <v>415800</v>
      </c>
      <c r="O2033" s="56"/>
    </row>
    <row r="2034" spans="1:15" hidden="1" x14ac:dyDescent="0.3">
      <c r="A2034" s="26">
        <v>30</v>
      </c>
      <c r="B2034" s="20" t="str">
        <f t="shared" si="62"/>
        <v>JUL</v>
      </c>
      <c r="C2034" s="21">
        <v>46229</v>
      </c>
      <c r="D2034" s="22" t="str">
        <f t="array" ref="D2034">IFERROR(INDEX('Kode Outlet dan Target Toko'!$A:$A,MATCH($I2034,'Kode Outlet dan Target Toko'!$E:$E,0)),"")</f>
        <v>GRSM 4</v>
      </c>
      <c r="E2034" s="20" t="str">
        <f>IFERROR(VLOOKUP(I2034,KET!$B:$F,4,0),"")</f>
        <v>FAHMI LUKMANUL HAKIM</v>
      </c>
      <c r="F2034" s="20" t="str">
        <f>IFERROR(VLOOKUP(I2034,KET!$B:$F,5,0),"")</f>
        <v>GMM</v>
      </c>
      <c r="G2034" s="20">
        <f>IFERROR(INDEX('Kode Outlet dan Target Toko'!$C:$C,MATCH($I2034,'Kode Outlet dan Target Toko'!$E:$E,0)),0)</f>
        <v>121409</v>
      </c>
      <c r="H2034" s="20">
        <f>IFERROR(INDEX('Kode Outlet dan Target Toko'!$D:$D,MATCH($I2034,'Kode Outlet dan Target Toko'!$E:$E,0)),0)</f>
        <v>5205014</v>
      </c>
      <c r="I2034" s="42" t="s">
        <v>31</v>
      </c>
      <c r="J2034" s="56" t="s">
        <v>184</v>
      </c>
      <c r="K2034" s="40" t="s">
        <v>16</v>
      </c>
      <c r="L2034" s="26">
        <v>2100</v>
      </c>
      <c r="M2034" s="26">
        <v>395</v>
      </c>
      <c r="N2034" s="25">
        <f t="shared" si="63"/>
        <v>829500</v>
      </c>
      <c r="O2034" s="56">
        <v>160</v>
      </c>
    </row>
    <row r="2035" spans="1:15" hidden="1" x14ac:dyDescent="0.3">
      <c r="A2035" s="26">
        <v>30</v>
      </c>
      <c r="B2035" s="20" t="str">
        <f t="shared" si="62"/>
        <v>JUL</v>
      </c>
      <c r="C2035" s="21">
        <v>46229</v>
      </c>
      <c r="D2035" s="22" t="str">
        <f t="array" ref="D2035">IFERROR(INDEX('Kode Outlet dan Target Toko'!$A:$A,MATCH($I2035,'Kode Outlet dan Target Toko'!$E:$E,0)),"")</f>
        <v>GRSM 4</v>
      </c>
      <c r="E2035" s="20" t="str">
        <f>IFERROR(VLOOKUP(I2035,KET!$B:$F,4,0),"")</f>
        <v>FAHMI LUKMANUL HAKIM</v>
      </c>
      <c r="F2035" s="20" t="str">
        <f>IFERROR(VLOOKUP(I2035,KET!$B:$F,5,0),"")</f>
        <v>GMM</v>
      </c>
      <c r="G2035" s="20">
        <f>IFERROR(INDEX('Kode Outlet dan Target Toko'!$C:$C,MATCH($I2035,'Kode Outlet dan Target Toko'!$E:$E,0)),0)</f>
        <v>189901</v>
      </c>
      <c r="H2035" s="20">
        <f>IFERROR(INDEX('Kode Outlet dan Target Toko'!$D:$D,MATCH($I2035,'Kode Outlet dan Target Toko'!$E:$E,0)),0)</f>
        <v>1602057</v>
      </c>
      <c r="I2035" s="42" t="s">
        <v>68</v>
      </c>
      <c r="J2035" s="27" t="s">
        <v>174</v>
      </c>
      <c r="K2035" s="40" t="s">
        <v>13</v>
      </c>
      <c r="L2035" s="26">
        <v>2150</v>
      </c>
      <c r="M2035" s="26">
        <v>153</v>
      </c>
      <c r="N2035" s="25">
        <f t="shared" si="63"/>
        <v>328950</v>
      </c>
      <c r="O2035" s="56"/>
    </row>
    <row r="2036" spans="1:15" hidden="1" x14ac:dyDescent="0.3">
      <c r="A2036" s="26">
        <v>30</v>
      </c>
      <c r="B2036" s="20" t="str">
        <f t="shared" si="62"/>
        <v>JUL</v>
      </c>
      <c r="C2036" s="21">
        <v>46229</v>
      </c>
      <c r="D2036" s="22" t="str">
        <f t="array" ref="D2036">IFERROR(INDEX('Kode Outlet dan Target Toko'!$A:$A,MATCH($I2036,'Kode Outlet dan Target Toko'!$E:$E,0)),"")</f>
        <v>GRSM 4</v>
      </c>
      <c r="E2036" s="20" t="str">
        <f>IFERROR(VLOOKUP(I2036,KET!$B:$F,4,0),"")</f>
        <v>FAHMI LUKMANUL HAKIM</v>
      </c>
      <c r="F2036" s="20" t="str">
        <f>IFERROR(VLOOKUP(I2036,KET!$B:$F,5,0),"")</f>
        <v>GMM</v>
      </c>
      <c r="G2036" s="20">
        <f>IFERROR(INDEX('Kode Outlet dan Target Toko'!$C:$C,MATCH($I2036,'Kode Outlet dan Target Toko'!$E:$E,0)),0)</f>
        <v>189901</v>
      </c>
      <c r="H2036" s="20">
        <f>IFERROR(INDEX('Kode Outlet dan Target Toko'!$D:$D,MATCH($I2036,'Kode Outlet dan Target Toko'!$E:$E,0)),0)</f>
        <v>1602057</v>
      </c>
      <c r="I2036" s="42" t="s">
        <v>68</v>
      </c>
      <c r="J2036" s="27" t="s">
        <v>174</v>
      </c>
      <c r="K2036" s="40" t="s">
        <v>14</v>
      </c>
      <c r="L2036" s="26">
        <v>2150</v>
      </c>
      <c r="M2036" s="26">
        <v>183</v>
      </c>
      <c r="N2036" s="25">
        <f t="shared" si="63"/>
        <v>393450</v>
      </c>
      <c r="O2036" s="56"/>
    </row>
    <row r="2037" spans="1:15" hidden="1" x14ac:dyDescent="0.3">
      <c r="A2037" s="26">
        <v>30</v>
      </c>
      <c r="B2037" s="20" t="str">
        <f t="shared" si="62"/>
        <v>JUL</v>
      </c>
      <c r="C2037" s="21">
        <v>46229</v>
      </c>
      <c r="D2037" s="22" t="str">
        <f t="array" ref="D2037">IFERROR(INDEX('Kode Outlet dan Target Toko'!$A:$A,MATCH($I2037,'Kode Outlet dan Target Toko'!$E:$E,0)),"")</f>
        <v>GRSM 4</v>
      </c>
      <c r="E2037" s="20" t="str">
        <f>IFERROR(VLOOKUP(I2037,KET!$B:$F,4,0),"")</f>
        <v>FAHMI LUKMANUL HAKIM</v>
      </c>
      <c r="F2037" s="20" t="str">
        <f>IFERROR(VLOOKUP(I2037,KET!$B:$F,5,0),"")</f>
        <v>GMM</v>
      </c>
      <c r="G2037" s="20">
        <f>IFERROR(INDEX('Kode Outlet dan Target Toko'!$C:$C,MATCH($I2037,'Kode Outlet dan Target Toko'!$E:$E,0)),0)</f>
        <v>189901</v>
      </c>
      <c r="H2037" s="20">
        <f>IFERROR(INDEX('Kode Outlet dan Target Toko'!$D:$D,MATCH($I2037,'Kode Outlet dan Target Toko'!$E:$E,0)),0)</f>
        <v>1602057</v>
      </c>
      <c r="I2037" s="42" t="s">
        <v>68</v>
      </c>
      <c r="J2037" s="27" t="s">
        <v>174</v>
      </c>
      <c r="K2037" s="40" t="s">
        <v>15</v>
      </c>
      <c r="L2037" s="26">
        <v>2150</v>
      </c>
      <c r="M2037" s="26">
        <v>174</v>
      </c>
      <c r="N2037" s="25">
        <f t="shared" si="63"/>
        <v>374100</v>
      </c>
      <c r="O2037" s="56"/>
    </row>
    <row r="2038" spans="1:15" hidden="1" x14ac:dyDescent="0.3">
      <c r="A2038" s="26">
        <v>30</v>
      </c>
      <c r="B2038" s="20" t="str">
        <f t="shared" si="62"/>
        <v>JUL</v>
      </c>
      <c r="C2038" s="21">
        <v>46229</v>
      </c>
      <c r="D2038" s="22" t="str">
        <f t="array" ref="D2038">IFERROR(INDEX('Kode Outlet dan Target Toko'!$A:$A,MATCH($I2038,'Kode Outlet dan Target Toko'!$E:$E,0)),"")</f>
        <v>GRSM 4</v>
      </c>
      <c r="E2038" s="20" t="str">
        <f>IFERROR(VLOOKUP(I2038,KET!$B:$F,4,0),"")</f>
        <v>FAHMI LUKMANUL HAKIM</v>
      </c>
      <c r="F2038" s="20" t="str">
        <f>IFERROR(VLOOKUP(I2038,KET!$B:$F,5,0),"")</f>
        <v>GMM</v>
      </c>
      <c r="G2038" s="20">
        <f>IFERROR(INDEX('Kode Outlet dan Target Toko'!$C:$C,MATCH($I2038,'Kode Outlet dan Target Toko'!$E:$E,0)),0)</f>
        <v>189901</v>
      </c>
      <c r="H2038" s="20">
        <f>IFERROR(INDEX('Kode Outlet dan Target Toko'!$D:$D,MATCH($I2038,'Kode Outlet dan Target Toko'!$E:$E,0)),0)</f>
        <v>1602057</v>
      </c>
      <c r="I2038" s="42" t="s">
        <v>68</v>
      </c>
      <c r="J2038" s="27" t="s">
        <v>174</v>
      </c>
      <c r="K2038" s="40" t="s">
        <v>16</v>
      </c>
      <c r="L2038" s="26">
        <v>2150</v>
      </c>
      <c r="M2038" s="26">
        <v>252</v>
      </c>
      <c r="N2038" s="25">
        <f t="shared" si="63"/>
        <v>541800</v>
      </c>
      <c r="O2038" s="56">
        <v>160</v>
      </c>
    </row>
    <row r="2039" spans="1:15" hidden="1" x14ac:dyDescent="0.3">
      <c r="A2039" s="26">
        <v>30</v>
      </c>
      <c r="B2039" s="20" t="str">
        <f t="shared" si="62"/>
        <v>JUL</v>
      </c>
      <c r="C2039" s="21">
        <v>46229</v>
      </c>
      <c r="D2039" s="22" t="str">
        <f t="array" ref="D2039">IFERROR(INDEX('Kode Outlet dan Target Toko'!$A:$A,MATCH($I2039,'Kode Outlet dan Target Toko'!$E:$E,0)),"")</f>
        <v>GRSM 4</v>
      </c>
      <c r="E2039" s="20" t="str">
        <f>IFERROR(VLOOKUP(I2039,KET!$B:$F,4,0),"")</f>
        <v>FAHMI LUKMANUL HAKIM</v>
      </c>
      <c r="F2039" s="20" t="str">
        <f>IFERROR(VLOOKUP(I2039,KET!$B:$F,5,0),"")</f>
        <v>GMM</v>
      </c>
      <c r="G2039" s="20">
        <f>IFERROR(INDEX('Kode Outlet dan Target Toko'!$C:$C,MATCH($I2039,'Kode Outlet dan Target Toko'!$E:$E,0)),0)</f>
        <v>189901</v>
      </c>
      <c r="H2039" s="20">
        <f>IFERROR(INDEX('Kode Outlet dan Target Toko'!$D:$D,MATCH($I2039,'Kode Outlet dan Target Toko'!$E:$E,0)),0)</f>
        <v>1602057</v>
      </c>
      <c r="I2039" s="42" t="s">
        <v>68</v>
      </c>
      <c r="J2039" s="56" t="s">
        <v>175</v>
      </c>
      <c r="K2039" s="40" t="s">
        <v>13</v>
      </c>
      <c r="L2039" s="26">
        <v>2150</v>
      </c>
      <c r="M2039" s="26">
        <v>144</v>
      </c>
      <c r="N2039" s="25">
        <f t="shared" si="63"/>
        <v>309600</v>
      </c>
      <c r="O2039" s="56"/>
    </row>
    <row r="2040" spans="1:15" hidden="1" x14ac:dyDescent="0.3">
      <c r="A2040" s="26">
        <v>30</v>
      </c>
      <c r="B2040" s="20" t="str">
        <f t="shared" si="62"/>
        <v>JUL</v>
      </c>
      <c r="C2040" s="21">
        <v>46229</v>
      </c>
      <c r="D2040" s="22" t="str">
        <f t="array" ref="D2040">IFERROR(INDEX('Kode Outlet dan Target Toko'!$A:$A,MATCH($I2040,'Kode Outlet dan Target Toko'!$E:$E,0)),"")</f>
        <v>GRSM 4</v>
      </c>
      <c r="E2040" s="20" t="str">
        <f>IFERROR(VLOOKUP(I2040,KET!$B:$F,4,0),"")</f>
        <v>FAHMI LUKMANUL HAKIM</v>
      </c>
      <c r="F2040" s="20" t="str">
        <f>IFERROR(VLOOKUP(I2040,KET!$B:$F,5,0),"")</f>
        <v>GMM</v>
      </c>
      <c r="G2040" s="20">
        <f>IFERROR(INDEX('Kode Outlet dan Target Toko'!$C:$C,MATCH($I2040,'Kode Outlet dan Target Toko'!$E:$E,0)),0)</f>
        <v>189901</v>
      </c>
      <c r="H2040" s="20">
        <f>IFERROR(INDEX('Kode Outlet dan Target Toko'!$D:$D,MATCH($I2040,'Kode Outlet dan Target Toko'!$E:$E,0)),0)</f>
        <v>1602057</v>
      </c>
      <c r="I2040" s="42" t="s">
        <v>68</v>
      </c>
      <c r="J2040" s="56" t="s">
        <v>175</v>
      </c>
      <c r="K2040" s="40" t="s">
        <v>14</v>
      </c>
      <c r="L2040" s="26">
        <v>2150</v>
      </c>
      <c r="M2040" s="26">
        <v>177</v>
      </c>
      <c r="N2040" s="25">
        <f t="shared" si="63"/>
        <v>380550</v>
      </c>
      <c r="O2040" s="56"/>
    </row>
    <row r="2041" spans="1:15" hidden="1" x14ac:dyDescent="0.3">
      <c r="A2041" s="26">
        <v>30</v>
      </c>
      <c r="B2041" s="20" t="str">
        <f t="shared" si="62"/>
        <v>JUL</v>
      </c>
      <c r="C2041" s="21">
        <v>46229</v>
      </c>
      <c r="D2041" s="22" t="str">
        <f t="array" ref="D2041">IFERROR(INDEX('Kode Outlet dan Target Toko'!$A:$A,MATCH($I2041,'Kode Outlet dan Target Toko'!$E:$E,0)),"")</f>
        <v>GRSM 4</v>
      </c>
      <c r="E2041" s="20" t="str">
        <f>IFERROR(VLOOKUP(I2041,KET!$B:$F,4,0),"")</f>
        <v>FAHMI LUKMANUL HAKIM</v>
      </c>
      <c r="F2041" s="20" t="str">
        <f>IFERROR(VLOOKUP(I2041,KET!$B:$F,5,0),"")</f>
        <v>GMM</v>
      </c>
      <c r="G2041" s="20">
        <f>IFERROR(INDEX('Kode Outlet dan Target Toko'!$C:$C,MATCH($I2041,'Kode Outlet dan Target Toko'!$E:$E,0)),0)</f>
        <v>189901</v>
      </c>
      <c r="H2041" s="20">
        <f>IFERROR(INDEX('Kode Outlet dan Target Toko'!$D:$D,MATCH($I2041,'Kode Outlet dan Target Toko'!$E:$E,0)),0)</f>
        <v>1602057</v>
      </c>
      <c r="I2041" s="42" t="s">
        <v>68</v>
      </c>
      <c r="J2041" s="56" t="s">
        <v>175</v>
      </c>
      <c r="K2041" s="40" t="s">
        <v>15</v>
      </c>
      <c r="L2041" s="26">
        <v>2150</v>
      </c>
      <c r="M2041" s="26">
        <v>168</v>
      </c>
      <c r="N2041" s="25">
        <f t="shared" si="63"/>
        <v>361200</v>
      </c>
      <c r="O2041" s="56"/>
    </row>
    <row r="2042" spans="1:15" hidden="1" x14ac:dyDescent="0.3">
      <c r="A2042" s="26">
        <v>30</v>
      </c>
      <c r="B2042" s="20" t="str">
        <f t="shared" si="62"/>
        <v>JUL</v>
      </c>
      <c r="C2042" s="21">
        <v>46229</v>
      </c>
      <c r="D2042" s="22" t="str">
        <f t="array" ref="D2042">IFERROR(INDEX('Kode Outlet dan Target Toko'!$A:$A,MATCH($I2042,'Kode Outlet dan Target Toko'!$E:$E,0)),"")</f>
        <v>GRSM 4</v>
      </c>
      <c r="E2042" s="20" t="str">
        <f>IFERROR(VLOOKUP(I2042,KET!$B:$F,4,0),"")</f>
        <v>FAHMI LUKMANUL HAKIM</v>
      </c>
      <c r="F2042" s="20" t="str">
        <f>IFERROR(VLOOKUP(I2042,KET!$B:$F,5,0),"")</f>
        <v>GMM</v>
      </c>
      <c r="G2042" s="20">
        <f>IFERROR(INDEX('Kode Outlet dan Target Toko'!$C:$C,MATCH($I2042,'Kode Outlet dan Target Toko'!$E:$E,0)),0)</f>
        <v>189901</v>
      </c>
      <c r="H2042" s="20">
        <f>IFERROR(INDEX('Kode Outlet dan Target Toko'!$D:$D,MATCH($I2042,'Kode Outlet dan Target Toko'!$E:$E,0)),0)</f>
        <v>1602057</v>
      </c>
      <c r="I2042" s="42" t="s">
        <v>68</v>
      </c>
      <c r="J2042" s="56" t="s">
        <v>175</v>
      </c>
      <c r="K2042" s="40" t="s">
        <v>16</v>
      </c>
      <c r="L2042" s="26">
        <v>2150</v>
      </c>
      <c r="M2042" s="26">
        <v>264</v>
      </c>
      <c r="N2042" s="25">
        <f t="shared" si="63"/>
        <v>567600</v>
      </c>
      <c r="O2042" s="56">
        <v>160</v>
      </c>
    </row>
    <row r="2043" spans="1:15" hidden="1" x14ac:dyDescent="0.3">
      <c r="A2043" s="26">
        <v>30</v>
      </c>
      <c r="B2043" s="20" t="str">
        <f t="shared" si="62"/>
        <v>JUL</v>
      </c>
      <c r="C2043" s="21">
        <v>46229</v>
      </c>
      <c r="D2043" s="22" t="str">
        <f t="array" ref="D2043">IFERROR(INDEX('Kode Outlet dan Target Toko'!$A:$A,MATCH($I2043,'Kode Outlet dan Target Toko'!$E:$E,0)),"")</f>
        <v>GRSM 4</v>
      </c>
      <c r="E2043" s="20" t="str">
        <f>IFERROR(VLOOKUP(I2043,KET!$B:$F,4,0),"")</f>
        <v>FAHMI LUKMANUL HAKIM</v>
      </c>
      <c r="F2043" s="20" t="str">
        <f>IFERROR(VLOOKUP(I2043,KET!$B:$F,5,0),"")</f>
        <v>GMM</v>
      </c>
      <c r="G2043" s="20">
        <f>IFERROR(INDEX('Kode Outlet dan Target Toko'!$C:$C,MATCH($I2043,'Kode Outlet dan Target Toko'!$E:$E,0)),0)</f>
        <v>189901</v>
      </c>
      <c r="H2043" s="20">
        <f>IFERROR(INDEX('Kode Outlet dan Target Toko'!$D:$D,MATCH($I2043,'Kode Outlet dan Target Toko'!$E:$E,0)),0)</f>
        <v>1602018</v>
      </c>
      <c r="I2043" s="50" t="s">
        <v>34</v>
      </c>
      <c r="J2043" s="56" t="s">
        <v>187</v>
      </c>
      <c r="K2043" s="40" t="s">
        <v>13</v>
      </c>
      <c r="L2043" s="26">
        <v>3500</v>
      </c>
      <c r="M2043" s="26">
        <v>55</v>
      </c>
      <c r="N2043" s="25">
        <f t="shared" si="63"/>
        <v>192500</v>
      </c>
      <c r="O2043" s="56"/>
    </row>
    <row r="2044" spans="1:15" hidden="1" x14ac:dyDescent="0.3">
      <c r="A2044" s="26">
        <v>30</v>
      </c>
      <c r="B2044" s="20" t="str">
        <f t="shared" si="62"/>
        <v>JUL</v>
      </c>
      <c r="C2044" s="21">
        <v>46229</v>
      </c>
      <c r="D2044" s="22" t="str">
        <f t="array" ref="D2044">IFERROR(INDEX('Kode Outlet dan Target Toko'!$A:$A,MATCH($I2044,'Kode Outlet dan Target Toko'!$E:$E,0)),"")</f>
        <v>GRSM 4</v>
      </c>
      <c r="E2044" s="20" t="str">
        <f>IFERROR(VLOOKUP(I2044,KET!$B:$F,4,0),"")</f>
        <v>FAHMI LUKMANUL HAKIM</v>
      </c>
      <c r="F2044" s="20" t="str">
        <f>IFERROR(VLOOKUP(I2044,KET!$B:$F,5,0),"")</f>
        <v>GMM</v>
      </c>
      <c r="G2044" s="20">
        <f>IFERROR(INDEX('Kode Outlet dan Target Toko'!$C:$C,MATCH($I2044,'Kode Outlet dan Target Toko'!$E:$E,0)),0)</f>
        <v>189901</v>
      </c>
      <c r="H2044" s="20">
        <f>IFERROR(INDEX('Kode Outlet dan Target Toko'!$D:$D,MATCH($I2044,'Kode Outlet dan Target Toko'!$E:$E,0)),0)</f>
        <v>1602018</v>
      </c>
      <c r="I2044" s="50" t="s">
        <v>34</v>
      </c>
      <c r="J2044" s="56" t="s">
        <v>187</v>
      </c>
      <c r="K2044" s="40" t="s">
        <v>14</v>
      </c>
      <c r="L2044" s="26">
        <v>3500</v>
      </c>
      <c r="M2044" s="26">
        <v>97</v>
      </c>
      <c r="N2044" s="25">
        <f t="shared" si="63"/>
        <v>339500</v>
      </c>
      <c r="O2044" s="56"/>
    </row>
    <row r="2045" spans="1:15" hidden="1" x14ac:dyDescent="0.3">
      <c r="A2045" s="26">
        <v>30</v>
      </c>
      <c r="B2045" s="20" t="str">
        <f t="shared" si="62"/>
        <v>JUL</v>
      </c>
      <c r="C2045" s="21">
        <v>46229</v>
      </c>
      <c r="D2045" s="22" t="str">
        <f t="array" ref="D2045">IFERROR(INDEX('Kode Outlet dan Target Toko'!$A:$A,MATCH($I2045,'Kode Outlet dan Target Toko'!$E:$E,0)),"")</f>
        <v>GRSM 4</v>
      </c>
      <c r="E2045" s="20" t="str">
        <f>IFERROR(VLOOKUP(I2045,KET!$B:$F,4,0),"")</f>
        <v>FAHMI LUKMANUL HAKIM</v>
      </c>
      <c r="F2045" s="20" t="str">
        <f>IFERROR(VLOOKUP(I2045,KET!$B:$F,5,0),"")</f>
        <v>GMM</v>
      </c>
      <c r="G2045" s="20">
        <f>IFERROR(INDEX('Kode Outlet dan Target Toko'!$C:$C,MATCH($I2045,'Kode Outlet dan Target Toko'!$E:$E,0)),0)</f>
        <v>189901</v>
      </c>
      <c r="H2045" s="20">
        <f>IFERROR(INDEX('Kode Outlet dan Target Toko'!$D:$D,MATCH($I2045,'Kode Outlet dan Target Toko'!$E:$E,0)),0)</f>
        <v>1602018</v>
      </c>
      <c r="I2045" s="50" t="s">
        <v>34</v>
      </c>
      <c r="J2045" s="56" t="s">
        <v>187</v>
      </c>
      <c r="K2045" s="40" t="s">
        <v>15</v>
      </c>
      <c r="L2045" s="26">
        <v>3500</v>
      </c>
      <c r="M2045" s="26">
        <v>65</v>
      </c>
      <c r="N2045" s="25">
        <f t="shared" si="63"/>
        <v>227500</v>
      </c>
      <c r="O2045" s="56"/>
    </row>
    <row r="2046" spans="1:15" hidden="1" x14ac:dyDescent="0.3">
      <c r="A2046" s="26">
        <v>30</v>
      </c>
      <c r="B2046" s="20" t="str">
        <f t="shared" si="62"/>
        <v>JUL</v>
      </c>
      <c r="C2046" s="21">
        <v>46229</v>
      </c>
      <c r="D2046" s="22" t="str">
        <f t="array" ref="D2046">IFERROR(INDEX('Kode Outlet dan Target Toko'!$A:$A,MATCH($I2046,'Kode Outlet dan Target Toko'!$E:$E,0)),"")</f>
        <v>GRSM 4</v>
      </c>
      <c r="E2046" s="20" t="str">
        <f>IFERROR(VLOOKUP(I2046,KET!$B:$F,4,0),"")</f>
        <v>FAHMI LUKMANUL HAKIM</v>
      </c>
      <c r="F2046" s="20" t="str">
        <f>IFERROR(VLOOKUP(I2046,KET!$B:$F,5,0),"")</f>
        <v>GMM</v>
      </c>
      <c r="G2046" s="20">
        <f>IFERROR(INDEX('Kode Outlet dan Target Toko'!$C:$C,MATCH($I2046,'Kode Outlet dan Target Toko'!$E:$E,0)),0)</f>
        <v>189901</v>
      </c>
      <c r="H2046" s="20">
        <f>IFERROR(INDEX('Kode Outlet dan Target Toko'!$D:$D,MATCH($I2046,'Kode Outlet dan Target Toko'!$E:$E,0)),0)</f>
        <v>1602018</v>
      </c>
      <c r="I2046" s="50" t="s">
        <v>34</v>
      </c>
      <c r="J2046" s="56" t="s">
        <v>187</v>
      </c>
      <c r="K2046" s="40" t="s">
        <v>16</v>
      </c>
      <c r="L2046" s="26">
        <v>3500</v>
      </c>
      <c r="M2046" s="26">
        <v>120</v>
      </c>
      <c r="N2046" s="25">
        <f t="shared" si="63"/>
        <v>420000</v>
      </c>
      <c r="O2046" s="56">
        <v>160</v>
      </c>
    </row>
    <row r="2047" spans="1:15" hidden="1" x14ac:dyDescent="0.3">
      <c r="A2047" s="26">
        <v>30</v>
      </c>
      <c r="B2047" s="20" t="str">
        <f t="shared" si="62"/>
        <v>JUL</v>
      </c>
      <c r="C2047" s="21">
        <v>46229</v>
      </c>
      <c r="D2047" s="22" t="str">
        <f t="array" ref="D2047">IFERROR(INDEX('Kode Outlet dan Target Toko'!$A:$A,MATCH($I2047,'Kode Outlet dan Target Toko'!$E:$E,0)),"")</f>
        <v>GRSM 4</v>
      </c>
      <c r="E2047" s="20" t="str">
        <f>IFERROR(VLOOKUP(I2047,KET!$B:$F,4,0),"")</f>
        <v>FAHMI LUKMANUL HAKIM</v>
      </c>
      <c r="F2047" s="20" t="str">
        <f>IFERROR(VLOOKUP(I2047,KET!$B:$F,5,0),"")</f>
        <v>GMM</v>
      </c>
      <c r="G2047" s="20">
        <f>IFERROR(INDEX('Kode Outlet dan Target Toko'!$C:$C,MATCH($I2047,'Kode Outlet dan Target Toko'!$E:$E,0)),0)</f>
        <v>189901</v>
      </c>
      <c r="H2047" s="20">
        <f>IFERROR(INDEX('Kode Outlet dan Target Toko'!$D:$D,MATCH($I2047,'Kode Outlet dan Target Toko'!$E:$E,0)),0)</f>
        <v>1602018</v>
      </c>
      <c r="I2047" s="50" t="s">
        <v>34</v>
      </c>
      <c r="J2047" s="56" t="s">
        <v>186</v>
      </c>
      <c r="K2047" s="40" t="s">
        <v>13</v>
      </c>
      <c r="L2047" s="26">
        <v>3500</v>
      </c>
      <c r="M2047" s="26">
        <v>55</v>
      </c>
      <c r="N2047" s="25">
        <f t="shared" si="63"/>
        <v>192500</v>
      </c>
      <c r="O2047" s="56"/>
    </row>
    <row r="2048" spans="1:15" hidden="1" x14ac:dyDescent="0.3">
      <c r="A2048" s="26">
        <v>30</v>
      </c>
      <c r="B2048" s="20" t="str">
        <f t="shared" si="62"/>
        <v>JUL</v>
      </c>
      <c r="C2048" s="21">
        <v>46229</v>
      </c>
      <c r="D2048" s="22" t="str">
        <f t="array" ref="D2048">IFERROR(INDEX('Kode Outlet dan Target Toko'!$A:$A,MATCH($I2048,'Kode Outlet dan Target Toko'!$E:$E,0)),"")</f>
        <v>GRSM 4</v>
      </c>
      <c r="E2048" s="20" t="str">
        <f>IFERROR(VLOOKUP(I2048,KET!$B:$F,4,0),"")</f>
        <v>FAHMI LUKMANUL HAKIM</v>
      </c>
      <c r="F2048" s="20" t="str">
        <f>IFERROR(VLOOKUP(I2048,KET!$B:$F,5,0),"")</f>
        <v>GMM</v>
      </c>
      <c r="G2048" s="20">
        <f>IFERROR(INDEX('Kode Outlet dan Target Toko'!$C:$C,MATCH($I2048,'Kode Outlet dan Target Toko'!$E:$E,0)),0)</f>
        <v>189901</v>
      </c>
      <c r="H2048" s="20">
        <f>IFERROR(INDEX('Kode Outlet dan Target Toko'!$D:$D,MATCH($I2048,'Kode Outlet dan Target Toko'!$E:$E,0)),0)</f>
        <v>1602018</v>
      </c>
      <c r="I2048" s="50" t="s">
        <v>34</v>
      </c>
      <c r="J2048" s="56" t="s">
        <v>186</v>
      </c>
      <c r="K2048" s="40" t="s">
        <v>14</v>
      </c>
      <c r="L2048" s="26">
        <v>3500</v>
      </c>
      <c r="M2048" s="26">
        <v>97</v>
      </c>
      <c r="N2048" s="25">
        <f t="shared" si="63"/>
        <v>339500</v>
      </c>
      <c r="O2048" s="56"/>
    </row>
    <row r="2049" spans="1:15" hidden="1" x14ac:dyDescent="0.3">
      <c r="A2049" s="26">
        <v>30</v>
      </c>
      <c r="B2049" s="20" t="str">
        <f t="shared" si="62"/>
        <v>JUL</v>
      </c>
      <c r="C2049" s="21">
        <v>46229</v>
      </c>
      <c r="D2049" s="22" t="str">
        <f t="array" ref="D2049">IFERROR(INDEX('Kode Outlet dan Target Toko'!$A:$A,MATCH($I2049,'Kode Outlet dan Target Toko'!$E:$E,0)),"")</f>
        <v>GRSM 4</v>
      </c>
      <c r="E2049" s="20" t="str">
        <f>IFERROR(VLOOKUP(I2049,KET!$B:$F,4,0),"")</f>
        <v>FAHMI LUKMANUL HAKIM</v>
      </c>
      <c r="F2049" s="20" t="str">
        <f>IFERROR(VLOOKUP(I2049,KET!$B:$F,5,0),"")</f>
        <v>GMM</v>
      </c>
      <c r="G2049" s="20">
        <f>IFERROR(INDEX('Kode Outlet dan Target Toko'!$C:$C,MATCH($I2049,'Kode Outlet dan Target Toko'!$E:$E,0)),0)</f>
        <v>189901</v>
      </c>
      <c r="H2049" s="20">
        <f>IFERROR(INDEX('Kode Outlet dan Target Toko'!$D:$D,MATCH($I2049,'Kode Outlet dan Target Toko'!$E:$E,0)),0)</f>
        <v>1602018</v>
      </c>
      <c r="I2049" s="50" t="s">
        <v>34</v>
      </c>
      <c r="J2049" s="56" t="s">
        <v>186</v>
      </c>
      <c r="K2049" s="40" t="s">
        <v>15</v>
      </c>
      <c r="L2049" s="26">
        <v>3500</v>
      </c>
      <c r="M2049" s="26">
        <v>65</v>
      </c>
      <c r="N2049" s="25">
        <f t="shared" si="63"/>
        <v>227500</v>
      </c>
      <c r="O2049" s="56"/>
    </row>
    <row r="2050" spans="1:15" hidden="1" x14ac:dyDescent="0.3">
      <c r="A2050" s="26">
        <v>30</v>
      </c>
      <c r="B2050" s="20" t="str">
        <f t="shared" si="62"/>
        <v>JUL</v>
      </c>
      <c r="C2050" s="21">
        <v>46229</v>
      </c>
      <c r="D2050" s="22" t="str">
        <f t="array" ref="D2050">IFERROR(INDEX('Kode Outlet dan Target Toko'!$A:$A,MATCH($I2050,'Kode Outlet dan Target Toko'!$E:$E,0)),"")</f>
        <v>GRSM 4</v>
      </c>
      <c r="E2050" s="20" t="str">
        <f>IFERROR(VLOOKUP(I2050,KET!$B:$F,4,0),"")</f>
        <v>FAHMI LUKMANUL HAKIM</v>
      </c>
      <c r="F2050" s="20" t="str">
        <f>IFERROR(VLOOKUP(I2050,KET!$B:$F,5,0),"")</f>
        <v>GMM</v>
      </c>
      <c r="G2050" s="20">
        <f>IFERROR(INDEX('Kode Outlet dan Target Toko'!$C:$C,MATCH($I2050,'Kode Outlet dan Target Toko'!$E:$E,0)),0)</f>
        <v>189901</v>
      </c>
      <c r="H2050" s="20">
        <f>IFERROR(INDEX('Kode Outlet dan Target Toko'!$D:$D,MATCH($I2050,'Kode Outlet dan Target Toko'!$E:$E,0)),0)</f>
        <v>1602018</v>
      </c>
      <c r="I2050" s="50" t="s">
        <v>34</v>
      </c>
      <c r="J2050" s="56" t="s">
        <v>186</v>
      </c>
      <c r="K2050" s="40" t="s">
        <v>16</v>
      </c>
      <c r="L2050" s="26">
        <v>3500</v>
      </c>
      <c r="M2050" s="26">
        <v>120</v>
      </c>
      <c r="N2050" s="25">
        <f t="shared" si="63"/>
        <v>420000</v>
      </c>
      <c r="O2050" s="56">
        <v>160</v>
      </c>
    </row>
    <row r="2051" spans="1:15" hidden="1" x14ac:dyDescent="0.3">
      <c r="A2051" s="26">
        <v>30</v>
      </c>
      <c r="B2051" s="20" t="str">
        <f t="shared" si="62"/>
        <v>JUL</v>
      </c>
      <c r="C2051" s="21">
        <v>46229</v>
      </c>
      <c r="D2051" s="22" t="str">
        <f t="array" ref="D2051">IFERROR(INDEX('Kode Outlet dan Target Toko'!$A:$A,MATCH($I2051,'Kode Outlet dan Target Toko'!$E:$E,0)),"")</f>
        <v>GRSM 4</v>
      </c>
      <c r="E2051" s="20" t="str">
        <f>IFERROR(VLOOKUP(I2051,KET!$B:$F,4,0),"")</f>
        <v>FAHMI LUKMANUL HAKIM</v>
      </c>
      <c r="F2051" s="20" t="str">
        <f>IFERROR(VLOOKUP(I2051,KET!$B:$F,5,0),"")</f>
        <v>GMM</v>
      </c>
      <c r="G2051" s="20">
        <f>IFERROR(INDEX('Kode Outlet dan Target Toko'!$C:$C,MATCH($I2051,'Kode Outlet dan Target Toko'!$E:$E,0)),0)</f>
        <v>103257</v>
      </c>
      <c r="H2051" s="20">
        <f>IFERROR(INDEX('Kode Outlet dan Target Toko'!$D:$D,MATCH($I2051,'Kode Outlet dan Target Toko'!$E:$E,0)),0)</f>
        <v>9162509</v>
      </c>
      <c r="I2051" s="42" t="s">
        <v>57</v>
      </c>
      <c r="J2051" s="56" t="s">
        <v>287</v>
      </c>
      <c r="K2051" s="40" t="s">
        <v>13</v>
      </c>
      <c r="L2051" s="26">
        <v>3100</v>
      </c>
      <c r="M2051" s="26">
        <v>40</v>
      </c>
      <c r="N2051" s="25">
        <f t="shared" si="63"/>
        <v>124000</v>
      </c>
      <c r="O2051" s="56"/>
    </row>
    <row r="2052" spans="1:15" hidden="1" x14ac:dyDescent="0.3">
      <c r="A2052" s="26">
        <v>30</v>
      </c>
      <c r="B2052" s="20" t="str">
        <f t="shared" si="62"/>
        <v>JUL</v>
      </c>
      <c r="C2052" s="21">
        <v>46229</v>
      </c>
      <c r="D2052" s="22" t="str">
        <f t="array" ref="D2052">IFERROR(INDEX('Kode Outlet dan Target Toko'!$A:$A,MATCH($I2052,'Kode Outlet dan Target Toko'!$E:$E,0)),"")</f>
        <v>GRSM 4</v>
      </c>
      <c r="E2052" s="20" t="str">
        <f>IFERROR(VLOOKUP(I2052,KET!$B:$F,4,0),"")</f>
        <v>FAHMI LUKMANUL HAKIM</v>
      </c>
      <c r="F2052" s="20" t="str">
        <f>IFERROR(VLOOKUP(I2052,KET!$B:$F,5,0),"")</f>
        <v>GMM</v>
      </c>
      <c r="G2052" s="20">
        <f>IFERROR(INDEX('Kode Outlet dan Target Toko'!$C:$C,MATCH($I2052,'Kode Outlet dan Target Toko'!$E:$E,0)),0)</f>
        <v>103257</v>
      </c>
      <c r="H2052" s="20">
        <f>IFERROR(INDEX('Kode Outlet dan Target Toko'!$D:$D,MATCH($I2052,'Kode Outlet dan Target Toko'!$E:$E,0)),0)</f>
        <v>9162509</v>
      </c>
      <c r="I2052" s="42" t="s">
        <v>57</v>
      </c>
      <c r="J2052" s="56" t="s">
        <v>287</v>
      </c>
      <c r="K2052" s="40" t="s">
        <v>14</v>
      </c>
      <c r="L2052" s="26">
        <v>3100</v>
      </c>
      <c r="M2052" s="26">
        <v>40</v>
      </c>
      <c r="N2052" s="25">
        <f t="shared" si="63"/>
        <v>124000</v>
      </c>
      <c r="O2052" s="56"/>
    </row>
    <row r="2053" spans="1:15" hidden="1" x14ac:dyDescent="0.3">
      <c r="A2053" s="26">
        <v>30</v>
      </c>
      <c r="B2053" s="20" t="str">
        <f t="shared" si="62"/>
        <v>JUL</v>
      </c>
      <c r="C2053" s="21">
        <v>46229</v>
      </c>
      <c r="D2053" s="22" t="str">
        <f t="array" ref="D2053">IFERROR(INDEX('Kode Outlet dan Target Toko'!$A:$A,MATCH($I2053,'Kode Outlet dan Target Toko'!$E:$E,0)),"")</f>
        <v>GRSM 4</v>
      </c>
      <c r="E2053" s="20" t="str">
        <f>IFERROR(VLOOKUP(I2053,KET!$B:$F,4,0),"")</f>
        <v>FAHMI LUKMANUL HAKIM</v>
      </c>
      <c r="F2053" s="20" t="str">
        <f>IFERROR(VLOOKUP(I2053,KET!$B:$F,5,0),"")</f>
        <v>GMM</v>
      </c>
      <c r="G2053" s="20">
        <f>IFERROR(INDEX('Kode Outlet dan Target Toko'!$C:$C,MATCH($I2053,'Kode Outlet dan Target Toko'!$E:$E,0)),0)</f>
        <v>103257</v>
      </c>
      <c r="H2053" s="20">
        <f>IFERROR(INDEX('Kode Outlet dan Target Toko'!$D:$D,MATCH($I2053,'Kode Outlet dan Target Toko'!$E:$E,0)),0)</f>
        <v>9162509</v>
      </c>
      <c r="I2053" s="42" t="s">
        <v>57</v>
      </c>
      <c r="J2053" s="56" t="s">
        <v>287</v>
      </c>
      <c r="K2053" s="40" t="s">
        <v>15</v>
      </c>
      <c r="L2053" s="26">
        <v>3100</v>
      </c>
      <c r="M2053" s="26">
        <v>30</v>
      </c>
      <c r="N2053" s="25">
        <f t="shared" si="63"/>
        <v>93000</v>
      </c>
      <c r="O2053" s="56"/>
    </row>
    <row r="2054" spans="1:15" hidden="1" x14ac:dyDescent="0.3">
      <c r="A2054" s="26">
        <v>30</v>
      </c>
      <c r="B2054" s="20" t="str">
        <f t="shared" si="62"/>
        <v>JUL</v>
      </c>
      <c r="C2054" s="21">
        <v>46229</v>
      </c>
      <c r="D2054" s="22" t="str">
        <f t="array" ref="D2054">IFERROR(INDEX('Kode Outlet dan Target Toko'!$A:$A,MATCH($I2054,'Kode Outlet dan Target Toko'!$E:$E,0)),"")</f>
        <v>GRSM 4</v>
      </c>
      <c r="E2054" s="20" t="str">
        <f>IFERROR(VLOOKUP(I2054,KET!$B:$F,4,0),"")</f>
        <v>FAHMI LUKMANUL HAKIM</v>
      </c>
      <c r="F2054" s="20" t="str">
        <f>IFERROR(VLOOKUP(I2054,KET!$B:$F,5,0),"")</f>
        <v>GMM</v>
      </c>
      <c r="G2054" s="20">
        <f>IFERROR(INDEX('Kode Outlet dan Target Toko'!$C:$C,MATCH($I2054,'Kode Outlet dan Target Toko'!$E:$E,0)),0)</f>
        <v>103257</v>
      </c>
      <c r="H2054" s="20">
        <f>IFERROR(INDEX('Kode Outlet dan Target Toko'!$D:$D,MATCH($I2054,'Kode Outlet dan Target Toko'!$E:$E,0)),0)</f>
        <v>9162509</v>
      </c>
      <c r="I2054" s="42" t="s">
        <v>57</v>
      </c>
      <c r="J2054" s="56" t="s">
        <v>287</v>
      </c>
      <c r="K2054" s="40" t="s">
        <v>16</v>
      </c>
      <c r="L2054" s="26">
        <v>3100</v>
      </c>
      <c r="M2054" s="26">
        <v>35</v>
      </c>
      <c r="N2054" s="25">
        <f t="shared" si="63"/>
        <v>108500</v>
      </c>
      <c r="O2054" s="56">
        <v>160</v>
      </c>
    </row>
    <row r="2055" spans="1:15" hidden="1" x14ac:dyDescent="0.3">
      <c r="A2055" s="26">
        <v>30</v>
      </c>
      <c r="B2055" s="20" t="str">
        <f t="shared" ref="B2055:B2118" si="64">IF(C2055="","",UPPER(TEXT(C2055, "MMM")))</f>
        <v>JUL</v>
      </c>
      <c r="C2055" s="21">
        <v>46229</v>
      </c>
      <c r="D2055" s="22" t="str">
        <f t="array" ref="D2055">IFERROR(INDEX('Kode Outlet dan Target Toko'!$A:$A,MATCH($I2055,'Kode Outlet dan Target Toko'!$E:$E,0)),"")</f>
        <v>GRSM 4</v>
      </c>
      <c r="E2055" s="20" t="str">
        <f>IFERROR(VLOOKUP(I2055,KET!$B:$F,4,0),"")</f>
        <v>FAHMI LUKMANUL HAKIM</v>
      </c>
      <c r="F2055" s="20" t="str">
        <f>IFERROR(VLOOKUP(I2055,KET!$B:$F,5,0),"")</f>
        <v>GMM</v>
      </c>
      <c r="G2055" s="20">
        <f>IFERROR(INDEX('Kode Outlet dan Target Toko'!$C:$C,MATCH($I2055,'Kode Outlet dan Target Toko'!$E:$E,0)),0)</f>
        <v>103257</v>
      </c>
      <c r="H2055" s="20">
        <f>IFERROR(INDEX('Kode Outlet dan Target Toko'!$D:$D,MATCH($I2055,'Kode Outlet dan Target Toko'!$E:$E,0)),0)</f>
        <v>9162509</v>
      </c>
      <c r="I2055" s="42" t="s">
        <v>57</v>
      </c>
      <c r="J2055" s="56" t="s">
        <v>286</v>
      </c>
      <c r="K2055" s="40" t="s">
        <v>13</v>
      </c>
      <c r="L2055" s="26">
        <v>3100</v>
      </c>
      <c r="M2055" s="26">
        <v>40</v>
      </c>
      <c r="N2055" s="25">
        <f t="shared" ref="N2055:N2118" si="65">IFERROR(M2055*L2055,"")</f>
        <v>124000</v>
      </c>
      <c r="O2055" s="56"/>
    </row>
    <row r="2056" spans="1:15" hidden="1" x14ac:dyDescent="0.3">
      <c r="A2056" s="26">
        <v>30</v>
      </c>
      <c r="B2056" s="20" t="str">
        <f t="shared" si="64"/>
        <v>JUL</v>
      </c>
      <c r="C2056" s="21">
        <v>46229</v>
      </c>
      <c r="D2056" s="22" t="str">
        <f t="array" ref="D2056">IFERROR(INDEX('Kode Outlet dan Target Toko'!$A:$A,MATCH($I2056,'Kode Outlet dan Target Toko'!$E:$E,0)),"")</f>
        <v>GRSM 4</v>
      </c>
      <c r="E2056" s="20" t="str">
        <f>IFERROR(VLOOKUP(I2056,KET!$B:$F,4,0),"")</f>
        <v>FAHMI LUKMANUL HAKIM</v>
      </c>
      <c r="F2056" s="20" t="str">
        <f>IFERROR(VLOOKUP(I2056,KET!$B:$F,5,0),"")</f>
        <v>GMM</v>
      </c>
      <c r="G2056" s="20">
        <f>IFERROR(INDEX('Kode Outlet dan Target Toko'!$C:$C,MATCH($I2056,'Kode Outlet dan Target Toko'!$E:$E,0)),0)</f>
        <v>103257</v>
      </c>
      <c r="H2056" s="20">
        <f>IFERROR(INDEX('Kode Outlet dan Target Toko'!$D:$D,MATCH($I2056,'Kode Outlet dan Target Toko'!$E:$E,0)),0)</f>
        <v>9162509</v>
      </c>
      <c r="I2056" s="42" t="s">
        <v>57</v>
      </c>
      <c r="J2056" s="56" t="s">
        <v>286</v>
      </c>
      <c r="K2056" s="40" t="s">
        <v>14</v>
      </c>
      <c r="L2056" s="26">
        <v>3100</v>
      </c>
      <c r="M2056" s="26">
        <v>40</v>
      </c>
      <c r="N2056" s="25">
        <f t="shared" si="65"/>
        <v>124000</v>
      </c>
      <c r="O2056" s="56"/>
    </row>
    <row r="2057" spans="1:15" hidden="1" x14ac:dyDescent="0.3">
      <c r="A2057" s="26">
        <v>30</v>
      </c>
      <c r="B2057" s="20" t="str">
        <f t="shared" si="64"/>
        <v>JUL</v>
      </c>
      <c r="C2057" s="21">
        <v>46229</v>
      </c>
      <c r="D2057" s="22" t="str">
        <f t="array" ref="D2057">IFERROR(INDEX('Kode Outlet dan Target Toko'!$A:$A,MATCH($I2057,'Kode Outlet dan Target Toko'!$E:$E,0)),"")</f>
        <v>GRSM 4</v>
      </c>
      <c r="E2057" s="20" t="str">
        <f>IFERROR(VLOOKUP(I2057,KET!$B:$F,4,0),"")</f>
        <v>FAHMI LUKMANUL HAKIM</v>
      </c>
      <c r="F2057" s="20" t="str">
        <f>IFERROR(VLOOKUP(I2057,KET!$B:$F,5,0),"")</f>
        <v>GMM</v>
      </c>
      <c r="G2057" s="20">
        <f>IFERROR(INDEX('Kode Outlet dan Target Toko'!$C:$C,MATCH($I2057,'Kode Outlet dan Target Toko'!$E:$E,0)),0)</f>
        <v>103257</v>
      </c>
      <c r="H2057" s="20">
        <f>IFERROR(INDEX('Kode Outlet dan Target Toko'!$D:$D,MATCH($I2057,'Kode Outlet dan Target Toko'!$E:$E,0)),0)</f>
        <v>9162509</v>
      </c>
      <c r="I2057" s="42" t="s">
        <v>57</v>
      </c>
      <c r="J2057" s="56" t="s">
        <v>286</v>
      </c>
      <c r="K2057" s="40" t="s">
        <v>15</v>
      </c>
      <c r="L2057" s="26">
        <v>3100</v>
      </c>
      <c r="M2057" s="26">
        <v>30</v>
      </c>
      <c r="N2057" s="25">
        <f t="shared" si="65"/>
        <v>93000</v>
      </c>
      <c r="O2057" s="56"/>
    </row>
    <row r="2058" spans="1:15" hidden="1" x14ac:dyDescent="0.3">
      <c r="A2058" s="26">
        <v>30</v>
      </c>
      <c r="B2058" s="20" t="str">
        <f t="shared" si="64"/>
        <v>JUL</v>
      </c>
      <c r="C2058" s="21">
        <v>46229</v>
      </c>
      <c r="D2058" s="22" t="str">
        <f t="array" ref="D2058">IFERROR(INDEX('Kode Outlet dan Target Toko'!$A:$A,MATCH($I2058,'Kode Outlet dan Target Toko'!$E:$E,0)),"")</f>
        <v>GRSM 4</v>
      </c>
      <c r="E2058" s="20" t="str">
        <f>IFERROR(VLOOKUP(I2058,KET!$B:$F,4,0),"")</f>
        <v>FAHMI LUKMANUL HAKIM</v>
      </c>
      <c r="F2058" s="20" t="str">
        <f>IFERROR(VLOOKUP(I2058,KET!$B:$F,5,0),"")</f>
        <v>GMM</v>
      </c>
      <c r="G2058" s="20">
        <f>IFERROR(INDEX('Kode Outlet dan Target Toko'!$C:$C,MATCH($I2058,'Kode Outlet dan Target Toko'!$E:$E,0)),0)</f>
        <v>103257</v>
      </c>
      <c r="H2058" s="20">
        <f>IFERROR(INDEX('Kode Outlet dan Target Toko'!$D:$D,MATCH($I2058,'Kode Outlet dan Target Toko'!$E:$E,0)),0)</f>
        <v>9162509</v>
      </c>
      <c r="I2058" s="42" t="s">
        <v>57</v>
      </c>
      <c r="J2058" s="56" t="s">
        <v>286</v>
      </c>
      <c r="K2058" s="40" t="s">
        <v>16</v>
      </c>
      <c r="L2058" s="26">
        <v>3100</v>
      </c>
      <c r="M2058" s="26">
        <v>45</v>
      </c>
      <c r="N2058" s="25">
        <f t="shared" si="65"/>
        <v>139500</v>
      </c>
      <c r="O2058" s="56">
        <v>160</v>
      </c>
    </row>
    <row r="2059" spans="1:15" hidden="1" x14ac:dyDescent="0.3">
      <c r="A2059" s="26">
        <v>30</v>
      </c>
      <c r="B2059" s="20" t="str">
        <f t="shared" si="64"/>
        <v>JUL</v>
      </c>
      <c r="C2059" s="21">
        <v>46229</v>
      </c>
      <c r="D2059" s="22" t="str">
        <f t="array" ref="D2059">IFERROR(INDEX('Kode Outlet dan Target Toko'!$A:$A,MATCH($I2059,'Kode Outlet dan Target Toko'!$E:$E,0)),"")</f>
        <v>GRSM 4</v>
      </c>
      <c r="E2059" s="20" t="str">
        <f>IFERROR(VLOOKUP(I2059,KET!$B:$F,4,0),"")</f>
        <v>FAHMI LUKMANUL HAKIM</v>
      </c>
      <c r="F2059" s="20" t="str">
        <f>IFERROR(VLOOKUP(I2059,KET!$B:$F,5,0),"")</f>
        <v>GMM</v>
      </c>
      <c r="G2059" s="20">
        <f>IFERROR(INDEX('Kode Outlet dan Target Toko'!$C:$C,MATCH($I2059,'Kode Outlet dan Target Toko'!$E:$E,0)),0)</f>
        <v>103277</v>
      </c>
      <c r="H2059" s="20">
        <f>IFERROR(INDEX('Kode Outlet dan Target Toko'!$D:$D,MATCH($I2059,'Kode Outlet dan Target Toko'!$E:$E,0)),0)</f>
        <v>6300700</v>
      </c>
      <c r="I2059" s="42" t="s">
        <v>30</v>
      </c>
      <c r="J2059" s="56" t="s">
        <v>183</v>
      </c>
      <c r="K2059" s="40" t="s">
        <v>13</v>
      </c>
      <c r="L2059" s="26">
        <v>3000</v>
      </c>
      <c r="M2059" s="26">
        <v>129</v>
      </c>
      <c r="N2059" s="25">
        <f t="shared" si="65"/>
        <v>387000</v>
      </c>
      <c r="O2059" s="56"/>
    </row>
    <row r="2060" spans="1:15" hidden="1" x14ac:dyDescent="0.3">
      <c r="A2060" s="26">
        <v>30</v>
      </c>
      <c r="B2060" s="20" t="str">
        <f t="shared" si="64"/>
        <v>JUL</v>
      </c>
      <c r="C2060" s="21">
        <v>46229</v>
      </c>
      <c r="D2060" s="22" t="str">
        <f t="array" ref="D2060">IFERROR(INDEX('Kode Outlet dan Target Toko'!$A:$A,MATCH($I2060,'Kode Outlet dan Target Toko'!$E:$E,0)),"")</f>
        <v>GRSM 4</v>
      </c>
      <c r="E2060" s="20" t="str">
        <f>IFERROR(VLOOKUP(I2060,KET!$B:$F,4,0),"")</f>
        <v>FAHMI LUKMANUL HAKIM</v>
      </c>
      <c r="F2060" s="20" t="str">
        <f>IFERROR(VLOOKUP(I2060,KET!$B:$F,5,0),"")</f>
        <v>GMM</v>
      </c>
      <c r="G2060" s="20">
        <f>IFERROR(INDEX('Kode Outlet dan Target Toko'!$C:$C,MATCH($I2060,'Kode Outlet dan Target Toko'!$E:$E,0)),0)</f>
        <v>103277</v>
      </c>
      <c r="H2060" s="20">
        <f>IFERROR(INDEX('Kode Outlet dan Target Toko'!$D:$D,MATCH($I2060,'Kode Outlet dan Target Toko'!$E:$E,0)),0)</f>
        <v>6300700</v>
      </c>
      <c r="I2060" s="42" t="s">
        <v>30</v>
      </c>
      <c r="J2060" s="56" t="s">
        <v>183</v>
      </c>
      <c r="K2060" s="40" t="s">
        <v>14</v>
      </c>
      <c r="L2060" s="26">
        <v>3000</v>
      </c>
      <c r="M2060" s="26">
        <v>82</v>
      </c>
      <c r="N2060" s="25">
        <f t="shared" si="65"/>
        <v>246000</v>
      </c>
      <c r="O2060" s="56"/>
    </row>
    <row r="2061" spans="1:15" hidden="1" x14ac:dyDescent="0.3">
      <c r="A2061" s="26">
        <v>30</v>
      </c>
      <c r="B2061" s="20" t="str">
        <f t="shared" si="64"/>
        <v>JUL</v>
      </c>
      <c r="C2061" s="21">
        <v>46229</v>
      </c>
      <c r="D2061" s="22" t="str">
        <f t="array" ref="D2061">IFERROR(INDEX('Kode Outlet dan Target Toko'!$A:$A,MATCH($I2061,'Kode Outlet dan Target Toko'!$E:$E,0)),"")</f>
        <v>GRSM 4</v>
      </c>
      <c r="E2061" s="20" t="str">
        <f>IFERROR(VLOOKUP(I2061,KET!$B:$F,4,0),"")</f>
        <v>FAHMI LUKMANUL HAKIM</v>
      </c>
      <c r="F2061" s="20" t="str">
        <f>IFERROR(VLOOKUP(I2061,KET!$B:$F,5,0),"")</f>
        <v>GMM</v>
      </c>
      <c r="G2061" s="20">
        <f>IFERROR(INDEX('Kode Outlet dan Target Toko'!$C:$C,MATCH($I2061,'Kode Outlet dan Target Toko'!$E:$E,0)),0)</f>
        <v>103277</v>
      </c>
      <c r="H2061" s="20">
        <f>IFERROR(INDEX('Kode Outlet dan Target Toko'!$D:$D,MATCH($I2061,'Kode Outlet dan Target Toko'!$E:$E,0)),0)</f>
        <v>6300700</v>
      </c>
      <c r="I2061" s="42" t="s">
        <v>30</v>
      </c>
      <c r="J2061" s="56" t="s">
        <v>183</v>
      </c>
      <c r="K2061" s="40" t="s">
        <v>15</v>
      </c>
      <c r="L2061" s="26">
        <v>3000</v>
      </c>
      <c r="M2061" s="26">
        <v>105</v>
      </c>
      <c r="N2061" s="25">
        <f t="shared" si="65"/>
        <v>315000</v>
      </c>
      <c r="O2061" s="56"/>
    </row>
    <row r="2062" spans="1:15" hidden="1" x14ac:dyDescent="0.3">
      <c r="A2062" s="26">
        <v>30</v>
      </c>
      <c r="B2062" s="20" t="str">
        <f t="shared" si="64"/>
        <v>JUL</v>
      </c>
      <c r="C2062" s="21">
        <v>46229</v>
      </c>
      <c r="D2062" s="22" t="str">
        <f t="array" ref="D2062">IFERROR(INDEX('Kode Outlet dan Target Toko'!$A:$A,MATCH($I2062,'Kode Outlet dan Target Toko'!$E:$E,0)),"")</f>
        <v>GRSM 4</v>
      </c>
      <c r="E2062" s="20" t="str">
        <f>IFERROR(VLOOKUP(I2062,KET!$B:$F,4,0),"")</f>
        <v>FAHMI LUKMANUL HAKIM</v>
      </c>
      <c r="F2062" s="20" t="str">
        <f>IFERROR(VLOOKUP(I2062,KET!$B:$F,5,0),"")</f>
        <v>GMM</v>
      </c>
      <c r="G2062" s="20">
        <f>IFERROR(INDEX('Kode Outlet dan Target Toko'!$C:$C,MATCH($I2062,'Kode Outlet dan Target Toko'!$E:$E,0)),0)</f>
        <v>103277</v>
      </c>
      <c r="H2062" s="20">
        <f>IFERROR(INDEX('Kode Outlet dan Target Toko'!$D:$D,MATCH($I2062,'Kode Outlet dan Target Toko'!$E:$E,0)),0)</f>
        <v>6300700</v>
      </c>
      <c r="I2062" s="42" t="s">
        <v>30</v>
      </c>
      <c r="J2062" s="56" t="s">
        <v>183</v>
      </c>
      <c r="K2062" s="40" t="s">
        <v>16</v>
      </c>
      <c r="L2062" s="26">
        <v>3000</v>
      </c>
      <c r="M2062" s="26">
        <v>0</v>
      </c>
      <c r="N2062" s="25">
        <f t="shared" si="65"/>
        <v>0</v>
      </c>
      <c r="O2062" s="56">
        <v>160</v>
      </c>
    </row>
    <row r="2063" spans="1:15" hidden="1" x14ac:dyDescent="0.3">
      <c r="A2063" s="26">
        <v>30</v>
      </c>
      <c r="B2063" s="20" t="str">
        <f t="shared" si="64"/>
        <v>JUL</v>
      </c>
      <c r="C2063" s="21">
        <v>46229</v>
      </c>
      <c r="D2063" s="22" t="str">
        <f t="array" ref="D2063">IFERROR(INDEX('Kode Outlet dan Target Toko'!$A:$A,MATCH($I2063,'Kode Outlet dan Target Toko'!$E:$E,0)),"")</f>
        <v>GRSM 4</v>
      </c>
      <c r="E2063" s="20" t="str">
        <f>IFERROR(VLOOKUP(I2063,KET!$B:$F,4,0),"")</f>
        <v>FAHMI LUKMANUL HAKIM</v>
      </c>
      <c r="F2063" s="20" t="str">
        <f>IFERROR(VLOOKUP(I2063,KET!$B:$F,5,0),"")</f>
        <v>GMM</v>
      </c>
      <c r="G2063" s="20">
        <f>IFERROR(INDEX('Kode Outlet dan Target Toko'!$C:$C,MATCH($I2063,'Kode Outlet dan Target Toko'!$E:$E,0)),0)</f>
        <v>189901</v>
      </c>
      <c r="H2063" s="20">
        <f>IFERROR(INDEX('Kode Outlet dan Target Toko'!$D:$D,MATCH($I2063,'Kode Outlet dan Target Toko'!$E:$E,0)),0)</f>
        <v>1602016</v>
      </c>
      <c r="I2063" s="42" t="s">
        <v>35</v>
      </c>
      <c r="J2063" s="56" t="s">
        <v>172</v>
      </c>
      <c r="K2063" s="40" t="s">
        <v>13</v>
      </c>
      <c r="L2063" s="26">
        <v>3400</v>
      </c>
      <c r="M2063" s="26">
        <v>90</v>
      </c>
      <c r="N2063" s="25">
        <f t="shared" si="65"/>
        <v>306000</v>
      </c>
      <c r="O2063" s="56"/>
    </row>
    <row r="2064" spans="1:15" hidden="1" x14ac:dyDescent="0.3">
      <c r="A2064" s="26">
        <v>30</v>
      </c>
      <c r="B2064" s="20" t="str">
        <f t="shared" si="64"/>
        <v>JUL</v>
      </c>
      <c r="C2064" s="21">
        <v>46229</v>
      </c>
      <c r="D2064" s="22" t="str">
        <f t="array" ref="D2064">IFERROR(INDEX('Kode Outlet dan Target Toko'!$A:$A,MATCH($I2064,'Kode Outlet dan Target Toko'!$E:$E,0)),"")</f>
        <v>GRSM 4</v>
      </c>
      <c r="E2064" s="20" t="str">
        <f>IFERROR(VLOOKUP(I2064,KET!$B:$F,4,0),"")</f>
        <v>FAHMI LUKMANUL HAKIM</v>
      </c>
      <c r="F2064" s="20" t="str">
        <f>IFERROR(VLOOKUP(I2064,KET!$B:$F,5,0),"")</f>
        <v>GMM</v>
      </c>
      <c r="G2064" s="20">
        <f>IFERROR(INDEX('Kode Outlet dan Target Toko'!$C:$C,MATCH($I2064,'Kode Outlet dan Target Toko'!$E:$E,0)),0)</f>
        <v>189901</v>
      </c>
      <c r="H2064" s="20">
        <f>IFERROR(INDEX('Kode Outlet dan Target Toko'!$D:$D,MATCH($I2064,'Kode Outlet dan Target Toko'!$E:$E,0)),0)</f>
        <v>1602016</v>
      </c>
      <c r="I2064" s="42" t="s">
        <v>35</v>
      </c>
      <c r="J2064" s="56" t="s">
        <v>172</v>
      </c>
      <c r="K2064" s="40" t="s">
        <v>14</v>
      </c>
      <c r="L2064" s="26">
        <v>3400</v>
      </c>
      <c r="M2064" s="26">
        <v>120</v>
      </c>
      <c r="N2064" s="25">
        <f t="shared" si="65"/>
        <v>408000</v>
      </c>
      <c r="O2064" s="56"/>
    </row>
    <row r="2065" spans="1:15" hidden="1" x14ac:dyDescent="0.3">
      <c r="A2065" s="26">
        <v>30</v>
      </c>
      <c r="B2065" s="20" t="str">
        <f t="shared" si="64"/>
        <v>JUL</v>
      </c>
      <c r="C2065" s="21">
        <v>46229</v>
      </c>
      <c r="D2065" s="22" t="str">
        <f t="array" ref="D2065">IFERROR(INDEX('Kode Outlet dan Target Toko'!$A:$A,MATCH($I2065,'Kode Outlet dan Target Toko'!$E:$E,0)),"")</f>
        <v>GRSM 4</v>
      </c>
      <c r="E2065" s="20" t="str">
        <f>IFERROR(VLOOKUP(I2065,KET!$B:$F,4,0),"")</f>
        <v>FAHMI LUKMANUL HAKIM</v>
      </c>
      <c r="F2065" s="20" t="str">
        <f>IFERROR(VLOOKUP(I2065,KET!$B:$F,5,0),"")</f>
        <v>GMM</v>
      </c>
      <c r="G2065" s="20">
        <f>IFERROR(INDEX('Kode Outlet dan Target Toko'!$C:$C,MATCH($I2065,'Kode Outlet dan Target Toko'!$E:$E,0)),0)</f>
        <v>189901</v>
      </c>
      <c r="H2065" s="20">
        <f>IFERROR(INDEX('Kode Outlet dan Target Toko'!$D:$D,MATCH($I2065,'Kode Outlet dan Target Toko'!$E:$E,0)),0)</f>
        <v>1602016</v>
      </c>
      <c r="I2065" s="42" t="s">
        <v>35</v>
      </c>
      <c r="J2065" s="56" t="s">
        <v>172</v>
      </c>
      <c r="K2065" s="40" t="s">
        <v>15</v>
      </c>
      <c r="L2065" s="26">
        <v>3400</v>
      </c>
      <c r="M2065" s="26">
        <v>100</v>
      </c>
      <c r="N2065" s="25">
        <f t="shared" si="65"/>
        <v>340000</v>
      </c>
      <c r="O2065" s="56"/>
    </row>
    <row r="2066" spans="1:15" hidden="1" x14ac:dyDescent="0.3">
      <c r="A2066" s="26">
        <v>30</v>
      </c>
      <c r="B2066" s="20" t="str">
        <f t="shared" si="64"/>
        <v>JUL</v>
      </c>
      <c r="C2066" s="21">
        <v>46229</v>
      </c>
      <c r="D2066" s="22" t="str">
        <f t="array" ref="D2066">IFERROR(INDEX('Kode Outlet dan Target Toko'!$A:$A,MATCH($I2066,'Kode Outlet dan Target Toko'!$E:$E,0)),"")</f>
        <v>GRSM 4</v>
      </c>
      <c r="E2066" s="20" t="str">
        <f>IFERROR(VLOOKUP(I2066,KET!$B:$F,4,0),"")</f>
        <v>FAHMI LUKMANUL HAKIM</v>
      </c>
      <c r="F2066" s="20" t="str">
        <f>IFERROR(VLOOKUP(I2066,KET!$B:$F,5,0),"")</f>
        <v>GMM</v>
      </c>
      <c r="G2066" s="20">
        <f>IFERROR(INDEX('Kode Outlet dan Target Toko'!$C:$C,MATCH($I2066,'Kode Outlet dan Target Toko'!$E:$E,0)),0)</f>
        <v>189901</v>
      </c>
      <c r="H2066" s="20">
        <f>IFERROR(INDEX('Kode Outlet dan Target Toko'!$D:$D,MATCH($I2066,'Kode Outlet dan Target Toko'!$E:$E,0)),0)</f>
        <v>1602016</v>
      </c>
      <c r="I2066" s="42" t="s">
        <v>35</v>
      </c>
      <c r="J2066" s="56" t="s">
        <v>172</v>
      </c>
      <c r="K2066" s="40" t="s">
        <v>16</v>
      </c>
      <c r="L2066" s="26">
        <v>3400</v>
      </c>
      <c r="M2066" s="26">
        <v>130</v>
      </c>
      <c r="N2066" s="25">
        <f t="shared" si="65"/>
        <v>442000</v>
      </c>
      <c r="O2066" s="56">
        <v>80</v>
      </c>
    </row>
    <row r="2067" spans="1:15" hidden="1" x14ac:dyDescent="0.3">
      <c r="A2067" s="26">
        <v>30</v>
      </c>
      <c r="B2067" s="20" t="str">
        <f t="shared" si="64"/>
        <v>JUL</v>
      </c>
      <c r="C2067" s="21">
        <v>46229</v>
      </c>
      <c r="D2067" s="22" t="str">
        <f t="array" ref="D2067">IFERROR(INDEX('Kode Outlet dan Target Toko'!$A:$A,MATCH($I2067,'Kode Outlet dan Target Toko'!$E:$E,0)),"")</f>
        <v>GRSM 4</v>
      </c>
      <c r="E2067" s="20" t="str">
        <f>IFERROR(VLOOKUP(I2067,KET!$B:$F,4,0),"")</f>
        <v>FAHMI LUKMANUL HAKIM</v>
      </c>
      <c r="F2067" s="20" t="str">
        <f>IFERROR(VLOOKUP(I2067,KET!$B:$F,5,0),"")</f>
        <v>GMM</v>
      </c>
      <c r="G2067" s="20">
        <f>IFERROR(INDEX('Kode Outlet dan Target Toko'!$C:$C,MATCH($I2067,'Kode Outlet dan Target Toko'!$E:$E,0)),0)</f>
        <v>189901</v>
      </c>
      <c r="H2067" s="20">
        <f>IFERROR(INDEX('Kode Outlet dan Target Toko'!$D:$D,MATCH($I2067,'Kode Outlet dan Target Toko'!$E:$E,0)),0)</f>
        <v>1602016</v>
      </c>
      <c r="I2067" s="42" t="s">
        <v>35</v>
      </c>
      <c r="J2067" s="56" t="s">
        <v>173</v>
      </c>
      <c r="K2067" s="40" t="s">
        <v>13</v>
      </c>
      <c r="L2067" s="26">
        <v>3400</v>
      </c>
      <c r="M2067" s="26">
        <v>90</v>
      </c>
      <c r="N2067" s="25">
        <f t="shared" si="65"/>
        <v>306000</v>
      </c>
      <c r="O2067" s="56"/>
    </row>
    <row r="2068" spans="1:15" hidden="1" x14ac:dyDescent="0.3">
      <c r="A2068" s="26">
        <v>30</v>
      </c>
      <c r="B2068" s="20" t="str">
        <f t="shared" si="64"/>
        <v>JUL</v>
      </c>
      <c r="C2068" s="21">
        <v>46229</v>
      </c>
      <c r="D2068" s="22" t="str">
        <f t="array" ref="D2068">IFERROR(INDEX('Kode Outlet dan Target Toko'!$A:$A,MATCH($I2068,'Kode Outlet dan Target Toko'!$E:$E,0)),"")</f>
        <v>GRSM 4</v>
      </c>
      <c r="E2068" s="20" t="str">
        <f>IFERROR(VLOOKUP(I2068,KET!$B:$F,4,0),"")</f>
        <v>FAHMI LUKMANUL HAKIM</v>
      </c>
      <c r="F2068" s="20" t="str">
        <f>IFERROR(VLOOKUP(I2068,KET!$B:$F,5,0),"")</f>
        <v>GMM</v>
      </c>
      <c r="G2068" s="20">
        <f>IFERROR(INDEX('Kode Outlet dan Target Toko'!$C:$C,MATCH($I2068,'Kode Outlet dan Target Toko'!$E:$E,0)),0)</f>
        <v>189901</v>
      </c>
      <c r="H2068" s="20">
        <f>IFERROR(INDEX('Kode Outlet dan Target Toko'!$D:$D,MATCH($I2068,'Kode Outlet dan Target Toko'!$E:$E,0)),0)</f>
        <v>1602016</v>
      </c>
      <c r="I2068" s="42" t="s">
        <v>35</v>
      </c>
      <c r="J2068" s="56" t="s">
        <v>173</v>
      </c>
      <c r="K2068" s="40" t="s">
        <v>14</v>
      </c>
      <c r="L2068" s="26">
        <v>3400</v>
      </c>
      <c r="M2068" s="26">
        <v>110</v>
      </c>
      <c r="N2068" s="25">
        <f t="shared" si="65"/>
        <v>374000</v>
      </c>
      <c r="O2068" s="56"/>
    </row>
    <row r="2069" spans="1:15" hidden="1" x14ac:dyDescent="0.3">
      <c r="A2069" s="26">
        <v>30</v>
      </c>
      <c r="B2069" s="20" t="str">
        <f t="shared" si="64"/>
        <v>JUL</v>
      </c>
      <c r="C2069" s="21">
        <v>46229</v>
      </c>
      <c r="D2069" s="22" t="str">
        <f t="array" ref="D2069">IFERROR(INDEX('Kode Outlet dan Target Toko'!$A:$A,MATCH($I2069,'Kode Outlet dan Target Toko'!$E:$E,0)),"")</f>
        <v>GRSM 4</v>
      </c>
      <c r="E2069" s="20" t="str">
        <f>IFERROR(VLOOKUP(I2069,KET!$B:$F,4,0),"")</f>
        <v>FAHMI LUKMANUL HAKIM</v>
      </c>
      <c r="F2069" s="20" t="str">
        <f>IFERROR(VLOOKUP(I2069,KET!$B:$F,5,0),"")</f>
        <v>GMM</v>
      </c>
      <c r="G2069" s="20">
        <f>IFERROR(INDEX('Kode Outlet dan Target Toko'!$C:$C,MATCH($I2069,'Kode Outlet dan Target Toko'!$E:$E,0)),0)</f>
        <v>189901</v>
      </c>
      <c r="H2069" s="20">
        <f>IFERROR(INDEX('Kode Outlet dan Target Toko'!$D:$D,MATCH($I2069,'Kode Outlet dan Target Toko'!$E:$E,0)),0)</f>
        <v>1602016</v>
      </c>
      <c r="I2069" s="42" t="s">
        <v>35</v>
      </c>
      <c r="J2069" s="56" t="s">
        <v>173</v>
      </c>
      <c r="K2069" s="40" t="s">
        <v>15</v>
      </c>
      <c r="L2069" s="26">
        <v>3400</v>
      </c>
      <c r="M2069" s="26">
        <v>100</v>
      </c>
      <c r="N2069" s="25">
        <f t="shared" si="65"/>
        <v>340000</v>
      </c>
      <c r="O2069" s="56"/>
    </row>
    <row r="2070" spans="1:15" hidden="1" x14ac:dyDescent="0.3">
      <c r="A2070" s="26">
        <v>30</v>
      </c>
      <c r="B2070" s="20" t="str">
        <f t="shared" si="64"/>
        <v>JUL</v>
      </c>
      <c r="C2070" s="21">
        <v>46229</v>
      </c>
      <c r="D2070" s="22" t="str">
        <f t="array" ref="D2070">IFERROR(INDEX('Kode Outlet dan Target Toko'!$A:$A,MATCH($I2070,'Kode Outlet dan Target Toko'!$E:$E,0)),"")</f>
        <v>GRSM 4</v>
      </c>
      <c r="E2070" s="20" t="str">
        <f>IFERROR(VLOOKUP(I2070,KET!$B:$F,4,0),"")</f>
        <v>FAHMI LUKMANUL HAKIM</v>
      </c>
      <c r="F2070" s="20" t="str">
        <f>IFERROR(VLOOKUP(I2070,KET!$B:$F,5,0),"")</f>
        <v>GMM</v>
      </c>
      <c r="G2070" s="20">
        <f>IFERROR(INDEX('Kode Outlet dan Target Toko'!$C:$C,MATCH($I2070,'Kode Outlet dan Target Toko'!$E:$E,0)),0)</f>
        <v>189901</v>
      </c>
      <c r="H2070" s="20">
        <f>IFERROR(INDEX('Kode Outlet dan Target Toko'!$D:$D,MATCH($I2070,'Kode Outlet dan Target Toko'!$E:$E,0)),0)</f>
        <v>1602016</v>
      </c>
      <c r="I2070" s="42" t="s">
        <v>35</v>
      </c>
      <c r="J2070" s="56" t="s">
        <v>173</v>
      </c>
      <c r="K2070" s="40" t="s">
        <v>16</v>
      </c>
      <c r="L2070" s="26">
        <v>3400</v>
      </c>
      <c r="M2070" s="26">
        <v>130</v>
      </c>
      <c r="N2070" s="25">
        <f t="shared" si="65"/>
        <v>442000</v>
      </c>
      <c r="O2070" s="56">
        <v>80</v>
      </c>
    </row>
    <row r="2071" spans="1:15" hidden="1" x14ac:dyDescent="0.3">
      <c r="A2071" s="26">
        <v>30</v>
      </c>
      <c r="B2071" s="20" t="str">
        <f t="shared" si="64"/>
        <v>JUL</v>
      </c>
      <c r="C2071" s="21">
        <v>46227</v>
      </c>
      <c r="D2071" s="22" t="str">
        <f t="array" ref="D2071">IFERROR(INDEX('Kode Outlet dan Target Toko'!$A:$A,MATCH($I2071,'Kode Outlet dan Target Toko'!$E:$E,0)),"")</f>
        <v>GRSM 5</v>
      </c>
      <c r="E2071" s="20" t="str">
        <f>IFERROR(VLOOKUP(I2071,KET!$B:$F,4,0),"")</f>
        <v>SUPRIYATI</v>
      </c>
      <c r="F2071" s="20" t="str">
        <f>IFERROR(VLOOKUP(I2071,KET!$B:$F,5,0),"")</f>
        <v>GMM</v>
      </c>
      <c r="G2071" s="20">
        <f>IFERROR(INDEX('Kode Outlet dan Target Toko'!$C:$C,MATCH($I2071,'Kode Outlet dan Target Toko'!$E:$E,0)),0)</f>
        <v>170220</v>
      </c>
      <c r="H2071" s="20">
        <f>IFERROR(INDEX('Kode Outlet dan Target Toko'!$D:$D,MATCH($I2071,'Kode Outlet dan Target Toko'!$E:$E,0)),0)</f>
        <v>9000015</v>
      </c>
      <c r="I2071" s="42" t="s">
        <v>33</v>
      </c>
      <c r="J2071" s="56" t="s">
        <v>261</v>
      </c>
      <c r="K2071" s="40" t="s">
        <v>13</v>
      </c>
      <c r="L2071" s="26">
        <v>2200</v>
      </c>
      <c r="M2071" s="26">
        <v>113</v>
      </c>
      <c r="N2071" s="25">
        <f t="shared" si="65"/>
        <v>248600</v>
      </c>
      <c r="O2071" s="56"/>
    </row>
    <row r="2072" spans="1:15" hidden="1" x14ac:dyDescent="0.3">
      <c r="A2072" s="26">
        <v>30</v>
      </c>
      <c r="B2072" s="20" t="str">
        <f t="shared" si="64"/>
        <v>JUL</v>
      </c>
      <c r="C2072" s="21">
        <v>46227</v>
      </c>
      <c r="D2072" s="22" t="str">
        <f t="array" ref="D2072">IFERROR(INDEX('Kode Outlet dan Target Toko'!$A:$A,MATCH($I2072,'Kode Outlet dan Target Toko'!$E:$E,0)),"")</f>
        <v>GRSM 5</v>
      </c>
      <c r="E2072" s="20" t="str">
        <f>IFERROR(VLOOKUP(I2072,KET!$B:$F,4,0),"")</f>
        <v>SUPRIYATI</v>
      </c>
      <c r="F2072" s="20" t="str">
        <f>IFERROR(VLOOKUP(I2072,KET!$B:$F,5,0),"")</f>
        <v>GMM</v>
      </c>
      <c r="G2072" s="20">
        <f>IFERROR(INDEX('Kode Outlet dan Target Toko'!$C:$C,MATCH($I2072,'Kode Outlet dan Target Toko'!$E:$E,0)),0)</f>
        <v>170220</v>
      </c>
      <c r="H2072" s="20">
        <f>IFERROR(INDEX('Kode Outlet dan Target Toko'!$D:$D,MATCH($I2072,'Kode Outlet dan Target Toko'!$E:$E,0)),0)</f>
        <v>9000015</v>
      </c>
      <c r="I2072" s="42" t="s">
        <v>33</v>
      </c>
      <c r="J2072" s="56" t="s">
        <v>261</v>
      </c>
      <c r="K2072" s="40" t="s">
        <v>14</v>
      </c>
      <c r="L2072" s="26">
        <v>2200</v>
      </c>
      <c r="M2072" s="26">
        <v>117</v>
      </c>
      <c r="N2072" s="25">
        <f t="shared" si="65"/>
        <v>257400</v>
      </c>
      <c r="O2072" s="56"/>
    </row>
    <row r="2073" spans="1:15" hidden="1" x14ac:dyDescent="0.3">
      <c r="A2073" s="26">
        <v>30</v>
      </c>
      <c r="B2073" s="20" t="str">
        <f t="shared" si="64"/>
        <v>JUL</v>
      </c>
      <c r="C2073" s="21">
        <v>46227</v>
      </c>
      <c r="D2073" s="22" t="str">
        <f t="array" ref="D2073">IFERROR(INDEX('Kode Outlet dan Target Toko'!$A:$A,MATCH($I2073,'Kode Outlet dan Target Toko'!$E:$E,0)),"")</f>
        <v>GRSM 5</v>
      </c>
      <c r="E2073" s="20" t="str">
        <f>IFERROR(VLOOKUP(I2073,KET!$B:$F,4,0),"")</f>
        <v>SUPRIYATI</v>
      </c>
      <c r="F2073" s="20" t="str">
        <f>IFERROR(VLOOKUP(I2073,KET!$B:$F,5,0),"")</f>
        <v>GMM</v>
      </c>
      <c r="G2073" s="20">
        <f>IFERROR(INDEX('Kode Outlet dan Target Toko'!$C:$C,MATCH($I2073,'Kode Outlet dan Target Toko'!$E:$E,0)),0)</f>
        <v>170220</v>
      </c>
      <c r="H2073" s="20">
        <f>IFERROR(INDEX('Kode Outlet dan Target Toko'!$D:$D,MATCH($I2073,'Kode Outlet dan Target Toko'!$E:$E,0)),0)</f>
        <v>9000015</v>
      </c>
      <c r="I2073" s="42" t="s">
        <v>33</v>
      </c>
      <c r="J2073" s="56" t="s">
        <v>261</v>
      </c>
      <c r="K2073" s="40" t="s">
        <v>15</v>
      </c>
      <c r="L2073" s="26">
        <v>2200</v>
      </c>
      <c r="M2073" s="26">
        <v>110</v>
      </c>
      <c r="N2073" s="25">
        <f t="shared" si="65"/>
        <v>242000</v>
      </c>
      <c r="O2073" s="56"/>
    </row>
    <row r="2074" spans="1:15" hidden="1" x14ac:dyDescent="0.3">
      <c r="A2074" s="26">
        <v>30</v>
      </c>
      <c r="B2074" s="20" t="str">
        <f t="shared" si="64"/>
        <v>JUL</v>
      </c>
      <c r="C2074" s="21">
        <v>46227</v>
      </c>
      <c r="D2074" s="22" t="str">
        <f t="array" ref="D2074">IFERROR(INDEX('Kode Outlet dan Target Toko'!$A:$A,MATCH($I2074,'Kode Outlet dan Target Toko'!$E:$E,0)),"")</f>
        <v>GRSM 5</v>
      </c>
      <c r="E2074" s="20" t="str">
        <f>IFERROR(VLOOKUP(I2074,KET!$B:$F,4,0),"")</f>
        <v>SUPRIYATI</v>
      </c>
      <c r="F2074" s="20" t="str">
        <f>IFERROR(VLOOKUP(I2074,KET!$B:$F,5,0),"")</f>
        <v>GMM</v>
      </c>
      <c r="G2074" s="20">
        <f>IFERROR(INDEX('Kode Outlet dan Target Toko'!$C:$C,MATCH($I2074,'Kode Outlet dan Target Toko'!$E:$E,0)),0)</f>
        <v>170220</v>
      </c>
      <c r="H2074" s="20">
        <f>IFERROR(INDEX('Kode Outlet dan Target Toko'!$D:$D,MATCH($I2074,'Kode Outlet dan Target Toko'!$E:$E,0)),0)</f>
        <v>9000015</v>
      </c>
      <c r="I2074" s="42" t="s">
        <v>33</v>
      </c>
      <c r="J2074" s="56" t="s">
        <v>261</v>
      </c>
      <c r="K2074" s="40" t="s">
        <v>16</v>
      </c>
      <c r="L2074" s="26">
        <v>2200</v>
      </c>
      <c r="M2074" s="26">
        <v>237</v>
      </c>
      <c r="N2074" s="25">
        <f t="shared" si="65"/>
        <v>521400</v>
      </c>
      <c r="O2074" s="56">
        <v>120</v>
      </c>
    </row>
    <row r="2075" spans="1:15" hidden="1" x14ac:dyDescent="0.3">
      <c r="A2075" s="26">
        <v>30</v>
      </c>
      <c r="B2075" s="20" t="str">
        <f t="shared" si="64"/>
        <v>JUL</v>
      </c>
      <c r="C2075" s="21">
        <v>46227</v>
      </c>
      <c r="D2075" s="22" t="str">
        <f t="array" ref="D2075">IFERROR(INDEX('Kode Outlet dan Target Toko'!$A:$A,MATCH($I2075,'Kode Outlet dan Target Toko'!$E:$E,0)),"")</f>
        <v>GRSM 5</v>
      </c>
      <c r="E2075" s="20" t="str">
        <f>IFERROR(VLOOKUP(I2075,KET!$B:$F,4,0),"")</f>
        <v>SUPRIYATI</v>
      </c>
      <c r="F2075" s="20" t="str">
        <f>IFERROR(VLOOKUP(I2075,KET!$B:$F,5,0),"")</f>
        <v>GMM</v>
      </c>
      <c r="G2075" s="20">
        <f>IFERROR(INDEX('Kode Outlet dan Target Toko'!$C:$C,MATCH($I2075,'Kode Outlet dan Target Toko'!$E:$E,0)),0)</f>
        <v>170220</v>
      </c>
      <c r="H2075" s="20">
        <f>IFERROR(INDEX('Kode Outlet dan Target Toko'!$D:$D,MATCH($I2075,'Kode Outlet dan Target Toko'!$E:$E,0)),0)</f>
        <v>9000015</v>
      </c>
      <c r="I2075" s="42" t="s">
        <v>33</v>
      </c>
      <c r="J2075" s="56" t="s">
        <v>260</v>
      </c>
      <c r="K2075" s="40" t="s">
        <v>13</v>
      </c>
      <c r="L2075" s="26">
        <v>2200</v>
      </c>
      <c r="M2075" s="26">
        <v>113</v>
      </c>
      <c r="N2075" s="25">
        <f t="shared" si="65"/>
        <v>248600</v>
      </c>
      <c r="O2075" s="56"/>
    </row>
    <row r="2076" spans="1:15" hidden="1" x14ac:dyDescent="0.3">
      <c r="A2076" s="26">
        <v>30</v>
      </c>
      <c r="B2076" s="20" t="str">
        <f t="shared" si="64"/>
        <v>JUL</v>
      </c>
      <c r="C2076" s="21">
        <v>46227</v>
      </c>
      <c r="D2076" s="22" t="str">
        <f t="array" ref="D2076">IFERROR(INDEX('Kode Outlet dan Target Toko'!$A:$A,MATCH($I2076,'Kode Outlet dan Target Toko'!$E:$E,0)),"")</f>
        <v>GRSM 5</v>
      </c>
      <c r="E2076" s="20" t="str">
        <f>IFERROR(VLOOKUP(I2076,KET!$B:$F,4,0),"")</f>
        <v>SUPRIYATI</v>
      </c>
      <c r="F2076" s="20" t="str">
        <f>IFERROR(VLOOKUP(I2076,KET!$B:$F,5,0),"")</f>
        <v>GMM</v>
      </c>
      <c r="G2076" s="20">
        <f>IFERROR(INDEX('Kode Outlet dan Target Toko'!$C:$C,MATCH($I2076,'Kode Outlet dan Target Toko'!$E:$E,0)),0)</f>
        <v>170220</v>
      </c>
      <c r="H2076" s="20">
        <f>IFERROR(INDEX('Kode Outlet dan Target Toko'!$D:$D,MATCH($I2076,'Kode Outlet dan Target Toko'!$E:$E,0)),0)</f>
        <v>9000015</v>
      </c>
      <c r="I2076" s="42" t="s">
        <v>33</v>
      </c>
      <c r="J2076" s="56" t="s">
        <v>260</v>
      </c>
      <c r="K2076" s="40" t="s">
        <v>14</v>
      </c>
      <c r="L2076" s="26">
        <v>2200</v>
      </c>
      <c r="M2076" s="26">
        <v>117</v>
      </c>
      <c r="N2076" s="25">
        <f t="shared" si="65"/>
        <v>257400</v>
      </c>
      <c r="O2076" s="56"/>
    </row>
    <row r="2077" spans="1:15" hidden="1" x14ac:dyDescent="0.3">
      <c r="A2077" s="26">
        <v>30</v>
      </c>
      <c r="B2077" s="20" t="str">
        <f t="shared" si="64"/>
        <v>JUL</v>
      </c>
      <c r="C2077" s="21">
        <v>46227</v>
      </c>
      <c r="D2077" s="22" t="str">
        <f t="array" ref="D2077">IFERROR(INDEX('Kode Outlet dan Target Toko'!$A:$A,MATCH($I2077,'Kode Outlet dan Target Toko'!$E:$E,0)),"")</f>
        <v>GRSM 5</v>
      </c>
      <c r="E2077" s="20" t="str">
        <f>IFERROR(VLOOKUP(I2077,KET!$B:$F,4,0),"")</f>
        <v>SUPRIYATI</v>
      </c>
      <c r="F2077" s="20" t="str">
        <f>IFERROR(VLOOKUP(I2077,KET!$B:$F,5,0),"")</f>
        <v>GMM</v>
      </c>
      <c r="G2077" s="20">
        <f>IFERROR(INDEX('Kode Outlet dan Target Toko'!$C:$C,MATCH($I2077,'Kode Outlet dan Target Toko'!$E:$E,0)),0)</f>
        <v>170220</v>
      </c>
      <c r="H2077" s="20">
        <f>IFERROR(INDEX('Kode Outlet dan Target Toko'!$D:$D,MATCH($I2077,'Kode Outlet dan Target Toko'!$E:$E,0)),0)</f>
        <v>9000015</v>
      </c>
      <c r="I2077" s="42" t="s">
        <v>33</v>
      </c>
      <c r="J2077" s="56" t="s">
        <v>260</v>
      </c>
      <c r="K2077" s="40" t="s">
        <v>15</v>
      </c>
      <c r="L2077" s="26">
        <v>2200</v>
      </c>
      <c r="M2077" s="26">
        <v>110</v>
      </c>
      <c r="N2077" s="25">
        <f t="shared" si="65"/>
        <v>242000</v>
      </c>
      <c r="O2077" s="56"/>
    </row>
    <row r="2078" spans="1:15" hidden="1" x14ac:dyDescent="0.3">
      <c r="A2078" s="26">
        <v>30</v>
      </c>
      <c r="B2078" s="20" t="str">
        <f t="shared" si="64"/>
        <v>JUL</v>
      </c>
      <c r="C2078" s="21">
        <v>46227</v>
      </c>
      <c r="D2078" s="22" t="str">
        <f t="array" ref="D2078">IFERROR(INDEX('Kode Outlet dan Target Toko'!$A:$A,MATCH($I2078,'Kode Outlet dan Target Toko'!$E:$E,0)),"")</f>
        <v>GRSM 5</v>
      </c>
      <c r="E2078" s="20" t="str">
        <f>IFERROR(VLOOKUP(I2078,KET!$B:$F,4,0),"")</f>
        <v>SUPRIYATI</v>
      </c>
      <c r="F2078" s="20" t="str">
        <f>IFERROR(VLOOKUP(I2078,KET!$B:$F,5,0),"")</f>
        <v>GMM</v>
      </c>
      <c r="G2078" s="20">
        <f>IFERROR(INDEX('Kode Outlet dan Target Toko'!$C:$C,MATCH($I2078,'Kode Outlet dan Target Toko'!$E:$E,0)),0)</f>
        <v>170220</v>
      </c>
      <c r="H2078" s="20">
        <f>IFERROR(INDEX('Kode Outlet dan Target Toko'!$D:$D,MATCH($I2078,'Kode Outlet dan Target Toko'!$E:$E,0)),0)</f>
        <v>9000015</v>
      </c>
      <c r="I2078" s="42" t="s">
        <v>33</v>
      </c>
      <c r="J2078" s="56" t="s">
        <v>260</v>
      </c>
      <c r="K2078" s="40" t="s">
        <v>16</v>
      </c>
      <c r="L2078" s="26">
        <v>2200</v>
      </c>
      <c r="M2078" s="26">
        <v>237</v>
      </c>
      <c r="N2078" s="25">
        <f t="shared" si="65"/>
        <v>521400</v>
      </c>
      <c r="O2078" s="56">
        <v>120</v>
      </c>
    </row>
    <row r="2079" spans="1:15" hidden="1" x14ac:dyDescent="0.3">
      <c r="A2079" s="26">
        <v>30</v>
      </c>
      <c r="B2079" s="20" t="str">
        <f t="shared" si="64"/>
        <v>JUL</v>
      </c>
      <c r="C2079" s="21">
        <v>46227</v>
      </c>
      <c r="D2079" s="22" t="str">
        <f t="array" ref="D2079">IFERROR(INDEX('Kode Outlet dan Target Toko'!$A:$A,MATCH($I2079,'Kode Outlet dan Target Toko'!$E:$E,0)),"")</f>
        <v>GRSM 5</v>
      </c>
      <c r="E2079" s="20" t="str">
        <f>IFERROR(VLOOKUP(I2079,KET!$B:$F,4,0),"")</f>
        <v>SUPRIYATI</v>
      </c>
      <c r="F2079" s="20" t="str">
        <f>IFERROR(VLOOKUP(I2079,KET!$B:$F,5,0),"")</f>
        <v>GMM</v>
      </c>
      <c r="G2079" s="20">
        <f>IFERROR(INDEX('Kode Outlet dan Target Toko'!$C:$C,MATCH($I2079,'Kode Outlet dan Target Toko'!$E:$E,0)),0)</f>
        <v>170220</v>
      </c>
      <c r="H2079" s="20">
        <f>IFERROR(INDEX('Kode Outlet dan Target Toko'!$D:$D,MATCH($I2079,'Kode Outlet dan Target Toko'!$E:$E,0)),0)</f>
        <v>1901004</v>
      </c>
      <c r="I2079" s="42" t="s">
        <v>36</v>
      </c>
      <c r="J2079" s="56" t="s">
        <v>263</v>
      </c>
      <c r="K2079" s="40" t="s">
        <v>13</v>
      </c>
      <c r="L2079" s="26">
        <v>2200</v>
      </c>
      <c r="M2079" s="26">
        <v>73</v>
      </c>
      <c r="N2079" s="25">
        <f t="shared" si="65"/>
        <v>160600</v>
      </c>
      <c r="O2079" s="56"/>
    </row>
    <row r="2080" spans="1:15" hidden="1" x14ac:dyDescent="0.3">
      <c r="A2080" s="26">
        <v>30</v>
      </c>
      <c r="B2080" s="20" t="str">
        <f t="shared" si="64"/>
        <v>JUL</v>
      </c>
      <c r="C2080" s="21">
        <v>46227</v>
      </c>
      <c r="D2080" s="22" t="str">
        <f t="array" ref="D2080">IFERROR(INDEX('Kode Outlet dan Target Toko'!$A:$A,MATCH($I2080,'Kode Outlet dan Target Toko'!$E:$E,0)),"")</f>
        <v>GRSM 5</v>
      </c>
      <c r="E2080" s="20" t="str">
        <f>IFERROR(VLOOKUP(I2080,KET!$B:$F,4,0),"")</f>
        <v>SUPRIYATI</v>
      </c>
      <c r="F2080" s="20" t="str">
        <f>IFERROR(VLOOKUP(I2080,KET!$B:$F,5,0),"")</f>
        <v>GMM</v>
      </c>
      <c r="G2080" s="20">
        <f>IFERROR(INDEX('Kode Outlet dan Target Toko'!$C:$C,MATCH($I2080,'Kode Outlet dan Target Toko'!$E:$E,0)),0)</f>
        <v>170220</v>
      </c>
      <c r="H2080" s="20">
        <f>IFERROR(INDEX('Kode Outlet dan Target Toko'!$D:$D,MATCH($I2080,'Kode Outlet dan Target Toko'!$E:$E,0)),0)</f>
        <v>1901004</v>
      </c>
      <c r="I2080" s="42" t="s">
        <v>36</v>
      </c>
      <c r="J2080" s="56" t="s">
        <v>263</v>
      </c>
      <c r="K2080" s="40" t="s">
        <v>14</v>
      </c>
      <c r="L2080" s="26">
        <v>2200</v>
      </c>
      <c r="M2080" s="26">
        <v>200</v>
      </c>
      <c r="N2080" s="25">
        <f t="shared" si="65"/>
        <v>440000</v>
      </c>
      <c r="O2080" s="56"/>
    </row>
    <row r="2081" spans="1:15" hidden="1" x14ac:dyDescent="0.3">
      <c r="A2081" s="26">
        <v>30</v>
      </c>
      <c r="B2081" s="20" t="str">
        <f t="shared" si="64"/>
        <v>JUL</v>
      </c>
      <c r="C2081" s="21">
        <v>46227</v>
      </c>
      <c r="D2081" s="22" t="str">
        <f t="array" ref="D2081">IFERROR(INDEX('Kode Outlet dan Target Toko'!$A:$A,MATCH($I2081,'Kode Outlet dan Target Toko'!$E:$E,0)),"")</f>
        <v>GRSM 5</v>
      </c>
      <c r="E2081" s="20" t="str">
        <f>IFERROR(VLOOKUP(I2081,KET!$B:$F,4,0),"")</f>
        <v>SUPRIYATI</v>
      </c>
      <c r="F2081" s="20" t="str">
        <f>IFERROR(VLOOKUP(I2081,KET!$B:$F,5,0),"")</f>
        <v>GMM</v>
      </c>
      <c r="G2081" s="20">
        <f>IFERROR(INDEX('Kode Outlet dan Target Toko'!$C:$C,MATCH($I2081,'Kode Outlet dan Target Toko'!$E:$E,0)),0)</f>
        <v>170220</v>
      </c>
      <c r="H2081" s="20">
        <f>IFERROR(INDEX('Kode Outlet dan Target Toko'!$D:$D,MATCH($I2081,'Kode Outlet dan Target Toko'!$E:$E,0)),0)</f>
        <v>1901004</v>
      </c>
      <c r="I2081" s="42" t="s">
        <v>36</v>
      </c>
      <c r="J2081" s="56" t="s">
        <v>263</v>
      </c>
      <c r="K2081" s="40" t="s">
        <v>15</v>
      </c>
      <c r="L2081" s="26">
        <v>2200</v>
      </c>
      <c r="M2081" s="26">
        <v>114</v>
      </c>
      <c r="N2081" s="25">
        <f t="shared" si="65"/>
        <v>250800</v>
      </c>
      <c r="O2081" s="56"/>
    </row>
    <row r="2082" spans="1:15" hidden="1" x14ac:dyDescent="0.3">
      <c r="A2082" s="26">
        <v>30</v>
      </c>
      <c r="B2082" s="20" t="str">
        <f t="shared" si="64"/>
        <v>JUL</v>
      </c>
      <c r="C2082" s="21">
        <v>46227</v>
      </c>
      <c r="D2082" s="22" t="str">
        <f t="array" ref="D2082">IFERROR(INDEX('Kode Outlet dan Target Toko'!$A:$A,MATCH($I2082,'Kode Outlet dan Target Toko'!$E:$E,0)),"")</f>
        <v>GRSM 5</v>
      </c>
      <c r="E2082" s="20" t="str">
        <f>IFERROR(VLOOKUP(I2082,KET!$B:$F,4,0),"")</f>
        <v>SUPRIYATI</v>
      </c>
      <c r="F2082" s="20" t="str">
        <f>IFERROR(VLOOKUP(I2082,KET!$B:$F,5,0),"")</f>
        <v>GMM</v>
      </c>
      <c r="G2082" s="20">
        <f>IFERROR(INDEX('Kode Outlet dan Target Toko'!$C:$C,MATCH($I2082,'Kode Outlet dan Target Toko'!$E:$E,0)),0)</f>
        <v>170220</v>
      </c>
      <c r="H2082" s="20">
        <f>IFERROR(INDEX('Kode Outlet dan Target Toko'!$D:$D,MATCH($I2082,'Kode Outlet dan Target Toko'!$E:$E,0)),0)</f>
        <v>1901004</v>
      </c>
      <c r="I2082" s="42" t="s">
        <v>36</v>
      </c>
      <c r="J2082" s="56" t="s">
        <v>263</v>
      </c>
      <c r="K2082" s="40" t="s">
        <v>16</v>
      </c>
      <c r="L2082" s="26">
        <v>2200</v>
      </c>
      <c r="M2082" s="26">
        <v>347</v>
      </c>
      <c r="N2082" s="25">
        <f t="shared" si="65"/>
        <v>763400</v>
      </c>
      <c r="O2082" s="56">
        <v>240</v>
      </c>
    </row>
    <row r="2083" spans="1:15" hidden="1" x14ac:dyDescent="0.3">
      <c r="A2083" s="26">
        <v>30</v>
      </c>
      <c r="B2083" s="20" t="str">
        <f t="shared" si="64"/>
        <v>JUL</v>
      </c>
      <c r="C2083" s="21">
        <v>46227</v>
      </c>
      <c r="D2083" s="22" t="str">
        <f t="array" ref="D2083">IFERROR(INDEX('Kode Outlet dan Target Toko'!$A:$A,MATCH($I2083,'Kode Outlet dan Target Toko'!$E:$E,0)),"")</f>
        <v>GRSM 5</v>
      </c>
      <c r="E2083" s="20" t="str">
        <f>IFERROR(VLOOKUP(I2083,KET!$B:$F,4,0),"")</f>
        <v>SUPRIYATI</v>
      </c>
      <c r="F2083" s="20" t="str">
        <f>IFERROR(VLOOKUP(I2083,KET!$B:$F,5,0),"")</f>
        <v>GMM</v>
      </c>
      <c r="G2083" s="20">
        <f>IFERROR(INDEX('Kode Outlet dan Target Toko'!$C:$C,MATCH($I2083,'Kode Outlet dan Target Toko'!$E:$E,0)),0)</f>
        <v>170220</v>
      </c>
      <c r="H2083" s="20">
        <f>IFERROR(INDEX('Kode Outlet dan Target Toko'!$D:$D,MATCH($I2083,'Kode Outlet dan Target Toko'!$E:$E,0)),0)</f>
        <v>1901004</v>
      </c>
      <c r="I2083" s="42" t="s">
        <v>36</v>
      </c>
      <c r="J2083" s="56" t="s">
        <v>264</v>
      </c>
      <c r="K2083" s="40" t="s">
        <v>13</v>
      </c>
      <c r="L2083" s="26">
        <v>2200</v>
      </c>
      <c r="M2083" s="26">
        <v>73</v>
      </c>
      <c r="N2083" s="25">
        <f t="shared" si="65"/>
        <v>160600</v>
      </c>
      <c r="O2083" s="56"/>
    </row>
    <row r="2084" spans="1:15" hidden="1" x14ac:dyDescent="0.3">
      <c r="A2084" s="26">
        <v>30</v>
      </c>
      <c r="B2084" s="20" t="str">
        <f t="shared" si="64"/>
        <v>JUL</v>
      </c>
      <c r="C2084" s="21">
        <v>46227</v>
      </c>
      <c r="D2084" s="22" t="str">
        <f t="array" ref="D2084">IFERROR(INDEX('Kode Outlet dan Target Toko'!$A:$A,MATCH($I2084,'Kode Outlet dan Target Toko'!$E:$E,0)),"")</f>
        <v>GRSM 5</v>
      </c>
      <c r="E2084" s="20" t="str">
        <f>IFERROR(VLOOKUP(I2084,KET!$B:$F,4,0),"")</f>
        <v>SUPRIYATI</v>
      </c>
      <c r="F2084" s="20" t="str">
        <f>IFERROR(VLOOKUP(I2084,KET!$B:$F,5,0),"")</f>
        <v>GMM</v>
      </c>
      <c r="G2084" s="20">
        <f>IFERROR(INDEX('Kode Outlet dan Target Toko'!$C:$C,MATCH($I2084,'Kode Outlet dan Target Toko'!$E:$E,0)),0)</f>
        <v>170220</v>
      </c>
      <c r="H2084" s="20">
        <f>IFERROR(INDEX('Kode Outlet dan Target Toko'!$D:$D,MATCH($I2084,'Kode Outlet dan Target Toko'!$E:$E,0)),0)</f>
        <v>1901004</v>
      </c>
      <c r="I2084" s="42" t="s">
        <v>36</v>
      </c>
      <c r="J2084" s="56" t="s">
        <v>264</v>
      </c>
      <c r="K2084" s="40" t="s">
        <v>14</v>
      </c>
      <c r="L2084" s="26">
        <v>2200</v>
      </c>
      <c r="M2084" s="26">
        <v>200</v>
      </c>
      <c r="N2084" s="25">
        <f t="shared" si="65"/>
        <v>440000</v>
      </c>
      <c r="O2084" s="56"/>
    </row>
    <row r="2085" spans="1:15" hidden="1" x14ac:dyDescent="0.3">
      <c r="A2085" s="26">
        <v>30</v>
      </c>
      <c r="B2085" s="20" t="str">
        <f t="shared" si="64"/>
        <v>JUL</v>
      </c>
      <c r="C2085" s="21">
        <v>46227</v>
      </c>
      <c r="D2085" s="22" t="str">
        <f t="array" ref="D2085">IFERROR(INDEX('Kode Outlet dan Target Toko'!$A:$A,MATCH($I2085,'Kode Outlet dan Target Toko'!$E:$E,0)),"")</f>
        <v>GRSM 5</v>
      </c>
      <c r="E2085" s="20" t="str">
        <f>IFERROR(VLOOKUP(I2085,KET!$B:$F,4,0),"")</f>
        <v>SUPRIYATI</v>
      </c>
      <c r="F2085" s="20" t="str">
        <f>IFERROR(VLOOKUP(I2085,KET!$B:$F,5,0),"")</f>
        <v>GMM</v>
      </c>
      <c r="G2085" s="20">
        <f>IFERROR(INDEX('Kode Outlet dan Target Toko'!$C:$C,MATCH($I2085,'Kode Outlet dan Target Toko'!$E:$E,0)),0)</f>
        <v>170220</v>
      </c>
      <c r="H2085" s="20">
        <f>IFERROR(INDEX('Kode Outlet dan Target Toko'!$D:$D,MATCH($I2085,'Kode Outlet dan Target Toko'!$E:$E,0)),0)</f>
        <v>1901004</v>
      </c>
      <c r="I2085" s="42" t="s">
        <v>36</v>
      </c>
      <c r="J2085" s="56" t="s">
        <v>264</v>
      </c>
      <c r="K2085" s="40" t="s">
        <v>15</v>
      </c>
      <c r="L2085" s="26">
        <v>2200</v>
      </c>
      <c r="M2085" s="26">
        <v>114</v>
      </c>
      <c r="N2085" s="25">
        <f t="shared" si="65"/>
        <v>250800</v>
      </c>
      <c r="O2085" s="56"/>
    </row>
    <row r="2086" spans="1:15" hidden="1" x14ac:dyDescent="0.3">
      <c r="A2086" s="26">
        <v>30</v>
      </c>
      <c r="B2086" s="20" t="str">
        <f t="shared" si="64"/>
        <v>JUL</v>
      </c>
      <c r="C2086" s="21">
        <v>46227</v>
      </c>
      <c r="D2086" s="22" t="str">
        <f t="array" ref="D2086">IFERROR(INDEX('Kode Outlet dan Target Toko'!$A:$A,MATCH($I2086,'Kode Outlet dan Target Toko'!$E:$E,0)),"")</f>
        <v>GRSM 5</v>
      </c>
      <c r="E2086" s="20" t="str">
        <f>IFERROR(VLOOKUP(I2086,KET!$B:$F,4,0),"")</f>
        <v>SUPRIYATI</v>
      </c>
      <c r="F2086" s="20" t="str">
        <f>IFERROR(VLOOKUP(I2086,KET!$B:$F,5,0),"")</f>
        <v>GMM</v>
      </c>
      <c r="G2086" s="20">
        <f>IFERROR(INDEX('Kode Outlet dan Target Toko'!$C:$C,MATCH($I2086,'Kode Outlet dan Target Toko'!$E:$E,0)),0)</f>
        <v>170220</v>
      </c>
      <c r="H2086" s="20">
        <f>IFERROR(INDEX('Kode Outlet dan Target Toko'!$D:$D,MATCH($I2086,'Kode Outlet dan Target Toko'!$E:$E,0)),0)</f>
        <v>1901004</v>
      </c>
      <c r="I2086" s="42" t="s">
        <v>36</v>
      </c>
      <c r="J2086" s="56" t="s">
        <v>264</v>
      </c>
      <c r="K2086" s="40" t="s">
        <v>16</v>
      </c>
      <c r="L2086" s="26">
        <v>2200</v>
      </c>
      <c r="M2086" s="26">
        <v>347</v>
      </c>
      <c r="N2086" s="25">
        <f t="shared" si="65"/>
        <v>763400</v>
      </c>
      <c r="O2086" s="56">
        <v>240</v>
      </c>
    </row>
    <row r="2087" spans="1:15" hidden="1" x14ac:dyDescent="0.3">
      <c r="A2087" s="26">
        <v>30</v>
      </c>
      <c r="B2087" s="20" t="str">
        <f t="shared" si="64"/>
        <v>JUL</v>
      </c>
      <c r="C2087" s="21">
        <v>46227</v>
      </c>
      <c r="D2087" s="22" t="str">
        <f t="array" ref="D2087">IFERROR(INDEX('Kode Outlet dan Target Toko'!$A:$A,MATCH($I2087,'Kode Outlet dan Target Toko'!$E:$E,0)),"")</f>
        <v>GRSM 5</v>
      </c>
      <c r="E2087" s="20" t="str">
        <f>IFERROR(VLOOKUP(I2087,KET!$B:$F,4,0),"")</f>
        <v>SUPRIYATI</v>
      </c>
      <c r="F2087" s="20" t="str">
        <f>IFERROR(VLOOKUP(I2087,KET!$B:$F,5,0),"")</f>
        <v>GMM</v>
      </c>
      <c r="G2087" s="20">
        <f>IFERROR(INDEX('Kode Outlet dan Target Toko'!$C:$C,MATCH($I2087,'Kode Outlet dan Target Toko'!$E:$E,0)),0)</f>
        <v>170220</v>
      </c>
      <c r="H2087" s="20">
        <f>IFERROR(INDEX('Kode Outlet dan Target Toko'!$D:$D,MATCH($I2087,'Kode Outlet dan Target Toko'!$E:$E,0)),0)</f>
        <v>9000015</v>
      </c>
      <c r="I2087" s="42" t="s">
        <v>37</v>
      </c>
      <c r="J2087" s="56" t="s">
        <v>265</v>
      </c>
      <c r="K2087" s="40" t="s">
        <v>13</v>
      </c>
      <c r="L2087" s="26">
        <v>2200</v>
      </c>
      <c r="M2087" s="26">
        <v>62</v>
      </c>
      <c r="N2087" s="25">
        <f t="shared" si="65"/>
        <v>136400</v>
      </c>
      <c r="O2087" s="56"/>
    </row>
    <row r="2088" spans="1:15" hidden="1" x14ac:dyDescent="0.3">
      <c r="A2088" s="26">
        <v>30</v>
      </c>
      <c r="B2088" s="20" t="str">
        <f t="shared" si="64"/>
        <v>JUL</v>
      </c>
      <c r="C2088" s="21">
        <v>46227</v>
      </c>
      <c r="D2088" s="22" t="str">
        <f t="array" ref="D2088">IFERROR(INDEX('Kode Outlet dan Target Toko'!$A:$A,MATCH($I2088,'Kode Outlet dan Target Toko'!$E:$E,0)),"")</f>
        <v>GRSM 5</v>
      </c>
      <c r="E2088" s="20" t="str">
        <f>IFERROR(VLOOKUP(I2088,KET!$B:$F,4,0),"")</f>
        <v>SUPRIYATI</v>
      </c>
      <c r="F2088" s="20" t="str">
        <f>IFERROR(VLOOKUP(I2088,KET!$B:$F,5,0),"")</f>
        <v>GMM</v>
      </c>
      <c r="G2088" s="20">
        <f>IFERROR(INDEX('Kode Outlet dan Target Toko'!$C:$C,MATCH($I2088,'Kode Outlet dan Target Toko'!$E:$E,0)),0)</f>
        <v>170220</v>
      </c>
      <c r="H2088" s="20">
        <f>IFERROR(INDEX('Kode Outlet dan Target Toko'!$D:$D,MATCH($I2088,'Kode Outlet dan Target Toko'!$E:$E,0)),0)</f>
        <v>9000015</v>
      </c>
      <c r="I2088" s="42" t="s">
        <v>37</v>
      </c>
      <c r="J2088" s="56" t="s">
        <v>265</v>
      </c>
      <c r="K2088" s="40" t="s">
        <v>14</v>
      </c>
      <c r="L2088" s="26">
        <v>2200</v>
      </c>
      <c r="M2088" s="26">
        <v>240</v>
      </c>
      <c r="N2088" s="25">
        <f t="shared" si="65"/>
        <v>528000</v>
      </c>
      <c r="O2088" s="56"/>
    </row>
    <row r="2089" spans="1:15" hidden="1" x14ac:dyDescent="0.3">
      <c r="A2089" s="26">
        <v>30</v>
      </c>
      <c r="B2089" s="20" t="str">
        <f t="shared" si="64"/>
        <v>JUL</v>
      </c>
      <c r="C2089" s="21">
        <v>46227</v>
      </c>
      <c r="D2089" s="22" t="str">
        <f t="array" ref="D2089">IFERROR(INDEX('Kode Outlet dan Target Toko'!$A:$A,MATCH($I2089,'Kode Outlet dan Target Toko'!$E:$E,0)),"")</f>
        <v>GRSM 5</v>
      </c>
      <c r="E2089" s="20" t="str">
        <f>IFERROR(VLOOKUP(I2089,KET!$B:$F,4,0),"")</f>
        <v>SUPRIYATI</v>
      </c>
      <c r="F2089" s="20" t="str">
        <f>IFERROR(VLOOKUP(I2089,KET!$B:$F,5,0),"")</f>
        <v>GMM</v>
      </c>
      <c r="G2089" s="20">
        <f>IFERROR(INDEX('Kode Outlet dan Target Toko'!$C:$C,MATCH($I2089,'Kode Outlet dan Target Toko'!$E:$E,0)),0)</f>
        <v>170220</v>
      </c>
      <c r="H2089" s="20">
        <f>IFERROR(INDEX('Kode Outlet dan Target Toko'!$D:$D,MATCH($I2089,'Kode Outlet dan Target Toko'!$E:$E,0)),0)</f>
        <v>9000015</v>
      </c>
      <c r="I2089" s="42" t="s">
        <v>37</v>
      </c>
      <c r="J2089" s="56" t="s">
        <v>265</v>
      </c>
      <c r="K2089" s="40" t="s">
        <v>15</v>
      </c>
      <c r="L2089" s="26">
        <v>2200</v>
      </c>
      <c r="M2089" s="26">
        <v>114</v>
      </c>
      <c r="N2089" s="25">
        <f t="shared" si="65"/>
        <v>250800</v>
      </c>
      <c r="O2089" s="56"/>
    </row>
    <row r="2090" spans="1:15" hidden="1" x14ac:dyDescent="0.3">
      <c r="A2090" s="26">
        <v>30</v>
      </c>
      <c r="B2090" s="20" t="str">
        <f t="shared" si="64"/>
        <v>JUL</v>
      </c>
      <c r="C2090" s="21">
        <v>46227</v>
      </c>
      <c r="D2090" s="22" t="str">
        <f t="array" ref="D2090">IFERROR(INDEX('Kode Outlet dan Target Toko'!$A:$A,MATCH($I2090,'Kode Outlet dan Target Toko'!$E:$E,0)),"")</f>
        <v>GRSM 5</v>
      </c>
      <c r="E2090" s="20" t="str">
        <f>IFERROR(VLOOKUP(I2090,KET!$B:$F,4,0),"")</f>
        <v>SUPRIYATI</v>
      </c>
      <c r="F2090" s="20" t="str">
        <f>IFERROR(VLOOKUP(I2090,KET!$B:$F,5,0),"")</f>
        <v>GMM</v>
      </c>
      <c r="G2090" s="20">
        <f>IFERROR(INDEX('Kode Outlet dan Target Toko'!$C:$C,MATCH($I2090,'Kode Outlet dan Target Toko'!$E:$E,0)),0)</f>
        <v>170220</v>
      </c>
      <c r="H2090" s="20">
        <f>IFERROR(INDEX('Kode Outlet dan Target Toko'!$D:$D,MATCH($I2090,'Kode Outlet dan Target Toko'!$E:$E,0)),0)</f>
        <v>9000015</v>
      </c>
      <c r="I2090" s="42" t="s">
        <v>37</v>
      </c>
      <c r="J2090" s="56" t="s">
        <v>265</v>
      </c>
      <c r="K2090" s="40" t="s">
        <v>16</v>
      </c>
      <c r="L2090" s="26">
        <v>2200</v>
      </c>
      <c r="M2090" s="26">
        <v>364</v>
      </c>
      <c r="N2090" s="25">
        <f t="shared" si="65"/>
        <v>800800</v>
      </c>
      <c r="O2090" s="56">
        <v>200</v>
      </c>
    </row>
    <row r="2091" spans="1:15" hidden="1" x14ac:dyDescent="0.3">
      <c r="A2091" s="26">
        <v>30</v>
      </c>
      <c r="B2091" s="20" t="str">
        <f t="shared" si="64"/>
        <v>JUL</v>
      </c>
      <c r="C2091" s="21">
        <v>46227</v>
      </c>
      <c r="D2091" s="22" t="str">
        <f t="array" ref="D2091">IFERROR(INDEX('Kode Outlet dan Target Toko'!$A:$A,MATCH($I2091,'Kode Outlet dan Target Toko'!$E:$E,0)),"")</f>
        <v>GRSM 5</v>
      </c>
      <c r="E2091" s="20" t="str">
        <f>IFERROR(VLOOKUP(I2091,KET!$B:$F,4,0),"")</f>
        <v>SUPRIYATI</v>
      </c>
      <c r="F2091" s="20" t="str">
        <f>IFERROR(VLOOKUP(I2091,KET!$B:$F,5,0),"")</f>
        <v>GMM</v>
      </c>
      <c r="G2091" s="20">
        <f>IFERROR(INDEX('Kode Outlet dan Target Toko'!$C:$C,MATCH($I2091,'Kode Outlet dan Target Toko'!$E:$E,0)),0)</f>
        <v>170220</v>
      </c>
      <c r="H2091" s="20">
        <f>IFERROR(INDEX('Kode Outlet dan Target Toko'!$D:$D,MATCH($I2091,'Kode Outlet dan Target Toko'!$E:$E,0)),0)</f>
        <v>9000015</v>
      </c>
      <c r="I2091" s="42" t="s">
        <v>37</v>
      </c>
      <c r="J2091" s="56" t="s">
        <v>288</v>
      </c>
      <c r="K2091" s="40" t="s">
        <v>13</v>
      </c>
      <c r="L2091" s="26">
        <v>2200</v>
      </c>
      <c r="M2091" s="26">
        <v>62</v>
      </c>
      <c r="N2091" s="25">
        <f t="shared" si="65"/>
        <v>136400</v>
      </c>
      <c r="O2091" s="56"/>
    </row>
    <row r="2092" spans="1:15" hidden="1" x14ac:dyDescent="0.3">
      <c r="A2092" s="26">
        <v>30</v>
      </c>
      <c r="B2092" s="20" t="str">
        <f t="shared" si="64"/>
        <v>JUL</v>
      </c>
      <c r="C2092" s="21">
        <v>46227</v>
      </c>
      <c r="D2092" s="22" t="str">
        <f t="array" ref="D2092">IFERROR(INDEX('Kode Outlet dan Target Toko'!$A:$A,MATCH($I2092,'Kode Outlet dan Target Toko'!$E:$E,0)),"")</f>
        <v>GRSM 5</v>
      </c>
      <c r="E2092" s="20" t="str">
        <f>IFERROR(VLOOKUP(I2092,KET!$B:$F,4,0),"")</f>
        <v>SUPRIYATI</v>
      </c>
      <c r="F2092" s="20" t="str">
        <f>IFERROR(VLOOKUP(I2092,KET!$B:$F,5,0),"")</f>
        <v>GMM</v>
      </c>
      <c r="G2092" s="20">
        <f>IFERROR(INDEX('Kode Outlet dan Target Toko'!$C:$C,MATCH($I2092,'Kode Outlet dan Target Toko'!$E:$E,0)),0)</f>
        <v>170220</v>
      </c>
      <c r="H2092" s="20">
        <f>IFERROR(INDEX('Kode Outlet dan Target Toko'!$D:$D,MATCH($I2092,'Kode Outlet dan Target Toko'!$E:$E,0)),0)</f>
        <v>9000015</v>
      </c>
      <c r="I2092" s="42" t="s">
        <v>37</v>
      </c>
      <c r="J2092" s="56" t="s">
        <v>288</v>
      </c>
      <c r="K2092" s="40" t="s">
        <v>14</v>
      </c>
      <c r="L2092" s="26">
        <v>2200</v>
      </c>
      <c r="M2092" s="26">
        <v>240</v>
      </c>
      <c r="N2092" s="25">
        <f t="shared" si="65"/>
        <v>528000</v>
      </c>
      <c r="O2092" s="56"/>
    </row>
    <row r="2093" spans="1:15" hidden="1" x14ac:dyDescent="0.3">
      <c r="A2093" s="26">
        <v>30</v>
      </c>
      <c r="B2093" s="20" t="str">
        <f t="shared" si="64"/>
        <v>JUL</v>
      </c>
      <c r="C2093" s="21">
        <v>46227</v>
      </c>
      <c r="D2093" s="22" t="str">
        <f t="array" ref="D2093">IFERROR(INDEX('Kode Outlet dan Target Toko'!$A:$A,MATCH($I2093,'Kode Outlet dan Target Toko'!$E:$E,0)),"")</f>
        <v>GRSM 5</v>
      </c>
      <c r="E2093" s="20" t="str">
        <f>IFERROR(VLOOKUP(I2093,KET!$B:$F,4,0),"")</f>
        <v>SUPRIYATI</v>
      </c>
      <c r="F2093" s="20" t="str">
        <f>IFERROR(VLOOKUP(I2093,KET!$B:$F,5,0),"")</f>
        <v>GMM</v>
      </c>
      <c r="G2093" s="20">
        <f>IFERROR(INDEX('Kode Outlet dan Target Toko'!$C:$C,MATCH($I2093,'Kode Outlet dan Target Toko'!$E:$E,0)),0)</f>
        <v>170220</v>
      </c>
      <c r="H2093" s="20">
        <f>IFERROR(INDEX('Kode Outlet dan Target Toko'!$D:$D,MATCH($I2093,'Kode Outlet dan Target Toko'!$E:$E,0)),0)</f>
        <v>9000015</v>
      </c>
      <c r="I2093" s="42" t="s">
        <v>37</v>
      </c>
      <c r="J2093" s="56" t="s">
        <v>288</v>
      </c>
      <c r="K2093" s="40" t="s">
        <v>15</v>
      </c>
      <c r="L2093" s="26">
        <v>2200</v>
      </c>
      <c r="M2093" s="26">
        <v>114</v>
      </c>
      <c r="N2093" s="25">
        <f t="shared" si="65"/>
        <v>250800</v>
      </c>
      <c r="O2093" s="56"/>
    </row>
    <row r="2094" spans="1:15" hidden="1" x14ac:dyDescent="0.3">
      <c r="A2094" s="26">
        <v>30</v>
      </c>
      <c r="B2094" s="20" t="str">
        <f t="shared" si="64"/>
        <v>JUL</v>
      </c>
      <c r="C2094" s="21">
        <v>46227</v>
      </c>
      <c r="D2094" s="22" t="str">
        <f t="array" ref="D2094">IFERROR(INDEX('Kode Outlet dan Target Toko'!$A:$A,MATCH($I2094,'Kode Outlet dan Target Toko'!$E:$E,0)),"")</f>
        <v>GRSM 5</v>
      </c>
      <c r="E2094" s="20" t="str">
        <f>IFERROR(VLOOKUP(I2094,KET!$B:$F,4,0),"")</f>
        <v>SUPRIYATI</v>
      </c>
      <c r="F2094" s="20" t="str">
        <f>IFERROR(VLOOKUP(I2094,KET!$B:$F,5,0),"")</f>
        <v>GMM</v>
      </c>
      <c r="G2094" s="20">
        <f>IFERROR(INDEX('Kode Outlet dan Target Toko'!$C:$C,MATCH($I2094,'Kode Outlet dan Target Toko'!$E:$E,0)),0)</f>
        <v>170220</v>
      </c>
      <c r="H2094" s="20">
        <f>IFERROR(INDEX('Kode Outlet dan Target Toko'!$D:$D,MATCH($I2094,'Kode Outlet dan Target Toko'!$E:$E,0)),0)</f>
        <v>9000015</v>
      </c>
      <c r="I2094" s="42" t="s">
        <v>37</v>
      </c>
      <c r="J2094" s="56" t="s">
        <v>288</v>
      </c>
      <c r="K2094" s="40" t="s">
        <v>16</v>
      </c>
      <c r="L2094" s="26">
        <v>2200</v>
      </c>
      <c r="M2094" s="26">
        <v>364</v>
      </c>
      <c r="N2094" s="25">
        <f t="shared" si="65"/>
        <v>800800</v>
      </c>
      <c r="O2094" s="56">
        <v>200</v>
      </c>
    </row>
    <row r="2095" spans="1:15" hidden="1" x14ac:dyDescent="0.3">
      <c r="A2095" s="26">
        <v>30</v>
      </c>
      <c r="B2095" s="20" t="str">
        <f t="shared" si="64"/>
        <v>JUL</v>
      </c>
      <c r="C2095" s="21">
        <v>46227</v>
      </c>
      <c r="D2095" s="22" t="str">
        <f t="array" ref="D2095">IFERROR(INDEX('Kode Outlet dan Target Toko'!$A:$A,MATCH($I2095,'Kode Outlet dan Target Toko'!$E:$E,0)),"")</f>
        <v>GRSM 5</v>
      </c>
      <c r="E2095" s="20" t="str">
        <f>IFERROR(VLOOKUP(I2095,KET!$B:$F,4,0),"")</f>
        <v>SUPRIYATI</v>
      </c>
      <c r="F2095" s="20" t="str">
        <f>IFERROR(VLOOKUP(I2095,KET!$B:$F,5,0),"")</f>
        <v>GMM</v>
      </c>
      <c r="G2095" s="20">
        <f>IFERROR(INDEX('Kode Outlet dan Target Toko'!$C:$C,MATCH($I2095,'Kode Outlet dan Target Toko'!$E:$E,0)),0)</f>
        <v>170220</v>
      </c>
      <c r="H2095" s="20">
        <f>IFERROR(INDEX('Kode Outlet dan Target Toko'!$D:$D,MATCH($I2095,'Kode Outlet dan Target Toko'!$E:$E,0)),0)</f>
        <v>1901019</v>
      </c>
      <c r="I2095" s="42" t="s">
        <v>38</v>
      </c>
      <c r="J2095" s="56" t="s">
        <v>267</v>
      </c>
      <c r="K2095" s="40" t="s">
        <v>13</v>
      </c>
      <c r="L2095" s="26">
        <v>2200</v>
      </c>
      <c r="M2095" s="26">
        <v>112</v>
      </c>
      <c r="N2095" s="25">
        <f t="shared" si="65"/>
        <v>246400</v>
      </c>
      <c r="O2095" s="56"/>
    </row>
    <row r="2096" spans="1:15" hidden="1" x14ac:dyDescent="0.3">
      <c r="A2096" s="26">
        <v>30</v>
      </c>
      <c r="B2096" s="20" t="str">
        <f t="shared" si="64"/>
        <v>JUL</v>
      </c>
      <c r="C2096" s="21">
        <v>46227</v>
      </c>
      <c r="D2096" s="22" t="str">
        <f t="array" ref="D2096">IFERROR(INDEX('Kode Outlet dan Target Toko'!$A:$A,MATCH($I2096,'Kode Outlet dan Target Toko'!$E:$E,0)),"")</f>
        <v>GRSM 5</v>
      </c>
      <c r="E2096" s="20" t="str">
        <f>IFERROR(VLOOKUP(I2096,KET!$B:$F,4,0),"")</f>
        <v>SUPRIYATI</v>
      </c>
      <c r="F2096" s="20" t="str">
        <f>IFERROR(VLOOKUP(I2096,KET!$B:$F,5,0),"")</f>
        <v>GMM</v>
      </c>
      <c r="G2096" s="20">
        <f>IFERROR(INDEX('Kode Outlet dan Target Toko'!$C:$C,MATCH($I2096,'Kode Outlet dan Target Toko'!$E:$E,0)),0)</f>
        <v>170220</v>
      </c>
      <c r="H2096" s="20">
        <f>IFERROR(INDEX('Kode Outlet dan Target Toko'!$D:$D,MATCH($I2096,'Kode Outlet dan Target Toko'!$E:$E,0)),0)</f>
        <v>1901019</v>
      </c>
      <c r="I2096" s="42" t="s">
        <v>38</v>
      </c>
      <c r="J2096" s="56" t="s">
        <v>267</v>
      </c>
      <c r="K2096" s="40" t="s">
        <v>14</v>
      </c>
      <c r="L2096" s="26">
        <v>2200</v>
      </c>
      <c r="M2096" s="26">
        <v>84</v>
      </c>
      <c r="N2096" s="25">
        <f t="shared" si="65"/>
        <v>184800</v>
      </c>
      <c r="O2096" s="56"/>
    </row>
    <row r="2097" spans="1:15" hidden="1" x14ac:dyDescent="0.3">
      <c r="A2097" s="26">
        <v>30</v>
      </c>
      <c r="B2097" s="20" t="str">
        <f t="shared" si="64"/>
        <v>JUL</v>
      </c>
      <c r="C2097" s="21">
        <v>46227</v>
      </c>
      <c r="D2097" s="22" t="str">
        <f t="array" ref="D2097">IFERROR(INDEX('Kode Outlet dan Target Toko'!$A:$A,MATCH($I2097,'Kode Outlet dan Target Toko'!$E:$E,0)),"")</f>
        <v>GRSM 5</v>
      </c>
      <c r="E2097" s="20" t="str">
        <f>IFERROR(VLOOKUP(I2097,KET!$B:$F,4,0),"")</f>
        <v>SUPRIYATI</v>
      </c>
      <c r="F2097" s="20" t="str">
        <f>IFERROR(VLOOKUP(I2097,KET!$B:$F,5,0),"")</f>
        <v>GMM</v>
      </c>
      <c r="G2097" s="20">
        <f>IFERROR(INDEX('Kode Outlet dan Target Toko'!$C:$C,MATCH($I2097,'Kode Outlet dan Target Toko'!$E:$E,0)),0)</f>
        <v>170220</v>
      </c>
      <c r="H2097" s="20">
        <f>IFERROR(INDEX('Kode Outlet dan Target Toko'!$D:$D,MATCH($I2097,'Kode Outlet dan Target Toko'!$E:$E,0)),0)</f>
        <v>1901019</v>
      </c>
      <c r="I2097" s="42" t="s">
        <v>38</v>
      </c>
      <c r="J2097" s="56" t="s">
        <v>267</v>
      </c>
      <c r="K2097" s="40" t="s">
        <v>15</v>
      </c>
      <c r="L2097" s="26">
        <v>2200</v>
      </c>
      <c r="M2097" s="26">
        <v>137</v>
      </c>
      <c r="N2097" s="25">
        <f t="shared" si="65"/>
        <v>301400</v>
      </c>
      <c r="O2097" s="56"/>
    </row>
    <row r="2098" spans="1:15" hidden="1" x14ac:dyDescent="0.3">
      <c r="A2098" s="26">
        <v>30</v>
      </c>
      <c r="B2098" s="20" t="str">
        <f t="shared" si="64"/>
        <v>JUL</v>
      </c>
      <c r="C2098" s="21">
        <v>46227</v>
      </c>
      <c r="D2098" s="22" t="str">
        <f t="array" ref="D2098">IFERROR(INDEX('Kode Outlet dan Target Toko'!$A:$A,MATCH($I2098,'Kode Outlet dan Target Toko'!$E:$E,0)),"")</f>
        <v>GRSM 5</v>
      </c>
      <c r="E2098" s="20" t="str">
        <f>IFERROR(VLOOKUP(I2098,KET!$B:$F,4,0),"")</f>
        <v>SUPRIYATI</v>
      </c>
      <c r="F2098" s="20" t="str">
        <f>IFERROR(VLOOKUP(I2098,KET!$B:$F,5,0),"")</f>
        <v>GMM</v>
      </c>
      <c r="G2098" s="20">
        <f>IFERROR(INDEX('Kode Outlet dan Target Toko'!$C:$C,MATCH($I2098,'Kode Outlet dan Target Toko'!$E:$E,0)),0)</f>
        <v>170220</v>
      </c>
      <c r="H2098" s="20">
        <f>IFERROR(INDEX('Kode Outlet dan Target Toko'!$D:$D,MATCH($I2098,'Kode Outlet dan Target Toko'!$E:$E,0)),0)</f>
        <v>1901019</v>
      </c>
      <c r="I2098" s="42" t="s">
        <v>38</v>
      </c>
      <c r="J2098" s="56" t="s">
        <v>267</v>
      </c>
      <c r="K2098" s="40" t="s">
        <v>16</v>
      </c>
      <c r="L2098" s="26">
        <v>2200</v>
      </c>
      <c r="M2098" s="26">
        <v>326</v>
      </c>
      <c r="N2098" s="25">
        <f t="shared" si="65"/>
        <v>717200</v>
      </c>
      <c r="O2098" s="56">
        <v>213</v>
      </c>
    </row>
    <row r="2099" spans="1:15" hidden="1" x14ac:dyDescent="0.3">
      <c r="A2099" s="26">
        <v>30</v>
      </c>
      <c r="B2099" s="20" t="str">
        <f t="shared" si="64"/>
        <v>JUL</v>
      </c>
      <c r="C2099" s="21">
        <v>46227</v>
      </c>
      <c r="D2099" s="22" t="str">
        <f t="array" ref="D2099">IFERROR(INDEX('Kode Outlet dan Target Toko'!$A:$A,MATCH($I2099,'Kode Outlet dan Target Toko'!$E:$E,0)),"")</f>
        <v>GRSM 5</v>
      </c>
      <c r="E2099" s="20" t="str">
        <f>IFERROR(VLOOKUP(I2099,KET!$B:$F,4,0),"")</f>
        <v>SUPRIYATI</v>
      </c>
      <c r="F2099" s="20" t="str">
        <f>IFERROR(VLOOKUP(I2099,KET!$B:$F,5,0),"")</f>
        <v>GMM</v>
      </c>
      <c r="G2099" s="20">
        <f>IFERROR(INDEX('Kode Outlet dan Target Toko'!$C:$C,MATCH($I2099,'Kode Outlet dan Target Toko'!$E:$E,0)),0)</f>
        <v>170220</v>
      </c>
      <c r="H2099" s="20">
        <f>IFERROR(INDEX('Kode Outlet dan Target Toko'!$D:$D,MATCH($I2099,'Kode Outlet dan Target Toko'!$E:$E,0)),0)</f>
        <v>1901019</v>
      </c>
      <c r="I2099" s="42" t="s">
        <v>38</v>
      </c>
      <c r="J2099" s="56" t="s">
        <v>268</v>
      </c>
      <c r="K2099" s="40" t="s">
        <v>13</v>
      </c>
      <c r="L2099" s="26">
        <v>2200</v>
      </c>
      <c r="M2099" s="26">
        <v>112</v>
      </c>
      <c r="N2099" s="25">
        <f t="shared" si="65"/>
        <v>246400</v>
      </c>
      <c r="O2099" s="56"/>
    </row>
    <row r="2100" spans="1:15" hidden="1" x14ac:dyDescent="0.3">
      <c r="A2100" s="26">
        <v>30</v>
      </c>
      <c r="B2100" s="20" t="str">
        <f t="shared" si="64"/>
        <v>JUL</v>
      </c>
      <c r="C2100" s="21">
        <v>46227</v>
      </c>
      <c r="D2100" s="22" t="str">
        <f t="array" ref="D2100">IFERROR(INDEX('Kode Outlet dan Target Toko'!$A:$A,MATCH($I2100,'Kode Outlet dan Target Toko'!$E:$E,0)),"")</f>
        <v>GRSM 5</v>
      </c>
      <c r="E2100" s="20" t="str">
        <f>IFERROR(VLOOKUP(I2100,KET!$B:$F,4,0),"")</f>
        <v>SUPRIYATI</v>
      </c>
      <c r="F2100" s="20" t="str">
        <f>IFERROR(VLOOKUP(I2100,KET!$B:$F,5,0),"")</f>
        <v>GMM</v>
      </c>
      <c r="G2100" s="20">
        <f>IFERROR(INDEX('Kode Outlet dan Target Toko'!$C:$C,MATCH($I2100,'Kode Outlet dan Target Toko'!$E:$E,0)),0)</f>
        <v>170220</v>
      </c>
      <c r="H2100" s="20">
        <f>IFERROR(INDEX('Kode Outlet dan Target Toko'!$D:$D,MATCH($I2100,'Kode Outlet dan Target Toko'!$E:$E,0)),0)</f>
        <v>1901019</v>
      </c>
      <c r="I2100" s="42" t="s">
        <v>38</v>
      </c>
      <c r="J2100" s="56" t="s">
        <v>268</v>
      </c>
      <c r="K2100" s="40" t="s">
        <v>14</v>
      </c>
      <c r="L2100" s="26">
        <v>2200</v>
      </c>
      <c r="M2100" s="26">
        <v>84</v>
      </c>
      <c r="N2100" s="25">
        <f t="shared" si="65"/>
        <v>184800</v>
      </c>
      <c r="O2100" s="56"/>
    </row>
    <row r="2101" spans="1:15" hidden="1" x14ac:dyDescent="0.3">
      <c r="A2101" s="26">
        <v>30</v>
      </c>
      <c r="B2101" s="20" t="str">
        <f t="shared" si="64"/>
        <v>JUL</v>
      </c>
      <c r="C2101" s="21">
        <v>46227</v>
      </c>
      <c r="D2101" s="22" t="str">
        <f t="array" ref="D2101">IFERROR(INDEX('Kode Outlet dan Target Toko'!$A:$A,MATCH($I2101,'Kode Outlet dan Target Toko'!$E:$E,0)),"")</f>
        <v>GRSM 5</v>
      </c>
      <c r="E2101" s="20" t="str">
        <f>IFERROR(VLOOKUP(I2101,KET!$B:$F,4,0),"")</f>
        <v>SUPRIYATI</v>
      </c>
      <c r="F2101" s="20" t="str">
        <f>IFERROR(VLOOKUP(I2101,KET!$B:$F,5,0),"")</f>
        <v>GMM</v>
      </c>
      <c r="G2101" s="20">
        <f>IFERROR(INDEX('Kode Outlet dan Target Toko'!$C:$C,MATCH($I2101,'Kode Outlet dan Target Toko'!$E:$E,0)),0)</f>
        <v>170220</v>
      </c>
      <c r="H2101" s="20">
        <f>IFERROR(INDEX('Kode Outlet dan Target Toko'!$D:$D,MATCH($I2101,'Kode Outlet dan Target Toko'!$E:$E,0)),0)</f>
        <v>1901019</v>
      </c>
      <c r="I2101" s="42" t="s">
        <v>38</v>
      </c>
      <c r="J2101" s="56" t="s">
        <v>268</v>
      </c>
      <c r="K2101" s="40" t="s">
        <v>15</v>
      </c>
      <c r="L2101" s="26">
        <v>2200</v>
      </c>
      <c r="M2101" s="26">
        <v>137</v>
      </c>
      <c r="N2101" s="25">
        <f t="shared" si="65"/>
        <v>301400</v>
      </c>
      <c r="O2101" s="56"/>
    </row>
    <row r="2102" spans="1:15" hidden="1" x14ac:dyDescent="0.3">
      <c r="A2102" s="26">
        <v>30</v>
      </c>
      <c r="B2102" s="20" t="str">
        <f t="shared" si="64"/>
        <v>JUL</v>
      </c>
      <c r="C2102" s="21">
        <v>46227</v>
      </c>
      <c r="D2102" s="22" t="str">
        <f t="array" ref="D2102">IFERROR(INDEX('Kode Outlet dan Target Toko'!$A:$A,MATCH($I2102,'Kode Outlet dan Target Toko'!$E:$E,0)),"")</f>
        <v>GRSM 5</v>
      </c>
      <c r="E2102" s="20" t="str">
        <f>IFERROR(VLOOKUP(I2102,KET!$B:$F,4,0),"")</f>
        <v>SUPRIYATI</v>
      </c>
      <c r="F2102" s="20" t="str">
        <f>IFERROR(VLOOKUP(I2102,KET!$B:$F,5,0),"")</f>
        <v>GMM</v>
      </c>
      <c r="G2102" s="20">
        <f>IFERROR(INDEX('Kode Outlet dan Target Toko'!$C:$C,MATCH($I2102,'Kode Outlet dan Target Toko'!$E:$E,0)),0)</f>
        <v>170220</v>
      </c>
      <c r="H2102" s="20">
        <f>IFERROR(INDEX('Kode Outlet dan Target Toko'!$D:$D,MATCH($I2102,'Kode Outlet dan Target Toko'!$E:$E,0)),0)</f>
        <v>1901019</v>
      </c>
      <c r="I2102" s="42" t="s">
        <v>38</v>
      </c>
      <c r="J2102" s="56" t="s">
        <v>268</v>
      </c>
      <c r="K2102" s="40" t="s">
        <v>16</v>
      </c>
      <c r="L2102" s="26">
        <v>2200</v>
      </c>
      <c r="M2102" s="26">
        <v>326</v>
      </c>
      <c r="N2102" s="25">
        <f t="shared" si="65"/>
        <v>717200</v>
      </c>
      <c r="O2102" s="56">
        <v>213</v>
      </c>
    </row>
    <row r="2103" spans="1:15" hidden="1" x14ac:dyDescent="0.3">
      <c r="A2103" s="26">
        <v>30</v>
      </c>
      <c r="B2103" s="20" t="str">
        <f t="shared" si="64"/>
        <v>JUL</v>
      </c>
      <c r="C2103" s="21">
        <v>46228</v>
      </c>
      <c r="D2103" s="22" t="str">
        <f t="array" ref="D2103">IFERROR(INDEX('Kode Outlet dan Target Toko'!$A:$A,MATCH($I2103,'Kode Outlet dan Target Toko'!$E:$E,0)),"")</f>
        <v>GRSM 5</v>
      </c>
      <c r="E2103" s="20" t="str">
        <f>IFERROR(VLOOKUP(I2103,KET!$B:$F,4,0),"")</f>
        <v>SUPRIYATI</v>
      </c>
      <c r="F2103" s="20" t="str">
        <f>IFERROR(VLOOKUP(I2103,KET!$B:$F,5,0),"")</f>
        <v>GMM</v>
      </c>
      <c r="G2103" s="20">
        <f>IFERROR(INDEX('Kode Outlet dan Target Toko'!$C:$C,MATCH($I2103,'Kode Outlet dan Target Toko'!$E:$E,0)),0)</f>
        <v>170220</v>
      </c>
      <c r="H2103" s="20">
        <f>IFERROR(INDEX('Kode Outlet dan Target Toko'!$D:$D,MATCH($I2103,'Kode Outlet dan Target Toko'!$E:$E,0)),0)</f>
        <v>9000015</v>
      </c>
      <c r="I2103" s="42" t="s">
        <v>33</v>
      </c>
      <c r="J2103" s="56" t="s">
        <v>261</v>
      </c>
      <c r="K2103" s="40" t="s">
        <v>13</v>
      </c>
      <c r="L2103" s="26">
        <v>2200</v>
      </c>
      <c r="M2103" s="26">
        <v>88</v>
      </c>
      <c r="N2103" s="25">
        <f t="shared" si="65"/>
        <v>193600</v>
      </c>
      <c r="O2103" s="56"/>
    </row>
    <row r="2104" spans="1:15" hidden="1" x14ac:dyDescent="0.3">
      <c r="A2104" s="26">
        <v>30</v>
      </c>
      <c r="B2104" s="20" t="str">
        <f t="shared" si="64"/>
        <v>JUL</v>
      </c>
      <c r="C2104" s="21">
        <v>46228</v>
      </c>
      <c r="D2104" s="22" t="str">
        <f t="array" ref="D2104">IFERROR(INDEX('Kode Outlet dan Target Toko'!$A:$A,MATCH($I2104,'Kode Outlet dan Target Toko'!$E:$E,0)),"")</f>
        <v>GRSM 5</v>
      </c>
      <c r="E2104" s="20" t="str">
        <f>IFERROR(VLOOKUP(I2104,KET!$B:$F,4,0),"")</f>
        <v>SUPRIYATI</v>
      </c>
      <c r="F2104" s="20" t="str">
        <f>IFERROR(VLOOKUP(I2104,KET!$B:$F,5,0),"")</f>
        <v>GMM</v>
      </c>
      <c r="G2104" s="20">
        <f>IFERROR(INDEX('Kode Outlet dan Target Toko'!$C:$C,MATCH($I2104,'Kode Outlet dan Target Toko'!$E:$E,0)),0)</f>
        <v>170220</v>
      </c>
      <c r="H2104" s="20">
        <f>IFERROR(INDEX('Kode Outlet dan Target Toko'!$D:$D,MATCH($I2104,'Kode Outlet dan Target Toko'!$E:$E,0)),0)</f>
        <v>9000015</v>
      </c>
      <c r="I2104" s="42" t="s">
        <v>33</v>
      </c>
      <c r="J2104" s="56" t="s">
        <v>261</v>
      </c>
      <c r="K2104" s="40" t="s">
        <v>14</v>
      </c>
      <c r="L2104" s="26">
        <v>2200</v>
      </c>
      <c r="M2104" s="26">
        <v>164</v>
      </c>
      <c r="N2104" s="25">
        <f t="shared" si="65"/>
        <v>360800</v>
      </c>
      <c r="O2104" s="56"/>
    </row>
    <row r="2105" spans="1:15" hidden="1" x14ac:dyDescent="0.3">
      <c r="A2105" s="26">
        <v>30</v>
      </c>
      <c r="B2105" s="20" t="str">
        <f t="shared" si="64"/>
        <v>JUL</v>
      </c>
      <c r="C2105" s="21">
        <v>46228</v>
      </c>
      <c r="D2105" s="22" t="str">
        <f t="array" ref="D2105">IFERROR(INDEX('Kode Outlet dan Target Toko'!$A:$A,MATCH($I2105,'Kode Outlet dan Target Toko'!$E:$E,0)),"")</f>
        <v>GRSM 5</v>
      </c>
      <c r="E2105" s="20" t="str">
        <f>IFERROR(VLOOKUP(I2105,KET!$B:$F,4,0),"")</f>
        <v>SUPRIYATI</v>
      </c>
      <c r="F2105" s="20" t="str">
        <f>IFERROR(VLOOKUP(I2105,KET!$B:$F,5,0),"")</f>
        <v>GMM</v>
      </c>
      <c r="G2105" s="20">
        <f>IFERROR(INDEX('Kode Outlet dan Target Toko'!$C:$C,MATCH($I2105,'Kode Outlet dan Target Toko'!$E:$E,0)),0)</f>
        <v>170220</v>
      </c>
      <c r="H2105" s="20">
        <f>IFERROR(INDEX('Kode Outlet dan Target Toko'!$D:$D,MATCH($I2105,'Kode Outlet dan Target Toko'!$E:$E,0)),0)</f>
        <v>9000015</v>
      </c>
      <c r="I2105" s="42" t="s">
        <v>33</v>
      </c>
      <c r="J2105" s="56" t="s">
        <v>261</v>
      </c>
      <c r="K2105" s="40" t="s">
        <v>15</v>
      </c>
      <c r="L2105" s="26">
        <v>2200</v>
      </c>
      <c r="M2105" s="26">
        <v>108</v>
      </c>
      <c r="N2105" s="25">
        <f t="shared" si="65"/>
        <v>237600</v>
      </c>
      <c r="O2105" s="56"/>
    </row>
    <row r="2106" spans="1:15" hidden="1" x14ac:dyDescent="0.3">
      <c r="A2106" s="26">
        <v>30</v>
      </c>
      <c r="B2106" s="20" t="str">
        <f t="shared" si="64"/>
        <v>JUL</v>
      </c>
      <c r="C2106" s="21">
        <v>46228</v>
      </c>
      <c r="D2106" s="22" t="str">
        <f t="array" ref="D2106">IFERROR(INDEX('Kode Outlet dan Target Toko'!$A:$A,MATCH($I2106,'Kode Outlet dan Target Toko'!$E:$E,0)),"")</f>
        <v>GRSM 5</v>
      </c>
      <c r="E2106" s="20" t="str">
        <f>IFERROR(VLOOKUP(I2106,KET!$B:$F,4,0),"")</f>
        <v>SUPRIYATI</v>
      </c>
      <c r="F2106" s="20" t="str">
        <f>IFERROR(VLOOKUP(I2106,KET!$B:$F,5,0),"")</f>
        <v>GMM</v>
      </c>
      <c r="G2106" s="20">
        <f>IFERROR(INDEX('Kode Outlet dan Target Toko'!$C:$C,MATCH($I2106,'Kode Outlet dan Target Toko'!$E:$E,0)),0)</f>
        <v>170220</v>
      </c>
      <c r="H2106" s="20">
        <f>IFERROR(INDEX('Kode Outlet dan Target Toko'!$D:$D,MATCH($I2106,'Kode Outlet dan Target Toko'!$E:$E,0)),0)</f>
        <v>9000015</v>
      </c>
      <c r="I2106" s="42" t="s">
        <v>33</v>
      </c>
      <c r="J2106" s="56" t="s">
        <v>261</v>
      </c>
      <c r="K2106" s="40" t="s">
        <v>16</v>
      </c>
      <c r="L2106" s="26">
        <v>2200</v>
      </c>
      <c r="M2106" s="26">
        <v>231</v>
      </c>
      <c r="N2106" s="25">
        <f t="shared" si="65"/>
        <v>508200</v>
      </c>
      <c r="O2106" s="56">
        <v>240</v>
      </c>
    </row>
    <row r="2107" spans="1:15" hidden="1" x14ac:dyDescent="0.3">
      <c r="A2107" s="26">
        <v>30</v>
      </c>
      <c r="B2107" s="20" t="str">
        <f t="shared" si="64"/>
        <v>JUL</v>
      </c>
      <c r="C2107" s="21">
        <v>46228</v>
      </c>
      <c r="D2107" s="22" t="str">
        <f t="array" ref="D2107">IFERROR(INDEX('Kode Outlet dan Target Toko'!$A:$A,MATCH($I2107,'Kode Outlet dan Target Toko'!$E:$E,0)),"")</f>
        <v>GRSM 5</v>
      </c>
      <c r="E2107" s="20" t="str">
        <f>IFERROR(VLOOKUP(I2107,KET!$B:$F,4,0),"")</f>
        <v>SUPRIYATI</v>
      </c>
      <c r="F2107" s="20" t="str">
        <f>IFERROR(VLOOKUP(I2107,KET!$B:$F,5,0),"")</f>
        <v>GMM</v>
      </c>
      <c r="G2107" s="20">
        <f>IFERROR(INDEX('Kode Outlet dan Target Toko'!$C:$C,MATCH($I2107,'Kode Outlet dan Target Toko'!$E:$E,0)),0)</f>
        <v>170220</v>
      </c>
      <c r="H2107" s="20">
        <f>IFERROR(INDEX('Kode Outlet dan Target Toko'!$D:$D,MATCH($I2107,'Kode Outlet dan Target Toko'!$E:$E,0)),0)</f>
        <v>9000015</v>
      </c>
      <c r="I2107" s="42" t="s">
        <v>33</v>
      </c>
      <c r="J2107" s="56" t="s">
        <v>260</v>
      </c>
      <c r="K2107" s="40" t="s">
        <v>13</v>
      </c>
      <c r="L2107" s="26">
        <v>2200</v>
      </c>
      <c r="M2107" s="26">
        <v>88</v>
      </c>
      <c r="N2107" s="25">
        <f t="shared" si="65"/>
        <v>193600</v>
      </c>
      <c r="O2107" s="56"/>
    </row>
    <row r="2108" spans="1:15" hidden="1" x14ac:dyDescent="0.3">
      <c r="A2108" s="26">
        <v>30</v>
      </c>
      <c r="B2108" s="20" t="str">
        <f t="shared" si="64"/>
        <v>JUL</v>
      </c>
      <c r="C2108" s="21">
        <v>46228</v>
      </c>
      <c r="D2108" s="22" t="str">
        <f t="array" ref="D2108">IFERROR(INDEX('Kode Outlet dan Target Toko'!$A:$A,MATCH($I2108,'Kode Outlet dan Target Toko'!$E:$E,0)),"")</f>
        <v>GRSM 5</v>
      </c>
      <c r="E2108" s="20" t="str">
        <f>IFERROR(VLOOKUP(I2108,KET!$B:$F,4,0),"")</f>
        <v>SUPRIYATI</v>
      </c>
      <c r="F2108" s="20" t="str">
        <f>IFERROR(VLOOKUP(I2108,KET!$B:$F,5,0),"")</f>
        <v>GMM</v>
      </c>
      <c r="G2108" s="20">
        <f>IFERROR(INDEX('Kode Outlet dan Target Toko'!$C:$C,MATCH($I2108,'Kode Outlet dan Target Toko'!$E:$E,0)),0)</f>
        <v>170220</v>
      </c>
      <c r="H2108" s="20">
        <f>IFERROR(INDEX('Kode Outlet dan Target Toko'!$D:$D,MATCH($I2108,'Kode Outlet dan Target Toko'!$E:$E,0)),0)</f>
        <v>9000015</v>
      </c>
      <c r="I2108" s="42" t="s">
        <v>33</v>
      </c>
      <c r="J2108" s="56" t="s">
        <v>260</v>
      </c>
      <c r="K2108" s="40" t="s">
        <v>14</v>
      </c>
      <c r="L2108" s="26">
        <v>2200</v>
      </c>
      <c r="M2108" s="26">
        <v>164</v>
      </c>
      <c r="N2108" s="25">
        <f t="shared" si="65"/>
        <v>360800</v>
      </c>
      <c r="O2108" s="56"/>
    </row>
    <row r="2109" spans="1:15" hidden="1" x14ac:dyDescent="0.3">
      <c r="A2109" s="26">
        <v>30</v>
      </c>
      <c r="B2109" s="20" t="str">
        <f t="shared" si="64"/>
        <v>JUL</v>
      </c>
      <c r="C2109" s="21">
        <v>46228</v>
      </c>
      <c r="D2109" s="22" t="str">
        <f t="array" ref="D2109">IFERROR(INDEX('Kode Outlet dan Target Toko'!$A:$A,MATCH($I2109,'Kode Outlet dan Target Toko'!$E:$E,0)),"")</f>
        <v>GRSM 5</v>
      </c>
      <c r="E2109" s="20" t="str">
        <f>IFERROR(VLOOKUP(I2109,KET!$B:$F,4,0),"")</f>
        <v>SUPRIYATI</v>
      </c>
      <c r="F2109" s="20" t="str">
        <f>IFERROR(VLOOKUP(I2109,KET!$B:$F,5,0),"")</f>
        <v>GMM</v>
      </c>
      <c r="G2109" s="20">
        <f>IFERROR(INDEX('Kode Outlet dan Target Toko'!$C:$C,MATCH($I2109,'Kode Outlet dan Target Toko'!$E:$E,0)),0)</f>
        <v>170220</v>
      </c>
      <c r="H2109" s="20">
        <f>IFERROR(INDEX('Kode Outlet dan Target Toko'!$D:$D,MATCH($I2109,'Kode Outlet dan Target Toko'!$E:$E,0)),0)</f>
        <v>9000015</v>
      </c>
      <c r="I2109" s="42" t="s">
        <v>33</v>
      </c>
      <c r="J2109" s="56" t="s">
        <v>260</v>
      </c>
      <c r="K2109" s="40" t="s">
        <v>15</v>
      </c>
      <c r="L2109" s="26">
        <v>2200</v>
      </c>
      <c r="M2109" s="26">
        <v>108</v>
      </c>
      <c r="N2109" s="25">
        <f t="shared" si="65"/>
        <v>237600</v>
      </c>
      <c r="O2109" s="56"/>
    </row>
    <row r="2110" spans="1:15" hidden="1" x14ac:dyDescent="0.3">
      <c r="A2110" s="26">
        <v>30</v>
      </c>
      <c r="B2110" s="20" t="str">
        <f t="shared" si="64"/>
        <v>JUL</v>
      </c>
      <c r="C2110" s="21">
        <v>46228</v>
      </c>
      <c r="D2110" s="22" t="str">
        <f t="array" ref="D2110">IFERROR(INDEX('Kode Outlet dan Target Toko'!$A:$A,MATCH($I2110,'Kode Outlet dan Target Toko'!$E:$E,0)),"")</f>
        <v>GRSM 5</v>
      </c>
      <c r="E2110" s="20" t="str">
        <f>IFERROR(VLOOKUP(I2110,KET!$B:$F,4,0),"")</f>
        <v>SUPRIYATI</v>
      </c>
      <c r="F2110" s="20" t="str">
        <f>IFERROR(VLOOKUP(I2110,KET!$B:$F,5,0),"")</f>
        <v>GMM</v>
      </c>
      <c r="G2110" s="20">
        <f>IFERROR(INDEX('Kode Outlet dan Target Toko'!$C:$C,MATCH($I2110,'Kode Outlet dan Target Toko'!$E:$E,0)),0)</f>
        <v>170220</v>
      </c>
      <c r="H2110" s="20">
        <f>IFERROR(INDEX('Kode Outlet dan Target Toko'!$D:$D,MATCH($I2110,'Kode Outlet dan Target Toko'!$E:$E,0)),0)</f>
        <v>9000015</v>
      </c>
      <c r="I2110" s="42" t="s">
        <v>33</v>
      </c>
      <c r="J2110" s="56" t="s">
        <v>260</v>
      </c>
      <c r="K2110" s="40" t="s">
        <v>16</v>
      </c>
      <c r="L2110" s="26">
        <v>2200</v>
      </c>
      <c r="M2110" s="26">
        <v>231</v>
      </c>
      <c r="N2110" s="25">
        <f t="shared" si="65"/>
        <v>508200</v>
      </c>
      <c r="O2110" s="56">
        <v>240</v>
      </c>
    </row>
    <row r="2111" spans="1:15" hidden="1" x14ac:dyDescent="0.3">
      <c r="A2111" s="26">
        <v>30</v>
      </c>
      <c r="B2111" s="20" t="str">
        <f t="shared" si="64"/>
        <v>JUL</v>
      </c>
      <c r="C2111" s="21">
        <v>46228</v>
      </c>
      <c r="D2111" s="22" t="str">
        <f t="array" ref="D2111">IFERROR(INDEX('Kode Outlet dan Target Toko'!$A:$A,MATCH($I2111,'Kode Outlet dan Target Toko'!$E:$E,0)),"")</f>
        <v>GRSM 5</v>
      </c>
      <c r="E2111" s="20" t="str">
        <f>IFERROR(VLOOKUP(I2111,KET!$B:$F,4,0),"")</f>
        <v>SUPRIYATI</v>
      </c>
      <c r="F2111" s="20" t="str">
        <f>IFERROR(VLOOKUP(I2111,KET!$B:$F,5,0),"")</f>
        <v>GMM</v>
      </c>
      <c r="G2111" s="20">
        <f>IFERROR(INDEX('Kode Outlet dan Target Toko'!$C:$C,MATCH($I2111,'Kode Outlet dan Target Toko'!$E:$E,0)),0)</f>
        <v>170220</v>
      </c>
      <c r="H2111" s="20">
        <f>IFERROR(INDEX('Kode Outlet dan Target Toko'!$D:$D,MATCH($I2111,'Kode Outlet dan Target Toko'!$E:$E,0)),0)</f>
        <v>1901019</v>
      </c>
      <c r="I2111" s="42" t="s">
        <v>38</v>
      </c>
      <c r="J2111" s="56" t="s">
        <v>267</v>
      </c>
      <c r="K2111" s="40" t="s">
        <v>13</v>
      </c>
      <c r="L2111" s="26">
        <v>2200</v>
      </c>
      <c r="M2111" s="26">
        <v>87</v>
      </c>
      <c r="N2111" s="25">
        <f t="shared" si="65"/>
        <v>191400</v>
      </c>
      <c r="O2111" s="56"/>
    </row>
    <row r="2112" spans="1:15" hidden="1" x14ac:dyDescent="0.3">
      <c r="A2112" s="26">
        <v>30</v>
      </c>
      <c r="B2112" s="20" t="str">
        <f t="shared" si="64"/>
        <v>JUL</v>
      </c>
      <c r="C2112" s="21">
        <v>46228</v>
      </c>
      <c r="D2112" s="22" t="str">
        <f t="array" ref="D2112">IFERROR(INDEX('Kode Outlet dan Target Toko'!$A:$A,MATCH($I2112,'Kode Outlet dan Target Toko'!$E:$E,0)),"")</f>
        <v>GRSM 5</v>
      </c>
      <c r="E2112" s="20" t="str">
        <f>IFERROR(VLOOKUP(I2112,KET!$B:$F,4,0),"")</f>
        <v>SUPRIYATI</v>
      </c>
      <c r="F2112" s="20" t="str">
        <f>IFERROR(VLOOKUP(I2112,KET!$B:$F,5,0),"")</f>
        <v>GMM</v>
      </c>
      <c r="G2112" s="20">
        <f>IFERROR(INDEX('Kode Outlet dan Target Toko'!$C:$C,MATCH($I2112,'Kode Outlet dan Target Toko'!$E:$E,0)),0)</f>
        <v>170220</v>
      </c>
      <c r="H2112" s="20">
        <f>IFERROR(INDEX('Kode Outlet dan Target Toko'!$D:$D,MATCH($I2112,'Kode Outlet dan Target Toko'!$E:$E,0)),0)</f>
        <v>1901019</v>
      </c>
      <c r="I2112" s="42" t="s">
        <v>38</v>
      </c>
      <c r="J2112" s="56" t="s">
        <v>267</v>
      </c>
      <c r="K2112" s="40" t="s">
        <v>14</v>
      </c>
      <c r="L2112" s="26">
        <v>2200</v>
      </c>
      <c r="M2112" s="26">
        <v>72</v>
      </c>
      <c r="N2112" s="25">
        <f t="shared" si="65"/>
        <v>158400</v>
      </c>
      <c r="O2112" s="56"/>
    </row>
    <row r="2113" spans="1:15" hidden="1" x14ac:dyDescent="0.3">
      <c r="A2113" s="26">
        <v>30</v>
      </c>
      <c r="B2113" s="20" t="str">
        <f t="shared" si="64"/>
        <v>JUL</v>
      </c>
      <c r="C2113" s="21">
        <v>46228</v>
      </c>
      <c r="D2113" s="22" t="str">
        <f t="array" ref="D2113">IFERROR(INDEX('Kode Outlet dan Target Toko'!$A:$A,MATCH($I2113,'Kode Outlet dan Target Toko'!$E:$E,0)),"")</f>
        <v>GRSM 5</v>
      </c>
      <c r="E2113" s="20" t="str">
        <f>IFERROR(VLOOKUP(I2113,KET!$B:$F,4,0),"")</f>
        <v>SUPRIYATI</v>
      </c>
      <c r="F2113" s="20" t="str">
        <f>IFERROR(VLOOKUP(I2113,KET!$B:$F,5,0),"")</f>
        <v>GMM</v>
      </c>
      <c r="G2113" s="20">
        <f>IFERROR(INDEX('Kode Outlet dan Target Toko'!$C:$C,MATCH($I2113,'Kode Outlet dan Target Toko'!$E:$E,0)),0)</f>
        <v>170220</v>
      </c>
      <c r="H2113" s="20">
        <f>IFERROR(INDEX('Kode Outlet dan Target Toko'!$D:$D,MATCH($I2113,'Kode Outlet dan Target Toko'!$E:$E,0)),0)</f>
        <v>1901019</v>
      </c>
      <c r="I2113" s="42" t="s">
        <v>38</v>
      </c>
      <c r="J2113" s="56" t="s">
        <v>267</v>
      </c>
      <c r="K2113" s="40" t="s">
        <v>15</v>
      </c>
      <c r="L2113" s="26">
        <v>2200</v>
      </c>
      <c r="M2113" s="26">
        <v>83</v>
      </c>
      <c r="N2113" s="25">
        <f t="shared" si="65"/>
        <v>182600</v>
      </c>
      <c r="O2113" s="56"/>
    </row>
    <row r="2114" spans="1:15" hidden="1" x14ac:dyDescent="0.3">
      <c r="A2114" s="26">
        <v>30</v>
      </c>
      <c r="B2114" s="20" t="str">
        <f t="shared" si="64"/>
        <v>JUL</v>
      </c>
      <c r="C2114" s="21">
        <v>46228</v>
      </c>
      <c r="D2114" s="22" t="str">
        <f t="array" ref="D2114">IFERROR(INDEX('Kode Outlet dan Target Toko'!$A:$A,MATCH($I2114,'Kode Outlet dan Target Toko'!$E:$E,0)),"")</f>
        <v>GRSM 5</v>
      </c>
      <c r="E2114" s="20" t="str">
        <f>IFERROR(VLOOKUP(I2114,KET!$B:$F,4,0),"")</f>
        <v>SUPRIYATI</v>
      </c>
      <c r="F2114" s="20" t="str">
        <f>IFERROR(VLOOKUP(I2114,KET!$B:$F,5,0),"")</f>
        <v>GMM</v>
      </c>
      <c r="G2114" s="20">
        <f>IFERROR(INDEX('Kode Outlet dan Target Toko'!$C:$C,MATCH($I2114,'Kode Outlet dan Target Toko'!$E:$E,0)),0)</f>
        <v>170220</v>
      </c>
      <c r="H2114" s="20">
        <f>IFERROR(INDEX('Kode Outlet dan Target Toko'!$D:$D,MATCH($I2114,'Kode Outlet dan Target Toko'!$E:$E,0)),0)</f>
        <v>1901019</v>
      </c>
      <c r="I2114" s="42" t="s">
        <v>38</v>
      </c>
      <c r="J2114" s="56" t="s">
        <v>267</v>
      </c>
      <c r="K2114" s="40" t="s">
        <v>16</v>
      </c>
      <c r="L2114" s="26">
        <v>2200</v>
      </c>
      <c r="M2114" s="26">
        <v>294</v>
      </c>
      <c r="N2114" s="25">
        <f t="shared" si="65"/>
        <v>646800</v>
      </c>
      <c r="O2114" s="56">
        <v>193</v>
      </c>
    </row>
    <row r="2115" spans="1:15" hidden="1" x14ac:dyDescent="0.3">
      <c r="A2115" s="26">
        <v>30</v>
      </c>
      <c r="B2115" s="20" t="str">
        <f t="shared" si="64"/>
        <v>JUL</v>
      </c>
      <c r="C2115" s="21">
        <v>46228</v>
      </c>
      <c r="D2115" s="22" t="str">
        <f t="array" ref="D2115">IFERROR(INDEX('Kode Outlet dan Target Toko'!$A:$A,MATCH($I2115,'Kode Outlet dan Target Toko'!$E:$E,0)),"")</f>
        <v>GRSM 5</v>
      </c>
      <c r="E2115" s="20" t="str">
        <f>IFERROR(VLOOKUP(I2115,KET!$B:$F,4,0),"")</f>
        <v>SUPRIYATI</v>
      </c>
      <c r="F2115" s="20" t="str">
        <f>IFERROR(VLOOKUP(I2115,KET!$B:$F,5,0),"")</f>
        <v>GMM</v>
      </c>
      <c r="G2115" s="20">
        <f>IFERROR(INDEX('Kode Outlet dan Target Toko'!$C:$C,MATCH($I2115,'Kode Outlet dan Target Toko'!$E:$E,0)),0)</f>
        <v>170220</v>
      </c>
      <c r="H2115" s="20">
        <f>IFERROR(INDEX('Kode Outlet dan Target Toko'!$D:$D,MATCH($I2115,'Kode Outlet dan Target Toko'!$E:$E,0)),0)</f>
        <v>1901019</v>
      </c>
      <c r="I2115" s="42" t="s">
        <v>38</v>
      </c>
      <c r="J2115" s="56" t="s">
        <v>268</v>
      </c>
      <c r="K2115" s="40" t="s">
        <v>13</v>
      </c>
      <c r="L2115" s="26">
        <v>2200</v>
      </c>
      <c r="M2115" s="26">
        <v>87</v>
      </c>
      <c r="N2115" s="25">
        <f t="shared" si="65"/>
        <v>191400</v>
      </c>
      <c r="O2115" s="56"/>
    </row>
    <row r="2116" spans="1:15" hidden="1" x14ac:dyDescent="0.3">
      <c r="A2116" s="26">
        <v>30</v>
      </c>
      <c r="B2116" s="20" t="str">
        <f t="shared" si="64"/>
        <v>JUL</v>
      </c>
      <c r="C2116" s="21">
        <v>46228</v>
      </c>
      <c r="D2116" s="22" t="str">
        <f t="array" ref="D2116">IFERROR(INDEX('Kode Outlet dan Target Toko'!$A:$A,MATCH($I2116,'Kode Outlet dan Target Toko'!$E:$E,0)),"")</f>
        <v>GRSM 5</v>
      </c>
      <c r="E2116" s="20" t="str">
        <f>IFERROR(VLOOKUP(I2116,KET!$B:$F,4,0),"")</f>
        <v>SUPRIYATI</v>
      </c>
      <c r="F2116" s="20" t="str">
        <f>IFERROR(VLOOKUP(I2116,KET!$B:$F,5,0),"")</f>
        <v>GMM</v>
      </c>
      <c r="G2116" s="20">
        <f>IFERROR(INDEX('Kode Outlet dan Target Toko'!$C:$C,MATCH($I2116,'Kode Outlet dan Target Toko'!$E:$E,0)),0)</f>
        <v>170220</v>
      </c>
      <c r="H2116" s="20">
        <f>IFERROR(INDEX('Kode Outlet dan Target Toko'!$D:$D,MATCH($I2116,'Kode Outlet dan Target Toko'!$E:$E,0)),0)</f>
        <v>1901019</v>
      </c>
      <c r="I2116" s="42" t="s">
        <v>38</v>
      </c>
      <c r="J2116" s="56" t="s">
        <v>268</v>
      </c>
      <c r="K2116" s="40" t="s">
        <v>14</v>
      </c>
      <c r="L2116" s="26">
        <v>2200</v>
      </c>
      <c r="M2116" s="26">
        <v>72</v>
      </c>
      <c r="N2116" s="25">
        <f t="shared" si="65"/>
        <v>158400</v>
      </c>
      <c r="O2116" s="56"/>
    </row>
    <row r="2117" spans="1:15" hidden="1" x14ac:dyDescent="0.3">
      <c r="A2117" s="26">
        <v>30</v>
      </c>
      <c r="B2117" s="20" t="str">
        <f t="shared" si="64"/>
        <v>JUL</v>
      </c>
      <c r="C2117" s="21">
        <v>46228</v>
      </c>
      <c r="D2117" s="22" t="str">
        <f t="array" ref="D2117">IFERROR(INDEX('Kode Outlet dan Target Toko'!$A:$A,MATCH($I2117,'Kode Outlet dan Target Toko'!$E:$E,0)),"")</f>
        <v>GRSM 5</v>
      </c>
      <c r="E2117" s="20" t="str">
        <f>IFERROR(VLOOKUP(I2117,KET!$B:$F,4,0),"")</f>
        <v>SUPRIYATI</v>
      </c>
      <c r="F2117" s="20" t="str">
        <f>IFERROR(VLOOKUP(I2117,KET!$B:$F,5,0),"")</f>
        <v>GMM</v>
      </c>
      <c r="G2117" s="20">
        <f>IFERROR(INDEX('Kode Outlet dan Target Toko'!$C:$C,MATCH($I2117,'Kode Outlet dan Target Toko'!$E:$E,0)),0)</f>
        <v>170220</v>
      </c>
      <c r="H2117" s="20">
        <f>IFERROR(INDEX('Kode Outlet dan Target Toko'!$D:$D,MATCH($I2117,'Kode Outlet dan Target Toko'!$E:$E,0)),0)</f>
        <v>1901019</v>
      </c>
      <c r="I2117" s="42" t="s">
        <v>38</v>
      </c>
      <c r="J2117" s="56" t="s">
        <v>268</v>
      </c>
      <c r="K2117" s="40" t="s">
        <v>15</v>
      </c>
      <c r="L2117" s="26">
        <v>2200</v>
      </c>
      <c r="M2117" s="26">
        <v>83</v>
      </c>
      <c r="N2117" s="25">
        <f t="shared" si="65"/>
        <v>182600</v>
      </c>
      <c r="O2117" s="56"/>
    </row>
    <row r="2118" spans="1:15" hidden="1" x14ac:dyDescent="0.3">
      <c r="A2118" s="26">
        <v>30</v>
      </c>
      <c r="B2118" s="20" t="str">
        <f t="shared" si="64"/>
        <v>JUL</v>
      </c>
      <c r="C2118" s="21">
        <v>46228</v>
      </c>
      <c r="D2118" s="22" t="str">
        <f t="array" ref="D2118">IFERROR(INDEX('Kode Outlet dan Target Toko'!$A:$A,MATCH($I2118,'Kode Outlet dan Target Toko'!$E:$E,0)),"")</f>
        <v>GRSM 5</v>
      </c>
      <c r="E2118" s="20" t="str">
        <f>IFERROR(VLOOKUP(I2118,KET!$B:$F,4,0),"")</f>
        <v>SUPRIYATI</v>
      </c>
      <c r="F2118" s="20" t="str">
        <f>IFERROR(VLOOKUP(I2118,KET!$B:$F,5,0),"")</f>
        <v>GMM</v>
      </c>
      <c r="G2118" s="20">
        <f>IFERROR(INDEX('Kode Outlet dan Target Toko'!$C:$C,MATCH($I2118,'Kode Outlet dan Target Toko'!$E:$E,0)),0)</f>
        <v>170220</v>
      </c>
      <c r="H2118" s="20">
        <f>IFERROR(INDEX('Kode Outlet dan Target Toko'!$D:$D,MATCH($I2118,'Kode Outlet dan Target Toko'!$E:$E,0)),0)</f>
        <v>1901019</v>
      </c>
      <c r="I2118" s="42" t="s">
        <v>38</v>
      </c>
      <c r="J2118" s="56" t="s">
        <v>268</v>
      </c>
      <c r="K2118" s="40" t="s">
        <v>16</v>
      </c>
      <c r="L2118" s="26">
        <v>2200</v>
      </c>
      <c r="M2118" s="26">
        <v>294</v>
      </c>
      <c r="N2118" s="25">
        <f t="shared" si="65"/>
        <v>646800</v>
      </c>
      <c r="O2118" s="56">
        <v>193</v>
      </c>
    </row>
    <row r="2119" spans="1:15" hidden="1" x14ac:dyDescent="0.3">
      <c r="A2119" s="26">
        <v>30</v>
      </c>
      <c r="B2119" s="20" t="str">
        <f t="shared" ref="B2119:B2182" si="66">IF(C2119="","",UPPER(TEXT(C2119, "MMM")))</f>
        <v>JUL</v>
      </c>
      <c r="C2119" s="21">
        <v>46228</v>
      </c>
      <c r="D2119" s="22" t="str">
        <f t="array" ref="D2119">IFERROR(INDEX('Kode Outlet dan Target Toko'!$A:$A,MATCH($I2119,'Kode Outlet dan Target Toko'!$E:$E,0)),"")</f>
        <v>GRSM 5</v>
      </c>
      <c r="E2119" s="20" t="str">
        <f>IFERROR(VLOOKUP(I2119,KET!$B:$F,4,0),"")</f>
        <v>SUPRIYATI</v>
      </c>
      <c r="F2119" s="20" t="str">
        <f>IFERROR(VLOOKUP(I2119,KET!$B:$F,5,0),"")</f>
        <v>GMM</v>
      </c>
      <c r="G2119" s="20">
        <f>IFERROR(INDEX('Kode Outlet dan Target Toko'!$C:$C,MATCH($I2119,'Kode Outlet dan Target Toko'!$E:$E,0)),0)</f>
        <v>170220</v>
      </c>
      <c r="H2119" s="20">
        <f>IFERROR(INDEX('Kode Outlet dan Target Toko'!$D:$D,MATCH($I2119,'Kode Outlet dan Target Toko'!$E:$E,0)),0)</f>
        <v>1901004</v>
      </c>
      <c r="I2119" s="42" t="s">
        <v>36</v>
      </c>
      <c r="J2119" s="56" t="s">
        <v>263</v>
      </c>
      <c r="K2119" s="40" t="s">
        <v>13</v>
      </c>
      <c r="L2119" s="26">
        <v>2200</v>
      </c>
      <c r="M2119" s="26">
        <v>40</v>
      </c>
      <c r="N2119" s="25">
        <f t="shared" ref="N2119:N2182" si="67">IFERROR(M2119*L2119,"")</f>
        <v>88000</v>
      </c>
      <c r="O2119" s="56"/>
    </row>
    <row r="2120" spans="1:15" hidden="1" x14ac:dyDescent="0.3">
      <c r="A2120" s="26">
        <v>30</v>
      </c>
      <c r="B2120" s="20" t="str">
        <f t="shared" si="66"/>
        <v>JUL</v>
      </c>
      <c r="C2120" s="21">
        <v>46228</v>
      </c>
      <c r="D2120" s="22" t="str">
        <f t="array" ref="D2120">IFERROR(INDEX('Kode Outlet dan Target Toko'!$A:$A,MATCH($I2120,'Kode Outlet dan Target Toko'!$E:$E,0)),"")</f>
        <v>GRSM 5</v>
      </c>
      <c r="E2120" s="20" t="str">
        <f>IFERROR(VLOOKUP(I2120,KET!$B:$F,4,0),"")</f>
        <v>SUPRIYATI</v>
      </c>
      <c r="F2120" s="20" t="str">
        <f>IFERROR(VLOOKUP(I2120,KET!$B:$F,5,0),"")</f>
        <v>GMM</v>
      </c>
      <c r="G2120" s="20">
        <f>IFERROR(INDEX('Kode Outlet dan Target Toko'!$C:$C,MATCH($I2120,'Kode Outlet dan Target Toko'!$E:$E,0)),0)</f>
        <v>170220</v>
      </c>
      <c r="H2120" s="20">
        <f>IFERROR(INDEX('Kode Outlet dan Target Toko'!$D:$D,MATCH($I2120,'Kode Outlet dan Target Toko'!$E:$E,0)),0)</f>
        <v>1901004</v>
      </c>
      <c r="I2120" s="42" t="s">
        <v>36</v>
      </c>
      <c r="J2120" s="56" t="s">
        <v>263</v>
      </c>
      <c r="K2120" s="40" t="s">
        <v>14</v>
      </c>
      <c r="L2120" s="26">
        <v>2200</v>
      </c>
      <c r="M2120" s="26">
        <v>280</v>
      </c>
      <c r="N2120" s="25">
        <f t="shared" si="67"/>
        <v>616000</v>
      </c>
      <c r="O2120" s="56"/>
    </row>
    <row r="2121" spans="1:15" hidden="1" x14ac:dyDescent="0.3">
      <c r="A2121" s="26">
        <v>30</v>
      </c>
      <c r="B2121" s="20" t="str">
        <f t="shared" si="66"/>
        <v>JUL</v>
      </c>
      <c r="C2121" s="21">
        <v>46228</v>
      </c>
      <c r="D2121" s="22" t="str">
        <f t="array" ref="D2121">IFERROR(INDEX('Kode Outlet dan Target Toko'!$A:$A,MATCH($I2121,'Kode Outlet dan Target Toko'!$E:$E,0)),"")</f>
        <v>GRSM 5</v>
      </c>
      <c r="E2121" s="20" t="str">
        <f>IFERROR(VLOOKUP(I2121,KET!$B:$F,4,0),"")</f>
        <v>SUPRIYATI</v>
      </c>
      <c r="F2121" s="20" t="str">
        <f>IFERROR(VLOOKUP(I2121,KET!$B:$F,5,0),"")</f>
        <v>GMM</v>
      </c>
      <c r="G2121" s="20">
        <f>IFERROR(INDEX('Kode Outlet dan Target Toko'!$C:$C,MATCH($I2121,'Kode Outlet dan Target Toko'!$E:$E,0)),0)</f>
        <v>170220</v>
      </c>
      <c r="H2121" s="20">
        <f>IFERROR(INDEX('Kode Outlet dan Target Toko'!$D:$D,MATCH($I2121,'Kode Outlet dan Target Toko'!$E:$E,0)),0)</f>
        <v>1901004</v>
      </c>
      <c r="I2121" s="42" t="s">
        <v>36</v>
      </c>
      <c r="J2121" s="56" t="s">
        <v>263</v>
      </c>
      <c r="K2121" s="40" t="s">
        <v>15</v>
      </c>
      <c r="L2121" s="26">
        <v>2200</v>
      </c>
      <c r="M2121" s="26">
        <v>120</v>
      </c>
      <c r="N2121" s="25">
        <f t="shared" si="67"/>
        <v>264000</v>
      </c>
      <c r="O2121" s="56"/>
    </row>
    <row r="2122" spans="1:15" hidden="1" x14ac:dyDescent="0.3">
      <c r="A2122" s="26">
        <v>30</v>
      </c>
      <c r="B2122" s="20" t="str">
        <f t="shared" si="66"/>
        <v>JUL</v>
      </c>
      <c r="C2122" s="21">
        <v>46228</v>
      </c>
      <c r="D2122" s="22" t="str">
        <f t="array" ref="D2122">IFERROR(INDEX('Kode Outlet dan Target Toko'!$A:$A,MATCH($I2122,'Kode Outlet dan Target Toko'!$E:$E,0)),"")</f>
        <v>GRSM 5</v>
      </c>
      <c r="E2122" s="20" t="str">
        <f>IFERROR(VLOOKUP(I2122,KET!$B:$F,4,0),"")</f>
        <v>SUPRIYATI</v>
      </c>
      <c r="F2122" s="20" t="str">
        <f>IFERROR(VLOOKUP(I2122,KET!$B:$F,5,0),"")</f>
        <v>GMM</v>
      </c>
      <c r="G2122" s="20">
        <f>IFERROR(INDEX('Kode Outlet dan Target Toko'!$C:$C,MATCH($I2122,'Kode Outlet dan Target Toko'!$E:$E,0)),0)</f>
        <v>170220</v>
      </c>
      <c r="H2122" s="20">
        <f>IFERROR(INDEX('Kode Outlet dan Target Toko'!$D:$D,MATCH($I2122,'Kode Outlet dan Target Toko'!$E:$E,0)),0)</f>
        <v>1901004</v>
      </c>
      <c r="I2122" s="42" t="s">
        <v>36</v>
      </c>
      <c r="J2122" s="56" t="s">
        <v>263</v>
      </c>
      <c r="K2122" s="40" t="s">
        <v>16</v>
      </c>
      <c r="L2122" s="26">
        <v>2200</v>
      </c>
      <c r="M2122" s="26">
        <v>440</v>
      </c>
      <c r="N2122" s="25">
        <f t="shared" si="67"/>
        <v>968000</v>
      </c>
      <c r="O2122" s="56">
        <v>320</v>
      </c>
    </row>
    <row r="2123" spans="1:15" hidden="1" x14ac:dyDescent="0.3">
      <c r="A2123" s="26">
        <v>30</v>
      </c>
      <c r="B2123" s="20" t="str">
        <f t="shared" si="66"/>
        <v>JUL</v>
      </c>
      <c r="C2123" s="21">
        <v>46228</v>
      </c>
      <c r="D2123" s="22" t="str">
        <f t="array" ref="D2123">IFERROR(INDEX('Kode Outlet dan Target Toko'!$A:$A,MATCH($I2123,'Kode Outlet dan Target Toko'!$E:$E,0)),"")</f>
        <v>GRSM 5</v>
      </c>
      <c r="E2123" s="20" t="str">
        <f>IFERROR(VLOOKUP(I2123,KET!$B:$F,4,0),"")</f>
        <v>SUPRIYATI</v>
      </c>
      <c r="F2123" s="20" t="str">
        <f>IFERROR(VLOOKUP(I2123,KET!$B:$F,5,0),"")</f>
        <v>GMM</v>
      </c>
      <c r="G2123" s="20">
        <f>IFERROR(INDEX('Kode Outlet dan Target Toko'!$C:$C,MATCH($I2123,'Kode Outlet dan Target Toko'!$E:$E,0)),0)</f>
        <v>170220</v>
      </c>
      <c r="H2123" s="20">
        <f>IFERROR(INDEX('Kode Outlet dan Target Toko'!$D:$D,MATCH($I2123,'Kode Outlet dan Target Toko'!$E:$E,0)),0)</f>
        <v>1901004</v>
      </c>
      <c r="I2123" s="42" t="s">
        <v>36</v>
      </c>
      <c r="J2123" s="56" t="s">
        <v>264</v>
      </c>
      <c r="K2123" s="40" t="s">
        <v>13</v>
      </c>
      <c r="L2123" s="26">
        <v>2200</v>
      </c>
      <c r="M2123" s="26">
        <v>40</v>
      </c>
      <c r="N2123" s="25">
        <f t="shared" si="67"/>
        <v>88000</v>
      </c>
      <c r="O2123" s="56"/>
    </row>
    <row r="2124" spans="1:15" hidden="1" x14ac:dyDescent="0.3">
      <c r="A2124" s="26">
        <v>30</v>
      </c>
      <c r="B2124" s="20" t="str">
        <f t="shared" si="66"/>
        <v>JUL</v>
      </c>
      <c r="C2124" s="21">
        <v>46228</v>
      </c>
      <c r="D2124" s="22" t="str">
        <f t="array" ref="D2124">IFERROR(INDEX('Kode Outlet dan Target Toko'!$A:$A,MATCH($I2124,'Kode Outlet dan Target Toko'!$E:$E,0)),"")</f>
        <v>GRSM 5</v>
      </c>
      <c r="E2124" s="20" t="str">
        <f>IFERROR(VLOOKUP(I2124,KET!$B:$F,4,0),"")</f>
        <v>SUPRIYATI</v>
      </c>
      <c r="F2124" s="20" t="str">
        <f>IFERROR(VLOOKUP(I2124,KET!$B:$F,5,0),"")</f>
        <v>GMM</v>
      </c>
      <c r="G2124" s="20">
        <f>IFERROR(INDEX('Kode Outlet dan Target Toko'!$C:$C,MATCH($I2124,'Kode Outlet dan Target Toko'!$E:$E,0)),0)</f>
        <v>170220</v>
      </c>
      <c r="H2124" s="20">
        <f>IFERROR(INDEX('Kode Outlet dan Target Toko'!$D:$D,MATCH($I2124,'Kode Outlet dan Target Toko'!$E:$E,0)),0)</f>
        <v>1901004</v>
      </c>
      <c r="I2124" s="42" t="s">
        <v>36</v>
      </c>
      <c r="J2124" s="56" t="s">
        <v>264</v>
      </c>
      <c r="K2124" s="40" t="s">
        <v>14</v>
      </c>
      <c r="L2124" s="26">
        <v>2200</v>
      </c>
      <c r="M2124" s="26">
        <v>280</v>
      </c>
      <c r="N2124" s="25">
        <f t="shared" si="67"/>
        <v>616000</v>
      </c>
      <c r="O2124" s="56"/>
    </row>
    <row r="2125" spans="1:15" hidden="1" x14ac:dyDescent="0.3">
      <c r="A2125" s="26">
        <v>30</v>
      </c>
      <c r="B2125" s="20" t="str">
        <f t="shared" si="66"/>
        <v>JUL</v>
      </c>
      <c r="C2125" s="21">
        <v>46228</v>
      </c>
      <c r="D2125" s="22" t="str">
        <f t="array" ref="D2125">IFERROR(INDEX('Kode Outlet dan Target Toko'!$A:$A,MATCH($I2125,'Kode Outlet dan Target Toko'!$E:$E,0)),"")</f>
        <v>GRSM 5</v>
      </c>
      <c r="E2125" s="20" t="str">
        <f>IFERROR(VLOOKUP(I2125,KET!$B:$F,4,0),"")</f>
        <v>SUPRIYATI</v>
      </c>
      <c r="F2125" s="20" t="str">
        <f>IFERROR(VLOOKUP(I2125,KET!$B:$F,5,0),"")</f>
        <v>GMM</v>
      </c>
      <c r="G2125" s="20">
        <f>IFERROR(INDEX('Kode Outlet dan Target Toko'!$C:$C,MATCH($I2125,'Kode Outlet dan Target Toko'!$E:$E,0)),0)</f>
        <v>170220</v>
      </c>
      <c r="H2125" s="20">
        <f>IFERROR(INDEX('Kode Outlet dan Target Toko'!$D:$D,MATCH($I2125,'Kode Outlet dan Target Toko'!$E:$E,0)),0)</f>
        <v>1901004</v>
      </c>
      <c r="I2125" s="42" t="s">
        <v>36</v>
      </c>
      <c r="J2125" s="56" t="s">
        <v>264</v>
      </c>
      <c r="K2125" s="40" t="s">
        <v>15</v>
      </c>
      <c r="L2125" s="26">
        <v>2200</v>
      </c>
      <c r="M2125" s="26">
        <v>120</v>
      </c>
      <c r="N2125" s="25">
        <f t="shared" si="67"/>
        <v>264000</v>
      </c>
      <c r="O2125" s="56"/>
    </row>
    <row r="2126" spans="1:15" hidden="1" x14ac:dyDescent="0.3">
      <c r="A2126" s="26">
        <v>30</v>
      </c>
      <c r="B2126" s="20" t="str">
        <f t="shared" si="66"/>
        <v>JUL</v>
      </c>
      <c r="C2126" s="21">
        <v>46228</v>
      </c>
      <c r="D2126" s="22" t="str">
        <f t="array" ref="D2126">IFERROR(INDEX('Kode Outlet dan Target Toko'!$A:$A,MATCH($I2126,'Kode Outlet dan Target Toko'!$E:$E,0)),"")</f>
        <v>GRSM 5</v>
      </c>
      <c r="E2126" s="20" t="str">
        <f>IFERROR(VLOOKUP(I2126,KET!$B:$F,4,0),"")</f>
        <v>SUPRIYATI</v>
      </c>
      <c r="F2126" s="20" t="str">
        <f>IFERROR(VLOOKUP(I2126,KET!$B:$F,5,0),"")</f>
        <v>GMM</v>
      </c>
      <c r="G2126" s="20">
        <f>IFERROR(INDEX('Kode Outlet dan Target Toko'!$C:$C,MATCH($I2126,'Kode Outlet dan Target Toko'!$E:$E,0)),0)</f>
        <v>170220</v>
      </c>
      <c r="H2126" s="20">
        <f>IFERROR(INDEX('Kode Outlet dan Target Toko'!$D:$D,MATCH($I2126,'Kode Outlet dan Target Toko'!$E:$E,0)),0)</f>
        <v>1901004</v>
      </c>
      <c r="I2126" s="42" t="s">
        <v>36</v>
      </c>
      <c r="J2126" s="56" t="s">
        <v>264</v>
      </c>
      <c r="K2126" s="40" t="s">
        <v>16</v>
      </c>
      <c r="L2126" s="26">
        <v>2200</v>
      </c>
      <c r="M2126" s="26">
        <v>440</v>
      </c>
      <c r="N2126" s="25">
        <f t="shared" si="67"/>
        <v>968000</v>
      </c>
      <c r="O2126" s="56">
        <v>320</v>
      </c>
    </row>
    <row r="2127" spans="1:15" hidden="1" x14ac:dyDescent="0.3">
      <c r="A2127" s="26">
        <v>30</v>
      </c>
      <c r="B2127" s="20" t="str">
        <f t="shared" si="66"/>
        <v>JUL</v>
      </c>
      <c r="C2127" s="21">
        <v>46228</v>
      </c>
      <c r="D2127" s="22" t="str">
        <f t="array" ref="D2127">IFERROR(INDEX('Kode Outlet dan Target Toko'!$A:$A,MATCH($I2127,'Kode Outlet dan Target Toko'!$E:$E,0)),"")</f>
        <v>GRSM 5</v>
      </c>
      <c r="E2127" s="20" t="str">
        <f>IFERROR(VLOOKUP(I2127,KET!$B:$F,4,0),"")</f>
        <v>SUPRIYATI</v>
      </c>
      <c r="F2127" s="20" t="str">
        <f>IFERROR(VLOOKUP(I2127,KET!$B:$F,5,0),"")</f>
        <v>GMM</v>
      </c>
      <c r="G2127" s="20">
        <f>IFERROR(INDEX('Kode Outlet dan Target Toko'!$C:$C,MATCH($I2127,'Kode Outlet dan Target Toko'!$E:$E,0)),0)</f>
        <v>170220</v>
      </c>
      <c r="H2127" s="20">
        <f>IFERROR(INDEX('Kode Outlet dan Target Toko'!$D:$D,MATCH($I2127,'Kode Outlet dan Target Toko'!$E:$E,0)),0)</f>
        <v>9000015</v>
      </c>
      <c r="I2127" s="42" t="s">
        <v>37</v>
      </c>
      <c r="J2127" s="56" t="s">
        <v>265</v>
      </c>
      <c r="K2127" s="40" t="s">
        <v>13</v>
      </c>
      <c r="L2127" s="26">
        <v>2217</v>
      </c>
      <c r="M2127" s="26">
        <v>81</v>
      </c>
      <c r="N2127" s="25">
        <f t="shared" si="67"/>
        <v>179577</v>
      </c>
      <c r="O2127" s="56"/>
    </row>
    <row r="2128" spans="1:15" hidden="1" x14ac:dyDescent="0.3">
      <c r="A2128" s="26">
        <v>30</v>
      </c>
      <c r="B2128" s="20" t="str">
        <f t="shared" si="66"/>
        <v>JUL</v>
      </c>
      <c r="C2128" s="21">
        <v>46228</v>
      </c>
      <c r="D2128" s="22" t="str">
        <f t="array" ref="D2128">IFERROR(INDEX('Kode Outlet dan Target Toko'!$A:$A,MATCH($I2128,'Kode Outlet dan Target Toko'!$E:$E,0)),"")</f>
        <v>GRSM 5</v>
      </c>
      <c r="E2128" s="20" t="str">
        <f>IFERROR(VLOOKUP(I2128,KET!$B:$F,4,0),"")</f>
        <v>SUPRIYATI</v>
      </c>
      <c r="F2128" s="20" t="str">
        <f>IFERROR(VLOOKUP(I2128,KET!$B:$F,5,0),"")</f>
        <v>GMM</v>
      </c>
      <c r="G2128" s="20">
        <f>IFERROR(INDEX('Kode Outlet dan Target Toko'!$C:$C,MATCH($I2128,'Kode Outlet dan Target Toko'!$E:$E,0)),0)</f>
        <v>170220</v>
      </c>
      <c r="H2128" s="20">
        <f>IFERROR(INDEX('Kode Outlet dan Target Toko'!$D:$D,MATCH($I2128,'Kode Outlet dan Target Toko'!$E:$E,0)),0)</f>
        <v>9000015</v>
      </c>
      <c r="I2128" s="42" t="s">
        <v>37</v>
      </c>
      <c r="J2128" s="56" t="s">
        <v>265</v>
      </c>
      <c r="K2128" s="40" t="s">
        <v>14</v>
      </c>
      <c r="L2128" s="26">
        <v>2217</v>
      </c>
      <c r="M2128" s="26">
        <v>359</v>
      </c>
      <c r="N2128" s="25">
        <f t="shared" si="67"/>
        <v>795903</v>
      </c>
      <c r="O2128" s="56"/>
    </row>
    <row r="2129" spans="1:15" hidden="1" x14ac:dyDescent="0.3">
      <c r="A2129" s="26">
        <v>30</v>
      </c>
      <c r="B2129" s="20" t="str">
        <f t="shared" si="66"/>
        <v>JUL</v>
      </c>
      <c r="C2129" s="21">
        <v>46228</v>
      </c>
      <c r="D2129" s="22" t="str">
        <f t="array" ref="D2129">IFERROR(INDEX('Kode Outlet dan Target Toko'!$A:$A,MATCH($I2129,'Kode Outlet dan Target Toko'!$E:$E,0)),"")</f>
        <v>GRSM 5</v>
      </c>
      <c r="E2129" s="20" t="str">
        <f>IFERROR(VLOOKUP(I2129,KET!$B:$F,4,0),"")</f>
        <v>SUPRIYATI</v>
      </c>
      <c r="F2129" s="20" t="str">
        <f>IFERROR(VLOOKUP(I2129,KET!$B:$F,5,0),"")</f>
        <v>GMM</v>
      </c>
      <c r="G2129" s="20">
        <f>IFERROR(INDEX('Kode Outlet dan Target Toko'!$C:$C,MATCH($I2129,'Kode Outlet dan Target Toko'!$E:$E,0)),0)</f>
        <v>170220</v>
      </c>
      <c r="H2129" s="20">
        <f>IFERROR(INDEX('Kode Outlet dan Target Toko'!$D:$D,MATCH($I2129,'Kode Outlet dan Target Toko'!$E:$E,0)),0)</f>
        <v>9000015</v>
      </c>
      <c r="I2129" s="42" t="s">
        <v>37</v>
      </c>
      <c r="J2129" s="56" t="s">
        <v>265</v>
      </c>
      <c r="K2129" s="40" t="s">
        <v>15</v>
      </c>
      <c r="L2129" s="26">
        <v>2217</v>
      </c>
      <c r="M2129" s="26">
        <v>125</v>
      </c>
      <c r="N2129" s="25">
        <f t="shared" si="67"/>
        <v>277125</v>
      </c>
      <c r="O2129" s="56"/>
    </row>
    <row r="2130" spans="1:15" hidden="1" x14ac:dyDescent="0.3">
      <c r="A2130" s="26">
        <v>30</v>
      </c>
      <c r="B2130" s="20" t="str">
        <f t="shared" si="66"/>
        <v>JUL</v>
      </c>
      <c r="C2130" s="21">
        <v>46228</v>
      </c>
      <c r="D2130" s="22" t="str">
        <f t="array" ref="D2130">IFERROR(INDEX('Kode Outlet dan Target Toko'!$A:$A,MATCH($I2130,'Kode Outlet dan Target Toko'!$E:$E,0)),"")</f>
        <v>GRSM 5</v>
      </c>
      <c r="E2130" s="20" t="str">
        <f>IFERROR(VLOOKUP(I2130,KET!$B:$F,4,0),"")</f>
        <v>SUPRIYATI</v>
      </c>
      <c r="F2130" s="20" t="str">
        <f>IFERROR(VLOOKUP(I2130,KET!$B:$F,5,0),"")</f>
        <v>GMM</v>
      </c>
      <c r="G2130" s="20">
        <f>IFERROR(INDEX('Kode Outlet dan Target Toko'!$C:$C,MATCH($I2130,'Kode Outlet dan Target Toko'!$E:$E,0)),0)</f>
        <v>170220</v>
      </c>
      <c r="H2130" s="20">
        <f>IFERROR(INDEX('Kode Outlet dan Target Toko'!$D:$D,MATCH($I2130,'Kode Outlet dan Target Toko'!$E:$E,0)),0)</f>
        <v>9000015</v>
      </c>
      <c r="I2130" s="42" t="s">
        <v>37</v>
      </c>
      <c r="J2130" s="56" t="s">
        <v>265</v>
      </c>
      <c r="K2130" s="40" t="s">
        <v>16</v>
      </c>
      <c r="L2130" s="26">
        <v>2217</v>
      </c>
      <c r="M2130" s="26">
        <v>370</v>
      </c>
      <c r="N2130" s="25">
        <f t="shared" si="67"/>
        <v>820290</v>
      </c>
      <c r="O2130" s="56">
        <v>255</v>
      </c>
    </row>
    <row r="2131" spans="1:15" hidden="1" x14ac:dyDescent="0.3">
      <c r="A2131" s="26">
        <v>30</v>
      </c>
      <c r="B2131" s="20" t="str">
        <f t="shared" si="66"/>
        <v>JUL</v>
      </c>
      <c r="C2131" s="21">
        <v>46228</v>
      </c>
      <c r="D2131" s="22" t="str">
        <f t="array" ref="D2131">IFERROR(INDEX('Kode Outlet dan Target Toko'!$A:$A,MATCH($I2131,'Kode Outlet dan Target Toko'!$E:$E,0)),"")</f>
        <v>GRSM 5</v>
      </c>
      <c r="E2131" s="20" t="str">
        <f>IFERROR(VLOOKUP(I2131,KET!$B:$F,4,0),"")</f>
        <v>SUPRIYATI</v>
      </c>
      <c r="F2131" s="20" t="str">
        <f>IFERROR(VLOOKUP(I2131,KET!$B:$F,5,0),"")</f>
        <v>GMM</v>
      </c>
      <c r="G2131" s="20">
        <f>IFERROR(INDEX('Kode Outlet dan Target Toko'!$C:$C,MATCH($I2131,'Kode Outlet dan Target Toko'!$E:$E,0)),0)</f>
        <v>170220</v>
      </c>
      <c r="H2131" s="20">
        <f>IFERROR(INDEX('Kode Outlet dan Target Toko'!$D:$D,MATCH($I2131,'Kode Outlet dan Target Toko'!$E:$E,0)),0)</f>
        <v>9000015</v>
      </c>
      <c r="I2131" s="42" t="s">
        <v>37</v>
      </c>
      <c r="J2131" s="56" t="s">
        <v>288</v>
      </c>
      <c r="K2131" s="40" t="s">
        <v>13</v>
      </c>
      <c r="L2131" s="26">
        <v>2217</v>
      </c>
      <c r="M2131" s="26">
        <v>81</v>
      </c>
      <c r="N2131" s="25">
        <f t="shared" si="67"/>
        <v>179577</v>
      </c>
      <c r="O2131" s="56"/>
    </row>
    <row r="2132" spans="1:15" hidden="1" x14ac:dyDescent="0.3">
      <c r="A2132" s="26">
        <v>30</v>
      </c>
      <c r="B2132" s="20" t="str">
        <f t="shared" si="66"/>
        <v>JUL</v>
      </c>
      <c r="C2132" s="21">
        <v>46228</v>
      </c>
      <c r="D2132" s="22" t="str">
        <f t="array" ref="D2132">IFERROR(INDEX('Kode Outlet dan Target Toko'!$A:$A,MATCH($I2132,'Kode Outlet dan Target Toko'!$E:$E,0)),"")</f>
        <v>GRSM 5</v>
      </c>
      <c r="E2132" s="20" t="str">
        <f>IFERROR(VLOOKUP(I2132,KET!$B:$F,4,0),"")</f>
        <v>SUPRIYATI</v>
      </c>
      <c r="F2132" s="20" t="str">
        <f>IFERROR(VLOOKUP(I2132,KET!$B:$F,5,0),"")</f>
        <v>GMM</v>
      </c>
      <c r="G2132" s="20">
        <f>IFERROR(INDEX('Kode Outlet dan Target Toko'!$C:$C,MATCH($I2132,'Kode Outlet dan Target Toko'!$E:$E,0)),0)</f>
        <v>170220</v>
      </c>
      <c r="H2132" s="20">
        <f>IFERROR(INDEX('Kode Outlet dan Target Toko'!$D:$D,MATCH($I2132,'Kode Outlet dan Target Toko'!$E:$E,0)),0)</f>
        <v>9000015</v>
      </c>
      <c r="I2132" s="42" t="s">
        <v>37</v>
      </c>
      <c r="J2132" s="56" t="s">
        <v>288</v>
      </c>
      <c r="K2132" s="40" t="s">
        <v>14</v>
      </c>
      <c r="L2132" s="26">
        <v>2217</v>
      </c>
      <c r="M2132" s="26">
        <v>359</v>
      </c>
      <c r="N2132" s="25">
        <f t="shared" si="67"/>
        <v>795903</v>
      </c>
      <c r="O2132" s="56"/>
    </row>
    <row r="2133" spans="1:15" hidden="1" x14ac:dyDescent="0.3">
      <c r="A2133" s="26">
        <v>30</v>
      </c>
      <c r="B2133" s="20" t="str">
        <f t="shared" si="66"/>
        <v>JUL</v>
      </c>
      <c r="C2133" s="21">
        <v>46228</v>
      </c>
      <c r="D2133" s="22" t="str">
        <f t="array" ref="D2133">IFERROR(INDEX('Kode Outlet dan Target Toko'!$A:$A,MATCH($I2133,'Kode Outlet dan Target Toko'!$E:$E,0)),"")</f>
        <v>GRSM 5</v>
      </c>
      <c r="E2133" s="20" t="str">
        <f>IFERROR(VLOOKUP(I2133,KET!$B:$F,4,0),"")</f>
        <v>SUPRIYATI</v>
      </c>
      <c r="F2133" s="20" t="str">
        <f>IFERROR(VLOOKUP(I2133,KET!$B:$F,5,0),"")</f>
        <v>GMM</v>
      </c>
      <c r="G2133" s="20">
        <f>IFERROR(INDEX('Kode Outlet dan Target Toko'!$C:$C,MATCH($I2133,'Kode Outlet dan Target Toko'!$E:$E,0)),0)</f>
        <v>170220</v>
      </c>
      <c r="H2133" s="20">
        <f>IFERROR(INDEX('Kode Outlet dan Target Toko'!$D:$D,MATCH($I2133,'Kode Outlet dan Target Toko'!$E:$E,0)),0)</f>
        <v>9000015</v>
      </c>
      <c r="I2133" s="42" t="s">
        <v>37</v>
      </c>
      <c r="J2133" s="56" t="s">
        <v>288</v>
      </c>
      <c r="K2133" s="40" t="s">
        <v>15</v>
      </c>
      <c r="L2133" s="26">
        <v>2217</v>
      </c>
      <c r="M2133" s="26">
        <v>125</v>
      </c>
      <c r="N2133" s="25">
        <f t="shared" si="67"/>
        <v>277125</v>
      </c>
      <c r="O2133" s="56"/>
    </row>
    <row r="2134" spans="1:15" hidden="1" x14ac:dyDescent="0.3">
      <c r="A2134" s="26">
        <v>30</v>
      </c>
      <c r="B2134" s="20" t="str">
        <f t="shared" si="66"/>
        <v>JUL</v>
      </c>
      <c r="C2134" s="21">
        <v>46228</v>
      </c>
      <c r="D2134" s="22" t="str">
        <f t="array" ref="D2134">IFERROR(INDEX('Kode Outlet dan Target Toko'!$A:$A,MATCH($I2134,'Kode Outlet dan Target Toko'!$E:$E,0)),"")</f>
        <v>GRSM 5</v>
      </c>
      <c r="E2134" s="20" t="str">
        <f>IFERROR(VLOOKUP(I2134,KET!$B:$F,4,0),"")</f>
        <v>SUPRIYATI</v>
      </c>
      <c r="F2134" s="20" t="str">
        <f>IFERROR(VLOOKUP(I2134,KET!$B:$F,5,0),"")</f>
        <v>GMM</v>
      </c>
      <c r="G2134" s="20">
        <f>IFERROR(INDEX('Kode Outlet dan Target Toko'!$C:$C,MATCH($I2134,'Kode Outlet dan Target Toko'!$E:$E,0)),0)</f>
        <v>170220</v>
      </c>
      <c r="H2134" s="20">
        <f>IFERROR(INDEX('Kode Outlet dan Target Toko'!$D:$D,MATCH($I2134,'Kode Outlet dan Target Toko'!$E:$E,0)),0)</f>
        <v>9000015</v>
      </c>
      <c r="I2134" s="42" t="s">
        <v>37</v>
      </c>
      <c r="J2134" s="56" t="s">
        <v>288</v>
      </c>
      <c r="K2134" s="40" t="s">
        <v>16</v>
      </c>
      <c r="L2134" s="26">
        <v>2217</v>
      </c>
      <c r="M2134" s="26">
        <v>370</v>
      </c>
      <c r="N2134" s="25">
        <f t="shared" si="67"/>
        <v>820290</v>
      </c>
      <c r="O2134" s="56">
        <v>255</v>
      </c>
    </row>
    <row r="2135" spans="1:15" hidden="1" x14ac:dyDescent="0.3">
      <c r="A2135" s="26">
        <v>30</v>
      </c>
      <c r="B2135" s="20" t="str">
        <f t="shared" si="66"/>
        <v>JUL</v>
      </c>
      <c r="C2135" s="21">
        <v>46229</v>
      </c>
      <c r="D2135" s="22" t="str">
        <f t="array" ref="D2135">IFERROR(INDEX('Kode Outlet dan Target Toko'!$A:$A,MATCH($I2135,'Kode Outlet dan Target Toko'!$E:$E,0)),"")</f>
        <v>GRSM 5</v>
      </c>
      <c r="E2135" s="20" t="str">
        <f>IFERROR(VLOOKUP(I2135,KET!$B:$F,4,0),"")</f>
        <v>SUPRIYATI</v>
      </c>
      <c r="F2135" s="20" t="str">
        <f>IFERROR(VLOOKUP(I2135,KET!$B:$F,5,0),"")</f>
        <v>GMM</v>
      </c>
      <c r="G2135" s="20">
        <f>IFERROR(INDEX('Kode Outlet dan Target Toko'!$C:$C,MATCH($I2135,'Kode Outlet dan Target Toko'!$E:$E,0)),0)</f>
        <v>170220</v>
      </c>
      <c r="H2135" s="20">
        <f>IFERROR(INDEX('Kode Outlet dan Target Toko'!$D:$D,MATCH($I2135,'Kode Outlet dan Target Toko'!$E:$E,0)),0)</f>
        <v>9000015</v>
      </c>
      <c r="I2135" s="42" t="s">
        <v>37</v>
      </c>
      <c r="J2135" s="56" t="s">
        <v>265</v>
      </c>
      <c r="K2135" s="40" t="s">
        <v>13</v>
      </c>
      <c r="L2135" s="26">
        <v>2200</v>
      </c>
      <c r="M2135" s="26">
        <v>95</v>
      </c>
      <c r="N2135" s="25">
        <f t="shared" si="67"/>
        <v>209000</v>
      </c>
      <c r="O2135" s="56"/>
    </row>
    <row r="2136" spans="1:15" hidden="1" x14ac:dyDescent="0.3">
      <c r="A2136" s="26">
        <v>30</v>
      </c>
      <c r="B2136" s="20" t="str">
        <f t="shared" si="66"/>
        <v>JUL</v>
      </c>
      <c r="C2136" s="21">
        <v>46229</v>
      </c>
      <c r="D2136" s="22" t="str">
        <f t="array" ref="D2136">IFERROR(INDEX('Kode Outlet dan Target Toko'!$A:$A,MATCH($I2136,'Kode Outlet dan Target Toko'!$E:$E,0)),"")</f>
        <v>GRSM 5</v>
      </c>
      <c r="E2136" s="20" t="str">
        <f>IFERROR(VLOOKUP(I2136,KET!$B:$F,4,0),"")</f>
        <v>SUPRIYATI</v>
      </c>
      <c r="F2136" s="20" t="str">
        <f>IFERROR(VLOOKUP(I2136,KET!$B:$F,5,0),"")</f>
        <v>GMM</v>
      </c>
      <c r="G2136" s="20">
        <f>IFERROR(INDEX('Kode Outlet dan Target Toko'!$C:$C,MATCH($I2136,'Kode Outlet dan Target Toko'!$E:$E,0)),0)</f>
        <v>170220</v>
      </c>
      <c r="H2136" s="20">
        <f>IFERROR(INDEX('Kode Outlet dan Target Toko'!$D:$D,MATCH($I2136,'Kode Outlet dan Target Toko'!$E:$E,0)),0)</f>
        <v>9000015</v>
      </c>
      <c r="I2136" s="42" t="s">
        <v>37</v>
      </c>
      <c r="J2136" s="56" t="s">
        <v>265</v>
      </c>
      <c r="K2136" s="40" t="s">
        <v>14</v>
      </c>
      <c r="L2136" s="26">
        <v>2200</v>
      </c>
      <c r="M2136" s="26">
        <v>348</v>
      </c>
      <c r="N2136" s="25">
        <f t="shared" si="67"/>
        <v>765600</v>
      </c>
      <c r="O2136" s="56"/>
    </row>
    <row r="2137" spans="1:15" hidden="1" x14ac:dyDescent="0.3">
      <c r="A2137" s="26">
        <v>30</v>
      </c>
      <c r="B2137" s="20" t="str">
        <f t="shared" si="66"/>
        <v>JUL</v>
      </c>
      <c r="C2137" s="21">
        <v>46229</v>
      </c>
      <c r="D2137" s="22" t="str">
        <f t="array" ref="D2137">IFERROR(INDEX('Kode Outlet dan Target Toko'!$A:$A,MATCH($I2137,'Kode Outlet dan Target Toko'!$E:$E,0)),"")</f>
        <v>GRSM 5</v>
      </c>
      <c r="E2137" s="20" t="str">
        <f>IFERROR(VLOOKUP(I2137,KET!$B:$F,4,0),"")</f>
        <v>SUPRIYATI</v>
      </c>
      <c r="F2137" s="20" t="str">
        <f>IFERROR(VLOOKUP(I2137,KET!$B:$F,5,0),"")</f>
        <v>GMM</v>
      </c>
      <c r="G2137" s="20">
        <f>IFERROR(INDEX('Kode Outlet dan Target Toko'!$C:$C,MATCH($I2137,'Kode Outlet dan Target Toko'!$E:$E,0)),0)</f>
        <v>170220</v>
      </c>
      <c r="H2137" s="20">
        <f>IFERROR(INDEX('Kode Outlet dan Target Toko'!$D:$D,MATCH($I2137,'Kode Outlet dan Target Toko'!$E:$E,0)),0)</f>
        <v>9000015</v>
      </c>
      <c r="I2137" s="42" t="s">
        <v>37</v>
      </c>
      <c r="J2137" s="56" t="s">
        <v>265</v>
      </c>
      <c r="K2137" s="40" t="s">
        <v>15</v>
      </c>
      <c r="L2137" s="26">
        <v>2200</v>
      </c>
      <c r="M2137" s="26">
        <v>102</v>
      </c>
      <c r="N2137" s="25">
        <f t="shared" si="67"/>
        <v>224400</v>
      </c>
      <c r="O2137" s="56"/>
    </row>
    <row r="2138" spans="1:15" hidden="1" x14ac:dyDescent="0.3">
      <c r="A2138" s="26">
        <v>30</v>
      </c>
      <c r="B2138" s="20" t="str">
        <f t="shared" si="66"/>
        <v>JUL</v>
      </c>
      <c r="C2138" s="21">
        <v>46229</v>
      </c>
      <c r="D2138" s="22" t="str">
        <f t="array" ref="D2138">IFERROR(INDEX('Kode Outlet dan Target Toko'!$A:$A,MATCH($I2138,'Kode Outlet dan Target Toko'!$E:$E,0)),"")</f>
        <v>GRSM 5</v>
      </c>
      <c r="E2138" s="20" t="str">
        <f>IFERROR(VLOOKUP(I2138,KET!$B:$F,4,0),"")</f>
        <v>SUPRIYATI</v>
      </c>
      <c r="F2138" s="20" t="str">
        <f>IFERROR(VLOOKUP(I2138,KET!$B:$F,5,0),"")</f>
        <v>GMM</v>
      </c>
      <c r="G2138" s="20">
        <f>IFERROR(INDEX('Kode Outlet dan Target Toko'!$C:$C,MATCH($I2138,'Kode Outlet dan Target Toko'!$E:$E,0)),0)</f>
        <v>170220</v>
      </c>
      <c r="H2138" s="20">
        <f>IFERROR(INDEX('Kode Outlet dan Target Toko'!$D:$D,MATCH($I2138,'Kode Outlet dan Target Toko'!$E:$E,0)),0)</f>
        <v>9000015</v>
      </c>
      <c r="I2138" s="42" t="s">
        <v>37</v>
      </c>
      <c r="J2138" s="56" t="s">
        <v>265</v>
      </c>
      <c r="K2138" s="40" t="s">
        <v>16</v>
      </c>
      <c r="L2138" s="26">
        <v>2200</v>
      </c>
      <c r="M2138" s="26">
        <v>421</v>
      </c>
      <c r="N2138" s="25">
        <f t="shared" si="67"/>
        <v>926200</v>
      </c>
      <c r="O2138" s="56">
        <v>300</v>
      </c>
    </row>
    <row r="2139" spans="1:15" hidden="1" x14ac:dyDescent="0.3">
      <c r="A2139" s="26">
        <v>30</v>
      </c>
      <c r="B2139" s="20" t="str">
        <f t="shared" si="66"/>
        <v>JUL</v>
      </c>
      <c r="C2139" s="21">
        <v>46229</v>
      </c>
      <c r="D2139" s="22" t="str">
        <f t="array" ref="D2139">IFERROR(INDEX('Kode Outlet dan Target Toko'!$A:$A,MATCH($I2139,'Kode Outlet dan Target Toko'!$E:$E,0)),"")</f>
        <v>GRSM 5</v>
      </c>
      <c r="E2139" s="20" t="str">
        <f>IFERROR(VLOOKUP(I2139,KET!$B:$F,4,0),"")</f>
        <v>SUPRIYATI</v>
      </c>
      <c r="F2139" s="20" t="str">
        <f>IFERROR(VLOOKUP(I2139,KET!$B:$F,5,0),"")</f>
        <v>GMM</v>
      </c>
      <c r="G2139" s="20">
        <f>IFERROR(INDEX('Kode Outlet dan Target Toko'!$C:$C,MATCH($I2139,'Kode Outlet dan Target Toko'!$E:$E,0)),0)</f>
        <v>170220</v>
      </c>
      <c r="H2139" s="20">
        <f>IFERROR(INDEX('Kode Outlet dan Target Toko'!$D:$D,MATCH($I2139,'Kode Outlet dan Target Toko'!$E:$E,0)),0)</f>
        <v>9000015</v>
      </c>
      <c r="I2139" s="42" t="s">
        <v>37</v>
      </c>
      <c r="J2139" s="56" t="s">
        <v>288</v>
      </c>
      <c r="K2139" s="40" t="s">
        <v>13</v>
      </c>
      <c r="L2139" s="26">
        <v>2200</v>
      </c>
      <c r="M2139" s="26">
        <v>95</v>
      </c>
      <c r="N2139" s="25">
        <f t="shared" si="67"/>
        <v>209000</v>
      </c>
      <c r="O2139" s="56"/>
    </row>
    <row r="2140" spans="1:15" hidden="1" x14ac:dyDescent="0.3">
      <c r="A2140" s="26">
        <v>30</v>
      </c>
      <c r="B2140" s="20" t="str">
        <f t="shared" si="66"/>
        <v>JUL</v>
      </c>
      <c r="C2140" s="21">
        <v>46229</v>
      </c>
      <c r="D2140" s="22" t="str">
        <f t="array" ref="D2140">IFERROR(INDEX('Kode Outlet dan Target Toko'!$A:$A,MATCH($I2140,'Kode Outlet dan Target Toko'!$E:$E,0)),"")</f>
        <v>GRSM 5</v>
      </c>
      <c r="E2140" s="20" t="str">
        <f>IFERROR(VLOOKUP(I2140,KET!$B:$F,4,0),"")</f>
        <v>SUPRIYATI</v>
      </c>
      <c r="F2140" s="20" t="str">
        <f>IFERROR(VLOOKUP(I2140,KET!$B:$F,5,0),"")</f>
        <v>GMM</v>
      </c>
      <c r="G2140" s="20">
        <f>IFERROR(INDEX('Kode Outlet dan Target Toko'!$C:$C,MATCH($I2140,'Kode Outlet dan Target Toko'!$E:$E,0)),0)</f>
        <v>170220</v>
      </c>
      <c r="H2140" s="20">
        <f>IFERROR(INDEX('Kode Outlet dan Target Toko'!$D:$D,MATCH($I2140,'Kode Outlet dan Target Toko'!$E:$E,0)),0)</f>
        <v>9000015</v>
      </c>
      <c r="I2140" s="42" t="s">
        <v>37</v>
      </c>
      <c r="J2140" s="56" t="s">
        <v>288</v>
      </c>
      <c r="K2140" s="40" t="s">
        <v>14</v>
      </c>
      <c r="L2140" s="26">
        <v>2200</v>
      </c>
      <c r="M2140" s="26">
        <v>348</v>
      </c>
      <c r="N2140" s="25">
        <f t="shared" si="67"/>
        <v>765600</v>
      </c>
      <c r="O2140" s="56"/>
    </row>
    <row r="2141" spans="1:15" hidden="1" x14ac:dyDescent="0.3">
      <c r="A2141" s="26">
        <v>30</v>
      </c>
      <c r="B2141" s="20" t="str">
        <f t="shared" si="66"/>
        <v>JUL</v>
      </c>
      <c r="C2141" s="21">
        <v>46229</v>
      </c>
      <c r="D2141" s="22" t="str">
        <f t="array" ref="D2141">IFERROR(INDEX('Kode Outlet dan Target Toko'!$A:$A,MATCH($I2141,'Kode Outlet dan Target Toko'!$E:$E,0)),"")</f>
        <v>GRSM 5</v>
      </c>
      <c r="E2141" s="20" t="str">
        <f>IFERROR(VLOOKUP(I2141,KET!$B:$F,4,0),"")</f>
        <v>SUPRIYATI</v>
      </c>
      <c r="F2141" s="20" t="str">
        <f>IFERROR(VLOOKUP(I2141,KET!$B:$F,5,0),"")</f>
        <v>GMM</v>
      </c>
      <c r="G2141" s="20">
        <f>IFERROR(INDEX('Kode Outlet dan Target Toko'!$C:$C,MATCH($I2141,'Kode Outlet dan Target Toko'!$E:$E,0)),0)</f>
        <v>170220</v>
      </c>
      <c r="H2141" s="20">
        <f>IFERROR(INDEX('Kode Outlet dan Target Toko'!$D:$D,MATCH($I2141,'Kode Outlet dan Target Toko'!$E:$E,0)),0)</f>
        <v>9000015</v>
      </c>
      <c r="I2141" s="42" t="s">
        <v>37</v>
      </c>
      <c r="J2141" s="56" t="s">
        <v>288</v>
      </c>
      <c r="K2141" s="40" t="s">
        <v>15</v>
      </c>
      <c r="L2141" s="26">
        <v>2200</v>
      </c>
      <c r="M2141" s="26">
        <v>102</v>
      </c>
      <c r="N2141" s="25">
        <f t="shared" si="67"/>
        <v>224400</v>
      </c>
      <c r="O2141" s="56"/>
    </row>
    <row r="2142" spans="1:15" hidden="1" x14ac:dyDescent="0.3">
      <c r="A2142" s="26">
        <v>30</v>
      </c>
      <c r="B2142" s="20" t="str">
        <f t="shared" si="66"/>
        <v>JUL</v>
      </c>
      <c r="C2142" s="21">
        <v>46229</v>
      </c>
      <c r="D2142" s="22" t="str">
        <f t="array" ref="D2142">IFERROR(INDEX('Kode Outlet dan Target Toko'!$A:$A,MATCH($I2142,'Kode Outlet dan Target Toko'!$E:$E,0)),"")</f>
        <v>GRSM 5</v>
      </c>
      <c r="E2142" s="20" t="str">
        <f>IFERROR(VLOOKUP(I2142,KET!$B:$F,4,0),"")</f>
        <v>SUPRIYATI</v>
      </c>
      <c r="F2142" s="20" t="str">
        <f>IFERROR(VLOOKUP(I2142,KET!$B:$F,5,0),"")</f>
        <v>GMM</v>
      </c>
      <c r="G2142" s="20">
        <f>IFERROR(INDEX('Kode Outlet dan Target Toko'!$C:$C,MATCH($I2142,'Kode Outlet dan Target Toko'!$E:$E,0)),0)</f>
        <v>170220</v>
      </c>
      <c r="H2142" s="20">
        <f>IFERROR(INDEX('Kode Outlet dan Target Toko'!$D:$D,MATCH($I2142,'Kode Outlet dan Target Toko'!$E:$E,0)),0)</f>
        <v>9000015</v>
      </c>
      <c r="I2142" s="42" t="s">
        <v>37</v>
      </c>
      <c r="J2142" s="56" t="s">
        <v>288</v>
      </c>
      <c r="K2142" s="40" t="s">
        <v>16</v>
      </c>
      <c r="L2142" s="26">
        <v>2200</v>
      </c>
      <c r="M2142" s="26">
        <v>421</v>
      </c>
      <c r="N2142" s="25">
        <f t="shared" si="67"/>
        <v>926200</v>
      </c>
      <c r="O2142" s="56">
        <v>300</v>
      </c>
    </row>
    <row r="2143" spans="1:15" hidden="1" x14ac:dyDescent="0.3">
      <c r="A2143" s="26">
        <v>30</v>
      </c>
      <c r="B2143" s="20" t="str">
        <f t="shared" si="66"/>
        <v>JUL</v>
      </c>
      <c r="C2143" s="21">
        <v>46229</v>
      </c>
      <c r="D2143" s="22" t="str">
        <f t="array" ref="D2143">IFERROR(INDEX('Kode Outlet dan Target Toko'!$A:$A,MATCH($I2143,'Kode Outlet dan Target Toko'!$E:$E,0)),"")</f>
        <v>GRSM 5</v>
      </c>
      <c r="E2143" s="20" t="str">
        <f>IFERROR(VLOOKUP(I2143,KET!$B:$F,4,0),"")</f>
        <v>SUPRIYATI</v>
      </c>
      <c r="F2143" s="20" t="str">
        <f>IFERROR(VLOOKUP(I2143,KET!$B:$F,5,0),"")</f>
        <v>GMM</v>
      </c>
      <c r="G2143" s="20">
        <f>IFERROR(INDEX('Kode Outlet dan Target Toko'!$C:$C,MATCH($I2143,'Kode Outlet dan Target Toko'!$E:$E,0)),0)</f>
        <v>170220</v>
      </c>
      <c r="H2143" s="20">
        <f>IFERROR(INDEX('Kode Outlet dan Target Toko'!$D:$D,MATCH($I2143,'Kode Outlet dan Target Toko'!$E:$E,0)),0)</f>
        <v>9000015</v>
      </c>
      <c r="I2143" s="42" t="s">
        <v>33</v>
      </c>
      <c r="J2143" s="56" t="s">
        <v>261</v>
      </c>
      <c r="K2143" s="40" t="s">
        <v>13</v>
      </c>
      <c r="L2143" s="26">
        <v>2200</v>
      </c>
      <c r="M2143" s="26">
        <v>124</v>
      </c>
      <c r="N2143" s="25">
        <f t="shared" si="67"/>
        <v>272800</v>
      </c>
      <c r="O2143" s="56"/>
    </row>
    <row r="2144" spans="1:15" hidden="1" x14ac:dyDescent="0.3">
      <c r="A2144" s="26">
        <v>30</v>
      </c>
      <c r="B2144" s="20" t="str">
        <f t="shared" si="66"/>
        <v>JUL</v>
      </c>
      <c r="C2144" s="21">
        <v>46229</v>
      </c>
      <c r="D2144" s="22" t="str">
        <f t="array" ref="D2144">IFERROR(INDEX('Kode Outlet dan Target Toko'!$A:$A,MATCH($I2144,'Kode Outlet dan Target Toko'!$E:$E,0)),"")</f>
        <v>GRSM 5</v>
      </c>
      <c r="E2144" s="20" t="str">
        <f>IFERROR(VLOOKUP(I2144,KET!$B:$F,4,0),"")</f>
        <v>SUPRIYATI</v>
      </c>
      <c r="F2144" s="20" t="str">
        <f>IFERROR(VLOOKUP(I2144,KET!$B:$F,5,0),"")</f>
        <v>GMM</v>
      </c>
      <c r="G2144" s="20">
        <f>IFERROR(INDEX('Kode Outlet dan Target Toko'!$C:$C,MATCH($I2144,'Kode Outlet dan Target Toko'!$E:$E,0)),0)</f>
        <v>170220</v>
      </c>
      <c r="H2144" s="20">
        <f>IFERROR(INDEX('Kode Outlet dan Target Toko'!$D:$D,MATCH($I2144,'Kode Outlet dan Target Toko'!$E:$E,0)),0)</f>
        <v>9000015</v>
      </c>
      <c r="I2144" s="42" t="s">
        <v>33</v>
      </c>
      <c r="J2144" s="56" t="s">
        <v>261</v>
      </c>
      <c r="K2144" s="40" t="s">
        <v>14</v>
      </c>
      <c r="L2144" s="26">
        <v>2200</v>
      </c>
      <c r="M2144" s="26">
        <v>209</v>
      </c>
      <c r="N2144" s="25">
        <f t="shared" si="67"/>
        <v>459800</v>
      </c>
      <c r="O2144" s="56"/>
    </row>
    <row r="2145" spans="1:15" hidden="1" x14ac:dyDescent="0.3">
      <c r="A2145" s="26">
        <v>30</v>
      </c>
      <c r="B2145" s="20" t="str">
        <f t="shared" si="66"/>
        <v>JUL</v>
      </c>
      <c r="C2145" s="21">
        <v>46229</v>
      </c>
      <c r="D2145" s="22" t="str">
        <f t="array" ref="D2145">IFERROR(INDEX('Kode Outlet dan Target Toko'!$A:$A,MATCH($I2145,'Kode Outlet dan Target Toko'!$E:$E,0)),"")</f>
        <v>GRSM 5</v>
      </c>
      <c r="E2145" s="20" t="str">
        <f>IFERROR(VLOOKUP(I2145,KET!$B:$F,4,0),"")</f>
        <v>SUPRIYATI</v>
      </c>
      <c r="F2145" s="20" t="str">
        <f>IFERROR(VLOOKUP(I2145,KET!$B:$F,5,0),"")</f>
        <v>GMM</v>
      </c>
      <c r="G2145" s="20">
        <f>IFERROR(INDEX('Kode Outlet dan Target Toko'!$C:$C,MATCH($I2145,'Kode Outlet dan Target Toko'!$E:$E,0)),0)</f>
        <v>170220</v>
      </c>
      <c r="H2145" s="20">
        <f>IFERROR(INDEX('Kode Outlet dan Target Toko'!$D:$D,MATCH($I2145,'Kode Outlet dan Target Toko'!$E:$E,0)),0)</f>
        <v>9000015</v>
      </c>
      <c r="I2145" s="42" t="s">
        <v>33</v>
      </c>
      <c r="J2145" s="56" t="s">
        <v>261</v>
      </c>
      <c r="K2145" s="40" t="s">
        <v>15</v>
      </c>
      <c r="L2145" s="26">
        <v>2200</v>
      </c>
      <c r="M2145" s="26">
        <v>198</v>
      </c>
      <c r="N2145" s="25">
        <f t="shared" si="67"/>
        <v>435600</v>
      </c>
      <c r="O2145" s="56"/>
    </row>
    <row r="2146" spans="1:15" hidden="1" x14ac:dyDescent="0.3">
      <c r="A2146" s="26">
        <v>30</v>
      </c>
      <c r="B2146" s="20" t="str">
        <f t="shared" si="66"/>
        <v>JUL</v>
      </c>
      <c r="C2146" s="21">
        <v>46229</v>
      </c>
      <c r="D2146" s="22" t="str">
        <f t="array" ref="D2146">IFERROR(INDEX('Kode Outlet dan Target Toko'!$A:$A,MATCH($I2146,'Kode Outlet dan Target Toko'!$E:$E,0)),"")</f>
        <v>GRSM 5</v>
      </c>
      <c r="E2146" s="20" t="str">
        <f>IFERROR(VLOOKUP(I2146,KET!$B:$F,4,0),"")</f>
        <v>SUPRIYATI</v>
      </c>
      <c r="F2146" s="20" t="str">
        <f>IFERROR(VLOOKUP(I2146,KET!$B:$F,5,0),"")</f>
        <v>GMM</v>
      </c>
      <c r="G2146" s="20">
        <f>IFERROR(INDEX('Kode Outlet dan Target Toko'!$C:$C,MATCH($I2146,'Kode Outlet dan Target Toko'!$E:$E,0)),0)</f>
        <v>170220</v>
      </c>
      <c r="H2146" s="20">
        <f>IFERROR(INDEX('Kode Outlet dan Target Toko'!$D:$D,MATCH($I2146,'Kode Outlet dan Target Toko'!$E:$E,0)),0)</f>
        <v>9000015</v>
      </c>
      <c r="I2146" s="42" t="s">
        <v>33</v>
      </c>
      <c r="J2146" s="56" t="s">
        <v>261</v>
      </c>
      <c r="K2146" s="40" t="s">
        <v>16</v>
      </c>
      <c r="L2146" s="26">
        <v>2200</v>
      </c>
      <c r="M2146" s="26">
        <v>311</v>
      </c>
      <c r="N2146" s="25">
        <f t="shared" si="67"/>
        <v>684200</v>
      </c>
      <c r="O2146" s="56">
        <v>240</v>
      </c>
    </row>
    <row r="2147" spans="1:15" hidden="1" x14ac:dyDescent="0.3">
      <c r="A2147" s="26">
        <v>30</v>
      </c>
      <c r="B2147" s="20" t="str">
        <f t="shared" si="66"/>
        <v>JUL</v>
      </c>
      <c r="C2147" s="21">
        <v>46229</v>
      </c>
      <c r="D2147" s="22" t="str">
        <f t="array" ref="D2147">IFERROR(INDEX('Kode Outlet dan Target Toko'!$A:$A,MATCH($I2147,'Kode Outlet dan Target Toko'!$E:$E,0)),"")</f>
        <v>GRSM 5</v>
      </c>
      <c r="E2147" s="20" t="str">
        <f>IFERROR(VLOOKUP(I2147,KET!$B:$F,4,0),"")</f>
        <v>SUPRIYATI</v>
      </c>
      <c r="F2147" s="20" t="str">
        <f>IFERROR(VLOOKUP(I2147,KET!$B:$F,5,0),"")</f>
        <v>GMM</v>
      </c>
      <c r="G2147" s="20">
        <f>IFERROR(INDEX('Kode Outlet dan Target Toko'!$C:$C,MATCH($I2147,'Kode Outlet dan Target Toko'!$E:$E,0)),0)</f>
        <v>170220</v>
      </c>
      <c r="H2147" s="20">
        <f>IFERROR(INDEX('Kode Outlet dan Target Toko'!$D:$D,MATCH($I2147,'Kode Outlet dan Target Toko'!$E:$E,0)),0)</f>
        <v>9000015</v>
      </c>
      <c r="I2147" s="42" t="s">
        <v>33</v>
      </c>
      <c r="J2147" s="56" t="s">
        <v>260</v>
      </c>
      <c r="K2147" s="40" t="s">
        <v>13</v>
      </c>
      <c r="L2147" s="26">
        <v>2200</v>
      </c>
      <c r="M2147" s="26">
        <v>124</v>
      </c>
      <c r="N2147" s="25">
        <f t="shared" si="67"/>
        <v>272800</v>
      </c>
      <c r="O2147" s="56"/>
    </row>
    <row r="2148" spans="1:15" hidden="1" x14ac:dyDescent="0.3">
      <c r="A2148" s="26">
        <v>30</v>
      </c>
      <c r="B2148" s="20" t="str">
        <f t="shared" si="66"/>
        <v>JUL</v>
      </c>
      <c r="C2148" s="21">
        <v>46229</v>
      </c>
      <c r="D2148" s="22" t="str">
        <f t="array" ref="D2148">IFERROR(INDEX('Kode Outlet dan Target Toko'!$A:$A,MATCH($I2148,'Kode Outlet dan Target Toko'!$E:$E,0)),"")</f>
        <v>GRSM 5</v>
      </c>
      <c r="E2148" s="20" t="str">
        <f>IFERROR(VLOOKUP(I2148,KET!$B:$F,4,0),"")</f>
        <v>SUPRIYATI</v>
      </c>
      <c r="F2148" s="20" t="str">
        <f>IFERROR(VLOOKUP(I2148,KET!$B:$F,5,0),"")</f>
        <v>GMM</v>
      </c>
      <c r="G2148" s="20">
        <f>IFERROR(INDEX('Kode Outlet dan Target Toko'!$C:$C,MATCH($I2148,'Kode Outlet dan Target Toko'!$E:$E,0)),0)</f>
        <v>170220</v>
      </c>
      <c r="H2148" s="20">
        <f>IFERROR(INDEX('Kode Outlet dan Target Toko'!$D:$D,MATCH($I2148,'Kode Outlet dan Target Toko'!$E:$E,0)),0)</f>
        <v>9000015</v>
      </c>
      <c r="I2148" s="42" t="s">
        <v>33</v>
      </c>
      <c r="J2148" s="56" t="s">
        <v>260</v>
      </c>
      <c r="K2148" s="40" t="s">
        <v>14</v>
      </c>
      <c r="L2148" s="26">
        <v>2200</v>
      </c>
      <c r="M2148" s="26">
        <v>209</v>
      </c>
      <c r="N2148" s="25">
        <f t="shared" si="67"/>
        <v>459800</v>
      </c>
      <c r="O2148" s="56"/>
    </row>
    <row r="2149" spans="1:15" hidden="1" x14ac:dyDescent="0.3">
      <c r="A2149" s="26">
        <v>30</v>
      </c>
      <c r="B2149" s="20" t="str">
        <f t="shared" si="66"/>
        <v>JUL</v>
      </c>
      <c r="C2149" s="21">
        <v>46229</v>
      </c>
      <c r="D2149" s="22" t="str">
        <f t="array" ref="D2149">IFERROR(INDEX('Kode Outlet dan Target Toko'!$A:$A,MATCH($I2149,'Kode Outlet dan Target Toko'!$E:$E,0)),"")</f>
        <v>GRSM 5</v>
      </c>
      <c r="E2149" s="20" t="str">
        <f>IFERROR(VLOOKUP(I2149,KET!$B:$F,4,0),"")</f>
        <v>SUPRIYATI</v>
      </c>
      <c r="F2149" s="20" t="str">
        <f>IFERROR(VLOOKUP(I2149,KET!$B:$F,5,0),"")</f>
        <v>GMM</v>
      </c>
      <c r="G2149" s="20">
        <f>IFERROR(INDEX('Kode Outlet dan Target Toko'!$C:$C,MATCH($I2149,'Kode Outlet dan Target Toko'!$E:$E,0)),0)</f>
        <v>170220</v>
      </c>
      <c r="H2149" s="20">
        <f>IFERROR(INDEX('Kode Outlet dan Target Toko'!$D:$D,MATCH($I2149,'Kode Outlet dan Target Toko'!$E:$E,0)),0)</f>
        <v>9000015</v>
      </c>
      <c r="I2149" s="42" t="s">
        <v>33</v>
      </c>
      <c r="J2149" s="56" t="s">
        <v>260</v>
      </c>
      <c r="K2149" s="40" t="s">
        <v>15</v>
      </c>
      <c r="L2149" s="26">
        <v>2200</v>
      </c>
      <c r="M2149" s="26">
        <v>198</v>
      </c>
      <c r="N2149" s="25">
        <f t="shared" si="67"/>
        <v>435600</v>
      </c>
      <c r="O2149" s="56"/>
    </row>
    <row r="2150" spans="1:15" hidden="1" x14ac:dyDescent="0.3">
      <c r="A2150" s="26">
        <v>30</v>
      </c>
      <c r="B2150" s="20" t="str">
        <f t="shared" si="66"/>
        <v>JUL</v>
      </c>
      <c r="C2150" s="21">
        <v>46229</v>
      </c>
      <c r="D2150" s="22" t="str">
        <f t="array" ref="D2150">IFERROR(INDEX('Kode Outlet dan Target Toko'!$A:$A,MATCH($I2150,'Kode Outlet dan Target Toko'!$E:$E,0)),"")</f>
        <v>GRSM 5</v>
      </c>
      <c r="E2150" s="20" t="str">
        <f>IFERROR(VLOOKUP(I2150,KET!$B:$F,4,0),"")</f>
        <v>SUPRIYATI</v>
      </c>
      <c r="F2150" s="20" t="str">
        <f>IFERROR(VLOOKUP(I2150,KET!$B:$F,5,0),"")</f>
        <v>GMM</v>
      </c>
      <c r="G2150" s="20">
        <f>IFERROR(INDEX('Kode Outlet dan Target Toko'!$C:$C,MATCH($I2150,'Kode Outlet dan Target Toko'!$E:$E,0)),0)</f>
        <v>170220</v>
      </c>
      <c r="H2150" s="20">
        <f>IFERROR(INDEX('Kode Outlet dan Target Toko'!$D:$D,MATCH($I2150,'Kode Outlet dan Target Toko'!$E:$E,0)),0)</f>
        <v>9000015</v>
      </c>
      <c r="I2150" s="42" t="s">
        <v>33</v>
      </c>
      <c r="J2150" s="56" t="s">
        <v>260</v>
      </c>
      <c r="K2150" s="40" t="s">
        <v>16</v>
      </c>
      <c r="L2150" s="26">
        <v>2200</v>
      </c>
      <c r="M2150" s="26">
        <v>311</v>
      </c>
      <c r="N2150" s="25">
        <f t="shared" si="67"/>
        <v>684200</v>
      </c>
      <c r="O2150" s="56">
        <v>240</v>
      </c>
    </row>
    <row r="2151" spans="1:15" hidden="1" x14ac:dyDescent="0.3">
      <c r="A2151" s="26">
        <v>30</v>
      </c>
      <c r="B2151" s="20" t="str">
        <f t="shared" si="66"/>
        <v>JUL</v>
      </c>
      <c r="C2151" s="21">
        <v>46229</v>
      </c>
      <c r="D2151" s="22" t="str">
        <f t="array" ref="D2151">IFERROR(INDEX('Kode Outlet dan Target Toko'!$A:$A,MATCH($I2151,'Kode Outlet dan Target Toko'!$E:$E,0)),"")</f>
        <v>GRSM 5</v>
      </c>
      <c r="E2151" s="20" t="str">
        <f>IFERROR(VLOOKUP(I2151,KET!$B:$F,4,0),"")</f>
        <v>SUPRIYATI</v>
      </c>
      <c r="F2151" s="20" t="str">
        <f>IFERROR(VLOOKUP(I2151,KET!$B:$F,5,0),"")</f>
        <v>GMM</v>
      </c>
      <c r="G2151" s="20">
        <f>IFERROR(INDEX('Kode Outlet dan Target Toko'!$C:$C,MATCH($I2151,'Kode Outlet dan Target Toko'!$E:$E,0)),0)</f>
        <v>170220</v>
      </c>
      <c r="H2151" s="20">
        <f>IFERROR(INDEX('Kode Outlet dan Target Toko'!$D:$D,MATCH($I2151,'Kode Outlet dan Target Toko'!$E:$E,0)),0)</f>
        <v>1901019</v>
      </c>
      <c r="I2151" s="42" t="s">
        <v>38</v>
      </c>
      <c r="J2151" s="56" t="s">
        <v>267</v>
      </c>
      <c r="K2151" s="40" t="s">
        <v>13</v>
      </c>
      <c r="L2151" s="26">
        <v>2200</v>
      </c>
      <c r="M2151" s="26">
        <v>77</v>
      </c>
      <c r="N2151" s="25">
        <f t="shared" si="67"/>
        <v>169400</v>
      </c>
      <c r="O2151" s="56"/>
    </row>
    <row r="2152" spans="1:15" hidden="1" x14ac:dyDescent="0.3">
      <c r="A2152" s="26">
        <v>30</v>
      </c>
      <c r="B2152" s="20" t="str">
        <f t="shared" si="66"/>
        <v>JUL</v>
      </c>
      <c r="C2152" s="21">
        <v>46229</v>
      </c>
      <c r="D2152" s="22" t="str">
        <f t="array" ref="D2152">IFERROR(INDEX('Kode Outlet dan Target Toko'!$A:$A,MATCH($I2152,'Kode Outlet dan Target Toko'!$E:$E,0)),"")</f>
        <v>GRSM 5</v>
      </c>
      <c r="E2152" s="20" t="str">
        <f>IFERROR(VLOOKUP(I2152,KET!$B:$F,4,0),"")</f>
        <v>SUPRIYATI</v>
      </c>
      <c r="F2152" s="20" t="str">
        <f>IFERROR(VLOOKUP(I2152,KET!$B:$F,5,0),"")</f>
        <v>GMM</v>
      </c>
      <c r="G2152" s="20">
        <f>IFERROR(INDEX('Kode Outlet dan Target Toko'!$C:$C,MATCH($I2152,'Kode Outlet dan Target Toko'!$E:$E,0)),0)</f>
        <v>170220</v>
      </c>
      <c r="H2152" s="20">
        <f>IFERROR(INDEX('Kode Outlet dan Target Toko'!$D:$D,MATCH($I2152,'Kode Outlet dan Target Toko'!$E:$E,0)),0)</f>
        <v>1901019</v>
      </c>
      <c r="I2152" s="42" t="s">
        <v>38</v>
      </c>
      <c r="J2152" s="56" t="s">
        <v>267</v>
      </c>
      <c r="K2152" s="40" t="s">
        <v>14</v>
      </c>
      <c r="L2152" s="26">
        <v>2200</v>
      </c>
      <c r="M2152" s="26">
        <v>79</v>
      </c>
      <c r="N2152" s="25">
        <f t="shared" si="67"/>
        <v>173800</v>
      </c>
      <c r="O2152" s="56"/>
    </row>
    <row r="2153" spans="1:15" hidden="1" x14ac:dyDescent="0.3">
      <c r="A2153" s="26">
        <v>30</v>
      </c>
      <c r="B2153" s="20" t="str">
        <f t="shared" si="66"/>
        <v>JUL</v>
      </c>
      <c r="C2153" s="21">
        <v>46229</v>
      </c>
      <c r="D2153" s="22" t="str">
        <f t="array" ref="D2153">IFERROR(INDEX('Kode Outlet dan Target Toko'!$A:$A,MATCH($I2153,'Kode Outlet dan Target Toko'!$E:$E,0)),"")</f>
        <v>GRSM 5</v>
      </c>
      <c r="E2153" s="20" t="str">
        <f>IFERROR(VLOOKUP(I2153,KET!$B:$F,4,0),"")</f>
        <v>SUPRIYATI</v>
      </c>
      <c r="F2153" s="20" t="str">
        <f>IFERROR(VLOOKUP(I2153,KET!$B:$F,5,0),"")</f>
        <v>GMM</v>
      </c>
      <c r="G2153" s="20">
        <f>IFERROR(INDEX('Kode Outlet dan Target Toko'!$C:$C,MATCH($I2153,'Kode Outlet dan Target Toko'!$E:$E,0)),0)</f>
        <v>170220</v>
      </c>
      <c r="H2153" s="20">
        <f>IFERROR(INDEX('Kode Outlet dan Target Toko'!$D:$D,MATCH($I2153,'Kode Outlet dan Target Toko'!$E:$E,0)),0)</f>
        <v>1901019</v>
      </c>
      <c r="I2153" s="42" t="s">
        <v>38</v>
      </c>
      <c r="J2153" s="56" t="s">
        <v>267</v>
      </c>
      <c r="K2153" s="40" t="s">
        <v>15</v>
      </c>
      <c r="L2153" s="26">
        <v>2200</v>
      </c>
      <c r="M2153" s="26">
        <v>203</v>
      </c>
      <c r="N2153" s="25">
        <f t="shared" si="67"/>
        <v>446600</v>
      </c>
      <c r="O2153" s="56"/>
    </row>
    <row r="2154" spans="1:15" hidden="1" x14ac:dyDescent="0.3">
      <c r="A2154" s="26">
        <v>30</v>
      </c>
      <c r="B2154" s="20" t="str">
        <f t="shared" si="66"/>
        <v>JUL</v>
      </c>
      <c r="C2154" s="21">
        <v>46229</v>
      </c>
      <c r="D2154" s="22" t="str">
        <f t="array" ref="D2154">IFERROR(INDEX('Kode Outlet dan Target Toko'!$A:$A,MATCH($I2154,'Kode Outlet dan Target Toko'!$E:$E,0)),"")</f>
        <v>GRSM 5</v>
      </c>
      <c r="E2154" s="20" t="str">
        <f>IFERROR(VLOOKUP(I2154,KET!$B:$F,4,0),"")</f>
        <v>SUPRIYATI</v>
      </c>
      <c r="F2154" s="20" t="str">
        <f>IFERROR(VLOOKUP(I2154,KET!$B:$F,5,0),"")</f>
        <v>GMM</v>
      </c>
      <c r="G2154" s="20">
        <f>IFERROR(INDEX('Kode Outlet dan Target Toko'!$C:$C,MATCH($I2154,'Kode Outlet dan Target Toko'!$E:$E,0)),0)</f>
        <v>170220</v>
      </c>
      <c r="H2154" s="20">
        <f>IFERROR(INDEX('Kode Outlet dan Target Toko'!$D:$D,MATCH($I2154,'Kode Outlet dan Target Toko'!$E:$E,0)),0)</f>
        <v>1901019</v>
      </c>
      <c r="I2154" s="42" t="s">
        <v>38</v>
      </c>
      <c r="J2154" s="56" t="s">
        <v>267</v>
      </c>
      <c r="K2154" s="40" t="s">
        <v>16</v>
      </c>
      <c r="L2154" s="26">
        <v>2200</v>
      </c>
      <c r="M2154" s="26">
        <v>413</v>
      </c>
      <c r="N2154" s="25">
        <f t="shared" si="67"/>
        <v>908600</v>
      </c>
      <c r="O2154" s="56">
        <v>223</v>
      </c>
    </row>
    <row r="2155" spans="1:15" hidden="1" x14ac:dyDescent="0.3">
      <c r="A2155" s="26">
        <v>30</v>
      </c>
      <c r="B2155" s="20" t="str">
        <f t="shared" si="66"/>
        <v>JUL</v>
      </c>
      <c r="C2155" s="21">
        <v>46229</v>
      </c>
      <c r="D2155" s="22" t="str">
        <f t="array" ref="D2155">IFERROR(INDEX('Kode Outlet dan Target Toko'!$A:$A,MATCH($I2155,'Kode Outlet dan Target Toko'!$E:$E,0)),"")</f>
        <v>GRSM 5</v>
      </c>
      <c r="E2155" s="20" t="str">
        <f>IFERROR(VLOOKUP(I2155,KET!$B:$F,4,0),"")</f>
        <v>SUPRIYATI</v>
      </c>
      <c r="F2155" s="20" t="str">
        <f>IFERROR(VLOOKUP(I2155,KET!$B:$F,5,0),"")</f>
        <v>GMM</v>
      </c>
      <c r="G2155" s="20">
        <f>IFERROR(INDEX('Kode Outlet dan Target Toko'!$C:$C,MATCH($I2155,'Kode Outlet dan Target Toko'!$E:$E,0)),0)</f>
        <v>170220</v>
      </c>
      <c r="H2155" s="20">
        <f>IFERROR(INDEX('Kode Outlet dan Target Toko'!$D:$D,MATCH($I2155,'Kode Outlet dan Target Toko'!$E:$E,0)),0)</f>
        <v>1901019</v>
      </c>
      <c r="I2155" s="42" t="s">
        <v>38</v>
      </c>
      <c r="J2155" s="56" t="s">
        <v>268</v>
      </c>
      <c r="K2155" s="40" t="s">
        <v>13</v>
      </c>
      <c r="L2155" s="26">
        <v>2200</v>
      </c>
      <c r="M2155" s="26">
        <v>77</v>
      </c>
      <c r="N2155" s="25">
        <f t="shared" si="67"/>
        <v>169400</v>
      </c>
      <c r="O2155" s="56"/>
    </row>
    <row r="2156" spans="1:15" hidden="1" x14ac:dyDescent="0.3">
      <c r="A2156" s="26">
        <v>30</v>
      </c>
      <c r="B2156" s="20" t="str">
        <f t="shared" si="66"/>
        <v>JUL</v>
      </c>
      <c r="C2156" s="21">
        <v>46229</v>
      </c>
      <c r="D2156" s="22" t="str">
        <f t="array" ref="D2156">IFERROR(INDEX('Kode Outlet dan Target Toko'!$A:$A,MATCH($I2156,'Kode Outlet dan Target Toko'!$E:$E,0)),"")</f>
        <v>GRSM 5</v>
      </c>
      <c r="E2156" s="20" t="str">
        <f>IFERROR(VLOOKUP(I2156,KET!$B:$F,4,0),"")</f>
        <v>SUPRIYATI</v>
      </c>
      <c r="F2156" s="20" t="str">
        <f>IFERROR(VLOOKUP(I2156,KET!$B:$F,5,0),"")</f>
        <v>GMM</v>
      </c>
      <c r="G2156" s="20">
        <f>IFERROR(INDEX('Kode Outlet dan Target Toko'!$C:$C,MATCH($I2156,'Kode Outlet dan Target Toko'!$E:$E,0)),0)</f>
        <v>170220</v>
      </c>
      <c r="H2156" s="20">
        <f>IFERROR(INDEX('Kode Outlet dan Target Toko'!$D:$D,MATCH($I2156,'Kode Outlet dan Target Toko'!$E:$E,0)),0)</f>
        <v>1901019</v>
      </c>
      <c r="I2156" s="42" t="s">
        <v>38</v>
      </c>
      <c r="J2156" s="56" t="s">
        <v>268</v>
      </c>
      <c r="K2156" s="40" t="s">
        <v>14</v>
      </c>
      <c r="L2156" s="26">
        <v>2200</v>
      </c>
      <c r="M2156" s="26">
        <v>79</v>
      </c>
      <c r="N2156" s="25">
        <f t="shared" si="67"/>
        <v>173800</v>
      </c>
      <c r="O2156" s="56"/>
    </row>
    <row r="2157" spans="1:15" hidden="1" x14ac:dyDescent="0.3">
      <c r="A2157" s="26">
        <v>30</v>
      </c>
      <c r="B2157" s="20" t="str">
        <f t="shared" si="66"/>
        <v>JUL</v>
      </c>
      <c r="C2157" s="21">
        <v>46229</v>
      </c>
      <c r="D2157" s="22" t="str">
        <f t="array" ref="D2157">IFERROR(INDEX('Kode Outlet dan Target Toko'!$A:$A,MATCH($I2157,'Kode Outlet dan Target Toko'!$E:$E,0)),"")</f>
        <v>GRSM 5</v>
      </c>
      <c r="E2157" s="20" t="str">
        <f>IFERROR(VLOOKUP(I2157,KET!$B:$F,4,0),"")</f>
        <v>SUPRIYATI</v>
      </c>
      <c r="F2157" s="20" t="str">
        <f>IFERROR(VLOOKUP(I2157,KET!$B:$F,5,0),"")</f>
        <v>GMM</v>
      </c>
      <c r="G2157" s="20">
        <f>IFERROR(INDEX('Kode Outlet dan Target Toko'!$C:$C,MATCH($I2157,'Kode Outlet dan Target Toko'!$E:$E,0)),0)</f>
        <v>170220</v>
      </c>
      <c r="H2157" s="20">
        <f>IFERROR(INDEX('Kode Outlet dan Target Toko'!$D:$D,MATCH($I2157,'Kode Outlet dan Target Toko'!$E:$E,0)),0)</f>
        <v>1901019</v>
      </c>
      <c r="I2157" s="42" t="s">
        <v>38</v>
      </c>
      <c r="J2157" s="56" t="s">
        <v>268</v>
      </c>
      <c r="K2157" s="40" t="s">
        <v>15</v>
      </c>
      <c r="L2157" s="26">
        <v>2200</v>
      </c>
      <c r="M2157" s="26">
        <v>203</v>
      </c>
      <c r="N2157" s="25">
        <f t="shared" si="67"/>
        <v>446600</v>
      </c>
      <c r="O2157" s="56"/>
    </row>
    <row r="2158" spans="1:15" hidden="1" x14ac:dyDescent="0.3">
      <c r="A2158" s="26">
        <v>30</v>
      </c>
      <c r="B2158" s="20" t="str">
        <f t="shared" si="66"/>
        <v>JUL</v>
      </c>
      <c r="C2158" s="21">
        <v>46229</v>
      </c>
      <c r="D2158" s="22" t="str">
        <f t="array" ref="D2158">IFERROR(INDEX('Kode Outlet dan Target Toko'!$A:$A,MATCH($I2158,'Kode Outlet dan Target Toko'!$E:$E,0)),"")</f>
        <v>GRSM 5</v>
      </c>
      <c r="E2158" s="20" t="str">
        <f>IFERROR(VLOOKUP(I2158,KET!$B:$F,4,0),"")</f>
        <v>SUPRIYATI</v>
      </c>
      <c r="F2158" s="20" t="str">
        <f>IFERROR(VLOOKUP(I2158,KET!$B:$F,5,0),"")</f>
        <v>GMM</v>
      </c>
      <c r="G2158" s="20">
        <f>IFERROR(INDEX('Kode Outlet dan Target Toko'!$C:$C,MATCH($I2158,'Kode Outlet dan Target Toko'!$E:$E,0)),0)</f>
        <v>170220</v>
      </c>
      <c r="H2158" s="20">
        <f>IFERROR(INDEX('Kode Outlet dan Target Toko'!$D:$D,MATCH($I2158,'Kode Outlet dan Target Toko'!$E:$E,0)),0)</f>
        <v>1901019</v>
      </c>
      <c r="I2158" s="42" t="s">
        <v>38</v>
      </c>
      <c r="J2158" s="56" t="s">
        <v>268</v>
      </c>
      <c r="K2158" s="40" t="s">
        <v>16</v>
      </c>
      <c r="L2158" s="26">
        <v>2200</v>
      </c>
      <c r="M2158" s="26">
        <v>413</v>
      </c>
      <c r="N2158" s="25">
        <f t="shared" si="67"/>
        <v>908600</v>
      </c>
      <c r="O2158" s="56">
        <v>223</v>
      </c>
    </row>
    <row r="2159" spans="1:15" hidden="1" x14ac:dyDescent="0.3">
      <c r="A2159" s="26">
        <v>30</v>
      </c>
      <c r="B2159" s="20" t="str">
        <f t="shared" si="66"/>
        <v>JUL</v>
      </c>
      <c r="C2159" s="21">
        <v>46229</v>
      </c>
      <c r="D2159" s="22" t="str">
        <f t="array" ref="D2159">IFERROR(INDEX('Kode Outlet dan Target Toko'!$A:$A,MATCH($I2159,'Kode Outlet dan Target Toko'!$E:$E,0)),"")</f>
        <v>GRSM 5</v>
      </c>
      <c r="E2159" s="20" t="str">
        <f>IFERROR(VLOOKUP(I2159,KET!$B:$F,4,0),"")</f>
        <v>SUPRIYATI</v>
      </c>
      <c r="F2159" s="20" t="str">
        <f>IFERROR(VLOOKUP(I2159,KET!$B:$F,5,0),"")</f>
        <v>GMM</v>
      </c>
      <c r="G2159" s="20">
        <f>IFERROR(INDEX('Kode Outlet dan Target Toko'!$C:$C,MATCH($I2159,'Kode Outlet dan Target Toko'!$E:$E,0)),0)</f>
        <v>170220</v>
      </c>
      <c r="H2159" s="20">
        <f>IFERROR(INDEX('Kode Outlet dan Target Toko'!$D:$D,MATCH($I2159,'Kode Outlet dan Target Toko'!$E:$E,0)),0)</f>
        <v>1901004</v>
      </c>
      <c r="I2159" s="42" t="s">
        <v>36</v>
      </c>
      <c r="J2159" s="56" t="s">
        <v>263</v>
      </c>
      <c r="K2159" s="40" t="s">
        <v>13</v>
      </c>
      <c r="L2159" s="26">
        <v>2200</v>
      </c>
      <c r="M2159" s="26">
        <v>55</v>
      </c>
      <c r="N2159" s="25">
        <f t="shared" si="67"/>
        <v>121000</v>
      </c>
      <c r="O2159" s="56"/>
    </row>
    <row r="2160" spans="1:15" hidden="1" x14ac:dyDescent="0.3">
      <c r="A2160" s="26">
        <v>30</v>
      </c>
      <c r="B2160" s="20" t="str">
        <f t="shared" si="66"/>
        <v>JUL</v>
      </c>
      <c r="C2160" s="21">
        <v>46229</v>
      </c>
      <c r="D2160" s="22" t="str">
        <f t="array" ref="D2160">IFERROR(INDEX('Kode Outlet dan Target Toko'!$A:$A,MATCH($I2160,'Kode Outlet dan Target Toko'!$E:$E,0)),"")</f>
        <v>GRSM 5</v>
      </c>
      <c r="E2160" s="20" t="str">
        <f>IFERROR(VLOOKUP(I2160,KET!$B:$F,4,0),"")</f>
        <v>SUPRIYATI</v>
      </c>
      <c r="F2160" s="20" t="str">
        <f>IFERROR(VLOOKUP(I2160,KET!$B:$F,5,0),"")</f>
        <v>GMM</v>
      </c>
      <c r="G2160" s="20">
        <f>IFERROR(INDEX('Kode Outlet dan Target Toko'!$C:$C,MATCH($I2160,'Kode Outlet dan Target Toko'!$E:$E,0)),0)</f>
        <v>170220</v>
      </c>
      <c r="H2160" s="20">
        <f>IFERROR(INDEX('Kode Outlet dan Target Toko'!$D:$D,MATCH($I2160,'Kode Outlet dan Target Toko'!$E:$E,0)),0)</f>
        <v>1901004</v>
      </c>
      <c r="I2160" s="42" t="s">
        <v>36</v>
      </c>
      <c r="J2160" s="56" t="s">
        <v>263</v>
      </c>
      <c r="K2160" s="40" t="s">
        <v>14</v>
      </c>
      <c r="L2160" s="26">
        <v>2200</v>
      </c>
      <c r="M2160" s="26">
        <v>269</v>
      </c>
      <c r="N2160" s="25">
        <f t="shared" si="67"/>
        <v>591800</v>
      </c>
      <c r="O2160" s="56"/>
    </row>
    <row r="2161" spans="1:15" hidden="1" x14ac:dyDescent="0.3">
      <c r="A2161" s="26">
        <v>30</v>
      </c>
      <c r="B2161" s="20" t="str">
        <f t="shared" si="66"/>
        <v>JUL</v>
      </c>
      <c r="C2161" s="21">
        <v>46229</v>
      </c>
      <c r="D2161" s="22" t="str">
        <f t="array" ref="D2161">IFERROR(INDEX('Kode Outlet dan Target Toko'!$A:$A,MATCH($I2161,'Kode Outlet dan Target Toko'!$E:$E,0)),"")</f>
        <v>GRSM 5</v>
      </c>
      <c r="E2161" s="20" t="str">
        <f>IFERROR(VLOOKUP(I2161,KET!$B:$F,4,0),"")</f>
        <v>SUPRIYATI</v>
      </c>
      <c r="F2161" s="20" t="str">
        <f>IFERROR(VLOOKUP(I2161,KET!$B:$F,5,0),"")</f>
        <v>GMM</v>
      </c>
      <c r="G2161" s="20">
        <f>IFERROR(INDEX('Kode Outlet dan Target Toko'!$C:$C,MATCH($I2161,'Kode Outlet dan Target Toko'!$E:$E,0)),0)</f>
        <v>170220</v>
      </c>
      <c r="H2161" s="20">
        <f>IFERROR(INDEX('Kode Outlet dan Target Toko'!$D:$D,MATCH($I2161,'Kode Outlet dan Target Toko'!$E:$E,0)),0)</f>
        <v>1901004</v>
      </c>
      <c r="I2161" s="42" t="s">
        <v>36</v>
      </c>
      <c r="J2161" s="56" t="s">
        <v>263</v>
      </c>
      <c r="K2161" s="40" t="s">
        <v>15</v>
      </c>
      <c r="L2161" s="26">
        <v>2200</v>
      </c>
      <c r="M2161" s="26">
        <v>133</v>
      </c>
      <c r="N2161" s="25">
        <f t="shared" si="67"/>
        <v>292600</v>
      </c>
      <c r="O2161" s="56"/>
    </row>
    <row r="2162" spans="1:15" hidden="1" x14ac:dyDescent="0.3">
      <c r="A2162" s="26">
        <v>30</v>
      </c>
      <c r="B2162" s="20" t="str">
        <f t="shared" si="66"/>
        <v>JUL</v>
      </c>
      <c r="C2162" s="21">
        <v>46229</v>
      </c>
      <c r="D2162" s="22" t="str">
        <f t="array" ref="D2162">IFERROR(INDEX('Kode Outlet dan Target Toko'!$A:$A,MATCH($I2162,'Kode Outlet dan Target Toko'!$E:$E,0)),"")</f>
        <v>GRSM 5</v>
      </c>
      <c r="E2162" s="20" t="str">
        <f>IFERROR(VLOOKUP(I2162,KET!$B:$F,4,0),"")</f>
        <v>SUPRIYATI</v>
      </c>
      <c r="F2162" s="20" t="str">
        <f>IFERROR(VLOOKUP(I2162,KET!$B:$F,5,0),"")</f>
        <v>GMM</v>
      </c>
      <c r="G2162" s="20">
        <f>IFERROR(INDEX('Kode Outlet dan Target Toko'!$C:$C,MATCH($I2162,'Kode Outlet dan Target Toko'!$E:$E,0)),0)</f>
        <v>170220</v>
      </c>
      <c r="H2162" s="20">
        <f>IFERROR(INDEX('Kode Outlet dan Target Toko'!$D:$D,MATCH($I2162,'Kode Outlet dan Target Toko'!$E:$E,0)),0)</f>
        <v>1901004</v>
      </c>
      <c r="I2162" s="42" t="s">
        <v>36</v>
      </c>
      <c r="J2162" s="56" t="s">
        <v>263</v>
      </c>
      <c r="K2162" s="40" t="s">
        <v>16</v>
      </c>
      <c r="L2162" s="26">
        <v>2200</v>
      </c>
      <c r="M2162" s="26">
        <v>417</v>
      </c>
      <c r="N2162" s="25">
        <f t="shared" si="67"/>
        <v>917400</v>
      </c>
      <c r="O2162" s="56">
        <v>320</v>
      </c>
    </row>
    <row r="2163" spans="1:15" hidden="1" x14ac:dyDescent="0.3">
      <c r="A2163" s="26">
        <v>30</v>
      </c>
      <c r="B2163" s="20" t="str">
        <f t="shared" si="66"/>
        <v>JUL</v>
      </c>
      <c r="C2163" s="21">
        <v>46229</v>
      </c>
      <c r="D2163" s="22" t="str">
        <f t="array" ref="D2163">IFERROR(INDEX('Kode Outlet dan Target Toko'!$A:$A,MATCH($I2163,'Kode Outlet dan Target Toko'!$E:$E,0)),"")</f>
        <v>GRSM 5</v>
      </c>
      <c r="E2163" s="20" t="str">
        <f>IFERROR(VLOOKUP(I2163,KET!$B:$F,4,0),"")</f>
        <v>SUPRIYATI</v>
      </c>
      <c r="F2163" s="20" t="str">
        <f>IFERROR(VLOOKUP(I2163,KET!$B:$F,5,0),"")</f>
        <v>GMM</v>
      </c>
      <c r="G2163" s="20">
        <f>IFERROR(INDEX('Kode Outlet dan Target Toko'!$C:$C,MATCH($I2163,'Kode Outlet dan Target Toko'!$E:$E,0)),0)</f>
        <v>170220</v>
      </c>
      <c r="H2163" s="20">
        <f>IFERROR(INDEX('Kode Outlet dan Target Toko'!$D:$D,MATCH($I2163,'Kode Outlet dan Target Toko'!$E:$E,0)),0)</f>
        <v>1901004</v>
      </c>
      <c r="I2163" s="42" t="s">
        <v>36</v>
      </c>
      <c r="J2163" s="56" t="s">
        <v>264</v>
      </c>
      <c r="K2163" s="40" t="s">
        <v>13</v>
      </c>
      <c r="L2163" s="26">
        <v>2200</v>
      </c>
      <c r="M2163" s="26">
        <v>55</v>
      </c>
      <c r="N2163" s="25">
        <f t="shared" si="67"/>
        <v>121000</v>
      </c>
      <c r="O2163" s="56"/>
    </row>
    <row r="2164" spans="1:15" hidden="1" x14ac:dyDescent="0.3">
      <c r="A2164" s="26">
        <v>30</v>
      </c>
      <c r="B2164" s="20" t="str">
        <f t="shared" si="66"/>
        <v>JUL</v>
      </c>
      <c r="C2164" s="21">
        <v>46229</v>
      </c>
      <c r="D2164" s="22" t="str">
        <f t="array" ref="D2164">IFERROR(INDEX('Kode Outlet dan Target Toko'!$A:$A,MATCH($I2164,'Kode Outlet dan Target Toko'!$E:$E,0)),"")</f>
        <v>GRSM 5</v>
      </c>
      <c r="E2164" s="20" t="str">
        <f>IFERROR(VLOOKUP(I2164,KET!$B:$F,4,0),"")</f>
        <v>SUPRIYATI</v>
      </c>
      <c r="F2164" s="20" t="str">
        <f>IFERROR(VLOOKUP(I2164,KET!$B:$F,5,0),"")</f>
        <v>GMM</v>
      </c>
      <c r="G2164" s="20">
        <f>IFERROR(INDEX('Kode Outlet dan Target Toko'!$C:$C,MATCH($I2164,'Kode Outlet dan Target Toko'!$E:$E,0)),0)</f>
        <v>170220</v>
      </c>
      <c r="H2164" s="20">
        <f>IFERROR(INDEX('Kode Outlet dan Target Toko'!$D:$D,MATCH($I2164,'Kode Outlet dan Target Toko'!$E:$E,0)),0)</f>
        <v>1901004</v>
      </c>
      <c r="I2164" s="42" t="s">
        <v>36</v>
      </c>
      <c r="J2164" s="56" t="s">
        <v>264</v>
      </c>
      <c r="K2164" s="40" t="s">
        <v>14</v>
      </c>
      <c r="L2164" s="26">
        <v>2200</v>
      </c>
      <c r="M2164" s="26">
        <v>269</v>
      </c>
      <c r="N2164" s="25">
        <f t="shared" si="67"/>
        <v>591800</v>
      </c>
      <c r="O2164" s="56"/>
    </row>
    <row r="2165" spans="1:15" hidden="1" x14ac:dyDescent="0.3">
      <c r="A2165" s="26">
        <v>30</v>
      </c>
      <c r="B2165" s="20" t="str">
        <f t="shared" si="66"/>
        <v>JUL</v>
      </c>
      <c r="C2165" s="21">
        <v>46229</v>
      </c>
      <c r="D2165" s="22" t="str">
        <f t="array" ref="D2165">IFERROR(INDEX('Kode Outlet dan Target Toko'!$A:$A,MATCH($I2165,'Kode Outlet dan Target Toko'!$E:$E,0)),"")</f>
        <v>GRSM 5</v>
      </c>
      <c r="E2165" s="20" t="str">
        <f>IFERROR(VLOOKUP(I2165,KET!$B:$F,4,0),"")</f>
        <v>SUPRIYATI</v>
      </c>
      <c r="F2165" s="20" t="str">
        <f>IFERROR(VLOOKUP(I2165,KET!$B:$F,5,0),"")</f>
        <v>GMM</v>
      </c>
      <c r="G2165" s="20">
        <f>IFERROR(INDEX('Kode Outlet dan Target Toko'!$C:$C,MATCH($I2165,'Kode Outlet dan Target Toko'!$E:$E,0)),0)</f>
        <v>170220</v>
      </c>
      <c r="H2165" s="20">
        <f>IFERROR(INDEX('Kode Outlet dan Target Toko'!$D:$D,MATCH($I2165,'Kode Outlet dan Target Toko'!$E:$E,0)),0)</f>
        <v>1901004</v>
      </c>
      <c r="I2165" s="42" t="s">
        <v>36</v>
      </c>
      <c r="J2165" s="56" t="s">
        <v>264</v>
      </c>
      <c r="K2165" s="40" t="s">
        <v>15</v>
      </c>
      <c r="L2165" s="26">
        <v>2200</v>
      </c>
      <c r="M2165" s="26">
        <v>133</v>
      </c>
      <c r="N2165" s="25">
        <f t="shared" si="67"/>
        <v>292600</v>
      </c>
      <c r="O2165" s="56"/>
    </row>
    <row r="2166" spans="1:15" hidden="1" x14ac:dyDescent="0.3">
      <c r="A2166" s="26">
        <v>30</v>
      </c>
      <c r="B2166" s="20" t="str">
        <f t="shared" si="66"/>
        <v>JUL</v>
      </c>
      <c r="C2166" s="21">
        <v>46229</v>
      </c>
      <c r="D2166" s="22" t="str">
        <f t="array" ref="D2166">IFERROR(INDEX('Kode Outlet dan Target Toko'!$A:$A,MATCH($I2166,'Kode Outlet dan Target Toko'!$E:$E,0)),"")</f>
        <v>GRSM 5</v>
      </c>
      <c r="E2166" s="20" t="str">
        <f>IFERROR(VLOOKUP(I2166,KET!$B:$F,4,0),"")</f>
        <v>SUPRIYATI</v>
      </c>
      <c r="F2166" s="20" t="str">
        <f>IFERROR(VLOOKUP(I2166,KET!$B:$F,5,0),"")</f>
        <v>GMM</v>
      </c>
      <c r="G2166" s="20">
        <f>IFERROR(INDEX('Kode Outlet dan Target Toko'!$C:$C,MATCH($I2166,'Kode Outlet dan Target Toko'!$E:$E,0)),0)</f>
        <v>170220</v>
      </c>
      <c r="H2166" s="20">
        <f>IFERROR(INDEX('Kode Outlet dan Target Toko'!$D:$D,MATCH($I2166,'Kode Outlet dan Target Toko'!$E:$E,0)),0)</f>
        <v>1901004</v>
      </c>
      <c r="I2166" s="42" t="s">
        <v>36</v>
      </c>
      <c r="J2166" s="56" t="s">
        <v>264</v>
      </c>
      <c r="K2166" s="40" t="s">
        <v>16</v>
      </c>
      <c r="L2166" s="26">
        <v>2200</v>
      </c>
      <c r="M2166" s="26">
        <v>417</v>
      </c>
      <c r="N2166" s="25">
        <f t="shared" si="67"/>
        <v>917400</v>
      </c>
      <c r="O2166" s="56">
        <v>320</v>
      </c>
    </row>
    <row r="2167" spans="1:15" hidden="1" x14ac:dyDescent="0.3">
      <c r="A2167" s="26">
        <v>30</v>
      </c>
      <c r="B2167" s="20" t="str">
        <f t="shared" si="66"/>
        <v>JUL</v>
      </c>
      <c r="C2167" s="21">
        <v>46227</v>
      </c>
      <c r="D2167" s="22" t="str">
        <f t="array" ref="D2167">IFERROR(INDEX('Kode Outlet dan Target Toko'!$A:$A,MATCH($I2167,'Kode Outlet dan Target Toko'!$E:$E,0)),"")</f>
        <v>GRSM 6</v>
      </c>
      <c r="E2167" s="20" t="str">
        <f>IFERROR(VLOOKUP(I2167,KET!$B:$F,4,0),"")</f>
        <v>WINDA</v>
      </c>
      <c r="F2167" s="20" t="str">
        <f>IFERROR(VLOOKUP(I2167,KET!$B:$F,5,0),"")</f>
        <v>GMM</v>
      </c>
      <c r="G2167" s="20">
        <f>IFERROR(INDEX('Kode Outlet dan Target Toko'!$C:$C,MATCH($I2167,'Kode Outlet dan Target Toko'!$E:$E,0)),0)</f>
        <v>103765</v>
      </c>
      <c r="H2167" s="20">
        <f>IFERROR(INDEX('Kode Outlet dan Target Toko'!$D:$D,MATCH($I2167,'Kode Outlet dan Target Toko'!$E:$E,0)),0)</f>
        <v>4307038</v>
      </c>
      <c r="I2167" s="42" t="s">
        <v>48</v>
      </c>
      <c r="J2167" s="56" t="s">
        <v>269</v>
      </c>
      <c r="K2167" s="40" t="s">
        <v>13</v>
      </c>
      <c r="L2167" s="26">
        <v>3000</v>
      </c>
      <c r="M2167" s="26">
        <v>2</v>
      </c>
      <c r="N2167" s="25">
        <f t="shared" si="67"/>
        <v>6000</v>
      </c>
      <c r="O2167" s="56"/>
    </row>
    <row r="2168" spans="1:15" hidden="1" x14ac:dyDescent="0.3">
      <c r="A2168" s="26">
        <v>30</v>
      </c>
      <c r="B2168" s="20" t="str">
        <f t="shared" si="66"/>
        <v>JUL</v>
      </c>
      <c r="C2168" s="21">
        <v>46227</v>
      </c>
      <c r="D2168" s="22" t="str">
        <f t="array" ref="D2168">IFERROR(INDEX('Kode Outlet dan Target Toko'!$A:$A,MATCH($I2168,'Kode Outlet dan Target Toko'!$E:$E,0)),"")</f>
        <v>GRSM 6</v>
      </c>
      <c r="E2168" s="20" t="str">
        <f>IFERROR(VLOOKUP(I2168,KET!$B:$F,4,0),"")</f>
        <v>WINDA</v>
      </c>
      <c r="F2168" s="20" t="str">
        <f>IFERROR(VLOOKUP(I2168,KET!$B:$F,5,0),"")</f>
        <v>GMM</v>
      </c>
      <c r="G2168" s="20">
        <f>IFERROR(INDEX('Kode Outlet dan Target Toko'!$C:$C,MATCH($I2168,'Kode Outlet dan Target Toko'!$E:$E,0)),0)</f>
        <v>103765</v>
      </c>
      <c r="H2168" s="20">
        <f>IFERROR(INDEX('Kode Outlet dan Target Toko'!$D:$D,MATCH($I2168,'Kode Outlet dan Target Toko'!$E:$E,0)),0)</f>
        <v>4307038</v>
      </c>
      <c r="I2168" s="42" t="s">
        <v>48</v>
      </c>
      <c r="J2168" s="56" t="s">
        <v>269</v>
      </c>
      <c r="K2168" s="40" t="s">
        <v>14</v>
      </c>
      <c r="L2168" s="26">
        <v>3000</v>
      </c>
      <c r="M2168" s="26">
        <v>120</v>
      </c>
      <c r="N2168" s="25">
        <f t="shared" si="67"/>
        <v>360000</v>
      </c>
      <c r="O2168" s="56"/>
    </row>
    <row r="2169" spans="1:15" hidden="1" x14ac:dyDescent="0.3">
      <c r="A2169" s="26">
        <v>30</v>
      </c>
      <c r="B2169" s="20" t="str">
        <f t="shared" si="66"/>
        <v>JUL</v>
      </c>
      <c r="C2169" s="21">
        <v>46227</v>
      </c>
      <c r="D2169" s="22" t="str">
        <f t="array" ref="D2169">IFERROR(INDEX('Kode Outlet dan Target Toko'!$A:$A,MATCH($I2169,'Kode Outlet dan Target Toko'!$E:$E,0)),"")</f>
        <v>GRSM 6</v>
      </c>
      <c r="E2169" s="20" t="str">
        <f>IFERROR(VLOOKUP(I2169,KET!$B:$F,4,0),"")</f>
        <v>WINDA</v>
      </c>
      <c r="F2169" s="20" t="str">
        <f>IFERROR(VLOOKUP(I2169,KET!$B:$F,5,0),"")</f>
        <v>GMM</v>
      </c>
      <c r="G2169" s="20">
        <f>IFERROR(INDEX('Kode Outlet dan Target Toko'!$C:$C,MATCH($I2169,'Kode Outlet dan Target Toko'!$E:$E,0)),0)</f>
        <v>103765</v>
      </c>
      <c r="H2169" s="20">
        <f>IFERROR(INDEX('Kode Outlet dan Target Toko'!$D:$D,MATCH($I2169,'Kode Outlet dan Target Toko'!$E:$E,0)),0)</f>
        <v>4307038</v>
      </c>
      <c r="I2169" s="42" t="s">
        <v>48</v>
      </c>
      <c r="J2169" s="56" t="s">
        <v>269</v>
      </c>
      <c r="K2169" s="40" t="s">
        <v>15</v>
      </c>
      <c r="L2169" s="26">
        <v>3000</v>
      </c>
      <c r="M2169" s="26">
        <v>90</v>
      </c>
      <c r="N2169" s="25">
        <f t="shared" si="67"/>
        <v>270000</v>
      </c>
      <c r="O2169" s="56"/>
    </row>
    <row r="2170" spans="1:15" hidden="1" x14ac:dyDescent="0.3">
      <c r="A2170" s="26">
        <v>30</v>
      </c>
      <c r="B2170" s="20" t="str">
        <f t="shared" si="66"/>
        <v>JUL</v>
      </c>
      <c r="C2170" s="21">
        <v>46227</v>
      </c>
      <c r="D2170" s="22" t="str">
        <f t="array" ref="D2170">IFERROR(INDEX('Kode Outlet dan Target Toko'!$A:$A,MATCH($I2170,'Kode Outlet dan Target Toko'!$E:$E,0)),"")</f>
        <v>GRSM 6</v>
      </c>
      <c r="E2170" s="20" t="str">
        <f>IFERROR(VLOOKUP(I2170,KET!$B:$F,4,0),"")</f>
        <v>WINDA</v>
      </c>
      <c r="F2170" s="20" t="str">
        <f>IFERROR(VLOOKUP(I2170,KET!$B:$F,5,0),"")</f>
        <v>GMM</v>
      </c>
      <c r="G2170" s="20">
        <f>IFERROR(INDEX('Kode Outlet dan Target Toko'!$C:$C,MATCH($I2170,'Kode Outlet dan Target Toko'!$E:$E,0)),0)</f>
        <v>103765</v>
      </c>
      <c r="H2170" s="20">
        <f>IFERROR(INDEX('Kode Outlet dan Target Toko'!$D:$D,MATCH($I2170,'Kode Outlet dan Target Toko'!$E:$E,0)),0)</f>
        <v>4307038</v>
      </c>
      <c r="I2170" s="42" t="s">
        <v>48</v>
      </c>
      <c r="J2170" s="56" t="s">
        <v>269</v>
      </c>
      <c r="K2170" s="40" t="s">
        <v>16</v>
      </c>
      <c r="L2170" s="26">
        <v>3000</v>
      </c>
      <c r="M2170" s="26">
        <v>262</v>
      </c>
      <c r="N2170" s="25">
        <f t="shared" si="67"/>
        <v>786000</v>
      </c>
      <c r="O2170" s="56"/>
    </row>
    <row r="2171" spans="1:15" hidden="1" x14ac:dyDescent="0.3">
      <c r="A2171" s="26">
        <v>30</v>
      </c>
      <c r="B2171" s="20" t="str">
        <f t="shared" si="66"/>
        <v>JUL</v>
      </c>
      <c r="C2171" s="21">
        <v>46227</v>
      </c>
      <c r="D2171" s="22" t="str">
        <f t="array" ref="D2171">IFERROR(INDEX('Kode Outlet dan Target Toko'!$A:$A,MATCH($I2171,'Kode Outlet dan Target Toko'!$E:$E,0)),"")</f>
        <v>GRSM 6</v>
      </c>
      <c r="E2171" s="20" t="str">
        <f>IFERROR(VLOOKUP(I2171,KET!$B:$F,4,0),"")</f>
        <v>WINDA</v>
      </c>
      <c r="F2171" s="20" t="str">
        <f>IFERROR(VLOOKUP(I2171,KET!$B:$F,5,0),"")</f>
        <v>GMM</v>
      </c>
      <c r="G2171" s="20">
        <f>IFERROR(INDEX('Kode Outlet dan Target Toko'!$C:$C,MATCH($I2171,'Kode Outlet dan Target Toko'!$E:$E,0)),0)</f>
        <v>103765</v>
      </c>
      <c r="H2171" s="20">
        <f>IFERROR(INDEX('Kode Outlet dan Target Toko'!$D:$D,MATCH($I2171,'Kode Outlet dan Target Toko'!$E:$E,0)),0)</f>
        <v>4307038</v>
      </c>
      <c r="I2171" s="42" t="s">
        <v>48</v>
      </c>
      <c r="J2171" s="56" t="s">
        <v>270</v>
      </c>
      <c r="K2171" s="40" t="s">
        <v>13</v>
      </c>
      <c r="L2171" s="26">
        <v>3000</v>
      </c>
      <c r="M2171" s="26">
        <v>2</v>
      </c>
      <c r="N2171" s="25">
        <f t="shared" si="67"/>
        <v>6000</v>
      </c>
      <c r="O2171" s="56"/>
    </row>
    <row r="2172" spans="1:15" hidden="1" x14ac:dyDescent="0.3">
      <c r="A2172" s="26">
        <v>30</v>
      </c>
      <c r="B2172" s="20" t="str">
        <f t="shared" si="66"/>
        <v>JUL</v>
      </c>
      <c r="C2172" s="21">
        <v>46227</v>
      </c>
      <c r="D2172" s="22" t="str">
        <f t="array" ref="D2172">IFERROR(INDEX('Kode Outlet dan Target Toko'!$A:$A,MATCH($I2172,'Kode Outlet dan Target Toko'!$E:$E,0)),"")</f>
        <v>GRSM 6</v>
      </c>
      <c r="E2172" s="20" t="str">
        <f>IFERROR(VLOOKUP(I2172,KET!$B:$F,4,0),"")</f>
        <v>WINDA</v>
      </c>
      <c r="F2172" s="20" t="str">
        <f>IFERROR(VLOOKUP(I2172,KET!$B:$F,5,0),"")</f>
        <v>GMM</v>
      </c>
      <c r="G2172" s="20">
        <f>IFERROR(INDEX('Kode Outlet dan Target Toko'!$C:$C,MATCH($I2172,'Kode Outlet dan Target Toko'!$E:$E,0)),0)</f>
        <v>103765</v>
      </c>
      <c r="H2172" s="20">
        <f>IFERROR(INDEX('Kode Outlet dan Target Toko'!$D:$D,MATCH($I2172,'Kode Outlet dan Target Toko'!$E:$E,0)),0)</f>
        <v>4307038</v>
      </c>
      <c r="I2172" s="42" t="s">
        <v>48</v>
      </c>
      <c r="J2172" s="56" t="s">
        <v>270</v>
      </c>
      <c r="K2172" s="40" t="s">
        <v>14</v>
      </c>
      <c r="L2172" s="26">
        <v>3000</v>
      </c>
      <c r="M2172" s="26">
        <v>120</v>
      </c>
      <c r="N2172" s="25">
        <f t="shared" si="67"/>
        <v>360000</v>
      </c>
      <c r="O2172" s="56"/>
    </row>
    <row r="2173" spans="1:15" hidden="1" x14ac:dyDescent="0.3">
      <c r="A2173" s="26">
        <v>30</v>
      </c>
      <c r="B2173" s="20" t="str">
        <f t="shared" si="66"/>
        <v>JUL</v>
      </c>
      <c r="C2173" s="21">
        <v>46227</v>
      </c>
      <c r="D2173" s="22" t="str">
        <f t="array" ref="D2173">IFERROR(INDEX('Kode Outlet dan Target Toko'!$A:$A,MATCH($I2173,'Kode Outlet dan Target Toko'!$E:$E,0)),"")</f>
        <v>GRSM 6</v>
      </c>
      <c r="E2173" s="20" t="str">
        <f>IFERROR(VLOOKUP(I2173,KET!$B:$F,4,0),"")</f>
        <v>WINDA</v>
      </c>
      <c r="F2173" s="20" t="str">
        <f>IFERROR(VLOOKUP(I2173,KET!$B:$F,5,0),"")</f>
        <v>GMM</v>
      </c>
      <c r="G2173" s="20">
        <f>IFERROR(INDEX('Kode Outlet dan Target Toko'!$C:$C,MATCH($I2173,'Kode Outlet dan Target Toko'!$E:$E,0)),0)</f>
        <v>103765</v>
      </c>
      <c r="H2173" s="20">
        <f>IFERROR(INDEX('Kode Outlet dan Target Toko'!$D:$D,MATCH($I2173,'Kode Outlet dan Target Toko'!$E:$E,0)),0)</f>
        <v>4307038</v>
      </c>
      <c r="I2173" s="42" t="s">
        <v>48</v>
      </c>
      <c r="J2173" s="56" t="s">
        <v>270</v>
      </c>
      <c r="K2173" s="40" t="s">
        <v>15</v>
      </c>
      <c r="L2173" s="26">
        <v>3000</v>
      </c>
      <c r="M2173" s="26">
        <v>90</v>
      </c>
      <c r="N2173" s="25">
        <f t="shared" si="67"/>
        <v>270000</v>
      </c>
      <c r="O2173" s="56"/>
    </row>
    <row r="2174" spans="1:15" hidden="1" x14ac:dyDescent="0.3">
      <c r="A2174" s="26">
        <v>30</v>
      </c>
      <c r="B2174" s="20" t="str">
        <f t="shared" si="66"/>
        <v>JUL</v>
      </c>
      <c r="C2174" s="21">
        <v>46227</v>
      </c>
      <c r="D2174" s="22" t="str">
        <f t="array" ref="D2174">IFERROR(INDEX('Kode Outlet dan Target Toko'!$A:$A,MATCH($I2174,'Kode Outlet dan Target Toko'!$E:$E,0)),"")</f>
        <v>GRSM 6</v>
      </c>
      <c r="E2174" s="20" t="str">
        <f>IFERROR(VLOOKUP(I2174,KET!$B:$F,4,0),"")</f>
        <v>WINDA</v>
      </c>
      <c r="F2174" s="20" t="str">
        <f>IFERROR(VLOOKUP(I2174,KET!$B:$F,5,0),"")</f>
        <v>GMM</v>
      </c>
      <c r="G2174" s="20">
        <f>IFERROR(INDEX('Kode Outlet dan Target Toko'!$C:$C,MATCH($I2174,'Kode Outlet dan Target Toko'!$E:$E,0)),0)</f>
        <v>103765</v>
      </c>
      <c r="H2174" s="20">
        <f>IFERROR(INDEX('Kode Outlet dan Target Toko'!$D:$D,MATCH($I2174,'Kode Outlet dan Target Toko'!$E:$E,0)),0)</f>
        <v>4307038</v>
      </c>
      <c r="I2174" s="42" t="s">
        <v>48</v>
      </c>
      <c r="J2174" s="56" t="s">
        <v>270</v>
      </c>
      <c r="K2174" s="40" t="s">
        <v>16</v>
      </c>
      <c r="L2174" s="26">
        <v>3000</v>
      </c>
      <c r="M2174" s="26">
        <v>262</v>
      </c>
      <c r="N2174" s="25">
        <f t="shared" si="67"/>
        <v>786000</v>
      </c>
      <c r="O2174" s="56"/>
    </row>
    <row r="2175" spans="1:15" hidden="1" x14ac:dyDescent="0.3">
      <c r="A2175" s="26">
        <v>30</v>
      </c>
      <c r="B2175" s="20" t="str">
        <f t="shared" si="66"/>
        <v>JUL</v>
      </c>
      <c r="C2175" s="21">
        <v>46227</v>
      </c>
      <c r="D2175" s="22" t="str">
        <f t="array" ref="D2175">IFERROR(INDEX('Kode Outlet dan Target Toko'!$A:$A,MATCH($I2175,'Kode Outlet dan Target Toko'!$E:$E,0)),"")</f>
        <v>GRSM 6</v>
      </c>
      <c r="E2175" s="20" t="str">
        <f>IFERROR(VLOOKUP(I2175,KET!$B:$F,4,0),"")</f>
        <v>WINDA</v>
      </c>
      <c r="F2175" s="20" t="str">
        <f>IFERROR(VLOOKUP(I2175,KET!$B:$F,5,0),"")</f>
        <v>GMM</v>
      </c>
      <c r="G2175" s="20">
        <f>IFERROR(INDEX('Kode Outlet dan Target Toko'!$C:$C,MATCH($I2175,'Kode Outlet dan Target Toko'!$E:$E,0)),0)</f>
        <v>211139</v>
      </c>
      <c r="H2175" s="20">
        <f>IFERROR(INDEX('Kode Outlet dan Target Toko'!$D:$D,MATCH($I2175,'Kode Outlet dan Target Toko'!$E:$E,0)),0)</f>
        <v>3604550</v>
      </c>
      <c r="I2175" s="42" t="s">
        <v>69</v>
      </c>
      <c r="J2175" s="56" t="s">
        <v>281</v>
      </c>
      <c r="K2175" s="40" t="s">
        <v>13</v>
      </c>
      <c r="L2175" s="26">
        <v>2800</v>
      </c>
      <c r="M2175" s="26">
        <v>58</v>
      </c>
      <c r="N2175" s="25">
        <f t="shared" si="67"/>
        <v>162400</v>
      </c>
      <c r="O2175" s="56"/>
    </row>
    <row r="2176" spans="1:15" hidden="1" x14ac:dyDescent="0.3">
      <c r="A2176" s="26">
        <v>30</v>
      </c>
      <c r="B2176" s="20" t="str">
        <f t="shared" si="66"/>
        <v>JUL</v>
      </c>
      <c r="C2176" s="21">
        <v>46227</v>
      </c>
      <c r="D2176" s="22" t="str">
        <f t="array" ref="D2176">IFERROR(INDEX('Kode Outlet dan Target Toko'!$A:$A,MATCH($I2176,'Kode Outlet dan Target Toko'!$E:$E,0)),"")</f>
        <v>GRSM 6</v>
      </c>
      <c r="E2176" s="20" t="str">
        <f>IFERROR(VLOOKUP(I2176,KET!$B:$F,4,0),"")</f>
        <v>WINDA</v>
      </c>
      <c r="F2176" s="20" t="str">
        <f>IFERROR(VLOOKUP(I2176,KET!$B:$F,5,0),"")</f>
        <v>GMM</v>
      </c>
      <c r="G2176" s="20">
        <f>IFERROR(INDEX('Kode Outlet dan Target Toko'!$C:$C,MATCH($I2176,'Kode Outlet dan Target Toko'!$E:$E,0)),0)</f>
        <v>211139</v>
      </c>
      <c r="H2176" s="20">
        <f>IFERROR(INDEX('Kode Outlet dan Target Toko'!$D:$D,MATCH($I2176,'Kode Outlet dan Target Toko'!$E:$E,0)),0)</f>
        <v>3604550</v>
      </c>
      <c r="I2176" s="42" t="s">
        <v>69</v>
      </c>
      <c r="J2176" s="56" t="s">
        <v>281</v>
      </c>
      <c r="K2176" s="40" t="s">
        <v>14</v>
      </c>
      <c r="L2176" s="26">
        <v>2800</v>
      </c>
      <c r="M2176" s="26">
        <v>62</v>
      </c>
      <c r="N2176" s="25">
        <f t="shared" si="67"/>
        <v>173600</v>
      </c>
      <c r="O2176" s="56"/>
    </row>
    <row r="2177" spans="1:15" hidden="1" x14ac:dyDescent="0.3">
      <c r="A2177" s="26">
        <v>30</v>
      </c>
      <c r="B2177" s="20" t="str">
        <f t="shared" si="66"/>
        <v>JUL</v>
      </c>
      <c r="C2177" s="21">
        <v>46227</v>
      </c>
      <c r="D2177" s="22" t="str">
        <f t="array" ref="D2177">IFERROR(INDEX('Kode Outlet dan Target Toko'!$A:$A,MATCH($I2177,'Kode Outlet dan Target Toko'!$E:$E,0)),"")</f>
        <v>GRSM 6</v>
      </c>
      <c r="E2177" s="20" t="str">
        <f>IFERROR(VLOOKUP(I2177,KET!$B:$F,4,0),"")</f>
        <v>WINDA</v>
      </c>
      <c r="F2177" s="20" t="str">
        <f>IFERROR(VLOOKUP(I2177,KET!$B:$F,5,0),"")</f>
        <v>GMM</v>
      </c>
      <c r="G2177" s="20">
        <f>IFERROR(INDEX('Kode Outlet dan Target Toko'!$C:$C,MATCH($I2177,'Kode Outlet dan Target Toko'!$E:$E,0)),0)</f>
        <v>211139</v>
      </c>
      <c r="H2177" s="20">
        <f>IFERROR(INDEX('Kode Outlet dan Target Toko'!$D:$D,MATCH($I2177,'Kode Outlet dan Target Toko'!$E:$E,0)),0)</f>
        <v>3604550</v>
      </c>
      <c r="I2177" s="42" t="s">
        <v>69</v>
      </c>
      <c r="J2177" s="56" t="s">
        <v>281</v>
      </c>
      <c r="K2177" s="40" t="s">
        <v>15</v>
      </c>
      <c r="L2177" s="26">
        <v>2800</v>
      </c>
      <c r="M2177" s="26">
        <v>68</v>
      </c>
      <c r="N2177" s="25">
        <f t="shared" si="67"/>
        <v>190400</v>
      </c>
      <c r="O2177" s="56"/>
    </row>
    <row r="2178" spans="1:15" hidden="1" x14ac:dyDescent="0.3">
      <c r="A2178" s="26">
        <v>30</v>
      </c>
      <c r="B2178" s="20" t="str">
        <f t="shared" si="66"/>
        <v>JUL</v>
      </c>
      <c r="C2178" s="21">
        <v>46227</v>
      </c>
      <c r="D2178" s="22" t="str">
        <f t="array" ref="D2178">IFERROR(INDEX('Kode Outlet dan Target Toko'!$A:$A,MATCH($I2178,'Kode Outlet dan Target Toko'!$E:$E,0)),"")</f>
        <v>GRSM 6</v>
      </c>
      <c r="E2178" s="20" t="str">
        <f>IFERROR(VLOOKUP(I2178,KET!$B:$F,4,0),"")</f>
        <v>WINDA</v>
      </c>
      <c r="F2178" s="20" t="str">
        <f>IFERROR(VLOOKUP(I2178,KET!$B:$F,5,0),"")</f>
        <v>GMM</v>
      </c>
      <c r="G2178" s="20">
        <f>IFERROR(INDEX('Kode Outlet dan Target Toko'!$C:$C,MATCH($I2178,'Kode Outlet dan Target Toko'!$E:$E,0)),0)</f>
        <v>211139</v>
      </c>
      <c r="H2178" s="20">
        <f>IFERROR(INDEX('Kode Outlet dan Target Toko'!$D:$D,MATCH($I2178,'Kode Outlet dan Target Toko'!$E:$E,0)),0)</f>
        <v>3604550</v>
      </c>
      <c r="I2178" s="42" t="s">
        <v>69</v>
      </c>
      <c r="J2178" s="56" t="s">
        <v>281</v>
      </c>
      <c r="K2178" s="40" t="s">
        <v>16</v>
      </c>
      <c r="L2178" s="26">
        <v>2800</v>
      </c>
      <c r="M2178" s="26">
        <v>164</v>
      </c>
      <c r="N2178" s="25">
        <f t="shared" si="67"/>
        <v>459200</v>
      </c>
      <c r="O2178" s="56">
        <v>80</v>
      </c>
    </row>
    <row r="2179" spans="1:15" hidden="1" x14ac:dyDescent="0.3">
      <c r="A2179" s="26">
        <v>30</v>
      </c>
      <c r="B2179" s="20" t="str">
        <f t="shared" si="66"/>
        <v>JUL</v>
      </c>
      <c r="C2179" s="21">
        <v>46227</v>
      </c>
      <c r="D2179" s="22" t="str">
        <f t="array" ref="D2179">IFERROR(INDEX('Kode Outlet dan Target Toko'!$A:$A,MATCH($I2179,'Kode Outlet dan Target Toko'!$E:$E,0)),"")</f>
        <v>GRSM 6</v>
      </c>
      <c r="E2179" s="20" t="str">
        <f>IFERROR(VLOOKUP(I2179,KET!$B:$F,4,0),"")</f>
        <v>WINDA</v>
      </c>
      <c r="F2179" s="20" t="str">
        <f>IFERROR(VLOOKUP(I2179,KET!$B:$F,5,0),"")</f>
        <v>GMM</v>
      </c>
      <c r="G2179" s="20">
        <f>IFERROR(INDEX('Kode Outlet dan Target Toko'!$C:$C,MATCH($I2179,'Kode Outlet dan Target Toko'!$E:$E,0)),0)</f>
        <v>211139</v>
      </c>
      <c r="H2179" s="20">
        <f>IFERROR(INDEX('Kode Outlet dan Target Toko'!$D:$D,MATCH($I2179,'Kode Outlet dan Target Toko'!$E:$E,0)),0)</f>
        <v>3604550</v>
      </c>
      <c r="I2179" s="42" t="s">
        <v>69</v>
      </c>
      <c r="J2179" s="56" t="s">
        <v>282</v>
      </c>
      <c r="K2179" s="40" t="s">
        <v>13</v>
      </c>
      <c r="L2179" s="26">
        <v>2800</v>
      </c>
      <c r="M2179" s="26">
        <v>60</v>
      </c>
      <c r="N2179" s="25">
        <f t="shared" si="67"/>
        <v>168000</v>
      </c>
      <c r="O2179" s="56"/>
    </row>
    <row r="2180" spans="1:15" hidden="1" x14ac:dyDescent="0.3">
      <c r="A2180" s="26">
        <v>30</v>
      </c>
      <c r="B2180" s="20" t="str">
        <f t="shared" si="66"/>
        <v>JUL</v>
      </c>
      <c r="C2180" s="21">
        <v>46227</v>
      </c>
      <c r="D2180" s="22" t="str">
        <f t="array" ref="D2180">IFERROR(INDEX('Kode Outlet dan Target Toko'!$A:$A,MATCH($I2180,'Kode Outlet dan Target Toko'!$E:$E,0)),"")</f>
        <v>GRSM 6</v>
      </c>
      <c r="E2180" s="20" t="str">
        <f>IFERROR(VLOOKUP(I2180,KET!$B:$F,4,0),"")</f>
        <v>WINDA</v>
      </c>
      <c r="F2180" s="20" t="str">
        <f>IFERROR(VLOOKUP(I2180,KET!$B:$F,5,0),"")</f>
        <v>GMM</v>
      </c>
      <c r="G2180" s="20">
        <f>IFERROR(INDEX('Kode Outlet dan Target Toko'!$C:$C,MATCH($I2180,'Kode Outlet dan Target Toko'!$E:$E,0)),0)</f>
        <v>211139</v>
      </c>
      <c r="H2180" s="20">
        <f>IFERROR(INDEX('Kode Outlet dan Target Toko'!$D:$D,MATCH($I2180,'Kode Outlet dan Target Toko'!$E:$E,0)),0)</f>
        <v>3604550</v>
      </c>
      <c r="I2180" s="42" t="s">
        <v>69</v>
      </c>
      <c r="J2180" s="56" t="s">
        <v>282</v>
      </c>
      <c r="K2180" s="40" t="s">
        <v>14</v>
      </c>
      <c r="L2180" s="26">
        <v>2800</v>
      </c>
      <c r="M2180" s="26">
        <v>62</v>
      </c>
      <c r="N2180" s="25">
        <f t="shared" si="67"/>
        <v>173600</v>
      </c>
      <c r="O2180" s="56"/>
    </row>
    <row r="2181" spans="1:15" hidden="1" x14ac:dyDescent="0.3">
      <c r="A2181" s="26">
        <v>30</v>
      </c>
      <c r="B2181" s="20" t="str">
        <f t="shared" si="66"/>
        <v>JUL</v>
      </c>
      <c r="C2181" s="21">
        <v>46227</v>
      </c>
      <c r="D2181" s="22" t="str">
        <f t="array" ref="D2181">IFERROR(INDEX('Kode Outlet dan Target Toko'!$A:$A,MATCH($I2181,'Kode Outlet dan Target Toko'!$E:$E,0)),"")</f>
        <v>GRSM 6</v>
      </c>
      <c r="E2181" s="20" t="str">
        <f>IFERROR(VLOOKUP(I2181,KET!$B:$F,4,0),"")</f>
        <v>WINDA</v>
      </c>
      <c r="F2181" s="20" t="str">
        <f>IFERROR(VLOOKUP(I2181,KET!$B:$F,5,0),"")</f>
        <v>GMM</v>
      </c>
      <c r="G2181" s="20">
        <f>IFERROR(INDEX('Kode Outlet dan Target Toko'!$C:$C,MATCH($I2181,'Kode Outlet dan Target Toko'!$E:$E,0)),0)</f>
        <v>211139</v>
      </c>
      <c r="H2181" s="20">
        <f>IFERROR(INDEX('Kode Outlet dan Target Toko'!$D:$D,MATCH($I2181,'Kode Outlet dan Target Toko'!$E:$E,0)),0)</f>
        <v>3604550</v>
      </c>
      <c r="I2181" s="42" t="s">
        <v>69</v>
      </c>
      <c r="J2181" s="56" t="s">
        <v>282</v>
      </c>
      <c r="K2181" s="40" t="s">
        <v>15</v>
      </c>
      <c r="L2181" s="26">
        <v>2800</v>
      </c>
      <c r="M2181" s="26">
        <v>64</v>
      </c>
      <c r="N2181" s="25">
        <f t="shared" si="67"/>
        <v>179200</v>
      </c>
      <c r="O2181" s="56"/>
    </row>
    <row r="2182" spans="1:15" hidden="1" x14ac:dyDescent="0.3">
      <c r="A2182" s="26">
        <v>30</v>
      </c>
      <c r="B2182" s="20" t="str">
        <f t="shared" si="66"/>
        <v>JUL</v>
      </c>
      <c r="C2182" s="21">
        <v>46227</v>
      </c>
      <c r="D2182" s="22" t="str">
        <f t="array" ref="D2182">IFERROR(INDEX('Kode Outlet dan Target Toko'!$A:$A,MATCH($I2182,'Kode Outlet dan Target Toko'!$E:$E,0)),"")</f>
        <v>GRSM 6</v>
      </c>
      <c r="E2182" s="20" t="str">
        <f>IFERROR(VLOOKUP(I2182,KET!$B:$F,4,0),"")</f>
        <v>WINDA</v>
      </c>
      <c r="F2182" s="20" t="str">
        <f>IFERROR(VLOOKUP(I2182,KET!$B:$F,5,0),"")</f>
        <v>GMM</v>
      </c>
      <c r="G2182" s="20">
        <f>IFERROR(INDEX('Kode Outlet dan Target Toko'!$C:$C,MATCH($I2182,'Kode Outlet dan Target Toko'!$E:$E,0)),0)</f>
        <v>211139</v>
      </c>
      <c r="H2182" s="20">
        <f>IFERROR(INDEX('Kode Outlet dan Target Toko'!$D:$D,MATCH($I2182,'Kode Outlet dan Target Toko'!$E:$E,0)),0)</f>
        <v>3604550</v>
      </c>
      <c r="I2182" s="42" t="s">
        <v>69</v>
      </c>
      <c r="J2182" s="56" t="s">
        <v>282</v>
      </c>
      <c r="K2182" s="40" t="s">
        <v>16</v>
      </c>
      <c r="L2182" s="26">
        <v>2800</v>
      </c>
      <c r="M2182" s="26">
        <v>180</v>
      </c>
      <c r="N2182" s="25">
        <f t="shared" si="67"/>
        <v>504000</v>
      </c>
      <c r="O2182" s="56">
        <v>80</v>
      </c>
    </row>
    <row r="2183" spans="1:15" hidden="1" x14ac:dyDescent="0.3">
      <c r="A2183" s="26">
        <v>30</v>
      </c>
      <c r="B2183" s="20" t="str">
        <f t="shared" ref="B2183:B2246" si="68">IF(C2183="","",UPPER(TEXT(C2183, "MMM")))</f>
        <v>JUL</v>
      </c>
      <c r="C2183" s="21">
        <v>46227</v>
      </c>
      <c r="D2183" s="22" t="str">
        <f t="array" ref="D2183">IFERROR(INDEX('Kode Outlet dan Target Toko'!$A:$A,MATCH($I2183,'Kode Outlet dan Target Toko'!$E:$E,0)),"")</f>
        <v>GRSM 6</v>
      </c>
      <c r="E2183" s="20" t="str">
        <f>IFERROR(VLOOKUP(I2183,KET!$B:$F,4,0),"")</f>
        <v>WINDA</v>
      </c>
      <c r="F2183" s="20" t="str">
        <f>IFERROR(VLOOKUP(I2183,KET!$B:$F,5,0),"")</f>
        <v>GMM</v>
      </c>
      <c r="G2183" s="20">
        <f>IFERROR(INDEX('Kode Outlet dan Target Toko'!$C:$C,MATCH($I2183,'Kode Outlet dan Target Toko'!$E:$E,0)),0)</f>
        <v>211163</v>
      </c>
      <c r="H2183" s="20">
        <f>IFERROR(INDEX('Kode Outlet dan Target Toko'!$D:$D,MATCH($I2183,'Kode Outlet dan Target Toko'!$E:$E,0)),0)</f>
        <v>3703215</v>
      </c>
      <c r="I2183" s="42" t="s">
        <v>53</v>
      </c>
      <c r="J2183" s="56" t="s">
        <v>275</v>
      </c>
      <c r="K2183" s="40" t="s">
        <v>13</v>
      </c>
      <c r="L2183" s="26">
        <v>3000</v>
      </c>
      <c r="M2183" s="26">
        <v>0</v>
      </c>
      <c r="N2183" s="25">
        <f t="shared" ref="N2183:N2246" si="69">IFERROR(M2183*L2183,"")</f>
        <v>0</v>
      </c>
      <c r="O2183" s="56"/>
    </row>
    <row r="2184" spans="1:15" hidden="1" x14ac:dyDescent="0.3">
      <c r="A2184" s="26">
        <v>30</v>
      </c>
      <c r="B2184" s="20" t="str">
        <f t="shared" si="68"/>
        <v>JUL</v>
      </c>
      <c r="C2184" s="21">
        <v>46227</v>
      </c>
      <c r="D2184" s="22" t="str">
        <f t="array" ref="D2184">IFERROR(INDEX('Kode Outlet dan Target Toko'!$A:$A,MATCH($I2184,'Kode Outlet dan Target Toko'!$E:$E,0)),"")</f>
        <v>GRSM 6</v>
      </c>
      <c r="E2184" s="20" t="str">
        <f>IFERROR(VLOOKUP(I2184,KET!$B:$F,4,0),"")</f>
        <v>WINDA</v>
      </c>
      <c r="F2184" s="20" t="str">
        <f>IFERROR(VLOOKUP(I2184,KET!$B:$F,5,0),"")</f>
        <v>GMM</v>
      </c>
      <c r="G2184" s="20">
        <f>IFERROR(INDEX('Kode Outlet dan Target Toko'!$C:$C,MATCH($I2184,'Kode Outlet dan Target Toko'!$E:$E,0)),0)</f>
        <v>211163</v>
      </c>
      <c r="H2184" s="20">
        <f>IFERROR(INDEX('Kode Outlet dan Target Toko'!$D:$D,MATCH($I2184,'Kode Outlet dan Target Toko'!$E:$E,0)),0)</f>
        <v>3703215</v>
      </c>
      <c r="I2184" s="42" t="s">
        <v>53</v>
      </c>
      <c r="J2184" s="56" t="s">
        <v>275</v>
      </c>
      <c r="K2184" s="40" t="s">
        <v>14</v>
      </c>
      <c r="L2184" s="26">
        <v>3000</v>
      </c>
      <c r="M2184" s="26">
        <v>132</v>
      </c>
      <c r="N2184" s="25">
        <f t="shared" si="69"/>
        <v>396000</v>
      </c>
      <c r="O2184" s="56"/>
    </row>
    <row r="2185" spans="1:15" hidden="1" x14ac:dyDescent="0.3">
      <c r="A2185" s="26">
        <v>30</v>
      </c>
      <c r="B2185" s="20" t="str">
        <f t="shared" si="68"/>
        <v>JUL</v>
      </c>
      <c r="C2185" s="21">
        <v>46227</v>
      </c>
      <c r="D2185" s="22" t="str">
        <f t="array" ref="D2185">IFERROR(INDEX('Kode Outlet dan Target Toko'!$A:$A,MATCH($I2185,'Kode Outlet dan Target Toko'!$E:$E,0)),"")</f>
        <v>GRSM 6</v>
      </c>
      <c r="E2185" s="20" t="str">
        <f>IFERROR(VLOOKUP(I2185,KET!$B:$F,4,0),"")</f>
        <v>WINDA</v>
      </c>
      <c r="F2185" s="20" t="str">
        <f>IFERROR(VLOOKUP(I2185,KET!$B:$F,5,0),"")</f>
        <v>GMM</v>
      </c>
      <c r="G2185" s="20">
        <f>IFERROR(INDEX('Kode Outlet dan Target Toko'!$C:$C,MATCH($I2185,'Kode Outlet dan Target Toko'!$E:$E,0)),0)</f>
        <v>211163</v>
      </c>
      <c r="H2185" s="20">
        <f>IFERROR(INDEX('Kode Outlet dan Target Toko'!$D:$D,MATCH($I2185,'Kode Outlet dan Target Toko'!$E:$E,0)),0)</f>
        <v>3703215</v>
      </c>
      <c r="I2185" s="42" t="s">
        <v>53</v>
      </c>
      <c r="J2185" s="56" t="s">
        <v>275</v>
      </c>
      <c r="K2185" s="40" t="s">
        <v>15</v>
      </c>
      <c r="L2185" s="26">
        <v>3000</v>
      </c>
      <c r="M2185" s="26">
        <v>122</v>
      </c>
      <c r="N2185" s="25">
        <f t="shared" si="69"/>
        <v>366000</v>
      </c>
      <c r="O2185" s="56"/>
    </row>
    <row r="2186" spans="1:15" hidden="1" x14ac:dyDescent="0.3">
      <c r="A2186" s="26">
        <v>30</v>
      </c>
      <c r="B2186" s="20" t="str">
        <f t="shared" si="68"/>
        <v>JUL</v>
      </c>
      <c r="C2186" s="21">
        <v>46227</v>
      </c>
      <c r="D2186" s="22" t="str">
        <f t="array" ref="D2186">IFERROR(INDEX('Kode Outlet dan Target Toko'!$A:$A,MATCH($I2186,'Kode Outlet dan Target Toko'!$E:$E,0)),"")</f>
        <v>GRSM 6</v>
      </c>
      <c r="E2186" s="20" t="str">
        <f>IFERROR(VLOOKUP(I2186,KET!$B:$F,4,0),"")</f>
        <v>WINDA</v>
      </c>
      <c r="F2186" s="20" t="str">
        <f>IFERROR(VLOOKUP(I2186,KET!$B:$F,5,0),"")</f>
        <v>GMM</v>
      </c>
      <c r="G2186" s="20">
        <f>IFERROR(INDEX('Kode Outlet dan Target Toko'!$C:$C,MATCH($I2186,'Kode Outlet dan Target Toko'!$E:$E,0)),0)</f>
        <v>211163</v>
      </c>
      <c r="H2186" s="20">
        <f>IFERROR(INDEX('Kode Outlet dan Target Toko'!$D:$D,MATCH($I2186,'Kode Outlet dan Target Toko'!$E:$E,0)),0)</f>
        <v>3703215</v>
      </c>
      <c r="I2186" s="42" t="s">
        <v>53</v>
      </c>
      <c r="J2186" s="56" t="s">
        <v>275</v>
      </c>
      <c r="K2186" s="40" t="s">
        <v>16</v>
      </c>
      <c r="L2186" s="26">
        <v>3000</v>
      </c>
      <c r="M2186" s="26">
        <v>168</v>
      </c>
      <c r="N2186" s="25">
        <f t="shared" si="69"/>
        <v>504000</v>
      </c>
      <c r="O2186" s="56">
        <v>80</v>
      </c>
    </row>
    <row r="2187" spans="1:15" hidden="1" x14ac:dyDescent="0.3">
      <c r="A2187" s="26">
        <v>30</v>
      </c>
      <c r="B2187" s="20" t="str">
        <f t="shared" si="68"/>
        <v>JUL</v>
      </c>
      <c r="C2187" s="21">
        <v>46227</v>
      </c>
      <c r="D2187" s="22" t="str">
        <f t="array" ref="D2187">IFERROR(INDEX('Kode Outlet dan Target Toko'!$A:$A,MATCH($I2187,'Kode Outlet dan Target Toko'!$E:$E,0)),"")</f>
        <v>GRSM 6</v>
      </c>
      <c r="E2187" s="20" t="str">
        <f>IFERROR(VLOOKUP(I2187,KET!$B:$F,4,0),"")</f>
        <v>WINDA</v>
      </c>
      <c r="F2187" s="20" t="str">
        <f>IFERROR(VLOOKUP(I2187,KET!$B:$F,5,0),"")</f>
        <v>GMM</v>
      </c>
      <c r="G2187" s="20">
        <f>IFERROR(INDEX('Kode Outlet dan Target Toko'!$C:$C,MATCH($I2187,'Kode Outlet dan Target Toko'!$E:$E,0)),0)</f>
        <v>211163</v>
      </c>
      <c r="H2187" s="20">
        <f>IFERROR(INDEX('Kode Outlet dan Target Toko'!$D:$D,MATCH($I2187,'Kode Outlet dan Target Toko'!$E:$E,0)),0)</f>
        <v>3703215</v>
      </c>
      <c r="I2187" s="42" t="s">
        <v>53</v>
      </c>
      <c r="J2187" s="56" t="s">
        <v>276</v>
      </c>
      <c r="K2187" s="40" t="s">
        <v>13</v>
      </c>
      <c r="L2187" s="26">
        <v>3000</v>
      </c>
      <c r="M2187" s="26">
        <v>0</v>
      </c>
      <c r="N2187" s="25">
        <f t="shared" si="69"/>
        <v>0</v>
      </c>
      <c r="O2187" s="56"/>
    </row>
    <row r="2188" spans="1:15" hidden="1" x14ac:dyDescent="0.3">
      <c r="A2188" s="26">
        <v>30</v>
      </c>
      <c r="B2188" s="20" t="str">
        <f t="shared" si="68"/>
        <v>JUL</v>
      </c>
      <c r="C2188" s="21">
        <v>46227</v>
      </c>
      <c r="D2188" s="22" t="str">
        <f t="array" ref="D2188">IFERROR(INDEX('Kode Outlet dan Target Toko'!$A:$A,MATCH($I2188,'Kode Outlet dan Target Toko'!$E:$E,0)),"")</f>
        <v>GRSM 6</v>
      </c>
      <c r="E2188" s="20" t="str">
        <f>IFERROR(VLOOKUP(I2188,KET!$B:$F,4,0),"")</f>
        <v>WINDA</v>
      </c>
      <c r="F2188" s="20" t="str">
        <f>IFERROR(VLOOKUP(I2188,KET!$B:$F,5,0),"")</f>
        <v>GMM</v>
      </c>
      <c r="G2188" s="20">
        <f>IFERROR(INDEX('Kode Outlet dan Target Toko'!$C:$C,MATCH($I2188,'Kode Outlet dan Target Toko'!$E:$E,0)),0)</f>
        <v>211163</v>
      </c>
      <c r="H2188" s="20">
        <f>IFERROR(INDEX('Kode Outlet dan Target Toko'!$D:$D,MATCH($I2188,'Kode Outlet dan Target Toko'!$E:$E,0)),0)</f>
        <v>3703215</v>
      </c>
      <c r="I2188" s="42" t="s">
        <v>53</v>
      </c>
      <c r="J2188" s="56" t="s">
        <v>276</v>
      </c>
      <c r="K2188" s="40" t="s">
        <v>14</v>
      </c>
      <c r="L2188" s="26">
        <v>3000</v>
      </c>
      <c r="M2188" s="26">
        <v>132</v>
      </c>
      <c r="N2188" s="25">
        <f t="shared" si="69"/>
        <v>396000</v>
      </c>
      <c r="O2188" s="56"/>
    </row>
    <row r="2189" spans="1:15" hidden="1" x14ac:dyDescent="0.3">
      <c r="A2189" s="26">
        <v>30</v>
      </c>
      <c r="B2189" s="20" t="str">
        <f t="shared" si="68"/>
        <v>JUL</v>
      </c>
      <c r="C2189" s="21">
        <v>46227</v>
      </c>
      <c r="D2189" s="22" t="str">
        <f t="array" ref="D2189">IFERROR(INDEX('Kode Outlet dan Target Toko'!$A:$A,MATCH($I2189,'Kode Outlet dan Target Toko'!$E:$E,0)),"")</f>
        <v>GRSM 6</v>
      </c>
      <c r="E2189" s="20" t="str">
        <f>IFERROR(VLOOKUP(I2189,KET!$B:$F,4,0),"")</f>
        <v>WINDA</v>
      </c>
      <c r="F2189" s="20" t="str">
        <f>IFERROR(VLOOKUP(I2189,KET!$B:$F,5,0),"")</f>
        <v>GMM</v>
      </c>
      <c r="G2189" s="20">
        <f>IFERROR(INDEX('Kode Outlet dan Target Toko'!$C:$C,MATCH($I2189,'Kode Outlet dan Target Toko'!$E:$E,0)),0)</f>
        <v>211163</v>
      </c>
      <c r="H2189" s="20">
        <f>IFERROR(INDEX('Kode Outlet dan Target Toko'!$D:$D,MATCH($I2189,'Kode Outlet dan Target Toko'!$E:$E,0)),0)</f>
        <v>3703215</v>
      </c>
      <c r="I2189" s="42" t="s">
        <v>53</v>
      </c>
      <c r="J2189" s="56" t="s">
        <v>276</v>
      </c>
      <c r="K2189" s="40" t="s">
        <v>15</v>
      </c>
      <c r="L2189" s="26">
        <v>3000</v>
      </c>
      <c r="M2189" s="26">
        <v>122</v>
      </c>
      <c r="N2189" s="25">
        <f t="shared" si="69"/>
        <v>366000</v>
      </c>
      <c r="O2189" s="56"/>
    </row>
    <row r="2190" spans="1:15" hidden="1" x14ac:dyDescent="0.3">
      <c r="A2190" s="26">
        <v>30</v>
      </c>
      <c r="B2190" s="20" t="str">
        <f t="shared" si="68"/>
        <v>JUL</v>
      </c>
      <c r="C2190" s="21">
        <v>46227</v>
      </c>
      <c r="D2190" s="22" t="str">
        <f t="array" ref="D2190">IFERROR(INDEX('Kode Outlet dan Target Toko'!$A:$A,MATCH($I2190,'Kode Outlet dan Target Toko'!$E:$E,0)),"")</f>
        <v>GRSM 6</v>
      </c>
      <c r="E2190" s="20" t="str">
        <f>IFERROR(VLOOKUP(I2190,KET!$B:$F,4,0),"")</f>
        <v>WINDA</v>
      </c>
      <c r="F2190" s="20" t="str">
        <f>IFERROR(VLOOKUP(I2190,KET!$B:$F,5,0),"")</f>
        <v>GMM</v>
      </c>
      <c r="G2190" s="20">
        <f>IFERROR(INDEX('Kode Outlet dan Target Toko'!$C:$C,MATCH($I2190,'Kode Outlet dan Target Toko'!$E:$E,0)),0)</f>
        <v>211163</v>
      </c>
      <c r="H2190" s="20">
        <f>IFERROR(INDEX('Kode Outlet dan Target Toko'!$D:$D,MATCH($I2190,'Kode Outlet dan Target Toko'!$E:$E,0)),0)</f>
        <v>3703215</v>
      </c>
      <c r="I2190" s="42" t="s">
        <v>53</v>
      </c>
      <c r="J2190" s="56" t="s">
        <v>276</v>
      </c>
      <c r="K2190" s="40" t="s">
        <v>16</v>
      </c>
      <c r="L2190" s="26">
        <v>3000</v>
      </c>
      <c r="M2190" s="26">
        <v>168</v>
      </c>
      <c r="N2190" s="25">
        <f t="shared" si="69"/>
        <v>504000</v>
      </c>
      <c r="O2190" s="56">
        <v>80</v>
      </c>
    </row>
    <row r="2191" spans="1:15" hidden="1" x14ac:dyDescent="0.3">
      <c r="A2191" s="26">
        <v>30</v>
      </c>
      <c r="B2191" s="20" t="str">
        <f t="shared" si="68"/>
        <v>JUL</v>
      </c>
      <c r="C2191" s="21">
        <v>46227</v>
      </c>
      <c r="D2191" s="22" t="str">
        <f t="array" ref="D2191">IFERROR(INDEX('Kode Outlet dan Target Toko'!$A:$A,MATCH($I2191,'Kode Outlet dan Target Toko'!$E:$E,0)),"")</f>
        <v>GRSM 6</v>
      </c>
      <c r="E2191" s="20" t="str">
        <f>IFERROR(VLOOKUP(I2191,KET!$B:$F,4,0),"")</f>
        <v>WINDA</v>
      </c>
      <c r="F2191" s="20" t="str">
        <f>IFERROR(VLOOKUP(I2191,KET!$B:$F,5,0),"")</f>
        <v>GMM</v>
      </c>
      <c r="G2191" s="20">
        <f>IFERROR(INDEX('Kode Outlet dan Target Toko'!$C:$C,MATCH($I2191,'Kode Outlet dan Target Toko'!$E:$E,0)),0)</f>
        <v>211163</v>
      </c>
      <c r="H2191" s="20">
        <f>IFERROR(INDEX('Kode Outlet dan Target Toko'!$D:$D,MATCH($I2191,'Kode Outlet dan Target Toko'!$E:$E,0)),0)</f>
        <v>3703219</v>
      </c>
      <c r="I2191" s="42" t="s">
        <v>52</v>
      </c>
      <c r="J2191" s="56" t="s">
        <v>274</v>
      </c>
      <c r="K2191" s="40" t="s">
        <v>13</v>
      </c>
      <c r="L2191" s="26">
        <v>2900</v>
      </c>
      <c r="M2191" s="26">
        <v>0</v>
      </c>
      <c r="N2191" s="25">
        <f t="shared" si="69"/>
        <v>0</v>
      </c>
      <c r="O2191" s="56"/>
    </row>
    <row r="2192" spans="1:15" hidden="1" x14ac:dyDescent="0.3">
      <c r="A2192" s="26">
        <v>30</v>
      </c>
      <c r="B2192" s="20" t="str">
        <f t="shared" si="68"/>
        <v>JUL</v>
      </c>
      <c r="C2192" s="21">
        <v>46227</v>
      </c>
      <c r="D2192" s="22" t="str">
        <f t="array" ref="D2192">IFERROR(INDEX('Kode Outlet dan Target Toko'!$A:$A,MATCH($I2192,'Kode Outlet dan Target Toko'!$E:$E,0)),"")</f>
        <v>GRSM 6</v>
      </c>
      <c r="E2192" s="20" t="str">
        <f>IFERROR(VLOOKUP(I2192,KET!$B:$F,4,0),"")</f>
        <v>WINDA</v>
      </c>
      <c r="F2192" s="20" t="str">
        <f>IFERROR(VLOOKUP(I2192,KET!$B:$F,5,0),"")</f>
        <v>GMM</v>
      </c>
      <c r="G2192" s="20">
        <f>IFERROR(INDEX('Kode Outlet dan Target Toko'!$C:$C,MATCH($I2192,'Kode Outlet dan Target Toko'!$E:$E,0)),0)</f>
        <v>211163</v>
      </c>
      <c r="H2192" s="20">
        <f>IFERROR(INDEX('Kode Outlet dan Target Toko'!$D:$D,MATCH($I2192,'Kode Outlet dan Target Toko'!$E:$E,0)),0)</f>
        <v>3703219</v>
      </c>
      <c r="I2192" s="42" t="s">
        <v>52</v>
      </c>
      <c r="J2192" s="56" t="s">
        <v>274</v>
      </c>
      <c r="K2192" s="40" t="s">
        <v>14</v>
      </c>
      <c r="L2192" s="26">
        <v>2900</v>
      </c>
      <c r="M2192" s="26">
        <v>224</v>
      </c>
      <c r="N2192" s="25">
        <f t="shared" si="69"/>
        <v>649600</v>
      </c>
      <c r="O2192" s="56"/>
    </row>
    <row r="2193" spans="1:15" hidden="1" x14ac:dyDescent="0.3">
      <c r="A2193" s="26">
        <v>30</v>
      </c>
      <c r="B2193" s="20" t="str">
        <f t="shared" si="68"/>
        <v>JUL</v>
      </c>
      <c r="C2193" s="21">
        <v>46227</v>
      </c>
      <c r="D2193" s="22" t="str">
        <f t="array" ref="D2193">IFERROR(INDEX('Kode Outlet dan Target Toko'!$A:$A,MATCH($I2193,'Kode Outlet dan Target Toko'!$E:$E,0)),"")</f>
        <v>GRSM 6</v>
      </c>
      <c r="E2193" s="20" t="str">
        <f>IFERROR(VLOOKUP(I2193,KET!$B:$F,4,0),"")</f>
        <v>WINDA</v>
      </c>
      <c r="F2193" s="20" t="str">
        <f>IFERROR(VLOOKUP(I2193,KET!$B:$F,5,0),"")</f>
        <v>GMM</v>
      </c>
      <c r="G2193" s="20">
        <f>IFERROR(INDEX('Kode Outlet dan Target Toko'!$C:$C,MATCH($I2193,'Kode Outlet dan Target Toko'!$E:$E,0)),0)</f>
        <v>211163</v>
      </c>
      <c r="H2193" s="20">
        <f>IFERROR(INDEX('Kode Outlet dan Target Toko'!$D:$D,MATCH($I2193,'Kode Outlet dan Target Toko'!$E:$E,0)),0)</f>
        <v>3703219</v>
      </c>
      <c r="I2193" s="42" t="s">
        <v>52</v>
      </c>
      <c r="J2193" s="56" t="s">
        <v>274</v>
      </c>
      <c r="K2193" s="40" t="s">
        <v>15</v>
      </c>
      <c r="L2193" s="26">
        <v>2900</v>
      </c>
      <c r="M2193" s="26">
        <v>216</v>
      </c>
      <c r="N2193" s="25">
        <f t="shared" si="69"/>
        <v>626400</v>
      </c>
      <c r="O2193" s="56"/>
    </row>
    <row r="2194" spans="1:15" hidden="1" x14ac:dyDescent="0.3">
      <c r="A2194" s="26">
        <v>30</v>
      </c>
      <c r="B2194" s="20" t="str">
        <f t="shared" si="68"/>
        <v>JUL</v>
      </c>
      <c r="C2194" s="21">
        <v>46227</v>
      </c>
      <c r="D2194" s="22" t="str">
        <f t="array" ref="D2194">IFERROR(INDEX('Kode Outlet dan Target Toko'!$A:$A,MATCH($I2194,'Kode Outlet dan Target Toko'!$E:$E,0)),"")</f>
        <v>GRSM 6</v>
      </c>
      <c r="E2194" s="20" t="str">
        <f>IFERROR(VLOOKUP(I2194,KET!$B:$F,4,0),"")</f>
        <v>WINDA</v>
      </c>
      <c r="F2194" s="20" t="str">
        <f>IFERROR(VLOOKUP(I2194,KET!$B:$F,5,0),"")</f>
        <v>GMM</v>
      </c>
      <c r="G2194" s="20">
        <f>IFERROR(INDEX('Kode Outlet dan Target Toko'!$C:$C,MATCH($I2194,'Kode Outlet dan Target Toko'!$E:$E,0)),0)</f>
        <v>211163</v>
      </c>
      <c r="H2194" s="20">
        <f>IFERROR(INDEX('Kode Outlet dan Target Toko'!$D:$D,MATCH($I2194,'Kode Outlet dan Target Toko'!$E:$E,0)),0)</f>
        <v>3703219</v>
      </c>
      <c r="I2194" s="42" t="s">
        <v>52</v>
      </c>
      <c r="J2194" s="56" t="s">
        <v>274</v>
      </c>
      <c r="K2194" s="40" t="s">
        <v>16</v>
      </c>
      <c r="L2194" s="26">
        <v>2900</v>
      </c>
      <c r="M2194" s="26">
        <v>438</v>
      </c>
      <c r="N2194" s="25">
        <f t="shared" si="69"/>
        <v>1270200</v>
      </c>
      <c r="O2194" s="56"/>
    </row>
    <row r="2195" spans="1:15" hidden="1" x14ac:dyDescent="0.3">
      <c r="A2195" s="26">
        <v>30</v>
      </c>
      <c r="B2195" s="20" t="str">
        <f t="shared" si="68"/>
        <v>JUL</v>
      </c>
      <c r="C2195" s="21">
        <v>46227</v>
      </c>
      <c r="D2195" s="22" t="str">
        <f t="array" ref="D2195">IFERROR(INDEX('Kode Outlet dan Target Toko'!$A:$A,MATCH($I2195,'Kode Outlet dan Target Toko'!$E:$E,0)),"")</f>
        <v>GRSM 6</v>
      </c>
      <c r="E2195" s="20" t="str">
        <f>IFERROR(VLOOKUP(I2195,KET!$B:$F,4,0),"")</f>
        <v>WINDA</v>
      </c>
      <c r="F2195" s="20" t="str">
        <f>IFERROR(VLOOKUP(I2195,KET!$B:$F,5,0),"")</f>
        <v>GMM</v>
      </c>
      <c r="G2195" s="20">
        <f>IFERROR(INDEX('Kode Outlet dan Target Toko'!$C:$C,MATCH($I2195,'Kode Outlet dan Target Toko'!$E:$E,0)),0)</f>
        <v>211163</v>
      </c>
      <c r="H2195" s="20">
        <f>IFERROR(INDEX('Kode Outlet dan Target Toko'!$D:$D,MATCH($I2195,'Kode Outlet dan Target Toko'!$E:$E,0)),0)</f>
        <v>3703219</v>
      </c>
      <c r="I2195" s="42" t="s">
        <v>52</v>
      </c>
      <c r="J2195" s="56" t="s">
        <v>273</v>
      </c>
      <c r="K2195" s="40" t="s">
        <v>13</v>
      </c>
      <c r="L2195" s="26">
        <v>2900</v>
      </c>
      <c r="M2195" s="26">
        <v>0</v>
      </c>
      <c r="N2195" s="25">
        <f t="shared" si="69"/>
        <v>0</v>
      </c>
      <c r="O2195" s="56"/>
    </row>
    <row r="2196" spans="1:15" hidden="1" x14ac:dyDescent="0.3">
      <c r="A2196" s="26">
        <v>30</v>
      </c>
      <c r="B2196" s="20" t="str">
        <f t="shared" si="68"/>
        <v>JUL</v>
      </c>
      <c r="C2196" s="21">
        <v>46227</v>
      </c>
      <c r="D2196" s="22" t="str">
        <f t="array" ref="D2196">IFERROR(INDEX('Kode Outlet dan Target Toko'!$A:$A,MATCH($I2196,'Kode Outlet dan Target Toko'!$E:$E,0)),"")</f>
        <v>GRSM 6</v>
      </c>
      <c r="E2196" s="20" t="str">
        <f>IFERROR(VLOOKUP(I2196,KET!$B:$F,4,0),"")</f>
        <v>WINDA</v>
      </c>
      <c r="F2196" s="20" t="str">
        <f>IFERROR(VLOOKUP(I2196,KET!$B:$F,5,0),"")</f>
        <v>GMM</v>
      </c>
      <c r="G2196" s="20">
        <f>IFERROR(INDEX('Kode Outlet dan Target Toko'!$C:$C,MATCH($I2196,'Kode Outlet dan Target Toko'!$E:$E,0)),0)</f>
        <v>211163</v>
      </c>
      <c r="H2196" s="20">
        <f>IFERROR(INDEX('Kode Outlet dan Target Toko'!$D:$D,MATCH($I2196,'Kode Outlet dan Target Toko'!$E:$E,0)),0)</f>
        <v>3703219</v>
      </c>
      <c r="I2196" s="42" t="s">
        <v>52</v>
      </c>
      <c r="J2196" s="56" t="s">
        <v>273</v>
      </c>
      <c r="K2196" s="40" t="s">
        <v>14</v>
      </c>
      <c r="L2196" s="26">
        <v>2900</v>
      </c>
      <c r="M2196" s="26">
        <v>224</v>
      </c>
      <c r="N2196" s="25">
        <f t="shared" si="69"/>
        <v>649600</v>
      </c>
      <c r="O2196" s="56"/>
    </row>
    <row r="2197" spans="1:15" hidden="1" x14ac:dyDescent="0.3">
      <c r="A2197" s="26">
        <v>30</v>
      </c>
      <c r="B2197" s="20" t="str">
        <f t="shared" si="68"/>
        <v>JUL</v>
      </c>
      <c r="C2197" s="21">
        <v>46227</v>
      </c>
      <c r="D2197" s="22" t="str">
        <f t="array" ref="D2197">IFERROR(INDEX('Kode Outlet dan Target Toko'!$A:$A,MATCH($I2197,'Kode Outlet dan Target Toko'!$E:$E,0)),"")</f>
        <v>GRSM 6</v>
      </c>
      <c r="E2197" s="20" t="str">
        <f>IFERROR(VLOOKUP(I2197,KET!$B:$F,4,0),"")</f>
        <v>WINDA</v>
      </c>
      <c r="F2197" s="20" t="str">
        <f>IFERROR(VLOOKUP(I2197,KET!$B:$F,5,0),"")</f>
        <v>GMM</v>
      </c>
      <c r="G2197" s="20">
        <f>IFERROR(INDEX('Kode Outlet dan Target Toko'!$C:$C,MATCH($I2197,'Kode Outlet dan Target Toko'!$E:$E,0)),0)</f>
        <v>211163</v>
      </c>
      <c r="H2197" s="20">
        <f>IFERROR(INDEX('Kode Outlet dan Target Toko'!$D:$D,MATCH($I2197,'Kode Outlet dan Target Toko'!$E:$E,0)),0)</f>
        <v>3703219</v>
      </c>
      <c r="I2197" s="42" t="s">
        <v>52</v>
      </c>
      <c r="J2197" s="56" t="s">
        <v>273</v>
      </c>
      <c r="K2197" s="40" t="s">
        <v>15</v>
      </c>
      <c r="L2197" s="26">
        <v>2900</v>
      </c>
      <c r="M2197" s="26">
        <v>216</v>
      </c>
      <c r="N2197" s="25">
        <f t="shared" si="69"/>
        <v>626400</v>
      </c>
      <c r="O2197" s="56"/>
    </row>
    <row r="2198" spans="1:15" hidden="1" x14ac:dyDescent="0.3">
      <c r="A2198" s="26">
        <v>30</v>
      </c>
      <c r="B2198" s="20" t="str">
        <f t="shared" si="68"/>
        <v>JUL</v>
      </c>
      <c r="C2198" s="21">
        <v>46227</v>
      </c>
      <c r="D2198" s="22" t="str">
        <f t="array" ref="D2198">IFERROR(INDEX('Kode Outlet dan Target Toko'!$A:$A,MATCH($I2198,'Kode Outlet dan Target Toko'!$E:$E,0)),"")</f>
        <v>GRSM 6</v>
      </c>
      <c r="E2198" s="20" t="str">
        <f>IFERROR(VLOOKUP(I2198,KET!$B:$F,4,0),"")</f>
        <v>WINDA</v>
      </c>
      <c r="F2198" s="20" t="str">
        <f>IFERROR(VLOOKUP(I2198,KET!$B:$F,5,0),"")</f>
        <v>GMM</v>
      </c>
      <c r="G2198" s="20">
        <f>IFERROR(INDEX('Kode Outlet dan Target Toko'!$C:$C,MATCH($I2198,'Kode Outlet dan Target Toko'!$E:$E,0)),0)</f>
        <v>211163</v>
      </c>
      <c r="H2198" s="20">
        <f>IFERROR(INDEX('Kode Outlet dan Target Toko'!$D:$D,MATCH($I2198,'Kode Outlet dan Target Toko'!$E:$E,0)),0)</f>
        <v>3703219</v>
      </c>
      <c r="I2198" s="42" t="s">
        <v>52</v>
      </c>
      <c r="J2198" s="56" t="s">
        <v>273</v>
      </c>
      <c r="K2198" s="40" t="s">
        <v>16</v>
      </c>
      <c r="L2198" s="26">
        <v>2900</v>
      </c>
      <c r="M2198" s="26">
        <v>438</v>
      </c>
      <c r="N2198" s="25">
        <f t="shared" si="69"/>
        <v>1270200</v>
      </c>
      <c r="O2198" s="56"/>
    </row>
    <row r="2199" spans="1:15" hidden="1" x14ac:dyDescent="0.3">
      <c r="A2199" s="26">
        <v>30</v>
      </c>
      <c r="B2199" s="20" t="str">
        <f t="shared" si="68"/>
        <v>JUL</v>
      </c>
      <c r="C2199" s="21">
        <v>46227</v>
      </c>
      <c r="D2199" s="22" t="str">
        <f t="array" ref="D2199">IFERROR(INDEX('Kode Outlet dan Target Toko'!$A:$A,MATCH($I2199,'Kode Outlet dan Target Toko'!$E:$E,0)),"")</f>
        <v>GRSM 6</v>
      </c>
      <c r="E2199" s="20" t="str">
        <f>IFERROR(VLOOKUP(I2199,KET!$B:$F,4,0),"")</f>
        <v>WINDA</v>
      </c>
      <c r="F2199" s="20" t="str">
        <f>IFERROR(VLOOKUP(I2199,KET!$B:$F,5,0),"")</f>
        <v>GMM</v>
      </c>
      <c r="G2199" s="20">
        <f>IFERROR(INDEX('Kode Outlet dan Target Toko'!$C:$C,MATCH($I2199,'Kode Outlet dan Target Toko'!$E:$E,0)),0)</f>
        <v>211033</v>
      </c>
      <c r="H2199" s="20">
        <f>IFERROR(INDEX('Kode Outlet dan Target Toko'!$D:$D,MATCH($I2199,'Kode Outlet dan Target Toko'!$E:$E,0)),0)</f>
        <v>6467246</v>
      </c>
      <c r="I2199" s="42" t="s">
        <v>50</v>
      </c>
      <c r="J2199" s="56" t="s">
        <v>271</v>
      </c>
      <c r="K2199" s="40" t="s">
        <v>13</v>
      </c>
      <c r="L2199" s="26">
        <v>3000</v>
      </c>
      <c r="M2199" s="26">
        <v>68</v>
      </c>
      <c r="N2199" s="25">
        <f t="shared" si="69"/>
        <v>204000</v>
      </c>
      <c r="O2199" s="56"/>
    </row>
    <row r="2200" spans="1:15" hidden="1" x14ac:dyDescent="0.3">
      <c r="A2200" s="26">
        <v>30</v>
      </c>
      <c r="B2200" s="20" t="str">
        <f t="shared" si="68"/>
        <v>JUL</v>
      </c>
      <c r="C2200" s="21">
        <v>46227</v>
      </c>
      <c r="D2200" s="22" t="str">
        <f t="array" ref="D2200">IFERROR(INDEX('Kode Outlet dan Target Toko'!$A:$A,MATCH($I2200,'Kode Outlet dan Target Toko'!$E:$E,0)),"")</f>
        <v>GRSM 6</v>
      </c>
      <c r="E2200" s="20" t="str">
        <f>IFERROR(VLOOKUP(I2200,KET!$B:$F,4,0),"")</f>
        <v>WINDA</v>
      </c>
      <c r="F2200" s="20" t="str">
        <f>IFERROR(VLOOKUP(I2200,KET!$B:$F,5,0),"")</f>
        <v>GMM</v>
      </c>
      <c r="G2200" s="20">
        <f>IFERROR(INDEX('Kode Outlet dan Target Toko'!$C:$C,MATCH($I2200,'Kode Outlet dan Target Toko'!$E:$E,0)),0)</f>
        <v>211033</v>
      </c>
      <c r="H2200" s="20">
        <f>IFERROR(INDEX('Kode Outlet dan Target Toko'!$D:$D,MATCH($I2200,'Kode Outlet dan Target Toko'!$E:$E,0)),0)</f>
        <v>6467246</v>
      </c>
      <c r="I2200" s="42" t="s">
        <v>50</v>
      </c>
      <c r="J2200" s="56" t="s">
        <v>271</v>
      </c>
      <c r="K2200" s="40" t="s">
        <v>14</v>
      </c>
      <c r="L2200" s="26">
        <v>3000</v>
      </c>
      <c r="M2200" s="26">
        <v>80</v>
      </c>
      <c r="N2200" s="25">
        <f t="shared" si="69"/>
        <v>240000</v>
      </c>
      <c r="O2200" s="56"/>
    </row>
    <row r="2201" spans="1:15" hidden="1" x14ac:dyDescent="0.3">
      <c r="A2201" s="26">
        <v>30</v>
      </c>
      <c r="B2201" s="20" t="str">
        <f t="shared" si="68"/>
        <v>JUL</v>
      </c>
      <c r="C2201" s="21">
        <v>46227</v>
      </c>
      <c r="D2201" s="22" t="str">
        <f t="array" ref="D2201">IFERROR(INDEX('Kode Outlet dan Target Toko'!$A:$A,MATCH($I2201,'Kode Outlet dan Target Toko'!$E:$E,0)),"")</f>
        <v>GRSM 6</v>
      </c>
      <c r="E2201" s="20" t="str">
        <f>IFERROR(VLOOKUP(I2201,KET!$B:$F,4,0),"")</f>
        <v>WINDA</v>
      </c>
      <c r="F2201" s="20" t="str">
        <f>IFERROR(VLOOKUP(I2201,KET!$B:$F,5,0),"")</f>
        <v>GMM</v>
      </c>
      <c r="G2201" s="20">
        <f>IFERROR(INDEX('Kode Outlet dan Target Toko'!$C:$C,MATCH($I2201,'Kode Outlet dan Target Toko'!$E:$E,0)),0)</f>
        <v>211033</v>
      </c>
      <c r="H2201" s="20">
        <f>IFERROR(INDEX('Kode Outlet dan Target Toko'!$D:$D,MATCH($I2201,'Kode Outlet dan Target Toko'!$E:$E,0)),0)</f>
        <v>6467246</v>
      </c>
      <c r="I2201" s="42" t="s">
        <v>50</v>
      </c>
      <c r="J2201" s="56" t="s">
        <v>271</v>
      </c>
      <c r="K2201" s="40" t="s">
        <v>15</v>
      </c>
      <c r="L2201" s="26">
        <v>3000</v>
      </c>
      <c r="M2201" s="26">
        <v>76</v>
      </c>
      <c r="N2201" s="25">
        <f t="shared" si="69"/>
        <v>228000</v>
      </c>
      <c r="O2201" s="56"/>
    </row>
    <row r="2202" spans="1:15" hidden="1" x14ac:dyDescent="0.3">
      <c r="A2202" s="26">
        <v>30</v>
      </c>
      <c r="B2202" s="20" t="str">
        <f t="shared" si="68"/>
        <v>JUL</v>
      </c>
      <c r="C2202" s="21">
        <v>46227</v>
      </c>
      <c r="D2202" s="22" t="str">
        <f t="array" ref="D2202">IFERROR(INDEX('Kode Outlet dan Target Toko'!$A:$A,MATCH($I2202,'Kode Outlet dan Target Toko'!$E:$E,0)),"")</f>
        <v>GRSM 6</v>
      </c>
      <c r="E2202" s="20" t="str">
        <f>IFERROR(VLOOKUP(I2202,KET!$B:$F,4,0),"")</f>
        <v>WINDA</v>
      </c>
      <c r="F2202" s="20" t="str">
        <f>IFERROR(VLOOKUP(I2202,KET!$B:$F,5,0),"")</f>
        <v>GMM</v>
      </c>
      <c r="G2202" s="20">
        <f>IFERROR(INDEX('Kode Outlet dan Target Toko'!$C:$C,MATCH($I2202,'Kode Outlet dan Target Toko'!$E:$E,0)),0)</f>
        <v>211033</v>
      </c>
      <c r="H2202" s="20">
        <f>IFERROR(INDEX('Kode Outlet dan Target Toko'!$D:$D,MATCH($I2202,'Kode Outlet dan Target Toko'!$E:$E,0)),0)</f>
        <v>6467246</v>
      </c>
      <c r="I2202" s="42" t="s">
        <v>50</v>
      </c>
      <c r="J2202" s="56" t="s">
        <v>271</v>
      </c>
      <c r="K2202" s="40" t="s">
        <v>16</v>
      </c>
      <c r="L2202" s="26">
        <v>3000</v>
      </c>
      <c r="M2202" s="26">
        <v>260</v>
      </c>
      <c r="N2202" s="25">
        <f t="shared" si="69"/>
        <v>780000</v>
      </c>
      <c r="O2202" s="56"/>
    </row>
    <row r="2203" spans="1:15" hidden="1" x14ac:dyDescent="0.3">
      <c r="A2203" s="26">
        <v>30</v>
      </c>
      <c r="B2203" s="20" t="str">
        <f t="shared" si="68"/>
        <v>JUL</v>
      </c>
      <c r="C2203" s="21">
        <v>46227</v>
      </c>
      <c r="D2203" s="22" t="str">
        <f t="array" ref="D2203">IFERROR(INDEX('Kode Outlet dan Target Toko'!$A:$A,MATCH($I2203,'Kode Outlet dan Target Toko'!$E:$E,0)),"")</f>
        <v>GRSM 6</v>
      </c>
      <c r="E2203" s="20" t="str">
        <f>IFERROR(VLOOKUP(I2203,KET!$B:$F,4,0),"")</f>
        <v>WINDA</v>
      </c>
      <c r="F2203" s="20" t="str">
        <f>IFERROR(VLOOKUP(I2203,KET!$B:$F,5,0),"")</f>
        <v>GMM</v>
      </c>
      <c r="G2203" s="20">
        <f>IFERROR(INDEX('Kode Outlet dan Target Toko'!$C:$C,MATCH($I2203,'Kode Outlet dan Target Toko'!$E:$E,0)),0)</f>
        <v>211033</v>
      </c>
      <c r="H2203" s="20">
        <f>IFERROR(INDEX('Kode Outlet dan Target Toko'!$D:$D,MATCH($I2203,'Kode Outlet dan Target Toko'!$E:$E,0)),0)</f>
        <v>6467246</v>
      </c>
      <c r="I2203" s="42" t="s">
        <v>50</v>
      </c>
      <c r="J2203" s="56" t="s">
        <v>272</v>
      </c>
      <c r="K2203" s="40" t="s">
        <v>13</v>
      </c>
      <c r="L2203" s="26">
        <v>3000</v>
      </c>
      <c r="M2203" s="26">
        <v>68</v>
      </c>
      <c r="N2203" s="25">
        <f t="shared" si="69"/>
        <v>204000</v>
      </c>
      <c r="O2203" s="56"/>
    </row>
    <row r="2204" spans="1:15" hidden="1" x14ac:dyDescent="0.3">
      <c r="A2204" s="26">
        <v>30</v>
      </c>
      <c r="B2204" s="20" t="str">
        <f t="shared" si="68"/>
        <v>JUL</v>
      </c>
      <c r="C2204" s="21">
        <v>46227</v>
      </c>
      <c r="D2204" s="22" t="str">
        <f t="array" ref="D2204">IFERROR(INDEX('Kode Outlet dan Target Toko'!$A:$A,MATCH($I2204,'Kode Outlet dan Target Toko'!$E:$E,0)),"")</f>
        <v>GRSM 6</v>
      </c>
      <c r="E2204" s="20" t="str">
        <f>IFERROR(VLOOKUP(I2204,KET!$B:$F,4,0),"")</f>
        <v>WINDA</v>
      </c>
      <c r="F2204" s="20" t="str">
        <f>IFERROR(VLOOKUP(I2204,KET!$B:$F,5,0),"")</f>
        <v>GMM</v>
      </c>
      <c r="G2204" s="20">
        <f>IFERROR(INDEX('Kode Outlet dan Target Toko'!$C:$C,MATCH($I2204,'Kode Outlet dan Target Toko'!$E:$E,0)),0)</f>
        <v>211033</v>
      </c>
      <c r="H2204" s="20">
        <f>IFERROR(INDEX('Kode Outlet dan Target Toko'!$D:$D,MATCH($I2204,'Kode Outlet dan Target Toko'!$E:$E,0)),0)</f>
        <v>6467246</v>
      </c>
      <c r="I2204" s="42" t="s">
        <v>50</v>
      </c>
      <c r="J2204" s="56" t="s">
        <v>272</v>
      </c>
      <c r="K2204" s="40" t="s">
        <v>14</v>
      </c>
      <c r="L2204" s="26">
        <v>3000</v>
      </c>
      <c r="M2204" s="26">
        <v>80</v>
      </c>
      <c r="N2204" s="25">
        <f t="shared" si="69"/>
        <v>240000</v>
      </c>
      <c r="O2204" s="56"/>
    </row>
    <row r="2205" spans="1:15" hidden="1" x14ac:dyDescent="0.3">
      <c r="A2205" s="26">
        <v>30</v>
      </c>
      <c r="B2205" s="20" t="str">
        <f t="shared" si="68"/>
        <v>JUL</v>
      </c>
      <c r="C2205" s="21">
        <v>46227</v>
      </c>
      <c r="D2205" s="22" t="str">
        <f t="array" ref="D2205">IFERROR(INDEX('Kode Outlet dan Target Toko'!$A:$A,MATCH($I2205,'Kode Outlet dan Target Toko'!$E:$E,0)),"")</f>
        <v>GRSM 6</v>
      </c>
      <c r="E2205" s="20" t="str">
        <f>IFERROR(VLOOKUP(I2205,KET!$B:$F,4,0),"")</f>
        <v>WINDA</v>
      </c>
      <c r="F2205" s="20" t="str">
        <f>IFERROR(VLOOKUP(I2205,KET!$B:$F,5,0),"")</f>
        <v>GMM</v>
      </c>
      <c r="G2205" s="20">
        <f>IFERROR(INDEX('Kode Outlet dan Target Toko'!$C:$C,MATCH($I2205,'Kode Outlet dan Target Toko'!$E:$E,0)),0)</f>
        <v>211033</v>
      </c>
      <c r="H2205" s="20">
        <f>IFERROR(INDEX('Kode Outlet dan Target Toko'!$D:$D,MATCH($I2205,'Kode Outlet dan Target Toko'!$E:$E,0)),0)</f>
        <v>6467246</v>
      </c>
      <c r="I2205" s="42" t="s">
        <v>50</v>
      </c>
      <c r="J2205" s="56" t="s">
        <v>272</v>
      </c>
      <c r="K2205" s="40" t="s">
        <v>15</v>
      </c>
      <c r="L2205" s="26">
        <v>3000</v>
      </c>
      <c r="M2205" s="26">
        <v>76</v>
      </c>
      <c r="N2205" s="25">
        <f t="shared" si="69"/>
        <v>228000</v>
      </c>
      <c r="O2205" s="56"/>
    </row>
    <row r="2206" spans="1:15" hidden="1" x14ac:dyDescent="0.3">
      <c r="A2206" s="26">
        <v>30</v>
      </c>
      <c r="B2206" s="20" t="str">
        <f t="shared" si="68"/>
        <v>JUL</v>
      </c>
      <c r="C2206" s="21">
        <v>46227</v>
      </c>
      <c r="D2206" s="22" t="str">
        <f t="array" ref="D2206">IFERROR(INDEX('Kode Outlet dan Target Toko'!$A:$A,MATCH($I2206,'Kode Outlet dan Target Toko'!$E:$E,0)),"")</f>
        <v>GRSM 6</v>
      </c>
      <c r="E2206" s="20" t="str">
        <f>IFERROR(VLOOKUP(I2206,KET!$B:$F,4,0),"")</f>
        <v>WINDA</v>
      </c>
      <c r="F2206" s="20" t="str">
        <f>IFERROR(VLOOKUP(I2206,KET!$B:$F,5,0),"")</f>
        <v>GMM</v>
      </c>
      <c r="G2206" s="20">
        <f>IFERROR(INDEX('Kode Outlet dan Target Toko'!$C:$C,MATCH($I2206,'Kode Outlet dan Target Toko'!$E:$E,0)),0)</f>
        <v>211033</v>
      </c>
      <c r="H2206" s="20">
        <f>IFERROR(INDEX('Kode Outlet dan Target Toko'!$D:$D,MATCH($I2206,'Kode Outlet dan Target Toko'!$E:$E,0)),0)</f>
        <v>6467246</v>
      </c>
      <c r="I2206" s="42" t="s">
        <v>50</v>
      </c>
      <c r="J2206" s="56" t="s">
        <v>272</v>
      </c>
      <c r="K2206" s="40" t="s">
        <v>16</v>
      </c>
      <c r="L2206" s="26">
        <v>3000</v>
      </c>
      <c r="M2206" s="26">
        <v>260</v>
      </c>
      <c r="N2206" s="25">
        <f t="shared" si="69"/>
        <v>780000</v>
      </c>
      <c r="O2206" s="56"/>
    </row>
    <row r="2207" spans="1:15" hidden="1" x14ac:dyDescent="0.3">
      <c r="A2207" s="26">
        <v>30</v>
      </c>
      <c r="B2207" s="20" t="str">
        <f t="shared" si="68"/>
        <v>JUL</v>
      </c>
      <c r="C2207" s="21">
        <v>46227</v>
      </c>
      <c r="D2207" s="22" t="str">
        <f t="array" ref="D2207">IFERROR(INDEX('Kode Outlet dan Target Toko'!$A:$A,MATCH($I2207,'Kode Outlet dan Target Toko'!$E:$E,0)),"")</f>
        <v>GRSM 6</v>
      </c>
      <c r="E2207" s="20" t="str">
        <f>IFERROR(VLOOKUP(I2207,KET!$B:$F,4,0),"")</f>
        <v>WINDA</v>
      </c>
      <c r="F2207" s="20" t="str">
        <f>IFERROR(VLOOKUP(I2207,KET!$B:$F,5,0),"")</f>
        <v>GMM</v>
      </c>
      <c r="G2207" s="20">
        <f>IFERROR(INDEX('Kode Outlet dan Target Toko'!$C:$C,MATCH($I2207,'Kode Outlet dan Target Toko'!$E:$E,0)),0)</f>
        <v>211033</v>
      </c>
      <c r="H2207" s="20">
        <f>IFERROR(INDEX('Kode Outlet dan Target Toko'!$D:$D,MATCH($I2207,'Kode Outlet dan Target Toko'!$E:$E,0)),0)</f>
        <v>2001021</v>
      </c>
      <c r="I2207" s="42" t="s">
        <v>66</v>
      </c>
      <c r="J2207" s="56" t="s">
        <v>283</v>
      </c>
      <c r="K2207" s="40" t="s">
        <v>13</v>
      </c>
      <c r="L2207" s="26">
        <v>3000</v>
      </c>
      <c r="M2207" s="26">
        <v>107</v>
      </c>
      <c r="N2207" s="25">
        <f t="shared" si="69"/>
        <v>321000</v>
      </c>
      <c r="O2207" s="56"/>
    </row>
    <row r="2208" spans="1:15" hidden="1" x14ac:dyDescent="0.3">
      <c r="A2208" s="26">
        <v>30</v>
      </c>
      <c r="B2208" s="20" t="str">
        <f t="shared" si="68"/>
        <v>JUL</v>
      </c>
      <c r="C2208" s="21">
        <v>46227</v>
      </c>
      <c r="D2208" s="22" t="str">
        <f t="array" ref="D2208">IFERROR(INDEX('Kode Outlet dan Target Toko'!$A:$A,MATCH($I2208,'Kode Outlet dan Target Toko'!$E:$E,0)),"")</f>
        <v>GRSM 6</v>
      </c>
      <c r="E2208" s="20" t="str">
        <f>IFERROR(VLOOKUP(I2208,KET!$B:$F,4,0),"")</f>
        <v>WINDA</v>
      </c>
      <c r="F2208" s="20" t="str">
        <f>IFERROR(VLOOKUP(I2208,KET!$B:$F,5,0),"")</f>
        <v>GMM</v>
      </c>
      <c r="G2208" s="20">
        <f>IFERROR(INDEX('Kode Outlet dan Target Toko'!$C:$C,MATCH($I2208,'Kode Outlet dan Target Toko'!$E:$E,0)),0)</f>
        <v>211033</v>
      </c>
      <c r="H2208" s="20">
        <f>IFERROR(INDEX('Kode Outlet dan Target Toko'!$D:$D,MATCH($I2208,'Kode Outlet dan Target Toko'!$E:$E,0)),0)</f>
        <v>2001021</v>
      </c>
      <c r="I2208" s="42" t="s">
        <v>66</v>
      </c>
      <c r="J2208" s="56" t="s">
        <v>283</v>
      </c>
      <c r="K2208" s="40" t="s">
        <v>14</v>
      </c>
      <c r="L2208" s="26">
        <v>3000</v>
      </c>
      <c r="M2208" s="26">
        <v>114</v>
      </c>
      <c r="N2208" s="25">
        <f t="shared" si="69"/>
        <v>342000</v>
      </c>
      <c r="O2208" s="56"/>
    </row>
    <row r="2209" spans="1:15" hidden="1" x14ac:dyDescent="0.3">
      <c r="A2209" s="26">
        <v>30</v>
      </c>
      <c r="B2209" s="20" t="str">
        <f t="shared" si="68"/>
        <v>JUL</v>
      </c>
      <c r="C2209" s="21">
        <v>46227</v>
      </c>
      <c r="D2209" s="22" t="str">
        <f t="array" ref="D2209">IFERROR(INDEX('Kode Outlet dan Target Toko'!$A:$A,MATCH($I2209,'Kode Outlet dan Target Toko'!$E:$E,0)),"")</f>
        <v>GRSM 6</v>
      </c>
      <c r="E2209" s="20" t="str">
        <f>IFERROR(VLOOKUP(I2209,KET!$B:$F,4,0),"")</f>
        <v>WINDA</v>
      </c>
      <c r="F2209" s="20" t="str">
        <f>IFERROR(VLOOKUP(I2209,KET!$B:$F,5,0),"")</f>
        <v>GMM</v>
      </c>
      <c r="G2209" s="20">
        <f>IFERROR(INDEX('Kode Outlet dan Target Toko'!$C:$C,MATCH($I2209,'Kode Outlet dan Target Toko'!$E:$E,0)),0)</f>
        <v>211033</v>
      </c>
      <c r="H2209" s="20">
        <f>IFERROR(INDEX('Kode Outlet dan Target Toko'!$D:$D,MATCH($I2209,'Kode Outlet dan Target Toko'!$E:$E,0)),0)</f>
        <v>2001021</v>
      </c>
      <c r="I2209" s="42" t="s">
        <v>66</v>
      </c>
      <c r="J2209" s="56" t="s">
        <v>283</v>
      </c>
      <c r="K2209" s="40" t="s">
        <v>15</v>
      </c>
      <c r="L2209" s="26">
        <v>3000</v>
      </c>
      <c r="M2209" s="26">
        <v>14</v>
      </c>
      <c r="N2209" s="25">
        <f t="shared" si="69"/>
        <v>42000</v>
      </c>
      <c r="O2209" s="56"/>
    </row>
    <row r="2210" spans="1:15" hidden="1" x14ac:dyDescent="0.3">
      <c r="A2210" s="26">
        <v>30</v>
      </c>
      <c r="B2210" s="20" t="str">
        <f t="shared" si="68"/>
        <v>JUL</v>
      </c>
      <c r="C2210" s="21">
        <v>46227</v>
      </c>
      <c r="D2210" s="22" t="str">
        <f t="array" ref="D2210">IFERROR(INDEX('Kode Outlet dan Target Toko'!$A:$A,MATCH($I2210,'Kode Outlet dan Target Toko'!$E:$E,0)),"")</f>
        <v>GRSM 6</v>
      </c>
      <c r="E2210" s="20" t="str">
        <f>IFERROR(VLOOKUP(I2210,KET!$B:$F,4,0),"")</f>
        <v>WINDA</v>
      </c>
      <c r="F2210" s="20" t="str">
        <f>IFERROR(VLOOKUP(I2210,KET!$B:$F,5,0),"")</f>
        <v>GMM</v>
      </c>
      <c r="G2210" s="20">
        <f>IFERROR(INDEX('Kode Outlet dan Target Toko'!$C:$C,MATCH($I2210,'Kode Outlet dan Target Toko'!$E:$E,0)),0)</f>
        <v>211033</v>
      </c>
      <c r="H2210" s="20">
        <f>IFERROR(INDEX('Kode Outlet dan Target Toko'!$D:$D,MATCH($I2210,'Kode Outlet dan Target Toko'!$E:$E,0)),0)</f>
        <v>2001021</v>
      </c>
      <c r="I2210" s="42" t="s">
        <v>66</v>
      </c>
      <c r="J2210" s="56" t="s">
        <v>283</v>
      </c>
      <c r="K2210" s="40" t="s">
        <v>16</v>
      </c>
      <c r="L2210" s="26">
        <v>3000</v>
      </c>
      <c r="M2210" s="26">
        <v>209</v>
      </c>
      <c r="N2210" s="25">
        <f t="shared" si="69"/>
        <v>627000</v>
      </c>
      <c r="O2210" s="56"/>
    </row>
    <row r="2211" spans="1:15" hidden="1" x14ac:dyDescent="0.3">
      <c r="A2211" s="26">
        <v>30</v>
      </c>
      <c r="B2211" s="20" t="str">
        <f t="shared" si="68"/>
        <v>JUL</v>
      </c>
      <c r="C2211" s="21">
        <v>46227</v>
      </c>
      <c r="D2211" s="22" t="str">
        <f t="array" ref="D2211">IFERROR(INDEX('Kode Outlet dan Target Toko'!$A:$A,MATCH($I2211,'Kode Outlet dan Target Toko'!$E:$E,0)),"")</f>
        <v>GRSM 6</v>
      </c>
      <c r="E2211" s="20" t="str">
        <f>IFERROR(VLOOKUP(I2211,KET!$B:$F,4,0),"")</f>
        <v>WINDA</v>
      </c>
      <c r="F2211" s="20" t="str">
        <f>IFERROR(VLOOKUP(I2211,KET!$B:$F,5,0),"")</f>
        <v>GMM</v>
      </c>
      <c r="G2211" s="20">
        <f>IFERROR(INDEX('Kode Outlet dan Target Toko'!$C:$C,MATCH($I2211,'Kode Outlet dan Target Toko'!$E:$E,0)),0)</f>
        <v>211033</v>
      </c>
      <c r="H2211" s="20">
        <f>IFERROR(INDEX('Kode Outlet dan Target Toko'!$D:$D,MATCH($I2211,'Kode Outlet dan Target Toko'!$E:$E,0)),0)</f>
        <v>2001021</v>
      </c>
      <c r="I2211" s="42" t="s">
        <v>66</v>
      </c>
      <c r="J2211" s="56" t="s">
        <v>284</v>
      </c>
      <c r="K2211" s="40" t="s">
        <v>13</v>
      </c>
      <c r="L2211" s="26">
        <v>3000</v>
      </c>
      <c r="M2211" s="26">
        <v>107</v>
      </c>
      <c r="N2211" s="25">
        <f t="shared" si="69"/>
        <v>321000</v>
      </c>
      <c r="O2211" s="56"/>
    </row>
    <row r="2212" spans="1:15" hidden="1" x14ac:dyDescent="0.3">
      <c r="A2212" s="26">
        <v>30</v>
      </c>
      <c r="B2212" s="20" t="str">
        <f t="shared" si="68"/>
        <v>JUL</v>
      </c>
      <c r="C2212" s="21">
        <v>46227</v>
      </c>
      <c r="D2212" s="22" t="str">
        <f t="array" ref="D2212">IFERROR(INDEX('Kode Outlet dan Target Toko'!$A:$A,MATCH($I2212,'Kode Outlet dan Target Toko'!$E:$E,0)),"")</f>
        <v>GRSM 6</v>
      </c>
      <c r="E2212" s="20" t="str">
        <f>IFERROR(VLOOKUP(I2212,KET!$B:$F,4,0),"")</f>
        <v>WINDA</v>
      </c>
      <c r="F2212" s="20" t="str">
        <f>IFERROR(VLOOKUP(I2212,KET!$B:$F,5,0),"")</f>
        <v>GMM</v>
      </c>
      <c r="G2212" s="20">
        <f>IFERROR(INDEX('Kode Outlet dan Target Toko'!$C:$C,MATCH($I2212,'Kode Outlet dan Target Toko'!$E:$E,0)),0)</f>
        <v>211033</v>
      </c>
      <c r="H2212" s="20">
        <f>IFERROR(INDEX('Kode Outlet dan Target Toko'!$D:$D,MATCH($I2212,'Kode Outlet dan Target Toko'!$E:$E,0)),0)</f>
        <v>2001021</v>
      </c>
      <c r="I2212" s="42" t="s">
        <v>66</v>
      </c>
      <c r="J2212" s="56" t="s">
        <v>284</v>
      </c>
      <c r="K2212" s="40" t="s">
        <v>14</v>
      </c>
      <c r="L2212" s="26">
        <v>3000</v>
      </c>
      <c r="M2212" s="26">
        <v>114</v>
      </c>
      <c r="N2212" s="25">
        <f t="shared" si="69"/>
        <v>342000</v>
      </c>
      <c r="O2212" s="56"/>
    </row>
    <row r="2213" spans="1:15" hidden="1" x14ac:dyDescent="0.3">
      <c r="A2213" s="26">
        <v>30</v>
      </c>
      <c r="B2213" s="20" t="str">
        <f t="shared" si="68"/>
        <v>JUL</v>
      </c>
      <c r="C2213" s="21">
        <v>46227</v>
      </c>
      <c r="D2213" s="22" t="str">
        <f t="array" ref="D2213">IFERROR(INDEX('Kode Outlet dan Target Toko'!$A:$A,MATCH($I2213,'Kode Outlet dan Target Toko'!$E:$E,0)),"")</f>
        <v>GRSM 6</v>
      </c>
      <c r="E2213" s="20" t="str">
        <f>IFERROR(VLOOKUP(I2213,KET!$B:$F,4,0),"")</f>
        <v>WINDA</v>
      </c>
      <c r="F2213" s="20" t="str">
        <f>IFERROR(VLOOKUP(I2213,KET!$B:$F,5,0),"")</f>
        <v>GMM</v>
      </c>
      <c r="G2213" s="20">
        <f>IFERROR(INDEX('Kode Outlet dan Target Toko'!$C:$C,MATCH($I2213,'Kode Outlet dan Target Toko'!$E:$E,0)),0)</f>
        <v>211033</v>
      </c>
      <c r="H2213" s="20">
        <f>IFERROR(INDEX('Kode Outlet dan Target Toko'!$D:$D,MATCH($I2213,'Kode Outlet dan Target Toko'!$E:$E,0)),0)</f>
        <v>2001021</v>
      </c>
      <c r="I2213" s="42" t="s">
        <v>66</v>
      </c>
      <c r="J2213" s="56" t="s">
        <v>284</v>
      </c>
      <c r="K2213" s="40" t="s">
        <v>15</v>
      </c>
      <c r="L2213" s="26">
        <v>3000</v>
      </c>
      <c r="M2213" s="26">
        <v>14</v>
      </c>
      <c r="N2213" s="25">
        <f t="shared" si="69"/>
        <v>42000</v>
      </c>
      <c r="O2213" s="56"/>
    </row>
    <row r="2214" spans="1:15" hidden="1" x14ac:dyDescent="0.3">
      <c r="A2214" s="26">
        <v>30</v>
      </c>
      <c r="B2214" s="20" t="str">
        <f t="shared" si="68"/>
        <v>JUL</v>
      </c>
      <c r="C2214" s="21">
        <v>46227</v>
      </c>
      <c r="D2214" s="22" t="str">
        <f t="array" ref="D2214">IFERROR(INDEX('Kode Outlet dan Target Toko'!$A:$A,MATCH($I2214,'Kode Outlet dan Target Toko'!$E:$E,0)),"")</f>
        <v>GRSM 6</v>
      </c>
      <c r="E2214" s="20" t="str">
        <f>IFERROR(VLOOKUP(I2214,KET!$B:$F,4,0),"")</f>
        <v>WINDA</v>
      </c>
      <c r="F2214" s="20" t="str">
        <f>IFERROR(VLOOKUP(I2214,KET!$B:$F,5,0),"")</f>
        <v>GMM</v>
      </c>
      <c r="G2214" s="20">
        <f>IFERROR(INDEX('Kode Outlet dan Target Toko'!$C:$C,MATCH($I2214,'Kode Outlet dan Target Toko'!$E:$E,0)),0)</f>
        <v>211033</v>
      </c>
      <c r="H2214" s="20">
        <f>IFERROR(INDEX('Kode Outlet dan Target Toko'!$D:$D,MATCH($I2214,'Kode Outlet dan Target Toko'!$E:$E,0)),0)</f>
        <v>2001021</v>
      </c>
      <c r="I2214" s="42" t="s">
        <v>66</v>
      </c>
      <c r="J2214" s="56" t="s">
        <v>284</v>
      </c>
      <c r="K2214" s="40" t="s">
        <v>16</v>
      </c>
      <c r="L2214" s="26">
        <v>3000</v>
      </c>
      <c r="M2214" s="26">
        <v>209</v>
      </c>
      <c r="N2214" s="25">
        <f t="shared" si="69"/>
        <v>627000</v>
      </c>
      <c r="O2214" s="56"/>
    </row>
    <row r="2215" spans="1:15" hidden="1" x14ac:dyDescent="0.3">
      <c r="A2215" s="26">
        <v>30</v>
      </c>
      <c r="B2215" s="20" t="str">
        <f t="shared" si="68"/>
        <v>JUL</v>
      </c>
      <c r="C2215" s="21">
        <v>46228</v>
      </c>
      <c r="D2215" s="22" t="str">
        <f t="array" ref="D2215">IFERROR(INDEX('Kode Outlet dan Target Toko'!$A:$A,MATCH($I2215,'Kode Outlet dan Target Toko'!$E:$E,0)),"")</f>
        <v>GRSM 6</v>
      </c>
      <c r="E2215" s="20" t="str">
        <f>IFERROR(VLOOKUP(I2215,KET!$B:$F,4,0),"")</f>
        <v>WINDA</v>
      </c>
      <c r="F2215" s="20" t="str">
        <f>IFERROR(VLOOKUP(I2215,KET!$B:$F,5,0),"")</f>
        <v>GMM</v>
      </c>
      <c r="G2215" s="20">
        <f>IFERROR(INDEX('Kode Outlet dan Target Toko'!$C:$C,MATCH($I2215,'Kode Outlet dan Target Toko'!$E:$E,0)),0)</f>
        <v>211139</v>
      </c>
      <c r="H2215" s="20">
        <f>IFERROR(INDEX('Kode Outlet dan Target Toko'!$D:$D,MATCH($I2215,'Kode Outlet dan Target Toko'!$E:$E,0)),0)</f>
        <v>3604550</v>
      </c>
      <c r="I2215" s="42" t="s">
        <v>69</v>
      </c>
      <c r="J2215" s="56" t="s">
        <v>282</v>
      </c>
      <c r="K2215" s="40" t="s">
        <v>13</v>
      </c>
      <c r="L2215" s="26">
        <v>1377</v>
      </c>
      <c r="M2215" s="26">
        <v>122</v>
      </c>
      <c r="N2215" s="25">
        <f t="shared" si="69"/>
        <v>167994</v>
      </c>
      <c r="O2215" s="56"/>
    </row>
    <row r="2216" spans="1:15" hidden="1" x14ac:dyDescent="0.3">
      <c r="A2216" s="26">
        <v>30</v>
      </c>
      <c r="B2216" s="20" t="str">
        <f t="shared" si="68"/>
        <v>JUL</v>
      </c>
      <c r="C2216" s="21">
        <v>46228</v>
      </c>
      <c r="D2216" s="22" t="str">
        <f t="array" ref="D2216">IFERROR(INDEX('Kode Outlet dan Target Toko'!$A:$A,MATCH($I2216,'Kode Outlet dan Target Toko'!$E:$E,0)),"")</f>
        <v>GRSM 6</v>
      </c>
      <c r="E2216" s="20" t="str">
        <f>IFERROR(VLOOKUP(I2216,KET!$B:$F,4,0),"")</f>
        <v>WINDA</v>
      </c>
      <c r="F2216" s="20" t="str">
        <f>IFERROR(VLOOKUP(I2216,KET!$B:$F,5,0),"")</f>
        <v>GMM</v>
      </c>
      <c r="G2216" s="20">
        <f>IFERROR(INDEX('Kode Outlet dan Target Toko'!$C:$C,MATCH($I2216,'Kode Outlet dan Target Toko'!$E:$E,0)),0)</f>
        <v>211139</v>
      </c>
      <c r="H2216" s="20">
        <f>IFERROR(INDEX('Kode Outlet dan Target Toko'!$D:$D,MATCH($I2216,'Kode Outlet dan Target Toko'!$E:$E,0)),0)</f>
        <v>3604550</v>
      </c>
      <c r="I2216" s="42" t="s">
        <v>69</v>
      </c>
      <c r="J2216" s="56" t="s">
        <v>282</v>
      </c>
      <c r="K2216" s="40" t="s">
        <v>14</v>
      </c>
      <c r="L2216" s="26">
        <v>1377</v>
      </c>
      <c r="M2216" s="26">
        <v>128</v>
      </c>
      <c r="N2216" s="25">
        <f t="shared" si="69"/>
        <v>176256</v>
      </c>
      <c r="O2216" s="56"/>
    </row>
    <row r="2217" spans="1:15" hidden="1" x14ac:dyDescent="0.3">
      <c r="A2217" s="26">
        <v>30</v>
      </c>
      <c r="B2217" s="20" t="str">
        <f t="shared" si="68"/>
        <v>JUL</v>
      </c>
      <c r="C2217" s="21">
        <v>46228</v>
      </c>
      <c r="D2217" s="22" t="str">
        <f t="array" ref="D2217">IFERROR(INDEX('Kode Outlet dan Target Toko'!$A:$A,MATCH($I2217,'Kode Outlet dan Target Toko'!$E:$E,0)),"")</f>
        <v>GRSM 6</v>
      </c>
      <c r="E2217" s="20" t="str">
        <f>IFERROR(VLOOKUP(I2217,KET!$B:$F,4,0),"")</f>
        <v>WINDA</v>
      </c>
      <c r="F2217" s="20" t="str">
        <f>IFERROR(VLOOKUP(I2217,KET!$B:$F,5,0),"")</f>
        <v>GMM</v>
      </c>
      <c r="G2217" s="20">
        <f>IFERROR(INDEX('Kode Outlet dan Target Toko'!$C:$C,MATCH($I2217,'Kode Outlet dan Target Toko'!$E:$E,0)),0)</f>
        <v>211139</v>
      </c>
      <c r="H2217" s="20">
        <f>IFERROR(INDEX('Kode Outlet dan Target Toko'!$D:$D,MATCH($I2217,'Kode Outlet dan Target Toko'!$E:$E,0)),0)</f>
        <v>3604550</v>
      </c>
      <c r="I2217" s="42" t="s">
        <v>69</v>
      </c>
      <c r="J2217" s="56" t="s">
        <v>282</v>
      </c>
      <c r="K2217" s="40" t="s">
        <v>15</v>
      </c>
      <c r="L2217" s="26">
        <v>1377</v>
      </c>
      <c r="M2217" s="26">
        <v>130</v>
      </c>
      <c r="N2217" s="25">
        <f t="shared" si="69"/>
        <v>179010</v>
      </c>
      <c r="O2217" s="56"/>
    </row>
    <row r="2218" spans="1:15" hidden="1" x14ac:dyDescent="0.3">
      <c r="A2218" s="26">
        <v>30</v>
      </c>
      <c r="B2218" s="20" t="str">
        <f t="shared" si="68"/>
        <v>JUL</v>
      </c>
      <c r="C2218" s="21">
        <v>46228</v>
      </c>
      <c r="D2218" s="22" t="str">
        <f t="array" ref="D2218">IFERROR(INDEX('Kode Outlet dan Target Toko'!$A:$A,MATCH($I2218,'Kode Outlet dan Target Toko'!$E:$E,0)),"")</f>
        <v>GRSM 6</v>
      </c>
      <c r="E2218" s="20" t="str">
        <f>IFERROR(VLOOKUP(I2218,KET!$B:$F,4,0),"")</f>
        <v>WINDA</v>
      </c>
      <c r="F2218" s="20" t="str">
        <f>IFERROR(VLOOKUP(I2218,KET!$B:$F,5,0),"")</f>
        <v>GMM</v>
      </c>
      <c r="G2218" s="20">
        <f>IFERROR(INDEX('Kode Outlet dan Target Toko'!$C:$C,MATCH($I2218,'Kode Outlet dan Target Toko'!$E:$E,0)),0)</f>
        <v>211139</v>
      </c>
      <c r="H2218" s="20">
        <f>IFERROR(INDEX('Kode Outlet dan Target Toko'!$D:$D,MATCH($I2218,'Kode Outlet dan Target Toko'!$E:$E,0)),0)</f>
        <v>3604550</v>
      </c>
      <c r="I2218" s="42" t="s">
        <v>69</v>
      </c>
      <c r="J2218" s="56" t="s">
        <v>282</v>
      </c>
      <c r="K2218" s="40" t="s">
        <v>16</v>
      </c>
      <c r="L2218" s="26">
        <v>1377</v>
      </c>
      <c r="M2218" s="26">
        <v>286</v>
      </c>
      <c r="N2218" s="25">
        <f t="shared" si="69"/>
        <v>393822</v>
      </c>
      <c r="O2218" s="56">
        <v>80</v>
      </c>
    </row>
    <row r="2219" spans="1:15" hidden="1" x14ac:dyDescent="0.3">
      <c r="A2219" s="26">
        <v>30</v>
      </c>
      <c r="B2219" s="20" t="str">
        <f t="shared" si="68"/>
        <v>JUL</v>
      </c>
      <c r="C2219" s="21">
        <v>46228</v>
      </c>
      <c r="D2219" s="22" t="str">
        <f t="array" ref="D2219">IFERROR(INDEX('Kode Outlet dan Target Toko'!$A:$A,MATCH($I2219,'Kode Outlet dan Target Toko'!$E:$E,0)),"")</f>
        <v>GRSM 6</v>
      </c>
      <c r="E2219" s="20" t="str">
        <f>IFERROR(VLOOKUP(I2219,KET!$B:$F,4,0),"")</f>
        <v>WINDA</v>
      </c>
      <c r="F2219" s="20" t="str">
        <f>IFERROR(VLOOKUP(I2219,KET!$B:$F,5,0),"")</f>
        <v>GMM</v>
      </c>
      <c r="G2219" s="20">
        <f>IFERROR(INDEX('Kode Outlet dan Target Toko'!$C:$C,MATCH($I2219,'Kode Outlet dan Target Toko'!$E:$E,0)),0)</f>
        <v>211139</v>
      </c>
      <c r="H2219" s="20">
        <f>IFERROR(INDEX('Kode Outlet dan Target Toko'!$D:$D,MATCH($I2219,'Kode Outlet dan Target Toko'!$E:$E,0)),0)</f>
        <v>3604550</v>
      </c>
      <c r="I2219" s="42" t="s">
        <v>69</v>
      </c>
      <c r="J2219" s="56" t="s">
        <v>281</v>
      </c>
      <c r="K2219" s="40" t="s">
        <v>13</v>
      </c>
      <c r="L2219" s="26">
        <v>1377</v>
      </c>
      <c r="M2219" s="26">
        <v>122</v>
      </c>
      <c r="N2219" s="25">
        <f t="shared" si="69"/>
        <v>167994</v>
      </c>
      <c r="O2219" s="56"/>
    </row>
    <row r="2220" spans="1:15" hidden="1" x14ac:dyDescent="0.3">
      <c r="A2220" s="26">
        <v>30</v>
      </c>
      <c r="B2220" s="20" t="str">
        <f t="shared" si="68"/>
        <v>JUL</v>
      </c>
      <c r="C2220" s="21">
        <v>46228</v>
      </c>
      <c r="D2220" s="22" t="str">
        <f t="array" ref="D2220">IFERROR(INDEX('Kode Outlet dan Target Toko'!$A:$A,MATCH($I2220,'Kode Outlet dan Target Toko'!$E:$E,0)),"")</f>
        <v>GRSM 6</v>
      </c>
      <c r="E2220" s="20" t="str">
        <f>IFERROR(VLOOKUP(I2220,KET!$B:$F,4,0),"")</f>
        <v>WINDA</v>
      </c>
      <c r="F2220" s="20" t="str">
        <f>IFERROR(VLOOKUP(I2220,KET!$B:$F,5,0),"")</f>
        <v>GMM</v>
      </c>
      <c r="G2220" s="20">
        <f>IFERROR(INDEX('Kode Outlet dan Target Toko'!$C:$C,MATCH($I2220,'Kode Outlet dan Target Toko'!$E:$E,0)),0)</f>
        <v>211139</v>
      </c>
      <c r="H2220" s="20">
        <f>IFERROR(INDEX('Kode Outlet dan Target Toko'!$D:$D,MATCH($I2220,'Kode Outlet dan Target Toko'!$E:$E,0)),0)</f>
        <v>3604550</v>
      </c>
      <c r="I2220" s="42" t="s">
        <v>69</v>
      </c>
      <c r="J2220" s="56" t="s">
        <v>281</v>
      </c>
      <c r="K2220" s="40" t="s">
        <v>14</v>
      </c>
      <c r="L2220" s="26">
        <v>1377</v>
      </c>
      <c r="M2220" s="26">
        <v>128</v>
      </c>
      <c r="N2220" s="25">
        <f t="shared" si="69"/>
        <v>176256</v>
      </c>
      <c r="O2220" s="56"/>
    </row>
    <row r="2221" spans="1:15" hidden="1" x14ac:dyDescent="0.3">
      <c r="A2221" s="26">
        <v>30</v>
      </c>
      <c r="B2221" s="20" t="str">
        <f t="shared" si="68"/>
        <v>JUL</v>
      </c>
      <c r="C2221" s="21">
        <v>46228</v>
      </c>
      <c r="D2221" s="22" t="str">
        <f t="array" ref="D2221">IFERROR(INDEX('Kode Outlet dan Target Toko'!$A:$A,MATCH($I2221,'Kode Outlet dan Target Toko'!$E:$E,0)),"")</f>
        <v>GRSM 6</v>
      </c>
      <c r="E2221" s="20" t="str">
        <f>IFERROR(VLOOKUP(I2221,KET!$B:$F,4,0),"")</f>
        <v>WINDA</v>
      </c>
      <c r="F2221" s="20" t="str">
        <f>IFERROR(VLOOKUP(I2221,KET!$B:$F,5,0),"")</f>
        <v>GMM</v>
      </c>
      <c r="G2221" s="20">
        <f>IFERROR(INDEX('Kode Outlet dan Target Toko'!$C:$C,MATCH($I2221,'Kode Outlet dan Target Toko'!$E:$E,0)),0)</f>
        <v>211139</v>
      </c>
      <c r="H2221" s="20">
        <f>IFERROR(INDEX('Kode Outlet dan Target Toko'!$D:$D,MATCH($I2221,'Kode Outlet dan Target Toko'!$E:$E,0)),0)</f>
        <v>3604550</v>
      </c>
      <c r="I2221" s="42" t="s">
        <v>69</v>
      </c>
      <c r="J2221" s="56" t="s">
        <v>281</v>
      </c>
      <c r="K2221" s="40" t="s">
        <v>15</v>
      </c>
      <c r="L2221" s="26">
        <v>1377</v>
      </c>
      <c r="M2221" s="26">
        <v>130</v>
      </c>
      <c r="N2221" s="25">
        <f t="shared" si="69"/>
        <v>179010</v>
      </c>
      <c r="O2221" s="56"/>
    </row>
    <row r="2222" spans="1:15" hidden="1" x14ac:dyDescent="0.3">
      <c r="A2222" s="26">
        <v>30</v>
      </c>
      <c r="B2222" s="20" t="str">
        <f t="shared" si="68"/>
        <v>JUL</v>
      </c>
      <c r="C2222" s="21">
        <v>46228</v>
      </c>
      <c r="D2222" s="22" t="str">
        <f t="array" ref="D2222">IFERROR(INDEX('Kode Outlet dan Target Toko'!$A:$A,MATCH($I2222,'Kode Outlet dan Target Toko'!$E:$E,0)),"")</f>
        <v>GRSM 6</v>
      </c>
      <c r="E2222" s="20" t="str">
        <f>IFERROR(VLOOKUP(I2222,KET!$B:$F,4,0),"")</f>
        <v>WINDA</v>
      </c>
      <c r="F2222" s="20" t="str">
        <f>IFERROR(VLOOKUP(I2222,KET!$B:$F,5,0),"")</f>
        <v>GMM</v>
      </c>
      <c r="G2222" s="20">
        <f>IFERROR(INDEX('Kode Outlet dan Target Toko'!$C:$C,MATCH($I2222,'Kode Outlet dan Target Toko'!$E:$E,0)),0)</f>
        <v>211139</v>
      </c>
      <c r="H2222" s="20">
        <f>IFERROR(INDEX('Kode Outlet dan Target Toko'!$D:$D,MATCH($I2222,'Kode Outlet dan Target Toko'!$E:$E,0)),0)</f>
        <v>3604550</v>
      </c>
      <c r="I2222" s="42" t="s">
        <v>69</v>
      </c>
      <c r="J2222" s="56" t="s">
        <v>281</v>
      </c>
      <c r="K2222" s="40" t="s">
        <v>16</v>
      </c>
      <c r="L2222" s="26">
        <v>1377</v>
      </c>
      <c r="M2222" s="26">
        <v>286</v>
      </c>
      <c r="N2222" s="25">
        <f t="shared" si="69"/>
        <v>393822</v>
      </c>
      <c r="O2222" s="56">
        <v>80</v>
      </c>
    </row>
    <row r="2223" spans="1:15" hidden="1" x14ac:dyDescent="0.3">
      <c r="A2223" s="26">
        <v>30</v>
      </c>
      <c r="B2223" s="20" t="str">
        <f t="shared" si="68"/>
        <v>JUL</v>
      </c>
      <c r="C2223" s="21">
        <v>46228</v>
      </c>
      <c r="D2223" s="22" t="str">
        <f t="array" ref="D2223">IFERROR(INDEX('Kode Outlet dan Target Toko'!$A:$A,MATCH($I2223,'Kode Outlet dan Target Toko'!$E:$E,0)),"")</f>
        <v>GRSM 6</v>
      </c>
      <c r="E2223" s="20" t="str">
        <f>IFERROR(VLOOKUP(I2223,KET!$B:$F,4,0),"")</f>
        <v>WINDA</v>
      </c>
      <c r="F2223" s="20" t="str">
        <f>IFERROR(VLOOKUP(I2223,KET!$B:$F,5,0),"")</f>
        <v>GMM</v>
      </c>
      <c r="G2223" s="20">
        <f>IFERROR(INDEX('Kode Outlet dan Target Toko'!$C:$C,MATCH($I2223,'Kode Outlet dan Target Toko'!$E:$E,0)),0)</f>
        <v>103765</v>
      </c>
      <c r="H2223" s="20">
        <f>IFERROR(INDEX('Kode Outlet dan Target Toko'!$D:$D,MATCH($I2223,'Kode Outlet dan Target Toko'!$E:$E,0)),0)</f>
        <v>4307038</v>
      </c>
      <c r="I2223" s="42" t="s">
        <v>48</v>
      </c>
      <c r="J2223" s="56" t="s">
        <v>269</v>
      </c>
      <c r="K2223" s="40" t="s">
        <v>13</v>
      </c>
      <c r="L2223" s="26">
        <v>3000</v>
      </c>
      <c r="M2223" s="26">
        <v>0</v>
      </c>
      <c r="N2223" s="25">
        <f t="shared" si="69"/>
        <v>0</v>
      </c>
      <c r="O2223" s="56"/>
    </row>
    <row r="2224" spans="1:15" hidden="1" x14ac:dyDescent="0.3">
      <c r="A2224" s="26">
        <v>30</v>
      </c>
      <c r="B2224" s="20" t="str">
        <f t="shared" si="68"/>
        <v>JUL</v>
      </c>
      <c r="C2224" s="21">
        <v>46228</v>
      </c>
      <c r="D2224" s="22" t="str">
        <f t="array" ref="D2224">IFERROR(INDEX('Kode Outlet dan Target Toko'!$A:$A,MATCH($I2224,'Kode Outlet dan Target Toko'!$E:$E,0)),"")</f>
        <v>GRSM 6</v>
      </c>
      <c r="E2224" s="20" t="str">
        <f>IFERROR(VLOOKUP(I2224,KET!$B:$F,4,0),"")</f>
        <v>WINDA</v>
      </c>
      <c r="F2224" s="20" t="str">
        <f>IFERROR(VLOOKUP(I2224,KET!$B:$F,5,0),"")</f>
        <v>GMM</v>
      </c>
      <c r="G2224" s="20">
        <f>IFERROR(INDEX('Kode Outlet dan Target Toko'!$C:$C,MATCH($I2224,'Kode Outlet dan Target Toko'!$E:$E,0)),0)</f>
        <v>103765</v>
      </c>
      <c r="H2224" s="20">
        <f>IFERROR(INDEX('Kode Outlet dan Target Toko'!$D:$D,MATCH($I2224,'Kode Outlet dan Target Toko'!$E:$E,0)),0)</f>
        <v>4307038</v>
      </c>
      <c r="I2224" s="42" t="s">
        <v>48</v>
      </c>
      <c r="J2224" s="56" t="s">
        <v>269</v>
      </c>
      <c r="K2224" s="40" t="s">
        <v>14</v>
      </c>
      <c r="L2224" s="26">
        <v>3000</v>
      </c>
      <c r="M2224" s="26">
        <v>110</v>
      </c>
      <c r="N2224" s="25">
        <f t="shared" si="69"/>
        <v>330000</v>
      </c>
      <c r="O2224" s="56"/>
    </row>
    <row r="2225" spans="1:15" hidden="1" x14ac:dyDescent="0.3">
      <c r="A2225" s="26">
        <v>30</v>
      </c>
      <c r="B2225" s="20" t="str">
        <f t="shared" si="68"/>
        <v>JUL</v>
      </c>
      <c r="C2225" s="21">
        <v>46228</v>
      </c>
      <c r="D2225" s="22" t="str">
        <f t="array" ref="D2225">IFERROR(INDEX('Kode Outlet dan Target Toko'!$A:$A,MATCH($I2225,'Kode Outlet dan Target Toko'!$E:$E,0)),"")</f>
        <v>GRSM 6</v>
      </c>
      <c r="E2225" s="20" t="str">
        <f>IFERROR(VLOOKUP(I2225,KET!$B:$F,4,0),"")</f>
        <v>WINDA</v>
      </c>
      <c r="F2225" s="20" t="str">
        <f>IFERROR(VLOOKUP(I2225,KET!$B:$F,5,0),"")</f>
        <v>GMM</v>
      </c>
      <c r="G2225" s="20">
        <f>IFERROR(INDEX('Kode Outlet dan Target Toko'!$C:$C,MATCH($I2225,'Kode Outlet dan Target Toko'!$E:$E,0)),0)</f>
        <v>103765</v>
      </c>
      <c r="H2225" s="20">
        <f>IFERROR(INDEX('Kode Outlet dan Target Toko'!$D:$D,MATCH($I2225,'Kode Outlet dan Target Toko'!$E:$E,0)),0)</f>
        <v>4307038</v>
      </c>
      <c r="I2225" s="42" t="s">
        <v>48</v>
      </c>
      <c r="J2225" s="56" t="s">
        <v>269</v>
      </c>
      <c r="K2225" s="40" t="s">
        <v>15</v>
      </c>
      <c r="L2225" s="26">
        <v>3000</v>
      </c>
      <c r="M2225" s="26">
        <v>100</v>
      </c>
      <c r="N2225" s="25">
        <f t="shared" si="69"/>
        <v>300000</v>
      </c>
      <c r="O2225" s="56"/>
    </row>
    <row r="2226" spans="1:15" hidden="1" x14ac:dyDescent="0.3">
      <c r="A2226" s="26">
        <v>30</v>
      </c>
      <c r="B2226" s="20" t="str">
        <f t="shared" si="68"/>
        <v>JUL</v>
      </c>
      <c r="C2226" s="21">
        <v>46228</v>
      </c>
      <c r="D2226" s="22" t="str">
        <f t="array" ref="D2226">IFERROR(INDEX('Kode Outlet dan Target Toko'!$A:$A,MATCH($I2226,'Kode Outlet dan Target Toko'!$E:$E,0)),"")</f>
        <v>GRSM 6</v>
      </c>
      <c r="E2226" s="20" t="str">
        <f>IFERROR(VLOOKUP(I2226,KET!$B:$F,4,0),"")</f>
        <v>WINDA</v>
      </c>
      <c r="F2226" s="20" t="str">
        <f>IFERROR(VLOOKUP(I2226,KET!$B:$F,5,0),"")</f>
        <v>GMM</v>
      </c>
      <c r="G2226" s="20">
        <f>IFERROR(INDEX('Kode Outlet dan Target Toko'!$C:$C,MATCH($I2226,'Kode Outlet dan Target Toko'!$E:$E,0)),0)</f>
        <v>103765</v>
      </c>
      <c r="H2226" s="20">
        <f>IFERROR(INDEX('Kode Outlet dan Target Toko'!$D:$D,MATCH($I2226,'Kode Outlet dan Target Toko'!$E:$E,0)),0)</f>
        <v>4307038</v>
      </c>
      <c r="I2226" s="42" t="s">
        <v>48</v>
      </c>
      <c r="J2226" s="56" t="s">
        <v>269</v>
      </c>
      <c r="K2226" s="40" t="s">
        <v>16</v>
      </c>
      <c r="L2226" s="26">
        <v>3000</v>
      </c>
      <c r="M2226" s="26">
        <v>262</v>
      </c>
      <c r="N2226" s="25">
        <f t="shared" si="69"/>
        <v>786000</v>
      </c>
      <c r="O2226" s="56"/>
    </row>
    <row r="2227" spans="1:15" hidden="1" x14ac:dyDescent="0.3">
      <c r="A2227" s="26">
        <v>30</v>
      </c>
      <c r="B2227" s="20" t="str">
        <f t="shared" si="68"/>
        <v>JUL</v>
      </c>
      <c r="C2227" s="21">
        <v>46228</v>
      </c>
      <c r="D2227" s="22" t="str">
        <f t="array" ref="D2227">IFERROR(INDEX('Kode Outlet dan Target Toko'!$A:$A,MATCH($I2227,'Kode Outlet dan Target Toko'!$E:$E,0)),"")</f>
        <v>GRSM 6</v>
      </c>
      <c r="E2227" s="20" t="str">
        <f>IFERROR(VLOOKUP(I2227,KET!$B:$F,4,0),"")</f>
        <v>WINDA</v>
      </c>
      <c r="F2227" s="20" t="str">
        <f>IFERROR(VLOOKUP(I2227,KET!$B:$F,5,0),"")</f>
        <v>GMM</v>
      </c>
      <c r="G2227" s="20">
        <f>IFERROR(INDEX('Kode Outlet dan Target Toko'!$C:$C,MATCH($I2227,'Kode Outlet dan Target Toko'!$E:$E,0)),0)</f>
        <v>103765</v>
      </c>
      <c r="H2227" s="20">
        <f>IFERROR(INDEX('Kode Outlet dan Target Toko'!$D:$D,MATCH($I2227,'Kode Outlet dan Target Toko'!$E:$E,0)),0)</f>
        <v>4307038</v>
      </c>
      <c r="I2227" s="42" t="s">
        <v>48</v>
      </c>
      <c r="J2227" s="56" t="s">
        <v>270</v>
      </c>
      <c r="K2227" s="40" t="s">
        <v>13</v>
      </c>
      <c r="L2227" s="26">
        <v>3000</v>
      </c>
      <c r="M2227" s="26">
        <v>0</v>
      </c>
      <c r="N2227" s="25">
        <f t="shared" si="69"/>
        <v>0</v>
      </c>
      <c r="O2227" s="56"/>
    </row>
    <row r="2228" spans="1:15" hidden="1" x14ac:dyDescent="0.3">
      <c r="A2228" s="26">
        <v>30</v>
      </c>
      <c r="B2228" s="20" t="str">
        <f t="shared" si="68"/>
        <v>JUL</v>
      </c>
      <c r="C2228" s="21">
        <v>46228</v>
      </c>
      <c r="D2228" s="22" t="str">
        <f t="array" ref="D2228">IFERROR(INDEX('Kode Outlet dan Target Toko'!$A:$A,MATCH($I2228,'Kode Outlet dan Target Toko'!$E:$E,0)),"")</f>
        <v>GRSM 6</v>
      </c>
      <c r="E2228" s="20" t="str">
        <f>IFERROR(VLOOKUP(I2228,KET!$B:$F,4,0),"")</f>
        <v>WINDA</v>
      </c>
      <c r="F2228" s="20" t="str">
        <f>IFERROR(VLOOKUP(I2228,KET!$B:$F,5,0),"")</f>
        <v>GMM</v>
      </c>
      <c r="G2228" s="20">
        <f>IFERROR(INDEX('Kode Outlet dan Target Toko'!$C:$C,MATCH($I2228,'Kode Outlet dan Target Toko'!$E:$E,0)),0)</f>
        <v>103765</v>
      </c>
      <c r="H2228" s="20">
        <f>IFERROR(INDEX('Kode Outlet dan Target Toko'!$D:$D,MATCH($I2228,'Kode Outlet dan Target Toko'!$E:$E,0)),0)</f>
        <v>4307038</v>
      </c>
      <c r="I2228" s="42" t="s">
        <v>48</v>
      </c>
      <c r="J2228" s="56" t="s">
        <v>270</v>
      </c>
      <c r="K2228" s="40" t="s">
        <v>14</v>
      </c>
      <c r="L2228" s="26">
        <v>3000</v>
      </c>
      <c r="M2228" s="26">
        <v>110</v>
      </c>
      <c r="N2228" s="25">
        <f t="shared" si="69"/>
        <v>330000</v>
      </c>
      <c r="O2228" s="56"/>
    </row>
    <row r="2229" spans="1:15" hidden="1" x14ac:dyDescent="0.3">
      <c r="A2229" s="26">
        <v>30</v>
      </c>
      <c r="B2229" s="20" t="str">
        <f t="shared" si="68"/>
        <v>JUL</v>
      </c>
      <c r="C2229" s="21">
        <v>46228</v>
      </c>
      <c r="D2229" s="22" t="str">
        <f t="array" ref="D2229">IFERROR(INDEX('Kode Outlet dan Target Toko'!$A:$A,MATCH($I2229,'Kode Outlet dan Target Toko'!$E:$E,0)),"")</f>
        <v>GRSM 6</v>
      </c>
      <c r="E2229" s="20" t="str">
        <f>IFERROR(VLOOKUP(I2229,KET!$B:$F,4,0),"")</f>
        <v>WINDA</v>
      </c>
      <c r="F2229" s="20" t="str">
        <f>IFERROR(VLOOKUP(I2229,KET!$B:$F,5,0),"")</f>
        <v>GMM</v>
      </c>
      <c r="G2229" s="20">
        <f>IFERROR(INDEX('Kode Outlet dan Target Toko'!$C:$C,MATCH($I2229,'Kode Outlet dan Target Toko'!$E:$E,0)),0)</f>
        <v>103765</v>
      </c>
      <c r="H2229" s="20">
        <f>IFERROR(INDEX('Kode Outlet dan Target Toko'!$D:$D,MATCH($I2229,'Kode Outlet dan Target Toko'!$E:$E,0)),0)</f>
        <v>4307038</v>
      </c>
      <c r="I2229" s="42" t="s">
        <v>48</v>
      </c>
      <c r="J2229" s="56" t="s">
        <v>270</v>
      </c>
      <c r="K2229" s="40" t="s">
        <v>15</v>
      </c>
      <c r="L2229" s="26">
        <v>3000</v>
      </c>
      <c r="M2229" s="26">
        <v>100</v>
      </c>
      <c r="N2229" s="25">
        <f t="shared" si="69"/>
        <v>300000</v>
      </c>
      <c r="O2229" s="56"/>
    </row>
    <row r="2230" spans="1:15" hidden="1" x14ac:dyDescent="0.3">
      <c r="A2230" s="26">
        <v>30</v>
      </c>
      <c r="B2230" s="20" t="str">
        <f t="shared" si="68"/>
        <v>JUL</v>
      </c>
      <c r="C2230" s="21">
        <v>46228</v>
      </c>
      <c r="D2230" s="22" t="str">
        <f t="array" ref="D2230">IFERROR(INDEX('Kode Outlet dan Target Toko'!$A:$A,MATCH($I2230,'Kode Outlet dan Target Toko'!$E:$E,0)),"")</f>
        <v>GRSM 6</v>
      </c>
      <c r="E2230" s="20" t="str">
        <f>IFERROR(VLOOKUP(I2230,KET!$B:$F,4,0),"")</f>
        <v>WINDA</v>
      </c>
      <c r="F2230" s="20" t="str">
        <f>IFERROR(VLOOKUP(I2230,KET!$B:$F,5,0),"")</f>
        <v>GMM</v>
      </c>
      <c r="G2230" s="20">
        <f>IFERROR(INDEX('Kode Outlet dan Target Toko'!$C:$C,MATCH($I2230,'Kode Outlet dan Target Toko'!$E:$E,0)),0)</f>
        <v>103765</v>
      </c>
      <c r="H2230" s="20">
        <f>IFERROR(INDEX('Kode Outlet dan Target Toko'!$D:$D,MATCH($I2230,'Kode Outlet dan Target Toko'!$E:$E,0)),0)</f>
        <v>4307038</v>
      </c>
      <c r="I2230" s="42" t="s">
        <v>48</v>
      </c>
      <c r="J2230" s="56" t="s">
        <v>270</v>
      </c>
      <c r="K2230" s="40" t="s">
        <v>16</v>
      </c>
      <c r="L2230" s="26">
        <v>3000</v>
      </c>
      <c r="M2230" s="26">
        <v>262</v>
      </c>
      <c r="N2230" s="25">
        <f t="shared" si="69"/>
        <v>786000</v>
      </c>
      <c r="O2230" s="56"/>
    </row>
    <row r="2231" spans="1:15" hidden="1" x14ac:dyDescent="0.3">
      <c r="A2231" s="26">
        <v>30</v>
      </c>
      <c r="B2231" s="20" t="str">
        <f t="shared" si="68"/>
        <v>JUL</v>
      </c>
      <c r="C2231" s="21">
        <v>46228</v>
      </c>
      <c r="D2231" s="22" t="str">
        <f t="array" ref="D2231">IFERROR(INDEX('Kode Outlet dan Target Toko'!$A:$A,MATCH($I2231,'Kode Outlet dan Target Toko'!$E:$E,0)),"")</f>
        <v>GRSM 6</v>
      </c>
      <c r="E2231" s="20" t="str">
        <f>IFERROR(VLOOKUP(I2231,KET!$B:$F,4,0),"")</f>
        <v>WINDA</v>
      </c>
      <c r="F2231" s="20" t="str">
        <f>IFERROR(VLOOKUP(I2231,KET!$B:$F,5,0),"")</f>
        <v>GMM</v>
      </c>
      <c r="G2231" s="20">
        <f>IFERROR(INDEX('Kode Outlet dan Target Toko'!$C:$C,MATCH($I2231,'Kode Outlet dan Target Toko'!$E:$E,0)),0)</f>
        <v>211163</v>
      </c>
      <c r="H2231" s="20">
        <f>IFERROR(INDEX('Kode Outlet dan Target Toko'!$D:$D,MATCH($I2231,'Kode Outlet dan Target Toko'!$E:$E,0)),0)</f>
        <v>3703215</v>
      </c>
      <c r="I2231" s="42" t="s">
        <v>53</v>
      </c>
      <c r="J2231" s="56" t="s">
        <v>275</v>
      </c>
      <c r="K2231" s="40" t="s">
        <v>13</v>
      </c>
      <c r="L2231" s="26">
        <v>3000</v>
      </c>
      <c r="M2231" s="26">
        <v>0</v>
      </c>
      <c r="N2231" s="25">
        <f t="shared" si="69"/>
        <v>0</v>
      </c>
      <c r="O2231" s="56"/>
    </row>
    <row r="2232" spans="1:15" hidden="1" x14ac:dyDescent="0.3">
      <c r="A2232" s="26">
        <v>30</v>
      </c>
      <c r="B2232" s="20" t="str">
        <f t="shared" si="68"/>
        <v>JUL</v>
      </c>
      <c r="C2232" s="21">
        <v>46228</v>
      </c>
      <c r="D2232" s="22" t="str">
        <f t="array" ref="D2232">IFERROR(INDEX('Kode Outlet dan Target Toko'!$A:$A,MATCH($I2232,'Kode Outlet dan Target Toko'!$E:$E,0)),"")</f>
        <v>GRSM 6</v>
      </c>
      <c r="E2232" s="20" t="str">
        <f>IFERROR(VLOOKUP(I2232,KET!$B:$F,4,0),"")</f>
        <v>WINDA</v>
      </c>
      <c r="F2232" s="20" t="str">
        <f>IFERROR(VLOOKUP(I2232,KET!$B:$F,5,0),"")</f>
        <v>GMM</v>
      </c>
      <c r="G2232" s="20">
        <f>IFERROR(INDEX('Kode Outlet dan Target Toko'!$C:$C,MATCH($I2232,'Kode Outlet dan Target Toko'!$E:$E,0)),0)</f>
        <v>211163</v>
      </c>
      <c r="H2232" s="20">
        <f>IFERROR(INDEX('Kode Outlet dan Target Toko'!$D:$D,MATCH($I2232,'Kode Outlet dan Target Toko'!$E:$E,0)),0)</f>
        <v>3703215</v>
      </c>
      <c r="I2232" s="42" t="s">
        <v>53</v>
      </c>
      <c r="J2232" s="56" t="s">
        <v>275</v>
      </c>
      <c r="K2232" s="40" t="s">
        <v>14</v>
      </c>
      <c r="L2232" s="26">
        <v>3000</v>
      </c>
      <c r="M2232" s="26">
        <v>131</v>
      </c>
      <c r="N2232" s="25">
        <f t="shared" si="69"/>
        <v>393000</v>
      </c>
      <c r="O2232" s="56"/>
    </row>
    <row r="2233" spans="1:15" hidden="1" x14ac:dyDescent="0.3">
      <c r="A2233" s="26">
        <v>30</v>
      </c>
      <c r="B2233" s="20" t="str">
        <f t="shared" si="68"/>
        <v>JUL</v>
      </c>
      <c r="C2233" s="21">
        <v>46228</v>
      </c>
      <c r="D2233" s="22" t="str">
        <f t="array" ref="D2233">IFERROR(INDEX('Kode Outlet dan Target Toko'!$A:$A,MATCH($I2233,'Kode Outlet dan Target Toko'!$E:$E,0)),"")</f>
        <v>GRSM 6</v>
      </c>
      <c r="E2233" s="20" t="str">
        <f>IFERROR(VLOOKUP(I2233,KET!$B:$F,4,0),"")</f>
        <v>WINDA</v>
      </c>
      <c r="F2233" s="20" t="str">
        <f>IFERROR(VLOOKUP(I2233,KET!$B:$F,5,0),"")</f>
        <v>GMM</v>
      </c>
      <c r="G2233" s="20">
        <f>IFERROR(INDEX('Kode Outlet dan Target Toko'!$C:$C,MATCH($I2233,'Kode Outlet dan Target Toko'!$E:$E,0)),0)</f>
        <v>211163</v>
      </c>
      <c r="H2233" s="20">
        <f>IFERROR(INDEX('Kode Outlet dan Target Toko'!$D:$D,MATCH($I2233,'Kode Outlet dan Target Toko'!$E:$E,0)),0)</f>
        <v>3703215</v>
      </c>
      <c r="I2233" s="42" t="s">
        <v>53</v>
      </c>
      <c r="J2233" s="56" t="s">
        <v>275</v>
      </c>
      <c r="K2233" s="40" t="s">
        <v>15</v>
      </c>
      <c r="L2233" s="26">
        <v>3000</v>
      </c>
      <c r="M2233" s="26">
        <v>127</v>
      </c>
      <c r="N2233" s="25">
        <f t="shared" si="69"/>
        <v>381000</v>
      </c>
      <c r="O2233" s="56"/>
    </row>
    <row r="2234" spans="1:15" hidden="1" x14ac:dyDescent="0.3">
      <c r="A2234" s="26">
        <v>30</v>
      </c>
      <c r="B2234" s="20" t="str">
        <f t="shared" si="68"/>
        <v>JUL</v>
      </c>
      <c r="C2234" s="21">
        <v>46228</v>
      </c>
      <c r="D2234" s="22" t="str">
        <f t="array" ref="D2234">IFERROR(INDEX('Kode Outlet dan Target Toko'!$A:$A,MATCH($I2234,'Kode Outlet dan Target Toko'!$E:$E,0)),"")</f>
        <v>GRSM 6</v>
      </c>
      <c r="E2234" s="20" t="str">
        <f>IFERROR(VLOOKUP(I2234,KET!$B:$F,4,0),"")</f>
        <v>WINDA</v>
      </c>
      <c r="F2234" s="20" t="str">
        <f>IFERROR(VLOOKUP(I2234,KET!$B:$F,5,0),"")</f>
        <v>GMM</v>
      </c>
      <c r="G2234" s="20">
        <f>IFERROR(INDEX('Kode Outlet dan Target Toko'!$C:$C,MATCH($I2234,'Kode Outlet dan Target Toko'!$E:$E,0)),0)</f>
        <v>211163</v>
      </c>
      <c r="H2234" s="20">
        <f>IFERROR(INDEX('Kode Outlet dan Target Toko'!$D:$D,MATCH($I2234,'Kode Outlet dan Target Toko'!$E:$E,0)),0)</f>
        <v>3703215</v>
      </c>
      <c r="I2234" s="42" t="s">
        <v>53</v>
      </c>
      <c r="J2234" s="56" t="s">
        <v>275</v>
      </c>
      <c r="K2234" s="40" t="s">
        <v>16</v>
      </c>
      <c r="L2234" s="26">
        <v>3000</v>
      </c>
      <c r="M2234" s="26">
        <v>221</v>
      </c>
      <c r="N2234" s="25">
        <f t="shared" si="69"/>
        <v>663000</v>
      </c>
      <c r="O2234" s="56">
        <v>80</v>
      </c>
    </row>
    <row r="2235" spans="1:15" hidden="1" x14ac:dyDescent="0.3">
      <c r="A2235" s="26">
        <v>30</v>
      </c>
      <c r="B2235" s="20" t="str">
        <f t="shared" si="68"/>
        <v>JUL</v>
      </c>
      <c r="C2235" s="21">
        <v>46228</v>
      </c>
      <c r="D2235" s="22" t="str">
        <f t="array" ref="D2235">IFERROR(INDEX('Kode Outlet dan Target Toko'!$A:$A,MATCH($I2235,'Kode Outlet dan Target Toko'!$E:$E,0)),"")</f>
        <v>GRSM 6</v>
      </c>
      <c r="E2235" s="20" t="str">
        <f>IFERROR(VLOOKUP(I2235,KET!$B:$F,4,0),"")</f>
        <v>WINDA</v>
      </c>
      <c r="F2235" s="20" t="str">
        <f>IFERROR(VLOOKUP(I2235,KET!$B:$F,5,0),"")</f>
        <v>GMM</v>
      </c>
      <c r="G2235" s="20">
        <f>IFERROR(INDEX('Kode Outlet dan Target Toko'!$C:$C,MATCH($I2235,'Kode Outlet dan Target Toko'!$E:$E,0)),0)</f>
        <v>211163</v>
      </c>
      <c r="H2235" s="20">
        <f>IFERROR(INDEX('Kode Outlet dan Target Toko'!$D:$D,MATCH($I2235,'Kode Outlet dan Target Toko'!$E:$E,0)),0)</f>
        <v>3703215</v>
      </c>
      <c r="I2235" s="42" t="s">
        <v>53</v>
      </c>
      <c r="J2235" s="56" t="s">
        <v>276</v>
      </c>
      <c r="K2235" s="40" t="s">
        <v>13</v>
      </c>
      <c r="L2235" s="26">
        <v>3000</v>
      </c>
      <c r="M2235" s="26">
        <v>0</v>
      </c>
      <c r="N2235" s="25">
        <f t="shared" si="69"/>
        <v>0</v>
      </c>
      <c r="O2235" s="56"/>
    </row>
    <row r="2236" spans="1:15" hidden="1" x14ac:dyDescent="0.3">
      <c r="A2236" s="26">
        <v>30</v>
      </c>
      <c r="B2236" s="20" t="str">
        <f t="shared" si="68"/>
        <v>JUL</v>
      </c>
      <c r="C2236" s="21">
        <v>46228</v>
      </c>
      <c r="D2236" s="22" t="str">
        <f t="array" ref="D2236">IFERROR(INDEX('Kode Outlet dan Target Toko'!$A:$A,MATCH($I2236,'Kode Outlet dan Target Toko'!$E:$E,0)),"")</f>
        <v>GRSM 6</v>
      </c>
      <c r="E2236" s="20" t="str">
        <f>IFERROR(VLOOKUP(I2236,KET!$B:$F,4,0),"")</f>
        <v>WINDA</v>
      </c>
      <c r="F2236" s="20" t="str">
        <f>IFERROR(VLOOKUP(I2236,KET!$B:$F,5,0),"")</f>
        <v>GMM</v>
      </c>
      <c r="G2236" s="20">
        <f>IFERROR(INDEX('Kode Outlet dan Target Toko'!$C:$C,MATCH($I2236,'Kode Outlet dan Target Toko'!$E:$E,0)),0)</f>
        <v>211163</v>
      </c>
      <c r="H2236" s="20">
        <f>IFERROR(INDEX('Kode Outlet dan Target Toko'!$D:$D,MATCH($I2236,'Kode Outlet dan Target Toko'!$E:$E,0)),0)</f>
        <v>3703215</v>
      </c>
      <c r="I2236" s="42" t="s">
        <v>53</v>
      </c>
      <c r="J2236" s="56" t="s">
        <v>276</v>
      </c>
      <c r="K2236" s="40" t="s">
        <v>14</v>
      </c>
      <c r="L2236" s="26">
        <v>3000</v>
      </c>
      <c r="M2236" s="26">
        <v>131</v>
      </c>
      <c r="N2236" s="25">
        <f t="shared" si="69"/>
        <v>393000</v>
      </c>
      <c r="O2236" s="56"/>
    </row>
    <row r="2237" spans="1:15" hidden="1" x14ac:dyDescent="0.3">
      <c r="A2237" s="26">
        <v>30</v>
      </c>
      <c r="B2237" s="20" t="str">
        <f t="shared" si="68"/>
        <v>JUL</v>
      </c>
      <c r="C2237" s="21">
        <v>46228</v>
      </c>
      <c r="D2237" s="22" t="str">
        <f t="array" ref="D2237">IFERROR(INDEX('Kode Outlet dan Target Toko'!$A:$A,MATCH($I2237,'Kode Outlet dan Target Toko'!$E:$E,0)),"")</f>
        <v>GRSM 6</v>
      </c>
      <c r="E2237" s="20" t="str">
        <f>IFERROR(VLOOKUP(I2237,KET!$B:$F,4,0),"")</f>
        <v>WINDA</v>
      </c>
      <c r="F2237" s="20" t="str">
        <f>IFERROR(VLOOKUP(I2237,KET!$B:$F,5,0),"")</f>
        <v>GMM</v>
      </c>
      <c r="G2237" s="20">
        <f>IFERROR(INDEX('Kode Outlet dan Target Toko'!$C:$C,MATCH($I2237,'Kode Outlet dan Target Toko'!$E:$E,0)),0)</f>
        <v>211163</v>
      </c>
      <c r="H2237" s="20">
        <f>IFERROR(INDEX('Kode Outlet dan Target Toko'!$D:$D,MATCH($I2237,'Kode Outlet dan Target Toko'!$E:$E,0)),0)</f>
        <v>3703215</v>
      </c>
      <c r="I2237" s="42" t="s">
        <v>53</v>
      </c>
      <c r="J2237" s="56" t="s">
        <v>276</v>
      </c>
      <c r="K2237" s="40" t="s">
        <v>15</v>
      </c>
      <c r="L2237" s="26">
        <v>3000</v>
      </c>
      <c r="M2237" s="26">
        <v>127</v>
      </c>
      <c r="N2237" s="25">
        <f t="shared" si="69"/>
        <v>381000</v>
      </c>
      <c r="O2237" s="56"/>
    </row>
    <row r="2238" spans="1:15" hidden="1" x14ac:dyDescent="0.3">
      <c r="A2238" s="26">
        <v>30</v>
      </c>
      <c r="B2238" s="20" t="str">
        <f t="shared" si="68"/>
        <v>JUL</v>
      </c>
      <c r="C2238" s="21">
        <v>46228</v>
      </c>
      <c r="D2238" s="22" t="str">
        <f t="array" ref="D2238">IFERROR(INDEX('Kode Outlet dan Target Toko'!$A:$A,MATCH($I2238,'Kode Outlet dan Target Toko'!$E:$E,0)),"")</f>
        <v>GRSM 6</v>
      </c>
      <c r="E2238" s="20" t="str">
        <f>IFERROR(VLOOKUP(I2238,KET!$B:$F,4,0),"")</f>
        <v>WINDA</v>
      </c>
      <c r="F2238" s="20" t="str">
        <f>IFERROR(VLOOKUP(I2238,KET!$B:$F,5,0),"")</f>
        <v>GMM</v>
      </c>
      <c r="G2238" s="20">
        <f>IFERROR(INDEX('Kode Outlet dan Target Toko'!$C:$C,MATCH($I2238,'Kode Outlet dan Target Toko'!$E:$E,0)),0)</f>
        <v>211163</v>
      </c>
      <c r="H2238" s="20">
        <f>IFERROR(INDEX('Kode Outlet dan Target Toko'!$D:$D,MATCH($I2238,'Kode Outlet dan Target Toko'!$E:$E,0)),0)</f>
        <v>3703215</v>
      </c>
      <c r="I2238" s="42" t="s">
        <v>53</v>
      </c>
      <c r="J2238" s="56" t="s">
        <v>276</v>
      </c>
      <c r="K2238" s="40" t="s">
        <v>16</v>
      </c>
      <c r="L2238" s="26">
        <v>3000</v>
      </c>
      <c r="M2238" s="26">
        <v>221</v>
      </c>
      <c r="N2238" s="25">
        <f t="shared" si="69"/>
        <v>663000</v>
      </c>
      <c r="O2238" s="56">
        <v>80</v>
      </c>
    </row>
    <row r="2239" spans="1:15" hidden="1" x14ac:dyDescent="0.3">
      <c r="A2239" s="26">
        <v>30</v>
      </c>
      <c r="B2239" s="20" t="str">
        <f t="shared" si="68"/>
        <v>JUL</v>
      </c>
      <c r="C2239" s="21">
        <v>46228</v>
      </c>
      <c r="D2239" s="22" t="str">
        <f t="array" ref="D2239">IFERROR(INDEX('Kode Outlet dan Target Toko'!$A:$A,MATCH($I2239,'Kode Outlet dan Target Toko'!$E:$E,0)),"")</f>
        <v>GRSM 6</v>
      </c>
      <c r="E2239" s="20" t="str">
        <f>IFERROR(VLOOKUP(I2239,KET!$B:$F,4,0),"")</f>
        <v>WINDA</v>
      </c>
      <c r="F2239" s="20" t="str">
        <f>IFERROR(VLOOKUP(I2239,KET!$B:$F,5,0),"")</f>
        <v>GMM</v>
      </c>
      <c r="G2239" s="20">
        <f>IFERROR(INDEX('Kode Outlet dan Target Toko'!$C:$C,MATCH($I2239,'Kode Outlet dan Target Toko'!$E:$E,0)),0)</f>
        <v>211163</v>
      </c>
      <c r="H2239" s="20">
        <f>IFERROR(INDEX('Kode Outlet dan Target Toko'!$D:$D,MATCH($I2239,'Kode Outlet dan Target Toko'!$E:$E,0)),0)</f>
        <v>3703219</v>
      </c>
      <c r="I2239" s="42" t="s">
        <v>52</v>
      </c>
      <c r="J2239" s="56" t="s">
        <v>274</v>
      </c>
      <c r="K2239" s="40" t="s">
        <v>13</v>
      </c>
      <c r="L2239" s="26">
        <v>2900</v>
      </c>
      <c r="M2239" s="26">
        <v>0</v>
      </c>
      <c r="N2239" s="25">
        <f t="shared" si="69"/>
        <v>0</v>
      </c>
      <c r="O2239" s="56"/>
    </row>
    <row r="2240" spans="1:15" hidden="1" x14ac:dyDescent="0.3">
      <c r="A2240" s="26">
        <v>30</v>
      </c>
      <c r="B2240" s="20" t="str">
        <f t="shared" si="68"/>
        <v>JUL</v>
      </c>
      <c r="C2240" s="21">
        <v>46228</v>
      </c>
      <c r="D2240" s="22" t="str">
        <f t="array" ref="D2240">IFERROR(INDEX('Kode Outlet dan Target Toko'!$A:$A,MATCH($I2240,'Kode Outlet dan Target Toko'!$E:$E,0)),"")</f>
        <v>GRSM 6</v>
      </c>
      <c r="E2240" s="20" t="str">
        <f>IFERROR(VLOOKUP(I2240,KET!$B:$F,4,0),"")</f>
        <v>WINDA</v>
      </c>
      <c r="F2240" s="20" t="str">
        <f>IFERROR(VLOOKUP(I2240,KET!$B:$F,5,0),"")</f>
        <v>GMM</v>
      </c>
      <c r="G2240" s="20">
        <f>IFERROR(INDEX('Kode Outlet dan Target Toko'!$C:$C,MATCH($I2240,'Kode Outlet dan Target Toko'!$E:$E,0)),0)</f>
        <v>211163</v>
      </c>
      <c r="H2240" s="20">
        <f>IFERROR(INDEX('Kode Outlet dan Target Toko'!$D:$D,MATCH($I2240,'Kode Outlet dan Target Toko'!$E:$E,0)),0)</f>
        <v>3703219</v>
      </c>
      <c r="I2240" s="42" t="s">
        <v>52</v>
      </c>
      <c r="J2240" s="56" t="s">
        <v>274</v>
      </c>
      <c r="K2240" s="40" t="s">
        <v>14</v>
      </c>
      <c r="L2240" s="26">
        <v>2900</v>
      </c>
      <c r="M2240" s="26">
        <v>186</v>
      </c>
      <c r="N2240" s="25">
        <f t="shared" si="69"/>
        <v>539400</v>
      </c>
      <c r="O2240" s="56"/>
    </row>
    <row r="2241" spans="1:15" hidden="1" x14ac:dyDescent="0.3">
      <c r="A2241" s="26">
        <v>30</v>
      </c>
      <c r="B2241" s="20" t="str">
        <f t="shared" si="68"/>
        <v>JUL</v>
      </c>
      <c r="C2241" s="21">
        <v>46228</v>
      </c>
      <c r="D2241" s="22" t="str">
        <f t="array" ref="D2241">IFERROR(INDEX('Kode Outlet dan Target Toko'!$A:$A,MATCH($I2241,'Kode Outlet dan Target Toko'!$E:$E,0)),"")</f>
        <v>GRSM 6</v>
      </c>
      <c r="E2241" s="20" t="str">
        <f>IFERROR(VLOOKUP(I2241,KET!$B:$F,4,0),"")</f>
        <v>WINDA</v>
      </c>
      <c r="F2241" s="20" t="str">
        <f>IFERROR(VLOOKUP(I2241,KET!$B:$F,5,0),"")</f>
        <v>GMM</v>
      </c>
      <c r="G2241" s="20">
        <f>IFERROR(INDEX('Kode Outlet dan Target Toko'!$C:$C,MATCH($I2241,'Kode Outlet dan Target Toko'!$E:$E,0)),0)</f>
        <v>211163</v>
      </c>
      <c r="H2241" s="20">
        <f>IFERROR(INDEX('Kode Outlet dan Target Toko'!$D:$D,MATCH($I2241,'Kode Outlet dan Target Toko'!$E:$E,0)),0)</f>
        <v>3703219</v>
      </c>
      <c r="I2241" s="42" t="s">
        <v>52</v>
      </c>
      <c r="J2241" s="56" t="s">
        <v>274</v>
      </c>
      <c r="K2241" s="40" t="s">
        <v>15</v>
      </c>
      <c r="L2241" s="26">
        <v>2900</v>
      </c>
      <c r="M2241" s="26">
        <v>174</v>
      </c>
      <c r="N2241" s="25">
        <f t="shared" si="69"/>
        <v>504600</v>
      </c>
      <c r="O2241" s="56"/>
    </row>
    <row r="2242" spans="1:15" hidden="1" x14ac:dyDescent="0.3">
      <c r="A2242" s="26">
        <v>30</v>
      </c>
      <c r="B2242" s="20" t="str">
        <f t="shared" si="68"/>
        <v>JUL</v>
      </c>
      <c r="C2242" s="21">
        <v>46228</v>
      </c>
      <c r="D2242" s="22" t="str">
        <f t="array" ref="D2242">IFERROR(INDEX('Kode Outlet dan Target Toko'!$A:$A,MATCH($I2242,'Kode Outlet dan Target Toko'!$E:$E,0)),"")</f>
        <v>GRSM 6</v>
      </c>
      <c r="E2242" s="20" t="str">
        <f>IFERROR(VLOOKUP(I2242,KET!$B:$F,4,0),"")</f>
        <v>WINDA</v>
      </c>
      <c r="F2242" s="20" t="str">
        <f>IFERROR(VLOOKUP(I2242,KET!$B:$F,5,0),"")</f>
        <v>GMM</v>
      </c>
      <c r="G2242" s="20">
        <f>IFERROR(INDEX('Kode Outlet dan Target Toko'!$C:$C,MATCH($I2242,'Kode Outlet dan Target Toko'!$E:$E,0)),0)</f>
        <v>211163</v>
      </c>
      <c r="H2242" s="20">
        <f>IFERROR(INDEX('Kode Outlet dan Target Toko'!$D:$D,MATCH($I2242,'Kode Outlet dan Target Toko'!$E:$E,0)),0)</f>
        <v>3703219</v>
      </c>
      <c r="I2242" s="42" t="s">
        <v>52</v>
      </c>
      <c r="J2242" s="56" t="s">
        <v>274</v>
      </c>
      <c r="K2242" s="40" t="s">
        <v>16</v>
      </c>
      <c r="L2242" s="26">
        <v>2900</v>
      </c>
      <c r="M2242" s="26">
        <v>330</v>
      </c>
      <c r="N2242" s="25">
        <f t="shared" si="69"/>
        <v>957000</v>
      </c>
      <c r="O2242" s="56"/>
    </row>
    <row r="2243" spans="1:15" hidden="1" x14ac:dyDescent="0.3">
      <c r="A2243" s="26">
        <v>30</v>
      </c>
      <c r="B2243" s="20" t="str">
        <f t="shared" si="68"/>
        <v>JUL</v>
      </c>
      <c r="C2243" s="21">
        <v>46228</v>
      </c>
      <c r="D2243" s="22" t="str">
        <f t="array" ref="D2243">IFERROR(INDEX('Kode Outlet dan Target Toko'!$A:$A,MATCH($I2243,'Kode Outlet dan Target Toko'!$E:$E,0)),"")</f>
        <v>GRSM 6</v>
      </c>
      <c r="E2243" s="20" t="str">
        <f>IFERROR(VLOOKUP(I2243,KET!$B:$F,4,0),"")</f>
        <v>WINDA</v>
      </c>
      <c r="F2243" s="20" t="str">
        <f>IFERROR(VLOOKUP(I2243,KET!$B:$F,5,0),"")</f>
        <v>GMM</v>
      </c>
      <c r="G2243" s="20">
        <f>IFERROR(INDEX('Kode Outlet dan Target Toko'!$C:$C,MATCH($I2243,'Kode Outlet dan Target Toko'!$E:$E,0)),0)</f>
        <v>211163</v>
      </c>
      <c r="H2243" s="20">
        <f>IFERROR(INDEX('Kode Outlet dan Target Toko'!$D:$D,MATCH($I2243,'Kode Outlet dan Target Toko'!$E:$E,0)),0)</f>
        <v>3703219</v>
      </c>
      <c r="I2243" s="42" t="s">
        <v>52</v>
      </c>
      <c r="J2243" s="56" t="s">
        <v>273</v>
      </c>
      <c r="K2243" s="40" t="s">
        <v>13</v>
      </c>
      <c r="L2243" s="26">
        <v>2900</v>
      </c>
      <c r="M2243" s="26">
        <v>0</v>
      </c>
      <c r="N2243" s="25">
        <f t="shared" si="69"/>
        <v>0</v>
      </c>
      <c r="O2243" s="56"/>
    </row>
    <row r="2244" spans="1:15" hidden="1" x14ac:dyDescent="0.3">
      <c r="A2244" s="26">
        <v>30</v>
      </c>
      <c r="B2244" s="20" t="str">
        <f t="shared" si="68"/>
        <v>JUL</v>
      </c>
      <c r="C2244" s="21">
        <v>46228</v>
      </c>
      <c r="D2244" s="22" t="str">
        <f t="array" ref="D2244">IFERROR(INDEX('Kode Outlet dan Target Toko'!$A:$A,MATCH($I2244,'Kode Outlet dan Target Toko'!$E:$E,0)),"")</f>
        <v>GRSM 6</v>
      </c>
      <c r="E2244" s="20" t="str">
        <f>IFERROR(VLOOKUP(I2244,KET!$B:$F,4,0),"")</f>
        <v>WINDA</v>
      </c>
      <c r="F2244" s="20" t="str">
        <f>IFERROR(VLOOKUP(I2244,KET!$B:$F,5,0),"")</f>
        <v>GMM</v>
      </c>
      <c r="G2244" s="20">
        <f>IFERROR(INDEX('Kode Outlet dan Target Toko'!$C:$C,MATCH($I2244,'Kode Outlet dan Target Toko'!$E:$E,0)),0)</f>
        <v>211163</v>
      </c>
      <c r="H2244" s="20">
        <f>IFERROR(INDEX('Kode Outlet dan Target Toko'!$D:$D,MATCH($I2244,'Kode Outlet dan Target Toko'!$E:$E,0)),0)</f>
        <v>3703219</v>
      </c>
      <c r="I2244" s="42" t="s">
        <v>52</v>
      </c>
      <c r="J2244" s="56" t="s">
        <v>273</v>
      </c>
      <c r="K2244" s="40" t="s">
        <v>14</v>
      </c>
      <c r="L2244" s="26">
        <v>2900</v>
      </c>
      <c r="M2244" s="26">
        <v>186</v>
      </c>
      <c r="N2244" s="25">
        <f t="shared" si="69"/>
        <v>539400</v>
      </c>
      <c r="O2244" s="56"/>
    </row>
    <row r="2245" spans="1:15" hidden="1" x14ac:dyDescent="0.3">
      <c r="A2245" s="26">
        <v>30</v>
      </c>
      <c r="B2245" s="20" t="str">
        <f t="shared" si="68"/>
        <v>JUL</v>
      </c>
      <c r="C2245" s="21">
        <v>46228</v>
      </c>
      <c r="D2245" s="22" t="str">
        <f t="array" ref="D2245">IFERROR(INDEX('Kode Outlet dan Target Toko'!$A:$A,MATCH($I2245,'Kode Outlet dan Target Toko'!$E:$E,0)),"")</f>
        <v>GRSM 6</v>
      </c>
      <c r="E2245" s="20" t="str">
        <f>IFERROR(VLOOKUP(I2245,KET!$B:$F,4,0),"")</f>
        <v>WINDA</v>
      </c>
      <c r="F2245" s="20" t="str">
        <f>IFERROR(VLOOKUP(I2245,KET!$B:$F,5,0),"")</f>
        <v>GMM</v>
      </c>
      <c r="G2245" s="20">
        <f>IFERROR(INDEX('Kode Outlet dan Target Toko'!$C:$C,MATCH($I2245,'Kode Outlet dan Target Toko'!$E:$E,0)),0)</f>
        <v>211163</v>
      </c>
      <c r="H2245" s="20">
        <f>IFERROR(INDEX('Kode Outlet dan Target Toko'!$D:$D,MATCH($I2245,'Kode Outlet dan Target Toko'!$E:$E,0)),0)</f>
        <v>3703219</v>
      </c>
      <c r="I2245" s="42" t="s">
        <v>52</v>
      </c>
      <c r="J2245" s="56" t="s">
        <v>273</v>
      </c>
      <c r="K2245" s="40" t="s">
        <v>15</v>
      </c>
      <c r="L2245" s="26">
        <v>2900</v>
      </c>
      <c r="M2245" s="26">
        <v>174</v>
      </c>
      <c r="N2245" s="25">
        <f t="shared" si="69"/>
        <v>504600</v>
      </c>
      <c r="O2245" s="56"/>
    </row>
    <row r="2246" spans="1:15" hidden="1" x14ac:dyDescent="0.3">
      <c r="A2246" s="26">
        <v>30</v>
      </c>
      <c r="B2246" s="20" t="str">
        <f t="shared" si="68"/>
        <v>JUL</v>
      </c>
      <c r="C2246" s="21">
        <v>46228</v>
      </c>
      <c r="D2246" s="22" t="str">
        <f t="array" ref="D2246">IFERROR(INDEX('Kode Outlet dan Target Toko'!$A:$A,MATCH($I2246,'Kode Outlet dan Target Toko'!$E:$E,0)),"")</f>
        <v>GRSM 6</v>
      </c>
      <c r="E2246" s="20" t="str">
        <f>IFERROR(VLOOKUP(I2246,KET!$B:$F,4,0),"")</f>
        <v>WINDA</v>
      </c>
      <c r="F2246" s="20" t="str">
        <f>IFERROR(VLOOKUP(I2246,KET!$B:$F,5,0),"")</f>
        <v>GMM</v>
      </c>
      <c r="G2246" s="20">
        <f>IFERROR(INDEX('Kode Outlet dan Target Toko'!$C:$C,MATCH($I2246,'Kode Outlet dan Target Toko'!$E:$E,0)),0)</f>
        <v>211163</v>
      </c>
      <c r="H2246" s="20">
        <f>IFERROR(INDEX('Kode Outlet dan Target Toko'!$D:$D,MATCH($I2246,'Kode Outlet dan Target Toko'!$E:$E,0)),0)</f>
        <v>3703219</v>
      </c>
      <c r="I2246" s="42" t="s">
        <v>52</v>
      </c>
      <c r="J2246" s="56" t="s">
        <v>273</v>
      </c>
      <c r="K2246" s="40" t="s">
        <v>16</v>
      </c>
      <c r="L2246" s="26">
        <v>2900</v>
      </c>
      <c r="M2246" s="26">
        <v>330</v>
      </c>
      <c r="N2246" s="25">
        <f t="shared" si="69"/>
        <v>957000</v>
      </c>
      <c r="O2246" s="56"/>
    </row>
    <row r="2247" spans="1:15" hidden="1" x14ac:dyDescent="0.3">
      <c r="A2247" s="26">
        <v>30</v>
      </c>
      <c r="B2247" s="20" t="str">
        <f t="shared" ref="B2247:B2310" si="70">IF(C2247="","",UPPER(TEXT(C2247, "MMM")))</f>
        <v>JUL</v>
      </c>
      <c r="C2247" s="21">
        <v>46228</v>
      </c>
      <c r="D2247" s="22" t="str">
        <f t="array" ref="D2247">IFERROR(INDEX('Kode Outlet dan Target Toko'!$A:$A,MATCH($I2247,'Kode Outlet dan Target Toko'!$E:$E,0)),"")</f>
        <v>GRSM 6</v>
      </c>
      <c r="E2247" s="20" t="str">
        <f>IFERROR(VLOOKUP(I2247,KET!$B:$F,4,0),"")</f>
        <v>WINDA</v>
      </c>
      <c r="F2247" s="20" t="str">
        <f>IFERROR(VLOOKUP(I2247,KET!$B:$F,5,0),"")</f>
        <v>GMM</v>
      </c>
      <c r="G2247" s="20">
        <f>IFERROR(INDEX('Kode Outlet dan Target Toko'!$C:$C,MATCH($I2247,'Kode Outlet dan Target Toko'!$E:$E,0)),0)</f>
        <v>211033</v>
      </c>
      <c r="H2247" s="20">
        <f>IFERROR(INDEX('Kode Outlet dan Target Toko'!$D:$D,MATCH($I2247,'Kode Outlet dan Target Toko'!$E:$E,0)),0)</f>
        <v>6467246</v>
      </c>
      <c r="I2247" s="42" t="s">
        <v>50</v>
      </c>
      <c r="J2247" s="56" t="s">
        <v>271</v>
      </c>
      <c r="K2247" s="40" t="s">
        <v>13</v>
      </c>
      <c r="L2247" s="26">
        <v>3100</v>
      </c>
      <c r="M2247" s="26">
        <v>80</v>
      </c>
      <c r="N2247" s="25">
        <f t="shared" ref="N2247:N2310" si="71">IFERROR(M2247*L2247,"")</f>
        <v>248000</v>
      </c>
      <c r="O2247" s="56"/>
    </row>
    <row r="2248" spans="1:15" hidden="1" x14ac:dyDescent="0.3">
      <c r="A2248" s="26">
        <v>30</v>
      </c>
      <c r="B2248" s="20" t="str">
        <f t="shared" si="70"/>
        <v>JUL</v>
      </c>
      <c r="C2248" s="21">
        <v>46228</v>
      </c>
      <c r="D2248" s="22" t="str">
        <f t="array" ref="D2248">IFERROR(INDEX('Kode Outlet dan Target Toko'!$A:$A,MATCH($I2248,'Kode Outlet dan Target Toko'!$E:$E,0)),"")</f>
        <v>GRSM 6</v>
      </c>
      <c r="E2248" s="20" t="str">
        <f>IFERROR(VLOOKUP(I2248,KET!$B:$F,4,0),"")</f>
        <v>WINDA</v>
      </c>
      <c r="F2248" s="20" t="str">
        <f>IFERROR(VLOOKUP(I2248,KET!$B:$F,5,0),"")</f>
        <v>GMM</v>
      </c>
      <c r="G2248" s="20">
        <f>IFERROR(INDEX('Kode Outlet dan Target Toko'!$C:$C,MATCH($I2248,'Kode Outlet dan Target Toko'!$E:$E,0)),0)</f>
        <v>211033</v>
      </c>
      <c r="H2248" s="20">
        <f>IFERROR(INDEX('Kode Outlet dan Target Toko'!$D:$D,MATCH($I2248,'Kode Outlet dan Target Toko'!$E:$E,0)),0)</f>
        <v>6467246</v>
      </c>
      <c r="I2248" s="42" t="s">
        <v>50</v>
      </c>
      <c r="J2248" s="56" t="s">
        <v>271</v>
      </c>
      <c r="K2248" s="40" t="s">
        <v>14</v>
      </c>
      <c r="L2248" s="26">
        <v>3100</v>
      </c>
      <c r="M2248" s="26">
        <v>221</v>
      </c>
      <c r="N2248" s="25">
        <f t="shared" si="71"/>
        <v>685100</v>
      </c>
      <c r="O2248" s="56"/>
    </row>
    <row r="2249" spans="1:15" hidden="1" x14ac:dyDescent="0.3">
      <c r="A2249" s="26">
        <v>30</v>
      </c>
      <c r="B2249" s="20" t="str">
        <f t="shared" si="70"/>
        <v>JUL</v>
      </c>
      <c r="C2249" s="21">
        <v>46228</v>
      </c>
      <c r="D2249" s="22" t="str">
        <f t="array" ref="D2249">IFERROR(INDEX('Kode Outlet dan Target Toko'!$A:$A,MATCH($I2249,'Kode Outlet dan Target Toko'!$E:$E,0)),"")</f>
        <v>GRSM 6</v>
      </c>
      <c r="E2249" s="20" t="str">
        <f>IFERROR(VLOOKUP(I2249,KET!$B:$F,4,0),"")</f>
        <v>WINDA</v>
      </c>
      <c r="F2249" s="20" t="str">
        <f>IFERROR(VLOOKUP(I2249,KET!$B:$F,5,0),"")</f>
        <v>GMM</v>
      </c>
      <c r="G2249" s="20">
        <f>IFERROR(INDEX('Kode Outlet dan Target Toko'!$C:$C,MATCH($I2249,'Kode Outlet dan Target Toko'!$E:$E,0)),0)</f>
        <v>211033</v>
      </c>
      <c r="H2249" s="20">
        <f>IFERROR(INDEX('Kode Outlet dan Target Toko'!$D:$D,MATCH($I2249,'Kode Outlet dan Target Toko'!$E:$E,0)),0)</f>
        <v>6467246</v>
      </c>
      <c r="I2249" s="42" t="s">
        <v>50</v>
      </c>
      <c r="J2249" s="56" t="s">
        <v>271</v>
      </c>
      <c r="K2249" s="40" t="s">
        <v>15</v>
      </c>
      <c r="L2249" s="26">
        <v>3100</v>
      </c>
      <c r="M2249" s="26">
        <v>86</v>
      </c>
      <c r="N2249" s="25">
        <f t="shared" si="71"/>
        <v>266600</v>
      </c>
      <c r="O2249" s="56"/>
    </row>
    <row r="2250" spans="1:15" hidden="1" x14ac:dyDescent="0.3">
      <c r="A2250" s="26">
        <v>30</v>
      </c>
      <c r="B2250" s="20" t="str">
        <f t="shared" si="70"/>
        <v>JUL</v>
      </c>
      <c r="C2250" s="21">
        <v>46228</v>
      </c>
      <c r="D2250" s="22" t="str">
        <f t="array" ref="D2250">IFERROR(INDEX('Kode Outlet dan Target Toko'!$A:$A,MATCH($I2250,'Kode Outlet dan Target Toko'!$E:$E,0)),"")</f>
        <v>GRSM 6</v>
      </c>
      <c r="E2250" s="20" t="str">
        <f>IFERROR(VLOOKUP(I2250,KET!$B:$F,4,0),"")</f>
        <v>WINDA</v>
      </c>
      <c r="F2250" s="20" t="str">
        <f>IFERROR(VLOOKUP(I2250,KET!$B:$F,5,0),"")</f>
        <v>GMM</v>
      </c>
      <c r="G2250" s="20">
        <f>IFERROR(INDEX('Kode Outlet dan Target Toko'!$C:$C,MATCH($I2250,'Kode Outlet dan Target Toko'!$E:$E,0)),0)</f>
        <v>211033</v>
      </c>
      <c r="H2250" s="20">
        <f>IFERROR(INDEX('Kode Outlet dan Target Toko'!$D:$D,MATCH($I2250,'Kode Outlet dan Target Toko'!$E:$E,0)),0)</f>
        <v>6467246</v>
      </c>
      <c r="I2250" s="42" t="s">
        <v>50</v>
      </c>
      <c r="J2250" s="56" t="s">
        <v>271</v>
      </c>
      <c r="K2250" s="40" t="s">
        <v>16</v>
      </c>
      <c r="L2250" s="26">
        <v>3100</v>
      </c>
      <c r="M2250" s="26">
        <v>312</v>
      </c>
      <c r="N2250" s="25">
        <f t="shared" si="71"/>
        <v>967200</v>
      </c>
      <c r="O2250" s="56">
        <v>160</v>
      </c>
    </row>
    <row r="2251" spans="1:15" hidden="1" x14ac:dyDescent="0.3">
      <c r="A2251" s="26">
        <v>30</v>
      </c>
      <c r="B2251" s="20" t="str">
        <f t="shared" si="70"/>
        <v>JUL</v>
      </c>
      <c r="C2251" s="21">
        <v>46228</v>
      </c>
      <c r="D2251" s="22" t="str">
        <f t="array" ref="D2251">IFERROR(INDEX('Kode Outlet dan Target Toko'!$A:$A,MATCH($I2251,'Kode Outlet dan Target Toko'!$E:$E,0)),"")</f>
        <v>GRSM 6</v>
      </c>
      <c r="E2251" s="20" t="str">
        <f>IFERROR(VLOOKUP(I2251,KET!$B:$F,4,0),"")</f>
        <v>WINDA</v>
      </c>
      <c r="F2251" s="20" t="str">
        <f>IFERROR(VLOOKUP(I2251,KET!$B:$F,5,0),"")</f>
        <v>GMM</v>
      </c>
      <c r="G2251" s="20">
        <f>IFERROR(INDEX('Kode Outlet dan Target Toko'!$C:$C,MATCH($I2251,'Kode Outlet dan Target Toko'!$E:$E,0)),0)</f>
        <v>211033</v>
      </c>
      <c r="H2251" s="20">
        <f>IFERROR(INDEX('Kode Outlet dan Target Toko'!$D:$D,MATCH($I2251,'Kode Outlet dan Target Toko'!$E:$E,0)),0)</f>
        <v>6467246</v>
      </c>
      <c r="I2251" s="42" t="s">
        <v>50</v>
      </c>
      <c r="J2251" s="56" t="s">
        <v>272</v>
      </c>
      <c r="K2251" s="40" t="s">
        <v>13</v>
      </c>
      <c r="L2251" s="26">
        <v>3100</v>
      </c>
      <c r="M2251" s="26">
        <v>80</v>
      </c>
      <c r="N2251" s="25">
        <f t="shared" si="71"/>
        <v>248000</v>
      </c>
      <c r="O2251" s="56"/>
    </row>
    <row r="2252" spans="1:15" hidden="1" x14ac:dyDescent="0.3">
      <c r="A2252" s="26">
        <v>30</v>
      </c>
      <c r="B2252" s="20" t="str">
        <f t="shared" si="70"/>
        <v>JUL</v>
      </c>
      <c r="C2252" s="21">
        <v>46228</v>
      </c>
      <c r="D2252" s="22" t="str">
        <f t="array" ref="D2252">IFERROR(INDEX('Kode Outlet dan Target Toko'!$A:$A,MATCH($I2252,'Kode Outlet dan Target Toko'!$E:$E,0)),"")</f>
        <v>GRSM 6</v>
      </c>
      <c r="E2252" s="20" t="str">
        <f>IFERROR(VLOOKUP(I2252,KET!$B:$F,4,0),"")</f>
        <v>WINDA</v>
      </c>
      <c r="F2252" s="20" t="str">
        <f>IFERROR(VLOOKUP(I2252,KET!$B:$F,5,0),"")</f>
        <v>GMM</v>
      </c>
      <c r="G2252" s="20">
        <f>IFERROR(INDEX('Kode Outlet dan Target Toko'!$C:$C,MATCH($I2252,'Kode Outlet dan Target Toko'!$E:$E,0)),0)</f>
        <v>211033</v>
      </c>
      <c r="H2252" s="20">
        <f>IFERROR(INDEX('Kode Outlet dan Target Toko'!$D:$D,MATCH($I2252,'Kode Outlet dan Target Toko'!$E:$E,0)),0)</f>
        <v>6467246</v>
      </c>
      <c r="I2252" s="42" t="s">
        <v>50</v>
      </c>
      <c r="J2252" s="56" t="s">
        <v>272</v>
      </c>
      <c r="K2252" s="40" t="s">
        <v>14</v>
      </c>
      <c r="L2252" s="26">
        <v>3100</v>
      </c>
      <c r="M2252" s="26">
        <v>221</v>
      </c>
      <c r="N2252" s="25">
        <f t="shared" si="71"/>
        <v>685100</v>
      </c>
      <c r="O2252" s="56"/>
    </row>
    <row r="2253" spans="1:15" hidden="1" x14ac:dyDescent="0.3">
      <c r="A2253" s="26">
        <v>30</v>
      </c>
      <c r="B2253" s="20" t="str">
        <f t="shared" si="70"/>
        <v>JUL</v>
      </c>
      <c r="C2253" s="21">
        <v>46228</v>
      </c>
      <c r="D2253" s="22" t="str">
        <f t="array" ref="D2253">IFERROR(INDEX('Kode Outlet dan Target Toko'!$A:$A,MATCH($I2253,'Kode Outlet dan Target Toko'!$E:$E,0)),"")</f>
        <v>GRSM 6</v>
      </c>
      <c r="E2253" s="20" t="str">
        <f>IFERROR(VLOOKUP(I2253,KET!$B:$F,4,0),"")</f>
        <v>WINDA</v>
      </c>
      <c r="F2253" s="20" t="str">
        <f>IFERROR(VLOOKUP(I2253,KET!$B:$F,5,0),"")</f>
        <v>GMM</v>
      </c>
      <c r="G2253" s="20">
        <f>IFERROR(INDEX('Kode Outlet dan Target Toko'!$C:$C,MATCH($I2253,'Kode Outlet dan Target Toko'!$E:$E,0)),0)</f>
        <v>211033</v>
      </c>
      <c r="H2253" s="20">
        <f>IFERROR(INDEX('Kode Outlet dan Target Toko'!$D:$D,MATCH($I2253,'Kode Outlet dan Target Toko'!$E:$E,0)),0)</f>
        <v>6467246</v>
      </c>
      <c r="I2253" s="42" t="s">
        <v>50</v>
      </c>
      <c r="J2253" s="56" t="s">
        <v>272</v>
      </c>
      <c r="K2253" s="40" t="s">
        <v>15</v>
      </c>
      <c r="L2253" s="26">
        <v>3100</v>
      </c>
      <c r="M2253" s="26">
        <v>86</v>
      </c>
      <c r="N2253" s="25">
        <f t="shared" si="71"/>
        <v>266600</v>
      </c>
      <c r="O2253" s="56"/>
    </row>
    <row r="2254" spans="1:15" hidden="1" x14ac:dyDescent="0.3">
      <c r="A2254" s="26">
        <v>30</v>
      </c>
      <c r="B2254" s="20" t="str">
        <f t="shared" si="70"/>
        <v>JUL</v>
      </c>
      <c r="C2254" s="21">
        <v>46228</v>
      </c>
      <c r="D2254" s="22" t="str">
        <f t="array" ref="D2254">IFERROR(INDEX('Kode Outlet dan Target Toko'!$A:$A,MATCH($I2254,'Kode Outlet dan Target Toko'!$E:$E,0)),"")</f>
        <v>GRSM 6</v>
      </c>
      <c r="E2254" s="20" t="str">
        <f>IFERROR(VLOOKUP(I2254,KET!$B:$F,4,0),"")</f>
        <v>WINDA</v>
      </c>
      <c r="F2254" s="20" t="str">
        <f>IFERROR(VLOOKUP(I2254,KET!$B:$F,5,0),"")</f>
        <v>GMM</v>
      </c>
      <c r="G2254" s="20">
        <f>IFERROR(INDEX('Kode Outlet dan Target Toko'!$C:$C,MATCH($I2254,'Kode Outlet dan Target Toko'!$E:$E,0)),0)</f>
        <v>211033</v>
      </c>
      <c r="H2254" s="20">
        <f>IFERROR(INDEX('Kode Outlet dan Target Toko'!$D:$D,MATCH($I2254,'Kode Outlet dan Target Toko'!$E:$E,0)),0)</f>
        <v>6467246</v>
      </c>
      <c r="I2254" s="42" t="s">
        <v>50</v>
      </c>
      <c r="J2254" s="56" t="s">
        <v>272</v>
      </c>
      <c r="K2254" s="40" t="s">
        <v>16</v>
      </c>
      <c r="L2254" s="26">
        <v>3100</v>
      </c>
      <c r="M2254" s="26">
        <v>312</v>
      </c>
      <c r="N2254" s="25">
        <f t="shared" si="71"/>
        <v>967200</v>
      </c>
      <c r="O2254" s="56">
        <v>160</v>
      </c>
    </row>
    <row r="2255" spans="1:15" hidden="1" x14ac:dyDescent="0.3">
      <c r="A2255" s="26">
        <v>30</v>
      </c>
      <c r="B2255" s="20" t="str">
        <f t="shared" si="70"/>
        <v>JUL</v>
      </c>
      <c r="C2255" s="21">
        <v>46228</v>
      </c>
      <c r="D2255" s="22" t="str">
        <f t="array" ref="D2255">IFERROR(INDEX('Kode Outlet dan Target Toko'!$A:$A,MATCH($I2255,'Kode Outlet dan Target Toko'!$E:$E,0)),"")</f>
        <v>GRSM 6</v>
      </c>
      <c r="E2255" s="20" t="str">
        <f>IFERROR(VLOOKUP(I2255,KET!$B:$F,4,0),"")</f>
        <v>WINDA</v>
      </c>
      <c r="F2255" s="20" t="str">
        <f>IFERROR(VLOOKUP(I2255,KET!$B:$F,5,0),"")</f>
        <v>GMM</v>
      </c>
      <c r="G2255" s="20">
        <f>IFERROR(INDEX('Kode Outlet dan Target Toko'!$C:$C,MATCH($I2255,'Kode Outlet dan Target Toko'!$E:$E,0)),0)</f>
        <v>211033</v>
      </c>
      <c r="H2255" s="20">
        <f>IFERROR(INDEX('Kode Outlet dan Target Toko'!$D:$D,MATCH($I2255,'Kode Outlet dan Target Toko'!$E:$E,0)),0)</f>
        <v>2001021</v>
      </c>
      <c r="I2255" s="42" t="s">
        <v>66</v>
      </c>
      <c r="J2255" s="56" t="s">
        <v>283</v>
      </c>
      <c r="K2255" s="40" t="s">
        <v>13</v>
      </c>
      <c r="L2255" s="26">
        <v>3000</v>
      </c>
      <c r="M2255" s="26">
        <v>109</v>
      </c>
      <c r="N2255" s="25">
        <f t="shared" si="71"/>
        <v>327000</v>
      </c>
      <c r="O2255" s="56"/>
    </row>
    <row r="2256" spans="1:15" hidden="1" x14ac:dyDescent="0.3">
      <c r="A2256" s="26">
        <v>30</v>
      </c>
      <c r="B2256" s="20" t="str">
        <f t="shared" si="70"/>
        <v>JUL</v>
      </c>
      <c r="C2256" s="21">
        <v>46228</v>
      </c>
      <c r="D2256" s="22" t="str">
        <f t="array" ref="D2256">IFERROR(INDEX('Kode Outlet dan Target Toko'!$A:$A,MATCH($I2256,'Kode Outlet dan Target Toko'!$E:$E,0)),"")</f>
        <v>GRSM 6</v>
      </c>
      <c r="E2256" s="20" t="str">
        <f>IFERROR(VLOOKUP(I2256,KET!$B:$F,4,0),"")</f>
        <v>WINDA</v>
      </c>
      <c r="F2256" s="20" t="str">
        <f>IFERROR(VLOOKUP(I2256,KET!$B:$F,5,0),"")</f>
        <v>GMM</v>
      </c>
      <c r="G2256" s="20">
        <f>IFERROR(INDEX('Kode Outlet dan Target Toko'!$C:$C,MATCH($I2256,'Kode Outlet dan Target Toko'!$E:$E,0)),0)</f>
        <v>211033</v>
      </c>
      <c r="H2256" s="20">
        <f>IFERROR(INDEX('Kode Outlet dan Target Toko'!$D:$D,MATCH($I2256,'Kode Outlet dan Target Toko'!$E:$E,0)),0)</f>
        <v>2001021</v>
      </c>
      <c r="I2256" s="42" t="s">
        <v>66</v>
      </c>
      <c r="J2256" s="56" t="s">
        <v>283</v>
      </c>
      <c r="K2256" s="40" t="s">
        <v>14</v>
      </c>
      <c r="L2256" s="26">
        <v>3000</v>
      </c>
      <c r="M2256" s="26">
        <v>36</v>
      </c>
      <c r="N2256" s="25">
        <f t="shared" si="71"/>
        <v>108000</v>
      </c>
      <c r="O2256" s="56"/>
    </row>
    <row r="2257" spans="1:15" hidden="1" x14ac:dyDescent="0.3">
      <c r="A2257" s="26">
        <v>30</v>
      </c>
      <c r="B2257" s="20" t="str">
        <f t="shared" si="70"/>
        <v>JUL</v>
      </c>
      <c r="C2257" s="21">
        <v>46228</v>
      </c>
      <c r="D2257" s="22" t="str">
        <f t="array" ref="D2257">IFERROR(INDEX('Kode Outlet dan Target Toko'!$A:$A,MATCH($I2257,'Kode Outlet dan Target Toko'!$E:$E,0)),"")</f>
        <v>GRSM 6</v>
      </c>
      <c r="E2257" s="20" t="str">
        <f>IFERROR(VLOOKUP(I2257,KET!$B:$F,4,0),"")</f>
        <v>WINDA</v>
      </c>
      <c r="F2257" s="20" t="str">
        <f>IFERROR(VLOOKUP(I2257,KET!$B:$F,5,0),"")</f>
        <v>GMM</v>
      </c>
      <c r="G2257" s="20">
        <f>IFERROR(INDEX('Kode Outlet dan Target Toko'!$C:$C,MATCH($I2257,'Kode Outlet dan Target Toko'!$E:$E,0)),0)</f>
        <v>211033</v>
      </c>
      <c r="H2257" s="20">
        <f>IFERROR(INDEX('Kode Outlet dan Target Toko'!$D:$D,MATCH($I2257,'Kode Outlet dan Target Toko'!$E:$E,0)),0)</f>
        <v>2001021</v>
      </c>
      <c r="I2257" s="42" t="s">
        <v>66</v>
      </c>
      <c r="J2257" s="56" t="s">
        <v>283</v>
      </c>
      <c r="K2257" s="40" t="s">
        <v>15</v>
      </c>
      <c r="L2257" s="26">
        <v>3000</v>
      </c>
      <c r="M2257" s="26">
        <v>79</v>
      </c>
      <c r="N2257" s="25">
        <f t="shared" si="71"/>
        <v>237000</v>
      </c>
      <c r="O2257" s="56"/>
    </row>
    <row r="2258" spans="1:15" hidden="1" x14ac:dyDescent="0.3">
      <c r="A2258" s="26">
        <v>30</v>
      </c>
      <c r="B2258" s="20" t="str">
        <f t="shared" si="70"/>
        <v>JUL</v>
      </c>
      <c r="C2258" s="21">
        <v>46228</v>
      </c>
      <c r="D2258" s="22" t="str">
        <f t="array" ref="D2258">IFERROR(INDEX('Kode Outlet dan Target Toko'!$A:$A,MATCH($I2258,'Kode Outlet dan Target Toko'!$E:$E,0)),"")</f>
        <v>GRSM 6</v>
      </c>
      <c r="E2258" s="20" t="str">
        <f>IFERROR(VLOOKUP(I2258,KET!$B:$F,4,0),"")</f>
        <v>WINDA</v>
      </c>
      <c r="F2258" s="20" t="str">
        <f>IFERROR(VLOOKUP(I2258,KET!$B:$F,5,0),"")</f>
        <v>GMM</v>
      </c>
      <c r="G2258" s="20">
        <f>IFERROR(INDEX('Kode Outlet dan Target Toko'!$C:$C,MATCH($I2258,'Kode Outlet dan Target Toko'!$E:$E,0)),0)</f>
        <v>211033</v>
      </c>
      <c r="H2258" s="20">
        <f>IFERROR(INDEX('Kode Outlet dan Target Toko'!$D:$D,MATCH($I2258,'Kode Outlet dan Target Toko'!$E:$E,0)),0)</f>
        <v>2001021</v>
      </c>
      <c r="I2258" s="42" t="s">
        <v>66</v>
      </c>
      <c r="J2258" s="56" t="s">
        <v>283</v>
      </c>
      <c r="K2258" s="40" t="s">
        <v>16</v>
      </c>
      <c r="L2258" s="26">
        <v>3000</v>
      </c>
      <c r="M2258" s="26">
        <v>235</v>
      </c>
      <c r="N2258" s="25">
        <f t="shared" si="71"/>
        <v>705000</v>
      </c>
      <c r="O2258" s="56"/>
    </row>
    <row r="2259" spans="1:15" hidden="1" x14ac:dyDescent="0.3">
      <c r="A2259" s="26">
        <v>30</v>
      </c>
      <c r="B2259" s="20" t="str">
        <f t="shared" si="70"/>
        <v>JUL</v>
      </c>
      <c r="C2259" s="21">
        <v>46228</v>
      </c>
      <c r="D2259" s="22" t="str">
        <f t="array" ref="D2259">IFERROR(INDEX('Kode Outlet dan Target Toko'!$A:$A,MATCH($I2259,'Kode Outlet dan Target Toko'!$E:$E,0)),"")</f>
        <v>GRSM 6</v>
      </c>
      <c r="E2259" s="20" t="str">
        <f>IFERROR(VLOOKUP(I2259,KET!$B:$F,4,0),"")</f>
        <v>WINDA</v>
      </c>
      <c r="F2259" s="20" t="str">
        <f>IFERROR(VLOOKUP(I2259,KET!$B:$F,5,0),"")</f>
        <v>GMM</v>
      </c>
      <c r="G2259" s="20">
        <f>IFERROR(INDEX('Kode Outlet dan Target Toko'!$C:$C,MATCH($I2259,'Kode Outlet dan Target Toko'!$E:$E,0)),0)</f>
        <v>211033</v>
      </c>
      <c r="H2259" s="20">
        <f>IFERROR(INDEX('Kode Outlet dan Target Toko'!$D:$D,MATCH($I2259,'Kode Outlet dan Target Toko'!$E:$E,0)),0)</f>
        <v>2001021</v>
      </c>
      <c r="I2259" s="42" t="s">
        <v>66</v>
      </c>
      <c r="J2259" s="56" t="s">
        <v>284</v>
      </c>
      <c r="K2259" s="40" t="s">
        <v>13</v>
      </c>
      <c r="L2259" s="26">
        <v>3000</v>
      </c>
      <c r="M2259" s="26">
        <v>109</v>
      </c>
      <c r="N2259" s="25">
        <f t="shared" si="71"/>
        <v>327000</v>
      </c>
      <c r="O2259" s="56"/>
    </row>
    <row r="2260" spans="1:15" hidden="1" x14ac:dyDescent="0.3">
      <c r="A2260" s="26">
        <v>30</v>
      </c>
      <c r="B2260" s="20" t="str">
        <f t="shared" si="70"/>
        <v>JUL</v>
      </c>
      <c r="C2260" s="21">
        <v>46228</v>
      </c>
      <c r="D2260" s="22" t="str">
        <f t="array" ref="D2260">IFERROR(INDEX('Kode Outlet dan Target Toko'!$A:$A,MATCH($I2260,'Kode Outlet dan Target Toko'!$E:$E,0)),"")</f>
        <v>GRSM 6</v>
      </c>
      <c r="E2260" s="20" t="str">
        <f>IFERROR(VLOOKUP(I2260,KET!$B:$F,4,0),"")</f>
        <v>WINDA</v>
      </c>
      <c r="F2260" s="20" t="str">
        <f>IFERROR(VLOOKUP(I2260,KET!$B:$F,5,0),"")</f>
        <v>GMM</v>
      </c>
      <c r="G2260" s="20">
        <f>IFERROR(INDEX('Kode Outlet dan Target Toko'!$C:$C,MATCH($I2260,'Kode Outlet dan Target Toko'!$E:$E,0)),0)</f>
        <v>211033</v>
      </c>
      <c r="H2260" s="20">
        <f>IFERROR(INDEX('Kode Outlet dan Target Toko'!$D:$D,MATCH($I2260,'Kode Outlet dan Target Toko'!$E:$E,0)),0)</f>
        <v>2001021</v>
      </c>
      <c r="I2260" s="42" t="s">
        <v>66</v>
      </c>
      <c r="J2260" s="56" t="s">
        <v>284</v>
      </c>
      <c r="K2260" s="40" t="s">
        <v>14</v>
      </c>
      <c r="L2260" s="26">
        <v>3000</v>
      </c>
      <c r="M2260" s="26">
        <v>36</v>
      </c>
      <c r="N2260" s="25">
        <f t="shared" si="71"/>
        <v>108000</v>
      </c>
      <c r="O2260" s="56"/>
    </row>
    <row r="2261" spans="1:15" hidden="1" x14ac:dyDescent="0.3">
      <c r="A2261" s="26">
        <v>30</v>
      </c>
      <c r="B2261" s="20" t="str">
        <f t="shared" si="70"/>
        <v>JUL</v>
      </c>
      <c r="C2261" s="21">
        <v>46228</v>
      </c>
      <c r="D2261" s="22" t="str">
        <f t="array" ref="D2261">IFERROR(INDEX('Kode Outlet dan Target Toko'!$A:$A,MATCH($I2261,'Kode Outlet dan Target Toko'!$E:$E,0)),"")</f>
        <v>GRSM 6</v>
      </c>
      <c r="E2261" s="20" t="str">
        <f>IFERROR(VLOOKUP(I2261,KET!$B:$F,4,0),"")</f>
        <v>WINDA</v>
      </c>
      <c r="F2261" s="20" t="str">
        <f>IFERROR(VLOOKUP(I2261,KET!$B:$F,5,0),"")</f>
        <v>GMM</v>
      </c>
      <c r="G2261" s="20">
        <f>IFERROR(INDEX('Kode Outlet dan Target Toko'!$C:$C,MATCH($I2261,'Kode Outlet dan Target Toko'!$E:$E,0)),0)</f>
        <v>211033</v>
      </c>
      <c r="H2261" s="20">
        <f>IFERROR(INDEX('Kode Outlet dan Target Toko'!$D:$D,MATCH($I2261,'Kode Outlet dan Target Toko'!$E:$E,0)),0)</f>
        <v>2001021</v>
      </c>
      <c r="I2261" s="42" t="s">
        <v>66</v>
      </c>
      <c r="J2261" s="56" t="s">
        <v>284</v>
      </c>
      <c r="K2261" s="40" t="s">
        <v>15</v>
      </c>
      <c r="L2261" s="26">
        <v>3000</v>
      </c>
      <c r="M2261" s="26">
        <v>79</v>
      </c>
      <c r="N2261" s="25">
        <f t="shared" si="71"/>
        <v>237000</v>
      </c>
      <c r="O2261" s="56"/>
    </row>
    <row r="2262" spans="1:15" hidden="1" x14ac:dyDescent="0.3">
      <c r="A2262" s="26">
        <v>30</v>
      </c>
      <c r="B2262" s="20" t="str">
        <f t="shared" si="70"/>
        <v>JUL</v>
      </c>
      <c r="C2262" s="21">
        <v>46228</v>
      </c>
      <c r="D2262" s="22" t="str">
        <f t="array" ref="D2262">IFERROR(INDEX('Kode Outlet dan Target Toko'!$A:$A,MATCH($I2262,'Kode Outlet dan Target Toko'!$E:$E,0)),"")</f>
        <v>GRSM 6</v>
      </c>
      <c r="E2262" s="20" t="str">
        <f>IFERROR(VLOOKUP(I2262,KET!$B:$F,4,0),"")</f>
        <v>WINDA</v>
      </c>
      <c r="F2262" s="20" t="str">
        <f>IFERROR(VLOOKUP(I2262,KET!$B:$F,5,0),"")</f>
        <v>GMM</v>
      </c>
      <c r="G2262" s="20">
        <f>IFERROR(INDEX('Kode Outlet dan Target Toko'!$C:$C,MATCH($I2262,'Kode Outlet dan Target Toko'!$E:$E,0)),0)</f>
        <v>211033</v>
      </c>
      <c r="H2262" s="20">
        <f>IFERROR(INDEX('Kode Outlet dan Target Toko'!$D:$D,MATCH($I2262,'Kode Outlet dan Target Toko'!$E:$E,0)),0)</f>
        <v>2001021</v>
      </c>
      <c r="I2262" s="42" t="s">
        <v>66</v>
      </c>
      <c r="J2262" s="56" t="s">
        <v>284</v>
      </c>
      <c r="K2262" s="40" t="s">
        <v>16</v>
      </c>
      <c r="L2262" s="26">
        <v>3000</v>
      </c>
      <c r="M2262" s="26">
        <v>235</v>
      </c>
      <c r="N2262" s="25">
        <f t="shared" si="71"/>
        <v>705000</v>
      </c>
      <c r="O2262" s="56"/>
    </row>
    <row r="2263" spans="1:15" hidden="1" x14ac:dyDescent="0.3">
      <c r="A2263" s="26">
        <v>30</v>
      </c>
      <c r="B2263" s="20" t="str">
        <f t="shared" si="70"/>
        <v>JUL</v>
      </c>
      <c r="C2263" s="21">
        <v>46228</v>
      </c>
      <c r="D2263" s="22" t="str">
        <f t="array" ref="D2263">IFERROR(INDEX('Kode Outlet dan Target Toko'!$A:$A,MATCH($I2263,'Kode Outlet dan Target Toko'!$E:$E,0)),"")</f>
        <v>GRSM 6</v>
      </c>
      <c r="E2263" s="20" t="str">
        <f>IFERROR(VLOOKUP(I2263,KET!$B:$F,4,0),"")</f>
        <v>WINDA</v>
      </c>
      <c r="F2263" s="20" t="str">
        <f>IFERROR(VLOOKUP(I2263,KET!$B:$F,5,0),"")</f>
        <v>GMM</v>
      </c>
      <c r="G2263" s="20">
        <f>IFERROR(INDEX('Kode Outlet dan Target Toko'!$C:$C,MATCH($I2263,'Kode Outlet dan Target Toko'!$E:$E,0)),0)</f>
        <v>103765</v>
      </c>
      <c r="H2263" s="20">
        <f>IFERROR(INDEX('Kode Outlet dan Target Toko'!$D:$D,MATCH($I2263,'Kode Outlet dan Target Toko'!$E:$E,0)),0)</f>
        <v>4305267</v>
      </c>
      <c r="I2263" s="42" t="s">
        <v>54</v>
      </c>
      <c r="J2263" s="56" t="s">
        <v>278</v>
      </c>
      <c r="K2263" s="40" t="s">
        <v>13</v>
      </c>
      <c r="L2263" s="26">
        <v>3000</v>
      </c>
      <c r="M2263" s="26">
        <v>30</v>
      </c>
      <c r="N2263" s="25">
        <f t="shared" si="71"/>
        <v>90000</v>
      </c>
      <c r="O2263" s="56"/>
    </row>
    <row r="2264" spans="1:15" hidden="1" x14ac:dyDescent="0.3">
      <c r="A2264" s="26">
        <v>30</v>
      </c>
      <c r="B2264" s="20" t="str">
        <f t="shared" si="70"/>
        <v>JUL</v>
      </c>
      <c r="C2264" s="21">
        <v>46228</v>
      </c>
      <c r="D2264" s="22" t="str">
        <f t="array" ref="D2264">IFERROR(INDEX('Kode Outlet dan Target Toko'!$A:$A,MATCH($I2264,'Kode Outlet dan Target Toko'!$E:$E,0)),"")</f>
        <v>GRSM 6</v>
      </c>
      <c r="E2264" s="20" t="str">
        <f>IFERROR(VLOOKUP(I2264,KET!$B:$F,4,0),"")</f>
        <v>WINDA</v>
      </c>
      <c r="F2264" s="20" t="str">
        <f>IFERROR(VLOOKUP(I2264,KET!$B:$F,5,0),"")</f>
        <v>GMM</v>
      </c>
      <c r="G2264" s="20">
        <f>IFERROR(INDEX('Kode Outlet dan Target Toko'!$C:$C,MATCH($I2264,'Kode Outlet dan Target Toko'!$E:$E,0)),0)</f>
        <v>103765</v>
      </c>
      <c r="H2264" s="20">
        <f>IFERROR(INDEX('Kode Outlet dan Target Toko'!$D:$D,MATCH($I2264,'Kode Outlet dan Target Toko'!$E:$E,0)),0)</f>
        <v>4305267</v>
      </c>
      <c r="I2264" s="42" t="s">
        <v>54</v>
      </c>
      <c r="J2264" s="56" t="s">
        <v>278</v>
      </c>
      <c r="K2264" s="40" t="s">
        <v>14</v>
      </c>
      <c r="L2264" s="26">
        <v>3000</v>
      </c>
      <c r="M2264" s="26">
        <v>120</v>
      </c>
      <c r="N2264" s="25">
        <f t="shared" si="71"/>
        <v>360000</v>
      </c>
      <c r="O2264" s="56"/>
    </row>
    <row r="2265" spans="1:15" hidden="1" x14ac:dyDescent="0.3">
      <c r="A2265" s="26">
        <v>30</v>
      </c>
      <c r="B2265" s="20" t="str">
        <f t="shared" si="70"/>
        <v>JUL</v>
      </c>
      <c r="C2265" s="21">
        <v>46228</v>
      </c>
      <c r="D2265" s="22" t="str">
        <f t="array" ref="D2265">IFERROR(INDEX('Kode Outlet dan Target Toko'!$A:$A,MATCH($I2265,'Kode Outlet dan Target Toko'!$E:$E,0)),"")</f>
        <v>GRSM 6</v>
      </c>
      <c r="E2265" s="20" t="str">
        <f>IFERROR(VLOOKUP(I2265,KET!$B:$F,4,0),"")</f>
        <v>WINDA</v>
      </c>
      <c r="F2265" s="20" t="str">
        <f>IFERROR(VLOOKUP(I2265,KET!$B:$F,5,0),"")</f>
        <v>GMM</v>
      </c>
      <c r="G2265" s="20">
        <f>IFERROR(INDEX('Kode Outlet dan Target Toko'!$C:$C,MATCH($I2265,'Kode Outlet dan Target Toko'!$E:$E,0)),0)</f>
        <v>103765</v>
      </c>
      <c r="H2265" s="20">
        <f>IFERROR(INDEX('Kode Outlet dan Target Toko'!$D:$D,MATCH($I2265,'Kode Outlet dan Target Toko'!$E:$E,0)),0)</f>
        <v>4305267</v>
      </c>
      <c r="I2265" s="42" t="s">
        <v>54</v>
      </c>
      <c r="J2265" s="56" t="s">
        <v>278</v>
      </c>
      <c r="K2265" s="40" t="s">
        <v>15</v>
      </c>
      <c r="L2265" s="26">
        <v>3000</v>
      </c>
      <c r="M2265" s="26">
        <v>130</v>
      </c>
      <c r="N2265" s="25">
        <f t="shared" si="71"/>
        <v>390000</v>
      </c>
      <c r="O2265" s="56"/>
    </row>
    <row r="2266" spans="1:15" hidden="1" x14ac:dyDescent="0.3">
      <c r="A2266" s="26">
        <v>30</v>
      </c>
      <c r="B2266" s="20" t="str">
        <f t="shared" si="70"/>
        <v>JUL</v>
      </c>
      <c r="C2266" s="21">
        <v>46228</v>
      </c>
      <c r="D2266" s="22" t="str">
        <f t="array" ref="D2266">IFERROR(INDEX('Kode Outlet dan Target Toko'!$A:$A,MATCH($I2266,'Kode Outlet dan Target Toko'!$E:$E,0)),"")</f>
        <v>GRSM 6</v>
      </c>
      <c r="E2266" s="20" t="str">
        <f>IFERROR(VLOOKUP(I2266,KET!$B:$F,4,0),"")</f>
        <v>WINDA</v>
      </c>
      <c r="F2266" s="20" t="str">
        <f>IFERROR(VLOOKUP(I2266,KET!$B:$F,5,0),"")</f>
        <v>GMM</v>
      </c>
      <c r="G2266" s="20">
        <f>IFERROR(INDEX('Kode Outlet dan Target Toko'!$C:$C,MATCH($I2266,'Kode Outlet dan Target Toko'!$E:$E,0)),0)</f>
        <v>103765</v>
      </c>
      <c r="H2266" s="20">
        <f>IFERROR(INDEX('Kode Outlet dan Target Toko'!$D:$D,MATCH($I2266,'Kode Outlet dan Target Toko'!$E:$E,0)),0)</f>
        <v>4305267</v>
      </c>
      <c r="I2266" s="42" t="s">
        <v>54</v>
      </c>
      <c r="J2266" s="56" t="s">
        <v>278</v>
      </c>
      <c r="K2266" s="40" t="s">
        <v>16</v>
      </c>
      <c r="L2266" s="26">
        <v>3000</v>
      </c>
      <c r="M2266" s="26">
        <v>215</v>
      </c>
      <c r="N2266" s="25">
        <f t="shared" si="71"/>
        <v>645000</v>
      </c>
      <c r="O2266" s="56"/>
    </row>
    <row r="2267" spans="1:15" hidden="1" x14ac:dyDescent="0.3">
      <c r="A2267" s="26">
        <v>30</v>
      </c>
      <c r="B2267" s="20" t="str">
        <f t="shared" si="70"/>
        <v>JUL</v>
      </c>
      <c r="C2267" s="21">
        <v>46228</v>
      </c>
      <c r="D2267" s="22" t="str">
        <f t="array" ref="D2267">IFERROR(INDEX('Kode Outlet dan Target Toko'!$A:$A,MATCH($I2267,'Kode Outlet dan Target Toko'!$E:$E,0)),"")</f>
        <v>GRSM 6</v>
      </c>
      <c r="E2267" s="20" t="str">
        <f>IFERROR(VLOOKUP(I2267,KET!$B:$F,4,0),"")</f>
        <v>WINDA</v>
      </c>
      <c r="F2267" s="20" t="str">
        <f>IFERROR(VLOOKUP(I2267,KET!$B:$F,5,0),"")</f>
        <v>GMM</v>
      </c>
      <c r="G2267" s="20">
        <f>IFERROR(INDEX('Kode Outlet dan Target Toko'!$C:$C,MATCH($I2267,'Kode Outlet dan Target Toko'!$E:$E,0)),0)</f>
        <v>103765</v>
      </c>
      <c r="H2267" s="20">
        <f>IFERROR(INDEX('Kode Outlet dan Target Toko'!$D:$D,MATCH($I2267,'Kode Outlet dan Target Toko'!$E:$E,0)),0)</f>
        <v>4305267</v>
      </c>
      <c r="I2267" s="42" t="s">
        <v>54</v>
      </c>
      <c r="J2267" s="56" t="s">
        <v>277</v>
      </c>
      <c r="K2267" s="40" t="s">
        <v>13</v>
      </c>
      <c r="L2267" s="26">
        <v>3000</v>
      </c>
      <c r="M2267" s="26">
        <v>30</v>
      </c>
      <c r="N2267" s="25">
        <f t="shared" si="71"/>
        <v>90000</v>
      </c>
      <c r="O2267" s="56"/>
    </row>
    <row r="2268" spans="1:15" hidden="1" x14ac:dyDescent="0.3">
      <c r="A2268" s="26">
        <v>30</v>
      </c>
      <c r="B2268" s="20" t="str">
        <f t="shared" si="70"/>
        <v>JUL</v>
      </c>
      <c r="C2268" s="21">
        <v>46228</v>
      </c>
      <c r="D2268" s="22" t="str">
        <f t="array" ref="D2268">IFERROR(INDEX('Kode Outlet dan Target Toko'!$A:$A,MATCH($I2268,'Kode Outlet dan Target Toko'!$E:$E,0)),"")</f>
        <v>GRSM 6</v>
      </c>
      <c r="E2268" s="20" t="str">
        <f>IFERROR(VLOOKUP(I2268,KET!$B:$F,4,0),"")</f>
        <v>WINDA</v>
      </c>
      <c r="F2268" s="20" t="str">
        <f>IFERROR(VLOOKUP(I2268,KET!$B:$F,5,0),"")</f>
        <v>GMM</v>
      </c>
      <c r="G2268" s="20">
        <f>IFERROR(INDEX('Kode Outlet dan Target Toko'!$C:$C,MATCH($I2268,'Kode Outlet dan Target Toko'!$E:$E,0)),0)</f>
        <v>103765</v>
      </c>
      <c r="H2268" s="20">
        <f>IFERROR(INDEX('Kode Outlet dan Target Toko'!$D:$D,MATCH($I2268,'Kode Outlet dan Target Toko'!$E:$E,0)),0)</f>
        <v>4305267</v>
      </c>
      <c r="I2268" s="42" t="s">
        <v>54</v>
      </c>
      <c r="J2268" s="56" t="s">
        <v>277</v>
      </c>
      <c r="K2268" s="40" t="s">
        <v>14</v>
      </c>
      <c r="L2268" s="26">
        <v>3000</v>
      </c>
      <c r="M2268" s="26">
        <v>120</v>
      </c>
      <c r="N2268" s="25">
        <f t="shared" si="71"/>
        <v>360000</v>
      </c>
      <c r="O2268" s="56"/>
    </row>
    <row r="2269" spans="1:15" hidden="1" x14ac:dyDescent="0.3">
      <c r="A2269" s="26">
        <v>30</v>
      </c>
      <c r="B2269" s="20" t="str">
        <f t="shared" si="70"/>
        <v>JUL</v>
      </c>
      <c r="C2269" s="21">
        <v>46228</v>
      </c>
      <c r="D2269" s="22" t="str">
        <f t="array" ref="D2269">IFERROR(INDEX('Kode Outlet dan Target Toko'!$A:$A,MATCH($I2269,'Kode Outlet dan Target Toko'!$E:$E,0)),"")</f>
        <v>GRSM 6</v>
      </c>
      <c r="E2269" s="20" t="str">
        <f>IFERROR(VLOOKUP(I2269,KET!$B:$F,4,0),"")</f>
        <v>WINDA</v>
      </c>
      <c r="F2269" s="20" t="str">
        <f>IFERROR(VLOOKUP(I2269,KET!$B:$F,5,0),"")</f>
        <v>GMM</v>
      </c>
      <c r="G2269" s="20">
        <f>IFERROR(INDEX('Kode Outlet dan Target Toko'!$C:$C,MATCH($I2269,'Kode Outlet dan Target Toko'!$E:$E,0)),0)</f>
        <v>103765</v>
      </c>
      <c r="H2269" s="20">
        <f>IFERROR(INDEX('Kode Outlet dan Target Toko'!$D:$D,MATCH($I2269,'Kode Outlet dan Target Toko'!$E:$E,0)),0)</f>
        <v>4305267</v>
      </c>
      <c r="I2269" s="42" t="s">
        <v>54</v>
      </c>
      <c r="J2269" s="56" t="s">
        <v>277</v>
      </c>
      <c r="K2269" s="40" t="s">
        <v>15</v>
      </c>
      <c r="L2269" s="26">
        <v>3000</v>
      </c>
      <c r="M2269" s="26">
        <v>130</v>
      </c>
      <c r="N2269" s="25">
        <f t="shared" si="71"/>
        <v>390000</v>
      </c>
      <c r="O2269" s="56"/>
    </row>
    <row r="2270" spans="1:15" hidden="1" x14ac:dyDescent="0.3">
      <c r="A2270" s="26">
        <v>30</v>
      </c>
      <c r="B2270" s="20" t="str">
        <f t="shared" si="70"/>
        <v>JUL</v>
      </c>
      <c r="C2270" s="21">
        <v>46228</v>
      </c>
      <c r="D2270" s="22" t="str">
        <f t="array" ref="D2270">IFERROR(INDEX('Kode Outlet dan Target Toko'!$A:$A,MATCH($I2270,'Kode Outlet dan Target Toko'!$E:$E,0)),"")</f>
        <v>GRSM 6</v>
      </c>
      <c r="E2270" s="20" t="str">
        <f>IFERROR(VLOOKUP(I2270,KET!$B:$F,4,0),"")</f>
        <v>WINDA</v>
      </c>
      <c r="F2270" s="20" t="str">
        <f>IFERROR(VLOOKUP(I2270,KET!$B:$F,5,0),"")</f>
        <v>GMM</v>
      </c>
      <c r="G2270" s="20">
        <f>IFERROR(INDEX('Kode Outlet dan Target Toko'!$C:$C,MATCH($I2270,'Kode Outlet dan Target Toko'!$E:$E,0)),0)</f>
        <v>103765</v>
      </c>
      <c r="H2270" s="20">
        <f>IFERROR(INDEX('Kode Outlet dan Target Toko'!$D:$D,MATCH($I2270,'Kode Outlet dan Target Toko'!$E:$E,0)),0)</f>
        <v>4305267</v>
      </c>
      <c r="I2270" s="42" t="s">
        <v>54</v>
      </c>
      <c r="J2270" s="56" t="s">
        <v>277</v>
      </c>
      <c r="K2270" s="40" t="s">
        <v>16</v>
      </c>
      <c r="L2270" s="26">
        <v>3000</v>
      </c>
      <c r="M2270" s="26">
        <v>215</v>
      </c>
      <c r="N2270" s="25">
        <f t="shared" si="71"/>
        <v>645000</v>
      </c>
      <c r="O2270" s="56"/>
    </row>
    <row r="2271" spans="1:15" hidden="1" x14ac:dyDescent="0.3">
      <c r="A2271" s="26">
        <v>30</v>
      </c>
      <c r="B2271" s="20" t="str">
        <f t="shared" si="70"/>
        <v>JUL</v>
      </c>
      <c r="C2271" s="21">
        <v>46229</v>
      </c>
      <c r="D2271" s="22" t="str">
        <f t="array" ref="D2271">IFERROR(INDEX('Kode Outlet dan Target Toko'!$A:$A,MATCH($I2271,'Kode Outlet dan Target Toko'!$E:$E,0)),"")</f>
        <v>GRSM 6</v>
      </c>
      <c r="E2271" s="20" t="str">
        <f>IFERROR(VLOOKUP(I2271,KET!$B:$F,4,0),"")</f>
        <v>WINDA</v>
      </c>
      <c r="F2271" s="20" t="str">
        <f>IFERROR(VLOOKUP(I2271,KET!$B:$F,5,0),"")</f>
        <v>GMM</v>
      </c>
      <c r="G2271" s="20">
        <f>IFERROR(INDEX('Kode Outlet dan Target Toko'!$C:$C,MATCH($I2271,'Kode Outlet dan Target Toko'!$E:$E,0)),0)</f>
        <v>211163</v>
      </c>
      <c r="H2271" s="20">
        <f>IFERROR(INDEX('Kode Outlet dan Target Toko'!$D:$D,MATCH($I2271,'Kode Outlet dan Target Toko'!$E:$E,0)),0)</f>
        <v>3703215</v>
      </c>
      <c r="I2271" s="42" t="s">
        <v>53</v>
      </c>
      <c r="J2271" s="56" t="s">
        <v>275</v>
      </c>
      <c r="K2271" s="40" t="s">
        <v>13</v>
      </c>
      <c r="L2271" s="26">
        <v>3000</v>
      </c>
      <c r="M2271" s="26">
        <v>0</v>
      </c>
      <c r="N2271" s="25">
        <f t="shared" si="71"/>
        <v>0</v>
      </c>
      <c r="O2271" s="56"/>
    </row>
    <row r="2272" spans="1:15" hidden="1" x14ac:dyDescent="0.3">
      <c r="A2272" s="26">
        <v>30</v>
      </c>
      <c r="B2272" s="20" t="str">
        <f t="shared" si="70"/>
        <v>JUL</v>
      </c>
      <c r="C2272" s="21">
        <v>46229</v>
      </c>
      <c r="D2272" s="22" t="str">
        <f t="array" ref="D2272">IFERROR(INDEX('Kode Outlet dan Target Toko'!$A:$A,MATCH($I2272,'Kode Outlet dan Target Toko'!$E:$E,0)),"")</f>
        <v>GRSM 6</v>
      </c>
      <c r="E2272" s="20" t="str">
        <f>IFERROR(VLOOKUP(I2272,KET!$B:$F,4,0),"")</f>
        <v>WINDA</v>
      </c>
      <c r="F2272" s="20" t="str">
        <f>IFERROR(VLOOKUP(I2272,KET!$B:$F,5,0),"")</f>
        <v>GMM</v>
      </c>
      <c r="G2272" s="20">
        <f>IFERROR(INDEX('Kode Outlet dan Target Toko'!$C:$C,MATCH($I2272,'Kode Outlet dan Target Toko'!$E:$E,0)),0)</f>
        <v>211163</v>
      </c>
      <c r="H2272" s="20">
        <f>IFERROR(INDEX('Kode Outlet dan Target Toko'!$D:$D,MATCH($I2272,'Kode Outlet dan Target Toko'!$E:$E,0)),0)</f>
        <v>3703215</v>
      </c>
      <c r="I2272" s="42" t="s">
        <v>53</v>
      </c>
      <c r="J2272" s="56" t="s">
        <v>275</v>
      </c>
      <c r="K2272" s="40" t="s">
        <v>14</v>
      </c>
      <c r="L2272" s="26">
        <v>3000</v>
      </c>
      <c r="M2272" s="26">
        <v>129</v>
      </c>
      <c r="N2272" s="25">
        <f t="shared" si="71"/>
        <v>387000</v>
      </c>
      <c r="O2272" s="56"/>
    </row>
    <row r="2273" spans="1:15" hidden="1" x14ac:dyDescent="0.3">
      <c r="A2273" s="26">
        <v>30</v>
      </c>
      <c r="B2273" s="20" t="str">
        <f t="shared" si="70"/>
        <v>JUL</v>
      </c>
      <c r="C2273" s="21">
        <v>46229</v>
      </c>
      <c r="D2273" s="22" t="str">
        <f t="array" ref="D2273">IFERROR(INDEX('Kode Outlet dan Target Toko'!$A:$A,MATCH($I2273,'Kode Outlet dan Target Toko'!$E:$E,0)),"")</f>
        <v>GRSM 6</v>
      </c>
      <c r="E2273" s="20" t="str">
        <f>IFERROR(VLOOKUP(I2273,KET!$B:$F,4,0),"")</f>
        <v>WINDA</v>
      </c>
      <c r="F2273" s="20" t="str">
        <f>IFERROR(VLOOKUP(I2273,KET!$B:$F,5,0),"")</f>
        <v>GMM</v>
      </c>
      <c r="G2273" s="20">
        <f>IFERROR(INDEX('Kode Outlet dan Target Toko'!$C:$C,MATCH($I2273,'Kode Outlet dan Target Toko'!$E:$E,0)),0)</f>
        <v>211163</v>
      </c>
      <c r="H2273" s="20">
        <f>IFERROR(INDEX('Kode Outlet dan Target Toko'!$D:$D,MATCH($I2273,'Kode Outlet dan Target Toko'!$E:$E,0)),0)</f>
        <v>3703215</v>
      </c>
      <c r="I2273" s="42" t="s">
        <v>53</v>
      </c>
      <c r="J2273" s="56" t="s">
        <v>275</v>
      </c>
      <c r="K2273" s="40" t="s">
        <v>15</v>
      </c>
      <c r="L2273" s="26">
        <v>3000</v>
      </c>
      <c r="M2273" s="26">
        <v>109</v>
      </c>
      <c r="N2273" s="25">
        <f t="shared" si="71"/>
        <v>327000</v>
      </c>
      <c r="O2273" s="56"/>
    </row>
    <row r="2274" spans="1:15" hidden="1" x14ac:dyDescent="0.3">
      <c r="A2274" s="26">
        <v>30</v>
      </c>
      <c r="B2274" s="20" t="str">
        <f t="shared" si="70"/>
        <v>JUL</v>
      </c>
      <c r="C2274" s="21">
        <v>46229</v>
      </c>
      <c r="D2274" s="22" t="str">
        <f t="array" ref="D2274">IFERROR(INDEX('Kode Outlet dan Target Toko'!$A:$A,MATCH($I2274,'Kode Outlet dan Target Toko'!$E:$E,0)),"")</f>
        <v>GRSM 6</v>
      </c>
      <c r="E2274" s="20" t="str">
        <f>IFERROR(VLOOKUP(I2274,KET!$B:$F,4,0),"")</f>
        <v>WINDA</v>
      </c>
      <c r="F2274" s="20" t="str">
        <f>IFERROR(VLOOKUP(I2274,KET!$B:$F,5,0),"")</f>
        <v>GMM</v>
      </c>
      <c r="G2274" s="20">
        <f>IFERROR(INDEX('Kode Outlet dan Target Toko'!$C:$C,MATCH($I2274,'Kode Outlet dan Target Toko'!$E:$E,0)),0)</f>
        <v>211163</v>
      </c>
      <c r="H2274" s="20">
        <f>IFERROR(INDEX('Kode Outlet dan Target Toko'!$D:$D,MATCH($I2274,'Kode Outlet dan Target Toko'!$E:$E,0)),0)</f>
        <v>3703215</v>
      </c>
      <c r="I2274" s="42" t="s">
        <v>53</v>
      </c>
      <c r="J2274" s="56" t="s">
        <v>275</v>
      </c>
      <c r="K2274" s="40" t="s">
        <v>16</v>
      </c>
      <c r="L2274" s="26">
        <v>3000</v>
      </c>
      <c r="M2274" s="26">
        <v>155</v>
      </c>
      <c r="N2274" s="25">
        <f t="shared" si="71"/>
        <v>465000</v>
      </c>
      <c r="O2274" s="56">
        <v>102</v>
      </c>
    </row>
    <row r="2275" spans="1:15" hidden="1" x14ac:dyDescent="0.3">
      <c r="A2275" s="26">
        <v>30</v>
      </c>
      <c r="B2275" s="20" t="str">
        <f t="shared" si="70"/>
        <v>JUL</v>
      </c>
      <c r="C2275" s="21">
        <v>46229</v>
      </c>
      <c r="D2275" s="22" t="str">
        <f t="array" ref="D2275">IFERROR(INDEX('Kode Outlet dan Target Toko'!$A:$A,MATCH($I2275,'Kode Outlet dan Target Toko'!$E:$E,0)),"")</f>
        <v>GRSM 6</v>
      </c>
      <c r="E2275" s="20" t="str">
        <f>IFERROR(VLOOKUP(I2275,KET!$B:$F,4,0),"")</f>
        <v>WINDA</v>
      </c>
      <c r="F2275" s="20" t="str">
        <f>IFERROR(VLOOKUP(I2275,KET!$B:$F,5,0),"")</f>
        <v>GMM</v>
      </c>
      <c r="G2275" s="20">
        <f>IFERROR(INDEX('Kode Outlet dan Target Toko'!$C:$C,MATCH($I2275,'Kode Outlet dan Target Toko'!$E:$E,0)),0)</f>
        <v>211163</v>
      </c>
      <c r="H2275" s="20">
        <f>IFERROR(INDEX('Kode Outlet dan Target Toko'!$D:$D,MATCH($I2275,'Kode Outlet dan Target Toko'!$E:$E,0)),0)</f>
        <v>3703215</v>
      </c>
      <c r="I2275" s="42" t="s">
        <v>53</v>
      </c>
      <c r="J2275" s="56" t="s">
        <v>276</v>
      </c>
      <c r="K2275" s="40" t="s">
        <v>13</v>
      </c>
      <c r="L2275" s="26">
        <v>3000</v>
      </c>
      <c r="M2275" s="26">
        <v>0</v>
      </c>
      <c r="N2275" s="25">
        <f t="shared" si="71"/>
        <v>0</v>
      </c>
      <c r="O2275" s="56"/>
    </row>
    <row r="2276" spans="1:15" hidden="1" x14ac:dyDescent="0.3">
      <c r="A2276" s="26">
        <v>30</v>
      </c>
      <c r="B2276" s="20" t="str">
        <f t="shared" si="70"/>
        <v>JUL</v>
      </c>
      <c r="C2276" s="21">
        <v>46229</v>
      </c>
      <c r="D2276" s="22" t="str">
        <f t="array" ref="D2276">IFERROR(INDEX('Kode Outlet dan Target Toko'!$A:$A,MATCH($I2276,'Kode Outlet dan Target Toko'!$E:$E,0)),"")</f>
        <v>GRSM 6</v>
      </c>
      <c r="E2276" s="20" t="str">
        <f>IFERROR(VLOOKUP(I2276,KET!$B:$F,4,0),"")</f>
        <v>WINDA</v>
      </c>
      <c r="F2276" s="20" t="str">
        <f>IFERROR(VLOOKUP(I2276,KET!$B:$F,5,0),"")</f>
        <v>GMM</v>
      </c>
      <c r="G2276" s="20">
        <f>IFERROR(INDEX('Kode Outlet dan Target Toko'!$C:$C,MATCH($I2276,'Kode Outlet dan Target Toko'!$E:$E,0)),0)</f>
        <v>211163</v>
      </c>
      <c r="H2276" s="20">
        <f>IFERROR(INDEX('Kode Outlet dan Target Toko'!$D:$D,MATCH($I2276,'Kode Outlet dan Target Toko'!$E:$E,0)),0)</f>
        <v>3703215</v>
      </c>
      <c r="I2276" s="42" t="s">
        <v>53</v>
      </c>
      <c r="J2276" s="56" t="s">
        <v>276</v>
      </c>
      <c r="K2276" s="40" t="s">
        <v>14</v>
      </c>
      <c r="L2276" s="26">
        <v>3000</v>
      </c>
      <c r="M2276" s="26">
        <v>129</v>
      </c>
      <c r="N2276" s="25">
        <f t="shared" si="71"/>
        <v>387000</v>
      </c>
      <c r="O2276" s="56"/>
    </row>
    <row r="2277" spans="1:15" hidden="1" x14ac:dyDescent="0.3">
      <c r="A2277" s="26">
        <v>30</v>
      </c>
      <c r="B2277" s="20" t="str">
        <f t="shared" si="70"/>
        <v>JUL</v>
      </c>
      <c r="C2277" s="21">
        <v>46229</v>
      </c>
      <c r="D2277" s="22" t="str">
        <f t="array" ref="D2277">IFERROR(INDEX('Kode Outlet dan Target Toko'!$A:$A,MATCH($I2277,'Kode Outlet dan Target Toko'!$E:$E,0)),"")</f>
        <v>GRSM 6</v>
      </c>
      <c r="E2277" s="20" t="str">
        <f>IFERROR(VLOOKUP(I2277,KET!$B:$F,4,0),"")</f>
        <v>WINDA</v>
      </c>
      <c r="F2277" s="20" t="str">
        <f>IFERROR(VLOOKUP(I2277,KET!$B:$F,5,0),"")</f>
        <v>GMM</v>
      </c>
      <c r="G2277" s="20">
        <f>IFERROR(INDEX('Kode Outlet dan Target Toko'!$C:$C,MATCH($I2277,'Kode Outlet dan Target Toko'!$E:$E,0)),0)</f>
        <v>211163</v>
      </c>
      <c r="H2277" s="20">
        <f>IFERROR(INDEX('Kode Outlet dan Target Toko'!$D:$D,MATCH($I2277,'Kode Outlet dan Target Toko'!$E:$E,0)),0)</f>
        <v>3703215</v>
      </c>
      <c r="I2277" s="42" t="s">
        <v>53</v>
      </c>
      <c r="J2277" s="56" t="s">
        <v>276</v>
      </c>
      <c r="K2277" s="40" t="s">
        <v>15</v>
      </c>
      <c r="L2277" s="26">
        <v>3000</v>
      </c>
      <c r="M2277" s="26">
        <v>109</v>
      </c>
      <c r="N2277" s="25">
        <f t="shared" si="71"/>
        <v>327000</v>
      </c>
      <c r="O2277" s="56"/>
    </row>
    <row r="2278" spans="1:15" hidden="1" x14ac:dyDescent="0.3">
      <c r="A2278" s="26">
        <v>30</v>
      </c>
      <c r="B2278" s="20" t="str">
        <f t="shared" si="70"/>
        <v>JUL</v>
      </c>
      <c r="C2278" s="21">
        <v>46229</v>
      </c>
      <c r="D2278" s="22" t="str">
        <f t="array" ref="D2278">IFERROR(INDEX('Kode Outlet dan Target Toko'!$A:$A,MATCH($I2278,'Kode Outlet dan Target Toko'!$E:$E,0)),"")</f>
        <v>GRSM 6</v>
      </c>
      <c r="E2278" s="20" t="str">
        <f>IFERROR(VLOOKUP(I2278,KET!$B:$F,4,0),"")</f>
        <v>WINDA</v>
      </c>
      <c r="F2278" s="20" t="str">
        <f>IFERROR(VLOOKUP(I2278,KET!$B:$F,5,0),"")</f>
        <v>GMM</v>
      </c>
      <c r="G2278" s="20">
        <f>IFERROR(INDEX('Kode Outlet dan Target Toko'!$C:$C,MATCH($I2278,'Kode Outlet dan Target Toko'!$E:$E,0)),0)</f>
        <v>211163</v>
      </c>
      <c r="H2278" s="20">
        <f>IFERROR(INDEX('Kode Outlet dan Target Toko'!$D:$D,MATCH($I2278,'Kode Outlet dan Target Toko'!$E:$E,0)),0)</f>
        <v>3703215</v>
      </c>
      <c r="I2278" s="42" t="s">
        <v>53</v>
      </c>
      <c r="J2278" s="56" t="s">
        <v>276</v>
      </c>
      <c r="K2278" s="40" t="s">
        <v>16</v>
      </c>
      <c r="L2278" s="26">
        <v>3000</v>
      </c>
      <c r="M2278" s="26">
        <v>155</v>
      </c>
      <c r="N2278" s="25">
        <f t="shared" si="71"/>
        <v>465000</v>
      </c>
      <c r="O2278" s="56">
        <v>102</v>
      </c>
    </row>
    <row r="2279" spans="1:15" hidden="1" x14ac:dyDescent="0.3">
      <c r="A2279" s="26">
        <v>30</v>
      </c>
      <c r="B2279" s="20" t="str">
        <f t="shared" si="70"/>
        <v>JUL</v>
      </c>
      <c r="C2279" s="21">
        <v>46229</v>
      </c>
      <c r="D2279" s="22" t="str">
        <f t="array" ref="D2279">IFERROR(INDEX('Kode Outlet dan Target Toko'!$A:$A,MATCH($I2279,'Kode Outlet dan Target Toko'!$E:$E,0)),"")</f>
        <v>GRSM 6</v>
      </c>
      <c r="E2279" s="20" t="str">
        <f>IFERROR(VLOOKUP(I2279,KET!$B:$F,4,0),"")</f>
        <v>WINDA</v>
      </c>
      <c r="F2279" s="20" t="str">
        <f>IFERROR(VLOOKUP(I2279,KET!$B:$F,5,0),"")</f>
        <v>GMM</v>
      </c>
      <c r="G2279" s="20">
        <f>IFERROR(INDEX('Kode Outlet dan Target Toko'!$C:$C,MATCH($I2279,'Kode Outlet dan Target Toko'!$E:$E,0)),0)</f>
        <v>211139</v>
      </c>
      <c r="H2279" s="20">
        <f>IFERROR(INDEX('Kode Outlet dan Target Toko'!$D:$D,MATCH($I2279,'Kode Outlet dan Target Toko'!$E:$E,0)),0)</f>
        <v>3604550</v>
      </c>
      <c r="I2279" s="42" t="s">
        <v>69</v>
      </c>
      <c r="J2279" s="56" t="s">
        <v>281</v>
      </c>
      <c r="K2279" s="40" t="s">
        <v>13</v>
      </c>
      <c r="L2279" s="26">
        <v>2800</v>
      </c>
      <c r="M2279" s="26">
        <v>100</v>
      </c>
      <c r="N2279" s="25">
        <f t="shared" si="71"/>
        <v>280000</v>
      </c>
      <c r="O2279" s="56"/>
    </row>
    <row r="2280" spans="1:15" hidden="1" x14ac:dyDescent="0.3">
      <c r="A2280" s="26">
        <v>30</v>
      </c>
      <c r="B2280" s="20" t="str">
        <f t="shared" si="70"/>
        <v>JUL</v>
      </c>
      <c r="C2280" s="21">
        <v>46229</v>
      </c>
      <c r="D2280" s="22" t="str">
        <f t="array" ref="D2280">IFERROR(INDEX('Kode Outlet dan Target Toko'!$A:$A,MATCH($I2280,'Kode Outlet dan Target Toko'!$E:$E,0)),"")</f>
        <v>GRSM 6</v>
      </c>
      <c r="E2280" s="20" t="str">
        <f>IFERROR(VLOOKUP(I2280,KET!$B:$F,4,0),"")</f>
        <v>WINDA</v>
      </c>
      <c r="F2280" s="20" t="str">
        <f>IFERROR(VLOOKUP(I2280,KET!$B:$F,5,0),"")</f>
        <v>GMM</v>
      </c>
      <c r="G2280" s="20">
        <f>IFERROR(INDEX('Kode Outlet dan Target Toko'!$C:$C,MATCH($I2280,'Kode Outlet dan Target Toko'!$E:$E,0)),0)</f>
        <v>211139</v>
      </c>
      <c r="H2280" s="20">
        <f>IFERROR(INDEX('Kode Outlet dan Target Toko'!$D:$D,MATCH($I2280,'Kode Outlet dan Target Toko'!$E:$E,0)),0)</f>
        <v>3604550</v>
      </c>
      <c r="I2280" s="42" t="s">
        <v>69</v>
      </c>
      <c r="J2280" s="56" t="s">
        <v>281</v>
      </c>
      <c r="K2280" s="40" t="s">
        <v>14</v>
      </c>
      <c r="L2280" s="26">
        <v>2800</v>
      </c>
      <c r="M2280" s="26">
        <v>130</v>
      </c>
      <c r="N2280" s="25">
        <f t="shared" si="71"/>
        <v>364000</v>
      </c>
      <c r="O2280" s="56"/>
    </row>
    <row r="2281" spans="1:15" hidden="1" x14ac:dyDescent="0.3">
      <c r="A2281" s="26">
        <v>30</v>
      </c>
      <c r="B2281" s="20" t="str">
        <f t="shared" si="70"/>
        <v>JUL</v>
      </c>
      <c r="C2281" s="21">
        <v>46229</v>
      </c>
      <c r="D2281" s="22" t="str">
        <f t="array" ref="D2281">IFERROR(INDEX('Kode Outlet dan Target Toko'!$A:$A,MATCH($I2281,'Kode Outlet dan Target Toko'!$E:$E,0)),"")</f>
        <v>GRSM 6</v>
      </c>
      <c r="E2281" s="20" t="str">
        <f>IFERROR(VLOOKUP(I2281,KET!$B:$F,4,0),"")</f>
        <v>WINDA</v>
      </c>
      <c r="F2281" s="20" t="str">
        <f>IFERROR(VLOOKUP(I2281,KET!$B:$F,5,0),"")</f>
        <v>GMM</v>
      </c>
      <c r="G2281" s="20">
        <f>IFERROR(INDEX('Kode Outlet dan Target Toko'!$C:$C,MATCH($I2281,'Kode Outlet dan Target Toko'!$E:$E,0)),0)</f>
        <v>211139</v>
      </c>
      <c r="H2281" s="20">
        <f>IFERROR(INDEX('Kode Outlet dan Target Toko'!$D:$D,MATCH($I2281,'Kode Outlet dan Target Toko'!$E:$E,0)),0)</f>
        <v>3604550</v>
      </c>
      <c r="I2281" s="42" t="s">
        <v>69</v>
      </c>
      <c r="J2281" s="56" t="s">
        <v>281</v>
      </c>
      <c r="K2281" s="40" t="s">
        <v>15</v>
      </c>
      <c r="L2281" s="26">
        <v>2800</v>
      </c>
      <c r="M2281" s="26">
        <v>118</v>
      </c>
      <c r="N2281" s="25">
        <f t="shared" si="71"/>
        <v>330400</v>
      </c>
      <c r="O2281" s="56"/>
    </row>
    <row r="2282" spans="1:15" hidden="1" x14ac:dyDescent="0.3">
      <c r="A2282" s="26">
        <v>30</v>
      </c>
      <c r="B2282" s="20" t="str">
        <f t="shared" si="70"/>
        <v>JUL</v>
      </c>
      <c r="C2282" s="21">
        <v>46229</v>
      </c>
      <c r="D2282" s="22" t="str">
        <f t="array" ref="D2282">IFERROR(INDEX('Kode Outlet dan Target Toko'!$A:$A,MATCH($I2282,'Kode Outlet dan Target Toko'!$E:$E,0)),"")</f>
        <v>GRSM 6</v>
      </c>
      <c r="E2282" s="20" t="str">
        <f>IFERROR(VLOOKUP(I2282,KET!$B:$F,4,0),"")</f>
        <v>WINDA</v>
      </c>
      <c r="F2282" s="20" t="str">
        <f>IFERROR(VLOOKUP(I2282,KET!$B:$F,5,0),"")</f>
        <v>GMM</v>
      </c>
      <c r="G2282" s="20">
        <f>IFERROR(INDEX('Kode Outlet dan Target Toko'!$C:$C,MATCH($I2282,'Kode Outlet dan Target Toko'!$E:$E,0)),0)</f>
        <v>211139</v>
      </c>
      <c r="H2282" s="20">
        <f>IFERROR(INDEX('Kode Outlet dan Target Toko'!$D:$D,MATCH($I2282,'Kode Outlet dan Target Toko'!$E:$E,0)),0)</f>
        <v>3604550</v>
      </c>
      <c r="I2282" s="42" t="s">
        <v>69</v>
      </c>
      <c r="J2282" s="56" t="s">
        <v>281</v>
      </c>
      <c r="K2282" s="40" t="s">
        <v>16</v>
      </c>
      <c r="L2282" s="26">
        <v>2800</v>
      </c>
      <c r="M2282" s="26">
        <v>270</v>
      </c>
      <c r="N2282" s="25">
        <f t="shared" si="71"/>
        <v>756000</v>
      </c>
      <c r="O2282" s="56">
        <v>160</v>
      </c>
    </row>
    <row r="2283" spans="1:15" hidden="1" x14ac:dyDescent="0.3">
      <c r="A2283" s="26">
        <v>30</v>
      </c>
      <c r="B2283" s="20" t="str">
        <f t="shared" si="70"/>
        <v>JUL</v>
      </c>
      <c r="C2283" s="21">
        <v>46229</v>
      </c>
      <c r="D2283" s="22" t="str">
        <f t="array" ref="D2283">IFERROR(INDEX('Kode Outlet dan Target Toko'!$A:$A,MATCH($I2283,'Kode Outlet dan Target Toko'!$E:$E,0)),"")</f>
        <v>GRSM 6</v>
      </c>
      <c r="E2283" s="20" t="str">
        <f>IFERROR(VLOOKUP(I2283,KET!$B:$F,4,0),"")</f>
        <v>WINDA</v>
      </c>
      <c r="F2283" s="20" t="str">
        <f>IFERROR(VLOOKUP(I2283,KET!$B:$F,5,0),"")</f>
        <v>GMM</v>
      </c>
      <c r="G2283" s="20">
        <f>IFERROR(INDEX('Kode Outlet dan Target Toko'!$C:$C,MATCH($I2283,'Kode Outlet dan Target Toko'!$E:$E,0)),0)</f>
        <v>211139</v>
      </c>
      <c r="H2283" s="20">
        <f>IFERROR(INDEX('Kode Outlet dan Target Toko'!$D:$D,MATCH($I2283,'Kode Outlet dan Target Toko'!$E:$E,0)),0)</f>
        <v>3604550</v>
      </c>
      <c r="I2283" s="42" t="s">
        <v>69</v>
      </c>
      <c r="J2283" s="56" t="s">
        <v>282</v>
      </c>
      <c r="K2283" s="40" t="s">
        <v>13</v>
      </c>
      <c r="L2283" s="26">
        <v>2800</v>
      </c>
      <c r="M2283" s="26">
        <v>100</v>
      </c>
      <c r="N2283" s="25">
        <f t="shared" si="71"/>
        <v>280000</v>
      </c>
      <c r="O2283" s="56"/>
    </row>
    <row r="2284" spans="1:15" hidden="1" x14ac:dyDescent="0.3">
      <c r="A2284" s="26">
        <v>30</v>
      </c>
      <c r="B2284" s="20" t="str">
        <f t="shared" si="70"/>
        <v>JUL</v>
      </c>
      <c r="C2284" s="21">
        <v>46229</v>
      </c>
      <c r="D2284" s="22" t="str">
        <f t="array" ref="D2284">IFERROR(INDEX('Kode Outlet dan Target Toko'!$A:$A,MATCH($I2284,'Kode Outlet dan Target Toko'!$E:$E,0)),"")</f>
        <v>GRSM 6</v>
      </c>
      <c r="E2284" s="20" t="str">
        <f>IFERROR(VLOOKUP(I2284,KET!$B:$F,4,0),"")</f>
        <v>WINDA</v>
      </c>
      <c r="F2284" s="20" t="str">
        <f>IFERROR(VLOOKUP(I2284,KET!$B:$F,5,0),"")</f>
        <v>GMM</v>
      </c>
      <c r="G2284" s="20">
        <f>IFERROR(INDEX('Kode Outlet dan Target Toko'!$C:$C,MATCH($I2284,'Kode Outlet dan Target Toko'!$E:$E,0)),0)</f>
        <v>211139</v>
      </c>
      <c r="H2284" s="20">
        <f>IFERROR(INDEX('Kode Outlet dan Target Toko'!$D:$D,MATCH($I2284,'Kode Outlet dan Target Toko'!$E:$E,0)),0)</f>
        <v>3604550</v>
      </c>
      <c r="I2284" s="42" t="s">
        <v>69</v>
      </c>
      <c r="J2284" s="56" t="s">
        <v>282</v>
      </c>
      <c r="K2284" s="40" t="s">
        <v>14</v>
      </c>
      <c r="L2284" s="26">
        <v>2800</v>
      </c>
      <c r="M2284" s="26">
        <v>130</v>
      </c>
      <c r="N2284" s="25">
        <f t="shared" si="71"/>
        <v>364000</v>
      </c>
      <c r="O2284" s="56"/>
    </row>
    <row r="2285" spans="1:15" hidden="1" x14ac:dyDescent="0.3">
      <c r="A2285" s="26">
        <v>30</v>
      </c>
      <c r="B2285" s="20" t="str">
        <f t="shared" si="70"/>
        <v>JUL</v>
      </c>
      <c r="C2285" s="21">
        <v>46229</v>
      </c>
      <c r="D2285" s="22" t="str">
        <f t="array" ref="D2285">IFERROR(INDEX('Kode Outlet dan Target Toko'!$A:$A,MATCH($I2285,'Kode Outlet dan Target Toko'!$E:$E,0)),"")</f>
        <v>GRSM 6</v>
      </c>
      <c r="E2285" s="20" t="str">
        <f>IFERROR(VLOOKUP(I2285,KET!$B:$F,4,0),"")</f>
        <v>WINDA</v>
      </c>
      <c r="F2285" s="20" t="str">
        <f>IFERROR(VLOOKUP(I2285,KET!$B:$F,5,0),"")</f>
        <v>GMM</v>
      </c>
      <c r="G2285" s="20">
        <f>IFERROR(INDEX('Kode Outlet dan Target Toko'!$C:$C,MATCH($I2285,'Kode Outlet dan Target Toko'!$E:$E,0)),0)</f>
        <v>211139</v>
      </c>
      <c r="H2285" s="20">
        <f>IFERROR(INDEX('Kode Outlet dan Target Toko'!$D:$D,MATCH($I2285,'Kode Outlet dan Target Toko'!$E:$E,0)),0)</f>
        <v>3604550</v>
      </c>
      <c r="I2285" s="42" t="s">
        <v>69</v>
      </c>
      <c r="J2285" s="56" t="s">
        <v>282</v>
      </c>
      <c r="K2285" s="40" t="s">
        <v>15</v>
      </c>
      <c r="L2285" s="26">
        <v>2800</v>
      </c>
      <c r="M2285" s="26">
        <v>118</v>
      </c>
      <c r="N2285" s="25">
        <f t="shared" si="71"/>
        <v>330400</v>
      </c>
      <c r="O2285" s="56"/>
    </row>
    <row r="2286" spans="1:15" hidden="1" x14ac:dyDescent="0.3">
      <c r="A2286" s="26">
        <v>30</v>
      </c>
      <c r="B2286" s="20" t="str">
        <f t="shared" si="70"/>
        <v>JUL</v>
      </c>
      <c r="C2286" s="21">
        <v>46229</v>
      </c>
      <c r="D2286" s="22" t="str">
        <f t="array" ref="D2286">IFERROR(INDEX('Kode Outlet dan Target Toko'!$A:$A,MATCH($I2286,'Kode Outlet dan Target Toko'!$E:$E,0)),"")</f>
        <v>GRSM 6</v>
      </c>
      <c r="E2286" s="20" t="str">
        <f>IFERROR(VLOOKUP(I2286,KET!$B:$F,4,0),"")</f>
        <v>WINDA</v>
      </c>
      <c r="F2286" s="20" t="str">
        <f>IFERROR(VLOOKUP(I2286,KET!$B:$F,5,0),"")</f>
        <v>GMM</v>
      </c>
      <c r="G2286" s="20">
        <f>IFERROR(INDEX('Kode Outlet dan Target Toko'!$C:$C,MATCH($I2286,'Kode Outlet dan Target Toko'!$E:$E,0)),0)</f>
        <v>211139</v>
      </c>
      <c r="H2286" s="20">
        <f>IFERROR(INDEX('Kode Outlet dan Target Toko'!$D:$D,MATCH($I2286,'Kode Outlet dan Target Toko'!$E:$E,0)),0)</f>
        <v>3604550</v>
      </c>
      <c r="I2286" s="42" t="s">
        <v>69</v>
      </c>
      <c r="J2286" s="56" t="s">
        <v>282</v>
      </c>
      <c r="K2286" s="40" t="s">
        <v>16</v>
      </c>
      <c r="L2286" s="26">
        <v>2800</v>
      </c>
      <c r="M2286" s="26">
        <v>270</v>
      </c>
      <c r="N2286" s="25">
        <f t="shared" si="71"/>
        <v>756000</v>
      </c>
      <c r="O2286" s="56">
        <v>160</v>
      </c>
    </row>
    <row r="2287" spans="1:15" hidden="1" x14ac:dyDescent="0.3">
      <c r="A2287" s="26">
        <v>30</v>
      </c>
      <c r="B2287" s="20" t="str">
        <f t="shared" si="70"/>
        <v>JUL</v>
      </c>
      <c r="C2287" s="21">
        <v>46229</v>
      </c>
      <c r="D2287" s="22" t="str">
        <f t="array" ref="D2287">IFERROR(INDEX('Kode Outlet dan Target Toko'!$A:$A,MATCH($I2287,'Kode Outlet dan Target Toko'!$E:$E,0)),"")</f>
        <v>GRSM 6</v>
      </c>
      <c r="E2287" s="20" t="str">
        <f>IFERROR(VLOOKUP(I2287,KET!$B:$F,4,0),"")</f>
        <v>WINDA</v>
      </c>
      <c r="F2287" s="20" t="str">
        <f>IFERROR(VLOOKUP(I2287,KET!$B:$F,5,0),"")</f>
        <v>GMM</v>
      </c>
      <c r="G2287" s="20">
        <f>IFERROR(INDEX('Kode Outlet dan Target Toko'!$C:$C,MATCH($I2287,'Kode Outlet dan Target Toko'!$E:$E,0)),0)</f>
        <v>211139</v>
      </c>
      <c r="H2287" s="20">
        <f>IFERROR(INDEX('Kode Outlet dan Target Toko'!$D:$D,MATCH($I2287,'Kode Outlet dan Target Toko'!$E:$E,0)),0)</f>
        <v>3604550</v>
      </c>
      <c r="I2287" s="42" t="s">
        <v>69</v>
      </c>
      <c r="J2287" s="56" t="s">
        <v>281</v>
      </c>
      <c r="K2287" s="40" t="s">
        <v>13</v>
      </c>
      <c r="L2287" s="26">
        <v>2800</v>
      </c>
      <c r="M2287" s="26">
        <v>100</v>
      </c>
      <c r="N2287" s="25">
        <f t="shared" si="71"/>
        <v>280000</v>
      </c>
      <c r="O2287" s="56"/>
    </row>
    <row r="2288" spans="1:15" hidden="1" x14ac:dyDescent="0.3">
      <c r="A2288" s="26">
        <v>30</v>
      </c>
      <c r="B2288" s="20" t="str">
        <f t="shared" si="70"/>
        <v>JUL</v>
      </c>
      <c r="C2288" s="21">
        <v>46229</v>
      </c>
      <c r="D2288" s="22" t="str">
        <f t="array" ref="D2288">IFERROR(INDEX('Kode Outlet dan Target Toko'!$A:$A,MATCH($I2288,'Kode Outlet dan Target Toko'!$E:$E,0)),"")</f>
        <v>GRSM 6</v>
      </c>
      <c r="E2288" s="20" t="str">
        <f>IFERROR(VLOOKUP(I2288,KET!$B:$F,4,0),"")</f>
        <v>WINDA</v>
      </c>
      <c r="F2288" s="20" t="str">
        <f>IFERROR(VLOOKUP(I2288,KET!$B:$F,5,0),"")</f>
        <v>GMM</v>
      </c>
      <c r="G2288" s="20">
        <f>IFERROR(INDEX('Kode Outlet dan Target Toko'!$C:$C,MATCH($I2288,'Kode Outlet dan Target Toko'!$E:$E,0)),0)</f>
        <v>211139</v>
      </c>
      <c r="H2288" s="20">
        <f>IFERROR(INDEX('Kode Outlet dan Target Toko'!$D:$D,MATCH($I2288,'Kode Outlet dan Target Toko'!$E:$E,0)),0)</f>
        <v>3604550</v>
      </c>
      <c r="I2288" s="42" t="s">
        <v>69</v>
      </c>
      <c r="J2288" s="56" t="s">
        <v>281</v>
      </c>
      <c r="K2288" s="40" t="s">
        <v>14</v>
      </c>
      <c r="L2288" s="26">
        <v>2800</v>
      </c>
      <c r="M2288" s="26">
        <v>130</v>
      </c>
      <c r="N2288" s="25">
        <f t="shared" si="71"/>
        <v>364000</v>
      </c>
      <c r="O2288" s="56"/>
    </row>
    <row r="2289" spans="1:15" hidden="1" x14ac:dyDescent="0.3">
      <c r="A2289" s="26">
        <v>30</v>
      </c>
      <c r="B2289" s="20" t="str">
        <f t="shared" si="70"/>
        <v>JUL</v>
      </c>
      <c r="C2289" s="21">
        <v>46229</v>
      </c>
      <c r="D2289" s="22" t="str">
        <f t="array" ref="D2289">IFERROR(INDEX('Kode Outlet dan Target Toko'!$A:$A,MATCH($I2289,'Kode Outlet dan Target Toko'!$E:$E,0)),"")</f>
        <v>GRSM 6</v>
      </c>
      <c r="E2289" s="20" t="str">
        <f>IFERROR(VLOOKUP(I2289,KET!$B:$F,4,0),"")</f>
        <v>WINDA</v>
      </c>
      <c r="F2289" s="20" t="str">
        <f>IFERROR(VLOOKUP(I2289,KET!$B:$F,5,0),"")</f>
        <v>GMM</v>
      </c>
      <c r="G2289" s="20">
        <f>IFERROR(INDEX('Kode Outlet dan Target Toko'!$C:$C,MATCH($I2289,'Kode Outlet dan Target Toko'!$E:$E,0)),0)</f>
        <v>211139</v>
      </c>
      <c r="H2289" s="20">
        <f>IFERROR(INDEX('Kode Outlet dan Target Toko'!$D:$D,MATCH($I2289,'Kode Outlet dan Target Toko'!$E:$E,0)),0)</f>
        <v>3604550</v>
      </c>
      <c r="I2289" s="42" t="s">
        <v>69</v>
      </c>
      <c r="J2289" s="56" t="s">
        <v>281</v>
      </c>
      <c r="K2289" s="40" t="s">
        <v>15</v>
      </c>
      <c r="L2289" s="26">
        <v>2800</v>
      </c>
      <c r="M2289" s="26">
        <v>118</v>
      </c>
      <c r="N2289" s="25">
        <f t="shared" si="71"/>
        <v>330400</v>
      </c>
      <c r="O2289" s="56"/>
    </row>
    <row r="2290" spans="1:15" hidden="1" x14ac:dyDescent="0.3">
      <c r="A2290" s="26">
        <v>30</v>
      </c>
      <c r="B2290" s="20" t="str">
        <f t="shared" si="70"/>
        <v>JUL</v>
      </c>
      <c r="C2290" s="21">
        <v>46229</v>
      </c>
      <c r="D2290" s="22" t="str">
        <f t="array" ref="D2290">IFERROR(INDEX('Kode Outlet dan Target Toko'!$A:$A,MATCH($I2290,'Kode Outlet dan Target Toko'!$E:$E,0)),"")</f>
        <v>GRSM 6</v>
      </c>
      <c r="E2290" s="20" t="str">
        <f>IFERROR(VLOOKUP(I2290,KET!$B:$F,4,0),"")</f>
        <v>WINDA</v>
      </c>
      <c r="F2290" s="20" t="str">
        <f>IFERROR(VLOOKUP(I2290,KET!$B:$F,5,0),"")</f>
        <v>GMM</v>
      </c>
      <c r="G2290" s="20">
        <f>IFERROR(INDEX('Kode Outlet dan Target Toko'!$C:$C,MATCH($I2290,'Kode Outlet dan Target Toko'!$E:$E,0)),0)</f>
        <v>211139</v>
      </c>
      <c r="H2290" s="20">
        <f>IFERROR(INDEX('Kode Outlet dan Target Toko'!$D:$D,MATCH($I2290,'Kode Outlet dan Target Toko'!$E:$E,0)),0)</f>
        <v>3604550</v>
      </c>
      <c r="I2290" s="42" t="s">
        <v>69</v>
      </c>
      <c r="J2290" s="56" t="s">
        <v>281</v>
      </c>
      <c r="K2290" s="40" t="s">
        <v>16</v>
      </c>
      <c r="L2290" s="26">
        <v>2800</v>
      </c>
      <c r="M2290" s="26">
        <v>270</v>
      </c>
      <c r="N2290" s="25">
        <f t="shared" si="71"/>
        <v>756000</v>
      </c>
      <c r="O2290" s="56">
        <v>160</v>
      </c>
    </row>
    <row r="2291" spans="1:15" hidden="1" x14ac:dyDescent="0.3">
      <c r="A2291" s="26">
        <v>30</v>
      </c>
      <c r="B2291" s="20" t="str">
        <f t="shared" si="70"/>
        <v>JUL</v>
      </c>
      <c r="C2291" s="21">
        <v>46229</v>
      </c>
      <c r="D2291" s="22" t="str">
        <f t="array" ref="D2291">IFERROR(INDEX('Kode Outlet dan Target Toko'!$A:$A,MATCH($I2291,'Kode Outlet dan Target Toko'!$E:$E,0)),"")</f>
        <v>GRSM 6</v>
      </c>
      <c r="E2291" s="20" t="str">
        <f>IFERROR(VLOOKUP(I2291,KET!$B:$F,4,0),"")</f>
        <v>WINDA</v>
      </c>
      <c r="F2291" s="20" t="str">
        <f>IFERROR(VLOOKUP(I2291,KET!$B:$F,5,0),"")</f>
        <v>GMM</v>
      </c>
      <c r="G2291" s="20">
        <f>IFERROR(INDEX('Kode Outlet dan Target Toko'!$C:$C,MATCH($I2291,'Kode Outlet dan Target Toko'!$E:$E,0)),0)</f>
        <v>211139</v>
      </c>
      <c r="H2291" s="20">
        <f>IFERROR(INDEX('Kode Outlet dan Target Toko'!$D:$D,MATCH($I2291,'Kode Outlet dan Target Toko'!$E:$E,0)),0)</f>
        <v>3604550</v>
      </c>
      <c r="I2291" s="42" t="s">
        <v>69</v>
      </c>
      <c r="J2291" s="56" t="s">
        <v>282</v>
      </c>
      <c r="K2291" s="40" t="s">
        <v>13</v>
      </c>
      <c r="L2291" s="26">
        <v>2800</v>
      </c>
      <c r="M2291" s="26">
        <v>100</v>
      </c>
      <c r="N2291" s="25">
        <f t="shared" si="71"/>
        <v>280000</v>
      </c>
      <c r="O2291" s="56"/>
    </row>
    <row r="2292" spans="1:15" hidden="1" x14ac:dyDescent="0.3">
      <c r="A2292" s="26">
        <v>30</v>
      </c>
      <c r="B2292" s="20" t="str">
        <f t="shared" si="70"/>
        <v>JUL</v>
      </c>
      <c r="C2292" s="21">
        <v>46229</v>
      </c>
      <c r="D2292" s="22" t="str">
        <f t="array" ref="D2292">IFERROR(INDEX('Kode Outlet dan Target Toko'!$A:$A,MATCH($I2292,'Kode Outlet dan Target Toko'!$E:$E,0)),"")</f>
        <v>GRSM 6</v>
      </c>
      <c r="E2292" s="20" t="str">
        <f>IFERROR(VLOOKUP(I2292,KET!$B:$F,4,0),"")</f>
        <v>WINDA</v>
      </c>
      <c r="F2292" s="20" t="str">
        <f>IFERROR(VLOOKUP(I2292,KET!$B:$F,5,0),"")</f>
        <v>GMM</v>
      </c>
      <c r="G2292" s="20">
        <f>IFERROR(INDEX('Kode Outlet dan Target Toko'!$C:$C,MATCH($I2292,'Kode Outlet dan Target Toko'!$E:$E,0)),0)</f>
        <v>211139</v>
      </c>
      <c r="H2292" s="20">
        <f>IFERROR(INDEX('Kode Outlet dan Target Toko'!$D:$D,MATCH($I2292,'Kode Outlet dan Target Toko'!$E:$E,0)),0)</f>
        <v>3604550</v>
      </c>
      <c r="I2292" s="42" t="s">
        <v>69</v>
      </c>
      <c r="J2292" s="56" t="s">
        <v>282</v>
      </c>
      <c r="K2292" s="40" t="s">
        <v>14</v>
      </c>
      <c r="L2292" s="26">
        <v>2800</v>
      </c>
      <c r="M2292" s="26">
        <v>130</v>
      </c>
      <c r="N2292" s="25">
        <f t="shared" si="71"/>
        <v>364000</v>
      </c>
      <c r="O2292" s="56"/>
    </row>
    <row r="2293" spans="1:15" hidden="1" x14ac:dyDescent="0.3">
      <c r="A2293" s="26">
        <v>30</v>
      </c>
      <c r="B2293" s="20" t="str">
        <f t="shared" si="70"/>
        <v>JUL</v>
      </c>
      <c r="C2293" s="21">
        <v>46229</v>
      </c>
      <c r="D2293" s="22" t="str">
        <f t="array" ref="D2293">IFERROR(INDEX('Kode Outlet dan Target Toko'!$A:$A,MATCH($I2293,'Kode Outlet dan Target Toko'!$E:$E,0)),"")</f>
        <v>GRSM 6</v>
      </c>
      <c r="E2293" s="20" t="str">
        <f>IFERROR(VLOOKUP(I2293,KET!$B:$F,4,0),"")</f>
        <v>WINDA</v>
      </c>
      <c r="F2293" s="20" t="str">
        <f>IFERROR(VLOOKUP(I2293,KET!$B:$F,5,0),"")</f>
        <v>GMM</v>
      </c>
      <c r="G2293" s="20">
        <f>IFERROR(INDEX('Kode Outlet dan Target Toko'!$C:$C,MATCH($I2293,'Kode Outlet dan Target Toko'!$E:$E,0)),0)</f>
        <v>211139</v>
      </c>
      <c r="H2293" s="20">
        <f>IFERROR(INDEX('Kode Outlet dan Target Toko'!$D:$D,MATCH($I2293,'Kode Outlet dan Target Toko'!$E:$E,0)),0)</f>
        <v>3604550</v>
      </c>
      <c r="I2293" s="42" t="s">
        <v>69</v>
      </c>
      <c r="J2293" s="56" t="s">
        <v>282</v>
      </c>
      <c r="K2293" s="40" t="s">
        <v>15</v>
      </c>
      <c r="L2293" s="26">
        <v>2800</v>
      </c>
      <c r="M2293" s="26">
        <v>118</v>
      </c>
      <c r="N2293" s="25">
        <f t="shared" si="71"/>
        <v>330400</v>
      </c>
      <c r="O2293" s="56"/>
    </row>
    <row r="2294" spans="1:15" hidden="1" x14ac:dyDescent="0.3">
      <c r="A2294" s="26">
        <v>30</v>
      </c>
      <c r="B2294" s="20" t="str">
        <f t="shared" si="70"/>
        <v>JUL</v>
      </c>
      <c r="C2294" s="21">
        <v>46229</v>
      </c>
      <c r="D2294" s="22" t="str">
        <f t="array" ref="D2294">IFERROR(INDEX('Kode Outlet dan Target Toko'!$A:$A,MATCH($I2294,'Kode Outlet dan Target Toko'!$E:$E,0)),"")</f>
        <v>GRSM 6</v>
      </c>
      <c r="E2294" s="20" t="str">
        <f>IFERROR(VLOOKUP(I2294,KET!$B:$F,4,0),"")</f>
        <v>WINDA</v>
      </c>
      <c r="F2294" s="20" t="str">
        <f>IFERROR(VLOOKUP(I2294,KET!$B:$F,5,0),"")</f>
        <v>GMM</v>
      </c>
      <c r="G2294" s="20">
        <f>IFERROR(INDEX('Kode Outlet dan Target Toko'!$C:$C,MATCH($I2294,'Kode Outlet dan Target Toko'!$E:$E,0)),0)</f>
        <v>211139</v>
      </c>
      <c r="H2294" s="20">
        <f>IFERROR(INDEX('Kode Outlet dan Target Toko'!$D:$D,MATCH($I2294,'Kode Outlet dan Target Toko'!$E:$E,0)),0)</f>
        <v>3604550</v>
      </c>
      <c r="I2294" s="42" t="s">
        <v>69</v>
      </c>
      <c r="J2294" s="56" t="s">
        <v>282</v>
      </c>
      <c r="K2294" s="40" t="s">
        <v>16</v>
      </c>
      <c r="L2294" s="26">
        <v>2800</v>
      </c>
      <c r="M2294" s="26">
        <v>270</v>
      </c>
      <c r="N2294" s="25">
        <f t="shared" si="71"/>
        <v>756000</v>
      </c>
      <c r="O2294" s="56">
        <v>160</v>
      </c>
    </row>
    <row r="2295" spans="1:15" hidden="1" x14ac:dyDescent="0.3">
      <c r="A2295" s="26">
        <v>30</v>
      </c>
      <c r="B2295" s="20" t="str">
        <f t="shared" si="70"/>
        <v>JUL</v>
      </c>
      <c r="C2295" s="21">
        <v>46229</v>
      </c>
      <c r="D2295" s="22" t="str">
        <f t="array" ref="D2295">IFERROR(INDEX('Kode Outlet dan Target Toko'!$A:$A,MATCH($I2295,'Kode Outlet dan Target Toko'!$E:$E,0)),"")</f>
        <v>GRSM 6</v>
      </c>
      <c r="E2295" s="20" t="str">
        <f>IFERROR(VLOOKUP(I2295,KET!$B:$F,4,0),"")</f>
        <v>WINDA</v>
      </c>
      <c r="F2295" s="20" t="str">
        <f>IFERROR(VLOOKUP(I2295,KET!$B:$F,5,0),"")</f>
        <v>GMM</v>
      </c>
      <c r="G2295" s="20">
        <f>IFERROR(INDEX('Kode Outlet dan Target Toko'!$C:$C,MATCH($I2295,'Kode Outlet dan Target Toko'!$E:$E,0)),0)</f>
        <v>103765</v>
      </c>
      <c r="H2295" s="20">
        <f>IFERROR(INDEX('Kode Outlet dan Target Toko'!$D:$D,MATCH($I2295,'Kode Outlet dan Target Toko'!$E:$E,0)),0)</f>
        <v>4307038</v>
      </c>
      <c r="I2295" s="42" t="s">
        <v>48</v>
      </c>
      <c r="J2295" s="56" t="s">
        <v>269</v>
      </c>
      <c r="K2295" s="40" t="s">
        <v>13</v>
      </c>
      <c r="L2295" s="26">
        <v>3000</v>
      </c>
      <c r="M2295" s="26">
        <v>6</v>
      </c>
      <c r="N2295" s="25">
        <f t="shared" si="71"/>
        <v>18000</v>
      </c>
      <c r="O2295" s="56"/>
    </row>
    <row r="2296" spans="1:15" hidden="1" x14ac:dyDescent="0.3">
      <c r="A2296" s="26">
        <v>30</v>
      </c>
      <c r="B2296" s="20" t="str">
        <f t="shared" si="70"/>
        <v>JUL</v>
      </c>
      <c r="C2296" s="21">
        <v>46229</v>
      </c>
      <c r="D2296" s="22" t="str">
        <f t="array" ref="D2296">IFERROR(INDEX('Kode Outlet dan Target Toko'!$A:$A,MATCH($I2296,'Kode Outlet dan Target Toko'!$E:$E,0)),"")</f>
        <v>GRSM 6</v>
      </c>
      <c r="E2296" s="20" t="str">
        <f>IFERROR(VLOOKUP(I2296,KET!$B:$F,4,0),"")</f>
        <v>WINDA</v>
      </c>
      <c r="F2296" s="20" t="str">
        <f>IFERROR(VLOOKUP(I2296,KET!$B:$F,5,0),"")</f>
        <v>GMM</v>
      </c>
      <c r="G2296" s="20">
        <f>IFERROR(INDEX('Kode Outlet dan Target Toko'!$C:$C,MATCH($I2296,'Kode Outlet dan Target Toko'!$E:$E,0)),0)</f>
        <v>103765</v>
      </c>
      <c r="H2296" s="20">
        <f>IFERROR(INDEX('Kode Outlet dan Target Toko'!$D:$D,MATCH($I2296,'Kode Outlet dan Target Toko'!$E:$E,0)),0)</f>
        <v>4307038</v>
      </c>
      <c r="I2296" s="42" t="s">
        <v>48</v>
      </c>
      <c r="J2296" s="56" t="s">
        <v>269</v>
      </c>
      <c r="K2296" s="40" t="s">
        <v>14</v>
      </c>
      <c r="L2296" s="26">
        <v>3000</v>
      </c>
      <c r="M2296" s="26">
        <v>100</v>
      </c>
      <c r="N2296" s="25">
        <f t="shared" si="71"/>
        <v>300000</v>
      </c>
      <c r="O2296" s="56"/>
    </row>
    <row r="2297" spans="1:15" hidden="1" x14ac:dyDescent="0.3">
      <c r="A2297" s="26">
        <v>30</v>
      </c>
      <c r="B2297" s="20" t="str">
        <f t="shared" si="70"/>
        <v>JUL</v>
      </c>
      <c r="C2297" s="21">
        <v>46229</v>
      </c>
      <c r="D2297" s="22" t="str">
        <f t="array" ref="D2297">IFERROR(INDEX('Kode Outlet dan Target Toko'!$A:$A,MATCH($I2297,'Kode Outlet dan Target Toko'!$E:$E,0)),"")</f>
        <v>GRSM 6</v>
      </c>
      <c r="E2297" s="20" t="str">
        <f>IFERROR(VLOOKUP(I2297,KET!$B:$F,4,0),"")</f>
        <v>WINDA</v>
      </c>
      <c r="F2297" s="20" t="str">
        <f>IFERROR(VLOOKUP(I2297,KET!$B:$F,5,0),"")</f>
        <v>GMM</v>
      </c>
      <c r="G2297" s="20">
        <f>IFERROR(INDEX('Kode Outlet dan Target Toko'!$C:$C,MATCH($I2297,'Kode Outlet dan Target Toko'!$E:$E,0)),0)</f>
        <v>103765</v>
      </c>
      <c r="H2297" s="20">
        <f>IFERROR(INDEX('Kode Outlet dan Target Toko'!$D:$D,MATCH($I2297,'Kode Outlet dan Target Toko'!$E:$E,0)),0)</f>
        <v>4307038</v>
      </c>
      <c r="I2297" s="42" t="s">
        <v>48</v>
      </c>
      <c r="J2297" s="56" t="s">
        <v>269</v>
      </c>
      <c r="K2297" s="40" t="s">
        <v>15</v>
      </c>
      <c r="L2297" s="26">
        <v>3000</v>
      </c>
      <c r="M2297" s="26">
        <v>130</v>
      </c>
      <c r="N2297" s="25">
        <f t="shared" si="71"/>
        <v>390000</v>
      </c>
      <c r="O2297" s="56"/>
    </row>
    <row r="2298" spans="1:15" hidden="1" x14ac:dyDescent="0.3">
      <c r="A2298" s="26">
        <v>30</v>
      </c>
      <c r="B2298" s="20" t="str">
        <f t="shared" si="70"/>
        <v>JUL</v>
      </c>
      <c r="C2298" s="21">
        <v>46229</v>
      </c>
      <c r="D2298" s="22" t="str">
        <f t="array" ref="D2298">IFERROR(INDEX('Kode Outlet dan Target Toko'!$A:$A,MATCH($I2298,'Kode Outlet dan Target Toko'!$E:$E,0)),"")</f>
        <v>GRSM 6</v>
      </c>
      <c r="E2298" s="20" t="str">
        <f>IFERROR(VLOOKUP(I2298,KET!$B:$F,4,0),"")</f>
        <v>WINDA</v>
      </c>
      <c r="F2298" s="20" t="str">
        <f>IFERROR(VLOOKUP(I2298,KET!$B:$F,5,0),"")</f>
        <v>GMM</v>
      </c>
      <c r="G2298" s="20">
        <f>IFERROR(INDEX('Kode Outlet dan Target Toko'!$C:$C,MATCH($I2298,'Kode Outlet dan Target Toko'!$E:$E,0)),0)</f>
        <v>103765</v>
      </c>
      <c r="H2298" s="20">
        <f>IFERROR(INDEX('Kode Outlet dan Target Toko'!$D:$D,MATCH($I2298,'Kode Outlet dan Target Toko'!$E:$E,0)),0)</f>
        <v>4307038</v>
      </c>
      <c r="I2298" s="42" t="s">
        <v>48</v>
      </c>
      <c r="J2298" s="56" t="s">
        <v>269</v>
      </c>
      <c r="K2298" s="40" t="s">
        <v>16</v>
      </c>
      <c r="L2298" s="26">
        <v>3000</v>
      </c>
      <c r="M2298" s="26">
        <v>254</v>
      </c>
      <c r="N2298" s="25">
        <f t="shared" si="71"/>
        <v>762000</v>
      </c>
      <c r="O2298" s="56"/>
    </row>
    <row r="2299" spans="1:15" hidden="1" x14ac:dyDescent="0.3">
      <c r="A2299" s="26">
        <v>30</v>
      </c>
      <c r="B2299" s="20" t="str">
        <f t="shared" si="70"/>
        <v>JUL</v>
      </c>
      <c r="C2299" s="21">
        <v>46229</v>
      </c>
      <c r="D2299" s="22" t="str">
        <f t="array" ref="D2299">IFERROR(INDEX('Kode Outlet dan Target Toko'!$A:$A,MATCH($I2299,'Kode Outlet dan Target Toko'!$E:$E,0)),"")</f>
        <v>GRSM 6</v>
      </c>
      <c r="E2299" s="20" t="str">
        <f>IFERROR(VLOOKUP(I2299,KET!$B:$F,4,0),"")</f>
        <v>WINDA</v>
      </c>
      <c r="F2299" s="20" t="str">
        <f>IFERROR(VLOOKUP(I2299,KET!$B:$F,5,0),"")</f>
        <v>GMM</v>
      </c>
      <c r="G2299" s="20">
        <f>IFERROR(INDEX('Kode Outlet dan Target Toko'!$C:$C,MATCH($I2299,'Kode Outlet dan Target Toko'!$E:$E,0)),0)</f>
        <v>103765</v>
      </c>
      <c r="H2299" s="20">
        <f>IFERROR(INDEX('Kode Outlet dan Target Toko'!$D:$D,MATCH($I2299,'Kode Outlet dan Target Toko'!$E:$E,0)),0)</f>
        <v>4307038</v>
      </c>
      <c r="I2299" s="42" t="s">
        <v>48</v>
      </c>
      <c r="J2299" s="56" t="s">
        <v>270</v>
      </c>
      <c r="K2299" s="40" t="s">
        <v>13</v>
      </c>
      <c r="L2299" s="26">
        <v>3000</v>
      </c>
      <c r="M2299" s="26">
        <v>6</v>
      </c>
      <c r="N2299" s="25">
        <f t="shared" si="71"/>
        <v>18000</v>
      </c>
      <c r="O2299" s="56"/>
    </row>
    <row r="2300" spans="1:15" hidden="1" x14ac:dyDescent="0.3">
      <c r="A2300" s="26">
        <v>30</v>
      </c>
      <c r="B2300" s="20" t="str">
        <f t="shared" si="70"/>
        <v>JUL</v>
      </c>
      <c r="C2300" s="21">
        <v>46229</v>
      </c>
      <c r="D2300" s="22" t="str">
        <f t="array" ref="D2300">IFERROR(INDEX('Kode Outlet dan Target Toko'!$A:$A,MATCH($I2300,'Kode Outlet dan Target Toko'!$E:$E,0)),"")</f>
        <v>GRSM 6</v>
      </c>
      <c r="E2300" s="20" t="str">
        <f>IFERROR(VLOOKUP(I2300,KET!$B:$F,4,0),"")</f>
        <v>WINDA</v>
      </c>
      <c r="F2300" s="20" t="str">
        <f>IFERROR(VLOOKUP(I2300,KET!$B:$F,5,0),"")</f>
        <v>GMM</v>
      </c>
      <c r="G2300" s="20">
        <f>IFERROR(INDEX('Kode Outlet dan Target Toko'!$C:$C,MATCH($I2300,'Kode Outlet dan Target Toko'!$E:$E,0)),0)</f>
        <v>103765</v>
      </c>
      <c r="H2300" s="20">
        <f>IFERROR(INDEX('Kode Outlet dan Target Toko'!$D:$D,MATCH($I2300,'Kode Outlet dan Target Toko'!$E:$E,0)),0)</f>
        <v>4307038</v>
      </c>
      <c r="I2300" s="42" t="s">
        <v>48</v>
      </c>
      <c r="J2300" s="56" t="s">
        <v>270</v>
      </c>
      <c r="K2300" s="40" t="s">
        <v>14</v>
      </c>
      <c r="L2300" s="26">
        <v>3000</v>
      </c>
      <c r="M2300" s="26">
        <v>100</v>
      </c>
      <c r="N2300" s="25">
        <f t="shared" si="71"/>
        <v>300000</v>
      </c>
      <c r="O2300" s="56"/>
    </row>
    <row r="2301" spans="1:15" hidden="1" x14ac:dyDescent="0.3">
      <c r="A2301" s="26">
        <v>30</v>
      </c>
      <c r="B2301" s="20" t="str">
        <f t="shared" si="70"/>
        <v>JUL</v>
      </c>
      <c r="C2301" s="21">
        <v>46229</v>
      </c>
      <c r="D2301" s="22" t="str">
        <f t="array" ref="D2301">IFERROR(INDEX('Kode Outlet dan Target Toko'!$A:$A,MATCH($I2301,'Kode Outlet dan Target Toko'!$E:$E,0)),"")</f>
        <v>GRSM 6</v>
      </c>
      <c r="E2301" s="20" t="str">
        <f>IFERROR(VLOOKUP(I2301,KET!$B:$F,4,0),"")</f>
        <v>WINDA</v>
      </c>
      <c r="F2301" s="20" t="str">
        <f>IFERROR(VLOOKUP(I2301,KET!$B:$F,5,0),"")</f>
        <v>GMM</v>
      </c>
      <c r="G2301" s="20">
        <f>IFERROR(INDEX('Kode Outlet dan Target Toko'!$C:$C,MATCH($I2301,'Kode Outlet dan Target Toko'!$E:$E,0)),0)</f>
        <v>103765</v>
      </c>
      <c r="H2301" s="20">
        <f>IFERROR(INDEX('Kode Outlet dan Target Toko'!$D:$D,MATCH($I2301,'Kode Outlet dan Target Toko'!$E:$E,0)),0)</f>
        <v>4307038</v>
      </c>
      <c r="I2301" s="42" t="s">
        <v>48</v>
      </c>
      <c r="J2301" s="56" t="s">
        <v>270</v>
      </c>
      <c r="K2301" s="40" t="s">
        <v>15</v>
      </c>
      <c r="L2301" s="26">
        <v>3000</v>
      </c>
      <c r="M2301" s="26">
        <v>130</v>
      </c>
      <c r="N2301" s="25">
        <f t="shared" si="71"/>
        <v>390000</v>
      </c>
      <c r="O2301" s="56"/>
    </row>
    <row r="2302" spans="1:15" hidden="1" x14ac:dyDescent="0.3">
      <c r="A2302" s="26">
        <v>30</v>
      </c>
      <c r="B2302" s="20" t="str">
        <f t="shared" si="70"/>
        <v>JUL</v>
      </c>
      <c r="C2302" s="21">
        <v>46229</v>
      </c>
      <c r="D2302" s="22" t="str">
        <f t="array" ref="D2302">IFERROR(INDEX('Kode Outlet dan Target Toko'!$A:$A,MATCH($I2302,'Kode Outlet dan Target Toko'!$E:$E,0)),"")</f>
        <v>GRSM 6</v>
      </c>
      <c r="E2302" s="20" t="str">
        <f>IFERROR(VLOOKUP(I2302,KET!$B:$F,4,0),"")</f>
        <v>WINDA</v>
      </c>
      <c r="F2302" s="20" t="str">
        <f>IFERROR(VLOOKUP(I2302,KET!$B:$F,5,0),"")</f>
        <v>GMM</v>
      </c>
      <c r="G2302" s="20">
        <f>IFERROR(INDEX('Kode Outlet dan Target Toko'!$C:$C,MATCH($I2302,'Kode Outlet dan Target Toko'!$E:$E,0)),0)</f>
        <v>103765</v>
      </c>
      <c r="H2302" s="20">
        <f>IFERROR(INDEX('Kode Outlet dan Target Toko'!$D:$D,MATCH($I2302,'Kode Outlet dan Target Toko'!$E:$E,0)),0)</f>
        <v>4307038</v>
      </c>
      <c r="I2302" s="42" t="s">
        <v>48</v>
      </c>
      <c r="J2302" s="56" t="s">
        <v>270</v>
      </c>
      <c r="K2302" s="40" t="s">
        <v>16</v>
      </c>
      <c r="L2302" s="26">
        <v>3000</v>
      </c>
      <c r="M2302" s="26">
        <v>254</v>
      </c>
      <c r="N2302" s="25">
        <f t="shared" si="71"/>
        <v>762000</v>
      </c>
      <c r="O2302" s="56"/>
    </row>
    <row r="2303" spans="1:15" hidden="1" x14ac:dyDescent="0.3">
      <c r="A2303" s="26">
        <v>30</v>
      </c>
      <c r="B2303" s="20" t="str">
        <f t="shared" si="70"/>
        <v>JUL</v>
      </c>
      <c r="C2303" s="21">
        <v>46229</v>
      </c>
      <c r="D2303" s="22" t="str">
        <f t="array" ref="D2303">IFERROR(INDEX('Kode Outlet dan Target Toko'!$A:$A,MATCH($I2303,'Kode Outlet dan Target Toko'!$E:$E,0)),"")</f>
        <v>GRSM 6</v>
      </c>
      <c r="E2303" s="20" t="str">
        <f>IFERROR(VLOOKUP(I2303,KET!$B:$F,4,0),"")</f>
        <v>WINDA</v>
      </c>
      <c r="F2303" s="20" t="str">
        <f>IFERROR(VLOOKUP(I2303,KET!$B:$F,5,0),"")</f>
        <v>GMM</v>
      </c>
      <c r="G2303" s="20">
        <f>IFERROR(INDEX('Kode Outlet dan Target Toko'!$C:$C,MATCH($I2303,'Kode Outlet dan Target Toko'!$E:$E,0)),0)</f>
        <v>211033</v>
      </c>
      <c r="H2303" s="20">
        <f>IFERROR(INDEX('Kode Outlet dan Target Toko'!$D:$D,MATCH($I2303,'Kode Outlet dan Target Toko'!$E:$E,0)),0)</f>
        <v>2001021</v>
      </c>
      <c r="I2303" s="42" t="s">
        <v>66</v>
      </c>
      <c r="J2303" s="56" t="s">
        <v>283</v>
      </c>
      <c r="K2303" s="40" t="s">
        <v>13</v>
      </c>
      <c r="L2303" s="26">
        <v>3000</v>
      </c>
      <c r="M2303" s="26">
        <v>99</v>
      </c>
      <c r="N2303" s="25">
        <f t="shared" si="71"/>
        <v>297000</v>
      </c>
      <c r="O2303" s="56"/>
    </row>
    <row r="2304" spans="1:15" hidden="1" x14ac:dyDescent="0.3">
      <c r="A2304" s="26">
        <v>30</v>
      </c>
      <c r="B2304" s="20" t="str">
        <f t="shared" si="70"/>
        <v>JUL</v>
      </c>
      <c r="C2304" s="21">
        <v>46229</v>
      </c>
      <c r="D2304" s="22" t="str">
        <f t="array" ref="D2304">IFERROR(INDEX('Kode Outlet dan Target Toko'!$A:$A,MATCH($I2304,'Kode Outlet dan Target Toko'!$E:$E,0)),"")</f>
        <v>GRSM 6</v>
      </c>
      <c r="E2304" s="20" t="str">
        <f>IFERROR(VLOOKUP(I2304,KET!$B:$F,4,0),"")</f>
        <v>WINDA</v>
      </c>
      <c r="F2304" s="20" t="str">
        <f>IFERROR(VLOOKUP(I2304,KET!$B:$F,5,0),"")</f>
        <v>GMM</v>
      </c>
      <c r="G2304" s="20">
        <f>IFERROR(INDEX('Kode Outlet dan Target Toko'!$C:$C,MATCH($I2304,'Kode Outlet dan Target Toko'!$E:$E,0)),0)</f>
        <v>211033</v>
      </c>
      <c r="H2304" s="20">
        <f>IFERROR(INDEX('Kode Outlet dan Target Toko'!$D:$D,MATCH($I2304,'Kode Outlet dan Target Toko'!$E:$E,0)),0)</f>
        <v>2001021</v>
      </c>
      <c r="I2304" s="42" t="s">
        <v>66</v>
      </c>
      <c r="J2304" s="56" t="s">
        <v>283</v>
      </c>
      <c r="K2304" s="40" t="s">
        <v>14</v>
      </c>
      <c r="L2304" s="26">
        <v>3000</v>
      </c>
      <c r="M2304" s="26">
        <v>138</v>
      </c>
      <c r="N2304" s="25">
        <f t="shared" si="71"/>
        <v>414000</v>
      </c>
      <c r="O2304" s="56"/>
    </row>
    <row r="2305" spans="1:15" hidden="1" x14ac:dyDescent="0.3">
      <c r="A2305" s="26">
        <v>30</v>
      </c>
      <c r="B2305" s="20" t="str">
        <f t="shared" si="70"/>
        <v>JUL</v>
      </c>
      <c r="C2305" s="21">
        <v>46229</v>
      </c>
      <c r="D2305" s="22" t="str">
        <f t="array" ref="D2305">IFERROR(INDEX('Kode Outlet dan Target Toko'!$A:$A,MATCH($I2305,'Kode Outlet dan Target Toko'!$E:$E,0)),"")</f>
        <v>GRSM 6</v>
      </c>
      <c r="E2305" s="20" t="str">
        <f>IFERROR(VLOOKUP(I2305,KET!$B:$F,4,0),"")</f>
        <v>WINDA</v>
      </c>
      <c r="F2305" s="20" t="str">
        <f>IFERROR(VLOOKUP(I2305,KET!$B:$F,5,0),"")</f>
        <v>GMM</v>
      </c>
      <c r="G2305" s="20">
        <f>IFERROR(INDEX('Kode Outlet dan Target Toko'!$C:$C,MATCH($I2305,'Kode Outlet dan Target Toko'!$E:$E,0)),0)</f>
        <v>211033</v>
      </c>
      <c r="H2305" s="20">
        <f>IFERROR(INDEX('Kode Outlet dan Target Toko'!$D:$D,MATCH($I2305,'Kode Outlet dan Target Toko'!$E:$E,0)),0)</f>
        <v>2001021</v>
      </c>
      <c r="I2305" s="42" t="s">
        <v>66</v>
      </c>
      <c r="J2305" s="56" t="s">
        <v>283</v>
      </c>
      <c r="K2305" s="40" t="s">
        <v>15</v>
      </c>
      <c r="L2305" s="26">
        <v>3000</v>
      </c>
      <c r="M2305" s="26">
        <v>105</v>
      </c>
      <c r="N2305" s="25">
        <f t="shared" si="71"/>
        <v>315000</v>
      </c>
      <c r="O2305" s="56"/>
    </row>
    <row r="2306" spans="1:15" hidden="1" x14ac:dyDescent="0.3">
      <c r="A2306" s="26">
        <v>30</v>
      </c>
      <c r="B2306" s="20" t="str">
        <f t="shared" si="70"/>
        <v>JUL</v>
      </c>
      <c r="C2306" s="21">
        <v>46229</v>
      </c>
      <c r="D2306" s="22" t="str">
        <f t="array" ref="D2306">IFERROR(INDEX('Kode Outlet dan Target Toko'!$A:$A,MATCH($I2306,'Kode Outlet dan Target Toko'!$E:$E,0)),"")</f>
        <v>GRSM 6</v>
      </c>
      <c r="E2306" s="20" t="str">
        <f>IFERROR(VLOOKUP(I2306,KET!$B:$F,4,0),"")</f>
        <v>WINDA</v>
      </c>
      <c r="F2306" s="20" t="str">
        <f>IFERROR(VLOOKUP(I2306,KET!$B:$F,5,0),"")</f>
        <v>GMM</v>
      </c>
      <c r="G2306" s="20">
        <f>IFERROR(INDEX('Kode Outlet dan Target Toko'!$C:$C,MATCH($I2306,'Kode Outlet dan Target Toko'!$E:$E,0)),0)</f>
        <v>211033</v>
      </c>
      <c r="H2306" s="20">
        <f>IFERROR(INDEX('Kode Outlet dan Target Toko'!$D:$D,MATCH($I2306,'Kode Outlet dan Target Toko'!$E:$E,0)),0)</f>
        <v>2001021</v>
      </c>
      <c r="I2306" s="42" t="s">
        <v>66</v>
      </c>
      <c r="J2306" s="56" t="s">
        <v>283</v>
      </c>
      <c r="K2306" s="40" t="s">
        <v>16</v>
      </c>
      <c r="L2306" s="26">
        <v>3000</v>
      </c>
      <c r="M2306" s="26">
        <v>222</v>
      </c>
      <c r="N2306" s="25">
        <f t="shared" si="71"/>
        <v>666000</v>
      </c>
      <c r="O2306" s="56"/>
    </row>
    <row r="2307" spans="1:15" hidden="1" x14ac:dyDescent="0.3">
      <c r="A2307" s="26">
        <v>30</v>
      </c>
      <c r="B2307" s="20" t="str">
        <f t="shared" si="70"/>
        <v>JUL</v>
      </c>
      <c r="C2307" s="21">
        <v>46229</v>
      </c>
      <c r="D2307" s="22" t="str">
        <f t="array" ref="D2307">IFERROR(INDEX('Kode Outlet dan Target Toko'!$A:$A,MATCH($I2307,'Kode Outlet dan Target Toko'!$E:$E,0)),"")</f>
        <v>GRSM 6</v>
      </c>
      <c r="E2307" s="20" t="str">
        <f>IFERROR(VLOOKUP(I2307,KET!$B:$F,4,0),"")</f>
        <v>WINDA</v>
      </c>
      <c r="F2307" s="20" t="str">
        <f>IFERROR(VLOOKUP(I2307,KET!$B:$F,5,0),"")</f>
        <v>GMM</v>
      </c>
      <c r="G2307" s="20">
        <f>IFERROR(INDEX('Kode Outlet dan Target Toko'!$C:$C,MATCH($I2307,'Kode Outlet dan Target Toko'!$E:$E,0)),0)</f>
        <v>211033</v>
      </c>
      <c r="H2307" s="20">
        <f>IFERROR(INDEX('Kode Outlet dan Target Toko'!$D:$D,MATCH($I2307,'Kode Outlet dan Target Toko'!$E:$E,0)),0)</f>
        <v>2001021</v>
      </c>
      <c r="I2307" s="42" t="s">
        <v>66</v>
      </c>
      <c r="J2307" s="56" t="s">
        <v>284</v>
      </c>
      <c r="K2307" s="40" t="s">
        <v>13</v>
      </c>
      <c r="L2307" s="26">
        <v>3000</v>
      </c>
      <c r="M2307" s="26">
        <v>99</v>
      </c>
      <c r="N2307" s="25">
        <f t="shared" si="71"/>
        <v>297000</v>
      </c>
      <c r="O2307" s="56"/>
    </row>
    <row r="2308" spans="1:15" hidden="1" x14ac:dyDescent="0.3">
      <c r="A2308" s="26">
        <v>30</v>
      </c>
      <c r="B2308" s="20" t="str">
        <f t="shared" si="70"/>
        <v>JUL</v>
      </c>
      <c r="C2308" s="21">
        <v>46229</v>
      </c>
      <c r="D2308" s="22" t="str">
        <f t="array" ref="D2308">IFERROR(INDEX('Kode Outlet dan Target Toko'!$A:$A,MATCH($I2308,'Kode Outlet dan Target Toko'!$E:$E,0)),"")</f>
        <v>GRSM 6</v>
      </c>
      <c r="E2308" s="20" t="str">
        <f>IFERROR(VLOOKUP(I2308,KET!$B:$F,4,0),"")</f>
        <v>WINDA</v>
      </c>
      <c r="F2308" s="20" t="str">
        <f>IFERROR(VLOOKUP(I2308,KET!$B:$F,5,0),"")</f>
        <v>GMM</v>
      </c>
      <c r="G2308" s="20">
        <f>IFERROR(INDEX('Kode Outlet dan Target Toko'!$C:$C,MATCH($I2308,'Kode Outlet dan Target Toko'!$E:$E,0)),0)</f>
        <v>211033</v>
      </c>
      <c r="H2308" s="20">
        <f>IFERROR(INDEX('Kode Outlet dan Target Toko'!$D:$D,MATCH($I2308,'Kode Outlet dan Target Toko'!$E:$E,0)),0)</f>
        <v>2001021</v>
      </c>
      <c r="I2308" s="42" t="s">
        <v>66</v>
      </c>
      <c r="J2308" s="56" t="s">
        <v>284</v>
      </c>
      <c r="K2308" s="40" t="s">
        <v>14</v>
      </c>
      <c r="L2308" s="26">
        <v>3000</v>
      </c>
      <c r="M2308" s="26">
        <v>138</v>
      </c>
      <c r="N2308" s="25">
        <f t="shared" si="71"/>
        <v>414000</v>
      </c>
      <c r="O2308" s="56"/>
    </row>
    <row r="2309" spans="1:15" hidden="1" x14ac:dyDescent="0.3">
      <c r="A2309" s="26">
        <v>30</v>
      </c>
      <c r="B2309" s="20" t="str">
        <f t="shared" si="70"/>
        <v>JUL</v>
      </c>
      <c r="C2309" s="21">
        <v>46229</v>
      </c>
      <c r="D2309" s="22" t="str">
        <f t="array" ref="D2309">IFERROR(INDEX('Kode Outlet dan Target Toko'!$A:$A,MATCH($I2309,'Kode Outlet dan Target Toko'!$E:$E,0)),"")</f>
        <v>GRSM 6</v>
      </c>
      <c r="E2309" s="20" t="str">
        <f>IFERROR(VLOOKUP(I2309,KET!$B:$F,4,0),"")</f>
        <v>WINDA</v>
      </c>
      <c r="F2309" s="20" t="str">
        <f>IFERROR(VLOOKUP(I2309,KET!$B:$F,5,0),"")</f>
        <v>GMM</v>
      </c>
      <c r="G2309" s="20">
        <f>IFERROR(INDEX('Kode Outlet dan Target Toko'!$C:$C,MATCH($I2309,'Kode Outlet dan Target Toko'!$E:$E,0)),0)</f>
        <v>211033</v>
      </c>
      <c r="H2309" s="20">
        <f>IFERROR(INDEX('Kode Outlet dan Target Toko'!$D:$D,MATCH($I2309,'Kode Outlet dan Target Toko'!$E:$E,0)),0)</f>
        <v>2001021</v>
      </c>
      <c r="I2309" s="42" t="s">
        <v>66</v>
      </c>
      <c r="J2309" s="56" t="s">
        <v>284</v>
      </c>
      <c r="K2309" s="40" t="s">
        <v>15</v>
      </c>
      <c r="L2309" s="26">
        <v>3000</v>
      </c>
      <c r="M2309" s="26">
        <v>105</v>
      </c>
      <c r="N2309" s="25">
        <f t="shared" si="71"/>
        <v>315000</v>
      </c>
      <c r="O2309" s="56"/>
    </row>
    <row r="2310" spans="1:15" hidden="1" x14ac:dyDescent="0.3">
      <c r="A2310" s="26">
        <v>30</v>
      </c>
      <c r="B2310" s="20" t="str">
        <f t="shared" si="70"/>
        <v>JUL</v>
      </c>
      <c r="C2310" s="21">
        <v>46229</v>
      </c>
      <c r="D2310" s="22" t="str">
        <f t="array" ref="D2310">IFERROR(INDEX('Kode Outlet dan Target Toko'!$A:$A,MATCH($I2310,'Kode Outlet dan Target Toko'!$E:$E,0)),"")</f>
        <v>GRSM 6</v>
      </c>
      <c r="E2310" s="20" t="str">
        <f>IFERROR(VLOOKUP(I2310,KET!$B:$F,4,0),"")</f>
        <v>WINDA</v>
      </c>
      <c r="F2310" s="20" t="str">
        <f>IFERROR(VLOOKUP(I2310,KET!$B:$F,5,0),"")</f>
        <v>GMM</v>
      </c>
      <c r="G2310" s="20">
        <f>IFERROR(INDEX('Kode Outlet dan Target Toko'!$C:$C,MATCH($I2310,'Kode Outlet dan Target Toko'!$E:$E,0)),0)</f>
        <v>211033</v>
      </c>
      <c r="H2310" s="20">
        <f>IFERROR(INDEX('Kode Outlet dan Target Toko'!$D:$D,MATCH($I2310,'Kode Outlet dan Target Toko'!$E:$E,0)),0)</f>
        <v>2001021</v>
      </c>
      <c r="I2310" s="42" t="s">
        <v>66</v>
      </c>
      <c r="J2310" s="56" t="s">
        <v>284</v>
      </c>
      <c r="K2310" s="40" t="s">
        <v>16</v>
      </c>
      <c r="L2310" s="26">
        <v>3000</v>
      </c>
      <c r="M2310" s="26">
        <v>222</v>
      </c>
      <c r="N2310" s="25">
        <f t="shared" si="71"/>
        <v>666000</v>
      </c>
      <c r="O2310" s="56"/>
    </row>
    <row r="2311" spans="1:15" hidden="1" x14ac:dyDescent="0.3">
      <c r="A2311" s="26">
        <v>30</v>
      </c>
      <c r="B2311" s="20" t="str">
        <f t="shared" ref="B2311:B2374" si="72">IF(C2311="","",UPPER(TEXT(C2311, "MMM")))</f>
        <v>JUL</v>
      </c>
      <c r="C2311" s="21">
        <v>46229</v>
      </c>
      <c r="D2311" s="22" t="str">
        <f t="array" ref="D2311">IFERROR(INDEX('Kode Outlet dan Target Toko'!$A:$A,MATCH($I2311,'Kode Outlet dan Target Toko'!$E:$E,0)),"")</f>
        <v>GRSM 6</v>
      </c>
      <c r="E2311" s="20" t="str">
        <f>IFERROR(VLOOKUP(I2311,KET!$B:$F,4,0),"")</f>
        <v>WINDA</v>
      </c>
      <c r="F2311" s="20" t="str">
        <f>IFERROR(VLOOKUP(I2311,KET!$B:$F,5,0),"")</f>
        <v>GMM</v>
      </c>
      <c r="G2311" s="20">
        <f>IFERROR(INDEX('Kode Outlet dan Target Toko'!$C:$C,MATCH($I2311,'Kode Outlet dan Target Toko'!$E:$E,0)),0)</f>
        <v>211163</v>
      </c>
      <c r="H2311" s="20">
        <f>IFERROR(INDEX('Kode Outlet dan Target Toko'!$D:$D,MATCH($I2311,'Kode Outlet dan Target Toko'!$E:$E,0)),0)</f>
        <v>3703219</v>
      </c>
      <c r="I2311" s="42" t="s">
        <v>52</v>
      </c>
      <c r="J2311" s="56" t="s">
        <v>274</v>
      </c>
      <c r="K2311" s="40" t="s">
        <v>13</v>
      </c>
      <c r="L2311" s="26">
        <v>2900</v>
      </c>
      <c r="M2311" s="26">
        <v>0</v>
      </c>
      <c r="N2311" s="25">
        <f t="shared" ref="N2311:N2374" si="73">IFERROR(M2311*L2311,"")</f>
        <v>0</v>
      </c>
      <c r="O2311" s="56"/>
    </row>
    <row r="2312" spans="1:15" hidden="1" x14ac:dyDescent="0.3">
      <c r="A2312" s="26">
        <v>30</v>
      </c>
      <c r="B2312" s="20" t="str">
        <f t="shared" si="72"/>
        <v>JUL</v>
      </c>
      <c r="C2312" s="21">
        <v>46229</v>
      </c>
      <c r="D2312" s="22" t="str">
        <f t="array" ref="D2312">IFERROR(INDEX('Kode Outlet dan Target Toko'!$A:$A,MATCH($I2312,'Kode Outlet dan Target Toko'!$E:$E,0)),"")</f>
        <v>GRSM 6</v>
      </c>
      <c r="E2312" s="20" t="str">
        <f>IFERROR(VLOOKUP(I2312,KET!$B:$F,4,0),"")</f>
        <v>WINDA</v>
      </c>
      <c r="F2312" s="20" t="str">
        <f>IFERROR(VLOOKUP(I2312,KET!$B:$F,5,0),"")</f>
        <v>GMM</v>
      </c>
      <c r="G2312" s="20">
        <f>IFERROR(INDEX('Kode Outlet dan Target Toko'!$C:$C,MATCH($I2312,'Kode Outlet dan Target Toko'!$E:$E,0)),0)</f>
        <v>211163</v>
      </c>
      <c r="H2312" s="20">
        <f>IFERROR(INDEX('Kode Outlet dan Target Toko'!$D:$D,MATCH($I2312,'Kode Outlet dan Target Toko'!$E:$E,0)),0)</f>
        <v>3703219</v>
      </c>
      <c r="I2312" s="42" t="s">
        <v>52</v>
      </c>
      <c r="J2312" s="56" t="s">
        <v>274</v>
      </c>
      <c r="K2312" s="40" t="s">
        <v>14</v>
      </c>
      <c r="L2312" s="26">
        <v>2900</v>
      </c>
      <c r="M2312" s="26">
        <v>226</v>
      </c>
      <c r="N2312" s="25">
        <f t="shared" si="73"/>
        <v>655400</v>
      </c>
      <c r="O2312" s="56"/>
    </row>
    <row r="2313" spans="1:15" hidden="1" x14ac:dyDescent="0.3">
      <c r="A2313" s="26">
        <v>30</v>
      </c>
      <c r="B2313" s="20" t="str">
        <f t="shared" si="72"/>
        <v>JUL</v>
      </c>
      <c r="C2313" s="21">
        <v>46229</v>
      </c>
      <c r="D2313" s="22" t="str">
        <f t="array" ref="D2313">IFERROR(INDEX('Kode Outlet dan Target Toko'!$A:$A,MATCH($I2313,'Kode Outlet dan Target Toko'!$E:$E,0)),"")</f>
        <v>GRSM 6</v>
      </c>
      <c r="E2313" s="20" t="str">
        <f>IFERROR(VLOOKUP(I2313,KET!$B:$F,4,0),"")</f>
        <v>WINDA</v>
      </c>
      <c r="F2313" s="20" t="str">
        <f>IFERROR(VLOOKUP(I2313,KET!$B:$F,5,0),"")</f>
        <v>GMM</v>
      </c>
      <c r="G2313" s="20">
        <f>IFERROR(INDEX('Kode Outlet dan Target Toko'!$C:$C,MATCH($I2313,'Kode Outlet dan Target Toko'!$E:$E,0)),0)</f>
        <v>211163</v>
      </c>
      <c r="H2313" s="20">
        <f>IFERROR(INDEX('Kode Outlet dan Target Toko'!$D:$D,MATCH($I2313,'Kode Outlet dan Target Toko'!$E:$E,0)),0)</f>
        <v>3703219</v>
      </c>
      <c r="I2313" s="42" t="s">
        <v>52</v>
      </c>
      <c r="J2313" s="56" t="s">
        <v>274</v>
      </c>
      <c r="K2313" s="40" t="s">
        <v>15</v>
      </c>
      <c r="L2313" s="26">
        <v>2900</v>
      </c>
      <c r="M2313" s="26">
        <v>184</v>
      </c>
      <c r="N2313" s="25">
        <f t="shared" si="73"/>
        <v>533600</v>
      </c>
      <c r="O2313" s="56"/>
    </row>
    <row r="2314" spans="1:15" hidden="1" x14ac:dyDescent="0.3">
      <c r="A2314" s="26">
        <v>30</v>
      </c>
      <c r="B2314" s="20" t="str">
        <f t="shared" si="72"/>
        <v>JUL</v>
      </c>
      <c r="C2314" s="21">
        <v>46229</v>
      </c>
      <c r="D2314" s="22" t="str">
        <f t="array" ref="D2314">IFERROR(INDEX('Kode Outlet dan Target Toko'!$A:$A,MATCH($I2314,'Kode Outlet dan Target Toko'!$E:$E,0)),"")</f>
        <v>GRSM 6</v>
      </c>
      <c r="E2314" s="20" t="str">
        <f>IFERROR(VLOOKUP(I2314,KET!$B:$F,4,0),"")</f>
        <v>WINDA</v>
      </c>
      <c r="F2314" s="20" t="str">
        <f>IFERROR(VLOOKUP(I2314,KET!$B:$F,5,0),"")</f>
        <v>GMM</v>
      </c>
      <c r="G2314" s="20">
        <f>IFERROR(INDEX('Kode Outlet dan Target Toko'!$C:$C,MATCH($I2314,'Kode Outlet dan Target Toko'!$E:$E,0)),0)</f>
        <v>211163</v>
      </c>
      <c r="H2314" s="20">
        <f>IFERROR(INDEX('Kode Outlet dan Target Toko'!$D:$D,MATCH($I2314,'Kode Outlet dan Target Toko'!$E:$E,0)),0)</f>
        <v>3703219</v>
      </c>
      <c r="I2314" s="42" t="s">
        <v>52</v>
      </c>
      <c r="J2314" s="56" t="s">
        <v>274</v>
      </c>
      <c r="K2314" s="40" t="s">
        <v>16</v>
      </c>
      <c r="L2314" s="26">
        <v>2900</v>
      </c>
      <c r="M2314" s="26">
        <v>380</v>
      </c>
      <c r="N2314" s="25">
        <f t="shared" si="73"/>
        <v>1102000</v>
      </c>
      <c r="O2314" s="56"/>
    </row>
    <row r="2315" spans="1:15" hidden="1" x14ac:dyDescent="0.3">
      <c r="A2315" s="26">
        <v>30</v>
      </c>
      <c r="B2315" s="20" t="str">
        <f t="shared" si="72"/>
        <v>JUL</v>
      </c>
      <c r="C2315" s="21">
        <v>46229</v>
      </c>
      <c r="D2315" s="22" t="str">
        <f t="array" ref="D2315">IFERROR(INDEX('Kode Outlet dan Target Toko'!$A:$A,MATCH($I2315,'Kode Outlet dan Target Toko'!$E:$E,0)),"")</f>
        <v>GRSM 6</v>
      </c>
      <c r="E2315" s="20" t="str">
        <f>IFERROR(VLOOKUP(I2315,KET!$B:$F,4,0),"")</f>
        <v>WINDA</v>
      </c>
      <c r="F2315" s="20" t="str">
        <f>IFERROR(VLOOKUP(I2315,KET!$B:$F,5,0),"")</f>
        <v>GMM</v>
      </c>
      <c r="G2315" s="20">
        <f>IFERROR(INDEX('Kode Outlet dan Target Toko'!$C:$C,MATCH($I2315,'Kode Outlet dan Target Toko'!$E:$E,0)),0)</f>
        <v>211163</v>
      </c>
      <c r="H2315" s="20">
        <f>IFERROR(INDEX('Kode Outlet dan Target Toko'!$D:$D,MATCH($I2315,'Kode Outlet dan Target Toko'!$E:$E,0)),0)</f>
        <v>3703219</v>
      </c>
      <c r="I2315" s="42" t="s">
        <v>52</v>
      </c>
      <c r="J2315" s="56" t="s">
        <v>273</v>
      </c>
      <c r="K2315" s="40" t="s">
        <v>13</v>
      </c>
      <c r="L2315" s="26">
        <v>2900</v>
      </c>
      <c r="M2315" s="26">
        <v>0</v>
      </c>
      <c r="N2315" s="25">
        <f t="shared" si="73"/>
        <v>0</v>
      </c>
      <c r="O2315" s="56"/>
    </row>
    <row r="2316" spans="1:15" hidden="1" x14ac:dyDescent="0.3">
      <c r="A2316" s="26">
        <v>30</v>
      </c>
      <c r="B2316" s="20" t="str">
        <f t="shared" si="72"/>
        <v>JUL</v>
      </c>
      <c r="C2316" s="21">
        <v>46229</v>
      </c>
      <c r="D2316" s="22" t="str">
        <f t="array" ref="D2316">IFERROR(INDEX('Kode Outlet dan Target Toko'!$A:$A,MATCH($I2316,'Kode Outlet dan Target Toko'!$E:$E,0)),"")</f>
        <v>GRSM 6</v>
      </c>
      <c r="E2316" s="20" t="str">
        <f>IFERROR(VLOOKUP(I2316,KET!$B:$F,4,0),"")</f>
        <v>WINDA</v>
      </c>
      <c r="F2316" s="20" t="str">
        <f>IFERROR(VLOOKUP(I2316,KET!$B:$F,5,0),"")</f>
        <v>GMM</v>
      </c>
      <c r="G2316" s="20">
        <f>IFERROR(INDEX('Kode Outlet dan Target Toko'!$C:$C,MATCH($I2316,'Kode Outlet dan Target Toko'!$E:$E,0)),0)</f>
        <v>211163</v>
      </c>
      <c r="H2316" s="20">
        <f>IFERROR(INDEX('Kode Outlet dan Target Toko'!$D:$D,MATCH($I2316,'Kode Outlet dan Target Toko'!$E:$E,0)),0)</f>
        <v>3703219</v>
      </c>
      <c r="I2316" s="42" t="s">
        <v>52</v>
      </c>
      <c r="J2316" s="56" t="s">
        <v>273</v>
      </c>
      <c r="K2316" s="40" t="s">
        <v>14</v>
      </c>
      <c r="L2316" s="26">
        <v>2900</v>
      </c>
      <c r="M2316" s="26">
        <v>226</v>
      </c>
      <c r="N2316" s="25">
        <f t="shared" si="73"/>
        <v>655400</v>
      </c>
      <c r="O2316" s="56"/>
    </row>
    <row r="2317" spans="1:15" hidden="1" x14ac:dyDescent="0.3">
      <c r="A2317" s="26">
        <v>30</v>
      </c>
      <c r="B2317" s="20" t="str">
        <f t="shared" si="72"/>
        <v>JUL</v>
      </c>
      <c r="C2317" s="21">
        <v>46229</v>
      </c>
      <c r="D2317" s="22" t="str">
        <f t="array" ref="D2317">IFERROR(INDEX('Kode Outlet dan Target Toko'!$A:$A,MATCH($I2317,'Kode Outlet dan Target Toko'!$E:$E,0)),"")</f>
        <v>GRSM 6</v>
      </c>
      <c r="E2317" s="20" t="str">
        <f>IFERROR(VLOOKUP(I2317,KET!$B:$F,4,0),"")</f>
        <v>WINDA</v>
      </c>
      <c r="F2317" s="20" t="str">
        <f>IFERROR(VLOOKUP(I2317,KET!$B:$F,5,0),"")</f>
        <v>GMM</v>
      </c>
      <c r="G2317" s="20">
        <f>IFERROR(INDEX('Kode Outlet dan Target Toko'!$C:$C,MATCH($I2317,'Kode Outlet dan Target Toko'!$E:$E,0)),0)</f>
        <v>211163</v>
      </c>
      <c r="H2317" s="20">
        <f>IFERROR(INDEX('Kode Outlet dan Target Toko'!$D:$D,MATCH($I2317,'Kode Outlet dan Target Toko'!$E:$E,0)),0)</f>
        <v>3703219</v>
      </c>
      <c r="I2317" s="42" t="s">
        <v>52</v>
      </c>
      <c r="J2317" s="56" t="s">
        <v>273</v>
      </c>
      <c r="K2317" s="40" t="s">
        <v>15</v>
      </c>
      <c r="L2317" s="26">
        <v>2900</v>
      </c>
      <c r="M2317" s="26">
        <v>184</v>
      </c>
      <c r="N2317" s="25">
        <f t="shared" si="73"/>
        <v>533600</v>
      </c>
      <c r="O2317" s="56"/>
    </row>
    <row r="2318" spans="1:15" hidden="1" x14ac:dyDescent="0.3">
      <c r="A2318" s="26">
        <v>30</v>
      </c>
      <c r="B2318" s="20" t="str">
        <f t="shared" si="72"/>
        <v>JUL</v>
      </c>
      <c r="C2318" s="21">
        <v>46229</v>
      </c>
      <c r="D2318" s="22" t="str">
        <f t="array" ref="D2318">IFERROR(INDEX('Kode Outlet dan Target Toko'!$A:$A,MATCH($I2318,'Kode Outlet dan Target Toko'!$E:$E,0)),"")</f>
        <v>GRSM 6</v>
      </c>
      <c r="E2318" s="20" t="str">
        <f>IFERROR(VLOOKUP(I2318,KET!$B:$F,4,0),"")</f>
        <v>WINDA</v>
      </c>
      <c r="F2318" s="20" t="str">
        <f>IFERROR(VLOOKUP(I2318,KET!$B:$F,5,0),"")</f>
        <v>GMM</v>
      </c>
      <c r="G2318" s="20">
        <f>IFERROR(INDEX('Kode Outlet dan Target Toko'!$C:$C,MATCH($I2318,'Kode Outlet dan Target Toko'!$E:$E,0)),0)</f>
        <v>211163</v>
      </c>
      <c r="H2318" s="20">
        <f>IFERROR(INDEX('Kode Outlet dan Target Toko'!$D:$D,MATCH($I2318,'Kode Outlet dan Target Toko'!$E:$E,0)),0)</f>
        <v>3703219</v>
      </c>
      <c r="I2318" s="42" t="s">
        <v>52</v>
      </c>
      <c r="J2318" s="56" t="s">
        <v>273</v>
      </c>
      <c r="K2318" s="40" t="s">
        <v>16</v>
      </c>
      <c r="L2318" s="26">
        <v>2900</v>
      </c>
      <c r="M2318" s="26">
        <v>380</v>
      </c>
      <c r="N2318" s="25">
        <f t="shared" si="73"/>
        <v>1102000</v>
      </c>
      <c r="O2318" s="56"/>
    </row>
    <row r="2319" spans="1:15" hidden="1" x14ac:dyDescent="0.3">
      <c r="A2319" s="26">
        <v>30</v>
      </c>
      <c r="B2319" s="20" t="str">
        <f t="shared" si="72"/>
        <v>JUL</v>
      </c>
      <c r="C2319" s="21">
        <v>46229</v>
      </c>
      <c r="D2319" s="22" t="str">
        <f t="array" ref="D2319">IFERROR(INDEX('Kode Outlet dan Target Toko'!$A:$A,MATCH($I2319,'Kode Outlet dan Target Toko'!$E:$E,0)),"")</f>
        <v>GRSM 6</v>
      </c>
      <c r="E2319" s="20" t="str">
        <f>IFERROR(VLOOKUP(I2319,KET!$B:$F,4,0),"")</f>
        <v>WINDA</v>
      </c>
      <c r="F2319" s="20" t="str">
        <f>IFERROR(VLOOKUP(I2319,KET!$B:$F,5,0),"")</f>
        <v>GMM</v>
      </c>
      <c r="G2319" s="20">
        <f>IFERROR(INDEX('Kode Outlet dan Target Toko'!$C:$C,MATCH($I2319,'Kode Outlet dan Target Toko'!$E:$E,0)),0)</f>
        <v>211033</v>
      </c>
      <c r="H2319" s="20">
        <f>IFERROR(INDEX('Kode Outlet dan Target Toko'!$D:$D,MATCH($I2319,'Kode Outlet dan Target Toko'!$E:$E,0)),0)</f>
        <v>6467246</v>
      </c>
      <c r="I2319" s="42" t="s">
        <v>50</v>
      </c>
      <c r="J2319" s="56" t="s">
        <v>271</v>
      </c>
      <c r="K2319" s="40" t="s">
        <v>13</v>
      </c>
      <c r="L2319" s="26">
        <v>3100</v>
      </c>
      <c r="M2319" s="26">
        <v>98</v>
      </c>
      <c r="N2319" s="25">
        <f t="shared" si="73"/>
        <v>303800</v>
      </c>
      <c r="O2319" s="56"/>
    </row>
    <row r="2320" spans="1:15" hidden="1" x14ac:dyDescent="0.3">
      <c r="A2320" s="26">
        <v>30</v>
      </c>
      <c r="B2320" s="20" t="str">
        <f t="shared" si="72"/>
        <v>JUL</v>
      </c>
      <c r="C2320" s="21">
        <v>46229</v>
      </c>
      <c r="D2320" s="22" t="str">
        <f t="array" ref="D2320">IFERROR(INDEX('Kode Outlet dan Target Toko'!$A:$A,MATCH($I2320,'Kode Outlet dan Target Toko'!$E:$E,0)),"")</f>
        <v>GRSM 6</v>
      </c>
      <c r="E2320" s="20" t="str">
        <f>IFERROR(VLOOKUP(I2320,KET!$B:$F,4,0),"")</f>
        <v>WINDA</v>
      </c>
      <c r="F2320" s="20" t="str">
        <f>IFERROR(VLOOKUP(I2320,KET!$B:$F,5,0),"")</f>
        <v>GMM</v>
      </c>
      <c r="G2320" s="20">
        <f>IFERROR(INDEX('Kode Outlet dan Target Toko'!$C:$C,MATCH($I2320,'Kode Outlet dan Target Toko'!$E:$E,0)),0)</f>
        <v>211033</v>
      </c>
      <c r="H2320" s="20">
        <f>IFERROR(INDEX('Kode Outlet dan Target Toko'!$D:$D,MATCH($I2320,'Kode Outlet dan Target Toko'!$E:$E,0)),0)</f>
        <v>6467246</v>
      </c>
      <c r="I2320" s="42" t="s">
        <v>50</v>
      </c>
      <c r="J2320" s="56" t="s">
        <v>271</v>
      </c>
      <c r="K2320" s="40" t="s">
        <v>14</v>
      </c>
      <c r="L2320" s="26">
        <v>3100</v>
      </c>
      <c r="M2320" s="26">
        <v>268</v>
      </c>
      <c r="N2320" s="25">
        <f t="shared" si="73"/>
        <v>830800</v>
      </c>
      <c r="O2320" s="56"/>
    </row>
    <row r="2321" spans="1:15" hidden="1" x14ac:dyDescent="0.3">
      <c r="A2321" s="26">
        <v>30</v>
      </c>
      <c r="B2321" s="20" t="str">
        <f t="shared" si="72"/>
        <v>JUL</v>
      </c>
      <c r="C2321" s="21">
        <v>46229</v>
      </c>
      <c r="D2321" s="22" t="str">
        <f t="array" ref="D2321">IFERROR(INDEX('Kode Outlet dan Target Toko'!$A:$A,MATCH($I2321,'Kode Outlet dan Target Toko'!$E:$E,0)),"")</f>
        <v>GRSM 6</v>
      </c>
      <c r="E2321" s="20" t="str">
        <f>IFERROR(VLOOKUP(I2321,KET!$B:$F,4,0),"")</f>
        <v>WINDA</v>
      </c>
      <c r="F2321" s="20" t="str">
        <f>IFERROR(VLOOKUP(I2321,KET!$B:$F,5,0),"")</f>
        <v>GMM</v>
      </c>
      <c r="G2321" s="20">
        <f>IFERROR(INDEX('Kode Outlet dan Target Toko'!$C:$C,MATCH($I2321,'Kode Outlet dan Target Toko'!$E:$E,0)),0)</f>
        <v>211033</v>
      </c>
      <c r="H2321" s="20">
        <f>IFERROR(INDEX('Kode Outlet dan Target Toko'!$D:$D,MATCH($I2321,'Kode Outlet dan Target Toko'!$E:$E,0)),0)</f>
        <v>6467246</v>
      </c>
      <c r="I2321" s="42" t="s">
        <v>50</v>
      </c>
      <c r="J2321" s="56" t="s">
        <v>271</v>
      </c>
      <c r="K2321" s="40" t="s">
        <v>15</v>
      </c>
      <c r="L2321" s="26">
        <v>3100</v>
      </c>
      <c r="M2321" s="26">
        <v>118</v>
      </c>
      <c r="N2321" s="25">
        <f t="shared" si="73"/>
        <v>365800</v>
      </c>
      <c r="O2321" s="56"/>
    </row>
    <row r="2322" spans="1:15" hidden="1" x14ac:dyDescent="0.3">
      <c r="A2322" s="26">
        <v>30</v>
      </c>
      <c r="B2322" s="20" t="str">
        <f t="shared" si="72"/>
        <v>JUL</v>
      </c>
      <c r="C2322" s="21">
        <v>46229</v>
      </c>
      <c r="D2322" s="22" t="str">
        <f t="array" ref="D2322">IFERROR(INDEX('Kode Outlet dan Target Toko'!$A:$A,MATCH($I2322,'Kode Outlet dan Target Toko'!$E:$E,0)),"")</f>
        <v>GRSM 6</v>
      </c>
      <c r="E2322" s="20" t="str">
        <f>IFERROR(VLOOKUP(I2322,KET!$B:$F,4,0),"")</f>
        <v>WINDA</v>
      </c>
      <c r="F2322" s="20" t="str">
        <f>IFERROR(VLOOKUP(I2322,KET!$B:$F,5,0),"")</f>
        <v>GMM</v>
      </c>
      <c r="G2322" s="20">
        <f>IFERROR(INDEX('Kode Outlet dan Target Toko'!$C:$C,MATCH($I2322,'Kode Outlet dan Target Toko'!$E:$E,0)),0)</f>
        <v>211033</v>
      </c>
      <c r="H2322" s="20">
        <f>IFERROR(INDEX('Kode Outlet dan Target Toko'!$D:$D,MATCH($I2322,'Kode Outlet dan Target Toko'!$E:$E,0)),0)</f>
        <v>6467246</v>
      </c>
      <c r="I2322" s="42" t="s">
        <v>50</v>
      </c>
      <c r="J2322" s="56" t="s">
        <v>271</v>
      </c>
      <c r="K2322" s="40" t="s">
        <v>16</v>
      </c>
      <c r="L2322" s="26">
        <v>3100</v>
      </c>
      <c r="M2322" s="26">
        <v>495</v>
      </c>
      <c r="N2322" s="25">
        <f t="shared" si="73"/>
        <v>1534500</v>
      </c>
      <c r="O2322" s="56">
        <v>160</v>
      </c>
    </row>
    <row r="2323" spans="1:15" hidden="1" x14ac:dyDescent="0.3">
      <c r="A2323" s="26">
        <v>30</v>
      </c>
      <c r="B2323" s="20" t="str">
        <f t="shared" si="72"/>
        <v>JUL</v>
      </c>
      <c r="C2323" s="21">
        <v>46229</v>
      </c>
      <c r="D2323" s="22" t="str">
        <f t="array" ref="D2323">IFERROR(INDEX('Kode Outlet dan Target Toko'!$A:$A,MATCH($I2323,'Kode Outlet dan Target Toko'!$E:$E,0)),"")</f>
        <v>GRSM 6</v>
      </c>
      <c r="E2323" s="20" t="str">
        <f>IFERROR(VLOOKUP(I2323,KET!$B:$F,4,0),"")</f>
        <v>WINDA</v>
      </c>
      <c r="F2323" s="20" t="str">
        <f>IFERROR(VLOOKUP(I2323,KET!$B:$F,5,0),"")</f>
        <v>GMM</v>
      </c>
      <c r="G2323" s="20">
        <f>IFERROR(INDEX('Kode Outlet dan Target Toko'!$C:$C,MATCH($I2323,'Kode Outlet dan Target Toko'!$E:$E,0)),0)</f>
        <v>211033</v>
      </c>
      <c r="H2323" s="20">
        <f>IFERROR(INDEX('Kode Outlet dan Target Toko'!$D:$D,MATCH($I2323,'Kode Outlet dan Target Toko'!$E:$E,0)),0)</f>
        <v>6467246</v>
      </c>
      <c r="I2323" s="42" t="s">
        <v>50</v>
      </c>
      <c r="J2323" s="56" t="s">
        <v>272</v>
      </c>
      <c r="K2323" s="40" t="s">
        <v>13</v>
      </c>
      <c r="L2323" s="26">
        <v>3100</v>
      </c>
      <c r="M2323" s="26">
        <v>98</v>
      </c>
      <c r="N2323" s="25">
        <f t="shared" si="73"/>
        <v>303800</v>
      </c>
      <c r="O2323" s="56"/>
    </row>
    <row r="2324" spans="1:15" hidden="1" x14ac:dyDescent="0.3">
      <c r="A2324" s="26">
        <v>30</v>
      </c>
      <c r="B2324" s="20" t="str">
        <f t="shared" si="72"/>
        <v>JUL</v>
      </c>
      <c r="C2324" s="21">
        <v>46229</v>
      </c>
      <c r="D2324" s="22" t="str">
        <f t="array" ref="D2324">IFERROR(INDEX('Kode Outlet dan Target Toko'!$A:$A,MATCH($I2324,'Kode Outlet dan Target Toko'!$E:$E,0)),"")</f>
        <v>GRSM 6</v>
      </c>
      <c r="E2324" s="20" t="str">
        <f>IFERROR(VLOOKUP(I2324,KET!$B:$F,4,0),"")</f>
        <v>WINDA</v>
      </c>
      <c r="F2324" s="20" t="str">
        <f>IFERROR(VLOOKUP(I2324,KET!$B:$F,5,0),"")</f>
        <v>GMM</v>
      </c>
      <c r="G2324" s="20">
        <f>IFERROR(INDEX('Kode Outlet dan Target Toko'!$C:$C,MATCH($I2324,'Kode Outlet dan Target Toko'!$E:$E,0)),0)</f>
        <v>211033</v>
      </c>
      <c r="H2324" s="20">
        <f>IFERROR(INDEX('Kode Outlet dan Target Toko'!$D:$D,MATCH($I2324,'Kode Outlet dan Target Toko'!$E:$E,0)),0)</f>
        <v>6467246</v>
      </c>
      <c r="I2324" s="42" t="s">
        <v>50</v>
      </c>
      <c r="J2324" s="56" t="s">
        <v>272</v>
      </c>
      <c r="K2324" s="40" t="s">
        <v>14</v>
      </c>
      <c r="L2324" s="26">
        <v>3100</v>
      </c>
      <c r="M2324" s="26">
        <v>268</v>
      </c>
      <c r="N2324" s="25">
        <f t="shared" si="73"/>
        <v>830800</v>
      </c>
      <c r="O2324" s="56"/>
    </row>
    <row r="2325" spans="1:15" hidden="1" x14ac:dyDescent="0.3">
      <c r="A2325" s="26">
        <v>30</v>
      </c>
      <c r="B2325" s="20" t="str">
        <f t="shared" si="72"/>
        <v>JUL</v>
      </c>
      <c r="C2325" s="21">
        <v>46229</v>
      </c>
      <c r="D2325" s="22" t="str">
        <f t="array" ref="D2325">IFERROR(INDEX('Kode Outlet dan Target Toko'!$A:$A,MATCH($I2325,'Kode Outlet dan Target Toko'!$E:$E,0)),"")</f>
        <v>GRSM 6</v>
      </c>
      <c r="E2325" s="20" t="str">
        <f>IFERROR(VLOOKUP(I2325,KET!$B:$F,4,0),"")</f>
        <v>WINDA</v>
      </c>
      <c r="F2325" s="20" t="str">
        <f>IFERROR(VLOOKUP(I2325,KET!$B:$F,5,0),"")</f>
        <v>GMM</v>
      </c>
      <c r="G2325" s="20">
        <f>IFERROR(INDEX('Kode Outlet dan Target Toko'!$C:$C,MATCH($I2325,'Kode Outlet dan Target Toko'!$E:$E,0)),0)</f>
        <v>211033</v>
      </c>
      <c r="H2325" s="20">
        <f>IFERROR(INDEX('Kode Outlet dan Target Toko'!$D:$D,MATCH($I2325,'Kode Outlet dan Target Toko'!$E:$E,0)),0)</f>
        <v>6467246</v>
      </c>
      <c r="I2325" s="42" t="s">
        <v>50</v>
      </c>
      <c r="J2325" s="56" t="s">
        <v>272</v>
      </c>
      <c r="K2325" s="40" t="s">
        <v>15</v>
      </c>
      <c r="L2325" s="26">
        <v>3100</v>
      </c>
      <c r="M2325" s="26">
        <v>118</v>
      </c>
      <c r="N2325" s="25">
        <f t="shared" si="73"/>
        <v>365800</v>
      </c>
      <c r="O2325" s="56"/>
    </row>
    <row r="2326" spans="1:15" hidden="1" x14ac:dyDescent="0.3">
      <c r="A2326" s="26">
        <v>30</v>
      </c>
      <c r="B2326" s="20" t="str">
        <f t="shared" si="72"/>
        <v>JUL</v>
      </c>
      <c r="C2326" s="21">
        <v>46229</v>
      </c>
      <c r="D2326" s="22" t="str">
        <f t="array" ref="D2326">IFERROR(INDEX('Kode Outlet dan Target Toko'!$A:$A,MATCH($I2326,'Kode Outlet dan Target Toko'!$E:$E,0)),"")</f>
        <v>GRSM 6</v>
      </c>
      <c r="E2326" s="20" t="str">
        <f>IFERROR(VLOOKUP(I2326,KET!$B:$F,4,0),"")</f>
        <v>WINDA</v>
      </c>
      <c r="F2326" s="20" t="str">
        <f>IFERROR(VLOOKUP(I2326,KET!$B:$F,5,0),"")</f>
        <v>GMM</v>
      </c>
      <c r="G2326" s="20">
        <f>IFERROR(INDEX('Kode Outlet dan Target Toko'!$C:$C,MATCH($I2326,'Kode Outlet dan Target Toko'!$E:$E,0)),0)</f>
        <v>211033</v>
      </c>
      <c r="H2326" s="20">
        <f>IFERROR(INDEX('Kode Outlet dan Target Toko'!$D:$D,MATCH($I2326,'Kode Outlet dan Target Toko'!$E:$E,0)),0)</f>
        <v>6467246</v>
      </c>
      <c r="I2326" s="42" t="s">
        <v>50</v>
      </c>
      <c r="J2326" s="56" t="s">
        <v>272</v>
      </c>
      <c r="K2326" s="40" t="s">
        <v>16</v>
      </c>
      <c r="L2326" s="26">
        <v>3100</v>
      </c>
      <c r="M2326" s="26">
        <v>495</v>
      </c>
      <c r="N2326" s="25">
        <f t="shared" si="73"/>
        <v>1534500</v>
      </c>
      <c r="O2326" s="56">
        <v>160</v>
      </c>
    </row>
    <row r="2327" spans="1:15" hidden="1" x14ac:dyDescent="0.3">
      <c r="A2327" s="26">
        <v>30</v>
      </c>
      <c r="B2327" s="20" t="str">
        <f t="shared" si="72"/>
        <v>JUL</v>
      </c>
      <c r="C2327" s="21">
        <v>46229</v>
      </c>
      <c r="D2327" s="22" t="str">
        <f t="array" ref="D2327">IFERROR(INDEX('Kode Outlet dan Target Toko'!$A:$A,MATCH($I2327,'Kode Outlet dan Target Toko'!$E:$E,0)),"")</f>
        <v>GRSM 6</v>
      </c>
      <c r="E2327" s="20" t="str">
        <f>IFERROR(VLOOKUP(I2327,KET!$B:$F,4,0),"")</f>
        <v>WINDA</v>
      </c>
      <c r="F2327" s="20" t="str">
        <f>IFERROR(VLOOKUP(I2327,KET!$B:$F,5,0),"")</f>
        <v>GMM</v>
      </c>
      <c r="G2327" s="20">
        <f>IFERROR(INDEX('Kode Outlet dan Target Toko'!$C:$C,MATCH($I2327,'Kode Outlet dan Target Toko'!$E:$E,0)),0)</f>
        <v>103765</v>
      </c>
      <c r="H2327" s="20">
        <f>IFERROR(INDEX('Kode Outlet dan Target Toko'!$D:$D,MATCH($I2327,'Kode Outlet dan Target Toko'!$E:$E,0)),0)</f>
        <v>4305267</v>
      </c>
      <c r="I2327" s="42" t="s">
        <v>54</v>
      </c>
      <c r="J2327" s="56" t="s">
        <v>278</v>
      </c>
      <c r="K2327" s="40" t="s">
        <v>13</v>
      </c>
      <c r="L2327" s="26">
        <v>3000</v>
      </c>
      <c r="M2327" s="26">
        <v>30</v>
      </c>
      <c r="N2327" s="25">
        <f t="shared" si="73"/>
        <v>90000</v>
      </c>
      <c r="O2327" s="56"/>
    </row>
    <row r="2328" spans="1:15" hidden="1" x14ac:dyDescent="0.3">
      <c r="A2328" s="26">
        <v>30</v>
      </c>
      <c r="B2328" s="20" t="str">
        <f t="shared" si="72"/>
        <v>JUL</v>
      </c>
      <c r="C2328" s="21">
        <v>46229</v>
      </c>
      <c r="D2328" s="22" t="str">
        <f t="array" ref="D2328">IFERROR(INDEX('Kode Outlet dan Target Toko'!$A:$A,MATCH($I2328,'Kode Outlet dan Target Toko'!$E:$E,0)),"")</f>
        <v>GRSM 6</v>
      </c>
      <c r="E2328" s="20" t="str">
        <f>IFERROR(VLOOKUP(I2328,KET!$B:$F,4,0),"")</f>
        <v>WINDA</v>
      </c>
      <c r="F2328" s="20" t="str">
        <f>IFERROR(VLOOKUP(I2328,KET!$B:$F,5,0),"")</f>
        <v>GMM</v>
      </c>
      <c r="G2328" s="20">
        <f>IFERROR(INDEX('Kode Outlet dan Target Toko'!$C:$C,MATCH($I2328,'Kode Outlet dan Target Toko'!$E:$E,0)),0)</f>
        <v>103765</v>
      </c>
      <c r="H2328" s="20">
        <f>IFERROR(INDEX('Kode Outlet dan Target Toko'!$D:$D,MATCH($I2328,'Kode Outlet dan Target Toko'!$E:$E,0)),0)</f>
        <v>4305267</v>
      </c>
      <c r="I2328" s="42" t="s">
        <v>54</v>
      </c>
      <c r="J2328" s="56" t="s">
        <v>278</v>
      </c>
      <c r="K2328" s="40" t="s">
        <v>14</v>
      </c>
      <c r="L2328" s="26">
        <v>3000</v>
      </c>
      <c r="M2328" s="26">
        <v>56</v>
      </c>
      <c r="N2328" s="25">
        <f t="shared" si="73"/>
        <v>168000</v>
      </c>
      <c r="O2328" s="56"/>
    </row>
    <row r="2329" spans="1:15" hidden="1" x14ac:dyDescent="0.3">
      <c r="A2329" s="26">
        <v>30</v>
      </c>
      <c r="B2329" s="20" t="str">
        <f t="shared" si="72"/>
        <v>JUL</v>
      </c>
      <c r="C2329" s="21">
        <v>46229</v>
      </c>
      <c r="D2329" s="22" t="str">
        <f t="array" ref="D2329">IFERROR(INDEX('Kode Outlet dan Target Toko'!$A:$A,MATCH($I2329,'Kode Outlet dan Target Toko'!$E:$E,0)),"")</f>
        <v>GRSM 6</v>
      </c>
      <c r="E2329" s="20" t="str">
        <f>IFERROR(VLOOKUP(I2329,KET!$B:$F,4,0),"")</f>
        <v>WINDA</v>
      </c>
      <c r="F2329" s="20" t="str">
        <f>IFERROR(VLOOKUP(I2329,KET!$B:$F,5,0),"")</f>
        <v>GMM</v>
      </c>
      <c r="G2329" s="20">
        <f>IFERROR(INDEX('Kode Outlet dan Target Toko'!$C:$C,MATCH($I2329,'Kode Outlet dan Target Toko'!$E:$E,0)),0)</f>
        <v>103765</v>
      </c>
      <c r="H2329" s="20">
        <f>IFERROR(INDEX('Kode Outlet dan Target Toko'!$D:$D,MATCH($I2329,'Kode Outlet dan Target Toko'!$E:$E,0)),0)</f>
        <v>4305267</v>
      </c>
      <c r="I2329" s="42" t="s">
        <v>54</v>
      </c>
      <c r="J2329" s="56" t="s">
        <v>278</v>
      </c>
      <c r="K2329" s="40" t="s">
        <v>15</v>
      </c>
      <c r="L2329" s="26">
        <v>3000</v>
      </c>
      <c r="M2329" s="26">
        <v>110</v>
      </c>
      <c r="N2329" s="25">
        <f t="shared" si="73"/>
        <v>330000</v>
      </c>
      <c r="O2329" s="56"/>
    </row>
    <row r="2330" spans="1:15" hidden="1" x14ac:dyDescent="0.3">
      <c r="A2330" s="26">
        <v>30</v>
      </c>
      <c r="B2330" s="20" t="str">
        <f t="shared" si="72"/>
        <v>JUL</v>
      </c>
      <c r="C2330" s="21">
        <v>46229</v>
      </c>
      <c r="D2330" s="22" t="str">
        <f t="array" ref="D2330">IFERROR(INDEX('Kode Outlet dan Target Toko'!$A:$A,MATCH($I2330,'Kode Outlet dan Target Toko'!$E:$E,0)),"")</f>
        <v>GRSM 6</v>
      </c>
      <c r="E2330" s="20" t="str">
        <f>IFERROR(VLOOKUP(I2330,KET!$B:$F,4,0),"")</f>
        <v>WINDA</v>
      </c>
      <c r="F2330" s="20" t="str">
        <f>IFERROR(VLOOKUP(I2330,KET!$B:$F,5,0),"")</f>
        <v>GMM</v>
      </c>
      <c r="G2330" s="20">
        <f>IFERROR(INDEX('Kode Outlet dan Target Toko'!$C:$C,MATCH($I2330,'Kode Outlet dan Target Toko'!$E:$E,0)),0)</f>
        <v>103765</v>
      </c>
      <c r="H2330" s="20">
        <f>IFERROR(INDEX('Kode Outlet dan Target Toko'!$D:$D,MATCH($I2330,'Kode Outlet dan Target Toko'!$E:$E,0)),0)</f>
        <v>4305267</v>
      </c>
      <c r="I2330" s="42" t="s">
        <v>54</v>
      </c>
      <c r="J2330" s="56" t="s">
        <v>278</v>
      </c>
      <c r="K2330" s="40" t="s">
        <v>16</v>
      </c>
      <c r="L2330" s="26">
        <v>3000</v>
      </c>
      <c r="M2330" s="26">
        <v>240</v>
      </c>
      <c r="N2330" s="25">
        <f t="shared" si="73"/>
        <v>720000</v>
      </c>
      <c r="O2330" s="56"/>
    </row>
    <row r="2331" spans="1:15" hidden="1" x14ac:dyDescent="0.3">
      <c r="A2331" s="26">
        <v>30</v>
      </c>
      <c r="B2331" s="20" t="str">
        <f t="shared" si="72"/>
        <v>JUL</v>
      </c>
      <c r="C2331" s="21">
        <v>46229</v>
      </c>
      <c r="D2331" s="22" t="str">
        <f t="array" ref="D2331">IFERROR(INDEX('Kode Outlet dan Target Toko'!$A:$A,MATCH($I2331,'Kode Outlet dan Target Toko'!$E:$E,0)),"")</f>
        <v>GRSM 6</v>
      </c>
      <c r="E2331" s="20" t="str">
        <f>IFERROR(VLOOKUP(I2331,KET!$B:$F,4,0),"")</f>
        <v>WINDA</v>
      </c>
      <c r="F2331" s="20" t="str">
        <f>IFERROR(VLOOKUP(I2331,KET!$B:$F,5,0),"")</f>
        <v>GMM</v>
      </c>
      <c r="G2331" s="20">
        <f>IFERROR(INDEX('Kode Outlet dan Target Toko'!$C:$C,MATCH($I2331,'Kode Outlet dan Target Toko'!$E:$E,0)),0)</f>
        <v>103765</v>
      </c>
      <c r="H2331" s="20">
        <f>IFERROR(INDEX('Kode Outlet dan Target Toko'!$D:$D,MATCH($I2331,'Kode Outlet dan Target Toko'!$E:$E,0)),0)</f>
        <v>4305267</v>
      </c>
      <c r="I2331" s="42" t="s">
        <v>54</v>
      </c>
      <c r="J2331" s="56" t="s">
        <v>277</v>
      </c>
      <c r="K2331" s="40" t="s">
        <v>13</v>
      </c>
      <c r="L2331" s="26">
        <v>3000</v>
      </c>
      <c r="M2331" s="26">
        <v>30</v>
      </c>
      <c r="N2331" s="25">
        <f t="shared" si="73"/>
        <v>90000</v>
      </c>
      <c r="O2331" s="56"/>
    </row>
    <row r="2332" spans="1:15" hidden="1" x14ac:dyDescent="0.3">
      <c r="A2332" s="26">
        <v>30</v>
      </c>
      <c r="B2332" s="20" t="str">
        <f t="shared" si="72"/>
        <v>JUL</v>
      </c>
      <c r="C2332" s="21">
        <v>46229</v>
      </c>
      <c r="D2332" s="22" t="str">
        <f t="array" ref="D2332">IFERROR(INDEX('Kode Outlet dan Target Toko'!$A:$A,MATCH($I2332,'Kode Outlet dan Target Toko'!$E:$E,0)),"")</f>
        <v>GRSM 6</v>
      </c>
      <c r="E2332" s="20" t="str">
        <f>IFERROR(VLOOKUP(I2332,KET!$B:$F,4,0),"")</f>
        <v>WINDA</v>
      </c>
      <c r="F2332" s="20" t="str">
        <f>IFERROR(VLOOKUP(I2332,KET!$B:$F,5,0),"")</f>
        <v>GMM</v>
      </c>
      <c r="G2332" s="20">
        <f>IFERROR(INDEX('Kode Outlet dan Target Toko'!$C:$C,MATCH($I2332,'Kode Outlet dan Target Toko'!$E:$E,0)),0)</f>
        <v>103765</v>
      </c>
      <c r="H2332" s="20">
        <f>IFERROR(INDEX('Kode Outlet dan Target Toko'!$D:$D,MATCH($I2332,'Kode Outlet dan Target Toko'!$E:$E,0)),0)</f>
        <v>4305267</v>
      </c>
      <c r="I2332" s="42" t="s">
        <v>54</v>
      </c>
      <c r="J2332" s="56" t="s">
        <v>277</v>
      </c>
      <c r="K2332" s="40" t="s">
        <v>14</v>
      </c>
      <c r="L2332" s="26">
        <v>3000</v>
      </c>
      <c r="M2332" s="26">
        <v>56</v>
      </c>
      <c r="N2332" s="25">
        <f t="shared" si="73"/>
        <v>168000</v>
      </c>
      <c r="O2332" s="56"/>
    </row>
    <row r="2333" spans="1:15" hidden="1" x14ac:dyDescent="0.3">
      <c r="A2333" s="26">
        <v>30</v>
      </c>
      <c r="B2333" s="20" t="str">
        <f t="shared" si="72"/>
        <v>JUL</v>
      </c>
      <c r="C2333" s="21">
        <v>46229</v>
      </c>
      <c r="D2333" s="22" t="str">
        <f t="array" ref="D2333">IFERROR(INDEX('Kode Outlet dan Target Toko'!$A:$A,MATCH($I2333,'Kode Outlet dan Target Toko'!$E:$E,0)),"")</f>
        <v>GRSM 6</v>
      </c>
      <c r="E2333" s="20" t="str">
        <f>IFERROR(VLOOKUP(I2333,KET!$B:$F,4,0),"")</f>
        <v>WINDA</v>
      </c>
      <c r="F2333" s="20" t="str">
        <f>IFERROR(VLOOKUP(I2333,KET!$B:$F,5,0),"")</f>
        <v>GMM</v>
      </c>
      <c r="G2333" s="20">
        <f>IFERROR(INDEX('Kode Outlet dan Target Toko'!$C:$C,MATCH($I2333,'Kode Outlet dan Target Toko'!$E:$E,0)),0)</f>
        <v>103765</v>
      </c>
      <c r="H2333" s="20">
        <f>IFERROR(INDEX('Kode Outlet dan Target Toko'!$D:$D,MATCH($I2333,'Kode Outlet dan Target Toko'!$E:$E,0)),0)</f>
        <v>4305267</v>
      </c>
      <c r="I2333" s="42" t="s">
        <v>54</v>
      </c>
      <c r="J2333" s="56" t="s">
        <v>277</v>
      </c>
      <c r="K2333" s="40" t="s">
        <v>15</v>
      </c>
      <c r="L2333" s="26">
        <v>3000</v>
      </c>
      <c r="M2333" s="26">
        <v>110</v>
      </c>
      <c r="N2333" s="25">
        <f t="shared" si="73"/>
        <v>330000</v>
      </c>
      <c r="O2333" s="56"/>
    </row>
    <row r="2334" spans="1:15" hidden="1" x14ac:dyDescent="0.3">
      <c r="A2334" s="26">
        <v>30</v>
      </c>
      <c r="B2334" s="20" t="str">
        <f t="shared" si="72"/>
        <v>JUL</v>
      </c>
      <c r="C2334" s="21">
        <v>46229</v>
      </c>
      <c r="D2334" s="22" t="str">
        <f t="array" ref="D2334">IFERROR(INDEX('Kode Outlet dan Target Toko'!$A:$A,MATCH($I2334,'Kode Outlet dan Target Toko'!$E:$E,0)),"")</f>
        <v>GRSM 6</v>
      </c>
      <c r="E2334" s="20" t="str">
        <f>IFERROR(VLOOKUP(I2334,KET!$B:$F,4,0),"")</f>
        <v>WINDA</v>
      </c>
      <c r="F2334" s="20" t="str">
        <f>IFERROR(VLOOKUP(I2334,KET!$B:$F,5,0),"")</f>
        <v>GMM</v>
      </c>
      <c r="G2334" s="20">
        <f>IFERROR(INDEX('Kode Outlet dan Target Toko'!$C:$C,MATCH($I2334,'Kode Outlet dan Target Toko'!$E:$E,0)),0)</f>
        <v>103765</v>
      </c>
      <c r="H2334" s="20">
        <f>IFERROR(INDEX('Kode Outlet dan Target Toko'!$D:$D,MATCH($I2334,'Kode Outlet dan Target Toko'!$E:$E,0)),0)</f>
        <v>4305267</v>
      </c>
      <c r="I2334" s="42" t="s">
        <v>54</v>
      </c>
      <c r="J2334" s="56" t="s">
        <v>277</v>
      </c>
      <c r="K2334" s="40" t="s">
        <v>16</v>
      </c>
      <c r="L2334" s="26">
        <v>3000</v>
      </c>
      <c r="M2334" s="26">
        <v>240</v>
      </c>
      <c r="N2334" s="25">
        <f t="shared" si="73"/>
        <v>720000</v>
      </c>
      <c r="O2334" s="56"/>
    </row>
    <row r="2335" spans="1:15" hidden="1" x14ac:dyDescent="0.3">
      <c r="A2335" s="26">
        <v>30</v>
      </c>
      <c r="B2335" s="20" t="str">
        <f t="shared" si="72"/>
        <v>JUL</v>
      </c>
      <c r="C2335" s="21">
        <v>46227</v>
      </c>
      <c r="D2335" s="22" t="str">
        <f t="array" ref="D2335">IFERROR(INDEX('Kode Outlet dan Target Toko'!$A:$A,MATCH($I2335,'Kode Outlet dan Target Toko'!$E:$E,0)),"")</f>
        <v>GRSM 1</v>
      </c>
      <c r="E2335" s="20" t="str">
        <f>IFERROR(VLOOKUP(I2335,KET!$B:$F,4,0),"")</f>
        <v>AFNITA SARI</v>
      </c>
      <c r="F2335" s="20" t="str">
        <f>IFERROR(VLOOKUP(I2335,KET!$B:$F,5,0),"")</f>
        <v>MT</v>
      </c>
      <c r="G2335" s="20">
        <f>IFERROR(INDEX('Kode Outlet dan Target Toko'!$C:$C,MATCH($I2335,'Kode Outlet dan Target Toko'!$E:$E,0)),0)</f>
        <v>122506</v>
      </c>
      <c r="H2335" s="20">
        <f>IFERROR(INDEX('Kode Outlet dan Target Toko'!$D:$D,MATCH($I2335,'Kode Outlet dan Target Toko'!$E:$E,0)),0)</f>
        <v>202879</v>
      </c>
      <c r="I2335" s="42" t="s">
        <v>70</v>
      </c>
      <c r="J2335" s="56" t="s">
        <v>289</v>
      </c>
      <c r="K2335" s="40" t="s">
        <v>13</v>
      </c>
      <c r="L2335" s="26">
        <v>6400</v>
      </c>
      <c r="M2335" s="26">
        <v>30</v>
      </c>
      <c r="N2335" s="25">
        <f t="shared" si="73"/>
        <v>192000</v>
      </c>
      <c r="O2335" s="56"/>
    </row>
    <row r="2336" spans="1:15" hidden="1" x14ac:dyDescent="0.3">
      <c r="A2336" s="26">
        <v>30</v>
      </c>
      <c r="B2336" s="20" t="str">
        <f t="shared" si="72"/>
        <v>JUL</v>
      </c>
      <c r="C2336" s="21">
        <v>46227</v>
      </c>
      <c r="D2336" s="22" t="str">
        <f t="array" ref="D2336">IFERROR(INDEX('Kode Outlet dan Target Toko'!$A:$A,MATCH($I2336,'Kode Outlet dan Target Toko'!$E:$E,0)),"")</f>
        <v>GRSM 1</v>
      </c>
      <c r="E2336" s="20" t="str">
        <f>IFERROR(VLOOKUP(I2336,KET!$B:$F,4,0),"")</f>
        <v>AFNITA SARI</v>
      </c>
      <c r="F2336" s="20" t="str">
        <f>IFERROR(VLOOKUP(I2336,KET!$B:$F,5,0),"")</f>
        <v>MT</v>
      </c>
      <c r="G2336" s="20">
        <f>IFERROR(INDEX('Kode Outlet dan Target Toko'!$C:$C,MATCH($I2336,'Kode Outlet dan Target Toko'!$E:$E,0)),0)</f>
        <v>122506</v>
      </c>
      <c r="H2336" s="20">
        <f>IFERROR(INDEX('Kode Outlet dan Target Toko'!$D:$D,MATCH($I2336,'Kode Outlet dan Target Toko'!$E:$E,0)),0)</f>
        <v>202879</v>
      </c>
      <c r="I2336" s="42" t="s">
        <v>70</v>
      </c>
      <c r="J2336" s="56" t="s">
        <v>289</v>
      </c>
      <c r="K2336" s="40" t="s">
        <v>14</v>
      </c>
      <c r="L2336" s="26">
        <v>6400</v>
      </c>
      <c r="M2336" s="26">
        <v>40</v>
      </c>
      <c r="N2336" s="25">
        <f t="shared" si="73"/>
        <v>256000</v>
      </c>
      <c r="O2336" s="56"/>
    </row>
    <row r="2337" spans="1:15" hidden="1" x14ac:dyDescent="0.3">
      <c r="A2337" s="26">
        <v>30</v>
      </c>
      <c r="B2337" s="20" t="str">
        <f t="shared" si="72"/>
        <v>JUL</v>
      </c>
      <c r="C2337" s="21">
        <v>46227</v>
      </c>
      <c r="D2337" s="22" t="str">
        <f t="array" ref="D2337">IFERROR(INDEX('Kode Outlet dan Target Toko'!$A:$A,MATCH($I2337,'Kode Outlet dan Target Toko'!$E:$E,0)),"")</f>
        <v>GRSM 1</v>
      </c>
      <c r="E2337" s="20" t="str">
        <f>IFERROR(VLOOKUP(I2337,KET!$B:$F,4,0),"")</f>
        <v>AFNITA SARI</v>
      </c>
      <c r="F2337" s="20" t="str">
        <f>IFERROR(VLOOKUP(I2337,KET!$B:$F,5,0),"")</f>
        <v>MT</v>
      </c>
      <c r="G2337" s="20">
        <f>IFERROR(INDEX('Kode Outlet dan Target Toko'!$C:$C,MATCH($I2337,'Kode Outlet dan Target Toko'!$E:$E,0)),0)</f>
        <v>122506</v>
      </c>
      <c r="H2337" s="20">
        <f>IFERROR(INDEX('Kode Outlet dan Target Toko'!$D:$D,MATCH($I2337,'Kode Outlet dan Target Toko'!$E:$E,0)),0)</f>
        <v>202879</v>
      </c>
      <c r="I2337" s="42" t="s">
        <v>70</v>
      </c>
      <c r="J2337" s="56" t="s">
        <v>289</v>
      </c>
      <c r="K2337" s="40" t="s">
        <v>15</v>
      </c>
      <c r="L2337" s="26">
        <v>6400</v>
      </c>
      <c r="M2337" s="26">
        <v>37</v>
      </c>
      <c r="N2337" s="25">
        <f t="shared" si="73"/>
        <v>236800</v>
      </c>
      <c r="O2337" s="56"/>
    </row>
    <row r="2338" spans="1:15" hidden="1" x14ac:dyDescent="0.3">
      <c r="A2338" s="26">
        <v>30</v>
      </c>
      <c r="B2338" s="20" t="str">
        <f t="shared" si="72"/>
        <v>JUL</v>
      </c>
      <c r="C2338" s="21">
        <v>46227</v>
      </c>
      <c r="D2338" s="22" t="str">
        <f t="array" ref="D2338">IFERROR(INDEX('Kode Outlet dan Target Toko'!$A:$A,MATCH($I2338,'Kode Outlet dan Target Toko'!$E:$E,0)),"")</f>
        <v>GRSM 1</v>
      </c>
      <c r="E2338" s="20" t="str">
        <f>IFERROR(VLOOKUP(I2338,KET!$B:$F,4,0),"")</f>
        <v>AFNITA SARI</v>
      </c>
      <c r="F2338" s="20" t="str">
        <f>IFERROR(VLOOKUP(I2338,KET!$B:$F,5,0),"")</f>
        <v>MT</v>
      </c>
      <c r="G2338" s="20">
        <f>IFERROR(INDEX('Kode Outlet dan Target Toko'!$C:$C,MATCH($I2338,'Kode Outlet dan Target Toko'!$E:$E,0)),0)</f>
        <v>122506</v>
      </c>
      <c r="H2338" s="20">
        <f>IFERROR(INDEX('Kode Outlet dan Target Toko'!$D:$D,MATCH($I2338,'Kode Outlet dan Target Toko'!$E:$E,0)),0)</f>
        <v>202879</v>
      </c>
      <c r="I2338" s="42" t="s">
        <v>70</v>
      </c>
      <c r="J2338" s="56" t="s">
        <v>289</v>
      </c>
      <c r="K2338" s="40" t="s">
        <v>16</v>
      </c>
      <c r="L2338" s="26">
        <v>6400</v>
      </c>
      <c r="M2338" s="26">
        <v>87</v>
      </c>
      <c r="N2338" s="25">
        <f t="shared" si="73"/>
        <v>556800</v>
      </c>
      <c r="O2338" s="56">
        <v>160</v>
      </c>
    </row>
    <row r="2339" spans="1:15" hidden="1" x14ac:dyDescent="0.3">
      <c r="A2339" s="26">
        <v>30</v>
      </c>
      <c r="B2339" s="20" t="str">
        <f t="shared" si="72"/>
        <v>JUL</v>
      </c>
      <c r="C2339" s="21">
        <v>46227</v>
      </c>
      <c r="D2339" s="22" t="str">
        <f t="array" ref="D2339">IFERROR(INDEX('Kode Outlet dan Target Toko'!$A:$A,MATCH($I2339,'Kode Outlet dan Target Toko'!$E:$E,0)),"")</f>
        <v>GRSM 1</v>
      </c>
      <c r="E2339" s="20" t="str">
        <f>IFERROR(VLOOKUP(I2339,KET!$B:$F,4,0),"")</f>
        <v>AFNITA SARI</v>
      </c>
      <c r="F2339" s="20" t="str">
        <f>IFERROR(VLOOKUP(I2339,KET!$B:$F,5,0),"")</f>
        <v>MT</v>
      </c>
      <c r="G2339" s="20">
        <f>IFERROR(INDEX('Kode Outlet dan Target Toko'!$C:$C,MATCH($I2339,'Kode Outlet dan Target Toko'!$E:$E,0)),0)</f>
        <v>122506</v>
      </c>
      <c r="H2339" s="20">
        <f>IFERROR(INDEX('Kode Outlet dan Target Toko'!$D:$D,MATCH($I2339,'Kode Outlet dan Target Toko'!$E:$E,0)),0)</f>
        <v>202879</v>
      </c>
      <c r="I2339" s="42" t="s">
        <v>70</v>
      </c>
      <c r="J2339" s="56" t="s">
        <v>290</v>
      </c>
      <c r="K2339" s="40" t="s">
        <v>13</v>
      </c>
      <c r="L2339" s="26">
        <v>6400</v>
      </c>
      <c r="M2339" s="26">
        <v>30</v>
      </c>
      <c r="N2339" s="25">
        <f t="shared" si="73"/>
        <v>192000</v>
      </c>
      <c r="O2339" s="56"/>
    </row>
    <row r="2340" spans="1:15" hidden="1" x14ac:dyDescent="0.3">
      <c r="A2340" s="26">
        <v>30</v>
      </c>
      <c r="B2340" s="20" t="str">
        <f t="shared" si="72"/>
        <v>JUL</v>
      </c>
      <c r="C2340" s="21">
        <v>46227</v>
      </c>
      <c r="D2340" s="22" t="str">
        <f t="array" ref="D2340">IFERROR(INDEX('Kode Outlet dan Target Toko'!$A:$A,MATCH($I2340,'Kode Outlet dan Target Toko'!$E:$E,0)),"")</f>
        <v>GRSM 1</v>
      </c>
      <c r="E2340" s="20" t="str">
        <f>IFERROR(VLOOKUP(I2340,KET!$B:$F,4,0),"")</f>
        <v>AFNITA SARI</v>
      </c>
      <c r="F2340" s="20" t="str">
        <f>IFERROR(VLOOKUP(I2340,KET!$B:$F,5,0),"")</f>
        <v>MT</v>
      </c>
      <c r="G2340" s="20">
        <f>IFERROR(INDEX('Kode Outlet dan Target Toko'!$C:$C,MATCH($I2340,'Kode Outlet dan Target Toko'!$E:$E,0)),0)</f>
        <v>122506</v>
      </c>
      <c r="H2340" s="20">
        <f>IFERROR(INDEX('Kode Outlet dan Target Toko'!$D:$D,MATCH($I2340,'Kode Outlet dan Target Toko'!$E:$E,0)),0)</f>
        <v>202879</v>
      </c>
      <c r="I2340" s="42" t="s">
        <v>70</v>
      </c>
      <c r="J2340" s="56" t="s">
        <v>290</v>
      </c>
      <c r="K2340" s="40" t="s">
        <v>14</v>
      </c>
      <c r="L2340" s="26">
        <v>6400</v>
      </c>
      <c r="M2340" s="26">
        <v>40</v>
      </c>
      <c r="N2340" s="25">
        <f t="shared" si="73"/>
        <v>256000</v>
      </c>
      <c r="O2340" s="56"/>
    </row>
    <row r="2341" spans="1:15" hidden="1" x14ac:dyDescent="0.3">
      <c r="A2341" s="26">
        <v>30</v>
      </c>
      <c r="B2341" s="20" t="str">
        <f t="shared" si="72"/>
        <v>JUL</v>
      </c>
      <c r="C2341" s="21">
        <v>46227</v>
      </c>
      <c r="D2341" s="22" t="str">
        <f t="array" ref="D2341">IFERROR(INDEX('Kode Outlet dan Target Toko'!$A:$A,MATCH($I2341,'Kode Outlet dan Target Toko'!$E:$E,0)),"")</f>
        <v>GRSM 1</v>
      </c>
      <c r="E2341" s="20" t="str">
        <f>IFERROR(VLOOKUP(I2341,KET!$B:$F,4,0),"")</f>
        <v>AFNITA SARI</v>
      </c>
      <c r="F2341" s="20" t="str">
        <f>IFERROR(VLOOKUP(I2341,KET!$B:$F,5,0),"")</f>
        <v>MT</v>
      </c>
      <c r="G2341" s="20">
        <f>IFERROR(INDEX('Kode Outlet dan Target Toko'!$C:$C,MATCH($I2341,'Kode Outlet dan Target Toko'!$E:$E,0)),0)</f>
        <v>122506</v>
      </c>
      <c r="H2341" s="20">
        <f>IFERROR(INDEX('Kode Outlet dan Target Toko'!$D:$D,MATCH($I2341,'Kode Outlet dan Target Toko'!$E:$E,0)),0)</f>
        <v>202879</v>
      </c>
      <c r="I2341" s="42" t="s">
        <v>70</v>
      </c>
      <c r="J2341" s="56" t="s">
        <v>290</v>
      </c>
      <c r="K2341" s="40" t="s">
        <v>15</v>
      </c>
      <c r="L2341" s="26">
        <v>6400</v>
      </c>
      <c r="M2341" s="26">
        <v>37</v>
      </c>
      <c r="N2341" s="25">
        <f t="shared" si="73"/>
        <v>236800</v>
      </c>
      <c r="O2341" s="56"/>
    </row>
    <row r="2342" spans="1:15" hidden="1" x14ac:dyDescent="0.3">
      <c r="A2342" s="26">
        <v>30</v>
      </c>
      <c r="B2342" s="20" t="str">
        <f t="shared" si="72"/>
        <v>JUL</v>
      </c>
      <c r="C2342" s="21">
        <v>46227</v>
      </c>
      <c r="D2342" s="22" t="str">
        <f t="array" ref="D2342">IFERROR(INDEX('Kode Outlet dan Target Toko'!$A:$A,MATCH($I2342,'Kode Outlet dan Target Toko'!$E:$E,0)),"")</f>
        <v>GRSM 1</v>
      </c>
      <c r="E2342" s="20" t="str">
        <f>IFERROR(VLOOKUP(I2342,KET!$B:$F,4,0),"")</f>
        <v>AFNITA SARI</v>
      </c>
      <c r="F2342" s="20" t="str">
        <f>IFERROR(VLOOKUP(I2342,KET!$B:$F,5,0),"")</f>
        <v>MT</v>
      </c>
      <c r="G2342" s="20">
        <f>IFERROR(INDEX('Kode Outlet dan Target Toko'!$C:$C,MATCH($I2342,'Kode Outlet dan Target Toko'!$E:$E,0)),0)</f>
        <v>122506</v>
      </c>
      <c r="H2342" s="20">
        <f>IFERROR(INDEX('Kode Outlet dan Target Toko'!$D:$D,MATCH($I2342,'Kode Outlet dan Target Toko'!$E:$E,0)),0)</f>
        <v>202879</v>
      </c>
      <c r="I2342" s="42" t="s">
        <v>70</v>
      </c>
      <c r="J2342" s="56" t="s">
        <v>290</v>
      </c>
      <c r="K2342" s="40" t="s">
        <v>16</v>
      </c>
      <c r="L2342" s="26">
        <v>6400</v>
      </c>
      <c r="M2342" s="26">
        <v>87</v>
      </c>
      <c r="N2342" s="25">
        <f t="shared" si="73"/>
        <v>556800</v>
      </c>
      <c r="O2342" s="56">
        <v>160</v>
      </c>
    </row>
    <row r="2343" spans="1:15" hidden="1" x14ac:dyDescent="0.3">
      <c r="A2343" s="26">
        <v>30</v>
      </c>
      <c r="B2343" s="20" t="str">
        <f t="shared" si="72"/>
        <v>JUL</v>
      </c>
      <c r="C2343" s="21">
        <v>46227</v>
      </c>
      <c r="D2343" s="22" t="str">
        <f t="array" ref="D2343">IFERROR(INDEX('Kode Outlet dan Target Toko'!$A:$A,MATCH($I2343,'Kode Outlet dan Target Toko'!$E:$E,0)),"")</f>
        <v>GRSM 1</v>
      </c>
      <c r="E2343" s="20" t="str">
        <f>IFERROR(VLOOKUP(I2343,KET!$B:$F,4,0),"")</f>
        <v>AFNITA SARI</v>
      </c>
      <c r="F2343" s="20" t="str">
        <f>IFERROR(VLOOKUP(I2343,KET!$B:$F,5,0),"")</f>
        <v>MT</v>
      </c>
      <c r="G2343" s="20">
        <f>IFERROR(INDEX('Kode Outlet dan Target Toko'!$C:$C,MATCH($I2343,'Kode Outlet dan Target Toko'!$E:$E,0)),0)</f>
        <v>122506</v>
      </c>
      <c r="H2343" s="20">
        <f>IFERROR(INDEX('Kode Outlet dan Target Toko'!$D:$D,MATCH($I2343,'Kode Outlet dan Target Toko'!$E:$E,0)),0)</f>
        <v>202816</v>
      </c>
      <c r="I2343" s="42" t="s">
        <v>71</v>
      </c>
      <c r="J2343" s="56" t="s">
        <v>291</v>
      </c>
      <c r="K2343" s="40" t="s">
        <v>13</v>
      </c>
      <c r="L2343" s="26">
        <v>7000</v>
      </c>
      <c r="M2343" s="26">
        <v>40</v>
      </c>
      <c r="N2343" s="25">
        <f t="shared" si="73"/>
        <v>280000</v>
      </c>
      <c r="O2343" s="56"/>
    </row>
    <row r="2344" spans="1:15" hidden="1" x14ac:dyDescent="0.3">
      <c r="A2344" s="26">
        <v>30</v>
      </c>
      <c r="B2344" s="20" t="str">
        <f t="shared" si="72"/>
        <v>JUL</v>
      </c>
      <c r="C2344" s="21">
        <v>46227</v>
      </c>
      <c r="D2344" s="22" t="str">
        <f t="array" ref="D2344">IFERROR(INDEX('Kode Outlet dan Target Toko'!$A:$A,MATCH($I2344,'Kode Outlet dan Target Toko'!$E:$E,0)),"")</f>
        <v>GRSM 1</v>
      </c>
      <c r="E2344" s="20" t="str">
        <f>IFERROR(VLOOKUP(I2344,KET!$B:$F,4,0),"")</f>
        <v>AFNITA SARI</v>
      </c>
      <c r="F2344" s="20" t="str">
        <f>IFERROR(VLOOKUP(I2344,KET!$B:$F,5,0),"")</f>
        <v>MT</v>
      </c>
      <c r="G2344" s="20">
        <f>IFERROR(INDEX('Kode Outlet dan Target Toko'!$C:$C,MATCH($I2344,'Kode Outlet dan Target Toko'!$E:$E,0)),0)</f>
        <v>122506</v>
      </c>
      <c r="H2344" s="20">
        <f>IFERROR(INDEX('Kode Outlet dan Target Toko'!$D:$D,MATCH($I2344,'Kode Outlet dan Target Toko'!$E:$E,0)),0)</f>
        <v>202816</v>
      </c>
      <c r="I2344" s="42" t="s">
        <v>71</v>
      </c>
      <c r="J2344" s="56" t="s">
        <v>291</v>
      </c>
      <c r="K2344" s="40" t="s">
        <v>14</v>
      </c>
      <c r="L2344" s="26">
        <v>7000</v>
      </c>
      <c r="M2344" s="26">
        <v>50</v>
      </c>
      <c r="N2344" s="25">
        <f t="shared" si="73"/>
        <v>350000</v>
      </c>
      <c r="O2344" s="56"/>
    </row>
    <row r="2345" spans="1:15" hidden="1" x14ac:dyDescent="0.3">
      <c r="A2345" s="26">
        <v>30</v>
      </c>
      <c r="B2345" s="20" t="str">
        <f t="shared" si="72"/>
        <v>JUL</v>
      </c>
      <c r="C2345" s="21">
        <v>46227</v>
      </c>
      <c r="D2345" s="22" t="str">
        <f t="array" ref="D2345">IFERROR(INDEX('Kode Outlet dan Target Toko'!$A:$A,MATCH($I2345,'Kode Outlet dan Target Toko'!$E:$E,0)),"")</f>
        <v>GRSM 1</v>
      </c>
      <c r="E2345" s="20" t="str">
        <f>IFERROR(VLOOKUP(I2345,KET!$B:$F,4,0),"")</f>
        <v>AFNITA SARI</v>
      </c>
      <c r="F2345" s="20" t="str">
        <f>IFERROR(VLOOKUP(I2345,KET!$B:$F,5,0),"")</f>
        <v>MT</v>
      </c>
      <c r="G2345" s="20">
        <f>IFERROR(INDEX('Kode Outlet dan Target Toko'!$C:$C,MATCH($I2345,'Kode Outlet dan Target Toko'!$E:$E,0)),0)</f>
        <v>122506</v>
      </c>
      <c r="H2345" s="20">
        <f>IFERROR(INDEX('Kode Outlet dan Target Toko'!$D:$D,MATCH($I2345,'Kode Outlet dan Target Toko'!$E:$E,0)),0)</f>
        <v>202816</v>
      </c>
      <c r="I2345" s="42" t="s">
        <v>71</v>
      </c>
      <c r="J2345" s="56" t="s">
        <v>291</v>
      </c>
      <c r="K2345" s="40" t="s">
        <v>15</v>
      </c>
      <c r="L2345" s="26">
        <v>7000</v>
      </c>
      <c r="M2345" s="26">
        <v>25</v>
      </c>
      <c r="N2345" s="25">
        <f t="shared" si="73"/>
        <v>175000</v>
      </c>
      <c r="O2345" s="56"/>
    </row>
    <row r="2346" spans="1:15" hidden="1" x14ac:dyDescent="0.3">
      <c r="A2346" s="26">
        <v>30</v>
      </c>
      <c r="B2346" s="20" t="str">
        <f t="shared" si="72"/>
        <v>JUL</v>
      </c>
      <c r="C2346" s="21">
        <v>46227</v>
      </c>
      <c r="D2346" s="22" t="str">
        <f t="array" ref="D2346">IFERROR(INDEX('Kode Outlet dan Target Toko'!$A:$A,MATCH($I2346,'Kode Outlet dan Target Toko'!$E:$E,0)),"")</f>
        <v>GRSM 1</v>
      </c>
      <c r="E2346" s="20" t="str">
        <f>IFERROR(VLOOKUP(I2346,KET!$B:$F,4,0),"")</f>
        <v>AFNITA SARI</v>
      </c>
      <c r="F2346" s="20" t="str">
        <f>IFERROR(VLOOKUP(I2346,KET!$B:$F,5,0),"")</f>
        <v>MT</v>
      </c>
      <c r="G2346" s="20">
        <f>IFERROR(INDEX('Kode Outlet dan Target Toko'!$C:$C,MATCH($I2346,'Kode Outlet dan Target Toko'!$E:$E,0)),0)</f>
        <v>122506</v>
      </c>
      <c r="H2346" s="20">
        <f>IFERROR(INDEX('Kode Outlet dan Target Toko'!$D:$D,MATCH($I2346,'Kode Outlet dan Target Toko'!$E:$E,0)),0)</f>
        <v>202816</v>
      </c>
      <c r="I2346" s="42" t="s">
        <v>71</v>
      </c>
      <c r="J2346" s="56" t="s">
        <v>291</v>
      </c>
      <c r="K2346" s="40" t="s">
        <v>16</v>
      </c>
      <c r="L2346" s="26">
        <v>7000</v>
      </c>
      <c r="M2346" s="26">
        <v>70</v>
      </c>
      <c r="N2346" s="25">
        <f t="shared" si="73"/>
        <v>490000</v>
      </c>
      <c r="O2346" s="56">
        <v>160</v>
      </c>
    </row>
    <row r="2347" spans="1:15" hidden="1" x14ac:dyDescent="0.3">
      <c r="A2347" s="26">
        <v>30</v>
      </c>
      <c r="B2347" s="20" t="str">
        <f t="shared" si="72"/>
        <v>JUL</v>
      </c>
      <c r="C2347" s="21">
        <v>46227</v>
      </c>
      <c r="D2347" s="22" t="str">
        <f t="array" ref="D2347">IFERROR(INDEX('Kode Outlet dan Target Toko'!$A:$A,MATCH($I2347,'Kode Outlet dan Target Toko'!$E:$E,0)),"")</f>
        <v>GRSM 1</v>
      </c>
      <c r="E2347" s="20" t="str">
        <f>IFERROR(VLOOKUP(I2347,KET!$B:$F,4,0),"")</f>
        <v>AFNITA SARI</v>
      </c>
      <c r="F2347" s="20" t="str">
        <f>IFERROR(VLOOKUP(I2347,KET!$B:$F,5,0),"")</f>
        <v>MT</v>
      </c>
      <c r="G2347" s="20">
        <f>IFERROR(INDEX('Kode Outlet dan Target Toko'!$C:$C,MATCH($I2347,'Kode Outlet dan Target Toko'!$E:$E,0)),0)</f>
        <v>122506</v>
      </c>
      <c r="H2347" s="20">
        <f>IFERROR(INDEX('Kode Outlet dan Target Toko'!$D:$D,MATCH($I2347,'Kode Outlet dan Target Toko'!$E:$E,0)),0)</f>
        <v>202816</v>
      </c>
      <c r="I2347" s="42" t="s">
        <v>71</v>
      </c>
      <c r="J2347" s="56" t="s">
        <v>292</v>
      </c>
      <c r="K2347" s="40" t="s">
        <v>13</v>
      </c>
      <c r="L2347" s="26">
        <v>7000</v>
      </c>
      <c r="M2347" s="26">
        <v>40</v>
      </c>
      <c r="N2347" s="25">
        <f t="shared" si="73"/>
        <v>280000</v>
      </c>
      <c r="O2347" s="56"/>
    </row>
    <row r="2348" spans="1:15" hidden="1" x14ac:dyDescent="0.3">
      <c r="A2348" s="26">
        <v>30</v>
      </c>
      <c r="B2348" s="20" t="str">
        <f t="shared" si="72"/>
        <v>JUL</v>
      </c>
      <c r="C2348" s="21">
        <v>46227</v>
      </c>
      <c r="D2348" s="22" t="str">
        <f t="array" ref="D2348">IFERROR(INDEX('Kode Outlet dan Target Toko'!$A:$A,MATCH($I2348,'Kode Outlet dan Target Toko'!$E:$E,0)),"")</f>
        <v>GRSM 1</v>
      </c>
      <c r="E2348" s="20" t="str">
        <f>IFERROR(VLOOKUP(I2348,KET!$B:$F,4,0),"")</f>
        <v>AFNITA SARI</v>
      </c>
      <c r="F2348" s="20" t="str">
        <f>IFERROR(VLOOKUP(I2348,KET!$B:$F,5,0),"")</f>
        <v>MT</v>
      </c>
      <c r="G2348" s="20">
        <f>IFERROR(INDEX('Kode Outlet dan Target Toko'!$C:$C,MATCH($I2348,'Kode Outlet dan Target Toko'!$E:$E,0)),0)</f>
        <v>122506</v>
      </c>
      <c r="H2348" s="20">
        <f>IFERROR(INDEX('Kode Outlet dan Target Toko'!$D:$D,MATCH($I2348,'Kode Outlet dan Target Toko'!$E:$E,0)),0)</f>
        <v>202816</v>
      </c>
      <c r="I2348" s="42" t="s">
        <v>71</v>
      </c>
      <c r="J2348" s="56" t="s">
        <v>292</v>
      </c>
      <c r="K2348" s="40" t="s">
        <v>14</v>
      </c>
      <c r="L2348" s="26">
        <v>7000</v>
      </c>
      <c r="M2348" s="26">
        <v>50</v>
      </c>
      <c r="N2348" s="25">
        <f t="shared" si="73"/>
        <v>350000</v>
      </c>
      <c r="O2348" s="56"/>
    </row>
    <row r="2349" spans="1:15" hidden="1" x14ac:dyDescent="0.3">
      <c r="A2349" s="26">
        <v>30</v>
      </c>
      <c r="B2349" s="20" t="str">
        <f t="shared" si="72"/>
        <v>JUL</v>
      </c>
      <c r="C2349" s="21">
        <v>46227</v>
      </c>
      <c r="D2349" s="22" t="str">
        <f t="array" ref="D2349">IFERROR(INDEX('Kode Outlet dan Target Toko'!$A:$A,MATCH($I2349,'Kode Outlet dan Target Toko'!$E:$E,0)),"")</f>
        <v>GRSM 1</v>
      </c>
      <c r="E2349" s="20" t="str">
        <f>IFERROR(VLOOKUP(I2349,KET!$B:$F,4,0),"")</f>
        <v>AFNITA SARI</v>
      </c>
      <c r="F2349" s="20" t="str">
        <f>IFERROR(VLOOKUP(I2349,KET!$B:$F,5,0),"")</f>
        <v>MT</v>
      </c>
      <c r="G2349" s="20">
        <f>IFERROR(INDEX('Kode Outlet dan Target Toko'!$C:$C,MATCH($I2349,'Kode Outlet dan Target Toko'!$E:$E,0)),0)</f>
        <v>122506</v>
      </c>
      <c r="H2349" s="20">
        <f>IFERROR(INDEX('Kode Outlet dan Target Toko'!$D:$D,MATCH($I2349,'Kode Outlet dan Target Toko'!$E:$E,0)),0)</f>
        <v>202816</v>
      </c>
      <c r="I2349" s="42" t="s">
        <v>71</v>
      </c>
      <c r="J2349" s="56" t="s">
        <v>292</v>
      </c>
      <c r="K2349" s="40" t="s">
        <v>15</v>
      </c>
      <c r="L2349" s="26">
        <v>7000</v>
      </c>
      <c r="M2349" s="26">
        <v>25</v>
      </c>
      <c r="N2349" s="25">
        <f t="shared" si="73"/>
        <v>175000</v>
      </c>
      <c r="O2349" s="56"/>
    </row>
    <row r="2350" spans="1:15" hidden="1" x14ac:dyDescent="0.3">
      <c r="A2350" s="26">
        <v>30</v>
      </c>
      <c r="B2350" s="20" t="str">
        <f t="shared" si="72"/>
        <v>JUL</v>
      </c>
      <c r="C2350" s="21">
        <v>46227</v>
      </c>
      <c r="D2350" s="22" t="str">
        <f t="array" ref="D2350">IFERROR(INDEX('Kode Outlet dan Target Toko'!$A:$A,MATCH($I2350,'Kode Outlet dan Target Toko'!$E:$E,0)),"")</f>
        <v>GRSM 1</v>
      </c>
      <c r="E2350" s="20" t="str">
        <f>IFERROR(VLOOKUP(I2350,KET!$B:$F,4,0),"")</f>
        <v>AFNITA SARI</v>
      </c>
      <c r="F2350" s="20" t="str">
        <f>IFERROR(VLOOKUP(I2350,KET!$B:$F,5,0),"")</f>
        <v>MT</v>
      </c>
      <c r="G2350" s="20">
        <f>IFERROR(INDEX('Kode Outlet dan Target Toko'!$C:$C,MATCH($I2350,'Kode Outlet dan Target Toko'!$E:$E,0)),0)</f>
        <v>122506</v>
      </c>
      <c r="H2350" s="20">
        <f>IFERROR(INDEX('Kode Outlet dan Target Toko'!$D:$D,MATCH($I2350,'Kode Outlet dan Target Toko'!$E:$E,0)),0)</f>
        <v>202816</v>
      </c>
      <c r="I2350" s="42" t="s">
        <v>71</v>
      </c>
      <c r="J2350" s="56" t="s">
        <v>292</v>
      </c>
      <c r="K2350" s="40" t="s">
        <v>16</v>
      </c>
      <c r="L2350" s="26">
        <v>7000</v>
      </c>
      <c r="M2350" s="26">
        <v>70</v>
      </c>
      <c r="N2350" s="25">
        <f t="shared" si="73"/>
        <v>490000</v>
      </c>
      <c r="O2350" s="56">
        <v>160</v>
      </c>
    </row>
    <row r="2351" spans="1:15" hidden="1" x14ac:dyDescent="0.3">
      <c r="A2351" s="26">
        <v>30</v>
      </c>
      <c r="B2351" s="20" t="str">
        <f t="shared" si="72"/>
        <v>JUL</v>
      </c>
      <c r="C2351" s="21">
        <v>46227</v>
      </c>
      <c r="D2351" s="22" t="str">
        <f t="array" ref="D2351">IFERROR(INDEX('Kode Outlet dan Target Toko'!$A:$A,MATCH($I2351,'Kode Outlet dan Target Toko'!$E:$E,0)),"")</f>
        <v>GRSM 1</v>
      </c>
      <c r="E2351" s="20" t="str">
        <f>IFERROR(VLOOKUP(I2351,KET!$B:$F,4,0),"")</f>
        <v>AFNITA SARI</v>
      </c>
      <c r="F2351" s="20" t="str">
        <f>IFERROR(VLOOKUP(I2351,KET!$B:$F,5,0),"")</f>
        <v>MT</v>
      </c>
      <c r="G2351" s="20">
        <f>IFERROR(INDEX('Kode Outlet dan Target Toko'!$C:$C,MATCH($I2351,'Kode Outlet dan Target Toko'!$E:$E,0)),0)</f>
        <v>122506</v>
      </c>
      <c r="H2351" s="20">
        <f>IFERROR(INDEX('Kode Outlet dan Target Toko'!$D:$D,MATCH($I2351,'Kode Outlet dan Target Toko'!$E:$E,0)),0)</f>
        <v>202816</v>
      </c>
      <c r="I2351" s="42" t="s">
        <v>71</v>
      </c>
      <c r="J2351" s="56" t="s">
        <v>291</v>
      </c>
      <c r="K2351" s="40" t="s">
        <v>13</v>
      </c>
      <c r="L2351" s="26">
        <v>7000</v>
      </c>
      <c r="M2351" s="26">
        <v>40</v>
      </c>
      <c r="N2351" s="25">
        <f t="shared" si="73"/>
        <v>280000</v>
      </c>
      <c r="O2351" s="56"/>
    </row>
    <row r="2352" spans="1:15" hidden="1" x14ac:dyDescent="0.3">
      <c r="A2352" s="26">
        <v>30</v>
      </c>
      <c r="B2352" s="20" t="str">
        <f t="shared" si="72"/>
        <v>JUL</v>
      </c>
      <c r="C2352" s="21">
        <v>46227</v>
      </c>
      <c r="D2352" s="22" t="str">
        <f t="array" ref="D2352">IFERROR(INDEX('Kode Outlet dan Target Toko'!$A:$A,MATCH($I2352,'Kode Outlet dan Target Toko'!$E:$E,0)),"")</f>
        <v>GRSM 1</v>
      </c>
      <c r="E2352" s="20" t="str">
        <f>IFERROR(VLOOKUP(I2352,KET!$B:$F,4,0),"")</f>
        <v>AFNITA SARI</v>
      </c>
      <c r="F2352" s="20" t="str">
        <f>IFERROR(VLOOKUP(I2352,KET!$B:$F,5,0),"")</f>
        <v>MT</v>
      </c>
      <c r="G2352" s="20">
        <f>IFERROR(INDEX('Kode Outlet dan Target Toko'!$C:$C,MATCH($I2352,'Kode Outlet dan Target Toko'!$E:$E,0)),0)</f>
        <v>122506</v>
      </c>
      <c r="H2352" s="20">
        <f>IFERROR(INDEX('Kode Outlet dan Target Toko'!$D:$D,MATCH($I2352,'Kode Outlet dan Target Toko'!$E:$E,0)),0)</f>
        <v>202816</v>
      </c>
      <c r="I2352" s="42" t="s">
        <v>71</v>
      </c>
      <c r="J2352" s="56" t="s">
        <v>291</v>
      </c>
      <c r="K2352" s="40" t="s">
        <v>14</v>
      </c>
      <c r="L2352" s="26">
        <v>7000</v>
      </c>
      <c r="M2352" s="26">
        <v>50</v>
      </c>
      <c r="N2352" s="25">
        <f t="shared" si="73"/>
        <v>350000</v>
      </c>
      <c r="O2352" s="56"/>
    </row>
    <row r="2353" spans="1:15" hidden="1" x14ac:dyDescent="0.3">
      <c r="A2353" s="26">
        <v>30</v>
      </c>
      <c r="B2353" s="20" t="str">
        <f t="shared" si="72"/>
        <v>JUL</v>
      </c>
      <c r="C2353" s="21">
        <v>46227</v>
      </c>
      <c r="D2353" s="22" t="str">
        <f t="array" ref="D2353">IFERROR(INDEX('Kode Outlet dan Target Toko'!$A:$A,MATCH($I2353,'Kode Outlet dan Target Toko'!$E:$E,0)),"")</f>
        <v>GRSM 1</v>
      </c>
      <c r="E2353" s="20" t="str">
        <f>IFERROR(VLOOKUP(I2353,KET!$B:$F,4,0),"")</f>
        <v>AFNITA SARI</v>
      </c>
      <c r="F2353" s="20" t="str">
        <f>IFERROR(VLOOKUP(I2353,KET!$B:$F,5,0),"")</f>
        <v>MT</v>
      </c>
      <c r="G2353" s="20">
        <f>IFERROR(INDEX('Kode Outlet dan Target Toko'!$C:$C,MATCH($I2353,'Kode Outlet dan Target Toko'!$E:$E,0)),0)</f>
        <v>122506</v>
      </c>
      <c r="H2353" s="20">
        <f>IFERROR(INDEX('Kode Outlet dan Target Toko'!$D:$D,MATCH($I2353,'Kode Outlet dan Target Toko'!$E:$E,0)),0)</f>
        <v>202816</v>
      </c>
      <c r="I2353" s="42" t="s">
        <v>71</v>
      </c>
      <c r="J2353" s="56" t="s">
        <v>291</v>
      </c>
      <c r="K2353" s="40" t="s">
        <v>15</v>
      </c>
      <c r="L2353" s="26">
        <v>7000</v>
      </c>
      <c r="M2353" s="26">
        <v>25</v>
      </c>
      <c r="N2353" s="25">
        <f t="shared" si="73"/>
        <v>175000</v>
      </c>
      <c r="O2353" s="56"/>
    </row>
    <row r="2354" spans="1:15" hidden="1" x14ac:dyDescent="0.3">
      <c r="A2354" s="26">
        <v>30</v>
      </c>
      <c r="B2354" s="20" t="str">
        <f t="shared" si="72"/>
        <v>JUL</v>
      </c>
      <c r="C2354" s="21">
        <v>46227</v>
      </c>
      <c r="D2354" s="22" t="str">
        <f t="array" ref="D2354">IFERROR(INDEX('Kode Outlet dan Target Toko'!$A:$A,MATCH($I2354,'Kode Outlet dan Target Toko'!$E:$E,0)),"")</f>
        <v>GRSM 1</v>
      </c>
      <c r="E2354" s="20" t="str">
        <f>IFERROR(VLOOKUP(I2354,KET!$B:$F,4,0),"")</f>
        <v>AFNITA SARI</v>
      </c>
      <c r="F2354" s="20" t="str">
        <f>IFERROR(VLOOKUP(I2354,KET!$B:$F,5,0),"")</f>
        <v>MT</v>
      </c>
      <c r="G2354" s="20">
        <f>IFERROR(INDEX('Kode Outlet dan Target Toko'!$C:$C,MATCH($I2354,'Kode Outlet dan Target Toko'!$E:$E,0)),0)</f>
        <v>122506</v>
      </c>
      <c r="H2354" s="20">
        <f>IFERROR(INDEX('Kode Outlet dan Target Toko'!$D:$D,MATCH($I2354,'Kode Outlet dan Target Toko'!$E:$E,0)),0)</f>
        <v>202816</v>
      </c>
      <c r="I2354" s="42" t="s">
        <v>71</v>
      </c>
      <c r="J2354" s="56" t="s">
        <v>291</v>
      </c>
      <c r="K2354" s="40" t="s">
        <v>16</v>
      </c>
      <c r="L2354" s="26">
        <v>7000</v>
      </c>
      <c r="M2354" s="26">
        <v>70</v>
      </c>
      <c r="N2354" s="25">
        <f t="shared" si="73"/>
        <v>490000</v>
      </c>
      <c r="O2354" s="56">
        <v>160</v>
      </c>
    </row>
    <row r="2355" spans="1:15" hidden="1" x14ac:dyDescent="0.3">
      <c r="A2355" s="26">
        <v>30</v>
      </c>
      <c r="B2355" s="20" t="str">
        <f t="shared" si="72"/>
        <v>JUL</v>
      </c>
      <c r="C2355" s="21">
        <v>46227</v>
      </c>
      <c r="D2355" s="22" t="str">
        <f t="array" ref="D2355">IFERROR(INDEX('Kode Outlet dan Target Toko'!$A:$A,MATCH($I2355,'Kode Outlet dan Target Toko'!$E:$E,0)),"")</f>
        <v>GRSM 1</v>
      </c>
      <c r="E2355" s="20" t="str">
        <f>IFERROR(VLOOKUP(I2355,KET!$B:$F,4,0),"")</f>
        <v>AFNITA SARI</v>
      </c>
      <c r="F2355" s="20" t="str">
        <f>IFERROR(VLOOKUP(I2355,KET!$B:$F,5,0),"")</f>
        <v>MT</v>
      </c>
      <c r="G2355" s="20">
        <f>IFERROR(INDEX('Kode Outlet dan Target Toko'!$C:$C,MATCH($I2355,'Kode Outlet dan Target Toko'!$E:$E,0)),0)</f>
        <v>122506</v>
      </c>
      <c r="H2355" s="20">
        <f>IFERROR(INDEX('Kode Outlet dan Target Toko'!$D:$D,MATCH($I2355,'Kode Outlet dan Target Toko'!$E:$E,0)),0)</f>
        <v>202816</v>
      </c>
      <c r="I2355" s="42" t="s">
        <v>71</v>
      </c>
      <c r="J2355" s="56" t="s">
        <v>292</v>
      </c>
      <c r="K2355" s="40" t="s">
        <v>13</v>
      </c>
      <c r="L2355" s="26">
        <v>7000</v>
      </c>
      <c r="M2355" s="26">
        <v>40</v>
      </c>
      <c r="N2355" s="25">
        <f t="shared" si="73"/>
        <v>280000</v>
      </c>
      <c r="O2355" s="56"/>
    </row>
    <row r="2356" spans="1:15" hidden="1" x14ac:dyDescent="0.3">
      <c r="A2356" s="26">
        <v>30</v>
      </c>
      <c r="B2356" s="20" t="str">
        <f t="shared" si="72"/>
        <v>JUL</v>
      </c>
      <c r="C2356" s="21">
        <v>46227</v>
      </c>
      <c r="D2356" s="22" t="str">
        <f t="array" ref="D2356">IFERROR(INDEX('Kode Outlet dan Target Toko'!$A:$A,MATCH($I2356,'Kode Outlet dan Target Toko'!$E:$E,0)),"")</f>
        <v>GRSM 1</v>
      </c>
      <c r="E2356" s="20" t="str">
        <f>IFERROR(VLOOKUP(I2356,KET!$B:$F,4,0),"")</f>
        <v>AFNITA SARI</v>
      </c>
      <c r="F2356" s="20" t="str">
        <f>IFERROR(VLOOKUP(I2356,KET!$B:$F,5,0),"")</f>
        <v>MT</v>
      </c>
      <c r="G2356" s="20">
        <f>IFERROR(INDEX('Kode Outlet dan Target Toko'!$C:$C,MATCH($I2356,'Kode Outlet dan Target Toko'!$E:$E,0)),0)</f>
        <v>122506</v>
      </c>
      <c r="H2356" s="20">
        <f>IFERROR(INDEX('Kode Outlet dan Target Toko'!$D:$D,MATCH($I2356,'Kode Outlet dan Target Toko'!$E:$E,0)),0)</f>
        <v>202816</v>
      </c>
      <c r="I2356" s="42" t="s">
        <v>71</v>
      </c>
      <c r="J2356" s="56" t="s">
        <v>292</v>
      </c>
      <c r="K2356" s="40" t="s">
        <v>14</v>
      </c>
      <c r="L2356" s="26">
        <v>7000</v>
      </c>
      <c r="M2356" s="26">
        <v>50</v>
      </c>
      <c r="N2356" s="25">
        <f t="shared" si="73"/>
        <v>350000</v>
      </c>
      <c r="O2356" s="56"/>
    </row>
    <row r="2357" spans="1:15" hidden="1" x14ac:dyDescent="0.3">
      <c r="A2357" s="26">
        <v>30</v>
      </c>
      <c r="B2357" s="20" t="str">
        <f t="shared" si="72"/>
        <v>JUL</v>
      </c>
      <c r="C2357" s="21">
        <v>46227</v>
      </c>
      <c r="D2357" s="22" t="str">
        <f t="array" ref="D2357">IFERROR(INDEX('Kode Outlet dan Target Toko'!$A:$A,MATCH($I2357,'Kode Outlet dan Target Toko'!$E:$E,0)),"")</f>
        <v>GRSM 1</v>
      </c>
      <c r="E2357" s="20" t="str">
        <f>IFERROR(VLOOKUP(I2357,KET!$B:$F,4,0),"")</f>
        <v>AFNITA SARI</v>
      </c>
      <c r="F2357" s="20" t="str">
        <f>IFERROR(VLOOKUP(I2357,KET!$B:$F,5,0),"")</f>
        <v>MT</v>
      </c>
      <c r="G2357" s="20">
        <f>IFERROR(INDEX('Kode Outlet dan Target Toko'!$C:$C,MATCH($I2357,'Kode Outlet dan Target Toko'!$E:$E,0)),0)</f>
        <v>122506</v>
      </c>
      <c r="H2357" s="20">
        <f>IFERROR(INDEX('Kode Outlet dan Target Toko'!$D:$D,MATCH($I2357,'Kode Outlet dan Target Toko'!$E:$E,0)),0)</f>
        <v>202816</v>
      </c>
      <c r="I2357" s="42" t="s">
        <v>71</v>
      </c>
      <c r="J2357" s="56" t="s">
        <v>292</v>
      </c>
      <c r="K2357" s="40" t="s">
        <v>15</v>
      </c>
      <c r="L2357" s="26">
        <v>7000</v>
      </c>
      <c r="M2357" s="26">
        <v>25</v>
      </c>
      <c r="N2357" s="25">
        <f t="shared" si="73"/>
        <v>175000</v>
      </c>
      <c r="O2357" s="56"/>
    </row>
    <row r="2358" spans="1:15" hidden="1" x14ac:dyDescent="0.3">
      <c r="A2358" s="26">
        <v>30</v>
      </c>
      <c r="B2358" s="20" t="str">
        <f t="shared" si="72"/>
        <v>JUL</v>
      </c>
      <c r="C2358" s="21">
        <v>46227</v>
      </c>
      <c r="D2358" s="22" t="str">
        <f t="array" ref="D2358">IFERROR(INDEX('Kode Outlet dan Target Toko'!$A:$A,MATCH($I2358,'Kode Outlet dan Target Toko'!$E:$E,0)),"")</f>
        <v>GRSM 1</v>
      </c>
      <c r="E2358" s="20" t="str">
        <f>IFERROR(VLOOKUP(I2358,KET!$B:$F,4,0),"")</f>
        <v>AFNITA SARI</v>
      </c>
      <c r="F2358" s="20" t="str">
        <f>IFERROR(VLOOKUP(I2358,KET!$B:$F,5,0),"")</f>
        <v>MT</v>
      </c>
      <c r="G2358" s="20">
        <f>IFERROR(INDEX('Kode Outlet dan Target Toko'!$C:$C,MATCH($I2358,'Kode Outlet dan Target Toko'!$E:$E,0)),0)</f>
        <v>122506</v>
      </c>
      <c r="H2358" s="20">
        <f>IFERROR(INDEX('Kode Outlet dan Target Toko'!$D:$D,MATCH($I2358,'Kode Outlet dan Target Toko'!$E:$E,0)),0)</f>
        <v>202816</v>
      </c>
      <c r="I2358" s="42" t="s">
        <v>71</v>
      </c>
      <c r="J2358" s="56" t="s">
        <v>292</v>
      </c>
      <c r="K2358" s="40" t="s">
        <v>16</v>
      </c>
      <c r="L2358" s="26">
        <v>7000</v>
      </c>
      <c r="M2358" s="26">
        <v>70</v>
      </c>
      <c r="N2358" s="25">
        <f t="shared" si="73"/>
        <v>490000</v>
      </c>
      <c r="O2358" s="56">
        <v>160</v>
      </c>
    </row>
    <row r="2359" spans="1:15" hidden="1" x14ac:dyDescent="0.3">
      <c r="A2359" s="26">
        <v>30</v>
      </c>
      <c r="B2359" s="20" t="str">
        <f t="shared" si="72"/>
        <v>JUL</v>
      </c>
      <c r="C2359" s="21">
        <v>46227</v>
      </c>
      <c r="D2359" s="22" t="str">
        <f t="array" ref="D2359">IFERROR(INDEX('Kode Outlet dan Target Toko'!$A:$A,MATCH($I2359,'Kode Outlet dan Target Toko'!$E:$E,0)),"")</f>
        <v>GRSM 1</v>
      </c>
      <c r="E2359" s="20" t="str">
        <f>IFERROR(VLOOKUP(I2359,KET!$B:$F,4,0),"")</f>
        <v>AFNITA SARI</v>
      </c>
      <c r="F2359" s="20" t="str">
        <f>IFERROR(VLOOKUP(I2359,KET!$B:$F,5,0),"")</f>
        <v>MT</v>
      </c>
      <c r="G2359" s="20">
        <f>IFERROR(INDEX('Kode Outlet dan Target Toko'!$C:$C,MATCH($I2359,'Kode Outlet dan Target Toko'!$E:$E,0)),0)</f>
        <v>122506</v>
      </c>
      <c r="H2359" s="20">
        <f>IFERROR(INDEX('Kode Outlet dan Target Toko'!$D:$D,MATCH($I2359,'Kode Outlet dan Target Toko'!$E:$E,0)),0)</f>
        <v>214422</v>
      </c>
      <c r="I2359" s="42" t="s">
        <v>72</v>
      </c>
      <c r="J2359" s="56" t="s">
        <v>293</v>
      </c>
      <c r="K2359" s="40" t="s">
        <v>13</v>
      </c>
      <c r="L2359" s="26">
        <v>6400</v>
      </c>
      <c r="M2359" s="26">
        <v>0</v>
      </c>
      <c r="N2359" s="25">
        <f t="shared" si="73"/>
        <v>0</v>
      </c>
      <c r="O2359" s="56"/>
    </row>
    <row r="2360" spans="1:15" hidden="1" x14ac:dyDescent="0.3">
      <c r="A2360" s="26">
        <v>30</v>
      </c>
      <c r="B2360" s="20" t="str">
        <f t="shared" si="72"/>
        <v>JUL</v>
      </c>
      <c r="C2360" s="21">
        <v>46227</v>
      </c>
      <c r="D2360" s="22" t="str">
        <f t="array" ref="D2360">IFERROR(INDEX('Kode Outlet dan Target Toko'!$A:$A,MATCH($I2360,'Kode Outlet dan Target Toko'!$E:$E,0)),"")</f>
        <v>GRSM 1</v>
      </c>
      <c r="E2360" s="20" t="str">
        <f>IFERROR(VLOOKUP(I2360,KET!$B:$F,4,0),"")</f>
        <v>AFNITA SARI</v>
      </c>
      <c r="F2360" s="20" t="str">
        <f>IFERROR(VLOOKUP(I2360,KET!$B:$F,5,0),"")</f>
        <v>MT</v>
      </c>
      <c r="G2360" s="20">
        <f>IFERROR(INDEX('Kode Outlet dan Target Toko'!$C:$C,MATCH($I2360,'Kode Outlet dan Target Toko'!$E:$E,0)),0)</f>
        <v>122506</v>
      </c>
      <c r="H2360" s="20">
        <f>IFERROR(INDEX('Kode Outlet dan Target Toko'!$D:$D,MATCH($I2360,'Kode Outlet dan Target Toko'!$E:$E,0)),0)</f>
        <v>214422</v>
      </c>
      <c r="I2360" s="42" t="s">
        <v>72</v>
      </c>
      <c r="J2360" s="56" t="s">
        <v>293</v>
      </c>
      <c r="K2360" s="40" t="s">
        <v>14</v>
      </c>
      <c r="L2360" s="26">
        <v>6400</v>
      </c>
      <c r="M2360" s="26">
        <v>42</v>
      </c>
      <c r="N2360" s="25">
        <f t="shared" si="73"/>
        <v>268800</v>
      </c>
      <c r="O2360" s="56"/>
    </row>
    <row r="2361" spans="1:15" hidden="1" x14ac:dyDescent="0.3">
      <c r="A2361" s="26">
        <v>30</v>
      </c>
      <c r="B2361" s="20" t="str">
        <f t="shared" si="72"/>
        <v>JUL</v>
      </c>
      <c r="C2361" s="21">
        <v>46227</v>
      </c>
      <c r="D2361" s="22" t="str">
        <f t="array" ref="D2361">IFERROR(INDEX('Kode Outlet dan Target Toko'!$A:$A,MATCH($I2361,'Kode Outlet dan Target Toko'!$E:$E,0)),"")</f>
        <v>GRSM 1</v>
      </c>
      <c r="E2361" s="20" t="str">
        <f>IFERROR(VLOOKUP(I2361,KET!$B:$F,4,0),"")</f>
        <v>AFNITA SARI</v>
      </c>
      <c r="F2361" s="20" t="str">
        <f>IFERROR(VLOOKUP(I2361,KET!$B:$F,5,0),"")</f>
        <v>MT</v>
      </c>
      <c r="G2361" s="20">
        <f>IFERROR(INDEX('Kode Outlet dan Target Toko'!$C:$C,MATCH($I2361,'Kode Outlet dan Target Toko'!$E:$E,0)),0)</f>
        <v>122506</v>
      </c>
      <c r="H2361" s="20">
        <f>IFERROR(INDEX('Kode Outlet dan Target Toko'!$D:$D,MATCH($I2361,'Kode Outlet dan Target Toko'!$E:$E,0)),0)</f>
        <v>214422</v>
      </c>
      <c r="I2361" s="42" t="s">
        <v>72</v>
      </c>
      <c r="J2361" s="56" t="s">
        <v>293</v>
      </c>
      <c r="K2361" s="40" t="s">
        <v>15</v>
      </c>
      <c r="L2361" s="26">
        <v>6400</v>
      </c>
      <c r="M2361" s="26">
        <v>40</v>
      </c>
      <c r="N2361" s="25">
        <f t="shared" si="73"/>
        <v>256000</v>
      </c>
      <c r="O2361" s="56"/>
    </row>
    <row r="2362" spans="1:15" hidden="1" x14ac:dyDescent="0.3">
      <c r="A2362" s="26">
        <v>30</v>
      </c>
      <c r="B2362" s="20" t="str">
        <f t="shared" si="72"/>
        <v>JUL</v>
      </c>
      <c r="C2362" s="21">
        <v>46227</v>
      </c>
      <c r="D2362" s="22" t="str">
        <f t="array" ref="D2362">IFERROR(INDEX('Kode Outlet dan Target Toko'!$A:$A,MATCH($I2362,'Kode Outlet dan Target Toko'!$E:$E,0)),"")</f>
        <v>GRSM 1</v>
      </c>
      <c r="E2362" s="20" t="str">
        <f>IFERROR(VLOOKUP(I2362,KET!$B:$F,4,0),"")</f>
        <v>AFNITA SARI</v>
      </c>
      <c r="F2362" s="20" t="str">
        <f>IFERROR(VLOOKUP(I2362,KET!$B:$F,5,0),"")</f>
        <v>MT</v>
      </c>
      <c r="G2362" s="20">
        <f>IFERROR(INDEX('Kode Outlet dan Target Toko'!$C:$C,MATCH($I2362,'Kode Outlet dan Target Toko'!$E:$E,0)),0)</f>
        <v>122506</v>
      </c>
      <c r="H2362" s="20">
        <f>IFERROR(INDEX('Kode Outlet dan Target Toko'!$D:$D,MATCH($I2362,'Kode Outlet dan Target Toko'!$E:$E,0)),0)</f>
        <v>214422</v>
      </c>
      <c r="I2362" s="42" t="s">
        <v>72</v>
      </c>
      <c r="J2362" s="56" t="s">
        <v>293</v>
      </c>
      <c r="K2362" s="40" t="s">
        <v>16</v>
      </c>
      <c r="L2362" s="26">
        <v>6400</v>
      </c>
      <c r="M2362" s="26">
        <v>84</v>
      </c>
      <c r="N2362" s="25">
        <f t="shared" si="73"/>
        <v>537600</v>
      </c>
      <c r="O2362" s="56">
        <v>160</v>
      </c>
    </row>
    <row r="2363" spans="1:15" hidden="1" x14ac:dyDescent="0.3">
      <c r="A2363" s="26">
        <v>30</v>
      </c>
      <c r="B2363" s="20" t="str">
        <f t="shared" si="72"/>
        <v>JUL</v>
      </c>
      <c r="C2363" s="21">
        <v>46227</v>
      </c>
      <c r="D2363" s="22" t="str">
        <f t="array" ref="D2363">IFERROR(INDEX('Kode Outlet dan Target Toko'!$A:$A,MATCH($I2363,'Kode Outlet dan Target Toko'!$E:$E,0)),"")</f>
        <v>GRSM 1</v>
      </c>
      <c r="E2363" s="20" t="str">
        <f>IFERROR(VLOOKUP(I2363,KET!$B:$F,4,0),"")</f>
        <v>AFNITA SARI</v>
      </c>
      <c r="F2363" s="20" t="str">
        <f>IFERROR(VLOOKUP(I2363,KET!$B:$F,5,0),"")</f>
        <v>MT</v>
      </c>
      <c r="G2363" s="20">
        <f>IFERROR(INDEX('Kode Outlet dan Target Toko'!$C:$C,MATCH($I2363,'Kode Outlet dan Target Toko'!$E:$E,0)),0)</f>
        <v>122506</v>
      </c>
      <c r="H2363" s="20">
        <f>IFERROR(INDEX('Kode Outlet dan Target Toko'!$D:$D,MATCH($I2363,'Kode Outlet dan Target Toko'!$E:$E,0)),0)</f>
        <v>214422</v>
      </c>
      <c r="I2363" s="42" t="s">
        <v>72</v>
      </c>
      <c r="J2363" s="56" t="s">
        <v>294</v>
      </c>
      <c r="K2363" s="40" t="s">
        <v>13</v>
      </c>
      <c r="L2363" s="26">
        <v>6400</v>
      </c>
      <c r="M2363" s="26">
        <v>0</v>
      </c>
      <c r="N2363" s="25">
        <f t="shared" si="73"/>
        <v>0</v>
      </c>
      <c r="O2363" s="56"/>
    </row>
    <row r="2364" spans="1:15" hidden="1" x14ac:dyDescent="0.3">
      <c r="A2364" s="26">
        <v>30</v>
      </c>
      <c r="B2364" s="20" t="str">
        <f t="shared" si="72"/>
        <v>JUL</v>
      </c>
      <c r="C2364" s="21">
        <v>46227</v>
      </c>
      <c r="D2364" s="22" t="str">
        <f t="array" ref="D2364">IFERROR(INDEX('Kode Outlet dan Target Toko'!$A:$A,MATCH($I2364,'Kode Outlet dan Target Toko'!$E:$E,0)),"")</f>
        <v>GRSM 1</v>
      </c>
      <c r="E2364" s="20" t="str">
        <f>IFERROR(VLOOKUP(I2364,KET!$B:$F,4,0),"")</f>
        <v>AFNITA SARI</v>
      </c>
      <c r="F2364" s="20" t="str">
        <f>IFERROR(VLOOKUP(I2364,KET!$B:$F,5,0),"")</f>
        <v>MT</v>
      </c>
      <c r="G2364" s="20">
        <f>IFERROR(INDEX('Kode Outlet dan Target Toko'!$C:$C,MATCH($I2364,'Kode Outlet dan Target Toko'!$E:$E,0)),0)</f>
        <v>122506</v>
      </c>
      <c r="H2364" s="20">
        <f>IFERROR(INDEX('Kode Outlet dan Target Toko'!$D:$D,MATCH($I2364,'Kode Outlet dan Target Toko'!$E:$E,0)),0)</f>
        <v>214422</v>
      </c>
      <c r="I2364" s="42" t="s">
        <v>72</v>
      </c>
      <c r="J2364" s="56" t="s">
        <v>294</v>
      </c>
      <c r="K2364" s="40" t="s">
        <v>14</v>
      </c>
      <c r="L2364" s="26">
        <v>6400</v>
      </c>
      <c r="M2364" s="26">
        <v>42</v>
      </c>
      <c r="N2364" s="25">
        <f t="shared" si="73"/>
        <v>268800</v>
      </c>
      <c r="O2364" s="56"/>
    </row>
    <row r="2365" spans="1:15" hidden="1" x14ac:dyDescent="0.3">
      <c r="A2365" s="26">
        <v>30</v>
      </c>
      <c r="B2365" s="20" t="str">
        <f t="shared" si="72"/>
        <v>JUL</v>
      </c>
      <c r="C2365" s="21">
        <v>46227</v>
      </c>
      <c r="D2365" s="22" t="str">
        <f t="array" ref="D2365">IFERROR(INDEX('Kode Outlet dan Target Toko'!$A:$A,MATCH($I2365,'Kode Outlet dan Target Toko'!$E:$E,0)),"")</f>
        <v>GRSM 1</v>
      </c>
      <c r="E2365" s="20" t="str">
        <f>IFERROR(VLOOKUP(I2365,KET!$B:$F,4,0),"")</f>
        <v>AFNITA SARI</v>
      </c>
      <c r="F2365" s="20" t="str">
        <f>IFERROR(VLOOKUP(I2365,KET!$B:$F,5,0),"")</f>
        <v>MT</v>
      </c>
      <c r="G2365" s="20">
        <f>IFERROR(INDEX('Kode Outlet dan Target Toko'!$C:$C,MATCH($I2365,'Kode Outlet dan Target Toko'!$E:$E,0)),0)</f>
        <v>122506</v>
      </c>
      <c r="H2365" s="20">
        <f>IFERROR(INDEX('Kode Outlet dan Target Toko'!$D:$D,MATCH($I2365,'Kode Outlet dan Target Toko'!$E:$E,0)),0)</f>
        <v>214422</v>
      </c>
      <c r="I2365" s="42" t="s">
        <v>72</v>
      </c>
      <c r="J2365" s="56" t="s">
        <v>294</v>
      </c>
      <c r="K2365" s="40" t="s">
        <v>15</v>
      </c>
      <c r="L2365" s="26">
        <v>6400</v>
      </c>
      <c r="M2365" s="26">
        <v>40</v>
      </c>
      <c r="N2365" s="25">
        <f t="shared" si="73"/>
        <v>256000</v>
      </c>
      <c r="O2365" s="56"/>
    </row>
    <row r="2366" spans="1:15" hidden="1" x14ac:dyDescent="0.3">
      <c r="A2366" s="26">
        <v>30</v>
      </c>
      <c r="B2366" s="20" t="str">
        <f t="shared" si="72"/>
        <v>JUL</v>
      </c>
      <c r="C2366" s="21">
        <v>46227</v>
      </c>
      <c r="D2366" s="22" t="str">
        <f t="array" ref="D2366">IFERROR(INDEX('Kode Outlet dan Target Toko'!$A:$A,MATCH($I2366,'Kode Outlet dan Target Toko'!$E:$E,0)),"")</f>
        <v>GRSM 1</v>
      </c>
      <c r="E2366" s="20" t="str">
        <f>IFERROR(VLOOKUP(I2366,KET!$B:$F,4,0),"")</f>
        <v>AFNITA SARI</v>
      </c>
      <c r="F2366" s="20" t="str">
        <f>IFERROR(VLOOKUP(I2366,KET!$B:$F,5,0),"")</f>
        <v>MT</v>
      </c>
      <c r="G2366" s="20">
        <f>IFERROR(INDEX('Kode Outlet dan Target Toko'!$C:$C,MATCH($I2366,'Kode Outlet dan Target Toko'!$E:$E,0)),0)</f>
        <v>122506</v>
      </c>
      <c r="H2366" s="20">
        <f>IFERROR(INDEX('Kode Outlet dan Target Toko'!$D:$D,MATCH($I2366,'Kode Outlet dan Target Toko'!$E:$E,0)),0)</f>
        <v>214422</v>
      </c>
      <c r="I2366" s="42" t="s">
        <v>72</v>
      </c>
      <c r="J2366" s="56" t="s">
        <v>294</v>
      </c>
      <c r="K2366" s="40" t="s">
        <v>16</v>
      </c>
      <c r="L2366" s="26">
        <v>6400</v>
      </c>
      <c r="M2366" s="26">
        <v>84</v>
      </c>
      <c r="N2366" s="25">
        <f t="shared" si="73"/>
        <v>537600</v>
      </c>
      <c r="O2366" s="56">
        <v>160</v>
      </c>
    </row>
    <row r="2367" spans="1:15" hidden="1" x14ac:dyDescent="0.3">
      <c r="A2367" s="26">
        <v>30</v>
      </c>
      <c r="B2367" s="20" t="str">
        <f t="shared" si="72"/>
        <v>JUL</v>
      </c>
      <c r="C2367" s="21">
        <v>46228</v>
      </c>
      <c r="D2367" s="22" t="str">
        <f t="array" ref="D2367">IFERROR(INDEX('Kode Outlet dan Target Toko'!$A:$A,MATCH($I2367,'Kode Outlet dan Target Toko'!$E:$E,0)),"")</f>
        <v>GRSM 1</v>
      </c>
      <c r="E2367" s="20" t="str">
        <f>IFERROR(VLOOKUP(I2367,KET!$B:$F,4,0),"")</f>
        <v>AFNITA SARI</v>
      </c>
      <c r="F2367" s="20" t="str">
        <f>IFERROR(VLOOKUP(I2367,KET!$B:$F,5,0),"")</f>
        <v>MT</v>
      </c>
      <c r="G2367" s="20">
        <f>IFERROR(INDEX('Kode Outlet dan Target Toko'!$C:$C,MATCH($I2367,'Kode Outlet dan Target Toko'!$E:$E,0)),0)</f>
        <v>122506</v>
      </c>
      <c r="H2367" s="20">
        <f>IFERROR(INDEX('Kode Outlet dan Target Toko'!$D:$D,MATCH($I2367,'Kode Outlet dan Target Toko'!$E:$E,0)),0)</f>
        <v>202879</v>
      </c>
      <c r="I2367" s="42" t="s">
        <v>70</v>
      </c>
      <c r="J2367" s="56" t="s">
        <v>289</v>
      </c>
      <c r="K2367" s="40" t="s">
        <v>13</v>
      </c>
      <c r="L2367" s="26">
        <v>6400</v>
      </c>
      <c r="M2367" s="26">
        <v>49</v>
      </c>
      <c r="N2367" s="25">
        <f t="shared" si="73"/>
        <v>313600</v>
      </c>
      <c r="O2367" s="56"/>
    </row>
    <row r="2368" spans="1:15" hidden="1" x14ac:dyDescent="0.3">
      <c r="A2368" s="26">
        <v>30</v>
      </c>
      <c r="B2368" s="20" t="str">
        <f t="shared" si="72"/>
        <v>JUL</v>
      </c>
      <c r="C2368" s="21">
        <v>46228</v>
      </c>
      <c r="D2368" s="22" t="str">
        <f t="array" ref="D2368">IFERROR(INDEX('Kode Outlet dan Target Toko'!$A:$A,MATCH($I2368,'Kode Outlet dan Target Toko'!$E:$E,0)),"")</f>
        <v>GRSM 1</v>
      </c>
      <c r="E2368" s="20" t="str">
        <f>IFERROR(VLOOKUP(I2368,KET!$B:$F,4,0),"")</f>
        <v>AFNITA SARI</v>
      </c>
      <c r="F2368" s="20" t="str">
        <f>IFERROR(VLOOKUP(I2368,KET!$B:$F,5,0),"")</f>
        <v>MT</v>
      </c>
      <c r="G2368" s="20">
        <f>IFERROR(INDEX('Kode Outlet dan Target Toko'!$C:$C,MATCH($I2368,'Kode Outlet dan Target Toko'!$E:$E,0)),0)</f>
        <v>122506</v>
      </c>
      <c r="H2368" s="20">
        <f>IFERROR(INDEX('Kode Outlet dan Target Toko'!$D:$D,MATCH($I2368,'Kode Outlet dan Target Toko'!$E:$E,0)),0)</f>
        <v>202879</v>
      </c>
      <c r="I2368" s="42" t="s">
        <v>70</v>
      </c>
      <c r="J2368" s="56" t="s">
        <v>289</v>
      </c>
      <c r="K2368" s="40" t="s">
        <v>14</v>
      </c>
      <c r="L2368" s="26">
        <v>6400</v>
      </c>
      <c r="M2368" s="26">
        <v>40</v>
      </c>
      <c r="N2368" s="25">
        <f t="shared" si="73"/>
        <v>256000</v>
      </c>
      <c r="O2368" s="56"/>
    </row>
    <row r="2369" spans="1:15" hidden="1" x14ac:dyDescent="0.3">
      <c r="A2369" s="26">
        <v>30</v>
      </c>
      <c r="B2369" s="20" t="str">
        <f t="shared" si="72"/>
        <v>JUL</v>
      </c>
      <c r="C2369" s="21">
        <v>46228</v>
      </c>
      <c r="D2369" s="22" t="str">
        <f t="array" ref="D2369">IFERROR(INDEX('Kode Outlet dan Target Toko'!$A:$A,MATCH($I2369,'Kode Outlet dan Target Toko'!$E:$E,0)),"")</f>
        <v>GRSM 1</v>
      </c>
      <c r="E2369" s="20" t="str">
        <f>IFERROR(VLOOKUP(I2369,KET!$B:$F,4,0),"")</f>
        <v>AFNITA SARI</v>
      </c>
      <c r="F2369" s="20" t="str">
        <f>IFERROR(VLOOKUP(I2369,KET!$B:$F,5,0),"")</f>
        <v>MT</v>
      </c>
      <c r="G2369" s="20">
        <f>IFERROR(INDEX('Kode Outlet dan Target Toko'!$C:$C,MATCH($I2369,'Kode Outlet dan Target Toko'!$E:$E,0)),0)</f>
        <v>122506</v>
      </c>
      <c r="H2369" s="20">
        <f>IFERROR(INDEX('Kode Outlet dan Target Toko'!$D:$D,MATCH($I2369,'Kode Outlet dan Target Toko'!$E:$E,0)),0)</f>
        <v>202879</v>
      </c>
      <c r="I2369" s="42" t="s">
        <v>70</v>
      </c>
      <c r="J2369" s="56" t="s">
        <v>289</v>
      </c>
      <c r="K2369" s="40" t="s">
        <v>15</v>
      </c>
      <c r="L2369" s="26">
        <v>6400</v>
      </c>
      <c r="M2369" s="26">
        <v>37</v>
      </c>
      <c r="N2369" s="25">
        <f t="shared" si="73"/>
        <v>236800</v>
      </c>
      <c r="O2369" s="56"/>
    </row>
    <row r="2370" spans="1:15" hidden="1" x14ac:dyDescent="0.3">
      <c r="A2370" s="26">
        <v>30</v>
      </c>
      <c r="B2370" s="20" t="str">
        <f t="shared" si="72"/>
        <v>JUL</v>
      </c>
      <c r="C2370" s="21">
        <v>46228</v>
      </c>
      <c r="D2370" s="22" t="str">
        <f t="array" ref="D2370">IFERROR(INDEX('Kode Outlet dan Target Toko'!$A:$A,MATCH($I2370,'Kode Outlet dan Target Toko'!$E:$E,0)),"")</f>
        <v>GRSM 1</v>
      </c>
      <c r="E2370" s="20" t="str">
        <f>IFERROR(VLOOKUP(I2370,KET!$B:$F,4,0),"")</f>
        <v>AFNITA SARI</v>
      </c>
      <c r="F2370" s="20" t="str">
        <f>IFERROR(VLOOKUP(I2370,KET!$B:$F,5,0),"")</f>
        <v>MT</v>
      </c>
      <c r="G2370" s="20">
        <f>IFERROR(INDEX('Kode Outlet dan Target Toko'!$C:$C,MATCH($I2370,'Kode Outlet dan Target Toko'!$E:$E,0)),0)</f>
        <v>122506</v>
      </c>
      <c r="H2370" s="20">
        <f>IFERROR(INDEX('Kode Outlet dan Target Toko'!$D:$D,MATCH($I2370,'Kode Outlet dan Target Toko'!$E:$E,0)),0)</f>
        <v>202879</v>
      </c>
      <c r="I2370" s="42" t="s">
        <v>70</v>
      </c>
      <c r="J2370" s="56" t="s">
        <v>289</v>
      </c>
      <c r="K2370" s="40" t="s">
        <v>16</v>
      </c>
      <c r="L2370" s="26">
        <v>6400</v>
      </c>
      <c r="M2370" s="26">
        <v>87</v>
      </c>
      <c r="N2370" s="25">
        <f t="shared" si="73"/>
        <v>556800</v>
      </c>
      <c r="O2370" s="56">
        <v>160</v>
      </c>
    </row>
    <row r="2371" spans="1:15" hidden="1" x14ac:dyDescent="0.3">
      <c r="A2371" s="26">
        <v>30</v>
      </c>
      <c r="B2371" s="20" t="str">
        <f t="shared" si="72"/>
        <v>JUL</v>
      </c>
      <c r="C2371" s="21">
        <v>46228</v>
      </c>
      <c r="D2371" s="22" t="str">
        <f t="array" ref="D2371">IFERROR(INDEX('Kode Outlet dan Target Toko'!$A:$A,MATCH($I2371,'Kode Outlet dan Target Toko'!$E:$E,0)),"")</f>
        <v>GRSM 1</v>
      </c>
      <c r="E2371" s="20" t="str">
        <f>IFERROR(VLOOKUP(I2371,KET!$B:$F,4,0),"")</f>
        <v>AFNITA SARI</v>
      </c>
      <c r="F2371" s="20" t="str">
        <f>IFERROR(VLOOKUP(I2371,KET!$B:$F,5,0),"")</f>
        <v>MT</v>
      </c>
      <c r="G2371" s="20">
        <f>IFERROR(INDEX('Kode Outlet dan Target Toko'!$C:$C,MATCH($I2371,'Kode Outlet dan Target Toko'!$E:$E,0)),0)</f>
        <v>122506</v>
      </c>
      <c r="H2371" s="20">
        <f>IFERROR(INDEX('Kode Outlet dan Target Toko'!$D:$D,MATCH($I2371,'Kode Outlet dan Target Toko'!$E:$E,0)),0)</f>
        <v>202879</v>
      </c>
      <c r="I2371" s="42" t="s">
        <v>70</v>
      </c>
      <c r="J2371" s="56" t="s">
        <v>290</v>
      </c>
      <c r="K2371" s="40" t="s">
        <v>13</v>
      </c>
      <c r="L2371" s="26">
        <v>6400</v>
      </c>
      <c r="M2371" s="26">
        <v>49</v>
      </c>
      <c r="N2371" s="25">
        <f t="shared" si="73"/>
        <v>313600</v>
      </c>
      <c r="O2371" s="56"/>
    </row>
    <row r="2372" spans="1:15" hidden="1" x14ac:dyDescent="0.3">
      <c r="A2372" s="26">
        <v>30</v>
      </c>
      <c r="B2372" s="20" t="str">
        <f t="shared" si="72"/>
        <v>JUL</v>
      </c>
      <c r="C2372" s="21">
        <v>46228</v>
      </c>
      <c r="D2372" s="22" t="str">
        <f t="array" ref="D2372">IFERROR(INDEX('Kode Outlet dan Target Toko'!$A:$A,MATCH($I2372,'Kode Outlet dan Target Toko'!$E:$E,0)),"")</f>
        <v>GRSM 1</v>
      </c>
      <c r="E2372" s="20" t="str">
        <f>IFERROR(VLOOKUP(I2372,KET!$B:$F,4,0),"")</f>
        <v>AFNITA SARI</v>
      </c>
      <c r="F2372" s="20" t="str">
        <f>IFERROR(VLOOKUP(I2372,KET!$B:$F,5,0),"")</f>
        <v>MT</v>
      </c>
      <c r="G2372" s="20">
        <f>IFERROR(INDEX('Kode Outlet dan Target Toko'!$C:$C,MATCH($I2372,'Kode Outlet dan Target Toko'!$E:$E,0)),0)</f>
        <v>122506</v>
      </c>
      <c r="H2372" s="20">
        <f>IFERROR(INDEX('Kode Outlet dan Target Toko'!$D:$D,MATCH($I2372,'Kode Outlet dan Target Toko'!$E:$E,0)),0)</f>
        <v>202879</v>
      </c>
      <c r="I2372" s="42" t="s">
        <v>70</v>
      </c>
      <c r="J2372" s="56" t="s">
        <v>290</v>
      </c>
      <c r="K2372" s="40" t="s">
        <v>14</v>
      </c>
      <c r="L2372" s="26">
        <v>6400</v>
      </c>
      <c r="M2372" s="26">
        <v>40</v>
      </c>
      <c r="N2372" s="25">
        <f t="shared" si="73"/>
        <v>256000</v>
      </c>
      <c r="O2372" s="56"/>
    </row>
    <row r="2373" spans="1:15" hidden="1" x14ac:dyDescent="0.3">
      <c r="A2373" s="26">
        <v>30</v>
      </c>
      <c r="B2373" s="20" t="str">
        <f t="shared" si="72"/>
        <v>JUL</v>
      </c>
      <c r="C2373" s="21">
        <v>46228</v>
      </c>
      <c r="D2373" s="22" t="str">
        <f t="array" ref="D2373">IFERROR(INDEX('Kode Outlet dan Target Toko'!$A:$A,MATCH($I2373,'Kode Outlet dan Target Toko'!$E:$E,0)),"")</f>
        <v>GRSM 1</v>
      </c>
      <c r="E2373" s="20" t="str">
        <f>IFERROR(VLOOKUP(I2373,KET!$B:$F,4,0),"")</f>
        <v>AFNITA SARI</v>
      </c>
      <c r="F2373" s="20" t="str">
        <f>IFERROR(VLOOKUP(I2373,KET!$B:$F,5,0),"")</f>
        <v>MT</v>
      </c>
      <c r="G2373" s="20">
        <f>IFERROR(INDEX('Kode Outlet dan Target Toko'!$C:$C,MATCH($I2373,'Kode Outlet dan Target Toko'!$E:$E,0)),0)</f>
        <v>122506</v>
      </c>
      <c r="H2373" s="20">
        <f>IFERROR(INDEX('Kode Outlet dan Target Toko'!$D:$D,MATCH($I2373,'Kode Outlet dan Target Toko'!$E:$E,0)),0)</f>
        <v>202879</v>
      </c>
      <c r="I2373" s="42" t="s">
        <v>70</v>
      </c>
      <c r="J2373" s="56" t="s">
        <v>290</v>
      </c>
      <c r="K2373" s="40" t="s">
        <v>15</v>
      </c>
      <c r="L2373" s="26">
        <v>6400</v>
      </c>
      <c r="M2373" s="26">
        <v>37</v>
      </c>
      <c r="N2373" s="25">
        <f t="shared" si="73"/>
        <v>236800</v>
      </c>
      <c r="O2373" s="56"/>
    </row>
    <row r="2374" spans="1:15" hidden="1" x14ac:dyDescent="0.3">
      <c r="A2374" s="26">
        <v>30</v>
      </c>
      <c r="B2374" s="20" t="str">
        <f t="shared" si="72"/>
        <v>JUL</v>
      </c>
      <c r="C2374" s="21">
        <v>46228</v>
      </c>
      <c r="D2374" s="22" t="str">
        <f t="array" ref="D2374">IFERROR(INDEX('Kode Outlet dan Target Toko'!$A:$A,MATCH($I2374,'Kode Outlet dan Target Toko'!$E:$E,0)),"")</f>
        <v>GRSM 1</v>
      </c>
      <c r="E2374" s="20" t="str">
        <f>IFERROR(VLOOKUP(I2374,KET!$B:$F,4,0),"")</f>
        <v>AFNITA SARI</v>
      </c>
      <c r="F2374" s="20" t="str">
        <f>IFERROR(VLOOKUP(I2374,KET!$B:$F,5,0),"")</f>
        <v>MT</v>
      </c>
      <c r="G2374" s="20">
        <f>IFERROR(INDEX('Kode Outlet dan Target Toko'!$C:$C,MATCH($I2374,'Kode Outlet dan Target Toko'!$E:$E,0)),0)</f>
        <v>122506</v>
      </c>
      <c r="H2374" s="20">
        <f>IFERROR(INDEX('Kode Outlet dan Target Toko'!$D:$D,MATCH($I2374,'Kode Outlet dan Target Toko'!$E:$E,0)),0)</f>
        <v>202879</v>
      </c>
      <c r="I2374" s="42" t="s">
        <v>70</v>
      </c>
      <c r="J2374" s="56" t="s">
        <v>290</v>
      </c>
      <c r="K2374" s="40" t="s">
        <v>16</v>
      </c>
      <c r="L2374" s="26">
        <v>6400</v>
      </c>
      <c r="M2374" s="26">
        <v>87</v>
      </c>
      <c r="N2374" s="25">
        <f t="shared" si="73"/>
        <v>556800</v>
      </c>
      <c r="O2374" s="56">
        <v>160</v>
      </c>
    </row>
    <row r="2375" spans="1:15" hidden="1" x14ac:dyDescent="0.3">
      <c r="A2375" s="26">
        <v>30</v>
      </c>
      <c r="B2375" s="20" t="str">
        <f t="shared" ref="B2375:B2438" si="74">IF(C2375="","",UPPER(TEXT(C2375, "MMM")))</f>
        <v>JUL</v>
      </c>
      <c r="C2375" s="21">
        <v>46228</v>
      </c>
      <c r="D2375" s="22" t="str">
        <f t="array" ref="D2375">IFERROR(INDEX('Kode Outlet dan Target Toko'!$A:$A,MATCH($I2375,'Kode Outlet dan Target Toko'!$E:$E,0)),"")</f>
        <v>GRSM 1</v>
      </c>
      <c r="E2375" s="20" t="str">
        <f>IFERROR(VLOOKUP(I2375,KET!$B:$F,4,0),"")</f>
        <v>AFNITA SARI</v>
      </c>
      <c r="F2375" s="20" t="str">
        <f>IFERROR(VLOOKUP(I2375,KET!$B:$F,5,0),"")</f>
        <v>MT</v>
      </c>
      <c r="G2375" s="20">
        <f>IFERROR(INDEX('Kode Outlet dan Target Toko'!$C:$C,MATCH($I2375,'Kode Outlet dan Target Toko'!$E:$E,0)),0)</f>
        <v>122506</v>
      </c>
      <c r="H2375" s="20">
        <f>IFERROR(INDEX('Kode Outlet dan Target Toko'!$D:$D,MATCH($I2375,'Kode Outlet dan Target Toko'!$E:$E,0)),0)</f>
        <v>202816</v>
      </c>
      <c r="I2375" s="42" t="s">
        <v>71</v>
      </c>
      <c r="J2375" s="56" t="s">
        <v>291</v>
      </c>
      <c r="K2375" s="40" t="s">
        <v>13</v>
      </c>
      <c r="L2375" s="26">
        <v>7000</v>
      </c>
      <c r="M2375" s="26">
        <v>44</v>
      </c>
      <c r="N2375" s="25">
        <f t="shared" ref="N2375:N2438" si="75">IFERROR(M2375*L2375,"")</f>
        <v>308000</v>
      </c>
      <c r="O2375" s="56"/>
    </row>
    <row r="2376" spans="1:15" hidden="1" x14ac:dyDescent="0.3">
      <c r="A2376" s="26">
        <v>30</v>
      </c>
      <c r="B2376" s="20" t="str">
        <f t="shared" si="74"/>
        <v>JUL</v>
      </c>
      <c r="C2376" s="21">
        <v>46228</v>
      </c>
      <c r="D2376" s="22" t="str">
        <f t="array" ref="D2376">IFERROR(INDEX('Kode Outlet dan Target Toko'!$A:$A,MATCH($I2376,'Kode Outlet dan Target Toko'!$E:$E,0)),"")</f>
        <v>GRSM 1</v>
      </c>
      <c r="E2376" s="20" t="str">
        <f>IFERROR(VLOOKUP(I2376,KET!$B:$F,4,0),"")</f>
        <v>AFNITA SARI</v>
      </c>
      <c r="F2376" s="20" t="str">
        <f>IFERROR(VLOOKUP(I2376,KET!$B:$F,5,0),"")</f>
        <v>MT</v>
      </c>
      <c r="G2376" s="20">
        <f>IFERROR(INDEX('Kode Outlet dan Target Toko'!$C:$C,MATCH($I2376,'Kode Outlet dan Target Toko'!$E:$E,0)),0)</f>
        <v>122506</v>
      </c>
      <c r="H2376" s="20">
        <f>IFERROR(INDEX('Kode Outlet dan Target Toko'!$D:$D,MATCH($I2376,'Kode Outlet dan Target Toko'!$E:$E,0)),0)</f>
        <v>202816</v>
      </c>
      <c r="I2376" s="42" t="s">
        <v>71</v>
      </c>
      <c r="J2376" s="56" t="s">
        <v>291</v>
      </c>
      <c r="K2376" s="40" t="s">
        <v>14</v>
      </c>
      <c r="L2376" s="26">
        <v>7000</v>
      </c>
      <c r="M2376" s="26">
        <v>42</v>
      </c>
      <c r="N2376" s="25">
        <f t="shared" si="75"/>
        <v>294000</v>
      </c>
      <c r="O2376" s="56"/>
    </row>
    <row r="2377" spans="1:15" hidden="1" x14ac:dyDescent="0.3">
      <c r="A2377" s="26">
        <v>30</v>
      </c>
      <c r="B2377" s="20" t="str">
        <f t="shared" si="74"/>
        <v>JUL</v>
      </c>
      <c r="C2377" s="21">
        <v>46228</v>
      </c>
      <c r="D2377" s="22" t="str">
        <f t="array" ref="D2377">IFERROR(INDEX('Kode Outlet dan Target Toko'!$A:$A,MATCH($I2377,'Kode Outlet dan Target Toko'!$E:$E,0)),"")</f>
        <v>GRSM 1</v>
      </c>
      <c r="E2377" s="20" t="str">
        <f>IFERROR(VLOOKUP(I2377,KET!$B:$F,4,0),"")</f>
        <v>AFNITA SARI</v>
      </c>
      <c r="F2377" s="20" t="str">
        <f>IFERROR(VLOOKUP(I2377,KET!$B:$F,5,0),"")</f>
        <v>MT</v>
      </c>
      <c r="G2377" s="20">
        <f>IFERROR(INDEX('Kode Outlet dan Target Toko'!$C:$C,MATCH($I2377,'Kode Outlet dan Target Toko'!$E:$E,0)),0)</f>
        <v>122506</v>
      </c>
      <c r="H2377" s="20">
        <f>IFERROR(INDEX('Kode Outlet dan Target Toko'!$D:$D,MATCH($I2377,'Kode Outlet dan Target Toko'!$E:$E,0)),0)</f>
        <v>202816</v>
      </c>
      <c r="I2377" s="42" t="s">
        <v>71</v>
      </c>
      <c r="J2377" s="56" t="s">
        <v>291</v>
      </c>
      <c r="K2377" s="40" t="s">
        <v>15</v>
      </c>
      <c r="L2377" s="26">
        <v>7000</v>
      </c>
      <c r="M2377" s="26">
        <v>30</v>
      </c>
      <c r="N2377" s="25">
        <f t="shared" si="75"/>
        <v>210000</v>
      </c>
      <c r="O2377" s="56"/>
    </row>
    <row r="2378" spans="1:15" hidden="1" x14ac:dyDescent="0.3">
      <c r="A2378" s="26">
        <v>30</v>
      </c>
      <c r="B2378" s="20" t="str">
        <f t="shared" si="74"/>
        <v>JUL</v>
      </c>
      <c r="C2378" s="21">
        <v>46228</v>
      </c>
      <c r="D2378" s="22" t="str">
        <f t="array" ref="D2378">IFERROR(INDEX('Kode Outlet dan Target Toko'!$A:$A,MATCH($I2378,'Kode Outlet dan Target Toko'!$E:$E,0)),"")</f>
        <v>GRSM 1</v>
      </c>
      <c r="E2378" s="20" t="str">
        <f>IFERROR(VLOOKUP(I2378,KET!$B:$F,4,0),"")</f>
        <v>AFNITA SARI</v>
      </c>
      <c r="F2378" s="20" t="str">
        <f>IFERROR(VLOOKUP(I2378,KET!$B:$F,5,0),"")</f>
        <v>MT</v>
      </c>
      <c r="G2378" s="20">
        <f>IFERROR(INDEX('Kode Outlet dan Target Toko'!$C:$C,MATCH($I2378,'Kode Outlet dan Target Toko'!$E:$E,0)),0)</f>
        <v>122506</v>
      </c>
      <c r="H2378" s="20">
        <f>IFERROR(INDEX('Kode Outlet dan Target Toko'!$D:$D,MATCH($I2378,'Kode Outlet dan Target Toko'!$E:$E,0)),0)</f>
        <v>202816</v>
      </c>
      <c r="I2378" s="42" t="s">
        <v>71</v>
      </c>
      <c r="J2378" s="56" t="s">
        <v>291</v>
      </c>
      <c r="K2378" s="40" t="s">
        <v>16</v>
      </c>
      <c r="L2378" s="26">
        <v>7000</v>
      </c>
      <c r="M2378" s="26">
        <v>80</v>
      </c>
      <c r="N2378" s="25">
        <f t="shared" si="75"/>
        <v>560000</v>
      </c>
      <c r="O2378" s="56">
        <v>160</v>
      </c>
    </row>
    <row r="2379" spans="1:15" hidden="1" x14ac:dyDescent="0.3">
      <c r="A2379" s="26">
        <v>30</v>
      </c>
      <c r="B2379" s="20" t="str">
        <f t="shared" si="74"/>
        <v>JUL</v>
      </c>
      <c r="C2379" s="21">
        <v>46228</v>
      </c>
      <c r="D2379" s="22" t="str">
        <f t="array" ref="D2379">IFERROR(INDEX('Kode Outlet dan Target Toko'!$A:$A,MATCH($I2379,'Kode Outlet dan Target Toko'!$E:$E,0)),"")</f>
        <v>GRSM 1</v>
      </c>
      <c r="E2379" s="20" t="str">
        <f>IFERROR(VLOOKUP(I2379,KET!$B:$F,4,0),"")</f>
        <v>AFNITA SARI</v>
      </c>
      <c r="F2379" s="20" t="str">
        <f>IFERROR(VLOOKUP(I2379,KET!$B:$F,5,0),"")</f>
        <v>MT</v>
      </c>
      <c r="G2379" s="20">
        <f>IFERROR(INDEX('Kode Outlet dan Target Toko'!$C:$C,MATCH($I2379,'Kode Outlet dan Target Toko'!$E:$E,0)),0)</f>
        <v>122506</v>
      </c>
      <c r="H2379" s="20">
        <f>IFERROR(INDEX('Kode Outlet dan Target Toko'!$D:$D,MATCH($I2379,'Kode Outlet dan Target Toko'!$E:$E,0)),0)</f>
        <v>202816</v>
      </c>
      <c r="I2379" s="42" t="s">
        <v>71</v>
      </c>
      <c r="J2379" s="56" t="s">
        <v>292</v>
      </c>
      <c r="K2379" s="40" t="s">
        <v>13</v>
      </c>
      <c r="L2379" s="26">
        <v>7000</v>
      </c>
      <c r="M2379" s="26">
        <v>44</v>
      </c>
      <c r="N2379" s="25">
        <f t="shared" si="75"/>
        <v>308000</v>
      </c>
      <c r="O2379" s="56"/>
    </row>
    <row r="2380" spans="1:15" hidden="1" x14ac:dyDescent="0.3">
      <c r="A2380" s="26">
        <v>30</v>
      </c>
      <c r="B2380" s="20" t="str">
        <f t="shared" si="74"/>
        <v>JUL</v>
      </c>
      <c r="C2380" s="21">
        <v>46228</v>
      </c>
      <c r="D2380" s="22" t="str">
        <f t="array" ref="D2380">IFERROR(INDEX('Kode Outlet dan Target Toko'!$A:$A,MATCH($I2380,'Kode Outlet dan Target Toko'!$E:$E,0)),"")</f>
        <v>GRSM 1</v>
      </c>
      <c r="E2380" s="20" t="str">
        <f>IFERROR(VLOOKUP(I2380,KET!$B:$F,4,0),"")</f>
        <v>AFNITA SARI</v>
      </c>
      <c r="F2380" s="20" t="str">
        <f>IFERROR(VLOOKUP(I2380,KET!$B:$F,5,0),"")</f>
        <v>MT</v>
      </c>
      <c r="G2380" s="20">
        <f>IFERROR(INDEX('Kode Outlet dan Target Toko'!$C:$C,MATCH($I2380,'Kode Outlet dan Target Toko'!$E:$E,0)),0)</f>
        <v>122506</v>
      </c>
      <c r="H2380" s="20">
        <f>IFERROR(INDEX('Kode Outlet dan Target Toko'!$D:$D,MATCH($I2380,'Kode Outlet dan Target Toko'!$E:$E,0)),0)</f>
        <v>202816</v>
      </c>
      <c r="I2380" s="42" t="s">
        <v>71</v>
      </c>
      <c r="J2380" s="56" t="s">
        <v>292</v>
      </c>
      <c r="K2380" s="40" t="s">
        <v>14</v>
      </c>
      <c r="L2380" s="26">
        <v>7000</v>
      </c>
      <c r="M2380" s="26">
        <v>42</v>
      </c>
      <c r="N2380" s="25">
        <f t="shared" si="75"/>
        <v>294000</v>
      </c>
      <c r="O2380" s="56"/>
    </row>
    <row r="2381" spans="1:15" hidden="1" x14ac:dyDescent="0.3">
      <c r="A2381" s="26">
        <v>30</v>
      </c>
      <c r="B2381" s="20" t="str">
        <f t="shared" si="74"/>
        <v>JUL</v>
      </c>
      <c r="C2381" s="21">
        <v>46228</v>
      </c>
      <c r="D2381" s="22" t="str">
        <f t="array" ref="D2381">IFERROR(INDEX('Kode Outlet dan Target Toko'!$A:$A,MATCH($I2381,'Kode Outlet dan Target Toko'!$E:$E,0)),"")</f>
        <v>GRSM 1</v>
      </c>
      <c r="E2381" s="20" t="str">
        <f>IFERROR(VLOOKUP(I2381,KET!$B:$F,4,0),"")</f>
        <v>AFNITA SARI</v>
      </c>
      <c r="F2381" s="20" t="str">
        <f>IFERROR(VLOOKUP(I2381,KET!$B:$F,5,0),"")</f>
        <v>MT</v>
      </c>
      <c r="G2381" s="20">
        <f>IFERROR(INDEX('Kode Outlet dan Target Toko'!$C:$C,MATCH($I2381,'Kode Outlet dan Target Toko'!$E:$E,0)),0)</f>
        <v>122506</v>
      </c>
      <c r="H2381" s="20">
        <f>IFERROR(INDEX('Kode Outlet dan Target Toko'!$D:$D,MATCH($I2381,'Kode Outlet dan Target Toko'!$E:$E,0)),0)</f>
        <v>202816</v>
      </c>
      <c r="I2381" s="42" t="s">
        <v>71</v>
      </c>
      <c r="J2381" s="56" t="s">
        <v>292</v>
      </c>
      <c r="K2381" s="40" t="s">
        <v>15</v>
      </c>
      <c r="L2381" s="26">
        <v>7000</v>
      </c>
      <c r="M2381" s="26">
        <v>30</v>
      </c>
      <c r="N2381" s="25">
        <f t="shared" si="75"/>
        <v>210000</v>
      </c>
      <c r="O2381" s="56"/>
    </row>
    <row r="2382" spans="1:15" hidden="1" x14ac:dyDescent="0.3">
      <c r="A2382" s="26">
        <v>30</v>
      </c>
      <c r="B2382" s="20" t="str">
        <f t="shared" si="74"/>
        <v>JUL</v>
      </c>
      <c r="C2382" s="21">
        <v>46228</v>
      </c>
      <c r="D2382" s="22" t="str">
        <f t="array" ref="D2382">IFERROR(INDEX('Kode Outlet dan Target Toko'!$A:$A,MATCH($I2382,'Kode Outlet dan Target Toko'!$E:$E,0)),"")</f>
        <v>GRSM 1</v>
      </c>
      <c r="E2382" s="20" t="str">
        <f>IFERROR(VLOOKUP(I2382,KET!$B:$F,4,0),"")</f>
        <v>AFNITA SARI</v>
      </c>
      <c r="F2382" s="20" t="str">
        <f>IFERROR(VLOOKUP(I2382,KET!$B:$F,5,0),"")</f>
        <v>MT</v>
      </c>
      <c r="G2382" s="20">
        <f>IFERROR(INDEX('Kode Outlet dan Target Toko'!$C:$C,MATCH($I2382,'Kode Outlet dan Target Toko'!$E:$E,0)),0)</f>
        <v>122506</v>
      </c>
      <c r="H2382" s="20">
        <f>IFERROR(INDEX('Kode Outlet dan Target Toko'!$D:$D,MATCH($I2382,'Kode Outlet dan Target Toko'!$E:$E,0)),0)</f>
        <v>202816</v>
      </c>
      <c r="I2382" s="42" t="s">
        <v>71</v>
      </c>
      <c r="J2382" s="56" t="s">
        <v>292</v>
      </c>
      <c r="K2382" s="40" t="s">
        <v>16</v>
      </c>
      <c r="L2382" s="26">
        <v>7000</v>
      </c>
      <c r="M2382" s="26">
        <v>80</v>
      </c>
      <c r="N2382" s="25">
        <f t="shared" si="75"/>
        <v>560000</v>
      </c>
      <c r="O2382" s="56">
        <v>160</v>
      </c>
    </row>
    <row r="2383" spans="1:15" hidden="1" x14ac:dyDescent="0.3">
      <c r="A2383" s="26">
        <v>30</v>
      </c>
      <c r="B2383" s="20" t="str">
        <f t="shared" si="74"/>
        <v>JUL</v>
      </c>
      <c r="C2383" s="21">
        <v>46228</v>
      </c>
      <c r="D2383" s="22" t="str">
        <f t="array" ref="D2383">IFERROR(INDEX('Kode Outlet dan Target Toko'!$A:$A,MATCH($I2383,'Kode Outlet dan Target Toko'!$E:$E,0)),"")</f>
        <v>GRSM 1</v>
      </c>
      <c r="E2383" s="20" t="str">
        <f>IFERROR(VLOOKUP(I2383,KET!$B:$F,4,0),"")</f>
        <v>AFNITA SARI</v>
      </c>
      <c r="F2383" s="20" t="str">
        <f>IFERROR(VLOOKUP(I2383,KET!$B:$F,5,0),"")</f>
        <v>MT</v>
      </c>
      <c r="G2383" s="20">
        <f>IFERROR(INDEX('Kode Outlet dan Target Toko'!$C:$C,MATCH($I2383,'Kode Outlet dan Target Toko'!$E:$E,0)),0)</f>
        <v>122506</v>
      </c>
      <c r="H2383" s="20">
        <f>IFERROR(INDEX('Kode Outlet dan Target Toko'!$D:$D,MATCH($I2383,'Kode Outlet dan Target Toko'!$E:$E,0)),0)</f>
        <v>202816</v>
      </c>
      <c r="I2383" s="42" t="s">
        <v>71</v>
      </c>
      <c r="J2383" s="56" t="s">
        <v>291</v>
      </c>
      <c r="K2383" s="40" t="s">
        <v>13</v>
      </c>
      <c r="L2383" s="26">
        <v>7000</v>
      </c>
      <c r="M2383" s="26">
        <v>44</v>
      </c>
      <c r="N2383" s="25">
        <f t="shared" si="75"/>
        <v>308000</v>
      </c>
      <c r="O2383" s="56"/>
    </row>
    <row r="2384" spans="1:15" hidden="1" x14ac:dyDescent="0.3">
      <c r="A2384" s="26">
        <v>30</v>
      </c>
      <c r="B2384" s="20" t="str">
        <f t="shared" si="74"/>
        <v>JUL</v>
      </c>
      <c r="C2384" s="21">
        <v>46228</v>
      </c>
      <c r="D2384" s="22" t="str">
        <f t="array" ref="D2384">IFERROR(INDEX('Kode Outlet dan Target Toko'!$A:$A,MATCH($I2384,'Kode Outlet dan Target Toko'!$E:$E,0)),"")</f>
        <v>GRSM 1</v>
      </c>
      <c r="E2384" s="20" t="str">
        <f>IFERROR(VLOOKUP(I2384,KET!$B:$F,4,0),"")</f>
        <v>AFNITA SARI</v>
      </c>
      <c r="F2384" s="20" t="str">
        <f>IFERROR(VLOOKUP(I2384,KET!$B:$F,5,0),"")</f>
        <v>MT</v>
      </c>
      <c r="G2384" s="20">
        <f>IFERROR(INDEX('Kode Outlet dan Target Toko'!$C:$C,MATCH($I2384,'Kode Outlet dan Target Toko'!$E:$E,0)),0)</f>
        <v>122506</v>
      </c>
      <c r="H2384" s="20">
        <f>IFERROR(INDEX('Kode Outlet dan Target Toko'!$D:$D,MATCH($I2384,'Kode Outlet dan Target Toko'!$E:$E,0)),0)</f>
        <v>202816</v>
      </c>
      <c r="I2384" s="42" t="s">
        <v>71</v>
      </c>
      <c r="J2384" s="56" t="s">
        <v>291</v>
      </c>
      <c r="K2384" s="40" t="s">
        <v>14</v>
      </c>
      <c r="L2384" s="26">
        <v>7000</v>
      </c>
      <c r="M2384" s="26">
        <v>42</v>
      </c>
      <c r="N2384" s="25">
        <f t="shared" si="75"/>
        <v>294000</v>
      </c>
      <c r="O2384" s="56"/>
    </row>
    <row r="2385" spans="1:15" hidden="1" x14ac:dyDescent="0.3">
      <c r="A2385" s="26">
        <v>30</v>
      </c>
      <c r="B2385" s="20" t="str">
        <f t="shared" si="74"/>
        <v>JUL</v>
      </c>
      <c r="C2385" s="21">
        <v>46228</v>
      </c>
      <c r="D2385" s="22" t="str">
        <f t="array" ref="D2385">IFERROR(INDEX('Kode Outlet dan Target Toko'!$A:$A,MATCH($I2385,'Kode Outlet dan Target Toko'!$E:$E,0)),"")</f>
        <v>GRSM 1</v>
      </c>
      <c r="E2385" s="20" t="str">
        <f>IFERROR(VLOOKUP(I2385,KET!$B:$F,4,0),"")</f>
        <v>AFNITA SARI</v>
      </c>
      <c r="F2385" s="20" t="str">
        <f>IFERROR(VLOOKUP(I2385,KET!$B:$F,5,0),"")</f>
        <v>MT</v>
      </c>
      <c r="G2385" s="20">
        <f>IFERROR(INDEX('Kode Outlet dan Target Toko'!$C:$C,MATCH($I2385,'Kode Outlet dan Target Toko'!$E:$E,0)),0)</f>
        <v>122506</v>
      </c>
      <c r="H2385" s="20">
        <f>IFERROR(INDEX('Kode Outlet dan Target Toko'!$D:$D,MATCH($I2385,'Kode Outlet dan Target Toko'!$E:$E,0)),0)</f>
        <v>202816</v>
      </c>
      <c r="I2385" s="42" t="s">
        <v>71</v>
      </c>
      <c r="J2385" s="56" t="s">
        <v>291</v>
      </c>
      <c r="K2385" s="40" t="s">
        <v>15</v>
      </c>
      <c r="L2385" s="26">
        <v>7000</v>
      </c>
      <c r="M2385" s="26">
        <v>30</v>
      </c>
      <c r="N2385" s="25">
        <f t="shared" si="75"/>
        <v>210000</v>
      </c>
      <c r="O2385" s="56"/>
    </row>
    <row r="2386" spans="1:15" hidden="1" x14ac:dyDescent="0.3">
      <c r="A2386" s="26">
        <v>30</v>
      </c>
      <c r="B2386" s="20" t="str">
        <f t="shared" si="74"/>
        <v>JUL</v>
      </c>
      <c r="C2386" s="21">
        <v>46228</v>
      </c>
      <c r="D2386" s="22" t="str">
        <f t="array" ref="D2386">IFERROR(INDEX('Kode Outlet dan Target Toko'!$A:$A,MATCH($I2386,'Kode Outlet dan Target Toko'!$E:$E,0)),"")</f>
        <v>GRSM 1</v>
      </c>
      <c r="E2386" s="20" t="str">
        <f>IFERROR(VLOOKUP(I2386,KET!$B:$F,4,0),"")</f>
        <v>AFNITA SARI</v>
      </c>
      <c r="F2386" s="20" t="str">
        <f>IFERROR(VLOOKUP(I2386,KET!$B:$F,5,0),"")</f>
        <v>MT</v>
      </c>
      <c r="G2386" s="20">
        <f>IFERROR(INDEX('Kode Outlet dan Target Toko'!$C:$C,MATCH($I2386,'Kode Outlet dan Target Toko'!$E:$E,0)),0)</f>
        <v>122506</v>
      </c>
      <c r="H2386" s="20">
        <f>IFERROR(INDEX('Kode Outlet dan Target Toko'!$D:$D,MATCH($I2386,'Kode Outlet dan Target Toko'!$E:$E,0)),0)</f>
        <v>202816</v>
      </c>
      <c r="I2386" s="42" t="s">
        <v>71</v>
      </c>
      <c r="J2386" s="56" t="s">
        <v>291</v>
      </c>
      <c r="K2386" s="40" t="s">
        <v>16</v>
      </c>
      <c r="L2386" s="26">
        <v>7000</v>
      </c>
      <c r="M2386" s="26">
        <v>80</v>
      </c>
      <c r="N2386" s="25">
        <f t="shared" si="75"/>
        <v>560000</v>
      </c>
      <c r="O2386" s="56">
        <v>160</v>
      </c>
    </row>
    <row r="2387" spans="1:15" hidden="1" x14ac:dyDescent="0.3">
      <c r="A2387" s="26">
        <v>30</v>
      </c>
      <c r="B2387" s="20" t="str">
        <f t="shared" si="74"/>
        <v>JUL</v>
      </c>
      <c r="C2387" s="21">
        <v>46228</v>
      </c>
      <c r="D2387" s="22" t="str">
        <f t="array" ref="D2387">IFERROR(INDEX('Kode Outlet dan Target Toko'!$A:$A,MATCH($I2387,'Kode Outlet dan Target Toko'!$E:$E,0)),"")</f>
        <v>GRSM 1</v>
      </c>
      <c r="E2387" s="20" t="str">
        <f>IFERROR(VLOOKUP(I2387,KET!$B:$F,4,0),"")</f>
        <v>AFNITA SARI</v>
      </c>
      <c r="F2387" s="20" t="str">
        <f>IFERROR(VLOOKUP(I2387,KET!$B:$F,5,0),"")</f>
        <v>MT</v>
      </c>
      <c r="G2387" s="20">
        <f>IFERROR(INDEX('Kode Outlet dan Target Toko'!$C:$C,MATCH($I2387,'Kode Outlet dan Target Toko'!$E:$E,0)),0)</f>
        <v>122506</v>
      </c>
      <c r="H2387" s="20">
        <f>IFERROR(INDEX('Kode Outlet dan Target Toko'!$D:$D,MATCH($I2387,'Kode Outlet dan Target Toko'!$E:$E,0)),0)</f>
        <v>202816</v>
      </c>
      <c r="I2387" s="42" t="s">
        <v>71</v>
      </c>
      <c r="J2387" s="56" t="s">
        <v>292</v>
      </c>
      <c r="K2387" s="40" t="s">
        <v>13</v>
      </c>
      <c r="L2387" s="26">
        <v>7000</v>
      </c>
      <c r="M2387" s="26">
        <v>44</v>
      </c>
      <c r="N2387" s="25">
        <f t="shared" si="75"/>
        <v>308000</v>
      </c>
      <c r="O2387" s="56"/>
    </row>
    <row r="2388" spans="1:15" hidden="1" x14ac:dyDescent="0.3">
      <c r="A2388" s="26">
        <v>30</v>
      </c>
      <c r="B2388" s="20" t="str">
        <f t="shared" si="74"/>
        <v>JUL</v>
      </c>
      <c r="C2388" s="21">
        <v>46228</v>
      </c>
      <c r="D2388" s="22" t="str">
        <f t="array" ref="D2388">IFERROR(INDEX('Kode Outlet dan Target Toko'!$A:$A,MATCH($I2388,'Kode Outlet dan Target Toko'!$E:$E,0)),"")</f>
        <v>GRSM 1</v>
      </c>
      <c r="E2388" s="20" t="str">
        <f>IFERROR(VLOOKUP(I2388,KET!$B:$F,4,0),"")</f>
        <v>AFNITA SARI</v>
      </c>
      <c r="F2388" s="20" t="str">
        <f>IFERROR(VLOOKUP(I2388,KET!$B:$F,5,0),"")</f>
        <v>MT</v>
      </c>
      <c r="G2388" s="20">
        <f>IFERROR(INDEX('Kode Outlet dan Target Toko'!$C:$C,MATCH($I2388,'Kode Outlet dan Target Toko'!$E:$E,0)),0)</f>
        <v>122506</v>
      </c>
      <c r="H2388" s="20">
        <f>IFERROR(INDEX('Kode Outlet dan Target Toko'!$D:$D,MATCH($I2388,'Kode Outlet dan Target Toko'!$E:$E,0)),0)</f>
        <v>202816</v>
      </c>
      <c r="I2388" s="42" t="s">
        <v>71</v>
      </c>
      <c r="J2388" s="56" t="s">
        <v>292</v>
      </c>
      <c r="K2388" s="40" t="s">
        <v>14</v>
      </c>
      <c r="L2388" s="26">
        <v>7000</v>
      </c>
      <c r="M2388" s="26">
        <v>42</v>
      </c>
      <c r="N2388" s="25">
        <f t="shared" si="75"/>
        <v>294000</v>
      </c>
      <c r="O2388" s="56"/>
    </row>
    <row r="2389" spans="1:15" hidden="1" x14ac:dyDescent="0.3">
      <c r="A2389" s="26">
        <v>30</v>
      </c>
      <c r="B2389" s="20" t="str">
        <f t="shared" si="74"/>
        <v>JUL</v>
      </c>
      <c r="C2389" s="21">
        <v>46228</v>
      </c>
      <c r="D2389" s="22" t="str">
        <f t="array" ref="D2389">IFERROR(INDEX('Kode Outlet dan Target Toko'!$A:$A,MATCH($I2389,'Kode Outlet dan Target Toko'!$E:$E,0)),"")</f>
        <v>GRSM 1</v>
      </c>
      <c r="E2389" s="20" t="str">
        <f>IFERROR(VLOOKUP(I2389,KET!$B:$F,4,0),"")</f>
        <v>AFNITA SARI</v>
      </c>
      <c r="F2389" s="20" t="str">
        <f>IFERROR(VLOOKUP(I2389,KET!$B:$F,5,0),"")</f>
        <v>MT</v>
      </c>
      <c r="G2389" s="20">
        <f>IFERROR(INDEX('Kode Outlet dan Target Toko'!$C:$C,MATCH($I2389,'Kode Outlet dan Target Toko'!$E:$E,0)),0)</f>
        <v>122506</v>
      </c>
      <c r="H2389" s="20">
        <f>IFERROR(INDEX('Kode Outlet dan Target Toko'!$D:$D,MATCH($I2389,'Kode Outlet dan Target Toko'!$E:$E,0)),0)</f>
        <v>202816</v>
      </c>
      <c r="I2389" s="42" t="s">
        <v>71</v>
      </c>
      <c r="J2389" s="56" t="s">
        <v>292</v>
      </c>
      <c r="K2389" s="40" t="s">
        <v>15</v>
      </c>
      <c r="L2389" s="26">
        <v>7000</v>
      </c>
      <c r="M2389" s="26">
        <v>30</v>
      </c>
      <c r="N2389" s="25">
        <f t="shared" si="75"/>
        <v>210000</v>
      </c>
      <c r="O2389" s="56"/>
    </row>
    <row r="2390" spans="1:15" hidden="1" x14ac:dyDescent="0.3">
      <c r="A2390" s="26">
        <v>30</v>
      </c>
      <c r="B2390" s="20" t="str">
        <f t="shared" si="74"/>
        <v>JUL</v>
      </c>
      <c r="C2390" s="21">
        <v>46228</v>
      </c>
      <c r="D2390" s="22" t="str">
        <f t="array" ref="D2390">IFERROR(INDEX('Kode Outlet dan Target Toko'!$A:$A,MATCH($I2390,'Kode Outlet dan Target Toko'!$E:$E,0)),"")</f>
        <v>GRSM 1</v>
      </c>
      <c r="E2390" s="20" t="str">
        <f>IFERROR(VLOOKUP(I2390,KET!$B:$F,4,0),"")</f>
        <v>AFNITA SARI</v>
      </c>
      <c r="F2390" s="20" t="str">
        <f>IFERROR(VLOOKUP(I2390,KET!$B:$F,5,0),"")</f>
        <v>MT</v>
      </c>
      <c r="G2390" s="20">
        <f>IFERROR(INDEX('Kode Outlet dan Target Toko'!$C:$C,MATCH($I2390,'Kode Outlet dan Target Toko'!$E:$E,0)),0)</f>
        <v>122506</v>
      </c>
      <c r="H2390" s="20">
        <f>IFERROR(INDEX('Kode Outlet dan Target Toko'!$D:$D,MATCH($I2390,'Kode Outlet dan Target Toko'!$E:$E,0)),0)</f>
        <v>202816</v>
      </c>
      <c r="I2390" s="42" t="s">
        <v>71</v>
      </c>
      <c r="J2390" s="56" t="s">
        <v>292</v>
      </c>
      <c r="K2390" s="40" t="s">
        <v>16</v>
      </c>
      <c r="L2390" s="26">
        <v>7000</v>
      </c>
      <c r="M2390" s="26">
        <v>80</v>
      </c>
      <c r="N2390" s="25">
        <f t="shared" si="75"/>
        <v>560000</v>
      </c>
      <c r="O2390" s="56">
        <v>160</v>
      </c>
    </row>
    <row r="2391" spans="1:15" hidden="1" x14ac:dyDescent="0.3">
      <c r="A2391" s="26">
        <v>30</v>
      </c>
      <c r="B2391" s="20" t="str">
        <f t="shared" si="74"/>
        <v>JUL</v>
      </c>
      <c r="C2391" s="21">
        <v>46228</v>
      </c>
      <c r="D2391" s="22" t="str">
        <f t="array" ref="D2391">IFERROR(INDEX('Kode Outlet dan Target Toko'!$A:$A,MATCH($I2391,'Kode Outlet dan Target Toko'!$E:$E,0)),"")</f>
        <v>GRSM 1</v>
      </c>
      <c r="E2391" s="20" t="str">
        <f>IFERROR(VLOOKUP(I2391,KET!$B:$F,4,0),"")</f>
        <v>AFNITA SARI</v>
      </c>
      <c r="F2391" s="20" t="str">
        <f>IFERROR(VLOOKUP(I2391,KET!$B:$F,5,0),"")</f>
        <v>MT</v>
      </c>
      <c r="G2391" s="20">
        <f>IFERROR(INDEX('Kode Outlet dan Target Toko'!$C:$C,MATCH($I2391,'Kode Outlet dan Target Toko'!$E:$E,0)),0)</f>
        <v>122506</v>
      </c>
      <c r="H2391" s="20">
        <f>IFERROR(INDEX('Kode Outlet dan Target Toko'!$D:$D,MATCH($I2391,'Kode Outlet dan Target Toko'!$E:$E,0)),0)</f>
        <v>214300</v>
      </c>
      <c r="I2391" s="42" t="s">
        <v>73</v>
      </c>
      <c r="J2391" s="56" t="s">
        <v>295</v>
      </c>
      <c r="K2391" s="40" t="s">
        <v>13</v>
      </c>
      <c r="L2391" s="26">
        <v>7000</v>
      </c>
      <c r="M2391" s="26">
        <v>12</v>
      </c>
      <c r="N2391" s="25">
        <f t="shared" si="75"/>
        <v>84000</v>
      </c>
      <c r="O2391" s="56"/>
    </row>
    <row r="2392" spans="1:15" hidden="1" x14ac:dyDescent="0.3">
      <c r="A2392" s="26">
        <v>30</v>
      </c>
      <c r="B2392" s="20" t="str">
        <f t="shared" si="74"/>
        <v>JUL</v>
      </c>
      <c r="C2392" s="21">
        <v>46228</v>
      </c>
      <c r="D2392" s="22" t="str">
        <f t="array" ref="D2392">IFERROR(INDEX('Kode Outlet dan Target Toko'!$A:$A,MATCH($I2392,'Kode Outlet dan Target Toko'!$E:$E,0)),"")</f>
        <v>GRSM 1</v>
      </c>
      <c r="E2392" s="20" t="str">
        <f>IFERROR(VLOOKUP(I2392,KET!$B:$F,4,0),"")</f>
        <v>AFNITA SARI</v>
      </c>
      <c r="F2392" s="20" t="str">
        <f>IFERROR(VLOOKUP(I2392,KET!$B:$F,5,0),"")</f>
        <v>MT</v>
      </c>
      <c r="G2392" s="20">
        <f>IFERROR(INDEX('Kode Outlet dan Target Toko'!$C:$C,MATCH($I2392,'Kode Outlet dan Target Toko'!$E:$E,0)),0)</f>
        <v>122506</v>
      </c>
      <c r="H2392" s="20">
        <f>IFERROR(INDEX('Kode Outlet dan Target Toko'!$D:$D,MATCH($I2392,'Kode Outlet dan Target Toko'!$E:$E,0)),0)</f>
        <v>214300</v>
      </c>
      <c r="I2392" s="42" t="s">
        <v>73</v>
      </c>
      <c r="J2392" s="56" t="s">
        <v>295</v>
      </c>
      <c r="K2392" s="40" t="s">
        <v>14</v>
      </c>
      <c r="L2392" s="26">
        <v>7000</v>
      </c>
      <c r="M2392" s="26">
        <v>18</v>
      </c>
      <c r="N2392" s="25">
        <f t="shared" si="75"/>
        <v>126000</v>
      </c>
      <c r="O2392" s="56"/>
    </row>
    <row r="2393" spans="1:15" hidden="1" x14ac:dyDescent="0.3">
      <c r="A2393" s="26">
        <v>30</v>
      </c>
      <c r="B2393" s="20" t="str">
        <f t="shared" si="74"/>
        <v>JUL</v>
      </c>
      <c r="C2393" s="21">
        <v>46228</v>
      </c>
      <c r="D2393" s="22" t="str">
        <f t="array" ref="D2393">IFERROR(INDEX('Kode Outlet dan Target Toko'!$A:$A,MATCH($I2393,'Kode Outlet dan Target Toko'!$E:$E,0)),"")</f>
        <v>GRSM 1</v>
      </c>
      <c r="E2393" s="20" t="str">
        <f>IFERROR(VLOOKUP(I2393,KET!$B:$F,4,0),"")</f>
        <v>AFNITA SARI</v>
      </c>
      <c r="F2393" s="20" t="str">
        <f>IFERROR(VLOOKUP(I2393,KET!$B:$F,5,0),"")</f>
        <v>MT</v>
      </c>
      <c r="G2393" s="20">
        <f>IFERROR(INDEX('Kode Outlet dan Target Toko'!$C:$C,MATCH($I2393,'Kode Outlet dan Target Toko'!$E:$E,0)),0)</f>
        <v>122506</v>
      </c>
      <c r="H2393" s="20">
        <f>IFERROR(INDEX('Kode Outlet dan Target Toko'!$D:$D,MATCH($I2393,'Kode Outlet dan Target Toko'!$E:$E,0)),0)</f>
        <v>214300</v>
      </c>
      <c r="I2393" s="42" t="s">
        <v>73</v>
      </c>
      <c r="J2393" s="56" t="s">
        <v>295</v>
      </c>
      <c r="K2393" s="40" t="s">
        <v>15</v>
      </c>
      <c r="L2393" s="26">
        <v>7000</v>
      </c>
      <c r="M2393" s="26">
        <v>13</v>
      </c>
      <c r="N2393" s="25">
        <f t="shared" si="75"/>
        <v>91000</v>
      </c>
      <c r="O2393" s="56"/>
    </row>
    <row r="2394" spans="1:15" hidden="1" x14ac:dyDescent="0.3">
      <c r="A2394" s="26">
        <v>30</v>
      </c>
      <c r="B2394" s="20" t="str">
        <f t="shared" si="74"/>
        <v>JUL</v>
      </c>
      <c r="C2394" s="21">
        <v>46228</v>
      </c>
      <c r="D2394" s="22" t="str">
        <f t="array" ref="D2394">IFERROR(INDEX('Kode Outlet dan Target Toko'!$A:$A,MATCH($I2394,'Kode Outlet dan Target Toko'!$E:$E,0)),"")</f>
        <v>GRSM 1</v>
      </c>
      <c r="E2394" s="20" t="str">
        <f>IFERROR(VLOOKUP(I2394,KET!$B:$F,4,0),"")</f>
        <v>AFNITA SARI</v>
      </c>
      <c r="F2394" s="20" t="str">
        <f>IFERROR(VLOOKUP(I2394,KET!$B:$F,5,0),"")</f>
        <v>MT</v>
      </c>
      <c r="G2394" s="20">
        <f>IFERROR(INDEX('Kode Outlet dan Target Toko'!$C:$C,MATCH($I2394,'Kode Outlet dan Target Toko'!$E:$E,0)),0)</f>
        <v>122506</v>
      </c>
      <c r="H2394" s="20">
        <f>IFERROR(INDEX('Kode Outlet dan Target Toko'!$D:$D,MATCH($I2394,'Kode Outlet dan Target Toko'!$E:$E,0)),0)</f>
        <v>214300</v>
      </c>
      <c r="I2394" s="42" t="s">
        <v>73</v>
      </c>
      <c r="J2394" s="56" t="s">
        <v>295</v>
      </c>
      <c r="K2394" s="40" t="s">
        <v>16</v>
      </c>
      <c r="L2394" s="26">
        <v>7000</v>
      </c>
      <c r="M2394" s="26">
        <v>32</v>
      </c>
      <c r="N2394" s="25">
        <f t="shared" si="75"/>
        <v>224000</v>
      </c>
      <c r="O2394" s="56">
        <v>160</v>
      </c>
    </row>
    <row r="2395" spans="1:15" hidden="1" x14ac:dyDescent="0.3">
      <c r="A2395" s="26">
        <v>30</v>
      </c>
      <c r="B2395" s="20" t="str">
        <f t="shared" si="74"/>
        <v>JUL</v>
      </c>
      <c r="C2395" s="21">
        <v>46228</v>
      </c>
      <c r="D2395" s="22" t="str">
        <f t="array" ref="D2395">IFERROR(INDEX('Kode Outlet dan Target Toko'!$A:$A,MATCH($I2395,'Kode Outlet dan Target Toko'!$E:$E,0)),"")</f>
        <v>GRSM 1</v>
      </c>
      <c r="E2395" s="20" t="str">
        <f>IFERROR(VLOOKUP(I2395,KET!$B:$F,4,0),"")</f>
        <v>AFNITA SARI</v>
      </c>
      <c r="F2395" s="20" t="str">
        <f>IFERROR(VLOOKUP(I2395,KET!$B:$F,5,0),"")</f>
        <v>MT</v>
      </c>
      <c r="G2395" s="20">
        <f>IFERROR(INDEX('Kode Outlet dan Target Toko'!$C:$C,MATCH($I2395,'Kode Outlet dan Target Toko'!$E:$E,0)),0)</f>
        <v>122506</v>
      </c>
      <c r="H2395" s="20">
        <f>IFERROR(INDEX('Kode Outlet dan Target Toko'!$D:$D,MATCH($I2395,'Kode Outlet dan Target Toko'!$E:$E,0)),0)</f>
        <v>214300</v>
      </c>
      <c r="I2395" s="42" t="s">
        <v>73</v>
      </c>
      <c r="J2395" s="56" t="s">
        <v>296</v>
      </c>
      <c r="K2395" s="40" t="s">
        <v>13</v>
      </c>
      <c r="L2395" s="26">
        <v>7000</v>
      </c>
      <c r="M2395" s="26">
        <v>12</v>
      </c>
      <c r="N2395" s="25">
        <f t="shared" si="75"/>
        <v>84000</v>
      </c>
      <c r="O2395" s="56"/>
    </row>
    <row r="2396" spans="1:15" hidden="1" x14ac:dyDescent="0.3">
      <c r="A2396" s="26">
        <v>30</v>
      </c>
      <c r="B2396" s="20" t="str">
        <f t="shared" si="74"/>
        <v>JUL</v>
      </c>
      <c r="C2396" s="21">
        <v>46228</v>
      </c>
      <c r="D2396" s="22" t="str">
        <f t="array" ref="D2396">IFERROR(INDEX('Kode Outlet dan Target Toko'!$A:$A,MATCH($I2396,'Kode Outlet dan Target Toko'!$E:$E,0)),"")</f>
        <v>GRSM 1</v>
      </c>
      <c r="E2396" s="20" t="str">
        <f>IFERROR(VLOOKUP(I2396,KET!$B:$F,4,0),"")</f>
        <v>AFNITA SARI</v>
      </c>
      <c r="F2396" s="20" t="str">
        <f>IFERROR(VLOOKUP(I2396,KET!$B:$F,5,0),"")</f>
        <v>MT</v>
      </c>
      <c r="G2396" s="20">
        <f>IFERROR(INDEX('Kode Outlet dan Target Toko'!$C:$C,MATCH($I2396,'Kode Outlet dan Target Toko'!$E:$E,0)),0)</f>
        <v>122506</v>
      </c>
      <c r="H2396" s="20">
        <f>IFERROR(INDEX('Kode Outlet dan Target Toko'!$D:$D,MATCH($I2396,'Kode Outlet dan Target Toko'!$E:$E,0)),0)</f>
        <v>214300</v>
      </c>
      <c r="I2396" s="42" t="s">
        <v>73</v>
      </c>
      <c r="J2396" s="56" t="s">
        <v>296</v>
      </c>
      <c r="K2396" s="40" t="s">
        <v>14</v>
      </c>
      <c r="L2396" s="26">
        <v>7000</v>
      </c>
      <c r="M2396" s="26">
        <v>18</v>
      </c>
      <c r="N2396" s="25">
        <f t="shared" si="75"/>
        <v>126000</v>
      </c>
      <c r="O2396" s="56"/>
    </row>
    <row r="2397" spans="1:15" hidden="1" x14ac:dyDescent="0.3">
      <c r="A2397" s="26">
        <v>30</v>
      </c>
      <c r="B2397" s="20" t="str">
        <f t="shared" si="74"/>
        <v>JUL</v>
      </c>
      <c r="C2397" s="21">
        <v>46228</v>
      </c>
      <c r="D2397" s="22" t="str">
        <f t="array" ref="D2397">IFERROR(INDEX('Kode Outlet dan Target Toko'!$A:$A,MATCH($I2397,'Kode Outlet dan Target Toko'!$E:$E,0)),"")</f>
        <v>GRSM 1</v>
      </c>
      <c r="E2397" s="20" t="str">
        <f>IFERROR(VLOOKUP(I2397,KET!$B:$F,4,0),"")</f>
        <v>AFNITA SARI</v>
      </c>
      <c r="F2397" s="20" t="str">
        <f>IFERROR(VLOOKUP(I2397,KET!$B:$F,5,0),"")</f>
        <v>MT</v>
      </c>
      <c r="G2397" s="20">
        <f>IFERROR(INDEX('Kode Outlet dan Target Toko'!$C:$C,MATCH($I2397,'Kode Outlet dan Target Toko'!$E:$E,0)),0)</f>
        <v>122506</v>
      </c>
      <c r="H2397" s="20">
        <f>IFERROR(INDEX('Kode Outlet dan Target Toko'!$D:$D,MATCH($I2397,'Kode Outlet dan Target Toko'!$E:$E,0)),0)</f>
        <v>214300</v>
      </c>
      <c r="I2397" s="42" t="s">
        <v>73</v>
      </c>
      <c r="J2397" s="56" t="s">
        <v>296</v>
      </c>
      <c r="K2397" s="40" t="s">
        <v>15</v>
      </c>
      <c r="L2397" s="26">
        <v>7000</v>
      </c>
      <c r="M2397" s="26">
        <v>13</v>
      </c>
      <c r="N2397" s="25">
        <f t="shared" si="75"/>
        <v>91000</v>
      </c>
      <c r="O2397" s="56"/>
    </row>
    <row r="2398" spans="1:15" hidden="1" x14ac:dyDescent="0.3">
      <c r="A2398" s="26">
        <v>30</v>
      </c>
      <c r="B2398" s="20" t="str">
        <f t="shared" si="74"/>
        <v>JUL</v>
      </c>
      <c r="C2398" s="21">
        <v>46228</v>
      </c>
      <c r="D2398" s="22" t="str">
        <f t="array" ref="D2398">IFERROR(INDEX('Kode Outlet dan Target Toko'!$A:$A,MATCH($I2398,'Kode Outlet dan Target Toko'!$E:$E,0)),"")</f>
        <v>GRSM 1</v>
      </c>
      <c r="E2398" s="20" t="str">
        <f>IFERROR(VLOOKUP(I2398,KET!$B:$F,4,0),"")</f>
        <v>AFNITA SARI</v>
      </c>
      <c r="F2398" s="20" t="str">
        <f>IFERROR(VLOOKUP(I2398,KET!$B:$F,5,0),"")</f>
        <v>MT</v>
      </c>
      <c r="G2398" s="20">
        <f>IFERROR(INDEX('Kode Outlet dan Target Toko'!$C:$C,MATCH($I2398,'Kode Outlet dan Target Toko'!$E:$E,0)),0)</f>
        <v>122506</v>
      </c>
      <c r="H2398" s="20">
        <f>IFERROR(INDEX('Kode Outlet dan Target Toko'!$D:$D,MATCH($I2398,'Kode Outlet dan Target Toko'!$E:$E,0)),0)</f>
        <v>214300</v>
      </c>
      <c r="I2398" s="42" t="s">
        <v>73</v>
      </c>
      <c r="J2398" s="56" t="s">
        <v>296</v>
      </c>
      <c r="K2398" s="40" t="s">
        <v>16</v>
      </c>
      <c r="L2398" s="26">
        <v>7000</v>
      </c>
      <c r="M2398" s="26">
        <v>32</v>
      </c>
      <c r="N2398" s="25">
        <f t="shared" si="75"/>
        <v>224000</v>
      </c>
      <c r="O2398" s="56">
        <v>160</v>
      </c>
    </row>
    <row r="2399" spans="1:15" hidden="1" x14ac:dyDescent="0.3">
      <c r="A2399" s="26">
        <v>30</v>
      </c>
      <c r="B2399" s="20" t="str">
        <f t="shared" si="74"/>
        <v>JUL</v>
      </c>
      <c r="C2399" s="21">
        <v>46228</v>
      </c>
      <c r="D2399" s="22" t="str">
        <f t="array" ref="D2399">IFERROR(INDEX('Kode Outlet dan Target Toko'!$A:$A,MATCH($I2399,'Kode Outlet dan Target Toko'!$E:$E,0)),"")</f>
        <v>GRSM 2</v>
      </c>
      <c r="E2399" s="20" t="str">
        <f>IFERROR(VLOOKUP(I2399,KET!$B:$F,4,0),"")</f>
        <v>AFNITA SARI</v>
      </c>
      <c r="F2399" s="20" t="str">
        <f>IFERROR(VLOOKUP(I2399,KET!$B:$F,5,0),"")</f>
        <v>MT</v>
      </c>
      <c r="G2399" s="20">
        <f>IFERROR(INDEX('Kode Outlet dan Target Toko'!$C:$C,MATCH($I2399,'Kode Outlet dan Target Toko'!$E:$E,0)),0)</f>
        <v>175700</v>
      </c>
      <c r="H2399" s="20">
        <f>IFERROR(INDEX('Kode Outlet dan Target Toko'!$D:$D,MATCH($I2399,'Kode Outlet dan Target Toko'!$E:$E,0)),0)</f>
        <v>1370001</v>
      </c>
      <c r="I2399" s="42" t="s">
        <v>74</v>
      </c>
      <c r="J2399" s="56" t="s">
        <v>297</v>
      </c>
      <c r="K2399" s="40" t="s">
        <v>13</v>
      </c>
      <c r="L2399" s="26">
        <v>2210</v>
      </c>
      <c r="M2399" s="26">
        <v>80</v>
      </c>
      <c r="N2399" s="25">
        <f t="shared" si="75"/>
        <v>176800</v>
      </c>
      <c r="O2399" s="56"/>
    </row>
    <row r="2400" spans="1:15" hidden="1" x14ac:dyDescent="0.3">
      <c r="A2400" s="26">
        <v>30</v>
      </c>
      <c r="B2400" s="20" t="str">
        <f t="shared" si="74"/>
        <v>JUL</v>
      </c>
      <c r="C2400" s="21">
        <v>46228</v>
      </c>
      <c r="D2400" s="22" t="str">
        <f t="array" ref="D2400">IFERROR(INDEX('Kode Outlet dan Target Toko'!$A:$A,MATCH($I2400,'Kode Outlet dan Target Toko'!$E:$E,0)),"")</f>
        <v>GRSM 2</v>
      </c>
      <c r="E2400" s="20" t="str">
        <f>IFERROR(VLOOKUP(I2400,KET!$B:$F,4,0),"")</f>
        <v>AFNITA SARI</v>
      </c>
      <c r="F2400" s="20" t="str">
        <f>IFERROR(VLOOKUP(I2400,KET!$B:$F,5,0),"")</f>
        <v>MT</v>
      </c>
      <c r="G2400" s="20">
        <f>IFERROR(INDEX('Kode Outlet dan Target Toko'!$C:$C,MATCH($I2400,'Kode Outlet dan Target Toko'!$E:$E,0)),0)</f>
        <v>175700</v>
      </c>
      <c r="H2400" s="20">
        <f>IFERROR(INDEX('Kode Outlet dan Target Toko'!$D:$D,MATCH($I2400,'Kode Outlet dan Target Toko'!$E:$E,0)),0)</f>
        <v>1370001</v>
      </c>
      <c r="I2400" s="42" t="s">
        <v>74</v>
      </c>
      <c r="J2400" s="56" t="s">
        <v>297</v>
      </c>
      <c r="K2400" s="40" t="s">
        <v>14</v>
      </c>
      <c r="L2400" s="26">
        <v>2210</v>
      </c>
      <c r="M2400" s="26">
        <v>120</v>
      </c>
      <c r="N2400" s="25">
        <f t="shared" si="75"/>
        <v>265200</v>
      </c>
      <c r="O2400" s="56"/>
    </row>
    <row r="2401" spans="1:15" hidden="1" x14ac:dyDescent="0.3">
      <c r="A2401" s="26">
        <v>30</v>
      </c>
      <c r="B2401" s="20" t="str">
        <f t="shared" si="74"/>
        <v>JUL</v>
      </c>
      <c r="C2401" s="21">
        <v>46228</v>
      </c>
      <c r="D2401" s="22" t="str">
        <f t="array" ref="D2401">IFERROR(INDEX('Kode Outlet dan Target Toko'!$A:$A,MATCH($I2401,'Kode Outlet dan Target Toko'!$E:$E,0)),"")</f>
        <v>GRSM 2</v>
      </c>
      <c r="E2401" s="20" t="str">
        <f>IFERROR(VLOOKUP(I2401,KET!$B:$F,4,0),"")</f>
        <v>AFNITA SARI</v>
      </c>
      <c r="F2401" s="20" t="str">
        <f>IFERROR(VLOOKUP(I2401,KET!$B:$F,5,0),"")</f>
        <v>MT</v>
      </c>
      <c r="G2401" s="20">
        <f>IFERROR(INDEX('Kode Outlet dan Target Toko'!$C:$C,MATCH($I2401,'Kode Outlet dan Target Toko'!$E:$E,0)),0)</f>
        <v>175700</v>
      </c>
      <c r="H2401" s="20">
        <f>IFERROR(INDEX('Kode Outlet dan Target Toko'!$D:$D,MATCH($I2401,'Kode Outlet dan Target Toko'!$E:$E,0)),0)</f>
        <v>1370001</v>
      </c>
      <c r="I2401" s="42" t="s">
        <v>74</v>
      </c>
      <c r="J2401" s="56" t="s">
        <v>297</v>
      </c>
      <c r="K2401" s="40" t="s">
        <v>15</v>
      </c>
      <c r="L2401" s="26">
        <v>2210</v>
      </c>
      <c r="M2401" s="26">
        <v>80</v>
      </c>
      <c r="N2401" s="25">
        <f t="shared" si="75"/>
        <v>176800</v>
      </c>
      <c r="O2401" s="56"/>
    </row>
    <row r="2402" spans="1:15" hidden="1" x14ac:dyDescent="0.3">
      <c r="A2402" s="26">
        <v>30</v>
      </c>
      <c r="B2402" s="20" t="str">
        <f t="shared" si="74"/>
        <v>JUL</v>
      </c>
      <c r="C2402" s="21">
        <v>46228</v>
      </c>
      <c r="D2402" s="22" t="str">
        <f t="array" ref="D2402">IFERROR(INDEX('Kode Outlet dan Target Toko'!$A:$A,MATCH($I2402,'Kode Outlet dan Target Toko'!$E:$E,0)),"")</f>
        <v>GRSM 2</v>
      </c>
      <c r="E2402" s="20" t="str">
        <f>IFERROR(VLOOKUP(I2402,KET!$B:$F,4,0),"")</f>
        <v>AFNITA SARI</v>
      </c>
      <c r="F2402" s="20" t="str">
        <f>IFERROR(VLOOKUP(I2402,KET!$B:$F,5,0),"")</f>
        <v>MT</v>
      </c>
      <c r="G2402" s="20">
        <f>IFERROR(INDEX('Kode Outlet dan Target Toko'!$C:$C,MATCH($I2402,'Kode Outlet dan Target Toko'!$E:$E,0)),0)</f>
        <v>175700</v>
      </c>
      <c r="H2402" s="20">
        <f>IFERROR(INDEX('Kode Outlet dan Target Toko'!$D:$D,MATCH($I2402,'Kode Outlet dan Target Toko'!$E:$E,0)),0)</f>
        <v>1370001</v>
      </c>
      <c r="I2402" s="42" t="s">
        <v>74</v>
      </c>
      <c r="J2402" s="56" t="s">
        <v>297</v>
      </c>
      <c r="K2402" s="40" t="s">
        <v>16</v>
      </c>
      <c r="L2402" s="26">
        <v>2210</v>
      </c>
      <c r="M2402" s="26">
        <v>160</v>
      </c>
      <c r="N2402" s="25">
        <f t="shared" si="75"/>
        <v>353600</v>
      </c>
      <c r="O2402" s="56">
        <v>80</v>
      </c>
    </row>
    <row r="2403" spans="1:15" hidden="1" x14ac:dyDescent="0.3">
      <c r="A2403" s="26">
        <v>30</v>
      </c>
      <c r="B2403" s="20" t="str">
        <f t="shared" si="74"/>
        <v>JUL</v>
      </c>
      <c r="C2403" s="21">
        <v>46228</v>
      </c>
      <c r="D2403" s="22" t="str">
        <f t="array" ref="D2403">IFERROR(INDEX('Kode Outlet dan Target Toko'!$A:$A,MATCH($I2403,'Kode Outlet dan Target Toko'!$E:$E,0)),"")</f>
        <v>GRSM 2</v>
      </c>
      <c r="E2403" s="20" t="str">
        <f>IFERROR(VLOOKUP(I2403,KET!$B:$F,4,0),"")</f>
        <v>AFNITA SARI</v>
      </c>
      <c r="F2403" s="20" t="str">
        <f>IFERROR(VLOOKUP(I2403,KET!$B:$F,5,0),"")</f>
        <v>MT</v>
      </c>
      <c r="G2403" s="20">
        <f>IFERROR(INDEX('Kode Outlet dan Target Toko'!$C:$C,MATCH($I2403,'Kode Outlet dan Target Toko'!$E:$E,0)),0)</f>
        <v>175700</v>
      </c>
      <c r="H2403" s="20">
        <f>IFERROR(INDEX('Kode Outlet dan Target Toko'!$D:$D,MATCH($I2403,'Kode Outlet dan Target Toko'!$E:$E,0)),0)</f>
        <v>1370001</v>
      </c>
      <c r="I2403" s="42" t="s">
        <v>74</v>
      </c>
      <c r="J2403" s="56" t="s">
        <v>298</v>
      </c>
      <c r="K2403" s="40" t="s">
        <v>13</v>
      </c>
      <c r="L2403" s="26">
        <v>2210</v>
      </c>
      <c r="M2403" s="26">
        <v>80</v>
      </c>
      <c r="N2403" s="25">
        <f t="shared" si="75"/>
        <v>176800</v>
      </c>
      <c r="O2403" s="56"/>
    </row>
    <row r="2404" spans="1:15" hidden="1" x14ac:dyDescent="0.3">
      <c r="A2404" s="26">
        <v>30</v>
      </c>
      <c r="B2404" s="20" t="str">
        <f t="shared" si="74"/>
        <v>JUL</v>
      </c>
      <c r="C2404" s="21">
        <v>46228</v>
      </c>
      <c r="D2404" s="22" t="str">
        <f t="array" ref="D2404">IFERROR(INDEX('Kode Outlet dan Target Toko'!$A:$A,MATCH($I2404,'Kode Outlet dan Target Toko'!$E:$E,0)),"")</f>
        <v>GRSM 2</v>
      </c>
      <c r="E2404" s="20" t="str">
        <f>IFERROR(VLOOKUP(I2404,KET!$B:$F,4,0),"")</f>
        <v>AFNITA SARI</v>
      </c>
      <c r="F2404" s="20" t="str">
        <f>IFERROR(VLOOKUP(I2404,KET!$B:$F,5,0),"")</f>
        <v>MT</v>
      </c>
      <c r="G2404" s="20">
        <f>IFERROR(INDEX('Kode Outlet dan Target Toko'!$C:$C,MATCH($I2404,'Kode Outlet dan Target Toko'!$E:$E,0)),0)</f>
        <v>175700</v>
      </c>
      <c r="H2404" s="20">
        <f>IFERROR(INDEX('Kode Outlet dan Target Toko'!$D:$D,MATCH($I2404,'Kode Outlet dan Target Toko'!$E:$E,0)),0)</f>
        <v>1370001</v>
      </c>
      <c r="I2404" s="42" t="s">
        <v>74</v>
      </c>
      <c r="J2404" s="56" t="s">
        <v>298</v>
      </c>
      <c r="K2404" s="40" t="s">
        <v>14</v>
      </c>
      <c r="L2404" s="26">
        <v>2210</v>
      </c>
      <c r="M2404" s="26">
        <v>120</v>
      </c>
      <c r="N2404" s="25">
        <f t="shared" si="75"/>
        <v>265200</v>
      </c>
      <c r="O2404" s="56"/>
    </row>
    <row r="2405" spans="1:15" hidden="1" x14ac:dyDescent="0.3">
      <c r="A2405" s="26">
        <v>30</v>
      </c>
      <c r="B2405" s="20" t="str">
        <f t="shared" si="74"/>
        <v>JUL</v>
      </c>
      <c r="C2405" s="21">
        <v>46228</v>
      </c>
      <c r="D2405" s="22" t="str">
        <f t="array" ref="D2405">IFERROR(INDEX('Kode Outlet dan Target Toko'!$A:$A,MATCH($I2405,'Kode Outlet dan Target Toko'!$E:$E,0)),"")</f>
        <v>GRSM 2</v>
      </c>
      <c r="E2405" s="20" t="str">
        <f>IFERROR(VLOOKUP(I2405,KET!$B:$F,4,0),"")</f>
        <v>AFNITA SARI</v>
      </c>
      <c r="F2405" s="20" t="str">
        <f>IFERROR(VLOOKUP(I2405,KET!$B:$F,5,0),"")</f>
        <v>MT</v>
      </c>
      <c r="G2405" s="20">
        <f>IFERROR(INDEX('Kode Outlet dan Target Toko'!$C:$C,MATCH($I2405,'Kode Outlet dan Target Toko'!$E:$E,0)),0)</f>
        <v>175700</v>
      </c>
      <c r="H2405" s="20">
        <f>IFERROR(INDEX('Kode Outlet dan Target Toko'!$D:$D,MATCH($I2405,'Kode Outlet dan Target Toko'!$E:$E,0)),0)</f>
        <v>1370001</v>
      </c>
      <c r="I2405" s="42" t="s">
        <v>74</v>
      </c>
      <c r="J2405" s="56" t="s">
        <v>298</v>
      </c>
      <c r="K2405" s="40" t="s">
        <v>15</v>
      </c>
      <c r="L2405" s="26">
        <v>2210</v>
      </c>
      <c r="M2405" s="26">
        <v>80</v>
      </c>
      <c r="N2405" s="25">
        <f t="shared" si="75"/>
        <v>176800</v>
      </c>
      <c r="O2405" s="56"/>
    </row>
    <row r="2406" spans="1:15" hidden="1" x14ac:dyDescent="0.3">
      <c r="A2406" s="26">
        <v>30</v>
      </c>
      <c r="B2406" s="20" t="str">
        <f t="shared" si="74"/>
        <v>JUL</v>
      </c>
      <c r="C2406" s="21">
        <v>46228</v>
      </c>
      <c r="D2406" s="22" t="str">
        <f t="array" ref="D2406">IFERROR(INDEX('Kode Outlet dan Target Toko'!$A:$A,MATCH($I2406,'Kode Outlet dan Target Toko'!$E:$E,0)),"")</f>
        <v>GRSM 2</v>
      </c>
      <c r="E2406" s="20" t="str">
        <f>IFERROR(VLOOKUP(I2406,KET!$B:$F,4,0),"")</f>
        <v>AFNITA SARI</v>
      </c>
      <c r="F2406" s="20" t="str">
        <f>IFERROR(VLOOKUP(I2406,KET!$B:$F,5,0),"")</f>
        <v>MT</v>
      </c>
      <c r="G2406" s="20">
        <f>IFERROR(INDEX('Kode Outlet dan Target Toko'!$C:$C,MATCH($I2406,'Kode Outlet dan Target Toko'!$E:$E,0)),0)</f>
        <v>175700</v>
      </c>
      <c r="H2406" s="20">
        <f>IFERROR(INDEX('Kode Outlet dan Target Toko'!$D:$D,MATCH($I2406,'Kode Outlet dan Target Toko'!$E:$E,0)),0)</f>
        <v>1370001</v>
      </c>
      <c r="I2406" s="42" t="s">
        <v>74</v>
      </c>
      <c r="J2406" s="56" t="s">
        <v>298</v>
      </c>
      <c r="K2406" s="40" t="s">
        <v>16</v>
      </c>
      <c r="L2406" s="26">
        <v>2210</v>
      </c>
      <c r="M2406" s="26">
        <v>160</v>
      </c>
      <c r="N2406" s="25">
        <f t="shared" si="75"/>
        <v>353600</v>
      </c>
      <c r="O2406" s="56">
        <v>80</v>
      </c>
    </row>
    <row r="2407" spans="1:15" hidden="1" x14ac:dyDescent="0.3">
      <c r="A2407" s="26">
        <v>30</v>
      </c>
      <c r="B2407" s="20" t="str">
        <f t="shared" si="74"/>
        <v>JUL</v>
      </c>
      <c r="C2407" s="21">
        <v>46228</v>
      </c>
      <c r="D2407" s="22" t="str">
        <f t="array" ref="D2407">IFERROR(INDEX('Kode Outlet dan Target Toko'!$A:$A,MATCH($I2407,'Kode Outlet dan Target Toko'!$E:$E,0)),"")</f>
        <v>GRSM 1</v>
      </c>
      <c r="E2407" s="20" t="str">
        <f>IFERROR(VLOOKUP(I2407,KET!$B:$F,4,0),"")</f>
        <v>AFNITA SARI</v>
      </c>
      <c r="F2407" s="20" t="str">
        <f>IFERROR(VLOOKUP(I2407,KET!$B:$F,5,0),"")</f>
        <v>MT</v>
      </c>
      <c r="G2407" s="20">
        <f>IFERROR(INDEX('Kode Outlet dan Target Toko'!$C:$C,MATCH($I2407,'Kode Outlet dan Target Toko'!$E:$E,0)),0)</f>
        <v>122506</v>
      </c>
      <c r="H2407" s="20">
        <f>IFERROR(INDEX('Kode Outlet dan Target Toko'!$D:$D,MATCH($I2407,'Kode Outlet dan Target Toko'!$E:$E,0)),0)</f>
        <v>214422</v>
      </c>
      <c r="I2407" s="42" t="s">
        <v>72</v>
      </c>
      <c r="J2407" s="56" t="s">
        <v>294</v>
      </c>
      <c r="K2407" s="40" t="s">
        <v>13</v>
      </c>
      <c r="L2407" s="26">
        <v>3200</v>
      </c>
      <c r="M2407" s="26">
        <v>86</v>
      </c>
      <c r="N2407" s="25">
        <f t="shared" si="75"/>
        <v>275200</v>
      </c>
      <c r="O2407" s="56"/>
    </row>
    <row r="2408" spans="1:15" hidden="1" x14ac:dyDescent="0.3">
      <c r="A2408" s="26">
        <v>30</v>
      </c>
      <c r="B2408" s="20" t="str">
        <f t="shared" si="74"/>
        <v>JUL</v>
      </c>
      <c r="C2408" s="21">
        <v>46228</v>
      </c>
      <c r="D2408" s="22" t="str">
        <f t="array" ref="D2408">IFERROR(INDEX('Kode Outlet dan Target Toko'!$A:$A,MATCH($I2408,'Kode Outlet dan Target Toko'!$E:$E,0)),"")</f>
        <v>GRSM 1</v>
      </c>
      <c r="E2408" s="20" t="str">
        <f>IFERROR(VLOOKUP(I2408,KET!$B:$F,4,0),"")</f>
        <v>AFNITA SARI</v>
      </c>
      <c r="F2408" s="20" t="str">
        <f>IFERROR(VLOOKUP(I2408,KET!$B:$F,5,0),"")</f>
        <v>MT</v>
      </c>
      <c r="G2408" s="20">
        <f>IFERROR(INDEX('Kode Outlet dan Target Toko'!$C:$C,MATCH($I2408,'Kode Outlet dan Target Toko'!$E:$E,0)),0)</f>
        <v>122506</v>
      </c>
      <c r="H2408" s="20">
        <f>IFERROR(INDEX('Kode Outlet dan Target Toko'!$D:$D,MATCH($I2408,'Kode Outlet dan Target Toko'!$E:$E,0)),0)</f>
        <v>214422</v>
      </c>
      <c r="I2408" s="42" t="s">
        <v>72</v>
      </c>
      <c r="J2408" s="56" t="s">
        <v>294</v>
      </c>
      <c r="K2408" s="40" t="s">
        <v>14</v>
      </c>
      <c r="L2408" s="26">
        <v>3200</v>
      </c>
      <c r="M2408" s="26">
        <v>42</v>
      </c>
      <c r="N2408" s="25">
        <f t="shared" si="75"/>
        <v>134400</v>
      </c>
      <c r="O2408" s="56"/>
    </row>
    <row r="2409" spans="1:15" hidden="1" x14ac:dyDescent="0.3">
      <c r="A2409" s="26">
        <v>30</v>
      </c>
      <c r="B2409" s="20" t="str">
        <f t="shared" si="74"/>
        <v>JUL</v>
      </c>
      <c r="C2409" s="21">
        <v>46228</v>
      </c>
      <c r="D2409" s="22" t="str">
        <f t="array" ref="D2409">IFERROR(INDEX('Kode Outlet dan Target Toko'!$A:$A,MATCH($I2409,'Kode Outlet dan Target Toko'!$E:$E,0)),"")</f>
        <v>GRSM 1</v>
      </c>
      <c r="E2409" s="20" t="str">
        <f>IFERROR(VLOOKUP(I2409,KET!$B:$F,4,0),"")</f>
        <v>AFNITA SARI</v>
      </c>
      <c r="F2409" s="20" t="str">
        <f>IFERROR(VLOOKUP(I2409,KET!$B:$F,5,0),"")</f>
        <v>MT</v>
      </c>
      <c r="G2409" s="20">
        <f>IFERROR(INDEX('Kode Outlet dan Target Toko'!$C:$C,MATCH($I2409,'Kode Outlet dan Target Toko'!$E:$E,0)),0)</f>
        <v>122506</v>
      </c>
      <c r="H2409" s="20">
        <f>IFERROR(INDEX('Kode Outlet dan Target Toko'!$D:$D,MATCH($I2409,'Kode Outlet dan Target Toko'!$E:$E,0)),0)</f>
        <v>214422</v>
      </c>
      <c r="I2409" s="42" t="s">
        <v>72</v>
      </c>
      <c r="J2409" s="56" t="s">
        <v>294</v>
      </c>
      <c r="K2409" s="40" t="s">
        <v>15</v>
      </c>
      <c r="L2409" s="26">
        <v>3200</v>
      </c>
      <c r="M2409" s="26">
        <v>40</v>
      </c>
      <c r="N2409" s="25">
        <f t="shared" si="75"/>
        <v>128000</v>
      </c>
      <c r="O2409" s="56"/>
    </row>
    <row r="2410" spans="1:15" hidden="1" x14ac:dyDescent="0.3">
      <c r="A2410" s="26">
        <v>30</v>
      </c>
      <c r="B2410" s="20" t="str">
        <f t="shared" si="74"/>
        <v>JUL</v>
      </c>
      <c r="C2410" s="21">
        <v>46228</v>
      </c>
      <c r="D2410" s="22" t="str">
        <f t="array" ref="D2410">IFERROR(INDEX('Kode Outlet dan Target Toko'!$A:$A,MATCH($I2410,'Kode Outlet dan Target Toko'!$E:$E,0)),"")</f>
        <v>GRSM 1</v>
      </c>
      <c r="E2410" s="20" t="str">
        <f>IFERROR(VLOOKUP(I2410,KET!$B:$F,4,0),"")</f>
        <v>AFNITA SARI</v>
      </c>
      <c r="F2410" s="20" t="str">
        <f>IFERROR(VLOOKUP(I2410,KET!$B:$F,5,0),"")</f>
        <v>MT</v>
      </c>
      <c r="G2410" s="20">
        <f>IFERROR(INDEX('Kode Outlet dan Target Toko'!$C:$C,MATCH($I2410,'Kode Outlet dan Target Toko'!$E:$E,0)),0)</f>
        <v>122506</v>
      </c>
      <c r="H2410" s="20">
        <f>IFERROR(INDEX('Kode Outlet dan Target Toko'!$D:$D,MATCH($I2410,'Kode Outlet dan Target Toko'!$E:$E,0)),0)</f>
        <v>214422</v>
      </c>
      <c r="I2410" s="42" t="s">
        <v>72</v>
      </c>
      <c r="J2410" s="56" t="s">
        <v>294</v>
      </c>
      <c r="K2410" s="40" t="s">
        <v>16</v>
      </c>
      <c r="L2410" s="26">
        <v>3200</v>
      </c>
      <c r="M2410" s="26">
        <v>84</v>
      </c>
      <c r="N2410" s="25">
        <f t="shared" si="75"/>
        <v>268800</v>
      </c>
      <c r="O2410" s="56">
        <v>160</v>
      </c>
    </row>
    <row r="2411" spans="1:15" hidden="1" x14ac:dyDescent="0.3">
      <c r="A2411" s="26">
        <v>30</v>
      </c>
      <c r="B2411" s="20" t="str">
        <f t="shared" si="74"/>
        <v>JUL</v>
      </c>
      <c r="C2411" s="21">
        <v>46228</v>
      </c>
      <c r="D2411" s="22" t="str">
        <f t="array" ref="D2411">IFERROR(INDEX('Kode Outlet dan Target Toko'!$A:$A,MATCH($I2411,'Kode Outlet dan Target Toko'!$E:$E,0)),"")</f>
        <v>GRSM 1</v>
      </c>
      <c r="E2411" s="20" t="str">
        <f>IFERROR(VLOOKUP(I2411,KET!$B:$F,4,0),"")</f>
        <v>AFNITA SARI</v>
      </c>
      <c r="F2411" s="20" t="str">
        <f>IFERROR(VLOOKUP(I2411,KET!$B:$F,5,0),"")</f>
        <v>MT</v>
      </c>
      <c r="G2411" s="20">
        <f>IFERROR(INDEX('Kode Outlet dan Target Toko'!$C:$C,MATCH($I2411,'Kode Outlet dan Target Toko'!$E:$E,0)),0)</f>
        <v>122506</v>
      </c>
      <c r="H2411" s="20">
        <f>IFERROR(INDEX('Kode Outlet dan Target Toko'!$D:$D,MATCH($I2411,'Kode Outlet dan Target Toko'!$E:$E,0)),0)</f>
        <v>214422</v>
      </c>
      <c r="I2411" s="42" t="s">
        <v>72</v>
      </c>
      <c r="J2411" s="56" t="s">
        <v>293</v>
      </c>
      <c r="K2411" s="40" t="s">
        <v>13</v>
      </c>
      <c r="L2411" s="26">
        <v>3200</v>
      </c>
      <c r="M2411" s="26">
        <v>86</v>
      </c>
      <c r="N2411" s="25">
        <f t="shared" si="75"/>
        <v>275200</v>
      </c>
      <c r="O2411" s="56"/>
    </row>
    <row r="2412" spans="1:15" hidden="1" x14ac:dyDescent="0.3">
      <c r="A2412" s="26">
        <v>30</v>
      </c>
      <c r="B2412" s="20" t="str">
        <f t="shared" si="74"/>
        <v>JUL</v>
      </c>
      <c r="C2412" s="21">
        <v>46228</v>
      </c>
      <c r="D2412" s="22" t="str">
        <f t="array" ref="D2412">IFERROR(INDEX('Kode Outlet dan Target Toko'!$A:$A,MATCH($I2412,'Kode Outlet dan Target Toko'!$E:$E,0)),"")</f>
        <v>GRSM 1</v>
      </c>
      <c r="E2412" s="20" t="str">
        <f>IFERROR(VLOOKUP(I2412,KET!$B:$F,4,0),"")</f>
        <v>AFNITA SARI</v>
      </c>
      <c r="F2412" s="20" t="str">
        <f>IFERROR(VLOOKUP(I2412,KET!$B:$F,5,0),"")</f>
        <v>MT</v>
      </c>
      <c r="G2412" s="20">
        <f>IFERROR(INDEX('Kode Outlet dan Target Toko'!$C:$C,MATCH($I2412,'Kode Outlet dan Target Toko'!$E:$E,0)),0)</f>
        <v>122506</v>
      </c>
      <c r="H2412" s="20">
        <f>IFERROR(INDEX('Kode Outlet dan Target Toko'!$D:$D,MATCH($I2412,'Kode Outlet dan Target Toko'!$E:$E,0)),0)</f>
        <v>214422</v>
      </c>
      <c r="I2412" s="42" t="s">
        <v>72</v>
      </c>
      <c r="J2412" s="56" t="s">
        <v>293</v>
      </c>
      <c r="K2412" s="40" t="s">
        <v>14</v>
      </c>
      <c r="L2412" s="26">
        <v>3200</v>
      </c>
      <c r="M2412" s="26">
        <v>42</v>
      </c>
      <c r="N2412" s="25">
        <f t="shared" si="75"/>
        <v>134400</v>
      </c>
      <c r="O2412" s="56"/>
    </row>
    <row r="2413" spans="1:15" hidden="1" x14ac:dyDescent="0.3">
      <c r="A2413" s="26">
        <v>30</v>
      </c>
      <c r="B2413" s="20" t="str">
        <f t="shared" si="74"/>
        <v>JUL</v>
      </c>
      <c r="C2413" s="21">
        <v>46228</v>
      </c>
      <c r="D2413" s="22" t="str">
        <f t="array" ref="D2413">IFERROR(INDEX('Kode Outlet dan Target Toko'!$A:$A,MATCH($I2413,'Kode Outlet dan Target Toko'!$E:$E,0)),"")</f>
        <v>GRSM 1</v>
      </c>
      <c r="E2413" s="20" t="str">
        <f>IFERROR(VLOOKUP(I2413,KET!$B:$F,4,0),"")</f>
        <v>AFNITA SARI</v>
      </c>
      <c r="F2413" s="20" t="str">
        <f>IFERROR(VLOOKUP(I2413,KET!$B:$F,5,0),"")</f>
        <v>MT</v>
      </c>
      <c r="G2413" s="20">
        <f>IFERROR(INDEX('Kode Outlet dan Target Toko'!$C:$C,MATCH($I2413,'Kode Outlet dan Target Toko'!$E:$E,0)),0)</f>
        <v>122506</v>
      </c>
      <c r="H2413" s="20">
        <f>IFERROR(INDEX('Kode Outlet dan Target Toko'!$D:$D,MATCH($I2413,'Kode Outlet dan Target Toko'!$E:$E,0)),0)</f>
        <v>214422</v>
      </c>
      <c r="I2413" s="42" t="s">
        <v>72</v>
      </c>
      <c r="J2413" s="56" t="s">
        <v>293</v>
      </c>
      <c r="K2413" s="40" t="s">
        <v>15</v>
      </c>
      <c r="L2413" s="26">
        <v>3200</v>
      </c>
      <c r="M2413" s="26">
        <v>40</v>
      </c>
      <c r="N2413" s="25">
        <f t="shared" si="75"/>
        <v>128000</v>
      </c>
      <c r="O2413" s="56"/>
    </row>
    <row r="2414" spans="1:15" hidden="1" x14ac:dyDescent="0.3">
      <c r="A2414" s="26">
        <v>30</v>
      </c>
      <c r="B2414" s="20" t="str">
        <f t="shared" si="74"/>
        <v>JUL</v>
      </c>
      <c r="C2414" s="21">
        <v>46228</v>
      </c>
      <c r="D2414" s="22" t="str">
        <f t="array" ref="D2414">IFERROR(INDEX('Kode Outlet dan Target Toko'!$A:$A,MATCH($I2414,'Kode Outlet dan Target Toko'!$E:$E,0)),"")</f>
        <v>GRSM 1</v>
      </c>
      <c r="E2414" s="20" t="str">
        <f>IFERROR(VLOOKUP(I2414,KET!$B:$F,4,0),"")</f>
        <v>AFNITA SARI</v>
      </c>
      <c r="F2414" s="20" t="str">
        <f>IFERROR(VLOOKUP(I2414,KET!$B:$F,5,0),"")</f>
        <v>MT</v>
      </c>
      <c r="G2414" s="20">
        <f>IFERROR(INDEX('Kode Outlet dan Target Toko'!$C:$C,MATCH($I2414,'Kode Outlet dan Target Toko'!$E:$E,0)),0)</f>
        <v>122506</v>
      </c>
      <c r="H2414" s="20">
        <f>IFERROR(INDEX('Kode Outlet dan Target Toko'!$D:$D,MATCH($I2414,'Kode Outlet dan Target Toko'!$E:$E,0)),0)</f>
        <v>214422</v>
      </c>
      <c r="I2414" s="42" t="s">
        <v>72</v>
      </c>
      <c r="J2414" s="56" t="s">
        <v>293</v>
      </c>
      <c r="K2414" s="40" t="s">
        <v>16</v>
      </c>
      <c r="L2414" s="26">
        <v>3200</v>
      </c>
      <c r="M2414" s="26">
        <v>84</v>
      </c>
      <c r="N2414" s="25">
        <f t="shared" si="75"/>
        <v>268800</v>
      </c>
      <c r="O2414" s="56">
        <v>160</v>
      </c>
    </row>
    <row r="2415" spans="1:15" hidden="1" x14ac:dyDescent="0.3">
      <c r="A2415" s="26">
        <v>30</v>
      </c>
      <c r="B2415" s="20" t="str">
        <f t="shared" si="74"/>
        <v>JUL</v>
      </c>
      <c r="C2415" s="21">
        <v>46229</v>
      </c>
      <c r="D2415" s="22" t="str">
        <f t="array" ref="D2415">IFERROR(INDEX('Kode Outlet dan Target Toko'!$A:$A,MATCH($I2415,'Kode Outlet dan Target Toko'!$E:$E,0)),"")</f>
        <v>GRSM 1</v>
      </c>
      <c r="E2415" s="20" t="str">
        <f>IFERROR(VLOOKUP(I2415,KET!$B:$F,4,0),"")</f>
        <v>AFNITA SARI</v>
      </c>
      <c r="F2415" s="20" t="str">
        <f>IFERROR(VLOOKUP(I2415,KET!$B:$F,5,0),"")</f>
        <v>MT</v>
      </c>
      <c r="G2415" s="20">
        <f>IFERROR(INDEX('Kode Outlet dan Target Toko'!$C:$C,MATCH($I2415,'Kode Outlet dan Target Toko'!$E:$E,0)),0)</f>
        <v>122506</v>
      </c>
      <c r="H2415" s="20">
        <f>IFERROR(INDEX('Kode Outlet dan Target Toko'!$D:$D,MATCH($I2415,'Kode Outlet dan Target Toko'!$E:$E,0)),0)</f>
        <v>202879</v>
      </c>
      <c r="I2415" s="42" t="s">
        <v>70</v>
      </c>
      <c r="J2415" s="56" t="s">
        <v>289</v>
      </c>
      <c r="K2415" s="40" t="s">
        <v>13</v>
      </c>
      <c r="L2415" s="26">
        <v>6400</v>
      </c>
      <c r="M2415" s="26">
        <v>26</v>
      </c>
      <c r="N2415" s="25">
        <f t="shared" si="75"/>
        <v>166400</v>
      </c>
      <c r="O2415" s="56"/>
    </row>
    <row r="2416" spans="1:15" hidden="1" x14ac:dyDescent="0.3">
      <c r="A2416" s="26">
        <v>30</v>
      </c>
      <c r="B2416" s="20" t="str">
        <f t="shared" si="74"/>
        <v>JUL</v>
      </c>
      <c r="C2416" s="21">
        <v>46229</v>
      </c>
      <c r="D2416" s="22" t="str">
        <f t="array" ref="D2416">IFERROR(INDEX('Kode Outlet dan Target Toko'!$A:$A,MATCH($I2416,'Kode Outlet dan Target Toko'!$E:$E,0)),"")</f>
        <v>GRSM 1</v>
      </c>
      <c r="E2416" s="20" t="str">
        <f>IFERROR(VLOOKUP(I2416,KET!$B:$F,4,0),"")</f>
        <v>AFNITA SARI</v>
      </c>
      <c r="F2416" s="20" t="str">
        <f>IFERROR(VLOOKUP(I2416,KET!$B:$F,5,0),"")</f>
        <v>MT</v>
      </c>
      <c r="G2416" s="20">
        <f>IFERROR(INDEX('Kode Outlet dan Target Toko'!$C:$C,MATCH($I2416,'Kode Outlet dan Target Toko'!$E:$E,0)),0)</f>
        <v>122506</v>
      </c>
      <c r="H2416" s="20">
        <f>IFERROR(INDEX('Kode Outlet dan Target Toko'!$D:$D,MATCH($I2416,'Kode Outlet dan Target Toko'!$E:$E,0)),0)</f>
        <v>202879</v>
      </c>
      <c r="I2416" s="42" t="s">
        <v>70</v>
      </c>
      <c r="J2416" s="56" t="s">
        <v>289</v>
      </c>
      <c r="K2416" s="40" t="s">
        <v>14</v>
      </c>
      <c r="L2416" s="26">
        <v>6400</v>
      </c>
      <c r="M2416" s="26">
        <v>40</v>
      </c>
      <c r="N2416" s="25">
        <f t="shared" si="75"/>
        <v>256000</v>
      </c>
      <c r="O2416" s="56"/>
    </row>
    <row r="2417" spans="1:15" hidden="1" x14ac:dyDescent="0.3">
      <c r="A2417" s="26">
        <v>30</v>
      </c>
      <c r="B2417" s="20" t="str">
        <f t="shared" si="74"/>
        <v>JUL</v>
      </c>
      <c r="C2417" s="21">
        <v>46229</v>
      </c>
      <c r="D2417" s="22" t="str">
        <f t="array" ref="D2417">IFERROR(INDEX('Kode Outlet dan Target Toko'!$A:$A,MATCH($I2417,'Kode Outlet dan Target Toko'!$E:$E,0)),"")</f>
        <v>GRSM 1</v>
      </c>
      <c r="E2417" s="20" t="str">
        <f>IFERROR(VLOOKUP(I2417,KET!$B:$F,4,0),"")</f>
        <v>AFNITA SARI</v>
      </c>
      <c r="F2417" s="20" t="str">
        <f>IFERROR(VLOOKUP(I2417,KET!$B:$F,5,0),"")</f>
        <v>MT</v>
      </c>
      <c r="G2417" s="20">
        <f>IFERROR(INDEX('Kode Outlet dan Target Toko'!$C:$C,MATCH($I2417,'Kode Outlet dan Target Toko'!$E:$E,0)),0)</f>
        <v>122506</v>
      </c>
      <c r="H2417" s="20">
        <f>IFERROR(INDEX('Kode Outlet dan Target Toko'!$D:$D,MATCH($I2417,'Kode Outlet dan Target Toko'!$E:$E,0)),0)</f>
        <v>202879</v>
      </c>
      <c r="I2417" s="42" t="s">
        <v>70</v>
      </c>
      <c r="J2417" s="56" t="s">
        <v>289</v>
      </c>
      <c r="K2417" s="40" t="s">
        <v>15</v>
      </c>
      <c r="L2417" s="26">
        <v>6400</v>
      </c>
      <c r="M2417" s="26">
        <v>37</v>
      </c>
      <c r="N2417" s="25">
        <f t="shared" si="75"/>
        <v>236800</v>
      </c>
      <c r="O2417" s="56"/>
    </row>
    <row r="2418" spans="1:15" hidden="1" x14ac:dyDescent="0.3">
      <c r="A2418" s="26">
        <v>30</v>
      </c>
      <c r="B2418" s="20" t="str">
        <f t="shared" si="74"/>
        <v>JUL</v>
      </c>
      <c r="C2418" s="21">
        <v>46229</v>
      </c>
      <c r="D2418" s="22" t="str">
        <f t="array" ref="D2418">IFERROR(INDEX('Kode Outlet dan Target Toko'!$A:$A,MATCH($I2418,'Kode Outlet dan Target Toko'!$E:$E,0)),"")</f>
        <v>GRSM 1</v>
      </c>
      <c r="E2418" s="20" t="str">
        <f>IFERROR(VLOOKUP(I2418,KET!$B:$F,4,0),"")</f>
        <v>AFNITA SARI</v>
      </c>
      <c r="F2418" s="20" t="str">
        <f>IFERROR(VLOOKUP(I2418,KET!$B:$F,5,0),"")</f>
        <v>MT</v>
      </c>
      <c r="G2418" s="20">
        <f>IFERROR(INDEX('Kode Outlet dan Target Toko'!$C:$C,MATCH($I2418,'Kode Outlet dan Target Toko'!$E:$E,0)),0)</f>
        <v>122506</v>
      </c>
      <c r="H2418" s="20">
        <f>IFERROR(INDEX('Kode Outlet dan Target Toko'!$D:$D,MATCH($I2418,'Kode Outlet dan Target Toko'!$E:$E,0)),0)</f>
        <v>202879</v>
      </c>
      <c r="I2418" s="42" t="s">
        <v>70</v>
      </c>
      <c r="J2418" s="56" t="s">
        <v>289</v>
      </c>
      <c r="K2418" s="40" t="s">
        <v>16</v>
      </c>
      <c r="L2418" s="26">
        <v>6400</v>
      </c>
      <c r="M2418" s="26">
        <v>87</v>
      </c>
      <c r="N2418" s="25">
        <f t="shared" si="75"/>
        <v>556800</v>
      </c>
      <c r="O2418" s="56">
        <v>160</v>
      </c>
    </row>
    <row r="2419" spans="1:15" hidden="1" x14ac:dyDescent="0.3">
      <c r="A2419" s="26">
        <v>30</v>
      </c>
      <c r="B2419" s="20" t="str">
        <f t="shared" si="74"/>
        <v>JUL</v>
      </c>
      <c r="C2419" s="21">
        <v>46229</v>
      </c>
      <c r="D2419" s="22" t="str">
        <f t="array" ref="D2419">IFERROR(INDEX('Kode Outlet dan Target Toko'!$A:$A,MATCH($I2419,'Kode Outlet dan Target Toko'!$E:$E,0)),"")</f>
        <v>GRSM 1</v>
      </c>
      <c r="E2419" s="20" t="str">
        <f>IFERROR(VLOOKUP(I2419,KET!$B:$F,4,0),"")</f>
        <v>AFNITA SARI</v>
      </c>
      <c r="F2419" s="20" t="str">
        <f>IFERROR(VLOOKUP(I2419,KET!$B:$F,5,0),"")</f>
        <v>MT</v>
      </c>
      <c r="G2419" s="20">
        <f>IFERROR(INDEX('Kode Outlet dan Target Toko'!$C:$C,MATCH($I2419,'Kode Outlet dan Target Toko'!$E:$E,0)),0)</f>
        <v>122506</v>
      </c>
      <c r="H2419" s="20">
        <f>IFERROR(INDEX('Kode Outlet dan Target Toko'!$D:$D,MATCH($I2419,'Kode Outlet dan Target Toko'!$E:$E,0)),0)</f>
        <v>202879</v>
      </c>
      <c r="I2419" s="42" t="s">
        <v>70</v>
      </c>
      <c r="J2419" s="56" t="s">
        <v>290</v>
      </c>
      <c r="K2419" s="40" t="s">
        <v>13</v>
      </c>
      <c r="L2419" s="26">
        <v>6400</v>
      </c>
      <c r="M2419" s="26">
        <v>26</v>
      </c>
      <c r="N2419" s="25">
        <f t="shared" si="75"/>
        <v>166400</v>
      </c>
      <c r="O2419" s="56"/>
    </row>
    <row r="2420" spans="1:15" hidden="1" x14ac:dyDescent="0.3">
      <c r="A2420" s="26">
        <v>30</v>
      </c>
      <c r="B2420" s="20" t="str">
        <f t="shared" si="74"/>
        <v>JUL</v>
      </c>
      <c r="C2420" s="21">
        <v>46229</v>
      </c>
      <c r="D2420" s="22" t="str">
        <f t="array" ref="D2420">IFERROR(INDEX('Kode Outlet dan Target Toko'!$A:$A,MATCH($I2420,'Kode Outlet dan Target Toko'!$E:$E,0)),"")</f>
        <v>GRSM 1</v>
      </c>
      <c r="E2420" s="20" t="str">
        <f>IFERROR(VLOOKUP(I2420,KET!$B:$F,4,0),"")</f>
        <v>AFNITA SARI</v>
      </c>
      <c r="F2420" s="20" t="str">
        <f>IFERROR(VLOOKUP(I2420,KET!$B:$F,5,0),"")</f>
        <v>MT</v>
      </c>
      <c r="G2420" s="20">
        <f>IFERROR(INDEX('Kode Outlet dan Target Toko'!$C:$C,MATCH($I2420,'Kode Outlet dan Target Toko'!$E:$E,0)),0)</f>
        <v>122506</v>
      </c>
      <c r="H2420" s="20">
        <f>IFERROR(INDEX('Kode Outlet dan Target Toko'!$D:$D,MATCH($I2420,'Kode Outlet dan Target Toko'!$E:$E,0)),0)</f>
        <v>202879</v>
      </c>
      <c r="I2420" s="42" t="s">
        <v>70</v>
      </c>
      <c r="J2420" s="56" t="s">
        <v>290</v>
      </c>
      <c r="K2420" s="40" t="s">
        <v>14</v>
      </c>
      <c r="L2420" s="26">
        <v>6400</v>
      </c>
      <c r="M2420" s="26">
        <v>40</v>
      </c>
      <c r="N2420" s="25">
        <f t="shared" si="75"/>
        <v>256000</v>
      </c>
      <c r="O2420" s="56"/>
    </row>
    <row r="2421" spans="1:15" hidden="1" x14ac:dyDescent="0.3">
      <c r="A2421" s="26">
        <v>30</v>
      </c>
      <c r="B2421" s="20" t="str">
        <f t="shared" si="74"/>
        <v>JUL</v>
      </c>
      <c r="C2421" s="21">
        <v>46229</v>
      </c>
      <c r="D2421" s="22" t="str">
        <f t="array" ref="D2421">IFERROR(INDEX('Kode Outlet dan Target Toko'!$A:$A,MATCH($I2421,'Kode Outlet dan Target Toko'!$E:$E,0)),"")</f>
        <v>GRSM 1</v>
      </c>
      <c r="E2421" s="20" t="str">
        <f>IFERROR(VLOOKUP(I2421,KET!$B:$F,4,0),"")</f>
        <v>AFNITA SARI</v>
      </c>
      <c r="F2421" s="20" t="str">
        <f>IFERROR(VLOOKUP(I2421,KET!$B:$F,5,0),"")</f>
        <v>MT</v>
      </c>
      <c r="G2421" s="20">
        <f>IFERROR(INDEX('Kode Outlet dan Target Toko'!$C:$C,MATCH($I2421,'Kode Outlet dan Target Toko'!$E:$E,0)),0)</f>
        <v>122506</v>
      </c>
      <c r="H2421" s="20">
        <f>IFERROR(INDEX('Kode Outlet dan Target Toko'!$D:$D,MATCH($I2421,'Kode Outlet dan Target Toko'!$E:$E,0)),0)</f>
        <v>202879</v>
      </c>
      <c r="I2421" s="42" t="s">
        <v>70</v>
      </c>
      <c r="J2421" s="56" t="s">
        <v>290</v>
      </c>
      <c r="K2421" s="40" t="s">
        <v>15</v>
      </c>
      <c r="L2421" s="26">
        <v>6400</v>
      </c>
      <c r="M2421" s="26">
        <v>37</v>
      </c>
      <c r="N2421" s="25">
        <f t="shared" si="75"/>
        <v>236800</v>
      </c>
      <c r="O2421" s="56"/>
    </row>
    <row r="2422" spans="1:15" hidden="1" x14ac:dyDescent="0.3">
      <c r="A2422" s="26">
        <v>30</v>
      </c>
      <c r="B2422" s="20" t="str">
        <f t="shared" si="74"/>
        <v>JUL</v>
      </c>
      <c r="C2422" s="21">
        <v>46229</v>
      </c>
      <c r="D2422" s="22" t="str">
        <f t="array" ref="D2422">IFERROR(INDEX('Kode Outlet dan Target Toko'!$A:$A,MATCH($I2422,'Kode Outlet dan Target Toko'!$E:$E,0)),"")</f>
        <v>GRSM 1</v>
      </c>
      <c r="E2422" s="20" t="str">
        <f>IFERROR(VLOOKUP(I2422,KET!$B:$F,4,0),"")</f>
        <v>AFNITA SARI</v>
      </c>
      <c r="F2422" s="20" t="str">
        <f>IFERROR(VLOOKUP(I2422,KET!$B:$F,5,0),"")</f>
        <v>MT</v>
      </c>
      <c r="G2422" s="20">
        <f>IFERROR(INDEX('Kode Outlet dan Target Toko'!$C:$C,MATCH($I2422,'Kode Outlet dan Target Toko'!$E:$E,0)),0)</f>
        <v>122506</v>
      </c>
      <c r="H2422" s="20">
        <f>IFERROR(INDEX('Kode Outlet dan Target Toko'!$D:$D,MATCH($I2422,'Kode Outlet dan Target Toko'!$E:$E,0)),0)</f>
        <v>202879</v>
      </c>
      <c r="I2422" s="42" t="s">
        <v>70</v>
      </c>
      <c r="J2422" s="56" t="s">
        <v>290</v>
      </c>
      <c r="K2422" s="40" t="s">
        <v>16</v>
      </c>
      <c r="L2422" s="26">
        <v>6400</v>
      </c>
      <c r="M2422" s="26">
        <v>87</v>
      </c>
      <c r="N2422" s="25">
        <f t="shared" si="75"/>
        <v>556800</v>
      </c>
      <c r="O2422" s="56">
        <v>160</v>
      </c>
    </row>
    <row r="2423" spans="1:15" hidden="1" x14ac:dyDescent="0.3">
      <c r="A2423" s="26">
        <v>30</v>
      </c>
      <c r="B2423" s="20" t="str">
        <f t="shared" si="74"/>
        <v>JUL</v>
      </c>
      <c r="C2423" s="21">
        <v>46229</v>
      </c>
      <c r="D2423" s="22" t="str">
        <f t="array" ref="D2423">IFERROR(INDEX('Kode Outlet dan Target Toko'!$A:$A,MATCH($I2423,'Kode Outlet dan Target Toko'!$E:$E,0)),"")</f>
        <v>GRSM 2</v>
      </c>
      <c r="E2423" s="20" t="str">
        <f>IFERROR(VLOOKUP(I2423,KET!$B:$F,4,0),"")</f>
        <v>AFNITA SARI</v>
      </c>
      <c r="F2423" s="20" t="str">
        <f>IFERROR(VLOOKUP(I2423,KET!$B:$F,5,0),"")</f>
        <v>MT</v>
      </c>
      <c r="G2423" s="20">
        <f>IFERROR(INDEX('Kode Outlet dan Target Toko'!$C:$C,MATCH($I2423,'Kode Outlet dan Target Toko'!$E:$E,0)),0)</f>
        <v>175700</v>
      </c>
      <c r="H2423" s="20">
        <f>IFERROR(INDEX('Kode Outlet dan Target Toko'!$D:$D,MATCH($I2423,'Kode Outlet dan Target Toko'!$E:$E,0)),0)</f>
        <v>1370001</v>
      </c>
      <c r="I2423" s="42" t="s">
        <v>74</v>
      </c>
      <c r="J2423" s="56" t="s">
        <v>297</v>
      </c>
      <c r="K2423" s="40" t="s">
        <v>13</v>
      </c>
      <c r="L2423" s="26">
        <v>2210</v>
      </c>
      <c r="M2423" s="26">
        <v>80</v>
      </c>
      <c r="N2423" s="25">
        <f t="shared" si="75"/>
        <v>176800</v>
      </c>
      <c r="O2423" s="56"/>
    </row>
    <row r="2424" spans="1:15" hidden="1" x14ac:dyDescent="0.3">
      <c r="A2424" s="26">
        <v>30</v>
      </c>
      <c r="B2424" s="20" t="str">
        <f t="shared" si="74"/>
        <v>JUL</v>
      </c>
      <c r="C2424" s="21">
        <v>46229</v>
      </c>
      <c r="D2424" s="22" t="str">
        <f t="array" ref="D2424">IFERROR(INDEX('Kode Outlet dan Target Toko'!$A:$A,MATCH($I2424,'Kode Outlet dan Target Toko'!$E:$E,0)),"")</f>
        <v>GRSM 2</v>
      </c>
      <c r="E2424" s="20" t="str">
        <f>IFERROR(VLOOKUP(I2424,KET!$B:$F,4,0),"")</f>
        <v>AFNITA SARI</v>
      </c>
      <c r="F2424" s="20" t="str">
        <f>IFERROR(VLOOKUP(I2424,KET!$B:$F,5,0),"")</f>
        <v>MT</v>
      </c>
      <c r="G2424" s="20">
        <f>IFERROR(INDEX('Kode Outlet dan Target Toko'!$C:$C,MATCH($I2424,'Kode Outlet dan Target Toko'!$E:$E,0)),0)</f>
        <v>175700</v>
      </c>
      <c r="H2424" s="20">
        <f>IFERROR(INDEX('Kode Outlet dan Target Toko'!$D:$D,MATCH($I2424,'Kode Outlet dan Target Toko'!$E:$E,0)),0)</f>
        <v>1370001</v>
      </c>
      <c r="I2424" s="42" t="s">
        <v>74</v>
      </c>
      <c r="J2424" s="56" t="s">
        <v>297</v>
      </c>
      <c r="K2424" s="40" t="s">
        <v>14</v>
      </c>
      <c r="L2424" s="26">
        <v>2210</v>
      </c>
      <c r="M2424" s="26">
        <v>120</v>
      </c>
      <c r="N2424" s="25">
        <f t="shared" si="75"/>
        <v>265200</v>
      </c>
      <c r="O2424" s="56"/>
    </row>
    <row r="2425" spans="1:15" hidden="1" x14ac:dyDescent="0.3">
      <c r="A2425" s="26">
        <v>30</v>
      </c>
      <c r="B2425" s="20" t="str">
        <f t="shared" si="74"/>
        <v>JUL</v>
      </c>
      <c r="C2425" s="21">
        <v>46229</v>
      </c>
      <c r="D2425" s="22" t="str">
        <f t="array" ref="D2425">IFERROR(INDEX('Kode Outlet dan Target Toko'!$A:$A,MATCH($I2425,'Kode Outlet dan Target Toko'!$E:$E,0)),"")</f>
        <v>GRSM 2</v>
      </c>
      <c r="E2425" s="20" t="str">
        <f>IFERROR(VLOOKUP(I2425,KET!$B:$F,4,0),"")</f>
        <v>AFNITA SARI</v>
      </c>
      <c r="F2425" s="20" t="str">
        <f>IFERROR(VLOOKUP(I2425,KET!$B:$F,5,0),"")</f>
        <v>MT</v>
      </c>
      <c r="G2425" s="20">
        <f>IFERROR(INDEX('Kode Outlet dan Target Toko'!$C:$C,MATCH($I2425,'Kode Outlet dan Target Toko'!$E:$E,0)),0)</f>
        <v>175700</v>
      </c>
      <c r="H2425" s="20">
        <f>IFERROR(INDEX('Kode Outlet dan Target Toko'!$D:$D,MATCH($I2425,'Kode Outlet dan Target Toko'!$E:$E,0)),0)</f>
        <v>1370001</v>
      </c>
      <c r="I2425" s="42" t="s">
        <v>74</v>
      </c>
      <c r="J2425" s="56" t="s">
        <v>297</v>
      </c>
      <c r="K2425" s="40" t="s">
        <v>15</v>
      </c>
      <c r="L2425" s="26">
        <v>2210</v>
      </c>
      <c r="M2425" s="26">
        <v>120</v>
      </c>
      <c r="N2425" s="25">
        <f t="shared" si="75"/>
        <v>265200</v>
      </c>
      <c r="O2425" s="56"/>
    </row>
    <row r="2426" spans="1:15" hidden="1" x14ac:dyDescent="0.3">
      <c r="A2426" s="26">
        <v>30</v>
      </c>
      <c r="B2426" s="20" t="str">
        <f t="shared" si="74"/>
        <v>JUL</v>
      </c>
      <c r="C2426" s="21">
        <v>46229</v>
      </c>
      <c r="D2426" s="22" t="str">
        <f t="array" ref="D2426">IFERROR(INDEX('Kode Outlet dan Target Toko'!$A:$A,MATCH($I2426,'Kode Outlet dan Target Toko'!$E:$E,0)),"")</f>
        <v>GRSM 2</v>
      </c>
      <c r="E2426" s="20" t="str">
        <f>IFERROR(VLOOKUP(I2426,KET!$B:$F,4,0),"")</f>
        <v>AFNITA SARI</v>
      </c>
      <c r="F2426" s="20" t="str">
        <f>IFERROR(VLOOKUP(I2426,KET!$B:$F,5,0),"")</f>
        <v>MT</v>
      </c>
      <c r="G2426" s="20">
        <f>IFERROR(INDEX('Kode Outlet dan Target Toko'!$C:$C,MATCH($I2426,'Kode Outlet dan Target Toko'!$E:$E,0)),0)</f>
        <v>175700</v>
      </c>
      <c r="H2426" s="20">
        <f>IFERROR(INDEX('Kode Outlet dan Target Toko'!$D:$D,MATCH($I2426,'Kode Outlet dan Target Toko'!$E:$E,0)),0)</f>
        <v>1370001</v>
      </c>
      <c r="I2426" s="42" t="s">
        <v>74</v>
      </c>
      <c r="J2426" s="56" t="s">
        <v>297</v>
      </c>
      <c r="K2426" s="40" t="s">
        <v>16</v>
      </c>
      <c r="L2426" s="26">
        <v>2210</v>
      </c>
      <c r="M2426" s="26">
        <v>160</v>
      </c>
      <c r="N2426" s="25">
        <f t="shared" si="75"/>
        <v>353600</v>
      </c>
      <c r="O2426" s="56">
        <v>120</v>
      </c>
    </row>
    <row r="2427" spans="1:15" hidden="1" x14ac:dyDescent="0.3">
      <c r="A2427" s="26">
        <v>30</v>
      </c>
      <c r="B2427" s="20" t="str">
        <f t="shared" si="74"/>
        <v>JUL</v>
      </c>
      <c r="C2427" s="21">
        <v>46229</v>
      </c>
      <c r="D2427" s="22" t="str">
        <f t="array" ref="D2427">IFERROR(INDEX('Kode Outlet dan Target Toko'!$A:$A,MATCH($I2427,'Kode Outlet dan Target Toko'!$E:$E,0)),"")</f>
        <v>GRSM 2</v>
      </c>
      <c r="E2427" s="20" t="str">
        <f>IFERROR(VLOOKUP(I2427,KET!$B:$F,4,0),"")</f>
        <v>AFNITA SARI</v>
      </c>
      <c r="F2427" s="20" t="str">
        <f>IFERROR(VLOOKUP(I2427,KET!$B:$F,5,0),"")</f>
        <v>MT</v>
      </c>
      <c r="G2427" s="20">
        <f>IFERROR(INDEX('Kode Outlet dan Target Toko'!$C:$C,MATCH($I2427,'Kode Outlet dan Target Toko'!$E:$E,0)),0)</f>
        <v>175700</v>
      </c>
      <c r="H2427" s="20">
        <f>IFERROR(INDEX('Kode Outlet dan Target Toko'!$D:$D,MATCH($I2427,'Kode Outlet dan Target Toko'!$E:$E,0)),0)</f>
        <v>1370001</v>
      </c>
      <c r="I2427" s="42" t="s">
        <v>74</v>
      </c>
      <c r="J2427" s="56" t="s">
        <v>298</v>
      </c>
      <c r="K2427" s="40" t="s">
        <v>13</v>
      </c>
      <c r="L2427" s="26">
        <v>2210</v>
      </c>
      <c r="M2427" s="26">
        <v>80</v>
      </c>
      <c r="N2427" s="25">
        <f t="shared" si="75"/>
        <v>176800</v>
      </c>
      <c r="O2427" s="56"/>
    </row>
    <row r="2428" spans="1:15" hidden="1" x14ac:dyDescent="0.3">
      <c r="A2428" s="26">
        <v>30</v>
      </c>
      <c r="B2428" s="20" t="str">
        <f t="shared" si="74"/>
        <v>JUL</v>
      </c>
      <c r="C2428" s="21">
        <v>46229</v>
      </c>
      <c r="D2428" s="22" t="str">
        <f t="array" ref="D2428">IFERROR(INDEX('Kode Outlet dan Target Toko'!$A:$A,MATCH($I2428,'Kode Outlet dan Target Toko'!$E:$E,0)),"")</f>
        <v>GRSM 2</v>
      </c>
      <c r="E2428" s="20" t="str">
        <f>IFERROR(VLOOKUP(I2428,KET!$B:$F,4,0),"")</f>
        <v>AFNITA SARI</v>
      </c>
      <c r="F2428" s="20" t="str">
        <f>IFERROR(VLOOKUP(I2428,KET!$B:$F,5,0),"")</f>
        <v>MT</v>
      </c>
      <c r="G2428" s="20">
        <f>IFERROR(INDEX('Kode Outlet dan Target Toko'!$C:$C,MATCH($I2428,'Kode Outlet dan Target Toko'!$E:$E,0)),0)</f>
        <v>175700</v>
      </c>
      <c r="H2428" s="20">
        <f>IFERROR(INDEX('Kode Outlet dan Target Toko'!$D:$D,MATCH($I2428,'Kode Outlet dan Target Toko'!$E:$E,0)),0)</f>
        <v>1370001</v>
      </c>
      <c r="I2428" s="42" t="s">
        <v>74</v>
      </c>
      <c r="J2428" s="56" t="s">
        <v>298</v>
      </c>
      <c r="K2428" s="40" t="s">
        <v>14</v>
      </c>
      <c r="L2428" s="26">
        <v>2210</v>
      </c>
      <c r="M2428" s="26">
        <v>120</v>
      </c>
      <c r="N2428" s="25">
        <f t="shared" si="75"/>
        <v>265200</v>
      </c>
      <c r="O2428" s="56"/>
    </row>
    <row r="2429" spans="1:15" hidden="1" x14ac:dyDescent="0.3">
      <c r="A2429" s="26">
        <v>30</v>
      </c>
      <c r="B2429" s="20" t="str">
        <f t="shared" si="74"/>
        <v>JUL</v>
      </c>
      <c r="C2429" s="21">
        <v>46229</v>
      </c>
      <c r="D2429" s="22" t="str">
        <f t="array" ref="D2429">IFERROR(INDEX('Kode Outlet dan Target Toko'!$A:$A,MATCH($I2429,'Kode Outlet dan Target Toko'!$E:$E,0)),"")</f>
        <v>GRSM 2</v>
      </c>
      <c r="E2429" s="20" t="str">
        <f>IFERROR(VLOOKUP(I2429,KET!$B:$F,4,0),"")</f>
        <v>AFNITA SARI</v>
      </c>
      <c r="F2429" s="20" t="str">
        <f>IFERROR(VLOOKUP(I2429,KET!$B:$F,5,0),"")</f>
        <v>MT</v>
      </c>
      <c r="G2429" s="20">
        <f>IFERROR(INDEX('Kode Outlet dan Target Toko'!$C:$C,MATCH($I2429,'Kode Outlet dan Target Toko'!$E:$E,0)),0)</f>
        <v>175700</v>
      </c>
      <c r="H2429" s="20">
        <f>IFERROR(INDEX('Kode Outlet dan Target Toko'!$D:$D,MATCH($I2429,'Kode Outlet dan Target Toko'!$E:$E,0)),0)</f>
        <v>1370001</v>
      </c>
      <c r="I2429" s="42" t="s">
        <v>74</v>
      </c>
      <c r="J2429" s="56" t="s">
        <v>298</v>
      </c>
      <c r="K2429" s="40" t="s">
        <v>15</v>
      </c>
      <c r="L2429" s="26">
        <v>2210</v>
      </c>
      <c r="M2429" s="26">
        <v>120</v>
      </c>
      <c r="N2429" s="25">
        <f t="shared" si="75"/>
        <v>265200</v>
      </c>
      <c r="O2429" s="56"/>
    </row>
    <row r="2430" spans="1:15" hidden="1" x14ac:dyDescent="0.3">
      <c r="A2430" s="26">
        <v>30</v>
      </c>
      <c r="B2430" s="20" t="str">
        <f t="shared" si="74"/>
        <v>JUL</v>
      </c>
      <c r="C2430" s="21">
        <v>46229</v>
      </c>
      <c r="D2430" s="22" t="str">
        <f t="array" ref="D2430">IFERROR(INDEX('Kode Outlet dan Target Toko'!$A:$A,MATCH($I2430,'Kode Outlet dan Target Toko'!$E:$E,0)),"")</f>
        <v>GRSM 2</v>
      </c>
      <c r="E2430" s="20" t="str">
        <f>IFERROR(VLOOKUP(I2430,KET!$B:$F,4,0),"")</f>
        <v>AFNITA SARI</v>
      </c>
      <c r="F2430" s="20" t="str">
        <f>IFERROR(VLOOKUP(I2430,KET!$B:$F,5,0),"")</f>
        <v>MT</v>
      </c>
      <c r="G2430" s="20">
        <f>IFERROR(INDEX('Kode Outlet dan Target Toko'!$C:$C,MATCH($I2430,'Kode Outlet dan Target Toko'!$E:$E,0)),0)</f>
        <v>175700</v>
      </c>
      <c r="H2430" s="20">
        <f>IFERROR(INDEX('Kode Outlet dan Target Toko'!$D:$D,MATCH($I2430,'Kode Outlet dan Target Toko'!$E:$E,0)),0)</f>
        <v>1370001</v>
      </c>
      <c r="I2430" s="42" t="s">
        <v>74</v>
      </c>
      <c r="J2430" s="56" t="s">
        <v>298</v>
      </c>
      <c r="K2430" s="40" t="s">
        <v>16</v>
      </c>
      <c r="L2430" s="26">
        <v>2210</v>
      </c>
      <c r="M2430" s="26">
        <v>160</v>
      </c>
      <c r="N2430" s="25">
        <f t="shared" si="75"/>
        <v>353600</v>
      </c>
      <c r="O2430" s="56">
        <v>120</v>
      </c>
    </row>
    <row r="2431" spans="1:15" hidden="1" x14ac:dyDescent="0.3">
      <c r="A2431" s="26">
        <v>30</v>
      </c>
      <c r="B2431" s="20" t="str">
        <f t="shared" si="74"/>
        <v>JUL</v>
      </c>
      <c r="C2431" s="21">
        <v>46229</v>
      </c>
      <c r="D2431" s="22" t="str">
        <f t="array" ref="D2431">IFERROR(INDEX('Kode Outlet dan Target Toko'!$A:$A,MATCH($I2431,'Kode Outlet dan Target Toko'!$E:$E,0)),"")</f>
        <v>GRSM 1</v>
      </c>
      <c r="E2431" s="20" t="str">
        <f>IFERROR(VLOOKUP(I2431,KET!$B:$F,4,0),"")</f>
        <v>AFNITA SARI</v>
      </c>
      <c r="F2431" s="20" t="str">
        <f>IFERROR(VLOOKUP(I2431,KET!$B:$F,5,0),"")</f>
        <v>MT</v>
      </c>
      <c r="G2431" s="20">
        <f>IFERROR(INDEX('Kode Outlet dan Target Toko'!$C:$C,MATCH($I2431,'Kode Outlet dan Target Toko'!$E:$E,0)),0)</f>
        <v>122506</v>
      </c>
      <c r="H2431" s="20">
        <f>IFERROR(INDEX('Kode Outlet dan Target Toko'!$D:$D,MATCH($I2431,'Kode Outlet dan Target Toko'!$E:$E,0)),0)</f>
        <v>202816</v>
      </c>
      <c r="I2431" s="42" t="s">
        <v>71</v>
      </c>
      <c r="J2431" s="56" t="s">
        <v>295</v>
      </c>
      <c r="K2431" s="40" t="s">
        <v>13</v>
      </c>
      <c r="L2431" s="26">
        <v>7000</v>
      </c>
      <c r="M2431" s="26">
        <v>40</v>
      </c>
      <c r="N2431" s="25">
        <f t="shared" si="75"/>
        <v>280000</v>
      </c>
      <c r="O2431" s="56"/>
    </row>
    <row r="2432" spans="1:15" hidden="1" x14ac:dyDescent="0.3">
      <c r="A2432" s="26">
        <v>30</v>
      </c>
      <c r="B2432" s="20" t="str">
        <f t="shared" si="74"/>
        <v>JUL</v>
      </c>
      <c r="C2432" s="21">
        <v>46229</v>
      </c>
      <c r="D2432" s="22" t="str">
        <f t="array" ref="D2432">IFERROR(INDEX('Kode Outlet dan Target Toko'!$A:$A,MATCH($I2432,'Kode Outlet dan Target Toko'!$E:$E,0)),"")</f>
        <v>GRSM 1</v>
      </c>
      <c r="E2432" s="20" t="str">
        <f>IFERROR(VLOOKUP(I2432,KET!$B:$F,4,0),"")</f>
        <v>AFNITA SARI</v>
      </c>
      <c r="F2432" s="20" t="str">
        <f>IFERROR(VLOOKUP(I2432,KET!$B:$F,5,0),"")</f>
        <v>MT</v>
      </c>
      <c r="G2432" s="20">
        <f>IFERROR(INDEX('Kode Outlet dan Target Toko'!$C:$C,MATCH($I2432,'Kode Outlet dan Target Toko'!$E:$E,0)),0)</f>
        <v>122506</v>
      </c>
      <c r="H2432" s="20">
        <f>IFERROR(INDEX('Kode Outlet dan Target Toko'!$D:$D,MATCH($I2432,'Kode Outlet dan Target Toko'!$E:$E,0)),0)</f>
        <v>202816</v>
      </c>
      <c r="I2432" s="42" t="s">
        <v>71</v>
      </c>
      <c r="J2432" s="56" t="s">
        <v>295</v>
      </c>
      <c r="K2432" s="40" t="s">
        <v>14</v>
      </c>
      <c r="L2432" s="26">
        <v>7000</v>
      </c>
      <c r="M2432" s="26">
        <v>59</v>
      </c>
      <c r="N2432" s="25">
        <f t="shared" si="75"/>
        <v>413000</v>
      </c>
      <c r="O2432" s="56"/>
    </row>
    <row r="2433" spans="1:15" hidden="1" x14ac:dyDescent="0.3">
      <c r="A2433" s="26">
        <v>30</v>
      </c>
      <c r="B2433" s="20" t="str">
        <f t="shared" si="74"/>
        <v>JUL</v>
      </c>
      <c r="C2433" s="21">
        <v>46229</v>
      </c>
      <c r="D2433" s="22" t="str">
        <f t="array" ref="D2433">IFERROR(INDEX('Kode Outlet dan Target Toko'!$A:$A,MATCH($I2433,'Kode Outlet dan Target Toko'!$E:$E,0)),"")</f>
        <v>GRSM 1</v>
      </c>
      <c r="E2433" s="20" t="str">
        <f>IFERROR(VLOOKUP(I2433,KET!$B:$F,4,0),"")</f>
        <v>AFNITA SARI</v>
      </c>
      <c r="F2433" s="20" t="str">
        <f>IFERROR(VLOOKUP(I2433,KET!$B:$F,5,0),"")</f>
        <v>MT</v>
      </c>
      <c r="G2433" s="20">
        <f>IFERROR(INDEX('Kode Outlet dan Target Toko'!$C:$C,MATCH($I2433,'Kode Outlet dan Target Toko'!$E:$E,0)),0)</f>
        <v>122506</v>
      </c>
      <c r="H2433" s="20">
        <f>IFERROR(INDEX('Kode Outlet dan Target Toko'!$D:$D,MATCH($I2433,'Kode Outlet dan Target Toko'!$E:$E,0)),0)</f>
        <v>202816</v>
      </c>
      <c r="I2433" s="42" t="s">
        <v>71</v>
      </c>
      <c r="J2433" s="56" t="s">
        <v>295</v>
      </c>
      <c r="K2433" s="40" t="s">
        <v>15</v>
      </c>
      <c r="L2433" s="26">
        <v>7000</v>
      </c>
      <c r="M2433" s="26">
        <v>48</v>
      </c>
      <c r="N2433" s="25">
        <f t="shared" si="75"/>
        <v>336000</v>
      </c>
      <c r="O2433" s="56"/>
    </row>
    <row r="2434" spans="1:15" hidden="1" x14ac:dyDescent="0.3">
      <c r="A2434" s="26">
        <v>30</v>
      </c>
      <c r="B2434" s="20" t="str">
        <f t="shared" si="74"/>
        <v>JUL</v>
      </c>
      <c r="C2434" s="21">
        <v>46229</v>
      </c>
      <c r="D2434" s="22" t="str">
        <f t="array" ref="D2434">IFERROR(INDEX('Kode Outlet dan Target Toko'!$A:$A,MATCH($I2434,'Kode Outlet dan Target Toko'!$E:$E,0)),"")</f>
        <v>GRSM 1</v>
      </c>
      <c r="E2434" s="20" t="str">
        <f>IFERROR(VLOOKUP(I2434,KET!$B:$F,4,0),"")</f>
        <v>AFNITA SARI</v>
      </c>
      <c r="F2434" s="20" t="str">
        <f>IFERROR(VLOOKUP(I2434,KET!$B:$F,5,0),"")</f>
        <v>MT</v>
      </c>
      <c r="G2434" s="20">
        <f>IFERROR(INDEX('Kode Outlet dan Target Toko'!$C:$C,MATCH($I2434,'Kode Outlet dan Target Toko'!$E:$E,0)),0)</f>
        <v>122506</v>
      </c>
      <c r="H2434" s="20">
        <f>IFERROR(INDEX('Kode Outlet dan Target Toko'!$D:$D,MATCH($I2434,'Kode Outlet dan Target Toko'!$E:$E,0)),0)</f>
        <v>202816</v>
      </c>
      <c r="I2434" s="42" t="s">
        <v>71</v>
      </c>
      <c r="J2434" s="56" t="s">
        <v>295</v>
      </c>
      <c r="K2434" s="40" t="s">
        <v>16</v>
      </c>
      <c r="L2434" s="26">
        <v>7000</v>
      </c>
      <c r="M2434" s="26">
        <v>81</v>
      </c>
      <c r="N2434" s="25">
        <f t="shared" si="75"/>
        <v>567000</v>
      </c>
      <c r="O2434" s="56">
        <v>160</v>
      </c>
    </row>
    <row r="2435" spans="1:15" hidden="1" x14ac:dyDescent="0.3">
      <c r="A2435" s="26">
        <v>30</v>
      </c>
      <c r="B2435" s="20" t="str">
        <f t="shared" si="74"/>
        <v>JUL</v>
      </c>
      <c r="C2435" s="21">
        <v>46229</v>
      </c>
      <c r="D2435" s="22" t="str">
        <f t="array" ref="D2435">IFERROR(INDEX('Kode Outlet dan Target Toko'!$A:$A,MATCH($I2435,'Kode Outlet dan Target Toko'!$E:$E,0)),"")</f>
        <v>GRSM 1</v>
      </c>
      <c r="E2435" s="20" t="str">
        <f>IFERROR(VLOOKUP(I2435,KET!$B:$F,4,0),"")</f>
        <v>AFNITA SARI</v>
      </c>
      <c r="F2435" s="20" t="str">
        <f>IFERROR(VLOOKUP(I2435,KET!$B:$F,5,0),"")</f>
        <v>MT</v>
      </c>
      <c r="G2435" s="20">
        <f>IFERROR(INDEX('Kode Outlet dan Target Toko'!$C:$C,MATCH($I2435,'Kode Outlet dan Target Toko'!$E:$E,0)),0)</f>
        <v>122506</v>
      </c>
      <c r="H2435" s="20">
        <f>IFERROR(INDEX('Kode Outlet dan Target Toko'!$D:$D,MATCH($I2435,'Kode Outlet dan Target Toko'!$E:$E,0)),0)</f>
        <v>202816</v>
      </c>
      <c r="I2435" s="42" t="s">
        <v>71</v>
      </c>
      <c r="J2435" s="56" t="s">
        <v>296</v>
      </c>
      <c r="K2435" s="40" t="s">
        <v>13</v>
      </c>
      <c r="L2435" s="26">
        <v>7000</v>
      </c>
      <c r="M2435" s="26">
        <v>40</v>
      </c>
      <c r="N2435" s="25">
        <f t="shared" si="75"/>
        <v>280000</v>
      </c>
      <c r="O2435" s="56"/>
    </row>
    <row r="2436" spans="1:15" hidden="1" x14ac:dyDescent="0.3">
      <c r="A2436" s="26">
        <v>30</v>
      </c>
      <c r="B2436" s="20" t="str">
        <f t="shared" si="74"/>
        <v>JUL</v>
      </c>
      <c r="C2436" s="21">
        <v>46229</v>
      </c>
      <c r="D2436" s="22" t="str">
        <f t="array" ref="D2436">IFERROR(INDEX('Kode Outlet dan Target Toko'!$A:$A,MATCH($I2436,'Kode Outlet dan Target Toko'!$E:$E,0)),"")</f>
        <v>GRSM 1</v>
      </c>
      <c r="E2436" s="20" t="str">
        <f>IFERROR(VLOOKUP(I2436,KET!$B:$F,4,0),"")</f>
        <v>AFNITA SARI</v>
      </c>
      <c r="F2436" s="20" t="str">
        <f>IFERROR(VLOOKUP(I2436,KET!$B:$F,5,0),"")</f>
        <v>MT</v>
      </c>
      <c r="G2436" s="20">
        <f>IFERROR(INDEX('Kode Outlet dan Target Toko'!$C:$C,MATCH($I2436,'Kode Outlet dan Target Toko'!$E:$E,0)),0)</f>
        <v>122506</v>
      </c>
      <c r="H2436" s="20">
        <f>IFERROR(INDEX('Kode Outlet dan Target Toko'!$D:$D,MATCH($I2436,'Kode Outlet dan Target Toko'!$E:$E,0)),0)</f>
        <v>202816</v>
      </c>
      <c r="I2436" s="42" t="s">
        <v>71</v>
      </c>
      <c r="J2436" s="56" t="s">
        <v>296</v>
      </c>
      <c r="K2436" s="40" t="s">
        <v>14</v>
      </c>
      <c r="L2436" s="26">
        <v>7000</v>
      </c>
      <c r="M2436" s="26">
        <v>59</v>
      </c>
      <c r="N2436" s="25">
        <f t="shared" si="75"/>
        <v>413000</v>
      </c>
      <c r="O2436" s="56"/>
    </row>
    <row r="2437" spans="1:15" hidden="1" x14ac:dyDescent="0.3">
      <c r="A2437" s="26">
        <v>30</v>
      </c>
      <c r="B2437" s="20" t="str">
        <f t="shared" si="74"/>
        <v>JUL</v>
      </c>
      <c r="C2437" s="21">
        <v>46229</v>
      </c>
      <c r="D2437" s="22" t="str">
        <f t="array" ref="D2437">IFERROR(INDEX('Kode Outlet dan Target Toko'!$A:$A,MATCH($I2437,'Kode Outlet dan Target Toko'!$E:$E,0)),"")</f>
        <v>GRSM 1</v>
      </c>
      <c r="E2437" s="20" t="str">
        <f>IFERROR(VLOOKUP(I2437,KET!$B:$F,4,0),"")</f>
        <v>AFNITA SARI</v>
      </c>
      <c r="F2437" s="20" t="str">
        <f>IFERROR(VLOOKUP(I2437,KET!$B:$F,5,0),"")</f>
        <v>MT</v>
      </c>
      <c r="G2437" s="20">
        <f>IFERROR(INDEX('Kode Outlet dan Target Toko'!$C:$C,MATCH($I2437,'Kode Outlet dan Target Toko'!$E:$E,0)),0)</f>
        <v>122506</v>
      </c>
      <c r="H2437" s="20">
        <f>IFERROR(INDEX('Kode Outlet dan Target Toko'!$D:$D,MATCH($I2437,'Kode Outlet dan Target Toko'!$E:$E,0)),0)</f>
        <v>202816</v>
      </c>
      <c r="I2437" s="42" t="s">
        <v>71</v>
      </c>
      <c r="J2437" s="56" t="s">
        <v>296</v>
      </c>
      <c r="K2437" s="40" t="s">
        <v>15</v>
      </c>
      <c r="L2437" s="26">
        <v>7000</v>
      </c>
      <c r="M2437" s="26">
        <v>48</v>
      </c>
      <c r="N2437" s="25">
        <f t="shared" si="75"/>
        <v>336000</v>
      </c>
      <c r="O2437" s="56"/>
    </row>
    <row r="2438" spans="1:15" hidden="1" x14ac:dyDescent="0.3">
      <c r="A2438" s="26">
        <v>30</v>
      </c>
      <c r="B2438" s="20" t="str">
        <f t="shared" si="74"/>
        <v>JUL</v>
      </c>
      <c r="C2438" s="21">
        <v>46229</v>
      </c>
      <c r="D2438" s="22" t="str">
        <f t="array" ref="D2438">IFERROR(INDEX('Kode Outlet dan Target Toko'!$A:$A,MATCH($I2438,'Kode Outlet dan Target Toko'!$E:$E,0)),"")</f>
        <v>GRSM 1</v>
      </c>
      <c r="E2438" s="20" t="str">
        <f>IFERROR(VLOOKUP(I2438,KET!$B:$F,4,0),"")</f>
        <v>AFNITA SARI</v>
      </c>
      <c r="F2438" s="20" t="str">
        <f>IFERROR(VLOOKUP(I2438,KET!$B:$F,5,0),"")</f>
        <v>MT</v>
      </c>
      <c r="G2438" s="20">
        <f>IFERROR(INDEX('Kode Outlet dan Target Toko'!$C:$C,MATCH($I2438,'Kode Outlet dan Target Toko'!$E:$E,0)),0)</f>
        <v>122506</v>
      </c>
      <c r="H2438" s="20">
        <f>IFERROR(INDEX('Kode Outlet dan Target Toko'!$D:$D,MATCH($I2438,'Kode Outlet dan Target Toko'!$E:$E,0)),0)</f>
        <v>202816</v>
      </c>
      <c r="I2438" s="42" t="s">
        <v>71</v>
      </c>
      <c r="J2438" s="56" t="s">
        <v>296</v>
      </c>
      <c r="K2438" s="40" t="s">
        <v>16</v>
      </c>
      <c r="L2438" s="26">
        <v>7000</v>
      </c>
      <c r="M2438" s="26">
        <v>81</v>
      </c>
      <c r="N2438" s="25">
        <f t="shared" si="75"/>
        <v>567000</v>
      </c>
      <c r="O2438" s="56">
        <v>160</v>
      </c>
    </row>
    <row r="2439" spans="1:15" hidden="1" x14ac:dyDescent="0.3">
      <c r="A2439" s="26">
        <v>30</v>
      </c>
      <c r="B2439" s="20" t="str">
        <f t="shared" ref="B2439:B2502" si="76">IF(C2439="","",UPPER(TEXT(C2439, "MMM")))</f>
        <v>JUL</v>
      </c>
      <c r="C2439" s="21">
        <v>46229</v>
      </c>
      <c r="D2439" s="22" t="str">
        <f t="array" ref="D2439">IFERROR(INDEX('Kode Outlet dan Target Toko'!$A:$A,MATCH($I2439,'Kode Outlet dan Target Toko'!$E:$E,0)),"")</f>
        <v>GRSM 1</v>
      </c>
      <c r="E2439" s="20" t="str">
        <f>IFERROR(VLOOKUP(I2439,KET!$B:$F,4,0),"")</f>
        <v>AFNITA SARI</v>
      </c>
      <c r="F2439" s="20" t="str">
        <f>IFERROR(VLOOKUP(I2439,KET!$B:$F,5,0),"")</f>
        <v>MT</v>
      </c>
      <c r="G2439" s="20">
        <f>IFERROR(INDEX('Kode Outlet dan Target Toko'!$C:$C,MATCH($I2439,'Kode Outlet dan Target Toko'!$E:$E,0)),0)</f>
        <v>122506</v>
      </c>
      <c r="H2439" s="20">
        <f>IFERROR(INDEX('Kode Outlet dan Target Toko'!$D:$D,MATCH($I2439,'Kode Outlet dan Target Toko'!$E:$E,0)),0)</f>
        <v>214422</v>
      </c>
      <c r="I2439" s="42" t="s">
        <v>72</v>
      </c>
      <c r="J2439" s="56" t="s">
        <v>294</v>
      </c>
      <c r="K2439" s="40" t="s">
        <v>13</v>
      </c>
      <c r="L2439" s="26">
        <v>3200</v>
      </c>
      <c r="M2439" s="26">
        <v>52</v>
      </c>
      <c r="N2439" s="25">
        <f t="shared" ref="N2439:N2502" si="77">IFERROR(M2439*L2439,"")</f>
        <v>166400</v>
      </c>
      <c r="O2439" s="56"/>
    </row>
    <row r="2440" spans="1:15" hidden="1" x14ac:dyDescent="0.3">
      <c r="A2440" s="26">
        <v>30</v>
      </c>
      <c r="B2440" s="20" t="str">
        <f t="shared" si="76"/>
        <v>JUL</v>
      </c>
      <c r="C2440" s="21">
        <v>46229</v>
      </c>
      <c r="D2440" s="22" t="str">
        <f t="array" ref="D2440">IFERROR(INDEX('Kode Outlet dan Target Toko'!$A:$A,MATCH($I2440,'Kode Outlet dan Target Toko'!$E:$E,0)),"")</f>
        <v>GRSM 1</v>
      </c>
      <c r="E2440" s="20" t="str">
        <f>IFERROR(VLOOKUP(I2440,KET!$B:$F,4,0),"")</f>
        <v>AFNITA SARI</v>
      </c>
      <c r="F2440" s="20" t="str">
        <f>IFERROR(VLOOKUP(I2440,KET!$B:$F,5,0),"")</f>
        <v>MT</v>
      </c>
      <c r="G2440" s="20">
        <f>IFERROR(INDEX('Kode Outlet dan Target Toko'!$C:$C,MATCH($I2440,'Kode Outlet dan Target Toko'!$E:$E,0)),0)</f>
        <v>122506</v>
      </c>
      <c r="H2440" s="20">
        <f>IFERROR(INDEX('Kode Outlet dan Target Toko'!$D:$D,MATCH($I2440,'Kode Outlet dan Target Toko'!$E:$E,0)),0)</f>
        <v>214422</v>
      </c>
      <c r="I2440" s="42" t="s">
        <v>72</v>
      </c>
      <c r="J2440" s="56" t="s">
        <v>294</v>
      </c>
      <c r="K2440" s="40" t="s">
        <v>14</v>
      </c>
      <c r="L2440" s="26">
        <v>3200</v>
      </c>
      <c r="M2440" s="26">
        <v>42</v>
      </c>
      <c r="N2440" s="25">
        <f t="shared" si="77"/>
        <v>134400</v>
      </c>
      <c r="O2440" s="56"/>
    </row>
    <row r="2441" spans="1:15" hidden="1" x14ac:dyDescent="0.3">
      <c r="A2441" s="26">
        <v>30</v>
      </c>
      <c r="B2441" s="20" t="str">
        <f t="shared" si="76"/>
        <v>JUL</v>
      </c>
      <c r="C2441" s="21">
        <v>46229</v>
      </c>
      <c r="D2441" s="22" t="str">
        <f t="array" ref="D2441">IFERROR(INDEX('Kode Outlet dan Target Toko'!$A:$A,MATCH($I2441,'Kode Outlet dan Target Toko'!$E:$E,0)),"")</f>
        <v>GRSM 1</v>
      </c>
      <c r="E2441" s="20" t="str">
        <f>IFERROR(VLOOKUP(I2441,KET!$B:$F,4,0),"")</f>
        <v>AFNITA SARI</v>
      </c>
      <c r="F2441" s="20" t="str">
        <f>IFERROR(VLOOKUP(I2441,KET!$B:$F,5,0),"")</f>
        <v>MT</v>
      </c>
      <c r="G2441" s="20">
        <f>IFERROR(INDEX('Kode Outlet dan Target Toko'!$C:$C,MATCH($I2441,'Kode Outlet dan Target Toko'!$E:$E,0)),0)</f>
        <v>122506</v>
      </c>
      <c r="H2441" s="20">
        <f>IFERROR(INDEX('Kode Outlet dan Target Toko'!$D:$D,MATCH($I2441,'Kode Outlet dan Target Toko'!$E:$E,0)),0)</f>
        <v>214422</v>
      </c>
      <c r="I2441" s="42" t="s">
        <v>72</v>
      </c>
      <c r="J2441" s="56" t="s">
        <v>294</v>
      </c>
      <c r="K2441" s="40" t="s">
        <v>15</v>
      </c>
      <c r="L2441" s="26">
        <v>3200</v>
      </c>
      <c r="M2441" s="26">
        <v>40</v>
      </c>
      <c r="N2441" s="25">
        <f t="shared" si="77"/>
        <v>128000</v>
      </c>
      <c r="O2441" s="56"/>
    </row>
    <row r="2442" spans="1:15" hidden="1" x14ac:dyDescent="0.3">
      <c r="A2442" s="26">
        <v>30</v>
      </c>
      <c r="B2442" s="20" t="str">
        <f t="shared" si="76"/>
        <v>JUL</v>
      </c>
      <c r="C2442" s="21">
        <v>46229</v>
      </c>
      <c r="D2442" s="22" t="str">
        <f t="array" ref="D2442">IFERROR(INDEX('Kode Outlet dan Target Toko'!$A:$A,MATCH($I2442,'Kode Outlet dan Target Toko'!$E:$E,0)),"")</f>
        <v>GRSM 1</v>
      </c>
      <c r="E2442" s="20" t="str">
        <f>IFERROR(VLOOKUP(I2442,KET!$B:$F,4,0),"")</f>
        <v>AFNITA SARI</v>
      </c>
      <c r="F2442" s="20" t="str">
        <f>IFERROR(VLOOKUP(I2442,KET!$B:$F,5,0),"")</f>
        <v>MT</v>
      </c>
      <c r="G2442" s="20">
        <f>IFERROR(INDEX('Kode Outlet dan Target Toko'!$C:$C,MATCH($I2442,'Kode Outlet dan Target Toko'!$E:$E,0)),0)</f>
        <v>122506</v>
      </c>
      <c r="H2442" s="20">
        <f>IFERROR(INDEX('Kode Outlet dan Target Toko'!$D:$D,MATCH($I2442,'Kode Outlet dan Target Toko'!$E:$E,0)),0)</f>
        <v>214422</v>
      </c>
      <c r="I2442" s="42" t="s">
        <v>72</v>
      </c>
      <c r="J2442" s="56" t="s">
        <v>294</v>
      </c>
      <c r="K2442" s="40" t="s">
        <v>16</v>
      </c>
      <c r="L2442" s="26">
        <v>3200</v>
      </c>
      <c r="M2442" s="26">
        <v>84</v>
      </c>
      <c r="N2442" s="25">
        <f t="shared" si="77"/>
        <v>268800</v>
      </c>
      <c r="O2442" s="56">
        <v>160</v>
      </c>
    </row>
    <row r="2443" spans="1:15" hidden="1" x14ac:dyDescent="0.3">
      <c r="A2443" s="26">
        <v>30</v>
      </c>
      <c r="B2443" s="20" t="str">
        <f t="shared" si="76"/>
        <v>JUL</v>
      </c>
      <c r="C2443" s="21">
        <v>46229</v>
      </c>
      <c r="D2443" s="22" t="str">
        <f t="array" ref="D2443">IFERROR(INDEX('Kode Outlet dan Target Toko'!$A:$A,MATCH($I2443,'Kode Outlet dan Target Toko'!$E:$E,0)),"")</f>
        <v>GRSM 1</v>
      </c>
      <c r="E2443" s="20" t="str">
        <f>IFERROR(VLOOKUP(I2443,KET!$B:$F,4,0),"")</f>
        <v>AFNITA SARI</v>
      </c>
      <c r="F2443" s="20" t="str">
        <f>IFERROR(VLOOKUP(I2443,KET!$B:$F,5,0),"")</f>
        <v>MT</v>
      </c>
      <c r="G2443" s="20">
        <f>IFERROR(INDEX('Kode Outlet dan Target Toko'!$C:$C,MATCH($I2443,'Kode Outlet dan Target Toko'!$E:$E,0)),0)</f>
        <v>122506</v>
      </c>
      <c r="H2443" s="20">
        <f>IFERROR(INDEX('Kode Outlet dan Target Toko'!$D:$D,MATCH($I2443,'Kode Outlet dan Target Toko'!$E:$E,0)),0)</f>
        <v>214422</v>
      </c>
      <c r="I2443" s="42" t="s">
        <v>72</v>
      </c>
      <c r="J2443" s="56" t="s">
        <v>293</v>
      </c>
      <c r="K2443" s="40" t="s">
        <v>13</v>
      </c>
      <c r="L2443" s="26">
        <v>3200</v>
      </c>
      <c r="M2443" s="26">
        <v>52</v>
      </c>
      <c r="N2443" s="25">
        <f t="shared" si="77"/>
        <v>166400</v>
      </c>
      <c r="O2443" s="56"/>
    </row>
    <row r="2444" spans="1:15" hidden="1" x14ac:dyDescent="0.3">
      <c r="A2444" s="26">
        <v>30</v>
      </c>
      <c r="B2444" s="20" t="str">
        <f t="shared" si="76"/>
        <v>JUL</v>
      </c>
      <c r="C2444" s="21">
        <v>46229</v>
      </c>
      <c r="D2444" s="22" t="str">
        <f t="array" ref="D2444">IFERROR(INDEX('Kode Outlet dan Target Toko'!$A:$A,MATCH($I2444,'Kode Outlet dan Target Toko'!$E:$E,0)),"")</f>
        <v>GRSM 1</v>
      </c>
      <c r="E2444" s="20" t="str">
        <f>IFERROR(VLOOKUP(I2444,KET!$B:$F,4,0),"")</f>
        <v>AFNITA SARI</v>
      </c>
      <c r="F2444" s="20" t="str">
        <f>IFERROR(VLOOKUP(I2444,KET!$B:$F,5,0),"")</f>
        <v>MT</v>
      </c>
      <c r="G2444" s="20">
        <f>IFERROR(INDEX('Kode Outlet dan Target Toko'!$C:$C,MATCH($I2444,'Kode Outlet dan Target Toko'!$E:$E,0)),0)</f>
        <v>122506</v>
      </c>
      <c r="H2444" s="20">
        <f>IFERROR(INDEX('Kode Outlet dan Target Toko'!$D:$D,MATCH($I2444,'Kode Outlet dan Target Toko'!$E:$E,0)),0)</f>
        <v>214422</v>
      </c>
      <c r="I2444" s="42" t="s">
        <v>72</v>
      </c>
      <c r="J2444" s="56" t="s">
        <v>293</v>
      </c>
      <c r="K2444" s="40" t="s">
        <v>14</v>
      </c>
      <c r="L2444" s="26">
        <v>3200</v>
      </c>
      <c r="M2444" s="26">
        <v>42</v>
      </c>
      <c r="N2444" s="25">
        <f t="shared" si="77"/>
        <v>134400</v>
      </c>
      <c r="O2444" s="56"/>
    </row>
    <row r="2445" spans="1:15" hidden="1" x14ac:dyDescent="0.3">
      <c r="A2445" s="26">
        <v>30</v>
      </c>
      <c r="B2445" s="20" t="str">
        <f t="shared" si="76"/>
        <v>JUL</v>
      </c>
      <c r="C2445" s="21">
        <v>46229</v>
      </c>
      <c r="D2445" s="22" t="str">
        <f t="array" ref="D2445">IFERROR(INDEX('Kode Outlet dan Target Toko'!$A:$A,MATCH($I2445,'Kode Outlet dan Target Toko'!$E:$E,0)),"")</f>
        <v>GRSM 1</v>
      </c>
      <c r="E2445" s="20" t="str">
        <f>IFERROR(VLOOKUP(I2445,KET!$B:$F,4,0),"")</f>
        <v>AFNITA SARI</v>
      </c>
      <c r="F2445" s="20" t="str">
        <f>IFERROR(VLOOKUP(I2445,KET!$B:$F,5,0),"")</f>
        <v>MT</v>
      </c>
      <c r="G2445" s="20">
        <f>IFERROR(INDEX('Kode Outlet dan Target Toko'!$C:$C,MATCH($I2445,'Kode Outlet dan Target Toko'!$E:$E,0)),0)</f>
        <v>122506</v>
      </c>
      <c r="H2445" s="20">
        <f>IFERROR(INDEX('Kode Outlet dan Target Toko'!$D:$D,MATCH($I2445,'Kode Outlet dan Target Toko'!$E:$E,0)),0)</f>
        <v>214422</v>
      </c>
      <c r="I2445" s="42" t="s">
        <v>72</v>
      </c>
      <c r="J2445" s="56" t="s">
        <v>293</v>
      </c>
      <c r="K2445" s="40" t="s">
        <v>15</v>
      </c>
      <c r="L2445" s="26">
        <v>3200</v>
      </c>
      <c r="M2445" s="26">
        <v>40</v>
      </c>
      <c r="N2445" s="25">
        <f t="shared" si="77"/>
        <v>128000</v>
      </c>
      <c r="O2445" s="56"/>
    </row>
    <row r="2446" spans="1:15" hidden="1" x14ac:dyDescent="0.3">
      <c r="A2446" s="26">
        <v>30</v>
      </c>
      <c r="B2446" s="20" t="str">
        <f t="shared" si="76"/>
        <v>JUL</v>
      </c>
      <c r="C2446" s="21">
        <v>46229</v>
      </c>
      <c r="D2446" s="22" t="str">
        <f t="array" ref="D2446">IFERROR(INDEX('Kode Outlet dan Target Toko'!$A:$A,MATCH($I2446,'Kode Outlet dan Target Toko'!$E:$E,0)),"")</f>
        <v>GRSM 1</v>
      </c>
      <c r="E2446" s="20" t="str">
        <f>IFERROR(VLOOKUP(I2446,KET!$B:$F,4,0),"")</f>
        <v>AFNITA SARI</v>
      </c>
      <c r="F2446" s="20" t="str">
        <f>IFERROR(VLOOKUP(I2446,KET!$B:$F,5,0),"")</f>
        <v>MT</v>
      </c>
      <c r="G2446" s="20">
        <f>IFERROR(INDEX('Kode Outlet dan Target Toko'!$C:$C,MATCH($I2446,'Kode Outlet dan Target Toko'!$E:$E,0)),0)</f>
        <v>122506</v>
      </c>
      <c r="H2446" s="20">
        <f>IFERROR(INDEX('Kode Outlet dan Target Toko'!$D:$D,MATCH($I2446,'Kode Outlet dan Target Toko'!$E:$E,0)),0)</f>
        <v>214422</v>
      </c>
      <c r="I2446" s="42" t="s">
        <v>72</v>
      </c>
      <c r="J2446" s="56" t="s">
        <v>293</v>
      </c>
      <c r="K2446" s="40" t="s">
        <v>16</v>
      </c>
      <c r="L2446" s="26">
        <v>3200</v>
      </c>
      <c r="M2446" s="26">
        <v>84</v>
      </c>
      <c r="N2446" s="25">
        <f t="shared" si="77"/>
        <v>268800</v>
      </c>
      <c r="O2446" s="56">
        <v>160</v>
      </c>
    </row>
    <row r="2447" spans="1:15" hidden="1" x14ac:dyDescent="0.3">
      <c r="A2447" s="26">
        <v>30</v>
      </c>
      <c r="B2447" s="20" t="str">
        <f t="shared" si="76"/>
        <v>JUL</v>
      </c>
      <c r="C2447" s="21">
        <v>46227</v>
      </c>
      <c r="D2447" s="22" t="str">
        <f t="array" ref="D2447">IFERROR(INDEX('Kode Outlet dan Target Toko'!$A:$A,MATCH($I2447,'Kode Outlet dan Target Toko'!$E:$E,0)),"")</f>
        <v>GRSM 1</v>
      </c>
      <c r="E2447" s="20" t="str">
        <f>IFERROR(VLOOKUP(I2447,KET!$B:$F,4,0),"")</f>
        <v>AFNITA SARI</v>
      </c>
      <c r="F2447" s="20" t="str">
        <f>IFERROR(VLOOKUP(I2447,KET!$B:$F,5,0),"")</f>
        <v>MT</v>
      </c>
      <c r="G2447" s="20">
        <f>IFERROR(INDEX('Kode Outlet dan Target Toko'!$C:$C,MATCH($I2447,'Kode Outlet dan Target Toko'!$E:$E,0)),0)</f>
        <v>122506</v>
      </c>
      <c r="H2447" s="20">
        <f>IFERROR(INDEX('Kode Outlet dan Target Toko'!$D:$D,MATCH($I2447,'Kode Outlet dan Target Toko'!$E:$E,0)),0)</f>
        <v>214300</v>
      </c>
      <c r="I2447" s="42" t="s">
        <v>73</v>
      </c>
      <c r="J2447" s="56" t="s">
        <v>295</v>
      </c>
      <c r="K2447" s="40" t="s">
        <v>13</v>
      </c>
      <c r="L2447" s="26">
        <v>7000</v>
      </c>
      <c r="M2447" s="26">
        <v>16</v>
      </c>
      <c r="N2447" s="25">
        <f t="shared" si="77"/>
        <v>112000</v>
      </c>
      <c r="O2447" s="56"/>
    </row>
    <row r="2448" spans="1:15" hidden="1" x14ac:dyDescent="0.3">
      <c r="A2448" s="26">
        <v>30</v>
      </c>
      <c r="B2448" s="20" t="str">
        <f t="shared" si="76"/>
        <v>JUL</v>
      </c>
      <c r="C2448" s="21">
        <v>46227</v>
      </c>
      <c r="D2448" s="22" t="str">
        <f t="array" ref="D2448">IFERROR(INDEX('Kode Outlet dan Target Toko'!$A:$A,MATCH($I2448,'Kode Outlet dan Target Toko'!$E:$E,0)),"")</f>
        <v>GRSM 1</v>
      </c>
      <c r="E2448" s="20" t="str">
        <f>IFERROR(VLOOKUP(I2448,KET!$B:$F,4,0),"")</f>
        <v>AFNITA SARI</v>
      </c>
      <c r="F2448" s="20" t="str">
        <f>IFERROR(VLOOKUP(I2448,KET!$B:$F,5,0),"")</f>
        <v>MT</v>
      </c>
      <c r="G2448" s="20">
        <f>IFERROR(INDEX('Kode Outlet dan Target Toko'!$C:$C,MATCH($I2448,'Kode Outlet dan Target Toko'!$E:$E,0)),0)</f>
        <v>122506</v>
      </c>
      <c r="H2448" s="20">
        <f>IFERROR(INDEX('Kode Outlet dan Target Toko'!$D:$D,MATCH($I2448,'Kode Outlet dan Target Toko'!$E:$E,0)),0)</f>
        <v>214300</v>
      </c>
      <c r="I2448" s="42" t="s">
        <v>73</v>
      </c>
      <c r="J2448" s="56" t="s">
        <v>295</v>
      </c>
      <c r="K2448" s="40" t="s">
        <v>14</v>
      </c>
      <c r="L2448" s="26">
        <v>7000</v>
      </c>
      <c r="M2448" s="26">
        <v>22</v>
      </c>
      <c r="N2448" s="25">
        <f t="shared" si="77"/>
        <v>154000</v>
      </c>
      <c r="O2448" s="56"/>
    </row>
    <row r="2449" spans="1:15" hidden="1" x14ac:dyDescent="0.3">
      <c r="A2449" s="26">
        <v>30</v>
      </c>
      <c r="B2449" s="20" t="str">
        <f t="shared" si="76"/>
        <v>JUL</v>
      </c>
      <c r="C2449" s="21">
        <v>46227</v>
      </c>
      <c r="D2449" s="22" t="str">
        <f t="array" ref="D2449">IFERROR(INDEX('Kode Outlet dan Target Toko'!$A:$A,MATCH($I2449,'Kode Outlet dan Target Toko'!$E:$E,0)),"")</f>
        <v>GRSM 1</v>
      </c>
      <c r="E2449" s="20" t="str">
        <f>IFERROR(VLOOKUP(I2449,KET!$B:$F,4,0),"")</f>
        <v>AFNITA SARI</v>
      </c>
      <c r="F2449" s="20" t="str">
        <f>IFERROR(VLOOKUP(I2449,KET!$B:$F,5,0),"")</f>
        <v>MT</v>
      </c>
      <c r="G2449" s="20">
        <f>IFERROR(INDEX('Kode Outlet dan Target Toko'!$C:$C,MATCH($I2449,'Kode Outlet dan Target Toko'!$E:$E,0)),0)</f>
        <v>122506</v>
      </c>
      <c r="H2449" s="20">
        <f>IFERROR(INDEX('Kode Outlet dan Target Toko'!$D:$D,MATCH($I2449,'Kode Outlet dan Target Toko'!$E:$E,0)),0)</f>
        <v>214300</v>
      </c>
      <c r="I2449" s="42" t="s">
        <v>73</v>
      </c>
      <c r="J2449" s="56" t="s">
        <v>295</v>
      </c>
      <c r="K2449" s="40" t="s">
        <v>15</v>
      </c>
      <c r="L2449" s="26">
        <v>7000</v>
      </c>
      <c r="M2449" s="26">
        <v>17</v>
      </c>
      <c r="N2449" s="25">
        <f t="shared" si="77"/>
        <v>119000</v>
      </c>
      <c r="O2449" s="56"/>
    </row>
    <row r="2450" spans="1:15" hidden="1" x14ac:dyDescent="0.3">
      <c r="A2450" s="26">
        <v>30</v>
      </c>
      <c r="B2450" s="20" t="str">
        <f t="shared" si="76"/>
        <v>JUL</v>
      </c>
      <c r="C2450" s="21">
        <v>46227</v>
      </c>
      <c r="D2450" s="22" t="str">
        <f t="array" ref="D2450">IFERROR(INDEX('Kode Outlet dan Target Toko'!$A:$A,MATCH($I2450,'Kode Outlet dan Target Toko'!$E:$E,0)),"")</f>
        <v>GRSM 1</v>
      </c>
      <c r="E2450" s="20" t="str">
        <f>IFERROR(VLOOKUP(I2450,KET!$B:$F,4,0),"")</f>
        <v>AFNITA SARI</v>
      </c>
      <c r="F2450" s="20" t="str">
        <f>IFERROR(VLOOKUP(I2450,KET!$B:$F,5,0),"")</f>
        <v>MT</v>
      </c>
      <c r="G2450" s="20">
        <f>IFERROR(INDEX('Kode Outlet dan Target Toko'!$C:$C,MATCH($I2450,'Kode Outlet dan Target Toko'!$E:$E,0)),0)</f>
        <v>122506</v>
      </c>
      <c r="H2450" s="20">
        <f>IFERROR(INDEX('Kode Outlet dan Target Toko'!$D:$D,MATCH($I2450,'Kode Outlet dan Target Toko'!$E:$E,0)),0)</f>
        <v>214300</v>
      </c>
      <c r="I2450" s="42" t="s">
        <v>73</v>
      </c>
      <c r="J2450" s="56" t="s">
        <v>295</v>
      </c>
      <c r="K2450" s="40" t="s">
        <v>16</v>
      </c>
      <c r="L2450" s="26">
        <v>7000</v>
      </c>
      <c r="M2450" s="26">
        <v>50</v>
      </c>
      <c r="N2450" s="25">
        <f t="shared" si="77"/>
        <v>350000</v>
      </c>
      <c r="O2450" s="56">
        <v>160</v>
      </c>
    </row>
    <row r="2451" spans="1:15" hidden="1" x14ac:dyDescent="0.3">
      <c r="A2451" s="26">
        <v>30</v>
      </c>
      <c r="B2451" s="20" t="str">
        <f t="shared" si="76"/>
        <v>JUL</v>
      </c>
      <c r="C2451" s="21">
        <v>46227</v>
      </c>
      <c r="D2451" s="22" t="str">
        <f t="array" ref="D2451">IFERROR(INDEX('Kode Outlet dan Target Toko'!$A:$A,MATCH($I2451,'Kode Outlet dan Target Toko'!$E:$E,0)),"")</f>
        <v>GRSM 1</v>
      </c>
      <c r="E2451" s="20" t="str">
        <f>IFERROR(VLOOKUP(I2451,KET!$B:$F,4,0),"")</f>
        <v>AFNITA SARI</v>
      </c>
      <c r="F2451" s="20" t="str">
        <f>IFERROR(VLOOKUP(I2451,KET!$B:$F,5,0),"")</f>
        <v>MT</v>
      </c>
      <c r="G2451" s="20">
        <f>IFERROR(INDEX('Kode Outlet dan Target Toko'!$C:$C,MATCH($I2451,'Kode Outlet dan Target Toko'!$E:$E,0)),0)</f>
        <v>122506</v>
      </c>
      <c r="H2451" s="20">
        <f>IFERROR(INDEX('Kode Outlet dan Target Toko'!$D:$D,MATCH($I2451,'Kode Outlet dan Target Toko'!$E:$E,0)),0)</f>
        <v>214300</v>
      </c>
      <c r="I2451" s="42" t="s">
        <v>73</v>
      </c>
      <c r="J2451" s="56" t="s">
        <v>296</v>
      </c>
      <c r="K2451" s="40" t="s">
        <v>13</v>
      </c>
      <c r="L2451" s="26">
        <v>7000</v>
      </c>
      <c r="M2451" s="26">
        <v>16</v>
      </c>
      <c r="N2451" s="25">
        <f t="shared" si="77"/>
        <v>112000</v>
      </c>
      <c r="O2451" s="56"/>
    </row>
    <row r="2452" spans="1:15" hidden="1" x14ac:dyDescent="0.3">
      <c r="A2452" s="26">
        <v>30</v>
      </c>
      <c r="B2452" s="20" t="str">
        <f t="shared" si="76"/>
        <v>JUL</v>
      </c>
      <c r="C2452" s="21">
        <v>46227</v>
      </c>
      <c r="D2452" s="22" t="str">
        <f t="array" ref="D2452">IFERROR(INDEX('Kode Outlet dan Target Toko'!$A:$A,MATCH($I2452,'Kode Outlet dan Target Toko'!$E:$E,0)),"")</f>
        <v>GRSM 1</v>
      </c>
      <c r="E2452" s="20" t="str">
        <f>IFERROR(VLOOKUP(I2452,KET!$B:$F,4,0),"")</f>
        <v>AFNITA SARI</v>
      </c>
      <c r="F2452" s="20" t="str">
        <f>IFERROR(VLOOKUP(I2452,KET!$B:$F,5,0),"")</f>
        <v>MT</v>
      </c>
      <c r="G2452" s="20">
        <f>IFERROR(INDEX('Kode Outlet dan Target Toko'!$C:$C,MATCH($I2452,'Kode Outlet dan Target Toko'!$E:$E,0)),0)</f>
        <v>122506</v>
      </c>
      <c r="H2452" s="20">
        <f>IFERROR(INDEX('Kode Outlet dan Target Toko'!$D:$D,MATCH($I2452,'Kode Outlet dan Target Toko'!$E:$E,0)),0)</f>
        <v>214300</v>
      </c>
      <c r="I2452" s="42" t="s">
        <v>73</v>
      </c>
      <c r="J2452" s="56" t="s">
        <v>296</v>
      </c>
      <c r="K2452" s="40" t="s">
        <v>14</v>
      </c>
      <c r="L2452" s="26">
        <v>7000</v>
      </c>
      <c r="M2452" s="26">
        <v>22</v>
      </c>
      <c r="N2452" s="25">
        <f t="shared" si="77"/>
        <v>154000</v>
      </c>
      <c r="O2452" s="56"/>
    </row>
    <row r="2453" spans="1:15" hidden="1" x14ac:dyDescent="0.3">
      <c r="A2453" s="26">
        <v>30</v>
      </c>
      <c r="B2453" s="20" t="str">
        <f t="shared" si="76"/>
        <v>JUL</v>
      </c>
      <c r="C2453" s="21">
        <v>46227</v>
      </c>
      <c r="D2453" s="22" t="str">
        <f t="array" ref="D2453">IFERROR(INDEX('Kode Outlet dan Target Toko'!$A:$A,MATCH($I2453,'Kode Outlet dan Target Toko'!$E:$E,0)),"")</f>
        <v>GRSM 1</v>
      </c>
      <c r="E2453" s="20" t="str">
        <f>IFERROR(VLOOKUP(I2453,KET!$B:$F,4,0),"")</f>
        <v>AFNITA SARI</v>
      </c>
      <c r="F2453" s="20" t="str">
        <f>IFERROR(VLOOKUP(I2453,KET!$B:$F,5,0),"")</f>
        <v>MT</v>
      </c>
      <c r="G2453" s="20">
        <f>IFERROR(INDEX('Kode Outlet dan Target Toko'!$C:$C,MATCH($I2453,'Kode Outlet dan Target Toko'!$E:$E,0)),0)</f>
        <v>122506</v>
      </c>
      <c r="H2453" s="20">
        <f>IFERROR(INDEX('Kode Outlet dan Target Toko'!$D:$D,MATCH($I2453,'Kode Outlet dan Target Toko'!$E:$E,0)),0)</f>
        <v>214300</v>
      </c>
      <c r="I2453" s="42" t="s">
        <v>73</v>
      </c>
      <c r="J2453" s="56" t="s">
        <v>296</v>
      </c>
      <c r="K2453" s="40" t="s">
        <v>15</v>
      </c>
      <c r="L2453" s="26">
        <v>7000</v>
      </c>
      <c r="M2453" s="26">
        <v>17</v>
      </c>
      <c r="N2453" s="25">
        <f t="shared" si="77"/>
        <v>119000</v>
      </c>
      <c r="O2453" s="56"/>
    </row>
    <row r="2454" spans="1:15" hidden="1" x14ac:dyDescent="0.3">
      <c r="A2454" s="26">
        <v>30</v>
      </c>
      <c r="B2454" s="20" t="str">
        <f t="shared" si="76"/>
        <v>JUL</v>
      </c>
      <c r="C2454" s="21">
        <v>46227</v>
      </c>
      <c r="D2454" s="22" t="str">
        <f t="array" ref="D2454">IFERROR(INDEX('Kode Outlet dan Target Toko'!$A:$A,MATCH($I2454,'Kode Outlet dan Target Toko'!$E:$E,0)),"")</f>
        <v>GRSM 1</v>
      </c>
      <c r="E2454" s="20" t="str">
        <f>IFERROR(VLOOKUP(I2454,KET!$B:$F,4,0),"")</f>
        <v>AFNITA SARI</v>
      </c>
      <c r="F2454" s="20" t="str">
        <f>IFERROR(VLOOKUP(I2454,KET!$B:$F,5,0),"")</f>
        <v>MT</v>
      </c>
      <c r="G2454" s="20">
        <f>IFERROR(INDEX('Kode Outlet dan Target Toko'!$C:$C,MATCH($I2454,'Kode Outlet dan Target Toko'!$E:$E,0)),0)</f>
        <v>122506</v>
      </c>
      <c r="H2454" s="20">
        <f>IFERROR(INDEX('Kode Outlet dan Target Toko'!$D:$D,MATCH($I2454,'Kode Outlet dan Target Toko'!$E:$E,0)),0)</f>
        <v>214300</v>
      </c>
      <c r="I2454" s="42" t="s">
        <v>73</v>
      </c>
      <c r="J2454" s="56" t="s">
        <v>296</v>
      </c>
      <c r="K2454" s="40" t="s">
        <v>16</v>
      </c>
      <c r="L2454" s="26">
        <v>7000</v>
      </c>
      <c r="M2454" s="26">
        <v>50</v>
      </c>
      <c r="N2454" s="25">
        <f t="shared" si="77"/>
        <v>350000</v>
      </c>
      <c r="O2454" s="56">
        <v>160</v>
      </c>
    </row>
    <row r="2455" spans="1:15" hidden="1" x14ac:dyDescent="0.3">
      <c r="A2455" s="26">
        <v>30</v>
      </c>
      <c r="B2455" s="20" t="str">
        <f t="shared" si="76"/>
        <v>JUL</v>
      </c>
      <c r="C2455" s="21">
        <v>46228</v>
      </c>
      <c r="D2455" s="22" t="str">
        <f t="array" ref="D2455">IFERROR(INDEX('Kode Outlet dan Target Toko'!$A:$A,MATCH($I2455,'Kode Outlet dan Target Toko'!$E:$E,0)),"")</f>
        <v>GRSM 4</v>
      </c>
      <c r="E2455" s="20" t="str">
        <f>IFERROR(VLOOKUP(I2455,KET!$B:$F,4,0),"")</f>
        <v>FAHMI LUKMANUL HAKIM</v>
      </c>
      <c r="F2455" s="20" t="str">
        <f>IFERROR(VLOOKUP(I2455,KET!$B:$F,5,0),"")</f>
        <v>GMM</v>
      </c>
      <c r="G2455" s="20">
        <f>IFERROR(INDEX('Kode Outlet dan Target Toko'!$C:$C,MATCH($I2455,'Kode Outlet dan Target Toko'!$E:$E,0)),0)</f>
        <v>189901</v>
      </c>
      <c r="H2455" s="20">
        <f>IFERROR(INDEX('Kode Outlet dan Target Toko'!$D:$D,MATCH($I2455,'Kode Outlet dan Target Toko'!$E:$E,0)),0)</f>
        <v>1602016</v>
      </c>
      <c r="I2455" s="42" t="s">
        <v>35</v>
      </c>
      <c r="J2455" s="56" t="s">
        <v>172</v>
      </c>
      <c r="K2455" s="40" t="s">
        <v>13</v>
      </c>
      <c r="L2455" s="26">
        <v>3400</v>
      </c>
      <c r="M2455" s="26">
        <v>100</v>
      </c>
      <c r="N2455" s="25">
        <f t="shared" si="77"/>
        <v>340000</v>
      </c>
      <c r="O2455" s="56"/>
    </row>
    <row r="2456" spans="1:15" hidden="1" x14ac:dyDescent="0.3">
      <c r="A2456" s="26">
        <v>30</v>
      </c>
      <c r="B2456" s="20" t="str">
        <f t="shared" si="76"/>
        <v>JUL</v>
      </c>
      <c r="C2456" s="21">
        <v>46228</v>
      </c>
      <c r="D2456" s="22" t="str">
        <f t="array" ref="D2456">IFERROR(INDEX('Kode Outlet dan Target Toko'!$A:$A,MATCH($I2456,'Kode Outlet dan Target Toko'!$E:$E,0)),"")</f>
        <v>GRSM 4</v>
      </c>
      <c r="E2456" s="20" t="str">
        <f>IFERROR(VLOOKUP(I2456,KET!$B:$F,4,0),"")</f>
        <v>FAHMI LUKMANUL HAKIM</v>
      </c>
      <c r="F2456" s="20" t="str">
        <f>IFERROR(VLOOKUP(I2456,KET!$B:$F,5,0),"")</f>
        <v>GMM</v>
      </c>
      <c r="G2456" s="20">
        <f>IFERROR(INDEX('Kode Outlet dan Target Toko'!$C:$C,MATCH($I2456,'Kode Outlet dan Target Toko'!$E:$E,0)),0)</f>
        <v>189901</v>
      </c>
      <c r="H2456" s="20">
        <f>IFERROR(INDEX('Kode Outlet dan Target Toko'!$D:$D,MATCH($I2456,'Kode Outlet dan Target Toko'!$E:$E,0)),0)</f>
        <v>1602016</v>
      </c>
      <c r="I2456" s="42" t="s">
        <v>35</v>
      </c>
      <c r="J2456" s="56" t="s">
        <v>172</v>
      </c>
      <c r="K2456" s="40" t="s">
        <v>14</v>
      </c>
      <c r="L2456" s="26">
        <v>3400</v>
      </c>
      <c r="M2456" s="26">
        <v>110</v>
      </c>
      <c r="N2456" s="25">
        <f t="shared" si="77"/>
        <v>374000</v>
      </c>
      <c r="O2456" s="56"/>
    </row>
    <row r="2457" spans="1:15" hidden="1" x14ac:dyDescent="0.3">
      <c r="A2457" s="26">
        <v>30</v>
      </c>
      <c r="B2457" s="20" t="str">
        <f t="shared" si="76"/>
        <v>JUL</v>
      </c>
      <c r="C2457" s="21">
        <v>46228</v>
      </c>
      <c r="D2457" s="22" t="str">
        <f t="array" ref="D2457">IFERROR(INDEX('Kode Outlet dan Target Toko'!$A:$A,MATCH($I2457,'Kode Outlet dan Target Toko'!$E:$E,0)),"")</f>
        <v>GRSM 4</v>
      </c>
      <c r="E2457" s="20" t="str">
        <f>IFERROR(VLOOKUP(I2457,KET!$B:$F,4,0),"")</f>
        <v>FAHMI LUKMANUL HAKIM</v>
      </c>
      <c r="F2457" s="20" t="str">
        <f>IFERROR(VLOOKUP(I2457,KET!$B:$F,5,0),"")</f>
        <v>GMM</v>
      </c>
      <c r="G2457" s="20">
        <f>IFERROR(INDEX('Kode Outlet dan Target Toko'!$C:$C,MATCH($I2457,'Kode Outlet dan Target Toko'!$E:$E,0)),0)</f>
        <v>189901</v>
      </c>
      <c r="H2457" s="20">
        <f>IFERROR(INDEX('Kode Outlet dan Target Toko'!$D:$D,MATCH($I2457,'Kode Outlet dan Target Toko'!$E:$E,0)),0)</f>
        <v>1602016</v>
      </c>
      <c r="I2457" s="42" t="s">
        <v>35</v>
      </c>
      <c r="J2457" s="56" t="s">
        <v>172</v>
      </c>
      <c r="K2457" s="40" t="s">
        <v>15</v>
      </c>
      <c r="L2457" s="26">
        <v>3400</v>
      </c>
      <c r="M2457" s="26">
        <v>110</v>
      </c>
      <c r="N2457" s="25">
        <f t="shared" si="77"/>
        <v>374000</v>
      </c>
      <c r="O2457" s="56"/>
    </row>
    <row r="2458" spans="1:15" hidden="1" x14ac:dyDescent="0.3">
      <c r="A2458" s="26">
        <v>30</v>
      </c>
      <c r="B2458" s="20" t="str">
        <f t="shared" si="76"/>
        <v>JUL</v>
      </c>
      <c r="C2458" s="21">
        <v>46228</v>
      </c>
      <c r="D2458" s="22" t="str">
        <f t="array" ref="D2458">IFERROR(INDEX('Kode Outlet dan Target Toko'!$A:$A,MATCH($I2458,'Kode Outlet dan Target Toko'!$E:$E,0)),"")</f>
        <v>GRSM 4</v>
      </c>
      <c r="E2458" s="20" t="str">
        <f>IFERROR(VLOOKUP(I2458,KET!$B:$F,4,0),"")</f>
        <v>FAHMI LUKMANUL HAKIM</v>
      </c>
      <c r="F2458" s="20" t="str">
        <f>IFERROR(VLOOKUP(I2458,KET!$B:$F,5,0),"")</f>
        <v>GMM</v>
      </c>
      <c r="G2458" s="20">
        <f>IFERROR(INDEX('Kode Outlet dan Target Toko'!$C:$C,MATCH($I2458,'Kode Outlet dan Target Toko'!$E:$E,0)),0)</f>
        <v>189901</v>
      </c>
      <c r="H2458" s="20">
        <f>IFERROR(INDEX('Kode Outlet dan Target Toko'!$D:$D,MATCH($I2458,'Kode Outlet dan Target Toko'!$E:$E,0)),0)</f>
        <v>1602016</v>
      </c>
      <c r="I2458" s="42" t="s">
        <v>35</v>
      </c>
      <c r="J2458" s="56" t="s">
        <v>172</v>
      </c>
      <c r="K2458" s="40" t="s">
        <v>16</v>
      </c>
      <c r="L2458" s="26">
        <v>3400</v>
      </c>
      <c r="M2458" s="26">
        <v>140</v>
      </c>
      <c r="N2458" s="25">
        <f t="shared" si="77"/>
        <v>476000</v>
      </c>
      <c r="O2458" s="56">
        <v>80</v>
      </c>
    </row>
    <row r="2459" spans="1:15" hidden="1" x14ac:dyDescent="0.3">
      <c r="A2459" s="26">
        <v>30</v>
      </c>
      <c r="B2459" s="20" t="str">
        <f t="shared" si="76"/>
        <v>JUL</v>
      </c>
      <c r="C2459" s="21">
        <v>46228</v>
      </c>
      <c r="D2459" s="22" t="str">
        <f t="array" ref="D2459">IFERROR(INDEX('Kode Outlet dan Target Toko'!$A:$A,MATCH($I2459,'Kode Outlet dan Target Toko'!$E:$E,0)),"")</f>
        <v>GRSM 4</v>
      </c>
      <c r="E2459" s="20" t="str">
        <f>IFERROR(VLOOKUP(I2459,KET!$B:$F,4,0),"")</f>
        <v>FAHMI LUKMANUL HAKIM</v>
      </c>
      <c r="F2459" s="20" t="str">
        <f>IFERROR(VLOOKUP(I2459,KET!$B:$F,5,0),"")</f>
        <v>GMM</v>
      </c>
      <c r="G2459" s="20">
        <f>IFERROR(INDEX('Kode Outlet dan Target Toko'!$C:$C,MATCH($I2459,'Kode Outlet dan Target Toko'!$E:$E,0)),0)</f>
        <v>189901</v>
      </c>
      <c r="H2459" s="20">
        <f>IFERROR(INDEX('Kode Outlet dan Target Toko'!$D:$D,MATCH($I2459,'Kode Outlet dan Target Toko'!$E:$E,0)),0)</f>
        <v>1602016</v>
      </c>
      <c r="I2459" s="42" t="s">
        <v>35</v>
      </c>
      <c r="J2459" s="56" t="s">
        <v>173</v>
      </c>
      <c r="K2459" s="40" t="s">
        <v>13</v>
      </c>
      <c r="L2459" s="26">
        <v>3400</v>
      </c>
      <c r="M2459" s="26">
        <v>100</v>
      </c>
      <c r="N2459" s="25">
        <f t="shared" si="77"/>
        <v>340000</v>
      </c>
      <c r="O2459" s="56"/>
    </row>
    <row r="2460" spans="1:15" hidden="1" x14ac:dyDescent="0.3">
      <c r="A2460" s="26">
        <v>30</v>
      </c>
      <c r="B2460" s="20" t="str">
        <f t="shared" si="76"/>
        <v>JUL</v>
      </c>
      <c r="C2460" s="21">
        <v>46228</v>
      </c>
      <c r="D2460" s="22" t="str">
        <f t="array" ref="D2460">IFERROR(INDEX('Kode Outlet dan Target Toko'!$A:$A,MATCH($I2460,'Kode Outlet dan Target Toko'!$E:$E,0)),"")</f>
        <v>GRSM 4</v>
      </c>
      <c r="E2460" s="20" t="str">
        <f>IFERROR(VLOOKUP(I2460,KET!$B:$F,4,0),"")</f>
        <v>FAHMI LUKMANUL HAKIM</v>
      </c>
      <c r="F2460" s="20" t="str">
        <f>IFERROR(VLOOKUP(I2460,KET!$B:$F,5,0),"")</f>
        <v>GMM</v>
      </c>
      <c r="G2460" s="20">
        <f>IFERROR(INDEX('Kode Outlet dan Target Toko'!$C:$C,MATCH($I2460,'Kode Outlet dan Target Toko'!$E:$E,0)),0)</f>
        <v>189901</v>
      </c>
      <c r="H2460" s="20">
        <f>IFERROR(INDEX('Kode Outlet dan Target Toko'!$D:$D,MATCH($I2460,'Kode Outlet dan Target Toko'!$E:$E,0)),0)</f>
        <v>1602016</v>
      </c>
      <c r="I2460" s="42" t="s">
        <v>35</v>
      </c>
      <c r="J2460" s="56" t="s">
        <v>173</v>
      </c>
      <c r="K2460" s="40" t="s">
        <v>14</v>
      </c>
      <c r="L2460" s="26">
        <v>3400</v>
      </c>
      <c r="M2460" s="26">
        <v>120</v>
      </c>
      <c r="N2460" s="25">
        <f t="shared" si="77"/>
        <v>408000</v>
      </c>
      <c r="O2460" s="56"/>
    </row>
    <row r="2461" spans="1:15" hidden="1" x14ac:dyDescent="0.3">
      <c r="A2461" s="26">
        <v>30</v>
      </c>
      <c r="B2461" s="20" t="str">
        <f t="shared" si="76"/>
        <v>JUL</v>
      </c>
      <c r="C2461" s="21">
        <v>46228</v>
      </c>
      <c r="D2461" s="22" t="str">
        <f t="array" ref="D2461">IFERROR(INDEX('Kode Outlet dan Target Toko'!$A:$A,MATCH($I2461,'Kode Outlet dan Target Toko'!$E:$E,0)),"")</f>
        <v>GRSM 4</v>
      </c>
      <c r="E2461" s="20" t="str">
        <f>IFERROR(VLOOKUP(I2461,KET!$B:$F,4,0),"")</f>
        <v>FAHMI LUKMANUL HAKIM</v>
      </c>
      <c r="F2461" s="20" t="str">
        <f>IFERROR(VLOOKUP(I2461,KET!$B:$F,5,0),"")</f>
        <v>GMM</v>
      </c>
      <c r="G2461" s="20">
        <f>IFERROR(INDEX('Kode Outlet dan Target Toko'!$C:$C,MATCH($I2461,'Kode Outlet dan Target Toko'!$E:$E,0)),0)</f>
        <v>189901</v>
      </c>
      <c r="H2461" s="20">
        <f>IFERROR(INDEX('Kode Outlet dan Target Toko'!$D:$D,MATCH($I2461,'Kode Outlet dan Target Toko'!$E:$E,0)),0)</f>
        <v>1602016</v>
      </c>
      <c r="I2461" s="42" t="s">
        <v>35</v>
      </c>
      <c r="J2461" s="56" t="s">
        <v>173</v>
      </c>
      <c r="K2461" s="40" t="s">
        <v>15</v>
      </c>
      <c r="L2461" s="26">
        <v>3400</v>
      </c>
      <c r="M2461" s="26">
        <v>110</v>
      </c>
      <c r="N2461" s="25">
        <f t="shared" si="77"/>
        <v>374000</v>
      </c>
      <c r="O2461" s="56"/>
    </row>
    <row r="2462" spans="1:15" hidden="1" x14ac:dyDescent="0.3">
      <c r="A2462" s="26">
        <v>30</v>
      </c>
      <c r="B2462" s="20" t="str">
        <f t="shared" si="76"/>
        <v>JUL</v>
      </c>
      <c r="C2462" s="21">
        <v>46228</v>
      </c>
      <c r="D2462" s="22" t="str">
        <f t="array" ref="D2462">IFERROR(INDEX('Kode Outlet dan Target Toko'!$A:$A,MATCH($I2462,'Kode Outlet dan Target Toko'!$E:$E,0)),"")</f>
        <v>GRSM 4</v>
      </c>
      <c r="E2462" s="20" t="str">
        <f>IFERROR(VLOOKUP(I2462,KET!$B:$F,4,0),"")</f>
        <v>FAHMI LUKMANUL HAKIM</v>
      </c>
      <c r="F2462" s="20" t="str">
        <f>IFERROR(VLOOKUP(I2462,KET!$B:$F,5,0),"")</f>
        <v>GMM</v>
      </c>
      <c r="G2462" s="20">
        <f>IFERROR(INDEX('Kode Outlet dan Target Toko'!$C:$C,MATCH($I2462,'Kode Outlet dan Target Toko'!$E:$E,0)),0)</f>
        <v>189901</v>
      </c>
      <c r="H2462" s="20">
        <f>IFERROR(INDEX('Kode Outlet dan Target Toko'!$D:$D,MATCH($I2462,'Kode Outlet dan Target Toko'!$E:$E,0)),0)</f>
        <v>1602016</v>
      </c>
      <c r="I2462" s="42" t="s">
        <v>35</v>
      </c>
      <c r="J2462" s="56" t="s">
        <v>173</v>
      </c>
      <c r="K2462" s="40" t="s">
        <v>16</v>
      </c>
      <c r="L2462" s="26">
        <v>3400</v>
      </c>
      <c r="M2462" s="26">
        <v>140</v>
      </c>
      <c r="N2462" s="25">
        <f t="shared" si="77"/>
        <v>476000</v>
      </c>
      <c r="O2462" s="56">
        <v>80</v>
      </c>
    </row>
    <row r="2463" spans="1:15" hidden="1" x14ac:dyDescent="0.3">
      <c r="A2463" s="26">
        <v>30</v>
      </c>
      <c r="B2463" s="20" t="str">
        <f t="shared" si="76"/>
        <v>JUL</v>
      </c>
      <c r="C2463" s="21">
        <v>46229</v>
      </c>
      <c r="D2463" s="22" t="str">
        <f t="array" ref="D2463">IFERROR(INDEX('Kode Outlet dan Target Toko'!$A:$A,MATCH($I2463,'Kode Outlet dan Target Toko'!$E:$E,0)),"")</f>
        <v>GRSM 1</v>
      </c>
      <c r="E2463" s="20" t="str">
        <f>IFERROR(VLOOKUP(I2463,KET!$B:$F,4,0),"")</f>
        <v>AFNITA SARI</v>
      </c>
      <c r="F2463" s="20" t="str">
        <f>IFERROR(VLOOKUP(I2463,KET!$B:$F,5,0),"")</f>
        <v>MT</v>
      </c>
      <c r="G2463" s="20">
        <f>IFERROR(INDEX('Kode Outlet dan Target Toko'!$C:$C,MATCH($I2463,'Kode Outlet dan Target Toko'!$E:$E,0)),0)</f>
        <v>122506</v>
      </c>
      <c r="H2463" s="20">
        <f>IFERROR(INDEX('Kode Outlet dan Target Toko'!$D:$D,MATCH($I2463,'Kode Outlet dan Target Toko'!$E:$E,0)),0)</f>
        <v>214300</v>
      </c>
      <c r="I2463" s="42" t="s">
        <v>73</v>
      </c>
      <c r="J2463" s="56" t="s">
        <v>291</v>
      </c>
      <c r="K2463" s="40" t="s">
        <v>13</v>
      </c>
      <c r="L2463" s="26">
        <v>7000</v>
      </c>
      <c r="M2463" s="26">
        <v>35</v>
      </c>
      <c r="N2463" s="25">
        <f t="shared" si="77"/>
        <v>245000</v>
      </c>
      <c r="O2463" s="56"/>
    </row>
    <row r="2464" spans="1:15" hidden="1" x14ac:dyDescent="0.3">
      <c r="A2464" s="26">
        <v>30</v>
      </c>
      <c r="B2464" s="20" t="str">
        <f t="shared" si="76"/>
        <v>JUL</v>
      </c>
      <c r="C2464" s="21">
        <v>46229</v>
      </c>
      <c r="D2464" s="22" t="str">
        <f t="array" ref="D2464">IFERROR(INDEX('Kode Outlet dan Target Toko'!$A:$A,MATCH($I2464,'Kode Outlet dan Target Toko'!$E:$E,0)),"")</f>
        <v>GRSM 1</v>
      </c>
      <c r="E2464" s="20" t="str">
        <f>IFERROR(VLOOKUP(I2464,KET!$B:$F,4,0),"")</f>
        <v>AFNITA SARI</v>
      </c>
      <c r="F2464" s="20" t="str">
        <f>IFERROR(VLOOKUP(I2464,KET!$B:$F,5,0),"")</f>
        <v>MT</v>
      </c>
      <c r="G2464" s="20">
        <f>IFERROR(INDEX('Kode Outlet dan Target Toko'!$C:$C,MATCH($I2464,'Kode Outlet dan Target Toko'!$E:$E,0)),0)</f>
        <v>122506</v>
      </c>
      <c r="H2464" s="20">
        <f>IFERROR(INDEX('Kode Outlet dan Target Toko'!$D:$D,MATCH($I2464,'Kode Outlet dan Target Toko'!$E:$E,0)),0)</f>
        <v>214300</v>
      </c>
      <c r="I2464" s="42" t="s">
        <v>73</v>
      </c>
      <c r="J2464" s="56" t="s">
        <v>291</v>
      </c>
      <c r="K2464" s="40" t="s">
        <v>14</v>
      </c>
      <c r="L2464" s="26">
        <v>7000</v>
      </c>
      <c r="M2464" s="26">
        <v>55</v>
      </c>
      <c r="N2464" s="25">
        <f t="shared" si="77"/>
        <v>385000</v>
      </c>
      <c r="O2464" s="56"/>
    </row>
    <row r="2465" spans="1:15" hidden="1" x14ac:dyDescent="0.3">
      <c r="A2465" s="26">
        <v>30</v>
      </c>
      <c r="B2465" s="20" t="str">
        <f t="shared" si="76"/>
        <v>JUL</v>
      </c>
      <c r="C2465" s="21">
        <v>46229</v>
      </c>
      <c r="D2465" s="22" t="str">
        <f t="array" ref="D2465">IFERROR(INDEX('Kode Outlet dan Target Toko'!$A:$A,MATCH($I2465,'Kode Outlet dan Target Toko'!$E:$E,0)),"")</f>
        <v>GRSM 1</v>
      </c>
      <c r="E2465" s="20" t="str">
        <f>IFERROR(VLOOKUP(I2465,KET!$B:$F,4,0),"")</f>
        <v>AFNITA SARI</v>
      </c>
      <c r="F2465" s="20" t="str">
        <f>IFERROR(VLOOKUP(I2465,KET!$B:$F,5,0),"")</f>
        <v>MT</v>
      </c>
      <c r="G2465" s="20">
        <f>IFERROR(INDEX('Kode Outlet dan Target Toko'!$C:$C,MATCH($I2465,'Kode Outlet dan Target Toko'!$E:$E,0)),0)</f>
        <v>122506</v>
      </c>
      <c r="H2465" s="20">
        <f>IFERROR(INDEX('Kode Outlet dan Target Toko'!$D:$D,MATCH($I2465,'Kode Outlet dan Target Toko'!$E:$E,0)),0)</f>
        <v>214300</v>
      </c>
      <c r="I2465" s="42" t="s">
        <v>73</v>
      </c>
      <c r="J2465" s="56" t="s">
        <v>291</v>
      </c>
      <c r="K2465" s="40" t="s">
        <v>15</v>
      </c>
      <c r="L2465" s="26">
        <v>7000</v>
      </c>
      <c r="M2465" s="26">
        <v>35</v>
      </c>
      <c r="N2465" s="25">
        <f t="shared" si="77"/>
        <v>245000</v>
      </c>
      <c r="O2465" s="56"/>
    </row>
    <row r="2466" spans="1:15" hidden="1" x14ac:dyDescent="0.3">
      <c r="A2466" s="26">
        <v>30</v>
      </c>
      <c r="B2466" s="20" t="str">
        <f t="shared" si="76"/>
        <v>JUL</v>
      </c>
      <c r="C2466" s="21">
        <v>46229</v>
      </c>
      <c r="D2466" s="22" t="str">
        <f t="array" ref="D2466">IFERROR(INDEX('Kode Outlet dan Target Toko'!$A:$A,MATCH($I2466,'Kode Outlet dan Target Toko'!$E:$E,0)),"")</f>
        <v>GRSM 1</v>
      </c>
      <c r="E2466" s="20" t="str">
        <f>IFERROR(VLOOKUP(I2466,KET!$B:$F,4,0),"")</f>
        <v>AFNITA SARI</v>
      </c>
      <c r="F2466" s="20" t="str">
        <f>IFERROR(VLOOKUP(I2466,KET!$B:$F,5,0),"")</f>
        <v>MT</v>
      </c>
      <c r="G2466" s="20">
        <f>IFERROR(INDEX('Kode Outlet dan Target Toko'!$C:$C,MATCH($I2466,'Kode Outlet dan Target Toko'!$E:$E,0)),0)</f>
        <v>122506</v>
      </c>
      <c r="H2466" s="20">
        <f>IFERROR(INDEX('Kode Outlet dan Target Toko'!$D:$D,MATCH($I2466,'Kode Outlet dan Target Toko'!$E:$E,0)),0)</f>
        <v>214300</v>
      </c>
      <c r="I2466" s="42" t="s">
        <v>73</v>
      </c>
      <c r="J2466" s="56" t="s">
        <v>291</v>
      </c>
      <c r="K2466" s="40" t="s">
        <v>16</v>
      </c>
      <c r="L2466" s="26">
        <v>7000</v>
      </c>
      <c r="M2466" s="26">
        <v>86</v>
      </c>
      <c r="N2466" s="25">
        <f t="shared" si="77"/>
        <v>602000</v>
      </c>
      <c r="O2466" s="56">
        <v>160</v>
      </c>
    </row>
    <row r="2467" spans="1:15" hidden="1" x14ac:dyDescent="0.3">
      <c r="A2467" s="26">
        <v>30</v>
      </c>
      <c r="B2467" s="20" t="str">
        <f t="shared" si="76"/>
        <v>JUL</v>
      </c>
      <c r="C2467" s="21">
        <v>46229</v>
      </c>
      <c r="D2467" s="22" t="str">
        <f t="array" ref="D2467">IFERROR(INDEX('Kode Outlet dan Target Toko'!$A:$A,MATCH($I2467,'Kode Outlet dan Target Toko'!$E:$E,0)),"")</f>
        <v>GRSM 1</v>
      </c>
      <c r="E2467" s="20" t="str">
        <f>IFERROR(VLOOKUP(I2467,KET!$B:$F,4,0),"")</f>
        <v>AFNITA SARI</v>
      </c>
      <c r="F2467" s="20" t="str">
        <f>IFERROR(VLOOKUP(I2467,KET!$B:$F,5,0),"")</f>
        <v>MT</v>
      </c>
      <c r="G2467" s="20">
        <f>IFERROR(INDEX('Kode Outlet dan Target Toko'!$C:$C,MATCH($I2467,'Kode Outlet dan Target Toko'!$E:$E,0)),0)</f>
        <v>122506</v>
      </c>
      <c r="H2467" s="20">
        <f>IFERROR(INDEX('Kode Outlet dan Target Toko'!$D:$D,MATCH($I2467,'Kode Outlet dan Target Toko'!$E:$E,0)),0)</f>
        <v>214300</v>
      </c>
      <c r="I2467" s="42" t="s">
        <v>73</v>
      </c>
      <c r="J2467" s="56" t="s">
        <v>292</v>
      </c>
      <c r="K2467" s="40" t="s">
        <v>13</v>
      </c>
      <c r="L2467" s="26">
        <v>7000</v>
      </c>
      <c r="M2467" s="26">
        <v>35</v>
      </c>
      <c r="N2467" s="25">
        <f t="shared" si="77"/>
        <v>245000</v>
      </c>
      <c r="O2467" s="56"/>
    </row>
    <row r="2468" spans="1:15" hidden="1" x14ac:dyDescent="0.3">
      <c r="A2468" s="26">
        <v>30</v>
      </c>
      <c r="B2468" s="20" t="str">
        <f t="shared" si="76"/>
        <v>JUL</v>
      </c>
      <c r="C2468" s="21">
        <v>46229</v>
      </c>
      <c r="D2468" s="22" t="str">
        <f t="array" ref="D2468">IFERROR(INDEX('Kode Outlet dan Target Toko'!$A:$A,MATCH($I2468,'Kode Outlet dan Target Toko'!$E:$E,0)),"")</f>
        <v>GRSM 1</v>
      </c>
      <c r="E2468" s="20" t="str">
        <f>IFERROR(VLOOKUP(I2468,KET!$B:$F,4,0),"")</f>
        <v>AFNITA SARI</v>
      </c>
      <c r="F2468" s="20" t="str">
        <f>IFERROR(VLOOKUP(I2468,KET!$B:$F,5,0),"")</f>
        <v>MT</v>
      </c>
      <c r="G2468" s="20">
        <f>IFERROR(INDEX('Kode Outlet dan Target Toko'!$C:$C,MATCH($I2468,'Kode Outlet dan Target Toko'!$E:$E,0)),0)</f>
        <v>122506</v>
      </c>
      <c r="H2468" s="20">
        <f>IFERROR(INDEX('Kode Outlet dan Target Toko'!$D:$D,MATCH($I2468,'Kode Outlet dan Target Toko'!$E:$E,0)),0)</f>
        <v>214300</v>
      </c>
      <c r="I2468" s="42" t="s">
        <v>73</v>
      </c>
      <c r="J2468" s="56" t="s">
        <v>292</v>
      </c>
      <c r="K2468" s="40" t="s">
        <v>14</v>
      </c>
      <c r="L2468" s="26">
        <v>7000</v>
      </c>
      <c r="M2468" s="26">
        <v>55</v>
      </c>
      <c r="N2468" s="25">
        <f t="shared" si="77"/>
        <v>385000</v>
      </c>
      <c r="O2468" s="56"/>
    </row>
    <row r="2469" spans="1:15" hidden="1" x14ac:dyDescent="0.3">
      <c r="A2469" s="26">
        <v>30</v>
      </c>
      <c r="B2469" s="20" t="str">
        <f t="shared" si="76"/>
        <v>JUL</v>
      </c>
      <c r="C2469" s="21">
        <v>46229</v>
      </c>
      <c r="D2469" s="22" t="str">
        <f t="array" ref="D2469">IFERROR(INDEX('Kode Outlet dan Target Toko'!$A:$A,MATCH($I2469,'Kode Outlet dan Target Toko'!$E:$E,0)),"")</f>
        <v>GRSM 1</v>
      </c>
      <c r="E2469" s="20" t="str">
        <f>IFERROR(VLOOKUP(I2469,KET!$B:$F,4,0),"")</f>
        <v>AFNITA SARI</v>
      </c>
      <c r="F2469" s="20" t="str">
        <f>IFERROR(VLOOKUP(I2469,KET!$B:$F,5,0),"")</f>
        <v>MT</v>
      </c>
      <c r="G2469" s="20">
        <f>IFERROR(INDEX('Kode Outlet dan Target Toko'!$C:$C,MATCH($I2469,'Kode Outlet dan Target Toko'!$E:$E,0)),0)</f>
        <v>122506</v>
      </c>
      <c r="H2469" s="20">
        <f>IFERROR(INDEX('Kode Outlet dan Target Toko'!$D:$D,MATCH($I2469,'Kode Outlet dan Target Toko'!$E:$E,0)),0)</f>
        <v>214300</v>
      </c>
      <c r="I2469" s="42" t="s">
        <v>73</v>
      </c>
      <c r="J2469" s="56" t="s">
        <v>292</v>
      </c>
      <c r="K2469" s="40" t="s">
        <v>15</v>
      </c>
      <c r="L2469" s="26">
        <v>7000</v>
      </c>
      <c r="M2469" s="26">
        <v>35</v>
      </c>
      <c r="N2469" s="25">
        <f t="shared" si="77"/>
        <v>245000</v>
      </c>
      <c r="O2469" s="56"/>
    </row>
    <row r="2470" spans="1:15" hidden="1" x14ac:dyDescent="0.3">
      <c r="A2470" s="26">
        <v>30</v>
      </c>
      <c r="B2470" s="20" t="str">
        <f t="shared" si="76"/>
        <v>JUL</v>
      </c>
      <c r="C2470" s="21">
        <v>46229</v>
      </c>
      <c r="D2470" s="22" t="str">
        <f t="array" ref="D2470">IFERROR(INDEX('Kode Outlet dan Target Toko'!$A:$A,MATCH($I2470,'Kode Outlet dan Target Toko'!$E:$E,0)),"")</f>
        <v>GRSM 1</v>
      </c>
      <c r="E2470" s="20" t="str">
        <f>IFERROR(VLOOKUP(I2470,KET!$B:$F,4,0),"")</f>
        <v>AFNITA SARI</v>
      </c>
      <c r="F2470" s="20" t="str">
        <f>IFERROR(VLOOKUP(I2470,KET!$B:$F,5,0),"")</f>
        <v>MT</v>
      </c>
      <c r="G2470" s="20">
        <f>IFERROR(INDEX('Kode Outlet dan Target Toko'!$C:$C,MATCH($I2470,'Kode Outlet dan Target Toko'!$E:$E,0)),0)</f>
        <v>122506</v>
      </c>
      <c r="H2470" s="20">
        <f>IFERROR(INDEX('Kode Outlet dan Target Toko'!$D:$D,MATCH($I2470,'Kode Outlet dan Target Toko'!$E:$E,0)),0)</f>
        <v>214300</v>
      </c>
      <c r="I2470" s="42" t="s">
        <v>73</v>
      </c>
      <c r="J2470" s="56" t="s">
        <v>292</v>
      </c>
      <c r="K2470" s="40" t="s">
        <v>16</v>
      </c>
      <c r="L2470" s="26">
        <v>7000</v>
      </c>
      <c r="M2470" s="26">
        <v>86</v>
      </c>
      <c r="N2470" s="25">
        <f t="shared" si="77"/>
        <v>602000</v>
      </c>
      <c r="O2470" s="56">
        <v>160</v>
      </c>
    </row>
    <row r="2471" spans="1:15" hidden="1" x14ac:dyDescent="0.3">
      <c r="A2471" s="26">
        <v>30</v>
      </c>
      <c r="B2471" s="20" t="str">
        <f t="shared" si="76"/>
        <v>JUL</v>
      </c>
      <c r="C2471" s="21">
        <v>46227</v>
      </c>
      <c r="D2471" s="22" t="str">
        <f t="array" ref="D2471">IFERROR(INDEX('Kode Outlet dan Target Toko'!$A:$A,MATCH($I2471,'Kode Outlet dan Target Toko'!$E:$E,0)),"")</f>
        <v>GRSM 6</v>
      </c>
      <c r="E2471" s="20" t="str">
        <f>IFERROR(VLOOKUP(I2471,KET!$B:$F,4,0),"")</f>
        <v>WINDA</v>
      </c>
      <c r="F2471" s="20" t="str">
        <f>IFERROR(VLOOKUP(I2471,KET!$B:$F,5,0),"")</f>
        <v>GMM</v>
      </c>
      <c r="G2471" s="20">
        <f>IFERROR(INDEX('Kode Outlet dan Target Toko'!$C:$C,MATCH($I2471,'Kode Outlet dan Target Toko'!$E:$E,0)),0)</f>
        <v>103765</v>
      </c>
      <c r="H2471" s="20">
        <f>IFERROR(INDEX('Kode Outlet dan Target Toko'!$D:$D,MATCH($I2471,'Kode Outlet dan Target Toko'!$E:$E,0)),0)</f>
        <v>4305267</v>
      </c>
      <c r="I2471" s="42" t="s">
        <v>54</v>
      </c>
      <c r="J2471" s="56" t="s">
        <v>277</v>
      </c>
      <c r="K2471" s="40" t="s">
        <v>13</v>
      </c>
      <c r="L2471" s="26">
        <v>3000</v>
      </c>
      <c r="M2471" s="26">
        <v>52</v>
      </c>
      <c r="N2471" s="25">
        <f t="shared" si="77"/>
        <v>156000</v>
      </c>
      <c r="O2471" s="56"/>
    </row>
    <row r="2472" spans="1:15" hidden="1" x14ac:dyDescent="0.3">
      <c r="A2472" s="26">
        <v>30</v>
      </c>
      <c r="B2472" s="20" t="str">
        <f t="shared" si="76"/>
        <v>JUL</v>
      </c>
      <c r="C2472" s="21">
        <v>46227</v>
      </c>
      <c r="D2472" s="22" t="str">
        <f t="array" ref="D2472">IFERROR(INDEX('Kode Outlet dan Target Toko'!$A:$A,MATCH($I2472,'Kode Outlet dan Target Toko'!$E:$E,0)),"")</f>
        <v>GRSM 6</v>
      </c>
      <c r="E2472" s="20" t="str">
        <f>IFERROR(VLOOKUP(I2472,KET!$B:$F,4,0),"")</f>
        <v>WINDA</v>
      </c>
      <c r="F2472" s="20" t="str">
        <f>IFERROR(VLOOKUP(I2472,KET!$B:$F,5,0),"")</f>
        <v>GMM</v>
      </c>
      <c r="G2472" s="20">
        <f>IFERROR(INDEX('Kode Outlet dan Target Toko'!$C:$C,MATCH($I2472,'Kode Outlet dan Target Toko'!$E:$E,0)),0)</f>
        <v>103765</v>
      </c>
      <c r="H2472" s="20">
        <f>IFERROR(INDEX('Kode Outlet dan Target Toko'!$D:$D,MATCH($I2472,'Kode Outlet dan Target Toko'!$E:$E,0)),0)</f>
        <v>4305267</v>
      </c>
      <c r="I2472" s="42" t="s">
        <v>54</v>
      </c>
      <c r="J2472" s="56" t="s">
        <v>277</v>
      </c>
      <c r="K2472" s="40" t="s">
        <v>14</v>
      </c>
      <c r="L2472" s="26">
        <v>3000</v>
      </c>
      <c r="M2472" s="26">
        <v>170</v>
      </c>
      <c r="N2472" s="25">
        <f t="shared" si="77"/>
        <v>510000</v>
      </c>
      <c r="O2472" s="56"/>
    </row>
    <row r="2473" spans="1:15" hidden="1" x14ac:dyDescent="0.3">
      <c r="A2473" s="26">
        <v>30</v>
      </c>
      <c r="B2473" s="20" t="str">
        <f t="shared" si="76"/>
        <v>JUL</v>
      </c>
      <c r="C2473" s="21">
        <v>46227</v>
      </c>
      <c r="D2473" s="22" t="str">
        <f t="array" ref="D2473">IFERROR(INDEX('Kode Outlet dan Target Toko'!$A:$A,MATCH($I2473,'Kode Outlet dan Target Toko'!$E:$E,0)),"")</f>
        <v>GRSM 6</v>
      </c>
      <c r="E2473" s="20" t="str">
        <f>IFERROR(VLOOKUP(I2473,KET!$B:$F,4,0),"")</f>
        <v>WINDA</v>
      </c>
      <c r="F2473" s="20" t="str">
        <f>IFERROR(VLOOKUP(I2473,KET!$B:$F,5,0),"")</f>
        <v>GMM</v>
      </c>
      <c r="G2473" s="20">
        <f>IFERROR(INDEX('Kode Outlet dan Target Toko'!$C:$C,MATCH($I2473,'Kode Outlet dan Target Toko'!$E:$E,0)),0)</f>
        <v>103765</v>
      </c>
      <c r="H2473" s="20">
        <f>IFERROR(INDEX('Kode Outlet dan Target Toko'!$D:$D,MATCH($I2473,'Kode Outlet dan Target Toko'!$E:$E,0)),0)</f>
        <v>4305267</v>
      </c>
      <c r="I2473" s="42" t="s">
        <v>54</v>
      </c>
      <c r="J2473" s="56" t="s">
        <v>277</v>
      </c>
      <c r="K2473" s="40" t="s">
        <v>15</v>
      </c>
      <c r="L2473" s="26">
        <v>3000</v>
      </c>
      <c r="M2473" s="26">
        <v>120</v>
      </c>
      <c r="N2473" s="25">
        <f t="shared" si="77"/>
        <v>360000</v>
      </c>
      <c r="O2473" s="56"/>
    </row>
    <row r="2474" spans="1:15" hidden="1" x14ac:dyDescent="0.3">
      <c r="A2474" s="26">
        <v>30</v>
      </c>
      <c r="B2474" s="20" t="str">
        <f t="shared" si="76"/>
        <v>JUL</v>
      </c>
      <c r="C2474" s="21">
        <v>46227</v>
      </c>
      <c r="D2474" s="22" t="str">
        <f t="array" ref="D2474">IFERROR(INDEX('Kode Outlet dan Target Toko'!$A:$A,MATCH($I2474,'Kode Outlet dan Target Toko'!$E:$E,0)),"")</f>
        <v>GRSM 6</v>
      </c>
      <c r="E2474" s="20" t="str">
        <f>IFERROR(VLOOKUP(I2474,KET!$B:$F,4,0),"")</f>
        <v>WINDA</v>
      </c>
      <c r="F2474" s="20" t="str">
        <f>IFERROR(VLOOKUP(I2474,KET!$B:$F,5,0),"")</f>
        <v>GMM</v>
      </c>
      <c r="G2474" s="20">
        <f>IFERROR(INDEX('Kode Outlet dan Target Toko'!$C:$C,MATCH($I2474,'Kode Outlet dan Target Toko'!$E:$E,0)),0)</f>
        <v>103765</v>
      </c>
      <c r="H2474" s="20">
        <f>IFERROR(INDEX('Kode Outlet dan Target Toko'!$D:$D,MATCH($I2474,'Kode Outlet dan Target Toko'!$E:$E,0)),0)</f>
        <v>4305267</v>
      </c>
      <c r="I2474" s="42" t="s">
        <v>54</v>
      </c>
      <c r="J2474" s="56" t="s">
        <v>277</v>
      </c>
      <c r="K2474" s="40" t="s">
        <v>16</v>
      </c>
      <c r="L2474" s="26">
        <v>3000</v>
      </c>
      <c r="M2474" s="26">
        <v>130</v>
      </c>
      <c r="N2474" s="25">
        <f t="shared" si="77"/>
        <v>390000</v>
      </c>
      <c r="O2474" s="56">
        <v>160</v>
      </c>
    </row>
    <row r="2475" spans="1:15" hidden="1" x14ac:dyDescent="0.3">
      <c r="A2475" s="26">
        <v>30</v>
      </c>
      <c r="B2475" s="20" t="str">
        <f t="shared" si="76"/>
        <v>JUL</v>
      </c>
      <c r="C2475" s="21">
        <v>46227</v>
      </c>
      <c r="D2475" s="22" t="str">
        <f t="array" ref="D2475">IFERROR(INDEX('Kode Outlet dan Target Toko'!$A:$A,MATCH($I2475,'Kode Outlet dan Target Toko'!$E:$E,0)),"")</f>
        <v>GRSM 6</v>
      </c>
      <c r="E2475" s="20" t="str">
        <f>IFERROR(VLOOKUP(I2475,KET!$B:$F,4,0),"")</f>
        <v>WINDA</v>
      </c>
      <c r="F2475" s="20" t="str">
        <f>IFERROR(VLOOKUP(I2475,KET!$B:$F,5,0),"")</f>
        <v>GMM</v>
      </c>
      <c r="G2475" s="20">
        <f>IFERROR(INDEX('Kode Outlet dan Target Toko'!$C:$C,MATCH($I2475,'Kode Outlet dan Target Toko'!$E:$E,0)),0)</f>
        <v>103765</v>
      </c>
      <c r="H2475" s="20">
        <f>IFERROR(INDEX('Kode Outlet dan Target Toko'!$D:$D,MATCH($I2475,'Kode Outlet dan Target Toko'!$E:$E,0)),0)</f>
        <v>4305267</v>
      </c>
      <c r="I2475" s="42" t="s">
        <v>54</v>
      </c>
      <c r="J2475" s="56" t="s">
        <v>278</v>
      </c>
      <c r="K2475" s="40" t="s">
        <v>13</v>
      </c>
      <c r="L2475" s="26">
        <v>3000</v>
      </c>
      <c r="M2475" s="26">
        <v>52</v>
      </c>
      <c r="N2475" s="25">
        <f t="shared" si="77"/>
        <v>156000</v>
      </c>
      <c r="O2475" s="56"/>
    </row>
    <row r="2476" spans="1:15" hidden="1" x14ac:dyDescent="0.3">
      <c r="A2476" s="26">
        <v>30</v>
      </c>
      <c r="B2476" s="20" t="str">
        <f t="shared" si="76"/>
        <v>JUL</v>
      </c>
      <c r="C2476" s="21">
        <v>46227</v>
      </c>
      <c r="D2476" s="22" t="str">
        <f t="array" ref="D2476">IFERROR(INDEX('Kode Outlet dan Target Toko'!$A:$A,MATCH($I2476,'Kode Outlet dan Target Toko'!$E:$E,0)),"")</f>
        <v>GRSM 6</v>
      </c>
      <c r="E2476" s="20" t="str">
        <f>IFERROR(VLOOKUP(I2476,KET!$B:$F,4,0),"")</f>
        <v>WINDA</v>
      </c>
      <c r="F2476" s="20" t="str">
        <f>IFERROR(VLOOKUP(I2476,KET!$B:$F,5,0),"")</f>
        <v>GMM</v>
      </c>
      <c r="G2476" s="20">
        <f>IFERROR(INDEX('Kode Outlet dan Target Toko'!$C:$C,MATCH($I2476,'Kode Outlet dan Target Toko'!$E:$E,0)),0)</f>
        <v>103765</v>
      </c>
      <c r="H2476" s="20">
        <f>IFERROR(INDEX('Kode Outlet dan Target Toko'!$D:$D,MATCH($I2476,'Kode Outlet dan Target Toko'!$E:$E,0)),0)</f>
        <v>4305267</v>
      </c>
      <c r="I2476" s="42" t="s">
        <v>54</v>
      </c>
      <c r="J2476" s="56" t="s">
        <v>278</v>
      </c>
      <c r="K2476" s="40" t="s">
        <v>14</v>
      </c>
      <c r="L2476" s="26">
        <v>3000</v>
      </c>
      <c r="M2476" s="26">
        <v>170</v>
      </c>
      <c r="N2476" s="25">
        <f t="shared" si="77"/>
        <v>510000</v>
      </c>
      <c r="O2476" s="56"/>
    </row>
    <row r="2477" spans="1:15" hidden="1" x14ac:dyDescent="0.3">
      <c r="A2477" s="26">
        <v>30</v>
      </c>
      <c r="B2477" s="20" t="str">
        <f t="shared" si="76"/>
        <v>JUL</v>
      </c>
      <c r="C2477" s="21">
        <v>46227</v>
      </c>
      <c r="D2477" s="22" t="str">
        <f t="array" ref="D2477">IFERROR(INDEX('Kode Outlet dan Target Toko'!$A:$A,MATCH($I2477,'Kode Outlet dan Target Toko'!$E:$E,0)),"")</f>
        <v>GRSM 6</v>
      </c>
      <c r="E2477" s="20" t="str">
        <f>IFERROR(VLOOKUP(I2477,KET!$B:$F,4,0),"")</f>
        <v>WINDA</v>
      </c>
      <c r="F2477" s="20" t="str">
        <f>IFERROR(VLOOKUP(I2477,KET!$B:$F,5,0),"")</f>
        <v>GMM</v>
      </c>
      <c r="G2477" s="20">
        <f>IFERROR(INDEX('Kode Outlet dan Target Toko'!$C:$C,MATCH($I2477,'Kode Outlet dan Target Toko'!$E:$E,0)),0)</f>
        <v>103765</v>
      </c>
      <c r="H2477" s="20">
        <f>IFERROR(INDEX('Kode Outlet dan Target Toko'!$D:$D,MATCH($I2477,'Kode Outlet dan Target Toko'!$E:$E,0)),0)</f>
        <v>4305267</v>
      </c>
      <c r="I2477" s="42" t="s">
        <v>54</v>
      </c>
      <c r="J2477" s="56" t="s">
        <v>278</v>
      </c>
      <c r="K2477" s="40" t="s">
        <v>15</v>
      </c>
      <c r="L2477" s="26">
        <v>3000</v>
      </c>
      <c r="M2477" s="26">
        <v>120</v>
      </c>
      <c r="N2477" s="25">
        <f t="shared" si="77"/>
        <v>360000</v>
      </c>
      <c r="O2477" s="56"/>
    </row>
    <row r="2478" spans="1:15" hidden="1" x14ac:dyDescent="0.3">
      <c r="A2478" s="26">
        <v>30</v>
      </c>
      <c r="B2478" s="20" t="str">
        <f t="shared" si="76"/>
        <v>JUL</v>
      </c>
      <c r="C2478" s="21">
        <v>46227</v>
      </c>
      <c r="D2478" s="22" t="str">
        <f t="array" ref="D2478">IFERROR(INDEX('Kode Outlet dan Target Toko'!$A:$A,MATCH($I2478,'Kode Outlet dan Target Toko'!$E:$E,0)),"")</f>
        <v>GRSM 6</v>
      </c>
      <c r="E2478" s="20" t="str">
        <f>IFERROR(VLOOKUP(I2478,KET!$B:$F,4,0),"")</f>
        <v>WINDA</v>
      </c>
      <c r="F2478" s="20" t="str">
        <f>IFERROR(VLOOKUP(I2478,KET!$B:$F,5,0),"")</f>
        <v>GMM</v>
      </c>
      <c r="G2478" s="20">
        <f>IFERROR(INDEX('Kode Outlet dan Target Toko'!$C:$C,MATCH($I2478,'Kode Outlet dan Target Toko'!$E:$E,0)),0)</f>
        <v>103765</v>
      </c>
      <c r="H2478" s="20">
        <f>IFERROR(INDEX('Kode Outlet dan Target Toko'!$D:$D,MATCH($I2478,'Kode Outlet dan Target Toko'!$E:$E,0)),0)</f>
        <v>4305267</v>
      </c>
      <c r="I2478" s="42" t="s">
        <v>54</v>
      </c>
      <c r="J2478" s="56" t="s">
        <v>278</v>
      </c>
      <c r="K2478" s="40" t="s">
        <v>16</v>
      </c>
      <c r="L2478" s="26">
        <v>3000</v>
      </c>
      <c r="M2478" s="26">
        <v>130</v>
      </c>
      <c r="N2478" s="25">
        <f t="shared" si="77"/>
        <v>390000</v>
      </c>
      <c r="O2478" s="56">
        <v>160</v>
      </c>
    </row>
    <row r="2479" spans="1:15" hidden="1" x14ac:dyDescent="0.3">
      <c r="A2479" s="26">
        <v>30</v>
      </c>
      <c r="B2479" s="20" t="str">
        <f t="shared" si="76"/>
        <v>JUL</v>
      </c>
      <c r="C2479" s="21">
        <v>46227</v>
      </c>
      <c r="D2479" s="22" t="str">
        <f t="array" ref="D2479">IFERROR(INDEX('Kode Outlet dan Target Toko'!$A:$A,MATCH($I2479,'Kode Outlet dan Target Toko'!$E:$E,0)),"")</f>
        <v>GRSM 4</v>
      </c>
      <c r="E2479" s="20" t="str">
        <f>IFERROR(VLOOKUP(I2479,KET!$B:$F,4,0),"")</f>
        <v>FAHMI LUKMANUL HAKIM</v>
      </c>
      <c r="F2479" s="20" t="str">
        <f>IFERROR(VLOOKUP(I2479,KET!$B:$F,5,0),"")</f>
        <v>GMM</v>
      </c>
      <c r="G2479" s="20">
        <f>IFERROR(INDEX('Kode Outlet dan Target Toko'!$C:$C,MATCH($I2479,'Kode Outlet dan Target Toko'!$E:$E,0)),0)</f>
        <v>103257</v>
      </c>
      <c r="H2479" s="20">
        <f>IFERROR(INDEX('Kode Outlet dan Target Toko'!$D:$D,MATCH($I2479,'Kode Outlet dan Target Toko'!$E:$E,0)),0)</f>
        <v>9162509</v>
      </c>
      <c r="I2479" s="42" t="s">
        <v>57</v>
      </c>
      <c r="J2479" s="56" t="s">
        <v>286</v>
      </c>
      <c r="K2479" s="40" t="s">
        <v>13</v>
      </c>
      <c r="L2479" s="26">
        <v>3100</v>
      </c>
      <c r="M2479" s="26">
        <v>50</v>
      </c>
      <c r="N2479" s="25">
        <f t="shared" si="77"/>
        <v>155000</v>
      </c>
      <c r="O2479" s="56"/>
    </row>
    <row r="2480" spans="1:15" hidden="1" x14ac:dyDescent="0.3">
      <c r="A2480" s="26">
        <v>30</v>
      </c>
      <c r="B2480" s="20" t="str">
        <f t="shared" si="76"/>
        <v>JUL</v>
      </c>
      <c r="C2480" s="21">
        <v>46227</v>
      </c>
      <c r="D2480" s="22" t="str">
        <f t="array" ref="D2480">IFERROR(INDEX('Kode Outlet dan Target Toko'!$A:$A,MATCH($I2480,'Kode Outlet dan Target Toko'!$E:$E,0)),"")</f>
        <v>GRSM 4</v>
      </c>
      <c r="E2480" s="20" t="str">
        <f>IFERROR(VLOOKUP(I2480,KET!$B:$F,4,0),"")</f>
        <v>FAHMI LUKMANUL HAKIM</v>
      </c>
      <c r="F2480" s="20" t="str">
        <f>IFERROR(VLOOKUP(I2480,KET!$B:$F,5,0),"")</f>
        <v>GMM</v>
      </c>
      <c r="G2480" s="20">
        <f>IFERROR(INDEX('Kode Outlet dan Target Toko'!$C:$C,MATCH($I2480,'Kode Outlet dan Target Toko'!$E:$E,0)),0)</f>
        <v>103257</v>
      </c>
      <c r="H2480" s="20">
        <f>IFERROR(INDEX('Kode Outlet dan Target Toko'!$D:$D,MATCH($I2480,'Kode Outlet dan Target Toko'!$E:$E,0)),0)</f>
        <v>9162509</v>
      </c>
      <c r="I2480" s="42" t="s">
        <v>57</v>
      </c>
      <c r="J2480" s="56" t="s">
        <v>286</v>
      </c>
      <c r="K2480" s="40" t="s">
        <v>14</v>
      </c>
      <c r="L2480" s="26">
        <v>3100</v>
      </c>
      <c r="M2480" s="26">
        <v>55</v>
      </c>
      <c r="N2480" s="25">
        <f t="shared" si="77"/>
        <v>170500</v>
      </c>
      <c r="O2480" s="56"/>
    </row>
    <row r="2481" spans="1:15" hidden="1" x14ac:dyDescent="0.3">
      <c r="A2481" s="26">
        <v>30</v>
      </c>
      <c r="B2481" s="20" t="str">
        <f t="shared" si="76"/>
        <v>JUL</v>
      </c>
      <c r="C2481" s="21">
        <v>46227</v>
      </c>
      <c r="D2481" s="22" t="str">
        <f t="array" ref="D2481">IFERROR(INDEX('Kode Outlet dan Target Toko'!$A:$A,MATCH($I2481,'Kode Outlet dan Target Toko'!$E:$E,0)),"")</f>
        <v>GRSM 4</v>
      </c>
      <c r="E2481" s="20" t="str">
        <f>IFERROR(VLOOKUP(I2481,KET!$B:$F,4,0),"")</f>
        <v>FAHMI LUKMANUL HAKIM</v>
      </c>
      <c r="F2481" s="20" t="str">
        <f>IFERROR(VLOOKUP(I2481,KET!$B:$F,5,0),"")</f>
        <v>GMM</v>
      </c>
      <c r="G2481" s="20">
        <f>IFERROR(INDEX('Kode Outlet dan Target Toko'!$C:$C,MATCH($I2481,'Kode Outlet dan Target Toko'!$E:$E,0)),0)</f>
        <v>103257</v>
      </c>
      <c r="H2481" s="20">
        <f>IFERROR(INDEX('Kode Outlet dan Target Toko'!$D:$D,MATCH($I2481,'Kode Outlet dan Target Toko'!$E:$E,0)),0)</f>
        <v>9162509</v>
      </c>
      <c r="I2481" s="42" t="s">
        <v>57</v>
      </c>
      <c r="J2481" s="56" t="s">
        <v>286</v>
      </c>
      <c r="K2481" s="40" t="s">
        <v>15</v>
      </c>
      <c r="L2481" s="26">
        <v>3100</v>
      </c>
      <c r="M2481" s="26">
        <v>60</v>
      </c>
      <c r="N2481" s="25">
        <f t="shared" si="77"/>
        <v>186000</v>
      </c>
      <c r="O2481" s="56"/>
    </row>
    <row r="2482" spans="1:15" hidden="1" x14ac:dyDescent="0.3">
      <c r="A2482" s="26">
        <v>30</v>
      </c>
      <c r="B2482" s="20" t="str">
        <f t="shared" si="76"/>
        <v>JUL</v>
      </c>
      <c r="C2482" s="21">
        <v>46227</v>
      </c>
      <c r="D2482" s="22" t="str">
        <f t="array" ref="D2482">IFERROR(INDEX('Kode Outlet dan Target Toko'!$A:$A,MATCH($I2482,'Kode Outlet dan Target Toko'!$E:$E,0)),"")</f>
        <v>GRSM 4</v>
      </c>
      <c r="E2482" s="20" t="str">
        <f>IFERROR(VLOOKUP(I2482,KET!$B:$F,4,0),"")</f>
        <v>FAHMI LUKMANUL HAKIM</v>
      </c>
      <c r="F2482" s="20" t="str">
        <f>IFERROR(VLOOKUP(I2482,KET!$B:$F,5,0),"")</f>
        <v>GMM</v>
      </c>
      <c r="G2482" s="20">
        <f>IFERROR(INDEX('Kode Outlet dan Target Toko'!$C:$C,MATCH($I2482,'Kode Outlet dan Target Toko'!$E:$E,0)),0)</f>
        <v>103257</v>
      </c>
      <c r="H2482" s="20">
        <f>IFERROR(INDEX('Kode Outlet dan Target Toko'!$D:$D,MATCH($I2482,'Kode Outlet dan Target Toko'!$E:$E,0)),0)</f>
        <v>9162509</v>
      </c>
      <c r="I2482" s="42" t="s">
        <v>57</v>
      </c>
      <c r="J2482" s="56" t="s">
        <v>286</v>
      </c>
      <c r="K2482" s="40" t="s">
        <v>16</v>
      </c>
      <c r="L2482" s="26">
        <v>3100</v>
      </c>
      <c r="M2482" s="26">
        <v>40</v>
      </c>
      <c r="N2482" s="25">
        <f t="shared" si="77"/>
        <v>124000</v>
      </c>
      <c r="O2482" s="56">
        <v>160</v>
      </c>
    </row>
    <row r="2483" spans="1:15" hidden="1" x14ac:dyDescent="0.3">
      <c r="A2483" s="26">
        <v>30</v>
      </c>
      <c r="B2483" s="20" t="str">
        <f t="shared" si="76"/>
        <v>JUL</v>
      </c>
      <c r="C2483" s="21">
        <v>46227</v>
      </c>
      <c r="D2483" s="22" t="str">
        <f t="array" ref="D2483">IFERROR(INDEX('Kode Outlet dan Target Toko'!$A:$A,MATCH($I2483,'Kode Outlet dan Target Toko'!$E:$E,0)),"")</f>
        <v>GRSM 4</v>
      </c>
      <c r="E2483" s="20" t="str">
        <f>IFERROR(VLOOKUP(I2483,KET!$B:$F,4,0),"")</f>
        <v>FAHMI LUKMANUL HAKIM</v>
      </c>
      <c r="F2483" s="20" t="str">
        <f>IFERROR(VLOOKUP(I2483,KET!$B:$F,5,0),"")</f>
        <v>GMM</v>
      </c>
      <c r="G2483" s="20">
        <f>IFERROR(INDEX('Kode Outlet dan Target Toko'!$C:$C,MATCH($I2483,'Kode Outlet dan Target Toko'!$E:$E,0)),0)</f>
        <v>103257</v>
      </c>
      <c r="H2483" s="20">
        <f>IFERROR(INDEX('Kode Outlet dan Target Toko'!$D:$D,MATCH($I2483,'Kode Outlet dan Target Toko'!$E:$E,0)),0)</f>
        <v>9162509</v>
      </c>
      <c r="I2483" s="42" t="s">
        <v>57</v>
      </c>
      <c r="J2483" s="56" t="s">
        <v>287</v>
      </c>
      <c r="K2483" s="40" t="s">
        <v>13</v>
      </c>
      <c r="L2483" s="26">
        <v>3100</v>
      </c>
      <c r="M2483" s="26">
        <v>40</v>
      </c>
      <c r="N2483" s="25">
        <f t="shared" si="77"/>
        <v>124000</v>
      </c>
      <c r="O2483" s="56"/>
    </row>
    <row r="2484" spans="1:15" hidden="1" x14ac:dyDescent="0.3">
      <c r="A2484" s="26">
        <v>30</v>
      </c>
      <c r="B2484" s="20" t="str">
        <f t="shared" si="76"/>
        <v>JUL</v>
      </c>
      <c r="C2484" s="21">
        <v>46227</v>
      </c>
      <c r="D2484" s="22" t="str">
        <f t="array" ref="D2484">IFERROR(INDEX('Kode Outlet dan Target Toko'!$A:$A,MATCH($I2484,'Kode Outlet dan Target Toko'!$E:$E,0)),"")</f>
        <v>GRSM 4</v>
      </c>
      <c r="E2484" s="20" t="str">
        <f>IFERROR(VLOOKUP(I2484,KET!$B:$F,4,0),"")</f>
        <v>FAHMI LUKMANUL HAKIM</v>
      </c>
      <c r="F2484" s="20" t="str">
        <f>IFERROR(VLOOKUP(I2484,KET!$B:$F,5,0),"")</f>
        <v>GMM</v>
      </c>
      <c r="G2484" s="20">
        <f>IFERROR(INDEX('Kode Outlet dan Target Toko'!$C:$C,MATCH($I2484,'Kode Outlet dan Target Toko'!$E:$E,0)),0)</f>
        <v>103257</v>
      </c>
      <c r="H2484" s="20">
        <f>IFERROR(INDEX('Kode Outlet dan Target Toko'!$D:$D,MATCH($I2484,'Kode Outlet dan Target Toko'!$E:$E,0)),0)</f>
        <v>9162509</v>
      </c>
      <c r="I2484" s="42" t="s">
        <v>57</v>
      </c>
      <c r="J2484" s="56" t="s">
        <v>287</v>
      </c>
      <c r="K2484" s="40" t="s">
        <v>14</v>
      </c>
      <c r="L2484" s="26">
        <v>3100</v>
      </c>
      <c r="M2484" s="26">
        <v>52</v>
      </c>
      <c r="N2484" s="25">
        <f t="shared" si="77"/>
        <v>161200</v>
      </c>
      <c r="O2484" s="56"/>
    </row>
    <row r="2485" spans="1:15" hidden="1" x14ac:dyDescent="0.3">
      <c r="A2485" s="26">
        <v>30</v>
      </c>
      <c r="B2485" s="20" t="str">
        <f t="shared" si="76"/>
        <v>JUL</v>
      </c>
      <c r="C2485" s="21">
        <v>46227</v>
      </c>
      <c r="D2485" s="22" t="str">
        <f t="array" ref="D2485">IFERROR(INDEX('Kode Outlet dan Target Toko'!$A:$A,MATCH($I2485,'Kode Outlet dan Target Toko'!$E:$E,0)),"")</f>
        <v>GRSM 4</v>
      </c>
      <c r="E2485" s="20" t="str">
        <f>IFERROR(VLOOKUP(I2485,KET!$B:$F,4,0),"")</f>
        <v>FAHMI LUKMANUL HAKIM</v>
      </c>
      <c r="F2485" s="20" t="str">
        <f>IFERROR(VLOOKUP(I2485,KET!$B:$F,5,0),"")</f>
        <v>GMM</v>
      </c>
      <c r="G2485" s="20">
        <f>IFERROR(INDEX('Kode Outlet dan Target Toko'!$C:$C,MATCH($I2485,'Kode Outlet dan Target Toko'!$E:$E,0)),0)</f>
        <v>103257</v>
      </c>
      <c r="H2485" s="20">
        <f>IFERROR(INDEX('Kode Outlet dan Target Toko'!$D:$D,MATCH($I2485,'Kode Outlet dan Target Toko'!$E:$E,0)),0)</f>
        <v>9162509</v>
      </c>
      <c r="I2485" s="42" t="s">
        <v>57</v>
      </c>
      <c r="J2485" s="56" t="s">
        <v>287</v>
      </c>
      <c r="K2485" s="40" t="s">
        <v>15</v>
      </c>
      <c r="L2485" s="26">
        <v>3100</v>
      </c>
      <c r="M2485" s="26">
        <v>55</v>
      </c>
      <c r="N2485" s="25">
        <f t="shared" si="77"/>
        <v>170500</v>
      </c>
      <c r="O2485" s="56"/>
    </row>
    <row r="2486" spans="1:15" hidden="1" x14ac:dyDescent="0.3">
      <c r="A2486" s="26">
        <v>30</v>
      </c>
      <c r="B2486" s="20" t="str">
        <f t="shared" si="76"/>
        <v>JUL</v>
      </c>
      <c r="C2486" s="21">
        <v>46227</v>
      </c>
      <c r="D2486" s="22" t="str">
        <f t="array" ref="D2486">IFERROR(INDEX('Kode Outlet dan Target Toko'!$A:$A,MATCH($I2486,'Kode Outlet dan Target Toko'!$E:$E,0)),"")</f>
        <v>GRSM 4</v>
      </c>
      <c r="E2486" s="20" t="str">
        <f>IFERROR(VLOOKUP(I2486,KET!$B:$F,4,0),"")</f>
        <v>FAHMI LUKMANUL HAKIM</v>
      </c>
      <c r="F2486" s="20" t="str">
        <f>IFERROR(VLOOKUP(I2486,KET!$B:$F,5,0),"")</f>
        <v>GMM</v>
      </c>
      <c r="G2486" s="20">
        <f>IFERROR(INDEX('Kode Outlet dan Target Toko'!$C:$C,MATCH($I2486,'Kode Outlet dan Target Toko'!$E:$E,0)),0)</f>
        <v>103257</v>
      </c>
      <c r="H2486" s="20">
        <f>IFERROR(INDEX('Kode Outlet dan Target Toko'!$D:$D,MATCH($I2486,'Kode Outlet dan Target Toko'!$E:$E,0)),0)</f>
        <v>9162509</v>
      </c>
      <c r="I2486" s="42" t="s">
        <v>57</v>
      </c>
      <c r="J2486" s="56" t="s">
        <v>287</v>
      </c>
      <c r="K2486" s="40" t="s">
        <v>16</v>
      </c>
      <c r="L2486" s="26">
        <v>3100</v>
      </c>
      <c r="M2486" s="26">
        <v>33</v>
      </c>
      <c r="N2486" s="25">
        <f t="shared" si="77"/>
        <v>102300</v>
      </c>
      <c r="O2486" s="56">
        <v>160</v>
      </c>
    </row>
    <row r="2487" spans="1:15" hidden="1" x14ac:dyDescent="0.3">
      <c r="A2487" s="26">
        <v>30</v>
      </c>
      <c r="B2487" s="20" t="str">
        <f t="shared" si="76"/>
        <v>JUL</v>
      </c>
      <c r="C2487" s="21">
        <v>46229</v>
      </c>
      <c r="D2487" s="22" t="str">
        <f t="array" ref="D2487">IFERROR(INDEX('Kode Outlet dan Target Toko'!$A:$A,MATCH($I2487,'Kode Outlet dan Target Toko'!$E:$E,0)),"")</f>
        <v>GRSM 4</v>
      </c>
      <c r="E2487" s="20" t="str">
        <f>IFERROR(VLOOKUP(I2487,KET!$B:$F,4,0),"")</f>
        <v>FAHMI LUKMANUL HAKIM</v>
      </c>
      <c r="F2487" s="20" t="str">
        <f>IFERROR(VLOOKUP(I2487,KET!$B:$F,5,0),"")</f>
        <v>GMM</v>
      </c>
      <c r="G2487" s="20">
        <f>IFERROR(INDEX('Kode Outlet dan Target Toko'!$C:$C,MATCH($I2487,'Kode Outlet dan Target Toko'!$E:$E,0)),0)</f>
        <v>189901</v>
      </c>
      <c r="H2487" s="20">
        <f>IFERROR(INDEX('Kode Outlet dan Target Toko'!$D:$D,MATCH($I2487,'Kode Outlet dan Target Toko'!$E:$E,0)),0)</f>
        <v>1602008</v>
      </c>
      <c r="I2487" s="42" t="s">
        <v>32</v>
      </c>
      <c r="J2487" s="56" t="s">
        <v>189</v>
      </c>
      <c r="K2487" s="40" t="s">
        <v>13</v>
      </c>
      <c r="L2487" s="26">
        <v>3300</v>
      </c>
      <c r="M2487" s="26">
        <v>60</v>
      </c>
      <c r="N2487" s="25">
        <f t="shared" si="77"/>
        <v>198000</v>
      </c>
      <c r="O2487" s="56"/>
    </row>
    <row r="2488" spans="1:15" hidden="1" x14ac:dyDescent="0.3">
      <c r="A2488" s="26">
        <v>30</v>
      </c>
      <c r="B2488" s="20" t="str">
        <f t="shared" si="76"/>
        <v>JUL</v>
      </c>
      <c r="C2488" s="21">
        <v>46229</v>
      </c>
      <c r="D2488" s="22" t="str">
        <f t="array" ref="D2488">IFERROR(INDEX('Kode Outlet dan Target Toko'!$A:$A,MATCH($I2488,'Kode Outlet dan Target Toko'!$E:$E,0)),"")</f>
        <v>GRSM 4</v>
      </c>
      <c r="E2488" s="20" t="str">
        <f>IFERROR(VLOOKUP(I2488,KET!$B:$F,4,0),"")</f>
        <v>FAHMI LUKMANUL HAKIM</v>
      </c>
      <c r="F2488" s="20" t="str">
        <f>IFERROR(VLOOKUP(I2488,KET!$B:$F,5,0),"")</f>
        <v>GMM</v>
      </c>
      <c r="G2488" s="20">
        <f>IFERROR(INDEX('Kode Outlet dan Target Toko'!$C:$C,MATCH($I2488,'Kode Outlet dan Target Toko'!$E:$E,0)),0)</f>
        <v>189901</v>
      </c>
      <c r="H2488" s="20">
        <f>IFERROR(INDEX('Kode Outlet dan Target Toko'!$D:$D,MATCH($I2488,'Kode Outlet dan Target Toko'!$E:$E,0)),0)</f>
        <v>1602008</v>
      </c>
      <c r="I2488" s="42" t="s">
        <v>32</v>
      </c>
      <c r="J2488" s="56" t="s">
        <v>189</v>
      </c>
      <c r="K2488" s="40" t="s">
        <v>14</v>
      </c>
      <c r="L2488" s="26">
        <v>3300</v>
      </c>
      <c r="M2488" s="26">
        <v>40</v>
      </c>
      <c r="N2488" s="25">
        <f t="shared" si="77"/>
        <v>132000</v>
      </c>
      <c r="O2488" s="56"/>
    </row>
    <row r="2489" spans="1:15" hidden="1" x14ac:dyDescent="0.3">
      <c r="A2489" s="26">
        <v>30</v>
      </c>
      <c r="B2489" s="20" t="str">
        <f t="shared" si="76"/>
        <v>JUL</v>
      </c>
      <c r="C2489" s="21">
        <v>46229</v>
      </c>
      <c r="D2489" s="22" t="str">
        <f t="array" ref="D2489">IFERROR(INDEX('Kode Outlet dan Target Toko'!$A:$A,MATCH($I2489,'Kode Outlet dan Target Toko'!$E:$E,0)),"")</f>
        <v>GRSM 4</v>
      </c>
      <c r="E2489" s="20" t="str">
        <f>IFERROR(VLOOKUP(I2489,KET!$B:$F,4,0),"")</f>
        <v>FAHMI LUKMANUL HAKIM</v>
      </c>
      <c r="F2489" s="20" t="str">
        <f>IFERROR(VLOOKUP(I2489,KET!$B:$F,5,0),"")</f>
        <v>GMM</v>
      </c>
      <c r="G2489" s="20">
        <f>IFERROR(INDEX('Kode Outlet dan Target Toko'!$C:$C,MATCH($I2489,'Kode Outlet dan Target Toko'!$E:$E,0)),0)</f>
        <v>189901</v>
      </c>
      <c r="H2489" s="20">
        <f>IFERROR(INDEX('Kode Outlet dan Target Toko'!$D:$D,MATCH($I2489,'Kode Outlet dan Target Toko'!$E:$E,0)),0)</f>
        <v>1602008</v>
      </c>
      <c r="I2489" s="42" t="s">
        <v>32</v>
      </c>
      <c r="J2489" s="56" t="s">
        <v>189</v>
      </c>
      <c r="K2489" s="40" t="s">
        <v>15</v>
      </c>
      <c r="L2489" s="26">
        <v>3300</v>
      </c>
      <c r="M2489" s="26">
        <v>35</v>
      </c>
      <c r="N2489" s="25">
        <f t="shared" si="77"/>
        <v>115500</v>
      </c>
      <c r="O2489" s="56"/>
    </row>
    <row r="2490" spans="1:15" hidden="1" x14ac:dyDescent="0.3">
      <c r="A2490" s="26">
        <v>30</v>
      </c>
      <c r="B2490" s="20" t="str">
        <f t="shared" si="76"/>
        <v>JUL</v>
      </c>
      <c r="C2490" s="21">
        <v>46229</v>
      </c>
      <c r="D2490" s="22" t="str">
        <f t="array" ref="D2490">IFERROR(INDEX('Kode Outlet dan Target Toko'!$A:$A,MATCH($I2490,'Kode Outlet dan Target Toko'!$E:$E,0)),"")</f>
        <v>GRSM 4</v>
      </c>
      <c r="E2490" s="20" t="str">
        <f>IFERROR(VLOOKUP(I2490,KET!$B:$F,4,0),"")</f>
        <v>FAHMI LUKMANUL HAKIM</v>
      </c>
      <c r="F2490" s="20" t="str">
        <f>IFERROR(VLOOKUP(I2490,KET!$B:$F,5,0),"")</f>
        <v>GMM</v>
      </c>
      <c r="G2490" s="20">
        <f>IFERROR(INDEX('Kode Outlet dan Target Toko'!$C:$C,MATCH($I2490,'Kode Outlet dan Target Toko'!$E:$E,0)),0)</f>
        <v>189901</v>
      </c>
      <c r="H2490" s="20">
        <f>IFERROR(INDEX('Kode Outlet dan Target Toko'!$D:$D,MATCH($I2490,'Kode Outlet dan Target Toko'!$E:$E,0)),0)</f>
        <v>1602008</v>
      </c>
      <c r="I2490" s="42" t="s">
        <v>32</v>
      </c>
      <c r="J2490" s="56" t="s">
        <v>189</v>
      </c>
      <c r="K2490" s="40" t="s">
        <v>16</v>
      </c>
      <c r="L2490" s="26">
        <v>3300</v>
      </c>
      <c r="M2490" s="26">
        <v>141</v>
      </c>
      <c r="N2490" s="25">
        <f t="shared" si="77"/>
        <v>465300</v>
      </c>
      <c r="O2490" s="56">
        <v>160</v>
      </c>
    </row>
    <row r="2491" spans="1:15" hidden="1" x14ac:dyDescent="0.3">
      <c r="A2491" s="26">
        <v>30</v>
      </c>
      <c r="B2491" s="20" t="str">
        <f t="shared" si="76"/>
        <v>JUL</v>
      </c>
      <c r="C2491" s="21">
        <v>46229</v>
      </c>
      <c r="D2491" s="22" t="str">
        <f t="array" ref="D2491">IFERROR(INDEX('Kode Outlet dan Target Toko'!$A:$A,MATCH($I2491,'Kode Outlet dan Target Toko'!$E:$E,0)),"")</f>
        <v>GRSM 4</v>
      </c>
      <c r="E2491" s="20" t="str">
        <f>IFERROR(VLOOKUP(I2491,KET!$B:$F,4,0),"")</f>
        <v>FAHMI LUKMANUL HAKIM</v>
      </c>
      <c r="F2491" s="20" t="str">
        <f>IFERROR(VLOOKUP(I2491,KET!$B:$F,5,0),"")</f>
        <v>GMM</v>
      </c>
      <c r="G2491" s="20">
        <f>IFERROR(INDEX('Kode Outlet dan Target Toko'!$C:$C,MATCH($I2491,'Kode Outlet dan Target Toko'!$E:$E,0)),0)</f>
        <v>189901</v>
      </c>
      <c r="H2491" s="20">
        <f>IFERROR(INDEX('Kode Outlet dan Target Toko'!$D:$D,MATCH($I2491,'Kode Outlet dan Target Toko'!$E:$E,0)),0)</f>
        <v>1602008</v>
      </c>
      <c r="I2491" s="42" t="s">
        <v>32</v>
      </c>
      <c r="J2491" s="56" t="s">
        <v>285</v>
      </c>
      <c r="K2491" s="40" t="s">
        <v>13</v>
      </c>
      <c r="L2491" s="26">
        <v>3300</v>
      </c>
      <c r="M2491" s="26">
        <v>60</v>
      </c>
      <c r="N2491" s="25">
        <f t="shared" si="77"/>
        <v>198000</v>
      </c>
      <c r="O2491" s="56"/>
    </row>
    <row r="2492" spans="1:15" hidden="1" x14ac:dyDescent="0.3">
      <c r="A2492" s="26">
        <v>30</v>
      </c>
      <c r="B2492" s="20" t="str">
        <f t="shared" si="76"/>
        <v>JUL</v>
      </c>
      <c r="C2492" s="21">
        <v>46229</v>
      </c>
      <c r="D2492" s="22" t="str">
        <f t="array" ref="D2492">IFERROR(INDEX('Kode Outlet dan Target Toko'!$A:$A,MATCH($I2492,'Kode Outlet dan Target Toko'!$E:$E,0)),"")</f>
        <v>GRSM 4</v>
      </c>
      <c r="E2492" s="20" t="str">
        <f>IFERROR(VLOOKUP(I2492,KET!$B:$F,4,0),"")</f>
        <v>FAHMI LUKMANUL HAKIM</v>
      </c>
      <c r="F2492" s="20" t="str">
        <f>IFERROR(VLOOKUP(I2492,KET!$B:$F,5,0),"")</f>
        <v>GMM</v>
      </c>
      <c r="G2492" s="20">
        <f>IFERROR(INDEX('Kode Outlet dan Target Toko'!$C:$C,MATCH($I2492,'Kode Outlet dan Target Toko'!$E:$E,0)),0)</f>
        <v>189901</v>
      </c>
      <c r="H2492" s="20">
        <f>IFERROR(INDEX('Kode Outlet dan Target Toko'!$D:$D,MATCH($I2492,'Kode Outlet dan Target Toko'!$E:$E,0)),0)</f>
        <v>1602008</v>
      </c>
      <c r="I2492" s="42" t="s">
        <v>32</v>
      </c>
      <c r="J2492" s="56" t="s">
        <v>285</v>
      </c>
      <c r="K2492" s="40" t="s">
        <v>14</v>
      </c>
      <c r="L2492" s="26">
        <v>3300</v>
      </c>
      <c r="M2492" s="26">
        <v>40</v>
      </c>
      <c r="N2492" s="25">
        <f t="shared" si="77"/>
        <v>132000</v>
      </c>
      <c r="O2492" s="56"/>
    </row>
    <row r="2493" spans="1:15" hidden="1" x14ac:dyDescent="0.3">
      <c r="A2493" s="26">
        <v>30</v>
      </c>
      <c r="B2493" s="20" t="str">
        <f t="shared" si="76"/>
        <v>JUL</v>
      </c>
      <c r="C2493" s="21">
        <v>46229</v>
      </c>
      <c r="D2493" s="22" t="str">
        <f t="array" ref="D2493">IFERROR(INDEX('Kode Outlet dan Target Toko'!$A:$A,MATCH($I2493,'Kode Outlet dan Target Toko'!$E:$E,0)),"")</f>
        <v>GRSM 4</v>
      </c>
      <c r="E2493" s="20" t="str">
        <f>IFERROR(VLOOKUP(I2493,KET!$B:$F,4,0),"")</f>
        <v>FAHMI LUKMANUL HAKIM</v>
      </c>
      <c r="F2493" s="20" t="str">
        <f>IFERROR(VLOOKUP(I2493,KET!$B:$F,5,0),"")</f>
        <v>GMM</v>
      </c>
      <c r="G2493" s="20">
        <f>IFERROR(INDEX('Kode Outlet dan Target Toko'!$C:$C,MATCH($I2493,'Kode Outlet dan Target Toko'!$E:$E,0)),0)</f>
        <v>189901</v>
      </c>
      <c r="H2493" s="20">
        <f>IFERROR(INDEX('Kode Outlet dan Target Toko'!$D:$D,MATCH($I2493,'Kode Outlet dan Target Toko'!$E:$E,0)),0)</f>
        <v>1602008</v>
      </c>
      <c r="I2493" s="42" t="s">
        <v>32</v>
      </c>
      <c r="J2493" s="56" t="s">
        <v>285</v>
      </c>
      <c r="K2493" s="40" t="s">
        <v>15</v>
      </c>
      <c r="L2493" s="26">
        <v>3300</v>
      </c>
      <c r="M2493" s="26">
        <v>35</v>
      </c>
      <c r="N2493" s="25">
        <f t="shared" si="77"/>
        <v>115500</v>
      </c>
      <c r="O2493" s="56"/>
    </row>
    <row r="2494" spans="1:15" hidden="1" x14ac:dyDescent="0.3">
      <c r="A2494" s="26">
        <v>30</v>
      </c>
      <c r="B2494" s="20" t="str">
        <f t="shared" si="76"/>
        <v>JUL</v>
      </c>
      <c r="C2494" s="21">
        <v>46229</v>
      </c>
      <c r="D2494" s="22" t="str">
        <f t="array" ref="D2494">IFERROR(INDEX('Kode Outlet dan Target Toko'!$A:$A,MATCH($I2494,'Kode Outlet dan Target Toko'!$E:$E,0)),"")</f>
        <v>GRSM 4</v>
      </c>
      <c r="E2494" s="20" t="str">
        <f>IFERROR(VLOOKUP(I2494,KET!$B:$F,4,0),"")</f>
        <v>FAHMI LUKMANUL HAKIM</v>
      </c>
      <c r="F2494" s="20" t="str">
        <f>IFERROR(VLOOKUP(I2494,KET!$B:$F,5,0),"")</f>
        <v>GMM</v>
      </c>
      <c r="G2494" s="20">
        <f>IFERROR(INDEX('Kode Outlet dan Target Toko'!$C:$C,MATCH($I2494,'Kode Outlet dan Target Toko'!$E:$E,0)),0)</f>
        <v>189901</v>
      </c>
      <c r="H2494" s="20">
        <f>IFERROR(INDEX('Kode Outlet dan Target Toko'!$D:$D,MATCH($I2494,'Kode Outlet dan Target Toko'!$E:$E,0)),0)</f>
        <v>1602008</v>
      </c>
      <c r="I2494" s="42" t="s">
        <v>32</v>
      </c>
      <c r="J2494" s="56" t="s">
        <v>285</v>
      </c>
      <c r="K2494" s="40" t="s">
        <v>16</v>
      </c>
      <c r="L2494" s="26">
        <v>3300</v>
      </c>
      <c r="M2494" s="26">
        <v>141</v>
      </c>
      <c r="N2494" s="25">
        <f t="shared" si="77"/>
        <v>465300</v>
      </c>
      <c r="O2494" s="56">
        <v>160</v>
      </c>
    </row>
    <row r="2495" spans="1:15" hidden="1" x14ac:dyDescent="0.3">
      <c r="A2495" s="26">
        <v>31</v>
      </c>
      <c r="B2495" s="20" t="str">
        <f t="shared" si="76"/>
        <v>JUL</v>
      </c>
      <c r="C2495" s="21">
        <v>46230</v>
      </c>
      <c r="D2495" s="22" t="str">
        <f t="array" ref="D2495">IFERROR(INDEX('[1]Kode Outlet dan Target Toko'!$A:$A,MATCH($I2495,'[1]Kode Outlet dan Target Toko'!$E:$E,0)),"")</f>
        <v>GRSM 2</v>
      </c>
      <c r="E2495" s="20" t="str">
        <f>IFERROR(VLOOKUP(I2495,KET!$B:$F,4,0),"")</f>
        <v>AFNITA SARI</v>
      </c>
      <c r="F2495" s="20" t="str">
        <f>IFERROR(VLOOKUP(I2495,[1]KET!$B:$F,5,0),"")</f>
        <v>MT</v>
      </c>
      <c r="G2495" s="20">
        <f>IFERROR(INDEX('Kode Outlet dan Target Toko'!$C:$C,MATCH($I2495,'Kode Outlet dan Target Toko'!$E:$E,0)),0)</f>
        <v>175700</v>
      </c>
      <c r="H2495" s="20">
        <f>IFERROR(INDEX('Kode Outlet dan Target Toko'!$D:$D,MATCH($I2495,'Kode Outlet dan Target Toko'!$E:$E,0)),0)</f>
        <v>1370001</v>
      </c>
      <c r="I2495" s="42" t="s">
        <v>74</v>
      </c>
      <c r="J2495" s="56" t="s">
        <v>297</v>
      </c>
      <c r="K2495" s="40" t="s">
        <v>13</v>
      </c>
      <c r="L2495" s="26">
        <v>2210</v>
      </c>
      <c r="M2495" s="26">
        <v>80</v>
      </c>
      <c r="N2495" s="25">
        <f t="shared" si="77"/>
        <v>176800</v>
      </c>
      <c r="O2495" s="56"/>
    </row>
    <row r="2496" spans="1:15" hidden="1" x14ac:dyDescent="0.3">
      <c r="A2496" s="26">
        <v>31</v>
      </c>
      <c r="B2496" s="20" t="str">
        <f t="shared" si="76"/>
        <v>JUL</v>
      </c>
      <c r="C2496" s="21">
        <v>46230</v>
      </c>
      <c r="D2496" s="22" t="str">
        <f t="array" ref="D2496">IFERROR(INDEX('[1]Kode Outlet dan Target Toko'!$A:$A,MATCH($I2496,'[1]Kode Outlet dan Target Toko'!$E:$E,0)),"")</f>
        <v>GRSM 2</v>
      </c>
      <c r="E2496" s="20" t="str">
        <f>IFERROR(VLOOKUP(I2496,KET!$B:$F,4,0),"")</f>
        <v>AFNITA SARI</v>
      </c>
      <c r="F2496" s="20" t="str">
        <f>IFERROR(VLOOKUP(I2496,[1]KET!$B:$F,5,0),"")</f>
        <v>MT</v>
      </c>
      <c r="G2496" s="20">
        <f>IFERROR(INDEX('Kode Outlet dan Target Toko'!$C:$C,MATCH($I2496,'Kode Outlet dan Target Toko'!$E:$E,0)),0)</f>
        <v>175700</v>
      </c>
      <c r="H2496" s="20">
        <f>IFERROR(INDEX('Kode Outlet dan Target Toko'!$D:$D,MATCH($I2496,'Kode Outlet dan Target Toko'!$E:$E,0)),0)</f>
        <v>1370001</v>
      </c>
      <c r="I2496" s="42" t="s">
        <v>74</v>
      </c>
      <c r="J2496" s="56" t="s">
        <v>297</v>
      </c>
      <c r="K2496" s="40" t="s">
        <v>14</v>
      </c>
      <c r="L2496" s="26">
        <v>2210</v>
      </c>
      <c r="M2496" s="26">
        <v>120</v>
      </c>
      <c r="N2496" s="25">
        <f t="shared" si="77"/>
        <v>265200</v>
      </c>
      <c r="O2496" s="56"/>
    </row>
    <row r="2497" spans="1:15" hidden="1" x14ac:dyDescent="0.3">
      <c r="A2497" s="26">
        <v>31</v>
      </c>
      <c r="B2497" s="20" t="str">
        <f t="shared" si="76"/>
        <v>JUL</v>
      </c>
      <c r="C2497" s="21">
        <v>46230</v>
      </c>
      <c r="D2497" s="22" t="str">
        <f t="array" ref="D2497">IFERROR(INDEX('[1]Kode Outlet dan Target Toko'!$A:$A,MATCH($I2497,'[1]Kode Outlet dan Target Toko'!$E:$E,0)),"")</f>
        <v>GRSM 2</v>
      </c>
      <c r="E2497" s="20" t="str">
        <f>IFERROR(VLOOKUP(I2497,KET!$B:$F,4,0),"")</f>
        <v>AFNITA SARI</v>
      </c>
      <c r="F2497" s="20" t="str">
        <f>IFERROR(VLOOKUP(I2497,[1]KET!$B:$F,5,0),"")</f>
        <v>MT</v>
      </c>
      <c r="G2497" s="20">
        <f>IFERROR(INDEX('Kode Outlet dan Target Toko'!$C:$C,MATCH($I2497,'Kode Outlet dan Target Toko'!$E:$E,0)),0)</f>
        <v>175700</v>
      </c>
      <c r="H2497" s="20">
        <f>IFERROR(INDEX('Kode Outlet dan Target Toko'!$D:$D,MATCH($I2497,'Kode Outlet dan Target Toko'!$E:$E,0)),0)</f>
        <v>1370001</v>
      </c>
      <c r="I2497" s="42" t="s">
        <v>74</v>
      </c>
      <c r="J2497" s="56" t="s">
        <v>297</v>
      </c>
      <c r="K2497" s="40" t="s">
        <v>15</v>
      </c>
      <c r="L2497" s="26">
        <v>2210</v>
      </c>
      <c r="M2497" s="26">
        <v>80</v>
      </c>
      <c r="N2497" s="25">
        <f t="shared" si="77"/>
        <v>176800</v>
      </c>
      <c r="O2497" s="56"/>
    </row>
    <row r="2498" spans="1:15" hidden="1" x14ac:dyDescent="0.3">
      <c r="A2498" s="26">
        <v>31</v>
      </c>
      <c r="B2498" s="20" t="str">
        <f t="shared" si="76"/>
        <v>JUL</v>
      </c>
      <c r="C2498" s="21">
        <v>46230</v>
      </c>
      <c r="D2498" s="22" t="str">
        <f t="array" ref="D2498">IFERROR(INDEX('[1]Kode Outlet dan Target Toko'!$A:$A,MATCH($I2498,'[1]Kode Outlet dan Target Toko'!$E:$E,0)),"")</f>
        <v>GRSM 2</v>
      </c>
      <c r="E2498" s="20" t="str">
        <f>IFERROR(VLOOKUP(I2498,KET!$B:$F,4,0),"")</f>
        <v>AFNITA SARI</v>
      </c>
      <c r="F2498" s="20" t="str">
        <f>IFERROR(VLOOKUP(I2498,[1]KET!$B:$F,5,0),"")</f>
        <v>MT</v>
      </c>
      <c r="G2498" s="20">
        <f>IFERROR(INDEX('Kode Outlet dan Target Toko'!$C:$C,MATCH($I2498,'Kode Outlet dan Target Toko'!$E:$E,0)),0)</f>
        <v>175700</v>
      </c>
      <c r="H2498" s="20">
        <f>IFERROR(INDEX('Kode Outlet dan Target Toko'!$D:$D,MATCH($I2498,'Kode Outlet dan Target Toko'!$E:$E,0)),0)</f>
        <v>1370001</v>
      </c>
      <c r="I2498" s="42" t="s">
        <v>74</v>
      </c>
      <c r="J2498" s="56" t="s">
        <v>297</v>
      </c>
      <c r="K2498" s="40" t="s">
        <v>16</v>
      </c>
      <c r="L2498" s="26">
        <v>2210</v>
      </c>
      <c r="M2498" s="26">
        <v>160</v>
      </c>
      <c r="N2498" s="25">
        <f t="shared" si="77"/>
        <v>353600</v>
      </c>
      <c r="O2498" s="56">
        <v>80</v>
      </c>
    </row>
    <row r="2499" spans="1:15" hidden="1" x14ac:dyDescent="0.3">
      <c r="A2499" s="26">
        <v>31</v>
      </c>
      <c r="B2499" s="20" t="str">
        <f t="shared" si="76"/>
        <v>JUL</v>
      </c>
      <c r="C2499" s="21">
        <v>46230</v>
      </c>
      <c r="D2499" s="22" t="str">
        <f t="array" ref="D2499">IFERROR(INDEX('[1]Kode Outlet dan Target Toko'!$A:$A,MATCH($I2499,'[1]Kode Outlet dan Target Toko'!$E:$E,0)),"")</f>
        <v>GRSM 2</v>
      </c>
      <c r="E2499" s="20" t="str">
        <f>IFERROR(VLOOKUP(I2499,KET!$B:$F,4,0),"")</f>
        <v>AFNITA SARI</v>
      </c>
      <c r="F2499" s="20" t="str">
        <f>IFERROR(VLOOKUP(I2499,[1]KET!$B:$F,5,0),"")</f>
        <v>MT</v>
      </c>
      <c r="G2499" s="20">
        <f>IFERROR(INDEX('Kode Outlet dan Target Toko'!$C:$C,MATCH($I2499,'Kode Outlet dan Target Toko'!$E:$E,0)),0)</f>
        <v>175700</v>
      </c>
      <c r="H2499" s="20">
        <f>IFERROR(INDEX('Kode Outlet dan Target Toko'!$D:$D,MATCH($I2499,'Kode Outlet dan Target Toko'!$E:$E,0)),0)</f>
        <v>1370001</v>
      </c>
      <c r="I2499" s="42" t="s">
        <v>74</v>
      </c>
      <c r="J2499" s="56" t="s">
        <v>298</v>
      </c>
      <c r="K2499" s="40" t="s">
        <v>13</v>
      </c>
      <c r="L2499" s="26">
        <v>2210</v>
      </c>
      <c r="M2499" s="26">
        <v>80</v>
      </c>
      <c r="N2499" s="25">
        <f t="shared" si="77"/>
        <v>176800</v>
      </c>
      <c r="O2499" s="56"/>
    </row>
    <row r="2500" spans="1:15" hidden="1" x14ac:dyDescent="0.3">
      <c r="A2500" s="26">
        <v>31</v>
      </c>
      <c r="B2500" s="20" t="str">
        <f t="shared" si="76"/>
        <v>JUL</v>
      </c>
      <c r="C2500" s="21">
        <v>46230</v>
      </c>
      <c r="D2500" s="22" t="str">
        <f t="array" ref="D2500">IFERROR(INDEX('[1]Kode Outlet dan Target Toko'!$A:$A,MATCH($I2500,'[1]Kode Outlet dan Target Toko'!$E:$E,0)),"")</f>
        <v>GRSM 2</v>
      </c>
      <c r="E2500" s="20" t="str">
        <f>IFERROR(VLOOKUP(I2500,KET!$B:$F,4,0),"")</f>
        <v>AFNITA SARI</v>
      </c>
      <c r="F2500" s="20" t="str">
        <f>IFERROR(VLOOKUP(I2500,[1]KET!$B:$F,5,0),"")</f>
        <v>MT</v>
      </c>
      <c r="G2500" s="20">
        <f>IFERROR(INDEX('Kode Outlet dan Target Toko'!$C:$C,MATCH($I2500,'Kode Outlet dan Target Toko'!$E:$E,0)),0)</f>
        <v>175700</v>
      </c>
      <c r="H2500" s="20">
        <f>IFERROR(INDEX('Kode Outlet dan Target Toko'!$D:$D,MATCH($I2500,'Kode Outlet dan Target Toko'!$E:$E,0)),0)</f>
        <v>1370001</v>
      </c>
      <c r="I2500" s="42" t="s">
        <v>74</v>
      </c>
      <c r="J2500" s="56" t="s">
        <v>298</v>
      </c>
      <c r="K2500" s="40" t="s">
        <v>14</v>
      </c>
      <c r="L2500" s="26">
        <v>2210</v>
      </c>
      <c r="M2500" s="26">
        <v>120</v>
      </c>
      <c r="N2500" s="25">
        <f t="shared" si="77"/>
        <v>265200</v>
      </c>
      <c r="O2500" s="56"/>
    </row>
    <row r="2501" spans="1:15" hidden="1" x14ac:dyDescent="0.3">
      <c r="A2501" s="26">
        <v>31</v>
      </c>
      <c r="B2501" s="20" t="str">
        <f t="shared" si="76"/>
        <v>JUL</v>
      </c>
      <c r="C2501" s="21">
        <v>46230</v>
      </c>
      <c r="D2501" s="22" t="str">
        <f t="array" ref="D2501">IFERROR(INDEX('[1]Kode Outlet dan Target Toko'!$A:$A,MATCH($I2501,'[1]Kode Outlet dan Target Toko'!$E:$E,0)),"")</f>
        <v>GRSM 2</v>
      </c>
      <c r="E2501" s="20" t="str">
        <f>IFERROR(VLOOKUP(I2501,KET!$B:$F,4,0),"")</f>
        <v>AFNITA SARI</v>
      </c>
      <c r="F2501" s="20" t="str">
        <f>IFERROR(VLOOKUP(I2501,[1]KET!$B:$F,5,0),"")</f>
        <v>MT</v>
      </c>
      <c r="G2501" s="20">
        <f>IFERROR(INDEX('Kode Outlet dan Target Toko'!$C:$C,MATCH($I2501,'Kode Outlet dan Target Toko'!$E:$E,0)),0)</f>
        <v>175700</v>
      </c>
      <c r="H2501" s="20">
        <f>IFERROR(INDEX('Kode Outlet dan Target Toko'!$D:$D,MATCH($I2501,'Kode Outlet dan Target Toko'!$E:$E,0)),0)</f>
        <v>1370001</v>
      </c>
      <c r="I2501" s="42" t="s">
        <v>74</v>
      </c>
      <c r="J2501" s="56" t="s">
        <v>298</v>
      </c>
      <c r="K2501" s="40" t="s">
        <v>15</v>
      </c>
      <c r="L2501" s="26">
        <v>2210</v>
      </c>
      <c r="M2501" s="26">
        <v>80</v>
      </c>
      <c r="N2501" s="25">
        <f t="shared" si="77"/>
        <v>176800</v>
      </c>
      <c r="O2501" s="56"/>
    </row>
    <row r="2502" spans="1:15" hidden="1" x14ac:dyDescent="0.3">
      <c r="A2502" s="26">
        <v>31</v>
      </c>
      <c r="B2502" s="20" t="str">
        <f t="shared" si="76"/>
        <v>JUL</v>
      </c>
      <c r="C2502" s="21">
        <v>46230</v>
      </c>
      <c r="D2502" s="22" t="str">
        <f t="array" ref="D2502">IFERROR(INDEX('[1]Kode Outlet dan Target Toko'!$A:$A,MATCH($I2502,'[1]Kode Outlet dan Target Toko'!$E:$E,0)),"")</f>
        <v>GRSM 2</v>
      </c>
      <c r="E2502" s="20" t="str">
        <f>IFERROR(VLOOKUP(I2502,KET!$B:$F,4,0),"")</f>
        <v>AFNITA SARI</v>
      </c>
      <c r="F2502" s="20" t="str">
        <f>IFERROR(VLOOKUP(I2502,[1]KET!$B:$F,5,0),"")</f>
        <v>MT</v>
      </c>
      <c r="G2502" s="20">
        <f>IFERROR(INDEX('Kode Outlet dan Target Toko'!$C:$C,MATCH($I2502,'Kode Outlet dan Target Toko'!$E:$E,0)),0)</f>
        <v>175700</v>
      </c>
      <c r="H2502" s="20">
        <f>IFERROR(INDEX('Kode Outlet dan Target Toko'!$D:$D,MATCH($I2502,'Kode Outlet dan Target Toko'!$E:$E,0)),0)</f>
        <v>1370001</v>
      </c>
      <c r="I2502" s="42" t="s">
        <v>74</v>
      </c>
      <c r="J2502" s="56" t="s">
        <v>298</v>
      </c>
      <c r="K2502" s="40" t="s">
        <v>16</v>
      </c>
      <c r="L2502" s="26">
        <v>2210</v>
      </c>
      <c r="M2502" s="26">
        <v>160</v>
      </c>
      <c r="N2502" s="25">
        <f t="shared" si="77"/>
        <v>353600</v>
      </c>
      <c r="O2502" s="56">
        <v>80</v>
      </c>
    </row>
    <row r="2503" spans="1:15" hidden="1" x14ac:dyDescent="0.3">
      <c r="A2503" s="26">
        <v>31</v>
      </c>
      <c r="B2503" s="20" t="str">
        <f t="shared" ref="B2503:B2566" si="78">IF(C2503="","",UPPER(TEXT(C2503, "MMM")))</f>
        <v>JUL</v>
      </c>
      <c r="C2503" s="21">
        <v>46234</v>
      </c>
      <c r="D2503" s="22" t="str">
        <f t="array" ref="D2503">IFERROR(INDEX('Kode Outlet dan Target Toko'!$A:$A,MATCH($I2503,'Kode Outlet dan Target Toko'!$E:$E,0)),"")</f>
        <v>GRSM 5</v>
      </c>
      <c r="E2503" s="20" t="str">
        <f>IFERROR(VLOOKUP(I2503,KET!$B:$F,4,0),"")</f>
        <v>SUPRIYATI</v>
      </c>
      <c r="F2503" s="20" t="str">
        <f>IFERROR(VLOOKUP(I2503,KET!$B:$F,5,0),"")</f>
        <v>GMM</v>
      </c>
      <c r="G2503" s="20">
        <f>IFERROR(INDEX('Kode Outlet dan Target Toko'!$C:$C,MATCH($I2503,'Kode Outlet dan Target Toko'!$E:$E,0)),0)</f>
        <v>170220</v>
      </c>
      <c r="H2503" s="20">
        <f>IFERROR(INDEX('Kode Outlet dan Target Toko'!$D:$D,MATCH($I2503,'Kode Outlet dan Target Toko'!$E:$E,0)),0)</f>
        <v>9000015</v>
      </c>
      <c r="I2503" s="42" t="s">
        <v>37</v>
      </c>
      <c r="J2503" s="56" t="s">
        <v>265</v>
      </c>
      <c r="K2503" s="40" t="s">
        <v>15</v>
      </c>
      <c r="L2503" s="26">
        <v>2200</v>
      </c>
      <c r="M2503" s="26">
        <v>131</v>
      </c>
      <c r="N2503" s="25">
        <f t="shared" ref="N2503:N2566" si="79">IFERROR(M2503*L2503,"")</f>
        <v>288200</v>
      </c>
      <c r="O2503" s="56"/>
    </row>
    <row r="2504" spans="1:15" hidden="1" x14ac:dyDescent="0.3">
      <c r="A2504" s="26">
        <v>31</v>
      </c>
      <c r="B2504" s="20" t="str">
        <f t="shared" si="78"/>
        <v>JUL</v>
      </c>
      <c r="C2504" s="21">
        <v>46234</v>
      </c>
      <c r="D2504" s="22" t="str">
        <f t="array" ref="D2504">IFERROR(INDEX('Kode Outlet dan Target Toko'!$A:$A,MATCH($I2504,'Kode Outlet dan Target Toko'!$E:$E,0)),"")</f>
        <v>GRSM 5</v>
      </c>
      <c r="E2504" s="20" t="str">
        <f>IFERROR(VLOOKUP(I2504,KET!$B:$F,4,0),"")</f>
        <v>SUPRIYATI</v>
      </c>
      <c r="F2504" s="20" t="str">
        <f>IFERROR(VLOOKUP(I2504,KET!$B:$F,5,0),"")</f>
        <v>GMM</v>
      </c>
      <c r="G2504" s="20">
        <f>IFERROR(INDEX('Kode Outlet dan Target Toko'!$C:$C,MATCH($I2504,'Kode Outlet dan Target Toko'!$E:$E,0)),0)</f>
        <v>170220</v>
      </c>
      <c r="H2504" s="20">
        <f>IFERROR(INDEX('Kode Outlet dan Target Toko'!$D:$D,MATCH($I2504,'Kode Outlet dan Target Toko'!$E:$E,0)),0)</f>
        <v>9000015</v>
      </c>
      <c r="I2504" s="42" t="s">
        <v>37</v>
      </c>
      <c r="J2504" s="56" t="s">
        <v>265</v>
      </c>
      <c r="K2504" s="40" t="s">
        <v>14</v>
      </c>
      <c r="L2504" s="26">
        <v>2200</v>
      </c>
      <c r="M2504" s="26">
        <v>204</v>
      </c>
      <c r="N2504" s="25">
        <f t="shared" si="79"/>
        <v>448800</v>
      </c>
      <c r="O2504" s="56"/>
    </row>
    <row r="2505" spans="1:15" hidden="1" x14ac:dyDescent="0.3">
      <c r="A2505" s="26">
        <v>31</v>
      </c>
      <c r="B2505" s="20" t="str">
        <f t="shared" si="78"/>
        <v>JUL</v>
      </c>
      <c r="C2505" s="21">
        <v>46234</v>
      </c>
      <c r="D2505" s="22" t="str">
        <f t="array" ref="D2505">IFERROR(INDEX('Kode Outlet dan Target Toko'!$A:$A,MATCH($I2505,'Kode Outlet dan Target Toko'!$E:$E,0)),"")</f>
        <v>GRSM 5</v>
      </c>
      <c r="E2505" s="20" t="str">
        <f>IFERROR(VLOOKUP(I2505,KET!$B:$F,4,0),"")</f>
        <v>SUPRIYATI</v>
      </c>
      <c r="F2505" s="20" t="str">
        <f>IFERROR(VLOOKUP(I2505,KET!$B:$F,5,0),"")</f>
        <v>GMM</v>
      </c>
      <c r="G2505" s="20">
        <f>IFERROR(INDEX('Kode Outlet dan Target Toko'!$C:$C,MATCH($I2505,'Kode Outlet dan Target Toko'!$E:$E,0)),0)</f>
        <v>170220</v>
      </c>
      <c r="H2505" s="20">
        <f>IFERROR(INDEX('Kode Outlet dan Target Toko'!$D:$D,MATCH($I2505,'Kode Outlet dan Target Toko'!$E:$E,0)),0)</f>
        <v>9000015</v>
      </c>
      <c r="I2505" s="42" t="s">
        <v>37</v>
      </c>
      <c r="J2505" s="56" t="s">
        <v>265</v>
      </c>
      <c r="K2505" s="40" t="s">
        <v>13</v>
      </c>
      <c r="L2505" s="26">
        <v>2200</v>
      </c>
      <c r="M2505" s="26">
        <v>67</v>
      </c>
      <c r="N2505" s="25">
        <f t="shared" si="79"/>
        <v>147400</v>
      </c>
      <c r="O2505" s="56"/>
    </row>
    <row r="2506" spans="1:15" hidden="1" x14ac:dyDescent="0.3">
      <c r="A2506" s="26">
        <v>31</v>
      </c>
      <c r="B2506" s="20" t="str">
        <f t="shared" si="78"/>
        <v>JUL</v>
      </c>
      <c r="C2506" s="21">
        <v>46234</v>
      </c>
      <c r="D2506" s="22" t="str">
        <f t="array" ref="D2506">IFERROR(INDEX('Kode Outlet dan Target Toko'!$A:$A,MATCH($I2506,'Kode Outlet dan Target Toko'!$E:$E,0)),"")</f>
        <v>GRSM 5</v>
      </c>
      <c r="E2506" s="20" t="str">
        <f>IFERROR(VLOOKUP(I2506,KET!$B:$F,4,0),"")</f>
        <v>SUPRIYATI</v>
      </c>
      <c r="F2506" s="20" t="str">
        <f>IFERROR(VLOOKUP(I2506,KET!$B:$F,5,0),"")</f>
        <v>GMM</v>
      </c>
      <c r="G2506" s="20">
        <f>IFERROR(INDEX('Kode Outlet dan Target Toko'!$C:$C,MATCH($I2506,'Kode Outlet dan Target Toko'!$E:$E,0)),0)</f>
        <v>170220</v>
      </c>
      <c r="H2506" s="20">
        <f>IFERROR(INDEX('Kode Outlet dan Target Toko'!$D:$D,MATCH($I2506,'Kode Outlet dan Target Toko'!$E:$E,0)),0)</f>
        <v>9000015</v>
      </c>
      <c r="I2506" s="42" t="s">
        <v>37</v>
      </c>
      <c r="J2506" s="56" t="s">
        <v>265</v>
      </c>
      <c r="K2506" s="40" t="s">
        <v>16</v>
      </c>
      <c r="L2506" s="26">
        <v>2200</v>
      </c>
      <c r="M2506" s="26">
        <v>302</v>
      </c>
      <c r="N2506" s="25">
        <f t="shared" si="79"/>
        <v>664400</v>
      </c>
      <c r="O2506" s="56">
        <v>320</v>
      </c>
    </row>
    <row r="2507" spans="1:15" hidden="1" x14ac:dyDescent="0.3">
      <c r="A2507" s="26">
        <v>31</v>
      </c>
      <c r="B2507" s="20" t="str">
        <f t="shared" si="78"/>
        <v>JUL</v>
      </c>
      <c r="C2507" s="21">
        <v>46234</v>
      </c>
      <c r="D2507" s="22" t="str">
        <f t="array" ref="D2507">IFERROR(INDEX('Kode Outlet dan Target Toko'!$A:$A,MATCH($I2507,'Kode Outlet dan Target Toko'!$E:$E,0)),"")</f>
        <v>GRSM 5</v>
      </c>
      <c r="E2507" s="20" t="str">
        <f>IFERROR(VLOOKUP(I2507,KET!$B:$F,4,0),"")</f>
        <v>SUPRIYATI</v>
      </c>
      <c r="F2507" s="20" t="str">
        <f>IFERROR(VLOOKUP(I2507,KET!$B:$F,5,0),"")</f>
        <v>GMM</v>
      </c>
      <c r="G2507" s="20">
        <f>IFERROR(INDEX('Kode Outlet dan Target Toko'!$C:$C,MATCH($I2507,'Kode Outlet dan Target Toko'!$E:$E,0)),0)</f>
        <v>170220</v>
      </c>
      <c r="H2507" s="20">
        <f>IFERROR(INDEX('Kode Outlet dan Target Toko'!$D:$D,MATCH($I2507,'Kode Outlet dan Target Toko'!$E:$E,0)),0)</f>
        <v>9000015</v>
      </c>
      <c r="I2507" s="42" t="s">
        <v>37</v>
      </c>
      <c r="J2507" s="56" t="s">
        <v>288</v>
      </c>
      <c r="K2507" s="40" t="s">
        <v>15</v>
      </c>
      <c r="L2507" s="26">
        <v>2200</v>
      </c>
      <c r="M2507" s="26">
        <v>131</v>
      </c>
      <c r="N2507" s="25">
        <f t="shared" si="79"/>
        <v>288200</v>
      </c>
      <c r="O2507" s="56"/>
    </row>
    <row r="2508" spans="1:15" hidden="1" x14ac:dyDescent="0.3">
      <c r="A2508" s="26">
        <v>31</v>
      </c>
      <c r="B2508" s="20" t="str">
        <f t="shared" si="78"/>
        <v>JUL</v>
      </c>
      <c r="C2508" s="21">
        <v>46234</v>
      </c>
      <c r="D2508" s="22" t="str">
        <f t="array" ref="D2508">IFERROR(INDEX('Kode Outlet dan Target Toko'!$A:$A,MATCH($I2508,'Kode Outlet dan Target Toko'!$E:$E,0)),"")</f>
        <v>GRSM 5</v>
      </c>
      <c r="E2508" s="20" t="str">
        <f>IFERROR(VLOOKUP(I2508,KET!$B:$F,4,0),"")</f>
        <v>SUPRIYATI</v>
      </c>
      <c r="F2508" s="20" t="str">
        <f>IFERROR(VLOOKUP(I2508,KET!$B:$F,5,0),"")</f>
        <v>GMM</v>
      </c>
      <c r="G2508" s="20">
        <f>IFERROR(INDEX('Kode Outlet dan Target Toko'!$C:$C,MATCH($I2508,'Kode Outlet dan Target Toko'!$E:$E,0)),0)</f>
        <v>170220</v>
      </c>
      <c r="H2508" s="20">
        <f>IFERROR(INDEX('Kode Outlet dan Target Toko'!$D:$D,MATCH($I2508,'Kode Outlet dan Target Toko'!$E:$E,0)),0)</f>
        <v>9000015</v>
      </c>
      <c r="I2508" s="42" t="s">
        <v>37</v>
      </c>
      <c r="J2508" s="56" t="s">
        <v>288</v>
      </c>
      <c r="K2508" s="40" t="s">
        <v>14</v>
      </c>
      <c r="L2508" s="26">
        <v>2200</v>
      </c>
      <c r="M2508" s="26">
        <v>204</v>
      </c>
      <c r="N2508" s="25">
        <f t="shared" si="79"/>
        <v>448800</v>
      </c>
      <c r="O2508" s="56"/>
    </row>
    <row r="2509" spans="1:15" hidden="1" x14ac:dyDescent="0.3">
      <c r="A2509" s="26">
        <v>31</v>
      </c>
      <c r="B2509" s="20" t="str">
        <f t="shared" si="78"/>
        <v>JUL</v>
      </c>
      <c r="C2509" s="21">
        <v>46234</v>
      </c>
      <c r="D2509" s="22" t="str">
        <f t="array" ref="D2509">IFERROR(INDEX('Kode Outlet dan Target Toko'!$A:$A,MATCH($I2509,'Kode Outlet dan Target Toko'!$E:$E,0)),"")</f>
        <v>GRSM 5</v>
      </c>
      <c r="E2509" s="20" t="str">
        <f>IFERROR(VLOOKUP(I2509,KET!$B:$F,4,0),"")</f>
        <v>SUPRIYATI</v>
      </c>
      <c r="F2509" s="20" t="str">
        <f>IFERROR(VLOOKUP(I2509,KET!$B:$F,5,0),"")</f>
        <v>GMM</v>
      </c>
      <c r="G2509" s="20">
        <f>IFERROR(INDEX('Kode Outlet dan Target Toko'!$C:$C,MATCH($I2509,'Kode Outlet dan Target Toko'!$E:$E,0)),0)</f>
        <v>170220</v>
      </c>
      <c r="H2509" s="20">
        <f>IFERROR(INDEX('Kode Outlet dan Target Toko'!$D:$D,MATCH($I2509,'Kode Outlet dan Target Toko'!$E:$E,0)),0)</f>
        <v>9000015</v>
      </c>
      <c r="I2509" s="42" t="s">
        <v>37</v>
      </c>
      <c r="J2509" s="56" t="s">
        <v>288</v>
      </c>
      <c r="K2509" s="40" t="s">
        <v>13</v>
      </c>
      <c r="L2509" s="26">
        <v>2200</v>
      </c>
      <c r="M2509" s="26">
        <v>67</v>
      </c>
      <c r="N2509" s="25">
        <f t="shared" si="79"/>
        <v>147400</v>
      </c>
      <c r="O2509" s="56"/>
    </row>
    <row r="2510" spans="1:15" hidden="1" x14ac:dyDescent="0.3">
      <c r="A2510" s="26">
        <v>31</v>
      </c>
      <c r="B2510" s="20" t="str">
        <f t="shared" si="78"/>
        <v>JUL</v>
      </c>
      <c r="C2510" s="21">
        <v>46234</v>
      </c>
      <c r="D2510" s="22" t="str">
        <f t="array" ref="D2510">IFERROR(INDEX('Kode Outlet dan Target Toko'!$A:$A,MATCH($I2510,'Kode Outlet dan Target Toko'!$E:$E,0)),"")</f>
        <v>GRSM 5</v>
      </c>
      <c r="E2510" s="20" t="str">
        <f>IFERROR(VLOOKUP(I2510,KET!$B:$F,4,0),"")</f>
        <v>SUPRIYATI</v>
      </c>
      <c r="F2510" s="20" t="str">
        <f>IFERROR(VLOOKUP(I2510,KET!$B:$F,5,0),"")</f>
        <v>GMM</v>
      </c>
      <c r="G2510" s="20">
        <f>IFERROR(INDEX('Kode Outlet dan Target Toko'!$C:$C,MATCH($I2510,'Kode Outlet dan Target Toko'!$E:$E,0)),0)</f>
        <v>170220</v>
      </c>
      <c r="H2510" s="20">
        <f>IFERROR(INDEX('Kode Outlet dan Target Toko'!$D:$D,MATCH($I2510,'Kode Outlet dan Target Toko'!$E:$E,0)),0)</f>
        <v>9000015</v>
      </c>
      <c r="I2510" s="42" t="s">
        <v>37</v>
      </c>
      <c r="J2510" s="56" t="s">
        <v>288</v>
      </c>
      <c r="K2510" s="40" t="s">
        <v>16</v>
      </c>
      <c r="L2510" s="26">
        <v>2200</v>
      </c>
      <c r="M2510" s="26">
        <v>302</v>
      </c>
      <c r="N2510" s="25">
        <f t="shared" si="79"/>
        <v>664400</v>
      </c>
      <c r="O2510" s="56">
        <v>320</v>
      </c>
    </row>
    <row r="2511" spans="1:15" hidden="1" x14ac:dyDescent="0.3">
      <c r="A2511" s="26">
        <v>31</v>
      </c>
      <c r="B2511" s="20" t="str">
        <f t="shared" si="78"/>
        <v>JUL</v>
      </c>
      <c r="C2511" s="21">
        <v>46234</v>
      </c>
      <c r="D2511" s="22" t="str">
        <f t="array" ref="D2511">IFERROR(INDEX('Kode Outlet dan Target Toko'!$A:$A,MATCH($I2511,'Kode Outlet dan Target Toko'!$E:$E,0)),"")</f>
        <v>GRSM 5</v>
      </c>
      <c r="E2511" s="20" t="str">
        <f>IFERROR(VLOOKUP(I2511,KET!$B:$F,4,0),"")</f>
        <v>SUPRIYATI</v>
      </c>
      <c r="F2511" s="20" t="str">
        <f>IFERROR(VLOOKUP(I2511,KET!$B:$F,5,0),"")</f>
        <v>GMM</v>
      </c>
      <c r="G2511" s="20">
        <f>IFERROR(INDEX('Kode Outlet dan Target Toko'!$C:$C,MATCH($I2511,'Kode Outlet dan Target Toko'!$E:$E,0)),0)</f>
        <v>170220</v>
      </c>
      <c r="H2511" s="20">
        <f>IFERROR(INDEX('Kode Outlet dan Target Toko'!$D:$D,MATCH($I2511,'Kode Outlet dan Target Toko'!$E:$E,0)),0)</f>
        <v>1901019</v>
      </c>
      <c r="I2511" s="42" t="s">
        <v>38</v>
      </c>
      <c r="J2511" s="56" t="s">
        <v>268</v>
      </c>
      <c r="K2511" s="40" t="s">
        <v>15</v>
      </c>
      <c r="L2511" s="26">
        <v>2200</v>
      </c>
      <c r="M2511" s="26">
        <v>87</v>
      </c>
      <c r="N2511" s="25">
        <f t="shared" si="79"/>
        <v>191400</v>
      </c>
      <c r="O2511" s="56"/>
    </row>
    <row r="2512" spans="1:15" hidden="1" x14ac:dyDescent="0.3">
      <c r="A2512" s="26">
        <v>31</v>
      </c>
      <c r="B2512" s="20" t="str">
        <f t="shared" si="78"/>
        <v>JUL</v>
      </c>
      <c r="C2512" s="21">
        <v>46234</v>
      </c>
      <c r="D2512" s="22" t="str">
        <f t="array" ref="D2512">IFERROR(INDEX('Kode Outlet dan Target Toko'!$A:$A,MATCH($I2512,'Kode Outlet dan Target Toko'!$E:$E,0)),"")</f>
        <v>GRSM 5</v>
      </c>
      <c r="E2512" s="20" t="str">
        <f>IFERROR(VLOOKUP(I2512,KET!$B:$F,4,0),"")</f>
        <v>SUPRIYATI</v>
      </c>
      <c r="F2512" s="20" t="str">
        <f>IFERROR(VLOOKUP(I2512,KET!$B:$F,5,0),"")</f>
        <v>GMM</v>
      </c>
      <c r="G2512" s="20">
        <f>IFERROR(INDEX('Kode Outlet dan Target Toko'!$C:$C,MATCH($I2512,'Kode Outlet dan Target Toko'!$E:$E,0)),0)</f>
        <v>170220</v>
      </c>
      <c r="H2512" s="20">
        <f>IFERROR(INDEX('Kode Outlet dan Target Toko'!$D:$D,MATCH($I2512,'Kode Outlet dan Target Toko'!$E:$E,0)),0)</f>
        <v>1901019</v>
      </c>
      <c r="I2512" s="42" t="s">
        <v>38</v>
      </c>
      <c r="J2512" s="56" t="s">
        <v>268</v>
      </c>
      <c r="K2512" s="40" t="s">
        <v>14</v>
      </c>
      <c r="L2512" s="26">
        <v>2200</v>
      </c>
      <c r="M2512" s="26">
        <v>91</v>
      </c>
      <c r="N2512" s="25">
        <f t="shared" si="79"/>
        <v>200200</v>
      </c>
      <c r="O2512" s="56"/>
    </row>
    <row r="2513" spans="1:15" hidden="1" x14ac:dyDescent="0.3">
      <c r="A2513" s="26">
        <v>31</v>
      </c>
      <c r="B2513" s="20" t="str">
        <f t="shared" si="78"/>
        <v>JUL</v>
      </c>
      <c r="C2513" s="21">
        <v>46234</v>
      </c>
      <c r="D2513" s="22" t="str">
        <f t="array" ref="D2513">IFERROR(INDEX('Kode Outlet dan Target Toko'!$A:$A,MATCH($I2513,'Kode Outlet dan Target Toko'!$E:$E,0)),"")</f>
        <v>GRSM 5</v>
      </c>
      <c r="E2513" s="20" t="str">
        <f>IFERROR(VLOOKUP(I2513,KET!$B:$F,4,0),"")</f>
        <v>SUPRIYATI</v>
      </c>
      <c r="F2513" s="20" t="str">
        <f>IFERROR(VLOOKUP(I2513,KET!$B:$F,5,0),"")</f>
        <v>GMM</v>
      </c>
      <c r="G2513" s="20">
        <f>IFERROR(INDEX('Kode Outlet dan Target Toko'!$C:$C,MATCH($I2513,'Kode Outlet dan Target Toko'!$E:$E,0)),0)</f>
        <v>170220</v>
      </c>
      <c r="H2513" s="20">
        <f>IFERROR(INDEX('Kode Outlet dan Target Toko'!$D:$D,MATCH($I2513,'Kode Outlet dan Target Toko'!$E:$E,0)),0)</f>
        <v>1901019</v>
      </c>
      <c r="I2513" s="42" t="s">
        <v>38</v>
      </c>
      <c r="J2513" s="56" t="s">
        <v>268</v>
      </c>
      <c r="K2513" s="40" t="s">
        <v>13</v>
      </c>
      <c r="L2513" s="26">
        <v>2200</v>
      </c>
      <c r="M2513" s="26">
        <v>111</v>
      </c>
      <c r="N2513" s="25">
        <f t="shared" si="79"/>
        <v>244200</v>
      </c>
      <c r="O2513" s="56"/>
    </row>
    <row r="2514" spans="1:15" hidden="1" x14ac:dyDescent="0.3">
      <c r="A2514" s="26">
        <v>31</v>
      </c>
      <c r="B2514" s="20" t="str">
        <f t="shared" si="78"/>
        <v>JUL</v>
      </c>
      <c r="C2514" s="21">
        <v>46234</v>
      </c>
      <c r="D2514" s="22" t="str">
        <f t="array" ref="D2514">IFERROR(INDEX('Kode Outlet dan Target Toko'!$A:$A,MATCH($I2514,'Kode Outlet dan Target Toko'!$E:$E,0)),"")</f>
        <v>GRSM 5</v>
      </c>
      <c r="E2514" s="20" t="str">
        <f>IFERROR(VLOOKUP(I2514,KET!$B:$F,4,0),"")</f>
        <v>SUPRIYATI</v>
      </c>
      <c r="F2514" s="20" t="str">
        <f>IFERROR(VLOOKUP(I2514,KET!$B:$F,5,0),"")</f>
        <v>GMM</v>
      </c>
      <c r="G2514" s="20">
        <f>IFERROR(INDEX('Kode Outlet dan Target Toko'!$C:$C,MATCH($I2514,'Kode Outlet dan Target Toko'!$E:$E,0)),0)</f>
        <v>170220</v>
      </c>
      <c r="H2514" s="20">
        <f>IFERROR(INDEX('Kode Outlet dan Target Toko'!$D:$D,MATCH($I2514,'Kode Outlet dan Target Toko'!$E:$E,0)),0)</f>
        <v>1901019</v>
      </c>
      <c r="I2514" s="42" t="s">
        <v>38</v>
      </c>
      <c r="J2514" s="56" t="s">
        <v>268</v>
      </c>
      <c r="K2514" s="40" t="s">
        <v>16</v>
      </c>
      <c r="L2514" s="26">
        <v>2200</v>
      </c>
      <c r="M2514" s="26">
        <v>271</v>
      </c>
      <c r="N2514" s="25">
        <f t="shared" si="79"/>
        <v>596200</v>
      </c>
      <c r="O2514" s="56">
        <v>223</v>
      </c>
    </row>
    <row r="2515" spans="1:15" hidden="1" x14ac:dyDescent="0.3">
      <c r="A2515" s="26">
        <v>31</v>
      </c>
      <c r="B2515" s="20" t="str">
        <f t="shared" si="78"/>
        <v>JUL</v>
      </c>
      <c r="C2515" s="21">
        <v>46234</v>
      </c>
      <c r="D2515" s="22" t="str">
        <f t="array" ref="D2515">IFERROR(INDEX('Kode Outlet dan Target Toko'!$A:$A,MATCH($I2515,'Kode Outlet dan Target Toko'!$E:$E,0)),"")</f>
        <v>GRSM 5</v>
      </c>
      <c r="E2515" s="20" t="str">
        <f>IFERROR(VLOOKUP(I2515,KET!$B:$F,4,0),"")</f>
        <v>SUPRIYATI</v>
      </c>
      <c r="F2515" s="20" t="str">
        <f>IFERROR(VLOOKUP(I2515,KET!$B:$F,5,0),"")</f>
        <v>GMM</v>
      </c>
      <c r="G2515" s="20">
        <f>IFERROR(INDEX('Kode Outlet dan Target Toko'!$C:$C,MATCH($I2515,'Kode Outlet dan Target Toko'!$E:$E,0)),0)</f>
        <v>170220</v>
      </c>
      <c r="H2515" s="20">
        <f>IFERROR(INDEX('Kode Outlet dan Target Toko'!$D:$D,MATCH($I2515,'Kode Outlet dan Target Toko'!$E:$E,0)),0)</f>
        <v>1901019</v>
      </c>
      <c r="I2515" s="42" t="s">
        <v>38</v>
      </c>
      <c r="J2515" s="56" t="s">
        <v>267</v>
      </c>
      <c r="K2515" s="40" t="s">
        <v>15</v>
      </c>
      <c r="L2515" s="26">
        <v>2200</v>
      </c>
      <c r="M2515" s="26">
        <v>87</v>
      </c>
      <c r="N2515" s="25">
        <f t="shared" si="79"/>
        <v>191400</v>
      </c>
      <c r="O2515" s="56"/>
    </row>
    <row r="2516" spans="1:15" hidden="1" x14ac:dyDescent="0.3">
      <c r="A2516" s="26">
        <v>31</v>
      </c>
      <c r="B2516" s="20" t="str">
        <f t="shared" si="78"/>
        <v>JUL</v>
      </c>
      <c r="C2516" s="21">
        <v>46234</v>
      </c>
      <c r="D2516" s="22" t="str">
        <f t="array" ref="D2516">IFERROR(INDEX('Kode Outlet dan Target Toko'!$A:$A,MATCH($I2516,'Kode Outlet dan Target Toko'!$E:$E,0)),"")</f>
        <v>GRSM 5</v>
      </c>
      <c r="E2516" s="20" t="str">
        <f>IFERROR(VLOOKUP(I2516,KET!$B:$F,4,0),"")</f>
        <v>SUPRIYATI</v>
      </c>
      <c r="F2516" s="20" t="str">
        <f>IFERROR(VLOOKUP(I2516,KET!$B:$F,5,0),"")</f>
        <v>GMM</v>
      </c>
      <c r="G2516" s="20">
        <f>IFERROR(INDEX('Kode Outlet dan Target Toko'!$C:$C,MATCH($I2516,'Kode Outlet dan Target Toko'!$E:$E,0)),0)</f>
        <v>170220</v>
      </c>
      <c r="H2516" s="20">
        <f>IFERROR(INDEX('Kode Outlet dan Target Toko'!$D:$D,MATCH($I2516,'Kode Outlet dan Target Toko'!$E:$E,0)),0)</f>
        <v>1901019</v>
      </c>
      <c r="I2516" s="42" t="s">
        <v>38</v>
      </c>
      <c r="J2516" s="56" t="s">
        <v>267</v>
      </c>
      <c r="K2516" s="40" t="s">
        <v>14</v>
      </c>
      <c r="L2516" s="26">
        <v>2200</v>
      </c>
      <c r="M2516" s="26">
        <v>91</v>
      </c>
      <c r="N2516" s="25">
        <f t="shared" si="79"/>
        <v>200200</v>
      </c>
      <c r="O2516" s="56"/>
    </row>
    <row r="2517" spans="1:15" hidden="1" x14ac:dyDescent="0.3">
      <c r="A2517" s="26">
        <v>31</v>
      </c>
      <c r="B2517" s="20" t="str">
        <f t="shared" si="78"/>
        <v>JUL</v>
      </c>
      <c r="C2517" s="21">
        <v>46234</v>
      </c>
      <c r="D2517" s="22" t="str">
        <f t="array" ref="D2517">IFERROR(INDEX('Kode Outlet dan Target Toko'!$A:$A,MATCH($I2517,'Kode Outlet dan Target Toko'!$E:$E,0)),"")</f>
        <v>GRSM 5</v>
      </c>
      <c r="E2517" s="20" t="str">
        <f>IFERROR(VLOOKUP(I2517,KET!$B:$F,4,0),"")</f>
        <v>SUPRIYATI</v>
      </c>
      <c r="F2517" s="20" t="str">
        <f>IFERROR(VLOOKUP(I2517,KET!$B:$F,5,0),"")</f>
        <v>GMM</v>
      </c>
      <c r="G2517" s="20">
        <f>IFERROR(INDEX('Kode Outlet dan Target Toko'!$C:$C,MATCH($I2517,'Kode Outlet dan Target Toko'!$E:$E,0)),0)</f>
        <v>170220</v>
      </c>
      <c r="H2517" s="20">
        <f>IFERROR(INDEX('Kode Outlet dan Target Toko'!$D:$D,MATCH($I2517,'Kode Outlet dan Target Toko'!$E:$E,0)),0)</f>
        <v>1901019</v>
      </c>
      <c r="I2517" s="42" t="s">
        <v>38</v>
      </c>
      <c r="J2517" s="56" t="s">
        <v>267</v>
      </c>
      <c r="K2517" s="40" t="s">
        <v>13</v>
      </c>
      <c r="L2517" s="26">
        <v>2200</v>
      </c>
      <c r="M2517" s="26">
        <v>111</v>
      </c>
      <c r="N2517" s="25">
        <f t="shared" si="79"/>
        <v>244200</v>
      </c>
      <c r="O2517" s="56"/>
    </row>
    <row r="2518" spans="1:15" hidden="1" x14ac:dyDescent="0.3">
      <c r="A2518" s="26">
        <v>31</v>
      </c>
      <c r="B2518" s="20" t="str">
        <f t="shared" si="78"/>
        <v>JUL</v>
      </c>
      <c r="C2518" s="21">
        <v>46234</v>
      </c>
      <c r="D2518" s="22" t="str">
        <f t="array" ref="D2518">IFERROR(INDEX('Kode Outlet dan Target Toko'!$A:$A,MATCH($I2518,'Kode Outlet dan Target Toko'!$E:$E,0)),"")</f>
        <v>GRSM 5</v>
      </c>
      <c r="E2518" s="20" t="str">
        <f>IFERROR(VLOOKUP(I2518,KET!$B:$F,4,0),"")</f>
        <v>SUPRIYATI</v>
      </c>
      <c r="F2518" s="20" t="str">
        <f>IFERROR(VLOOKUP(I2518,KET!$B:$F,5,0),"")</f>
        <v>GMM</v>
      </c>
      <c r="G2518" s="20">
        <f>IFERROR(INDEX('Kode Outlet dan Target Toko'!$C:$C,MATCH($I2518,'Kode Outlet dan Target Toko'!$E:$E,0)),0)</f>
        <v>170220</v>
      </c>
      <c r="H2518" s="20">
        <f>IFERROR(INDEX('Kode Outlet dan Target Toko'!$D:$D,MATCH($I2518,'Kode Outlet dan Target Toko'!$E:$E,0)),0)</f>
        <v>1901019</v>
      </c>
      <c r="I2518" s="42" t="s">
        <v>38</v>
      </c>
      <c r="J2518" s="56" t="s">
        <v>267</v>
      </c>
      <c r="K2518" s="40" t="s">
        <v>16</v>
      </c>
      <c r="L2518" s="26">
        <v>2200</v>
      </c>
      <c r="M2518" s="26">
        <v>271</v>
      </c>
      <c r="N2518" s="25">
        <f t="shared" si="79"/>
        <v>596200</v>
      </c>
      <c r="O2518" s="56">
        <v>223</v>
      </c>
    </row>
    <row r="2519" spans="1:15" hidden="1" x14ac:dyDescent="0.3">
      <c r="A2519" s="26">
        <v>31</v>
      </c>
      <c r="B2519" s="20" t="str">
        <f t="shared" si="78"/>
        <v>JUL</v>
      </c>
      <c r="C2519" s="21">
        <v>46234</v>
      </c>
      <c r="D2519" s="22" t="str">
        <f t="array" ref="D2519">IFERROR(INDEX('Kode Outlet dan Target Toko'!$A:$A,MATCH($I2519,'Kode Outlet dan Target Toko'!$E:$E,0)),"")</f>
        <v>GRSM 5</v>
      </c>
      <c r="E2519" s="20" t="str">
        <f>IFERROR(VLOOKUP(I2519,KET!$B:$F,4,0),"")</f>
        <v>SUPRIYATI</v>
      </c>
      <c r="F2519" s="20" t="str">
        <f>IFERROR(VLOOKUP(I2519,KET!$B:$F,5,0),"")</f>
        <v>GMM</v>
      </c>
      <c r="G2519" s="20">
        <f>IFERROR(INDEX('Kode Outlet dan Target Toko'!$C:$C,MATCH($I2519,'Kode Outlet dan Target Toko'!$E:$E,0)),0)</f>
        <v>170220</v>
      </c>
      <c r="H2519" s="20">
        <f>IFERROR(INDEX('Kode Outlet dan Target Toko'!$D:$D,MATCH($I2519,'Kode Outlet dan Target Toko'!$E:$E,0)),0)</f>
        <v>1901004</v>
      </c>
      <c r="I2519" s="42" t="s">
        <v>36</v>
      </c>
      <c r="J2519" s="56" t="s">
        <v>263</v>
      </c>
      <c r="K2519" s="40" t="s">
        <v>15</v>
      </c>
      <c r="L2519" s="26">
        <v>2200</v>
      </c>
      <c r="M2519" s="26">
        <v>120</v>
      </c>
      <c r="N2519" s="25">
        <f t="shared" si="79"/>
        <v>264000</v>
      </c>
      <c r="O2519" s="56"/>
    </row>
    <row r="2520" spans="1:15" hidden="1" x14ac:dyDescent="0.3">
      <c r="A2520" s="26">
        <v>31</v>
      </c>
      <c r="B2520" s="20" t="str">
        <f t="shared" si="78"/>
        <v>JUL</v>
      </c>
      <c r="C2520" s="21">
        <v>46234</v>
      </c>
      <c r="D2520" s="22" t="str">
        <f t="array" ref="D2520">IFERROR(INDEX('Kode Outlet dan Target Toko'!$A:$A,MATCH($I2520,'Kode Outlet dan Target Toko'!$E:$E,0)),"")</f>
        <v>GRSM 5</v>
      </c>
      <c r="E2520" s="20" t="str">
        <f>IFERROR(VLOOKUP(I2520,KET!$B:$F,4,0),"")</f>
        <v>SUPRIYATI</v>
      </c>
      <c r="F2520" s="20" t="str">
        <f>IFERROR(VLOOKUP(I2520,KET!$B:$F,5,0),"")</f>
        <v>GMM</v>
      </c>
      <c r="G2520" s="20">
        <f>IFERROR(INDEX('Kode Outlet dan Target Toko'!$C:$C,MATCH($I2520,'Kode Outlet dan Target Toko'!$E:$E,0)),0)</f>
        <v>170220</v>
      </c>
      <c r="H2520" s="20">
        <f>IFERROR(INDEX('Kode Outlet dan Target Toko'!$D:$D,MATCH($I2520,'Kode Outlet dan Target Toko'!$E:$E,0)),0)</f>
        <v>1901004</v>
      </c>
      <c r="I2520" s="42" t="s">
        <v>36</v>
      </c>
      <c r="J2520" s="56" t="s">
        <v>263</v>
      </c>
      <c r="K2520" s="40" t="s">
        <v>14</v>
      </c>
      <c r="L2520" s="26">
        <v>2200</v>
      </c>
      <c r="M2520" s="26">
        <v>240</v>
      </c>
      <c r="N2520" s="25">
        <f t="shared" si="79"/>
        <v>528000</v>
      </c>
      <c r="O2520" s="56"/>
    </row>
    <row r="2521" spans="1:15" hidden="1" x14ac:dyDescent="0.3">
      <c r="A2521" s="26">
        <v>31</v>
      </c>
      <c r="B2521" s="20" t="str">
        <f t="shared" si="78"/>
        <v>JUL</v>
      </c>
      <c r="C2521" s="21">
        <v>46234</v>
      </c>
      <c r="D2521" s="22" t="str">
        <f t="array" ref="D2521">IFERROR(INDEX('Kode Outlet dan Target Toko'!$A:$A,MATCH($I2521,'Kode Outlet dan Target Toko'!$E:$E,0)),"")</f>
        <v>GRSM 5</v>
      </c>
      <c r="E2521" s="20" t="str">
        <f>IFERROR(VLOOKUP(I2521,KET!$B:$F,4,0),"")</f>
        <v>SUPRIYATI</v>
      </c>
      <c r="F2521" s="20" t="str">
        <f>IFERROR(VLOOKUP(I2521,KET!$B:$F,5,0),"")</f>
        <v>GMM</v>
      </c>
      <c r="G2521" s="20">
        <f>IFERROR(INDEX('Kode Outlet dan Target Toko'!$C:$C,MATCH($I2521,'Kode Outlet dan Target Toko'!$E:$E,0)),0)</f>
        <v>170220</v>
      </c>
      <c r="H2521" s="20">
        <f>IFERROR(INDEX('Kode Outlet dan Target Toko'!$D:$D,MATCH($I2521,'Kode Outlet dan Target Toko'!$E:$E,0)),0)</f>
        <v>1901004</v>
      </c>
      <c r="I2521" s="42" t="s">
        <v>36</v>
      </c>
      <c r="J2521" s="56" t="s">
        <v>263</v>
      </c>
      <c r="K2521" s="40" t="s">
        <v>13</v>
      </c>
      <c r="L2521" s="26">
        <v>2200</v>
      </c>
      <c r="M2521" s="26">
        <v>40</v>
      </c>
      <c r="N2521" s="25">
        <f t="shared" si="79"/>
        <v>88000</v>
      </c>
      <c r="O2521" s="56"/>
    </row>
    <row r="2522" spans="1:15" hidden="1" x14ac:dyDescent="0.3">
      <c r="A2522" s="26">
        <v>31</v>
      </c>
      <c r="B2522" s="20" t="str">
        <f t="shared" si="78"/>
        <v>JUL</v>
      </c>
      <c r="C2522" s="21">
        <v>46234</v>
      </c>
      <c r="D2522" s="22" t="str">
        <f t="array" ref="D2522">IFERROR(INDEX('Kode Outlet dan Target Toko'!$A:$A,MATCH($I2522,'Kode Outlet dan Target Toko'!$E:$E,0)),"")</f>
        <v>GRSM 5</v>
      </c>
      <c r="E2522" s="20" t="str">
        <f>IFERROR(VLOOKUP(I2522,KET!$B:$F,4,0),"")</f>
        <v>SUPRIYATI</v>
      </c>
      <c r="F2522" s="20" t="str">
        <f>IFERROR(VLOOKUP(I2522,KET!$B:$F,5,0),"")</f>
        <v>GMM</v>
      </c>
      <c r="G2522" s="20">
        <f>IFERROR(INDEX('Kode Outlet dan Target Toko'!$C:$C,MATCH($I2522,'Kode Outlet dan Target Toko'!$E:$E,0)),0)</f>
        <v>170220</v>
      </c>
      <c r="H2522" s="20">
        <f>IFERROR(INDEX('Kode Outlet dan Target Toko'!$D:$D,MATCH($I2522,'Kode Outlet dan Target Toko'!$E:$E,0)),0)</f>
        <v>1901004</v>
      </c>
      <c r="I2522" s="42" t="s">
        <v>36</v>
      </c>
      <c r="J2522" s="56" t="s">
        <v>263</v>
      </c>
      <c r="K2522" s="40" t="s">
        <v>16</v>
      </c>
      <c r="L2522" s="26">
        <v>2200</v>
      </c>
      <c r="M2522" s="26">
        <v>280</v>
      </c>
      <c r="N2522" s="25">
        <f t="shared" si="79"/>
        <v>616000</v>
      </c>
      <c r="O2522" s="56">
        <v>320</v>
      </c>
    </row>
    <row r="2523" spans="1:15" hidden="1" x14ac:dyDescent="0.3">
      <c r="A2523" s="26">
        <v>31</v>
      </c>
      <c r="B2523" s="20" t="str">
        <f t="shared" si="78"/>
        <v>JUL</v>
      </c>
      <c r="C2523" s="21">
        <v>46234</v>
      </c>
      <c r="D2523" s="22" t="str">
        <f t="array" ref="D2523">IFERROR(INDEX('Kode Outlet dan Target Toko'!$A:$A,MATCH($I2523,'Kode Outlet dan Target Toko'!$E:$E,0)),"")</f>
        <v>GRSM 5</v>
      </c>
      <c r="E2523" s="20" t="str">
        <f>IFERROR(VLOOKUP(I2523,KET!$B:$F,4,0),"")</f>
        <v>SUPRIYATI</v>
      </c>
      <c r="F2523" s="20" t="str">
        <f>IFERROR(VLOOKUP(I2523,KET!$B:$F,5,0),"")</f>
        <v>GMM</v>
      </c>
      <c r="G2523" s="20">
        <f>IFERROR(INDEX('Kode Outlet dan Target Toko'!$C:$C,MATCH($I2523,'Kode Outlet dan Target Toko'!$E:$E,0)),0)</f>
        <v>170220</v>
      </c>
      <c r="H2523" s="20">
        <f>IFERROR(INDEX('Kode Outlet dan Target Toko'!$D:$D,MATCH($I2523,'Kode Outlet dan Target Toko'!$E:$E,0)),0)</f>
        <v>1901004</v>
      </c>
      <c r="I2523" s="42" t="s">
        <v>36</v>
      </c>
      <c r="J2523" s="56" t="s">
        <v>264</v>
      </c>
      <c r="K2523" s="40" t="s">
        <v>15</v>
      </c>
      <c r="L2523" s="26">
        <v>2200</v>
      </c>
      <c r="M2523" s="26">
        <v>120</v>
      </c>
      <c r="N2523" s="25">
        <f t="shared" si="79"/>
        <v>264000</v>
      </c>
      <c r="O2523" s="56"/>
    </row>
    <row r="2524" spans="1:15" hidden="1" x14ac:dyDescent="0.3">
      <c r="A2524" s="26">
        <v>31</v>
      </c>
      <c r="B2524" s="20" t="str">
        <f t="shared" si="78"/>
        <v>JUL</v>
      </c>
      <c r="C2524" s="21">
        <v>46234</v>
      </c>
      <c r="D2524" s="22" t="str">
        <f t="array" ref="D2524">IFERROR(INDEX('Kode Outlet dan Target Toko'!$A:$A,MATCH($I2524,'Kode Outlet dan Target Toko'!$E:$E,0)),"")</f>
        <v>GRSM 5</v>
      </c>
      <c r="E2524" s="20" t="str">
        <f>IFERROR(VLOOKUP(I2524,KET!$B:$F,4,0),"")</f>
        <v>SUPRIYATI</v>
      </c>
      <c r="F2524" s="20" t="str">
        <f>IFERROR(VLOOKUP(I2524,KET!$B:$F,5,0),"")</f>
        <v>GMM</v>
      </c>
      <c r="G2524" s="20">
        <f>IFERROR(INDEX('Kode Outlet dan Target Toko'!$C:$C,MATCH($I2524,'Kode Outlet dan Target Toko'!$E:$E,0)),0)</f>
        <v>170220</v>
      </c>
      <c r="H2524" s="20">
        <f>IFERROR(INDEX('Kode Outlet dan Target Toko'!$D:$D,MATCH($I2524,'Kode Outlet dan Target Toko'!$E:$E,0)),0)</f>
        <v>1901004</v>
      </c>
      <c r="I2524" s="42" t="s">
        <v>36</v>
      </c>
      <c r="J2524" s="56" t="s">
        <v>264</v>
      </c>
      <c r="K2524" s="40" t="s">
        <v>14</v>
      </c>
      <c r="L2524" s="26">
        <v>2200</v>
      </c>
      <c r="M2524" s="26">
        <v>240</v>
      </c>
      <c r="N2524" s="25">
        <f t="shared" si="79"/>
        <v>528000</v>
      </c>
      <c r="O2524" s="56"/>
    </row>
    <row r="2525" spans="1:15" hidden="1" x14ac:dyDescent="0.3">
      <c r="A2525" s="26">
        <v>31</v>
      </c>
      <c r="B2525" s="20" t="str">
        <f t="shared" si="78"/>
        <v>JUL</v>
      </c>
      <c r="C2525" s="21">
        <v>46234</v>
      </c>
      <c r="D2525" s="22" t="str">
        <f t="array" ref="D2525">IFERROR(INDEX('Kode Outlet dan Target Toko'!$A:$A,MATCH($I2525,'Kode Outlet dan Target Toko'!$E:$E,0)),"")</f>
        <v>GRSM 5</v>
      </c>
      <c r="E2525" s="20" t="str">
        <f>IFERROR(VLOOKUP(I2525,KET!$B:$F,4,0),"")</f>
        <v>SUPRIYATI</v>
      </c>
      <c r="F2525" s="20" t="str">
        <f>IFERROR(VLOOKUP(I2525,KET!$B:$F,5,0),"")</f>
        <v>GMM</v>
      </c>
      <c r="G2525" s="20">
        <f>IFERROR(INDEX('Kode Outlet dan Target Toko'!$C:$C,MATCH($I2525,'Kode Outlet dan Target Toko'!$E:$E,0)),0)</f>
        <v>170220</v>
      </c>
      <c r="H2525" s="20">
        <f>IFERROR(INDEX('Kode Outlet dan Target Toko'!$D:$D,MATCH($I2525,'Kode Outlet dan Target Toko'!$E:$E,0)),0)</f>
        <v>1901004</v>
      </c>
      <c r="I2525" s="42" t="s">
        <v>36</v>
      </c>
      <c r="J2525" s="56" t="s">
        <v>264</v>
      </c>
      <c r="K2525" s="40" t="s">
        <v>13</v>
      </c>
      <c r="L2525" s="26">
        <v>2200</v>
      </c>
      <c r="M2525" s="26">
        <v>40</v>
      </c>
      <c r="N2525" s="25">
        <f t="shared" si="79"/>
        <v>88000</v>
      </c>
      <c r="O2525" s="56"/>
    </row>
    <row r="2526" spans="1:15" hidden="1" x14ac:dyDescent="0.3">
      <c r="A2526" s="26">
        <v>31</v>
      </c>
      <c r="B2526" s="20" t="str">
        <f t="shared" si="78"/>
        <v>JUL</v>
      </c>
      <c r="C2526" s="21">
        <v>46234</v>
      </c>
      <c r="D2526" s="22" t="str">
        <f t="array" ref="D2526">IFERROR(INDEX('Kode Outlet dan Target Toko'!$A:$A,MATCH($I2526,'Kode Outlet dan Target Toko'!$E:$E,0)),"")</f>
        <v>GRSM 5</v>
      </c>
      <c r="E2526" s="20" t="str">
        <f>IFERROR(VLOOKUP(I2526,KET!$B:$F,4,0),"")</f>
        <v>SUPRIYATI</v>
      </c>
      <c r="F2526" s="20" t="str">
        <f>IFERROR(VLOOKUP(I2526,KET!$B:$F,5,0),"")</f>
        <v>GMM</v>
      </c>
      <c r="G2526" s="20">
        <f>IFERROR(INDEX('Kode Outlet dan Target Toko'!$C:$C,MATCH($I2526,'Kode Outlet dan Target Toko'!$E:$E,0)),0)</f>
        <v>170220</v>
      </c>
      <c r="H2526" s="20">
        <f>IFERROR(INDEX('Kode Outlet dan Target Toko'!$D:$D,MATCH($I2526,'Kode Outlet dan Target Toko'!$E:$E,0)),0)</f>
        <v>1901004</v>
      </c>
      <c r="I2526" s="42" t="s">
        <v>36</v>
      </c>
      <c r="J2526" s="56" t="s">
        <v>264</v>
      </c>
      <c r="K2526" s="40" t="s">
        <v>16</v>
      </c>
      <c r="L2526" s="26">
        <v>2200</v>
      </c>
      <c r="M2526" s="26">
        <v>280</v>
      </c>
      <c r="N2526" s="25">
        <f t="shared" si="79"/>
        <v>616000</v>
      </c>
      <c r="O2526" s="56">
        <v>320</v>
      </c>
    </row>
    <row r="2527" spans="1:15" hidden="1" x14ac:dyDescent="0.3">
      <c r="A2527" s="26">
        <v>31</v>
      </c>
      <c r="B2527" s="20" t="str">
        <f t="shared" si="78"/>
        <v>JUL</v>
      </c>
      <c r="C2527" s="21">
        <v>46234</v>
      </c>
      <c r="D2527" s="22" t="str">
        <f t="array" ref="D2527">IFERROR(INDEX('Kode Outlet dan Target Toko'!$A:$A,MATCH($I2527,'Kode Outlet dan Target Toko'!$E:$E,0)),"")</f>
        <v>GRSM 1</v>
      </c>
      <c r="E2527" s="20" t="str">
        <f>IFERROR(VLOOKUP(I2527,KET!$B:$F,4,0),"")</f>
        <v>AFNITA SARI</v>
      </c>
      <c r="F2527" s="20" t="str">
        <f>IFERROR(VLOOKUP(I2527,KET!$B:$F,5,0),"")</f>
        <v>MT</v>
      </c>
      <c r="G2527" s="20">
        <f>IFERROR(INDEX('Kode Outlet dan Target Toko'!$C:$C,MATCH($I2527,'Kode Outlet dan Target Toko'!$E:$E,0)),0)</f>
        <v>122506</v>
      </c>
      <c r="H2527" s="20">
        <f>IFERROR(INDEX('Kode Outlet dan Target Toko'!$D:$D,MATCH($I2527,'Kode Outlet dan Target Toko'!$E:$E,0)),0)</f>
        <v>214300</v>
      </c>
      <c r="I2527" s="42" t="s">
        <v>73</v>
      </c>
      <c r="J2527" s="56" t="s">
        <v>291</v>
      </c>
      <c r="K2527" s="40" t="s">
        <v>15</v>
      </c>
      <c r="L2527" s="26">
        <v>7000</v>
      </c>
      <c r="M2527" s="26">
        <v>38</v>
      </c>
      <c r="N2527" s="25">
        <f t="shared" si="79"/>
        <v>266000</v>
      </c>
      <c r="O2527" s="56"/>
    </row>
    <row r="2528" spans="1:15" hidden="1" x14ac:dyDescent="0.3">
      <c r="A2528" s="26">
        <v>31</v>
      </c>
      <c r="B2528" s="20" t="str">
        <f t="shared" si="78"/>
        <v>JUL</v>
      </c>
      <c r="C2528" s="21">
        <v>46234</v>
      </c>
      <c r="D2528" s="22" t="str">
        <f t="array" ref="D2528">IFERROR(INDEX('Kode Outlet dan Target Toko'!$A:$A,MATCH($I2528,'Kode Outlet dan Target Toko'!$E:$E,0)),"")</f>
        <v>GRSM 1</v>
      </c>
      <c r="E2528" s="20" t="str">
        <f>IFERROR(VLOOKUP(I2528,KET!$B:$F,4,0),"")</f>
        <v>AFNITA SARI</v>
      </c>
      <c r="F2528" s="20" t="str">
        <f>IFERROR(VLOOKUP(I2528,KET!$B:$F,5,0),"")</f>
        <v>MT</v>
      </c>
      <c r="G2528" s="20">
        <f>IFERROR(INDEX('Kode Outlet dan Target Toko'!$C:$C,MATCH($I2528,'Kode Outlet dan Target Toko'!$E:$E,0)),0)</f>
        <v>122506</v>
      </c>
      <c r="H2528" s="20">
        <f>IFERROR(INDEX('Kode Outlet dan Target Toko'!$D:$D,MATCH($I2528,'Kode Outlet dan Target Toko'!$E:$E,0)),0)</f>
        <v>214300</v>
      </c>
      <c r="I2528" s="42" t="s">
        <v>73</v>
      </c>
      <c r="J2528" s="56" t="s">
        <v>291</v>
      </c>
      <c r="K2528" s="40" t="s">
        <v>14</v>
      </c>
      <c r="L2528" s="26">
        <v>7000</v>
      </c>
      <c r="M2528" s="26">
        <v>26</v>
      </c>
      <c r="N2528" s="25">
        <f t="shared" si="79"/>
        <v>182000</v>
      </c>
      <c r="O2528" s="56"/>
    </row>
    <row r="2529" spans="1:15" hidden="1" x14ac:dyDescent="0.3">
      <c r="A2529" s="26">
        <v>31</v>
      </c>
      <c r="B2529" s="20" t="str">
        <f t="shared" si="78"/>
        <v>JUL</v>
      </c>
      <c r="C2529" s="21">
        <v>46234</v>
      </c>
      <c r="D2529" s="22" t="str">
        <f t="array" ref="D2529">IFERROR(INDEX('Kode Outlet dan Target Toko'!$A:$A,MATCH($I2529,'Kode Outlet dan Target Toko'!$E:$E,0)),"")</f>
        <v>GRSM 1</v>
      </c>
      <c r="E2529" s="20" t="str">
        <f>IFERROR(VLOOKUP(I2529,KET!$B:$F,4,0),"")</f>
        <v>AFNITA SARI</v>
      </c>
      <c r="F2529" s="20" t="str">
        <f>IFERROR(VLOOKUP(I2529,KET!$B:$F,5,0),"")</f>
        <v>MT</v>
      </c>
      <c r="G2529" s="20">
        <f>IFERROR(INDEX('Kode Outlet dan Target Toko'!$C:$C,MATCH($I2529,'Kode Outlet dan Target Toko'!$E:$E,0)),0)</f>
        <v>122506</v>
      </c>
      <c r="H2529" s="20">
        <f>IFERROR(INDEX('Kode Outlet dan Target Toko'!$D:$D,MATCH($I2529,'Kode Outlet dan Target Toko'!$E:$E,0)),0)</f>
        <v>214300</v>
      </c>
      <c r="I2529" s="42" t="s">
        <v>73</v>
      </c>
      <c r="J2529" s="56" t="s">
        <v>291</v>
      </c>
      <c r="K2529" s="40" t="s">
        <v>13</v>
      </c>
      <c r="L2529" s="26">
        <v>7000</v>
      </c>
      <c r="M2529" s="26">
        <v>26</v>
      </c>
      <c r="N2529" s="25">
        <f t="shared" si="79"/>
        <v>182000</v>
      </c>
      <c r="O2529" s="56"/>
    </row>
    <row r="2530" spans="1:15" hidden="1" x14ac:dyDescent="0.3">
      <c r="A2530" s="26">
        <v>31</v>
      </c>
      <c r="B2530" s="20" t="str">
        <f t="shared" si="78"/>
        <v>JUL</v>
      </c>
      <c r="C2530" s="21">
        <v>46234</v>
      </c>
      <c r="D2530" s="22" t="str">
        <f t="array" ref="D2530">IFERROR(INDEX('Kode Outlet dan Target Toko'!$A:$A,MATCH($I2530,'Kode Outlet dan Target Toko'!$E:$E,0)),"")</f>
        <v>GRSM 1</v>
      </c>
      <c r="E2530" s="20" t="str">
        <f>IFERROR(VLOOKUP(I2530,KET!$B:$F,4,0),"")</f>
        <v>AFNITA SARI</v>
      </c>
      <c r="F2530" s="20" t="str">
        <f>IFERROR(VLOOKUP(I2530,KET!$B:$F,5,0),"")</f>
        <v>MT</v>
      </c>
      <c r="G2530" s="20">
        <f>IFERROR(INDEX('Kode Outlet dan Target Toko'!$C:$C,MATCH($I2530,'Kode Outlet dan Target Toko'!$E:$E,0)),0)</f>
        <v>122506</v>
      </c>
      <c r="H2530" s="20">
        <f>IFERROR(INDEX('Kode Outlet dan Target Toko'!$D:$D,MATCH($I2530,'Kode Outlet dan Target Toko'!$E:$E,0)),0)</f>
        <v>214300</v>
      </c>
      <c r="I2530" s="42" t="s">
        <v>73</v>
      </c>
      <c r="J2530" s="56" t="s">
        <v>291</v>
      </c>
      <c r="K2530" s="40" t="s">
        <v>16</v>
      </c>
      <c r="L2530" s="26">
        <v>7000</v>
      </c>
      <c r="M2530" s="26">
        <v>80</v>
      </c>
      <c r="N2530" s="25">
        <f t="shared" si="79"/>
        <v>560000</v>
      </c>
      <c r="O2530" s="56">
        <v>160</v>
      </c>
    </row>
    <row r="2531" spans="1:15" hidden="1" x14ac:dyDescent="0.3">
      <c r="A2531" s="26">
        <v>31</v>
      </c>
      <c r="B2531" s="20" t="str">
        <f t="shared" si="78"/>
        <v>JUL</v>
      </c>
      <c r="C2531" s="21">
        <v>46234</v>
      </c>
      <c r="D2531" s="22" t="str">
        <f t="array" ref="D2531">IFERROR(INDEX('Kode Outlet dan Target Toko'!$A:$A,MATCH($I2531,'Kode Outlet dan Target Toko'!$E:$E,0)),"")</f>
        <v>GRSM 1</v>
      </c>
      <c r="E2531" s="20" t="str">
        <f>IFERROR(VLOOKUP(I2531,KET!$B:$F,4,0),"")</f>
        <v>AFNITA SARI</v>
      </c>
      <c r="F2531" s="20" t="str">
        <f>IFERROR(VLOOKUP(I2531,KET!$B:$F,5,0),"")</f>
        <v>MT</v>
      </c>
      <c r="G2531" s="20">
        <f>IFERROR(INDEX('Kode Outlet dan Target Toko'!$C:$C,MATCH($I2531,'Kode Outlet dan Target Toko'!$E:$E,0)),0)</f>
        <v>122506</v>
      </c>
      <c r="H2531" s="20">
        <f>IFERROR(INDEX('Kode Outlet dan Target Toko'!$D:$D,MATCH($I2531,'Kode Outlet dan Target Toko'!$E:$E,0)),0)</f>
        <v>214300</v>
      </c>
      <c r="I2531" s="42" t="s">
        <v>73</v>
      </c>
      <c r="J2531" s="56" t="s">
        <v>292</v>
      </c>
      <c r="K2531" s="40" t="s">
        <v>15</v>
      </c>
      <c r="L2531" s="26">
        <v>7000</v>
      </c>
      <c r="M2531" s="26">
        <v>38</v>
      </c>
      <c r="N2531" s="25">
        <f t="shared" si="79"/>
        <v>266000</v>
      </c>
      <c r="O2531" s="56"/>
    </row>
    <row r="2532" spans="1:15" hidden="1" x14ac:dyDescent="0.3">
      <c r="A2532" s="26">
        <v>31</v>
      </c>
      <c r="B2532" s="20" t="str">
        <f t="shared" si="78"/>
        <v>JUL</v>
      </c>
      <c r="C2532" s="21">
        <v>46234</v>
      </c>
      <c r="D2532" s="22" t="str">
        <f t="array" ref="D2532">IFERROR(INDEX('Kode Outlet dan Target Toko'!$A:$A,MATCH($I2532,'Kode Outlet dan Target Toko'!$E:$E,0)),"")</f>
        <v>GRSM 1</v>
      </c>
      <c r="E2532" s="20" t="str">
        <f>IFERROR(VLOOKUP(I2532,KET!$B:$F,4,0),"")</f>
        <v>AFNITA SARI</v>
      </c>
      <c r="F2532" s="20" t="str">
        <f>IFERROR(VLOOKUP(I2532,KET!$B:$F,5,0),"")</f>
        <v>MT</v>
      </c>
      <c r="G2532" s="20">
        <f>IFERROR(INDEX('Kode Outlet dan Target Toko'!$C:$C,MATCH($I2532,'Kode Outlet dan Target Toko'!$E:$E,0)),0)</f>
        <v>122506</v>
      </c>
      <c r="H2532" s="20">
        <f>IFERROR(INDEX('Kode Outlet dan Target Toko'!$D:$D,MATCH($I2532,'Kode Outlet dan Target Toko'!$E:$E,0)),0)</f>
        <v>214300</v>
      </c>
      <c r="I2532" s="42" t="s">
        <v>73</v>
      </c>
      <c r="J2532" s="56" t="s">
        <v>292</v>
      </c>
      <c r="K2532" s="40" t="s">
        <v>14</v>
      </c>
      <c r="L2532" s="26">
        <v>7000</v>
      </c>
      <c r="M2532" s="26">
        <v>26</v>
      </c>
      <c r="N2532" s="25">
        <f t="shared" si="79"/>
        <v>182000</v>
      </c>
      <c r="O2532" s="56"/>
    </row>
    <row r="2533" spans="1:15" hidden="1" x14ac:dyDescent="0.3">
      <c r="A2533" s="26">
        <v>31</v>
      </c>
      <c r="B2533" s="20" t="str">
        <f t="shared" si="78"/>
        <v>JUL</v>
      </c>
      <c r="C2533" s="21">
        <v>46234</v>
      </c>
      <c r="D2533" s="22" t="str">
        <f t="array" ref="D2533">IFERROR(INDEX('Kode Outlet dan Target Toko'!$A:$A,MATCH($I2533,'Kode Outlet dan Target Toko'!$E:$E,0)),"")</f>
        <v>GRSM 1</v>
      </c>
      <c r="E2533" s="20" t="str">
        <f>IFERROR(VLOOKUP(I2533,KET!$B:$F,4,0),"")</f>
        <v>AFNITA SARI</v>
      </c>
      <c r="F2533" s="20" t="str">
        <f>IFERROR(VLOOKUP(I2533,KET!$B:$F,5,0),"")</f>
        <v>MT</v>
      </c>
      <c r="G2533" s="20">
        <f>IFERROR(INDEX('Kode Outlet dan Target Toko'!$C:$C,MATCH($I2533,'Kode Outlet dan Target Toko'!$E:$E,0)),0)</f>
        <v>122506</v>
      </c>
      <c r="H2533" s="20">
        <f>IFERROR(INDEX('Kode Outlet dan Target Toko'!$D:$D,MATCH($I2533,'Kode Outlet dan Target Toko'!$E:$E,0)),0)</f>
        <v>214300</v>
      </c>
      <c r="I2533" s="42" t="s">
        <v>73</v>
      </c>
      <c r="J2533" s="56" t="s">
        <v>292</v>
      </c>
      <c r="K2533" s="40" t="s">
        <v>13</v>
      </c>
      <c r="L2533" s="26">
        <v>7000</v>
      </c>
      <c r="M2533" s="26">
        <v>26</v>
      </c>
      <c r="N2533" s="25">
        <f t="shared" si="79"/>
        <v>182000</v>
      </c>
      <c r="O2533" s="56"/>
    </row>
    <row r="2534" spans="1:15" hidden="1" x14ac:dyDescent="0.3">
      <c r="A2534" s="26">
        <v>31</v>
      </c>
      <c r="B2534" s="20" t="str">
        <f t="shared" si="78"/>
        <v>JUL</v>
      </c>
      <c r="C2534" s="21">
        <v>46234</v>
      </c>
      <c r="D2534" s="22" t="str">
        <f t="array" ref="D2534">IFERROR(INDEX('Kode Outlet dan Target Toko'!$A:$A,MATCH($I2534,'Kode Outlet dan Target Toko'!$E:$E,0)),"")</f>
        <v>GRSM 1</v>
      </c>
      <c r="E2534" s="20" t="str">
        <f>IFERROR(VLOOKUP(I2534,KET!$B:$F,4,0),"")</f>
        <v>AFNITA SARI</v>
      </c>
      <c r="F2534" s="20" t="str">
        <f>IFERROR(VLOOKUP(I2534,KET!$B:$F,5,0),"")</f>
        <v>MT</v>
      </c>
      <c r="G2534" s="20">
        <f>IFERROR(INDEX('Kode Outlet dan Target Toko'!$C:$C,MATCH($I2534,'Kode Outlet dan Target Toko'!$E:$E,0)),0)</f>
        <v>122506</v>
      </c>
      <c r="H2534" s="20">
        <f>IFERROR(INDEX('Kode Outlet dan Target Toko'!$D:$D,MATCH($I2534,'Kode Outlet dan Target Toko'!$E:$E,0)),0)</f>
        <v>214300</v>
      </c>
      <c r="I2534" s="42" t="s">
        <v>73</v>
      </c>
      <c r="J2534" s="56" t="s">
        <v>292</v>
      </c>
      <c r="K2534" s="40" t="s">
        <v>16</v>
      </c>
      <c r="L2534" s="26">
        <v>7000</v>
      </c>
      <c r="M2534" s="26">
        <v>80</v>
      </c>
      <c r="N2534" s="25">
        <f t="shared" si="79"/>
        <v>560000</v>
      </c>
      <c r="O2534" s="56">
        <v>160</v>
      </c>
    </row>
    <row r="2535" spans="1:15" hidden="1" x14ac:dyDescent="0.3">
      <c r="A2535" s="26">
        <v>31</v>
      </c>
      <c r="B2535" s="20" t="str">
        <f t="shared" si="78"/>
        <v>JUL</v>
      </c>
      <c r="C2535" s="21">
        <v>46234</v>
      </c>
      <c r="D2535" s="22" t="str">
        <f t="array" ref="D2535">IFERROR(INDEX('Kode Outlet dan Target Toko'!$A:$A,MATCH($I2535,'Kode Outlet dan Target Toko'!$E:$E,0)),"")</f>
        <v>GRSM 1</v>
      </c>
      <c r="E2535" s="20" t="str">
        <f>IFERROR(VLOOKUP(I2535,KET!$B:$F,4,0),"")</f>
        <v>AFNITA SARI</v>
      </c>
      <c r="F2535" s="20" t="str">
        <f>IFERROR(VLOOKUP(I2535,KET!$B:$F,5,0),"")</f>
        <v>MT</v>
      </c>
      <c r="G2535" s="20">
        <f>IFERROR(INDEX('Kode Outlet dan Target Toko'!$C:$C,MATCH($I2535,'Kode Outlet dan Target Toko'!$E:$E,0)),0)</f>
        <v>122506</v>
      </c>
      <c r="H2535" s="20">
        <f>IFERROR(INDEX('Kode Outlet dan Target Toko'!$D:$D,MATCH($I2535,'Kode Outlet dan Target Toko'!$E:$E,0)),0)</f>
        <v>202879</v>
      </c>
      <c r="I2535" s="42" t="s">
        <v>70</v>
      </c>
      <c r="J2535" s="56" t="s">
        <v>289</v>
      </c>
      <c r="K2535" s="40" t="s">
        <v>15</v>
      </c>
      <c r="L2535" s="26">
        <v>6400</v>
      </c>
      <c r="M2535" s="26">
        <v>37</v>
      </c>
      <c r="N2535" s="25">
        <f t="shared" si="79"/>
        <v>236800</v>
      </c>
      <c r="O2535" s="56"/>
    </row>
    <row r="2536" spans="1:15" hidden="1" x14ac:dyDescent="0.3">
      <c r="A2536" s="26">
        <v>31</v>
      </c>
      <c r="B2536" s="20" t="str">
        <f t="shared" si="78"/>
        <v>JUL</v>
      </c>
      <c r="C2536" s="21">
        <v>46234</v>
      </c>
      <c r="D2536" s="22" t="str">
        <f t="array" ref="D2536">IFERROR(INDEX('Kode Outlet dan Target Toko'!$A:$A,MATCH($I2536,'Kode Outlet dan Target Toko'!$E:$E,0)),"")</f>
        <v>GRSM 1</v>
      </c>
      <c r="E2536" s="20" t="str">
        <f>IFERROR(VLOOKUP(I2536,KET!$B:$F,4,0),"")</f>
        <v>AFNITA SARI</v>
      </c>
      <c r="F2536" s="20" t="str">
        <f>IFERROR(VLOOKUP(I2536,KET!$B:$F,5,0),"")</f>
        <v>MT</v>
      </c>
      <c r="G2536" s="20">
        <f>IFERROR(INDEX('Kode Outlet dan Target Toko'!$C:$C,MATCH($I2536,'Kode Outlet dan Target Toko'!$E:$E,0)),0)</f>
        <v>122506</v>
      </c>
      <c r="H2536" s="20">
        <f>IFERROR(INDEX('Kode Outlet dan Target Toko'!$D:$D,MATCH($I2536,'Kode Outlet dan Target Toko'!$E:$E,0)),0)</f>
        <v>202879</v>
      </c>
      <c r="I2536" s="42" t="s">
        <v>70</v>
      </c>
      <c r="J2536" s="56" t="s">
        <v>289</v>
      </c>
      <c r="K2536" s="40" t="s">
        <v>14</v>
      </c>
      <c r="L2536" s="26">
        <v>6400</v>
      </c>
      <c r="M2536" s="26">
        <v>40</v>
      </c>
      <c r="N2536" s="25">
        <f t="shared" si="79"/>
        <v>256000</v>
      </c>
      <c r="O2536" s="56"/>
    </row>
    <row r="2537" spans="1:15" hidden="1" x14ac:dyDescent="0.3">
      <c r="A2537" s="26">
        <v>31</v>
      </c>
      <c r="B2537" s="20" t="str">
        <f t="shared" si="78"/>
        <v>JUL</v>
      </c>
      <c r="C2537" s="21">
        <v>46234</v>
      </c>
      <c r="D2537" s="22" t="str">
        <f t="array" ref="D2537">IFERROR(INDEX('Kode Outlet dan Target Toko'!$A:$A,MATCH($I2537,'Kode Outlet dan Target Toko'!$E:$E,0)),"")</f>
        <v>GRSM 1</v>
      </c>
      <c r="E2537" s="20" t="str">
        <f>IFERROR(VLOOKUP(I2537,KET!$B:$F,4,0),"")</f>
        <v>AFNITA SARI</v>
      </c>
      <c r="F2537" s="20" t="str">
        <f>IFERROR(VLOOKUP(I2537,KET!$B:$F,5,0),"")</f>
        <v>MT</v>
      </c>
      <c r="G2537" s="20">
        <f>IFERROR(INDEX('Kode Outlet dan Target Toko'!$C:$C,MATCH($I2537,'Kode Outlet dan Target Toko'!$E:$E,0)),0)</f>
        <v>122506</v>
      </c>
      <c r="H2537" s="20">
        <f>IFERROR(INDEX('Kode Outlet dan Target Toko'!$D:$D,MATCH($I2537,'Kode Outlet dan Target Toko'!$E:$E,0)),0)</f>
        <v>202879</v>
      </c>
      <c r="I2537" s="42" t="s">
        <v>70</v>
      </c>
      <c r="J2537" s="56" t="s">
        <v>289</v>
      </c>
      <c r="K2537" s="40" t="s">
        <v>13</v>
      </c>
      <c r="L2537" s="26">
        <v>6400</v>
      </c>
      <c r="M2537" s="26">
        <v>22</v>
      </c>
      <c r="N2537" s="25">
        <f t="shared" si="79"/>
        <v>140800</v>
      </c>
      <c r="O2537" s="56"/>
    </row>
    <row r="2538" spans="1:15" hidden="1" x14ac:dyDescent="0.3">
      <c r="A2538" s="26">
        <v>31</v>
      </c>
      <c r="B2538" s="20" t="str">
        <f t="shared" si="78"/>
        <v>JUL</v>
      </c>
      <c r="C2538" s="21">
        <v>46234</v>
      </c>
      <c r="D2538" s="22" t="str">
        <f t="array" ref="D2538">IFERROR(INDEX('Kode Outlet dan Target Toko'!$A:$A,MATCH($I2538,'Kode Outlet dan Target Toko'!$E:$E,0)),"")</f>
        <v>GRSM 1</v>
      </c>
      <c r="E2538" s="20" t="str">
        <f>IFERROR(VLOOKUP(I2538,KET!$B:$F,4,0),"")</f>
        <v>AFNITA SARI</v>
      </c>
      <c r="F2538" s="20" t="str">
        <f>IFERROR(VLOOKUP(I2538,KET!$B:$F,5,0),"")</f>
        <v>MT</v>
      </c>
      <c r="G2538" s="20">
        <f>IFERROR(INDEX('Kode Outlet dan Target Toko'!$C:$C,MATCH($I2538,'Kode Outlet dan Target Toko'!$E:$E,0)),0)</f>
        <v>122506</v>
      </c>
      <c r="H2538" s="20">
        <f>IFERROR(INDEX('Kode Outlet dan Target Toko'!$D:$D,MATCH($I2538,'Kode Outlet dan Target Toko'!$E:$E,0)),0)</f>
        <v>202879</v>
      </c>
      <c r="I2538" s="42" t="s">
        <v>70</v>
      </c>
      <c r="J2538" s="56" t="s">
        <v>289</v>
      </c>
      <c r="K2538" s="40" t="s">
        <v>16</v>
      </c>
      <c r="L2538" s="26">
        <v>6400</v>
      </c>
      <c r="M2538" s="26">
        <v>87</v>
      </c>
      <c r="N2538" s="25">
        <f t="shared" si="79"/>
        <v>556800</v>
      </c>
      <c r="O2538" s="56">
        <v>160</v>
      </c>
    </row>
    <row r="2539" spans="1:15" hidden="1" x14ac:dyDescent="0.3">
      <c r="A2539" s="26">
        <v>31</v>
      </c>
      <c r="B2539" s="20" t="str">
        <f t="shared" si="78"/>
        <v>JUL</v>
      </c>
      <c r="C2539" s="21">
        <v>46234</v>
      </c>
      <c r="D2539" s="22" t="str">
        <f t="array" ref="D2539">IFERROR(INDEX('Kode Outlet dan Target Toko'!$A:$A,MATCH($I2539,'Kode Outlet dan Target Toko'!$E:$E,0)),"")</f>
        <v>GRSM 1</v>
      </c>
      <c r="E2539" s="20" t="str">
        <f>IFERROR(VLOOKUP(I2539,KET!$B:$F,4,0),"")</f>
        <v>AFNITA SARI</v>
      </c>
      <c r="F2539" s="20" t="str">
        <f>IFERROR(VLOOKUP(I2539,KET!$B:$F,5,0),"")</f>
        <v>MT</v>
      </c>
      <c r="G2539" s="20">
        <f>IFERROR(INDEX('Kode Outlet dan Target Toko'!$C:$C,MATCH($I2539,'Kode Outlet dan Target Toko'!$E:$E,0)),0)</f>
        <v>122506</v>
      </c>
      <c r="H2539" s="20">
        <f>IFERROR(INDEX('Kode Outlet dan Target Toko'!$D:$D,MATCH($I2539,'Kode Outlet dan Target Toko'!$E:$E,0)),0)</f>
        <v>202879</v>
      </c>
      <c r="I2539" s="42" t="s">
        <v>70</v>
      </c>
      <c r="J2539" s="56" t="s">
        <v>290</v>
      </c>
      <c r="K2539" s="40" t="s">
        <v>15</v>
      </c>
      <c r="L2539" s="26">
        <v>6400</v>
      </c>
      <c r="M2539" s="26">
        <v>37</v>
      </c>
      <c r="N2539" s="25">
        <f t="shared" si="79"/>
        <v>236800</v>
      </c>
      <c r="O2539" s="56"/>
    </row>
    <row r="2540" spans="1:15" hidden="1" x14ac:dyDescent="0.3">
      <c r="A2540" s="26">
        <v>31</v>
      </c>
      <c r="B2540" s="20" t="str">
        <f t="shared" si="78"/>
        <v>JUL</v>
      </c>
      <c r="C2540" s="21">
        <v>46234</v>
      </c>
      <c r="D2540" s="22" t="str">
        <f t="array" ref="D2540">IFERROR(INDEX('Kode Outlet dan Target Toko'!$A:$A,MATCH($I2540,'Kode Outlet dan Target Toko'!$E:$E,0)),"")</f>
        <v>GRSM 1</v>
      </c>
      <c r="E2540" s="20" t="str">
        <f>IFERROR(VLOOKUP(I2540,KET!$B:$F,4,0),"")</f>
        <v>AFNITA SARI</v>
      </c>
      <c r="F2540" s="20" t="str">
        <f>IFERROR(VLOOKUP(I2540,KET!$B:$F,5,0),"")</f>
        <v>MT</v>
      </c>
      <c r="G2540" s="20">
        <f>IFERROR(INDEX('Kode Outlet dan Target Toko'!$C:$C,MATCH($I2540,'Kode Outlet dan Target Toko'!$E:$E,0)),0)</f>
        <v>122506</v>
      </c>
      <c r="H2540" s="20">
        <f>IFERROR(INDEX('Kode Outlet dan Target Toko'!$D:$D,MATCH($I2540,'Kode Outlet dan Target Toko'!$E:$E,0)),0)</f>
        <v>202879</v>
      </c>
      <c r="I2540" s="42" t="s">
        <v>70</v>
      </c>
      <c r="J2540" s="56" t="s">
        <v>290</v>
      </c>
      <c r="K2540" s="40" t="s">
        <v>14</v>
      </c>
      <c r="L2540" s="26">
        <v>6400</v>
      </c>
      <c r="M2540" s="26">
        <v>40</v>
      </c>
      <c r="N2540" s="25">
        <f t="shared" si="79"/>
        <v>256000</v>
      </c>
      <c r="O2540" s="56"/>
    </row>
    <row r="2541" spans="1:15" hidden="1" x14ac:dyDescent="0.3">
      <c r="A2541" s="26">
        <v>31</v>
      </c>
      <c r="B2541" s="20" t="str">
        <f t="shared" si="78"/>
        <v>JUL</v>
      </c>
      <c r="C2541" s="21">
        <v>46234</v>
      </c>
      <c r="D2541" s="22" t="str">
        <f t="array" ref="D2541">IFERROR(INDEX('Kode Outlet dan Target Toko'!$A:$A,MATCH($I2541,'Kode Outlet dan Target Toko'!$E:$E,0)),"")</f>
        <v>GRSM 1</v>
      </c>
      <c r="E2541" s="20" t="str">
        <f>IFERROR(VLOOKUP(I2541,KET!$B:$F,4,0),"")</f>
        <v>AFNITA SARI</v>
      </c>
      <c r="F2541" s="20" t="str">
        <f>IFERROR(VLOOKUP(I2541,KET!$B:$F,5,0),"")</f>
        <v>MT</v>
      </c>
      <c r="G2541" s="20">
        <f>IFERROR(INDEX('Kode Outlet dan Target Toko'!$C:$C,MATCH($I2541,'Kode Outlet dan Target Toko'!$E:$E,0)),0)</f>
        <v>122506</v>
      </c>
      <c r="H2541" s="20">
        <f>IFERROR(INDEX('Kode Outlet dan Target Toko'!$D:$D,MATCH($I2541,'Kode Outlet dan Target Toko'!$E:$E,0)),0)</f>
        <v>202879</v>
      </c>
      <c r="I2541" s="42" t="s">
        <v>70</v>
      </c>
      <c r="J2541" s="56" t="s">
        <v>290</v>
      </c>
      <c r="K2541" s="40" t="s">
        <v>13</v>
      </c>
      <c r="L2541" s="26">
        <v>6400</v>
      </c>
      <c r="M2541" s="26">
        <v>22</v>
      </c>
      <c r="N2541" s="25">
        <f t="shared" si="79"/>
        <v>140800</v>
      </c>
      <c r="O2541" s="56"/>
    </row>
    <row r="2542" spans="1:15" hidden="1" x14ac:dyDescent="0.3">
      <c r="A2542" s="26">
        <v>31</v>
      </c>
      <c r="B2542" s="20" t="str">
        <f t="shared" si="78"/>
        <v>JUL</v>
      </c>
      <c r="C2542" s="21">
        <v>46234</v>
      </c>
      <c r="D2542" s="22" t="str">
        <f t="array" ref="D2542">IFERROR(INDEX('Kode Outlet dan Target Toko'!$A:$A,MATCH($I2542,'Kode Outlet dan Target Toko'!$E:$E,0)),"")</f>
        <v>GRSM 1</v>
      </c>
      <c r="E2542" s="20" t="str">
        <f>IFERROR(VLOOKUP(I2542,KET!$B:$F,4,0),"")</f>
        <v>AFNITA SARI</v>
      </c>
      <c r="F2542" s="20" t="str">
        <f>IFERROR(VLOOKUP(I2542,KET!$B:$F,5,0),"")</f>
        <v>MT</v>
      </c>
      <c r="G2542" s="20">
        <f>IFERROR(INDEX('Kode Outlet dan Target Toko'!$C:$C,MATCH($I2542,'Kode Outlet dan Target Toko'!$E:$E,0)),0)</f>
        <v>122506</v>
      </c>
      <c r="H2542" s="20">
        <f>IFERROR(INDEX('Kode Outlet dan Target Toko'!$D:$D,MATCH($I2542,'Kode Outlet dan Target Toko'!$E:$E,0)),0)</f>
        <v>202879</v>
      </c>
      <c r="I2542" s="42" t="s">
        <v>70</v>
      </c>
      <c r="J2542" s="56" t="s">
        <v>290</v>
      </c>
      <c r="K2542" s="40" t="s">
        <v>16</v>
      </c>
      <c r="L2542" s="26">
        <v>6400</v>
      </c>
      <c r="M2542" s="26">
        <v>87</v>
      </c>
      <c r="N2542" s="25">
        <f t="shared" si="79"/>
        <v>556800</v>
      </c>
      <c r="O2542" s="56">
        <v>160</v>
      </c>
    </row>
    <row r="2543" spans="1:15" hidden="1" x14ac:dyDescent="0.3">
      <c r="A2543" s="26">
        <v>31</v>
      </c>
      <c r="B2543" s="20" t="str">
        <f t="shared" si="78"/>
        <v>JUL</v>
      </c>
      <c r="C2543" s="21">
        <v>46234</v>
      </c>
      <c r="D2543" s="22" t="str">
        <f t="array" ref="D2543">IFERROR(INDEX('Kode Outlet dan Target Toko'!$A:$A,MATCH($I2543,'Kode Outlet dan Target Toko'!$E:$E,0)),"")</f>
        <v>GRSM 1</v>
      </c>
      <c r="E2543" s="20" t="str">
        <f>IFERROR(VLOOKUP(I2543,KET!$B:$F,4,0),"")</f>
        <v>AFNITA SARI</v>
      </c>
      <c r="F2543" s="20" t="str">
        <f>IFERROR(VLOOKUP(I2543,KET!$B:$F,5,0),"")</f>
        <v>MT</v>
      </c>
      <c r="G2543" s="20">
        <f>IFERROR(INDEX('Kode Outlet dan Target Toko'!$C:$C,MATCH($I2543,'Kode Outlet dan Target Toko'!$E:$E,0)),0)</f>
        <v>122506</v>
      </c>
      <c r="H2543" s="20">
        <f>IFERROR(INDEX('Kode Outlet dan Target Toko'!$D:$D,MATCH($I2543,'Kode Outlet dan Target Toko'!$E:$E,0)),0)</f>
        <v>202816</v>
      </c>
      <c r="I2543" s="42" t="s">
        <v>71</v>
      </c>
      <c r="J2543" s="56" t="s">
        <v>295</v>
      </c>
      <c r="K2543" s="40" t="s">
        <v>15</v>
      </c>
      <c r="L2543" s="26">
        <v>7000</v>
      </c>
      <c r="M2543" s="26">
        <v>43</v>
      </c>
      <c r="N2543" s="25">
        <f t="shared" si="79"/>
        <v>301000</v>
      </c>
      <c r="O2543" s="56"/>
    </row>
    <row r="2544" spans="1:15" hidden="1" x14ac:dyDescent="0.3">
      <c r="A2544" s="26">
        <v>31</v>
      </c>
      <c r="B2544" s="20" t="str">
        <f t="shared" si="78"/>
        <v>JUL</v>
      </c>
      <c r="C2544" s="21">
        <v>46234</v>
      </c>
      <c r="D2544" s="22" t="str">
        <f t="array" ref="D2544">IFERROR(INDEX('Kode Outlet dan Target Toko'!$A:$A,MATCH($I2544,'Kode Outlet dan Target Toko'!$E:$E,0)),"")</f>
        <v>GRSM 1</v>
      </c>
      <c r="E2544" s="20" t="str">
        <f>IFERROR(VLOOKUP(I2544,KET!$B:$F,4,0),"")</f>
        <v>AFNITA SARI</v>
      </c>
      <c r="F2544" s="20" t="str">
        <f>IFERROR(VLOOKUP(I2544,KET!$B:$F,5,0),"")</f>
        <v>MT</v>
      </c>
      <c r="G2544" s="20">
        <f>IFERROR(INDEX('Kode Outlet dan Target Toko'!$C:$C,MATCH($I2544,'Kode Outlet dan Target Toko'!$E:$E,0)),0)</f>
        <v>122506</v>
      </c>
      <c r="H2544" s="20">
        <f>IFERROR(INDEX('Kode Outlet dan Target Toko'!$D:$D,MATCH($I2544,'Kode Outlet dan Target Toko'!$E:$E,0)),0)</f>
        <v>202816</v>
      </c>
      <c r="I2544" s="42" t="s">
        <v>71</v>
      </c>
      <c r="J2544" s="56" t="s">
        <v>295</v>
      </c>
      <c r="K2544" s="40" t="s">
        <v>14</v>
      </c>
      <c r="L2544" s="26">
        <v>7000</v>
      </c>
      <c r="M2544" s="26">
        <v>52</v>
      </c>
      <c r="N2544" s="25">
        <f t="shared" si="79"/>
        <v>364000</v>
      </c>
      <c r="O2544" s="56"/>
    </row>
    <row r="2545" spans="1:15" hidden="1" x14ac:dyDescent="0.3">
      <c r="A2545" s="26">
        <v>31</v>
      </c>
      <c r="B2545" s="20" t="str">
        <f t="shared" si="78"/>
        <v>JUL</v>
      </c>
      <c r="C2545" s="21">
        <v>46234</v>
      </c>
      <c r="D2545" s="22" t="str">
        <f t="array" ref="D2545">IFERROR(INDEX('Kode Outlet dan Target Toko'!$A:$A,MATCH($I2545,'Kode Outlet dan Target Toko'!$E:$E,0)),"")</f>
        <v>GRSM 1</v>
      </c>
      <c r="E2545" s="20" t="str">
        <f>IFERROR(VLOOKUP(I2545,KET!$B:$F,4,0),"")</f>
        <v>AFNITA SARI</v>
      </c>
      <c r="F2545" s="20" t="str">
        <f>IFERROR(VLOOKUP(I2545,KET!$B:$F,5,0),"")</f>
        <v>MT</v>
      </c>
      <c r="G2545" s="20">
        <f>IFERROR(INDEX('Kode Outlet dan Target Toko'!$C:$C,MATCH($I2545,'Kode Outlet dan Target Toko'!$E:$E,0)),0)</f>
        <v>122506</v>
      </c>
      <c r="H2545" s="20">
        <f>IFERROR(INDEX('Kode Outlet dan Target Toko'!$D:$D,MATCH($I2545,'Kode Outlet dan Target Toko'!$E:$E,0)),0)</f>
        <v>202816</v>
      </c>
      <c r="I2545" s="42" t="s">
        <v>71</v>
      </c>
      <c r="J2545" s="56" t="s">
        <v>295</v>
      </c>
      <c r="K2545" s="40" t="s">
        <v>13</v>
      </c>
      <c r="L2545" s="26">
        <v>7000</v>
      </c>
      <c r="M2545" s="26">
        <v>14</v>
      </c>
      <c r="N2545" s="25">
        <f t="shared" si="79"/>
        <v>98000</v>
      </c>
      <c r="O2545" s="56"/>
    </row>
    <row r="2546" spans="1:15" hidden="1" x14ac:dyDescent="0.3">
      <c r="A2546" s="26">
        <v>31</v>
      </c>
      <c r="B2546" s="20" t="str">
        <f t="shared" si="78"/>
        <v>JUL</v>
      </c>
      <c r="C2546" s="21">
        <v>46234</v>
      </c>
      <c r="D2546" s="22" t="str">
        <f t="array" ref="D2546">IFERROR(INDEX('Kode Outlet dan Target Toko'!$A:$A,MATCH($I2546,'Kode Outlet dan Target Toko'!$E:$E,0)),"")</f>
        <v>GRSM 1</v>
      </c>
      <c r="E2546" s="20" t="str">
        <f>IFERROR(VLOOKUP(I2546,KET!$B:$F,4,0),"")</f>
        <v>AFNITA SARI</v>
      </c>
      <c r="F2546" s="20" t="str">
        <f>IFERROR(VLOOKUP(I2546,KET!$B:$F,5,0),"")</f>
        <v>MT</v>
      </c>
      <c r="G2546" s="20">
        <f>IFERROR(INDEX('Kode Outlet dan Target Toko'!$C:$C,MATCH($I2546,'Kode Outlet dan Target Toko'!$E:$E,0)),0)</f>
        <v>122506</v>
      </c>
      <c r="H2546" s="20">
        <f>IFERROR(INDEX('Kode Outlet dan Target Toko'!$D:$D,MATCH($I2546,'Kode Outlet dan Target Toko'!$E:$E,0)),0)</f>
        <v>202816</v>
      </c>
      <c r="I2546" s="42" t="s">
        <v>71</v>
      </c>
      <c r="J2546" s="56" t="s">
        <v>295</v>
      </c>
      <c r="K2546" s="40" t="s">
        <v>16</v>
      </c>
      <c r="L2546" s="26">
        <v>7000</v>
      </c>
      <c r="M2546" s="26">
        <v>66</v>
      </c>
      <c r="N2546" s="25">
        <f t="shared" si="79"/>
        <v>462000</v>
      </c>
      <c r="O2546" s="56">
        <v>160</v>
      </c>
    </row>
    <row r="2547" spans="1:15" hidden="1" x14ac:dyDescent="0.3">
      <c r="A2547" s="26">
        <v>31</v>
      </c>
      <c r="B2547" s="20" t="str">
        <f t="shared" si="78"/>
        <v>JUL</v>
      </c>
      <c r="C2547" s="21">
        <v>46234</v>
      </c>
      <c r="D2547" s="22" t="str">
        <f t="array" ref="D2547">IFERROR(INDEX('Kode Outlet dan Target Toko'!$A:$A,MATCH($I2547,'Kode Outlet dan Target Toko'!$E:$E,0)),"")</f>
        <v>GRSM 1</v>
      </c>
      <c r="E2547" s="20" t="str">
        <f>IFERROR(VLOOKUP(I2547,KET!$B:$F,4,0),"")</f>
        <v>AFNITA SARI</v>
      </c>
      <c r="F2547" s="20" t="str">
        <f>IFERROR(VLOOKUP(I2547,KET!$B:$F,5,0),"")</f>
        <v>MT</v>
      </c>
      <c r="G2547" s="20">
        <f>IFERROR(INDEX('Kode Outlet dan Target Toko'!$C:$C,MATCH($I2547,'Kode Outlet dan Target Toko'!$E:$E,0)),0)</f>
        <v>122506</v>
      </c>
      <c r="H2547" s="20">
        <f>IFERROR(INDEX('Kode Outlet dan Target Toko'!$D:$D,MATCH($I2547,'Kode Outlet dan Target Toko'!$E:$E,0)),0)</f>
        <v>202816</v>
      </c>
      <c r="I2547" s="42" t="s">
        <v>71</v>
      </c>
      <c r="J2547" s="56" t="s">
        <v>296</v>
      </c>
      <c r="K2547" s="40" t="s">
        <v>15</v>
      </c>
      <c r="L2547" s="26">
        <v>7000</v>
      </c>
      <c r="M2547" s="26">
        <v>43</v>
      </c>
      <c r="N2547" s="25">
        <f t="shared" si="79"/>
        <v>301000</v>
      </c>
      <c r="O2547" s="56"/>
    </row>
    <row r="2548" spans="1:15" hidden="1" x14ac:dyDescent="0.3">
      <c r="A2548" s="26">
        <v>31</v>
      </c>
      <c r="B2548" s="20" t="str">
        <f t="shared" si="78"/>
        <v>JUL</v>
      </c>
      <c r="C2548" s="21">
        <v>46234</v>
      </c>
      <c r="D2548" s="22" t="str">
        <f t="array" ref="D2548">IFERROR(INDEX('Kode Outlet dan Target Toko'!$A:$A,MATCH($I2548,'Kode Outlet dan Target Toko'!$E:$E,0)),"")</f>
        <v>GRSM 1</v>
      </c>
      <c r="E2548" s="20" t="str">
        <f>IFERROR(VLOOKUP(I2548,KET!$B:$F,4,0),"")</f>
        <v>AFNITA SARI</v>
      </c>
      <c r="F2548" s="20" t="str">
        <f>IFERROR(VLOOKUP(I2548,KET!$B:$F,5,0),"")</f>
        <v>MT</v>
      </c>
      <c r="G2548" s="20">
        <f>IFERROR(INDEX('Kode Outlet dan Target Toko'!$C:$C,MATCH($I2548,'Kode Outlet dan Target Toko'!$E:$E,0)),0)</f>
        <v>122506</v>
      </c>
      <c r="H2548" s="20">
        <f>IFERROR(INDEX('Kode Outlet dan Target Toko'!$D:$D,MATCH($I2548,'Kode Outlet dan Target Toko'!$E:$E,0)),0)</f>
        <v>202816</v>
      </c>
      <c r="I2548" s="42" t="s">
        <v>71</v>
      </c>
      <c r="J2548" s="56" t="s">
        <v>296</v>
      </c>
      <c r="K2548" s="40" t="s">
        <v>14</v>
      </c>
      <c r="L2548" s="26">
        <v>7000</v>
      </c>
      <c r="M2548" s="26">
        <v>52</v>
      </c>
      <c r="N2548" s="25">
        <f t="shared" si="79"/>
        <v>364000</v>
      </c>
      <c r="O2548" s="56"/>
    </row>
    <row r="2549" spans="1:15" hidden="1" x14ac:dyDescent="0.3">
      <c r="A2549" s="26">
        <v>31</v>
      </c>
      <c r="B2549" s="20" t="str">
        <f t="shared" si="78"/>
        <v>JUL</v>
      </c>
      <c r="C2549" s="21">
        <v>46234</v>
      </c>
      <c r="D2549" s="22" t="str">
        <f t="array" ref="D2549">IFERROR(INDEX('Kode Outlet dan Target Toko'!$A:$A,MATCH($I2549,'Kode Outlet dan Target Toko'!$E:$E,0)),"")</f>
        <v>GRSM 1</v>
      </c>
      <c r="E2549" s="20" t="str">
        <f>IFERROR(VLOOKUP(I2549,KET!$B:$F,4,0),"")</f>
        <v>AFNITA SARI</v>
      </c>
      <c r="F2549" s="20" t="str">
        <f>IFERROR(VLOOKUP(I2549,KET!$B:$F,5,0),"")</f>
        <v>MT</v>
      </c>
      <c r="G2549" s="20">
        <f>IFERROR(INDEX('Kode Outlet dan Target Toko'!$C:$C,MATCH($I2549,'Kode Outlet dan Target Toko'!$E:$E,0)),0)</f>
        <v>122506</v>
      </c>
      <c r="H2549" s="20">
        <f>IFERROR(INDEX('Kode Outlet dan Target Toko'!$D:$D,MATCH($I2549,'Kode Outlet dan Target Toko'!$E:$E,0)),0)</f>
        <v>202816</v>
      </c>
      <c r="I2549" s="42" t="s">
        <v>71</v>
      </c>
      <c r="J2549" s="56" t="s">
        <v>296</v>
      </c>
      <c r="K2549" s="40" t="s">
        <v>13</v>
      </c>
      <c r="L2549" s="26">
        <v>7000</v>
      </c>
      <c r="M2549" s="26">
        <v>14</v>
      </c>
      <c r="N2549" s="25">
        <f t="shared" si="79"/>
        <v>98000</v>
      </c>
      <c r="O2549" s="56"/>
    </row>
    <row r="2550" spans="1:15" hidden="1" x14ac:dyDescent="0.3">
      <c r="A2550" s="26">
        <v>31</v>
      </c>
      <c r="B2550" s="20" t="str">
        <f t="shared" si="78"/>
        <v>JUL</v>
      </c>
      <c r="C2550" s="21">
        <v>46234</v>
      </c>
      <c r="D2550" s="22" t="str">
        <f t="array" ref="D2550">IFERROR(INDEX('Kode Outlet dan Target Toko'!$A:$A,MATCH($I2550,'Kode Outlet dan Target Toko'!$E:$E,0)),"")</f>
        <v>GRSM 1</v>
      </c>
      <c r="E2550" s="20" t="str">
        <f>IFERROR(VLOOKUP(I2550,KET!$B:$F,4,0),"")</f>
        <v>AFNITA SARI</v>
      </c>
      <c r="F2550" s="20" t="str">
        <f>IFERROR(VLOOKUP(I2550,KET!$B:$F,5,0),"")</f>
        <v>MT</v>
      </c>
      <c r="G2550" s="20">
        <f>IFERROR(INDEX('Kode Outlet dan Target Toko'!$C:$C,MATCH($I2550,'Kode Outlet dan Target Toko'!$E:$E,0)),0)</f>
        <v>122506</v>
      </c>
      <c r="H2550" s="20">
        <f>IFERROR(INDEX('Kode Outlet dan Target Toko'!$D:$D,MATCH($I2550,'Kode Outlet dan Target Toko'!$E:$E,0)),0)</f>
        <v>202816</v>
      </c>
      <c r="I2550" s="42" t="s">
        <v>71</v>
      </c>
      <c r="J2550" s="56" t="s">
        <v>296</v>
      </c>
      <c r="K2550" s="40" t="s">
        <v>16</v>
      </c>
      <c r="L2550" s="26">
        <v>7000</v>
      </c>
      <c r="M2550" s="26">
        <v>66</v>
      </c>
      <c r="N2550" s="25">
        <f t="shared" si="79"/>
        <v>462000</v>
      </c>
      <c r="O2550" s="56">
        <v>160</v>
      </c>
    </row>
    <row r="2551" spans="1:15" hidden="1" x14ac:dyDescent="0.3">
      <c r="A2551" s="26">
        <v>31</v>
      </c>
      <c r="B2551" s="20" t="str">
        <f t="shared" si="78"/>
        <v>JUL</v>
      </c>
      <c r="C2551" s="21">
        <v>46234</v>
      </c>
      <c r="D2551" s="22" t="str">
        <f t="array" ref="D2551">IFERROR(INDEX('Kode Outlet dan Target Toko'!$A:$A,MATCH($I2551,'Kode Outlet dan Target Toko'!$E:$E,0)),"")</f>
        <v>GRSM 1</v>
      </c>
      <c r="E2551" s="20" t="str">
        <f>IFERROR(VLOOKUP(I2551,KET!$B:$F,4,0),"")</f>
        <v>AFNITA SARI</v>
      </c>
      <c r="F2551" s="20" t="str">
        <f>IFERROR(VLOOKUP(I2551,KET!$B:$F,5,0),"")</f>
        <v>MT</v>
      </c>
      <c r="G2551" s="20">
        <f>IFERROR(INDEX('Kode Outlet dan Target Toko'!$C:$C,MATCH($I2551,'Kode Outlet dan Target Toko'!$E:$E,0)),0)</f>
        <v>122506</v>
      </c>
      <c r="H2551" s="20">
        <f>IFERROR(INDEX('Kode Outlet dan Target Toko'!$D:$D,MATCH($I2551,'Kode Outlet dan Target Toko'!$E:$E,0)),0)</f>
        <v>214422</v>
      </c>
      <c r="I2551" s="42" t="s">
        <v>72</v>
      </c>
      <c r="J2551" s="56" t="s">
        <v>294</v>
      </c>
      <c r="K2551" s="40" t="s">
        <v>15</v>
      </c>
      <c r="L2551" s="26">
        <v>3200</v>
      </c>
      <c r="M2551" s="26">
        <v>40</v>
      </c>
      <c r="N2551" s="25">
        <f t="shared" si="79"/>
        <v>128000</v>
      </c>
      <c r="O2551" s="56"/>
    </row>
    <row r="2552" spans="1:15" hidden="1" x14ac:dyDescent="0.3">
      <c r="A2552" s="26">
        <v>31</v>
      </c>
      <c r="B2552" s="20" t="str">
        <f t="shared" si="78"/>
        <v>JUL</v>
      </c>
      <c r="C2552" s="21">
        <v>46234</v>
      </c>
      <c r="D2552" s="22" t="str">
        <f t="array" ref="D2552">IFERROR(INDEX('Kode Outlet dan Target Toko'!$A:$A,MATCH($I2552,'Kode Outlet dan Target Toko'!$E:$E,0)),"")</f>
        <v>GRSM 1</v>
      </c>
      <c r="E2552" s="20" t="str">
        <f>IFERROR(VLOOKUP(I2552,KET!$B:$F,4,0),"")</f>
        <v>AFNITA SARI</v>
      </c>
      <c r="F2552" s="20" t="str">
        <f>IFERROR(VLOOKUP(I2552,KET!$B:$F,5,0),"")</f>
        <v>MT</v>
      </c>
      <c r="G2552" s="20">
        <f>IFERROR(INDEX('Kode Outlet dan Target Toko'!$C:$C,MATCH($I2552,'Kode Outlet dan Target Toko'!$E:$E,0)),0)</f>
        <v>122506</v>
      </c>
      <c r="H2552" s="20">
        <f>IFERROR(INDEX('Kode Outlet dan Target Toko'!$D:$D,MATCH($I2552,'Kode Outlet dan Target Toko'!$E:$E,0)),0)</f>
        <v>214422</v>
      </c>
      <c r="I2552" s="42" t="s">
        <v>72</v>
      </c>
      <c r="J2552" s="56" t="s">
        <v>294</v>
      </c>
      <c r="K2552" s="40" t="s">
        <v>14</v>
      </c>
      <c r="L2552" s="26">
        <v>3200</v>
      </c>
      <c r="M2552" s="26">
        <v>42</v>
      </c>
      <c r="N2552" s="25">
        <f t="shared" si="79"/>
        <v>134400</v>
      </c>
      <c r="O2552" s="56"/>
    </row>
    <row r="2553" spans="1:15" hidden="1" x14ac:dyDescent="0.3">
      <c r="A2553" s="26">
        <v>31</v>
      </c>
      <c r="B2553" s="20" t="str">
        <f t="shared" si="78"/>
        <v>JUL</v>
      </c>
      <c r="C2553" s="21">
        <v>46234</v>
      </c>
      <c r="D2553" s="22" t="str">
        <f t="array" ref="D2553">IFERROR(INDEX('Kode Outlet dan Target Toko'!$A:$A,MATCH($I2553,'Kode Outlet dan Target Toko'!$E:$E,0)),"")</f>
        <v>GRSM 1</v>
      </c>
      <c r="E2553" s="20" t="str">
        <f>IFERROR(VLOOKUP(I2553,KET!$B:$F,4,0),"")</f>
        <v>AFNITA SARI</v>
      </c>
      <c r="F2553" s="20" t="str">
        <f>IFERROR(VLOOKUP(I2553,KET!$B:$F,5,0),"")</f>
        <v>MT</v>
      </c>
      <c r="G2553" s="20">
        <f>IFERROR(INDEX('Kode Outlet dan Target Toko'!$C:$C,MATCH($I2553,'Kode Outlet dan Target Toko'!$E:$E,0)),0)</f>
        <v>122506</v>
      </c>
      <c r="H2553" s="20">
        <f>IFERROR(INDEX('Kode Outlet dan Target Toko'!$D:$D,MATCH($I2553,'Kode Outlet dan Target Toko'!$E:$E,0)),0)</f>
        <v>214422</v>
      </c>
      <c r="I2553" s="42" t="s">
        <v>72</v>
      </c>
      <c r="J2553" s="56" t="s">
        <v>294</v>
      </c>
      <c r="K2553" s="40" t="s">
        <v>13</v>
      </c>
      <c r="L2553" s="26">
        <v>3200</v>
      </c>
      <c r="M2553" s="26">
        <v>80</v>
      </c>
      <c r="N2553" s="25">
        <f t="shared" si="79"/>
        <v>256000</v>
      </c>
      <c r="O2553" s="56"/>
    </row>
    <row r="2554" spans="1:15" hidden="1" x14ac:dyDescent="0.3">
      <c r="A2554" s="26">
        <v>31</v>
      </c>
      <c r="B2554" s="20" t="str">
        <f t="shared" si="78"/>
        <v>JUL</v>
      </c>
      <c r="C2554" s="21">
        <v>46234</v>
      </c>
      <c r="D2554" s="22" t="str">
        <f t="array" ref="D2554">IFERROR(INDEX('Kode Outlet dan Target Toko'!$A:$A,MATCH($I2554,'Kode Outlet dan Target Toko'!$E:$E,0)),"")</f>
        <v>GRSM 1</v>
      </c>
      <c r="E2554" s="20" t="str">
        <f>IFERROR(VLOOKUP(I2554,KET!$B:$F,4,0),"")</f>
        <v>AFNITA SARI</v>
      </c>
      <c r="F2554" s="20" t="str">
        <f>IFERROR(VLOOKUP(I2554,KET!$B:$F,5,0),"")</f>
        <v>MT</v>
      </c>
      <c r="G2554" s="20">
        <f>IFERROR(INDEX('Kode Outlet dan Target Toko'!$C:$C,MATCH($I2554,'Kode Outlet dan Target Toko'!$E:$E,0)),0)</f>
        <v>122506</v>
      </c>
      <c r="H2554" s="20">
        <f>IFERROR(INDEX('Kode Outlet dan Target Toko'!$D:$D,MATCH($I2554,'Kode Outlet dan Target Toko'!$E:$E,0)),0)</f>
        <v>214422</v>
      </c>
      <c r="I2554" s="42" t="s">
        <v>72</v>
      </c>
      <c r="J2554" s="56" t="s">
        <v>294</v>
      </c>
      <c r="K2554" s="40" t="s">
        <v>16</v>
      </c>
      <c r="L2554" s="26">
        <v>3200</v>
      </c>
      <c r="M2554" s="26">
        <v>84</v>
      </c>
      <c r="N2554" s="25">
        <f t="shared" si="79"/>
        <v>268800</v>
      </c>
      <c r="O2554" s="56">
        <v>160</v>
      </c>
    </row>
    <row r="2555" spans="1:15" hidden="1" x14ac:dyDescent="0.3">
      <c r="A2555" s="26">
        <v>31</v>
      </c>
      <c r="B2555" s="20" t="str">
        <f t="shared" si="78"/>
        <v>JUL</v>
      </c>
      <c r="C2555" s="21">
        <v>46234</v>
      </c>
      <c r="D2555" s="22" t="str">
        <f t="array" ref="D2555">IFERROR(INDEX('Kode Outlet dan Target Toko'!$A:$A,MATCH($I2555,'Kode Outlet dan Target Toko'!$E:$E,0)),"")</f>
        <v>GRSM 1</v>
      </c>
      <c r="E2555" s="20" t="str">
        <f>IFERROR(VLOOKUP(I2555,KET!$B:$F,4,0),"")</f>
        <v>AFNITA SARI</v>
      </c>
      <c r="F2555" s="20" t="str">
        <f>IFERROR(VLOOKUP(I2555,KET!$B:$F,5,0),"")</f>
        <v>MT</v>
      </c>
      <c r="G2555" s="20">
        <f>IFERROR(INDEX('Kode Outlet dan Target Toko'!$C:$C,MATCH($I2555,'Kode Outlet dan Target Toko'!$E:$E,0)),0)</f>
        <v>122506</v>
      </c>
      <c r="H2555" s="20">
        <f>IFERROR(INDEX('Kode Outlet dan Target Toko'!$D:$D,MATCH($I2555,'Kode Outlet dan Target Toko'!$E:$E,0)),0)</f>
        <v>214422</v>
      </c>
      <c r="I2555" s="42" t="s">
        <v>72</v>
      </c>
      <c r="J2555" s="56" t="s">
        <v>293</v>
      </c>
      <c r="K2555" s="40" t="s">
        <v>15</v>
      </c>
      <c r="L2555" s="26">
        <v>3200</v>
      </c>
      <c r="M2555" s="26">
        <v>40</v>
      </c>
      <c r="N2555" s="25">
        <f t="shared" si="79"/>
        <v>128000</v>
      </c>
      <c r="O2555" s="56"/>
    </row>
    <row r="2556" spans="1:15" hidden="1" x14ac:dyDescent="0.3">
      <c r="A2556" s="26">
        <v>31</v>
      </c>
      <c r="B2556" s="20" t="str">
        <f t="shared" si="78"/>
        <v>JUL</v>
      </c>
      <c r="C2556" s="21">
        <v>46234</v>
      </c>
      <c r="D2556" s="22" t="str">
        <f t="array" ref="D2556">IFERROR(INDEX('Kode Outlet dan Target Toko'!$A:$A,MATCH($I2556,'Kode Outlet dan Target Toko'!$E:$E,0)),"")</f>
        <v>GRSM 1</v>
      </c>
      <c r="E2556" s="20" t="str">
        <f>IFERROR(VLOOKUP(I2556,KET!$B:$F,4,0),"")</f>
        <v>AFNITA SARI</v>
      </c>
      <c r="F2556" s="20" t="str">
        <f>IFERROR(VLOOKUP(I2556,KET!$B:$F,5,0),"")</f>
        <v>MT</v>
      </c>
      <c r="G2556" s="20">
        <f>IFERROR(INDEX('Kode Outlet dan Target Toko'!$C:$C,MATCH($I2556,'Kode Outlet dan Target Toko'!$E:$E,0)),0)</f>
        <v>122506</v>
      </c>
      <c r="H2556" s="20">
        <f>IFERROR(INDEX('Kode Outlet dan Target Toko'!$D:$D,MATCH($I2556,'Kode Outlet dan Target Toko'!$E:$E,0)),0)</f>
        <v>214422</v>
      </c>
      <c r="I2556" s="42" t="s">
        <v>72</v>
      </c>
      <c r="J2556" s="56" t="s">
        <v>293</v>
      </c>
      <c r="K2556" s="40" t="s">
        <v>14</v>
      </c>
      <c r="L2556" s="26">
        <v>3200</v>
      </c>
      <c r="M2556" s="26">
        <v>42</v>
      </c>
      <c r="N2556" s="25">
        <f t="shared" si="79"/>
        <v>134400</v>
      </c>
      <c r="O2556" s="56"/>
    </row>
    <row r="2557" spans="1:15" hidden="1" x14ac:dyDescent="0.3">
      <c r="A2557" s="26">
        <v>31</v>
      </c>
      <c r="B2557" s="20" t="str">
        <f t="shared" si="78"/>
        <v>JUL</v>
      </c>
      <c r="C2557" s="21">
        <v>46234</v>
      </c>
      <c r="D2557" s="22" t="str">
        <f t="array" ref="D2557">IFERROR(INDEX('Kode Outlet dan Target Toko'!$A:$A,MATCH($I2557,'Kode Outlet dan Target Toko'!$E:$E,0)),"")</f>
        <v>GRSM 1</v>
      </c>
      <c r="E2557" s="20" t="str">
        <f>IFERROR(VLOOKUP(I2557,KET!$B:$F,4,0),"")</f>
        <v>AFNITA SARI</v>
      </c>
      <c r="F2557" s="20" t="str">
        <f>IFERROR(VLOOKUP(I2557,KET!$B:$F,5,0),"")</f>
        <v>MT</v>
      </c>
      <c r="G2557" s="20">
        <f>IFERROR(INDEX('Kode Outlet dan Target Toko'!$C:$C,MATCH($I2557,'Kode Outlet dan Target Toko'!$E:$E,0)),0)</f>
        <v>122506</v>
      </c>
      <c r="H2557" s="20">
        <f>IFERROR(INDEX('Kode Outlet dan Target Toko'!$D:$D,MATCH($I2557,'Kode Outlet dan Target Toko'!$E:$E,0)),0)</f>
        <v>214422</v>
      </c>
      <c r="I2557" s="42" t="s">
        <v>72</v>
      </c>
      <c r="J2557" s="56" t="s">
        <v>293</v>
      </c>
      <c r="K2557" s="40" t="s">
        <v>13</v>
      </c>
      <c r="L2557" s="26">
        <v>3200</v>
      </c>
      <c r="M2557" s="26">
        <v>80</v>
      </c>
      <c r="N2557" s="25">
        <f t="shared" si="79"/>
        <v>256000</v>
      </c>
      <c r="O2557" s="56"/>
    </row>
    <row r="2558" spans="1:15" hidden="1" x14ac:dyDescent="0.3">
      <c r="A2558" s="26">
        <v>31</v>
      </c>
      <c r="B2558" s="20" t="str">
        <f t="shared" si="78"/>
        <v>JUL</v>
      </c>
      <c r="C2558" s="21">
        <v>46234</v>
      </c>
      <c r="D2558" s="22" t="str">
        <f t="array" ref="D2558">IFERROR(INDEX('Kode Outlet dan Target Toko'!$A:$A,MATCH($I2558,'Kode Outlet dan Target Toko'!$E:$E,0)),"")</f>
        <v>GRSM 1</v>
      </c>
      <c r="E2558" s="20" t="str">
        <f>IFERROR(VLOOKUP(I2558,KET!$B:$F,4,0),"")</f>
        <v>AFNITA SARI</v>
      </c>
      <c r="F2558" s="20" t="str">
        <f>IFERROR(VLOOKUP(I2558,KET!$B:$F,5,0),"")</f>
        <v>MT</v>
      </c>
      <c r="G2558" s="20">
        <f>IFERROR(INDEX('Kode Outlet dan Target Toko'!$C:$C,MATCH($I2558,'Kode Outlet dan Target Toko'!$E:$E,0)),0)</f>
        <v>122506</v>
      </c>
      <c r="H2558" s="20">
        <f>IFERROR(INDEX('Kode Outlet dan Target Toko'!$D:$D,MATCH($I2558,'Kode Outlet dan Target Toko'!$E:$E,0)),0)</f>
        <v>214422</v>
      </c>
      <c r="I2558" s="42" t="s">
        <v>72</v>
      </c>
      <c r="J2558" s="56" t="s">
        <v>293</v>
      </c>
      <c r="K2558" s="40" t="s">
        <v>16</v>
      </c>
      <c r="L2558" s="26">
        <v>3200</v>
      </c>
      <c r="M2558" s="26">
        <v>84</v>
      </c>
      <c r="N2558" s="25">
        <f t="shared" si="79"/>
        <v>268800</v>
      </c>
      <c r="O2558" s="56">
        <v>160</v>
      </c>
    </row>
    <row r="2559" spans="1:15" hidden="1" x14ac:dyDescent="0.3">
      <c r="A2559" s="26">
        <v>31</v>
      </c>
      <c r="B2559" s="20" t="str">
        <f t="shared" si="78"/>
        <v>JUL</v>
      </c>
      <c r="C2559" s="21">
        <v>46234</v>
      </c>
      <c r="D2559" s="22" t="str">
        <f t="array" ref="D2559">IFERROR(INDEX('Kode Outlet dan Target Toko'!$A:$A,MATCH($I2559,'Kode Outlet dan Target Toko'!$E:$E,0)),"")</f>
        <v>GRSM 2</v>
      </c>
      <c r="E2559" s="20" t="str">
        <f>IFERROR(VLOOKUP(I2559,KET!$B:$F,4,0),"")</f>
        <v>AFNITA SARI</v>
      </c>
      <c r="F2559" s="20" t="str">
        <f>IFERROR(VLOOKUP(I2559,KET!$B:$F,5,0),"")</f>
        <v>MT</v>
      </c>
      <c r="G2559" s="20">
        <f>IFERROR(INDEX('Kode Outlet dan Target Toko'!$C:$C,MATCH($I2559,'Kode Outlet dan Target Toko'!$E:$E,0)),0)</f>
        <v>175700</v>
      </c>
      <c r="H2559" s="20">
        <f>IFERROR(INDEX('Kode Outlet dan Target Toko'!$D:$D,MATCH($I2559,'Kode Outlet dan Target Toko'!$E:$E,0)),0)</f>
        <v>1370001</v>
      </c>
      <c r="I2559" s="42" t="s">
        <v>74</v>
      </c>
      <c r="J2559" s="56" t="s">
        <v>297</v>
      </c>
      <c r="K2559" s="40" t="s">
        <v>15</v>
      </c>
      <c r="L2559" s="26">
        <v>2210</v>
      </c>
      <c r="M2559" s="26">
        <v>80</v>
      </c>
      <c r="N2559" s="25">
        <f t="shared" si="79"/>
        <v>176800</v>
      </c>
      <c r="O2559" s="56"/>
    </row>
    <row r="2560" spans="1:15" hidden="1" x14ac:dyDescent="0.3">
      <c r="A2560" s="26">
        <v>31</v>
      </c>
      <c r="B2560" s="20" t="str">
        <f t="shared" si="78"/>
        <v>JUL</v>
      </c>
      <c r="C2560" s="21">
        <v>46234</v>
      </c>
      <c r="D2560" s="22" t="str">
        <f t="array" ref="D2560">IFERROR(INDEX('Kode Outlet dan Target Toko'!$A:$A,MATCH($I2560,'Kode Outlet dan Target Toko'!$E:$E,0)),"")</f>
        <v>GRSM 2</v>
      </c>
      <c r="E2560" s="20" t="str">
        <f>IFERROR(VLOOKUP(I2560,KET!$B:$F,4,0),"")</f>
        <v>AFNITA SARI</v>
      </c>
      <c r="F2560" s="20" t="str">
        <f>IFERROR(VLOOKUP(I2560,KET!$B:$F,5,0),"")</f>
        <v>MT</v>
      </c>
      <c r="G2560" s="20">
        <f>IFERROR(INDEX('Kode Outlet dan Target Toko'!$C:$C,MATCH($I2560,'Kode Outlet dan Target Toko'!$E:$E,0)),0)</f>
        <v>175700</v>
      </c>
      <c r="H2560" s="20">
        <f>IFERROR(INDEX('Kode Outlet dan Target Toko'!$D:$D,MATCH($I2560,'Kode Outlet dan Target Toko'!$E:$E,0)),0)</f>
        <v>1370001</v>
      </c>
      <c r="I2560" s="42" t="s">
        <v>74</v>
      </c>
      <c r="J2560" s="56" t="s">
        <v>297</v>
      </c>
      <c r="K2560" s="40" t="s">
        <v>14</v>
      </c>
      <c r="L2560" s="26">
        <v>2210</v>
      </c>
      <c r="M2560" s="26">
        <v>120</v>
      </c>
      <c r="N2560" s="25">
        <f t="shared" si="79"/>
        <v>265200</v>
      </c>
      <c r="O2560" s="56"/>
    </row>
    <row r="2561" spans="1:15" hidden="1" x14ac:dyDescent="0.3">
      <c r="A2561" s="26">
        <v>31</v>
      </c>
      <c r="B2561" s="20" t="str">
        <f t="shared" si="78"/>
        <v>JUL</v>
      </c>
      <c r="C2561" s="21">
        <v>46234</v>
      </c>
      <c r="D2561" s="22" t="str">
        <f t="array" ref="D2561">IFERROR(INDEX('Kode Outlet dan Target Toko'!$A:$A,MATCH($I2561,'Kode Outlet dan Target Toko'!$E:$E,0)),"")</f>
        <v>GRSM 2</v>
      </c>
      <c r="E2561" s="20" t="str">
        <f>IFERROR(VLOOKUP(I2561,KET!$B:$F,4,0),"")</f>
        <v>AFNITA SARI</v>
      </c>
      <c r="F2561" s="20" t="str">
        <f>IFERROR(VLOOKUP(I2561,KET!$B:$F,5,0),"")</f>
        <v>MT</v>
      </c>
      <c r="G2561" s="20">
        <f>IFERROR(INDEX('Kode Outlet dan Target Toko'!$C:$C,MATCH($I2561,'Kode Outlet dan Target Toko'!$E:$E,0)),0)</f>
        <v>175700</v>
      </c>
      <c r="H2561" s="20">
        <f>IFERROR(INDEX('Kode Outlet dan Target Toko'!$D:$D,MATCH($I2561,'Kode Outlet dan Target Toko'!$E:$E,0)),0)</f>
        <v>1370001</v>
      </c>
      <c r="I2561" s="42" t="s">
        <v>74</v>
      </c>
      <c r="J2561" s="56" t="s">
        <v>297</v>
      </c>
      <c r="K2561" s="40" t="s">
        <v>13</v>
      </c>
      <c r="L2561" s="26">
        <v>2210</v>
      </c>
      <c r="M2561" s="26">
        <v>80</v>
      </c>
      <c r="N2561" s="25">
        <f t="shared" si="79"/>
        <v>176800</v>
      </c>
      <c r="O2561" s="56"/>
    </row>
    <row r="2562" spans="1:15" hidden="1" x14ac:dyDescent="0.3">
      <c r="A2562" s="26">
        <v>31</v>
      </c>
      <c r="B2562" s="20" t="str">
        <f t="shared" si="78"/>
        <v>JUL</v>
      </c>
      <c r="C2562" s="21">
        <v>46234</v>
      </c>
      <c r="D2562" s="22" t="str">
        <f t="array" ref="D2562">IFERROR(INDEX('Kode Outlet dan Target Toko'!$A:$A,MATCH($I2562,'Kode Outlet dan Target Toko'!$E:$E,0)),"")</f>
        <v>GRSM 2</v>
      </c>
      <c r="E2562" s="20" t="str">
        <f>IFERROR(VLOOKUP(I2562,KET!$B:$F,4,0),"")</f>
        <v>AFNITA SARI</v>
      </c>
      <c r="F2562" s="20" t="str">
        <f>IFERROR(VLOOKUP(I2562,KET!$B:$F,5,0),"")</f>
        <v>MT</v>
      </c>
      <c r="G2562" s="20">
        <f>IFERROR(INDEX('Kode Outlet dan Target Toko'!$C:$C,MATCH($I2562,'Kode Outlet dan Target Toko'!$E:$E,0)),0)</f>
        <v>175700</v>
      </c>
      <c r="H2562" s="20">
        <f>IFERROR(INDEX('Kode Outlet dan Target Toko'!$D:$D,MATCH($I2562,'Kode Outlet dan Target Toko'!$E:$E,0)),0)</f>
        <v>1370001</v>
      </c>
      <c r="I2562" s="42" t="s">
        <v>74</v>
      </c>
      <c r="J2562" s="56" t="s">
        <v>297</v>
      </c>
      <c r="K2562" s="40" t="s">
        <v>16</v>
      </c>
      <c r="L2562" s="26">
        <v>2210</v>
      </c>
      <c r="M2562" s="26">
        <v>120</v>
      </c>
      <c r="N2562" s="25">
        <f t="shared" si="79"/>
        <v>265200</v>
      </c>
      <c r="O2562" s="56">
        <v>90</v>
      </c>
    </row>
    <row r="2563" spans="1:15" hidden="1" x14ac:dyDescent="0.3">
      <c r="A2563" s="26">
        <v>31</v>
      </c>
      <c r="B2563" s="20" t="str">
        <f t="shared" si="78"/>
        <v>JUL</v>
      </c>
      <c r="C2563" s="21">
        <v>46234</v>
      </c>
      <c r="D2563" s="22" t="str">
        <f t="array" ref="D2563">IFERROR(INDEX('Kode Outlet dan Target Toko'!$A:$A,MATCH($I2563,'Kode Outlet dan Target Toko'!$E:$E,0)),"")</f>
        <v>GRSM 2</v>
      </c>
      <c r="E2563" s="20" t="str">
        <f>IFERROR(VLOOKUP(I2563,KET!$B:$F,4,0),"")</f>
        <v>AFNITA SARI</v>
      </c>
      <c r="F2563" s="20" t="str">
        <f>IFERROR(VLOOKUP(I2563,KET!$B:$F,5,0),"")</f>
        <v>MT</v>
      </c>
      <c r="G2563" s="20">
        <f>IFERROR(INDEX('Kode Outlet dan Target Toko'!$C:$C,MATCH($I2563,'Kode Outlet dan Target Toko'!$E:$E,0)),0)</f>
        <v>175700</v>
      </c>
      <c r="H2563" s="20">
        <f>IFERROR(INDEX('Kode Outlet dan Target Toko'!$D:$D,MATCH($I2563,'Kode Outlet dan Target Toko'!$E:$E,0)),0)</f>
        <v>1370001</v>
      </c>
      <c r="I2563" s="42" t="s">
        <v>74</v>
      </c>
      <c r="J2563" s="56" t="s">
        <v>298</v>
      </c>
      <c r="K2563" s="40" t="s">
        <v>15</v>
      </c>
      <c r="L2563" s="26">
        <v>2210</v>
      </c>
      <c r="M2563" s="26">
        <v>80</v>
      </c>
      <c r="N2563" s="25">
        <f t="shared" si="79"/>
        <v>176800</v>
      </c>
      <c r="O2563" s="56"/>
    </row>
    <row r="2564" spans="1:15" hidden="1" x14ac:dyDescent="0.3">
      <c r="A2564" s="26">
        <v>31</v>
      </c>
      <c r="B2564" s="20" t="str">
        <f t="shared" si="78"/>
        <v>JUL</v>
      </c>
      <c r="C2564" s="21">
        <v>46234</v>
      </c>
      <c r="D2564" s="22" t="str">
        <f t="array" ref="D2564">IFERROR(INDEX('Kode Outlet dan Target Toko'!$A:$A,MATCH($I2564,'Kode Outlet dan Target Toko'!$E:$E,0)),"")</f>
        <v>GRSM 2</v>
      </c>
      <c r="E2564" s="20" t="str">
        <f>IFERROR(VLOOKUP(I2564,KET!$B:$F,4,0),"")</f>
        <v>AFNITA SARI</v>
      </c>
      <c r="F2564" s="20" t="str">
        <f>IFERROR(VLOOKUP(I2564,KET!$B:$F,5,0),"")</f>
        <v>MT</v>
      </c>
      <c r="G2564" s="20">
        <f>IFERROR(INDEX('Kode Outlet dan Target Toko'!$C:$C,MATCH($I2564,'Kode Outlet dan Target Toko'!$E:$E,0)),0)</f>
        <v>175700</v>
      </c>
      <c r="H2564" s="20">
        <f>IFERROR(INDEX('Kode Outlet dan Target Toko'!$D:$D,MATCH($I2564,'Kode Outlet dan Target Toko'!$E:$E,0)),0)</f>
        <v>1370001</v>
      </c>
      <c r="I2564" s="42" t="s">
        <v>74</v>
      </c>
      <c r="J2564" s="56" t="s">
        <v>298</v>
      </c>
      <c r="K2564" s="40" t="s">
        <v>14</v>
      </c>
      <c r="L2564" s="26">
        <v>2210</v>
      </c>
      <c r="M2564" s="26">
        <v>120</v>
      </c>
      <c r="N2564" s="25">
        <f t="shared" si="79"/>
        <v>265200</v>
      </c>
      <c r="O2564" s="56"/>
    </row>
    <row r="2565" spans="1:15" hidden="1" x14ac:dyDescent="0.3">
      <c r="A2565" s="26">
        <v>31</v>
      </c>
      <c r="B2565" s="20" t="str">
        <f t="shared" si="78"/>
        <v>JUL</v>
      </c>
      <c r="C2565" s="21">
        <v>46234</v>
      </c>
      <c r="D2565" s="22" t="str">
        <f t="array" ref="D2565">IFERROR(INDEX('Kode Outlet dan Target Toko'!$A:$A,MATCH($I2565,'Kode Outlet dan Target Toko'!$E:$E,0)),"")</f>
        <v>GRSM 2</v>
      </c>
      <c r="E2565" s="20" t="str">
        <f>IFERROR(VLOOKUP(I2565,KET!$B:$F,4,0),"")</f>
        <v>AFNITA SARI</v>
      </c>
      <c r="F2565" s="20" t="str">
        <f>IFERROR(VLOOKUP(I2565,KET!$B:$F,5,0),"")</f>
        <v>MT</v>
      </c>
      <c r="G2565" s="20">
        <f>IFERROR(INDEX('Kode Outlet dan Target Toko'!$C:$C,MATCH($I2565,'Kode Outlet dan Target Toko'!$E:$E,0)),0)</f>
        <v>175700</v>
      </c>
      <c r="H2565" s="20">
        <f>IFERROR(INDEX('Kode Outlet dan Target Toko'!$D:$D,MATCH($I2565,'Kode Outlet dan Target Toko'!$E:$E,0)),0)</f>
        <v>1370001</v>
      </c>
      <c r="I2565" s="42" t="s">
        <v>74</v>
      </c>
      <c r="J2565" s="56" t="s">
        <v>298</v>
      </c>
      <c r="K2565" s="40" t="s">
        <v>13</v>
      </c>
      <c r="L2565" s="26">
        <v>2210</v>
      </c>
      <c r="M2565" s="26">
        <v>80</v>
      </c>
      <c r="N2565" s="25">
        <f t="shared" si="79"/>
        <v>176800</v>
      </c>
      <c r="O2565" s="56"/>
    </row>
    <row r="2566" spans="1:15" hidden="1" x14ac:dyDescent="0.3">
      <c r="A2566" s="26">
        <v>31</v>
      </c>
      <c r="B2566" s="20" t="str">
        <f t="shared" si="78"/>
        <v>JUL</v>
      </c>
      <c r="C2566" s="21">
        <v>46234</v>
      </c>
      <c r="D2566" s="22" t="str">
        <f t="array" ref="D2566">IFERROR(INDEX('Kode Outlet dan Target Toko'!$A:$A,MATCH($I2566,'Kode Outlet dan Target Toko'!$E:$E,0)),"")</f>
        <v>GRSM 2</v>
      </c>
      <c r="E2566" s="20" t="str">
        <f>IFERROR(VLOOKUP(I2566,KET!$B:$F,4,0),"")</f>
        <v>AFNITA SARI</v>
      </c>
      <c r="F2566" s="20" t="str">
        <f>IFERROR(VLOOKUP(I2566,KET!$B:$F,5,0),"")</f>
        <v>MT</v>
      </c>
      <c r="G2566" s="20">
        <f>IFERROR(INDEX('Kode Outlet dan Target Toko'!$C:$C,MATCH($I2566,'Kode Outlet dan Target Toko'!$E:$E,0)),0)</f>
        <v>175700</v>
      </c>
      <c r="H2566" s="20">
        <f>IFERROR(INDEX('Kode Outlet dan Target Toko'!$D:$D,MATCH($I2566,'Kode Outlet dan Target Toko'!$E:$E,0)),0)</f>
        <v>1370001</v>
      </c>
      <c r="I2566" s="42" t="s">
        <v>74</v>
      </c>
      <c r="J2566" s="56" t="s">
        <v>298</v>
      </c>
      <c r="K2566" s="40" t="s">
        <v>16</v>
      </c>
      <c r="L2566" s="26">
        <v>2210</v>
      </c>
      <c r="M2566" s="26">
        <v>120</v>
      </c>
      <c r="N2566" s="25">
        <f t="shared" si="79"/>
        <v>265200</v>
      </c>
      <c r="O2566" s="56">
        <v>90</v>
      </c>
    </row>
    <row r="2567" spans="1:15" hidden="1" x14ac:dyDescent="0.3">
      <c r="A2567" s="26">
        <v>31</v>
      </c>
      <c r="B2567" s="20" t="str">
        <f t="shared" ref="B2567:B2630" si="80">IF(C2567="","",UPPER(TEXT(C2567, "MMM")))</f>
        <v>JUL</v>
      </c>
      <c r="C2567" s="21">
        <v>46234</v>
      </c>
      <c r="D2567" s="22" t="str">
        <f t="array" ref="D2567">IFERROR(INDEX('Kode Outlet dan Target Toko'!$A:$A,MATCH($I2567,'Kode Outlet dan Target Toko'!$E:$E,0)),"")</f>
        <v>GRSM 6</v>
      </c>
      <c r="E2567" s="20" t="str">
        <f>IFERROR(VLOOKUP(I2567,KET!$B:$F,4,0),"")</f>
        <v>WINDA</v>
      </c>
      <c r="F2567" s="20" t="str">
        <f>IFERROR(VLOOKUP(I2567,KET!$B:$F,5,0),"")</f>
        <v>GMM</v>
      </c>
      <c r="G2567" s="20">
        <f>IFERROR(INDEX('Kode Outlet dan Target Toko'!$C:$C,MATCH($I2567,'Kode Outlet dan Target Toko'!$E:$E,0)),0)</f>
        <v>211033</v>
      </c>
      <c r="H2567" s="20">
        <f>IFERROR(INDEX('Kode Outlet dan Target Toko'!$D:$D,MATCH($I2567,'Kode Outlet dan Target Toko'!$E:$E,0)),0)</f>
        <v>6467246</v>
      </c>
      <c r="I2567" s="42" t="s">
        <v>50</v>
      </c>
      <c r="J2567" s="56" t="s">
        <v>271</v>
      </c>
      <c r="K2567" s="40" t="s">
        <v>15</v>
      </c>
      <c r="L2567" s="26">
        <v>3100</v>
      </c>
      <c r="M2567" s="26">
        <v>113</v>
      </c>
      <c r="N2567" s="25">
        <f t="shared" ref="N2567:N2630" si="81">IFERROR(M2567*L2567,"")</f>
        <v>350300</v>
      </c>
      <c r="O2567" s="56"/>
    </row>
    <row r="2568" spans="1:15" hidden="1" x14ac:dyDescent="0.3">
      <c r="A2568" s="26">
        <v>31</v>
      </c>
      <c r="B2568" s="20" t="str">
        <f t="shared" si="80"/>
        <v>JUL</v>
      </c>
      <c r="C2568" s="21">
        <v>46234</v>
      </c>
      <c r="D2568" s="22" t="str">
        <f t="array" ref="D2568">IFERROR(INDEX('Kode Outlet dan Target Toko'!$A:$A,MATCH($I2568,'Kode Outlet dan Target Toko'!$E:$E,0)),"")</f>
        <v>GRSM 6</v>
      </c>
      <c r="E2568" s="20" t="str">
        <f>IFERROR(VLOOKUP(I2568,KET!$B:$F,4,0),"")</f>
        <v>WINDA</v>
      </c>
      <c r="F2568" s="20" t="str">
        <f>IFERROR(VLOOKUP(I2568,KET!$B:$F,5,0),"")</f>
        <v>GMM</v>
      </c>
      <c r="G2568" s="20">
        <f>IFERROR(INDEX('Kode Outlet dan Target Toko'!$C:$C,MATCH($I2568,'Kode Outlet dan Target Toko'!$E:$E,0)),0)</f>
        <v>211033</v>
      </c>
      <c r="H2568" s="20">
        <f>IFERROR(INDEX('Kode Outlet dan Target Toko'!$D:$D,MATCH($I2568,'Kode Outlet dan Target Toko'!$E:$E,0)),0)</f>
        <v>6467246</v>
      </c>
      <c r="I2568" s="42" t="s">
        <v>50</v>
      </c>
      <c r="J2568" s="56" t="s">
        <v>271</v>
      </c>
      <c r="K2568" s="40" t="s">
        <v>14</v>
      </c>
      <c r="L2568" s="26">
        <v>3100</v>
      </c>
      <c r="M2568" s="26">
        <v>149</v>
      </c>
      <c r="N2568" s="25">
        <f t="shared" si="81"/>
        <v>461900</v>
      </c>
      <c r="O2568" s="56"/>
    </row>
    <row r="2569" spans="1:15" hidden="1" x14ac:dyDescent="0.3">
      <c r="A2569" s="26">
        <v>31</v>
      </c>
      <c r="B2569" s="20" t="str">
        <f t="shared" si="80"/>
        <v>JUL</v>
      </c>
      <c r="C2569" s="21">
        <v>46234</v>
      </c>
      <c r="D2569" s="22" t="str">
        <f t="array" ref="D2569">IFERROR(INDEX('Kode Outlet dan Target Toko'!$A:$A,MATCH($I2569,'Kode Outlet dan Target Toko'!$E:$E,0)),"")</f>
        <v>GRSM 6</v>
      </c>
      <c r="E2569" s="20" t="str">
        <f>IFERROR(VLOOKUP(I2569,KET!$B:$F,4,0),"")</f>
        <v>WINDA</v>
      </c>
      <c r="F2569" s="20" t="str">
        <f>IFERROR(VLOOKUP(I2569,KET!$B:$F,5,0),"")</f>
        <v>GMM</v>
      </c>
      <c r="G2569" s="20">
        <f>IFERROR(INDEX('Kode Outlet dan Target Toko'!$C:$C,MATCH($I2569,'Kode Outlet dan Target Toko'!$E:$E,0)),0)</f>
        <v>211033</v>
      </c>
      <c r="H2569" s="20">
        <f>IFERROR(INDEX('Kode Outlet dan Target Toko'!$D:$D,MATCH($I2569,'Kode Outlet dan Target Toko'!$E:$E,0)),0)</f>
        <v>6467246</v>
      </c>
      <c r="I2569" s="42" t="s">
        <v>50</v>
      </c>
      <c r="J2569" s="56" t="s">
        <v>271</v>
      </c>
      <c r="K2569" s="40" t="s">
        <v>13</v>
      </c>
      <c r="L2569" s="26">
        <v>3100</v>
      </c>
      <c r="M2569" s="26">
        <v>142</v>
      </c>
      <c r="N2569" s="25">
        <f t="shared" si="81"/>
        <v>440200</v>
      </c>
      <c r="O2569" s="56"/>
    </row>
    <row r="2570" spans="1:15" hidden="1" x14ac:dyDescent="0.3">
      <c r="A2570" s="26">
        <v>31</v>
      </c>
      <c r="B2570" s="20" t="str">
        <f t="shared" si="80"/>
        <v>JUL</v>
      </c>
      <c r="C2570" s="21">
        <v>46234</v>
      </c>
      <c r="D2570" s="22" t="str">
        <f t="array" ref="D2570">IFERROR(INDEX('Kode Outlet dan Target Toko'!$A:$A,MATCH($I2570,'Kode Outlet dan Target Toko'!$E:$E,0)),"")</f>
        <v>GRSM 6</v>
      </c>
      <c r="E2570" s="20" t="str">
        <f>IFERROR(VLOOKUP(I2570,KET!$B:$F,4,0),"")</f>
        <v>WINDA</v>
      </c>
      <c r="F2570" s="20" t="str">
        <f>IFERROR(VLOOKUP(I2570,KET!$B:$F,5,0),"")</f>
        <v>GMM</v>
      </c>
      <c r="G2570" s="20">
        <f>IFERROR(INDEX('Kode Outlet dan Target Toko'!$C:$C,MATCH($I2570,'Kode Outlet dan Target Toko'!$E:$E,0)),0)</f>
        <v>211033</v>
      </c>
      <c r="H2570" s="20">
        <f>IFERROR(INDEX('Kode Outlet dan Target Toko'!$D:$D,MATCH($I2570,'Kode Outlet dan Target Toko'!$E:$E,0)),0)</f>
        <v>6467246</v>
      </c>
      <c r="I2570" s="42" t="s">
        <v>50</v>
      </c>
      <c r="J2570" s="56" t="s">
        <v>271</v>
      </c>
      <c r="K2570" s="40" t="s">
        <v>16</v>
      </c>
      <c r="L2570" s="26">
        <v>3100</v>
      </c>
      <c r="M2570" s="26">
        <v>313</v>
      </c>
      <c r="N2570" s="25">
        <f t="shared" si="81"/>
        <v>970300</v>
      </c>
      <c r="O2570" s="56">
        <v>160</v>
      </c>
    </row>
    <row r="2571" spans="1:15" hidden="1" x14ac:dyDescent="0.3">
      <c r="A2571" s="26">
        <v>31</v>
      </c>
      <c r="B2571" s="20" t="str">
        <f t="shared" si="80"/>
        <v>JUL</v>
      </c>
      <c r="C2571" s="21">
        <v>46234</v>
      </c>
      <c r="D2571" s="22" t="str">
        <f t="array" ref="D2571">IFERROR(INDEX('Kode Outlet dan Target Toko'!$A:$A,MATCH($I2571,'Kode Outlet dan Target Toko'!$E:$E,0)),"")</f>
        <v>GRSM 6</v>
      </c>
      <c r="E2571" s="20" t="str">
        <f>IFERROR(VLOOKUP(I2571,KET!$B:$F,4,0),"")</f>
        <v>WINDA</v>
      </c>
      <c r="F2571" s="20" t="str">
        <f>IFERROR(VLOOKUP(I2571,KET!$B:$F,5,0),"")</f>
        <v>GMM</v>
      </c>
      <c r="G2571" s="20">
        <f>IFERROR(INDEX('Kode Outlet dan Target Toko'!$C:$C,MATCH($I2571,'Kode Outlet dan Target Toko'!$E:$E,0)),0)</f>
        <v>211033</v>
      </c>
      <c r="H2571" s="20">
        <f>IFERROR(INDEX('Kode Outlet dan Target Toko'!$D:$D,MATCH($I2571,'Kode Outlet dan Target Toko'!$E:$E,0)),0)</f>
        <v>6467246</v>
      </c>
      <c r="I2571" s="42" t="s">
        <v>50</v>
      </c>
      <c r="J2571" s="56" t="s">
        <v>272</v>
      </c>
      <c r="K2571" s="40" t="s">
        <v>15</v>
      </c>
      <c r="L2571" s="26">
        <v>3100</v>
      </c>
      <c r="M2571" s="26">
        <v>113</v>
      </c>
      <c r="N2571" s="25">
        <f t="shared" si="81"/>
        <v>350300</v>
      </c>
      <c r="O2571" s="56"/>
    </row>
    <row r="2572" spans="1:15" hidden="1" x14ac:dyDescent="0.3">
      <c r="A2572" s="26">
        <v>31</v>
      </c>
      <c r="B2572" s="20" t="str">
        <f t="shared" si="80"/>
        <v>JUL</v>
      </c>
      <c r="C2572" s="21">
        <v>46234</v>
      </c>
      <c r="D2572" s="22" t="str">
        <f t="array" ref="D2572">IFERROR(INDEX('Kode Outlet dan Target Toko'!$A:$A,MATCH($I2572,'Kode Outlet dan Target Toko'!$E:$E,0)),"")</f>
        <v>GRSM 6</v>
      </c>
      <c r="E2572" s="20" t="str">
        <f>IFERROR(VLOOKUP(I2572,KET!$B:$F,4,0),"")</f>
        <v>WINDA</v>
      </c>
      <c r="F2572" s="20" t="str">
        <f>IFERROR(VLOOKUP(I2572,KET!$B:$F,5,0),"")</f>
        <v>GMM</v>
      </c>
      <c r="G2572" s="20">
        <f>IFERROR(INDEX('Kode Outlet dan Target Toko'!$C:$C,MATCH($I2572,'Kode Outlet dan Target Toko'!$E:$E,0)),0)</f>
        <v>211033</v>
      </c>
      <c r="H2572" s="20">
        <f>IFERROR(INDEX('Kode Outlet dan Target Toko'!$D:$D,MATCH($I2572,'Kode Outlet dan Target Toko'!$E:$E,0)),0)</f>
        <v>6467246</v>
      </c>
      <c r="I2572" s="42" t="s">
        <v>50</v>
      </c>
      <c r="J2572" s="56" t="s">
        <v>272</v>
      </c>
      <c r="K2572" s="40" t="s">
        <v>14</v>
      </c>
      <c r="L2572" s="26">
        <v>3100</v>
      </c>
      <c r="M2572" s="26">
        <v>149</v>
      </c>
      <c r="N2572" s="25">
        <f t="shared" si="81"/>
        <v>461900</v>
      </c>
      <c r="O2572" s="56"/>
    </row>
    <row r="2573" spans="1:15" hidden="1" x14ac:dyDescent="0.3">
      <c r="A2573" s="26">
        <v>31</v>
      </c>
      <c r="B2573" s="20" t="str">
        <f t="shared" si="80"/>
        <v>JUL</v>
      </c>
      <c r="C2573" s="21">
        <v>46234</v>
      </c>
      <c r="D2573" s="22" t="str">
        <f t="array" ref="D2573">IFERROR(INDEX('Kode Outlet dan Target Toko'!$A:$A,MATCH($I2573,'Kode Outlet dan Target Toko'!$E:$E,0)),"")</f>
        <v>GRSM 6</v>
      </c>
      <c r="E2573" s="20" t="str">
        <f>IFERROR(VLOOKUP(I2573,KET!$B:$F,4,0),"")</f>
        <v>WINDA</v>
      </c>
      <c r="F2573" s="20" t="str">
        <f>IFERROR(VLOOKUP(I2573,KET!$B:$F,5,0),"")</f>
        <v>GMM</v>
      </c>
      <c r="G2573" s="20">
        <f>IFERROR(INDEX('Kode Outlet dan Target Toko'!$C:$C,MATCH($I2573,'Kode Outlet dan Target Toko'!$E:$E,0)),0)</f>
        <v>211033</v>
      </c>
      <c r="H2573" s="20">
        <f>IFERROR(INDEX('Kode Outlet dan Target Toko'!$D:$D,MATCH($I2573,'Kode Outlet dan Target Toko'!$E:$E,0)),0)</f>
        <v>6467246</v>
      </c>
      <c r="I2573" s="42" t="s">
        <v>50</v>
      </c>
      <c r="J2573" s="56" t="s">
        <v>272</v>
      </c>
      <c r="K2573" s="40" t="s">
        <v>13</v>
      </c>
      <c r="L2573" s="26">
        <v>3100</v>
      </c>
      <c r="M2573" s="26">
        <v>142</v>
      </c>
      <c r="N2573" s="25">
        <f t="shared" si="81"/>
        <v>440200</v>
      </c>
      <c r="O2573" s="56"/>
    </row>
    <row r="2574" spans="1:15" hidden="1" x14ac:dyDescent="0.3">
      <c r="A2574" s="26">
        <v>31</v>
      </c>
      <c r="B2574" s="20" t="str">
        <f t="shared" si="80"/>
        <v>JUL</v>
      </c>
      <c r="C2574" s="21">
        <v>46234</v>
      </c>
      <c r="D2574" s="22" t="str">
        <f t="array" ref="D2574">IFERROR(INDEX('Kode Outlet dan Target Toko'!$A:$A,MATCH($I2574,'Kode Outlet dan Target Toko'!$E:$E,0)),"")</f>
        <v>GRSM 6</v>
      </c>
      <c r="E2574" s="20" t="str">
        <f>IFERROR(VLOOKUP(I2574,KET!$B:$F,4,0),"")</f>
        <v>WINDA</v>
      </c>
      <c r="F2574" s="20" t="str">
        <f>IFERROR(VLOOKUP(I2574,KET!$B:$F,5,0),"")</f>
        <v>GMM</v>
      </c>
      <c r="G2574" s="20">
        <f>IFERROR(INDEX('Kode Outlet dan Target Toko'!$C:$C,MATCH($I2574,'Kode Outlet dan Target Toko'!$E:$E,0)),0)</f>
        <v>211033</v>
      </c>
      <c r="H2574" s="20">
        <f>IFERROR(INDEX('Kode Outlet dan Target Toko'!$D:$D,MATCH($I2574,'Kode Outlet dan Target Toko'!$E:$E,0)),0)</f>
        <v>6467246</v>
      </c>
      <c r="I2574" s="42" t="s">
        <v>50</v>
      </c>
      <c r="J2574" s="56" t="s">
        <v>272</v>
      </c>
      <c r="K2574" s="40" t="s">
        <v>16</v>
      </c>
      <c r="L2574" s="26">
        <v>3100</v>
      </c>
      <c r="M2574" s="26">
        <v>313</v>
      </c>
      <c r="N2574" s="25">
        <f t="shared" si="81"/>
        <v>970300</v>
      </c>
      <c r="O2574" s="56">
        <v>160</v>
      </c>
    </row>
    <row r="2575" spans="1:15" hidden="1" x14ac:dyDescent="0.3">
      <c r="A2575" s="26">
        <v>31</v>
      </c>
      <c r="B2575" s="20" t="str">
        <f t="shared" si="80"/>
        <v>JUL</v>
      </c>
      <c r="C2575" s="21">
        <v>46234</v>
      </c>
      <c r="D2575" s="22" t="str">
        <f t="array" ref="D2575">IFERROR(INDEX('Kode Outlet dan Target Toko'!$A:$A,MATCH($I2575,'Kode Outlet dan Target Toko'!$E:$E,0)),"")</f>
        <v>GRSM 6</v>
      </c>
      <c r="E2575" s="20" t="str">
        <f>IFERROR(VLOOKUP(I2575,KET!$B:$F,4,0),"")</f>
        <v>WINDA</v>
      </c>
      <c r="F2575" s="20" t="str">
        <f>IFERROR(VLOOKUP(I2575,KET!$B:$F,5,0),"")</f>
        <v>GMM</v>
      </c>
      <c r="G2575" s="20">
        <f>IFERROR(INDEX('Kode Outlet dan Target Toko'!$C:$C,MATCH($I2575,'Kode Outlet dan Target Toko'!$E:$E,0)),0)</f>
        <v>211163</v>
      </c>
      <c r="H2575" s="20">
        <f>IFERROR(INDEX('Kode Outlet dan Target Toko'!$D:$D,MATCH($I2575,'Kode Outlet dan Target Toko'!$E:$E,0)),0)</f>
        <v>3703215</v>
      </c>
      <c r="I2575" s="42" t="s">
        <v>53</v>
      </c>
      <c r="J2575" s="56" t="s">
        <v>275</v>
      </c>
      <c r="K2575" s="40" t="s">
        <v>15</v>
      </c>
      <c r="L2575" s="26">
        <v>3000</v>
      </c>
      <c r="M2575" s="26">
        <v>107</v>
      </c>
      <c r="N2575" s="25">
        <f t="shared" si="81"/>
        <v>321000</v>
      </c>
      <c r="O2575" s="56"/>
    </row>
    <row r="2576" spans="1:15" hidden="1" x14ac:dyDescent="0.3">
      <c r="A2576" s="26">
        <v>31</v>
      </c>
      <c r="B2576" s="20" t="str">
        <f t="shared" si="80"/>
        <v>JUL</v>
      </c>
      <c r="C2576" s="21">
        <v>46234</v>
      </c>
      <c r="D2576" s="22" t="str">
        <f t="array" ref="D2576">IFERROR(INDEX('Kode Outlet dan Target Toko'!$A:$A,MATCH($I2576,'Kode Outlet dan Target Toko'!$E:$E,0)),"")</f>
        <v>GRSM 6</v>
      </c>
      <c r="E2576" s="20" t="str">
        <f>IFERROR(VLOOKUP(I2576,KET!$B:$F,4,0),"")</f>
        <v>WINDA</v>
      </c>
      <c r="F2576" s="20" t="str">
        <f>IFERROR(VLOOKUP(I2576,KET!$B:$F,5,0),"")</f>
        <v>GMM</v>
      </c>
      <c r="G2576" s="20">
        <f>IFERROR(INDEX('Kode Outlet dan Target Toko'!$C:$C,MATCH($I2576,'Kode Outlet dan Target Toko'!$E:$E,0)),0)</f>
        <v>211163</v>
      </c>
      <c r="H2576" s="20">
        <f>IFERROR(INDEX('Kode Outlet dan Target Toko'!$D:$D,MATCH($I2576,'Kode Outlet dan Target Toko'!$E:$E,0)),0)</f>
        <v>3703215</v>
      </c>
      <c r="I2576" s="42" t="s">
        <v>53</v>
      </c>
      <c r="J2576" s="56" t="s">
        <v>275</v>
      </c>
      <c r="K2576" s="40" t="s">
        <v>14</v>
      </c>
      <c r="L2576" s="26">
        <v>3000</v>
      </c>
      <c r="M2576" s="26">
        <v>79</v>
      </c>
      <c r="N2576" s="25">
        <f t="shared" si="81"/>
        <v>237000</v>
      </c>
      <c r="O2576" s="56"/>
    </row>
    <row r="2577" spans="1:15" hidden="1" x14ac:dyDescent="0.3">
      <c r="A2577" s="26">
        <v>31</v>
      </c>
      <c r="B2577" s="20" t="str">
        <f t="shared" si="80"/>
        <v>JUL</v>
      </c>
      <c r="C2577" s="21">
        <v>46234</v>
      </c>
      <c r="D2577" s="22" t="str">
        <f t="array" ref="D2577">IFERROR(INDEX('Kode Outlet dan Target Toko'!$A:$A,MATCH($I2577,'Kode Outlet dan Target Toko'!$E:$E,0)),"")</f>
        <v>GRSM 6</v>
      </c>
      <c r="E2577" s="20" t="str">
        <f>IFERROR(VLOOKUP(I2577,KET!$B:$F,4,0),"")</f>
        <v>WINDA</v>
      </c>
      <c r="F2577" s="20" t="str">
        <f>IFERROR(VLOOKUP(I2577,KET!$B:$F,5,0),"")</f>
        <v>GMM</v>
      </c>
      <c r="G2577" s="20">
        <f>IFERROR(INDEX('Kode Outlet dan Target Toko'!$C:$C,MATCH($I2577,'Kode Outlet dan Target Toko'!$E:$E,0)),0)</f>
        <v>211163</v>
      </c>
      <c r="H2577" s="20">
        <f>IFERROR(INDEX('Kode Outlet dan Target Toko'!$D:$D,MATCH($I2577,'Kode Outlet dan Target Toko'!$E:$E,0)),0)</f>
        <v>3703215</v>
      </c>
      <c r="I2577" s="42" t="s">
        <v>53</v>
      </c>
      <c r="J2577" s="56" t="s">
        <v>275</v>
      </c>
      <c r="K2577" s="40" t="s">
        <v>13</v>
      </c>
      <c r="L2577" s="26">
        <v>3000</v>
      </c>
      <c r="M2577" s="26">
        <v>0</v>
      </c>
      <c r="N2577" s="25">
        <f t="shared" si="81"/>
        <v>0</v>
      </c>
      <c r="O2577" s="56"/>
    </row>
    <row r="2578" spans="1:15" hidden="1" x14ac:dyDescent="0.3">
      <c r="A2578" s="26">
        <v>31</v>
      </c>
      <c r="B2578" s="20" t="str">
        <f t="shared" si="80"/>
        <v>JUL</v>
      </c>
      <c r="C2578" s="21">
        <v>46234</v>
      </c>
      <c r="D2578" s="22" t="str">
        <f t="array" ref="D2578">IFERROR(INDEX('Kode Outlet dan Target Toko'!$A:$A,MATCH($I2578,'Kode Outlet dan Target Toko'!$E:$E,0)),"")</f>
        <v>GRSM 6</v>
      </c>
      <c r="E2578" s="20" t="str">
        <f>IFERROR(VLOOKUP(I2578,KET!$B:$F,4,0),"")</f>
        <v>WINDA</v>
      </c>
      <c r="F2578" s="20" t="str">
        <f>IFERROR(VLOOKUP(I2578,KET!$B:$F,5,0),"")</f>
        <v>GMM</v>
      </c>
      <c r="G2578" s="20">
        <f>IFERROR(INDEX('Kode Outlet dan Target Toko'!$C:$C,MATCH($I2578,'Kode Outlet dan Target Toko'!$E:$E,0)),0)</f>
        <v>211163</v>
      </c>
      <c r="H2578" s="20">
        <f>IFERROR(INDEX('Kode Outlet dan Target Toko'!$D:$D,MATCH($I2578,'Kode Outlet dan Target Toko'!$E:$E,0)),0)</f>
        <v>3703215</v>
      </c>
      <c r="I2578" s="42" t="s">
        <v>53</v>
      </c>
      <c r="J2578" s="56" t="s">
        <v>275</v>
      </c>
      <c r="K2578" s="40" t="s">
        <v>16</v>
      </c>
      <c r="L2578" s="26">
        <v>3000</v>
      </c>
      <c r="M2578" s="26">
        <v>165</v>
      </c>
      <c r="N2578" s="25">
        <f t="shared" si="81"/>
        <v>495000</v>
      </c>
      <c r="O2578" s="56">
        <v>82</v>
      </c>
    </row>
    <row r="2579" spans="1:15" hidden="1" x14ac:dyDescent="0.3">
      <c r="A2579" s="26">
        <v>31</v>
      </c>
      <c r="B2579" s="20" t="str">
        <f t="shared" si="80"/>
        <v>JUL</v>
      </c>
      <c r="C2579" s="21">
        <v>46234</v>
      </c>
      <c r="D2579" s="22" t="str">
        <f t="array" ref="D2579">IFERROR(INDEX('Kode Outlet dan Target Toko'!$A:$A,MATCH($I2579,'Kode Outlet dan Target Toko'!$E:$E,0)),"")</f>
        <v>GRSM 6</v>
      </c>
      <c r="E2579" s="20" t="str">
        <f>IFERROR(VLOOKUP(I2579,KET!$B:$F,4,0),"")</f>
        <v>WINDA</v>
      </c>
      <c r="F2579" s="20" t="str">
        <f>IFERROR(VLOOKUP(I2579,KET!$B:$F,5,0),"")</f>
        <v>GMM</v>
      </c>
      <c r="G2579" s="20">
        <f>IFERROR(INDEX('Kode Outlet dan Target Toko'!$C:$C,MATCH($I2579,'Kode Outlet dan Target Toko'!$E:$E,0)),0)</f>
        <v>211163</v>
      </c>
      <c r="H2579" s="20">
        <f>IFERROR(INDEX('Kode Outlet dan Target Toko'!$D:$D,MATCH($I2579,'Kode Outlet dan Target Toko'!$E:$E,0)),0)</f>
        <v>3703215</v>
      </c>
      <c r="I2579" s="42" t="s">
        <v>53</v>
      </c>
      <c r="J2579" s="56" t="s">
        <v>276</v>
      </c>
      <c r="K2579" s="40" t="s">
        <v>15</v>
      </c>
      <c r="L2579" s="26">
        <v>3000</v>
      </c>
      <c r="M2579" s="26">
        <v>107</v>
      </c>
      <c r="N2579" s="25">
        <f t="shared" si="81"/>
        <v>321000</v>
      </c>
      <c r="O2579" s="56"/>
    </row>
    <row r="2580" spans="1:15" hidden="1" x14ac:dyDescent="0.3">
      <c r="A2580" s="26">
        <v>31</v>
      </c>
      <c r="B2580" s="20" t="str">
        <f t="shared" si="80"/>
        <v>JUL</v>
      </c>
      <c r="C2580" s="21">
        <v>46234</v>
      </c>
      <c r="D2580" s="22" t="str">
        <f t="array" ref="D2580">IFERROR(INDEX('Kode Outlet dan Target Toko'!$A:$A,MATCH($I2580,'Kode Outlet dan Target Toko'!$E:$E,0)),"")</f>
        <v>GRSM 6</v>
      </c>
      <c r="E2580" s="20" t="str">
        <f>IFERROR(VLOOKUP(I2580,KET!$B:$F,4,0),"")</f>
        <v>WINDA</v>
      </c>
      <c r="F2580" s="20" t="str">
        <f>IFERROR(VLOOKUP(I2580,KET!$B:$F,5,0),"")</f>
        <v>GMM</v>
      </c>
      <c r="G2580" s="20">
        <f>IFERROR(INDEX('Kode Outlet dan Target Toko'!$C:$C,MATCH($I2580,'Kode Outlet dan Target Toko'!$E:$E,0)),0)</f>
        <v>211163</v>
      </c>
      <c r="H2580" s="20">
        <f>IFERROR(INDEX('Kode Outlet dan Target Toko'!$D:$D,MATCH($I2580,'Kode Outlet dan Target Toko'!$E:$E,0)),0)</f>
        <v>3703215</v>
      </c>
      <c r="I2580" s="42" t="s">
        <v>53</v>
      </c>
      <c r="J2580" s="56" t="s">
        <v>276</v>
      </c>
      <c r="K2580" s="40" t="s">
        <v>14</v>
      </c>
      <c r="L2580" s="26">
        <v>3000</v>
      </c>
      <c r="M2580" s="26">
        <v>79</v>
      </c>
      <c r="N2580" s="25">
        <f t="shared" si="81"/>
        <v>237000</v>
      </c>
      <c r="O2580" s="56"/>
    </row>
    <row r="2581" spans="1:15" hidden="1" x14ac:dyDescent="0.3">
      <c r="A2581" s="26">
        <v>31</v>
      </c>
      <c r="B2581" s="20" t="str">
        <f t="shared" si="80"/>
        <v>JUL</v>
      </c>
      <c r="C2581" s="21">
        <v>46234</v>
      </c>
      <c r="D2581" s="22" t="str">
        <f t="array" ref="D2581">IFERROR(INDEX('Kode Outlet dan Target Toko'!$A:$A,MATCH($I2581,'Kode Outlet dan Target Toko'!$E:$E,0)),"")</f>
        <v>GRSM 6</v>
      </c>
      <c r="E2581" s="20" t="str">
        <f>IFERROR(VLOOKUP(I2581,KET!$B:$F,4,0),"")</f>
        <v>WINDA</v>
      </c>
      <c r="F2581" s="20" t="str">
        <f>IFERROR(VLOOKUP(I2581,KET!$B:$F,5,0),"")</f>
        <v>GMM</v>
      </c>
      <c r="G2581" s="20">
        <f>IFERROR(INDEX('Kode Outlet dan Target Toko'!$C:$C,MATCH($I2581,'Kode Outlet dan Target Toko'!$E:$E,0)),0)</f>
        <v>211163</v>
      </c>
      <c r="H2581" s="20">
        <f>IFERROR(INDEX('Kode Outlet dan Target Toko'!$D:$D,MATCH($I2581,'Kode Outlet dan Target Toko'!$E:$E,0)),0)</f>
        <v>3703215</v>
      </c>
      <c r="I2581" s="42" t="s">
        <v>53</v>
      </c>
      <c r="J2581" s="56" t="s">
        <v>276</v>
      </c>
      <c r="K2581" s="40" t="s">
        <v>13</v>
      </c>
      <c r="L2581" s="26">
        <v>3000</v>
      </c>
      <c r="M2581" s="26">
        <v>0</v>
      </c>
      <c r="N2581" s="25">
        <f t="shared" si="81"/>
        <v>0</v>
      </c>
      <c r="O2581" s="56"/>
    </row>
    <row r="2582" spans="1:15" hidden="1" x14ac:dyDescent="0.3">
      <c r="A2582" s="26">
        <v>31</v>
      </c>
      <c r="B2582" s="20" t="str">
        <f t="shared" si="80"/>
        <v>JUL</v>
      </c>
      <c r="C2582" s="21">
        <v>46234</v>
      </c>
      <c r="D2582" s="22" t="str">
        <f t="array" ref="D2582">IFERROR(INDEX('Kode Outlet dan Target Toko'!$A:$A,MATCH($I2582,'Kode Outlet dan Target Toko'!$E:$E,0)),"")</f>
        <v>GRSM 6</v>
      </c>
      <c r="E2582" s="20" t="str">
        <f>IFERROR(VLOOKUP(I2582,KET!$B:$F,4,0),"")</f>
        <v>WINDA</v>
      </c>
      <c r="F2582" s="20" t="str">
        <f>IFERROR(VLOOKUP(I2582,KET!$B:$F,5,0),"")</f>
        <v>GMM</v>
      </c>
      <c r="G2582" s="20">
        <f>IFERROR(INDEX('Kode Outlet dan Target Toko'!$C:$C,MATCH($I2582,'Kode Outlet dan Target Toko'!$E:$E,0)),0)</f>
        <v>211163</v>
      </c>
      <c r="H2582" s="20">
        <f>IFERROR(INDEX('Kode Outlet dan Target Toko'!$D:$D,MATCH($I2582,'Kode Outlet dan Target Toko'!$E:$E,0)),0)</f>
        <v>3703215</v>
      </c>
      <c r="I2582" s="42" t="s">
        <v>53</v>
      </c>
      <c r="J2582" s="56" t="s">
        <v>276</v>
      </c>
      <c r="K2582" s="40" t="s">
        <v>16</v>
      </c>
      <c r="L2582" s="26">
        <v>3000</v>
      </c>
      <c r="M2582" s="26">
        <v>165</v>
      </c>
      <c r="N2582" s="25">
        <f t="shared" si="81"/>
        <v>495000</v>
      </c>
      <c r="O2582" s="56">
        <v>82</v>
      </c>
    </row>
    <row r="2583" spans="1:15" hidden="1" x14ac:dyDescent="0.3">
      <c r="A2583" s="26">
        <v>31</v>
      </c>
      <c r="B2583" s="20" t="str">
        <f t="shared" si="80"/>
        <v>JUL</v>
      </c>
      <c r="C2583" s="21">
        <v>46234</v>
      </c>
      <c r="D2583" s="22" t="str">
        <f t="array" ref="D2583">IFERROR(INDEX('Kode Outlet dan Target Toko'!$A:$A,MATCH($I2583,'Kode Outlet dan Target Toko'!$E:$E,0)),"")</f>
        <v>GRSM 6</v>
      </c>
      <c r="E2583" s="20" t="str">
        <f>IFERROR(VLOOKUP(I2583,KET!$B:$F,4,0),"")</f>
        <v>WINDA</v>
      </c>
      <c r="F2583" s="20" t="str">
        <f>IFERROR(VLOOKUP(I2583,KET!$B:$F,5,0),"")</f>
        <v>GMM</v>
      </c>
      <c r="G2583" s="20">
        <f>IFERROR(INDEX('Kode Outlet dan Target Toko'!$C:$C,MATCH($I2583,'Kode Outlet dan Target Toko'!$E:$E,0)),0)</f>
        <v>211139</v>
      </c>
      <c r="H2583" s="20">
        <f>IFERROR(INDEX('Kode Outlet dan Target Toko'!$D:$D,MATCH($I2583,'Kode Outlet dan Target Toko'!$E:$E,0)),0)</f>
        <v>3604550</v>
      </c>
      <c r="I2583" s="42" t="s">
        <v>69</v>
      </c>
      <c r="J2583" s="56" t="s">
        <v>282</v>
      </c>
      <c r="K2583" s="40" t="s">
        <v>15</v>
      </c>
      <c r="L2583" s="26">
        <v>2800</v>
      </c>
      <c r="M2583" s="26">
        <v>78</v>
      </c>
      <c r="N2583" s="25">
        <f t="shared" si="81"/>
        <v>218400</v>
      </c>
      <c r="O2583" s="56"/>
    </row>
    <row r="2584" spans="1:15" hidden="1" x14ac:dyDescent="0.3">
      <c r="A2584" s="26">
        <v>31</v>
      </c>
      <c r="B2584" s="20" t="str">
        <f t="shared" si="80"/>
        <v>JUL</v>
      </c>
      <c r="C2584" s="21">
        <v>46234</v>
      </c>
      <c r="D2584" s="22" t="str">
        <f t="array" ref="D2584">IFERROR(INDEX('Kode Outlet dan Target Toko'!$A:$A,MATCH($I2584,'Kode Outlet dan Target Toko'!$E:$E,0)),"")</f>
        <v>GRSM 6</v>
      </c>
      <c r="E2584" s="20" t="str">
        <f>IFERROR(VLOOKUP(I2584,KET!$B:$F,4,0),"")</f>
        <v>WINDA</v>
      </c>
      <c r="F2584" s="20" t="str">
        <f>IFERROR(VLOOKUP(I2584,KET!$B:$F,5,0),"")</f>
        <v>GMM</v>
      </c>
      <c r="G2584" s="20">
        <f>IFERROR(INDEX('Kode Outlet dan Target Toko'!$C:$C,MATCH($I2584,'Kode Outlet dan Target Toko'!$E:$E,0)),0)</f>
        <v>211139</v>
      </c>
      <c r="H2584" s="20">
        <f>IFERROR(INDEX('Kode Outlet dan Target Toko'!$D:$D,MATCH($I2584,'Kode Outlet dan Target Toko'!$E:$E,0)),0)</f>
        <v>3604550</v>
      </c>
      <c r="I2584" s="42" t="s">
        <v>69</v>
      </c>
      <c r="J2584" s="56" t="s">
        <v>282</v>
      </c>
      <c r="K2584" s="40" t="s">
        <v>14</v>
      </c>
      <c r="L2584" s="26">
        <v>2800</v>
      </c>
      <c r="M2584" s="26">
        <v>112</v>
      </c>
      <c r="N2584" s="25">
        <f t="shared" si="81"/>
        <v>313600</v>
      </c>
      <c r="O2584" s="56"/>
    </row>
    <row r="2585" spans="1:15" hidden="1" x14ac:dyDescent="0.3">
      <c r="A2585" s="26">
        <v>31</v>
      </c>
      <c r="B2585" s="20" t="str">
        <f t="shared" si="80"/>
        <v>JUL</v>
      </c>
      <c r="C2585" s="21">
        <v>46234</v>
      </c>
      <c r="D2585" s="22" t="str">
        <f t="array" ref="D2585">IFERROR(INDEX('Kode Outlet dan Target Toko'!$A:$A,MATCH($I2585,'Kode Outlet dan Target Toko'!$E:$E,0)),"")</f>
        <v>GRSM 6</v>
      </c>
      <c r="E2585" s="20" t="str">
        <f>IFERROR(VLOOKUP(I2585,KET!$B:$F,4,0),"")</f>
        <v>WINDA</v>
      </c>
      <c r="F2585" s="20" t="str">
        <f>IFERROR(VLOOKUP(I2585,KET!$B:$F,5,0),"")</f>
        <v>GMM</v>
      </c>
      <c r="G2585" s="20">
        <f>IFERROR(INDEX('Kode Outlet dan Target Toko'!$C:$C,MATCH($I2585,'Kode Outlet dan Target Toko'!$E:$E,0)),0)</f>
        <v>211139</v>
      </c>
      <c r="H2585" s="20">
        <f>IFERROR(INDEX('Kode Outlet dan Target Toko'!$D:$D,MATCH($I2585,'Kode Outlet dan Target Toko'!$E:$E,0)),0)</f>
        <v>3604550</v>
      </c>
      <c r="I2585" s="42" t="s">
        <v>69</v>
      </c>
      <c r="J2585" s="56" t="s">
        <v>282</v>
      </c>
      <c r="K2585" s="40" t="s">
        <v>13</v>
      </c>
      <c r="L2585" s="26">
        <v>2800</v>
      </c>
      <c r="M2585" s="26">
        <v>58</v>
      </c>
      <c r="N2585" s="25">
        <f t="shared" si="81"/>
        <v>162400</v>
      </c>
      <c r="O2585" s="56"/>
    </row>
    <row r="2586" spans="1:15" hidden="1" x14ac:dyDescent="0.3">
      <c r="A2586" s="26">
        <v>31</v>
      </c>
      <c r="B2586" s="20" t="str">
        <f t="shared" si="80"/>
        <v>JUL</v>
      </c>
      <c r="C2586" s="21">
        <v>46234</v>
      </c>
      <c r="D2586" s="22" t="str">
        <f t="array" ref="D2586">IFERROR(INDEX('Kode Outlet dan Target Toko'!$A:$A,MATCH($I2586,'Kode Outlet dan Target Toko'!$E:$E,0)),"")</f>
        <v>GRSM 6</v>
      </c>
      <c r="E2586" s="20" t="str">
        <f>IFERROR(VLOOKUP(I2586,KET!$B:$F,4,0),"")</f>
        <v>WINDA</v>
      </c>
      <c r="F2586" s="20" t="str">
        <f>IFERROR(VLOOKUP(I2586,KET!$B:$F,5,0),"")</f>
        <v>GMM</v>
      </c>
      <c r="G2586" s="20">
        <f>IFERROR(INDEX('Kode Outlet dan Target Toko'!$C:$C,MATCH($I2586,'Kode Outlet dan Target Toko'!$E:$E,0)),0)</f>
        <v>211139</v>
      </c>
      <c r="H2586" s="20">
        <f>IFERROR(INDEX('Kode Outlet dan Target Toko'!$D:$D,MATCH($I2586,'Kode Outlet dan Target Toko'!$E:$E,0)),0)</f>
        <v>3604550</v>
      </c>
      <c r="I2586" s="42" t="s">
        <v>69</v>
      </c>
      <c r="J2586" s="56" t="s">
        <v>282</v>
      </c>
      <c r="K2586" s="40" t="s">
        <v>16</v>
      </c>
      <c r="L2586" s="26">
        <v>2800</v>
      </c>
      <c r="M2586" s="26">
        <v>186</v>
      </c>
      <c r="N2586" s="25">
        <f t="shared" si="81"/>
        <v>520800</v>
      </c>
      <c r="O2586" s="56">
        <v>160</v>
      </c>
    </row>
    <row r="2587" spans="1:15" hidden="1" x14ac:dyDescent="0.3">
      <c r="A2587" s="26">
        <v>31</v>
      </c>
      <c r="B2587" s="20" t="str">
        <f t="shared" si="80"/>
        <v>JUL</v>
      </c>
      <c r="C2587" s="21">
        <v>46234</v>
      </c>
      <c r="D2587" s="22" t="str">
        <f t="array" ref="D2587">IFERROR(INDEX('Kode Outlet dan Target Toko'!$A:$A,MATCH($I2587,'Kode Outlet dan Target Toko'!$E:$E,0)),"")</f>
        <v>GRSM 6</v>
      </c>
      <c r="E2587" s="20" t="str">
        <f>IFERROR(VLOOKUP(I2587,KET!$B:$F,4,0),"")</f>
        <v>WINDA</v>
      </c>
      <c r="F2587" s="20" t="str">
        <f>IFERROR(VLOOKUP(I2587,KET!$B:$F,5,0),"")</f>
        <v>GMM</v>
      </c>
      <c r="G2587" s="20">
        <f>IFERROR(INDEX('Kode Outlet dan Target Toko'!$C:$C,MATCH($I2587,'Kode Outlet dan Target Toko'!$E:$E,0)),0)</f>
        <v>211139</v>
      </c>
      <c r="H2587" s="20">
        <f>IFERROR(INDEX('Kode Outlet dan Target Toko'!$D:$D,MATCH($I2587,'Kode Outlet dan Target Toko'!$E:$E,0)),0)</f>
        <v>3604550</v>
      </c>
      <c r="I2587" s="42" t="s">
        <v>69</v>
      </c>
      <c r="J2587" s="56" t="s">
        <v>281</v>
      </c>
      <c r="K2587" s="40" t="s">
        <v>15</v>
      </c>
      <c r="L2587" s="26">
        <v>2800</v>
      </c>
      <c r="M2587" s="26">
        <v>78</v>
      </c>
      <c r="N2587" s="25">
        <f t="shared" si="81"/>
        <v>218400</v>
      </c>
      <c r="O2587" s="56"/>
    </row>
    <row r="2588" spans="1:15" hidden="1" x14ac:dyDescent="0.3">
      <c r="A2588" s="26">
        <v>31</v>
      </c>
      <c r="B2588" s="20" t="str">
        <f t="shared" si="80"/>
        <v>JUL</v>
      </c>
      <c r="C2588" s="21">
        <v>46234</v>
      </c>
      <c r="D2588" s="22" t="str">
        <f t="array" ref="D2588">IFERROR(INDEX('Kode Outlet dan Target Toko'!$A:$A,MATCH($I2588,'Kode Outlet dan Target Toko'!$E:$E,0)),"")</f>
        <v>GRSM 6</v>
      </c>
      <c r="E2588" s="20" t="str">
        <f>IFERROR(VLOOKUP(I2588,KET!$B:$F,4,0),"")</f>
        <v>WINDA</v>
      </c>
      <c r="F2588" s="20" t="str">
        <f>IFERROR(VLOOKUP(I2588,KET!$B:$F,5,0),"")</f>
        <v>GMM</v>
      </c>
      <c r="G2588" s="20">
        <f>IFERROR(INDEX('Kode Outlet dan Target Toko'!$C:$C,MATCH($I2588,'Kode Outlet dan Target Toko'!$E:$E,0)),0)</f>
        <v>211139</v>
      </c>
      <c r="H2588" s="20">
        <f>IFERROR(INDEX('Kode Outlet dan Target Toko'!$D:$D,MATCH($I2588,'Kode Outlet dan Target Toko'!$E:$E,0)),0)</f>
        <v>3604550</v>
      </c>
      <c r="I2588" s="42" t="s">
        <v>69</v>
      </c>
      <c r="J2588" s="56" t="s">
        <v>281</v>
      </c>
      <c r="K2588" s="40" t="s">
        <v>14</v>
      </c>
      <c r="L2588" s="26">
        <v>2800</v>
      </c>
      <c r="M2588" s="26">
        <v>112</v>
      </c>
      <c r="N2588" s="25">
        <f t="shared" si="81"/>
        <v>313600</v>
      </c>
      <c r="O2588" s="56"/>
    </row>
    <row r="2589" spans="1:15" hidden="1" x14ac:dyDescent="0.3">
      <c r="A2589" s="26">
        <v>31</v>
      </c>
      <c r="B2589" s="20" t="str">
        <f t="shared" si="80"/>
        <v>JUL</v>
      </c>
      <c r="C2589" s="21">
        <v>46234</v>
      </c>
      <c r="D2589" s="22" t="str">
        <f t="array" ref="D2589">IFERROR(INDEX('Kode Outlet dan Target Toko'!$A:$A,MATCH($I2589,'Kode Outlet dan Target Toko'!$E:$E,0)),"")</f>
        <v>GRSM 6</v>
      </c>
      <c r="E2589" s="20" t="str">
        <f>IFERROR(VLOOKUP(I2589,KET!$B:$F,4,0),"")</f>
        <v>WINDA</v>
      </c>
      <c r="F2589" s="20" t="str">
        <f>IFERROR(VLOOKUP(I2589,KET!$B:$F,5,0),"")</f>
        <v>GMM</v>
      </c>
      <c r="G2589" s="20">
        <f>IFERROR(INDEX('Kode Outlet dan Target Toko'!$C:$C,MATCH($I2589,'Kode Outlet dan Target Toko'!$E:$E,0)),0)</f>
        <v>211139</v>
      </c>
      <c r="H2589" s="20">
        <f>IFERROR(INDEX('Kode Outlet dan Target Toko'!$D:$D,MATCH($I2589,'Kode Outlet dan Target Toko'!$E:$E,0)),0)</f>
        <v>3604550</v>
      </c>
      <c r="I2589" s="42" t="s">
        <v>69</v>
      </c>
      <c r="J2589" s="56" t="s">
        <v>281</v>
      </c>
      <c r="K2589" s="40" t="s">
        <v>13</v>
      </c>
      <c r="L2589" s="26">
        <v>2800</v>
      </c>
      <c r="M2589" s="26">
        <v>58</v>
      </c>
      <c r="N2589" s="25">
        <f t="shared" si="81"/>
        <v>162400</v>
      </c>
      <c r="O2589" s="56"/>
    </row>
    <row r="2590" spans="1:15" hidden="1" x14ac:dyDescent="0.3">
      <c r="A2590" s="26">
        <v>31</v>
      </c>
      <c r="B2590" s="20" t="str">
        <f t="shared" si="80"/>
        <v>JUL</v>
      </c>
      <c r="C2590" s="21">
        <v>46234</v>
      </c>
      <c r="D2590" s="22" t="str">
        <f t="array" ref="D2590">IFERROR(INDEX('Kode Outlet dan Target Toko'!$A:$A,MATCH($I2590,'Kode Outlet dan Target Toko'!$E:$E,0)),"")</f>
        <v>GRSM 6</v>
      </c>
      <c r="E2590" s="20" t="str">
        <f>IFERROR(VLOOKUP(I2590,KET!$B:$F,4,0),"")</f>
        <v>WINDA</v>
      </c>
      <c r="F2590" s="20" t="str">
        <f>IFERROR(VLOOKUP(I2590,KET!$B:$F,5,0),"")</f>
        <v>GMM</v>
      </c>
      <c r="G2590" s="20">
        <f>IFERROR(INDEX('Kode Outlet dan Target Toko'!$C:$C,MATCH($I2590,'Kode Outlet dan Target Toko'!$E:$E,0)),0)</f>
        <v>211139</v>
      </c>
      <c r="H2590" s="20">
        <f>IFERROR(INDEX('Kode Outlet dan Target Toko'!$D:$D,MATCH($I2590,'Kode Outlet dan Target Toko'!$E:$E,0)),0)</f>
        <v>3604550</v>
      </c>
      <c r="I2590" s="42" t="s">
        <v>69</v>
      </c>
      <c r="J2590" s="56" t="s">
        <v>281</v>
      </c>
      <c r="K2590" s="40" t="s">
        <v>16</v>
      </c>
      <c r="L2590" s="26">
        <v>2800</v>
      </c>
      <c r="M2590" s="26">
        <v>186</v>
      </c>
      <c r="N2590" s="25">
        <f t="shared" si="81"/>
        <v>520800</v>
      </c>
      <c r="O2590" s="56">
        <v>160</v>
      </c>
    </row>
    <row r="2591" spans="1:15" hidden="1" x14ac:dyDescent="0.3">
      <c r="A2591" s="26">
        <v>31</v>
      </c>
      <c r="B2591" s="20" t="str">
        <f t="shared" si="80"/>
        <v>JUL</v>
      </c>
      <c r="C2591" s="21">
        <v>46234</v>
      </c>
      <c r="D2591" s="22" t="str">
        <f t="array" ref="D2591">IFERROR(INDEX('Kode Outlet dan Target Toko'!$A:$A,MATCH($I2591,'Kode Outlet dan Target Toko'!$E:$E,0)),"")</f>
        <v>GRSM 6</v>
      </c>
      <c r="E2591" s="20" t="str">
        <f>IFERROR(VLOOKUP(I2591,KET!$B:$F,4,0),"")</f>
        <v>WINDA</v>
      </c>
      <c r="F2591" s="20" t="str">
        <f>IFERROR(VLOOKUP(I2591,KET!$B:$F,5,0),"")</f>
        <v>GMM</v>
      </c>
      <c r="G2591" s="20">
        <f>IFERROR(INDEX('Kode Outlet dan Target Toko'!$C:$C,MATCH($I2591,'Kode Outlet dan Target Toko'!$E:$E,0)),0)</f>
        <v>211033</v>
      </c>
      <c r="H2591" s="20">
        <f>IFERROR(INDEX('Kode Outlet dan Target Toko'!$D:$D,MATCH($I2591,'Kode Outlet dan Target Toko'!$E:$E,0)),0)</f>
        <v>2001021</v>
      </c>
      <c r="I2591" s="42" t="s">
        <v>66</v>
      </c>
      <c r="J2591" s="56" t="s">
        <v>283</v>
      </c>
      <c r="K2591" s="40" t="s">
        <v>15</v>
      </c>
      <c r="L2591" s="26">
        <v>3000</v>
      </c>
      <c r="M2591" s="26">
        <v>65</v>
      </c>
      <c r="N2591" s="25">
        <f t="shared" si="81"/>
        <v>195000</v>
      </c>
      <c r="O2591" s="56"/>
    </row>
    <row r="2592" spans="1:15" hidden="1" x14ac:dyDescent="0.3">
      <c r="A2592" s="26">
        <v>31</v>
      </c>
      <c r="B2592" s="20" t="str">
        <f t="shared" si="80"/>
        <v>JUL</v>
      </c>
      <c r="C2592" s="21">
        <v>46234</v>
      </c>
      <c r="D2592" s="22" t="str">
        <f t="array" ref="D2592">IFERROR(INDEX('Kode Outlet dan Target Toko'!$A:$A,MATCH($I2592,'Kode Outlet dan Target Toko'!$E:$E,0)),"")</f>
        <v>GRSM 6</v>
      </c>
      <c r="E2592" s="20" t="str">
        <f>IFERROR(VLOOKUP(I2592,KET!$B:$F,4,0),"")</f>
        <v>WINDA</v>
      </c>
      <c r="F2592" s="20" t="str">
        <f>IFERROR(VLOOKUP(I2592,KET!$B:$F,5,0),"")</f>
        <v>GMM</v>
      </c>
      <c r="G2592" s="20">
        <f>IFERROR(INDEX('Kode Outlet dan Target Toko'!$C:$C,MATCH($I2592,'Kode Outlet dan Target Toko'!$E:$E,0)),0)</f>
        <v>211033</v>
      </c>
      <c r="H2592" s="20">
        <f>IFERROR(INDEX('Kode Outlet dan Target Toko'!$D:$D,MATCH($I2592,'Kode Outlet dan Target Toko'!$E:$E,0)),0)</f>
        <v>2001021</v>
      </c>
      <c r="I2592" s="42" t="s">
        <v>66</v>
      </c>
      <c r="J2592" s="56" t="s">
        <v>283</v>
      </c>
      <c r="K2592" s="40" t="s">
        <v>14</v>
      </c>
      <c r="L2592" s="26">
        <v>3000</v>
      </c>
      <c r="M2592" s="26">
        <v>68</v>
      </c>
      <c r="N2592" s="25">
        <f t="shared" si="81"/>
        <v>204000</v>
      </c>
      <c r="O2592" s="56"/>
    </row>
    <row r="2593" spans="1:15" hidden="1" x14ac:dyDescent="0.3">
      <c r="A2593" s="26">
        <v>31</v>
      </c>
      <c r="B2593" s="20" t="str">
        <f t="shared" si="80"/>
        <v>JUL</v>
      </c>
      <c r="C2593" s="21">
        <v>46234</v>
      </c>
      <c r="D2593" s="22" t="str">
        <f t="array" ref="D2593">IFERROR(INDEX('Kode Outlet dan Target Toko'!$A:$A,MATCH($I2593,'Kode Outlet dan Target Toko'!$E:$E,0)),"")</f>
        <v>GRSM 6</v>
      </c>
      <c r="E2593" s="20" t="str">
        <f>IFERROR(VLOOKUP(I2593,KET!$B:$F,4,0),"")</f>
        <v>WINDA</v>
      </c>
      <c r="F2593" s="20" t="str">
        <f>IFERROR(VLOOKUP(I2593,KET!$B:$F,5,0),"")</f>
        <v>GMM</v>
      </c>
      <c r="G2593" s="20">
        <f>IFERROR(INDEX('Kode Outlet dan Target Toko'!$C:$C,MATCH($I2593,'Kode Outlet dan Target Toko'!$E:$E,0)),0)</f>
        <v>211033</v>
      </c>
      <c r="H2593" s="20">
        <f>IFERROR(INDEX('Kode Outlet dan Target Toko'!$D:$D,MATCH($I2593,'Kode Outlet dan Target Toko'!$E:$E,0)),0)</f>
        <v>2001021</v>
      </c>
      <c r="I2593" s="42" t="s">
        <v>66</v>
      </c>
      <c r="J2593" s="56" t="s">
        <v>283</v>
      </c>
      <c r="K2593" s="40" t="s">
        <v>13</v>
      </c>
      <c r="L2593" s="26">
        <v>3000</v>
      </c>
      <c r="M2593" s="26">
        <v>55</v>
      </c>
      <c r="N2593" s="25">
        <f t="shared" si="81"/>
        <v>165000</v>
      </c>
      <c r="O2593" s="56"/>
    </row>
    <row r="2594" spans="1:15" hidden="1" x14ac:dyDescent="0.3">
      <c r="A2594" s="26">
        <v>31</v>
      </c>
      <c r="B2594" s="20" t="str">
        <f t="shared" si="80"/>
        <v>JUL</v>
      </c>
      <c r="C2594" s="21">
        <v>46234</v>
      </c>
      <c r="D2594" s="22" t="str">
        <f t="array" ref="D2594">IFERROR(INDEX('Kode Outlet dan Target Toko'!$A:$A,MATCH($I2594,'Kode Outlet dan Target Toko'!$E:$E,0)),"")</f>
        <v>GRSM 6</v>
      </c>
      <c r="E2594" s="20" t="str">
        <f>IFERROR(VLOOKUP(I2594,KET!$B:$F,4,0),"")</f>
        <v>WINDA</v>
      </c>
      <c r="F2594" s="20" t="str">
        <f>IFERROR(VLOOKUP(I2594,KET!$B:$F,5,0),"")</f>
        <v>GMM</v>
      </c>
      <c r="G2594" s="20">
        <f>IFERROR(INDEX('Kode Outlet dan Target Toko'!$C:$C,MATCH($I2594,'Kode Outlet dan Target Toko'!$E:$E,0)),0)</f>
        <v>211033</v>
      </c>
      <c r="H2594" s="20">
        <f>IFERROR(INDEX('Kode Outlet dan Target Toko'!$D:$D,MATCH($I2594,'Kode Outlet dan Target Toko'!$E:$E,0)),0)</f>
        <v>2001021</v>
      </c>
      <c r="I2594" s="42" t="s">
        <v>66</v>
      </c>
      <c r="J2594" s="56" t="s">
        <v>283</v>
      </c>
      <c r="K2594" s="40" t="s">
        <v>16</v>
      </c>
      <c r="L2594" s="26">
        <v>3000</v>
      </c>
      <c r="M2594" s="26">
        <v>214</v>
      </c>
      <c r="N2594" s="25">
        <f t="shared" si="81"/>
        <v>642000</v>
      </c>
      <c r="O2594" s="56">
        <v>160</v>
      </c>
    </row>
    <row r="2595" spans="1:15" hidden="1" x14ac:dyDescent="0.3">
      <c r="A2595" s="26">
        <v>31</v>
      </c>
      <c r="B2595" s="20" t="str">
        <f t="shared" si="80"/>
        <v>JUL</v>
      </c>
      <c r="C2595" s="21">
        <v>46234</v>
      </c>
      <c r="D2595" s="22" t="str">
        <f t="array" ref="D2595">IFERROR(INDEX('Kode Outlet dan Target Toko'!$A:$A,MATCH($I2595,'Kode Outlet dan Target Toko'!$E:$E,0)),"")</f>
        <v>GRSM 6</v>
      </c>
      <c r="E2595" s="20" t="str">
        <f>IFERROR(VLOOKUP(I2595,KET!$B:$F,4,0),"")</f>
        <v>WINDA</v>
      </c>
      <c r="F2595" s="20" t="str">
        <f>IFERROR(VLOOKUP(I2595,KET!$B:$F,5,0),"")</f>
        <v>GMM</v>
      </c>
      <c r="G2595" s="20">
        <f>IFERROR(INDEX('Kode Outlet dan Target Toko'!$C:$C,MATCH($I2595,'Kode Outlet dan Target Toko'!$E:$E,0)),0)</f>
        <v>211033</v>
      </c>
      <c r="H2595" s="20">
        <f>IFERROR(INDEX('Kode Outlet dan Target Toko'!$D:$D,MATCH($I2595,'Kode Outlet dan Target Toko'!$E:$E,0)),0)</f>
        <v>2001021</v>
      </c>
      <c r="I2595" s="42" t="s">
        <v>66</v>
      </c>
      <c r="J2595" s="56" t="s">
        <v>284</v>
      </c>
      <c r="K2595" s="40" t="s">
        <v>15</v>
      </c>
      <c r="L2595" s="26">
        <v>3000</v>
      </c>
      <c r="M2595" s="26">
        <v>65</v>
      </c>
      <c r="N2595" s="25">
        <f t="shared" si="81"/>
        <v>195000</v>
      </c>
      <c r="O2595" s="56"/>
    </row>
    <row r="2596" spans="1:15" hidden="1" x14ac:dyDescent="0.3">
      <c r="A2596" s="26">
        <v>31</v>
      </c>
      <c r="B2596" s="20" t="str">
        <f t="shared" si="80"/>
        <v>JUL</v>
      </c>
      <c r="C2596" s="21">
        <v>46234</v>
      </c>
      <c r="D2596" s="22" t="str">
        <f t="array" ref="D2596">IFERROR(INDEX('Kode Outlet dan Target Toko'!$A:$A,MATCH($I2596,'Kode Outlet dan Target Toko'!$E:$E,0)),"")</f>
        <v>GRSM 6</v>
      </c>
      <c r="E2596" s="20" t="str">
        <f>IFERROR(VLOOKUP(I2596,KET!$B:$F,4,0),"")</f>
        <v>WINDA</v>
      </c>
      <c r="F2596" s="20" t="str">
        <f>IFERROR(VLOOKUP(I2596,KET!$B:$F,5,0),"")</f>
        <v>GMM</v>
      </c>
      <c r="G2596" s="20">
        <f>IFERROR(INDEX('Kode Outlet dan Target Toko'!$C:$C,MATCH($I2596,'Kode Outlet dan Target Toko'!$E:$E,0)),0)</f>
        <v>211033</v>
      </c>
      <c r="H2596" s="20">
        <f>IFERROR(INDEX('Kode Outlet dan Target Toko'!$D:$D,MATCH($I2596,'Kode Outlet dan Target Toko'!$E:$E,0)),0)</f>
        <v>2001021</v>
      </c>
      <c r="I2596" s="42" t="s">
        <v>66</v>
      </c>
      <c r="J2596" s="56" t="s">
        <v>284</v>
      </c>
      <c r="K2596" s="40" t="s">
        <v>14</v>
      </c>
      <c r="L2596" s="26">
        <v>3000</v>
      </c>
      <c r="M2596" s="26">
        <v>68</v>
      </c>
      <c r="N2596" s="25">
        <f t="shared" si="81"/>
        <v>204000</v>
      </c>
      <c r="O2596" s="56"/>
    </row>
    <row r="2597" spans="1:15" hidden="1" x14ac:dyDescent="0.3">
      <c r="A2597" s="26">
        <v>31</v>
      </c>
      <c r="B2597" s="20" t="str">
        <f t="shared" si="80"/>
        <v>JUL</v>
      </c>
      <c r="C2597" s="21">
        <v>46234</v>
      </c>
      <c r="D2597" s="22" t="str">
        <f t="array" ref="D2597">IFERROR(INDEX('Kode Outlet dan Target Toko'!$A:$A,MATCH($I2597,'Kode Outlet dan Target Toko'!$E:$E,0)),"")</f>
        <v>GRSM 6</v>
      </c>
      <c r="E2597" s="20" t="str">
        <f>IFERROR(VLOOKUP(I2597,KET!$B:$F,4,0),"")</f>
        <v>WINDA</v>
      </c>
      <c r="F2597" s="20" t="str">
        <f>IFERROR(VLOOKUP(I2597,KET!$B:$F,5,0),"")</f>
        <v>GMM</v>
      </c>
      <c r="G2597" s="20">
        <f>IFERROR(INDEX('Kode Outlet dan Target Toko'!$C:$C,MATCH($I2597,'Kode Outlet dan Target Toko'!$E:$E,0)),0)</f>
        <v>211033</v>
      </c>
      <c r="H2597" s="20">
        <f>IFERROR(INDEX('Kode Outlet dan Target Toko'!$D:$D,MATCH($I2597,'Kode Outlet dan Target Toko'!$E:$E,0)),0)</f>
        <v>2001021</v>
      </c>
      <c r="I2597" s="42" t="s">
        <v>66</v>
      </c>
      <c r="J2597" s="56" t="s">
        <v>284</v>
      </c>
      <c r="K2597" s="40" t="s">
        <v>13</v>
      </c>
      <c r="L2597" s="26">
        <v>3000</v>
      </c>
      <c r="M2597" s="26">
        <v>55</v>
      </c>
      <c r="N2597" s="25">
        <f t="shared" si="81"/>
        <v>165000</v>
      </c>
      <c r="O2597" s="56"/>
    </row>
    <row r="2598" spans="1:15" hidden="1" x14ac:dyDescent="0.3">
      <c r="A2598" s="26">
        <v>31</v>
      </c>
      <c r="B2598" s="20" t="str">
        <f t="shared" si="80"/>
        <v>JUL</v>
      </c>
      <c r="C2598" s="21">
        <v>46234</v>
      </c>
      <c r="D2598" s="22" t="str">
        <f t="array" ref="D2598">IFERROR(INDEX('Kode Outlet dan Target Toko'!$A:$A,MATCH($I2598,'Kode Outlet dan Target Toko'!$E:$E,0)),"")</f>
        <v>GRSM 6</v>
      </c>
      <c r="E2598" s="20" t="str">
        <f>IFERROR(VLOOKUP(I2598,KET!$B:$F,4,0),"")</f>
        <v>WINDA</v>
      </c>
      <c r="F2598" s="20" t="str">
        <f>IFERROR(VLOOKUP(I2598,KET!$B:$F,5,0),"")</f>
        <v>GMM</v>
      </c>
      <c r="G2598" s="20">
        <f>IFERROR(INDEX('Kode Outlet dan Target Toko'!$C:$C,MATCH($I2598,'Kode Outlet dan Target Toko'!$E:$E,0)),0)</f>
        <v>211033</v>
      </c>
      <c r="H2598" s="20">
        <f>IFERROR(INDEX('Kode Outlet dan Target Toko'!$D:$D,MATCH($I2598,'Kode Outlet dan Target Toko'!$E:$E,0)),0)</f>
        <v>2001021</v>
      </c>
      <c r="I2598" s="42" t="s">
        <v>66</v>
      </c>
      <c r="J2598" s="56" t="s">
        <v>284</v>
      </c>
      <c r="K2598" s="40" t="s">
        <v>16</v>
      </c>
      <c r="L2598" s="26">
        <v>3000</v>
      </c>
      <c r="M2598" s="26">
        <v>214</v>
      </c>
      <c r="N2598" s="25">
        <f t="shared" si="81"/>
        <v>642000</v>
      </c>
      <c r="O2598" s="56">
        <v>160</v>
      </c>
    </row>
    <row r="2599" spans="1:15" hidden="1" x14ac:dyDescent="0.3">
      <c r="A2599" s="26">
        <v>31</v>
      </c>
      <c r="B2599" s="20" t="str">
        <f t="shared" si="80"/>
        <v>JUL</v>
      </c>
      <c r="C2599" s="21">
        <v>46234</v>
      </c>
      <c r="D2599" s="22" t="str">
        <f t="array" ref="D2599">IFERROR(INDEX('Kode Outlet dan Target Toko'!$A:$A,MATCH($I2599,'Kode Outlet dan Target Toko'!$E:$E,0)),"")</f>
        <v>GRSM 6</v>
      </c>
      <c r="E2599" s="20" t="str">
        <f>IFERROR(VLOOKUP(I2599,KET!$B:$F,4,0),"")</f>
        <v>WINDA</v>
      </c>
      <c r="F2599" s="20" t="str">
        <f>IFERROR(VLOOKUP(I2599,KET!$B:$F,5,0),"")</f>
        <v>GMM</v>
      </c>
      <c r="G2599" s="20">
        <f>IFERROR(INDEX('Kode Outlet dan Target Toko'!$C:$C,MATCH($I2599,'Kode Outlet dan Target Toko'!$E:$E,0)),0)</f>
        <v>211163</v>
      </c>
      <c r="H2599" s="20">
        <f>IFERROR(INDEX('Kode Outlet dan Target Toko'!$D:$D,MATCH($I2599,'Kode Outlet dan Target Toko'!$E:$E,0)),0)</f>
        <v>3703219</v>
      </c>
      <c r="I2599" s="42" t="s">
        <v>52</v>
      </c>
      <c r="J2599" s="56" t="s">
        <v>274</v>
      </c>
      <c r="K2599" s="40" t="s">
        <v>15</v>
      </c>
      <c r="L2599" s="26">
        <v>2900</v>
      </c>
      <c r="M2599" s="26">
        <v>0</v>
      </c>
      <c r="N2599" s="25">
        <f t="shared" si="81"/>
        <v>0</v>
      </c>
      <c r="O2599" s="56"/>
    </row>
    <row r="2600" spans="1:15" hidden="1" x14ac:dyDescent="0.3">
      <c r="A2600" s="26">
        <v>31</v>
      </c>
      <c r="B2600" s="20" t="str">
        <f t="shared" si="80"/>
        <v>JUL</v>
      </c>
      <c r="C2600" s="21">
        <v>46234</v>
      </c>
      <c r="D2600" s="22" t="str">
        <f t="array" ref="D2600">IFERROR(INDEX('Kode Outlet dan Target Toko'!$A:$A,MATCH($I2600,'Kode Outlet dan Target Toko'!$E:$E,0)),"")</f>
        <v>GRSM 6</v>
      </c>
      <c r="E2600" s="20" t="str">
        <f>IFERROR(VLOOKUP(I2600,KET!$B:$F,4,0),"")</f>
        <v>WINDA</v>
      </c>
      <c r="F2600" s="20" t="str">
        <f>IFERROR(VLOOKUP(I2600,KET!$B:$F,5,0),"")</f>
        <v>GMM</v>
      </c>
      <c r="G2600" s="20">
        <f>IFERROR(INDEX('Kode Outlet dan Target Toko'!$C:$C,MATCH($I2600,'Kode Outlet dan Target Toko'!$E:$E,0)),0)</f>
        <v>211163</v>
      </c>
      <c r="H2600" s="20">
        <f>IFERROR(INDEX('Kode Outlet dan Target Toko'!$D:$D,MATCH($I2600,'Kode Outlet dan Target Toko'!$E:$E,0)),0)</f>
        <v>3703219</v>
      </c>
      <c r="I2600" s="42" t="s">
        <v>52</v>
      </c>
      <c r="J2600" s="56" t="s">
        <v>274</v>
      </c>
      <c r="K2600" s="40" t="s">
        <v>14</v>
      </c>
      <c r="L2600" s="26">
        <v>2900</v>
      </c>
      <c r="M2600" s="26">
        <v>193</v>
      </c>
      <c r="N2600" s="25">
        <f t="shared" si="81"/>
        <v>559700</v>
      </c>
      <c r="O2600" s="56"/>
    </row>
    <row r="2601" spans="1:15" hidden="1" x14ac:dyDescent="0.3">
      <c r="A2601" s="26">
        <v>31</v>
      </c>
      <c r="B2601" s="20" t="str">
        <f t="shared" si="80"/>
        <v>JUL</v>
      </c>
      <c r="C2601" s="21">
        <v>46234</v>
      </c>
      <c r="D2601" s="22" t="str">
        <f t="array" ref="D2601">IFERROR(INDEX('Kode Outlet dan Target Toko'!$A:$A,MATCH($I2601,'Kode Outlet dan Target Toko'!$E:$E,0)),"")</f>
        <v>GRSM 6</v>
      </c>
      <c r="E2601" s="20" t="str">
        <f>IFERROR(VLOOKUP(I2601,KET!$B:$F,4,0),"")</f>
        <v>WINDA</v>
      </c>
      <c r="F2601" s="20" t="str">
        <f>IFERROR(VLOOKUP(I2601,KET!$B:$F,5,0),"")</f>
        <v>GMM</v>
      </c>
      <c r="G2601" s="20">
        <f>IFERROR(INDEX('Kode Outlet dan Target Toko'!$C:$C,MATCH($I2601,'Kode Outlet dan Target Toko'!$E:$E,0)),0)</f>
        <v>211163</v>
      </c>
      <c r="H2601" s="20">
        <f>IFERROR(INDEX('Kode Outlet dan Target Toko'!$D:$D,MATCH($I2601,'Kode Outlet dan Target Toko'!$E:$E,0)),0)</f>
        <v>3703219</v>
      </c>
      <c r="I2601" s="42" t="s">
        <v>52</v>
      </c>
      <c r="J2601" s="56" t="s">
        <v>274</v>
      </c>
      <c r="K2601" s="40" t="s">
        <v>13</v>
      </c>
      <c r="L2601" s="26">
        <v>2900</v>
      </c>
      <c r="M2601" s="26">
        <v>0</v>
      </c>
      <c r="N2601" s="25">
        <f t="shared" si="81"/>
        <v>0</v>
      </c>
      <c r="O2601" s="56"/>
    </row>
    <row r="2602" spans="1:15" hidden="1" x14ac:dyDescent="0.3">
      <c r="A2602" s="26">
        <v>31</v>
      </c>
      <c r="B2602" s="20" t="str">
        <f t="shared" si="80"/>
        <v>JUL</v>
      </c>
      <c r="C2602" s="21">
        <v>46234</v>
      </c>
      <c r="D2602" s="22" t="str">
        <f t="array" ref="D2602">IFERROR(INDEX('Kode Outlet dan Target Toko'!$A:$A,MATCH($I2602,'Kode Outlet dan Target Toko'!$E:$E,0)),"")</f>
        <v>GRSM 6</v>
      </c>
      <c r="E2602" s="20" t="str">
        <f>IFERROR(VLOOKUP(I2602,KET!$B:$F,4,0),"")</f>
        <v>WINDA</v>
      </c>
      <c r="F2602" s="20" t="str">
        <f>IFERROR(VLOOKUP(I2602,KET!$B:$F,5,0),"")</f>
        <v>GMM</v>
      </c>
      <c r="G2602" s="20">
        <f>IFERROR(INDEX('Kode Outlet dan Target Toko'!$C:$C,MATCH($I2602,'Kode Outlet dan Target Toko'!$E:$E,0)),0)</f>
        <v>211163</v>
      </c>
      <c r="H2602" s="20">
        <f>IFERROR(INDEX('Kode Outlet dan Target Toko'!$D:$D,MATCH($I2602,'Kode Outlet dan Target Toko'!$E:$E,0)),0)</f>
        <v>3703219</v>
      </c>
      <c r="I2602" s="42" t="s">
        <v>52</v>
      </c>
      <c r="J2602" s="56" t="s">
        <v>274</v>
      </c>
      <c r="K2602" s="40" t="s">
        <v>16</v>
      </c>
      <c r="L2602" s="26">
        <v>2900</v>
      </c>
      <c r="M2602" s="26">
        <v>375</v>
      </c>
      <c r="N2602" s="25">
        <f t="shared" si="81"/>
        <v>1087500</v>
      </c>
      <c r="O2602" s="56">
        <v>160</v>
      </c>
    </row>
    <row r="2603" spans="1:15" hidden="1" x14ac:dyDescent="0.3">
      <c r="A2603" s="26">
        <v>31</v>
      </c>
      <c r="B2603" s="20" t="str">
        <f t="shared" si="80"/>
        <v>JUL</v>
      </c>
      <c r="C2603" s="21">
        <v>46234</v>
      </c>
      <c r="D2603" s="22" t="str">
        <f t="array" ref="D2603">IFERROR(INDEX('Kode Outlet dan Target Toko'!$A:$A,MATCH($I2603,'Kode Outlet dan Target Toko'!$E:$E,0)),"")</f>
        <v>GRSM 6</v>
      </c>
      <c r="E2603" s="20" t="str">
        <f>IFERROR(VLOOKUP(I2603,KET!$B:$F,4,0),"")</f>
        <v>WINDA</v>
      </c>
      <c r="F2603" s="20" t="str">
        <f>IFERROR(VLOOKUP(I2603,KET!$B:$F,5,0),"")</f>
        <v>GMM</v>
      </c>
      <c r="G2603" s="20">
        <f>IFERROR(INDEX('Kode Outlet dan Target Toko'!$C:$C,MATCH($I2603,'Kode Outlet dan Target Toko'!$E:$E,0)),0)</f>
        <v>211163</v>
      </c>
      <c r="H2603" s="20">
        <f>IFERROR(INDEX('Kode Outlet dan Target Toko'!$D:$D,MATCH($I2603,'Kode Outlet dan Target Toko'!$E:$E,0)),0)</f>
        <v>3703219</v>
      </c>
      <c r="I2603" s="42" t="s">
        <v>52</v>
      </c>
      <c r="J2603" s="56" t="s">
        <v>273</v>
      </c>
      <c r="K2603" s="40" t="s">
        <v>15</v>
      </c>
      <c r="L2603" s="26">
        <v>2900</v>
      </c>
      <c r="M2603" s="26">
        <v>0</v>
      </c>
      <c r="N2603" s="25">
        <f t="shared" si="81"/>
        <v>0</v>
      </c>
      <c r="O2603" s="56"/>
    </row>
    <row r="2604" spans="1:15" hidden="1" x14ac:dyDescent="0.3">
      <c r="A2604" s="26">
        <v>31</v>
      </c>
      <c r="B2604" s="20" t="str">
        <f t="shared" si="80"/>
        <v>JUL</v>
      </c>
      <c r="C2604" s="21">
        <v>46234</v>
      </c>
      <c r="D2604" s="22" t="str">
        <f t="array" ref="D2604">IFERROR(INDEX('Kode Outlet dan Target Toko'!$A:$A,MATCH($I2604,'Kode Outlet dan Target Toko'!$E:$E,0)),"")</f>
        <v>GRSM 6</v>
      </c>
      <c r="E2604" s="20" t="str">
        <f>IFERROR(VLOOKUP(I2604,KET!$B:$F,4,0),"")</f>
        <v>WINDA</v>
      </c>
      <c r="F2604" s="20" t="str">
        <f>IFERROR(VLOOKUP(I2604,KET!$B:$F,5,0),"")</f>
        <v>GMM</v>
      </c>
      <c r="G2604" s="20">
        <f>IFERROR(INDEX('Kode Outlet dan Target Toko'!$C:$C,MATCH($I2604,'Kode Outlet dan Target Toko'!$E:$E,0)),0)</f>
        <v>211163</v>
      </c>
      <c r="H2604" s="20">
        <f>IFERROR(INDEX('Kode Outlet dan Target Toko'!$D:$D,MATCH($I2604,'Kode Outlet dan Target Toko'!$E:$E,0)),0)</f>
        <v>3703219</v>
      </c>
      <c r="I2604" s="42" t="s">
        <v>52</v>
      </c>
      <c r="J2604" s="56" t="s">
        <v>273</v>
      </c>
      <c r="K2604" s="40" t="s">
        <v>14</v>
      </c>
      <c r="L2604" s="26">
        <v>2900</v>
      </c>
      <c r="M2604" s="26">
        <v>193</v>
      </c>
      <c r="N2604" s="25">
        <f t="shared" si="81"/>
        <v>559700</v>
      </c>
      <c r="O2604" s="56"/>
    </row>
    <row r="2605" spans="1:15" hidden="1" x14ac:dyDescent="0.3">
      <c r="A2605" s="26">
        <v>31</v>
      </c>
      <c r="B2605" s="20" t="str">
        <f t="shared" si="80"/>
        <v>JUL</v>
      </c>
      <c r="C2605" s="21">
        <v>46234</v>
      </c>
      <c r="D2605" s="22" t="str">
        <f t="array" ref="D2605">IFERROR(INDEX('Kode Outlet dan Target Toko'!$A:$A,MATCH($I2605,'Kode Outlet dan Target Toko'!$E:$E,0)),"")</f>
        <v>GRSM 6</v>
      </c>
      <c r="E2605" s="20" t="str">
        <f>IFERROR(VLOOKUP(I2605,KET!$B:$F,4,0),"")</f>
        <v>WINDA</v>
      </c>
      <c r="F2605" s="20" t="str">
        <f>IFERROR(VLOOKUP(I2605,KET!$B:$F,5,0),"")</f>
        <v>GMM</v>
      </c>
      <c r="G2605" s="20">
        <f>IFERROR(INDEX('Kode Outlet dan Target Toko'!$C:$C,MATCH($I2605,'Kode Outlet dan Target Toko'!$E:$E,0)),0)</f>
        <v>211163</v>
      </c>
      <c r="H2605" s="20">
        <f>IFERROR(INDEX('Kode Outlet dan Target Toko'!$D:$D,MATCH($I2605,'Kode Outlet dan Target Toko'!$E:$E,0)),0)</f>
        <v>3703219</v>
      </c>
      <c r="I2605" s="42" t="s">
        <v>52</v>
      </c>
      <c r="J2605" s="56" t="s">
        <v>273</v>
      </c>
      <c r="K2605" s="40" t="s">
        <v>13</v>
      </c>
      <c r="L2605" s="26">
        <v>2900</v>
      </c>
      <c r="M2605" s="26">
        <v>0</v>
      </c>
      <c r="N2605" s="25">
        <f t="shared" si="81"/>
        <v>0</v>
      </c>
      <c r="O2605" s="56"/>
    </row>
    <row r="2606" spans="1:15" hidden="1" x14ac:dyDescent="0.3">
      <c r="A2606" s="26">
        <v>31</v>
      </c>
      <c r="B2606" s="20" t="str">
        <f t="shared" si="80"/>
        <v>JUL</v>
      </c>
      <c r="C2606" s="21">
        <v>46234</v>
      </c>
      <c r="D2606" s="22" t="str">
        <f t="array" ref="D2606">IFERROR(INDEX('Kode Outlet dan Target Toko'!$A:$A,MATCH($I2606,'Kode Outlet dan Target Toko'!$E:$E,0)),"")</f>
        <v>GRSM 6</v>
      </c>
      <c r="E2606" s="20" t="str">
        <f>IFERROR(VLOOKUP(I2606,KET!$B:$F,4,0),"")</f>
        <v>WINDA</v>
      </c>
      <c r="F2606" s="20" t="str">
        <f>IFERROR(VLOOKUP(I2606,KET!$B:$F,5,0),"")</f>
        <v>GMM</v>
      </c>
      <c r="G2606" s="20">
        <f>IFERROR(INDEX('Kode Outlet dan Target Toko'!$C:$C,MATCH($I2606,'Kode Outlet dan Target Toko'!$E:$E,0)),0)</f>
        <v>211163</v>
      </c>
      <c r="H2606" s="20">
        <f>IFERROR(INDEX('Kode Outlet dan Target Toko'!$D:$D,MATCH($I2606,'Kode Outlet dan Target Toko'!$E:$E,0)),0)</f>
        <v>3703219</v>
      </c>
      <c r="I2606" s="42" t="s">
        <v>52</v>
      </c>
      <c r="J2606" s="56" t="s">
        <v>273</v>
      </c>
      <c r="K2606" s="40" t="s">
        <v>16</v>
      </c>
      <c r="L2606" s="26">
        <v>2900</v>
      </c>
      <c r="M2606" s="26">
        <v>375</v>
      </c>
      <c r="N2606" s="25">
        <f t="shared" si="81"/>
        <v>1087500</v>
      </c>
      <c r="O2606" s="56">
        <v>160</v>
      </c>
    </row>
    <row r="2607" spans="1:15" hidden="1" x14ac:dyDescent="0.3">
      <c r="A2607" s="26">
        <v>31</v>
      </c>
      <c r="B2607" s="20" t="str">
        <f t="shared" si="80"/>
        <v>AUG</v>
      </c>
      <c r="C2607" s="21">
        <v>46235</v>
      </c>
      <c r="D2607" s="22" t="str">
        <f t="array" ref="D2607">IFERROR(INDEX('Kode Outlet dan Target Toko'!$A:$A,MATCH($I2607,'Kode Outlet dan Target Toko'!$E:$E,0)),"")</f>
        <v>GRSM 1</v>
      </c>
      <c r="E2607" s="20" t="str">
        <f>IFERROR(VLOOKUP(I2607,KET!$B:$F,4,0),"")</f>
        <v>AFNITA SARI</v>
      </c>
      <c r="F2607" s="20" t="str">
        <f>IFERROR(VLOOKUP(I2607,KET!$B:$F,5,0),"")</f>
        <v>MT</v>
      </c>
      <c r="G2607" s="20">
        <f>IFERROR(INDEX('Kode Outlet dan Target Toko'!$C:$C,MATCH($I2607,'Kode Outlet dan Target Toko'!$E:$E,0)),0)</f>
        <v>122506</v>
      </c>
      <c r="H2607" s="20">
        <f>IFERROR(INDEX('Kode Outlet dan Target Toko'!$D:$D,MATCH($I2607,'Kode Outlet dan Target Toko'!$E:$E,0)),0)</f>
        <v>202879</v>
      </c>
      <c r="I2607" s="42" t="s">
        <v>70</v>
      </c>
      <c r="J2607" s="56" t="s">
        <v>289</v>
      </c>
      <c r="K2607" s="40" t="s">
        <v>15</v>
      </c>
      <c r="L2607" s="26">
        <v>6400</v>
      </c>
      <c r="M2607" s="26">
        <v>37</v>
      </c>
      <c r="N2607" s="25">
        <f t="shared" si="81"/>
        <v>236800</v>
      </c>
      <c r="O2607" s="56"/>
    </row>
    <row r="2608" spans="1:15" hidden="1" x14ac:dyDescent="0.3">
      <c r="A2608" s="26">
        <v>31</v>
      </c>
      <c r="B2608" s="20" t="str">
        <f t="shared" si="80"/>
        <v>AUG</v>
      </c>
      <c r="C2608" s="21">
        <v>46235</v>
      </c>
      <c r="D2608" s="22" t="str">
        <f t="array" ref="D2608">IFERROR(INDEX('Kode Outlet dan Target Toko'!$A:$A,MATCH($I2608,'Kode Outlet dan Target Toko'!$E:$E,0)),"")</f>
        <v>GRSM 1</v>
      </c>
      <c r="E2608" s="20" t="str">
        <f>IFERROR(VLOOKUP(I2608,KET!$B:$F,4,0),"")</f>
        <v>AFNITA SARI</v>
      </c>
      <c r="F2608" s="20" t="str">
        <f>IFERROR(VLOOKUP(I2608,KET!$B:$F,5,0),"")</f>
        <v>MT</v>
      </c>
      <c r="G2608" s="20">
        <f>IFERROR(INDEX('Kode Outlet dan Target Toko'!$C:$C,MATCH($I2608,'Kode Outlet dan Target Toko'!$E:$E,0)),0)</f>
        <v>122506</v>
      </c>
      <c r="H2608" s="20">
        <f>IFERROR(INDEX('Kode Outlet dan Target Toko'!$D:$D,MATCH($I2608,'Kode Outlet dan Target Toko'!$E:$E,0)),0)</f>
        <v>202879</v>
      </c>
      <c r="I2608" s="42" t="s">
        <v>70</v>
      </c>
      <c r="J2608" s="56" t="s">
        <v>289</v>
      </c>
      <c r="K2608" s="40" t="s">
        <v>14</v>
      </c>
      <c r="L2608" s="26">
        <v>6400</v>
      </c>
      <c r="M2608" s="26">
        <v>40</v>
      </c>
      <c r="N2608" s="25">
        <f t="shared" si="81"/>
        <v>256000</v>
      </c>
      <c r="O2608" s="56"/>
    </row>
    <row r="2609" spans="1:15" hidden="1" x14ac:dyDescent="0.3">
      <c r="A2609" s="26">
        <v>31</v>
      </c>
      <c r="B2609" s="20" t="str">
        <f t="shared" si="80"/>
        <v>AUG</v>
      </c>
      <c r="C2609" s="21">
        <v>46235</v>
      </c>
      <c r="D2609" s="22" t="str">
        <f t="array" ref="D2609">IFERROR(INDEX('Kode Outlet dan Target Toko'!$A:$A,MATCH($I2609,'Kode Outlet dan Target Toko'!$E:$E,0)),"")</f>
        <v>GRSM 1</v>
      </c>
      <c r="E2609" s="20" t="str">
        <f>IFERROR(VLOOKUP(I2609,KET!$B:$F,4,0),"")</f>
        <v>AFNITA SARI</v>
      </c>
      <c r="F2609" s="20" t="str">
        <f>IFERROR(VLOOKUP(I2609,KET!$B:$F,5,0),"")</f>
        <v>MT</v>
      </c>
      <c r="G2609" s="20">
        <f>IFERROR(INDEX('Kode Outlet dan Target Toko'!$C:$C,MATCH($I2609,'Kode Outlet dan Target Toko'!$E:$E,0)),0)</f>
        <v>122506</v>
      </c>
      <c r="H2609" s="20">
        <f>IFERROR(INDEX('Kode Outlet dan Target Toko'!$D:$D,MATCH($I2609,'Kode Outlet dan Target Toko'!$E:$E,0)),0)</f>
        <v>202879</v>
      </c>
      <c r="I2609" s="42" t="s">
        <v>70</v>
      </c>
      <c r="J2609" s="56" t="s">
        <v>289</v>
      </c>
      <c r="K2609" s="40" t="s">
        <v>13</v>
      </c>
      <c r="L2609" s="26">
        <v>6400</v>
      </c>
      <c r="M2609" s="26">
        <v>51</v>
      </c>
      <c r="N2609" s="25">
        <f t="shared" si="81"/>
        <v>326400</v>
      </c>
      <c r="O2609" s="56"/>
    </row>
    <row r="2610" spans="1:15" hidden="1" x14ac:dyDescent="0.3">
      <c r="A2610" s="26">
        <v>31</v>
      </c>
      <c r="B2610" s="20" t="str">
        <f t="shared" si="80"/>
        <v>AUG</v>
      </c>
      <c r="C2610" s="21">
        <v>46235</v>
      </c>
      <c r="D2610" s="22" t="str">
        <f t="array" ref="D2610">IFERROR(INDEX('Kode Outlet dan Target Toko'!$A:$A,MATCH($I2610,'Kode Outlet dan Target Toko'!$E:$E,0)),"")</f>
        <v>GRSM 1</v>
      </c>
      <c r="E2610" s="20" t="str">
        <f>IFERROR(VLOOKUP(I2610,KET!$B:$F,4,0),"")</f>
        <v>AFNITA SARI</v>
      </c>
      <c r="F2610" s="20" t="str">
        <f>IFERROR(VLOOKUP(I2610,KET!$B:$F,5,0),"")</f>
        <v>MT</v>
      </c>
      <c r="G2610" s="20">
        <f>IFERROR(INDEX('Kode Outlet dan Target Toko'!$C:$C,MATCH($I2610,'Kode Outlet dan Target Toko'!$E:$E,0)),0)</f>
        <v>122506</v>
      </c>
      <c r="H2610" s="20">
        <f>IFERROR(INDEX('Kode Outlet dan Target Toko'!$D:$D,MATCH($I2610,'Kode Outlet dan Target Toko'!$E:$E,0)),0)</f>
        <v>202879</v>
      </c>
      <c r="I2610" s="42" t="s">
        <v>70</v>
      </c>
      <c r="J2610" s="56" t="s">
        <v>289</v>
      </c>
      <c r="K2610" s="40" t="s">
        <v>16</v>
      </c>
      <c r="L2610" s="26">
        <v>6400</v>
      </c>
      <c r="M2610" s="26">
        <v>87</v>
      </c>
      <c r="N2610" s="25">
        <f t="shared" si="81"/>
        <v>556800</v>
      </c>
      <c r="O2610" s="56">
        <v>160</v>
      </c>
    </row>
    <row r="2611" spans="1:15" hidden="1" x14ac:dyDescent="0.3">
      <c r="A2611" s="26">
        <v>31</v>
      </c>
      <c r="B2611" s="20" t="str">
        <f t="shared" si="80"/>
        <v>AUG</v>
      </c>
      <c r="C2611" s="21">
        <v>46235</v>
      </c>
      <c r="D2611" s="22" t="str">
        <f t="array" ref="D2611">IFERROR(INDEX('Kode Outlet dan Target Toko'!$A:$A,MATCH($I2611,'Kode Outlet dan Target Toko'!$E:$E,0)),"")</f>
        <v>GRSM 1</v>
      </c>
      <c r="E2611" s="20" t="str">
        <f>IFERROR(VLOOKUP(I2611,KET!$B:$F,4,0),"")</f>
        <v>AFNITA SARI</v>
      </c>
      <c r="F2611" s="20" t="str">
        <f>IFERROR(VLOOKUP(I2611,KET!$B:$F,5,0),"")</f>
        <v>MT</v>
      </c>
      <c r="G2611" s="20">
        <f>IFERROR(INDEX('Kode Outlet dan Target Toko'!$C:$C,MATCH($I2611,'Kode Outlet dan Target Toko'!$E:$E,0)),0)</f>
        <v>122506</v>
      </c>
      <c r="H2611" s="20">
        <f>IFERROR(INDEX('Kode Outlet dan Target Toko'!$D:$D,MATCH($I2611,'Kode Outlet dan Target Toko'!$E:$E,0)),0)</f>
        <v>202879</v>
      </c>
      <c r="I2611" s="42" t="s">
        <v>70</v>
      </c>
      <c r="J2611" s="56" t="s">
        <v>290</v>
      </c>
      <c r="K2611" s="40" t="s">
        <v>15</v>
      </c>
      <c r="L2611" s="26">
        <v>6400</v>
      </c>
      <c r="M2611" s="26">
        <v>37</v>
      </c>
      <c r="N2611" s="25">
        <f t="shared" si="81"/>
        <v>236800</v>
      </c>
      <c r="O2611" s="56"/>
    </row>
    <row r="2612" spans="1:15" hidden="1" x14ac:dyDescent="0.3">
      <c r="A2612" s="26">
        <v>31</v>
      </c>
      <c r="B2612" s="20" t="str">
        <f t="shared" si="80"/>
        <v>AUG</v>
      </c>
      <c r="C2612" s="21">
        <v>46235</v>
      </c>
      <c r="D2612" s="22" t="str">
        <f t="array" ref="D2612">IFERROR(INDEX('Kode Outlet dan Target Toko'!$A:$A,MATCH($I2612,'Kode Outlet dan Target Toko'!$E:$E,0)),"")</f>
        <v>GRSM 1</v>
      </c>
      <c r="E2612" s="20" t="str">
        <f>IFERROR(VLOOKUP(I2612,KET!$B:$F,4,0),"")</f>
        <v>AFNITA SARI</v>
      </c>
      <c r="F2612" s="20" t="str">
        <f>IFERROR(VLOOKUP(I2612,KET!$B:$F,5,0),"")</f>
        <v>MT</v>
      </c>
      <c r="G2612" s="20">
        <f>IFERROR(INDEX('Kode Outlet dan Target Toko'!$C:$C,MATCH($I2612,'Kode Outlet dan Target Toko'!$E:$E,0)),0)</f>
        <v>122506</v>
      </c>
      <c r="H2612" s="20">
        <f>IFERROR(INDEX('Kode Outlet dan Target Toko'!$D:$D,MATCH($I2612,'Kode Outlet dan Target Toko'!$E:$E,0)),0)</f>
        <v>202879</v>
      </c>
      <c r="I2612" s="42" t="s">
        <v>70</v>
      </c>
      <c r="J2612" s="56" t="s">
        <v>290</v>
      </c>
      <c r="K2612" s="40" t="s">
        <v>14</v>
      </c>
      <c r="L2612" s="26">
        <v>6400</v>
      </c>
      <c r="M2612" s="26">
        <v>40</v>
      </c>
      <c r="N2612" s="25">
        <f t="shared" si="81"/>
        <v>256000</v>
      </c>
      <c r="O2612" s="56"/>
    </row>
    <row r="2613" spans="1:15" hidden="1" x14ac:dyDescent="0.3">
      <c r="A2613" s="26">
        <v>31</v>
      </c>
      <c r="B2613" s="20" t="str">
        <f t="shared" si="80"/>
        <v>AUG</v>
      </c>
      <c r="C2613" s="21">
        <v>46235</v>
      </c>
      <c r="D2613" s="22" t="str">
        <f t="array" ref="D2613">IFERROR(INDEX('Kode Outlet dan Target Toko'!$A:$A,MATCH($I2613,'Kode Outlet dan Target Toko'!$E:$E,0)),"")</f>
        <v>GRSM 1</v>
      </c>
      <c r="E2613" s="20" t="str">
        <f>IFERROR(VLOOKUP(I2613,KET!$B:$F,4,0),"")</f>
        <v>AFNITA SARI</v>
      </c>
      <c r="F2613" s="20" t="str">
        <f>IFERROR(VLOOKUP(I2613,KET!$B:$F,5,0),"")</f>
        <v>MT</v>
      </c>
      <c r="G2613" s="20">
        <f>IFERROR(INDEX('Kode Outlet dan Target Toko'!$C:$C,MATCH($I2613,'Kode Outlet dan Target Toko'!$E:$E,0)),0)</f>
        <v>122506</v>
      </c>
      <c r="H2613" s="20">
        <f>IFERROR(INDEX('Kode Outlet dan Target Toko'!$D:$D,MATCH($I2613,'Kode Outlet dan Target Toko'!$E:$E,0)),0)</f>
        <v>202879</v>
      </c>
      <c r="I2613" s="42" t="s">
        <v>70</v>
      </c>
      <c r="J2613" s="56" t="s">
        <v>290</v>
      </c>
      <c r="K2613" s="40" t="s">
        <v>13</v>
      </c>
      <c r="L2613" s="26">
        <v>6400</v>
      </c>
      <c r="M2613" s="26">
        <v>51</v>
      </c>
      <c r="N2613" s="25">
        <f t="shared" si="81"/>
        <v>326400</v>
      </c>
      <c r="O2613" s="56"/>
    </row>
    <row r="2614" spans="1:15" hidden="1" x14ac:dyDescent="0.3">
      <c r="A2614" s="26">
        <v>31</v>
      </c>
      <c r="B2614" s="20" t="str">
        <f t="shared" si="80"/>
        <v>AUG</v>
      </c>
      <c r="C2614" s="21">
        <v>46235</v>
      </c>
      <c r="D2614" s="22" t="str">
        <f t="array" ref="D2614">IFERROR(INDEX('Kode Outlet dan Target Toko'!$A:$A,MATCH($I2614,'Kode Outlet dan Target Toko'!$E:$E,0)),"")</f>
        <v>GRSM 1</v>
      </c>
      <c r="E2614" s="20" t="str">
        <f>IFERROR(VLOOKUP(I2614,KET!$B:$F,4,0),"")</f>
        <v>AFNITA SARI</v>
      </c>
      <c r="F2614" s="20" t="str">
        <f>IFERROR(VLOOKUP(I2614,KET!$B:$F,5,0),"")</f>
        <v>MT</v>
      </c>
      <c r="G2614" s="20">
        <f>IFERROR(INDEX('Kode Outlet dan Target Toko'!$C:$C,MATCH($I2614,'Kode Outlet dan Target Toko'!$E:$E,0)),0)</f>
        <v>122506</v>
      </c>
      <c r="H2614" s="20">
        <f>IFERROR(INDEX('Kode Outlet dan Target Toko'!$D:$D,MATCH($I2614,'Kode Outlet dan Target Toko'!$E:$E,0)),0)</f>
        <v>202879</v>
      </c>
      <c r="I2614" s="42" t="s">
        <v>70</v>
      </c>
      <c r="J2614" s="56" t="s">
        <v>290</v>
      </c>
      <c r="K2614" s="40" t="s">
        <v>16</v>
      </c>
      <c r="L2614" s="26">
        <v>6400</v>
      </c>
      <c r="M2614" s="26">
        <v>87</v>
      </c>
      <c r="N2614" s="25">
        <f t="shared" si="81"/>
        <v>556800</v>
      </c>
      <c r="O2614" s="56">
        <v>160</v>
      </c>
    </row>
    <row r="2615" spans="1:15" hidden="1" x14ac:dyDescent="0.3">
      <c r="A2615" s="26">
        <v>31</v>
      </c>
      <c r="B2615" s="20" t="str">
        <f t="shared" si="80"/>
        <v>AUG</v>
      </c>
      <c r="C2615" s="21">
        <v>46235</v>
      </c>
      <c r="D2615" s="22" t="str">
        <f t="array" ref="D2615">IFERROR(INDEX('Kode Outlet dan Target Toko'!$A:$A,MATCH($I2615,'Kode Outlet dan Target Toko'!$E:$E,0)),"")</f>
        <v>GRSM 2</v>
      </c>
      <c r="E2615" s="20" t="str">
        <f>IFERROR(VLOOKUP(I2615,KET!$B:$F,4,0),"")</f>
        <v>AFNITA SARI</v>
      </c>
      <c r="F2615" s="20" t="str">
        <f>IFERROR(VLOOKUP(I2615,KET!$B:$F,5,0),"")</f>
        <v>MT</v>
      </c>
      <c r="G2615" s="20">
        <f>IFERROR(INDEX('Kode Outlet dan Target Toko'!$C:$C,MATCH($I2615,'Kode Outlet dan Target Toko'!$E:$E,0)),0)</f>
        <v>175700</v>
      </c>
      <c r="H2615" s="20">
        <f>IFERROR(INDEX('Kode Outlet dan Target Toko'!$D:$D,MATCH($I2615,'Kode Outlet dan Target Toko'!$E:$E,0)),0)</f>
        <v>1370001</v>
      </c>
      <c r="I2615" s="42" t="s">
        <v>74</v>
      </c>
      <c r="J2615" s="56" t="s">
        <v>297</v>
      </c>
      <c r="K2615" s="40" t="s">
        <v>15</v>
      </c>
      <c r="L2615" s="26">
        <v>2210</v>
      </c>
      <c r="M2615" s="26">
        <v>120</v>
      </c>
      <c r="N2615" s="25">
        <f t="shared" si="81"/>
        <v>265200</v>
      </c>
      <c r="O2615" s="56"/>
    </row>
    <row r="2616" spans="1:15" hidden="1" x14ac:dyDescent="0.3">
      <c r="A2616" s="26">
        <v>31</v>
      </c>
      <c r="B2616" s="20" t="str">
        <f t="shared" si="80"/>
        <v>AUG</v>
      </c>
      <c r="C2616" s="21">
        <v>46235</v>
      </c>
      <c r="D2616" s="22" t="str">
        <f t="array" ref="D2616">IFERROR(INDEX('Kode Outlet dan Target Toko'!$A:$A,MATCH($I2616,'Kode Outlet dan Target Toko'!$E:$E,0)),"")</f>
        <v>GRSM 2</v>
      </c>
      <c r="E2616" s="20" t="str">
        <f>IFERROR(VLOOKUP(I2616,KET!$B:$F,4,0),"")</f>
        <v>AFNITA SARI</v>
      </c>
      <c r="F2616" s="20" t="str">
        <f>IFERROR(VLOOKUP(I2616,KET!$B:$F,5,0),"")</f>
        <v>MT</v>
      </c>
      <c r="G2616" s="20">
        <f>IFERROR(INDEX('Kode Outlet dan Target Toko'!$C:$C,MATCH($I2616,'Kode Outlet dan Target Toko'!$E:$E,0)),0)</f>
        <v>175700</v>
      </c>
      <c r="H2616" s="20">
        <f>IFERROR(INDEX('Kode Outlet dan Target Toko'!$D:$D,MATCH($I2616,'Kode Outlet dan Target Toko'!$E:$E,0)),0)</f>
        <v>1370001</v>
      </c>
      <c r="I2616" s="42" t="s">
        <v>74</v>
      </c>
      <c r="J2616" s="56" t="s">
        <v>297</v>
      </c>
      <c r="K2616" s="40" t="s">
        <v>14</v>
      </c>
      <c r="L2616" s="26">
        <v>2210</v>
      </c>
      <c r="M2616" s="26">
        <v>120</v>
      </c>
      <c r="N2616" s="25">
        <f t="shared" si="81"/>
        <v>265200</v>
      </c>
      <c r="O2616" s="56"/>
    </row>
    <row r="2617" spans="1:15" hidden="1" x14ac:dyDescent="0.3">
      <c r="A2617" s="26">
        <v>31</v>
      </c>
      <c r="B2617" s="20" t="str">
        <f t="shared" si="80"/>
        <v>AUG</v>
      </c>
      <c r="C2617" s="21">
        <v>46235</v>
      </c>
      <c r="D2617" s="22" t="str">
        <f t="array" ref="D2617">IFERROR(INDEX('Kode Outlet dan Target Toko'!$A:$A,MATCH($I2617,'Kode Outlet dan Target Toko'!$E:$E,0)),"")</f>
        <v>GRSM 2</v>
      </c>
      <c r="E2617" s="20" t="str">
        <f>IFERROR(VLOOKUP(I2617,KET!$B:$F,4,0),"")</f>
        <v>AFNITA SARI</v>
      </c>
      <c r="F2617" s="20" t="str">
        <f>IFERROR(VLOOKUP(I2617,KET!$B:$F,5,0),"")</f>
        <v>MT</v>
      </c>
      <c r="G2617" s="20">
        <f>IFERROR(INDEX('Kode Outlet dan Target Toko'!$C:$C,MATCH($I2617,'Kode Outlet dan Target Toko'!$E:$E,0)),0)</f>
        <v>175700</v>
      </c>
      <c r="H2617" s="20">
        <f>IFERROR(INDEX('Kode Outlet dan Target Toko'!$D:$D,MATCH($I2617,'Kode Outlet dan Target Toko'!$E:$E,0)),0)</f>
        <v>1370001</v>
      </c>
      <c r="I2617" s="42" t="s">
        <v>74</v>
      </c>
      <c r="J2617" s="56" t="s">
        <v>297</v>
      </c>
      <c r="K2617" s="40" t="s">
        <v>13</v>
      </c>
      <c r="L2617" s="26">
        <v>2210</v>
      </c>
      <c r="M2617" s="26">
        <v>80</v>
      </c>
      <c r="N2617" s="25">
        <f t="shared" si="81"/>
        <v>176800</v>
      </c>
      <c r="O2617" s="56"/>
    </row>
    <row r="2618" spans="1:15" hidden="1" x14ac:dyDescent="0.3">
      <c r="A2618" s="26">
        <v>31</v>
      </c>
      <c r="B2618" s="20" t="str">
        <f t="shared" si="80"/>
        <v>AUG</v>
      </c>
      <c r="C2618" s="21">
        <v>46235</v>
      </c>
      <c r="D2618" s="22" t="str">
        <f t="array" ref="D2618">IFERROR(INDEX('Kode Outlet dan Target Toko'!$A:$A,MATCH($I2618,'Kode Outlet dan Target Toko'!$E:$E,0)),"")</f>
        <v>GRSM 2</v>
      </c>
      <c r="E2618" s="20" t="str">
        <f>IFERROR(VLOOKUP(I2618,KET!$B:$F,4,0),"")</f>
        <v>AFNITA SARI</v>
      </c>
      <c r="F2618" s="20" t="str">
        <f>IFERROR(VLOOKUP(I2618,KET!$B:$F,5,0),"")</f>
        <v>MT</v>
      </c>
      <c r="G2618" s="20">
        <f>IFERROR(INDEX('Kode Outlet dan Target Toko'!$C:$C,MATCH($I2618,'Kode Outlet dan Target Toko'!$E:$E,0)),0)</f>
        <v>175700</v>
      </c>
      <c r="H2618" s="20">
        <f>IFERROR(INDEX('Kode Outlet dan Target Toko'!$D:$D,MATCH($I2618,'Kode Outlet dan Target Toko'!$E:$E,0)),0)</f>
        <v>1370001</v>
      </c>
      <c r="I2618" s="42" t="s">
        <v>74</v>
      </c>
      <c r="J2618" s="56" t="s">
        <v>297</v>
      </c>
      <c r="K2618" s="40" t="s">
        <v>16</v>
      </c>
      <c r="L2618" s="26">
        <v>2210</v>
      </c>
      <c r="M2618" s="26">
        <v>180</v>
      </c>
      <c r="N2618" s="25">
        <f t="shared" si="81"/>
        <v>397800</v>
      </c>
      <c r="O2618" s="56">
        <v>96</v>
      </c>
    </row>
    <row r="2619" spans="1:15" hidden="1" x14ac:dyDescent="0.3">
      <c r="A2619" s="26">
        <v>31</v>
      </c>
      <c r="B2619" s="20" t="str">
        <f t="shared" si="80"/>
        <v>AUG</v>
      </c>
      <c r="C2619" s="21">
        <v>46235</v>
      </c>
      <c r="D2619" s="22" t="str">
        <f t="array" ref="D2619">IFERROR(INDEX('Kode Outlet dan Target Toko'!$A:$A,MATCH($I2619,'Kode Outlet dan Target Toko'!$E:$E,0)),"")</f>
        <v>GRSM 2</v>
      </c>
      <c r="E2619" s="20" t="str">
        <f>IFERROR(VLOOKUP(I2619,KET!$B:$F,4,0),"")</f>
        <v>AFNITA SARI</v>
      </c>
      <c r="F2619" s="20" t="str">
        <f>IFERROR(VLOOKUP(I2619,KET!$B:$F,5,0),"")</f>
        <v>MT</v>
      </c>
      <c r="G2619" s="20">
        <f>IFERROR(INDEX('Kode Outlet dan Target Toko'!$C:$C,MATCH($I2619,'Kode Outlet dan Target Toko'!$E:$E,0)),0)</f>
        <v>175700</v>
      </c>
      <c r="H2619" s="20">
        <f>IFERROR(INDEX('Kode Outlet dan Target Toko'!$D:$D,MATCH($I2619,'Kode Outlet dan Target Toko'!$E:$E,0)),0)</f>
        <v>1370001</v>
      </c>
      <c r="I2619" s="42" t="s">
        <v>74</v>
      </c>
      <c r="J2619" s="56" t="s">
        <v>298</v>
      </c>
      <c r="K2619" s="40" t="s">
        <v>15</v>
      </c>
      <c r="L2619" s="26">
        <v>2210</v>
      </c>
      <c r="M2619" s="26">
        <v>120</v>
      </c>
      <c r="N2619" s="25">
        <f t="shared" si="81"/>
        <v>265200</v>
      </c>
      <c r="O2619" s="56"/>
    </row>
    <row r="2620" spans="1:15" hidden="1" x14ac:dyDescent="0.3">
      <c r="A2620" s="26">
        <v>31</v>
      </c>
      <c r="B2620" s="20" t="str">
        <f t="shared" si="80"/>
        <v>AUG</v>
      </c>
      <c r="C2620" s="21">
        <v>46235</v>
      </c>
      <c r="D2620" s="22" t="str">
        <f t="array" ref="D2620">IFERROR(INDEX('Kode Outlet dan Target Toko'!$A:$A,MATCH($I2620,'Kode Outlet dan Target Toko'!$E:$E,0)),"")</f>
        <v>GRSM 2</v>
      </c>
      <c r="E2620" s="20" t="str">
        <f>IFERROR(VLOOKUP(I2620,KET!$B:$F,4,0),"")</f>
        <v>AFNITA SARI</v>
      </c>
      <c r="F2620" s="20" t="str">
        <f>IFERROR(VLOOKUP(I2620,KET!$B:$F,5,0),"")</f>
        <v>MT</v>
      </c>
      <c r="G2620" s="20">
        <f>IFERROR(INDEX('Kode Outlet dan Target Toko'!$C:$C,MATCH($I2620,'Kode Outlet dan Target Toko'!$E:$E,0)),0)</f>
        <v>175700</v>
      </c>
      <c r="H2620" s="20">
        <f>IFERROR(INDEX('Kode Outlet dan Target Toko'!$D:$D,MATCH($I2620,'Kode Outlet dan Target Toko'!$E:$E,0)),0)</f>
        <v>1370001</v>
      </c>
      <c r="I2620" s="42" t="s">
        <v>74</v>
      </c>
      <c r="J2620" s="56" t="s">
        <v>298</v>
      </c>
      <c r="K2620" s="40" t="s">
        <v>14</v>
      </c>
      <c r="L2620" s="26">
        <v>2210</v>
      </c>
      <c r="M2620" s="26">
        <v>120</v>
      </c>
      <c r="N2620" s="25">
        <f t="shared" si="81"/>
        <v>265200</v>
      </c>
      <c r="O2620" s="56"/>
    </row>
    <row r="2621" spans="1:15" hidden="1" x14ac:dyDescent="0.3">
      <c r="A2621" s="26">
        <v>31</v>
      </c>
      <c r="B2621" s="20" t="str">
        <f t="shared" si="80"/>
        <v>AUG</v>
      </c>
      <c r="C2621" s="21">
        <v>46235</v>
      </c>
      <c r="D2621" s="22" t="str">
        <f t="array" ref="D2621">IFERROR(INDEX('Kode Outlet dan Target Toko'!$A:$A,MATCH($I2621,'Kode Outlet dan Target Toko'!$E:$E,0)),"")</f>
        <v>GRSM 2</v>
      </c>
      <c r="E2621" s="20" t="str">
        <f>IFERROR(VLOOKUP(I2621,KET!$B:$F,4,0),"")</f>
        <v>AFNITA SARI</v>
      </c>
      <c r="F2621" s="20" t="str">
        <f>IFERROR(VLOOKUP(I2621,KET!$B:$F,5,0),"")</f>
        <v>MT</v>
      </c>
      <c r="G2621" s="20">
        <f>IFERROR(INDEX('Kode Outlet dan Target Toko'!$C:$C,MATCH($I2621,'Kode Outlet dan Target Toko'!$E:$E,0)),0)</f>
        <v>175700</v>
      </c>
      <c r="H2621" s="20">
        <f>IFERROR(INDEX('Kode Outlet dan Target Toko'!$D:$D,MATCH($I2621,'Kode Outlet dan Target Toko'!$E:$E,0)),0)</f>
        <v>1370001</v>
      </c>
      <c r="I2621" s="42" t="s">
        <v>74</v>
      </c>
      <c r="J2621" s="56" t="s">
        <v>298</v>
      </c>
      <c r="K2621" s="40" t="s">
        <v>13</v>
      </c>
      <c r="L2621" s="26">
        <v>2210</v>
      </c>
      <c r="M2621" s="26">
        <v>80</v>
      </c>
      <c r="N2621" s="25">
        <f t="shared" si="81"/>
        <v>176800</v>
      </c>
      <c r="O2621" s="56"/>
    </row>
    <row r="2622" spans="1:15" hidden="1" x14ac:dyDescent="0.3">
      <c r="A2622" s="26">
        <v>31</v>
      </c>
      <c r="B2622" s="20" t="str">
        <f t="shared" si="80"/>
        <v>AUG</v>
      </c>
      <c r="C2622" s="21">
        <v>46235</v>
      </c>
      <c r="D2622" s="22" t="str">
        <f t="array" ref="D2622">IFERROR(INDEX('Kode Outlet dan Target Toko'!$A:$A,MATCH($I2622,'Kode Outlet dan Target Toko'!$E:$E,0)),"")</f>
        <v>GRSM 2</v>
      </c>
      <c r="E2622" s="20" t="str">
        <f>IFERROR(VLOOKUP(I2622,KET!$B:$F,4,0),"")</f>
        <v>AFNITA SARI</v>
      </c>
      <c r="F2622" s="20" t="str">
        <f>IFERROR(VLOOKUP(I2622,KET!$B:$F,5,0),"")</f>
        <v>MT</v>
      </c>
      <c r="G2622" s="20">
        <f>IFERROR(INDEX('Kode Outlet dan Target Toko'!$C:$C,MATCH($I2622,'Kode Outlet dan Target Toko'!$E:$E,0)),0)</f>
        <v>175700</v>
      </c>
      <c r="H2622" s="20">
        <f>IFERROR(INDEX('Kode Outlet dan Target Toko'!$D:$D,MATCH($I2622,'Kode Outlet dan Target Toko'!$E:$E,0)),0)</f>
        <v>1370001</v>
      </c>
      <c r="I2622" s="42" t="s">
        <v>74</v>
      </c>
      <c r="J2622" s="56" t="s">
        <v>298</v>
      </c>
      <c r="K2622" s="40" t="s">
        <v>16</v>
      </c>
      <c r="L2622" s="26">
        <v>2210</v>
      </c>
      <c r="M2622" s="26">
        <v>180</v>
      </c>
      <c r="N2622" s="25">
        <f t="shared" si="81"/>
        <v>397800</v>
      </c>
      <c r="O2622" s="56">
        <v>96</v>
      </c>
    </row>
    <row r="2623" spans="1:15" hidden="1" x14ac:dyDescent="0.3">
      <c r="A2623" s="26">
        <v>31</v>
      </c>
      <c r="B2623" s="20" t="str">
        <f t="shared" si="80"/>
        <v>AUG</v>
      </c>
      <c r="C2623" s="21">
        <v>46235</v>
      </c>
      <c r="D2623" s="22" t="str">
        <f t="array" ref="D2623">IFERROR(INDEX('Kode Outlet dan Target Toko'!$A:$A,MATCH($I2623,'Kode Outlet dan Target Toko'!$E:$E,0)),"")</f>
        <v>GRSM 1</v>
      </c>
      <c r="E2623" s="20" t="str">
        <f>IFERROR(VLOOKUP(I2623,KET!$B:$F,4,0),"")</f>
        <v>AFNITA SARI</v>
      </c>
      <c r="F2623" s="20" t="str">
        <f>IFERROR(VLOOKUP(I2623,KET!$B:$F,5,0),"")</f>
        <v>MT</v>
      </c>
      <c r="G2623" s="20">
        <f>IFERROR(INDEX('Kode Outlet dan Target Toko'!$C:$C,MATCH($I2623,'Kode Outlet dan Target Toko'!$E:$E,0)),0)</f>
        <v>122506</v>
      </c>
      <c r="H2623" s="20">
        <f>IFERROR(INDEX('Kode Outlet dan Target Toko'!$D:$D,MATCH($I2623,'Kode Outlet dan Target Toko'!$E:$E,0)),0)</f>
        <v>202816</v>
      </c>
      <c r="I2623" s="42" t="s">
        <v>71</v>
      </c>
      <c r="J2623" s="56" t="s">
        <v>295</v>
      </c>
      <c r="K2623" s="40" t="s">
        <v>15</v>
      </c>
      <c r="L2623" s="26">
        <v>7000</v>
      </c>
      <c r="M2623" s="26">
        <v>31</v>
      </c>
      <c r="N2623" s="25">
        <f t="shared" si="81"/>
        <v>217000</v>
      </c>
      <c r="O2623" s="56"/>
    </row>
    <row r="2624" spans="1:15" hidden="1" x14ac:dyDescent="0.3">
      <c r="A2624" s="26">
        <v>31</v>
      </c>
      <c r="B2624" s="20" t="str">
        <f t="shared" si="80"/>
        <v>AUG</v>
      </c>
      <c r="C2624" s="21">
        <v>46235</v>
      </c>
      <c r="D2624" s="22" t="str">
        <f t="array" ref="D2624">IFERROR(INDEX('Kode Outlet dan Target Toko'!$A:$A,MATCH($I2624,'Kode Outlet dan Target Toko'!$E:$E,0)),"")</f>
        <v>GRSM 1</v>
      </c>
      <c r="E2624" s="20" t="str">
        <f>IFERROR(VLOOKUP(I2624,KET!$B:$F,4,0),"")</f>
        <v>AFNITA SARI</v>
      </c>
      <c r="F2624" s="20" t="str">
        <f>IFERROR(VLOOKUP(I2624,KET!$B:$F,5,0),"")</f>
        <v>MT</v>
      </c>
      <c r="G2624" s="20">
        <f>IFERROR(INDEX('Kode Outlet dan Target Toko'!$C:$C,MATCH($I2624,'Kode Outlet dan Target Toko'!$E:$E,0)),0)</f>
        <v>122506</v>
      </c>
      <c r="H2624" s="20">
        <f>IFERROR(INDEX('Kode Outlet dan Target Toko'!$D:$D,MATCH($I2624,'Kode Outlet dan Target Toko'!$E:$E,0)),0)</f>
        <v>202816</v>
      </c>
      <c r="I2624" s="42" t="s">
        <v>71</v>
      </c>
      <c r="J2624" s="56" t="s">
        <v>295</v>
      </c>
      <c r="K2624" s="40" t="s">
        <v>14</v>
      </c>
      <c r="L2624" s="26">
        <v>7000</v>
      </c>
      <c r="M2624" s="26">
        <v>42</v>
      </c>
      <c r="N2624" s="25">
        <f t="shared" si="81"/>
        <v>294000</v>
      </c>
      <c r="O2624" s="56"/>
    </row>
    <row r="2625" spans="1:15" hidden="1" x14ac:dyDescent="0.3">
      <c r="A2625" s="26">
        <v>31</v>
      </c>
      <c r="B2625" s="20" t="str">
        <f t="shared" si="80"/>
        <v>AUG</v>
      </c>
      <c r="C2625" s="21">
        <v>46235</v>
      </c>
      <c r="D2625" s="22" t="str">
        <f t="array" ref="D2625">IFERROR(INDEX('Kode Outlet dan Target Toko'!$A:$A,MATCH($I2625,'Kode Outlet dan Target Toko'!$E:$E,0)),"")</f>
        <v>GRSM 1</v>
      </c>
      <c r="E2625" s="20" t="str">
        <f>IFERROR(VLOOKUP(I2625,KET!$B:$F,4,0),"")</f>
        <v>AFNITA SARI</v>
      </c>
      <c r="F2625" s="20" t="str">
        <f>IFERROR(VLOOKUP(I2625,KET!$B:$F,5,0),"")</f>
        <v>MT</v>
      </c>
      <c r="G2625" s="20">
        <f>IFERROR(INDEX('Kode Outlet dan Target Toko'!$C:$C,MATCH($I2625,'Kode Outlet dan Target Toko'!$E:$E,0)),0)</f>
        <v>122506</v>
      </c>
      <c r="H2625" s="20">
        <f>IFERROR(INDEX('Kode Outlet dan Target Toko'!$D:$D,MATCH($I2625,'Kode Outlet dan Target Toko'!$E:$E,0)),0)</f>
        <v>202816</v>
      </c>
      <c r="I2625" s="42" t="s">
        <v>71</v>
      </c>
      <c r="J2625" s="56" t="s">
        <v>295</v>
      </c>
      <c r="K2625" s="40" t="s">
        <v>13</v>
      </c>
      <c r="L2625" s="26">
        <v>7000</v>
      </c>
      <c r="M2625" s="26">
        <v>11</v>
      </c>
      <c r="N2625" s="25">
        <f t="shared" si="81"/>
        <v>77000</v>
      </c>
      <c r="O2625" s="56"/>
    </row>
    <row r="2626" spans="1:15" hidden="1" x14ac:dyDescent="0.3">
      <c r="A2626" s="26">
        <v>31</v>
      </c>
      <c r="B2626" s="20" t="str">
        <f t="shared" si="80"/>
        <v>AUG</v>
      </c>
      <c r="C2626" s="21">
        <v>46235</v>
      </c>
      <c r="D2626" s="22" t="str">
        <f t="array" ref="D2626">IFERROR(INDEX('Kode Outlet dan Target Toko'!$A:$A,MATCH($I2626,'Kode Outlet dan Target Toko'!$E:$E,0)),"")</f>
        <v>GRSM 1</v>
      </c>
      <c r="E2626" s="20" t="str">
        <f>IFERROR(VLOOKUP(I2626,KET!$B:$F,4,0),"")</f>
        <v>AFNITA SARI</v>
      </c>
      <c r="F2626" s="20" t="str">
        <f>IFERROR(VLOOKUP(I2626,KET!$B:$F,5,0),"")</f>
        <v>MT</v>
      </c>
      <c r="G2626" s="20">
        <f>IFERROR(INDEX('Kode Outlet dan Target Toko'!$C:$C,MATCH($I2626,'Kode Outlet dan Target Toko'!$E:$E,0)),0)</f>
        <v>122506</v>
      </c>
      <c r="H2626" s="20">
        <f>IFERROR(INDEX('Kode Outlet dan Target Toko'!$D:$D,MATCH($I2626,'Kode Outlet dan Target Toko'!$E:$E,0)),0)</f>
        <v>202816</v>
      </c>
      <c r="I2626" s="42" t="s">
        <v>71</v>
      </c>
      <c r="J2626" s="56" t="s">
        <v>295</v>
      </c>
      <c r="K2626" s="40" t="s">
        <v>16</v>
      </c>
      <c r="L2626" s="26">
        <v>7000</v>
      </c>
      <c r="M2626" s="26">
        <v>49</v>
      </c>
      <c r="N2626" s="25">
        <f t="shared" si="81"/>
        <v>343000</v>
      </c>
      <c r="O2626" s="56">
        <v>160</v>
      </c>
    </row>
    <row r="2627" spans="1:15" hidden="1" x14ac:dyDescent="0.3">
      <c r="A2627" s="26">
        <v>31</v>
      </c>
      <c r="B2627" s="20" t="str">
        <f t="shared" si="80"/>
        <v>AUG</v>
      </c>
      <c r="C2627" s="21">
        <v>46235</v>
      </c>
      <c r="D2627" s="22" t="str">
        <f t="array" ref="D2627">IFERROR(INDEX('Kode Outlet dan Target Toko'!$A:$A,MATCH($I2627,'Kode Outlet dan Target Toko'!$E:$E,0)),"")</f>
        <v>GRSM 1</v>
      </c>
      <c r="E2627" s="20" t="str">
        <f>IFERROR(VLOOKUP(I2627,KET!$B:$F,4,0),"")</f>
        <v>AFNITA SARI</v>
      </c>
      <c r="F2627" s="20" t="str">
        <f>IFERROR(VLOOKUP(I2627,KET!$B:$F,5,0),"")</f>
        <v>MT</v>
      </c>
      <c r="G2627" s="20">
        <f>IFERROR(INDEX('Kode Outlet dan Target Toko'!$C:$C,MATCH($I2627,'Kode Outlet dan Target Toko'!$E:$E,0)),0)</f>
        <v>122506</v>
      </c>
      <c r="H2627" s="20">
        <f>IFERROR(INDEX('Kode Outlet dan Target Toko'!$D:$D,MATCH($I2627,'Kode Outlet dan Target Toko'!$E:$E,0)),0)</f>
        <v>202816</v>
      </c>
      <c r="I2627" s="42" t="s">
        <v>71</v>
      </c>
      <c r="J2627" s="56" t="s">
        <v>296</v>
      </c>
      <c r="K2627" s="40" t="s">
        <v>15</v>
      </c>
      <c r="L2627" s="26">
        <v>7000</v>
      </c>
      <c r="M2627" s="26">
        <v>31</v>
      </c>
      <c r="N2627" s="25">
        <f t="shared" si="81"/>
        <v>217000</v>
      </c>
      <c r="O2627" s="56"/>
    </row>
    <row r="2628" spans="1:15" hidden="1" x14ac:dyDescent="0.3">
      <c r="A2628" s="26">
        <v>31</v>
      </c>
      <c r="B2628" s="20" t="str">
        <f t="shared" si="80"/>
        <v>AUG</v>
      </c>
      <c r="C2628" s="21">
        <v>46235</v>
      </c>
      <c r="D2628" s="22" t="str">
        <f t="array" ref="D2628">IFERROR(INDEX('Kode Outlet dan Target Toko'!$A:$A,MATCH($I2628,'Kode Outlet dan Target Toko'!$E:$E,0)),"")</f>
        <v>GRSM 1</v>
      </c>
      <c r="E2628" s="20" t="str">
        <f>IFERROR(VLOOKUP(I2628,KET!$B:$F,4,0),"")</f>
        <v>AFNITA SARI</v>
      </c>
      <c r="F2628" s="20" t="str">
        <f>IFERROR(VLOOKUP(I2628,KET!$B:$F,5,0),"")</f>
        <v>MT</v>
      </c>
      <c r="G2628" s="20">
        <f>IFERROR(INDEX('Kode Outlet dan Target Toko'!$C:$C,MATCH($I2628,'Kode Outlet dan Target Toko'!$E:$E,0)),0)</f>
        <v>122506</v>
      </c>
      <c r="H2628" s="20">
        <f>IFERROR(INDEX('Kode Outlet dan Target Toko'!$D:$D,MATCH($I2628,'Kode Outlet dan Target Toko'!$E:$E,0)),0)</f>
        <v>202816</v>
      </c>
      <c r="I2628" s="42" t="s">
        <v>71</v>
      </c>
      <c r="J2628" s="56" t="s">
        <v>296</v>
      </c>
      <c r="K2628" s="40" t="s">
        <v>14</v>
      </c>
      <c r="L2628" s="26">
        <v>7000</v>
      </c>
      <c r="M2628" s="26">
        <v>42</v>
      </c>
      <c r="N2628" s="25">
        <f t="shared" si="81"/>
        <v>294000</v>
      </c>
      <c r="O2628" s="56"/>
    </row>
    <row r="2629" spans="1:15" hidden="1" x14ac:dyDescent="0.3">
      <c r="A2629" s="26">
        <v>31</v>
      </c>
      <c r="B2629" s="20" t="str">
        <f t="shared" si="80"/>
        <v>AUG</v>
      </c>
      <c r="C2629" s="21">
        <v>46235</v>
      </c>
      <c r="D2629" s="22" t="str">
        <f t="array" ref="D2629">IFERROR(INDEX('Kode Outlet dan Target Toko'!$A:$A,MATCH($I2629,'Kode Outlet dan Target Toko'!$E:$E,0)),"")</f>
        <v>GRSM 1</v>
      </c>
      <c r="E2629" s="20" t="str">
        <f>IFERROR(VLOOKUP(I2629,KET!$B:$F,4,0),"")</f>
        <v>AFNITA SARI</v>
      </c>
      <c r="F2629" s="20" t="str">
        <f>IFERROR(VLOOKUP(I2629,KET!$B:$F,5,0),"")</f>
        <v>MT</v>
      </c>
      <c r="G2629" s="20">
        <f>IFERROR(INDEX('Kode Outlet dan Target Toko'!$C:$C,MATCH($I2629,'Kode Outlet dan Target Toko'!$E:$E,0)),0)</f>
        <v>122506</v>
      </c>
      <c r="H2629" s="20">
        <f>IFERROR(INDEX('Kode Outlet dan Target Toko'!$D:$D,MATCH($I2629,'Kode Outlet dan Target Toko'!$E:$E,0)),0)</f>
        <v>202816</v>
      </c>
      <c r="I2629" s="42" t="s">
        <v>71</v>
      </c>
      <c r="J2629" s="56" t="s">
        <v>296</v>
      </c>
      <c r="K2629" s="40" t="s">
        <v>13</v>
      </c>
      <c r="L2629" s="26">
        <v>7000</v>
      </c>
      <c r="M2629" s="26">
        <v>11</v>
      </c>
      <c r="N2629" s="25">
        <f t="shared" si="81"/>
        <v>77000</v>
      </c>
      <c r="O2629" s="56"/>
    </row>
    <row r="2630" spans="1:15" hidden="1" x14ac:dyDescent="0.3">
      <c r="A2630" s="26">
        <v>31</v>
      </c>
      <c r="B2630" s="20" t="str">
        <f t="shared" si="80"/>
        <v>AUG</v>
      </c>
      <c r="C2630" s="21">
        <v>46235</v>
      </c>
      <c r="D2630" s="22" t="str">
        <f t="array" ref="D2630">IFERROR(INDEX('Kode Outlet dan Target Toko'!$A:$A,MATCH($I2630,'Kode Outlet dan Target Toko'!$E:$E,0)),"")</f>
        <v>GRSM 1</v>
      </c>
      <c r="E2630" s="20" t="str">
        <f>IFERROR(VLOOKUP(I2630,KET!$B:$F,4,0),"")</f>
        <v>AFNITA SARI</v>
      </c>
      <c r="F2630" s="20" t="str">
        <f>IFERROR(VLOOKUP(I2630,KET!$B:$F,5,0),"")</f>
        <v>MT</v>
      </c>
      <c r="G2630" s="20">
        <f>IFERROR(INDEX('Kode Outlet dan Target Toko'!$C:$C,MATCH($I2630,'Kode Outlet dan Target Toko'!$E:$E,0)),0)</f>
        <v>122506</v>
      </c>
      <c r="H2630" s="20">
        <f>IFERROR(INDEX('Kode Outlet dan Target Toko'!$D:$D,MATCH($I2630,'Kode Outlet dan Target Toko'!$E:$E,0)),0)</f>
        <v>202816</v>
      </c>
      <c r="I2630" s="42" t="s">
        <v>71</v>
      </c>
      <c r="J2630" s="56" t="s">
        <v>296</v>
      </c>
      <c r="K2630" s="40" t="s">
        <v>16</v>
      </c>
      <c r="L2630" s="26">
        <v>7000</v>
      </c>
      <c r="M2630" s="26">
        <v>49</v>
      </c>
      <c r="N2630" s="25">
        <f t="shared" si="81"/>
        <v>343000</v>
      </c>
      <c r="O2630" s="56">
        <v>160</v>
      </c>
    </row>
    <row r="2631" spans="1:15" hidden="1" x14ac:dyDescent="0.3">
      <c r="A2631" s="26">
        <v>31</v>
      </c>
      <c r="B2631" s="20" t="str">
        <f t="shared" ref="B2631:B2694" si="82">IF(C2631="","",UPPER(TEXT(C2631, "MMM")))</f>
        <v>AUG</v>
      </c>
      <c r="C2631" s="21">
        <v>46235</v>
      </c>
      <c r="D2631" s="22" t="str">
        <f t="array" ref="D2631">IFERROR(INDEX('Kode Outlet dan Target Toko'!$A:$A,MATCH($I2631,'Kode Outlet dan Target Toko'!$E:$E,0)),"")</f>
        <v>GRSM 1</v>
      </c>
      <c r="E2631" s="20" t="str">
        <f>IFERROR(VLOOKUP(I2631,KET!$B:$F,4,0),"")</f>
        <v>AFNITA SARI</v>
      </c>
      <c r="F2631" s="20" t="str">
        <f>IFERROR(VLOOKUP(I2631,KET!$B:$F,5,0),"")</f>
        <v>MT</v>
      </c>
      <c r="G2631" s="20">
        <f>IFERROR(INDEX('Kode Outlet dan Target Toko'!$C:$C,MATCH($I2631,'Kode Outlet dan Target Toko'!$E:$E,0)),0)</f>
        <v>122506</v>
      </c>
      <c r="H2631" s="20">
        <f>IFERROR(INDEX('Kode Outlet dan Target Toko'!$D:$D,MATCH($I2631,'Kode Outlet dan Target Toko'!$E:$E,0)),0)</f>
        <v>214300</v>
      </c>
      <c r="I2631" s="42" t="s">
        <v>73</v>
      </c>
      <c r="J2631" s="56" t="s">
        <v>291</v>
      </c>
      <c r="K2631" s="40" t="s">
        <v>15</v>
      </c>
      <c r="L2631" s="26">
        <v>7000</v>
      </c>
      <c r="M2631" s="26">
        <v>30</v>
      </c>
      <c r="N2631" s="25">
        <f t="shared" ref="N2631:N2694" si="83">IFERROR(M2631*L2631,"")</f>
        <v>210000</v>
      </c>
      <c r="O2631" s="56"/>
    </row>
    <row r="2632" spans="1:15" hidden="1" x14ac:dyDescent="0.3">
      <c r="A2632" s="26">
        <v>31</v>
      </c>
      <c r="B2632" s="20" t="str">
        <f t="shared" si="82"/>
        <v>AUG</v>
      </c>
      <c r="C2632" s="21">
        <v>46235</v>
      </c>
      <c r="D2632" s="22" t="str">
        <f t="array" ref="D2632">IFERROR(INDEX('Kode Outlet dan Target Toko'!$A:$A,MATCH($I2632,'Kode Outlet dan Target Toko'!$E:$E,0)),"")</f>
        <v>GRSM 1</v>
      </c>
      <c r="E2632" s="20" t="str">
        <f>IFERROR(VLOOKUP(I2632,KET!$B:$F,4,0),"")</f>
        <v>AFNITA SARI</v>
      </c>
      <c r="F2632" s="20" t="str">
        <f>IFERROR(VLOOKUP(I2632,KET!$B:$F,5,0),"")</f>
        <v>MT</v>
      </c>
      <c r="G2632" s="20">
        <f>IFERROR(INDEX('Kode Outlet dan Target Toko'!$C:$C,MATCH($I2632,'Kode Outlet dan Target Toko'!$E:$E,0)),0)</f>
        <v>122506</v>
      </c>
      <c r="H2632" s="20">
        <f>IFERROR(INDEX('Kode Outlet dan Target Toko'!$D:$D,MATCH($I2632,'Kode Outlet dan Target Toko'!$E:$E,0)),0)</f>
        <v>214300</v>
      </c>
      <c r="I2632" s="42" t="s">
        <v>73</v>
      </c>
      <c r="J2632" s="56" t="s">
        <v>291</v>
      </c>
      <c r="K2632" s="40" t="s">
        <v>14</v>
      </c>
      <c r="L2632" s="26">
        <v>7000</v>
      </c>
      <c r="M2632" s="26">
        <v>40</v>
      </c>
      <c r="N2632" s="25">
        <f t="shared" si="83"/>
        <v>280000</v>
      </c>
      <c r="O2632" s="56"/>
    </row>
    <row r="2633" spans="1:15" hidden="1" x14ac:dyDescent="0.3">
      <c r="A2633" s="26">
        <v>31</v>
      </c>
      <c r="B2633" s="20" t="str">
        <f t="shared" si="82"/>
        <v>AUG</v>
      </c>
      <c r="C2633" s="21">
        <v>46235</v>
      </c>
      <c r="D2633" s="22" t="str">
        <f t="array" ref="D2633">IFERROR(INDEX('Kode Outlet dan Target Toko'!$A:$A,MATCH($I2633,'Kode Outlet dan Target Toko'!$E:$E,0)),"")</f>
        <v>GRSM 1</v>
      </c>
      <c r="E2633" s="20" t="str">
        <f>IFERROR(VLOOKUP(I2633,KET!$B:$F,4,0),"")</f>
        <v>AFNITA SARI</v>
      </c>
      <c r="F2633" s="20" t="str">
        <f>IFERROR(VLOOKUP(I2633,KET!$B:$F,5,0),"")</f>
        <v>MT</v>
      </c>
      <c r="G2633" s="20">
        <f>IFERROR(INDEX('Kode Outlet dan Target Toko'!$C:$C,MATCH($I2633,'Kode Outlet dan Target Toko'!$E:$E,0)),0)</f>
        <v>122506</v>
      </c>
      <c r="H2633" s="20">
        <f>IFERROR(INDEX('Kode Outlet dan Target Toko'!$D:$D,MATCH($I2633,'Kode Outlet dan Target Toko'!$E:$E,0)),0)</f>
        <v>214300</v>
      </c>
      <c r="I2633" s="42" t="s">
        <v>73</v>
      </c>
      <c r="J2633" s="56" t="s">
        <v>291</v>
      </c>
      <c r="K2633" s="40" t="s">
        <v>13</v>
      </c>
      <c r="L2633" s="26">
        <v>7000</v>
      </c>
      <c r="M2633" s="26">
        <v>28</v>
      </c>
      <c r="N2633" s="25">
        <f t="shared" si="83"/>
        <v>196000</v>
      </c>
      <c r="O2633" s="56"/>
    </row>
    <row r="2634" spans="1:15" hidden="1" x14ac:dyDescent="0.3">
      <c r="A2634" s="26">
        <v>31</v>
      </c>
      <c r="B2634" s="20" t="str">
        <f t="shared" si="82"/>
        <v>AUG</v>
      </c>
      <c r="C2634" s="21">
        <v>46235</v>
      </c>
      <c r="D2634" s="22" t="str">
        <f t="array" ref="D2634">IFERROR(INDEX('Kode Outlet dan Target Toko'!$A:$A,MATCH($I2634,'Kode Outlet dan Target Toko'!$E:$E,0)),"")</f>
        <v>GRSM 1</v>
      </c>
      <c r="E2634" s="20" t="str">
        <f>IFERROR(VLOOKUP(I2634,KET!$B:$F,4,0),"")</f>
        <v>AFNITA SARI</v>
      </c>
      <c r="F2634" s="20" t="str">
        <f>IFERROR(VLOOKUP(I2634,KET!$B:$F,5,0),"")</f>
        <v>MT</v>
      </c>
      <c r="G2634" s="20">
        <f>IFERROR(INDEX('Kode Outlet dan Target Toko'!$C:$C,MATCH($I2634,'Kode Outlet dan Target Toko'!$E:$E,0)),0)</f>
        <v>122506</v>
      </c>
      <c r="H2634" s="20">
        <f>IFERROR(INDEX('Kode Outlet dan Target Toko'!$D:$D,MATCH($I2634,'Kode Outlet dan Target Toko'!$E:$E,0)),0)</f>
        <v>214300</v>
      </c>
      <c r="I2634" s="42" t="s">
        <v>73</v>
      </c>
      <c r="J2634" s="56" t="s">
        <v>291</v>
      </c>
      <c r="K2634" s="40" t="s">
        <v>16</v>
      </c>
      <c r="L2634" s="26">
        <v>7000</v>
      </c>
      <c r="M2634" s="26">
        <v>88</v>
      </c>
      <c r="N2634" s="25">
        <f t="shared" si="83"/>
        <v>616000</v>
      </c>
      <c r="O2634" s="56">
        <v>160</v>
      </c>
    </row>
    <row r="2635" spans="1:15" hidden="1" x14ac:dyDescent="0.3">
      <c r="A2635" s="26">
        <v>31</v>
      </c>
      <c r="B2635" s="20" t="str">
        <f t="shared" si="82"/>
        <v>AUG</v>
      </c>
      <c r="C2635" s="21">
        <v>46235</v>
      </c>
      <c r="D2635" s="22" t="str">
        <f t="array" ref="D2635">IFERROR(INDEX('Kode Outlet dan Target Toko'!$A:$A,MATCH($I2635,'Kode Outlet dan Target Toko'!$E:$E,0)),"")</f>
        <v>GRSM 1</v>
      </c>
      <c r="E2635" s="20" t="str">
        <f>IFERROR(VLOOKUP(I2635,KET!$B:$F,4,0),"")</f>
        <v>AFNITA SARI</v>
      </c>
      <c r="F2635" s="20" t="str">
        <f>IFERROR(VLOOKUP(I2635,KET!$B:$F,5,0),"")</f>
        <v>MT</v>
      </c>
      <c r="G2635" s="20">
        <f>IFERROR(INDEX('Kode Outlet dan Target Toko'!$C:$C,MATCH($I2635,'Kode Outlet dan Target Toko'!$E:$E,0)),0)</f>
        <v>122506</v>
      </c>
      <c r="H2635" s="20">
        <f>IFERROR(INDEX('Kode Outlet dan Target Toko'!$D:$D,MATCH($I2635,'Kode Outlet dan Target Toko'!$E:$E,0)),0)</f>
        <v>214300</v>
      </c>
      <c r="I2635" s="42" t="s">
        <v>73</v>
      </c>
      <c r="J2635" s="56" t="s">
        <v>292</v>
      </c>
      <c r="K2635" s="40" t="s">
        <v>15</v>
      </c>
      <c r="L2635" s="26">
        <v>7000</v>
      </c>
      <c r="M2635" s="26">
        <v>30</v>
      </c>
      <c r="N2635" s="25">
        <f t="shared" si="83"/>
        <v>210000</v>
      </c>
      <c r="O2635" s="56"/>
    </row>
    <row r="2636" spans="1:15" hidden="1" x14ac:dyDescent="0.3">
      <c r="A2636" s="26">
        <v>31</v>
      </c>
      <c r="B2636" s="20" t="str">
        <f t="shared" si="82"/>
        <v>AUG</v>
      </c>
      <c r="C2636" s="21">
        <v>46235</v>
      </c>
      <c r="D2636" s="22" t="str">
        <f t="array" ref="D2636">IFERROR(INDEX('Kode Outlet dan Target Toko'!$A:$A,MATCH($I2636,'Kode Outlet dan Target Toko'!$E:$E,0)),"")</f>
        <v>GRSM 1</v>
      </c>
      <c r="E2636" s="20" t="str">
        <f>IFERROR(VLOOKUP(I2636,KET!$B:$F,4,0),"")</f>
        <v>AFNITA SARI</v>
      </c>
      <c r="F2636" s="20" t="str">
        <f>IFERROR(VLOOKUP(I2636,KET!$B:$F,5,0),"")</f>
        <v>MT</v>
      </c>
      <c r="G2636" s="20">
        <f>IFERROR(INDEX('Kode Outlet dan Target Toko'!$C:$C,MATCH($I2636,'Kode Outlet dan Target Toko'!$E:$E,0)),0)</f>
        <v>122506</v>
      </c>
      <c r="H2636" s="20">
        <f>IFERROR(INDEX('Kode Outlet dan Target Toko'!$D:$D,MATCH($I2636,'Kode Outlet dan Target Toko'!$E:$E,0)),0)</f>
        <v>214300</v>
      </c>
      <c r="I2636" s="42" t="s">
        <v>73</v>
      </c>
      <c r="J2636" s="56" t="s">
        <v>292</v>
      </c>
      <c r="K2636" s="40" t="s">
        <v>14</v>
      </c>
      <c r="L2636" s="26">
        <v>7000</v>
      </c>
      <c r="M2636" s="26">
        <v>40</v>
      </c>
      <c r="N2636" s="25">
        <f t="shared" si="83"/>
        <v>280000</v>
      </c>
      <c r="O2636" s="56"/>
    </row>
    <row r="2637" spans="1:15" hidden="1" x14ac:dyDescent="0.3">
      <c r="A2637" s="26">
        <v>31</v>
      </c>
      <c r="B2637" s="20" t="str">
        <f t="shared" si="82"/>
        <v>AUG</v>
      </c>
      <c r="C2637" s="21">
        <v>46235</v>
      </c>
      <c r="D2637" s="22" t="str">
        <f t="array" ref="D2637">IFERROR(INDEX('Kode Outlet dan Target Toko'!$A:$A,MATCH($I2637,'Kode Outlet dan Target Toko'!$E:$E,0)),"")</f>
        <v>GRSM 1</v>
      </c>
      <c r="E2637" s="20" t="str">
        <f>IFERROR(VLOOKUP(I2637,KET!$B:$F,4,0),"")</f>
        <v>AFNITA SARI</v>
      </c>
      <c r="F2637" s="20" t="str">
        <f>IFERROR(VLOOKUP(I2637,KET!$B:$F,5,0),"")</f>
        <v>MT</v>
      </c>
      <c r="G2637" s="20">
        <f>IFERROR(INDEX('Kode Outlet dan Target Toko'!$C:$C,MATCH($I2637,'Kode Outlet dan Target Toko'!$E:$E,0)),0)</f>
        <v>122506</v>
      </c>
      <c r="H2637" s="20">
        <f>IFERROR(INDEX('Kode Outlet dan Target Toko'!$D:$D,MATCH($I2637,'Kode Outlet dan Target Toko'!$E:$E,0)),0)</f>
        <v>214300</v>
      </c>
      <c r="I2637" s="42" t="s">
        <v>73</v>
      </c>
      <c r="J2637" s="56" t="s">
        <v>292</v>
      </c>
      <c r="K2637" s="40" t="s">
        <v>13</v>
      </c>
      <c r="L2637" s="26">
        <v>7000</v>
      </c>
      <c r="M2637" s="26">
        <v>28</v>
      </c>
      <c r="N2637" s="25">
        <f t="shared" si="83"/>
        <v>196000</v>
      </c>
      <c r="O2637" s="56"/>
    </row>
    <row r="2638" spans="1:15" hidden="1" x14ac:dyDescent="0.3">
      <c r="A2638" s="26">
        <v>31</v>
      </c>
      <c r="B2638" s="20" t="str">
        <f t="shared" si="82"/>
        <v>AUG</v>
      </c>
      <c r="C2638" s="21">
        <v>46235</v>
      </c>
      <c r="D2638" s="22" t="str">
        <f t="array" ref="D2638">IFERROR(INDEX('Kode Outlet dan Target Toko'!$A:$A,MATCH($I2638,'Kode Outlet dan Target Toko'!$E:$E,0)),"")</f>
        <v>GRSM 1</v>
      </c>
      <c r="E2638" s="20" t="str">
        <f>IFERROR(VLOOKUP(I2638,KET!$B:$F,4,0),"")</f>
        <v>AFNITA SARI</v>
      </c>
      <c r="F2638" s="20" t="str">
        <f>IFERROR(VLOOKUP(I2638,KET!$B:$F,5,0),"")</f>
        <v>MT</v>
      </c>
      <c r="G2638" s="20">
        <f>IFERROR(INDEX('Kode Outlet dan Target Toko'!$C:$C,MATCH($I2638,'Kode Outlet dan Target Toko'!$E:$E,0)),0)</f>
        <v>122506</v>
      </c>
      <c r="H2638" s="20">
        <f>IFERROR(INDEX('Kode Outlet dan Target Toko'!$D:$D,MATCH($I2638,'Kode Outlet dan Target Toko'!$E:$E,0)),0)</f>
        <v>214300</v>
      </c>
      <c r="I2638" s="42" t="s">
        <v>73</v>
      </c>
      <c r="J2638" s="56" t="s">
        <v>292</v>
      </c>
      <c r="K2638" s="40" t="s">
        <v>16</v>
      </c>
      <c r="L2638" s="26">
        <v>7000</v>
      </c>
      <c r="M2638" s="26">
        <v>88</v>
      </c>
      <c r="N2638" s="25">
        <f t="shared" si="83"/>
        <v>616000</v>
      </c>
      <c r="O2638" s="56">
        <v>160</v>
      </c>
    </row>
    <row r="2639" spans="1:15" hidden="1" x14ac:dyDescent="0.3">
      <c r="A2639" s="26">
        <v>31</v>
      </c>
      <c r="B2639" s="20" t="str">
        <f t="shared" si="82"/>
        <v>AUG</v>
      </c>
      <c r="C2639" s="21">
        <v>46235</v>
      </c>
      <c r="D2639" s="22" t="str">
        <f t="array" ref="D2639">IFERROR(INDEX('Kode Outlet dan Target Toko'!$A:$A,MATCH($I2639,'Kode Outlet dan Target Toko'!$E:$E,0)),"")</f>
        <v>GRSM 1</v>
      </c>
      <c r="E2639" s="20" t="str">
        <f>IFERROR(VLOOKUP(I2639,KET!$B:$F,4,0),"")</f>
        <v>AFNITA SARI</v>
      </c>
      <c r="F2639" s="20" t="str">
        <f>IFERROR(VLOOKUP(I2639,KET!$B:$F,5,0),"")</f>
        <v>MT</v>
      </c>
      <c r="G2639" s="20">
        <f>IFERROR(INDEX('Kode Outlet dan Target Toko'!$C:$C,MATCH($I2639,'Kode Outlet dan Target Toko'!$E:$E,0)),0)</f>
        <v>122506</v>
      </c>
      <c r="H2639" s="20">
        <f>IFERROR(INDEX('Kode Outlet dan Target Toko'!$D:$D,MATCH($I2639,'Kode Outlet dan Target Toko'!$E:$E,0)),0)</f>
        <v>214422</v>
      </c>
      <c r="I2639" s="42" t="s">
        <v>72</v>
      </c>
      <c r="J2639" s="56" t="s">
        <v>294</v>
      </c>
      <c r="K2639" s="40" t="s">
        <v>15</v>
      </c>
      <c r="L2639" s="26">
        <v>3200</v>
      </c>
      <c r="M2639" s="26">
        <v>40</v>
      </c>
      <c r="N2639" s="25">
        <f t="shared" si="83"/>
        <v>128000</v>
      </c>
      <c r="O2639" s="56"/>
    </row>
    <row r="2640" spans="1:15" hidden="1" x14ac:dyDescent="0.3">
      <c r="A2640" s="26">
        <v>31</v>
      </c>
      <c r="B2640" s="20" t="str">
        <f t="shared" si="82"/>
        <v>AUG</v>
      </c>
      <c r="C2640" s="21">
        <v>46235</v>
      </c>
      <c r="D2640" s="22" t="str">
        <f t="array" ref="D2640">IFERROR(INDEX('Kode Outlet dan Target Toko'!$A:$A,MATCH($I2640,'Kode Outlet dan Target Toko'!$E:$E,0)),"")</f>
        <v>GRSM 1</v>
      </c>
      <c r="E2640" s="20" t="str">
        <f>IFERROR(VLOOKUP(I2640,KET!$B:$F,4,0),"")</f>
        <v>AFNITA SARI</v>
      </c>
      <c r="F2640" s="20" t="str">
        <f>IFERROR(VLOOKUP(I2640,KET!$B:$F,5,0),"")</f>
        <v>MT</v>
      </c>
      <c r="G2640" s="20">
        <f>IFERROR(INDEX('Kode Outlet dan Target Toko'!$C:$C,MATCH($I2640,'Kode Outlet dan Target Toko'!$E:$E,0)),0)</f>
        <v>122506</v>
      </c>
      <c r="H2640" s="20">
        <f>IFERROR(INDEX('Kode Outlet dan Target Toko'!$D:$D,MATCH($I2640,'Kode Outlet dan Target Toko'!$E:$E,0)),0)</f>
        <v>214422</v>
      </c>
      <c r="I2640" s="42" t="s">
        <v>72</v>
      </c>
      <c r="J2640" s="56" t="s">
        <v>294</v>
      </c>
      <c r="K2640" s="40" t="s">
        <v>14</v>
      </c>
      <c r="L2640" s="26">
        <v>3200</v>
      </c>
      <c r="M2640" s="26">
        <v>42</v>
      </c>
      <c r="N2640" s="25">
        <f t="shared" si="83"/>
        <v>134400</v>
      </c>
      <c r="O2640" s="56"/>
    </row>
    <row r="2641" spans="1:15" hidden="1" x14ac:dyDescent="0.3">
      <c r="A2641" s="26">
        <v>31</v>
      </c>
      <c r="B2641" s="20" t="str">
        <f t="shared" si="82"/>
        <v>AUG</v>
      </c>
      <c r="C2641" s="21">
        <v>46235</v>
      </c>
      <c r="D2641" s="22" t="str">
        <f t="array" ref="D2641">IFERROR(INDEX('Kode Outlet dan Target Toko'!$A:$A,MATCH($I2641,'Kode Outlet dan Target Toko'!$E:$E,0)),"")</f>
        <v>GRSM 1</v>
      </c>
      <c r="E2641" s="20" t="str">
        <f>IFERROR(VLOOKUP(I2641,KET!$B:$F,4,0),"")</f>
        <v>AFNITA SARI</v>
      </c>
      <c r="F2641" s="20" t="str">
        <f>IFERROR(VLOOKUP(I2641,KET!$B:$F,5,0),"")</f>
        <v>MT</v>
      </c>
      <c r="G2641" s="20">
        <f>IFERROR(INDEX('Kode Outlet dan Target Toko'!$C:$C,MATCH($I2641,'Kode Outlet dan Target Toko'!$E:$E,0)),0)</f>
        <v>122506</v>
      </c>
      <c r="H2641" s="20">
        <f>IFERROR(INDEX('Kode Outlet dan Target Toko'!$D:$D,MATCH($I2641,'Kode Outlet dan Target Toko'!$E:$E,0)),0)</f>
        <v>214422</v>
      </c>
      <c r="I2641" s="42" t="s">
        <v>72</v>
      </c>
      <c r="J2641" s="56" t="s">
        <v>294</v>
      </c>
      <c r="K2641" s="40" t="s">
        <v>13</v>
      </c>
      <c r="L2641" s="26">
        <v>3200</v>
      </c>
      <c r="M2641" s="26">
        <v>102</v>
      </c>
      <c r="N2641" s="25">
        <f t="shared" si="83"/>
        <v>326400</v>
      </c>
      <c r="O2641" s="56"/>
    </row>
    <row r="2642" spans="1:15" hidden="1" x14ac:dyDescent="0.3">
      <c r="A2642" s="26">
        <v>31</v>
      </c>
      <c r="B2642" s="20" t="str">
        <f t="shared" si="82"/>
        <v>AUG</v>
      </c>
      <c r="C2642" s="21">
        <v>46235</v>
      </c>
      <c r="D2642" s="22" t="str">
        <f t="array" ref="D2642">IFERROR(INDEX('Kode Outlet dan Target Toko'!$A:$A,MATCH($I2642,'Kode Outlet dan Target Toko'!$E:$E,0)),"")</f>
        <v>GRSM 1</v>
      </c>
      <c r="E2642" s="20" t="str">
        <f>IFERROR(VLOOKUP(I2642,KET!$B:$F,4,0),"")</f>
        <v>AFNITA SARI</v>
      </c>
      <c r="F2642" s="20" t="str">
        <f>IFERROR(VLOOKUP(I2642,KET!$B:$F,5,0),"")</f>
        <v>MT</v>
      </c>
      <c r="G2642" s="20">
        <f>IFERROR(INDEX('Kode Outlet dan Target Toko'!$C:$C,MATCH($I2642,'Kode Outlet dan Target Toko'!$E:$E,0)),0)</f>
        <v>122506</v>
      </c>
      <c r="H2642" s="20">
        <f>IFERROR(INDEX('Kode Outlet dan Target Toko'!$D:$D,MATCH($I2642,'Kode Outlet dan Target Toko'!$E:$E,0)),0)</f>
        <v>214422</v>
      </c>
      <c r="I2642" s="42" t="s">
        <v>72</v>
      </c>
      <c r="J2642" s="56" t="s">
        <v>294</v>
      </c>
      <c r="K2642" s="40" t="s">
        <v>16</v>
      </c>
      <c r="L2642" s="26">
        <v>3200</v>
      </c>
      <c r="M2642" s="26">
        <v>84</v>
      </c>
      <c r="N2642" s="25">
        <f t="shared" si="83"/>
        <v>268800</v>
      </c>
      <c r="O2642" s="56">
        <v>160</v>
      </c>
    </row>
    <row r="2643" spans="1:15" hidden="1" x14ac:dyDescent="0.3">
      <c r="A2643" s="26">
        <v>31</v>
      </c>
      <c r="B2643" s="20" t="str">
        <f t="shared" si="82"/>
        <v>AUG</v>
      </c>
      <c r="C2643" s="21">
        <v>46235</v>
      </c>
      <c r="D2643" s="22" t="str">
        <f t="array" ref="D2643">IFERROR(INDEX('Kode Outlet dan Target Toko'!$A:$A,MATCH($I2643,'Kode Outlet dan Target Toko'!$E:$E,0)),"")</f>
        <v>GRSM 1</v>
      </c>
      <c r="E2643" s="20" t="str">
        <f>IFERROR(VLOOKUP(I2643,KET!$B:$F,4,0),"")</f>
        <v>AFNITA SARI</v>
      </c>
      <c r="F2643" s="20" t="str">
        <f>IFERROR(VLOOKUP(I2643,KET!$B:$F,5,0),"")</f>
        <v>MT</v>
      </c>
      <c r="G2643" s="20">
        <f>IFERROR(INDEX('Kode Outlet dan Target Toko'!$C:$C,MATCH($I2643,'Kode Outlet dan Target Toko'!$E:$E,0)),0)</f>
        <v>122506</v>
      </c>
      <c r="H2643" s="20">
        <f>IFERROR(INDEX('Kode Outlet dan Target Toko'!$D:$D,MATCH($I2643,'Kode Outlet dan Target Toko'!$E:$E,0)),0)</f>
        <v>214422</v>
      </c>
      <c r="I2643" s="42" t="s">
        <v>72</v>
      </c>
      <c r="J2643" s="56" t="s">
        <v>293</v>
      </c>
      <c r="K2643" s="40" t="s">
        <v>15</v>
      </c>
      <c r="L2643" s="26">
        <v>3200</v>
      </c>
      <c r="M2643" s="26">
        <v>40</v>
      </c>
      <c r="N2643" s="25">
        <f t="shared" si="83"/>
        <v>128000</v>
      </c>
      <c r="O2643" s="56"/>
    </row>
    <row r="2644" spans="1:15" hidden="1" x14ac:dyDescent="0.3">
      <c r="A2644" s="26">
        <v>31</v>
      </c>
      <c r="B2644" s="20" t="str">
        <f t="shared" si="82"/>
        <v>AUG</v>
      </c>
      <c r="C2644" s="21">
        <v>46235</v>
      </c>
      <c r="D2644" s="22" t="str">
        <f t="array" ref="D2644">IFERROR(INDEX('Kode Outlet dan Target Toko'!$A:$A,MATCH($I2644,'Kode Outlet dan Target Toko'!$E:$E,0)),"")</f>
        <v>GRSM 1</v>
      </c>
      <c r="E2644" s="20" t="str">
        <f>IFERROR(VLOOKUP(I2644,KET!$B:$F,4,0),"")</f>
        <v>AFNITA SARI</v>
      </c>
      <c r="F2644" s="20" t="str">
        <f>IFERROR(VLOOKUP(I2644,KET!$B:$F,5,0),"")</f>
        <v>MT</v>
      </c>
      <c r="G2644" s="20">
        <f>IFERROR(INDEX('Kode Outlet dan Target Toko'!$C:$C,MATCH($I2644,'Kode Outlet dan Target Toko'!$E:$E,0)),0)</f>
        <v>122506</v>
      </c>
      <c r="H2644" s="20">
        <f>IFERROR(INDEX('Kode Outlet dan Target Toko'!$D:$D,MATCH($I2644,'Kode Outlet dan Target Toko'!$E:$E,0)),0)</f>
        <v>214422</v>
      </c>
      <c r="I2644" s="42" t="s">
        <v>72</v>
      </c>
      <c r="J2644" s="56" t="s">
        <v>293</v>
      </c>
      <c r="K2644" s="40" t="s">
        <v>14</v>
      </c>
      <c r="L2644" s="26">
        <v>3200</v>
      </c>
      <c r="M2644" s="26">
        <v>42</v>
      </c>
      <c r="N2644" s="25">
        <f t="shared" si="83"/>
        <v>134400</v>
      </c>
      <c r="O2644" s="56"/>
    </row>
    <row r="2645" spans="1:15" hidden="1" x14ac:dyDescent="0.3">
      <c r="A2645" s="26">
        <v>31</v>
      </c>
      <c r="B2645" s="20" t="str">
        <f t="shared" si="82"/>
        <v>AUG</v>
      </c>
      <c r="C2645" s="21">
        <v>46235</v>
      </c>
      <c r="D2645" s="22" t="str">
        <f t="array" ref="D2645">IFERROR(INDEX('Kode Outlet dan Target Toko'!$A:$A,MATCH($I2645,'Kode Outlet dan Target Toko'!$E:$E,0)),"")</f>
        <v>GRSM 1</v>
      </c>
      <c r="E2645" s="20" t="str">
        <f>IFERROR(VLOOKUP(I2645,KET!$B:$F,4,0),"")</f>
        <v>AFNITA SARI</v>
      </c>
      <c r="F2645" s="20" t="str">
        <f>IFERROR(VLOOKUP(I2645,KET!$B:$F,5,0),"")</f>
        <v>MT</v>
      </c>
      <c r="G2645" s="20">
        <f>IFERROR(INDEX('Kode Outlet dan Target Toko'!$C:$C,MATCH($I2645,'Kode Outlet dan Target Toko'!$E:$E,0)),0)</f>
        <v>122506</v>
      </c>
      <c r="H2645" s="20">
        <f>IFERROR(INDEX('Kode Outlet dan Target Toko'!$D:$D,MATCH($I2645,'Kode Outlet dan Target Toko'!$E:$E,0)),0)</f>
        <v>214422</v>
      </c>
      <c r="I2645" s="42" t="s">
        <v>72</v>
      </c>
      <c r="J2645" s="56" t="s">
        <v>293</v>
      </c>
      <c r="K2645" s="40" t="s">
        <v>13</v>
      </c>
      <c r="L2645" s="26">
        <v>3200</v>
      </c>
      <c r="M2645" s="26">
        <v>102</v>
      </c>
      <c r="N2645" s="25">
        <f t="shared" si="83"/>
        <v>326400</v>
      </c>
      <c r="O2645" s="56"/>
    </row>
    <row r="2646" spans="1:15" hidden="1" x14ac:dyDescent="0.3">
      <c r="A2646" s="26">
        <v>31</v>
      </c>
      <c r="B2646" s="20" t="str">
        <f t="shared" si="82"/>
        <v>AUG</v>
      </c>
      <c r="C2646" s="21">
        <v>46235</v>
      </c>
      <c r="D2646" s="22" t="str">
        <f t="array" ref="D2646">IFERROR(INDEX('Kode Outlet dan Target Toko'!$A:$A,MATCH($I2646,'Kode Outlet dan Target Toko'!$E:$E,0)),"")</f>
        <v>GRSM 1</v>
      </c>
      <c r="E2646" s="20" t="str">
        <f>IFERROR(VLOOKUP(I2646,KET!$B:$F,4,0),"")</f>
        <v>AFNITA SARI</v>
      </c>
      <c r="F2646" s="20" t="str">
        <f>IFERROR(VLOOKUP(I2646,KET!$B:$F,5,0),"")</f>
        <v>MT</v>
      </c>
      <c r="G2646" s="20">
        <f>IFERROR(INDEX('Kode Outlet dan Target Toko'!$C:$C,MATCH($I2646,'Kode Outlet dan Target Toko'!$E:$E,0)),0)</f>
        <v>122506</v>
      </c>
      <c r="H2646" s="20">
        <f>IFERROR(INDEX('Kode Outlet dan Target Toko'!$D:$D,MATCH($I2646,'Kode Outlet dan Target Toko'!$E:$E,0)),0)</f>
        <v>214422</v>
      </c>
      <c r="I2646" s="42" t="s">
        <v>72</v>
      </c>
      <c r="J2646" s="56" t="s">
        <v>293</v>
      </c>
      <c r="K2646" s="40" t="s">
        <v>16</v>
      </c>
      <c r="L2646" s="26">
        <v>3200</v>
      </c>
      <c r="M2646" s="26">
        <v>84</v>
      </c>
      <c r="N2646" s="25">
        <f t="shared" si="83"/>
        <v>268800</v>
      </c>
      <c r="O2646" s="56">
        <v>160</v>
      </c>
    </row>
    <row r="2647" spans="1:15" hidden="1" x14ac:dyDescent="0.3">
      <c r="A2647" s="26">
        <v>31</v>
      </c>
      <c r="B2647" s="20" t="str">
        <f t="shared" si="82"/>
        <v>AUG</v>
      </c>
      <c r="C2647" s="21">
        <v>46236</v>
      </c>
      <c r="D2647" s="22" t="str">
        <f t="array" ref="D2647">IFERROR(INDEX('Kode Outlet dan Target Toko'!$A:$A,MATCH($I2647,'Kode Outlet dan Target Toko'!$E:$E,0)),"")</f>
        <v>GRSM 1</v>
      </c>
      <c r="E2647" s="20" t="str">
        <f>IFERROR(VLOOKUP(I2647,KET!$B:$F,4,0),"")</f>
        <v>AFNITA SARI</v>
      </c>
      <c r="F2647" s="20" t="str">
        <f>IFERROR(VLOOKUP(I2647,KET!$B:$F,5,0),"")</f>
        <v>MT</v>
      </c>
      <c r="G2647" s="20">
        <f>IFERROR(INDEX('Kode Outlet dan Target Toko'!$C:$C,MATCH($I2647,'Kode Outlet dan Target Toko'!$E:$E,0)),0)</f>
        <v>122506</v>
      </c>
      <c r="H2647" s="20">
        <f>IFERROR(INDEX('Kode Outlet dan Target Toko'!$D:$D,MATCH($I2647,'Kode Outlet dan Target Toko'!$E:$E,0)),0)</f>
        <v>202879</v>
      </c>
      <c r="I2647" s="42" t="s">
        <v>70</v>
      </c>
      <c r="J2647" s="56" t="s">
        <v>289</v>
      </c>
      <c r="K2647" s="40" t="s">
        <v>15</v>
      </c>
      <c r="L2647" s="26">
        <v>6400</v>
      </c>
      <c r="M2647" s="26">
        <v>37</v>
      </c>
      <c r="N2647" s="25">
        <f t="shared" si="83"/>
        <v>236800</v>
      </c>
      <c r="O2647" s="56"/>
    </row>
    <row r="2648" spans="1:15" hidden="1" x14ac:dyDescent="0.3">
      <c r="A2648" s="26">
        <v>31</v>
      </c>
      <c r="B2648" s="20" t="str">
        <f t="shared" si="82"/>
        <v>AUG</v>
      </c>
      <c r="C2648" s="21">
        <v>46236</v>
      </c>
      <c r="D2648" s="22" t="str">
        <f t="array" ref="D2648">IFERROR(INDEX('Kode Outlet dan Target Toko'!$A:$A,MATCH($I2648,'Kode Outlet dan Target Toko'!$E:$E,0)),"")</f>
        <v>GRSM 1</v>
      </c>
      <c r="E2648" s="20" t="str">
        <f>IFERROR(VLOOKUP(I2648,KET!$B:$F,4,0),"")</f>
        <v>AFNITA SARI</v>
      </c>
      <c r="F2648" s="20" t="str">
        <f>IFERROR(VLOOKUP(I2648,KET!$B:$F,5,0),"")</f>
        <v>MT</v>
      </c>
      <c r="G2648" s="20">
        <f>IFERROR(INDEX('Kode Outlet dan Target Toko'!$C:$C,MATCH($I2648,'Kode Outlet dan Target Toko'!$E:$E,0)),0)</f>
        <v>122506</v>
      </c>
      <c r="H2648" s="20">
        <f>IFERROR(INDEX('Kode Outlet dan Target Toko'!$D:$D,MATCH($I2648,'Kode Outlet dan Target Toko'!$E:$E,0)),0)</f>
        <v>202879</v>
      </c>
      <c r="I2648" s="42" t="s">
        <v>70</v>
      </c>
      <c r="J2648" s="56" t="s">
        <v>289</v>
      </c>
      <c r="K2648" s="40" t="s">
        <v>14</v>
      </c>
      <c r="L2648" s="26">
        <v>6400</v>
      </c>
      <c r="M2648" s="26">
        <v>40</v>
      </c>
      <c r="N2648" s="25">
        <f t="shared" si="83"/>
        <v>256000</v>
      </c>
      <c r="O2648" s="56"/>
    </row>
    <row r="2649" spans="1:15" hidden="1" x14ac:dyDescent="0.3">
      <c r="A2649" s="26">
        <v>31</v>
      </c>
      <c r="B2649" s="20" t="str">
        <f t="shared" si="82"/>
        <v>AUG</v>
      </c>
      <c r="C2649" s="21">
        <v>46236</v>
      </c>
      <c r="D2649" s="22" t="str">
        <f t="array" ref="D2649">IFERROR(INDEX('Kode Outlet dan Target Toko'!$A:$A,MATCH($I2649,'Kode Outlet dan Target Toko'!$E:$E,0)),"")</f>
        <v>GRSM 1</v>
      </c>
      <c r="E2649" s="20" t="str">
        <f>IFERROR(VLOOKUP(I2649,KET!$B:$F,4,0),"")</f>
        <v>AFNITA SARI</v>
      </c>
      <c r="F2649" s="20" t="str">
        <f>IFERROR(VLOOKUP(I2649,KET!$B:$F,5,0),"")</f>
        <v>MT</v>
      </c>
      <c r="G2649" s="20">
        <f>IFERROR(INDEX('Kode Outlet dan Target Toko'!$C:$C,MATCH($I2649,'Kode Outlet dan Target Toko'!$E:$E,0)),0)</f>
        <v>122506</v>
      </c>
      <c r="H2649" s="20">
        <f>IFERROR(INDEX('Kode Outlet dan Target Toko'!$D:$D,MATCH($I2649,'Kode Outlet dan Target Toko'!$E:$E,0)),0)</f>
        <v>202879</v>
      </c>
      <c r="I2649" s="42" t="s">
        <v>70</v>
      </c>
      <c r="J2649" s="56" t="s">
        <v>289</v>
      </c>
      <c r="K2649" s="40" t="s">
        <v>13</v>
      </c>
      <c r="L2649" s="26">
        <v>6400</v>
      </c>
      <c r="M2649" s="26">
        <v>187</v>
      </c>
      <c r="N2649" s="25">
        <f t="shared" si="83"/>
        <v>1196800</v>
      </c>
      <c r="O2649" s="56"/>
    </row>
    <row r="2650" spans="1:15" hidden="1" x14ac:dyDescent="0.3">
      <c r="A2650" s="26">
        <v>31</v>
      </c>
      <c r="B2650" s="20" t="str">
        <f t="shared" si="82"/>
        <v>AUG</v>
      </c>
      <c r="C2650" s="21">
        <v>46236</v>
      </c>
      <c r="D2650" s="22" t="str">
        <f t="array" ref="D2650">IFERROR(INDEX('Kode Outlet dan Target Toko'!$A:$A,MATCH($I2650,'Kode Outlet dan Target Toko'!$E:$E,0)),"")</f>
        <v>GRSM 1</v>
      </c>
      <c r="E2650" s="20" t="str">
        <f>IFERROR(VLOOKUP(I2650,KET!$B:$F,4,0),"")</f>
        <v>AFNITA SARI</v>
      </c>
      <c r="F2650" s="20" t="str">
        <f>IFERROR(VLOOKUP(I2650,KET!$B:$F,5,0),"")</f>
        <v>MT</v>
      </c>
      <c r="G2650" s="20">
        <f>IFERROR(INDEX('Kode Outlet dan Target Toko'!$C:$C,MATCH($I2650,'Kode Outlet dan Target Toko'!$E:$E,0)),0)</f>
        <v>122506</v>
      </c>
      <c r="H2650" s="20">
        <f>IFERROR(INDEX('Kode Outlet dan Target Toko'!$D:$D,MATCH($I2650,'Kode Outlet dan Target Toko'!$E:$E,0)),0)</f>
        <v>202879</v>
      </c>
      <c r="I2650" s="42" t="s">
        <v>70</v>
      </c>
      <c r="J2650" s="56" t="s">
        <v>289</v>
      </c>
      <c r="K2650" s="40" t="s">
        <v>16</v>
      </c>
      <c r="L2650" s="26">
        <v>6400</v>
      </c>
      <c r="M2650" s="26">
        <v>87</v>
      </c>
      <c r="N2650" s="25">
        <f t="shared" si="83"/>
        <v>556800</v>
      </c>
      <c r="O2650" s="56">
        <v>160</v>
      </c>
    </row>
    <row r="2651" spans="1:15" hidden="1" x14ac:dyDescent="0.3">
      <c r="A2651" s="26">
        <v>31</v>
      </c>
      <c r="B2651" s="20" t="str">
        <f t="shared" si="82"/>
        <v>AUG</v>
      </c>
      <c r="C2651" s="21">
        <v>46236</v>
      </c>
      <c r="D2651" s="22" t="str">
        <f t="array" ref="D2651">IFERROR(INDEX('Kode Outlet dan Target Toko'!$A:$A,MATCH($I2651,'Kode Outlet dan Target Toko'!$E:$E,0)),"")</f>
        <v>GRSM 1</v>
      </c>
      <c r="E2651" s="20" t="str">
        <f>IFERROR(VLOOKUP(I2651,KET!$B:$F,4,0),"")</f>
        <v>AFNITA SARI</v>
      </c>
      <c r="F2651" s="20" t="str">
        <f>IFERROR(VLOOKUP(I2651,KET!$B:$F,5,0),"")</f>
        <v>MT</v>
      </c>
      <c r="G2651" s="20">
        <f>IFERROR(INDEX('Kode Outlet dan Target Toko'!$C:$C,MATCH($I2651,'Kode Outlet dan Target Toko'!$E:$E,0)),0)</f>
        <v>122506</v>
      </c>
      <c r="H2651" s="20">
        <f>IFERROR(INDEX('Kode Outlet dan Target Toko'!$D:$D,MATCH($I2651,'Kode Outlet dan Target Toko'!$E:$E,0)),0)</f>
        <v>202879</v>
      </c>
      <c r="I2651" s="42" t="s">
        <v>70</v>
      </c>
      <c r="J2651" s="56" t="s">
        <v>290</v>
      </c>
      <c r="K2651" s="40" t="s">
        <v>15</v>
      </c>
      <c r="L2651" s="26">
        <v>6400</v>
      </c>
      <c r="M2651" s="26">
        <v>37</v>
      </c>
      <c r="N2651" s="25">
        <f t="shared" si="83"/>
        <v>236800</v>
      </c>
      <c r="O2651" s="56"/>
    </row>
    <row r="2652" spans="1:15" hidden="1" x14ac:dyDescent="0.3">
      <c r="A2652" s="26">
        <v>31</v>
      </c>
      <c r="B2652" s="20" t="str">
        <f t="shared" si="82"/>
        <v>AUG</v>
      </c>
      <c r="C2652" s="21">
        <v>46236</v>
      </c>
      <c r="D2652" s="22" t="str">
        <f t="array" ref="D2652">IFERROR(INDEX('Kode Outlet dan Target Toko'!$A:$A,MATCH($I2652,'Kode Outlet dan Target Toko'!$E:$E,0)),"")</f>
        <v>GRSM 1</v>
      </c>
      <c r="E2652" s="20" t="str">
        <f>IFERROR(VLOOKUP(I2652,KET!$B:$F,4,0),"")</f>
        <v>AFNITA SARI</v>
      </c>
      <c r="F2652" s="20" t="str">
        <f>IFERROR(VLOOKUP(I2652,KET!$B:$F,5,0),"")</f>
        <v>MT</v>
      </c>
      <c r="G2652" s="20">
        <f>IFERROR(INDEX('Kode Outlet dan Target Toko'!$C:$C,MATCH($I2652,'Kode Outlet dan Target Toko'!$E:$E,0)),0)</f>
        <v>122506</v>
      </c>
      <c r="H2652" s="20">
        <f>IFERROR(INDEX('Kode Outlet dan Target Toko'!$D:$D,MATCH($I2652,'Kode Outlet dan Target Toko'!$E:$E,0)),0)</f>
        <v>202879</v>
      </c>
      <c r="I2652" s="42" t="s">
        <v>70</v>
      </c>
      <c r="J2652" s="56" t="s">
        <v>290</v>
      </c>
      <c r="K2652" s="40" t="s">
        <v>14</v>
      </c>
      <c r="L2652" s="26">
        <v>6400</v>
      </c>
      <c r="M2652" s="26">
        <v>40</v>
      </c>
      <c r="N2652" s="25">
        <f t="shared" si="83"/>
        <v>256000</v>
      </c>
      <c r="O2652" s="56"/>
    </row>
    <row r="2653" spans="1:15" hidden="1" x14ac:dyDescent="0.3">
      <c r="A2653" s="26">
        <v>31</v>
      </c>
      <c r="B2653" s="20" t="str">
        <f t="shared" si="82"/>
        <v>AUG</v>
      </c>
      <c r="C2653" s="21">
        <v>46236</v>
      </c>
      <c r="D2653" s="22" t="str">
        <f t="array" ref="D2653">IFERROR(INDEX('Kode Outlet dan Target Toko'!$A:$A,MATCH($I2653,'Kode Outlet dan Target Toko'!$E:$E,0)),"")</f>
        <v>GRSM 1</v>
      </c>
      <c r="E2653" s="20" t="str">
        <f>IFERROR(VLOOKUP(I2653,KET!$B:$F,4,0),"")</f>
        <v>AFNITA SARI</v>
      </c>
      <c r="F2653" s="20" t="str">
        <f>IFERROR(VLOOKUP(I2653,KET!$B:$F,5,0),"")</f>
        <v>MT</v>
      </c>
      <c r="G2653" s="20">
        <f>IFERROR(INDEX('Kode Outlet dan Target Toko'!$C:$C,MATCH($I2653,'Kode Outlet dan Target Toko'!$E:$E,0)),0)</f>
        <v>122506</v>
      </c>
      <c r="H2653" s="20">
        <f>IFERROR(INDEX('Kode Outlet dan Target Toko'!$D:$D,MATCH($I2653,'Kode Outlet dan Target Toko'!$E:$E,0)),0)</f>
        <v>202879</v>
      </c>
      <c r="I2653" s="42" t="s">
        <v>70</v>
      </c>
      <c r="J2653" s="56" t="s">
        <v>290</v>
      </c>
      <c r="K2653" s="40" t="s">
        <v>13</v>
      </c>
      <c r="L2653" s="26">
        <v>6400</v>
      </c>
      <c r="M2653" s="26">
        <v>187</v>
      </c>
      <c r="N2653" s="25">
        <f t="shared" si="83"/>
        <v>1196800</v>
      </c>
      <c r="O2653" s="56"/>
    </row>
    <row r="2654" spans="1:15" hidden="1" x14ac:dyDescent="0.3">
      <c r="A2654" s="26">
        <v>31</v>
      </c>
      <c r="B2654" s="20" t="str">
        <f t="shared" si="82"/>
        <v>AUG</v>
      </c>
      <c r="C2654" s="21">
        <v>46236</v>
      </c>
      <c r="D2654" s="22" t="str">
        <f t="array" ref="D2654">IFERROR(INDEX('Kode Outlet dan Target Toko'!$A:$A,MATCH($I2654,'Kode Outlet dan Target Toko'!$E:$E,0)),"")</f>
        <v>GRSM 1</v>
      </c>
      <c r="E2654" s="20" t="str">
        <f>IFERROR(VLOOKUP(I2654,KET!$B:$F,4,0),"")</f>
        <v>AFNITA SARI</v>
      </c>
      <c r="F2654" s="20" t="str">
        <f>IFERROR(VLOOKUP(I2654,KET!$B:$F,5,0),"")</f>
        <v>MT</v>
      </c>
      <c r="G2654" s="20">
        <f>IFERROR(INDEX('Kode Outlet dan Target Toko'!$C:$C,MATCH($I2654,'Kode Outlet dan Target Toko'!$E:$E,0)),0)</f>
        <v>122506</v>
      </c>
      <c r="H2654" s="20">
        <f>IFERROR(INDEX('Kode Outlet dan Target Toko'!$D:$D,MATCH($I2654,'Kode Outlet dan Target Toko'!$E:$E,0)),0)</f>
        <v>202879</v>
      </c>
      <c r="I2654" s="42" t="s">
        <v>70</v>
      </c>
      <c r="J2654" s="56" t="s">
        <v>290</v>
      </c>
      <c r="K2654" s="40" t="s">
        <v>16</v>
      </c>
      <c r="L2654" s="26">
        <v>6400</v>
      </c>
      <c r="M2654" s="26">
        <v>87</v>
      </c>
      <c r="N2654" s="25">
        <f t="shared" si="83"/>
        <v>556800</v>
      </c>
      <c r="O2654" s="56">
        <v>160</v>
      </c>
    </row>
    <row r="2655" spans="1:15" hidden="1" x14ac:dyDescent="0.3">
      <c r="A2655" s="26">
        <v>31</v>
      </c>
      <c r="B2655" s="20" t="str">
        <f t="shared" si="82"/>
        <v>AUG</v>
      </c>
      <c r="C2655" s="21">
        <v>46236</v>
      </c>
      <c r="D2655" s="22" t="str">
        <f t="array" ref="D2655">IFERROR(INDEX('Kode Outlet dan Target Toko'!$A:$A,MATCH($I2655,'Kode Outlet dan Target Toko'!$E:$E,0)),"")</f>
        <v>GRSM 2</v>
      </c>
      <c r="E2655" s="20" t="str">
        <f>IFERROR(VLOOKUP(I2655,KET!$B:$F,4,0),"")</f>
        <v>AFNITA SARI</v>
      </c>
      <c r="F2655" s="20" t="str">
        <f>IFERROR(VLOOKUP(I2655,KET!$B:$F,5,0),"")</f>
        <v>MT</v>
      </c>
      <c r="G2655" s="20">
        <f>IFERROR(INDEX('Kode Outlet dan Target Toko'!$C:$C,MATCH($I2655,'Kode Outlet dan Target Toko'!$E:$E,0)),0)</f>
        <v>175700</v>
      </c>
      <c r="H2655" s="20">
        <f>IFERROR(INDEX('Kode Outlet dan Target Toko'!$D:$D,MATCH($I2655,'Kode Outlet dan Target Toko'!$E:$E,0)),0)</f>
        <v>1370001</v>
      </c>
      <c r="I2655" s="42" t="s">
        <v>74</v>
      </c>
      <c r="J2655" s="56" t="s">
        <v>297</v>
      </c>
      <c r="K2655" s="40" t="s">
        <v>15</v>
      </c>
      <c r="L2655" s="26">
        <v>2210</v>
      </c>
      <c r="M2655" s="26">
        <v>120</v>
      </c>
      <c r="N2655" s="25">
        <f t="shared" si="83"/>
        <v>265200</v>
      </c>
      <c r="O2655" s="56"/>
    </row>
    <row r="2656" spans="1:15" hidden="1" x14ac:dyDescent="0.3">
      <c r="A2656" s="26">
        <v>31</v>
      </c>
      <c r="B2656" s="20" t="str">
        <f t="shared" si="82"/>
        <v>AUG</v>
      </c>
      <c r="C2656" s="21">
        <v>46236</v>
      </c>
      <c r="D2656" s="22" t="str">
        <f t="array" ref="D2656">IFERROR(INDEX('Kode Outlet dan Target Toko'!$A:$A,MATCH($I2656,'Kode Outlet dan Target Toko'!$E:$E,0)),"")</f>
        <v>GRSM 2</v>
      </c>
      <c r="E2656" s="20" t="str">
        <f>IFERROR(VLOOKUP(I2656,KET!$B:$F,4,0),"")</f>
        <v>AFNITA SARI</v>
      </c>
      <c r="F2656" s="20" t="str">
        <f>IFERROR(VLOOKUP(I2656,KET!$B:$F,5,0),"")</f>
        <v>MT</v>
      </c>
      <c r="G2656" s="20">
        <f>IFERROR(INDEX('Kode Outlet dan Target Toko'!$C:$C,MATCH($I2656,'Kode Outlet dan Target Toko'!$E:$E,0)),0)</f>
        <v>175700</v>
      </c>
      <c r="H2656" s="20">
        <f>IFERROR(INDEX('Kode Outlet dan Target Toko'!$D:$D,MATCH($I2656,'Kode Outlet dan Target Toko'!$E:$E,0)),0)</f>
        <v>1370001</v>
      </c>
      <c r="I2656" s="42" t="s">
        <v>74</v>
      </c>
      <c r="J2656" s="56" t="s">
        <v>297</v>
      </c>
      <c r="K2656" s="40" t="s">
        <v>14</v>
      </c>
      <c r="L2656" s="26">
        <v>2210</v>
      </c>
      <c r="M2656" s="26">
        <v>120</v>
      </c>
      <c r="N2656" s="25">
        <f t="shared" si="83"/>
        <v>265200</v>
      </c>
      <c r="O2656" s="56"/>
    </row>
    <row r="2657" spans="1:15" hidden="1" x14ac:dyDescent="0.3">
      <c r="A2657" s="26">
        <v>31</v>
      </c>
      <c r="B2657" s="20" t="str">
        <f t="shared" si="82"/>
        <v>AUG</v>
      </c>
      <c r="C2657" s="21">
        <v>46236</v>
      </c>
      <c r="D2657" s="22" t="str">
        <f t="array" ref="D2657">IFERROR(INDEX('Kode Outlet dan Target Toko'!$A:$A,MATCH($I2657,'Kode Outlet dan Target Toko'!$E:$E,0)),"")</f>
        <v>GRSM 2</v>
      </c>
      <c r="E2657" s="20" t="str">
        <f>IFERROR(VLOOKUP(I2657,KET!$B:$F,4,0),"")</f>
        <v>AFNITA SARI</v>
      </c>
      <c r="F2657" s="20" t="str">
        <f>IFERROR(VLOOKUP(I2657,KET!$B:$F,5,0),"")</f>
        <v>MT</v>
      </c>
      <c r="G2657" s="20">
        <f>IFERROR(INDEX('Kode Outlet dan Target Toko'!$C:$C,MATCH($I2657,'Kode Outlet dan Target Toko'!$E:$E,0)),0)</f>
        <v>175700</v>
      </c>
      <c r="H2657" s="20">
        <f>IFERROR(INDEX('Kode Outlet dan Target Toko'!$D:$D,MATCH($I2657,'Kode Outlet dan Target Toko'!$E:$E,0)),0)</f>
        <v>1370001</v>
      </c>
      <c r="I2657" s="42" t="s">
        <v>74</v>
      </c>
      <c r="J2657" s="56" t="s">
        <v>297</v>
      </c>
      <c r="K2657" s="40" t="s">
        <v>13</v>
      </c>
      <c r="L2657" s="26">
        <v>2210</v>
      </c>
      <c r="M2657" s="26">
        <v>80</v>
      </c>
      <c r="N2657" s="25">
        <f t="shared" si="83"/>
        <v>176800</v>
      </c>
      <c r="O2657" s="56"/>
    </row>
    <row r="2658" spans="1:15" hidden="1" x14ac:dyDescent="0.3">
      <c r="A2658" s="26">
        <v>31</v>
      </c>
      <c r="B2658" s="20" t="str">
        <f t="shared" si="82"/>
        <v>AUG</v>
      </c>
      <c r="C2658" s="21">
        <v>46236</v>
      </c>
      <c r="D2658" s="22" t="str">
        <f t="array" ref="D2658">IFERROR(INDEX('Kode Outlet dan Target Toko'!$A:$A,MATCH($I2658,'Kode Outlet dan Target Toko'!$E:$E,0)),"")</f>
        <v>GRSM 2</v>
      </c>
      <c r="E2658" s="20" t="str">
        <f>IFERROR(VLOOKUP(I2658,KET!$B:$F,4,0),"")</f>
        <v>AFNITA SARI</v>
      </c>
      <c r="F2658" s="20" t="str">
        <f>IFERROR(VLOOKUP(I2658,KET!$B:$F,5,0),"")</f>
        <v>MT</v>
      </c>
      <c r="G2658" s="20">
        <f>IFERROR(INDEX('Kode Outlet dan Target Toko'!$C:$C,MATCH($I2658,'Kode Outlet dan Target Toko'!$E:$E,0)),0)</f>
        <v>175700</v>
      </c>
      <c r="H2658" s="20">
        <f>IFERROR(INDEX('Kode Outlet dan Target Toko'!$D:$D,MATCH($I2658,'Kode Outlet dan Target Toko'!$E:$E,0)),0)</f>
        <v>1370001</v>
      </c>
      <c r="I2658" s="42" t="s">
        <v>74</v>
      </c>
      <c r="J2658" s="56" t="s">
        <v>297</v>
      </c>
      <c r="K2658" s="40" t="s">
        <v>16</v>
      </c>
      <c r="L2658" s="26">
        <v>2210</v>
      </c>
      <c r="M2658" s="26">
        <v>80</v>
      </c>
      <c r="N2658" s="25">
        <f t="shared" si="83"/>
        <v>176800</v>
      </c>
      <c r="O2658" s="56">
        <v>92</v>
      </c>
    </row>
    <row r="2659" spans="1:15" hidden="1" x14ac:dyDescent="0.3">
      <c r="A2659" s="26">
        <v>31</v>
      </c>
      <c r="B2659" s="20" t="str">
        <f t="shared" si="82"/>
        <v>AUG</v>
      </c>
      <c r="C2659" s="21">
        <v>46236</v>
      </c>
      <c r="D2659" s="22" t="str">
        <f t="array" ref="D2659">IFERROR(INDEX('Kode Outlet dan Target Toko'!$A:$A,MATCH($I2659,'Kode Outlet dan Target Toko'!$E:$E,0)),"")</f>
        <v>GRSM 2</v>
      </c>
      <c r="E2659" s="20" t="str">
        <f>IFERROR(VLOOKUP(I2659,KET!$B:$F,4,0),"")</f>
        <v>AFNITA SARI</v>
      </c>
      <c r="F2659" s="20" t="str">
        <f>IFERROR(VLOOKUP(I2659,KET!$B:$F,5,0),"")</f>
        <v>MT</v>
      </c>
      <c r="G2659" s="20">
        <f>IFERROR(INDEX('Kode Outlet dan Target Toko'!$C:$C,MATCH($I2659,'Kode Outlet dan Target Toko'!$E:$E,0)),0)</f>
        <v>175700</v>
      </c>
      <c r="H2659" s="20">
        <f>IFERROR(INDEX('Kode Outlet dan Target Toko'!$D:$D,MATCH($I2659,'Kode Outlet dan Target Toko'!$E:$E,0)),0)</f>
        <v>1370001</v>
      </c>
      <c r="I2659" s="42" t="s">
        <v>74</v>
      </c>
      <c r="J2659" s="56" t="s">
        <v>298</v>
      </c>
      <c r="K2659" s="40" t="s">
        <v>15</v>
      </c>
      <c r="L2659" s="26">
        <v>2210</v>
      </c>
      <c r="M2659" s="26">
        <v>120</v>
      </c>
      <c r="N2659" s="25">
        <f t="shared" si="83"/>
        <v>265200</v>
      </c>
      <c r="O2659" s="56"/>
    </row>
    <row r="2660" spans="1:15" hidden="1" x14ac:dyDescent="0.3">
      <c r="A2660" s="26">
        <v>31</v>
      </c>
      <c r="B2660" s="20" t="str">
        <f t="shared" si="82"/>
        <v>AUG</v>
      </c>
      <c r="C2660" s="21">
        <v>46236</v>
      </c>
      <c r="D2660" s="22" t="str">
        <f t="array" ref="D2660">IFERROR(INDEX('Kode Outlet dan Target Toko'!$A:$A,MATCH($I2660,'Kode Outlet dan Target Toko'!$E:$E,0)),"")</f>
        <v>GRSM 2</v>
      </c>
      <c r="E2660" s="20" t="str">
        <f>IFERROR(VLOOKUP(I2660,KET!$B:$F,4,0),"")</f>
        <v>AFNITA SARI</v>
      </c>
      <c r="F2660" s="20" t="str">
        <f>IFERROR(VLOOKUP(I2660,KET!$B:$F,5,0),"")</f>
        <v>MT</v>
      </c>
      <c r="G2660" s="20">
        <f>IFERROR(INDEX('Kode Outlet dan Target Toko'!$C:$C,MATCH($I2660,'Kode Outlet dan Target Toko'!$E:$E,0)),0)</f>
        <v>175700</v>
      </c>
      <c r="H2660" s="20">
        <f>IFERROR(INDEX('Kode Outlet dan Target Toko'!$D:$D,MATCH($I2660,'Kode Outlet dan Target Toko'!$E:$E,0)),0)</f>
        <v>1370001</v>
      </c>
      <c r="I2660" s="42" t="s">
        <v>74</v>
      </c>
      <c r="J2660" s="56" t="s">
        <v>298</v>
      </c>
      <c r="K2660" s="40" t="s">
        <v>14</v>
      </c>
      <c r="L2660" s="26">
        <v>2210</v>
      </c>
      <c r="M2660" s="26">
        <v>120</v>
      </c>
      <c r="N2660" s="25">
        <f t="shared" si="83"/>
        <v>265200</v>
      </c>
      <c r="O2660" s="56"/>
    </row>
    <row r="2661" spans="1:15" hidden="1" x14ac:dyDescent="0.3">
      <c r="A2661" s="26">
        <v>31</v>
      </c>
      <c r="B2661" s="20" t="str">
        <f t="shared" si="82"/>
        <v>AUG</v>
      </c>
      <c r="C2661" s="21">
        <v>46236</v>
      </c>
      <c r="D2661" s="22" t="str">
        <f t="array" ref="D2661">IFERROR(INDEX('Kode Outlet dan Target Toko'!$A:$A,MATCH($I2661,'Kode Outlet dan Target Toko'!$E:$E,0)),"")</f>
        <v>GRSM 2</v>
      </c>
      <c r="E2661" s="20" t="str">
        <f>IFERROR(VLOOKUP(I2661,KET!$B:$F,4,0),"")</f>
        <v>AFNITA SARI</v>
      </c>
      <c r="F2661" s="20" t="str">
        <f>IFERROR(VLOOKUP(I2661,KET!$B:$F,5,0),"")</f>
        <v>MT</v>
      </c>
      <c r="G2661" s="20">
        <f>IFERROR(INDEX('Kode Outlet dan Target Toko'!$C:$C,MATCH($I2661,'Kode Outlet dan Target Toko'!$E:$E,0)),0)</f>
        <v>175700</v>
      </c>
      <c r="H2661" s="20">
        <f>IFERROR(INDEX('Kode Outlet dan Target Toko'!$D:$D,MATCH($I2661,'Kode Outlet dan Target Toko'!$E:$E,0)),0)</f>
        <v>1370001</v>
      </c>
      <c r="I2661" s="42" t="s">
        <v>74</v>
      </c>
      <c r="J2661" s="56" t="s">
        <v>298</v>
      </c>
      <c r="K2661" s="40" t="s">
        <v>13</v>
      </c>
      <c r="L2661" s="26">
        <v>2210</v>
      </c>
      <c r="M2661" s="26">
        <v>80</v>
      </c>
      <c r="N2661" s="25">
        <f t="shared" si="83"/>
        <v>176800</v>
      </c>
      <c r="O2661" s="56"/>
    </row>
    <row r="2662" spans="1:15" hidden="1" x14ac:dyDescent="0.3">
      <c r="A2662" s="26">
        <v>31</v>
      </c>
      <c r="B2662" s="20" t="str">
        <f t="shared" si="82"/>
        <v>AUG</v>
      </c>
      <c r="C2662" s="21">
        <v>46236</v>
      </c>
      <c r="D2662" s="22" t="str">
        <f t="array" ref="D2662">IFERROR(INDEX('Kode Outlet dan Target Toko'!$A:$A,MATCH($I2662,'Kode Outlet dan Target Toko'!$E:$E,0)),"")</f>
        <v>GRSM 2</v>
      </c>
      <c r="E2662" s="20" t="str">
        <f>IFERROR(VLOOKUP(I2662,KET!$B:$F,4,0),"")</f>
        <v>AFNITA SARI</v>
      </c>
      <c r="F2662" s="20" t="str">
        <f>IFERROR(VLOOKUP(I2662,KET!$B:$F,5,0),"")</f>
        <v>MT</v>
      </c>
      <c r="G2662" s="20">
        <f>IFERROR(INDEX('Kode Outlet dan Target Toko'!$C:$C,MATCH($I2662,'Kode Outlet dan Target Toko'!$E:$E,0)),0)</f>
        <v>175700</v>
      </c>
      <c r="H2662" s="20">
        <f>IFERROR(INDEX('Kode Outlet dan Target Toko'!$D:$D,MATCH($I2662,'Kode Outlet dan Target Toko'!$E:$E,0)),0)</f>
        <v>1370001</v>
      </c>
      <c r="I2662" s="42" t="s">
        <v>74</v>
      </c>
      <c r="J2662" s="56" t="s">
        <v>298</v>
      </c>
      <c r="K2662" s="40" t="s">
        <v>16</v>
      </c>
      <c r="L2662" s="26">
        <v>2210</v>
      </c>
      <c r="M2662" s="26">
        <v>80</v>
      </c>
      <c r="N2662" s="25">
        <f t="shared" si="83"/>
        <v>176800</v>
      </c>
      <c r="O2662" s="56">
        <v>92</v>
      </c>
    </row>
    <row r="2663" spans="1:15" hidden="1" x14ac:dyDescent="0.3">
      <c r="A2663" s="26">
        <v>31</v>
      </c>
      <c r="B2663" s="20" t="str">
        <f t="shared" si="82"/>
        <v>AUG</v>
      </c>
      <c r="C2663" s="21">
        <v>46236</v>
      </c>
      <c r="D2663" s="22" t="str">
        <f t="array" ref="D2663">IFERROR(INDEX('Kode Outlet dan Target Toko'!$A:$A,MATCH($I2663,'Kode Outlet dan Target Toko'!$E:$E,0)),"")</f>
        <v>GRSM 1</v>
      </c>
      <c r="E2663" s="20" t="str">
        <f>IFERROR(VLOOKUP(I2663,KET!$B:$F,4,0),"")</f>
        <v>AFNITA SARI</v>
      </c>
      <c r="F2663" s="20" t="str">
        <f>IFERROR(VLOOKUP(I2663,KET!$B:$F,5,0),"")</f>
        <v>MT</v>
      </c>
      <c r="G2663" s="20">
        <f>IFERROR(INDEX('Kode Outlet dan Target Toko'!$C:$C,MATCH($I2663,'Kode Outlet dan Target Toko'!$E:$E,0)),0)</f>
        <v>122506</v>
      </c>
      <c r="H2663" s="20">
        <f>IFERROR(INDEX('Kode Outlet dan Target Toko'!$D:$D,MATCH($I2663,'Kode Outlet dan Target Toko'!$E:$E,0)),0)</f>
        <v>214300</v>
      </c>
      <c r="I2663" s="42" t="s">
        <v>73</v>
      </c>
      <c r="J2663" s="56" t="s">
        <v>291</v>
      </c>
      <c r="K2663" s="40" t="s">
        <v>15</v>
      </c>
      <c r="L2663" s="26">
        <v>7000</v>
      </c>
      <c r="M2663" s="26">
        <v>28</v>
      </c>
      <c r="N2663" s="25">
        <f t="shared" si="83"/>
        <v>196000</v>
      </c>
      <c r="O2663" s="56"/>
    </row>
    <row r="2664" spans="1:15" hidden="1" x14ac:dyDescent="0.3">
      <c r="A2664" s="26">
        <v>31</v>
      </c>
      <c r="B2664" s="20" t="str">
        <f t="shared" si="82"/>
        <v>AUG</v>
      </c>
      <c r="C2664" s="21">
        <v>46236</v>
      </c>
      <c r="D2664" s="22" t="str">
        <f t="array" ref="D2664">IFERROR(INDEX('Kode Outlet dan Target Toko'!$A:$A,MATCH($I2664,'Kode Outlet dan Target Toko'!$E:$E,0)),"")</f>
        <v>GRSM 1</v>
      </c>
      <c r="E2664" s="20" t="str">
        <f>IFERROR(VLOOKUP(I2664,KET!$B:$F,4,0),"")</f>
        <v>AFNITA SARI</v>
      </c>
      <c r="F2664" s="20" t="str">
        <f>IFERROR(VLOOKUP(I2664,KET!$B:$F,5,0),"")</f>
        <v>MT</v>
      </c>
      <c r="G2664" s="20">
        <f>IFERROR(INDEX('Kode Outlet dan Target Toko'!$C:$C,MATCH($I2664,'Kode Outlet dan Target Toko'!$E:$E,0)),0)</f>
        <v>122506</v>
      </c>
      <c r="H2664" s="20">
        <f>IFERROR(INDEX('Kode Outlet dan Target Toko'!$D:$D,MATCH($I2664,'Kode Outlet dan Target Toko'!$E:$E,0)),0)</f>
        <v>214300</v>
      </c>
      <c r="I2664" s="42" t="s">
        <v>73</v>
      </c>
      <c r="J2664" s="56" t="s">
        <v>291</v>
      </c>
      <c r="K2664" s="40" t="s">
        <v>14</v>
      </c>
      <c r="L2664" s="26">
        <v>7000</v>
      </c>
      <c r="M2664" s="26">
        <v>50</v>
      </c>
      <c r="N2664" s="25">
        <f t="shared" si="83"/>
        <v>350000</v>
      </c>
      <c r="O2664" s="56"/>
    </row>
    <row r="2665" spans="1:15" hidden="1" x14ac:dyDescent="0.3">
      <c r="A2665" s="26">
        <v>31</v>
      </c>
      <c r="B2665" s="20" t="str">
        <f t="shared" si="82"/>
        <v>AUG</v>
      </c>
      <c r="C2665" s="21">
        <v>46236</v>
      </c>
      <c r="D2665" s="22" t="str">
        <f t="array" ref="D2665">IFERROR(INDEX('Kode Outlet dan Target Toko'!$A:$A,MATCH($I2665,'Kode Outlet dan Target Toko'!$E:$E,0)),"")</f>
        <v>GRSM 1</v>
      </c>
      <c r="E2665" s="20" t="str">
        <f>IFERROR(VLOOKUP(I2665,KET!$B:$F,4,0),"")</f>
        <v>AFNITA SARI</v>
      </c>
      <c r="F2665" s="20" t="str">
        <f>IFERROR(VLOOKUP(I2665,KET!$B:$F,5,0),"")</f>
        <v>MT</v>
      </c>
      <c r="G2665" s="20">
        <f>IFERROR(INDEX('Kode Outlet dan Target Toko'!$C:$C,MATCH($I2665,'Kode Outlet dan Target Toko'!$E:$E,0)),0)</f>
        <v>122506</v>
      </c>
      <c r="H2665" s="20">
        <f>IFERROR(INDEX('Kode Outlet dan Target Toko'!$D:$D,MATCH($I2665,'Kode Outlet dan Target Toko'!$E:$E,0)),0)</f>
        <v>214300</v>
      </c>
      <c r="I2665" s="42" t="s">
        <v>73</v>
      </c>
      <c r="J2665" s="56" t="s">
        <v>291</v>
      </c>
      <c r="K2665" s="40" t="s">
        <v>13</v>
      </c>
      <c r="L2665" s="26">
        <v>7000</v>
      </c>
      <c r="M2665" s="26">
        <v>40</v>
      </c>
      <c r="N2665" s="25">
        <f t="shared" si="83"/>
        <v>280000</v>
      </c>
      <c r="O2665" s="56"/>
    </row>
    <row r="2666" spans="1:15" hidden="1" x14ac:dyDescent="0.3">
      <c r="A2666" s="26">
        <v>31</v>
      </c>
      <c r="B2666" s="20" t="str">
        <f t="shared" si="82"/>
        <v>AUG</v>
      </c>
      <c r="C2666" s="21">
        <v>46236</v>
      </c>
      <c r="D2666" s="22" t="str">
        <f t="array" ref="D2666">IFERROR(INDEX('Kode Outlet dan Target Toko'!$A:$A,MATCH($I2666,'Kode Outlet dan Target Toko'!$E:$E,0)),"")</f>
        <v>GRSM 1</v>
      </c>
      <c r="E2666" s="20" t="str">
        <f>IFERROR(VLOOKUP(I2666,KET!$B:$F,4,0),"")</f>
        <v>AFNITA SARI</v>
      </c>
      <c r="F2666" s="20" t="str">
        <f>IFERROR(VLOOKUP(I2666,KET!$B:$F,5,0),"")</f>
        <v>MT</v>
      </c>
      <c r="G2666" s="20">
        <f>IFERROR(INDEX('Kode Outlet dan Target Toko'!$C:$C,MATCH($I2666,'Kode Outlet dan Target Toko'!$E:$E,0)),0)</f>
        <v>122506</v>
      </c>
      <c r="H2666" s="20">
        <f>IFERROR(INDEX('Kode Outlet dan Target Toko'!$D:$D,MATCH($I2666,'Kode Outlet dan Target Toko'!$E:$E,0)),0)</f>
        <v>214300</v>
      </c>
      <c r="I2666" s="42" t="s">
        <v>73</v>
      </c>
      <c r="J2666" s="56" t="s">
        <v>291</v>
      </c>
      <c r="K2666" s="40" t="s">
        <v>16</v>
      </c>
      <c r="L2666" s="26">
        <v>7000</v>
      </c>
      <c r="M2666" s="26">
        <v>94</v>
      </c>
      <c r="N2666" s="25">
        <f t="shared" si="83"/>
        <v>658000</v>
      </c>
      <c r="O2666" s="56">
        <v>160</v>
      </c>
    </row>
    <row r="2667" spans="1:15" hidden="1" x14ac:dyDescent="0.3">
      <c r="A2667" s="26">
        <v>31</v>
      </c>
      <c r="B2667" s="20" t="str">
        <f t="shared" si="82"/>
        <v>AUG</v>
      </c>
      <c r="C2667" s="21">
        <v>46236</v>
      </c>
      <c r="D2667" s="22" t="str">
        <f t="array" ref="D2667">IFERROR(INDEX('Kode Outlet dan Target Toko'!$A:$A,MATCH($I2667,'Kode Outlet dan Target Toko'!$E:$E,0)),"")</f>
        <v>GRSM 1</v>
      </c>
      <c r="E2667" s="20" t="str">
        <f>IFERROR(VLOOKUP(I2667,KET!$B:$F,4,0),"")</f>
        <v>AFNITA SARI</v>
      </c>
      <c r="F2667" s="20" t="str">
        <f>IFERROR(VLOOKUP(I2667,KET!$B:$F,5,0),"")</f>
        <v>MT</v>
      </c>
      <c r="G2667" s="20">
        <f>IFERROR(INDEX('Kode Outlet dan Target Toko'!$C:$C,MATCH($I2667,'Kode Outlet dan Target Toko'!$E:$E,0)),0)</f>
        <v>122506</v>
      </c>
      <c r="H2667" s="20">
        <f>IFERROR(INDEX('Kode Outlet dan Target Toko'!$D:$D,MATCH($I2667,'Kode Outlet dan Target Toko'!$E:$E,0)),0)</f>
        <v>214300</v>
      </c>
      <c r="I2667" s="42" t="s">
        <v>73</v>
      </c>
      <c r="J2667" s="56" t="s">
        <v>292</v>
      </c>
      <c r="K2667" s="40" t="s">
        <v>15</v>
      </c>
      <c r="L2667" s="26">
        <v>7000</v>
      </c>
      <c r="M2667" s="26">
        <v>28</v>
      </c>
      <c r="N2667" s="25">
        <f t="shared" si="83"/>
        <v>196000</v>
      </c>
      <c r="O2667" s="56"/>
    </row>
    <row r="2668" spans="1:15" hidden="1" x14ac:dyDescent="0.3">
      <c r="A2668" s="26">
        <v>31</v>
      </c>
      <c r="B2668" s="20" t="str">
        <f t="shared" si="82"/>
        <v>AUG</v>
      </c>
      <c r="C2668" s="21">
        <v>46236</v>
      </c>
      <c r="D2668" s="22" t="str">
        <f t="array" ref="D2668">IFERROR(INDEX('Kode Outlet dan Target Toko'!$A:$A,MATCH($I2668,'Kode Outlet dan Target Toko'!$E:$E,0)),"")</f>
        <v>GRSM 1</v>
      </c>
      <c r="E2668" s="20" t="str">
        <f>IFERROR(VLOOKUP(I2668,KET!$B:$F,4,0),"")</f>
        <v>AFNITA SARI</v>
      </c>
      <c r="F2668" s="20" t="str">
        <f>IFERROR(VLOOKUP(I2668,KET!$B:$F,5,0),"")</f>
        <v>MT</v>
      </c>
      <c r="G2668" s="20">
        <f>IFERROR(INDEX('Kode Outlet dan Target Toko'!$C:$C,MATCH($I2668,'Kode Outlet dan Target Toko'!$E:$E,0)),0)</f>
        <v>122506</v>
      </c>
      <c r="H2668" s="20">
        <f>IFERROR(INDEX('Kode Outlet dan Target Toko'!$D:$D,MATCH($I2668,'Kode Outlet dan Target Toko'!$E:$E,0)),0)</f>
        <v>214300</v>
      </c>
      <c r="I2668" s="42" t="s">
        <v>73</v>
      </c>
      <c r="J2668" s="56" t="s">
        <v>292</v>
      </c>
      <c r="K2668" s="40" t="s">
        <v>14</v>
      </c>
      <c r="L2668" s="26">
        <v>7000</v>
      </c>
      <c r="M2668" s="26">
        <v>50</v>
      </c>
      <c r="N2668" s="25">
        <f t="shared" si="83"/>
        <v>350000</v>
      </c>
      <c r="O2668" s="56"/>
    </row>
    <row r="2669" spans="1:15" hidden="1" x14ac:dyDescent="0.3">
      <c r="A2669" s="26">
        <v>31</v>
      </c>
      <c r="B2669" s="20" t="str">
        <f t="shared" si="82"/>
        <v>AUG</v>
      </c>
      <c r="C2669" s="21">
        <v>46236</v>
      </c>
      <c r="D2669" s="22" t="str">
        <f t="array" ref="D2669">IFERROR(INDEX('Kode Outlet dan Target Toko'!$A:$A,MATCH($I2669,'Kode Outlet dan Target Toko'!$E:$E,0)),"")</f>
        <v>GRSM 1</v>
      </c>
      <c r="E2669" s="20" t="str">
        <f>IFERROR(VLOOKUP(I2669,KET!$B:$F,4,0),"")</f>
        <v>AFNITA SARI</v>
      </c>
      <c r="F2669" s="20" t="str">
        <f>IFERROR(VLOOKUP(I2669,KET!$B:$F,5,0),"")</f>
        <v>MT</v>
      </c>
      <c r="G2669" s="20">
        <f>IFERROR(INDEX('Kode Outlet dan Target Toko'!$C:$C,MATCH($I2669,'Kode Outlet dan Target Toko'!$E:$E,0)),0)</f>
        <v>122506</v>
      </c>
      <c r="H2669" s="20">
        <f>IFERROR(INDEX('Kode Outlet dan Target Toko'!$D:$D,MATCH($I2669,'Kode Outlet dan Target Toko'!$E:$E,0)),0)</f>
        <v>214300</v>
      </c>
      <c r="I2669" s="42" t="s">
        <v>73</v>
      </c>
      <c r="J2669" s="56" t="s">
        <v>292</v>
      </c>
      <c r="K2669" s="40" t="s">
        <v>13</v>
      </c>
      <c r="L2669" s="26">
        <v>7000</v>
      </c>
      <c r="M2669" s="26">
        <v>40</v>
      </c>
      <c r="N2669" s="25">
        <f t="shared" si="83"/>
        <v>280000</v>
      </c>
      <c r="O2669" s="56"/>
    </row>
    <row r="2670" spans="1:15" hidden="1" x14ac:dyDescent="0.3">
      <c r="A2670" s="26">
        <v>31</v>
      </c>
      <c r="B2670" s="20" t="str">
        <f t="shared" si="82"/>
        <v>AUG</v>
      </c>
      <c r="C2670" s="21">
        <v>46236</v>
      </c>
      <c r="D2670" s="22" t="str">
        <f t="array" ref="D2670">IFERROR(INDEX('Kode Outlet dan Target Toko'!$A:$A,MATCH($I2670,'Kode Outlet dan Target Toko'!$E:$E,0)),"")</f>
        <v>GRSM 1</v>
      </c>
      <c r="E2670" s="20" t="str">
        <f>IFERROR(VLOOKUP(I2670,KET!$B:$F,4,0),"")</f>
        <v>AFNITA SARI</v>
      </c>
      <c r="F2670" s="20" t="str">
        <f>IFERROR(VLOOKUP(I2670,KET!$B:$F,5,0),"")</f>
        <v>MT</v>
      </c>
      <c r="G2670" s="20">
        <f>IFERROR(INDEX('Kode Outlet dan Target Toko'!$C:$C,MATCH($I2670,'Kode Outlet dan Target Toko'!$E:$E,0)),0)</f>
        <v>122506</v>
      </c>
      <c r="H2670" s="20">
        <f>IFERROR(INDEX('Kode Outlet dan Target Toko'!$D:$D,MATCH($I2670,'Kode Outlet dan Target Toko'!$E:$E,0)),0)</f>
        <v>214300</v>
      </c>
      <c r="I2670" s="42" t="s">
        <v>73</v>
      </c>
      <c r="J2670" s="56" t="s">
        <v>292</v>
      </c>
      <c r="K2670" s="40" t="s">
        <v>16</v>
      </c>
      <c r="L2670" s="26">
        <v>7000</v>
      </c>
      <c r="M2670" s="26">
        <v>94</v>
      </c>
      <c r="N2670" s="25">
        <f t="shared" si="83"/>
        <v>658000</v>
      </c>
      <c r="O2670" s="56">
        <v>160</v>
      </c>
    </row>
    <row r="2671" spans="1:15" hidden="1" x14ac:dyDescent="0.3">
      <c r="A2671" s="26">
        <v>31</v>
      </c>
      <c r="B2671" s="20" t="str">
        <f t="shared" si="82"/>
        <v>AUG</v>
      </c>
      <c r="C2671" s="21">
        <v>46236</v>
      </c>
      <c r="D2671" s="22" t="str">
        <f t="array" ref="D2671">IFERROR(INDEX('Kode Outlet dan Target Toko'!$A:$A,MATCH($I2671,'Kode Outlet dan Target Toko'!$E:$E,0)),"")</f>
        <v>GRSM 1</v>
      </c>
      <c r="E2671" s="20" t="str">
        <f>IFERROR(VLOOKUP(I2671,KET!$B:$F,4,0),"")</f>
        <v>AFNITA SARI</v>
      </c>
      <c r="F2671" s="20" t="str">
        <f>IFERROR(VLOOKUP(I2671,KET!$B:$F,5,0),"")</f>
        <v>MT</v>
      </c>
      <c r="G2671" s="20">
        <f>IFERROR(INDEX('Kode Outlet dan Target Toko'!$C:$C,MATCH($I2671,'Kode Outlet dan Target Toko'!$E:$E,0)),0)</f>
        <v>122506</v>
      </c>
      <c r="H2671" s="20">
        <f>IFERROR(INDEX('Kode Outlet dan Target Toko'!$D:$D,MATCH($I2671,'Kode Outlet dan Target Toko'!$E:$E,0)),0)</f>
        <v>214422</v>
      </c>
      <c r="I2671" s="42" t="s">
        <v>72</v>
      </c>
      <c r="J2671" s="56" t="s">
        <v>294</v>
      </c>
      <c r="K2671" s="40" t="s">
        <v>15</v>
      </c>
      <c r="L2671" s="26">
        <v>3200</v>
      </c>
      <c r="M2671" s="26">
        <v>40</v>
      </c>
      <c r="N2671" s="25">
        <f t="shared" si="83"/>
        <v>128000</v>
      </c>
      <c r="O2671" s="56"/>
    </row>
    <row r="2672" spans="1:15" hidden="1" x14ac:dyDescent="0.3">
      <c r="A2672" s="26">
        <v>31</v>
      </c>
      <c r="B2672" s="20" t="str">
        <f t="shared" si="82"/>
        <v>AUG</v>
      </c>
      <c r="C2672" s="21">
        <v>46236</v>
      </c>
      <c r="D2672" s="22" t="str">
        <f t="array" ref="D2672">IFERROR(INDEX('Kode Outlet dan Target Toko'!$A:$A,MATCH($I2672,'Kode Outlet dan Target Toko'!$E:$E,0)),"")</f>
        <v>GRSM 1</v>
      </c>
      <c r="E2672" s="20" t="str">
        <f>IFERROR(VLOOKUP(I2672,KET!$B:$F,4,0),"")</f>
        <v>AFNITA SARI</v>
      </c>
      <c r="F2672" s="20" t="str">
        <f>IFERROR(VLOOKUP(I2672,KET!$B:$F,5,0),"")</f>
        <v>MT</v>
      </c>
      <c r="G2672" s="20">
        <f>IFERROR(INDEX('Kode Outlet dan Target Toko'!$C:$C,MATCH($I2672,'Kode Outlet dan Target Toko'!$E:$E,0)),0)</f>
        <v>122506</v>
      </c>
      <c r="H2672" s="20">
        <f>IFERROR(INDEX('Kode Outlet dan Target Toko'!$D:$D,MATCH($I2672,'Kode Outlet dan Target Toko'!$E:$E,0)),0)</f>
        <v>214422</v>
      </c>
      <c r="I2672" s="42" t="s">
        <v>72</v>
      </c>
      <c r="J2672" s="56" t="s">
        <v>294</v>
      </c>
      <c r="K2672" s="40" t="s">
        <v>14</v>
      </c>
      <c r="L2672" s="26">
        <v>3200</v>
      </c>
      <c r="M2672" s="26">
        <v>42</v>
      </c>
      <c r="N2672" s="25">
        <f t="shared" si="83"/>
        <v>134400</v>
      </c>
      <c r="O2672" s="56"/>
    </row>
    <row r="2673" spans="1:15" hidden="1" x14ac:dyDescent="0.3">
      <c r="A2673" s="26">
        <v>31</v>
      </c>
      <c r="B2673" s="20" t="str">
        <f t="shared" si="82"/>
        <v>AUG</v>
      </c>
      <c r="C2673" s="21">
        <v>46236</v>
      </c>
      <c r="D2673" s="22" t="str">
        <f t="array" ref="D2673">IFERROR(INDEX('Kode Outlet dan Target Toko'!$A:$A,MATCH($I2673,'Kode Outlet dan Target Toko'!$E:$E,0)),"")</f>
        <v>GRSM 1</v>
      </c>
      <c r="E2673" s="20" t="str">
        <f>IFERROR(VLOOKUP(I2673,KET!$B:$F,4,0),"")</f>
        <v>AFNITA SARI</v>
      </c>
      <c r="F2673" s="20" t="str">
        <f>IFERROR(VLOOKUP(I2673,KET!$B:$F,5,0),"")</f>
        <v>MT</v>
      </c>
      <c r="G2673" s="20">
        <f>IFERROR(INDEX('Kode Outlet dan Target Toko'!$C:$C,MATCH($I2673,'Kode Outlet dan Target Toko'!$E:$E,0)),0)</f>
        <v>122506</v>
      </c>
      <c r="H2673" s="20">
        <f>IFERROR(INDEX('Kode Outlet dan Target Toko'!$D:$D,MATCH($I2673,'Kode Outlet dan Target Toko'!$E:$E,0)),0)</f>
        <v>214422</v>
      </c>
      <c r="I2673" s="42" t="s">
        <v>72</v>
      </c>
      <c r="J2673" s="56" t="s">
        <v>294</v>
      </c>
      <c r="K2673" s="40" t="s">
        <v>13</v>
      </c>
      <c r="L2673" s="26">
        <v>3200</v>
      </c>
      <c r="M2673" s="26">
        <v>82</v>
      </c>
      <c r="N2673" s="25">
        <f t="shared" si="83"/>
        <v>262400</v>
      </c>
      <c r="O2673" s="56"/>
    </row>
    <row r="2674" spans="1:15" hidden="1" x14ac:dyDescent="0.3">
      <c r="A2674" s="26">
        <v>31</v>
      </c>
      <c r="B2674" s="20" t="str">
        <f t="shared" si="82"/>
        <v>AUG</v>
      </c>
      <c r="C2674" s="21">
        <v>46236</v>
      </c>
      <c r="D2674" s="22" t="str">
        <f t="array" ref="D2674">IFERROR(INDEX('Kode Outlet dan Target Toko'!$A:$A,MATCH($I2674,'Kode Outlet dan Target Toko'!$E:$E,0)),"")</f>
        <v>GRSM 1</v>
      </c>
      <c r="E2674" s="20" t="str">
        <f>IFERROR(VLOOKUP(I2674,KET!$B:$F,4,0),"")</f>
        <v>AFNITA SARI</v>
      </c>
      <c r="F2674" s="20" t="str">
        <f>IFERROR(VLOOKUP(I2674,KET!$B:$F,5,0),"")</f>
        <v>MT</v>
      </c>
      <c r="G2674" s="20">
        <f>IFERROR(INDEX('Kode Outlet dan Target Toko'!$C:$C,MATCH($I2674,'Kode Outlet dan Target Toko'!$E:$E,0)),0)</f>
        <v>122506</v>
      </c>
      <c r="H2674" s="20">
        <f>IFERROR(INDEX('Kode Outlet dan Target Toko'!$D:$D,MATCH($I2674,'Kode Outlet dan Target Toko'!$E:$E,0)),0)</f>
        <v>214422</v>
      </c>
      <c r="I2674" s="42" t="s">
        <v>72</v>
      </c>
      <c r="J2674" s="56" t="s">
        <v>294</v>
      </c>
      <c r="K2674" s="40" t="s">
        <v>16</v>
      </c>
      <c r="L2674" s="26">
        <v>3200</v>
      </c>
      <c r="M2674" s="26">
        <v>84</v>
      </c>
      <c r="N2674" s="25">
        <f t="shared" si="83"/>
        <v>268800</v>
      </c>
      <c r="O2674" s="56">
        <v>160</v>
      </c>
    </row>
    <row r="2675" spans="1:15" hidden="1" x14ac:dyDescent="0.3">
      <c r="A2675" s="26">
        <v>31</v>
      </c>
      <c r="B2675" s="20" t="str">
        <f t="shared" si="82"/>
        <v>AUG</v>
      </c>
      <c r="C2675" s="21">
        <v>46236</v>
      </c>
      <c r="D2675" s="22" t="str">
        <f t="array" ref="D2675">IFERROR(INDEX('Kode Outlet dan Target Toko'!$A:$A,MATCH($I2675,'Kode Outlet dan Target Toko'!$E:$E,0)),"")</f>
        <v>GRSM 1</v>
      </c>
      <c r="E2675" s="20" t="str">
        <f>IFERROR(VLOOKUP(I2675,KET!$B:$F,4,0),"")</f>
        <v>AFNITA SARI</v>
      </c>
      <c r="F2675" s="20" t="str">
        <f>IFERROR(VLOOKUP(I2675,KET!$B:$F,5,0),"")</f>
        <v>MT</v>
      </c>
      <c r="G2675" s="20">
        <f>IFERROR(INDEX('Kode Outlet dan Target Toko'!$C:$C,MATCH($I2675,'Kode Outlet dan Target Toko'!$E:$E,0)),0)</f>
        <v>122506</v>
      </c>
      <c r="H2675" s="20">
        <f>IFERROR(INDEX('Kode Outlet dan Target Toko'!$D:$D,MATCH($I2675,'Kode Outlet dan Target Toko'!$E:$E,0)),0)</f>
        <v>214422</v>
      </c>
      <c r="I2675" s="42" t="s">
        <v>72</v>
      </c>
      <c r="J2675" s="56" t="s">
        <v>293</v>
      </c>
      <c r="K2675" s="40" t="s">
        <v>15</v>
      </c>
      <c r="L2675" s="26">
        <v>3200</v>
      </c>
      <c r="M2675" s="26">
        <v>40</v>
      </c>
      <c r="N2675" s="25">
        <f t="shared" si="83"/>
        <v>128000</v>
      </c>
      <c r="O2675" s="56"/>
    </row>
    <row r="2676" spans="1:15" hidden="1" x14ac:dyDescent="0.3">
      <c r="A2676" s="26">
        <v>31</v>
      </c>
      <c r="B2676" s="20" t="str">
        <f t="shared" si="82"/>
        <v>AUG</v>
      </c>
      <c r="C2676" s="21">
        <v>46236</v>
      </c>
      <c r="D2676" s="22" t="str">
        <f t="array" ref="D2676">IFERROR(INDEX('Kode Outlet dan Target Toko'!$A:$A,MATCH($I2676,'Kode Outlet dan Target Toko'!$E:$E,0)),"")</f>
        <v>GRSM 1</v>
      </c>
      <c r="E2676" s="20" t="str">
        <f>IFERROR(VLOOKUP(I2676,KET!$B:$F,4,0),"")</f>
        <v>AFNITA SARI</v>
      </c>
      <c r="F2676" s="20" t="str">
        <f>IFERROR(VLOOKUP(I2676,KET!$B:$F,5,0),"")</f>
        <v>MT</v>
      </c>
      <c r="G2676" s="20">
        <f>IFERROR(INDEX('Kode Outlet dan Target Toko'!$C:$C,MATCH($I2676,'Kode Outlet dan Target Toko'!$E:$E,0)),0)</f>
        <v>122506</v>
      </c>
      <c r="H2676" s="20">
        <f>IFERROR(INDEX('Kode Outlet dan Target Toko'!$D:$D,MATCH($I2676,'Kode Outlet dan Target Toko'!$E:$E,0)),0)</f>
        <v>214422</v>
      </c>
      <c r="I2676" s="42" t="s">
        <v>72</v>
      </c>
      <c r="J2676" s="56" t="s">
        <v>293</v>
      </c>
      <c r="K2676" s="40" t="s">
        <v>14</v>
      </c>
      <c r="L2676" s="26">
        <v>3200</v>
      </c>
      <c r="M2676" s="26">
        <v>42</v>
      </c>
      <c r="N2676" s="25">
        <f t="shared" si="83"/>
        <v>134400</v>
      </c>
      <c r="O2676" s="56"/>
    </row>
    <row r="2677" spans="1:15" hidden="1" x14ac:dyDescent="0.3">
      <c r="A2677" s="26">
        <v>31</v>
      </c>
      <c r="B2677" s="20" t="str">
        <f t="shared" si="82"/>
        <v>AUG</v>
      </c>
      <c r="C2677" s="21">
        <v>46236</v>
      </c>
      <c r="D2677" s="22" t="str">
        <f t="array" ref="D2677">IFERROR(INDEX('Kode Outlet dan Target Toko'!$A:$A,MATCH($I2677,'Kode Outlet dan Target Toko'!$E:$E,0)),"")</f>
        <v>GRSM 1</v>
      </c>
      <c r="E2677" s="20" t="str">
        <f>IFERROR(VLOOKUP(I2677,KET!$B:$F,4,0),"")</f>
        <v>AFNITA SARI</v>
      </c>
      <c r="F2677" s="20" t="str">
        <f>IFERROR(VLOOKUP(I2677,KET!$B:$F,5,0),"")</f>
        <v>MT</v>
      </c>
      <c r="G2677" s="20">
        <f>IFERROR(INDEX('Kode Outlet dan Target Toko'!$C:$C,MATCH($I2677,'Kode Outlet dan Target Toko'!$E:$E,0)),0)</f>
        <v>122506</v>
      </c>
      <c r="H2677" s="20">
        <f>IFERROR(INDEX('Kode Outlet dan Target Toko'!$D:$D,MATCH($I2677,'Kode Outlet dan Target Toko'!$E:$E,0)),0)</f>
        <v>214422</v>
      </c>
      <c r="I2677" s="42" t="s">
        <v>72</v>
      </c>
      <c r="J2677" s="56" t="s">
        <v>293</v>
      </c>
      <c r="K2677" s="40" t="s">
        <v>13</v>
      </c>
      <c r="L2677" s="26">
        <v>3200</v>
      </c>
      <c r="M2677" s="26">
        <v>82</v>
      </c>
      <c r="N2677" s="25">
        <f t="shared" si="83"/>
        <v>262400</v>
      </c>
      <c r="O2677" s="56"/>
    </row>
    <row r="2678" spans="1:15" hidden="1" x14ac:dyDescent="0.3">
      <c r="A2678" s="26">
        <v>31</v>
      </c>
      <c r="B2678" s="20" t="str">
        <f t="shared" si="82"/>
        <v>AUG</v>
      </c>
      <c r="C2678" s="21">
        <v>46236</v>
      </c>
      <c r="D2678" s="22" t="str">
        <f t="array" ref="D2678">IFERROR(INDEX('Kode Outlet dan Target Toko'!$A:$A,MATCH($I2678,'Kode Outlet dan Target Toko'!$E:$E,0)),"")</f>
        <v>GRSM 1</v>
      </c>
      <c r="E2678" s="20" t="str">
        <f>IFERROR(VLOOKUP(I2678,KET!$B:$F,4,0),"")</f>
        <v>AFNITA SARI</v>
      </c>
      <c r="F2678" s="20" t="str">
        <f>IFERROR(VLOOKUP(I2678,KET!$B:$F,5,0),"")</f>
        <v>MT</v>
      </c>
      <c r="G2678" s="20">
        <f>IFERROR(INDEX('Kode Outlet dan Target Toko'!$C:$C,MATCH($I2678,'Kode Outlet dan Target Toko'!$E:$E,0)),0)</f>
        <v>122506</v>
      </c>
      <c r="H2678" s="20">
        <f>IFERROR(INDEX('Kode Outlet dan Target Toko'!$D:$D,MATCH($I2678,'Kode Outlet dan Target Toko'!$E:$E,0)),0)</f>
        <v>214422</v>
      </c>
      <c r="I2678" s="42" t="s">
        <v>72</v>
      </c>
      <c r="J2678" s="56" t="s">
        <v>293</v>
      </c>
      <c r="K2678" s="40" t="s">
        <v>16</v>
      </c>
      <c r="L2678" s="26">
        <v>3200</v>
      </c>
      <c r="M2678" s="26">
        <v>84</v>
      </c>
      <c r="N2678" s="25">
        <f t="shared" si="83"/>
        <v>268800</v>
      </c>
      <c r="O2678" s="56">
        <v>160</v>
      </c>
    </row>
    <row r="2679" spans="1:15" hidden="1" x14ac:dyDescent="0.3">
      <c r="A2679" s="26">
        <v>31</v>
      </c>
      <c r="B2679" s="20" t="str">
        <f t="shared" si="82"/>
        <v>AUG</v>
      </c>
      <c r="C2679" s="21">
        <v>46236</v>
      </c>
      <c r="D2679" s="22" t="str">
        <f t="array" ref="D2679">IFERROR(INDEX('Kode Outlet dan Target Toko'!$A:$A,MATCH($I2679,'Kode Outlet dan Target Toko'!$E:$E,0)),"")</f>
        <v>GRSM 1</v>
      </c>
      <c r="E2679" s="20" t="str">
        <f>IFERROR(VLOOKUP(I2679,KET!$B:$F,4,0),"")</f>
        <v>AFNITA SARI</v>
      </c>
      <c r="F2679" s="20" t="str">
        <f>IFERROR(VLOOKUP(I2679,KET!$B:$F,5,0),"")</f>
        <v>MT</v>
      </c>
      <c r="G2679" s="20">
        <f>IFERROR(INDEX('Kode Outlet dan Target Toko'!$C:$C,MATCH($I2679,'Kode Outlet dan Target Toko'!$E:$E,0)),0)</f>
        <v>122506</v>
      </c>
      <c r="H2679" s="20">
        <f>IFERROR(INDEX('Kode Outlet dan Target Toko'!$D:$D,MATCH($I2679,'Kode Outlet dan Target Toko'!$E:$E,0)),0)</f>
        <v>202816</v>
      </c>
      <c r="I2679" s="42" t="s">
        <v>71</v>
      </c>
      <c r="J2679" s="56" t="s">
        <v>295</v>
      </c>
      <c r="K2679" s="40" t="s">
        <v>15</v>
      </c>
      <c r="L2679" s="26">
        <v>7000</v>
      </c>
      <c r="M2679" s="26">
        <v>55</v>
      </c>
      <c r="N2679" s="25">
        <f t="shared" si="83"/>
        <v>385000</v>
      </c>
      <c r="O2679" s="56"/>
    </row>
    <row r="2680" spans="1:15" hidden="1" x14ac:dyDescent="0.3">
      <c r="A2680" s="26">
        <v>31</v>
      </c>
      <c r="B2680" s="20" t="str">
        <f t="shared" si="82"/>
        <v>AUG</v>
      </c>
      <c r="C2680" s="21">
        <v>46236</v>
      </c>
      <c r="D2680" s="22" t="str">
        <f t="array" ref="D2680">IFERROR(INDEX('Kode Outlet dan Target Toko'!$A:$A,MATCH($I2680,'Kode Outlet dan Target Toko'!$E:$E,0)),"")</f>
        <v>GRSM 1</v>
      </c>
      <c r="E2680" s="20" t="str">
        <f>IFERROR(VLOOKUP(I2680,KET!$B:$F,4,0),"")</f>
        <v>AFNITA SARI</v>
      </c>
      <c r="F2680" s="20" t="str">
        <f>IFERROR(VLOOKUP(I2680,KET!$B:$F,5,0),"")</f>
        <v>MT</v>
      </c>
      <c r="G2680" s="20">
        <f>IFERROR(INDEX('Kode Outlet dan Target Toko'!$C:$C,MATCH($I2680,'Kode Outlet dan Target Toko'!$E:$E,0)),0)</f>
        <v>122506</v>
      </c>
      <c r="H2680" s="20">
        <f>IFERROR(INDEX('Kode Outlet dan Target Toko'!$D:$D,MATCH($I2680,'Kode Outlet dan Target Toko'!$E:$E,0)),0)</f>
        <v>202816</v>
      </c>
      <c r="I2680" s="42" t="s">
        <v>71</v>
      </c>
      <c r="J2680" s="56" t="s">
        <v>295</v>
      </c>
      <c r="K2680" s="40" t="s">
        <v>14</v>
      </c>
      <c r="L2680" s="26">
        <v>7000</v>
      </c>
      <c r="M2680" s="26">
        <v>66</v>
      </c>
      <c r="N2680" s="25">
        <f t="shared" si="83"/>
        <v>462000</v>
      </c>
      <c r="O2680" s="56"/>
    </row>
    <row r="2681" spans="1:15" hidden="1" x14ac:dyDescent="0.3">
      <c r="A2681" s="26">
        <v>31</v>
      </c>
      <c r="B2681" s="20" t="str">
        <f t="shared" si="82"/>
        <v>AUG</v>
      </c>
      <c r="C2681" s="21">
        <v>46236</v>
      </c>
      <c r="D2681" s="22" t="str">
        <f t="array" ref="D2681">IFERROR(INDEX('Kode Outlet dan Target Toko'!$A:$A,MATCH($I2681,'Kode Outlet dan Target Toko'!$E:$E,0)),"")</f>
        <v>GRSM 1</v>
      </c>
      <c r="E2681" s="20" t="str">
        <f>IFERROR(VLOOKUP(I2681,KET!$B:$F,4,0),"")</f>
        <v>AFNITA SARI</v>
      </c>
      <c r="F2681" s="20" t="str">
        <f>IFERROR(VLOOKUP(I2681,KET!$B:$F,5,0),"")</f>
        <v>MT</v>
      </c>
      <c r="G2681" s="20">
        <f>IFERROR(INDEX('Kode Outlet dan Target Toko'!$C:$C,MATCH($I2681,'Kode Outlet dan Target Toko'!$E:$E,0)),0)</f>
        <v>122506</v>
      </c>
      <c r="H2681" s="20">
        <f>IFERROR(INDEX('Kode Outlet dan Target Toko'!$D:$D,MATCH($I2681,'Kode Outlet dan Target Toko'!$E:$E,0)),0)</f>
        <v>202816</v>
      </c>
      <c r="I2681" s="42" t="s">
        <v>71</v>
      </c>
      <c r="J2681" s="56" t="s">
        <v>295</v>
      </c>
      <c r="K2681" s="40" t="s">
        <v>13</v>
      </c>
      <c r="L2681" s="26">
        <v>7000</v>
      </c>
      <c r="M2681" s="26">
        <v>20</v>
      </c>
      <c r="N2681" s="25">
        <f t="shared" si="83"/>
        <v>140000</v>
      </c>
      <c r="O2681" s="56"/>
    </row>
    <row r="2682" spans="1:15" hidden="1" x14ac:dyDescent="0.3">
      <c r="A2682" s="26">
        <v>31</v>
      </c>
      <c r="B2682" s="20" t="str">
        <f t="shared" si="82"/>
        <v>AUG</v>
      </c>
      <c r="C2682" s="21">
        <v>46236</v>
      </c>
      <c r="D2682" s="22" t="str">
        <f t="array" ref="D2682">IFERROR(INDEX('Kode Outlet dan Target Toko'!$A:$A,MATCH($I2682,'Kode Outlet dan Target Toko'!$E:$E,0)),"")</f>
        <v>GRSM 1</v>
      </c>
      <c r="E2682" s="20" t="str">
        <f>IFERROR(VLOOKUP(I2682,KET!$B:$F,4,0),"")</f>
        <v>AFNITA SARI</v>
      </c>
      <c r="F2682" s="20" t="str">
        <f>IFERROR(VLOOKUP(I2682,KET!$B:$F,5,0),"")</f>
        <v>MT</v>
      </c>
      <c r="G2682" s="20">
        <f>IFERROR(INDEX('Kode Outlet dan Target Toko'!$C:$C,MATCH($I2682,'Kode Outlet dan Target Toko'!$E:$E,0)),0)</f>
        <v>122506</v>
      </c>
      <c r="H2682" s="20">
        <f>IFERROR(INDEX('Kode Outlet dan Target Toko'!$D:$D,MATCH($I2682,'Kode Outlet dan Target Toko'!$E:$E,0)),0)</f>
        <v>202816</v>
      </c>
      <c r="I2682" s="42" t="s">
        <v>71</v>
      </c>
      <c r="J2682" s="56" t="s">
        <v>295</v>
      </c>
      <c r="K2682" s="40" t="s">
        <v>16</v>
      </c>
      <c r="L2682" s="26">
        <v>7000</v>
      </c>
      <c r="M2682" s="26">
        <v>86</v>
      </c>
      <c r="N2682" s="25">
        <f t="shared" si="83"/>
        <v>602000</v>
      </c>
      <c r="O2682" s="56">
        <v>160</v>
      </c>
    </row>
    <row r="2683" spans="1:15" hidden="1" x14ac:dyDescent="0.3">
      <c r="A2683" s="26">
        <v>31</v>
      </c>
      <c r="B2683" s="20" t="str">
        <f t="shared" si="82"/>
        <v>AUG</v>
      </c>
      <c r="C2683" s="21">
        <v>46236</v>
      </c>
      <c r="D2683" s="22" t="str">
        <f t="array" ref="D2683">IFERROR(INDEX('Kode Outlet dan Target Toko'!$A:$A,MATCH($I2683,'Kode Outlet dan Target Toko'!$E:$E,0)),"")</f>
        <v>GRSM 1</v>
      </c>
      <c r="E2683" s="20" t="str">
        <f>IFERROR(VLOOKUP(I2683,KET!$B:$F,4,0),"")</f>
        <v>AFNITA SARI</v>
      </c>
      <c r="F2683" s="20" t="str">
        <f>IFERROR(VLOOKUP(I2683,KET!$B:$F,5,0),"")</f>
        <v>MT</v>
      </c>
      <c r="G2683" s="20">
        <f>IFERROR(INDEX('Kode Outlet dan Target Toko'!$C:$C,MATCH($I2683,'Kode Outlet dan Target Toko'!$E:$E,0)),0)</f>
        <v>122506</v>
      </c>
      <c r="H2683" s="20">
        <f>IFERROR(INDEX('Kode Outlet dan Target Toko'!$D:$D,MATCH($I2683,'Kode Outlet dan Target Toko'!$E:$E,0)),0)</f>
        <v>202816</v>
      </c>
      <c r="I2683" s="42" t="s">
        <v>71</v>
      </c>
      <c r="J2683" s="56" t="s">
        <v>296</v>
      </c>
      <c r="K2683" s="40" t="s">
        <v>15</v>
      </c>
      <c r="L2683" s="26">
        <v>7000</v>
      </c>
      <c r="M2683" s="26">
        <v>55</v>
      </c>
      <c r="N2683" s="25">
        <f t="shared" si="83"/>
        <v>385000</v>
      </c>
      <c r="O2683" s="56"/>
    </row>
    <row r="2684" spans="1:15" hidden="1" x14ac:dyDescent="0.3">
      <c r="A2684" s="26">
        <v>31</v>
      </c>
      <c r="B2684" s="20" t="str">
        <f t="shared" si="82"/>
        <v>AUG</v>
      </c>
      <c r="C2684" s="21">
        <v>46236</v>
      </c>
      <c r="D2684" s="22" t="str">
        <f t="array" ref="D2684">IFERROR(INDEX('Kode Outlet dan Target Toko'!$A:$A,MATCH($I2684,'Kode Outlet dan Target Toko'!$E:$E,0)),"")</f>
        <v>GRSM 1</v>
      </c>
      <c r="E2684" s="20" t="str">
        <f>IFERROR(VLOOKUP(I2684,KET!$B:$F,4,0),"")</f>
        <v>AFNITA SARI</v>
      </c>
      <c r="F2684" s="20" t="str">
        <f>IFERROR(VLOOKUP(I2684,KET!$B:$F,5,0),"")</f>
        <v>MT</v>
      </c>
      <c r="G2684" s="20">
        <f>IFERROR(INDEX('Kode Outlet dan Target Toko'!$C:$C,MATCH($I2684,'Kode Outlet dan Target Toko'!$E:$E,0)),0)</f>
        <v>122506</v>
      </c>
      <c r="H2684" s="20">
        <f>IFERROR(INDEX('Kode Outlet dan Target Toko'!$D:$D,MATCH($I2684,'Kode Outlet dan Target Toko'!$E:$E,0)),0)</f>
        <v>202816</v>
      </c>
      <c r="I2684" s="42" t="s">
        <v>71</v>
      </c>
      <c r="J2684" s="56" t="s">
        <v>296</v>
      </c>
      <c r="K2684" s="40" t="s">
        <v>14</v>
      </c>
      <c r="L2684" s="26">
        <v>7000</v>
      </c>
      <c r="M2684" s="26">
        <v>66</v>
      </c>
      <c r="N2684" s="25">
        <f t="shared" si="83"/>
        <v>462000</v>
      </c>
      <c r="O2684" s="56"/>
    </row>
    <row r="2685" spans="1:15" hidden="1" x14ac:dyDescent="0.3">
      <c r="A2685" s="26">
        <v>31</v>
      </c>
      <c r="B2685" s="20" t="str">
        <f t="shared" si="82"/>
        <v>AUG</v>
      </c>
      <c r="C2685" s="21">
        <v>46236</v>
      </c>
      <c r="D2685" s="22" t="str">
        <f t="array" ref="D2685">IFERROR(INDEX('Kode Outlet dan Target Toko'!$A:$A,MATCH($I2685,'Kode Outlet dan Target Toko'!$E:$E,0)),"")</f>
        <v>GRSM 1</v>
      </c>
      <c r="E2685" s="20" t="str">
        <f>IFERROR(VLOOKUP(I2685,KET!$B:$F,4,0),"")</f>
        <v>AFNITA SARI</v>
      </c>
      <c r="F2685" s="20" t="str">
        <f>IFERROR(VLOOKUP(I2685,KET!$B:$F,5,0),"")</f>
        <v>MT</v>
      </c>
      <c r="G2685" s="20">
        <f>IFERROR(INDEX('Kode Outlet dan Target Toko'!$C:$C,MATCH($I2685,'Kode Outlet dan Target Toko'!$E:$E,0)),0)</f>
        <v>122506</v>
      </c>
      <c r="H2685" s="20">
        <f>IFERROR(INDEX('Kode Outlet dan Target Toko'!$D:$D,MATCH($I2685,'Kode Outlet dan Target Toko'!$E:$E,0)),0)</f>
        <v>202816</v>
      </c>
      <c r="I2685" s="42" t="s">
        <v>71</v>
      </c>
      <c r="J2685" s="56" t="s">
        <v>296</v>
      </c>
      <c r="K2685" s="40" t="s">
        <v>13</v>
      </c>
      <c r="L2685" s="26">
        <v>7000</v>
      </c>
      <c r="M2685" s="26">
        <v>20</v>
      </c>
      <c r="N2685" s="25">
        <f t="shared" si="83"/>
        <v>140000</v>
      </c>
      <c r="O2685" s="56"/>
    </row>
    <row r="2686" spans="1:15" hidden="1" x14ac:dyDescent="0.3">
      <c r="A2686" s="26">
        <v>31</v>
      </c>
      <c r="B2686" s="20" t="str">
        <f t="shared" si="82"/>
        <v>AUG</v>
      </c>
      <c r="C2686" s="21">
        <v>46236</v>
      </c>
      <c r="D2686" s="22" t="str">
        <f t="array" ref="D2686">IFERROR(INDEX('Kode Outlet dan Target Toko'!$A:$A,MATCH($I2686,'Kode Outlet dan Target Toko'!$E:$E,0)),"")</f>
        <v>GRSM 1</v>
      </c>
      <c r="E2686" s="20" t="str">
        <f>IFERROR(VLOOKUP(I2686,KET!$B:$F,4,0),"")</f>
        <v>AFNITA SARI</v>
      </c>
      <c r="F2686" s="20" t="str">
        <f>IFERROR(VLOOKUP(I2686,KET!$B:$F,5,0),"")</f>
        <v>MT</v>
      </c>
      <c r="G2686" s="20">
        <f>IFERROR(INDEX('Kode Outlet dan Target Toko'!$C:$C,MATCH($I2686,'Kode Outlet dan Target Toko'!$E:$E,0)),0)</f>
        <v>122506</v>
      </c>
      <c r="H2686" s="20">
        <f>IFERROR(INDEX('Kode Outlet dan Target Toko'!$D:$D,MATCH($I2686,'Kode Outlet dan Target Toko'!$E:$E,0)),0)</f>
        <v>202816</v>
      </c>
      <c r="I2686" s="42" t="s">
        <v>71</v>
      </c>
      <c r="J2686" s="56" t="s">
        <v>296</v>
      </c>
      <c r="K2686" s="40" t="s">
        <v>16</v>
      </c>
      <c r="L2686" s="26">
        <v>7000</v>
      </c>
      <c r="M2686" s="26">
        <v>86</v>
      </c>
      <c r="N2686" s="25">
        <f t="shared" si="83"/>
        <v>602000</v>
      </c>
      <c r="O2686" s="56">
        <v>160</v>
      </c>
    </row>
    <row r="2687" spans="1:15" hidden="1" x14ac:dyDescent="0.3">
      <c r="A2687" s="26">
        <v>31</v>
      </c>
      <c r="B2687" s="20" t="str">
        <f t="shared" si="82"/>
        <v>AUG</v>
      </c>
      <c r="C2687" s="21">
        <v>46235</v>
      </c>
      <c r="D2687" s="22" t="str">
        <f t="array" ref="D2687">IFERROR(INDEX('Kode Outlet dan Target Toko'!$A:$A,MATCH($I2687,'Kode Outlet dan Target Toko'!$E:$E,0)),"")</f>
        <v>GRSM 6</v>
      </c>
      <c r="E2687" s="20" t="str">
        <f>IFERROR(VLOOKUP(I2687,KET!$B:$F,4,0),"")</f>
        <v>WINDA</v>
      </c>
      <c r="F2687" s="20" t="str">
        <f>IFERROR(VLOOKUP(I2687,KET!$B:$F,5,0),"")</f>
        <v>GMM</v>
      </c>
      <c r="G2687" s="20">
        <f>IFERROR(INDEX('Kode Outlet dan Target Toko'!$C:$C,MATCH($I2687,'Kode Outlet dan Target Toko'!$E:$E,0)),0)</f>
        <v>211163</v>
      </c>
      <c r="H2687" s="20">
        <f>IFERROR(INDEX('Kode Outlet dan Target Toko'!$D:$D,MATCH($I2687,'Kode Outlet dan Target Toko'!$E:$E,0)),0)</f>
        <v>3703215</v>
      </c>
      <c r="I2687" s="42" t="s">
        <v>53</v>
      </c>
      <c r="J2687" s="56" t="s">
        <v>275</v>
      </c>
      <c r="K2687" s="40" t="s">
        <v>15</v>
      </c>
      <c r="L2687" s="26">
        <v>3000</v>
      </c>
      <c r="M2687" s="26">
        <v>153</v>
      </c>
      <c r="N2687" s="25">
        <f t="shared" si="83"/>
        <v>459000</v>
      </c>
      <c r="O2687" s="56"/>
    </row>
    <row r="2688" spans="1:15" hidden="1" x14ac:dyDescent="0.3">
      <c r="A2688" s="26">
        <v>31</v>
      </c>
      <c r="B2688" s="20" t="str">
        <f t="shared" si="82"/>
        <v>AUG</v>
      </c>
      <c r="C2688" s="21">
        <v>46235</v>
      </c>
      <c r="D2688" s="22" t="str">
        <f t="array" ref="D2688">IFERROR(INDEX('Kode Outlet dan Target Toko'!$A:$A,MATCH($I2688,'Kode Outlet dan Target Toko'!$E:$E,0)),"")</f>
        <v>GRSM 6</v>
      </c>
      <c r="E2688" s="20" t="str">
        <f>IFERROR(VLOOKUP(I2688,KET!$B:$F,4,0),"")</f>
        <v>WINDA</v>
      </c>
      <c r="F2688" s="20" t="str">
        <f>IFERROR(VLOOKUP(I2688,KET!$B:$F,5,0),"")</f>
        <v>GMM</v>
      </c>
      <c r="G2688" s="20">
        <f>IFERROR(INDEX('Kode Outlet dan Target Toko'!$C:$C,MATCH($I2688,'Kode Outlet dan Target Toko'!$E:$E,0)),0)</f>
        <v>211163</v>
      </c>
      <c r="H2688" s="20">
        <f>IFERROR(INDEX('Kode Outlet dan Target Toko'!$D:$D,MATCH($I2688,'Kode Outlet dan Target Toko'!$E:$E,0)),0)</f>
        <v>3703215</v>
      </c>
      <c r="I2688" s="42" t="s">
        <v>53</v>
      </c>
      <c r="J2688" s="56" t="s">
        <v>275</v>
      </c>
      <c r="K2688" s="40" t="s">
        <v>14</v>
      </c>
      <c r="L2688" s="26">
        <v>3000</v>
      </c>
      <c r="M2688" s="26">
        <v>132</v>
      </c>
      <c r="N2688" s="25">
        <f t="shared" si="83"/>
        <v>396000</v>
      </c>
      <c r="O2688" s="56"/>
    </row>
    <row r="2689" spans="1:15" hidden="1" x14ac:dyDescent="0.3">
      <c r="A2689" s="26">
        <v>31</v>
      </c>
      <c r="B2689" s="20" t="str">
        <f t="shared" si="82"/>
        <v>AUG</v>
      </c>
      <c r="C2689" s="21">
        <v>46235</v>
      </c>
      <c r="D2689" s="22" t="str">
        <f t="array" ref="D2689">IFERROR(INDEX('Kode Outlet dan Target Toko'!$A:$A,MATCH($I2689,'Kode Outlet dan Target Toko'!$E:$E,0)),"")</f>
        <v>GRSM 6</v>
      </c>
      <c r="E2689" s="20" t="str">
        <f>IFERROR(VLOOKUP(I2689,KET!$B:$F,4,0),"")</f>
        <v>WINDA</v>
      </c>
      <c r="F2689" s="20" t="str">
        <f>IFERROR(VLOOKUP(I2689,KET!$B:$F,5,0),"")</f>
        <v>GMM</v>
      </c>
      <c r="G2689" s="20">
        <f>IFERROR(INDEX('Kode Outlet dan Target Toko'!$C:$C,MATCH($I2689,'Kode Outlet dan Target Toko'!$E:$E,0)),0)</f>
        <v>211163</v>
      </c>
      <c r="H2689" s="20">
        <f>IFERROR(INDEX('Kode Outlet dan Target Toko'!$D:$D,MATCH($I2689,'Kode Outlet dan Target Toko'!$E:$E,0)),0)</f>
        <v>3703215</v>
      </c>
      <c r="I2689" s="42" t="s">
        <v>53</v>
      </c>
      <c r="J2689" s="56" t="s">
        <v>275</v>
      </c>
      <c r="K2689" s="40" t="s">
        <v>13</v>
      </c>
      <c r="L2689" s="26">
        <v>3000</v>
      </c>
      <c r="M2689" s="26">
        <v>0</v>
      </c>
      <c r="N2689" s="25">
        <f t="shared" si="83"/>
        <v>0</v>
      </c>
      <c r="O2689" s="56"/>
    </row>
    <row r="2690" spans="1:15" hidden="1" x14ac:dyDescent="0.3">
      <c r="A2690" s="26">
        <v>31</v>
      </c>
      <c r="B2690" s="20" t="str">
        <f t="shared" si="82"/>
        <v>AUG</v>
      </c>
      <c r="C2690" s="21">
        <v>46235</v>
      </c>
      <c r="D2690" s="22" t="str">
        <f t="array" ref="D2690">IFERROR(INDEX('Kode Outlet dan Target Toko'!$A:$A,MATCH($I2690,'Kode Outlet dan Target Toko'!$E:$E,0)),"")</f>
        <v>GRSM 6</v>
      </c>
      <c r="E2690" s="20" t="str">
        <f>IFERROR(VLOOKUP(I2690,KET!$B:$F,4,0),"")</f>
        <v>WINDA</v>
      </c>
      <c r="F2690" s="20" t="str">
        <f>IFERROR(VLOOKUP(I2690,KET!$B:$F,5,0),"")</f>
        <v>GMM</v>
      </c>
      <c r="G2690" s="20">
        <f>IFERROR(INDEX('Kode Outlet dan Target Toko'!$C:$C,MATCH($I2690,'Kode Outlet dan Target Toko'!$E:$E,0)),0)</f>
        <v>211163</v>
      </c>
      <c r="H2690" s="20">
        <f>IFERROR(INDEX('Kode Outlet dan Target Toko'!$D:$D,MATCH($I2690,'Kode Outlet dan Target Toko'!$E:$E,0)),0)</f>
        <v>3703215</v>
      </c>
      <c r="I2690" s="42" t="s">
        <v>53</v>
      </c>
      <c r="J2690" s="56" t="s">
        <v>275</v>
      </c>
      <c r="K2690" s="40" t="s">
        <v>16</v>
      </c>
      <c r="L2690" s="26">
        <v>3000</v>
      </c>
      <c r="M2690" s="26">
        <v>208</v>
      </c>
      <c r="N2690" s="25">
        <f t="shared" si="83"/>
        <v>624000</v>
      </c>
      <c r="O2690" s="56">
        <v>85</v>
      </c>
    </row>
    <row r="2691" spans="1:15" hidden="1" x14ac:dyDescent="0.3">
      <c r="A2691" s="26">
        <v>31</v>
      </c>
      <c r="B2691" s="20" t="str">
        <f t="shared" si="82"/>
        <v>AUG</v>
      </c>
      <c r="C2691" s="21">
        <v>46235</v>
      </c>
      <c r="D2691" s="22" t="str">
        <f t="array" ref="D2691">IFERROR(INDEX('Kode Outlet dan Target Toko'!$A:$A,MATCH($I2691,'Kode Outlet dan Target Toko'!$E:$E,0)),"")</f>
        <v>GRSM 6</v>
      </c>
      <c r="E2691" s="20" t="str">
        <f>IFERROR(VLOOKUP(I2691,KET!$B:$F,4,0),"")</f>
        <v>WINDA</v>
      </c>
      <c r="F2691" s="20" t="str">
        <f>IFERROR(VLOOKUP(I2691,KET!$B:$F,5,0),"")</f>
        <v>GMM</v>
      </c>
      <c r="G2691" s="20">
        <f>IFERROR(INDEX('Kode Outlet dan Target Toko'!$C:$C,MATCH($I2691,'Kode Outlet dan Target Toko'!$E:$E,0)),0)</f>
        <v>211163</v>
      </c>
      <c r="H2691" s="20">
        <f>IFERROR(INDEX('Kode Outlet dan Target Toko'!$D:$D,MATCH($I2691,'Kode Outlet dan Target Toko'!$E:$E,0)),0)</f>
        <v>3703215</v>
      </c>
      <c r="I2691" s="42" t="s">
        <v>53</v>
      </c>
      <c r="J2691" s="56" t="s">
        <v>276</v>
      </c>
      <c r="K2691" s="40" t="s">
        <v>15</v>
      </c>
      <c r="L2691" s="26">
        <v>3000</v>
      </c>
      <c r="M2691" s="26">
        <v>153</v>
      </c>
      <c r="N2691" s="25">
        <f t="shared" si="83"/>
        <v>459000</v>
      </c>
      <c r="O2691" s="56"/>
    </row>
    <row r="2692" spans="1:15" hidden="1" x14ac:dyDescent="0.3">
      <c r="A2692" s="26">
        <v>31</v>
      </c>
      <c r="B2692" s="20" t="str">
        <f t="shared" si="82"/>
        <v>AUG</v>
      </c>
      <c r="C2692" s="21">
        <v>46235</v>
      </c>
      <c r="D2692" s="22" t="str">
        <f t="array" ref="D2692">IFERROR(INDEX('Kode Outlet dan Target Toko'!$A:$A,MATCH($I2692,'Kode Outlet dan Target Toko'!$E:$E,0)),"")</f>
        <v>GRSM 6</v>
      </c>
      <c r="E2692" s="20" t="str">
        <f>IFERROR(VLOOKUP(I2692,KET!$B:$F,4,0),"")</f>
        <v>WINDA</v>
      </c>
      <c r="F2692" s="20" t="str">
        <f>IFERROR(VLOOKUP(I2692,KET!$B:$F,5,0),"")</f>
        <v>GMM</v>
      </c>
      <c r="G2692" s="20">
        <f>IFERROR(INDEX('Kode Outlet dan Target Toko'!$C:$C,MATCH($I2692,'Kode Outlet dan Target Toko'!$E:$E,0)),0)</f>
        <v>211163</v>
      </c>
      <c r="H2692" s="20">
        <f>IFERROR(INDEX('Kode Outlet dan Target Toko'!$D:$D,MATCH($I2692,'Kode Outlet dan Target Toko'!$E:$E,0)),0)</f>
        <v>3703215</v>
      </c>
      <c r="I2692" s="42" t="s">
        <v>53</v>
      </c>
      <c r="J2692" s="56" t="s">
        <v>276</v>
      </c>
      <c r="K2692" s="40" t="s">
        <v>14</v>
      </c>
      <c r="L2692" s="26">
        <v>3000</v>
      </c>
      <c r="M2692" s="26">
        <v>132</v>
      </c>
      <c r="N2692" s="25">
        <f t="shared" si="83"/>
        <v>396000</v>
      </c>
      <c r="O2692" s="56"/>
    </row>
    <row r="2693" spans="1:15" hidden="1" x14ac:dyDescent="0.3">
      <c r="A2693" s="26">
        <v>31</v>
      </c>
      <c r="B2693" s="20" t="str">
        <f t="shared" si="82"/>
        <v>AUG</v>
      </c>
      <c r="C2693" s="21">
        <v>46235</v>
      </c>
      <c r="D2693" s="22" t="str">
        <f t="array" ref="D2693">IFERROR(INDEX('Kode Outlet dan Target Toko'!$A:$A,MATCH($I2693,'Kode Outlet dan Target Toko'!$E:$E,0)),"")</f>
        <v>GRSM 6</v>
      </c>
      <c r="E2693" s="20" t="str">
        <f>IFERROR(VLOOKUP(I2693,KET!$B:$F,4,0),"")</f>
        <v>WINDA</v>
      </c>
      <c r="F2693" s="20" t="str">
        <f>IFERROR(VLOOKUP(I2693,KET!$B:$F,5,0),"")</f>
        <v>GMM</v>
      </c>
      <c r="G2693" s="20">
        <f>IFERROR(INDEX('Kode Outlet dan Target Toko'!$C:$C,MATCH($I2693,'Kode Outlet dan Target Toko'!$E:$E,0)),0)</f>
        <v>211163</v>
      </c>
      <c r="H2693" s="20">
        <f>IFERROR(INDEX('Kode Outlet dan Target Toko'!$D:$D,MATCH($I2693,'Kode Outlet dan Target Toko'!$E:$E,0)),0)</f>
        <v>3703215</v>
      </c>
      <c r="I2693" s="42" t="s">
        <v>53</v>
      </c>
      <c r="J2693" s="56" t="s">
        <v>276</v>
      </c>
      <c r="K2693" s="40" t="s">
        <v>13</v>
      </c>
      <c r="L2693" s="26">
        <v>3000</v>
      </c>
      <c r="M2693" s="26">
        <v>0</v>
      </c>
      <c r="N2693" s="25">
        <f t="shared" si="83"/>
        <v>0</v>
      </c>
      <c r="O2693" s="56"/>
    </row>
    <row r="2694" spans="1:15" hidden="1" x14ac:dyDescent="0.3">
      <c r="A2694" s="26">
        <v>31</v>
      </c>
      <c r="B2694" s="20" t="str">
        <f t="shared" si="82"/>
        <v>AUG</v>
      </c>
      <c r="C2694" s="21">
        <v>46235</v>
      </c>
      <c r="D2694" s="22" t="str">
        <f t="array" ref="D2694">IFERROR(INDEX('Kode Outlet dan Target Toko'!$A:$A,MATCH($I2694,'Kode Outlet dan Target Toko'!$E:$E,0)),"")</f>
        <v>GRSM 6</v>
      </c>
      <c r="E2694" s="20" t="str">
        <f>IFERROR(VLOOKUP(I2694,KET!$B:$F,4,0),"")</f>
        <v>WINDA</v>
      </c>
      <c r="F2694" s="20" t="str">
        <f>IFERROR(VLOOKUP(I2694,KET!$B:$F,5,0),"")</f>
        <v>GMM</v>
      </c>
      <c r="G2694" s="20">
        <f>IFERROR(INDEX('Kode Outlet dan Target Toko'!$C:$C,MATCH($I2694,'Kode Outlet dan Target Toko'!$E:$E,0)),0)</f>
        <v>211163</v>
      </c>
      <c r="H2694" s="20">
        <f>IFERROR(INDEX('Kode Outlet dan Target Toko'!$D:$D,MATCH($I2694,'Kode Outlet dan Target Toko'!$E:$E,0)),0)</f>
        <v>3703215</v>
      </c>
      <c r="I2694" s="42" t="s">
        <v>53</v>
      </c>
      <c r="J2694" s="56" t="s">
        <v>276</v>
      </c>
      <c r="K2694" s="40" t="s">
        <v>16</v>
      </c>
      <c r="L2694" s="26">
        <v>3000</v>
      </c>
      <c r="M2694" s="26">
        <v>208</v>
      </c>
      <c r="N2694" s="25">
        <f t="shared" si="83"/>
        <v>624000</v>
      </c>
      <c r="O2694" s="56">
        <v>85</v>
      </c>
    </row>
    <row r="2695" spans="1:15" hidden="1" x14ac:dyDescent="0.3">
      <c r="A2695" s="26">
        <v>31</v>
      </c>
      <c r="B2695" s="20" t="str">
        <f t="shared" ref="B2695:B2758" si="84">IF(C2695="","",UPPER(TEXT(C2695, "MMM")))</f>
        <v>AUG</v>
      </c>
      <c r="C2695" s="21">
        <v>46235</v>
      </c>
      <c r="D2695" s="22" t="str">
        <f t="array" ref="D2695">IFERROR(INDEX('Kode Outlet dan Target Toko'!$A:$A,MATCH($I2695,'Kode Outlet dan Target Toko'!$E:$E,0)),"")</f>
        <v>GRSM 6</v>
      </c>
      <c r="E2695" s="20" t="str">
        <f>IFERROR(VLOOKUP(I2695,KET!$B:$F,4,0),"")</f>
        <v>WINDA</v>
      </c>
      <c r="F2695" s="20" t="str">
        <f>IFERROR(VLOOKUP(I2695,KET!$B:$F,5,0),"")</f>
        <v>GMM</v>
      </c>
      <c r="G2695" s="20">
        <f>IFERROR(INDEX('Kode Outlet dan Target Toko'!$C:$C,MATCH($I2695,'Kode Outlet dan Target Toko'!$E:$E,0)),0)</f>
        <v>211139</v>
      </c>
      <c r="H2695" s="20">
        <f>IFERROR(INDEX('Kode Outlet dan Target Toko'!$D:$D,MATCH($I2695,'Kode Outlet dan Target Toko'!$E:$E,0)),0)</f>
        <v>3604550</v>
      </c>
      <c r="I2695" s="42" t="s">
        <v>69</v>
      </c>
      <c r="J2695" s="56" t="s">
        <v>281</v>
      </c>
      <c r="K2695" s="40" t="s">
        <v>15</v>
      </c>
      <c r="L2695" s="26">
        <v>2800</v>
      </c>
      <c r="M2695" s="26">
        <v>70</v>
      </c>
      <c r="N2695" s="25">
        <f t="shared" ref="N2695:N2758" si="85">IFERROR(M2695*L2695,"")</f>
        <v>196000</v>
      </c>
      <c r="O2695" s="56"/>
    </row>
    <row r="2696" spans="1:15" hidden="1" x14ac:dyDescent="0.3">
      <c r="A2696" s="26">
        <v>31</v>
      </c>
      <c r="B2696" s="20" t="str">
        <f t="shared" si="84"/>
        <v>AUG</v>
      </c>
      <c r="C2696" s="21">
        <v>46235</v>
      </c>
      <c r="D2696" s="22" t="str">
        <f t="array" ref="D2696">IFERROR(INDEX('Kode Outlet dan Target Toko'!$A:$A,MATCH($I2696,'Kode Outlet dan Target Toko'!$E:$E,0)),"")</f>
        <v>GRSM 6</v>
      </c>
      <c r="E2696" s="20" t="str">
        <f>IFERROR(VLOOKUP(I2696,KET!$B:$F,4,0),"")</f>
        <v>WINDA</v>
      </c>
      <c r="F2696" s="20" t="str">
        <f>IFERROR(VLOOKUP(I2696,KET!$B:$F,5,0),"")</f>
        <v>GMM</v>
      </c>
      <c r="G2696" s="20">
        <f>IFERROR(INDEX('Kode Outlet dan Target Toko'!$C:$C,MATCH($I2696,'Kode Outlet dan Target Toko'!$E:$E,0)),0)</f>
        <v>211139</v>
      </c>
      <c r="H2696" s="20">
        <f>IFERROR(INDEX('Kode Outlet dan Target Toko'!$D:$D,MATCH($I2696,'Kode Outlet dan Target Toko'!$E:$E,0)),0)</f>
        <v>3604550</v>
      </c>
      <c r="I2696" s="42" t="s">
        <v>69</v>
      </c>
      <c r="J2696" s="56" t="s">
        <v>281</v>
      </c>
      <c r="K2696" s="40" t="s">
        <v>14</v>
      </c>
      <c r="L2696" s="26">
        <v>2800</v>
      </c>
      <c r="M2696" s="26">
        <v>238</v>
      </c>
      <c r="N2696" s="25">
        <f t="shared" si="85"/>
        <v>666400</v>
      </c>
      <c r="O2696" s="56"/>
    </row>
    <row r="2697" spans="1:15" hidden="1" x14ac:dyDescent="0.3">
      <c r="A2697" s="26">
        <v>31</v>
      </c>
      <c r="B2697" s="20" t="str">
        <f t="shared" si="84"/>
        <v>AUG</v>
      </c>
      <c r="C2697" s="21">
        <v>46235</v>
      </c>
      <c r="D2697" s="22" t="str">
        <f t="array" ref="D2697">IFERROR(INDEX('Kode Outlet dan Target Toko'!$A:$A,MATCH($I2697,'Kode Outlet dan Target Toko'!$E:$E,0)),"")</f>
        <v>GRSM 6</v>
      </c>
      <c r="E2697" s="20" t="str">
        <f>IFERROR(VLOOKUP(I2697,KET!$B:$F,4,0),"")</f>
        <v>WINDA</v>
      </c>
      <c r="F2697" s="20" t="str">
        <f>IFERROR(VLOOKUP(I2697,KET!$B:$F,5,0),"")</f>
        <v>GMM</v>
      </c>
      <c r="G2697" s="20">
        <f>IFERROR(INDEX('Kode Outlet dan Target Toko'!$C:$C,MATCH($I2697,'Kode Outlet dan Target Toko'!$E:$E,0)),0)</f>
        <v>211139</v>
      </c>
      <c r="H2697" s="20">
        <f>IFERROR(INDEX('Kode Outlet dan Target Toko'!$D:$D,MATCH($I2697,'Kode Outlet dan Target Toko'!$E:$E,0)),0)</f>
        <v>3604550</v>
      </c>
      <c r="I2697" s="42" t="s">
        <v>69</v>
      </c>
      <c r="J2697" s="56" t="s">
        <v>281</v>
      </c>
      <c r="K2697" s="40" t="s">
        <v>13</v>
      </c>
      <c r="L2697" s="26">
        <v>2800</v>
      </c>
      <c r="M2697" s="26">
        <v>40</v>
      </c>
      <c r="N2697" s="25">
        <f t="shared" si="85"/>
        <v>112000</v>
      </c>
      <c r="O2697" s="56"/>
    </row>
    <row r="2698" spans="1:15" hidden="1" x14ac:dyDescent="0.3">
      <c r="A2698" s="26">
        <v>31</v>
      </c>
      <c r="B2698" s="20" t="str">
        <f t="shared" si="84"/>
        <v>AUG</v>
      </c>
      <c r="C2698" s="21">
        <v>46235</v>
      </c>
      <c r="D2698" s="22" t="str">
        <f t="array" ref="D2698">IFERROR(INDEX('Kode Outlet dan Target Toko'!$A:$A,MATCH($I2698,'Kode Outlet dan Target Toko'!$E:$E,0)),"")</f>
        <v>GRSM 6</v>
      </c>
      <c r="E2698" s="20" t="str">
        <f>IFERROR(VLOOKUP(I2698,KET!$B:$F,4,0),"")</f>
        <v>WINDA</v>
      </c>
      <c r="F2698" s="20" t="str">
        <f>IFERROR(VLOOKUP(I2698,KET!$B:$F,5,0),"")</f>
        <v>GMM</v>
      </c>
      <c r="G2698" s="20">
        <f>IFERROR(INDEX('Kode Outlet dan Target Toko'!$C:$C,MATCH($I2698,'Kode Outlet dan Target Toko'!$E:$E,0)),0)</f>
        <v>211139</v>
      </c>
      <c r="H2698" s="20">
        <f>IFERROR(INDEX('Kode Outlet dan Target Toko'!$D:$D,MATCH($I2698,'Kode Outlet dan Target Toko'!$E:$E,0)),0)</f>
        <v>3604550</v>
      </c>
      <c r="I2698" s="42" t="s">
        <v>69</v>
      </c>
      <c r="J2698" s="56" t="s">
        <v>281</v>
      </c>
      <c r="K2698" s="40" t="s">
        <v>16</v>
      </c>
      <c r="L2698" s="26">
        <v>2800</v>
      </c>
      <c r="M2698" s="26">
        <v>224</v>
      </c>
      <c r="N2698" s="25">
        <f t="shared" si="85"/>
        <v>627200</v>
      </c>
      <c r="O2698" s="56">
        <v>160</v>
      </c>
    </row>
    <row r="2699" spans="1:15" hidden="1" x14ac:dyDescent="0.3">
      <c r="A2699" s="26">
        <v>31</v>
      </c>
      <c r="B2699" s="20" t="str">
        <f t="shared" si="84"/>
        <v>AUG</v>
      </c>
      <c r="C2699" s="21">
        <v>46235</v>
      </c>
      <c r="D2699" s="22" t="str">
        <f t="array" ref="D2699">IFERROR(INDEX('Kode Outlet dan Target Toko'!$A:$A,MATCH($I2699,'Kode Outlet dan Target Toko'!$E:$E,0)),"")</f>
        <v>GRSM 6</v>
      </c>
      <c r="E2699" s="20" t="str">
        <f>IFERROR(VLOOKUP(I2699,KET!$B:$F,4,0),"")</f>
        <v>WINDA</v>
      </c>
      <c r="F2699" s="20" t="str">
        <f>IFERROR(VLOOKUP(I2699,KET!$B:$F,5,0),"")</f>
        <v>GMM</v>
      </c>
      <c r="G2699" s="20">
        <f>IFERROR(INDEX('Kode Outlet dan Target Toko'!$C:$C,MATCH($I2699,'Kode Outlet dan Target Toko'!$E:$E,0)),0)</f>
        <v>211139</v>
      </c>
      <c r="H2699" s="20">
        <f>IFERROR(INDEX('Kode Outlet dan Target Toko'!$D:$D,MATCH($I2699,'Kode Outlet dan Target Toko'!$E:$E,0)),0)</f>
        <v>3604550</v>
      </c>
      <c r="I2699" s="42" t="s">
        <v>69</v>
      </c>
      <c r="J2699" s="56" t="s">
        <v>282</v>
      </c>
      <c r="K2699" s="40" t="s">
        <v>15</v>
      </c>
      <c r="L2699" s="26">
        <v>2800</v>
      </c>
      <c r="M2699" s="26">
        <v>70</v>
      </c>
      <c r="N2699" s="25">
        <f t="shared" si="85"/>
        <v>196000</v>
      </c>
      <c r="O2699" s="56"/>
    </row>
    <row r="2700" spans="1:15" hidden="1" x14ac:dyDescent="0.3">
      <c r="A2700" s="26">
        <v>31</v>
      </c>
      <c r="B2700" s="20" t="str">
        <f t="shared" si="84"/>
        <v>AUG</v>
      </c>
      <c r="C2700" s="21">
        <v>46235</v>
      </c>
      <c r="D2700" s="22" t="str">
        <f t="array" ref="D2700">IFERROR(INDEX('Kode Outlet dan Target Toko'!$A:$A,MATCH($I2700,'Kode Outlet dan Target Toko'!$E:$E,0)),"")</f>
        <v>GRSM 6</v>
      </c>
      <c r="E2700" s="20" t="str">
        <f>IFERROR(VLOOKUP(I2700,KET!$B:$F,4,0),"")</f>
        <v>WINDA</v>
      </c>
      <c r="F2700" s="20" t="str">
        <f>IFERROR(VLOOKUP(I2700,KET!$B:$F,5,0),"")</f>
        <v>GMM</v>
      </c>
      <c r="G2700" s="20">
        <f>IFERROR(INDEX('Kode Outlet dan Target Toko'!$C:$C,MATCH($I2700,'Kode Outlet dan Target Toko'!$E:$E,0)),0)</f>
        <v>211139</v>
      </c>
      <c r="H2700" s="20">
        <f>IFERROR(INDEX('Kode Outlet dan Target Toko'!$D:$D,MATCH($I2700,'Kode Outlet dan Target Toko'!$E:$E,0)),0)</f>
        <v>3604550</v>
      </c>
      <c r="I2700" s="42" t="s">
        <v>69</v>
      </c>
      <c r="J2700" s="56" t="s">
        <v>282</v>
      </c>
      <c r="K2700" s="40" t="s">
        <v>14</v>
      </c>
      <c r="L2700" s="26">
        <v>2800</v>
      </c>
      <c r="M2700" s="26">
        <v>238</v>
      </c>
      <c r="N2700" s="25">
        <f t="shared" si="85"/>
        <v>666400</v>
      </c>
      <c r="O2700" s="56"/>
    </row>
    <row r="2701" spans="1:15" hidden="1" x14ac:dyDescent="0.3">
      <c r="A2701" s="26">
        <v>31</v>
      </c>
      <c r="B2701" s="20" t="str">
        <f t="shared" si="84"/>
        <v>AUG</v>
      </c>
      <c r="C2701" s="21">
        <v>46235</v>
      </c>
      <c r="D2701" s="22" t="str">
        <f t="array" ref="D2701">IFERROR(INDEX('Kode Outlet dan Target Toko'!$A:$A,MATCH($I2701,'Kode Outlet dan Target Toko'!$E:$E,0)),"")</f>
        <v>GRSM 6</v>
      </c>
      <c r="E2701" s="20" t="str">
        <f>IFERROR(VLOOKUP(I2701,KET!$B:$F,4,0),"")</f>
        <v>WINDA</v>
      </c>
      <c r="F2701" s="20" t="str">
        <f>IFERROR(VLOOKUP(I2701,KET!$B:$F,5,0),"")</f>
        <v>GMM</v>
      </c>
      <c r="G2701" s="20">
        <f>IFERROR(INDEX('Kode Outlet dan Target Toko'!$C:$C,MATCH($I2701,'Kode Outlet dan Target Toko'!$E:$E,0)),0)</f>
        <v>211139</v>
      </c>
      <c r="H2701" s="20">
        <f>IFERROR(INDEX('Kode Outlet dan Target Toko'!$D:$D,MATCH($I2701,'Kode Outlet dan Target Toko'!$E:$E,0)),0)</f>
        <v>3604550</v>
      </c>
      <c r="I2701" s="42" t="s">
        <v>69</v>
      </c>
      <c r="J2701" s="56" t="s">
        <v>282</v>
      </c>
      <c r="K2701" s="40" t="s">
        <v>13</v>
      </c>
      <c r="L2701" s="26">
        <v>2800</v>
      </c>
      <c r="M2701" s="26">
        <v>40</v>
      </c>
      <c r="N2701" s="25">
        <f t="shared" si="85"/>
        <v>112000</v>
      </c>
      <c r="O2701" s="56"/>
    </row>
    <row r="2702" spans="1:15" hidden="1" x14ac:dyDescent="0.3">
      <c r="A2702" s="26">
        <v>31</v>
      </c>
      <c r="B2702" s="20" t="str">
        <f t="shared" si="84"/>
        <v>AUG</v>
      </c>
      <c r="C2702" s="21">
        <v>46235</v>
      </c>
      <c r="D2702" s="22" t="str">
        <f t="array" ref="D2702">IFERROR(INDEX('Kode Outlet dan Target Toko'!$A:$A,MATCH($I2702,'Kode Outlet dan Target Toko'!$E:$E,0)),"")</f>
        <v>GRSM 6</v>
      </c>
      <c r="E2702" s="20" t="str">
        <f>IFERROR(VLOOKUP(I2702,KET!$B:$F,4,0),"")</f>
        <v>WINDA</v>
      </c>
      <c r="F2702" s="20" t="str">
        <f>IFERROR(VLOOKUP(I2702,KET!$B:$F,5,0),"")</f>
        <v>GMM</v>
      </c>
      <c r="G2702" s="20">
        <f>IFERROR(INDEX('Kode Outlet dan Target Toko'!$C:$C,MATCH($I2702,'Kode Outlet dan Target Toko'!$E:$E,0)),0)</f>
        <v>211139</v>
      </c>
      <c r="H2702" s="20">
        <f>IFERROR(INDEX('Kode Outlet dan Target Toko'!$D:$D,MATCH($I2702,'Kode Outlet dan Target Toko'!$E:$E,0)),0)</f>
        <v>3604550</v>
      </c>
      <c r="I2702" s="42" t="s">
        <v>69</v>
      </c>
      <c r="J2702" s="56" t="s">
        <v>282</v>
      </c>
      <c r="K2702" s="40" t="s">
        <v>16</v>
      </c>
      <c r="L2702" s="26">
        <v>2800</v>
      </c>
      <c r="M2702" s="26">
        <v>224</v>
      </c>
      <c r="N2702" s="25">
        <f t="shared" si="85"/>
        <v>627200</v>
      </c>
      <c r="O2702" s="56">
        <v>160</v>
      </c>
    </row>
    <row r="2703" spans="1:15" hidden="1" x14ac:dyDescent="0.3">
      <c r="A2703" s="26">
        <v>31</v>
      </c>
      <c r="B2703" s="20" t="str">
        <f t="shared" si="84"/>
        <v>AUG</v>
      </c>
      <c r="C2703" s="21">
        <v>46235</v>
      </c>
      <c r="D2703" s="22" t="str">
        <f t="array" ref="D2703">IFERROR(INDEX('Kode Outlet dan Target Toko'!$A:$A,MATCH($I2703,'Kode Outlet dan Target Toko'!$E:$E,0)),"")</f>
        <v>GRSM 6</v>
      </c>
      <c r="E2703" s="20" t="str">
        <f>IFERROR(VLOOKUP(I2703,KET!$B:$F,4,0),"")</f>
        <v>WINDA</v>
      </c>
      <c r="F2703" s="20" t="str">
        <f>IFERROR(VLOOKUP(I2703,KET!$B:$F,5,0),"")</f>
        <v>GMM</v>
      </c>
      <c r="G2703" s="20">
        <f>IFERROR(INDEX('Kode Outlet dan Target Toko'!$C:$C,MATCH($I2703,'Kode Outlet dan Target Toko'!$E:$E,0)),0)</f>
        <v>211033</v>
      </c>
      <c r="H2703" s="20">
        <f>IFERROR(INDEX('Kode Outlet dan Target Toko'!$D:$D,MATCH($I2703,'Kode Outlet dan Target Toko'!$E:$E,0)),0)</f>
        <v>2001021</v>
      </c>
      <c r="I2703" s="42" t="s">
        <v>66</v>
      </c>
      <c r="J2703" s="56" t="s">
        <v>283</v>
      </c>
      <c r="K2703" s="40" t="s">
        <v>15</v>
      </c>
      <c r="L2703" s="26">
        <v>3000</v>
      </c>
      <c r="M2703" s="26">
        <v>105</v>
      </c>
      <c r="N2703" s="25">
        <f t="shared" si="85"/>
        <v>315000</v>
      </c>
      <c r="O2703" s="56"/>
    </row>
    <row r="2704" spans="1:15" hidden="1" x14ac:dyDescent="0.3">
      <c r="A2704" s="26">
        <v>31</v>
      </c>
      <c r="B2704" s="20" t="str">
        <f t="shared" si="84"/>
        <v>AUG</v>
      </c>
      <c r="C2704" s="21">
        <v>46235</v>
      </c>
      <c r="D2704" s="22" t="str">
        <f t="array" ref="D2704">IFERROR(INDEX('Kode Outlet dan Target Toko'!$A:$A,MATCH($I2704,'Kode Outlet dan Target Toko'!$E:$E,0)),"")</f>
        <v>GRSM 6</v>
      </c>
      <c r="E2704" s="20" t="str">
        <f>IFERROR(VLOOKUP(I2704,KET!$B:$F,4,0),"")</f>
        <v>WINDA</v>
      </c>
      <c r="F2704" s="20" t="str">
        <f>IFERROR(VLOOKUP(I2704,KET!$B:$F,5,0),"")</f>
        <v>GMM</v>
      </c>
      <c r="G2704" s="20">
        <f>IFERROR(INDEX('Kode Outlet dan Target Toko'!$C:$C,MATCH($I2704,'Kode Outlet dan Target Toko'!$E:$E,0)),0)</f>
        <v>211033</v>
      </c>
      <c r="H2704" s="20">
        <f>IFERROR(INDEX('Kode Outlet dan Target Toko'!$D:$D,MATCH($I2704,'Kode Outlet dan Target Toko'!$E:$E,0)),0)</f>
        <v>2001021</v>
      </c>
      <c r="I2704" s="42" t="s">
        <v>66</v>
      </c>
      <c r="J2704" s="56" t="s">
        <v>283</v>
      </c>
      <c r="K2704" s="40" t="s">
        <v>14</v>
      </c>
      <c r="L2704" s="26">
        <v>3000</v>
      </c>
      <c r="M2704" s="26">
        <v>105</v>
      </c>
      <c r="N2704" s="25">
        <f t="shared" si="85"/>
        <v>315000</v>
      </c>
      <c r="O2704" s="56"/>
    </row>
    <row r="2705" spans="1:15" hidden="1" x14ac:dyDescent="0.3">
      <c r="A2705" s="26">
        <v>31</v>
      </c>
      <c r="B2705" s="20" t="str">
        <f t="shared" si="84"/>
        <v>AUG</v>
      </c>
      <c r="C2705" s="21">
        <v>46235</v>
      </c>
      <c r="D2705" s="22" t="str">
        <f t="array" ref="D2705">IFERROR(INDEX('Kode Outlet dan Target Toko'!$A:$A,MATCH($I2705,'Kode Outlet dan Target Toko'!$E:$E,0)),"")</f>
        <v>GRSM 6</v>
      </c>
      <c r="E2705" s="20" t="str">
        <f>IFERROR(VLOOKUP(I2705,KET!$B:$F,4,0),"")</f>
        <v>WINDA</v>
      </c>
      <c r="F2705" s="20" t="str">
        <f>IFERROR(VLOOKUP(I2705,KET!$B:$F,5,0),"")</f>
        <v>GMM</v>
      </c>
      <c r="G2705" s="20">
        <f>IFERROR(INDEX('Kode Outlet dan Target Toko'!$C:$C,MATCH($I2705,'Kode Outlet dan Target Toko'!$E:$E,0)),0)</f>
        <v>211033</v>
      </c>
      <c r="H2705" s="20">
        <f>IFERROR(INDEX('Kode Outlet dan Target Toko'!$D:$D,MATCH($I2705,'Kode Outlet dan Target Toko'!$E:$E,0)),0)</f>
        <v>2001021</v>
      </c>
      <c r="I2705" s="42" t="s">
        <v>66</v>
      </c>
      <c r="J2705" s="56" t="s">
        <v>283</v>
      </c>
      <c r="K2705" s="40" t="s">
        <v>13</v>
      </c>
      <c r="L2705" s="26">
        <v>3000</v>
      </c>
      <c r="M2705" s="26">
        <v>75</v>
      </c>
      <c r="N2705" s="25">
        <f t="shared" si="85"/>
        <v>225000</v>
      </c>
      <c r="O2705" s="56"/>
    </row>
    <row r="2706" spans="1:15" hidden="1" x14ac:dyDescent="0.3">
      <c r="A2706" s="26">
        <v>31</v>
      </c>
      <c r="B2706" s="20" t="str">
        <f t="shared" si="84"/>
        <v>AUG</v>
      </c>
      <c r="C2706" s="21">
        <v>46235</v>
      </c>
      <c r="D2706" s="22" t="str">
        <f t="array" ref="D2706">IFERROR(INDEX('Kode Outlet dan Target Toko'!$A:$A,MATCH($I2706,'Kode Outlet dan Target Toko'!$E:$E,0)),"")</f>
        <v>GRSM 6</v>
      </c>
      <c r="E2706" s="20" t="str">
        <f>IFERROR(VLOOKUP(I2706,KET!$B:$F,4,0),"")</f>
        <v>WINDA</v>
      </c>
      <c r="F2706" s="20" t="str">
        <f>IFERROR(VLOOKUP(I2706,KET!$B:$F,5,0),"")</f>
        <v>GMM</v>
      </c>
      <c r="G2706" s="20">
        <f>IFERROR(INDEX('Kode Outlet dan Target Toko'!$C:$C,MATCH($I2706,'Kode Outlet dan Target Toko'!$E:$E,0)),0)</f>
        <v>211033</v>
      </c>
      <c r="H2706" s="20">
        <f>IFERROR(INDEX('Kode Outlet dan Target Toko'!$D:$D,MATCH($I2706,'Kode Outlet dan Target Toko'!$E:$E,0)),0)</f>
        <v>2001021</v>
      </c>
      <c r="I2706" s="42" t="s">
        <v>66</v>
      </c>
      <c r="J2706" s="56" t="s">
        <v>283</v>
      </c>
      <c r="K2706" s="40" t="s">
        <v>16</v>
      </c>
      <c r="L2706" s="26">
        <v>3000</v>
      </c>
      <c r="M2706" s="26">
        <v>210</v>
      </c>
      <c r="N2706" s="25">
        <f t="shared" si="85"/>
        <v>630000</v>
      </c>
      <c r="O2706" s="56">
        <v>160</v>
      </c>
    </row>
    <row r="2707" spans="1:15" hidden="1" x14ac:dyDescent="0.3">
      <c r="A2707" s="26">
        <v>31</v>
      </c>
      <c r="B2707" s="20" t="str">
        <f t="shared" si="84"/>
        <v>AUG</v>
      </c>
      <c r="C2707" s="21">
        <v>46235</v>
      </c>
      <c r="D2707" s="22" t="str">
        <f t="array" ref="D2707">IFERROR(INDEX('Kode Outlet dan Target Toko'!$A:$A,MATCH($I2707,'Kode Outlet dan Target Toko'!$E:$E,0)),"")</f>
        <v>GRSM 6</v>
      </c>
      <c r="E2707" s="20" t="str">
        <f>IFERROR(VLOOKUP(I2707,KET!$B:$F,4,0),"")</f>
        <v>WINDA</v>
      </c>
      <c r="F2707" s="20" t="str">
        <f>IFERROR(VLOOKUP(I2707,KET!$B:$F,5,0),"")</f>
        <v>GMM</v>
      </c>
      <c r="G2707" s="20">
        <f>IFERROR(INDEX('Kode Outlet dan Target Toko'!$C:$C,MATCH($I2707,'Kode Outlet dan Target Toko'!$E:$E,0)),0)</f>
        <v>211033</v>
      </c>
      <c r="H2707" s="20">
        <f>IFERROR(INDEX('Kode Outlet dan Target Toko'!$D:$D,MATCH($I2707,'Kode Outlet dan Target Toko'!$E:$E,0)),0)</f>
        <v>2001021</v>
      </c>
      <c r="I2707" s="42" t="s">
        <v>66</v>
      </c>
      <c r="J2707" s="56" t="s">
        <v>284</v>
      </c>
      <c r="K2707" s="40" t="s">
        <v>15</v>
      </c>
      <c r="L2707" s="26">
        <v>3000</v>
      </c>
      <c r="M2707" s="26">
        <v>105</v>
      </c>
      <c r="N2707" s="25">
        <f t="shared" si="85"/>
        <v>315000</v>
      </c>
      <c r="O2707" s="56"/>
    </row>
    <row r="2708" spans="1:15" hidden="1" x14ac:dyDescent="0.3">
      <c r="A2708" s="26">
        <v>31</v>
      </c>
      <c r="B2708" s="20" t="str">
        <f t="shared" si="84"/>
        <v>AUG</v>
      </c>
      <c r="C2708" s="21">
        <v>46235</v>
      </c>
      <c r="D2708" s="22" t="str">
        <f t="array" ref="D2708">IFERROR(INDEX('Kode Outlet dan Target Toko'!$A:$A,MATCH($I2708,'Kode Outlet dan Target Toko'!$E:$E,0)),"")</f>
        <v>GRSM 6</v>
      </c>
      <c r="E2708" s="20" t="str">
        <f>IFERROR(VLOOKUP(I2708,KET!$B:$F,4,0),"")</f>
        <v>WINDA</v>
      </c>
      <c r="F2708" s="20" t="str">
        <f>IFERROR(VLOOKUP(I2708,KET!$B:$F,5,0),"")</f>
        <v>GMM</v>
      </c>
      <c r="G2708" s="20">
        <f>IFERROR(INDEX('Kode Outlet dan Target Toko'!$C:$C,MATCH($I2708,'Kode Outlet dan Target Toko'!$E:$E,0)),0)</f>
        <v>211033</v>
      </c>
      <c r="H2708" s="20">
        <f>IFERROR(INDEX('Kode Outlet dan Target Toko'!$D:$D,MATCH($I2708,'Kode Outlet dan Target Toko'!$E:$E,0)),0)</f>
        <v>2001021</v>
      </c>
      <c r="I2708" s="42" t="s">
        <v>66</v>
      </c>
      <c r="J2708" s="56" t="s">
        <v>284</v>
      </c>
      <c r="K2708" s="40" t="s">
        <v>14</v>
      </c>
      <c r="L2708" s="26">
        <v>3000</v>
      </c>
      <c r="M2708" s="26">
        <v>105</v>
      </c>
      <c r="N2708" s="25">
        <f t="shared" si="85"/>
        <v>315000</v>
      </c>
      <c r="O2708" s="56"/>
    </row>
    <row r="2709" spans="1:15" hidden="1" x14ac:dyDescent="0.3">
      <c r="A2709" s="26">
        <v>31</v>
      </c>
      <c r="B2709" s="20" t="str">
        <f t="shared" si="84"/>
        <v>AUG</v>
      </c>
      <c r="C2709" s="21">
        <v>46235</v>
      </c>
      <c r="D2709" s="22" t="str">
        <f t="array" ref="D2709">IFERROR(INDEX('Kode Outlet dan Target Toko'!$A:$A,MATCH($I2709,'Kode Outlet dan Target Toko'!$E:$E,0)),"")</f>
        <v>GRSM 6</v>
      </c>
      <c r="E2709" s="20" t="str">
        <f>IFERROR(VLOOKUP(I2709,KET!$B:$F,4,0),"")</f>
        <v>WINDA</v>
      </c>
      <c r="F2709" s="20" t="str">
        <f>IFERROR(VLOOKUP(I2709,KET!$B:$F,5,0),"")</f>
        <v>GMM</v>
      </c>
      <c r="G2709" s="20">
        <f>IFERROR(INDEX('Kode Outlet dan Target Toko'!$C:$C,MATCH($I2709,'Kode Outlet dan Target Toko'!$E:$E,0)),0)</f>
        <v>211033</v>
      </c>
      <c r="H2709" s="20">
        <f>IFERROR(INDEX('Kode Outlet dan Target Toko'!$D:$D,MATCH($I2709,'Kode Outlet dan Target Toko'!$E:$E,0)),0)</f>
        <v>2001021</v>
      </c>
      <c r="I2709" s="42" t="s">
        <v>66</v>
      </c>
      <c r="J2709" s="56" t="s">
        <v>284</v>
      </c>
      <c r="K2709" s="40" t="s">
        <v>13</v>
      </c>
      <c r="L2709" s="26">
        <v>3000</v>
      </c>
      <c r="M2709" s="26">
        <v>75</v>
      </c>
      <c r="N2709" s="25">
        <f t="shared" si="85"/>
        <v>225000</v>
      </c>
      <c r="O2709" s="56"/>
    </row>
    <row r="2710" spans="1:15" hidden="1" x14ac:dyDescent="0.3">
      <c r="A2710" s="26">
        <v>31</v>
      </c>
      <c r="B2710" s="20" t="str">
        <f t="shared" si="84"/>
        <v>AUG</v>
      </c>
      <c r="C2710" s="21">
        <v>46235</v>
      </c>
      <c r="D2710" s="22" t="str">
        <f t="array" ref="D2710">IFERROR(INDEX('Kode Outlet dan Target Toko'!$A:$A,MATCH($I2710,'Kode Outlet dan Target Toko'!$E:$E,0)),"")</f>
        <v>GRSM 6</v>
      </c>
      <c r="E2710" s="20" t="str">
        <f>IFERROR(VLOOKUP(I2710,KET!$B:$F,4,0),"")</f>
        <v>WINDA</v>
      </c>
      <c r="F2710" s="20" t="str">
        <f>IFERROR(VLOOKUP(I2710,KET!$B:$F,5,0),"")</f>
        <v>GMM</v>
      </c>
      <c r="G2710" s="20">
        <f>IFERROR(INDEX('Kode Outlet dan Target Toko'!$C:$C,MATCH($I2710,'Kode Outlet dan Target Toko'!$E:$E,0)),0)</f>
        <v>211033</v>
      </c>
      <c r="H2710" s="20">
        <f>IFERROR(INDEX('Kode Outlet dan Target Toko'!$D:$D,MATCH($I2710,'Kode Outlet dan Target Toko'!$E:$E,0)),0)</f>
        <v>2001021</v>
      </c>
      <c r="I2710" s="42" t="s">
        <v>66</v>
      </c>
      <c r="J2710" s="56" t="s">
        <v>284</v>
      </c>
      <c r="K2710" s="40" t="s">
        <v>16</v>
      </c>
      <c r="L2710" s="26">
        <v>3000</v>
      </c>
      <c r="M2710" s="26">
        <v>210</v>
      </c>
      <c r="N2710" s="25">
        <f t="shared" si="85"/>
        <v>630000</v>
      </c>
      <c r="O2710" s="56">
        <v>160</v>
      </c>
    </row>
    <row r="2711" spans="1:15" hidden="1" x14ac:dyDescent="0.3">
      <c r="A2711" s="26">
        <v>31</v>
      </c>
      <c r="B2711" s="20" t="str">
        <f t="shared" si="84"/>
        <v>AUG</v>
      </c>
      <c r="C2711" s="21">
        <v>46235</v>
      </c>
      <c r="D2711" s="22" t="str">
        <f t="array" ref="D2711">IFERROR(INDEX('Kode Outlet dan Target Toko'!$A:$A,MATCH($I2711,'Kode Outlet dan Target Toko'!$E:$E,0)),"")</f>
        <v>GRSM 6</v>
      </c>
      <c r="E2711" s="20" t="str">
        <f>IFERROR(VLOOKUP(I2711,KET!$B:$F,4,0),"")</f>
        <v>WINDA</v>
      </c>
      <c r="F2711" s="20" t="str">
        <f>IFERROR(VLOOKUP(I2711,KET!$B:$F,5,0),"")</f>
        <v>GMM</v>
      </c>
      <c r="G2711" s="20">
        <f>IFERROR(INDEX('Kode Outlet dan Target Toko'!$C:$C,MATCH($I2711,'Kode Outlet dan Target Toko'!$E:$E,0)),0)</f>
        <v>211033</v>
      </c>
      <c r="H2711" s="20">
        <f>IFERROR(INDEX('Kode Outlet dan Target Toko'!$D:$D,MATCH($I2711,'Kode Outlet dan Target Toko'!$E:$E,0)),0)</f>
        <v>6467246</v>
      </c>
      <c r="I2711" s="42" t="s">
        <v>50</v>
      </c>
      <c r="J2711" s="56" t="s">
        <v>271</v>
      </c>
      <c r="K2711" s="40" t="s">
        <v>15</v>
      </c>
      <c r="L2711" s="26">
        <v>3100</v>
      </c>
      <c r="M2711" s="26">
        <v>181</v>
      </c>
      <c r="N2711" s="25">
        <f t="shared" si="85"/>
        <v>561100</v>
      </c>
      <c r="O2711" s="56"/>
    </row>
    <row r="2712" spans="1:15" hidden="1" x14ac:dyDescent="0.3">
      <c r="A2712" s="26">
        <v>31</v>
      </c>
      <c r="B2712" s="20" t="str">
        <f t="shared" si="84"/>
        <v>AUG</v>
      </c>
      <c r="C2712" s="21">
        <v>46235</v>
      </c>
      <c r="D2712" s="22" t="str">
        <f t="array" ref="D2712">IFERROR(INDEX('Kode Outlet dan Target Toko'!$A:$A,MATCH($I2712,'Kode Outlet dan Target Toko'!$E:$E,0)),"")</f>
        <v>GRSM 6</v>
      </c>
      <c r="E2712" s="20" t="str">
        <f>IFERROR(VLOOKUP(I2712,KET!$B:$F,4,0),"")</f>
        <v>WINDA</v>
      </c>
      <c r="F2712" s="20" t="str">
        <f>IFERROR(VLOOKUP(I2712,KET!$B:$F,5,0),"")</f>
        <v>GMM</v>
      </c>
      <c r="G2712" s="20">
        <f>IFERROR(INDEX('Kode Outlet dan Target Toko'!$C:$C,MATCH($I2712,'Kode Outlet dan Target Toko'!$E:$E,0)),0)</f>
        <v>211033</v>
      </c>
      <c r="H2712" s="20">
        <f>IFERROR(INDEX('Kode Outlet dan Target Toko'!$D:$D,MATCH($I2712,'Kode Outlet dan Target Toko'!$E:$E,0)),0)</f>
        <v>6467246</v>
      </c>
      <c r="I2712" s="42" t="s">
        <v>50</v>
      </c>
      <c r="J2712" s="56" t="s">
        <v>271</v>
      </c>
      <c r="K2712" s="40" t="s">
        <v>14</v>
      </c>
      <c r="L2712" s="26">
        <v>3100</v>
      </c>
      <c r="M2712" s="26">
        <v>174</v>
      </c>
      <c r="N2712" s="25">
        <f t="shared" si="85"/>
        <v>539400</v>
      </c>
      <c r="O2712" s="56"/>
    </row>
    <row r="2713" spans="1:15" hidden="1" x14ac:dyDescent="0.3">
      <c r="A2713" s="26">
        <v>31</v>
      </c>
      <c r="B2713" s="20" t="str">
        <f t="shared" si="84"/>
        <v>AUG</v>
      </c>
      <c r="C2713" s="21">
        <v>46235</v>
      </c>
      <c r="D2713" s="22" t="str">
        <f t="array" ref="D2713">IFERROR(INDEX('Kode Outlet dan Target Toko'!$A:$A,MATCH($I2713,'Kode Outlet dan Target Toko'!$E:$E,0)),"")</f>
        <v>GRSM 6</v>
      </c>
      <c r="E2713" s="20" t="str">
        <f>IFERROR(VLOOKUP(I2713,KET!$B:$F,4,0),"")</f>
        <v>WINDA</v>
      </c>
      <c r="F2713" s="20" t="str">
        <f>IFERROR(VLOOKUP(I2713,KET!$B:$F,5,0),"")</f>
        <v>GMM</v>
      </c>
      <c r="G2713" s="20">
        <f>IFERROR(INDEX('Kode Outlet dan Target Toko'!$C:$C,MATCH($I2713,'Kode Outlet dan Target Toko'!$E:$E,0)),0)</f>
        <v>211033</v>
      </c>
      <c r="H2713" s="20">
        <f>IFERROR(INDEX('Kode Outlet dan Target Toko'!$D:$D,MATCH($I2713,'Kode Outlet dan Target Toko'!$E:$E,0)),0)</f>
        <v>6467246</v>
      </c>
      <c r="I2713" s="42" t="s">
        <v>50</v>
      </c>
      <c r="J2713" s="56" t="s">
        <v>271</v>
      </c>
      <c r="K2713" s="40" t="s">
        <v>13</v>
      </c>
      <c r="L2713" s="26">
        <v>3100</v>
      </c>
      <c r="M2713" s="26">
        <v>74</v>
      </c>
      <c r="N2713" s="25">
        <f t="shared" si="85"/>
        <v>229400</v>
      </c>
      <c r="O2713" s="56"/>
    </row>
    <row r="2714" spans="1:15" hidden="1" x14ac:dyDescent="0.3">
      <c r="A2714" s="26">
        <v>31</v>
      </c>
      <c r="B2714" s="20" t="str">
        <f t="shared" si="84"/>
        <v>AUG</v>
      </c>
      <c r="C2714" s="21">
        <v>46235</v>
      </c>
      <c r="D2714" s="22" t="str">
        <f t="array" ref="D2714">IFERROR(INDEX('Kode Outlet dan Target Toko'!$A:$A,MATCH($I2714,'Kode Outlet dan Target Toko'!$E:$E,0)),"")</f>
        <v>GRSM 6</v>
      </c>
      <c r="E2714" s="20" t="str">
        <f>IFERROR(VLOOKUP(I2714,KET!$B:$F,4,0),"")</f>
        <v>WINDA</v>
      </c>
      <c r="F2714" s="20" t="str">
        <f>IFERROR(VLOOKUP(I2714,KET!$B:$F,5,0),"")</f>
        <v>GMM</v>
      </c>
      <c r="G2714" s="20">
        <f>IFERROR(INDEX('Kode Outlet dan Target Toko'!$C:$C,MATCH($I2714,'Kode Outlet dan Target Toko'!$E:$E,0)),0)</f>
        <v>211033</v>
      </c>
      <c r="H2714" s="20">
        <f>IFERROR(INDEX('Kode Outlet dan Target Toko'!$D:$D,MATCH($I2714,'Kode Outlet dan Target Toko'!$E:$E,0)),0)</f>
        <v>6467246</v>
      </c>
      <c r="I2714" s="42" t="s">
        <v>50</v>
      </c>
      <c r="J2714" s="56" t="s">
        <v>271</v>
      </c>
      <c r="K2714" s="40" t="s">
        <v>16</v>
      </c>
      <c r="L2714" s="26">
        <v>3100</v>
      </c>
      <c r="M2714" s="26">
        <v>292</v>
      </c>
      <c r="N2714" s="25">
        <f t="shared" si="85"/>
        <v>905200</v>
      </c>
      <c r="O2714" s="56">
        <v>160</v>
      </c>
    </row>
    <row r="2715" spans="1:15" hidden="1" x14ac:dyDescent="0.3">
      <c r="A2715" s="26">
        <v>31</v>
      </c>
      <c r="B2715" s="20" t="str">
        <f t="shared" si="84"/>
        <v>AUG</v>
      </c>
      <c r="C2715" s="21">
        <v>46235</v>
      </c>
      <c r="D2715" s="22" t="str">
        <f t="array" ref="D2715">IFERROR(INDEX('Kode Outlet dan Target Toko'!$A:$A,MATCH($I2715,'Kode Outlet dan Target Toko'!$E:$E,0)),"")</f>
        <v>GRSM 6</v>
      </c>
      <c r="E2715" s="20" t="str">
        <f>IFERROR(VLOOKUP(I2715,KET!$B:$F,4,0),"")</f>
        <v>WINDA</v>
      </c>
      <c r="F2715" s="20" t="str">
        <f>IFERROR(VLOOKUP(I2715,KET!$B:$F,5,0),"")</f>
        <v>GMM</v>
      </c>
      <c r="G2715" s="20">
        <f>IFERROR(INDEX('Kode Outlet dan Target Toko'!$C:$C,MATCH($I2715,'Kode Outlet dan Target Toko'!$E:$E,0)),0)</f>
        <v>211033</v>
      </c>
      <c r="H2715" s="20">
        <f>IFERROR(INDEX('Kode Outlet dan Target Toko'!$D:$D,MATCH($I2715,'Kode Outlet dan Target Toko'!$E:$E,0)),0)</f>
        <v>6467246</v>
      </c>
      <c r="I2715" s="42" t="s">
        <v>50</v>
      </c>
      <c r="J2715" s="56" t="s">
        <v>272</v>
      </c>
      <c r="K2715" s="40" t="s">
        <v>15</v>
      </c>
      <c r="L2715" s="26">
        <v>3100</v>
      </c>
      <c r="M2715" s="26">
        <v>181</v>
      </c>
      <c r="N2715" s="25">
        <f t="shared" si="85"/>
        <v>561100</v>
      </c>
      <c r="O2715" s="56"/>
    </row>
    <row r="2716" spans="1:15" hidden="1" x14ac:dyDescent="0.3">
      <c r="A2716" s="26">
        <v>31</v>
      </c>
      <c r="B2716" s="20" t="str">
        <f t="shared" si="84"/>
        <v>AUG</v>
      </c>
      <c r="C2716" s="21">
        <v>46235</v>
      </c>
      <c r="D2716" s="22" t="str">
        <f t="array" ref="D2716">IFERROR(INDEX('Kode Outlet dan Target Toko'!$A:$A,MATCH($I2716,'Kode Outlet dan Target Toko'!$E:$E,0)),"")</f>
        <v>GRSM 6</v>
      </c>
      <c r="E2716" s="20" t="str">
        <f>IFERROR(VLOOKUP(I2716,KET!$B:$F,4,0),"")</f>
        <v>WINDA</v>
      </c>
      <c r="F2716" s="20" t="str">
        <f>IFERROR(VLOOKUP(I2716,KET!$B:$F,5,0),"")</f>
        <v>GMM</v>
      </c>
      <c r="G2716" s="20">
        <f>IFERROR(INDEX('Kode Outlet dan Target Toko'!$C:$C,MATCH($I2716,'Kode Outlet dan Target Toko'!$E:$E,0)),0)</f>
        <v>211033</v>
      </c>
      <c r="H2716" s="20">
        <f>IFERROR(INDEX('Kode Outlet dan Target Toko'!$D:$D,MATCH($I2716,'Kode Outlet dan Target Toko'!$E:$E,0)),0)</f>
        <v>6467246</v>
      </c>
      <c r="I2716" s="42" t="s">
        <v>50</v>
      </c>
      <c r="J2716" s="56" t="s">
        <v>272</v>
      </c>
      <c r="K2716" s="40" t="s">
        <v>14</v>
      </c>
      <c r="L2716" s="26">
        <v>3100</v>
      </c>
      <c r="M2716" s="26">
        <v>174</v>
      </c>
      <c r="N2716" s="25">
        <f t="shared" si="85"/>
        <v>539400</v>
      </c>
      <c r="O2716" s="56"/>
    </row>
    <row r="2717" spans="1:15" hidden="1" x14ac:dyDescent="0.3">
      <c r="A2717" s="26">
        <v>31</v>
      </c>
      <c r="B2717" s="20" t="str">
        <f t="shared" si="84"/>
        <v>AUG</v>
      </c>
      <c r="C2717" s="21">
        <v>46235</v>
      </c>
      <c r="D2717" s="22" t="str">
        <f t="array" ref="D2717">IFERROR(INDEX('Kode Outlet dan Target Toko'!$A:$A,MATCH($I2717,'Kode Outlet dan Target Toko'!$E:$E,0)),"")</f>
        <v>GRSM 6</v>
      </c>
      <c r="E2717" s="20" t="str">
        <f>IFERROR(VLOOKUP(I2717,KET!$B:$F,4,0),"")</f>
        <v>WINDA</v>
      </c>
      <c r="F2717" s="20" t="str">
        <f>IFERROR(VLOOKUP(I2717,KET!$B:$F,5,0),"")</f>
        <v>GMM</v>
      </c>
      <c r="G2717" s="20">
        <f>IFERROR(INDEX('Kode Outlet dan Target Toko'!$C:$C,MATCH($I2717,'Kode Outlet dan Target Toko'!$E:$E,0)),0)</f>
        <v>211033</v>
      </c>
      <c r="H2717" s="20">
        <f>IFERROR(INDEX('Kode Outlet dan Target Toko'!$D:$D,MATCH($I2717,'Kode Outlet dan Target Toko'!$E:$E,0)),0)</f>
        <v>6467246</v>
      </c>
      <c r="I2717" s="42" t="s">
        <v>50</v>
      </c>
      <c r="J2717" s="56" t="s">
        <v>272</v>
      </c>
      <c r="K2717" s="40" t="s">
        <v>13</v>
      </c>
      <c r="L2717" s="26">
        <v>3100</v>
      </c>
      <c r="M2717" s="26">
        <v>74</v>
      </c>
      <c r="N2717" s="25">
        <f t="shared" si="85"/>
        <v>229400</v>
      </c>
      <c r="O2717" s="56"/>
    </row>
    <row r="2718" spans="1:15" hidden="1" x14ac:dyDescent="0.3">
      <c r="A2718" s="26">
        <v>31</v>
      </c>
      <c r="B2718" s="20" t="str">
        <f t="shared" si="84"/>
        <v>AUG</v>
      </c>
      <c r="C2718" s="21">
        <v>46235</v>
      </c>
      <c r="D2718" s="22" t="str">
        <f t="array" ref="D2718">IFERROR(INDEX('Kode Outlet dan Target Toko'!$A:$A,MATCH($I2718,'Kode Outlet dan Target Toko'!$E:$E,0)),"")</f>
        <v>GRSM 6</v>
      </c>
      <c r="E2718" s="20" t="str">
        <f>IFERROR(VLOOKUP(I2718,KET!$B:$F,4,0),"")</f>
        <v>WINDA</v>
      </c>
      <c r="F2718" s="20" t="str">
        <f>IFERROR(VLOOKUP(I2718,KET!$B:$F,5,0),"")</f>
        <v>GMM</v>
      </c>
      <c r="G2718" s="20">
        <f>IFERROR(INDEX('Kode Outlet dan Target Toko'!$C:$C,MATCH($I2718,'Kode Outlet dan Target Toko'!$E:$E,0)),0)</f>
        <v>211033</v>
      </c>
      <c r="H2718" s="20">
        <f>IFERROR(INDEX('Kode Outlet dan Target Toko'!$D:$D,MATCH($I2718,'Kode Outlet dan Target Toko'!$E:$E,0)),0)</f>
        <v>6467246</v>
      </c>
      <c r="I2718" s="42" t="s">
        <v>50</v>
      </c>
      <c r="J2718" s="56" t="s">
        <v>272</v>
      </c>
      <c r="K2718" s="40" t="s">
        <v>16</v>
      </c>
      <c r="L2718" s="26">
        <v>3100</v>
      </c>
      <c r="M2718" s="26">
        <v>292</v>
      </c>
      <c r="N2718" s="25">
        <f t="shared" si="85"/>
        <v>905200</v>
      </c>
      <c r="O2718" s="56">
        <v>160</v>
      </c>
    </row>
    <row r="2719" spans="1:15" hidden="1" x14ac:dyDescent="0.3">
      <c r="A2719" s="26">
        <v>31</v>
      </c>
      <c r="B2719" s="20" t="str">
        <f t="shared" si="84"/>
        <v>AUG</v>
      </c>
      <c r="C2719" s="21">
        <v>46236</v>
      </c>
      <c r="D2719" s="22" t="str">
        <f t="array" ref="D2719">IFERROR(INDEX('Kode Outlet dan Target Toko'!$A:$A,MATCH($I2719,'Kode Outlet dan Target Toko'!$E:$E,0)),"")</f>
        <v>GRSM 6</v>
      </c>
      <c r="E2719" s="20" t="str">
        <f>IFERROR(VLOOKUP(I2719,KET!$B:$F,4,0),"")</f>
        <v>WINDA</v>
      </c>
      <c r="F2719" s="20" t="str">
        <f>IFERROR(VLOOKUP(I2719,KET!$B:$F,5,0),"")</f>
        <v>GMM</v>
      </c>
      <c r="G2719" s="20">
        <f>IFERROR(INDEX('Kode Outlet dan Target Toko'!$C:$C,MATCH($I2719,'Kode Outlet dan Target Toko'!$E:$E,0)),0)</f>
        <v>211033</v>
      </c>
      <c r="H2719" s="20">
        <f>IFERROR(INDEX('Kode Outlet dan Target Toko'!$D:$D,MATCH($I2719,'Kode Outlet dan Target Toko'!$E:$E,0)),0)</f>
        <v>6467246</v>
      </c>
      <c r="I2719" s="42" t="s">
        <v>50</v>
      </c>
      <c r="J2719" s="56" t="s">
        <v>271</v>
      </c>
      <c r="K2719" s="40" t="s">
        <v>15</v>
      </c>
      <c r="L2719" s="26">
        <v>3100</v>
      </c>
      <c r="M2719" s="26">
        <v>94</v>
      </c>
      <c r="N2719" s="25">
        <f t="shared" si="85"/>
        <v>291400</v>
      </c>
      <c r="O2719" s="56"/>
    </row>
    <row r="2720" spans="1:15" hidden="1" x14ac:dyDescent="0.3">
      <c r="A2720" s="26">
        <v>31</v>
      </c>
      <c r="B2720" s="20" t="str">
        <f t="shared" si="84"/>
        <v>AUG</v>
      </c>
      <c r="C2720" s="21">
        <v>46236</v>
      </c>
      <c r="D2720" s="22" t="str">
        <f t="array" ref="D2720">IFERROR(INDEX('Kode Outlet dan Target Toko'!$A:$A,MATCH($I2720,'Kode Outlet dan Target Toko'!$E:$E,0)),"")</f>
        <v>GRSM 6</v>
      </c>
      <c r="E2720" s="20" t="str">
        <f>IFERROR(VLOOKUP(I2720,KET!$B:$F,4,0),"")</f>
        <v>WINDA</v>
      </c>
      <c r="F2720" s="20" t="str">
        <f>IFERROR(VLOOKUP(I2720,KET!$B:$F,5,0),"")</f>
        <v>GMM</v>
      </c>
      <c r="G2720" s="20">
        <f>IFERROR(INDEX('Kode Outlet dan Target Toko'!$C:$C,MATCH($I2720,'Kode Outlet dan Target Toko'!$E:$E,0)),0)</f>
        <v>211033</v>
      </c>
      <c r="H2720" s="20">
        <f>IFERROR(INDEX('Kode Outlet dan Target Toko'!$D:$D,MATCH($I2720,'Kode Outlet dan Target Toko'!$E:$E,0)),0)</f>
        <v>6467246</v>
      </c>
      <c r="I2720" s="42" t="s">
        <v>50</v>
      </c>
      <c r="J2720" s="56" t="s">
        <v>271</v>
      </c>
      <c r="K2720" s="40" t="s">
        <v>14</v>
      </c>
      <c r="L2720" s="26">
        <v>3100</v>
      </c>
      <c r="M2720" s="26">
        <v>174</v>
      </c>
      <c r="N2720" s="25">
        <f t="shared" si="85"/>
        <v>539400</v>
      </c>
      <c r="O2720" s="56"/>
    </row>
    <row r="2721" spans="1:15" hidden="1" x14ac:dyDescent="0.3">
      <c r="A2721" s="26">
        <v>31</v>
      </c>
      <c r="B2721" s="20" t="str">
        <f t="shared" si="84"/>
        <v>AUG</v>
      </c>
      <c r="C2721" s="21">
        <v>46236</v>
      </c>
      <c r="D2721" s="22" t="str">
        <f t="array" ref="D2721">IFERROR(INDEX('Kode Outlet dan Target Toko'!$A:$A,MATCH($I2721,'Kode Outlet dan Target Toko'!$E:$E,0)),"")</f>
        <v>GRSM 6</v>
      </c>
      <c r="E2721" s="20" t="str">
        <f>IFERROR(VLOOKUP(I2721,KET!$B:$F,4,0),"")</f>
        <v>WINDA</v>
      </c>
      <c r="F2721" s="20" t="str">
        <f>IFERROR(VLOOKUP(I2721,KET!$B:$F,5,0),"")</f>
        <v>GMM</v>
      </c>
      <c r="G2721" s="20">
        <f>IFERROR(INDEX('Kode Outlet dan Target Toko'!$C:$C,MATCH($I2721,'Kode Outlet dan Target Toko'!$E:$E,0)),0)</f>
        <v>211033</v>
      </c>
      <c r="H2721" s="20">
        <f>IFERROR(INDEX('Kode Outlet dan Target Toko'!$D:$D,MATCH($I2721,'Kode Outlet dan Target Toko'!$E:$E,0)),0)</f>
        <v>6467246</v>
      </c>
      <c r="I2721" s="42" t="s">
        <v>50</v>
      </c>
      <c r="J2721" s="56" t="s">
        <v>271</v>
      </c>
      <c r="K2721" s="40" t="s">
        <v>13</v>
      </c>
      <c r="L2721" s="26">
        <v>3100</v>
      </c>
      <c r="M2721" s="26">
        <v>90</v>
      </c>
      <c r="N2721" s="25">
        <f t="shared" si="85"/>
        <v>279000</v>
      </c>
      <c r="O2721" s="56"/>
    </row>
    <row r="2722" spans="1:15" hidden="1" x14ac:dyDescent="0.3">
      <c r="A2722" s="26">
        <v>31</v>
      </c>
      <c r="B2722" s="20" t="str">
        <f t="shared" si="84"/>
        <v>AUG</v>
      </c>
      <c r="C2722" s="21">
        <v>46236</v>
      </c>
      <c r="D2722" s="22" t="str">
        <f t="array" ref="D2722">IFERROR(INDEX('Kode Outlet dan Target Toko'!$A:$A,MATCH($I2722,'Kode Outlet dan Target Toko'!$E:$E,0)),"")</f>
        <v>GRSM 6</v>
      </c>
      <c r="E2722" s="20" t="str">
        <f>IFERROR(VLOOKUP(I2722,KET!$B:$F,4,0),"")</f>
        <v>WINDA</v>
      </c>
      <c r="F2722" s="20" t="str">
        <f>IFERROR(VLOOKUP(I2722,KET!$B:$F,5,0),"")</f>
        <v>GMM</v>
      </c>
      <c r="G2722" s="20">
        <f>IFERROR(INDEX('Kode Outlet dan Target Toko'!$C:$C,MATCH($I2722,'Kode Outlet dan Target Toko'!$E:$E,0)),0)</f>
        <v>211033</v>
      </c>
      <c r="H2722" s="20">
        <f>IFERROR(INDEX('Kode Outlet dan Target Toko'!$D:$D,MATCH($I2722,'Kode Outlet dan Target Toko'!$E:$E,0)),0)</f>
        <v>6467246</v>
      </c>
      <c r="I2722" s="42" t="s">
        <v>50</v>
      </c>
      <c r="J2722" s="56" t="s">
        <v>271</v>
      </c>
      <c r="K2722" s="40" t="s">
        <v>16</v>
      </c>
      <c r="L2722" s="26">
        <v>3100</v>
      </c>
      <c r="M2722" s="26">
        <v>383</v>
      </c>
      <c r="N2722" s="25">
        <f t="shared" si="85"/>
        <v>1187300</v>
      </c>
      <c r="O2722" s="56">
        <v>160</v>
      </c>
    </row>
    <row r="2723" spans="1:15" hidden="1" x14ac:dyDescent="0.3">
      <c r="A2723" s="26">
        <v>31</v>
      </c>
      <c r="B2723" s="20" t="str">
        <f t="shared" si="84"/>
        <v>AUG</v>
      </c>
      <c r="C2723" s="21">
        <v>46236</v>
      </c>
      <c r="D2723" s="22" t="str">
        <f t="array" ref="D2723">IFERROR(INDEX('Kode Outlet dan Target Toko'!$A:$A,MATCH($I2723,'Kode Outlet dan Target Toko'!$E:$E,0)),"")</f>
        <v>GRSM 6</v>
      </c>
      <c r="E2723" s="20" t="str">
        <f>IFERROR(VLOOKUP(I2723,KET!$B:$F,4,0),"")</f>
        <v>WINDA</v>
      </c>
      <c r="F2723" s="20" t="str">
        <f>IFERROR(VLOOKUP(I2723,KET!$B:$F,5,0),"")</f>
        <v>GMM</v>
      </c>
      <c r="G2723" s="20">
        <f>IFERROR(INDEX('Kode Outlet dan Target Toko'!$C:$C,MATCH($I2723,'Kode Outlet dan Target Toko'!$E:$E,0)),0)</f>
        <v>211033</v>
      </c>
      <c r="H2723" s="20">
        <f>IFERROR(INDEX('Kode Outlet dan Target Toko'!$D:$D,MATCH($I2723,'Kode Outlet dan Target Toko'!$E:$E,0)),0)</f>
        <v>6467246</v>
      </c>
      <c r="I2723" s="42" t="s">
        <v>50</v>
      </c>
      <c r="J2723" s="56" t="s">
        <v>272</v>
      </c>
      <c r="K2723" s="40" t="s">
        <v>15</v>
      </c>
      <c r="L2723" s="26">
        <v>3100</v>
      </c>
      <c r="M2723" s="26">
        <v>94</v>
      </c>
      <c r="N2723" s="25">
        <f t="shared" si="85"/>
        <v>291400</v>
      </c>
      <c r="O2723" s="56"/>
    </row>
    <row r="2724" spans="1:15" hidden="1" x14ac:dyDescent="0.3">
      <c r="A2724" s="26">
        <v>31</v>
      </c>
      <c r="B2724" s="20" t="str">
        <f t="shared" si="84"/>
        <v>AUG</v>
      </c>
      <c r="C2724" s="21">
        <v>46236</v>
      </c>
      <c r="D2724" s="22" t="str">
        <f t="array" ref="D2724">IFERROR(INDEX('Kode Outlet dan Target Toko'!$A:$A,MATCH($I2724,'Kode Outlet dan Target Toko'!$E:$E,0)),"")</f>
        <v>GRSM 6</v>
      </c>
      <c r="E2724" s="20" t="str">
        <f>IFERROR(VLOOKUP(I2724,KET!$B:$F,4,0),"")</f>
        <v>WINDA</v>
      </c>
      <c r="F2724" s="20" t="str">
        <f>IFERROR(VLOOKUP(I2724,KET!$B:$F,5,0),"")</f>
        <v>GMM</v>
      </c>
      <c r="G2724" s="20">
        <f>IFERROR(INDEX('Kode Outlet dan Target Toko'!$C:$C,MATCH($I2724,'Kode Outlet dan Target Toko'!$E:$E,0)),0)</f>
        <v>211033</v>
      </c>
      <c r="H2724" s="20">
        <f>IFERROR(INDEX('Kode Outlet dan Target Toko'!$D:$D,MATCH($I2724,'Kode Outlet dan Target Toko'!$E:$E,0)),0)</f>
        <v>6467246</v>
      </c>
      <c r="I2724" s="42" t="s">
        <v>50</v>
      </c>
      <c r="J2724" s="56" t="s">
        <v>272</v>
      </c>
      <c r="K2724" s="40" t="s">
        <v>14</v>
      </c>
      <c r="L2724" s="26">
        <v>3100</v>
      </c>
      <c r="M2724" s="26">
        <v>174</v>
      </c>
      <c r="N2724" s="25">
        <f t="shared" si="85"/>
        <v>539400</v>
      </c>
      <c r="O2724" s="56"/>
    </row>
    <row r="2725" spans="1:15" hidden="1" x14ac:dyDescent="0.3">
      <c r="A2725" s="26">
        <v>31</v>
      </c>
      <c r="B2725" s="20" t="str">
        <f t="shared" si="84"/>
        <v>AUG</v>
      </c>
      <c r="C2725" s="21">
        <v>46236</v>
      </c>
      <c r="D2725" s="22" t="str">
        <f t="array" ref="D2725">IFERROR(INDEX('Kode Outlet dan Target Toko'!$A:$A,MATCH($I2725,'Kode Outlet dan Target Toko'!$E:$E,0)),"")</f>
        <v>GRSM 6</v>
      </c>
      <c r="E2725" s="20" t="str">
        <f>IFERROR(VLOOKUP(I2725,KET!$B:$F,4,0),"")</f>
        <v>WINDA</v>
      </c>
      <c r="F2725" s="20" t="str">
        <f>IFERROR(VLOOKUP(I2725,KET!$B:$F,5,0),"")</f>
        <v>GMM</v>
      </c>
      <c r="G2725" s="20">
        <f>IFERROR(INDEX('Kode Outlet dan Target Toko'!$C:$C,MATCH($I2725,'Kode Outlet dan Target Toko'!$E:$E,0)),0)</f>
        <v>211033</v>
      </c>
      <c r="H2725" s="20">
        <f>IFERROR(INDEX('Kode Outlet dan Target Toko'!$D:$D,MATCH($I2725,'Kode Outlet dan Target Toko'!$E:$E,0)),0)</f>
        <v>6467246</v>
      </c>
      <c r="I2725" s="42" t="s">
        <v>50</v>
      </c>
      <c r="J2725" s="56" t="s">
        <v>272</v>
      </c>
      <c r="K2725" s="40" t="s">
        <v>13</v>
      </c>
      <c r="L2725" s="26">
        <v>3100</v>
      </c>
      <c r="M2725" s="26">
        <v>90</v>
      </c>
      <c r="N2725" s="25">
        <f t="shared" si="85"/>
        <v>279000</v>
      </c>
      <c r="O2725" s="56"/>
    </row>
    <row r="2726" spans="1:15" hidden="1" x14ac:dyDescent="0.3">
      <c r="A2726" s="26">
        <v>31</v>
      </c>
      <c r="B2726" s="20" t="str">
        <f t="shared" si="84"/>
        <v>AUG</v>
      </c>
      <c r="C2726" s="21">
        <v>46236</v>
      </c>
      <c r="D2726" s="22" t="str">
        <f t="array" ref="D2726">IFERROR(INDEX('Kode Outlet dan Target Toko'!$A:$A,MATCH($I2726,'Kode Outlet dan Target Toko'!$E:$E,0)),"")</f>
        <v>GRSM 6</v>
      </c>
      <c r="E2726" s="20" t="str">
        <f>IFERROR(VLOOKUP(I2726,KET!$B:$F,4,0),"")</f>
        <v>WINDA</v>
      </c>
      <c r="F2726" s="20" t="str">
        <f>IFERROR(VLOOKUP(I2726,KET!$B:$F,5,0),"")</f>
        <v>GMM</v>
      </c>
      <c r="G2726" s="20">
        <f>IFERROR(INDEX('Kode Outlet dan Target Toko'!$C:$C,MATCH($I2726,'Kode Outlet dan Target Toko'!$E:$E,0)),0)</f>
        <v>211033</v>
      </c>
      <c r="H2726" s="20">
        <f>IFERROR(INDEX('Kode Outlet dan Target Toko'!$D:$D,MATCH($I2726,'Kode Outlet dan Target Toko'!$E:$E,0)),0)</f>
        <v>6467246</v>
      </c>
      <c r="I2726" s="42" t="s">
        <v>50</v>
      </c>
      <c r="J2726" s="56" t="s">
        <v>272</v>
      </c>
      <c r="K2726" s="40" t="s">
        <v>16</v>
      </c>
      <c r="L2726" s="26">
        <v>3100</v>
      </c>
      <c r="M2726" s="26">
        <v>383</v>
      </c>
      <c r="N2726" s="25">
        <f t="shared" si="85"/>
        <v>1187300</v>
      </c>
      <c r="O2726" s="56">
        <v>160</v>
      </c>
    </row>
    <row r="2727" spans="1:15" hidden="1" x14ac:dyDescent="0.3">
      <c r="A2727" s="26">
        <v>31</v>
      </c>
      <c r="B2727" s="20" t="str">
        <f t="shared" si="84"/>
        <v>AUG</v>
      </c>
      <c r="C2727" s="21">
        <v>46236</v>
      </c>
      <c r="D2727" s="22" t="str">
        <f t="array" ref="D2727">IFERROR(INDEX('Kode Outlet dan Target Toko'!$A:$A,MATCH($I2727,'Kode Outlet dan Target Toko'!$E:$E,0)),"")</f>
        <v>GRSM 6</v>
      </c>
      <c r="E2727" s="20" t="str">
        <f>IFERROR(VLOOKUP(I2727,KET!$B:$F,4,0),"")</f>
        <v>WINDA</v>
      </c>
      <c r="F2727" s="20" t="str">
        <f>IFERROR(VLOOKUP(I2727,KET!$B:$F,5,0),"")</f>
        <v>GMM</v>
      </c>
      <c r="G2727" s="20">
        <f>IFERROR(INDEX('Kode Outlet dan Target Toko'!$C:$C,MATCH($I2727,'Kode Outlet dan Target Toko'!$E:$E,0)),0)</f>
        <v>211163</v>
      </c>
      <c r="H2727" s="20">
        <f>IFERROR(INDEX('Kode Outlet dan Target Toko'!$D:$D,MATCH($I2727,'Kode Outlet dan Target Toko'!$E:$E,0)),0)</f>
        <v>3703215</v>
      </c>
      <c r="I2727" s="42" t="s">
        <v>53</v>
      </c>
      <c r="J2727" s="56" t="s">
        <v>275</v>
      </c>
      <c r="K2727" s="40" t="s">
        <v>15</v>
      </c>
      <c r="L2727" s="26">
        <v>3000</v>
      </c>
      <c r="M2727" s="26">
        <v>110</v>
      </c>
      <c r="N2727" s="25">
        <f t="shared" si="85"/>
        <v>330000</v>
      </c>
      <c r="O2727" s="56"/>
    </row>
    <row r="2728" spans="1:15" hidden="1" x14ac:dyDescent="0.3">
      <c r="A2728" s="26">
        <v>31</v>
      </c>
      <c r="B2728" s="20" t="str">
        <f t="shared" si="84"/>
        <v>AUG</v>
      </c>
      <c r="C2728" s="21">
        <v>46236</v>
      </c>
      <c r="D2728" s="22" t="str">
        <f t="array" ref="D2728">IFERROR(INDEX('Kode Outlet dan Target Toko'!$A:$A,MATCH($I2728,'Kode Outlet dan Target Toko'!$E:$E,0)),"")</f>
        <v>GRSM 6</v>
      </c>
      <c r="E2728" s="20" t="str">
        <f>IFERROR(VLOOKUP(I2728,KET!$B:$F,4,0),"")</f>
        <v>WINDA</v>
      </c>
      <c r="F2728" s="20" t="str">
        <f>IFERROR(VLOOKUP(I2728,KET!$B:$F,5,0),"")</f>
        <v>GMM</v>
      </c>
      <c r="G2728" s="20">
        <f>IFERROR(INDEX('Kode Outlet dan Target Toko'!$C:$C,MATCH($I2728,'Kode Outlet dan Target Toko'!$E:$E,0)),0)</f>
        <v>211163</v>
      </c>
      <c r="H2728" s="20">
        <f>IFERROR(INDEX('Kode Outlet dan Target Toko'!$D:$D,MATCH($I2728,'Kode Outlet dan Target Toko'!$E:$E,0)),0)</f>
        <v>3703215</v>
      </c>
      <c r="I2728" s="42" t="s">
        <v>53</v>
      </c>
      <c r="J2728" s="56" t="s">
        <v>275</v>
      </c>
      <c r="K2728" s="40" t="s">
        <v>14</v>
      </c>
      <c r="L2728" s="26">
        <v>3000</v>
      </c>
      <c r="M2728" s="26">
        <v>85</v>
      </c>
      <c r="N2728" s="25">
        <f t="shared" si="85"/>
        <v>255000</v>
      </c>
      <c r="O2728" s="56"/>
    </row>
    <row r="2729" spans="1:15" hidden="1" x14ac:dyDescent="0.3">
      <c r="A2729" s="26">
        <v>31</v>
      </c>
      <c r="B2729" s="20" t="str">
        <f t="shared" si="84"/>
        <v>AUG</v>
      </c>
      <c r="C2729" s="21">
        <v>46236</v>
      </c>
      <c r="D2729" s="22" t="str">
        <f t="array" ref="D2729">IFERROR(INDEX('Kode Outlet dan Target Toko'!$A:$A,MATCH($I2729,'Kode Outlet dan Target Toko'!$E:$E,0)),"")</f>
        <v>GRSM 6</v>
      </c>
      <c r="E2729" s="20" t="str">
        <f>IFERROR(VLOOKUP(I2729,KET!$B:$F,4,0),"")</f>
        <v>WINDA</v>
      </c>
      <c r="F2729" s="20" t="str">
        <f>IFERROR(VLOOKUP(I2729,KET!$B:$F,5,0),"")</f>
        <v>GMM</v>
      </c>
      <c r="G2729" s="20">
        <f>IFERROR(INDEX('Kode Outlet dan Target Toko'!$C:$C,MATCH($I2729,'Kode Outlet dan Target Toko'!$E:$E,0)),0)</f>
        <v>211163</v>
      </c>
      <c r="H2729" s="20">
        <f>IFERROR(INDEX('Kode Outlet dan Target Toko'!$D:$D,MATCH($I2729,'Kode Outlet dan Target Toko'!$E:$E,0)),0)</f>
        <v>3703215</v>
      </c>
      <c r="I2729" s="42" t="s">
        <v>53</v>
      </c>
      <c r="J2729" s="56" t="s">
        <v>275</v>
      </c>
      <c r="K2729" s="40" t="s">
        <v>13</v>
      </c>
      <c r="L2729" s="26">
        <v>3000</v>
      </c>
      <c r="M2729" s="26">
        <v>0</v>
      </c>
      <c r="N2729" s="25">
        <f t="shared" si="85"/>
        <v>0</v>
      </c>
      <c r="O2729" s="56"/>
    </row>
    <row r="2730" spans="1:15" hidden="1" x14ac:dyDescent="0.3">
      <c r="A2730" s="26">
        <v>31</v>
      </c>
      <c r="B2730" s="20" t="str">
        <f t="shared" si="84"/>
        <v>AUG</v>
      </c>
      <c r="C2730" s="21">
        <v>46236</v>
      </c>
      <c r="D2730" s="22" t="str">
        <f t="array" ref="D2730">IFERROR(INDEX('Kode Outlet dan Target Toko'!$A:$A,MATCH($I2730,'Kode Outlet dan Target Toko'!$E:$E,0)),"")</f>
        <v>GRSM 6</v>
      </c>
      <c r="E2730" s="20" t="str">
        <f>IFERROR(VLOOKUP(I2730,KET!$B:$F,4,0),"")</f>
        <v>WINDA</v>
      </c>
      <c r="F2730" s="20" t="str">
        <f>IFERROR(VLOOKUP(I2730,KET!$B:$F,5,0),"")</f>
        <v>GMM</v>
      </c>
      <c r="G2730" s="20">
        <f>IFERROR(INDEX('Kode Outlet dan Target Toko'!$C:$C,MATCH($I2730,'Kode Outlet dan Target Toko'!$E:$E,0)),0)</f>
        <v>211163</v>
      </c>
      <c r="H2730" s="20">
        <f>IFERROR(INDEX('Kode Outlet dan Target Toko'!$D:$D,MATCH($I2730,'Kode Outlet dan Target Toko'!$E:$E,0)),0)</f>
        <v>3703215</v>
      </c>
      <c r="I2730" s="42" t="s">
        <v>53</v>
      </c>
      <c r="J2730" s="56" t="s">
        <v>275</v>
      </c>
      <c r="K2730" s="40" t="s">
        <v>16</v>
      </c>
      <c r="L2730" s="26">
        <v>3000</v>
      </c>
      <c r="M2730" s="26">
        <v>155</v>
      </c>
      <c r="N2730" s="25">
        <f t="shared" si="85"/>
        <v>465000</v>
      </c>
      <c r="O2730" s="56">
        <v>80</v>
      </c>
    </row>
    <row r="2731" spans="1:15" hidden="1" x14ac:dyDescent="0.3">
      <c r="A2731" s="26">
        <v>31</v>
      </c>
      <c r="B2731" s="20" t="str">
        <f t="shared" si="84"/>
        <v>AUG</v>
      </c>
      <c r="C2731" s="21">
        <v>46236</v>
      </c>
      <c r="D2731" s="22" t="str">
        <f t="array" ref="D2731">IFERROR(INDEX('Kode Outlet dan Target Toko'!$A:$A,MATCH($I2731,'Kode Outlet dan Target Toko'!$E:$E,0)),"")</f>
        <v>GRSM 6</v>
      </c>
      <c r="E2731" s="20" t="str">
        <f>IFERROR(VLOOKUP(I2731,KET!$B:$F,4,0),"")</f>
        <v>WINDA</v>
      </c>
      <c r="F2731" s="20" t="str">
        <f>IFERROR(VLOOKUP(I2731,KET!$B:$F,5,0),"")</f>
        <v>GMM</v>
      </c>
      <c r="G2731" s="20">
        <f>IFERROR(INDEX('Kode Outlet dan Target Toko'!$C:$C,MATCH($I2731,'Kode Outlet dan Target Toko'!$E:$E,0)),0)</f>
        <v>211163</v>
      </c>
      <c r="H2731" s="20">
        <f>IFERROR(INDEX('Kode Outlet dan Target Toko'!$D:$D,MATCH($I2731,'Kode Outlet dan Target Toko'!$E:$E,0)),0)</f>
        <v>3703215</v>
      </c>
      <c r="I2731" s="42" t="s">
        <v>53</v>
      </c>
      <c r="J2731" s="56" t="s">
        <v>276</v>
      </c>
      <c r="K2731" s="40" t="s">
        <v>15</v>
      </c>
      <c r="L2731" s="26">
        <v>3000</v>
      </c>
      <c r="M2731" s="26">
        <v>110</v>
      </c>
      <c r="N2731" s="25">
        <f t="shared" si="85"/>
        <v>330000</v>
      </c>
      <c r="O2731" s="56"/>
    </row>
    <row r="2732" spans="1:15" hidden="1" x14ac:dyDescent="0.3">
      <c r="A2732" s="26">
        <v>31</v>
      </c>
      <c r="B2732" s="20" t="str">
        <f t="shared" si="84"/>
        <v>AUG</v>
      </c>
      <c r="C2732" s="21">
        <v>46236</v>
      </c>
      <c r="D2732" s="22" t="str">
        <f t="array" ref="D2732">IFERROR(INDEX('Kode Outlet dan Target Toko'!$A:$A,MATCH($I2732,'Kode Outlet dan Target Toko'!$E:$E,0)),"")</f>
        <v>GRSM 6</v>
      </c>
      <c r="E2732" s="20" t="str">
        <f>IFERROR(VLOOKUP(I2732,KET!$B:$F,4,0),"")</f>
        <v>WINDA</v>
      </c>
      <c r="F2732" s="20" t="str">
        <f>IFERROR(VLOOKUP(I2732,KET!$B:$F,5,0),"")</f>
        <v>GMM</v>
      </c>
      <c r="G2732" s="20">
        <f>IFERROR(INDEX('Kode Outlet dan Target Toko'!$C:$C,MATCH($I2732,'Kode Outlet dan Target Toko'!$E:$E,0)),0)</f>
        <v>211163</v>
      </c>
      <c r="H2732" s="20">
        <f>IFERROR(INDEX('Kode Outlet dan Target Toko'!$D:$D,MATCH($I2732,'Kode Outlet dan Target Toko'!$E:$E,0)),0)</f>
        <v>3703215</v>
      </c>
      <c r="I2732" s="42" t="s">
        <v>53</v>
      </c>
      <c r="J2732" s="56" t="s">
        <v>276</v>
      </c>
      <c r="K2732" s="40" t="s">
        <v>14</v>
      </c>
      <c r="L2732" s="26">
        <v>3000</v>
      </c>
      <c r="M2732" s="26">
        <v>85</v>
      </c>
      <c r="N2732" s="25">
        <f t="shared" si="85"/>
        <v>255000</v>
      </c>
      <c r="O2732" s="56"/>
    </row>
    <row r="2733" spans="1:15" hidden="1" x14ac:dyDescent="0.3">
      <c r="A2733" s="26">
        <v>31</v>
      </c>
      <c r="B2733" s="20" t="str">
        <f t="shared" si="84"/>
        <v>AUG</v>
      </c>
      <c r="C2733" s="21">
        <v>46236</v>
      </c>
      <c r="D2733" s="22" t="str">
        <f t="array" ref="D2733">IFERROR(INDEX('Kode Outlet dan Target Toko'!$A:$A,MATCH($I2733,'Kode Outlet dan Target Toko'!$E:$E,0)),"")</f>
        <v>GRSM 6</v>
      </c>
      <c r="E2733" s="20" t="str">
        <f>IFERROR(VLOOKUP(I2733,KET!$B:$F,4,0),"")</f>
        <v>WINDA</v>
      </c>
      <c r="F2733" s="20" t="str">
        <f>IFERROR(VLOOKUP(I2733,KET!$B:$F,5,0),"")</f>
        <v>GMM</v>
      </c>
      <c r="G2733" s="20">
        <f>IFERROR(INDEX('Kode Outlet dan Target Toko'!$C:$C,MATCH($I2733,'Kode Outlet dan Target Toko'!$E:$E,0)),0)</f>
        <v>211163</v>
      </c>
      <c r="H2733" s="20">
        <f>IFERROR(INDEX('Kode Outlet dan Target Toko'!$D:$D,MATCH($I2733,'Kode Outlet dan Target Toko'!$E:$E,0)),0)</f>
        <v>3703215</v>
      </c>
      <c r="I2733" s="42" t="s">
        <v>53</v>
      </c>
      <c r="J2733" s="56" t="s">
        <v>276</v>
      </c>
      <c r="K2733" s="40" t="s">
        <v>13</v>
      </c>
      <c r="L2733" s="26">
        <v>3000</v>
      </c>
      <c r="M2733" s="26">
        <v>0</v>
      </c>
      <c r="N2733" s="25">
        <f t="shared" si="85"/>
        <v>0</v>
      </c>
      <c r="O2733" s="56"/>
    </row>
    <row r="2734" spans="1:15" hidden="1" x14ac:dyDescent="0.3">
      <c r="A2734" s="26">
        <v>31</v>
      </c>
      <c r="B2734" s="20" t="str">
        <f t="shared" si="84"/>
        <v>AUG</v>
      </c>
      <c r="C2734" s="21">
        <v>46236</v>
      </c>
      <c r="D2734" s="22" t="str">
        <f t="array" ref="D2734">IFERROR(INDEX('Kode Outlet dan Target Toko'!$A:$A,MATCH($I2734,'Kode Outlet dan Target Toko'!$E:$E,0)),"")</f>
        <v>GRSM 6</v>
      </c>
      <c r="E2734" s="20" t="str">
        <f>IFERROR(VLOOKUP(I2734,KET!$B:$F,4,0),"")</f>
        <v>WINDA</v>
      </c>
      <c r="F2734" s="20" t="str">
        <f>IFERROR(VLOOKUP(I2734,KET!$B:$F,5,0),"")</f>
        <v>GMM</v>
      </c>
      <c r="G2734" s="20">
        <f>IFERROR(INDEX('Kode Outlet dan Target Toko'!$C:$C,MATCH($I2734,'Kode Outlet dan Target Toko'!$E:$E,0)),0)</f>
        <v>211163</v>
      </c>
      <c r="H2734" s="20">
        <f>IFERROR(INDEX('Kode Outlet dan Target Toko'!$D:$D,MATCH($I2734,'Kode Outlet dan Target Toko'!$E:$E,0)),0)</f>
        <v>3703215</v>
      </c>
      <c r="I2734" s="42" t="s">
        <v>53</v>
      </c>
      <c r="J2734" s="56" t="s">
        <v>276</v>
      </c>
      <c r="K2734" s="40" t="s">
        <v>16</v>
      </c>
      <c r="L2734" s="26">
        <v>3000</v>
      </c>
      <c r="M2734" s="26">
        <v>155</v>
      </c>
      <c r="N2734" s="25">
        <f t="shared" si="85"/>
        <v>465000</v>
      </c>
      <c r="O2734" s="56">
        <v>80</v>
      </c>
    </row>
    <row r="2735" spans="1:15" hidden="1" x14ac:dyDescent="0.3">
      <c r="A2735" s="26">
        <v>31</v>
      </c>
      <c r="B2735" s="20" t="str">
        <f t="shared" si="84"/>
        <v>AUG</v>
      </c>
      <c r="C2735" s="21">
        <v>46236</v>
      </c>
      <c r="D2735" s="22" t="str">
        <f t="array" ref="D2735">IFERROR(INDEX('Kode Outlet dan Target Toko'!$A:$A,MATCH($I2735,'Kode Outlet dan Target Toko'!$E:$E,0)),"")</f>
        <v>GRSM 6</v>
      </c>
      <c r="E2735" s="20" t="str">
        <f>IFERROR(VLOOKUP(I2735,KET!$B:$F,4,0),"")</f>
        <v>WINDA</v>
      </c>
      <c r="F2735" s="20" t="str">
        <f>IFERROR(VLOOKUP(I2735,KET!$B:$F,5,0),"")</f>
        <v>GMM</v>
      </c>
      <c r="G2735" s="20">
        <f>IFERROR(INDEX('Kode Outlet dan Target Toko'!$C:$C,MATCH($I2735,'Kode Outlet dan Target Toko'!$E:$E,0)),0)</f>
        <v>211163</v>
      </c>
      <c r="H2735" s="20">
        <f>IFERROR(INDEX('Kode Outlet dan Target Toko'!$D:$D,MATCH($I2735,'Kode Outlet dan Target Toko'!$E:$E,0)),0)</f>
        <v>3703219</v>
      </c>
      <c r="I2735" s="42" t="s">
        <v>52</v>
      </c>
      <c r="J2735" s="56" t="s">
        <v>274</v>
      </c>
      <c r="K2735" s="40" t="s">
        <v>15</v>
      </c>
      <c r="L2735" s="26">
        <v>2900</v>
      </c>
      <c r="M2735" s="26">
        <v>118</v>
      </c>
      <c r="N2735" s="25">
        <f t="shared" si="85"/>
        <v>342200</v>
      </c>
      <c r="O2735" s="56"/>
    </row>
    <row r="2736" spans="1:15" hidden="1" x14ac:dyDescent="0.3">
      <c r="A2736" s="26">
        <v>31</v>
      </c>
      <c r="B2736" s="20" t="str">
        <f t="shared" si="84"/>
        <v>AUG</v>
      </c>
      <c r="C2736" s="21">
        <v>46236</v>
      </c>
      <c r="D2736" s="22" t="str">
        <f t="array" ref="D2736">IFERROR(INDEX('Kode Outlet dan Target Toko'!$A:$A,MATCH($I2736,'Kode Outlet dan Target Toko'!$E:$E,0)),"")</f>
        <v>GRSM 6</v>
      </c>
      <c r="E2736" s="20" t="str">
        <f>IFERROR(VLOOKUP(I2736,KET!$B:$F,4,0),"")</f>
        <v>WINDA</v>
      </c>
      <c r="F2736" s="20" t="str">
        <f>IFERROR(VLOOKUP(I2736,KET!$B:$F,5,0),"")</f>
        <v>GMM</v>
      </c>
      <c r="G2736" s="20">
        <f>IFERROR(INDEX('Kode Outlet dan Target Toko'!$C:$C,MATCH($I2736,'Kode Outlet dan Target Toko'!$E:$E,0)),0)</f>
        <v>211163</v>
      </c>
      <c r="H2736" s="20">
        <f>IFERROR(INDEX('Kode Outlet dan Target Toko'!$D:$D,MATCH($I2736,'Kode Outlet dan Target Toko'!$E:$E,0)),0)</f>
        <v>3703219</v>
      </c>
      <c r="I2736" s="42" t="s">
        <v>52</v>
      </c>
      <c r="J2736" s="56" t="s">
        <v>274</v>
      </c>
      <c r="K2736" s="40" t="s">
        <v>14</v>
      </c>
      <c r="L2736" s="26">
        <v>2900</v>
      </c>
      <c r="M2736" s="26">
        <v>199</v>
      </c>
      <c r="N2736" s="25">
        <f t="shared" si="85"/>
        <v>577100</v>
      </c>
      <c r="O2736" s="56"/>
    </row>
    <row r="2737" spans="1:15" hidden="1" x14ac:dyDescent="0.3">
      <c r="A2737" s="26">
        <v>31</v>
      </c>
      <c r="B2737" s="20" t="str">
        <f t="shared" si="84"/>
        <v>AUG</v>
      </c>
      <c r="C2737" s="21">
        <v>46236</v>
      </c>
      <c r="D2737" s="22" t="str">
        <f t="array" ref="D2737">IFERROR(INDEX('Kode Outlet dan Target Toko'!$A:$A,MATCH($I2737,'Kode Outlet dan Target Toko'!$E:$E,0)),"")</f>
        <v>GRSM 6</v>
      </c>
      <c r="E2737" s="20" t="str">
        <f>IFERROR(VLOOKUP(I2737,KET!$B:$F,4,0),"")</f>
        <v>WINDA</v>
      </c>
      <c r="F2737" s="20" t="str">
        <f>IFERROR(VLOOKUP(I2737,KET!$B:$F,5,0),"")</f>
        <v>GMM</v>
      </c>
      <c r="G2737" s="20">
        <f>IFERROR(INDEX('Kode Outlet dan Target Toko'!$C:$C,MATCH($I2737,'Kode Outlet dan Target Toko'!$E:$E,0)),0)</f>
        <v>211163</v>
      </c>
      <c r="H2737" s="20">
        <f>IFERROR(INDEX('Kode Outlet dan Target Toko'!$D:$D,MATCH($I2737,'Kode Outlet dan Target Toko'!$E:$E,0)),0)</f>
        <v>3703219</v>
      </c>
      <c r="I2737" s="42" t="s">
        <v>52</v>
      </c>
      <c r="J2737" s="56" t="s">
        <v>274</v>
      </c>
      <c r="K2737" s="40" t="s">
        <v>13</v>
      </c>
      <c r="L2737" s="26">
        <v>2900</v>
      </c>
      <c r="M2737" s="26">
        <v>0</v>
      </c>
      <c r="N2737" s="25">
        <f t="shared" si="85"/>
        <v>0</v>
      </c>
      <c r="O2737" s="56"/>
    </row>
    <row r="2738" spans="1:15" hidden="1" x14ac:dyDescent="0.3">
      <c r="A2738" s="26">
        <v>31</v>
      </c>
      <c r="B2738" s="20" t="str">
        <f t="shared" si="84"/>
        <v>AUG</v>
      </c>
      <c r="C2738" s="21">
        <v>46236</v>
      </c>
      <c r="D2738" s="22" t="str">
        <f t="array" ref="D2738">IFERROR(INDEX('Kode Outlet dan Target Toko'!$A:$A,MATCH($I2738,'Kode Outlet dan Target Toko'!$E:$E,0)),"")</f>
        <v>GRSM 6</v>
      </c>
      <c r="E2738" s="20" t="str">
        <f>IFERROR(VLOOKUP(I2738,KET!$B:$F,4,0),"")</f>
        <v>WINDA</v>
      </c>
      <c r="F2738" s="20" t="str">
        <f>IFERROR(VLOOKUP(I2738,KET!$B:$F,5,0),"")</f>
        <v>GMM</v>
      </c>
      <c r="G2738" s="20">
        <f>IFERROR(INDEX('Kode Outlet dan Target Toko'!$C:$C,MATCH($I2738,'Kode Outlet dan Target Toko'!$E:$E,0)),0)</f>
        <v>211163</v>
      </c>
      <c r="H2738" s="20">
        <f>IFERROR(INDEX('Kode Outlet dan Target Toko'!$D:$D,MATCH($I2738,'Kode Outlet dan Target Toko'!$E:$E,0)),0)</f>
        <v>3703219</v>
      </c>
      <c r="I2738" s="42" t="s">
        <v>52</v>
      </c>
      <c r="J2738" s="56" t="s">
        <v>274</v>
      </c>
      <c r="K2738" s="40" t="s">
        <v>16</v>
      </c>
      <c r="L2738" s="26">
        <v>2900</v>
      </c>
      <c r="M2738" s="26">
        <v>377</v>
      </c>
      <c r="N2738" s="25">
        <f t="shared" si="85"/>
        <v>1093300</v>
      </c>
      <c r="O2738" s="56">
        <v>160</v>
      </c>
    </row>
    <row r="2739" spans="1:15" hidden="1" x14ac:dyDescent="0.3">
      <c r="A2739" s="26">
        <v>31</v>
      </c>
      <c r="B2739" s="20" t="str">
        <f t="shared" si="84"/>
        <v>AUG</v>
      </c>
      <c r="C2739" s="21">
        <v>46236</v>
      </c>
      <c r="D2739" s="22" t="str">
        <f t="array" ref="D2739">IFERROR(INDEX('Kode Outlet dan Target Toko'!$A:$A,MATCH($I2739,'Kode Outlet dan Target Toko'!$E:$E,0)),"")</f>
        <v>GRSM 6</v>
      </c>
      <c r="E2739" s="20" t="str">
        <f>IFERROR(VLOOKUP(I2739,KET!$B:$F,4,0),"")</f>
        <v>WINDA</v>
      </c>
      <c r="F2739" s="20" t="str">
        <f>IFERROR(VLOOKUP(I2739,KET!$B:$F,5,0),"")</f>
        <v>GMM</v>
      </c>
      <c r="G2739" s="20">
        <f>IFERROR(INDEX('Kode Outlet dan Target Toko'!$C:$C,MATCH($I2739,'Kode Outlet dan Target Toko'!$E:$E,0)),0)</f>
        <v>211163</v>
      </c>
      <c r="H2739" s="20">
        <f>IFERROR(INDEX('Kode Outlet dan Target Toko'!$D:$D,MATCH($I2739,'Kode Outlet dan Target Toko'!$E:$E,0)),0)</f>
        <v>3703219</v>
      </c>
      <c r="I2739" s="42" t="s">
        <v>52</v>
      </c>
      <c r="J2739" s="56" t="s">
        <v>273</v>
      </c>
      <c r="K2739" s="40" t="s">
        <v>15</v>
      </c>
      <c r="L2739" s="26">
        <v>2900</v>
      </c>
      <c r="M2739" s="26">
        <v>118</v>
      </c>
      <c r="N2739" s="25">
        <f t="shared" si="85"/>
        <v>342200</v>
      </c>
      <c r="O2739" s="56"/>
    </row>
    <row r="2740" spans="1:15" hidden="1" x14ac:dyDescent="0.3">
      <c r="A2740" s="26">
        <v>31</v>
      </c>
      <c r="B2740" s="20" t="str">
        <f t="shared" si="84"/>
        <v>AUG</v>
      </c>
      <c r="C2740" s="21">
        <v>46236</v>
      </c>
      <c r="D2740" s="22" t="str">
        <f t="array" ref="D2740">IFERROR(INDEX('Kode Outlet dan Target Toko'!$A:$A,MATCH($I2740,'Kode Outlet dan Target Toko'!$E:$E,0)),"")</f>
        <v>GRSM 6</v>
      </c>
      <c r="E2740" s="20" t="str">
        <f>IFERROR(VLOOKUP(I2740,KET!$B:$F,4,0),"")</f>
        <v>WINDA</v>
      </c>
      <c r="F2740" s="20" t="str">
        <f>IFERROR(VLOOKUP(I2740,KET!$B:$F,5,0),"")</f>
        <v>GMM</v>
      </c>
      <c r="G2740" s="20">
        <f>IFERROR(INDEX('Kode Outlet dan Target Toko'!$C:$C,MATCH($I2740,'Kode Outlet dan Target Toko'!$E:$E,0)),0)</f>
        <v>211163</v>
      </c>
      <c r="H2740" s="20">
        <f>IFERROR(INDEX('Kode Outlet dan Target Toko'!$D:$D,MATCH($I2740,'Kode Outlet dan Target Toko'!$E:$E,0)),0)</f>
        <v>3703219</v>
      </c>
      <c r="I2740" s="42" t="s">
        <v>52</v>
      </c>
      <c r="J2740" s="56" t="s">
        <v>273</v>
      </c>
      <c r="K2740" s="40" t="s">
        <v>14</v>
      </c>
      <c r="L2740" s="26">
        <v>2900</v>
      </c>
      <c r="M2740" s="26">
        <v>199</v>
      </c>
      <c r="N2740" s="25">
        <f t="shared" si="85"/>
        <v>577100</v>
      </c>
      <c r="O2740" s="56"/>
    </row>
    <row r="2741" spans="1:15" hidden="1" x14ac:dyDescent="0.3">
      <c r="A2741" s="26">
        <v>31</v>
      </c>
      <c r="B2741" s="20" t="str">
        <f t="shared" si="84"/>
        <v>AUG</v>
      </c>
      <c r="C2741" s="21">
        <v>46236</v>
      </c>
      <c r="D2741" s="22" t="str">
        <f t="array" ref="D2741">IFERROR(INDEX('Kode Outlet dan Target Toko'!$A:$A,MATCH($I2741,'Kode Outlet dan Target Toko'!$E:$E,0)),"")</f>
        <v>GRSM 6</v>
      </c>
      <c r="E2741" s="20" t="str">
        <f>IFERROR(VLOOKUP(I2741,KET!$B:$F,4,0),"")</f>
        <v>WINDA</v>
      </c>
      <c r="F2741" s="20" t="str">
        <f>IFERROR(VLOOKUP(I2741,KET!$B:$F,5,0),"")</f>
        <v>GMM</v>
      </c>
      <c r="G2741" s="20">
        <f>IFERROR(INDEX('Kode Outlet dan Target Toko'!$C:$C,MATCH($I2741,'Kode Outlet dan Target Toko'!$E:$E,0)),0)</f>
        <v>211163</v>
      </c>
      <c r="H2741" s="20">
        <f>IFERROR(INDEX('Kode Outlet dan Target Toko'!$D:$D,MATCH($I2741,'Kode Outlet dan Target Toko'!$E:$E,0)),0)</f>
        <v>3703219</v>
      </c>
      <c r="I2741" s="42" t="s">
        <v>52</v>
      </c>
      <c r="J2741" s="56" t="s">
        <v>273</v>
      </c>
      <c r="K2741" s="40" t="s">
        <v>13</v>
      </c>
      <c r="L2741" s="26">
        <v>2900</v>
      </c>
      <c r="M2741" s="26">
        <v>0</v>
      </c>
      <c r="N2741" s="25">
        <f t="shared" si="85"/>
        <v>0</v>
      </c>
      <c r="O2741" s="56"/>
    </row>
    <row r="2742" spans="1:15" hidden="1" x14ac:dyDescent="0.3">
      <c r="A2742" s="26">
        <v>31</v>
      </c>
      <c r="B2742" s="20" t="str">
        <f t="shared" si="84"/>
        <v>AUG</v>
      </c>
      <c r="C2742" s="21">
        <v>46236</v>
      </c>
      <c r="D2742" s="22" t="str">
        <f t="array" ref="D2742">IFERROR(INDEX('Kode Outlet dan Target Toko'!$A:$A,MATCH($I2742,'Kode Outlet dan Target Toko'!$E:$E,0)),"")</f>
        <v>GRSM 6</v>
      </c>
      <c r="E2742" s="20" t="str">
        <f>IFERROR(VLOOKUP(I2742,KET!$B:$F,4,0),"")</f>
        <v>WINDA</v>
      </c>
      <c r="F2742" s="20" t="str">
        <f>IFERROR(VLOOKUP(I2742,KET!$B:$F,5,0),"")</f>
        <v>GMM</v>
      </c>
      <c r="G2742" s="20">
        <f>IFERROR(INDEX('Kode Outlet dan Target Toko'!$C:$C,MATCH($I2742,'Kode Outlet dan Target Toko'!$E:$E,0)),0)</f>
        <v>211163</v>
      </c>
      <c r="H2742" s="20">
        <f>IFERROR(INDEX('Kode Outlet dan Target Toko'!$D:$D,MATCH($I2742,'Kode Outlet dan Target Toko'!$E:$E,0)),0)</f>
        <v>3703219</v>
      </c>
      <c r="I2742" s="42" t="s">
        <v>52</v>
      </c>
      <c r="J2742" s="56" t="s">
        <v>273</v>
      </c>
      <c r="K2742" s="40" t="s">
        <v>16</v>
      </c>
      <c r="L2742" s="26">
        <v>2900</v>
      </c>
      <c r="M2742" s="26">
        <v>377</v>
      </c>
      <c r="N2742" s="25">
        <f t="shared" si="85"/>
        <v>1093300</v>
      </c>
      <c r="O2742" s="56">
        <v>160</v>
      </c>
    </row>
    <row r="2743" spans="1:15" hidden="1" x14ac:dyDescent="0.3">
      <c r="A2743" s="26">
        <v>31</v>
      </c>
      <c r="B2743" s="20" t="str">
        <f t="shared" si="84"/>
        <v>AUG</v>
      </c>
      <c r="C2743" s="21">
        <v>46236</v>
      </c>
      <c r="D2743" s="22" t="str">
        <f t="array" ref="D2743">IFERROR(INDEX('Kode Outlet dan Target Toko'!$A:$A,MATCH($I2743,'Kode Outlet dan Target Toko'!$E:$E,0)),"")</f>
        <v>GRSM 6</v>
      </c>
      <c r="E2743" s="20" t="str">
        <f>IFERROR(VLOOKUP(I2743,KET!$B:$F,4,0),"")</f>
        <v>WINDA</v>
      </c>
      <c r="F2743" s="20" t="str">
        <f>IFERROR(VLOOKUP(I2743,KET!$B:$F,5,0),"")</f>
        <v>GMM</v>
      </c>
      <c r="G2743" s="20">
        <f>IFERROR(INDEX('Kode Outlet dan Target Toko'!$C:$C,MATCH($I2743,'Kode Outlet dan Target Toko'!$E:$E,0)),0)</f>
        <v>211139</v>
      </c>
      <c r="H2743" s="20">
        <f>IFERROR(INDEX('Kode Outlet dan Target Toko'!$D:$D,MATCH($I2743,'Kode Outlet dan Target Toko'!$E:$E,0)),0)</f>
        <v>3604550</v>
      </c>
      <c r="I2743" s="42" t="s">
        <v>69</v>
      </c>
      <c r="J2743" s="56" t="s">
        <v>281</v>
      </c>
      <c r="K2743" s="40" t="s">
        <v>15</v>
      </c>
      <c r="L2743" s="26">
        <v>2800</v>
      </c>
      <c r="M2743" s="26">
        <v>84</v>
      </c>
      <c r="N2743" s="25">
        <f t="shared" si="85"/>
        <v>235200</v>
      </c>
      <c r="O2743" s="56"/>
    </row>
    <row r="2744" spans="1:15" hidden="1" x14ac:dyDescent="0.3">
      <c r="A2744" s="26">
        <v>31</v>
      </c>
      <c r="B2744" s="20" t="str">
        <f t="shared" si="84"/>
        <v>AUG</v>
      </c>
      <c r="C2744" s="21">
        <v>46236</v>
      </c>
      <c r="D2744" s="22" t="str">
        <f t="array" ref="D2744">IFERROR(INDEX('Kode Outlet dan Target Toko'!$A:$A,MATCH($I2744,'Kode Outlet dan Target Toko'!$E:$E,0)),"")</f>
        <v>GRSM 6</v>
      </c>
      <c r="E2744" s="20" t="str">
        <f>IFERROR(VLOOKUP(I2744,KET!$B:$F,4,0),"")</f>
        <v>WINDA</v>
      </c>
      <c r="F2744" s="20" t="str">
        <f>IFERROR(VLOOKUP(I2744,KET!$B:$F,5,0),"")</f>
        <v>GMM</v>
      </c>
      <c r="G2744" s="20">
        <f>IFERROR(INDEX('Kode Outlet dan Target Toko'!$C:$C,MATCH($I2744,'Kode Outlet dan Target Toko'!$E:$E,0)),0)</f>
        <v>211139</v>
      </c>
      <c r="H2744" s="20">
        <f>IFERROR(INDEX('Kode Outlet dan Target Toko'!$D:$D,MATCH($I2744,'Kode Outlet dan Target Toko'!$E:$E,0)),0)</f>
        <v>3604550</v>
      </c>
      <c r="I2744" s="42" t="s">
        <v>69</v>
      </c>
      <c r="J2744" s="56" t="s">
        <v>281</v>
      </c>
      <c r="K2744" s="40" t="s">
        <v>14</v>
      </c>
      <c r="L2744" s="26">
        <v>2800</v>
      </c>
      <c r="M2744" s="26">
        <v>248</v>
      </c>
      <c r="N2744" s="25">
        <f t="shared" si="85"/>
        <v>694400</v>
      </c>
      <c r="O2744" s="56"/>
    </row>
    <row r="2745" spans="1:15" hidden="1" x14ac:dyDescent="0.3">
      <c r="A2745" s="26">
        <v>31</v>
      </c>
      <c r="B2745" s="20" t="str">
        <f t="shared" si="84"/>
        <v>AUG</v>
      </c>
      <c r="C2745" s="21">
        <v>46236</v>
      </c>
      <c r="D2745" s="22" t="str">
        <f t="array" ref="D2745">IFERROR(INDEX('Kode Outlet dan Target Toko'!$A:$A,MATCH($I2745,'Kode Outlet dan Target Toko'!$E:$E,0)),"")</f>
        <v>GRSM 6</v>
      </c>
      <c r="E2745" s="20" t="str">
        <f>IFERROR(VLOOKUP(I2745,KET!$B:$F,4,0),"")</f>
        <v>WINDA</v>
      </c>
      <c r="F2745" s="20" t="str">
        <f>IFERROR(VLOOKUP(I2745,KET!$B:$F,5,0),"")</f>
        <v>GMM</v>
      </c>
      <c r="G2745" s="20">
        <f>IFERROR(INDEX('Kode Outlet dan Target Toko'!$C:$C,MATCH($I2745,'Kode Outlet dan Target Toko'!$E:$E,0)),0)</f>
        <v>211139</v>
      </c>
      <c r="H2745" s="20">
        <f>IFERROR(INDEX('Kode Outlet dan Target Toko'!$D:$D,MATCH($I2745,'Kode Outlet dan Target Toko'!$E:$E,0)),0)</f>
        <v>3604550</v>
      </c>
      <c r="I2745" s="42" t="s">
        <v>69</v>
      </c>
      <c r="J2745" s="56" t="s">
        <v>281</v>
      </c>
      <c r="K2745" s="40" t="s">
        <v>13</v>
      </c>
      <c r="L2745" s="26">
        <v>2800</v>
      </c>
      <c r="M2745" s="26">
        <v>58</v>
      </c>
      <c r="N2745" s="25">
        <f t="shared" si="85"/>
        <v>162400</v>
      </c>
      <c r="O2745" s="56"/>
    </row>
    <row r="2746" spans="1:15" hidden="1" x14ac:dyDescent="0.3">
      <c r="A2746" s="26">
        <v>31</v>
      </c>
      <c r="B2746" s="20" t="str">
        <f t="shared" si="84"/>
        <v>AUG</v>
      </c>
      <c r="C2746" s="21">
        <v>46236</v>
      </c>
      <c r="D2746" s="22" t="str">
        <f t="array" ref="D2746">IFERROR(INDEX('Kode Outlet dan Target Toko'!$A:$A,MATCH($I2746,'Kode Outlet dan Target Toko'!$E:$E,0)),"")</f>
        <v>GRSM 6</v>
      </c>
      <c r="E2746" s="20" t="str">
        <f>IFERROR(VLOOKUP(I2746,KET!$B:$F,4,0),"")</f>
        <v>WINDA</v>
      </c>
      <c r="F2746" s="20" t="str">
        <f>IFERROR(VLOOKUP(I2746,KET!$B:$F,5,0),"")</f>
        <v>GMM</v>
      </c>
      <c r="G2746" s="20">
        <f>IFERROR(INDEX('Kode Outlet dan Target Toko'!$C:$C,MATCH($I2746,'Kode Outlet dan Target Toko'!$E:$E,0)),0)</f>
        <v>211139</v>
      </c>
      <c r="H2746" s="20">
        <f>IFERROR(INDEX('Kode Outlet dan Target Toko'!$D:$D,MATCH($I2746,'Kode Outlet dan Target Toko'!$E:$E,0)),0)</f>
        <v>3604550</v>
      </c>
      <c r="I2746" s="42" t="s">
        <v>69</v>
      </c>
      <c r="J2746" s="56" t="s">
        <v>281</v>
      </c>
      <c r="K2746" s="40" t="s">
        <v>16</v>
      </c>
      <c r="L2746" s="26">
        <v>2800</v>
      </c>
      <c r="M2746" s="26">
        <v>194</v>
      </c>
      <c r="N2746" s="25">
        <f t="shared" si="85"/>
        <v>543200</v>
      </c>
      <c r="O2746" s="56">
        <v>160</v>
      </c>
    </row>
    <row r="2747" spans="1:15" hidden="1" x14ac:dyDescent="0.3">
      <c r="A2747" s="26">
        <v>31</v>
      </c>
      <c r="B2747" s="20" t="str">
        <f t="shared" si="84"/>
        <v>AUG</v>
      </c>
      <c r="C2747" s="21">
        <v>46236</v>
      </c>
      <c r="D2747" s="22" t="str">
        <f t="array" ref="D2747">IFERROR(INDEX('Kode Outlet dan Target Toko'!$A:$A,MATCH($I2747,'Kode Outlet dan Target Toko'!$E:$E,0)),"")</f>
        <v>GRSM 6</v>
      </c>
      <c r="E2747" s="20" t="str">
        <f>IFERROR(VLOOKUP(I2747,KET!$B:$F,4,0),"")</f>
        <v>WINDA</v>
      </c>
      <c r="F2747" s="20" t="str">
        <f>IFERROR(VLOOKUP(I2747,KET!$B:$F,5,0),"")</f>
        <v>GMM</v>
      </c>
      <c r="G2747" s="20">
        <f>IFERROR(INDEX('Kode Outlet dan Target Toko'!$C:$C,MATCH($I2747,'Kode Outlet dan Target Toko'!$E:$E,0)),0)</f>
        <v>211139</v>
      </c>
      <c r="H2747" s="20">
        <f>IFERROR(INDEX('Kode Outlet dan Target Toko'!$D:$D,MATCH($I2747,'Kode Outlet dan Target Toko'!$E:$E,0)),0)</f>
        <v>3604550</v>
      </c>
      <c r="I2747" s="42" t="s">
        <v>69</v>
      </c>
      <c r="J2747" s="56" t="s">
        <v>282</v>
      </c>
      <c r="K2747" s="40" t="s">
        <v>15</v>
      </c>
      <c r="L2747" s="26">
        <v>2800</v>
      </c>
      <c r="M2747" s="26">
        <v>84</v>
      </c>
      <c r="N2747" s="25">
        <f t="shared" si="85"/>
        <v>235200</v>
      </c>
      <c r="O2747" s="56"/>
    </row>
    <row r="2748" spans="1:15" hidden="1" x14ac:dyDescent="0.3">
      <c r="A2748" s="26">
        <v>31</v>
      </c>
      <c r="B2748" s="20" t="str">
        <f t="shared" si="84"/>
        <v>AUG</v>
      </c>
      <c r="C2748" s="21">
        <v>46236</v>
      </c>
      <c r="D2748" s="22" t="str">
        <f t="array" ref="D2748">IFERROR(INDEX('Kode Outlet dan Target Toko'!$A:$A,MATCH($I2748,'Kode Outlet dan Target Toko'!$E:$E,0)),"")</f>
        <v>GRSM 6</v>
      </c>
      <c r="E2748" s="20" t="str">
        <f>IFERROR(VLOOKUP(I2748,KET!$B:$F,4,0),"")</f>
        <v>WINDA</v>
      </c>
      <c r="F2748" s="20" t="str">
        <f>IFERROR(VLOOKUP(I2748,KET!$B:$F,5,0),"")</f>
        <v>GMM</v>
      </c>
      <c r="G2748" s="20">
        <f>IFERROR(INDEX('Kode Outlet dan Target Toko'!$C:$C,MATCH($I2748,'Kode Outlet dan Target Toko'!$E:$E,0)),0)</f>
        <v>211139</v>
      </c>
      <c r="H2748" s="20">
        <f>IFERROR(INDEX('Kode Outlet dan Target Toko'!$D:$D,MATCH($I2748,'Kode Outlet dan Target Toko'!$E:$E,0)),0)</f>
        <v>3604550</v>
      </c>
      <c r="I2748" s="42" t="s">
        <v>69</v>
      </c>
      <c r="J2748" s="56" t="s">
        <v>282</v>
      </c>
      <c r="K2748" s="40" t="s">
        <v>14</v>
      </c>
      <c r="L2748" s="26">
        <v>2800</v>
      </c>
      <c r="M2748" s="26">
        <v>248</v>
      </c>
      <c r="N2748" s="25">
        <f t="shared" si="85"/>
        <v>694400</v>
      </c>
      <c r="O2748" s="56"/>
    </row>
    <row r="2749" spans="1:15" hidden="1" x14ac:dyDescent="0.3">
      <c r="A2749" s="26">
        <v>31</v>
      </c>
      <c r="B2749" s="20" t="str">
        <f t="shared" si="84"/>
        <v>AUG</v>
      </c>
      <c r="C2749" s="21">
        <v>46236</v>
      </c>
      <c r="D2749" s="22" t="str">
        <f t="array" ref="D2749">IFERROR(INDEX('Kode Outlet dan Target Toko'!$A:$A,MATCH($I2749,'Kode Outlet dan Target Toko'!$E:$E,0)),"")</f>
        <v>GRSM 6</v>
      </c>
      <c r="E2749" s="20" t="str">
        <f>IFERROR(VLOOKUP(I2749,KET!$B:$F,4,0),"")</f>
        <v>WINDA</v>
      </c>
      <c r="F2749" s="20" t="str">
        <f>IFERROR(VLOOKUP(I2749,KET!$B:$F,5,0),"")</f>
        <v>GMM</v>
      </c>
      <c r="G2749" s="20">
        <f>IFERROR(INDEX('Kode Outlet dan Target Toko'!$C:$C,MATCH($I2749,'Kode Outlet dan Target Toko'!$E:$E,0)),0)</f>
        <v>211139</v>
      </c>
      <c r="H2749" s="20">
        <f>IFERROR(INDEX('Kode Outlet dan Target Toko'!$D:$D,MATCH($I2749,'Kode Outlet dan Target Toko'!$E:$E,0)),0)</f>
        <v>3604550</v>
      </c>
      <c r="I2749" s="42" t="s">
        <v>69</v>
      </c>
      <c r="J2749" s="56" t="s">
        <v>282</v>
      </c>
      <c r="K2749" s="40" t="s">
        <v>13</v>
      </c>
      <c r="L2749" s="26">
        <v>2800</v>
      </c>
      <c r="M2749" s="26">
        <v>58</v>
      </c>
      <c r="N2749" s="25">
        <f t="shared" si="85"/>
        <v>162400</v>
      </c>
      <c r="O2749" s="56"/>
    </row>
    <row r="2750" spans="1:15" hidden="1" x14ac:dyDescent="0.3">
      <c r="A2750" s="26">
        <v>31</v>
      </c>
      <c r="B2750" s="20" t="str">
        <f t="shared" si="84"/>
        <v>AUG</v>
      </c>
      <c r="C2750" s="21">
        <v>46236</v>
      </c>
      <c r="D2750" s="22" t="str">
        <f t="array" ref="D2750">IFERROR(INDEX('Kode Outlet dan Target Toko'!$A:$A,MATCH($I2750,'Kode Outlet dan Target Toko'!$E:$E,0)),"")</f>
        <v>GRSM 6</v>
      </c>
      <c r="E2750" s="20" t="str">
        <f>IFERROR(VLOOKUP(I2750,KET!$B:$F,4,0),"")</f>
        <v>WINDA</v>
      </c>
      <c r="F2750" s="20" t="str">
        <f>IFERROR(VLOOKUP(I2750,KET!$B:$F,5,0),"")</f>
        <v>GMM</v>
      </c>
      <c r="G2750" s="20">
        <f>IFERROR(INDEX('Kode Outlet dan Target Toko'!$C:$C,MATCH($I2750,'Kode Outlet dan Target Toko'!$E:$E,0)),0)</f>
        <v>211139</v>
      </c>
      <c r="H2750" s="20">
        <f>IFERROR(INDEX('Kode Outlet dan Target Toko'!$D:$D,MATCH($I2750,'Kode Outlet dan Target Toko'!$E:$E,0)),0)</f>
        <v>3604550</v>
      </c>
      <c r="I2750" s="42" t="s">
        <v>69</v>
      </c>
      <c r="J2750" s="56" t="s">
        <v>282</v>
      </c>
      <c r="K2750" s="40" t="s">
        <v>16</v>
      </c>
      <c r="L2750" s="26">
        <v>2800</v>
      </c>
      <c r="M2750" s="26">
        <v>194</v>
      </c>
      <c r="N2750" s="25">
        <f t="shared" si="85"/>
        <v>543200</v>
      </c>
      <c r="O2750" s="56">
        <v>160</v>
      </c>
    </row>
    <row r="2751" spans="1:15" hidden="1" x14ac:dyDescent="0.3">
      <c r="A2751" s="26">
        <v>31</v>
      </c>
      <c r="B2751" s="20" t="str">
        <f t="shared" si="84"/>
        <v>AUG</v>
      </c>
      <c r="C2751" s="21">
        <v>46235</v>
      </c>
      <c r="D2751" s="22" t="str">
        <f t="array" ref="D2751">IFERROR(INDEX('Kode Outlet dan Target Toko'!$A:$A,MATCH($I2751,'Kode Outlet dan Target Toko'!$E:$E,0)),"")</f>
        <v>GRSM 6</v>
      </c>
      <c r="E2751" s="20" t="str">
        <f>IFERROR(VLOOKUP(I2751,KET!$B:$F,4,0),"")</f>
        <v>WINDA</v>
      </c>
      <c r="F2751" s="20" t="str">
        <f>IFERROR(VLOOKUP(I2751,KET!$B:$F,5,0),"")</f>
        <v>GMM</v>
      </c>
      <c r="G2751" s="20">
        <f>IFERROR(INDEX('Kode Outlet dan Target Toko'!$C:$C,MATCH($I2751,'Kode Outlet dan Target Toko'!$E:$E,0)),0)</f>
        <v>211163</v>
      </c>
      <c r="H2751" s="20">
        <f>IFERROR(INDEX('Kode Outlet dan Target Toko'!$D:$D,MATCH($I2751,'Kode Outlet dan Target Toko'!$E:$E,0)),0)</f>
        <v>3703219</v>
      </c>
      <c r="I2751" s="42" t="s">
        <v>52</v>
      </c>
      <c r="J2751" s="56" t="s">
        <v>274</v>
      </c>
      <c r="K2751" s="40" t="s">
        <v>15</v>
      </c>
      <c r="L2751" s="26">
        <v>2900</v>
      </c>
      <c r="M2751" s="26">
        <v>235</v>
      </c>
      <c r="N2751" s="25">
        <f t="shared" si="85"/>
        <v>681500</v>
      </c>
      <c r="O2751" s="56"/>
    </row>
    <row r="2752" spans="1:15" hidden="1" x14ac:dyDescent="0.3">
      <c r="A2752" s="26">
        <v>31</v>
      </c>
      <c r="B2752" s="20" t="str">
        <f t="shared" si="84"/>
        <v>AUG</v>
      </c>
      <c r="C2752" s="21">
        <v>46235</v>
      </c>
      <c r="D2752" s="22" t="str">
        <f t="array" ref="D2752">IFERROR(INDEX('Kode Outlet dan Target Toko'!$A:$A,MATCH($I2752,'Kode Outlet dan Target Toko'!$E:$E,0)),"")</f>
        <v>GRSM 6</v>
      </c>
      <c r="E2752" s="20" t="str">
        <f>IFERROR(VLOOKUP(I2752,KET!$B:$F,4,0),"")</f>
        <v>WINDA</v>
      </c>
      <c r="F2752" s="20" t="str">
        <f>IFERROR(VLOOKUP(I2752,KET!$B:$F,5,0),"")</f>
        <v>GMM</v>
      </c>
      <c r="G2752" s="20">
        <f>IFERROR(INDEX('Kode Outlet dan Target Toko'!$C:$C,MATCH($I2752,'Kode Outlet dan Target Toko'!$E:$E,0)),0)</f>
        <v>211163</v>
      </c>
      <c r="H2752" s="20">
        <f>IFERROR(INDEX('Kode Outlet dan Target Toko'!$D:$D,MATCH($I2752,'Kode Outlet dan Target Toko'!$E:$E,0)),0)</f>
        <v>3703219</v>
      </c>
      <c r="I2752" s="42" t="s">
        <v>52</v>
      </c>
      <c r="J2752" s="56" t="s">
        <v>274</v>
      </c>
      <c r="K2752" s="40" t="s">
        <v>14</v>
      </c>
      <c r="L2752" s="26">
        <v>2900</v>
      </c>
      <c r="M2752" s="26">
        <v>248</v>
      </c>
      <c r="N2752" s="25">
        <f t="shared" si="85"/>
        <v>719200</v>
      </c>
      <c r="O2752" s="56"/>
    </row>
    <row r="2753" spans="1:15" hidden="1" x14ac:dyDescent="0.3">
      <c r="A2753" s="26">
        <v>31</v>
      </c>
      <c r="B2753" s="20" t="str">
        <f t="shared" si="84"/>
        <v>AUG</v>
      </c>
      <c r="C2753" s="21">
        <v>46235</v>
      </c>
      <c r="D2753" s="22" t="str">
        <f t="array" ref="D2753">IFERROR(INDEX('Kode Outlet dan Target Toko'!$A:$A,MATCH($I2753,'Kode Outlet dan Target Toko'!$E:$E,0)),"")</f>
        <v>GRSM 6</v>
      </c>
      <c r="E2753" s="20" t="str">
        <f>IFERROR(VLOOKUP(I2753,KET!$B:$F,4,0),"")</f>
        <v>WINDA</v>
      </c>
      <c r="F2753" s="20" t="str">
        <f>IFERROR(VLOOKUP(I2753,KET!$B:$F,5,0),"")</f>
        <v>GMM</v>
      </c>
      <c r="G2753" s="20">
        <f>IFERROR(INDEX('Kode Outlet dan Target Toko'!$C:$C,MATCH($I2753,'Kode Outlet dan Target Toko'!$E:$E,0)),0)</f>
        <v>211163</v>
      </c>
      <c r="H2753" s="20">
        <f>IFERROR(INDEX('Kode Outlet dan Target Toko'!$D:$D,MATCH($I2753,'Kode Outlet dan Target Toko'!$E:$E,0)),0)</f>
        <v>3703219</v>
      </c>
      <c r="I2753" s="42" t="s">
        <v>52</v>
      </c>
      <c r="J2753" s="56" t="s">
        <v>274</v>
      </c>
      <c r="K2753" s="40" t="s">
        <v>13</v>
      </c>
      <c r="L2753" s="26">
        <v>2900</v>
      </c>
      <c r="M2753" s="26">
        <v>0</v>
      </c>
      <c r="N2753" s="25">
        <f t="shared" si="85"/>
        <v>0</v>
      </c>
      <c r="O2753" s="56"/>
    </row>
    <row r="2754" spans="1:15" hidden="1" x14ac:dyDescent="0.3">
      <c r="A2754" s="26">
        <v>31</v>
      </c>
      <c r="B2754" s="20" t="str">
        <f t="shared" si="84"/>
        <v>AUG</v>
      </c>
      <c r="C2754" s="21">
        <v>46235</v>
      </c>
      <c r="D2754" s="22" t="str">
        <f t="array" ref="D2754">IFERROR(INDEX('Kode Outlet dan Target Toko'!$A:$A,MATCH($I2754,'Kode Outlet dan Target Toko'!$E:$E,0)),"")</f>
        <v>GRSM 6</v>
      </c>
      <c r="E2754" s="20" t="str">
        <f>IFERROR(VLOOKUP(I2754,KET!$B:$F,4,0),"")</f>
        <v>WINDA</v>
      </c>
      <c r="F2754" s="20" t="str">
        <f>IFERROR(VLOOKUP(I2754,KET!$B:$F,5,0),"")</f>
        <v>GMM</v>
      </c>
      <c r="G2754" s="20">
        <f>IFERROR(INDEX('Kode Outlet dan Target Toko'!$C:$C,MATCH($I2754,'Kode Outlet dan Target Toko'!$E:$E,0)),0)</f>
        <v>211163</v>
      </c>
      <c r="H2754" s="20">
        <f>IFERROR(INDEX('Kode Outlet dan Target Toko'!$D:$D,MATCH($I2754,'Kode Outlet dan Target Toko'!$E:$E,0)),0)</f>
        <v>3703219</v>
      </c>
      <c r="I2754" s="42" t="s">
        <v>52</v>
      </c>
      <c r="J2754" s="56" t="s">
        <v>274</v>
      </c>
      <c r="K2754" s="40" t="s">
        <v>16</v>
      </c>
      <c r="L2754" s="26">
        <v>2900</v>
      </c>
      <c r="M2754" s="26">
        <v>374</v>
      </c>
      <c r="N2754" s="25">
        <f t="shared" si="85"/>
        <v>1084600</v>
      </c>
      <c r="O2754" s="56">
        <v>160</v>
      </c>
    </row>
    <row r="2755" spans="1:15" hidden="1" x14ac:dyDescent="0.3">
      <c r="A2755" s="26">
        <v>31</v>
      </c>
      <c r="B2755" s="20" t="str">
        <f t="shared" si="84"/>
        <v>AUG</v>
      </c>
      <c r="C2755" s="21">
        <v>46235</v>
      </c>
      <c r="D2755" s="22" t="str">
        <f t="array" ref="D2755">IFERROR(INDEX('Kode Outlet dan Target Toko'!$A:$A,MATCH($I2755,'Kode Outlet dan Target Toko'!$E:$E,0)),"")</f>
        <v>GRSM 6</v>
      </c>
      <c r="E2755" s="20" t="str">
        <f>IFERROR(VLOOKUP(I2755,KET!$B:$F,4,0),"")</f>
        <v>WINDA</v>
      </c>
      <c r="F2755" s="20" t="str">
        <f>IFERROR(VLOOKUP(I2755,KET!$B:$F,5,0),"")</f>
        <v>GMM</v>
      </c>
      <c r="G2755" s="20">
        <f>IFERROR(INDEX('Kode Outlet dan Target Toko'!$C:$C,MATCH($I2755,'Kode Outlet dan Target Toko'!$E:$E,0)),0)</f>
        <v>211163</v>
      </c>
      <c r="H2755" s="20">
        <f>IFERROR(INDEX('Kode Outlet dan Target Toko'!$D:$D,MATCH($I2755,'Kode Outlet dan Target Toko'!$E:$E,0)),0)</f>
        <v>3703219</v>
      </c>
      <c r="I2755" s="42" t="s">
        <v>52</v>
      </c>
      <c r="J2755" s="56" t="s">
        <v>273</v>
      </c>
      <c r="K2755" s="40" t="s">
        <v>15</v>
      </c>
      <c r="L2755" s="26">
        <v>2900</v>
      </c>
      <c r="M2755" s="26">
        <v>235</v>
      </c>
      <c r="N2755" s="25">
        <f t="shared" si="85"/>
        <v>681500</v>
      </c>
      <c r="O2755" s="56"/>
    </row>
    <row r="2756" spans="1:15" hidden="1" x14ac:dyDescent="0.3">
      <c r="A2756" s="26">
        <v>31</v>
      </c>
      <c r="B2756" s="20" t="str">
        <f t="shared" si="84"/>
        <v>AUG</v>
      </c>
      <c r="C2756" s="21">
        <v>46235</v>
      </c>
      <c r="D2756" s="22" t="str">
        <f t="array" ref="D2756">IFERROR(INDEX('Kode Outlet dan Target Toko'!$A:$A,MATCH($I2756,'Kode Outlet dan Target Toko'!$E:$E,0)),"")</f>
        <v>GRSM 6</v>
      </c>
      <c r="E2756" s="20" t="str">
        <f>IFERROR(VLOOKUP(I2756,KET!$B:$F,4,0),"")</f>
        <v>WINDA</v>
      </c>
      <c r="F2756" s="20" t="str">
        <f>IFERROR(VLOOKUP(I2756,KET!$B:$F,5,0),"")</f>
        <v>GMM</v>
      </c>
      <c r="G2756" s="20">
        <f>IFERROR(INDEX('Kode Outlet dan Target Toko'!$C:$C,MATCH($I2756,'Kode Outlet dan Target Toko'!$E:$E,0)),0)</f>
        <v>211163</v>
      </c>
      <c r="H2756" s="20">
        <f>IFERROR(INDEX('Kode Outlet dan Target Toko'!$D:$D,MATCH($I2756,'Kode Outlet dan Target Toko'!$E:$E,0)),0)</f>
        <v>3703219</v>
      </c>
      <c r="I2756" s="42" t="s">
        <v>52</v>
      </c>
      <c r="J2756" s="56" t="s">
        <v>273</v>
      </c>
      <c r="K2756" s="40" t="s">
        <v>14</v>
      </c>
      <c r="L2756" s="26">
        <v>2900</v>
      </c>
      <c r="M2756" s="26">
        <v>248</v>
      </c>
      <c r="N2756" s="25">
        <f t="shared" si="85"/>
        <v>719200</v>
      </c>
      <c r="O2756" s="56"/>
    </row>
    <row r="2757" spans="1:15" hidden="1" x14ac:dyDescent="0.3">
      <c r="A2757" s="26">
        <v>31</v>
      </c>
      <c r="B2757" s="20" t="str">
        <f t="shared" si="84"/>
        <v>AUG</v>
      </c>
      <c r="C2757" s="21">
        <v>46235</v>
      </c>
      <c r="D2757" s="22" t="str">
        <f t="array" ref="D2757">IFERROR(INDEX('Kode Outlet dan Target Toko'!$A:$A,MATCH($I2757,'Kode Outlet dan Target Toko'!$E:$E,0)),"")</f>
        <v>GRSM 6</v>
      </c>
      <c r="E2757" s="20" t="str">
        <f>IFERROR(VLOOKUP(I2757,KET!$B:$F,4,0),"")</f>
        <v>WINDA</v>
      </c>
      <c r="F2757" s="20" t="str">
        <f>IFERROR(VLOOKUP(I2757,KET!$B:$F,5,0),"")</f>
        <v>GMM</v>
      </c>
      <c r="G2757" s="20">
        <f>IFERROR(INDEX('Kode Outlet dan Target Toko'!$C:$C,MATCH($I2757,'Kode Outlet dan Target Toko'!$E:$E,0)),0)</f>
        <v>211163</v>
      </c>
      <c r="H2757" s="20">
        <f>IFERROR(INDEX('Kode Outlet dan Target Toko'!$D:$D,MATCH($I2757,'Kode Outlet dan Target Toko'!$E:$E,0)),0)</f>
        <v>3703219</v>
      </c>
      <c r="I2757" s="42" t="s">
        <v>52</v>
      </c>
      <c r="J2757" s="56" t="s">
        <v>273</v>
      </c>
      <c r="K2757" s="40" t="s">
        <v>13</v>
      </c>
      <c r="L2757" s="26">
        <v>2900</v>
      </c>
      <c r="M2757" s="26">
        <v>0</v>
      </c>
      <c r="N2757" s="25">
        <f t="shared" si="85"/>
        <v>0</v>
      </c>
      <c r="O2757" s="56"/>
    </row>
    <row r="2758" spans="1:15" hidden="1" x14ac:dyDescent="0.3">
      <c r="A2758" s="26">
        <v>31</v>
      </c>
      <c r="B2758" s="20" t="str">
        <f t="shared" si="84"/>
        <v>AUG</v>
      </c>
      <c r="C2758" s="21">
        <v>46235</v>
      </c>
      <c r="D2758" s="22" t="str">
        <f t="array" ref="D2758">IFERROR(INDEX('Kode Outlet dan Target Toko'!$A:$A,MATCH($I2758,'Kode Outlet dan Target Toko'!$E:$E,0)),"")</f>
        <v>GRSM 6</v>
      </c>
      <c r="E2758" s="20" t="str">
        <f>IFERROR(VLOOKUP(I2758,KET!$B:$F,4,0),"")</f>
        <v>WINDA</v>
      </c>
      <c r="F2758" s="20" t="str">
        <f>IFERROR(VLOOKUP(I2758,KET!$B:$F,5,0),"")</f>
        <v>GMM</v>
      </c>
      <c r="G2758" s="20">
        <f>IFERROR(INDEX('Kode Outlet dan Target Toko'!$C:$C,MATCH($I2758,'Kode Outlet dan Target Toko'!$E:$E,0)),0)</f>
        <v>211163</v>
      </c>
      <c r="H2758" s="20">
        <f>IFERROR(INDEX('Kode Outlet dan Target Toko'!$D:$D,MATCH($I2758,'Kode Outlet dan Target Toko'!$E:$E,0)),0)</f>
        <v>3703219</v>
      </c>
      <c r="I2758" s="42" t="s">
        <v>52</v>
      </c>
      <c r="J2758" s="56" t="s">
        <v>273</v>
      </c>
      <c r="K2758" s="40" t="s">
        <v>16</v>
      </c>
      <c r="L2758" s="26">
        <v>2900</v>
      </c>
      <c r="M2758" s="26">
        <v>374</v>
      </c>
      <c r="N2758" s="25">
        <f t="shared" si="85"/>
        <v>1084600</v>
      </c>
      <c r="O2758" s="56">
        <v>160</v>
      </c>
    </row>
    <row r="2759" spans="1:15" hidden="1" x14ac:dyDescent="0.3">
      <c r="A2759" s="26">
        <v>31</v>
      </c>
      <c r="B2759" s="20" t="str">
        <f t="shared" ref="B2759:B2822" si="86">IF(C2759="","",UPPER(TEXT(C2759, "MMM")))</f>
        <v>AUG</v>
      </c>
      <c r="C2759" s="21">
        <v>46236</v>
      </c>
      <c r="D2759" s="22" t="str">
        <f t="array" ref="D2759">IFERROR(INDEX('Kode Outlet dan Target Toko'!$A:$A,MATCH($I2759,'Kode Outlet dan Target Toko'!$E:$E,0)),"")</f>
        <v>GRSM 6</v>
      </c>
      <c r="E2759" s="20" t="str">
        <f>IFERROR(VLOOKUP(I2759,KET!$B:$F,4,0),"")</f>
        <v>WINDA</v>
      </c>
      <c r="F2759" s="20" t="str">
        <f>IFERROR(VLOOKUP(I2759,KET!$B:$F,5,0),"")</f>
        <v>GMM</v>
      </c>
      <c r="G2759" s="20">
        <f>IFERROR(INDEX('Kode Outlet dan Target Toko'!$C:$C,MATCH($I2759,'Kode Outlet dan Target Toko'!$E:$E,0)),0)</f>
        <v>211033</v>
      </c>
      <c r="H2759" s="20">
        <f>IFERROR(INDEX('Kode Outlet dan Target Toko'!$D:$D,MATCH($I2759,'Kode Outlet dan Target Toko'!$E:$E,0)),0)</f>
        <v>2001021</v>
      </c>
      <c r="I2759" s="42" t="s">
        <v>66</v>
      </c>
      <c r="J2759" s="56" t="s">
        <v>283</v>
      </c>
      <c r="K2759" s="40" t="s">
        <v>15</v>
      </c>
      <c r="L2759" s="26">
        <v>3000</v>
      </c>
      <c r="M2759" s="26">
        <v>82</v>
      </c>
      <c r="N2759" s="25">
        <f t="shared" ref="N2759:N2822" si="87">IFERROR(M2759*L2759,"")</f>
        <v>246000</v>
      </c>
      <c r="O2759" s="56"/>
    </row>
    <row r="2760" spans="1:15" hidden="1" x14ac:dyDescent="0.3">
      <c r="A2760" s="26">
        <v>31</v>
      </c>
      <c r="B2760" s="20" t="str">
        <f t="shared" si="86"/>
        <v>AUG</v>
      </c>
      <c r="C2760" s="21">
        <v>46236</v>
      </c>
      <c r="D2760" s="22" t="str">
        <f t="array" ref="D2760">IFERROR(INDEX('Kode Outlet dan Target Toko'!$A:$A,MATCH($I2760,'Kode Outlet dan Target Toko'!$E:$E,0)),"")</f>
        <v>GRSM 6</v>
      </c>
      <c r="E2760" s="20" t="str">
        <f>IFERROR(VLOOKUP(I2760,KET!$B:$F,4,0),"")</f>
        <v>WINDA</v>
      </c>
      <c r="F2760" s="20" t="str">
        <f>IFERROR(VLOOKUP(I2760,KET!$B:$F,5,0),"")</f>
        <v>GMM</v>
      </c>
      <c r="G2760" s="20">
        <f>IFERROR(INDEX('Kode Outlet dan Target Toko'!$C:$C,MATCH($I2760,'Kode Outlet dan Target Toko'!$E:$E,0)),0)</f>
        <v>211033</v>
      </c>
      <c r="H2760" s="20">
        <f>IFERROR(INDEX('Kode Outlet dan Target Toko'!$D:$D,MATCH($I2760,'Kode Outlet dan Target Toko'!$E:$E,0)),0)</f>
        <v>2001021</v>
      </c>
      <c r="I2760" s="42" t="s">
        <v>66</v>
      </c>
      <c r="J2760" s="56" t="s">
        <v>283</v>
      </c>
      <c r="K2760" s="40" t="s">
        <v>14</v>
      </c>
      <c r="L2760" s="26">
        <v>3000</v>
      </c>
      <c r="M2760" s="26">
        <v>126</v>
      </c>
      <c r="N2760" s="25">
        <f t="shared" si="87"/>
        <v>378000</v>
      </c>
      <c r="O2760" s="56"/>
    </row>
    <row r="2761" spans="1:15" hidden="1" x14ac:dyDescent="0.3">
      <c r="A2761" s="26">
        <v>31</v>
      </c>
      <c r="B2761" s="20" t="str">
        <f t="shared" si="86"/>
        <v>AUG</v>
      </c>
      <c r="C2761" s="21">
        <v>46236</v>
      </c>
      <c r="D2761" s="22" t="str">
        <f t="array" ref="D2761">IFERROR(INDEX('Kode Outlet dan Target Toko'!$A:$A,MATCH($I2761,'Kode Outlet dan Target Toko'!$E:$E,0)),"")</f>
        <v>GRSM 6</v>
      </c>
      <c r="E2761" s="20" t="str">
        <f>IFERROR(VLOOKUP(I2761,KET!$B:$F,4,0),"")</f>
        <v>WINDA</v>
      </c>
      <c r="F2761" s="20" t="str">
        <f>IFERROR(VLOOKUP(I2761,KET!$B:$F,5,0),"")</f>
        <v>GMM</v>
      </c>
      <c r="G2761" s="20">
        <f>IFERROR(INDEX('Kode Outlet dan Target Toko'!$C:$C,MATCH($I2761,'Kode Outlet dan Target Toko'!$E:$E,0)),0)</f>
        <v>211033</v>
      </c>
      <c r="H2761" s="20">
        <f>IFERROR(INDEX('Kode Outlet dan Target Toko'!$D:$D,MATCH($I2761,'Kode Outlet dan Target Toko'!$E:$E,0)),0)</f>
        <v>2001021</v>
      </c>
      <c r="I2761" s="42" t="s">
        <v>66</v>
      </c>
      <c r="J2761" s="56" t="s">
        <v>283</v>
      </c>
      <c r="K2761" s="40" t="s">
        <v>13</v>
      </c>
      <c r="L2761" s="26">
        <v>3000</v>
      </c>
      <c r="M2761" s="26">
        <v>120</v>
      </c>
      <c r="N2761" s="25">
        <f t="shared" si="87"/>
        <v>360000</v>
      </c>
      <c r="O2761" s="56"/>
    </row>
    <row r="2762" spans="1:15" hidden="1" x14ac:dyDescent="0.3">
      <c r="A2762" s="26">
        <v>31</v>
      </c>
      <c r="B2762" s="20" t="str">
        <f t="shared" si="86"/>
        <v>AUG</v>
      </c>
      <c r="C2762" s="21">
        <v>46236</v>
      </c>
      <c r="D2762" s="22" t="str">
        <f t="array" ref="D2762">IFERROR(INDEX('Kode Outlet dan Target Toko'!$A:$A,MATCH($I2762,'Kode Outlet dan Target Toko'!$E:$E,0)),"")</f>
        <v>GRSM 6</v>
      </c>
      <c r="E2762" s="20" t="str">
        <f>IFERROR(VLOOKUP(I2762,KET!$B:$F,4,0),"")</f>
        <v>WINDA</v>
      </c>
      <c r="F2762" s="20" t="str">
        <f>IFERROR(VLOOKUP(I2762,KET!$B:$F,5,0),"")</f>
        <v>GMM</v>
      </c>
      <c r="G2762" s="20">
        <f>IFERROR(INDEX('Kode Outlet dan Target Toko'!$C:$C,MATCH($I2762,'Kode Outlet dan Target Toko'!$E:$E,0)),0)</f>
        <v>211033</v>
      </c>
      <c r="H2762" s="20">
        <f>IFERROR(INDEX('Kode Outlet dan Target Toko'!$D:$D,MATCH($I2762,'Kode Outlet dan Target Toko'!$E:$E,0)),0)</f>
        <v>2001021</v>
      </c>
      <c r="I2762" s="42" t="s">
        <v>66</v>
      </c>
      <c r="J2762" s="56" t="s">
        <v>283</v>
      </c>
      <c r="K2762" s="40" t="s">
        <v>16</v>
      </c>
      <c r="L2762" s="26">
        <v>3000</v>
      </c>
      <c r="M2762" s="26">
        <v>254</v>
      </c>
      <c r="N2762" s="25">
        <f t="shared" si="87"/>
        <v>762000</v>
      </c>
      <c r="O2762" s="56">
        <v>160</v>
      </c>
    </row>
    <row r="2763" spans="1:15" hidden="1" x14ac:dyDescent="0.3">
      <c r="A2763" s="26">
        <v>31</v>
      </c>
      <c r="B2763" s="20" t="str">
        <f t="shared" si="86"/>
        <v>AUG</v>
      </c>
      <c r="C2763" s="21">
        <v>46236</v>
      </c>
      <c r="D2763" s="22" t="str">
        <f t="array" ref="D2763">IFERROR(INDEX('Kode Outlet dan Target Toko'!$A:$A,MATCH($I2763,'Kode Outlet dan Target Toko'!$E:$E,0)),"")</f>
        <v>GRSM 6</v>
      </c>
      <c r="E2763" s="20" t="str">
        <f>IFERROR(VLOOKUP(I2763,KET!$B:$F,4,0),"")</f>
        <v>WINDA</v>
      </c>
      <c r="F2763" s="20" t="str">
        <f>IFERROR(VLOOKUP(I2763,KET!$B:$F,5,0),"")</f>
        <v>GMM</v>
      </c>
      <c r="G2763" s="20">
        <f>IFERROR(INDEX('Kode Outlet dan Target Toko'!$C:$C,MATCH($I2763,'Kode Outlet dan Target Toko'!$E:$E,0)),0)</f>
        <v>211033</v>
      </c>
      <c r="H2763" s="20">
        <f>IFERROR(INDEX('Kode Outlet dan Target Toko'!$D:$D,MATCH($I2763,'Kode Outlet dan Target Toko'!$E:$E,0)),0)</f>
        <v>2001021</v>
      </c>
      <c r="I2763" s="42" t="s">
        <v>66</v>
      </c>
      <c r="J2763" s="56" t="s">
        <v>284</v>
      </c>
      <c r="K2763" s="40" t="s">
        <v>15</v>
      </c>
      <c r="L2763" s="26">
        <v>3000</v>
      </c>
      <c r="M2763" s="26">
        <v>82</v>
      </c>
      <c r="N2763" s="25">
        <f t="shared" si="87"/>
        <v>246000</v>
      </c>
      <c r="O2763" s="56"/>
    </row>
    <row r="2764" spans="1:15" hidden="1" x14ac:dyDescent="0.3">
      <c r="A2764" s="26">
        <v>31</v>
      </c>
      <c r="B2764" s="20" t="str">
        <f t="shared" si="86"/>
        <v>AUG</v>
      </c>
      <c r="C2764" s="21">
        <v>46236</v>
      </c>
      <c r="D2764" s="22" t="str">
        <f t="array" ref="D2764">IFERROR(INDEX('Kode Outlet dan Target Toko'!$A:$A,MATCH($I2764,'Kode Outlet dan Target Toko'!$E:$E,0)),"")</f>
        <v>GRSM 6</v>
      </c>
      <c r="E2764" s="20" t="str">
        <f>IFERROR(VLOOKUP(I2764,KET!$B:$F,4,0),"")</f>
        <v>WINDA</v>
      </c>
      <c r="F2764" s="20" t="str">
        <f>IFERROR(VLOOKUP(I2764,KET!$B:$F,5,0),"")</f>
        <v>GMM</v>
      </c>
      <c r="G2764" s="20">
        <f>IFERROR(INDEX('Kode Outlet dan Target Toko'!$C:$C,MATCH($I2764,'Kode Outlet dan Target Toko'!$E:$E,0)),0)</f>
        <v>211033</v>
      </c>
      <c r="H2764" s="20">
        <f>IFERROR(INDEX('Kode Outlet dan Target Toko'!$D:$D,MATCH($I2764,'Kode Outlet dan Target Toko'!$E:$E,0)),0)</f>
        <v>2001021</v>
      </c>
      <c r="I2764" s="42" t="s">
        <v>66</v>
      </c>
      <c r="J2764" s="56" t="s">
        <v>284</v>
      </c>
      <c r="K2764" s="40" t="s">
        <v>14</v>
      </c>
      <c r="L2764" s="26">
        <v>3000</v>
      </c>
      <c r="M2764" s="26">
        <v>126</v>
      </c>
      <c r="N2764" s="25">
        <f t="shared" si="87"/>
        <v>378000</v>
      </c>
      <c r="O2764" s="56"/>
    </row>
    <row r="2765" spans="1:15" hidden="1" x14ac:dyDescent="0.3">
      <c r="A2765" s="26">
        <v>31</v>
      </c>
      <c r="B2765" s="20" t="str">
        <f t="shared" si="86"/>
        <v>AUG</v>
      </c>
      <c r="C2765" s="21">
        <v>46236</v>
      </c>
      <c r="D2765" s="22" t="str">
        <f t="array" ref="D2765">IFERROR(INDEX('Kode Outlet dan Target Toko'!$A:$A,MATCH($I2765,'Kode Outlet dan Target Toko'!$E:$E,0)),"")</f>
        <v>GRSM 6</v>
      </c>
      <c r="E2765" s="20" t="str">
        <f>IFERROR(VLOOKUP(I2765,KET!$B:$F,4,0),"")</f>
        <v>WINDA</v>
      </c>
      <c r="F2765" s="20" t="str">
        <f>IFERROR(VLOOKUP(I2765,KET!$B:$F,5,0),"")</f>
        <v>GMM</v>
      </c>
      <c r="G2765" s="20">
        <f>IFERROR(INDEX('Kode Outlet dan Target Toko'!$C:$C,MATCH($I2765,'Kode Outlet dan Target Toko'!$E:$E,0)),0)</f>
        <v>211033</v>
      </c>
      <c r="H2765" s="20">
        <f>IFERROR(INDEX('Kode Outlet dan Target Toko'!$D:$D,MATCH($I2765,'Kode Outlet dan Target Toko'!$E:$E,0)),0)</f>
        <v>2001021</v>
      </c>
      <c r="I2765" s="42" t="s">
        <v>66</v>
      </c>
      <c r="J2765" s="56" t="s">
        <v>284</v>
      </c>
      <c r="K2765" s="40" t="s">
        <v>13</v>
      </c>
      <c r="L2765" s="26">
        <v>3000</v>
      </c>
      <c r="M2765" s="26">
        <v>120</v>
      </c>
      <c r="N2765" s="25">
        <f t="shared" si="87"/>
        <v>360000</v>
      </c>
      <c r="O2765" s="56"/>
    </row>
    <row r="2766" spans="1:15" hidden="1" x14ac:dyDescent="0.3">
      <c r="A2766" s="26">
        <v>31</v>
      </c>
      <c r="B2766" s="20" t="str">
        <f t="shared" si="86"/>
        <v>AUG</v>
      </c>
      <c r="C2766" s="21">
        <v>46236</v>
      </c>
      <c r="D2766" s="22" t="str">
        <f t="array" ref="D2766">IFERROR(INDEX('Kode Outlet dan Target Toko'!$A:$A,MATCH($I2766,'Kode Outlet dan Target Toko'!$E:$E,0)),"")</f>
        <v>GRSM 6</v>
      </c>
      <c r="E2766" s="20" t="str">
        <f>IFERROR(VLOOKUP(I2766,KET!$B:$F,4,0),"")</f>
        <v>WINDA</v>
      </c>
      <c r="F2766" s="20" t="str">
        <f>IFERROR(VLOOKUP(I2766,KET!$B:$F,5,0),"")</f>
        <v>GMM</v>
      </c>
      <c r="G2766" s="20">
        <f>IFERROR(INDEX('Kode Outlet dan Target Toko'!$C:$C,MATCH($I2766,'Kode Outlet dan Target Toko'!$E:$E,0)),0)</f>
        <v>211033</v>
      </c>
      <c r="H2766" s="20">
        <f>IFERROR(INDEX('Kode Outlet dan Target Toko'!$D:$D,MATCH($I2766,'Kode Outlet dan Target Toko'!$E:$E,0)),0)</f>
        <v>2001021</v>
      </c>
      <c r="I2766" s="42" t="s">
        <v>66</v>
      </c>
      <c r="J2766" s="56" t="s">
        <v>284</v>
      </c>
      <c r="K2766" s="40" t="s">
        <v>16</v>
      </c>
      <c r="L2766" s="26">
        <v>3000</v>
      </c>
      <c r="M2766" s="26">
        <v>254</v>
      </c>
      <c r="N2766" s="25">
        <f t="shared" si="87"/>
        <v>762000</v>
      </c>
      <c r="O2766" s="56">
        <v>160</v>
      </c>
    </row>
    <row r="2767" spans="1:15" hidden="1" x14ac:dyDescent="0.3">
      <c r="A2767" s="26">
        <v>31</v>
      </c>
      <c r="B2767" s="20" t="str">
        <f t="shared" si="86"/>
        <v>AUG</v>
      </c>
      <c r="C2767" s="21">
        <v>46235</v>
      </c>
      <c r="D2767" s="22" t="str">
        <f t="array" ref="D2767">IFERROR(INDEX('Kode Outlet dan Target Toko'!$A:$A,MATCH($I2767,'Kode Outlet dan Target Toko'!$E:$E,0)),"")</f>
        <v>GRSM 5</v>
      </c>
      <c r="E2767" s="20" t="str">
        <f>IFERROR(VLOOKUP(I2767,KET!$B:$F,4,0),"")</f>
        <v>SUPRIYATI</v>
      </c>
      <c r="F2767" s="20" t="str">
        <f>IFERROR(VLOOKUP(I2767,KET!$B:$F,5,0),"")</f>
        <v>GMM</v>
      </c>
      <c r="G2767" s="20">
        <f>IFERROR(INDEX('Kode Outlet dan Target Toko'!$C:$C,MATCH($I2767,'Kode Outlet dan Target Toko'!$E:$E,0)),0)</f>
        <v>170220</v>
      </c>
      <c r="H2767" s="20">
        <f>IFERROR(INDEX('Kode Outlet dan Target Toko'!$D:$D,MATCH($I2767,'Kode Outlet dan Target Toko'!$E:$E,0)),0)</f>
        <v>1901019</v>
      </c>
      <c r="I2767" s="42" t="s">
        <v>38</v>
      </c>
      <c r="J2767" s="56" t="s">
        <v>268</v>
      </c>
      <c r="K2767" s="40" t="s">
        <v>15</v>
      </c>
      <c r="L2767" s="26">
        <v>2200</v>
      </c>
      <c r="M2767" s="26">
        <v>110</v>
      </c>
      <c r="N2767" s="25">
        <f t="shared" si="87"/>
        <v>242000</v>
      </c>
      <c r="O2767" s="56"/>
    </row>
    <row r="2768" spans="1:15" hidden="1" x14ac:dyDescent="0.3">
      <c r="A2768" s="26">
        <v>31</v>
      </c>
      <c r="B2768" s="20" t="str">
        <f t="shared" si="86"/>
        <v>AUG</v>
      </c>
      <c r="C2768" s="21">
        <v>46235</v>
      </c>
      <c r="D2768" s="22" t="str">
        <f t="array" ref="D2768">IFERROR(INDEX('Kode Outlet dan Target Toko'!$A:$A,MATCH($I2768,'Kode Outlet dan Target Toko'!$E:$E,0)),"")</f>
        <v>GRSM 5</v>
      </c>
      <c r="E2768" s="20" t="str">
        <f>IFERROR(VLOOKUP(I2768,KET!$B:$F,4,0),"")</f>
        <v>SUPRIYATI</v>
      </c>
      <c r="F2768" s="20" t="str">
        <f>IFERROR(VLOOKUP(I2768,KET!$B:$F,5,0),"")</f>
        <v>GMM</v>
      </c>
      <c r="G2768" s="20">
        <f>IFERROR(INDEX('Kode Outlet dan Target Toko'!$C:$C,MATCH($I2768,'Kode Outlet dan Target Toko'!$E:$E,0)),0)</f>
        <v>170220</v>
      </c>
      <c r="H2768" s="20">
        <f>IFERROR(INDEX('Kode Outlet dan Target Toko'!$D:$D,MATCH($I2768,'Kode Outlet dan Target Toko'!$E:$E,0)),0)</f>
        <v>1901019</v>
      </c>
      <c r="I2768" s="42" t="s">
        <v>38</v>
      </c>
      <c r="J2768" s="56" t="s">
        <v>268</v>
      </c>
      <c r="K2768" s="40" t="s">
        <v>14</v>
      </c>
      <c r="L2768" s="26">
        <v>2200</v>
      </c>
      <c r="M2768" s="26">
        <v>121</v>
      </c>
      <c r="N2768" s="25">
        <f t="shared" si="87"/>
        <v>266200</v>
      </c>
      <c r="O2768" s="56"/>
    </row>
    <row r="2769" spans="1:15" hidden="1" x14ac:dyDescent="0.3">
      <c r="A2769" s="26">
        <v>31</v>
      </c>
      <c r="B2769" s="20" t="str">
        <f t="shared" si="86"/>
        <v>AUG</v>
      </c>
      <c r="C2769" s="21">
        <v>46235</v>
      </c>
      <c r="D2769" s="22" t="str">
        <f t="array" ref="D2769">IFERROR(INDEX('Kode Outlet dan Target Toko'!$A:$A,MATCH($I2769,'Kode Outlet dan Target Toko'!$E:$E,0)),"")</f>
        <v>GRSM 5</v>
      </c>
      <c r="E2769" s="20" t="str">
        <f>IFERROR(VLOOKUP(I2769,KET!$B:$F,4,0),"")</f>
        <v>SUPRIYATI</v>
      </c>
      <c r="F2769" s="20" t="str">
        <f>IFERROR(VLOOKUP(I2769,KET!$B:$F,5,0),"")</f>
        <v>GMM</v>
      </c>
      <c r="G2769" s="20">
        <f>IFERROR(INDEX('Kode Outlet dan Target Toko'!$C:$C,MATCH($I2769,'Kode Outlet dan Target Toko'!$E:$E,0)),0)</f>
        <v>170220</v>
      </c>
      <c r="H2769" s="20">
        <f>IFERROR(INDEX('Kode Outlet dan Target Toko'!$D:$D,MATCH($I2769,'Kode Outlet dan Target Toko'!$E:$E,0)),0)</f>
        <v>1901019</v>
      </c>
      <c r="I2769" s="42" t="s">
        <v>38</v>
      </c>
      <c r="J2769" s="56" t="s">
        <v>268</v>
      </c>
      <c r="K2769" s="40" t="s">
        <v>13</v>
      </c>
      <c r="L2769" s="26">
        <v>2200</v>
      </c>
      <c r="M2769" s="26">
        <v>88</v>
      </c>
      <c r="N2769" s="25">
        <f t="shared" si="87"/>
        <v>193600</v>
      </c>
      <c r="O2769" s="56"/>
    </row>
    <row r="2770" spans="1:15" hidden="1" x14ac:dyDescent="0.3">
      <c r="A2770" s="26">
        <v>31</v>
      </c>
      <c r="B2770" s="20" t="str">
        <f t="shared" si="86"/>
        <v>AUG</v>
      </c>
      <c r="C2770" s="21">
        <v>46235</v>
      </c>
      <c r="D2770" s="22" t="str">
        <f t="array" ref="D2770">IFERROR(INDEX('Kode Outlet dan Target Toko'!$A:$A,MATCH($I2770,'Kode Outlet dan Target Toko'!$E:$E,0)),"")</f>
        <v>GRSM 5</v>
      </c>
      <c r="E2770" s="20" t="str">
        <f>IFERROR(VLOOKUP(I2770,KET!$B:$F,4,0),"")</f>
        <v>SUPRIYATI</v>
      </c>
      <c r="F2770" s="20" t="str">
        <f>IFERROR(VLOOKUP(I2770,KET!$B:$F,5,0),"")</f>
        <v>GMM</v>
      </c>
      <c r="G2770" s="20">
        <f>IFERROR(INDEX('Kode Outlet dan Target Toko'!$C:$C,MATCH($I2770,'Kode Outlet dan Target Toko'!$E:$E,0)),0)</f>
        <v>170220</v>
      </c>
      <c r="H2770" s="20">
        <f>IFERROR(INDEX('Kode Outlet dan Target Toko'!$D:$D,MATCH($I2770,'Kode Outlet dan Target Toko'!$E:$E,0)),0)</f>
        <v>1901019</v>
      </c>
      <c r="I2770" s="42" t="s">
        <v>38</v>
      </c>
      <c r="J2770" s="56" t="s">
        <v>268</v>
      </c>
      <c r="K2770" s="40" t="s">
        <v>16</v>
      </c>
      <c r="L2770" s="26">
        <v>2200</v>
      </c>
      <c r="M2770" s="26">
        <v>298</v>
      </c>
      <c r="N2770" s="25">
        <f t="shared" si="87"/>
        <v>655600</v>
      </c>
      <c r="O2770" s="56">
        <v>223</v>
      </c>
    </row>
    <row r="2771" spans="1:15" hidden="1" x14ac:dyDescent="0.3">
      <c r="A2771" s="26">
        <v>31</v>
      </c>
      <c r="B2771" s="20" t="str">
        <f t="shared" si="86"/>
        <v>AUG</v>
      </c>
      <c r="C2771" s="21">
        <v>46235</v>
      </c>
      <c r="D2771" s="22" t="str">
        <f t="array" ref="D2771">IFERROR(INDEX('Kode Outlet dan Target Toko'!$A:$A,MATCH($I2771,'Kode Outlet dan Target Toko'!$E:$E,0)),"")</f>
        <v>GRSM 5</v>
      </c>
      <c r="E2771" s="20" t="str">
        <f>IFERROR(VLOOKUP(I2771,KET!$B:$F,4,0),"")</f>
        <v>SUPRIYATI</v>
      </c>
      <c r="F2771" s="20" t="str">
        <f>IFERROR(VLOOKUP(I2771,KET!$B:$F,5,0),"")</f>
        <v>GMM</v>
      </c>
      <c r="G2771" s="20">
        <f>IFERROR(INDEX('Kode Outlet dan Target Toko'!$C:$C,MATCH($I2771,'Kode Outlet dan Target Toko'!$E:$E,0)),0)</f>
        <v>170220</v>
      </c>
      <c r="H2771" s="20">
        <f>IFERROR(INDEX('Kode Outlet dan Target Toko'!$D:$D,MATCH($I2771,'Kode Outlet dan Target Toko'!$E:$E,0)),0)</f>
        <v>1901019</v>
      </c>
      <c r="I2771" s="42" t="s">
        <v>38</v>
      </c>
      <c r="J2771" s="56" t="s">
        <v>267</v>
      </c>
      <c r="K2771" s="40" t="s">
        <v>15</v>
      </c>
      <c r="L2771" s="26">
        <v>2200</v>
      </c>
      <c r="M2771" s="26">
        <v>110</v>
      </c>
      <c r="N2771" s="25">
        <f t="shared" si="87"/>
        <v>242000</v>
      </c>
      <c r="O2771" s="56"/>
    </row>
    <row r="2772" spans="1:15" hidden="1" x14ac:dyDescent="0.3">
      <c r="A2772" s="26">
        <v>31</v>
      </c>
      <c r="B2772" s="20" t="str">
        <f t="shared" si="86"/>
        <v>AUG</v>
      </c>
      <c r="C2772" s="21">
        <v>46235</v>
      </c>
      <c r="D2772" s="22" t="str">
        <f t="array" ref="D2772">IFERROR(INDEX('Kode Outlet dan Target Toko'!$A:$A,MATCH($I2772,'Kode Outlet dan Target Toko'!$E:$E,0)),"")</f>
        <v>GRSM 5</v>
      </c>
      <c r="E2772" s="20" t="str">
        <f>IFERROR(VLOOKUP(I2772,KET!$B:$F,4,0),"")</f>
        <v>SUPRIYATI</v>
      </c>
      <c r="F2772" s="20" t="str">
        <f>IFERROR(VLOOKUP(I2772,KET!$B:$F,5,0),"")</f>
        <v>GMM</v>
      </c>
      <c r="G2772" s="20">
        <f>IFERROR(INDEX('Kode Outlet dan Target Toko'!$C:$C,MATCH($I2772,'Kode Outlet dan Target Toko'!$E:$E,0)),0)</f>
        <v>170220</v>
      </c>
      <c r="H2772" s="20">
        <f>IFERROR(INDEX('Kode Outlet dan Target Toko'!$D:$D,MATCH($I2772,'Kode Outlet dan Target Toko'!$E:$E,0)),0)</f>
        <v>1901019</v>
      </c>
      <c r="I2772" s="42" t="s">
        <v>38</v>
      </c>
      <c r="J2772" s="56" t="s">
        <v>267</v>
      </c>
      <c r="K2772" s="40" t="s">
        <v>14</v>
      </c>
      <c r="L2772" s="26">
        <v>2200</v>
      </c>
      <c r="M2772" s="26">
        <v>121</v>
      </c>
      <c r="N2772" s="25">
        <f t="shared" si="87"/>
        <v>266200</v>
      </c>
      <c r="O2772" s="56"/>
    </row>
    <row r="2773" spans="1:15" hidden="1" x14ac:dyDescent="0.3">
      <c r="A2773" s="26">
        <v>31</v>
      </c>
      <c r="B2773" s="20" t="str">
        <f t="shared" si="86"/>
        <v>AUG</v>
      </c>
      <c r="C2773" s="21">
        <v>46235</v>
      </c>
      <c r="D2773" s="22" t="str">
        <f t="array" ref="D2773">IFERROR(INDEX('Kode Outlet dan Target Toko'!$A:$A,MATCH($I2773,'Kode Outlet dan Target Toko'!$E:$E,0)),"")</f>
        <v>GRSM 5</v>
      </c>
      <c r="E2773" s="20" t="str">
        <f>IFERROR(VLOOKUP(I2773,KET!$B:$F,4,0),"")</f>
        <v>SUPRIYATI</v>
      </c>
      <c r="F2773" s="20" t="str">
        <f>IFERROR(VLOOKUP(I2773,KET!$B:$F,5,0),"")</f>
        <v>GMM</v>
      </c>
      <c r="G2773" s="20">
        <f>IFERROR(INDEX('Kode Outlet dan Target Toko'!$C:$C,MATCH($I2773,'Kode Outlet dan Target Toko'!$E:$E,0)),0)</f>
        <v>170220</v>
      </c>
      <c r="H2773" s="20">
        <f>IFERROR(INDEX('Kode Outlet dan Target Toko'!$D:$D,MATCH($I2773,'Kode Outlet dan Target Toko'!$E:$E,0)),0)</f>
        <v>1901019</v>
      </c>
      <c r="I2773" s="42" t="s">
        <v>38</v>
      </c>
      <c r="J2773" s="56" t="s">
        <v>267</v>
      </c>
      <c r="K2773" s="40" t="s">
        <v>13</v>
      </c>
      <c r="L2773" s="26">
        <v>2200</v>
      </c>
      <c r="M2773" s="26">
        <v>88</v>
      </c>
      <c r="N2773" s="25">
        <f t="shared" si="87"/>
        <v>193600</v>
      </c>
      <c r="O2773" s="56"/>
    </row>
    <row r="2774" spans="1:15" hidden="1" x14ac:dyDescent="0.3">
      <c r="A2774" s="26">
        <v>31</v>
      </c>
      <c r="B2774" s="20" t="str">
        <f t="shared" si="86"/>
        <v>AUG</v>
      </c>
      <c r="C2774" s="21">
        <v>46235</v>
      </c>
      <c r="D2774" s="22" t="str">
        <f t="array" ref="D2774">IFERROR(INDEX('Kode Outlet dan Target Toko'!$A:$A,MATCH($I2774,'Kode Outlet dan Target Toko'!$E:$E,0)),"")</f>
        <v>GRSM 5</v>
      </c>
      <c r="E2774" s="20" t="str">
        <f>IFERROR(VLOOKUP(I2774,KET!$B:$F,4,0),"")</f>
        <v>SUPRIYATI</v>
      </c>
      <c r="F2774" s="20" t="str">
        <f>IFERROR(VLOOKUP(I2774,KET!$B:$F,5,0),"")</f>
        <v>GMM</v>
      </c>
      <c r="G2774" s="20">
        <f>IFERROR(INDEX('Kode Outlet dan Target Toko'!$C:$C,MATCH($I2774,'Kode Outlet dan Target Toko'!$E:$E,0)),0)</f>
        <v>170220</v>
      </c>
      <c r="H2774" s="20">
        <f>IFERROR(INDEX('Kode Outlet dan Target Toko'!$D:$D,MATCH($I2774,'Kode Outlet dan Target Toko'!$E:$E,0)),0)</f>
        <v>1901019</v>
      </c>
      <c r="I2774" s="42" t="s">
        <v>38</v>
      </c>
      <c r="J2774" s="56" t="s">
        <v>267</v>
      </c>
      <c r="K2774" s="40" t="s">
        <v>16</v>
      </c>
      <c r="L2774" s="26">
        <v>2200</v>
      </c>
      <c r="M2774" s="26">
        <v>298</v>
      </c>
      <c r="N2774" s="25">
        <f t="shared" si="87"/>
        <v>655600</v>
      </c>
      <c r="O2774" s="56">
        <v>223</v>
      </c>
    </row>
    <row r="2775" spans="1:15" hidden="1" x14ac:dyDescent="0.3">
      <c r="A2775" s="26">
        <v>31</v>
      </c>
      <c r="B2775" s="20" t="str">
        <f t="shared" si="86"/>
        <v>AUG</v>
      </c>
      <c r="C2775" s="21">
        <v>46235</v>
      </c>
      <c r="D2775" s="22" t="str">
        <f t="array" ref="D2775">IFERROR(INDEX('Kode Outlet dan Target Toko'!$A:$A,MATCH($I2775,'Kode Outlet dan Target Toko'!$E:$E,0)),"")</f>
        <v>GRSM 5</v>
      </c>
      <c r="E2775" s="20" t="str">
        <f>IFERROR(VLOOKUP(I2775,KET!$B:$F,4,0),"")</f>
        <v>SUPRIYATI</v>
      </c>
      <c r="F2775" s="20" t="str">
        <f>IFERROR(VLOOKUP(I2775,KET!$B:$F,5,0),"")</f>
        <v>GMM</v>
      </c>
      <c r="G2775" s="20">
        <f>IFERROR(INDEX('Kode Outlet dan Target Toko'!$C:$C,MATCH($I2775,'Kode Outlet dan Target Toko'!$E:$E,0)),0)</f>
        <v>170220</v>
      </c>
      <c r="H2775" s="20">
        <f>IFERROR(INDEX('Kode Outlet dan Target Toko'!$D:$D,MATCH($I2775,'Kode Outlet dan Target Toko'!$E:$E,0)),0)</f>
        <v>1901004</v>
      </c>
      <c r="I2775" s="42" t="s">
        <v>36</v>
      </c>
      <c r="J2775" s="56" t="s">
        <v>263</v>
      </c>
      <c r="K2775" s="40" t="s">
        <v>15</v>
      </c>
      <c r="L2775" s="26">
        <v>2200</v>
      </c>
      <c r="M2775" s="26">
        <v>80</v>
      </c>
      <c r="N2775" s="25">
        <f t="shared" si="87"/>
        <v>176000</v>
      </c>
      <c r="O2775" s="56"/>
    </row>
    <row r="2776" spans="1:15" hidden="1" x14ac:dyDescent="0.3">
      <c r="A2776" s="26">
        <v>31</v>
      </c>
      <c r="B2776" s="20" t="str">
        <f t="shared" si="86"/>
        <v>AUG</v>
      </c>
      <c r="C2776" s="21">
        <v>46235</v>
      </c>
      <c r="D2776" s="22" t="str">
        <f t="array" ref="D2776">IFERROR(INDEX('Kode Outlet dan Target Toko'!$A:$A,MATCH($I2776,'Kode Outlet dan Target Toko'!$E:$E,0)),"")</f>
        <v>GRSM 5</v>
      </c>
      <c r="E2776" s="20" t="str">
        <f>IFERROR(VLOOKUP(I2776,KET!$B:$F,4,0),"")</f>
        <v>SUPRIYATI</v>
      </c>
      <c r="F2776" s="20" t="str">
        <f>IFERROR(VLOOKUP(I2776,KET!$B:$F,5,0),"")</f>
        <v>GMM</v>
      </c>
      <c r="G2776" s="20">
        <f>IFERROR(INDEX('Kode Outlet dan Target Toko'!$C:$C,MATCH($I2776,'Kode Outlet dan Target Toko'!$E:$E,0)),0)</f>
        <v>170220</v>
      </c>
      <c r="H2776" s="20">
        <f>IFERROR(INDEX('Kode Outlet dan Target Toko'!$D:$D,MATCH($I2776,'Kode Outlet dan Target Toko'!$E:$E,0)),0)</f>
        <v>1901004</v>
      </c>
      <c r="I2776" s="42" t="s">
        <v>36</v>
      </c>
      <c r="J2776" s="56" t="s">
        <v>263</v>
      </c>
      <c r="K2776" s="40" t="s">
        <v>14</v>
      </c>
      <c r="L2776" s="26">
        <v>2200</v>
      </c>
      <c r="M2776" s="26">
        <v>280</v>
      </c>
      <c r="N2776" s="25">
        <f t="shared" si="87"/>
        <v>616000</v>
      </c>
      <c r="O2776" s="56"/>
    </row>
    <row r="2777" spans="1:15" hidden="1" x14ac:dyDescent="0.3">
      <c r="A2777" s="26">
        <v>31</v>
      </c>
      <c r="B2777" s="20" t="str">
        <f t="shared" si="86"/>
        <v>AUG</v>
      </c>
      <c r="C2777" s="21">
        <v>46235</v>
      </c>
      <c r="D2777" s="22" t="str">
        <f t="array" ref="D2777">IFERROR(INDEX('Kode Outlet dan Target Toko'!$A:$A,MATCH($I2777,'Kode Outlet dan Target Toko'!$E:$E,0)),"")</f>
        <v>GRSM 5</v>
      </c>
      <c r="E2777" s="20" t="str">
        <f>IFERROR(VLOOKUP(I2777,KET!$B:$F,4,0),"")</f>
        <v>SUPRIYATI</v>
      </c>
      <c r="F2777" s="20" t="str">
        <f>IFERROR(VLOOKUP(I2777,KET!$B:$F,5,0),"")</f>
        <v>GMM</v>
      </c>
      <c r="G2777" s="20">
        <f>IFERROR(INDEX('Kode Outlet dan Target Toko'!$C:$C,MATCH($I2777,'Kode Outlet dan Target Toko'!$E:$E,0)),0)</f>
        <v>170220</v>
      </c>
      <c r="H2777" s="20">
        <f>IFERROR(INDEX('Kode Outlet dan Target Toko'!$D:$D,MATCH($I2777,'Kode Outlet dan Target Toko'!$E:$E,0)),0)</f>
        <v>1901004</v>
      </c>
      <c r="I2777" s="42" t="s">
        <v>36</v>
      </c>
      <c r="J2777" s="56" t="s">
        <v>263</v>
      </c>
      <c r="K2777" s="40" t="s">
        <v>13</v>
      </c>
      <c r="L2777" s="26">
        <v>2200</v>
      </c>
      <c r="M2777" s="26">
        <v>20</v>
      </c>
      <c r="N2777" s="25">
        <f t="shared" si="87"/>
        <v>44000</v>
      </c>
      <c r="O2777" s="56"/>
    </row>
    <row r="2778" spans="1:15" hidden="1" x14ac:dyDescent="0.3">
      <c r="A2778" s="26">
        <v>31</v>
      </c>
      <c r="B2778" s="20" t="str">
        <f t="shared" si="86"/>
        <v>AUG</v>
      </c>
      <c r="C2778" s="21">
        <v>46235</v>
      </c>
      <c r="D2778" s="22" t="str">
        <f t="array" ref="D2778">IFERROR(INDEX('Kode Outlet dan Target Toko'!$A:$A,MATCH($I2778,'Kode Outlet dan Target Toko'!$E:$E,0)),"")</f>
        <v>GRSM 5</v>
      </c>
      <c r="E2778" s="20" t="str">
        <f>IFERROR(VLOOKUP(I2778,KET!$B:$F,4,0),"")</f>
        <v>SUPRIYATI</v>
      </c>
      <c r="F2778" s="20" t="str">
        <f>IFERROR(VLOOKUP(I2778,KET!$B:$F,5,0),"")</f>
        <v>GMM</v>
      </c>
      <c r="G2778" s="20">
        <f>IFERROR(INDEX('Kode Outlet dan Target Toko'!$C:$C,MATCH($I2778,'Kode Outlet dan Target Toko'!$E:$E,0)),0)</f>
        <v>170220</v>
      </c>
      <c r="H2778" s="20">
        <f>IFERROR(INDEX('Kode Outlet dan Target Toko'!$D:$D,MATCH($I2778,'Kode Outlet dan Target Toko'!$E:$E,0)),0)</f>
        <v>1901004</v>
      </c>
      <c r="I2778" s="42" t="s">
        <v>36</v>
      </c>
      <c r="J2778" s="56" t="s">
        <v>263</v>
      </c>
      <c r="K2778" s="40" t="s">
        <v>16</v>
      </c>
      <c r="L2778" s="26">
        <v>2200</v>
      </c>
      <c r="M2778" s="26">
        <v>340</v>
      </c>
      <c r="N2778" s="25">
        <f t="shared" si="87"/>
        <v>748000</v>
      </c>
      <c r="O2778" s="56">
        <v>320</v>
      </c>
    </row>
    <row r="2779" spans="1:15" hidden="1" x14ac:dyDescent="0.3">
      <c r="A2779" s="26">
        <v>31</v>
      </c>
      <c r="B2779" s="20" t="str">
        <f t="shared" si="86"/>
        <v>AUG</v>
      </c>
      <c r="C2779" s="21">
        <v>46235</v>
      </c>
      <c r="D2779" s="22" t="str">
        <f t="array" ref="D2779">IFERROR(INDEX('Kode Outlet dan Target Toko'!$A:$A,MATCH($I2779,'Kode Outlet dan Target Toko'!$E:$E,0)),"")</f>
        <v>GRSM 5</v>
      </c>
      <c r="E2779" s="20" t="str">
        <f>IFERROR(VLOOKUP(I2779,KET!$B:$F,4,0),"")</f>
        <v>SUPRIYATI</v>
      </c>
      <c r="F2779" s="20" t="str">
        <f>IFERROR(VLOOKUP(I2779,KET!$B:$F,5,0),"")</f>
        <v>GMM</v>
      </c>
      <c r="G2779" s="20">
        <f>IFERROR(INDEX('Kode Outlet dan Target Toko'!$C:$C,MATCH($I2779,'Kode Outlet dan Target Toko'!$E:$E,0)),0)</f>
        <v>170220</v>
      </c>
      <c r="H2779" s="20">
        <f>IFERROR(INDEX('Kode Outlet dan Target Toko'!$D:$D,MATCH($I2779,'Kode Outlet dan Target Toko'!$E:$E,0)),0)</f>
        <v>1901004</v>
      </c>
      <c r="I2779" s="42" t="s">
        <v>36</v>
      </c>
      <c r="J2779" s="56" t="s">
        <v>264</v>
      </c>
      <c r="K2779" s="40" t="s">
        <v>15</v>
      </c>
      <c r="L2779" s="26">
        <v>2200</v>
      </c>
      <c r="M2779" s="26">
        <v>80</v>
      </c>
      <c r="N2779" s="25">
        <f t="shared" si="87"/>
        <v>176000</v>
      </c>
      <c r="O2779" s="56"/>
    </row>
    <row r="2780" spans="1:15" hidden="1" x14ac:dyDescent="0.3">
      <c r="A2780" s="26">
        <v>31</v>
      </c>
      <c r="B2780" s="20" t="str">
        <f t="shared" si="86"/>
        <v>AUG</v>
      </c>
      <c r="C2780" s="21">
        <v>46235</v>
      </c>
      <c r="D2780" s="22" t="str">
        <f t="array" ref="D2780">IFERROR(INDEX('Kode Outlet dan Target Toko'!$A:$A,MATCH($I2780,'Kode Outlet dan Target Toko'!$E:$E,0)),"")</f>
        <v>GRSM 5</v>
      </c>
      <c r="E2780" s="20" t="str">
        <f>IFERROR(VLOOKUP(I2780,KET!$B:$F,4,0),"")</f>
        <v>SUPRIYATI</v>
      </c>
      <c r="F2780" s="20" t="str">
        <f>IFERROR(VLOOKUP(I2780,KET!$B:$F,5,0),"")</f>
        <v>GMM</v>
      </c>
      <c r="G2780" s="20">
        <f>IFERROR(INDEX('Kode Outlet dan Target Toko'!$C:$C,MATCH($I2780,'Kode Outlet dan Target Toko'!$E:$E,0)),0)</f>
        <v>170220</v>
      </c>
      <c r="H2780" s="20">
        <f>IFERROR(INDEX('Kode Outlet dan Target Toko'!$D:$D,MATCH($I2780,'Kode Outlet dan Target Toko'!$E:$E,0)),0)</f>
        <v>1901004</v>
      </c>
      <c r="I2780" s="42" t="s">
        <v>36</v>
      </c>
      <c r="J2780" s="56" t="s">
        <v>264</v>
      </c>
      <c r="K2780" s="40" t="s">
        <v>14</v>
      </c>
      <c r="L2780" s="26">
        <v>2200</v>
      </c>
      <c r="M2780" s="26">
        <v>280</v>
      </c>
      <c r="N2780" s="25">
        <f t="shared" si="87"/>
        <v>616000</v>
      </c>
      <c r="O2780" s="56"/>
    </row>
    <row r="2781" spans="1:15" hidden="1" x14ac:dyDescent="0.3">
      <c r="A2781" s="26">
        <v>31</v>
      </c>
      <c r="B2781" s="20" t="str">
        <f t="shared" si="86"/>
        <v>AUG</v>
      </c>
      <c r="C2781" s="21">
        <v>46235</v>
      </c>
      <c r="D2781" s="22" t="str">
        <f t="array" ref="D2781">IFERROR(INDEX('Kode Outlet dan Target Toko'!$A:$A,MATCH($I2781,'Kode Outlet dan Target Toko'!$E:$E,0)),"")</f>
        <v>GRSM 5</v>
      </c>
      <c r="E2781" s="20" t="str">
        <f>IFERROR(VLOOKUP(I2781,KET!$B:$F,4,0),"")</f>
        <v>SUPRIYATI</v>
      </c>
      <c r="F2781" s="20" t="str">
        <f>IFERROR(VLOOKUP(I2781,KET!$B:$F,5,0),"")</f>
        <v>GMM</v>
      </c>
      <c r="G2781" s="20">
        <f>IFERROR(INDEX('Kode Outlet dan Target Toko'!$C:$C,MATCH($I2781,'Kode Outlet dan Target Toko'!$E:$E,0)),0)</f>
        <v>170220</v>
      </c>
      <c r="H2781" s="20">
        <f>IFERROR(INDEX('Kode Outlet dan Target Toko'!$D:$D,MATCH($I2781,'Kode Outlet dan Target Toko'!$E:$E,0)),0)</f>
        <v>1901004</v>
      </c>
      <c r="I2781" s="42" t="s">
        <v>36</v>
      </c>
      <c r="J2781" s="56" t="s">
        <v>264</v>
      </c>
      <c r="K2781" s="40" t="s">
        <v>13</v>
      </c>
      <c r="L2781" s="26">
        <v>2200</v>
      </c>
      <c r="M2781" s="26">
        <v>20</v>
      </c>
      <c r="N2781" s="25">
        <f t="shared" si="87"/>
        <v>44000</v>
      </c>
      <c r="O2781" s="56"/>
    </row>
    <row r="2782" spans="1:15" hidden="1" x14ac:dyDescent="0.3">
      <c r="A2782" s="26">
        <v>31</v>
      </c>
      <c r="B2782" s="20" t="str">
        <f t="shared" si="86"/>
        <v>AUG</v>
      </c>
      <c r="C2782" s="21">
        <v>46235</v>
      </c>
      <c r="D2782" s="22" t="str">
        <f t="array" ref="D2782">IFERROR(INDEX('Kode Outlet dan Target Toko'!$A:$A,MATCH($I2782,'Kode Outlet dan Target Toko'!$E:$E,0)),"")</f>
        <v>GRSM 5</v>
      </c>
      <c r="E2782" s="20" t="str">
        <f>IFERROR(VLOOKUP(I2782,KET!$B:$F,4,0),"")</f>
        <v>SUPRIYATI</v>
      </c>
      <c r="F2782" s="20" t="str">
        <f>IFERROR(VLOOKUP(I2782,KET!$B:$F,5,0),"")</f>
        <v>GMM</v>
      </c>
      <c r="G2782" s="20">
        <f>IFERROR(INDEX('Kode Outlet dan Target Toko'!$C:$C,MATCH($I2782,'Kode Outlet dan Target Toko'!$E:$E,0)),0)</f>
        <v>170220</v>
      </c>
      <c r="H2782" s="20">
        <f>IFERROR(INDEX('Kode Outlet dan Target Toko'!$D:$D,MATCH($I2782,'Kode Outlet dan Target Toko'!$E:$E,0)),0)</f>
        <v>1901004</v>
      </c>
      <c r="I2782" s="42" t="s">
        <v>36</v>
      </c>
      <c r="J2782" s="56" t="s">
        <v>264</v>
      </c>
      <c r="K2782" s="40" t="s">
        <v>16</v>
      </c>
      <c r="L2782" s="26">
        <v>2200</v>
      </c>
      <c r="M2782" s="26">
        <v>340</v>
      </c>
      <c r="N2782" s="25">
        <f t="shared" si="87"/>
        <v>748000</v>
      </c>
      <c r="O2782" s="56">
        <v>320</v>
      </c>
    </row>
    <row r="2783" spans="1:15" hidden="1" x14ac:dyDescent="0.3">
      <c r="A2783" s="26">
        <v>31</v>
      </c>
      <c r="B2783" s="20" t="str">
        <f t="shared" si="86"/>
        <v>AUG</v>
      </c>
      <c r="C2783" s="21">
        <v>46235</v>
      </c>
      <c r="D2783" s="22" t="str">
        <f t="array" ref="D2783">IFERROR(INDEX('Kode Outlet dan Target Toko'!$A:$A,MATCH($I2783,'Kode Outlet dan Target Toko'!$E:$E,0)),"")</f>
        <v>GRSM 5</v>
      </c>
      <c r="E2783" s="20" t="str">
        <f>IFERROR(VLOOKUP(I2783,KET!$B:$F,4,0),"")</f>
        <v>SUPRIYATI</v>
      </c>
      <c r="F2783" s="20" t="str">
        <f>IFERROR(VLOOKUP(I2783,KET!$B:$F,5,0),"")</f>
        <v>GMM</v>
      </c>
      <c r="G2783" s="20">
        <f>IFERROR(INDEX('Kode Outlet dan Target Toko'!$C:$C,MATCH($I2783,'Kode Outlet dan Target Toko'!$E:$E,0)),0)</f>
        <v>170220</v>
      </c>
      <c r="H2783" s="20">
        <f>IFERROR(INDEX('Kode Outlet dan Target Toko'!$D:$D,MATCH($I2783,'Kode Outlet dan Target Toko'!$E:$E,0)),0)</f>
        <v>9000015</v>
      </c>
      <c r="I2783" s="42" t="s">
        <v>37</v>
      </c>
      <c r="J2783" s="56" t="s">
        <v>265</v>
      </c>
      <c r="K2783" s="40" t="s">
        <v>15</v>
      </c>
      <c r="L2783" s="26">
        <v>2200</v>
      </c>
      <c r="M2783" s="26">
        <v>149</v>
      </c>
      <c r="N2783" s="25">
        <f t="shared" si="87"/>
        <v>327800</v>
      </c>
      <c r="O2783" s="56"/>
    </row>
    <row r="2784" spans="1:15" hidden="1" x14ac:dyDescent="0.3">
      <c r="A2784" s="26">
        <v>31</v>
      </c>
      <c r="B2784" s="20" t="str">
        <f t="shared" si="86"/>
        <v>AUG</v>
      </c>
      <c r="C2784" s="21">
        <v>46235</v>
      </c>
      <c r="D2784" s="22" t="str">
        <f t="array" ref="D2784">IFERROR(INDEX('Kode Outlet dan Target Toko'!$A:$A,MATCH($I2784,'Kode Outlet dan Target Toko'!$E:$E,0)),"")</f>
        <v>GRSM 5</v>
      </c>
      <c r="E2784" s="20" t="str">
        <f>IFERROR(VLOOKUP(I2784,KET!$B:$F,4,0),"")</f>
        <v>SUPRIYATI</v>
      </c>
      <c r="F2784" s="20" t="str">
        <f>IFERROR(VLOOKUP(I2784,KET!$B:$F,5,0),"")</f>
        <v>GMM</v>
      </c>
      <c r="G2784" s="20">
        <f>IFERROR(INDEX('Kode Outlet dan Target Toko'!$C:$C,MATCH($I2784,'Kode Outlet dan Target Toko'!$E:$E,0)),0)</f>
        <v>170220</v>
      </c>
      <c r="H2784" s="20">
        <f>IFERROR(INDEX('Kode Outlet dan Target Toko'!$D:$D,MATCH($I2784,'Kode Outlet dan Target Toko'!$E:$E,0)),0)</f>
        <v>9000015</v>
      </c>
      <c r="I2784" s="42" t="s">
        <v>37</v>
      </c>
      <c r="J2784" s="56" t="s">
        <v>265</v>
      </c>
      <c r="K2784" s="40" t="s">
        <v>14</v>
      </c>
      <c r="L2784" s="26">
        <v>2200</v>
      </c>
      <c r="M2784" s="26">
        <v>276</v>
      </c>
      <c r="N2784" s="25">
        <f t="shared" si="87"/>
        <v>607200</v>
      </c>
      <c r="O2784" s="56"/>
    </row>
    <row r="2785" spans="1:15" hidden="1" x14ac:dyDescent="0.3">
      <c r="A2785" s="26">
        <v>31</v>
      </c>
      <c r="B2785" s="20" t="str">
        <f t="shared" si="86"/>
        <v>AUG</v>
      </c>
      <c r="C2785" s="21">
        <v>46235</v>
      </c>
      <c r="D2785" s="22" t="str">
        <f t="array" ref="D2785">IFERROR(INDEX('Kode Outlet dan Target Toko'!$A:$A,MATCH($I2785,'Kode Outlet dan Target Toko'!$E:$E,0)),"")</f>
        <v>GRSM 5</v>
      </c>
      <c r="E2785" s="20" t="str">
        <f>IFERROR(VLOOKUP(I2785,KET!$B:$F,4,0),"")</f>
        <v>SUPRIYATI</v>
      </c>
      <c r="F2785" s="20" t="str">
        <f>IFERROR(VLOOKUP(I2785,KET!$B:$F,5,0),"")</f>
        <v>GMM</v>
      </c>
      <c r="G2785" s="20">
        <f>IFERROR(INDEX('Kode Outlet dan Target Toko'!$C:$C,MATCH($I2785,'Kode Outlet dan Target Toko'!$E:$E,0)),0)</f>
        <v>170220</v>
      </c>
      <c r="H2785" s="20">
        <f>IFERROR(INDEX('Kode Outlet dan Target Toko'!$D:$D,MATCH($I2785,'Kode Outlet dan Target Toko'!$E:$E,0)),0)</f>
        <v>9000015</v>
      </c>
      <c r="I2785" s="42" t="s">
        <v>37</v>
      </c>
      <c r="J2785" s="56" t="s">
        <v>265</v>
      </c>
      <c r="K2785" s="40" t="s">
        <v>13</v>
      </c>
      <c r="L2785" s="26">
        <v>2200</v>
      </c>
      <c r="M2785" s="26">
        <v>173</v>
      </c>
      <c r="N2785" s="25">
        <f t="shared" si="87"/>
        <v>380600</v>
      </c>
      <c r="O2785" s="56"/>
    </row>
    <row r="2786" spans="1:15" hidden="1" x14ac:dyDescent="0.3">
      <c r="A2786" s="26">
        <v>31</v>
      </c>
      <c r="B2786" s="20" t="str">
        <f t="shared" si="86"/>
        <v>AUG</v>
      </c>
      <c r="C2786" s="21">
        <v>46235</v>
      </c>
      <c r="D2786" s="22" t="str">
        <f t="array" ref="D2786">IFERROR(INDEX('Kode Outlet dan Target Toko'!$A:$A,MATCH($I2786,'Kode Outlet dan Target Toko'!$E:$E,0)),"")</f>
        <v>GRSM 5</v>
      </c>
      <c r="E2786" s="20" t="str">
        <f>IFERROR(VLOOKUP(I2786,KET!$B:$F,4,0),"")</f>
        <v>SUPRIYATI</v>
      </c>
      <c r="F2786" s="20" t="str">
        <f>IFERROR(VLOOKUP(I2786,KET!$B:$F,5,0),"")</f>
        <v>GMM</v>
      </c>
      <c r="G2786" s="20">
        <f>IFERROR(INDEX('Kode Outlet dan Target Toko'!$C:$C,MATCH($I2786,'Kode Outlet dan Target Toko'!$E:$E,0)),0)</f>
        <v>170220</v>
      </c>
      <c r="H2786" s="20">
        <f>IFERROR(INDEX('Kode Outlet dan Target Toko'!$D:$D,MATCH($I2786,'Kode Outlet dan Target Toko'!$E:$E,0)),0)</f>
        <v>9000015</v>
      </c>
      <c r="I2786" s="42" t="s">
        <v>37</v>
      </c>
      <c r="J2786" s="56" t="s">
        <v>265</v>
      </c>
      <c r="K2786" s="40" t="s">
        <v>16</v>
      </c>
      <c r="L2786" s="26">
        <v>2200</v>
      </c>
      <c r="M2786" s="26">
        <v>378</v>
      </c>
      <c r="N2786" s="25">
        <f t="shared" si="87"/>
        <v>831600</v>
      </c>
      <c r="O2786" s="56">
        <v>320</v>
      </c>
    </row>
    <row r="2787" spans="1:15" hidden="1" x14ac:dyDescent="0.3">
      <c r="A2787" s="26">
        <v>31</v>
      </c>
      <c r="B2787" s="20" t="str">
        <f t="shared" si="86"/>
        <v>AUG</v>
      </c>
      <c r="C2787" s="21">
        <v>46235</v>
      </c>
      <c r="D2787" s="22" t="str">
        <f t="array" ref="D2787">IFERROR(INDEX('Kode Outlet dan Target Toko'!$A:$A,MATCH($I2787,'Kode Outlet dan Target Toko'!$E:$E,0)),"")</f>
        <v>GRSM 5</v>
      </c>
      <c r="E2787" s="20" t="str">
        <f>IFERROR(VLOOKUP(I2787,KET!$B:$F,4,0),"")</f>
        <v>SUPRIYATI</v>
      </c>
      <c r="F2787" s="20" t="str">
        <f>IFERROR(VLOOKUP(I2787,KET!$B:$F,5,0),"")</f>
        <v>GMM</v>
      </c>
      <c r="G2787" s="20">
        <f>IFERROR(INDEX('Kode Outlet dan Target Toko'!$C:$C,MATCH($I2787,'Kode Outlet dan Target Toko'!$E:$E,0)),0)</f>
        <v>170220</v>
      </c>
      <c r="H2787" s="20">
        <f>IFERROR(INDEX('Kode Outlet dan Target Toko'!$D:$D,MATCH($I2787,'Kode Outlet dan Target Toko'!$E:$E,0)),0)</f>
        <v>9000015</v>
      </c>
      <c r="I2787" s="42" t="s">
        <v>37</v>
      </c>
      <c r="J2787" s="56" t="s">
        <v>288</v>
      </c>
      <c r="K2787" s="40" t="s">
        <v>15</v>
      </c>
      <c r="L2787" s="26">
        <v>2200</v>
      </c>
      <c r="M2787" s="26">
        <v>149</v>
      </c>
      <c r="N2787" s="25">
        <f t="shared" si="87"/>
        <v>327800</v>
      </c>
      <c r="O2787" s="56"/>
    </row>
    <row r="2788" spans="1:15" hidden="1" x14ac:dyDescent="0.3">
      <c r="A2788" s="26">
        <v>31</v>
      </c>
      <c r="B2788" s="20" t="str">
        <f t="shared" si="86"/>
        <v>AUG</v>
      </c>
      <c r="C2788" s="21">
        <v>46235</v>
      </c>
      <c r="D2788" s="22" t="str">
        <f t="array" ref="D2788">IFERROR(INDEX('Kode Outlet dan Target Toko'!$A:$A,MATCH($I2788,'Kode Outlet dan Target Toko'!$E:$E,0)),"")</f>
        <v>GRSM 5</v>
      </c>
      <c r="E2788" s="20" t="str">
        <f>IFERROR(VLOOKUP(I2788,KET!$B:$F,4,0),"")</f>
        <v>SUPRIYATI</v>
      </c>
      <c r="F2788" s="20" t="str">
        <f>IFERROR(VLOOKUP(I2788,KET!$B:$F,5,0),"")</f>
        <v>GMM</v>
      </c>
      <c r="G2788" s="20">
        <f>IFERROR(INDEX('Kode Outlet dan Target Toko'!$C:$C,MATCH($I2788,'Kode Outlet dan Target Toko'!$E:$E,0)),0)</f>
        <v>170220</v>
      </c>
      <c r="H2788" s="20">
        <f>IFERROR(INDEX('Kode Outlet dan Target Toko'!$D:$D,MATCH($I2788,'Kode Outlet dan Target Toko'!$E:$E,0)),0)</f>
        <v>9000015</v>
      </c>
      <c r="I2788" s="42" t="s">
        <v>37</v>
      </c>
      <c r="J2788" s="56" t="s">
        <v>288</v>
      </c>
      <c r="K2788" s="40" t="s">
        <v>14</v>
      </c>
      <c r="L2788" s="26">
        <v>2200</v>
      </c>
      <c r="M2788" s="26">
        <v>276</v>
      </c>
      <c r="N2788" s="25">
        <f t="shared" si="87"/>
        <v>607200</v>
      </c>
      <c r="O2788" s="56"/>
    </row>
    <row r="2789" spans="1:15" hidden="1" x14ac:dyDescent="0.3">
      <c r="A2789" s="26">
        <v>31</v>
      </c>
      <c r="B2789" s="20" t="str">
        <f t="shared" si="86"/>
        <v>AUG</v>
      </c>
      <c r="C2789" s="21">
        <v>46235</v>
      </c>
      <c r="D2789" s="22" t="str">
        <f t="array" ref="D2789">IFERROR(INDEX('Kode Outlet dan Target Toko'!$A:$A,MATCH($I2789,'Kode Outlet dan Target Toko'!$E:$E,0)),"")</f>
        <v>GRSM 5</v>
      </c>
      <c r="E2789" s="20" t="str">
        <f>IFERROR(VLOOKUP(I2789,KET!$B:$F,4,0),"")</f>
        <v>SUPRIYATI</v>
      </c>
      <c r="F2789" s="20" t="str">
        <f>IFERROR(VLOOKUP(I2789,KET!$B:$F,5,0),"")</f>
        <v>GMM</v>
      </c>
      <c r="G2789" s="20">
        <f>IFERROR(INDEX('Kode Outlet dan Target Toko'!$C:$C,MATCH($I2789,'Kode Outlet dan Target Toko'!$E:$E,0)),0)</f>
        <v>170220</v>
      </c>
      <c r="H2789" s="20">
        <f>IFERROR(INDEX('Kode Outlet dan Target Toko'!$D:$D,MATCH($I2789,'Kode Outlet dan Target Toko'!$E:$E,0)),0)</f>
        <v>9000015</v>
      </c>
      <c r="I2789" s="42" t="s">
        <v>37</v>
      </c>
      <c r="J2789" s="56" t="s">
        <v>288</v>
      </c>
      <c r="K2789" s="40" t="s">
        <v>13</v>
      </c>
      <c r="L2789" s="26">
        <v>2200</v>
      </c>
      <c r="M2789" s="26">
        <v>173</v>
      </c>
      <c r="N2789" s="25">
        <f t="shared" si="87"/>
        <v>380600</v>
      </c>
      <c r="O2789" s="56"/>
    </row>
    <row r="2790" spans="1:15" hidden="1" x14ac:dyDescent="0.3">
      <c r="A2790" s="26">
        <v>31</v>
      </c>
      <c r="B2790" s="20" t="str">
        <f t="shared" si="86"/>
        <v>AUG</v>
      </c>
      <c r="C2790" s="21">
        <v>46235</v>
      </c>
      <c r="D2790" s="22" t="str">
        <f t="array" ref="D2790">IFERROR(INDEX('Kode Outlet dan Target Toko'!$A:$A,MATCH($I2790,'Kode Outlet dan Target Toko'!$E:$E,0)),"")</f>
        <v>GRSM 5</v>
      </c>
      <c r="E2790" s="20" t="str">
        <f>IFERROR(VLOOKUP(I2790,KET!$B:$F,4,0),"")</f>
        <v>SUPRIYATI</v>
      </c>
      <c r="F2790" s="20" t="str">
        <f>IFERROR(VLOOKUP(I2790,KET!$B:$F,5,0),"")</f>
        <v>GMM</v>
      </c>
      <c r="G2790" s="20">
        <f>IFERROR(INDEX('Kode Outlet dan Target Toko'!$C:$C,MATCH($I2790,'Kode Outlet dan Target Toko'!$E:$E,0)),0)</f>
        <v>170220</v>
      </c>
      <c r="H2790" s="20">
        <f>IFERROR(INDEX('Kode Outlet dan Target Toko'!$D:$D,MATCH($I2790,'Kode Outlet dan Target Toko'!$E:$E,0)),0)</f>
        <v>9000015</v>
      </c>
      <c r="I2790" s="42" t="s">
        <v>37</v>
      </c>
      <c r="J2790" s="56" t="s">
        <v>288</v>
      </c>
      <c r="K2790" s="40" t="s">
        <v>16</v>
      </c>
      <c r="L2790" s="26">
        <v>2200</v>
      </c>
      <c r="M2790" s="26">
        <v>378</v>
      </c>
      <c r="N2790" s="25">
        <f t="shared" si="87"/>
        <v>831600</v>
      </c>
      <c r="O2790" s="56">
        <v>320</v>
      </c>
    </row>
    <row r="2791" spans="1:15" hidden="1" x14ac:dyDescent="0.3">
      <c r="A2791" s="26">
        <v>31</v>
      </c>
      <c r="B2791" s="20" t="str">
        <f t="shared" si="86"/>
        <v>AUG</v>
      </c>
      <c r="C2791" s="21">
        <v>46236</v>
      </c>
      <c r="D2791" s="22" t="str">
        <f t="array" ref="D2791">IFERROR(INDEX('Kode Outlet dan Target Toko'!$A:$A,MATCH($I2791,'Kode Outlet dan Target Toko'!$E:$E,0)),"")</f>
        <v>GRSM 5</v>
      </c>
      <c r="E2791" s="20" t="str">
        <f>IFERROR(VLOOKUP(I2791,KET!$B:$F,4,0),"")</f>
        <v>SUPRIYATI</v>
      </c>
      <c r="F2791" s="20" t="str">
        <f>IFERROR(VLOOKUP(I2791,KET!$B:$F,5,0),"")</f>
        <v>GMM</v>
      </c>
      <c r="G2791" s="20">
        <f>IFERROR(INDEX('Kode Outlet dan Target Toko'!$C:$C,MATCH($I2791,'Kode Outlet dan Target Toko'!$E:$E,0)),0)</f>
        <v>170220</v>
      </c>
      <c r="H2791" s="20">
        <f>IFERROR(INDEX('Kode Outlet dan Target Toko'!$D:$D,MATCH($I2791,'Kode Outlet dan Target Toko'!$E:$E,0)),0)</f>
        <v>9000015</v>
      </c>
      <c r="I2791" s="42" t="s">
        <v>37</v>
      </c>
      <c r="J2791" s="56" t="s">
        <v>265</v>
      </c>
      <c r="K2791" s="40" t="s">
        <v>15</v>
      </c>
      <c r="L2791" s="26">
        <v>2200</v>
      </c>
      <c r="M2791" s="26">
        <v>199</v>
      </c>
      <c r="N2791" s="25">
        <f t="shared" si="87"/>
        <v>437800</v>
      </c>
      <c r="O2791" s="56"/>
    </row>
    <row r="2792" spans="1:15" hidden="1" x14ac:dyDescent="0.3">
      <c r="A2792" s="26">
        <v>31</v>
      </c>
      <c r="B2792" s="20" t="str">
        <f t="shared" si="86"/>
        <v>AUG</v>
      </c>
      <c r="C2792" s="21">
        <v>46236</v>
      </c>
      <c r="D2792" s="22" t="str">
        <f t="array" ref="D2792">IFERROR(INDEX('Kode Outlet dan Target Toko'!$A:$A,MATCH($I2792,'Kode Outlet dan Target Toko'!$E:$E,0)),"")</f>
        <v>GRSM 5</v>
      </c>
      <c r="E2792" s="20" t="str">
        <f>IFERROR(VLOOKUP(I2792,KET!$B:$F,4,0),"")</f>
        <v>SUPRIYATI</v>
      </c>
      <c r="F2792" s="20" t="str">
        <f>IFERROR(VLOOKUP(I2792,KET!$B:$F,5,0),"")</f>
        <v>GMM</v>
      </c>
      <c r="G2792" s="20">
        <f>IFERROR(INDEX('Kode Outlet dan Target Toko'!$C:$C,MATCH($I2792,'Kode Outlet dan Target Toko'!$E:$E,0)),0)</f>
        <v>170220</v>
      </c>
      <c r="H2792" s="20">
        <f>IFERROR(INDEX('Kode Outlet dan Target Toko'!$D:$D,MATCH($I2792,'Kode Outlet dan Target Toko'!$E:$E,0)),0)</f>
        <v>9000015</v>
      </c>
      <c r="I2792" s="42" t="s">
        <v>37</v>
      </c>
      <c r="J2792" s="56" t="s">
        <v>265</v>
      </c>
      <c r="K2792" s="40" t="s">
        <v>14</v>
      </c>
      <c r="L2792" s="26">
        <v>2200</v>
      </c>
      <c r="M2792" s="26">
        <v>263</v>
      </c>
      <c r="N2792" s="25">
        <f t="shared" si="87"/>
        <v>578600</v>
      </c>
      <c r="O2792" s="56"/>
    </row>
    <row r="2793" spans="1:15" hidden="1" x14ac:dyDescent="0.3">
      <c r="A2793" s="26">
        <v>31</v>
      </c>
      <c r="B2793" s="20" t="str">
        <f t="shared" si="86"/>
        <v>AUG</v>
      </c>
      <c r="C2793" s="21">
        <v>46236</v>
      </c>
      <c r="D2793" s="22" t="str">
        <f t="array" ref="D2793">IFERROR(INDEX('Kode Outlet dan Target Toko'!$A:$A,MATCH($I2793,'Kode Outlet dan Target Toko'!$E:$E,0)),"")</f>
        <v>GRSM 5</v>
      </c>
      <c r="E2793" s="20" t="str">
        <f>IFERROR(VLOOKUP(I2793,KET!$B:$F,4,0),"")</f>
        <v>SUPRIYATI</v>
      </c>
      <c r="F2793" s="20" t="str">
        <f>IFERROR(VLOOKUP(I2793,KET!$B:$F,5,0),"")</f>
        <v>GMM</v>
      </c>
      <c r="G2793" s="20">
        <f>IFERROR(INDEX('Kode Outlet dan Target Toko'!$C:$C,MATCH($I2793,'Kode Outlet dan Target Toko'!$E:$E,0)),0)</f>
        <v>170220</v>
      </c>
      <c r="H2793" s="20">
        <f>IFERROR(INDEX('Kode Outlet dan Target Toko'!$D:$D,MATCH($I2793,'Kode Outlet dan Target Toko'!$E:$E,0)),0)</f>
        <v>9000015</v>
      </c>
      <c r="I2793" s="42" t="s">
        <v>37</v>
      </c>
      <c r="J2793" s="56" t="s">
        <v>265</v>
      </c>
      <c r="K2793" s="40" t="s">
        <v>13</v>
      </c>
      <c r="L2793" s="26">
        <v>2200</v>
      </c>
      <c r="M2793" s="26">
        <v>162</v>
      </c>
      <c r="N2793" s="25">
        <f t="shared" si="87"/>
        <v>356400</v>
      </c>
      <c r="O2793" s="56"/>
    </row>
    <row r="2794" spans="1:15" hidden="1" x14ac:dyDescent="0.3">
      <c r="A2794" s="26">
        <v>31</v>
      </c>
      <c r="B2794" s="20" t="str">
        <f t="shared" si="86"/>
        <v>AUG</v>
      </c>
      <c r="C2794" s="21">
        <v>46236</v>
      </c>
      <c r="D2794" s="22" t="str">
        <f t="array" ref="D2794">IFERROR(INDEX('Kode Outlet dan Target Toko'!$A:$A,MATCH($I2794,'Kode Outlet dan Target Toko'!$E:$E,0)),"")</f>
        <v>GRSM 5</v>
      </c>
      <c r="E2794" s="20" t="str">
        <f>IFERROR(VLOOKUP(I2794,KET!$B:$F,4,0),"")</f>
        <v>SUPRIYATI</v>
      </c>
      <c r="F2794" s="20" t="str">
        <f>IFERROR(VLOOKUP(I2794,KET!$B:$F,5,0),"")</f>
        <v>GMM</v>
      </c>
      <c r="G2794" s="20">
        <f>IFERROR(INDEX('Kode Outlet dan Target Toko'!$C:$C,MATCH($I2794,'Kode Outlet dan Target Toko'!$E:$E,0)),0)</f>
        <v>170220</v>
      </c>
      <c r="H2794" s="20">
        <f>IFERROR(INDEX('Kode Outlet dan Target Toko'!$D:$D,MATCH($I2794,'Kode Outlet dan Target Toko'!$E:$E,0)),0)</f>
        <v>9000015</v>
      </c>
      <c r="I2794" s="42" t="s">
        <v>37</v>
      </c>
      <c r="J2794" s="56" t="s">
        <v>265</v>
      </c>
      <c r="K2794" s="40" t="s">
        <v>16</v>
      </c>
      <c r="L2794" s="26">
        <v>2200</v>
      </c>
      <c r="M2794" s="26">
        <v>388</v>
      </c>
      <c r="N2794" s="25">
        <f t="shared" si="87"/>
        <v>853600</v>
      </c>
      <c r="O2794" s="56">
        <v>320</v>
      </c>
    </row>
    <row r="2795" spans="1:15" hidden="1" x14ac:dyDescent="0.3">
      <c r="A2795" s="26">
        <v>31</v>
      </c>
      <c r="B2795" s="20" t="str">
        <f t="shared" si="86"/>
        <v>AUG</v>
      </c>
      <c r="C2795" s="21">
        <v>46236</v>
      </c>
      <c r="D2795" s="22" t="str">
        <f t="array" ref="D2795">IFERROR(INDEX('Kode Outlet dan Target Toko'!$A:$A,MATCH($I2795,'Kode Outlet dan Target Toko'!$E:$E,0)),"")</f>
        <v>GRSM 5</v>
      </c>
      <c r="E2795" s="20" t="str">
        <f>IFERROR(VLOOKUP(I2795,KET!$B:$F,4,0),"")</f>
        <v>SUPRIYATI</v>
      </c>
      <c r="F2795" s="20" t="str">
        <f>IFERROR(VLOOKUP(I2795,KET!$B:$F,5,0),"")</f>
        <v>GMM</v>
      </c>
      <c r="G2795" s="20">
        <f>IFERROR(INDEX('Kode Outlet dan Target Toko'!$C:$C,MATCH($I2795,'Kode Outlet dan Target Toko'!$E:$E,0)),0)</f>
        <v>170220</v>
      </c>
      <c r="H2795" s="20">
        <f>IFERROR(INDEX('Kode Outlet dan Target Toko'!$D:$D,MATCH($I2795,'Kode Outlet dan Target Toko'!$E:$E,0)),0)</f>
        <v>9000015</v>
      </c>
      <c r="I2795" s="42" t="s">
        <v>37</v>
      </c>
      <c r="J2795" s="56" t="s">
        <v>288</v>
      </c>
      <c r="K2795" s="40" t="s">
        <v>15</v>
      </c>
      <c r="L2795" s="26">
        <v>2200</v>
      </c>
      <c r="M2795" s="26">
        <v>199</v>
      </c>
      <c r="N2795" s="25">
        <f t="shared" si="87"/>
        <v>437800</v>
      </c>
      <c r="O2795" s="56"/>
    </row>
    <row r="2796" spans="1:15" hidden="1" x14ac:dyDescent="0.3">
      <c r="A2796" s="26">
        <v>31</v>
      </c>
      <c r="B2796" s="20" t="str">
        <f t="shared" si="86"/>
        <v>AUG</v>
      </c>
      <c r="C2796" s="21">
        <v>46236</v>
      </c>
      <c r="D2796" s="22" t="str">
        <f t="array" ref="D2796">IFERROR(INDEX('Kode Outlet dan Target Toko'!$A:$A,MATCH($I2796,'Kode Outlet dan Target Toko'!$E:$E,0)),"")</f>
        <v>GRSM 5</v>
      </c>
      <c r="E2796" s="20" t="str">
        <f>IFERROR(VLOOKUP(I2796,KET!$B:$F,4,0),"")</f>
        <v>SUPRIYATI</v>
      </c>
      <c r="F2796" s="20" t="str">
        <f>IFERROR(VLOOKUP(I2796,KET!$B:$F,5,0),"")</f>
        <v>GMM</v>
      </c>
      <c r="G2796" s="20">
        <f>IFERROR(INDEX('Kode Outlet dan Target Toko'!$C:$C,MATCH($I2796,'Kode Outlet dan Target Toko'!$E:$E,0)),0)</f>
        <v>170220</v>
      </c>
      <c r="H2796" s="20">
        <f>IFERROR(INDEX('Kode Outlet dan Target Toko'!$D:$D,MATCH($I2796,'Kode Outlet dan Target Toko'!$E:$E,0)),0)</f>
        <v>9000015</v>
      </c>
      <c r="I2796" s="42" t="s">
        <v>37</v>
      </c>
      <c r="J2796" s="56" t="s">
        <v>288</v>
      </c>
      <c r="K2796" s="40" t="s">
        <v>14</v>
      </c>
      <c r="L2796" s="26">
        <v>2200</v>
      </c>
      <c r="M2796" s="26">
        <v>263</v>
      </c>
      <c r="N2796" s="25">
        <f t="shared" si="87"/>
        <v>578600</v>
      </c>
      <c r="O2796" s="56"/>
    </row>
    <row r="2797" spans="1:15" hidden="1" x14ac:dyDescent="0.3">
      <c r="A2797" s="26">
        <v>31</v>
      </c>
      <c r="B2797" s="20" t="str">
        <f t="shared" si="86"/>
        <v>AUG</v>
      </c>
      <c r="C2797" s="21">
        <v>46236</v>
      </c>
      <c r="D2797" s="22" t="str">
        <f t="array" ref="D2797">IFERROR(INDEX('Kode Outlet dan Target Toko'!$A:$A,MATCH($I2797,'Kode Outlet dan Target Toko'!$E:$E,0)),"")</f>
        <v>GRSM 5</v>
      </c>
      <c r="E2797" s="20" t="str">
        <f>IFERROR(VLOOKUP(I2797,KET!$B:$F,4,0),"")</f>
        <v>SUPRIYATI</v>
      </c>
      <c r="F2797" s="20" t="str">
        <f>IFERROR(VLOOKUP(I2797,KET!$B:$F,5,0),"")</f>
        <v>GMM</v>
      </c>
      <c r="G2797" s="20">
        <f>IFERROR(INDEX('Kode Outlet dan Target Toko'!$C:$C,MATCH($I2797,'Kode Outlet dan Target Toko'!$E:$E,0)),0)</f>
        <v>170220</v>
      </c>
      <c r="H2797" s="20">
        <f>IFERROR(INDEX('Kode Outlet dan Target Toko'!$D:$D,MATCH($I2797,'Kode Outlet dan Target Toko'!$E:$E,0)),0)</f>
        <v>9000015</v>
      </c>
      <c r="I2797" s="42" t="s">
        <v>37</v>
      </c>
      <c r="J2797" s="56" t="s">
        <v>288</v>
      </c>
      <c r="K2797" s="40" t="s">
        <v>13</v>
      </c>
      <c r="L2797" s="26">
        <v>2200</v>
      </c>
      <c r="M2797" s="26">
        <v>162</v>
      </c>
      <c r="N2797" s="25">
        <f t="shared" si="87"/>
        <v>356400</v>
      </c>
      <c r="O2797" s="56"/>
    </row>
    <row r="2798" spans="1:15" hidden="1" x14ac:dyDescent="0.3">
      <c r="A2798" s="26">
        <v>31</v>
      </c>
      <c r="B2798" s="20" t="str">
        <f t="shared" si="86"/>
        <v>AUG</v>
      </c>
      <c r="C2798" s="21">
        <v>46236</v>
      </c>
      <c r="D2798" s="22" t="str">
        <f t="array" ref="D2798">IFERROR(INDEX('Kode Outlet dan Target Toko'!$A:$A,MATCH($I2798,'Kode Outlet dan Target Toko'!$E:$E,0)),"")</f>
        <v>GRSM 5</v>
      </c>
      <c r="E2798" s="20" t="str">
        <f>IFERROR(VLOOKUP(I2798,KET!$B:$F,4,0),"")</f>
        <v>SUPRIYATI</v>
      </c>
      <c r="F2798" s="20" t="str">
        <f>IFERROR(VLOOKUP(I2798,KET!$B:$F,5,0),"")</f>
        <v>GMM</v>
      </c>
      <c r="G2798" s="20">
        <f>IFERROR(INDEX('Kode Outlet dan Target Toko'!$C:$C,MATCH($I2798,'Kode Outlet dan Target Toko'!$E:$E,0)),0)</f>
        <v>170220</v>
      </c>
      <c r="H2798" s="20">
        <f>IFERROR(INDEX('Kode Outlet dan Target Toko'!$D:$D,MATCH($I2798,'Kode Outlet dan Target Toko'!$E:$E,0)),0)</f>
        <v>9000015</v>
      </c>
      <c r="I2798" s="42" t="s">
        <v>37</v>
      </c>
      <c r="J2798" s="56" t="s">
        <v>288</v>
      </c>
      <c r="K2798" s="40" t="s">
        <v>16</v>
      </c>
      <c r="L2798" s="26">
        <v>2200</v>
      </c>
      <c r="M2798" s="26">
        <v>388</v>
      </c>
      <c r="N2798" s="25">
        <f t="shared" si="87"/>
        <v>853600</v>
      </c>
      <c r="O2798" s="56">
        <v>320</v>
      </c>
    </row>
    <row r="2799" spans="1:15" hidden="1" x14ac:dyDescent="0.3">
      <c r="A2799" s="26">
        <v>31</v>
      </c>
      <c r="B2799" s="20" t="str">
        <f t="shared" si="86"/>
        <v>AUG</v>
      </c>
      <c r="C2799" s="21">
        <v>46236</v>
      </c>
      <c r="D2799" s="22" t="str">
        <f t="array" ref="D2799">IFERROR(INDEX('Kode Outlet dan Target Toko'!$A:$A,MATCH($I2799,'Kode Outlet dan Target Toko'!$E:$E,0)),"")</f>
        <v>GRSM 5</v>
      </c>
      <c r="E2799" s="20" t="str">
        <f>IFERROR(VLOOKUP(I2799,KET!$B:$F,4,0),"")</f>
        <v>SUPRIYATI</v>
      </c>
      <c r="F2799" s="20" t="str">
        <f>IFERROR(VLOOKUP(I2799,KET!$B:$F,5,0),"")</f>
        <v>GMM</v>
      </c>
      <c r="G2799" s="20">
        <f>IFERROR(INDEX('Kode Outlet dan Target Toko'!$C:$C,MATCH($I2799,'Kode Outlet dan Target Toko'!$E:$E,0)),0)</f>
        <v>170220</v>
      </c>
      <c r="H2799" s="20">
        <f>IFERROR(INDEX('Kode Outlet dan Target Toko'!$D:$D,MATCH($I2799,'Kode Outlet dan Target Toko'!$E:$E,0)),0)</f>
        <v>1901019</v>
      </c>
      <c r="I2799" s="42" t="s">
        <v>38</v>
      </c>
      <c r="J2799" s="56" t="s">
        <v>268</v>
      </c>
      <c r="K2799" s="40" t="s">
        <v>15</v>
      </c>
      <c r="L2799" s="26">
        <v>2200</v>
      </c>
      <c r="M2799" s="26">
        <v>110</v>
      </c>
      <c r="N2799" s="25">
        <f t="shared" si="87"/>
        <v>242000</v>
      </c>
      <c r="O2799" s="56"/>
    </row>
    <row r="2800" spans="1:15" hidden="1" x14ac:dyDescent="0.3">
      <c r="A2800" s="26">
        <v>31</v>
      </c>
      <c r="B2800" s="20" t="str">
        <f t="shared" si="86"/>
        <v>AUG</v>
      </c>
      <c r="C2800" s="21">
        <v>46236</v>
      </c>
      <c r="D2800" s="22" t="str">
        <f t="array" ref="D2800">IFERROR(INDEX('Kode Outlet dan Target Toko'!$A:$A,MATCH($I2800,'Kode Outlet dan Target Toko'!$E:$E,0)),"")</f>
        <v>GRSM 5</v>
      </c>
      <c r="E2800" s="20" t="str">
        <f>IFERROR(VLOOKUP(I2800,KET!$B:$F,4,0),"")</f>
        <v>SUPRIYATI</v>
      </c>
      <c r="F2800" s="20" t="str">
        <f>IFERROR(VLOOKUP(I2800,KET!$B:$F,5,0),"")</f>
        <v>GMM</v>
      </c>
      <c r="G2800" s="20">
        <f>IFERROR(INDEX('Kode Outlet dan Target Toko'!$C:$C,MATCH($I2800,'Kode Outlet dan Target Toko'!$E:$E,0)),0)</f>
        <v>170220</v>
      </c>
      <c r="H2800" s="20">
        <f>IFERROR(INDEX('Kode Outlet dan Target Toko'!$D:$D,MATCH($I2800,'Kode Outlet dan Target Toko'!$E:$E,0)),0)</f>
        <v>1901019</v>
      </c>
      <c r="I2800" s="42" t="s">
        <v>38</v>
      </c>
      <c r="J2800" s="56" t="s">
        <v>268</v>
      </c>
      <c r="K2800" s="40" t="s">
        <v>14</v>
      </c>
      <c r="L2800" s="26">
        <v>2200</v>
      </c>
      <c r="M2800" s="26">
        <v>118</v>
      </c>
      <c r="N2800" s="25">
        <f t="shared" si="87"/>
        <v>259600</v>
      </c>
      <c r="O2800" s="56"/>
    </row>
    <row r="2801" spans="1:15" hidden="1" x14ac:dyDescent="0.3">
      <c r="A2801" s="26">
        <v>31</v>
      </c>
      <c r="B2801" s="20" t="str">
        <f t="shared" si="86"/>
        <v>AUG</v>
      </c>
      <c r="C2801" s="21">
        <v>46236</v>
      </c>
      <c r="D2801" s="22" t="str">
        <f t="array" ref="D2801">IFERROR(INDEX('Kode Outlet dan Target Toko'!$A:$A,MATCH($I2801,'Kode Outlet dan Target Toko'!$E:$E,0)),"")</f>
        <v>GRSM 5</v>
      </c>
      <c r="E2801" s="20" t="str">
        <f>IFERROR(VLOOKUP(I2801,KET!$B:$F,4,0),"")</f>
        <v>SUPRIYATI</v>
      </c>
      <c r="F2801" s="20" t="str">
        <f>IFERROR(VLOOKUP(I2801,KET!$B:$F,5,0),"")</f>
        <v>GMM</v>
      </c>
      <c r="G2801" s="20">
        <f>IFERROR(INDEX('Kode Outlet dan Target Toko'!$C:$C,MATCH($I2801,'Kode Outlet dan Target Toko'!$E:$E,0)),0)</f>
        <v>170220</v>
      </c>
      <c r="H2801" s="20">
        <f>IFERROR(INDEX('Kode Outlet dan Target Toko'!$D:$D,MATCH($I2801,'Kode Outlet dan Target Toko'!$E:$E,0)),0)</f>
        <v>1901019</v>
      </c>
      <c r="I2801" s="42" t="s">
        <v>38</v>
      </c>
      <c r="J2801" s="56" t="s">
        <v>268</v>
      </c>
      <c r="K2801" s="40" t="s">
        <v>13</v>
      </c>
      <c r="L2801" s="26">
        <v>2200</v>
      </c>
      <c r="M2801" s="26">
        <v>83</v>
      </c>
      <c r="N2801" s="25">
        <f t="shared" si="87"/>
        <v>182600</v>
      </c>
      <c r="O2801" s="56"/>
    </row>
    <row r="2802" spans="1:15" hidden="1" x14ac:dyDescent="0.3">
      <c r="A2802" s="26">
        <v>31</v>
      </c>
      <c r="B2802" s="20" t="str">
        <f t="shared" si="86"/>
        <v>AUG</v>
      </c>
      <c r="C2802" s="21">
        <v>46236</v>
      </c>
      <c r="D2802" s="22" t="str">
        <f t="array" ref="D2802">IFERROR(INDEX('Kode Outlet dan Target Toko'!$A:$A,MATCH($I2802,'Kode Outlet dan Target Toko'!$E:$E,0)),"")</f>
        <v>GRSM 5</v>
      </c>
      <c r="E2802" s="20" t="str">
        <f>IFERROR(VLOOKUP(I2802,KET!$B:$F,4,0),"")</f>
        <v>SUPRIYATI</v>
      </c>
      <c r="F2802" s="20" t="str">
        <f>IFERROR(VLOOKUP(I2802,KET!$B:$F,5,0),"")</f>
        <v>GMM</v>
      </c>
      <c r="G2802" s="20">
        <f>IFERROR(INDEX('Kode Outlet dan Target Toko'!$C:$C,MATCH($I2802,'Kode Outlet dan Target Toko'!$E:$E,0)),0)</f>
        <v>170220</v>
      </c>
      <c r="H2802" s="20">
        <f>IFERROR(INDEX('Kode Outlet dan Target Toko'!$D:$D,MATCH($I2802,'Kode Outlet dan Target Toko'!$E:$E,0)),0)</f>
        <v>1901019</v>
      </c>
      <c r="I2802" s="42" t="s">
        <v>38</v>
      </c>
      <c r="J2802" s="56" t="s">
        <v>268</v>
      </c>
      <c r="K2802" s="40" t="s">
        <v>16</v>
      </c>
      <c r="L2802" s="26">
        <v>2200</v>
      </c>
      <c r="M2802" s="26">
        <v>321</v>
      </c>
      <c r="N2802" s="25">
        <f t="shared" si="87"/>
        <v>706200</v>
      </c>
      <c r="O2802" s="56">
        <v>211</v>
      </c>
    </row>
    <row r="2803" spans="1:15" hidden="1" x14ac:dyDescent="0.3">
      <c r="A2803" s="26">
        <v>31</v>
      </c>
      <c r="B2803" s="20" t="str">
        <f t="shared" si="86"/>
        <v>AUG</v>
      </c>
      <c r="C2803" s="21">
        <v>46236</v>
      </c>
      <c r="D2803" s="22" t="str">
        <f t="array" ref="D2803">IFERROR(INDEX('Kode Outlet dan Target Toko'!$A:$A,MATCH($I2803,'Kode Outlet dan Target Toko'!$E:$E,0)),"")</f>
        <v>GRSM 5</v>
      </c>
      <c r="E2803" s="20" t="str">
        <f>IFERROR(VLOOKUP(I2803,KET!$B:$F,4,0),"")</f>
        <v>SUPRIYATI</v>
      </c>
      <c r="F2803" s="20" t="str">
        <f>IFERROR(VLOOKUP(I2803,KET!$B:$F,5,0),"")</f>
        <v>GMM</v>
      </c>
      <c r="G2803" s="20">
        <f>IFERROR(INDEX('Kode Outlet dan Target Toko'!$C:$C,MATCH($I2803,'Kode Outlet dan Target Toko'!$E:$E,0)),0)</f>
        <v>170220</v>
      </c>
      <c r="H2803" s="20">
        <f>IFERROR(INDEX('Kode Outlet dan Target Toko'!$D:$D,MATCH($I2803,'Kode Outlet dan Target Toko'!$E:$E,0)),0)</f>
        <v>1901019</v>
      </c>
      <c r="I2803" s="42" t="s">
        <v>38</v>
      </c>
      <c r="J2803" s="56" t="s">
        <v>267</v>
      </c>
      <c r="K2803" s="40" t="s">
        <v>15</v>
      </c>
      <c r="L2803" s="26">
        <v>2200</v>
      </c>
      <c r="M2803" s="26">
        <v>110</v>
      </c>
      <c r="N2803" s="25">
        <f t="shared" si="87"/>
        <v>242000</v>
      </c>
      <c r="O2803" s="56"/>
    </row>
    <row r="2804" spans="1:15" hidden="1" x14ac:dyDescent="0.3">
      <c r="A2804" s="26">
        <v>31</v>
      </c>
      <c r="B2804" s="20" t="str">
        <f t="shared" si="86"/>
        <v>AUG</v>
      </c>
      <c r="C2804" s="21">
        <v>46236</v>
      </c>
      <c r="D2804" s="22" t="str">
        <f t="array" ref="D2804">IFERROR(INDEX('Kode Outlet dan Target Toko'!$A:$A,MATCH($I2804,'Kode Outlet dan Target Toko'!$E:$E,0)),"")</f>
        <v>GRSM 5</v>
      </c>
      <c r="E2804" s="20" t="str">
        <f>IFERROR(VLOOKUP(I2804,KET!$B:$F,4,0),"")</f>
        <v>SUPRIYATI</v>
      </c>
      <c r="F2804" s="20" t="str">
        <f>IFERROR(VLOOKUP(I2804,KET!$B:$F,5,0),"")</f>
        <v>GMM</v>
      </c>
      <c r="G2804" s="20">
        <f>IFERROR(INDEX('Kode Outlet dan Target Toko'!$C:$C,MATCH($I2804,'Kode Outlet dan Target Toko'!$E:$E,0)),0)</f>
        <v>170220</v>
      </c>
      <c r="H2804" s="20">
        <f>IFERROR(INDEX('Kode Outlet dan Target Toko'!$D:$D,MATCH($I2804,'Kode Outlet dan Target Toko'!$E:$E,0)),0)</f>
        <v>1901019</v>
      </c>
      <c r="I2804" s="42" t="s">
        <v>38</v>
      </c>
      <c r="J2804" s="56" t="s">
        <v>267</v>
      </c>
      <c r="K2804" s="40" t="s">
        <v>14</v>
      </c>
      <c r="L2804" s="26">
        <v>2200</v>
      </c>
      <c r="M2804" s="26">
        <v>118</v>
      </c>
      <c r="N2804" s="25">
        <f t="shared" si="87"/>
        <v>259600</v>
      </c>
      <c r="O2804" s="56"/>
    </row>
    <row r="2805" spans="1:15" hidden="1" x14ac:dyDescent="0.3">
      <c r="A2805" s="26">
        <v>31</v>
      </c>
      <c r="B2805" s="20" t="str">
        <f t="shared" si="86"/>
        <v>AUG</v>
      </c>
      <c r="C2805" s="21">
        <v>46236</v>
      </c>
      <c r="D2805" s="22" t="str">
        <f t="array" ref="D2805">IFERROR(INDEX('Kode Outlet dan Target Toko'!$A:$A,MATCH($I2805,'Kode Outlet dan Target Toko'!$E:$E,0)),"")</f>
        <v>GRSM 5</v>
      </c>
      <c r="E2805" s="20" t="str">
        <f>IFERROR(VLOOKUP(I2805,KET!$B:$F,4,0),"")</f>
        <v>SUPRIYATI</v>
      </c>
      <c r="F2805" s="20" t="str">
        <f>IFERROR(VLOOKUP(I2805,KET!$B:$F,5,0),"")</f>
        <v>GMM</v>
      </c>
      <c r="G2805" s="20">
        <f>IFERROR(INDEX('Kode Outlet dan Target Toko'!$C:$C,MATCH($I2805,'Kode Outlet dan Target Toko'!$E:$E,0)),0)</f>
        <v>170220</v>
      </c>
      <c r="H2805" s="20">
        <f>IFERROR(INDEX('Kode Outlet dan Target Toko'!$D:$D,MATCH($I2805,'Kode Outlet dan Target Toko'!$E:$E,0)),0)</f>
        <v>1901019</v>
      </c>
      <c r="I2805" s="42" t="s">
        <v>38</v>
      </c>
      <c r="J2805" s="56" t="s">
        <v>267</v>
      </c>
      <c r="K2805" s="40" t="s">
        <v>13</v>
      </c>
      <c r="L2805" s="26">
        <v>2200</v>
      </c>
      <c r="M2805" s="26">
        <v>83</v>
      </c>
      <c r="N2805" s="25">
        <f t="shared" si="87"/>
        <v>182600</v>
      </c>
      <c r="O2805" s="56"/>
    </row>
    <row r="2806" spans="1:15" hidden="1" x14ac:dyDescent="0.3">
      <c r="A2806" s="26">
        <v>31</v>
      </c>
      <c r="B2806" s="20" t="str">
        <f t="shared" si="86"/>
        <v>AUG</v>
      </c>
      <c r="C2806" s="21">
        <v>46236</v>
      </c>
      <c r="D2806" s="22" t="str">
        <f t="array" ref="D2806">IFERROR(INDEX('Kode Outlet dan Target Toko'!$A:$A,MATCH($I2806,'Kode Outlet dan Target Toko'!$E:$E,0)),"")</f>
        <v>GRSM 5</v>
      </c>
      <c r="E2806" s="20" t="str">
        <f>IFERROR(VLOOKUP(I2806,KET!$B:$F,4,0),"")</f>
        <v>SUPRIYATI</v>
      </c>
      <c r="F2806" s="20" t="str">
        <f>IFERROR(VLOOKUP(I2806,KET!$B:$F,5,0),"")</f>
        <v>GMM</v>
      </c>
      <c r="G2806" s="20">
        <f>IFERROR(INDEX('Kode Outlet dan Target Toko'!$C:$C,MATCH($I2806,'Kode Outlet dan Target Toko'!$E:$E,0)),0)</f>
        <v>170220</v>
      </c>
      <c r="H2806" s="20">
        <f>IFERROR(INDEX('Kode Outlet dan Target Toko'!$D:$D,MATCH($I2806,'Kode Outlet dan Target Toko'!$E:$E,0)),0)</f>
        <v>1901019</v>
      </c>
      <c r="I2806" s="42" t="s">
        <v>38</v>
      </c>
      <c r="J2806" s="56" t="s">
        <v>267</v>
      </c>
      <c r="K2806" s="40" t="s">
        <v>16</v>
      </c>
      <c r="L2806" s="26">
        <v>2200</v>
      </c>
      <c r="M2806" s="26">
        <v>321</v>
      </c>
      <c r="N2806" s="25">
        <f t="shared" si="87"/>
        <v>706200</v>
      </c>
      <c r="O2806" s="56">
        <v>211</v>
      </c>
    </row>
    <row r="2807" spans="1:15" hidden="1" x14ac:dyDescent="0.3">
      <c r="A2807" s="26">
        <v>31</v>
      </c>
      <c r="B2807" s="20" t="str">
        <f t="shared" si="86"/>
        <v>AUG</v>
      </c>
      <c r="C2807" s="21">
        <v>46236</v>
      </c>
      <c r="D2807" s="22" t="str">
        <f t="array" ref="D2807">IFERROR(INDEX('Kode Outlet dan Target Toko'!$A:$A,MATCH($I2807,'Kode Outlet dan Target Toko'!$E:$E,0)),"")</f>
        <v>GRSM 5</v>
      </c>
      <c r="E2807" s="20" t="str">
        <f>IFERROR(VLOOKUP(I2807,KET!$B:$F,4,0),"")</f>
        <v>SUPRIYATI</v>
      </c>
      <c r="F2807" s="20" t="str">
        <f>IFERROR(VLOOKUP(I2807,KET!$B:$F,5,0),"")</f>
        <v>GMM</v>
      </c>
      <c r="G2807" s="20">
        <f>IFERROR(INDEX('Kode Outlet dan Target Toko'!$C:$C,MATCH($I2807,'Kode Outlet dan Target Toko'!$E:$E,0)),0)</f>
        <v>170220</v>
      </c>
      <c r="H2807" s="20">
        <f>IFERROR(INDEX('Kode Outlet dan Target Toko'!$D:$D,MATCH($I2807,'Kode Outlet dan Target Toko'!$E:$E,0)),0)</f>
        <v>1901004</v>
      </c>
      <c r="I2807" s="42" t="s">
        <v>36</v>
      </c>
      <c r="J2807" s="56" t="s">
        <v>263</v>
      </c>
      <c r="K2807" s="40" t="s">
        <v>15</v>
      </c>
      <c r="L2807" s="26">
        <v>2200</v>
      </c>
      <c r="M2807" s="26">
        <v>100</v>
      </c>
      <c r="N2807" s="25">
        <f t="shared" si="87"/>
        <v>220000</v>
      </c>
      <c r="O2807" s="56"/>
    </row>
    <row r="2808" spans="1:15" hidden="1" x14ac:dyDescent="0.3">
      <c r="A2808" s="26">
        <v>31</v>
      </c>
      <c r="B2808" s="20" t="str">
        <f t="shared" si="86"/>
        <v>AUG</v>
      </c>
      <c r="C2808" s="21">
        <v>46236</v>
      </c>
      <c r="D2808" s="22" t="str">
        <f t="array" ref="D2808">IFERROR(INDEX('Kode Outlet dan Target Toko'!$A:$A,MATCH($I2808,'Kode Outlet dan Target Toko'!$E:$E,0)),"")</f>
        <v>GRSM 5</v>
      </c>
      <c r="E2808" s="20" t="str">
        <f>IFERROR(VLOOKUP(I2808,KET!$B:$F,4,0),"")</f>
        <v>SUPRIYATI</v>
      </c>
      <c r="F2808" s="20" t="str">
        <f>IFERROR(VLOOKUP(I2808,KET!$B:$F,5,0),"")</f>
        <v>GMM</v>
      </c>
      <c r="G2808" s="20">
        <f>IFERROR(INDEX('Kode Outlet dan Target Toko'!$C:$C,MATCH($I2808,'Kode Outlet dan Target Toko'!$E:$E,0)),0)</f>
        <v>170220</v>
      </c>
      <c r="H2808" s="20">
        <f>IFERROR(INDEX('Kode Outlet dan Target Toko'!$D:$D,MATCH($I2808,'Kode Outlet dan Target Toko'!$E:$E,0)),0)</f>
        <v>1901004</v>
      </c>
      <c r="I2808" s="42" t="s">
        <v>36</v>
      </c>
      <c r="J2808" s="56" t="s">
        <v>263</v>
      </c>
      <c r="K2808" s="40" t="s">
        <v>14</v>
      </c>
      <c r="L2808" s="26">
        <v>2200</v>
      </c>
      <c r="M2808" s="26">
        <v>320</v>
      </c>
      <c r="N2808" s="25">
        <f t="shared" si="87"/>
        <v>704000</v>
      </c>
      <c r="O2808" s="56"/>
    </row>
    <row r="2809" spans="1:15" hidden="1" x14ac:dyDescent="0.3">
      <c r="A2809" s="26">
        <v>31</v>
      </c>
      <c r="B2809" s="20" t="str">
        <f t="shared" si="86"/>
        <v>AUG</v>
      </c>
      <c r="C2809" s="21">
        <v>46236</v>
      </c>
      <c r="D2809" s="22" t="str">
        <f t="array" ref="D2809">IFERROR(INDEX('Kode Outlet dan Target Toko'!$A:$A,MATCH($I2809,'Kode Outlet dan Target Toko'!$E:$E,0)),"")</f>
        <v>GRSM 5</v>
      </c>
      <c r="E2809" s="20" t="str">
        <f>IFERROR(VLOOKUP(I2809,KET!$B:$F,4,0),"")</f>
        <v>SUPRIYATI</v>
      </c>
      <c r="F2809" s="20" t="str">
        <f>IFERROR(VLOOKUP(I2809,KET!$B:$F,5,0),"")</f>
        <v>GMM</v>
      </c>
      <c r="G2809" s="20">
        <f>IFERROR(INDEX('Kode Outlet dan Target Toko'!$C:$C,MATCH($I2809,'Kode Outlet dan Target Toko'!$E:$E,0)),0)</f>
        <v>170220</v>
      </c>
      <c r="H2809" s="20">
        <f>IFERROR(INDEX('Kode Outlet dan Target Toko'!$D:$D,MATCH($I2809,'Kode Outlet dan Target Toko'!$E:$E,0)),0)</f>
        <v>1901004</v>
      </c>
      <c r="I2809" s="42" t="s">
        <v>36</v>
      </c>
      <c r="J2809" s="56" t="s">
        <v>263</v>
      </c>
      <c r="K2809" s="40" t="s">
        <v>13</v>
      </c>
      <c r="L2809" s="26">
        <v>2200</v>
      </c>
      <c r="M2809" s="26">
        <v>20</v>
      </c>
      <c r="N2809" s="25">
        <f t="shared" si="87"/>
        <v>44000</v>
      </c>
      <c r="O2809" s="56"/>
    </row>
    <row r="2810" spans="1:15" hidden="1" x14ac:dyDescent="0.3">
      <c r="A2810" s="26">
        <v>31</v>
      </c>
      <c r="B2810" s="20" t="str">
        <f t="shared" si="86"/>
        <v>AUG</v>
      </c>
      <c r="C2810" s="21">
        <v>46236</v>
      </c>
      <c r="D2810" s="22" t="str">
        <f t="array" ref="D2810">IFERROR(INDEX('Kode Outlet dan Target Toko'!$A:$A,MATCH($I2810,'Kode Outlet dan Target Toko'!$E:$E,0)),"")</f>
        <v>GRSM 5</v>
      </c>
      <c r="E2810" s="20" t="str">
        <f>IFERROR(VLOOKUP(I2810,KET!$B:$F,4,0),"")</f>
        <v>SUPRIYATI</v>
      </c>
      <c r="F2810" s="20" t="str">
        <f>IFERROR(VLOOKUP(I2810,KET!$B:$F,5,0),"")</f>
        <v>GMM</v>
      </c>
      <c r="G2810" s="20">
        <f>IFERROR(INDEX('Kode Outlet dan Target Toko'!$C:$C,MATCH($I2810,'Kode Outlet dan Target Toko'!$E:$E,0)),0)</f>
        <v>170220</v>
      </c>
      <c r="H2810" s="20">
        <f>IFERROR(INDEX('Kode Outlet dan Target Toko'!$D:$D,MATCH($I2810,'Kode Outlet dan Target Toko'!$E:$E,0)),0)</f>
        <v>1901004</v>
      </c>
      <c r="I2810" s="42" t="s">
        <v>36</v>
      </c>
      <c r="J2810" s="56" t="s">
        <v>263</v>
      </c>
      <c r="K2810" s="40" t="s">
        <v>16</v>
      </c>
      <c r="L2810" s="26">
        <v>2200</v>
      </c>
      <c r="M2810" s="26">
        <v>400</v>
      </c>
      <c r="N2810" s="25">
        <f t="shared" si="87"/>
        <v>880000</v>
      </c>
      <c r="O2810" s="56">
        <v>320</v>
      </c>
    </row>
    <row r="2811" spans="1:15" hidden="1" x14ac:dyDescent="0.3">
      <c r="A2811" s="26">
        <v>31</v>
      </c>
      <c r="B2811" s="20" t="str">
        <f t="shared" si="86"/>
        <v>AUG</v>
      </c>
      <c r="C2811" s="21">
        <v>46236</v>
      </c>
      <c r="D2811" s="22" t="str">
        <f t="array" ref="D2811">IFERROR(INDEX('Kode Outlet dan Target Toko'!$A:$A,MATCH($I2811,'Kode Outlet dan Target Toko'!$E:$E,0)),"")</f>
        <v>GRSM 5</v>
      </c>
      <c r="E2811" s="20" t="str">
        <f>IFERROR(VLOOKUP(I2811,KET!$B:$F,4,0),"")</f>
        <v>SUPRIYATI</v>
      </c>
      <c r="F2811" s="20" t="str">
        <f>IFERROR(VLOOKUP(I2811,KET!$B:$F,5,0),"")</f>
        <v>GMM</v>
      </c>
      <c r="G2811" s="20">
        <f>IFERROR(INDEX('Kode Outlet dan Target Toko'!$C:$C,MATCH($I2811,'Kode Outlet dan Target Toko'!$E:$E,0)),0)</f>
        <v>170220</v>
      </c>
      <c r="H2811" s="20">
        <f>IFERROR(INDEX('Kode Outlet dan Target Toko'!$D:$D,MATCH($I2811,'Kode Outlet dan Target Toko'!$E:$E,0)),0)</f>
        <v>1901004</v>
      </c>
      <c r="I2811" s="42" t="s">
        <v>36</v>
      </c>
      <c r="J2811" s="56" t="s">
        <v>264</v>
      </c>
      <c r="K2811" s="40" t="s">
        <v>15</v>
      </c>
      <c r="L2811" s="26">
        <v>2200</v>
      </c>
      <c r="M2811" s="26">
        <v>100</v>
      </c>
      <c r="N2811" s="25">
        <f t="shared" si="87"/>
        <v>220000</v>
      </c>
      <c r="O2811" s="56"/>
    </row>
    <row r="2812" spans="1:15" hidden="1" x14ac:dyDescent="0.3">
      <c r="A2812" s="26">
        <v>31</v>
      </c>
      <c r="B2812" s="20" t="str">
        <f t="shared" si="86"/>
        <v>AUG</v>
      </c>
      <c r="C2812" s="21">
        <v>46236</v>
      </c>
      <c r="D2812" s="22" t="str">
        <f t="array" ref="D2812">IFERROR(INDEX('Kode Outlet dan Target Toko'!$A:$A,MATCH($I2812,'Kode Outlet dan Target Toko'!$E:$E,0)),"")</f>
        <v>GRSM 5</v>
      </c>
      <c r="E2812" s="20" t="str">
        <f>IFERROR(VLOOKUP(I2812,KET!$B:$F,4,0),"")</f>
        <v>SUPRIYATI</v>
      </c>
      <c r="F2812" s="20" t="str">
        <f>IFERROR(VLOOKUP(I2812,KET!$B:$F,5,0),"")</f>
        <v>GMM</v>
      </c>
      <c r="G2812" s="20">
        <f>IFERROR(INDEX('Kode Outlet dan Target Toko'!$C:$C,MATCH($I2812,'Kode Outlet dan Target Toko'!$E:$E,0)),0)</f>
        <v>170220</v>
      </c>
      <c r="H2812" s="20">
        <f>IFERROR(INDEX('Kode Outlet dan Target Toko'!$D:$D,MATCH($I2812,'Kode Outlet dan Target Toko'!$E:$E,0)),0)</f>
        <v>1901004</v>
      </c>
      <c r="I2812" s="42" t="s">
        <v>36</v>
      </c>
      <c r="J2812" s="56" t="s">
        <v>264</v>
      </c>
      <c r="K2812" s="40" t="s">
        <v>14</v>
      </c>
      <c r="L2812" s="26">
        <v>2200</v>
      </c>
      <c r="M2812" s="26">
        <v>320</v>
      </c>
      <c r="N2812" s="25">
        <f t="shared" si="87"/>
        <v>704000</v>
      </c>
      <c r="O2812" s="56"/>
    </row>
    <row r="2813" spans="1:15" hidden="1" x14ac:dyDescent="0.3">
      <c r="A2813" s="26">
        <v>31</v>
      </c>
      <c r="B2813" s="20" t="str">
        <f t="shared" si="86"/>
        <v>AUG</v>
      </c>
      <c r="C2813" s="21">
        <v>46236</v>
      </c>
      <c r="D2813" s="22" t="str">
        <f t="array" ref="D2813">IFERROR(INDEX('Kode Outlet dan Target Toko'!$A:$A,MATCH($I2813,'Kode Outlet dan Target Toko'!$E:$E,0)),"")</f>
        <v>GRSM 5</v>
      </c>
      <c r="E2813" s="20" t="str">
        <f>IFERROR(VLOOKUP(I2813,KET!$B:$F,4,0),"")</f>
        <v>SUPRIYATI</v>
      </c>
      <c r="F2813" s="20" t="str">
        <f>IFERROR(VLOOKUP(I2813,KET!$B:$F,5,0),"")</f>
        <v>GMM</v>
      </c>
      <c r="G2813" s="20">
        <f>IFERROR(INDEX('Kode Outlet dan Target Toko'!$C:$C,MATCH($I2813,'Kode Outlet dan Target Toko'!$E:$E,0)),0)</f>
        <v>170220</v>
      </c>
      <c r="H2813" s="20">
        <f>IFERROR(INDEX('Kode Outlet dan Target Toko'!$D:$D,MATCH($I2813,'Kode Outlet dan Target Toko'!$E:$E,0)),0)</f>
        <v>1901004</v>
      </c>
      <c r="I2813" s="42" t="s">
        <v>36</v>
      </c>
      <c r="J2813" s="56" t="s">
        <v>264</v>
      </c>
      <c r="K2813" s="40" t="s">
        <v>13</v>
      </c>
      <c r="L2813" s="26">
        <v>2200</v>
      </c>
      <c r="M2813" s="26">
        <v>20</v>
      </c>
      <c r="N2813" s="25">
        <f t="shared" si="87"/>
        <v>44000</v>
      </c>
      <c r="O2813" s="56"/>
    </row>
    <row r="2814" spans="1:15" hidden="1" x14ac:dyDescent="0.3">
      <c r="A2814" s="26">
        <v>31</v>
      </c>
      <c r="B2814" s="20" t="str">
        <f t="shared" si="86"/>
        <v>AUG</v>
      </c>
      <c r="C2814" s="21">
        <v>46236</v>
      </c>
      <c r="D2814" s="22" t="str">
        <f t="array" ref="D2814">IFERROR(INDEX('Kode Outlet dan Target Toko'!$A:$A,MATCH($I2814,'Kode Outlet dan Target Toko'!$E:$E,0)),"")</f>
        <v>GRSM 5</v>
      </c>
      <c r="E2814" s="20" t="str">
        <f>IFERROR(VLOOKUP(I2814,KET!$B:$F,4,0),"")</f>
        <v>SUPRIYATI</v>
      </c>
      <c r="F2814" s="20" t="str">
        <f>IFERROR(VLOOKUP(I2814,KET!$B:$F,5,0),"")</f>
        <v>GMM</v>
      </c>
      <c r="G2814" s="20">
        <f>IFERROR(INDEX('Kode Outlet dan Target Toko'!$C:$C,MATCH($I2814,'Kode Outlet dan Target Toko'!$E:$E,0)),0)</f>
        <v>170220</v>
      </c>
      <c r="H2814" s="20">
        <f>IFERROR(INDEX('Kode Outlet dan Target Toko'!$D:$D,MATCH($I2814,'Kode Outlet dan Target Toko'!$E:$E,0)),0)</f>
        <v>1901004</v>
      </c>
      <c r="I2814" s="42" t="s">
        <v>36</v>
      </c>
      <c r="J2814" s="56" t="s">
        <v>264</v>
      </c>
      <c r="K2814" s="40" t="s">
        <v>16</v>
      </c>
      <c r="L2814" s="26">
        <v>2200</v>
      </c>
      <c r="M2814" s="26">
        <v>400</v>
      </c>
      <c r="N2814" s="25">
        <f t="shared" si="87"/>
        <v>880000</v>
      </c>
      <c r="O2814" s="56">
        <v>320</v>
      </c>
    </row>
    <row r="2815" spans="1:15" hidden="1" x14ac:dyDescent="0.3">
      <c r="A2815" s="26">
        <v>32</v>
      </c>
      <c r="B2815" s="20" t="str">
        <f t="shared" si="86"/>
        <v>AUG</v>
      </c>
      <c r="C2815" s="21">
        <v>46241</v>
      </c>
      <c r="D2815" s="22" t="s">
        <v>100</v>
      </c>
      <c r="E2815" s="20" t="str">
        <f>IFERROR(VLOOKUP(I2815,KET!$B:$F,4,0),"")</f>
        <v>FAHMI LUKMANUL HAKIM</v>
      </c>
      <c r="F2815" s="20" t="s">
        <v>42</v>
      </c>
      <c r="G2815" s="20">
        <f>IFERROR(INDEX('Kode Outlet dan Target Toko'!$C:$C,MATCH($I2815,'Kode Outlet dan Target Toko'!$E:$E,0)),0)</f>
        <v>211019</v>
      </c>
      <c r="H2815" s="20">
        <f>IFERROR(INDEX('Kode Outlet dan Target Toko'!$D:$D,MATCH($I2815,'Kode Outlet dan Target Toko'!$E:$E,0)),0)</f>
        <v>1556924</v>
      </c>
      <c r="I2815" s="42" t="s">
        <v>102</v>
      </c>
      <c r="J2815" s="56" t="s">
        <v>194</v>
      </c>
      <c r="K2815" s="40" t="s">
        <v>15</v>
      </c>
      <c r="L2815" s="26">
        <v>2200</v>
      </c>
      <c r="M2815" s="26">
        <v>52</v>
      </c>
      <c r="N2815" s="25">
        <f t="shared" si="87"/>
        <v>114400</v>
      </c>
      <c r="O2815" s="56"/>
    </row>
    <row r="2816" spans="1:15" hidden="1" x14ac:dyDescent="0.3">
      <c r="A2816" s="26">
        <v>32</v>
      </c>
      <c r="B2816" s="20" t="str">
        <f t="shared" si="86"/>
        <v>AUG</v>
      </c>
      <c r="C2816" s="21">
        <v>46241</v>
      </c>
      <c r="D2816" s="22" t="s">
        <v>100</v>
      </c>
      <c r="E2816" s="20" t="str">
        <f>IFERROR(VLOOKUP(I2816,KET!$B:$F,4,0),"")</f>
        <v>FAHMI LUKMANUL HAKIM</v>
      </c>
      <c r="F2816" s="20" t="s">
        <v>42</v>
      </c>
      <c r="G2816" s="20">
        <f>IFERROR(INDEX('Kode Outlet dan Target Toko'!$C:$C,MATCH($I2816,'Kode Outlet dan Target Toko'!$E:$E,0)),0)</f>
        <v>211019</v>
      </c>
      <c r="H2816" s="20">
        <f>IFERROR(INDEX('Kode Outlet dan Target Toko'!$D:$D,MATCH($I2816,'Kode Outlet dan Target Toko'!$E:$E,0)),0)</f>
        <v>1556924</v>
      </c>
      <c r="I2816" s="42" t="s">
        <v>102</v>
      </c>
      <c r="J2816" s="56" t="s">
        <v>194</v>
      </c>
      <c r="K2816" s="40" t="s">
        <v>14</v>
      </c>
      <c r="L2816" s="26">
        <v>2200</v>
      </c>
      <c r="M2816" s="26">
        <v>40</v>
      </c>
      <c r="N2816" s="25">
        <f t="shared" si="87"/>
        <v>88000</v>
      </c>
      <c r="O2816" s="56"/>
    </row>
    <row r="2817" spans="1:15" hidden="1" x14ac:dyDescent="0.3">
      <c r="A2817" s="26">
        <v>32</v>
      </c>
      <c r="B2817" s="20" t="str">
        <f t="shared" si="86"/>
        <v>AUG</v>
      </c>
      <c r="C2817" s="21">
        <v>46241</v>
      </c>
      <c r="D2817" s="22" t="s">
        <v>100</v>
      </c>
      <c r="E2817" s="20" t="str">
        <f>IFERROR(VLOOKUP(I2817,KET!$B:$F,4,0),"")</f>
        <v>FAHMI LUKMANUL HAKIM</v>
      </c>
      <c r="F2817" s="20" t="s">
        <v>42</v>
      </c>
      <c r="G2817" s="20">
        <f>IFERROR(INDEX('Kode Outlet dan Target Toko'!$C:$C,MATCH($I2817,'Kode Outlet dan Target Toko'!$E:$E,0)),0)</f>
        <v>211019</v>
      </c>
      <c r="H2817" s="20">
        <f>IFERROR(INDEX('Kode Outlet dan Target Toko'!$D:$D,MATCH($I2817,'Kode Outlet dan Target Toko'!$E:$E,0)),0)</f>
        <v>1556924</v>
      </c>
      <c r="I2817" s="42" t="s">
        <v>102</v>
      </c>
      <c r="J2817" s="56" t="s">
        <v>194</v>
      </c>
      <c r="K2817" s="40" t="s">
        <v>13</v>
      </c>
      <c r="L2817" s="26">
        <v>2200</v>
      </c>
      <c r="M2817" s="26">
        <v>9</v>
      </c>
      <c r="N2817" s="25">
        <f t="shared" si="87"/>
        <v>19800</v>
      </c>
      <c r="O2817" s="56"/>
    </row>
    <row r="2818" spans="1:15" hidden="1" x14ac:dyDescent="0.3">
      <c r="A2818" s="26">
        <v>32</v>
      </c>
      <c r="B2818" s="20" t="str">
        <f t="shared" si="86"/>
        <v>AUG</v>
      </c>
      <c r="C2818" s="21">
        <v>46241</v>
      </c>
      <c r="D2818" s="22" t="s">
        <v>100</v>
      </c>
      <c r="E2818" s="20" t="str">
        <f>IFERROR(VLOOKUP(I2818,KET!$B:$F,4,0),"")</f>
        <v>FAHMI LUKMANUL HAKIM</v>
      </c>
      <c r="F2818" s="20" t="s">
        <v>42</v>
      </c>
      <c r="G2818" s="20">
        <f>IFERROR(INDEX('Kode Outlet dan Target Toko'!$C:$C,MATCH($I2818,'Kode Outlet dan Target Toko'!$E:$E,0)),0)</f>
        <v>211019</v>
      </c>
      <c r="H2818" s="20">
        <f>IFERROR(INDEX('Kode Outlet dan Target Toko'!$D:$D,MATCH($I2818,'Kode Outlet dan Target Toko'!$E:$E,0)),0)</f>
        <v>1556924</v>
      </c>
      <c r="I2818" s="42" t="s">
        <v>102</v>
      </c>
      <c r="J2818" s="56" t="s">
        <v>194</v>
      </c>
      <c r="K2818" s="40" t="s">
        <v>16</v>
      </c>
      <c r="L2818" s="26">
        <v>2200</v>
      </c>
      <c r="M2818" s="26">
        <v>186</v>
      </c>
      <c r="N2818" s="25">
        <f t="shared" si="87"/>
        <v>409200</v>
      </c>
      <c r="O2818" s="56">
        <v>120</v>
      </c>
    </row>
    <row r="2819" spans="1:15" hidden="1" x14ac:dyDescent="0.3">
      <c r="A2819" s="26">
        <v>32</v>
      </c>
      <c r="B2819" s="20" t="str">
        <f t="shared" si="86"/>
        <v>AUG</v>
      </c>
      <c r="C2819" s="21">
        <v>46241</v>
      </c>
      <c r="D2819" s="22" t="s">
        <v>100</v>
      </c>
      <c r="E2819" s="20" t="str">
        <f>IFERROR(VLOOKUP(I2819,KET!$B:$F,4,0),"")</f>
        <v>FAHMI LUKMANUL HAKIM</v>
      </c>
      <c r="F2819" s="20" t="s">
        <v>42</v>
      </c>
      <c r="G2819" s="20">
        <f>IFERROR(INDEX('Kode Outlet dan Target Toko'!$C:$C,MATCH($I2819,'Kode Outlet dan Target Toko'!$E:$E,0)),0)</f>
        <v>211019</v>
      </c>
      <c r="H2819" s="20">
        <f>IFERROR(INDEX('Kode Outlet dan Target Toko'!$D:$D,MATCH($I2819,'Kode Outlet dan Target Toko'!$E:$E,0)),0)</f>
        <v>1556924</v>
      </c>
      <c r="I2819" s="42" t="s">
        <v>102</v>
      </c>
      <c r="J2819" s="56" t="s">
        <v>195</v>
      </c>
      <c r="K2819" s="40" t="s">
        <v>15</v>
      </c>
      <c r="L2819" s="26">
        <v>2200</v>
      </c>
      <c r="M2819" s="26">
        <v>52</v>
      </c>
      <c r="N2819" s="25">
        <f t="shared" si="87"/>
        <v>114400</v>
      </c>
      <c r="O2819" s="56"/>
    </row>
    <row r="2820" spans="1:15" hidden="1" x14ac:dyDescent="0.3">
      <c r="A2820" s="26">
        <v>32</v>
      </c>
      <c r="B2820" s="20" t="str">
        <f t="shared" si="86"/>
        <v>AUG</v>
      </c>
      <c r="C2820" s="21">
        <v>46241</v>
      </c>
      <c r="D2820" s="22" t="s">
        <v>100</v>
      </c>
      <c r="E2820" s="20" t="str">
        <f>IFERROR(VLOOKUP(I2820,KET!$B:$F,4,0),"")</f>
        <v>FAHMI LUKMANUL HAKIM</v>
      </c>
      <c r="F2820" s="20" t="s">
        <v>42</v>
      </c>
      <c r="G2820" s="20">
        <f>IFERROR(INDEX('Kode Outlet dan Target Toko'!$C:$C,MATCH($I2820,'Kode Outlet dan Target Toko'!$E:$E,0)),0)</f>
        <v>211019</v>
      </c>
      <c r="H2820" s="20">
        <f>IFERROR(INDEX('Kode Outlet dan Target Toko'!$D:$D,MATCH($I2820,'Kode Outlet dan Target Toko'!$E:$E,0)),0)</f>
        <v>1556924</v>
      </c>
      <c r="I2820" s="42" t="s">
        <v>102</v>
      </c>
      <c r="J2820" s="56" t="s">
        <v>195</v>
      </c>
      <c r="K2820" s="40" t="s">
        <v>14</v>
      </c>
      <c r="L2820" s="26">
        <v>2200</v>
      </c>
      <c r="M2820" s="26">
        <v>40</v>
      </c>
      <c r="N2820" s="25">
        <f t="shared" si="87"/>
        <v>88000</v>
      </c>
      <c r="O2820" s="56"/>
    </row>
    <row r="2821" spans="1:15" hidden="1" x14ac:dyDescent="0.3">
      <c r="A2821" s="26">
        <v>32</v>
      </c>
      <c r="B2821" s="20" t="str">
        <f t="shared" si="86"/>
        <v>AUG</v>
      </c>
      <c r="C2821" s="21">
        <v>46241</v>
      </c>
      <c r="D2821" s="22" t="s">
        <v>100</v>
      </c>
      <c r="E2821" s="20" t="str">
        <f>IFERROR(VLOOKUP(I2821,KET!$B:$F,4,0),"")</f>
        <v>FAHMI LUKMANUL HAKIM</v>
      </c>
      <c r="F2821" s="20" t="s">
        <v>42</v>
      </c>
      <c r="G2821" s="20">
        <f>IFERROR(INDEX('Kode Outlet dan Target Toko'!$C:$C,MATCH($I2821,'Kode Outlet dan Target Toko'!$E:$E,0)),0)</f>
        <v>211019</v>
      </c>
      <c r="H2821" s="20">
        <f>IFERROR(INDEX('Kode Outlet dan Target Toko'!$D:$D,MATCH($I2821,'Kode Outlet dan Target Toko'!$E:$E,0)),0)</f>
        <v>1556924</v>
      </c>
      <c r="I2821" s="42" t="s">
        <v>102</v>
      </c>
      <c r="J2821" s="56" t="s">
        <v>195</v>
      </c>
      <c r="K2821" s="40" t="s">
        <v>13</v>
      </c>
      <c r="L2821" s="26">
        <v>2200</v>
      </c>
      <c r="M2821" s="26">
        <v>9</v>
      </c>
      <c r="N2821" s="25">
        <f t="shared" si="87"/>
        <v>19800</v>
      </c>
      <c r="O2821" s="56"/>
    </row>
    <row r="2822" spans="1:15" hidden="1" x14ac:dyDescent="0.3">
      <c r="A2822" s="26">
        <v>32</v>
      </c>
      <c r="B2822" s="20" t="str">
        <f t="shared" si="86"/>
        <v>AUG</v>
      </c>
      <c r="C2822" s="21">
        <v>46241</v>
      </c>
      <c r="D2822" s="22" t="s">
        <v>100</v>
      </c>
      <c r="E2822" s="20" t="str">
        <f>IFERROR(VLOOKUP(I2822,KET!$B:$F,4,0),"")</f>
        <v>FAHMI LUKMANUL HAKIM</v>
      </c>
      <c r="F2822" s="20" t="s">
        <v>42</v>
      </c>
      <c r="G2822" s="20">
        <f>IFERROR(INDEX('Kode Outlet dan Target Toko'!$C:$C,MATCH($I2822,'Kode Outlet dan Target Toko'!$E:$E,0)),0)</f>
        <v>211019</v>
      </c>
      <c r="H2822" s="20">
        <f>IFERROR(INDEX('Kode Outlet dan Target Toko'!$D:$D,MATCH($I2822,'Kode Outlet dan Target Toko'!$E:$E,0)),0)</f>
        <v>1556924</v>
      </c>
      <c r="I2822" s="42" t="s">
        <v>102</v>
      </c>
      <c r="J2822" s="56" t="s">
        <v>195</v>
      </c>
      <c r="K2822" s="40" t="s">
        <v>16</v>
      </c>
      <c r="L2822" s="26">
        <v>2200</v>
      </c>
      <c r="M2822" s="26">
        <v>186</v>
      </c>
      <c r="N2822" s="25">
        <f t="shared" si="87"/>
        <v>409200</v>
      </c>
      <c r="O2822" s="56">
        <v>120</v>
      </c>
    </row>
    <row r="2823" spans="1:15" hidden="1" x14ac:dyDescent="0.3">
      <c r="A2823" s="26">
        <v>32</v>
      </c>
      <c r="B2823" s="20" t="str">
        <f t="shared" ref="B2823:B2886" si="88">IF(C2823="","",UPPER(TEXT(C2823, "MMM")))</f>
        <v>AUG</v>
      </c>
      <c r="C2823" s="21">
        <v>46241</v>
      </c>
      <c r="D2823" s="22" t="s">
        <v>39</v>
      </c>
      <c r="E2823" s="20" t="str">
        <f>IFERROR(VLOOKUP(I2823,KET!$B:$F,4,0),"")</f>
        <v>FAHMI LUKMANUL HAKIM</v>
      </c>
      <c r="F2823" s="20" t="s">
        <v>42</v>
      </c>
      <c r="G2823" s="20">
        <f>IFERROR(INDEX('Kode Outlet dan Target Toko'!$C:$C,MATCH($I2823,'Kode Outlet dan Target Toko'!$E:$E,0)),0)</f>
        <v>103712</v>
      </c>
      <c r="H2823" s="20">
        <f>IFERROR(INDEX('Kode Outlet dan Target Toko'!$D:$D,MATCH($I2823,'Kode Outlet dan Target Toko'!$E:$E,0)),0)</f>
        <v>4404677</v>
      </c>
      <c r="I2823" s="42" t="s">
        <v>99</v>
      </c>
      <c r="J2823" s="56" t="s">
        <v>178</v>
      </c>
      <c r="K2823" s="40" t="s">
        <v>15</v>
      </c>
      <c r="L2823" s="26">
        <v>3000</v>
      </c>
      <c r="M2823" s="26">
        <v>30</v>
      </c>
      <c r="N2823" s="25">
        <f t="shared" ref="N2823:N2886" si="89">IFERROR(M2823*L2823,"")</f>
        <v>90000</v>
      </c>
      <c r="O2823" s="56"/>
    </row>
    <row r="2824" spans="1:15" hidden="1" x14ac:dyDescent="0.3">
      <c r="A2824" s="26">
        <v>32</v>
      </c>
      <c r="B2824" s="20" t="str">
        <f t="shared" si="88"/>
        <v>AUG</v>
      </c>
      <c r="C2824" s="21">
        <v>46241</v>
      </c>
      <c r="D2824" s="22" t="s">
        <v>39</v>
      </c>
      <c r="E2824" s="20" t="str">
        <f>IFERROR(VLOOKUP(I2824,KET!$B:$F,4,0),"")</f>
        <v>FAHMI LUKMANUL HAKIM</v>
      </c>
      <c r="F2824" s="20" t="s">
        <v>42</v>
      </c>
      <c r="G2824" s="20">
        <f>IFERROR(INDEX('Kode Outlet dan Target Toko'!$C:$C,MATCH($I2824,'Kode Outlet dan Target Toko'!$E:$E,0)),0)</f>
        <v>103712</v>
      </c>
      <c r="H2824" s="20">
        <f>IFERROR(INDEX('Kode Outlet dan Target Toko'!$D:$D,MATCH($I2824,'Kode Outlet dan Target Toko'!$E:$E,0)),0)</f>
        <v>4404677</v>
      </c>
      <c r="I2824" s="42" t="s">
        <v>99</v>
      </c>
      <c r="J2824" s="56" t="s">
        <v>178</v>
      </c>
      <c r="K2824" s="40" t="s">
        <v>14</v>
      </c>
      <c r="L2824" s="26">
        <v>3000</v>
      </c>
      <c r="M2824" s="26">
        <v>49</v>
      </c>
      <c r="N2824" s="25">
        <f t="shared" si="89"/>
        <v>147000</v>
      </c>
      <c r="O2824" s="56"/>
    </row>
    <row r="2825" spans="1:15" hidden="1" x14ac:dyDescent="0.3">
      <c r="A2825" s="26">
        <v>32</v>
      </c>
      <c r="B2825" s="20" t="str">
        <f t="shared" si="88"/>
        <v>AUG</v>
      </c>
      <c r="C2825" s="21">
        <v>46241</v>
      </c>
      <c r="D2825" s="22" t="s">
        <v>39</v>
      </c>
      <c r="E2825" s="20" t="str">
        <f>IFERROR(VLOOKUP(I2825,KET!$B:$F,4,0),"")</f>
        <v>FAHMI LUKMANUL HAKIM</v>
      </c>
      <c r="F2825" s="20" t="s">
        <v>42</v>
      </c>
      <c r="G2825" s="20">
        <f>IFERROR(INDEX('Kode Outlet dan Target Toko'!$C:$C,MATCH($I2825,'Kode Outlet dan Target Toko'!$E:$E,0)),0)</f>
        <v>103712</v>
      </c>
      <c r="H2825" s="20">
        <f>IFERROR(INDEX('Kode Outlet dan Target Toko'!$D:$D,MATCH($I2825,'Kode Outlet dan Target Toko'!$E:$E,0)),0)</f>
        <v>4404677</v>
      </c>
      <c r="I2825" s="42" t="s">
        <v>99</v>
      </c>
      <c r="J2825" s="56" t="s">
        <v>178</v>
      </c>
      <c r="K2825" s="40" t="s">
        <v>13</v>
      </c>
      <c r="L2825" s="26">
        <v>3000</v>
      </c>
      <c r="M2825" s="26">
        <v>29</v>
      </c>
      <c r="N2825" s="25">
        <f t="shared" si="89"/>
        <v>87000</v>
      </c>
      <c r="O2825" s="56"/>
    </row>
    <row r="2826" spans="1:15" hidden="1" x14ac:dyDescent="0.3">
      <c r="A2826" s="26">
        <v>32</v>
      </c>
      <c r="B2826" s="20" t="str">
        <f t="shared" si="88"/>
        <v>AUG</v>
      </c>
      <c r="C2826" s="21">
        <v>46241</v>
      </c>
      <c r="D2826" s="22" t="s">
        <v>39</v>
      </c>
      <c r="E2826" s="20" t="str">
        <f>IFERROR(VLOOKUP(I2826,KET!$B:$F,4,0),"")</f>
        <v>FAHMI LUKMANUL HAKIM</v>
      </c>
      <c r="F2826" s="20" t="s">
        <v>42</v>
      </c>
      <c r="G2826" s="20">
        <f>IFERROR(INDEX('Kode Outlet dan Target Toko'!$C:$C,MATCH($I2826,'Kode Outlet dan Target Toko'!$E:$E,0)),0)</f>
        <v>103712</v>
      </c>
      <c r="H2826" s="20">
        <f>IFERROR(INDEX('Kode Outlet dan Target Toko'!$D:$D,MATCH($I2826,'Kode Outlet dan Target Toko'!$E:$E,0)),0)</f>
        <v>4404677</v>
      </c>
      <c r="I2826" s="42" t="s">
        <v>99</v>
      </c>
      <c r="J2826" s="56" t="s">
        <v>178</v>
      </c>
      <c r="K2826" s="40" t="s">
        <v>16</v>
      </c>
      <c r="L2826" s="26">
        <v>3000</v>
      </c>
      <c r="M2826" s="26">
        <v>119</v>
      </c>
      <c r="N2826" s="25">
        <f t="shared" si="89"/>
        <v>357000</v>
      </c>
      <c r="O2826" s="56">
        <v>160</v>
      </c>
    </row>
    <row r="2827" spans="1:15" hidden="1" x14ac:dyDescent="0.3">
      <c r="A2827" s="26">
        <v>32</v>
      </c>
      <c r="B2827" s="20" t="str">
        <f t="shared" si="88"/>
        <v>AUG</v>
      </c>
      <c r="C2827" s="21">
        <v>46241</v>
      </c>
      <c r="D2827" s="22" t="s">
        <v>39</v>
      </c>
      <c r="E2827" s="20" t="str">
        <f>IFERROR(VLOOKUP(I2827,KET!$B:$F,4,0),"")</f>
        <v>FAHMI LUKMANUL HAKIM</v>
      </c>
      <c r="F2827" s="20" t="s">
        <v>42</v>
      </c>
      <c r="G2827" s="20">
        <f>IFERROR(INDEX('Kode Outlet dan Target Toko'!$C:$C,MATCH($I2827,'Kode Outlet dan Target Toko'!$E:$E,0)),0)</f>
        <v>103712</v>
      </c>
      <c r="H2827" s="20">
        <f>IFERROR(INDEX('Kode Outlet dan Target Toko'!$D:$D,MATCH($I2827,'Kode Outlet dan Target Toko'!$E:$E,0)),0)</f>
        <v>4404677</v>
      </c>
      <c r="I2827" s="42" t="s">
        <v>99</v>
      </c>
      <c r="J2827" s="56" t="s">
        <v>179</v>
      </c>
      <c r="K2827" s="40" t="s">
        <v>15</v>
      </c>
      <c r="L2827" s="26">
        <v>3000</v>
      </c>
      <c r="M2827" s="26">
        <v>30</v>
      </c>
      <c r="N2827" s="25">
        <f t="shared" si="89"/>
        <v>90000</v>
      </c>
      <c r="O2827" s="56"/>
    </row>
    <row r="2828" spans="1:15" hidden="1" x14ac:dyDescent="0.3">
      <c r="A2828" s="26">
        <v>32</v>
      </c>
      <c r="B2828" s="20" t="str">
        <f t="shared" si="88"/>
        <v>AUG</v>
      </c>
      <c r="C2828" s="21">
        <v>46241</v>
      </c>
      <c r="D2828" s="22" t="s">
        <v>39</v>
      </c>
      <c r="E2828" s="20" t="str">
        <f>IFERROR(VLOOKUP(I2828,KET!$B:$F,4,0),"")</f>
        <v>FAHMI LUKMANUL HAKIM</v>
      </c>
      <c r="F2828" s="20" t="s">
        <v>42</v>
      </c>
      <c r="G2828" s="20">
        <f>IFERROR(INDEX('Kode Outlet dan Target Toko'!$C:$C,MATCH($I2828,'Kode Outlet dan Target Toko'!$E:$E,0)),0)</f>
        <v>103712</v>
      </c>
      <c r="H2828" s="20">
        <f>IFERROR(INDEX('Kode Outlet dan Target Toko'!$D:$D,MATCH($I2828,'Kode Outlet dan Target Toko'!$E:$E,0)),0)</f>
        <v>4404677</v>
      </c>
      <c r="I2828" s="42" t="s">
        <v>99</v>
      </c>
      <c r="J2828" s="56" t="s">
        <v>179</v>
      </c>
      <c r="K2828" s="40" t="s">
        <v>14</v>
      </c>
      <c r="L2828" s="26">
        <v>3000</v>
      </c>
      <c r="M2828" s="26">
        <v>49</v>
      </c>
      <c r="N2828" s="25">
        <f t="shared" si="89"/>
        <v>147000</v>
      </c>
      <c r="O2828" s="56"/>
    </row>
    <row r="2829" spans="1:15" hidden="1" x14ac:dyDescent="0.3">
      <c r="A2829" s="26">
        <v>32</v>
      </c>
      <c r="B2829" s="20" t="str">
        <f t="shared" si="88"/>
        <v>AUG</v>
      </c>
      <c r="C2829" s="21">
        <v>46241</v>
      </c>
      <c r="D2829" s="22" t="s">
        <v>39</v>
      </c>
      <c r="E2829" s="20" t="str">
        <f>IFERROR(VLOOKUP(I2829,KET!$B:$F,4,0),"")</f>
        <v>FAHMI LUKMANUL HAKIM</v>
      </c>
      <c r="F2829" s="20" t="s">
        <v>42</v>
      </c>
      <c r="G2829" s="20">
        <f>IFERROR(INDEX('Kode Outlet dan Target Toko'!$C:$C,MATCH($I2829,'Kode Outlet dan Target Toko'!$E:$E,0)),0)</f>
        <v>103712</v>
      </c>
      <c r="H2829" s="20">
        <f>IFERROR(INDEX('Kode Outlet dan Target Toko'!$D:$D,MATCH($I2829,'Kode Outlet dan Target Toko'!$E:$E,0)),0)</f>
        <v>4404677</v>
      </c>
      <c r="I2829" s="42" t="s">
        <v>99</v>
      </c>
      <c r="J2829" s="56" t="s">
        <v>179</v>
      </c>
      <c r="K2829" s="40" t="s">
        <v>13</v>
      </c>
      <c r="L2829" s="26">
        <v>3000</v>
      </c>
      <c r="M2829" s="26">
        <v>32</v>
      </c>
      <c r="N2829" s="25">
        <f t="shared" si="89"/>
        <v>96000</v>
      </c>
      <c r="O2829" s="56"/>
    </row>
    <row r="2830" spans="1:15" hidden="1" x14ac:dyDescent="0.3">
      <c r="A2830" s="26">
        <v>32</v>
      </c>
      <c r="B2830" s="20" t="str">
        <f t="shared" si="88"/>
        <v>AUG</v>
      </c>
      <c r="C2830" s="21">
        <v>46241</v>
      </c>
      <c r="D2830" s="22" t="s">
        <v>39</v>
      </c>
      <c r="E2830" s="20" t="str">
        <f>IFERROR(VLOOKUP(I2830,KET!$B:$F,4,0),"")</f>
        <v>FAHMI LUKMANUL HAKIM</v>
      </c>
      <c r="F2830" s="20" t="s">
        <v>42</v>
      </c>
      <c r="G2830" s="20">
        <f>IFERROR(INDEX('Kode Outlet dan Target Toko'!$C:$C,MATCH($I2830,'Kode Outlet dan Target Toko'!$E:$E,0)),0)</f>
        <v>103712</v>
      </c>
      <c r="H2830" s="20">
        <f>IFERROR(INDEX('Kode Outlet dan Target Toko'!$D:$D,MATCH($I2830,'Kode Outlet dan Target Toko'!$E:$E,0)),0)</f>
        <v>4404677</v>
      </c>
      <c r="I2830" s="42" t="s">
        <v>99</v>
      </c>
      <c r="J2830" s="56" t="s">
        <v>179</v>
      </c>
      <c r="K2830" s="40" t="s">
        <v>16</v>
      </c>
      <c r="L2830" s="26">
        <v>3000</v>
      </c>
      <c r="M2830" s="26">
        <v>119</v>
      </c>
      <c r="N2830" s="25">
        <f t="shared" si="89"/>
        <v>357000</v>
      </c>
      <c r="O2830" s="56">
        <v>160</v>
      </c>
    </row>
    <row r="2831" spans="1:15" hidden="1" x14ac:dyDescent="0.3">
      <c r="A2831" s="26">
        <v>32</v>
      </c>
      <c r="B2831" s="20" t="str">
        <f t="shared" si="88"/>
        <v>AUG</v>
      </c>
      <c r="C2831" s="21">
        <v>46241</v>
      </c>
      <c r="D2831" s="22" t="s">
        <v>39</v>
      </c>
      <c r="E2831" s="20" t="str">
        <f>IFERROR(VLOOKUP(I2831,KET!$B:$F,4,0),"")</f>
        <v>FAHMI LUKMANUL HAKIM</v>
      </c>
      <c r="F2831" s="20" t="s">
        <v>86</v>
      </c>
      <c r="G2831" s="20">
        <f>IFERROR(INDEX('Kode Outlet dan Target Toko'!$C:$C,MATCH($I2831,'Kode Outlet dan Target Toko'!$E:$E,0)),0)</f>
        <v>195403</v>
      </c>
      <c r="H2831" s="20">
        <f>IFERROR(INDEX('Kode Outlet dan Target Toko'!$D:$D,MATCH($I2831,'Kode Outlet dan Target Toko'!$E:$E,0)),0)</f>
        <v>1600007</v>
      </c>
      <c r="I2831" s="42" t="s">
        <v>87</v>
      </c>
      <c r="J2831" s="27" t="s">
        <v>174</v>
      </c>
      <c r="K2831" s="40" t="s">
        <v>15</v>
      </c>
      <c r="L2831" s="26">
        <v>2150</v>
      </c>
      <c r="M2831" s="26">
        <v>69</v>
      </c>
      <c r="N2831" s="25">
        <f t="shared" si="89"/>
        <v>148350</v>
      </c>
      <c r="O2831" s="56"/>
    </row>
    <row r="2832" spans="1:15" hidden="1" x14ac:dyDescent="0.3">
      <c r="A2832" s="26">
        <v>32</v>
      </c>
      <c r="B2832" s="20" t="str">
        <f t="shared" si="88"/>
        <v>AUG</v>
      </c>
      <c r="C2832" s="21">
        <v>46241</v>
      </c>
      <c r="D2832" s="22" t="s">
        <v>39</v>
      </c>
      <c r="E2832" s="20" t="str">
        <f>IFERROR(VLOOKUP(I2832,KET!$B:$F,4,0),"")</f>
        <v>FAHMI LUKMANUL HAKIM</v>
      </c>
      <c r="F2832" s="20" t="s">
        <v>86</v>
      </c>
      <c r="G2832" s="20">
        <f>IFERROR(INDEX('Kode Outlet dan Target Toko'!$C:$C,MATCH($I2832,'Kode Outlet dan Target Toko'!$E:$E,0)),0)</f>
        <v>195403</v>
      </c>
      <c r="H2832" s="20">
        <f>IFERROR(INDEX('Kode Outlet dan Target Toko'!$D:$D,MATCH($I2832,'Kode Outlet dan Target Toko'!$E:$E,0)),0)</f>
        <v>1600007</v>
      </c>
      <c r="I2832" s="42" t="s">
        <v>87</v>
      </c>
      <c r="J2832" s="27" t="s">
        <v>174</v>
      </c>
      <c r="K2832" s="40" t="s">
        <v>14</v>
      </c>
      <c r="L2832" s="26">
        <v>2150</v>
      </c>
      <c r="M2832" s="26">
        <v>63</v>
      </c>
      <c r="N2832" s="25">
        <f t="shared" si="89"/>
        <v>135450</v>
      </c>
      <c r="O2832" s="56"/>
    </row>
    <row r="2833" spans="1:15" hidden="1" x14ac:dyDescent="0.3">
      <c r="A2833" s="26">
        <v>32</v>
      </c>
      <c r="B2833" s="20" t="str">
        <f t="shared" si="88"/>
        <v>AUG</v>
      </c>
      <c r="C2833" s="21">
        <v>46241</v>
      </c>
      <c r="D2833" s="22" t="s">
        <v>39</v>
      </c>
      <c r="E2833" s="20" t="str">
        <f>IFERROR(VLOOKUP(I2833,KET!$B:$F,4,0),"")</f>
        <v>FAHMI LUKMANUL HAKIM</v>
      </c>
      <c r="F2833" s="20" t="s">
        <v>86</v>
      </c>
      <c r="G2833" s="20">
        <f>IFERROR(INDEX('Kode Outlet dan Target Toko'!$C:$C,MATCH($I2833,'Kode Outlet dan Target Toko'!$E:$E,0)),0)</f>
        <v>195403</v>
      </c>
      <c r="H2833" s="20">
        <f>IFERROR(INDEX('Kode Outlet dan Target Toko'!$D:$D,MATCH($I2833,'Kode Outlet dan Target Toko'!$E:$E,0)),0)</f>
        <v>1600007</v>
      </c>
      <c r="I2833" s="42" t="s">
        <v>87</v>
      </c>
      <c r="J2833" s="27" t="s">
        <v>174</v>
      </c>
      <c r="K2833" s="40" t="s">
        <v>13</v>
      </c>
      <c r="L2833" s="26">
        <v>2150</v>
      </c>
      <c r="M2833" s="26">
        <v>39</v>
      </c>
      <c r="N2833" s="25">
        <f t="shared" si="89"/>
        <v>83850</v>
      </c>
      <c r="O2833" s="56"/>
    </row>
    <row r="2834" spans="1:15" hidden="1" x14ac:dyDescent="0.3">
      <c r="A2834" s="26">
        <v>32</v>
      </c>
      <c r="B2834" s="20" t="str">
        <f t="shared" si="88"/>
        <v>AUG</v>
      </c>
      <c r="C2834" s="21">
        <v>46241</v>
      </c>
      <c r="D2834" s="22" t="s">
        <v>39</v>
      </c>
      <c r="E2834" s="20" t="str">
        <f>IFERROR(VLOOKUP(I2834,KET!$B:$F,4,0),"")</f>
        <v>FAHMI LUKMANUL HAKIM</v>
      </c>
      <c r="F2834" s="20" t="s">
        <v>86</v>
      </c>
      <c r="G2834" s="20">
        <f>IFERROR(INDEX('Kode Outlet dan Target Toko'!$C:$C,MATCH($I2834,'Kode Outlet dan Target Toko'!$E:$E,0)),0)</f>
        <v>195403</v>
      </c>
      <c r="H2834" s="20">
        <f>IFERROR(INDEX('Kode Outlet dan Target Toko'!$D:$D,MATCH($I2834,'Kode Outlet dan Target Toko'!$E:$E,0)),0)</f>
        <v>1600007</v>
      </c>
      <c r="I2834" s="42" t="s">
        <v>87</v>
      </c>
      <c r="J2834" s="27" t="s">
        <v>174</v>
      </c>
      <c r="K2834" s="40" t="s">
        <v>16</v>
      </c>
      <c r="L2834" s="26">
        <v>2150</v>
      </c>
      <c r="M2834" s="26">
        <v>90</v>
      </c>
      <c r="N2834" s="25">
        <f t="shared" si="89"/>
        <v>193500</v>
      </c>
      <c r="O2834" s="56">
        <v>160</v>
      </c>
    </row>
    <row r="2835" spans="1:15" hidden="1" x14ac:dyDescent="0.3">
      <c r="A2835" s="26">
        <v>32</v>
      </c>
      <c r="B2835" s="20" t="str">
        <f t="shared" si="88"/>
        <v>AUG</v>
      </c>
      <c r="C2835" s="21">
        <v>46241</v>
      </c>
      <c r="D2835" s="22" t="s">
        <v>39</v>
      </c>
      <c r="E2835" s="20" t="str">
        <f>IFERROR(VLOOKUP(I2835,KET!$B:$F,4,0),"")</f>
        <v>FAHMI LUKMANUL HAKIM</v>
      </c>
      <c r="F2835" s="20" t="s">
        <v>86</v>
      </c>
      <c r="G2835" s="20">
        <f>IFERROR(INDEX('Kode Outlet dan Target Toko'!$C:$C,MATCH($I2835,'Kode Outlet dan Target Toko'!$E:$E,0)),0)</f>
        <v>195403</v>
      </c>
      <c r="H2835" s="20">
        <f>IFERROR(INDEX('Kode Outlet dan Target Toko'!$D:$D,MATCH($I2835,'Kode Outlet dan Target Toko'!$E:$E,0)),0)</f>
        <v>1600007</v>
      </c>
      <c r="I2835" s="42" t="s">
        <v>87</v>
      </c>
      <c r="J2835" s="56" t="s">
        <v>175</v>
      </c>
      <c r="K2835" s="40" t="s">
        <v>15</v>
      </c>
      <c r="L2835" s="26">
        <v>2150</v>
      </c>
      <c r="M2835" s="26">
        <v>69</v>
      </c>
      <c r="N2835" s="25">
        <f t="shared" si="89"/>
        <v>148350</v>
      </c>
      <c r="O2835" s="56"/>
    </row>
    <row r="2836" spans="1:15" hidden="1" x14ac:dyDescent="0.3">
      <c r="A2836" s="26">
        <v>32</v>
      </c>
      <c r="B2836" s="20" t="str">
        <f t="shared" si="88"/>
        <v>AUG</v>
      </c>
      <c r="C2836" s="21">
        <v>46241</v>
      </c>
      <c r="D2836" s="22" t="s">
        <v>39</v>
      </c>
      <c r="E2836" s="20" t="str">
        <f>IFERROR(VLOOKUP(I2836,KET!$B:$F,4,0),"")</f>
        <v>FAHMI LUKMANUL HAKIM</v>
      </c>
      <c r="F2836" s="20" t="s">
        <v>86</v>
      </c>
      <c r="G2836" s="20">
        <f>IFERROR(INDEX('Kode Outlet dan Target Toko'!$C:$C,MATCH($I2836,'Kode Outlet dan Target Toko'!$E:$E,0)),0)</f>
        <v>195403</v>
      </c>
      <c r="H2836" s="20">
        <f>IFERROR(INDEX('Kode Outlet dan Target Toko'!$D:$D,MATCH($I2836,'Kode Outlet dan Target Toko'!$E:$E,0)),0)</f>
        <v>1600007</v>
      </c>
      <c r="I2836" s="42" t="s">
        <v>87</v>
      </c>
      <c r="J2836" s="56" t="s">
        <v>175</v>
      </c>
      <c r="K2836" s="40" t="s">
        <v>14</v>
      </c>
      <c r="L2836" s="26">
        <v>2150</v>
      </c>
      <c r="M2836" s="26">
        <v>63</v>
      </c>
      <c r="N2836" s="25">
        <f t="shared" si="89"/>
        <v>135450</v>
      </c>
      <c r="O2836" s="56"/>
    </row>
    <row r="2837" spans="1:15" hidden="1" x14ac:dyDescent="0.3">
      <c r="A2837" s="26">
        <v>32</v>
      </c>
      <c r="B2837" s="20" t="str">
        <f t="shared" si="88"/>
        <v>AUG</v>
      </c>
      <c r="C2837" s="21">
        <v>46241</v>
      </c>
      <c r="D2837" s="22" t="s">
        <v>39</v>
      </c>
      <c r="E2837" s="20" t="str">
        <f>IFERROR(VLOOKUP(I2837,KET!$B:$F,4,0),"")</f>
        <v>FAHMI LUKMANUL HAKIM</v>
      </c>
      <c r="F2837" s="20" t="s">
        <v>86</v>
      </c>
      <c r="G2837" s="20">
        <f>IFERROR(INDEX('Kode Outlet dan Target Toko'!$C:$C,MATCH($I2837,'Kode Outlet dan Target Toko'!$E:$E,0)),0)</f>
        <v>195403</v>
      </c>
      <c r="H2837" s="20">
        <f>IFERROR(INDEX('Kode Outlet dan Target Toko'!$D:$D,MATCH($I2837,'Kode Outlet dan Target Toko'!$E:$E,0)),0)</f>
        <v>1600007</v>
      </c>
      <c r="I2837" s="42" t="s">
        <v>87</v>
      </c>
      <c r="J2837" s="56" t="s">
        <v>175</v>
      </c>
      <c r="K2837" s="40" t="s">
        <v>13</v>
      </c>
      <c r="L2837" s="26">
        <v>2150</v>
      </c>
      <c r="M2837" s="26">
        <v>35</v>
      </c>
      <c r="N2837" s="25">
        <f t="shared" si="89"/>
        <v>75250</v>
      </c>
      <c r="O2837" s="56"/>
    </row>
    <row r="2838" spans="1:15" hidden="1" x14ac:dyDescent="0.3">
      <c r="A2838" s="26">
        <v>32</v>
      </c>
      <c r="B2838" s="20" t="str">
        <f t="shared" si="88"/>
        <v>AUG</v>
      </c>
      <c r="C2838" s="21">
        <v>46241</v>
      </c>
      <c r="D2838" s="22" t="s">
        <v>39</v>
      </c>
      <c r="E2838" s="20" t="str">
        <f>IFERROR(VLOOKUP(I2838,KET!$B:$F,4,0),"")</f>
        <v>FAHMI LUKMANUL HAKIM</v>
      </c>
      <c r="F2838" s="20" t="s">
        <v>86</v>
      </c>
      <c r="G2838" s="20">
        <f>IFERROR(INDEX('Kode Outlet dan Target Toko'!$C:$C,MATCH($I2838,'Kode Outlet dan Target Toko'!$E:$E,0)),0)</f>
        <v>195403</v>
      </c>
      <c r="H2838" s="20">
        <f>IFERROR(INDEX('Kode Outlet dan Target Toko'!$D:$D,MATCH($I2838,'Kode Outlet dan Target Toko'!$E:$E,0)),0)</f>
        <v>1600007</v>
      </c>
      <c r="I2838" s="42" t="s">
        <v>87</v>
      </c>
      <c r="J2838" s="56" t="s">
        <v>175</v>
      </c>
      <c r="K2838" s="40" t="s">
        <v>16</v>
      </c>
      <c r="L2838" s="26">
        <v>2150</v>
      </c>
      <c r="M2838" s="26">
        <v>90</v>
      </c>
      <c r="N2838" s="25">
        <f t="shared" si="89"/>
        <v>193500</v>
      </c>
      <c r="O2838" s="56">
        <v>160</v>
      </c>
    </row>
    <row r="2839" spans="1:15" hidden="1" x14ac:dyDescent="0.3">
      <c r="A2839" s="26">
        <v>32</v>
      </c>
      <c r="B2839" s="20" t="str">
        <f t="shared" si="88"/>
        <v>AUG</v>
      </c>
      <c r="C2839" s="21">
        <v>46241</v>
      </c>
      <c r="D2839" s="22" t="s">
        <v>39</v>
      </c>
      <c r="E2839" s="20" t="str">
        <f>IFERROR(VLOOKUP(I2839,KET!$B:$F,4,0),"")</f>
        <v>FAHMI LUKMANUL HAKIM</v>
      </c>
      <c r="F2839" s="20" t="s">
        <v>42</v>
      </c>
      <c r="G2839" s="20">
        <f>IFERROR(INDEX('Kode Outlet dan Target Toko'!$C:$C,MATCH($I2839,'Kode Outlet dan Target Toko'!$E:$E,0)),0)</f>
        <v>103257</v>
      </c>
      <c r="H2839" s="20">
        <f>IFERROR(INDEX('Kode Outlet dan Target Toko'!$D:$D,MATCH($I2839,'Kode Outlet dan Target Toko'!$E:$E,0)),0)</f>
        <v>9162509</v>
      </c>
      <c r="I2839" s="42" t="s">
        <v>57</v>
      </c>
      <c r="J2839" s="56" t="s">
        <v>287</v>
      </c>
      <c r="K2839" s="40" t="s">
        <v>15</v>
      </c>
      <c r="L2839" s="26">
        <v>3200</v>
      </c>
      <c r="M2839" s="26">
        <v>35</v>
      </c>
      <c r="N2839" s="25">
        <f t="shared" si="89"/>
        <v>112000</v>
      </c>
      <c r="O2839" s="56"/>
    </row>
    <row r="2840" spans="1:15" hidden="1" x14ac:dyDescent="0.3">
      <c r="A2840" s="26">
        <v>32</v>
      </c>
      <c r="B2840" s="20" t="str">
        <f t="shared" si="88"/>
        <v>AUG</v>
      </c>
      <c r="C2840" s="21">
        <v>46241</v>
      </c>
      <c r="D2840" s="22" t="s">
        <v>39</v>
      </c>
      <c r="E2840" s="20" t="str">
        <f>IFERROR(VLOOKUP(I2840,KET!$B:$F,4,0),"")</f>
        <v>FAHMI LUKMANUL HAKIM</v>
      </c>
      <c r="F2840" s="20" t="s">
        <v>42</v>
      </c>
      <c r="G2840" s="20">
        <f>IFERROR(INDEX('Kode Outlet dan Target Toko'!$C:$C,MATCH($I2840,'Kode Outlet dan Target Toko'!$E:$E,0)),0)</f>
        <v>103257</v>
      </c>
      <c r="H2840" s="20">
        <f>IFERROR(INDEX('Kode Outlet dan Target Toko'!$D:$D,MATCH($I2840,'Kode Outlet dan Target Toko'!$E:$E,0)),0)</f>
        <v>9162509</v>
      </c>
      <c r="I2840" s="42" t="s">
        <v>57</v>
      </c>
      <c r="J2840" s="56" t="s">
        <v>287</v>
      </c>
      <c r="K2840" s="40" t="s">
        <v>14</v>
      </c>
      <c r="L2840" s="26">
        <v>3200</v>
      </c>
      <c r="M2840" s="26">
        <v>26</v>
      </c>
      <c r="N2840" s="25">
        <f t="shared" si="89"/>
        <v>83200</v>
      </c>
      <c r="O2840" s="56"/>
    </row>
    <row r="2841" spans="1:15" hidden="1" x14ac:dyDescent="0.3">
      <c r="A2841" s="26">
        <v>32</v>
      </c>
      <c r="B2841" s="20" t="str">
        <f t="shared" si="88"/>
        <v>AUG</v>
      </c>
      <c r="C2841" s="21">
        <v>46241</v>
      </c>
      <c r="D2841" s="22" t="s">
        <v>39</v>
      </c>
      <c r="E2841" s="20" t="str">
        <f>IFERROR(VLOOKUP(I2841,KET!$B:$F,4,0),"")</f>
        <v>FAHMI LUKMANUL HAKIM</v>
      </c>
      <c r="F2841" s="20" t="s">
        <v>42</v>
      </c>
      <c r="G2841" s="20">
        <f>IFERROR(INDEX('Kode Outlet dan Target Toko'!$C:$C,MATCH($I2841,'Kode Outlet dan Target Toko'!$E:$E,0)),0)</f>
        <v>103257</v>
      </c>
      <c r="H2841" s="20">
        <f>IFERROR(INDEX('Kode Outlet dan Target Toko'!$D:$D,MATCH($I2841,'Kode Outlet dan Target Toko'!$E:$E,0)),0)</f>
        <v>9162509</v>
      </c>
      <c r="I2841" s="42" t="s">
        <v>57</v>
      </c>
      <c r="J2841" s="56" t="s">
        <v>287</v>
      </c>
      <c r="K2841" s="40" t="s">
        <v>13</v>
      </c>
      <c r="L2841" s="26">
        <v>3200</v>
      </c>
      <c r="M2841" s="26">
        <v>77</v>
      </c>
      <c r="N2841" s="25">
        <f t="shared" si="89"/>
        <v>246400</v>
      </c>
      <c r="O2841" s="56"/>
    </row>
    <row r="2842" spans="1:15" hidden="1" x14ac:dyDescent="0.3">
      <c r="A2842" s="26">
        <v>32</v>
      </c>
      <c r="B2842" s="20" t="str">
        <f t="shared" si="88"/>
        <v>AUG</v>
      </c>
      <c r="C2842" s="21">
        <v>46241</v>
      </c>
      <c r="D2842" s="22" t="s">
        <v>39</v>
      </c>
      <c r="E2842" s="20" t="str">
        <f>IFERROR(VLOOKUP(I2842,KET!$B:$F,4,0),"")</f>
        <v>FAHMI LUKMANUL HAKIM</v>
      </c>
      <c r="F2842" s="20" t="s">
        <v>42</v>
      </c>
      <c r="G2842" s="20">
        <f>IFERROR(INDEX('Kode Outlet dan Target Toko'!$C:$C,MATCH($I2842,'Kode Outlet dan Target Toko'!$E:$E,0)),0)</f>
        <v>103257</v>
      </c>
      <c r="H2842" s="20">
        <f>IFERROR(INDEX('Kode Outlet dan Target Toko'!$D:$D,MATCH($I2842,'Kode Outlet dan Target Toko'!$E:$E,0)),0)</f>
        <v>9162509</v>
      </c>
      <c r="I2842" s="42" t="s">
        <v>57</v>
      </c>
      <c r="J2842" s="56" t="s">
        <v>287</v>
      </c>
      <c r="K2842" s="40" t="s">
        <v>16</v>
      </c>
      <c r="L2842" s="26">
        <v>3200</v>
      </c>
      <c r="M2842" s="26">
        <v>34</v>
      </c>
      <c r="N2842" s="25">
        <f t="shared" si="89"/>
        <v>108800</v>
      </c>
      <c r="O2842" s="56">
        <v>160</v>
      </c>
    </row>
    <row r="2843" spans="1:15" hidden="1" x14ac:dyDescent="0.3">
      <c r="A2843" s="26">
        <v>32</v>
      </c>
      <c r="B2843" s="20" t="str">
        <f t="shared" si="88"/>
        <v>AUG</v>
      </c>
      <c r="C2843" s="21">
        <v>46241</v>
      </c>
      <c r="D2843" s="22" t="s">
        <v>39</v>
      </c>
      <c r="E2843" s="20" t="str">
        <f>IFERROR(VLOOKUP(I2843,KET!$B:$F,4,0),"")</f>
        <v>FAHMI LUKMANUL HAKIM</v>
      </c>
      <c r="F2843" s="20" t="s">
        <v>42</v>
      </c>
      <c r="G2843" s="20">
        <f>IFERROR(INDEX('Kode Outlet dan Target Toko'!$C:$C,MATCH($I2843,'Kode Outlet dan Target Toko'!$E:$E,0)),0)</f>
        <v>103257</v>
      </c>
      <c r="H2843" s="20">
        <f>IFERROR(INDEX('Kode Outlet dan Target Toko'!$D:$D,MATCH($I2843,'Kode Outlet dan Target Toko'!$E:$E,0)),0)</f>
        <v>9162509</v>
      </c>
      <c r="I2843" s="42" t="s">
        <v>57</v>
      </c>
      <c r="J2843" s="56" t="s">
        <v>192</v>
      </c>
      <c r="K2843" s="40" t="s">
        <v>15</v>
      </c>
      <c r="L2843" s="26">
        <v>3200</v>
      </c>
      <c r="M2843" s="26">
        <v>25</v>
      </c>
      <c r="N2843" s="25">
        <f t="shared" si="89"/>
        <v>80000</v>
      </c>
      <c r="O2843" s="56"/>
    </row>
    <row r="2844" spans="1:15" hidden="1" x14ac:dyDescent="0.3">
      <c r="A2844" s="26">
        <v>32</v>
      </c>
      <c r="B2844" s="20" t="str">
        <f t="shared" si="88"/>
        <v>AUG</v>
      </c>
      <c r="C2844" s="21">
        <v>46241</v>
      </c>
      <c r="D2844" s="22" t="s">
        <v>39</v>
      </c>
      <c r="E2844" s="20" t="str">
        <f>IFERROR(VLOOKUP(I2844,KET!$B:$F,4,0),"")</f>
        <v>FAHMI LUKMANUL HAKIM</v>
      </c>
      <c r="F2844" s="20" t="s">
        <v>42</v>
      </c>
      <c r="G2844" s="20">
        <f>IFERROR(INDEX('Kode Outlet dan Target Toko'!$C:$C,MATCH($I2844,'Kode Outlet dan Target Toko'!$E:$E,0)),0)</f>
        <v>103257</v>
      </c>
      <c r="H2844" s="20">
        <f>IFERROR(INDEX('Kode Outlet dan Target Toko'!$D:$D,MATCH($I2844,'Kode Outlet dan Target Toko'!$E:$E,0)),0)</f>
        <v>9162509</v>
      </c>
      <c r="I2844" s="42" t="s">
        <v>57</v>
      </c>
      <c r="J2844" s="56" t="s">
        <v>192</v>
      </c>
      <c r="K2844" s="40" t="s">
        <v>14</v>
      </c>
      <c r="L2844" s="26">
        <v>3200</v>
      </c>
      <c r="M2844" s="26">
        <v>34</v>
      </c>
      <c r="N2844" s="25">
        <f t="shared" si="89"/>
        <v>108800</v>
      </c>
      <c r="O2844" s="56"/>
    </row>
    <row r="2845" spans="1:15" hidden="1" x14ac:dyDescent="0.3">
      <c r="A2845" s="26">
        <v>32</v>
      </c>
      <c r="B2845" s="20" t="str">
        <f t="shared" si="88"/>
        <v>AUG</v>
      </c>
      <c r="C2845" s="21">
        <v>46241</v>
      </c>
      <c r="D2845" s="22" t="s">
        <v>39</v>
      </c>
      <c r="E2845" s="20" t="str">
        <f>IFERROR(VLOOKUP(I2845,KET!$B:$F,4,0),"")</f>
        <v>FAHMI LUKMANUL HAKIM</v>
      </c>
      <c r="F2845" s="20" t="s">
        <v>42</v>
      </c>
      <c r="G2845" s="20">
        <f>IFERROR(INDEX('Kode Outlet dan Target Toko'!$C:$C,MATCH($I2845,'Kode Outlet dan Target Toko'!$E:$E,0)),0)</f>
        <v>103257</v>
      </c>
      <c r="H2845" s="20">
        <f>IFERROR(INDEX('Kode Outlet dan Target Toko'!$D:$D,MATCH($I2845,'Kode Outlet dan Target Toko'!$E:$E,0)),0)</f>
        <v>9162509</v>
      </c>
      <c r="I2845" s="42" t="s">
        <v>57</v>
      </c>
      <c r="J2845" s="56" t="s">
        <v>192</v>
      </c>
      <c r="K2845" s="40" t="s">
        <v>13</v>
      </c>
      <c r="L2845" s="26">
        <v>3200</v>
      </c>
      <c r="M2845" s="26">
        <v>43</v>
      </c>
      <c r="N2845" s="25">
        <f t="shared" si="89"/>
        <v>137600</v>
      </c>
      <c r="O2845" s="56"/>
    </row>
    <row r="2846" spans="1:15" hidden="1" x14ac:dyDescent="0.3">
      <c r="A2846" s="26">
        <v>32</v>
      </c>
      <c r="B2846" s="20" t="str">
        <f t="shared" si="88"/>
        <v>AUG</v>
      </c>
      <c r="C2846" s="21">
        <v>46241</v>
      </c>
      <c r="D2846" s="22" t="s">
        <v>39</v>
      </c>
      <c r="E2846" s="20" t="str">
        <f>IFERROR(VLOOKUP(I2846,KET!$B:$F,4,0),"")</f>
        <v>FAHMI LUKMANUL HAKIM</v>
      </c>
      <c r="F2846" s="20" t="s">
        <v>42</v>
      </c>
      <c r="G2846" s="20">
        <f>IFERROR(INDEX('Kode Outlet dan Target Toko'!$C:$C,MATCH($I2846,'Kode Outlet dan Target Toko'!$E:$E,0)),0)</f>
        <v>103257</v>
      </c>
      <c r="H2846" s="20">
        <f>IFERROR(INDEX('Kode Outlet dan Target Toko'!$D:$D,MATCH($I2846,'Kode Outlet dan Target Toko'!$E:$E,0)),0)</f>
        <v>9162509</v>
      </c>
      <c r="I2846" s="42" t="s">
        <v>57</v>
      </c>
      <c r="J2846" s="56" t="s">
        <v>192</v>
      </c>
      <c r="K2846" s="40" t="s">
        <v>16</v>
      </c>
      <c r="L2846" s="26">
        <v>3200</v>
      </c>
      <c r="M2846" s="26">
        <v>26</v>
      </c>
      <c r="N2846" s="25">
        <f t="shared" si="89"/>
        <v>83200</v>
      </c>
      <c r="O2846" s="56">
        <v>160</v>
      </c>
    </row>
    <row r="2847" spans="1:15" hidden="1" x14ac:dyDescent="0.3">
      <c r="A2847" s="26">
        <v>32</v>
      </c>
      <c r="B2847" s="20" t="str">
        <f t="shared" si="88"/>
        <v>AUG</v>
      </c>
      <c r="C2847" s="21">
        <v>46241</v>
      </c>
      <c r="D2847" s="22" t="s">
        <v>39</v>
      </c>
      <c r="E2847" s="20" t="str">
        <f>IFERROR(VLOOKUP(I2847,KET!$B:$F,4,0),"")</f>
        <v>FAHMI LUKMANUL HAKIM</v>
      </c>
      <c r="F2847" s="20" t="s">
        <v>42</v>
      </c>
      <c r="G2847" s="20">
        <f>IFERROR(INDEX('Kode Outlet dan Target Toko'!$C:$C,MATCH($I2847,'Kode Outlet dan Target Toko'!$E:$E,0)),0)</f>
        <v>103259</v>
      </c>
      <c r="H2847" s="20">
        <f>IFERROR(INDEX('Kode Outlet dan Target Toko'!$D:$D,MATCH($I2847,'Kode Outlet dan Target Toko'!$E:$E,0)),0)</f>
        <v>9002359</v>
      </c>
      <c r="I2847" s="42" t="s">
        <v>103</v>
      </c>
      <c r="J2847" s="56" t="s">
        <v>196</v>
      </c>
      <c r="K2847" s="40" t="s">
        <v>15</v>
      </c>
      <c r="L2847" s="26">
        <v>3000</v>
      </c>
      <c r="M2847" s="26">
        <v>42</v>
      </c>
      <c r="N2847" s="25">
        <f t="shared" si="89"/>
        <v>126000</v>
      </c>
      <c r="O2847" s="56"/>
    </row>
    <row r="2848" spans="1:15" hidden="1" x14ac:dyDescent="0.3">
      <c r="A2848" s="26">
        <v>32</v>
      </c>
      <c r="B2848" s="20" t="str">
        <f t="shared" si="88"/>
        <v>AUG</v>
      </c>
      <c r="C2848" s="21">
        <v>46241</v>
      </c>
      <c r="D2848" s="22" t="s">
        <v>39</v>
      </c>
      <c r="E2848" s="20" t="str">
        <f>IFERROR(VLOOKUP(I2848,KET!$B:$F,4,0),"")</f>
        <v>FAHMI LUKMANUL HAKIM</v>
      </c>
      <c r="F2848" s="20" t="s">
        <v>42</v>
      </c>
      <c r="G2848" s="20">
        <f>IFERROR(INDEX('Kode Outlet dan Target Toko'!$C:$C,MATCH($I2848,'Kode Outlet dan Target Toko'!$E:$E,0)),0)</f>
        <v>103259</v>
      </c>
      <c r="H2848" s="20">
        <f>IFERROR(INDEX('Kode Outlet dan Target Toko'!$D:$D,MATCH($I2848,'Kode Outlet dan Target Toko'!$E:$E,0)),0)</f>
        <v>9002359</v>
      </c>
      <c r="I2848" s="42" t="s">
        <v>103</v>
      </c>
      <c r="J2848" s="56" t="s">
        <v>196</v>
      </c>
      <c r="K2848" s="40" t="s">
        <v>14</v>
      </c>
      <c r="L2848" s="26">
        <v>3000</v>
      </c>
      <c r="M2848" s="26">
        <v>0</v>
      </c>
      <c r="N2848" s="25">
        <f t="shared" si="89"/>
        <v>0</v>
      </c>
      <c r="O2848" s="56"/>
    </row>
    <row r="2849" spans="1:15" hidden="1" x14ac:dyDescent="0.3">
      <c r="A2849" s="26">
        <v>32</v>
      </c>
      <c r="B2849" s="20" t="str">
        <f t="shared" si="88"/>
        <v>AUG</v>
      </c>
      <c r="C2849" s="21">
        <v>46241</v>
      </c>
      <c r="D2849" s="22" t="s">
        <v>39</v>
      </c>
      <c r="E2849" s="20" t="str">
        <f>IFERROR(VLOOKUP(I2849,KET!$B:$F,4,0),"")</f>
        <v>FAHMI LUKMANUL HAKIM</v>
      </c>
      <c r="F2849" s="20" t="s">
        <v>42</v>
      </c>
      <c r="G2849" s="20">
        <f>IFERROR(INDEX('Kode Outlet dan Target Toko'!$C:$C,MATCH($I2849,'Kode Outlet dan Target Toko'!$E:$E,0)),0)</f>
        <v>103259</v>
      </c>
      <c r="H2849" s="20">
        <f>IFERROR(INDEX('Kode Outlet dan Target Toko'!$D:$D,MATCH($I2849,'Kode Outlet dan Target Toko'!$E:$E,0)),0)</f>
        <v>9002359</v>
      </c>
      <c r="I2849" s="42" t="s">
        <v>103</v>
      </c>
      <c r="J2849" s="56" t="s">
        <v>196</v>
      </c>
      <c r="K2849" s="40" t="s">
        <v>13</v>
      </c>
      <c r="L2849" s="26">
        <v>3000</v>
      </c>
      <c r="M2849" s="26">
        <v>0</v>
      </c>
      <c r="N2849" s="25">
        <f t="shared" si="89"/>
        <v>0</v>
      </c>
      <c r="O2849" s="56"/>
    </row>
    <row r="2850" spans="1:15" hidden="1" x14ac:dyDescent="0.3">
      <c r="A2850" s="26">
        <v>32</v>
      </c>
      <c r="B2850" s="20" t="str">
        <f t="shared" si="88"/>
        <v>AUG</v>
      </c>
      <c r="C2850" s="21">
        <v>46241</v>
      </c>
      <c r="D2850" s="22" t="s">
        <v>39</v>
      </c>
      <c r="E2850" s="20" t="str">
        <f>IFERROR(VLOOKUP(I2850,KET!$B:$F,4,0),"")</f>
        <v>FAHMI LUKMANUL HAKIM</v>
      </c>
      <c r="F2850" s="20" t="s">
        <v>42</v>
      </c>
      <c r="G2850" s="20">
        <f>IFERROR(INDEX('Kode Outlet dan Target Toko'!$C:$C,MATCH($I2850,'Kode Outlet dan Target Toko'!$E:$E,0)),0)</f>
        <v>103259</v>
      </c>
      <c r="H2850" s="20">
        <f>IFERROR(INDEX('Kode Outlet dan Target Toko'!$D:$D,MATCH($I2850,'Kode Outlet dan Target Toko'!$E:$E,0)),0)</f>
        <v>9002359</v>
      </c>
      <c r="I2850" s="42" t="s">
        <v>103</v>
      </c>
      <c r="J2850" s="56" t="s">
        <v>196</v>
      </c>
      <c r="K2850" s="40" t="s">
        <v>16</v>
      </c>
      <c r="L2850" s="26">
        <v>3000</v>
      </c>
      <c r="M2850" s="26">
        <v>240</v>
      </c>
      <c r="N2850" s="25">
        <f t="shared" si="89"/>
        <v>720000</v>
      </c>
      <c r="O2850" s="56"/>
    </row>
    <row r="2851" spans="1:15" hidden="1" x14ac:dyDescent="0.3">
      <c r="A2851" s="26">
        <v>32</v>
      </c>
      <c r="B2851" s="20" t="str">
        <f t="shared" si="88"/>
        <v>AUG</v>
      </c>
      <c r="C2851" s="21">
        <v>46241</v>
      </c>
      <c r="D2851" s="22" t="s">
        <v>39</v>
      </c>
      <c r="E2851" s="20" t="str">
        <f>IFERROR(VLOOKUP(I2851,KET!$B:$F,4,0),"")</f>
        <v>FAHMI LUKMANUL HAKIM</v>
      </c>
      <c r="F2851" s="20" t="s">
        <v>86</v>
      </c>
      <c r="G2851" s="20">
        <f>IFERROR(INDEX('Kode Outlet dan Target Toko'!$C:$C,MATCH($I2851,'Kode Outlet dan Target Toko'!$E:$E,0)),0)</f>
        <v>121409</v>
      </c>
      <c r="H2851" s="20">
        <f>IFERROR(INDEX('Kode Outlet dan Target Toko'!$D:$D,MATCH($I2851,'Kode Outlet dan Target Toko'!$E:$E,0)),0)</f>
        <v>5025004</v>
      </c>
      <c r="I2851" s="42" t="s">
        <v>112</v>
      </c>
      <c r="J2851" s="56" t="s">
        <v>184</v>
      </c>
      <c r="K2851" s="40" t="s">
        <v>15</v>
      </c>
      <c r="L2851" s="26">
        <v>2100</v>
      </c>
      <c r="M2851" s="26">
        <v>65</v>
      </c>
      <c r="N2851" s="25">
        <f t="shared" si="89"/>
        <v>136500</v>
      </c>
      <c r="O2851" s="56"/>
    </row>
    <row r="2852" spans="1:15" hidden="1" x14ac:dyDescent="0.3">
      <c r="A2852" s="26">
        <v>32</v>
      </c>
      <c r="B2852" s="20" t="str">
        <f t="shared" si="88"/>
        <v>AUG</v>
      </c>
      <c r="C2852" s="21">
        <v>46241</v>
      </c>
      <c r="D2852" s="22" t="s">
        <v>39</v>
      </c>
      <c r="E2852" s="20" t="str">
        <f>IFERROR(VLOOKUP(I2852,KET!$B:$F,4,0),"")</f>
        <v>FAHMI LUKMANUL HAKIM</v>
      </c>
      <c r="F2852" s="20" t="s">
        <v>86</v>
      </c>
      <c r="G2852" s="20">
        <f>IFERROR(INDEX('Kode Outlet dan Target Toko'!$C:$C,MATCH($I2852,'Kode Outlet dan Target Toko'!$E:$E,0)),0)</f>
        <v>121409</v>
      </c>
      <c r="H2852" s="20">
        <f>IFERROR(INDEX('Kode Outlet dan Target Toko'!$D:$D,MATCH($I2852,'Kode Outlet dan Target Toko'!$E:$E,0)),0)</f>
        <v>5025004</v>
      </c>
      <c r="I2852" s="42" t="s">
        <v>112</v>
      </c>
      <c r="J2852" s="56" t="s">
        <v>184</v>
      </c>
      <c r="K2852" s="40" t="s">
        <v>14</v>
      </c>
      <c r="L2852" s="26">
        <v>2100</v>
      </c>
      <c r="M2852" s="26">
        <v>74</v>
      </c>
      <c r="N2852" s="25">
        <f t="shared" si="89"/>
        <v>155400</v>
      </c>
      <c r="O2852" s="56"/>
    </row>
    <row r="2853" spans="1:15" hidden="1" x14ac:dyDescent="0.3">
      <c r="A2853" s="26">
        <v>32</v>
      </c>
      <c r="B2853" s="20" t="str">
        <f t="shared" si="88"/>
        <v>AUG</v>
      </c>
      <c r="C2853" s="21">
        <v>46241</v>
      </c>
      <c r="D2853" s="22" t="s">
        <v>39</v>
      </c>
      <c r="E2853" s="20" t="str">
        <f>IFERROR(VLOOKUP(I2853,KET!$B:$F,4,0),"")</f>
        <v>FAHMI LUKMANUL HAKIM</v>
      </c>
      <c r="F2853" s="20" t="s">
        <v>86</v>
      </c>
      <c r="G2853" s="20">
        <f>IFERROR(INDEX('Kode Outlet dan Target Toko'!$C:$C,MATCH($I2853,'Kode Outlet dan Target Toko'!$E:$E,0)),0)</f>
        <v>121409</v>
      </c>
      <c r="H2853" s="20">
        <f>IFERROR(INDEX('Kode Outlet dan Target Toko'!$D:$D,MATCH($I2853,'Kode Outlet dan Target Toko'!$E:$E,0)),0)</f>
        <v>5025004</v>
      </c>
      <c r="I2853" s="42" t="s">
        <v>112</v>
      </c>
      <c r="J2853" s="56" t="s">
        <v>184</v>
      </c>
      <c r="K2853" s="40" t="s">
        <v>13</v>
      </c>
      <c r="L2853" s="26">
        <v>2100</v>
      </c>
      <c r="M2853" s="26">
        <v>63</v>
      </c>
      <c r="N2853" s="25">
        <f t="shared" si="89"/>
        <v>132300</v>
      </c>
      <c r="O2853" s="56"/>
    </row>
    <row r="2854" spans="1:15" hidden="1" x14ac:dyDescent="0.3">
      <c r="A2854" s="26">
        <v>32</v>
      </c>
      <c r="B2854" s="20" t="str">
        <f t="shared" si="88"/>
        <v>AUG</v>
      </c>
      <c r="C2854" s="21">
        <v>46241</v>
      </c>
      <c r="D2854" s="22" t="s">
        <v>39</v>
      </c>
      <c r="E2854" s="20" t="str">
        <f>IFERROR(VLOOKUP(I2854,KET!$B:$F,4,0),"")</f>
        <v>FAHMI LUKMANUL HAKIM</v>
      </c>
      <c r="F2854" s="20" t="s">
        <v>86</v>
      </c>
      <c r="G2854" s="20">
        <f>IFERROR(INDEX('Kode Outlet dan Target Toko'!$C:$C,MATCH($I2854,'Kode Outlet dan Target Toko'!$E:$E,0)),0)</f>
        <v>121409</v>
      </c>
      <c r="H2854" s="20">
        <f>IFERROR(INDEX('Kode Outlet dan Target Toko'!$D:$D,MATCH($I2854,'Kode Outlet dan Target Toko'!$E:$E,0)),0)</f>
        <v>5025004</v>
      </c>
      <c r="I2854" s="42" t="s">
        <v>112</v>
      </c>
      <c r="J2854" s="56" t="s">
        <v>184</v>
      </c>
      <c r="K2854" s="40" t="s">
        <v>16</v>
      </c>
      <c r="L2854" s="26">
        <v>2100</v>
      </c>
      <c r="M2854" s="26">
        <v>85</v>
      </c>
      <c r="N2854" s="25">
        <f t="shared" si="89"/>
        <v>178500</v>
      </c>
      <c r="O2854" s="56"/>
    </row>
    <row r="2855" spans="1:15" hidden="1" x14ac:dyDescent="0.3">
      <c r="A2855" s="26">
        <v>32</v>
      </c>
      <c r="B2855" s="20" t="str">
        <f t="shared" si="88"/>
        <v>AUG</v>
      </c>
      <c r="C2855" s="21">
        <v>46241</v>
      </c>
      <c r="D2855" s="22" t="s">
        <v>39</v>
      </c>
      <c r="E2855" s="20" t="str">
        <f>IFERROR(VLOOKUP(I2855,KET!$B:$F,4,0),"")</f>
        <v>FAHMI LUKMANUL HAKIM</v>
      </c>
      <c r="F2855" s="20" t="s">
        <v>86</v>
      </c>
      <c r="G2855" s="20">
        <f>IFERROR(INDEX('Kode Outlet dan Target Toko'!$C:$C,MATCH($I2855,'Kode Outlet dan Target Toko'!$E:$E,0)),0)</f>
        <v>121409</v>
      </c>
      <c r="H2855" s="20">
        <f>IFERROR(INDEX('Kode Outlet dan Target Toko'!$D:$D,MATCH($I2855,'Kode Outlet dan Target Toko'!$E:$E,0)),0)</f>
        <v>5025004</v>
      </c>
      <c r="I2855" s="42" t="s">
        <v>112</v>
      </c>
      <c r="J2855" s="56" t="s">
        <v>185</v>
      </c>
      <c r="K2855" s="40" t="s">
        <v>15</v>
      </c>
      <c r="L2855" s="26">
        <v>2100</v>
      </c>
      <c r="M2855" s="26">
        <v>65</v>
      </c>
      <c r="N2855" s="25">
        <f t="shared" si="89"/>
        <v>136500</v>
      </c>
      <c r="O2855" s="56"/>
    </row>
    <row r="2856" spans="1:15" hidden="1" x14ac:dyDescent="0.3">
      <c r="A2856" s="26">
        <v>32</v>
      </c>
      <c r="B2856" s="20" t="str">
        <f t="shared" si="88"/>
        <v>AUG</v>
      </c>
      <c r="C2856" s="21">
        <v>46241</v>
      </c>
      <c r="D2856" s="22" t="s">
        <v>39</v>
      </c>
      <c r="E2856" s="20" t="str">
        <f>IFERROR(VLOOKUP(I2856,KET!$B:$F,4,0),"")</f>
        <v>FAHMI LUKMANUL HAKIM</v>
      </c>
      <c r="F2856" s="20" t="s">
        <v>86</v>
      </c>
      <c r="G2856" s="20">
        <f>IFERROR(INDEX('Kode Outlet dan Target Toko'!$C:$C,MATCH($I2856,'Kode Outlet dan Target Toko'!$E:$E,0)),0)</f>
        <v>121409</v>
      </c>
      <c r="H2856" s="20">
        <f>IFERROR(INDEX('Kode Outlet dan Target Toko'!$D:$D,MATCH($I2856,'Kode Outlet dan Target Toko'!$E:$E,0)),0)</f>
        <v>5025004</v>
      </c>
      <c r="I2856" s="42" t="s">
        <v>112</v>
      </c>
      <c r="J2856" s="56" t="s">
        <v>185</v>
      </c>
      <c r="K2856" s="40" t="s">
        <v>14</v>
      </c>
      <c r="L2856" s="26">
        <v>2100</v>
      </c>
      <c r="M2856" s="26">
        <v>74</v>
      </c>
      <c r="N2856" s="25">
        <f t="shared" si="89"/>
        <v>155400</v>
      </c>
      <c r="O2856" s="56"/>
    </row>
    <row r="2857" spans="1:15" hidden="1" x14ac:dyDescent="0.3">
      <c r="A2857" s="26">
        <v>32</v>
      </c>
      <c r="B2857" s="20" t="str">
        <f t="shared" si="88"/>
        <v>AUG</v>
      </c>
      <c r="C2857" s="21">
        <v>46241</v>
      </c>
      <c r="D2857" s="22" t="s">
        <v>39</v>
      </c>
      <c r="E2857" s="20" t="str">
        <f>IFERROR(VLOOKUP(I2857,KET!$B:$F,4,0),"")</f>
        <v>FAHMI LUKMANUL HAKIM</v>
      </c>
      <c r="F2857" s="20" t="s">
        <v>86</v>
      </c>
      <c r="G2857" s="20">
        <f>IFERROR(INDEX('Kode Outlet dan Target Toko'!$C:$C,MATCH($I2857,'Kode Outlet dan Target Toko'!$E:$E,0)),0)</f>
        <v>121409</v>
      </c>
      <c r="H2857" s="20">
        <f>IFERROR(INDEX('Kode Outlet dan Target Toko'!$D:$D,MATCH($I2857,'Kode Outlet dan Target Toko'!$E:$E,0)),0)</f>
        <v>5025004</v>
      </c>
      <c r="I2857" s="42" t="s">
        <v>112</v>
      </c>
      <c r="J2857" s="56" t="s">
        <v>185</v>
      </c>
      <c r="K2857" s="40" t="s">
        <v>13</v>
      </c>
      <c r="L2857" s="26">
        <v>2100</v>
      </c>
      <c r="M2857" s="26">
        <v>63</v>
      </c>
      <c r="N2857" s="25">
        <f t="shared" si="89"/>
        <v>132300</v>
      </c>
      <c r="O2857" s="56"/>
    </row>
    <row r="2858" spans="1:15" hidden="1" x14ac:dyDescent="0.3">
      <c r="A2858" s="26">
        <v>32</v>
      </c>
      <c r="B2858" s="20" t="str">
        <f t="shared" si="88"/>
        <v>AUG</v>
      </c>
      <c r="C2858" s="21">
        <v>46241</v>
      </c>
      <c r="D2858" s="22" t="s">
        <v>39</v>
      </c>
      <c r="E2858" s="20" t="str">
        <f>IFERROR(VLOOKUP(I2858,KET!$B:$F,4,0),"")</f>
        <v>FAHMI LUKMANUL HAKIM</v>
      </c>
      <c r="F2858" s="20" t="s">
        <v>86</v>
      </c>
      <c r="G2858" s="20">
        <f>IFERROR(INDEX('Kode Outlet dan Target Toko'!$C:$C,MATCH($I2858,'Kode Outlet dan Target Toko'!$E:$E,0)),0)</f>
        <v>121409</v>
      </c>
      <c r="H2858" s="20">
        <f>IFERROR(INDEX('Kode Outlet dan Target Toko'!$D:$D,MATCH($I2858,'Kode Outlet dan Target Toko'!$E:$E,0)),0)</f>
        <v>5025004</v>
      </c>
      <c r="I2858" s="42" t="s">
        <v>112</v>
      </c>
      <c r="J2858" s="56" t="s">
        <v>185</v>
      </c>
      <c r="K2858" s="40" t="s">
        <v>16</v>
      </c>
      <c r="L2858" s="26">
        <v>2100</v>
      </c>
      <c r="M2858" s="26">
        <v>85</v>
      </c>
      <c r="N2858" s="25">
        <f t="shared" si="89"/>
        <v>178500</v>
      </c>
      <c r="O2858" s="56"/>
    </row>
    <row r="2859" spans="1:15" hidden="1" x14ac:dyDescent="0.3">
      <c r="A2859" s="26">
        <v>32</v>
      </c>
      <c r="B2859" s="20" t="str">
        <f t="shared" si="88"/>
        <v>AUG</v>
      </c>
      <c r="C2859" s="21">
        <v>46241</v>
      </c>
      <c r="D2859" s="22" t="s">
        <v>39</v>
      </c>
      <c r="E2859" s="20" t="str">
        <f>IFERROR(VLOOKUP(I2859,KET!$B:$F,4,0),"")</f>
        <v>FAHMI LUKMANUL HAKIM</v>
      </c>
      <c r="F2859" s="20" t="s">
        <v>42</v>
      </c>
      <c r="G2859" s="20">
        <f>IFERROR(INDEX('Kode Outlet dan Target Toko'!$C:$C,MATCH($I2859,'Kode Outlet dan Target Toko'!$E:$E,0)),0)</f>
        <v>103259</v>
      </c>
      <c r="H2859" s="20">
        <f>IFERROR(INDEX('Kode Outlet dan Target Toko'!$D:$D,MATCH($I2859,'Kode Outlet dan Target Toko'!$E:$E,0)),0)</f>
        <v>9006219</v>
      </c>
      <c r="I2859" s="42" t="s">
        <v>96</v>
      </c>
      <c r="J2859" s="56" t="s">
        <v>253</v>
      </c>
      <c r="K2859" s="40" t="s">
        <v>15</v>
      </c>
      <c r="L2859" s="26">
        <v>2200</v>
      </c>
      <c r="M2859" s="26">
        <v>45</v>
      </c>
      <c r="N2859" s="25">
        <f t="shared" si="89"/>
        <v>99000</v>
      </c>
      <c r="O2859" s="56"/>
    </row>
    <row r="2860" spans="1:15" hidden="1" x14ac:dyDescent="0.3">
      <c r="A2860" s="26">
        <v>32</v>
      </c>
      <c r="B2860" s="20" t="str">
        <f t="shared" si="88"/>
        <v>AUG</v>
      </c>
      <c r="C2860" s="21">
        <v>46241</v>
      </c>
      <c r="D2860" s="22" t="s">
        <v>39</v>
      </c>
      <c r="E2860" s="20" t="str">
        <f>IFERROR(VLOOKUP(I2860,KET!$B:$F,4,0),"")</f>
        <v>FAHMI LUKMANUL HAKIM</v>
      </c>
      <c r="F2860" s="20" t="s">
        <v>42</v>
      </c>
      <c r="G2860" s="20">
        <f>IFERROR(INDEX('Kode Outlet dan Target Toko'!$C:$C,MATCH($I2860,'Kode Outlet dan Target Toko'!$E:$E,0)),0)</f>
        <v>103259</v>
      </c>
      <c r="H2860" s="20">
        <f>IFERROR(INDEX('Kode Outlet dan Target Toko'!$D:$D,MATCH($I2860,'Kode Outlet dan Target Toko'!$E:$E,0)),0)</f>
        <v>9006219</v>
      </c>
      <c r="I2860" s="42" t="s">
        <v>96</v>
      </c>
      <c r="J2860" s="56" t="s">
        <v>253</v>
      </c>
      <c r="K2860" s="40" t="s">
        <v>14</v>
      </c>
      <c r="L2860" s="26">
        <v>2200</v>
      </c>
      <c r="M2860" s="26">
        <v>47</v>
      </c>
      <c r="N2860" s="25">
        <f t="shared" si="89"/>
        <v>103400</v>
      </c>
      <c r="O2860" s="56"/>
    </row>
    <row r="2861" spans="1:15" hidden="1" x14ac:dyDescent="0.3">
      <c r="A2861" s="26">
        <v>32</v>
      </c>
      <c r="B2861" s="20" t="str">
        <f t="shared" si="88"/>
        <v>AUG</v>
      </c>
      <c r="C2861" s="21">
        <v>46241</v>
      </c>
      <c r="D2861" s="22" t="s">
        <v>39</v>
      </c>
      <c r="E2861" s="20" t="str">
        <f>IFERROR(VLOOKUP(I2861,KET!$B:$F,4,0),"")</f>
        <v>FAHMI LUKMANUL HAKIM</v>
      </c>
      <c r="F2861" s="20" t="s">
        <v>42</v>
      </c>
      <c r="G2861" s="20">
        <f>IFERROR(INDEX('Kode Outlet dan Target Toko'!$C:$C,MATCH($I2861,'Kode Outlet dan Target Toko'!$E:$E,0)),0)</f>
        <v>103259</v>
      </c>
      <c r="H2861" s="20">
        <f>IFERROR(INDEX('Kode Outlet dan Target Toko'!$D:$D,MATCH($I2861,'Kode Outlet dan Target Toko'!$E:$E,0)),0)</f>
        <v>9006219</v>
      </c>
      <c r="I2861" s="42" t="s">
        <v>96</v>
      </c>
      <c r="J2861" s="56" t="s">
        <v>253</v>
      </c>
      <c r="K2861" s="40" t="s">
        <v>13</v>
      </c>
      <c r="L2861" s="26">
        <v>2200</v>
      </c>
      <c r="M2861" s="26">
        <v>40</v>
      </c>
      <c r="N2861" s="25">
        <f t="shared" si="89"/>
        <v>88000</v>
      </c>
      <c r="O2861" s="56"/>
    </row>
    <row r="2862" spans="1:15" hidden="1" x14ac:dyDescent="0.3">
      <c r="A2862" s="26">
        <v>32</v>
      </c>
      <c r="B2862" s="20" t="str">
        <f t="shared" si="88"/>
        <v>AUG</v>
      </c>
      <c r="C2862" s="21">
        <v>46241</v>
      </c>
      <c r="D2862" s="22" t="s">
        <v>39</v>
      </c>
      <c r="E2862" s="20" t="str">
        <f>IFERROR(VLOOKUP(I2862,KET!$B:$F,4,0),"")</f>
        <v>FAHMI LUKMANUL HAKIM</v>
      </c>
      <c r="F2862" s="20" t="s">
        <v>42</v>
      </c>
      <c r="G2862" s="20">
        <f>IFERROR(INDEX('Kode Outlet dan Target Toko'!$C:$C,MATCH($I2862,'Kode Outlet dan Target Toko'!$E:$E,0)),0)</f>
        <v>103259</v>
      </c>
      <c r="H2862" s="20">
        <f>IFERROR(INDEX('Kode Outlet dan Target Toko'!$D:$D,MATCH($I2862,'Kode Outlet dan Target Toko'!$E:$E,0)),0)</f>
        <v>9006219</v>
      </c>
      <c r="I2862" s="42" t="s">
        <v>96</v>
      </c>
      <c r="J2862" s="56" t="s">
        <v>253</v>
      </c>
      <c r="K2862" s="40" t="s">
        <v>16</v>
      </c>
      <c r="L2862" s="26">
        <v>2200</v>
      </c>
      <c r="M2862" s="26">
        <v>75</v>
      </c>
      <c r="N2862" s="25">
        <f t="shared" si="89"/>
        <v>165000</v>
      </c>
      <c r="O2862" s="56">
        <v>160</v>
      </c>
    </row>
    <row r="2863" spans="1:15" hidden="1" x14ac:dyDescent="0.3">
      <c r="A2863" s="26">
        <v>32</v>
      </c>
      <c r="B2863" s="20" t="str">
        <f t="shared" si="88"/>
        <v>AUG</v>
      </c>
      <c r="C2863" s="21">
        <v>46241</v>
      </c>
      <c r="D2863" s="22" t="s">
        <v>39</v>
      </c>
      <c r="E2863" s="20" t="str">
        <f>IFERROR(VLOOKUP(I2863,KET!$B:$F,4,0),"")</f>
        <v>FAHMI LUKMANUL HAKIM</v>
      </c>
      <c r="F2863" s="20" t="s">
        <v>42</v>
      </c>
      <c r="G2863" s="20">
        <f>IFERROR(INDEX('Kode Outlet dan Target Toko'!$C:$C,MATCH($I2863,'Kode Outlet dan Target Toko'!$E:$E,0)),0)</f>
        <v>103259</v>
      </c>
      <c r="H2863" s="20">
        <f>IFERROR(INDEX('Kode Outlet dan Target Toko'!$D:$D,MATCH($I2863,'Kode Outlet dan Target Toko'!$E:$E,0)),0)</f>
        <v>9006219</v>
      </c>
      <c r="I2863" s="42" t="s">
        <v>96</v>
      </c>
      <c r="J2863" s="56" t="s">
        <v>198</v>
      </c>
      <c r="K2863" s="40" t="s">
        <v>15</v>
      </c>
      <c r="L2863" s="26">
        <v>2200</v>
      </c>
      <c r="M2863" s="26">
        <v>45</v>
      </c>
      <c r="N2863" s="25">
        <f t="shared" si="89"/>
        <v>99000</v>
      </c>
      <c r="O2863" s="56"/>
    </row>
    <row r="2864" spans="1:15" hidden="1" x14ac:dyDescent="0.3">
      <c r="A2864" s="26">
        <v>32</v>
      </c>
      <c r="B2864" s="20" t="str">
        <f t="shared" si="88"/>
        <v>AUG</v>
      </c>
      <c r="C2864" s="21">
        <v>46241</v>
      </c>
      <c r="D2864" s="22" t="s">
        <v>39</v>
      </c>
      <c r="E2864" s="20" t="str">
        <f>IFERROR(VLOOKUP(I2864,KET!$B:$F,4,0),"")</f>
        <v>FAHMI LUKMANUL HAKIM</v>
      </c>
      <c r="F2864" s="20" t="s">
        <v>42</v>
      </c>
      <c r="G2864" s="20">
        <f>IFERROR(INDEX('Kode Outlet dan Target Toko'!$C:$C,MATCH($I2864,'Kode Outlet dan Target Toko'!$E:$E,0)),0)</f>
        <v>103259</v>
      </c>
      <c r="H2864" s="20">
        <f>IFERROR(INDEX('Kode Outlet dan Target Toko'!$D:$D,MATCH($I2864,'Kode Outlet dan Target Toko'!$E:$E,0)),0)</f>
        <v>9006219</v>
      </c>
      <c r="I2864" s="42" t="s">
        <v>96</v>
      </c>
      <c r="J2864" s="56" t="s">
        <v>198</v>
      </c>
      <c r="K2864" s="40" t="s">
        <v>14</v>
      </c>
      <c r="L2864" s="26">
        <v>2200</v>
      </c>
      <c r="M2864" s="26">
        <v>47</v>
      </c>
      <c r="N2864" s="25">
        <f t="shared" si="89"/>
        <v>103400</v>
      </c>
      <c r="O2864" s="56"/>
    </row>
    <row r="2865" spans="1:15" hidden="1" x14ac:dyDescent="0.3">
      <c r="A2865" s="26">
        <v>32</v>
      </c>
      <c r="B2865" s="20" t="str">
        <f t="shared" si="88"/>
        <v>AUG</v>
      </c>
      <c r="C2865" s="21">
        <v>46241</v>
      </c>
      <c r="D2865" s="22" t="s">
        <v>39</v>
      </c>
      <c r="E2865" s="20" t="str">
        <f>IFERROR(VLOOKUP(I2865,KET!$B:$F,4,0),"")</f>
        <v>FAHMI LUKMANUL HAKIM</v>
      </c>
      <c r="F2865" s="20" t="s">
        <v>42</v>
      </c>
      <c r="G2865" s="20">
        <f>IFERROR(INDEX('Kode Outlet dan Target Toko'!$C:$C,MATCH($I2865,'Kode Outlet dan Target Toko'!$E:$E,0)),0)</f>
        <v>103259</v>
      </c>
      <c r="H2865" s="20">
        <f>IFERROR(INDEX('Kode Outlet dan Target Toko'!$D:$D,MATCH($I2865,'Kode Outlet dan Target Toko'!$E:$E,0)),0)</f>
        <v>9006219</v>
      </c>
      <c r="I2865" s="42" t="s">
        <v>96</v>
      </c>
      <c r="J2865" s="56" t="s">
        <v>198</v>
      </c>
      <c r="K2865" s="40" t="s">
        <v>13</v>
      </c>
      <c r="L2865" s="26">
        <v>2200</v>
      </c>
      <c r="M2865" s="26">
        <v>36</v>
      </c>
      <c r="N2865" s="25">
        <f t="shared" si="89"/>
        <v>79200</v>
      </c>
      <c r="O2865" s="56"/>
    </row>
    <row r="2866" spans="1:15" hidden="1" x14ac:dyDescent="0.3">
      <c r="A2866" s="26">
        <v>32</v>
      </c>
      <c r="B2866" s="20" t="str">
        <f t="shared" si="88"/>
        <v>AUG</v>
      </c>
      <c r="C2866" s="21">
        <v>46241</v>
      </c>
      <c r="D2866" s="22" t="s">
        <v>39</v>
      </c>
      <c r="E2866" s="20" t="str">
        <f>IFERROR(VLOOKUP(I2866,KET!$B:$F,4,0),"")</f>
        <v>FAHMI LUKMANUL HAKIM</v>
      </c>
      <c r="F2866" s="20" t="s">
        <v>42</v>
      </c>
      <c r="G2866" s="20">
        <f>IFERROR(INDEX('Kode Outlet dan Target Toko'!$C:$C,MATCH($I2866,'Kode Outlet dan Target Toko'!$E:$E,0)),0)</f>
        <v>103259</v>
      </c>
      <c r="H2866" s="20">
        <f>IFERROR(INDEX('Kode Outlet dan Target Toko'!$D:$D,MATCH($I2866,'Kode Outlet dan Target Toko'!$E:$E,0)),0)</f>
        <v>9006219</v>
      </c>
      <c r="I2866" s="42" t="s">
        <v>96</v>
      </c>
      <c r="J2866" s="56" t="s">
        <v>198</v>
      </c>
      <c r="K2866" s="40" t="s">
        <v>16</v>
      </c>
      <c r="L2866" s="26">
        <v>2200</v>
      </c>
      <c r="M2866" s="26">
        <v>75</v>
      </c>
      <c r="N2866" s="25">
        <f t="shared" si="89"/>
        <v>165000</v>
      </c>
      <c r="O2866" s="56">
        <v>160</v>
      </c>
    </row>
    <row r="2867" spans="1:15" hidden="1" x14ac:dyDescent="0.3">
      <c r="A2867" s="26">
        <v>32</v>
      </c>
      <c r="B2867" s="20" t="str">
        <f t="shared" si="88"/>
        <v>AUG</v>
      </c>
      <c r="C2867" s="21">
        <v>46241</v>
      </c>
      <c r="D2867" s="22" t="s">
        <v>39</v>
      </c>
      <c r="E2867" s="20" t="str">
        <f>IFERROR(VLOOKUP(I2867,KET!$B:$F,4,0),"")</f>
        <v>FAHMI LUKMANUL HAKIM</v>
      </c>
      <c r="F2867" s="20" t="s">
        <v>42</v>
      </c>
      <c r="G2867" s="20">
        <f>IFERROR(INDEX('Kode Outlet dan Target Toko'!$C:$C,MATCH($I2867,'Kode Outlet dan Target Toko'!$E:$E,0)),0)</f>
        <v>103258</v>
      </c>
      <c r="H2867" s="20">
        <f>IFERROR(INDEX('Kode Outlet dan Target Toko'!$D:$D,MATCH($I2867,'Kode Outlet dan Target Toko'!$E:$E,0)),0)</f>
        <v>9201924</v>
      </c>
      <c r="I2867" s="42" t="s">
        <v>95</v>
      </c>
      <c r="J2867" s="56" t="s">
        <v>200</v>
      </c>
      <c r="K2867" s="40" t="s">
        <v>15</v>
      </c>
      <c r="L2867" s="26">
        <v>2200</v>
      </c>
      <c r="M2867" s="26">
        <v>180</v>
      </c>
      <c r="N2867" s="25">
        <f t="shared" si="89"/>
        <v>396000</v>
      </c>
      <c r="O2867" s="56"/>
    </row>
    <row r="2868" spans="1:15" hidden="1" x14ac:dyDescent="0.3">
      <c r="A2868" s="26">
        <v>32</v>
      </c>
      <c r="B2868" s="20" t="str">
        <f t="shared" si="88"/>
        <v>AUG</v>
      </c>
      <c r="C2868" s="21">
        <v>46241</v>
      </c>
      <c r="D2868" s="22" t="s">
        <v>39</v>
      </c>
      <c r="E2868" s="20" t="str">
        <f>IFERROR(VLOOKUP(I2868,KET!$B:$F,4,0),"")</f>
        <v>FAHMI LUKMANUL HAKIM</v>
      </c>
      <c r="F2868" s="20" t="s">
        <v>42</v>
      </c>
      <c r="G2868" s="20">
        <f>IFERROR(INDEX('Kode Outlet dan Target Toko'!$C:$C,MATCH($I2868,'Kode Outlet dan Target Toko'!$E:$E,0)),0)</f>
        <v>103258</v>
      </c>
      <c r="H2868" s="20">
        <f>IFERROR(INDEX('Kode Outlet dan Target Toko'!$D:$D,MATCH($I2868,'Kode Outlet dan Target Toko'!$E:$E,0)),0)</f>
        <v>9201924</v>
      </c>
      <c r="I2868" s="42" t="s">
        <v>95</v>
      </c>
      <c r="J2868" s="56" t="s">
        <v>200</v>
      </c>
      <c r="K2868" s="40" t="s">
        <v>14</v>
      </c>
      <c r="L2868" s="26">
        <v>2200</v>
      </c>
      <c r="M2868" s="26">
        <v>180</v>
      </c>
      <c r="N2868" s="25">
        <f t="shared" si="89"/>
        <v>396000</v>
      </c>
      <c r="O2868" s="56"/>
    </row>
    <row r="2869" spans="1:15" hidden="1" x14ac:dyDescent="0.3">
      <c r="A2869" s="26">
        <v>32</v>
      </c>
      <c r="B2869" s="20" t="str">
        <f t="shared" si="88"/>
        <v>AUG</v>
      </c>
      <c r="C2869" s="21">
        <v>46241</v>
      </c>
      <c r="D2869" s="22" t="s">
        <v>39</v>
      </c>
      <c r="E2869" s="20" t="str">
        <f>IFERROR(VLOOKUP(I2869,KET!$B:$F,4,0),"")</f>
        <v>FAHMI LUKMANUL HAKIM</v>
      </c>
      <c r="F2869" s="20" t="s">
        <v>42</v>
      </c>
      <c r="G2869" s="20">
        <f>IFERROR(INDEX('Kode Outlet dan Target Toko'!$C:$C,MATCH($I2869,'Kode Outlet dan Target Toko'!$E:$E,0)),0)</f>
        <v>103258</v>
      </c>
      <c r="H2869" s="20">
        <f>IFERROR(INDEX('Kode Outlet dan Target Toko'!$D:$D,MATCH($I2869,'Kode Outlet dan Target Toko'!$E:$E,0)),0)</f>
        <v>9201924</v>
      </c>
      <c r="I2869" s="42" t="s">
        <v>95</v>
      </c>
      <c r="J2869" s="56" t="s">
        <v>200</v>
      </c>
      <c r="K2869" s="40" t="s">
        <v>13</v>
      </c>
      <c r="L2869" s="26">
        <v>2200</v>
      </c>
      <c r="M2869" s="26">
        <v>0</v>
      </c>
      <c r="N2869" s="25">
        <f t="shared" si="89"/>
        <v>0</v>
      </c>
      <c r="O2869" s="56"/>
    </row>
    <row r="2870" spans="1:15" hidden="1" x14ac:dyDescent="0.3">
      <c r="A2870" s="26">
        <v>32</v>
      </c>
      <c r="B2870" s="20" t="str">
        <f t="shared" si="88"/>
        <v>AUG</v>
      </c>
      <c r="C2870" s="21">
        <v>46241</v>
      </c>
      <c r="D2870" s="22" t="s">
        <v>39</v>
      </c>
      <c r="E2870" s="20" t="str">
        <f>IFERROR(VLOOKUP(I2870,KET!$B:$F,4,0),"")</f>
        <v>FAHMI LUKMANUL HAKIM</v>
      </c>
      <c r="F2870" s="20" t="s">
        <v>42</v>
      </c>
      <c r="G2870" s="20">
        <f>IFERROR(INDEX('Kode Outlet dan Target Toko'!$C:$C,MATCH($I2870,'Kode Outlet dan Target Toko'!$E:$E,0)),0)</f>
        <v>103258</v>
      </c>
      <c r="H2870" s="20">
        <f>IFERROR(INDEX('Kode Outlet dan Target Toko'!$D:$D,MATCH($I2870,'Kode Outlet dan Target Toko'!$E:$E,0)),0)</f>
        <v>9201924</v>
      </c>
      <c r="I2870" s="42" t="s">
        <v>95</v>
      </c>
      <c r="J2870" s="56" t="s">
        <v>200</v>
      </c>
      <c r="K2870" s="40" t="s">
        <v>16</v>
      </c>
      <c r="L2870" s="26">
        <v>2200</v>
      </c>
      <c r="M2870" s="26">
        <v>0</v>
      </c>
      <c r="N2870" s="25">
        <f t="shared" si="89"/>
        <v>0</v>
      </c>
      <c r="O2870" s="56">
        <v>10</v>
      </c>
    </row>
    <row r="2871" spans="1:15" hidden="1" x14ac:dyDescent="0.3">
      <c r="A2871" s="26">
        <v>32</v>
      </c>
      <c r="B2871" s="20" t="str">
        <f t="shared" si="88"/>
        <v>AUG</v>
      </c>
      <c r="C2871" s="21">
        <v>46241</v>
      </c>
      <c r="D2871" s="22" t="s">
        <v>39</v>
      </c>
      <c r="E2871" s="20" t="str">
        <f>IFERROR(VLOOKUP(I2871,KET!$B:$F,4,0),"")</f>
        <v>FAHMI LUKMANUL HAKIM</v>
      </c>
      <c r="F2871" s="20" t="s">
        <v>42</v>
      </c>
      <c r="G2871" s="20">
        <f>IFERROR(INDEX('Kode Outlet dan Target Toko'!$C:$C,MATCH($I2871,'Kode Outlet dan Target Toko'!$E:$E,0)),0)</f>
        <v>103258</v>
      </c>
      <c r="H2871" s="20">
        <f>IFERROR(INDEX('Kode Outlet dan Target Toko'!$D:$D,MATCH($I2871,'Kode Outlet dan Target Toko'!$E:$E,0)),0)</f>
        <v>9201924</v>
      </c>
      <c r="I2871" s="42" t="s">
        <v>95</v>
      </c>
      <c r="J2871" s="56" t="s">
        <v>299</v>
      </c>
      <c r="K2871" s="40" t="s">
        <v>15</v>
      </c>
      <c r="L2871" s="26">
        <v>2200</v>
      </c>
      <c r="M2871" s="26">
        <v>180</v>
      </c>
      <c r="N2871" s="25">
        <f t="shared" si="89"/>
        <v>396000</v>
      </c>
      <c r="O2871" s="56"/>
    </row>
    <row r="2872" spans="1:15" hidden="1" x14ac:dyDescent="0.3">
      <c r="A2872" s="26">
        <v>32</v>
      </c>
      <c r="B2872" s="20" t="str">
        <f t="shared" si="88"/>
        <v>AUG</v>
      </c>
      <c r="C2872" s="21">
        <v>46241</v>
      </c>
      <c r="D2872" s="22" t="s">
        <v>39</v>
      </c>
      <c r="E2872" s="20" t="str">
        <f>IFERROR(VLOOKUP(I2872,KET!$B:$F,4,0),"")</f>
        <v>FAHMI LUKMANUL HAKIM</v>
      </c>
      <c r="F2872" s="20" t="s">
        <v>42</v>
      </c>
      <c r="G2872" s="20">
        <f>IFERROR(INDEX('Kode Outlet dan Target Toko'!$C:$C,MATCH($I2872,'Kode Outlet dan Target Toko'!$E:$E,0)),0)</f>
        <v>103258</v>
      </c>
      <c r="H2872" s="20">
        <f>IFERROR(INDEX('Kode Outlet dan Target Toko'!$D:$D,MATCH($I2872,'Kode Outlet dan Target Toko'!$E:$E,0)),0)</f>
        <v>9201924</v>
      </c>
      <c r="I2872" s="42" t="s">
        <v>95</v>
      </c>
      <c r="J2872" s="56" t="s">
        <v>299</v>
      </c>
      <c r="K2872" s="40" t="s">
        <v>14</v>
      </c>
      <c r="L2872" s="26">
        <v>2200</v>
      </c>
      <c r="M2872" s="26">
        <v>180</v>
      </c>
      <c r="N2872" s="25">
        <f t="shared" si="89"/>
        <v>396000</v>
      </c>
      <c r="O2872" s="56"/>
    </row>
    <row r="2873" spans="1:15" hidden="1" x14ac:dyDescent="0.3">
      <c r="A2873" s="26">
        <v>32</v>
      </c>
      <c r="B2873" s="20" t="str">
        <f t="shared" si="88"/>
        <v>AUG</v>
      </c>
      <c r="C2873" s="21">
        <v>46241</v>
      </c>
      <c r="D2873" s="22" t="s">
        <v>39</v>
      </c>
      <c r="E2873" s="20" t="str">
        <f>IFERROR(VLOOKUP(I2873,KET!$B:$F,4,0),"")</f>
        <v>FAHMI LUKMANUL HAKIM</v>
      </c>
      <c r="F2873" s="20" t="s">
        <v>42</v>
      </c>
      <c r="G2873" s="20">
        <f>IFERROR(INDEX('Kode Outlet dan Target Toko'!$C:$C,MATCH($I2873,'Kode Outlet dan Target Toko'!$E:$E,0)),0)</f>
        <v>103258</v>
      </c>
      <c r="H2873" s="20">
        <f>IFERROR(INDEX('Kode Outlet dan Target Toko'!$D:$D,MATCH($I2873,'Kode Outlet dan Target Toko'!$E:$E,0)),0)</f>
        <v>9201924</v>
      </c>
      <c r="I2873" s="42" t="s">
        <v>95</v>
      </c>
      <c r="J2873" s="56" t="s">
        <v>299</v>
      </c>
      <c r="K2873" s="40" t="s">
        <v>13</v>
      </c>
      <c r="L2873" s="26">
        <v>2200</v>
      </c>
      <c r="M2873" s="26">
        <v>0</v>
      </c>
      <c r="N2873" s="25">
        <f t="shared" si="89"/>
        <v>0</v>
      </c>
      <c r="O2873" s="56"/>
    </row>
    <row r="2874" spans="1:15" hidden="1" x14ac:dyDescent="0.3">
      <c r="A2874" s="26">
        <v>32</v>
      </c>
      <c r="B2874" s="20" t="str">
        <f t="shared" si="88"/>
        <v>AUG</v>
      </c>
      <c r="C2874" s="21">
        <v>46241</v>
      </c>
      <c r="D2874" s="22" t="s">
        <v>39</v>
      </c>
      <c r="E2874" s="20" t="str">
        <f>IFERROR(VLOOKUP(I2874,KET!$B:$F,4,0),"")</f>
        <v>FAHMI LUKMANUL HAKIM</v>
      </c>
      <c r="F2874" s="20" t="s">
        <v>42</v>
      </c>
      <c r="G2874" s="20">
        <f>IFERROR(INDEX('Kode Outlet dan Target Toko'!$C:$C,MATCH($I2874,'Kode Outlet dan Target Toko'!$E:$E,0)),0)</f>
        <v>103258</v>
      </c>
      <c r="H2874" s="20">
        <f>IFERROR(INDEX('Kode Outlet dan Target Toko'!$D:$D,MATCH($I2874,'Kode Outlet dan Target Toko'!$E:$E,0)),0)</f>
        <v>9201924</v>
      </c>
      <c r="I2874" s="42" t="s">
        <v>95</v>
      </c>
      <c r="J2874" s="56" t="s">
        <v>299</v>
      </c>
      <c r="K2874" s="40" t="s">
        <v>16</v>
      </c>
      <c r="L2874" s="26">
        <v>2200</v>
      </c>
      <c r="M2874" s="26">
        <v>0</v>
      </c>
      <c r="N2874" s="25">
        <f t="shared" si="89"/>
        <v>0</v>
      </c>
      <c r="O2874" s="56">
        <v>10</v>
      </c>
    </row>
    <row r="2875" spans="1:15" hidden="1" x14ac:dyDescent="0.3">
      <c r="A2875" s="26">
        <v>32</v>
      </c>
      <c r="B2875" s="20" t="str">
        <f t="shared" si="88"/>
        <v>AUG</v>
      </c>
      <c r="C2875" s="21">
        <v>46242</v>
      </c>
      <c r="D2875" s="22" t="s">
        <v>39</v>
      </c>
      <c r="E2875" s="20" t="str">
        <f>IFERROR(VLOOKUP(I2875,KET!$B:$F,4,0),"")</f>
        <v>FAHMI LUKMANUL HAKIM</v>
      </c>
      <c r="F2875" s="20" t="s">
        <v>42</v>
      </c>
      <c r="G2875" s="20">
        <f>IFERROR(INDEX('Kode Outlet dan Target Toko'!$C:$C,MATCH($I2875,'Kode Outlet dan Target Toko'!$E:$E,0)),0)</f>
        <v>103259</v>
      </c>
      <c r="H2875" s="20">
        <f>IFERROR(INDEX('Kode Outlet dan Target Toko'!$D:$D,MATCH($I2875,'Kode Outlet dan Target Toko'!$E:$E,0)),0)</f>
        <v>9002359</v>
      </c>
      <c r="I2875" s="42" t="s">
        <v>103</v>
      </c>
      <c r="J2875" s="56" t="s">
        <v>196</v>
      </c>
      <c r="K2875" s="40" t="s">
        <v>15</v>
      </c>
      <c r="L2875" s="26">
        <v>3000</v>
      </c>
      <c r="M2875" s="26">
        <v>42</v>
      </c>
      <c r="N2875" s="25">
        <f t="shared" si="89"/>
        <v>126000</v>
      </c>
      <c r="O2875" s="56"/>
    </row>
    <row r="2876" spans="1:15" hidden="1" x14ac:dyDescent="0.3">
      <c r="A2876" s="26">
        <v>32</v>
      </c>
      <c r="B2876" s="20" t="str">
        <f t="shared" si="88"/>
        <v>AUG</v>
      </c>
      <c r="C2876" s="21">
        <v>46242</v>
      </c>
      <c r="D2876" s="22" t="s">
        <v>39</v>
      </c>
      <c r="E2876" s="20" t="str">
        <f>IFERROR(VLOOKUP(I2876,KET!$B:$F,4,0),"")</f>
        <v>FAHMI LUKMANUL HAKIM</v>
      </c>
      <c r="F2876" s="20" t="s">
        <v>42</v>
      </c>
      <c r="G2876" s="20">
        <f>IFERROR(INDEX('Kode Outlet dan Target Toko'!$C:$C,MATCH($I2876,'Kode Outlet dan Target Toko'!$E:$E,0)),0)</f>
        <v>103259</v>
      </c>
      <c r="H2876" s="20">
        <f>IFERROR(INDEX('Kode Outlet dan Target Toko'!$D:$D,MATCH($I2876,'Kode Outlet dan Target Toko'!$E:$E,0)),0)</f>
        <v>9002359</v>
      </c>
      <c r="I2876" s="42" t="s">
        <v>103</v>
      </c>
      <c r="J2876" s="56" t="s">
        <v>196</v>
      </c>
      <c r="K2876" s="40" t="s">
        <v>14</v>
      </c>
      <c r="L2876" s="26">
        <v>3000</v>
      </c>
      <c r="M2876" s="26">
        <v>0</v>
      </c>
      <c r="N2876" s="25">
        <f t="shared" si="89"/>
        <v>0</v>
      </c>
      <c r="O2876" s="56"/>
    </row>
    <row r="2877" spans="1:15" hidden="1" x14ac:dyDescent="0.3">
      <c r="A2877" s="26">
        <v>32</v>
      </c>
      <c r="B2877" s="20" t="str">
        <f t="shared" si="88"/>
        <v>AUG</v>
      </c>
      <c r="C2877" s="21">
        <v>46242</v>
      </c>
      <c r="D2877" s="22" t="s">
        <v>39</v>
      </c>
      <c r="E2877" s="20" t="str">
        <f>IFERROR(VLOOKUP(I2877,KET!$B:$F,4,0),"")</f>
        <v>FAHMI LUKMANUL HAKIM</v>
      </c>
      <c r="F2877" s="20" t="s">
        <v>42</v>
      </c>
      <c r="G2877" s="20">
        <f>IFERROR(INDEX('Kode Outlet dan Target Toko'!$C:$C,MATCH($I2877,'Kode Outlet dan Target Toko'!$E:$E,0)),0)</f>
        <v>103259</v>
      </c>
      <c r="H2877" s="20">
        <f>IFERROR(INDEX('Kode Outlet dan Target Toko'!$D:$D,MATCH($I2877,'Kode Outlet dan Target Toko'!$E:$E,0)),0)</f>
        <v>9002359</v>
      </c>
      <c r="I2877" s="42" t="s">
        <v>103</v>
      </c>
      <c r="J2877" s="56" t="s">
        <v>196</v>
      </c>
      <c r="K2877" s="40" t="s">
        <v>13</v>
      </c>
      <c r="L2877" s="26">
        <v>3000</v>
      </c>
      <c r="M2877" s="26">
        <v>0</v>
      </c>
      <c r="N2877" s="25">
        <f t="shared" si="89"/>
        <v>0</v>
      </c>
      <c r="O2877" s="56"/>
    </row>
    <row r="2878" spans="1:15" hidden="1" x14ac:dyDescent="0.3">
      <c r="A2878" s="26">
        <v>32</v>
      </c>
      <c r="B2878" s="20" t="str">
        <f t="shared" si="88"/>
        <v>AUG</v>
      </c>
      <c r="C2878" s="21">
        <v>46242</v>
      </c>
      <c r="D2878" s="22" t="s">
        <v>39</v>
      </c>
      <c r="E2878" s="20" t="str">
        <f>IFERROR(VLOOKUP(I2878,KET!$B:$F,4,0),"")</f>
        <v>FAHMI LUKMANUL HAKIM</v>
      </c>
      <c r="F2878" s="20" t="s">
        <v>42</v>
      </c>
      <c r="G2878" s="20">
        <f>IFERROR(INDEX('Kode Outlet dan Target Toko'!$C:$C,MATCH($I2878,'Kode Outlet dan Target Toko'!$E:$E,0)),0)</f>
        <v>103259</v>
      </c>
      <c r="H2878" s="20">
        <f>IFERROR(INDEX('Kode Outlet dan Target Toko'!$D:$D,MATCH($I2878,'Kode Outlet dan Target Toko'!$E:$E,0)),0)</f>
        <v>9002359</v>
      </c>
      <c r="I2878" s="42" t="s">
        <v>103</v>
      </c>
      <c r="J2878" s="56" t="s">
        <v>196</v>
      </c>
      <c r="K2878" s="40" t="s">
        <v>16</v>
      </c>
      <c r="L2878" s="26">
        <v>3000</v>
      </c>
      <c r="M2878" s="26">
        <v>240</v>
      </c>
      <c r="N2878" s="25">
        <f t="shared" si="89"/>
        <v>720000</v>
      </c>
      <c r="O2878" s="56">
        <v>160</v>
      </c>
    </row>
    <row r="2879" spans="1:15" hidden="1" x14ac:dyDescent="0.3">
      <c r="A2879" s="26">
        <v>32</v>
      </c>
      <c r="B2879" s="20" t="str">
        <f t="shared" si="88"/>
        <v>AUG</v>
      </c>
      <c r="C2879" s="21">
        <v>46242</v>
      </c>
      <c r="D2879" s="22" t="s">
        <v>39</v>
      </c>
      <c r="E2879" s="20" t="str">
        <f>IFERROR(VLOOKUP(I2879,KET!$B:$F,4,0),"")</f>
        <v>FAHMI LUKMANUL HAKIM</v>
      </c>
      <c r="F2879" s="20" t="s">
        <v>42</v>
      </c>
      <c r="G2879" s="20">
        <f>IFERROR(INDEX('Kode Outlet dan Target Toko'!$C:$C,MATCH($I2879,'Kode Outlet dan Target Toko'!$E:$E,0)),0)</f>
        <v>103259</v>
      </c>
      <c r="H2879" s="20">
        <f>IFERROR(INDEX('Kode Outlet dan Target Toko'!$D:$D,MATCH($I2879,'Kode Outlet dan Target Toko'!$E:$E,0)),0)</f>
        <v>9002359</v>
      </c>
      <c r="I2879" s="42" t="s">
        <v>103</v>
      </c>
      <c r="J2879" s="56" t="s">
        <v>197</v>
      </c>
      <c r="K2879" s="40" t="s">
        <v>15</v>
      </c>
      <c r="L2879" s="26">
        <v>3000</v>
      </c>
      <c r="M2879" s="26">
        <v>42</v>
      </c>
      <c r="N2879" s="25">
        <f t="shared" si="89"/>
        <v>126000</v>
      </c>
      <c r="O2879" s="56"/>
    </row>
    <row r="2880" spans="1:15" hidden="1" x14ac:dyDescent="0.3">
      <c r="A2880" s="26">
        <v>32</v>
      </c>
      <c r="B2880" s="20" t="str">
        <f t="shared" si="88"/>
        <v>AUG</v>
      </c>
      <c r="C2880" s="21">
        <v>46242</v>
      </c>
      <c r="D2880" s="22" t="s">
        <v>39</v>
      </c>
      <c r="E2880" s="20" t="str">
        <f>IFERROR(VLOOKUP(I2880,KET!$B:$F,4,0),"")</f>
        <v>FAHMI LUKMANUL HAKIM</v>
      </c>
      <c r="F2880" s="20" t="s">
        <v>42</v>
      </c>
      <c r="G2880" s="20">
        <f>IFERROR(INDEX('Kode Outlet dan Target Toko'!$C:$C,MATCH($I2880,'Kode Outlet dan Target Toko'!$E:$E,0)),0)</f>
        <v>103259</v>
      </c>
      <c r="H2880" s="20">
        <f>IFERROR(INDEX('Kode Outlet dan Target Toko'!$D:$D,MATCH($I2880,'Kode Outlet dan Target Toko'!$E:$E,0)),0)</f>
        <v>9002359</v>
      </c>
      <c r="I2880" s="42" t="s">
        <v>103</v>
      </c>
      <c r="J2880" s="56" t="s">
        <v>197</v>
      </c>
      <c r="K2880" s="40" t="s">
        <v>14</v>
      </c>
      <c r="L2880" s="26">
        <v>3000</v>
      </c>
      <c r="M2880" s="26">
        <v>0</v>
      </c>
      <c r="N2880" s="25">
        <f t="shared" si="89"/>
        <v>0</v>
      </c>
      <c r="O2880" s="56"/>
    </row>
    <row r="2881" spans="1:15" hidden="1" x14ac:dyDescent="0.3">
      <c r="A2881" s="26">
        <v>32</v>
      </c>
      <c r="B2881" s="20" t="str">
        <f t="shared" si="88"/>
        <v>AUG</v>
      </c>
      <c r="C2881" s="21">
        <v>46242</v>
      </c>
      <c r="D2881" s="22" t="s">
        <v>39</v>
      </c>
      <c r="E2881" s="20" t="str">
        <f>IFERROR(VLOOKUP(I2881,KET!$B:$F,4,0),"")</f>
        <v>FAHMI LUKMANUL HAKIM</v>
      </c>
      <c r="F2881" s="20" t="s">
        <v>42</v>
      </c>
      <c r="G2881" s="20">
        <f>IFERROR(INDEX('Kode Outlet dan Target Toko'!$C:$C,MATCH($I2881,'Kode Outlet dan Target Toko'!$E:$E,0)),0)</f>
        <v>103259</v>
      </c>
      <c r="H2881" s="20">
        <f>IFERROR(INDEX('Kode Outlet dan Target Toko'!$D:$D,MATCH($I2881,'Kode Outlet dan Target Toko'!$E:$E,0)),0)</f>
        <v>9002359</v>
      </c>
      <c r="I2881" s="42" t="s">
        <v>103</v>
      </c>
      <c r="J2881" s="56" t="s">
        <v>197</v>
      </c>
      <c r="K2881" s="40" t="s">
        <v>13</v>
      </c>
      <c r="L2881" s="26">
        <v>3000</v>
      </c>
      <c r="M2881" s="26">
        <v>0</v>
      </c>
      <c r="N2881" s="25">
        <f t="shared" si="89"/>
        <v>0</v>
      </c>
      <c r="O2881" s="56"/>
    </row>
    <row r="2882" spans="1:15" hidden="1" x14ac:dyDescent="0.3">
      <c r="A2882" s="26">
        <v>32</v>
      </c>
      <c r="B2882" s="20" t="str">
        <f t="shared" si="88"/>
        <v>AUG</v>
      </c>
      <c r="C2882" s="21">
        <v>46242</v>
      </c>
      <c r="D2882" s="22" t="s">
        <v>39</v>
      </c>
      <c r="E2882" s="20" t="str">
        <f>IFERROR(VLOOKUP(I2882,KET!$B:$F,4,0),"")</f>
        <v>FAHMI LUKMANUL HAKIM</v>
      </c>
      <c r="F2882" s="20" t="s">
        <v>42</v>
      </c>
      <c r="G2882" s="20">
        <f>IFERROR(INDEX('Kode Outlet dan Target Toko'!$C:$C,MATCH($I2882,'Kode Outlet dan Target Toko'!$E:$E,0)),0)</f>
        <v>103259</v>
      </c>
      <c r="H2882" s="20">
        <f>IFERROR(INDEX('Kode Outlet dan Target Toko'!$D:$D,MATCH($I2882,'Kode Outlet dan Target Toko'!$E:$E,0)),0)</f>
        <v>9002359</v>
      </c>
      <c r="I2882" s="42" t="s">
        <v>103</v>
      </c>
      <c r="J2882" s="56" t="s">
        <v>197</v>
      </c>
      <c r="K2882" s="40" t="s">
        <v>16</v>
      </c>
      <c r="L2882" s="26">
        <v>3000</v>
      </c>
      <c r="M2882" s="26">
        <v>240</v>
      </c>
      <c r="N2882" s="25">
        <f t="shared" si="89"/>
        <v>720000</v>
      </c>
      <c r="O2882" s="56">
        <v>160</v>
      </c>
    </row>
    <row r="2883" spans="1:15" hidden="1" x14ac:dyDescent="0.3">
      <c r="A2883" s="26">
        <v>32</v>
      </c>
      <c r="B2883" s="20" t="str">
        <f t="shared" si="88"/>
        <v>AUG</v>
      </c>
      <c r="C2883" s="21">
        <v>46242</v>
      </c>
      <c r="D2883" s="22" t="s">
        <v>100</v>
      </c>
      <c r="E2883" s="20" t="str">
        <f>IFERROR(VLOOKUP(I2883,KET!$B:$F,4,0),"")</f>
        <v>FAHMI LUKMANUL HAKIM</v>
      </c>
      <c r="F2883" s="20" t="s">
        <v>42</v>
      </c>
      <c r="G2883" s="20">
        <f>IFERROR(INDEX('Kode Outlet dan Target Toko'!$C:$C,MATCH($I2883,'Kode Outlet dan Target Toko'!$E:$E,0)),0)</f>
        <v>211019</v>
      </c>
      <c r="H2883" s="20">
        <f>IFERROR(INDEX('Kode Outlet dan Target Toko'!$D:$D,MATCH($I2883,'Kode Outlet dan Target Toko'!$E:$E,0)),0)</f>
        <v>1556924</v>
      </c>
      <c r="I2883" s="42" t="s">
        <v>102</v>
      </c>
      <c r="J2883" s="56" t="s">
        <v>194</v>
      </c>
      <c r="K2883" s="40" t="s">
        <v>15</v>
      </c>
      <c r="L2883" s="26">
        <v>2200</v>
      </c>
      <c r="M2883" s="26">
        <v>74</v>
      </c>
      <c r="N2883" s="25">
        <f t="shared" si="89"/>
        <v>162800</v>
      </c>
      <c r="O2883" s="56"/>
    </row>
    <row r="2884" spans="1:15" hidden="1" x14ac:dyDescent="0.3">
      <c r="A2884" s="26">
        <v>32</v>
      </c>
      <c r="B2884" s="20" t="str">
        <f t="shared" si="88"/>
        <v>AUG</v>
      </c>
      <c r="C2884" s="21">
        <v>46242</v>
      </c>
      <c r="D2884" s="22" t="s">
        <v>100</v>
      </c>
      <c r="E2884" s="20" t="str">
        <f>IFERROR(VLOOKUP(I2884,KET!$B:$F,4,0),"")</f>
        <v>FAHMI LUKMANUL HAKIM</v>
      </c>
      <c r="F2884" s="20" t="s">
        <v>42</v>
      </c>
      <c r="G2884" s="20">
        <f>IFERROR(INDEX('Kode Outlet dan Target Toko'!$C:$C,MATCH($I2884,'Kode Outlet dan Target Toko'!$E:$E,0)),0)</f>
        <v>211019</v>
      </c>
      <c r="H2884" s="20">
        <f>IFERROR(INDEX('Kode Outlet dan Target Toko'!$D:$D,MATCH($I2884,'Kode Outlet dan Target Toko'!$E:$E,0)),0)</f>
        <v>1556924</v>
      </c>
      <c r="I2884" s="42" t="s">
        <v>102</v>
      </c>
      <c r="J2884" s="56" t="s">
        <v>194</v>
      </c>
      <c r="K2884" s="40" t="s">
        <v>14</v>
      </c>
      <c r="L2884" s="26">
        <v>2200</v>
      </c>
      <c r="M2884" s="26">
        <v>50</v>
      </c>
      <c r="N2884" s="25">
        <f t="shared" si="89"/>
        <v>110000</v>
      </c>
      <c r="O2884" s="56"/>
    </row>
    <row r="2885" spans="1:15" hidden="1" x14ac:dyDescent="0.3">
      <c r="A2885" s="26">
        <v>32</v>
      </c>
      <c r="B2885" s="20" t="str">
        <f t="shared" si="88"/>
        <v>AUG</v>
      </c>
      <c r="C2885" s="21">
        <v>46242</v>
      </c>
      <c r="D2885" s="22" t="s">
        <v>100</v>
      </c>
      <c r="E2885" s="20" t="str">
        <f>IFERROR(VLOOKUP(I2885,KET!$B:$F,4,0),"")</f>
        <v>FAHMI LUKMANUL HAKIM</v>
      </c>
      <c r="F2885" s="20" t="s">
        <v>42</v>
      </c>
      <c r="G2885" s="20">
        <f>IFERROR(INDEX('Kode Outlet dan Target Toko'!$C:$C,MATCH($I2885,'Kode Outlet dan Target Toko'!$E:$E,0)),0)</f>
        <v>211019</v>
      </c>
      <c r="H2885" s="20">
        <f>IFERROR(INDEX('Kode Outlet dan Target Toko'!$D:$D,MATCH($I2885,'Kode Outlet dan Target Toko'!$E:$E,0)),0)</f>
        <v>1556924</v>
      </c>
      <c r="I2885" s="42" t="s">
        <v>102</v>
      </c>
      <c r="J2885" s="56" t="s">
        <v>194</v>
      </c>
      <c r="K2885" s="40" t="s">
        <v>13</v>
      </c>
      <c r="L2885" s="26">
        <v>2200</v>
      </c>
      <c r="M2885" s="26">
        <v>22</v>
      </c>
      <c r="N2885" s="25">
        <f t="shared" si="89"/>
        <v>48400</v>
      </c>
      <c r="O2885" s="56"/>
    </row>
    <row r="2886" spans="1:15" hidden="1" x14ac:dyDescent="0.3">
      <c r="A2886" s="26">
        <v>32</v>
      </c>
      <c r="B2886" s="20" t="str">
        <f t="shared" si="88"/>
        <v>AUG</v>
      </c>
      <c r="C2886" s="21">
        <v>46242</v>
      </c>
      <c r="D2886" s="22" t="s">
        <v>100</v>
      </c>
      <c r="E2886" s="20" t="str">
        <f>IFERROR(VLOOKUP(I2886,KET!$B:$F,4,0),"")</f>
        <v>FAHMI LUKMANUL HAKIM</v>
      </c>
      <c r="F2886" s="20" t="s">
        <v>42</v>
      </c>
      <c r="G2886" s="20">
        <f>IFERROR(INDEX('Kode Outlet dan Target Toko'!$C:$C,MATCH($I2886,'Kode Outlet dan Target Toko'!$E:$E,0)),0)</f>
        <v>211019</v>
      </c>
      <c r="H2886" s="20">
        <f>IFERROR(INDEX('Kode Outlet dan Target Toko'!$D:$D,MATCH($I2886,'Kode Outlet dan Target Toko'!$E:$E,0)),0)</f>
        <v>1556924</v>
      </c>
      <c r="I2886" s="42" t="s">
        <v>102</v>
      </c>
      <c r="J2886" s="56" t="s">
        <v>194</v>
      </c>
      <c r="K2886" s="40" t="s">
        <v>16</v>
      </c>
      <c r="L2886" s="26">
        <v>2200</v>
      </c>
      <c r="M2886" s="26">
        <v>90</v>
      </c>
      <c r="N2886" s="25">
        <f t="shared" si="89"/>
        <v>198000</v>
      </c>
      <c r="O2886" s="56">
        <v>125</v>
      </c>
    </row>
    <row r="2887" spans="1:15" hidden="1" x14ac:dyDescent="0.3">
      <c r="A2887" s="26">
        <v>32</v>
      </c>
      <c r="B2887" s="20" t="str">
        <f t="shared" ref="B2887:B2950" si="90">IF(C2887="","",UPPER(TEXT(C2887, "MMM")))</f>
        <v>AUG</v>
      </c>
      <c r="C2887" s="21">
        <v>46242</v>
      </c>
      <c r="D2887" s="22" t="s">
        <v>100</v>
      </c>
      <c r="E2887" s="20" t="str">
        <f>IFERROR(VLOOKUP(I2887,KET!$B:$F,4,0),"")</f>
        <v>FAHMI LUKMANUL HAKIM</v>
      </c>
      <c r="F2887" s="20" t="s">
        <v>42</v>
      </c>
      <c r="G2887" s="20">
        <f>IFERROR(INDEX('Kode Outlet dan Target Toko'!$C:$C,MATCH($I2887,'Kode Outlet dan Target Toko'!$E:$E,0)),0)</f>
        <v>211019</v>
      </c>
      <c r="H2887" s="20">
        <f>IFERROR(INDEX('Kode Outlet dan Target Toko'!$D:$D,MATCH($I2887,'Kode Outlet dan Target Toko'!$E:$E,0)),0)</f>
        <v>1556924</v>
      </c>
      <c r="I2887" s="42" t="s">
        <v>102</v>
      </c>
      <c r="J2887" s="56" t="s">
        <v>195</v>
      </c>
      <c r="K2887" s="40" t="s">
        <v>15</v>
      </c>
      <c r="L2887" s="26">
        <v>2200</v>
      </c>
      <c r="M2887" s="26">
        <v>73</v>
      </c>
      <c r="N2887" s="25">
        <f t="shared" ref="N2887:N2950" si="91">IFERROR(M2887*L2887,"")</f>
        <v>160600</v>
      </c>
      <c r="O2887" s="56"/>
    </row>
    <row r="2888" spans="1:15" hidden="1" x14ac:dyDescent="0.3">
      <c r="A2888" s="26">
        <v>32</v>
      </c>
      <c r="B2888" s="20" t="str">
        <f t="shared" si="90"/>
        <v>AUG</v>
      </c>
      <c r="C2888" s="21">
        <v>46242</v>
      </c>
      <c r="D2888" s="22" t="s">
        <v>100</v>
      </c>
      <c r="E2888" s="20" t="str">
        <f>IFERROR(VLOOKUP(I2888,KET!$B:$F,4,0),"")</f>
        <v>FAHMI LUKMANUL HAKIM</v>
      </c>
      <c r="F2888" s="20" t="s">
        <v>42</v>
      </c>
      <c r="G2888" s="20">
        <f>IFERROR(INDEX('Kode Outlet dan Target Toko'!$C:$C,MATCH($I2888,'Kode Outlet dan Target Toko'!$E:$E,0)),0)</f>
        <v>211019</v>
      </c>
      <c r="H2888" s="20">
        <f>IFERROR(INDEX('Kode Outlet dan Target Toko'!$D:$D,MATCH($I2888,'Kode Outlet dan Target Toko'!$E:$E,0)),0)</f>
        <v>1556924</v>
      </c>
      <c r="I2888" s="42" t="s">
        <v>102</v>
      </c>
      <c r="J2888" s="56" t="s">
        <v>195</v>
      </c>
      <c r="K2888" s="40" t="s">
        <v>14</v>
      </c>
      <c r="L2888" s="26">
        <v>2200</v>
      </c>
      <c r="M2888" s="26">
        <v>50</v>
      </c>
      <c r="N2888" s="25">
        <f t="shared" si="91"/>
        <v>110000</v>
      </c>
      <c r="O2888" s="56"/>
    </row>
    <row r="2889" spans="1:15" hidden="1" x14ac:dyDescent="0.3">
      <c r="A2889" s="26">
        <v>32</v>
      </c>
      <c r="B2889" s="20" t="str">
        <f t="shared" si="90"/>
        <v>AUG</v>
      </c>
      <c r="C2889" s="21">
        <v>46242</v>
      </c>
      <c r="D2889" s="22" t="s">
        <v>100</v>
      </c>
      <c r="E2889" s="20" t="str">
        <f>IFERROR(VLOOKUP(I2889,KET!$B:$F,4,0),"")</f>
        <v>FAHMI LUKMANUL HAKIM</v>
      </c>
      <c r="F2889" s="20" t="s">
        <v>42</v>
      </c>
      <c r="G2889" s="20">
        <f>IFERROR(INDEX('Kode Outlet dan Target Toko'!$C:$C,MATCH($I2889,'Kode Outlet dan Target Toko'!$E:$E,0)),0)</f>
        <v>211019</v>
      </c>
      <c r="H2889" s="20">
        <f>IFERROR(INDEX('Kode Outlet dan Target Toko'!$D:$D,MATCH($I2889,'Kode Outlet dan Target Toko'!$E:$E,0)),0)</f>
        <v>1556924</v>
      </c>
      <c r="I2889" s="42" t="s">
        <v>102</v>
      </c>
      <c r="J2889" s="56" t="s">
        <v>195</v>
      </c>
      <c r="K2889" s="40" t="s">
        <v>13</v>
      </c>
      <c r="L2889" s="26">
        <v>2200</v>
      </c>
      <c r="M2889" s="26">
        <v>22</v>
      </c>
      <c r="N2889" s="25">
        <f t="shared" si="91"/>
        <v>48400</v>
      </c>
      <c r="O2889" s="56"/>
    </row>
    <row r="2890" spans="1:15" hidden="1" x14ac:dyDescent="0.3">
      <c r="A2890" s="26">
        <v>32</v>
      </c>
      <c r="B2890" s="20" t="str">
        <f t="shared" si="90"/>
        <v>AUG</v>
      </c>
      <c r="C2890" s="21">
        <v>46242</v>
      </c>
      <c r="D2890" s="22" t="s">
        <v>100</v>
      </c>
      <c r="E2890" s="20" t="str">
        <f>IFERROR(VLOOKUP(I2890,KET!$B:$F,4,0),"")</f>
        <v>FAHMI LUKMANUL HAKIM</v>
      </c>
      <c r="F2890" s="20" t="s">
        <v>42</v>
      </c>
      <c r="G2890" s="20">
        <f>IFERROR(INDEX('Kode Outlet dan Target Toko'!$C:$C,MATCH($I2890,'Kode Outlet dan Target Toko'!$E:$E,0)),0)</f>
        <v>211019</v>
      </c>
      <c r="H2890" s="20">
        <f>IFERROR(INDEX('Kode Outlet dan Target Toko'!$D:$D,MATCH($I2890,'Kode Outlet dan Target Toko'!$E:$E,0)),0)</f>
        <v>1556924</v>
      </c>
      <c r="I2890" s="42" t="s">
        <v>102</v>
      </c>
      <c r="J2890" s="56" t="s">
        <v>195</v>
      </c>
      <c r="K2890" s="40" t="s">
        <v>16</v>
      </c>
      <c r="L2890" s="26">
        <v>2200</v>
      </c>
      <c r="M2890" s="26">
        <v>90</v>
      </c>
      <c r="N2890" s="25">
        <f t="shared" si="91"/>
        <v>198000</v>
      </c>
      <c r="O2890" s="56">
        <v>125</v>
      </c>
    </row>
    <row r="2891" spans="1:15" hidden="1" x14ac:dyDescent="0.3">
      <c r="A2891" s="26">
        <v>32</v>
      </c>
      <c r="B2891" s="20" t="str">
        <f t="shared" si="90"/>
        <v>AUG</v>
      </c>
      <c r="C2891" s="21">
        <v>46242</v>
      </c>
      <c r="D2891" s="22" t="s">
        <v>39</v>
      </c>
      <c r="E2891" s="20" t="str">
        <f>IFERROR(VLOOKUP(I2891,KET!$B:$F,4,0),"")</f>
        <v>FAHMI LUKMANUL HAKIM</v>
      </c>
      <c r="F2891" s="20" t="s">
        <v>42</v>
      </c>
      <c r="G2891" s="20">
        <f>IFERROR(INDEX('Kode Outlet dan Target Toko'!$C:$C,MATCH($I2891,'Kode Outlet dan Target Toko'!$E:$E,0)),0)</f>
        <v>103712</v>
      </c>
      <c r="H2891" s="20">
        <f>IFERROR(INDEX('Kode Outlet dan Target Toko'!$D:$D,MATCH($I2891,'Kode Outlet dan Target Toko'!$E:$E,0)),0)</f>
        <v>4404677</v>
      </c>
      <c r="I2891" s="42" t="s">
        <v>99</v>
      </c>
      <c r="J2891" s="56" t="s">
        <v>178</v>
      </c>
      <c r="K2891" s="40" t="s">
        <v>15</v>
      </c>
      <c r="L2891" s="26">
        <v>3000</v>
      </c>
      <c r="M2891" s="26">
        <v>30</v>
      </c>
      <c r="N2891" s="25">
        <f t="shared" si="91"/>
        <v>90000</v>
      </c>
      <c r="O2891" s="56"/>
    </row>
    <row r="2892" spans="1:15" hidden="1" x14ac:dyDescent="0.3">
      <c r="A2892" s="26">
        <v>32</v>
      </c>
      <c r="B2892" s="20" t="str">
        <f t="shared" si="90"/>
        <v>AUG</v>
      </c>
      <c r="C2892" s="21">
        <v>46242</v>
      </c>
      <c r="D2892" s="22" t="s">
        <v>39</v>
      </c>
      <c r="E2892" s="20" t="str">
        <f>IFERROR(VLOOKUP(I2892,KET!$B:$F,4,0),"")</f>
        <v>FAHMI LUKMANUL HAKIM</v>
      </c>
      <c r="F2892" s="20" t="s">
        <v>42</v>
      </c>
      <c r="G2892" s="20">
        <f>IFERROR(INDEX('Kode Outlet dan Target Toko'!$C:$C,MATCH($I2892,'Kode Outlet dan Target Toko'!$E:$E,0)),0)</f>
        <v>103712</v>
      </c>
      <c r="H2892" s="20">
        <f>IFERROR(INDEX('Kode Outlet dan Target Toko'!$D:$D,MATCH($I2892,'Kode Outlet dan Target Toko'!$E:$E,0)),0)</f>
        <v>4404677</v>
      </c>
      <c r="I2892" s="42" t="s">
        <v>99</v>
      </c>
      <c r="J2892" s="56" t="s">
        <v>178</v>
      </c>
      <c r="K2892" s="40" t="s">
        <v>14</v>
      </c>
      <c r="L2892" s="26">
        <v>3000</v>
      </c>
      <c r="M2892" s="26">
        <v>49</v>
      </c>
      <c r="N2892" s="25">
        <f t="shared" si="91"/>
        <v>147000</v>
      </c>
      <c r="O2892" s="56"/>
    </row>
    <row r="2893" spans="1:15" hidden="1" x14ac:dyDescent="0.3">
      <c r="A2893" s="26">
        <v>32</v>
      </c>
      <c r="B2893" s="20" t="str">
        <f t="shared" si="90"/>
        <v>AUG</v>
      </c>
      <c r="C2893" s="21">
        <v>46242</v>
      </c>
      <c r="D2893" s="22" t="s">
        <v>39</v>
      </c>
      <c r="E2893" s="20" t="str">
        <f>IFERROR(VLOOKUP(I2893,KET!$B:$F,4,0),"")</f>
        <v>FAHMI LUKMANUL HAKIM</v>
      </c>
      <c r="F2893" s="20" t="s">
        <v>42</v>
      </c>
      <c r="G2893" s="20">
        <f>IFERROR(INDEX('Kode Outlet dan Target Toko'!$C:$C,MATCH($I2893,'Kode Outlet dan Target Toko'!$E:$E,0)),0)</f>
        <v>103712</v>
      </c>
      <c r="H2893" s="20">
        <f>IFERROR(INDEX('Kode Outlet dan Target Toko'!$D:$D,MATCH($I2893,'Kode Outlet dan Target Toko'!$E:$E,0)),0)</f>
        <v>4404677</v>
      </c>
      <c r="I2893" s="42" t="s">
        <v>99</v>
      </c>
      <c r="J2893" s="56" t="s">
        <v>178</v>
      </c>
      <c r="K2893" s="40" t="s">
        <v>13</v>
      </c>
      <c r="L2893" s="26">
        <v>3000</v>
      </c>
      <c r="M2893" s="26">
        <v>27</v>
      </c>
      <c r="N2893" s="25">
        <f t="shared" si="91"/>
        <v>81000</v>
      </c>
      <c r="O2893" s="56"/>
    </row>
    <row r="2894" spans="1:15" hidden="1" x14ac:dyDescent="0.3">
      <c r="A2894" s="26">
        <v>32</v>
      </c>
      <c r="B2894" s="20" t="str">
        <f t="shared" si="90"/>
        <v>AUG</v>
      </c>
      <c r="C2894" s="21">
        <v>46242</v>
      </c>
      <c r="D2894" s="22" t="s">
        <v>39</v>
      </c>
      <c r="E2894" s="20" t="str">
        <f>IFERROR(VLOOKUP(I2894,KET!$B:$F,4,0),"")</f>
        <v>FAHMI LUKMANUL HAKIM</v>
      </c>
      <c r="F2894" s="20" t="s">
        <v>42</v>
      </c>
      <c r="G2894" s="20">
        <f>IFERROR(INDEX('Kode Outlet dan Target Toko'!$C:$C,MATCH($I2894,'Kode Outlet dan Target Toko'!$E:$E,0)),0)</f>
        <v>103712</v>
      </c>
      <c r="H2894" s="20">
        <f>IFERROR(INDEX('Kode Outlet dan Target Toko'!$D:$D,MATCH($I2894,'Kode Outlet dan Target Toko'!$E:$E,0)),0)</f>
        <v>4404677</v>
      </c>
      <c r="I2894" s="42" t="s">
        <v>99</v>
      </c>
      <c r="J2894" s="56" t="s">
        <v>178</v>
      </c>
      <c r="K2894" s="40" t="s">
        <v>16</v>
      </c>
      <c r="L2894" s="26">
        <v>3000</v>
      </c>
      <c r="M2894" s="26">
        <v>119</v>
      </c>
      <c r="N2894" s="25">
        <f t="shared" si="91"/>
        <v>357000</v>
      </c>
      <c r="O2894" s="56">
        <v>160</v>
      </c>
    </row>
    <row r="2895" spans="1:15" hidden="1" x14ac:dyDescent="0.3">
      <c r="A2895" s="26">
        <v>32</v>
      </c>
      <c r="B2895" s="20" t="str">
        <f t="shared" si="90"/>
        <v>AUG</v>
      </c>
      <c r="C2895" s="21">
        <v>46242</v>
      </c>
      <c r="D2895" s="22" t="s">
        <v>39</v>
      </c>
      <c r="E2895" s="20" t="str">
        <f>IFERROR(VLOOKUP(I2895,KET!$B:$F,4,0),"")</f>
        <v>FAHMI LUKMANUL HAKIM</v>
      </c>
      <c r="F2895" s="20" t="s">
        <v>42</v>
      </c>
      <c r="G2895" s="20">
        <f>IFERROR(INDEX('Kode Outlet dan Target Toko'!$C:$C,MATCH($I2895,'Kode Outlet dan Target Toko'!$E:$E,0)),0)</f>
        <v>103712</v>
      </c>
      <c r="H2895" s="20">
        <f>IFERROR(INDEX('Kode Outlet dan Target Toko'!$D:$D,MATCH($I2895,'Kode Outlet dan Target Toko'!$E:$E,0)),0)</f>
        <v>4404677</v>
      </c>
      <c r="I2895" s="42" t="s">
        <v>99</v>
      </c>
      <c r="J2895" s="56" t="s">
        <v>179</v>
      </c>
      <c r="K2895" s="40" t="s">
        <v>15</v>
      </c>
      <c r="L2895" s="26">
        <v>3000</v>
      </c>
      <c r="M2895" s="26">
        <v>30</v>
      </c>
      <c r="N2895" s="25">
        <f t="shared" si="91"/>
        <v>90000</v>
      </c>
      <c r="O2895" s="56"/>
    </row>
    <row r="2896" spans="1:15" hidden="1" x14ac:dyDescent="0.3">
      <c r="A2896" s="26">
        <v>32</v>
      </c>
      <c r="B2896" s="20" t="str">
        <f t="shared" si="90"/>
        <v>AUG</v>
      </c>
      <c r="C2896" s="21">
        <v>46242</v>
      </c>
      <c r="D2896" s="22" t="s">
        <v>39</v>
      </c>
      <c r="E2896" s="20" t="str">
        <f>IFERROR(VLOOKUP(I2896,KET!$B:$F,4,0),"")</f>
        <v>FAHMI LUKMANUL HAKIM</v>
      </c>
      <c r="F2896" s="20" t="s">
        <v>42</v>
      </c>
      <c r="G2896" s="20">
        <f>IFERROR(INDEX('Kode Outlet dan Target Toko'!$C:$C,MATCH($I2896,'Kode Outlet dan Target Toko'!$E:$E,0)),0)</f>
        <v>103712</v>
      </c>
      <c r="H2896" s="20">
        <f>IFERROR(INDEX('Kode Outlet dan Target Toko'!$D:$D,MATCH($I2896,'Kode Outlet dan Target Toko'!$E:$E,0)),0)</f>
        <v>4404677</v>
      </c>
      <c r="I2896" s="42" t="s">
        <v>99</v>
      </c>
      <c r="J2896" s="56" t="s">
        <v>179</v>
      </c>
      <c r="K2896" s="40" t="s">
        <v>14</v>
      </c>
      <c r="L2896" s="26">
        <v>3000</v>
      </c>
      <c r="M2896" s="26">
        <v>49</v>
      </c>
      <c r="N2896" s="25">
        <f t="shared" si="91"/>
        <v>147000</v>
      </c>
      <c r="O2896" s="56"/>
    </row>
    <row r="2897" spans="1:15" hidden="1" x14ac:dyDescent="0.3">
      <c r="A2897" s="26">
        <v>32</v>
      </c>
      <c r="B2897" s="20" t="str">
        <f t="shared" si="90"/>
        <v>AUG</v>
      </c>
      <c r="C2897" s="21">
        <v>46242</v>
      </c>
      <c r="D2897" s="22" t="s">
        <v>39</v>
      </c>
      <c r="E2897" s="20" t="str">
        <f>IFERROR(VLOOKUP(I2897,KET!$B:$F,4,0),"")</f>
        <v>FAHMI LUKMANUL HAKIM</v>
      </c>
      <c r="F2897" s="20" t="s">
        <v>42</v>
      </c>
      <c r="G2897" s="20">
        <f>IFERROR(INDEX('Kode Outlet dan Target Toko'!$C:$C,MATCH($I2897,'Kode Outlet dan Target Toko'!$E:$E,0)),0)</f>
        <v>103712</v>
      </c>
      <c r="H2897" s="20">
        <f>IFERROR(INDEX('Kode Outlet dan Target Toko'!$D:$D,MATCH($I2897,'Kode Outlet dan Target Toko'!$E:$E,0)),0)</f>
        <v>4404677</v>
      </c>
      <c r="I2897" s="42" t="s">
        <v>99</v>
      </c>
      <c r="J2897" s="56" t="s">
        <v>179</v>
      </c>
      <c r="K2897" s="40" t="s">
        <v>13</v>
      </c>
      <c r="L2897" s="26">
        <v>3000</v>
      </c>
      <c r="M2897" s="26">
        <v>25</v>
      </c>
      <c r="N2897" s="25">
        <f t="shared" si="91"/>
        <v>75000</v>
      </c>
      <c r="O2897" s="56"/>
    </row>
    <row r="2898" spans="1:15" hidden="1" x14ac:dyDescent="0.3">
      <c r="A2898" s="26">
        <v>32</v>
      </c>
      <c r="B2898" s="20" t="str">
        <f t="shared" si="90"/>
        <v>AUG</v>
      </c>
      <c r="C2898" s="21">
        <v>46242</v>
      </c>
      <c r="D2898" s="22" t="s">
        <v>39</v>
      </c>
      <c r="E2898" s="20" t="str">
        <f>IFERROR(VLOOKUP(I2898,KET!$B:$F,4,0),"")</f>
        <v>FAHMI LUKMANUL HAKIM</v>
      </c>
      <c r="F2898" s="20" t="s">
        <v>42</v>
      </c>
      <c r="G2898" s="20">
        <f>IFERROR(INDEX('Kode Outlet dan Target Toko'!$C:$C,MATCH($I2898,'Kode Outlet dan Target Toko'!$E:$E,0)),0)</f>
        <v>103712</v>
      </c>
      <c r="H2898" s="20">
        <f>IFERROR(INDEX('Kode Outlet dan Target Toko'!$D:$D,MATCH($I2898,'Kode Outlet dan Target Toko'!$E:$E,0)),0)</f>
        <v>4404677</v>
      </c>
      <c r="I2898" s="42" t="s">
        <v>99</v>
      </c>
      <c r="J2898" s="56" t="s">
        <v>179</v>
      </c>
      <c r="K2898" s="40" t="s">
        <v>16</v>
      </c>
      <c r="L2898" s="26">
        <v>3000</v>
      </c>
      <c r="M2898" s="26">
        <v>119</v>
      </c>
      <c r="N2898" s="25">
        <f t="shared" si="91"/>
        <v>357000</v>
      </c>
      <c r="O2898" s="56">
        <v>160</v>
      </c>
    </row>
    <row r="2899" spans="1:15" hidden="1" x14ac:dyDescent="0.3">
      <c r="A2899" s="26">
        <v>32</v>
      </c>
      <c r="B2899" s="20" t="str">
        <f t="shared" si="90"/>
        <v>AUG</v>
      </c>
      <c r="C2899" s="21">
        <v>46242</v>
      </c>
      <c r="D2899" s="22" t="s">
        <v>39</v>
      </c>
      <c r="E2899" s="20" t="str">
        <f>IFERROR(VLOOKUP(I2899,KET!$B:$F,4,0),"")</f>
        <v>FAHMI LUKMANUL HAKIM</v>
      </c>
      <c r="F2899" s="20" t="s">
        <v>86</v>
      </c>
      <c r="G2899" s="20">
        <f>IFERROR(INDEX('Kode Outlet dan Target Toko'!$C:$C,MATCH($I2899,'Kode Outlet dan Target Toko'!$E:$E,0)),0)</f>
        <v>121409</v>
      </c>
      <c r="H2899" s="20">
        <f>IFERROR(INDEX('Kode Outlet dan Target Toko'!$D:$D,MATCH($I2899,'Kode Outlet dan Target Toko'!$E:$E,0)),0)</f>
        <v>5025004</v>
      </c>
      <c r="I2899" s="42" t="s">
        <v>112</v>
      </c>
      <c r="J2899" s="56" t="s">
        <v>184</v>
      </c>
      <c r="K2899" s="40" t="s">
        <v>15</v>
      </c>
      <c r="L2899" s="26">
        <v>2100</v>
      </c>
      <c r="M2899" s="26">
        <v>65</v>
      </c>
      <c r="N2899" s="25">
        <f t="shared" si="91"/>
        <v>136500</v>
      </c>
      <c r="O2899" s="56"/>
    </row>
    <row r="2900" spans="1:15" hidden="1" x14ac:dyDescent="0.3">
      <c r="A2900" s="26">
        <v>32</v>
      </c>
      <c r="B2900" s="20" t="str">
        <f t="shared" si="90"/>
        <v>AUG</v>
      </c>
      <c r="C2900" s="21">
        <v>46242</v>
      </c>
      <c r="D2900" s="22" t="s">
        <v>39</v>
      </c>
      <c r="E2900" s="20" t="str">
        <f>IFERROR(VLOOKUP(I2900,KET!$B:$F,4,0),"")</f>
        <v>FAHMI LUKMANUL HAKIM</v>
      </c>
      <c r="F2900" s="20" t="s">
        <v>86</v>
      </c>
      <c r="G2900" s="20">
        <f>IFERROR(INDEX('Kode Outlet dan Target Toko'!$C:$C,MATCH($I2900,'Kode Outlet dan Target Toko'!$E:$E,0)),0)</f>
        <v>121409</v>
      </c>
      <c r="H2900" s="20">
        <f>IFERROR(INDEX('Kode Outlet dan Target Toko'!$D:$D,MATCH($I2900,'Kode Outlet dan Target Toko'!$E:$E,0)),0)</f>
        <v>5025004</v>
      </c>
      <c r="I2900" s="42" t="s">
        <v>112</v>
      </c>
      <c r="J2900" s="56" t="s">
        <v>184</v>
      </c>
      <c r="K2900" s="40" t="s">
        <v>14</v>
      </c>
      <c r="L2900" s="26">
        <v>2100</v>
      </c>
      <c r="M2900" s="26">
        <v>74</v>
      </c>
      <c r="N2900" s="25">
        <f t="shared" si="91"/>
        <v>155400</v>
      </c>
      <c r="O2900" s="56"/>
    </row>
    <row r="2901" spans="1:15" hidden="1" x14ac:dyDescent="0.3">
      <c r="A2901" s="26">
        <v>32</v>
      </c>
      <c r="B2901" s="20" t="str">
        <f t="shared" si="90"/>
        <v>AUG</v>
      </c>
      <c r="C2901" s="21">
        <v>46242</v>
      </c>
      <c r="D2901" s="22" t="s">
        <v>39</v>
      </c>
      <c r="E2901" s="20" t="str">
        <f>IFERROR(VLOOKUP(I2901,KET!$B:$F,4,0),"")</f>
        <v>FAHMI LUKMANUL HAKIM</v>
      </c>
      <c r="F2901" s="20" t="s">
        <v>86</v>
      </c>
      <c r="G2901" s="20">
        <f>IFERROR(INDEX('Kode Outlet dan Target Toko'!$C:$C,MATCH($I2901,'Kode Outlet dan Target Toko'!$E:$E,0)),0)</f>
        <v>121409</v>
      </c>
      <c r="H2901" s="20">
        <f>IFERROR(INDEX('Kode Outlet dan Target Toko'!$D:$D,MATCH($I2901,'Kode Outlet dan Target Toko'!$E:$E,0)),0)</f>
        <v>5025004</v>
      </c>
      <c r="I2901" s="42" t="s">
        <v>112</v>
      </c>
      <c r="J2901" s="56" t="s">
        <v>184</v>
      </c>
      <c r="K2901" s="40" t="s">
        <v>13</v>
      </c>
      <c r="L2901" s="26">
        <v>2100</v>
      </c>
      <c r="M2901" s="26">
        <v>76</v>
      </c>
      <c r="N2901" s="25">
        <f t="shared" si="91"/>
        <v>159600</v>
      </c>
      <c r="O2901" s="56"/>
    </row>
    <row r="2902" spans="1:15" hidden="1" x14ac:dyDescent="0.3">
      <c r="A2902" s="26">
        <v>32</v>
      </c>
      <c r="B2902" s="20" t="str">
        <f t="shared" si="90"/>
        <v>AUG</v>
      </c>
      <c r="C2902" s="21">
        <v>46242</v>
      </c>
      <c r="D2902" s="22" t="s">
        <v>39</v>
      </c>
      <c r="E2902" s="20" t="str">
        <f>IFERROR(VLOOKUP(I2902,KET!$B:$F,4,0),"")</f>
        <v>FAHMI LUKMANUL HAKIM</v>
      </c>
      <c r="F2902" s="20" t="s">
        <v>86</v>
      </c>
      <c r="G2902" s="20">
        <f>IFERROR(INDEX('Kode Outlet dan Target Toko'!$C:$C,MATCH($I2902,'Kode Outlet dan Target Toko'!$E:$E,0)),0)</f>
        <v>121409</v>
      </c>
      <c r="H2902" s="20">
        <f>IFERROR(INDEX('Kode Outlet dan Target Toko'!$D:$D,MATCH($I2902,'Kode Outlet dan Target Toko'!$E:$E,0)),0)</f>
        <v>5025004</v>
      </c>
      <c r="I2902" s="42" t="s">
        <v>112</v>
      </c>
      <c r="J2902" s="56" t="s">
        <v>184</v>
      </c>
      <c r="K2902" s="40" t="s">
        <v>16</v>
      </c>
      <c r="L2902" s="26">
        <v>2100</v>
      </c>
      <c r="M2902" s="26">
        <v>85</v>
      </c>
      <c r="N2902" s="25">
        <f t="shared" si="91"/>
        <v>178500</v>
      </c>
      <c r="O2902" s="56">
        <v>160</v>
      </c>
    </row>
    <row r="2903" spans="1:15" hidden="1" x14ac:dyDescent="0.3">
      <c r="A2903" s="26">
        <v>32</v>
      </c>
      <c r="B2903" s="20" t="str">
        <f t="shared" si="90"/>
        <v>AUG</v>
      </c>
      <c r="C2903" s="21">
        <v>46242</v>
      </c>
      <c r="D2903" s="22" t="s">
        <v>39</v>
      </c>
      <c r="E2903" s="20" t="str">
        <f>IFERROR(VLOOKUP(I2903,KET!$B:$F,4,0),"")</f>
        <v>FAHMI LUKMANUL HAKIM</v>
      </c>
      <c r="F2903" s="20" t="s">
        <v>86</v>
      </c>
      <c r="G2903" s="20">
        <f>IFERROR(INDEX('Kode Outlet dan Target Toko'!$C:$C,MATCH($I2903,'Kode Outlet dan Target Toko'!$E:$E,0)),0)</f>
        <v>121409</v>
      </c>
      <c r="H2903" s="20">
        <f>IFERROR(INDEX('Kode Outlet dan Target Toko'!$D:$D,MATCH($I2903,'Kode Outlet dan Target Toko'!$E:$E,0)),0)</f>
        <v>5025004</v>
      </c>
      <c r="I2903" s="42" t="s">
        <v>112</v>
      </c>
      <c r="J2903" s="56" t="s">
        <v>185</v>
      </c>
      <c r="K2903" s="40" t="s">
        <v>15</v>
      </c>
      <c r="L2903" s="26">
        <v>2100</v>
      </c>
      <c r="M2903" s="26">
        <v>65</v>
      </c>
      <c r="N2903" s="25">
        <f t="shared" si="91"/>
        <v>136500</v>
      </c>
      <c r="O2903" s="56"/>
    </row>
    <row r="2904" spans="1:15" hidden="1" x14ac:dyDescent="0.3">
      <c r="A2904" s="26">
        <v>32</v>
      </c>
      <c r="B2904" s="20" t="str">
        <f t="shared" si="90"/>
        <v>AUG</v>
      </c>
      <c r="C2904" s="21">
        <v>46242</v>
      </c>
      <c r="D2904" s="22" t="s">
        <v>39</v>
      </c>
      <c r="E2904" s="20" t="str">
        <f>IFERROR(VLOOKUP(I2904,KET!$B:$F,4,0),"")</f>
        <v>FAHMI LUKMANUL HAKIM</v>
      </c>
      <c r="F2904" s="20" t="s">
        <v>86</v>
      </c>
      <c r="G2904" s="20">
        <f>IFERROR(INDEX('Kode Outlet dan Target Toko'!$C:$C,MATCH($I2904,'Kode Outlet dan Target Toko'!$E:$E,0)),0)</f>
        <v>121409</v>
      </c>
      <c r="H2904" s="20">
        <f>IFERROR(INDEX('Kode Outlet dan Target Toko'!$D:$D,MATCH($I2904,'Kode Outlet dan Target Toko'!$E:$E,0)),0)</f>
        <v>5025004</v>
      </c>
      <c r="I2904" s="42" t="s">
        <v>112</v>
      </c>
      <c r="J2904" s="56" t="s">
        <v>185</v>
      </c>
      <c r="K2904" s="40" t="s">
        <v>14</v>
      </c>
      <c r="L2904" s="26">
        <v>2100</v>
      </c>
      <c r="M2904" s="26">
        <v>74</v>
      </c>
      <c r="N2904" s="25">
        <f t="shared" si="91"/>
        <v>155400</v>
      </c>
      <c r="O2904" s="56"/>
    </row>
    <row r="2905" spans="1:15" hidden="1" x14ac:dyDescent="0.3">
      <c r="A2905" s="26">
        <v>32</v>
      </c>
      <c r="B2905" s="20" t="str">
        <f t="shared" si="90"/>
        <v>AUG</v>
      </c>
      <c r="C2905" s="21">
        <v>46242</v>
      </c>
      <c r="D2905" s="22" t="s">
        <v>39</v>
      </c>
      <c r="E2905" s="20" t="str">
        <f>IFERROR(VLOOKUP(I2905,KET!$B:$F,4,0),"")</f>
        <v>FAHMI LUKMANUL HAKIM</v>
      </c>
      <c r="F2905" s="20" t="s">
        <v>86</v>
      </c>
      <c r="G2905" s="20">
        <f>IFERROR(INDEX('Kode Outlet dan Target Toko'!$C:$C,MATCH($I2905,'Kode Outlet dan Target Toko'!$E:$E,0)),0)</f>
        <v>121409</v>
      </c>
      <c r="H2905" s="20">
        <f>IFERROR(INDEX('Kode Outlet dan Target Toko'!$D:$D,MATCH($I2905,'Kode Outlet dan Target Toko'!$E:$E,0)),0)</f>
        <v>5025004</v>
      </c>
      <c r="I2905" s="42" t="s">
        <v>112</v>
      </c>
      <c r="J2905" s="56" t="s">
        <v>185</v>
      </c>
      <c r="K2905" s="40" t="s">
        <v>13</v>
      </c>
      <c r="L2905" s="26">
        <v>2100</v>
      </c>
      <c r="M2905" s="26">
        <v>76</v>
      </c>
      <c r="N2905" s="25">
        <f t="shared" si="91"/>
        <v>159600</v>
      </c>
      <c r="O2905" s="56"/>
    </row>
    <row r="2906" spans="1:15" hidden="1" x14ac:dyDescent="0.3">
      <c r="A2906" s="26">
        <v>32</v>
      </c>
      <c r="B2906" s="20" t="str">
        <f t="shared" si="90"/>
        <v>AUG</v>
      </c>
      <c r="C2906" s="21">
        <v>46242</v>
      </c>
      <c r="D2906" s="22" t="s">
        <v>39</v>
      </c>
      <c r="E2906" s="20" t="str">
        <f>IFERROR(VLOOKUP(I2906,KET!$B:$F,4,0),"")</f>
        <v>FAHMI LUKMANUL HAKIM</v>
      </c>
      <c r="F2906" s="20" t="s">
        <v>86</v>
      </c>
      <c r="G2906" s="20">
        <f>IFERROR(INDEX('Kode Outlet dan Target Toko'!$C:$C,MATCH($I2906,'Kode Outlet dan Target Toko'!$E:$E,0)),0)</f>
        <v>121409</v>
      </c>
      <c r="H2906" s="20">
        <f>IFERROR(INDEX('Kode Outlet dan Target Toko'!$D:$D,MATCH($I2906,'Kode Outlet dan Target Toko'!$E:$E,0)),0)</f>
        <v>5025004</v>
      </c>
      <c r="I2906" s="42" t="s">
        <v>112</v>
      </c>
      <c r="J2906" s="56" t="s">
        <v>185</v>
      </c>
      <c r="K2906" s="40" t="s">
        <v>16</v>
      </c>
      <c r="L2906" s="26">
        <v>2100</v>
      </c>
      <c r="M2906" s="26">
        <v>85</v>
      </c>
      <c r="N2906" s="25">
        <f t="shared" si="91"/>
        <v>178500</v>
      </c>
      <c r="O2906" s="56">
        <v>160</v>
      </c>
    </row>
    <row r="2907" spans="1:15" hidden="1" x14ac:dyDescent="0.3">
      <c r="A2907" s="26">
        <v>32</v>
      </c>
      <c r="B2907" s="20" t="str">
        <f t="shared" si="90"/>
        <v>AUG</v>
      </c>
      <c r="C2907" s="21">
        <v>46242</v>
      </c>
      <c r="D2907" s="22" t="s">
        <v>39</v>
      </c>
      <c r="E2907" s="20" t="str">
        <f>IFERROR(VLOOKUP(I2907,KET!$B:$F,4,0),"")</f>
        <v>FAHMI LUKMANUL HAKIM</v>
      </c>
      <c r="F2907" s="20" t="s">
        <v>42</v>
      </c>
      <c r="G2907" s="20">
        <f>IFERROR(INDEX('Kode Outlet dan Target Toko'!$C:$C,MATCH($I2907,'Kode Outlet dan Target Toko'!$E:$E,0)),0)</f>
        <v>103257</v>
      </c>
      <c r="H2907" s="20">
        <f>IFERROR(INDEX('Kode Outlet dan Target Toko'!$D:$D,MATCH($I2907,'Kode Outlet dan Target Toko'!$E:$E,0)),0)</f>
        <v>9162509</v>
      </c>
      <c r="I2907" s="42" t="s">
        <v>57</v>
      </c>
      <c r="J2907" s="56" t="s">
        <v>287</v>
      </c>
      <c r="K2907" s="40" t="s">
        <v>15</v>
      </c>
      <c r="L2907" s="26">
        <v>3200</v>
      </c>
      <c r="M2907" s="26">
        <v>45</v>
      </c>
      <c r="N2907" s="25">
        <f t="shared" si="91"/>
        <v>144000</v>
      </c>
      <c r="O2907" s="56"/>
    </row>
    <row r="2908" spans="1:15" hidden="1" x14ac:dyDescent="0.3">
      <c r="A2908" s="26">
        <v>32</v>
      </c>
      <c r="B2908" s="20" t="str">
        <f t="shared" si="90"/>
        <v>AUG</v>
      </c>
      <c r="C2908" s="21">
        <v>46242</v>
      </c>
      <c r="D2908" s="22" t="s">
        <v>39</v>
      </c>
      <c r="E2908" s="20" t="str">
        <f>IFERROR(VLOOKUP(I2908,KET!$B:$F,4,0),"")</f>
        <v>FAHMI LUKMANUL HAKIM</v>
      </c>
      <c r="F2908" s="20" t="s">
        <v>42</v>
      </c>
      <c r="G2908" s="20">
        <f>IFERROR(INDEX('Kode Outlet dan Target Toko'!$C:$C,MATCH($I2908,'Kode Outlet dan Target Toko'!$E:$E,0)),0)</f>
        <v>103257</v>
      </c>
      <c r="H2908" s="20">
        <f>IFERROR(INDEX('Kode Outlet dan Target Toko'!$D:$D,MATCH($I2908,'Kode Outlet dan Target Toko'!$E:$E,0)),0)</f>
        <v>9162509</v>
      </c>
      <c r="I2908" s="42" t="s">
        <v>57</v>
      </c>
      <c r="J2908" s="56" t="s">
        <v>287</v>
      </c>
      <c r="K2908" s="40" t="s">
        <v>14</v>
      </c>
      <c r="L2908" s="26">
        <v>3200</v>
      </c>
      <c r="M2908" s="26">
        <v>35</v>
      </c>
      <c r="N2908" s="25">
        <f t="shared" si="91"/>
        <v>112000</v>
      </c>
      <c r="O2908" s="56"/>
    </row>
    <row r="2909" spans="1:15" hidden="1" x14ac:dyDescent="0.3">
      <c r="A2909" s="26">
        <v>32</v>
      </c>
      <c r="B2909" s="20" t="str">
        <f t="shared" si="90"/>
        <v>AUG</v>
      </c>
      <c r="C2909" s="21">
        <v>46242</v>
      </c>
      <c r="D2909" s="22" t="s">
        <v>39</v>
      </c>
      <c r="E2909" s="20" t="str">
        <f>IFERROR(VLOOKUP(I2909,KET!$B:$F,4,0),"")</f>
        <v>FAHMI LUKMANUL HAKIM</v>
      </c>
      <c r="F2909" s="20" t="s">
        <v>42</v>
      </c>
      <c r="G2909" s="20">
        <f>IFERROR(INDEX('Kode Outlet dan Target Toko'!$C:$C,MATCH($I2909,'Kode Outlet dan Target Toko'!$E:$E,0)),0)</f>
        <v>103257</v>
      </c>
      <c r="H2909" s="20">
        <f>IFERROR(INDEX('Kode Outlet dan Target Toko'!$D:$D,MATCH($I2909,'Kode Outlet dan Target Toko'!$E:$E,0)),0)</f>
        <v>9162509</v>
      </c>
      <c r="I2909" s="42" t="s">
        <v>57</v>
      </c>
      <c r="J2909" s="56" t="s">
        <v>287</v>
      </c>
      <c r="K2909" s="40" t="s">
        <v>13</v>
      </c>
      <c r="L2909" s="26">
        <v>3200</v>
      </c>
      <c r="M2909" s="26">
        <v>0</v>
      </c>
      <c r="N2909" s="25">
        <f t="shared" si="91"/>
        <v>0</v>
      </c>
      <c r="O2909" s="56"/>
    </row>
    <row r="2910" spans="1:15" hidden="1" x14ac:dyDescent="0.3">
      <c r="A2910" s="26">
        <v>32</v>
      </c>
      <c r="B2910" s="20" t="str">
        <f t="shared" si="90"/>
        <v>AUG</v>
      </c>
      <c r="C2910" s="21">
        <v>46242</v>
      </c>
      <c r="D2910" s="22" t="s">
        <v>39</v>
      </c>
      <c r="E2910" s="20" t="str">
        <f>IFERROR(VLOOKUP(I2910,KET!$B:$F,4,0),"")</f>
        <v>FAHMI LUKMANUL HAKIM</v>
      </c>
      <c r="F2910" s="20" t="s">
        <v>42</v>
      </c>
      <c r="G2910" s="20">
        <f>IFERROR(INDEX('Kode Outlet dan Target Toko'!$C:$C,MATCH($I2910,'Kode Outlet dan Target Toko'!$E:$E,0)),0)</f>
        <v>103257</v>
      </c>
      <c r="H2910" s="20">
        <f>IFERROR(INDEX('Kode Outlet dan Target Toko'!$D:$D,MATCH($I2910,'Kode Outlet dan Target Toko'!$E:$E,0)),0)</f>
        <v>9162509</v>
      </c>
      <c r="I2910" s="42" t="s">
        <v>57</v>
      </c>
      <c r="J2910" s="56" t="s">
        <v>287</v>
      </c>
      <c r="K2910" s="40" t="s">
        <v>16</v>
      </c>
      <c r="L2910" s="26">
        <v>3200</v>
      </c>
      <c r="M2910" s="26">
        <v>33</v>
      </c>
      <c r="N2910" s="25">
        <f t="shared" si="91"/>
        <v>105600</v>
      </c>
      <c r="O2910" s="56">
        <v>160</v>
      </c>
    </row>
    <row r="2911" spans="1:15" hidden="1" x14ac:dyDescent="0.3">
      <c r="A2911" s="26">
        <v>32</v>
      </c>
      <c r="B2911" s="20" t="str">
        <f t="shared" si="90"/>
        <v>AUG</v>
      </c>
      <c r="C2911" s="21">
        <v>46242</v>
      </c>
      <c r="D2911" s="22" t="s">
        <v>39</v>
      </c>
      <c r="E2911" s="20" t="str">
        <f>IFERROR(VLOOKUP(I2911,KET!$B:$F,4,0),"")</f>
        <v>FAHMI LUKMANUL HAKIM</v>
      </c>
      <c r="F2911" s="20" t="s">
        <v>86</v>
      </c>
      <c r="G2911" s="20">
        <f>IFERROR(INDEX('Kode Outlet dan Target Toko'!$C:$C,MATCH($I2911,'Kode Outlet dan Target Toko'!$E:$E,0)),0)</f>
        <v>195403</v>
      </c>
      <c r="H2911" s="20">
        <f>IFERROR(INDEX('Kode Outlet dan Target Toko'!$D:$D,MATCH($I2911,'Kode Outlet dan Target Toko'!$E:$E,0)),0)</f>
        <v>1600007</v>
      </c>
      <c r="I2911" s="42" t="s">
        <v>87</v>
      </c>
      <c r="J2911" s="27" t="s">
        <v>174</v>
      </c>
      <c r="K2911" s="40" t="s">
        <v>15</v>
      </c>
      <c r="L2911" s="26">
        <v>2150</v>
      </c>
      <c r="M2911" s="26">
        <v>69</v>
      </c>
      <c r="N2911" s="25">
        <f t="shared" si="91"/>
        <v>148350</v>
      </c>
      <c r="O2911" s="56"/>
    </row>
    <row r="2912" spans="1:15" hidden="1" x14ac:dyDescent="0.3">
      <c r="A2912" s="26">
        <v>32</v>
      </c>
      <c r="B2912" s="20" t="str">
        <f t="shared" si="90"/>
        <v>AUG</v>
      </c>
      <c r="C2912" s="21">
        <v>46242</v>
      </c>
      <c r="D2912" s="22" t="s">
        <v>39</v>
      </c>
      <c r="E2912" s="20" t="str">
        <f>IFERROR(VLOOKUP(I2912,KET!$B:$F,4,0),"")</f>
        <v>FAHMI LUKMANUL HAKIM</v>
      </c>
      <c r="F2912" s="20" t="s">
        <v>86</v>
      </c>
      <c r="G2912" s="20">
        <f>IFERROR(INDEX('Kode Outlet dan Target Toko'!$C:$C,MATCH($I2912,'Kode Outlet dan Target Toko'!$E:$E,0)),0)</f>
        <v>195403</v>
      </c>
      <c r="H2912" s="20">
        <f>IFERROR(INDEX('Kode Outlet dan Target Toko'!$D:$D,MATCH($I2912,'Kode Outlet dan Target Toko'!$E:$E,0)),0)</f>
        <v>1600007</v>
      </c>
      <c r="I2912" s="42" t="s">
        <v>87</v>
      </c>
      <c r="J2912" s="27" t="s">
        <v>174</v>
      </c>
      <c r="K2912" s="40" t="s">
        <v>14</v>
      </c>
      <c r="L2912" s="26">
        <v>2150</v>
      </c>
      <c r="M2912" s="26">
        <v>63</v>
      </c>
      <c r="N2912" s="25">
        <f t="shared" si="91"/>
        <v>135450</v>
      </c>
      <c r="O2912" s="56"/>
    </row>
    <row r="2913" spans="1:15" hidden="1" x14ac:dyDescent="0.3">
      <c r="A2913" s="26">
        <v>32</v>
      </c>
      <c r="B2913" s="20" t="str">
        <f t="shared" si="90"/>
        <v>AUG</v>
      </c>
      <c r="C2913" s="21">
        <v>46242</v>
      </c>
      <c r="D2913" s="22" t="s">
        <v>39</v>
      </c>
      <c r="E2913" s="20" t="str">
        <f>IFERROR(VLOOKUP(I2913,KET!$B:$F,4,0),"")</f>
        <v>FAHMI LUKMANUL HAKIM</v>
      </c>
      <c r="F2913" s="20" t="s">
        <v>86</v>
      </c>
      <c r="G2913" s="20">
        <f>IFERROR(INDEX('Kode Outlet dan Target Toko'!$C:$C,MATCH($I2913,'Kode Outlet dan Target Toko'!$E:$E,0)),0)</f>
        <v>195403</v>
      </c>
      <c r="H2913" s="20">
        <f>IFERROR(INDEX('Kode Outlet dan Target Toko'!$D:$D,MATCH($I2913,'Kode Outlet dan Target Toko'!$E:$E,0)),0)</f>
        <v>1600007</v>
      </c>
      <c r="I2913" s="42" t="s">
        <v>87</v>
      </c>
      <c r="J2913" s="27" t="s">
        <v>174</v>
      </c>
      <c r="K2913" s="40" t="s">
        <v>13</v>
      </c>
      <c r="L2913" s="26">
        <v>2150</v>
      </c>
      <c r="M2913" s="26">
        <v>45</v>
      </c>
      <c r="N2913" s="25">
        <f t="shared" si="91"/>
        <v>96750</v>
      </c>
      <c r="O2913" s="56"/>
    </row>
    <row r="2914" spans="1:15" hidden="1" x14ac:dyDescent="0.3">
      <c r="A2914" s="26">
        <v>32</v>
      </c>
      <c r="B2914" s="20" t="str">
        <f t="shared" si="90"/>
        <v>AUG</v>
      </c>
      <c r="C2914" s="21">
        <v>46242</v>
      </c>
      <c r="D2914" s="22" t="s">
        <v>39</v>
      </c>
      <c r="E2914" s="20" t="str">
        <f>IFERROR(VLOOKUP(I2914,KET!$B:$F,4,0),"")</f>
        <v>FAHMI LUKMANUL HAKIM</v>
      </c>
      <c r="F2914" s="20" t="s">
        <v>86</v>
      </c>
      <c r="G2914" s="20">
        <f>IFERROR(INDEX('Kode Outlet dan Target Toko'!$C:$C,MATCH($I2914,'Kode Outlet dan Target Toko'!$E:$E,0)),0)</f>
        <v>195403</v>
      </c>
      <c r="H2914" s="20">
        <f>IFERROR(INDEX('Kode Outlet dan Target Toko'!$D:$D,MATCH($I2914,'Kode Outlet dan Target Toko'!$E:$E,0)),0)</f>
        <v>1600007</v>
      </c>
      <c r="I2914" s="42" t="s">
        <v>87</v>
      </c>
      <c r="J2914" s="27" t="s">
        <v>174</v>
      </c>
      <c r="K2914" s="40" t="s">
        <v>16</v>
      </c>
      <c r="L2914" s="26">
        <v>2150</v>
      </c>
      <c r="M2914" s="26">
        <v>90</v>
      </c>
      <c r="N2914" s="25">
        <f t="shared" si="91"/>
        <v>193500</v>
      </c>
      <c r="O2914" s="56">
        <v>160</v>
      </c>
    </row>
    <row r="2915" spans="1:15" hidden="1" x14ac:dyDescent="0.3">
      <c r="A2915" s="26">
        <v>32</v>
      </c>
      <c r="B2915" s="20" t="str">
        <f t="shared" si="90"/>
        <v>AUG</v>
      </c>
      <c r="C2915" s="21">
        <v>46242</v>
      </c>
      <c r="D2915" s="22" t="s">
        <v>39</v>
      </c>
      <c r="E2915" s="20" t="str">
        <f>IFERROR(VLOOKUP(I2915,KET!$B:$F,4,0),"")</f>
        <v>FAHMI LUKMANUL HAKIM</v>
      </c>
      <c r="F2915" s="20" t="s">
        <v>86</v>
      </c>
      <c r="G2915" s="20">
        <f>IFERROR(INDEX('Kode Outlet dan Target Toko'!$C:$C,MATCH($I2915,'Kode Outlet dan Target Toko'!$E:$E,0)),0)</f>
        <v>195403</v>
      </c>
      <c r="H2915" s="20">
        <f>IFERROR(INDEX('Kode Outlet dan Target Toko'!$D:$D,MATCH($I2915,'Kode Outlet dan Target Toko'!$E:$E,0)),0)</f>
        <v>1600007</v>
      </c>
      <c r="I2915" s="42" t="s">
        <v>87</v>
      </c>
      <c r="J2915" s="56" t="s">
        <v>175</v>
      </c>
      <c r="K2915" s="40" t="s">
        <v>15</v>
      </c>
      <c r="L2915" s="26">
        <v>2150</v>
      </c>
      <c r="M2915" s="26">
        <v>69</v>
      </c>
      <c r="N2915" s="25">
        <f t="shared" si="91"/>
        <v>148350</v>
      </c>
      <c r="O2915" s="56"/>
    </row>
    <row r="2916" spans="1:15" hidden="1" x14ac:dyDescent="0.3">
      <c r="A2916" s="26">
        <v>32</v>
      </c>
      <c r="B2916" s="20" t="str">
        <f t="shared" si="90"/>
        <v>AUG</v>
      </c>
      <c r="C2916" s="21">
        <v>46242</v>
      </c>
      <c r="D2916" s="22" t="s">
        <v>39</v>
      </c>
      <c r="E2916" s="20" t="str">
        <f>IFERROR(VLOOKUP(I2916,KET!$B:$F,4,0),"")</f>
        <v>FAHMI LUKMANUL HAKIM</v>
      </c>
      <c r="F2916" s="20" t="s">
        <v>86</v>
      </c>
      <c r="G2916" s="20">
        <f>IFERROR(INDEX('Kode Outlet dan Target Toko'!$C:$C,MATCH($I2916,'Kode Outlet dan Target Toko'!$E:$E,0)),0)</f>
        <v>195403</v>
      </c>
      <c r="H2916" s="20">
        <f>IFERROR(INDEX('Kode Outlet dan Target Toko'!$D:$D,MATCH($I2916,'Kode Outlet dan Target Toko'!$E:$E,0)),0)</f>
        <v>1600007</v>
      </c>
      <c r="I2916" s="42" t="s">
        <v>87</v>
      </c>
      <c r="J2916" s="56" t="s">
        <v>175</v>
      </c>
      <c r="K2916" s="40" t="s">
        <v>14</v>
      </c>
      <c r="L2916" s="26">
        <v>2150</v>
      </c>
      <c r="M2916" s="26">
        <v>63</v>
      </c>
      <c r="N2916" s="25">
        <f t="shared" si="91"/>
        <v>135450</v>
      </c>
      <c r="O2916" s="56"/>
    </row>
    <row r="2917" spans="1:15" hidden="1" x14ac:dyDescent="0.3">
      <c r="A2917" s="26">
        <v>32</v>
      </c>
      <c r="B2917" s="20" t="str">
        <f t="shared" si="90"/>
        <v>AUG</v>
      </c>
      <c r="C2917" s="21">
        <v>46242</v>
      </c>
      <c r="D2917" s="22" t="s">
        <v>39</v>
      </c>
      <c r="E2917" s="20" t="str">
        <f>IFERROR(VLOOKUP(I2917,KET!$B:$F,4,0),"")</f>
        <v>FAHMI LUKMANUL HAKIM</v>
      </c>
      <c r="F2917" s="20" t="s">
        <v>86</v>
      </c>
      <c r="G2917" s="20">
        <f>IFERROR(INDEX('Kode Outlet dan Target Toko'!$C:$C,MATCH($I2917,'Kode Outlet dan Target Toko'!$E:$E,0)),0)</f>
        <v>195403</v>
      </c>
      <c r="H2917" s="20">
        <f>IFERROR(INDEX('Kode Outlet dan Target Toko'!$D:$D,MATCH($I2917,'Kode Outlet dan Target Toko'!$E:$E,0)),0)</f>
        <v>1600007</v>
      </c>
      <c r="I2917" s="42" t="s">
        <v>87</v>
      </c>
      <c r="J2917" s="56" t="s">
        <v>175</v>
      </c>
      <c r="K2917" s="40" t="s">
        <v>13</v>
      </c>
      <c r="L2917" s="26">
        <v>2150</v>
      </c>
      <c r="M2917" s="26">
        <v>41</v>
      </c>
      <c r="N2917" s="25">
        <f t="shared" si="91"/>
        <v>88150</v>
      </c>
      <c r="O2917" s="56"/>
    </row>
    <row r="2918" spans="1:15" hidden="1" x14ac:dyDescent="0.3">
      <c r="A2918" s="26">
        <v>32</v>
      </c>
      <c r="B2918" s="20" t="str">
        <f t="shared" si="90"/>
        <v>AUG</v>
      </c>
      <c r="C2918" s="21">
        <v>46242</v>
      </c>
      <c r="D2918" s="22" t="s">
        <v>39</v>
      </c>
      <c r="E2918" s="20" t="str">
        <f>IFERROR(VLOOKUP(I2918,KET!$B:$F,4,0),"")</f>
        <v>FAHMI LUKMANUL HAKIM</v>
      </c>
      <c r="F2918" s="20" t="s">
        <v>86</v>
      </c>
      <c r="G2918" s="20">
        <f>IFERROR(INDEX('Kode Outlet dan Target Toko'!$C:$C,MATCH($I2918,'Kode Outlet dan Target Toko'!$E:$E,0)),0)</f>
        <v>195403</v>
      </c>
      <c r="H2918" s="20">
        <f>IFERROR(INDEX('Kode Outlet dan Target Toko'!$D:$D,MATCH($I2918,'Kode Outlet dan Target Toko'!$E:$E,0)),0)</f>
        <v>1600007</v>
      </c>
      <c r="I2918" s="42" t="s">
        <v>87</v>
      </c>
      <c r="J2918" s="56" t="s">
        <v>175</v>
      </c>
      <c r="K2918" s="40" t="s">
        <v>16</v>
      </c>
      <c r="L2918" s="26">
        <v>2150</v>
      </c>
      <c r="M2918" s="26">
        <v>90</v>
      </c>
      <c r="N2918" s="25">
        <f t="shared" si="91"/>
        <v>193500</v>
      </c>
      <c r="O2918" s="56">
        <v>160</v>
      </c>
    </row>
    <row r="2919" spans="1:15" hidden="1" x14ac:dyDescent="0.3">
      <c r="A2919" s="26">
        <v>32</v>
      </c>
      <c r="B2919" s="20" t="str">
        <f t="shared" si="90"/>
        <v>AUG</v>
      </c>
      <c r="C2919" s="21">
        <v>46242</v>
      </c>
      <c r="D2919" s="22" t="s">
        <v>39</v>
      </c>
      <c r="E2919" s="20" t="str">
        <f>IFERROR(VLOOKUP(I2919,KET!$B:$F,4,0),"")</f>
        <v>FAHMI LUKMANUL HAKIM</v>
      </c>
      <c r="F2919" s="20" t="s">
        <v>42</v>
      </c>
      <c r="G2919" s="20">
        <f>IFERROR(INDEX('Kode Outlet dan Target Toko'!$C:$C,MATCH($I2919,'Kode Outlet dan Target Toko'!$E:$E,0)),0)</f>
        <v>103259</v>
      </c>
      <c r="H2919" s="20">
        <f>IFERROR(INDEX('Kode Outlet dan Target Toko'!$D:$D,MATCH($I2919,'Kode Outlet dan Target Toko'!$E:$E,0)),0)</f>
        <v>9006219</v>
      </c>
      <c r="I2919" s="42" t="s">
        <v>96</v>
      </c>
      <c r="J2919" s="56" t="s">
        <v>253</v>
      </c>
      <c r="K2919" s="40" t="s">
        <v>15</v>
      </c>
      <c r="L2919" s="26">
        <v>2200</v>
      </c>
      <c r="M2919" s="26">
        <v>45</v>
      </c>
      <c r="N2919" s="25">
        <f t="shared" si="91"/>
        <v>99000</v>
      </c>
      <c r="O2919" s="56"/>
    </row>
    <row r="2920" spans="1:15" hidden="1" x14ac:dyDescent="0.3">
      <c r="A2920" s="26">
        <v>32</v>
      </c>
      <c r="B2920" s="20" t="str">
        <f t="shared" si="90"/>
        <v>AUG</v>
      </c>
      <c r="C2920" s="21">
        <v>46242</v>
      </c>
      <c r="D2920" s="22" t="s">
        <v>39</v>
      </c>
      <c r="E2920" s="20" t="str">
        <f>IFERROR(VLOOKUP(I2920,KET!$B:$F,4,0),"")</f>
        <v>FAHMI LUKMANUL HAKIM</v>
      </c>
      <c r="F2920" s="20" t="s">
        <v>42</v>
      </c>
      <c r="G2920" s="20">
        <f>IFERROR(INDEX('Kode Outlet dan Target Toko'!$C:$C,MATCH($I2920,'Kode Outlet dan Target Toko'!$E:$E,0)),0)</f>
        <v>103259</v>
      </c>
      <c r="H2920" s="20">
        <f>IFERROR(INDEX('Kode Outlet dan Target Toko'!$D:$D,MATCH($I2920,'Kode Outlet dan Target Toko'!$E:$E,0)),0)</f>
        <v>9006219</v>
      </c>
      <c r="I2920" s="42" t="s">
        <v>96</v>
      </c>
      <c r="J2920" s="56" t="s">
        <v>253</v>
      </c>
      <c r="K2920" s="40" t="s">
        <v>14</v>
      </c>
      <c r="L2920" s="26">
        <v>2200</v>
      </c>
      <c r="M2920" s="26">
        <v>47</v>
      </c>
      <c r="N2920" s="25">
        <f t="shared" si="91"/>
        <v>103400</v>
      </c>
      <c r="O2920" s="56"/>
    </row>
    <row r="2921" spans="1:15" hidden="1" x14ac:dyDescent="0.3">
      <c r="A2921" s="26">
        <v>32</v>
      </c>
      <c r="B2921" s="20" t="str">
        <f t="shared" si="90"/>
        <v>AUG</v>
      </c>
      <c r="C2921" s="21">
        <v>46242</v>
      </c>
      <c r="D2921" s="22" t="s">
        <v>39</v>
      </c>
      <c r="E2921" s="20" t="str">
        <f>IFERROR(VLOOKUP(I2921,KET!$B:$F,4,0),"")</f>
        <v>FAHMI LUKMANUL HAKIM</v>
      </c>
      <c r="F2921" s="20" t="s">
        <v>42</v>
      </c>
      <c r="G2921" s="20">
        <f>IFERROR(INDEX('Kode Outlet dan Target Toko'!$C:$C,MATCH($I2921,'Kode Outlet dan Target Toko'!$E:$E,0)),0)</f>
        <v>103259</v>
      </c>
      <c r="H2921" s="20">
        <f>IFERROR(INDEX('Kode Outlet dan Target Toko'!$D:$D,MATCH($I2921,'Kode Outlet dan Target Toko'!$E:$E,0)),0)</f>
        <v>9006219</v>
      </c>
      <c r="I2921" s="42" t="s">
        <v>96</v>
      </c>
      <c r="J2921" s="56" t="s">
        <v>253</v>
      </c>
      <c r="K2921" s="40" t="s">
        <v>13</v>
      </c>
      <c r="L2921" s="26">
        <v>2200</v>
      </c>
      <c r="M2921" s="26">
        <v>24</v>
      </c>
      <c r="N2921" s="25">
        <f t="shared" si="91"/>
        <v>52800</v>
      </c>
      <c r="O2921" s="56"/>
    </row>
    <row r="2922" spans="1:15" hidden="1" x14ac:dyDescent="0.3">
      <c r="A2922" s="26">
        <v>32</v>
      </c>
      <c r="B2922" s="20" t="str">
        <f t="shared" si="90"/>
        <v>AUG</v>
      </c>
      <c r="C2922" s="21">
        <v>46242</v>
      </c>
      <c r="D2922" s="22" t="s">
        <v>39</v>
      </c>
      <c r="E2922" s="20" t="str">
        <f>IFERROR(VLOOKUP(I2922,KET!$B:$F,4,0),"")</f>
        <v>FAHMI LUKMANUL HAKIM</v>
      </c>
      <c r="F2922" s="20" t="s">
        <v>42</v>
      </c>
      <c r="G2922" s="20">
        <f>IFERROR(INDEX('Kode Outlet dan Target Toko'!$C:$C,MATCH($I2922,'Kode Outlet dan Target Toko'!$E:$E,0)),0)</f>
        <v>103259</v>
      </c>
      <c r="H2922" s="20">
        <f>IFERROR(INDEX('Kode Outlet dan Target Toko'!$D:$D,MATCH($I2922,'Kode Outlet dan Target Toko'!$E:$E,0)),0)</f>
        <v>9006219</v>
      </c>
      <c r="I2922" s="42" t="s">
        <v>96</v>
      </c>
      <c r="J2922" s="56" t="s">
        <v>253</v>
      </c>
      <c r="K2922" s="40" t="s">
        <v>16</v>
      </c>
      <c r="L2922" s="26">
        <v>2200</v>
      </c>
      <c r="M2922" s="26">
        <v>75</v>
      </c>
      <c r="N2922" s="25">
        <f t="shared" si="91"/>
        <v>165000</v>
      </c>
      <c r="O2922" s="56">
        <v>160</v>
      </c>
    </row>
    <row r="2923" spans="1:15" hidden="1" x14ac:dyDescent="0.3">
      <c r="A2923" s="26">
        <v>32</v>
      </c>
      <c r="B2923" s="20" t="str">
        <f t="shared" si="90"/>
        <v>AUG</v>
      </c>
      <c r="C2923" s="21">
        <v>46242</v>
      </c>
      <c r="D2923" s="22" t="s">
        <v>39</v>
      </c>
      <c r="E2923" s="20" t="str">
        <f>IFERROR(VLOOKUP(I2923,KET!$B:$F,4,0),"")</f>
        <v>FAHMI LUKMANUL HAKIM</v>
      </c>
      <c r="F2923" s="20" t="s">
        <v>42</v>
      </c>
      <c r="G2923" s="20">
        <f>IFERROR(INDEX('Kode Outlet dan Target Toko'!$C:$C,MATCH($I2923,'Kode Outlet dan Target Toko'!$E:$E,0)),0)</f>
        <v>103259</v>
      </c>
      <c r="H2923" s="20">
        <f>IFERROR(INDEX('Kode Outlet dan Target Toko'!$D:$D,MATCH($I2923,'Kode Outlet dan Target Toko'!$E:$E,0)),0)</f>
        <v>9006219</v>
      </c>
      <c r="I2923" s="42" t="s">
        <v>96</v>
      </c>
      <c r="J2923" s="56" t="s">
        <v>198</v>
      </c>
      <c r="K2923" s="40" t="s">
        <v>15</v>
      </c>
      <c r="L2923" s="26">
        <v>2200</v>
      </c>
      <c r="M2923" s="26">
        <v>45</v>
      </c>
      <c r="N2923" s="25">
        <f t="shared" si="91"/>
        <v>99000</v>
      </c>
      <c r="O2923" s="56"/>
    </row>
    <row r="2924" spans="1:15" hidden="1" x14ac:dyDescent="0.3">
      <c r="A2924" s="26">
        <v>32</v>
      </c>
      <c r="B2924" s="20" t="str">
        <f t="shared" si="90"/>
        <v>AUG</v>
      </c>
      <c r="C2924" s="21">
        <v>46242</v>
      </c>
      <c r="D2924" s="22" t="s">
        <v>39</v>
      </c>
      <c r="E2924" s="20" t="str">
        <f>IFERROR(VLOOKUP(I2924,KET!$B:$F,4,0),"")</f>
        <v>FAHMI LUKMANUL HAKIM</v>
      </c>
      <c r="F2924" s="20" t="s">
        <v>42</v>
      </c>
      <c r="G2924" s="20">
        <f>IFERROR(INDEX('Kode Outlet dan Target Toko'!$C:$C,MATCH($I2924,'Kode Outlet dan Target Toko'!$E:$E,0)),0)</f>
        <v>103259</v>
      </c>
      <c r="H2924" s="20">
        <f>IFERROR(INDEX('Kode Outlet dan Target Toko'!$D:$D,MATCH($I2924,'Kode Outlet dan Target Toko'!$E:$E,0)),0)</f>
        <v>9006219</v>
      </c>
      <c r="I2924" s="42" t="s">
        <v>96</v>
      </c>
      <c r="J2924" s="56" t="s">
        <v>198</v>
      </c>
      <c r="K2924" s="40" t="s">
        <v>14</v>
      </c>
      <c r="L2924" s="26">
        <v>2200</v>
      </c>
      <c r="M2924" s="26">
        <v>47</v>
      </c>
      <c r="N2924" s="25">
        <f t="shared" si="91"/>
        <v>103400</v>
      </c>
      <c r="O2924" s="56"/>
    </row>
    <row r="2925" spans="1:15" hidden="1" x14ac:dyDescent="0.3">
      <c r="A2925" s="26">
        <v>32</v>
      </c>
      <c r="B2925" s="20" t="str">
        <f t="shared" si="90"/>
        <v>AUG</v>
      </c>
      <c r="C2925" s="21">
        <v>46242</v>
      </c>
      <c r="D2925" s="22" t="s">
        <v>39</v>
      </c>
      <c r="E2925" s="20" t="str">
        <f>IFERROR(VLOOKUP(I2925,KET!$B:$F,4,0),"")</f>
        <v>FAHMI LUKMANUL HAKIM</v>
      </c>
      <c r="F2925" s="20" t="s">
        <v>42</v>
      </c>
      <c r="G2925" s="20">
        <f>IFERROR(INDEX('Kode Outlet dan Target Toko'!$C:$C,MATCH($I2925,'Kode Outlet dan Target Toko'!$E:$E,0)),0)</f>
        <v>103259</v>
      </c>
      <c r="H2925" s="20">
        <f>IFERROR(INDEX('Kode Outlet dan Target Toko'!$D:$D,MATCH($I2925,'Kode Outlet dan Target Toko'!$E:$E,0)),0)</f>
        <v>9006219</v>
      </c>
      <c r="I2925" s="42" t="s">
        <v>96</v>
      </c>
      <c r="J2925" s="56" t="s">
        <v>198</v>
      </c>
      <c r="K2925" s="40" t="s">
        <v>13</v>
      </c>
      <c r="L2925" s="26">
        <v>2200</v>
      </c>
      <c r="M2925" s="26">
        <v>18</v>
      </c>
      <c r="N2925" s="25">
        <f t="shared" si="91"/>
        <v>39600</v>
      </c>
      <c r="O2925" s="56"/>
    </row>
    <row r="2926" spans="1:15" hidden="1" x14ac:dyDescent="0.3">
      <c r="A2926" s="26">
        <v>32</v>
      </c>
      <c r="B2926" s="20" t="str">
        <f t="shared" si="90"/>
        <v>AUG</v>
      </c>
      <c r="C2926" s="21">
        <v>46242</v>
      </c>
      <c r="D2926" s="22" t="s">
        <v>39</v>
      </c>
      <c r="E2926" s="20" t="str">
        <f>IFERROR(VLOOKUP(I2926,KET!$B:$F,4,0),"")</f>
        <v>FAHMI LUKMANUL HAKIM</v>
      </c>
      <c r="F2926" s="20" t="s">
        <v>42</v>
      </c>
      <c r="G2926" s="20">
        <f>IFERROR(INDEX('Kode Outlet dan Target Toko'!$C:$C,MATCH($I2926,'Kode Outlet dan Target Toko'!$E:$E,0)),0)</f>
        <v>103259</v>
      </c>
      <c r="H2926" s="20">
        <f>IFERROR(INDEX('Kode Outlet dan Target Toko'!$D:$D,MATCH($I2926,'Kode Outlet dan Target Toko'!$E:$E,0)),0)</f>
        <v>9006219</v>
      </c>
      <c r="I2926" s="42" t="s">
        <v>96</v>
      </c>
      <c r="J2926" s="56" t="s">
        <v>198</v>
      </c>
      <c r="K2926" s="40" t="s">
        <v>16</v>
      </c>
      <c r="L2926" s="26">
        <v>2200</v>
      </c>
      <c r="M2926" s="26">
        <v>75</v>
      </c>
      <c r="N2926" s="25">
        <f t="shared" si="91"/>
        <v>165000</v>
      </c>
      <c r="O2926" s="56">
        <v>160</v>
      </c>
    </row>
    <row r="2927" spans="1:15" hidden="1" x14ac:dyDescent="0.3">
      <c r="A2927" s="26">
        <v>32</v>
      </c>
      <c r="B2927" s="20" t="str">
        <f t="shared" si="90"/>
        <v>AUG</v>
      </c>
      <c r="C2927" s="21">
        <v>46243</v>
      </c>
      <c r="D2927" s="22" t="s">
        <v>39</v>
      </c>
      <c r="E2927" s="20" t="str">
        <f>IFERROR(VLOOKUP(I2927,KET!$B:$F,4,0),"")</f>
        <v>FAHMI LUKMANUL HAKIM</v>
      </c>
      <c r="F2927" s="20" t="s">
        <v>86</v>
      </c>
      <c r="G2927" s="20">
        <f>IFERROR(INDEX('Kode Outlet dan Target Toko'!$C:$C,MATCH($I2927,'Kode Outlet dan Target Toko'!$E:$E,0)),0)</f>
        <v>121409</v>
      </c>
      <c r="H2927" s="20">
        <f>IFERROR(INDEX('Kode Outlet dan Target Toko'!$D:$D,MATCH($I2927,'Kode Outlet dan Target Toko'!$E:$E,0)),0)</f>
        <v>5025004</v>
      </c>
      <c r="I2927" s="42" t="s">
        <v>112</v>
      </c>
      <c r="J2927" s="56" t="s">
        <v>185</v>
      </c>
      <c r="K2927" s="40" t="s">
        <v>15</v>
      </c>
      <c r="L2927" s="26">
        <v>2100</v>
      </c>
      <c r="M2927" s="26">
        <v>65</v>
      </c>
      <c r="N2927" s="25">
        <f t="shared" si="91"/>
        <v>136500</v>
      </c>
      <c r="O2927" s="56"/>
    </row>
    <row r="2928" spans="1:15" hidden="1" x14ac:dyDescent="0.3">
      <c r="A2928" s="26">
        <v>32</v>
      </c>
      <c r="B2928" s="20" t="str">
        <f t="shared" si="90"/>
        <v>AUG</v>
      </c>
      <c r="C2928" s="21">
        <v>46243</v>
      </c>
      <c r="D2928" s="22" t="s">
        <v>39</v>
      </c>
      <c r="E2928" s="20" t="str">
        <f>IFERROR(VLOOKUP(I2928,KET!$B:$F,4,0),"")</f>
        <v>FAHMI LUKMANUL HAKIM</v>
      </c>
      <c r="F2928" s="20" t="s">
        <v>86</v>
      </c>
      <c r="G2928" s="20">
        <f>IFERROR(INDEX('Kode Outlet dan Target Toko'!$C:$C,MATCH($I2928,'Kode Outlet dan Target Toko'!$E:$E,0)),0)</f>
        <v>121409</v>
      </c>
      <c r="H2928" s="20">
        <f>IFERROR(INDEX('Kode Outlet dan Target Toko'!$D:$D,MATCH($I2928,'Kode Outlet dan Target Toko'!$E:$E,0)),0)</f>
        <v>5025004</v>
      </c>
      <c r="I2928" s="42" t="s">
        <v>112</v>
      </c>
      <c r="J2928" s="56" t="s">
        <v>185</v>
      </c>
      <c r="K2928" s="40" t="s">
        <v>14</v>
      </c>
      <c r="L2928" s="26">
        <v>2100</v>
      </c>
      <c r="M2928" s="26">
        <v>74</v>
      </c>
      <c r="N2928" s="25">
        <f t="shared" si="91"/>
        <v>155400</v>
      </c>
      <c r="O2928" s="56"/>
    </row>
    <row r="2929" spans="1:15" hidden="1" x14ac:dyDescent="0.3">
      <c r="A2929" s="26">
        <v>32</v>
      </c>
      <c r="B2929" s="20" t="str">
        <f t="shared" si="90"/>
        <v>AUG</v>
      </c>
      <c r="C2929" s="21">
        <v>46243</v>
      </c>
      <c r="D2929" s="22" t="s">
        <v>39</v>
      </c>
      <c r="E2929" s="20" t="str">
        <f>IFERROR(VLOOKUP(I2929,KET!$B:$F,4,0),"")</f>
        <v>FAHMI LUKMANUL HAKIM</v>
      </c>
      <c r="F2929" s="20" t="s">
        <v>86</v>
      </c>
      <c r="G2929" s="20">
        <f>IFERROR(INDEX('Kode Outlet dan Target Toko'!$C:$C,MATCH($I2929,'Kode Outlet dan Target Toko'!$E:$E,0)),0)</f>
        <v>121409</v>
      </c>
      <c r="H2929" s="20">
        <f>IFERROR(INDEX('Kode Outlet dan Target Toko'!$D:$D,MATCH($I2929,'Kode Outlet dan Target Toko'!$E:$E,0)),0)</f>
        <v>5025004</v>
      </c>
      <c r="I2929" s="42" t="s">
        <v>112</v>
      </c>
      <c r="J2929" s="56" t="s">
        <v>185</v>
      </c>
      <c r="K2929" s="40" t="s">
        <v>13</v>
      </c>
      <c r="L2929" s="26">
        <v>2100</v>
      </c>
      <c r="M2929" s="26">
        <v>84</v>
      </c>
      <c r="N2929" s="25">
        <f t="shared" si="91"/>
        <v>176400</v>
      </c>
      <c r="O2929" s="56"/>
    </row>
    <row r="2930" spans="1:15" hidden="1" x14ac:dyDescent="0.3">
      <c r="A2930" s="26">
        <v>32</v>
      </c>
      <c r="B2930" s="20" t="str">
        <f t="shared" si="90"/>
        <v>AUG</v>
      </c>
      <c r="C2930" s="21">
        <v>46243</v>
      </c>
      <c r="D2930" s="22" t="s">
        <v>39</v>
      </c>
      <c r="E2930" s="20" t="str">
        <f>IFERROR(VLOOKUP(I2930,KET!$B:$F,4,0),"")</f>
        <v>FAHMI LUKMANUL HAKIM</v>
      </c>
      <c r="F2930" s="20" t="s">
        <v>86</v>
      </c>
      <c r="G2930" s="20">
        <f>IFERROR(INDEX('Kode Outlet dan Target Toko'!$C:$C,MATCH($I2930,'Kode Outlet dan Target Toko'!$E:$E,0)),0)</f>
        <v>121409</v>
      </c>
      <c r="H2930" s="20">
        <f>IFERROR(INDEX('Kode Outlet dan Target Toko'!$D:$D,MATCH($I2930,'Kode Outlet dan Target Toko'!$E:$E,0)),0)</f>
        <v>5025004</v>
      </c>
      <c r="I2930" s="42" t="s">
        <v>112</v>
      </c>
      <c r="J2930" s="56" t="s">
        <v>185</v>
      </c>
      <c r="K2930" s="40" t="s">
        <v>16</v>
      </c>
      <c r="L2930" s="26">
        <v>2100</v>
      </c>
      <c r="M2930" s="26">
        <v>85</v>
      </c>
      <c r="N2930" s="25">
        <f t="shared" si="91"/>
        <v>178500</v>
      </c>
      <c r="O2930" s="56">
        <v>160</v>
      </c>
    </row>
    <row r="2931" spans="1:15" hidden="1" x14ac:dyDescent="0.3">
      <c r="A2931" s="26">
        <v>32</v>
      </c>
      <c r="B2931" s="20" t="str">
        <f t="shared" si="90"/>
        <v>AUG</v>
      </c>
      <c r="C2931" s="21">
        <v>46243</v>
      </c>
      <c r="D2931" s="22" t="s">
        <v>39</v>
      </c>
      <c r="E2931" s="20" t="str">
        <f>IFERROR(VLOOKUP(I2931,KET!$B:$F,4,0),"")</f>
        <v>FAHMI LUKMANUL HAKIM</v>
      </c>
      <c r="F2931" s="20" t="s">
        <v>86</v>
      </c>
      <c r="G2931" s="20">
        <f>IFERROR(INDEX('Kode Outlet dan Target Toko'!$C:$C,MATCH($I2931,'Kode Outlet dan Target Toko'!$E:$E,0)),0)</f>
        <v>121409</v>
      </c>
      <c r="H2931" s="20">
        <f>IFERROR(INDEX('Kode Outlet dan Target Toko'!$D:$D,MATCH($I2931,'Kode Outlet dan Target Toko'!$E:$E,0)),0)</f>
        <v>5025004</v>
      </c>
      <c r="I2931" s="42" t="s">
        <v>112</v>
      </c>
      <c r="J2931" s="56" t="s">
        <v>184</v>
      </c>
      <c r="K2931" s="40" t="s">
        <v>15</v>
      </c>
      <c r="L2931" s="26">
        <v>2100</v>
      </c>
      <c r="M2931" s="26">
        <v>65</v>
      </c>
      <c r="N2931" s="25">
        <f t="shared" si="91"/>
        <v>136500</v>
      </c>
      <c r="O2931" s="56"/>
    </row>
    <row r="2932" spans="1:15" hidden="1" x14ac:dyDescent="0.3">
      <c r="A2932" s="26">
        <v>32</v>
      </c>
      <c r="B2932" s="20" t="str">
        <f t="shared" si="90"/>
        <v>AUG</v>
      </c>
      <c r="C2932" s="21">
        <v>46243</v>
      </c>
      <c r="D2932" s="22" t="s">
        <v>39</v>
      </c>
      <c r="E2932" s="20" t="str">
        <f>IFERROR(VLOOKUP(I2932,KET!$B:$F,4,0),"")</f>
        <v>FAHMI LUKMANUL HAKIM</v>
      </c>
      <c r="F2932" s="20" t="s">
        <v>86</v>
      </c>
      <c r="G2932" s="20">
        <f>IFERROR(INDEX('Kode Outlet dan Target Toko'!$C:$C,MATCH($I2932,'Kode Outlet dan Target Toko'!$E:$E,0)),0)</f>
        <v>121409</v>
      </c>
      <c r="H2932" s="20">
        <f>IFERROR(INDEX('Kode Outlet dan Target Toko'!$D:$D,MATCH($I2932,'Kode Outlet dan Target Toko'!$E:$E,0)),0)</f>
        <v>5025004</v>
      </c>
      <c r="I2932" s="42" t="s">
        <v>112</v>
      </c>
      <c r="J2932" s="56" t="s">
        <v>184</v>
      </c>
      <c r="K2932" s="40" t="s">
        <v>14</v>
      </c>
      <c r="L2932" s="26">
        <v>2100</v>
      </c>
      <c r="M2932" s="26">
        <v>74</v>
      </c>
      <c r="N2932" s="25">
        <f t="shared" si="91"/>
        <v>155400</v>
      </c>
      <c r="O2932" s="56"/>
    </row>
    <row r="2933" spans="1:15" hidden="1" x14ac:dyDescent="0.3">
      <c r="A2933" s="26">
        <v>32</v>
      </c>
      <c r="B2933" s="20" t="str">
        <f t="shared" si="90"/>
        <v>AUG</v>
      </c>
      <c r="C2933" s="21">
        <v>46243</v>
      </c>
      <c r="D2933" s="22" t="s">
        <v>39</v>
      </c>
      <c r="E2933" s="20" t="str">
        <f>IFERROR(VLOOKUP(I2933,KET!$B:$F,4,0),"")</f>
        <v>FAHMI LUKMANUL HAKIM</v>
      </c>
      <c r="F2933" s="20" t="s">
        <v>86</v>
      </c>
      <c r="G2933" s="20">
        <f>IFERROR(INDEX('Kode Outlet dan Target Toko'!$C:$C,MATCH($I2933,'Kode Outlet dan Target Toko'!$E:$E,0)),0)</f>
        <v>121409</v>
      </c>
      <c r="H2933" s="20">
        <f>IFERROR(INDEX('Kode Outlet dan Target Toko'!$D:$D,MATCH($I2933,'Kode Outlet dan Target Toko'!$E:$E,0)),0)</f>
        <v>5025004</v>
      </c>
      <c r="I2933" s="42" t="s">
        <v>112</v>
      </c>
      <c r="J2933" s="56" t="s">
        <v>184</v>
      </c>
      <c r="K2933" s="40" t="s">
        <v>13</v>
      </c>
      <c r="L2933" s="26">
        <v>2100</v>
      </c>
      <c r="M2933" s="26">
        <v>84</v>
      </c>
      <c r="N2933" s="25">
        <f t="shared" si="91"/>
        <v>176400</v>
      </c>
      <c r="O2933" s="56"/>
    </row>
    <row r="2934" spans="1:15" hidden="1" x14ac:dyDescent="0.3">
      <c r="A2934" s="26">
        <v>32</v>
      </c>
      <c r="B2934" s="20" t="str">
        <f t="shared" si="90"/>
        <v>AUG</v>
      </c>
      <c r="C2934" s="21">
        <v>46243</v>
      </c>
      <c r="D2934" s="22" t="s">
        <v>39</v>
      </c>
      <c r="E2934" s="20" t="str">
        <f>IFERROR(VLOOKUP(I2934,KET!$B:$F,4,0),"")</f>
        <v>FAHMI LUKMANUL HAKIM</v>
      </c>
      <c r="F2934" s="20" t="s">
        <v>86</v>
      </c>
      <c r="G2934" s="20">
        <f>IFERROR(INDEX('Kode Outlet dan Target Toko'!$C:$C,MATCH($I2934,'Kode Outlet dan Target Toko'!$E:$E,0)),0)</f>
        <v>121409</v>
      </c>
      <c r="H2934" s="20">
        <f>IFERROR(INDEX('Kode Outlet dan Target Toko'!$D:$D,MATCH($I2934,'Kode Outlet dan Target Toko'!$E:$E,0)),0)</f>
        <v>5025004</v>
      </c>
      <c r="I2934" s="42" t="s">
        <v>112</v>
      </c>
      <c r="J2934" s="56" t="s">
        <v>184</v>
      </c>
      <c r="K2934" s="40" t="s">
        <v>16</v>
      </c>
      <c r="L2934" s="26">
        <v>2100</v>
      </c>
      <c r="M2934" s="26">
        <v>85</v>
      </c>
      <c r="N2934" s="25">
        <f t="shared" si="91"/>
        <v>178500</v>
      </c>
      <c r="O2934" s="56">
        <v>160</v>
      </c>
    </row>
    <row r="2935" spans="1:15" hidden="1" x14ac:dyDescent="0.3">
      <c r="A2935" s="26">
        <v>32</v>
      </c>
      <c r="B2935" s="20" t="str">
        <f t="shared" si="90"/>
        <v>AUG</v>
      </c>
      <c r="C2935" s="21">
        <v>46243</v>
      </c>
      <c r="D2935" s="22" t="s">
        <v>39</v>
      </c>
      <c r="E2935" s="20" t="str">
        <f>IFERROR(VLOOKUP(I2935,KET!$B:$F,4,0),"")</f>
        <v>FAHMI LUKMANUL HAKIM</v>
      </c>
      <c r="F2935" s="20" t="s">
        <v>42</v>
      </c>
      <c r="G2935" s="20">
        <f>IFERROR(INDEX('Kode Outlet dan Target Toko'!$C:$C,MATCH($I2935,'Kode Outlet dan Target Toko'!$E:$E,0)),0)</f>
        <v>103259</v>
      </c>
      <c r="H2935" s="20">
        <f>IFERROR(INDEX('Kode Outlet dan Target Toko'!$D:$D,MATCH($I2935,'Kode Outlet dan Target Toko'!$E:$E,0)),0)</f>
        <v>9002359</v>
      </c>
      <c r="I2935" s="42" t="s">
        <v>103</v>
      </c>
      <c r="J2935" s="56" t="s">
        <v>196</v>
      </c>
      <c r="K2935" s="40" t="s">
        <v>15</v>
      </c>
      <c r="L2935" s="26">
        <v>3000</v>
      </c>
      <c r="M2935" s="26">
        <v>42</v>
      </c>
      <c r="N2935" s="25">
        <f t="shared" si="91"/>
        <v>126000</v>
      </c>
      <c r="O2935" s="56"/>
    </row>
    <row r="2936" spans="1:15" hidden="1" x14ac:dyDescent="0.3">
      <c r="A2936" s="26">
        <v>32</v>
      </c>
      <c r="B2936" s="20" t="str">
        <f t="shared" si="90"/>
        <v>AUG</v>
      </c>
      <c r="C2936" s="21">
        <v>46243</v>
      </c>
      <c r="D2936" s="22" t="s">
        <v>39</v>
      </c>
      <c r="E2936" s="20" t="str">
        <f>IFERROR(VLOOKUP(I2936,KET!$B:$F,4,0),"")</f>
        <v>FAHMI LUKMANUL HAKIM</v>
      </c>
      <c r="F2936" s="20" t="s">
        <v>42</v>
      </c>
      <c r="G2936" s="20">
        <f>IFERROR(INDEX('Kode Outlet dan Target Toko'!$C:$C,MATCH($I2936,'Kode Outlet dan Target Toko'!$E:$E,0)),0)</f>
        <v>103259</v>
      </c>
      <c r="H2936" s="20">
        <f>IFERROR(INDEX('Kode Outlet dan Target Toko'!$D:$D,MATCH($I2936,'Kode Outlet dan Target Toko'!$E:$E,0)),0)</f>
        <v>9002359</v>
      </c>
      <c r="I2936" s="42" t="s">
        <v>103</v>
      </c>
      <c r="J2936" s="56" t="s">
        <v>196</v>
      </c>
      <c r="K2936" s="40" t="s">
        <v>14</v>
      </c>
      <c r="L2936" s="26">
        <v>3000</v>
      </c>
      <c r="M2936" s="26">
        <v>0</v>
      </c>
      <c r="N2936" s="25">
        <f t="shared" si="91"/>
        <v>0</v>
      </c>
      <c r="O2936" s="56"/>
    </row>
    <row r="2937" spans="1:15" hidden="1" x14ac:dyDescent="0.3">
      <c r="A2937" s="26">
        <v>32</v>
      </c>
      <c r="B2937" s="20" t="str">
        <f t="shared" si="90"/>
        <v>AUG</v>
      </c>
      <c r="C2937" s="21">
        <v>46243</v>
      </c>
      <c r="D2937" s="22" t="s">
        <v>39</v>
      </c>
      <c r="E2937" s="20" t="str">
        <f>IFERROR(VLOOKUP(I2937,KET!$B:$F,4,0),"")</f>
        <v>FAHMI LUKMANUL HAKIM</v>
      </c>
      <c r="F2937" s="20" t="s">
        <v>42</v>
      </c>
      <c r="G2937" s="20">
        <f>IFERROR(INDEX('Kode Outlet dan Target Toko'!$C:$C,MATCH($I2937,'Kode Outlet dan Target Toko'!$E:$E,0)),0)</f>
        <v>103259</v>
      </c>
      <c r="H2937" s="20">
        <f>IFERROR(INDEX('Kode Outlet dan Target Toko'!$D:$D,MATCH($I2937,'Kode Outlet dan Target Toko'!$E:$E,0)),0)</f>
        <v>9002359</v>
      </c>
      <c r="I2937" s="42" t="s">
        <v>103</v>
      </c>
      <c r="J2937" s="56" t="s">
        <v>196</v>
      </c>
      <c r="K2937" s="40" t="s">
        <v>13</v>
      </c>
      <c r="L2937" s="26">
        <v>3000</v>
      </c>
      <c r="M2937" s="26">
        <v>0</v>
      </c>
      <c r="N2937" s="25">
        <f t="shared" si="91"/>
        <v>0</v>
      </c>
      <c r="O2937" s="56"/>
    </row>
    <row r="2938" spans="1:15" hidden="1" x14ac:dyDescent="0.3">
      <c r="A2938" s="26">
        <v>32</v>
      </c>
      <c r="B2938" s="20" t="str">
        <f t="shared" si="90"/>
        <v>AUG</v>
      </c>
      <c r="C2938" s="21">
        <v>46243</v>
      </c>
      <c r="D2938" s="22" t="s">
        <v>39</v>
      </c>
      <c r="E2938" s="20" t="str">
        <f>IFERROR(VLOOKUP(I2938,KET!$B:$F,4,0),"")</f>
        <v>FAHMI LUKMANUL HAKIM</v>
      </c>
      <c r="F2938" s="20" t="s">
        <v>42</v>
      </c>
      <c r="G2938" s="20">
        <f>IFERROR(INDEX('Kode Outlet dan Target Toko'!$C:$C,MATCH($I2938,'Kode Outlet dan Target Toko'!$E:$E,0)),0)</f>
        <v>103259</v>
      </c>
      <c r="H2938" s="20">
        <f>IFERROR(INDEX('Kode Outlet dan Target Toko'!$D:$D,MATCH($I2938,'Kode Outlet dan Target Toko'!$E:$E,0)),0)</f>
        <v>9002359</v>
      </c>
      <c r="I2938" s="42" t="s">
        <v>103</v>
      </c>
      <c r="J2938" s="56" t="s">
        <v>196</v>
      </c>
      <c r="K2938" s="40" t="s">
        <v>16</v>
      </c>
      <c r="L2938" s="26">
        <v>3000</v>
      </c>
      <c r="M2938" s="26">
        <v>240</v>
      </c>
      <c r="N2938" s="25">
        <f t="shared" si="91"/>
        <v>720000</v>
      </c>
      <c r="O2938" s="56"/>
    </row>
    <row r="2939" spans="1:15" hidden="1" x14ac:dyDescent="0.3">
      <c r="A2939" s="26">
        <v>32</v>
      </c>
      <c r="B2939" s="20" t="str">
        <f t="shared" si="90"/>
        <v>AUG</v>
      </c>
      <c r="C2939" s="21">
        <v>46243</v>
      </c>
      <c r="D2939" s="22" t="s">
        <v>39</v>
      </c>
      <c r="E2939" s="20" t="str">
        <f>IFERROR(VLOOKUP(I2939,KET!$B:$F,4,0),"")</f>
        <v>FAHMI LUKMANUL HAKIM</v>
      </c>
      <c r="F2939" s="20" t="s">
        <v>42</v>
      </c>
      <c r="G2939" s="20">
        <f>IFERROR(INDEX('Kode Outlet dan Target Toko'!$C:$C,MATCH($I2939,'Kode Outlet dan Target Toko'!$E:$E,0)),0)</f>
        <v>103259</v>
      </c>
      <c r="H2939" s="20">
        <f>IFERROR(INDEX('Kode Outlet dan Target Toko'!$D:$D,MATCH($I2939,'Kode Outlet dan Target Toko'!$E:$E,0)),0)</f>
        <v>9002359</v>
      </c>
      <c r="I2939" s="42" t="s">
        <v>103</v>
      </c>
      <c r="J2939" s="56" t="s">
        <v>197</v>
      </c>
      <c r="K2939" s="40" t="s">
        <v>15</v>
      </c>
      <c r="L2939" s="26">
        <v>3000</v>
      </c>
      <c r="M2939" s="26">
        <v>42</v>
      </c>
      <c r="N2939" s="25">
        <f t="shared" si="91"/>
        <v>126000</v>
      </c>
      <c r="O2939" s="56"/>
    </row>
    <row r="2940" spans="1:15" hidden="1" x14ac:dyDescent="0.3">
      <c r="A2940" s="26">
        <v>32</v>
      </c>
      <c r="B2940" s="20" t="str">
        <f t="shared" si="90"/>
        <v>AUG</v>
      </c>
      <c r="C2940" s="21">
        <v>46243</v>
      </c>
      <c r="D2940" s="22" t="s">
        <v>39</v>
      </c>
      <c r="E2940" s="20" t="str">
        <f>IFERROR(VLOOKUP(I2940,KET!$B:$F,4,0),"")</f>
        <v>FAHMI LUKMANUL HAKIM</v>
      </c>
      <c r="F2940" s="20" t="s">
        <v>42</v>
      </c>
      <c r="G2940" s="20">
        <f>IFERROR(INDEX('Kode Outlet dan Target Toko'!$C:$C,MATCH($I2940,'Kode Outlet dan Target Toko'!$E:$E,0)),0)</f>
        <v>103259</v>
      </c>
      <c r="H2940" s="20">
        <f>IFERROR(INDEX('Kode Outlet dan Target Toko'!$D:$D,MATCH($I2940,'Kode Outlet dan Target Toko'!$E:$E,0)),0)</f>
        <v>9002359</v>
      </c>
      <c r="I2940" s="42" t="s">
        <v>103</v>
      </c>
      <c r="J2940" s="56" t="s">
        <v>197</v>
      </c>
      <c r="K2940" s="40" t="s">
        <v>14</v>
      </c>
      <c r="L2940" s="26">
        <v>3000</v>
      </c>
      <c r="M2940" s="26">
        <v>0</v>
      </c>
      <c r="N2940" s="25">
        <f t="shared" si="91"/>
        <v>0</v>
      </c>
      <c r="O2940" s="56"/>
    </row>
    <row r="2941" spans="1:15" hidden="1" x14ac:dyDescent="0.3">
      <c r="A2941" s="26">
        <v>32</v>
      </c>
      <c r="B2941" s="20" t="str">
        <f t="shared" si="90"/>
        <v>AUG</v>
      </c>
      <c r="C2941" s="21">
        <v>46243</v>
      </c>
      <c r="D2941" s="22" t="s">
        <v>39</v>
      </c>
      <c r="E2941" s="20" t="str">
        <f>IFERROR(VLOOKUP(I2941,KET!$B:$F,4,0),"")</f>
        <v>FAHMI LUKMANUL HAKIM</v>
      </c>
      <c r="F2941" s="20" t="s">
        <v>42</v>
      </c>
      <c r="G2941" s="20">
        <f>IFERROR(INDEX('Kode Outlet dan Target Toko'!$C:$C,MATCH($I2941,'Kode Outlet dan Target Toko'!$E:$E,0)),0)</f>
        <v>103259</v>
      </c>
      <c r="H2941" s="20">
        <f>IFERROR(INDEX('Kode Outlet dan Target Toko'!$D:$D,MATCH($I2941,'Kode Outlet dan Target Toko'!$E:$E,0)),0)</f>
        <v>9002359</v>
      </c>
      <c r="I2941" s="42" t="s">
        <v>103</v>
      </c>
      <c r="J2941" s="56" t="s">
        <v>197</v>
      </c>
      <c r="K2941" s="40" t="s">
        <v>13</v>
      </c>
      <c r="L2941" s="26">
        <v>3000</v>
      </c>
      <c r="M2941" s="26">
        <v>0</v>
      </c>
      <c r="N2941" s="25">
        <f t="shared" si="91"/>
        <v>0</v>
      </c>
      <c r="O2941" s="56"/>
    </row>
    <row r="2942" spans="1:15" hidden="1" x14ac:dyDescent="0.3">
      <c r="A2942" s="26">
        <v>32</v>
      </c>
      <c r="B2942" s="20" t="str">
        <f t="shared" si="90"/>
        <v>AUG</v>
      </c>
      <c r="C2942" s="21">
        <v>46243</v>
      </c>
      <c r="D2942" s="22" t="s">
        <v>39</v>
      </c>
      <c r="E2942" s="20" t="str">
        <f>IFERROR(VLOOKUP(I2942,KET!$B:$F,4,0),"")</f>
        <v>FAHMI LUKMANUL HAKIM</v>
      </c>
      <c r="F2942" s="20" t="s">
        <v>42</v>
      </c>
      <c r="G2942" s="20">
        <f>IFERROR(INDEX('Kode Outlet dan Target Toko'!$C:$C,MATCH($I2942,'Kode Outlet dan Target Toko'!$E:$E,0)),0)</f>
        <v>103259</v>
      </c>
      <c r="H2942" s="20">
        <f>IFERROR(INDEX('Kode Outlet dan Target Toko'!$D:$D,MATCH($I2942,'Kode Outlet dan Target Toko'!$E:$E,0)),0)</f>
        <v>9002359</v>
      </c>
      <c r="I2942" s="42" t="s">
        <v>103</v>
      </c>
      <c r="J2942" s="56" t="s">
        <v>197</v>
      </c>
      <c r="K2942" s="40" t="s">
        <v>16</v>
      </c>
      <c r="L2942" s="26">
        <v>3000</v>
      </c>
      <c r="M2942" s="26">
        <v>240</v>
      </c>
      <c r="N2942" s="25">
        <f t="shared" si="91"/>
        <v>720000</v>
      </c>
      <c r="O2942" s="56"/>
    </row>
    <row r="2943" spans="1:15" hidden="1" x14ac:dyDescent="0.3">
      <c r="A2943" s="26">
        <v>32</v>
      </c>
      <c r="B2943" s="20" t="str">
        <f t="shared" si="90"/>
        <v>AUG</v>
      </c>
      <c r="C2943" s="21">
        <v>46243</v>
      </c>
      <c r="D2943" s="22" t="s">
        <v>39</v>
      </c>
      <c r="E2943" s="20" t="str">
        <f>IFERROR(VLOOKUP(I2943,KET!$B:$F,4,0),"")</f>
        <v>FAHMI LUKMANUL HAKIM</v>
      </c>
      <c r="F2943" s="20" t="s">
        <v>86</v>
      </c>
      <c r="G2943" s="20">
        <f>IFERROR(INDEX('Kode Outlet dan Target Toko'!$C:$C,MATCH($I2943,'Kode Outlet dan Target Toko'!$E:$E,0)),0)</f>
        <v>195403</v>
      </c>
      <c r="H2943" s="20">
        <f>IFERROR(INDEX('Kode Outlet dan Target Toko'!$D:$D,MATCH($I2943,'Kode Outlet dan Target Toko'!$E:$E,0)),0)</f>
        <v>1600007</v>
      </c>
      <c r="I2943" s="42" t="s">
        <v>87</v>
      </c>
      <c r="J2943" s="27" t="s">
        <v>174</v>
      </c>
      <c r="K2943" s="40" t="s">
        <v>15</v>
      </c>
      <c r="L2943" s="26">
        <v>2150</v>
      </c>
      <c r="M2943" s="26">
        <v>69</v>
      </c>
      <c r="N2943" s="25">
        <f t="shared" si="91"/>
        <v>148350</v>
      </c>
      <c r="O2943" s="56"/>
    </row>
    <row r="2944" spans="1:15" hidden="1" x14ac:dyDescent="0.3">
      <c r="A2944" s="26">
        <v>32</v>
      </c>
      <c r="B2944" s="20" t="str">
        <f t="shared" si="90"/>
        <v>AUG</v>
      </c>
      <c r="C2944" s="21">
        <v>46243</v>
      </c>
      <c r="D2944" s="22" t="s">
        <v>39</v>
      </c>
      <c r="E2944" s="20" t="str">
        <f>IFERROR(VLOOKUP(I2944,KET!$B:$F,4,0),"")</f>
        <v>FAHMI LUKMANUL HAKIM</v>
      </c>
      <c r="F2944" s="20" t="s">
        <v>86</v>
      </c>
      <c r="G2944" s="20">
        <f>IFERROR(INDEX('Kode Outlet dan Target Toko'!$C:$C,MATCH($I2944,'Kode Outlet dan Target Toko'!$E:$E,0)),0)</f>
        <v>195403</v>
      </c>
      <c r="H2944" s="20">
        <f>IFERROR(INDEX('Kode Outlet dan Target Toko'!$D:$D,MATCH($I2944,'Kode Outlet dan Target Toko'!$E:$E,0)),0)</f>
        <v>1600007</v>
      </c>
      <c r="I2944" s="42" t="s">
        <v>87</v>
      </c>
      <c r="J2944" s="27" t="s">
        <v>174</v>
      </c>
      <c r="K2944" s="40" t="s">
        <v>14</v>
      </c>
      <c r="L2944" s="26">
        <v>2150</v>
      </c>
      <c r="M2944" s="26">
        <v>63</v>
      </c>
      <c r="N2944" s="25">
        <f t="shared" si="91"/>
        <v>135450</v>
      </c>
      <c r="O2944" s="56"/>
    </row>
    <row r="2945" spans="1:15" hidden="1" x14ac:dyDescent="0.3">
      <c r="A2945" s="26">
        <v>32</v>
      </c>
      <c r="B2945" s="20" t="str">
        <f t="shared" si="90"/>
        <v>AUG</v>
      </c>
      <c r="C2945" s="21">
        <v>46243</v>
      </c>
      <c r="D2945" s="22" t="s">
        <v>39</v>
      </c>
      <c r="E2945" s="20" t="str">
        <f>IFERROR(VLOOKUP(I2945,KET!$B:$F,4,0),"")</f>
        <v>FAHMI LUKMANUL HAKIM</v>
      </c>
      <c r="F2945" s="20" t="s">
        <v>86</v>
      </c>
      <c r="G2945" s="20">
        <f>IFERROR(INDEX('Kode Outlet dan Target Toko'!$C:$C,MATCH($I2945,'Kode Outlet dan Target Toko'!$E:$E,0)),0)</f>
        <v>195403</v>
      </c>
      <c r="H2945" s="20">
        <f>IFERROR(INDEX('Kode Outlet dan Target Toko'!$D:$D,MATCH($I2945,'Kode Outlet dan Target Toko'!$E:$E,0)),0)</f>
        <v>1600007</v>
      </c>
      <c r="I2945" s="42" t="s">
        <v>87</v>
      </c>
      <c r="J2945" s="27" t="s">
        <v>174</v>
      </c>
      <c r="K2945" s="40" t="s">
        <v>13</v>
      </c>
      <c r="L2945" s="26">
        <v>2150</v>
      </c>
      <c r="M2945" s="26">
        <v>51</v>
      </c>
      <c r="N2945" s="25">
        <f t="shared" si="91"/>
        <v>109650</v>
      </c>
      <c r="O2945" s="56"/>
    </row>
    <row r="2946" spans="1:15" hidden="1" x14ac:dyDescent="0.3">
      <c r="A2946" s="26">
        <v>32</v>
      </c>
      <c r="B2946" s="20" t="str">
        <f t="shared" si="90"/>
        <v>AUG</v>
      </c>
      <c r="C2946" s="21">
        <v>46243</v>
      </c>
      <c r="D2946" s="22" t="s">
        <v>39</v>
      </c>
      <c r="E2946" s="20" t="str">
        <f>IFERROR(VLOOKUP(I2946,KET!$B:$F,4,0),"")</f>
        <v>FAHMI LUKMANUL HAKIM</v>
      </c>
      <c r="F2946" s="20" t="s">
        <v>86</v>
      </c>
      <c r="G2946" s="20">
        <f>IFERROR(INDEX('Kode Outlet dan Target Toko'!$C:$C,MATCH($I2946,'Kode Outlet dan Target Toko'!$E:$E,0)),0)</f>
        <v>195403</v>
      </c>
      <c r="H2946" s="20">
        <f>IFERROR(INDEX('Kode Outlet dan Target Toko'!$D:$D,MATCH($I2946,'Kode Outlet dan Target Toko'!$E:$E,0)),0)</f>
        <v>1600007</v>
      </c>
      <c r="I2946" s="42" t="s">
        <v>87</v>
      </c>
      <c r="J2946" s="27" t="s">
        <v>174</v>
      </c>
      <c r="K2946" s="40" t="s">
        <v>16</v>
      </c>
      <c r="L2946" s="26">
        <v>2150</v>
      </c>
      <c r="M2946" s="26">
        <v>90</v>
      </c>
      <c r="N2946" s="25">
        <f t="shared" si="91"/>
        <v>193500</v>
      </c>
      <c r="O2946" s="56">
        <v>160</v>
      </c>
    </row>
    <row r="2947" spans="1:15" hidden="1" x14ac:dyDescent="0.3">
      <c r="A2947" s="26">
        <v>32</v>
      </c>
      <c r="B2947" s="20" t="str">
        <f t="shared" si="90"/>
        <v>AUG</v>
      </c>
      <c r="C2947" s="21">
        <v>46243</v>
      </c>
      <c r="D2947" s="22" t="s">
        <v>39</v>
      </c>
      <c r="E2947" s="20" t="str">
        <f>IFERROR(VLOOKUP(I2947,KET!$B:$F,4,0),"")</f>
        <v>FAHMI LUKMANUL HAKIM</v>
      </c>
      <c r="F2947" s="20" t="s">
        <v>86</v>
      </c>
      <c r="G2947" s="20">
        <f>IFERROR(INDEX('Kode Outlet dan Target Toko'!$C:$C,MATCH($I2947,'Kode Outlet dan Target Toko'!$E:$E,0)),0)</f>
        <v>195403</v>
      </c>
      <c r="H2947" s="20">
        <f>IFERROR(INDEX('Kode Outlet dan Target Toko'!$D:$D,MATCH($I2947,'Kode Outlet dan Target Toko'!$E:$E,0)),0)</f>
        <v>1600007</v>
      </c>
      <c r="I2947" s="42" t="s">
        <v>87</v>
      </c>
      <c r="J2947" s="56" t="s">
        <v>175</v>
      </c>
      <c r="K2947" s="40" t="s">
        <v>15</v>
      </c>
      <c r="L2947" s="26">
        <v>2150</v>
      </c>
      <c r="M2947" s="26">
        <v>69</v>
      </c>
      <c r="N2947" s="25">
        <f t="shared" si="91"/>
        <v>148350</v>
      </c>
      <c r="O2947" s="56"/>
    </row>
    <row r="2948" spans="1:15" hidden="1" x14ac:dyDescent="0.3">
      <c r="A2948" s="26">
        <v>32</v>
      </c>
      <c r="B2948" s="20" t="str">
        <f t="shared" si="90"/>
        <v>AUG</v>
      </c>
      <c r="C2948" s="21">
        <v>46243</v>
      </c>
      <c r="D2948" s="22" t="s">
        <v>39</v>
      </c>
      <c r="E2948" s="20" t="str">
        <f>IFERROR(VLOOKUP(I2948,KET!$B:$F,4,0),"")</f>
        <v>FAHMI LUKMANUL HAKIM</v>
      </c>
      <c r="F2948" s="20" t="s">
        <v>86</v>
      </c>
      <c r="G2948" s="20">
        <f>IFERROR(INDEX('Kode Outlet dan Target Toko'!$C:$C,MATCH($I2948,'Kode Outlet dan Target Toko'!$E:$E,0)),0)</f>
        <v>195403</v>
      </c>
      <c r="H2948" s="20">
        <f>IFERROR(INDEX('Kode Outlet dan Target Toko'!$D:$D,MATCH($I2948,'Kode Outlet dan Target Toko'!$E:$E,0)),0)</f>
        <v>1600007</v>
      </c>
      <c r="I2948" s="42" t="s">
        <v>87</v>
      </c>
      <c r="J2948" s="56" t="s">
        <v>175</v>
      </c>
      <c r="K2948" s="40" t="s">
        <v>14</v>
      </c>
      <c r="L2948" s="26">
        <v>2150</v>
      </c>
      <c r="M2948" s="26">
        <v>63</v>
      </c>
      <c r="N2948" s="25">
        <f t="shared" si="91"/>
        <v>135450</v>
      </c>
      <c r="O2948" s="56"/>
    </row>
    <row r="2949" spans="1:15" hidden="1" x14ac:dyDescent="0.3">
      <c r="A2949" s="26">
        <v>32</v>
      </c>
      <c r="B2949" s="20" t="str">
        <f t="shared" si="90"/>
        <v>AUG</v>
      </c>
      <c r="C2949" s="21">
        <v>46243</v>
      </c>
      <c r="D2949" s="22" t="s">
        <v>39</v>
      </c>
      <c r="E2949" s="20" t="str">
        <f>IFERROR(VLOOKUP(I2949,KET!$B:$F,4,0),"")</f>
        <v>FAHMI LUKMANUL HAKIM</v>
      </c>
      <c r="F2949" s="20" t="s">
        <v>86</v>
      </c>
      <c r="G2949" s="20">
        <f>IFERROR(INDEX('Kode Outlet dan Target Toko'!$C:$C,MATCH($I2949,'Kode Outlet dan Target Toko'!$E:$E,0)),0)</f>
        <v>195403</v>
      </c>
      <c r="H2949" s="20">
        <f>IFERROR(INDEX('Kode Outlet dan Target Toko'!$D:$D,MATCH($I2949,'Kode Outlet dan Target Toko'!$E:$E,0)),0)</f>
        <v>1600007</v>
      </c>
      <c r="I2949" s="42" t="s">
        <v>87</v>
      </c>
      <c r="J2949" s="56" t="s">
        <v>175</v>
      </c>
      <c r="K2949" s="40" t="s">
        <v>13</v>
      </c>
      <c r="L2949" s="26">
        <v>2150</v>
      </c>
      <c r="M2949" s="26">
        <v>48</v>
      </c>
      <c r="N2949" s="25">
        <f t="shared" si="91"/>
        <v>103200</v>
      </c>
      <c r="O2949" s="56"/>
    </row>
    <row r="2950" spans="1:15" hidden="1" x14ac:dyDescent="0.3">
      <c r="A2950" s="26">
        <v>32</v>
      </c>
      <c r="B2950" s="20" t="str">
        <f t="shared" si="90"/>
        <v>AUG</v>
      </c>
      <c r="C2950" s="21">
        <v>46243</v>
      </c>
      <c r="D2950" s="22" t="s">
        <v>39</v>
      </c>
      <c r="E2950" s="20" t="str">
        <f>IFERROR(VLOOKUP(I2950,KET!$B:$F,4,0),"")</f>
        <v>FAHMI LUKMANUL HAKIM</v>
      </c>
      <c r="F2950" s="20" t="s">
        <v>86</v>
      </c>
      <c r="G2950" s="20">
        <f>IFERROR(INDEX('Kode Outlet dan Target Toko'!$C:$C,MATCH($I2950,'Kode Outlet dan Target Toko'!$E:$E,0)),0)</f>
        <v>195403</v>
      </c>
      <c r="H2950" s="20">
        <f>IFERROR(INDEX('Kode Outlet dan Target Toko'!$D:$D,MATCH($I2950,'Kode Outlet dan Target Toko'!$E:$E,0)),0)</f>
        <v>1600007</v>
      </c>
      <c r="I2950" s="42" t="s">
        <v>87</v>
      </c>
      <c r="J2950" s="56" t="s">
        <v>175</v>
      </c>
      <c r="K2950" s="40" t="s">
        <v>16</v>
      </c>
      <c r="L2950" s="26">
        <v>2150</v>
      </c>
      <c r="M2950" s="26">
        <v>90</v>
      </c>
      <c r="N2950" s="25">
        <f t="shared" si="91"/>
        <v>193500</v>
      </c>
      <c r="O2950" s="56">
        <v>160</v>
      </c>
    </row>
    <row r="2951" spans="1:15" hidden="1" x14ac:dyDescent="0.3">
      <c r="A2951" s="26">
        <v>32</v>
      </c>
      <c r="B2951" s="20" t="str">
        <f t="shared" ref="B2951:B3014" si="92">IF(C2951="","",UPPER(TEXT(C2951, "MMM")))</f>
        <v>AUG</v>
      </c>
      <c r="C2951" s="21">
        <v>46243</v>
      </c>
      <c r="D2951" s="22" t="s">
        <v>39</v>
      </c>
      <c r="E2951" s="20" t="str">
        <f>IFERROR(VLOOKUP(I2951,KET!$B:$F,4,0),"")</f>
        <v>FAHMI LUKMANUL HAKIM</v>
      </c>
      <c r="F2951" s="20" t="s">
        <v>42</v>
      </c>
      <c r="G2951" s="20">
        <f>IFERROR(INDEX('Kode Outlet dan Target Toko'!$C:$C,MATCH($I2951,'Kode Outlet dan Target Toko'!$E:$E,0)),0)</f>
        <v>103712</v>
      </c>
      <c r="H2951" s="20">
        <f>IFERROR(INDEX('Kode Outlet dan Target Toko'!$D:$D,MATCH($I2951,'Kode Outlet dan Target Toko'!$E:$E,0)),0)</f>
        <v>4404677</v>
      </c>
      <c r="I2951" s="42" t="s">
        <v>99</v>
      </c>
      <c r="J2951" s="56" t="s">
        <v>179</v>
      </c>
      <c r="K2951" s="40" t="s">
        <v>15</v>
      </c>
      <c r="L2951" s="26">
        <v>3000</v>
      </c>
      <c r="M2951" s="26">
        <v>30</v>
      </c>
      <c r="N2951" s="25">
        <f t="shared" ref="N2951:N3014" si="93">IFERROR(M2951*L2951,"")</f>
        <v>90000</v>
      </c>
      <c r="O2951" s="56"/>
    </row>
    <row r="2952" spans="1:15" hidden="1" x14ac:dyDescent="0.3">
      <c r="A2952" s="26">
        <v>32</v>
      </c>
      <c r="B2952" s="20" t="str">
        <f t="shared" si="92"/>
        <v>AUG</v>
      </c>
      <c r="C2952" s="21">
        <v>46243</v>
      </c>
      <c r="D2952" s="22" t="s">
        <v>39</v>
      </c>
      <c r="E2952" s="20" t="str">
        <f>IFERROR(VLOOKUP(I2952,KET!$B:$F,4,0),"")</f>
        <v>FAHMI LUKMANUL HAKIM</v>
      </c>
      <c r="F2952" s="20" t="s">
        <v>42</v>
      </c>
      <c r="G2952" s="20">
        <f>IFERROR(INDEX('Kode Outlet dan Target Toko'!$C:$C,MATCH($I2952,'Kode Outlet dan Target Toko'!$E:$E,0)),0)</f>
        <v>103712</v>
      </c>
      <c r="H2952" s="20">
        <f>IFERROR(INDEX('Kode Outlet dan Target Toko'!$D:$D,MATCH($I2952,'Kode Outlet dan Target Toko'!$E:$E,0)),0)</f>
        <v>4404677</v>
      </c>
      <c r="I2952" s="42" t="s">
        <v>99</v>
      </c>
      <c r="J2952" s="56" t="s">
        <v>179</v>
      </c>
      <c r="K2952" s="40" t="s">
        <v>14</v>
      </c>
      <c r="L2952" s="26">
        <v>3000</v>
      </c>
      <c r="M2952" s="26">
        <v>49</v>
      </c>
      <c r="N2952" s="25">
        <f t="shared" si="93"/>
        <v>147000</v>
      </c>
      <c r="O2952" s="56"/>
    </row>
    <row r="2953" spans="1:15" hidden="1" x14ac:dyDescent="0.3">
      <c r="A2953" s="26">
        <v>32</v>
      </c>
      <c r="B2953" s="20" t="str">
        <f t="shared" si="92"/>
        <v>AUG</v>
      </c>
      <c r="C2953" s="21">
        <v>46243</v>
      </c>
      <c r="D2953" s="22" t="s">
        <v>39</v>
      </c>
      <c r="E2953" s="20" t="str">
        <f>IFERROR(VLOOKUP(I2953,KET!$B:$F,4,0),"")</f>
        <v>FAHMI LUKMANUL HAKIM</v>
      </c>
      <c r="F2953" s="20" t="s">
        <v>42</v>
      </c>
      <c r="G2953" s="20">
        <f>IFERROR(INDEX('Kode Outlet dan Target Toko'!$C:$C,MATCH($I2953,'Kode Outlet dan Target Toko'!$E:$E,0)),0)</f>
        <v>103712</v>
      </c>
      <c r="H2953" s="20">
        <f>IFERROR(INDEX('Kode Outlet dan Target Toko'!$D:$D,MATCH($I2953,'Kode Outlet dan Target Toko'!$E:$E,0)),0)</f>
        <v>4404677</v>
      </c>
      <c r="I2953" s="42" t="s">
        <v>99</v>
      </c>
      <c r="J2953" s="56" t="s">
        <v>179</v>
      </c>
      <c r="K2953" s="40" t="s">
        <v>13</v>
      </c>
      <c r="L2953" s="26">
        <v>3000</v>
      </c>
      <c r="M2953" s="26">
        <v>22</v>
      </c>
      <c r="N2953" s="25">
        <f t="shared" si="93"/>
        <v>66000</v>
      </c>
      <c r="O2953" s="56"/>
    </row>
    <row r="2954" spans="1:15" hidden="1" x14ac:dyDescent="0.3">
      <c r="A2954" s="26">
        <v>32</v>
      </c>
      <c r="B2954" s="20" t="str">
        <f t="shared" si="92"/>
        <v>AUG</v>
      </c>
      <c r="C2954" s="21">
        <v>46243</v>
      </c>
      <c r="D2954" s="22" t="s">
        <v>39</v>
      </c>
      <c r="E2954" s="20" t="str">
        <f>IFERROR(VLOOKUP(I2954,KET!$B:$F,4,0),"")</f>
        <v>FAHMI LUKMANUL HAKIM</v>
      </c>
      <c r="F2954" s="20" t="s">
        <v>42</v>
      </c>
      <c r="G2954" s="20">
        <f>IFERROR(INDEX('Kode Outlet dan Target Toko'!$C:$C,MATCH($I2954,'Kode Outlet dan Target Toko'!$E:$E,0)),0)</f>
        <v>103712</v>
      </c>
      <c r="H2954" s="20">
        <f>IFERROR(INDEX('Kode Outlet dan Target Toko'!$D:$D,MATCH($I2954,'Kode Outlet dan Target Toko'!$E:$E,0)),0)</f>
        <v>4404677</v>
      </c>
      <c r="I2954" s="42" t="s">
        <v>99</v>
      </c>
      <c r="J2954" s="56" t="s">
        <v>179</v>
      </c>
      <c r="K2954" s="40" t="s">
        <v>16</v>
      </c>
      <c r="L2954" s="26">
        <v>3000</v>
      </c>
      <c r="M2954" s="26">
        <v>119</v>
      </c>
      <c r="N2954" s="25">
        <f t="shared" si="93"/>
        <v>357000</v>
      </c>
      <c r="O2954" s="56">
        <v>160</v>
      </c>
    </row>
    <row r="2955" spans="1:15" hidden="1" x14ac:dyDescent="0.3">
      <c r="A2955" s="26">
        <v>32</v>
      </c>
      <c r="B2955" s="20" t="str">
        <f t="shared" si="92"/>
        <v>AUG</v>
      </c>
      <c r="C2955" s="21">
        <v>46243</v>
      </c>
      <c r="D2955" s="22" t="s">
        <v>39</v>
      </c>
      <c r="E2955" s="20" t="str">
        <f>IFERROR(VLOOKUP(I2955,KET!$B:$F,4,0),"")</f>
        <v>FAHMI LUKMANUL HAKIM</v>
      </c>
      <c r="F2955" s="20" t="s">
        <v>42</v>
      </c>
      <c r="G2955" s="20">
        <f>IFERROR(INDEX('Kode Outlet dan Target Toko'!$C:$C,MATCH($I2955,'Kode Outlet dan Target Toko'!$E:$E,0)),0)</f>
        <v>103712</v>
      </c>
      <c r="H2955" s="20">
        <f>IFERROR(INDEX('Kode Outlet dan Target Toko'!$D:$D,MATCH($I2955,'Kode Outlet dan Target Toko'!$E:$E,0)),0)</f>
        <v>4404677</v>
      </c>
      <c r="I2955" s="42" t="s">
        <v>99</v>
      </c>
      <c r="J2955" s="56" t="s">
        <v>178</v>
      </c>
      <c r="K2955" s="40" t="s">
        <v>15</v>
      </c>
      <c r="L2955" s="26">
        <v>3000</v>
      </c>
      <c r="M2955" s="26">
        <v>30</v>
      </c>
      <c r="N2955" s="25">
        <f t="shared" si="93"/>
        <v>90000</v>
      </c>
      <c r="O2955" s="56"/>
    </row>
    <row r="2956" spans="1:15" hidden="1" x14ac:dyDescent="0.3">
      <c r="A2956" s="26">
        <v>32</v>
      </c>
      <c r="B2956" s="20" t="str">
        <f t="shared" si="92"/>
        <v>AUG</v>
      </c>
      <c r="C2956" s="21">
        <v>46243</v>
      </c>
      <c r="D2956" s="22" t="s">
        <v>39</v>
      </c>
      <c r="E2956" s="20" t="str">
        <f>IFERROR(VLOOKUP(I2956,KET!$B:$F,4,0),"")</f>
        <v>FAHMI LUKMANUL HAKIM</v>
      </c>
      <c r="F2956" s="20" t="s">
        <v>42</v>
      </c>
      <c r="G2956" s="20">
        <f>IFERROR(INDEX('Kode Outlet dan Target Toko'!$C:$C,MATCH($I2956,'Kode Outlet dan Target Toko'!$E:$E,0)),0)</f>
        <v>103712</v>
      </c>
      <c r="H2956" s="20">
        <f>IFERROR(INDEX('Kode Outlet dan Target Toko'!$D:$D,MATCH($I2956,'Kode Outlet dan Target Toko'!$E:$E,0)),0)</f>
        <v>4404677</v>
      </c>
      <c r="I2956" s="42" t="s">
        <v>99</v>
      </c>
      <c r="J2956" s="56" t="s">
        <v>178</v>
      </c>
      <c r="K2956" s="40" t="s">
        <v>14</v>
      </c>
      <c r="L2956" s="26">
        <v>3000</v>
      </c>
      <c r="M2956" s="26">
        <v>49</v>
      </c>
      <c r="N2956" s="25">
        <f t="shared" si="93"/>
        <v>147000</v>
      </c>
      <c r="O2956" s="56"/>
    </row>
    <row r="2957" spans="1:15" hidden="1" x14ac:dyDescent="0.3">
      <c r="A2957" s="26">
        <v>32</v>
      </c>
      <c r="B2957" s="20" t="str">
        <f t="shared" si="92"/>
        <v>AUG</v>
      </c>
      <c r="C2957" s="21">
        <v>46243</v>
      </c>
      <c r="D2957" s="22" t="s">
        <v>39</v>
      </c>
      <c r="E2957" s="20" t="str">
        <f>IFERROR(VLOOKUP(I2957,KET!$B:$F,4,0),"")</f>
        <v>FAHMI LUKMANUL HAKIM</v>
      </c>
      <c r="F2957" s="20" t="s">
        <v>42</v>
      </c>
      <c r="G2957" s="20">
        <f>IFERROR(INDEX('Kode Outlet dan Target Toko'!$C:$C,MATCH($I2957,'Kode Outlet dan Target Toko'!$E:$E,0)),0)</f>
        <v>103712</v>
      </c>
      <c r="H2957" s="20">
        <f>IFERROR(INDEX('Kode Outlet dan Target Toko'!$D:$D,MATCH($I2957,'Kode Outlet dan Target Toko'!$E:$E,0)),0)</f>
        <v>4404677</v>
      </c>
      <c r="I2957" s="42" t="s">
        <v>99</v>
      </c>
      <c r="J2957" s="56" t="s">
        <v>178</v>
      </c>
      <c r="K2957" s="40" t="s">
        <v>13</v>
      </c>
      <c r="L2957" s="26">
        <v>3000</v>
      </c>
      <c r="M2957" s="26">
        <v>24</v>
      </c>
      <c r="N2957" s="25">
        <f t="shared" si="93"/>
        <v>72000</v>
      </c>
      <c r="O2957" s="56"/>
    </row>
    <row r="2958" spans="1:15" hidden="1" x14ac:dyDescent="0.3">
      <c r="A2958" s="26">
        <v>32</v>
      </c>
      <c r="B2958" s="20" t="str">
        <f t="shared" si="92"/>
        <v>AUG</v>
      </c>
      <c r="C2958" s="21">
        <v>46243</v>
      </c>
      <c r="D2958" s="22" t="s">
        <v>39</v>
      </c>
      <c r="E2958" s="20" t="str">
        <f>IFERROR(VLOOKUP(I2958,KET!$B:$F,4,0),"")</f>
        <v>FAHMI LUKMANUL HAKIM</v>
      </c>
      <c r="F2958" s="20" t="s">
        <v>42</v>
      </c>
      <c r="G2958" s="20">
        <f>IFERROR(INDEX('Kode Outlet dan Target Toko'!$C:$C,MATCH($I2958,'Kode Outlet dan Target Toko'!$E:$E,0)),0)</f>
        <v>103712</v>
      </c>
      <c r="H2958" s="20">
        <f>IFERROR(INDEX('Kode Outlet dan Target Toko'!$D:$D,MATCH($I2958,'Kode Outlet dan Target Toko'!$E:$E,0)),0)</f>
        <v>4404677</v>
      </c>
      <c r="I2958" s="42" t="s">
        <v>99</v>
      </c>
      <c r="J2958" s="56" t="s">
        <v>178</v>
      </c>
      <c r="K2958" s="40" t="s">
        <v>16</v>
      </c>
      <c r="L2958" s="26">
        <v>3000</v>
      </c>
      <c r="M2958" s="26">
        <v>119</v>
      </c>
      <c r="N2958" s="25">
        <f t="shared" si="93"/>
        <v>357000</v>
      </c>
      <c r="O2958" s="56">
        <v>160</v>
      </c>
    </row>
    <row r="2959" spans="1:15" hidden="1" x14ac:dyDescent="0.3">
      <c r="A2959" s="26">
        <v>32</v>
      </c>
      <c r="B2959" s="20" t="str">
        <f t="shared" si="92"/>
        <v>AUG</v>
      </c>
      <c r="C2959" s="21">
        <v>46243</v>
      </c>
      <c r="D2959" s="22" t="s">
        <v>39</v>
      </c>
      <c r="E2959" s="20" t="str">
        <f>IFERROR(VLOOKUP(I2959,KET!$B:$F,4,0),"")</f>
        <v>FAHMI LUKMANUL HAKIM</v>
      </c>
      <c r="F2959" s="20" t="s">
        <v>42</v>
      </c>
      <c r="G2959" s="20">
        <f>IFERROR(INDEX('Kode Outlet dan Target Toko'!$C:$C,MATCH($I2959,'Kode Outlet dan Target Toko'!$E:$E,0)),0)</f>
        <v>103257</v>
      </c>
      <c r="H2959" s="20">
        <f>IFERROR(INDEX('Kode Outlet dan Target Toko'!$D:$D,MATCH($I2959,'Kode Outlet dan Target Toko'!$E:$E,0)),0)</f>
        <v>9162509</v>
      </c>
      <c r="I2959" s="42" t="s">
        <v>57</v>
      </c>
      <c r="J2959" s="56" t="s">
        <v>192</v>
      </c>
      <c r="K2959" s="40" t="s">
        <v>15</v>
      </c>
      <c r="L2959" s="26">
        <v>3200</v>
      </c>
      <c r="M2959" s="26">
        <v>23</v>
      </c>
      <c r="N2959" s="25">
        <f t="shared" si="93"/>
        <v>73600</v>
      </c>
      <c r="O2959" s="56"/>
    </row>
    <row r="2960" spans="1:15" hidden="1" x14ac:dyDescent="0.3">
      <c r="A2960" s="26">
        <v>32</v>
      </c>
      <c r="B2960" s="20" t="str">
        <f t="shared" si="92"/>
        <v>AUG</v>
      </c>
      <c r="C2960" s="21">
        <v>46243</v>
      </c>
      <c r="D2960" s="22" t="s">
        <v>39</v>
      </c>
      <c r="E2960" s="20" t="str">
        <f>IFERROR(VLOOKUP(I2960,KET!$B:$F,4,0),"")</f>
        <v>FAHMI LUKMANUL HAKIM</v>
      </c>
      <c r="F2960" s="20" t="s">
        <v>42</v>
      </c>
      <c r="G2960" s="20">
        <f>IFERROR(INDEX('Kode Outlet dan Target Toko'!$C:$C,MATCH($I2960,'Kode Outlet dan Target Toko'!$E:$E,0)),0)</f>
        <v>103257</v>
      </c>
      <c r="H2960" s="20">
        <f>IFERROR(INDEX('Kode Outlet dan Target Toko'!$D:$D,MATCH($I2960,'Kode Outlet dan Target Toko'!$E:$E,0)),0)</f>
        <v>9162509</v>
      </c>
      <c r="I2960" s="42" t="s">
        <v>57</v>
      </c>
      <c r="J2960" s="56" t="s">
        <v>192</v>
      </c>
      <c r="K2960" s="40" t="s">
        <v>14</v>
      </c>
      <c r="L2960" s="26">
        <v>3200</v>
      </c>
      <c r="M2960" s="26">
        <v>28</v>
      </c>
      <c r="N2960" s="25">
        <f t="shared" si="93"/>
        <v>89600</v>
      </c>
      <c r="O2960" s="56"/>
    </row>
    <row r="2961" spans="1:15" hidden="1" x14ac:dyDescent="0.3">
      <c r="A2961" s="26">
        <v>32</v>
      </c>
      <c r="B2961" s="20" t="str">
        <f t="shared" si="92"/>
        <v>AUG</v>
      </c>
      <c r="C2961" s="21">
        <v>46243</v>
      </c>
      <c r="D2961" s="22" t="s">
        <v>39</v>
      </c>
      <c r="E2961" s="20" t="str">
        <f>IFERROR(VLOOKUP(I2961,KET!$B:$F,4,0),"")</f>
        <v>FAHMI LUKMANUL HAKIM</v>
      </c>
      <c r="F2961" s="20" t="s">
        <v>42</v>
      </c>
      <c r="G2961" s="20">
        <f>IFERROR(INDEX('Kode Outlet dan Target Toko'!$C:$C,MATCH($I2961,'Kode Outlet dan Target Toko'!$E:$E,0)),0)</f>
        <v>103257</v>
      </c>
      <c r="H2961" s="20">
        <f>IFERROR(INDEX('Kode Outlet dan Target Toko'!$D:$D,MATCH($I2961,'Kode Outlet dan Target Toko'!$E:$E,0)),0)</f>
        <v>9162509</v>
      </c>
      <c r="I2961" s="42" t="s">
        <v>57</v>
      </c>
      <c r="J2961" s="56" t="s">
        <v>192</v>
      </c>
      <c r="K2961" s="40" t="s">
        <v>13</v>
      </c>
      <c r="L2961" s="26">
        <v>3200</v>
      </c>
      <c r="M2961" s="26">
        <v>26</v>
      </c>
      <c r="N2961" s="25">
        <f t="shared" si="93"/>
        <v>83200</v>
      </c>
      <c r="O2961" s="56"/>
    </row>
    <row r="2962" spans="1:15" hidden="1" x14ac:dyDescent="0.3">
      <c r="A2962" s="26">
        <v>32</v>
      </c>
      <c r="B2962" s="20" t="str">
        <f t="shared" si="92"/>
        <v>AUG</v>
      </c>
      <c r="C2962" s="21">
        <v>46243</v>
      </c>
      <c r="D2962" s="22" t="s">
        <v>39</v>
      </c>
      <c r="E2962" s="20" t="str">
        <f>IFERROR(VLOOKUP(I2962,KET!$B:$F,4,0),"")</f>
        <v>FAHMI LUKMANUL HAKIM</v>
      </c>
      <c r="F2962" s="20" t="s">
        <v>42</v>
      </c>
      <c r="G2962" s="20">
        <f>IFERROR(INDEX('Kode Outlet dan Target Toko'!$C:$C,MATCH($I2962,'Kode Outlet dan Target Toko'!$E:$E,0)),0)</f>
        <v>103257</v>
      </c>
      <c r="H2962" s="20">
        <f>IFERROR(INDEX('Kode Outlet dan Target Toko'!$D:$D,MATCH($I2962,'Kode Outlet dan Target Toko'!$E:$E,0)),0)</f>
        <v>9162509</v>
      </c>
      <c r="I2962" s="42" t="s">
        <v>57</v>
      </c>
      <c r="J2962" s="56" t="s">
        <v>192</v>
      </c>
      <c r="K2962" s="40" t="s">
        <v>16</v>
      </c>
      <c r="L2962" s="26">
        <v>3200</v>
      </c>
      <c r="M2962" s="26">
        <v>15</v>
      </c>
      <c r="N2962" s="25">
        <f t="shared" si="93"/>
        <v>48000</v>
      </c>
      <c r="O2962" s="56">
        <v>160</v>
      </c>
    </row>
    <row r="2963" spans="1:15" hidden="1" x14ac:dyDescent="0.3">
      <c r="A2963" s="26">
        <v>32</v>
      </c>
      <c r="B2963" s="20" t="str">
        <f t="shared" si="92"/>
        <v>AUG</v>
      </c>
      <c r="C2963" s="21">
        <v>46243</v>
      </c>
      <c r="D2963" s="22" t="s">
        <v>39</v>
      </c>
      <c r="E2963" s="20" t="str">
        <f>IFERROR(VLOOKUP(I2963,KET!$B:$F,4,0),"")</f>
        <v>FAHMI LUKMANUL HAKIM</v>
      </c>
      <c r="F2963" s="20" t="s">
        <v>42</v>
      </c>
      <c r="G2963" s="20">
        <f>IFERROR(INDEX('Kode Outlet dan Target Toko'!$C:$C,MATCH($I2963,'Kode Outlet dan Target Toko'!$E:$E,0)),0)</f>
        <v>103259</v>
      </c>
      <c r="H2963" s="20">
        <f>IFERROR(INDEX('Kode Outlet dan Target Toko'!$D:$D,MATCH($I2963,'Kode Outlet dan Target Toko'!$E:$E,0)),0)</f>
        <v>9006219</v>
      </c>
      <c r="I2963" s="42" t="s">
        <v>96</v>
      </c>
      <c r="J2963" s="56" t="s">
        <v>253</v>
      </c>
      <c r="K2963" s="40" t="s">
        <v>15</v>
      </c>
      <c r="L2963" s="26">
        <v>2200</v>
      </c>
      <c r="M2963" s="26">
        <v>45</v>
      </c>
      <c r="N2963" s="25">
        <f t="shared" si="93"/>
        <v>99000</v>
      </c>
      <c r="O2963" s="56"/>
    </row>
    <row r="2964" spans="1:15" hidden="1" x14ac:dyDescent="0.3">
      <c r="A2964" s="26">
        <v>32</v>
      </c>
      <c r="B2964" s="20" t="str">
        <f t="shared" si="92"/>
        <v>AUG</v>
      </c>
      <c r="C2964" s="21">
        <v>46243</v>
      </c>
      <c r="D2964" s="22" t="s">
        <v>39</v>
      </c>
      <c r="E2964" s="20" t="str">
        <f>IFERROR(VLOOKUP(I2964,KET!$B:$F,4,0),"")</f>
        <v>FAHMI LUKMANUL HAKIM</v>
      </c>
      <c r="F2964" s="20" t="s">
        <v>42</v>
      </c>
      <c r="G2964" s="20">
        <f>IFERROR(INDEX('Kode Outlet dan Target Toko'!$C:$C,MATCH($I2964,'Kode Outlet dan Target Toko'!$E:$E,0)),0)</f>
        <v>103259</v>
      </c>
      <c r="H2964" s="20">
        <f>IFERROR(INDEX('Kode Outlet dan Target Toko'!$D:$D,MATCH($I2964,'Kode Outlet dan Target Toko'!$E:$E,0)),0)</f>
        <v>9006219</v>
      </c>
      <c r="I2964" s="42" t="s">
        <v>96</v>
      </c>
      <c r="J2964" s="56" t="s">
        <v>253</v>
      </c>
      <c r="K2964" s="40" t="s">
        <v>14</v>
      </c>
      <c r="L2964" s="26">
        <v>2200</v>
      </c>
      <c r="M2964" s="26">
        <v>47</v>
      </c>
      <c r="N2964" s="25">
        <f t="shared" si="93"/>
        <v>103400</v>
      </c>
      <c r="O2964" s="56"/>
    </row>
    <row r="2965" spans="1:15" hidden="1" x14ac:dyDescent="0.3">
      <c r="A2965" s="26">
        <v>32</v>
      </c>
      <c r="B2965" s="20" t="str">
        <f t="shared" si="92"/>
        <v>AUG</v>
      </c>
      <c r="C2965" s="21">
        <v>46243</v>
      </c>
      <c r="D2965" s="22" t="s">
        <v>39</v>
      </c>
      <c r="E2965" s="20" t="str">
        <f>IFERROR(VLOOKUP(I2965,KET!$B:$F,4,0),"")</f>
        <v>FAHMI LUKMANUL HAKIM</v>
      </c>
      <c r="F2965" s="20" t="s">
        <v>42</v>
      </c>
      <c r="G2965" s="20">
        <f>IFERROR(INDEX('Kode Outlet dan Target Toko'!$C:$C,MATCH($I2965,'Kode Outlet dan Target Toko'!$E:$E,0)),0)</f>
        <v>103259</v>
      </c>
      <c r="H2965" s="20">
        <f>IFERROR(INDEX('Kode Outlet dan Target Toko'!$D:$D,MATCH($I2965,'Kode Outlet dan Target Toko'!$E:$E,0)),0)</f>
        <v>9006219</v>
      </c>
      <c r="I2965" s="42" t="s">
        <v>96</v>
      </c>
      <c r="J2965" s="56" t="s">
        <v>253</v>
      </c>
      <c r="K2965" s="40" t="s">
        <v>13</v>
      </c>
      <c r="L2965" s="26">
        <v>2200</v>
      </c>
      <c r="M2965" s="26">
        <v>21</v>
      </c>
      <c r="N2965" s="25">
        <f t="shared" si="93"/>
        <v>46200</v>
      </c>
      <c r="O2965" s="56"/>
    </row>
    <row r="2966" spans="1:15" hidden="1" x14ac:dyDescent="0.3">
      <c r="A2966" s="26">
        <v>32</v>
      </c>
      <c r="B2966" s="20" t="str">
        <f t="shared" si="92"/>
        <v>AUG</v>
      </c>
      <c r="C2966" s="21">
        <v>46243</v>
      </c>
      <c r="D2966" s="22" t="s">
        <v>39</v>
      </c>
      <c r="E2966" s="20" t="str">
        <f>IFERROR(VLOOKUP(I2966,KET!$B:$F,4,0),"")</f>
        <v>FAHMI LUKMANUL HAKIM</v>
      </c>
      <c r="F2966" s="20" t="s">
        <v>42</v>
      </c>
      <c r="G2966" s="20">
        <f>IFERROR(INDEX('Kode Outlet dan Target Toko'!$C:$C,MATCH($I2966,'Kode Outlet dan Target Toko'!$E:$E,0)),0)</f>
        <v>103259</v>
      </c>
      <c r="H2966" s="20">
        <f>IFERROR(INDEX('Kode Outlet dan Target Toko'!$D:$D,MATCH($I2966,'Kode Outlet dan Target Toko'!$E:$E,0)),0)</f>
        <v>9006219</v>
      </c>
      <c r="I2966" s="42" t="s">
        <v>96</v>
      </c>
      <c r="J2966" s="56" t="s">
        <v>253</v>
      </c>
      <c r="K2966" s="40" t="s">
        <v>16</v>
      </c>
      <c r="L2966" s="26">
        <v>2200</v>
      </c>
      <c r="M2966" s="26">
        <v>75</v>
      </c>
      <c r="N2966" s="25">
        <f t="shared" si="93"/>
        <v>165000</v>
      </c>
      <c r="O2966" s="56">
        <v>160</v>
      </c>
    </row>
    <row r="2967" spans="1:15" hidden="1" x14ac:dyDescent="0.3">
      <c r="A2967" s="26">
        <v>32</v>
      </c>
      <c r="B2967" s="20" t="str">
        <f t="shared" si="92"/>
        <v>AUG</v>
      </c>
      <c r="C2967" s="21">
        <v>46243</v>
      </c>
      <c r="D2967" s="22" t="s">
        <v>39</v>
      </c>
      <c r="E2967" s="20" t="str">
        <f>IFERROR(VLOOKUP(I2967,KET!$B:$F,4,0),"")</f>
        <v>FAHMI LUKMANUL HAKIM</v>
      </c>
      <c r="F2967" s="20" t="s">
        <v>42</v>
      </c>
      <c r="G2967" s="20">
        <f>IFERROR(INDEX('Kode Outlet dan Target Toko'!$C:$C,MATCH($I2967,'Kode Outlet dan Target Toko'!$E:$E,0)),0)</f>
        <v>103259</v>
      </c>
      <c r="H2967" s="20">
        <f>IFERROR(INDEX('Kode Outlet dan Target Toko'!$D:$D,MATCH($I2967,'Kode Outlet dan Target Toko'!$E:$E,0)),0)</f>
        <v>9006219</v>
      </c>
      <c r="I2967" s="42" t="s">
        <v>96</v>
      </c>
      <c r="J2967" s="56" t="s">
        <v>198</v>
      </c>
      <c r="K2967" s="40" t="s">
        <v>15</v>
      </c>
      <c r="L2967" s="26">
        <v>2200</v>
      </c>
      <c r="M2967" s="26">
        <v>45</v>
      </c>
      <c r="N2967" s="25">
        <f t="shared" si="93"/>
        <v>99000</v>
      </c>
      <c r="O2967" s="56"/>
    </row>
    <row r="2968" spans="1:15" hidden="1" x14ac:dyDescent="0.3">
      <c r="A2968" s="26">
        <v>32</v>
      </c>
      <c r="B2968" s="20" t="str">
        <f t="shared" si="92"/>
        <v>AUG</v>
      </c>
      <c r="C2968" s="21">
        <v>46243</v>
      </c>
      <c r="D2968" s="22" t="s">
        <v>39</v>
      </c>
      <c r="E2968" s="20" t="str">
        <f>IFERROR(VLOOKUP(I2968,KET!$B:$F,4,0),"")</f>
        <v>FAHMI LUKMANUL HAKIM</v>
      </c>
      <c r="F2968" s="20" t="s">
        <v>42</v>
      </c>
      <c r="G2968" s="20">
        <f>IFERROR(INDEX('Kode Outlet dan Target Toko'!$C:$C,MATCH($I2968,'Kode Outlet dan Target Toko'!$E:$E,0)),0)</f>
        <v>103259</v>
      </c>
      <c r="H2968" s="20">
        <f>IFERROR(INDEX('Kode Outlet dan Target Toko'!$D:$D,MATCH($I2968,'Kode Outlet dan Target Toko'!$E:$E,0)),0)</f>
        <v>9006219</v>
      </c>
      <c r="I2968" s="42" t="s">
        <v>96</v>
      </c>
      <c r="J2968" s="56" t="s">
        <v>198</v>
      </c>
      <c r="K2968" s="40" t="s">
        <v>14</v>
      </c>
      <c r="L2968" s="26">
        <v>2200</v>
      </c>
      <c r="M2968" s="26">
        <v>47</v>
      </c>
      <c r="N2968" s="25">
        <f t="shared" si="93"/>
        <v>103400</v>
      </c>
      <c r="O2968" s="56"/>
    </row>
    <row r="2969" spans="1:15" hidden="1" x14ac:dyDescent="0.3">
      <c r="A2969" s="26">
        <v>32</v>
      </c>
      <c r="B2969" s="20" t="str">
        <f t="shared" si="92"/>
        <v>AUG</v>
      </c>
      <c r="C2969" s="21">
        <v>46243</v>
      </c>
      <c r="D2969" s="22" t="s">
        <v>39</v>
      </c>
      <c r="E2969" s="20" t="str">
        <f>IFERROR(VLOOKUP(I2969,KET!$B:$F,4,0),"")</f>
        <v>FAHMI LUKMANUL HAKIM</v>
      </c>
      <c r="F2969" s="20" t="s">
        <v>42</v>
      </c>
      <c r="G2969" s="20">
        <f>IFERROR(INDEX('Kode Outlet dan Target Toko'!$C:$C,MATCH($I2969,'Kode Outlet dan Target Toko'!$E:$E,0)),0)</f>
        <v>103259</v>
      </c>
      <c r="H2969" s="20">
        <f>IFERROR(INDEX('Kode Outlet dan Target Toko'!$D:$D,MATCH($I2969,'Kode Outlet dan Target Toko'!$E:$E,0)),0)</f>
        <v>9006219</v>
      </c>
      <c r="I2969" s="42" t="s">
        <v>96</v>
      </c>
      <c r="J2969" s="56" t="s">
        <v>198</v>
      </c>
      <c r="K2969" s="40" t="s">
        <v>13</v>
      </c>
      <c r="L2969" s="26">
        <v>2200</v>
      </c>
      <c r="M2969" s="26">
        <v>24</v>
      </c>
      <c r="N2969" s="25">
        <f t="shared" si="93"/>
        <v>52800</v>
      </c>
      <c r="O2969" s="56"/>
    </row>
    <row r="2970" spans="1:15" hidden="1" x14ac:dyDescent="0.3">
      <c r="A2970" s="26">
        <v>32</v>
      </c>
      <c r="B2970" s="20" t="str">
        <f t="shared" si="92"/>
        <v>AUG</v>
      </c>
      <c r="C2970" s="21">
        <v>46243</v>
      </c>
      <c r="D2970" s="22" t="s">
        <v>39</v>
      </c>
      <c r="E2970" s="20" t="str">
        <f>IFERROR(VLOOKUP(I2970,KET!$B:$F,4,0),"")</f>
        <v>FAHMI LUKMANUL HAKIM</v>
      </c>
      <c r="F2970" s="20" t="s">
        <v>42</v>
      </c>
      <c r="G2970" s="20">
        <f>IFERROR(INDEX('Kode Outlet dan Target Toko'!$C:$C,MATCH($I2970,'Kode Outlet dan Target Toko'!$E:$E,0)),0)</f>
        <v>103259</v>
      </c>
      <c r="H2970" s="20">
        <f>IFERROR(INDEX('Kode Outlet dan Target Toko'!$D:$D,MATCH($I2970,'Kode Outlet dan Target Toko'!$E:$E,0)),0)</f>
        <v>9006219</v>
      </c>
      <c r="I2970" s="42" t="s">
        <v>96</v>
      </c>
      <c r="J2970" s="56" t="s">
        <v>198</v>
      </c>
      <c r="K2970" s="40" t="s">
        <v>16</v>
      </c>
      <c r="L2970" s="26">
        <v>2200</v>
      </c>
      <c r="M2970" s="26">
        <v>75</v>
      </c>
      <c r="N2970" s="25">
        <f t="shared" si="93"/>
        <v>165000</v>
      </c>
      <c r="O2970" s="56">
        <v>160</v>
      </c>
    </row>
    <row r="2971" spans="1:15" hidden="1" x14ac:dyDescent="0.3">
      <c r="A2971" s="26">
        <v>32</v>
      </c>
      <c r="B2971" s="20" t="str">
        <f t="shared" si="92"/>
        <v>AUG</v>
      </c>
      <c r="C2971" s="21">
        <v>46242</v>
      </c>
      <c r="D2971" s="22" t="s">
        <v>39</v>
      </c>
      <c r="E2971" s="20" t="str">
        <f>IFERROR(VLOOKUP(I2971,KET!$B:$F,4,0),"")</f>
        <v>FAHMI LUKMANUL HAKIM</v>
      </c>
      <c r="F2971" s="20" t="s">
        <v>42</v>
      </c>
      <c r="G2971" s="20">
        <f>IFERROR(INDEX('Kode Outlet dan Target Toko'!$C:$C,MATCH($I2971,'Kode Outlet dan Target Toko'!$E:$E,0)),0)</f>
        <v>103258</v>
      </c>
      <c r="H2971" s="20">
        <f>IFERROR(INDEX('Kode Outlet dan Target Toko'!$D:$D,MATCH($I2971,'Kode Outlet dan Target Toko'!$E:$E,0)),0)</f>
        <v>9201924</v>
      </c>
      <c r="I2971" s="42" t="s">
        <v>95</v>
      </c>
      <c r="J2971" s="56" t="s">
        <v>200</v>
      </c>
      <c r="K2971" s="40" t="s">
        <v>15</v>
      </c>
      <c r="L2971" s="26">
        <v>2200</v>
      </c>
      <c r="M2971" s="26">
        <v>180</v>
      </c>
      <c r="N2971" s="25">
        <f t="shared" si="93"/>
        <v>396000</v>
      </c>
      <c r="O2971" s="56"/>
    </row>
    <row r="2972" spans="1:15" hidden="1" x14ac:dyDescent="0.3">
      <c r="A2972" s="26">
        <v>32</v>
      </c>
      <c r="B2972" s="20" t="str">
        <f t="shared" si="92"/>
        <v>AUG</v>
      </c>
      <c r="C2972" s="21">
        <v>46242</v>
      </c>
      <c r="D2972" s="22" t="s">
        <v>39</v>
      </c>
      <c r="E2972" s="20" t="str">
        <f>IFERROR(VLOOKUP(I2972,KET!$B:$F,4,0),"")</f>
        <v>FAHMI LUKMANUL HAKIM</v>
      </c>
      <c r="F2972" s="20" t="s">
        <v>42</v>
      </c>
      <c r="G2972" s="20">
        <f>IFERROR(INDEX('Kode Outlet dan Target Toko'!$C:$C,MATCH($I2972,'Kode Outlet dan Target Toko'!$E:$E,0)),0)</f>
        <v>103258</v>
      </c>
      <c r="H2972" s="20">
        <f>IFERROR(INDEX('Kode Outlet dan Target Toko'!$D:$D,MATCH($I2972,'Kode Outlet dan Target Toko'!$E:$E,0)),0)</f>
        <v>9201924</v>
      </c>
      <c r="I2972" s="42" t="s">
        <v>95</v>
      </c>
      <c r="J2972" s="56" t="s">
        <v>200</v>
      </c>
      <c r="K2972" s="40" t="s">
        <v>14</v>
      </c>
      <c r="L2972" s="26">
        <v>2200</v>
      </c>
      <c r="M2972" s="26">
        <v>180</v>
      </c>
      <c r="N2972" s="25">
        <f t="shared" si="93"/>
        <v>396000</v>
      </c>
      <c r="O2972" s="56"/>
    </row>
    <row r="2973" spans="1:15" hidden="1" x14ac:dyDescent="0.3">
      <c r="A2973" s="26">
        <v>32</v>
      </c>
      <c r="B2973" s="20" t="str">
        <f t="shared" si="92"/>
        <v>AUG</v>
      </c>
      <c r="C2973" s="21">
        <v>46242</v>
      </c>
      <c r="D2973" s="22" t="s">
        <v>39</v>
      </c>
      <c r="E2973" s="20" t="str">
        <f>IFERROR(VLOOKUP(I2973,KET!$B:$F,4,0),"")</f>
        <v>FAHMI LUKMANUL HAKIM</v>
      </c>
      <c r="F2973" s="20" t="s">
        <v>42</v>
      </c>
      <c r="G2973" s="20">
        <f>IFERROR(INDEX('Kode Outlet dan Target Toko'!$C:$C,MATCH($I2973,'Kode Outlet dan Target Toko'!$E:$E,0)),0)</f>
        <v>103258</v>
      </c>
      <c r="H2973" s="20">
        <f>IFERROR(INDEX('Kode Outlet dan Target Toko'!$D:$D,MATCH($I2973,'Kode Outlet dan Target Toko'!$E:$E,0)),0)</f>
        <v>9201924</v>
      </c>
      <c r="I2973" s="42" t="s">
        <v>95</v>
      </c>
      <c r="J2973" s="56" t="s">
        <v>200</v>
      </c>
      <c r="K2973" s="40" t="s">
        <v>13</v>
      </c>
      <c r="L2973" s="26">
        <v>2200</v>
      </c>
      <c r="M2973" s="26">
        <v>0</v>
      </c>
      <c r="N2973" s="25">
        <f t="shared" si="93"/>
        <v>0</v>
      </c>
      <c r="O2973" s="56"/>
    </row>
    <row r="2974" spans="1:15" hidden="1" x14ac:dyDescent="0.3">
      <c r="A2974" s="26">
        <v>32</v>
      </c>
      <c r="B2974" s="20" t="str">
        <f t="shared" si="92"/>
        <v>AUG</v>
      </c>
      <c r="C2974" s="21">
        <v>46242</v>
      </c>
      <c r="D2974" s="22" t="s">
        <v>39</v>
      </c>
      <c r="E2974" s="20" t="str">
        <f>IFERROR(VLOOKUP(I2974,KET!$B:$F,4,0),"")</f>
        <v>FAHMI LUKMANUL HAKIM</v>
      </c>
      <c r="F2974" s="20" t="s">
        <v>42</v>
      </c>
      <c r="G2974" s="20">
        <f>IFERROR(INDEX('Kode Outlet dan Target Toko'!$C:$C,MATCH($I2974,'Kode Outlet dan Target Toko'!$E:$E,0)),0)</f>
        <v>103258</v>
      </c>
      <c r="H2974" s="20">
        <f>IFERROR(INDEX('Kode Outlet dan Target Toko'!$D:$D,MATCH($I2974,'Kode Outlet dan Target Toko'!$E:$E,0)),0)</f>
        <v>9201924</v>
      </c>
      <c r="I2974" s="42" t="s">
        <v>95</v>
      </c>
      <c r="J2974" s="56" t="s">
        <v>200</v>
      </c>
      <c r="K2974" s="40" t="s">
        <v>16</v>
      </c>
      <c r="L2974" s="26">
        <v>2200</v>
      </c>
      <c r="M2974" s="26">
        <v>0</v>
      </c>
      <c r="N2974" s="25">
        <f t="shared" si="93"/>
        <v>0</v>
      </c>
      <c r="O2974" s="56">
        <v>100</v>
      </c>
    </row>
    <row r="2975" spans="1:15" hidden="1" x14ac:dyDescent="0.3">
      <c r="A2975" s="26">
        <v>32</v>
      </c>
      <c r="B2975" s="20" t="str">
        <f t="shared" si="92"/>
        <v>AUG</v>
      </c>
      <c r="C2975" s="21">
        <v>46242</v>
      </c>
      <c r="D2975" s="22" t="s">
        <v>39</v>
      </c>
      <c r="E2975" s="20" t="str">
        <f>IFERROR(VLOOKUP(I2975,KET!$B:$F,4,0),"")</f>
        <v>FAHMI LUKMANUL HAKIM</v>
      </c>
      <c r="F2975" s="20" t="s">
        <v>42</v>
      </c>
      <c r="G2975" s="20">
        <f>IFERROR(INDEX('Kode Outlet dan Target Toko'!$C:$C,MATCH($I2975,'Kode Outlet dan Target Toko'!$E:$E,0)),0)</f>
        <v>103258</v>
      </c>
      <c r="H2975" s="20">
        <f>IFERROR(INDEX('Kode Outlet dan Target Toko'!$D:$D,MATCH($I2975,'Kode Outlet dan Target Toko'!$E:$E,0)),0)</f>
        <v>9201924</v>
      </c>
      <c r="I2975" s="42" t="s">
        <v>95</v>
      </c>
      <c r="J2975" s="56" t="s">
        <v>299</v>
      </c>
      <c r="K2975" s="40" t="s">
        <v>15</v>
      </c>
      <c r="L2975" s="26">
        <v>2200</v>
      </c>
      <c r="M2975" s="26">
        <v>180</v>
      </c>
      <c r="N2975" s="25">
        <f t="shared" si="93"/>
        <v>396000</v>
      </c>
      <c r="O2975" s="56"/>
    </row>
    <row r="2976" spans="1:15" hidden="1" x14ac:dyDescent="0.3">
      <c r="A2976" s="26">
        <v>32</v>
      </c>
      <c r="B2976" s="20" t="str">
        <f t="shared" si="92"/>
        <v>AUG</v>
      </c>
      <c r="C2976" s="21">
        <v>46242</v>
      </c>
      <c r="D2976" s="22" t="s">
        <v>39</v>
      </c>
      <c r="E2976" s="20" t="str">
        <f>IFERROR(VLOOKUP(I2976,KET!$B:$F,4,0),"")</f>
        <v>FAHMI LUKMANUL HAKIM</v>
      </c>
      <c r="F2976" s="20" t="s">
        <v>42</v>
      </c>
      <c r="G2976" s="20">
        <f>IFERROR(INDEX('Kode Outlet dan Target Toko'!$C:$C,MATCH($I2976,'Kode Outlet dan Target Toko'!$E:$E,0)),0)</f>
        <v>103258</v>
      </c>
      <c r="H2976" s="20">
        <f>IFERROR(INDEX('Kode Outlet dan Target Toko'!$D:$D,MATCH($I2976,'Kode Outlet dan Target Toko'!$E:$E,0)),0)</f>
        <v>9201924</v>
      </c>
      <c r="I2976" s="42" t="s">
        <v>95</v>
      </c>
      <c r="J2976" s="56" t="s">
        <v>299</v>
      </c>
      <c r="K2976" s="40" t="s">
        <v>14</v>
      </c>
      <c r="L2976" s="26">
        <v>2200</v>
      </c>
      <c r="M2976" s="26">
        <v>180</v>
      </c>
      <c r="N2976" s="25">
        <f t="shared" si="93"/>
        <v>396000</v>
      </c>
      <c r="O2976" s="56"/>
    </row>
    <row r="2977" spans="1:15" hidden="1" x14ac:dyDescent="0.3">
      <c r="A2977" s="26">
        <v>32</v>
      </c>
      <c r="B2977" s="20" t="str">
        <f t="shared" si="92"/>
        <v>AUG</v>
      </c>
      <c r="C2977" s="21">
        <v>46242</v>
      </c>
      <c r="D2977" s="22" t="s">
        <v>39</v>
      </c>
      <c r="E2977" s="20" t="str">
        <f>IFERROR(VLOOKUP(I2977,KET!$B:$F,4,0),"")</f>
        <v>FAHMI LUKMANUL HAKIM</v>
      </c>
      <c r="F2977" s="20" t="s">
        <v>42</v>
      </c>
      <c r="G2977" s="20">
        <f>IFERROR(INDEX('Kode Outlet dan Target Toko'!$C:$C,MATCH($I2977,'Kode Outlet dan Target Toko'!$E:$E,0)),0)</f>
        <v>103258</v>
      </c>
      <c r="H2977" s="20">
        <f>IFERROR(INDEX('Kode Outlet dan Target Toko'!$D:$D,MATCH($I2977,'Kode Outlet dan Target Toko'!$E:$E,0)),0)</f>
        <v>9201924</v>
      </c>
      <c r="I2977" s="42" t="s">
        <v>95</v>
      </c>
      <c r="J2977" s="56" t="s">
        <v>299</v>
      </c>
      <c r="K2977" s="40" t="s">
        <v>13</v>
      </c>
      <c r="L2977" s="26">
        <v>2200</v>
      </c>
      <c r="M2977" s="26">
        <v>0</v>
      </c>
      <c r="N2977" s="25">
        <f t="shared" si="93"/>
        <v>0</v>
      </c>
      <c r="O2977" s="56"/>
    </row>
    <row r="2978" spans="1:15" hidden="1" x14ac:dyDescent="0.3">
      <c r="A2978" s="26">
        <v>32</v>
      </c>
      <c r="B2978" s="20" t="str">
        <f t="shared" si="92"/>
        <v>AUG</v>
      </c>
      <c r="C2978" s="21">
        <v>46242</v>
      </c>
      <c r="D2978" s="22" t="s">
        <v>39</v>
      </c>
      <c r="E2978" s="20" t="str">
        <f>IFERROR(VLOOKUP(I2978,KET!$B:$F,4,0),"")</f>
        <v>FAHMI LUKMANUL HAKIM</v>
      </c>
      <c r="F2978" s="20" t="s">
        <v>42</v>
      </c>
      <c r="G2978" s="20">
        <f>IFERROR(INDEX('Kode Outlet dan Target Toko'!$C:$C,MATCH($I2978,'Kode Outlet dan Target Toko'!$E:$E,0)),0)</f>
        <v>103258</v>
      </c>
      <c r="H2978" s="20">
        <f>IFERROR(INDEX('Kode Outlet dan Target Toko'!$D:$D,MATCH($I2978,'Kode Outlet dan Target Toko'!$E:$E,0)),0)</f>
        <v>9201924</v>
      </c>
      <c r="I2978" s="42" t="s">
        <v>95</v>
      </c>
      <c r="J2978" s="56" t="s">
        <v>299</v>
      </c>
      <c r="K2978" s="40" t="s">
        <v>16</v>
      </c>
      <c r="L2978" s="26">
        <v>2200</v>
      </c>
      <c r="M2978" s="26">
        <v>0</v>
      </c>
      <c r="N2978" s="25">
        <f t="shared" si="93"/>
        <v>0</v>
      </c>
      <c r="O2978" s="56">
        <v>100</v>
      </c>
    </row>
    <row r="2979" spans="1:15" hidden="1" x14ac:dyDescent="0.3">
      <c r="A2979" s="26">
        <v>32</v>
      </c>
      <c r="B2979" s="20" t="str">
        <f t="shared" si="92"/>
        <v>AUG</v>
      </c>
      <c r="C2979" s="21">
        <v>46243</v>
      </c>
      <c r="D2979" s="22" t="s">
        <v>39</v>
      </c>
      <c r="E2979" s="20" t="str">
        <f>IFERROR(VLOOKUP(I2979,KET!$B:$F,4,0),"")</f>
        <v>FAHMI LUKMANUL HAKIM</v>
      </c>
      <c r="F2979" s="20" t="s">
        <v>42</v>
      </c>
      <c r="G2979" s="20">
        <f>IFERROR(INDEX('Kode Outlet dan Target Toko'!$C:$C,MATCH($I2979,'Kode Outlet dan Target Toko'!$E:$E,0)),0)</f>
        <v>103258</v>
      </c>
      <c r="H2979" s="20">
        <f>IFERROR(INDEX('Kode Outlet dan Target Toko'!$D:$D,MATCH($I2979,'Kode Outlet dan Target Toko'!$E:$E,0)),0)</f>
        <v>9201924</v>
      </c>
      <c r="I2979" s="42" t="s">
        <v>95</v>
      </c>
      <c r="J2979" s="56" t="s">
        <v>200</v>
      </c>
      <c r="K2979" s="40" t="s">
        <v>15</v>
      </c>
      <c r="L2979" s="26">
        <v>2200</v>
      </c>
      <c r="M2979" s="26">
        <v>180</v>
      </c>
      <c r="N2979" s="25">
        <f t="shared" si="93"/>
        <v>396000</v>
      </c>
      <c r="O2979" s="56"/>
    </row>
    <row r="2980" spans="1:15" hidden="1" x14ac:dyDescent="0.3">
      <c r="A2980" s="26">
        <v>32</v>
      </c>
      <c r="B2980" s="20" t="str">
        <f t="shared" si="92"/>
        <v>AUG</v>
      </c>
      <c r="C2980" s="21">
        <v>46243</v>
      </c>
      <c r="D2980" s="22" t="s">
        <v>39</v>
      </c>
      <c r="E2980" s="20" t="str">
        <f>IFERROR(VLOOKUP(I2980,KET!$B:$F,4,0),"")</f>
        <v>FAHMI LUKMANUL HAKIM</v>
      </c>
      <c r="F2980" s="20" t="s">
        <v>42</v>
      </c>
      <c r="G2980" s="20">
        <f>IFERROR(INDEX('Kode Outlet dan Target Toko'!$C:$C,MATCH($I2980,'Kode Outlet dan Target Toko'!$E:$E,0)),0)</f>
        <v>103258</v>
      </c>
      <c r="H2980" s="20">
        <f>IFERROR(INDEX('Kode Outlet dan Target Toko'!$D:$D,MATCH($I2980,'Kode Outlet dan Target Toko'!$E:$E,0)),0)</f>
        <v>9201924</v>
      </c>
      <c r="I2980" s="42" t="s">
        <v>95</v>
      </c>
      <c r="J2980" s="56" t="s">
        <v>200</v>
      </c>
      <c r="K2980" s="40" t="s">
        <v>14</v>
      </c>
      <c r="L2980" s="26">
        <v>2200</v>
      </c>
      <c r="M2980" s="26">
        <v>180</v>
      </c>
      <c r="N2980" s="25">
        <f t="shared" si="93"/>
        <v>396000</v>
      </c>
      <c r="O2980" s="56"/>
    </row>
    <row r="2981" spans="1:15" hidden="1" x14ac:dyDescent="0.3">
      <c r="A2981" s="26">
        <v>32</v>
      </c>
      <c r="B2981" s="20" t="str">
        <f t="shared" si="92"/>
        <v>AUG</v>
      </c>
      <c r="C2981" s="21">
        <v>46243</v>
      </c>
      <c r="D2981" s="22" t="s">
        <v>39</v>
      </c>
      <c r="E2981" s="20" t="str">
        <f>IFERROR(VLOOKUP(I2981,KET!$B:$F,4,0),"")</f>
        <v>FAHMI LUKMANUL HAKIM</v>
      </c>
      <c r="F2981" s="20" t="s">
        <v>42</v>
      </c>
      <c r="G2981" s="20">
        <f>IFERROR(INDEX('Kode Outlet dan Target Toko'!$C:$C,MATCH($I2981,'Kode Outlet dan Target Toko'!$E:$E,0)),0)</f>
        <v>103258</v>
      </c>
      <c r="H2981" s="20">
        <f>IFERROR(INDEX('Kode Outlet dan Target Toko'!$D:$D,MATCH($I2981,'Kode Outlet dan Target Toko'!$E:$E,0)),0)</f>
        <v>9201924</v>
      </c>
      <c r="I2981" s="42" t="s">
        <v>95</v>
      </c>
      <c r="J2981" s="56" t="s">
        <v>200</v>
      </c>
      <c r="K2981" s="40" t="s">
        <v>13</v>
      </c>
      <c r="L2981" s="26">
        <v>2200</v>
      </c>
      <c r="M2981" s="26">
        <v>0</v>
      </c>
      <c r="N2981" s="25">
        <f t="shared" si="93"/>
        <v>0</v>
      </c>
      <c r="O2981" s="56"/>
    </row>
    <row r="2982" spans="1:15" hidden="1" x14ac:dyDescent="0.3">
      <c r="A2982" s="26">
        <v>32</v>
      </c>
      <c r="B2982" s="20" t="str">
        <f t="shared" si="92"/>
        <v>AUG</v>
      </c>
      <c r="C2982" s="21">
        <v>46243</v>
      </c>
      <c r="D2982" s="22" t="s">
        <v>39</v>
      </c>
      <c r="E2982" s="20" t="str">
        <f>IFERROR(VLOOKUP(I2982,KET!$B:$F,4,0),"")</f>
        <v>FAHMI LUKMANUL HAKIM</v>
      </c>
      <c r="F2982" s="20" t="s">
        <v>42</v>
      </c>
      <c r="G2982" s="20">
        <f>IFERROR(INDEX('Kode Outlet dan Target Toko'!$C:$C,MATCH($I2982,'Kode Outlet dan Target Toko'!$E:$E,0)),0)</f>
        <v>103258</v>
      </c>
      <c r="H2982" s="20">
        <f>IFERROR(INDEX('Kode Outlet dan Target Toko'!$D:$D,MATCH($I2982,'Kode Outlet dan Target Toko'!$E:$E,0)),0)</f>
        <v>9201924</v>
      </c>
      <c r="I2982" s="42" t="s">
        <v>95</v>
      </c>
      <c r="J2982" s="56" t="s">
        <v>200</v>
      </c>
      <c r="K2982" s="40" t="s">
        <v>16</v>
      </c>
      <c r="L2982" s="26">
        <v>2200</v>
      </c>
      <c r="M2982" s="26">
        <v>0</v>
      </c>
      <c r="N2982" s="25">
        <f t="shared" si="93"/>
        <v>0</v>
      </c>
      <c r="O2982" s="56">
        <v>160</v>
      </c>
    </row>
    <row r="2983" spans="1:15" hidden="1" x14ac:dyDescent="0.3">
      <c r="A2983" s="26">
        <v>32</v>
      </c>
      <c r="B2983" s="20" t="str">
        <f t="shared" si="92"/>
        <v>AUG</v>
      </c>
      <c r="C2983" s="21">
        <v>46243</v>
      </c>
      <c r="D2983" s="22" t="s">
        <v>39</v>
      </c>
      <c r="E2983" s="20" t="str">
        <f>IFERROR(VLOOKUP(I2983,KET!$B:$F,4,0),"")</f>
        <v>FAHMI LUKMANUL HAKIM</v>
      </c>
      <c r="F2983" s="20" t="s">
        <v>42</v>
      </c>
      <c r="G2983" s="20">
        <f>IFERROR(INDEX('Kode Outlet dan Target Toko'!$C:$C,MATCH($I2983,'Kode Outlet dan Target Toko'!$E:$E,0)),0)</f>
        <v>103258</v>
      </c>
      <c r="H2983" s="20">
        <f>IFERROR(INDEX('Kode Outlet dan Target Toko'!$D:$D,MATCH($I2983,'Kode Outlet dan Target Toko'!$E:$E,0)),0)</f>
        <v>9201924</v>
      </c>
      <c r="I2983" s="42" t="s">
        <v>95</v>
      </c>
      <c r="J2983" s="56" t="s">
        <v>299</v>
      </c>
      <c r="K2983" s="40" t="s">
        <v>15</v>
      </c>
      <c r="L2983" s="26">
        <v>2200</v>
      </c>
      <c r="M2983" s="26">
        <v>180</v>
      </c>
      <c r="N2983" s="25">
        <f t="shared" si="93"/>
        <v>396000</v>
      </c>
      <c r="O2983" s="56"/>
    </row>
    <row r="2984" spans="1:15" hidden="1" x14ac:dyDescent="0.3">
      <c r="A2984" s="26">
        <v>32</v>
      </c>
      <c r="B2984" s="20" t="str">
        <f t="shared" si="92"/>
        <v>AUG</v>
      </c>
      <c r="C2984" s="21">
        <v>46243</v>
      </c>
      <c r="D2984" s="22" t="s">
        <v>39</v>
      </c>
      <c r="E2984" s="20" t="str">
        <f>IFERROR(VLOOKUP(I2984,KET!$B:$F,4,0),"")</f>
        <v>FAHMI LUKMANUL HAKIM</v>
      </c>
      <c r="F2984" s="20" t="s">
        <v>42</v>
      </c>
      <c r="G2984" s="20">
        <f>IFERROR(INDEX('Kode Outlet dan Target Toko'!$C:$C,MATCH($I2984,'Kode Outlet dan Target Toko'!$E:$E,0)),0)</f>
        <v>103258</v>
      </c>
      <c r="H2984" s="20">
        <f>IFERROR(INDEX('Kode Outlet dan Target Toko'!$D:$D,MATCH($I2984,'Kode Outlet dan Target Toko'!$E:$E,0)),0)</f>
        <v>9201924</v>
      </c>
      <c r="I2984" s="42" t="s">
        <v>95</v>
      </c>
      <c r="J2984" s="56" t="s">
        <v>299</v>
      </c>
      <c r="K2984" s="40" t="s">
        <v>14</v>
      </c>
      <c r="L2984" s="26">
        <v>2200</v>
      </c>
      <c r="M2984" s="26">
        <v>180</v>
      </c>
      <c r="N2984" s="25">
        <f t="shared" si="93"/>
        <v>396000</v>
      </c>
      <c r="O2984" s="56"/>
    </row>
    <row r="2985" spans="1:15" hidden="1" x14ac:dyDescent="0.3">
      <c r="A2985" s="26">
        <v>32</v>
      </c>
      <c r="B2985" s="20" t="str">
        <f t="shared" si="92"/>
        <v>AUG</v>
      </c>
      <c r="C2985" s="21">
        <v>46243</v>
      </c>
      <c r="D2985" s="22" t="s">
        <v>39</v>
      </c>
      <c r="E2985" s="20" t="str">
        <f>IFERROR(VLOOKUP(I2985,KET!$B:$F,4,0),"")</f>
        <v>FAHMI LUKMANUL HAKIM</v>
      </c>
      <c r="F2985" s="20" t="s">
        <v>42</v>
      </c>
      <c r="G2985" s="20">
        <f>IFERROR(INDEX('Kode Outlet dan Target Toko'!$C:$C,MATCH($I2985,'Kode Outlet dan Target Toko'!$E:$E,0)),0)</f>
        <v>103258</v>
      </c>
      <c r="H2985" s="20">
        <f>IFERROR(INDEX('Kode Outlet dan Target Toko'!$D:$D,MATCH($I2985,'Kode Outlet dan Target Toko'!$E:$E,0)),0)</f>
        <v>9201924</v>
      </c>
      <c r="I2985" s="42" t="s">
        <v>95</v>
      </c>
      <c r="J2985" s="56" t="s">
        <v>299</v>
      </c>
      <c r="K2985" s="40" t="s">
        <v>13</v>
      </c>
      <c r="L2985" s="26">
        <v>2200</v>
      </c>
      <c r="M2985" s="26">
        <v>0</v>
      </c>
      <c r="N2985" s="25">
        <f t="shared" si="93"/>
        <v>0</v>
      </c>
      <c r="O2985" s="56"/>
    </row>
    <row r="2986" spans="1:15" hidden="1" x14ac:dyDescent="0.3">
      <c r="A2986" s="26">
        <v>32</v>
      </c>
      <c r="B2986" s="20" t="str">
        <f t="shared" si="92"/>
        <v>AUG</v>
      </c>
      <c r="C2986" s="21">
        <v>46243</v>
      </c>
      <c r="D2986" s="22" t="s">
        <v>39</v>
      </c>
      <c r="E2986" s="20" t="str">
        <f>IFERROR(VLOOKUP(I2986,KET!$B:$F,4,0),"")</f>
        <v>FAHMI LUKMANUL HAKIM</v>
      </c>
      <c r="F2986" s="20" t="s">
        <v>42</v>
      </c>
      <c r="G2986" s="20">
        <f>IFERROR(INDEX('Kode Outlet dan Target Toko'!$C:$C,MATCH($I2986,'Kode Outlet dan Target Toko'!$E:$E,0)),0)</f>
        <v>103258</v>
      </c>
      <c r="H2986" s="20">
        <f>IFERROR(INDEX('Kode Outlet dan Target Toko'!$D:$D,MATCH($I2986,'Kode Outlet dan Target Toko'!$E:$E,0)),0)</f>
        <v>9201924</v>
      </c>
      <c r="I2986" s="42" t="s">
        <v>95</v>
      </c>
      <c r="J2986" s="56" t="s">
        <v>299</v>
      </c>
      <c r="K2986" s="40" t="s">
        <v>16</v>
      </c>
      <c r="L2986" s="26">
        <v>2200</v>
      </c>
      <c r="M2986" s="26">
        <v>0</v>
      </c>
      <c r="N2986" s="25">
        <f t="shared" si="93"/>
        <v>0</v>
      </c>
      <c r="O2986" s="56">
        <v>160</v>
      </c>
    </row>
    <row r="2987" spans="1:15" hidden="1" x14ac:dyDescent="0.3">
      <c r="A2987" s="26">
        <v>32</v>
      </c>
      <c r="B2987" s="20" t="str">
        <f t="shared" si="92"/>
        <v>AUG</v>
      </c>
      <c r="C2987" s="21">
        <v>46241</v>
      </c>
      <c r="D2987" s="22" t="s">
        <v>75</v>
      </c>
      <c r="E2987" s="20" t="str">
        <f>IFERROR(VLOOKUP(I2987,KET!$B:$F,4,0),"")</f>
        <v>AFNITA SARI</v>
      </c>
      <c r="F2987" s="20" t="s">
        <v>78</v>
      </c>
      <c r="G2987" s="20">
        <f>IFERROR(INDEX('Kode Outlet dan Target Toko'!$C:$C,MATCH($I2987,'Kode Outlet dan Target Toko'!$E:$E,0)),0)</f>
        <v>122506</v>
      </c>
      <c r="H2987" s="20">
        <f>IFERROR(INDEX('Kode Outlet dan Target Toko'!$D:$D,MATCH($I2987,'Kode Outlet dan Target Toko'!$E:$E,0)),0)</f>
        <v>202879</v>
      </c>
      <c r="I2987" s="42" t="s">
        <v>70</v>
      </c>
      <c r="J2987" s="56" t="s">
        <v>289</v>
      </c>
      <c r="K2987" s="40" t="s">
        <v>15</v>
      </c>
      <c r="L2987" s="26">
        <v>6400</v>
      </c>
      <c r="M2987" s="26">
        <v>37</v>
      </c>
      <c r="N2987" s="25">
        <f t="shared" si="93"/>
        <v>236800</v>
      </c>
      <c r="O2987" s="56"/>
    </row>
    <row r="2988" spans="1:15" hidden="1" x14ac:dyDescent="0.3">
      <c r="A2988" s="26">
        <v>32</v>
      </c>
      <c r="B2988" s="20" t="str">
        <f t="shared" si="92"/>
        <v>AUG</v>
      </c>
      <c r="C2988" s="21">
        <v>46241</v>
      </c>
      <c r="D2988" s="22" t="s">
        <v>75</v>
      </c>
      <c r="E2988" s="20" t="str">
        <f>IFERROR(VLOOKUP(I2988,KET!$B:$F,4,0),"")</f>
        <v>AFNITA SARI</v>
      </c>
      <c r="F2988" s="20" t="s">
        <v>78</v>
      </c>
      <c r="G2988" s="20">
        <f>IFERROR(INDEX('Kode Outlet dan Target Toko'!$C:$C,MATCH($I2988,'Kode Outlet dan Target Toko'!$E:$E,0)),0)</f>
        <v>122506</v>
      </c>
      <c r="H2988" s="20">
        <f>IFERROR(INDEX('Kode Outlet dan Target Toko'!$D:$D,MATCH($I2988,'Kode Outlet dan Target Toko'!$E:$E,0)),0)</f>
        <v>202879</v>
      </c>
      <c r="I2988" s="42" t="s">
        <v>70</v>
      </c>
      <c r="J2988" s="56" t="s">
        <v>289</v>
      </c>
      <c r="K2988" s="40" t="s">
        <v>14</v>
      </c>
      <c r="L2988" s="26">
        <v>6400</v>
      </c>
      <c r="M2988" s="26">
        <v>40</v>
      </c>
      <c r="N2988" s="25">
        <f t="shared" si="93"/>
        <v>256000</v>
      </c>
      <c r="O2988" s="56"/>
    </row>
    <row r="2989" spans="1:15" hidden="1" x14ac:dyDescent="0.3">
      <c r="A2989" s="26">
        <v>32</v>
      </c>
      <c r="B2989" s="20" t="str">
        <f t="shared" si="92"/>
        <v>AUG</v>
      </c>
      <c r="C2989" s="21">
        <v>46241</v>
      </c>
      <c r="D2989" s="22" t="s">
        <v>75</v>
      </c>
      <c r="E2989" s="20" t="str">
        <f>IFERROR(VLOOKUP(I2989,KET!$B:$F,4,0),"")</f>
        <v>AFNITA SARI</v>
      </c>
      <c r="F2989" s="20" t="s">
        <v>78</v>
      </c>
      <c r="G2989" s="20">
        <f>IFERROR(INDEX('Kode Outlet dan Target Toko'!$C:$C,MATCH($I2989,'Kode Outlet dan Target Toko'!$E:$E,0)),0)</f>
        <v>122506</v>
      </c>
      <c r="H2989" s="20">
        <f>IFERROR(INDEX('Kode Outlet dan Target Toko'!$D:$D,MATCH($I2989,'Kode Outlet dan Target Toko'!$E:$E,0)),0)</f>
        <v>202879</v>
      </c>
      <c r="I2989" s="42" t="s">
        <v>70</v>
      </c>
      <c r="J2989" s="56" t="s">
        <v>289</v>
      </c>
      <c r="K2989" s="40" t="s">
        <v>13</v>
      </c>
      <c r="L2989" s="26">
        <v>6400</v>
      </c>
      <c r="M2989" s="26">
        <v>13</v>
      </c>
      <c r="N2989" s="25">
        <f t="shared" si="93"/>
        <v>83200</v>
      </c>
      <c r="O2989" s="56"/>
    </row>
    <row r="2990" spans="1:15" hidden="1" x14ac:dyDescent="0.3">
      <c r="A2990" s="26">
        <v>32</v>
      </c>
      <c r="B2990" s="20" t="str">
        <f t="shared" si="92"/>
        <v>AUG</v>
      </c>
      <c r="C2990" s="21">
        <v>46241</v>
      </c>
      <c r="D2990" s="22" t="s">
        <v>75</v>
      </c>
      <c r="E2990" s="20" t="str">
        <f>IFERROR(VLOOKUP(I2990,KET!$B:$F,4,0),"")</f>
        <v>AFNITA SARI</v>
      </c>
      <c r="F2990" s="20" t="s">
        <v>78</v>
      </c>
      <c r="G2990" s="20">
        <f>IFERROR(INDEX('Kode Outlet dan Target Toko'!$C:$C,MATCH($I2990,'Kode Outlet dan Target Toko'!$E:$E,0)),0)</f>
        <v>122506</v>
      </c>
      <c r="H2990" s="20">
        <f>IFERROR(INDEX('Kode Outlet dan Target Toko'!$D:$D,MATCH($I2990,'Kode Outlet dan Target Toko'!$E:$E,0)),0)</f>
        <v>202879</v>
      </c>
      <c r="I2990" s="42" t="s">
        <v>70</v>
      </c>
      <c r="J2990" s="56" t="s">
        <v>289</v>
      </c>
      <c r="K2990" s="40" t="s">
        <v>16</v>
      </c>
      <c r="L2990" s="26">
        <v>6400</v>
      </c>
      <c r="M2990" s="26">
        <v>87</v>
      </c>
      <c r="N2990" s="25">
        <f t="shared" si="93"/>
        <v>556800</v>
      </c>
      <c r="O2990" s="56">
        <v>160</v>
      </c>
    </row>
    <row r="2991" spans="1:15" hidden="1" x14ac:dyDescent="0.3">
      <c r="A2991" s="26">
        <v>32</v>
      </c>
      <c r="B2991" s="20" t="str">
        <f t="shared" si="92"/>
        <v>AUG</v>
      </c>
      <c r="C2991" s="21">
        <v>46241</v>
      </c>
      <c r="D2991" s="22" t="s">
        <v>75</v>
      </c>
      <c r="E2991" s="20" t="str">
        <f>IFERROR(VLOOKUP(I2991,KET!$B:$F,4,0),"")</f>
        <v>AFNITA SARI</v>
      </c>
      <c r="F2991" s="20" t="s">
        <v>78</v>
      </c>
      <c r="G2991" s="20">
        <f>IFERROR(INDEX('Kode Outlet dan Target Toko'!$C:$C,MATCH($I2991,'Kode Outlet dan Target Toko'!$E:$E,0)),0)</f>
        <v>122506</v>
      </c>
      <c r="H2991" s="20">
        <f>IFERROR(INDEX('Kode Outlet dan Target Toko'!$D:$D,MATCH($I2991,'Kode Outlet dan Target Toko'!$E:$E,0)),0)</f>
        <v>202879</v>
      </c>
      <c r="I2991" s="42" t="s">
        <v>70</v>
      </c>
      <c r="J2991" s="56" t="s">
        <v>290</v>
      </c>
      <c r="K2991" s="40" t="s">
        <v>15</v>
      </c>
      <c r="L2991" s="26">
        <v>6400</v>
      </c>
      <c r="M2991" s="26">
        <v>37</v>
      </c>
      <c r="N2991" s="25">
        <f t="shared" si="93"/>
        <v>236800</v>
      </c>
      <c r="O2991" s="56"/>
    </row>
    <row r="2992" spans="1:15" hidden="1" x14ac:dyDescent="0.3">
      <c r="A2992" s="26">
        <v>32</v>
      </c>
      <c r="B2992" s="20" t="str">
        <f t="shared" si="92"/>
        <v>AUG</v>
      </c>
      <c r="C2992" s="21">
        <v>46241</v>
      </c>
      <c r="D2992" s="22" t="s">
        <v>75</v>
      </c>
      <c r="E2992" s="20" t="str">
        <f>IFERROR(VLOOKUP(I2992,KET!$B:$F,4,0),"")</f>
        <v>AFNITA SARI</v>
      </c>
      <c r="F2992" s="20" t="s">
        <v>78</v>
      </c>
      <c r="G2992" s="20">
        <f>IFERROR(INDEX('Kode Outlet dan Target Toko'!$C:$C,MATCH($I2992,'Kode Outlet dan Target Toko'!$E:$E,0)),0)</f>
        <v>122506</v>
      </c>
      <c r="H2992" s="20">
        <f>IFERROR(INDEX('Kode Outlet dan Target Toko'!$D:$D,MATCH($I2992,'Kode Outlet dan Target Toko'!$E:$E,0)),0)</f>
        <v>202879</v>
      </c>
      <c r="I2992" s="42" t="s">
        <v>70</v>
      </c>
      <c r="J2992" s="56" t="s">
        <v>290</v>
      </c>
      <c r="K2992" s="40" t="s">
        <v>14</v>
      </c>
      <c r="L2992" s="26">
        <v>6400</v>
      </c>
      <c r="M2992" s="26">
        <v>40</v>
      </c>
      <c r="N2992" s="25">
        <f t="shared" si="93"/>
        <v>256000</v>
      </c>
      <c r="O2992" s="56"/>
    </row>
    <row r="2993" spans="1:15" hidden="1" x14ac:dyDescent="0.3">
      <c r="A2993" s="26">
        <v>32</v>
      </c>
      <c r="B2993" s="20" t="str">
        <f t="shared" si="92"/>
        <v>AUG</v>
      </c>
      <c r="C2993" s="21">
        <v>46241</v>
      </c>
      <c r="D2993" s="22" t="s">
        <v>75</v>
      </c>
      <c r="E2993" s="20" t="str">
        <f>IFERROR(VLOOKUP(I2993,KET!$B:$F,4,0),"")</f>
        <v>AFNITA SARI</v>
      </c>
      <c r="F2993" s="20" t="s">
        <v>78</v>
      </c>
      <c r="G2993" s="20">
        <f>IFERROR(INDEX('Kode Outlet dan Target Toko'!$C:$C,MATCH($I2993,'Kode Outlet dan Target Toko'!$E:$E,0)),0)</f>
        <v>122506</v>
      </c>
      <c r="H2993" s="20">
        <f>IFERROR(INDEX('Kode Outlet dan Target Toko'!$D:$D,MATCH($I2993,'Kode Outlet dan Target Toko'!$E:$E,0)),0)</f>
        <v>202879</v>
      </c>
      <c r="I2993" s="42" t="s">
        <v>70</v>
      </c>
      <c r="J2993" s="56" t="s">
        <v>290</v>
      </c>
      <c r="K2993" s="40" t="s">
        <v>13</v>
      </c>
      <c r="L2993" s="26">
        <v>6400</v>
      </c>
      <c r="M2993" s="26">
        <v>12</v>
      </c>
      <c r="N2993" s="25">
        <f t="shared" si="93"/>
        <v>76800</v>
      </c>
      <c r="O2993" s="56"/>
    </row>
    <row r="2994" spans="1:15" hidden="1" x14ac:dyDescent="0.3">
      <c r="A2994" s="26">
        <v>32</v>
      </c>
      <c r="B2994" s="20" t="str">
        <f t="shared" si="92"/>
        <v>AUG</v>
      </c>
      <c r="C2994" s="21">
        <v>46241</v>
      </c>
      <c r="D2994" s="22" t="s">
        <v>75</v>
      </c>
      <c r="E2994" s="20" t="str">
        <f>IFERROR(VLOOKUP(I2994,KET!$B:$F,4,0),"")</f>
        <v>AFNITA SARI</v>
      </c>
      <c r="F2994" s="20" t="s">
        <v>78</v>
      </c>
      <c r="G2994" s="20">
        <f>IFERROR(INDEX('Kode Outlet dan Target Toko'!$C:$C,MATCH($I2994,'Kode Outlet dan Target Toko'!$E:$E,0)),0)</f>
        <v>122506</v>
      </c>
      <c r="H2994" s="20">
        <f>IFERROR(INDEX('Kode Outlet dan Target Toko'!$D:$D,MATCH($I2994,'Kode Outlet dan Target Toko'!$E:$E,0)),0)</f>
        <v>202879</v>
      </c>
      <c r="I2994" s="42" t="s">
        <v>70</v>
      </c>
      <c r="J2994" s="56" t="s">
        <v>290</v>
      </c>
      <c r="K2994" s="40" t="s">
        <v>16</v>
      </c>
      <c r="L2994" s="26">
        <v>6400</v>
      </c>
      <c r="M2994" s="26">
        <v>87</v>
      </c>
      <c r="N2994" s="25">
        <f t="shared" si="93"/>
        <v>556800</v>
      </c>
      <c r="O2994" s="56">
        <v>160</v>
      </c>
    </row>
    <row r="2995" spans="1:15" hidden="1" x14ac:dyDescent="0.3">
      <c r="A2995" s="26">
        <v>32</v>
      </c>
      <c r="B2995" s="20" t="str">
        <f t="shared" si="92"/>
        <v>AUG</v>
      </c>
      <c r="C2995" s="21">
        <v>46241</v>
      </c>
      <c r="D2995" s="22" t="s">
        <v>75</v>
      </c>
      <c r="E2995" s="20" t="str">
        <f>IFERROR(VLOOKUP(I2995,KET!$B:$F,4,0),"")</f>
        <v>AFNITA SARI</v>
      </c>
      <c r="F2995" s="20" t="s">
        <v>78</v>
      </c>
      <c r="G2995" s="20">
        <f>IFERROR(INDEX('Kode Outlet dan Target Toko'!$C:$C,MATCH($I2995,'Kode Outlet dan Target Toko'!$E:$E,0)),0)</f>
        <v>122506</v>
      </c>
      <c r="H2995" s="20">
        <f>IFERROR(INDEX('Kode Outlet dan Target Toko'!$D:$D,MATCH($I2995,'Kode Outlet dan Target Toko'!$E:$E,0)),0)</f>
        <v>214300</v>
      </c>
      <c r="I2995" s="42" t="s">
        <v>73</v>
      </c>
      <c r="J2995" s="56" t="s">
        <v>291</v>
      </c>
      <c r="K2995" s="40" t="s">
        <v>15</v>
      </c>
      <c r="L2995" s="26">
        <v>7000</v>
      </c>
      <c r="M2995" s="26">
        <v>10</v>
      </c>
      <c r="N2995" s="25">
        <f t="shared" si="93"/>
        <v>70000</v>
      </c>
      <c r="O2995" s="56"/>
    </row>
    <row r="2996" spans="1:15" hidden="1" x14ac:dyDescent="0.3">
      <c r="A2996" s="26">
        <v>32</v>
      </c>
      <c r="B2996" s="20" t="str">
        <f t="shared" si="92"/>
        <v>AUG</v>
      </c>
      <c r="C2996" s="21">
        <v>46241</v>
      </c>
      <c r="D2996" s="22" t="s">
        <v>75</v>
      </c>
      <c r="E2996" s="20" t="str">
        <f>IFERROR(VLOOKUP(I2996,KET!$B:$F,4,0),"")</f>
        <v>AFNITA SARI</v>
      </c>
      <c r="F2996" s="20" t="s">
        <v>78</v>
      </c>
      <c r="G2996" s="20">
        <f>IFERROR(INDEX('Kode Outlet dan Target Toko'!$C:$C,MATCH($I2996,'Kode Outlet dan Target Toko'!$E:$E,0)),0)</f>
        <v>122506</v>
      </c>
      <c r="H2996" s="20">
        <f>IFERROR(INDEX('Kode Outlet dan Target Toko'!$D:$D,MATCH($I2996,'Kode Outlet dan Target Toko'!$E:$E,0)),0)</f>
        <v>214300</v>
      </c>
      <c r="I2996" s="42" t="s">
        <v>73</v>
      </c>
      <c r="J2996" s="56" t="s">
        <v>291</v>
      </c>
      <c r="K2996" s="40" t="s">
        <v>14</v>
      </c>
      <c r="L2996" s="26">
        <v>7000</v>
      </c>
      <c r="M2996" s="26">
        <v>10</v>
      </c>
      <c r="N2996" s="25">
        <f t="shared" si="93"/>
        <v>70000</v>
      </c>
      <c r="O2996" s="56"/>
    </row>
    <row r="2997" spans="1:15" hidden="1" x14ac:dyDescent="0.3">
      <c r="A2997" s="26">
        <v>32</v>
      </c>
      <c r="B2997" s="20" t="str">
        <f t="shared" si="92"/>
        <v>AUG</v>
      </c>
      <c r="C2997" s="21">
        <v>46241</v>
      </c>
      <c r="D2997" s="22" t="s">
        <v>75</v>
      </c>
      <c r="E2997" s="20" t="str">
        <f>IFERROR(VLOOKUP(I2997,KET!$B:$F,4,0),"")</f>
        <v>AFNITA SARI</v>
      </c>
      <c r="F2997" s="20" t="s">
        <v>78</v>
      </c>
      <c r="G2997" s="20">
        <f>IFERROR(INDEX('Kode Outlet dan Target Toko'!$C:$C,MATCH($I2997,'Kode Outlet dan Target Toko'!$E:$E,0)),0)</f>
        <v>122506</v>
      </c>
      <c r="H2997" s="20">
        <f>IFERROR(INDEX('Kode Outlet dan Target Toko'!$D:$D,MATCH($I2997,'Kode Outlet dan Target Toko'!$E:$E,0)),0)</f>
        <v>214300</v>
      </c>
      <c r="I2997" s="42" t="s">
        <v>73</v>
      </c>
      <c r="J2997" s="56" t="s">
        <v>291</v>
      </c>
      <c r="K2997" s="40" t="s">
        <v>13</v>
      </c>
      <c r="L2997" s="26">
        <v>7000</v>
      </c>
      <c r="M2997" s="26">
        <v>15</v>
      </c>
      <c r="N2997" s="25">
        <f t="shared" si="93"/>
        <v>105000</v>
      </c>
      <c r="O2997" s="56"/>
    </row>
    <row r="2998" spans="1:15" hidden="1" x14ac:dyDescent="0.3">
      <c r="A2998" s="26">
        <v>32</v>
      </c>
      <c r="B2998" s="20" t="str">
        <f t="shared" si="92"/>
        <v>AUG</v>
      </c>
      <c r="C2998" s="21">
        <v>46241</v>
      </c>
      <c r="D2998" s="22" t="s">
        <v>75</v>
      </c>
      <c r="E2998" s="20" t="str">
        <f>IFERROR(VLOOKUP(I2998,KET!$B:$F,4,0),"")</f>
        <v>AFNITA SARI</v>
      </c>
      <c r="F2998" s="20" t="s">
        <v>78</v>
      </c>
      <c r="G2998" s="20">
        <f>IFERROR(INDEX('Kode Outlet dan Target Toko'!$C:$C,MATCH($I2998,'Kode Outlet dan Target Toko'!$E:$E,0)),0)</f>
        <v>122506</v>
      </c>
      <c r="H2998" s="20">
        <f>IFERROR(INDEX('Kode Outlet dan Target Toko'!$D:$D,MATCH($I2998,'Kode Outlet dan Target Toko'!$E:$E,0)),0)</f>
        <v>214300</v>
      </c>
      <c r="I2998" s="42" t="s">
        <v>73</v>
      </c>
      <c r="J2998" s="56" t="s">
        <v>291</v>
      </c>
      <c r="K2998" s="40" t="s">
        <v>16</v>
      </c>
      <c r="L2998" s="26">
        <v>7000</v>
      </c>
      <c r="M2998" s="26">
        <v>23</v>
      </c>
      <c r="N2998" s="25">
        <f t="shared" si="93"/>
        <v>161000</v>
      </c>
      <c r="O2998" s="56">
        <v>160</v>
      </c>
    </row>
    <row r="2999" spans="1:15" hidden="1" x14ac:dyDescent="0.3">
      <c r="A2999" s="26">
        <v>32</v>
      </c>
      <c r="B2999" s="20" t="str">
        <f t="shared" si="92"/>
        <v>AUG</v>
      </c>
      <c r="C2999" s="21">
        <v>46241</v>
      </c>
      <c r="D2999" s="22" t="s">
        <v>75</v>
      </c>
      <c r="E2999" s="20" t="str">
        <f>IFERROR(VLOOKUP(I2999,KET!$B:$F,4,0),"")</f>
        <v>AFNITA SARI</v>
      </c>
      <c r="F2999" s="20" t="s">
        <v>78</v>
      </c>
      <c r="G2999" s="20">
        <f>IFERROR(INDEX('Kode Outlet dan Target Toko'!$C:$C,MATCH($I2999,'Kode Outlet dan Target Toko'!$E:$E,0)),0)</f>
        <v>122506</v>
      </c>
      <c r="H2999" s="20">
        <f>IFERROR(INDEX('Kode Outlet dan Target Toko'!$D:$D,MATCH($I2999,'Kode Outlet dan Target Toko'!$E:$E,0)),0)</f>
        <v>214300</v>
      </c>
      <c r="I2999" s="42" t="s">
        <v>73</v>
      </c>
      <c r="J2999" s="56" t="s">
        <v>292</v>
      </c>
      <c r="K2999" s="40" t="s">
        <v>15</v>
      </c>
      <c r="L2999" s="26">
        <v>7000</v>
      </c>
      <c r="M2999" s="26">
        <v>10</v>
      </c>
      <c r="N2999" s="25">
        <f t="shared" si="93"/>
        <v>70000</v>
      </c>
      <c r="O2999" s="56"/>
    </row>
    <row r="3000" spans="1:15" hidden="1" x14ac:dyDescent="0.3">
      <c r="A3000" s="26">
        <v>32</v>
      </c>
      <c r="B3000" s="20" t="str">
        <f t="shared" si="92"/>
        <v>AUG</v>
      </c>
      <c r="C3000" s="21">
        <v>46241</v>
      </c>
      <c r="D3000" s="22" t="s">
        <v>75</v>
      </c>
      <c r="E3000" s="20" t="str">
        <f>IFERROR(VLOOKUP(I3000,KET!$B:$F,4,0),"")</f>
        <v>AFNITA SARI</v>
      </c>
      <c r="F3000" s="20" t="s">
        <v>78</v>
      </c>
      <c r="G3000" s="20">
        <f>IFERROR(INDEX('Kode Outlet dan Target Toko'!$C:$C,MATCH($I3000,'Kode Outlet dan Target Toko'!$E:$E,0)),0)</f>
        <v>122506</v>
      </c>
      <c r="H3000" s="20">
        <f>IFERROR(INDEX('Kode Outlet dan Target Toko'!$D:$D,MATCH($I3000,'Kode Outlet dan Target Toko'!$E:$E,0)),0)</f>
        <v>214300</v>
      </c>
      <c r="I3000" s="42" t="s">
        <v>73</v>
      </c>
      <c r="J3000" s="56" t="s">
        <v>292</v>
      </c>
      <c r="K3000" s="40" t="s">
        <v>14</v>
      </c>
      <c r="L3000" s="26">
        <v>7000</v>
      </c>
      <c r="M3000" s="26">
        <v>10</v>
      </c>
      <c r="N3000" s="25">
        <f t="shared" si="93"/>
        <v>70000</v>
      </c>
      <c r="O3000" s="56"/>
    </row>
    <row r="3001" spans="1:15" hidden="1" x14ac:dyDescent="0.3">
      <c r="A3001" s="26">
        <v>32</v>
      </c>
      <c r="B3001" s="20" t="str">
        <f t="shared" si="92"/>
        <v>AUG</v>
      </c>
      <c r="C3001" s="21">
        <v>46241</v>
      </c>
      <c r="D3001" s="22" t="s">
        <v>75</v>
      </c>
      <c r="E3001" s="20" t="str">
        <f>IFERROR(VLOOKUP(I3001,KET!$B:$F,4,0),"")</f>
        <v>AFNITA SARI</v>
      </c>
      <c r="F3001" s="20" t="s">
        <v>78</v>
      </c>
      <c r="G3001" s="20">
        <f>IFERROR(INDEX('Kode Outlet dan Target Toko'!$C:$C,MATCH($I3001,'Kode Outlet dan Target Toko'!$E:$E,0)),0)</f>
        <v>122506</v>
      </c>
      <c r="H3001" s="20">
        <f>IFERROR(INDEX('Kode Outlet dan Target Toko'!$D:$D,MATCH($I3001,'Kode Outlet dan Target Toko'!$E:$E,0)),0)</f>
        <v>214300</v>
      </c>
      <c r="I3001" s="42" t="s">
        <v>73</v>
      </c>
      <c r="J3001" s="56" t="s">
        <v>292</v>
      </c>
      <c r="K3001" s="40" t="s">
        <v>13</v>
      </c>
      <c r="L3001" s="26">
        <v>7000</v>
      </c>
      <c r="M3001" s="26">
        <v>15</v>
      </c>
      <c r="N3001" s="25">
        <f t="shared" si="93"/>
        <v>105000</v>
      </c>
      <c r="O3001" s="56"/>
    </row>
    <row r="3002" spans="1:15" hidden="1" x14ac:dyDescent="0.3">
      <c r="A3002" s="26">
        <v>32</v>
      </c>
      <c r="B3002" s="20" t="str">
        <f t="shared" si="92"/>
        <v>AUG</v>
      </c>
      <c r="C3002" s="21">
        <v>46241</v>
      </c>
      <c r="D3002" s="22" t="s">
        <v>75</v>
      </c>
      <c r="E3002" s="20" t="str">
        <f>IFERROR(VLOOKUP(I3002,KET!$B:$F,4,0),"")</f>
        <v>AFNITA SARI</v>
      </c>
      <c r="F3002" s="20" t="s">
        <v>78</v>
      </c>
      <c r="G3002" s="20">
        <f>IFERROR(INDEX('Kode Outlet dan Target Toko'!$C:$C,MATCH($I3002,'Kode Outlet dan Target Toko'!$E:$E,0)),0)</f>
        <v>122506</v>
      </c>
      <c r="H3002" s="20">
        <f>IFERROR(INDEX('Kode Outlet dan Target Toko'!$D:$D,MATCH($I3002,'Kode Outlet dan Target Toko'!$E:$E,0)),0)</f>
        <v>214300</v>
      </c>
      <c r="I3002" s="42" t="s">
        <v>73</v>
      </c>
      <c r="J3002" s="56" t="s">
        <v>292</v>
      </c>
      <c r="K3002" s="40" t="s">
        <v>16</v>
      </c>
      <c r="L3002" s="26">
        <v>7000</v>
      </c>
      <c r="M3002" s="26">
        <v>22</v>
      </c>
      <c r="N3002" s="25">
        <f t="shared" si="93"/>
        <v>154000</v>
      </c>
      <c r="O3002" s="56">
        <v>160</v>
      </c>
    </row>
    <row r="3003" spans="1:15" hidden="1" x14ac:dyDescent="0.3">
      <c r="A3003" s="26">
        <v>32</v>
      </c>
      <c r="B3003" s="20" t="str">
        <f t="shared" si="92"/>
        <v>AUG</v>
      </c>
      <c r="C3003" s="21">
        <v>46241</v>
      </c>
      <c r="D3003" s="22" t="s">
        <v>79</v>
      </c>
      <c r="E3003" s="20" t="str">
        <f>IFERROR(VLOOKUP(I3003,KET!$B:$F,4,0),"")</f>
        <v>AFNITA SARI</v>
      </c>
      <c r="F3003" s="20" t="s">
        <v>78</v>
      </c>
      <c r="G3003" s="20">
        <f>IFERROR(INDEX('Kode Outlet dan Target Toko'!$C:$C,MATCH($I3003,'Kode Outlet dan Target Toko'!$E:$E,0)),0)</f>
        <v>175700</v>
      </c>
      <c r="H3003" s="20">
        <f>IFERROR(INDEX('Kode Outlet dan Target Toko'!$D:$D,MATCH($I3003,'Kode Outlet dan Target Toko'!$E:$E,0)),0)</f>
        <v>1370001</v>
      </c>
      <c r="I3003" s="42" t="s">
        <v>74</v>
      </c>
      <c r="J3003" s="56" t="s">
        <v>297</v>
      </c>
      <c r="K3003" s="40" t="s">
        <v>15</v>
      </c>
      <c r="L3003" s="26">
        <v>2210</v>
      </c>
      <c r="M3003" s="26">
        <v>40</v>
      </c>
      <c r="N3003" s="25">
        <f t="shared" si="93"/>
        <v>88400</v>
      </c>
      <c r="O3003" s="56"/>
    </row>
    <row r="3004" spans="1:15" hidden="1" x14ac:dyDescent="0.3">
      <c r="A3004" s="26">
        <v>32</v>
      </c>
      <c r="B3004" s="20" t="str">
        <f t="shared" si="92"/>
        <v>AUG</v>
      </c>
      <c r="C3004" s="21">
        <v>46241</v>
      </c>
      <c r="D3004" s="22" t="s">
        <v>79</v>
      </c>
      <c r="E3004" s="20" t="str">
        <f>IFERROR(VLOOKUP(I3004,KET!$B:$F,4,0),"")</f>
        <v>AFNITA SARI</v>
      </c>
      <c r="F3004" s="20" t="s">
        <v>78</v>
      </c>
      <c r="G3004" s="20">
        <f>IFERROR(INDEX('Kode Outlet dan Target Toko'!$C:$C,MATCH($I3004,'Kode Outlet dan Target Toko'!$E:$E,0)),0)</f>
        <v>175700</v>
      </c>
      <c r="H3004" s="20">
        <f>IFERROR(INDEX('Kode Outlet dan Target Toko'!$D:$D,MATCH($I3004,'Kode Outlet dan Target Toko'!$E:$E,0)),0)</f>
        <v>1370001</v>
      </c>
      <c r="I3004" s="42" t="s">
        <v>74</v>
      </c>
      <c r="J3004" s="56" t="s">
        <v>297</v>
      </c>
      <c r="K3004" s="40" t="s">
        <v>14</v>
      </c>
      <c r="L3004" s="26">
        <v>2210</v>
      </c>
      <c r="M3004" s="26">
        <v>60</v>
      </c>
      <c r="N3004" s="25">
        <f t="shared" si="93"/>
        <v>132600</v>
      </c>
      <c r="O3004" s="56"/>
    </row>
    <row r="3005" spans="1:15" hidden="1" x14ac:dyDescent="0.3">
      <c r="A3005" s="26">
        <v>32</v>
      </c>
      <c r="B3005" s="20" t="str">
        <f t="shared" si="92"/>
        <v>AUG</v>
      </c>
      <c r="C3005" s="21">
        <v>46241</v>
      </c>
      <c r="D3005" s="22" t="s">
        <v>79</v>
      </c>
      <c r="E3005" s="20" t="str">
        <f>IFERROR(VLOOKUP(I3005,KET!$B:$F,4,0),"")</f>
        <v>AFNITA SARI</v>
      </c>
      <c r="F3005" s="20" t="s">
        <v>78</v>
      </c>
      <c r="G3005" s="20">
        <f>IFERROR(INDEX('Kode Outlet dan Target Toko'!$C:$C,MATCH($I3005,'Kode Outlet dan Target Toko'!$E:$E,0)),0)</f>
        <v>175700</v>
      </c>
      <c r="H3005" s="20">
        <f>IFERROR(INDEX('Kode Outlet dan Target Toko'!$D:$D,MATCH($I3005,'Kode Outlet dan Target Toko'!$E:$E,0)),0)</f>
        <v>1370001</v>
      </c>
      <c r="I3005" s="42" t="s">
        <v>74</v>
      </c>
      <c r="J3005" s="56" t="s">
        <v>297</v>
      </c>
      <c r="K3005" s="40" t="s">
        <v>13</v>
      </c>
      <c r="L3005" s="26">
        <v>2210</v>
      </c>
      <c r="M3005" s="26">
        <v>40</v>
      </c>
      <c r="N3005" s="25">
        <f t="shared" si="93"/>
        <v>88400</v>
      </c>
      <c r="O3005" s="56"/>
    </row>
    <row r="3006" spans="1:15" hidden="1" x14ac:dyDescent="0.3">
      <c r="A3006" s="26">
        <v>32</v>
      </c>
      <c r="B3006" s="20" t="str">
        <f t="shared" si="92"/>
        <v>AUG</v>
      </c>
      <c r="C3006" s="21">
        <v>46241</v>
      </c>
      <c r="D3006" s="22" t="s">
        <v>79</v>
      </c>
      <c r="E3006" s="20" t="str">
        <f>IFERROR(VLOOKUP(I3006,KET!$B:$F,4,0),"")</f>
        <v>AFNITA SARI</v>
      </c>
      <c r="F3006" s="20" t="s">
        <v>78</v>
      </c>
      <c r="G3006" s="20">
        <f>IFERROR(INDEX('Kode Outlet dan Target Toko'!$C:$C,MATCH($I3006,'Kode Outlet dan Target Toko'!$E:$E,0)),0)</f>
        <v>175700</v>
      </c>
      <c r="H3006" s="20">
        <f>IFERROR(INDEX('Kode Outlet dan Target Toko'!$D:$D,MATCH($I3006,'Kode Outlet dan Target Toko'!$E:$E,0)),0)</f>
        <v>1370001</v>
      </c>
      <c r="I3006" s="42" t="s">
        <v>74</v>
      </c>
      <c r="J3006" s="56" t="s">
        <v>297</v>
      </c>
      <c r="K3006" s="40" t="s">
        <v>16</v>
      </c>
      <c r="L3006" s="26">
        <v>2210</v>
      </c>
      <c r="M3006" s="26">
        <v>60</v>
      </c>
      <c r="N3006" s="25">
        <f t="shared" si="93"/>
        <v>132600</v>
      </c>
      <c r="O3006" s="56">
        <v>78</v>
      </c>
    </row>
    <row r="3007" spans="1:15" hidden="1" x14ac:dyDescent="0.3">
      <c r="A3007" s="26">
        <v>32</v>
      </c>
      <c r="B3007" s="20" t="str">
        <f t="shared" si="92"/>
        <v>AUG</v>
      </c>
      <c r="C3007" s="21">
        <v>46241</v>
      </c>
      <c r="D3007" s="22" t="s">
        <v>79</v>
      </c>
      <c r="E3007" s="20" t="str">
        <f>IFERROR(VLOOKUP(I3007,KET!$B:$F,4,0),"")</f>
        <v>AFNITA SARI</v>
      </c>
      <c r="F3007" s="20" t="s">
        <v>78</v>
      </c>
      <c r="G3007" s="20">
        <f>IFERROR(INDEX('Kode Outlet dan Target Toko'!$C:$C,MATCH($I3007,'Kode Outlet dan Target Toko'!$E:$E,0)),0)</f>
        <v>175700</v>
      </c>
      <c r="H3007" s="20">
        <f>IFERROR(INDEX('Kode Outlet dan Target Toko'!$D:$D,MATCH($I3007,'Kode Outlet dan Target Toko'!$E:$E,0)),0)</f>
        <v>1370001</v>
      </c>
      <c r="I3007" s="42" t="s">
        <v>74</v>
      </c>
      <c r="J3007" s="56" t="s">
        <v>298</v>
      </c>
      <c r="K3007" s="40" t="s">
        <v>15</v>
      </c>
      <c r="L3007" s="26">
        <v>2210</v>
      </c>
      <c r="M3007" s="26">
        <v>40</v>
      </c>
      <c r="N3007" s="25">
        <f t="shared" si="93"/>
        <v>88400</v>
      </c>
      <c r="O3007" s="56"/>
    </row>
    <row r="3008" spans="1:15" hidden="1" x14ac:dyDescent="0.3">
      <c r="A3008" s="26">
        <v>32</v>
      </c>
      <c r="B3008" s="20" t="str">
        <f t="shared" si="92"/>
        <v>AUG</v>
      </c>
      <c r="C3008" s="21">
        <v>46241</v>
      </c>
      <c r="D3008" s="22" t="s">
        <v>79</v>
      </c>
      <c r="E3008" s="20" t="str">
        <f>IFERROR(VLOOKUP(I3008,KET!$B:$F,4,0),"")</f>
        <v>AFNITA SARI</v>
      </c>
      <c r="F3008" s="20" t="s">
        <v>78</v>
      </c>
      <c r="G3008" s="20">
        <f>IFERROR(INDEX('Kode Outlet dan Target Toko'!$C:$C,MATCH($I3008,'Kode Outlet dan Target Toko'!$E:$E,0)),0)</f>
        <v>175700</v>
      </c>
      <c r="H3008" s="20">
        <f>IFERROR(INDEX('Kode Outlet dan Target Toko'!$D:$D,MATCH($I3008,'Kode Outlet dan Target Toko'!$E:$E,0)),0)</f>
        <v>1370001</v>
      </c>
      <c r="I3008" s="42" t="s">
        <v>74</v>
      </c>
      <c r="J3008" s="56" t="s">
        <v>298</v>
      </c>
      <c r="K3008" s="40" t="s">
        <v>14</v>
      </c>
      <c r="L3008" s="26">
        <v>2210</v>
      </c>
      <c r="M3008" s="26">
        <v>60</v>
      </c>
      <c r="N3008" s="25">
        <f t="shared" si="93"/>
        <v>132600</v>
      </c>
      <c r="O3008" s="56"/>
    </row>
    <row r="3009" spans="1:15" hidden="1" x14ac:dyDescent="0.3">
      <c r="A3009" s="26">
        <v>32</v>
      </c>
      <c r="B3009" s="20" t="str">
        <f t="shared" si="92"/>
        <v>AUG</v>
      </c>
      <c r="C3009" s="21">
        <v>46241</v>
      </c>
      <c r="D3009" s="22" t="s">
        <v>79</v>
      </c>
      <c r="E3009" s="20" t="str">
        <f>IFERROR(VLOOKUP(I3009,KET!$B:$F,4,0),"")</f>
        <v>AFNITA SARI</v>
      </c>
      <c r="F3009" s="20" t="s">
        <v>78</v>
      </c>
      <c r="G3009" s="20">
        <f>IFERROR(INDEX('Kode Outlet dan Target Toko'!$C:$C,MATCH($I3009,'Kode Outlet dan Target Toko'!$E:$E,0)),0)</f>
        <v>175700</v>
      </c>
      <c r="H3009" s="20">
        <f>IFERROR(INDEX('Kode Outlet dan Target Toko'!$D:$D,MATCH($I3009,'Kode Outlet dan Target Toko'!$E:$E,0)),0)</f>
        <v>1370001</v>
      </c>
      <c r="I3009" s="42" t="s">
        <v>74</v>
      </c>
      <c r="J3009" s="56" t="s">
        <v>298</v>
      </c>
      <c r="K3009" s="40" t="s">
        <v>13</v>
      </c>
      <c r="L3009" s="26">
        <v>2210</v>
      </c>
      <c r="M3009" s="26">
        <v>40</v>
      </c>
      <c r="N3009" s="25">
        <f t="shared" si="93"/>
        <v>88400</v>
      </c>
      <c r="O3009" s="56"/>
    </row>
    <row r="3010" spans="1:15" hidden="1" x14ac:dyDescent="0.3">
      <c r="A3010" s="26">
        <v>32</v>
      </c>
      <c r="B3010" s="20" t="str">
        <f t="shared" si="92"/>
        <v>AUG</v>
      </c>
      <c r="C3010" s="21">
        <v>46241</v>
      </c>
      <c r="D3010" s="22" t="s">
        <v>79</v>
      </c>
      <c r="E3010" s="20" t="str">
        <f>IFERROR(VLOOKUP(I3010,KET!$B:$F,4,0),"")</f>
        <v>AFNITA SARI</v>
      </c>
      <c r="F3010" s="20" t="s">
        <v>78</v>
      </c>
      <c r="G3010" s="20">
        <f>IFERROR(INDEX('Kode Outlet dan Target Toko'!$C:$C,MATCH($I3010,'Kode Outlet dan Target Toko'!$E:$E,0)),0)</f>
        <v>175700</v>
      </c>
      <c r="H3010" s="20">
        <f>IFERROR(INDEX('Kode Outlet dan Target Toko'!$D:$D,MATCH($I3010,'Kode Outlet dan Target Toko'!$E:$E,0)),0)</f>
        <v>1370001</v>
      </c>
      <c r="I3010" s="42" t="s">
        <v>74</v>
      </c>
      <c r="J3010" s="56" t="s">
        <v>298</v>
      </c>
      <c r="K3010" s="40" t="s">
        <v>16</v>
      </c>
      <c r="L3010" s="26">
        <v>2210</v>
      </c>
      <c r="M3010" s="26">
        <v>60</v>
      </c>
      <c r="N3010" s="25">
        <f t="shared" si="93"/>
        <v>132600</v>
      </c>
      <c r="O3010" s="56">
        <v>78</v>
      </c>
    </row>
    <row r="3011" spans="1:15" hidden="1" x14ac:dyDescent="0.3">
      <c r="A3011" s="26">
        <v>32</v>
      </c>
      <c r="B3011" s="20" t="str">
        <f t="shared" si="92"/>
        <v>AUG</v>
      </c>
      <c r="C3011" s="21">
        <v>46241</v>
      </c>
      <c r="D3011" s="22" t="s">
        <v>75</v>
      </c>
      <c r="E3011" s="20" t="str">
        <f>IFERROR(VLOOKUP(I3011,KET!$B:$F,4,0),"")</f>
        <v>AFNITA SARI</v>
      </c>
      <c r="F3011" s="20" t="s">
        <v>78</v>
      </c>
      <c r="G3011" s="20">
        <f>IFERROR(INDEX('Kode Outlet dan Target Toko'!$C:$C,MATCH($I3011,'Kode Outlet dan Target Toko'!$E:$E,0)),0)</f>
        <v>122506</v>
      </c>
      <c r="H3011" s="20">
        <f>IFERROR(INDEX('Kode Outlet dan Target Toko'!$D:$D,MATCH($I3011,'Kode Outlet dan Target Toko'!$E:$E,0)),0)</f>
        <v>214422</v>
      </c>
      <c r="I3011" s="42" t="s">
        <v>72</v>
      </c>
      <c r="J3011" s="56" t="s">
        <v>293</v>
      </c>
      <c r="K3011" s="40" t="s">
        <v>15</v>
      </c>
      <c r="L3011" s="26">
        <v>6400</v>
      </c>
      <c r="M3011" s="26">
        <v>40</v>
      </c>
      <c r="N3011" s="25">
        <f t="shared" si="93"/>
        <v>256000</v>
      </c>
      <c r="O3011" s="56"/>
    </row>
    <row r="3012" spans="1:15" hidden="1" x14ac:dyDescent="0.3">
      <c r="A3012" s="26">
        <v>32</v>
      </c>
      <c r="B3012" s="20" t="str">
        <f t="shared" si="92"/>
        <v>AUG</v>
      </c>
      <c r="C3012" s="21">
        <v>46241</v>
      </c>
      <c r="D3012" s="22" t="s">
        <v>75</v>
      </c>
      <c r="E3012" s="20" t="str">
        <f>IFERROR(VLOOKUP(I3012,KET!$B:$F,4,0),"")</f>
        <v>AFNITA SARI</v>
      </c>
      <c r="F3012" s="20" t="s">
        <v>78</v>
      </c>
      <c r="G3012" s="20">
        <f>IFERROR(INDEX('Kode Outlet dan Target Toko'!$C:$C,MATCH($I3012,'Kode Outlet dan Target Toko'!$E:$E,0)),0)</f>
        <v>122506</v>
      </c>
      <c r="H3012" s="20">
        <f>IFERROR(INDEX('Kode Outlet dan Target Toko'!$D:$D,MATCH($I3012,'Kode Outlet dan Target Toko'!$E:$E,0)),0)</f>
        <v>214422</v>
      </c>
      <c r="I3012" s="42" t="s">
        <v>72</v>
      </c>
      <c r="J3012" s="56" t="s">
        <v>293</v>
      </c>
      <c r="K3012" s="40" t="s">
        <v>14</v>
      </c>
      <c r="L3012" s="26">
        <v>6400</v>
      </c>
      <c r="M3012" s="26">
        <v>42</v>
      </c>
      <c r="N3012" s="25">
        <f t="shared" si="93"/>
        <v>268800</v>
      </c>
      <c r="O3012" s="56"/>
    </row>
    <row r="3013" spans="1:15" hidden="1" x14ac:dyDescent="0.3">
      <c r="A3013" s="26">
        <v>32</v>
      </c>
      <c r="B3013" s="20" t="str">
        <f t="shared" si="92"/>
        <v>AUG</v>
      </c>
      <c r="C3013" s="21">
        <v>46241</v>
      </c>
      <c r="D3013" s="22" t="s">
        <v>75</v>
      </c>
      <c r="E3013" s="20" t="str">
        <f>IFERROR(VLOOKUP(I3013,KET!$B:$F,4,0),"")</f>
        <v>AFNITA SARI</v>
      </c>
      <c r="F3013" s="20" t="s">
        <v>78</v>
      </c>
      <c r="G3013" s="20">
        <f>IFERROR(INDEX('Kode Outlet dan Target Toko'!$C:$C,MATCH($I3013,'Kode Outlet dan Target Toko'!$E:$E,0)),0)</f>
        <v>122506</v>
      </c>
      <c r="H3013" s="20">
        <f>IFERROR(INDEX('Kode Outlet dan Target Toko'!$D:$D,MATCH($I3013,'Kode Outlet dan Target Toko'!$E:$E,0)),0)</f>
        <v>214422</v>
      </c>
      <c r="I3013" s="42" t="s">
        <v>72</v>
      </c>
      <c r="J3013" s="56" t="s">
        <v>293</v>
      </c>
      <c r="K3013" s="40" t="s">
        <v>13</v>
      </c>
      <c r="L3013" s="26">
        <v>6400</v>
      </c>
      <c r="M3013" s="26">
        <v>20</v>
      </c>
      <c r="N3013" s="25">
        <f t="shared" si="93"/>
        <v>128000</v>
      </c>
      <c r="O3013" s="56"/>
    </row>
    <row r="3014" spans="1:15" hidden="1" x14ac:dyDescent="0.3">
      <c r="A3014" s="26">
        <v>32</v>
      </c>
      <c r="B3014" s="20" t="str">
        <f t="shared" si="92"/>
        <v>AUG</v>
      </c>
      <c r="C3014" s="21">
        <v>46241</v>
      </c>
      <c r="D3014" s="22" t="s">
        <v>75</v>
      </c>
      <c r="E3014" s="20" t="str">
        <f>IFERROR(VLOOKUP(I3014,KET!$B:$F,4,0),"")</f>
        <v>AFNITA SARI</v>
      </c>
      <c r="F3014" s="20" t="s">
        <v>78</v>
      </c>
      <c r="G3014" s="20">
        <f>IFERROR(INDEX('Kode Outlet dan Target Toko'!$C:$C,MATCH($I3014,'Kode Outlet dan Target Toko'!$E:$E,0)),0)</f>
        <v>122506</v>
      </c>
      <c r="H3014" s="20">
        <f>IFERROR(INDEX('Kode Outlet dan Target Toko'!$D:$D,MATCH($I3014,'Kode Outlet dan Target Toko'!$E:$E,0)),0)</f>
        <v>214422</v>
      </c>
      <c r="I3014" s="42" t="s">
        <v>72</v>
      </c>
      <c r="J3014" s="56" t="s">
        <v>293</v>
      </c>
      <c r="K3014" s="40" t="s">
        <v>16</v>
      </c>
      <c r="L3014" s="26">
        <v>6400</v>
      </c>
      <c r="M3014" s="26">
        <v>84</v>
      </c>
      <c r="N3014" s="25">
        <f t="shared" si="93"/>
        <v>537600</v>
      </c>
      <c r="O3014" s="56">
        <v>160</v>
      </c>
    </row>
    <row r="3015" spans="1:15" hidden="1" x14ac:dyDescent="0.3">
      <c r="A3015" s="26">
        <v>32</v>
      </c>
      <c r="B3015" s="20" t="str">
        <f t="shared" ref="B3015:B3078" si="94">IF(C3015="","",UPPER(TEXT(C3015, "MMM")))</f>
        <v>AUG</v>
      </c>
      <c r="C3015" s="21">
        <v>46241</v>
      </c>
      <c r="D3015" s="22" t="s">
        <v>75</v>
      </c>
      <c r="E3015" s="20" t="str">
        <f>IFERROR(VLOOKUP(I3015,KET!$B:$F,4,0),"")</f>
        <v>AFNITA SARI</v>
      </c>
      <c r="F3015" s="20" t="s">
        <v>78</v>
      </c>
      <c r="G3015" s="20">
        <f>IFERROR(INDEX('Kode Outlet dan Target Toko'!$C:$C,MATCH($I3015,'Kode Outlet dan Target Toko'!$E:$E,0)),0)</f>
        <v>122506</v>
      </c>
      <c r="H3015" s="20">
        <f>IFERROR(INDEX('Kode Outlet dan Target Toko'!$D:$D,MATCH($I3015,'Kode Outlet dan Target Toko'!$E:$E,0)),0)</f>
        <v>214422</v>
      </c>
      <c r="I3015" s="42" t="s">
        <v>72</v>
      </c>
      <c r="J3015" s="56" t="s">
        <v>294</v>
      </c>
      <c r="K3015" s="40" t="s">
        <v>15</v>
      </c>
      <c r="L3015" s="26">
        <v>6400</v>
      </c>
      <c r="M3015" s="26">
        <v>40</v>
      </c>
      <c r="N3015" s="25">
        <f t="shared" ref="N3015:N3078" si="95">IFERROR(M3015*L3015,"")</f>
        <v>256000</v>
      </c>
      <c r="O3015" s="56"/>
    </row>
    <row r="3016" spans="1:15" hidden="1" x14ac:dyDescent="0.3">
      <c r="A3016" s="26">
        <v>32</v>
      </c>
      <c r="B3016" s="20" t="str">
        <f t="shared" si="94"/>
        <v>AUG</v>
      </c>
      <c r="C3016" s="21">
        <v>46241</v>
      </c>
      <c r="D3016" s="22" t="s">
        <v>75</v>
      </c>
      <c r="E3016" s="20" t="str">
        <f>IFERROR(VLOOKUP(I3016,KET!$B:$F,4,0),"")</f>
        <v>AFNITA SARI</v>
      </c>
      <c r="F3016" s="20" t="s">
        <v>78</v>
      </c>
      <c r="G3016" s="20">
        <f>IFERROR(INDEX('Kode Outlet dan Target Toko'!$C:$C,MATCH($I3016,'Kode Outlet dan Target Toko'!$E:$E,0)),0)</f>
        <v>122506</v>
      </c>
      <c r="H3016" s="20">
        <f>IFERROR(INDEX('Kode Outlet dan Target Toko'!$D:$D,MATCH($I3016,'Kode Outlet dan Target Toko'!$E:$E,0)),0)</f>
        <v>214422</v>
      </c>
      <c r="I3016" s="42" t="s">
        <v>72</v>
      </c>
      <c r="J3016" s="56" t="s">
        <v>294</v>
      </c>
      <c r="K3016" s="40" t="s">
        <v>14</v>
      </c>
      <c r="L3016" s="26">
        <v>6400</v>
      </c>
      <c r="M3016" s="26">
        <v>42</v>
      </c>
      <c r="N3016" s="25">
        <f t="shared" si="95"/>
        <v>268800</v>
      </c>
      <c r="O3016" s="56"/>
    </row>
    <row r="3017" spans="1:15" hidden="1" x14ac:dyDescent="0.3">
      <c r="A3017" s="26">
        <v>32</v>
      </c>
      <c r="B3017" s="20" t="str">
        <f t="shared" si="94"/>
        <v>AUG</v>
      </c>
      <c r="C3017" s="21">
        <v>46241</v>
      </c>
      <c r="D3017" s="22" t="s">
        <v>75</v>
      </c>
      <c r="E3017" s="20" t="str">
        <f>IFERROR(VLOOKUP(I3017,KET!$B:$F,4,0),"")</f>
        <v>AFNITA SARI</v>
      </c>
      <c r="F3017" s="20" t="s">
        <v>78</v>
      </c>
      <c r="G3017" s="20">
        <f>IFERROR(INDEX('Kode Outlet dan Target Toko'!$C:$C,MATCH($I3017,'Kode Outlet dan Target Toko'!$E:$E,0)),0)</f>
        <v>122506</v>
      </c>
      <c r="H3017" s="20">
        <f>IFERROR(INDEX('Kode Outlet dan Target Toko'!$D:$D,MATCH($I3017,'Kode Outlet dan Target Toko'!$E:$E,0)),0)</f>
        <v>214422</v>
      </c>
      <c r="I3017" s="42" t="s">
        <v>72</v>
      </c>
      <c r="J3017" s="56" t="s">
        <v>294</v>
      </c>
      <c r="K3017" s="40" t="s">
        <v>13</v>
      </c>
      <c r="L3017" s="26">
        <v>6400</v>
      </c>
      <c r="M3017" s="26">
        <v>20</v>
      </c>
      <c r="N3017" s="25">
        <f t="shared" si="95"/>
        <v>128000</v>
      </c>
      <c r="O3017" s="56"/>
    </row>
    <row r="3018" spans="1:15" hidden="1" x14ac:dyDescent="0.3">
      <c r="A3018" s="26">
        <v>32</v>
      </c>
      <c r="B3018" s="20" t="str">
        <f t="shared" si="94"/>
        <v>AUG</v>
      </c>
      <c r="C3018" s="21">
        <v>46241</v>
      </c>
      <c r="D3018" s="22" t="s">
        <v>75</v>
      </c>
      <c r="E3018" s="20" t="str">
        <f>IFERROR(VLOOKUP(I3018,KET!$B:$F,4,0),"")</f>
        <v>AFNITA SARI</v>
      </c>
      <c r="F3018" s="20" t="s">
        <v>78</v>
      </c>
      <c r="G3018" s="20">
        <f>IFERROR(INDEX('Kode Outlet dan Target Toko'!$C:$C,MATCH($I3018,'Kode Outlet dan Target Toko'!$E:$E,0)),0)</f>
        <v>122506</v>
      </c>
      <c r="H3018" s="20">
        <f>IFERROR(INDEX('Kode Outlet dan Target Toko'!$D:$D,MATCH($I3018,'Kode Outlet dan Target Toko'!$E:$E,0)),0)</f>
        <v>214422</v>
      </c>
      <c r="I3018" s="42" t="s">
        <v>72</v>
      </c>
      <c r="J3018" s="56" t="s">
        <v>294</v>
      </c>
      <c r="K3018" s="40" t="s">
        <v>16</v>
      </c>
      <c r="L3018" s="26">
        <v>6400</v>
      </c>
      <c r="M3018" s="26">
        <v>84</v>
      </c>
      <c r="N3018" s="25">
        <f t="shared" si="95"/>
        <v>537600</v>
      </c>
      <c r="O3018" s="56">
        <v>160</v>
      </c>
    </row>
    <row r="3019" spans="1:15" hidden="1" x14ac:dyDescent="0.3">
      <c r="A3019" s="26">
        <v>32</v>
      </c>
      <c r="B3019" s="20" t="str">
        <f t="shared" si="94"/>
        <v>AUG</v>
      </c>
      <c r="C3019" s="21">
        <v>46242</v>
      </c>
      <c r="D3019" s="22" t="s">
        <v>79</v>
      </c>
      <c r="E3019" s="20" t="str">
        <f>IFERROR(VLOOKUP(I3019,KET!$B:$F,4,0),"")</f>
        <v>AFNITA SARI</v>
      </c>
      <c r="F3019" s="20" t="s">
        <v>78</v>
      </c>
      <c r="G3019" s="20">
        <f>IFERROR(INDEX('Kode Outlet dan Target Toko'!$C:$C,MATCH($I3019,'Kode Outlet dan Target Toko'!$E:$E,0)),0)</f>
        <v>175700</v>
      </c>
      <c r="H3019" s="20">
        <f>IFERROR(INDEX('Kode Outlet dan Target Toko'!$D:$D,MATCH($I3019,'Kode Outlet dan Target Toko'!$E:$E,0)),0)</f>
        <v>1370001</v>
      </c>
      <c r="I3019" s="42" t="s">
        <v>74</v>
      </c>
      <c r="J3019" s="56" t="s">
        <v>297</v>
      </c>
      <c r="K3019" s="40" t="s">
        <v>15</v>
      </c>
      <c r="L3019" s="26">
        <v>2210</v>
      </c>
      <c r="M3019" s="26">
        <v>90</v>
      </c>
      <c r="N3019" s="25">
        <f t="shared" si="95"/>
        <v>198900</v>
      </c>
      <c r="O3019" s="56"/>
    </row>
    <row r="3020" spans="1:15" hidden="1" x14ac:dyDescent="0.3">
      <c r="A3020" s="26">
        <v>32</v>
      </c>
      <c r="B3020" s="20" t="str">
        <f t="shared" si="94"/>
        <v>AUG</v>
      </c>
      <c r="C3020" s="21">
        <v>46242</v>
      </c>
      <c r="D3020" s="22" t="s">
        <v>79</v>
      </c>
      <c r="E3020" s="20" t="str">
        <f>IFERROR(VLOOKUP(I3020,KET!$B:$F,4,0),"")</f>
        <v>AFNITA SARI</v>
      </c>
      <c r="F3020" s="20" t="s">
        <v>78</v>
      </c>
      <c r="G3020" s="20">
        <f>IFERROR(INDEX('Kode Outlet dan Target Toko'!$C:$C,MATCH($I3020,'Kode Outlet dan Target Toko'!$E:$E,0)),0)</f>
        <v>175700</v>
      </c>
      <c r="H3020" s="20">
        <f>IFERROR(INDEX('Kode Outlet dan Target Toko'!$D:$D,MATCH($I3020,'Kode Outlet dan Target Toko'!$E:$E,0)),0)</f>
        <v>1370001</v>
      </c>
      <c r="I3020" s="42" t="s">
        <v>74</v>
      </c>
      <c r="J3020" s="56" t="s">
        <v>297</v>
      </c>
      <c r="K3020" s="40" t="s">
        <v>14</v>
      </c>
      <c r="L3020" s="26">
        <v>2210</v>
      </c>
      <c r="M3020" s="26">
        <v>40</v>
      </c>
      <c r="N3020" s="25">
        <f t="shared" si="95"/>
        <v>88400</v>
      </c>
      <c r="O3020" s="56"/>
    </row>
    <row r="3021" spans="1:15" hidden="1" x14ac:dyDescent="0.3">
      <c r="A3021" s="26">
        <v>32</v>
      </c>
      <c r="B3021" s="20" t="str">
        <f t="shared" si="94"/>
        <v>AUG</v>
      </c>
      <c r="C3021" s="21">
        <v>46242</v>
      </c>
      <c r="D3021" s="22" t="s">
        <v>79</v>
      </c>
      <c r="E3021" s="20" t="str">
        <f>IFERROR(VLOOKUP(I3021,KET!$B:$F,4,0),"")</f>
        <v>AFNITA SARI</v>
      </c>
      <c r="F3021" s="20" t="s">
        <v>78</v>
      </c>
      <c r="G3021" s="20">
        <f>IFERROR(INDEX('Kode Outlet dan Target Toko'!$C:$C,MATCH($I3021,'Kode Outlet dan Target Toko'!$E:$E,0)),0)</f>
        <v>175700</v>
      </c>
      <c r="H3021" s="20">
        <f>IFERROR(INDEX('Kode Outlet dan Target Toko'!$D:$D,MATCH($I3021,'Kode Outlet dan Target Toko'!$E:$E,0)),0)</f>
        <v>1370001</v>
      </c>
      <c r="I3021" s="42" t="s">
        <v>74</v>
      </c>
      <c r="J3021" s="56" t="s">
        <v>297</v>
      </c>
      <c r="K3021" s="40" t="s">
        <v>13</v>
      </c>
      <c r="L3021" s="26">
        <v>2210</v>
      </c>
      <c r="M3021" s="26">
        <v>43</v>
      </c>
      <c r="N3021" s="25">
        <f t="shared" si="95"/>
        <v>95030</v>
      </c>
      <c r="O3021" s="56"/>
    </row>
    <row r="3022" spans="1:15" hidden="1" x14ac:dyDescent="0.3">
      <c r="A3022" s="26">
        <v>32</v>
      </c>
      <c r="B3022" s="20" t="str">
        <f t="shared" si="94"/>
        <v>AUG</v>
      </c>
      <c r="C3022" s="21">
        <v>46242</v>
      </c>
      <c r="D3022" s="22" t="s">
        <v>79</v>
      </c>
      <c r="E3022" s="20" t="str">
        <f>IFERROR(VLOOKUP(I3022,KET!$B:$F,4,0),"")</f>
        <v>AFNITA SARI</v>
      </c>
      <c r="F3022" s="20" t="s">
        <v>78</v>
      </c>
      <c r="G3022" s="20">
        <f>IFERROR(INDEX('Kode Outlet dan Target Toko'!$C:$C,MATCH($I3022,'Kode Outlet dan Target Toko'!$E:$E,0)),0)</f>
        <v>175700</v>
      </c>
      <c r="H3022" s="20">
        <f>IFERROR(INDEX('Kode Outlet dan Target Toko'!$D:$D,MATCH($I3022,'Kode Outlet dan Target Toko'!$E:$E,0)),0)</f>
        <v>1370001</v>
      </c>
      <c r="I3022" s="42" t="s">
        <v>74</v>
      </c>
      <c r="J3022" s="56" t="s">
        <v>297</v>
      </c>
      <c r="K3022" s="40" t="s">
        <v>16</v>
      </c>
      <c r="L3022" s="26">
        <v>2210</v>
      </c>
      <c r="M3022" s="26">
        <v>60</v>
      </c>
      <c r="N3022" s="25">
        <f t="shared" si="95"/>
        <v>132600</v>
      </c>
      <c r="O3022" s="56">
        <v>90</v>
      </c>
    </row>
    <row r="3023" spans="1:15" hidden="1" x14ac:dyDescent="0.3">
      <c r="A3023" s="26">
        <v>32</v>
      </c>
      <c r="B3023" s="20" t="str">
        <f t="shared" si="94"/>
        <v>AUG</v>
      </c>
      <c r="C3023" s="21">
        <v>46242</v>
      </c>
      <c r="D3023" s="22" t="s">
        <v>79</v>
      </c>
      <c r="E3023" s="20" t="str">
        <f>IFERROR(VLOOKUP(I3023,KET!$B:$F,4,0),"")</f>
        <v>AFNITA SARI</v>
      </c>
      <c r="F3023" s="20" t="s">
        <v>78</v>
      </c>
      <c r="G3023" s="20">
        <f>IFERROR(INDEX('Kode Outlet dan Target Toko'!$C:$C,MATCH($I3023,'Kode Outlet dan Target Toko'!$E:$E,0)),0)</f>
        <v>175700</v>
      </c>
      <c r="H3023" s="20">
        <f>IFERROR(INDEX('Kode Outlet dan Target Toko'!$D:$D,MATCH($I3023,'Kode Outlet dan Target Toko'!$E:$E,0)),0)</f>
        <v>1370001</v>
      </c>
      <c r="I3023" s="42" t="s">
        <v>74</v>
      </c>
      <c r="J3023" s="56" t="s">
        <v>298</v>
      </c>
      <c r="K3023" s="40" t="s">
        <v>15</v>
      </c>
      <c r="L3023" s="26">
        <v>2210</v>
      </c>
      <c r="M3023" s="26">
        <v>90</v>
      </c>
      <c r="N3023" s="25">
        <f t="shared" si="95"/>
        <v>198900</v>
      </c>
      <c r="O3023" s="56"/>
    </row>
    <row r="3024" spans="1:15" hidden="1" x14ac:dyDescent="0.3">
      <c r="A3024" s="26">
        <v>32</v>
      </c>
      <c r="B3024" s="20" t="str">
        <f t="shared" si="94"/>
        <v>AUG</v>
      </c>
      <c r="C3024" s="21">
        <v>46242</v>
      </c>
      <c r="D3024" s="22" t="s">
        <v>79</v>
      </c>
      <c r="E3024" s="20" t="str">
        <f>IFERROR(VLOOKUP(I3024,KET!$B:$F,4,0),"")</f>
        <v>AFNITA SARI</v>
      </c>
      <c r="F3024" s="20" t="s">
        <v>78</v>
      </c>
      <c r="G3024" s="20">
        <f>IFERROR(INDEX('Kode Outlet dan Target Toko'!$C:$C,MATCH($I3024,'Kode Outlet dan Target Toko'!$E:$E,0)),0)</f>
        <v>175700</v>
      </c>
      <c r="H3024" s="20">
        <f>IFERROR(INDEX('Kode Outlet dan Target Toko'!$D:$D,MATCH($I3024,'Kode Outlet dan Target Toko'!$E:$E,0)),0)</f>
        <v>1370001</v>
      </c>
      <c r="I3024" s="42" t="s">
        <v>74</v>
      </c>
      <c r="J3024" s="56" t="s">
        <v>298</v>
      </c>
      <c r="K3024" s="40" t="s">
        <v>14</v>
      </c>
      <c r="L3024" s="26">
        <v>2210</v>
      </c>
      <c r="M3024" s="26">
        <v>40</v>
      </c>
      <c r="N3024" s="25">
        <f t="shared" si="95"/>
        <v>88400</v>
      </c>
      <c r="O3024" s="56"/>
    </row>
    <row r="3025" spans="1:15" hidden="1" x14ac:dyDescent="0.3">
      <c r="A3025" s="26">
        <v>32</v>
      </c>
      <c r="B3025" s="20" t="str">
        <f t="shared" si="94"/>
        <v>AUG</v>
      </c>
      <c r="C3025" s="21">
        <v>46242</v>
      </c>
      <c r="D3025" s="22" t="s">
        <v>79</v>
      </c>
      <c r="E3025" s="20" t="str">
        <f>IFERROR(VLOOKUP(I3025,KET!$B:$F,4,0),"")</f>
        <v>AFNITA SARI</v>
      </c>
      <c r="F3025" s="20" t="s">
        <v>78</v>
      </c>
      <c r="G3025" s="20">
        <f>IFERROR(INDEX('Kode Outlet dan Target Toko'!$C:$C,MATCH($I3025,'Kode Outlet dan Target Toko'!$E:$E,0)),0)</f>
        <v>175700</v>
      </c>
      <c r="H3025" s="20">
        <f>IFERROR(INDEX('Kode Outlet dan Target Toko'!$D:$D,MATCH($I3025,'Kode Outlet dan Target Toko'!$E:$E,0)),0)</f>
        <v>1370001</v>
      </c>
      <c r="I3025" s="42" t="s">
        <v>74</v>
      </c>
      <c r="J3025" s="56" t="s">
        <v>298</v>
      </c>
      <c r="K3025" s="40" t="s">
        <v>13</v>
      </c>
      <c r="L3025" s="26">
        <v>2210</v>
      </c>
      <c r="M3025" s="26">
        <v>42</v>
      </c>
      <c r="N3025" s="25">
        <f t="shared" si="95"/>
        <v>92820</v>
      </c>
      <c r="O3025" s="56"/>
    </row>
    <row r="3026" spans="1:15" hidden="1" x14ac:dyDescent="0.3">
      <c r="A3026" s="26">
        <v>32</v>
      </c>
      <c r="B3026" s="20" t="str">
        <f t="shared" si="94"/>
        <v>AUG</v>
      </c>
      <c r="C3026" s="21">
        <v>46242</v>
      </c>
      <c r="D3026" s="22" t="s">
        <v>79</v>
      </c>
      <c r="E3026" s="20" t="str">
        <f>IFERROR(VLOOKUP(I3026,KET!$B:$F,4,0),"")</f>
        <v>AFNITA SARI</v>
      </c>
      <c r="F3026" s="20" t="s">
        <v>78</v>
      </c>
      <c r="G3026" s="20">
        <f>IFERROR(INDEX('Kode Outlet dan Target Toko'!$C:$C,MATCH($I3026,'Kode Outlet dan Target Toko'!$E:$E,0)),0)</f>
        <v>175700</v>
      </c>
      <c r="H3026" s="20">
        <f>IFERROR(INDEX('Kode Outlet dan Target Toko'!$D:$D,MATCH($I3026,'Kode Outlet dan Target Toko'!$E:$E,0)),0)</f>
        <v>1370001</v>
      </c>
      <c r="I3026" s="42" t="s">
        <v>74</v>
      </c>
      <c r="J3026" s="56" t="s">
        <v>298</v>
      </c>
      <c r="K3026" s="40" t="s">
        <v>16</v>
      </c>
      <c r="L3026" s="26">
        <v>2210</v>
      </c>
      <c r="M3026" s="26">
        <v>60</v>
      </c>
      <c r="N3026" s="25">
        <f t="shared" si="95"/>
        <v>132600</v>
      </c>
      <c r="O3026" s="56">
        <v>90</v>
      </c>
    </row>
    <row r="3027" spans="1:15" hidden="1" x14ac:dyDescent="0.3">
      <c r="A3027" s="26">
        <v>32</v>
      </c>
      <c r="B3027" s="20" t="str">
        <f t="shared" si="94"/>
        <v>AUG</v>
      </c>
      <c r="C3027" s="21">
        <v>46242</v>
      </c>
      <c r="D3027" s="22" t="s">
        <v>75</v>
      </c>
      <c r="E3027" s="20" t="str">
        <f>IFERROR(VLOOKUP(I3027,KET!$B:$F,4,0),"")</f>
        <v>AFNITA SARI</v>
      </c>
      <c r="F3027" s="20" t="s">
        <v>78</v>
      </c>
      <c r="G3027" s="20">
        <f>IFERROR(INDEX('Kode Outlet dan Target Toko'!$C:$C,MATCH($I3027,'Kode Outlet dan Target Toko'!$E:$E,0)),0)</f>
        <v>122506</v>
      </c>
      <c r="H3027" s="20">
        <f>IFERROR(INDEX('Kode Outlet dan Target Toko'!$D:$D,MATCH($I3027,'Kode Outlet dan Target Toko'!$E:$E,0)),0)</f>
        <v>214300</v>
      </c>
      <c r="I3027" s="42" t="s">
        <v>73</v>
      </c>
      <c r="J3027" s="56" t="s">
        <v>291</v>
      </c>
      <c r="K3027" s="40" t="s">
        <v>15</v>
      </c>
      <c r="L3027" s="26">
        <v>7000</v>
      </c>
      <c r="M3027" s="26">
        <v>15</v>
      </c>
      <c r="N3027" s="25">
        <f t="shared" si="95"/>
        <v>105000</v>
      </c>
      <c r="O3027" s="56"/>
    </row>
    <row r="3028" spans="1:15" hidden="1" x14ac:dyDescent="0.3">
      <c r="A3028" s="26">
        <v>32</v>
      </c>
      <c r="B3028" s="20" t="str">
        <f t="shared" si="94"/>
        <v>AUG</v>
      </c>
      <c r="C3028" s="21">
        <v>46242</v>
      </c>
      <c r="D3028" s="22" t="s">
        <v>75</v>
      </c>
      <c r="E3028" s="20" t="str">
        <f>IFERROR(VLOOKUP(I3028,KET!$B:$F,4,0),"")</f>
        <v>AFNITA SARI</v>
      </c>
      <c r="F3028" s="20" t="s">
        <v>78</v>
      </c>
      <c r="G3028" s="20">
        <f>IFERROR(INDEX('Kode Outlet dan Target Toko'!$C:$C,MATCH($I3028,'Kode Outlet dan Target Toko'!$E:$E,0)),0)</f>
        <v>122506</v>
      </c>
      <c r="H3028" s="20">
        <f>IFERROR(INDEX('Kode Outlet dan Target Toko'!$D:$D,MATCH($I3028,'Kode Outlet dan Target Toko'!$E:$E,0)),0)</f>
        <v>214300</v>
      </c>
      <c r="I3028" s="42" t="s">
        <v>73</v>
      </c>
      <c r="J3028" s="56" t="s">
        <v>291</v>
      </c>
      <c r="K3028" s="40" t="s">
        <v>14</v>
      </c>
      <c r="L3028" s="26">
        <v>7000</v>
      </c>
      <c r="M3028" s="26">
        <v>25</v>
      </c>
      <c r="N3028" s="25">
        <f t="shared" si="95"/>
        <v>175000</v>
      </c>
      <c r="O3028" s="56"/>
    </row>
    <row r="3029" spans="1:15" hidden="1" x14ac:dyDescent="0.3">
      <c r="A3029" s="26">
        <v>32</v>
      </c>
      <c r="B3029" s="20" t="str">
        <f t="shared" si="94"/>
        <v>AUG</v>
      </c>
      <c r="C3029" s="21">
        <v>46242</v>
      </c>
      <c r="D3029" s="22" t="s">
        <v>75</v>
      </c>
      <c r="E3029" s="20" t="str">
        <f>IFERROR(VLOOKUP(I3029,KET!$B:$F,4,0),"")</f>
        <v>AFNITA SARI</v>
      </c>
      <c r="F3029" s="20" t="s">
        <v>78</v>
      </c>
      <c r="G3029" s="20">
        <f>IFERROR(INDEX('Kode Outlet dan Target Toko'!$C:$C,MATCH($I3029,'Kode Outlet dan Target Toko'!$E:$E,0)),0)</f>
        <v>122506</v>
      </c>
      <c r="H3029" s="20">
        <f>IFERROR(INDEX('Kode Outlet dan Target Toko'!$D:$D,MATCH($I3029,'Kode Outlet dan Target Toko'!$E:$E,0)),0)</f>
        <v>214300</v>
      </c>
      <c r="I3029" s="42" t="s">
        <v>73</v>
      </c>
      <c r="J3029" s="56" t="s">
        <v>291</v>
      </c>
      <c r="K3029" s="40" t="s">
        <v>13</v>
      </c>
      <c r="L3029" s="26">
        <v>7000</v>
      </c>
      <c r="M3029" s="26">
        <v>23</v>
      </c>
      <c r="N3029" s="25">
        <f t="shared" si="95"/>
        <v>161000</v>
      </c>
      <c r="O3029" s="56"/>
    </row>
    <row r="3030" spans="1:15" hidden="1" x14ac:dyDescent="0.3">
      <c r="A3030" s="26">
        <v>32</v>
      </c>
      <c r="B3030" s="20" t="str">
        <f t="shared" si="94"/>
        <v>AUG</v>
      </c>
      <c r="C3030" s="21">
        <v>46242</v>
      </c>
      <c r="D3030" s="22" t="s">
        <v>75</v>
      </c>
      <c r="E3030" s="20" t="str">
        <f>IFERROR(VLOOKUP(I3030,KET!$B:$F,4,0),"")</f>
        <v>AFNITA SARI</v>
      </c>
      <c r="F3030" s="20" t="s">
        <v>78</v>
      </c>
      <c r="G3030" s="20">
        <f>IFERROR(INDEX('Kode Outlet dan Target Toko'!$C:$C,MATCH($I3030,'Kode Outlet dan Target Toko'!$E:$E,0)),0)</f>
        <v>122506</v>
      </c>
      <c r="H3030" s="20">
        <f>IFERROR(INDEX('Kode Outlet dan Target Toko'!$D:$D,MATCH($I3030,'Kode Outlet dan Target Toko'!$E:$E,0)),0)</f>
        <v>214300</v>
      </c>
      <c r="I3030" s="42" t="s">
        <v>73</v>
      </c>
      <c r="J3030" s="56" t="s">
        <v>291</v>
      </c>
      <c r="K3030" s="40" t="s">
        <v>16</v>
      </c>
      <c r="L3030" s="26">
        <v>7000</v>
      </c>
      <c r="M3030" s="26">
        <v>40</v>
      </c>
      <c r="N3030" s="25">
        <f t="shared" si="95"/>
        <v>280000</v>
      </c>
      <c r="O3030" s="56">
        <v>160</v>
      </c>
    </row>
    <row r="3031" spans="1:15" hidden="1" x14ac:dyDescent="0.3">
      <c r="A3031" s="26">
        <v>32</v>
      </c>
      <c r="B3031" s="20" t="str">
        <f t="shared" si="94"/>
        <v>AUG</v>
      </c>
      <c r="C3031" s="21">
        <v>46242</v>
      </c>
      <c r="D3031" s="22" t="s">
        <v>75</v>
      </c>
      <c r="E3031" s="20" t="str">
        <f>IFERROR(VLOOKUP(I3031,KET!$B:$F,4,0),"")</f>
        <v>AFNITA SARI</v>
      </c>
      <c r="F3031" s="20" t="s">
        <v>78</v>
      </c>
      <c r="G3031" s="20">
        <f>IFERROR(INDEX('Kode Outlet dan Target Toko'!$C:$C,MATCH($I3031,'Kode Outlet dan Target Toko'!$E:$E,0)),0)</f>
        <v>122506</v>
      </c>
      <c r="H3031" s="20">
        <f>IFERROR(INDEX('Kode Outlet dan Target Toko'!$D:$D,MATCH($I3031,'Kode Outlet dan Target Toko'!$E:$E,0)),0)</f>
        <v>214300</v>
      </c>
      <c r="I3031" s="42" t="s">
        <v>73</v>
      </c>
      <c r="J3031" s="56" t="s">
        <v>292</v>
      </c>
      <c r="K3031" s="40" t="s">
        <v>15</v>
      </c>
      <c r="L3031" s="26">
        <v>7000</v>
      </c>
      <c r="M3031" s="26">
        <v>15</v>
      </c>
      <c r="N3031" s="25">
        <f t="shared" si="95"/>
        <v>105000</v>
      </c>
      <c r="O3031" s="56"/>
    </row>
    <row r="3032" spans="1:15" hidden="1" x14ac:dyDescent="0.3">
      <c r="A3032" s="26">
        <v>32</v>
      </c>
      <c r="B3032" s="20" t="str">
        <f t="shared" si="94"/>
        <v>AUG</v>
      </c>
      <c r="C3032" s="21">
        <v>46242</v>
      </c>
      <c r="D3032" s="22" t="s">
        <v>75</v>
      </c>
      <c r="E3032" s="20" t="str">
        <f>IFERROR(VLOOKUP(I3032,KET!$B:$F,4,0),"")</f>
        <v>AFNITA SARI</v>
      </c>
      <c r="F3032" s="20" t="s">
        <v>78</v>
      </c>
      <c r="G3032" s="20">
        <f>IFERROR(INDEX('Kode Outlet dan Target Toko'!$C:$C,MATCH($I3032,'Kode Outlet dan Target Toko'!$E:$E,0)),0)</f>
        <v>122506</v>
      </c>
      <c r="H3032" s="20">
        <f>IFERROR(INDEX('Kode Outlet dan Target Toko'!$D:$D,MATCH($I3032,'Kode Outlet dan Target Toko'!$E:$E,0)),0)</f>
        <v>214300</v>
      </c>
      <c r="I3032" s="42" t="s">
        <v>73</v>
      </c>
      <c r="J3032" s="56" t="s">
        <v>292</v>
      </c>
      <c r="K3032" s="40" t="s">
        <v>14</v>
      </c>
      <c r="L3032" s="26">
        <v>7000</v>
      </c>
      <c r="M3032" s="26">
        <v>25</v>
      </c>
      <c r="N3032" s="25">
        <f t="shared" si="95"/>
        <v>175000</v>
      </c>
      <c r="O3032" s="56"/>
    </row>
    <row r="3033" spans="1:15" hidden="1" x14ac:dyDescent="0.3">
      <c r="A3033" s="26">
        <v>32</v>
      </c>
      <c r="B3033" s="20" t="str">
        <f t="shared" si="94"/>
        <v>AUG</v>
      </c>
      <c r="C3033" s="21">
        <v>46242</v>
      </c>
      <c r="D3033" s="22" t="s">
        <v>75</v>
      </c>
      <c r="E3033" s="20" t="str">
        <f>IFERROR(VLOOKUP(I3033,KET!$B:$F,4,0),"")</f>
        <v>AFNITA SARI</v>
      </c>
      <c r="F3033" s="20" t="s">
        <v>78</v>
      </c>
      <c r="G3033" s="20">
        <f>IFERROR(INDEX('Kode Outlet dan Target Toko'!$C:$C,MATCH($I3033,'Kode Outlet dan Target Toko'!$E:$E,0)),0)</f>
        <v>122506</v>
      </c>
      <c r="H3033" s="20">
        <f>IFERROR(INDEX('Kode Outlet dan Target Toko'!$D:$D,MATCH($I3033,'Kode Outlet dan Target Toko'!$E:$E,0)),0)</f>
        <v>214300</v>
      </c>
      <c r="I3033" s="42" t="s">
        <v>73</v>
      </c>
      <c r="J3033" s="56" t="s">
        <v>292</v>
      </c>
      <c r="K3033" s="40" t="s">
        <v>13</v>
      </c>
      <c r="L3033" s="26">
        <v>7000</v>
      </c>
      <c r="M3033" s="26">
        <v>23</v>
      </c>
      <c r="N3033" s="25">
        <f t="shared" si="95"/>
        <v>161000</v>
      </c>
      <c r="O3033" s="56"/>
    </row>
    <row r="3034" spans="1:15" hidden="1" x14ac:dyDescent="0.3">
      <c r="A3034" s="26">
        <v>32</v>
      </c>
      <c r="B3034" s="20" t="str">
        <f t="shared" si="94"/>
        <v>AUG</v>
      </c>
      <c r="C3034" s="21">
        <v>46242</v>
      </c>
      <c r="D3034" s="22" t="s">
        <v>75</v>
      </c>
      <c r="E3034" s="20" t="str">
        <f>IFERROR(VLOOKUP(I3034,KET!$B:$F,4,0),"")</f>
        <v>AFNITA SARI</v>
      </c>
      <c r="F3034" s="20" t="s">
        <v>78</v>
      </c>
      <c r="G3034" s="20">
        <f>IFERROR(INDEX('Kode Outlet dan Target Toko'!$C:$C,MATCH($I3034,'Kode Outlet dan Target Toko'!$E:$E,0)),0)</f>
        <v>122506</v>
      </c>
      <c r="H3034" s="20">
        <f>IFERROR(INDEX('Kode Outlet dan Target Toko'!$D:$D,MATCH($I3034,'Kode Outlet dan Target Toko'!$E:$E,0)),0)</f>
        <v>214300</v>
      </c>
      <c r="I3034" s="42" t="s">
        <v>73</v>
      </c>
      <c r="J3034" s="56" t="s">
        <v>292</v>
      </c>
      <c r="K3034" s="40" t="s">
        <v>16</v>
      </c>
      <c r="L3034" s="26">
        <v>7000</v>
      </c>
      <c r="M3034" s="26">
        <v>40</v>
      </c>
      <c r="N3034" s="25">
        <f t="shared" si="95"/>
        <v>280000</v>
      </c>
      <c r="O3034" s="56">
        <v>160</v>
      </c>
    </row>
    <row r="3035" spans="1:15" hidden="1" x14ac:dyDescent="0.3">
      <c r="A3035" s="26">
        <v>32</v>
      </c>
      <c r="B3035" s="20" t="str">
        <f t="shared" si="94"/>
        <v>AUG</v>
      </c>
      <c r="C3035" s="21">
        <v>46242</v>
      </c>
      <c r="D3035" s="22" t="s">
        <v>75</v>
      </c>
      <c r="E3035" s="20" t="str">
        <f>IFERROR(VLOOKUP(I3035,KET!$B:$F,4,0),"")</f>
        <v>AFNITA SARI</v>
      </c>
      <c r="F3035" s="20" t="s">
        <v>78</v>
      </c>
      <c r="G3035" s="20">
        <f>IFERROR(INDEX('Kode Outlet dan Target Toko'!$C:$C,MATCH($I3035,'Kode Outlet dan Target Toko'!$E:$E,0)),0)</f>
        <v>122506</v>
      </c>
      <c r="H3035" s="20">
        <f>IFERROR(INDEX('Kode Outlet dan Target Toko'!$D:$D,MATCH($I3035,'Kode Outlet dan Target Toko'!$E:$E,0)),0)</f>
        <v>202879</v>
      </c>
      <c r="I3035" s="42" t="s">
        <v>70</v>
      </c>
      <c r="J3035" s="56" t="s">
        <v>289</v>
      </c>
      <c r="K3035" s="40" t="s">
        <v>15</v>
      </c>
      <c r="L3035" s="26">
        <v>6400</v>
      </c>
      <c r="M3035" s="26">
        <v>37</v>
      </c>
      <c r="N3035" s="25">
        <f t="shared" si="95"/>
        <v>236800</v>
      </c>
      <c r="O3035" s="56"/>
    </row>
    <row r="3036" spans="1:15" hidden="1" x14ac:dyDescent="0.3">
      <c r="A3036" s="26">
        <v>32</v>
      </c>
      <c r="B3036" s="20" t="str">
        <f t="shared" si="94"/>
        <v>AUG</v>
      </c>
      <c r="C3036" s="21">
        <v>46242</v>
      </c>
      <c r="D3036" s="22" t="s">
        <v>75</v>
      </c>
      <c r="E3036" s="20" t="str">
        <f>IFERROR(VLOOKUP(I3036,KET!$B:$F,4,0),"")</f>
        <v>AFNITA SARI</v>
      </c>
      <c r="F3036" s="20" t="s">
        <v>78</v>
      </c>
      <c r="G3036" s="20">
        <f>IFERROR(INDEX('Kode Outlet dan Target Toko'!$C:$C,MATCH($I3036,'Kode Outlet dan Target Toko'!$E:$E,0)),0)</f>
        <v>122506</v>
      </c>
      <c r="H3036" s="20">
        <f>IFERROR(INDEX('Kode Outlet dan Target Toko'!$D:$D,MATCH($I3036,'Kode Outlet dan Target Toko'!$E:$E,0)),0)</f>
        <v>202879</v>
      </c>
      <c r="I3036" s="42" t="s">
        <v>70</v>
      </c>
      <c r="J3036" s="56" t="s">
        <v>289</v>
      </c>
      <c r="K3036" s="40" t="s">
        <v>14</v>
      </c>
      <c r="L3036" s="26">
        <v>6400</v>
      </c>
      <c r="M3036" s="26">
        <v>40</v>
      </c>
      <c r="N3036" s="25">
        <f t="shared" si="95"/>
        <v>256000</v>
      </c>
      <c r="O3036" s="56"/>
    </row>
    <row r="3037" spans="1:15" hidden="1" x14ac:dyDescent="0.3">
      <c r="A3037" s="26">
        <v>32</v>
      </c>
      <c r="B3037" s="20" t="str">
        <f t="shared" si="94"/>
        <v>AUG</v>
      </c>
      <c r="C3037" s="21">
        <v>46242</v>
      </c>
      <c r="D3037" s="22" t="s">
        <v>75</v>
      </c>
      <c r="E3037" s="20" t="str">
        <f>IFERROR(VLOOKUP(I3037,KET!$B:$F,4,0),"")</f>
        <v>AFNITA SARI</v>
      </c>
      <c r="F3037" s="20" t="s">
        <v>78</v>
      </c>
      <c r="G3037" s="20">
        <f>IFERROR(INDEX('Kode Outlet dan Target Toko'!$C:$C,MATCH($I3037,'Kode Outlet dan Target Toko'!$E:$E,0)),0)</f>
        <v>122506</v>
      </c>
      <c r="H3037" s="20">
        <f>IFERROR(INDEX('Kode Outlet dan Target Toko'!$D:$D,MATCH($I3037,'Kode Outlet dan Target Toko'!$E:$E,0)),0)</f>
        <v>202879</v>
      </c>
      <c r="I3037" s="42" t="s">
        <v>70</v>
      </c>
      <c r="J3037" s="56" t="s">
        <v>289</v>
      </c>
      <c r="K3037" s="40" t="s">
        <v>13</v>
      </c>
      <c r="L3037" s="26">
        <v>6400</v>
      </c>
      <c r="M3037" s="26">
        <v>54</v>
      </c>
      <c r="N3037" s="25">
        <f t="shared" si="95"/>
        <v>345600</v>
      </c>
      <c r="O3037" s="56"/>
    </row>
    <row r="3038" spans="1:15" hidden="1" x14ac:dyDescent="0.3">
      <c r="A3038" s="26">
        <v>32</v>
      </c>
      <c r="B3038" s="20" t="str">
        <f t="shared" si="94"/>
        <v>AUG</v>
      </c>
      <c r="C3038" s="21">
        <v>46242</v>
      </c>
      <c r="D3038" s="22" t="s">
        <v>75</v>
      </c>
      <c r="E3038" s="20" t="str">
        <f>IFERROR(VLOOKUP(I3038,KET!$B:$F,4,0),"")</f>
        <v>AFNITA SARI</v>
      </c>
      <c r="F3038" s="20" t="s">
        <v>78</v>
      </c>
      <c r="G3038" s="20">
        <f>IFERROR(INDEX('Kode Outlet dan Target Toko'!$C:$C,MATCH($I3038,'Kode Outlet dan Target Toko'!$E:$E,0)),0)</f>
        <v>122506</v>
      </c>
      <c r="H3038" s="20">
        <f>IFERROR(INDEX('Kode Outlet dan Target Toko'!$D:$D,MATCH($I3038,'Kode Outlet dan Target Toko'!$E:$E,0)),0)</f>
        <v>202879</v>
      </c>
      <c r="I3038" s="42" t="s">
        <v>70</v>
      </c>
      <c r="J3038" s="56" t="s">
        <v>289</v>
      </c>
      <c r="K3038" s="40" t="s">
        <v>16</v>
      </c>
      <c r="L3038" s="26">
        <v>6400</v>
      </c>
      <c r="M3038" s="26">
        <v>87</v>
      </c>
      <c r="N3038" s="25">
        <f t="shared" si="95"/>
        <v>556800</v>
      </c>
      <c r="O3038" s="56">
        <v>160</v>
      </c>
    </row>
    <row r="3039" spans="1:15" hidden="1" x14ac:dyDescent="0.3">
      <c r="A3039" s="26">
        <v>32</v>
      </c>
      <c r="B3039" s="20" t="str">
        <f t="shared" si="94"/>
        <v>AUG</v>
      </c>
      <c r="C3039" s="21">
        <v>46242</v>
      </c>
      <c r="D3039" s="22" t="s">
        <v>75</v>
      </c>
      <c r="E3039" s="20" t="str">
        <f>IFERROR(VLOOKUP(I3039,KET!$B:$F,4,0),"")</f>
        <v>AFNITA SARI</v>
      </c>
      <c r="F3039" s="20" t="s">
        <v>78</v>
      </c>
      <c r="G3039" s="20">
        <f>IFERROR(INDEX('Kode Outlet dan Target Toko'!$C:$C,MATCH($I3039,'Kode Outlet dan Target Toko'!$E:$E,0)),0)</f>
        <v>122506</v>
      </c>
      <c r="H3039" s="20">
        <f>IFERROR(INDEX('Kode Outlet dan Target Toko'!$D:$D,MATCH($I3039,'Kode Outlet dan Target Toko'!$E:$E,0)),0)</f>
        <v>202879</v>
      </c>
      <c r="I3039" s="42" t="s">
        <v>70</v>
      </c>
      <c r="J3039" s="56" t="s">
        <v>290</v>
      </c>
      <c r="K3039" s="40" t="s">
        <v>15</v>
      </c>
      <c r="L3039" s="26">
        <v>6400</v>
      </c>
      <c r="M3039" s="26">
        <v>37</v>
      </c>
      <c r="N3039" s="25">
        <f t="shared" si="95"/>
        <v>236800</v>
      </c>
      <c r="O3039" s="56"/>
    </row>
    <row r="3040" spans="1:15" hidden="1" x14ac:dyDescent="0.3">
      <c r="A3040" s="26">
        <v>32</v>
      </c>
      <c r="B3040" s="20" t="str">
        <f t="shared" si="94"/>
        <v>AUG</v>
      </c>
      <c r="C3040" s="21">
        <v>46242</v>
      </c>
      <c r="D3040" s="22" t="s">
        <v>75</v>
      </c>
      <c r="E3040" s="20" t="str">
        <f>IFERROR(VLOOKUP(I3040,KET!$B:$F,4,0),"")</f>
        <v>AFNITA SARI</v>
      </c>
      <c r="F3040" s="20" t="s">
        <v>78</v>
      </c>
      <c r="G3040" s="20">
        <f>IFERROR(INDEX('Kode Outlet dan Target Toko'!$C:$C,MATCH($I3040,'Kode Outlet dan Target Toko'!$E:$E,0)),0)</f>
        <v>122506</v>
      </c>
      <c r="H3040" s="20">
        <f>IFERROR(INDEX('Kode Outlet dan Target Toko'!$D:$D,MATCH($I3040,'Kode Outlet dan Target Toko'!$E:$E,0)),0)</f>
        <v>202879</v>
      </c>
      <c r="I3040" s="42" t="s">
        <v>70</v>
      </c>
      <c r="J3040" s="56" t="s">
        <v>290</v>
      </c>
      <c r="K3040" s="40" t="s">
        <v>14</v>
      </c>
      <c r="L3040" s="26">
        <v>6400</v>
      </c>
      <c r="M3040" s="26">
        <v>40</v>
      </c>
      <c r="N3040" s="25">
        <f t="shared" si="95"/>
        <v>256000</v>
      </c>
      <c r="O3040" s="56"/>
    </row>
    <row r="3041" spans="1:15" hidden="1" x14ac:dyDescent="0.3">
      <c r="A3041" s="26">
        <v>32</v>
      </c>
      <c r="B3041" s="20" t="str">
        <f t="shared" si="94"/>
        <v>AUG</v>
      </c>
      <c r="C3041" s="21">
        <v>46242</v>
      </c>
      <c r="D3041" s="22" t="s">
        <v>75</v>
      </c>
      <c r="E3041" s="20" t="str">
        <f>IFERROR(VLOOKUP(I3041,KET!$B:$F,4,0),"")</f>
        <v>AFNITA SARI</v>
      </c>
      <c r="F3041" s="20" t="s">
        <v>78</v>
      </c>
      <c r="G3041" s="20">
        <f>IFERROR(INDEX('Kode Outlet dan Target Toko'!$C:$C,MATCH($I3041,'Kode Outlet dan Target Toko'!$E:$E,0)),0)</f>
        <v>122506</v>
      </c>
      <c r="H3041" s="20">
        <f>IFERROR(INDEX('Kode Outlet dan Target Toko'!$D:$D,MATCH($I3041,'Kode Outlet dan Target Toko'!$E:$E,0)),0)</f>
        <v>202879</v>
      </c>
      <c r="I3041" s="42" t="s">
        <v>70</v>
      </c>
      <c r="J3041" s="56" t="s">
        <v>290</v>
      </c>
      <c r="K3041" s="40" t="s">
        <v>13</v>
      </c>
      <c r="L3041" s="26">
        <v>6400</v>
      </c>
      <c r="M3041" s="26">
        <v>53</v>
      </c>
      <c r="N3041" s="25">
        <f t="shared" si="95"/>
        <v>339200</v>
      </c>
      <c r="O3041" s="56"/>
    </row>
    <row r="3042" spans="1:15" hidden="1" x14ac:dyDescent="0.3">
      <c r="A3042" s="26">
        <v>32</v>
      </c>
      <c r="B3042" s="20" t="str">
        <f t="shared" si="94"/>
        <v>AUG</v>
      </c>
      <c r="C3042" s="21">
        <v>46242</v>
      </c>
      <c r="D3042" s="22" t="s">
        <v>75</v>
      </c>
      <c r="E3042" s="20" t="str">
        <f>IFERROR(VLOOKUP(I3042,KET!$B:$F,4,0),"")</f>
        <v>AFNITA SARI</v>
      </c>
      <c r="F3042" s="20" t="s">
        <v>78</v>
      </c>
      <c r="G3042" s="20">
        <f>IFERROR(INDEX('Kode Outlet dan Target Toko'!$C:$C,MATCH($I3042,'Kode Outlet dan Target Toko'!$E:$E,0)),0)</f>
        <v>122506</v>
      </c>
      <c r="H3042" s="20">
        <f>IFERROR(INDEX('Kode Outlet dan Target Toko'!$D:$D,MATCH($I3042,'Kode Outlet dan Target Toko'!$E:$E,0)),0)</f>
        <v>202879</v>
      </c>
      <c r="I3042" s="42" t="s">
        <v>70</v>
      </c>
      <c r="J3042" s="56" t="s">
        <v>290</v>
      </c>
      <c r="K3042" s="40" t="s">
        <v>16</v>
      </c>
      <c r="L3042" s="26">
        <v>6400</v>
      </c>
      <c r="M3042" s="26">
        <v>87</v>
      </c>
      <c r="N3042" s="25">
        <f t="shared" si="95"/>
        <v>556800</v>
      </c>
      <c r="O3042" s="56">
        <v>160</v>
      </c>
    </row>
    <row r="3043" spans="1:15" hidden="1" x14ac:dyDescent="0.3">
      <c r="A3043" s="26">
        <v>32</v>
      </c>
      <c r="B3043" s="20" t="str">
        <f t="shared" si="94"/>
        <v>AUG</v>
      </c>
      <c r="C3043" s="21">
        <v>46242</v>
      </c>
      <c r="D3043" s="22" t="s">
        <v>75</v>
      </c>
      <c r="E3043" s="20" t="str">
        <f>IFERROR(VLOOKUP(I3043,KET!$B:$F,4,0),"")</f>
        <v>AFNITA SARI</v>
      </c>
      <c r="F3043" s="20" t="s">
        <v>78</v>
      </c>
      <c r="G3043" s="20">
        <f>IFERROR(INDEX('Kode Outlet dan Target Toko'!$C:$C,MATCH($I3043,'Kode Outlet dan Target Toko'!$E:$E,0)),0)</f>
        <v>122506</v>
      </c>
      <c r="H3043" s="20">
        <f>IFERROR(INDEX('Kode Outlet dan Target Toko'!$D:$D,MATCH($I3043,'Kode Outlet dan Target Toko'!$E:$E,0)),0)</f>
        <v>214422</v>
      </c>
      <c r="I3043" s="42" t="s">
        <v>72</v>
      </c>
      <c r="J3043" s="56" t="s">
        <v>294</v>
      </c>
      <c r="K3043" s="40" t="s">
        <v>15</v>
      </c>
      <c r="L3043" s="26">
        <v>6400</v>
      </c>
      <c r="M3043" s="26">
        <v>40</v>
      </c>
      <c r="N3043" s="25">
        <f t="shared" si="95"/>
        <v>256000</v>
      </c>
      <c r="O3043" s="56"/>
    </row>
    <row r="3044" spans="1:15" hidden="1" x14ac:dyDescent="0.3">
      <c r="A3044" s="26">
        <v>32</v>
      </c>
      <c r="B3044" s="20" t="str">
        <f t="shared" si="94"/>
        <v>AUG</v>
      </c>
      <c r="C3044" s="21">
        <v>46242</v>
      </c>
      <c r="D3044" s="22" t="s">
        <v>75</v>
      </c>
      <c r="E3044" s="20" t="str">
        <f>IFERROR(VLOOKUP(I3044,KET!$B:$F,4,0),"")</f>
        <v>AFNITA SARI</v>
      </c>
      <c r="F3044" s="20" t="s">
        <v>78</v>
      </c>
      <c r="G3044" s="20">
        <f>IFERROR(INDEX('Kode Outlet dan Target Toko'!$C:$C,MATCH($I3044,'Kode Outlet dan Target Toko'!$E:$E,0)),0)</f>
        <v>122506</v>
      </c>
      <c r="H3044" s="20">
        <f>IFERROR(INDEX('Kode Outlet dan Target Toko'!$D:$D,MATCH($I3044,'Kode Outlet dan Target Toko'!$E:$E,0)),0)</f>
        <v>214422</v>
      </c>
      <c r="I3044" s="42" t="s">
        <v>72</v>
      </c>
      <c r="J3044" s="56" t="s">
        <v>294</v>
      </c>
      <c r="K3044" s="40" t="s">
        <v>14</v>
      </c>
      <c r="L3044" s="26">
        <v>6400</v>
      </c>
      <c r="M3044" s="26">
        <v>42</v>
      </c>
      <c r="N3044" s="25">
        <f t="shared" si="95"/>
        <v>268800</v>
      </c>
      <c r="O3044" s="56"/>
    </row>
    <row r="3045" spans="1:15" hidden="1" x14ac:dyDescent="0.3">
      <c r="A3045" s="26">
        <v>32</v>
      </c>
      <c r="B3045" s="20" t="str">
        <f t="shared" si="94"/>
        <v>AUG</v>
      </c>
      <c r="C3045" s="21">
        <v>46242</v>
      </c>
      <c r="D3045" s="22" t="s">
        <v>75</v>
      </c>
      <c r="E3045" s="20" t="str">
        <f>IFERROR(VLOOKUP(I3045,KET!$B:$F,4,0),"")</f>
        <v>AFNITA SARI</v>
      </c>
      <c r="F3045" s="20" t="s">
        <v>78</v>
      </c>
      <c r="G3045" s="20">
        <f>IFERROR(INDEX('Kode Outlet dan Target Toko'!$C:$C,MATCH($I3045,'Kode Outlet dan Target Toko'!$E:$E,0)),0)</f>
        <v>122506</v>
      </c>
      <c r="H3045" s="20">
        <f>IFERROR(INDEX('Kode Outlet dan Target Toko'!$D:$D,MATCH($I3045,'Kode Outlet dan Target Toko'!$E:$E,0)),0)</f>
        <v>214422</v>
      </c>
      <c r="I3045" s="42" t="s">
        <v>72</v>
      </c>
      <c r="J3045" s="56" t="s">
        <v>294</v>
      </c>
      <c r="K3045" s="40" t="s">
        <v>13</v>
      </c>
      <c r="L3045" s="26">
        <v>6400</v>
      </c>
      <c r="M3045" s="26">
        <v>37</v>
      </c>
      <c r="N3045" s="25">
        <f t="shared" si="95"/>
        <v>236800</v>
      </c>
      <c r="O3045" s="56"/>
    </row>
    <row r="3046" spans="1:15" hidden="1" x14ac:dyDescent="0.3">
      <c r="A3046" s="26">
        <v>32</v>
      </c>
      <c r="B3046" s="20" t="str">
        <f t="shared" si="94"/>
        <v>AUG</v>
      </c>
      <c r="C3046" s="21">
        <v>46242</v>
      </c>
      <c r="D3046" s="22" t="s">
        <v>75</v>
      </c>
      <c r="E3046" s="20" t="str">
        <f>IFERROR(VLOOKUP(I3046,KET!$B:$F,4,0),"")</f>
        <v>AFNITA SARI</v>
      </c>
      <c r="F3046" s="20" t="s">
        <v>78</v>
      </c>
      <c r="G3046" s="20">
        <f>IFERROR(INDEX('Kode Outlet dan Target Toko'!$C:$C,MATCH($I3046,'Kode Outlet dan Target Toko'!$E:$E,0)),0)</f>
        <v>122506</v>
      </c>
      <c r="H3046" s="20">
        <f>IFERROR(INDEX('Kode Outlet dan Target Toko'!$D:$D,MATCH($I3046,'Kode Outlet dan Target Toko'!$E:$E,0)),0)</f>
        <v>214422</v>
      </c>
      <c r="I3046" s="42" t="s">
        <v>72</v>
      </c>
      <c r="J3046" s="56" t="s">
        <v>294</v>
      </c>
      <c r="K3046" s="40" t="s">
        <v>16</v>
      </c>
      <c r="L3046" s="26">
        <v>6400</v>
      </c>
      <c r="M3046" s="26">
        <v>84</v>
      </c>
      <c r="N3046" s="25">
        <f t="shared" si="95"/>
        <v>537600</v>
      </c>
      <c r="O3046" s="56">
        <v>160</v>
      </c>
    </row>
    <row r="3047" spans="1:15" hidden="1" x14ac:dyDescent="0.3">
      <c r="A3047" s="26">
        <v>32</v>
      </c>
      <c r="B3047" s="20" t="str">
        <f t="shared" si="94"/>
        <v>AUG</v>
      </c>
      <c r="C3047" s="21">
        <v>46242</v>
      </c>
      <c r="D3047" s="22" t="s">
        <v>75</v>
      </c>
      <c r="E3047" s="20" t="str">
        <f>IFERROR(VLOOKUP(I3047,KET!$B:$F,4,0),"")</f>
        <v>AFNITA SARI</v>
      </c>
      <c r="F3047" s="20" t="s">
        <v>78</v>
      </c>
      <c r="G3047" s="20">
        <f>IFERROR(INDEX('Kode Outlet dan Target Toko'!$C:$C,MATCH($I3047,'Kode Outlet dan Target Toko'!$E:$E,0)),0)</f>
        <v>122506</v>
      </c>
      <c r="H3047" s="20">
        <f>IFERROR(INDEX('Kode Outlet dan Target Toko'!$D:$D,MATCH($I3047,'Kode Outlet dan Target Toko'!$E:$E,0)),0)</f>
        <v>214422</v>
      </c>
      <c r="I3047" s="42" t="s">
        <v>72</v>
      </c>
      <c r="J3047" s="56" t="s">
        <v>293</v>
      </c>
      <c r="K3047" s="40" t="s">
        <v>15</v>
      </c>
      <c r="L3047" s="26">
        <v>6400</v>
      </c>
      <c r="M3047" s="26">
        <v>40</v>
      </c>
      <c r="N3047" s="25">
        <f t="shared" si="95"/>
        <v>256000</v>
      </c>
      <c r="O3047" s="56"/>
    </row>
    <row r="3048" spans="1:15" hidden="1" x14ac:dyDescent="0.3">
      <c r="A3048" s="26">
        <v>32</v>
      </c>
      <c r="B3048" s="20" t="str">
        <f t="shared" si="94"/>
        <v>AUG</v>
      </c>
      <c r="C3048" s="21">
        <v>46242</v>
      </c>
      <c r="D3048" s="22" t="s">
        <v>75</v>
      </c>
      <c r="E3048" s="20" t="str">
        <f>IFERROR(VLOOKUP(I3048,KET!$B:$F,4,0),"")</f>
        <v>AFNITA SARI</v>
      </c>
      <c r="F3048" s="20" t="s">
        <v>78</v>
      </c>
      <c r="G3048" s="20">
        <f>IFERROR(INDEX('Kode Outlet dan Target Toko'!$C:$C,MATCH($I3048,'Kode Outlet dan Target Toko'!$E:$E,0)),0)</f>
        <v>122506</v>
      </c>
      <c r="H3048" s="20">
        <f>IFERROR(INDEX('Kode Outlet dan Target Toko'!$D:$D,MATCH($I3048,'Kode Outlet dan Target Toko'!$E:$E,0)),0)</f>
        <v>214422</v>
      </c>
      <c r="I3048" s="42" t="s">
        <v>72</v>
      </c>
      <c r="J3048" s="56" t="s">
        <v>293</v>
      </c>
      <c r="K3048" s="40" t="s">
        <v>14</v>
      </c>
      <c r="L3048" s="26">
        <v>6400</v>
      </c>
      <c r="M3048" s="26">
        <v>42</v>
      </c>
      <c r="N3048" s="25">
        <f t="shared" si="95"/>
        <v>268800</v>
      </c>
      <c r="O3048" s="56"/>
    </row>
    <row r="3049" spans="1:15" hidden="1" x14ac:dyDescent="0.3">
      <c r="A3049" s="26">
        <v>32</v>
      </c>
      <c r="B3049" s="20" t="str">
        <f t="shared" si="94"/>
        <v>AUG</v>
      </c>
      <c r="C3049" s="21">
        <v>46242</v>
      </c>
      <c r="D3049" s="22" t="s">
        <v>75</v>
      </c>
      <c r="E3049" s="20" t="str">
        <f>IFERROR(VLOOKUP(I3049,KET!$B:$F,4,0),"")</f>
        <v>AFNITA SARI</v>
      </c>
      <c r="F3049" s="20" t="s">
        <v>78</v>
      </c>
      <c r="G3049" s="20">
        <f>IFERROR(INDEX('Kode Outlet dan Target Toko'!$C:$C,MATCH($I3049,'Kode Outlet dan Target Toko'!$E:$E,0)),0)</f>
        <v>122506</v>
      </c>
      <c r="H3049" s="20">
        <f>IFERROR(INDEX('Kode Outlet dan Target Toko'!$D:$D,MATCH($I3049,'Kode Outlet dan Target Toko'!$E:$E,0)),0)</f>
        <v>214422</v>
      </c>
      <c r="I3049" s="42" t="s">
        <v>72</v>
      </c>
      <c r="J3049" s="56" t="s">
        <v>293</v>
      </c>
      <c r="K3049" s="40" t="s">
        <v>13</v>
      </c>
      <c r="L3049" s="26">
        <v>6400</v>
      </c>
      <c r="M3049" s="26">
        <v>37</v>
      </c>
      <c r="N3049" s="25">
        <f t="shared" si="95"/>
        <v>236800</v>
      </c>
      <c r="O3049" s="56"/>
    </row>
    <row r="3050" spans="1:15" hidden="1" x14ac:dyDescent="0.3">
      <c r="A3050" s="26">
        <v>32</v>
      </c>
      <c r="B3050" s="20" t="str">
        <f t="shared" si="94"/>
        <v>AUG</v>
      </c>
      <c r="C3050" s="21">
        <v>46242</v>
      </c>
      <c r="D3050" s="22" t="s">
        <v>75</v>
      </c>
      <c r="E3050" s="20" t="str">
        <f>IFERROR(VLOOKUP(I3050,KET!$B:$F,4,0),"")</f>
        <v>AFNITA SARI</v>
      </c>
      <c r="F3050" s="20" t="s">
        <v>78</v>
      </c>
      <c r="G3050" s="20">
        <f>IFERROR(INDEX('Kode Outlet dan Target Toko'!$C:$C,MATCH($I3050,'Kode Outlet dan Target Toko'!$E:$E,0)),0)</f>
        <v>122506</v>
      </c>
      <c r="H3050" s="20">
        <f>IFERROR(INDEX('Kode Outlet dan Target Toko'!$D:$D,MATCH($I3050,'Kode Outlet dan Target Toko'!$E:$E,0)),0)</f>
        <v>214422</v>
      </c>
      <c r="I3050" s="42" t="s">
        <v>72</v>
      </c>
      <c r="J3050" s="56" t="s">
        <v>293</v>
      </c>
      <c r="K3050" s="40" t="s">
        <v>16</v>
      </c>
      <c r="L3050" s="26">
        <v>6400</v>
      </c>
      <c r="M3050" s="26">
        <v>84</v>
      </c>
      <c r="N3050" s="25">
        <f t="shared" si="95"/>
        <v>537600</v>
      </c>
      <c r="O3050" s="56">
        <v>160</v>
      </c>
    </row>
    <row r="3051" spans="1:15" hidden="1" x14ac:dyDescent="0.3">
      <c r="A3051" s="26">
        <v>32</v>
      </c>
      <c r="B3051" s="20" t="str">
        <f t="shared" si="94"/>
        <v>AUG</v>
      </c>
      <c r="C3051" s="21">
        <v>46242</v>
      </c>
      <c r="D3051" s="22" t="s">
        <v>75</v>
      </c>
      <c r="E3051" s="20" t="str">
        <f>IFERROR(VLOOKUP(I3051,KET!$B:$F,4,0),"")</f>
        <v>AFNITA SARI</v>
      </c>
      <c r="F3051" s="20" t="s">
        <v>78</v>
      </c>
      <c r="G3051" s="20">
        <f>IFERROR(INDEX('Kode Outlet dan Target Toko'!$C:$C,MATCH($I3051,'Kode Outlet dan Target Toko'!$E:$E,0)),0)</f>
        <v>122506</v>
      </c>
      <c r="H3051" s="20">
        <f>IFERROR(INDEX('Kode Outlet dan Target Toko'!$D:$D,MATCH($I3051,'Kode Outlet dan Target Toko'!$E:$E,0)),0)</f>
        <v>202816</v>
      </c>
      <c r="I3051" s="42" t="s">
        <v>71</v>
      </c>
      <c r="J3051" s="56" t="s">
        <v>295</v>
      </c>
      <c r="K3051" s="40" t="s">
        <v>15</v>
      </c>
      <c r="L3051" s="26">
        <v>7000</v>
      </c>
      <c r="M3051" s="26">
        <v>11</v>
      </c>
      <c r="N3051" s="25">
        <f t="shared" si="95"/>
        <v>77000</v>
      </c>
      <c r="O3051" s="56"/>
    </row>
    <row r="3052" spans="1:15" hidden="1" x14ac:dyDescent="0.3">
      <c r="A3052" s="26">
        <v>32</v>
      </c>
      <c r="B3052" s="20" t="str">
        <f t="shared" si="94"/>
        <v>AUG</v>
      </c>
      <c r="C3052" s="21">
        <v>46242</v>
      </c>
      <c r="D3052" s="22" t="s">
        <v>75</v>
      </c>
      <c r="E3052" s="20" t="str">
        <f>IFERROR(VLOOKUP(I3052,KET!$B:$F,4,0),"")</f>
        <v>AFNITA SARI</v>
      </c>
      <c r="F3052" s="20" t="s">
        <v>78</v>
      </c>
      <c r="G3052" s="20">
        <f>IFERROR(INDEX('Kode Outlet dan Target Toko'!$C:$C,MATCH($I3052,'Kode Outlet dan Target Toko'!$E:$E,0)),0)</f>
        <v>122506</v>
      </c>
      <c r="H3052" s="20">
        <f>IFERROR(INDEX('Kode Outlet dan Target Toko'!$D:$D,MATCH($I3052,'Kode Outlet dan Target Toko'!$E:$E,0)),0)</f>
        <v>202816</v>
      </c>
      <c r="I3052" s="42" t="s">
        <v>71</v>
      </c>
      <c r="J3052" s="56" t="s">
        <v>295</v>
      </c>
      <c r="K3052" s="40" t="s">
        <v>14</v>
      </c>
      <c r="L3052" s="26">
        <v>7000</v>
      </c>
      <c r="M3052" s="26">
        <v>11</v>
      </c>
      <c r="N3052" s="25">
        <f t="shared" si="95"/>
        <v>77000</v>
      </c>
      <c r="O3052" s="56"/>
    </row>
    <row r="3053" spans="1:15" hidden="1" x14ac:dyDescent="0.3">
      <c r="A3053" s="26">
        <v>32</v>
      </c>
      <c r="B3053" s="20" t="str">
        <f t="shared" si="94"/>
        <v>AUG</v>
      </c>
      <c r="C3053" s="21">
        <v>46242</v>
      </c>
      <c r="D3053" s="22" t="s">
        <v>75</v>
      </c>
      <c r="E3053" s="20" t="str">
        <f>IFERROR(VLOOKUP(I3053,KET!$B:$F,4,0),"")</f>
        <v>AFNITA SARI</v>
      </c>
      <c r="F3053" s="20" t="s">
        <v>78</v>
      </c>
      <c r="G3053" s="20">
        <f>IFERROR(INDEX('Kode Outlet dan Target Toko'!$C:$C,MATCH($I3053,'Kode Outlet dan Target Toko'!$E:$E,0)),0)</f>
        <v>122506</v>
      </c>
      <c r="H3053" s="20">
        <f>IFERROR(INDEX('Kode Outlet dan Target Toko'!$D:$D,MATCH($I3053,'Kode Outlet dan Target Toko'!$E:$E,0)),0)</f>
        <v>202816</v>
      </c>
      <c r="I3053" s="42" t="s">
        <v>71</v>
      </c>
      <c r="J3053" s="56" t="s">
        <v>295</v>
      </c>
      <c r="K3053" s="40" t="s">
        <v>13</v>
      </c>
      <c r="L3053" s="26">
        <v>7000</v>
      </c>
      <c r="M3053" s="26">
        <v>10</v>
      </c>
      <c r="N3053" s="25">
        <f t="shared" si="95"/>
        <v>70000</v>
      </c>
      <c r="O3053" s="56"/>
    </row>
    <row r="3054" spans="1:15" hidden="1" x14ac:dyDescent="0.3">
      <c r="A3054" s="26">
        <v>32</v>
      </c>
      <c r="B3054" s="20" t="str">
        <f t="shared" si="94"/>
        <v>AUG</v>
      </c>
      <c r="C3054" s="21">
        <v>46242</v>
      </c>
      <c r="D3054" s="22" t="s">
        <v>75</v>
      </c>
      <c r="E3054" s="20" t="str">
        <f>IFERROR(VLOOKUP(I3054,KET!$B:$F,4,0),"")</f>
        <v>AFNITA SARI</v>
      </c>
      <c r="F3054" s="20" t="s">
        <v>78</v>
      </c>
      <c r="G3054" s="20">
        <f>IFERROR(INDEX('Kode Outlet dan Target Toko'!$C:$C,MATCH($I3054,'Kode Outlet dan Target Toko'!$E:$E,0)),0)</f>
        <v>122506</v>
      </c>
      <c r="H3054" s="20">
        <f>IFERROR(INDEX('Kode Outlet dan Target Toko'!$D:$D,MATCH($I3054,'Kode Outlet dan Target Toko'!$E:$E,0)),0)</f>
        <v>202816</v>
      </c>
      <c r="I3054" s="42" t="s">
        <v>71</v>
      </c>
      <c r="J3054" s="56" t="s">
        <v>295</v>
      </c>
      <c r="K3054" s="40" t="s">
        <v>16</v>
      </c>
      <c r="L3054" s="26">
        <v>7000</v>
      </c>
      <c r="M3054" s="26">
        <v>23</v>
      </c>
      <c r="N3054" s="25">
        <f t="shared" si="95"/>
        <v>161000</v>
      </c>
      <c r="O3054" s="56">
        <v>160</v>
      </c>
    </row>
    <row r="3055" spans="1:15" hidden="1" x14ac:dyDescent="0.3">
      <c r="A3055" s="26">
        <v>32</v>
      </c>
      <c r="B3055" s="20" t="str">
        <f t="shared" si="94"/>
        <v>AUG</v>
      </c>
      <c r="C3055" s="21">
        <v>46242</v>
      </c>
      <c r="D3055" s="22" t="s">
        <v>75</v>
      </c>
      <c r="E3055" s="20" t="str">
        <f>IFERROR(VLOOKUP(I3055,KET!$B:$F,4,0),"")</f>
        <v>AFNITA SARI</v>
      </c>
      <c r="F3055" s="20" t="s">
        <v>78</v>
      </c>
      <c r="G3055" s="20">
        <f>IFERROR(INDEX('Kode Outlet dan Target Toko'!$C:$C,MATCH($I3055,'Kode Outlet dan Target Toko'!$E:$E,0)),0)</f>
        <v>122506</v>
      </c>
      <c r="H3055" s="20">
        <f>IFERROR(INDEX('Kode Outlet dan Target Toko'!$D:$D,MATCH($I3055,'Kode Outlet dan Target Toko'!$E:$E,0)),0)</f>
        <v>202816</v>
      </c>
      <c r="I3055" s="42" t="s">
        <v>71</v>
      </c>
      <c r="J3055" s="56" t="s">
        <v>296</v>
      </c>
      <c r="K3055" s="40" t="s">
        <v>15</v>
      </c>
      <c r="L3055" s="26">
        <v>7000</v>
      </c>
      <c r="M3055" s="26">
        <v>11</v>
      </c>
      <c r="N3055" s="25">
        <f t="shared" si="95"/>
        <v>77000</v>
      </c>
      <c r="O3055" s="56"/>
    </row>
    <row r="3056" spans="1:15" hidden="1" x14ac:dyDescent="0.3">
      <c r="A3056" s="26">
        <v>32</v>
      </c>
      <c r="B3056" s="20" t="str">
        <f t="shared" si="94"/>
        <v>AUG</v>
      </c>
      <c r="C3056" s="21">
        <v>46242</v>
      </c>
      <c r="D3056" s="22" t="s">
        <v>75</v>
      </c>
      <c r="E3056" s="20" t="str">
        <f>IFERROR(VLOOKUP(I3056,KET!$B:$F,4,0),"")</f>
        <v>AFNITA SARI</v>
      </c>
      <c r="F3056" s="20" t="s">
        <v>78</v>
      </c>
      <c r="G3056" s="20">
        <f>IFERROR(INDEX('Kode Outlet dan Target Toko'!$C:$C,MATCH($I3056,'Kode Outlet dan Target Toko'!$E:$E,0)),0)</f>
        <v>122506</v>
      </c>
      <c r="H3056" s="20">
        <f>IFERROR(INDEX('Kode Outlet dan Target Toko'!$D:$D,MATCH($I3056,'Kode Outlet dan Target Toko'!$E:$E,0)),0)</f>
        <v>202816</v>
      </c>
      <c r="I3056" s="42" t="s">
        <v>71</v>
      </c>
      <c r="J3056" s="56" t="s">
        <v>296</v>
      </c>
      <c r="K3056" s="40" t="s">
        <v>14</v>
      </c>
      <c r="L3056" s="26">
        <v>7000</v>
      </c>
      <c r="M3056" s="26">
        <v>10</v>
      </c>
      <c r="N3056" s="25">
        <f t="shared" si="95"/>
        <v>70000</v>
      </c>
      <c r="O3056" s="56"/>
    </row>
    <row r="3057" spans="1:15" hidden="1" x14ac:dyDescent="0.3">
      <c r="A3057" s="26">
        <v>32</v>
      </c>
      <c r="B3057" s="20" t="str">
        <f t="shared" si="94"/>
        <v>AUG</v>
      </c>
      <c r="C3057" s="21">
        <v>46242</v>
      </c>
      <c r="D3057" s="22" t="s">
        <v>75</v>
      </c>
      <c r="E3057" s="20" t="str">
        <f>IFERROR(VLOOKUP(I3057,KET!$B:$F,4,0),"")</f>
        <v>AFNITA SARI</v>
      </c>
      <c r="F3057" s="20" t="s">
        <v>78</v>
      </c>
      <c r="G3057" s="20">
        <f>IFERROR(INDEX('Kode Outlet dan Target Toko'!$C:$C,MATCH($I3057,'Kode Outlet dan Target Toko'!$E:$E,0)),0)</f>
        <v>122506</v>
      </c>
      <c r="H3057" s="20">
        <f>IFERROR(INDEX('Kode Outlet dan Target Toko'!$D:$D,MATCH($I3057,'Kode Outlet dan Target Toko'!$E:$E,0)),0)</f>
        <v>202816</v>
      </c>
      <c r="I3057" s="42" t="s">
        <v>71</v>
      </c>
      <c r="J3057" s="56" t="s">
        <v>296</v>
      </c>
      <c r="K3057" s="40" t="s">
        <v>13</v>
      </c>
      <c r="L3057" s="26">
        <v>7000</v>
      </c>
      <c r="M3057" s="26">
        <v>9</v>
      </c>
      <c r="N3057" s="25">
        <f t="shared" si="95"/>
        <v>63000</v>
      </c>
      <c r="O3057" s="56"/>
    </row>
    <row r="3058" spans="1:15" hidden="1" x14ac:dyDescent="0.3">
      <c r="A3058" s="26">
        <v>32</v>
      </c>
      <c r="B3058" s="20" t="str">
        <f t="shared" si="94"/>
        <v>AUG</v>
      </c>
      <c r="C3058" s="21">
        <v>46242</v>
      </c>
      <c r="D3058" s="22" t="s">
        <v>75</v>
      </c>
      <c r="E3058" s="20" t="str">
        <f>IFERROR(VLOOKUP(I3058,KET!$B:$F,4,0),"")</f>
        <v>AFNITA SARI</v>
      </c>
      <c r="F3058" s="20" t="s">
        <v>78</v>
      </c>
      <c r="G3058" s="20">
        <f>IFERROR(INDEX('Kode Outlet dan Target Toko'!$C:$C,MATCH($I3058,'Kode Outlet dan Target Toko'!$E:$E,0)),0)</f>
        <v>122506</v>
      </c>
      <c r="H3058" s="20">
        <f>IFERROR(INDEX('Kode Outlet dan Target Toko'!$D:$D,MATCH($I3058,'Kode Outlet dan Target Toko'!$E:$E,0)),0)</f>
        <v>202816</v>
      </c>
      <c r="I3058" s="42" t="s">
        <v>71</v>
      </c>
      <c r="J3058" s="56" t="s">
        <v>296</v>
      </c>
      <c r="K3058" s="40" t="s">
        <v>16</v>
      </c>
      <c r="L3058" s="26">
        <v>7000</v>
      </c>
      <c r="M3058" s="26">
        <v>23</v>
      </c>
      <c r="N3058" s="25">
        <f t="shared" si="95"/>
        <v>161000</v>
      </c>
      <c r="O3058" s="56">
        <v>160</v>
      </c>
    </row>
    <row r="3059" spans="1:15" hidden="1" x14ac:dyDescent="0.3">
      <c r="A3059" s="26">
        <v>32</v>
      </c>
      <c r="B3059" s="20" t="str">
        <f t="shared" si="94"/>
        <v>AUG</v>
      </c>
      <c r="C3059" s="21">
        <v>46243</v>
      </c>
      <c r="D3059" s="22" t="s">
        <v>75</v>
      </c>
      <c r="E3059" s="20" t="str">
        <f>IFERROR(VLOOKUP(I3059,KET!$B:$F,4,0),"")</f>
        <v>AFNITA SARI</v>
      </c>
      <c r="F3059" s="20" t="s">
        <v>78</v>
      </c>
      <c r="G3059" s="20">
        <f>IFERROR(INDEX('Kode Outlet dan Target Toko'!$C:$C,MATCH($I3059,'Kode Outlet dan Target Toko'!$E:$E,0)),0)</f>
        <v>122506</v>
      </c>
      <c r="H3059" s="20">
        <f>IFERROR(INDEX('Kode Outlet dan Target Toko'!$D:$D,MATCH($I3059,'Kode Outlet dan Target Toko'!$E:$E,0)),0)</f>
        <v>202879</v>
      </c>
      <c r="I3059" s="42" t="s">
        <v>70</v>
      </c>
      <c r="J3059" s="56" t="s">
        <v>289</v>
      </c>
      <c r="K3059" s="40" t="s">
        <v>15</v>
      </c>
      <c r="L3059" s="26">
        <v>6400</v>
      </c>
      <c r="M3059" s="26">
        <v>37</v>
      </c>
      <c r="N3059" s="25">
        <f t="shared" si="95"/>
        <v>236800</v>
      </c>
      <c r="O3059" s="56"/>
    </row>
    <row r="3060" spans="1:15" hidden="1" x14ac:dyDescent="0.3">
      <c r="A3060" s="26">
        <v>32</v>
      </c>
      <c r="B3060" s="20" t="str">
        <f t="shared" si="94"/>
        <v>AUG</v>
      </c>
      <c r="C3060" s="21">
        <v>46243</v>
      </c>
      <c r="D3060" s="22" t="s">
        <v>75</v>
      </c>
      <c r="E3060" s="20" t="str">
        <f>IFERROR(VLOOKUP(I3060,KET!$B:$F,4,0),"")</f>
        <v>AFNITA SARI</v>
      </c>
      <c r="F3060" s="20" t="s">
        <v>78</v>
      </c>
      <c r="G3060" s="20">
        <f>IFERROR(INDEX('Kode Outlet dan Target Toko'!$C:$C,MATCH($I3060,'Kode Outlet dan Target Toko'!$E:$E,0)),0)</f>
        <v>122506</v>
      </c>
      <c r="H3060" s="20">
        <f>IFERROR(INDEX('Kode Outlet dan Target Toko'!$D:$D,MATCH($I3060,'Kode Outlet dan Target Toko'!$E:$E,0)),0)</f>
        <v>202879</v>
      </c>
      <c r="I3060" s="42" t="s">
        <v>70</v>
      </c>
      <c r="J3060" s="56" t="s">
        <v>289</v>
      </c>
      <c r="K3060" s="40" t="s">
        <v>14</v>
      </c>
      <c r="L3060" s="26">
        <v>6400</v>
      </c>
      <c r="M3060" s="26">
        <v>40</v>
      </c>
      <c r="N3060" s="25">
        <f t="shared" si="95"/>
        <v>256000</v>
      </c>
      <c r="O3060" s="56"/>
    </row>
    <row r="3061" spans="1:15" hidden="1" x14ac:dyDescent="0.3">
      <c r="A3061" s="26">
        <v>32</v>
      </c>
      <c r="B3061" s="20" t="str">
        <f t="shared" si="94"/>
        <v>AUG</v>
      </c>
      <c r="C3061" s="21">
        <v>46243</v>
      </c>
      <c r="D3061" s="22" t="s">
        <v>75</v>
      </c>
      <c r="E3061" s="20" t="str">
        <f>IFERROR(VLOOKUP(I3061,KET!$B:$F,4,0),"")</f>
        <v>AFNITA SARI</v>
      </c>
      <c r="F3061" s="20" t="s">
        <v>78</v>
      </c>
      <c r="G3061" s="20">
        <f>IFERROR(INDEX('Kode Outlet dan Target Toko'!$C:$C,MATCH($I3061,'Kode Outlet dan Target Toko'!$E:$E,0)),0)</f>
        <v>122506</v>
      </c>
      <c r="H3061" s="20">
        <f>IFERROR(INDEX('Kode Outlet dan Target Toko'!$D:$D,MATCH($I3061,'Kode Outlet dan Target Toko'!$E:$E,0)),0)</f>
        <v>202879</v>
      </c>
      <c r="I3061" s="42" t="s">
        <v>70</v>
      </c>
      <c r="J3061" s="56" t="s">
        <v>289</v>
      </c>
      <c r="K3061" s="40" t="s">
        <v>13</v>
      </c>
      <c r="L3061" s="26">
        <v>6400</v>
      </c>
      <c r="M3061" s="26">
        <v>20</v>
      </c>
      <c r="N3061" s="25">
        <f t="shared" si="95"/>
        <v>128000</v>
      </c>
      <c r="O3061" s="56"/>
    </row>
    <row r="3062" spans="1:15" hidden="1" x14ac:dyDescent="0.3">
      <c r="A3062" s="26">
        <v>32</v>
      </c>
      <c r="B3062" s="20" t="str">
        <f t="shared" si="94"/>
        <v>AUG</v>
      </c>
      <c r="C3062" s="21">
        <v>46243</v>
      </c>
      <c r="D3062" s="22" t="s">
        <v>75</v>
      </c>
      <c r="E3062" s="20" t="str">
        <f>IFERROR(VLOOKUP(I3062,KET!$B:$F,4,0),"")</f>
        <v>AFNITA SARI</v>
      </c>
      <c r="F3062" s="20" t="s">
        <v>78</v>
      </c>
      <c r="G3062" s="20">
        <f>IFERROR(INDEX('Kode Outlet dan Target Toko'!$C:$C,MATCH($I3062,'Kode Outlet dan Target Toko'!$E:$E,0)),0)</f>
        <v>122506</v>
      </c>
      <c r="H3062" s="20">
        <f>IFERROR(INDEX('Kode Outlet dan Target Toko'!$D:$D,MATCH($I3062,'Kode Outlet dan Target Toko'!$E:$E,0)),0)</f>
        <v>202879</v>
      </c>
      <c r="I3062" s="42" t="s">
        <v>70</v>
      </c>
      <c r="J3062" s="56" t="s">
        <v>289</v>
      </c>
      <c r="K3062" s="40" t="s">
        <v>16</v>
      </c>
      <c r="L3062" s="26">
        <v>6400</v>
      </c>
      <c r="M3062" s="26">
        <v>87</v>
      </c>
      <c r="N3062" s="25">
        <f t="shared" si="95"/>
        <v>556800</v>
      </c>
      <c r="O3062" s="56">
        <v>160</v>
      </c>
    </row>
    <row r="3063" spans="1:15" hidden="1" x14ac:dyDescent="0.3">
      <c r="A3063" s="26">
        <v>32</v>
      </c>
      <c r="B3063" s="20" t="str">
        <f t="shared" si="94"/>
        <v>AUG</v>
      </c>
      <c r="C3063" s="21">
        <v>46243</v>
      </c>
      <c r="D3063" s="22" t="s">
        <v>75</v>
      </c>
      <c r="E3063" s="20" t="str">
        <f>IFERROR(VLOOKUP(I3063,KET!$B:$F,4,0),"")</f>
        <v>AFNITA SARI</v>
      </c>
      <c r="F3063" s="20" t="s">
        <v>78</v>
      </c>
      <c r="G3063" s="20">
        <f>IFERROR(INDEX('Kode Outlet dan Target Toko'!$C:$C,MATCH($I3063,'Kode Outlet dan Target Toko'!$E:$E,0)),0)</f>
        <v>122506</v>
      </c>
      <c r="H3063" s="20">
        <f>IFERROR(INDEX('Kode Outlet dan Target Toko'!$D:$D,MATCH($I3063,'Kode Outlet dan Target Toko'!$E:$E,0)),0)</f>
        <v>202879</v>
      </c>
      <c r="I3063" s="42" t="s">
        <v>70</v>
      </c>
      <c r="J3063" s="56" t="s">
        <v>290</v>
      </c>
      <c r="K3063" s="40" t="s">
        <v>15</v>
      </c>
      <c r="L3063" s="26">
        <v>6400</v>
      </c>
      <c r="M3063" s="26">
        <v>37</v>
      </c>
      <c r="N3063" s="25">
        <f t="shared" si="95"/>
        <v>236800</v>
      </c>
      <c r="O3063" s="56"/>
    </row>
    <row r="3064" spans="1:15" hidden="1" x14ac:dyDescent="0.3">
      <c r="A3064" s="26">
        <v>32</v>
      </c>
      <c r="B3064" s="20" t="str">
        <f t="shared" si="94"/>
        <v>AUG</v>
      </c>
      <c r="C3064" s="21">
        <v>46243</v>
      </c>
      <c r="D3064" s="22" t="s">
        <v>75</v>
      </c>
      <c r="E3064" s="20" t="str">
        <f>IFERROR(VLOOKUP(I3064,KET!$B:$F,4,0),"")</f>
        <v>AFNITA SARI</v>
      </c>
      <c r="F3064" s="20" t="s">
        <v>78</v>
      </c>
      <c r="G3064" s="20">
        <f>IFERROR(INDEX('Kode Outlet dan Target Toko'!$C:$C,MATCH($I3064,'Kode Outlet dan Target Toko'!$E:$E,0)),0)</f>
        <v>122506</v>
      </c>
      <c r="H3064" s="20">
        <f>IFERROR(INDEX('Kode Outlet dan Target Toko'!$D:$D,MATCH($I3064,'Kode Outlet dan Target Toko'!$E:$E,0)),0)</f>
        <v>202879</v>
      </c>
      <c r="I3064" s="42" t="s">
        <v>70</v>
      </c>
      <c r="J3064" s="56" t="s">
        <v>290</v>
      </c>
      <c r="K3064" s="40" t="s">
        <v>14</v>
      </c>
      <c r="L3064" s="26">
        <v>6400</v>
      </c>
      <c r="M3064" s="26">
        <v>40</v>
      </c>
      <c r="N3064" s="25">
        <f t="shared" si="95"/>
        <v>256000</v>
      </c>
      <c r="O3064" s="56"/>
    </row>
    <row r="3065" spans="1:15" hidden="1" x14ac:dyDescent="0.3">
      <c r="A3065" s="26">
        <v>32</v>
      </c>
      <c r="B3065" s="20" t="str">
        <f t="shared" si="94"/>
        <v>AUG</v>
      </c>
      <c r="C3065" s="21">
        <v>46243</v>
      </c>
      <c r="D3065" s="22" t="s">
        <v>75</v>
      </c>
      <c r="E3065" s="20" t="str">
        <f>IFERROR(VLOOKUP(I3065,KET!$B:$F,4,0),"")</f>
        <v>AFNITA SARI</v>
      </c>
      <c r="F3065" s="20" t="s">
        <v>78</v>
      </c>
      <c r="G3065" s="20">
        <f>IFERROR(INDEX('Kode Outlet dan Target Toko'!$C:$C,MATCH($I3065,'Kode Outlet dan Target Toko'!$E:$E,0)),0)</f>
        <v>122506</v>
      </c>
      <c r="H3065" s="20">
        <f>IFERROR(INDEX('Kode Outlet dan Target Toko'!$D:$D,MATCH($I3065,'Kode Outlet dan Target Toko'!$E:$E,0)),0)</f>
        <v>202879</v>
      </c>
      <c r="I3065" s="42" t="s">
        <v>70</v>
      </c>
      <c r="J3065" s="56" t="s">
        <v>290</v>
      </c>
      <c r="K3065" s="40" t="s">
        <v>13</v>
      </c>
      <c r="L3065" s="26">
        <v>6400</v>
      </c>
      <c r="M3065" s="26">
        <v>20</v>
      </c>
      <c r="N3065" s="25">
        <f t="shared" si="95"/>
        <v>128000</v>
      </c>
      <c r="O3065" s="56"/>
    </row>
    <row r="3066" spans="1:15" hidden="1" x14ac:dyDescent="0.3">
      <c r="A3066" s="26">
        <v>32</v>
      </c>
      <c r="B3066" s="20" t="str">
        <f t="shared" si="94"/>
        <v>AUG</v>
      </c>
      <c r="C3066" s="21">
        <v>46243</v>
      </c>
      <c r="D3066" s="22" t="s">
        <v>75</v>
      </c>
      <c r="E3066" s="20" t="str">
        <f>IFERROR(VLOOKUP(I3066,KET!$B:$F,4,0),"")</f>
        <v>AFNITA SARI</v>
      </c>
      <c r="F3066" s="20" t="s">
        <v>78</v>
      </c>
      <c r="G3066" s="20">
        <f>IFERROR(INDEX('Kode Outlet dan Target Toko'!$C:$C,MATCH($I3066,'Kode Outlet dan Target Toko'!$E:$E,0)),0)</f>
        <v>122506</v>
      </c>
      <c r="H3066" s="20">
        <f>IFERROR(INDEX('Kode Outlet dan Target Toko'!$D:$D,MATCH($I3066,'Kode Outlet dan Target Toko'!$E:$E,0)),0)</f>
        <v>202879</v>
      </c>
      <c r="I3066" s="42" t="s">
        <v>70</v>
      </c>
      <c r="J3066" s="56" t="s">
        <v>290</v>
      </c>
      <c r="K3066" s="40" t="s">
        <v>16</v>
      </c>
      <c r="L3066" s="26">
        <v>6400</v>
      </c>
      <c r="M3066" s="26">
        <v>87</v>
      </c>
      <c r="N3066" s="25">
        <f t="shared" si="95"/>
        <v>556800</v>
      </c>
      <c r="O3066" s="56">
        <v>160</v>
      </c>
    </row>
    <row r="3067" spans="1:15" hidden="1" x14ac:dyDescent="0.3">
      <c r="A3067" s="26">
        <v>32</v>
      </c>
      <c r="B3067" s="20" t="str">
        <f t="shared" si="94"/>
        <v>AUG</v>
      </c>
      <c r="C3067" s="21">
        <v>46243</v>
      </c>
      <c r="D3067" s="22" t="s">
        <v>75</v>
      </c>
      <c r="E3067" s="20" t="str">
        <f>IFERROR(VLOOKUP(I3067,KET!$B:$F,4,0),"")</f>
        <v>AFNITA SARI</v>
      </c>
      <c r="F3067" s="20" t="s">
        <v>78</v>
      </c>
      <c r="G3067" s="20">
        <f>IFERROR(INDEX('Kode Outlet dan Target Toko'!$C:$C,MATCH($I3067,'Kode Outlet dan Target Toko'!$E:$E,0)),0)</f>
        <v>122506</v>
      </c>
      <c r="H3067" s="20">
        <f>IFERROR(INDEX('Kode Outlet dan Target Toko'!$D:$D,MATCH($I3067,'Kode Outlet dan Target Toko'!$E:$E,0)),0)</f>
        <v>202816</v>
      </c>
      <c r="I3067" s="42" t="s">
        <v>71</v>
      </c>
      <c r="J3067" s="56" t="s">
        <v>295</v>
      </c>
      <c r="K3067" s="40" t="s">
        <v>15</v>
      </c>
      <c r="L3067" s="26">
        <v>7000</v>
      </c>
      <c r="M3067" s="26">
        <v>10</v>
      </c>
      <c r="N3067" s="25">
        <f t="shared" si="95"/>
        <v>70000</v>
      </c>
      <c r="O3067" s="56"/>
    </row>
    <row r="3068" spans="1:15" hidden="1" x14ac:dyDescent="0.3">
      <c r="A3068" s="26">
        <v>32</v>
      </c>
      <c r="B3068" s="20" t="str">
        <f t="shared" si="94"/>
        <v>AUG</v>
      </c>
      <c r="C3068" s="21">
        <v>46243</v>
      </c>
      <c r="D3068" s="22" t="s">
        <v>75</v>
      </c>
      <c r="E3068" s="20" t="str">
        <f>IFERROR(VLOOKUP(I3068,KET!$B:$F,4,0),"")</f>
        <v>AFNITA SARI</v>
      </c>
      <c r="F3068" s="20" t="s">
        <v>78</v>
      </c>
      <c r="G3068" s="20">
        <f>IFERROR(INDEX('Kode Outlet dan Target Toko'!$C:$C,MATCH($I3068,'Kode Outlet dan Target Toko'!$E:$E,0)),0)</f>
        <v>122506</v>
      </c>
      <c r="H3068" s="20">
        <f>IFERROR(INDEX('Kode Outlet dan Target Toko'!$D:$D,MATCH($I3068,'Kode Outlet dan Target Toko'!$E:$E,0)),0)</f>
        <v>202816</v>
      </c>
      <c r="I3068" s="42" t="s">
        <v>71</v>
      </c>
      <c r="J3068" s="56" t="s">
        <v>295</v>
      </c>
      <c r="K3068" s="40" t="s">
        <v>14</v>
      </c>
      <c r="L3068" s="26">
        <v>7000</v>
      </c>
      <c r="M3068" s="26">
        <v>13</v>
      </c>
      <c r="N3068" s="25">
        <f t="shared" si="95"/>
        <v>91000</v>
      </c>
      <c r="O3068" s="56"/>
    </row>
    <row r="3069" spans="1:15" hidden="1" x14ac:dyDescent="0.3">
      <c r="A3069" s="26">
        <v>32</v>
      </c>
      <c r="B3069" s="20" t="str">
        <f t="shared" si="94"/>
        <v>AUG</v>
      </c>
      <c r="C3069" s="21">
        <v>46243</v>
      </c>
      <c r="D3069" s="22" t="s">
        <v>75</v>
      </c>
      <c r="E3069" s="20" t="str">
        <f>IFERROR(VLOOKUP(I3069,KET!$B:$F,4,0),"")</f>
        <v>AFNITA SARI</v>
      </c>
      <c r="F3069" s="20" t="s">
        <v>78</v>
      </c>
      <c r="G3069" s="20">
        <f>IFERROR(INDEX('Kode Outlet dan Target Toko'!$C:$C,MATCH($I3069,'Kode Outlet dan Target Toko'!$E:$E,0)),0)</f>
        <v>122506</v>
      </c>
      <c r="H3069" s="20">
        <f>IFERROR(INDEX('Kode Outlet dan Target Toko'!$D:$D,MATCH($I3069,'Kode Outlet dan Target Toko'!$E:$E,0)),0)</f>
        <v>202816</v>
      </c>
      <c r="I3069" s="42" t="s">
        <v>71</v>
      </c>
      <c r="J3069" s="56" t="s">
        <v>295</v>
      </c>
      <c r="K3069" s="40" t="s">
        <v>13</v>
      </c>
      <c r="L3069" s="26">
        <v>7000</v>
      </c>
      <c r="M3069" s="26">
        <v>8</v>
      </c>
      <c r="N3069" s="25">
        <f t="shared" si="95"/>
        <v>56000</v>
      </c>
      <c r="O3069" s="56"/>
    </row>
    <row r="3070" spans="1:15" hidden="1" x14ac:dyDescent="0.3">
      <c r="A3070" s="26">
        <v>32</v>
      </c>
      <c r="B3070" s="20" t="str">
        <f t="shared" si="94"/>
        <v>AUG</v>
      </c>
      <c r="C3070" s="21">
        <v>46243</v>
      </c>
      <c r="D3070" s="22" t="s">
        <v>75</v>
      </c>
      <c r="E3070" s="20" t="str">
        <f>IFERROR(VLOOKUP(I3070,KET!$B:$F,4,0),"")</f>
        <v>AFNITA SARI</v>
      </c>
      <c r="F3070" s="20" t="s">
        <v>78</v>
      </c>
      <c r="G3070" s="20">
        <f>IFERROR(INDEX('Kode Outlet dan Target Toko'!$C:$C,MATCH($I3070,'Kode Outlet dan Target Toko'!$E:$E,0)),0)</f>
        <v>122506</v>
      </c>
      <c r="H3070" s="20">
        <f>IFERROR(INDEX('Kode Outlet dan Target Toko'!$D:$D,MATCH($I3070,'Kode Outlet dan Target Toko'!$E:$E,0)),0)</f>
        <v>202816</v>
      </c>
      <c r="I3070" s="42" t="s">
        <v>71</v>
      </c>
      <c r="J3070" s="56" t="s">
        <v>295</v>
      </c>
      <c r="K3070" s="40" t="s">
        <v>16</v>
      </c>
      <c r="L3070" s="26">
        <v>7000</v>
      </c>
      <c r="M3070" s="26">
        <v>29</v>
      </c>
      <c r="N3070" s="25">
        <f t="shared" si="95"/>
        <v>203000</v>
      </c>
      <c r="O3070" s="56">
        <v>160</v>
      </c>
    </row>
    <row r="3071" spans="1:15" hidden="1" x14ac:dyDescent="0.3">
      <c r="A3071" s="26">
        <v>32</v>
      </c>
      <c r="B3071" s="20" t="str">
        <f t="shared" si="94"/>
        <v>AUG</v>
      </c>
      <c r="C3071" s="21">
        <v>46243</v>
      </c>
      <c r="D3071" s="22" t="s">
        <v>75</v>
      </c>
      <c r="E3071" s="20" t="str">
        <f>IFERROR(VLOOKUP(I3071,KET!$B:$F,4,0),"")</f>
        <v>AFNITA SARI</v>
      </c>
      <c r="F3071" s="20" t="s">
        <v>78</v>
      </c>
      <c r="G3071" s="20">
        <f>IFERROR(INDEX('Kode Outlet dan Target Toko'!$C:$C,MATCH($I3071,'Kode Outlet dan Target Toko'!$E:$E,0)),0)</f>
        <v>122506</v>
      </c>
      <c r="H3071" s="20">
        <f>IFERROR(INDEX('Kode Outlet dan Target Toko'!$D:$D,MATCH($I3071,'Kode Outlet dan Target Toko'!$E:$E,0)),0)</f>
        <v>202816</v>
      </c>
      <c r="I3071" s="42" t="s">
        <v>71</v>
      </c>
      <c r="J3071" s="56" t="s">
        <v>296</v>
      </c>
      <c r="K3071" s="40" t="s">
        <v>15</v>
      </c>
      <c r="L3071" s="26">
        <v>7000</v>
      </c>
      <c r="M3071" s="26">
        <v>10</v>
      </c>
      <c r="N3071" s="25">
        <f t="shared" si="95"/>
        <v>70000</v>
      </c>
      <c r="O3071" s="56"/>
    </row>
    <row r="3072" spans="1:15" hidden="1" x14ac:dyDescent="0.3">
      <c r="A3072" s="26">
        <v>32</v>
      </c>
      <c r="B3072" s="20" t="str">
        <f t="shared" si="94"/>
        <v>AUG</v>
      </c>
      <c r="C3072" s="21">
        <v>46243</v>
      </c>
      <c r="D3072" s="22" t="s">
        <v>75</v>
      </c>
      <c r="E3072" s="20" t="str">
        <f>IFERROR(VLOOKUP(I3072,KET!$B:$F,4,0),"")</f>
        <v>AFNITA SARI</v>
      </c>
      <c r="F3072" s="20" t="s">
        <v>78</v>
      </c>
      <c r="G3072" s="20">
        <f>IFERROR(INDEX('Kode Outlet dan Target Toko'!$C:$C,MATCH($I3072,'Kode Outlet dan Target Toko'!$E:$E,0)),0)</f>
        <v>122506</v>
      </c>
      <c r="H3072" s="20">
        <f>IFERROR(INDEX('Kode Outlet dan Target Toko'!$D:$D,MATCH($I3072,'Kode Outlet dan Target Toko'!$E:$E,0)),0)</f>
        <v>202816</v>
      </c>
      <c r="I3072" s="42" t="s">
        <v>71</v>
      </c>
      <c r="J3072" s="56" t="s">
        <v>296</v>
      </c>
      <c r="K3072" s="40" t="s">
        <v>14</v>
      </c>
      <c r="L3072" s="26">
        <v>7000</v>
      </c>
      <c r="M3072" s="26">
        <v>13</v>
      </c>
      <c r="N3072" s="25">
        <f t="shared" si="95"/>
        <v>91000</v>
      </c>
      <c r="O3072" s="56"/>
    </row>
    <row r="3073" spans="1:15" hidden="1" x14ac:dyDescent="0.3">
      <c r="A3073" s="26">
        <v>32</v>
      </c>
      <c r="B3073" s="20" t="str">
        <f t="shared" si="94"/>
        <v>AUG</v>
      </c>
      <c r="C3073" s="21">
        <v>46243</v>
      </c>
      <c r="D3073" s="22" t="s">
        <v>75</v>
      </c>
      <c r="E3073" s="20" t="str">
        <f>IFERROR(VLOOKUP(I3073,KET!$B:$F,4,0),"")</f>
        <v>AFNITA SARI</v>
      </c>
      <c r="F3073" s="20" t="s">
        <v>78</v>
      </c>
      <c r="G3073" s="20">
        <f>IFERROR(INDEX('Kode Outlet dan Target Toko'!$C:$C,MATCH($I3073,'Kode Outlet dan Target Toko'!$E:$E,0)),0)</f>
        <v>122506</v>
      </c>
      <c r="H3073" s="20">
        <f>IFERROR(INDEX('Kode Outlet dan Target Toko'!$D:$D,MATCH($I3073,'Kode Outlet dan Target Toko'!$E:$E,0)),0)</f>
        <v>202816</v>
      </c>
      <c r="I3073" s="42" t="s">
        <v>71</v>
      </c>
      <c r="J3073" s="56" t="s">
        <v>296</v>
      </c>
      <c r="K3073" s="40" t="s">
        <v>13</v>
      </c>
      <c r="L3073" s="26">
        <v>7000</v>
      </c>
      <c r="M3073" s="26">
        <v>7</v>
      </c>
      <c r="N3073" s="25">
        <f t="shared" si="95"/>
        <v>49000</v>
      </c>
      <c r="O3073" s="56"/>
    </row>
    <row r="3074" spans="1:15" hidden="1" x14ac:dyDescent="0.3">
      <c r="A3074" s="26">
        <v>32</v>
      </c>
      <c r="B3074" s="20" t="str">
        <f t="shared" si="94"/>
        <v>AUG</v>
      </c>
      <c r="C3074" s="21">
        <v>46243</v>
      </c>
      <c r="D3074" s="22" t="s">
        <v>75</v>
      </c>
      <c r="E3074" s="20" t="str">
        <f>IFERROR(VLOOKUP(I3074,KET!$B:$F,4,0),"")</f>
        <v>AFNITA SARI</v>
      </c>
      <c r="F3074" s="20" t="s">
        <v>78</v>
      </c>
      <c r="G3074" s="20">
        <f>IFERROR(INDEX('Kode Outlet dan Target Toko'!$C:$C,MATCH($I3074,'Kode Outlet dan Target Toko'!$E:$E,0)),0)</f>
        <v>122506</v>
      </c>
      <c r="H3074" s="20">
        <f>IFERROR(INDEX('Kode Outlet dan Target Toko'!$D:$D,MATCH($I3074,'Kode Outlet dan Target Toko'!$E:$E,0)),0)</f>
        <v>202816</v>
      </c>
      <c r="I3074" s="42" t="s">
        <v>71</v>
      </c>
      <c r="J3074" s="56" t="s">
        <v>296</v>
      </c>
      <c r="K3074" s="40" t="s">
        <v>16</v>
      </c>
      <c r="L3074" s="26">
        <v>7000</v>
      </c>
      <c r="M3074" s="26">
        <v>29</v>
      </c>
      <c r="N3074" s="25">
        <f t="shared" si="95"/>
        <v>203000</v>
      </c>
      <c r="O3074" s="56">
        <v>160</v>
      </c>
    </row>
    <row r="3075" spans="1:15" hidden="1" x14ac:dyDescent="0.3">
      <c r="A3075" s="26">
        <v>32</v>
      </c>
      <c r="B3075" s="20" t="str">
        <f t="shared" si="94"/>
        <v>AUG</v>
      </c>
      <c r="C3075" s="21">
        <v>46243</v>
      </c>
      <c r="D3075" s="22" t="s">
        <v>75</v>
      </c>
      <c r="E3075" s="20" t="str">
        <f>IFERROR(VLOOKUP(I3075,KET!$B:$F,4,0),"")</f>
        <v>AFNITA SARI</v>
      </c>
      <c r="F3075" s="20" t="s">
        <v>78</v>
      </c>
      <c r="G3075" s="20">
        <f>IFERROR(INDEX('Kode Outlet dan Target Toko'!$C:$C,MATCH($I3075,'Kode Outlet dan Target Toko'!$E:$E,0)),0)</f>
        <v>122506</v>
      </c>
      <c r="H3075" s="20">
        <f>IFERROR(INDEX('Kode Outlet dan Target Toko'!$D:$D,MATCH($I3075,'Kode Outlet dan Target Toko'!$E:$E,0)),0)</f>
        <v>214300</v>
      </c>
      <c r="I3075" s="42" t="s">
        <v>73</v>
      </c>
      <c r="J3075" s="56" t="s">
        <v>291</v>
      </c>
      <c r="K3075" s="40" t="s">
        <v>15</v>
      </c>
      <c r="L3075" s="26">
        <v>7000</v>
      </c>
      <c r="M3075" s="26">
        <v>20</v>
      </c>
      <c r="N3075" s="25">
        <f t="shared" si="95"/>
        <v>140000</v>
      </c>
      <c r="O3075" s="56"/>
    </row>
    <row r="3076" spans="1:15" hidden="1" x14ac:dyDescent="0.3">
      <c r="A3076" s="26">
        <v>32</v>
      </c>
      <c r="B3076" s="20" t="str">
        <f t="shared" si="94"/>
        <v>AUG</v>
      </c>
      <c r="C3076" s="21">
        <v>46243</v>
      </c>
      <c r="D3076" s="22" t="s">
        <v>75</v>
      </c>
      <c r="E3076" s="20" t="str">
        <f>IFERROR(VLOOKUP(I3076,KET!$B:$F,4,0),"")</f>
        <v>AFNITA SARI</v>
      </c>
      <c r="F3076" s="20" t="s">
        <v>78</v>
      </c>
      <c r="G3076" s="20">
        <f>IFERROR(INDEX('Kode Outlet dan Target Toko'!$C:$C,MATCH($I3076,'Kode Outlet dan Target Toko'!$E:$E,0)),0)</f>
        <v>122506</v>
      </c>
      <c r="H3076" s="20">
        <f>IFERROR(INDEX('Kode Outlet dan Target Toko'!$D:$D,MATCH($I3076,'Kode Outlet dan Target Toko'!$E:$E,0)),0)</f>
        <v>214300</v>
      </c>
      <c r="I3076" s="42" t="s">
        <v>73</v>
      </c>
      <c r="J3076" s="56" t="s">
        <v>291</v>
      </c>
      <c r="K3076" s="40" t="s">
        <v>14</v>
      </c>
      <c r="L3076" s="26">
        <v>7000</v>
      </c>
      <c r="M3076" s="26">
        <v>26</v>
      </c>
      <c r="N3076" s="25">
        <f t="shared" si="95"/>
        <v>182000</v>
      </c>
      <c r="O3076" s="56"/>
    </row>
    <row r="3077" spans="1:15" hidden="1" x14ac:dyDescent="0.3">
      <c r="A3077" s="26">
        <v>32</v>
      </c>
      <c r="B3077" s="20" t="str">
        <f t="shared" si="94"/>
        <v>AUG</v>
      </c>
      <c r="C3077" s="21">
        <v>46243</v>
      </c>
      <c r="D3077" s="22" t="s">
        <v>75</v>
      </c>
      <c r="E3077" s="20" t="str">
        <f>IFERROR(VLOOKUP(I3077,KET!$B:$F,4,0),"")</f>
        <v>AFNITA SARI</v>
      </c>
      <c r="F3077" s="20" t="s">
        <v>78</v>
      </c>
      <c r="G3077" s="20">
        <f>IFERROR(INDEX('Kode Outlet dan Target Toko'!$C:$C,MATCH($I3077,'Kode Outlet dan Target Toko'!$E:$E,0)),0)</f>
        <v>122506</v>
      </c>
      <c r="H3077" s="20">
        <f>IFERROR(INDEX('Kode Outlet dan Target Toko'!$D:$D,MATCH($I3077,'Kode Outlet dan Target Toko'!$E:$E,0)),0)</f>
        <v>214300</v>
      </c>
      <c r="I3077" s="42" t="s">
        <v>73</v>
      </c>
      <c r="J3077" s="56" t="s">
        <v>291</v>
      </c>
      <c r="K3077" s="40" t="s">
        <v>13</v>
      </c>
      <c r="L3077" s="26">
        <v>7000</v>
      </c>
      <c r="M3077" s="26">
        <v>15</v>
      </c>
      <c r="N3077" s="25">
        <f t="shared" si="95"/>
        <v>105000</v>
      </c>
      <c r="O3077" s="56"/>
    </row>
    <row r="3078" spans="1:15" hidden="1" x14ac:dyDescent="0.3">
      <c r="A3078" s="26">
        <v>32</v>
      </c>
      <c r="B3078" s="20" t="str">
        <f t="shared" si="94"/>
        <v>AUG</v>
      </c>
      <c r="C3078" s="21">
        <v>46243</v>
      </c>
      <c r="D3078" s="22" t="s">
        <v>75</v>
      </c>
      <c r="E3078" s="20" t="str">
        <f>IFERROR(VLOOKUP(I3078,KET!$B:$F,4,0),"")</f>
        <v>AFNITA SARI</v>
      </c>
      <c r="F3078" s="20" t="s">
        <v>78</v>
      </c>
      <c r="G3078" s="20">
        <f>IFERROR(INDEX('Kode Outlet dan Target Toko'!$C:$C,MATCH($I3078,'Kode Outlet dan Target Toko'!$E:$E,0)),0)</f>
        <v>122506</v>
      </c>
      <c r="H3078" s="20">
        <f>IFERROR(INDEX('Kode Outlet dan Target Toko'!$D:$D,MATCH($I3078,'Kode Outlet dan Target Toko'!$E:$E,0)),0)</f>
        <v>214300</v>
      </c>
      <c r="I3078" s="42" t="s">
        <v>73</v>
      </c>
      <c r="J3078" s="56" t="s">
        <v>291</v>
      </c>
      <c r="K3078" s="40" t="s">
        <v>16</v>
      </c>
      <c r="L3078" s="26">
        <v>7000</v>
      </c>
      <c r="M3078" s="26">
        <v>45</v>
      </c>
      <c r="N3078" s="25">
        <f t="shared" si="95"/>
        <v>315000</v>
      </c>
      <c r="O3078" s="56">
        <v>160</v>
      </c>
    </row>
    <row r="3079" spans="1:15" hidden="1" x14ac:dyDescent="0.3">
      <c r="A3079" s="26">
        <v>32</v>
      </c>
      <c r="B3079" s="20" t="str">
        <f t="shared" ref="B3079:B3142" si="96">IF(C3079="","",UPPER(TEXT(C3079, "MMM")))</f>
        <v>AUG</v>
      </c>
      <c r="C3079" s="21">
        <v>46243</v>
      </c>
      <c r="D3079" s="22" t="s">
        <v>75</v>
      </c>
      <c r="E3079" s="20" t="str">
        <f>IFERROR(VLOOKUP(I3079,KET!$B:$F,4,0),"")</f>
        <v>AFNITA SARI</v>
      </c>
      <c r="F3079" s="20" t="s">
        <v>78</v>
      </c>
      <c r="G3079" s="20">
        <f>IFERROR(INDEX('Kode Outlet dan Target Toko'!$C:$C,MATCH($I3079,'Kode Outlet dan Target Toko'!$E:$E,0)),0)</f>
        <v>122506</v>
      </c>
      <c r="H3079" s="20">
        <f>IFERROR(INDEX('Kode Outlet dan Target Toko'!$D:$D,MATCH($I3079,'Kode Outlet dan Target Toko'!$E:$E,0)),0)</f>
        <v>214300</v>
      </c>
      <c r="I3079" s="42" t="s">
        <v>73</v>
      </c>
      <c r="J3079" s="56" t="s">
        <v>292</v>
      </c>
      <c r="K3079" s="40" t="s">
        <v>15</v>
      </c>
      <c r="L3079" s="26">
        <v>7000</v>
      </c>
      <c r="M3079" s="26">
        <v>20</v>
      </c>
      <c r="N3079" s="25">
        <f t="shared" ref="N3079:N3142" si="97">IFERROR(M3079*L3079,"")</f>
        <v>140000</v>
      </c>
      <c r="O3079" s="56"/>
    </row>
    <row r="3080" spans="1:15" hidden="1" x14ac:dyDescent="0.3">
      <c r="A3080" s="26">
        <v>32</v>
      </c>
      <c r="B3080" s="20" t="str">
        <f t="shared" si="96"/>
        <v>AUG</v>
      </c>
      <c r="C3080" s="21">
        <v>46243</v>
      </c>
      <c r="D3080" s="22" t="s">
        <v>75</v>
      </c>
      <c r="E3080" s="20" t="str">
        <f>IFERROR(VLOOKUP(I3080,KET!$B:$F,4,0),"")</f>
        <v>AFNITA SARI</v>
      </c>
      <c r="F3080" s="20" t="s">
        <v>78</v>
      </c>
      <c r="G3080" s="20">
        <f>IFERROR(INDEX('Kode Outlet dan Target Toko'!$C:$C,MATCH($I3080,'Kode Outlet dan Target Toko'!$E:$E,0)),0)</f>
        <v>122506</v>
      </c>
      <c r="H3080" s="20">
        <f>IFERROR(INDEX('Kode Outlet dan Target Toko'!$D:$D,MATCH($I3080,'Kode Outlet dan Target Toko'!$E:$E,0)),0)</f>
        <v>214300</v>
      </c>
      <c r="I3080" s="42" t="s">
        <v>73</v>
      </c>
      <c r="J3080" s="56" t="s">
        <v>292</v>
      </c>
      <c r="K3080" s="40" t="s">
        <v>14</v>
      </c>
      <c r="L3080" s="26">
        <v>7000</v>
      </c>
      <c r="M3080" s="26">
        <v>26</v>
      </c>
      <c r="N3080" s="25">
        <f t="shared" si="97"/>
        <v>182000</v>
      </c>
      <c r="O3080" s="56"/>
    </row>
    <row r="3081" spans="1:15" hidden="1" x14ac:dyDescent="0.3">
      <c r="A3081" s="26">
        <v>32</v>
      </c>
      <c r="B3081" s="20" t="str">
        <f t="shared" si="96"/>
        <v>AUG</v>
      </c>
      <c r="C3081" s="21">
        <v>46243</v>
      </c>
      <c r="D3081" s="22" t="s">
        <v>75</v>
      </c>
      <c r="E3081" s="20" t="str">
        <f>IFERROR(VLOOKUP(I3081,KET!$B:$F,4,0),"")</f>
        <v>AFNITA SARI</v>
      </c>
      <c r="F3081" s="20" t="s">
        <v>78</v>
      </c>
      <c r="G3081" s="20">
        <f>IFERROR(INDEX('Kode Outlet dan Target Toko'!$C:$C,MATCH($I3081,'Kode Outlet dan Target Toko'!$E:$E,0)),0)</f>
        <v>122506</v>
      </c>
      <c r="H3081" s="20">
        <f>IFERROR(INDEX('Kode Outlet dan Target Toko'!$D:$D,MATCH($I3081,'Kode Outlet dan Target Toko'!$E:$E,0)),0)</f>
        <v>214300</v>
      </c>
      <c r="I3081" s="42" t="s">
        <v>73</v>
      </c>
      <c r="J3081" s="56" t="s">
        <v>292</v>
      </c>
      <c r="K3081" s="40" t="s">
        <v>13</v>
      </c>
      <c r="L3081" s="26">
        <v>7000</v>
      </c>
      <c r="M3081" s="26">
        <v>15</v>
      </c>
      <c r="N3081" s="25">
        <f t="shared" si="97"/>
        <v>105000</v>
      </c>
      <c r="O3081" s="56"/>
    </row>
    <row r="3082" spans="1:15" hidden="1" x14ac:dyDescent="0.3">
      <c r="A3082" s="26">
        <v>32</v>
      </c>
      <c r="B3082" s="20" t="str">
        <f t="shared" si="96"/>
        <v>AUG</v>
      </c>
      <c r="C3082" s="21">
        <v>46243</v>
      </c>
      <c r="D3082" s="22" t="s">
        <v>75</v>
      </c>
      <c r="E3082" s="20" t="str">
        <f>IFERROR(VLOOKUP(I3082,KET!$B:$F,4,0),"")</f>
        <v>AFNITA SARI</v>
      </c>
      <c r="F3082" s="20" t="s">
        <v>78</v>
      </c>
      <c r="G3082" s="20">
        <f>IFERROR(INDEX('Kode Outlet dan Target Toko'!$C:$C,MATCH($I3082,'Kode Outlet dan Target Toko'!$E:$E,0)),0)</f>
        <v>122506</v>
      </c>
      <c r="H3082" s="20">
        <f>IFERROR(INDEX('Kode Outlet dan Target Toko'!$D:$D,MATCH($I3082,'Kode Outlet dan Target Toko'!$E:$E,0)),0)</f>
        <v>214300</v>
      </c>
      <c r="I3082" s="42" t="s">
        <v>73</v>
      </c>
      <c r="J3082" s="56" t="s">
        <v>292</v>
      </c>
      <c r="K3082" s="40" t="s">
        <v>16</v>
      </c>
      <c r="L3082" s="26">
        <v>7000</v>
      </c>
      <c r="M3082" s="26">
        <v>45</v>
      </c>
      <c r="N3082" s="25">
        <f t="shared" si="97"/>
        <v>315000</v>
      </c>
      <c r="O3082" s="56">
        <v>160</v>
      </c>
    </row>
    <row r="3083" spans="1:15" hidden="1" x14ac:dyDescent="0.3">
      <c r="A3083" s="26">
        <v>32</v>
      </c>
      <c r="B3083" s="20" t="str">
        <f t="shared" si="96"/>
        <v>AUG</v>
      </c>
      <c r="C3083" s="21">
        <v>46243</v>
      </c>
      <c r="D3083" s="22" t="s">
        <v>75</v>
      </c>
      <c r="E3083" s="20" t="str">
        <f>IFERROR(VLOOKUP(I3083,KET!$B:$F,4,0),"")</f>
        <v>AFNITA SARI</v>
      </c>
      <c r="F3083" s="20" t="s">
        <v>78</v>
      </c>
      <c r="G3083" s="20">
        <f>IFERROR(INDEX('Kode Outlet dan Target Toko'!$C:$C,MATCH($I3083,'Kode Outlet dan Target Toko'!$E:$E,0)),0)</f>
        <v>122506</v>
      </c>
      <c r="H3083" s="20">
        <f>IFERROR(INDEX('Kode Outlet dan Target Toko'!$D:$D,MATCH($I3083,'Kode Outlet dan Target Toko'!$E:$E,0)),0)</f>
        <v>214422</v>
      </c>
      <c r="I3083" s="42" t="s">
        <v>72</v>
      </c>
      <c r="J3083" s="56" t="s">
        <v>294</v>
      </c>
      <c r="K3083" s="40" t="s">
        <v>15</v>
      </c>
      <c r="L3083" s="26">
        <v>6400</v>
      </c>
      <c r="M3083" s="26">
        <v>40</v>
      </c>
      <c r="N3083" s="25">
        <f t="shared" si="97"/>
        <v>256000</v>
      </c>
      <c r="O3083" s="56"/>
    </row>
    <row r="3084" spans="1:15" hidden="1" x14ac:dyDescent="0.3">
      <c r="A3084" s="26">
        <v>32</v>
      </c>
      <c r="B3084" s="20" t="str">
        <f t="shared" si="96"/>
        <v>AUG</v>
      </c>
      <c r="C3084" s="21">
        <v>46243</v>
      </c>
      <c r="D3084" s="22" t="s">
        <v>75</v>
      </c>
      <c r="E3084" s="20" t="str">
        <f>IFERROR(VLOOKUP(I3084,KET!$B:$F,4,0),"")</f>
        <v>AFNITA SARI</v>
      </c>
      <c r="F3084" s="20" t="s">
        <v>78</v>
      </c>
      <c r="G3084" s="20">
        <f>IFERROR(INDEX('Kode Outlet dan Target Toko'!$C:$C,MATCH($I3084,'Kode Outlet dan Target Toko'!$E:$E,0)),0)</f>
        <v>122506</v>
      </c>
      <c r="H3084" s="20">
        <f>IFERROR(INDEX('Kode Outlet dan Target Toko'!$D:$D,MATCH($I3084,'Kode Outlet dan Target Toko'!$E:$E,0)),0)</f>
        <v>214422</v>
      </c>
      <c r="I3084" s="42" t="s">
        <v>72</v>
      </c>
      <c r="J3084" s="56" t="s">
        <v>294</v>
      </c>
      <c r="K3084" s="40" t="s">
        <v>14</v>
      </c>
      <c r="L3084" s="26">
        <v>6400</v>
      </c>
      <c r="M3084" s="26">
        <v>42</v>
      </c>
      <c r="N3084" s="25">
        <f t="shared" si="97"/>
        <v>268800</v>
      </c>
      <c r="O3084" s="56"/>
    </row>
    <row r="3085" spans="1:15" hidden="1" x14ac:dyDescent="0.3">
      <c r="A3085" s="26">
        <v>32</v>
      </c>
      <c r="B3085" s="20" t="str">
        <f t="shared" si="96"/>
        <v>AUG</v>
      </c>
      <c r="C3085" s="21">
        <v>46243</v>
      </c>
      <c r="D3085" s="22" t="s">
        <v>75</v>
      </c>
      <c r="E3085" s="20" t="str">
        <f>IFERROR(VLOOKUP(I3085,KET!$B:$F,4,0),"")</f>
        <v>AFNITA SARI</v>
      </c>
      <c r="F3085" s="20" t="s">
        <v>78</v>
      </c>
      <c r="G3085" s="20">
        <f>IFERROR(INDEX('Kode Outlet dan Target Toko'!$C:$C,MATCH($I3085,'Kode Outlet dan Target Toko'!$E:$E,0)),0)</f>
        <v>122506</v>
      </c>
      <c r="H3085" s="20">
        <f>IFERROR(INDEX('Kode Outlet dan Target Toko'!$D:$D,MATCH($I3085,'Kode Outlet dan Target Toko'!$E:$E,0)),0)</f>
        <v>214422</v>
      </c>
      <c r="I3085" s="42" t="s">
        <v>72</v>
      </c>
      <c r="J3085" s="56" t="s">
        <v>294</v>
      </c>
      <c r="K3085" s="40" t="s">
        <v>13</v>
      </c>
      <c r="L3085" s="26">
        <v>6400</v>
      </c>
      <c r="M3085" s="26">
        <v>20</v>
      </c>
      <c r="N3085" s="25">
        <f t="shared" si="97"/>
        <v>128000</v>
      </c>
      <c r="O3085" s="56"/>
    </row>
    <row r="3086" spans="1:15" hidden="1" x14ac:dyDescent="0.3">
      <c r="A3086" s="26">
        <v>32</v>
      </c>
      <c r="B3086" s="20" t="str">
        <f t="shared" si="96"/>
        <v>AUG</v>
      </c>
      <c r="C3086" s="21">
        <v>46243</v>
      </c>
      <c r="D3086" s="22" t="s">
        <v>75</v>
      </c>
      <c r="E3086" s="20" t="str">
        <f>IFERROR(VLOOKUP(I3086,KET!$B:$F,4,0),"")</f>
        <v>AFNITA SARI</v>
      </c>
      <c r="F3086" s="20" t="s">
        <v>78</v>
      </c>
      <c r="G3086" s="20">
        <f>IFERROR(INDEX('Kode Outlet dan Target Toko'!$C:$C,MATCH($I3086,'Kode Outlet dan Target Toko'!$E:$E,0)),0)</f>
        <v>122506</v>
      </c>
      <c r="H3086" s="20">
        <f>IFERROR(INDEX('Kode Outlet dan Target Toko'!$D:$D,MATCH($I3086,'Kode Outlet dan Target Toko'!$E:$E,0)),0)</f>
        <v>214422</v>
      </c>
      <c r="I3086" s="42" t="s">
        <v>72</v>
      </c>
      <c r="J3086" s="56" t="s">
        <v>294</v>
      </c>
      <c r="K3086" s="40" t="s">
        <v>16</v>
      </c>
      <c r="L3086" s="26">
        <v>6400</v>
      </c>
      <c r="M3086" s="26">
        <v>84</v>
      </c>
      <c r="N3086" s="25">
        <f t="shared" si="97"/>
        <v>537600</v>
      </c>
      <c r="O3086" s="56">
        <v>160</v>
      </c>
    </row>
    <row r="3087" spans="1:15" hidden="1" x14ac:dyDescent="0.3">
      <c r="A3087" s="26">
        <v>32</v>
      </c>
      <c r="B3087" s="20" t="str">
        <f t="shared" si="96"/>
        <v>AUG</v>
      </c>
      <c r="C3087" s="21">
        <v>46243</v>
      </c>
      <c r="D3087" s="22" t="s">
        <v>75</v>
      </c>
      <c r="E3087" s="20" t="str">
        <f>IFERROR(VLOOKUP(I3087,KET!$B:$F,4,0),"")</f>
        <v>AFNITA SARI</v>
      </c>
      <c r="F3087" s="20" t="s">
        <v>78</v>
      </c>
      <c r="G3087" s="20">
        <f>IFERROR(INDEX('Kode Outlet dan Target Toko'!$C:$C,MATCH($I3087,'Kode Outlet dan Target Toko'!$E:$E,0)),0)</f>
        <v>122506</v>
      </c>
      <c r="H3087" s="20">
        <f>IFERROR(INDEX('Kode Outlet dan Target Toko'!$D:$D,MATCH($I3087,'Kode Outlet dan Target Toko'!$E:$E,0)),0)</f>
        <v>214422</v>
      </c>
      <c r="I3087" s="42" t="s">
        <v>72</v>
      </c>
      <c r="J3087" s="56" t="s">
        <v>293</v>
      </c>
      <c r="K3087" s="40" t="s">
        <v>15</v>
      </c>
      <c r="L3087" s="26">
        <v>6400</v>
      </c>
      <c r="M3087" s="26">
        <v>40</v>
      </c>
      <c r="N3087" s="25">
        <f t="shared" si="97"/>
        <v>256000</v>
      </c>
      <c r="O3087" s="56"/>
    </row>
    <row r="3088" spans="1:15" hidden="1" x14ac:dyDescent="0.3">
      <c r="A3088" s="26">
        <v>32</v>
      </c>
      <c r="B3088" s="20" t="str">
        <f t="shared" si="96"/>
        <v>AUG</v>
      </c>
      <c r="C3088" s="21">
        <v>46243</v>
      </c>
      <c r="D3088" s="22" t="s">
        <v>75</v>
      </c>
      <c r="E3088" s="20" t="str">
        <f>IFERROR(VLOOKUP(I3088,KET!$B:$F,4,0),"")</f>
        <v>AFNITA SARI</v>
      </c>
      <c r="F3088" s="20" t="s">
        <v>78</v>
      </c>
      <c r="G3088" s="20">
        <f>IFERROR(INDEX('Kode Outlet dan Target Toko'!$C:$C,MATCH($I3088,'Kode Outlet dan Target Toko'!$E:$E,0)),0)</f>
        <v>122506</v>
      </c>
      <c r="H3088" s="20">
        <f>IFERROR(INDEX('Kode Outlet dan Target Toko'!$D:$D,MATCH($I3088,'Kode Outlet dan Target Toko'!$E:$E,0)),0)</f>
        <v>214422</v>
      </c>
      <c r="I3088" s="42" t="s">
        <v>72</v>
      </c>
      <c r="J3088" s="56" t="s">
        <v>293</v>
      </c>
      <c r="K3088" s="40" t="s">
        <v>14</v>
      </c>
      <c r="L3088" s="26">
        <v>6400</v>
      </c>
      <c r="M3088" s="26">
        <v>42</v>
      </c>
      <c r="N3088" s="25">
        <f t="shared" si="97"/>
        <v>268800</v>
      </c>
      <c r="O3088" s="56"/>
    </row>
    <row r="3089" spans="1:15" hidden="1" x14ac:dyDescent="0.3">
      <c r="A3089" s="26">
        <v>32</v>
      </c>
      <c r="B3089" s="20" t="str">
        <f t="shared" si="96"/>
        <v>AUG</v>
      </c>
      <c r="C3089" s="21">
        <v>46243</v>
      </c>
      <c r="D3089" s="22" t="s">
        <v>75</v>
      </c>
      <c r="E3089" s="20" t="str">
        <f>IFERROR(VLOOKUP(I3089,KET!$B:$F,4,0),"")</f>
        <v>AFNITA SARI</v>
      </c>
      <c r="F3089" s="20" t="s">
        <v>78</v>
      </c>
      <c r="G3089" s="20">
        <f>IFERROR(INDEX('Kode Outlet dan Target Toko'!$C:$C,MATCH($I3089,'Kode Outlet dan Target Toko'!$E:$E,0)),0)</f>
        <v>122506</v>
      </c>
      <c r="H3089" s="20">
        <f>IFERROR(INDEX('Kode Outlet dan Target Toko'!$D:$D,MATCH($I3089,'Kode Outlet dan Target Toko'!$E:$E,0)),0)</f>
        <v>214422</v>
      </c>
      <c r="I3089" s="42" t="s">
        <v>72</v>
      </c>
      <c r="J3089" s="56" t="s">
        <v>293</v>
      </c>
      <c r="K3089" s="40" t="s">
        <v>13</v>
      </c>
      <c r="L3089" s="26">
        <v>6400</v>
      </c>
      <c r="M3089" s="26">
        <v>20</v>
      </c>
      <c r="N3089" s="25">
        <f t="shared" si="97"/>
        <v>128000</v>
      </c>
      <c r="O3089" s="56"/>
    </row>
    <row r="3090" spans="1:15" hidden="1" x14ac:dyDescent="0.3">
      <c r="A3090" s="26">
        <v>32</v>
      </c>
      <c r="B3090" s="20" t="str">
        <f t="shared" si="96"/>
        <v>AUG</v>
      </c>
      <c r="C3090" s="21">
        <v>46243</v>
      </c>
      <c r="D3090" s="22" t="s">
        <v>75</v>
      </c>
      <c r="E3090" s="20" t="str">
        <f>IFERROR(VLOOKUP(I3090,KET!$B:$F,4,0),"")</f>
        <v>AFNITA SARI</v>
      </c>
      <c r="F3090" s="20" t="s">
        <v>78</v>
      </c>
      <c r="G3090" s="20">
        <f>IFERROR(INDEX('Kode Outlet dan Target Toko'!$C:$C,MATCH($I3090,'Kode Outlet dan Target Toko'!$E:$E,0)),0)</f>
        <v>122506</v>
      </c>
      <c r="H3090" s="20">
        <f>IFERROR(INDEX('Kode Outlet dan Target Toko'!$D:$D,MATCH($I3090,'Kode Outlet dan Target Toko'!$E:$E,0)),0)</f>
        <v>214422</v>
      </c>
      <c r="I3090" s="42" t="s">
        <v>72</v>
      </c>
      <c r="J3090" s="56" t="s">
        <v>293</v>
      </c>
      <c r="K3090" s="40" t="s">
        <v>16</v>
      </c>
      <c r="L3090" s="26">
        <v>6400</v>
      </c>
      <c r="M3090" s="26">
        <v>84</v>
      </c>
      <c r="N3090" s="25">
        <f t="shared" si="97"/>
        <v>537600</v>
      </c>
      <c r="O3090" s="56">
        <v>160</v>
      </c>
    </row>
    <row r="3091" spans="1:15" hidden="1" x14ac:dyDescent="0.3">
      <c r="A3091" s="26">
        <v>32</v>
      </c>
      <c r="B3091" s="20" t="str">
        <f t="shared" si="96"/>
        <v>AUG</v>
      </c>
      <c r="C3091" s="21">
        <v>46241</v>
      </c>
      <c r="D3091" s="22" t="s">
        <v>75</v>
      </c>
      <c r="E3091" s="20" t="str">
        <f>IFERROR(VLOOKUP(I3091,KET!$B:$F,4,0),"")</f>
        <v>AFNITA SARI</v>
      </c>
      <c r="F3091" s="20" t="s">
        <v>78</v>
      </c>
      <c r="G3091" s="20">
        <f>IFERROR(INDEX('Kode Outlet dan Target Toko'!$C:$C,MATCH($I3091,'Kode Outlet dan Target Toko'!$E:$E,0)),0)</f>
        <v>122506</v>
      </c>
      <c r="H3091" s="20">
        <f>IFERROR(INDEX('Kode Outlet dan Target Toko'!$D:$D,MATCH($I3091,'Kode Outlet dan Target Toko'!$E:$E,0)),0)</f>
        <v>202816</v>
      </c>
      <c r="I3091" s="42" t="s">
        <v>71</v>
      </c>
      <c r="J3091" s="56" t="s">
        <v>295</v>
      </c>
      <c r="K3091" s="40" t="s">
        <v>15</v>
      </c>
      <c r="L3091" s="26">
        <v>7000</v>
      </c>
      <c r="M3091" s="26">
        <v>9</v>
      </c>
      <c r="N3091" s="25">
        <f t="shared" si="97"/>
        <v>63000</v>
      </c>
      <c r="O3091" s="56"/>
    </row>
    <row r="3092" spans="1:15" hidden="1" x14ac:dyDescent="0.3">
      <c r="A3092" s="26">
        <v>32</v>
      </c>
      <c r="B3092" s="20" t="str">
        <f t="shared" si="96"/>
        <v>AUG</v>
      </c>
      <c r="C3092" s="21">
        <v>46241</v>
      </c>
      <c r="D3092" s="22" t="s">
        <v>75</v>
      </c>
      <c r="E3092" s="20" t="str">
        <f>IFERROR(VLOOKUP(I3092,KET!$B:$F,4,0),"")</f>
        <v>AFNITA SARI</v>
      </c>
      <c r="F3092" s="20" t="s">
        <v>78</v>
      </c>
      <c r="G3092" s="20">
        <f>IFERROR(INDEX('Kode Outlet dan Target Toko'!$C:$C,MATCH($I3092,'Kode Outlet dan Target Toko'!$E:$E,0)),0)</f>
        <v>122506</v>
      </c>
      <c r="H3092" s="20">
        <f>IFERROR(INDEX('Kode Outlet dan Target Toko'!$D:$D,MATCH($I3092,'Kode Outlet dan Target Toko'!$E:$E,0)),0)</f>
        <v>202816</v>
      </c>
      <c r="I3092" s="42" t="s">
        <v>71</v>
      </c>
      <c r="J3092" s="56" t="s">
        <v>295</v>
      </c>
      <c r="K3092" s="40" t="s">
        <v>14</v>
      </c>
      <c r="L3092" s="26">
        <v>7000</v>
      </c>
      <c r="M3092" s="26">
        <v>21</v>
      </c>
      <c r="N3092" s="25">
        <f t="shared" si="97"/>
        <v>147000</v>
      </c>
      <c r="O3092" s="56"/>
    </row>
    <row r="3093" spans="1:15" hidden="1" x14ac:dyDescent="0.3">
      <c r="A3093" s="26">
        <v>32</v>
      </c>
      <c r="B3093" s="20" t="str">
        <f t="shared" si="96"/>
        <v>AUG</v>
      </c>
      <c r="C3093" s="21">
        <v>46241</v>
      </c>
      <c r="D3093" s="22" t="s">
        <v>75</v>
      </c>
      <c r="E3093" s="20" t="str">
        <f>IFERROR(VLOOKUP(I3093,KET!$B:$F,4,0),"")</f>
        <v>AFNITA SARI</v>
      </c>
      <c r="F3093" s="20" t="s">
        <v>78</v>
      </c>
      <c r="G3093" s="20">
        <f>IFERROR(INDEX('Kode Outlet dan Target Toko'!$C:$C,MATCH($I3093,'Kode Outlet dan Target Toko'!$E:$E,0)),0)</f>
        <v>122506</v>
      </c>
      <c r="H3093" s="20">
        <f>IFERROR(INDEX('Kode Outlet dan Target Toko'!$D:$D,MATCH($I3093,'Kode Outlet dan Target Toko'!$E:$E,0)),0)</f>
        <v>202816</v>
      </c>
      <c r="I3093" s="42" t="s">
        <v>71</v>
      </c>
      <c r="J3093" s="56" t="s">
        <v>295</v>
      </c>
      <c r="K3093" s="40" t="s">
        <v>13</v>
      </c>
      <c r="L3093" s="26">
        <v>7000</v>
      </c>
      <c r="M3093" s="26">
        <v>7</v>
      </c>
      <c r="N3093" s="25">
        <f t="shared" si="97"/>
        <v>49000</v>
      </c>
      <c r="O3093" s="56"/>
    </row>
    <row r="3094" spans="1:15" hidden="1" x14ac:dyDescent="0.3">
      <c r="A3094" s="26">
        <v>32</v>
      </c>
      <c r="B3094" s="20" t="str">
        <f t="shared" si="96"/>
        <v>AUG</v>
      </c>
      <c r="C3094" s="21">
        <v>46241</v>
      </c>
      <c r="D3094" s="22" t="s">
        <v>75</v>
      </c>
      <c r="E3094" s="20" t="str">
        <f>IFERROR(VLOOKUP(I3094,KET!$B:$F,4,0),"")</f>
        <v>AFNITA SARI</v>
      </c>
      <c r="F3094" s="20" t="s">
        <v>78</v>
      </c>
      <c r="G3094" s="20">
        <f>IFERROR(INDEX('Kode Outlet dan Target Toko'!$C:$C,MATCH($I3094,'Kode Outlet dan Target Toko'!$E:$E,0)),0)</f>
        <v>122506</v>
      </c>
      <c r="H3094" s="20">
        <f>IFERROR(INDEX('Kode Outlet dan Target Toko'!$D:$D,MATCH($I3094,'Kode Outlet dan Target Toko'!$E:$E,0)),0)</f>
        <v>202816</v>
      </c>
      <c r="I3094" s="42" t="s">
        <v>71</v>
      </c>
      <c r="J3094" s="56" t="s">
        <v>295</v>
      </c>
      <c r="K3094" s="40" t="s">
        <v>16</v>
      </c>
      <c r="L3094" s="26">
        <v>7000</v>
      </c>
      <c r="M3094" s="26">
        <v>26</v>
      </c>
      <c r="N3094" s="25">
        <f t="shared" si="97"/>
        <v>182000</v>
      </c>
      <c r="O3094" s="56">
        <v>160</v>
      </c>
    </row>
    <row r="3095" spans="1:15" hidden="1" x14ac:dyDescent="0.3">
      <c r="A3095" s="26">
        <v>32</v>
      </c>
      <c r="B3095" s="20" t="str">
        <f t="shared" si="96"/>
        <v>AUG</v>
      </c>
      <c r="C3095" s="21">
        <v>46241</v>
      </c>
      <c r="D3095" s="22" t="s">
        <v>75</v>
      </c>
      <c r="E3095" s="20" t="str">
        <f>IFERROR(VLOOKUP(I3095,KET!$B:$F,4,0),"")</f>
        <v>AFNITA SARI</v>
      </c>
      <c r="F3095" s="20" t="s">
        <v>78</v>
      </c>
      <c r="G3095" s="20">
        <f>IFERROR(INDEX('Kode Outlet dan Target Toko'!$C:$C,MATCH($I3095,'Kode Outlet dan Target Toko'!$E:$E,0)),0)</f>
        <v>122506</v>
      </c>
      <c r="H3095" s="20">
        <f>IFERROR(INDEX('Kode Outlet dan Target Toko'!$D:$D,MATCH($I3095,'Kode Outlet dan Target Toko'!$E:$E,0)),0)</f>
        <v>202816</v>
      </c>
      <c r="I3095" s="42" t="s">
        <v>71</v>
      </c>
      <c r="J3095" s="56" t="s">
        <v>296</v>
      </c>
      <c r="K3095" s="40" t="s">
        <v>15</v>
      </c>
      <c r="L3095" s="26">
        <v>7000</v>
      </c>
      <c r="M3095" s="26">
        <v>8</v>
      </c>
      <c r="N3095" s="25">
        <f t="shared" si="97"/>
        <v>56000</v>
      </c>
      <c r="O3095" s="56"/>
    </row>
    <row r="3096" spans="1:15" hidden="1" x14ac:dyDescent="0.3">
      <c r="A3096" s="26">
        <v>32</v>
      </c>
      <c r="B3096" s="20" t="str">
        <f t="shared" si="96"/>
        <v>AUG</v>
      </c>
      <c r="C3096" s="21">
        <v>46241</v>
      </c>
      <c r="D3096" s="22" t="s">
        <v>75</v>
      </c>
      <c r="E3096" s="20" t="str">
        <f>IFERROR(VLOOKUP(I3096,KET!$B:$F,4,0),"")</f>
        <v>AFNITA SARI</v>
      </c>
      <c r="F3096" s="20" t="s">
        <v>78</v>
      </c>
      <c r="G3096" s="20">
        <f>IFERROR(INDEX('Kode Outlet dan Target Toko'!$C:$C,MATCH($I3096,'Kode Outlet dan Target Toko'!$E:$E,0)),0)</f>
        <v>122506</v>
      </c>
      <c r="H3096" s="20">
        <f>IFERROR(INDEX('Kode Outlet dan Target Toko'!$D:$D,MATCH($I3096,'Kode Outlet dan Target Toko'!$E:$E,0)),0)</f>
        <v>202816</v>
      </c>
      <c r="I3096" s="42" t="s">
        <v>71</v>
      </c>
      <c r="J3096" s="56" t="s">
        <v>296</v>
      </c>
      <c r="K3096" s="40" t="s">
        <v>14</v>
      </c>
      <c r="L3096" s="26">
        <v>7000</v>
      </c>
      <c r="M3096" s="26">
        <v>20</v>
      </c>
      <c r="N3096" s="25">
        <f t="shared" si="97"/>
        <v>140000</v>
      </c>
      <c r="O3096" s="56"/>
    </row>
    <row r="3097" spans="1:15" hidden="1" x14ac:dyDescent="0.3">
      <c r="A3097" s="26">
        <v>32</v>
      </c>
      <c r="B3097" s="20" t="str">
        <f t="shared" si="96"/>
        <v>AUG</v>
      </c>
      <c r="C3097" s="21">
        <v>46241</v>
      </c>
      <c r="D3097" s="22" t="s">
        <v>75</v>
      </c>
      <c r="E3097" s="20" t="str">
        <f>IFERROR(VLOOKUP(I3097,KET!$B:$F,4,0),"")</f>
        <v>AFNITA SARI</v>
      </c>
      <c r="F3097" s="20" t="s">
        <v>78</v>
      </c>
      <c r="G3097" s="20">
        <f>IFERROR(INDEX('Kode Outlet dan Target Toko'!$C:$C,MATCH($I3097,'Kode Outlet dan Target Toko'!$E:$E,0)),0)</f>
        <v>122506</v>
      </c>
      <c r="H3097" s="20">
        <f>IFERROR(INDEX('Kode Outlet dan Target Toko'!$D:$D,MATCH($I3097,'Kode Outlet dan Target Toko'!$E:$E,0)),0)</f>
        <v>202816</v>
      </c>
      <c r="I3097" s="42" t="s">
        <v>71</v>
      </c>
      <c r="J3097" s="56" t="s">
        <v>296</v>
      </c>
      <c r="K3097" s="40" t="s">
        <v>13</v>
      </c>
      <c r="L3097" s="26">
        <v>7000</v>
      </c>
      <c r="M3097" s="26">
        <v>6</v>
      </c>
      <c r="N3097" s="25">
        <f t="shared" si="97"/>
        <v>42000</v>
      </c>
      <c r="O3097" s="56"/>
    </row>
    <row r="3098" spans="1:15" hidden="1" x14ac:dyDescent="0.3">
      <c r="A3098" s="26">
        <v>32</v>
      </c>
      <c r="B3098" s="20" t="str">
        <f t="shared" si="96"/>
        <v>AUG</v>
      </c>
      <c r="C3098" s="21">
        <v>46241</v>
      </c>
      <c r="D3098" s="22" t="s">
        <v>75</v>
      </c>
      <c r="E3098" s="20" t="str">
        <f>IFERROR(VLOOKUP(I3098,KET!$B:$F,4,0),"")</f>
        <v>AFNITA SARI</v>
      </c>
      <c r="F3098" s="20" t="s">
        <v>78</v>
      </c>
      <c r="G3098" s="20">
        <f>IFERROR(INDEX('Kode Outlet dan Target Toko'!$C:$C,MATCH($I3098,'Kode Outlet dan Target Toko'!$E:$E,0)),0)</f>
        <v>122506</v>
      </c>
      <c r="H3098" s="20">
        <f>IFERROR(INDEX('Kode Outlet dan Target Toko'!$D:$D,MATCH($I3098,'Kode Outlet dan Target Toko'!$E:$E,0)),0)</f>
        <v>202816</v>
      </c>
      <c r="I3098" s="42" t="s">
        <v>71</v>
      </c>
      <c r="J3098" s="56" t="s">
        <v>296</v>
      </c>
      <c r="K3098" s="40" t="s">
        <v>16</v>
      </c>
      <c r="L3098" s="26">
        <v>7000</v>
      </c>
      <c r="M3098" s="26">
        <v>25</v>
      </c>
      <c r="N3098" s="25">
        <f t="shared" si="97"/>
        <v>175000</v>
      </c>
      <c r="O3098" s="56">
        <v>160</v>
      </c>
    </row>
    <row r="3099" spans="1:15" hidden="1" x14ac:dyDescent="0.3">
      <c r="A3099" s="26">
        <v>32</v>
      </c>
      <c r="B3099" s="20" t="str">
        <f t="shared" si="96"/>
        <v>AUG</v>
      </c>
      <c r="C3099" s="21">
        <v>46241</v>
      </c>
      <c r="D3099" s="22" t="s">
        <v>59</v>
      </c>
      <c r="E3099" s="20" t="str">
        <f>IFERROR(VLOOKUP(I3099,KET!$B:$F,4,0),"")</f>
        <v>SUPRIYATI</v>
      </c>
      <c r="F3099" s="20" t="s">
        <v>42</v>
      </c>
      <c r="G3099" s="20">
        <f>IFERROR(INDEX('Kode Outlet dan Target Toko'!$C:$C,MATCH($I3099,'Kode Outlet dan Target Toko'!$E:$E,0)),0)</f>
        <v>211051</v>
      </c>
      <c r="H3099" s="20">
        <f>IFERROR(INDEX('Kode Outlet dan Target Toko'!$D:$D,MATCH($I3099,'Kode Outlet dan Target Toko'!$E:$E,0)),0)</f>
        <v>5580008</v>
      </c>
      <c r="I3099" s="42" t="s">
        <v>88</v>
      </c>
      <c r="J3099" s="56" t="s">
        <v>202</v>
      </c>
      <c r="K3099" s="40" t="s">
        <v>15</v>
      </c>
      <c r="L3099" s="26">
        <v>3000</v>
      </c>
      <c r="M3099" s="26">
        <v>83</v>
      </c>
      <c r="N3099" s="25">
        <f t="shared" si="97"/>
        <v>249000</v>
      </c>
      <c r="O3099" s="56"/>
    </row>
    <row r="3100" spans="1:15" hidden="1" x14ac:dyDescent="0.3">
      <c r="A3100" s="26">
        <v>32</v>
      </c>
      <c r="B3100" s="20" t="str">
        <f t="shared" si="96"/>
        <v>AUG</v>
      </c>
      <c r="C3100" s="21">
        <v>46241</v>
      </c>
      <c r="D3100" s="22" t="s">
        <v>59</v>
      </c>
      <c r="E3100" s="20" t="str">
        <f>IFERROR(VLOOKUP(I3100,KET!$B:$F,4,0),"")</f>
        <v>SUPRIYATI</v>
      </c>
      <c r="F3100" s="20" t="s">
        <v>42</v>
      </c>
      <c r="G3100" s="20">
        <f>IFERROR(INDEX('Kode Outlet dan Target Toko'!$C:$C,MATCH($I3100,'Kode Outlet dan Target Toko'!$E:$E,0)),0)</f>
        <v>211051</v>
      </c>
      <c r="H3100" s="20">
        <f>IFERROR(INDEX('Kode Outlet dan Target Toko'!$D:$D,MATCH($I3100,'Kode Outlet dan Target Toko'!$E:$E,0)),0)</f>
        <v>5580008</v>
      </c>
      <c r="I3100" s="42" t="s">
        <v>88</v>
      </c>
      <c r="J3100" s="56" t="s">
        <v>202</v>
      </c>
      <c r="K3100" s="40" t="s">
        <v>14</v>
      </c>
      <c r="L3100" s="26">
        <v>3000</v>
      </c>
      <c r="M3100" s="26">
        <v>98</v>
      </c>
      <c r="N3100" s="25">
        <f t="shared" si="97"/>
        <v>294000</v>
      </c>
      <c r="O3100" s="56"/>
    </row>
    <row r="3101" spans="1:15" hidden="1" x14ac:dyDescent="0.3">
      <c r="A3101" s="26">
        <v>32</v>
      </c>
      <c r="B3101" s="20" t="str">
        <f t="shared" si="96"/>
        <v>AUG</v>
      </c>
      <c r="C3101" s="21">
        <v>46241</v>
      </c>
      <c r="D3101" s="22" t="s">
        <v>59</v>
      </c>
      <c r="E3101" s="20" t="str">
        <f>IFERROR(VLOOKUP(I3101,KET!$B:$F,4,0),"")</f>
        <v>SUPRIYATI</v>
      </c>
      <c r="F3101" s="20" t="s">
        <v>42</v>
      </c>
      <c r="G3101" s="20">
        <f>IFERROR(INDEX('Kode Outlet dan Target Toko'!$C:$C,MATCH($I3101,'Kode Outlet dan Target Toko'!$E:$E,0)),0)</f>
        <v>211051</v>
      </c>
      <c r="H3101" s="20">
        <f>IFERROR(INDEX('Kode Outlet dan Target Toko'!$D:$D,MATCH($I3101,'Kode Outlet dan Target Toko'!$E:$E,0)),0)</f>
        <v>5580008</v>
      </c>
      <c r="I3101" s="42" t="s">
        <v>88</v>
      </c>
      <c r="J3101" s="56" t="s">
        <v>202</v>
      </c>
      <c r="K3101" s="40" t="s">
        <v>13</v>
      </c>
      <c r="L3101" s="26">
        <v>3000</v>
      </c>
      <c r="M3101" s="26">
        <v>11</v>
      </c>
      <c r="N3101" s="25">
        <f t="shared" si="97"/>
        <v>33000</v>
      </c>
      <c r="O3101" s="56"/>
    </row>
    <row r="3102" spans="1:15" hidden="1" x14ac:dyDescent="0.3">
      <c r="A3102" s="26">
        <v>32</v>
      </c>
      <c r="B3102" s="20" t="str">
        <f t="shared" si="96"/>
        <v>AUG</v>
      </c>
      <c r="C3102" s="21">
        <v>46241</v>
      </c>
      <c r="D3102" s="22" t="s">
        <v>59</v>
      </c>
      <c r="E3102" s="20" t="str">
        <f>IFERROR(VLOOKUP(I3102,KET!$B:$F,4,0),"")</f>
        <v>SUPRIYATI</v>
      </c>
      <c r="F3102" s="20" t="s">
        <v>42</v>
      </c>
      <c r="G3102" s="20">
        <f>IFERROR(INDEX('Kode Outlet dan Target Toko'!$C:$C,MATCH($I3102,'Kode Outlet dan Target Toko'!$E:$E,0)),0)</f>
        <v>211051</v>
      </c>
      <c r="H3102" s="20">
        <f>IFERROR(INDEX('Kode Outlet dan Target Toko'!$D:$D,MATCH($I3102,'Kode Outlet dan Target Toko'!$E:$E,0)),0)</f>
        <v>5580008</v>
      </c>
      <c r="I3102" s="42" t="s">
        <v>88</v>
      </c>
      <c r="J3102" s="56" t="s">
        <v>202</v>
      </c>
      <c r="K3102" s="40" t="s">
        <v>16</v>
      </c>
      <c r="L3102" s="26">
        <v>3000</v>
      </c>
      <c r="M3102" s="26">
        <v>284</v>
      </c>
      <c r="N3102" s="25">
        <f t="shared" si="97"/>
        <v>852000</v>
      </c>
      <c r="O3102" s="56">
        <v>160</v>
      </c>
    </row>
    <row r="3103" spans="1:15" hidden="1" x14ac:dyDescent="0.3">
      <c r="A3103" s="26">
        <v>32</v>
      </c>
      <c r="B3103" s="20" t="str">
        <f t="shared" si="96"/>
        <v>AUG</v>
      </c>
      <c r="C3103" s="21">
        <v>46241</v>
      </c>
      <c r="D3103" s="22" t="s">
        <v>59</v>
      </c>
      <c r="E3103" s="20" t="str">
        <f>IFERROR(VLOOKUP(I3103,KET!$B:$F,4,0),"")</f>
        <v>SUPRIYATI</v>
      </c>
      <c r="F3103" s="20" t="s">
        <v>42</v>
      </c>
      <c r="G3103" s="20">
        <f>IFERROR(INDEX('Kode Outlet dan Target Toko'!$C:$C,MATCH($I3103,'Kode Outlet dan Target Toko'!$E:$E,0)),0)</f>
        <v>211051</v>
      </c>
      <c r="H3103" s="20">
        <f>IFERROR(INDEX('Kode Outlet dan Target Toko'!$D:$D,MATCH($I3103,'Kode Outlet dan Target Toko'!$E:$E,0)),0)</f>
        <v>5580008</v>
      </c>
      <c r="I3103" s="42" t="s">
        <v>88</v>
      </c>
      <c r="J3103" s="56" t="s">
        <v>203</v>
      </c>
      <c r="K3103" s="40" t="s">
        <v>15</v>
      </c>
      <c r="L3103" s="26">
        <v>3000</v>
      </c>
      <c r="M3103" s="26">
        <v>83</v>
      </c>
      <c r="N3103" s="25">
        <f t="shared" si="97"/>
        <v>249000</v>
      </c>
      <c r="O3103" s="56"/>
    </row>
    <row r="3104" spans="1:15" hidden="1" x14ac:dyDescent="0.3">
      <c r="A3104" s="26">
        <v>32</v>
      </c>
      <c r="B3104" s="20" t="str">
        <f t="shared" si="96"/>
        <v>AUG</v>
      </c>
      <c r="C3104" s="21">
        <v>46241</v>
      </c>
      <c r="D3104" s="22" t="s">
        <v>59</v>
      </c>
      <c r="E3104" s="20" t="str">
        <f>IFERROR(VLOOKUP(I3104,KET!$B:$F,4,0),"")</f>
        <v>SUPRIYATI</v>
      </c>
      <c r="F3104" s="20" t="s">
        <v>42</v>
      </c>
      <c r="G3104" s="20">
        <f>IFERROR(INDEX('Kode Outlet dan Target Toko'!$C:$C,MATCH($I3104,'Kode Outlet dan Target Toko'!$E:$E,0)),0)</f>
        <v>211051</v>
      </c>
      <c r="H3104" s="20">
        <f>IFERROR(INDEX('Kode Outlet dan Target Toko'!$D:$D,MATCH($I3104,'Kode Outlet dan Target Toko'!$E:$E,0)),0)</f>
        <v>5580008</v>
      </c>
      <c r="I3104" s="42" t="s">
        <v>88</v>
      </c>
      <c r="J3104" s="56" t="s">
        <v>203</v>
      </c>
      <c r="K3104" s="40" t="s">
        <v>14</v>
      </c>
      <c r="L3104" s="26">
        <v>3000</v>
      </c>
      <c r="M3104" s="26">
        <v>98</v>
      </c>
      <c r="N3104" s="25">
        <f t="shared" si="97"/>
        <v>294000</v>
      </c>
      <c r="O3104" s="56"/>
    </row>
    <row r="3105" spans="1:15" hidden="1" x14ac:dyDescent="0.3">
      <c r="A3105" s="26">
        <v>32</v>
      </c>
      <c r="B3105" s="20" t="str">
        <f t="shared" si="96"/>
        <v>AUG</v>
      </c>
      <c r="C3105" s="21">
        <v>46241</v>
      </c>
      <c r="D3105" s="22" t="s">
        <v>59</v>
      </c>
      <c r="E3105" s="20" t="str">
        <f>IFERROR(VLOOKUP(I3105,KET!$B:$F,4,0),"")</f>
        <v>SUPRIYATI</v>
      </c>
      <c r="F3105" s="20" t="s">
        <v>42</v>
      </c>
      <c r="G3105" s="20">
        <f>IFERROR(INDEX('Kode Outlet dan Target Toko'!$C:$C,MATCH($I3105,'Kode Outlet dan Target Toko'!$E:$E,0)),0)</f>
        <v>211051</v>
      </c>
      <c r="H3105" s="20">
        <f>IFERROR(INDEX('Kode Outlet dan Target Toko'!$D:$D,MATCH($I3105,'Kode Outlet dan Target Toko'!$E:$E,0)),0)</f>
        <v>5580008</v>
      </c>
      <c r="I3105" s="42" t="s">
        <v>88</v>
      </c>
      <c r="J3105" s="56" t="s">
        <v>203</v>
      </c>
      <c r="K3105" s="40" t="s">
        <v>13</v>
      </c>
      <c r="L3105" s="26">
        <v>3000</v>
      </c>
      <c r="M3105" s="26">
        <v>10</v>
      </c>
      <c r="N3105" s="25">
        <f t="shared" si="97"/>
        <v>30000</v>
      </c>
      <c r="O3105" s="56"/>
    </row>
    <row r="3106" spans="1:15" hidden="1" x14ac:dyDescent="0.3">
      <c r="A3106" s="26">
        <v>32</v>
      </c>
      <c r="B3106" s="20" t="str">
        <f t="shared" si="96"/>
        <v>AUG</v>
      </c>
      <c r="C3106" s="21">
        <v>46241</v>
      </c>
      <c r="D3106" s="22" t="s">
        <v>59</v>
      </c>
      <c r="E3106" s="20" t="str">
        <f>IFERROR(VLOOKUP(I3106,KET!$B:$F,4,0),"")</f>
        <v>SUPRIYATI</v>
      </c>
      <c r="F3106" s="20" t="s">
        <v>42</v>
      </c>
      <c r="G3106" s="20">
        <f>IFERROR(INDEX('Kode Outlet dan Target Toko'!$C:$C,MATCH($I3106,'Kode Outlet dan Target Toko'!$E:$E,0)),0)</f>
        <v>211051</v>
      </c>
      <c r="H3106" s="20">
        <f>IFERROR(INDEX('Kode Outlet dan Target Toko'!$D:$D,MATCH($I3106,'Kode Outlet dan Target Toko'!$E:$E,0)),0)</f>
        <v>5580008</v>
      </c>
      <c r="I3106" s="42" t="s">
        <v>88</v>
      </c>
      <c r="J3106" s="56" t="s">
        <v>203</v>
      </c>
      <c r="K3106" s="40" t="s">
        <v>16</v>
      </c>
      <c r="L3106" s="26">
        <v>3000</v>
      </c>
      <c r="M3106" s="26">
        <v>284</v>
      </c>
      <c r="N3106" s="25">
        <f t="shared" si="97"/>
        <v>852000</v>
      </c>
      <c r="O3106" s="56">
        <v>160</v>
      </c>
    </row>
    <row r="3107" spans="1:15" hidden="1" x14ac:dyDescent="0.3">
      <c r="A3107" s="26">
        <v>32</v>
      </c>
      <c r="B3107" s="20" t="str">
        <f t="shared" si="96"/>
        <v>AUG</v>
      </c>
      <c r="C3107" s="21">
        <v>46241</v>
      </c>
      <c r="D3107" s="22" t="s">
        <v>59</v>
      </c>
      <c r="E3107" s="20" t="str">
        <f>IFERROR(VLOOKUP(I3107,KET!$B:$F,4,0),"")</f>
        <v>SUPRIYATI</v>
      </c>
      <c r="F3107" s="20" t="s">
        <v>42</v>
      </c>
      <c r="G3107" s="20">
        <f>IFERROR(INDEX('Kode Outlet dan Target Toko'!$C:$C,MATCH($I3107,'Kode Outlet dan Target Toko'!$E:$E,0)),0)</f>
        <v>103274</v>
      </c>
      <c r="H3107" s="20">
        <f>IFERROR(INDEX('Kode Outlet dan Target Toko'!$D:$D,MATCH($I3107,'Kode Outlet dan Target Toko'!$E:$E,0)),0)</f>
        <v>1301399</v>
      </c>
      <c r="I3107" s="42" t="s">
        <v>111</v>
      </c>
      <c r="J3107" s="56" t="s">
        <v>205</v>
      </c>
      <c r="K3107" s="40" t="s">
        <v>15</v>
      </c>
      <c r="L3107" s="26">
        <v>3145</v>
      </c>
      <c r="M3107" s="26">
        <v>114</v>
      </c>
      <c r="N3107" s="25">
        <f t="shared" si="97"/>
        <v>358530</v>
      </c>
      <c r="O3107" s="56"/>
    </row>
    <row r="3108" spans="1:15" hidden="1" x14ac:dyDescent="0.3">
      <c r="A3108" s="26">
        <v>32</v>
      </c>
      <c r="B3108" s="20" t="str">
        <f t="shared" si="96"/>
        <v>AUG</v>
      </c>
      <c r="C3108" s="21">
        <v>46241</v>
      </c>
      <c r="D3108" s="22" t="s">
        <v>59</v>
      </c>
      <c r="E3108" s="20" t="str">
        <f>IFERROR(VLOOKUP(I3108,KET!$B:$F,4,0),"")</f>
        <v>SUPRIYATI</v>
      </c>
      <c r="F3108" s="20" t="s">
        <v>42</v>
      </c>
      <c r="G3108" s="20">
        <f>IFERROR(INDEX('Kode Outlet dan Target Toko'!$C:$C,MATCH($I3108,'Kode Outlet dan Target Toko'!$E:$E,0)),0)</f>
        <v>103274</v>
      </c>
      <c r="H3108" s="20">
        <f>IFERROR(INDEX('Kode Outlet dan Target Toko'!$D:$D,MATCH($I3108,'Kode Outlet dan Target Toko'!$E:$E,0)),0)</f>
        <v>1301399</v>
      </c>
      <c r="I3108" s="42" t="s">
        <v>111</v>
      </c>
      <c r="J3108" s="56" t="s">
        <v>205</v>
      </c>
      <c r="K3108" s="40" t="s">
        <v>14</v>
      </c>
      <c r="L3108" s="26">
        <v>3145</v>
      </c>
      <c r="M3108" s="26">
        <v>54</v>
      </c>
      <c r="N3108" s="25">
        <f t="shared" si="97"/>
        <v>169830</v>
      </c>
      <c r="O3108" s="56"/>
    </row>
    <row r="3109" spans="1:15" hidden="1" x14ac:dyDescent="0.3">
      <c r="A3109" s="26">
        <v>32</v>
      </c>
      <c r="B3109" s="20" t="str">
        <f t="shared" si="96"/>
        <v>AUG</v>
      </c>
      <c r="C3109" s="21">
        <v>46241</v>
      </c>
      <c r="D3109" s="22" t="s">
        <v>59</v>
      </c>
      <c r="E3109" s="20" t="str">
        <f>IFERROR(VLOOKUP(I3109,KET!$B:$F,4,0),"")</f>
        <v>SUPRIYATI</v>
      </c>
      <c r="F3109" s="20" t="s">
        <v>42</v>
      </c>
      <c r="G3109" s="20">
        <f>IFERROR(INDEX('Kode Outlet dan Target Toko'!$C:$C,MATCH($I3109,'Kode Outlet dan Target Toko'!$E:$E,0)),0)</f>
        <v>103274</v>
      </c>
      <c r="H3109" s="20">
        <f>IFERROR(INDEX('Kode Outlet dan Target Toko'!$D:$D,MATCH($I3109,'Kode Outlet dan Target Toko'!$E:$E,0)),0)</f>
        <v>1301399</v>
      </c>
      <c r="I3109" s="42" t="s">
        <v>111</v>
      </c>
      <c r="J3109" s="56" t="s">
        <v>205</v>
      </c>
      <c r="K3109" s="40" t="s">
        <v>13</v>
      </c>
      <c r="L3109" s="26">
        <v>3145</v>
      </c>
      <c r="M3109" s="26">
        <v>0</v>
      </c>
      <c r="N3109" s="25">
        <f t="shared" si="97"/>
        <v>0</v>
      </c>
      <c r="O3109" s="56"/>
    </row>
    <row r="3110" spans="1:15" hidden="1" x14ac:dyDescent="0.3">
      <c r="A3110" s="26">
        <v>32</v>
      </c>
      <c r="B3110" s="20" t="str">
        <f t="shared" si="96"/>
        <v>AUG</v>
      </c>
      <c r="C3110" s="21">
        <v>46241</v>
      </c>
      <c r="D3110" s="22" t="s">
        <v>59</v>
      </c>
      <c r="E3110" s="20" t="str">
        <f>IFERROR(VLOOKUP(I3110,KET!$B:$F,4,0),"")</f>
        <v>SUPRIYATI</v>
      </c>
      <c r="F3110" s="20" t="s">
        <v>42</v>
      </c>
      <c r="G3110" s="20">
        <f>IFERROR(INDEX('Kode Outlet dan Target Toko'!$C:$C,MATCH($I3110,'Kode Outlet dan Target Toko'!$E:$E,0)),0)</f>
        <v>103274</v>
      </c>
      <c r="H3110" s="20">
        <f>IFERROR(INDEX('Kode Outlet dan Target Toko'!$D:$D,MATCH($I3110,'Kode Outlet dan Target Toko'!$E:$E,0)),0)</f>
        <v>1301399</v>
      </c>
      <c r="I3110" s="42" t="s">
        <v>111</v>
      </c>
      <c r="J3110" s="56" t="s">
        <v>205</v>
      </c>
      <c r="K3110" s="40" t="s">
        <v>16</v>
      </c>
      <c r="L3110" s="26">
        <v>3145</v>
      </c>
      <c r="M3110" s="26">
        <v>89</v>
      </c>
      <c r="N3110" s="25">
        <f t="shared" si="97"/>
        <v>279905</v>
      </c>
      <c r="O3110" s="56">
        <v>160</v>
      </c>
    </row>
    <row r="3111" spans="1:15" hidden="1" x14ac:dyDescent="0.3">
      <c r="A3111" s="26">
        <v>32</v>
      </c>
      <c r="B3111" s="20" t="str">
        <f t="shared" si="96"/>
        <v>AUG</v>
      </c>
      <c r="C3111" s="21">
        <v>46241</v>
      </c>
      <c r="D3111" s="22" t="s">
        <v>59</v>
      </c>
      <c r="E3111" s="20" t="str">
        <f>IFERROR(VLOOKUP(I3111,KET!$B:$F,4,0),"")</f>
        <v>SUPRIYATI</v>
      </c>
      <c r="F3111" s="20" t="s">
        <v>42</v>
      </c>
      <c r="G3111" s="20">
        <f>IFERROR(INDEX('Kode Outlet dan Target Toko'!$C:$C,MATCH($I3111,'Kode Outlet dan Target Toko'!$E:$E,0)),0)</f>
        <v>103274</v>
      </c>
      <c r="H3111" s="20">
        <f>IFERROR(INDEX('Kode Outlet dan Target Toko'!$D:$D,MATCH($I3111,'Kode Outlet dan Target Toko'!$E:$E,0)),0)</f>
        <v>1301399</v>
      </c>
      <c r="I3111" s="42" t="s">
        <v>111</v>
      </c>
      <c r="J3111" s="56" t="s">
        <v>206</v>
      </c>
      <c r="K3111" s="40" t="s">
        <v>15</v>
      </c>
      <c r="L3111" s="26">
        <v>3145</v>
      </c>
      <c r="M3111" s="26">
        <v>114</v>
      </c>
      <c r="N3111" s="25">
        <f t="shared" si="97"/>
        <v>358530</v>
      </c>
      <c r="O3111" s="56"/>
    </row>
    <row r="3112" spans="1:15" hidden="1" x14ac:dyDescent="0.3">
      <c r="A3112" s="26">
        <v>32</v>
      </c>
      <c r="B3112" s="20" t="str">
        <f t="shared" si="96"/>
        <v>AUG</v>
      </c>
      <c r="C3112" s="21">
        <v>46241</v>
      </c>
      <c r="D3112" s="22" t="s">
        <v>59</v>
      </c>
      <c r="E3112" s="20" t="str">
        <f>IFERROR(VLOOKUP(I3112,KET!$B:$F,4,0),"")</f>
        <v>SUPRIYATI</v>
      </c>
      <c r="F3112" s="20" t="s">
        <v>42</v>
      </c>
      <c r="G3112" s="20">
        <f>IFERROR(INDEX('Kode Outlet dan Target Toko'!$C:$C,MATCH($I3112,'Kode Outlet dan Target Toko'!$E:$E,0)),0)</f>
        <v>103274</v>
      </c>
      <c r="H3112" s="20">
        <f>IFERROR(INDEX('Kode Outlet dan Target Toko'!$D:$D,MATCH($I3112,'Kode Outlet dan Target Toko'!$E:$E,0)),0)</f>
        <v>1301399</v>
      </c>
      <c r="I3112" s="42" t="s">
        <v>111</v>
      </c>
      <c r="J3112" s="56" t="s">
        <v>206</v>
      </c>
      <c r="K3112" s="40" t="s">
        <v>14</v>
      </c>
      <c r="L3112" s="26">
        <v>3145</v>
      </c>
      <c r="M3112" s="26">
        <v>54</v>
      </c>
      <c r="N3112" s="25">
        <f t="shared" si="97"/>
        <v>169830</v>
      </c>
      <c r="O3112" s="56"/>
    </row>
    <row r="3113" spans="1:15" hidden="1" x14ac:dyDescent="0.3">
      <c r="A3113" s="26">
        <v>32</v>
      </c>
      <c r="B3113" s="20" t="str">
        <f t="shared" si="96"/>
        <v>AUG</v>
      </c>
      <c r="C3113" s="21">
        <v>46241</v>
      </c>
      <c r="D3113" s="22" t="s">
        <v>59</v>
      </c>
      <c r="E3113" s="20" t="str">
        <f>IFERROR(VLOOKUP(I3113,KET!$B:$F,4,0),"")</f>
        <v>SUPRIYATI</v>
      </c>
      <c r="F3113" s="20" t="s">
        <v>42</v>
      </c>
      <c r="G3113" s="20">
        <f>IFERROR(INDEX('Kode Outlet dan Target Toko'!$C:$C,MATCH($I3113,'Kode Outlet dan Target Toko'!$E:$E,0)),0)</f>
        <v>103274</v>
      </c>
      <c r="H3113" s="20">
        <f>IFERROR(INDEX('Kode Outlet dan Target Toko'!$D:$D,MATCH($I3113,'Kode Outlet dan Target Toko'!$E:$E,0)),0)</f>
        <v>1301399</v>
      </c>
      <c r="I3113" s="42" t="s">
        <v>111</v>
      </c>
      <c r="J3113" s="56" t="s">
        <v>206</v>
      </c>
      <c r="K3113" s="40" t="s">
        <v>13</v>
      </c>
      <c r="L3113" s="26">
        <v>3145</v>
      </c>
      <c r="M3113" s="26">
        <v>0</v>
      </c>
      <c r="N3113" s="25">
        <f t="shared" si="97"/>
        <v>0</v>
      </c>
      <c r="O3113" s="56"/>
    </row>
    <row r="3114" spans="1:15" hidden="1" x14ac:dyDescent="0.3">
      <c r="A3114" s="26">
        <v>32</v>
      </c>
      <c r="B3114" s="20" t="str">
        <f t="shared" si="96"/>
        <v>AUG</v>
      </c>
      <c r="C3114" s="21">
        <v>46241</v>
      </c>
      <c r="D3114" s="22" t="s">
        <v>59</v>
      </c>
      <c r="E3114" s="20" t="str">
        <f>IFERROR(VLOOKUP(I3114,KET!$B:$F,4,0),"")</f>
        <v>SUPRIYATI</v>
      </c>
      <c r="F3114" s="20" t="s">
        <v>42</v>
      </c>
      <c r="G3114" s="20">
        <f>IFERROR(INDEX('Kode Outlet dan Target Toko'!$C:$C,MATCH($I3114,'Kode Outlet dan Target Toko'!$E:$E,0)),0)</f>
        <v>103274</v>
      </c>
      <c r="H3114" s="20">
        <f>IFERROR(INDEX('Kode Outlet dan Target Toko'!$D:$D,MATCH($I3114,'Kode Outlet dan Target Toko'!$E:$E,0)),0)</f>
        <v>1301399</v>
      </c>
      <c r="I3114" s="42" t="s">
        <v>111</v>
      </c>
      <c r="J3114" s="56" t="s">
        <v>206</v>
      </c>
      <c r="K3114" s="40" t="s">
        <v>16</v>
      </c>
      <c r="L3114" s="26">
        <v>3145</v>
      </c>
      <c r="M3114" s="26">
        <v>89</v>
      </c>
      <c r="N3114" s="25">
        <f t="shared" si="97"/>
        <v>279905</v>
      </c>
      <c r="O3114" s="56">
        <v>160</v>
      </c>
    </row>
    <row r="3115" spans="1:15" hidden="1" x14ac:dyDescent="0.3">
      <c r="A3115" s="26">
        <v>32</v>
      </c>
      <c r="B3115" s="20" t="str">
        <f t="shared" si="96"/>
        <v>AUG</v>
      </c>
      <c r="C3115" s="21">
        <v>46241</v>
      </c>
      <c r="D3115" s="22" t="s">
        <v>59</v>
      </c>
      <c r="E3115" s="20" t="str">
        <f>IFERROR(VLOOKUP(I3115,KET!$B:$F,4,0),"")</f>
        <v>SUPRIYATI</v>
      </c>
      <c r="F3115" s="20" t="s">
        <v>42</v>
      </c>
      <c r="G3115" s="20">
        <f>IFERROR(INDEX('Kode Outlet dan Target Toko'!$C:$C,MATCH($I3115,'Kode Outlet dan Target Toko'!$E:$E,0)),0)</f>
        <v>0</v>
      </c>
      <c r="H3115" s="20">
        <f>IFERROR(INDEX('Kode Outlet dan Target Toko'!$D:$D,MATCH($I3115,'Kode Outlet dan Target Toko'!$E:$E,0)),0)</f>
        <v>0</v>
      </c>
      <c r="I3115" s="42" t="s">
        <v>136</v>
      </c>
      <c r="J3115" s="56" t="s">
        <v>226</v>
      </c>
      <c r="K3115" s="40" t="s">
        <v>15</v>
      </c>
      <c r="L3115" s="26">
        <v>3000</v>
      </c>
      <c r="M3115" s="26">
        <v>17</v>
      </c>
      <c r="N3115" s="25">
        <f t="shared" si="97"/>
        <v>51000</v>
      </c>
      <c r="O3115" s="56"/>
    </row>
    <row r="3116" spans="1:15" hidden="1" x14ac:dyDescent="0.3">
      <c r="A3116" s="26">
        <v>32</v>
      </c>
      <c r="B3116" s="20" t="str">
        <f t="shared" si="96"/>
        <v>AUG</v>
      </c>
      <c r="C3116" s="21">
        <v>46241</v>
      </c>
      <c r="D3116" s="22" t="s">
        <v>59</v>
      </c>
      <c r="E3116" s="20" t="str">
        <f>IFERROR(VLOOKUP(I3116,KET!$B:$F,4,0),"")</f>
        <v>SUPRIYATI</v>
      </c>
      <c r="F3116" s="20" t="s">
        <v>42</v>
      </c>
      <c r="G3116" s="20">
        <f>IFERROR(INDEX('Kode Outlet dan Target Toko'!$C:$C,MATCH($I3116,'Kode Outlet dan Target Toko'!$E:$E,0)),0)</f>
        <v>0</v>
      </c>
      <c r="H3116" s="20">
        <f>IFERROR(INDEX('Kode Outlet dan Target Toko'!$D:$D,MATCH($I3116,'Kode Outlet dan Target Toko'!$E:$E,0)),0)</f>
        <v>0</v>
      </c>
      <c r="I3116" s="42" t="s">
        <v>136</v>
      </c>
      <c r="J3116" s="56" t="s">
        <v>226</v>
      </c>
      <c r="K3116" s="40" t="s">
        <v>14</v>
      </c>
      <c r="L3116" s="26">
        <v>3000</v>
      </c>
      <c r="M3116" s="26">
        <v>12</v>
      </c>
      <c r="N3116" s="25">
        <f t="shared" si="97"/>
        <v>36000</v>
      </c>
      <c r="O3116" s="56"/>
    </row>
    <row r="3117" spans="1:15" hidden="1" x14ac:dyDescent="0.3">
      <c r="A3117" s="26">
        <v>32</v>
      </c>
      <c r="B3117" s="20" t="str">
        <f t="shared" si="96"/>
        <v>AUG</v>
      </c>
      <c r="C3117" s="21">
        <v>46241</v>
      </c>
      <c r="D3117" s="22" t="s">
        <v>59</v>
      </c>
      <c r="E3117" s="20" t="str">
        <f>IFERROR(VLOOKUP(I3117,KET!$B:$F,4,0),"")</f>
        <v>SUPRIYATI</v>
      </c>
      <c r="F3117" s="20" t="s">
        <v>42</v>
      </c>
      <c r="G3117" s="20">
        <f>IFERROR(INDEX('Kode Outlet dan Target Toko'!$C:$C,MATCH($I3117,'Kode Outlet dan Target Toko'!$E:$E,0)),0)</f>
        <v>0</v>
      </c>
      <c r="H3117" s="20">
        <f>IFERROR(INDEX('Kode Outlet dan Target Toko'!$D:$D,MATCH($I3117,'Kode Outlet dan Target Toko'!$E:$E,0)),0)</f>
        <v>0</v>
      </c>
      <c r="I3117" s="42" t="s">
        <v>136</v>
      </c>
      <c r="J3117" s="56" t="s">
        <v>226</v>
      </c>
      <c r="K3117" s="40" t="s">
        <v>13</v>
      </c>
      <c r="L3117" s="26">
        <v>3000</v>
      </c>
      <c r="M3117" s="26">
        <v>18</v>
      </c>
      <c r="N3117" s="25">
        <f t="shared" si="97"/>
        <v>54000</v>
      </c>
      <c r="O3117" s="56"/>
    </row>
    <row r="3118" spans="1:15" hidden="1" x14ac:dyDescent="0.3">
      <c r="A3118" s="26">
        <v>32</v>
      </c>
      <c r="B3118" s="20" t="str">
        <f t="shared" si="96"/>
        <v>AUG</v>
      </c>
      <c r="C3118" s="21">
        <v>46241</v>
      </c>
      <c r="D3118" s="22" t="s">
        <v>59</v>
      </c>
      <c r="E3118" s="20" t="str">
        <f>IFERROR(VLOOKUP(I3118,KET!$B:$F,4,0),"")</f>
        <v>SUPRIYATI</v>
      </c>
      <c r="F3118" s="20" t="s">
        <v>42</v>
      </c>
      <c r="G3118" s="20">
        <f>IFERROR(INDEX('Kode Outlet dan Target Toko'!$C:$C,MATCH($I3118,'Kode Outlet dan Target Toko'!$E:$E,0)),0)</f>
        <v>0</v>
      </c>
      <c r="H3118" s="20">
        <f>IFERROR(INDEX('Kode Outlet dan Target Toko'!$D:$D,MATCH($I3118,'Kode Outlet dan Target Toko'!$E:$E,0)),0)</f>
        <v>0</v>
      </c>
      <c r="I3118" s="42" t="s">
        <v>136</v>
      </c>
      <c r="J3118" s="56" t="s">
        <v>226</v>
      </c>
      <c r="K3118" s="40" t="s">
        <v>16</v>
      </c>
      <c r="L3118" s="26">
        <v>3000</v>
      </c>
      <c r="M3118" s="26">
        <v>81</v>
      </c>
      <c r="N3118" s="25">
        <f t="shared" si="97"/>
        <v>243000</v>
      </c>
      <c r="O3118" s="56">
        <v>160</v>
      </c>
    </row>
    <row r="3119" spans="1:15" hidden="1" x14ac:dyDescent="0.3">
      <c r="A3119" s="26">
        <v>32</v>
      </c>
      <c r="B3119" s="20" t="str">
        <f t="shared" si="96"/>
        <v>AUG</v>
      </c>
      <c r="C3119" s="21">
        <v>46241</v>
      </c>
      <c r="D3119" s="22" t="s">
        <v>59</v>
      </c>
      <c r="E3119" s="20" t="str">
        <f>IFERROR(VLOOKUP(I3119,KET!$B:$F,4,0),"")</f>
        <v>SUPRIYATI</v>
      </c>
      <c r="F3119" s="20" t="s">
        <v>42</v>
      </c>
      <c r="G3119" s="20">
        <f>IFERROR(INDEX('Kode Outlet dan Target Toko'!$C:$C,MATCH($I3119,'Kode Outlet dan Target Toko'!$E:$E,0)),0)</f>
        <v>0</v>
      </c>
      <c r="H3119" s="20">
        <f>IFERROR(INDEX('Kode Outlet dan Target Toko'!$D:$D,MATCH($I3119,'Kode Outlet dan Target Toko'!$E:$E,0)),0)</f>
        <v>0</v>
      </c>
      <c r="I3119" s="42" t="s">
        <v>136</v>
      </c>
      <c r="J3119" s="56" t="s">
        <v>227</v>
      </c>
      <c r="K3119" s="40" t="s">
        <v>15</v>
      </c>
      <c r="L3119" s="26">
        <v>3000</v>
      </c>
      <c r="M3119" s="26">
        <v>16</v>
      </c>
      <c r="N3119" s="25">
        <f t="shared" si="97"/>
        <v>48000</v>
      </c>
      <c r="O3119" s="56"/>
    </row>
    <row r="3120" spans="1:15" hidden="1" x14ac:dyDescent="0.3">
      <c r="A3120" s="26">
        <v>32</v>
      </c>
      <c r="B3120" s="20" t="str">
        <f t="shared" si="96"/>
        <v>AUG</v>
      </c>
      <c r="C3120" s="21">
        <v>46241</v>
      </c>
      <c r="D3120" s="22" t="s">
        <v>59</v>
      </c>
      <c r="E3120" s="20" t="str">
        <f>IFERROR(VLOOKUP(I3120,KET!$B:$F,4,0),"")</f>
        <v>SUPRIYATI</v>
      </c>
      <c r="F3120" s="20" t="s">
        <v>42</v>
      </c>
      <c r="G3120" s="20">
        <f>IFERROR(INDEX('Kode Outlet dan Target Toko'!$C:$C,MATCH($I3120,'Kode Outlet dan Target Toko'!$E:$E,0)),0)</f>
        <v>0</v>
      </c>
      <c r="H3120" s="20">
        <f>IFERROR(INDEX('Kode Outlet dan Target Toko'!$D:$D,MATCH($I3120,'Kode Outlet dan Target Toko'!$E:$E,0)),0)</f>
        <v>0</v>
      </c>
      <c r="I3120" s="42" t="s">
        <v>136</v>
      </c>
      <c r="J3120" s="56" t="s">
        <v>227</v>
      </c>
      <c r="K3120" s="40" t="s">
        <v>14</v>
      </c>
      <c r="L3120" s="26">
        <v>3000</v>
      </c>
      <c r="M3120" s="26">
        <v>12</v>
      </c>
      <c r="N3120" s="25">
        <f t="shared" si="97"/>
        <v>36000</v>
      </c>
      <c r="O3120" s="56"/>
    </row>
    <row r="3121" spans="1:15" hidden="1" x14ac:dyDescent="0.3">
      <c r="A3121" s="26">
        <v>32</v>
      </c>
      <c r="B3121" s="20" t="str">
        <f t="shared" si="96"/>
        <v>AUG</v>
      </c>
      <c r="C3121" s="21">
        <v>46241</v>
      </c>
      <c r="D3121" s="22" t="s">
        <v>59</v>
      </c>
      <c r="E3121" s="20" t="str">
        <f>IFERROR(VLOOKUP(I3121,KET!$B:$F,4,0),"")</f>
        <v>SUPRIYATI</v>
      </c>
      <c r="F3121" s="20" t="s">
        <v>42</v>
      </c>
      <c r="G3121" s="20">
        <f>IFERROR(INDEX('Kode Outlet dan Target Toko'!$C:$C,MATCH($I3121,'Kode Outlet dan Target Toko'!$E:$E,0)),0)</f>
        <v>0</v>
      </c>
      <c r="H3121" s="20">
        <f>IFERROR(INDEX('Kode Outlet dan Target Toko'!$D:$D,MATCH($I3121,'Kode Outlet dan Target Toko'!$E:$E,0)),0)</f>
        <v>0</v>
      </c>
      <c r="I3121" s="42" t="s">
        <v>136</v>
      </c>
      <c r="J3121" s="56" t="s">
        <v>227</v>
      </c>
      <c r="K3121" s="40" t="s">
        <v>13</v>
      </c>
      <c r="L3121" s="26">
        <v>3000</v>
      </c>
      <c r="M3121" s="26">
        <v>18</v>
      </c>
      <c r="N3121" s="25">
        <f t="shared" si="97"/>
        <v>54000</v>
      </c>
      <c r="O3121" s="56"/>
    </row>
    <row r="3122" spans="1:15" hidden="1" x14ac:dyDescent="0.3">
      <c r="A3122" s="26">
        <v>32</v>
      </c>
      <c r="B3122" s="20" t="str">
        <f t="shared" si="96"/>
        <v>AUG</v>
      </c>
      <c r="C3122" s="21">
        <v>46241</v>
      </c>
      <c r="D3122" s="22" t="s">
        <v>59</v>
      </c>
      <c r="E3122" s="20" t="str">
        <f>IFERROR(VLOOKUP(I3122,KET!$B:$F,4,0),"")</f>
        <v>SUPRIYATI</v>
      </c>
      <c r="F3122" s="20" t="s">
        <v>42</v>
      </c>
      <c r="G3122" s="20">
        <f>IFERROR(INDEX('Kode Outlet dan Target Toko'!$C:$C,MATCH($I3122,'Kode Outlet dan Target Toko'!$E:$E,0)),0)</f>
        <v>0</v>
      </c>
      <c r="H3122" s="20">
        <f>IFERROR(INDEX('Kode Outlet dan Target Toko'!$D:$D,MATCH($I3122,'Kode Outlet dan Target Toko'!$E:$E,0)),0)</f>
        <v>0</v>
      </c>
      <c r="I3122" s="42" t="s">
        <v>136</v>
      </c>
      <c r="J3122" s="56" t="s">
        <v>227</v>
      </c>
      <c r="K3122" s="40" t="s">
        <v>16</v>
      </c>
      <c r="L3122" s="26">
        <v>3000</v>
      </c>
      <c r="M3122" s="26">
        <v>81</v>
      </c>
      <c r="N3122" s="25">
        <f t="shared" si="97"/>
        <v>243000</v>
      </c>
      <c r="O3122" s="56">
        <v>160</v>
      </c>
    </row>
    <row r="3123" spans="1:15" hidden="1" x14ac:dyDescent="0.3">
      <c r="A3123" s="26">
        <v>32</v>
      </c>
      <c r="B3123" s="20" t="str">
        <f t="shared" si="96"/>
        <v>AUG</v>
      </c>
      <c r="C3123" s="21">
        <v>46241</v>
      </c>
      <c r="D3123" s="22" t="s">
        <v>59</v>
      </c>
      <c r="E3123" s="20" t="str">
        <f>IFERROR(VLOOKUP(I3123,KET!$B:$F,4,0),"")</f>
        <v>SUPRIYATI</v>
      </c>
      <c r="F3123" s="20" t="s">
        <v>42</v>
      </c>
      <c r="G3123" s="20">
        <f>IFERROR(INDEX('Kode Outlet dan Target Toko'!$C:$C,MATCH($I3123,'Kode Outlet dan Target Toko'!$E:$E,0)),0)</f>
        <v>103222</v>
      </c>
      <c r="H3123" s="20">
        <f>IFERROR(INDEX('Kode Outlet dan Target Toko'!$D:$D,MATCH($I3123,'Kode Outlet dan Target Toko'!$E:$E,0)),0)</f>
        <v>106437</v>
      </c>
      <c r="I3123" s="42" t="s">
        <v>104</v>
      </c>
      <c r="J3123" s="56" t="s">
        <v>207</v>
      </c>
      <c r="K3123" s="40" t="s">
        <v>15</v>
      </c>
      <c r="L3123" s="26">
        <v>3000</v>
      </c>
      <c r="M3123" s="26">
        <v>53</v>
      </c>
      <c r="N3123" s="25">
        <f t="shared" si="97"/>
        <v>159000</v>
      </c>
      <c r="O3123" s="56"/>
    </row>
    <row r="3124" spans="1:15" hidden="1" x14ac:dyDescent="0.3">
      <c r="A3124" s="26">
        <v>32</v>
      </c>
      <c r="B3124" s="20" t="str">
        <f t="shared" si="96"/>
        <v>AUG</v>
      </c>
      <c r="C3124" s="21">
        <v>46241</v>
      </c>
      <c r="D3124" s="22" t="s">
        <v>59</v>
      </c>
      <c r="E3124" s="20" t="str">
        <f>IFERROR(VLOOKUP(I3124,KET!$B:$F,4,0),"")</f>
        <v>SUPRIYATI</v>
      </c>
      <c r="F3124" s="20" t="s">
        <v>42</v>
      </c>
      <c r="G3124" s="20">
        <f>IFERROR(INDEX('Kode Outlet dan Target Toko'!$C:$C,MATCH($I3124,'Kode Outlet dan Target Toko'!$E:$E,0)),0)</f>
        <v>103222</v>
      </c>
      <c r="H3124" s="20">
        <f>IFERROR(INDEX('Kode Outlet dan Target Toko'!$D:$D,MATCH($I3124,'Kode Outlet dan Target Toko'!$E:$E,0)),0)</f>
        <v>106437</v>
      </c>
      <c r="I3124" s="42" t="s">
        <v>104</v>
      </c>
      <c r="J3124" s="56" t="s">
        <v>207</v>
      </c>
      <c r="K3124" s="40" t="s">
        <v>14</v>
      </c>
      <c r="L3124" s="26">
        <v>3000</v>
      </c>
      <c r="M3124" s="26">
        <v>58</v>
      </c>
      <c r="N3124" s="25">
        <f t="shared" si="97"/>
        <v>174000</v>
      </c>
      <c r="O3124" s="56"/>
    </row>
    <row r="3125" spans="1:15" hidden="1" x14ac:dyDescent="0.3">
      <c r="A3125" s="26">
        <v>32</v>
      </c>
      <c r="B3125" s="20" t="str">
        <f t="shared" si="96"/>
        <v>AUG</v>
      </c>
      <c r="C3125" s="21">
        <v>46241</v>
      </c>
      <c r="D3125" s="22" t="s">
        <v>59</v>
      </c>
      <c r="E3125" s="20" t="str">
        <f>IFERROR(VLOOKUP(I3125,KET!$B:$F,4,0),"")</f>
        <v>SUPRIYATI</v>
      </c>
      <c r="F3125" s="20" t="s">
        <v>42</v>
      </c>
      <c r="G3125" s="20">
        <f>IFERROR(INDEX('Kode Outlet dan Target Toko'!$C:$C,MATCH($I3125,'Kode Outlet dan Target Toko'!$E:$E,0)),0)</f>
        <v>103222</v>
      </c>
      <c r="H3125" s="20">
        <f>IFERROR(INDEX('Kode Outlet dan Target Toko'!$D:$D,MATCH($I3125,'Kode Outlet dan Target Toko'!$E:$E,0)),0)</f>
        <v>106437</v>
      </c>
      <c r="I3125" s="42" t="s">
        <v>104</v>
      </c>
      <c r="J3125" s="56" t="s">
        <v>207</v>
      </c>
      <c r="K3125" s="40" t="s">
        <v>13</v>
      </c>
      <c r="L3125" s="26">
        <v>3000</v>
      </c>
      <c r="M3125" s="26">
        <v>0</v>
      </c>
      <c r="N3125" s="25">
        <f t="shared" si="97"/>
        <v>0</v>
      </c>
      <c r="O3125" s="56"/>
    </row>
    <row r="3126" spans="1:15" hidden="1" x14ac:dyDescent="0.3">
      <c r="A3126" s="26">
        <v>32</v>
      </c>
      <c r="B3126" s="20" t="str">
        <f t="shared" si="96"/>
        <v>AUG</v>
      </c>
      <c r="C3126" s="21">
        <v>46241</v>
      </c>
      <c r="D3126" s="22" t="s">
        <v>59</v>
      </c>
      <c r="E3126" s="20" t="str">
        <f>IFERROR(VLOOKUP(I3126,KET!$B:$F,4,0),"")</f>
        <v>SUPRIYATI</v>
      </c>
      <c r="F3126" s="20" t="s">
        <v>42</v>
      </c>
      <c r="G3126" s="20">
        <f>IFERROR(INDEX('Kode Outlet dan Target Toko'!$C:$C,MATCH($I3126,'Kode Outlet dan Target Toko'!$E:$E,0)),0)</f>
        <v>103222</v>
      </c>
      <c r="H3126" s="20">
        <f>IFERROR(INDEX('Kode Outlet dan Target Toko'!$D:$D,MATCH($I3126,'Kode Outlet dan Target Toko'!$E:$E,0)),0)</f>
        <v>106437</v>
      </c>
      <c r="I3126" s="42" t="s">
        <v>104</v>
      </c>
      <c r="J3126" s="56" t="s">
        <v>207</v>
      </c>
      <c r="K3126" s="40" t="s">
        <v>16</v>
      </c>
      <c r="L3126" s="26">
        <v>3000</v>
      </c>
      <c r="M3126" s="26">
        <v>65</v>
      </c>
      <c r="N3126" s="25">
        <f t="shared" si="97"/>
        <v>195000</v>
      </c>
      <c r="O3126" s="56">
        <v>96</v>
      </c>
    </row>
    <row r="3127" spans="1:15" hidden="1" x14ac:dyDescent="0.3">
      <c r="A3127" s="26">
        <v>32</v>
      </c>
      <c r="B3127" s="20" t="str">
        <f t="shared" si="96"/>
        <v>AUG</v>
      </c>
      <c r="C3127" s="21">
        <v>46241</v>
      </c>
      <c r="D3127" s="22" t="s">
        <v>59</v>
      </c>
      <c r="E3127" s="20" t="str">
        <f>IFERROR(VLOOKUP(I3127,KET!$B:$F,4,0),"")</f>
        <v>SUPRIYATI</v>
      </c>
      <c r="F3127" s="20" t="s">
        <v>42</v>
      </c>
      <c r="G3127" s="20">
        <f>IFERROR(INDEX('Kode Outlet dan Target Toko'!$C:$C,MATCH($I3127,'Kode Outlet dan Target Toko'!$E:$E,0)),0)</f>
        <v>103222</v>
      </c>
      <c r="H3127" s="20">
        <f>IFERROR(INDEX('Kode Outlet dan Target Toko'!$D:$D,MATCH($I3127,'Kode Outlet dan Target Toko'!$E:$E,0)),0)</f>
        <v>106437</v>
      </c>
      <c r="I3127" s="42" t="s">
        <v>104</v>
      </c>
      <c r="J3127" s="56" t="s">
        <v>208</v>
      </c>
      <c r="K3127" s="40" t="s">
        <v>15</v>
      </c>
      <c r="L3127" s="26">
        <v>3000</v>
      </c>
      <c r="M3127" s="26">
        <v>52</v>
      </c>
      <c r="N3127" s="25">
        <f t="shared" si="97"/>
        <v>156000</v>
      </c>
      <c r="O3127" s="56"/>
    </row>
    <row r="3128" spans="1:15" hidden="1" x14ac:dyDescent="0.3">
      <c r="A3128" s="26">
        <v>32</v>
      </c>
      <c r="B3128" s="20" t="str">
        <f t="shared" si="96"/>
        <v>AUG</v>
      </c>
      <c r="C3128" s="21">
        <v>46241</v>
      </c>
      <c r="D3128" s="22" t="s">
        <v>59</v>
      </c>
      <c r="E3128" s="20" t="str">
        <f>IFERROR(VLOOKUP(I3128,KET!$B:$F,4,0),"")</f>
        <v>SUPRIYATI</v>
      </c>
      <c r="F3128" s="20" t="s">
        <v>42</v>
      </c>
      <c r="G3128" s="20">
        <f>IFERROR(INDEX('Kode Outlet dan Target Toko'!$C:$C,MATCH($I3128,'Kode Outlet dan Target Toko'!$E:$E,0)),0)</f>
        <v>103222</v>
      </c>
      <c r="H3128" s="20">
        <f>IFERROR(INDEX('Kode Outlet dan Target Toko'!$D:$D,MATCH($I3128,'Kode Outlet dan Target Toko'!$E:$E,0)),0)</f>
        <v>106437</v>
      </c>
      <c r="I3128" s="42" t="s">
        <v>104</v>
      </c>
      <c r="J3128" s="56" t="s">
        <v>208</v>
      </c>
      <c r="K3128" s="40" t="s">
        <v>14</v>
      </c>
      <c r="L3128" s="26">
        <v>3000</v>
      </c>
      <c r="M3128" s="26">
        <v>57</v>
      </c>
      <c r="N3128" s="25">
        <f t="shared" si="97"/>
        <v>171000</v>
      </c>
      <c r="O3128" s="56"/>
    </row>
    <row r="3129" spans="1:15" hidden="1" x14ac:dyDescent="0.3">
      <c r="A3129" s="26">
        <v>32</v>
      </c>
      <c r="B3129" s="20" t="str">
        <f t="shared" si="96"/>
        <v>AUG</v>
      </c>
      <c r="C3129" s="21">
        <v>46241</v>
      </c>
      <c r="D3129" s="22" t="s">
        <v>59</v>
      </c>
      <c r="E3129" s="20" t="str">
        <f>IFERROR(VLOOKUP(I3129,KET!$B:$F,4,0),"")</f>
        <v>SUPRIYATI</v>
      </c>
      <c r="F3129" s="20" t="s">
        <v>42</v>
      </c>
      <c r="G3129" s="20">
        <f>IFERROR(INDEX('Kode Outlet dan Target Toko'!$C:$C,MATCH($I3129,'Kode Outlet dan Target Toko'!$E:$E,0)),0)</f>
        <v>103222</v>
      </c>
      <c r="H3129" s="20">
        <f>IFERROR(INDEX('Kode Outlet dan Target Toko'!$D:$D,MATCH($I3129,'Kode Outlet dan Target Toko'!$E:$E,0)),0)</f>
        <v>106437</v>
      </c>
      <c r="I3129" s="42" t="s">
        <v>104</v>
      </c>
      <c r="J3129" s="56" t="s">
        <v>208</v>
      </c>
      <c r="K3129" s="40" t="s">
        <v>13</v>
      </c>
      <c r="L3129" s="26">
        <v>3000</v>
      </c>
      <c r="M3129" s="26">
        <v>0</v>
      </c>
      <c r="N3129" s="25">
        <f t="shared" si="97"/>
        <v>0</v>
      </c>
      <c r="O3129" s="56"/>
    </row>
    <row r="3130" spans="1:15" hidden="1" x14ac:dyDescent="0.3">
      <c r="A3130" s="26">
        <v>32</v>
      </c>
      <c r="B3130" s="20" t="str">
        <f t="shared" si="96"/>
        <v>AUG</v>
      </c>
      <c r="C3130" s="21">
        <v>46241</v>
      </c>
      <c r="D3130" s="22" t="s">
        <v>59</v>
      </c>
      <c r="E3130" s="20" t="str">
        <f>IFERROR(VLOOKUP(I3130,KET!$B:$F,4,0),"")</f>
        <v>SUPRIYATI</v>
      </c>
      <c r="F3130" s="20" t="s">
        <v>42</v>
      </c>
      <c r="G3130" s="20">
        <f>IFERROR(INDEX('Kode Outlet dan Target Toko'!$C:$C,MATCH($I3130,'Kode Outlet dan Target Toko'!$E:$E,0)),0)</f>
        <v>103222</v>
      </c>
      <c r="H3130" s="20">
        <f>IFERROR(INDEX('Kode Outlet dan Target Toko'!$D:$D,MATCH($I3130,'Kode Outlet dan Target Toko'!$E:$E,0)),0)</f>
        <v>106437</v>
      </c>
      <c r="I3130" s="42" t="s">
        <v>104</v>
      </c>
      <c r="J3130" s="56" t="s">
        <v>208</v>
      </c>
      <c r="K3130" s="40" t="s">
        <v>16</v>
      </c>
      <c r="L3130" s="26">
        <v>3000</v>
      </c>
      <c r="M3130" s="26">
        <v>65</v>
      </c>
      <c r="N3130" s="25">
        <f t="shared" si="97"/>
        <v>195000</v>
      </c>
      <c r="O3130" s="56">
        <v>96</v>
      </c>
    </row>
    <row r="3131" spans="1:15" hidden="1" x14ac:dyDescent="0.3">
      <c r="A3131" s="26">
        <v>32</v>
      </c>
      <c r="B3131" s="20" t="str">
        <f t="shared" si="96"/>
        <v>AUG</v>
      </c>
      <c r="C3131" s="21">
        <v>46242</v>
      </c>
      <c r="D3131" s="22" t="s">
        <v>59</v>
      </c>
      <c r="E3131" s="20" t="str">
        <f>IFERROR(VLOOKUP(I3131,KET!$B:$F,4,0),"")</f>
        <v>SUPRIYATI</v>
      </c>
      <c r="F3131" s="20" t="s">
        <v>42</v>
      </c>
      <c r="G3131" s="20">
        <f>IFERROR(INDEX('Kode Outlet dan Target Toko'!$C:$C,MATCH($I3131,'Kode Outlet dan Target Toko'!$E:$E,0)),0)</f>
        <v>103274</v>
      </c>
      <c r="H3131" s="20">
        <f>IFERROR(INDEX('Kode Outlet dan Target Toko'!$D:$D,MATCH($I3131,'Kode Outlet dan Target Toko'!$E:$E,0)),0)</f>
        <v>1301399</v>
      </c>
      <c r="I3131" s="42" t="s">
        <v>111</v>
      </c>
      <c r="J3131" s="56" t="s">
        <v>205</v>
      </c>
      <c r="K3131" s="40" t="s">
        <v>15</v>
      </c>
      <c r="L3131" s="26">
        <v>3145</v>
      </c>
      <c r="M3131" s="26">
        <v>114</v>
      </c>
      <c r="N3131" s="25">
        <f t="shared" si="97"/>
        <v>358530</v>
      </c>
      <c r="O3131" s="56"/>
    </row>
    <row r="3132" spans="1:15" hidden="1" x14ac:dyDescent="0.3">
      <c r="A3132" s="26">
        <v>32</v>
      </c>
      <c r="B3132" s="20" t="str">
        <f t="shared" si="96"/>
        <v>AUG</v>
      </c>
      <c r="C3132" s="21">
        <v>46242</v>
      </c>
      <c r="D3132" s="22" t="s">
        <v>59</v>
      </c>
      <c r="E3132" s="20" t="str">
        <f>IFERROR(VLOOKUP(I3132,KET!$B:$F,4,0),"")</f>
        <v>SUPRIYATI</v>
      </c>
      <c r="F3132" s="20" t="s">
        <v>42</v>
      </c>
      <c r="G3132" s="20">
        <f>IFERROR(INDEX('Kode Outlet dan Target Toko'!$C:$C,MATCH($I3132,'Kode Outlet dan Target Toko'!$E:$E,0)),0)</f>
        <v>103274</v>
      </c>
      <c r="H3132" s="20">
        <f>IFERROR(INDEX('Kode Outlet dan Target Toko'!$D:$D,MATCH($I3132,'Kode Outlet dan Target Toko'!$E:$E,0)),0)</f>
        <v>1301399</v>
      </c>
      <c r="I3132" s="42" t="s">
        <v>111</v>
      </c>
      <c r="J3132" s="56" t="s">
        <v>205</v>
      </c>
      <c r="K3132" s="40" t="s">
        <v>14</v>
      </c>
      <c r="L3132" s="26">
        <v>3145</v>
      </c>
      <c r="M3132" s="26">
        <v>54</v>
      </c>
      <c r="N3132" s="25">
        <f t="shared" si="97"/>
        <v>169830</v>
      </c>
      <c r="O3132" s="56"/>
    </row>
    <row r="3133" spans="1:15" hidden="1" x14ac:dyDescent="0.3">
      <c r="A3133" s="26">
        <v>32</v>
      </c>
      <c r="B3133" s="20" t="str">
        <f t="shared" si="96"/>
        <v>AUG</v>
      </c>
      <c r="C3133" s="21">
        <v>46242</v>
      </c>
      <c r="D3133" s="22" t="s">
        <v>59</v>
      </c>
      <c r="E3133" s="20" t="str">
        <f>IFERROR(VLOOKUP(I3133,KET!$B:$F,4,0),"")</f>
        <v>SUPRIYATI</v>
      </c>
      <c r="F3133" s="20" t="s">
        <v>42</v>
      </c>
      <c r="G3133" s="20">
        <f>IFERROR(INDEX('Kode Outlet dan Target Toko'!$C:$C,MATCH($I3133,'Kode Outlet dan Target Toko'!$E:$E,0)),0)</f>
        <v>103274</v>
      </c>
      <c r="H3133" s="20">
        <f>IFERROR(INDEX('Kode Outlet dan Target Toko'!$D:$D,MATCH($I3133,'Kode Outlet dan Target Toko'!$E:$E,0)),0)</f>
        <v>1301399</v>
      </c>
      <c r="I3133" s="42" t="s">
        <v>111</v>
      </c>
      <c r="J3133" s="56" t="s">
        <v>205</v>
      </c>
      <c r="K3133" s="40" t="s">
        <v>13</v>
      </c>
      <c r="L3133" s="26">
        <v>3145</v>
      </c>
      <c r="M3133" s="26">
        <v>5</v>
      </c>
      <c r="N3133" s="25">
        <f t="shared" si="97"/>
        <v>15725</v>
      </c>
      <c r="O3133" s="56"/>
    </row>
    <row r="3134" spans="1:15" hidden="1" x14ac:dyDescent="0.3">
      <c r="A3134" s="26">
        <v>32</v>
      </c>
      <c r="B3134" s="20" t="str">
        <f t="shared" si="96"/>
        <v>AUG</v>
      </c>
      <c r="C3134" s="21">
        <v>46242</v>
      </c>
      <c r="D3134" s="22" t="s">
        <v>59</v>
      </c>
      <c r="E3134" s="20" t="str">
        <f>IFERROR(VLOOKUP(I3134,KET!$B:$F,4,0),"")</f>
        <v>SUPRIYATI</v>
      </c>
      <c r="F3134" s="20" t="s">
        <v>42</v>
      </c>
      <c r="G3134" s="20">
        <f>IFERROR(INDEX('Kode Outlet dan Target Toko'!$C:$C,MATCH($I3134,'Kode Outlet dan Target Toko'!$E:$E,0)),0)</f>
        <v>103274</v>
      </c>
      <c r="H3134" s="20">
        <f>IFERROR(INDEX('Kode Outlet dan Target Toko'!$D:$D,MATCH($I3134,'Kode Outlet dan Target Toko'!$E:$E,0)),0)</f>
        <v>1301399</v>
      </c>
      <c r="I3134" s="42" t="s">
        <v>111</v>
      </c>
      <c r="J3134" s="56" t="s">
        <v>205</v>
      </c>
      <c r="K3134" s="40" t="s">
        <v>16</v>
      </c>
      <c r="L3134" s="26">
        <v>3145</v>
      </c>
      <c r="M3134" s="26">
        <v>89</v>
      </c>
      <c r="N3134" s="25">
        <f t="shared" si="97"/>
        <v>279905</v>
      </c>
      <c r="O3134" s="56">
        <v>160</v>
      </c>
    </row>
    <row r="3135" spans="1:15" hidden="1" x14ac:dyDescent="0.3">
      <c r="A3135" s="26">
        <v>32</v>
      </c>
      <c r="B3135" s="20" t="str">
        <f t="shared" si="96"/>
        <v>AUG</v>
      </c>
      <c r="C3135" s="21">
        <v>46242</v>
      </c>
      <c r="D3135" s="22" t="s">
        <v>59</v>
      </c>
      <c r="E3135" s="20" t="str">
        <f>IFERROR(VLOOKUP(I3135,KET!$B:$F,4,0),"")</f>
        <v>SUPRIYATI</v>
      </c>
      <c r="F3135" s="20" t="s">
        <v>42</v>
      </c>
      <c r="G3135" s="20">
        <f>IFERROR(INDEX('Kode Outlet dan Target Toko'!$C:$C,MATCH($I3135,'Kode Outlet dan Target Toko'!$E:$E,0)),0)</f>
        <v>103274</v>
      </c>
      <c r="H3135" s="20">
        <f>IFERROR(INDEX('Kode Outlet dan Target Toko'!$D:$D,MATCH($I3135,'Kode Outlet dan Target Toko'!$E:$E,0)),0)</f>
        <v>1301399</v>
      </c>
      <c r="I3135" s="42" t="s">
        <v>111</v>
      </c>
      <c r="J3135" s="56" t="s">
        <v>206</v>
      </c>
      <c r="K3135" s="40" t="s">
        <v>15</v>
      </c>
      <c r="L3135" s="26">
        <v>3145</v>
      </c>
      <c r="M3135" s="26">
        <v>114</v>
      </c>
      <c r="N3135" s="25">
        <f t="shared" si="97"/>
        <v>358530</v>
      </c>
      <c r="O3135" s="56"/>
    </row>
    <row r="3136" spans="1:15" hidden="1" x14ac:dyDescent="0.3">
      <c r="A3136" s="26">
        <v>32</v>
      </c>
      <c r="B3136" s="20" t="str">
        <f t="shared" si="96"/>
        <v>AUG</v>
      </c>
      <c r="C3136" s="21">
        <v>46242</v>
      </c>
      <c r="D3136" s="22" t="s">
        <v>59</v>
      </c>
      <c r="E3136" s="20" t="str">
        <f>IFERROR(VLOOKUP(I3136,KET!$B:$F,4,0),"")</f>
        <v>SUPRIYATI</v>
      </c>
      <c r="F3136" s="20" t="s">
        <v>42</v>
      </c>
      <c r="G3136" s="20">
        <f>IFERROR(INDEX('Kode Outlet dan Target Toko'!$C:$C,MATCH($I3136,'Kode Outlet dan Target Toko'!$E:$E,0)),0)</f>
        <v>103274</v>
      </c>
      <c r="H3136" s="20">
        <f>IFERROR(INDEX('Kode Outlet dan Target Toko'!$D:$D,MATCH($I3136,'Kode Outlet dan Target Toko'!$E:$E,0)),0)</f>
        <v>1301399</v>
      </c>
      <c r="I3136" s="42" t="s">
        <v>111</v>
      </c>
      <c r="J3136" s="56" t="s">
        <v>206</v>
      </c>
      <c r="K3136" s="40" t="s">
        <v>14</v>
      </c>
      <c r="L3136" s="26">
        <v>3145</v>
      </c>
      <c r="M3136" s="26">
        <v>54</v>
      </c>
      <c r="N3136" s="25">
        <f t="shared" si="97"/>
        <v>169830</v>
      </c>
      <c r="O3136" s="56"/>
    </row>
    <row r="3137" spans="1:15" hidden="1" x14ac:dyDescent="0.3">
      <c r="A3137" s="26">
        <v>32</v>
      </c>
      <c r="B3137" s="20" t="str">
        <f t="shared" si="96"/>
        <v>AUG</v>
      </c>
      <c r="C3137" s="21">
        <v>46242</v>
      </c>
      <c r="D3137" s="22" t="s">
        <v>59</v>
      </c>
      <c r="E3137" s="20" t="str">
        <f>IFERROR(VLOOKUP(I3137,KET!$B:$F,4,0),"")</f>
        <v>SUPRIYATI</v>
      </c>
      <c r="F3137" s="20" t="s">
        <v>42</v>
      </c>
      <c r="G3137" s="20">
        <f>IFERROR(INDEX('Kode Outlet dan Target Toko'!$C:$C,MATCH($I3137,'Kode Outlet dan Target Toko'!$E:$E,0)),0)</f>
        <v>103274</v>
      </c>
      <c r="H3137" s="20">
        <f>IFERROR(INDEX('Kode Outlet dan Target Toko'!$D:$D,MATCH($I3137,'Kode Outlet dan Target Toko'!$E:$E,0)),0)</f>
        <v>1301399</v>
      </c>
      <c r="I3137" s="42" t="s">
        <v>111</v>
      </c>
      <c r="J3137" s="56" t="s">
        <v>206</v>
      </c>
      <c r="K3137" s="40" t="s">
        <v>13</v>
      </c>
      <c r="L3137" s="26">
        <v>3145</v>
      </c>
      <c r="M3137" s="26">
        <v>5</v>
      </c>
      <c r="N3137" s="25">
        <f t="shared" si="97"/>
        <v>15725</v>
      </c>
      <c r="O3137" s="56"/>
    </row>
    <row r="3138" spans="1:15" hidden="1" x14ac:dyDescent="0.3">
      <c r="A3138" s="26">
        <v>32</v>
      </c>
      <c r="B3138" s="20" t="str">
        <f t="shared" si="96"/>
        <v>AUG</v>
      </c>
      <c r="C3138" s="21">
        <v>46242</v>
      </c>
      <c r="D3138" s="22" t="s">
        <v>59</v>
      </c>
      <c r="E3138" s="20" t="str">
        <f>IFERROR(VLOOKUP(I3138,KET!$B:$F,4,0),"")</f>
        <v>SUPRIYATI</v>
      </c>
      <c r="F3138" s="20" t="s">
        <v>42</v>
      </c>
      <c r="G3138" s="20">
        <f>IFERROR(INDEX('Kode Outlet dan Target Toko'!$C:$C,MATCH($I3138,'Kode Outlet dan Target Toko'!$E:$E,0)),0)</f>
        <v>103274</v>
      </c>
      <c r="H3138" s="20">
        <f>IFERROR(INDEX('Kode Outlet dan Target Toko'!$D:$D,MATCH($I3138,'Kode Outlet dan Target Toko'!$E:$E,0)),0)</f>
        <v>1301399</v>
      </c>
      <c r="I3138" s="42" t="s">
        <v>111</v>
      </c>
      <c r="J3138" s="56" t="s">
        <v>206</v>
      </c>
      <c r="K3138" s="40" t="s">
        <v>16</v>
      </c>
      <c r="L3138" s="26">
        <v>3145</v>
      </c>
      <c r="M3138" s="26">
        <v>89</v>
      </c>
      <c r="N3138" s="25">
        <f t="shared" si="97"/>
        <v>279905</v>
      </c>
      <c r="O3138" s="56">
        <v>160</v>
      </c>
    </row>
    <row r="3139" spans="1:15" hidden="1" x14ac:dyDescent="0.3">
      <c r="A3139" s="26">
        <v>32</v>
      </c>
      <c r="B3139" s="20" t="str">
        <f t="shared" si="96"/>
        <v>AUG</v>
      </c>
      <c r="C3139" s="21">
        <v>46242</v>
      </c>
      <c r="D3139" s="22" t="s">
        <v>59</v>
      </c>
      <c r="E3139" s="20" t="str">
        <f>IFERROR(VLOOKUP(I3139,KET!$B:$F,4,0),"")</f>
        <v>SUPRIYATI</v>
      </c>
      <c r="F3139" s="20" t="s">
        <v>42</v>
      </c>
      <c r="G3139" s="20">
        <f>IFERROR(INDEX('Kode Outlet dan Target Toko'!$C:$C,MATCH($I3139,'Kode Outlet dan Target Toko'!$E:$E,0)),0)</f>
        <v>211051</v>
      </c>
      <c r="H3139" s="20">
        <f>IFERROR(INDEX('Kode Outlet dan Target Toko'!$D:$D,MATCH($I3139,'Kode Outlet dan Target Toko'!$E:$E,0)),0)</f>
        <v>5580008</v>
      </c>
      <c r="I3139" s="42" t="s">
        <v>88</v>
      </c>
      <c r="J3139" s="56" t="s">
        <v>202</v>
      </c>
      <c r="K3139" s="40" t="s">
        <v>15</v>
      </c>
      <c r="L3139" s="26">
        <v>3000</v>
      </c>
      <c r="M3139" s="26">
        <v>83</v>
      </c>
      <c r="N3139" s="25">
        <f t="shared" si="97"/>
        <v>249000</v>
      </c>
      <c r="O3139" s="56"/>
    </row>
    <row r="3140" spans="1:15" hidden="1" x14ac:dyDescent="0.3">
      <c r="A3140" s="26">
        <v>32</v>
      </c>
      <c r="B3140" s="20" t="str">
        <f t="shared" si="96"/>
        <v>AUG</v>
      </c>
      <c r="C3140" s="21">
        <v>46242</v>
      </c>
      <c r="D3140" s="22" t="s">
        <v>59</v>
      </c>
      <c r="E3140" s="20" t="str">
        <f>IFERROR(VLOOKUP(I3140,KET!$B:$F,4,0),"")</f>
        <v>SUPRIYATI</v>
      </c>
      <c r="F3140" s="20" t="s">
        <v>42</v>
      </c>
      <c r="G3140" s="20">
        <f>IFERROR(INDEX('Kode Outlet dan Target Toko'!$C:$C,MATCH($I3140,'Kode Outlet dan Target Toko'!$E:$E,0)),0)</f>
        <v>211051</v>
      </c>
      <c r="H3140" s="20">
        <f>IFERROR(INDEX('Kode Outlet dan Target Toko'!$D:$D,MATCH($I3140,'Kode Outlet dan Target Toko'!$E:$E,0)),0)</f>
        <v>5580008</v>
      </c>
      <c r="I3140" s="42" t="s">
        <v>88</v>
      </c>
      <c r="J3140" s="56" t="s">
        <v>202</v>
      </c>
      <c r="K3140" s="40" t="s">
        <v>14</v>
      </c>
      <c r="L3140" s="26">
        <v>3000</v>
      </c>
      <c r="M3140" s="26">
        <v>98</v>
      </c>
      <c r="N3140" s="25">
        <f t="shared" si="97"/>
        <v>294000</v>
      </c>
      <c r="O3140" s="56"/>
    </row>
    <row r="3141" spans="1:15" hidden="1" x14ac:dyDescent="0.3">
      <c r="A3141" s="26">
        <v>32</v>
      </c>
      <c r="B3141" s="20" t="str">
        <f t="shared" si="96"/>
        <v>AUG</v>
      </c>
      <c r="C3141" s="21">
        <v>46242</v>
      </c>
      <c r="D3141" s="22" t="s">
        <v>59</v>
      </c>
      <c r="E3141" s="20" t="str">
        <f>IFERROR(VLOOKUP(I3141,KET!$B:$F,4,0),"")</f>
        <v>SUPRIYATI</v>
      </c>
      <c r="F3141" s="20" t="s">
        <v>42</v>
      </c>
      <c r="G3141" s="20">
        <f>IFERROR(INDEX('Kode Outlet dan Target Toko'!$C:$C,MATCH($I3141,'Kode Outlet dan Target Toko'!$E:$E,0)),0)</f>
        <v>211051</v>
      </c>
      <c r="H3141" s="20">
        <f>IFERROR(INDEX('Kode Outlet dan Target Toko'!$D:$D,MATCH($I3141,'Kode Outlet dan Target Toko'!$E:$E,0)),0)</f>
        <v>5580008</v>
      </c>
      <c r="I3141" s="42" t="s">
        <v>88</v>
      </c>
      <c r="J3141" s="56" t="s">
        <v>202</v>
      </c>
      <c r="K3141" s="40" t="s">
        <v>13</v>
      </c>
      <c r="L3141" s="26">
        <v>3000</v>
      </c>
      <c r="M3141" s="26">
        <v>13</v>
      </c>
      <c r="N3141" s="25">
        <f t="shared" si="97"/>
        <v>39000</v>
      </c>
      <c r="O3141" s="56"/>
    </row>
    <row r="3142" spans="1:15" hidden="1" x14ac:dyDescent="0.3">
      <c r="A3142" s="26">
        <v>32</v>
      </c>
      <c r="B3142" s="20" t="str">
        <f t="shared" si="96"/>
        <v>AUG</v>
      </c>
      <c r="C3142" s="21">
        <v>46242</v>
      </c>
      <c r="D3142" s="22" t="s">
        <v>59</v>
      </c>
      <c r="E3142" s="20" t="str">
        <f>IFERROR(VLOOKUP(I3142,KET!$B:$F,4,0),"")</f>
        <v>SUPRIYATI</v>
      </c>
      <c r="F3142" s="20" t="s">
        <v>42</v>
      </c>
      <c r="G3142" s="20">
        <f>IFERROR(INDEX('Kode Outlet dan Target Toko'!$C:$C,MATCH($I3142,'Kode Outlet dan Target Toko'!$E:$E,0)),0)</f>
        <v>211051</v>
      </c>
      <c r="H3142" s="20">
        <f>IFERROR(INDEX('Kode Outlet dan Target Toko'!$D:$D,MATCH($I3142,'Kode Outlet dan Target Toko'!$E:$E,0)),0)</f>
        <v>5580008</v>
      </c>
      <c r="I3142" s="42" t="s">
        <v>88</v>
      </c>
      <c r="J3142" s="56" t="s">
        <v>202</v>
      </c>
      <c r="K3142" s="40" t="s">
        <v>16</v>
      </c>
      <c r="L3142" s="26">
        <v>3000</v>
      </c>
      <c r="M3142" s="26">
        <v>284</v>
      </c>
      <c r="N3142" s="25">
        <f t="shared" si="97"/>
        <v>852000</v>
      </c>
      <c r="O3142" s="56">
        <v>160</v>
      </c>
    </row>
    <row r="3143" spans="1:15" hidden="1" x14ac:dyDescent="0.3">
      <c r="A3143" s="26">
        <v>32</v>
      </c>
      <c r="B3143" s="20" t="str">
        <f t="shared" ref="B3143:B3206" si="98">IF(C3143="","",UPPER(TEXT(C3143, "MMM")))</f>
        <v>AUG</v>
      </c>
      <c r="C3143" s="21">
        <v>46242</v>
      </c>
      <c r="D3143" s="22" t="s">
        <v>59</v>
      </c>
      <c r="E3143" s="20" t="str">
        <f>IFERROR(VLOOKUP(I3143,KET!$B:$F,4,0),"")</f>
        <v>SUPRIYATI</v>
      </c>
      <c r="F3143" s="20" t="s">
        <v>42</v>
      </c>
      <c r="G3143" s="20">
        <f>IFERROR(INDEX('Kode Outlet dan Target Toko'!$C:$C,MATCH($I3143,'Kode Outlet dan Target Toko'!$E:$E,0)),0)</f>
        <v>211051</v>
      </c>
      <c r="H3143" s="20">
        <f>IFERROR(INDEX('Kode Outlet dan Target Toko'!$D:$D,MATCH($I3143,'Kode Outlet dan Target Toko'!$E:$E,0)),0)</f>
        <v>5580008</v>
      </c>
      <c r="I3143" s="42" t="s">
        <v>88</v>
      </c>
      <c r="J3143" s="56" t="s">
        <v>203</v>
      </c>
      <c r="K3143" s="40" t="s">
        <v>15</v>
      </c>
      <c r="L3143" s="26">
        <v>3000</v>
      </c>
      <c r="M3143" s="26">
        <v>83</v>
      </c>
      <c r="N3143" s="25">
        <f t="shared" ref="N3143:N3206" si="99">IFERROR(M3143*L3143,"")</f>
        <v>249000</v>
      </c>
      <c r="O3143" s="56"/>
    </row>
    <row r="3144" spans="1:15" hidden="1" x14ac:dyDescent="0.3">
      <c r="A3144" s="26">
        <v>32</v>
      </c>
      <c r="B3144" s="20" t="str">
        <f t="shared" si="98"/>
        <v>AUG</v>
      </c>
      <c r="C3144" s="21">
        <v>46242</v>
      </c>
      <c r="D3144" s="22" t="s">
        <v>59</v>
      </c>
      <c r="E3144" s="20" t="str">
        <f>IFERROR(VLOOKUP(I3144,KET!$B:$F,4,0),"")</f>
        <v>SUPRIYATI</v>
      </c>
      <c r="F3144" s="20" t="s">
        <v>42</v>
      </c>
      <c r="G3144" s="20">
        <f>IFERROR(INDEX('Kode Outlet dan Target Toko'!$C:$C,MATCH($I3144,'Kode Outlet dan Target Toko'!$E:$E,0)),0)</f>
        <v>211051</v>
      </c>
      <c r="H3144" s="20">
        <f>IFERROR(INDEX('Kode Outlet dan Target Toko'!$D:$D,MATCH($I3144,'Kode Outlet dan Target Toko'!$E:$E,0)),0)</f>
        <v>5580008</v>
      </c>
      <c r="I3144" s="42" t="s">
        <v>88</v>
      </c>
      <c r="J3144" s="56" t="s">
        <v>203</v>
      </c>
      <c r="K3144" s="40" t="s">
        <v>14</v>
      </c>
      <c r="L3144" s="26">
        <v>3000</v>
      </c>
      <c r="M3144" s="26">
        <v>98</v>
      </c>
      <c r="N3144" s="25">
        <f t="shared" si="99"/>
        <v>294000</v>
      </c>
      <c r="O3144" s="56"/>
    </row>
    <row r="3145" spans="1:15" hidden="1" x14ac:dyDescent="0.3">
      <c r="A3145" s="26">
        <v>32</v>
      </c>
      <c r="B3145" s="20" t="str">
        <f t="shared" si="98"/>
        <v>AUG</v>
      </c>
      <c r="C3145" s="21">
        <v>46242</v>
      </c>
      <c r="D3145" s="22" t="s">
        <v>59</v>
      </c>
      <c r="E3145" s="20" t="str">
        <f>IFERROR(VLOOKUP(I3145,KET!$B:$F,4,0),"")</f>
        <v>SUPRIYATI</v>
      </c>
      <c r="F3145" s="20" t="s">
        <v>42</v>
      </c>
      <c r="G3145" s="20">
        <f>IFERROR(INDEX('Kode Outlet dan Target Toko'!$C:$C,MATCH($I3145,'Kode Outlet dan Target Toko'!$E:$E,0)),0)</f>
        <v>211051</v>
      </c>
      <c r="H3145" s="20">
        <f>IFERROR(INDEX('Kode Outlet dan Target Toko'!$D:$D,MATCH($I3145,'Kode Outlet dan Target Toko'!$E:$E,0)),0)</f>
        <v>5580008</v>
      </c>
      <c r="I3145" s="42" t="s">
        <v>88</v>
      </c>
      <c r="J3145" s="56" t="s">
        <v>203</v>
      </c>
      <c r="K3145" s="40" t="s">
        <v>13</v>
      </c>
      <c r="L3145" s="26">
        <v>3000</v>
      </c>
      <c r="M3145" s="26">
        <v>13</v>
      </c>
      <c r="N3145" s="25">
        <f t="shared" si="99"/>
        <v>39000</v>
      </c>
      <c r="O3145" s="56"/>
    </row>
    <row r="3146" spans="1:15" hidden="1" x14ac:dyDescent="0.3">
      <c r="A3146" s="26">
        <v>32</v>
      </c>
      <c r="B3146" s="20" t="str">
        <f t="shared" si="98"/>
        <v>AUG</v>
      </c>
      <c r="C3146" s="21">
        <v>46242</v>
      </c>
      <c r="D3146" s="22" t="s">
        <v>59</v>
      </c>
      <c r="E3146" s="20" t="str">
        <f>IFERROR(VLOOKUP(I3146,KET!$B:$F,4,0),"")</f>
        <v>SUPRIYATI</v>
      </c>
      <c r="F3146" s="20" t="s">
        <v>42</v>
      </c>
      <c r="G3146" s="20">
        <f>IFERROR(INDEX('Kode Outlet dan Target Toko'!$C:$C,MATCH($I3146,'Kode Outlet dan Target Toko'!$E:$E,0)),0)</f>
        <v>211051</v>
      </c>
      <c r="H3146" s="20">
        <f>IFERROR(INDEX('Kode Outlet dan Target Toko'!$D:$D,MATCH($I3146,'Kode Outlet dan Target Toko'!$E:$E,0)),0)</f>
        <v>5580008</v>
      </c>
      <c r="I3146" s="42" t="s">
        <v>88</v>
      </c>
      <c r="J3146" s="56" t="s">
        <v>203</v>
      </c>
      <c r="K3146" s="40" t="s">
        <v>16</v>
      </c>
      <c r="L3146" s="26">
        <v>3000</v>
      </c>
      <c r="M3146" s="26">
        <v>284</v>
      </c>
      <c r="N3146" s="25">
        <f t="shared" si="99"/>
        <v>852000</v>
      </c>
      <c r="O3146" s="56">
        <v>160</v>
      </c>
    </row>
    <row r="3147" spans="1:15" hidden="1" x14ac:dyDescent="0.3">
      <c r="A3147" s="26">
        <v>32</v>
      </c>
      <c r="B3147" s="20" t="str">
        <f t="shared" si="98"/>
        <v>AUG</v>
      </c>
      <c r="C3147" s="21">
        <v>46242</v>
      </c>
      <c r="D3147" s="22" t="s">
        <v>59</v>
      </c>
      <c r="E3147" s="20" t="str">
        <f>IFERROR(VLOOKUP(I3147,KET!$B:$F,4,0),"")</f>
        <v>SUPRIYATI</v>
      </c>
      <c r="F3147" s="20" t="s">
        <v>42</v>
      </c>
      <c r="G3147" s="20">
        <f>IFERROR(INDEX('Kode Outlet dan Target Toko'!$C:$C,MATCH($I3147,'Kode Outlet dan Target Toko'!$E:$E,0)),0)</f>
        <v>0</v>
      </c>
      <c r="H3147" s="20">
        <f>IFERROR(INDEX('Kode Outlet dan Target Toko'!$D:$D,MATCH($I3147,'Kode Outlet dan Target Toko'!$E:$E,0)),0)</f>
        <v>0</v>
      </c>
      <c r="I3147" s="42" t="s">
        <v>136</v>
      </c>
      <c r="J3147" s="56" t="s">
        <v>226</v>
      </c>
      <c r="K3147" s="40" t="s">
        <v>15</v>
      </c>
      <c r="L3147" s="26">
        <v>3000</v>
      </c>
      <c r="M3147" s="26">
        <v>18</v>
      </c>
      <c r="N3147" s="25">
        <f t="shared" si="99"/>
        <v>54000</v>
      </c>
      <c r="O3147" s="56"/>
    </row>
    <row r="3148" spans="1:15" hidden="1" x14ac:dyDescent="0.3">
      <c r="A3148" s="26">
        <v>32</v>
      </c>
      <c r="B3148" s="20" t="str">
        <f t="shared" si="98"/>
        <v>AUG</v>
      </c>
      <c r="C3148" s="21">
        <v>46242</v>
      </c>
      <c r="D3148" s="22" t="s">
        <v>59</v>
      </c>
      <c r="E3148" s="20" t="str">
        <f>IFERROR(VLOOKUP(I3148,KET!$B:$F,4,0),"")</f>
        <v>SUPRIYATI</v>
      </c>
      <c r="F3148" s="20" t="s">
        <v>42</v>
      </c>
      <c r="G3148" s="20">
        <f>IFERROR(INDEX('Kode Outlet dan Target Toko'!$C:$C,MATCH($I3148,'Kode Outlet dan Target Toko'!$E:$E,0)),0)</f>
        <v>0</v>
      </c>
      <c r="H3148" s="20">
        <f>IFERROR(INDEX('Kode Outlet dan Target Toko'!$D:$D,MATCH($I3148,'Kode Outlet dan Target Toko'!$E:$E,0)),0)</f>
        <v>0</v>
      </c>
      <c r="I3148" s="42" t="s">
        <v>136</v>
      </c>
      <c r="J3148" s="56" t="s">
        <v>226</v>
      </c>
      <c r="K3148" s="40" t="s">
        <v>14</v>
      </c>
      <c r="L3148" s="26">
        <v>3000</v>
      </c>
      <c r="M3148" s="26">
        <v>23</v>
      </c>
      <c r="N3148" s="25">
        <f t="shared" si="99"/>
        <v>69000</v>
      </c>
      <c r="O3148" s="56"/>
    </row>
    <row r="3149" spans="1:15" hidden="1" x14ac:dyDescent="0.3">
      <c r="A3149" s="26">
        <v>32</v>
      </c>
      <c r="B3149" s="20" t="str">
        <f t="shared" si="98"/>
        <v>AUG</v>
      </c>
      <c r="C3149" s="21">
        <v>46242</v>
      </c>
      <c r="D3149" s="22" t="s">
        <v>59</v>
      </c>
      <c r="E3149" s="20" t="str">
        <f>IFERROR(VLOOKUP(I3149,KET!$B:$F,4,0),"")</f>
        <v>SUPRIYATI</v>
      </c>
      <c r="F3149" s="20" t="s">
        <v>42</v>
      </c>
      <c r="G3149" s="20">
        <f>IFERROR(INDEX('Kode Outlet dan Target Toko'!$C:$C,MATCH($I3149,'Kode Outlet dan Target Toko'!$E:$E,0)),0)</f>
        <v>0</v>
      </c>
      <c r="H3149" s="20">
        <f>IFERROR(INDEX('Kode Outlet dan Target Toko'!$D:$D,MATCH($I3149,'Kode Outlet dan Target Toko'!$E:$E,0)),0)</f>
        <v>0</v>
      </c>
      <c r="I3149" s="42" t="s">
        <v>136</v>
      </c>
      <c r="J3149" s="56" t="s">
        <v>226</v>
      </c>
      <c r="K3149" s="40" t="s">
        <v>13</v>
      </c>
      <c r="L3149" s="26">
        <v>3000</v>
      </c>
      <c r="M3149" s="26">
        <v>27</v>
      </c>
      <c r="N3149" s="25">
        <f t="shared" si="99"/>
        <v>81000</v>
      </c>
      <c r="O3149" s="56"/>
    </row>
    <row r="3150" spans="1:15" hidden="1" x14ac:dyDescent="0.3">
      <c r="A3150" s="26">
        <v>32</v>
      </c>
      <c r="B3150" s="20" t="str">
        <f t="shared" si="98"/>
        <v>AUG</v>
      </c>
      <c r="C3150" s="21">
        <v>46242</v>
      </c>
      <c r="D3150" s="22" t="s">
        <v>59</v>
      </c>
      <c r="E3150" s="20" t="str">
        <f>IFERROR(VLOOKUP(I3150,KET!$B:$F,4,0),"")</f>
        <v>SUPRIYATI</v>
      </c>
      <c r="F3150" s="20" t="s">
        <v>42</v>
      </c>
      <c r="G3150" s="20">
        <f>IFERROR(INDEX('Kode Outlet dan Target Toko'!$C:$C,MATCH($I3150,'Kode Outlet dan Target Toko'!$E:$E,0)),0)</f>
        <v>0</v>
      </c>
      <c r="H3150" s="20">
        <f>IFERROR(INDEX('Kode Outlet dan Target Toko'!$D:$D,MATCH($I3150,'Kode Outlet dan Target Toko'!$E:$E,0)),0)</f>
        <v>0</v>
      </c>
      <c r="I3150" s="42" t="s">
        <v>136</v>
      </c>
      <c r="J3150" s="56" t="s">
        <v>226</v>
      </c>
      <c r="K3150" s="40" t="s">
        <v>16</v>
      </c>
      <c r="L3150" s="26">
        <v>3000</v>
      </c>
      <c r="M3150" s="26">
        <v>98</v>
      </c>
      <c r="N3150" s="25">
        <f t="shared" si="99"/>
        <v>294000</v>
      </c>
      <c r="O3150" s="56">
        <v>160</v>
      </c>
    </row>
    <row r="3151" spans="1:15" hidden="1" x14ac:dyDescent="0.3">
      <c r="A3151" s="26">
        <v>32</v>
      </c>
      <c r="B3151" s="20" t="str">
        <f t="shared" si="98"/>
        <v>AUG</v>
      </c>
      <c r="C3151" s="21">
        <v>46242</v>
      </c>
      <c r="D3151" s="22" t="s">
        <v>59</v>
      </c>
      <c r="E3151" s="20" t="str">
        <f>IFERROR(VLOOKUP(I3151,KET!$B:$F,4,0),"")</f>
        <v>SUPRIYATI</v>
      </c>
      <c r="F3151" s="20" t="s">
        <v>42</v>
      </c>
      <c r="G3151" s="20">
        <f>IFERROR(INDEX('Kode Outlet dan Target Toko'!$C:$C,MATCH($I3151,'Kode Outlet dan Target Toko'!$E:$E,0)),0)</f>
        <v>0</v>
      </c>
      <c r="H3151" s="20">
        <f>IFERROR(INDEX('Kode Outlet dan Target Toko'!$D:$D,MATCH($I3151,'Kode Outlet dan Target Toko'!$E:$E,0)),0)</f>
        <v>0</v>
      </c>
      <c r="I3151" s="42" t="s">
        <v>136</v>
      </c>
      <c r="J3151" s="56" t="s">
        <v>227</v>
      </c>
      <c r="K3151" s="40" t="s">
        <v>15</v>
      </c>
      <c r="L3151" s="26">
        <v>3000</v>
      </c>
      <c r="M3151" s="26">
        <v>18</v>
      </c>
      <c r="N3151" s="25">
        <f t="shared" si="99"/>
        <v>54000</v>
      </c>
      <c r="O3151" s="56"/>
    </row>
    <row r="3152" spans="1:15" hidden="1" x14ac:dyDescent="0.3">
      <c r="A3152" s="26">
        <v>32</v>
      </c>
      <c r="B3152" s="20" t="str">
        <f t="shared" si="98"/>
        <v>AUG</v>
      </c>
      <c r="C3152" s="21">
        <v>46242</v>
      </c>
      <c r="D3152" s="22" t="s">
        <v>59</v>
      </c>
      <c r="E3152" s="20" t="str">
        <f>IFERROR(VLOOKUP(I3152,KET!$B:$F,4,0),"")</f>
        <v>SUPRIYATI</v>
      </c>
      <c r="F3152" s="20" t="s">
        <v>42</v>
      </c>
      <c r="G3152" s="20">
        <f>IFERROR(INDEX('Kode Outlet dan Target Toko'!$C:$C,MATCH($I3152,'Kode Outlet dan Target Toko'!$E:$E,0)),0)</f>
        <v>0</v>
      </c>
      <c r="H3152" s="20">
        <f>IFERROR(INDEX('Kode Outlet dan Target Toko'!$D:$D,MATCH($I3152,'Kode Outlet dan Target Toko'!$E:$E,0)),0)</f>
        <v>0</v>
      </c>
      <c r="I3152" s="42" t="s">
        <v>136</v>
      </c>
      <c r="J3152" s="56" t="s">
        <v>227</v>
      </c>
      <c r="K3152" s="40" t="s">
        <v>14</v>
      </c>
      <c r="L3152" s="26">
        <v>3000</v>
      </c>
      <c r="M3152" s="26">
        <v>22</v>
      </c>
      <c r="N3152" s="25">
        <f t="shared" si="99"/>
        <v>66000</v>
      </c>
      <c r="O3152" s="56"/>
    </row>
    <row r="3153" spans="1:15" hidden="1" x14ac:dyDescent="0.3">
      <c r="A3153" s="26">
        <v>32</v>
      </c>
      <c r="B3153" s="20" t="str">
        <f t="shared" si="98"/>
        <v>AUG</v>
      </c>
      <c r="C3153" s="21">
        <v>46242</v>
      </c>
      <c r="D3153" s="22" t="s">
        <v>59</v>
      </c>
      <c r="E3153" s="20" t="str">
        <f>IFERROR(VLOOKUP(I3153,KET!$B:$F,4,0),"")</f>
        <v>SUPRIYATI</v>
      </c>
      <c r="F3153" s="20" t="s">
        <v>42</v>
      </c>
      <c r="G3153" s="20">
        <f>IFERROR(INDEX('Kode Outlet dan Target Toko'!$C:$C,MATCH($I3153,'Kode Outlet dan Target Toko'!$E:$E,0)),0)</f>
        <v>0</v>
      </c>
      <c r="H3153" s="20">
        <f>IFERROR(INDEX('Kode Outlet dan Target Toko'!$D:$D,MATCH($I3153,'Kode Outlet dan Target Toko'!$E:$E,0)),0)</f>
        <v>0</v>
      </c>
      <c r="I3153" s="42" t="s">
        <v>136</v>
      </c>
      <c r="J3153" s="56" t="s">
        <v>227</v>
      </c>
      <c r="K3153" s="40" t="s">
        <v>13</v>
      </c>
      <c r="L3153" s="26">
        <v>3000</v>
      </c>
      <c r="M3153" s="26">
        <v>27</v>
      </c>
      <c r="N3153" s="25">
        <f t="shared" si="99"/>
        <v>81000</v>
      </c>
      <c r="O3153" s="56"/>
    </row>
    <row r="3154" spans="1:15" hidden="1" x14ac:dyDescent="0.3">
      <c r="A3154" s="26">
        <v>32</v>
      </c>
      <c r="B3154" s="20" t="str">
        <f t="shared" si="98"/>
        <v>AUG</v>
      </c>
      <c r="C3154" s="21">
        <v>46242</v>
      </c>
      <c r="D3154" s="22" t="s">
        <v>59</v>
      </c>
      <c r="E3154" s="20" t="str">
        <f>IFERROR(VLOOKUP(I3154,KET!$B:$F,4,0),"")</f>
        <v>SUPRIYATI</v>
      </c>
      <c r="F3154" s="20" t="s">
        <v>42</v>
      </c>
      <c r="G3154" s="20">
        <f>IFERROR(INDEX('Kode Outlet dan Target Toko'!$C:$C,MATCH($I3154,'Kode Outlet dan Target Toko'!$E:$E,0)),0)</f>
        <v>0</v>
      </c>
      <c r="H3154" s="20">
        <f>IFERROR(INDEX('Kode Outlet dan Target Toko'!$D:$D,MATCH($I3154,'Kode Outlet dan Target Toko'!$E:$E,0)),0)</f>
        <v>0</v>
      </c>
      <c r="I3154" s="42" t="s">
        <v>136</v>
      </c>
      <c r="J3154" s="56" t="s">
        <v>227</v>
      </c>
      <c r="K3154" s="40" t="s">
        <v>16</v>
      </c>
      <c r="L3154" s="26">
        <v>3000</v>
      </c>
      <c r="M3154" s="26">
        <v>97</v>
      </c>
      <c r="N3154" s="25">
        <f t="shared" si="99"/>
        <v>291000</v>
      </c>
      <c r="O3154" s="56">
        <v>160</v>
      </c>
    </row>
    <row r="3155" spans="1:15" hidden="1" x14ac:dyDescent="0.3">
      <c r="A3155" s="26">
        <v>32</v>
      </c>
      <c r="B3155" s="20" t="str">
        <f t="shared" si="98"/>
        <v>AUG</v>
      </c>
      <c r="C3155" s="21">
        <v>46242</v>
      </c>
      <c r="D3155" s="22" t="s">
        <v>59</v>
      </c>
      <c r="E3155" s="20" t="str">
        <f>IFERROR(VLOOKUP(I3155,KET!$B:$F,4,0),"")</f>
        <v>SUPRIYATI</v>
      </c>
      <c r="F3155" s="20" t="s">
        <v>42</v>
      </c>
      <c r="G3155" s="20">
        <f>IFERROR(INDEX('Kode Outlet dan Target Toko'!$C:$C,MATCH($I3155,'Kode Outlet dan Target Toko'!$E:$E,0)),0)</f>
        <v>103222</v>
      </c>
      <c r="H3155" s="20">
        <f>IFERROR(INDEX('Kode Outlet dan Target Toko'!$D:$D,MATCH($I3155,'Kode Outlet dan Target Toko'!$E:$E,0)),0)</f>
        <v>106437</v>
      </c>
      <c r="I3155" s="42" t="s">
        <v>104</v>
      </c>
      <c r="J3155" s="56" t="s">
        <v>207</v>
      </c>
      <c r="K3155" s="40" t="s">
        <v>15</v>
      </c>
      <c r="L3155" s="26">
        <v>3000</v>
      </c>
      <c r="M3155" s="26">
        <v>55</v>
      </c>
      <c r="N3155" s="25">
        <f t="shared" si="99"/>
        <v>165000</v>
      </c>
      <c r="O3155" s="56"/>
    </row>
    <row r="3156" spans="1:15" hidden="1" x14ac:dyDescent="0.3">
      <c r="A3156" s="26">
        <v>32</v>
      </c>
      <c r="B3156" s="20" t="str">
        <f t="shared" si="98"/>
        <v>AUG</v>
      </c>
      <c r="C3156" s="21">
        <v>46242</v>
      </c>
      <c r="D3156" s="22" t="s">
        <v>59</v>
      </c>
      <c r="E3156" s="20" t="str">
        <f>IFERROR(VLOOKUP(I3156,KET!$B:$F,4,0),"")</f>
        <v>SUPRIYATI</v>
      </c>
      <c r="F3156" s="20" t="s">
        <v>42</v>
      </c>
      <c r="G3156" s="20">
        <f>IFERROR(INDEX('Kode Outlet dan Target Toko'!$C:$C,MATCH($I3156,'Kode Outlet dan Target Toko'!$E:$E,0)),0)</f>
        <v>103222</v>
      </c>
      <c r="H3156" s="20">
        <f>IFERROR(INDEX('Kode Outlet dan Target Toko'!$D:$D,MATCH($I3156,'Kode Outlet dan Target Toko'!$E:$E,0)),0)</f>
        <v>106437</v>
      </c>
      <c r="I3156" s="42" t="s">
        <v>104</v>
      </c>
      <c r="J3156" s="56" t="s">
        <v>207</v>
      </c>
      <c r="K3156" s="40" t="s">
        <v>14</v>
      </c>
      <c r="L3156" s="26">
        <v>3000</v>
      </c>
      <c r="M3156" s="26">
        <v>60</v>
      </c>
      <c r="N3156" s="25">
        <f t="shared" si="99"/>
        <v>180000</v>
      </c>
      <c r="O3156" s="56"/>
    </row>
    <row r="3157" spans="1:15" hidden="1" x14ac:dyDescent="0.3">
      <c r="A3157" s="26">
        <v>32</v>
      </c>
      <c r="B3157" s="20" t="str">
        <f t="shared" si="98"/>
        <v>AUG</v>
      </c>
      <c r="C3157" s="21">
        <v>46242</v>
      </c>
      <c r="D3157" s="22" t="s">
        <v>59</v>
      </c>
      <c r="E3157" s="20" t="str">
        <f>IFERROR(VLOOKUP(I3157,KET!$B:$F,4,0),"")</f>
        <v>SUPRIYATI</v>
      </c>
      <c r="F3157" s="20" t="s">
        <v>42</v>
      </c>
      <c r="G3157" s="20">
        <f>IFERROR(INDEX('Kode Outlet dan Target Toko'!$C:$C,MATCH($I3157,'Kode Outlet dan Target Toko'!$E:$E,0)),0)</f>
        <v>103222</v>
      </c>
      <c r="H3157" s="20">
        <f>IFERROR(INDEX('Kode Outlet dan Target Toko'!$D:$D,MATCH($I3157,'Kode Outlet dan Target Toko'!$E:$E,0)),0)</f>
        <v>106437</v>
      </c>
      <c r="I3157" s="42" t="s">
        <v>104</v>
      </c>
      <c r="J3157" s="56" t="s">
        <v>207</v>
      </c>
      <c r="K3157" s="40" t="s">
        <v>13</v>
      </c>
      <c r="L3157" s="26">
        <v>3000</v>
      </c>
      <c r="M3157" s="26">
        <v>0</v>
      </c>
      <c r="N3157" s="25">
        <f t="shared" si="99"/>
        <v>0</v>
      </c>
      <c r="O3157" s="56"/>
    </row>
    <row r="3158" spans="1:15" hidden="1" x14ac:dyDescent="0.3">
      <c r="A3158" s="26">
        <v>32</v>
      </c>
      <c r="B3158" s="20" t="str">
        <f t="shared" si="98"/>
        <v>AUG</v>
      </c>
      <c r="C3158" s="21">
        <v>46242</v>
      </c>
      <c r="D3158" s="22" t="s">
        <v>59</v>
      </c>
      <c r="E3158" s="20" t="str">
        <f>IFERROR(VLOOKUP(I3158,KET!$B:$F,4,0),"")</f>
        <v>SUPRIYATI</v>
      </c>
      <c r="F3158" s="20" t="s">
        <v>42</v>
      </c>
      <c r="G3158" s="20">
        <f>IFERROR(INDEX('Kode Outlet dan Target Toko'!$C:$C,MATCH($I3158,'Kode Outlet dan Target Toko'!$E:$E,0)),0)</f>
        <v>103222</v>
      </c>
      <c r="H3158" s="20">
        <f>IFERROR(INDEX('Kode Outlet dan Target Toko'!$D:$D,MATCH($I3158,'Kode Outlet dan Target Toko'!$E:$E,0)),0)</f>
        <v>106437</v>
      </c>
      <c r="I3158" s="42" t="s">
        <v>104</v>
      </c>
      <c r="J3158" s="56" t="s">
        <v>207</v>
      </c>
      <c r="K3158" s="40" t="s">
        <v>16</v>
      </c>
      <c r="L3158" s="26">
        <v>3000</v>
      </c>
      <c r="M3158" s="26">
        <v>68</v>
      </c>
      <c r="N3158" s="25">
        <f t="shared" si="99"/>
        <v>204000</v>
      </c>
      <c r="O3158" s="56">
        <v>160</v>
      </c>
    </row>
    <row r="3159" spans="1:15" hidden="1" x14ac:dyDescent="0.3">
      <c r="A3159" s="26">
        <v>32</v>
      </c>
      <c r="B3159" s="20" t="str">
        <f t="shared" si="98"/>
        <v>AUG</v>
      </c>
      <c r="C3159" s="21">
        <v>46242</v>
      </c>
      <c r="D3159" s="22" t="s">
        <v>59</v>
      </c>
      <c r="E3159" s="20" t="str">
        <f>IFERROR(VLOOKUP(I3159,KET!$B:$F,4,0),"")</f>
        <v>SUPRIYATI</v>
      </c>
      <c r="F3159" s="20" t="s">
        <v>42</v>
      </c>
      <c r="G3159" s="20">
        <f>IFERROR(INDEX('Kode Outlet dan Target Toko'!$C:$C,MATCH($I3159,'Kode Outlet dan Target Toko'!$E:$E,0)),0)</f>
        <v>103222</v>
      </c>
      <c r="H3159" s="20">
        <f>IFERROR(INDEX('Kode Outlet dan Target Toko'!$D:$D,MATCH($I3159,'Kode Outlet dan Target Toko'!$E:$E,0)),0)</f>
        <v>106437</v>
      </c>
      <c r="I3159" s="42" t="s">
        <v>104</v>
      </c>
      <c r="J3159" s="56" t="s">
        <v>208</v>
      </c>
      <c r="K3159" s="40" t="s">
        <v>15</v>
      </c>
      <c r="L3159" s="26">
        <v>3000</v>
      </c>
      <c r="M3159" s="26">
        <v>55</v>
      </c>
      <c r="N3159" s="25">
        <f t="shared" si="99"/>
        <v>165000</v>
      </c>
      <c r="O3159" s="56"/>
    </row>
    <row r="3160" spans="1:15" hidden="1" x14ac:dyDescent="0.3">
      <c r="A3160" s="26">
        <v>32</v>
      </c>
      <c r="B3160" s="20" t="str">
        <f t="shared" si="98"/>
        <v>AUG</v>
      </c>
      <c r="C3160" s="21">
        <v>46242</v>
      </c>
      <c r="D3160" s="22" t="s">
        <v>59</v>
      </c>
      <c r="E3160" s="20" t="str">
        <f>IFERROR(VLOOKUP(I3160,KET!$B:$F,4,0),"")</f>
        <v>SUPRIYATI</v>
      </c>
      <c r="F3160" s="20" t="s">
        <v>42</v>
      </c>
      <c r="G3160" s="20">
        <f>IFERROR(INDEX('Kode Outlet dan Target Toko'!$C:$C,MATCH($I3160,'Kode Outlet dan Target Toko'!$E:$E,0)),0)</f>
        <v>103222</v>
      </c>
      <c r="H3160" s="20">
        <f>IFERROR(INDEX('Kode Outlet dan Target Toko'!$D:$D,MATCH($I3160,'Kode Outlet dan Target Toko'!$E:$E,0)),0)</f>
        <v>106437</v>
      </c>
      <c r="I3160" s="42" t="s">
        <v>104</v>
      </c>
      <c r="J3160" s="56" t="s">
        <v>208</v>
      </c>
      <c r="K3160" s="40" t="s">
        <v>14</v>
      </c>
      <c r="L3160" s="26">
        <v>3000</v>
      </c>
      <c r="M3160" s="26">
        <v>60</v>
      </c>
      <c r="N3160" s="25">
        <f t="shared" si="99"/>
        <v>180000</v>
      </c>
      <c r="O3160" s="56"/>
    </row>
    <row r="3161" spans="1:15" hidden="1" x14ac:dyDescent="0.3">
      <c r="A3161" s="26">
        <v>32</v>
      </c>
      <c r="B3161" s="20" t="str">
        <f t="shared" si="98"/>
        <v>AUG</v>
      </c>
      <c r="C3161" s="21">
        <v>46242</v>
      </c>
      <c r="D3161" s="22" t="s">
        <v>59</v>
      </c>
      <c r="E3161" s="20" t="str">
        <f>IFERROR(VLOOKUP(I3161,KET!$B:$F,4,0),"")</f>
        <v>SUPRIYATI</v>
      </c>
      <c r="F3161" s="20" t="s">
        <v>42</v>
      </c>
      <c r="G3161" s="20">
        <f>IFERROR(INDEX('Kode Outlet dan Target Toko'!$C:$C,MATCH($I3161,'Kode Outlet dan Target Toko'!$E:$E,0)),0)</f>
        <v>103222</v>
      </c>
      <c r="H3161" s="20">
        <f>IFERROR(INDEX('Kode Outlet dan Target Toko'!$D:$D,MATCH($I3161,'Kode Outlet dan Target Toko'!$E:$E,0)),0)</f>
        <v>106437</v>
      </c>
      <c r="I3161" s="42" t="s">
        <v>104</v>
      </c>
      <c r="J3161" s="56" t="s">
        <v>208</v>
      </c>
      <c r="K3161" s="40" t="s">
        <v>13</v>
      </c>
      <c r="L3161" s="26">
        <v>3000</v>
      </c>
      <c r="M3161" s="26">
        <v>0</v>
      </c>
      <c r="N3161" s="25">
        <f t="shared" si="99"/>
        <v>0</v>
      </c>
      <c r="O3161" s="56"/>
    </row>
    <row r="3162" spans="1:15" hidden="1" x14ac:dyDescent="0.3">
      <c r="A3162" s="26">
        <v>32</v>
      </c>
      <c r="B3162" s="20" t="str">
        <f t="shared" si="98"/>
        <v>AUG</v>
      </c>
      <c r="C3162" s="21">
        <v>46242</v>
      </c>
      <c r="D3162" s="22" t="s">
        <v>59</v>
      </c>
      <c r="E3162" s="20" t="str">
        <f>IFERROR(VLOOKUP(I3162,KET!$B:$F,4,0),"")</f>
        <v>SUPRIYATI</v>
      </c>
      <c r="F3162" s="20" t="s">
        <v>42</v>
      </c>
      <c r="G3162" s="20">
        <f>IFERROR(INDEX('Kode Outlet dan Target Toko'!$C:$C,MATCH($I3162,'Kode Outlet dan Target Toko'!$E:$E,0)),0)</f>
        <v>103222</v>
      </c>
      <c r="H3162" s="20">
        <f>IFERROR(INDEX('Kode Outlet dan Target Toko'!$D:$D,MATCH($I3162,'Kode Outlet dan Target Toko'!$E:$E,0)),0)</f>
        <v>106437</v>
      </c>
      <c r="I3162" s="42" t="s">
        <v>104</v>
      </c>
      <c r="J3162" s="56" t="s">
        <v>208</v>
      </c>
      <c r="K3162" s="40" t="s">
        <v>16</v>
      </c>
      <c r="L3162" s="26">
        <v>3000</v>
      </c>
      <c r="M3162" s="26">
        <v>67</v>
      </c>
      <c r="N3162" s="25">
        <f t="shared" si="99"/>
        <v>201000</v>
      </c>
      <c r="O3162" s="56">
        <v>160</v>
      </c>
    </row>
    <row r="3163" spans="1:15" hidden="1" x14ac:dyDescent="0.3">
      <c r="A3163" s="26">
        <v>32</v>
      </c>
      <c r="B3163" s="20" t="str">
        <f t="shared" si="98"/>
        <v>AUG</v>
      </c>
      <c r="C3163" s="21">
        <v>46243</v>
      </c>
      <c r="D3163" s="22" t="s">
        <v>59</v>
      </c>
      <c r="E3163" s="20" t="str">
        <f>IFERROR(VLOOKUP(I3163,KET!$B:$F,4,0),"")</f>
        <v>SUPRIYATI</v>
      </c>
      <c r="F3163" s="20" t="s">
        <v>42</v>
      </c>
      <c r="G3163" s="20">
        <f>IFERROR(INDEX('Kode Outlet dan Target Toko'!$C:$C,MATCH($I3163,'Kode Outlet dan Target Toko'!$E:$E,0)),0)</f>
        <v>103274</v>
      </c>
      <c r="H3163" s="20">
        <f>IFERROR(INDEX('Kode Outlet dan Target Toko'!$D:$D,MATCH($I3163,'Kode Outlet dan Target Toko'!$E:$E,0)),0)</f>
        <v>1301399</v>
      </c>
      <c r="I3163" s="42" t="s">
        <v>111</v>
      </c>
      <c r="J3163" s="56" t="s">
        <v>205</v>
      </c>
      <c r="K3163" s="40" t="s">
        <v>15</v>
      </c>
      <c r="L3163" s="26">
        <v>3145</v>
      </c>
      <c r="M3163" s="26">
        <v>114</v>
      </c>
      <c r="N3163" s="25">
        <f t="shared" si="99"/>
        <v>358530</v>
      </c>
      <c r="O3163" s="56"/>
    </row>
    <row r="3164" spans="1:15" hidden="1" x14ac:dyDescent="0.3">
      <c r="A3164" s="26">
        <v>32</v>
      </c>
      <c r="B3164" s="20" t="str">
        <f t="shared" si="98"/>
        <v>AUG</v>
      </c>
      <c r="C3164" s="21">
        <v>46243</v>
      </c>
      <c r="D3164" s="22" t="s">
        <v>59</v>
      </c>
      <c r="E3164" s="20" t="str">
        <f>IFERROR(VLOOKUP(I3164,KET!$B:$F,4,0),"")</f>
        <v>SUPRIYATI</v>
      </c>
      <c r="F3164" s="20" t="s">
        <v>42</v>
      </c>
      <c r="G3164" s="20">
        <f>IFERROR(INDEX('Kode Outlet dan Target Toko'!$C:$C,MATCH($I3164,'Kode Outlet dan Target Toko'!$E:$E,0)),0)</f>
        <v>103274</v>
      </c>
      <c r="H3164" s="20">
        <f>IFERROR(INDEX('Kode Outlet dan Target Toko'!$D:$D,MATCH($I3164,'Kode Outlet dan Target Toko'!$E:$E,0)),0)</f>
        <v>1301399</v>
      </c>
      <c r="I3164" s="42" t="s">
        <v>111</v>
      </c>
      <c r="J3164" s="56" t="s">
        <v>205</v>
      </c>
      <c r="K3164" s="40" t="s">
        <v>14</v>
      </c>
      <c r="L3164" s="26">
        <v>3145</v>
      </c>
      <c r="M3164" s="26">
        <v>54</v>
      </c>
      <c r="N3164" s="25">
        <f t="shared" si="99"/>
        <v>169830</v>
      </c>
      <c r="O3164" s="56"/>
    </row>
    <row r="3165" spans="1:15" hidden="1" x14ac:dyDescent="0.3">
      <c r="A3165" s="26">
        <v>32</v>
      </c>
      <c r="B3165" s="20" t="str">
        <f t="shared" si="98"/>
        <v>AUG</v>
      </c>
      <c r="C3165" s="21">
        <v>46243</v>
      </c>
      <c r="D3165" s="22" t="s">
        <v>59</v>
      </c>
      <c r="E3165" s="20" t="str">
        <f>IFERROR(VLOOKUP(I3165,KET!$B:$F,4,0),"")</f>
        <v>SUPRIYATI</v>
      </c>
      <c r="F3165" s="20" t="s">
        <v>42</v>
      </c>
      <c r="G3165" s="20">
        <f>IFERROR(INDEX('Kode Outlet dan Target Toko'!$C:$C,MATCH($I3165,'Kode Outlet dan Target Toko'!$E:$E,0)),0)</f>
        <v>103274</v>
      </c>
      <c r="H3165" s="20">
        <f>IFERROR(INDEX('Kode Outlet dan Target Toko'!$D:$D,MATCH($I3165,'Kode Outlet dan Target Toko'!$E:$E,0)),0)</f>
        <v>1301399</v>
      </c>
      <c r="I3165" s="42" t="s">
        <v>111</v>
      </c>
      <c r="J3165" s="56" t="s">
        <v>205</v>
      </c>
      <c r="K3165" s="40" t="s">
        <v>13</v>
      </c>
      <c r="L3165" s="26">
        <v>3145</v>
      </c>
      <c r="M3165" s="26">
        <v>20</v>
      </c>
      <c r="N3165" s="25">
        <f t="shared" si="99"/>
        <v>62900</v>
      </c>
      <c r="O3165" s="56"/>
    </row>
    <row r="3166" spans="1:15" hidden="1" x14ac:dyDescent="0.3">
      <c r="A3166" s="26">
        <v>32</v>
      </c>
      <c r="B3166" s="20" t="str">
        <f t="shared" si="98"/>
        <v>AUG</v>
      </c>
      <c r="C3166" s="21">
        <v>46243</v>
      </c>
      <c r="D3166" s="22" t="s">
        <v>59</v>
      </c>
      <c r="E3166" s="20" t="str">
        <f>IFERROR(VLOOKUP(I3166,KET!$B:$F,4,0),"")</f>
        <v>SUPRIYATI</v>
      </c>
      <c r="F3166" s="20" t="s">
        <v>42</v>
      </c>
      <c r="G3166" s="20">
        <f>IFERROR(INDEX('Kode Outlet dan Target Toko'!$C:$C,MATCH($I3166,'Kode Outlet dan Target Toko'!$E:$E,0)),0)</f>
        <v>103274</v>
      </c>
      <c r="H3166" s="20">
        <f>IFERROR(INDEX('Kode Outlet dan Target Toko'!$D:$D,MATCH($I3166,'Kode Outlet dan Target Toko'!$E:$E,0)),0)</f>
        <v>1301399</v>
      </c>
      <c r="I3166" s="42" t="s">
        <v>111</v>
      </c>
      <c r="J3166" s="56" t="s">
        <v>205</v>
      </c>
      <c r="K3166" s="40" t="s">
        <v>16</v>
      </c>
      <c r="L3166" s="26">
        <v>3145</v>
      </c>
      <c r="M3166" s="26">
        <v>89</v>
      </c>
      <c r="N3166" s="25">
        <f t="shared" si="99"/>
        <v>279905</v>
      </c>
      <c r="O3166" s="56">
        <v>160</v>
      </c>
    </row>
    <row r="3167" spans="1:15" hidden="1" x14ac:dyDescent="0.3">
      <c r="A3167" s="26">
        <v>32</v>
      </c>
      <c r="B3167" s="20" t="str">
        <f t="shared" si="98"/>
        <v>AUG</v>
      </c>
      <c r="C3167" s="21">
        <v>46243</v>
      </c>
      <c r="D3167" s="22" t="s">
        <v>59</v>
      </c>
      <c r="E3167" s="20" t="str">
        <f>IFERROR(VLOOKUP(I3167,KET!$B:$F,4,0),"")</f>
        <v>SUPRIYATI</v>
      </c>
      <c r="F3167" s="20" t="s">
        <v>42</v>
      </c>
      <c r="G3167" s="20">
        <f>IFERROR(INDEX('Kode Outlet dan Target Toko'!$C:$C,MATCH($I3167,'Kode Outlet dan Target Toko'!$E:$E,0)),0)</f>
        <v>103274</v>
      </c>
      <c r="H3167" s="20">
        <f>IFERROR(INDEX('Kode Outlet dan Target Toko'!$D:$D,MATCH($I3167,'Kode Outlet dan Target Toko'!$E:$E,0)),0)</f>
        <v>1301399</v>
      </c>
      <c r="I3167" s="42" t="s">
        <v>111</v>
      </c>
      <c r="J3167" s="56" t="s">
        <v>206</v>
      </c>
      <c r="K3167" s="40" t="s">
        <v>15</v>
      </c>
      <c r="L3167" s="26">
        <v>3145</v>
      </c>
      <c r="M3167" s="26">
        <v>114</v>
      </c>
      <c r="N3167" s="25">
        <f t="shared" si="99"/>
        <v>358530</v>
      </c>
      <c r="O3167" s="56"/>
    </row>
    <row r="3168" spans="1:15" hidden="1" x14ac:dyDescent="0.3">
      <c r="A3168" s="26">
        <v>32</v>
      </c>
      <c r="B3168" s="20" t="str">
        <f t="shared" si="98"/>
        <v>AUG</v>
      </c>
      <c r="C3168" s="21">
        <v>46243</v>
      </c>
      <c r="D3168" s="22" t="s">
        <v>59</v>
      </c>
      <c r="E3168" s="20" t="str">
        <f>IFERROR(VLOOKUP(I3168,KET!$B:$F,4,0),"")</f>
        <v>SUPRIYATI</v>
      </c>
      <c r="F3168" s="20" t="s">
        <v>42</v>
      </c>
      <c r="G3168" s="20">
        <f>IFERROR(INDEX('Kode Outlet dan Target Toko'!$C:$C,MATCH($I3168,'Kode Outlet dan Target Toko'!$E:$E,0)),0)</f>
        <v>103274</v>
      </c>
      <c r="H3168" s="20">
        <f>IFERROR(INDEX('Kode Outlet dan Target Toko'!$D:$D,MATCH($I3168,'Kode Outlet dan Target Toko'!$E:$E,0)),0)</f>
        <v>1301399</v>
      </c>
      <c r="I3168" s="42" t="s">
        <v>111</v>
      </c>
      <c r="J3168" s="56" t="s">
        <v>206</v>
      </c>
      <c r="K3168" s="40" t="s">
        <v>14</v>
      </c>
      <c r="L3168" s="26">
        <v>3145</v>
      </c>
      <c r="M3168" s="26">
        <v>54</v>
      </c>
      <c r="N3168" s="25">
        <f t="shared" si="99"/>
        <v>169830</v>
      </c>
      <c r="O3168" s="56"/>
    </row>
    <row r="3169" spans="1:15" hidden="1" x14ac:dyDescent="0.3">
      <c r="A3169" s="26">
        <v>32</v>
      </c>
      <c r="B3169" s="20" t="str">
        <f t="shared" si="98"/>
        <v>AUG</v>
      </c>
      <c r="C3169" s="21">
        <v>46243</v>
      </c>
      <c r="D3169" s="22" t="s">
        <v>59</v>
      </c>
      <c r="E3169" s="20" t="str">
        <f>IFERROR(VLOOKUP(I3169,KET!$B:$F,4,0),"")</f>
        <v>SUPRIYATI</v>
      </c>
      <c r="F3169" s="20" t="s">
        <v>42</v>
      </c>
      <c r="G3169" s="20">
        <f>IFERROR(INDEX('Kode Outlet dan Target Toko'!$C:$C,MATCH($I3169,'Kode Outlet dan Target Toko'!$E:$E,0)),0)</f>
        <v>103274</v>
      </c>
      <c r="H3169" s="20">
        <f>IFERROR(INDEX('Kode Outlet dan Target Toko'!$D:$D,MATCH($I3169,'Kode Outlet dan Target Toko'!$E:$E,0)),0)</f>
        <v>1301399</v>
      </c>
      <c r="I3169" s="42" t="s">
        <v>111</v>
      </c>
      <c r="J3169" s="56" t="s">
        <v>206</v>
      </c>
      <c r="K3169" s="40" t="s">
        <v>13</v>
      </c>
      <c r="L3169" s="26">
        <v>3145</v>
      </c>
      <c r="M3169" s="26">
        <v>20</v>
      </c>
      <c r="N3169" s="25">
        <f t="shared" si="99"/>
        <v>62900</v>
      </c>
      <c r="O3169" s="56"/>
    </row>
    <row r="3170" spans="1:15" hidden="1" x14ac:dyDescent="0.3">
      <c r="A3170" s="26">
        <v>32</v>
      </c>
      <c r="B3170" s="20" t="str">
        <f t="shared" si="98"/>
        <v>AUG</v>
      </c>
      <c r="C3170" s="21">
        <v>46243</v>
      </c>
      <c r="D3170" s="22" t="s">
        <v>59</v>
      </c>
      <c r="E3170" s="20" t="str">
        <f>IFERROR(VLOOKUP(I3170,KET!$B:$F,4,0),"")</f>
        <v>SUPRIYATI</v>
      </c>
      <c r="F3170" s="20" t="s">
        <v>42</v>
      </c>
      <c r="G3170" s="20">
        <f>IFERROR(INDEX('Kode Outlet dan Target Toko'!$C:$C,MATCH($I3170,'Kode Outlet dan Target Toko'!$E:$E,0)),0)</f>
        <v>103274</v>
      </c>
      <c r="H3170" s="20">
        <f>IFERROR(INDEX('Kode Outlet dan Target Toko'!$D:$D,MATCH($I3170,'Kode Outlet dan Target Toko'!$E:$E,0)),0)</f>
        <v>1301399</v>
      </c>
      <c r="I3170" s="42" t="s">
        <v>111</v>
      </c>
      <c r="J3170" s="56" t="s">
        <v>206</v>
      </c>
      <c r="K3170" s="40" t="s">
        <v>16</v>
      </c>
      <c r="L3170" s="26">
        <v>3145</v>
      </c>
      <c r="M3170" s="26">
        <v>89</v>
      </c>
      <c r="N3170" s="25">
        <f t="shared" si="99"/>
        <v>279905</v>
      </c>
      <c r="O3170" s="56">
        <v>160</v>
      </c>
    </row>
    <row r="3171" spans="1:15" hidden="1" x14ac:dyDescent="0.3">
      <c r="A3171" s="26">
        <v>32</v>
      </c>
      <c r="B3171" s="20" t="str">
        <f t="shared" si="98"/>
        <v>AUG</v>
      </c>
      <c r="C3171" s="21">
        <v>46243</v>
      </c>
      <c r="D3171" s="22" t="s">
        <v>59</v>
      </c>
      <c r="E3171" s="20" t="str">
        <f>IFERROR(VLOOKUP(I3171,KET!$B:$F,4,0),"")</f>
        <v>SUPRIYATI</v>
      </c>
      <c r="F3171" s="20" t="s">
        <v>42</v>
      </c>
      <c r="G3171" s="20">
        <f>IFERROR(INDEX('Kode Outlet dan Target Toko'!$C:$C,MATCH($I3171,'Kode Outlet dan Target Toko'!$E:$E,0)),0)</f>
        <v>0</v>
      </c>
      <c r="H3171" s="20">
        <f>IFERROR(INDEX('Kode Outlet dan Target Toko'!$D:$D,MATCH($I3171,'Kode Outlet dan Target Toko'!$E:$E,0)),0)</f>
        <v>0</v>
      </c>
      <c r="I3171" s="42" t="s">
        <v>136</v>
      </c>
      <c r="J3171" s="56" t="s">
        <v>226</v>
      </c>
      <c r="K3171" s="40" t="s">
        <v>15</v>
      </c>
      <c r="L3171" s="26">
        <v>3000</v>
      </c>
      <c r="M3171" s="26">
        <v>62</v>
      </c>
      <c r="N3171" s="25">
        <f t="shared" si="99"/>
        <v>186000</v>
      </c>
      <c r="O3171" s="56"/>
    </row>
    <row r="3172" spans="1:15" hidden="1" x14ac:dyDescent="0.3">
      <c r="A3172" s="26">
        <v>32</v>
      </c>
      <c r="B3172" s="20" t="str">
        <f t="shared" si="98"/>
        <v>AUG</v>
      </c>
      <c r="C3172" s="21">
        <v>46243</v>
      </c>
      <c r="D3172" s="22" t="s">
        <v>59</v>
      </c>
      <c r="E3172" s="20" t="str">
        <f>IFERROR(VLOOKUP(I3172,KET!$B:$F,4,0),"")</f>
        <v>SUPRIYATI</v>
      </c>
      <c r="F3172" s="20" t="s">
        <v>42</v>
      </c>
      <c r="G3172" s="20">
        <f>IFERROR(INDEX('Kode Outlet dan Target Toko'!$C:$C,MATCH($I3172,'Kode Outlet dan Target Toko'!$E:$E,0)),0)</f>
        <v>0</v>
      </c>
      <c r="H3172" s="20">
        <f>IFERROR(INDEX('Kode Outlet dan Target Toko'!$D:$D,MATCH($I3172,'Kode Outlet dan Target Toko'!$E:$E,0)),0)</f>
        <v>0</v>
      </c>
      <c r="I3172" s="42" t="s">
        <v>136</v>
      </c>
      <c r="J3172" s="56" t="s">
        <v>226</v>
      </c>
      <c r="K3172" s="40" t="s">
        <v>14</v>
      </c>
      <c r="L3172" s="26">
        <v>3000</v>
      </c>
      <c r="M3172" s="26">
        <v>6</v>
      </c>
      <c r="N3172" s="25">
        <f t="shared" si="99"/>
        <v>18000</v>
      </c>
      <c r="O3172" s="56"/>
    </row>
    <row r="3173" spans="1:15" hidden="1" x14ac:dyDescent="0.3">
      <c r="A3173" s="26">
        <v>32</v>
      </c>
      <c r="B3173" s="20" t="str">
        <f t="shared" si="98"/>
        <v>AUG</v>
      </c>
      <c r="C3173" s="21">
        <v>46243</v>
      </c>
      <c r="D3173" s="22" t="s">
        <v>59</v>
      </c>
      <c r="E3173" s="20" t="str">
        <f>IFERROR(VLOOKUP(I3173,KET!$B:$F,4,0),"")</f>
        <v>SUPRIYATI</v>
      </c>
      <c r="F3173" s="20" t="s">
        <v>42</v>
      </c>
      <c r="G3173" s="20">
        <f>IFERROR(INDEX('Kode Outlet dan Target Toko'!$C:$C,MATCH($I3173,'Kode Outlet dan Target Toko'!$E:$E,0)),0)</f>
        <v>0</v>
      </c>
      <c r="H3173" s="20">
        <f>IFERROR(INDEX('Kode Outlet dan Target Toko'!$D:$D,MATCH($I3173,'Kode Outlet dan Target Toko'!$E:$E,0)),0)</f>
        <v>0</v>
      </c>
      <c r="I3173" s="42" t="s">
        <v>136</v>
      </c>
      <c r="J3173" s="56" t="s">
        <v>226</v>
      </c>
      <c r="K3173" s="40" t="s">
        <v>13</v>
      </c>
      <c r="L3173" s="26">
        <v>3000</v>
      </c>
      <c r="M3173" s="26">
        <v>48</v>
      </c>
      <c r="N3173" s="25">
        <f t="shared" si="99"/>
        <v>144000</v>
      </c>
      <c r="O3173" s="56"/>
    </row>
    <row r="3174" spans="1:15" hidden="1" x14ac:dyDescent="0.3">
      <c r="A3174" s="26">
        <v>32</v>
      </c>
      <c r="B3174" s="20" t="str">
        <f t="shared" si="98"/>
        <v>AUG</v>
      </c>
      <c r="C3174" s="21">
        <v>46243</v>
      </c>
      <c r="D3174" s="22" t="s">
        <v>59</v>
      </c>
      <c r="E3174" s="20" t="str">
        <f>IFERROR(VLOOKUP(I3174,KET!$B:$F,4,0),"")</f>
        <v>SUPRIYATI</v>
      </c>
      <c r="F3174" s="20" t="s">
        <v>42</v>
      </c>
      <c r="G3174" s="20">
        <f>IFERROR(INDEX('Kode Outlet dan Target Toko'!$C:$C,MATCH($I3174,'Kode Outlet dan Target Toko'!$E:$E,0)),0)</f>
        <v>0</v>
      </c>
      <c r="H3174" s="20">
        <f>IFERROR(INDEX('Kode Outlet dan Target Toko'!$D:$D,MATCH($I3174,'Kode Outlet dan Target Toko'!$E:$E,0)),0)</f>
        <v>0</v>
      </c>
      <c r="I3174" s="42" t="s">
        <v>136</v>
      </c>
      <c r="J3174" s="56" t="s">
        <v>226</v>
      </c>
      <c r="K3174" s="40" t="s">
        <v>16</v>
      </c>
      <c r="L3174" s="26">
        <v>3000</v>
      </c>
      <c r="M3174" s="26">
        <v>126</v>
      </c>
      <c r="N3174" s="25">
        <f t="shared" si="99"/>
        <v>378000</v>
      </c>
      <c r="O3174" s="56">
        <v>160</v>
      </c>
    </row>
    <row r="3175" spans="1:15" hidden="1" x14ac:dyDescent="0.3">
      <c r="A3175" s="26">
        <v>32</v>
      </c>
      <c r="B3175" s="20" t="str">
        <f t="shared" si="98"/>
        <v>AUG</v>
      </c>
      <c r="C3175" s="21">
        <v>46243</v>
      </c>
      <c r="D3175" s="22" t="s">
        <v>59</v>
      </c>
      <c r="E3175" s="20" t="str">
        <f>IFERROR(VLOOKUP(I3175,KET!$B:$F,4,0),"")</f>
        <v>SUPRIYATI</v>
      </c>
      <c r="F3175" s="20" t="s">
        <v>42</v>
      </c>
      <c r="G3175" s="20">
        <f>IFERROR(INDEX('Kode Outlet dan Target Toko'!$C:$C,MATCH($I3175,'Kode Outlet dan Target Toko'!$E:$E,0)),0)</f>
        <v>0</v>
      </c>
      <c r="H3175" s="20">
        <f>IFERROR(INDEX('Kode Outlet dan Target Toko'!$D:$D,MATCH($I3175,'Kode Outlet dan Target Toko'!$E:$E,0)),0)</f>
        <v>0</v>
      </c>
      <c r="I3175" s="42" t="s">
        <v>136</v>
      </c>
      <c r="J3175" s="56" t="s">
        <v>227</v>
      </c>
      <c r="K3175" s="40" t="s">
        <v>15</v>
      </c>
      <c r="L3175" s="26">
        <v>3000</v>
      </c>
      <c r="M3175" s="26">
        <v>61</v>
      </c>
      <c r="N3175" s="25">
        <f t="shared" si="99"/>
        <v>183000</v>
      </c>
      <c r="O3175" s="56"/>
    </row>
    <row r="3176" spans="1:15" hidden="1" x14ac:dyDescent="0.3">
      <c r="A3176" s="26">
        <v>32</v>
      </c>
      <c r="B3176" s="20" t="str">
        <f t="shared" si="98"/>
        <v>AUG</v>
      </c>
      <c r="C3176" s="21">
        <v>46243</v>
      </c>
      <c r="D3176" s="22" t="s">
        <v>59</v>
      </c>
      <c r="E3176" s="20" t="str">
        <f>IFERROR(VLOOKUP(I3176,KET!$B:$F,4,0),"")</f>
        <v>SUPRIYATI</v>
      </c>
      <c r="F3176" s="20" t="s">
        <v>42</v>
      </c>
      <c r="G3176" s="20">
        <f>IFERROR(INDEX('Kode Outlet dan Target Toko'!$C:$C,MATCH($I3176,'Kode Outlet dan Target Toko'!$E:$E,0)),0)</f>
        <v>0</v>
      </c>
      <c r="H3176" s="20">
        <f>IFERROR(INDEX('Kode Outlet dan Target Toko'!$D:$D,MATCH($I3176,'Kode Outlet dan Target Toko'!$E:$E,0)),0)</f>
        <v>0</v>
      </c>
      <c r="I3176" s="42" t="s">
        <v>136</v>
      </c>
      <c r="J3176" s="56" t="s">
        <v>227</v>
      </c>
      <c r="K3176" s="40" t="s">
        <v>14</v>
      </c>
      <c r="L3176" s="26">
        <v>3000</v>
      </c>
      <c r="M3176" s="26">
        <v>6</v>
      </c>
      <c r="N3176" s="25">
        <f t="shared" si="99"/>
        <v>18000</v>
      </c>
      <c r="O3176" s="56"/>
    </row>
    <row r="3177" spans="1:15" hidden="1" x14ac:dyDescent="0.3">
      <c r="A3177" s="26">
        <v>32</v>
      </c>
      <c r="B3177" s="20" t="str">
        <f t="shared" si="98"/>
        <v>AUG</v>
      </c>
      <c r="C3177" s="21">
        <v>46243</v>
      </c>
      <c r="D3177" s="22" t="s">
        <v>59</v>
      </c>
      <c r="E3177" s="20" t="str">
        <f>IFERROR(VLOOKUP(I3177,KET!$B:$F,4,0),"")</f>
        <v>SUPRIYATI</v>
      </c>
      <c r="F3177" s="20" t="s">
        <v>42</v>
      </c>
      <c r="G3177" s="20">
        <f>IFERROR(INDEX('Kode Outlet dan Target Toko'!$C:$C,MATCH($I3177,'Kode Outlet dan Target Toko'!$E:$E,0)),0)</f>
        <v>0</v>
      </c>
      <c r="H3177" s="20">
        <f>IFERROR(INDEX('Kode Outlet dan Target Toko'!$D:$D,MATCH($I3177,'Kode Outlet dan Target Toko'!$E:$E,0)),0)</f>
        <v>0</v>
      </c>
      <c r="I3177" s="42" t="s">
        <v>136</v>
      </c>
      <c r="J3177" s="56" t="s">
        <v>227</v>
      </c>
      <c r="K3177" s="40" t="s">
        <v>13</v>
      </c>
      <c r="L3177" s="26">
        <v>3000</v>
      </c>
      <c r="M3177" s="26">
        <v>48</v>
      </c>
      <c r="N3177" s="25">
        <f t="shared" si="99"/>
        <v>144000</v>
      </c>
      <c r="O3177" s="56"/>
    </row>
    <row r="3178" spans="1:15" hidden="1" x14ac:dyDescent="0.3">
      <c r="A3178" s="26">
        <v>32</v>
      </c>
      <c r="B3178" s="20" t="str">
        <f t="shared" si="98"/>
        <v>AUG</v>
      </c>
      <c r="C3178" s="21">
        <v>46243</v>
      </c>
      <c r="D3178" s="22" t="s">
        <v>59</v>
      </c>
      <c r="E3178" s="20" t="str">
        <f>IFERROR(VLOOKUP(I3178,KET!$B:$F,4,0),"")</f>
        <v>SUPRIYATI</v>
      </c>
      <c r="F3178" s="20" t="s">
        <v>42</v>
      </c>
      <c r="G3178" s="20">
        <f>IFERROR(INDEX('Kode Outlet dan Target Toko'!$C:$C,MATCH($I3178,'Kode Outlet dan Target Toko'!$E:$E,0)),0)</f>
        <v>0</v>
      </c>
      <c r="H3178" s="20">
        <f>IFERROR(INDEX('Kode Outlet dan Target Toko'!$D:$D,MATCH($I3178,'Kode Outlet dan Target Toko'!$E:$E,0)),0)</f>
        <v>0</v>
      </c>
      <c r="I3178" s="42" t="s">
        <v>136</v>
      </c>
      <c r="J3178" s="56" t="s">
        <v>227</v>
      </c>
      <c r="K3178" s="40" t="s">
        <v>16</v>
      </c>
      <c r="L3178" s="26">
        <v>3000</v>
      </c>
      <c r="M3178" s="26">
        <v>126</v>
      </c>
      <c r="N3178" s="25">
        <f t="shared" si="99"/>
        <v>378000</v>
      </c>
      <c r="O3178" s="56">
        <v>160</v>
      </c>
    </row>
    <row r="3179" spans="1:15" hidden="1" x14ac:dyDescent="0.3">
      <c r="A3179" s="26">
        <v>32</v>
      </c>
      <c r="B3179" s="20" t="str">
        <f t="shared" si="98"/>
        <v>AUG</v>
      </c>
      <c r="C3179" s="21">
        <v>46243</v>
      </c>
      <c r="D3179" s="22" t="s">
        <v>59</v>
      </c>
      <c r="E3179" s="20" t="str">
        <f>IFERROR(VLOOKUP(I3179,KET!$B:$F,4,0),"")</f>
        <v>SUPRIYATI</v>
      </c>
      <c r="F3179" s="20" t="s">
        <v>42</v>
      </c>
      <c r="G3179" s="20">
        <f>IFERROR(INDEX('Kode Outlet dan Target Toko'!$C:$C,MATCH($I3179,'Kode Outlet dan Target Toko'!$E:$E,0)),0)</f>
        <v>211051</v>
      </c>
      <c r="H3179" s="20">
        <f>IFERROR(INDEX('Kode Outlet dan Target Toko'!$D:$D,MATCH($I3179,'Kode Outlet dan Target Toko'!$E:$E,0)),0)</f>
        <v>5580008</v>
      </c>
      <c r="I3179" s="42" t="s">
        <v>88</v>
      </c>
      <c r="J3179" s="56" t="s">
        <v>202</v>
      </c>
      <c r="K3179" s="40" t="s">
        <v>15</v>
      </c>
      <c r="L3179" s="26">
        <v>3000</v>
      </c>
      <c r="M3179" s="26">
        <v>83</v>
      </c>
      <c r="N3179" s="25">
        <f t="shared" si="99"/>
        <v>249000</v>
      </c>
      <c r="O3179" s="56"/>
    </row>
    <row r="3180" spans="1:15" hidden="1" x14ac:dyDescent="0.3">
      <c r="A3180" s="26">
        <v>32</v>
      </c>
      <c r="B3180" s="20" t="str">
        <f t="shared" si="98"/>
        <v>AUG</v>
      </c>
      <c r="C3180" s="21">
        <v>46243</v>
      </c>
      <c r="D3180" s="22" t="s">
        <v>59</v>
      </c>
      <c r="E3180" s="20" t="str">
        <f>IFERROR(VLOOKUP(I3180,KET!$B:$F,4,0),"")</f>
        <v>SUPRIYATI</v>
      </c>
      <c r="F3180" s="20" t="s">
        <v>42</v>
      </c>
      <c r="G3180" s="20">
        <f>IFERROR(INDEX('Kode Outlet dan Target Toko'!$C:$C,MATCH($I3180,'Kode Outlet dan Target Toko'!$E:$E,0)),0)</f>
        <v>211051</v>
      </c>
      <c r="H3180" s="20">
        <f>IFERROR(INDEX('Kode Outlet dan Target Toko'!$D:$D,MATCH($I3180,'Kode Outlet dan Target Toko'!$E:$E,0)),0)</f>
        <v>5580008</v>
      </c>
      <c r="I3180" s="42" t="s">
        <v>88</v>
      </c>
      <c r="J3180" s="56" t="s">
        <v>202</v>
      </c>
      <c r="K3180" s="40" t="s">
        <v>14</v>
      </c>
      <c r="L3180" s="26">
        <v>3000</v>
      </c>
      <c r="M3180" s="26">
        <v>98</v>
      </c>
      <c r="N3180" s="25">
        <f t="shared" si="99"/>
        <v>294000</v>
      </c>
      <c r="O3180" s="56"/>
    </row>
    <row r="3181" spans="1:15" hidden="1" x14ac:dyDescent="0.3">
      <c r="A3181" s="26">
        <v>32</v>
      </c>
      <c r="B3181" s="20" t="str">
        <f t="shared" si="98"/>
        <v>AUG</v>
      </c>
      <c r="C3181" s="21">
        <v>46243</v>
      </c>
      <c r="D3181" s="22" t="s">
        <v>59</v>
      </c>
      <c r="E3181" s="20" t="str">
        <f>IFERROR(VLOOKUP(I3181,KET!$B:$F,4,0),"")</f>
        <v>SUPRIYATI</v>
      </c>
      <c r="F3181" s="20" t="s">
        <v>42</v>
      </c>
      <c r="G3181" s="20">
        <f>IFERROR(INDEX('Kode Outlet dan Target Toko'!$C:$C,MATCH($I3181,'Kode Outlet dan Target Toko'!$E:$E,0)),0)</f>
        <v>211051</v>
      </c>
      <c r="H3181" s="20">
        <f>IFERROR(INDEX('Kode Outlet dan Target Toko'!$D:$D,MATCH($I3181,'Kode Outlet dan Target Toko'!$E:$E,0)),0)</f>
        <v>5580008</v>
      </c>
      <c r="I3181" s="42" t="s">
        <v>88</v>
      </c>
      <c r="J3181" s="56" t="s">
        <v>202</v>
      </c>
      <c r="K3181" s="40" t="s">
        <v>13</v>
      </c>
      <c r="L3181" s="26">
        <v>3000</v>
      </c>
      <c r="M3181" s="26">
        <v>29</v>
      </c>
      <c r="N3181" s="25">
        <f t="shared" si="99"/>
        <v>87000</v>
      </c>
      <c r="O3181" s="56"/>
    </row>
    <row r="3182" spans="1:15" hidden="1" x14ac:dyDescent="0.3">
      <c r="A3182" s="26">
        <v>32</v>
      </c>
      <c r="B3182" s="20" t="str">
        <f t="shared" si="98"/>
        <v>AUG</v>
      </c>
      <c r="C3182" s="21">
        <v>46243</v>
      </c>
      <c r="D3182" s="22" t="s">
        <v>59</v>
      </c>
      <c r="E3182" s="20" t="str">
        <f>IFERROR(VLOOKUP(I3182,KET!$B:$F,4,0),"")</f>
        <v>SUPRIYATI</v>
      </c>
      <c r="F3182" s="20" t="s">
        <v>42</v>
      </c>
      <c r="G3182" s="20">
        <f>IFERROR(INDEX('Kode Outlet dan Target Toko'!$C:$C,MATCH($I3182,'Kode Outlet dan Target Toko'!$E:$E,0)),0)</f>
        <v>211051</v>
      </c>
      <c r="H3182" s="20">
        <f>IFERROR(INDEX('Kode Outlet dan Target Toko'!$D:$D,MATCH($I3182,'Kode Outlet dan Target Toko'!$E:$E,0)),0)</f>
        <v>5580008</v>
      </c>
      <c r="I3182" s="42" t="s">
        <v>88</v>
      </c>
      <c r="J3182" s="56" t="s">
        <v>202</v>
      </c>
      <c r="K3182" s="40" t="s">
        <v>16</v>
      </c>
      <c r="L3182" s="26">
        <v>3000</v>
      </c>
      <c r="M3182" s="26">
        <v>284</v>
      </c>
      <c r="N3182" s="25">
        <f t="shared" si="99"/>
        <v>852000</v>
      </c>
      <c r="O3182" s="56">
        <v>160</v>
      </c>
    </row>
    <row r="3183" spans="1:15" hidden="1" x14ac:dyDescent="0.3">
      <c r="A3183" s="26">
        <v>32</v>
      </c>
      <c r="B3183" s="20" t="str">
        <f t="shared" si="98"/>
        <v>AUG</v>
      </c>
      <c r="C3183" s="21">
        <v>46243</v>
      </c>
      <c r="D3183" s="22" t="s">
        <v>59</v>
      </c>
      <c r="E3183" s="20" t="str">
        <f>IFERROR(VLOOKUP(I3183,KET!$B:$F,4,0),"")</f>
        <v>SUPRIYATI</v>
      </c>
      <c r="F3183" s="20" t="s">
        <v>42</v>
      </c>
      <c r="G3183" s="20">
        <f>IFERROR(INDEX('Kode Outlet dan Target Toko'!$C:$C,MATCH($I3183,'Kode Outlet dan Target Toko'!$E:$E,0)),0)</f>
        <v>211051</v>
      </c>
      <c r="H3183" s="20">
        <f>IFERROR(INDEX('Kode Outlet dan Target Toko'!$D:$D,MATCH($I3183,'Kode Outlet dan Target Toko'!$E:$E,0)),0)</f>
        <v>5580008</v>
      </c>
      <c r="I3183" s="42" t="s">
        <v>88</v>
      </c>
      <c r="J3183" s="56" t="s">
        <v>203</v>
      </c>
      <c r="K3183" s="40" t="s">
        <v>15</v>
      </c>
      <c r="L3183" s="26">
        <v>3000</v>
      </c>
      <c r="M3183" s="26">
        <v>83</v>
      </c>
      <c r="N3183" s="25">
        <f t="shared" si="99"/>
        <v>249000</v>
      </c>
      <c r="O3183" s="56"/>
    </row>
    <row r="3184" spans="1:15" hidden="1" x14ac:dyDescent="0.3">
      <c r="A3184" s="26">
        <v>32</v>
      </c>
      <c r="B3184" s="20" t="str">
        <f t="shared" si="98"/>
        <v>AUG</v>
      </c>
      <c r="C3184" s="21">
        <v>46243</v>
      </c>
      <c r="D3184" s="22" t="s">
        <v>59</v>
      </c>
      <c r="E3184" s="20" t="str">
        <f>IFERROR(VLOOKUP(I3184,KET!$B:$F,4,0),"")</f>
        <v>SUPRIYATI</v>
      </c>
      <c r="F3184" s="20" t="s">
        <v>42</v>
      </c>
      <c r="G3184" s="20">
        <f>IFERROR(INDEX('Kode Outlet dan Target Toko'!$C:$C,MATCH($I3184,'Kode Outlet dan Target Toko'!$E:$E,0)),0)</f>
        <v>211051</v>
      </c>
      <c r="H3184" s="20">
        <f>IFERROR(INDEX('Kode Outlet dan Target Toko'!$D:$D,MATCH($I3184,'Kode Outlet dan Target Toko'!$E:$E,0)),0)</f>
        <v>5580008</v>
      </c>
      <c r="I3184" s="42" t="s">
        <v>88</v>
      </c>
      <c r="J3184" s="56" t="s">
        <v>203</v>
      </c>
      <c r="K3184" s="40" t="s">
        <v>14</v>
      </c>
      <c r="L3184" s="26">
        <v>3000</v>
      </c>
      <c r="M3184" s="26">
        <v>98</v>
      </c>
      <c r="N3184" s="25">
        <f t="shared" si="99"/>
        <v>294000</v>
      </c>
      <c r="O3184" s="56"/>
    </row>
    <row r="3185" spans="1:15" hidden="1" x14ac:dyDescent="0.3">
      <c r="A3185" s="26">
        <v>32</v>
      </c>
      <c r="B3185" s="20" t="str">
        <f t="shared" si="98"/>
        <v>AUG</v>
      </c>
      <c r="C3185" s="21">
        <v>46243</v>
      </c>
      <c r="D3185" s="22" t="s">
        <v>59</v>
      </c>
      <c r="E3185" s="20" t="str">
        <f>IFERROR(VLOOKUP(I3185,KET!$B:$F,4,0),"")</f>
        <v>SUPRIYATI</v>
      </c>
      <c r="F3185" s="20" t="s">
        <v>42</v>
      </c>
      <c r="G3185" s="20">
        <f>IFERROR(INDEX('Kode Outlet dan Target Toko'!$C:$C,MATCH($I3185,'Kode Outlet dan Target Toko'!$E:$E,0)),0)</f>
        <v>211051</v>
      </c>
      <c r="H3185" s="20">
        <f>IFERROR(INDEX('Kode Outlet dan Target Toko'!$D:$D,MATCH($I3185,'Kode Outlet dan Target Toko'!$E:$E,0)),0)</f>
        <v>5580008</v>
      </c>
      <c r="I3185" s="42" t="s">
        <v>88</v>
      </c>
      <c r="J3185" s="56" t="s">
        <v>203</v>
      </c>
      <c r="K3185" s="40" t="s">
        <v>13</v>
      </c>
      <c r="L3185" s="26">
        <v>3000</v>
      </c>
      <c r="M3185" s="26">
        <v>29</v>
      </c>
      <c r="N3185" s="25">
        <f t="shared" si="99"/>
        <v>87000</v>
      </c>
      <c r="O3185" s="56"/>
    </row>
    <row r="3186" spans="1:15" hidden="1" x14ac:dyDescent="0.3">
      <c r="A3186" s="26">
        <v>32</v>
      </c>
      <c r="B3186" s="20" t="str">
        <f t="shared" si="98"/>
        <v>AUG</v>
      </c>
      <c r="C3186" s="21">
        <v>46243</v>
      </c>
      <c r="D3186" s="22" t="s">
        <v>59</v>
      </c>
      <c r="E3186" s="20" t="str">
        <f>IFERROR(VLOOKUP(I3186,KET!$B:$F,4,0),"")</f>
        <v>SUPRIYATI</v>
      </c>
      <c r="F3186" s="20" t="s">
        <v>42</v>
      </c>
      <c r="G3186" s="20">
        <f>IFERROR(INDEX('Kode Outlet dan Target Toko'!$C:$C,MATCH($I3186,'Kode Outlet dan Target Toko'!$E:$E,0)),0)</f>
        <v>211051</v>
      </c>
      <c r="H3186" s="20">
        <f>IFERROR(INDEX('Kode Outlet dan Target Toko'!$D:$D,MATCH($I3186,'Kode Outlet dan Target Toko'!$E:$E,0)),0)</f>
        <v>5580008</v>
      </c>
      <c r="I3186" s="42" t="s">
        <v>88</v>
      </c>
      <c r="J3186" s="56" t="s">
        <v>203</v>
      </c>
      <c r="K3186" s="40" t="s">
        <v>16</v>
      </c>
      <c r="L3186" s="26">
        <v>3000</v>
      </c>
      <c r="M3186" s="26">
        <v>284</v>
      </c>
      <c r="N3186" s="25">
        <f t="shared" si="99"/>
        <v>852000</v>
      </c>
      <c r="O3186" s="56">
        <v>160</v>
      </c>
    </row>
    <row r="3187" spans="1:15" hidden="1" x14ac:dyDescent="0.3">
      <c r="A3187" s="26">
        <v>32</v>
      </c>
      <c r="B3187" s="20" t="str">
        <f t="shared" si="98"/>
        <v>AUG</v>
      </c>
      <c r="C3187" s="21">
        <v>46243</v>
      </c>
      <c r="D3187" s="22" t="s">
        <v>59</v>
      </c>
      <c r="E3187" s="20" t="str">
        <f>IFERROR(VLOOKUP(I3187,KET!$B:$F,4,0),"")</f>
        <v>SUPRIYATI</v>
      </c>
      <c r="F3187" s="20" t="s">
        <v>42</v>
      </c>
      <c r="G3187" s="20">
        <f>IFERROR(INDEX('Kode Outlet dan Target Toko'!$C:$C,MATCH($I3187,'Kode Outlet dan Target Toko'!$E:$E,0)),0)</f>
        <v>103222</v>
      </c>
      <c r="H3187" s="20">
        <f>IFERROR(INDEX('Kode Outlet dan Target Toko'!$D:$D,MATCH($I3187,'Kode Outlet dan Target Toko'!$E:$E,0)),0)</f>
        <v>106437</v>
      </c>
      <c r="I3187" s="42" t="s">
        <v>104</v>
      </c>
      <c r="J3187" s="56" t="s">
        <v>207</v>
      </c>
      <c r="K3187" s="40" t="s">
        <v>15</v>
      </c>
      <c r="L3187" s="26">
        <v>3000</v>
      </c>
      <c r="M3187" s="26">
        <v>60</v>
      </c>
      <c r="N3187" s="25">
        <f t="shared" si="99"/>
        <v>180000</v>
      </c>
      <c r="O3187" s="56"/>
    </row>
    <row r="3188" spans="1:15" hidden="1" x14ac:dyDescent="0.3">
      <c r="A3188" s="26">
        <v>32</v>
      </c>
      <c r="B3188" s="20" t="str">
        <f t="shared" si="98"/>
        <v>AUG</v>
      </c>
      <c r="C3188" s="21">
        <v>46243</v>
      </c>
      <c r="D3188" s="22" t="s">
        <v>59</v>
      </c>
      <c r="E3188" s="20" t="str">
        <f>IFERROR(VLOOKUP(I3188,KET!$B:$F,4,0),"")</f>
        <v>SUPRIYATI</v>
      </c>
      <c r="F3188" s="20" t="s">
        <v>42</v>
      </c>
      <c r="G3188" s="20">
        <f>IFERROR(INDEX('Kode Outlet dan Target Toko'!$C:$C,MATCH($I3188,'Kode Outlet dan Target Toko'!$E:$E,0)),0)</f>
        <v>103222</v>
      </c>
      <c r="H3188" s="20">
        <f>IFERROR(INDEX('Kode Outlet dan Target Toko'!$D:$D,MATCH($I3188,'Kode Outlet dan Target Toko'!$E:$E,0)),0)</f>
        <v>106437</v>
      </c>
      <c r="I3188" s="42" t="s">
        <v>104</v>
      </c>
      <c r="J3188" s="56" t="s">
        <v>207</v>
      </c>
      <c r="K3188" s="40" t="s">
        <v>14</v>
      </c>
      <c r="L3188" s="26">
        <v>3000</v>
      </c>
      <c r="M3188" s="26">
        <v>58</v>
      </c>
      <c r="N3188" s="25">
        <f t="shared" si="99"/>
        <v>174000</v>
      </c>
      <c r="O3188" s="56"/>
    </row>
    <row r="3189" spans="1:15" hidden="1" x14ac:dyDescent="0.3">
      <c r="A3189" s="26">
        <v>32</v>
      </c>
      <c r="B3189" s="20" t="str">
        <f t="shared" si="98"/>
        <v>AUG</v>
      </c>
      <c r="C3189" s="21">
        <v>46243</v>
      </c>
      <c r="D3189" s="22" t="s">
        <v>59</v>
      </c>
      <c r="E3189" s="20" t="str">
        <f>IFERROR(VLOOKUP(I3189,KET!$B:$F,4,0),"")</f>
        <v>SUPRIYATI</v>
      </c>
      <c r="F3189" s="20" t="s">
        <v>42</v>
      </c>
      <c r="G3189" s="20">
        <f>IFERROR(INDEX('Kode Outlet dan Target Toko'!$C:$C,MATCH($I3189,'Kode Outlet dan Target Toko'!$E:$E,0)),0)</f>
        <v>103222</v>
      </c>
      <c r="H3189" s="20">
        <f>IFERROR(INDEX('Kode Outlet dan Target Toko'!$D:$D,MATCH($I3189,'Kode Outlet dan Target Toko'!$E:$E,0)),0)</f>
        <v>106437</v>
      </c>
      <c r="I3189" s="42" t="s">
        <v>104</v>
      </c>
      <c r="J3189" s="56" t="s">
        <v>207</v>
      </c>
      <c r="K3189" s="40" t="s">
        <v>13</v>
      </c>
      <c r="L3189" s="26">
        <v>3000</v>
      </c>
      <c r="M3189" s="26">
        <v>0</v>
      </c>
      <c r="N3189" s="25">
        <f t="shared" si="99"/>
        <v>0</v>
      </c>
      <c r="O3189" s="56"/>
    </row>
    <row r="3190" spans="1:15" hidden="1" x14ac:dyDescent="0.3">
      <c r="A3190" s="26">
        <v>32</v>
      </c>
      <c r="B3190" s="20" t="str">
        <f t="shared" si="98"/>
        <v>AUG</v>
      </c>
      <c r="C3190" s="21">
        <v>46243</v>
      </c>
      <c r="D3190" s="22" t="s">
        <v>59</v>
      </c>
      <c r="E3190" s="20" t="str">
        <f>IFERROR(VLOOKUP(I3190,KET!$B:$F,4,0),"")</f>
        <v>SUPRIYATI</v>
      </c>
      <c r="F3190" s="20" t="s">
        <v>42</v>
      </c>
      <c r="G3190" s="20">
        <f>IFERROR(INDEX('Kode Outlet dan Target Toko'!$C:$C,MATCH($I3190,'Kode Outlet dan Target Toko'!$E:$E,0)),0)</f>
        <v>103222</v>
      </c>
      <c r="H3190" s="20">
        <f>IFERROR(INDEX('Kode Outlet dan Target Toko'!$D:$D,MATCH($I3190,'Kode Outlet dan Target Toko'!$E:$E,0)),0)</f>
        <v>106437</v>
      </c>
      <c r="I3190" s="42" t="s">
        <v>104</v>
      </c>
      <c r="J3190" s="56" t="s">
        <v>207</v>
      </c>
      <c r="K3190" s="40" t="s">
        <v>16</v>
      </c>
      <c r="L3190" s="26">
        <v>3000</v>
      </c>
      <c r="M3190" s="26">
        <v>73</v>
      </c>
      <c r="N3190" s="25">
        <f t="shared" si="99"/>
        <v>219000</v>
      </c>
      <c r="O3190" s="56">
        <v>160</v>
      </c>
    </row>
    <row r="3191" spans="1:15" hidden="1" x14ac:dyDescent="0.3">
      <c r="A3191" s="26">
        <v>32</v>
      </c>
      <c r="B3191" s="20" t="str">
        <f t="shared" si="98"/>
        <v>AUG</v>
      </c>
      <c r="C3191" s="21">
        <v>46243</v>
      </c>
      <c r="D3191" s="22" t="s">
        <v>59</v>
      </c>
      <c r="E3191" s="20" t="str">
        <f>IFERROR(VLOOKUP(I3191,KET!$B:$F,4,0),"")</f>
        <v>SUPRIYATI</v>
      </c>
      <c r="F3191" s="20" t="s">
        <v>42</v>
      </c>
      <c r="G3191" s="20">
        <f>IFERROR(INDEX('Kode Outlet dan Target Toko'!$C:$C,MATCH($I3191,'Kode Outlet dan Target Toko'!$E:$E,0)),0)</f>
        <v>103222</v>
      </c>
      <c r="H3191" s="20">
        <f>IFERROR(INDEX('Kode Outlet dan Target Toko'!$D:$D,MATCH($I3191,'Kode Outlet dan Target Toko'!$E:$E,0)),0)</f>
        <v>106437</v>
      </c>
      <c r="I3191" s="42" t="s">
        <v>104</v>
      </c>
      <c r="J3191" s="56" t="s">
        <v>208</v>
      </c>
      <c r="K3191" s="40" t="s">
        <v>15</v>
      </c>
      <c r="L3191" s="26">
        <v>3000</v>
      </c>
      <c r="M3191" s="26">
        <v>60</v>
      </c>
      <c r="N3191" s="25">
        <f t="shared" si="99"/>
        <v>180000</v>
      </c>
      <c r="O3191" s="56"/>
    </row>
    <row r="3192" spans="1:15" hidden="1" x14ac:dyDescent="0.3">
      <c r="A3192" s="26">
        <v>32</v>
      </c>
      <c r="B3192" s="20" t="str">
        <f t="shared" si="98"/>
        <v>AUG</v>
      </c>
      <c r="C3192" s="21">
        <v>46243</v>
      </c>
      <c r="D3192" s="22" t="s">
        <v>59</v>
      </c>
      <c r="E3192" s="20" t="str">
        <f>IFERROR(VLOOKUP(I3192,KET!$B:$F,4,0),"")</f>
        <v>SUPRIYATI</v>
      </c>
      <c r="F3192" s="20" t="s">
        <v>42</v>
      </c>
      <c r="G3192" s="20">
        <f>IFERROR(INDEX('Kode Outlet dan Target Toko'!$C:$C,MATCH($I3192,'Kode Outlet dan Target Toko'!$E:$E,0)),0)</f>
        <v>103222</v>
      </c>
      <c r="H3192" s="20">
        <f>IFERROR(INDEX('Kode Outlet dan Target Toko'!$D:$D,MATCH($I3192,'Kode Outlet dan Target Toko'!$E:$E,0)),0)</f>
        <v>106437</v>
      </c>
      <c r="I3192" s="42" t="s">
        <v>104</v>
      </c>
      <c r="J3192" s="56" t="s">
        <v>208</v>
      </c>
      <c r="K3192" s="40" t="s">
        <v>14</v>
      </c>
      <c r="L3192" s="26">
        <v>3000</v>
      </c>
      <c r="M3192" s="26">
        <v>57</v>
      </c>
      <c r="N3192" s="25">
        <f t="shared" si="99"/>
        <v>171000</v>
      </c>
      <c r="O3192" s="56"/>
    </row>
    <row r="3193" spans="1:15" hidden="1" x14ac:dyDescent="0.3">
      <c r="A3193" s="26">
        <v>32</v>
      </c>
      <c r="B3193" s="20" t="str">
        <f t="shared" si="98"/>
        <v>AUG</v>
      </c>
      <c r="C3193" s="21">
        <v>46243</v>
      </c>
      <c r="D3193" s="22" t="s">
        <v>59</v>
      </c>
      <c r="E3193" s="20" t="str">
        <f>IFERROR(VLOOKUP(I3193,KET!$B:$F,4,0),"")</f>
        <v>SUPRIYATI</v>
      </c>
      <c r="F3193" s="20" t="s">
        <v>42</v>
      </c>
      <c r="G3193" s="20">
        <f>IFERROR(INDEX('Kode Outlet dan Target Toko'!$C:$C,MATCH($I3193,'Kode Outlet dan Target Toko'!$E:$E,0)),0)</f>
        <v>103222</v>
      </c>
      <c r="H3193" s="20">
        <f>IFERROR(INDEX('Kode Outlet dan Target Toko'!$D:$D,MATCH($I3193,'Kode Outlet dan Target Toko'!$E:$E,0)),0)</f>
        <v>106437</v>
      </c>
      <c r="I3193" s="42" t="s">
        <v>104</v>
      </c>
      <c r="J3193" s="56" t="s">
        <v>208</v>
      </c>
      <c r="K3193" s="40" t="s">
        <v>13</v>
      </c>
      <c r="L3193" s="26">
        <v>3000</v>
      </c>
      <c r="M3193" s="26">
        <v>0</v>
      </c>
      <c r="N3193" s="25">
        <f t="shared" si="99"/>
        <v>0</v>
      </c>
      <c r="O3193" s="56"/>
    </row>
    <row r="3194" spans="1:15" hidden="1" x14ac:dyDescent="0.3">
      <c r="A3194" s="26">
        <v>32</v>
      </c>
      <c r="B3194" s="20" t="str">
        <f t="shared" si="98"/>
        <v>AUG</v>
      </c>
      <c r="C3194" s="21">
        <v>46243</v>
      </c>
      <c r="D3194" s="22" t="s">
        <v>59</v>
      </c>
      <c r="E3194" s="20" t="str">
        <f>IFERROR(VLOOKUP(I3194,KET!$B:$F,4,0),"")</f>
        <v>SUPRIYATI</v>
      </c>
      <c r="F3194" s="20" t="s">
        <v>42</v>
      </c>
      <c r="G3194" s="20">
        <f>IFERROR(INDEX('Kode Outlet dan Target Toko'!$C:$C,MATCH($I3194,'Kode Outlet dan Target Toko'!$E:$E,0)),0)</f>
        <v>103222</v>
      </c>
      <c r="H3194" s="20">
        <f>IFERROR(INDEX('Kode Outlet dan Target Toko'!$D:$D,MATCH($I3194,'Kode Outlet dan Target Toko'!$E:$E,0)),0)</f>
        <v>106437</v>
      </c>
      <c r="I3194" s="42" t="s">
        <v>104</v>
      </c>
      <c r="J3194" s="56" t="s">
        <v>208</v>
      </c>
      <c r="K3194" s="40" t="s">
        <v>16</v>
      </c>
      <c r="L3194" s="26">
        <v>3000</v>
      </c>
      <c r="M3194" s="26">
        <v>72</v>
      </c>
      <c r="N3194" s="25">
        <f t="shared" si="99"/>
        <v>216000</v>
      </c>
      <c r="O3194" s="56">
        <v>160</v>
      </c>
    </row>
    <row r="3195" spans="1:15" hidden="1" x14ac:dyDescent="0.3">
      <c r="A3195" s="26">
        <v>32</v>
      </c>
      <c r="B3195" s="20" t="str">
        <f t="shared" si="98"/>
        <v>AUG</v>
      </c>
      <c r="C3195" s="21">
        <v>46241</v>
      </c>
      <c r="D3195" s="22" t="s">
        <v>82</v>
      </c>
      <c r="E3195" s="20" t="str">
        <f>IFERROR(VLOOKUP(I3195,KET!$B:$F,4,0),"")</f>
        <v>INDRI</v>
      </c>
      <c r="F3195" s="20" t="s">
        <v>42</v>
      </c>
      <c r="G3195" s="20">
        <f>IFERROR(INDEX('Kode Outlet dan Target Toko'!$C:$C,MATCH($I3195,'Kode Outlet dan Target Toko'!$E:$E,0)),0)</f>
        <v>211074</v>
      </c>
      <c r="H3195" s="20">
        <f>IFERROR(INDEX('Kode Outlet dan Target Toko'!$D:$D,MATCH($I3195,'Kode Outlet dan Target Toko'!$E:$E,0)),0)</f>
        <v>2217375</v>
      </c>
      <c r="I3195" s="42" t="s">
        <v>85</v>
      </c>
      <c r="J3195" s="56" t="s">
        <v>209</v>
      </c>
      <c r="K3195" s="40" t="s">
        <v>15</v>
      </c>
      <c r="L3195" s="26">
        <v>3200</v>
      </c>
      <c r="M3195" s="26">
        <v>48</v>
      </c>
      <c r="N3195" s="25">
        <f t="shared" si="99"/>
        <v>153600</v>
      </c>
      <c r="O3195" s="56"/>
    </row>
    <row r="3196" spans="1:15" hidden="1" x14ac:dyDescent="0.3">
      <c r="A3196" s="26">
        <v>32</v>
      </c>
      <c r="B3196" s="20" t="str">
        <f t="shared" si="98"/>
        <v>AUG</v>
      </c>
      <c r="C3196" s="21">
        <v>46241</v>
      </c>
      <c r="D3196" s="22" t="s">
        <v>82</v>
      </c>
      <c r="E3196" s="20" t="str">
        <f>IFERROR(VLOOKUP(I3196,KET!$B:$F,4,0),"")</f>
        <v>INDRI</v>
      </c>
      <c r="F3196" s="20" t="s">
        <v>42</v>
      </c>
      <c r="G3196" s="20">
        <f>IFERROR(INDEX('Kode Outlet dan Target Toko'!$C:$C,MATCH($I3196,'Kode Outlet dan Target Toko'!$E:$E,0)),0)</f>
        <v>211074</v>
      </c>
      <c r="H3196" s="20">
        <f>IFERROR(INDEX('Kode Outlet dan Target Toko'!$D:$D,MATCH($I3196,'Kode Outlet dan Target Toko'!$E:$E,0)),0)</f>
        <v>2217375</v>
      </c>
      <c r="I3196" s="42" t="s">
        <v>85</v>
      </c>
      <c r="J3196" s="56" t="s">
        <v>209</v>
      </c>
      <c r="K3196" s="40" t="s">
        <v>14</v>
      </c>
      <c r="L3196" s="26">
        <v>3200</v>
      </c>
      <c r="M3196" s="26">
        <v>62</v>
      </c>
      <c r="N3196" s="25">
        <f t="shared" si="99"/>
        <v>198400</v>
      </c>
      <c r="O3196" s="56"/>
    </row>
    <row r="3197" spans="1:15" hidden="1" x14ac:dyDescent="0.3">
      <c r="A3197" s="26">
        <v>32</v>
      </c>
      <c r="B3197" s="20" t="str">
        <f t="shared" si="98"/>
        <v>AUG</v>
      </c>
      <c r="C3197" s="21">
        <v>46241</v>
      </c>
      <c r="D3197" s="22" t="s">
        <v>82</v>
      </c>
      <c r="E3197" s="20" t="str">
        <f>IFERROR(VLOOKUP(I3197,KET!$B:$F,4,0),"")</f>
        <v>INDRI</v>
      </c>
      <c r="F3197" s="20" t="s">
        <v>42</v>
      </c>
      <c r="G3197" s="20">
        <f>IFERROR(INDEX('Kode Outlet dan Target Toko'!$C:$C,MATCH($I3197,'Kode Outlet dan Target Toko'!$E:$E,0)),0)</f>
        <v>211074</v>
      </c>
      <c r="H3197" s="20">
        <f>IFERROR(INDEX('Kode Outlet dan Target Toko'!$D:$D,MATCH($I3197,'Kode Outlet dan Target Toko'!$E:$E,0)),0)</f>
        <v>2217375</v>
      </c>
      <c r="I3197" s="42" t="s">
        <v>85</v>
      </c>
      <c r="J3197" s="56" t="s">
        <v>209</v>
      </c>
      <c r="K3197" s="40" t="s">
        <v>13</v>
      </c>
      <c r="L3197" s="26">
        <v>3200</v>
      </c>
      <c r="M3197" s="26">
        <v>12</v>
      </c>
      <c r="N3197" s="25">
        <f t="shared" si="99"/>
        <v>38400</v>
      </c>
      <c r="O3197" s="56"/>
    </row>
    <row r="3198" spans="1:15" hidden="1" x14ac:dyDescent="0.3">
      <c r="A3198" s="26">
        <v>32</v>
      </c>
      <c r="B3198" s="20" t="str">
        <f t="shared" si="98"/>
        <v>AUG</v>
      </c>
      <c r="C3198" s="21">
        <v>46241</v>
      </c>
      <c r="D3198" s="22" t="s">
        <v>82</v>
      </c>
      <c r="E3198" s="20" t="str">
        <f>IFERROR(VLOOKUP(I3198,KET!$B:$F,4,0),"")</f>
        <v>INDRI</v>
      </c>
      <c r="F3198" s="20" t="s">
        <v>42</v>
      </c>
      <c r="G3198" s="20">
        <f>IFERROR(INDEX('Kode Outlet dan Target Toko'!$C:$C,MATCH($I3198,'Kode Outlet dan Target Toko'!$E:$E,0)),0)</f>
        <v>211074</v>
      </c>
      <c r="H3198" s="20">
        <f>IFERROR(INDEX('Kode Outlet dan Target Toko'!$D:$D,MATCH($I3198,'Kode Outlet dan Target Toko'!$E:$E,0)),0)</f>
        <v>2217375</v>
      </c>
      <c r="I3198" s="42" t="s">
        <v>85</v>
      </c>
      <c r="J3198" s="56" t="s">
        <v>209</v>
      </c>
      <c r="K3198" s="40" t="s">
        <v>16</v>
      </c>
      <c r="L3198" s="26">
        <v>3200</v>
      </c>
      <c r="M3198" s="26">
        <v>112</v>
      </c>
      <c r="N3198" s="25">
        <f t="shared" si="99"/>
        <v>358400</v>
      </c>
      <c r="O3198" s="56">
        <v>160</v>
      </c>
    </row>
    <row r="3199" spans="1:15" hidden="1" x14ac:dyDescent="0.3">
      <c r="A3199" s="26">
        <v>32</v>
      </c>
      <c r="B3199" s="20" t="str">
        <f t="shared" si="98"/>
        <v>AUG</v>
      </c>
      <c r="C3199" s="21">
        <v>46241</v>
      </c>
      <c r="D3199" s="22" t="s">
        <v>82</v>
      </c>
      <c r="E3199" s="20" t="str">
        <f>IFERROR(VLOOKUP(I3199,KET!$B:$F,4,0),"")</f>
        <v>INDRI</v>
      </c>
      <c r="F3199" s="20" t="s">
        <v>42</v>
      </c>
      <c r="G3199" s="20">
        <f>IFERROR(INDEX('Kode Outlet dan Target Toko'!$C:$C,MATCH($I3199,'Kode Outlet dan Target Toko'!$E:$E,0)),0)</f>
        <v>211074</v>
      </c>
      <c r="H3199" s="20">
        <f>IFERROR(INDEX('Kode Outlet dan Target Toko'!$D:$D,MATCH($I3199,'Kode Outlet dan Target Toko'!$E:$E,0)),0)</f>
        <v>2217375</v>
      </c>
      <c r="I3199" s="42" t="s">
        <v>85</v>
      </c>
      <c r="J3199" s="56" t="s">
        <v>210</v>
      </c>
      <c r="K3199" s="40" t="s">
        <v>15</v>
      </c>
      <c r="L3199" s="26">
        <v>3200</v>
      </c>
      <c r="M3199" s="26">
        <v>48</v>
      </c>
      <c r="N3199" s="25">
        <f t="shared" si="99"/>
        <v>153600</v>
      </c>
      <c r="O3199" s="56"/>
    </row>
    <row r="3200" spans="1:15" hidden="1" x14ac:dyDescent="0.3">
      <c r="A3200" s="26">
        <v>32</v>
      </c>
      <c r="B3200" s="20" t="str">
        <f t="shared" si="98"/>
        <v>AUG</v>
      </c>
      <c r="C3200" s="21">
        <v>46241</v>
      </c>
      <c r="D3200" s="22" t="s">
        <v>82</v>
      </c>
      <c r="E3200" s="20" t="str">
        <f>IFERROR(VLOOKUP(I3200,KET!$B:$F,4,0),"")</f>
        <v>INDRI</v>
      </c>
      <c r="F3200" s="20" t="s">
        <v>42</v>
      </c>
      <c r="G3200" s="20">
        <f>IFERROR(INDEX('Kode Outlet dan Target Toko'!$C:$C,MATCH($I3200,'Kode Outlet dan Target Toko'!$E:$E,0)),0)</f>
        <v>211074</v>
      </c>
      <c r="H3200" s="20">
        <f>IFERROR(INDEX('Kode Outlet dan Target Toko'!$D:$D,MATCH($I3200,'Kode Outlet dan Target Toko'!$E:$E,0)),0)</f>
        <v>2217375</v>
      </c>
      <c r="I3200" s="42" t="s">
        <v>85</v>
      </c>
      <c r="J3200" s="56" t="s">
        <v>210</v>
      </c>
      <c r="K3200" s="40" t="s">
        <v>14</v>
      </c>
      <c r="L3200" s="26">
        <v>3200</v>
      </c>
      <c r="M3200" s="26">
        <v>62</v>
      </c>
      <c r="N3200" s="25">
        <f t="shared" si="99"/>
        <v>198400</v>
      </c>
      <c r="O3200" s="56"/>
    </row>
    <row r="3201" spans="1:15" hidden="1" x14ac:dyDescent="0.3">
      <c r="A3201" s="26">
        <v>32</v>
      </c>
      <c r="B3201" s="20" t="str">
        <f t="shared" si="98"/>
        <v>AUG</v>
      </c>
      <c r="C3201" s="21">
        <v>46241</v>
      </c>
      <c r="D3201" s="22" t="s">
        <v>82</v>
      </c>
      <c r="E3201" s="20" t="str">
        <f>IFERROR(VLOOKUP(I3201,KET!$B:$F,4,0),"")</f>
        <v>INDRI</v>
      </c>
      <c r="F3201" s="20" t="s">
        <v>42</v>
      </c>
      <c r="G3201" s="20">
        <f>IFERROR(INDEX('Kode Outlet dan Target Toko'!$C:$C,MATCH($I3201,'Kode Outlet dan Target Toko'!$E:$E,0)),0)</f>
        <v>211074</v>
      </c>
      <c r="H3201" s="20">
        <f>IFERROR(INDEX('Kode Outlet dan Target Toko'!$D:$D,MATCH($I3201,'Kode Outlet dan Target Toko'!$E:$E,0)),0)</f>
        <v>2217375</v>
      </c>
      <c r="I3201" s="42" t="s">
        <v>85</v>
      </c>
      <c r="J3201" s="56" t="s">
        <v>210</v>
      </c>
      <c r="K3201" s="40" t="s">
        <v>13</v>
      </c>
      <c r="L3201" s="26">
        <v>3200</v>
      </c>
      <c r="M3201" s="26">
        <v>12</v>
      </c>
      <c r="N3201" s="25">
        <f t="shared" si="99"/>
        <v>38400</v>
      </c>
      <c r="O3201" s="56"/>
    </row>
    <row r="3202" spans="1:15" hidden="1" x14ac:dyDescent="0.3">
      <c r="A3202" s="26">
        <v>32</v>
      </c>
      <c r="B3202" s="20" t="str">
        <f t="shared" si="98"/>
        <v>AUG</v>
      </c>
      <c r="C3202" s="21">
        <v>46241</v>
      </c>
      <c r="D3202" s="22" t="s">
        <v>82</v>
      </c>
      <c r="E3202" s="20" t="str">
        <f>IFERROR(VLOOKUP(I3202,KET!$B:$F,4,0),"")</f>
        <v>INDRI</v>
      </c>
      <c r="F3202" s="20" t="s">
        <v>42</v>
      </c>
      <c r="G3202" s="20">
        <f>IFERROR(INDEX('Kode Outlet dan Target Toko'!$C:$C,MATCH($I3202,'Kode Outlet dan Target Toko'!$E:$E,0)),0)</f>
        <v>211074</v>
      </c>
      <c r="H3202" s="20">
        <f>IFERROR(INDEX('Kode Outlet dan Target Toko'!$D:$D,MATCH($I3202,'Kode Outlet dan Target Toko'!$E:$E,0)),0)</f>
        <v>2217375</v>
      </c>
      <c r="I3202" s="42" t="s">
        <v>85</v>
      </c>
      <c r="J3202" s="56" t="s">
        <v>210</v>
      </c>
      <c r="K3202" s="40" t="s">
        <v>16</v>
      </c>
      <c r="L3202" s="26">
        <v>3200</v>
      </c>
      <c r="M3202" s="26">
        <v>112</v>
      </c>
      <c r="N3202" s="25">
        <f t="shared" si="99"/>
        <v>358400</v>
      </c>
      <c r="O3202" s="56">
        <v>160</v>
      </c>
    </row>
    <row r="3203" spans="1:15" hidden="1" x14ac:dyDescent="0.3">
      <c r="A3203" s="26">
        <v>32</v>
      </c>
      <c r="B3203" s="20" t="str">
        <f t="shared" si="98"/>
        <v>AUG</v>
      </c>
      <c r="C3203" s="21">
        <v>46242</v>
      </c>
      <c r="D3203" s="22" t="s">
        <v>82</v>
      </c>
      <c r="E3203" s="20" t="str">
        <f>IFERROR(VLOOKUP(I3203,KET!$B:$F,4,0),"")</f>
        <v>INDRI</v>
      </c>
      <c r="F3203" s="20" t="s">
        <v>42</v>
      </c>
      <c r="G3203" s="20">
        <f>IFERROR(INDEX('Kode Outlet dan Target Toko'!$C:$C,MATCH($I3203,'Kode Outlet dan Target Toko'!$E:$E,0)),0)</f>
        <v>211074</v>
      </c>
      <c r="H3203" s="20">
        <f>IFERROR(INDEX('Kode Outlet dan Target Toko'!$D:$D,MATCH($I3203,'Kode Outlet dan Target Toko'!$E:$E,0)),0)</f>
        <v>2217375</v>
      </c>
      <c r="I3203" s="42" t="s">
        <v>85</v>
      </c>
      <c r="J3203" s="56" t="s">
        <v>209</v>
      </c>
      <c r="K3203" s="40" t="s">
        <v>15</v>
      </c>
      <c r="L3203" s="26">
        <v>3200</v>
      </c>
      <c r="M3203" s="26">
        <v>26</v>
      </c>
      <c r="N3203" s="25">
        <f t="shared" si="99"/>
        <v>83200</v>
      </c>
      <c r="O3203" s="56"/>
    </row>
    <row r="3204" spans="1:15" hidden="1" x14ac:dyDescent="0.3">
      <c r="A3204" s="26">
        <v>32</v>
      </c>
      <c r="B3204" s="20" t="str">
        <f t="shared" si="98"/>
        <v>AUG</v>
      </c>
      <c r="C3204" s="21">
        <v>46242</v>
      </c>
      <c r="D3204" s="22" t="s">
        <v>82</v>
      </c>
      <c r="E3204" s="20" t="str">
        <f>IFERROR(VLOOKUP(I3204,KET!$B:$F,4,0),"")</f>
        <v>INDRI</v>
      </c>
      <c r="F3204" s="20" t="s">
        <v>42</v>
      </c>
      <c r="G3204" s="20">
        <f>IFERROR(INDEX('Kode Outlet dan Target Toko'!$C:$C,MATCH($I3204,'Kode Outlet dan Target Toko'!$E:$E,0)),0)</f>
        <v>211074</v>
      </c>
      <c r="H3204" s="20">
        <f>IFERROR(INDEX('Kode Outlet dan Target Toko'!$D:$D,MATCH($I3204,'Kode Outlet dan Target Toko'!$E:$E,0)),0)</f>
        <v>2217375</v>
      </c>
      <c r="I3204" s="42" t="s">
        <v>85</v>
      </c>
      <c r="J3204" s="56" t="s">
        <v>209</v>
      </c>
      <c r="K3204" s="40" t="s">
        <v>14</v>
      </c>
      <c r="L3204" s="26">
        <v>3200</v>
      </c>
      <c r="M3204" s="26">
        <v>24</v>
      </c>
      <c r="N3204" s="25">
        <f t="shared" si="99"/>
        <v>76800</v>
      </c>
      <c r="O3204" s="56"/>
    </row>
    <row r="3205" spans="1:15" hidden="1" x14ac:dyDescent="0.3">
      <c r="A3205" s="26">
        <v>32</v>
      </c>
      <c r="B3205" s="20" t="str">
        <f t="shared" si="98"/>
        <v>AUG</v>
      </c>
      <c r="C3205" s="21">
        <v>46242</v>
      </c>
      <c r="D3205" s="22" t="s">
        <v>82</v>
      </c>
      <c r="E3205" s="20" t="str">
        <f>IFERROR(VLOOKUP(I3205,KET!$B:$F,4,0),"")</f>
        <v>INDRI</v>
      </c>
      <c r="F3205" s="20" t="s">
        <v>42</v>
      </c>
      <c r="G3205" s="20">
        <f>IFERROR(INDEX('Kode Outlet dan Target Toko'!$C:$C,MATCH($I3205,'Kode Outlet dan Target Toko'!$E:$E,0)),0)</f>
        <v>211074</v>
      </c>
      <c r="H3205" s="20">
        <f>IFERROR(INDEX('Kode Outlet dan Target Toko'!$D:$D,MATCH($I3205,'Kode Outlet dan Target Toko'!$E:$E,0)),0)</f>
        <v>2217375</v>
      </c>
      <c r="I3205" s="42" t="s">
        <v>85</v>
      </c>
      <c r="J3205" s="56" t="s">
        <v>209</v>
      </c>
      <c r="K3205" s="40" t="s">
        <v>13</v>
      </c>
      <c r="L3205" s="26">
        <v>3200</v>
      </c>
      <c r="M3205" s="26">
        <v>12</v>
      </c>
      <c r="N3205" s="25">
        <f t="shared" si="99"/>
        <v>38400</v>
      </c>
      <c r="O3205" s="56"/>
    </row>
    <row r="3206" spans="1:15" hidden="1" x14ac:dyDescent="0.3">
      <c r="A3206" s="26">
        <v>32</v>
      </c>
      <c r="B3206" s="20" t="str">
        <f t="shared" si="98"/>
        <v>AUG</v>
      </c>
      <c r="C3206" s="21">
        <v>46242</v>
      </c>
      <c r="D3206" s="22" t="s">
        <v>82</v>
      </c>
      <c r="E3206" s="20" t="str">
        <f>IFERROR(VLOOKUP(I3206,KET!$B:$F,4,0),"")</f>
        <v>INDRI</v>
      </c>
      <c r="F3206" s="20" t="s">
        <v>42</v>
      </c>
      <c r="G3206" s="20">
        <f>IFERROR(INDEX('Kode Outlet dan Target Toko'!$C:$C,MATCH($I3206,'Kode Outlet dan Target Toko'!$E:$E,0)),0)</f>
        <v>211074</v>
      </c>
      <c r="H3206" s="20">
        <f>IFERROR(INDEX('Kode Outlet dan Target Toko'!$D:$D,MATCH($I3206,'Kode Outlet dan Target Toko'!$E:$E,0)),0)</f>
        <v>2217375</v>
      </c>
      <c r="I3206" s="42" t="s">
        <v>85</v>
      </c>
      <c r="J3206" s="56" t="s">
        <v>209</v>
      </c>
      <c r="K3206" s="40" t="s">
        <v>16</v>
      </c>
      <c r="L3206" s="26">
        <v>3200</v>
      </c>
      <c r="M3206" s="26">
        <v>109</v>
      </c>
      <c r="N3206" s="25">
        <f t="shared" si="99"/>
        <v>348800</v>
      </c>
      <c r="O3206" s="56">
        <v>160</v>
      </c>
    </row>
    <row r="3207" spans="1:15" hidden="1" x14ac:dyDescent="0.3">
      <c r="A3207" s="26">
        <v>32</v>
      </c>
      <c r="B3207" s="20" t="str">
        <f t="shared" ref="B3207:B3270" si="100">IF(C3207="","",UPPER(TEXT(C3207, "MMM")))</f>
        <v>AUG</v>
      </c>
      <c r="C3207" s="21">
        <v>46242</v>
      </c>
      <c r="D3207" s="22" t="s">
        <v>82</v>
      </c>
      <c r="E3207" s="20" t="str">
        <f>IFERROR(VLOOKUP(I3207,KET!$B:$F,4,0),"")</f>
        <v>INDRI</v>
      </c>
      <c r="F3207" s="20" t="s">
        <v>42</v>
      </c>
      <c r="G3207" s="20">
        <f>IFERROR(INDEX('Kode Outlet dan Target Toko'!$C:$C,MATCH($I3207,'Kode Outlet dan Target Toko'!$E:$E,0)),0)</f>
        <v>211074</v>
      </c>
      <c r="H3207" s="20">
        <f>IFERROR(INDEX('Kode Outlet dan Target Toko'!$D:$D,MATCH($I3207,'Kode Outlet dan Target Toko'!$E:$E,0)),0)</f>
        <v>2217375</v>
      </c>
      <c r="I3207" s="42" t="s">
        <v>85</v>
      </c>
      <c r="J3207" s="56" t="s">
        <v>210</v>
      </c>
      <c r="K3207" s="40" t="s">
        <v>15</v>
      </c>
      <c r="L3207" s="26">
        <v>3200</v>
      </c>
      <c r="M3207" s="26">
        <v>26</v>
      </c>
      <c r="N3207" s="25">
        <f t="shared" ref="N3207:N3270" si="101">IFERROR(M3207*L3207,"")</f>
        <v>83200</v>
      </c>
      <c r="O3207" s="56"/>
    </row>
    <row r="3208" spans="1:15" hidden="1" x14ac:dyDescent="0.3">
      <c r="A3208" s="26">
        <v>32</v>
      </c>
      <c r="B3208" s="20" t="str">
        <f t="shared" si="100"/>
        <v>AUG</v>
      </c>
      <c r="C3208" s="21">
        <v>46242</v>
      </c>
      <c r="D3208" s="22" t="s">
        <v>82</v>
      </c>
      <c r="E3208" s="20" t="str">
        <f>IFERROR(VLOOKUP(I3208,KET!$B:$F,4,0),"")</f>
        <v>INDRI</v>
      </c>
      <c r="F3208" s="20" t="s">
        <v>42</v>
      </c>
      <c r="G3208" s="20">
        <f>IFERROR(INDEX('Kode Outlet dan Target Toko'!$C:$C,MATCH($I3208,'Kode Outlet dan Target Toko'!$E:$E,0)),0)</f>
        <v>211074</v>
      </c>
      <c r="H3208" s="20">
        <f>IFERROR(INDEX('Kode Outlet dan Target Toko'!$D:$D,MATCH($I3208,'Kode Outlet dan Target Toko'!$E:$E,0)),0)</f>
        <v>2217375</v>
      </c>
      <c r="I3208" s="42" t="s">
        <v>85</v>
      </c>
      <c r="J3208" s="56" t="s">
        <v>210</v>
      </c>
      <c r="K3208" s="40" t="s">
        <v>14</v>
      </c>
      <c r="L3208" s="26">
        <v>3200</v>
      </c>
      <c r="M3208" s="26">
        <v>24</v>
      </c>
      <c r="N3208" s="25">
        <f t="shared" si="101"/>
        <v>76800</v>
      </c>
      <c r="O3208" s="56"/>
    </row>
    <row r="3209" spans="1:15" hidden="1" x14ac:dyDescent="0.3">
      <c r="A3209" s="26">
        <v>32</v>
      </c>
      <c r="B3209" s="20" t="str">
        <f t="shared" si="100"/>
        <v>AUG</v>
      </c>
      <c r="C3209" s="21">
        <v>46242</v>
      </c>
      <c r="D3209" s="22" t="s">
        <v>82</v>
      </c>
      <c r="E3209" s="20" t="str">
        <f>IFERROR(VLOOKUP(I3209,KET!$B:$F,4,0),"")</f>
        <v>INDRI</v>
      </c>
      <c r="F3209" s="20" t="s">
        <v>42</v>
      </c>
      <c r="G3209" s="20">
        <f>IFERROR(INDEX('Kode Outlet dan Target Toko'!$C:$C,MATCH($I3209,'Kode Outlet dan Target Toko'!$E:$E,0)),0)</f>
        <v>211074</v>
      </c>
      <c r="H3209" s="20">
        <f>IFERROR(INDEX('Kode Outlet dan Target Toko'!$D:$D,MATCH($I3209,'Kode Outlet dan Target Toko'!$E:$E,0)),0)</f>
        <v>2217375</v>
      </c>
      <c r="I3209" s="42" t="s">
        <v>85</v>
      </c>
      <c r="J3209" s="56" t="s">
        <v>210</v>
      </c>
      <c r="K3209" s="40" t="s">
        <v>13</v>
      </c>
      <c r="L3209" s="26">
        <v>3200</v>
      </c>
      <c r="M3209" s="26">
        <v>12</v>
      </c>
      <c r="N3209" s="25">
        <f t="shared" si="101"/>
        <v>38400</v>
      </c>
      <c r="O3209" s="56"/>
    </row>
    <row r="3210" spans="1:15" hidden="1" x14ac:dyDescent="0.3">
      <c r="A3210" s="26">
        <v>32</v>
      </c>
      <c r="B3210" s="20" t="str">
        <f t="shared" si="100"/>
        <v>AUG</v>
      </c>
      <c r="C3210" s="21">
        <v>46242</v>
      </c>
      <c r="D3210" s="22" t="s">
        <v>82</v>
      </c>
      <c r="E3210" s="20" t="str">
        <f>IFERROR(VLOOKUP(I3210,KET!$B:$F,4,0),"")</f>
        <v>INDRI</v>
      </c>
      <c r="F3210" s="20" t="s">
        <v>42</v>
      </c>
      <c r="G3210" s="20">
        <f>IFERROR(INDEX('Kode Outlet dan Target Toko'!$C:$C,MATCH($I3210,'Kode Outlet dan Target Toko'!$E:$E,0)),0)</f>
        <v>211074</v>
      </c>
      <c r="H3210" s="20">
        <f>IFERROR(INDEX('Kode Outlet dan Target Toko'!$D:$D,MATCH($I3210,'Kode Outlet dan Target Toko'!$E:$E,0)),0)</f>
        <v>2217375</v>
      </c>
      <c r="I3210" s="42" t="s">
        <v>85</v>
      </c>
      <c r="J3210" s="56" t="s">
        <v>210</v>
      </c>
      <c r="K3210" s="40" t="s">
        <v>16</v>
      </c>
      <c r="L3210" s="26">
        <v>3200</v>
      </c>
      <c r="M3210" s="26">
        <v>109</v>
      </c>
      <c r="N3210" s="25">
        <f t="shared" si="101"/>
        <v>348800</v>
      </c>
      <c r="O3210" s="56">
        <v>160</v>
      </c>
    </row>
    <row r="3211" spans="1:15" hidden="1" x14ac:dyDescent="0.3">
      <c r="A3211" s="26">
        <v>32</v>
      </c>
      <c r="B3211" s="20" t="str">
        <f t="shared" si="100"/>
        <v>AUG</v>
      </c>
      <c r="C3211" s="21">
        <v>46242</v>
      </c>
      <c r="D3211" s="22" t="s">
        <v>82</v>
      </c>
      <c r="E3211" s="20" t="str">
        <f>IFERROR(VLOOKUP(I3211,KET!$B:$F,4,0),"")</f>
        <v>INDRI</v>
      </c>
      <c r="F3211" s="20" t="s">
        <v>42</v>
      </c>
      <c r="G3211" s="20">
        <f>IFERROR(INDEX('Kode Outlet dan Target Toko'!$C:$C,MATCH($I3211,'Kode Outlet dan Target Toko'!$E:$E,0)),0)</f>
        <v>103240</v>
      </c>
      <c r="H3211" s="20">
        <f>IFERROR(INDEX('Kode Outlet dan Target Toko'!$D:$D,MATCH($I3211,'Kode Outlet dan Target Toko'!$E:$E,0)),0)</f>
        <v>7112059</v>
      </c>
      <c r="I3211" s="42" t="s">
        <v>116</v>
      </c>
      <c r="J3211" s="56" t="s">
        <v>212</v>
      </c>
      <c r="K3211" s="40" t="s">
        <v>15</v>
      </c>
      <c r="L3211" s="26">
        <v>3200</v>
      </c>
      <c r="M3211" s="26">
        <v>192</v>
      </c>
      <c r="N3211" s="25">
        <f t="shared" si="101"/>
        <v>614400</v>
      </c>
      <c r="O3211" s="56"/>
    </row>
    <row r="3212" spans="1:15" hidden="1" x14ac:dyDescent="0.3">
      <c r="A3212" s="26">
        <v>32</v>
      </c>
      <c r="B3212" s="20" t="str">
        <f t="shared" si="100"/>
        <v>AUG</v>
      </c>
      <c r="C3212" s="21">
        <v>46242</v>
      </c>
      <c r="D3212" s="22" t="s">
        <v>82</v>
      </c>
      <c r="E3212" s="20" t="str">
        <f>IFERROR(VLOOKUP(I3212,KET!$B:$F,4,0),"")</f>
        <v>INDRI</v>
      </c>
      <c r="F3212" s="20" t="s">
        <v>42</v>
      </c>
      <c r="G3212" s="20">
        <f>IFERROR(INDEX('Kode Outlet dan Target Toko'!$C:$C,MATCH($I3212,'Kode Outlet dan Target Toko'!$E:$E,0)),0)</f>
        <v>103240</v>
      </c>
      <c r="H3212" s="20">
        <f>IFERROR(INDEX('Kode Outlet dan Target Toko'!$D:$D,MATCH($I3212,'Kode Outlet dan Target Toko'!$E:$E,0)),0)</f>
        <v>7112059</v>
      </c>
      <c r="I3212" s="42" t="s">
        <v>116</v>
      </c>
      <c r="J3212" s="56" t="s">
        <v>212</v>
      </c>
      <c r="K3212" s="40" t="s">
        <v>14</v>
      </c>
      <c r="L3212" s="26">
        <v>3200</v>
      </c>
      <c r="M3212" s="26">
        <v>88</v>
      </c>
      <c r="N3212" s="25">
        <f t="shared" si="101"/>
        <v>281600</v>
      </c>
      <c r="O3212" s="56"/>
    </row>
    <row r="3213" spans="1:15" hidden="1" x14ac:dyDescent="0.3">
      <c r="A3213" s="26">
        <v>32</v>
      </c>
      <c r="B3213" s="20" t="str">
        <f t="shared" si="100"/>
        <v>AUG</v>
      </c>
      <c r="C3213" s="21">
        <v>46242</v>
      </c>
      <c r="D3213" s="22" t="s">
        <v>82</v>
      </c>
      <c r="E3213" s="20" t="str">
        <f>IFERROR(VLOOKUP(I3213,KET!$B:$F,4,0),"")</f>
        <v>INDRI</v>
      </c>
      <c r="F3213" s="20" t="s">
        <v>42</v>
      </c>
      <c r="G3213" s="20">
        <f>IFERROR(INDEX('Kode Outlet dan Target Toko'!$C:$C,MATCH($I3213,'Kode Outlet dan Target Toko'!$E:$E,0)),0)</f>
        <v>103240</v>
      </c>
      <c r="H3213" s="20">
        <f>IFERROR(INDEX('Kode Outlet dan Target Toko'!$D:$D,MATCH($I3213,'Kode Outlet dan Target Toko'!$E:$E,0)),0)</f>
        <v>7112059</v>
      </c>
      <c r="I3213" s="42" t="s">
        <v>116</v>
      </c>
      <c r="J3213" s="56" t="s">
        <v>212</v>
      </c>
      <c r="K3213" s="40" t="s">
        <v>13</v>
      </c>
      <c r="L3213" s="26">
        <v>3200</v>
      </c>
      <c r="M3213" s="26">
        <v>33</v>
      </c>
      <c r="N3213" s="25">
        <f t="shared" si="101"/>
        <v>105600</v>
      </c>
      <c r="O3213" s="56"/>
    </row>
    <row r="3214" spans="1:15" hidden="1" x14ac:dyDescent="0.3">
      <c r="A3214" s="26">
        <v>32</v>
      </c>
      <c r="B3214" s="20" t="str">
        <f t="shared" si="100"/>
        <v>AUG</v>
      </c>
      <c r="C3214" s="21">
        <v>46242</v>
      </c>
      <c r="D3214" s="22" t="s">
        <v>82</v>
      </c>
      <c r="E3214" s="20" t="str">
        <f>IFERROR(VLOOKUP(I3214,KET!$B:$F,4,0),"")</f>
        <v>INDRI</v>
      </c>
      <c r="F3214" s="20" t="s">
        <v>42</v>
      </c>
      <c r="G3214" s="20">
        <f>IFERROR(INDEX('Kode Outlet dan Target Toko'!$C:$C,MATCH($I3214,'Kode Outlet dan Target Toko'!$E:$E,0)),0)</f>
        <v>103240</v>
      </c>
      <c r="H3214" s="20">
        <f>IFERROR(INDEX('Kode Outlet dan Target Toko'!$D:$D,MATCH($I3214,'Kode Outlet dan Target Toko'!$E:$E,0)),0)</f>
        <v>7112059</v>
      </c>
      <c r="I3214" s="42" t="s">
        <v>116</v>
      </c>
      <c r="J3214" s="56" t="s">
        <v>212</v>
      </c>
      <c r="K3214" s="40" t="s">
        <v>16</v>
      </c>
      <c r="L3214" s="26">
        <v>3200</v>
      </c>
      <c r="M3214" s="26">
        <v>102</v>
      </c>
      <c r="N3214" s="25">
        <f t="shared" si="101"/>
        <v>326400</v>
      </c>
      <c r="O3214" s="56">
        <v>160</v>
      </c>
    </row>
    <row r="3215" spans="1:15" hidden="1" x14ac:dyDescent="0.3">
      <c r="A3215" s="26">
        <v>32</v>
      </c>
      <c r="B3215" s="20" t="str">
        <f t="shared" si="100"/>
        <v>AUG</v>
      </c>
      <c r="C3215" s="21">
        <v>46242</v>
      </c>
      <c r="D3215" s="22" t="s">
        <v>82</v>
      </c>
      <c r="E3215" s="20" t="str">
        <f>IFERROR(VLOOKUP(I3215,KET!$B:$F,4,0),"")</f>
        <v>INDRI</v>
      </c>
      <c r="F3215" s="20" t="s">
        <v>42</v>
      </c>
      <c r="G3215" s="20">
        <f>IFERROR(INDEX('Kode Outlet dan Target Toko'!$C:$C,MATCH($I3215,'Kode Outlet dan Target Toko'!$E:$E,0)),0)</f>
        <v>103240</v>
      </c>
      <c r="H3215" s="20">
        <f>IFERROR(INDEX('Kode Outlet dan Target Toko'!$D:$D,MATCH($I3215,'Kode Outlet dan Target Toko'!$E:$E,0)),0)</f>
        <v>7112059</v>
      </c>
      <c r="I3215" s="42" t="s">
        <v>116</v>
      </c>
      <c r="J3215" s="56" t="s">
        <v>213</v>
      </c>
      <c r="K3215" s="40" t="s">
        <v>15</v>
      </c>
      <c r="L3215" s="26">
        <v>3200</v>
      </c>
      <c r="M3215" s="26">
        <v>192</v>
      </c>
      <c r="N3215" s="25">
        <f t="shared" si="101"/>
        <v>614400</v>
      </c>
      <c r="O3215" s="56"/>
    </row>
    <row r="3216" spans="1:15" hidden="1" x14ac:dyDescent="0.3">
      <c r="A3216" s="26">
        <v>32</v>
      </c>
      <c r="B3216" s="20" t="str">
        <f t="shared" si="100"/>
        <v>AUG</v>
      </c>
      <c r="C3216" s="21">
        <v>46242</v>
      </c>
      <c r="D3216" s="22" t="s">
        <v>82</v>
      </c>
      <c r="E3216" s="20" t="str">
        <f>IFERROR(VLOOKUP(I3216,KET!$B:$F,4,0),"")</f>
        <v>INDRI</v>
      </c>
      <c r="F3216" s="20" t="s">
        <v>42</v>
      </c>
      <c r="G3216" s="20">
        <f>IFERROR(INDEX('Kode Outlet dan Target Toko'!$C:$C,MATCH($I3216,'Kode Outlet dan Target Toko'!$E:$E,0)),0)</f>
        <v>103240</v>
      </c>
      <c r="H3216" s="20">
        <f>IFERROR(INDEX('Kode Outlet dan Target Toko'!$D:$D,MATCH($I3216,'Kode Outlet dan Target Toko'!$E:$E,0)),0)</f>
        <v>7112059</v>
      </c>
      <c r="I3216" s="42" t="s">
        <v>116</v>
      </c>
      <c r="J3216" s="56" t="s">
        <v>213</v>
      </c>
      <c r="K3216" s="40" t="s">
        <v>14</v>
      </c>
      <c r="L3216" s="26">
        <v>3200</v>
      </c>
      <c r="M3216" s="26">
        <v>88</v>
      </c>
      <c r="N3216" s="25">
        <f t="shared" si="101"/>
        <v>281600</v>
      </c>
      <c r="O3216" s="56"/>
    </row>
    <row r="3217" spans="1:15" hidden="1" x14ac:dyDescent="0.3">
      <c r="A3217" s="26">
        <v>32</v>
      </c>
      <c r="B3217" s="20" t="str">
        <f t="shared" si="100"/>
        <v>AUG</v>
      </c>
      <c r="C3217" s="21">
        <v>46242</v>
      </c>
      <c r="D3217" s="22" t="s">
        <v>82</v>
      </c>
      <c r="E3217" s="20" t="str">
        <f>IFERROR(VLOOKUP(I3217,KET!$B:$F,4,0),"")</f>
        <v>INDRI</v>
      </c>
      <c r="F3217" s="20" t="s">
        <v>42</v>
      </c>
      <c r="G3217" s="20">
        <f>IFERROR(INDEX('Kode Outlet dan Target Toko'!$C:$C,MATCH($I3217,'Kode Outlet dan Target Toko'!$E:$E,0)),0)</f>
        <v>103240</v>
      </c>
      <c r="H3217" s="20">
        <f>IFERROR(INDEX('Kode Outlet dan Target Toko'!$D:$D,MATCH($I3217,'Kode Outlet dan Target Toko'!$E:$E,0)),0)</f>
        <v>7112059</v>
      </c>
      <c r="I3217" s="42" t="s">
        <v>116</v>
      </c>
      <c r="J3217" s="56" t="s">
        <v>213</v>
      </c>
      <c r="K3217" s="40" t="s">
        <v>13</v>
      </c>
      <c r="L3217" s="26">
        <v>3200</v>
      </c>
      <c r="M3217" s="26">
        <v>33</v>
      </c>
      <c r="N3217" s="25">
        <f t="shared" si="101"/>
        <v>105600</v>
      </c>
      <c r="O3217" s="56"/>
    </row>
    <row r="3218" spans="1:15" hidden="1" x14ac:dyDescent="0.3">
      <c r="A3218" s="26">
        <v>32</v>
      </c>
      <c r="B3218" s="20" t="str">
        <f t="shared" si="100"/>
        <v>AUG</v>
      </c>
      <c r="C3218" s="21">
        <v>46242</v>
      </c>
      <c r="D3218" s="22" t="s">
        <v>82</v>
      </c>
      <c r="E3218" s="20" t="str">
        <f>IFERROR(VLOOKUP(I3218,KET!$B:$F,4,0),"")</f>
        <v>INDRI</v>
      </c>
      <c r="F3218" s="20" t="s">
        <v>42</v>
      </c>
      <c r="G3218" s="20">
        <f>IFERROR(INDEX('Kode Outlet dan Target Toko'!$C:$C,MATCH($I3218,'Kode Outlet dan Target Toko'!$E:$E,0)),0)</f>
        <v>103240</v>
      </c>
      <c r="H3218" s="20">
        <f>IFERROR(INDEX('Kode Outlet dan Target Toko'!$D:$D,MATCH($I3218,'Kode Outlet dan Target Toko'!$E:$E,0)),0)</f>
        <v>7112059</v>
      </c>
      <c r="I3218" s="42" t="s">
        <v>116</v>
      </c>
      <c r="J3218" s="56" t="s">
        <v>213</v>
      </c>
      <c r="K3218" s="40" t="s">
        <v>16</v>
      </c>
      <c r="L3218" s="26">
        <v>3200</v>
      </c>
      <c r="M3218" s="26">
        <v>102</v>
      </c>
      <c r="N3218" s="25">
        <f t="shared" si="101"/>
        <v>326400</v>
      </c>
      <c r="O3218" s="56">
        <v>160</v>
      </c>
    </row>
    <row r="3219" spans="1:15" hidden="1" x14ac:dyDescent="0.3">
      <c r="A3219" s="26">
        <v>32</v>
      </c>
      <c r="B3219" s="20" t="str">
        <f t="shared" si="100"/>
        <v>AUG</v>
      </c>
      <c r="C3219" s="21">
        <v>46243</v>
      </c>
      <c r="D3219" s="22" t="s">
        <v>82</v>
      </c>
      <c r="E3219" s="20" t="str">
        <f>IFERROR(VLOOKUP(I3219,KET!$B:$F,4,0),"")</f>
        <v>INDRI</v>
      </c>
      <c r="F3219" s="20" t="s">
        <v>42</v>
      </c>
      <c r="G3219" s="20">
        <f>IFERROR(INDEX('Kode Outlet dan Target Toko'!$C:$C,MATCH($I3219,'Kode Outlet dan Target Toko'!$E:$E,0)),0)</f>
        <v>103240</v>
      </c>
      <c r="H3219" s="20">
        <f>IFERROR(INDEX('Kode Outlet dan Target Toko'!$D:$D,MATCH($I3219,'Kode Outlet dan Target Toko'!$E:$E,0)),0)</f>
        <v>7112059</v>
      </c>
      <c r="I3219" s="42" t="s">
        <v>116</v>
      </c>
      <c r="J3219" s="56" t="s">
        <v>212</v>
      </c>
      <c r="K3219" s="40" t="s">
        <v>15</v>
      </c>
      <c r="L3219" s="26">
        <v>3200</v>
      </c>
      <c r="M3219" s="26">
        <v>192</v>
      </c>
      <c r="N3219" s="25">
        <f t="shared" si="101"/>
        <v>614400</v>
      </c>
      <c r="O3219" s="56"/>
    </row>
    <row r="3220" spans="1:15" hidden="1" x14ac:dyDescent="0.3">
      <c r="A3220" s="26">
        <v>32</v>
      </c>
      <c r="B3220" s="20" t="str">
        <f t="shared" si="100"/>
        <v>AUG</v>
      </c>
      <c r="C3220" s="21">
        <v>46243</v>
      </c>
      <c r="D3220" s="22" t="s">
        <v>82</v>
      </c>
      <c r="E3220" s="20" t="str">
        <f>IFERROR(VLOOKUP(I3220,KET!$B:$F,4,0),"")</f>
        <v>INDRI</v>
      </c>
      <c r="F3220" s="20" t="s">
        <v>42</v>
      </c>
      <c r="G3220" s="20">
        <f>IFERROR(INDEX('Kode Outlet dan Target Toko'!$C:$C,MATCH($I3220,'Kode Outlet dan Target Toko'!$E:$E,0)),0)</f>
        <v>103240</v>
      </c>
      <c r="H3220" s="20">
        <f>IFERROR(INDEX('Kode Outlet dan Target Toko'!$D:$D,MATCH($I3220,'Kode Outlet dan Target Toko'!$E:$E,0)),0)</f>
        <v>7112059</v>
      </c>
      <c r="I3220" s="42" t="s">
        <v>116</v>
      </c>
      <c r="J3220" s="56" t="s">
        <v>212</v>
      </c>
      <c r="K3220" s="40" t="s">
        <v>14</v>
      </c>
      <c r="L3220" s="26">
        <v>3200</v>
      </c>
      <c r="M3220" s="26">
        <v>88</v>
      </c>
      <c r="N3220" s="25">
        <f t="shared" si="101"/>
        <v>281600</v>
      </c>
      <c r="O3220" s="56"/>
    </row>
    <row r="3221" spans="1:15" hidden="1" x14ac:dyDescent="0.3">
      <c r="A3221" s="26">
        <v>32</v>
      </c>
      <c r="B3221" s="20" t="str">
        <f t="shared" si="100"/>
        <v>AUG</v>
      </c>
      <c r="C3221" s="21">
        <v>46243</v>
      </c>
      <c r="D3221" s="22" t="s">
        <v>82</v>
      </c>
      <c r="E3221" s="20" t="str">
        <f>IFERROR(VLOOKUP(I3221,KET!$B:$F,4,0),"")</f>
        <v>INDRI</v>
      </c>
      <c r="F3221" s="20" t="s">
        <v>42</v>
      </c>
      <c r="G3221" s="20">
        <f>IFERROR(INDEX('Kode Outlet dan Target Toko'!$C:$C,MATCH($I3221,'Kode Outlet dan Target Toko'!$E:$E,0)),0)</f>
        <v>103240</v>
      </c>
      <c r="H3221" s="20">
        <f>IFERROR(INDEX('Kode Outlet dan Target Toko'!$D:$D,MATCH($I3221,'Kode Outlet dan Target Toko'!$E:$E,0)),0)</f>
        <v>7112059</v>
      </c>
      <c r="I3221" s="42" t="s">
        <v>116</v>
      </c>
      <c r="J3221" s="56" t="s">
        <v>212</v>
      </c>
      <c r="K3221" s="40" t="s">
        <v>13</v>
      </c>
      <c r="L3221" s="26">
        <v>3200</v>
      </c>
      <c r="M3221" s="26">
        <v>10</v>
      </c>
      <c r="N3221" s="25">
        <f t="shared" si="101"/>
        <v>32000</v>
      </c>
      <c r="O3221" s="56"/>
    </row>
    <row r="3222" spans="1:15" hidden="1" x14ac:dyDescent="0.3">
      <c r="A3222" s="26">
        <v>32</v>
      </c>
      <c r="B3222" s="20" t="str">
        <f t="shared" si="100"/>
        <v>AUG</v>
      </c>
      <c r="C3222" s="21">
        <v>46243</v>
      </c>
      <c r="D3222" s="22" t="s">
        <v>82</v>
      </c>
      <c r="E3222" s="20" t="str">
        <f>IFERROR(VLOOKUP(I3222,KET!$B:$F,4,0),"")</f>
        <v>INDRI</v>
      </c>
      <c r="F3222" s="20" t="s">
        <v>42</v>
      </c>
      <c r="G3222" s="20">
        <f>IFERROR(INDEX('Kode Outlet dan Target Toko'!$C:$C,MATCH($I3222,'Kode Outlet dan Target Toko'!$E:$E,0)),0)</f>
        <v>103240</v>
      </c>
      <c r="H3222" s="20">
        <f>IFERROR(INDEX('Kode Outlet dan Target Toko'!$D:$D,MATCH($I3222,'Kode Outlet dan Target Toko'!$E:$E,0)),0)</f>
        <v>7112059</v>
      </c>
      <c r="I3222" s="42" t="s">
        <v>116</v>
      </c>
      <c r="J3222" s="56" t="s">
        <v>212</v>
      </c>
      <c r="K3222" s="40" t="s">
        <v>16</v>
      </c>
      <c r="L3222" s="26">
        <v>3200</v>
      </c>
      <c r="M3222" s="26">
        <v>102</v>
      </c>
      <c r="N3222" s="25">
        <f t="shared" si="101"/>
        <v>326400</v>
      </c>
      <c r="O3222" s="56">
        <v>160</v>
      </c>
    </row>
    <row r="3223" spans="1:15" hidden="1" x14ac:dyDescent="0.3">
      <c r="A3223" s="26">
        <v>32</v>
      </c>
      <c r="B3223" s="20" t="str">
        <f t="shared" si="100"/>
        <v>AUG</v>
      </c>
      <c r="C3223" s="21">
        <v>46243</v>
      </c>
      <c r="D3223" s="22" t="s">
        <v>82</v>
      </c>
      <c r="E3223" s="20" t="str">
        <f>IFERROR(VLOOKUP(I3223,KET!$B:$F,4,0),"")</f>
        <v>INDRI</v>
      </c>
      <c r="F3223" s="20" t="s">
        <v>42</v>
      </c>
      <c r="G3223" s="20">
        <f>IFERROR(INDEX('Kode Outlet dan Target Toko'!$C:$C,MATCH($I3223,'Kode Outlet dan Target Toko'!$E:$E,0)),0)</f>
        <v>103240</v>
      </c>
      <c r="H3223" s="20">
        <f>IFERROR(INDEX('Kode Outlet dan Target Toko'!$D:$D,MATCH($I3223,'Kode Outlet dan Target Toko'!$E:$E,0)),0)</f>
        <v>7112059</v>
      </c>
      <c r="I3223" s="42" t="s">
        <v>116</v>
      </c>
      <c r="J3223" s="56" t="s">
        <v>213</v>
      </c>
      <c r="K3223" s="40" t="s">
        <v>15</v>
      </c>
      <c r="L3223" s="26">
        <v>3200</v>
      </c>
      <c r="M3223" s="26">
        <v>192</v>
      </c>
      <c r="N3223" s="25">
        <f t="shared" si="101"/>
        <v>614400</v>
      </c>
      <c r="O3223" s="56"/>
    </row>
    <row r="3224" spans="1:15" hidden="1" x14ac:dyDescent="0.3">
      <c r="A3224" s="26">
        <v>32</v>
      </c>
      <c r="B3224" s="20" t="str">
        <f t="shared" si="100"/>
        <v>AUG</v>
      </c>
      <c r="C3224" s="21">
        <v>46243</v>
      </c>
      <c r="D3224" s="22" t="s">
        <v>82</v>
      </c>
      <c r="E3224" s="20" t="str">
        <f>IFERROR(VLOOKUP(I3224,KET!$B:$F,4,0),"")</f>
        <v>INDRI</v>
      </c>
      <c r="F3224" s="20" t="s">
        <v>42</v>
      </c>
      <c r="G3224" s="20">
        <f>IFERROR(INDEX('Kode Outlet dan Target Toko'!$C:$C,MATCH($I3224,'Kode Outlet dan Target Toko'!$E:$E,0)),0)</f>
        <v>103240</v>
      </c>
      <c r="H3224" s="20">
        <f>IFERROR(INDEX('Kode Outlet dan Target Toko'!$D:$D,MATCH($I3224,'Kode Outlet dan Target Toko'!$E:$E,0)),0)</f>
        <v>7112059</v>
      </c>
      <c r="I3224" s="42" t="s">
        <v>116</v>
      </c>
      <c r="J3224" s="56" t="s">
        <v>213</v>
      </c>
      <c r="K3224" s="40" t="s">
        <v>14</v>
      </c>
      <c r="L3224" s="26">
        <v>3200</v>
      </c>
      <c r="M3224" s="26">
        <v>88</v>
      </c>
      <c r="N3224" s="25">
        <f t="shared" si="101"/>
        <v>281600</v>
      </c>
      <c r="O3224" s="56"/>
    </row>
    <row r="3225" spans="1:15" hidden="1" x14ac:dyDescent="0.3">
      <c r="A3225" s="26">
        <v>32</v>
      </c>
      <c r="B3225" s="20" t="str">
        <f t="shared" si="100"/>
        <v>AUG</v>
      </c>
      <c r="C3225" s="21">
        <v>46243</v>
      </c>
      <c r="D3225" s="22" t="s">
        <v>82</v>
      </c>
      <c r="E3225" s="20" t="str">
        <f>IFERROR(VLOOKUP(I3225,KET!$B:$F,4,0),"")</f>
        <v>INDRI</v>
      </c>
      <c r="F3225" s="20" t="s">
        <v>42</v>
      </c>
      <c r="G3225" s="20">
        <f>IFERROR(INDEX('Kode Outlet dan Target Toko'!$C:$C,MATCH($I3225,'Kode Outlet dan Target Toko'!$E:$E,0)),0)</f>
        <v>103240</v>
      </c>
      <c r="H3225" s="20">
        <f>IFERROR(INDEX('Kode Outlet dan Target Toko'!$D:$D,MATCH($I3225,'Kode Outlet dan Target Toko'!$E:$E,0)),0)</f>
        <v>7112059</v>
      </c>
      <c r="I3225" s="42" t="s">
        <v>116</v>
      </c>
      <c r="J3225" s="56" t="s">
        <v>213</v>
      </c>
      <c r="K3225" s="40" t="s">
        <v>13</v>
      </c>
      <c r="L3225" s="26">
        <v>3200</v>
      </c>
      <c r="M3225" s="26">
        <v>10</v>
      </c>
      <c r="N3225" s="25">
        <f t="shared" si="101"/>
        <v>32000</v>
      </c>
      <c r="O3225" s="56"/>
    </row>
    <row r="3226" spans="1:15" hidden="1" x14ac:dyDescent="0.3">
      <c r="A3226" s="26">
        <v>32</v>
      </c>
      <c r="B3226" s="20" t="str">
        <f t="shared" si="100"/>
        <v>AUG</v>
      </c>
      <c r="C3226" s="21">
        <v>46243</v>
      </c>
      <c r="D3226" s="22" t="s">
        <v>82</v>
      </c>
      <c r="E3226" s="20" t="str">
        <f>IFERROR(VLOOKUP(I3226,KET!$B:$F,4,0),"")</f>
        <v>INDRI</v>
      </c>
      <c r="F3226" s="20" t="s">
        <v>42</v>
      </c>
      <c r="G3226" s="20">
        <f>IFERROR(INDEX('Kode Outlet dan Target Toko'!$C:$C,MATCH($I3226,'Kode Outlet dan Target Toko'!$E:$E,0)),0)</f>
        <v>103240</v>
      </c>
      <c r="H3226" s="20">
        <f>IFERROR(INDEX('Kode Outlet dan Target Toko'!$D:$D,MATCH($I3226,'Kode Outlet dan Target Toko'!$E:$E,0)),0)</f>
        <v>7112059</v>
      </c>
      <c r="I3226" s="42" t="s">
        <v>116</v>
      </c>
      <c r="J3226" s="56" t="s">
        <v>213</v>
      </c>
      <c r="K3226" s="40" t="s">
        <v>16</v>
      </c>
      <c r="L3226" s="26">
        <v>3200</v>
      </c>
      <c r="M3226" s="26">
        <v>102</v>
      </c>
      <c r="N3226" s="25">
        <f t="shared" si="101"/>
        <v>326400</v>
      </c>
      <c r="O3226" s="56">
        <v>160</v>
      </c>
    </row>
    <row r="3227" spans="1:15" hidden="1" x14ac:dyDescent="0.3">
      <c r="A3227" s="26">
        <v>32</v>
      </c>
      <c r="B3227" s="20" t="str">
        <f t="shared" si="100"/>
        <v>AUG</v>
      </c>
      <c r="C3227" s="21">
        <v>46243</v>
      </c>
      <c r="D3227" s="22" t="s">
        <v>82</v>
      </c>
      <c r="E3227" s="20" t="str">
        <f>IFERROR(VLOOKUP(I3227,KET!$B:$F,4,0),"")</f>
        <v>INDRI</v>
      </c>
      <c r="F3227" s="20" t="s">
        <v>42</v>
      </c>
      <c r="G3227" s="20">
        <f>IFERROR(INDEX('Kode Outlet dan Target Toko'!$C:$C,MATCH($I3227,'Kode Outlet dan Target Toko'!$E:$E,0)),0)</f>
        <v>211074</v>
      </c>
      <c r="H3227" s="20">
        <f>IFERROR(INDEX('Kode Outlet dan Target Toko'!$D:$D,MATCH($I3227,'Kode Outlet dan Target Toko'!$E:$E,0)),0)</f>
        <v>2217375</v>
      </c>
      <c r="I3227" s="42" t="s">
        <v>85</v>
      </c>
      <c r="J3227" s="56" t="s">
        <v>209</v>
      </c>
      <c r="K3227" s="40" t="s">
        <v>15</v>
      </c>
      <c r="L3227" s="26">
        <v>3200</v>
      </c>
      <c r="M3227" s="26">
        <v>26</v>
      </c>
      <c r="N3227" s="25">
        <f t="shared" si="101"/>
        <v>83200</v>
      </c>
      <c r="O3227" s="56"/>
    </row>
    <row r="3228" spans="1:15" hidden="1" x14ac:dyDescent="0.3">
      <c r="A3228" s="26">
        <v>32</v>
      </c>
      <c r="B3228" s="20" t="str">
        <f t="shared" si="100"/>
        <v>AUG</v>
      </c>
      <c r="C3228" s="21">
        <v>46243</v>
      </c>
      <c r="D3228" s="22" t="s">
        <v>82</v>
      </c>
      <c r="E3228" s="20" t="str">
        <f>IFERROR(VLOOKUP(I3228,KET!$B:$F,4,0),"")</f>
        <v>INDRI</v>
      </c>
      <c r="F3228" s="20" t="s">
        <v>42</v>
      </c>
      <c r="G3228" s="20">
        <f>IFERROR(INDEX('Kode Outlet dan Target Toko'!$C:$C,MATCH($I3228,'Kode Outlet dan Target Toko'!$E:$E,0)),0)</f>
        <v>211074</v>
      </c>
      <c r="H3228" s="20">
        <f>IFERROR(INDEX('Kode Outlet dan Target Toko'!$D:$D,MATCH($I3228,'Kode Outlet dan Target Toko'!$E:$E,0)),0)</f>
        <v>2217375</v>
      </c>
      <c r="I3228" s="42" t="s">
        <v>85</v>
      </c>
      <c r="J3228" s="56" t="s">
        <v>209</v>
      </c>
      <c r="K3228" s="40" t="s">
        <v>14</v>
      </c>
      <c r="L3228" s="26">
        <v>3200</v>
      </c>
      <c r="M3228" s="26">
        <v>24</v>
      </c>
      <c r="N3228" s="25">
        <f t="shared" si="101"/>
        <v>76800</v>
      </c>
      <c r="O3228" s="56"/>
    </row>
    <row r="3229" spans="1:15" hidden="1" x14ac:dyDescent="0.3">
      <c r="A3229" s="26">
        <v>32</v>
      </c>
      <c r="B3229" s="20" t="str">
        <f t="shared" si="100"/>
        <v>AUG</v>
      </c>
      <c r="C3229" s="21">
        <v>46243</v>
      </c>
      <c r="D3229" s="22" t="s">
        <v>82</v>
      </c>
      <c r="E3229" s="20" t="str">
        <f>IFERROR(VLOOKUP(I3229,KET!$B:$F,4,0),"")</f>
        <v>INDRI</v>
      </c>
      <c r="F3229" s="20" t="s">
        <v>42</v>
      </c>
      <c r="G3229" s="20">
        <f>IFERROR(INDEX('Kode Outlet dan Target Toko'!$C:$C,MATCH($I3229,'Kode Outlet dan Target Toko'!$E:$E,0)),0)</f>
        <v>211074</v>
      </c>
      <c r="H3229" s="20">
        <f>IFERROR(INDEX('Kode Outlet dan Target Toko'!$D:$D,MATCH($I3229,'Kode Outlet dan Target Toko'!$E:$E,0)),0)</f>
        <v>2217375</v>
      </c>
      <c r="I3229" s="42" t="s">
        <v>85</v>
      </c>
      <c r="J3229" s="56" t="s">
        <v>209</v>
      </c>
      <c r="K3229" s="40" t="s">
        <v>13</v>
      </c>
      <c r="L3229" s="26">
        <v>3200</v>
      </c>
      <c r="M3229" s="26">
        <v>12</v>
      </c>
      <c r="N3229" s="25">
        <f t="shared" si="101"/>
        <v>38400</v>
      </c>
      <c r="O3229" s="56"/>
    </row>
    <row r="3230" spans="1:15" hidden="1" x14ac:dyDescent="0.3">
      <c r="A3230" s="26">
        <v>32</v>
      </c>
      <c r="B3230" s="20" t="str">
        <f t="shared" si="100"/>
        <v>AUG</v>
      </c>
      <c r="C3230" s="21">
        <v>46243</v>
      </c>
      <c r="D3230" s="22" t="s">
        <v>82</v>
      </c>
      <c r="E3230" s="20" t="str">
        <f>IFERROR(VLOOKUP(I3230,KET!$B:$F,4,0),"")</f>
        <v>INDRI</v>
      </c>
      <c r="F3230" s="20" t="s">
        <v>42</v>
      </c>
      <c r="G3230" s="20">
        <f>IFERROR(INDEX('Kode Outlet dan Target Toko'!$C:$C,MATCH($I3230,'Kode Outlet dan Target Toko'!$E:$E,0)),0)</f>
        <v>211074</v>
      </c>
      <c r="H3230" s="20">
        <f>IFERROR(INDEX('Kode Outlet dan Target Toko'!$D:$D,MATCH($I3230,'Kode Outlet dan Target Toko'!$E:$E,0)),0)</f>
        <v>2217375</v>
      </c>
      <c r="I3230" s="42" t="s">
        <v>85</v>
      </c>
      <c r="J3230" s="56" t="s">
        <v>209</v>
      </c>
      <c r="K3230" s="40" t="s">
        <v>16</v>
      </c>
      <c r="L3230" s="26">
        <v>3200</v>
      </c>
      <c r="M3230" s="26">
        <v>109</v>
      </c>
      <c r="N3230" s="25">
        <f t="shared" si="101"/>
        <v>348800</v>
      </c>
      <c r="O3230" s="56">
        <v>160</v>
      </c>
    </row>
    <row r="3231" spans="1:15" hidden="1" x14ac:dyDescent="0.3">
      <c r="A3231" s="26">
        <v>32</v>
      </c>
      <c r="B3231" s="20" t="str">
        <f t="shared" si="100"/>
        <v>AUG</v>
      </c>
      <c r="C3231" s="21">
        <v>46243</v>
      </c>
      <c r="D3231" s="22" t="s">
        <v>82</v>
      </c>
      <c r="E3231" s="20" t="str">
        <f>IFERROR(VLOOKUP(I3231,KET!$B:$F,4,0),"")</f>
        <v>INDRI</v>
      </c>
      <c r="F3231" s="20" t="s">
        <v>42</v>
      </c>
      <c r="G3231" s="20">
        <f>IFERROR(INDEX('Kode Outlet dan Target Toko'!$C:$C,MATCH($I3231,'Kode Outlet dan Target Toko'!$E:$E,0)),0)</f>
        <v>211074</v>
      </c>
      <c r="H3231" s="20">
        <f>IFERROR(INDEX('Kode Outlet dan Target Toko'!$D:$D,MATCH($I3231,'Kode Outlet dan Target Toko'!$E:$E,0)),0)</f>
        <v>2217375</v>
      </c>
      <c r="I3231" s="42" t="s">
        <v>85</v>
      </c>
      <c r="J3231" s="56" t="s">
        <v>210</v>
      </c>
      <c r="K3231" s="40" t="s">
        <v>15</v>
      </c>
      <c r="L3231" s="26">
        <v>3200</v>
      </c>
      <c r="M3231" s="26">
        <v>26</v>
      </c>
      <c r="N3231" s="25">
        <f t="shared" si="101"/>
        <v>83200</v>
      </c>
      <c r="O3231" s="56"/>
    </row>
    <row r="3232" spans="1:15" hidden="1" x14ac:dyDescent="0.3">
      <c r="A3232" s="26">
        <v>32</v>
      </c>
      <c r="B3232" s="20" t="str">
        <f t="shared" si="100"/>
        <v>AUG</v>
      </c>
      <c r="C3232" s="21">
        <v>46243</v>
      </c>
      <c r="D3232" s="22" t="s">
        <v>82</v>
      </c>
      <c r="E3232" s="20" t="str">
        <f>IFERROR(VLOOKUP(I3232,KET!$B:$F,4,0),"")</f>
        <v>INDRI</v>
      </c>
      <c r="F3232" s="20" t="s">
        <v>42</v>
      </c>
      <c r="G3232" s="20">
        <f>IFERROR(INDEX('Kode Outlet dan Target Toko'!$C:$C,MATCH($I3232,'Kode Outlet dan Target Toko'!$E:$E,0)),0)</f>
        <v>211074</v>
      </c>
      <c r="H3232" s="20">
        <f>IFERROR(INDEX('Kode Outlet dan Target Toko'!$D:$D,MATCH($I3232,'Kode Outlet dan Target Toko'!$E:$E,0)),0)</f>
        <v>2217375</v>
      </c>
      <c r="I3232" s="42" t="s">
        <v>85</v>
      </c>
      <c r="J3232" s="56" t="s">
        <v>210</v>
      </c>
      <c r="K3232" s="40" t="s">
        <v>14</v>
      </c>
      <c r="L3232" s="26">
        <v>3200</v>
      </c>
      <c r="M3232" s="26">
        <v>24</v>
      </c>
      <c r="N3232" s="25">
        <f t="shared" si="101"/>
        <v>76800</v>
      </c>
      <c r="O3232" s="56"/>
    </row>
    <row r="3233" spans="1:15" hidden="1" x14ac:dyDescent="0.3">
      <c r="A3233" s="26">
        <v>32</v>
      </c>
      <c r="B3233" s="20" t="str">
        <f t="shared" si="100"/>
        <v>AUG</v>
      </c>
      <c r="C3233" s="21">
        <v>46243</v>
      </c>
      <c r="D3233" s="22" t="s">
        <v>82</v>
      </c>
      <c r="E3233" s="20" t="str">
        <f>IFERROR(VLOOKUP(I3233,KET!$B:$F,4,0),"")</f>
        <v>INDRI</v>
      </c>
      <c r="F3233" s="20" t="s">
        <v>42</v>
      </c>
      <c r="G3233" s="20">
        <f>IFERROR(INDEX('Kode Outlet dan Target Toko'!$C:$C,MATCH($I3233,'Kode Outlet dan Target Toko'!$E:$E,0)),0)</f>
        <v>211074</v>
      </c>
      <c r="H3233" s="20">
        <f>IFERROR(INDEX('Kode Outlet dan Target Toko'!$D:$D,MATCH($I3233,'Kode Outlet dan Target Toko'!$E:$E,0)),0)</f>
        <v>2217375</v>
      </c>
      <c r="I3233" s="42" t="s">
        <v>85</v>
      </c>
      <c r="J3233" s="56" t="s">
        <v>210</v>
      </c>
      <c r="K3233" s="40" t="s">
        <v>13</v>
      </c>
      <c r="L3233" s="26">
        <v>3200</v>
      </c>
      <c r="M3233" s="26">
        <v>12</v>
      </c>
      <c r="N3233" s="25">
        <f t="shared" si="101"/>
        <v>38400</v>
      </c>
      <c r="O3233" s="56"/>
    </row>
    <row r="3234" spans="1:15" hidden="1" x14ac:dyDescent="0.3">
      <c r="A3234" s="26">
        <v>32</v>
      </c>
      <c r="B3234" s="20" t="str">
        <f t="shared" si="100"/>
        <v>AUG</v>
      </c>
      <c r="C3234" s="21">
        <v>46243</v>
      </c>
      <c r="D3234" s="22" t="s">
        <v>82</v>
      </c>
      <c r="E3234" s="20" t="str">
        <f>IFERROR(VLOOKUP(I3234,KET!$B:$F,4,0),"")</f>
        <v>INDRI</v>
      </c>
      <c r="F3234" s="20" t="s">
        <v>42</v>
      </c>
      <c r="G3234" s="20">
        <f>IFERROR(INDEX('Kode Outlet dan Target Toko'!$C:$C,MATCH($I3234,'Kode Outlet dan Target Toko'!$E:$E,0)),0)</f>
        <v>211074</v>
      </c>
      <c r="H3234" s="20">
        <f>IFERROR(INDEX('Kode Outlet dan Target Toko'!$D:$D,MATCH($I3234,'Kode Outlet dan Target Toko'!$E:$E,0)),0)</f>
        <v>2217375</v>
      </c>
      <c r="I3234" s="42" t="s">
        <v>85</v>
      </c>
      <c r="J3234" s="56" t="s">
        <v>210</v>
      </c>
      <c r="K3234" s="40" t="s">
        <v>16</v>
      </c>
      <c r="L3234" s="26">
        <v>3200</v>
      </c>
      <c r="M3234" s="26">
        <v>109</v>
      </c>
      <c r="N3234" s="25">
        <f t="shared" si="101"/>
        <v>348800</v>
      </c>
      <c r="O3234" s="56">
        <v>160</v>
      </c>
    </row>
    <row r="3235" spans="1:15" hidden="1" x14ac:dyDescent="0.3">
      <c r="A3235" s="26">
        <v>32</v>
      </c>
      <c r="B3235" s="20" t="str">
        <f t="shared" si="100"/>
        <v>AUG</v>
      </c>
      <c r="C3235" s="21">
        <v>46241</v>
      </c>
      <c r="D3235" s="22" t="s">
        <v>45</v>
      </c>
      <c r="E3235" s="20" t="str">
        <f>IFERROR(VLOOKUP(I3235,KET!$B:$F,4,0),"")</f>
        <v>MARTIKA MINTOROWATI</v>
      </c>
      <c r="F3235" s="20" t="s">
        <v>42</v>
      </c>
      <c r="G3235" s="20">
        <f>IFERROR(INDEX('Kode Outlet dan Target Toko'!$C:$C,MATCH($I3235,'Kode Outlet dan Target Toko'!$E:$E,0)),0)</f>
        <v>170208</v>
      </c>
      <c r="H3235" s="20">
        <f>IFERROR(INDEX('Kode Outlet dan Target Toko'!$D:$D,MATCH($I3235,'Kode Outlet dan Target Toko'!$E:$E,0)),0)</f>
        <v>5765011</v>
      </c>
      <c r="I3235" s="42" t="s">
        <v>109</v>
      </c>
      <c r="J3235" s="56" t="s">
        <v>214</v>
      </c>
      <c r="K3235" s="40" t="s">
        <v>15</v>
      </c>
      <c r="L3235" s="26">
        <v>2950</v>
      </c>
      <c r="M3235" s="26">
        <v>75</v>
      </c>
      <c r="N3235" s="25">
        <f t="shared" si="101"/>
        <v>221250</v>
      </c>
      <c r="O3235" s="56"/>
    </row>
    <row r="3236" spans="1:15" hidden="1" x14ac:dyDescent="0.3">
      <c r="A3236" s="26">
        <v>32</v>
      </c>
      <c r="B3236" s="20" t="str">
        <f t="shared" si="100"/>
        <v>AUG</v>
      </c>
      <c r="C3236" s="21">
        <v>46241</v>
      </c>
      <c r="D3236" s="22" t="s">
        <v>45</v>
      </c>
      <c r="E3236" s="20" t="str">
        <f>IFERROR(VLOOKUP(I3236,KET!$B:$F,4,0),"")</f>
        <v>MARTIKA MINTOROWATI</v>
      </c>
      <c r="F3236" s="20" t="s">
        <v>42</v>
      </c>
      <c r="G3236" s="20">
        <f>IFERROR(INDEX('Kode Outlet dan Target Toko'!$C:$C,MATCH($I3236,'Kode Outlet dan Target Toko'!$E:$E,0)),0)</f>
        <v>170208</v>
      </c>
      <c r="H3236" s="20">
        <f>IFERROR(INDEX('Kode Outlet dan Target Toko'!$D:$D,MATCH($I3236,'Kode Outlet dan Target Toko'!$E:$E,0)),0)</f>
        <v>5765011</v>
      </c>
      <c r="I3236" s="42" t="s">
        <v>109</v>
      </c>
      <c r="J3236" s="56" t="s">
        <v>214</v>
      </c>
      <c r="K3236" s="40" t="s">
        <v>14</v>
      </c>
      <c r="L3236" s="26">
        <v>2950</v>
      </c>
      <c r="M3236" s="26">
        <v>102</v>
      </c>
      <c r="N3236" s="25">
        <f t="shared" si="101"/>
        <v>300900</v>
      </c>
      <c r="O3236" s="56"/>
    </row>
    <row r="3237" spans="1:15" hidden="1" x14ac:dyDescent="0.3">
      <c r="A3237" s="26">
        <v>32</v>
      </c>
      <c r="B3237" s="20" t="str">
        <f t="shared" si="100"/>
        <v>AUG</v>
      </c>
      <c r="C3237" s="21">
        <v>46241</v>
      </c>
      <c r="D3237" s="22" t="s">
        <v>45</v>
      </c>
      <c r="E3237" s="20" t="str">
        <f>IFERROR(VLOOKUP(I3237,KET!$B:$F,4,0),"")</f>
        <v>MARTIKA MINTOROWATI</v>
      </c>
      <c r="F3237" s="20" t="s">
        <v>42</v>
      </c>
      <c r="G3237" s="20">
        <f>IFERROR(INDEX('Kode Outlet dan Target Toko'!$C:$C,MATCH($I3237,'Kode Outlet dan Target Toko'!$E:$E,0)),0)</f>
        <v>170208</v>
      </c>
      <c r="H3237" s="20">
        <f>IFERROR(INDEX('Kode Outlet dan Target Toko'!$D:$D,MATCH($I3237,'Kode Outlet dan Target Toko'!$E:$E,0)),0)</f>
        <v>5765011</v>
      </c>
      <c r="I3237" s="42" t="s">
        <v>109</v>
      </c>
      <c r="J3237" s="56" t="s">
        <v>214</v>
      </c>
      <c r="K3237" s="40" t="s">
        <v>13</v>
      </c>
      <c r="L3237" s="26">
        <v>2950</v>
      </c>
      <c r="M3237" s="26">
        <v>39</v>
      </c>
      <c r="N3237" s="25">
        <f t="shared" si="101"/>
        <v>115050</v>
      </c>
      <c r="O3237" s="56"/>
    </row>
    <row r="3238" spans="1:15" hidden="1" x14ac:dyDescent="0.3">
      <c r="A3238" s="26">
        <v>32</v>
      </c>
      <c r="B3238" s="20" t="str">
        <f t="shared" si="100"/>
        <v>AUG</v>
      </c>
      <c r="C3238" s="21">
        <v>46241</v>
      </c>
      <c r="D3238" s="22" t="s">
        <v>45</v>
      </c>
      <c r="E3238" s="20" t="str">
        <f>IFERROR(VLOOKUP(I3238,KET!$B:$F,4,0),"")</f>
        <v>MARTIKA MINTOROWATI</v>
      </c>
      <c r="F3238" s="20" t="s">
        <v>42</v>
      </c>
      <c r="G3238" s="20">
        <f>IFERROR(INDEX('Kode Outlet dan Target Toko'!$C:$C,MATCH($I3238,'Kode Outlet dan Target Toko'!$E:$E,0)),0)</f>
        <v>170208</v>
      </c>
      <c r="H3238" s="20">
        <f>IFERROR(INDEX('Kode Outlet dan Target Toko'!$D:$D,MATCH($I3238,'Kode Outlet dan Target Toko'!$E:$E,0)),0)</f>
        <v>5765011</v>
      </c>
      <c r="I3238" s="42" t="s">
        <v>109</v>
      </c>
      <c r="J3238" s="56" t="s">
        <v>214</v>
      </c>
      <c r="K3238" s="40" t="s">
        <v>16</v>
      </c>
      <c r="L3238" s="26">
        <v>2950</v>
      </c>
      <c r="M3238" s="26">
        <v>303</v>
      </c>
      <c r="N3238" s="25">
        <f t="shared" si="101"/>
        <v>893850</v>
      </c>
      <c r="O3238" s="56">
        <v>160</v>
      </c>
    </row>
    <row r="3239" spans="1:15" hidden="1" x14ac:dyDescent="0.3">
      <c r="A3239" s="26">
        <v>32</v>
      </c>
      <c r="B3239" s="20" t="str">
        <f t="shared" si="100"/>
        <v>AUG</v>
      </c>
      <c r="C3239" s="21">
        <v>46241</v>
      </c>
      <c r="D3239" s="22" t="s">
        <v>45</v>
      </c>
      <c r="E3239" s="20" t="str">
        <f>IFERROR(VLOOKUP(I3239,KET!$B:$F,4,0),"")</f>
        <v>MARTIKA MINTOROWATI</v>
      </c>
      <c r="F3239" s="20" t="s">
        <v>42</v>
      </c>
      <c r="G3239" s="20">
        <f>IFERROR(INDEX('Kode Outlet dan Target Toko'!$C:$C,MATCH($I3239,'Kode Outlet dan Target Toko'!$E:$E,0)),0)</f>
        <v>170208</v>
      </c>
      <c r="H3239" s="20">
        <f>IFERROR(INDEX('Kode Outlet dan Target Toko'!$D:$D,MATCH($I3239,'Kode Outlet dan Target Toko'!$E:$E,0)),0)</f>
        <v>5765011</v>
      </c>
      <c r="I3239" s="42" t="s">
        <v>109</v>
      </c>
      <c r="J3239" s="56" t="s">
        <v>215</v>
      </c>
      <c r="K3239" s="40" t="s">
        <v>15</v>
      </c>
      <c r="L3239" s="26">
        <v>2950</v>
      </c>
      <c r="M3239" s="26">
        <v>75</v>
      </c>
      <c r="N3239" s="25">
        <f t="shared" si="101"/>
        <v>221250</v>
      </c>
      <c r="O3239" s="56"/>
    </row>
    <row r="3240" spans="1:15" hidden="1" x14ac:dyDescent="0.3">
      <c r="A3240" s="26">
        <v>32</v>
      </c>
      <c r="B3240" s="20" t="str">
        <f t="shared" si="100"/>
        <v>AUG</v>
      </c>
      <c r="C3240" s="21">
        <v>46241</v>
      </c>
      <c r="D3240" s="22" t="s">
        <v>45</v>
      </c>
      <c r="E3240" s="20" t="str">
        <f>IFERROR(VLOOKUP(I3240,KET!$B:$F,4,0),"")</f>
        <v>MARTIKA MINTOROWATI</v>
      </c>
      <c r="F3240" s="20" t="s">
        <v>42</v>
      </c>
      <c r="G3240" s="20">
        <f>IFERROR(INDEX('Kode Outlet dan Target Toko'!$C:$C,MATCH($I3240,'Kode Outlet dan Target Toko'!$E:$E,0)),0)</f>
        <v>170208</v>
      </c>
      <c r="H3240" s="20">
        <f>IFERROR(INDEX('Kode Outlet dan Target Toko'!$D:$D,MATCH($I3240,'Kode Outlet dan Target Toko'!$E:$E,0)),0)</f>
        <v>5765011</v>
      </c>
      <c r="I3240" s="42" t="s">
        <v>109</v>
      </c>
      <c r="J3240" s="56" t="s">
        <v>215</v>
      </c>
      <c r="K3240" s="40" t="s">
        <v>14</v>
      </c>
      <c r="L3240" s="26">
        <v>2950</v>
      </c>
      <c r="M3240" s="26">
        <v>102</v>
      </c>
      <c r="N3240" s="25">
        <f t="shared" si="101"/>
        <v>300900</v>
      </c>
      <c r="O3240" s="56"/>
    </row>
    <row r="3241" spans="1:15" hidden="1" x14ac:dyDescent="0.3">
      <c r="A3241" s="26">
        <v>32</v>
      </c>
      <c r="B3241" s="20" t="str">
        <f t="shared" si="100"/>
        <v>AUG</v>
      </c>
      <c r="C3241" s="21">
        <v>46241</v>
      </c>
      <c r="D3241" s="22" t="s">
        <v>45</v>
      </c>
      <c r="E3241" s="20" t="str">
        <f>IFERROR(VLOOKUP(I3241,KET!$B:$F,4,0),"")</f>
        <v>MARTIKA MINTOROWATI</v>
      </c>
      <c r="F3241" s="20" t="s">
        <v>42</v>
      </c>
      <c r="G3241" s="20">
        <f>IFERROR(INDEX('Kode Outlet dan Target Toko'!$C:$C,MATCH($I3241,'Kode Outlet dan Target Toko'!$E:$E,0)),0)</f>
        <v>170208</v>
      </c>
      <c r="H3241" s="20">
        <f>IFERROR(INDEX('Kode Outlet dan Target Toko'!$D:$D,MATCH($I3241,'Kode Outlet dan Target Toko'!$E:$E,0)),0)</f>
        <v>5765011</v>
      </c>
      <c r="I3241" s="42" t="s">
        <v>109</v>
      </c>
      <c r="J3241" s="56" t="s">
        <v>215</v>
      </c>
      <c r="K3241" s="40" t="s">
        <v>13</v>
      </c>
      <c r="L3241" s="26">
        <v>2950</v>
      </c>
      <c r="M3241" s="26">
        <v>39</v>
      </c>
      <c r="N3241" s="25">
        <f t="shared" si="101"/>
        <v>115050</v>
      </c>
      <c r="O3241" s="56"/>
    </row>
    <row r="3242" spans="1:15" hidden="1" x14ac:dyDescent="0.3">
      <c r="A3242" s="26">
        <v>32</v>
      </c>
      <c r="B3242" s="20" t="str">
        <f t="shared" si="100"/>
        <v>AUG</v>
      </c>
      <c r="C3242" s="21">
        <v>46241</v>
      </c>
      <c r="D3242" s="22" t="s">
        <v>45</v>
      </c>
      <c r="E3242" s="20" t="str">
        <f>IFERROR(VLOOKUP(I3242,KET!$B:$F,4,0),"")</f>
        <v>MARTIKA MINTOROWATI</v>
      </c>
      <c r="F3242" s="20" t="s">
        <v>42</v>
      </c>
      <c r="G3242" s="20">
        <f>IFERROR(INDEX('Kode Outlet dan Target Toko'!$C:$C,MATCH($I3242,'Kode Outlet dan Target Toko'!$E:$E,0)),0)</f>
        <v>170208</v>
      </c>
      <c r="H3242" s="20">
        <f>IFERROR(INDEX('Kode Outlet dan Target Toko'!$D:$D,MATCH($I3242,'Kode Outlet dan Target Toko'!$E:$E,0)),0)</f>
        <v>5765011</v>
      </c>
      <c r="I3242" s="42" t="s">
        <v>109</v>
      </c>
      <c r="J3242" s="56" t="s">
        <v>215</v>
      </c>
      <c r="K3242" s="40" t="s">
        <v>16</v>
      </c>
      <c r="L3242" s="26">
        <v>2950</v>
      </c>
      <c r="M3242" s="26">
        <v>303</v>
      </c>
      <c r="N3242" s="25">
        <f t="shared" si="101"/>
        <v>893850</v>
      </c>
      <c r="O3242" s="56">
        <v>160</v>
      </c>
    </row>
    <row r="3243" spans="1:15" hidden="1" x14ac:dyDescent="0.3">
      <c r="A3243" s="26">
        <v>32</v>
      </c>
      <c r="B3243" s="20" t="str">
        <f t="shared" si="100"/>
        <v>AUG</v>
      </c>
      <c r="C3243" s="21">
        <v>46241</v>
      </c>
      <c r="D3243" s="22" t="s">
        <v>45</v>
      </c>
      <c r="E3243" s="20" t="str">
        <f>IFERROR(VLOOKUP(I3243,KET!$B:$F,4,0),"")</f>
        <v>MARTIKA MINTOROWATI</v>
      </c>
      <c r="F3243" s="20" t="s">
        <v>42</v>
      </c>
      <c r="G3243" s="20">
        <f>IFERROR(INDEX('Kode Outlet dan Target Toko'!$C:$C,MATCH($I3243,'Kode Outlet dan Target Toko'!$E:$E,0)),0)</f>
        <v>211161</v>
      </c>
      <c r="H3243" s="20">
        <f>IFERROR(INDEX('Kode Outlet dan Target Toko'!$D:$D,MATCH($I3243,'Kode Outlet dan Target Toko'!$E:$E,0)),0)</f>
        <v>7103</v>
      </c>
      <c r="I3243" s="42" t="s">
        <v>91</v>
      </c>
      <c r="J3243" s="56" t="s">
        <v>216</v>
      </c>
      <c r="K3243" s="40" t="s">
        <v>15</v>
      </c>
      <c r="L3243" s="26">
        <v>2100</v>
      </c>
      <c r="M3243" s="26">
        <v>96</v>
      </c>
      <c r="N3243" s="25">
        <f t="shared" si="101"/>
        <v>201600</v>
      </c>
      <c r="O3243" s="56"/>
    </row>
    <row r="3244" spans="1:15" hidden="1" x14ac:dyDescent="0.3">
      <c r="A3244" s="26">
        <v>32</v>
      </c>
      <c r="B3244" s="20" t="str">
        <f t="shared" si="100"/>
        <v>AUG</v>
      </c>
      <c r="C3244" s="21">
        <v>46241</v>
      </c>
      <c r="D3244" s="22" t="s">
        <v>45</v>
      </c>
      <c r="E3244" s="20" t="str">
        <f>IFERROR(VLOOKUP(I3244,KET!$B:$F,4,0),"")</f>
        <v>MARTIKA MINTOROWATI</v>
      </c>
      <c r="F3244" s="20" t="s">
        <v>42</v>
      </c>
      <c r="G3244" s="20">
        <f>IFERROR(INDEX('Kode Outlet dan Target Toko'!$C:$C,MATCH($I3244,'Kode Outlet dan Target Toko'!$E:$E,0)),0)</f>
        <v>211161</v>
      </c>
      <c r="H3244" s="20">
        <f>IFERROR(INDEX('Kode Outlet dan Target Toko'!$D:$D,MATCH($I3244,'Kode Outlet dan Target Toko'!$E:$E,0)),0)</f>
        <v>7103</v>
      </c>
      <c r="I3244" s="42" t="s">
        <v>91</v>
      </c>
      <c r="J3244" s="56" t="s">
        <v>216</v>
      </c>
      <c r="K3244" s="40" t="s">
        <v>14</v>
      </c>
      <c r="L3244" s="26">
        <v>2100</v>
      </c>
      <c r="M3244" s="26">
        <v>105</v>
      </c>
      <c r="N3244" s="25">
        <f t="shared" si="101"/>
        <v>220500</v>
      </c>
      <c r="O3244" s="56"/>
    </row>
    <row r="3245" spans="1:15" hidden="1" x14ac:dyDescent="0.3">
      <c r="A3245" s="26">
        <v>32</v>
      </c>
      <c r="B3245" s="20" t="str">
        <f t="shared" si="100"/>
        <v>AUG</v>
      </c>
      <c r="C3245" s="21">
        <v>46241</v>
      </c>
      <c r="D3245" s="22" t="s">
        <v>45</v>
      </c>
      <c r="E3245" s="20" t="str">
        <f>IFERROR(VLOOKUP(I3245,KET!$B:$F,4,0),"")</f>
        <v>MARTIKA MINTOROWATI</v>
      </c>
      <c r="F3245" s="20" t="s">
        <v>42</v>
      </c>
      <c r="G3245" s="20">
        <f>IFERROR(INDEX('Kode Outlet dan Target Toko'!$C:$C,MATCH($I3245,'Kode Outlet dan Target Toko'!$E:$E,0)),0)</f>
        <v>211161</v>
      </c>
      <c r="H3245" s="20">
        <f>IFERROR(INDEX('Kode Outlet dan Target Toko'!$D:$D,MATCH($I3245,'Kode Outlet dan Target Toko'!$E:$E,0)),0)</f>
        <v>7103</v>
      </c>
      <c r="I3245" s="42" t="s">
        <v>91</v>
      </c>
      <c r="J3245" s="56" t="s">
        <v>216</v>
      </c>
      <c r="K3245" s="40" t="s">
        <v>13</v>
      </c>
      <c r="L3245" s="26">
        <v>2100</v>
      </c>
      <c r="M3245" s="26">
        <v>300</v>
      </c>
      <c r="N3245" s="25">
        <f t="shared" si="101"/>
        <v>630000</v>
      </c>
      <c r="O3245" s="56"/>
    </row>
    <row r="3246" spans="1:15" hidden="1" x14ac:dyDescent="0.3">
      <c r="A3246" s="26">
        <v>32</v>
      </c>
      <c r="B3246" s="20" t="str">
        <f t="shared" si="100"/>
        <v>AUG</v>
      </c>
      <c r="C3246" s="21">
        <v>46241</v>
      </c>
      <c r="D3246" s="22" t="s">
        <v>45</v>
      </c>
      <c r="E3246" s="20" t="str">
        <f>IFERROR(VLOOKUP(I3246,KET!$B:$F,4,0),"")</f>
        <v>MARTIKA MINTOROWATI</v>
      </c>
      <c r="F3246" s="20" t="s">
        <v>42</v>
      </c>
      <c r="G3246" s="20">
        <f>IFERROR(INDEX('Kode Outlet dan Target Toko'!$C:$C,MATCH($I3246,'Kode Outlet dan Target Toko'!$E:$E,0)),0)</f>
        <v>211161</v>
      </c>
      <c r="H3246" s="20">
        <f>IFERROR(INDEX('Kode Outlet dan Target Toko'!$D:$D,MATCH($I3246,'Kode Outlet dan Target Toko'!$E:$E,0)),0)</f>
        <v>7103</v>
      </c>
      <c r="I3246" s="42" t="s">
        <v>91</v>
      </c>
      <c r="J3246" s="56" t="s">
        <v>216</v>
      </c>
      <c r="K3246" s="40" t="s">
        <v>16</v>
      </c>
      <c r="L3246" s="26">
        <v>2100</v>
      </c>
      <c r="M3246" s="26">
        <v>142</v>
      </c>
      <c r="N3246" s="25">
        <f t="shared" si="101"/>
        <v>298200</v>
      </c>
      <c r="O3246" s="56"/>
    </row>
    <row r="3247" spans="1:15" hidden="1" x14ac:dyDescent="0.3">
      <c r="A3247" s="26">
        <v>32</v>
      </c>
      <c r="B3247" s="20" t="str">
        <f t="shared" si="100"/>
        <v>AUG</v>
      </c>
      <c r="C3247" s="21">
        <v>46241</v>
      </c>
      <c r="D3247" s="22" t="s">
        <v>45</v>
      </c>
      <c r="E3247" s="20" t="str">
        <f>IFERROR(VLOOKUP(I3247,KET!$B:$F,4,0),"")</f>
        <v>MARTIKA MINTOROWATI</v>
      </c>
      <c r="F3247" s="20" t="s">
        <v>42</v>
      </c>
      <c r="G3247" s="20">
        <f>IFERROR(INDEX('Kode Outlet dan Target Toko'!$C:$C,MATCH($I3247,'Kode Outlet dan Target Toko'!$E:$E,0)),0)</f>
        <v>211161</v>
      </c>
      <c r="H3247" s="20">
        <f>IFERROR(INDEX('Kode Outlet dan Target Toko'!$D:$D,MATCH($I3247,'Kode Outlet dan Target Toko'!$E:$E,0)),0)</f>
        <v>7103</v>
      </c>
      <c r="I3247" s="42" t="s">
        <v>91</v>
      </c>
      <c r="J3247" s="56" t="s">
        <v>217</v>
      </c>
      <c r="K3247" s="40" t="s">
        <v>15</v>
      </c>
      <c r="L3247" s="26">
        <v>2100</v>
      </c>
      <c r="M3247" s="26">
        <v>96</v>
      </c>
      <c r="N3247" s="25">
        <f t="shared" si="101"/>
        <v>201600</v>
      </c>
      <c r="O3247" s="56"/>
    </row>
    <row r="3248" spans="1:15" hidden="1" x14ac:dyDescent="0.3">
      <c r="A3248" s="26">
        <v>32</v>
      </c>
      <c r="B3248" s="20" t="str">
        <f t="shared" si="100"/>
        <v>AUG</v>
      </c>
      <c r="C3248" s="21">
        <v>46241</v>
      </c>
      <c r="D3248" s="22" t="s">
        <v>45</v>
      </c>
      <c r="E3248" s="20" t="str">
        <f>IFERROR(VLOOKUP(I3248,KET!$B:$F,4,0),"")</f>
        <v>MARTIKA MINTOROWATI</v>
      </c>
      <c r="F3248" s="20" t="s">
        <v>42</v>
      </c>
      <c r="G3248" s="20">
        <f>IFERROR(INDEX('Kode Outlet dan Target Toko'!$C:$C,MATCH($I3248,'Kode Outlet dan Target Toko'!$E:$E,0)),0)</f>
        <v>211161</v>
      </c>
      <c r="H3248" s="20">
        <f>IFERROR(INDEX('Kode Outlet dan Target Toko'!$D:$D,MATCH($I3248,'Kode Outlet dan Target Toko'!$E:$E,0)),0)</f>
        <v>7103</v>
      </c>
      <c r="I3248" s="42" t="s">
        <v>91</v>
      </c>
      <c r="J3248" s="56" t="s">
        <v>217</v>
      </c>
      <c r="K3248" s="40" t="s">
        <v>14</v>
      </c>
      <c r="L3248" s="26">
        <v>2100</v>
      </c>
      <c r="M3248" s="26">
        <v>105</v>
      </c>
      <c r="N3248" s="25">
        <f t="shared" si="101"/>
        <v>220500</v>
      </c>
      <c r="O3248" s="56"/>
    </row>
    <row r="3249" spans="1:15" hidden="1" x14ac:dyDescent="0.3">
      <c r="A3249" s="26">
        <v>32</v>
      </c>
      <c r="B3249" s="20" t="str">
        <f t="shared" si="100"/>
        <v>AUG</v>
      </c>
      <c r="C3249" s="21">
        <v>46241</v>
      </c>
      <c r="D3249" s="22" t="s">
        <v>45</v>
      </c>
      <c r="E3249" s="20" t="str">
        <f>IFERROR(VLOOKUP(I3249,KET!$B:$F,4,0),"")</f>
        <v>MARTIKA MINTOROWATI</v>
      </c>
      <c r="F3249" s="20" t="s">
        <v>42</v>
      </c>
      <c r="G3249" s="20">
        <f>IFERROR(INDEX('Kode Outlet dan Target Toko'!$C:$C,MATCH($I3249,'Kode Outlet dan Target Toko'!$E:$E,0)),0)</f>
        <v>211161</v>
      </c>
      <c r="H3249" s="20">
        <f>IFERROR(INDEX('Kode Outlet dan Target Toko'!$D:$D,MATCH($I3249,'Kode Outlet dan Target Toko'!$E:$E,0)),0)</f>
        <v>7103</v>
      </c>
      <c r="I3249" s="42" t="s">
        <v>91</v>
      </c>
      <c r="J3249" s="56" t="s">
        <v>217</v>
      </c>
      <c r="K3249" s="40" t="s">
        <v>13</v>
      </c>
      <c r="L3249" s="26">
        <v>2100</v>
      </c>
      <c r="M3249" s="26">
        <v>300</v>
      </c>
      <c r="N3249" s="25">
        <f t="shared" si="101"/>
        <v>630000</v>
      </c>
      <c r="O3249" s="56"/>
    </row>
    <row r="3250" spans="1:15" hidden="1" x14ac:dyDescent="0.3">
      <c r="A3250" s="26">
        <v>32</v>
      </c>
      <c r="B3250" s="20" t="str">
        <f t="shared" si="100"/>
        <v>AUG</v>
      </c>
      <c r="C3250" s="21">
        <v>46241</v>
      </c>
      <c r="D3250" s="22" t="s">
        <v>45</v>
      </c>
      <c r="E3250" s="20" t="str">
        <f>IFERROR(VLOOKUP(I3250,KET!$B:$F,4,0),"")</f>
        <v>MARTIKA MINTOROWATI</v>
      </c>
      <c r="F3250" s="20" t="s">
        <v>42</v>
      </c>
      <c r="G3250" s="20">
        <f>IFERROR(INDEX('Kode Outlet dan Target Toko'!$C:$C,MATCH($I3250,'Kode Outlet dan Target Toko'!$E:$E,0)),0)</f>
        <v>211161</v>
      </c>
      <c r="H3250" s="20">
        <f>IFERROR(INDEX('Kode Outlet dan Target Toko'!$D:$D,MATCH($I3250,'Kode Outlet dan Target Toko'!$E:$E,0)),0)</f>
        <v>7103</v>
      </c>
      <c r="I3250" s="42" t="s">
        <v>91</v>
      </c>
      <c r="J3250" s="56" t="s">
        <v>217</v>
      </c>
      <c r="K3250" s="40" t="s">
        <v>16</v>
      </c>
      <c r="L3250" s="26">
        <v>2100</v>
      </c>
      <c r="M3250" s="26">
        <v>142</v>
      </c>
      <c r="N3250" s="25">
        <f t="shared" si="101"/>
        <v>298200</v>
      </c>
      <c r="O3250" s="56"/>
    </row>
    <row r="3251" spans="1:15" hidden="1" x14ac:dyDescent="0.3">
      <c r="A3251" s="26">
        <v>32</v>
      </c>
      <c r="B3251" s="20" t="str">
        <f t="shared" si="100"/>
        <v>AUG</v>
      </c>
      <c r="C3251" s="21">
        <v>46241</v>
      </c>
      <c r="D3251" s="22" t="s">
        <v>45</v>
      </c>
      <c r="E3251" s="20" t="str">
        <f>IFERROR(VLOOKUP(I3251,KET!$B:$F,4,0),"")</f>
        <v>MARTIKA MINTOROWATI</v>
      </c>
      <c r="F3251" s="20" t="s">
        <v>42</v>
      </c>
      <c r="G3251" s="20">
        <f>IFERROR(INDEX('Kode Outlet dan Target Toko'!$C:$C,MATCH($I3251,'Kode Outlet dan Target Toko'!$E:$E,0)),0)</f>
        <v>211030</v>
      </c>
      <c r="H3251" s="20">
        <f>IFERROR(INDEX('Kode Outlet dan Target Toko'!$D:$D,MATCH($I3251,'Kode Outlet dan Target Toko'!$E:$E,0)),0)</f>
        <v>5766116</v>
      </c>
      <c r="I3251" s="42" t="s">
        <v>106</v>
      </c>
      <c r="J3251" s="56" t="s">
        <v>300</v>
      </c>
      <c r="K3251" s="40" t="s">
        <v>15</v>
      </c>
      <c r="L3251" s="26">
        <v>2950</v>
      </c>
      <c r="M3251" s="26">
        <v>56</v>
      </c>
      <c r="N3251" s="25">
        <f t="shared" si="101"/>
        <v>165200</v>
      </c>
      <c r="O3251" s="56"/>
    </row>
    <row r="3252" spans="1:15" hidden="1" x14ac:dyDescent="0.3">
      <c r="A3252" s="26">
        <v>32</v>
      </c>
      <c r="B3252" s="20" t="str">
        <f t="shared" si="100"/>
        <v>AUG</v>
      </c>
      <c r="C3252" s="21">
        <v>46241</v>
      </c>
      <c r="D3252" s="22" t="s">
        <v>45</v>
      </c>
      <c r="E3252" s="20" t="str">
        <f>IFERROR(VLOOKUP(I3252,KET!$B:$F,4,0),"")</f>
        <v>MARTIKA MINTOROWATI</v>
      </c>
      <c r="F3252" s="20" t="s">
        <v>42</v>
      </c>
      <c r="G3252" s="20">
        <f>IFERROR(INDEX('Kode Outlet dan Target Toko'!$C:$C,MATCH($I3252,'Kode Outlet dan Target Toko'!$E:$E,0)),0)</f>
        <v>211030</v>
      </c>
      <c r="H3252" s="20">
        <f>IFERROR(INDEX('Kode Outlet dan Target Toko'!$D:$D,MATCH($I3252,'Kode Outlet dan Target Toko'!$E:$E,0)),0)</f>
        <v>5766116</v>
      </c>
      <c r="I3252" s="42" t="s">
        <v>106</v>
      </c>
      <c r="J3252" s="56" t="s">
        <v>300</v>
      </c>
      <c r="K3252" s="40" t="s">
        <v>14</v>
      </c>
      <c r="L3252" s="26">
        <v>2950</v>
      </c>
      <c r="M3252" s="26">
        <v>57</v>
      </c>
      <c r="N3252" s="25">
        <f t="shared" si="101"/>
        <v>168150</v>
      </c>
      <c r="O3252" s="56"/>
    </row>
    <row r="3253" spans="1:15" hidden="1" x14ac:dyDescent="0.3">
      <c r="A3253" s="26">
        <v>32</v>
      </c>
      <c r="B3253" s="20" t="str">
        <f t="shared" si="100"/>
        <v>AUG</v>
      </c>
      <c r="C3253" s="21">
        <v>46241</v>
      </c>
      <c r="D3253" s="22" t="s">
        <v>45</v>
      </c>
      <c r="E3253" s="20" t="str">
        <f>IFERROR(VLOOKUP(I3253,KET!$B:$F,4,0),"")</f>
        <v>MARTIKA MINTOROWATI</v>
      </c>
      <c r="F3253" s="20" t="s">
        <v>42</v>
      </c>
      <c r="G3253" s="20">
        <f>IFERROR(INDEX('Kode Outlet dan Target Toko'!$C:$C,MATCH($I3253,'Kode Outlet dan Target Toko'!$E:$E,0)),0)</f>
        <v>211030</v>
      </c>
      <c r="H3253" s="20">
        <f>IFERROR(INDEX('Kode Outlet dan Target Toko'!$D:$D,MATCH($I3253,'Kode Outlet dan Target Toko'!$E:$E,0)),0)</f>
        <v>5766116</v>
      </c>
      <c r="I3253" s="42" t="s">
        <v>106</v>
      </c>
      <c r="J3253" s="56" t="s">
        <v>300</v>
      </c>
      <c r="K3253" s="40" t="s">
        <v>13</v>
      </c>
      <c r="L3253" s="26">
        <v>2950</v>
      </c>
      <c r="M3253" s="26">
        <v>29</v>
      </c>
      <c r="N3253" s="25">
        <f t="shared" si="101"/>
        <v>85550</v>
      </c>
      <c r="O3253" s="56"/>
    </row>
    <row r="3254" spans="1:15" hidden="1" x14ac:dyDescent="0.3">
      <c r="A3254" s="26">
        <v>32</v>
      </c>
      <c r="B3254" s="20" t="str">
        <f t="shared" si="100"/>
        <v>AUG</v>
      </c>
      <c r="C3254" s="21">
        <v>46241</v>
      </c>
      <c r="D3254" s="22" t="s">
        <v>45</v>
      </c>
      <c r="E3254" s="20" t="str">
        <f>IFERROR(VLOOKUP(I3254,KET!$B:$F,4,0),"")</f>
        <v>MARTIKA MINTOROWATI</v>
      </c>
      <c r="F3254" s="20" t="s">
        <v>42</v>
      </c>
      <c r="G3254" s="20">
        <f>IFERROR(INDEX('Kode Outlet dan Target Toko'!$C:$C,MATCH($I3254,'Kode Outlet dan Target Toko'!$E:$E,0)),0)</f>
        <v>211030</v>
      </c>
      <c r="H3254" s="20">
        <f>IFERROR(INDEX('Kode Outlet dan Target Toko'!$D:$D,MATCH($I3254,'Kode Outlet dan Target Toko'!$E:$E,0)),0)</f>
        <v>5766116</v>
      </c>
      <c r="I3254" s="42" t="s">
        <v>106</v>
      </c>
      <c r="J3254" s="56" t="s">
        <v>300</v>
      </c>
      <c r="K3254" s="40" t="s">
        <v>16</v>
      </c>
      <c r="L3254" s="26">
        <v>2950</v>
      </c>
      <c r="M3254" s="26">
        <v>77</v>
      </c>
      <c r="N3254" s="25">
        <f t="shared" si="101"/>
        <v>227150</v>
      </c>
      <c r="O3254" s="56">
        <v>160</v>
      </c>
    </row>
    <row r="3255" spans="1:15" hidden="1" x14ac:dyDescent="0.3">
      <c r="A3255" s="26">
        <v>32</v>
      </c>
      <c r="B3255" s="20" t="str">
        <f t="shared" si="100"/>
        <v>AUG</v>
      </c>
      <c r="C3255" s="21">
        <v>46241</v>
      </c>
      <c r="D3255" s="22" t="s">
        <v>45</v>
      </c>
      <c r="E3255" s="20" t="str">
        <f>IFERROR(VLOOKUP(I3255,KET!$B:$F,4,0),"")</f>
        <v>MARTIKA MINTOROWATI</v>
      </c>
      <c r="F3255" s="20" t="s">
        <v>42</v>
      </c>
      <c r="G3255" s="20">
        <f>IFERROR(INDEX('Kode Outlet dan Target Toko'!$C:$C,MATCH($I3255,'Kode Outlet dan Target Toko'!$E:$E,0)),0)</f>
        <v>211030</v>
      </c>
      <c r="H3255" s="20">
        <f>IFERROR(INDEX('Kode Outlet dan Target Toko'!$D:$D,MATCH($I3255,'Kode Outlet dan Target Toko'!$E:$E,0)),0)</f>
        <v>5766116</v>
      </c>
      <c r="I3255" s="42" t="s">
        <v>106</v>
      </c>
      <c r="J3255" s="56" t="s">
        <v>218</v>
      </c>
      <c r="K3255" s="40" t="s">
        <v>15</v>
      </c>
      <c r="L3255" s="26">
        <v>2950</v>
      </c>
      <c r="M3255" s="26">
        <v>56</v>
      </c>
      <c r="N3255" s="25">
        <f t="shared" si="101"/>
        <v>165200</v>
      </c>
      <c r="O3255" s="56"/>
    </row>
    <row r="3256" spans="1:15" hidden="1" x14ac:dyDescent="0.3">
      <c r="A3256" s="26">
        <v>32</v>
      </c>
      <c r="B3256" s="20" t="str">
        <f t="shared" si="100"/>
        <v>AUG</v>
      </c>
      <c r="C3256" s="21">
        <v>46241</v>
      </c>
      <c r="D3256" s="22" t="s">
        <v>45</v>
      </c>
      <c r="E3256" s="20" t="str">
        <f>IFERROR(VLOOKUP(I3256,KET!$B:$F,4,0),"")</f>
        <v>MARTIKA MINTOROWATI</v>
      </c>
      <c r="F3256" s="20" t="s">
        <v>42</v>
      </c>
      <c r="G3256" s="20">
        <f>IFERROR(INDEX('Kode Outlet dan Target Toko'!$C:$C,MATCH($I3256,'Kode Outlet dan Target Toko'!$E:$E,0)),0)</f>
        <v>211030</v>
      </c>
      <c r="H3256" s="20">
        <f>IFERROR(INDEX('Kode Outlet dan Target Toko'!$D:$D,MATCH($I3256,'Kode Outlet dan Target Toko'!$E:$E,0)),0)</f>
        <v>5766116</v>
      </c>
      <c r="I3256" s="42" t="s">
        <v>106</v>
      </c>
      <c r="J3256" s="56" t="s">
        <v>218</v>
      </c>
      <c r="K3256" s="40" t="s">
        <v>14</v>
      </c>
      <c r="L3256" s="26">
        <v>2950</v>
      </c>
      <c r="M3256" s="26">
        <v>57</v>
      </c>
      <c r="N3256" s="25">
        <f t="shared" si="101"/>
        <v>168150</v>
      </c>
      <c r="O3256" s="56"/>
    </row>
    <row r="3257" spans="1:15" hidden="1" x14ac:dyDescent="0.3">
      <c r="A3257" s="26">
        <v>32</v>
      </c>
      <c r="B3257" s="20" t="str">
        <f t="shared" si="100"/>
        <v>AUG</v>
      </c>
      <c r="C3257" s="21">
        <v>46241</v>
      </c>
      <c r="D3257" s="22" t="s">
        <v>45</v>
      </c>
      <c r="E3257" s="20" t="str">
        <f>IFERROR(VLOOKUP(I3257,KET!$B:$F,4,0),"")</f>
        <v>MARTIKA MINTOROWATI</v>
      </c>
      <c r="F3257" s="20" t="s">
        <v>42</v>
      </c>
      <c r="G3257" s="20">
        <f>IFERROR(INDEX('Kode Outlet dan Target Toko'!$C:$C,MATCH($I3257,'Kode Outlet dan Target Toko'!$E:$E,0)),0)</f>
        <v>211030</v>
      </c>
      <c r="H3257" s="20">
        <f>IFERROR(INDEX('Kode Outlet dan Target Toko'!$D:$D,MATCH($I3257,'Kode Outlet dan Target Toko'!$E:$E,0)),0)</f>
        <v>5766116</v>
      </c>
      <c r="I3257" s="42" t="s">
        <v>106</v>
      </c>
      <c r="J3257" s="56" t="s">
        <v>218</v>
      </c>
      <c r="K3257" s="40" t="s">
        <v>13</v>
      </c>
      <c r="L3257" s="26">
        <v>2950</v>
      </c>
      <c r="M3257" s="26">
        <v>29</v>
      </c>
      <c r="N3257" s="25">
        <f t="shared" si="101"/>
        <v>85550</v>
      </c>
      <c r="O3257" s="56"/>
    </row>
    <row r="3258" spans="1:15" hidden="1" x14ac:dyDescent="0.3">
      <c r="A3258" s="26">
        <v>32</v>
      </c>
      <c r="B3258" s="20" t="str">
        <f t="shared" si="100"/>
        <v>AUG</v>
      </c>
      <c r="C3258" s="21">
        <v>46241</v>
      </c>
      <c r="D3258" s="22" t="s">
        <v>45</v>
      </c>
      <c r="E3258" s="20" t="str">
        <f>IFERROR(VLOOKUP(I3258,KET!$B:$F,4,0),"")</f>
        <v>MARTIKA MINTOROWATI</v>
      </c>
      <c r="F3258" s="20" t="s">
        <v>42</v>
      </c>
      <c r="G3258" s="20">
        <f>IFERROR(INDEX('Kode Outlet dan Target Toko'!$C:$C,MATCH($I3258,'Kode Outlet dan Target Toko'!$E:$E,0)),0)</f>
        <v>211030</v>
      </c>
      <c r="H3258" s="20">
        <f>IFERROR(INDEX('Kode Outlet dan Target Toko'!$D:$D,MATCH($I3258,'Kode Outlet dan Target Toko'!$E:$E,0)),0)</f>
        <v>5766116</v>
      </c>
      <c r="I3258" s="42" t="s">
        <v>106</v>
      </c>
      <c r="J3258" s="56" t="s">
        <v>218</v>
      </c>
      <c r="K3258" s="40" t="s">
        <v>16</v>
      </c>
      <c r="L3258" s="26">
        <v>2950</v>
      </c>
      <c r="M3258" s="26">
        <v>77</v>
      </c>
      <c r="N3258" s="25">
        <f t="shared" si="101"/>
        <v>227150</v>
      </c>
      <c r="O3258" s="56">
        <v>160</v>
      </c>
    </row>
    <row r="3259" spans="1:15" hidden="1" x14ac:dyDescent="0.3">
      <c r="A3259" s="26">
        <v>32</v>
      </c>
      <c r="B3259" s="20" t="str">
        <f t="shared" si="100"/>
        <v>AUG</v>
      </c>
      <c r="C3259" s="21">
        <v>46241</v>
      </c>
      <c r="D3259" s="22" t="s">
        <v>45</v>
      </c>
      <c r="E3259" s="20" t="str">
        <f>IFERROR(VLOOKUP(I3259,KET!$B:$F,4,0),"")</f>
        <v>MARTIKA MINTOROWATI</v>
      </c>
      <c r="F3259" s="20" t="s">
        <v>42</v>
      </c>
      <c r="G3259" s="20">
        <f>IFERROR(INDEX('Kode Outlet dan Target Toko'!$C:$C,MATCH($I3259,'Kode Outlet dan Target Toko'!$E:$E,0)),0)</f>
        <v>211181</v>
      </c>
      <c r="H3259" s="20">
        <f>IFERROR(INDEX('Kode Outlet dan Target Toko'!$D:$D,MATCH($I3259,'Kode Outlet dan Target Toko'!$E:$E,0)),0)</f>
        <v>3208670</v>
      </c>
      <c r="I3259" s="42" t="s">
        <v>145</v>
      </c>
      <c r="J3259" s="56" t="s">
        <v>220</v>
      </c>
      <c r="K3259" s="40" t="s">
        <v>15</v>
      </c>
      <c r="L3259" s="26">
        <v>2950</v>
      </c>
      <c r="M3259" s="26">
        <v>20</v>
      </c>
      <c r="N3259" s="25">
        <f t="shared" si="101"/>
        <v>59000</v>
      </c>
      <c r="O3259" s="56"/>
    </row>
    <row r="3260" spans="1:15" hidden="1" x14ac:dyDescent="0.3">
      <c r="A3260" s="26">
        <v>32</v>
      </c>
      <c r="B3260" s="20" t="str">
        <f t="shared" si="100"/>
        <v>AUG</v>
      </c>
      <c r="C3260" s="21">
        <v>46241</v>
      </c>
      <c r="D3260" s="22" t="s">
        <v>45</v>
      </c>
      <c r="E3260" s="20" t="str">
        <f>IFERROR(VLOOKUP(I3260,KET!$B:$F,4,0),"")</f>
        <v>MARTIKA MINTOROWATI</v>
      </c>
      <c r="F3260" s="20" t="s">
        <v>42</v>
      </c>
      <c r="G3260" s="20">
        <f>IFERROR(INDEX('Kode Outlet dan Target Toko'!$C:$C,MATCH($I3260,'Kode Outlet dan Target Toko'!$E:$E,0)),0)</f>
        <v>211181</v>
      </c>
      <c r="H3260" s="20">
        <f>IFERROR(INDEX('Kode Outlet dan Target Toko'!$D:$D,MATCH($I3260,'Kode Outlet dan Target Toko'!$E:$E,0)),0)</f>
        <v>3208670</v>
      </c>
      <c r="I3260" s="42" t="s">
        <v>145</v>
      </c>
      <c r="J3260" s="56" t="s">
        <v>220</v>
      </c>
      <c r="K3260" s="40" t="s">
        <v>14</v>
      </c>
      <c r="L3260" s="26">
        <v>2950</v>
      </c>
      <c r="M3260" s="26">
        <v>25</v>
      </c>
      <c r="N3260" s="25">
        <f t="shared" si="101"/>
        <v>73750</v>
      </c>
      <c r="O3260" s="56"/>
    </row>
    <row r="3261" spans="1:15" hidden="1" x14ac:dyDescent="0.3">
      <c r="A3261" s="26">
        <v>32</v>
      </c>
      <c r="B3261" s="20" t="str">
        <f t="shared" si="100"/>
        <v>AUG</v>
      </c>
      <c r="C3261" s="21">
        <v>46241</v>
      </c>
      <c r="D3261" s="22" t="s">
        <v>45</v>
      </c>
      <c r="E3261" s="20" t="str">
        <f>IFERROR(VLOOKUP(I3261,KET!$B:$F,4,0),"")</f>
        <v>MARTIKA MINTOROWATI</v>
      </c>
      <c r="F3261" s="20" t="s">
        <v>42</v>
      </c>
      <c r="G3261" s="20">
        <f>IFERROR(INDEX('Kode Outlet dan Target Toko'!$C:$C,MATCH($I3261,'Kode Outlet dan Target Toko'!$E:$E,0)),0)</f>
        <v>211181</v>
      </c>
      <c r="H3261" s="20">
        <f>IFERROR(INDEX('Kode Outlet dan Target Toko'!$D:$D,MATCH($I3261,'Kode Outlet dan Target Toko'!$E:$E,0)),0)</f>
        <v>3208670</v>
      </c>
      <c r="I3261" s="42" t="s">
        <v>145</v>
      </c>
      <c r="J3261" s="56" t="s">
        <v>220</v>
      </c>
      <c r="K3261" s="40" t="s">
        <v>13</v>
      </c>
      <c r="L3261" s="26">
        <v>2950</v>
      </c>
      <c r="M3261" s="26">
        <v>19</v>
      </c>
      <c r="N3261" s="25">
        <f t="shared" si="101"/>
        <v>56050</v>
      </c>
      <c r="O3261" s="56"/>
    </row>
    <row r="3262" spans="1:15" hidden="1" x14ac:dyDescent="0.3">
      <c r="A3262" s="26">
        <v>32</v>
      </c>
      <c r="B3262" s="20" t="str">
        <f t="shared" si="100"/>
        <v>AUG</v>
      </c>
      <c r="C3262" s="21">
        <v>46241</v>
      </c>
      <c r="D3262" s="22" t="s">
        <v>45</v>
      </c>
      <c r="E3262" s="20" t="str">
        <f>IFERROR(VLOOKUP(I3262,KET!$B:$F,4,0),"")</f>
        <v>MARTIKA MINTOROWATI</v>
      </c>
      <c r="F3262" s="20" t="s">
        <v>42</v>
      </c>
      <c r="G3262" s="20">
        <f>IFERROR(INDEX('Kode Outlet dan Target Toko'!$C:$C,MATCH($I3262,'Kode Outlet dan Target Toko'!$E:$E,0)),0)</f>
        <v>211181</v>
      </c>
      <c r="H3262" s="20">
        <f>IFERROR(INDEX('Kode Outlet dan Target Toko'!$D:$D,MATCH($I3262,'Kode Outlet dan Target Toko'!$E:$E,0)),0)</f>
        <v>3208670</v>
      </c>
      <c r="I3262" s="42" t="s">
        <v>145</v>
      </c>
      <c r="J3262" s="56" t="s">
        <v>220</v>
      </c>
      <c r="K3262" s="40" t="s">
        <v>16</v>
      </c>
      <c r="L3262" s="26">
        <v>2950</v>
      </c>
      <c r="M3262" s="26">
        <v>39</v>
      </c>
      <c r="N3262" s="25">
        <f t="shared" si="101"/>
        <v>115050</v>
      </c>
      <c r="O3262" s="56">
        <v>160</v>
      </c>
    </row>
    <row r="3263" spans="1:15" hidden="1" x14ac:dyDescent="0.3">
      <c r="A3263" s="26">
        <v>32</v>
      </c>
      <c r="B3263" s="20" t="str">
        <f t="shared" si="100"/>
        <v>AUG</v>
      </c>
      <c r="C3263" s="21">
        <v>46241</v>
      </c>
      <c r="D3263" s="22" t="s">
        <v>45</v>
      </c>
      <c r="E3263" s="20" t="str">
        <f>IFERROR(VLOOKUP(I3263,KET!$B:$F,4,0),"")</f>
        <v>MARTIKA MINTOROWATI</v>
      </c>
      <c r="F3263" s="20" t="s">
        <v>42</v>
      </c>
      <c r="G3263" s="20">
        <f>IFERROR(INDEX('Kode Outlet dan Target Toko'!$C:$C,MATCH($I3263,'Kode Outlet dan Target Toko'!$E:$E,0)),0)</f>
        <v>211181</v>
      </c>
      <c r="H3263" s="20">
        <f>IFERROR(INDEX('Kode Outlet dan Target Toko'!$D:$D,MATCH($I3263,'Kode Outlet dan Target Toko'!$E:$E,0)),0)</f>
        <v>3208670</v>
      </c>
      <c r="I3263" s="42" t="s">
        <v>145</v>
      </c>
      <c r="J3263" s="56" t="s">
        <v>221</v>
      </c>
      <c r="K3263" s="40" t="s">
        <v>15</v>
      </c>
      <c r="L3263" s="26">
        <v>2950</v>
      </c>
      <c r="M3263" s="26">
        <v>20</v>
      </c>
      <c r="N3263" s="25">
        <f t="shared" si="101"/>
        <v>59000</v>
      </c>
      <c r="O3263" s="56"/>
    </row>
    <row r="3264" spans="1:15" hidden="1" x14ac:dyDescent="0.3">
      <c r="A3264" s="26">
        <v>32</v>
      </c>
      <c r="B3264" s="20" t="str">
        <f t="shared" si="100"/>
        <v>AUG</v>
      </c>
      <c r="C3264" s="21">
        <v>46241</v>
      </c>
      <c r="D3264" s="22" t="s">
        <v>45</v>
      </c>
      <c r="E3264" s="20" t="str">
        <f>IFERROR(VLOOKUP(I3264,KET!$B:$F,4,0),"")</f>
        <v>MARTIKA MINTOROWATI</v>
      </c>
      <c r="F3264" s="20" t="s">
        <v>42</v>
      </c>
      <c r="G3264" s="20">
        <f>IFERROR(INDEX('Kode Outlet dan Target Toko'!$C:$C,MATCH($I3264,'Kode Outlet dan Target Toko'!$E:$E,0)),0)</f>
        <v>211181</v>
      </c>
      <c r="H3264" s="20">
        <f>IFERROR(INDEX('Kode Outlet dan Target Toko'!$D:$D,MATCH($I3264,'Kode Outlet dan Target Toko'!$E:$E,0)),0)</f>
        <v>3208670</v>
      </c>
      <c r="I3264" s="42" t="s">
        <v>145</v>
      </c>
      <c r="J3264" s="56" t="s">
        <v>221</v>
      </c>
      <c r="K3264" s="40" t="s">
        <v>14</v>
      </c>
      <c r="L3264" s="26">
        <v>2950</v>
      </c>
      <c r="M3264" s="26">
        <v>24</v>
      </c>
      <c r="N3264" s="25">
        <f t="shared" si="101"/>
        <v>70800</v>
      </c>
      <c r="O3264" s="56"/>
    </row>
    <row r="3265" spans="1:15" hidden="1" x14ac:dyDescent="0.3">
      <c r="A3265" s="26">
        <v>32</v>
      </c>
      <c r="B3265" s="20" t="str">
        <f t="shared" si="100"/>
        <v>AUG</v>
      </c>
      <c r="C3265" s="21">
        <v>46241</v>
      </c>
      <c r="D3265" s="22" t="s">
        <v>45</v>
      </c>
      <c r="E3265" s="20" t="str">
        <f>IFERROR(VLOOKUP(I3265,KET!$B:$F,4,0),"")</f>
        <v>MARTIKA MINTOROWATI</v>
      </c>
      <c r="F3265" s="20" t="s">
        <v>42</v>
      </c>
      <c r="G3265" s="20">
        <f>IFERROR(INDEX('Kode Outlet dan Target Toko'!$C:$C,MATCH($I3265,'Kode Outlet dan Target Toko'!$E:$E,0)),0)</f>
        <v>211181</v>
      </c>
      <c r="H3265" s="20">
        <f>IFERROR(INDEX('Kode Outlet dan Target Toko'!$D:$D,MATCH($I3265,'Kode Outlet dan Target Toko'!$E:$E,0)),0)</f>
        <v>3208670</v>
      </c>
      <c r="I3265" s="42" t="s">
        <v>145</v>
      </c>
      <c r="J3265" s="56" t="s">
        <v>221</v>
      </c>
      <c r="K3265" s="40" t="s">
        <v>13</v>
      </c>
      <c r="L3265" s="26">
        <v>2950</v>
      </c>
      <c r="M3265" s="26">
        <v>18</v>
      </c>
      <c r="N3265" s="25">
        <f t="shared" si="101"/>
        <v>53100</v>
      </c>
      <c r="O3265" s="56"/>
    </row>
    <row r="3266" spans="1:15" hidden="1" x14ac:dyDescent="0.3">
      <c r="A3266" s="26">
        <v>32</v>
      </c>
      <c r="B3266" s="20" t="str">
        <f t="shared" si="100"/>
        <v>AUG</v>
      </c>
      <c r="C3266" s="21">
        <v>46241</v>
      </c>
      <c r="D3266" s="22" t="s">
        <v>45</v>
      </c>
      <c r="E3266" s="20" t="str">
        <f>IFERROR(VLOOKUP(I3266,KET!$B:$F,4,0),"")</f>
        <v>MARTIKA MINTOROWATI</v>
      </c>
      <c r="F3266" s="20" t="s">
        <v>42</v>
      </c>
      <c r="G3266" s="20">
        <f>IFERROR(INDEX('Kode Outlet dan Target Toko'!$C:$C,MATCH($I3266,'Kode Outlet dan Target Toko'!$E:$E,0)),0)</f>
        <v>211181</v>
      </c>
      <c r="H3266" s="20">
        <f>IFERROR(INDEX('Kode Outlet dan Target Toko'!$D:$D,MATCH($I3266,'Kode Outlet dan Target Toko'!$E:$E,0)),0)</f>
        <v>3208670</v>
      </c>
      <c r="I3266" s="42" t="s">
        <v>145</v>
      </c>
      <c r="J3266" s="56" t="s">
        <v>221</v>
      </c>
      <c r="K3266" s="40" t="s">
        <v>16</v>
      </c>
      <c r="L3266" s="26">
        <v>2950</v>
      </c>
      <c r="M3266" s="26">
        <v>39</v>
      </c>
      <c r="N3266" s="25">
        <f t="shared" si="101"/>
        <v>115050</v>
      </c>
      <c r="O3266" s="56">
        <v>160</v>
      </c>
    </row>
    <row r="3267" spans="1:15" hidden="1" x14ac:dyDescent="0.3">
      <c r="A3267" s="26">
        <v>32</v>
      </c>
      <c r="B3267" s="20" t="str">
        <f t="shared" si="100"/>
        <v>AUG</v>
      </c>
      <c r="C3267" s="21">
        <v>46241</v>
      </c>
      <c r="D3267" s="22" t="s">
        <v>45</v>
      </c>
      <c r="E3267" s="20" t="str">
        <f>IFERROR(VLOOKUP(I3267,KET!$B:$F,4,0),"")</f>
        <v>MARTIKA MINTOROWATI</v>
      </c>
      <c r="F3267" s="20" t="s">
        <v>42</v>
      </c>
      <c r="G3267" s="20">
        <f>IFERROR(INDEX('Kode Outlet dan Target Toko'!$C:$C,MATCH($I3267,'Kode Outlet dan Target Toko'!$E:$E,0)),0)</f>
        <v>211161</v>
      </c>
      <c r="H3267" s="20">
        <f>IFERROR(INDEX('Kode Outlet dan Target Toko'!$D:$D,MATCH($I3267,'Kode Outlet dan Target Toko'!$E:$E,0)),0)</f>
        <v>710355</v>
      </c>
      <c r="I3267" s="42" t="s">
        <v>97</v>
      </c>
      <c r="J3267" s="56" t="s">
        <v>222</v>
      </c>
      <c r="K3267" s="40" t="s">
        <v>15</v>
      </c>
      <c r="L3267" s="26">
        <v>2950</v>
      </c>
      <c r="M3267" s="26">
        <v>20</v>
      </c>
      <c r="N3267" s="25">
        <f t="shared" si="101"/>
        <v>59000</v>
      </c>
      <c r="O3267" s="56"/>
    </row>
    <row r="3268" spans="1:15" hidden="1" x14ac:dyDescent="0.3">
      <c r="A3268" s="26">
        <v>32</v>
      </c>
      <c r="B3268" s="20" t="str">
        <f t="shared" si="100"/>
        <v>AUG</v>
      </c>
      <c r="C3268" s="21">
        <v>46241</v>
      </c>
      <c r="D3268" s="22" t="s">
        <v>45</v>
      </c>
      <c r="E3268" s="20" t="str">
        <f>IFERROR(VLOOKUP(I3268,KET!$B:$F,4,0),"")</f>
        <v>MARTIKA MINTOROWATI</v>
      </c>
      <c r="F3268" s="20" t="s">
        <v>42</v>
      </c>
      <c r="G3268" s="20">
        <f>IFERROR(INDEX('Kode Outlet dan Target Toko'!$C:$C,MATCH($I3268,'Kode Outlet dan Target Toko'!$E:$E,0)),0)</f>
        <v>211161</v>
      </c>
      <c r="H3268" s="20">
        <f>IFERROR(INDEX('Kode Outlet dan Target Toko'!$D:$D,MATCH($I3268,'Kode Outlet dan Target Toko'!$E:$E,0)),0)</f>
        <v>710355</v>
      </c>
      <c r="I3268" s="42" t="s">
        <v>97</v>
      </c>
      <c r="J3268" s="56" t="s">
        <v>222</v>
      </c>
      <c r="K3268" s="40" t="s">
        <v>14</v>
      </c>
      <c r="L3268" s="26">
        <v>2950</v>
      </c>
      <c r="M3268" s="26">
        <v>25</v>
      </c>
      <c r="N3268" s="25">
        <f t="shared" si="101"/>
        <v>73750</v>
      </c>
      <c r="O3268" s="56"/>
    </row>
    <row r="3269" spans="1:15" hidden="1" x14ac:dyDescent="0.3">
      <c r="A3269" s="26">
        <v>32</v>
      </c>
      <c r="B3269" s="20" t="str">
        <f t="shared" si="100"/>
        <v>AUG</v>
      </c>
      <c r="C3269" s="21">
        <v>46241</v>
      </c>
      <c r="D3269" s="22" t="s">
        <v>45</v>
      </c>
      <c r="E3269" s="20" t="str">
        <f>IFERROR(VLOOKUP(I3269,KET!$B:$F,4,0),"")</f>
        <v>MARTIKA MINTOROWATI</v>
      </c>
      <c r="F3269" s="20" t="s">
        <v>42</v>
      </c>
      <c r="G3269" s="20">
        <f>IFERROR(INDEX('Kode Outlet dan Target Toko'!$C:$C,MATCH($I3269,'Kode Outlet dan Target Toko'!$E:$E,0)),0)</f>
        <v>211161</v>
      </c>
      <c r="H3269" s="20">
        <f>IFERROR(INDEX('Kode Outlet dan Target Toko'!$D:$D,MATCH($I3269,'Kode Outlet dan Target Toko'!$E:$E,0)),0)</f>
        <v>710355</v>
      </c>
      <c r="I3269" s="42" t="s">
        <v>97</v>
      </c>
      <c r="J3269" s="56" t="s">
        <v>222</v>
      </c>
      <c r="K3269" s="40" t="s">
        <v>13</v>
      </c>
      <c r="L3269" s="26">
        <v>2950</v>
      </c>
      <c r="M3269" s="26">
        <v>10</v>
      </c>
      <c r="N3269" s="25">
        <f t="shared" si="101"/>
        <v>29500</v>
      </c>
      <c r="O3269" s="56"/>
    </row>
    <row r="3270" spans="1:15" hidden="1" x14ac:dyDescent="0.3">
      <c r="A3270" s="26">
        <v>32</v>
      </c>
      <c r="B3270" s="20" t="str">
        <f t="shared" si="100"/>
        <v>AUG</v>
      </c>
      <c r="C3270" s="21">
        <v>46241</v>
      </c>
      <c r="D3270" s="22" t="s">
        <v>45</v>
      </c>
      <c r="E3270" s="20" t="str">
        <f>IFERROR(VLOOKUP(I3270,KET!$B:$F,4,0),"")</f>
        <v>MARTIKA MINTOROWATI</v>
      </c>
      <c r="F3270" s="20" t="s">
        <v>42</v>
      </c>
      <c r="G3270" s="20">
        <f>IFERROR(INDEX('Kode Outlet dan Target Toko'!$C:$C,MATCH($I3270,'Kode Outlet dan Target Toko'!$E:$E,0)),0)</f>
        <v>211161</v>
      </c>
      <c r="H3270" s="20">
        <f>IFERROR(INDEX('Kode Outlet dan Target Toko'!$D:$D,MATCH($I3270,'Kode Outlet dan Target Toko'!$E:$E,0)),0)</f>
        <v>710355</v>
      </c>
      <c r="I3270" s="42" t="s">
        <v>97</v>
      </c>
      <c r="J3270" s="56" t="s">
        <v>222</v>
      </c>
      <c r="K3270" s="40" t="s">
        <v>16</v>
      </c>
      <c r="L3270" s="26">
        <v>2950</v>
      </c>
      <c r="M3270" s="26">
        <v>112</v>
      </c>
      <c r="N3270" s="25">
        <f t="shared" si="101"/>
        <v>330400</v>
      </c>
      <c r="O3270" s="56">
        <v>130</v>
      </c>
    </row>
    <row r="3271" spans="1:15" hidden="1" x14ac:dyDescent="0.3">
      <c r="A3271" s="26">
        <v>32</v>
      </c>
      <c r="B3271" s="20" t="str">
        <f t="shared" ref="B3271:B3334" si="102">IF(C3271="","",UPPER(TEXT(C3271, "MMM")))</f>
        <v>AUG</v>
      </c>
      <c r="C3271" s="21">
        <v>46241</v>
      </c>
      <c r="D3271" s="22" t="s">
        <v>45</v>
      </c>
      <c r="E3271" s="20" t="str">
        <f>IFERROR(VLOOKUP(I3271,KET!$B:$F,4,0),"")</f>
        <v>MARTIKA MINTOROWATI</v>
      </c>
      <c r="F3271" s="20" t="s">
        <v>42</v>
      </c>
      <c r="G3271" s="20">
        <f>IFERROR(INDEX('Kode Outlet dan Target Toko'!$C:$C,MATCH($I3271,'Kode Outlet dan Target Toko'!$E:$E,0)),0)</f>
        <v>211161</v>
      </c>
      <c r="H3271" s="20">
        <f>IFERROR(INDEX('Kode Outlet dan Target Toko'!$D:$D,MATCH($I3271,'Kode Outlet dan Target Toko'!$E:$E,0)),0)</f>
        <v>710355</v>
      </c>
      <c r="I3271" s="42" t="s">
        <v>97</v>
      </c>
      <c r="J3271" s="56" t="s">
        <v>223</v>
      </c>
      <c r="K3271" s="40" t="s">
        <v>15</v>
      </c>
      <c r="L3271" s="26">
        <v>2950</v>
      </c>
      <c r="M3271" s="26">
        <v>20</v>
      </c>
      <c r="N3271" s="25">
        <f t="shared" ref="N3271:N3334" si="103">IFERROR(M3271*L3271,"")</f>
        <v>59000</v>
      </c>
      <c r="O3271" s="56"/>
    </row>
    <row r="3272" spans="1:15" hidden="1" x14ac:dyDescent="0.3">
      <c r="A3272" s="26">
        <v>32</v>
      </c>
      <c r="B3272" s="20" t="str">
        <f t="shared" si="102"/>
        <v>AUG</v>
      </c>
      <c r="C3272" s="21">
        <v>46241</v>
      </c>
      <c r="D3272" s="22" t="s">
        <v>45</v>
      </c>
      <c r="E3272" s="20" t="str">
        <f>IFERROR(VLOOKUP(I3272,KET!$B:$F,4,0),"")</f>
        <v>MARTIKA MINTOROWATI</v>
      </c>
      <c r="F3272" s="20" t="s">
        <v>42</v>
      </c>
      <c r="G3272" s="20">
        <f>IFERROR(INDEX('Kode Outlet dan Target Toko'!$C:$C,MATCH($I3272,'Kode Outlet dan Target Toko'!$E:$E,0)),0)</f>
        <v>211161</v>
      </c>
      <c r="H3272" s="20">
        <f>IFERROR(INDEX('Kode Outlet dan Target Toko'!$D:$D,MATCH($I3272,'Kode Outlet dan Target Toko'!$E:$E,0)),0)</f>
        <v>710355</v>
      </c>
      <c r="I3272" s="42" t="s">
        <v>97</v>
      </c>
      <c r="J3272" s="56" t="s">
        <v>223</v>
      </c>
      <c r="K3272" s="40" t="s">
        <v>14</v>
      </c>
      <c r="L3272" s="26">
        <v>2950</v>
      </c>
      <c r="M3272" s="26">
        <v>25</v>
      </c>
      <c r="N3272" s="25">
        <f t="shared" si="103"/>
        <v>73750</v>
      </c>
      <c r="O3272" s="56"/>
    </row>
    <row r="3273" spans="1:15" hidden="1" x14ac:dyDescent="0.3">
      <c r="A3273" s="26">
        <v>32</v>
      </c>
      <c r="B3273" s="20" t="str">
        <f t="shared" si="102"/>
        <v>AUG</v>
      </c>
      <c r="C3273" s="21">
        <v>46241</v>
      </c>
      <c r="D3273" s="22" t="s">
        <v>45</v>
      </c>
      <c r="E3273" s="20" t="str">
        <f>IFERROR(VLOOKUP(I3273,KET!$B:$F,4,0),"")</f>
        <v>MARTIKA MINTOROWATI</v>
      </c>
      <c r="F3273" s="20" t="s">
        <v>42</v>
      </c>
      <c r="G3273" s="20">
        <f>IFERROR(INDEX('Kode Outlet dan Target Toko'!$C:$C,MATCH($I3273,'Kode Outlet dan Target Toko'!$E:$E,0)),0)</f>
        <v>211161</v>
      </c>
      <c r="H3273" s="20">
        <f>IFERROR(INDEX('Kode Outlet dan Target Toko'!$D:$D,MATCH($I3273,'Kode Outlet dan Target Toko'!$E:$E,0)),0)</f>
        <v>710355</v>
      </c>
      <c r="I3273" s="42" t="s">
        <v>97</v>
      </c>
      <c r="J3273" s="56" t="s">
        <v>223</v>
      </c>
      <c r="K3273" s="40" t="s">
        <v>13</v>
      </c>
      <c r="L3273" s="26">
        <v>2950</v>
      </c>
      <c r="M3273" s="26">
        <v>10</v>
      </c>
      <c r="N3273" s="25">
        <f t="shared" si="103"/>
        <v>29500</v>
      </c>
      <c r="O3273" s="56"/>
    </row>
    <row r="3274" spans="1:15" hidden="1" x14ac:dyDescent="0.3">
      <c r="A3274" s="26">
        <v>32</v>
      </c>
      <c r="B3274" s="20" t="str">
        <f t="shared" si="102"/>
        <v>AUG</v>
      </c>
      <c r="C3274" s="21">
        <v>46241</v>
      </c>
      <c r="D3274" s="22" t="s">
        <v>45</v>
      </c>
      <c r="E3274" s="20" t="str">
        <f>IFERROR(VLOOKUP(I3274,KET!$B:$F,4,0),"")</f>
        <v>MARTIKA MINTOROWATI</v>
      </c>
      <c r="F3274" s="20" t="s">
        <v>42</v>
      </c>
      <c r="G3274" s="20">
        <f>IFERROR(INDEX('Kode Outlet dan Target Toko'!$C:$C,MATCH($I3274,'Kode Outlet dan Target Toko'!$E:$E,0)),0)</f>
        <v>211161</v>
      </c>
      <c r="H3274" s="20">
        <f>IFERROR(INDEX('Kode Outlet dan Target Toko'!$D:$D,MATCH($I3274,'Kode Outlet dan Target Toko'!$E:$E,0)),0)</f>
        <v>710355</v>
      </c>
      <c r="I3274" s="42" t="s">
        <v>97</v>
      </c>
      <c r="J3274" s="56" t="s">
        <v>223</v>
      </c>
      <c r="K3274" s="40" t="s">
        <v>16</v>
      </c>
      <c r="L3274" s="26">
        <v>2950</v>
      </c>
      <c r="M3274" s="26">
        <v>112</v>
      </c>
      <c r="N3274" s="25">
        <f t="shared" si="103"/>
        <v>330400</v>
      </c>
      <c r="O3274" s="56">
        <v>130</v>
      </c>
    </row>
    <row r="3275" spans="1:15" hidden="1" x14ac:dyDescent="0.3">
      <c r="A3275" s="26">
        <v>32</v>
      </c>
      <c r="B3275" s="20" t="str">
        <f t="shared" si="102"/>
        <v>AUG</v>
      </c>
      <c r="C3275" s="21">
        <v>46242</v>
      </c>
      <c r="D3275" s="22" t="s">
        <v>45</v>
      </c>
      <c r="E3275" s="20" t="str">
        <f>IFERROR(VLOOKUP(I3275,KET!$B:$F,4,0),"")</f>
        <v>MARTIKA MINTOROWATI</v>
      </c>
      <c r="F3275" s="20" t="s">
        <v>42</v>
      </c>
      <c r="G3275" s="20">
        <f>IFERROR(INDEX('Kode Outlet dan Target Toko'!$C:$C,MATCH($I3275,'Kode Outlet dan Target Toko'!$E:$E,0)),0)</f>
        <v>211161</v>
      </c>
      <c r="H3275" s="20">
        <f>IFERROR(INDEX('Kode Outlet dan Target Toko'!$D:$D,MATCH($I3275,'Kode Outlet dan Target Toko'!$E:$E,0)),0)</f>
        <v>7103</v>
      </c>
      <c r="I3275" s="42" t="s">
        <v>91</v>
      </c>
      <c r="J3275" s="56" t="s">
        <v>217</v>
      </c>
      <c r="K3275" s="40" t="s">
        <v>15</v>
      </c>
      <c r="L3275" s="26">
        <v>2100</v>
      </c>
      <c r="M3275" s="26">
        <v>96</v>
      </c>
      <c r="N3275" s="25">
        <f t="shared" si="103"/>
        <v>201600</v>
      </c>
      <c r="O3275" s="56"/>
    </row>
    <row r="3276" spans="1:15" hidden="1" x14ac:dyDescent="0.3">
      <c r="A3276" s="26">
        <v>32</v>
      </c>
      <c r="B3276" s="20" t="str">
        <f t="shared" si="102"/>
        <v>AUG</v>
      </c>
      <c r="C3276" s="21">
        <v>46242</v>
      </c>
      <c r="D3276" s="22" t="s">
        <v>45</v>
      </c>
      <c r="E3276" s="20" t="str">
        <f>IFERROR(VLOOKUP(I3276,KET!$B:$F,4,0),"")</f>
        <v>MARTIKA MINTOROWATI</v>
      </c>
      <c r="F3276" s="20" t="s">
        <v>42</v>
      </c>
      <c r="G3276" s="20">
        <f>IFERROR(INDEX('Kode Outlet dan Target Toko'!$C:$C,MATCH($I3276,'Kode Outlet dan Target Toko'!$E:$E,0)),0)</f>
        <v>211161</v>
      </c>
      <c r="H3276" s="20">
        <f>IFERROR(INDEX('Kode Outlet dan Target Toko'!$D:$D,MATCH($I3276,'Kode Outlet dan Target Toko'!$E:$E,0)),0)</f>
        <v>7103</v>
      </c>
      <c r="I3276" s="42" t="s">
        <v>91</v>
      </c>
      <c r="J3276" s="56" t="s">
        <v>217</v>
      </c>
      <c r="K3276" s="40" t="s">
        <v>14</v>
      </c>
      <c r="L3276" s="26">
        <v>2100</v>
      </c>
      <c r="M3276" s="26">
        <v>105</v>
      </c>
      <c r="N3276" s="25">
        <f t="shared" si="103"/>
        <v>220500</v>
      </c>
      <c r="O3276" s="56"/>
    </row>
    <row r="3277" spans="1:15" hidden="1" x14ac:dyDescent="0.3">
      <c r="A3277" s="26">
        <v>32</v>
      </c>
      <c r="B3277" s="20" t="str">
        <f t="shared" si="102"/>
        <v>AUG</v>
      </c>
      <c r="C3277" s="21">
        <v>46242</v>
      </c>
      <c r="D3277" s="22" t="s">
        <v>45</v>
      </c>
      <c r="E3277" s="20" t="str">
        <f>IFERROR(VLOOKUP(I3277,KET!$B:$F,4,0),"")</f>
        <v>MARTIKA MINTOROWATI</v>
      </c>
      <c r="F3277" s="20" t="s">
        <v>42</v>
      </c>
      <c r="G3277" s="20">
        <f>IFERROR(INDEX('Kode Outlet dan Target Toko'!$C:$C,MATCH($I3277,'Kode Outlet dan Target Toko'!$E:$E,0)),0)</f>
        <v>211161</v>
      </c>
      <c r="H3277" s="20">
        <f>IFERROR(INDEX('Kode Outlet dan Target Toko'!$D:$D,MATCH($I3277,'Kode Outlet dan Target Toko'!$E:$E,0)),0)</f>
        <v>7103</v>
      </c>
      <c r="I3277" s="42" t="s">
        <v>91</v>
      </c>
      <c r="J3277" s="56" t="s">
        <v>217</v>
      </c>
      <c r="K3277" s="40" t="s">
        <v>13</v>
      </c>
      <c r="L3277" s="26">
        <v>2100</v>
      </c>
      <c r="M3277" s="26">
        <v>180</v>
      </c>
      <c r="N3277" s="25">
        <f t="shared" si="103"/>
        <v>378000</v>
      </c>
      <c r="O3277" s="56"/>
    </row>
    <row r="3278" spans="1:15" hidden="1" x14ac:dyDescent="0.3">
      <c r="A3278" s="26">
        <v>32</v>
      </c>
      <c r="B3278" s="20" t="str">
        <f t="shared" si="102"/>
        <v>AUG</v>
      </c>
      <c r="C3278" s="21">
        <v>46242</v>
      </c>
      <c r="D3278" s="22" t="s">
        <v>45</v>
      </c>
      <c r="E3278" s="20" t="str">
        <f>IFERROR(VLOOKUP(I3278,KET!$B:$F,4,0),"")</f>
        <v>MARTIKA MINTOROWATI</v>
      </c>
      <c r="F3278" s="20" t="s">
        <v>42</v>
      </c>
      <c r="G3278" s="20">
        <f>IFERROR(INDEX('Kode Outlet dan Target Toko'!$C:$C,MATCH($I3278,'Kode Outlet dan Target Toko'!$E:$E,0)),0)</f>
        <v>211161</v>
      </c>
      <c r="H3278" s="20">
        <f>IFERROR(INDEX('Kode Outlet dan Target Toko'!$D:$D,MATCH($I3278,'Kode Outlet dan Target Toko'!$E:$E,0)),0)</f>
        <v>7103</v>
      </c>
      <c r="I3278" s="42" t="s">
        <v>91</v>
      </c>
      <c r="J3278" s="56" t="s">
        <v>217</v>
      </c>
      <c r="K3278" s="40" t="s">
        <v>16</v>
      </c>
      <c r="L3278" s="26">
        <v>2100</v>
      </c>
      <c r="M3278" s="26">
        <v>142</v>
      </c>
      <c r="N3278" s="25">
        <f t="shared" si="103"/>
        <v>298200</v>
      </c>
      <c r="O3278" s="56"/>
    </row>
    <row r="3279" spans="1:15" hidden="1" x14ac:dyDescent="0.3">
      <c r="A3279" s="26">
        <v>32</v>
      </c>
      <c r="B3279" s="20" t="str">
        <f t="shared" si="102"/>
        <v>AUG</v>
      </c>
      <c r="C3279" s="21">
        <v>46242</v>
      </c>
      <c r="D3279" s="22" t="s">
        <v>45</v>
      </c>
      <c r="E3279" s="20" t="str">
        <f>IFERROR(VLOOKUP(I3279,KET!$B:$F,4,0),"")</f>
        <v>MARTIKA MINTOROWATI</v>
      </c>
      <c r="F3279" s="20" t="s">
        <v>42</v>
      </c>
      <c r="G3279" s="20">
        <f>IFERROR(INDEX('Kode Outlet dan Target Toko'!$C:$C,MATCH($I3279,'Kode Outlet dan Target Toko'!$E:$E,0)),0)</f>
        <v>211161</v>
      </c>
      <c r="H3279" s="20">
        <f>IFERROR(INDEX('Kode Outlet dan Target Toko'!$D:$D,MATCH($I3279,'Kode Outlet dan Target Toko'!$E:$E,0)),0)</f>
        <v>7103</v>
      </c>
      <c r="I3279" s="42" t="s">
        <v>91</v>
      </c>
      <c r="J3279" s="56" t="s">
        <v>216</v>
      </c>
      <c r="K3279" s="40" t="s">
        <v>15</v>
      </c>
      <c r="L3279" s="26">
        <v>2100</v>
      </c>
      <c r="M3279" s="26">
        <v>96</v>
      </c>
      <c r="N3279" s="25">
        <f t="shared" si="103"/>
        <v>201600</v>
      </c>
      <c r="O3279" s="56"/>
    </row>
    <row r="3280" spans="1:15" hidden="1" x14ac:dyDescent="0.3">
      <c r="A3280" s="26">
        <v>32</v>
      </c>
      <c r="B3280" s="20" t="str">
        <f t="shared" si="102"/>
        <v>AUG</v>
      </c>
      <c r="C3280" s="21">
        <v>46242</v>
      </c>
      <c r="D3280" s="22" t="s">
        <v>45</v>
      </c>
      <c r="E3280" s="20" t="str">
        <f>IFERROR(VLOOKUP(I3280,KET!$B:$F,4,0),"")</f>
        <v>MARTIKA MINTOROWATI</v>
      </c>
      <c r="F3280" s="20" t="s">
        <v>42</v>
      </c>
      <c r="G3280" s="20">
        <f>IFERROR(INDEX('Kode Outlet dan Target Toko'!$C:$C,MATCH($I3280,'Kode Outlet dan Target Toko'!$E:$E,0)),0)</f>
        <v>211161</v>
      </c>
      <c r="H3280" s="20">
        <f>IFERROR(INDEX('Kode Outlet dan Target Toko'!$D:$D,MATCH($I3280,'Kode Outlet dan Target Toko'!$E:$E,0)),0)</f>
        <v>7103</v>
      </c>
      <c r="I3280" s="42" t="s">
        <v>91</v>
      </c>
      <c r="J3280" s="56" t="s">
        <v>216</v>
      </c>
      <c r="K3280" s="40" t="s">
        <v>14</v>
      </c>
      <c r="L3280" s="26">
        <v>2100</v>
      </c>
      <c r="M3280" s="26">
        <v>105</v>
      </c>
      <c r="N3280" s="25">
        <f t="shared" si="103"/>
        <v>220500</v>
      </c>
      <c r="O3280" s="56"/>
    </row>
    <row r="3281" spans="1:15" hidden="1" x14ac:dyDescent="0.3">
      <c r="A3281" s="26">
        <v>32</v>
      </c>
      <c r="B3281" s="20" t="str">
        <f t="shared" si="102"/>
        <v>AUG</v>
      </c>
      <c r="C3281" s="21">
        <v>46242</v>
      </c>
      <c r="D3281" s="22" t="s">
        <v>45</v>
      </c>
      <c r="E3281" s="20" t="str">
        <f>IFERROR(VLOOKUP(I3281,KET!$B:$F,4,0),"")</f>
        <v>MARTIKA MINTOROWATI</v>
      </c>
      <c r="F3281" s="20" t="s">
        <v>42</v>
      </c>
      <c r="G3281" s="20">
        <f>IFERROR(INDEX('Kode Outlet dan Target Toko'!$C:$C,MATCH($I3281,'Kode Outlet dan Target Toko'!$E:$E,0)),0)</f>
        <v>211161</v>
      </c>
      <c r="H3281" s="20">
        <f>IFERROR(INDEX('Kode Outlet dan Target Toko'!$D:$D,MATCH($I3281,'Kode Outlet dan Target Toko'!$E:$E,0)),0)</f>
        <v>7103</v>
      </c>
      <c r="I3281" s="42" t="s">
        <v>91</v>
      </c>
      <c r="J3281" s="56" t="s">
        <v>216</v>
      </c>
      <c r="K3281" s="40" t="s">
        <v>13</v>
      </c>
      <c r="L3281" s="26">
        <v>2100</v>
      </c>
      <c r="M3281" s="26">
        <v>60</v>
      </c>
      <c r="N3281" s="25">
        <f t="shared" si="103"/>
        <v>126000</v>
      </c>
      <c r="O3281" s="56"/>
    </row>
    <row r="3282" spans="1:15" hidden="1" x14ac:dyDescent="0.3">
      <c r="A3282" s="26">
        <v>32</v>
      </c>
      <c r="B3282" s="20" t="str">
        <f t="shared" si="102"/>
        <v>AUG</v>
      </c>
      <c r="C3282" s="21">
        <v>46242</v>
      </c>
      <c r="D3282" s="22" t="s">
        <v>45</v>
      </c>
      <c r="E3282" s="20" t="str">
        <f>IFERROR(VLOOKUP(I3282,KET!$B:$F,4,0),"")</f>
        <v>MARTIKA MINTOROWATI</v>
      </c>
      <c r="F3282" s="20" t="s">
        <v>42</v>
      </c>
      <c r="G3282" s="20">
        <f>IFERROR(INDEX('Kode Outlet dan Target Toko'!$C:$C,MATCH($I3282,'Kode Outlet dan Target Toko'!$E:$E,0)),0)</f>
        <v>211161</v>
      </c>
      <c r="H3282" s="20">
        <f>IFERROR(INDEX('Kode Outlet dan Target Toko'!$D:$D,MATCH($I3282,'Kode Outlet dan Target Toko'!$E:$E,0)),0)</f>
        <v>7103</v>
      </c>
      <c r="I3282" s="42" t="s">
        <v>91</v>
      </c>
      <c r="J3282" s="56" t="s">
        <v>216</v>
      </c>
      <c r="K3282" s="40" t="s">
        <v>16</v>
      </c>
      <c r="L3282" s="26">
        <v>2100</v>
      </c>
      <c r="M3282" s="26">
        <v>142</v>
      </c>
      <c r="N3282" s="25">
        <f t="shared" si="103"/>
        <v>298200</v>
      </c>
      <c r="O3282" s="56"/>
    </row>
    <row r="3283" spans="1:15" hidden="1" x14ac:dyDescent="0.3">
      <c r="A3283" s="26">
        <v>32</v>
      </c>
      <c r="B3283" s="20" t="str">
        <f t="shared" si="102"/>
        <v>AUG</v>
      </c>
      <c r="C3283" s="21">
        <v>46242</v>
      </c>
      <c r="D3283" s="22" t="s">
        <v>45</v>
      </c>
      <c r="E3283" s="20" t="str">
        <f>IFERROR(VLOOKUP(I3283,KET!$B:$F,4,0),"")</f>
        <v>MARTIKA MINTOROWATI</v>
      </c>
      <c r="F3283" s="20" t="s">
        <v>42</v>
      </c>
      <c r="G3283" s="20">
        <f>IFERROR(INDEX('Kode Outlet dan Target Toko'!$C:$C,MATCH($I3283,'Kode Outlet dan Target Toko'!$E:$E,0)),0)</f>
        <v>170208</v>
      </c>
      <c r="H3283" s="20">
        <f>IFERROR(INDEX('Kode Outlet dan Target Toko'!$D:$D,MATCH($I3283,'Kode Outlet dan Target Toko'!$E:$E,0)),0)</f>
        <v>5765011</v>
      </c>
      <c r="I3283" s="42" t="s">
        <v>109</v>
      </c>
      <c r="J3283" s="56" t="s">
        <v>214</v>
      </c>
      <c r="K3283" s="40" t="s">
        <v>15</v>
      </c>
      <c r="L3283" s="26">
        <v>2950</v>
      </c>
      <c r="M3283" s="26">
        <v>75</v>
      </c>
      <c r="N3283" s="25">
        <f t="shared" si="103"/>
        <v>221250</v>
      </c>
      <c r="O3283" s="56"/>
    </row>
    <row r="3284" spans="1:15" hidden="1" x14ac:dyDescent="0.3">
      <c r="A3284" s="26">
        <v>32</v>
      </c>
      <c r="B3284" s="20" t="str">
        <f t="shared" si="102"/>
        <v>AUG</v>
      </c>
      <c r="C3284" s="21">
        <v>46242</v>
      </c>
      <c r="D3284" s="22" t="s">
        <v>45</v>
      </c>
      <c r="E3284" s="20" t="str">
        <f>IFERROR(VLOOKUP(I3284,KET!$B:$F,4,0),"")</f>
        <v>MARTIKA MINTOROWATI</v>
      </c>
      <c r="F3284" s="20" t="s">
        <v>42</v>
      </c>
      <c r="G3284" s="20">
        <f>IFERROR(INDEX('Kode Outlet dan Target Toko'!$C:$C,MATCH($I3284,'Kode Outlet dan Target Toko'!$E:$E,0)),0)</f>
        <v>170208</v>
      </c>
      <c r="H3284" s="20">
        <f>IFERROR(INDEX('Kode Outlet dan Target Toko'!$D:$D,MATCH($I3284,'Kode Outlet dan Target Toko'!$E:$E,0)),0)</f>
        <v>5765011</v>
      </c>
      <c r="I3284" s="42" t="s">
        <v>109</v>
      </c>
      <c r="J3284" s="56" t="s">
        <v>214</v>
      </c>
      <c r="K3284" s="40" t="s">
        <v>14</v>
      </c>
      <c r="L3284" s="26">
        <v>2950</v>
      </c>
      <c r="M3284" s="26">
        <v>102</v>
      </c>
      <c r="N3284" s="25">
        <f t="shared" si="103"/>
        <v>300900</v>
      </c>
      <c r="O3284" s="56"/>
    </row>
    <row r="3285" spans="1:15" hidden="1" x14ac:dyDescent="0.3">
      <c r="A3285" s="26">
        <v>32</v>
      </c>
      <c r="B3285" s="20" t="str">
        <f t="shared" si="102"/>
        <v>AUG</v>
      </c>
      <c r="C3285" s="21">
        <v>46242</v>
      </c>
      <c r="D3285" s="22" t="s">
        <v>45</v>
      </c>
      <c r="E3285" s="20" t="str">
        <f>IFERROR(VLOOKUP(I3285,KET!$B:$F,4,0),"")</f>
        <v>MARTIKA MINTOROWATI</v>
      </c>
      <c r="F3285" s="20" t="s">
        <v>42</v>
      </c>
      <c r="G3285" s="20">
        <f>IFERROR(INDEX('Kode Outlet dan Target Toko'!$C:$C,MATCH($I3285,'Kode Outlet dan Target Toko'!$E:$E,0)),0)</f>
        <v>170208</v>
      </c>
      <c r="H3285" s="20">
        <f>IFERROR(INDEX('Kode Outlet dan Target Toko'!$D:$D,MATCH($I3285,'Kode Outlet dan Target Toko'!$E:$E,0)),0)</f>
        <v>5765011</v>
      </c>
      <c r="I3285" s="42" t="s">
        <v>109</v>
      </c>
      <c r="J3285" s="56" t="s">
        <v>214</v>
      </c>
      <c r="K3285" s="40" t="s">
        <v>13</v>
      </c>
      <c r="L3285" s="26">
        <v>2950</v>
      </c>
      <c r="M3285" s="26">
        <v>34</v>
      </c>
      <c r="N3285" s="25">
        <f t="shared" si="103"/>
        <v>100300</v>
      </c>
      <c r="O3285" s="56"/>
    </row>
    <row r="3286" spans="1:15" hidden="1" x14ac:dyDescent="0.3">
      <c r="A3286" s="26">
        <v>32</v>
      </c>
      <c r="B3286" s="20" t="str">
        <f t="shared" si="102"/>
        <v>AUG</v>
      </c>
      <c r="C3286" s="21">
        <v>46242</v>
      </c>
      <c r="D3286" s="22" t="s">
        <v>45</v>
      </c>
      <c r="E3286" s="20" t="str">
        <f>IFERROR(VLOOKUP(I3286,KET!$B:$F,4,0),"")</f>
        <v>MARTIKA MINTOROWATI</v>
      </c>
      <c r="F3286" s="20" t="s">
        <v>42</v>
      </c>
      <c r="G3286" s="20">
        <f>IFERROR(INDEX('Kode Outlet dan Target Toko'!$C:$C,MATCH($I3286,'Kode Outlet dan Target Toko'!$E:$E,0)),0)</f>
        <v>170208</v>
      </c>
      <c r="H3286" s="20">
        <f>IFERROR(INDEX('Kode Outlet dan Target Toko'!$D:$D,MATCH($I3286,'Kode Outlet dan Target Toko'!$E:$E,0)),0)</f>
        <v>5765011</v>
      </c>
      <c r="I3286" s="42" t="s">
        <v>109</v>
      </c>
      <c r="J3286" s="56" t="s">
        <v>214</v>
      </c>
      <c r="K3286" s="40" t="s">
        <v>16</v>
      </c>
      <c r="L3286" s="26">
        <v>2950</v>
      </c>
      <c r="M3286" s="26">
        <v>303</v>
      </c>
      <c r="N3286" s="25">
        <f t="shared" si="103"/>
        <v>893850</v>
      </c>
      <c r="O3286" s="56">
        <v>160</v>
      </c>
    </row>
    <row r="3287" spans="1:15" hidden="1" x14ac:dyDescent="0.3">
      <c r="A3287" s="26">
        <v>32</v>
      </c>
      <c r="B3287" s="20" t="str">
        <f t="shared" si="102"/>
        <v>AUG</v>
      </c>
      <c r="C3287" s="21">
        <v>46242</v>
      </c>
      <c r="D3287" s="22" t="s">
        <v>45</v>
      </c>
      <c r="E3287" s="20" t="str">
        <f>IFERROR(VLOOKUP(I3287,KET!$B:$F,4,0),"")</f>
        <v>MARTIKA MINTOROWATI</v>
      </c>
      <c r="F3287" s="20" t="s">
        <v>42</v>
      </c>
      <c r="G3287" s="20">
        <f>IFERROR(INDEX('Kode Outlet dan Target Toko'!$C:$C,MATCH($I3287,'Kode Outlet dan Target Toko'!$E:$E,0)),0)</f>
        <v>170208</v>
      </c>
      <c r="H3287" s="20">
        <f>IFERROR(INDEX('Kode Outlet dan Target Toko'!$D:$D,MATCH($I3287,'Kode Outlet dan Target Toko'!$E:$E,0)),0)</f>
        <v>5765011</v>
      </c>
      <c r="I3287" s="42" t="s">
        <v>109</v>
      </c>
      <c r="J3287" s="56" t="s">
        <v>215</v>
      </c>
      <c r="K3287" s="40" t="s">
        <v>15</v>
      </c>
      <c r="L3287" s="26">
        <v>2950</v>
      </c>
      <c r="M3287" s="26">
        <v>75</v>
      </c>
      <c r="N3287" s="25">
        <f t="shared" si="103"/>
        <v>221250</v>
      </c>
      <c r="O3287" s="56"/>
    </row>
    <row r="3288" spans="1:15" hidden="1" x14ac:dyDescent="0.3">
      <c r="A3288" s="26">
        <v>32</v>
      </c>
      <c r="B3288" s="20" t="str">
        <f t="shared" si="102"/>
        <v>AUG</v>
      </c>
      <c r="C3288" s="21">
        <v>46242</v>
      </c>
      <c r="D3288" s="22" t="s">
        <v>45</v>
      </c>
      <c r="E3288" s="20" t="str">
        <f>IFERROR(VLOOKUP(I3288,KET!$B:$F,4,0),"")</f>
        <v>MARTIKA MINTOROWATI</v>
      </c>
      <c r="F3288" s="20" t="s">
        <v>42</v>
      </c>
      <c r="G3288" s="20">
        <f>IFERROR(INDEX('Kode Outlet dan Target Toko'!$C:$C,MATCH($I3288,'Kode Outlet dan Target Toko'!$E:$E,0)),0)</f>
        <v>170208</v>
      </c>
      <c r="H3288" s="20">
        <f>IFERROR(INDEX('Kode Outlet dan Target Toko'!$D:$D,MATCH($I3288,'Kode Outlet dan Target Toko'!$E:$E,0)),0)</f>
        <v>5765011</v>
      </c>
      <c r="I3288" s="42" t="s">
        <v>109</v>
      </c>
      <c r="J3288" s="56" t="s">
        <v>215</v>
      </c>
      <c r="K3288" s="40" t="s">
        <v>14</v>
      </c>
      <c r="L3288" s="26">
        <v>2950</v>
      </c>
      <c r="M3288" s="26">
        <v>102</v>
      </c>
      <c r="N3288" s="25">
        <f t="shared" si="103"/>
        <v>300900</v>
      </c>
      <c r="O3288" s="56"/>
    </row>
    <row r="3289" spans="1:15" hidden="1" x14ac:dyDescent="0.3">
      <c r="A3289" s="26">
        <v>32</v>
      </c>
      <c r="B3289" s="20" t="str">
        <f t="shared" si="102"/>
        <v>AUG</v>
      </c>
      <c r="C3289" s="21">
        <v>46242</v>
      </c>
      <c r="D3289" s="22" t="s">
        <v>45</v>
      </c>
      <c r="E3289" s="20" t="str">
        <f>IFERROR(VLOOKUP(I3289,KET!$B:$F,4,0),"")</f>
        <v>MARTIKA MINTOROWATI</v>
      </c>
      <c r="F3289" s="20" t="s">
        <v>42</v>
      </c>
      <c r="G3289" s="20">
        <f>IFERROR(INDEX('Kode Outlet dan Target Toko'!$C:$C,MATCH($I3289,'Kode Outlet dan Target Toko'!$E:$E,0)),0)</f>
        <v>170208</v>
      </c>
      <c r="H3289" s="20">
        <f>IFERROR(INDEX('Kode Outlet dan Target Toko'!$D:$D,MATCH($I3289,'Kode Outlet dan Target Toko'!$E:$E,0)),0)</f>
        <v>5765011</v>
      </c>
      <c r="I3289" s="42" t="s">
        <v>109</v>
      </c>
      <c r="J3289" s="56" t="s">
        <v>215</v>
      </c>
      <c r="K3289" s="40" t="s">
        <v>13</v>
      </c>
      <c r="L3289" s="26">
        <v>2950</v>
      </c>
      <c r="M3289" s="26">
        <v>34</v>
      </c>
      <c r="N3289" s="25">
        <f t="shared" si="103"/>
        <v>100300</v>
      </c>
      <c r="O3289" s="56"/>
    </row>
    <row r="3290" spans="1:15" hidden="1" x14ac:dyDescent="0.3">
      <c r="A3290" s="26">
        <v>32</v>
      </c>
      <c r="B3290" s="20" t="str">
        <f t="shared" si="102"/>
        <v>AUG</v>
      </c>
      <c r="C3290" s="21">
        <v>46242</v>
      </c>
      <c r="D3290" s="22" t="s">
        <v>45</v>
      </c>
      <c r="E3290" s="20" t="str">
        <f>IFERROR(VLOOKUP(I3290,KET!$B:$F,4,0),"")</f>
        <v>MARTIKA MINTOROWATI</v>
      </c>
      <c r="F3290" s="20" t="s">
        <v>42</v>
      </c>
      <c r="G3290" s="20">
        <f>IFERROR(INDEX('Kode Outlet dan Target Toko'!$C:$C,MATCH($I3290,'Kode Outlet dan Target Toko'!$E:$E,0)),0)</f>
        <v>170208</v>
      </c>
      <c r="H3290" s="20">
        <f>IFERROR(INDEX('Kode Outlet dan Target Toko'!$D:$D,MATCH($I3290,'Kode Outlet dan Target Toko'!$E:$E,0)),0)</f>
        <v>5765011</v>
      </c>
      <c r="I3290" s="42" t="s">
        <v>109</v>
      </c>
      <c r="J3290" s="56" t="s">
        <v>215</v>
      </c>
      <c r="K3290" s="40" t="s">
        <v>16</v>
      </c>
      <c r="L3290" s="26">
        <v>2950</v>
      </c>
      <c r="M3290" s="26">
        <v>303</v>
      </c>
      <c r="N3290" s="25">
        <f t="shared" si="103"/>
        <v>893850</v>
      </c>
      <c r="O3290" s="56">
        <v>160</v>
      </c>
    </row>
    <row r="3291" spans="1:15" hidden="1" x14ac:dyDescent="0.3">
      <c r="A3291" s="26">
        <v>32</v>
      </c>
      <c r="B3291" s="20" t="str">
        <f t="shared" si="102"/>
        <v>AUG</v>
      </c>
      <c r="C3291" s="21">
        <v>46242</v>
      </c>
      <c r="D3291" s="22" t="s">
        <v>45</v>
      </c>
      <c r="E3291" s="20" t="str">
        <f>IFERROR(VLOOKUP(I3291,KET!$B:$F,4,0),"")</f>
        <v>MARTIKA MINTOROWATI</v>
      </c>
      <c r="F3291" s="20" t="s">
        <v>42</v>
      </c>
      <c r="G3291" s="20">
        <f>IFERROR(INDEX('Kode Outlet dan Target Toko'!$C:$C,MATCH($I3291,'Kode Outlet dan Target Toko'!$E:$E,0)),0)</f>
        <v>211030</v>
      </c>
      <c r="H3291" s="20">
        <f>IFERROR(INDEX('Kode Outlet dan Target Toko'!$D:$D,MATCH($I3291,'Kode Outlet dan Target Toko'!$E:$E,0)),0)</f>
        <v>5766116</v>
      </c>
      <c r="I3291" s="42" t="s">
        <v>106</v>
      </c>
      <c r="J3291" s="56" t="s">
        <v>300</v>
      </c>
      <c r="K3291" s="40" t="s">
        <v>15</v>
      </c>
      <c r="L3291" s="26">
        <v>2950</v>
      </c>
      <c r="M3291" s="26">
        <v>56</v>
      </c>
      <c r="N3291" s="25">
        <f t="shared" si="103"/>
        <v>165200</v>
      </c>
      <c r="O3291" s="56"/>
    </row>
    <row r="3292" spans="1:15" hidden="1" x14ac:dyDescent="0.3">
      <c r="A3292" s="26">
        <v>32</v>
      </c>
      <c r="B3292" s="20" t="str">
        <f t="shared" si="102"/>
        <v>AUG</v>
      </c>
      <c r="C3292" s="21">
        <v>46242</v>
      </c>
      <c r="D3292" s="22" t="s">
        <v>45</v>
      </c>
      <c r="E3292" s="20" t="str">
        <f>IFERROR(VLOOKUP(I3292,KET!$B:$F,4,0),"")</f>
        <v>MARTIKA MINTOROWATI</v>
      </c>
      <c r="F3292" s="20" t="s">
        <v>42</v>
      </c>
      <c r="G3292" s="20">
        <f>IFERROR(INDEX('Kode Outlet dan Target Toko'!$C:$C,MATCH($I3292,'Kode Outlet dan Target Toko'!$E:$E,0)),0)</f>
        <v>211030</v>
      </c>
      <c r="H3292" s="20">
        <f>IFERROR(INDEX('Kode Outlet dan Target Toko'!$D:$D,MATCH($I3292,'Kode Outlet dan Target Toko'!$E:$E,0)),0)</f>
        <v>5766116</v>
      </c>
      <c r="I3292" s="42" t="s">
        <v>106</v>
      </c>
      <c r="J3292" s="56" t="s">
        <v>300</v>
      </c>
      <c r="K3292" s="40" t="s">
        <v>14</v>
      </c>
      <c r="L3292" s="26">
        <v>2950</v>
      </c>
      <c r="M3292" s="26">
        <v>57</v>
      </c>
      <c r="N3292" s="25">
        <f t="shared" si="103"/>
        <v>168150</v>
      </c>
      <c r="O3292" s="56"/>
    </row>
    <row r="3293" spans="1:15" hidden="1" x14ac:dyDescent="0.3">
      <c r="A3293" s="26">
        <v>32</v>
      </c>
      <c r="B3293" s="20" t="str">
        <f t="shared" si="102"/>
        <v>AUG</v>
      </c>
      <c r="C3293" s="21">
        <v>46242</v>
      </c>
      <c r="D3293" s="22" t="s">
        <v>45</v>
      </c>
      <c r="E3293" s="20" t="str">
        <f>IFERROR(VLOOKUP(I3293,KET!$B:$F,4,0),"")</f>
        <v>MARTIKA MINTOROWATI</v>
      </c>
      <c r="F3293" s="20" t="s">
        <v>42</v>
      </c>
      <c r="G3293" s="20">
        <f>IFERROR(INDEX('Kode Outlet dan Target Toko'!$C:$C,MATCH($I3293,'Kode Outlet dan Target Toko'!$E:$E,0)),0)</f>
        <v>211030</v>
      </c>
      <c r="H3293" s="20">
        <f>IFERROR(INDEX('Kode Outlet dan Target Toko'!$D:$D,MATCH($I3293,'Kode Outlet dan Target Toko'!$E:$E,0)),0)</f>
        <v>5766116</v>
      </c>
      <c r="I3293" s="42" t="s">
        <v>106</v>
      </c>
      <c r="J3293" s="56" t="s">
        <v>300</v>
      </c>
      <c r="K3293" s="40" t="s">
        <v>13</v>
      </c>
      <c r="L3293" s="26">
        <v>2950</v>
      </c>
      <c r="M3293" s="26">
        <v>34</v>
      </c>
      <c r="N3293" s="25">
        <f t="shared" si="103"/>
        <v>100300</v>
      </c>
      <c r="O3293" s="56"/>
    </row>
    <row r="3294" spans="1:15" hidden="1" x14ac:dyDescent="0.3">
      <c r="A3294" s="26">
        <v>32</v>
      </c>
      <c r="B3294" s="20" t="str">
        <f t="shared" si="102"/>
        <v>AUG</v>
      </c>
      <c r="C3294" s="21">
        <v>46242</v>
      </c>
      <c r="D3294" s="22" t="s">
        <v>45</v>
      </c>
      <c r="E3294" s="20" t="str">
        <f>IFERROR(VLOOKUP(I3294,KET!$B:$F,4,0),"")</f>
        <v>MARTIKA MINTOROWATI</v>
      </c>
      <c r="F3294" s="20" t="s">
        <v>42</v>
      </c>
      <c r="G3294" s="20">
        <f>IFERROR(INDEX('Kode Outlet dan Target Toko'!$C:$C,MATCH($I3294,'Kode Outlet dan Target Toko'!$E:$E,0)),0)</f>
        <v>211030</v>
      </c>
      <c r="H3294" s="20">
        <f>IFERROR(INDEX('Kode Outlet dan Target Toko'!$D:$D,MATCH($I3294,'Kode Outlet dan Target Toko'!$E:$E,0)),0)</f>
        <v>5766116</v>
      </c>
      <c r="I3294" s="42" t="s">
        <v>106</v>
      </c>
      <c r="J3294" s="56" t="s">
        <v>300</v>
      </c>
      <c r="K3294" s="40" t="s">
        <v>16</v>
      </c>
      <c r="L3294" s="26">
        <v>2950</v>
      </c>
      <c r="M3294" s="26">
        <v>77</v>
      </c>
      <c r="N3294" s="25">
        <f t="shared" si="103"/>
        <v>227150</v>
      </c>
      <c r="O3294" s="56"/>
    </row>
    <row r="3295" spans="1:15" hidden="1" x14ac:dyDescent="0.3">
      <c r="A3295" s="26">
        <v>32</v>
      </c>
      <c r="B3295" s="20" t="str">
        <f t="shared" si="102"/>
        <v>AUG</v>
      </c>
      <c r="C3295" s="21">
        <v>46242</v>
      </c>
      <c r="D3295" s="22" t="s">
        <v>45</v>
      </c>
      <c r="E3295" s="20" t="str">
        <f>IFERROR(VLOOKUP(I3295,KET!$B:$F,4,0),"")</f>
        <v>MARTIKA MINTOROWATI</v>
      </c>
      <c r="F3295" s="20" t="s">
        <v>42</v>
      </c>
      <c r="G3295" s="20">
        <f>IFERROR(INDEX('Kode Outlet dan Target Toko'!$C:$C,MATCH($I3295,'Kode Outlet dan Target Toko'!$E:$E,0)),0)</f>
        <v>211030</v>
      </c>
      <c r="H3295" s="20">
        <f>IFERROR(INDEX('Kode Outlet dan Target Toko'!$D:$D,MATCH($I3295,'Kode Outlet dan Target Toko'!$E:$E,0)),0)</f>
        <v>5766116</v>
      </c>
      <c r="I3295" s="42" t="s">
        <v>106</v>
      </c>
      <c r="J3295" s="56" t="s">
        <v>218</v>
      </c>
      <c r="K3295" s="40" t="s">
        <v>15</v>
      </c>
      <c r="L3295" s="26">
        <v>2950</v>
      </c>
      <c r="M3295" s="26">
        <v>56</v>
      </c>
      <c r="N3295" s="25">
        <f t="shared" si="103"/>
        <v>165200</v>
      </c>
      <c r="O3295" s="56"/>
    </row>
    <row r="3296" spans="1:15" hidden="1" x14ac:dyDescent="0.3">
      <c r="A3296" s="26">
        <v>32</v>
      </c>
      <c r="B3296" s="20" t="str">
        <f t="shared" si="102"/>
        <v>AUG</v>
      </c>
      <c r="C3296" s="21">
        <v>46242</v>
      </c>
      <c r="D3296" s="22" t="s">
        <v>45</v>
      </c>
      <c r="E3296" s="20" t="str">
        <f>IFERROR(VLOOKUP(I3296,KET!$B:$F,4,0),"")</f>
        <v>MARTIKA MINTOROWATI</v>
      </c>
      <c r="F3296" s="20" t="s">
        <v>42</v>
      </c>
      <c r="G3296" s="20">
        <f>IFERROR(INDEX('Kode Outlet dan Target Toko'!$C:$C,MATCH($I3296,'Kode Outlet dan Target Toko'!$E:$E,0)),0)</f>
        <v>211030</v>
      </c>
      <c r="H3296" s="20">
        <f>IFERROR(INDEX('Kode Outlet dan Target Toko'!$D:$D,MATCH($I3296,'Kode Outlet dan Target Toko'!$E:$E,0)),0)</f>
        <v>5766116</v>
      </c>
      <c r="I3296" s="42" t="s">
        <v>106</v>
      </c>
      <c r="J3296" s="56" t="s">
        <v>218</v>
      </c>
      <c r="K3296" s="40" t="s">
        <v>14</v>
      </c>
      <c r="L3296" s="26">
        <v>2950</v>
      </c>
      <c r="M3296" s="26">
        <v>57</v>
      </c>
      <c r="N3296" s="25">
        <f t="shared" si="103"/>
        <v>168150</v>
      </c>
      <c r="O3296" s="56"/>
    </row>
    <row r="3297" spans="1:15" hidden="1" x14ac:dyDescent="0.3">
      <c r="A3297" s="26">
        <v>32</v>
      </c>
      <c r="B3297" s="20" t="str">
        <f t="shared" si="102"/>
        <v>AUG</v>
      </c>
      <c r="C3297" s="21">
        <v>46242</v>
      </c>
      <c r="D3297" s="22" t="s">
        <v>45</v>
      </c>
      <c r="E3297" s="20" t="str">
        <f>IFERROR(VLOOKUP(I3297,KET!$B:$F,4,0),"")</f>
        <v>MARTIKA MINTOROWATI</v>
      </c>
      <c r="F3297" s="20" t="s">
        <v>42</v>
      </c>
      <c r="G3297" s="20">
        <f>IFERROR(INDEX('Kode Outlet dan Target Toko'!$C:$C,MATCH($I3297,'Kode Outlet dan Target Toko'!$E:$E,0)),0)</f>
        <v>211030</v>
      </c>
      <c r="H3297" s="20">
        <f>IFERROR(INDEX('Kode Outlet dan Target Toko'!$D:$D,MATCH($I3297,'Kode Outlet dan Target Toko'!$E:$E,0)),0)</f>
        <v>5766116</v>
      </c>
      <c r="I3297" s="42" t="s">
        <v>106</v>
      </c>
      <c r="J3297" s="56" t="s">
        <v>218</v>
      </c>
      <c r="K3297" s="40" t="s">
        <v>13</v>
      </c>
      <c r="L3297" s="26">
        <v>2950</v>
      </c>
      <c r="M3297" s="26">
        <v>33</v>
      </c>
      <c r="N3297" s="25">
        <f t="shared" si="103"/>
        <v>97350</v>
      </c>
      <c r="O3297" s="56"/>
    </row>
    <row r="3298" spans="1:15" hidden="1" x14ac:dyDescent="0.3">
      <c r="A3298" s="26">
        <v>32</v>
      </c>
      <c r="B3298" s="20" t="str">
        <f t="shared" si="102"/>
        <v>AUG</v>
      </c>
      <c r="C3298" s="21">
        <v>46242</v>
      </c>
      <c r="D3298" s="22" t="s">
        <v>45</v>
      </c>
      <c r="E3298" s="20" t="str">
        <f>IFERROR(VLOOKUP(I3298,KET!$B:$F,4,0),"")</f>
        <v>MARTIKA MINTOROWATI</v>
      </c>
      <c r="F3298" s="20" t="s">
        <v>42</v>
      </c>
      <c r="G3298" s="20">
        <f>IFERROR(INDEX('Kode Outlet dan Target Toko'!$C:$C,MATCH($I3298,'Kode Outlet dan Target Toko'!$E:$E,0)),0)</f>
        <v>211030</v>
      </c>
      <c r="H3298" s="20">
        <f>IFERROR(INDEX('Kode Outlet dan Target Toko'!$D:$D,MATCH($I3298,'Kode Outlet dan Target Toko'!$E:$E,0)),0)</f>
        <v>5766116</v>
      </c>
      <c r="I3298" s="42" t="s">
        <v>106</v>
      </c>
      <c r="J3298" s="56" t="s">
        <v>218</v>
      </c>
      <c r="K3298" s="40" t="s">
        <v>16</v>
      </c>
      <c r="L3298" s="26">
        <v>2950</v>
      </c>
      <c r="M3298" s="26">
        <v>77</v>
      </c>
      <c r="N3298" s="25">
        <f t="shared" si="103"/>
        <v>227150</v>
      </c>
      <c r="O3298" s="56"/>
    </row>
    <row r="3299" spans="1:15" hidden="1" x14ac:dyDescent="0.3">
      <c r="A3299" s="26">
        <v>32</v>
      </c>
      <c r="B3299" s="20" t="str">
        <f t="shared" si="102"/>
        <v>AUG</v>
      </c>
      <c r="C3299" s="21">
        <v>46242</v>
      </c>
      <c r="D3299" s="22" t="s">
        <v>45</v>
      </c>
      <c r="E3299" s="20" t="str">
        <f>IFERROR(VLOOKUP(I3299,KET!$B:$F,4,0),"")</f>
        <v>MARTIKA MINTOROWATI</v>
      </c>
      <c r="F3299" s="20" t="s">
        <v>42</v>
      </c>
      <c r="G3299" s="20">
        <f>IFERROR(INDEX('Kode Outlet dan Target Toko'!$C:$C,MATCH($I3299,'Kode Outlet dan Target Toko'!$E:$E,0)),0)</f>
        <v>211030</v>
      </c>
      <c r="H3299" s="20">
        <f>IFERROR(INDEX('Kode Outlet dan Target Toko'!$D:$D,MATCH($I3299,'Kode Outlet dan Target Toko'!$E:$E,0)),0)</f>
        <v>5765035</v>
      </c>
      <c r="I3299" s="42" t="s">
        <v>113</v>
      </c>
      <c r="J3299" s="56" t="s">
        <v>224</v>
      </c>
      <c r="K3299" s="40" t="s">
        <v>15</v>
      </c>
      <c r="L3299" s="26">
        <v>3145</v>
      </c>
      <c r="M3299" s="26">
        <v>10</v>
      </c>
      <c r="N3299" s="25">
        <f t="shared" si="103"/>
        <v>31450</v>
      </c>
      <c r="O3299" s="56"/>
    </row>
    <row r="3300" spans="1:15" hidden="1" x14ac:dyDescent="0.3">
      <c r="A3300" s="26">
        <v>32</v>
      </c>
      <c r="B3300" s="20" t="str">
        <f t="shared" si="102"/>
        <v>AUG</v>
      </c>
      <c r="C3300" s="21">
        <v>46242</v>
      </c>
      <c r="D3300" s="22" t="s">
        <v>45</v>
      </c>
      <c r="E3300" s="20" t="str">
        <f>IFERROR(VLOOKUP(I3300,KET!$B:$F,4,0),"")</f>
        <v>MARTIKA MINTOROWATI</v>
      </c>
      <c r="F3300" s="20" t="s">
        <v>42</v>
      </c>
      <c r="G3300" s="20">
        <f>IFERROR(INDEX('Kode Outlet dan Target Toko'!$C:$C,MATCH($I3300,'Kode Outlet dan Target Toko'!$E:$E,0)),0)</f>
        <v>211030</v>
      </c>
      <c r="H3300" s="20">
        <f>IFERROR(INDEX('Kode Outlet dan Target Toko'!$D:$D,MATCH($I3300,'Kode Outlet dan Target Toko'!$E:$E,0)),0)</f>
        <v>5765035</v>
      </c>
      <c r="I3300" s="42" t="s">
        <v>113</v>
      </c>
      <c r="J3300" s="56" t="s">
        <v>224</v>
      </c>
      <c r="K3300" s="40" t="s">
        <v>14</v>
      </c>
      <c r="L3300" s="26">
        <v>3145</v>
      </c>
      <c r="M3300" s="26">
        <v>16</v>
      </c>
      <c r="N3300" s="25">
        <f t="shared" si="103"/>
        <v>50320</v>
      </c>
      <c r="O3300" s="56"/>
    </row>
    <row r="3301" spans="1:15" hidden="1" x14ac:dyDescent="0.3">
      <c r="A3301" s="26">
        <v>32</v>
      </c>
      <c r="B3301" s="20" t="str">
        <f t="shared" si="102"/>
        <v>AUG</v>
      </c>
      <c r="C3301" s="21">
        <v>46242</v>
      </c>
      <c r="D3301" s="22" t="s">
        <v>45</v>
      </c>
      <c r="E3301" s="20" t="str">
        <f>IFERROR(VLOOKUP(I3301,KET!$B:$F,4,0),"")</f>
        <v>MARTIKA MINTOROWATI</v>
      </c>
      <c r="F3301" s="20" t="s">
        <v>42</v>
      </c>
      <c r="G3301" s="20">
        <f>IFERROR(INDEX('Kode Outlet dan Target Toko'!$C:$C,MATCH($I3301,'Kode Outlet dan Target Toko'!$E:$E,0)),0)</f>
        <v>211030</v>
      </c>
      <c r="H3301" s="20">
        <f>IFERROR(INDEX('Kode Outlet dan Target Toko'!$D:$D,MATCH($I3301,'Kode Outlet dan Target Toko'!$E:$E,0)),0)</f>
        <v>5765035</v>
      </c>
      <c r="I3301" s="42" t="s">
        <v>113</v>
      </c>
      <c r="J3301" s="56" t="s">
        <v>224</v>
      </c>
      <c r="K3301" s="40" t="s">
        <v>13</v>
      </c>
      <c r="L3301" s="26">
        <v>3145</v>
      </c>
      <c r="M3301" s="26">
        <v>3</v>
      </c>
      <c r="N3301" s="25">
        <f t="shared" si="103"/>
        <v>9435</v>
      </c>
      <c r="O3301" s="56"/>
    </row>
    <row r="3302" spans="1:15" hidden="1" x14ac:dyDescent="0.3">
      <c r="A3302" s="26">
        <v>32</v>
      </c>
      <c r="B3302" s="20" t="str">
        <f t="shared" si="102"/>
        <v>AUG</v>
      </c>
      <c r="C3302" s="21">
        <v>46242</v>
      </c>
      <c r="D3302" s="22" t="s">
        <v>45</v>
      </c>
      <c r="E3302" s="20" t="str">
        <f>IFERROR(VLOOKUP(I3302,KET!$B:$F,4,0),"")</f>
        <v>MARTIKA MINTOROWATI</v>
      </c>
      <c r="F3302" s="20" t="s">
        <v>42</v>
      </c>
      <c r="G3302" s="20">
        <f>IFERROR(INDEX('Kode Outlet dan Target Toko'!$C:$C,MATCH($I3302,'Kode Outlet dan Target Toko'!$E:$E,0)),0)</f>
        <v>211030</v>
      </c>
      <c r="H3302" s="20">
        <f>IFERROR(INDEX('Kode Outlet dan Target Toko'!$D:$D,MATCH($I3302,'Kode Outlet dan Target Toko'!$E:$E,0)),0)</f>
        <v>5765035</v>
      </c>
      <c r="I3302" s="42" t="s">
        <v>113</v>
      </c>
      <c r="J3302" s="56" t="s">
        <v>224</v>
      </c>
      <c r="K3302" s="40" t="s">
        <v>16</v>
      </c>
      <c r="L3302" s="26">
        <v>3145</v>
      </c>
      <c r="M3302" s="26">
        <v>63</v>
      </c>
      <c r="N3302" s="25">
        <f t="shared" si="103"/>
        <v>198135</v>
      </c>
      <c r="O3302" s="56">
        <v>160</v>
      </c>
    </row>
    <row r="3303" spans="1:15" hidden="1" x14ac:dyDescent="0.3">
      <c r="A3303" s="26">
        <v>32</v>
      </c>
      <c r="B3303" s="20" t="str">
        <f t="shared" si="102"/>
        <v>AUG</v>
      </c>
      <c r="C3303" s="21">
        <v>46242</v>
      </c>
      <c r="D3303" s="22" t="s">
        <v>45</v>
      </c>
      <c r="E3303" s="20" t="str">
        <f>IFERROR(VLOOKUP(I3303,KET!$B:$F,4,0),"")</f>
        <v>MARTIKA MINTOROWATI</v>
      </c>
      <c r="F3303" s="20" t="s">
        <v>42</v>
      </c>
      <c r="G3303" s="20">
        <f>IFERROR(INDEX('Kode Outlet dan Target Toko'!$C:$C,MATCH($I3303,'Kode Outlet dan Target Toko'!$E:$E,0)),0)</f>
        <v>211030</v>
      </c>
      <c r="H3303" s="20">
        <f>IFERROR(INDEX('Kode Outlet dan Target Toko'!$D:$D,MATCH($I3303,'Kode Outlet dan Target Toko'!$E:$E,0)),0)</f>
        <v>5765035</v>
      </c>
      <c r="I3303" s="42" t="s">
        <v>113</v>
      </c>
      <c r="J3303" s="56" t="s">
        <v>225</v>
      </c>
      <c r="K3303" s="40" t="s">
        <v>15</v>
      </c>
      <c r="L3303" s="26">
        <v>3145</v>
      </c>
      <c r="M3303" s="26">
        <v>9</v>
      </c>
      <c r="N3303" s="25">
        <f t="shared" si="103"/>
        <v>28305</v>
      </c>
      <c r="O3303" s="56"/>
    </row>
    <row r="3304" spans="1:15" hidden="1" x14ac:dyDescent="0.3">
      <c r="A3304" s="26">
        <v>32</v>
      </c>
      <c r="B3304" s="20" t="str">
        <f t="shared" si="102"/>
        <v>AUG</v>
      </c>
      <c r="C3304" s="21">
        <v>46242</v>
      </c>
      <c r="D3304" s="22" t="s">
        <v>45</v>
      </c>
      <c r="E3304" s="20" t="str">
        <f>IFERROR(VLOOKUP(I3304,KET!$B:$F,4,0),"")</f>
        <v>MARTIKA MINTOROWATI</v>
      </c>
      <c r="F3304" s="20" t="s">
        <v>42</v>
      </c>
      <c r="G3304" s="20">
        <f>IFERROR(INDEX('Kode Outlet dan Target Toko'!$C:$C,MATCH($I3304,'Kode Outlet dan Target Toko'!$E:$E,0)),0)</f>
        <v>211030</v>
      </c>
      <c r="H3304" s="20">
        <f>IFERROR(INDEX('Kode Outlet dan Target Toko'!$D:$D,MATCH($I3304,'Kode Outlet dan Target Toko'!$E:$E,0)),0)</f>
        <v>5765035</v>
      </c>
      <c r="I3304" s="42" t="s">
        <v>113</v>
      </c>
      <c r="J3304" s="56" t="s">
        <v>225</v>
      </c>
      <c r="K3304" s="40" t="s">
        <v>14</v>
      </c>
      <c r="L3304" s="26">
        <v>3145</v>
      </c>
      <c r="M3304" s="26">
        <v>16</v>
      </c>
      <c r="N3304" s="25">
        <f t="shared" si="103"/>
        <v>50320</v>
      </c>
      <c r="O3304" s="56"/>
    </row>
    <row r="3305" spans="1:15" hidden="1" x14ac:dyDescent="0.3">
      <c r="A3305" s="26">
        <v>32</v>
      </c>
      <c r="B3305" s="20" t="str">
        <f t="shared" si="102"/>
        <v>AUG</v>
      </c>
      <c r="C3305" s="21">
        <v>46242</v>
      </c>
      <c r="D3305" s="22" t="s">
        <v>45</v>
      </c>
      <c r="E3305" s="20" t="str">
        <f>IFERROR(VLOOKUP(I3305,KET!$B:$F,4,0),"")</f>
        <v>MARTIKA MINTOROWATI</v>
      </c>
      <c r="F3305" s="20" t="s">
        <v>42</v>
      </c>
      <c r="G3305" s="20">
        <f>IFERROR(INDEX('Kode Outlet dan Target Toko'!$C:$C,MATCH($I3305,'Kode Outlet dan Target Toko'!$E:$E,0)),0)</f>
        <v>211030</v>
      </c>
      <c r="H3305" s="20">
        <f>IFERROR(INDEX('Kode Outlet dan Target Toko'!$D:$D,MATCH($I3305,'Kode Outlet dan Target Toko'!$E:$E,0)),0)</f>
        <v>5765035</v>
      </c>
      <c r="I3305" s="42" t="s">
        <v>113</v>
      </c>
      <c r="J3305" s="56" t="s">
        <v>225</v>
      </c>
      <c r="K3305" s="40" t="s">
        <v>13</v>
      </c>
      <c r="L3305" s="26">
        <v>3145</v>
      </c>
      <c r="M3305" s="26">
        <v>2</v>
      </c>
      <c r="N3305" s="25">
        <f t="shared" si="103"/>
        <v>6290</v>
      </c>
      <c r="O3305" s="56"/>
    </row>
    <row r="3306" spans="1:15" hidden="1" x14ac:dyDescent="0.3">
      <c r="A3306" s="26">
        <v>32</v>
      </c>
      <c r="B3306" s="20" t="str">
        <f t="shared" si="102"/>
        <v>AUG</v>
      </c>
      <c r="C3306" s="21">
        <v>46242</v>
      </c>
      <c r="D3306" s="22" t="s">
        <v>45</v>
      </c>
      <c r="E3306" s="20" t="str">
        <f>IFERROR(VLOOKUP(I3306,KET!$B:$F,4,0),"")</f>
        <v>MARTIKA MINTOROWATI</v>
      </c>
      <c r="F3306" s="20" t="s">
        <v>42</v>
      </c>
      <c r="G3306" s="20">
        <f>IFERROR(INDEX('Kode Outlet dan Target Toko'!$C:$C,MATCH($I3306,'Kode Outlet dan Target Toko'!$E:$E,0)),0)</f>
        <v>211030</v>
      </c>
      <c r="H3306" s="20">
        <f>IFERROR(INDEX('Kode Outlet dan Target Toko'!$D:$D,MATCH($I3306,'Kode Outlet dan Target Toko'!$E:$E,0)),0)</f>
        <v>5765035</v>
      </c>
      <c r="I3306" s="42" t="s">
        <v>113</v>
      </c>
      <c r="J3306" s="56" t="s">
        <v>225</v>
      </c>
      <c r="K3306" s="40" t="s">
        <v>16</v>
      </c>
      <c r="L3306" s="26">
        <v>3145</v>
      </c>
      <c r="M3306" s="26">
        <v>63</v>
      </c>
      <c r="N3306" s="25">
        <f t="shared" si="103"/>
        <v>198135</v>
      </c>
      <c r="O3306" s="56">
        <v>160</v>
      </c>
    </row>
    <row r="3307" spans="1:15" hidden="1" x14ac:dyDescent="0.3">
      <c r="A3307" s="26">
        <v>32</v>
      </c>
      <c r="B3307" s="20" t="str">
        <f t="shared" si="102"/>
        <v>AUG</v>
      </c>
      <c r="C3307" s="21">
        <v>46243</v>
      </c>
      <c r="D3307" s="22" t="s">
        <v>45</v>
      </c>
      <c r="E3307" s="20" t="str">
        <f>IFERROR(VLOOKUP(I3307,KET!$B:$F,4,0),"")</f>
        <v>MARTIKA MINTOROWATI</v>
      </c>
      <c r="F3307" s="20" t="s">
        <v>42</v>
      </c>
      <c r="G3307" s="20">
        <f>IFERROR(INDEX('Kode Outlet dan Target Toko'!$C:$C,MATCH($I3307,'Kode Outlet dan Target Toko'!$E:$E,0)),0)</f>
        <v>211161</v>
      </c>
      <c r="H3307" s="20">
        <f>IFERROR(INDEX('Kode Outlet dan Target Toko'!$D:$D,MATCH($I3307,'Kode Outlet dan Target Toko'!$E:$E,0)),0)</f>
        <v>7103</v>
      </c>
      <c r="I3307" s="42" t="s">
        <v>91</v>
      </c>
      <c r="J3307" s="56" t="s">
        <v>217</v>
      </c>
      <c r="K3307" s="40" t="s">
        <v>15</v>
      </c>
      <c r="L3307" s="26">
        <v>2100</v>
      </c>
      <c r="M3307" s="26">
        <v>96</v>
      </c>
      <c r="N3307" s="25">
        <f t="shared" si="103"/>
        <v>201600</v>
      </c>
      <c r="O3307" s="56"/>
    </row>
    <row r="3308" spans="1:15" hidden="1" x14ac:dyDescent="0.3">
      <c r="A3308" s="26">
        <v>32</v>
      </c>
      <c r="B3308" s="20" t="str">
        <f t="shared" si="102"/>
        <v>AUG</v>
      </c>
      <c r="C3308" s="21">
        <v>46243</v>
      </c>
      <c r="D3308" s="22" t="s">
        <v>45</v>
      </c>
      <c r="E3308" s="20" t="str">
        <f>IFERROR(VLOOKUP(I3308,KET!$B:$F,4,0),"")</f>
        <v>MARTIKA MINTOROWATI</v>
      </c>
      <c r="F3308" s="20" t="s">
        <v>42</v>
      </c>
      <c r="G3308" s="20">
        <f>IFERROR(INDEX('Kode Outlet dan Target Toko'!$C:$C,MATCH($I3308,'Kode Outlet dan Target Toko'!$E:$E,0)),0)</f>
        <v>211161</v>
      </c>
      <c r="H3308" s="20">
        <f>IFERROR(INDEX('Kode Outlet dan Target Toko'!$D:$D,MATCH($I3308,'Kode Outlet dan Target Toko'!$E:$E,0)),0)</f>
        <v>7103</v>
      </c>
      <c r="I3308" s="42" t="s">
        <v>91</v>
      </c>
      <c r="J3308" s="56" t="s">
        <v>217</v>
      </c>
      <c r="K3308" s="40" t="s">
        <v>14</v>
      </c>
      <c r="L3308" s="26">
        <v>2100</v>
      </c>
      <c r="M3308" s="26">
        <v>105</v>
      </c>
      <c r="N3308" s="25">
        <f t="shared" si="103"/>
        <v>220500</v>
      </c>
      <c r="O3308" s="56"/>
    </row>
    <row r="3309" spans="1:15" hidden="1" x14ac:dyDescent="0.3">
      <c r="A3309" s="26">
        <v>32</v>
      </c>
      <c r="B3309" s="20" t="str">
        <f t="shared" si="102"/>
        <v>AUG</v>
      </c>
      <c r="C3309" s="21">
        <v>46243</v>
      </c>
      <c r="D3309" s="22" t="s">
        <v>45</v>
      </c>
      <c r="E3309" s="20" t="str">
        <f>IFERROR(VLOOKUP(I3309,KET!$B:$F,4,0),"")</f>
        <v>MARTIKA MINTOROWATI</v>
      </c>
      <c r="F3309" s="20" t="s">
        <v>42</v>
      </c>
      <c r="G3309" s="20">
        <f>IFERROR(INDEX('Kode Outlet dan Target Toko'!$C:$C,MATCH($I3309,'Kode Outlet dan Target Toko'!$E:$E,0)),0)</f>
        <v>211161</v>
      </c>
      <c r="H3309" s="20">
        <f>IFERROR(INDEX('Kode Outlet dan Target Toko'!$D:$D,MATCH($I3309,'Kode Outlet dan Target Toko'!$E:$E,0)),0)</f>
        <v>7103</v>
      </c>
      <c r="I3309" s="42" t="s">
        <v>91</v>
      </c>
      <c r="J3309" s="56" t="s">
        <v>217</v>
      </c>
      <c r="K3309" s="40" t="s">
        <v>13</v>
      </c>
      <c r="L3309" s="26">
        <v>2100</v>
      </c>
      <c r="M3309" s="26">
        <v>42</v>
      </c>
      <c r="N3309" s="25">
        <f t="shared" si="103"/>
        <v>88200</v>
      </c>
      <c r="O3309" s="56"/>
    </row>
    <row r="3310" spans="1:15" hidden="1" x14ac:dyDescent="0.3">
      <c r="A3310" s="26">
        <v>32</v>
      </c>
      <c r="B3310" s="20" t="str">
        <f t="shared" si="102"/>
        <v>AUG</v>
      </c>
      <c r="C3310" s="21">
        <v>46243</v>
      </c>
      <c r="D3310" s="22" t="s">
        <v>45</v>
      </c>
      <c r="E3310" s="20" t="str">
        <f>IFERROR(VLOOKUP(I3310,KET!$B:$F,4,0),"")</f>
        <v>MARTIKA MINTOROWATI</v>
      </c>
      <c r="F3310" s="20" t="s">
        <v>42</v>
      </c>
      <c r="G3310" s="20">
        <f>IFERROR(INDEX('Kode Outlet dan Target Toko'!$C:$C,MATCH($I3310,'Kode Outlet dan Target Toko'!$E:$E,0)),0)</f>
        <v>211161</v>
      </c>
      <c r="H3310" s="20">
        <f>IFERROR(INDEX('Kode Outlet dan Target Toko'!$D:$D,MATCH($I3310,'Kode Outlet dan Target Toko'!$E:$E,0)),0)</f>
        <v>7103</v>
      </c>
      <c r="I3310" s="42" t="s">
        <v>91</v>
      </c>
      <c r="J3310" s="56" t="s">
        <v>217</v>
      </c>
      <c r="K3310" s="40" t="s">
        <v>16</v>
      </c>
      <c r="L3310" s="26">
        <v>2100</v>
      </c>
      <c r="M3310" s="26">
        <v>142</v>
      </c>
      <c r="N3310" s="25">
        <f t="shared" si="103"/>
        <v>298200</v>
      </c>
      <c r="O3310" s="56"/>
    </row>
    <row r="3311" spans="1:15" hidden="1" x14ac:dyDescent="0.3">
      <c r="A3311" s="26">
        <v>32</v>
      </c>
      <c r="B3311" s="20" t="str">
        <f t="shared" si="102"/>
        <v>AUG</v>
      </c>
      <c r="C3311" s="21">
        <v>46243</v>
      </c>
      <c r="D3311" s="22" t="s">
        <v>45</v>
      </c>
      <c r="E3311" s="20" t="str">
        <f>IFERROR(VLOOKUP(I3311,KET!$B:$F,4,0),"")</f>
        <v>MARTIKA MINTOROWATI</v>
      </c>
      <c r="F3311" s="20" t="s">
        <v>42</v>
      </c>
      <c r="G3311" s="20">
        <f>IFERROR(INDEX('Kode Outlet dan Target Toko'!$C:$C,MATCH($I3311,'Kode Outlet dan Target Toko'!$E:$E,0)),0)</f>
        <v>211161</v>
      </c>
      <c r="H3311" s="20">
        <f>IFERROR(INDEX('Kode Outlet dan Target Toko'!$D:$D,MATCH($I3311,'Kode Outlet dan Target Toko'!$E:$E,0)),0)</f>
        <v>7103</v>
      </c>
      <c r="I3311" s="42" t="s">
        <v>91</v>
      </c>
      <c r="J3311" s="56" t="s">
        <v>216</v>
      </c>
      <c r="K3311" s="40" t="s">
        <v>15</v>
      </c>
      <c r="L3311" s="26">
        <v>2100</v>
      </c>
      <c r="M3311" s="26">
        <v>96</v>
      </c>
      <c r="N3311" s="25">
        <f t="shared" si="103"/>
        <v>201600</v>
      </c>
      <c r="O3311" s="56"/>
    </row>
    <row r="3312" spans="1:15" hidden="1" x14ac:dyDescent="0.3">
      <c r="A3312" s="26">
        <v>32</v>
      </c>
      <c r="B3312" s="20" t="str">
        <f t="shared" si="102"/>
        <v>AUG</v>
      </c>
      <c r="C3312" s="21">
        <v>46243</v>
      </c>
      <c r="D3312" s="22" t="s">
        <v>45</v>
      </c>
      <c r="E3312" s="20" t="str">
        <f>IFERROR(VLOOKUP(I3312,KET!$B:$F,4,0),"")</f>
        <v>MARTIKA MINTOROWATI</v>
      </c>
      <c r="F3312" s="20" t="s">
        <v>42</v>
      </c>
      <c r="G3312" s="20">
        <f>IFERROR(INDEX('Kode Outlet dan Target Toko'!$C:$C,MATCH($I3312,'Kode Outlet dan Target Toko'!$E:$E,0)),0)</f>
        <v>211161</v>
      </c>
      <c r="H3312" s="20">
        <f>IFERROR(INDEX('Kode Outlet dan Target Toko'!$D:$D,MATCH($I3312,'Kode Outlet dan Target Toko'!$E:$E,0)),0)</f>
        <v>7103</v>
      </c>
      <c r="I3312" s="42" t="s">
        <v>91</v>
      </c>
      <c r="J3312" s="56" t="s">
        <v>216</v>
      </c>
      <c r="K3312" s="40" t="s">
        <v>14</v>
      </c>
      <c r="L3312" s="26">
        <v>2100</v>
      </c>
      <c r="M3312" s="26">
        <v>105</v>
      </c>
      <c r="N3312" s="25">
        <f t="shared" si="103"/>
        <v>220500</v>
      </c>
      <c r="O3312" s="56"/>
    </row>
    <row r="3313" spans="1:15" hidden="1" x14ac:dyDescent="0.3">
      <c r="A3313" s="26">
        <v>32</v>
      </c>
      <c r="B3313" s="20" t="str">
        <f t="shared" si="102"/>
        <v>AUG</v>
      </c>
      <c r="C3313" s="21">
        <v>46243</v>
      </c>
      <c r="D3313" s="22" t="s">
        <v>45</v>
      </c>
      <c r="E3313" s="20" t="str">
        <f>IFERROR(VLOOKUP(I3313,KET!$B:$F,4,0),"")</f>
        <v>MARTIKA MINTOROWATI</v>
      </c>
      <c r="F3313" s="20" t="s">
        <v>42</v>
      </c>
      <c r="G3313" s="20">
        <f>IFERROR(INDEX('Kode Outlet dan Target Toko'!$C:$C,MATCH($I3313,'Kode Outlet dan Target Toko'!$E:$E,0)),0)</f>
        <v>211161</v>
      </c>
      <c r="H3313" s="20">
        <f>IFERROR(INDEX('Kode Outlet dan Target Toko'!$D:$D,MATCH($I3313,'Kode Outlet dan Target Toko'!$E:$E,0)),0)</f>
        <v>7103</v>
      </c>
      <c r="I3313" s="42" t="s">
        <v>91</v>
      </c>
      <c r="J3313" s="56" t="s">
        <v>216</v>
      </c>
      <c r="K3313" s="40" t="s">
        <v>13</v>
      </c>
      <c r="L3313" s="26">
        <v>2100</v>
      </c>
      <c r="M3313" s="26">
        <v>14</v>
      </c>
      <c r="N3313" s="25">
        <f t="shared" si="103"/>
        <v>29400</v>
      </c>
      <c r="O3313" s="56"/>
    </row>
    <row r="3314" spans="1:15" hidden="1" x14ac:dyDescent="0.3">
      <c r="A3314" s="26">
        <v>32</v>
      </c>
      <c r="B3314" s="20" t="str">
        <f t="shared" si="102"/>
        <v>AUG</v>
      </c>
      <c r="C3314" s="21">
        <v>46243</v>
      </c>
      <c r="D3314" s="22" t="s">
        <v>45</v>
      </c>
      <c r="E3314" s="20" t="str">
        <f>IFERROR(VLOOKUP(I3314,KET!$B:$F,4,0),"")</f>
        <v>MARTIKA MINTOROWATI</v>
      </c>
      <c r="F3314" s="20" t="s">
        <v>42</v>
      </c>
      <c r="G3314" s="20">
        <f>IFERROR(INDEX('Kode Outlet dan Target Toko'!$C:$C,MATCH($I3314,'Kode Outlet dan Target Toko'!$E:$E,0)),0)</f>
        <v>211161</v>
      </c>
      <c r="H3314" s="20">
        <f>IFERROR(INDEX('Kode Outlet dan Target Toko'!$D:$D,MATCH($I3314,'Kode Outlet dan Target Toko'!$E:$E,0)),0)</f>
        <v>7103</v>
      </c>
      <c r="I3314" s="42" t="s">
        <v>91</v>
      </c>
      <c r="J3314" s="56" t="s">
        <v>216</v>
      </c>
      <c r="K3314" s="40" t="s">
        <v>16</v>
      </c>
      <c r="L3314" s="26">
        <v>2100</v>
      </c>
      <c r="M3314" s="26">
        <v>142</v>
      </c>
      <c r="N3314" s="25">
        <f t="shared" si="103"/>
        <v>298200</v>
      </c>
      <c r="O3314" s="56"/>
    </row>
    <row r="3315" spans="1:15" hidden="1" x14ac:dyDescent="0.3">
      <c r="A3315" s="26">
        <v>32</v>
      </c>
      <c r="B3315" s="20" t="str">
        <f t="shared" si="102"/>
        <v>AUG</v>
      </c>
      <c r="C3315" s="21">
        <v>46243</v>
      </c>
      <c r="D3315" s="22" t="s">
        <v>45</v>
      </c>
      <c r="E3315" s="20" t="str">
        <f>IFERROR(VLOOKUP(I3315,KET!$B:$F,4,0),"")</f>
        <v>MARTIKA MINTOROWATI</v>
      </c>
      <c r="F3315" s="20" t="s">
        <v>42</v>
      </c>
      <c r="G3315" s="20">
        <f>IFERROR(INDEX('Kode Outlet dan Target Toko'!$C:$C,MATCH($I3315,'Kode Outlet dan Target Toko'!$E:$E,0)),0)</f>
        <v>211161</v>
      </c>
      <c r="H3315" s="20">
        <f>IFERROR(INDEX('Kode Outlet dan Target Toko'!$D:$D,MATCH($I3315,'Kode Outlet dan Target Toko'!$E:$E,0)),0)</f>
        <v>710355</v>
      </c>
      <c r="I3315" s="42" t="s">
        <v>97</v>
      </c>
      <c r="J3315" s="56" t="s">
        <v>222</v>
      </c>
      <c r="K3315" s="40" t="s">
        <v>15</v>
      </c>
      <c r="L3315" s="26">
        <v>2950</v>
      </c>
      <c r="M3315" s="26">
        <v>20</v>
      </c>
      <c r="N3315" s="25">
        <f t="shared" si="103"/>
        <v>59000</v>
      </c>
      <c r="O3315" s="56"/>
    </row>
    <row r="3316" spans="1:15" hidden="1" x14ac:dyDescent="0.3">
      <c r="A3316" s="26">
        <v>32</v>
      </c>
      <c r="B3316" s="20" t="str">
        <f t="shared" si="102"/>
        <v>AUG</v>
      </c>
      <c r="C3316" s="21">
        <v>46243</v>
      </c>
      <c r="D3316" s="22" t="s">
        <v>45</v>
      </c>
      <c r="E3316" s="20" t="str">
        <f>IFERROR(VLOOKUP(I3316,KET!$B:$F,4,0),"")</f>
        <v>MARTIKA MINTOROWATI</v>
      </c>
      <c r="F3316" s="20" t="s">
        <v>42</v>
      </c>
      <c r="G3316" s="20">
        <f>IFERROR(INDEX('Kode Outlet dan Target Toko'!$C:$C,MATCH($I3316,'Kode Outlet dan Target Toko'!$E:$E,0)),0)</f>
        <v>211161</v>
      </c>
      <c r="H3316" s="20">
        <f>IFERROR(INDEX('Kode Outlet dan Target Toko'!$D:$D,MATCH($I3316,'Kode Outlet dan Target Toko'!$E:$E,0)),0)</f>
        <v>710355</v>
      </c>
      <c r="I3316" s="42" t="s">
        <v>97</v>
      </c>
      <c r="J3316" s="56" t="s">
        <v>222</v>
      </c>
      <c r="K3316" s="40" t="s">
        <v>14</v>
      </c>
      <c r="L3316" s="26">
        <v>2950</v>
      </c>
      <c r="M3316" s="26">
        <v>25</v>
      </c>
      <c r="N3316" s="25">
        <f t="shared" si="103"/>
        <v>73750</v>
      </c>
      <c r="O3316" s="56"/>
    </row>
    <row r="3317" spans="1:15" hidden="1" x14ac:dyDescent="0.3">
      <c r="A3317" s="26">
        <v>32</v>
      </c>
      <c r="B3317" s="20" t="str">
        <f t="shared" si="102"/>
        <v>AUG</v>
      </c>
      <c r="C3317" s="21">
        <v>46243</v>
      </c>
      <c r="D3317" s="22" t="s">
        <v>45</v>
      </c>
      <c r="E3317" s="20" t="str">
        <f>IFERROR(VLOOKUP(I3317,KET!$B:$F,4,0),"")</f>
        <v>MARTIKA MINTOROWATI</v>
      </c>
      <c r="F3317" s="20" t="s">
        <v>42</v>
      </c>
      <c r="G3317" s="20">
        <f>IFERROR(INDEX('Kode Outlet dan Target Toko'!$C:$C,MATCH($I3317,'Kode Outlet dan Target Toko'!$E:$E,0)),0)</f>
        <v>211161</v>
      </c>
      <c r="H3317" s="20">
        <f>IFERROR(INDEX('Kode Outlet dan Target Toko'!$D:$D,MATCH($I3317,'Kode Outlet dan Target Toko'!$E:$E,0)),0)</f>
        <v>710355</v>
      </c>
      <c r="I3317" s="42" t="s">
        <v>97</v>
      </c>
      <c r="J3317" s="56" t="s">
        <v>222</v>
      </c>
      <c r="K3317" s="40" t="s">
        <v>13</v>
      </c>
      <c r="L3317" s="26">
        <v>2950</v>
      </c>
      <c r="M3317" s="26">
        <v>19</v>
      </c>
      <c r="N3317" s="25">
        <f t="shared" si="103"/>
        <v>56050</v>
      </c>
      <c r="O3317" s="56"/>
    </row>
    <row r="3318" spans="1:15" hidden="1" x14ac:dyDescent="0.3">
      <c r="A3318" s="26">
        <v>32</v>
      </c>
      <c r="B3318" s="20" t="str">
        <f t="shared" si="102"/>
        <v>AUG</v>
      </c>
      <c r="C3318" s="21">
        <v>46243</v>
      </c>
      <c r="D3318" s="22" t="s">
        <v>45</v>
      </c>
      <c r="E3318" s="20" t="str">
        <f>IFERROR(VLOOKUP(I3318,KET!$B:$F,4,0),"")</f>
        <v>MARTIKA MINTOROWATI</v>
      </c>
      <c r="F3318" s="20" t="s">
        <v>42</v>
      </c>
      <c r="G3318" s="20">
        <f>IFERROR(INDEX('Kode Outlet dan Target Toko'!$C:$C,MATCH($I3318,'Kode Outlet dan Target Toko'!$E:$E,0)),0)</f>
        <v>211161</v>
      </c>
      <c r="H3318" s="20">
        <f>IFERROR(INDEX('Kode Outlet dan Target Toko'!$D:$D,MATCH($I3318,'Kode Outlet dan Target Toko'!$E:$E,0)),0)</f>
        <v>710355</v>
      </c>
      <c r="I3318" s="42" t="s">
        <v>97</v>
      </c>
      <c r="J3318" s="56" t="s">
        <v>222</v>
      </c>
      <c r="K3318" s="40" t="s">
        <v>16</v>
      </c>
      <c r="L3318" s="26">
        <v>2950</v>
      </c>
      <c r="M3318" s="26">
        <v>112</v>
      </c>
      <c r="N3318" s="25">
        <f t="shared" si="103"/>
        <v>330400</v>
      </c>
      <c r="O3318" s="56">
        <v>120</v>
      </c>
    </row>
    <row r="3319" spans="1:15" hidden="1" x14ac:dyDescent="0.3">
      <c r="A3319" s="26">
        <v>32</v>
      </c>
      <c r="B3319" s="20" t="str">
        <f t="shared" si="102"/>
        <v>AUG</v>
      </c>
      <c r="C3319" s="21">
        <v>46243</v>
      </c>
      <c r="D3319" s="22" t="s">
        <v>45</v>
      </c>
      <c r="E3319" s="20" t="str">
        <f>IFERROR(VLOOKUP(I3319,KET!$B:$F,4,0),"")</f>
        <v>MARTIKA MINTOROWATI</v>
      </c>
      <c r="F3319" s="20" t="s">
        <v>42</v>
      </c>
      <c r="G3319" s="20">
        <f>IFERROR(INDEX('Kode Outlet dan Target Toko'!$C:$C,MATCH($I3319,'Kode Outlet dan Target Toko'!$E:$E,0)),0)</f>
        <v>211161</v>
      </c>
      <c r="H3319" s="20">
        <f>IFERROR(INDEX('Kode Outlet dan Target Toko'!$D:$D,MATCH($I3319,'Kode Outlet dan Target Toko'!$E:$E,0)),0)</f>
        <v>710355</v>
      </c>
      <c r="I3319" s="42" t="s">
        <v>97</v>
      </c>
      <c r="J3319" s="56" t="s">
        <v>223</v>
      </c>
      <c r="K3319" s="40" t="s">
        <v>15</v>
      </c>
      <c r="L3319" s="26">
        <v>2950</v>
      </c>
      <c r="M3319" s="26">
        <v>20</v>
      </c>
      <c r="N3319" s="25">
        <f t="shared" si="103"/>
        <v>59000</v>
      </c>
      <c r="O3319" s="56"/>
    </row>
    <row r="3320" spans="1:15" hidden="1" x14ac:dyDescent="0.3">
      <c r="A3320" s="26">
        <v>32</v>
      </c>
      <c r="B3320" s="20" t="str">
        <f t="shared" si="102"/>
        <v>AUG</v>
      </c>
      <c r="C3320" s="21">
        <v>46243</v>
      </c>
      <c r="D3320" s="22" t="s">
        <v>45</v>
      </c>
      <c r="E3320" s="20" t="str">
        <f>IFERROR(VLOOKUP(I3320,KET!$B:$F,4,0),"")</f>
        <v>MARTIKA MINTOROWATI</v>
      </c>
      <c r="F3320" s="20" t="s">
        <v>42</v>
      </c>
      <c r="G3320" s="20">
        <f>IFERROR(INDEX('Kode Outlet dan Target Toko'!$C:$C,MATCH($I3320,'Kode Outlet dan Target Toko'!$E:$E,0)),0)</f>
        <v>211161</v>
      </c>
      <c r="H3320" s="20">
        <f>IFERROR(INDEX('Kode Outlet dan Target Toko'!$D:$D,MATCH($I3320,'Kode Outlet dan Target Toko'!$E:$E,0)),0)</f>
        <v>710355</v>
      </c>
      <c r="I3320" s="42" t="s">
        <v>97</v>
      </c>
      <c r="J3320" s="56" t="s">
        <v>223</v>
      </c>
      <c r="K3320" s="40" t="s">
        <v>14</v>
      </c>
      <c r="L3320" s="26">
        <v>2950</v>
      </c>
      <c r="M3320" s="26">
        <v>25</v>
      </c>
      <c r="N3320" s="25">
        <f t="shared" si="103"/>
        <v>73750</v>
      </c>
      <c r="O3320" s="56"/>
    </row>
    <row r="3321" spans="1:15" hidden="1" x14ac:dyDescent="0.3">
      <c r="A3321" s="26">
        <v>32</v>
      </c>
      <c r="B3321" s="20" t="str">
        <f t="shared" si="102"/>
        <v>AUG</v>
      </c>
      <c r="C3321" s="21">
        <v>46243</v>
      </c>
      <c r="D3321" s="22" t="s">
        <v>45</v>
      </c>
      <c r="E3321" s="20" t="str">
        <f>IFERROR(VLOOKUP(I3321,KET!$B:$F,4,0),"")</f>
        <v>MARTIKA MINTOROWATI</v>
      </c>
      <c r="F3321" s="20" t="s">
        <v>42</v>
      </c>
      <c r="G3321" s="20">
        <f>IFERROR(INDEX('Kode Outlet dan Target Toko'!$C:$C,MATCH($I3321,'Kode Outlet dan Target Toko'!$E:$E,0)),0)</f>
        <v>211161</v>
      </c>
      <c r="H3321" s="20">
        <f>IFERROR(INDEX('Kode Outlet dan Target Toko'!$D:$D,MATCH($I3321,'Kode Outlet dan Target Toko'!$E:$E,0)),0)</f>
        <v>710355</v>
      </c>
      <c r="I3321" s="42" t="s">
        <v>97</v>
      </c>
      <c r="J3321" s="56" t="s">
        <v>223</v>
      </c>
      <c r="K3321" s="40" t="s">
        <v>13</v>
      </c>
      <c r="L3321" s="26">
        <v>2950</v>
      </c>
      <c r="M3321" s="26">
        <v>19</v>
      </c>
      <c r="N3321" s="25">
        <f t="shared" si="103"/>
        <v>56050</v>
      </c>
      <c r="O3321" s="56"/>
    </row>
    <row r="3322" spans="1:15" hidden="1" x14ac:dyDescent="0.3">
      <c r="A3322" s="26">
        <v>32</v>
      </c>
      <c r="B3322" s="20" t="str">
        <f t="shared" si="102"/>
        <v>AUG</v>
      </c>
      <c r="C3322" s="21">
        <v>46243</v>
      </c>
      <c r="D3322" s="22" t="s">
        <v>45</v>
      </c>
      <c r="E3322" s="20" t="str">
        <f>IFERROR(VLOOKUP(I3322,KET!$B:$F,4,0),"")</f>
        <v>MARTIKA MINTOROWATI</v>
      </c>
      <c r="F3322" s="20" t="s">
        <v>42</v>
      </c>
      <c r="G3322" s="20">
        <f>IFERROR(INDEX('Kode Outlet dan Target Toko'!$C:$C,MATCH($I3322,'Kode Outlet dan Target Toko'!$E:$E,0)),0)</f>
        <v>211161</v>
      </c>
      <c r="H3322" s="20">
        <f>IFERROR(INDEX('Kode Outlet dan Target Toko'!$D:$D,MATCH($I3322,'Kode Outlet dan Target Toko'!$E:$E,0)),0)</f>
        <v>710355</v>
      </c>
      <c r="I3322" s="42" t="s">
        <v>97</v>
      </c>
      <c r="J3322" s="56" t="s">
        <v>223</v>
      </c>
      <c r="K3322" s="40" t="s">
        <v>16</v>
      </c>
      <c r="L3322" s="26">
        <v>2950</v>
      </c>
      <c r="M3322" s="26">
        <v>112</v>
      </c>
      <c r="N3322" s="25">
        <f t="shared" si="103"/>
        <v>330400</v>
      </c>
      <c r="O3322" s="56">
        <v>120</v>
      </c>
    </row>
    <row r="3323" spans="1:15" hidden="1" x14ac:dyDescent="0.3">
      <c r="A3323" s="26">
        <v>32</v>
      </c>
      <c r="B3323" s="20" t="str">
        <f t="shared" si="102"/>
        <v>AUG</v>
      </c>
      <c r="C3323" s="21">
        <v>46243</v>
      </c>
      <c r="D3323" s="22" t="s">
        <v>45</v>
      </c>
      <c r="E3323" s="20" t="str">
        <f>IFERROR(VLOOKUP(I3323,KET!$B:$F,4,0),"")</f>
        <v>MARTIKA MINTOROWATI</v>
      </c>
      <c r="F3323" s="20" t="s">
        <v>42</v>
      </c>
      <c r="G3323" s="20">
        <f>IFERROR(INDEX('Kode Outlet dan Target Toko'!$C:$C,MATCH($I3323,'Kode Outlet dan Target Toko'!$E:$E,0)),0)</f>
        <v>211181</v>
      </c>
      <c r="H3323" s="20">
        <f>IFERROR(INDEX('Kode Outlet dan Target Toko'!$D:$D,MATCH($I3323,'Kode Outlet dan Target Toko'!$E:$E,0)),0)</f>
        <v>3208670</v>
      </c>
      <c r="I3323" s="42" t="s">
        <v>145</v>
      </c>
      <c r="J3323" s="56" t="s">
        <v>220</v>
      </c>
      <c r="K3323" s="40" t="s">
        <v>15</v>
      </c>
      <c r="L3323" s="26">
        <v>2950</v>
      </c>
      <c r="M3323" s="26">
        <v>29</v>
      </c>
      <c r="N3323" s="25">
        <f t="shared" si="103"/>
        <v>85550</v>
      </c>
      <c r="O3323" s="56"/>
    </row>
    <row r="3324" spans="1:15" hidden="1" x14ac:dyDescent="0.3">
      <c r="A3324" s="26">
        <v>32</v>
      </c>
      <c r="B3324" s="20" t="str">
        <f t="shared" si="102"/>
        <v>AUG</v>
      </c>
      <c r="C3324" s="21">
        <v>46243</v>
      </c>
      <c r="D3324" s="22" t="s">
        <v>45</v>
      </c>
      <c r="E3324" s="20" t="str">
        <f>IFERROR(VLOOKUP(I3324,KET!$B:$F,4,0),"")</f>
        <v>MARTIKA MINTOROWATI</v>
      </c>
      <c r="F3324" s="20" t="s">
        <v>42</v>
      </c>
      <c r="G3324" s="20">
        <f>IFERROR(INDEX('Kode Outlet dan Target Toko'!$C:$C,MATCH($I3324,'Kode Outlet dan Target Toko'!$E:$E,0)),0)</f>
        <v>211181</v>
      </c>
      <c r="H3324" s="20">
        <f>IFERROR(INDEX('Kode Outlet dan Target Toko'!$D:$D,MATCH($I3324,'Kode Outlet dan Target Toko'!$E:$E,0)),0)</f>
        <v>3208670</v>
      </c>
      <c r="I3324" s="42" t="s">
        <v>145</v>
      </c>
      <c r="J3324" s="56" t="s">
        <v>220</v>
      </c>
      <c r="K3324" s="40" t="s">
        <v>14</v>
      </c>
      <c r="L3324" s="26">
        <v>2950</v>
      </c>
      <c r="M3324" s="26">
        <v>34</v>
      </c>
      <c r="N3324" s="25">
        <f t="shared" si="103"/>
        <v>100300</v>
      </c>
      <c r="O3324" s="56"/>
    </row>
    <row r="3325" spans="1:15" hidden="1" x14ac:dyDescent="0.3">
      <c r="A3325" s="26">
        <v>32</v>
      </c>
      <c r="B3325" s="20" t="str">
        <f t="shared" si="102"/>
        <v>AUG</v>
      </c>
      <c r="C3325" s="21">
        <v>46243</v>
      </c>
      <c r="D3325" s="22" t="s">
        <v>45</v>
      </c>
      <c r="E3325" s="20" t="str">
        <f>IFERROR(VLOOKUP(I3325,KET!$B:$F,4,0),"")</f>
        <v>MARTIKA MINTOROWATI</v>
      </c>
      <c r="F3325" s="20" t="s">
        <v>42</v>
      </c>
      <c r="G3325" s="20">
        <f>IFERROR(INDEX('Kode Outlet dan Target Toko'!$C:$C,MATCH($I3325,'Kode Outlet dan Target Toko'!$E:$E,0)),0)</f>
        <v>211181</v>
      </c>
      <c r="H3325" s="20">
        <f>IFERROR(INDEX('Kode Outlet dan Target Toko'!$D:$D,MATCH($I3325,'Kode Outlet dan Target Toko'!$E:$E,0)),0)</f>
        <v>3208670</v>
      </c>
      <c r="I3325" s="42" t="s">
        <v>145</v>
      </c>
      <c r="J3325" s="56" t="s">
        <v>220</v>
      </c>
      <c r="K3325" s="40" t="s">
        <v>13</v>
      </c>
      <c r="L3325" s="26">
        <v>2950</v>
      </c>
      <c r="M3325" s="26">
        <v>24</v>
      </c>
      <c r="N3325" s="25">
        <f t="shared" si="103"/>
        <v>70800</v>
      </c>
      <c r="O3325" s="56"/>
    </row>
    <row r="3326" spans="1:15" hidden="1" x14ac:dyDescent="0.3">
      <c r="A3326" s="26">
        <v>32</v>
      </c>
      <c r="B3326" s="20" t="str">
        <f t="shared" si="102"/>
        <v>AUG</v>
      </c>
      <c r="C3326" s="21">
        <v>46243</v>
      </c>
      <c r="D3326" s="22" t="s">
        <v>45</v>
      </c>
      <c r="E3326" s="20" t="str">
        <f>IFERROR(VLOOKUP(I3326,KET!$B:$F,4,0),"")</f>
        <v>MARTIKA MINTOROWATI</v>
      </c>
      <c r="F3326" s="20" t="s">
        <v>42</v>
      </c>
      <c r="G3326" s="20">
        <f>IFERROR(INDEX('Kode Outlet dan Target Toko'!$C:$C,MATCH($I3326,'Kode Outlet dan Target Toko'!$E:$E,0)),0)</f>
        <v>211181</v>
      </c>
      <c r="H3326" s="20">
        <f>IFERROR(INDEX('Kode Outlet dan Target Toko'!$D:$D,MATCH($I3326,'Kode Outlet dan Target Toko'!$E:$E,0)),0)</f>
        <v>3208670</v>
      </c>
      <c r="I3326" s="42" t="s">
        <v>145</v>
      </c>
      <c r="J3326" s="56" t="s">
        <v>220</v>
      </c>
      <c r="K3326" s="40" t="s">
        <v>16</v>
      </c>
      <c r="L3326" s="26">
        <v>2950</v>
      </c>
      <c r="M3326" s="26">
        <v>52</v>
      </c>
      <c r="N3326" s="25">
        <f t="shared" si="103"/>
        <v>153400</v>
      </c>
      <c r="O3326" s="56">
        <v>160</v>
      </c>
    </row>
    <row r="3327" spans="1:15" hidden="1" x14ac:dyDescent="0.3">
      <c r="A3327" s="26">
        <v>32</v>
      </c>
      <c r="B3327" s="20" t="str">
        <f t="shared" si="102"/>
        <v>AUG</v>
      </c>
      <c r="C3327" s="21">
        <v>46243</v>
      </c>
      <c r="D3327" s="22" t="s">
        <v>45</v>
      </c>
      <c r="E3327" s="20" t="str">
        <f>IFERROR(VLOOKUP(I3327,KET!$B:$F,4,0),"")</f>
        <v>MARTIKA MINTOROWATI</v>
      </c>
      <c r="F3327" s="20" t="s">
        <v>42</v>
      </c>
      <c r="G3327" s="20">
        <f>IFERROR(INDEX('Kode Outlet dan Target Toko'!$C:$C,MATCH($I3327,'Kode Outlet dan Target Toko'!$E:$E,0)),0)</f>
        <v>211181</v>
      </c>
      <c r="H3327" s="20">
        <f>IFERROR(INDEX('Kode Outlet dan Target Toko'!$D:$D,MATCH($I3327,'Kode Outlet dan Target Toko'!$E:$E,0)),0)</f>
        <v>3208670</v>
      </c>
      <c r="I3327" s="42" t="s">
        <v>145</v>
      </c>
      <c r="J3327" s="56" t="s">
        <v>221</v>
      </c>
      <c r="K3327" s="40" t="s">
        <v>15</v>
      </c>
      <c r="L3327" s="26">
        <v>2950</v>
      </c>
      <c r="M3327" s="26">
        <v>28</v>
      </c>
      <c r="N3327" s="25">
        <f t="shared" si="103"/>
        <v>82600</v>
      </c>
      <c r="O3327" s="56"/>
    </row>
    <row r="3328" spans="1:15" hidden="1" x14ac:dyDescent="0.3">
      <c r="A3328" s="26">
        <v>32</v>
      </c>
      <c r="B3328" s="20" t="str">
        <f t="shared" si="102"/>
        <v>AUG</v>
      </c>
      <c r="C3328" s="21">
        <v>46243</v>
      </c>
      <c r="D3328" s="22" t="s">
        <v>45</v>
      </c>
      <c r="E3328" s="20" t="str">
        <f>IFERROR(VLOOKUP(I3328,KET!$B:$F,4,0),"")</f>
        <v>MARTIKA MINTOROWATI</v>
      </c>
      <c r="F3328" s="20" t="s">
        <v>42</v>
      </c>
      <c r="G3328" s="20">
        <f>IFERROR(INDEX('Kode Outlet dan Target Toko'!$C:$C,MATCH($I3328,'Kode Outlet dan Target Toko'!$E:$E,0)),0)</f>
        <v>211181</v>
      </c>
      <c r="H3328" s="20">
        <f>IFERROR(INDEX('Kode Outlet dan Target Toko'!$D:$D,MATCH($I3328,'Kode Outlet dan Target Toko'!$E:$E,0)),0)</f>
        <v>3208670</v>
      </c>
      <c r="I3328" s="42" t="s">
        <v>145</v>
      </c>
      <c r="J3328" s="56" t="s">
        <v>221</v>
      </c>
      <c r="K3328" s="40" t="s">
        <v>14</v>
      </c>
      <c r="L3328" s="26">
        <v>2950</v>
      </c>
      <c r="M3328" s="26">
        <v>34</v>
      </c>
      <c r="N3328" s="25">
        <f t="shared" si="103"/>
        <v>100300</v>
      </c>
      <c r="O3328" s="56"/>
    </row>
    <row r="3329" spans="1:15" hidden="1" x14ac:dyDescent="0.3">
      <c r="A3329" s="26">
        <v>32</v>
      </c>
      <c r="B3329" s="20" t="str">
        <f t="shared" si="102"/>
        <v>AUG</v>
      </c>
      <c r="C3329" s="21">
        <v>46243</v>
      </c>
      <c r="D3329" s="22" t="s">
        <v>45</v>
      </c>
      <c r="E3329" s="20" t="str">
        <f>IFERROR(VLOOKUP(I3329,KET!$B:$F,4,0),"")</f>
        <v>MARTIKA MINTOROWATI</v>
      </c>
      <c r="F3329" s="20" t="s">
        <v>42</v>
      </c>
      <c r="G3329" s="20">
        <f>IFERROR(INDEX('Kode Outlet dan Target Toko'!$C:$C,MATCH($I3329,'Kode Outlet dan Target Toko'!$E:$E,0)),0)</f>
        <v>211181</v>
      </c>
      <c r="H3329" s="20">
        <f>IFERROR(INDEX('Kode Outlet dan Target Toko'!$D:$D,MATCH($I3329,'Kode Outlet dan Target Toko'!$E:$E,0)),0)</f>
        <v>3208670</v>
      </c>
      <c r="I3329" s="42" t="s">
        <v>145</v>
      </c>
      <c r="J3329" s="56" t="s">
        <v>221</v>
      </c>
      <c r="K3329" s="40" t="s">
        <v>13</v>
      </c>
      <c r="L3329" s="26">
        <v>2950</v>
      </c>
      <c r="M3329" s="26">
        <v>23</v>
      </c>
      <c r="N3329" s="25">
        <f t="shared" si="103"/>
        <v>67850</v>
      </c>
      <c r="O3329" s="56"/>
    </row>
    <row r="3330" spans="1:15" hidden="1" x14ac:dyDescent="0.3">
      <c r="A3330" s="26">
        <v>32</v>
      </c>
      <c r="B3330" s="20" t="str">
        <f t="shared" si="102"/>
        <v>AUG</v>
      </c>
      <c r="C3330" s="21">
        <v>46243</v>
      </c>
      <c r="D3330" s="22" t="s">
        <v>45</v>
      </c>
      <c r="E3330" s="20" t="str">
        <f>IFERROR(VLOOKUP(I3330,KET!$B:$F,4,0),"")</f>
        <v>MARTIKA MINTOROWATI</v>
      </c>
      <c r="F3330" s="20" t="s">
        <v>42</v>
      </c>
      <c r="G3330" s="20">
        <f>IFERROR(INDEX('Kode Outlet dan Target Toko'!$C:$C,MATCH($I3330,'Kode Outlet dan Target Toko'!$E:$E,0)),0)</f>
        <v>211181</v>
      </c>
      <c r="H3330" s="20">
        <f>IFERROR(INDEX('Kode Outlet dan Target Toko'!$D:$D,MATCH($I3330,'Kode Outlet dan Target Toko'!$E:$E,0)),0)</f>
        <v>3208670</v>
      </c>
      <c r="I3330" s="42" t="s">
        <v>145</v>
      </c>
      <c r="J3330" s="56" t="s">
        <v>221</v>
      </c>
      <c r="K3330" s="40" t="s">
        <v>16</v>
      </c>
      <c r="L3330" s="26">
        <v>2950</v>
      </c>
      <c r="M3330" s="26">
        <v>52</v>
      </c>
      <c r="N3330" s="25">
        <f t="shared" si="103"/>
        <v>153400</v>
      </c>
      <c r="O3330" s="56">
        <v>160</v>
      </c>
    </row>
    <row r="3331" spans="1:15" hidden="1" x14ac:dyDescent="0.3">
      <c r="A3331" s="26">
        <v>32</v>
      </c>
      <c r="B3331" s="20" t="str">
        <f t="shared" si="102"/>
        <v>AUG</v>
      </c>
      <c r="C3331" s="21">
        <v>46243</v>
      </c>
      <c r="D3331" s="22" t="s">
        <v>45</v>
      </c>
      <c r="E3331" s="20" t="str">
        <f>IFERROR(VLOOKUP(I3331,KET!$B:$F,4,0),"")</f>
        <v>MARTIKA MINTOROWATI</v>
      </c>
      <c r="F3331" s="20" t="s">
        <v>42</v>
      </c>
      <c r="G3331" s="20">
        <f>IFERROR(INDEX('Kode Outlet dan Target Toko'!$C:$C,MATCH($I3331,'Kode Outlet dan Target Toko'!$E:$E,0)),0)</f>
        <v>170208</v>
      </c>
      <c r="H3331" s="20">
        <f>IFERROR(INDEX('Kode Outlet dan Target Toko'!$D:$D,MATCH($I3331,'Kode Outlet dan Target Toko'!$E:$E,0)),0)</f>
        <v>5765011</v>
      </c>
      <c r="I3331" s="42" t="s">
        <v>109</v>
      </c>
      <c r="J3331" s="56" t="s">
        <v>214</v>
      </c>
      <c r="K3331" s="40" t="s">
        <v>15</v>
      </c>
      <c r="L3331" s="26">
        <v>2950</v>
      </c>
      <c r="M3331" s="26">
        <v>75</v>
      </c>
      <c r="N3331" s="25">
        <f t="shared" si="103"/>
        <v>221250</v>
      </c>
      <c r="O3331" s="56"/>
    </row>
    <row r="3332" spans="1:15" hidden="1" x14ac:dyDescent="0.3">
      <c r="A3332" s="26">
        <v>32</v>
      </c>
      <c r="B3332" s="20" t="str">
        <f t="shared" si="102"/>
        <v>AUG</v>
      </c>
      <c r="C3332" s="21">
        <v>46243</v>
      </c>
      <c r="D3332" s="22" t="s">
        <v>45</v>
      </c>
      <c r="E3332" s="20" t="str">
        <f>IFERROR(VLOOKUP(I3332,KET!$B:$F,4,0),"")</f>
        <v>MARTIKA MINTOROWATI</v>
      </c>
      <c r="F3332" s="20" t="s">
        <v>42</v>
      </c>
      <c r="G3332" s="20">
        <f>IFERROR(INDEX('Kode Outlet dan Target Toko'!$C:$C,MATCH($I3332,'Kode Outlet dan Target Toko'!$E:$E,0)),0)</f>
        <v>170208</v>
      </c>
      <c r="H3332" s="20">
        <f>IFERROR(INDEX('Kode Outlet dan Target Toko'!$D:$D,MATCH($I3332,'Kode Outlet dan Target Toko'!$E:$E,0)),0)</f>
        <v>5765011</v>
      </c>
      <c r="I3332" s="42" t="s">
        <v>109</v>
      </c>
      <c r="J3332" s="56" t="s">
        <v>214</v>
      </c>
      <c r="K3332" s="40" t="s">
        <v>14</v>
      </c>
      <c r="L3332" s="26">
        <v>2950</v>
      </c>
      <c r="M3332" s="26">
        <v>102</v>
      </c>
      <c r="N3332" s="25">
        <f t="shared" si="103"/>
        <v>300900</v>
      </c>
      <c r="O3332" s="56"/>
    </row>
    <row r="3333" spans="1:15" hidden="1" x14ac:dyDescent="0.3">
      <c r="A3333" s="26">
        <v>32</v>
      </c>
      <c r="B3333" s="20" t="str">
        <f t="shared" si="102"/>
        <v>AUG</v>
      </c>
      <c r="C3333" s="21">
        <v>46243</v>
      </c>
      <c r="D3333" s="22" t="s">
        <v>45</v>
      </c>
      <c r="E3333" s="20" t="str">
        <f>IFERROR(VLOOKUP(I3333,KET!$B:$F,4,0),"")</f>
        <v>MARTIKA MINTOROWATI</v>
      </c>
      <c r="F3333" s="20" t="s">
        <v>42</v>
      </c>
      <c r="G3333" s="20">
        <f>IFERROR(INDEX('Kode Outlet dan Target Toko'!$C:$C,MATCH($I3333,'Kode Outlet dan Target Toko'!$E:$E,0)),0)</f>
        <v>170208</v>
      </c>
      <c r="H3333" s="20">
        <f>IFERROR(INDEX('Kode Outlet dan Target Toko'!$D:$D,MATCH($I3333,'Kode Outlet dan Target Toko'!$E:$E,0)),0)</f>
        <v>5765011</v>
      </c>
      <c r="I3333" s="42" t="s">
        <v>109</v>
      </c>
      <c r="J3333" s="56" t="s">
        <v>214</v>
      </c>
      <c r="K3333" s="40" t="s">
        <v>13</v>
      </c>
      <c r="L3333" s="26">
        <v>2950</v>
      </c>
      <c r="M3333" s="26">
        <v>44</v>
      </c>
      <c r="N3333" s="25">
        <f t="shared" si="103"/>
        <v>129800</v>
      </c>
      <c r="O3333" s="56"/>
    </row>
    <row r="3334" spans="1:15" hidden="1" x14ac:dyDescent="0.3">
      <c r="A3334" s="26">
        <v>32</v>
      </c>
      <c r="B3334" s="20" t="str">
        <f t="shared" si="102"/>
        <v>AUG</v>
      </c>
      <c r="C3334" s="21">
        <v>46243</v>
      </c>
      <c r="D3334" s="22" t="s">
        <v>45</v>
      </c>
      <c r="E3334" s="20" t="str">
        <f>IFERROR(VLOOKUP(I3334,KET!$B:$F,4,0),"")</f>
        <v>MARTIKA MINTOROWATI</v>
      </c>
      <c r="F3334" s="20" t="s">
        <v>42</v>
      </c>
      <c r="G3334" s="20">
        <f>IFERROR(INDEX('Kode Outlet dan Target Toko'!$C:$C,MATCH($I3334,'Kode Outlet dan Target Toko'!$E:$E,0)),0)</f>
        <v>170208</v>
      </c>
      <c r="H3334" s="20">
        <f>IFERROR(INDEX('Kode Outlet dan Target Toko'!$D:$D,MATCH($I3334,'Kode Outlet dan Target Toko'!$E:$E,0)),0)</f>
        <v>5765011</v>
      </c>
      <c r="I3334" s="42" t="s">
        <v>109</v>
      </c>
      <c r="J3334" s="56" t="s">
        <v>214</v>
      </c>
      <c r="K3334" s="40" t="s">
        <v>16</v>
      </c>
      <c r="L3334" s="26">
        <v>2950</v>
      </c>
      <c r="M3334" s="26">
        <v>303</v>
      </c>
      <c r="N3334" s="25">
        <f t="shared" si="103"/>
        <v>893850</v>
      </c>
      <c r="O3334" s="56">
        <v>160</v>
      </c>
    </row>
    <row r="3335" spans="1:15" hidden="1" x14ac:dyDescent="0.3">
      <c r="A3335" s="26">
        <v>32</v>
      </c>
      <c r="B3335" s="20" t="str">
        <f t="shared" ref="B3335:B3398" si="104">IF(C3335="","",UPPER(TEXT(C3335, "MMM")))</f>
        <v>AUG</v>
      </c>
      <c r="C3335" s="21">
        <v>46243</v>
      </c>
      <c r="D3335" s="22" t="s">
        <v>45</v>
      </c>
      <c r="E3335" s="20" t="str">
        <f>IFERROR(VLOOKUP(I3335,KET!$B:$F,4,0),"")</f>
        <v>MARTIKA MINTOROWATI</v>
      </c>
      <c r="F3335" s="20" t="s">
        <v>42</v>
      </c>
      <c r="G3335" s="20">
        <f>IFERROR(INDEX('Kode Outlet dan Target Toko'!$C:$C,MATCH($I3335,'Kode Outlet dan Target Toko'!$E:$E,0)),0)</f>
        <v>170208</v>
      </c>
      <c r="H3335" s="20">
        <f>IFERROR(INDEX('Kode Outlet dan Target Toko'!$D:$D,MATCH($I3335,'Kode Outlet dan Target Toko'!$E:$E,0)),0)</f>
        <v>5765011</v>
      </c>
      <c r="I3335" s="42" t="s">
        <v>109</v>
      </c>
      <c r="J3335" s="56" t="s">
        <v>215</v>
      </c>
      <c r="K3335" s="40" t="s">
        <v>15</v>
      </c>
      <c r="L3335" s="26">
        <v>2950</v>
      </c>
      <c r="M3335" s="26">
        <v>75</v>
      </c>
      <c r="N3335" s="25">
        <f t="shared" ref="N3335:N3398" si="105">IFERROR(M3335*L3335,"")</f>
        <v>221250</v>
      </c>
      <c r="O3335" s="56"/>
    </row>
    <row r="3336" spans="1:15" hidden="1" x14ac:dyDescent="0.3">
      <c r="A3336" s="26">
        <v>32</v>
      </c>
      <c r="B3336" s="20" t="str">
        <f t="shared" si="104"/>
        <v>AUG</v>
      </c>
      <c r="C3336" s="21">
        <v>46243</v>
      </c>
      <c r="D3336" s="22" t="s">
        <v>45</v>
      </c>
      <c r="E3336" s="20" t="str">
        <f>IFERROR(VLOOKUP(I3336,KET!$B:$F,4,0),"")</f>
        <v>MARTIKA MINTOROWATI</v>
      </c>
      <c r="F3336" s="20" t="s">
        <v>42</v>
      </c>
      <c r="G3336" s="20">
        <f>IFERROR(INDEX('Kode Outlet dan Target Toko'!$C:$C,MATCH($I3336,'Kode Outlet dan Target Toko'!$E:$E,0)),0)</f>
        <v>170208</v>
      </c>
      <c r="H3336" s="20">
        <f>IFERROR(INDEX('Kode Outlet dan Target Toko'!$D:$D,MATCH($I3336,'Kode Outlet dan Target Toko'!$E:$E,0)),0)</f>
        <v>5765011</v>
      </c>
      <c r="I3336" s="42" t="s">
        <v>109</v>
      </c>
      <c r="J3336" s="56" t="s">
        <v>215</v>
      </c>
      <c r="K3336" s="40" t="s">
        <v>14</v>
      </c>
      <c r="L3336" s="26">
        <v>2950</v>
      </c>
      <c r="M3336" s="26">
        <v>102</v>
      </c>
      <c r="N3336" s="25">
        <f t="shared" si="105"/>
        <v>300900</v>
      </c>
      <c r="O3336" s="56"/>
    </row>
    <row r="3337" spans="1:15" hidden="1" x14ac:dyDescent="0.3">
      <c r="A3337" s="26">
        <v>32</v>
      </c>
      <c r="B3337" s="20" t="str">
        <f t="shared" si="104"/>
        <v>AUG</v>
      </c>
      <c r="C3337" s="21">
        <v>46243</v>
      </c>
      <c r="D3337" s="22" t="s">
        <v>45</v>
      </c>
      <c r="E3337" s="20" t="str">
        <f>IFERROR(VLOOKUP(I3337,KET!$B:$F,4,0),"")</f>
        <v>MARTIKA MINTOROWATI</v>
      </c>
      <c r="F3337" s="20" t="s">
        <v>42</v>
      </c>
      <c r="G3337" s="20">
        <f>IFERROR(INDEX('Kode Outlet dan Target Toko'!$C:$C,MATCH($I3337,'Kode Outlet dan Target Toko'!$E:$E,0)),0)</f>
        <v>170208</v>
      </c>
      <c r="H3337" s="20">
        <f>IFERROR(INDEX('Kode Outlet dan Target Toko'!$D:$D,MATCH($I3337,'Kode Outlet dan Target Toko'!$E:$E,0)),0)</f>
        <v>5765011</v>
      </c>
      <c r="I3337" s="42" t="s">
        <v>109</v>
      </c>
      <c r="J3337" s="56" t="s">
        <v>215</v>
      </c>
      <c r="K3337" s="40" t="s">
        <v>13</v>
      </c>
      <c r="L3337" s="26">
        <v>2950</v>
      </c>
      <c r="M3337" s="26">
        <v>44</v>
      </c>
      <c r="N3337" s="25">
        <f t="shared" si="105"/>
        <v>129800</v>
      </c>
      <c r="O3337" s="56"/>
    </row>
    <row r="3338" spans="1:15" hidden="1" x14ac:dyDescent="0.3">
      <c r="A3338" s="26">
        <v>32</v>
      </c>
      <c r="B3338" s="20" t="str">
        <f t="shared" si="104"/>
        <v>AUG</v>
      </c>
      <c r="C3338" s="21">
        <v>46243</v>
      </c>
      <c r="D3338" s="22" t="s">
        <v>45</v>
      </c>
      <c r="E3338" s="20" t="str">
        <f>IFERROR(VLOOKUP(I3338,KET!$B:$F,4,0),"")</f>
        <v>MARTIKA MINTOROWATI</v>
      </c>
      <c r="F3338" s="20" t="s">
        <v>42</v>
      </c>
      <c r="G3338" s="20">
        <f>IFERROR(INDEX('Kode Outlet dan Target Toko'!$C:$C,MATCH($I3338,'Kode Outlet dan Target Toko'!$E:$E,0)),0)</f>
        <v>170208</v>
      </c>
      <c r="H3338" s="20">
        <f>IFERROR(INDEX('Kode Outlet dan Target Toko'!$D:$D,MATCH($I3338,'Kode Outlet dan Target Toko'!$E:$E,0)),0)</f>
        <v>5765011</v>
      </c>
      <c r="I3338" s="42" t="s">
        <v>109</v>
      </c>
      <c r="J3338" s="56" t="s">
        <v>215</v>
      </c>
      <c r="K3338" s="40" t="s">
        <v>16</v>
      </c>
      <c r="L3338" s="26">
        <v>2950</v>
      </c>
      <c r="M3338" s="26">
        <v>303</v>
      </c>
      <c r="N3338" s="25">
        <f t="shared" si="105"/>
        <v>893850</v>
      </c>
      <c r="O3338" s="56">
        <v>160</v>
      </c>
    </row>
    <row r="3339" spans="1:15" hidden="1" x14ac:dyDescent="0.3">
      <c r="A3339" s="26">
        <v>32</v>
      </c>
      <c r="B3339" s="20" t="str">
        <f t="shared" si="104"/>
        <v>AUG</v>
      </c>
      <c r="C3339" s="21">
        <v>46243</v>
      </c>
      <c r="D3339" s="22" t="s">
        <v>45</v>
      </c>
      <c r="E3339" s="20" t="str">
        <f>IFERROR(VLOOKUP(I3339,KET!$B:$F,4,0),"")</f>
        <v>MARTIKA MINTOROWATI</v>
      </c>
      <c r="F3339" s="20" t="s">
        <v>42</v>
      </c>
      <c r="G3339" s="20">
        <f>IFERROR(INDEX('Kode Outlet dan Target Toko'!$C:$C,MATCH($I3339,'Kode Outlet dan Target Toko'!$E:$E,0)),0)</f>
        <v>211030</v>
      </c>
      <c r="H3339" s="20">
        <f>IFERROR(INDEX('Kode Outlet dan Target Toko'!$D:$D,MATCH($I3339,'Kode Outlet dan Target Toko'!$E:$E,0)),0)</f>
        <v>5766116</v>
      </c>
      <c r="I3339" s="42" t="s">
        <v>106</v>
      </c>
      <c r="J3339" s="56" t="s">
        <v>300</v>
      </c>
      <c r="K3339" s="40" t="s">
        <v>15</v>
      </c>
      <c r="L3339" s="26">
        <v>2950</v>
      </c>
      <c r="M3339" s="26">
        <v>56</v>
      </c>
      <c r="N3339" s="25">
        <f t="shared" si="105"/>
        <v>165200</v>
      </c>
      <c r="O3339" s="56"/>
    </row>
    <row r="3340" spans="1:15" hidden="1" x14ac:dyDescent="0.3">
      <c r="A3340" s="26">
        <v>32</v>
      </c>
      <c r="B3340" s="20" t="str">
        <f t="shared" si="104"/>
        <v>AUG</v>
      </c>
      <c r="C3340" s="21">
        <v>46243</v>
      </c>
      <c r="D3340" s="22" t="s">
        <v>45</v>
      </c>
      <c r="E3340" s="20" t="str">
        <f>IFERROR(VLOOKUP(I3340,KET!$B:$F,4,0),"")</f>
        <v>MARTIKA MINTOROWATI</v>
      </c>
      <c r="F3340" s="20" t="s">
        <v>42</v>
      </c>
      <c r="G3340" s="20">
        <f>IFERROR(INDEX('Kode Outlet dan Target Toko'!$C:$C,MATCH($I3340,'Kode Outlet dan Target Toko'!$E:$E,0)),0)</f>
        <v>211030</v>
      </c>
      <c r="H3340" s="20">
        <f>IFERROR(INDEX('Kode Outlet dan Target Toko'!$D:$D,MATCH($I3340,'Kode Outlet dan Target Toko'!$E:$E,0)),0)</f>
        <v>5766116</v>
      </c>
      <c r="I3340" s="42" t="s">
        <v>106</v>
      </c>
      <c r="J3340" s="56" t="s">
        <v>300</v>
      </c>
      <c r="K3340" s="40" t="s">
        <v>14</v>
      </c>
      <c r="L3340" s="26">
        <v>2950</v>
      </c>
      <c r="M3340" s="26">
        <v>57</v>
      </c>
      <c r="N3340" s="25">
        <f t="shared" si="105"/>
        <v>168150</v>
      </c>
      <c r="O3340" s="56"/>
    </row>
    <row r="3341" spans="1:15" hidden="1" x14ac:dyDescent="0.3">
      <c r="A3341" s="26">
        <v>32</v>
      </c>
      <c r="B3341" s="20" t="str">
        <f t="shared" si="104"/>
        <v>AUG</v>
      </c>
      <c r="C3341" s="21">
        <v>46243</v>
      </c>
      <c r="D3341" s="22" t="s">
        <v>45</v>
      </c>
      <c r="E3341" s="20" t="str">
        <f>IFERROR(VLOOKUP(I3341,KET!$B:$F,4,0),"")</f>
        <v>MARTIKA MINTOROWATI</v>
      </c>
      <c r="F3341" s="20" t="s">
        <v>42</v>
      </c>
      <c r="G3341" s="20">
        <f>IFERROR(INDEX('Kode Outlet dan Target Toko'!$C:$C,MATCH($I3341,'Kode Outlet dan Target Toko'!$E:$E,0)),0)</f>
        <v>211030</v>
      </c>
      <c r="H3341" s="20">
        <f>IFERROR(INDEX('Kode Outlet dan Target Toko'!$D:$D,MATCH($I3341,'Kode Outlet dan Target Toko'!$E:$E,0)),0)</f>
        <v>5766116</v>
      </c>
      <c r="I3341" s="42" t="s">
        <v>106</v>
      </c>
      <c r="J3341" s="56" t="s">
        <v>300</v>
      </c>
      <c r="K3341" s="40" t="s">
        <v>13</v>
      </c>
      <c r="L3341" s="26">
        <v>2950</v>
      </c>
      <c r="M3341" s="26">
        <v>12</v>
      </c>
      <c r="N3341" s="25">
        <f t="shared" si="105"/>
        <v>35400</v>
      </c>
      <c r="O3341" s="56"/>
    </row>
    <row r="3342" spans="1:15" hidden="1" x14ac:dyDescent="0.3">
      <c r="A3342" s="26">
        <v>32</v>
      </c>
      <c r="B3342" s="20" t="str">
        <f t="shared" si="104"/>
        <v>AUG</v>
      </c>
      <c r="C3342" s="21">
        <v>46243</v>
      </c>
      <c r="D3342" s="22" t="s">
        <v>45</v>
      </c>
      <c r="E3342" s="20" t="str">
        <f>IFERROR(VLOOKUP(I3342,KET!$B:$F,4,0),"")</f>
        <v>MARTIKA MINTOROWATI</v>
      </c>
      <c r="F3342" s="20" t="s">
        <v>42</v>
      </c>
      <c r="G3342" s="20">
        <f>IFERROR(INDEX('Kode Outlet dan Target Toko'!$C:$C,MATCH($I3342,'Kode Outlet dan Target Toko'!$E:$E,0)),0)</f>
        <v>211030</v>
      </c>
      <c r="H3342" s="20">
        <f>IFERROR(INDEX('Kode Outlet dan Target Toko'!$D:$D,MATCH($I3342,'Kode Outlet dan Target Toko'!$E:$E,0)),0)</f>
        <v>5766116</v>
      </c>
      <c r="I3342" s="42" t="s">
        <v>106</v>
      </c>
      <c r="J3342" s="56" t="s">
        <v>300</v>
      </c>
      <c r="K3342" s="40" t="s">
        <v>16</v>
      </c>
      <c r="L3342" s="26">
        <v>2950</v>
      </c>
      <c r="M3342" s="26">
        <v>77</v>
      </c>
      <c r="N3342" s="25">
        <f t="shared" si="105"/>
        <v>227150</v>
      </c>
      <c r="O3342" s="56"/>
    </row>
    <row r="3343" spans="1:15" hidden="1" x14ac:dyDescent="0.3">
      <c r="A3343" s="26">
        <v>32</v>
      </c>
      <c r="B3343" s="20" t="str">
        <f t="shared" si="104"/>
        <v>AUG</v>
      </c>
      <c r="C3343" s="21">
        <v>46243</v>
      </c>
      <c r="D3343" s="22" t="s">
        <v>45</v>
      </c>
      <c r="E3343" s="20" t="str">
        <f>IFERROR(VLOOKUP(I3343,KET!$B:$F,4,0),"")</f>
        <v>MARTIKA MINTOROWATI</v>
      </c>
      <c r="F3343" s="20" t="s">
        <v>42</v>
      </c>
      <c r="G3343" s="20">
        <f>IFERROR(INDEX('Kode Outlet dan Target Toko'!$C:$C,MATCH($I3343,'Kode Outlet dan Target Toko'!$E:$E,0)),0)</f>
        <v>211030</v>
      </c>
      <c r="H3343" s="20">
        <f>IFERROR(INDEX('Kode Outlet dan Target Toko'!$D:$D,MATCH($I3343,'Kode Outlet dan Target Toko'!$E:$E,0)),0)</f>
        <v>5766116</v>
      </c>
      <c r="I3343" s="42" t="s">
        <v>106</v>
      </c>
      <c r="J3343" s="56" t="s">
        <v>218</v>
      </c>
      <c r="K3343" s="40" t="s">
        <v>15</v>
      </c>
      <c r="L3343" s="26">
        <v>2950</v>
      </c>
      <c r="M3343" s="26">
        <v>56</v>
      </c>
      <c r="N3343" s="25">
        <f t="shared" si="105"/>
        <v>165200</v>
      </c>
      <c r="O3343" s="56"/>
    </row>
    <row r="3344" spans="1:15" hidden="1" x14ac:dyDescent="0.3">
      <c r="A3344" s="26">
        <v>32</v>
      </c>
      <c r="B3344" s="20" t="str">
        <f t="shared" si="104"/>
        <v>AUG</v>
      </c>
      <c r="C3344" s="21">
        <v>46243</v>
      </c>
      <c r="D3344" s="22" t="s">
        <v>45</v>
      </c>
      <c r="E3344" s="20" t="str">
        <f>IFERROR(VLOOKUP(I3344,KET!$B:$F,4,0),"")</f>
        <v>MARTIKA MINTOROWATI</v>
      </c>
      <c r="F3344" s="20" t="s">
        <v>42</v>
      </c>
      <c r="G3344" s="20">
        <f>IFERROR(INDEX('Kode Outlet dan Target Toko'!$C:$C,MATCH($I3344,'Kode Outlet dan Target Toko'!$E:$E,0)),0)</f>
        <v>211030</v>
      </c>
      <c r="H3344" s="20">
        <f>IFERROR(INDEX('Kode Outlet dan Target Toko'!$D:$D,MATCH($I3344,'Kode Outlet dan Target Toko'!$E:$E,0)),0)</f>
        <v>5766116</v>
      </c>
      <c r="I3344" s="42" t="s">
        <v>106</v>
      </c>
      <c r="J3344" s="56" t="s">
        <v>218</v>
      </c>
      <c r="K3344" s="40" t="s">
        <v>14</v>
      </c>
      <c r="L3344" s="26">
        <v>2950</v>
      </c>
      <c r="M3344" s="26">
        <v>57</v>
      </c>
      <c r="N3344" s="25">
        <f t="shared" si="105"/>
        <v>168150</v>
      </c>
      <c r="O3344" s="56"/>
    </row>
    <row r="3345" spans="1:15" hidden="1" x14ac:dyDescent="0.3">
      <c r="A3345" s="26">
        <v>32</v>
      </c>
      <c r="B3345" s="20" t="str">
        <f t="shared" si="104"/>
        <v>AUG</v>
      </c>
      <c r="C3345" s="21">
        <v>46243</v>
      </c>
      <c r="D3345" s="22" t="s">
        <v>45</v>
      </c>
      <c r="E3345" s="20" t="str">
        <f>IFERROR(VLOOKUP(I3345,KET!$B:$F,4,0),"")</f>
        <v>MARTIKA MINTOROWATI</v>
      </c>
      <c r="F3345" s="20" t="s">
        <v>42</v>
      </c>
      <c r="G3345" s="20">
        <f>IFERROR(INDEX('Kode Outlet dan Target Toko'!$C:$C,MATCH($I3345,'Kode Outlet dan Target Toko'!$E:$E,0)),0)</f>
        <v>211030</v>
      </c>
      <c r="H3345" s="20">
        <f>IFERROR(INDEX('Kode Outlet dan Target Toko'!$D:$D,MATCH($I3345,'Kode Outlet dan Target Toko'!$E:$E,0)),0)</f>
        <v>5766116</v>
      </c>
      <c r="I3345" s="42" t="s">
        <v>106</v>
      </c>
      <c r="J3345" s="56" t="s">
        <v>218</v>
      </c>
      <c r="K3345" s="40" t="s">
        <v>13</v>
      </c>
      <c r="L3345" s="26">
        <v>2950</v>
      </c>
      <c r="M3345" s="26">
        <v>12</v>
      </c>
      <c r="N3345" s="25">
        <f t="shared" si="105"/>
        <v>35400</v>
      </c>
      <c r="O3345" s="56"/>
    </row>
    <row r="3346" spans="1:15" hidden="1" x14ac:dyDescent="0.3">
      <c r="A3346" s="26">
        <v>32</v>
      </c>
      <c r="B3346" s="20" t="str">
        <f t="shared" si="104"/>
        <v>AUG</v>
      </c>
      <c r="C3346" s="21">
        <v>46243</v>
      </c>
      <c r="D3346" s="22" t="s">
        <v>45</v>
      </c>
      <c r="E3346" s="20" t="str">
        <f>IFERROR(VLOOKUP(I3346,KET!$B:$F,4,0),"")</f>
        <v>MARTIKA MINTOROWATI</v>
      </c>
      <c r="F3346" s="20" t="s">
        <v>42</v>
      </c>
      <c r="G3346" s="20">
        <f>IFERROR(INDEX('Kode Outlet dan Target Toko'!$C:$C,MATCH($I3346,'Kode Outlet dan Target Toko'!$E:$E,0)),0)</f>
        <v>211030</v>
      </c>
      <c r="H3346" s="20">
        <f>IFERROR(INDEX('Kode Outlet dan Target Toko'!$D:$D,MATCH($I3346,'Kode Outlet dan Target Toko'!$E:$E,0)),0)</f>
        <v>5766116</v>
      </c>
      <c r="I3346" s="42" t="s">
        <v>106</v>
      </c>
      <c r="J3346" s="56" t="s">
        <v>218</v>
      </c>
      <c r="K3346" s="40" t="s">
        <v>16</v>
      </c>
      <c r="L3346" s="26">
        <v>2950</v>
      </c>
      <c r="M3346" s="26">
        <v>77</v>
      </c>
      <c r="N3346" s="25">
        <f t="shared" si="105"/>
        <v>227150</v>
      </c>
      <c r="O3346" s="56"/>
    </row>
    <row r="3347" spans="1:15" hidden="1" x14ac:dyDescent="0.3">
      <c r="A3347" s="26">
        <v>32</v>
      </c>
      <c r="B3347" s="20" t="str">
        <f t="shared" si="104"/>
        <v>AUG</v>
      </c>
      <c r="C3347" s="21">
        <v>46243</v>
      </c>
      <c r="D3347" s="22" t="s">
        <v>45</v>
      </c>
      <c r="E3347" s="20" t="str">
        <f>IFERROR(VLOOKUP(I3347,KET!$B:$F,4,0),"")</f>
        <v>MARTIKA MINTOROWATI</v>
      </c>
      <c r="F3347" s="20" t="s">
        <v>42</v>
      </c>
      <c r="G3347" s="20">
        <f>IFERROR(INDEX('Kode Outlet dan Target Toko'!$C:$C,MATCH($I3347,'Kode Outlet dan Target Toko'!$E:$E,0)),0)</f>
        <v>211030</v>
      </c>
      <c r="H3347" s="20">
        <f>IFERROR(INDEX('Kode Outlet dan Target Toko'!$D:$D,MATCH($I3347,'Kode Outlet dan Target Toko'!$E:$E,0)),0)</f>
        <v>5765035</v>
      </c>
      <c r="I3347" s="42" t="s">
        <v>113</v>
      </c>
      <c r="J3347" s="56" t="s">
        <v>224</v>
      </c>
      <c r="K3347" s="40" t="s">
        <v>15</v>
      </c>
      <c r="L3347" s="26">
        <v>3145</v>
      </c>
      <c r="M3347" s="26">
        <v>11</v>
      </c>
      <c r="N3347" s="25">
        <f t="shared" si="105"/>
        <v>34595</v>
      </c>
      <c r="O3347" s="56"/>
    </row>
    <row r="3348" spans="1:15" hidden="1" x14ac:dyDescent="0.3">
      <c r="A3348" s="26">
        <v>32</v>
      </c>
      <c r="B3348" s="20" t="str">
        <f t="shared" si="104"/>
        <v>AUG</v>
      </c>
      <c r="C3348" s="21">
        <v>46243</v>
      </c>
      <c r="D3348" s="22" t="s">
        <v>45</v>
      </c>
      <c r="E3348" s="20" t="str">
        <f>IFERROR(VLOOKUP(I3348,KET!$B:$F,4,0),"")</f>
        <v>MARTIKA MINTOROWATI</v>
      </c>
      <c r="F3348" s="20" t="s">
        <v>42</v>
      </c>
      <c r="G3348" s="20">
        <f>IFERROR(INDEX('Kode Outlet dan Target Toko'!$C:$C,MATCH($I3348,'Kode Outlet dan Target Toko'!$E:$E,0)),0)</f>
        <v>211030</v>
      </c>
      <c r="H3348" s="20">
        <f>IFERROR(INDEX('Kode Outlet dan Target Toko'!$D:$D,MATCH($I3348,'Kode Outlet dan Target Toko'!$E:$E,0)),0)</f>
        <v>5765035</v>
      </c>
      <c r="I3348" s="42" t="s">
        <v>113</v>
      </c>
      <c r="J3348" s="56" t="s">
        <v>224</v>
      </c>
      <c r="K3348" s="40" t="s">
        <v>14</v>
      </c>
      <c r="L3348" s="26">
        <v>3145</v>
      </c>
      <c r="M3348" s="26">
        <v>15</v>
      </c>
      <c r="N3348" s="25">
        <f t="shared" si="105"/>
        <v>47175</v>
      </c>
      <c r="O3348" s="56"/>
    </row>
    <row r="3349" spans="1:15" hidden="1" x14ac:dyDescent="0.3">
      <c r="A3349" s="26">
        <v>32</v>
      </c>
      <c r="B3349" s="20" t="str">
        <f t="shared" si="104"/>
        <v>AUG</v>
      </c>
      <c r="C3349" s="21">
        <v>46243</v>
      </c>
      <c r="D3349" s="22" t="s">
        <v>45</v>
      </c>
      <c r="E3349" s="20" t="str">
        <f>IFERROR(VLOOKUP(I3349,KET!$B:$F,4,0),"")</f>
        <v>MARTIKA MINTOROWATI</v>
      </c>
      <c r="F3349" s="20" t="s">
        <v>42</v>
      </c>
      <c r="G3349" s="20">
        <f>IFERROR(INDEX('Kode Outlet dan Target Toko'!$C:$C,MATCH($I3349,'Kode Outlet dan Target Toko'!$E:$E,0)),0)</f>
        <v>211030</v>
      </c>
      <c r="H3349" s="20">
        <f>IFERROR(INDEX('Kode Outlet dan Target Toko'!$D:$D,MATCH($I3349,'Kode Outlet dan Target Toko'!$E:$E,0)),0)</f>
        <v>5765035</v>
      </c>
      <c r="I3349" s="42" t="s">
        <v>113</v>
      </c>
      <c r="J3349" s="56" t="s">
        <v>224</v>
      </c>
      <c r="K3349" s="40" t="s">
        <v>13</v>
      </c>
      <c r="L3349" s="26">
        <v>3145</v>
      </c>
      <c r="M3349" s="26">
        <v>6</v>
      </c>
      <c r="N3349" s="25">
        <f t="shared" si="105"/>
        <v>18870</v>
      </c>
      <c r="O3349" s="56"/>
    </row>
    <row r="3350" spans="1:15" hidden="1" x14ac:dyDescent="0.3">
      <c r="A3350" s="26">
        <v>32</v>
      </c>
      <c r="B3350" s="20" t="str">
        <f t="shared" si="104"/>
        <v>AUG</v>
      </c>
      <c r="C3350" s="21">
        <v>46243</v>
      </c>
      <c r="D3350" s="22" t="s">
        <v>45</v>
      </c>
      <c r="E3350" s="20" t="str">
        <f>IFERROR(VLOOKUP(I3350,KET!$B:$F,4,0),"")</f>
        <v>MARTIKA MINTOROWATI</v>
      </c>
      <c r="F3350" s="20" t="s">
        <v>42</v>
      </c>
      <c r="G3350" s="20">
        <f>IFERROR(INDEX('Kode Outlet dan Target Toko'!$C:$C,MATCH($I3350,'Kode Outlet dan Target Toko'!$E:$E,0)),0)</f>
        <v>211030</v>
      </c>
      <c r="H3350" s="20">
        <f>IFERROR(INDEX('Kode Outlet dan Target Toko'!$D:$D,MATCH($I3350,'Kode Outlet dan Target Toko'!$E:$E,0)),0)</f>
        <v>5765035</v>
      </c>
      <c r="I3350" s="42" t="s">
        <v>113</v>
      </c>
      <c r="J3350" s="56" t="s">
        <v>224</v>
      </c>
      <c r="K3350" s="40" t="s">
        <v>16</v>
      </c>
      <c r="L3350" s="26">
        <v>3145</v>
      </c>
      <c r="M3350" s="26">
        <v>86</v>
      </c>
      <c r="N3350" s="25">
        <f t="shared" si="105"/>
        <v>270470</v>
      </c>
      <c r="O3350" s="56">
        <v>160</v>
      </c>
    </row>
    <row r="3351" spans="1:15" hidden="1" x14ac:dyDescent="0.3">
      <c r="A3351" s="26">
        <v>32</v>
      </c>
      <c r="B3351" s="20" t="str">
        <f t="shared" si="104"/>
        <v>AUG</v>
      </c>
      <c r="C3351" s="21">
        <v>46243</v>
      </c>
      <c r="D3351" s="22" t="s">
        <v>45</v>
      </c>
      <c r="E3351" s="20" t="str">
        <f>IFERROR(VLOOKUP(I3351,KET!$B:$F,4,0),"")</f>
        <v>MARTIKA MINTOROWATI</v>
      </c>
      <c r="F3351" s="20" t="s">
        <v>42</v>
      </c>
      <c r="G3351" s="20">
        <f>IFERROR(INDEX('Kode Outlet dan Target Toko'!$C:$C,MATCH($I3351,'Kode Outlet dan Target Toko'!$E:$E,0)),0)</f>
        <v>211030</v>
      </c>
      <c r="H3351" s="20">
        <f>IFERROR(INDEX('Kode Outlet dan Target Toko'!$D:$D,MATCH($I3351,'Kode Outlet dan Target Toko'!$E:$E,0)),0)</f>
        <v>5765035</v>
      </c>
      <c r="I3351" s="42" t="s">
        <v>113</v>
      </c>
      <c r="J3351" s="56" t="s">
        <v>225</v>
      </c>
      <c r="K3351" s="40" t="s">
        <v>15</v>
      </c>
      <c r="L3351" s="26">
        <v>3145</v>
      </c>
      <c r="M3351" s="26">
        <v>10</v>
      </c>
      <c r="N3351" s="25">
        <f t="shared" si="105"/>
        <v>31450</v>
      </c>
      <c r="O3351" s="56"/>
    </row>
    <row r="3352" spans="1:15" hidden="1" x14ac:dyDescent="0.3">
      <c r="A3352" s="26">
        <v>32</v>
      </c>
      <c r="B3352" s="20" t="str">
        <f t="shared" si="104"/>
        <v>AUG</v>
      </c>
      <c r="C3352" s="21">
        <v>46243</v>
      </c>
      <c r="D3352" s="22" t="s">
        <v>45</v>
      </c>
      <c r="E3352" s="20" t="str">
        <f>IFERROR(VLOOKUP(I3352,KET!$B:$F,4,0),"")</f>
        <v>MARTIKA MINTOROWATI</v>
      </c>
      <c r="F3352" s="20" t="s">
        <v>42</v>
      </c>
      <c r="G3352" s="20">
        <f>IFERROR(INDEX('Kode Outlet dan Target Toko'!$C:$C,MATCH($I3352,'Kode Outlet dan Target Toko'!$E:$E,0)),0)</f>
        <v>211030</v>
      </c>
      <c r="H3352" s="20">
        <f>IFERROR(INDEX('Kode Outlet dan Target Toko'!$D:$D,MATCH($I3352,'Kode Outlet dan Target Toko'!$E:$E,0)),0)</f>
        <v>5765035</v>
      </c>
      <c r="I3352" s="42" t="s">
        <v>113</v>
      </c>
      <c r="J3352" s="56" t="s">
        <v>225</v>
      </c>
      <c r="K3352" s="40" t="s">
        <v>14</v>
      </c>
      <c r="L3352" s="26">
        <v>3145</v>
      </c>
      <c r="M3352" s="26">
        <v>15</v>
      </c>
      <c r="N3352" s="25">
        <f t="shared" si="105"/>
        <v>47175</v>
      </c>
      <c r="O3352" s="56"/>
    </row>
    <row r="3353" spans="1:15" hidden="1" x14ac:dyDescent="0.3">
      <c r="A3353" s="26">
        <v>32</v>
      </c>
      <c r="B3353" s="20" t="str">
        <f t="shared" si="104"/>
        <v>AUG</v>
      </c>
      <c r="C3353" s="21">
        <v>46243</v>
      </c>
      <c r="D3353" s="22" t="s">
        <v>45</v>
      </c>
      <c r="E3353" s="20" t="str">
        <f>IFERROR(VLOOKUP(I3353,KET!$B:$F,4,0),"")</f>
        <v>MARTIKA MINTOROWATI</v>
      </c>
      <c r="F3353" s="20" t="s">
        <v>42</v>
      </c>
      <c r="G3353" s="20">
        <f>IFERROR(INDEX('Kode Outlet dan Target Toko'!$C:$C,MATCH($I3353,'Kode Outlet dan Target Toko'!$E:$E,0)),0)</f>
        <v>211030</v>
      </c>
      <c r="H3353" s="20">
        <f>IFERROR(INDEX('Kode Outlet dan Target Toko'!$D:$D,MATCH($I3353,'Kode Outlet dan Target Toko'!$E:$E,0)),0)</f>
        <v>5765035</v>
      </c>
      <c r="I3353" s="42" t="s">
        <v>113</v>
      </c>
      <c r="J3353" s="56" t="s">
        <v>225</v>
      </c>
      <c r="K3353" s="40" t="s">
        <v>13</v>
      </c>
      <c r="L3353" s="26">
        <v>3145</v>
      </c>
      <c r="M3353" s="26">
        <v>6</v>
      </c>
      <c r="N3353" s="25">
        <f t="shared" si="105"/>
        <v>18870</v>
      </c>
      <c r="O3353" s="56"/>
    </row>
    <row r="3354" spans="1:15" hidden="1" x14ac:dyDescent="0.3">
      <c r="A3354" s="26">
        <v>32</v>
      </c>
      <c r="B3354" s="20" t="str">
        <f t="shared" si="104"/>
        <v>AUG</v>
      </c>
      <c r="C3354" s="21">
        <v>46243</v>
      </c>
      <c r="D3354" s="22" t="s">
        <v>45</v>
      </c>
      <c r="E3354" s="20" t="str">
        <f>IFERROR(VLOOKUP(I3354,KET!$B:$F,4,0),"")</f>
        <v>MARTIKA MINTOROWATI</v>
      </c>
      <c r="F3354" s="20" t="s">
        <v>42</v>
      </c>
      <c r="G3354" s="20">
        <f>IFERROR(INDEX('Kode Outlet dan Target Toko'!$C:$C,MATCH($I3354,'Kode Outlet dan Target Toko'!$E:$E,0)),0)</f>
        <v>211030</v>
      </c>
      <c r="H3354" s="20">
        <f>IFERROR(INDEX('Kode Outlet dan Target Toko'!$D:$D,MATCH($I3354,'Kode Outlet dan Target Toko'!$E:$E,0)),0)</f>
        <v>5765035</v>
      </c>
      <c r="I3354" s="42" t="s">
        <v>113</v>
      </c>
      <c r="J3354" s="56" t="s">
        <v>225</v>
      </c>
      <c r="K3354" s="40" t="s">
        <v>16</v>
      </c>
      <c r="L3354" s="26">
        <v>3145</v>
      </c>
      <c r="M3354" s="26">
        <v>86</v>
      </c>
      <c r="N3354" s="25">
        <f t="shared" si="105"/>
        <v>270470</v>
      </c>
      <c r="O3354" s="56">
        <v>160</v>
      </c>
    </row>
    <row r="3355" spans="1:15" hidden="1" x14ac:dyDescent="0.3">
      <c r="A3355" s="26">
        <v>32</v>
      </c>
      <c r="B3355" s="20" t="str">
        <f t="shared" si="104"/>
        <v>AUG</v>
      </c>
      <c r="C3355" s="21">
        <v>46242</v>
      </c>
      <c r="D3355" s="22" t="s">
        <v>45</v>
      </c>
      <c r="E3355" s="20" t="str">
        <f>IFERROR(VLOOKUP(I3355,KET!$B:$F,4,0),"")</f>
        <v>MARTIKA MINTOROWATI</v>
      </c>
      <c r="F3355" s="20" t="s">
        <v>42</v>
      </c>
      <c r="G3355" s="20">
        <f>IFERROR(INDEX('Kode Outlet dan Target Toko'!$C:$C,MATCH($I3355,'Kode Outlet dan Target Toko'!$E:$E,0)),0)</f>
        <v>211181</v>
      </c>
      <c r="H3355" s="20">
        <f>IFERROR(INDEX('Kode Outlet dan Target Toko'!$D:$D,MATCH($I3355,'Kode Outlet dan Target Toko'!$E:$E,0)),0)</f>
        <v>3208670</v>
      </c>
      <c r="I3355" s="42" t="s">
        <v>145</v>
      </c>
      <c r="J3355" s="56" t="s">
        <v>220</v>
      </c>
      <c r="K3355" s="40" t="s">
        <v>15</v>
      </c>
      <c r="L3355" s="26">
        <v>2950</v>
      </c>
      <c r="M3355" s="26">
        <v>55</v>
      </c>
      <c r="N3355" s="25">
        <f t="shared" si="105"/>
        <v>162250</v>
      </c>
      <c r="O3355" s="56"/>
    </row>
    <row r="3356" spans="1:15" hidden="1" x14ac:dyDescent="0.3">
      <c r="A3356" s="26">
        <v>32</v>
      </c>
      <c r="B3356" s="20" t="str">
        <f t="shared" si="104"/>
        <v>AUG</v>
      </c>
      <c r="C3356" s="21">
        <v>46242</v>
      </c>
      <c r="D3356" s="22" t="s">
        <v>45</v>
      </c>
      <c r="E3356" s="20" t="str">
        <f>IFERROR(VLOOKUP(I3356,KET!$B:$F,4,0),"")</f>
        <v>MARTIKA MINTOROWATI</v>
      </c>
      <c r="F3356" s="20" t="s">
        <v>42</v>
      </c>
      <c r="G3356" s="20">
        <f>IFERROR(INDEX('Kode Outlet dan Target Toko'!$C:$C,MATCH($I3356,'Kode Outlet dan Target Toko'!$E:$E,0)),0)</f>
        <v>211181</v>
      </c>
      <c r="H3356" s="20">
        <f>IFERROR(INDEX('Kode Outlet dan Target Toko'!$D:$D,MATCH($I3356,'Kode Outlet dan Target Toko'!$E:$E,0)),0)</f>
        <v>3208670</v>
      </c>
      <c r="I3356" s="42" t="s">
        <v>145</v>
      </c>
      <c r="J3356" s="56" t="s">
        <v>220</v>
      </c>
      <c r="K3356" s="40" t="s">
        <v>14</v>
      </c>
      <c r="L3356" s="26">
        <v>2950</v>
      </c>
      <c r="M3356" s="26">
        <v>52</v>
      </c>
      <c r="N3356" s="25">
        <f t="shared" si="105"/>
        <v>153400</v>
      </c>
      <c r="O3356" s="56"/>
    </row>
    <row r="3357" spans="1:15" hidden="1" x14ac:dyDescent="0.3">
      <c r="A3357" s="26">
        <v>32</v>
      </c>
      <c r="B3357" s="20" t="str">
        <f t="shared" si="104"/>
        <v>AUG</v>
      </c>
      <c r="C3357" s="21">
        <v>46242</v>
      </c>
      <c r="D3357" s="22" t="s">
        <v>45</v>
      </c>
      <c r="E3357" s="20" t="str">
        <f>IFERROR(VLOOKUP(I3357,KET!$B:$F,4,0),"")</f>
        <v>MARTIKA MINTOROWATI</v>
      </c>
      <c r="F3357" s="20" t="s">
        <v>42</v>
      </c>
      <c r="G3357" s="20">
        <f>IFERROR(INDEX('Kode Outlet dan Target Toko'!$C:$C,MATCH($I3357,'Kode Outlet dan Target Toko'!$E:$E,0)),0)</f>
        <v>211181</v>
      </c>
      <c r="H3357" s="20">
        <f>IFERROR(INDEX('Kode Outlet dan Target Toko'!$D:$D,MATCH($I3357,'Kode Outlet dan Target Toko'!$E:$E,0)),0)</f>
        <v>3208670</v>
      </c>
      <c r="I3357" s="42" t="s">
        <v>145</v>
      </c>
      <c r="J3357" s="56" t="s">
        <v>220</v>
      </c>
      <c r="K3357" s="40" t="s">
        <v>13</v>
      </c>
      <c r="L3357" s="26">
        <v>2950</v>
      </c>
      <c r="M3357" s="26">
        <v>44</v>
      </c>
      <c r="N3357" s="25">
        <f t="shared" si="105"/>
        <v>129800</v>
      </c>
      <c r="O3357" s="56"/>
    </row>
    <row r="3358" spans="1:15" hidden="1" x14ac:dyDescent="0.3">
      <c r="A3358" s="26">
        <v>32</v>
      </c>
      <c r="B3358" s="20" t="str">
        <f t="shared" si="104"/>
        <v>AUG</v>
      </c>
      <c r="C3358" s="21">
        <v>46242</v>
      </c>
      <c r="D3358" s="22" t="s">
        <v>45</v>
      </c>
      <c r="E3358" s="20" t="str">
        <f>IFERROR(VLOOKUP(I3358,KET!$B:$F,4,0),"")</f>
        <v>MARTIKA MINTOROWATI</v>
      </c>
      <c r="F3358" s="20" t="s">
        <v>42</v>
      </c>
      <c r="G3358" s="20">
        <f>IFERROR(INDEX('Kode Outlet dan Target Toko'!$C:$C,MATCH($I3358,'Kode Outlet dan Target Toko'!$E:$E,0)),0)</f>
        <v>211181</v>
      </c>
      <c r="H3358" s="20">
        <f>IFERROR(INDEX('Kode Outlet dan Target Toko'!$D:$D,MATCH($I3358,'Kode Outlet dan Target Toko'!$E:$E,0)),0)</f>
        <v>3208670</v>
      </c>
      <c r="I3358" s="42" t="s">
        <v>145</v>
      </c>
      <c r="J3358" s="56" t="s">
        <v>220</v>
      </c>
      <c r="K3358" s="40" t="s">
        <v>16</v>
      </c>
      <c r="L3358" s="26">
        <v>2950</v>
      </c>
      <c r="M3358" s="26">
        <v>98</v>
      </c>
      <c r="N3358" s="25">
        <f t="shared" si="105"/>
        <v>289100</v>
      </c>
      <c r="O3358" s="56">
        <v>160</v>
      </c>
    </row>
    <row r="3359" spans="1:15" hidden="1" x14ac:dyDescent="0.3">
      <c r="A3359" s="26">
        <v>32</v>
      </c>
      <c r="B3359" s="20" t="str">
        <f t="shared" si="104"/>
        <v>AUG</v>
      </c>
      <c r="C3359" s="21">
        <v>46242</v>
      </c>
      <c r="D3359" s="22" t="s">
        <v>45</v>
      </c>
      <c r="E3359" s="20" t="str">
        <f>IFERROR(VLOOKUP(I3359,KET!$B:$F,4,0),"")</f>
        <v>MARTIKA MINTOROWATI</v>
      </c>
      <c r="F3359" s="20" t="s">
        <v>42</v>
      </c>
      <c r="G3359" s="20">
        <f>IFERROR(INDEX('Kode Outlet dan Target Toko'!$C:$C,MATCH($I3359,'Kode Outlet dan Target Toko'!$E:$E,0)),0)</f>
        <v>211181</v>
      </c>
      <c r="H3359" s="20">
        <f>IFERROR(INDEX('Kode Outlet dan Target Toko'!$D:$D,MATCH($I3359,'Kode Outlet dan Target Toko'!$E:$E,0)),0)</f>
        <v>3208670</v>
      </c>
      <c r="I3359" s="42" t="s">
        <v>145</v>
      </c>
      <c r="J3359" s="56" t="s">
        <v>221</v>
      </c>
      <c r="K3359" s="40" t="s">
        <v>15</v>
      </c>
      <c r="L3359" s="26">
        <v>2950</v>
      </c>
      <c r="M3359" s="26">
        <v>55</v>
      </c>
      <c r="N3359" s="25">
        <f t="shared" si="105"/>
        <v>162250</v>
      </c>
      <c r="O3359" s="56"/>
    </row>
    <row r="3360" spans="1:15" hidden="1" x14ac:dyDescent="0.3">
      <c r="A3360" s="26">
        <v>32</v>
      </c>
      <c r="B3360" s="20" t="str">
        <f t="shared" si="104"/>
        <v>AUG</v>
      </c>
      <c r="C3360" s="21">
        <v>46242</v>
      </c>
      <c r="D3360" s="22" t="s">
        <v>45</v>
      </c>
      <c r="E3360" s="20" t="str">
        <f>IFERROR(VLOOKUP(I3360,KET!$B:$F,4,0),"")</f>
        <v>MARTIKA MINTOROWATI</v>
      </c>
      <c r="F3360" s="20" t="s">
        <v>42</v>
      </c>
      <c r="G3360" s="20">
        <f>IFERROR(INDEX('Kode Outlet dan Target Toko'!$C:$C,MATCH($I3360,'Kode Outlet dan Target Toko'!$E:$E,0)),0)</f>
        <v>211181</v>
      </c>
      <c r="H3360" s="20">
        <f>IFERROR(INDEX('Kode Outlet dan Target Toko'!$D:$D,MATCH($I3360,'Kode Outlet dan Target Toko'!$E:$E,0)),0)</f>
        <v>3208670</v>
      </c>
      <c r="I3360" s="42" t="s">
        <v>145</v>
      </c>
      <c r="J3360" s="56" t="s">
        <v>221</v>
      </c>
      <c r="K3360" s="40" t="s">
        <v>14</v>
      </c>
      <c r="L3360" s="26">
        <v>2950</v>
      </c>
      <c r="M3360" s="26">
        <v>52</v>
      </c>
      <c r="N3360" s="25">
        <f t="shared" si="105"/>
        <v>153400</v>
      </c>
      <c r="O3360" s="56"/>
    </row>
    <row r="3361" spans="1:15" hidden="1" x14ac:dyDescent="0.3">
      <c r="A3361" s="26">
        <v>32</v>
      </c>
      <c r="B3361" s="20" t="str">
        <f t="shared" si="104"/>
        <v>AUG</v>
      </c>
      <c r="C3361" s="21">
        <v>46242</v>
      </c>
      <c r="D3361" s="22" t="s">
        <v>45</v>
      </c>
      <c r="E3361" s="20" t="str">
        <f>IFERROR(VLOOKUP(I3361,KET!$B:$F,4,0),"")</f>
        <v>MARTIKA MINTOROWATI</v>
      </c>
      <c r="F3361" s="20" t="s">
        <v>42</v>
      </c>
      <c r="G3361" s="20">
        <f>IFERROR(INDEX('Kode Outlet dan Target Toko'!$C:$C,MATCH($I3361,'Kode Outlet dan Target Toko'!$E:$E,0)),0)</f>
        <v>211181</v>
      </c>
      <c r="H3361" s="20">
        <f>IFERROR(INDEX('Kode Outlet dan Target Toko'!$D:$D,MATCH($I3361,'Kode Outlet dan Target Toko'!$E:$E,0)),0)</f>
        <v>3208670</v>
      </c>
      <c r="I3361" s="42" t="s">
        <v>145</v>
      </c>
      <c r="J3361" s="56" t="s">
        <v>221</v>
      </c>
      <c r="K3361" s="40" t="s">
        <v>13</v>
      </c>
      <c r="L3361" s="26">
        <v>2950</v>
      </c>
      <c r="M3361" s="26">
        <v>44</v>
      </c>
      <c r="N3361" s="25">
        <f t="shared" si="105"/>
        <v>129800</v>
      </c>
      <c r="O3361" s="56"/>
    </row>
    <row r="3362" spans="1:15" hidden="1" x14ac:dyDescent="0.3">
      <c r="A3362" s="26">
        <v>32</v>
      </c>
      <c r="B3362" s="20" t="str">
        <f t="shared" si="104"/>
        <v>AUG</v>
      </c>
      <c r="C3362" s="21">
        <v>46242</v>
      </c>
      <c r="D3362" s="22" t="s">
        <v>45</v>
      </c>
      <c r="E3362" s="20" t="str">
        <f>IFERROR(VLOOKUP(I3362,KET!$B:$F,4,0),"")</f>
        <v>MARTIKA MINTOROWATI</v>
      </c>
      <c r="F3362" s="20" t="s">
        <v>42</v>
      </c>
      <c r="G3362" s="20">
        <f>IFERROR(INDEX('Kode Outlet dan Target Toko'!$C:$C,MATCH($I3362,'Kode Outlet dan Target Toko'!$E:$E,0)),0)</f>
        <v>211181</v>
      </c>
      <c r="H3362" s="20">
        <f>IFERROR(INDEX('Kode Outlet dan Target Toko'!$D:$D,MATCH($I3362,'Kode Outlet dan Target Toko'!$E:$E,0)),0)</f>
        <v>3208670</v>
      </c>
      <c r="I3362" s="42" t="s">
        <v>145</v>
      </c>
      <c r="J3362" s="56" t="s">
        <v>221</v>
      </c>
      <c r="K3362" s="40" t="s">
        <v>16</v>
      </c>
      <c r="L3362" s="26">
        <v>2950</v>
      </c>
      <c r="M3362" s="26">
        <v>98</v>
      </c>
      <c r="N3362" s="25">
        <f t="shared" si="105"/>
        <v>289100</v>
      </c>
      <c r="O3362" s="56">
        <v>160</v>
      </c>
    </row>
    <row r="3363" spans="1:15" hidden="1" x14ac:dyDescent="0.3">
      <c r="A3363" s="26">
        <v>32</v>
      </c>
      <c r="B3363" s="20" t="str">
        <f t="shared" si="104"/>
        <v>AUG</v>
      </c>
      <c r="C3363" s="21">
        <v>46242</v>
      </c>
      <c r="D3363" s="22" t="s">
        <v>45</v>
      </c>
      <c r="E3363" s="20" t="str">
        <f>IFERROR(VLOOKUP(I3363,KET!$B:$F,4,0),"")</f>
        <v>MARTIKA MINTOROWATI</v>
      </c>
      <c r="F3363" s="20" t="s">
        <v>42</v>
      </c>
      <c r="G3363" s="20">
        <f>IFERROR(INDEX('Kode Outlet dan Target Toko'!$C:$C,MATCH($I3363,'Kode Outlet dan Target Toko'!$E:$E,0)),0)</f>
        <v>211161</v>
      </c>
      <c r="H3363" s="20">
        <f>IFERROR(INDEX('Kode Outlet dan Target Toko'!$D:$D,MATCH($I3363,'Kode Outlet dan Target Toko'!$E:$E,0)),0)</f>
        <v>710355</v>
      </c>
      <c r="I3363" s="42" t="s">
        <v>97</v>
      </c>
      <c r="J3363" s="56" t="s">
        <v>222</v>
      </c>
      <c r="K3363" s="40" t="s">
        <v>15</v>
      </c>
      <c r="L3363" s="26">
        <v>2950</v>
      </c>
      <c r="M3363" s="26">
        <v>20</v>
      </c>
      <c r="N3363" s="25">
        <f t="shared" si="105"/>
        <v>59000</v>
      </c>
      <c r="O3363" s="56"/>
    </row>
    <row r="3364" spans="1:15" hidden="1" x14ac:dyDescent="0.3">
      <c r="A3364" s="26">
        <v>32</v>
      </c>
      <c r="B3364" s="20" t="str">
        <f t="shared" si="104"/>
        <v>AUG</v>
      </c>
      <c r="C3364" s="21">
        <v>46242</v>
      </c>
      <c r="D3364" s="22" t="s">
        <v>45</v>
      </c>
      <c r="E3364" s="20" t="str">
        <f>IFERROR(VLOOKUP(I3364,KET!$B:$F,4,0),"")</f>
        <v>MARTIKA MINTOROWATI</v>
      </c>
      <c r="F3364" s="20" t="s">
        <v>42</v>
      </c>
      <c r="G3364" s="20">
        <f>IFERROR(INDEX('Kode Outlet dan Target Toko'!$C:$C,MATCH($I3364,'Kode Outlet dan Target Toko'!$E:$E,0)),0)</f>
        <v>211161</v>
      </c>
      <c r="H3364" s="20">
        <f>IFERROR(INDEX('Kode Outlet dan Target Toko'!$D:$D,MATCH($I3364,'Kode Outlet dan Target Toko'!$E:$E,0)),0)</f>
        <v>710355</v>
      </c>
      <c r="I3364" s="42" t="s">
        <v>97</v>
      </c>
      <c r="J3364" s="56" t="s">
        <v>222</v>
      </c>
      <c r="K3364" s="40" t="s">
        <v>14</v>
      </c>
      <c r="L3364" s="26">
        <v>2950</v>
      </c>
      <c r="M3364" s="26">
        <v>25</v>
      </c>
      <c r="N3364" s="25">
        <f t="shared" si="105"/>
        <v>73750</v>
      </c>
      <c r="O3364" s="56"/>
    </row>
    <row r="3365" spans="1:15" hidden="1" x14ac:dyDescent="0.3">
      <c r="A3365" s="26">
        <v>32</v>
      </c>
      <c r="B3365" s="20" t="str">
        <f t="shared" si="104"/>
        <v>AUG</v>
      </c>
      <c r="C3365" s="21">
        <v>46242</v>
      </c>
      <c r="D3365" s="22" t="s">
        <v>45</v>
      </c>
      <c r="E3365" s="20" t="str">
        <f>IFERROR(VLOOKUP(I3365,KET!$B:$F,4,0),"")</f>
        <v>MARTIKA MINTOROWATI</v>
      </c>
      <c r="F3365" s="20" t="s">
        <v>42</v>
      </c>
      <c r="G3365" s="20">
        <f>IFERROR(INDEX('Kode Outlet dan Target Toko'!$C:$C,MATCH($I3365,'Kode Outlet dan Target Toko'!$E:$E,0)),0)</f>
        <v>211161</v>
      </c>
      <c r="H3365" s="20">
        <f>IFERROR(INDEX('Kode Outlet dan Target Toko'!$D:$D,MATCH($I3365,'Kode Outlet dan Target Toko'!$E:$E,0)),0)</f>
        <v>710355</v>
      </c>
      <c r="I3365" s="42" t="s">
        <v>97</v>
      </c>
      <c r="J3365" s="56" t="s">
        <v>222</v>
      </c>
      <c r="K3365" s="40" t="s">
        <v>13</v>
      </c>
      <c r="L3365" s="26">
        <v>2950</v>
      </c>
      <c r="M3365" s="26">
        <v>12</v>
      </c>
      <c r="N3365" s="25">
        <f t="shared" si="105"/>
        <v>35400</v>
      </c>
      <c r="O3365" s="56"/>
    </row>
    <row r="3366" spans="1:15" hidden="1" x14ac:dyDescent="0.3">
      <c r="A3366" s="26">
        <v>32</v>
      </c>
      <c r="B3366" s="20" t="str">
        <f t="shared" si="104"/>
        <v>AUG</v>
      </c>
      <c r="C3366" s="21">
        <v>46242</v>
      </c>
      <c r="D3366" s="22" t="s">
        <v>45</v>
      </c>
      <c r="E3366" s="20" t="str">
        <f>IFERROR(VLOOKUP(I3366,KET!$B:$F,4,0),"")</f>
        <v>MARTIKA MINTOROWATI</v>
      </c>
      <c r="F3366" s="20" t="s">
        <v>42</v>
      </c>
      <c r="G3366" s="20">
        <f>IFERROR(INDEX('Kode Outlet dan Target Toko'!$C:$C,MATCH($I3366,'Kode Outlet dan Target Toko'!$E:$E,0)),0)</f>
        <v>211161</v>
      </c>
      <c r="H3366" s="20">
        <f>IFERROR(INDEX('Kode Outlet dan Target Toko'!$D:$D,MATCH($I3366,'Kode Outlet dan Target Toko'!$E:$E,0)),0)</f>
        <v>710355</v>
      </c>
      <c r="I3366" s="42" t="s">
        <v>97</v>
      </c>
      <c r="J3366" s="56" t="s">
        <v>222</v>
      </c>
      <c r="K3366" s="40" t="s">
        <v>16</v>
      </c>
      <c r="L3366" s="26">
        <v>2950</v>
      </c>
      <c r="M3366" s="26">
        <v>112</v>
      </c>
      <c r="N3366" s="25">
        <f t="shared" si="105"/>
        <v>330400</v>
      </c>
      <c r="O3366" s="56">
        <v>70</v>
      </c>
    </row>
    <row r="3367" spans="1:15" hidden="1" x14ac:dyDescent="0.3">
      <c r="A3367" s="26">
        <v>32</v>
      </c>
      <c r="B3367" s="20" t="str">
        <f t="shared" si="104"/>
        <v>AUG</v>
      </c>
      <c r="C3367" s="21">
        <v>46242</v>
      </c>
      <c r="D3367" s="22" t="s">
        <v>45</v>
      </c>
      <c r="E3367" s="20" t="str">
        <f>IFERROR(VLOOKUP(I3367,KET!$B:$F,4,0),"")</f>
        <v>MARTIKA MINTOROWATI</v>
      </c>
      <c r="F3367" s="20" t="s">
        <v>42</v>
      </c>
      <c r="G3367" s="20">
        <f>IFERROR(INDEX('Kode Outlet dan Target Toko'!$C:$C,MATCH($I3367,'Kode Outlet dan Target Toko'!$E:$E,0)),0)</f>
        <v>211161</v>
      </c>
      <c r="H3367" s="20">
        <f>IFERROR(INDEX('Kode Outlet dan Target Toko'!$D:$D,MATCH($I3367,'Kode Outlet dan Target Toko'!$E:$E,0)),0)</f>
        <v>710355</v>
      </c>
      <c r="I3367" s="42" t="s">
        <v>97</v>
      </c>
      <c r="J3367" s="56" t="s">
        <v>223</v>
      </c>
      <c r="K3367" s="40" t="s">
        <v>15</v>
      </c>
      <c r="L3367" s="26">
        <v>2950</v>
      </c>
      <c r="M3367" s="26">
        <v>20</v>
      </c>
      <c r="N3367" s="25">
        <f t="shared" si="105"/>
        <v>59000</v>
      </c>
      <c r="O3367" s="56"/>
    </row>
    <row r="3368" spans="1:15" hidden="1" x14ac:dyDescent="0.3">
      <c r="A3368" s="26">
        <v>32</v>
      </c>
      <c r="B3368" s="20" t="str">
        <f t="shared" si="104"/>
        <v>AUG</v>
      </c>
      <c r="C3368" s="21">
        <v>46242</v>
      </c>
      <c r="D3368" s="22" t="s">
        <v>45</v>
      </c>
      <c r="E3368" s="20" t="str">
        <f>IFERROR(VLOOKUP(I3368,KET!$B:$F,4,0),"")</f>
        <v>MARTIKA MINTOROWATI</v>
      </c>
      <c r="F3368" s="20" t="s">
        <v>42</v>
      </c>
      <c r="G3368" s="20">
        <f>IFERROR(INDEX('Kode Outlet dan Target Toko'!$C:$C,MATCH($I3368,'Kode Outlet dan Target Toko'!$E:$E,0)),0)</f>
        <v>211161</v>
      </c>
      <c r="H3368" s="20">
        <f>IFERROR(INDEX('Kode Outlet dan Target Toko'!$D:$D,MATCH($I3368,'Kode Outlet dan Target Toko'!$E:$E,0)),0)</f>
        <v>710355</v>
      </c>
      <c r="I3368" s="42" t="s">
        <v>97</v>
      </c>
      <c r="J3368" s="56" t="s">
        <v>223</v>
      </c>
      <c r="K3368" s="40" t="s">
        <v>14</v>
      </c>
      <c r="L3368" s="26">
        <v>2950</v>
      </c>
      <c r="M3368" s="26">
        <v>25</v>
      </c>
      <c r="N3368" s="25">
        <f t="shared" si="105"/>
        <v>73750</v>
      </c>
      <c r="O3368" s="56"/>
    </row>
    <row r="3369" spans="1:15" hidden="1" x14ac:dyDescent="0.3">
      <c r="A3369" s="26">
        <v>32</v>
      </c>
      <c r="B3369" s="20" t="str">
        <f t="shared" si="104"/>
        <v>AUG</v>
      </c>
      <c r="C3369" s="21">
        <v>46242</v>
      </c>
      <c r="D3369" s="22" t="s">
        <v>45</v>
      </c>
      <c r="E3369" s="20" t="str">
        <f>IFERROR(VLOOKUP(I3369,KET!$B:$F,4,0),"")</f>
        <v>MARTIKA MINTOROWATI</v>
      </c>
      <c r="F3369" s="20" t="s">
        <v>42</v>
      </c>
      <c r="G3369" s="20">
        <f>IFERROR(INDEX('Kode Outlet dan Target Toko'!$C:$C,MATCH($I3369,'Kode Outlet dan Target Toko'!$E:$E,0)),0)</f>
        <v>211161</v>
      </c>
      <c r="H3369" s="20">
        <f>IFERROR(INDEX('Kode Outlet dan Target Toko'!$D:$D,MATCH($I3369,'Kode Outlet dan Target Toko'!$E:$E,0)),0)</f>
        <v>710355</v>
      </c>
      <c r="I3369" s="42" t="s">
        <v>97</v>
      </c>
      <c r="J3369" s="56" t="s">
        <v>223</v>
      </c>
      <c r="K3369" s="40" t="s">
        <v>13</v>
      </c>
      <c r="L3369" s="26">
        <v>2950</v>
      </c>
      <c r="M3369" s="26">
        <v>12</v>
      </c>
      <c r="N3369" s="25">
        <f t="shared" si="105"/>
        <v>35400</v>
      </c>
      <c r="O3369" s="56"/>
    </row>
    <row r="3370" spans="1:15" hidden="1" x14ac:dyDescent="0.3">
      <c r="A3370" s="26">
        <v>32</v>
      </c>
      <c r="B3370" s="20" t="str">
        <f t="shared" si="104"/>
        <v>AUG</v>
      </c>
      <c r="C3370" s="21">
        <v>46242</v>
      </c>
      <c r="D3370" s="22" t="s">
        <v>45</v>
      </c>
      <c r="E3370" s="20" t="str">
        <f>IFERROR(VLOOKUP(I3370,KET!$B:$F,4,0),"")</f>
        <v>MARTIKA MINTOROWATI</v>
      </c>
      <c r="F3370" s="20" t="s">
        <v>42</v>
      </c>
      <c r="G3370" s="20">
        <f>IFERROR(INDEX('Kode Outlet dan Target Toko'!$C:$C,MATCH($I3370,'Kode Outlet dan Target Toko'!$E:$E,0)),0)</f>
        <v>211161</v>
      </c>
      <c r="H3370" s="20">
        <f>IFERROR(INDEX('Kode Outlet dan Target Toko'!$D:$D,MATCH($I3370,'Kode Outlet dan Target Toko'!$E:$E,0)),0)</f>
        <v>710355</v>
      </c>
      <c r="I3370" s="42" t="s">
        <v>97</v>
      </c>
      <c r="J3370" s="56" t="s">
        <v>223</v>
      </c>
      <c r="K3370" s="40" t="s">
        <v>16</v>
      </c>
      <c r="L3370" s="26">
        <v>2950</v>
      </c>
      <c r="M3370" s="26">
        <v>112</v>
      </c>
      <c r="N3370" s="25">
        <f t="shared" si="105"/>
        <v>330400</v>
      </c>
      <c r="O3370" s="56">
        <v>70</v>
      </c>
    </row>
    <row r="3371" spans="1:15" hidden="1" x14ac:dyDescent="0.3">
      <c r="A3371" s="26">
        <v>32</v>
      </c>
      <c r="B3371" s="20" t="str">
        <f t="shared" si="104"/>
        <v>AUG</v>
      </c>
      <c r="C3371" s="21">
        <v>46242</v>
      </c>
      <c r="D3371" s="22" t="s">
        <v>39</v>
      </c>
      <c r="E3371" s="20" t="str">
        <f>IFERROR(VLOOKUP(I3371,KET!$B:$F,4,0),"")</f>
        <v>FAHMI LUKMANUL HAKIM</v>
      </c>
      <c r="F3371" s="20" t="s">
        <v>42</v>
      </c>
      <c r="G3371" s="20">
        <f>IFERROR(INDEX('Kode Outlet dan Target Toko'!$C:$C,MATCH($I3371,'Kode Outlet dan Target Toko'!$E:$E,0)),0)</f>
        <v>103257</v>
      </c>
      <c r="H3371" s="20">
        <f>IFERROR(INDEX('Kode Outlet dan Target Toko'!$D:$D,MATCH($I3371,'Kode Outlet dan Target Toko'!$E:$E,0)),0)</f>
        <v>9162509</v>
      </c>
      <c r="I3371" s="42" t="s">
        <v>57</v>
      </c>
      <c r="J3371" s="56" t="s">
        <v>192</v>
      </c>
      <c r="K3371" s="40" t="s">
        <v>15</v>
      </c>
      <c r="L3371" s="26">
        <v>3200</v>
      </c>
      <c r="M3371" s="26">
        <v>40</v>
      </c>
      <c r="N3371" s="25">
        <f t="shared" si="105"/>
        <v>128000</v>
      </c>
      <c r="O3371" s="56"/>
    </row>
    <row r="3372" spans="1:15" hidden="1" x14ac:dyDescent="0.3">
      <c r="A3372" s="26">
        <v>32</v>
      </c>
      <c r="B3372" s="20" t="str">
        <f t="shared" si="104"/>
        <v>AUG</v>
      </c>
      <c r="C3372" s="21">
        <v>46242</v>
      </c>
      <c r="D3372" s="22" t="s">
        <v>39</v>
      </c>
      <c r="E3372" s="20" t="str">
        <f>IFERROR(VLOOKUP(I3372,KET!$B:$F,4,0),"")</f>
        <v>FAHMI LUKMANUL HAKIM</v>
      </c>
      <c r="F3372" s="20" t="s">
        <v>42</v>
      </c>
      <c r="G3372" s="20">
        <f>IFERROR(INDEX('Kode Outlet dan Target Toko'!$C:$C,MATCH($I3372,'Kode Outlet dan Target Toko'!$E:$E,0)),0)</f>
        <v>103257</v>
      </c>
      <c r="H3372" s="20">
        <f>IFERROR(INDEX('Kode Outlet dan Target Toko'!$D:$D,MATCH($I3372,'Kode Outlet dan Target Toko'!$E:$E,0)),0)</f>
        <v>9162509</v>
      </c>
      <c r="I3372" s="42" t="s">
        <v>57</v>
      </c>
      <c r="J3372" s="56" t="s">
        <v>192</v>
      </c>
      <c r="K3372" s="40" t="s">
        <v>14</v>
      </c>
      <c r="L3372" s="26">
        <v>3200</v>
      </c>
      <c r="M3372" s="26">
        <v>30</v>
      </c>
      <c r="N3372" s="25">
        <f t="shared" si="105"/>
        <v>96000</v>
      </c>
      <c r="O3372" s="56"/>
    </row>
    <row r="3373" spans="1:15" hidden="1" x14ac:dyDescent="0.3">
      <c r="A3373" s="26">
        <v>32</v>
      </c>
      <c r="B3373" s="20" t="str">
        <f t="shared" si="104"/>
        <v>AUG</v>
      </c>
      <c r="C3373" s="21">
        <v>46242</v>
      </c>
      <c r="D3373" s="22" t="s">
        <v>39</v>
      </c>
      <c r="E3373" s="20" t="str">
        <f>IFERROR(VLOOKUP(I3373,KET!$B:$F,4,0),"")</f>
        <v>FAHMI LUKMANUL HAKIM</v>
      </c>
      <c r="F3373" s="20" t="s">
        <v>42</v>
      </c>
      <c r="G3373" s="20">
        <f>IFERROR(INDEX('Kode Outlet dan Target Toko'!$C:$C,MATCH($I3373,'Kode Outlet dan Target Toko'!$E:$E,0)),0)</f>
        <v>103257</v>
      </c>
      <c r="H3373" s="20">
        <f>IFERROR(INDEX('Kode Outlet dan Target Toko'!$D:$D,MATCH($I3373,'Kode Outlet dan Target Toko'!$E:$E,0)),0)</f>
        <v>9162509</v>
      </c>
      <c r="I3373" s="42" t="s">
        <v>57</v>
      </c>
      <c r="J3373" s="56" t="s">
        <v>192</v>
      </c>
      <c r="K3373" s="40" t="s">
        <v>13</v>
      </c>
      <c r="L3373" s="26">
        <v>3200</v>
      </c>
      <c r="M3373" s="26">
        <v>0</v>
      </c>
      <c r="N3373" s="25">
        <f t="shared" si="105"/>
        <v>0</v>
      </c>
      <c r="O3373" s="56"/>
    </row>
    <row r="3374" spans="1:15" hidden="1" x14ac:dyDescent="0.3">
      <c r="A3374" s="26">
        <v>32</v>
      </c>
      <c r="B3374" s="20" t="str">
        <f t="shared" si="104"/>
        <v>AUG</v>
      </c>
      <c r="C3374" s="21">
        <v>46242</v>
      </c>
      <c r="D3374" s="22" t="s">
        <v>39</v>
      </c>
      <c r="E3374" s="20" t="str">
        <f>IFERROR(VLOOKUP(I3374,KET!$B:$F,4,0),"")</f>
        <v>FAHMI LUKMANUL HAKIM</v>
      </c>
      <c r="F3374" s="20" t="s">
        <v>42</v>
      </c>
      <c r="G3374" s="20">
        <f>IFERROR(INDEX('Kode Outlet dan Target Toko'!$C:$C,MATCH($I3374,'Kode Outlet dan Target Toko'!$E:$E,0)),0)</f>
        <v>103257</v>
      </c>
      <c r="H3374" s="20">
        <f>IFERROR(INDEX('Kode Outlet dan Target Toko'!$D:$D,MATCH($I3374,'Kode Outlet dan Target Toko'!$E:$E,0)),0)</f>
        <v>9162509</v>
      </c>
      <c r="I3374" s="42" t="s">
        <v>57</v>
      </c>
      <c r="J3374" s="56" t="s">
        <v>192</v>
      </c>
      <c r="K3374" s="40" t="s">
        <v>16</v>
      </c>
      <c r="L3374" s="26">
        <v>3200</v>
      </c>
      <c r="M3374" s="26">
        <v>17</v>
      </c>
      <c r="N3374" s="25">
        <f t="shared" si="105"/>
        <v>54400</v>
      </c>
      <c r="O3374" s="56">
        <v>160</v>
      </c>
    </row>
    <row r="3375" spans="1:15" hidden="1" x14ac:dyDescent="0.3">
      <c r="A3375" s="26">
        <v>32</v>
      </c>
      <c r="B3375" s="20" t="str">
        <f t="shared" si="104"/>
        <v>AUG</v>
      </c>
      <c r="C3375" s="21">
        <v>46243</v>
      </c>
      <c r="D3375" s="22" t="s">
        <v>39</v>
      </c>
      <c r="E3375" s="20" t="str">
        <f>IFERROR(VLOOKUP(I3375,KET!$B:$F,4,0),"")</f>
        <v>FAHMI LUKMANUL HAKIM</v>
      </c>
      <c r="F3375" s="20" t="s">
        <v>42</v>
      </c>
      <c r="G3375" s="20">
        <f>IFERROR(INDEX('Kode Outlet dan Target Toko'!$C:$C,MATCH($I3375,'Kode Outlet dan Target Toko'!$E:$E,0)),0)</f>
        <v>103257</v>
      </c>
      <c r="H3375" s="20">
        <f>IFERROR(INDEX('Kode Outlet dan Target Toko'!$D:$D,MATCH($I3375,'Kode Outlet dan Target Toko'!$E:$E,0)),0)</f>
        <v>9162509</v>
      </c>
      <c r="I3375" s="42" t="s">
        <v>57</v>
      </c>
      <c r="J3375" s="56" t="s">
        <v>287</v>
      </c>
      <c r="K3375" s="40" t="s">
        <v>15</v>
      </c>
      <c r="L3375" s="26">
        <v>3200</v>
      </c>
      <c r="M3375" s="26">
        <v>25</v>
      </c>
      <c r="N3375" s="25">
        <f t="shared" si="105"/>
        <v>80000</v>
      </c>
      <c r="O3375" s="56"/>
    </row>
    <row r="3376" spans="1:15" hidden="1" x14ac:dyDescent="0.3">
      <c r="A3376" s="26">
        <v>32</v>
      </c>
      <c r="B3376" s="20" t="str">
        <f t="shared" si="104"/>
        <v>AUG</v>
      </c>
      <c r="C3376" s="21">
        <v>46243</v>
      </c>
      <c r="D3376" s="22" t="s">
        <v>39</v>
      </c>
      <c r="E3376" s="20" t="str">
        <f>IFERROR(VLOOKUP(I3376,KET!$B:$F,4,0),"")</f>
        <v>FAHMI LUKMANUL HAKIM</v>
      </c>
      <c r="F3376" s="20" t="s">
        <v>42</v>
      </c>
      <c r="G3376" s="20">
        <f>IFERROR(INDEX('Kode Outlet dan Target Toko'!$C:$C,MATCH($I3376,'Kode Outlet dan Target Toko'!$E:$E,0)),0)</f>
        <v>103257</v>
      </c>
      <c r="H3376" s="20">
        <f>IFERROR(INDEX('Kode Outlet dan Target Toko'!$D:$D,MATCH($I3376,'Kode Outlet dan Target Toko'!$E:$E,0)),0)</f>
        <v>9162509</v>
      </c>
      <c r="I3376" s="42" t="s">
        <v>57</v>
      </c>
      <c r="J3376" s="56" t="s">
        <v>287</v>
      </c>
      <c r="K3376" s="40" t="s">
        <v>14</v>
      </c>
      <c r="L3376" s="26">
        <v>3200</v>
      </c>
      <c r="M3376" s="26">
        <v>30</v>
      </c>
      <c r="N3376" s="25">
        <f t="shared" si="105"/>
        <v>96000</v>
      </c>
      <c r="O3376" s="56"/>
    </row>
    <row r="3377" spans="1:15" hidden="1" x14ac:dyDescent="0.3">
      <c r="A3377" s="26">
        <v>32</v>
      </c>
      <c r="B3377" s="20" t="str">
        <f t="shared" si="104"/>
        <v>AUG</v>
      </c>
      <c r="C3377" s="21">
        <v>46243</v>
      </c>
      <c r="D3377" s="22" t="s">
        <v>39</v>
      </c>
      <c r="E3377" s="20" t="str">
        <f>IFERROR(VLOOKUP(I3377,KET!$B:$F,4,0),"")</f>
        <v>FAHMI LUKMANUL HAKIM</v>
      </c>
      <c r="F3377" s="20" t="s">
        <v>42</v>
      </c>
      <c r="G3377" s="20">
        <f>IFERROR(INDEX('Kode Outlet dan Target Toko'!$C:$C,MATCH($I3377,'Kode Outlet dan Target Toko'!$E:$E,0)),0)</f>
        <v>103257</v>
      </c>
      <c r="H3377" s="20">
        <f>IFERROR(INDEX('Kode Outlet dan Target Toko'!$D:$D,MATCH($I3377,'Kode Outlet dan Target Toko'!$E:$E,0)),0)</f>
        <v>9162509</v>
      </c>
      <c r="I3377" s="42" t="s">
        <v>57</v>
      </c>
      <c r="J3377" s="56" t="s">
        <v>287</v>
      </c>
      <c r="K3377" s="40" t="s">
        <v>13</v>
      </c>
      <c r="L3377" s="26">
        <v>3200</v>
      </c>
      <c r="M3377" s="26">
        <v>28</v>
      </c>
      <c r="N3377" s="25">
        <f t="shared" si="105"/>
        <v>89600</v>
      </c>
      <c r="O3377" s="56"/>
    </row>
    <row r="3378" spans="1:15" hidden="1" x14ac:dyDescent="0.3">
      <c r="A3378" s="26">
        <v>32</v>
      </c>
      <c r="B3378" s="20" t="str">
        <f t="shared" si="104"/>
        <v>AUG</v>
      </c>
      <c r="C3378" s="21">
        <v>46243</v>
      </c>
      <c r="D3378" s="22" t="s">
        <v>39</v>
      </c>
      <c r="E3378" s="20" t="str">
        <f>IFERROR(VLOOKUP(I3378,KET!$B:$F,4,0),"")</f>
        <v>FAHMI LUKMANUL HAKIM</v>
      </c>
      <c r="F3378" s="20" t="s">
        <v>42</v>
      </c>
      <c r="G3378" s="20">
        <f>IFERROR(INDEX('Kode Outlet dan Target Toko'!$C:$C,MATCH($I3378,'Kode Outlet dan Target Toko'!$E:$E,0)),0)</f>
        <v>103257</v>
      </c>
      <c r="H3378" s="20">
        <f>IFERROR(INDEX('Kode Outlet dan Target Toko'!$D:$D,MATCH($I3378,'Kode Outlet dan Target Toko'!$E:$E,0)),0)</f>
        <v>9162509</v>
      </c>
      <c r="I3378" s="42" t="s">
        <v>57</v>
      </c>
      <c r="J3378" s="56" t="s">
        <v>287</v>
      </c>
      <c r="K3378" s="40" t="s">
        <v>16</v>
      </c>
      <c r="L3378" s="26">
        <v>3200</v>
      </c>
      <c r="M3378" s="26">
        <v>17</v>
      </c>
      <c r="N3378" s="25">
        <f t="shared" si="105"/>
        <v>54400</v>
      </c>
      <c r="O3378" s="56">
        <v>160</v>
      </c>
    </row>
    <row r="3379" spans="1:15" hidden="1" x14ac:dyDescent="0.3">
      <c r="A3379" s="26">
        <v>32</v>
      </c>
      <c r="B3379" s="20" t="str">
        <f t="shared" si="104"/>
        <v>AUG</v>
      </c>
      <c r="C3379" s="21">
        <v>46241</v>
      </c>
      <c r="D3379" s="22" t="s">
        <v>45</v>
      </c>
      <c r="E3379" s="20" t="str">
        <f>IFERROR(VLOOKUP(I3379,KET!$B:$F,4,0),"")</f>
        <v>MARTIKA MINTOROWATI</v>
      </c>
      <c r="F3379" s="20" t="s">
        <v>42</v>
      </c>
      <c r="G3379" s="20">
        <f>IFERROR(INDEX('Kode Outlet dan Target Toko'!$C:$C,MATCH($I3379,'Kode Outlet dan Target Toko'!$E:$E,0)),0)</f>
        <v>211030</v>
      </c>
      <c r="H3379" s="20">
        <f>IFERROR(INDEX('Kode Outlet dan Target Toko'!$D:$D,MATCH($I3379,'Kode Outlet dan Target Toko'!$E:$E,0)),0)</f>
        <v>5765035</v>
      </c>
      <c r="I3379" s="42" t="s">
        <v>113</v>
      </c>
      <c r="J3379" s="56" t="s">
        <v>224</v>
      </c>
      <c r="K3379" s="40" t="s">
        <v>15</v>
      </c>
      <c r="L3379" s="26">
        <v>3145</v>
      </c>
      <c r="M3379" s="26">
        <v>21</v>
      </c>
      <c r="N3379" s="25">
        <f t="shared" si="105"/>
        <v>66045</v>
      </c>
      <c r="O3379" s="56"/>
    </row>
    <row r="3380" spans="1:15" hidden="1" x14ac:dyDescent="0.3">
      <c r="A3380" s="26">
        <v>32</v>
      </c>
      <c r="B3380" s="20" t="str">
        <f t="shared" si="104"/>
        <v>AUG</v>
      </c>
      <c r="C3380" s="21">
        <v>46241</v>
      </c>
      <c r="D3380" s="22" t="s">
        <v>45</v>
      </c>
      <c r="E3380" s="20" t="str">
        <f>IFERROR(VLOOKUP(I3380,KET!$B:$F,4,0),"")</f>
        <v>MARTIKA MINTOROWATI</v>
      </c>
      <c r="F3380" s="20" t="s">
        <v>42</v>
      </c>
      <c r="G3380" s="20">
        <f>IFERROR(INDEX('Kode Outlet dan Target Toko'!$C:$C,MATCH($I3380,'Kode Outlet dan Target Toko'!$E:$E,0)),0)</f>
        <v>211030</v>
      </c>
      <c r="H3380" s="20">
        <f>IFERROR(INDEX('Kode Outlet dan Target Toko'!$D:$D,MATCH($I3380,'Kode Outlet dan Target Toko'!$E:$E,0)),0)</f>
        <v>5765035</v>
      </c>
      <c r="I3380" s="42" t="s">
        <v>113</v>
      </c>
      <c r="J3380" s="56" t="s">
        <v>224</v>
      </c>
      <c r="K3380" s="40" t="s">
        <v>14</v>
      </c>
      <c r="L3380" s="26">
        <v>3145</v>
      </c>
      <c r="M3380" s="26">
        <v>39</v>
      </c>
      <c r="N3380" s="25">
        <f t="shared" si="105"/>
        <v>122655</v>
      </c>
      <c r="O3380" s="56"/>
    </row>
    <row r="3381" spans="1:15" hidden="1" x14ac:dyDescent="0.3">
      <c r="A3381" s="26">
        <v>32</v>
      </c>
      <c r="B3381" s="20" t="str">
        <f t="shared" si="104"/>
        <v>AUG</v>
      </c>
      <c r="C3381" s="21">
        <v>46241</v>
      </c>
      <c r="D3381" s="22" t="s">
        <v>45</v>
      </c>
      <c r="E3381" s="20" t="str">
        <f>IFERROR(VLOOKUP(I3381,KET!$B:$F,4,0),"")</f>
        <v>MARTIKA MINTOROWATI</v>
      </c>
      <c r="F3381" s="20" t="s">
        <v>42</v>
      </c>
      <c r="G3381" s="20">
        <f>IFERROR(INDEX('Kode Outlet dan Target Toko'!$C:$C,MATCH($I3381,'Kode Outlet dan Target Toko'!$E:$E,0)),0)</f>
        <v>211030</v>
      </c>
      <c r="H3381" s="20">
        <f>IFERROR(INDEX('Kode Outlet dan Target Toko'!$D:$D,MATCH($I3381,'Kode Outlet dan Target Toko'!$E:$E,0)),0)</f>
        <v>5765035</v>
      </c>
      <c r="I3381" s="42" t="s">
        <v>113</v>
      </c>
      <c r="J3381" s="56" t="s">
        <v>224</v>
      </c>
      <c r="K3381" s="40" t="s">
        <v>13</v>
      </c>
      <c r="L3381" s="26">
        <v>3145</v>
      </c>
      <c r="M3381" s="26">
        <v>15</v>
      </c>
      <c r="N3381" s="25">
        <f t="shared" si="105"/>
        <v>47175</v>
      </c>
      <c r="O3381" s="56"/>
    </row>
    <row r="3382" spans="1:15" hidden="1" x14ac:dyDescent="0.3">
      <c r="A3382" s="26">
        <v>32</v>
      </c>
      <c r="B3382" s="20" t="str">
        <f t="shared" si="104"/>
        <v>AUG</v>
      </c>
      <c r="C3382" s="21">
        <v>46241</v>
      </c>
      <c r="D3382" s="22" t="s">
        <v>45</v>
      </c>
      <c r="E3382" s="20" t="str">
        <f>IFERROR(VLOOKUP(I3382,KET!$B:$F,4,0),"")</f>
        <v>MARTIKA MINTOROWATI</v>
      </c>
      <c r="F3382" s="20" t="s">
        <v>42</v>
      </c>
      <c r="G3382" s="20">
        <f>IFERROR(INDEX('Kode Outlet dan Target Toko'!$C:$C,MATCH($I3382,'Kode Outlet dan Target Toko'!$E:$E,0)),0)</f>
        <v>211030</v>
      </c>
      <c r="H3382" s="20">
        <f>IFERROR(INDEX('Kode Outlet dan Target Toko'!$D:$D,MATCH($I3382,'Kode Outlet dan Target Toko'!$E:$E,0)),0)</f>
        <v>5765035</v>
      </c>
      <c r="I3382" s="42" t="s">
        <v>113</v>
      </c>
      <c r="J3382" s="56" t="s">
        <v>224</v>
      </c>
      <c r="K3382" s="40" t="s">
        <v>16</v>
      </c>
      <c r="L3382" s="26">
        <v>3145</v>
      </c>
      <c r="M3382" s="26">
        <v>105</v>
      </c>
      <c r="N3382" s="25">
        <f t="shared" si="105"/>
        <v>330225</v>
      </c>
      <c r="O3382" s="56">
        <v>150</v>
      </c>
    </row>
    <row r="3383" spans="1:15" hidden="1" x14ac:dyDescent="0.3">
      <c r="A3383" s="26">
        <v>32</v>
      </c>
      <c r="B3383" s="20" t="str">
        <f t="shared" si="104"/>
        <v>AUG</v>
      </c>
      <c r="C3383" s="21">
        <v>46241</v>
      </c>
      <c r="D3383" s="22" t="s">
        <v>45</v>
      </c>
      <c r="E3383" s="20" t="str">
        <f>IFERROR(VLOOKUP(I3383,KET!$B:$F,4,0),"")</f>
        <v>MARTIKA MINTOROWATI</v>
      </c>
      <c r="F3383" s="20" t="s">
        <v>42</v>
      </c>
      <c r="G3383" s="20">
        <f>IFERROR(INDEX('Kode Outlet dan Target Toko'!$C:$C,MATCH($I3383,'Kode Outlet dan Target Toko'!$E:$E,0)),0)</f>
        <v>211030</v>
      </c>
      <c r="H3383" s="20">
        <f>IFERROR(INDEX('Kode Outlet dan Target Toko'!$D:$D,MATCH($I3383,'Kode Outlet dan Target Toko'!$E:$E,0)),0)</f>
        <v>5765035</v>
      </c>
      <c r="I3383" s="42" t="s">
        <v>113</v>
      </c>
      <c r="J3383" s="56" t="s">
        <v>225</v>
      </c>
      <c r="K3383" s="40" t="s">
        <v>15</v>
      </c>
      <c r="L3383" s="26">
        <v>3145</v>
      </c>
      <c r="M3383" s="26">
        <v>21</v>
      </c>
      <c r="N3383" s="25">
        <f t="shared" si="105"/>
        <v>66045</v>
      </c>
      <c r="O3383" s="56"/>
    </row>
    <row r="3384" spans="1:15" hidden="1" x14ac:dyDescent="0.3">
      <c r="A3384" s="26">
        <v>32</v>
      </c>
      <c r="B3384" s="20" t="str">
        <f t="shared" si="104"/>
        <v>AUG</v>
      </c>
      <c r="C3384" s="21">
        <v>46241</v>
      </c>
      <c r="D3384" s="22" t="s">
        <v>45</v>
      </c>
      <c r="E3384" s="20" t="str">
        <f>IFERROR(VLOOKUP(I3384,KET!$B:$F,4,0),"")</f>
        <v>MARTIKA MINTOROWATI</v>
      </c>
      <c r="F3384" s="20" t="s">
        <v>42</v>
      </c>
      <c r="G3384" s="20">
        <f>IFERROR(INDEX('Kode Outlet dan Target Toko'!$C:$C,MATCH($I3384,'Kode Outlet dan Target Toko'!$E:$E,0)),0)</f>
        <v>211030</v>
      </c>
      <c r="H3384" s="20">
        <f>IFERROR(INDEX('Kode Outlet dan Target Toko'!$D:$D,MATCH($I3384,'Kode Outlet dan Target Toko'!$E:$E,0)),0)</f>
        <v>5765035</v>
      </c>
      <c r="I3384" s="42" t="s">
        <v>113</v>
      </c>
      <c r="J3384" s="56" t="s">
        <v>225</v>
      </c>
      <c r="K3384" s="40" t="s">
        <v>14</v>
      </c>
      <c r="L3384" s="26">
        <v>3145</v>
      </c>
      <c r="M3384" s="26">
        <v>39</v>
      </c>
      <c r="N3384" s="25">
        <f t="shared" si="105"/>
        <v>122655</v>
      </c>
      <c r="O3384" s="56"/>
    </row>
    <row r="3385" spans="1:15" hidden="1" x14ac:dyDescent="0.3">
      <c r="A3385" s="26">
        <v>32</v>
      </c>
      <c r="B3385" s="20" t="str">
        <f t="shared" si="104"/>
        <v>AUG</v>
      </c>
      <c r="C3385" s="21">
        <v>46241</v>
      </c>
      <c r="D3385" s="22" t="s">
        <v>45</v>
      </c>
      <c r="E3385" s="20" t="str">
        <f>IFERROR(VLOOKUP(I3385,KET!$B:$F,4,0),"")</f>
        <v>MARTIKA MINTOROWATI</v>
      </c>
      <c r="F3385" s="20" t="s">
        <v>42</v>
      </c>
      <c r="G3385" s="20">
        <f>IFERROR(INDEX('Kode Outlet dan Target Toko'!$C:$C,MATCH($I3385,'Kode Outlet dan Target Toko'!$E:$E,0)),0)</f>
        <v>211030</v>
      </c>
      <c r="H3385" s="20">
        <f>IFERROR(INDEX('Kode Outlet dan Target Toko'!$D:$D,MATCH($I3385,'Kode Outlet dan Target Toko'!$E:$E,0)),0)</f>
        <v>5765035</v>
      </c>
      <c r="I3385" s="42" t="s">
        <v>113</v>
      </c>
      <c r="J3385" s="56" t="s">
        <v>225</v>
      </c>
      <c r="K3385" s="40" t="s">
        <v>13</v>
      </c>
      <c r="L3385" s="26">
        <v>3145</v>
      </c>
      <c r="M3385" s="26">
        <v>15</v>
      </c>
      <c r="N3385" s="25">
        <f t="shared" si="105"/>
        <v>47175</v>
      </c>
      <c r="O3385" s="56"/>
    </row>
    <row r="3386" spans="1:15" hidden="1" x14ac:dyDescent="0.3">
      <c r="A3386" s="26">
        <v>32</v>
      </c>
      <c r="B3386" s="20" t="str">
        <f t="shared" si="104"/>
        <v>AUG</v>
      </c>
      <c r="C3386" s="21">
        <v>46241</v>
      </c>
      <c r="D3386" s="22" t="s">
        <v>45</v>
      </c>
      <c r="E3386" s="20" t="str">
        <f>IFERROR(VLOOKUP(I3386,KET!$B:$F,4,0),"")</f>
        <v>MARTIKA MINTOROWATI</v>
      </c>
      <c r="F3386" s="20" t="s">
        <v>42</v>
      </c>
      <c r="G3386" s="20">
        <f>IFERROR(INDEX('Kode Outlet dan Target Toko'!$C:$C,MATCH($I3386,'Kode Outlet dan Target Toko'!$E:$E,0)),0)</f>
        <v>211030</v>
      </c>
      <c r="H3386" s="20">
        <f>IFERROR(INDEX('Kode Outlet dan Target Toko'!$D:$D,MATCH($I3386,'Kode Outlet dan Target Toko'!$E:$E,0)),0)</f>
        <v>5765035</v>
      </c>
      <c r="I3386" s="42" t="s">
        <v>113</v>
      </c>
      <c r="J3386" s="56" t="s">
        <v>225</v>
      </c>
      <c r="K3386" s="40" t="s">
        <v>16</v>
      </c>
      <c r="L3386" s="26">
        <v>3145</v>
      </c>
      <c r="M3386" s="26">
        <v>105</v>
      </c>
      <c r="N3386" s="25">
        <f t="shared" si="105"/>
        <v>330225</v>
      </c>
      <c r="O3386" s="56">
        <v>150</v>
      </c>
    </row>
    <row r="3387" spans="1:15" hidden="1" x14ac:dyDescent="0.3">
      <c r="A3387" s="26">
        <v>33</v>
      </c>
      <c r="B3387" s="20" t="str">
        <f t="shared" si="104"/>
        <v>AUG</v>
      </c>
      <c r="C3387" s="21">
        <v>46248</v>
      </c>
      <c r="D3387" s="22" t="str">
        <f>IFERROR(INDEX('Kode Outlet dan Target Toko'!$A:$A,MATCH($I3387,'Kode Outlet dan Target Toko'!$E:$E,0)),"")</f>
        <v>GRSM 4</v>
      </c>
      <c r="E3387" s="20" t="str">
        <f>IFERROR(VLOOKUP(I3387,KET!$B:$F,4,0),"")</f>
        <v>FAHMI LUKMANUL HAKIM</v>
      </c>
      <c r="F3387" s="20" t="str">
        <f>IFERROR(VLOOKUP(I3387,KET!$B:$F,5,0),"")</f>
        <v>GMM</v>
      </c>
      <c r="G3387" s="20">
        <f>IFERROR(INDEX('Kode Outlet dan Target Toko'!$C:$C,MATCH($I3387,'Kode Outlet dan Target Toko'!$E:$E,0)),0)</f>
        <v>103258</v>
      </c>
      <c r="H3387" s="20">
        <f>IFERROR(INDEX('Kode Outlet dan Target Toko'!$D:$D,MATCH($I3387,'Kode Outlet dan Target Toko'!$E:$E,0)),0)</f>
        <v>9201924</v>
      </c>
      <c r="I3387" s="42" t="s">
        <v>95</v>
      </c>
      <c r="J3387" s="56" t="s">
        <v>253</v>
      </c>
      <c r="K3387" s="40" t="s">
        <v>15</v>
      </c>
      <c r="L3387" s="26">
        <v>2000</v>
      </c>
      <c r="M3387" s="26">
        <v>24</v>
      </c>
      <c r="N3387" s="25">
        <f t="shared" si="105"/>
        <v>48000</v>
      </c>
      <c r="O3387" s="56"/>
    </row>
    <row r="3388" spans="1:15" hidden="1" x14ac:dyDescent="0.3">
      <c r="A3388" s="26">
        <v>33</v>
      </c>
      <c r="B3388" s="20" t="str">
        <f t="shared" si="104"/>
        <v>AUG</v>
      </c>
      <c r="C3388" s="21">
        <v>46248</v>
      </c>
      <c r="D3388" s="22" t="str">
        <f>IFERROR(INDEX('Kode Outlet dan Target Toko'!$A:$A,MATCH($I3388,'Kode Outlet dan Target Toko'!$E:$E,0)),"")</f>
        <v>GRSM 4</v>
      </c>
      <c r="E3388" s="20" t="str">
        <f>IFERROR(VLOOKUP(I3388,KET!$B:$F,4,0),"")</f>
        <v>FAHMI LUKMANUL HAKIM</v>
      </c>
      <c r="F3388" s="20" t="str">
        <f>IFERROR(VLOOKUP(I3388,KET!$B:$F,5,0),"")</f>
        <v>GMM</v>
      </c>
      <c r="G3388" s="20">
        <f>IFERROR(INDEX('Kode Outlet dan Target Toko'!$C:$C,MATCH($I3388,'Kode Outlet dan Target Toko'!$E:$E,0)),0)</f>
        <v>103258</v>
      </c>
      <c r="H3388" s="20">
        <f>IFERROR(INDEX('Kode Outlet dan Target Toko'!$D:$D,MATCH($I3388,'Kode Outlet dan Target Toko'!$E:$E,0)),0)</f>
        <v>9201924</v>
      </c>
      <c r="I3388" s="42" t="s">
        <v>95</v>
      </c>
      <c r="J3388" s="56" t="s">
        <v>253</v>
      </c>
      <c r="K3388" s="40" t="s">
        <v>14</v>
      </c>
      <c r="L3388" s="26">
        <v>2000</v>
      </c>
      <c r="M3388" s="26">
        <v>60</v>
      </c>
      <c r="N3388" s="25">
        <f t="shared" si="105"/>
        <v>120000</v>
      </c>
      <c r="O3388" s="56"/>
    </row>
    <row r="3389" spans="1:15" hidden="1" x14ac:dyDescent="0.3">
      <c r="A3389" s="26">
        <v>33</v>
      </c>
      <c r="B3389" s="20" t="str">
        <f t="shared" si="104"/>
        <v>AUG</v>
      </c>
      <c r="C3389" s="21">
        <v>46248</v>
      </c>
      <c r="D3389" s="22" t="str">
        <f>IFERROR(INDEX('Kode Outlet dan Target Toko'!$A:$A,MATCH($I3389,'Kode Outlet dan Target Toko'!$E:$E,0)),"")</f>
        <v>GRSM 4</v>
      </c>
      <c r="E3389" s="20" t="str">
        <f>IFERROR(VLOOKUP(I3389,KET!$B:$F,4,0),"")</f>
        <v>FAHMI LUKMANUL HAKIM</v>
      </c>
      <c r="F3389" s="20" t="str">
        <f>IFERROR(VLOOKUP(I3389,KET!$B:$F,5,0),"")</f>
        <v>GMM</v>
      </c>
      <c r="G3389" s="20">
        <f>IFERROR(INDEX('Kode Outlet dan Target Toko'!$C:$C,MATCH($I3389,'Kode Outlet dan Target Toko'!$E:$E,0)),0)</f>
        <v>103258</v>
      </c>
      <c r="H3389" s="20">
        <f>IFERROR(INDEX('Kode Outlet dan Target Toko'!$D:$D,MATCH($I3389,'Kode Outlet dan Target Toko'!$E:$E,0)),0)</f>
        <v>9201924</v>
      </c>
      <c r="I3389" s="42" t="s">
        <v>95</v>
      </c>
      <c r="J3389" s="56" t="s">
        <v>253</v>
      </c>
      <c r="K3389" s="40" t="s">
        <v>13</v>
      </c>
      <c r="L3389" s="26">
        <v>2000</v>
      </c>
      <c r="M3389" s="26">
        <v>0</v>
      </c>
      <c r="N3389" s="25">
        <f t="shared" si="105"/>
        <v>0</v>
      </c>
      <c r="O3389" s="56"/>
    </row>
    <row r="3390" spans="1:15" hidden="1" x14ac:dyDescent="0.3">
      <c r="A3390" s="26">
        <v>33</v>
      </c>
      <c r="B3390" s="20" t="str">
        <f t="shared" si="104"/>
        <v>AUG</v>
      </c>
      <c r="C3390" s="21">
        <v>46248</v>
      </c>
      <c r="D3390" s="22" t="str">
        <f>IFERROR(INDEX('Kode Outlet dan Target Toko'!$A:$A,MATCH($I3390,'Kode Outlet dan Target Toko'!$E:$E,0)),"")</f>
        <v>GRSM 4</v>
      </c>
      <c r="E3390" s="20" t="str">
        <f>IFERROR(VLOOKUP(I3390,KET!$B:$F,4,0),"")</f>
        <v>FAHMI LUKMANUL HAKIM</v>
      </c>
      <c r="F3390" s="20" t="str">
        <f>IFERROR(VLOOKUP(I3390,KET!$B:$F,5,0),"")</f>
        <v>GMM</v>
      </c>
      <c r="G3390" s="20">
        <f>IFERROR(INDEX('Kode Outlet dan Target Toko'!$C:$C,MATCH($I3390,'Kode Outlet dan Target Toko'!$E:$E,0)),0)</f>
        <v>103258</v>
      </c>
      <c r="H3390" s="20">
        <f>IFERROR(INDEX('Kode Outlet dan Target Toko'!$D:$D,MATCH($I3390,'Kode Outlet dan Target Toko'!$E:$E,0)),0)</f>
        <v>9201924</v>
      </c>
      <c r="I3390" s="42" t="s">
        <v>95</v>
      </c>
      <c r="J3390" s="56" t="s">
        <v>253</v>
      </c>
      <c r="K3390" s="40" t="s">
        <v>16</v>
      </c>
      <c r="L3390" s="26">
        <v>2000</v>
      </c>
      <c r="M3390" s="26">
        <v>180</v>
      </c>
      <c r="N3390" s="25">
        <f t="shared" si="105"/>
        <v>360000</v>
      </c>
      <c r="O3390" s="56">
        <v>160</v>
      </c>
    </row>
    <row r="3391" spans="1:15" hidden="1" x14ac:dyDescent="0.3">
      <c r="A3391" s="26">
        <v>33</v>
      </c>
      <c r="B3391" s="20" t="str">
        <f t="shared" si="104"/>
        <v>AUG</v>
      </c>
      <c r="C3391" s="21">
        <v>46248</v>
      </c>
      <c r="D3391" s="22" t="str">
        <f>IFERROR(INDEX('Kode Outlet dan Target Toko'!$A:$A,MATCH($I3391,'Kode Outlet dan Target Toko'!$E:$E,0)),"")</f>
        <v>GRSM 4</v>
      </c>
      <c r="E3391" s="20" t="str">
        <f>IFERROR(VLOOKUP(I3391,KET!$B:$F,4,0),"")</f>
        <v>FAHMI LUKMANUL HAKIM</v>
      </c>
      <c r="F3391" s="20" t="str">
        <f>IFERROR(VLOOKUP(I3391,KET!$B:$F,5,0),"")</f>
        <v>GMM</v>
      </c>
      <c r="G3391" s="20">
        <f>IFERROR(INDEX('Kode Outlet dan Target Toko'!$C:$C,MATCH($I3391,'Kode Outlet dan Target Toko'!$E:$E,0)),0)</f>
        <v>103258</v>
      </c>
      <c r="H3391" s="20">
        <f>IFERROR(INDEX('Kode Outlet dan Target Toko'!$D:$D,MATCH($I3391,'Kode Outlet dan Target Toko'!$E:$E,0)),0)</f>
        <v>9201924</v>
      </c>
      <c r="I3391" s="42" t="s">
        <v>95</v>
      </c>
      <c r="J3391" s="56" t="s">
        <v>200</v>
      </c>
      <c r="K3391" s="40" t="s">
        <v>15</v>
      </c>
      <c r="L3391" s="26">
        <v>2000</v>
      </c>
      <c r="M3391" s="26">
        <v>24</v>
      </c>
      <c r="N3391" s="25">
        <f t="shared" si="105"/>
        <v>48000</v>
      </c>
      <c r="O3391" s="56"/>
    </row>
    <row r="3392" spans="1:15" hidden="1" x14ac:dyDescent="0.3">
      <c r="A3392" s="26">
        <v>33</v>
      </c>
      <c r="B3392" s="20" t="str">
        <f t="shared" si="104"/>
        <v>AUG</v>
      </c>
      <c r="C3392" s="21">
        <v>46248</v>
      </c>
      <c r="D3392" s="22" t="str">
        <f>IFERROR(INDEX('Kode Outlet dan Target Toko'!$A:$A,MATCH($I3392,'Kode Outlet dan Target Toko'!$E:$E,0)),"")</f>
        <v>GRSM 4</v>
      </c>
      <c r="E3392" s="20" t="str">
        <f>IFERROR(VLOOKUP(I3392,KET!$B:$F,4,0),"")</f>
        <v>FAHMI LUKMANUL HAKIM</v>
      </c>
      <c r="F3392" s="20" t="str">
        <f>IFERROR(VLOOKUP(I3392,KET!$B:$F,5,0),"")</f>
        <v>GMM</v>
      </c>
      <c r="G3392" s="20">
        <f>IFERROR(INDEX('Kode Outlet dan Target Toko'!$C:$C,MATCH($I3392,'Kode Outlet dan Target Toko'!$E:$E,0)),0)</f>
        <v>103258</v>
      </c>
      <c r="H3392" s="20">
        <f>IFERROR(INDEX('Kode Outlet dan Target Toko'!$D:$D,MATCH($I3392,'Kode Outlet dan Target Toko'!$E:$E,0)),0)</f>
        <v>9201924</v>
      </c>
      <c r="I3392" s="42" t="s">
        <v>95</v>
      </c>
      <c r="J3392" s="56" t="s">
        <v>200</v>
      </c>
      <c r="K3392" s="40" t="s">
        <v>14</v>
      </c>
      <c r="L3392" s="26">
        <v>2000</v>
      </c>
      <c r="M3392" s="26">
        <v>60</v>
      </c>
      <c r="N3392" s="25">
        <f t="shared" si="105"/>
        <v>120000</v>
      </c>
      <c r="O3392" s="56"/>
    </row>
    <row r="3393" spans="1:15" hidden="1" x14ac:dyDescent="0.3">
      <c r="A3393" s="26">
        <v>33</v>
      </c>
      <c r="B3393" s="20" t="str">
        <f t="shared" si="104"/>
        <v>AUG</v>
      </c>
      <c r="C3393" s="21">
        <v>46248</v>
      </c>
      <c r="D3393" s="22" t="str">
        <f>IFERROR(INDEX('Kode Outlet dan Target Toko'!$A:$A,MATCH($I3393,'Kode Outlet dan Target Toko'!$E:$E,0)),"")</f>
        <v>GRSM 4</v>
      </c>
      <c r="E3393" s="20" t="str">
        <f>IFERROR(VLOOKUP(I3393,KET!$B:$F,4,0),"")</f>
        <v>FAHMI LUKMANUL HAKIM</v>
      </c>
      <c r="F3393" s="20" t="str">
        <f>IFERROR(VLOOKUP(I3393,KET!$B:$F,5,0),"")</f>
        <v>GMM</v>
      </c>
      <c r="G3393" s="20">
        <f>IFERROR(INDEX('Kode Outlet dan Target Toko'!$C:$C,MATCH($I3393,'Kode Outlet dan Target Toko'!$E:$E,0)),0)</f>
        <v>103258</v>
      </c>
      <c r="H3393" s="20">
        <f>IFERROR(INDEX('Kode Outlet dan Target Toko'!$D:$D,MATCH($I3393,'Kode Outlet dan Target Toko'!$E:$E,0)),0)</f>
        <v>9201924</v>
      </c>
      <c r="I3393" s="42" t="s">
        <v>95</v>
      </c>
      <c r="J3393" s="56" t="s">
        <v>200</v>
      </c>
      <c r="K3393" s="40" t="s">
        <v>13</v>
      </c>
      <c r="L3393" s="26">
        <v>2000</v>
      </c>
      <c r="M3393" s="26">
        <v>0</v>
      </c>
      <c r="N3393" s="25">
        <f t="shared" si="105"/>
        <v>0</v>
      </c>
      <c r="O3393" s="56"/>
    </row>
    <row r="3394" spans="1:15" hidden="1" x14ac:dyDescent="0.3">
      <c r="A3394" s="26">
        <v>33</v>
      </c>
      <c r="B3394" s="20" t="str">
        <f t="shared" si="104"/>
        <v>AUG</v>
      </c>
      <c r="C3394" s="21">
        <v>46248</v>
      </c>
      <c r="D3394" s="22" t="str">
        <f>IFERROR(INDEX('Kode Outlet dan Target Toko'!$A:$A,MATCH($I3394,'Kode Outlet dan Target Toko'!$E:$E,0)),"")</f>
        <v>GRSM 4</v>
      </c>
      <c r="E3394" s="20" t="str">
        <f>IFERROR(VLOOKUP(I3394,KET!$B:$F,4,0),"")</f>
        <v>FAHMI LUKMANUL HAKIM</v>
      </c>
      <c r="F3394" s="20" t="str">
        <f>IFERROR(VLOOKUP(I3394,KET!$B:$F,5,0),"")</f>
        <v>GMM</v>
      </c>
      <c r="G3394" s="20">
        <f>IFERROR(INDEX('Kode Outlet dan Target Toko'!$C:$C,MATCH($I3394,'Kode Outlet dan Target Toko'!$E:$E,0)),0)</f>
        <v>103258</v>
      </c>
      <c r="H3394" s="20">
        <f>IFERROR(INDEX('Kode Outlet dan Target Toko'!$D:$D,MATCH($I3394,'Kode Outlet dan Target Toko'!$E:$E,0)),0)</f>
        <v>9201924</v>
      </c>
      <c r="I3394" s="42" t="s">
        <v>95</v>
      </c>
      <c r="J3394" s="56" t="s">
        <v>200</v>
      </c>
      <c r="K3394" s="40" t="s">
        <v>16</v>
      </c>
      <c r="L3394" s="26">
        <v>2000</v>
      </c>
      <c r="M3394" s="26">
        <v>180</v>
      </c>
      <c r="N3394" s="25">
        <f t="shared" si="105"/>
        <v>360000</v>
      </c>
      <c r="O3394" s="56">
        <v>160</v>
      </c>
    </row>
    <row r="3395" spans="1:15" hidden="1" x14ac:dyDescent="0.3">
      <c r="A3395" s="26">
        <v>33</v>
      </c>
      <c r="B3395" s="20" t="str">
        <f t="shared" si="104"/>
        <v>AUG</v>
      </c>
      <c r="C3395" s="21">
        <v>46248</v>
      </c>
      <c r="D3395" s="22" t="str">
        <f>IFERROR(INDEX('Kode Outlet dan Target Toko'!$A:$A,MATCH($I3395,'Kode Outlet dan Target Toko'!$E:$E,0)),"")</f>
        <v>GRSM 3A</v>
      </c>
      <c r="E3395" s="20" t="str">
        <f>IFERROR(VLOOKUP(I3395,KET!$B:$F,4,0),"")</f>
        <v>FAHMI LUKMANUL HAKIM</v>
      </c>
      <c r="F3395" s="20" t="str">
        <f>IFERROR(VLOOKUP(I3395,KET!$B:$F,5,0),"")</f>
        <v>GMM</v>
      </c>
      <c r="G3395" s="20">
        <f>IFERROR(INDEX('Kode Outlet dan Target Toko'!$C:$C,MATCH($I3395,'Kode Outlet dan Target Toko'!$E:$E,0)),0)</f>
        <v>211019</v>
      </c>
      <c r="H3395" s="20">
        <f>IFERROR(INDEX('Kode Outlet dan Target Toko'!$D:$D,MATCH($I3395,'Kode Outlet dan Target Toko'!$E:$E,0)),0)</f>
        <v>1556924</v>
      </c>
      <c r="I3395" s="42" t="s">
        <v>102</v>
      </c>
      <c r="J3395" s="56" t="s">
        <v>194</v>
      </c>
      <c r="K3395" s="40" t="s">
        <v>15</v>
      </c>
      <c r="L3395" s="26">
        <v>3000</v>
      </c>
      <c r="M3395" s="26">
        <v>40</v>
      </c>
      <c r="N3395" s="25">
        <f t="shared" si="105"/>
        <v>120000</v>
      </c>
      <c r="O3395" s="56"/>
    </row>
    <row r="3396" spans="1:15" hidden="1" x14ac:dyDescent="0.3">
      <c r="A3396" s="26">
        <v>33</v>
      </c>
      <c r="B3396" s="20" t="str">
        <f t="shared" si="104"/>
        <v>AUG</v>
      </c>
      <c r="C3396" s="21">
        <v>46248</v>
      </c>
      <c r="D3396" s="22" t="str">
        <f>IFERROR(INDEX('Kode Outlet dan Target Toko'!$A:$A,MATCH($I3396,'Kode Outlet dan Target Toko'!$E:$E,0)),"")</f>
        <v>GRSM 3A</v>
      </c>
      <c r="E3396" s="20" t="str">
        <f>IFERROR(VLOOKUP(I3396,KET!$B:$F,4,0),"")</f>
        <v>FAHMI LUKMANUL HAKIM</v>
      </c>
      <c r="F3396" s="20" t="str">
        <f>IFERROR(VLOOKUP(I3396,KET!$B:$F,5,0),"")</f>
        <v>GMM</v>
      </c>
      <c r="G3396" s="20">
        <f>IFERROR(INDEX('Kode Outlet dan Target Toko'!$C:$C,MATCH($I3396,'Kode Outlet dan Target Toko'!$E:$E,0)),0)</f>
        <v>211019</v>
      </c>
      <c r="H3396" s="20">
        <f>IFERROR(INDEX('Kode Outlet dan Target Toko'!$D:$D,MATCH($I3396,'Kode Outlet dan Target Toko'!$E:$E,0)),0)</f>
        <v>1556924</v>
      </c>
      <c r="I3396" s="42" t="s">
        <v>102</v>
      </c>
      <c r="J3396" s="56" t="s">
        <v>194</v>
      </c>
      <c r="K3396" s="40" t="s">
        <v>14</v>
      </c>
      <c r="L3396" s="26">
        <v>3000</v>
      </c>
      <c r="M3396" s="26">
        <v>35</v>
      </c>
      <c r="N3396" s="25">
        <f t="shared" si="105"/>
        <v>105000</v>
      </c>
      <c r="O3396" s="56"/>
    </row>
    <row r="3397" spans="1:15" hidden="1" x14ac:dyDescent="0.3">
      <c r="A3397" s="26">
        <v>33</v>
      </c>
      <c r="B3397" s="20" t="str">
        <f t="shared" si="104"/>
        <v>AUG</v>
      </c>
      <c r="C3397" s="21">
        <v>46248</v>
      </c>
      <c r="D3397" s="22" t="str">
        <f>IFERROR(INDEX('Kode Outlet dan Target Toko'!$A:$A,MATCH($I3397,'Kode Outlet dan Target Toko'!$E:$E,0)),"")</f>
        <v>GRSM 3A</v>
      </c>
      <c r="E3397" s="20" t="str">
        <f>IFERROR(VLOOKUP(I3397,KET!$B:$F,4,0),"")</f>
        <v>FAHMI LUKMANUL HAKIM</v>
      </c>
      <c r="F3397" s="20" t="str">
        <f>IFERROR(VLOOKUP(I3397,KET!$B:$F,5,0),"")</f>
        <v>GMM</v>
      </c>
      <c r="G3397" s="20">
        <f>IFERROR(INDEX('Kode Outlet dan Target Toko'!$C:$C,MATCH($I3397,'Kode Outlet dan Target Toko'!$E:$E,0)),0)</f>
        <v>211019</v>
      </c>
      <c r="H3397" s="20">
        <f>IFERROR(INDEX('Kode Outlet dan Target Toko'!$D:$D,MATCH($I3397,'Kode Outlet dan Target Toko'!$E:$E,0)),0)</f>
        <v>1556924</v>
      </c>
      <c r="I3397" s="42" t="s">
        <v>102</v>
      </c>
      <c r="J3397" s="56" t="s">
        <v>194</v>
      </c>
      <c r="K3397" s="40" t="s">
        <v>13</v>
      </c>
      <c r="L3397" s="26">
        <v>3000</v>
      </c>
      <c r="M3397" s="26">
        <v>22</v>
      </c>
      <c r="N3397" s="25">
        <f t="shared" si="105"/>
        <v>66000</v>
      </c>
      <c r="O3397" s="56"/>
    </row>
    <row r="3398" spans="1:15" hidden="1" x14ac:dyDescent="0.3">
      <c r="A3398" s="26">
        <v>33</v>
      </c>
      <c r="B3398" s="20" t="str">
        <f t="shared" si="104"/>
        <v>AUG</v>
      </c>
      <c r="C3398" s="21">
        <v>46248</v>
      </c>
      <c r="D3398" s="22" t="str">
        <f>IFERROR(INDEX('Kode Outlet dan Target Toko'!$A:$A,MATCH($I3398,'Kode Outlet dan Target Toko'!$E:$E,0)),"")</f>
        <v>GRSM 3A</v>
      </c>
      <c r="E3398" s="20" t="str">
        <f>IFERROR(VLOOKUP(I3398,KET!$B:$F,4,0),"")</f>
        <v>FAHMI LUKMANUL HAKIM</v>
      </c>
      <c r="F3398" s="20" t="str">
        <f>IFERROR(VLOOKUP(I3398,KET!$B:$F,5,0),"")</f>
        <v>GMM</v>
      </c>
      <c r="G3398" s="20">
        <f>IFERROR(INDEX('Kode Outlet dan Target Toko'!$C:$C,MATCH($I3398,'Kode Outlet dan Target Toko'!$E:$E,0)),0)</f>
        <v>211019</v>
      </c>
      <c r="H3398" s="20">
        <f>IFERROR(INDEX('Kode Outlet dan Target Toko'!$D:$D,MATCH($I3398,'Kode Outlet dan Target Toko'!$E:$E,0)),0)</f>
        <v>1556924</v>
      </c>
      <c r="I3398" s="42" t="s">
        <v>102</v>
      </c>
      <c r="J3398" s="56" t="s">
        <v>194</v>
      </c>
      <c r="K3398" s="40" t="s">
        <v>16</v>
      </c>
      <c r="L3398" s="26">
        <v>3000</v>
      </c>
      <c r="M3398" s="26">
        <v>74</v>
      </c>
      <c r="N3398" s="25">
        <f t="shared" si="105"/>
        <v>222000</v>
      </c>
      <c r="O3398" s="56">
        <v>40</v>
      </c>
    </row>
    <row r="3399" spans="1:15" hidden="1" x14ac:dyDescent="0.3">
      <c r="A3399" s="26">
        <v>33</v>
      </c>
      <c r="B3399" s="20" t="str">
        <f t="shared" ref="B3399:B3462" si="106">IF(C3399="","",UPPER(TEXT(C3399, "MMM")))</f>
        <v>AUG</v>
      </c>
      <c r="C3399" s="21">
        <v>46248</v>
      </c>
      <c r="D3399" s="22" t="str">
        <f>IFERROR(INDEX('Kode Outlet dan Target Toko'!$A:$A,MATCH($I3399,'Kode Outlet dan Target Toko'!$E:$E,0)),"")</f>
        <v>GRSM 3A</v>
      </c>
      <c r="E3399" s="20" t="str">
        <f>IFERROR(VLOOKUP(I3399,KET!$B:$F,4,0),"")</f>
        <v>FAHMI LUKMANUL HAKIM</v>
      </c>
      <c r="F3399" s="20" t="str">
        <f>IFERROR(VLOOKUP(I3399,KET!$B:$F,5,0),"")</f>
        <v>GMM</v>
      </c>
      <c r="G3399" s="20">
        <f>IFERROR(INDEX('Kode Outlet dan Target Toko'!$C:$C,MATCH($I3399,'Kode Outlet dan Target Toko'!$E:$E,0)),0)</f>
        <v>211019</v>
      </c>
      <c r="H3399" s="20">
        <f>IFERROR(INDEX('Kode Outlet dan Target Toko'!$D:$D,MATCH($I3399,'Kode Outlet dan Target Toko'!$E:$E,0)),0)</f>
        <v>1556924</v>
      </c>
      <c r="I3399" s="42" t="s">
        <v>102</v>
      </c>
      <c r="J3399" s="56" t="s">
        <v>195</v>
      </c>
      <c r="K3399" s="40" t="s">
        <v>15</v>
      </c>
      <c r="L3399" s="26">
        <v>3000</v>
      </c>
      <c r="M3399" s="26">
        <v>40</v>
      </c>
      <c r="N3399" s="25">
        <f t="shared" ref="N3399:N3462" si="107">IFERROR(M3399*L3399,"")</f>
        <v>120000</v>
      </c>
      <c r="O3399" s="56"/>
    </row>
    <row r="3400" spans="1:15" hidden="1" x14ac:dyDescent="0.3">
      <c r="A3400" s="26">
        <v>33</v>
      </c>
      <c r="B3400" s="20" t="str">
        <f t="shared" si="106"/>
        <v>AUG</v>
      </c>
      <c r="C3400" s="21">
        <v>46248</v>
      </c>
      <c r="D3400" s="22" t="str">
        <f>IFERROR(INDEX('Kode Outlet dan Target Toko'!$A:$A,MATCH($I3400,'Kode Outlet dan Target Toko'!$E:$E,0)),"")</f>
        <v>GRSM 3A</v>
      </c>
      <c r="E3400" s="20" t="str">
        <f>IFERROR(VLOOKUP(I3400,KET!$B:$F,4,0),"")</f>
        <v>FAHMI LUKMANUL HAKIM</v>
      </c>
      <c r="F3400" s="20" t="str">
        <f>IFERROR(VLOOKUP(I3400,KET!$B:$F,5,0),"")</f>
        <v>GMM</v>
      </c>
      <c r="G3400" s="20">
        <f>IFERROR(INDEX('Kode Outlet dan Target Toko'!$C:$C,MATCH($I3400,'Kode Outlet dan Target Toko'!$E:$E,0)),0)</f>
        <v>211019</v>
      </c>
      <c r="H3400" s="20">
        <f>IFERROR(INDEX('Kode Outlet dan Target Toko'!$D:$D,MATCH($I3400,'Kode Outlet dan Target Toko'!$E:$E,0)),0)</f>
        <v>1556924</v>
      </c>
      <c r="I3400" s="42" t="s">
        <v>102</v>
      </c>
      <c r="J3400" s="56" t="s">
        <v>195</v>
      </c>
      <c r="K3400" s="40" t="s">
        <v>14</v>
      </c>
      <c r="L3400" s="26">
        <v>3000</v>
      </c>
      <c r="M3400" s="26">
        <v>35</v>
      </c>
      <c r="N3400" s="25">
        <f t="shared" si="107"/>
        <v>105000</v>
      </c>
      <c r="O3400" s="56"/>
    </row>
    <row r="3401" spans="1:15" hidden="1" x14ac:dyDescent="0.3">
      <c r="A3401" s="26">
        <v>33</v>
      </c>
      <c r="B3401" s="20" t="str">
        <f t="shared" si="106"/>
        <v>AUG</v>
      </c>
      <c r="C3401" s="21">
        <v>46248</v>
      </c>
      <c r="D3401" s="22" t="str">
        <f>IFERROR(INDEX('Kode Outlet dan Target Toko'!$A:$A,MATCH($I3401,'Kode Outlet dan Target Toko'!$E:$E,0)),"")</f>
        <v>GRSM 3A</v>
      </c>
      <c r="E3401" s="20" t="str">
        <f>IFERROR(VLOOKUP(I3401,KET!$B:$F,4,0),"")</f>
        <v>FAHMI LUKMANUL HAKIM</v>
      </c>
      <c r="F3401" s="20" t="str">
        <f>IFERROR(VLOOKUP(I3401,KET!$B:$F,5,0),"")</f>
        <v>GMM</v>
      </c>
      <c r="G3401" s="20">
        <f>IFERROR(INDEX('Kode Outlet dan Target Toko'!$C:$C,MATCH($I3401,'Kode Outlet dan Target Toko'!$E:$E,0)),0)</f>
        <v>211019</v>
      </c>
      <c r="H3401" s="20">
        <f>IFERROR(INDEX('Kode Outlet dan Target Toko'!$D:$D,MATCH($I3401,'Kode Outlet dan Target Toko'!$E:$E,0)),0)</f>
        <v>1556924</v>
      </c>
      <c r="I3401" s="42" t="s">
        <v>102</v>
      </c>
      <c r="J3401" s="56" t="s">
        <v>195</v>
      </c>
      <c r="K3401" s="40" t="s">
        <v>13</v>
      </c>
      <c r="L3401" s="26">
        <v>3000</v>
      </c>
      <c r="M3401" s="26">
        <v>22</v>
      </c>
      <c r="N3401" s="25">
        <f t="shared" si="107"/>
        <v>66000</v>
      </c>
      <c r="O3401" s="56"/>
    </row>
    <row r="3402" spans="1:15" hidden="1" x14ac:dyDescent="0.3">
      <c r="A3402" s="26">
        <v>33</v>
      </c>
      <c r="B3402" s="20" t="str">
        <f t="shared" si="106"/>
        <v>AUG</v>
      </c>
      <c r="C3402" s="21">
        <v>46248</v>
      </c>
      <c r="D3402" s="22" t="str">
        <f>IFERROR(INDEX('Kode Outlet dan Target Toko'!$A:$A,MATCH($I3402,'Kode Outlet dan Target Toko'!$E:$E,0)),"")</f>
        <v>GRSM 3A</v>
      </c>
      <c r="E3402" s="20" t="str">
        <f>IFERROR(VLOOKUP(I3402,KET!$B:$F,4,0),"")</f>
        <v>FAHMI LUKMANUL HAKIM</v>
      </c>
      <c r="F3402" s="20" t="str">
        <f>IFERROR(VLOOKUP(I3402,KET!$B:$F,5,0),"")</f>
        <v>GMM</v>
      </c>
      <c r="G3402" s="20">
        <f>IFERROR(INDEX('Kode Outlet dan Target Toko'!$C:$C,MATCH($I3402,'Kode Outlet dan Target Toko'!$E:$E,0)),0)</f>
        <v>211019</v>
      </c>
      <c r="H3402" s="20">
        <f>IFERROR(INDEX('Kode Outlet dan Target Toko'!$D:$D,MATCH($I3402,'Kode Outlet dan Target Toko'!$E:$E,0)),0)</f>
        <v>1556924</v>
      </c>
      <c r="I3402" s="42" t="s">
        <v>102</v>
      </c>
      <c r="J3402" s="56" t="s">
        <v>195</v>
      </c>
      <c r="K3402" s="40" t="s">
        <v>16</v>
      </c>
      <c r="L3402" s="26">
        <v>3000</v>
      </c>
      <c r="M3402" s="26">
        <v>74</v>
      </c>
      <c r="N3402" s="25">
        <f t="shared" si="107"/>
        <v>222000</v>
      </c>
      <c r="O3402" s="56">
        <v>40</v>
      </c>
    </row>
    <row r="3403" spans="1:15" hidden="1" x14ac:dyDescent="0.3">
      <c r="A3403" s="26">
        <v>33</v>
      </c>
      <c r="B3403" s="20" t="str">
        <f t="shared" si="106"/>
        <v>AUG</v>
      </c>
      <c r="C3403" s="21">
        <v>46248</v>
      </c>
      <c r="D3403" s="22" t="str">
        <f>IFERROR(INDEX('Kode Outlet dan Target Toko'!$A:$A,MATCH($I3403,'Kode Outlet dan Target Toko'!$E:$E,0)),"")</f>
        <v>GRSM 4</v>
      </c>
      <c r="E3403" s="20" t="str">
        <f>IFERROR(VLOOKUP(I3403,KET!$B:$F,4,0),"")</f>
        <v>FAHMI LUKMANUL HAKIM</v>
      </c>
      <c r="F3403" s="20" t="str">
        <f>IFERROR(VLOOKUP(I3403,KET!$B:$F,5,0),"")</f>
        <v>GMM</v>
      </c>
      <c r="G3403" s="20">
        <f>IFERROR(INDEX('Kode Outlet dan Target Toko'!$C:$C,MATCH($I3403,'Kode Outlet dan Target Toko'!$E:$E,0)),0)</f>
        <v>103712</v>
      </c>
      <c r="H3403" s="20">
        <f>IFERROR(INDEX('Kode Outlet dan Target Toko'!$D:$D,MATCH($I3403,'Kode Outlet dan Target Toko'!$E:$E,0)),0)</f>
        <v>4404677</v>
      </c>
      <c r="I3403" s="42" t="s">
        <v>99</v>
      </c>
      <c r="J3403" s="56" t="s">
        <v>179</v>
      </c>
      <c r="K3403" s="40" t="s">
        <v>15</v>
      </c>
      <c r="L3403" s="26">
        <v>3000</v>
      </c>
      <c r="M3403" s="26">
        <v>30</v>
      </c>
      <c r="N3403" s="25">
        <f t="shared" si="107"/>
        <v>90000</v>
      </c>
      <c r="O3403" s="56"/>
    </row>
    <row r="3404" spans="1:15" hidden="1" x14ac:dyDescent="0.3">
      <c r="A3404" s="26">
        <v>33</v>
      </c>
      <c r="B3404" s="20" t="str">
        <f t="shared" si="106"/>
        <v>AUG</v>
      </c>
      <c r="C3404" s="21">
        <v>46248</v>
      </c>
      <c r="D3404" s="22" t="str">
        <f>IFERROR(INDEX('Kode Outlet dan Target Toko'!$A:$A,MATCH($I3404,'Kode Outlet dan Target Toko'!$E:$E,0)),"")</f>
        <v>GRSM 4</v>
      </c>
      <c r="E3404" s="20" t="str">
        <f>IFERROR(VLOOKUP(I3404,KET!$B:$F,4,0),"")</f>
        <v>FAHMI LUKMANUL HAKIM</v>
      </c>
      <c r="F3404" s="20" t="str">
        <f>IFERROR(VLOOKUP(I3404,KET!$B:$F,5,0),"")</f>
        <v>GMM</v>
      </c>
      <c r="G3404" s="20">
        <f>IFERROR(INDEX('Kode Outlet dan Target Toko'!$C:$C,MATCH($I3404,'Kode Outlet dan Target Toko'!$E:$E,0)),0)</f>
        <v>103712</v>
      </c>
      <c r="H3404" s="20">
        <f>IFERROR(INDEX('Kode Outlet dan Target Toko'!$D:$D,MATCH($I3404,'Kode Outlet dan Target Toko'!$E:$E,0)),0)</f>
        <v>4404677</v>
      </c>
      <c r="I3404" s="42" t="s">
        <v>99</v>
      </c>
      <c r="J3404" s="56" t="s">
        <v>179</v>
      </c>
      <c r="K3404" s="40" t="s">
        <v>14</v>
      </c>
      <c r="L3404" s="26">
        <v>3000</v>
      </c>
      <c r="M3404" s="26">
        <v>39</v>
      </c>
      <c r="N3404" s="25">
        <f t="shared" si="107"/>
        <v>117000</v>
      </c>
      <c r="O3404" s="56"/>
    </row>
    <row r="3405" spans="1:15" hidden="1" x14ac:dyDescent="0.3">
      <c r="A3405" s="26">
        <v>33</v>
      </c>
      <c r="B3405" s="20" t="str">
        <f t="shared" si="106"/>
        <v>AUG</v>
      </c>
      <c r="C3405" s="21">
        <v>46248</v>
      </c>
      <c r="D3405" s="22" t="str">
        <f>IFERROR(INDEX('Kode Outlet dan Target Toko'!$A:$A,MATCH($I3405,'Kode Outlet dan Target Toko'!$E:$E,0)),"")</f>
        <v>GRSM 4</v>
      </c>
      <c r="E3405" s="20" t="str">
        <f>IFERROR(VLOOKUP(I3405,KET!$B:$F,4,0),"")</f>
        <v>FAHMI LUKMANUL HAKIM</v>
      </c>
      <c r="F3405" s="20" t="str">
        <f>IFERROR(VLOOKUP(I3405,KET!$B:$F,5,0),"")</f>
        <v>GMM</v>
      </c>
      <c r="G3405" s="20">
        <f>IFERROR(INDEX('Kode Outlet dan Target Toko'!$C:$C,MATCH($I3405,'Kode Outlet dan Target Toko'!$E:$E,0)),0)</f>
        <v>103712</v>
      </c>
      <c r="H3405" s="20">
        <f>IFERROR(INDEX('Kode Outlet dan Target Toko'!$D:$D,MATCH($I3405,'Kode Outlet dan Target Toko'!$E:$E,0)),0)</f>
        <v>4404677</v>
      </c>
      <c r="I3405" s="42" t="s">
        <v>99</v>
      </c>
      <c r="J3405" s="56" t="s">
        <v>179</v>
      </c>
      <c r="K3405" s="40" t="s">
        <v>13</v>
      </c>
      <c r="L3405" s="26">
        <v>3000</v>
      </c>
      <c r="M3405" s="26">
        <v>27</v>
      </c>
      <c r="N3405" s="25">
        <f t="shared" si="107"/>
        <v>81000</v>
      </c>
      <c r="O3405" s="56"/>
    </row>
    <row r="3406" spans="1:15" hidden="1" x14ac:dyDescent="0.3">
      <c r="A3406" s="26">
        <v>33</v>
      </c>
      <c r="B3406" s="20" t="str">
        <f t="shared" si="106"/>
        <v>AUG</v>
      </c>
      <c r="C3406" s="21">
        <v>46248</v>
      </c>
      <c r="D3406" s="22" t="str">
        <f>IFERROR(INDEX('Kode Outlet dan Target Toko'!$A:$A,MATCH($I3406,'Kode Outlet dan Target Toko'!$E:$E,0)),"")</f>
        <v>GRSM 4</v>
      </c>
      <c r="E3406" s="20" t="str">
        <f>IFERROR(VLOOKUP(I3406,KET!$B:$F,4,0),"")</f>
        <v>FAHMI LUKMANUL HAKIM</v>
      </c>
      <c r="F3406" s="20" t="str">
        <f>IFERROR(VLOOKUP(I3406,KET!$B:$F,5,0),"")</f>
        <v>GMM</v>
      </c>
      <c r="G3406" s="20">
        <f>IFERROR(INDEX('Kode Outlet dan Target Toko'!$C:$C,MATCH($I3406,'Kode Outlet dan Target Toko'!$E:$E,0)),0)</f>
        <v>103712</v>
      </c>
      <c r="H3406" s="20">
        <f>IFERROR(INDEX('Kode Outlet dan Target Toko'!$D:$D,MATCH($I3406,'Kode Outlet dan Target Toko'!$E:$E,0)),0)</f>
        <v>4404677</v>
      </c>
      <c r="I3406" s="42" t="s">
        <v>99</v>
      </c>
      <c r="J3406" s="56" t="s">
        <v>179</v>
      </c>
      <c r="K3406" s="40" t="s">
        <v>16</v>
      </c>
      <c r="L3406" s="26">
        <v>3000</v>
      </c>
      <c r="M3406" s="26">
        <v>110</v>
      </c>
      <c r="N3406" s="25">
        <f t="shared" si="107"/>
        <v>330000</v>
      </c>
      <c r="O3406" s="56">
        <v>160</v>
      </c>
    </row>
    <row r="3407" spans="1:15" hidden="1" x14ac:dyDescent="0.3">
      <c r="A3407" s="26">
        <v>33</v>
      </c>
      <c r="B3407" s="20" t="str">
        <f t="shared" si="106"/>
        <v>AUG</v>
      </c>
      <c r="C3407" s="21">
        <v>46248</v>
      </c>
      <c r="D3407" s="22" t="str">
        <f>IFERROR(INDEX('Kode Outlet dan Target Toko'!$A:$A,MATCH($I3407,'Kode Outlet dan Target Toko'!$E:$E,0)),"")</f>
        <v>GRSM 4</v>
      </c>
      <c r="E3407" s="20" t="str">
        <f>IFERROR(VLOOKUP(I3407,KET!$B:$F,4,0),"")</f>
        <v>FAHMI LUKMANUL HAKIM</v>
      </c>
      <c r="F3407" s="20" t="str">
        <f>IFERROR(VLOOKUP(I3407,KET!$B:$F,5,0),"")</f>
        <v>GMM</v>
      </c>
      <c r="G3407" s="20">
        <f>IFERROR(INDEX('Kode Outlet dan Target Toko'!$C:$C,MATCH($I3407,'Kode Outlet dan Target Toko'!$E:$E,0)),0)</f>
        <v>103712</v>
      </c>
      <c r="H3407" s="20">
        <f>IFERROR(INDEX('Kode Outlet dan Target Toko'!$D:$D,MATCH($I3407,'Kode Outlet dan Target Toko'!$E:$E,0)),0)</f>
        <v>4404677</v>
      </c>
      <c r="I3407" s="42" t="s">
        <v>99</v>
      </c>
      <c r="J3407" s="56" t="s">
        <v>178</v>
      </c>
      <c r="K3407" s="40" t="s">
        <v>15</v>
      </c>
      <c r="L3407" s="26">
        <v>3000</v>
      </c>
      <c r="M3407" s="26">
        <v>30</v>
      </c>
      <c r="N3407" s="25">
        <f t="shared" si="107"/>
        <v>90000</v>
      </c>
      <c r="O3407" s="56"/>
    </row>
    <row r="3408" spans="1:15" hidden="1" x14ac:dyDescent="0.3">
      <c r="A3408" s="26">
        <v>33</v>
      </c>
      <c r="B3408" s="20" t="str">
        <f t="shared" si="106"/>
        <v>AUG</v>
      </c>
      <c r="C3408" s="21">
        <v>46248</v>
      </c>
      <c r="D3408" s="22" t="str">
        <f>IFERROR(INDEX('Kode Outlet dan Target Toko'!$A:$A,MATCH($I3408,'Kode Outlet dan Target Toko'!$E:$E,0)),"")</f>
        <v>GRSM 4</v>
      </c>
      <c r="E3408" s="20" t="str">
        <f>IFERROR(VLOOKUP(I3408,KET!$B:$F,4,0),"")</f>
        <v>FAHMI LUKMANUL HAKIM</v>
      </c>
      <c r="F3408" s="20" t="str">
        <f>IFERROR(VLOOKUP(I3408,KET!$B:$F,5,0),"")</f>
        <v>GMM</v>
      </c>
      <c r="G3408" s="20">
        <f>IFERROR(INDEX('Kode Outlet dan Target Toko'!$C:$C,MATCH($I3408,'Kode Outlet dan Target Toko'!$E:$E,0)),0)</f>
        <v>103712</v>
      </c>
      <c r="H3408" s="20">
        <f>IFERROR(INDEX('Kode Outlet dan Target Toko'!$D:$D,MATCH($I3408,'Kode Outlet dan Target Toko'!$E:$E,0)),0)</f>
        <v>4404677</v>
      </c>
      <c r="I3408" s="42" t="s">
        <v>99</v>
      </c>
      <c r="J3408" s="56" t="s">
        <v>178</v>
      </c>
      <c r="K3408" s="40" t="s">
        <v>14</v>
      </c>
      <c r="L3408" s="26">
        <v>3000</v>
      </c>
      <c r="M3408" s="26">
        <v>34</v>
      </c>
      <c r="N3408" s="25">
        <f t="shared" si="107"/>
        <v>102000</v>
      </c>
      <c r="O3408" s="56"/>
    </row>
    <row r="3409" spans="1:15" hidden="1" x14ac:dyDescent="0.3">
      <c r="A3409" s="26">
        <v>33</v>
      </c>
      <c r="B3409" s="20" t="str">
        <f t="shared" si="106"/>
        <v>AUG</v>
      </c>
      <c r="C3409" s="21">
        <v>46248</v>
      </c>
      <c r="D3409" s="22" t="str">
        <f>IFERROR(INDEX('Kode Outlet dan Target Toko'!$A:$A,MATCH($I3409,'Kode Outlet dan Target Toko'!$E:$E,0)),"")</f>
        <v>GRSM 4</v>
      </c>
      <c r="E3409" s="20" t="str">
        <f>IFERROR(VLOOKUP(I3409,KET!$B:$F,4,0),"")</f>
        <v>FAHMI LUKMANUL HAKIM</v>
      </c>
      <c r="F3409" s="20" t="str">
        <f>IFERROR(VLOOKUP(I3409,KET!$B:$F,5,0),"")</f>
        <v>GMM</v>
      </c>
      <c r="G3409" s="20">
        <f>IFERROR(INDEX('Kode Outlet dan Target Toko'!$C:$C,MATCH($I3409,'Kode Outlet dan Target Toko'!$E:$E,0)),0)</f>
        <v>103712</v>
      </c>
      <c r="H3409" s="20">
        <f>IFERROR(INDEX('Kode Outlet dan Target Toko'!$D:$D,MATCH($I3409,'Kode Outlet dan Target Toko'!$E:$E,0)),0)</f>
        <v>4404677</v>
      </c>
      <c r="I3409" s="42" t="s">
        <v>99</v>
      </c>
      <c r="J3409" s="56" t="s">
        <v>178</v>
      </c>
      <c r="K3409" s="40" t="s">
        <v>13</v>
      </c>
      <c r="L3409" s="26">
        <v>3000</v>
      </c>
      <c r="M3409" s="26">
        <v>26</v>
      </c>
      <c r="N3409" s="25">
        <f t="shared" si="107"/>
        <v>78000</v>
      </c>
      <c r="O3409" s="56"/>
    </row>
    <row r="3410" spans="1:15" hidden="1" x14ac:dyDescent="0.3">
      <c r="A3410" s="26">
        <v>33</v>
      </c>
      <c r="B3410" s="20" t="str">
        <f t="shared" si="106"/>
        <v>AUG</v>
      </c>
      <c r="C3410" s="21">
        <v>46248</v>
      </c>
      <c r="D3410" s="22" t="str">
        <f>IFERROR(INDEX('Kode Outlet dan Target Toko'!$A:$A,MATCH($I3410,'Kode Outlet dan Target Toko'!$E:$E,0)),"")</f>
        <v>GRSM 4</v>
      </c>
      <c r="E3410" s="20" t="str">
        <f>IFERROR(VLOOKUP(I3410,KET!$B:$F,4,0),"")</f>
        <v>FAHMI LUKMANUL HAKIM</v>
      </c>
      <c r="F3410" s="20" t="str">
        <f>IFERROR(VLOOKUP(I3410,KET!$B:$F,5,0),"")</f>
        <v>GMM</v>
      </c>
      <c r="G3410" s="20">
        <f>IFERROR(INDEX('Kode Outlet dan Target Toko'!$C:$C,MATCH($I3410,'Kode Outlet dan Target Toko'!$E:$E,0)),0)</f>
        <v>103712</v>
      </c>
      <c r="H3410" s="20">
        <f>IFERROR(INDEX('Kode Outlet dan Target Toko'!$D:$D,MATCH($I3410,'Kode Outlet dan Target Toko'!$E:$E,0)),0)</f>
        <v>4404677</v>
      </c>
      <c r="I3410" s="42" t="s">
        <v>99</v>
      </c>
      <c r="J3410" s="56" t="s">
        <v>178</v>
      </c>
      <c r="K3410" s="40" t="s">
        <v>16</v>
      </c>
      <c r="L3410" s="26">
        <v>3000</v>
      </c>
      <c r="M3410" s="26">
        <v>129</v>
      </c>
      <c r="N3410" s="25">
        <f t="shared" si="107"/>
        <v>387000</v>
      </c>
      <c r="O3410" s="56">
        <v>160</v>
      </c>
    </row>
    <row r="3411" spans="1:15" hidden="1" x14ac:dyDescent="0.3">
      <c r="A3411" s="26">
        <v>33</v>
      </c>
      <c r="B3411" s="20" t="str">
        <f t="shared" si="106"/>
        <v>AUG</v>
      </c>
      <c r="C3411" s="21">
        <v>46248</v>
      </c>
      <c r="D3411" s="22" t="str">
        <f>IFERROR(INDEX('Kode Outlet dan Target Toko'!$A:$A,MATCH($I3411,'Kode Outlet dan Target Toko'!$E:$E,0)),"")</f>
        <v>GRSM 4</v>
      </c>
      <c r="E3411" s="20" t="str">
        <f>IFERROR(VLOOKUP(I3411,KET!$B:$F,4,0),"")</f>
        <v>FAHMI LUKMANUL HAKIM</v>
      </c>
      <c r="F3411" s="20" t="str">
        <f>IFERROR(VLOOKUP(I3411,KET!$B:$F,5,0),"")</f>
        <v>NKA</v>
      </c>
      <c r="G3411" s="20">
        <f>IFERROR(INDEX('Kode Outlet dan Target Toko'!$C:$C,MATCH($I3411,'Kode Outlet dan Target Toko'!$E:$E,0)),0)</f>
        <v>121409</v>
      </c>
      <c r="H3411" s="20">
        <f>IFERROR(INDEX('Kode Outlet dan Target Toko'!$D:$D,MATCH($I3411,'Kode Outlet dan Target Toko'!$E:$E,0)),0)</f>
        <v>5025004</v>
      </c>
      <c r="I3411" s="42" t="s">
        <v>112</v>
      </c>
      <c r="J3411" s="56" t="s">
        <v>185</v>
      </c>
      <c r="K3411" s="40" t="s">
        <v>15</v>
      </c>
      <c r="L3411" s="26">
        <v>3275</v>
      </c>
      <c r="M3411" s="26">
        <v>33</v>
      </c>
      <c r="N3411" s="25">
        <f t="shared" si="107"/>
        <v>108075</v>
      </c>
      <c r="O3411" s="56"/>
    </row>
    <row r="3412" spans="1:15" hidden="1" x14ac:dyDescent="0.3">
      <c r="A3412" s="26">
        <v>33</v>
      </c>
      <c r="B3412" s="20" t="str">
        <f t="shared" si="106"/>
        <v>AUG</v>
      </c>
      <c r="C3412" s="21">
        <v>46248</v>
      </c>
      <c r="D3412" s="22" t="str">
        <f>IFERROR(INDEX('Kode Outlet dan Target Toko'!$A:$A,MATCH($I3412,'Kode Outlet dan Target Toko'!$E:$E,0)),"")</f>
        <v>GRSM 4</v>
      </c>
      <c r="E3412" s="20" t="str">
        <f>IFERROR(VLOOKUP(I3412,KET!$B:$F,4,0),"")</f>
        <v>FAHMI LUKMANUL HAKIM</v>
      </c>
      <c r="F3412" s="20" t="str">
        <f>IFERROR(VLOOKUP(I3412,KET!$B:$F,5,0),"")</f>
        <v>NKA</v>
      </c>
      <c r="G3412" s="20">
        <f>IFERROR(INDEX('Kode Outlet dan Target Toko'!$C:$C,MATCH($I3412,'Kode Outlet dan Target Toko'!$E:$E,0)),0)</f>
        <v>121409</v>
      </c>
      <c r="H3412" s="20">
        <f>IFERROR(INDEX('Kode Outlet dan Target Toko'!$D:$D,MATCH($I3412,'Kode Outlet dan Target Toko'!$E:$E,0)),0)</f>
        <v>5025004</v>
      </c>
      <c r="I3412" s="42" t="s">
        <v>112</v>
      </c>
      <c r="J3412" s="56" t="s">
        <v>185</v>
      </c>
      <c r="K3412" s="40" t="s">
        <v>14</v>
      </c>
      <c r="L3412" s="26">
        <v>3275</v>
      </c>
      <c r="M3412" s="26">
        <v>32</v>
      </c>
      <c r="N3412" s="25">
        <f t="shared" si="107"/>
        <v>104800</v>
      </c>
      <c r="O3412" s="56"/>
    </row>
    <row r="3413" spans="1:15" hidden="1" x14ac:dyDescent="0.3">
      <c r="A3413" s="26">
        <v>33</v>
      </c>
      <c r="B3413" s="20" t="str">
        <f t="shared" si="106"/>
        <v>AUG</v>
      </c>
      <c r="C3413" s="21">
        <v>46248</v>
      </c>
      <c r="D3413" s="22" t="str">
        <f>IFERROR(INDEX('Kode Outlet dan Target Toko'!$A:$A,MATCH($I3413,'Kode Outlet dan Target Toko'!$E:$E,0)),"")</f>
        <v>GRSM 4</v>
      </c>
      <c r="E3413" s="20" t="str">
        <f>IFERROR(VLOOKUP(I3413,KET!$B:$F,4,0),"")</f>
        <v>FAHMI LUKMANUL HAKIM</v>
      </c>
      <c r="F3413" s="20" t="str">
        <f>IFERROR(VLOOKUP(I3413,KET!$B:$F,5,0),"")</f>
        <v>NKA</v>
      </c>
      <c r="G3413" s="20">
        <f>IFERROR(INDEX('Kode Outlet dan Target Toko'!$C:$C,MATCH($I3413,'Kode Outlet dan Target Toko'!$E:$E,0)),0)</f>
        <v>121409</v>
      </c>
      <c r="H3413" s="20">
        <f>IFERROR(INDEX('Kode Outlet dan Target Toko'!$D:$D,MATCH($I3413,'Kode Outlet dan Target Toko'!$E:$E,0)),0)</f>
        <v>5025004</v>
      </c>
      <c r="I3413" s="42" t="s">
        <v>112</v>
      </c>
      <c r="J3413" s="56" t="s">
        <v>185</v>
      </c>
      <c r="K3413" s="40" t="s">
        <v>13</v>
      </c>
      <c r="L3413" s="26">
        <v>3275</v>
      </c>
      <c r="M3413" s="26">
        <v>35</v>
      </c>
      <c r="N3413" s="25">
        <f t="shared" si="107"/>
        <v>114625</v>
      </c>
      <c r="O3413" s="56"/>
    </row>
    <row r="3414" spans="1:15" hidden="1" x14ac:dyDescent="0.3">
      <c r="A3414" s="26">
        <v>33</v>
      </c>
      <c r="B3414" s="20" t="str">
        <f t="shared" si="106"/>
        <v>AUG</v>
      </c>
      <c r="C3414" s="21">
        <v>46248</v>
      </c>
      <c r="D3414" s="22" t="str">
        <f>IFERROR(INDEX('Kode Outlet dan Target Toko'!$A:$A,MATCH($I3414,'Kode Outlet dan Target Toko'!$E:$E,0)),"")</f>
        <v>GRSM 4</v>
      </c>
      <c r="E3414" s="20" t="str">
        <f>IFERROR(VLOOKUP(I3414,KET!$B:$F,4,0),"")</f>
        <v>FAHMI LUKMANUL HAKIM</v>
      </c>
      <c r="F3414" s="20" t="str">
        <f>IFERROR(VLOOKUP(I3414,KET!$B:$F,5,0),"")</f>
        <v>NKA</v>
      </c>
      <c r="G3414" s="20">
        <f>IFERROR(INDEX('Kode Outlet dan Target Toko'!$C:$C,MATCH($I3414,'Kode Outlet dan Target Toko'!$E:$E,0)),0)</f>
        <v>121409</v>
      </c>
      <c r="H3414" s="20">
        <f>IFERROR(INDEX('Kode Outlet dan Target Toko'!$D:$D,MATCH($I3414,'Kode Outlet dan Target Toko'!$E:$E,0)),0)</f>
        <v>5025004</v>
      </c>
      <c r="I3414" s="42" t="s">
        <v>112</v>
      </c>
      <c r="J3414" s="56" t="s">
        <v>185</v>
      </c>
      <c r="K3414" s="40" t="s">
        <v>16</v>
      </c>
      <c r="L3414" s="26">
        <v>3275</v>
      </c>
      <c r="M3414" s="26">
        <v>95</v>
      </c>
      <c r="N3414" s="25">
        <f t="shared" si="107"/>
        <v>311125</v>
      </c>
      <c r="O3414" s="56">
        <v>160</v>
      </c>
    </row>
    <row r="3415" spans="1:15" hidden="1" x14ac:dyDescent="0.3">
      <c r="A3415" s="26">
        <v>33</v>
      </c>
      <c r="B3415" s="20" t="str">
        <f t="shared" si="106"/>
        <v>AUG</v>
      </c>
      <c r="C3415" s="21">
        <v>46248</v>
      </c>
      <c r="D3415" s="22" t="str">
        <f>IFERROR(INDEX('Kode Outlet dan Target Toko'!$A:$A,MATCH($I3415,'Kode Outlet dan Target Toko'!$E:$E,0)),"")</f>
        <v>GRSM 4</v>
      </c>
      <c r="E3415" s="20" t="str">
        <f>IFERROR(VLOOKUP(I3415,KET!$B:$F,4,0),"")</f>
        <v>FAHMI LUKMANUL HAKIM</v>
      </c>
      <c r="F3415" s="20" t="str">
        <f>IFERROR(VLOOKUP(I3415,KET!$B:$F,5,0),"")</f>
        <v>NKA</v>
      </c>
      <c r="G3415" s="20">
        <f>IFERROR(INDEX('Kode Outlet dan Target Toko'!$C:$C,MATCH($I3415,'Kode Outlet dan Target Toko'!$E:$E,0)),0)</f>
        <v>121409</v>
      </c>
      <c r="H3415" s="20">
        <f>IFERROR(INDEX('Kode Outlet dan Target Toko'!$D:$D,MATCH($I3415,'Kode Outlet dan Target Toko'!$E:$E,0)),0)</f>
        <v>5025004</v>
      </c>
      <c r="I3415" s="42" t="s">
        <v>112</v>
      </c>
      <c r="J3415" s="56" t="s">
        <v>184</v>
      </c>
      <c r="K3415" s="40" t="s">
        <v>15</v>
      </c>
      <c r="L3415" s="26">
        <v>3275</v>
      </c>
      <c r="M3415" s="26">
        <v>33</v>
      </c>
      <c r="N3415" s="25">
        <f t="shared" si="107"/>
        <v>108075</v>
      </c>
      <c r="O3415" s="56"/>
    </row>
    <row r="3416" spans="1:15" hidden="1" x14ac:dyDescent="0.3">
      <c r="A3416" s="26">
        <v>33</v>
      </c>
      <c r="B3416" s="20" t="str">
        <f t="shared" si="106"/>
        <v>AUG</v>
      </c>
      <c r="C3416" s="21">
        <v>46248</v>
      </c>
      <c r="D3416" s="22" t="str">
        <f>IFERROR(INDEX('Kode Outlet dan Target Toko'!$A:$A,MATCH($I3416,'Kode Outlet dan Target Toko'!$E:$E,0)),"")</f>
        <v>GRSM 4</v>
      </c>
      <c r="E3416" s="20" t="str">
        <f>IFERROR(VLOOKUP(I3416,KET!$B:$F,4,0),"")</f>
        <v>FAHMI LUKMANUL HAKIM</v>
      </c>
      <c r="F3416" s="20" t="str">
        <f>IFERROR(VLOOKUP(I3416,KET!$B:$F,5,0),"")</f>
        <v>NKA</v>
      </c>
      <c r="G3416" s="20">
        <f>IFERROR(INDEX('Kode Outlet dan Target Toko'!$C:$C,MATCH($I3416,'Kode Outlet dan Target Toko'!$E:$E,0)),0)</f>
        <v>121409</v>
      </c>
      <c r="H3416" s="20">
        <f>IFERROR(INDEX('Kode Outlet dan Target Toko'!$D:$D,MATCH($I3416,'Kode Outlet dan Target Toko'!$E:$E,0)),0)</f>
        <v>5025004</v>
      </c>
      <c r="I3416" s="42" t="s">
        <v>112</v>
      </c>
      <c r="J3416" s="56" t="s">
        <v>184</v>
      </c>
      <c r="K3416" s="40" t="s">
        <v>14</v>
      </c>
      <c r="L3416" s="26">
        <v>3275</v>
      </c>
      <c r="M3416" s="26">
        <v>32</v>
      </c>
      <c r="N3416" s="25">
        <f t="shared" si="107"/>
        <v>104800</v>
      </c>
      <c r="O3416" s="56"/>
    </row>
    <row r="3417" spans="1:15" hidden="1" x14ac:dyDescent="0.3">
      <c r="A3417" s="26">
        <v>33</v>
      </c>
      <c r="B3417" s="20" t="str">
        <f t="shared" si="106"/>
        <v>AUG</v>
      </c>
      <c r="C3417" s="21">
        <v>46248</v>
      </c>
      <c r="D3417" s="22" t="str">
        <f>IFERROR(INDEX('Kode Outlet dan Target Toko'!$A:$A,MATCH($I3417,'Kode Outlet dan Target Toko'!$E:$E,0)),"")</f>
        <v>GRSM 4</v>
      </c>
      <c r="E3417" s="20" t="str">
        <f>IFERROR(VLOOKUP(I3417,KET!$B:$F,4,0),"")</f>
        <v>FAHMI LUKMANUL HAKIM</v>
      </c>
      <c r="F3417" s="20" t="str">
        <f>IFERROR(VLOOKUP(I3417,KET!$B:$F,5,0),"")</f>
        <v>NKA</v>
      </c>
      <c r="G3417" s="20">
        <f>IFERROR(INDEX('Kode Outlet dan Target Toko'!$C:$C,MATCH($I3417,'Kode Outlet dan Target Toko'!$E:$E,0)),0)</f>
        <v>121409</v>
      </c>
      <c r="H3417" s="20">
        <f>IFERROR(INDEX('Kode Outlet dan Target Toko'!$D:$D,MATCH($I3417,'Kode Outlet dan Target Toko'!$E:$E,0)),0)</f>
        <v>5025004</v>
      </c>
      <c r="I3417" s="42" t="s">
        <v>112</v>
      </c>
      <c r="J3417" s="56" t="s">
        <v>184</v>
      </c>
      <c r="K3417" s="40" t="s">
        <v>13</v>
      </c>
      <c r="L3417" s="26">
        <v>3275</v>
      </c>
      <c r="M3417" s="26">
        <v>35</v>
      </c>
      <c r="N3417" s="25">
        <f t="shared" si="107"/>
        <v>114625</v>
      </c>
      <c r="O3417" s="56"/>
    </row>
    <row r="3418" spans="1:15" hidden="1" x14ac:dyDescent="0.3">
      <c r="A3418" s="26">
        <v>33</v>
      </c>
      <c r="B3418" s="20" t="str">
        <f t="shared" si="106"/>
        <v>AUG</v>
      </c>
      <c r="C3418" s="21">
        <v>46248</v>
      </c>
      <c r="D3418" s="22" t="str">
        <f>IFERROR(INDEX('Kode Outlet dan Target Toko'!$A:$A,MATCH($I3418,'Kode Outlet dan Target Toko'!$E:$E,0)),"")</f>
        <v>GRSM 4</v>
      </c>
      <c r="E3418" s="20" t="str">
        <f>IFERROR(VLOOKUP(I3418,KET!$B:$F,4,0),"")</f>
        <v>FAHMI LUKMANUL HAKIM</v>
      </c>
      <c r="F3418" s="20" t="str">
        <f>IFERROR(VLOOKUP(I3418,KET!$B:$F,5,0),"")</f>
        <v>NKA</v>
      </c>
      <c r="G3418" s="20">
        <f>IFERROR(INDEX('Kode Outlet dan Target Toko'!$C:$C,MATCH($I3418,'Kode Outlet dan Target Toko'!$E:$E,0)),0)</f>
        <v>121409</v>
      </c>
      <c r="H3418" s="20">
        <f>IFERROR(INDEX('Kode Outlet dan Target Toko'!$D:$D,MATCH($I3418,'Kode Outlet dan Target Toko'!$E:$E,0)),0)</f>
        <v>5025004</v>
      </c>
      <c r="I3418" s="42" t="s">
        <v>112</v>
      </c>
      <c r="J3418" s="56" t="s">
        <v>184</v>
      </c>
      <c r="K3418" s="40" t="s">
        <v>16</v>
      </c>
      <c r="L3418" s="26">
        <v>3275</v>
      </c>
      <c r="M3418" s="26">
        <v>95</v>
      </c>
      <c r="N3418" s="25">
        <f t="shared" si="107"/>
        <v>311125</v>
      </c>
      <c r="O3418" s="56">
        <v>160</v>
      </c>
    </row>
    <row r="3419" spans="1:15" hidden="1" x14ac:dyDescent="0.3">
      <c r="A3419" s="26">
        <v>33</v>
      </c>
      <c r="B3419" s="20" t="str">
        <f t="shared" si="106"/>
        <v>AUG</v>
      </c>
      <c r="C3419" s="21">
        <v>46248</v>
      </c>
      <c r="D3419" s="22" t="str">
        <f>IFERROR(INDEX('Kode Outlet dan Target Toko'!$A:$A,MATCH($I3419,'Kode Outlet dan Target Toko'!$E:$E,0)),"")</f>
        <v>GRSM 4</v>
      </c>
      <c r="E3419" s="20" t="str">
        <f>IFERROR(VLOOKUP(I3419,KET!$B:$F,4,0),"")</f>
        <v>FAHMI LUKMANUL HAKIM</v>
      </c>
      <c r="F3419" s="20" t="str">
        <f>IFERROR(VLOOKUP(I3419,KET!$B:$F,5,0),"")</f>
        <v>NKA</v>
      </c>
      <c r="G3419" s="20">
        <f>IFERROR(INDEX('Kode Outlet dan Target Toko'!$C:$C,MATCH($I3419,'Kode Outlet dan Target Toko'!$E:$E,0)),0)</f>
        <v>195403</v>
      </c>
      <c r="H3419" s="20">
        <f>IFERROR(INDEX('Kode Outlet dan Target Toko'!$D:$D,MATCH($I3419,'Kode Outlet dan Target Toko'!$E:$E,0)),0)</f>
        <v>1600007</v>
      </c>
      <c r="I3419" s="42" t="s">
        <v>87</v>
      </c>
      <c r="J3419" s="56" t="s">
        <v>174</v>
      </c>
      <c r="K3419" s="40" t="s">
        <v>15</v>
      </c>
      <c r="L3419" s="26">
        <v>2150</v>
      </c>
      <c r="M3419" s="26">
        <v>87</v>
      </c>
      <c r="N3419" s="25">
        <f t="shared" si="107"/>
        <v>187050</v>
      </c>
      <c r="O3419" s="56"/>
    </row>
    <row r="3420" spans="1:15" hidden="1" x14ac:dyDescent="0.3">
      <c r="A3420" s="26">
        <v>33</v>
      </c>
      <c r="B3420" s="20" t="str">
        <f t="shared" si="106"/>
        <v>AUG</v>
      </c>
      <c r="C3420" s="21">
        <v>46248</v>
      </c>
      <c r="D3420" s="22" t="str">
        <f>IFERROR(INDEX('Kode Outlet dan Target Toko'!$A:$A,MATCH($I3420,'Kode Outlet dan Target Toko'!$E:$E,0)),"")</f>
        <v>GRSM 4</v>
      </c>
      <c r="E3420" s="20" t="str">
        <f>IFERROR(VLOOKUP(I3420,KET!$B:$F,4,0),"")</f>
        <v>FAHMI LUKMANUL HAKIM</v>
      </c>
      <c r="F3420" s="20" t="str">
        <f>IFERROR(VLOOKUP(I3420,KET!$B:$F,5,0),"")</f>
        <v>NKA</v>
      </c>
      <c r="G3420" s="20">
        <f>IFERROR(INDEX('Kode Outlet dan Target Toko'!$C:$C,MATCH($I3420,'Kode Outlet dan Target Toko'!$E:$E,0)),0)</f>
        <v>195403</v>
      </c>
      <c r="H3420" s="20">
        <f>IFERROR(INDEX('Kode Outlet dan Target Toko'!$D:$D,MATCH($I3420,'Kode Outlet dan Target Toko'!$E:$E,0)),0)</f>
        <v>1600007</v>
      </c>
      <c r="I3420" s="42" t="s">
        <v>87</v>
      </c>
      <c r="J3420" s="56" t="s">
        <v>174</v>
      </c>
      <c r="K3420" s="40" t="s">
        <v>14</v>
      </c>
      <c r="L3420" s="26">
        <v>2150</v>
      </c>
      <c r="M3420" s="26">
        <v>93</v>
      </c>
      <c r="N3420" s="25">
        <f t="shared" si="107"/>
        <v>199950</v>
      </c>
      <c r="O3420" s="56"/>
    </row>
    <row r="3421" spans="1:15" hidden="1" x14ac:dyDescent="0.3">
      <c r="A3421" s="26">
        <v>33</v>
      </c>
      <c r="B3421" s="20" t="str">
        <f t="shared" si="106"/>
        <v>AUG</v>
      </c>
      <c r="C3421" s="21">
        <v>46248</v>
      </c>
      <c r="D3421" s="22" t="str">
        <f>IFERROR(INDEX('Kode Outlet dan Target Toko'!$A:$A,MATCH($I3421,'Kode Outlet dan Target Toko'!$E:$E,0)),"")</f>
        <v>GRSM 4</v>
      </c>
      <c r="E3421" s="20" t="str">
        <f>IFERROR(VLOOKUP(I3421,KET!$B:$F,4,0),"")</f>
        <v>FAHMI LUKMANUL HAKIM</v>
      </c>
      <c r="F3421" s="20" t="str">
        <f>IFERROR(VLOOKUP(I3421,KET!$B:$F,5,0),"")</f>
        <v>NKA</v>
      </c>
      <c r="G3421" s="20">
        <f>IFERROR(INDEX('Kode Outlet dan Target Toko'!$C:$C,MATCH($I3421,'Kode Outlet dan Target Toko'!$E:$E,0)),0)</f>
        <v>195403</v>
      </c>
      <c r="H3421" s="20">
        <f>IFERROR(INDEX('Kode Outlet dan Target Toko'!$D:$D,MATCH($I3421,'Kode Outlet dan Target Toko'!$E:$E,0)),0)</f>
        <v>1600007</v>
      </c>
      <c r="I3421" s="42" t="s">
        <v>87</v>
      </c>
      <c r="J3421" s="56" t="s">
        <v>174</v>
      </c>
      <c r="K3421" s="40" t="s">
        <v>13</v>
      </c>
      <c r="L3421" s="26">
        <v>2150</v>
      </c>
      <c r="M3421" s="26">
        <v>54</v>
      </c>
      <c r="N3421" s="25">
        <f t="shared" si="107"/>
        <v>116100</v>
      </c>
      <c r="O3421" s="56"/>
    </row>
    <row r="3422" spans="1:15" hidden="1" x14ac:dyDescent="0.3">
      <c r="A3422" s="26">
        <v>33</v>
      </c>
      <c r="B3422" s="20" t="str">
        <f t="shared" si="106"/>
        <v>AUG</v>
      </c>
      <c r="C3422" s="21">
        <v>46248</v>
      </c>
      <c r="D3422" s="22" t="str">
        <f>IFERROR(INDEX('Kode Outlet dan Target Toko'!$A:$A,MATCH($I3422,'Kode Outlet dan Target Toko'!$E:$E,0)),"")</f>
        <v>GRSM 4</v>
      </c>
      <c r="E3422" s="20" t="str">
        <f>IFERROR(VLOOKUP(I3422,KET!$B:$F,4,0),"")</f>
        <v>FAHMI LUKMANUL HAKIM</v>
      </c>
      <c r="F3422" s="20" t="str">
        <f>IFERROR(VLOOKUP(I3422,KET!$B:$F,5,0),"")</f>
        <v>NKA</v>
      </c>
      <c r="G3422" s="20">
        <f>IFERROR(INDEX('Kode Outlet dan Target Toko'!$C:$C,MATCH($I3422,'Kode Outlet dan Target Toko'!$E:$E,0)),0)</f>
        <v>195403</v>
      </c>
      <c r="H3422" s="20">
        <f>IFERROR(INDEX('Kode Outlet dan Target Toko'!$D:$D,MATCH($I3422,'Kode Outlet dan Target Toko'!$E:$E,0)),0)</f>
        <v>1600007</v>
      </c>
      <c r="I3422" s="42" t="s">
        <v>87</v>
      </c>
      <c r="J3422" s="56" t="s">
        <v>174</v>
      </c>
      <c r="K3422" s="40" t="s">
        <v>16</v>
      </c>
      <c r="L3422" s="26">
        <v>2150</v>
      </c>
      <c r="M3422" s="26">
        <v>120</v>
      </c>
      <c r="N3422" s="25">
        <f t="shared" si="107"/>
        <v>258000</v>
      </c>
      <c r="O3422" s="56">
        <v>160</v>
      </c>
    </row>
    <row r="3423" spans="1:15" hidden="1" x14ac:dyDescent="0.3">
      <c r="A3423" s="26">
        <v>33</v>
      </c>
      <c r="B3423" s="20" t="str">
        <f t="shared" si="106"/>
        <v>AUG</v>
      </c>
      <c r="C3423" s="21">
        <v>46248</v>
      </c>
      <c r="D3423" s="22" t="str">
        <f>IFERROR(INDEX('Kode Outlet dan Target Toko'!$A:$A,MATCH($I3423,'Kode Outlet dan Target Toko'!$E:$E,0)),"")</f>
        <v>GRSM 4</v>
      </c>
      <c r="E3423" s="20" t="str">
        <f>IFERROR(VLOOKUP(I3423,KET!$B:$F,4,0),"")</f>
        <v>FAHMI LUKMANUL HAKIM</v>
      </c>
      <c r="F3423" s="20" t="str">
        <f>IFERROR(VLOOKUP(I3423,KET!$B:$F,5,0),"")</f>
        <v>GMM</v>
      </c>
      <c r="G3423" s="20">
        <f>IFERROR(INDEX('Kode Outlet dan Target Toko'!$C:$C,MATCH($I3423,'Kode Outlet dan Target Toko'!$E:$E,0)),0)</f>
        <v>103259</v>
      </c>
      <c r="H3423" s="20">
        <f>IFERROR(INDEX('Kode Outlet dan Target Toko'!$D:$D,MATCH($I3423,'Kode Outlet dan Target Toko'!$E:$E,0)),0)</f>
        <v>9002359</v>
      </c>
      <c r="I3423" s="42" t="s">
        <v>103</v>
      </c>
      <c r="J3423" s="56" t="s">
        <v>196</v>
      </c>
      <c r="K3423" s="40" t="s">
        <v>15</v>
      </c>
      <c r="L3423" s="26">
        <v>1970</v>
      </c>
      <c r="M3423" s="26">
        <v>150</v>
      </c>
      <c r="N3423" s="25">
        <f t="shared" si="107"/>
        <v>295500</v>
      </c>
      <c r="O3423" s="56"/>
    </row>
    <row r="3424" spans="1:15" hidden="1" x14ac:dyDescent="0.3">
      <c r="A3424" s="26">
        <v>33</v>
      </c>
      <c r="B3424" s="20" t="str">
        <f t="shared" si="106"/>
        <v>AUG</v>
      </c>
      <c r="C3424" s="21">
        <v>46248</v>
      </c>
      <c r="D3424" s="22" t="str">
        <f>IFERROR(INDEX('Kode Outlet dan Target Toko'!$A:$A,MATCH($I3424,'Kode Outlet dan Target Toko'!$E:$E,0)),"")</f>
        <v>GRSM 4</v>
      </c>
      <c r="E3424" s="20" t="str">
        <f>IFERROR(VLOOKUP(I3424,KET!$B:$F,4,0),"")</f>
        <v>FAHMI LUKMANUL HAKIM</v>
      </c>
      <c r="F3424" s="20" t="str">
        <f>IFERROR(VLOOKUP(I3424,KET!$B:$F,5,0),"")</f>
        <v>GMM</v>
      </c>
      <c r="G3424" s="20">
        <f>IFERROR(INDEX('Kode Outlet dan Target Toko'!$C:$C,MATCH($I3424,'Kode Outlet dan Target Toko'!$E:$E,0)),0)</f>
        <v>103259</v>
      </c>
      <c r="H3424" s="20">
        <f>IFERROR(INDEX('Kode Outlet dan Target Toko'!$D:$D,MATCH($I3424,'Kode Outlet dan Target Toko'!$E:$E,0)),0)</f>
        <v>9002359</v>
      </c>
      <c r="I3424" s="42" t="s">
        <v>103</v>
      </c>
      <c r="J3424" s="56" t="s">
        <v>196</v>
      </c>
      <c r="K3424" s="40" t="s">
        <v>14</v>
      </c>
      <c r="L3424" s="26">
        <v>1970</v>
      </c>
      <c r="M3424" s="26">
        <v>0</v>
      </c>
      <c r="N3424" s="25">
        <f t="shared" si="107"/>
        <v>0</v>
      </c>
      <c r="O3424" s="56"/>
    </row>
    <row r="3425" spans="1:15" hidden="1" x14ac:dyDescent="0.3">
      <c r="A3425" s="26">
        <v>33</v>
      </c>
      <c r="B3425" s="20" t="str">
        <f t="shared" si="106"/>
        <v>AUG</v>
      </c>
      <c r="C3425" s="21">
        <v>46248</v>
      </c>
      <c r="D3425" s="22" t="str">
        <f>IFERROR(INDEX('Kode Outlet dan Target Toko'!$A:$A,MATCH($I3425,'Kode Outlet dan Target Toko'!$E:$E,0)),"")</f>
        <v>GRSM 4</v>
      </c>
      <c r="E3425" s="20" t="str">
        <f>IFERROR(VLOOKUP(I3425,KET!$B:$F,4,0),"")</f>
        <v>FAHMI LUKMANUL HAKIM</v>
      </c>
      <c r="F3425" s="20" t="str">
        <f>IFERROR(VLOOKUP(I3425,KET!$B:$F,5,0),"")</f>
        <v>GMM</v>
      </c>
      <c r="G3425" s="20">
        <f>IFERROR(INDEX('Kode Outlet dan Target Toko'!$C:$C,MATCH($I3425,'Kode Outlet dan Target Toko'!$E:$E,0)),0)</f>
        <v>103259</v>
      </c>
      <c r="H3425" s="20">
        <f>IFERROR(INDEX('Kode Outlet dan Target Toko'!$D:$D,MATCH($I3425,'Kode Outlet dan Target Toko'!$E:$E,0)),0)</f>
        <v>9002359</v>
      </c>
      <c r="I3425" s="42" t="s">
        <v>103</v>
      </c>
      <c r="J3425" s="56" t="s">
        <v>196</v>
      </c>
      <c r="K3425" s="40" t="s">
        <v>13</v>
      </c>
      <c r="L3425" s="26">
        <v>1970</v>
      </c>
      <c r="M3425" s="26">
        <v>0</v>
      </c>
      <c r="N3425" s="25">
        <f t="shared" si="107"/>
        <v>0</v>
      </c>
      <c r="O3425" s="56"/>
    </row>
    <row r="3426" spans="1:15" hidden="1" x14ac:dyDescent="0.3">
      <c r="A3426" s="26">
        <v>33</v>
      </c>
      <c r="B3426" s="20" t="str">
        <f t="shared" si="106"/>
        <v>AUG</v>
      </c>
      <c r="C3426" s="21">
        <v>46248</v>
      </c>
      <c r="D3426" s="22" t="str">
        <f>IFERROR(INDEX('Kode Outlet dan Target Toko'!$A:$A,MATCH($I3426,'Kode Outlet dan Target Toko'!$E:$E,0)),"")</f>
        <v>GRSM 4</v>
      </c>
      <c r="E3426" s="20" t="str">
        <f>IFERROR(VLOOKUP(I3426,KET!$B:$F,4,0),"")</f>
        <v>FAHMI LUKMANUL HAKIM</v>
      </c>
      <c r="F3426" s="20" t="str">
        <f>IFERROR(VLOOKUP(I3426,KET!$B:$F,5,0),"")</f>
        <v>GMM</v>
      </c>
      <c r="G3426" s="20">
        <f>IFERROR(INDEX('Kode Outlet dan Target Toko'!$C:$C,MATCH($I3426,'Kode Outlet dan Target Toko'!$E:$E,0)),0)</f>
        <v>103259</v>
      </c>
      <c r="H3426" s="20">
        <f>IFERROR(INDEX('Kode Outlet dan Target Toko'!$D:$D,MATCH($I3426,'Kode Outlet dan Target Toko'!$E:$E,0)),0)</f>
        <v>9002359</v>
      </c>
      <c r="I3426" s="42" t="s">
        <v>103</v>
      </c>
      <c r="J3426" s="56" t="s">
        <v>196</v>
      </c>
      <c r="K3426" s="40" t="s">
        <v>16</v>
      </c>
      <c r="L3426" s="26">
        <v>1970</v>
      </c>
      <c r="M3426" s="26">
        <v>0</v>
      </c>
      <c r="N3426" s="25">
        <f t="shared" si="107"/>
        <v>0</v>
      </c>
      <c r="O3426" s="56"/>
    </row>
    <row r="3427" spans="1:15" hidden="1" x14ac:dyDescent="0.3">
      <c r="A3427" s="26">
        <v>33</v>
      </c>
      <c r="B3427" s="20" t="str">
        <f t="shared" si="106"/>
        <v>AUG</v>
      </c>
      <c r="C3427" s="21">
        <v>46248</v>
      </c>
      <c r="D3427" s="22" t="str">
        <f>IFERROR(INDEX('Kode Outlet dan Target Toko'!$A:$A,MATCH($I3427,'Kode Outlet dan Target Toko'!$E:$E,0)),"")</f>
        <v>GRSM 4</v>
      </c>
      <c r="E3427" s="20" t="str">
        <f>IFERROR(VLOOKUP(I3427,KET!$B:$F,4,0),"")</f>
        <v>FAHMI LUKMANUL HAKIM</v>
      </c>
      <c r="F3427" s="20" t="str">
        <f>IFERROR(VLOOKUP(I3427,KET!$B:$F,5,0),"")</f>
        <v>GMM</v>
      </c>
      <c r="G3427" s="20">
        <f>IFERROR(INDEX('Kode Outlet dan Target Toko'!$C:$C,MATCH($I3427,'Kode Outlet dan Target Toko'!$E:$E,0)),0)</f>
        <v>103259</v>
      </c>
      <c r="H3427" s="20">
        <f>IFERROR(INDEX('Kode Outlet dan Target Toko'!$D:$D,MATCH($I3427,'Kode Outlet dan Target Toko'!$E:$E,0)),0)</f>
        <v>9002359</v>
      </c>
      <c r="I3427" s="42" t="s">
        <v>103</v>
      </c>
      <c r="J3427" s="56" t="s">
        <v>197</v>
      </c>
      <c r="K3427" s="40" t="s">
        <v>15</v>
      </c>
      <c r="L3427" s="26">
        <v>1950</v>
      </c>
      <c r="M3427" s="26">
        <v>132</v>
      </c>
      <c r="N3427" s="25">
        <f t="shared" si="107"/>
        <v>257400</v>
      </c>
      <c r="O3427" s="56"/>
    </row>
    <row r="3428" spans="1:15" hidden="1" x14ac:dyDescent="0.3">
      <c r="A3428" s="26">
        <v>33</v>
      </c>
      <c r="B3428" s="20" t="str">
        <f t="shared" si="106"/>
        <v>AUG</v>
      </c>
      <c r="C3428" s="21">
        <v>46248</v>
      </c>
      <c r="D3428" s="22" t="str">
        <f>IFERROR(INDEX('Kode Outlet dan Target Toko'!$A:$A,MATCH($I3428,'Kode Outlet dan Target Toko'!$E:$E,0)),"")</f>
        <v>GRSM 4</v>
      </c>
      <c r="E3428" s="20" t="str">
        <f>IFERROR(VLOOKUP(I3428,KET!$B:$F,4,0),"")</f>
        <v>FAHMI LUKMANUL HAKIM</v>
      </c>
      <c r="F3428" s="20" t="str">
        <f>IFERROR(VLOOKUP(I3428,KET!$B:$F,5,0),"")</f>
        <v>GMM</v>
      </c>
      <c r="G3428" s="20">
        <f>IFERROR(INDEX('Kode Outlet dan Target Toko'!$C:$C,MATCH($I3428,'Kode Outlet dan Target Toko'!$E:$E,0)),0)</f>
        <v>103259</v>
      </c>
      <c r="H3428" s="20">
        <f>IFERROR(INDEX('Kode Outlet dan Target Toko'!$D:$D,MATCH($I3428,'Kode Outlet dan Target Toko'!$E:$E,0)),0)</f>
        <v>9002359</v>
      </c>
      <c r="I3428" s="42" t="s">
        <v>103</v>
      </c>
      <c r="J3428" s="56" t="s">
        <v>197</v>
      </c>
      <c r="K3428" s="40" t="s">
        <v>14</v>
      </c>
      <c r="L3428" s="26">
        <v>1950</v>
      </c>
      <c r="M3428" s="26">
        <v>0</v>
      </c>
      <c r="N3428" s="25">
        <f t="shared" si="107"/>
        <v>0</v>
      </c>
      <c r="O3428" s="56"/>
    </row>
    <row r="3429" spans="1:15" hidden="1" x14ac:dyDescent="0.3">
      <c r="A3429" s="26">
        <v>33</v>
      </c>
      <c r="B3429" s="20" t="str">
        <f t="shared" si="106"/>
        <v>AUG</v>
      </c>
      <c r="C3429" s="21">
        <v>46248</v>
      </c>
      <c r="D3429" s="22" t="str">
        <f>IFERROR(INDEX('Kode Outlet dan Target Toko'!$A:$A,MATCH($I3429,'Kode Outlet dan Target Toko'!$E:$E,0)),"")</f>
        <v>GRSM 4</v>
      </c>
      <c r="E3429" s="20" t="str">
        <f>IFERROR(VLOOKUP(I3429,KET!$B:$F,4,0),"")</f>
        <v>FAHMI LUKMANUL HAKIM</v>
      </c>
      <c r="F3429" s="20" t="str">
        <f>IFERROR(VLOOKUP(I3429,KET!$B:$F,5,0),"")</f>
        <v>GMM</v>
      </c>
      <c r="G3429" s="20">
        <f>IFERROR(INDEX('Kode Outlet dan Target Toko'!$C:$C,MATCH($I3429,'Kode Outlet dan Target Toko'!$E:$E,0)),0)</f>
        <v>103259</v>
      </c>
      <c r="H3429" s="20">
        <f>IFERROR(INDEX('Kode Outlet dan Target Toko'!$D:$D,MATCH($I3429,'Kode Outlet dan Target Toko'!$E:$E,0)),0)</f>
        <v>9002359</v>
      </c>
      <c r="I3429" s="42" t="s">
        <v>103</v>
      </c>
      <c r="J3429" s="56" t="s">
        <v>197</v>
      </c>
      <c r="K3429" s="40" t="s">
        <v>13</v>
      </c>
      <c r="L3429" s="26">
        <v>1950</v>
      </c>
      <c r="M3429" s="26">
        <v>0</v>
      </c>
      <c r="N3429" s="25">
        <f t="shared" si="107"/>
        <v>0</v>
      </c>
      <c r="O3429" s="56"/>
    </row>
    <row r="3430" spans="1:15" hidden="1" x14ac:dyDescent="0.3">
      <c r="A3430" s="26">
        <v>33</v>
      </c>
      <c r="B3430" s="20" t="str">
        <f t="shared" si="106"/>
        <v>AUG</v>
      </c>
      <c r="C3430" s="21">
        <v>46248</v>
      </c>
      <c r="D3430" s="22" t="str">
        <f>IFERROR(INDEX('Kode Outlet dan Target Toko'!$A:$A,MATCH($I3430,'Kode Outlet dan Target Toko'!$E:$E,0)),"")</f>
        <v>GRSM 4</v>
      </c>
      <c r="E3430" s="20" t="str">
        <f>IFERROR(VLOOKUP(I3430,KET!$B:$F,4,0),"")</f>
        <v>FAHMI LUKMANUL HAKIM</v>
      </c>
      <c r="F3430" s="20" t="str">
        <f>IFERROR(VLOOKUP(I3430,KET!$B:$F,5,0),"")</f>
        <v>GMM</v>
      </c>
      <c r="G3430" s="20">
        <f>IFERROR(INDEX('Kode Outlet dan Target Toko'!$C:$C,MATCH($I3430,'Kode Outlet dan Target Toko'!$E:$E,0)),0)</f>
        <v>103259</v>
      </c>
      <c r="H3430" s="20">
        <f>IFERROR(INDEX('Kode Outlet dan Target Toko'!$D:$D,MATCH($I3430,'Kode Outlet dan Target Toko'!$E:$E,0)),0)</f>
        <v>9002359</v>
      </c>
      <c r="I3430" s="42" t="s">
        <v>103</v>
      </c>
      <c r="J3430" s="56" t="s">
        <v>197</v>
      </c>
      <c r="K3430" s="40" t="s">
        <v>16</v>
      </c>
      <c r="L3430" s="26">
        <v>1950</v>
      </c>
      <c r="M3430" s="26">
        <v>0</v>
      </c>
      <c r="N3430" s="25">
        <f t="shared" si="107"/>
        <v>0</v>
      </c>
      <c r="O3430" s="56">
        <v>160</v>
      </c>
    </row>
    <row r="3431" spans="1:15" hidden="1" x14ac:dyDescent="0.3">
      <c r="A3431" s="26">
        <v>33</v>
      </c>
      <c r="B3431" s="20" t="str">
        <f t="shared" si="106"/>
        <v>AUG</v>
      </c>
      <c r="C3431" s="21">
        <v>46248</v>
      </c>
      <c r="D3431" s="22" t="str">
        <f>IFERROR(INDEX('Kode Outlet dan Target Toko'!$A:$A,MATCH($I3431,'Kode Outlet dan Target Toko'!$E:$E,0)),"")</f>
        <v>GRSM 4</v>
      </c>
      <c r="E3431" s="20" t="str">
        <f>IFERROR(VLOOKUP(I3431,KET!$B:$F,4,0),"")</f>
        <v>FAHMI LUKMANUL HAKIM</v>
      </c>
      <c r="F3431" s="20" t="str">
        <f>IFERROR(VLOOKUP(I3431,KET!$B:$F,5,0),"")</f>
        <v>GMM</v>
      </c>
      <c r="G3431" s="20">
        <f>IFERROR(INDEX('Kode Outlet dan Target Toko'!$C:$C,MATCH($I3431,'Kode Outlet dan Target Toko'!$E:$E,0)),0)</f>
        <v>103259</v>
      </c>
      <c r="H3431" s="20">
        <f>IFERROR(INDEX('Kode Outlet dan Target Toko'!$D:$D,MATCH($I3431,'Kode Outlet dan Target Toko'!$E:$E,0)),0)</f>
        <v>9006219</v>
      </c>
      <c r="I3431" s="42" t="s">
        <v>96</v>
      </c>
      <c r="J3431" s="56" t="s">
        <v>198</v>
      </c>
      <c r="K3431" s="40" t="s">
        <v>15</v>
      </c>
      <c r="L3431" s="26">
        <v>2000</v>
      </c>
      <c r="M3431" s="26">
        <v>42</v>
      </c>
      <c r="N3431" s="25">
        <f t="shared" si="107"/>
        <v>84000</v>
      </c>
      <c r="O3431" s="56"/>
    </row>
    <row r="3432" spans="1:15" hidden="1" x14ac:dyDescent="0.3">
      <c r="A3432" s="26">
        <v>33</v>
      </c>
      <c r="B3432" s="20" t="str">
        <f t="shared" si="106"/>
        <v>AUG</v>
      </c>
      <c r="C3432" s="21">
        <v>46248</v>
      </c>
      <c r="D3432" s="22" t="str">
        <f>IFERROR(INDEX('Kode Outlet dan Target Toko'!$A:$A,MATCH($I3432,'Kode Outlet dan Target Toko'!$E:$E,0)),"")</f>
        <v>GRSM 4</v>
      </c>
      <c r="E3432" s="20" t="str">
        <f>IFERROR(VLOOKUP(I3432,KET!$B:$F,4,0),"")</f>
        <v>FAHMI LUKMANUL HAKIM</v>
      </c>
      <c r="F3432" s="20" t="str">
        <f>IFERROR(VLOOKUP(I3432,KET!$B:$F,5,0),"")</f>
        <v>GMM</v>
      </c>
      <c r="G3432" s="20">
        <f>IFERROR(INDEX('Kode Outlet dan Target Toko'!$C:$C,MATCH($I3432,'Kode Outlet dan Target Toko'!$E:$E,0)),0)</f>
        <v>103259</v>
      </c>
      <c r="H3432" s="20">
        <f>IFERROR(INDEX('Kode Outlet dan Target Toko'!$D:$D,MATCH($I3432,'Kode Outlet dan Target Toko'!$E:$E,0)),0)</f>
        <v>9006219</v>
      </c>
      <c r="I3432" s="42" t="s">
        <v>96</v>
      </c>
      <c r="J3432" s="56" t="s">
        <v>198</v>
      </c>
      <c r="K3432" s="40" t="s">
        <v>14</v>
      </c>
      <c r="L3432" s="26">
        <v>2000</v>
      </c>
      <c r="M3432" s="26">
        <v>33</v>
      </c>
      <c r="N3432" s="25">
        <f t="shared" si="107"/>
        <v>66000</v>
      </c>
      <c r="O3432" s="56"/>
    </row>
    <row r="3433" spans="1:15" hidden="1" x14ac:dyDescent="0.3">
      <c r="A3433" s="26">
        <v>33</v>
      </c>
      <c r="B3433" s="20" t="str">
        <f t="shared" si="106"/>
        <v>AUG</v>
      </c>
      <c r="C3433" s="21">
        <v>46248</v>
      </c>
      <c r="D3433" s="22" t="str">
        <f>IFERROR(INDEX('Kode Outlet dan Target Toko'!$A:$A,MATCH($I3433,'Kode Outlet dan Target Toko'!$E:$E,0)),"")</f>
        <v>GRSM 4</v>
      </c>
      <c r="E3433" s="20" t="str">
        <f>IFERROR(VLOOKUP(I3433,KET!$B:$F,4,0),"")</f>
        <v>FAHMI LUKMANUL HAKIM</v>
      </c>
      <c r="F3433" s="20" t="str">
        <f>IFERROR(VLOOKUP(I3433,KET!$B:$F,5,0),"")</f>
        <v>GMM</v>
      </c>
      <c r="G3433" s="20">
        <f>IFERROR(INDEX('Kode Outlet dan Target Toko'!$C:$C,MATCH($I3433,'Kode Outlet dan Target Toko'!$E:$E,0)),0)</f>
        <v>103259</v>
      </c>
      <c r="H3433" s="20">
        <f>IFERROR(INDEX('Kode Outlet dan Target Toko'!$D:$D,MATCH($I3433,'Kode Outlet dan Target Toko'!$E:$E,0)),0)</f>
        <v>9006219</v>
      </c>
      <c r="I3433" s="42" t="s">
        <v>96</v>
      </c>
      <c r="J3433" s="56" t="s">
        <v>198</v>
      </c>
      <c r="K3433" s="40" t="s">
        <v>13</v>
      </c>
      <c r="L3433" s="26">
        <v>2000</v>
      </c>
      <c r="M3433" s="26">
        <v>27</v>
      </c>
      <c r="N3433" s="25">
        <f t="shared" si="107"/>
        <v>54000</v>
      </c>
      <c r="O3433" s="56"/>
    </row>
    <row r="3434" spans="1:15" hidden="1" x14ac:dyDescent="0.3">
      <c r="A3434" s="26">
        <v>33</v>
      </c>
      <c r="B3434" s="20" t="str">
        <f t="shared" si="106"/>
        <v>AUG</v>
      </c>
      <c r="C3434" s="21">
        <v>46248</v>
      </c>
      <c r="D3434" s="22" t="str">
        <f>IFERROR(INDEX('Kode Outlet dan Target Toko'!$A:$A,MATCH($I3434,'Kode Outlet dan Target Toko'!$E:$E,0)),"")</f>
        <v>GRSM 4</v>
      </c>
      <c r="E3434" s="20" t="str">
        <f>IFERROR(VLOOKUP(I3434,KET!$B:$F,4,0),"")</f>
        <v>FAHMI LUKMANUL HAKIM</v>
      </c>
      <c r="F3434" s="20" t="str">
        <f>IFERROR(VLOOKUP(I3434,KET!$B:$F,5,0),"")</f>
        <v>GMM</v>
      </c>
      <c r="G3434" s="20">
        <f>IFERROR(INDEX('Kode Outlet dan Target Toko'!$C:$C,MATCH($I3434,'Kode Outlet dan Target Toko'!$E:$E,0)),0)</f>
        <v>103259</v>
      </c>
      <c r="H3434" s="20">
        <f>IFERROR(INDEX('Kode Outlet dan Target Toko'!$D:$D,MATCH($I3434,'Kode Outlet dan Target Toko'!$E:$E,0)),0)</f>
        <v>9006219</v>
      </c>
      <c r="I3434" s="42" t="s">
        <v>96</v>
      </c>
      <c r="J3434" s="56" t="s">
        <v>198</v>
      </c>
      <c r="K3434" s="40" t="s">
        <v>16</v>
      </c>
      <c r="L3434" s="26">
        <v>2000</v>
      </c>
      <c r="M3434" s="26">
        <v>219</v>
      </c>
      <c r="N3434" s="25">
        <f t="shared" si="107"/>
        <v>438000</v>
      </c>
      <c r="O3434" s="56">
        <v>160</v>
      </c>
    </row>
    <row r="3435" spans="1:15" hidden="1" x14ac:dyDescent="0.3">
      <c r="A3435" s="26">
        <v>33</v>
      </c>
      <c r="B3435" s="20" t="str">
        <f t="shared" si="106"/>
        <v>AUG</v>
      </c>
      <c r="C3435" s="21">
        <v>46248</v>
      </c>
      <c r="D3435" s="22" t="str">
        <f>IFERROR(INDEX('Kode Outlet dan Target Toko'!$A:$A,MATCH($I3435,'Kode Outlet dan Target Toko'!$E:$E,0)),"")</f>
        <v>GRSM 4</v>
      </c>
      <c r="E3435" s="20" t="str">
        <f>IFERROR(VLOOKUP(I3435,KET!$B:$F,4,0),"")</f>
        <v>FAHMI LUKMANUL HAKIM</v>
      </c>
      <c r="F3435" s="20" t="str">
        <f>IFERROR(VLOOKUP(I3435,KET!$B:$F,5,0),"")</f>
        <v>GMM</v>
      </c>
      <c r="G3435" s="20">
        <f>IFERROR(INDEX('Kode Outlet dan Target Toko'!$C:$C,MATCH($I3435,'Kode Outlet dan Target Toko'!$E:$E,0)),0)</f>
        <v>103259</v>
      </c>
      <c r="H3435" s="20">
        <f>IFERROR(INDEX('Kode Outlet dan Target Toko'!$D:$D,MATCH($I3435,'Kode Outlet dan Target Toko'!$E:$E,0)),0)</f>
        <v>9006219</v>
      </c>
      <c r="I3435" s="42" t="s">
        <v>96</v>
      </c>
      <c r="J3435" s="56" t="s">
        <v>199</v>
      </c>
      <c r="K3435" s="40" t="s">
        <v>15</v>
      </c>
      <c r="L3435" s="26">
        <v>2000</v>
      </c>
      <c r="M3435" s="26">
        <v>42</v>
      </c>
      <c r="N3435" s="25">
        <f t="shared" si="107"/>
        <v>84000</v>
      </c>
      <c r="O3435" s="56"/>
    </row>
    <row r="3436" spans="1:15" hidden="1" x14ac:dyDescent="0.3">
      <c r="A3436" s="26">
        <v>33</v>
      </c>
      <c r="B3436" s="20" t="str">
        <f t="shared" si="106"/>
        <v>AUG</v>
      </c>
      <c r="C3436" s="21">
        <v>46248</v>
      </c>
      <c r="D3436" s="22" t="str">
        <f>IFERROR(INDEX('Kode Outlet dan Target Toko'!$A:$A,MATCH($I3436,'Kode Outlet dan Target Toko'!$E:$E,0)),"")</f>
        <v>GRSM 4</v>
      </c>
      <c r="E3436" s="20" t="str">
        <f>IFERROR(VLOOKUP(I3436,KET!$B:$F,4,0),"")</f>
        <v>FAHMI LUKMANUL HAKIM</v>
      </c>
      <c r="F3436" s="20" t="str">
        <f>IFERROR(VLOOKUP(I3436,KET!$B:$F,5,0),"")</f>
        <v>GMM</v>
      </c>
      <c r="G3436" s="20">
        <f>IFERROR(INDEX('Kode Outlet dan Target Toko'!$C:$C,MATCH($I3436,'Kode Outlet dan Target Toko'!$E:$E,0)),0)</f>
        <v>103259</v>
      </c>
      <c r="H3436" s="20">
        <f>IFERROR(INDEX('Kode Outlet dan Target Toko'!$D:$D,MATCH($I3436,'Kode Outlet dan Target Toko'!$E:$E,0)),0)</f>
        <v>9006219</v>
      </c>
      <c r="I3436" s="42" t="s">
        <v>96</v>
      </c>
      <c r="J3436" s="56" t="s">
        <v>199</v>
      </c>
      <c r="K3436" s="40" t="s">
        <v>14</v>
      </c>
      <c r="L3436" s="26">
        <v>2000</v>
      </c>
      <c r="M3436" s="26">
        <v>33</v>
      </c>
      <c r="N3436" s="25">
        <f t="shared" si="107"/>
        <v>66000</v>
      </c>
      <c r="O3436" s="56"/>
    </row>
    <row r="3437" spans="1:15" hidden="1" x14ac:dyDescent="0.3">
      <c r="A3437" s="26">
        <v>33</v>
      </c>
      <c r="B3437" s="20" t="str">
        <f t="shared" si="106"/>
        <v>AUG</v>
      </c>
      <c r="C3437" s="21">
        <v>46248</v>
      </c>
      <c r="D3437" s="22" t="str">
        <f>IFERROR(INDEX('Kode Outlet dan Target Toko'!$A:$A,MATCH($I3437,'Kode Outlet dan Target Toko'!$E:$E,0)),"")</f>
        <v>GRSM 4</v>
      </c>
      <c r="E3437" s="20" t="str">
        <f>IFERROR(VLOOKUP(I3437,KET!$B:$F,4,0),"")</f>
        <v>FAHMI LUKMANUL HAKIM</v>
      </c>
      <c r="F3437" s="20" t="str">
        <f>IFERROR(VLOOKUP(I3437,KET!$B:$F,5,0),"")</f>
        <v>GMM</v>
      </c>
      <c r="G3437" s="20">
        <f>IFERROR(INDEX('Kode Outlet dan Target Toko'!$C:$C,MATCH($I3437,'Kode Outlet dan Target Toko'!$E:$E,0)),0)</f>
        <v>103259</v>
      </c>
      <c r="H3437" s="20">
        <f>IFERROR(INDEX('Kode Outlet dan Target Toko'!$D:$D,MATCH($I3437,'Kode Outlet dan Target Toko'!$E:$E,0)),0)</f>
        <v>9006219</v>
      </c>
      <c r="I3437" s="42" t="s">
        <v>96</v>
      </c>
      <c r="J3437" s="56" t="s">
        <v>199</v>
      </c>
      <c r="K3437" s="40" t="s">
        <v>13</v>
      </c>
      <c r="L3437" s="26">
        <v>2000</v>
      </c>
      <c r="M3437" s="26">
        <v>27</v>
      </c>
      <c r="N3437" s="25">
        <f t="shared" si="107"/>
        <v>54000</v>
      </c>
      <c r="O3437" s="56"/>
    </row>
    <row r="3438" spans="1:15" hidden="1" x14ac:dyDescent="0.3">
      <c r="A3438" s="26">
        <v>33</v>
      </c>
      <c r="B3438" s="20" t="str">
        <f t="shared" si="106"/>
        <v>AUG</v>
      </c>
      <c r="C3438" s="21">
        <v>46248</v>
      </c>
      <c r="D3438" s="22" t="str">
        <f>IFERROR(INDEX('Kode Outlet dan Target Toko'!$A:$A,MATCH($I3438,'Kode Outlet dan Target Toko'!$E:$E,0)),"")</f>
        <v>GRSM 4</v>
      </c>
      <c r="E3438" s="20" t="str">
        <f>IFERROR(VLOOKUP(I3438,KET!$B:$F,4,0),"")</f>
        <v>FAHMI LUKMANUL HAKIM</v>
      </c>
      <c r="F3438" s="20" t="str">
        <f>IFERROR(VLOOKUP(I3438,KET!$B:$F,5,0),"")</f>
        <v>GMM</v>
      </c>
      <c r="G3438" s="20">
        <f>IFERROR(INDEX('Kode Outlet dan Target Toko'!$C:$C,MATCH($I3438,'Kode Outlet dan Target Toko'!$E:$E,0)),0)</f>
        <v>103259</v>
      </c>
      <c r="H3438" s="20">
        <f>IFERROR(INDEX('Kode Outlet dan Target Toko'!$D:$D,MATCH($I3438,'Kode Outlet dan Target Toko'!$E:$E,0)),0)</f>
        <v>9006219</v>
      </c>
      <c r="I3438" s="42" t="s">
        <v>96</v>
      </c>
      <c r="J3438" s="56" t="s">
        <v>199</v>
      </c>
      <c r="K3438" s="40" t="s">
        <v>16</v>
      </c>
      <c r="L3438" s="26">
        <v>2000</v>
      </c>
      <c r="M3438" s="26">
        <v>219</v>
      </c>
      <c r="N3438" s="25">
        <f t="shared" si="107"/>
        <v>438000</v>
      </c>
      <c r="O3438" s="56">
        <v>160</v>
      </c>
    </row>
    <row r="3439" spans="1:15" hidden="1" x14ac:dyDescent="0.3">
      <c r="A3439" s="26">
        <v>33</v>
      </c>
      <c r="B3439" s="20" t="str">
        <f t="shared" si="106"/>
        <v>AUG</v>
      </c>
      <c r="C3439" s="21">
        <v>46248</v>
      </c>
      <c r="D3439" s="22" t="str">
        <f>IFERROR(INDEX('Kode Outlet dan Target Toko'!$A:$A,MATCH($I3439,'Kode Outlet dan Target Toko'!$E:$E,0)),"")</f>
        <v>GRSM 4</v>
      </c>
      <c r="E3439" s="20" t="str">
        <f>IFERROR(VLOOKUP(I3439,KET!$B:$F,4,0),"")</f>
        <v>FAHMI LUKMANUL HAKIM</v>
      </c>
      <c r="F3439" s="20" t="str">
        <f>IFERROR(VLOOKUP(I3439,KET!$B:$F,5,0),"")</f>
        <v>NKA</v>
      </c>
      <c r="G3439" s="20">
        <f>IFERROR(INDEX('Kode Outlet dan Target Toko'!$C:$C,MATCH($I3439,'Kode Outlet dan Target Toko'!$E:$E,0)),0)</f>
        <v>195403</v>
      </c>
      <c r="H3439" s="20">
        <f>IFERROR(INDEX('Kode Outlet dan Target Toko'!$D:$D,MATCH($I3439,'Kode Outlet dan Target Toko'!$E:$E,0)),0)</f>
        <v>1600007</v>
      </c>
      <c r="I3439" s="42" t="s">
        <v>87</v>
      </c>
      <c r="J3439" s="56" t="s">
        <v>175</v>
      </c>
      <c r="K3439" s="40" t="s">
        <v>15</v>
      </c>
      <c r="L3439" s="26">
        <v>2150</v>
      </c>
      <c r="M3439" s="26">
        <v>83</v>
      </c>
      <c r="N3439" s="25">
        <f t="shared" si="107"/>
        <v>178450</v>
      </c>
      <c r="O3439" s="56"/>
    </row>
    <row r="3440" spans="1:15" hidden="1" x14ac:dyDescent="0.3">
      <c r="A3440" s="26">
        <v>33</v>
      </c>
      <c r="B3440" s="20" t="str">
        <f t="shared" si="106"/>
        <v>AUG</v>
      </c>
      <c r="C3440" s="21">
        <v>46248</v>
      </c>
      <c r="D3440" s="22" t="str">
        <f>IFERROR(INDEX('Kode Outlet dan Target Toko'!$A:$A,MATCH($I3440,'Kode Outlet dan Target Toko'!$E:$E,0)),"")</f>
        <v>GRSM 4</v>
      </c>
      <c r="E3440" s="20" t="str">
        <f>IFERROR(VLOOKUP(I3440,KET!$B:$F,4,0),"")</f>
        <v>FAHMI LUKMANUL HAKIM</v>
      </c>
      <c r="F3440" s="20" t="str">
        <f>IFERROR(VLOOKUP(I3440,KET!$B:$F,5,0),"")</f>
        <v>NKA</v>
      </c>
      <c r="G3440" s="20">
        <f>IFERROR(INDEX('Kode Outlet dan Target Toko'!$C:$C,MATCH($I3440,'Kode Outlet dan Target Toko'!$E:$E,0)),0)</f>
        <v>195403</v>
      </c>
      <c r="H3440" s="20">
        <f>IFERROR(INDEX('Kode Outlet dan Target Toko'!$D:$D,MATCH($I3440,'Kode Outlet dan Target Toko'!$E:$E,0)),0)</f>
        <v>1600007</v>
      </c>
      <c r="I3440" s="42" t="s">
        <v>87</v>
      </c>
      <c r="J3440" s="56" t="s">
        <v>175</v>
      </c>
      <c r="K3440" s="40" t="s">
        <v>14</v>
      </c>
      <c r="L3440" s="26">
        <v>2150</v>
      </c>
      <c r="M3440" s="26">
        <v>91</v>
      </c>
      <c r="N3440" s="25">
        <f t="shared" si="107"/>
        <v>195650</v>
      </c>
      <c r="O3440" s="56"/>
    </row>
    <row r="3441" spans="1:15" hidden="1" x14ac:dyDescent="0.3">
      <c r="A3441" s="26">
        <v>33</v>
      </c>
      <c r="B3441" s="20" t="str">
        <f t="shared" si="106"/>
        <v>AUG</v>
      </c>
      <c r="C3441" s="21">
        <v>46248</v>
      </c>
      <c r="D3441" s="22" t="str">
        <f>IFERROR(INDEX('Kode Outlet dan Target Toko'!$A:$A,MATCH($I3441,'Kode Outlet dan Target Toko'!$E:$E,0)),"")</f>
        <v>GRSM 4</v>
      </c>
      <c r="E3441" s="20" t="str">
        <f>IFERROR(VLOOKUP(I3441,KET!$B:$F,4,0),"")</f>
        <v>FAHMI LUKMANUL HAKIM</v>
      </c>
      <c r="F3441" s="20" t="str">
        <f>IFERROR(VLOOKUP(I3441,KET!$B:$F,5,0),"")</f>
        <v>NKA</v>
      </c>
      <c r="G3441" s="20">
        <f>IFERROR(INDEX('Kode Outlet dan Target Toko'!$C:$C,MATCH($I3441,'Kode Outlet dan Target Toko'!$E:$E,0)),0)</f>
        <v>195403</v>
      </c>
      <c r="H3441" s="20">
        <f>IFERROR(INDEX('Kode Outlet dan Target Toko'!$D:$D,MATCH($I3441,'Kode Outlet dan Target Toko'!$E:$E,0)),0)</f>
        <v>1600007</v>
      </c>
      <c r="I3441" s="42" t="s">
        <v>87</v>
      </c>
      <c r="J3441" s="56" t="s">
        <v>175</v>
      </c>
      <c r="K3441" s="40" t="s">
        <v>13</v>
      </c>
      <c r="L3441" s="26">
        <v>2150</v>
      </c>
      <c r="M3441" s="26">
        <v>50</v>
      </c>
      <c r="N3441" s="25">
        <f t="shared" si="107"/>
        <v>107500</v>
      </c>
      <c r="O3441" s="56"/>
    </row>
    <row r="3442" spans="1:15" hidden="1" x14ac:dyDescent="0.3">
      <c r="A3442" s="26">
        <v>33</v>
      </c>
      <c r="B3442" s="20" t="str">
        <f t="shared" si="106"/>
        <v>AUG</v>
      </c>
      <c r="C3442" s="21">
        <v>46248</v>
      </c>
      <c r="D3442" s="22" t="str">
        <f>IFERROR(INDEX('Kode Outlet dan Target Toko'!$A:$A,MATCH($I3442,'Kode Outlet dan Target Toko'!$E:$E,0)),"")</f>
        <v>GRSM 4</v>
      </c>
      <c r="E3442" s="20" t="str">
        <f>IFERROR(VLOOKUP(I3442,KET!$B:$F,4,0),"")</f>
        <v>FAHMI LUKMANUL HAKIM</v>
      </c>
      <c r="F3442" s="20" t="str">
        <f>IFERROR(VLOOKUP(I3442,KET!$B:$F,5,0),"")</f>
        <v>NKA</v>
      </c>
      <c r="G3442" s="20">
        <f>IFERROR(INDEX('Kode Outlet dan Target Toko'!$C:$C,MATCH($I3442,'Kode Outlet dan Target Toko'!$E:$E,0)),0)</f>
        <v>195403</v>
      </c>
      <c r="H3442" s="20">
        <f>IFERROR(INDEX('Kode Outlet dan Target Toko'!$D:$D,MATCH($I3442,'Kode Outlet dan Target Toko'!$E:$E,0)),0)</f>
        <v>1600007</v>
      </c>
      <c r="I3442" s="42" t="s">
        <v>87</v>
      </c>
      <c r="J3442" s="56" t="s">
        <v>175</v>
      </c>
      <c r="K3442" s="40" t="s">
        <v>16</v>
      </c>
      <c r="L3442" s="26">
        <v>2150</v>
      </c>
      <c r="M3442" s="26">
        <v>124</v>
      </c>
      <c r="N3442" s="25">
        <f t="shared" si="107"/>
        <v>266600</v>
      </c>
      <c r="O3442" s="56">
        <v>160</v>
      </c>
    </row>
    <row r="3443" spans="1:15" hidden="1" x14ac:dyDescent="0.3">
      <c r="A3443" s="26">
        <v>33</v>
      </c>
      <c r="B3443" s="20" t="str">
        <f t="shared" si="106"/>
        <v>AUG</v>
      </c>
      <c r="C3443" s="21">
        <v>46248</v>
      </c>
      <c r="D3443" s="22" t="str">
        <f>IFERROR(INDEX('Kode Outlet dan Target Toko'!$A:$A,MATCH($I3443,'Kode Outlet dan Target Toko'!$E:$E,0)),"")</f>
        <v>GRSM 4</v>
      </c>
      <c r="E3443" s="20" t="str">
        <f>IFERROR(VLOOKUP(I3443,KET!$B:$F,4,0),"")</f>
        <v>FAHMI LUKMANUL HAKIM</v>
      </c>
      <c r="F3443" s="20" t="str">
        <f>IFERROR(VLOOKUP(I3443,KET!$B:$F,5,0),"")</f>
        <v>GMM</v>
      </c>
      <c r="G3443" s="20">
        <f>IFERROR(INDEX('Kode Outlet dan Target Toko'!$C:$C,MATCH($I3443,'Kode Outlet dan Target Toko'!$E:$E,0)),0)</f>
        <v>103257</v>
      </c>
      <c r="H3443" s="20">
        <f>IFERROR(INDEX('Kode Outlet dan Target Toko'!$D:$D,MATCH($I3443,'Kode Outlet dan Target Toko'!$E:$E,0)),0)</f>
        <v>9162509</v>
      </c>
      <c r="I3443" s="42" t="s">
        <v>57</v>
      </c>
      <c r="J3443" s="56" t="s">
        <v>301</v>
      </c>
      <c r="K3443" s="40" t="s">
        <v>15</v>
      </c>
      <c r="L3443" s="26">
        <v>3100</v>
      </c>
      <c r="M3443" s="26">
        <v>68</v>
      </c>
      <c r="N3443" s="25">
        <f t="shared" si="107"/>
        <v>210800</v>
      </c>
      <c r="O3443" s="56"/>
    </row>
    <row r="3444" spans="1:15" hidden="1" x14ac:dyDescent="0.3">
      <c r="A3444" s="26">
        <v>33</v>
      </c>
      <c r="B3444" s="20" t="str">
        <f t="shared" si="106"/>
        <v>AUG</v>
      </c>
      <c r="C3444" s="21">
        <v>46248</v>
      </c>
      <c r="D3444" s="22" t="str">
        <f>IFERROR(INDEX('Kode Outlet dan Target Toko'!$A:$A,MATCH($I3444,'Kode Outlet dan Target Toko'!$E:$E,0)),"")</f>
        <v>GRSM 4</v>
      </c>
      <c r="E3444" s="20" t="str">
        <f>IFERROR(VLOOKUP(I3444,KET!$B:$F,4,0),"")</f>
        <v>FAHMI LUKMANUL HAKIM</v>
      </c>
      <c r="F3444" s="20" t="str">
        <f>IFERROR(VLOOKUP(I3444,KET!$B:$F,5,0),"")</f>
        <v>GMM</v>
      </c>
      <c r="G3444" s="20">
        <f>IFERROR(INDEX('Kode Outlet dan Target Toko'!$C:$C,MATCH($I3444,'Kode Outlet dan Target Toko'!$E:$E,0)),0)</f>
        <v>103257</v>
      </c>
      <c r="H3444" s="20">
        <f>IFERROR(INDEX('Kode Outlet dan Target Toko'!$D:$D,MATCH($I3444,'Kode Outlet dan Target Toko'!$E:$E,0)),0)</f>
        <v>9162509</v>
      </c>
      <c r="I3444" s="42" t="s">
        <v>57</v>
      </c>
      <c r="J3444" s="56" t="s">
        <v>301</v>
      </c>
      <c r="K3444" s="40" t="s">
        <v>14</v>
      </c>
      <c r="L3444" s="26">
        <v>3100</v>
      </c>
      <c r="M3444" s="26">
        <v>70</v>
      </c>
      <c r="N3444" s="25">
        <f t="shared" si="107"/>
        <v>217000</v>
      </c>
      <c r="O3444" s="56"/>
    </row>
    <row r="3445" spans="1:15" hidden="1" x14ac:dyDescent="0.3">
      <c r="A3445" s="26">
        <v>33</v>
      </c>
      <c r="B3445" s="20" t="str">
        <f t="shared" si="106"/>
        <v>AUG</v>
      </c>
      <c r="C3445" s="21">
        <v>46248</v>
      </c>
      <c r="D3445" s="22" t="str">
        <f>IFERROR(INDEX('Kode Outlet dan Target Toko'!$A:$A,MATCH($I3445,'Kode Outlet dan Target Toko'!$E:$E,0)),"")</f>
        <v>GRSM 4</v>
      </c>
      <c r="E3445" s="20" t="str">
        <f>IFERROR(VLOOKUP(I3445,KET!$B:$F,4,0),"")</f>
        <v>FAHMI LUKMANUL HAKIM</v>
      </c>
      <c r="F3445" s="20" t="str">
        <f>IFERROR(VLOOKUP(I3445,KET!$B:$F,5,0),"")</f>
        <v>GMM</v>
      </c>
      <c r="G3445" s="20">
        <f>IFERROR(INDEX('Kode Outlet dan Target Toko'!$C:$C,MATCH($I3445,'Kode Outlet dan Target Toko'!$E:$E,0)),0)</f>
        <v>103257</v>
      </c>
      <c r="H3445" s="20">
        <f>IFERROR(INDEX('Kode Outlet dan Target Toko'!$D:$D,MATCH($I3445,'Kode Outlet dan Target Toko'!$E:$E,0)),0)</f>
        <v>9162509</v>
      </c>
      <c r="I3445" s="42" t="s">
        <v>57</v>
      </c>
      <c r="J3445" s="56" t="s">
        <v>301</v>
      </c>
      <c r="K3445" s="40" t="s">
        <v>13</v>
      </c>
      <c r="L3445" s="26">
        <v>3100</v>
      </c>
      <c r="M3445" s="26">
        <v>0</v>
      </c>
      <c r="N3445" s="25">
        <f t="shared" si="107"/>
        <v>0</v>
      </c>
      <c r="O3445" s="56"/>
    </row>
    <row r="3446" spans="1:15" hidden="1" x14ac:dyDescent="0.3">
      <c r="A3446" s="26">
        <v>33</v>
      </c>
      <c r="B3446" s="20" t="str">
        <f t="shared" si="106"/>
        <v>AUG</v>
      </c>
      <c r="C3446" s="21">
        <v>46248</v>
      </c>
      <c r="D3446" s="22" t="str">
        <f>IFERROR(INDEX('Kode Outlet dan Target Toko'!$A:$A,MATCH($I3446,'Kode Outlet dan Target Toko'!$E:$E,0)),"")</f>
        <v>GRSM 4</v>
      </c>
      <c r="E3446" s="20" t="str">
        <f>IFERROR(VLOOKUP(I3446,KET!$B:$F,4,0),"")</f>
        <v>FAHMI LUKMANUL HAKIM</v>
      </c>
      <c r="F3446" s="20" t="str">
        <f>IFERROR(VLOOKUP(I3446,KET!$B:$F,5,0),"")</f>
        <v>GMM</v>
      </c>
      <c r="G3446" s="20">
        <f>IFERROR(INDEX('Kode Outlet dan Target Toko'!$C:$C,MATCH($I3446,'Kode Outlet dan Target Toko'!$E:$E,0)),0)</f>
        <v>103257</v>
      </c>
      <c r="H3446" s="20">
        <f>IFERROR(INDEX('Kode Outlet dan Target Toko'!$D:$D,MATCH($I3446,'Kode Outlet dan Target Toko'!$E:$E,0)),0)</f>
        <v>9162509</v>
      </c>
      <c r="I3446" s="42" t="s">
        <v>57</v>
      </c>
      <c r="J3446" s="56" t="s">
        <v>301</v>
      </c>
      <c r="K3446" s="40" t="s">
        <v>16</v>
      </c>
      <c r="L3446" s="26">
        <v>3100</v>
      </c>
      <c r="M3446" s="26">
        <v>0</v>
      </c>
      <c r="N3446" s="25">
        <f t="shared" si="107"/>
        <v>0</v>
      </c>
      <c r="O3446" s="56">
        <v>160</v>
      </c>
    </row>
    <row r="3447" spans="1:15" hidden="1" x14ac:dyDescent="0.3">
      <c r="A3447" s="26">
        <v>33</v>
      </c>
      <c r="B3447" s="20" t="str">
        <f t="shared" si="106"/>
        <v>AUG</v>
      </c>
      <c r="C3447" s="21">
        <v>46248</v>
      </c>
      <c r="D3447" s="22" t="str">
        <f>IFERROR(INDEX('Kode Outlet dan Target Toko'!$A:$A,MATCH($I3447,'Kode Outlet dan Target Toko'!$E:$E,0)),"")</f>
        <v>GRSM 4</v>
      </c>
      <c r="E3447" s="20" t="str">
        <f>IFERROR(VLOOKUP(I3447,KET!$B:$F,4,0),"")</f>
        <v>FAHMI LUKMANUL HAKIM</v>
      </c>
      <c r="F3447" s="20" t="str">
        <f>IFERROR(VLOOKUP(I3447,KET!$B:$F,5,0),"")</f>
        <v>GMM</v>
      </c>
      <c r="G3447" s="20">
        <f>IFERROR(INDEX('Kode Outlet dan Target Toko'!$C:$C,MATCH($I3447,'Kode Outlet dan Target Toko'!$E:$E,0)),0)</f>
        <v>103257</v>
      </c>
      <c r="H3447" s="20">
        <f>IFERROR(INDEX('Kode Outlet dan Target Toko'!$D:$D,MATCH($I3447,'Kode Outlet dan Target Toko'!$E:$E,0)),0)</f>
        <v>9162509</v>
      </c>
      <c r="I3447" s="42" t="s">
        <v>57</v>
      </c>
      <c r="J3447" s="56" t="s">
        <v>192</v>
      </c>
      <c r="K3447" s="40" t="s">
        <v>15</v>
      </c>
      <c r="L3447" s="26">
        <v>3100</v>
      </c>
      <c r="M3447" s="26">
        <v>62</v>
      </c>
      <c r="N3447" s="25">
        <f t="shared" si="107"/>
        <v>192200</v>
      </c>
      <c r="O3447" s="56"/>
    </row>
    <row r="3448" spans="1:15" hidden="1" x14ac:dyDescent="0.3">
      <c r="A3448" s="26">
        <v>33</v>
      </c>
      <c r="B3448" s="20" t="str">
        <f t="shared" si="106"/>
        <v>AUG</v>
      </c>
      <c r="C3448" s="21">
        <v>46248</v>
      </c>
      <c r="D3448" s="22" t="str">
        <f>IFERROR(INDEX('Kode Outlet dan Target Toko'!$A:$A,MATCH($I3448,'Kode Outlet dan Target Toko'!$E:$E,0)),"")</f>
        <v>GRSM 4</v>
      </c>
      <c r="E3448" s="20" t="str">
        <f>IFERROR(VLOOKUP(I3448,KET!$B:$F,4,0),"")</f>
        <v>FAHMI LUKMANUL HAKIM</v>
      </c>
      <c r="F3448" s="20" t="str">
        <f>IFERROR(VLOOKUP(I3448,KET!$B:$F,5,0),"")</f>
        <v>GMM</v>
      </c>
      <c r="G3448" s="20">
        <f>IFERROR(INDEX('Kode Outlet dan Target Toko'!$C:$C,MATCH($I3448,'Kode Outlet dan Target Toko'!$E:$E,0)),0)</f>
        <v>103257</v>
      </c>
      <c r="H3448" s="20">
        <f>IFERROR(INDEX('Kode Outlet dan Target Toko'!$D:$D,MATCH($I3448,'Kode Outlet dan Target Toko'!$E:$E,0)),0)</f>
        <v>9162509</v>
      </c>
      <c r="I3448" s="42" t="s">
        <v>57</v>
      </c>
      <c r="J3448" s="56" t="s">
        <v>192</v>
      </c>
      <c r="K3448" s="40" t="s">
        <v>14</v>
      </c>
      <c r="L3448" s="26">
        <v>3100</v>
      </c>
      <c r="M3448" s="26">
        <v>65</v>
      </c>
      <c r="N3448" s="25">
        <f t="shared" si="107"/>
        <v>201500</v>
      </c>
      <c r="O3448" s="56"/>
    </row>
    <row r="3449" spans="1:15" hidden="1" x14ac:dyDescent="0.3">
      <c r="A3449" s="26">
        <v>33</v>
      </c>
      <c r="B3449" s="20" t="str">
        <f t="shared" si="106"/>
        <v>AUG</v>
      </c>
      <c r="C3449" s="21">
        <v>46248</v>
      </c>
      <c r="D3449" s="22" t="str">
        <f>IFERROR(INDEX('Kode Outlet dan Target Toko'!$A:$A,MATCH($I3449,'Kode Outlet dan Target Toko'!$E:$E,0)),"")</f>
        <v>GRSM 4</v>
      </c>
      <c r="E3449" s="20" t="str">
        <f>IFERROR(VLOOKUP(I3449,KET!$B:$F,4,0),"")</f>
        <v>FAHMI LUKMANUL HAKIM</v>
      </c>
      <c r="F3449" s="20" t="str">
        <f>IFERROR(VLOOKUP(I3449,KET!$B:$F,5,0),"")</f>
        <v>GMM</v>
      </c>
      <c r="G3449" s="20">
        <f>IFERROR(INDEX('Kode Outlet dan Target Toko'!$C:$C,MATCH($I3449,'Kode Outlet dan Target Toko'!$E:$E,0)),0)</f>
        <v>103257</v>
      </c>
      <c r="H3449" s="20">
        <f>IFERROR(INDEX('Kode Outlet dan Target Toko'!$D:$D,MATCH($I3449,'Kode Outlet dan Target Toko'!$E:$E,0)),0)</f>
        <v>9162509</v>
      </c>
      <c r="I3449" s="42" t="s">
        <v>57</v>
      </c>
      <c r="J3449" s="56" t="s">
        <v>192</v>
      </c>
      <c r="K3449" s="40" t="s">
        <v>13</v>
      </c>
      <c r="L3449" s="26">
        <v>3100</v>
      </c>
      <c r="M3449" s="26">
        <v>0</v>
      </c>
      <c r="N3449" s="25">
        <f t="shared" si="107"/>
        <v>0</v>
      </c>
      <c r="O3449" s="56"/>
    </row>
    <row r="3450" spans="1:15" hidden="1" x14ac:dyDescent="0.3">
      <c r="A3450" s="26">
        <v>33</v>
      </c>
      <c r="B3450" s="20" t="str">
        <f t="shared" si="106"/>
        <v>AUG</v>
      </c>
      <c r="C3450" s="21">
        <v>46248</v>
      </c>
      <c r="D3450" s="22" t="str">
        <f>IFERROR(INDEX('Kode Outlet dan Target Toko'!$A:$A,MATCH($I3450,'Kode Outlet dan Target Toko'!$E:$E,0)),"")</f>
        <v>GRSM 4</v>
      </c>
      <c r="E3450" s="20" t="str">
        <f>IFERROR(VLOOKUP(I3450,KET!$B:$F,4,0),"")</f>
        <v>FAHMI LUKMANUL HAKIM</v>
      </c>
      <c r="F3450" s="20" t="str">
        <f>IFERROR(VLOOKUP(I3450,KET!$B:$F,5,0),"")</f>
        <v>GMM</v>
      </c>
      <c r="G3450" s="20">
        <f>IFERROR(INDEX('Kode Outlet dan Target Toko'!$C:$C,MATCH($I3450,'Kode Outlet dan Target Toko'!$E:$E,0)),0)</f>
        <v>103257</v>
      </c>
      <c r="H3450" s="20">
        <f>IFERROR(INDEX('Kode Outlet dan Target Toko'!$D:$D,MATCH($I3450,'Kode Outlet dan Target Toko'!$E:$E,0)),0)</f>
        <v>9162509</v>
      </c>
      <c r="I3450" s="42" t="s">
        <v>57</v>
      </c>
      <c r="J3450" s="56" t="s">
        <v>192</v>
      </c>
      <c r="K3450" s="40" t="s">
        <v>16</v>
      </c>
      <c r="L3450" s="26">
        <v>3100</v>
      </c>
      <c r="M3450" s="26">
        <v>0</v>
      </c>
      <c r="N3450" s="25">
        <f t="shared" si="107"/>
        <v>0</v>
      </c>
      <c r="O3450" s="56">
        <v>160</v>
      </c>
    </row>
    <row r="3451" spans="1:15" hidden="1" x14ac:dyDescent="0.3">
      <c r="A3451" s="26">
        <v>33</v>
      </c>
      <c r="B3451" s="20" t="str">
        <f t="shared" si="106"/>
        <v>AUG</v>
      </c>
      <c r="C3451" s="21">
        <v>46249</v>
      </c>
      <c r="D3451" s="22" t="str">
        <f>IFERROR(INDEX('Kode Outlet dan Target Toko'!$A:$A,MATCH($I3451,'Kode Outlet dan Target Toko'!$E:$E,0)),"")</f>
        <v>GRSM 3A</v>
      </c>
      <c r="E3451" s="20" t="str">
        <f>IFERROR(VLOOKUP(I3451,KET!$B:$F,4,0),"")</f>
        <v>FAHMI LUKMANUL HAKIM</v>
      </c>
      <c r="F3451" s="20" t="str">
        <f>IFERROR(VLOOKUP(I3451,KET!$B:$F,5,0),"")</f>
        <v>GMM</v>
      </c>
      <c r="G3451" s="20">
        <f>IFERROR(INDEX('Kode Outlet dan Target Toko'!$C:$C,MATCH($I3451,'Kode Outlet dan Target Toko'!$E:$E,0)),0)</f>
        <v>211019</v>
      </c>
      <c r="H3451" s="20">
        <f>IFERROR(INDEX('Kode Outlet dan Target Toko'!$D:$D,MATCH($I3451,'Kode Outlet dan Target Toko'!$E:$E,0)),0)</f>
        <v>1556924</v>
      </c>
      <c r="I3451" s="42" t="s">
        <v>102</v>
      </c>
      <c r="J3451" s="56" t="s">
        <v>194</v>
      </c>
      <c r="K3451" s="40" t="s">
        <v>15</v>
      </c>
      <c r="L3451" s="26">
        <v>3000</v>
      </c>
      <c r="M3451" s="26">
        <v>70</v>
      </c>
      <c r="N3451" s="25">
        <f t="shared" si="107"/>
        <v>210000</v>
      </c>
      <c r="O3451" s="56"/>
    </row>
    <row r="3452" spans="1:15" hidden="1" x14ac:dyDescent="0.3">
      <c r="A3452" s="26">
        <v>33</v>
      </c>
      <c r="B3452" s="20" t="str">
        <f t="shared" si="106"/>
        <v>AUG</v>
      </c>
      <c r="C3452" s="21">
        <v>46249</v>
      </c>
      <c r="D3452" s="22" t="str">
        <f>IFERROR(INDEX('Kode Outlet dan Target Toko'!$A:$A,MATCH($I3452,'Kode Outlet dan Target Toko'!$E:$E,0)),"")</f>
        <v>GRSM 3A</v>
      </c>
      <c r="E3452" s="20" t="str">
        <f>IFERROR(VLOOKUP(I3452,KET!$B:$F,4,0),"")</f>
        <v>FAHMI LUKMANUL HAKIM</v>
      </c>
      <c r="F3452" s="20" t="str">
        <f>IFERROR(VLOOKUP(I3452,KET!$B:$F,5,0),"")</f>
        <v>GMM</v>
      </c>
      <c r="G3452" s="20">
        <f>IFERROR(INDEX('Kode Outlet dan Target Toko'!$C:$C,MATCH($I3452,'Kode Outlet dan Target Toko'!$E:$E,0)),0)</f>
        <v>211019</v>
      </c>
      <c r="H3452" s="20">
        <f>IFERROR(INDEX('Kode Outlet dan Target Toko'!$D:$D,MATCH($I3452,'Kode Outlet dan Target Toko'!$E:$E,0)),0)</f>
        <v>1556924</v>
      </c>
      <c r="I3452" s="42" t="s">
        <v>102</v>
      </c>
      <c r="J3452" s="56" t="s">
        <v>194</v>
      </c>
      <c r="K3452" s="40" t="s">
        <v>14</v>
      </c>
      <c r="L3452" s="26">
        <v>3000</v>
      </c>
      <c r="M3452" s="26">
        <v>256</v>
      </c>
      <c r="N3452" s="25">
        <f t="shared" si="107"/>
        <v>768000</v>
      </c>
      <c r="O3452" s="56"/>
    </row>
    <row r="3453" spans="1:15" hidden="1" x14ac:dyDescent="0.3">
      <c r="A3453" s="26">
        <v>33</v>
      </c>
      <c r="B3453" s="20" t="str">
        <f t="shared" si="106"/>
        <v>AUG</v>
      </c>
      <c r="C3453" s="21">
        <v>46249</v>
      </c>
      <c r="D3453" s="22" t="str">
        <f>IFERROR(INDEX('Kode Outlet dan Target Toko'!$A:$A,MATCH($I3453,'Kode Outlet dan Target Toko'!$E:$E,0)),"")</f>
        <v>GRSM 3A</v>
      </c>
      <c r="E3453" s="20" t="str">
        <f>IFERROR(VLOOKUP(I3453,KET!$B:$F,4,0),"")</f>
        <v>FAHMI LUKMANUL HAKIM</v>
      </c>
      <c r="F3453" s="20" t="str">
        <f>IFERROR(VLOOKUP(I3453,KET!$B:$F,5,0),"")</f>
        <v>GMM</v>
      </c>
      <c r="G3453" s="20">
        <f>IFERROR(INDEX('Kode Outlet dan Target Toko'!$C:$C,MATCH($I3453,'Kode Outlet dan Target Toko'!$E:$E,0)),0)</f>
        <v>211019</v>
      </c>
      <c r="H3453" s="20">
        <f>IFERROR(INDEX('Kode Outlet dan Target Toko'!$D:$D,MATCH($I3453,'Kode Outlet dan Target Toko'!$E:$E,0)),0)</f>
        <v>1556924</v>
      </c>
      <c r="I3453" s="42" t="s">
        <v>102</v>
      </c>
      <c r="J3453" s="56" t="s">
        <v>194</v>
      </c>
      <c r="K3453" s="40" t="s">
        <v>13</v>
      </c>
      <c r="L3453" s="26">
        <v>3000</v>
      </c>
      <c r="M3453" s="26">
        <v>96</v>
      </c>
      <c r="N3453" s="25">
        <f t="shared" si="107"/>
        <v>288000</v>
      </c>
      <c r="O3453" s="56"/>
    </row>
    <row r="3454" spans="1:15" hidden="1" x14ac:dyDescent="0.3">
      <c r="A3454" s="26">
        <v>33</v>
      </c>
      <c r="B3454" s="20" t="str">
        <f t="shared" si="106"/>
        <v>AUG</v>
      </c>
      <c r="C3454" s="21">
        <v>46249</v>
      </c>
      <c r="D3454" s="22" t="str">
        <f>IFERROR(INDEX('Kode Outlet dan Target Toko'!$A:$A,MATCH($I3454,'Kode Outlet dan Target Toko'!$E:$E,0)),"")</f>
        <v>GRSM 3A</v>
      </c>
      <c r="E3454" s="20" t="str">
        <f>IFERROR(VLOOKUP(I3454,KET!$B:$F,4,0),"")</f>
        <v>FAHMI LUKMANUL HAKIM</v>
      </c>
      <c r="F3454" s="20" t="str">
        <f>IFERROR(VLOOKUP(I3454,KET!$B:$F,5,0),"")</f>
        <v>GMM</v>
      </c>
      <c r="G3454" s="20">
        <f>IFERROR(INDEX('Kode Outlet dan Target Toko'!$C:$C,MATCH($I3454,'Kode Outlet dan Target Toko'!$E:$E,0)),0)</f>
        <v>211019</v>
      </c>
      <c r="H3454" s="20">
        <f>IFERROR(INDEX('Kode Outlet dan Target Toko'!$D:$D,MATCH($I3454,'Kode Outlet dan Target Toko'!$E:$E,0)),0)</f>
        <v>1556924</v>
      </c>
      <c r="I3454" s="42" t="s">
        <v>102</v>
      </c>
      <c r="J3454" s="56" t="s">
        <v>194</v>
      </c>
      <c r="K3454" s="40" t="s">
        <v>16</v>
      </c>
      <c r="L3454" s="26">
        <v>3000</v>
      </c>
      <c r="M3454" s="26">
        <v>116</v>
      </c>
      <c r="N3454" s="25">
        <f t="shared" si="107"/>
        <v>348000</v>
      </c>
      <c r="O3454" s="56">
        <v>115</v>
      </c>
    </row>
    <row r="3455" spans="1:15" hidden="1" x14ac:dyDescent="0.3">
      <c r="A3455" s="26">
        <v>33</v>
      </c>
      <c r="B3455" s="20" t="str">
        <f t="shared" si="106"/>
        <v>AUG</v>
      </c>
      <c r="C3455" s="21">
        <v>46249</v>
      </c>
      <c r="D3455" s="22" t="str">
        <f>IFERROR(INDEX('Kode Outlet dan Target Toko'!$A:$A,MATCH($I3455,'Kode Outlet dan Target Toko'!$E:$E,0)),"")</f>
        <v>GRSM 3A</v>
      </c>
      <c r="E3455" s="20" t="str">
        <f>IFERROR(VLOOKUP(I3455,KET!$B:$F,4,0),"")</f>
        <v>FAHMI LUKMANUL HAKIM</v>
      </c>
      <c r="F3455" s="20" t="str">
        <f>IFERROR(VLOOKUP(I3455,KET!$B:$F,5,0),"")</f>
        <v>GMM</v>
      </c>
      <c r="G3455" s="20">
        <f>IFERROR(INDEX('Kode Outlet dan Target Toko'!$C:$C,MATCH($I3455,'Kode Outlet dan Target Toko'!$E:$E,0)),0)</f>
        <v>211019</v>
      </c>
      <c r="H3455" s="20">
        <f>IFERROR(INDEX('Kode Outlet dan Target Toko'!$D:$D,MATCH($I3455,'Kode Outlet dan Target Toko'!$E:$E,0)),0)</f>
        <v>1556924</v>
      </c>
      <c r="I3455" s="42" t="s">
        <v>102</v>
      </c>
      <c r="J3455" s="56" t="s">
        <v>195</v>
      </c>
      <c r="K3455" s="40" t="s">
        <v>15</v>
      </c>
      <c r="L3455" s="26">
        <v>3000</v>
      </c>
      <c r="M3455" s="26">
        <v>70</v>
      </c>
      <c r="N3455" s="25">
        <f t="shared" si="107"/>
        <v>210000</v>
      </c>
      <c r="O3455" s="56"/>
    </row>
    <row r="3456" spans="1:15" hidden="1" x14ac:dyDescent="0.3">
      <c r="A3456" s="26">
        <v>33</v>
      </c>
      <c r="B3456" s="20" t="str">
        <f t="shared" si="106"/>
        <v>AUG</v>
      </c>
      <c r="C3456" s="21">
        <v>46249</v>
      </c>
      <c r="D3456" s="22" t="str">
        <f>IFERROR(INDEX('Kode Outlet dan Target Toko'!$A:$A,MATCH($I3456,'Kode Outlet dan Target Toko'!$E:$E,0)),"")</f>
        <v>GRSM 3A</v>
      </c>
      <c r="E3456" s="20" t="str">
        <f>IFERROR(VLOOKUP(I3456,KET!$B:$F,4,0),"")</f>
        <v>FAHMI LUKMANUL HAKIM</v>
      </c>
      <c r="F3456" s="20" t="str">
        <f>IFERROR(VLOOKUP(I3456,KET!$B:$F,5,0),"")</f>
        <v>GMM</v>
      </c>
      <c r="G3456" s="20">
        <f>IFERROR(INDEX('Kode Outlet dan Target Toko'!$C:$C,MATCH($I3456,'Kode Outlet dan Target Toko'!$E:$E,0)),0)</f>
        <v>211019</v>
      </c>
      <c r="H3456" s="20">
        <f>IFERROR(INDEX('Kode Outlet dan Target Toko'!$D:$D,MATCH($I3456,'Kode Outlet dan Target Toko'!$E:$E,0)),0)</f>
        <v>1556924</v>
      </c>
      <c r="I3456" s="42" t="s">
        <v>102</v>
      </c>
      <c r="J3456" s="56" t="s">
        <v>195</v>
      </c>
      <c r="K3456" s="40" t="s">
        <v>14</v>
      </c>
      <c r="L3456" s="26">
        <v>3000</v>
      </c>
      <c r="M3456" s="26">
        <v>256</v>
      </c>
      <c r="N3456" s="25">
        <f t="shared" si="107"/>
        <v>768000</v>
      </c>
      <c r="O3456" s="56"/>
    </row>
    <row r="3457" spans="1:15" hidden="1" x14ac:dyDescent="0.3">
      <c r="A3457" s="26">
        <v>33</v>
      </c>
      <c r="B3457" s="20" t="str">
        <f t="shared" si="106"/>
        <v>AUG</v>
      </c>
      <c r="C3457" s="21">
        <v>46249</v>
      </c>
      <c r="D3457" s="22" t="str">
        <f>IFERROR(INDEX('Kode Outlet dan Target Toko'!$A:$A,MATCH($I3457,'Kode Outlet dan Target Toko'!$E:$E,0)),"")</f>
        <v>GRSM 3A</v>
      </c>
      <c r="E3457" s="20" t="str">
        <f>IFERROR(VLOOKUP(I3457,KET!$B:$F,4,0),"")</f>
        <v>FAHMI LUKMANUL HAKIM</v>
      </c>
      <c r="F3457" s="20" t="str">
        <f>IFERROR(VLOOKUP(I3457,KET!$B:$F,5,0),"")</f>
        <v>GMM</v>
      </c>
      <c r="G3457" s="20">
        <f>IFERROR(INDEX('Kode Outlet dan Target Toko'!$C:$C,MATCH($I3457,'Kode Outlet dan Target Toko'!$E:$E,0)),0)</f>
        <v>211019</v>
      </c>
      <c r="H3457" s="20">
        <f>IFERROR(INDEX('Kode Outlet dan Target Toko'!$D:$D,MATCH($I3457,'Kode Outlet dan Target Toko'!$E:$E,0)),0)</f>
        <v>1556924</v>
      </c>
      <c r="I3457" s="42" t="s">
        <v>102</v>
      </c>
      <c r="J3457" s="56" t="s">
        <v>195</v>
      </c>
      <c r="K3457" s="40" t="s">
        <v>13</v>
      </c>
      <c r="L3457" s="26">
        <v>3000</v>
      </c>
      <c r="M3457" s="26">
        <v>96</v>
      </c>
      <c r="N3457" s="25">
        <f t="shared" si="107"/>
        <v>288000</v>
      </c>
      <c r="O3457" s="56"/>
    </row>
    <row r="3458" spans="1:15" hidden="1" x14ac:dyDescent="0.3">
      <c r="A3458" s="26">
        <v>33</v>
      </c>
      <c r="B3458" s="20" t="str">
        <f t="shared" si="106"/>
        <v>AUG</v>
      </c>
      <c r="C3458" s="21">
        <v>46249</v>
      </c>
      <c r="D3458" s="22" t="str">
        <f>IFERROR(INDEX('Kode Outlet dan Target Toko'!$A:$A,MATCH($I3458,'Kode Outlet dan Target Toko'!$E:$E,0)),"")</f>
        <v>GRSM 3A</v>
      </c>
      <c r="E3458" s="20" t="str">
        <f>IFERROR(VLOOKUP(I3458,KET!$B:$F,4,0),"")</f>
        <v>FAHMI LUKMANUL HAKIM</v>
      </c>
      <c r="F3458" s="20" t="str">
        <f>IFERROR(VLOOKUP(I3458,KET!$B:$F,5,0),"")</f>
        <v>GMM</v>
      </c>
      <c r="G3458" s="20">
        <f>IFERROR(INDEX('Kode Outlet dan Target Toko'!$C:$C,MATCH($I3458,'Kode Outlet dan Target Toko'!$E:$E,0)),0)</f>
        <v>211019</v>
      </c>
      <c r="H3458" s="20">
        <f>IFERROR(INDEX('Kode Outlet dan Target Toko'!$D:$D,MATCH($I3458,'Kode Outlet dan Target Toko'!$E:$E,0)),0)</f>
        <v>1556924</v>
      </c>
      <c r="I3458" s="42" t="s">
        <v>102</v>
      </c>
      <c r="J3458" s="56" t="s">
        <v>195</v>
      </c>
      <c r="K3458" s="40" t="s">
        <v>16</v>
      </c>
      <c r="L3458" s="26">
        <v>3000</v>
      </c>
      <c r="M3458" s="26">
        <v>116</v>
      </c>
      <c r="N3458" s="25">
        <f t="shared" si="107"/>
        <v>348000</v>
      </c>
      <c r="O3458" s="56">
        <v>115</v>
      </c>
    </row>
    <row r="3459" spans="1:15" hidden="1" x14ac:dyDescent="0.3">
      <c r="A3459" s="26">
        <v>33</v>
      </c>
      <c r="B3459" s="20" t="str">
        <f t="shared" si="106"/>
        <v>AUG</v>
      </c>
      <c r="C3459" s="21">
        <v>46249</v>
      </c>
      <c r="D3459" s="22" t="str">
        <f>IFERROR(INDEX('Kode Outlet dan Target Toko'!$A:$A,MATCH($I3459,'Kode Outlet dan Target Toko'!$E:$E,0)),"")</f>
        <v>GRSM 4</v>
      </c>
      <c r="E3459" s="20" t="str">
        <f>IFERROR(VLOOKUP(I3459,KET!$B:$F,4,0),"")</f>
        <v>FAHMI LUKMANUL HAKIM</v>
      </c>
      <c r="F3459" s="20" t="str">
        <f>IFERROR(VLOOKUP(I3459,KET!$B:$F,5,0),"")</f>
        <v>NKA</v>
      </c>
      <c r="G3459" s="20">
        <f>IFERROR(INDEX('Kode Outlet dan Target Toko'!$C:$C,MATCH($I3459,'Kode Outlet dan Target Toko'!$E:$E,0)),0)</f>
        <v>121409</v>
      </c>
      <c r="H3459" s="20">
        <f>IFERROR(INDEX('Kode Outlet dan Target Toko'!$D:$D,MATCH($I3459,'Kode Outlet dan Target Toko'!$E:$E,0)),0)</f>
        <v>5025004</v>
      </c>
      <c r="I3459" s="42" t="s">
        <v>112</v>
      </c>
      <c r="J3459" s="56" t="s">
        <v>185</v>
      </c>
      <c r="K3459" s="40" t="s">
        <v>15</v>
      </c>
      <c r="L3459" s="26">
        <v>3275</v>
      </c>
      <c r="M3459" s="26">
        <v>39</v>
      </c>
      <c r="N3459" s="25">
        <f t="shared" si="107"/>
        <v>127725</v>
      </c>
      <c r="O3459" s="56"/>
    </row>
    <row r="3460" spans="1:15" hidden="1" x14ac:dyDescent="0.3">
      <c r="A3460" s="26">
        <v>33</v>
      </c>
      <c r="B3460" s="20" t="str">
        <f t="shared" si="106"/>
        <v>AUG</v>
      </c>
      <c r="C3460" s="21">
        <v>46249</v>
      </c>
      <c r="D3460" s="22" t="str">
        <f>IFERROR(INDEX('Kode Outlet dan Target Toko'!$A:$A,MATCH($I3460,'Kode Outlet dan Target Toko'!$E:$E,0)),"")</f>
        <v>GRSM 4</v>
      </c>
      <c r="E3460" s="20" t="str">
        <f>IFERROR(VLOOKUP(I3460,KET!$B:$F,4,0),"")</f>
        <v>FAHMI LUKMANUL HAKIM</v>
      </c>
      <c r="F3460" s="20" t="str">
        <f>IFERROR(VLOOKUP(I3460,KET!$B:$F,5,0),"")</f>
        <v>NKA</v>
      </c>
      <c r="G3460" s="20">
        <f>IFERROR(INDEX('Kode Outlet dan Target Toko'!$C:$C,MATCH($I3460,'Kode Outlet dan Target Toko'!$E:$E,0)),0)</f>
        <v>121409</v>
      </c>
      <c r="H3460" s="20">
        <f>IFERROR(INDEX('Kode Outlet dan Target Toko'!$D:$D,MATCH($I3460,'Kode Outlet dan Target Toko'!$E:$E,0)),0)</f>
        <v>5025004</v>
      </c>
      <c r="I3460" s="42" t="s">
        <v>112</v>
      </c>
      <c r="J3460" s="56" t="s">
        <v>185</v>
      </c>
      <c r="K3460" s="40" t="s">
        <v>14</v>
      </c>
      <c r="L3460" s="26">
        <v>3275</v>
      </c>
      <c r="M3460" s="26">
        <v>40</v>
      </c>
      <c r="N3460" s="25">
        <f t="shared" si="107"/>
        <v>131000</v>
      </c>
      <c r="O3460" s="56"/>
    </row>
    <row r="3461" spans="1:15" hidden="1" x14ac:dyDescent="0.3">
      <c r="A3461" s="26">
        <v>33</v>
      </c>
      <c r="B3461" s="20" t="str">
        <f t="shared" si="106"/>
        <v>AUG</v>
      </c>
      <c r="C3461" s="21">
        <v>46249</v>
      </c>
      <c r="D3461" s="22" t="str">
        <f>IFERROR(INDEX('Kode Outlet dan Target Toko'!$A:$A,MATCH($I3461,'Kode Outlet dan Target Toko'!$E:$E,0)),"")</f>
        <v>GRSM 4</v>
      </c>
      <c r="E3461" s="20" t="str">
        <f>IFERROR(VLOOKUP(I3461,KET!$B:$F,4,0),"")</f>
        <v>FAHMI LUKMANUL HAKIM</v>
      </c>
      <c r="F3461" s="20" t="str">
        <f>IFERROR(VLOOKUP(I3461,KET!$B:$F,5,0),"")</f>
        <v>NKA</v>
      </c>
      <c r="G3461" s="20">
        <f>IFERROR(INDEX('Kode Outlet dan Target Toko'!$C:$C,MATCH($I3461,'Kode Outlet dan Target Toko'!$E:$E,0)),0)</f>
        <v>121409</v>
      </c>
      <c r="H3461" s="20">
        <f>IFERROR(INDEX('Kode Outlet dan Target Toko'!$D:$D,MATCH($I3461,'Kode Outlet dan Target Toko'!$E:$E,0)),0)</f>
        <v>5025004</v>
      </c>
      <c r="I3461" s="42" t="s">
        <v>112</v>
      </c>
      <c r="J3461" s="56" t="s">
        <v>185</v>
      </c>
      <c r="K3461" s="40" t="s">
        <v>13</v>
      </c>
      <c r="L3461" s="26">
        <v>3275</v>
      </c>
      <c r="M3461" s="26">
        <v>51</v>
      </c>
      <c r="N3461" s="25">
        <f t="shared" si="107"/>
        <v>167025</v>
      </c>
      <c r="O3461" s="56"/>
    </row>
    <row r="3462" spans="1:15" hidden="1" x14ac:dyDescent="0.3">
      <c r="A3462" s="26">
        <v>33</v>
      </c>
      <c r="B3462" s="20" t="str">
        <f t="shared" si="106"/>
        <v>AUG</v>
      </c>
      <c r="C3462" s="21">
        <v>46249</v>
      </c>
      <c r="D3462" s="22" t="str">
        <f>IFERROR(INDEX('Kode Outlet dan Target Toko'!$A:$A,MATCH($I3462,'Kode Outlet dan Target Toko'!$E:$E,0)),"")</f>
        <v>GRSM 4</v>
      </c>
      <c r="E3462" s="20" t="str">
        <f>IFERROR(VLOOKUP(I3462,KET!$B:$F,4,0),"")</f>
        <v>FAHMI LUKMANUL HAKIM</v>
      </c>
      <c r="F3462" s="20" t="str">
        <f>IFERROR(VLOOKUP(I3462,KET!$B:$F,5,0),"")</f>
        <v>NKA</v>
      </c>
      <c r="G3462" s="20">
        <f>IFERROR(INDEX('Kode Outlet dan Target Toko'!$C:$C,MATCH($I3462,'Kode Outlet dan Target Toko'!$E:$E,0)),0)</f>
        <v>121409</v>
      </c>
      <c r="H3462" s="20">
        <f>IFERROR(INDEX('Kode Outlet dan Target Toko'!$D:$D,MATCH($I3462,'Kode Outlet dan Target Toko'!$E:$E,0)),0)</f>
        <v>5025004</v>
      </c>
      <c r="I3462" s="42" t="s">
        <v>112</v>
      </c>
      <c r="J3462" s="56" t="s">
        <v>185</v>
      </c>
      <c r="K3462" s="40" t="s">
        <v>16</v>
      </c>
      <c r="L3462" s="26">
        <v>3275</v>
      </c>
      <c r="M3462" s="26">
        <v>110</v>
      </c>
      <c r="N3462" s="25">
        <f t="shared" si="107"/>
        <v>360250</v>
      </c>
      <c r="O3462" s="56">
        <v>160</v>
      </c>
    </row>
    <row r="3463" spans="1:15" hidden="1" x14ac:dyDescent="0.3">
      <c r="A3463" s="26">
        <v>33</v>
      </c>
      <c r="B3463" s="20" t="str">
        <f t="shared" ref="B3463:B3526" si="108">IF(C3463="","",UPPER(TEXT(C3463, "MMM")))</f>
        <v>AUG</v>
      </c>
      <c r="C3463" s="21">
        <v>46249</v>
      </c>
      <c r="D3463" s="22" t="str">
        <f>IFERROR(INDEX('Kode Outlet dan Target Toko'!$A:$A,MATCH($I3463,'Kode Outlet dan Target Toko'!$E:$E,0)),"")</f>
        <v>GRSM 4</v>
      </c>
      <c r="E3463" s="20" t="str">
        <f>IFERROR(VLOOKUP(I3463,KET!$B:$F,4,0),"")</f>
        <v>FAHMI LUKMANUL HAKIM</v>
      </c>
      <c r="F3463" s="20" t="str">
        <f>IFERROR(VLOOKUP(I3463,KET!$B:$F,5,0),"")</f>
        <v>NKA</v>
      </c>
      <c r="G3463" s="20">
        <f>IFERROR(INDEX('Kode Outlet dan Target Toko'!$C:$C,MATCH($I3463,'Kode Outlet dan Target Toko'!$E:$E,0)),0)</f>
        <v>121409</v>
      </c>
      <c r="H3463" s="20">
        <f>IFERROR(INDEX('Kode Outlet dan Target Toko'!$D:$D,MATCH($I3463,'Kode Outlet dan Target Toko'!$E:$E,0)),0)</f>
        <v>5025004</v>
      </c>
      <c r="I3463" s="42" t="s">
        <v>112</v>
      </c>
      <c r="J3463" s="56" t="s">
        <v>184</v>
      </c>
      <c r="K3463" s="40" t="s">
        <v>15</v>
      </c>
      <c r="L3463" s="26">
        <v>3275</v>
      </c>
      <c r="M3463" s="26">
        <v>39</v>
      </c>
      <c r="N3463" s="25">
        <f t="shared" ref="N3463:N3526" si="109">IFERROR(M3463*L3463,"")</f>
        <v>127725</v>
      </c>
      <c r="O3463" s="56"/>
    </row>
    <row r="3464" spans="1:15" hidden="1" x14ac:dyDescent="0.3">
      <c r="A3464" s="26">
        <v>33</v>
      </c>
      <c r="B3464" s="20" t="str">
        <f t="shared" si="108"/>
        <v>AUG</v>
      </c>
      <c r="C3464" s="21">
        <v>46249</v>
      </c>
      <c r="D3464" s="22" t="str">
        <f>IFERROR(INDEX('Kode Outlet dan Target Toko'!$A:$A,MATCH($I3464,'Kode Outlet dan Target Toko'!$E:$E,0)),"")</f>
        <v>GRSM 4</v>
      </c>
      <c r="E3464" s="20" t="str">
        <f>IFERROR(VLOOKUP(I3464,KET!$B:$F,4,0),"")</f>
        <v>FAHMI LUKMANUL HAKIM</v>
      </c>
      <c r="F3464" s="20" t="str">
        <f>IFERROR(VLOOKUP(I3464,KET!$B:$F,5,0),"")</f>
        <v>NKA</v>
      </c>
      <c r="G3464" s="20">
        <f>IFERROR(INDEX('Kode Outlet dan Target Toko'!$C:$C,MATCH($I3464,'Kode Outlet dan Target Toko'!$E:$E,0)),0)</f>
        <v>121409</v>
      </c>
      <c r="H3464" s="20">
        <f>IFERROR(INDEX('Kode Outlet dan Target Toko'!$D:$D,MATCH($I3464,'Kode Outlet dan Target Toko'!$E:$E,0)),0)</f>
        <v>5025004</v>
      </c>
      <c r="I3464" s="42" t="s">
        <v>112</v>
      </c>
      <c r="J3464" s="56" t="s">
        <v>184</v>
      </c>
      <c r="K3464" s="40" t="s">
        <v>14</v>
      </c>
      <c r="L3464" s="26">
        <v>3275</v>
      </c>
      <c r="M3464" s="26">
        <v>40</v>
      </c>
      <c r="N3464" s="25">
        <f t="shared" si="109"/>
        <v>131000</v>
      </c>
      <c r="O3464" s="56"/>
    </row>
    <row r="3465" spans="1:15" hidden="1" x14ac:dyDescent="0.3">
      <c r="A3465" s="26">
        <v>33</v>
      </c>
      <c r="B3465" s="20" t="str">
        <f t="shared" si="108"/>
        <v>AUG</v>
      </c>
      <c r="C3465" s="21">
        <v>46249</v>
      </c>
      <c r="D3465" s="22" t="str">
        <f>IFERROR(INDEX('Kode Outlet dan Target Toko'!$A:$A,MATCH($I3465,'Kode Outlet dan Target Toko'!$E:$E,0)),"")</f>
        <v>GRSM 4</v>
      </c>
      <c r="E3465" s="20" t="str">
        <f>IFERROR(VLOOKUP(I3465,KET!$B:$F,4,0),"")</f>
        <v>FAHMI LUKMANUL HAKIM</v>
      </c>
      <c r="F3465" s="20" t="str">
        <f>IFERROR(VLOOKUP(I3465,KET!$B:$F,5,0),"")</f>
        <v>NKA</v>
      </c>
      <c r="G3465" s="20">
        <f>IFERROR(INDEX('Kode Outlet dan Target Toko'!$C:$C,MATCH($I3465,'Kode Outlet dan Target Toko'!$E:$E,0)),0)</f>
        <v>121409</v>
      </c>
      <c r="H3465" s="20">
        <f>IFERROR(INDEX('Kode Outlet dan Target Toko'!$D:$D,MATCH($I3465,'Kode Outlet dan Target Toko'!$E:$E,0)),0)</f>
        <v>5025004</v>
      </c>
      <c r="I3465" s="42" t="s">
        <v>112</v>
      </c>
      <c r="J3465" s="56" t="s">
        <v>184</v>
      </c>
      <c r="K3465" s="40" t="s">
        <v>13</v>
      </c>
      <c r="L3465" s="26">
        <v>3275</v>
      </c>
      <c r="M3465" s="26">
        <v>51</v>
      </c>
      <c r="N3465" s="25">
        <f t="shared" si="109"/>
        <v>167025</v>
      </c>
      <c r="O3465" s="56"/>
    </row>
    <row r="3466" spans="1:15" hidden="1" x14ac:dyDescent="0.3">
      <c r="A3466" s="26">
        <v>33</v>
      </c>
      <c r="B3466" s="20" t="str">
        <f t="shared" si="108"/>
        <v>AUG</v>
      </c>
      <c r="C3466" s="21">
        <v>46249</v>
      </c>
      <c r="D3466" s="22" t="str">
        <f>IFERROR(INDEX('Kode Outlet dan Target Toko'!$A:$A,MATCH($I3466,'Kode Outlet dan Target Toko'!$E:$E,0)),"")</f>
        <v>GRSM 4</v>
      </c>
      <c r="E3466" s="20" t="str">
        <f>IFERROR(VLOOKUP(I3466,KET!$B:$F,4,0),"")</f>
        <v>FAHMI LUKMANUL HAKIM</v>
      </c>
      <c r="F3466" s="20" t="str">
        <f>IFERROR(VLOOKUP(I3466,KET!$B:$F,5,0),"")</f>
        <v>NKA</v>
      </c>
      <c r="G3466" s="20">
        <f>IFERROR(INDEX('Kode Outlet dan Target Toko'!$C:$C,MATCH($I3466,'Kode Outlet dan Target Toko'!$E:$E,0)),0)</f>
        <v>121409</v>
      </c>
      <c r="H3466" s="20">
        <f>IFERROR(INDEX('Kode Outlet dan Target Toko'!$D:$D,MATCH($I3466,'Kode Outlet dan Target Toko'!$E:$E,0)),0)</f>
        <v>5025004</v>
      </c>
      <c r="I3466" s="42" t="s">
        <v>112</v>
      </c>
      <c r="J3466" s="56" t="s">
        <v>184</v>
      </c>
      <c r="K3466" s="40" t="s">
        <v>16</v>
      </c>
      <c r="L3466" s="26">
        <v>3275</v>
      </c>
      <c r="M3466" s="26">
        <v>110</v>
      </c>
      <c r="N3466" s="25">
        <f t="shared" si="109"/>
        <v>360250</v>
      </c>
      <c r="O3466" s="56">
        <v>160</v>
      </c>
    </row>
    <row r="3467" spans="1:15" hidden="1" x14ac:dyDescent="0.3">
      <c r="A3467" s="26">
        <v>33</v>
      </c>
      <c r="B3467" s="20" t="str">
        <f t="shared" si="108"/>
        <v>AUG</v>
      </c>
      <c r="C3467" s="21">
        <v>46249</v>
      </c>
      <c r="D3467" s="22" t="str">
        <f>IFERROR(INDEX('Kode Outlet dan Target Toko'!$A:$A,MATCH($I3467,'Kode Outlet dan Target Toko'!$E:$E,0)),"")</f>
        <v>GRSM 4</v>
      </c>
      <c r="E3467" s="20" t="str">
        <f>IFERROR(VLOOKUP(I3467,KET!$B:$F,4,0),"")</f>
        <v>FAHMI LUKMANUL HAKIM</v>
      </c>
      <c r="F3467" s="20" t="str">
        <f>IFERROR(VLOOKUP(I3467,KET!$B:$F,5,0),"")</f>
        <v>NKA</v>
      </c>
      <c r="G3467" s="20">
        <f>IFERROR(INDEX('Kode Outlet dan Target Toko'!$C:$C,MATCH($I3467,'Kode Outlet dan Target Toko'!$E:$E,0)),0)</f>
        <v>195403</v>
      </c>
      <c r="H3467" s="20">
        <f>IFERROR(INDEX('Kode Outlet dan Target Toko'!$D:$D,MATCH($I3467,'Kode Outlet dan Target Toko'!$E:$E,0)),0)</f>
        <v>1600007</v>
      </c>
      <c r="I3467" s="42" t="s">
        <v>87</v>
      </c>
      <c r="J3467" s="56" t="s">
        <v>174</v>
      </c>
      <c r="K3467" s="40" t="s">
        <v>15</v>
      </c>
      <c r="L3467" s="26">
        <v>2150</v>
      </c>
      <c r="M3467" s="26">
        <v>88</v>
      </c>
      <c r="N3467" s="25">
        <f t="shared" si="109"/>
        <v>189200</v>
      </c>
      <c r="O3467" s="56"/>
    </row>
    <row r="3468" spans="1:15" hidden="1" x14ac:dyDescent="0.3">
      <c r="A3468" s="26">
        <v>33</v>
      </c>
      <c r="B3468" s="20" t="str">
        <f t="shared" si="108"/>
        <v>AUG</v>
      </c>
      <c r="C3468" s="21">
        <v>46249</v>
      </c>
      <c r="D3468" s="22" t="str">
        <f>IFERROR(INDEX('Kode Outlet dan Target Toko'!$A:$A,MATCH($I3468,'Kode Outlet dan Target Toko'!$E:$E,0)),"")</f>
        <v>GRSM 4</v>
      </c>
      <c r="E3468" s="20" t="str">
        <f>IFERROR(VLOOKUP(I3468,KET!$B:$F,4,0),"")</f>
        <v>FAHMI LUKMANUL HAKIM</v>
      </c>
      <c r="F3468" s="20" t="str">
        <f>IFERROR(VLOOKUP(I3468,KET!$B:$F,5,0),"")</f>
        <v>NKA</v>
      </c>
      <c r="G3468" s="20">
        <f>IFERROR(INDEX('Kode Outlet dan Target Toko'!$C:$C,MATCH($I3468,'Kode Outlet dan Target Toko'!$E:$E,0)),0)</f>
        <v>195403</v>
      </c>
      <c r="H3468" s="20">
        <f>IFERROR(INDEX('Kode Outlet dan Target Toko'!$D:$D,MATCH($I3468,'Kode Outlet dan Target Toko'!$E:$E,0)),0)</f>
        <v>1600007</v>
      </c>
      <c r="I3468" s="42" t="s">
        <v>87</v>
      </c>
      <c r="J3468" s="56" t="s">
        <v>174</v>
      </c>
      <c r="K3468" s="40" t="s">
        <v>14</v>
      </c>
      <c r="L3468" s="26">
        <v>2150</v>
      </c>
      <c r="M3468" s="26">
        <v>97</v>
      </c>
      <c r="N3468" s="25">
        <f t="shared" si="109"/>
        <v>208550</v>
      </c>
      <c r="O3468" s="56"/>
    </row>
    <row r="3469" spans="1:15" hidden="1" x14ac:dyDescent="0.3">
      <c r="A3469" s="26">
        <v>33</v>
      </c>
      <c r="B3469" s="20" t="str">
        <f t="shared" si="108"/>
        <v>AUG</v>
      </c>
      <c r="C3469" s="21">
        <v>46249</v>
      </c>
      <c r="D3469" s="22" t="str">
        <f>IFERROR(INDEX('Kode Outlet dan Target Toko'!$A:$A,MATCH($I3469,'Kode Outlet dan Target Toko'!$E:$E,0)),"")</f>
        <v>GRSM 4</v>
      </c>
      <c r="E3469" s="20" t="str">
        <f>IFERROR(VLOOKUP(I3469,KET!$B:$F,4,0),"")</f>
        <v>FAHMI LUKMANUL HAKIM</v>
      </c>
      <c r="F3469" s="20" t="str">
        <f>IFERROR(VLOOKUP(I3469,KET!$B:$F,5,0),"")</f>
        <v>NKA</v>
      </c>
      <c r="G3469" s="20">
        <f>IFERROR(INDEX('Kode Outlet dan Target Toko'!$C:$C,MATCH($I3469,'Kode Outlet dan Target Toko'!$E:$E,0)),0)</f>
        <v>195403</v>
      </c>
      <c r="H3469" s="20">
        <f>IFERROR(INDEX('Kode Outlet dan Target Toko'!$D:$D,MATCH($I3469,'Kode Outlet dan Target Toko'!$E:$E,0)),0)</f>
        <v>1600007</v>
      </c>
      <c r="I3469" s="42" t="s">
        <v>87</v>
      </c>
      <c r="J3469" s="56" t="s">
        <v>174</v>
      </c>
      <c r="K3469" s="40" t="s">
        <v>13</v>
      </c>
      <c r="L3469" s="26">
        <v>2150</v>
      </c>
      <c r="M3469" s="26">
        <v>65</v>
      </c>
      <c r="N3469" s="25">
        <f t="shared" si="109"/>
        <v>139750</v>
      </c>
      <c r="O3469" s="56"/>
    </row>
    <row r="3470" spans="1:15" hidden="1" x14ac:dyDescent="0.3">
      <c r="A3470" s="26">
        <v>33</v>
      </c>
      <c r="B3470" s="20" t="str">
        <f t="shared" si="108"/>
        <v>AUG</v>
      </c>
      <c r="C3470" s="21">
        <v>46249</v>
      </c>
      <c r="D3470" s="22" t="str">
        <f>IFERROR(INDEX('Kode Outlet dan Target Toko'!$A:$A,MATCH($I3470,'Kode Outlet dan Target Toko'!$E:$E,0)),"")</f>
        <v>GRSM 4</v>
      </c>
      <c r="E3470" s="20" t="str">
        <f>IFERROR(VLOOKUP(I3470,KET!$B:$F,4,0),"")</f>
        <v>FAHMI LUKMANUL HAKIM</v>
      </c>
      <c r="F3470" s="20" t="str">
        <f>IFERROR(VLOOKUP(I3470,KET!$B:$F,5,0),"")</f>
        <v>NKA</v>
      </c>
      <c r="G3470" s="20">
        <f>IFERROR(INDEX('Kode Outlet dan Target Toko'!$C:$C,MATCH($I3470,'Kode Outlet dan Target Toko'!$E:$E,0)),0)</f>
        <v>195403</v>
      </c>
      <c r="H3470" s="20">
        <f>IFERROR(INDEX('Kode Outlet dan Target Toko'!$D:$D,MATCH($I3470,'Kode Outlet dan Target Toko'!$E:$E,0)),0)</f>
        <v>1600007</v>
      </c>
      <c r="I3470" s="42" t="s">
        <v>87</v>
      </c>
      <c r="J3470" s="56" t="s">
        <v>174</v>
      </c>
      <c r="K3470" s="40" t="s">
        <v>16</v>
      </c>
      <c r="L3470" s="26">
        <v>2150</v>
      </c>
      <c r="M3470" s="26">
        <v>124</v>
      </c>
      <c r="N3470" s="25">
        <f t="shared" si="109"/>
        <v>266600</v>
      </c>
      <c r="O3470" s="56">
        <v>160</v>
      </c>
    </row>
    <row r="3471" spans="1:15" hidden="1" x14ac:dyDescent="0.3">
      <c r="A3471" s="26">
        <v>33</v>
      </c>
      <c r="B3471" s="20" t="str">
        <f t="shared" si="108"/>
        <v>AUG</v>
      </c>
      <c r="C3471" s="21">
        <v>46249</v>
      </c>
      <c r="D3471" s="22" t="str">
        <f>IFERROR(INDEX('Kode Outlet dan Target Toko'!$A:$A,MATCH($I3471,'Kode Outlet dan Target Toko'!$E:$E,0)),"")</f>
        <v>GRSM 4</v>
      </c>
      <c r="E3471" s="20" t="str">
        <f>IFERROR(VLOOKUP(I3471,KET!$B:$F,4,0),"")</f>
        <v>FAHMI LUKMANUL HAKIM</v>
      </c>
      <c r="F3471" s="20" t="str">
        <f>IFERROR(VLOOKUP(I3471,KET!$B:$F,5,0),"")</f>
        <v>GMM</v>
      </c>
      <c r="G3471" s="20">
        <f>IFERROR(INDEX('Kode Outlet dan Target Toko'!$C:$C,MATCH($I3471,'Kode Outlet dan Target Toko'!$E:$E,0)),0)</f>
        <v>103712</v>
      </c>
      <c r="H3471" s="20">
        <f>IFERROR(INDEX('Kode Outlet dan Target Toko'!$D:$D,MATCH($I3471,'Kode Outlet dan Target Toko'!$E:$E,0)),0)</f>
        <v>4404677</v>
      </c>
      <c r="I3471" s="42" t="s">
        <v>99</v>
      </c>
      <c r="J3471" s="56" t="s">
        <v>178</v>
      </c>
      <c r="K3471" s="40" t="s">
        <v>15</v>
      </c>
      <c r="L3471" s="26">
        <v>3000</v>
      </c>
      <c r="M3471" s="26">
        <v>27</v>
      </c>
      <c r="N3471" s="25">
        <f t="shared" si="109"/>
        <v>81000</v>
      </c>
      <c r="O3471" s="56"/>
    </row>
    <row r="3472" spans="1:15" hidden="1" x14ac:dyDescent="0.3">
      <c r="A3472" s="26">
        <v>33</v>
      </c>
      <c r="B3472" s="20" t="str">
        <f t="shared" si="108"/>
        <v>AUG</v>
      </c>
      <c r="C3472" s="21">
        <v>46249</v>
      </c>
      <c r="D3472" s="22" t="str">
        <f>IFERROR(INDEX('Kode Outlet dan Target Toko'!$A:$A,MATCH($I3472,'Kode Outlet dan Target Toko'!$E:$E,0)),"")</f>
        <v>GRSM 4</v>
      </c>
      <c r="E3472" s="20" t="str">
        <f>IFERROR(VLOOKUP(I3472,KET!$B:$F,4,0),"")</f>
        <v>FAHMI LUKMANUL HAKIM</v>
      </c>
      <c r="F3472" s="20" t="str">
        <f>IFERROR(VLOOKUP(I3472,KET!$B:$F,5,0),"")</f>
        <v>GMM</v>
      </c>
      <c r="G3472" s="20">
        <f>IFERROR(INDEX('Kode Outlet dan Target Toko'!$C:$C,MATCH($I3472,'Kode Outlet dan Target Toko'!$E:$E,0)),0)</f>
        <v>103712</v>
      </c>
      <c r="H3472" s="20">
        <f>IFERROR(INDEX('Kode Outlet dan Target Toko'!$D:$D,MATCH($I3472,'Kode Outlet dan Target Toko'!$E:$E,0)),0)</f>
        <v>4404677</v>
      </c>
      <c r="I3472" s="42" t="s">
        <v>99</v>
      </c>
      <c r="J3472" s="56" t="s">
        <v>178</v>
      </c>
      <c r="K3472" s="40" t="s">
        <v>14</v>
      </c>
      <c r="L3472" s="26">
        <v>3000</v>
      </c>
      <c r="M3472" s="26">
        <v>41</v>
      </c>
      <c r="N3472" s="25">
        <f t="shared" si="109"/>
        <v>123000</v>
      </c>
      <c r="O3472" s="56"/>
    </row>
    <row r="3473" spans="1:15" hidden="1" x14ac:dyDescent="0.3">
      <c r="A3473" s="26">
        <v>33</v>
      </c>
      <c r="B3473" s="20" t="str">
        <f t="shared" si="108"/>
        <v>AUG</v>
      </c>
      <c r="C3473" s="21">
        <v>46249</v>
      </c>
      <c r="D3473" s="22" t="str">
        <f>IFERROR(INDEX('Kode Outlet dan Target Toko'!$A:$A,MATCH($I3473,'Kode Outlet dan Target Toko'!$E:$E,0)),"")</f>
        <v>GRSM 4</v>
      </c>
      <c r="E3473" s="20" t="str">
        <f>IFERROR(VLOOKUP(I3473,KET!$B:$F,4,0),"")</f>
        <v>FAHMI LUKMANUL HAKIM</v>
      </c>
      <c r="F3473" s="20" t="str">
        <f>IFERROR(VLOOKUP(I3473,KET!$B:$F,5,0),"")</f>
        <v>GMM</v>
      </c>
      <c r="G3473" s="20">
        <f>IFERROR(INDEX('Kode Outlet dan Target Toko'!$C:$C,MATCH($I3473,'Kode Outlet dan Target Toko'!$E:$E,0)),0)</f>
        <v>103712</v>
      </c>
      <c r="H3473" s="20">
        <f>IFERROR(INDEX('Kode Outlet dan Target Toko'!$D:$D,MATCH($I3473,'Kode Outlet dan Target Toko'!$E:$E,0)),0)</f>
        <v>4404677</v>
      </c>
      <c r="I3473" s="42" t="s">
        <v>99</v>
      </c>
      <c r="J3473" s="56" t="s">
        <v>178</v>
      </c>
      <c r="K3473" s="40" t="s">
        <v>13</v>
      </c>
      <c r="L3473" s="26">
        <v>3000</v>
      </c>
      <c r="M3473" s="26">
        <v>23</v>
      </c>
      <c r="N3473" s="25">
        <f t="shared" si="109"/>
        <v>69000</v>
      </c>
      <c r="O3473" s="56"/>
    </row>
    <row r="3474" spans="1:15" hidden="1" x14ac:dyDescent="0.3">
      <c r="A3474" s="26">
        <v>33</v>
      </c>
      <c r="B3474" s="20" t="str">
        <f t="shared" si="108"/>
        <v>AUG</v>
      </c>
      <c r="C3474" s="21">
        <v>46249</v>
      </c>
      <c r="D3474" s="22" t="str">
        <f>IFERROR(INDEX('Kode Outlet dan Target Toko'!$A:$A,MATCH($I3474,'Kode Outlet dan Target Toko'!$E:$E,0)),"")</f>
        <v>GRSM 4</v>
      </c>
      <c r="E3474" s="20" t="str">
        <f>IFERROR(VLOOKUP(I3474,KET!$B:$F,4,0),"")</f>
        <v>FAHMI LUKMANUL HAKIM</v>
      </c>
      <c r="F3474" s="20" t="str">
        <f>IFERROR(VLOOKUP(I3474,KET!$B:$F,5,0),"")</f>
        <v>GMM</v>
      </c>
      <c r="G3474" s="20">
        <f>IFERROR(INDEX('Kode Outlet dan Target Toko'!$C:$C,MATCH($I3474,'Kode Outlet dan Target Toko'!$E:$E,0)),0)</f>
        <v>103712</v>
      </c>
      <c r="H3474" s="20">
        <f>IFERROR(INDEX('Kode Outlet dan Target Toko'!$D:$D,MATCH($I3474,'Kode Outlet dan Target Toko'!$E:$E,0)),0)</f>
        <v>4404677</v>
      </c>
      <c r="I3474" s="42" t="s">
        <v>99</v>
      </c>
      <c r="J3474" s="56" t="s">
        <v>178</v>
      </c>
      <c r="K3474" s="40" t="s">
        <v>16</v>
      </c>
      <c r="L3474" s="26">
        <v>3000</v>
      </c>
      <c r="M3474" s="26">
        <v>138</v>
      </c>
      <c r="N3474" s="25">
        <f t="shared" si="109"/>
        <v>414000</v>
      </c>
      <c r="O3474" s="56">
        <v>160</v>
      </c>
    </row>
    <row r="3475" spans="1:15" hidden="1" x14ac:dyDescent="0.3">
      <c r="A3475" s="26">
        <v>33</v>
      </c>
      <c r="B3475" s="20" t="str">
        <f t="shared" si="108"/>
        <v>AUG</v>
      </c>
      <c r="C3475" s="21">
        <v>46249</v>
      </c>
      <c r="D3475" s="22" t="str">
        <f>IFERROR(INDEX('Kode Outlet dan Target Toko'!$A:$A,MATCH($I3475,'Kode Outlet dan Target Toko'!$E:$E,0)),"")</f>
        <v>GRSM 4</v>
      </c>
      <c r="E3475" s="20" t="str">
        <f>IFERROR(VLOOKUP(I3475,KET!$B:$F,4,0),"")</f>
        <v>FAHMI LUKMANUL HAKIM</v>
      </c>
      <c r="F3475" s="20" t="str">
        <f>IFERROR(VLOOKUP(I3475,KET!$B:$F,5,0),"")</f>
        <v>GMM</v>
      </c>
      <c r="G3475" s="20">
        <f>IFERROR(INDEX('Kode Outlet dan Target Toko'!$C:$C,MATCH($I3475,'Kode Outlet dan Target Toko'!$E:$E,0)),0)</f>
        <v>103712</v>
      </c>
      <c r="H3475" s="20">
        <f>IFERROR(INDEX('Kode Outlet dan Target Toko'!$D:$D,MATCH($I3475,'Kode Outlet dan Target Toko'!$E:$E,0)),0)</f>
        <v>4404677</v>
      </c>
      <c r="I3475" s="42" t="s">
        <v>99</v>
      </c>
      <c r="J3475" s="56" t="s">
        <v>179</v>
      </c>
      <c r="K3475" s="40" t="s">
        <v>15</v>
      </c>
      <c r="L3475" s="26">
        <v>3000</v>
      </c>
      <c r="M3475" s="26">
        <v>28</v>
      </c>
      <c r="N3475" s="25">
        <f t="shared" si="109"/>
        <v>84000</v>
      </c>
      <c r="O3475" s="56"/>
    </row>
    <row r="3476" spans="1:15" hidden="1" x14ac:dyDescent="0.3">
      <c r="A3476" s="26">
        <v>33</v>
      </c>
      <c r="B3476" s="20" t="str">
        <f t="shared" si="108"/>
        <v>AUG</v>
      </c>
      <c r="C3476" s="21">
        <v>46249</v>
      </c>
      <c r="D3476" s="22" t="str">
        <f>IFERROR(INDEX('Kode Outlet dan Target Toko'!$A:$A,MATCH($I3476,'Kode Outlet dan Target Toko'!$E:$E,0)),"")</f>
        <v>GRSM 4</v>
      </c>
      <c r="E3476" s="20" t="str">
        <f>IFERROR(VLOOKUP(I3476,KET!$B:$F,4,0),"")</f>
        <v>FAHMI LUKMANUL HAKIM</v>
      </c>
      <c r="F3476" s="20" t="str">
        <f>IFERROR(VLOOKUP(I3476,KET!$B:$F,5,0),"")</f>
        <v>GMM</v>
      </c>
      <c r="G3476" s="20">
        <f>IFERROR(INDEX('Kode Outlet dan Target Toko'!$C:$C,MATCH($I3476,'Kode Outlet dan Target Toko'!$E:$E,0)),0)</f>
        <v>103712</v>
      </c>
      <c r="H3476" s="20">
        <f>IFERROR(INDEX('Kode Outlet dan Target Toko'!$D:$D,MATCH($I3476,'Kode Outlet dan Target Toko'!$E:$E,0)),0)</f>
        <v>4404677</v>
      </c>
      <c r="I3476" s="42" t="s">
        <v>99</v>
      </c>
      <c r="J3476" s="56" t="s">
        <v>179</v>
      </c>
      <c r="K3476" s="40" t="s">
        <v>14</v>
      </c>
      <c r="L3476" s="26">
        <v>3000</v>
      </c>
      <c r="M3476" s="26">
        <v>42</v>
      </c>
      <c r="N3476" s="25">
        <f t="shared" si="109"/>
        <v>126000</v>
      </c>
      <c r="O3476" s="56"/>
    </row>
    <row r="3477" spans="1:15" hidden="1" x14ac:dyDescent="0.3">
      <c r="A3477" s="26">
        <v>33</v>
      </c>
      <c r="B3477" s="20" t="str">
        <f t="shared" si="108"/>
        <v>AUG</v>
      </c>
      <c r="C3477" s="21">
        <v>46249</v>
      </c>
      <c r="D3477" s="22" t="str">
        <f>IFERROR(INDEX('Kode Outlet dan Target Toko'!$A:$A,MATCH($I3477,'Kode Outlet dan Target Toko'!$E:$E,0)),"")</f>
        <v>GRSM 4</v>
      </c>
      <c r="E3477" s="20" t="str">
        <f>IFERROR(VLOOKUP(I3477,KET!$B:$F,4,0),"")</f>
        <v>FAHMI LUKMANUL HAKIM</v>
      </c>
      <c r="F3477" s="20" t="str">
        <f>IFERROR(VLOOKUP(I3477,KET!$B:$F,5,0),"")</f>
        <v>GMM</v>
      </c>
      <c r="G3477" s="20">
        <f>IFERROR(INDEX('Kode Outlet dan Target Toko'!$C:$C,MATCH($I3477,'Kode Outlet dan Target Toko'!$E:$E,0)),0)</f>
        <v>103712</v>
      </c>
      <c r="H3477" s="20">
        <f>IFERROR(INDEX('Kode Outlet dan Target Toko'!$D:$D,MATCH($I3477,'Kode Outlet dan Target Toko'!$E:$E,0)),0)</f>
        <v>4404677</v>
      </c>
      <c r="I3477" s="42" t="s">
        <v>99</v>
      </c>
      <c r="J3477" s="56" t="s">
        <v>179</v>
      </c>
      <c r="K3477" s="40" t="s">
        <v>13</v>
      </c>
      <c r="L3477" s="26">
        <v>3000</v>
      </c>
      <c r="M3477" s="26">
        <v>28</v>
      </c>
      <c r="N3477" s="25">
        <f t="shared" si="109"/>
        <v>84000</v>
      </c>
      <c r="O3477" s="56"/>
    </row>
    <row r="3478" spans="1:15" hidden="1" x14ac:dyDescent="0.3">
      <c r="A3478" s="26">
        <v>33</v>
      </c>
      <c r="B3478" s="20" t="str">
        <f t="shared" si="108"/>
        <v>AUG</v>
      </c>
      <c r="C3478" s="21">
        <v>46249</v>
      </c>
      <c r="D3478" s="22" t="str">
        <f>IFERROR(INDEX('Kode Outlet dan Target Toko'!$A:$A,MATCH($I3478,'Kode Outlet dan Target Toko'!$E:$E,0)),"")</f>
        <v>GRSM 4</v>
      </c>
      <c r="E3478" s="20" t="str">
        <f>IFERROR(VLOOKUP(I3478,KET!$B:$F,4,0),"")</f>
        <v>FAHMI LUKMANUL HAKIM</v>
      </c>
      <c r="F3478" s="20" t="str">
        <f>IFERROR(VLOOKUP(I3478,KET!$B:$F,5,0),"")</f>
        <v>GMM</v>
      </c>
      <c r="G3478" s="20">
        <f>IFERROR(INDEX('Kode Outlet dan Target Toko'!$C:$C,MATCH($I3478,'Kode Outlet dan Target Toko'!$E:$E,0)),0)</f>
        <v>103712</v>
      </c>
      <c r="H3478" s="20">
        <f>IFERROR(INDEX('Kode Outlet dan Target Toko'!$D:$D,MATCH($I3478,'Kode Outlet dan Target Toko'!$E:$E,0)),0)</f>
        <v>4404677</v>
      </c>
      <c r="I3478" s="42" t="s">
        <v>99</v>
      </c>
      <c r="J3478" s="56" t="s">
        <v>179</v>
      </c>
      <c r="K3478" s="40" t="s">
        <v>16</v>
      </c>
      <c r="L3478" s="26">
        <v>3000</v>
      </c>
      <c r="M3478" s="26">
        <v>142</v>
      </c>
      <c r="N3478" s="25">
        <f t="shared" si="109"/>
        <v>426000</v>
      </c>
      <c r="O3478" s="56">
        <v>160</v>
      </c>
    </row>
    <row r="3479" spans="1:15" hidden="1" x14ac:dyDescent="0.3">
      <c r="A3479" s="26">
        <v>33</v>
      </c>
      <c r="B3479" s="20" t="str">
        <f t="shared" si="108"/>
        <v>AUG</v>
      </c>
      <c r="C3479" s="21">
        <v>46249</v>
      </c>
      <c r="D3479" s="22" t="str">
        <f>IFERROR(INDEX('Kode Outlet dan Target Toko'!$A:$A,MATCH($I3479,'Kode Outlet dan Target Toko'!$E:$E,0)),"")</f>
        <v>GRSM 4</v>
      </c>
      <c r="E3479" s="20" t="str">
        <f>IFERROR(VLOOKUP(I3479,KET!$B:$F,4,0),"")</f>
        <v>FAHMI LUKMANUL HAKIM</v>
      </c>
      <c r="F3479" s="20" t="str">
        <f>IFERROR(VLOOKUP(I3479,KET!$B:$F,5,0),"")</f>
        <v>GMM</v>
      </c>
      <c r="G3479" s="20">
        <f>IFERROR(INDEX('Kode Outlet dan Target Toko'!$C:$C,MATCH($I3479,'Kode Outlet dan Target Toko'!$E:$E,0)),0)</f>
        <v>103257</v>
      </c>
      <c r="H3479" s="20">
        <f>IFERROR(INDEX('Kode Outlet dan Target Toko'!$D:$D,MATCH($I3479,'Kode Outlet dan Target Toko'!$E:$E,0)),0)</f>
        <v>9162509</v>
      </c>
      <c r="I3479" s="42" t="s">
        <v>57</v>
      </c>
      <c r="J3479" s="56" t="s">
        <v>192</v>
      </c>
      <c r="K3479" s="40" t="s">
        <v>15</v>
      </c>
      <c r="L3479" s="26">
        <v>3100</v>
      </c>
      <c r="M3479" s="26">
        <v>62</v>
      </c>
      <c r="N3479" s="25">
        <f t="shared" si="109"/>
        <v>192200</v>
      </c>
      <c r="O3479" s="56"/>
    </row>
    <row r="3480" spans="1:15" hidden="1" x14ac:dyDescent="0.3">
      <c r="A3480" s="26">
        <v>33</v>
      </c>
      <c r="B3480" s="20" t="str">
        <f t="shared" si="108"/>
        <v>AUG</v>
      </c>
      <c r="C3480" s="21">
        <v>46249</v>
      </c>
      <c r="D3480" s="22" t="str">
        <f>IFERROR(INDEX('Kode Outlet dan Target Toko'!$A:$A,MATCH($I3480,'Kode Outlet dan Target Toko'!$E:$E,0)),"")</f>
        <v>GRSM 4</v>
      </c>
      <c r="E3480" s="20" t="str">
        <f>IFERROR(VLOOKUP(I3480,KET!$B:$F,4,0),"")</f>
        <v>FAHMI LUKMANUL HAKIM</v>
      </c>
      <c r="F3480" s="20" t="str">
        <f>IFERROR(VLOOKUP(I3480,KET!$B:$F,5,0),"")</f>
        <v>GMM</v>
      </c>
      <c r="G3480" s="20">
        <f>IFERROR(INDEX('Kode Outlet dan Target Toko'!$C:$C,MATCH($I3480,'Kode Outlet dan Target Toko'!$E:$E,0)),0)</f>
        <v>103257</v>
      </c>
      <c r="H3480" s="20">
        <f>IFERROR(INDEX('Kode Outlet dan Target Toko'!$D:$D,MATCH($I3480,'Kode Outlet dan Target Toko'!$E:$E,0)),0)</f>
        <v>9162509</v>
      </c>
      <c r="I3480" s="42" t="s">
        <v>57</v>
      </c>
      <c r="J3480" s="56" t="s">
        <v>192</v>
      </c>
      <c r="K3480" s="40" t="s">
        <v>14</v>
      </c>
      <c r="L3480" s="26">
        <v>3100</v>
      </c>
      <c r="M3480" s="26">
        <v>40</v>
      </c>
      <c r="N3480" s="25">
        <f t="shared" si="109"/>
        <v>124000</v>
      </c>
      <c r="O3480" s="56"/>
    </row>
    <row r="3481" spans="1:15" hidden="1" x14ac:dyDescent="0.3">
      <c r="A3481" s="26">
        <v>33</v>
      </c>
      <c r="B3481" s="20" t="str">
        <f t="shared" si="108"/>
        <v>AUG</v>
      </c>
      <c r="C3481" s="21">
        <v>46249</v>
      </c>
      <c r="D3481" s="22" t="str">
        <f>IFERROR(INDEX('Kode Outlet dan Target Toko'!$A:$A,MATCH($I3481,'Kode Outlet dan Target Toko'!$E:$E,0)),"")</f>
        <v>GRSM 4</v>
      </c>
      <c r="E3481" s="20" t="str">
        <f>IFERROR(VLOOKUP(I3481,KET!$B:$F,4,0),"")</f>
        <v>FAHMI LUKMANUL HAKIM</v>
      </c>
      <c r="F3481" s="20" t="str">
        <f>IFERROR(VLOOKUP(I3481,KET!$B:$F,5,0),"")</f>
        <v>GMM</v>
      </c>
      <c r="G3481" s="20">
        <f>IFERROR(INDEX('Kode Outlet dan Target Toko'!$C:$C,MATCH($I3481,'Kode Outlet dan Target Toko'!$E:$E,0)),0)</f>
        <v>103257</v>
      </c>
      <c r="H3481" s="20">
        <f>IFERROR(INDEX('Kode Outlet dan Target Toko'!$D:$D,MATCH($I3481,'Kode Outlet dan Target Toko'!$E:$E,0)),0)</f>
        <v>9162509</v>
      </c>
      <c r="I3481" s="42" t="s">
        <v>57</v>
      </c>
      <c r="J3481" s="56" t="s">
        <v>192</v>
      </c>
      <c r="K3481" s="40" t="s">
        <v>13</v>
      </c>
      <c r="L3481" s="26">
        <v>3100</v>
      </c>
      <c r="M3481" s="26">
        <v>0</v>
      </c>
      <c r="N3481" s="25">
        <f t="shared" si="109"/>
        <v>0</v>
      </c>
      <c r="O3481" s="56"/>
    </row>
    <row r="3482" spans="1:15" hidden="1" x14ac:dyDescent="0.3">
      <c r="A3482" s="26">
        <v>33</v>
      </c>
      <c r="B3482" s="20" t="str">
        <f t="shared" si="108"/>
        <v>AUG</v>
      </c>
      <c r="C3482" s="21">
        <v>46249</v>
      </c>
      <c r="D3482" s="22" t="str">
        <f>IFERROR(INDEX('Kode Outlet dan Target Toko'!$A:$A,MATCH($I3482,'Kode Outlet dan Target Toko'!$E:$E,0)),"")</f>
        <v>GRSM 4</v>
      </c>
      <c r="E3482" s="20" t="str">
        <f>IFERROR(VLOOKUP(I3482,KET!$B:$F,4,0),"")</f>
        <v>FAHMI LUKMANUL HAKIM</v>
      </c>
      <c r="F3482" s="20" t="str">
        <f>IFERROR(VLOOKUP(I3482,KET!$B:$F,5,0),"")</f>
        <v>GMM</v>
      </c>
      <c r="G3482" s="20">
        <f>IFERROR(INDEX('Kode Outlet dan Target Toko'!$C:$C,MATCH($I3482,'Kode Outlet dan Target Toko'!$E:$E,0)),0)</f>
        <v>103257</v>
      </c>
      <c r="H3482" s="20">
        <f>IFERROR(INDEX('Kode Outlet dan Target Toko'!$D:$D,MATCH($I3482,'Kode Outlet dan Target Toko'!$E:$E,0)),0)</f>
        <v>9162509</v>
      </c>
      <c r="I3482" s="42" t="s">
        <v>57</v>
      </c>
      <c r="J3482" s="56" t="s">
        <v>192</v>
      </c>
      <c r="K3482" s="40" t="s">
        <v>16</v>
      </c>
      <c r="L3482" s="26">
        <v>3100</v>
      </c>
      <c r="M3482" s="26">
        <v>28</v>
      </c>
      <c r="N3482" s="25">
        <f t="shared" si="109"/>
        <v>86800</v>
      </c>
      <c r="O3482" s="56">
        <v>160</v>
      </c>
    </row>
    <row r="3483" spans="1:15" hidden="1" x14ac:dyDescent="0.3">
      <c r="A3483" s="26">
        <v>33</v>
      </c>
      <c r="B3483" s="20" t="str">
        <f t="shared" si="108"/>
        <v>AUG</v>
      </c>
      <c r="C3483" s="21">
        <v>46249</v>
      </c>
      <c r="D3483" s="22" t="str">
        <f>IFERROR(INDEX('Kode Outlet dan Target Toko'!$A:$A,MATCH($I3483,'Kode Outlet dan Target Toko'!$E:$E,0)),"")</f>
        <v>GRSM 4</v>
      </c>
      <c r="E3483" s="20" t="str">
        <f>IFERROR(VLOOKUP(I3483,KET!$B:$F,4,0),"")</f>
        <v>FAHMI LUKMANUL HAKIM</v>
      </c>
      <c r="F3483" s="20" t="str">
        <f>IFERROR(VLOOKUP(I3483,KET!$B:$F,5,0),"")</f>
        <v>GMM</v>
      </c>
      <c r="G3483" s="20">
        <f>IFERROR(INDEX('Kode Outlet dan Target Toko'!$C:$C,MATCH($I3483,'Kode Outlet dan Target Toko'!$E:$E,0)),0)</f>
        <v>103258</v>
      </c>
      <c r="H3483" s="20">
        <f>IFERROR(INDEX('Kode Outlet dan Target Toko'!$D:$D,MATCH($I3483,'Kode Outlet dan Target Toko'!$E:$E,0)),0)</f>
        <v>9201924</v>
      </c>
      <c r="I3483" s="42" t="s">
        <v>95</v>
      </c>
      <c r="J3483" s="56" t="s">
        <v>253</v>
      </c>
      <c r="K3483" s="40" t="s">
        <v>15</v>
      </c>
      <c r="L3483" s="26">
        <v>2000</v>
      </c>
      <c r="M3483" s="26">
        <v>38</v>
      </c>
      <c r="N3483" s="25">
        <f t="shared" si="109"/>
        <v>76000</v>
      </c>
      <c r="O3483" s="56"/>
    </row>
    <row r="3484" spans="1:15" hidden="1" x14ac:dyDescent="0.3">
      <c r="A3484" s="26">
        <v>33</v>
      </c>
      <c r="B3484" s="20" t="str">
        <f t="shared" si="108"/>
        <v>AUG</v>
      </c>
      <c r="C3484" s="21">
        <v>46249</v>
      </c>
      <c r="D3484" s="22" t="str">
        <f>IFERROR(INDEX('Kode Outlet dan Target Toko'!$A:$A,MATCH($I3484,'Kode Outlet dan Target Toko'!$E:$E,0)),"")</f>
        <v>GRSM 4</v>
      </c>
      <c r="E3484" s="20" t="str">
        <f>IFERROR(VLOOKUP(I3484,KET!$B:$F,4,0),"")</f>
        <v>FAHMI LUKMANUL HAKIM</v>
      </c>
      <c r="F3484" s="20" t="str">
        <f>IFERROR(VLOOKUP(I3484,KET!$B:$F,5,0),"")</f>
        <v>GMM</v>
      </c>
      <c r="G3484" s="20">
        <f>IFERROR(INDEX('Kode Outlet dan Target Toko'!$C:$C,MATCH($I3484,'Kode Outlet dan Target Toko'!$E:$E,0)),0)</f>
        <v>103258</v>
      </c>
      <c r="H3484" s="20">
        <f>IFERROR(INDEX('Kode Outlet dan Target Toko'!$D:$D,MATCH($I3484,'Kode Outlet dan Target Toko'!$E:$E,0)),0)</f>
        <v>9201924</v>
      </c>
      <c r="I3484" s="42" t="s">
        <v>95</v>
      </c>
      <c r="J3484" s="56" t="s">
        <v>253</v>
      </c>
      <c r="K3484" s="40" t="s">
        <v>14</v>
      </c>
      <c r="L3484" s="26">
        <v>2000</v>
      </c>
      <c r="M3484" s="26">
        <v>45</v>
      </c>
      <c r="N3484" s="25">
        <f t="shared" si="109"/>
        <v>90000</v>
      </c>
      <c r="O3484" s="56"/>
    </row>
    <row r="3485" spans="1:15" hidden="1" x14ac:dyDescent="0.3">
      <c r="A3485" s="26">
        <v>33</v>
      </c>
      <c r="B3485" s="20" t="str">
        <f t="shared" si="108"/>
        <v>AUG</v>
      </c>
      <c r="C3485" s="21">
        <v>46249</v>
      </c>
      <c r="D3485" s="22" t="str">
        <f>IFERROR(INDEX('Kode Outlet dan Target Toko'!$A:$A,MATCH($I3485,'Kode Outlet dan Target Toko'!$E:$E,0)),"")</f>
        <v>GRSM 4</v>
      </c>
      <c r="E3485" s="20" t="str">
        <f>IFERROR(VLOOKUP(I3485,KET!$B:$F,4,0),"")</f>
        <v>FAHMI LUKMANUL HAKIM</v>
      </c>
      <c r="F3485" s="20" t="str">
        <f>IFERROR(VLOOKUP(I3485,KET!$B:$F,5,0),"")</f>
        <v>GMM</v>
      </c>
      <c r="G3485" s="20">
        <f>IFERROR(INDEX('Kode Outlet dan Target Toko'!$C:$C,MATCH($I3485,'Kode Outlet dan Target Toko'!$E:$E,0)),0)</f>
        <v>103258</v>
      </c>
      <c r="H3485" s="20">
        <f>IFERROR(INDEX('Kode Outlet dan Target Toko'!$D:$D,MATCH($I3485,'Kode Outlet dan Target Toko'!$E:$E,0)),0)</f>
        <v>9201924</v>
      </c>
      <c r="I3485" s="42" t="s">
        <v>95</v>
      </c>
      <c r="J3485" s="56" t="s">
        <v>253</v>
      </c>
      <c r="K3485" s="40" t="s">
        <v>13</v>
      </c>
      <c r="L3485" s="26">
        <v>2000</v>
      </c>
      <c r="M3485" s="26">
        <v>27</v>
      </c>
      <c r="N3485" s="25">
        <f t="shared" si="109"/>
        <v>54000</v>
      </c>
      <c r="O3485" s="56"/>
    </row>
    <row r="3486" spans="1:15" hidden="1" x14ac:dyDescent="0.3">
      <c r="A3486" s="26">
        <v>33</v>
      </c>
      <c r="B3486" s="20" t="str">
        <f t="shared" si="108"/>
        <v>AUG</v>
      </c>
      <c r="C3486" s="21">
        <v>46249</v>
      </c>
      <c r="D3486" s="22" t="str">
        <f>IFERROR(INDEX('Kode Outlet dan Target Toko'!$A:$A,MATCH($I3486,'Kode Outlet dan Target Toko'!$E:$E,0)),"")</f>
        <v>GRSM 4</v>
      </c>
      <c r="E3486" s="20" t="str">
        <f>IFERROR(VLOOKUP(I3486,KET!$B:$F,4,0),"")</f>
        <v>FAHMI LUKMANUL HAKIM</v>
      </c>
      <c r="F3486" s="20" t="str">
        <f>IFERROR(VLOOKUP(I3486,KET!$B:$F,5,0),"")</f>
        <v>GMM</v>
      </c>
      <c r="G3486" s="20">
        <f>IFERROR(INDEX('Kode Outlet dan Target Toko'!$C:$C,MATCH($I3486,'Kode Outlet dan Target Toko'!$E:$E,0)),0)</f>
        <v>103258</v>
      </c>
      <c r="H3486" s="20">
        <f>IFERROR(INDEX('Kode Outlet dan Target Toko'!$D:$D,MATCH($I3486,'Kode Outlet dan Target Toko'!$E:$E,0)),0)</f>
        <v>9201924</v>
      </c>
      <c r="I3486" s="42" t="s">
        <v>95</v>
      </c>
      <c r="J3486" s="56" t="s">
        <v>253</v>
      </c>
      <c r="K3486" s="40" t="s">
        <v>16</v>
      </c>
      <c r="L3486" s="26">
        <v>2000</v>
      </c>
      <c r="M3486" s="26">
        <v>100</v>
      </c>
      <c r="N3486" s="25">
        <f t="shared" si="109"/>
        <v>200000</v>
      </c>
      <c r="O3486" s="56">
        <v>160</v>
      </c>
    </row>
    <row r="3487" spans="1:15" hidden="1" x14ac:dyDescent="0.3">
      <c r="A3487" s="26">
        <v>33</v>
      </c>
      <c r="B3487" s="20" t="str">
        <f t="shared" si="108"/>
        <v>AUG</v>
      </c>
      <c r="C3487" s="21">
        <v>46249</v>
      </c>
      <c r="D3487" s="22" t="str">
        <f>IFERROR(INDEX('Kode Outlet dan Target Toko'!$A:$A,MATCH($I3487,'Kode Outlet dan Target Toko'!$E:$E,0)),"")</f>
        <v>GRSM 4</v>
      </c>
      <c r="E3487" s="20" t="str">
        <f>IFERROR(VLOOKUP(I3487,KET!$B:$F,4,0),"")</f>
        <v>FAHMI LUKMANUL HAKIM</v>
      </c>
      <c r="F3487" s="20" t="str">
        <f>IFERROR(VLOOKUP(I3487,KET!$B:$F,5,0),"")</f>
        <v>GMM</v>
      </c>
      <c r="G3487" s="20">
        <f>IFERROR(INDEX('Kode Outlet dan Target Toko'!$C:$C,MATCH($I3487,'Kode Outlet dan Target Toko'!$E:$E,0)),0)</f>
        <v>103258</v>
      </c>
      <c r="H3487" s="20">
        <f>IFERROR(INDEX('Kode Outlet dan Target Toko'!$D:$D,MATCH($I3487,'Kode Outlet dan Target Toko'!$E:$E,0)),0)</f>
        <v>9201924</v>
      </c>
      <c r="I3487" s="42" t="s">
        <v>95</v>
      </c>
      <c r="J3487" s="56" t="s">
        <v>200</v>
      </c>
      <c r="K3487" s="40" t="s">
        <v>15</v>
      </c>
      <c r="L3487" s="26">
        <v>2000</v>
      </c>
      <c r="M3487" s="26">
        <v>38</v>
      </c>
      <c r="N3487" s="25">
        <f t="shared" si="109"/>
        <v>76000</v>
      </c>
      <c r="O3487" s="56"/>
    </row>
    <row r="3488" spans="1:15" hidden="1" x14ac:dyDescent="0.3">
      <c r="A3488" s="26">
        <v>33</v>
      </c>
      <c r="B3488" s="20" t="str">
        <f t="shared" si="108"/>
        <v>AUG</v>
      </c>
      <c r="C3488" s="21">
        <v>46249</v>
      </c>
      <c r="D3488" s="22" t="str">
        <f>IFERROR(INDEX('Kode Outlet dan Target Toko'!$A:$A,MATCH($I3488,'Kode Outlet dan Target Toko'!$E:$E,0)),"")</f>
        <v>GRSM 4</v>
      </c>
      <c r="E3488" s="20" t="str">
        <f>IFERROR(VLOOKUP(I3488,KET!$B:$F,4,0),"")</f>
        <v>FAHMI LUKMANUL HAKIM</v>
      </c>
      <c r="F3488" s="20" t="str">
        <f>IFERROR(VLOOKUP(I3488,KET!$B:$F,5,0),"")</f>
        <v>GMM</v>
      </c>
      <c r="G3488" s="20">
        <f>IFERROR(INDEX('Kode Outlet dan Target Toko'!$C:$C,MATCH($I3488,'Kode Outlet dan Target Toko'!$E:$E,0)),0)</f>
        <v>103258</v>
      </c>
      <c r="H3488" s="20">
        <f>IFERROR(INDEX('Kode Outlet dan Target Toko'!$D:$D,MATCH($I3488,'Kode Outlet dan Target Toko'!$E:$E,0)),0)</f>
        <v>9201924</v>
      </c>
      <c r="I3488" s="42" t="s">
        <v>95</v>
      </c>
      <c r="J3488" s="56" t="s">
        <v>200</v>
      </c>
      <c r="K3488" s="40" t="s">
        <v>14</v>
      </c>
      <c r="L3488" s="26">
        <v>2000</v>
      </c>
      <c r="M3488" s="26">
        <v>45</v>
      </c>
      <c r="N3488" s="25">
        <f t="shared" si="109"/>
        <v>90000</v>
      </c>
      <c r="O3488" s="56"/>
    </row>
    <row r="3489" spans="1:15" hidden="1" x14ac:dyDescent="0.3">
      <c r="A3489" s="26">
        <v>33</v>
      </c>
      <c r="B3489" s="20" t="str">
        <f t="shared" si="108"/>
        <v>AUG</v>
      </c>
      <c r="C3489" s="21">
        <v>46249</v>
      </c>
      <c r="D3489" s="22" t="str">
        <f>IFERROR(INDEX('Kode Outlet dan Target Toko'!$A:$A,MATCH($I3489,'Kode Outlet dan Target Toko'!$E:$E,0)),"")</f>
        <v>GRSM 4</v>
      </c>
      <c r="E3489" s="20" t="str">
        <f>IFERROR(VLOOKUP(I3489,KET!$B:$F,4,0),"")</f>
        <v>FAHMI LUKMANUL HAKIM</v>
      </c>
      <c r="F3489" s="20" t="str">
        <f>IFERROR(VLOOKUP(I3489,KET!$B:$F,5,0),"")</f>
        <v>GMM</v>
      </c>
      <c r="G3489" s="20">
        <f>IFERROR(INDEX('Kode Outlet dan Target Toko'!$C:$C,MATCH($I3489,'Kode Outlet dan Target Toko'!$E:$E,0)),0)</f>
        <v>103258</v>
      </c>
      <c r="H3489" s="20">
        <f>IFERROR(INDEX('Kode Outlet dan Target Toko'!$D:$D,MATCH($I3489,'Kode Outlet dan Target Toko'!$E:$E,0)),0)</f>
        <v>9201924</v>
      </c>
      <c r="I3489" s="42" t="s">
        <v>95</v>
      </c>
      <c r="J3489" s="56" t="s">
        <v>200</v>
      </c>
      <c r="K3489" s="40" t="s">
        <v>13</v>
      </c>
      <c r="L3489" s="26">
        <v>2000</v>
      </c>
      <c r="M3489" s="26">
        <v>27</v>
      </c>
      <c r="N3489" s="25">
        <f t="shared" si="109"/>
        <v>54000</v>
      </c>
      <c r="O3489" s="56"/>
    </row>
    <row r="3490" spans="1:15" hidden="1" x14ac:dyDescent="0.3">
      <c r="A3490" s="26">
        <v>33</v>
      </c>
      <c r="B3490" s="20" t="str">
        <f t="shared" si="108"/>
        <v>AUG</v>
      </c>
      <c r="C3490" s="21">
        <v>46249</v>
      </c>
      <c r="D3490" s="22" t="str">
        <f>IFERROR(INDEX('Kode Outlet dan Target Toko'!$A:$A,MATCH($I3490,'Kode Outlet dan Target Toko'!$E:$E,0)),"")</f>
        <v>GRSM 4</v>
      </c>
      <c r="E3490" s="20" t="str">
        <f>IFERROR(VLOOKUP(I3490,KET!$B:$F,4,0),"")</f>
        <v>FAHMI LUKMANUL HAKIM</v>
      </c>
      <c r="F3490" s="20" t="str">
        <f>IFERROR(VLOOKUP(I3490,KET!$B:$F,5,0),"")</f>
        <v>GMM</v>
      </c>
      <c r="G3490" s="20">
        <f>IFERROR(INDEX('Kode Outlet dan Target Toko'!$C:$C,MATCH($I3490,'Kode Outlet dan Target Toko'!$E:$E,0)),0)</f>
        <v>103258</v>
      </c>
      <c r="H3490" s="20">
        <f>IFERROR(INDEX('Kode Outlet dan Target Toko'!$D:$D,MATCH($I3490,'Kode Outlet dan Target Toko'!$E:$E,0)),0)</f>
        <v>9201924</v>
      </c>
      <c r="I3490" s="42" t="s">
        <v>95</v>
      </c>
      <c r="J3490" s="56" t="s">
        <v>200</v>
      </c>
      <c r="K3490" s="40" t="s">
        <v>16</v>
      </c>
      <c r="L3490" s="26">
        <v>2000</v>
      </c>
      <c r="M3490" s="26">
        <v>100</v>
      </c>
      <c r="N3490" s="25">
        <f t="shared" si="109"/>
        <v>200000</v>
      </c>
      <c r="O3490" s="56">
        <v>160</v>
      </c>
    </row>
    <row r="3491" spans="1:15" hidden="1" x14ac:dyDescent="0.3">
      <c r="A3491" s="26">
        <v>33</v>
      </c>
      <c r="B3491" s="20" t="str">
        <f t="shared" si="108"/>
        <v>AUG</v>
      </c>
      <c r="C3491" s="21">
        <v>46249</v>
      </c>
      <c r="D3491" s="22" t="str">
        <f>IFERROR(INDEX('Kode Outlet dan Target Toko'!$A:$A,MATCH($I3491,'Kode Outlet dan Target Toko'!$E:$E,0)),"")</f>
        <v>GRSM 4</v>
      </c>
      <c r="E3491" s="20" t="str">
        <f>IFERROR(VLOOKUP(I3491,KET!$B:$F,4,0),"")</f>
        <v>FAHMI LUKMANUL HAKIM</v>
      </c>
      <c r="F3491" s="20" t="str">
        <f>IFERROR(VLOOKUP(I3491,KET!$B:$F,5,0),"")</f>
        <v>NKA</v>
      </c>
      <c r="G3491" s="20">
        <f>IFERROR(INDEX('Kode Outlet dan Target Toko'!$C:$C,MATCH($I3491,'Kode Outlet dan Target Toko'!$E:$E,0)),0)</f>
        <v>195403</v>
      </c>
      <c r="H3491" s="20">
        <f>IFERROR(INDEX('Kode Outlet dan Target Toko'!$D:$D,MATCH($I3491,'Kode Outlet dan Target Toko'!$E:$E,0)),0)</f>
        <v>1600007</v>
      </c>
      <c r="I3491" s="42" t="s">
        <v>87</v>
      </c>
      <c r="J3491" s="56" t="s">
        <v>175</v>
      </c>
      <c r="K3491" s="40" t="s">
        <v>15</v>
      </c>
      <c r="L3491" s="26">
        <v>2150</v>
      </c>
      <c r="M3491" s="26">
        <v>92</v>
      </c>
      <c r="N3491" s="25">
        <f t="shared" si="109"/>
        <v>197800</v>
      </c>
      <c r="O3491" s="56"/>
    </row>
    <row r="3492" spans="1:15" hidden="1" x14ac:dyDescent="0.3">
      <c r="A3492" s="26">
        <v>33</v>
      </c>
      <c r="B3492" s="20" t="str">
        <f t="shared" si="108"/>
        <v>AUG</v>
      </c>
      <c r="C3492" s="21">
        <v>46249</v>
      </c>
      <c r="D3492" s="22" t="str">
        <f>IFERROR(INDEX('Kode Outlet dan Target Toko'!$A:$A,MATCH($I3492,'Kode Outlet dan Target Toko'!$E:$E,0)),"")</f>
        <v>GRSM 4</v>
      </c>
      <c r="E3492" s="20" t="str">
        <f>IFERROR(VLOOKUP(I3492,KET!$B:$F,4,0),"")</f>
        <v>FAHMI LUKMANUL HAKIM</v>
      </c>
      <c r="F3492" s="20" t="str">
        <f>IFERROR(VLOOKUP(I3492,KET!$B:$F,5,0),"")</f>
        <v>NKA</v>
      </c>
      <c r="G3492" s="20">
        <f>IFERROR(INDEX('Kode Outlet dan Target Toko'!$C:$C,MATCH($I3492,'Kode Outlet dan Target Toko'!$E:$E,0)),0)</f>
        <v>195403</v>
      </c>
      <c r="H3492" s="20">
        <f>IFERROR(INDEX('Kode Outlet dan Target Toko'!$D:$D,MATCH($I3492,'Kode Outlet dan Target Toko'!$E:$E,0)),0)</f>
        <v>1600007</v>
      </c>
      <c r="I3492" s="42" t="s">
        <v>87</v>
      </c>
      <c r="J3492" s="56" t="s">
        <v>175</v>
      </c>
      <c r="K3492" s="40" t="s">
        <v>14</v>
      </c>
      <c r="L3492" s="26">
        <v>2150</v>
      </c>
      <c r="M3492" s="26">
        <v>98</v>
      </c>
      <c r="N3492" s="25">
        <f t="shared" si="109"/>
        <v>210700</v>
      </c>
      <c r="O3492" s="56"/>
    </row>
    <row r="3493" spans="1:15" hidden="1" x14ac:dyDescent="0.3">
      <c r="A3493" s="26">
        <v>33</v>
      </c>
      <c r="B3493" s="20" t="str">
        <f t="shared" si="108"/>
        <v>AUG</v>
      </c>
      <c r="C3493" s="21">
        <v>46249</v>
      </c>
      <c r="D3493" s="22" t="str">
        <f>IFERROR(INDEX('Kode Outlet dan Target Toko'!$A:$A,MATCH($I3493,'Kode Outlet dan Target Toko'!$E:$E,0)),"")</f>
        <v>GRSM 4</v>
      </c>
      <c r="E3493" s="20" t="str">
        <f>IFERROR(VLOOKUP(I3493,KET!$B:$F,4,0),"")</f>
        <v>FAHMI LUKMANUL HAKIM</v>
      </c>
      <c r="F3493" s="20" t="str">
        <f>IFERROR(VLOOKUP(I3493,KET!$B:$F,5,0),"")</f>
        <v>NKA</v>
      </c>
      <c r="G3493" s="20">
        <f>IFERROR(INDEX('Kode Outlet dan Target Toko'!$C:$C,MATCH($I3493,'Kode Outlet dan Target Toko'!$E:$E,0)),0)</f>
        <v>195403</v>
      </c>
      <c r="H3493" s="20">
        <f>IFERROR(INDEX('Kode Outlet dan Target Toko'!$D:$D,MATCH($I3493,'Kode Outlet dan Target Toko'!$E:$E,0)),0)</f>
        <v>1600007</v>
      </c>
      <c r="I3493" s="42" t="s">
        <v>87</v>
      </c>
      <c r="J3493" s="56" t="s">
        <v>175</v>
      </c>
      <c r="K3493" s="40" t="s">
        <v>13</v>
      </c>
      <c r="L3493" s="26">
        <v>2150</v>
      </c>
      <c r="M3493" s="26">
        <v>73</v>
      </c>
      <c r="N3493" s="25">
        <f t="shared" si="109"/>
        <v>156950</v>
      </c>
      <c r="O3493" s="56"/>
    </row>
    <row r="3494" spans="1:15" hidden="1" x14ac:dyDescent="0.3">
      <c r="A3494" s="26">
        <v>33</v>
      </c>
      <c r="B3494" s="20" t="str">
        <f t="shared" si="108"/>
        <v>AUG</v>
      </c>
      <c r="C3494" s="21">
        <v>46249</v>
      </c>
      <c r="D3494" s="22" t="str">
        <f>IFERROR(INDEX('Kode Outlet dan Target Toko'!$A:$A,MATCH($I3494,'Kode Outlet dan Target Toko'!$E:$E,0)),"")</f>
        <v>GRSM 4</v>
      </c>
      <c r="E3494" s="20" t="str">
        <f>IFERROR(VLOOKUP(I3494,KET!$B:$F,4,0),"")</f>
        <v>FAHMI LUKMANUL HAKIM</v>
      </c>
      <c r="F3494" s="20" t="str">
        <f>IFERROR(VLOOKUP(I3494,KET!$B:$F,5,0),"")</f>
        <v>NKA</v>
      </c>
      <c r="G3494" s="20">
        <f>IFERROR(INDEX('Kode Outlet dan Target Toko'!$C:$C,MATCH($I3494,'Kode Outlet dan Target Toko'!$E:$E,0)),0)</f>
        <v>195403</v>
      </c>
      <c r="H3494" s="20">
        <f>IFERROR(INDEX('Kode Outlet dan Target Toko'!$D:$D,MATCH($I3494,'Kode Outlet dan Target Toko'!$E:$E,0)),0)</f>
        <v>1600007</v>
      </c>
      <c r="I3494" s="42" t="s">
        <v>87</v>
      </c>
      <c r="J3494" s="56" t="s">
        <v>175</v>
      </c>
      <c r="K3494" s="40" t="s">
        <v>16</v>
      </c>
      <c r="L3494" s="26">
        <v>2150</v>
      </c>
      <c r="M3494" s="26">
        <v>130</v>
      </c>
      <c r="N3494" s="25">
        <f t="shared" si="109"/>
        <v>279500</v>
      </c>
      <c r="O3494" s="56">
        <v>160</v>
      </c>
    </row>
    <row r="3495" spans="1:15" hidden="1" x14ac:dyDescent="0.3">
      <c r="A3495" s="26">
        <v>33</v>
      </c>
      <c r="B3495" s="20" t="str">
        <f t="shared" si="108"/>
        <v>AUG</v>
      </c>
      <c r="C3495" s="21">
        <v>46249</v>
      </c>
      <c r="D3495" s="22" t="str">
        <f>IFERROR(INDEX('Kode Outlet dan Target Toko'!$A:$A,MATCH($I3495,'Kode Outlet dan Target Toko'!$E:$E,0)),"")</f>
        <v>GRSM 4</v>
      </c>
      <c r="E3495" s="20" t="str">
        <f>IFERROR(VLOOKUP(I3495,KET!$B:$F,4,0),"")</f>
        <v>FAHMI LUKMANUL HAKIM</v>
      </c>
      <c r="F3495" s="20" t="str">
        <f>IFERROR(VLOOKUP(I3495,KET!$B:$F,5,0),"")</f>
        <v>GMM</v>
      </c>
      <c r="G3495" s="20">
        <f>IFERROR(INDEX('Kode Outlet dan Target Toko'!$C:$C,MATCH($I3495,'Kode Outlet dan Target Toko'!$E:$E,0)),0)</f>
        <v>103259</v>
      </c>
      <c r="H3495" s="20">
        <f>IFERROR(INDEX('Kode Outlet dan Target Toko'!$D:$D,MATCH($I3495,'Kode Outlet dan Target Toko'!$E:$E,0)),0)</f>
        <v>9002359</v>
      </c>
      <c r="I3495" s="42" t="s">
        <v>103</v>
      </c>
      <c r="J3495" s="56" t="s">
        <v>196</v>
      </c>
      <c r="K3495" s="40" t="s">
        <v>15</v>
      </c>
      <c r="L3495" s="26">
        <v>1950</v>
      </c>
      <c r="M3495" s="26">
        <v>162</v>
      </c>
      <c r="N3495" s="25">
        <f t="shared" si="109"/>
        <v>315900</v>
      </c>
      <c r="O3495" s="56"/>
    </row>
    <row r="3496" spans="1:15" hidden="1" x14ac:dyDescent="0.3">
      <c r="A3496" s="26">
        <v>33</v>
      </c>
      <c r="B3496" s="20" t="str">
        <f t="shared" si="108"/>
        <v>AUG</v>
      </c>
      <c r="C3496" s="21">
        <v>46249</v>
      </c>
      <c r="D3496" s="22" t="str">
        <f>IFERROR(INDEX('Kode Outlet dan Target Toko'!$A:$A,MATCH($I3496,'Kode Outlet dan Target Toko'!$E:$E,0)),"")</f>
        <v>GRSM 4</v>
      </c>
      <c r="E3496" s="20" t="str">
        <f>IFERROR(VLOOKUP(I3496,KET!$B:$F,4,0),"")</f>
        <v>FAHMI LUKMANUL HAKIM</v>
      </c>
      <c r="F3496" s="20" t="str">
        <f>IFERROR(VLOOKUP(I3496,KET!$B:$F,5,0),"")</f>
        <v>GMM</v>
      </c>
      <c r="G3496" s="20">
        <f>IFERROR(INDEX('Kode Outlet dan Target Toko'!$C:$C,MATCH($I3496,'Kode Outlet dan Target Toko'!$E:$E,0)),0)</f>
        <v>103259</v>
      </c>
      <c r="H3496" s="20">
        <f>IFERROR(INDEX('Kode Outlet dan Target Toko'!$D:$D,MATCH($I3496,'Kode Outlet dan Target Toko'!$E:$E,0)),0)</f>
        <v>9002359</v>
      </c>
      <c r="I3496" s="42" t="s">
        <v>103</v>
      </c>
      <c r="J3496" s="56" t="s">
        <v>196</v>
      </c>
      <c r="K3496" s="40" t="s">
        <v>14</v>
      </c>
      <c r="L3496" s="26">
        <v>1950</v>
      </c>
      <c r="M3496" s="26">
        <v>0</v>
      </c>
      <c r="N3496" s="25">
        <f t="shared" si="109"/>
        <v>0</v>
      </c>
      <c r="O3496" s="56"/>
    </row>
    <row r="3497" spans="1:15" hidden="1" x14ac:dyDescent="0.3">
      <c r="A3497" s="26">
        <v>33</v>
      </c>
      <c r="B3497" s="20" t="str">
        <f t="shared" si="108"/>
        <v>AUG</v>
      </c>
      <c r="C3497" s="21">
        <v>46249</v>
      </c>
      <c r="D3497" s="22" t="str">
        <f>IFERROR(INDEX('Kode Outlet dan Target Toko'!$A:$A,MATCH($I3497,'Kode Outlet dan Target Toko'!$E:$E,0)),"")</f>
        <v>GRSM 4</v>
      </c>
      <c r="E3497" s="20" t="str">
        <f>IFERROR(VLOOKUP(I3497,KET!$B:$F,4,0),"")</f>
        <v>FAHMI LUKMANUL HAKIM</v>
      </c>
      <c r="F3497" s="20" t="str">
        <f>IFERROR(VLOOKUP(I3497,KET!$B:$F,5,0),"")</f>
        <v>GMM</v>
      </c>
      <c r="G3497" s="20">
        <f>IFERROR(INDEX('Kode Outlet dan Target Toko'!$C:$C,MATCH($I3497,'Kode Outlet dan Target Toko'!$E:$E,0)),0)</f>
        <v>103259</v>
      </c>
      <c r="H3497" s="20">
        <f>IFERROR(INDEX('Kode Outlet dan Target Toko'!$D:$D,MATCH($I3497,'Kode Outlet dan Target Toko'!$E:$E,0)),0)</f>
        <v>9002359</v>
      </c>
      <c r="I3497" s="42" t="s">
        <v>103</v>
      </c>
      <c r="J3497" s="56" t="s">
        <v>196</v>
      </c>
      <c r="K3497" s="40" t="s">
        <v>13</v>
      </c>
      <c r="L3497" s="26">
        <v>1950</v>
      </c>
      <c r="M3497" s="26">
        <v>0</v>
      </c>
      <c r="N3497" s="25">
        <f t="shared" si="109"/>
        <v>0</v>
      </c>
      <c r="O3497" s="56"/>
    </row>
    <row r="3498" spans="1:15" hidden="1" x14ac:dyDescent="0.3">
      <c r="A3498" s="26">
        <v>33</v>
      </c>
      <c r="B3498" s="20" t="str">
        <f t="shared" si="108"/>
        <v>AUG</v>
      </c>
      <c r="C3498" s="21">
        <v>46249</v>
      </c>
      <c r="D3498" s="22" t="str">
        <f>IFERROR(INDEX('Kode Outlet dan Target Toko'!$A:$A,MATCH($I3498,'Kode Outlet dan Target Toko'!$E:$E,0)),"")</f>
        <v>GRSM 4</v>
      </c>
      <c r="E3498" s="20" t="str">
        <f>IFERROR(VLOOKUP(I3498,KET!$B:$F,4,0),"")</f>
        <v>FAHMI LUKMANUL HAKIM</v>
      </c>
      <c r="F3498" s="20" t="str">
        <f>IFERROR(VLOOKUP(I3498,KET!$B:$F,5,0),"")</f>
        <v>GMM</v>
      </c>
      <c r="G3498" s="20">
        <f>IFERROR(INDEX('Kode Outlet dan Target Toko'!$C:$C,MATCH($I3498,'Kode Outlet dan Target Toko'!$E:$E,0)),0)</f>
        <v>103259</v>
      </c>
      <c r="H3498" s="20">
        <f>IFERROR(INDEX('Kode Outlet dan Target Toko'!$D:$D,MATCH($I3498,'Kode Outlet dan Target Toko'!$E:$E,0)),0)</f>
        <v>9002359</v>
      </c>
      <c r="I3498" s="42" t="s">
        <v>103</v>
      </c>
      <c r="J3498" s="56" t="s">
        <v>196</v>
      </c>
      <c r="K3498" s="40" t="s">
        <v>16</v>
      </c>
      <c r="L3498" s="26">
        <v>1950</v>
      </c>
      <c r="M3498" s="26">
        <v>0</v>
      </c>
      <c r="N3498" s="25">
        <f t="shared" si="109"/>
        <v>0</v>
      </c>
      <c r="O3498" s="56">
        <v>160</v>
      </c>
    </row>
    <row r="3499" spans="1:15" hidden="1" x14ac:dyDescent="0.3">
      <c r="A3499" s="26">
        <v>33</v>
      </c>
      <c r="B3499" s="20" t="str">
        <f t="shared" si="108"/>
        <v>AUG</v>
      </c>
      <c r="C3499" s="21">
        <v>46249</v>
      </c>
      <c r="D3499" s="22" t="str">
        <f>IFERROR(INDEX('Kode Outlet dan Target Toko'!$A:$A,MATCH($I3499,'Kode Outlet dan Target Toko'!$E:$E,0)),"")</f>
        <v>GRSM 4</v>
      </c>
      <c r="E3499" s="20" t="str">
        <f>IFERROR(VLOOKUP(I3499,KET!$B:$F,4,0),"")</f>
        <v>FAHMI LUKMANUL HAKIM</v>
      </c>
      <c r="F3499" s="20" t="str">
        <f>IFERROR(VLOOKUP(I3499,KET!$B:$F,5,0),"")</f>
        <v>GMM</v>
      </c>
      <c r="G3499" s="20">
        <f>IFERROR(INDEX('Kode Outlet dan Target Toko'!$C:$C,MATCH($I3499,'Kode Outlet dan Target Toko'!$E:$E,0)),0)</f>
        <v>103259</v>
      </c>
      <c r="H3499" s="20">
        <f>IFERROR(INDEX('Kode Outlet dan Target Toko'!$D:$D,MATCH($I3499,'Kode Outlet dan Target Toko'!$E:$E,0)),0)</f>
        <v>9002359</v>
      </c>
      <c r="I3499" s="42" t="s">
        <v>103</v>
      </c>
      <c r="J3499" s="56" t="s">
        <v>197</v>
      </c>
      <c r="K3499" s="40" t="s">
        <v>15</v>
      </c>
      <c r="L3499" s="26">
        <v>1950</v>
      </c>
      <c r="M3499" s="26">
        <v>129</v>
      </c>
      <c r="N3499" s="25">
        <f t="shared" si="109"/>
        <v>251550</v>
      </c>
      <c r="O3499" s="56"/>
    </row>
    <row r="3500" spans="1:15" hidden="1" x14ac:dyDescent="0.3">
      <c r="A3500" s="26">
        <v>33</v>
      </c>
      <c r="B3500" s="20" t="str">
        <f t="shared" si="108"/>
        <v>AUG</v>
      </c>
      <c r="C3500" s="21">
        <v>46249</v>
      </c>
      <c r="D3500" s="22" t="str">
        <f>IFERROR(INDEX('Kode Outlet dan Target Toko'!$A:$A,MATCH($I3500,'Kode Outlet dan Target Toko'!$E:$E,0)),"")</f>
        <v>GRSM 4</v>
      </c>
      <c r="E3500" s="20" t="str">
        <f>IFERROR(VLOOKUP(I3500,KET!$B:$F,4,0),"")</f>
        <v>FAHMI LUKMANUL HAKIM</v>
      </c>
      <c r="F3500" s="20" t="str">
        <f>IFERROR(VLOOKUP(I3500,KET!$B:$F,5,0),"")</f>
        <v>GMM</v>
      </c>
      <c r="G3500" s="20">
        <f>IFERROR(INDEX('Kode Outlet dan Target Toko'!$C:$C,MATCH($I3500,'Kode Outlet dan Target Toko'!$E:$E,0)),0)</f>
        <v>103259</v>
      </c>
      <c r="H3500" s="20">
        <f>IFERROR(INDEX('Kode Outlet dan Target Toko'!$D:$D,MATCH($I3500,'Kode Outlet dan Target Toko'!$E:$E,0)),0)</f>
        <v>9002359</v>
      </c>
      <c r="I3500" s="42" t="s">
        <v>103</v>
      </c>
      <c r="J3500" s="56" t="s">
        <v>197</v>
      </c>
      <c r="K3500" s="40" t="s">
        <v>14</v>
      </c>
      <c r="L3500" s="26">
        <v>1950</v>
      </c>
      <c r="M3500" s="26">
        <v>0</v>
      </c>
      <c r="N3500" s="25">
        <f t="shared" si="109"/>
        <v>0</v>
      </c>
      <c r="O3500" s="56"/>
    </row>
    <row r="3501" spans="1:15" hidden="1" x14ac:dyDescent="0.3">
      <c r="A3501" s="26">
        <v>33</v>
      </c>
      <c r="B3501" s="20" t="str">
        <f t="shared" si="108"/>
        <v>AUG</v>
      </c>
      <c r="C3501" s="21">
        <v>46249</v>
      </c>
      <c r="D3501" s="22" t="str">
        <f>IFERROR(INDEX('Kode Outlet dan Target Toko'!$A:$A,MATCH($I3501,'Kode Outlet dan Target Toko'!$E:$E,0)),"")</f>
        <v>GRSM 4</v>
      </c>
      <c r="E3501" s="20" t="str">
        <f>IFERROR(VLOOKUP(I3501,KET!$B:$F,4,0),"")</f>
        <v>FAHMI LUKMANUL HAKIM</v>
      </c>
      <c r="F3501" s="20" t="str">
        <f>IFERROR(VLOOKUP(I3501,KET!$B:$F,5,0),"")</f>
        <v>GMM</v>
      </c>
      <c r="G3501" s="20">
        <f>IFERROR(INDEX('Kode Outlet dan Target Toko'!$C:$C,MATCH($I3501,'Kode Outlet dan Target Toko'!$E:$E,0)),0)</f>
        <v>103259</v>
      </c>
      <c r="H3501" s="20">
        <f>IFERROR(INDEX('Kode Outlet dan Target Toko'!$D:$D,MATCH($I3501,'Kode Outlet dan Target Toko'!$E:$E,0)),0)</f>
        <v>9002359</v>
      </c>
      <c r="I3501" s="42" t="s">
        <v>103</v>
      </c>
      <c r="J3501" s="56" t="s">
        <v>197</v>
      </c>
      <c r="K3501" s="40" t="s">
        <v>13</v>
      </c>
      <c r="L3501" s="26">
        <v>1950</v>
      </c>
      <c r="M3501" s="26">
        <v>0</v>
      </c>
      <c r="N3501" s="25">
        <f t="shared" si="109"/>
        <v>0</v>
      </c>
      <c r="O3501" s="56"/>
    </row>
    <row r="3502" spans="1:15" hidden="1" x14ac:dyDescent="0.3">
      <c r="A3502" s="26">
        <v>33</v>
      </c>
      <c r="B3502" s="20" t="str">
        <f t="shared" si="108"/>
        <v>AUG</v>
      </c>
      <c r="C3502" s="21">
        <v>46249</v>
      </c>
      <c r="D3502" s="22" t="str">
        <f>IFERROR(INDEX('Kode Outlet dan Target Toko'!$A:$A,MATCH($I3502,'Kode Outlet dan Target Toko'!$E:$E,0)),"")</f>
        <v>GRSM 4</v>
      </c>
      <c r="E3502" s="20" t="str">
        <f>IFERROR(VLOOKUP(I3502,KET!$B:$F,4,0),"")</f>
        <v>FAHMI LUKMANUL HAKIM</v>
      </c>
      <c r="F3502" s="20" t="str">
        <f>IFERROR(VLOOKUP(I3502,KET!$B:$F,5,0),"")</f>
        <v>GMM</v>
      </c>
      <c r="G3502" s="20">
        <f>IFERROR(INDEX('Kode Outlet dan Target Toko'!$C:$C,MATCH($I3502,'Kode Outlet dan Target Toko'!$E:$E,0)),0)</f>
        <v>103259</v>
      </c>
      <c r="H3502" s="20">
        <f>IFERROR(INDEX('Kode Outlet dan Target Toko'!$D:$D,MATCH($I3502,'Kode Outlet dan Target Toko'!$E:$E,0)),0)</f>
        <v>9002359</v>
      </c>
      <c r="I3502" s="42" t="s">
        <v>103</v>
      </c>
      <c r="J3502" s="56" t="s">
        <v>197</v>
      </c>
      <c r="K3502" s="40" t="s">
        <v>16</v>
      </c>
      <c r="L3502" s="26">
        <v>1950</v>
      </c>
      <c r="M3502" s="26">
        <v>0</v>
      </c>
      <c r="N3502" s="25">
        <f t="shared" si="109"/>
        <v>0</v>
      </c>
      <c r="O3502" s="56">
        <v>160</v>
      </c>
    </row>
    <row r="3503" spans="1:15" hidden="1" x14ac:dyDescent="0.3">
      <c r="A3503" s="26">
        <v>33</v>
      </c>
      <c r="B3503" s="20" t="str">
        <f t="shared" si="108"/>
        <v>AUG</v>
      </c>
      <c r="C3503" s="21">
        <v>46249</v>
      </c>
      <c r="D3503" s="22" t="str">
        <f>IFERROR(INDEX('Kode Outlet dan Target Toko'!$A:$A,MATCH($I3503,'Kode Outlet dan Target Toko'!$E:$E,0)),"")</f>
        <v>GRSM 4</v>
      </c>
      <c r="E3503" s="20" t="str">
        <f>IFERROR(VLOOKUP(I3503,KET!$B:$F,4,0),"")</f>
        <v>FAHMI LUKMANUL HAKIM</v>
      </c>
      <c r="F3503" s="20" t="str">
        <f>IFERROR(VLOOKUP(I3503,KET!$B:$F,5,0),"")</f>
        <v>GMM</v>
      </c>
      <c r="G3503" s="20">
        <f>IFERROR(INDEX('Kode Outlet dan Target Toko'!$C:$C,MATCH($I3503,'Kode Outlet dan Target Toko'!$E:$E,0)),0)</f>
        <v>103259</v>
      </c>
      <c r="H3503" s="20">
        <f>IFERROR(INDEX('Kode Outlet dan Target Toko'!$D:$D,MATCH($I3503,'Kode Outlet dan Target Toko'!$E:$E,0)),0)</f>
        <v>9006219</v>
      </c>
      <c r="I3503" s="42" t="s">
        <v>96</v>
      </c>
      <c r="J3503" s="56" t="s">
        <v>198</v>
      </c>
      <c r="K3503" s="40" t="s">
        <v>15</v>
      </c>
      <c r="L3503" s="26">
        <v>2000</v>
      </c>
      <c r="M3503" s="26">
        <v>29</v>
      </c>
      <c r="N3503" s="25">
        <f t="shared" si="109"/>
        <v>58000</v>
      </c>
      <c r="O3503" s="56"/>
    </row>
    <row r="3504" spans="1:15" hidden="1" x14ac:dyDescent="0.3">
      <c r="A3504" s="26">
        <v>33</v>
      </c>
      <c r="B3504" s="20" t="str">
        <f t="shared" si="108"/>
        <v>AUG</v>
      </c>
      <c r="C3504" s="21">
        <v>46249</v>
      </c>
      <c r="D3504" s="22" t="str">
        <f>IFERROR(INDEX('Kode Outlet dan Target Toko'!$A:$A,MATCH($I3504,'Kode Outlet dan Target Toko'!$E:$E,0)),"")</f>
        <v>GRSM 4</v>
      </c>
      <c r="E3504" s="20" t="str">
        <f>IFERROR(VLOOKUP(I3504,KET!$B:$F,4,0),"")</f>
        <v>FAHMI LUKMANUL HAKIM</v>
      </c>
      <c r="F3504" s="20" t="str">
        <f>IFERROR(VLOOKUP(I3504,KET!$B:$F,5,0),"")</f>
        <v>GMM</v>
      </c>
      <c r="G3504" s="20">
        <f>IFERROR(INDEX('Kode Outlet dan Target Toko'!$C:$C,MATCH($I3504,'Kode Outlet dan Target Toko'!$E:$E,0)),0)</f>
        <v>103259</v>
      </c>
      <c r="H3504" s="20">
        <f>IFERROR(INDEX('Kode Outlet dan Target Toko'!$D:$D,MATCH($I3504,'Kode Outlet dan Target Toko'!$E:$E,0)),0)</f>
        <v>9006219</v>
      </c>
      <c r="I3504" s="42" t="s">
        <v>96</v>
      </c>
      <c r="J3504" s="56" t="s">
        <v>198</v>
      </c>
      <c r="K3504" s="40" t="s">
        <v>14</v>
      </c>
      <c r="L3504" s="26">
        <v>2000</v>
      </c>
      <c r="M3504" s="26">
        <v>26</v>
      </c>
      <c r="N3504" s="25">
        <f t="shared" si="109"/>
        <v>52000</v>
      </c>
      <c r="O3504" s="56"/>
    </row>
    <row r="3505" spans="1:15" hidden="1" x14ac:dyDescent="0.3">
      <c r="A3505" s="26">
        <v>33</v>
      </c>
      <c r="B3505" s="20" t="str">
        <f t="shared" si="108"/>
        <v>AUG</v>
      </c>
      <c r="C3505" s="21">
        <v>46249</v>
      </c>
      <c r="D3505" s="22" t="str">
        <f>IFERROR(INDEX('Kode Outlet dan Target Toko'!$A:$A,MATCH($I3505,'Kode Outlet dan Target Toko'!$E:$E,0)),"")</f>
        <v>GRSM 4</v>
      </c>
      <c r="E3505" s="20" t="str">
        <f>IFERROR(VLOOKUP(I3505,KET!$B:$F,4,0),"")</f>
        <v>FAHMI LUKMANUL HAKIM</v>
      </c>
      <c r="F3505" s="20" t="str">
        <f>IFERROR(VLOOKUP(I3505,KET!$B:$F,5,0),"")</f>
        <v>GMM</v>
      </c>
      <c r="G3505" s="20">
        <f>IFERROR(INDEX('Kode Outlet dan Target Toko'!$C:$C,MATCH($I3505,'Kode Outlet dan Target Toko'!$E:$E,0)),0)</f>
        <v>103259</v>
      </c>
      <c r="H3505" s="20">
        <f>IFERROR(INDEX('Kode Outlet dan Target Toko'!$D:$D,MATCH($I3505,'Kode Outlet dan Target Toko'!$E:$E,0)),0)</f>
        <v>9006219</v>
      </c>
      <c r="I3505" s="42" t="s">
        <v>96</v>
      </c>
      <c r="J3505" s="56" t="s">
        <v>198</v>
      </c>
      <c r="K3505" s="40" t="s">
        <v>13</v>
      </c>
      <c r="L3505" s="26">
        <v>2000</v>
      </c>
      <c r="M3505" s="26">
        <v>20</v>
      </c>
      <c r="N3505" s="25">
        <f t="shared" si="109"/>
        <v>40000</v>
      </c>
      <c r="O3505" s="56"/>
    </row>
    <row r="3506" spans="1:15" hidden="1" x14ac:dyDescent="0.3">
      <c r="A3506" s="26">
        <v>33</v>
      </c>
      <c r="B3506" s="20" t="str">
        <f t="shared" si="108"/>
        <v>AUG</v>
      </c>
      <c r="C3506" s="21">
        <v>46249</v>
      </c>
      <c r="D3506" s="22" t="str">
        <f>IFERROR(INDEX('Kode Outlet dan Target Toko'!$A:$A,MATCH($I3506,'Kode Outlet dan Target Toko'!$E:$E,0)),"")</f>
        <v>GRSM 4</v>
      </c>
      <c r="E3506" s="20" t="str">
        <f>IFERROR(VLOOKUP(I3506,KET!$B:$F,4,0),"")</f>
        <v>FAHMI LUKMANUL HAKIM</v>
      </c>
      <c r="F3506" s="20" t="str">
        <f>IFERROR(VLOOKUP(I3506,KET!$B:$F,5,0),"")</f>
        <v>GMM</v>
      </c>
      <c r="G3506" s="20">
        <f>IFERROR(INDEX('Kode Outlet dan Target Toko'!$C:$C,MATCH($I3506,'Kode Outlet dan Target Toko'!$E:$E,0)),0)</f>
        <v>103259</v>
      </c>
      <c r="H3506" s="20">
        <f>IFERROR(INDEX('Kode Outlet dan Target Toko'!$D:$D,MATCH($I3506,'Kode Outlet dan Target Toko'!$E:$E,0)),0)</f>
        <v>9006219</v>
      </c>
      <c r="I3506" s="42" t="s">
        <v>96</v>
      </c>
      <c r="J3506" s="56" t="s">
        <v>198</v>
      </c>
      <c r="K3506" s="40" t="s">
        <v>16</v>
      </c>
      <c r="L3506" s="26">
        <v>2000</v>
      </c>
      <c r="M3506" s="26">
        <v>128</v>
      </c>
      <c r="N3506" s="25">
        <f t="shared" si="109"/>
        <v>256000</v>
      </c>
      <c r="O3506" s="56">
        <v>160</v>
      </c>
    </row>
    <row r="3507" spans="1:15" hidden="1" x14ac:dyDescent="0.3">
      <c r="A3507" s="26">
        <v>33</v>
      </c>
      <c r="B3507" s="20" t="str">
        <f t="shared" si="108"/>
        <v>AUG</v>
      </c>
      <c r="C3507" s="21">
        <v>46249</v>
      </c>
      <c r="D3507" s="22" t="str">
        <f>IFERROR(INDEX('Kode Outlet dan Target Toko'!$A:$A,MATCH($I3507,'Kode Outlet dan Target Toko'!$E:$E,0)),"")</f>
        <v>GRSM 4</v>
      </c>
      <c r="E3507" s="20" t="str">
        <f>IFERROR(VLOOKUP(I3507,KET!$B:$F,4,0),"")</f>
        <v>FAHMI LUKMANUL HAKIM</v>
      </c>
      <c r="F3507" s="20" t="str">
        <f>IFERROR(VLOOKUP(I3507,KET!$B:$F,5,0),"")</f>
        <v>GMM</v>
      </c>
      <c r="G3507" s="20">
        <f>IFERROR(INDEX('Kode Outlet dan Target Toko'!$C:$C,MATCH($I3507,'Kode Outlet dan Target Toko'!$E:$E,0)),0)</f>
        <v>103259</v>
      </c>
      <c r="H3507" s="20">
        <f>IFERROR(INDEX('Kode Outlet dan Target Toko'!$D:$D,MATCH($I3507,'Kode Outlet dan Target Toko'!$E:$E,0)),0)</f>
        <v>9006219</v>
      </c>
      <c r="I3507" s="42" t="s">
        <v>96</v>
      </c>
      <c r="J3507" s="56" t="s">
        <v>199</v>
      </c>
      <c r="K3507" s="40" t="s">
        <v>15</v>
      </c>
      <c r="L3507" s="26">
        <v>2000</v>
      </c>
      <c r="M3507" s="26">
        <v>29</v>
      </c>
      <c r="N3507" s="25">
        <f t="shared" si="109"/>
        <v>58000</v>
      </c>
      <c r="O3507" s="56"/>
    </row>
    <row r="3508" spans="1:15" hidden="1" x14ac:dyDescent="0.3">
      <c r="A3508" s="26">
        <v>33</v>
      </c>
      <c r="B3508" s="20" t="str">
        <f t="shared" si="108"/>
        <v>AUG</v>
      </c>
      <c r="C3508" s="21">
        <v>46249</v>
      </c>
      <c r="D3508" s="22" t="str">
        <f>IFERROR(INDEX('Kode Outlet dan Target Toko'!$A:$A,MATCH($I3508,'Kode Outlet dan Target Toko'!$E:$E,0)),"")</f>
        <v>GRSM 4</v>
      </c>
      <c r="E3508" s="20" t="str">
        <f>IFERROR(VLOOKUP(I3508,KET!$B:$F,4,0),"")</f>
        <v>FAHMI LUKMANUL HAKIM</v>
      </c>
      <c r="F3508" s="20" t="str">
        <f>IFERROR(VLOOKUP(I3508,KET!$B:$F,5,0),"")</f>
        <v>GMM</v>
      </c>
      <c r="G3508" s="20">
        <f>IFERROR(INDEX('Kode Outlet dan Target Toko'!$C:$C,MATCH($I3508,'Kode Outlet dan Target Toko'!$E:$E,0)),0)</f>
        <v>103259</v>
      </c>
      <c r="H3508" s="20">
        <f>IFERROR(INDEX('Kode Outlet dan Target Toko'!$D:$D,MATCH($I3508,'Kode Outlet dan Target Toko'!$E:$E,0)),0)</f>
        <v>9006219</v>
      </c>
      <c r="I3508" s="42" t="s">
        <v>96</v>
      </c>
      <c r="J3508" s="56" t="s">
        <v>199</v>
      </c>
      <c r="K3508" s="40" t="s">
        <v>14</v>
      </c>
      <c r="L3508" s="26">
        <v>2000</v>
      </c>
      <c r="M3508" s="26">
        <v>26</v>
      </c>
      <c r="N3508" s="25">
        <f t="shared" si="109"/>
        <v>52000</v>
      </c>
      <c r="O3508" s="56"/>
    </row>
    <row r="3509" spans="1:15" hidden="1" x14ac:dyDescent="0.3">
      <c r="A3509" s="26">
        <v>33</v>
      </c>
      <c r="B3509" s="20" t="str">
        <f t="shared" si="108"/>
        <v>AUG</v>
      </c>
      <c r="C3509" s="21">
        <v>46249</v>
      </c>
      <c r="D3509" s="22" t="str">
        <f>IFERROR(INDEX('Kode Outlet dan Target Toko'!$A:$A,MATCH($I3509,'Kode Outlet dan Target Toko'!$E:$E,0)),"")</f>
        <v>GRSM 4</v>
      </c>
      <c r="E3509" s="20" t="str">
        <f>IFERROR(VLOOKUP(I3509,KET!$B:$F,4,0),"")</f>
        <v>FAHMI LUKMANUL HAKIM</v>
      </c>
      <c r="F3509" s="20" t="str">
        <f>IFERROR(VLOOKUP(I3509,KET!$B:$F,5,0),"")</f>
        <v>GMM</v>
      </c>
      <c r="G3509" s="20">
        <f>IFERROR(INDEX('Kode Outlet dan Target Toko'!$C:$C,MATCH($I3509,'Kode Outlet dan Target Toko'!$E:$E,0)),0)</f>
        <v>103259</v>
      </c>
      <c r="H3509" s="20">
        <f>IFERROR(INDEX('Kode Outlet dan Target Toko'!$D:$D,MATCH($I3509,'Kode Outlet dan Target Toko'!$E:$E,0)),0)</f>
        <v>9006219</v>
      </c>
      <c r="I3509" s="42" t="s">
        <v>96</v>
      </c>
      <c r="J3509" s="56" t="s">
        <v>199</v>
      </c>
      <c r="K3509" s="40" t="s">
        <v>13</v>
      </c>
      <c r="L3509" s="26">
        <v>2000</v>
      </c>
      <c r="M3509" s="26">
        <v>20</v>
      </c>
      <c r="N3509" s="25">
        <f t="shared" si="109"/>
        <v>40000</v>
      </c>
      <c r="O3509" s="56"/>
    </row>
    <row r="3510" spans="1:15" hidden="1" x14ac:dyDescent="0.3">
      <c r="A3510" s="26">
        <v>33</v>
      </c>
      <c r="B3510" s="20" t="str">
        <f t="shared" si="108"/>
        <v>AUG</v>
      </c>
      <c r="C3510" s="21">
        <v>46249</v>
      </c>
      <c r="D3510" s="22" t="str">
        <f>IFERROR(INDEX('Kode Outlet dan Target Toko'!$A:$A,MATCH($I3510,'Kode Outlet dan Target Toko'!$E:$E,0)),"")</f>
        <v>GRSM 4</v>
      </c>
      <c r="E3510" s="20" t="str">
        <f>IFERROR(VLOOKUP(I3510,KET!$B:$F,4,0),"")</f>
        <v>FAHMI LUKMANUL HAKIM</v>
      </c>
      <c r="F3510" s="20" t="str">
        <f>IFERROR(VLOOKUP(I3510,KET!$B:$F,5,0),"")</f>
        <v>GMM</v>
      </c>
      <c r="G3510" s="20">
        <f>IFERROR(INDEX('Kode Outlet dan Target Toko'!$C:$C,MATCH($I3510,'Kode Outlet dan Target Toko'!$E:$E,0)),0)</f>
        <v>103259</v>
      </c>
      <c r="H3510" s="20">
        <f>IFERROR(INDEX('Kode Outlet dan Target Toko'!$D:$D,MATCH($I3510,'Kode Outlet dan Target Toko'!$E:$E,0)),0)</f>
        <v>9006219</v>
      </c>
      <c r="I3510" s="42" t="s">
        <v>96</v>
      </c>
      <c r="J3510" s="56" t="s">
        <v>199</v>
      </c>
      <c r="K3510" s="40" t="s">
        <v>16</v>
      </c>
      <c r="L3510" s="26">
        <v>2000</v>
      </c>
      <c r="M3510" s="26">
        <v>128</v>
      </c>
      <c r="N3510" s="25">
        <f t="shared" si="109"/>
        <v>256000</v>
      </c>
      <c r="O3510" s="56">
        <v>160</v>
      </c>
    </row>
    <row r="3511" spans="1:15" hidden="1" x14ac:dyDescent="0.3">
      <c r="A3511" s="26">
        <v>33</v>
      </c>
      <c r="B3511" s="20" t="str">
        <f t="shared" si="108"/>
        <v>AUG</v>
      </c>
      <c r="C3511" s="21">
        <v>46249</v>
      </c>
      <c r="D3511" s="22" t="str">
        <f>IFERROR(INDEX('Kode Outlet dan Target Toko'!$A:$A,MATCH($I3511,'Kode Outlet dan Target Toko'!$E:$E,0)),"")</f>
        <v>GRSM 4</v>
      </c>
      <c r="E3511" s="20" t="str">
        <f>IFERROR(VLOOKUP(I3511,KET!$B:$F,4,0),"")</f>
        <v>FAHMI LUKMANUL HAKIM</v>
      </c>
      <c r="F3511" s="20" t="str">
        <f>IFERROR(VLOOKUP(I3511,KET!$B:$F,5,0),"")</f>
        <v>GMM</v>
      </c>
      <c r="G3511" s="20">
        <f>IFERROR(INDEX('Kode Outlet dan Target Toko'!$C:$C,MATCH($I3511,'Kode Outlet dan Target Toko'!$E:$E,0)),0)</f>
        <v>103257</v>
      </c>
      <c r="H3511" s="20">
        <f>IFERROR(INDEX('Kode Outlet dan Target Toko'!$D:$D,MATCH($I3511,'Kode Outlet dan Target Toko'!$E:$E,0)),0)</f>
        <v>9162509</v>
      </c>
      <c r="I3511" s="42" t="s">
        <v>57</v>
      </c>
      <c r="J3511" s="56" t="s">
        <v>301</v>
      </c>
      <c r="K3511" s="40" t="s">
        <v>15</v>
      </c>
      <c r="L3511" s="26">
        <v>3100</v>
      </c>
      <c r="M3511" s="26">
        <v>60</v>
      </c>
      <c r="N3511" s="25">
        <f t="shared" si="109"/>
        <v>186000</v>
      </c>
      <c r="O3511" s="56"/>
    </row>
    <row r="3512" spans="1:15" hidden="1" x14ac:dyDescent="0.3">
      <c r="A3512" s="26">
        <v>33</v>
      </c>
      <c r="B3512" s="20" t="str">
        <f t="shared" si="108"/>
        <v>AUG</v>
      </c>
      <c r="C3512" s="21">
        <v>46249</v>
      </c>
      <c r="D3512" s="22" t="str">
        <f>IFERROR(INDEX('Kode Outlet dan Target Toko'!$A:$A,MATCH($I3512,'Kode Outlet dan Target Toko'!$E:$E,0)),"")</f>
        <v>GRSM 4</v>
      </c>
      <c r="E3512" s="20" t="str">
        <f>IFERROR(VLOOKUP(I3512,KET!$B:$F,4,0),"")</f>
        <v>FAHMI LUKMANUL HAKIM</v>
      </c>
      <c r="F3512" s="20" t="str">
        <f>IFERROR(VLOOKUP(I3512,KET!$B:$F,5,0),"")</f>
        <v>GMM</v>
      </c>
      <c r="G3512" s="20">
        <f>IFERROR(INDEX('Kode Outlet dan Target Toko'!$C:$C,MATCH($I3512,'Kode Outlet dan Target Toko'!$E:$E,0)),0)</f>
        <v>103257</v>
      </c>
      <c r="H3512" s="20">
        <f>IFERROR(INDEX('Kode Outlet dan Target Toko'!$D:$D,MATCH($I3512,'Kode Outlet dan Target Toko'!$E:$E,0)),0)</f>
        <v>9162509</v>
      </c>
      <c r="I3512" s="42" t="s">
        <v>57</v>
      </c>
      <c r="J3512" s="56" t="s">
        <v>301</v>
      </c>
      <c r="K3512" s="40" t="s">
        <v>14</v>
      </c>
      <c r="L3512" s="26">
        <v>3100</v>
      </c>
      <c r="M3512" s="26">
        <v>45</v>
      </c>
      <c r="N3512" s="25">
        <f t="shared" si="109"/>
        <v>139500</v>
      </c>
      <c r="O3512" s="56"/>
    </row>
    <row r="3513" spans="1:15" hidden="1" x14ac:dyDescent="0.3">
      <c r="A3513" s="26">
        <v>33</v>
      </c>
      <c r="B3513" s="20" t="str">
        <f t="shared" si="108"/>
        <v>AUG</v>
      </c>
      <c r="C3513" s="21">
        <v>46249</v>
      </c>
      <c r="D3513" s="22" t="str">
        <f>IFERROR(INDEX('Kode Outlet dan Target Toko'!$A:$A,MATCH($I3513,'Kode Outlet dan Target Toko'!$E:$E,0)),"")</f>
        <v>GRSM 4</v>
      </c>
      <c r="E3513" s="20" t="str">
        <f>IFERROR(VLOOKUP(I3513,KET!$B:$F,4,0),"")</f>
        <v>FAHMI LUKMANUL HAKIM</v>
      </c>
      <c r="F3513" s="20" t="str">
        <f>IFERROR(VLOOKUP(I3513,KET!$B:$F,5,0),"")</f>
        <v>GMM</v>
      </c>
      <c r="G3513" s="20">
        <f>IFERROR(INDEX('Kode Outlet dan Target Toko'!$C:$C,MATCH($I3513,'Kode Outlet dan Target Toko'!$E:$E,0)),0)</f>
        <v>103257</v>
      </c>
      <c r="H3513" s="20">
        <f>IFERROR(INDEX('Kode Outlet dan Target Toko'!$D:$D,MATCH($I3513,'Kode Outlet dan Target Toko'!$E:$E,0)),0)</f>
        <v>9162509</v>
      </c>
      <c r="I3513" s="42" t="s">
        <v>57</v>
      </c>
      <c r="J3513" s="56" t="s">
        <v>301</v>
      </c>
      <c r="K3513" s="40" t="s">
        <v>13</v>
      </c>
      <c r="L3513" s="26">
        <v>3100</v>
      </c>
      <c r="M3513" s="26">
        <v>0</v>
      </c>
      <c r="N3513" s="25">
        <f t="shared" si="109"/>
        <v>0</v>
      </c>
      <c r="O3513" s="56"/>
    </row>
    <row r="3514" spans="1:15" hidden="1" x14ac:dyDescent="0.3">
      <c r="A3514" s="26">
        <v>33</v>
      </c>
      <c r="B3514" s="20" t="str">
        <f t="shared" si="108"/>
        <v>AUG</v>
      </c>
      <c r="C3514" s="21">
        <v>46249</v>
      </c>
      <c r="D3514" s="22" t="str">
        <f>IFERROR(INDEX('Kode Outlet dan Target Toko'!$A:$A,MATCH($I3514,'Kode Outlet dan Target Toko'!$E:$E,0)),"")</f>
        <v>GRSM 4</v>
      </c>
      <c r="E3514" s="20" t="str">
        <f>IFERROR(VLOOKUP(I3514,KET!$B:$F,4,0),"")</f>
        <v>FAHMI LUKMANUL HAKIM</v>
      </c>
      <c r="F3514" s="20" t="str">
        <f>IFERROR(VLOOKUP(I3514,KET!$B:$F,5,0),"")</f>
        <v>GMM</v>
      </c>
      <c r="G3514" s="20">
        <f>IFERROR(INDEX('Kode Outlet dan Target Toko'!$C:$C,MATCH($I3514,'Kode Outlet dan Target Toko'!$E:$E,0)),0)</f>
        <v>103257</v>
      </c>
      <c r="H3514" s="20">
        <f>IFERROR(INDEX('Kode Outlet dan Target Toko'!$D:$D,MATCH($I3514,'Kode Outlet dan Target Toko'!$E:$E,0)),0)</f>
        <v>9162509</v>
      </c>
      <c r="I3514" s="42" t="s">
        <v>57</v>
      </c>
      <c r="J3514" s="56" t="s">
        <v>301</v>
      </c>
      <c r="K3514" s="40" t="s">
        <v>16</v>
      </c>
      <c r="L3514" s="26">
        <v>3100</v>
      </c>
      <c r="M3514" s="26">
        <v>27</v>
      </c>
      <c r="N3514" s="25">
        <f t="shared" si="109"/>
        <v>83700</v>
      </c>
      <c r="O3514" s="56">
        <v>160</v>
      </c>
    </row>
    <row r="3515" spans="1:15" hidden="1" x14ac:dyDescent="0.3">
      <c r="A3515" s="26">
        <v>33</v>
      </c>
      <c r="B3515" s="20" t="str">
        <f t="shared" si="108"/>
        <v>AUG</v>
      </c>
      <c r="C3515" s="21">
        <v>46250</v>
      </c>
      <c r="D3515" s="22" t="str">
        <f>IFERROR(INDEX('Kode Outlet dan Target Toko'!$A:$A,MATCH($I3515,'Kode Outlet dan Target Toko'!$E:$E,0)),"")</f>
        <v>GRSM 4</v>
      </c>
      <c r="E3515" s="20" t="str">
        <f>IFERROR(VLOOKUP(I3515,KET!$B:$F,4,0),"")</f>
        <v>FAHMI LUKMANUL HAKIM</v>
      </c>
      <c r="F3515" s="20" t="str">
        <f>IFERROR(VLOOKUP(I3515,KET!$B:$F,5,0),"")</f>
        <v>GMM</v>
      </c>
      <c r="G3515" s="20">
        <f>IFERROR(INDEX('Kode Outlet dan Target Toko'!$C:$C,MATCH($I3515,'Kode Outlet dan Target Toko'!$E:$E,0)),0)</f>
        <v>103258</v>
      </c>
      <c r="H3515" s="20">
        <f>IFERROR(INDEX('Kode Outlet dan Target Toko'!$D:$D,MATCH($I3515,'Kode Outlet dan Target Toko'!$E:$E,0)),0)</f>
        <v>9201924</v>
      </c>
      <c r="I3515" s="42" t="s">
        <v>95</v>
      </c>
      <c r="J3515" s="56" t="s">
        <v>253</v>
      </c>
      <c r="K3515" s="40" t="s">
        <v>15</v>
      </c>
      <c r="L3515" s="26">
        <v>2000</v>
      </c>
      <c r="M3515" s="26">
        <v>54</v>
      </c>
      <c r="N3515" s="25">
        <f t="shared" si="109"/>
        <v>108000</v>
      </c>
      <c r="O3515" s="56"/>
    </row>
    <row r="3516" spans="1:15" hidden="1" x14ac:dyDescent="0.3">
      <c r="A3516" s="26">
        <v>33</v>
      </c>
      <c r="B3516" s="20" t="str">
        <f t="shared" si="108"/>
        <v>AUG</v>
      </c>
      <c r="C3516" s="21">
        <v>46250</v>
      </c>
      <c r="D3516" s="22" t="str">
        <f>IFERROR(INDEX('Kode Outlet dan Target Toko'!$A:$A,MATCH($I3516,'Kode Outlet dan Target Toko'!$E:$E,0)),"")</f>
        <v>GRSM 4</v>
      </c>
      <c r="E3516" s="20" t="str">
        <f>IFERROR(VLOOKUP(I3516,KET!$B:$F,4,0),"")</f>
        <v>FAHMI LUKMANUL HAKIM</v>
      </c>
      <c r="F3516" s="20" t="str">
        <f>IFERROR(VLOOKUP(I3516,KET!$B:$F,5,0),"")</f>
        <v>GMM</v>
      </c>
      <c r="G3516" s="20">
        <f>IFERROR(INDEX('Kode Outlet dan Target Toko'!$C:$C,MATCH($I3516,'Kode Outlet dan Target Toko'!$E:$E,0)),0)</f>
        <v>103258</v>
      </c>
      <c r="H3516" s="20">
        <f>IFERROR(INDEX('Kode Outlet dan Target Toko'!$D:$D,MATCH($I3516,'Kode Outlet dan Target Toko'!$E:$E,0)),0)</f>
        <v>9201924</v>
      </c>
      <c r="I3516" s="42" t="s">
        <v>95</v>
      </c>
      <c r="J3516" s="56" t="s">
        <v>253</v>
      </c>
      <c r="K3516" s="40" t="s">
        <v>14</v>
      </c>
      <c r="L3516" s="26">
        <v>2000</v>
      </c>
      <c r="M3516" s="26">
        <v>49</v>
      </c>
      <c r="N3516" s="25">
        <f t="shared" si="109"/>
        <v>98000</v>
      </c>
      <c r="O3516" s="56"/>
    </row>
    <row r="3517" spans="1:15" hidden="1" x14ac:dyDescent="0.3">
      <c r="A3517" s="26">
        <v>33</v>
      </c>
      <c r="B3517" s="20" t="str">
        <f t="shared" si="108"/>
        <v>AUG</v>
      </c>
      <c r="C3517" s="21">
        <v>46250</v>
      </c>
      <c r="D3517" s="22" t="str">
        <f>IFERROR(INDEX('Kode Outlet dan Target Toko'!$A:$A,MATCH($I3517,'Kode Outlet dan Target Toko'!$E:$E,0)),"")</f>
        <v>GRSM 4</v>
      </c>
      <c r="E3517" s="20" t="str">
        <f>IFERROR(VLOOKUP(I3517,KET!$B:$F,4,0),"")</f>
        <v>FAHMI LUKMANUL HAKIM</v>
      </c>
      <c r="F3517" s="20" t="str">
        <f>IFERROR(VLOOKUP(I3517,KET!$B:$F,5,0),"")</f>
        <v>GMM</v>
      </c>
      <c r="G3517" s="20">
        <f>IFERROR(INDEX('Kode Outlet dan Target Toko'!$C:$C,MATCH($I3517,'Kode Outlet dan Target Toko'!$E:$E,0)),0)</f>
        <v>103258</v>
      </c>
      <c r="H3517" s="20">
        <f>IFERROR(INDEX('Kode Outlet dan Target Toko'!$D:$D,MATCH($I3517,'Kode Outlet dan Target Toko'!$E:$E,0)),0)</f>
        <v>9201924</v>
      </c>
      <c r="I3517" s="42" t="s">
        <v>95</v>
      </c>
      <c r="J3517" s="56" t="s">
        <v>253</v>
      </c>
      <c r="K3517" s="40" t="s">
        <v>13</v>
      </c>
      <c r="L3517" s="26">
        <v>2000</v>
      </c>
      <c r="M3517" s="26">
        <v>33</v>
      </c>
      <c r="N3517" s="25">
        <f t="shared" si="109"/>
        <v>66000</v>
      </c>
      <c r="O3517" s="56"/>
    </row>
    <row r="3518" spans="1:15" hidden="1" x14ac:dyDescent="0.3">
      <c r="A3518" s="26">
        <v>33</v>
      </c>
      <c r="B3518" s="20" t="str">
        <f t="shared" si="108"/>
        <v>AUG</v>
      </c>
      <c r="C3518" s="21">
        <v>46250</v>
      </c>
      <c r="D3518" s="22" t="str">
        <f>IFERROR(INDEX('Kode Outlet dan Target Toko'!$A:$A,MATCH($I3518,'Kode Outlet dan Target Toko'!$E:$E,0)),"")</f>
        <v>GRSM 4</v>
      </c>
      <c r="E3518" s="20" t="str">
        <f>IFERROR(VLOOKUP(I3518,KET!$B:$F,4,0),"")</f>
        <v>FAHMI LUKMANUL HAKIM</v>
      </c>
      <c r="F3518" s="20" t="str">
        <f>IFERROR(VLOOKUP(I3518,KET!$B:$F,5,0),"")</f>
        <v>GMM</v>
      </c>
      <c r="G3518" s="20">
        <f>IFERROR(INDEX('Kode Outlet dan Target Toko'!$C:$C,MATCH($I3518,'Kode Outlet dan Target Toko'!$E:$E,0)),0)</f>
        <v>103258</v>
      </c>
      <c r="H3518" s="20">
        <f>IFERROR(INDEX('Kode Outlet dan Target Toko'!$D:$D,MATCH($I3518,'Kode Outlet dan Target Toko'!$E:$E,0)),0)</f>
        <v>9201924</v>
      </c>
      <c r="I3518" s="42" t="s">
        <v>95</v>
      </c>
      <c r="J3518" s="56" t="s">
        <v>253</v>
      </c>
      <c r="K3518" s="40" t="s">
        <v>16</v>
      </c>
      <c r="L3518" s="26">
        <v>2000</v>
      </c>
      <c r="M3518" s="26">
        <v>80</v>
      </c>
      <c r="N3518" s="25">
        <f t="shared" si="109"/>
        <v>160000</v>
      </c>
      <c r="O3518" s="56">
        <v>160</v>
      </c>
    </row>
    <row r="3519" spans="1:15" hidden="1" x14ac:dyDescent="0.3">
      <c r="A3519" s="26">
        <v>33</v>
      </c>
      <c r="B3519" s="20" t="str">
        <f t="shared" si="108"/>
        <v>AUG</v>
      </c>
      <c r="C3519" s="21">
        <v>46250</v>
      </c>
      <c r="D3519" s="22" t="str">
        <f>IFERROR(INDEX('Kode Outlet dan Target Toko'!$A:$A,MATCH($I3519,'Kode Outlet dan Target Toko'!$E:$E,0)),"")</f>
        <v>GRSM 4</v>
      </c>
      <c r="E3519" s="20" t="str">
        <f>IFERROR(VLOOKUP(I3519,KET!$B:$F,4,0),"")</f>
        <v>FAHMI LUKMANUL HAKIM</v>
      </c>
      <c r="F3519" s="20" t="str">
        <f>IFERROR(VLOOKUP(I3519,KET!$B:$F,5,0),"")</f>
        <v>GMM</v>
      </c>
      <c r="G3519" s="20">
        <f>IFERROR(INDEX('Kode Outlet dan Target Toko'!$C:$C,MATCH($I3519,'Kode Outlet dan Target Toko'!$E:$E,0)),0)</f>
        <v>103258</v>
      </c>
      <c r="H3519" s="20">
        <f>IFERROR(INDEX('Kode Outlet dan Target Toko'!$D:$D,MATCH($I3519,'Kode Outlet dan Target Toko'!$E:$E,0)),0)</f>
        <v>9201924</v>
      </c>
      <c r="I3519" s="42" t="s">
        <v>95</v>
      </c>
      <c r="J3519" s="56" t="s">
        <v>200</v>
      </c>
      <c r="K3519" s="40" t="s">
        <v>15</v>
      </c>
      <c r="L3519" s="26">
        <v>2000</v>
      </c>
      <c r="M3519" s="26">
        <v>54</v>
      </c>
      <c r="N3519" s="25">
        <f t="shared" si="109"/>
        <v>108000</v>
      </c>
      <c r="O3519" s="56"/>
    </row>
    <row r="3520" spans="1:15" hidden="1" x14ac:dyDescent="0.3">
      <c r="A3520" s="26">
        <v>33</v>
      </c>
      <c r="B3520" s="20" t="str">
        <f t="shared" si="108"/>
        <v>AUG</v>
      </c>
      <c r="C3520" s="21">
        <v>46250</v>
      </c>
      <c r="D3520" s="22" t="str">
        <f>IFERROR(INDEX('Kode Outlet dan Target Toko'!$A:$A,MATCH($I3520,'Kode Outlet dan Target Toko'!$E:$E,0)),"")</f>
        <v>GRSM 4</v>
      </c>
      <c r="E3520" s="20" t="str">
        <f>IFERROR(VLOOKUP(I3520,KET!$B:$F,4,0),"")</f>
        <v>FAHMI LUKMANUL HAKIM</v>
      </c>
      <c r="F3520" s="20" t="str">
        <f>IFERROR(VLOOKUP(I3520,KET!$B:$F,5,0),"")</f>
        <v>GMM</v>
      </c>
      <c r="G3520" s="20">
        <f>IFERROR(INDEX('Kode Outlet dan Target Toko'!$C:$C,MATCH($I3520,'Kode Outlet dan Target Toko'!$E:$E,0)),0)</f>
        <v>103258</v>
      </c>
      <c r="H3520" s="20">
        <f>IFERROR(INDEX('Kode Outlet dan Target Toko'!$D:$D,MATCH($I3520,'Kode Outlet dan Target Toko'!$E:$E,0)),0)</f>
        <v>9201924</v>
      </c>
      <c r="I3520" s="42" t="s">
        <v>95</v>
      </c>
      <c r="J3520" s="56" t="s">
        <v>200</v>
      </c>
      <c r="K3520" s="40" t="s">
        <v>14</v>
      </c>
      <c r="L3520" s="26">
        <v>2000</v>
      </c>
      <c r="M3520" s="26">
        <v>49</v>
      </c>
      <c r="N3520" s="25">
        <f t="shared" si="109"/>
        <v>98000</v>
      </c>
      <c r="O3520" s="56"/>
    </row>
    <row r="3521" spans="1:15" hidden="1" x14ac:dyDescent="0.3">
      <c r="A3521" s="26">
        <v>33</v>
      </c>
      <c r="B3521" s="20" t="str">
        <f t="shared" si="108"/>
        <v>AUG</v>
      </c>
      <c r="C3521" s="21">
        <v>46250</v>
      </c>
      <c r="D3521" s="22" t="str">
        <f>IFERROR(INDEX('Kode Outlet dan Target Toko'!$A:$A,MATCH($I3521,'Kode Outlet dan Target Toko'!$E:$E,0)),"")</f>
        <v>GRSM 4</v>
      </c>
      <c r="E3521" s="20" t="str">
        <f>IFERROR(VLOOKUP(I3521,KET!$B:$F,4,0),"")</f>
        <v>FAHMI LUKMANUL HAKIM</v>
      </c>
      <c r="F3521" s="20" t="str">
        <f>IFERROR(VLOOKUP(I3521,KET!$B:$F,5,0),"")</f>
        <v>GMM</v>
      </c>
      <c r="G3521" s="20">
        <f>IFERROR(INDEX('Kode Outlet dan Target Toko'!$C:$C,MATCH($I3521,'Kode Outlet dan Target Toko'!$E:$E,0)),0)</f>
        <v>103258</v>
      </c>
      <c r="H3521" s="20">
        <f>IFERROR(INDEX('Kode Outlet dan Target Toko'!$D:$D,MATCH($I3521,'Kode Outlet dan Target Toko'!$E:$E,0)),0)</f>
        <v>9201924</v>
      </c>
      <c r="I3521" s="42" t="s">
        <v>95</v>
      </c>
      <c r="J3521" s="56" t="s">
        <v>200</v>
      </c>
      <c r="K3521" s="40" t="s">
        <v>13</v>
      </c>
      <c r="L3521" s="26">
        <v>2000</v>
      </c>
      <c r="M3521" s="26">
        <v>33</v>
      </c>
      <c r="N3521" s="25">
        <f t="shared" si="109"/>
        <v>66000</v>
      </c>
      <c r="O3521" s="56"/>
    </row>
    <row r="3522" spans="1:15" hidden="1" x14ac:dyDescent="0.3">
      <c r="A3522" s="26">
        <v>33</v>
      </c>
      <c r="B3522" s="20" t="str">
        <f t="shared" si="108"/>
        <v>AUG</v>
      </c>
      <c r="C3522" s="21">
        <v>46250</v>
      </c>
      <c r="D3522" s="22" t="str">
        <f>IFERROR(INDEX('Kode Outlet dan Target Toko'!$A:$A,MATCH($I3522,'Kode Outlet dan Target Toko'!$E:$E,0)),"")</f>
        <v>GRSM 4</v>
      </c>
      <c r="E3522" s="20" t="str">
        <f>IFERROR(VLOOKUP(I3522,KET!$B:$F,4,0),"")</f>
        <v>FAHMI LUKMANUL HAKIM</v>
      </c>
      <c r="F3522" s="20" t="str">
        <f>IFERROR(VLOOKUP(I3522,KET!$B:$F,5,0),"")</f>
        <v>GMM</v>
      </c>
      <c r="G3522" s="20">
        <f>IFERROR(INDEX('Kode Outlet dan Target Toko'!$C:$C,MATCH($I3522,'Kode Outlet dan Target Toko'!$E:$E,0)),0)</f>
        <v>103258</v>
      </c>
      <c r="H3522" s="20">
        <f>IFERROR(INDEX('Kode Outlet dan Target Toko'!$D:$D,MATCH($I3522,'Kode Outlet dan Target Toko'!$E:$E,0)),0)</f>
        <v>9201924</v>
      </c>
      <c r="I3522" s="42" t="s">
        <v>95</v>
      </c>
      <c r="J3522" s="56" t="s">
        <v>200</v>
      </c>
      <c r="K3522" s="40" t="s">
        <v>16</v>
      </c>
      <c r="L3522" s="26">
        <v>2000</v>
      </c>
      <c r="M3522" s="26">
        <v>80</v>
      </c>
      <c r="N3522" s="25">
        <f t="shared" si="109"/>
        <v>160000</v>
      </c>
      <c r="O3522" s="56">
        <v>160</v>
      </c>
    </row>
    <row r="3523" spans="1:15" hidden="1" x14ac:dyDescent="0.3">
      <c r="A3523" s="26">
        <v>33</v>
      </c>
      <c r="B3523" s="20" t="str">
        <f t="shared" si="108"/>
        <v>AUG</v>
      </c>
      <c r="C3523" s="21">
        <v>46250</v>
      </c>
      <c r="D3523" s="22" t="str">
        <f>IFERROR(INDEX('Kode Outlet dan Target Toko'!$A:$A,MATCH($I3523,'Kode Outlet dan Target Toko'!$E:$E,0)),"")</f>
        <v>GRSM 4</v>
      </c>
      <c r="E3523" s="20" t="str">
        <f>IFERROR(VLOOKUP(I3523,KET!$B:$F,4,0),"")</f>
        <v>FAHMI LUKMANUL HAKIM</v>
      </c>
      <c r="F3523" s="20" t="str">
        <f>IFERROR(VLOOKUP(I3523,KET!$B:$F,5,0),"")</f>
        <v>GMM</v>
      </c>
      <c r="G3523" s="20">
        <f>IFERROR(INDEX('Kode Outlet dan Target Toko'!$C:$C,MATCH($I3523,'Kode Outlet dan Target Toko'!$E:$E,0)),0)</f>
        <v>103712</v>
      </c>
      <c r="H3523" s="20">
        <f>IFERROR(INDEX('Kode Outlet dan Target Toko'!$D:$D,MATCH($I3523,'Kode Outlet dan Target Toko'!$E:$E,0)),0)</f>
        <v>4404677</v>
      </c>
      <c r="I3523" s="42" t="s">
        <v>99</v>
      </c>
      <c r="J3523" s="56" t="s">
        <v>179</v>
      </c>
      <c r="K3523" s="40" t="s">
        <v>15</v>
      </c>
      <c r="L3523" s="26">
        <v>3000</v>
      </c>
      <c r="M3523" s="26">
        <v>32</v>
      </c>
      <c r="N3523" s="25">
        <f t="shared" si="109"/>
        <v>96000</v>
      </c>
      <c r="O3523" s="56"/>
    </row>
    <row r="3524" spans="1:15" hidden="1" x14ac:dyDescent="0.3">
      <c r="A3524" s="26">
        <v>33</v>
      </c>
      <c r="B3524" s="20" t="str">
        <f t="shared" si="108"/>
        <v>AUG</v>
      </c>
      <c r="C3524" s="21">
        <v>46250</v>
      </c>
      <c r="D3524" s="22" t="str">
        <f>IFERROR(INDEX('Kode Outlet dan Target Toko'!$A:$A,MATCH($I3524,'Kode Outlet dan Target Toko'!$E:$E,0)),"")</f>
        <v>GRSM 4</v>
      </c>
      <c r="E3524" s="20" t="str">
        <f>IFERROR(VLOOKUP(I3524,KET!$B:$F,4,0),"")</f>
        <v>FAHMI LUKMANUL HAKIM</v>
      </c>
      <c r="F3524" s="20" t="str">
        <f>IFERROR(VLOOKUP(I3524,KET!$B:$F,5,0),"")</f>
        <v>GMM</v>
      </c>
      <c r="G3524" s="20">
        <f>IFERROR(INDEX('Kode Outlet dan Target Toko'!$C:$C,MATCH($I3524,'Kode Outlet dan Target Toko'!$E:$E,0)),0)</f>
        <v>103712</v>
      </c>
      <c r="H3524" s="20">
        <f>IFERROR(INDEX('Kode Outlet dan Target Toko'!$D:$D,MATCH($I3524,'Kode Outlet dan Target Toko'!$E:$E,0)),0)</f>
        <v>4404677</v>
      </c>
      <c r="I3524" s="42" t="s">
        <v>99</v>
      </c>
      <c r="J3524" s="56" t="s">
        <v>179</v>
      </c>
      <c r="K3524" s="40" t="s">
        <v>14</v>
      </c>
      <c r="L3524" s="26">
        <v>3000</v>
      </c>
      <c r="M3524" s="26">
        <v>40</v>
      </c>
      <c r="N3524" s="25">
        <f t="shared" si="109"/>
        <v>120000</v>
      </c>
      <c r="O3524" s="56"/>
    </row>
    <row r="3525" spans="1:15" hidden="1" x14ac:dyDescent="0.3">
      <c r="A3525" s="26">
        <v>33</v>
      </c>
      <c r="B3525" s="20" t="str">
        <f t="shared" si="108"/>
        <v>AUG</v>
      </c>
      <c r="C3525" s="21">
        <v>46250</v>
      </c>
      <c r="D3525" s="22" t="str">
        <f>IFERROR(INDEX('Kode Outlet dan Target Toko'!$A:$A,MATCH($I3525,'Kode Outlet dan Target Toko'!$E:$E,0)),"")</f>
        <v>GRSM 4</v>
      </c>
      <c r="E3525" s="20" t="str">
        <f>IFERROR(VLOOKUP(I3525,KET!$B:$F,4,0),"")</f>
        <v>FAHMI LUKMANUL HAKIM</v>
      </c>
      <c r="F3525" s="20" t="str">
        <f>IFERROR(VLOOKUP(I3525,KET!$B:$F,5,0),"")</f>
        <v>GMM</v>
      </c>
      <c r="G3525" s="20">
        <f>IFERROR(INDEX('Kode Outlet dan Target Toko'!$C:$C,MATCH($I3525,'Kode Outlet dan Target Toko'!$E:$E,0)),0)</f>
        <v>103712</v>
      </c>
      <c r="H3525" s="20">
        <f>IFERROR(INDEX('Kode Outlet dan Target Toko'!$D:$D,MATCH($I3525,'Kode Outlet dan Target Toko'!$E:$E,0)),0)</f>
        <v>4404677</v>
      </c>
      <c r="I3525" s="42" t="s">
        <v>99</v>
      </c>
      <c r="J3525" s="56" t="s">
        <v>179</v>
      </c>
      <c r="K3525" s="40" t="s">
        <v>13</v>
      </c>
      <c r="L3525" s="26">
        <v>3000</v>
      </c>
      <c r="M3525" s="26">
        <v>30</v>
      </c>
      <c r="N3525" s="25">
        <f t="shared" si="109"/>
        <v>90000</v>
      </c>
      <c r="O3525" s="56"/>
    </row>
    <row r="3526" spans="1:15" hidden="1" x14ac:dyDescent="0.3">
      <c r="A3526" s="26">
        <v>33</v>
      </c>
      <c r="B3526" s="20" t="str">
        <f t="shared" si="108"/>
        <v>AUG</v>
      </c>
      <c r="C3526" s="21">
        <v>46250</v>
      </c>
      <c r="D3526" s="22" t="str">
        <f>IFERROR(INDEX('Kode Outlet dan Target Toko'!$A:$A,MATCH($I3526,'Kode Outlet dan Target Toko'!$E:$E,0)),"")</f>
        <v>GRSM 4</v>
      </c>
      <c r="E3526" s="20" t="str">
        <f>IFERROR(VLOOKUP(I3526,KET!$B:$F,4,0),"")</f>
        <v>FAHMI LUKMANUL HAKIM</v>
      </c>
      <c r="F3526" s="20" t="str">
        <f>IFERROR(VLOOKUP(I3526,KET!$B:$F,5,0),"")</f>
        <v>GMM</v>
      </c>
      <c r="G3526" s="20">
        <f>IFERROR(INDEX('Kode Outlet dan Target Toko'!$C:$C,MATCH($I3526,'Kode Outlet dan Target Toko'!$E:$E,0)),0)</f>
        <v>103712</v>
      </c>
      <c r="H3526" s="20">
        <f>IFERROR(INDEX('Kode Outlet dan Target Toko'!$D:$D,MATCH($I3526,'Kode Outlet dan Target Toko'!$E:$E,0)),0)</f>
        <v>4404677</v>
      </c>
      <c r="I3526" s="42" t="s">
        <v>99</v>
      </c>
      <c r="J3526" s="56" t="s">
        <v>179</v>
      </c>
      <c r="K3526" s="40" t="s">
        <v>16</v>
      </c>
      <c r="L3526" s="26">
        <v>3000</v>
      </c>
      <c r="M3526" s="26">
        <v>129</v>
      </c>
      <c r="N3526" s="25">
        <f t="shared" si="109"/>
        <v>387000</v>
      </c>
      <c r="O3526" s="56">
        <v>160</v>
      </c>
    </row>
    <row r="3527" spans="1:15" hidden="1" x14ac:dyDescent="0.3">
      <c r="A3527" s="26">
        <v>33</v>
      </c>
      <c r="B3527" s="20" t="str">
        <f t="shared" ref="B3527:B3590" si="110">IF(C3527="","",UPPER(TEXT(C3527, "MMM")))</f>
        <v>AUG</v>
      </c>
      <c r="C3527" s="21">
        <v>46250</v>
      </c>
      <c r="D3527" s="22" t="str">
        <f>IFERROR(INDEX('Kode Outlet dan Target Toko'!$A:$A,MATCH($I3527,'Kode Outlet dan Target Toko'!$E:$E,0)),"")</f>
        <v>GRSM 4</v>
      </c>
      <c r="E3527" s="20" t="str">
        <f>IFERROR(VLOOKUP(I3527,KET!$B:$F,4,0),"")</f>
        <v>FAHMI LUKMANUL HAKIM</v>
      </c>
      <c r="F3527" s="20" t="str">
        <f>IFERROR(VLOOKUP(I3527,KET!$B:$F,5,0),"")</f>
        <v>NKA</v>
      </c>
      <c r="G3527" s="20">
        <f>IFERROR(INDEX('Kode Outlet dan Target Toko'!$C:$C,MATCH($I3527,'Kode Outlet dan Target Toko'!$E:$E,0)),0)</f>
        <v>121409</v>
      </c>
      <c r="H3527" s="20">
        <f>IFERROR(INDEX('Kode Outlet dan Target Toko'!$D:$D,MATCH($I3527,'Kode Outlet dan Target Toko'!$E:$E,0)),0)</f>
        <v>5025004</v>
      </c>
      <c r="I3527" s="42" t="s">
        <v>112</v>
      </c>
      <c r="J3527" s="56" t="s">
        <v>185</v>
      </c>
      <c r="K3527" s="40" t="s">
        <v>15</v>
      </c>
      <c r="L3527" s="26">
        <v>3275</v>
      </c>
      <c r="M3527" s="26">
        <v>80</v>
      </c>
      <c r="N3527" s="25">
        <f t="shared" ref="N3527:N3590" si="111">IFERROR(M3527*L3527,"")</f>
        <v>262000</v>
      </c>
      <c r="O3527" s="56"/>
    </row>
    <row r="3528" spans="1:15" hidden="1" x14ac:dyDescent="0.3">
      <c r="A3528" s="26">
        <v>33</v>
      </c>
      <c r="B3528" s="20" t="str">
        <f t="shared" si="110"/>
        <v>AUG</v>
      </c>
      <c r="C3528" s="21">
        <v>46250</v>
      </c>
      <c r="D3528" s="22" t="str">
        <f>IFERROR(INDEX('Kode Outlet dan Target Toko'!$A:$A,MATCH($I3528,'Kode Outlet dan Target Toko'!$E:$E,0)),"")</f>
        <v>GRSM 4</v>
      </c>
      <c r="E3528" s="20" t="str">
        <f>IFERROR(VLOOKUP(I3528,KET!$B:$F,4,0),"")</f>
        <v>FAHMI LUKMANUL HAKIM</v>
      </c>
      <c r="F3528" s="20" t="str">
        <f>IFERROR(VLOOKUP(I3528,KET!$B:$F,5,0),"")</f>
        <v>NKA</v>
      </c>
      <c r="G3528" s="20">
        <f>IFERROR(INDEX('Kode Outlet dan Target Toko'!$C:$C,MATCH($I3528,'Kode Outlet dan Target Toko'!$E:$E,0)),0)</f>
        <v>121409</v>
      </c>
      <c r="H3528" s="20">
        <f>IFERROR(INDEX('Kode Outlet dan Target Toko'!$D:$D,MATCH($I3528,'Kode Outlet dan Target Toko'!$E:$E,0)),0)</f>
        <v>5025004</v>
      </c>
      <c r="I3528" s="42" t="s">
        <v>112</v>
      </c>
      <c r="J3528" s="56" t="s">
        <v>185</v>
      </c>
      <c r="K3528" s="40" t="s">
        <v>14</v>
      </c>
      <c r="L3528" s="26">
        <v>3275</v>
      </c>
      <c r="M3528" s="26">
        <v>84</v>
      </c>
      <c r="N3528" s="25">
        <f t="shared" si="111"/>
        <v>275100</v>
      </c>
      <c r="O3528" s="56"/>
    </row>
    <row r="3529" spans="1:15" hidden="1" x14ac:dyDescent="0.3">
      <c r="A3529" s="26">
        <v>33</v>
      </c>
      <c r="B3529" s="20" t="str">
        <f t="shared" si="110"/>
        <v>AUG</v>
      </c>
      <c r="C3529" s="21">
        <v>46250</v>
      </c>
      <c r="D3529" s="22" t="str">
        <f>IFERROR(INDEX('Kode Outlet dan Target Toko'!$A:$A,MATCH($I3529,'Kode Outlet dan Target Toko'!$E:$E,0)),"")</f>
        <v>GRSM 4</v>
      </c>
      <c r="E3529" s="20" t="str">
        <f>IFERROR(VLOOKUP(I3529,KET!$B:$F,4,0),"")</f>
        <v>FAHMI LUKMANUL HAKIM</v>
      </c>
      <c r="F3529" s="20" t="str">
        <f>IFERROR(VLOOKUP(I3529,KET!$B:$F,5,0),"")</f>
        <v>NKA</v>
      </c>
      <c r="G3529" s="20">
        <f>IFERROR(INDEX('Kode Outlet dan Target Toko'!$C:$C,MATCH($I3529,'Kode Outlet dan Target Toko'!$E:$E,0)),0)</f>
        <v>121409</v>
      </c>
      <c r="H3529" s="20">
        <f>IFERROR(INDEX('Kode Outlet dan Target Toko'!$D:$D,MATCH($I3529,'Kode Outlet dan Target Toko'!$E:$E,0)),0)</f>
        <v>5025004</v>
      </c>
      <c r="I3529" s="42" t="s">
        <v>112</v>
      </c>
      <c r="J3529" s="56" t="s">
        <v>185</v>
      </c>
      <c r="K3529" s="40" t="s">
        <v>13</v>
      </c>
      <c r="L3529" s="26">
        <v>3275</v>
      </c>
      <c r="M3529" s="26">
        <v>49</v>
      </c>
      <c r="N3529" s="25">
        <f t="shared" si="111"/>
        <v>160475</v>
      </c>
      <c r="O3529" s="56"/>
    </row>
    <row r="3530" spans="1:15" hidden="1" x14ac:dyDescent="0.3">
      <c r="A3530" s="26">
        <v>33</v>
      </c>
      <c r="B3530" s="20" t="str">
        <f t="shared" si="110"/>
        <v>AUG</v>
      </c>
      <c r="C3530" s="21">
        <v>46250</v>
      </c>
      <c r="D3530" s="22" t="str">
        <f>IFERROR(INDEX('Kode Outlet dan Target Toko'!$A:$A,MATCH($I3530,'Kode Outlet dan Target Toko'!$E:$E,0)),"")</f>
        <v>GRSM 4</v>
      </c>
      <c r="E3530" s="20" t="str">
        <f>IFERROR(VLOOKUP(I3530,KET!$B:$F,4,0),"")</f>
        <v>FAHMI LUKMANUL HAKIM</v>
      </c>
      <c r="F3530" s="20" t="str">
        <f>IFERROR(VLOOKUP(I3530,KET!$B:$F,5,0),"")</f>
        <v>NKA</v>
      </c>
      <c r="G3530" s="20">
        <f>IFERROR(INDEX('Kode Outlet dan Target Toko'!$C:$C,MATCH($I3530,'Kode Outlet dan Target Toko'!$E:$E,0)),0)</f>
        <v>121409</v>
      </c>
      <c r="H3530" s="20">
        <f>IFERROR(INDEX('Kode Outlet dan Target Toko'!$D:$D,MATCH($I3530,'Kode Outlet dan Target Toko'!$E:$E,0)),0)</f>
        <v>5025004</v>
      </c>
      <c r="I3530" s="42" t="s">
        <v>112</v>
      </c>
      <c r="J3530" s="56" t="s">
        <v>185</v>
      </c>
      <c r="K3530" s="40" t="s">
        <v>16</v>
      </c>
      <c r="L3530" s="26">
        <v>3275</v>
      </c>
      <c r="M3530" s="26">
        <v>203</v>
      </c>
      <c r="N3530" s="25">
        <f t="shared" si="111"/>
        <v>664825</v>
      </c>
      <c r="O3530" s="56">
        <v>160</v>
      </c>
    </row>
    <row r="3531" spans="1:15" hidden="1" x14ac:dyDescent="0.3">
      <c r="A3531" s="26">
        <v>33</v>
      </c>
      <c r="B3531" s="20" t="str">
        <f t="shared" si="110"/>
        <v>AUG</v>
      </c>
      <c r="C3531" s="21">
        <v>46250</v>
      </c>
      <c r="D3531" s="22" t="str">
        <f>IFERROR(INDEX('Kode Outlet dan Target Toko'!$A:$A,MATCH($I3531,'Kode Outlet dan Target Toko'!$E:$E,0)),"")</f>
        <v>GRSM 4</v>
      </c>
      <c r="E3531" s="20" t="str">
        <f>IFERROR(VLOOKUP(I3531,KET!$B:$F,4,0),"")</f>
        <v>FAHMI LUKMANUL HAKIM</v>
      </c>
      <c r="F3531" s="20" t="str">
        <f>IFERROR(VLOOKUP(I3531,KET!$B:$F,5,0),"")</f>
        <v>NKA</v>
      </c>
      <c r="G3531" s="20">
        <f>IFERROR(INDEX('Kode Outlet dan Target Toko'!$C:$C,MATCH($I3531,'Kode Outlet dan Target Toko'!$E:$E,0)),0)</f>
        <v>121409</v>
      </c>
      <c r="H3531" s="20">
        <f>IFERROR(INDEX('Kode Outlet dan Target Toko'!$D:$D,MATCH($I3531,'Kode Outlet dan Target Toko'!$E:$E,0)),0)</f>
        <v>5025004</v>
      </c>
      <c r="I3531" s="42" t="s">
        <v>112</v>
      </c>
      <c r="J3531" s="56" t="s">
        <v>184</v>
      </c>
      <c r="K3531" s="40" t="s">
        <v>15</v>
      </c>
      <c r="L3531" s="26">
        <v>3275</v>
      </c>
      <c r="M3531" s="26">
        <v>80</v>
      </c>
      <c r="N3531" s="25">
        <f t="shared" si="111"/>
        <v>262000</v>
      </c>
      <c r="O3531" s="56"/>
    </row>
    <row r="3532" spans="1:15" hidden="1" x14ac:dyDescent="0.3">
      <c r="A3532" s="26">
        <v>33</v>
      </c>
      <c r="B3532" s="20" t="str">
        <f t="shared" si="110"/>
        <v>AUG</v>
      </c>
      <c r="C3532" s="21">
        <v>46250</v>
      </c>
      <c r="D3532" s="22" t="str">
        <f>IFERROR(INDEX('Kode Outlet dan Target Toko'!$A:$A,MATCH($I3532,'Kode Outlet dan Target Toko'!$E:$E,0)),"")</f>
        <v>GRSM 4</v>
      </c>
      <c r="E3532" s="20" t="str">
        <f>IFERROR(VLOOKUP(I3532,KET!$B:$F,4,0),"")</f>
        <v>FAHMI LUKMANUL HAKIM</v>
      </c>
      <c r="F3532" s="20" t="str">
        <f>IFERROR(VLOOKUP(I3532,KET!$B:$F,5,0),"")</f>
        <v>NKA</v>
      </c>
      <c r="G3532" s="20">
        <f>IFERROR(INDEX('Kode Outlet dan Target Toko'!$C:$C,MATCH($I3532,'Kode Outlet dan Target Toko'!$E:$E,0)),0)</f>
        <v>121409</v>
      </c>
      <c r="H3532" s="20">
        <f>IFERROR(INDEX('Kode Outlet dan Target Toko'!$D:$D,MATCH($I3532,'Kode Outlet dan Target Toko'!$E:$E,0)),0)</f>
        <v>5025004</v>
      </c>
      <c r="I3532" s="42" t="s">
        <v>112</v>
      </c>
      <c r="J3532" s="56" t="s">
        <v>184</v>
      </c>
      <c r="K3532" s="40" t="s">
        <v>14</v>
      </c>
      <c r="L3532" s="26">
        <v>3275</v>
      </c>
      <c r="M3532" s="26">
        <v>84</v>
      </c>
      <c r="N3532" s="25">
        <f t="shared" si="111"/>
        <v>275100</v>
      </c>
      <c r="O3532" s="56"/>
    </row>
    <row r="3533" spans="1:15" hidden="1" x14ac:dyDescent="0.3">
      <c r="A3533" s="26">
        <v>33</v>
      </c>
      <c r="B3533" s="20" t="str">
        <f t="shared" si="110"/>
        <v>AUG</v>
      </c>
      <c r="C3533" s="21">
        <v>46250</v>
      </c>
      <c r="D3533" s="22" t="str">
        <f>IFERROR(INDEX('Kode Outlet dan Target Toko'!$A:$A,MATCH($I3533,'Kode Outlet dan Target Toko'!$E:$E,0)),"")</f>
        <v>GRSM 4</v>
      </c>
      <c r="E3533" s="20" t="str">
        <f>IFERROR(VLOOKUP(I3533,KET!$B:$F,4,0),"")</f>
        <v>FAHMI LUKMANUL HAKIM</v>
      </c>
      <c r="F3533" s="20" t="str">
        <f>IFERROR(VLOOKUP(I3533,KET!$B:$F,5,0),"")</f>
        <v>NKA</v>
      </c>
      <c r="G3533" s="20">
        <f>IFERROR(INDEX('Kode Outlet dan Target Toko'!$C:$C,MATCH($I3533,'Kode Outlet dan Target Toko'!$E:$E,0)),0)</f>
        <v>121409</v>
      </c>
      <c r="H3533" s="20">
        <f>IFERROR(INDEX('Kode Outlet dan Target Toko'!$D:$D,MATCH($I3533,'Kode Outlet dan Target Toko'!$E:$E,0)),0)</f>
        <v>5025004</v>
      </c>
      <c r="I3533" s="42" t="s">
        <v>112</v>
      </c>
      <c r="J3533" s="56" t="s">
        <v>184</v>
      </c>
      <c r="K3533" s="40" t="s">
        <v>13</v>
      </c>
      <c r="L3533" s="26">
        <v>3275</v>
      </c>
      <c r="M3533" s="26">
        <v>49</v>
      </c>
      <c r="N3533" s="25">
        <f t="shared" si="111"/>
        <v>160475</v>
      </c>
      <c r="O3533" s="56"/>
    </row>
    <row r="3534" spans="1:15" hidden="1" x14ac:dyDescent="0.3">
      <c r="A3534" s="26">
        <v>33</v>
      </c>
      <c r="B3534" s="20" t="str">
        <f t="shared" si="110"/>
        <v>AUG</v>
      </c>
      <c r="C3534" s="21">
        <v>46250</v>
      </c>
      <c r="D3534" s="22" t="str">
        <f>IFERROR(INDEX('Kode Outlet dan Target Toko'!$A:$A,MATCH($I3534,'Kode Outlet dan Target Toko'!$E:$E,0)),"")</f>
        <v>GRSM 4</v>
      </c>
      <c r="E3534" s="20" t="str">
        <f>IFERROR(VLOOKUP(I3534,KET!$B:$F,4,0),"")</f>
        <v>FAHMI LUKMANUL HAKIM</v>
      </c>
      <c r="F3534" s="20" t="str">
        <f>IFERROR(VLOOKUP(I3534,KET!$B:$F,5,0),"")</f>
        <v>NKA</v>
      </c>
      <c r="G3534" s="20">
        <f>IFERROR(INDEX('Kode Outlet dan Target Toko'!$C:$C,MATCH($I3534,'Kode Outlet dan Target Toko'!$E:$E,0)),0)</f>
        <v>121409</v>
      </c>
      <c r="H3534" s="20">
        <f>IFERROR(INDEX('Kode Outlet dan Target Toko'!$D:$D,MATCH($I3534,'Kode Outlet dan Target Toko'!$E:$E,0)),0)</f>
        <v>5025004</v>
      </c>
      <c r="I3534" s="42" t="s">
        <v>112</v>
      </c>
      <c r="J3534" s="56" t="s">
        <v>184</v>
      </c>
      <c r="K3534" s="40" t="s">
        <v>16</v>
      </c>
      <c r="L3534" s="26">
        <v>3275</v>
      </c>
      <c r="M3534" s="26">
        <v>203</v>
      </c>
      <c r="N3534" s="25">
        <f t="shared" si="111"/>
        <v>664825</v>
      </c>
      <c r="O3534" s="56">
        <v>160</v>
      </c>
    </row>
    <row r="3535" spans="1:15" hidden="1" x14ac:dyDescent="0.3">
      <c r="A3535" s="26">
        <v>33</v>
      </c>
      <c r="B3535" s="20" t="str">
        <f t="shared" si="110"/>
        <v>AUG</v>
      </c>
      <c r="C3535" s="21">
        <v>46250</v>
      </c>
      <c r="D3535" s="22" t="str">
        <f>IFERROR(INDEX('Kode Outlet dan Target Toko'!$A:$A,MATCH($I3535,'Kode Outlet dan Target Toko'!$E:$E,0)),"")</f>
        <v>GRSM 4</v>
      </c>
      <c r="E3535" s="20" t="str">
        <f>IFERROR(VLOOKUP(I3535,KET!$B:$F,4,0),"")</f>
        <v>FAHMI LUKMANUL HAKIM</v>
      </c>
      <c r="F3535" s="20" t="str">
        <f>IFERROR(VLOOKUP(I3535,KET!$B:$F,5,0),"")</f>
        <v>GMM</v>
      </c>
      <c r="G3535" s="20">
        <f>IFERROR(INDEX('Kode Outlet dan Target Toko'!$C:$C,MATCH($I3535,'Kode Outlet dan Target Toko'!$E:$E,0)),0)</f>
        <v>103712</v>
      </c>
      <c r="H3535" s="20">
        <f>IFERROR(INDEX('Kode Outlet dan Target Toko'!$D:$D,MATCH($I3535,'Kode Outlet dan Target Toko'!$E:$E,0)),0)</f>
        <v>4404677</v>
      </c>
      <c r="I3535" s="42" t="s">
        <v>99</v>
      </c>
      <c r="J3535" s="56" t="s">
        <v>178</v>
      </c>
      <c r="K3535" s="40" t="s">
        <v>15</v>
      </c>
      <c r="L3535" s="26">
        <v>3000</v>
      </c>
      <c r="M3535" s="26">
        <v>30</v>
      </c>
      <c r="N3535" s="25">
        <f t="shared" si="111"/>
        <v>90000</v>
      </c>
      <c r="O3535" s="56"/>
    </row>
    <row r="3536" spans="1:15" hidden="1" x14ac:dyDescent="0.3">
      <c r="A3536" s="26">
        <v>33</v>
      </c>
      <c r="B3536" s="20" t="str">
        <f t="shared" si="110"/>
        <v>AUG</v>
      </c>
      <c r="C3536" s="21">
        <v>46250</v>
      </c>
      <c r="D3536" s="22" t="str">
        <f>IFERROR(INDEX('Kode Outlet dan Target Toko'!$A:$A,MATCH($I3536,'Kode Outlet dan Target Toko'!$E:$E,0)),"")</f>
        <v>GRSM 4</v>
      </c>
      <c r="E3536" s="20" t="str">
        <f>IFERROR(VLOOKUP(I3536,KET!$B:$F,4,0),"")</f>
        <v>FAHMI LUKMANUL HAKIM</v>
      </c>
      <c r="F3536" s="20" t="str">
        <f>IFERROR(VLOOKUP(I3536,KET!$B:$F,5,0),"")</f>
        <v>GMM</v>
      </c>
      <c r="G3536" s="20">
        <f>IFERROR(INDEX('Kode Outlet dan Target Toko'!$C:$C,MATCH($I3536,'Kode Outlet dan Target Toko'!$E:$E,0)),0)</f>
        <v>103712</v>
      </c>
      <c r="H3536" s="20">
        <f>IFERROR(INDEX('Kode Outlet dan Target Toko'!$D:$D,MATCH($I3536,'Kode Outlet dan Target Toko'!$E:$E,0)),0)</f>
        <v>4404677</v>
      </c>
      <c r="I3536" s="42" t="s">
        <v>99</v>
      </c>
      <c r="J3536" s="56" t="s">
        <v>178</v>
      </c>
      <c r="K3536" s="40" t="s">
        <v>14</v>
      </c>
      <c r="L3536" s="26">
        <v>3000</v>
      </c>
      <c r="M3536" s="26">
        <v>40</v>
      </c>
      <c r="N3536" s="25">
        <f t="shared" si="111"/>
        <v>120000</v>
      </c>
      <c r="O3536" s="56"/>
    </row>
    <row r="3537" spans="1:15" hidden="1" x14ac:dyDescent="0.3">
      <c r="A3537" s="26">
        <v>33</v>
      </c>
      <c r="B3537" s="20" t="str">
        <f t="shared" si="110"/>
        <v>AUG</v>
      </c>
      <c r="C3537" s="21">
        <v>46250</v>
      </c>
      <c r="D3537" s="22" t="str">
        <f>IFERROR(INDEX('Kode Outlet dan Target Toko'!$A:$A,MATCH($I3537,'Kode Outlet dan Target Toko'!$E:$E,0)),"")</f>
        <v>GRSM 4</v>
      </c>
      <c r="E3537" s="20" t="str">
        <f>IFERROR(VLOOKUP(I3537,KET!$B:$F,4,0),"")</f>
        <v>FAHMI LUKMANUL HAKIM</v>
      </c>
      <c r="F3537" s="20" t="str">
        <f>IFERROR(VLOOKUP(I3537,KET!$B:$F,5,0),"")</f>
        <v>GMM</v>
      </c>
      <c r="G3537" s="20">
        <f>IFERROR(INDEX('Kode Outlet dan Target Toko'!$C:$C,MATCH($I3537,'Kode Outlet dan Target Toko'!$E:$E,0)),0)</f>
        <v>103712</v>
      </c>
      <c r="H3537" s="20">
        <f>IFERROR(INDEX('Kode Outlet dan Target Toko'!$D:$D,MATCH($I3537,'Kode Outlet dan Target Toko'!$E:$E,0)),0)</f>
        <v>4404677</v>
      </c>
      <c r="I3537" s="42" t="s">
        <v>99</v>
      </c>
      <c r="J3537" s="56" t="s">
        <v>178</v>
      </c>
      <c r="K3537" s="40" t="s">
        <v>13</v>
      </c>
      <c r="L3537" s="26">
        <v>3000</v>
      </c>
      <c r="M3537" s="26">
        <v>29</v>
      </c>
      <c r="N3537" s="25">
        <f t="shared" si="111"/>
        <v>87000</v>
      </c>
      <c r="O3537" s="56"/>
    </row>
    <row r="3538" spans="1:15" hidden="1" x14ac:dyDescent="0.3">
      <c r="A3538" s="26">
        <v>33</v>
      </c>
      <c r="B3538" s="20" t="str">
        <f t="shared" si="110"/>
        <v>AUG</v>
      </c>
      <c r="C3538" s="21">
        <v>46250</v>
      </c>
      <c r="D3538" s="22" t="str">
        <f>IFERROR(INDEX('Kode Outlet dan Target Toko'!$A:$A,MATCH($I3538,'Kode Outlet dan Target Toko'!$E:$E,0)),"")</f>
        <v>GRSM 4</v>
      </c>
      <c r="E3538" s="20" t="str">
        <f>IFERROR(VLOOKUP(I3538,KET!$B:$F,4,0),"")</f>
        <v>FAHMI LUKMANUL HAKIM</v>
      </c>
      <c r="F3538" s="20" t="str">
        <f>IFERROR(VLOOKUP(I3538,KET!$B:$F,5,0),"")</f>
        <v>GMM</v>
      </c>
      <c r="G3538" s="20">
        <f>IFERROR(INDEX('Kode Outlet dan Target Toko'!$C:$C,MATCH($I3538,'Kode Outlet dan Target Toko'!$E:$E,0)),0)</f>
        <v>103712</v>
      </c>
      <c r="H3538" s="20">
        <f>IFERROR(INDEX('Kode Outlet dan Target Toko'!$D:$D,MATCH($I3538,'Kode Outlet dan Target Toko'!$E:$E,0)),0)</f>
        <v>4404677</v>
      </c>
      <c r="I3538" s="42" t="s">
        <v>99</v>
      </c>
      <c r="J3538" s="56" t="s">
        <v>178</v>
      </c>
      <c r="K3538" s="40" t="s">
        <v>16</v>
      </c>
      <c r="L3538" s="26">
        <v>3000</v>
      </c>
      <c r="M3538" s="26">
        <v>139</v>
      </c>
      <c r="N3538" s="25">
        <f t="shared" si="111"/>
        <v>417000</v>
      </c>
      <c r="O3538" s="56">
        <v>160</v>
      </c>
    </row>
    <row r="3539" spans="1:15" hidden="1" x14ac:dyDescent="0.3">
      <c r="A3539" s="26">
        <v>33</v>
      </c>
      <c r="B3539" s="20" t="str">
        <f t="shared" si="110"/>
        <v>AUG</v>
      </c>
      <c r="C3539" s="21">
        <v>46250</v>
      </c>
      <c r="D3539" s="22" t="str">
        <f>IFERROR(INDEX('Kode Outlet dan Target Toko'!$A:$A,MATCH($I3539,'Kode Outlet dan Target Toko'!$E:$E,0)),"")</f>
        <v>GRSM 4</v>
      </c>
      <c r="E3539" s="20" t="str">
        <f>IFERROR(VLOOKUP(I3539,KET!$B:$F,4,0),"")</f>
        <v>FAHMI LUKMANUL HAKIM</v>
      </c>
      <c r="F3539" s="20" t="str">
        <f>IFERROR(VLOOKUP(I3539,KET!$B:$F,5,0),"")</f>
        <v>NKA</v>
      </c>
      <c r="G3539" s="20">
        <f>IFERROR(INDEX('Kode Outlet dan Target Toko'!$C:$C,MATCH($I3539,'Kode Outlet dan Target Toko'!$E:$E,0)),0)</f>
        <v>195403</v>
      </c>
      <c r="H3539" s="20">
        <f>IFERROR(INDEX('Kode Outlet dan Target Toko'!$D:$D,MATCH($I3539,'Kode Outlet dan Target Toko'!$E:$E,0)),0)</f>
        <v>1600007</v>
      </c>
      <c r="I3539" s="42" t="s">
        <v>87</v>
      </c>
      <c r="J3539" s="56" t="s">
        <v>175</v>
      </c>
      <c r="K3539" s="40" t="s">
        <v>15</v>
      </c>
      <c r="L3539" s="26">
        <v>2150</v>
      </c>
      <c r="M3539" s="26">
        <v>86</v>
      </c>
      <c r="N3539" s="25">
        <f t="shared" si="111"/>
        <v>184900</v>
      </c>
      <c r="O3539" s="56"/>
    </row>
    <row r="3540" spans="1:15" hidden="1" x14ac:dyDescent="0.3">
      <c r="A3540" s="26">
        <v>33</v>
      </c>
      <c r="B3540" s="20" t="str">
        <f t="shared" si="110"/>
        <v>AUG</v>
      </c>
      <c r="C3540" s="21">
        <v>46250</v>
      </c>
      <c r="D3540" s="22" t="str">
        <f>IFERROR(INDEX('Kode Outlet dan Target Toko'!$A:$A,MATCH($I3540,'Kode Outlet dan Target Toko'!$E:$E,0)),"")</f>
        <v>GRSM 4</v>
      </c>
      <c r="E3540" s="20" t="str">
        <f>IFERROR(VLOOKUP(I3540,KET!$B:$F,4,0),"")</f>
        <v>FAHMI LUKMANUL HAKIM</v>
      </c>
      <c r="F3540" s="20" t="str">
        <f>IFERROR(VLOOKUP(I3540,KET!$B:$F,5,0),"")</f>
        <v>NKA</v>
      </c>
      <c r="G3540" s="20">
        <f>IFERROR(INDEX('Kode Outlet dan Target Toko'!$C:$C,MATCH($I3540,'Kode Outlet dan Target Toko'!$E:$E,0)),0)</f>
        <v>195403</v>
      </c>
      <c r="H3540" s="20">
        <f>IFERROR(INDEX('Kode Outlet dan Target Toko'!$D:$D,MATCH($I3540,'Kode Outlet dan Target Toko'!$E:$E,0)),0)</f>
        <v>1600007</v>
      </c>
      <c r="I3540" s="42" t="s">
        <v>87</v>
      </c>
      <c r="J3540" s="56" t="s">
        <v>175</v>
      </c>
      <c r="K3540" s="40" t="s">
        <v>14</v>
      </c>
      <c r="L3540" s="26">
        <v>2150</v>
      </c>
      <c r="M3540" s="26">
        <v>87</v>
      </c>
      <c r="N3540" s="25">
        <f t="shared" si="111"/>
        <v>187050</v>
      </c>
      <c r="O3540" s="56"/>
    </row>
    <row r="3541" spans="1:15" hidden="1" x14ac:dyDescent="0.3">
      <c r="A3541" s="26">
        <v>33</v>
      </c>
      <c r="B3541" s="20" t="str">
        <f t="shared" si="110"/>
        <v>AUG</v>
      </c>
      <c r="C3541" s="21">
        <v>46250</v>
      </c>
      <c r="D3541" s="22" t="str">
        <f>IFERROR(INDEX('Kode Outlet dan Target Toko'!$A:$A,MATCH($I3541,'Kode Outlet dan Target Toko'!$E:$E,0)),"")</f>
        <v>GRSM 4</v>
      </c>
      <c r="E3541" s="20" t="str">
        <f>IFERROR(VLOOKUP(I3541,KET!$B:$F,4,0),"")</f>
        <v>FAHMI LUKMANUL HAKIM</v>
      </c>
      <c r="F3541" s="20" t="str">
        <f>IFERROR(VLOOKUP(I3541,KET!$B:$F,5,0),"")</f>
        <v>NKA</v>
      </c>
      <c r="G3541" s="20">
        <f>IFERROR(INDEX('Kode Outlet dan Target Toko'!$C:$C,MATCH($I3541,'Kode Outlet dan Target Toko'!$E:$E,0)),0)</f>
        <v>195403</v>
      </c>
      <c r="H3541" s="20">
        <f>IFERROR(INDEX('Kode Outlet dan Target Toko'!$D:$D,MATCH($I3541,'Kode Outlet dan Target Toko'!$E:$E,0)),0)</f>
        <v>1600007</v>
      </c>
      <c r="I3541" s="42" t="s">
        <v>87</v>
      </c>
      <c r="J3541" s="56" t="s">
        <v>175</v>
      </c>
      <c r="K3541" s="40" t="s">
        <v>13</v>
      </c>
      <c r="L3541" s="26">
        <v>2150</v>
      </c>
      <c r="M3541" s="26">
        <v>69</v>
      </c>
      <c r="N3541" s="25">
        <f t="shared" si="111"/>
        <v>148350</v>
      </c>
      <c r="O3541" s="56"/>
    </row>
    <row r="3542" spans="1:15" hidden="1" x14ac:dyDescent="0.3">
      <c r="A3542" s="26">
        <v>33</v>
      </c>
      <c r="B3542" s="20" t="str">
        <f t="shared" si="110"/>
        <v>AUG</v>
      </c>
      <c r="C3542" s="21">
        <v>46250</v>
      </c>
      <c r="D3542" s="22" t="str">
        <f>IFERROR(INDEX('Kode Outlet dan Target Toko'!$A:$A,MATCH($I3542,'Kode Outlet dan Target Toko'!$E:$E,0)),"")</f>
        <v>GRSM 4</v>
      </c>
      <c r="E3542" s="20" t="str">
        <f>IFERROR(VLOOKUP(I3542,KET!$B:$F,4,0),"")</f>
        <v>FAHMI LUKMANUL HAKIM</v>
      </c>
      <c r="F3542" s="20" t="str">
        <f>IFERROR(VLOOKUP(I3542,KET!$B:$F,5,0),"")</f>
        <v>NKA</v>
      </c>
      <c r="G3542" s="20">
        <f>IFERROR(INDEX('Kode Outlet dan Target Toko'!$C:$C,MATCH($I3542,'Kode Outlet dan Target Toko'!$E:$E,0)),0)</f>
        <v>195403</v>
      </c>
      <c r="H3542" s="20">
        <f>IFERROR(INDEX('Kode Outlet dan Target Toko'!$D:$D,MATCH($I3542,'Kode Outlet dan Target Toko'!$E:$E,0)),0)</f>
        <v>1600007</v>
      </c>
      <c r="I3542" s="42" t="s">
        <v>87</v>
      </c>
      <c r="J3542" s="56" t="s">
        <v>175</v>
      </c>
      <c r="K3542" s="40" t="s">
        <v>16</v>
      </c>
      <c r="L3542" s="26">
        <v>2150</v>
      </c>
      <c r="M3542" s="26">
        <v>94</v>
      </c>
      <c r="N3542" s="25">
        <f t="shared" si="111"/>
        <v>202100</v>
      </c>
      <c r="O3542" s="56">
        <v>160</v>
      </c>
    </row>
    <row r="3543" spans="1:15" hidden="1" x14ac:dyDescent="0.3">
      <c r="A3543" s="26">
        <v>33</v>
      </c>
      <c r="B3543" s="20" t="str">
        <f t="shared" si="110"/>
        <v>AUG</v>
      </c>
      <c r="C3543" s="21">
        <v>46250</v>
      </c>
      <c r="D3543" s="22" t="str">
        <f>IFERROR(INDEX('Kode Outlet dan Target Toko'!$A:$A,MATCH($I3543,'Kode Outlet dan Target Toko'!$E:$E,0)),"")</f>
        <v>GRSM 4</v>
      </c>
      <c r="E3543" s="20" t="str">
        <f>IFERROR(VLOOKUP(I3543,KET!$B:$F,4,0),"")</f>
        <v>FAHMI LUKMANUL HAKIM</v>
      </c>
      <c r="F3543" s="20" t="str">
        <f>IFERROR(VLOOKUP(I3543,KET!$B:$F,5,0),"")</f>
        <v>NKA</v>
      </c>
      <c r="G3543" s="20">
        <f>IFERROR(INDEX('Kode Outlet dan Target Toko'!$C:$C,MATCH($I3543,'Kode Outlet dan Target Toko'!$E:$E,0)),0)</f>
        <v>195403</v>
      </c>
      <c r="H3543" s="20">
        <f>IFERROR(INDEX('Kode Outlet dan Target Toko'!$D:$D,MATCH($I3543,'Kode Outlet dan Target Toko'!$E:$E,0)),0)</f>
        <v>1600007</v>
      </c>
      <c r="I3543" s="42" t="s">
        <v>87</v>
      </c>
      <c r="J3543" s="56" t="s">
        <v>174</v>
      </c>
      <c r="K3543" s="40" t="s">
        <v>15</v>
      </c>
      <c r="L3543" s="26">
        <v>2150</v>
      </c>
      <c r="M3543" s="26">
        <v>88</v>
      </c>
      <c r="N3543" s="25">
        <f t="shared" si="111"/>
        <v>189200</v>
      </c>
      <c r="O3543" s="56"/>
    </row>
    <row r="3544" spans="1:15" hidden="1" x14ac:dyDescent="0.3">
      <c r="A3544" s="26">
        <v>33</v>
      </c>
      <c r="B3544" s="20" t="str">
        <f t="shared" si="110"/>
        <v>AUG</v>
      </c>
      <c r="C3544" s="21">
        <v>46250</v>
      </c>
      <c r="D3544" s="22" t="str">
        <f>IFERROR(INDEX('Kode Outlet dan Target Toko'!$A:$A,MATCH($I3544,'Kode Outlet dan Target Toko'!$E:$E,0)),"")</f>
        <v>GRSM 4</v>
      </c>
      <c r="E3544" s="20" t="str">
        <f>IFERROR(VLOOKUP(I3544,KET!$B:$F,4,0),"")</f>
        <v>FAHMI LUKMANUL HAKIM</v>
      </c>
      <c r="F3544" s="20" t="str">
        <f>IFERROR(VLOOKUP(I3544,KET!$B:$F,5,0),"")</f>
        <v>NKA</v>
      </c>
      <c r="G3544" s="20">
        <f>IFERROR(INDEX('Kode Outlet dan Target Toko'!$C:$C,MATCH($I3544,'Kode Outlet dan Target Toko'!$E:$E,0)),0)</f>
        <v>195403</v>
      </c>
      <c r="H3544" s="20">
        <f>IFERROR(INDEX('Kode Outlet dan Target Toko'!$D:$D,MATCH($I3544,'Kode Outlet dan Target Toko'!$E:$E,0)),0)</f>
        <v>1600007</v>
      </c>
      <c r="I3544" s="42" t="s">
        <v>87</v>
      </c>
      <c r="J3544" s="56" t="s">
        <v>174</v>
      </c>
      <c r="K3544" s="40" t="s">
        <v>14</v>
      </c>
      <c r="L3544" s="26">
        <v>2150</v>
      </c>
      <c r="M3544" s="26">
        <v>91</v>
      </c>
      <c r="N3544" s="25">
        <f t="shared" si="111"/>
        <v>195650</v>
      </c>
      <c r="O3544" s="56"/>
    </row>
    <row r="3545" spans="1:15" hidden="1" x14ac:dyDescent="0.3">
      <c r="A3545" s="26">
        <v>33</v>
      </c>
      <c r="B3545" s="20" t="str">
        <f t="shared" si="110"/>
        <v>AUG</v>
      </c>
      <c r="C3545" s="21">
        <v>46250</v>
      </c>
      <c r="D3545" s="22" t="str">
        <f>IFERROR(INDEX('Kode Outlet dan Target Toko'!$A:$A,MATCH($I3545,'Kode Outlet dan Target Toko'!$E:$E,0)),"")</f>
        <v>GRSM 4</v>
      </c>
      <c r="E3545" s="20" t="str">
        <f>IFERROR(VLOOKUP(I3545,KET!$B:$F,4,0),"")</f>
        <v>FAHMI LUKMANUL HAKIM</v>
      </c>
      <c r="F3545" s="20" t="str">
        <f>IFERROR(VLOOKUP(I3545,KET!$B:$F,5,0),"")</f>
        <v>NKA</v>
      </c>
      <c r="G3545" s="20">
        <f>IFERROR(INDEX('Kode Outlet dan Target Toko'!$C:$C,MATCH($I3545,'Kode Outlet dan Target Toko'!$E:$E,0)),0)</f>
        <v>195403</v>
      </c>
      <c r="H3545" s="20">
        <f>IFERROR(INDEX('Kode Outlet dan Target Toko'!$D:$D,MATCH($I3545,'Kode Outlet dan Target Toko'!$E:$E,0)),0)</f>
        <v>1600007</v>
      </c>
      <c r="I3545" s="42" t="s">
        <v>87</v>
      </c>
      <c r="J3545" s="56" t="s">
        <v>174</v>
      </c>
      <c r="K3545" s="40" t="s">
        <v>13</v>
      </c>
      <c r="L3545" s="26">
        <v>2150</v>
      </c>
      <c r="M3545" s="26">
        <v>72</v>
      </c>
      <c r="N3545" s="25">
        <f t="shared" si="111"/>
        <v>154800</v>
      </c>
      <c r="O3545" s="56"/>
    </row>
    <row r="3546" spans="1:15" hidden="1" x14ac:dyDescent="0.3">
      <c r="A3546" s="26">
        <v>33</v>
      </c>
      <c r="B3546" s="20" t="str">
        <f t="shared" si="110"/>
        <v>AUG</v>
      </c>
      <c r="C3546" s="21">
        <v>46250</v>
      </c>
      <c r="D3546" s="22" t="str">
        <f>IFERROR(INDEX('Kode Outlet dan Target Toko'!$A:$A,MATCH($I3546,'Kode Outlet dan Target Toko'!$E:$E,0)),"")</f>
        <v>GRSM 4</v>
      </c>
      <c r="E3546" s="20" t="str">
        <f>IFERROR(VLOOKUP(I3546,KET!$B:$F,4,0),"")</f>
        <v>FAHMI LUKMANUL HAKIM</v>
      </c>
      <c r="F3546" s="20" t="str">
        <f>IFERROR(VLOOKUP(I3546,KET!$B:$F,5,0),"")</f>
        <v>NKA</v>
      </c>
      <c r="G3546" s="20">
        <f>IFERROR(INDEX('Kode Outlet dan Target Toko'!$C:$C,MATCH($I3546,'Kode Outlet dan Target Toko'!$E:$E,0)),0)</f>
        <v>195403</v>
      </c>
      <c r="H3546" s="20">
        <f>IFERROR(INDEX('Kode Outlet dan Target Toko'!$D:$D,MATCH($I3546,'Kode Outlet dan Target Toko'!$E:$E,0)),0)</f>
        <v>1600007</v>
      </c>
      <c r="I3546" s="42" t="s">
        <v>87</v>
      </c>
      <c r="J3546" s="56" t="s">
        <v>174</v>
      </c>
      <c r="K3546" s="40" t="s">
        <v>16</v>
      </c>
      <c r="L3546" s="26">
        <v>2150</v>
      </c>
      <c r="M3546" s="26">
        <v>99</v>
      </c>
      <c r="N3546" s="25">
        <f t="shared" si="111"/>
        <v>212850</v>
      </c>
      <c r="O3546" s="56">
        <v>160</v>
      </c>
    </row>
    <row r="3547" spans="1:15" hidden="1" x14ac:dyDescent="0.3">
      <c r="A3547" s="26">
        <v>33</v>
      </c>
      <c r="B3547" s="20" t="str">
        <f t="shared" si="110"/>
        <v>AUG</v>
      </c>
      <c r="C3547" s="21">
        <v>46250</v>
      </c>
      <c r="D3547" s="22" t="str">
        <f>IFERROR(INDEX('Kode Outlet dan Target Toko'!$A:$A,MATCH($I3547,'Kode Outlet dan Target Toko'!$E:$E,0)),"")</f>
        <v>GRSM 4</v>
      </c>
      <c r="E3547" s="20" t="str">
        <f>IFERROR(VLOOKUP(I3547,KET!$B:$F,4,0),"")</f>
        <v>FAHMI LUKMANUL HAKIM</v>
      </c>
      <c r="F3547" s="20" t="str">
        <f>IFERROR(VLOOKUP(I3547,KET!$B:$F,5,0),"")</f>
        <v>GMM</v>
      </c>
      <c r="G3547" s="20">
        <f>IFERROR(INDEX('Kode Outlet dan Target Toko'!$C:$C,MATCH($I3547,'Kode Outlet dan Target Toko'!$E:$E,0)),0)</f>
        <v>103257</v>
      </c>
      <c r="H3547" s="20">
        <f>IFERROR(INDEX('Kode Outlet dan Target Toko'!$D:$D,MATCH($I3547,'Kode Outlet dan Target Toko'!$E:$E,0)),0)</f>
        <v>9162509</v>
      </c>
      <c r="I3547" s="42" t="s">
        <v>57</v>
      </c>
      <c r="J3547" s="56" t="s">
        <v>192</v>
      </c>
      <c r="K3547" s="40" t="s">
        <v>15</v>
      </c>
      <c r="L3547" s="26">
        <v>3200</v>
      </c>
      <c r="M3547" s="26">
        <v>95</v>
      </c>
      <c r="N3547" s="25">
        <f t="shared" si="111"/>
        <v>304000</v>
      </c>
      <c r="O3547" s="56"/>
    </row>
    <row r="3548" spans="1:15" hidden="1" x14ac:dyDescent="0.3">
      <c r="A3548" s="26">
        <v>33</v>
      </c>
      <c r="B3548" s="20" t="str">
        <f t="shared" si="110"/>
        <v>AUG</v>
      </c>
      <c r="C3548" s="21">
        <v>46250</v>
      </c>
      <c r="D3548" s="22" t="str">
        <f>IFERROR(INDEX('Kode Outlet dan Target Toko'!$A:$A,MATCH($I3548,'Kode Outlet dan Target Toko'!$E:$E,0)),"")</f>
        <v>GRSM 4</v>
      </c>
      <c r="E3548" s="20" t="str">
        <f>IFERROR(VLOOKUP(I3548,KET!$B:$F,4,0),"")</f>
        <v>FAHMI LUKMANUL HAKIM</v>
      </c>
      <c r="F3548" s="20" t="str">
        <f>IFERROR(VLOOKUP(I3548,KET!$B:$F,5,0),"")</f>
        <v>GMM</v>
      </c>
      <c r="G3548" s="20">
        <f>IFERROR(INDEX('Kode Outlet dan Target Toko'!$C:$C,MATCH($I3548,'Kode Outlet dan Target Toko'!$E:$E,0)),0)</f>
        <v>103257</v>
      </c>
      <c r="H3548" s="20">
        <f>IFERROR(INDEX('Kode Outlet dan Target Toko'!$D:$D,MATCH($I3548,'Kode Outlet dan Target Toko'!$E:$E,0)),0)</f>
        <v>9162509</v>
      </c>
      <c r="I3548" s="42" t="s">
        <v>57</v>
      </c>
      <c r="J3548" s="56" t="s">
        <v>192</v>
      </c>
      <c r="K3548" s="40" t="s">
        <v>14</v>
      </c>
      <c r="L3548" s="26">
        <v>3200</v>
      </c>
      <c r="M3548" s="26">
        <v>88</v>
      </c>
      <c r="N3548" s="25">
        <f t="shared" si="111"/>
        <v>281600</v>
      </c>
      <c r="O3548" s="56"/>
    </row>
    <row r="3549" spans="1:15" hidden="1" x14ac:dyDescent="0.3">
      <c r="A3549" s="26">
        <v>33</v>
      </c>
      <c r="B3549" s="20" t="str">
        <f t="shared" si="110"/>
        <v>AUG</v>
      </c>
      <c r="C3549" s="21">
        <v>46250</v>
      </c>
      <c r="D3549" s="22" t="str">
        <f>IFERROR(INDEX('Kode Outlet dan Target Toko'!$A:$A,MATCH($I3549,'Kode Outlet dan Target Toko'!$E:$E,0)),"")</f>
        <v>GRSM 4</v>
      </c>
      <c r="E3549" s="20" t="str">
        <f>IFERROR(VLOOKUP(I3549,KET!$B:$F,4,0),"")</f>
        <v>FAHMI LUKMANUL HAKIM</v>
      </c>
      <c r="F3549" s="20" t="str">
        <f>IFERROR(VLOOKUP(I3549,KET!$B:$F,5,0),"")</f>
        <v>GMM</v>
      </c>
      <c r="G3549" s="20">
        <f>IFERROR(INDEX('Kode Outlet dan Target Toko'!$C:$C,MATCH($I3549,'Kode Outlet dan Target Toko'!$E:$E,0)),0)</f>
        <v>103257</v>
      </c>
      <c r="H3549" s="20">
        <f>IFERROR(INDEX('Kode Outlet dan Target Toko'!$D:$D,MATCH($I3549,'Kode Outlet dan Target Toko'!$E:$E,0)),0)</f>
        <v>9162509</v>
      </c>
      <c r="I3549" s="42" t="s">
        <v>57</v>
      </c>
      <c r="J3549" s="56" t="s">
        <v>192</v>
      </c>
      <c r="K3549" s="40" t="s">
        <v>13</v>
      </c>
      <c r="L3549" s="26">
        <v>3200</v>
      </c>
      <c r="M3549" s="26">
        <v>0</v>
      </c>
      <c r="N3549" s="25">
        <f t="shared" si="111"/>
        <v>0</v>
      </c>
      <c r="O3549" s="56"/>
    </row>
    <row r="3550" spans="1:15" hidden="1" x14ac:dyDescent="0.3">
      <c r="A3550" s="26">
        <v>33</v>
      </c>
      <c r="B3550" s="20" t="str">
        <f t="shared" si="110"/>
        <v>AUG</v>
      </c>
      <c r="C3550" s="21">
        <v>46250</v>
      </c>
      <c r="D3550" s="22" t="str">
        <f>IFERROR(INDEX('Kode Outlet dan Target Toko'!$A:$A,MATCH($I3550,'Kode Outlet dan Target Toko'!$E:$E,0)),"")</f>
        <v>GRSM 4</v>
      </c>
      <c r="E3550" s="20" t="str">
        <f>IFERROR(VLOOKUP(I3550,KET!$B:$F,4,0),"")</f>
        <v>FAHMI LUKMANUL HAKIM</v>
      </c>
      <c r="F3550" s="20" t="str">
        <f>IFERROR(VLOOKUP(I3550,KET!$B:$F,5,0),"")</f>
        <v>GMM</v>
      </c>
      <c r="G3550" s="20">
        <f>IFERROR(INDEX('Kode Outlet dan Target Toko'!$C:$C,MATCH($I3550,'Kode Outlet dan Target Toko'!$E:$E,0)),0)</f>
        <v>103257</v>
      </c>
      <c r="H3550" s="20">
        <f>IFERROR(INDEX('Kode Outlet dan Target Toko'!$D:$D,MATCH($I3550,'Kode Outlet dan Target Toko'!$E:$E,0)),0)</f>
        <v>9162509</v>
      </c>
      <c r="I3550" s="42" t="s">
        <v>57</v>
      </c>
      <c r="J3550" s="56" t="s">
        <v>192</v>
      </c>
      <c r="K3550" s="40" t="s">
        <v>16</v>
      </c>
      <c r="L3550" s="26">
        <v>3200</v>
      </c>
      <c r="M3550" s="26">
        <v>0</v>
      </c>
      <c r="N3550" s="25">
        <f t="shared" si="111"/>
        <v>0</v>
      </c>
      <c r="O3550" s="56">
        <v>160</v>
      </c>
    </row>
    <row r="3551" spans="1:15" hidden="1" x14ac:dyDescent="0.3">
      <c r="A3551" s="26">
        <v>33</v>
      </c>
      <c r="B3551" s="20" t="str">
        <f t="shared" si="110"/>
        <v>AUG</v>
      </c>
      <c r="C3551" s="21">
        <v>46250</v>
      </c>
      <c r="D3551" s="22" t="str">
        <f>IFERROR(INDEX('Kode Outlet dan Target Toko'!$A:$A,MATCH($I3551,'Kode Outlet dan Target Toko'!$E:$E,0)),"")</f>
        <v>GRSM 4</v>
      </c>
      <c r="E3551" s="20" t="str">
        <f>IFERROR(VLOOKUP(I3551,KET!$B:$F,4,0),"")</f>
        <v>FAHMI LUKMANUL HAKIM</v>
      </c>
      <c r="F3551" s="20" t="str">
        <f>IFERROR(VLOOKUP(I3551,KET!$B:$F,5,0),"")</f>
        <v>GMM</v>
      </c>
      <c r="G3551" s="20">
        <f>IFERROR(INDEX('Kode Outlet dan Target Toko'!$C:$C,MATCH($I3551,'Kode Outlet dan Target Toko'!$E:$E,0)),0)</f>
        <v>103259</v>
      </c>
      <c r="H3551" s="20">
        <f>IFERROR(INDEX('Kode Outlet dan Target Toko'!$D:$D,MATCH($I3551,'Kode Outlet dan Target Toko'!$E:$E,0)),0)</f>
        <v>9002359</v>
      </c>
      <c r="I3551" s="42" t="s">
        <v>103</v>
      </c>
      <c r="J3551" s="56" t="s">
        <v>196</v>
      </c>
      <c r="K3551" s="40" t="s">
        <v>15</v>
      </c>
      <c r="L3551" s="26">
        <v>2086</v>
      </c>
      <c r="M3551" s="26">
        <v>132</v>
      </c>
      <c r="N3551" s="25">
        <f t="shared" si="111"/>
        <v>275352</v>
      </c>
      <c r="O3551" s="56"/>
    </row>
    <row r="3552" spans="1:15" hidden="1" x14ac:dyDescent="0.3">
      <c r="A3552" s="26">
        <v>33</v>
      </c>
      <c r="B3552" s="20" t="str">
        <f t="shared" si="110"/>
        <v>AUG</v>
      </c>
      <c r="C3552" s="21">
        <v>46250</v>
      </c>
      <c r="D3552" s="22" t="str">
        <f>IFERROR(INDEX('Kode Outlet dan Target Toko'!$A:$A,MATCH($I3552,'Kode Outlet dan Target Toko'!$E:$E,0)),"")</f>
        <v>GRSM 4</v>
      </c>
      <c r="E3552" s="20" t="str">
        <f>IFERROR(VLOOKUP(I3552,KET!$B:$F,4,0),"")</f>
        <v>FAHMI LUKMANUL HAKIM</v>
      </c>
      <c r="F3552" s="20" t="str">
        <f>IFERROR(VLOOKUP(I3552,KET!$B:$F,5,0),"")</f>
        <v>GMM</v>
      </c>
      <c r="G3552" s="20">
        <f>IFERROR(INDEX('Kode Outlet dan Target Toko'!$C:$C,MATCH($I3552,'Kode Outlet dan Target Toko'!$E:$E,0)),0)</f>
        <v>103259</v>
      </c>
      <c r="H3552" s="20">
        <f>IFERROR(INDEX('Kode Outlet dan Target Toko'!$D:$D,MATCH($I3552,'Kode Outlet dan Target Toko'!$E:$E,0)),0)</f>
        <v>9002359</v>
      </c>
      <c r="I3552" s="42" t="s">
        <v>103</v>
      </c>
      <c r="J3552" s="56" t="s">
        <v>196</v>
      </c>
      <c r="K3552" s="40" t="s">
        <v>14</v>
      </c>
      <c r="L3552" s="26">
        <v>2086</v>
      </c>
      <c r="M3552" s="26">
        <v>0</v>
      </c>
      <c r="N3552" s="25">
        <f t="shared" si="111"/>
        <v>0</v>
      </c>
      <c r="O3552" s="56"/>
    </row>
    <row r="3553" spans="1:15" hidden="1" x14ac:dyDescent="0.3">
      <c r="A3553" s="26">
        <v>33</v>
      </c>
      <c r="B3553" s="20" t="str">
        <f t="shared" si="110"/>
        <v>AUG</v>
      </c>
      <c r="C3553" s="21">
        <v>46250</v>
      </c>
      <c r="D3553" s="22" t="str">
        <f>IFERROR(INDEX('Kode Outlet dan Target Toko'!$A:$A,MATCH($I3553,'Kode Outlet dan Target Toko'!$E:$E,0)),"")</f>
        <v>GRSM 4</v>
      </c>
      <c r="E3553" s="20" t="str">
        <f>IFERROR(VLOOKUP(I3553,KET!$B:$F,4,0),"")</f>
        <v>FAHMI LUKMANUL HAKIM</v>
      </c>
      <c r="F3553" s="20" t="str">
        <f>IFERROR(VLOOKUP(I3553,KET!$B:$F,5,0),"")</f>
        <v>GMM</v>
      </c>
      <c r="G3553" s="20">
        <f>IFERROR(INDEX('Kode Outlet dan Target Toko'!$C:$C,MATCH($I3553,'Kode Outlet dan Target Toko'!$E:$E,0)),0)</f>
        <v>103259</v>
      </c>
      <c r="H3553" s="20">
        <f>IFERROR(INDEX('Kode Outlet dan Target Toko'!$D:$D,MATCH($I3553,'Kode Outlet dan Target Toko'!$E:$E,0)),0)</f>
        <v>9002359</v>
      </c>
      <c r="I3553" s="42" t="s">
        <v>103</v>
      </c>
      <c r="J3553" s="56" t="s">
        <v>196</v>
      </c>
      <c r="K3553" s="40" t="s">
        <v>13</v>
      </c>
      <c r="L3553" s="26">
        <v>2086</v>
      </c>
      <c r="M3553" s="26">
        <v>0</v>
      </c>
      <c r="N3553" s="25">
        <f t="shared" si="111"/>
        <v>0</v>
      </c>
      <c r="O3553" s="56"/>
    </row>
    <row r="3554" spans="1:15" hidden="1" x14ac:dyDescent="0.3">
      <c r="A3554" s="26">
        <v>33</v>
      </c>
      <c r="B3554" s="20" t="str">
        <f t="shared" si="110"/>
        <v>AUG</v>
      </c>
      <c r="C3554" s="21">
        <v>46250</v>
      </c>
      <c r="D3554" s="22" t="str">
        <f>IFERROR(INDEX('Kode Outlet dan Target Toko'!$A:$A,MATCH($I3554,'Kode Outlet dan Target Toko'!$E:$E,0)),"")</f>
        <v>GRSM 4</v>
      </c>
      <c r="E3554" s="20" t="str">
        <f>IFERROR(VLOOKUP(I3554,KET!$B:$F,4,0),"")</f>
        <v>FAHMI LUKMANUL HAKIM</v>
      </c>
      <c r="F3554" s="20" t="str">
        <f>IFERROR(VLOOKUP(I3554,KET!$B:$F,5,0),"")</f>
        <v>GMM</v>
      </c>
      <c r="G3554" s="20">
        <f>IFERROR(INDEX('Kode Outlet dan Target Toko'!$C:$C,MATCH($I3554,'Kode Outlet dan Target Toko'!$E:$E,0)),0)</f>
        <v>103259</v>
      </c>
      <c r="H3554" s="20">
        <f>IFERROR(INDEX('Kode Outlet dan Target Toko'!$D:$D,MATCH($I3554,'Kode Outlet dan Target Toko'!$E:$E,0)),0)</f>
        <v>9002359</v>
      </c>
      <c r="I3554" s="42" t="s">
        <v>103</v>
      </c>
      <c r="J3554" s="56" t="s">
        <v>196</v>
      </c>
      <c r="K3554" s="40" t="s">
        <v>16</v>
      </c>
      <c r="L3554" s="26">
        <v>2086</v>
      </c>
      <c r="M3554" s="26">
        <v>0</v>
      </c>
      <c r="N3554" s="25">
        <f t="shared" si="111"/>
        <v>0</v>
      </c>
      <c r="O3554" s="56"/>
    </row>
    <row r="3555" spans="1:15" hidden="1" x14ac:dyDescent="0.3">
      <c r="A3555" s="26">
        <v>33</v>
      </c>
      <c r="B3555" s="20" t="str">
        <f t="shared" si="110"/>
        <v>AUG</v>
      </c>
      <c r="C3555" s="21">
        <v>46250</v>
      </c>
      <c r="D3555" s="22" t="str">
        <f>IFERROR(INDEX('Kode Outlet dan Target Toko'!$A:$A,MATCH($I3555,'Kode Outlet dan Target Toko'!$E:$E,0)),"")</f>
        <v>GRSM 4</v>
      </c>
      <c r="E3555" s="20" t="str">
        <f>IFERROR(VLOOKUP(I3555,KET!$B:$F,4,0),"")</f>
        <v>FAHMI LUKMANUL HAKIM</v>
      </c>
      <c r="F3555" s="20" t="str">
        <f>IFERROR(VLOOKUP(I3555,KET!$B:$F,5,0),"")</f>
        <v>GMM</v>
      </c>
      <c r="G3555" s="20">
        <f>IFERROR(INDEX('Kode Outlet dan Target Toko'!$C:$C,MATCH($I3555,'Kode Outlet dan Target Toko'!$E:$E,0)),0)</f>
        <v>103259</v>
      </c>
      <c r="H3555" s="20">
        <f>IFERROR(INDEX('Kode Outlet dan Target Toko'!$D:$D,MATCH($I3555,'Kode Outlet dan Target Toko'!$E:$E,0)),0)</f>
        <v>9002359</v>
      </c>
      <c r="I3555" s="42" t="s">
        <v>103</v>
      </c>
      <c r="J3555" s="56" t="s">
        <v>197</v>
      </c>
      <c r="K3555" s="40" t="s">
        <v>15</v>
      </c>
      <c r="L3555" s="26">
        <v>1980</v>
      </c>
      <c r="M3555" s="26">
        <v>129</v>
      </c>
      <c r="N3555" s="25">
        <f t="shared" si="111"/>
        <v>255420</v>
      </c>
      <c r="O3555" s="56"/>
    </row>
    <row r="3556" spans="1:15" hidden="1" x14ac:dyDescent="0.3">
      <c r="A3556" s="26">
        <v>33</v>
      </c>
      <c r="B3556" s="20" t="str">
        <f t="shared" si="110"/>
        <v>AUG</v>
      </c>
      <c r="C3556" s="21">
        <v>46250</v>
      </c>
      <c r="D3556" s="22" t="str">
        <f>IFERROR(INDEX('Kode Outlet dan Target Toko'!$A:$A,MATCH($I3556,'Kode Outlet dan Target Toko'!$E:$E,0)),"")</f>
        <v>GRSM 4</v>
      </c>
      <c r="E3556" s="20" t="str">
        <f>IFERROR(VLOOKUP(I3556,KET!$B:$F,4,0),"")</f>
        <v>FAHMI LUKMANUL HAKIM</v>
      </c>
      <c r="F3556" s="20" t="str">
        <f>IFERROR(VLOOKUP(I3556,KET!$B:$F,5,0),"")</f>
        <v>GMM</v>
      </c>
      <c r="G3556" s="20">
        <f>IFERROR(INDEX('Kode Outlet dan Target Toko'!$C:$C,MATCH($I3556,'Kode Outlet dan Target Toko'!$E:$E,0)),0)</f>
        <v>103259</v>
      </c>
      <c r="H3556" s="20">
        <f>IFERROR(INDEX('Kode Outlet dan Target Toko'!$D:$D,MATCH($I3556,'Kode Outlet dan Target Toko'!$E:$E,0)),0)</f>
        <v>9002359</v>
      </c>
      <c r="I3556" s="42" t="s">
        <v>103</v>
      </c>
      <c r="J3556" s="56" t="s">
        <v>197</v>
      </c>
      <c r="K3556" s="40" t="s">
        <v>14</v>
      </c>
      <c r="L3556" s="26">
        <v>1980</v>
      </c>
      <c r="M3556" s="26">
        <v>0</v>
      </c>
      <c r="N3556" s="25">
        <f t="shared" si="111"/>
        <v>0</v>
      </c>
      <c r="O3556" s="56"/>
    </row>
    <row r="3557" spans="1:15" hidden="1" x14ac:dyDescent="0.3">
      <c r="A3557" s="26">
        <v>33</v>
      </c>
      <c r="B3557" s="20" t="str">
        <f t="shared" si="110"/>
        <v>AUG</v>
      </c>
      <c r="C3557" s="21">
        <v>46250</v>
      </c>
      <c r="D3557" s="22" t="str">
        <f>IFERROR(INDEX('Kode Outlet dan Target Toko'!$A:$A,MATCH($I3557,'Kode Outlet dan Target Toko'!$E:$E,0)),"")</f>
        <v>GRSM 4</v>
      </c>
      <c r="E3557" s="20" t="str">
        <f>IFERROR(VLOOKUP(I3557,KET!$B:$F,4,0),"")</f>
        <v>FAHMI LUKMANUL HAKIM</v>
      </c>
      <c r="F3557" s="20" t="str">
        <f>IFERROR(VLOOKUP(I3557,KET!$B:$F,5,0),"")</f>
        <v>GMM</v>
      </c>
      <c r="G3557" s="20">
        <f>IFERROR(INDEX('Kode Outlet dan Target Toko'!$C:$C,MATCH($I3557,'Kode Outlet dan Target Toko'!$E:$E,0)),0)</f>
        <v>103259</v>
      </c>
      <c r="H3557" s="20">
        <f>IFERROR(INDEX('Kode Outlet dan Target Toko'!$D:$D,MATCH($I3557,'Kode Outlet dan Target Toko'!$E:$E,0)),0)</f>
        <v>9002359</v>
      </c>
      <c r="I3557" s="42" t="s">
        <v>103</v>
      </c>
      <c r="J3557" s="56" t="s">
        <v>197</v>
      </c>
      <c r="K3557" s="40" t="s">
        <v>13</v>
      </c>
      <c r="L3557" s="26">
        <v>1980</v>
      </c>
      <c r="M3557" s="26">
        <v>0</v>
      </c>
      <c r="N3557" s="25">
        <f t="shared" si="111"/>
        <v>0</v>
      </c>
      <c r="O3557" s="56"/>
    </row>
    <row r="3558" spans="1:15" hidden="1" x14ac:dyDescent="0.3">
      <c r="A3558" s="26">
        <v>33</v>
      </c>
      <c r="B3558" s="20" t="str">
        <f t="shared" si="110"/>
        <v>AUG</v>
      </c>
      <c r="C3558" s="21">
        <v>46250</v>
      </c>
      <c r="D3558" s="22" t="str">
        <f>IFERROR(INDEX('Kode Outlet dan Target Toko'!$A:$A,MATCH($I3558,'Kode Outlet dan Target Toko'!$E:$E,0)),"")</f>
        <v>GRSM 4</v>
      </c>
      <c r="E3558" s="20" t="str">
        <f>IFERROR(VLOOKUP(I3558,KET!$B:$F,4,0),"")</f>
        <v>FAHMI LUKMANUL HAKIM</v>
      </c>
      <c r="F3558" s="20" t="str">
        <f>IFERROR(VLOOKUP(I3558,KET!$B:$F,5,0),"")</f>
        <v>GMM</v>
      </c>
      <c r="G3558" s="20">
        <f>IFERROR(INDEX('Kode Outlet dan Target Toko'!$C:$C,MATCH($I3558,'Kode Outlet dan Target Toko'!$E:$E,0)),0)</f>
        <v>103259</v>
      </c>
      <c r="H3558" s="20">
        <f>IFERROR(INDEX('Kode Outlet dan Target Toko'!$D:$D,MATCH($I3558,'Kode Outlet dan Target Toko'!$E:$E,0)),0)</f>
        <v>9002359</v>
      </c>
      <c r="I3558" s="42" t="s">
        <v>103</v>
      </c>
      <c r="J3558" s="56" t="s">
        <v>197</v>
      </c>
      <c r="K3558" s="40" t="s">
        <v>16</v>
      </c>
      <c r="L3558" s="26">
        <v>1980</v>
      </c>
      <c r="M3558" s="26">
        <v>0</v>
      </c>
      <c r="N3558" s="25">
        <f t="shared" si="111"/>
        <v>0</v>
      </c>
      <c r="O3558" s="56"/>
    </row>
    <row r="3559" spans="1:15" hidden="1" x14ac:dyDescent="0.3">
      <c r="A3559" s="26">
        <v>33</v>
      </c>
      <c r="B3559" s="20" t="str">
        <f t="shared" si="110"/>
        <v>AUG</v>
      </c>
      <c r="C3559" s="21">
        <v>46250</v>
      </c>
      <c r="D3559" s="22" t="str">
        <f>IFERROR(INDEX('Kode Outlet dan Target Toko'!$A:$A,MATCH($I3559,'Kode Outlet dan Target Toko'!$E:$E,0)),"")</f>
        <v>GRSM 4</v>
      </c>
      <c r="E3559" s="20" t="str">
        <f>IFERROR(VLOOKUP(I3559,KET!$B:$F,4,0),"")</f>
        <v>FAHMI LUKMANUL HAKIM</v>
      </c>
      <c r="F3559" s="20" t="str">
        <f>IFERROR(VLOOKUP(I3559,KET!$B:$F,5,0),"")</f>
        <v>GMM</v>
      </c>
      <c r="G3559" s="20">
        <f>IFERROR(INDEX('Kode Outlet dan Target Toko'!$C:$C,MATCH($I3559,'Kode Outlet dan Target Toko'!$E:$E,0)),0)</f>
        <v>103259</v>
      </c>
      <c r="H3559" s="20">
        <f>IFERROR(INDEX('Kode Outlet dan Target Toko'!$D:$D,MATCH($I3559,'Kode Outlet dan Target Toko'!$E:$E,0)),0)</f>
        <v>9006219</v>
      </c>
      <c r="I3559" s="42" t="s">
        <v>96</v>
      </c>
      <c r="J3559" s="56" t="s">
        <v>198</v>
      </c>
      <c r="K3559" s="40" t="s">
        <v>15</v>
      </c>
      <c r="L3559" s="26">
        <v>2000</v>
      </c>
      <c r="M3559" s="26">
        <v>26</v>
      </c>
      <c r="N3559" s="25">
        <f t="shared" si="111"/>
        <v>52000</v>
      </c>
      <c r="O3559" s="56"/>
    </row>
    <row r="3560" spans="1:15" hidden="1" x14ac:dyDescent="0.3">
      <c r="A3560" s="26">
        <v>33</v>
      </c>
      <c r="B3560" s="20" t="str">
        <f t="shared" si="110"/>
        <v>AUG</v>
      </c>
      <c r="C3560" s="21">
        <v>46250</v>
      </c>
      <c r="D3560" s="22" t="str">
        <f>IFERROR(INDEX('Kode Outlet dan Target Toko'!$A:$A,MATCH($I3560,'Kode Outlet dan Target Toko'!$E:$E,0)),"")</f>
        <v>GRSM 4</v>
      </c>
      <c r="E3560" s="20" t="str">
        <f>IFERROR(VLOOKUP(I3560,KET!$B:$F,4,0),"")</f>
        <v>FAHMI LUKMANUL HAKIM</v>
      </c>
      <c r="F3560" s="20" t="str">
        <f>IFERROR(VLOOKUP(I3560,KET!$B:$F,5,0),"")</f>
        <v>GMM</v>
      </c>
      <c r="G3560" s="20">
        <f>IFERROR(INDEX('Kode Outlet dan Target Toko'!$C:$C,MATCH($I3560,'Kode Outlet dan Target Toko'!$E:$E,0)),0)</f>
        <v>103259</v>
      </c>
      <c r="H3560" s="20">
        <f>IFERROR(INDEX('Kode Outlet dan Target Toko'!$D:$D,MATCH($I3560,'Kode Outlet dan Target Toko'!$E:$E,0)),0)</f>
        <v>9006219</v>
      </c>
      <c r="I3560" s="42" t="s">
        <v>96</v>
      </c>
      <c r="J3560" s="56" t="s">
        <v>198</v>
      </c>
      <c r="K3560" s="40" t="s">
        <v>14</v>
      </c>
      <c r="L3560" s="26">
        <v>2000</v>
      </c>
      <c r="M3560" s="26">
        <v>20</v>
      </c>
      <c r="N3560" s="25">
        <f t="shared" si="111"/>
        <v>40000</v>
      </c>
      <c r="O3560" s="56"/>
    </row>
    <row r="3561" spans="1:15" hidden="1" x14ac:dyDescent="0.3">
      <c r="A3561" s="26">
        <v>33</v>
      </c>
      <c r="B3561" s="20" t="str">
        <f t="shared" si="110"/>
        <v>AUG</v>
      </c>
      <c r="C3561" s="21">
        <v>46250</v>
      </c>
      <c r="D3561" s="22" t="str">
        <f>IFERROR(INDEX('Kode Outlet dan Target Toko'!$A:$A,MATCH($I3561,'Kode Outlet dan Target Toko'!$E:$E,0)),"")</f>
        <v>GRSM 4</v>
      </c>
      <c r="E3561" s="20" t="str">
        <f>IFERROR(VLOOKUP(I3561,KET!$B:$F,4,0),"")</f>
        <v>FAHMI LUKMANUL HAKIM</v>
      </c>
      <c r="F3561" s="20" t="str">
        <f>IFERROR(VLOOKUP(I3561,KET!$B:$F,5,0),"")</f>
        <v>GMM</v>
      </c>
      <c r="G3561" s="20">
        <f>IFERROR(INDEX('Kode Outlet dan Target Toko'!$C:$C,MATCH($I3561,'Kode Outlet dan Target Toko'!$E:$E,0)),0)</f>
        <v>103259</v>
      </c>
      <c r="H3561" s="20">
        <f>IFERROR(INDEX('Kode Outlet dan Target Toko'!$D:$D,MATCH($I3561,'Kode Outlet dan Target Toko'!$E:$E,0)),0)</f>
        <v>9006219</v>
      </c>
      <c r="I3561" s="42" t="s">
        <v>96</v>
      </c>
      <c r="J3561" s="56" t="s">
        <v>198</v>
      </c>
      <c r="K3561" s="40" t="s">
        <v>13</v>
      </c>
      <c r="L3561" s="26">
        <v>2000</v>
      </c>
      <c r="M3561" s="26">
        <v>60</v>
      </c>
      <c r="N3561" s="25">
        <f t="shared" si="111"/>
        <v>120000</v>
      </c>
      <c r="O3561" s="56"/>
    </row>
    <row r="3562" spans="1:15" hidden="1" x14ac:dyDescent="0.3">
      <c r="A3562" s="26">
        <v>33</v>
      </c>
      <c r="B3562" s="20" t="str">
        <f t="shared" si="110"/>
        <v>AUG</v>
      </c>
      <c r="C3562" s="21">
        <v>46250</v>
      </c>
      <c r="D3562" s="22" t="str">
        <f>IFERROR(INDEX('Kode Outlet dan Target Toko'!$A:$A,MATCH($I3562,'Kode Outlet dan Target Toko'!$E:$E,0)),"")</f>
        <v>GRSM 4</v>
      </c>
      <c r="E3562" s="20" t="str">
        <f>IFERROR(VLOOKUP(I3562,KET!$B:$F,4,0),"")</f>
        <v>FAHMI LUKMANUL HAKIM</v>
      </c>
      <c r="F3562" s="20" t="str">
        <f>IFERROR(VLOOKUP(I3562,KET!$B:$F,5,0),"")</f>
        <v>GMM</v>
      </c>
      <c r="G3562" s="20">
        <f>IFERROR(INDEX('Kode Outlet dan Target Toko'!$C:$C,MATCH($I3562,'Kode Outlet dan Target Toko'!$E:$E,0)),0)</f>
        <v>103259</v>
      </c>
      <c r="H3562" s="20">
        <f>IFERROR(INDEX('Kode Outlet dan Target Toko'!$D:$D,MATCH($I3562,'Kode Outlet dan Target Toko'!$E:$E,0)),0)</f>
        <v>9006219</v>
      </c>
      <c r="I3562" s="42" t="s">
        <v>96</v>
      </c>
      <c r="J3562" s="56" t="s">
        <v>198</v>
      </c>
      <c r="K3562" s="40" t="s">
        <v>16</v>
      </c>
      <c r="L3562" s="26">
        <v>2000</v>
      </c>
      <c r="M3562" s="26">
        <v>107</v>
      </c>
      <c r="N3562" s="25">
        <f t="shared" si="111"/>
        <v>214000</v>
      </c>
      <c r="O3562" s="56">
        <v>160</v>
      </c>
    </row>
    <row r="3563" spans="1:15" hidden="1" x14ac:dyDescent="0.3">
      <c r="A3563" s="26">
        <v>33</v>
      </c>
      <c r="B3563" s="20" t="str">
        <f t="shared" si="110"/>
        <v>AUG</v>
      </c>
      <c r="C3563" s="21">
        <v>46250</v>
      </c>
      <c r="D3563" s="22" t="str">
        <f>IFERROR(INDEX('Kode Outlet dan Target Toko'!$A:$A,MATCH($I3563,'Kode Outlet dan Target Toko'!$E:$E,0)),"")</f>
        <v>GRSM 4</v>
      </c>
      <c r="E3563" s="20" t="str">
        <f>IFERROR(VLOOKUP(I3563,KET!$B:$F,4,0),"")</f>
        <v>FAHMI LUKMANUL HAKIM</v>
      </c>
      <c r="F3563" s="20" t="str">
        <f>IFERROR(VLOOKUP(I3563,KET!$B:$F,5,0),"")</f>
        <v>GMM</v>
      </c>
      <c r="G3563" s="20">
        <f>IFERROR(INDEX('Kode Outlet dan Target Toko'!$C:$C,MATCH($I3563,'Kode Outlet dan Target Toko'!$E:$E,0)),0)</f>
        <v>103257</v>
      </c>
      <c r="H3563" s="20">
        <f>IFERROR(INDEX('Kode Outlet dan Target Toko'!$D:$D,MATCH($I3563,'Kode Outlet dan Target Toko'!$E:$E,0)),0)</f>
        <v>9162509</v>
      </c>
      <c r="I3563" s="42" t="s">
        <v>57</v>
      </c>
      <c r="J3563" s="56" t="s">
        <v>301</v>
      </c>
      <c r="K3563" s="40" t="s">
        <v>15</v>
      </c>
      <c r="L3563" s="26">
        <v>3096</v>
      </c>
      <c r="M3563" s="26">
        <v>85</v>
      </c>
      <c r="N3563" s="25">
        <f t="shared" si="111"/>
        <v>263160</v>
      </c>
      <c r="O3563" s="56"/>
    </row>
    <row r="3564" spans="1:15" hidden="1" x14ac:dyDescent="0.3">
      <c r="A3564" s="26">
        <v>33</v>
      </c>
      <c r="B3564" s="20" t="str">
        <f t="shared" si="110"/>
        <v>AUG</v>
      </c>
      <c r="C3564" s="21">
        <v>46250</v>
      </c>
      <c r="D3564" s="22" t="str">
        <f>IFERROR(INDEX('Kode Outlet dan Target Toko'!$A:$A,MATCH($I3564,'Kode Outlet dan Target Toko'!$E:$E,0)),"")</f>
        <v>GRSM 4</v>
      </c>
      <c r="E3564" s="20" t="str">
        <f>IFERROR(VLOOKUP(I3564,KET!$B:$F,4,0),"")</f>
        <v>FAHMI LUKMANUL HAKIM</v>
      </c>
      <c r="F3564" s="20" t="str">
        <f>IFERROR(VLOOKUP(I3564,KET!$B:$F,5,0),"")</f>
        <v>GMM</v>
      </c>
      <c r="G3564" s="20">
        <f>IFERROR(INDEX('Kode Outlet dan Target Toko'!$C:$C,MATCH($I3564,'Kode Outlet dan Target Toko'!$E:$E,0)),0)</f>
        <v>103257</v>
      </c>
      <c r="H3564" s="20">
        <f>IFERROR(INDEX('Kode Outlet dan Target Toko'!$D:$D,MATCH($I3564,'Kode Outlet dan Target Toko'!$E:$E,0)),0)</f>
        <v>9162509</v>
      </c>
      <c r="I3564" s="42" t="s">
        <v>57</v>
      </c>
      <c r="J3564" s="56" t="s">
        <v>301</v>
      </c>
      <c r="K3564" s="40" t="s">
        <v>14</v>
      </c>
      <c r="L3564" s="26">
        <v>3096</v>
      </c>
      <c r="M3564" s="26">
        <v>92</v>
      </c>
      <c r="N3564" s="25">
        <f t="shared" si="111"/>
        <v>284832</v>
      </c>
      <c r="O3564" s="56"/>
    </row>
    <row r="3565" spans="1:15" hidden="1" x14ac:dyDescent="0.3">
      <c r="A3565" s="26">
        <v>33</v>
      </c>
      <c r="B3565" s="20" t="str">
        <f t="shared" si="110"/>
        <v>AUG</v>
      </c>
      <c r="C3565" s="21">
        <v>46250</v>
      </c>
      <c r="D3565" s="22" t="str">
        <f>IFERROR(INDEX('Kode Outlet dan Target Toko'!$A:$A,MATCH($I3565,'Kode Outlet dan Target Toko'!$E:$E,0)),"")</f>
        <v>GRSM 4</v>
      </c>
      <c r="E3565" s="20" t="str">
        <f>IFERROR(VLOOKUP(I3565,KET!$B:$F,4,0),"")</f>
        <v>FAHMI LUKMANUL HAKIM</v>
      </c>
      <c r="F3565" s="20" t="str">
        <f>IFERROR(VLOOKUP(I3565,KET!$B:$F,5,0),"")</f>
        <v>GMM</v>
      </c>
      <c r="G3565" s="20">
        <f>IFERROR(INDEX('Kode Outlet dan Target Toko'!$C:$C,MATCH($I3565,'Kode Outlet dan Target Toko'!$E:$E,0)),0)</f>
        <v>103257</v>
      </c>
      <c r="H3565" s="20">
        <f>IFERROR(INDEX('Kode Outlet dan Target Toko'!$D:$D,MATCH($I3565,'Kode Outlet dan Target Toko'!$E:$E,0)),0)</f>
        <v>9162509</v>
      </c>
      <c r="I3565" s="42" t="s">
        <v>57</v>
      </c>
      <c r="J3565" s="56" t="s">
        <v>301</v>
      </c>
      <c r="K3565" s="40" t="s">
        <v>13</v>
      </c>
      <c r="L3565" s="26">
        <v>3096</v>
      </c>
      <c r="M3565" s="26">
        <v>0</v>
      </c>
      <c r="N3565" s="25">
        <f t="shared" si="111"/>
        <v>0</v>
      </c>
      <c r="O3565" s="56"/>
    </row>
    <row r="3566" spans="1:15" hidden="1" x14ac:dyDescent="0.3">
      <c r="A3566" s="26">
        <v>33</v>
      </c>
      <c r="B3566" s="20" t="str">
        <f t="shared" si="110"/>
        <v>AUG</v>
      </c>
      <c r="C3566" s="21">
        <v>46250</v>
      </c>
      <c r="D3566" s="22" t="str">
        <f>IFERROR(INDEX('Kode Outlet dan Target Toko'!$A:$A,MATCH($I3566,'Kode Outlet dan Target Toko'!$E:$E,0)),"")</f>
        <v>GRSM 4</v>
      </c>
      <c r="E3566" s="20" t="str">
        <f>IFERROR(VLOOKUP(I3566,KET!$B:$F,4,0),"")</f>
        <v>FAHMI LUKMANUL HAKIM</v>
      </c>
      <c r="F3566" s="20" t="str">
        <f>IFERROR(VLOOKUP(I3566,KET!$B:$F,5,0),"")</f>
        <v>GMM</v>
      </c>
      <c r="G3566" s="20">
        <f>IFERROR(INDEX('Kode Outlet dan Target Toko'!$C:$C,MATCH($I3566,'Kode Outlet dan Target Toko'!$E:$E,0)),0)</f>
        <v>103257</v>
      </c>
      <c r="H3566" s="20">
        <f>IFERROR(INDEX('Kode Outlet dan Target Toko'!$D:$D,MATCH($I3566,'Kode Outlet dan Target Toko'!$E:$E,0)),0)</f>
        <v>9162509</v>
      </c>
      <c r="I3566" s="42" t="s">
        <v>57</v>
      </c>
      <c r="J3566" s="56" t="s">
        <v>301</v>
      </c>
      <c r="K3566" s="40" t="s">
        <v>16</v>
      </c>
      <c r="L3566" s="26">
        <v>3096</v>
      </c>
      <c r="M3566" s="26">
        <v>0</v>
      </c>
      <c r="N3566" s="25">
        <f t="shared" si="111"/>
        <v>0</v>
      </c>
      <c r="O3566" s="56">
        <v>160</v>
      </c>
    </row>
    <row r="3567" spans="1:15" hidden="1" x14ac:dyDescent="0.3">
      <c r="A3567" s="26">
        <v>33</v>
      </c>
      <c r="B3567" s="20" t="str">
        <f t="shared" si="110"/>
        <v>AUG</v>
      </c>
      <c r="C3567" s="21">
        <v>46250</v>
      </c>
      <c r="D3567" s="22" t="str">
        <f>IFERROR(INDEX('Kode Outlet dan Target Toko'!$A:$A,MATCH($I3567,'Kode Outlet dan Target Toko'!$E:$E,0)),"")</f>
        <v>GRSM 4</v>
      </c>
      <c r="E3567" s="20" t="str">
        <f>IFERROR(VLOOKUP(I3567,KET!$B:$F,4,0),"")</f>
        <v>FAHMI LUKMANUL HAKIM</v>
      </c>
      <c r="F3567" s="20" t="str">
        <f>IFERROR(VLOOKUP(I3567,KET!$B:$F,5,0),"")</f>
        <v>GMM</v>
      </c>
      <c r="G3567" s="20">
        <f>IFERROR(INDEX('Kode Outlet dan Target Toko'!$C:$C,MATCH($I3567,'Kode Outlet dan Target Toko'!$E:$E,0)),0)</f>
        <v>103259</v>
      </c>
      <c r="H3567" s="20">
        <f>IFERROR(INDEX('Kode Outlet dan Target Toko'!$D:$D,MATCH($I3567,'Kode Outlet dan Target Toko'!$E:$E,0)),0)</f>
        <v>9006219</v>
      </c>
      <c r="I3567" s="42" t="s">
        <v>96</v>
      </c>
      <c r="J3567" s="56" t="s">
        <v>199</v>
      </c>
      <c r="K3567" s="40" t="s">
        <v>15</v>
      </c>
      <c r="L3567" s="26">
        <v>2000</v>
      </c>
      <c r="M3567" s="26">
        <v>26</v>
      </c>
      <c r="N3567" s="25">
        <f t="shared" si="111"/>
        <v>52000</v>
      </c>
      <c r="O3567" s="56"/>
    </row>
    <row r="3568" spans="1:15" hidden="1" x14ac:dyDescent="0.3">
      <c r="A3568" s="26">
        <v>33</v>
      </c>
      <c r="B3568" s="20" t="str">
        <f t="shared" si="110"/>
        <v>AUG</v>
      </c>
      <c r="C3568" s="21">
        <v>46250</v>
      </c>
      <c r="D3568" s="22" t="str">
        <f>IFERROR(INDEX('Kode Outlet dan Target Toko'!$A:$A,MATCH($I3568,'Kode Outlet dan Target Toko'!$E:$E,0)),"")</f>
        <v>GRSM 4</v>
      </c>
      <c r="E3568" s="20" t="str">
        <f>IFERROR(VLOOKUP(I3568,KET!$B:$F,4,0),"")</f>
        <v>FAHMI LUKMANUL HAKIM</v>
      </c>
      <c r="F3568" s="20" t="str">
        <f>IFERROR(VLOOKUP(I3568,KET!$B:$F,5,0),"")</f>
        <v>GMM</v>
      </c>
      <c r="G3568" s="20">
        <f>IFERROR(INDEX('Kode Outlet dan Target Toko'!$C:$C,MATCH($I3568,'Kode Outlet dan Target Toko'!$E:$E,0)),0)</f>
        <v>103259</v>
      </c>
      <c r="H3568" s="20">
        <f>IFERROR(INDEX('Kode Outlet dan Target Toko'!$D:$D,MATCH($I3568,'Kode Outlet dan Target Toko'!$E:$E,0)),0)</f>
        <v>9006219</v>
      </c>
      <c r="I3568" s="42" t="s">
        <v>96</v>
      </c>
      <c r="J3568" s="56" t="s">
        <v>199</v>
      </c>
      <c r="K3568" s="40" t="s">
        <v>14</v>
      </c>
      <c r="L3568" s="26">
        <v>2000</v>
      </c>
      <c r="M3568" s="26">
        <v>20</v>
      </c>
      <c r="N3568" s="25">
        <f t="shared" si="111"/>
        <v>40000</v>
      </c>
      <c r="O3568" s="56"/>
    </row>
    <row r="3569" spans="1:15" hidden="1" x14ac:dyDescent="0.3">
      <c r="A3569" s="26">
        <v>33</v>
      </c>
      <c r="B3569" s="20" t="str">
        <f t="shared" si="110"/>
        <v>AUG</v>
      </c>
      <c r="C3569" s="21">
        <v>46250</v>
      </c>
      <c r="D3569" s="22" t="str">
        <f>IFERROR(INDEX('Kode Outlet dan Target Toko'!$A:$A,MATCH($I3569,'Kode Outlet dan Target Toko'!$E:$E,0)),"")</f>
        <v>GRSM 4</v>
      </c>
      <c r="E3569" s="20" t="str">
        <f>IFERROR(VLOOKUP(I3569,KET!$B:$F,4,0),"")</f>
        <v>FAHMI LUKMANUL HAKIM</v>
      </c>
      <c r="F3569" s="20" t="str">
        <f>IFERROR(VLOOKUP(I3569,KET!$B:$F,5,0),"")</f>
        <v>GMM</v>
      </c>
      <c r="G3569" s="20">
        <f>IFERROR(INDEX('Kode Outlet dan Target Toko'!$C:$C,MATCH($I3569,'Kode Outlet dan Target Toko'!$E:$E,0)),0)</f>
        <v>103259</v>
      </c>
      <c r="H3569" s="20">
        <f>IFERROR(INDEX('Kode Outlet dan Target Toko'!$D:$D,MATCH($I3569,'Kode Outlet dan Target Toko'!$E:$E,0)),0)</f>
        <v>9006219</v>
      </c>
      <c r="I3569" s="42" t="s">
        <v>96</v>
      </c>
      <c r="J3569" s="56" t="s">
        <v>199</v>
      </c>
      <c r="K3569" s="40" t="s">
        <v>13</v>
      </c>
      <c r="L3569" s="26">
        <v>2000</v>
      </c>
      <c r="M3569" s="26">
        <v>60</v>
      </c>
      <c r="N3569" s="25">
        <f t="shared" si="111"/>
        <v>120000</v>
      </c>
      <c r="O3569" s="56"/>
    </row>
    <row r="3570" spans="1:15" hidden="1" x14ac:dyDescent="0.3">
      <c r="A3570" s="26">
        <v>33</v>
      </c>
      <c r="B3570" s="20" t="str">
        <f t="shared" si="110"/>
        <v>AUG</v>
      </c>
      <c r="C3570" s="21">
        <v>46250</v>
      </c>
      <c r="D3570" s="22" t="str">
        <f>IFERROR(INDEX('Kode Outlet dan Target Toko'!$A:$A,MATCH($I3570,'Kode Outlet dan Target Toko'!$E:$E,0)),"")</f>
        <v>GRSM 4</v>
      </c>
      <c r="E3570" s="20" t="str">
        <f>IFERROR(VLOOKUP(I3570,KET!$B:$F,4,0),"")</f>
        <v>FAHMI LUKMANUL HAKIM</v>
      </c>
      <c r="F3570" s="20" t="str">
        <f>IFERROR(VLOOKUP(I3570,KET!$B:$F,5,0),"")</f>
        <v>GMM</v>
      </c>
      <c r="G3570" s="20">
        <f>IFERROR(INDEX('Kode Outlet dan Target Toko'!$C:$C,MATCH($I3570,'Kode Outlet dan Target Toko'!$E:$E,0)),0)</f>
        <v>103259</v>
      </c>
      <c r="H3570" s="20">
        <f>IFERROR(INDEX('Kode Outlet dan Target Toko'!$D:$D,MATCH($I3570,'Kode Outlet dan Target Toko'!$E:$E,0)),0)</f>
        <v>9006219</v>
      </c>
      <c r="I3570" s="42" t="s">
        <v>96</v>
      </c>
      <c r="J3570" s="56" t="s">
        <v>199</v>
      </c>
      <c r="K3570" s="40" t="s">
        <v>16</v>
      </c>
      <c r="L3570" s="26">
        <v>2000</v>
      </c>
      <c r="M3570" s="26">
        <v>107</v>
      </c>
      <c r="N3570" s="25">
        <f t="shared" si="111"/>
        <v>214000</v>
      </c>
      <c r="O3570" s="56">
        <v>160</v>
      </c>
    </row>
    <row r="3571" spans="1:15" hidden="1" x14ac:dyDescent="0.3">
      <c r="A3571" s="26">
        <v>33</v>
      </c>
      <c r="B3571" s="20" t="str">
        <f t="shared" si="110"/>
        <v>AUG</v>
      </c>
      <c r="C3571" s="21">
        <v>46248</v>
      </c>
      <c r="D3571" s="22" t="str">
        <f>IFERROR(INDEX('Kode Outlet dan Target Toko'!$A:$A,MATCH($I3571,'Kode Outlet dan Target Toko'!$E:$E,0)),"")</f>
        <v>GRSM 1</v>
      </c>
      <c r="E3571" s="20" t="str">
        <f>IFERROR(VLOOKUP(I3571,KET!$B:$F,4,0),"")</f>
        <v>AFNITA SARI</v>
      </c>
      <c r="F3571" s="20" t="str">
        <f>IFERROR(VLOOKUP(I3571,KET!$B:$F,5,0),"")</f>
        <v>MT</v>
      </c>
      <c r="G3571" s="20">
        <f>IFERROR(INDEX('Kode Outlet dan Target Toko'!$C:$C,MATCH($I3571,'Kode Outlet dan Target Toko'!$E:$E,0)),0)</f>
        <v>122506</v>
      </c>
      <c r="H3571" s="20">
        <f>IFERROR(INDEX('Kode Outlet dan Target Toko'!$D:$D,MATCH($I3571,'Kode Outlet dan Target Toko'!$E:$E,0)),0)</f>
        <v>214300</v>
      </c>
      <c r="I3571" s="42" t="s">
        <v>73</v>
      </c>
      <c r="J3571" s="56" t="s">
        <v>291</v>
      </c>
      <c r="K3571" s="40" t="s">
        <v>15</v>
      </c>
      <c r="L3571" s="26">
        <v>7000</v>
      </c>
      <c r="M3571" s="26">
        <v>25</v>
      </c>
      <c r="N3571" s="25">
        <f t="shared" si="111"/>
        <v>175000</v>
      </c>
      <c r="O3571" s="56"/>
    </row>
    <row r="3572" spans="1:15" hidden="1" x14ac:dyDescent="0.3">
      <c r="A3572" s="26">
        <v>33</v>
      </c>
      <c r="B3572" s="20" t="str">
        <f t="shared" si="110"/>
        <v>AUG</v>
      </c>
      <c r="C3572" s="21">
        <v>46248</v>
      </c>
      <c r="D3572" s="22" t="str">
        <f>IFERROR(INDEX('Kode Outlet dan Target Toko'!$A:$A,MATCH($I3572,'Kode Outlet dan Target Toko'!$E:$E,0)),"")</f>
        <v>GRSM 1</v>
      </c>
      <c r="E3572" s="20" t="str">
        <f>IFERROR(VLOOKUP(I3572,KET!$B:$F,4,0),"")</f>
        <v>AFNITA SARI</v>
      </c>
      <c r="F3572" s="20" t="str">
        <f>IFERROR(VLOOKUP(I3572,KET!$B:$F,5,0),"")</f>
        <v>MT</v>
      </c>
      <c r="G3572" s="20">
        <f>IFERROR(INDEX('Kode Outlet dan Target Toko'!$C:$C,MATCH($I3572,'Kode Outlet dan Target Toko'!$E:$E,0)),0)</f>
        <v>122506</v>
      </c>
      <c r="H3572" s="20">
        <f>IFERROR(INDEX('Kode Outlet dan Target Toko'!$D:$D,MATCH($I3572,'Kode Outlet dan Target Toko'!$E:$E,0)),0)</f>
        <v>214300</v>
      </c>
      <c r="I3572" s="42" t="s">
        <v>73</v>
      </c>
      <c r="J3572" s="56" t="s">
        <v>291</v>
      </c>
      <c r="K3572" s="40" t="s">
        <v>14</v>
      </c>
      <c r="L3572" s="26">
        <v>7000</v>
      </c>
      <c r="M3572" s="26">
        <v>35</v>
      </c>
      <c r="N3572" s="25">
        <f t="shared" si="111"/>
        <v>245000</v>
      </c>
      <c r="O3572" s="56"/>
    </row>
    <row r="3573" spans="1:15" hidden="1" x14ac:dyDescent="0.3">
      <c r="A3573" s="26">
        <v>33</v>
      </c>
      <c r="B3573" s="20" t="str">
        <f t="shared" si="110"/>
        <v>AUG</v>
      </c>
      <c r="C3573" s="21">
        <v>46248</v>
      </c>
      <c r="D3573" s="22" t="str">
        <f>IFERROR(INDEX('Kode Outlet dan Target Toko'!$A:$A,MATCH($I3573,'Kode Outlet dan Target Toko'!$E:$E,0)),"")</f>
        <v>GRSM 1</v>
      </c>
      <c r="E3573" s="20" t="str">
        <f>IFERROR(VLOOKUP(I3573,KET!$B:$F,4,0),"")</f>
        <v>AFNITA SARI</v>
      </c>
      <c r="F3573" s="20" t="str">
        <f>IFERROR(VLOOKUP(I3573,KET!$B:$F,5,0),"")</f>
        <v>MT</v>
      </c>
      <c r="G3573" s="20">
        <f>IFERROR(INDEX('Kode Outlet dan Target Toko'!$C:$C,MATCH($I3573,'Kode Outlet dan Target Toko'!$E:$E,0)),0)</f>
        <v>122506</v>
      </c>
      <c r="H3573" s="20">
        <f>IFERROR(INDEX('Kode Outlet dan Target Toko'!$D:$D,MATCH($I3573,'Kode Outlet dan Target Toko'!$E:$E,0)),0)</f>
        <v>214300</v>
      </c>
      <c r="I3573" s="42" t="s">
        <v>73</v>
      </c>
      <c r="J3573" s="56" t="s">
        <v>291</v>
      </c>
      <c r="K3573" s="40" t="s">
        <v>13</v>
      </c>
      <c r="L3573" s="26">
        <v>7000</v>
      </c>
      <c r="M3573" s="26">
        <v>25</v>
      </c>
      <c r="N3573" s="25">
        <f t="shared" si="111"/>
        <v>175000</v>
      </c>
      <c r="O3573" s="56"/>
    </row>
    <row r="3574" spans="1:15" hidden="1" x14ac:dyDescent="0.3">
      <c r="A3574" s="26">
        <v>33</v>
      </c>
      <c r="B3574" s="20" t="str">
        <f t="shared" si="110"/>
        <v>AUG</v>
      </c>
      <c r="C3574" s="21">
        <v>46248</v>
      </c>
      <c r="D3574" s="22" t="str">
        <f>IFERROR(INDEX('Kode Outlet dan Target Toko'!$A:$A,MATCH($I3574,'Kode Outlet dan Target Toko'!$E:$E,0)),"")</f>
        <v>GRSM 1</v>
      </c>
      <c r="E3574" s="20" t="str">
        <f>IFERROR(VLOOKUP(I3574,KET!$B:$F,4,0),"")</f>
        <v>AFNITA SARI</v>
      </c>
      <c r="F3574" s="20" t="str">
        <f>IFERROR(VLOOKUP(I3574,KET!$B:$F,5,0),"")</f>
        <v>MT</v>
      </c>
      <c r="G3574" s="20">
        <f>IFERROR(INDEX('Kode Outlet dan Target Toko'!$C:$C,MATCH($I3574,'Kode Outlet dan Target Toko'!$E:$E,0)),0)</f>
        <v>122506</v>
      </c>
      <c r="H3574" s="20">
        <f>IFERROR(INDEX('Kode Outlet dan Target Toko'!$D:$D,MATCH($I3574,'Kode Outlet dan Target Toko'!$E:$E,0)),0)</f>
        <v>214300</v>
      </c>
      <c r="I3574" s="42" t="s">
        <v>73</v>
      </c>
      <c r="J3574" s="56" t="s">
        <v>291</v>
      </c>
      <c r="K3574" s="40" t="s">
        <v>16</v>
      </c>
      <c r="L3574" s="26">
        <v>7000</v>
      </c>
      <c r="M3574" s="26">
        <v>50</v>
      </c>
      <c r="N3574" s="25">
        <f t="shared" si="111"/>
        <v>350000</v>
      </c>
      <c r="O3574" s="56">
        <v>160</v>
      </c>
    </row>
    <row r="3575" spans="1:15" hidden="1" x14ac:dyDescent="0.3">
      <c r="A3575" s="26">
        <v>33</v>
      </c>
      <c r="B3575" s="20" t="str">
        <f t="shared" si="110"/>
        <v>AUG</v>
      </c>
      <c r="C3575" s="21">
        <v>46248</v>
      </c>
      <c r="D3575" s="22" t="str">
        <f>IFERROR(INDEX('Kode Outlet dan Target Toko'!$A:$A,MATCH($I3575,'Kode Outlet dan Target Toko'!$E:$E,0)),"")</f>
        <v>GRSM 1</v>
      </c>
      <c r="E3575" s="20" t="str">
        <f>IFERROR(VLOOKUP(I3575,KET!$B:$F,4,0),"")</f>
        <v>AFNITA SARI</v>
      </c>
      <c r="F3575" s="20" t="str">
        <f>IFERROR(VLOOKUP(I3575,KET!$B:$F,5,0),"")</f>
        <v>MT</v>
      </c>
      <c r="G3575" s="20">
        <f>IFERROR(INDEX('Kode Outlet dan Target Toko'!$C:$C,MATCH($I3575,'Kode Outlet dan Target Toko'!$E:$E,0)),0)</f>
        <v>122506</v>
      </c>
      <c r="H3575" s="20">
        <f>IFERROR(INDEX('Kode Outlet dan Target Toko'!$D:$D,MATCH($I3575,'Kode Outlet dan Target Toko'!$E:$E,0)),0)</f>
        <v>214300</v>
      </c>
      <c r="I3575" s="42" t="s">
        <v>73</v>
      </c>
      <c r="J3575" s="56" t="s">
        <v>292</v>
      </c>
      <c r="K3575" s="40" t="s">
        <v>15</v>
      </c>
      <c r="L3575" s="26">
        <v>7000</v>
      </c>
      <c r="M3575" s="26">
        <v>25</v>
      </c>
      <c r="N3575" s="25">
        <f t="shared" si="111"/>
        <v>175000</v>
      </c>
      <c r="O3575" s="56"/>
    </row>
    <row r="3576" spans="1:15" hidden="1" x14ac:dyDescent="0.3">
      <c r="A3576" s="26">
        <v>33</v>
      </c>
      <c r="B3576" s="20" t="str">
        <f t="shared" si="110"/>
        <v>AUG</v>
      </c>
      <c r="C3576" s="21">
        <v>46248</v>
      </c>
      <c r="D3576" s="22" t="str">
        <f>IFERROR(INDEX('Kode Outlet dan Target Toko'!$A:$A,MATCH($I3576,'Kode Outlet dan Target Toko'!$E:$E,0)),"")</f>
        <v>GRSM 1</v>
      </c>
      <c r="E3576" s="20" t="str">
        <f>IFERROR(VLOOKUP(I3576,KET!$B:$F,4,0),"")</f>
        <v>AFNITA SARI</v>
      </c>
      <c r="F3576" s="20" t="str">
        <f>IFERROR(VLOOKUP(I3576,KET!$B:$F,5,0),"")</f>
        <v>MT</v>
      </c>
      <c r="G3576" s="20">
        <f>IFERROR(INDEX('Kode Outlet dan Target Toko'!$C:$C,MATCH($I3576,'Kode Outlet dan Target Toko'!$E:$E,0)),0)</f>
        <v>122506</v>
      </c>
      <c r="H3576" s="20">
        <f>IFERROR(INDEX('Kode Outlet dan Target Toko'!$D:$D,MATCH($I3576,'Kode Outlet dan Target Toko'!$E:$E,0)),0)</f>
        <v>214300</v>
      </c>
      <c r="I3576" s="42" t="s">
        <v>73</v>
      </c>
      <c r="J3576" s="56" t="s">
        <v>292</v>
      </c>
      <c r="K3576" s="40" t="s">
        <v>14</v>
      </c>
      <c r="L3576" s="26">
        <v>7000</v>
      </c>
      <c r="M3576" s="26">
        <v>35</v>
      </c>
      <c r="N3576" s="25">
        <f t="shared" si="111"/>
        <v>245000</v>
      </c>
      <c r="O3576" s="56"/>
    </row>
    <row r="3577" spans="1:15" hidden="1" x14ac:dyDescent="0.3">
      <c r="A3577" s="26">
        <v>33</v>
      </c>
      <c r="B3577" s="20" t="str">
        <f t="shared" si="110"/>
        <v>AUG</v>
      </c>
      <c r="C3577" s="21">
        <v>46248</v>
      </c>
      <c r="D3577" s="22" t="str">
        <f>IFERROR(INDEX('Kode Outlet dan Target Toko'!$A:$A,MATCH($I3577,'Kode Outlet dan Target Toko'!$E:$E,0)),"")</f>
        <v>GRSM 1</v>
      </c>
      <c r="E3577" s="20" t="str">
        <f>IFERROR(VLOOKUP(I3577,KET!$B:$F,4,0),"")</f>
        <v>AFNITA SARI</v>
      </c>
      <c r="F3577" s="20" t="str">
        <f>IFERROR(VLOOKUP(I3577,KET!$B:$F,5,0),"")</f>
        <v>MT</v>
      </c>
      <c r="G3577" s="20">
        <f>IFERROR(INDEX('Kode Outlet dan Target Toko'!$C:$C,MATCH($I3577,'Kode Outlet dan Target Toko'!$E:$E,0)),0)</f>
        <v>122506</v>
      </c>
      <c r="H3577" s="20">
        <f>IFERROR(INDEX('Kode Outlet dan Target Toko'!$D:$D,MATCH($I3577,'Kode Outlet dan Target Toko'!$E:$E,0)),0)</f>
        <v>214300</v>
      </c>
      <c r="I3577" s="42" t="s">
        <v>73</v>
      </c>
      <c r="J3577" s="56" t="s">
        <v>292</v>
      </c>
      <c r="K3577" s="40" t="s">
        <v>13</v>
      </c>
      <c r="L3577" s="26">
        <v>7000</v>
      </c>
      <c r="M3577" s="26">
        <v>25</v>
      </c>
      <c r="N3577" s="25">
        <f t="shared" si="111"/>
        <v>175000</v>
      </c>
      <c r="O3577" s="56"/>
    </row>
    <row r="3578" spans="1:15" hidden="1" x14ac:dyDescent="0.3">
      <c r="A3578" s="26">
        <v>33</v>
      </c>
      <c r="B3578" s="20" t="str">
        <f t="shared" si="110"/>
        <v>AUG</v>
      </c>
      <c r="C3578" s="21">
        <v>46248</v>
      </c>
      <c r="D3578" s="22" t="str">
        <f>IFERROR(INDEX('Kode Outlet dan Target Toko'!$A:$A,MATCH($I3578,'Kode Outlet dan Target Toko'!$E:$E,0)),"")</f>
        <v>GRSM 1</v>
      </c>
      <c r="E3578" s="20" t="str">
        <f>IFERROR(VLOOKUP(I3578,KET!$B:$F,4,0),"")</f>
        <v>AFNITA SARI</v>
      </c>
      <c r="F3578" s="20" t="str">
        <f>IFERROR(VLOOKUP(I3578,KET!$B:$F,5,0),"")</f>
        <v>MT</v>
      </c>
      <c r="G3578" s="20">
        <f>IFERROR(INDEX('Kode Outlet dan Target Toko'!$C:$C,MATCH($I3578,'Kode Outlet dan Target Toko'!$E:$E,0)),0)</f>
        <v>122506</v>
      </c>
      <c r="H3578" s="20">
        <f>IFERROR(INDEX('Kode Outlet dan Target Toko'!$D:$D,MATCH($I3578,'Kode Outlet dan Target Toko'!$E:$E,0)),0)</f>
        <v>214300</v>
      </c>
      <c r="I3578" s="42" t="s">
        <v>73</v>
      </c>
      <c r="J3578" s="56" t="s">
        <v>292</v>
      </c>
      <c r="K3578" s="40" t="s">
        <v>16</v>
      </c>
      <c r="L3578" s="26">
        <v>7000</v>
      </c>
      <c r="M3578" s="26">
        <v>50</v>
      </c>
      <c r="N3578" s="25">
        <f t="shared" si="111"/>
        <v>350000</v>
      </c>
      <c r="O3578" s="56">
        <v>160</v>
      </c>
    </row>
    <row r="3579" spans="1:15" hidden="1" x14ac:dyDescent="0.3">
      <c r="A3579" s="26">
        <v>33</v>
      </c>
      <c r="B3579" s="20" t="str">
        <f t="shared" si="110"/>
        <v>AUG</v>
      </c>
      <c r="C3579" s="21">
        <v>46248</v>
      </c>
      <c r="D3579" s="22" t="str">
        <f>IFERROR(INDEX('Kode Outlet dan Target Toko'!$A:$A,MATCH($I3579,'Kode Outlet dan Target Toko'!$E:$E,0)),"")</f>
        <v>GRSM 1</v>
      </c>
      <c r="E3579" s="20" t="str">
        <f>IFERROR(VLOOKUP(I3579,KET!$B:$F,4,0),"")</f>
        <v>AFNITA SARI</v>
      </c>
      <c r="F3579" s="20" t="str">
        <f>IFERROR(VLOOKUP(I3579,KET!$B:$F,5,0),"")</f>
        <v>MT</v>
      </c>
      <c r="G3579" s="20">
        <f>IFERROR(INDEX('Kode Outlet dan Target Toko'!$C:$C,MATCH($I3579,'Kode Outlet dan Target Toko'!$E:$E,0)),0)</f>
        <v>122506</v>
      </c>
      <c r="H3579" s="20">
        <f>IFERROR(INDEX('Kode Outlet dan Target Toko'!$D:$D,MATCH($I3579,'Kode Outlet dan Target Toko'!$E:$E,0)),0)</f>
        <v>202816</v>
      </c>
      <c r="I3579" s="42" t="s">
        <v>71</v>
      </c>
      <c r="J3579" s="56" t="s">
        <v>295</v>
      </c>
      <c r="K3579" s="40" t="s">
        <v>15</v>
      </c>
      <c r="L3579" s="26">
        <v>7000</v>
      </c>
      <c r="M3579" s="26">
        <v>38</v>
      </c>
      <c r="N3579" s="25">
        <f t="shared" si="111"/>
        <v>266000</v>
      </c>
      <c r="O3579" s="56"/>
    </row>
    <row r="3580" spans="1:15" hidden="1" x14ac:dyDescent="0.3">
      <c r="A3580" s="26">
        <v>33</v>
      </c>
      <c r="B3580" s="20" t="str">
        <f t="shared" si="110"/>
        <v>AUG</v>
      </c>
      <c r="C3580" s="21">
        <v>46248</v>
      </c>
      <c r="D3580" s="22" t="str">
        <f>IFERROR(INDEX('Kode Outlet dan Target Toko'!$A:$A,MATCH($I3580,'Kode Outlet dan Target Toko'!$E:$E,0)),"")</f>
        <v>GRSM 1</v>
      </c>
      <c r="E3580" s="20" t="str">
        <f>IFERROR(VLOOKUP(I3580,KET!$B:$F,4,0),"")</f>
        <v>AFNITA SARI</v>
      </c>
      <c r="F3580" s="20" t="str">
        <f>IFERROR(VLOOKUP(I3580,KET!$B:$F,5,0),"")</f>
        <v>MT</v>
      </c>
      <c r="G3580" s="20">
        <f>IFERROR(INDEX('Kode Outlet dan Target Toko'!$C:$C,MATCH($I3580,'Kode Outlet dan Target Toko'!$E:$E,0)),0)</f>
        <v>122506</v>
      </c>
      <c r="H3580" s="20">
        <f>IFERROR(INDEX('Kode Outlet dan Target Toko'!$D:$D,MATCH($I3580,'Kode Outlet dan Target Toko'!$E:$E,0)),0)</f>
        <v>202816</v>
      </c>
      <c r="I3580" s="42" t="s">
        <v>71</v>
      </c>
      <c r="J3580" s="56" t="s">
        <v>295</v>
      </c>
      <c r="K3580" s="40" t="s">
        <v>14</v>
      </c>
      <c r="L3580" s="26">
        <v>7000</v>
      </c>
      <c r="M3580" s="26">
        <v>22</v>
      </c>
      <c r="N3580" s="25">
        <f t="shared" si="111"/>
        <v>154000</v>
      </c>
      <c r="O3580" s="56"/>
    </row>
    <row r="3581" spans="1:15" hidden="1" x14ac:dyDescent="0.3">
      <c r="A3581" s="26">
        <v>33</v>
      </c>
      <c r="B3581" s="20" t="str">
        <f t="shared" si="110"/>
        <v>AUG</v>
      </c>
      <c r="C3581" s="21">
        <v>46248</v>
      </c>
      <c r="D3581" s="22" t="str">
        <f>IFERROR(INDEX('Kode Outlet dan Target Toko'!$A:$A,MATCH($I3581,'Kode Outlet dan Target Toko'!$E:$E,0)),"")</f>
        <v>GRSM 1</v>
      </c>
      <c r="E3581" s="20" t="str">
        <f>IFERROR(VLOOKUP(I3581,KET!$B:$F,4,0),"")</f>
        <v>AFNITA SARI</v>
      </c>
      <c r="F3581" s="20" t="str">
        <f>IFERROR(VLOOKUP(I3581,KET!$B:$F,5,0),"")</f>
        <v>MT</v>
      </c>
      <c r="G3581" s="20">
        <f>IFERROR(INDEX('Kode Outlet dan Target Toko'!$C:$C,MATCH($I3581,'Kode Outlet dan Target Toko'!$E:$E,0)),0)</f>
        <v>122506</v>
      </c>
      <c r="H3581" s="20">
        <f>IFERROR(INDEX('Kode Outlet dan Target Toko'!$D:$D,MATCH($I3581,'Kode Outlet dan Target Toko'!$E:$E,0)),0)</f>
        <v>202816</v>
      </c>
      <c r="I3581" s="42" t="s">
        <v>71</v>
      </c>
      <c r="J3581" s="56" t="s">
        <v>295</v>
      </c>
      <c r="K3581" s="40" t="s">
        <v>13</v>
      </c>
      <c r="L3581" s="26">
        <v>7000</v>
      </c>
      <c r="M3581" s="26">
        <v>31</v>
      </c>
      <c r="N3581" s="25">
        <f t="shared" si="111"/>
        <v>217000</v>
      </c>
      <c r="O3581" s="56"/>
    </row>
    <row r="3582" spans="1:15" hidden="1" x14ac:dyDescent="0.3">
      <c r="A3582" s="26">
        <v>33</v>
      </c>
      <c r="B3582" s="20" t="str">
        <f t="shared" si="110"/>
        <v>AUG</v>
      </c>
      <c r="C3582" s="21">
        <v>46248</v>
      </c>
      <c r="D3582" s="22" t="str">
        <f>IFERROR(INDEX('Kode Outlet dan Target Toko'!$A:$A,MATCH($I3582,'Kode Outlet dan Target Toko'!$E:$E,0)),"")</f>
        <v>GRSM 1</v>
      </c>
      <c r="E3582" s="20" t="str">
        <f>IFERROR(VLOOKUP(I3582,KET!$B:$F,4,0),"")</f>
        <v>AFNITA SARI</v>
      </c>
      <c r="F3582" s="20" t="str">
        <f>IFERROR(VLOOKUP(I3582,KET!$B:$F,5,0),"")</f>
        <v>MT</v>
      </c>
      <c r="G3582" s="20">
        <f>IFERROR(INDEX('Kode Outlet dan Target Toko'!$C:$C,MATCH($I3582,'Kode Outlet dan Target Toko'!$E:$E,0)),0)</f>
        <v>122506</v>
      </c>
      <c r="H3582" s="20">
        <f>IFERROR(INDEX('Kode Outlet dan Target Toko'!$D:$D,MATCH($I3582,'Kode Outlet dan Target Toko'!$E:$E,0)),0)</f>
        <v>202816</v>
      </c>
      <c r="I3582" s="42" t="s">
        <v>71</v>
      </c>
      <c r="J3582" s="56" t="s">
        <v>295</v>
      </c>
      <c r="K3582" s="40" t="s">
        <v>16</v>
      </c>
      <c r="L3582" s="26">
        <v>7000</v>
      </c>
      <c r="M3582" s="26">
        <v>43</v>
      </c>
      <c r="N3582" s="25">
        <f t="shared" si="111"/>
        <v>301000</v>
      </c>
      <c r="O3582" s="56">
        <v>160</v>
      </c>
    </row>
    <row r="3583" spans="1:15" hidden="1" x14ac:dyDescent="0.3">
      <c r="A3583" s="26">
        <v>33</v>
      </c>
      <c r="B3583" s="20" t="str">
        <f t="shared" si="110"/>
        <v>AUG</v>
      </c>
      <c r="C3583" s="21">
        <v>46248</v>
      </c>
      <c r="D3583" s="22" t="str">
        <f>IFERROR(INDEX('Kode Outlet dan Target Toko'!$A:$A,MATCH($I3583,'Kode Outlet dan Target Toko'!$E:$E,0)),"")</f>
        <v>GRSM 1</v>
      </c>
      <c r="E3583" s="20" t="str">
        <f>IFERROR(VLOOKUP(I3583,KET!$B:$F,4,0),"")</f>
        <v>AFNITA SARI</v>
      </c>
      <c r="F3583" s="20" t="str">
        <f>IFERROR(VLOOKUP(I3583,KET!$B:$F,5,0),"")</f>
        <v>MT</v>
      </c>
      <c r="G3583" s="20">
        <f>IFERROR(INDEX('Kode Outlet dan Target Toko'!$C:$C,MATCH($I3583,'Kode Outlet dan Target Toko'!$E:$E,0)),0)</f>
        <v>122506</v>
      </c>
      <c r="H3583" s="20">
        <f>IFERROR(INDEX('Kode Outlet dan Target Toko'!$D:$D,MATCH($I3583,'Kode Outlet dan Target Toko'!$E:$E,0)),0)</f>
        <v>202816</v>
      </c>
      <c r="I3583" s="42" t="s">
        <v>71</v>
      </c>
      <c r="J3583" s="56" t="s">
        <v>296</v>
      </c>
      <c r="K3583" s="40" t="s">
        <v>15</v>
      </c>
      <c r="L3583" s="26">
        <v>7000</v>
      </c>
      <c r="M3583" s="26">
        <v>38</v>
      </c>
      <c r="N3583" s="25">
        <f t="shared" si="111"/>
        <v>266000</v>
      </c>
      <c r="O3583" s="56"/>
    </row>
    <row r="3584" spans="1:15" hidden="1" x14ac:dyDescent="0.3">
      <c r="A3584" s="26">
        <v>33</v>
      </c>
      <c r="B3584" s="20" t="str">
        <f t="shared" si="110"/>
        <v>AUG</v>
      </c>
      <c r="C3584" s="21">
        <v>46248</v>
      </c>
      <c r="D3584" s="22" t="str">
        <f>IFERROR(INDEX('Kode Outlet dan Target Toko'!$A:$A,MATCH($I3584,'Kode Outlet dan Target Toko'!$E:$E,0)),"")</f>
        <v>GRSM 1</v>
      </c>
      <c r="E3584" s="20" t="str">
        <f>IFERROR(VLOOKUP(I3584,KET!$B:$F,4,0),"")</f>
        <v>AFNITA SARI</v>
      </c>
      <c r="F3584" s="20" t="str">
        <f>IFERROR(VLOOKUP(I3584,KET!$B:$F,5,0),"")</f>
        <v>MT</v>
      </c>
      <c r="G3584" s="20">
        <f>IFERROR(INDEX('Kode Outlet dan Target Toko'!$C:$C,MATCH($I3584,'Kode Outlet dan Target Toko'!$E:$E,0)),0)</f>
        <v>122506</v>
      </c>
      <c r="H3584" s="20">
        <f>IFERROR(INDEX('Kode Outlet dan Target Toko'!$D:$D,MATCH($I3584,'Kode Outlet dan Target Toko'!$E:$E,0)),0)</f>
        <v>202816</v>
      </c>
      <c r="I3584" s="42" t="s">
        <v>71</v>
      </c>
      <c r="J3584" s="56" t="s">
        <v>296</v>
      </c>
      <c r="K3584" s="40" t="s">
        <v>14</v>
      </c>
      <c r="L3584" s="26">
        <v>7000</v>
      </c>
      <c r="M3584" s="26">
        <v>22</v>
      </c>
      <c r="N3584" s="25">
        <f t="shared" si="111"/>
        <v>154000</v>
      </c>
      <c r="O3584" s="56"/>
    </row>
    <row r="3585" spans="1:15" hidden="1" x14ac:dyDescent="0.3">
      <c r="A3585" s="26">
        <v>33</v>
      </c>
      <c r="B3585" s="20" t="str">
        <f t="shared" si="110"/>
        <v>AUG</v>
      </c>
      <c r="C3585" s="21">
        <v>46248</v>
      </c>
      <c r="D3585" s="22" t="str">
        <f>IFERROR(INDEX('Kode Outlet dan Target Toko'!$A:$A,MATCH($I3585,'Kode Outlet dan Target Toko'!$E:$E,0)),"")</f>
        <v>GRSM 1</v>
      </c>
      <c r="E3585" s="20" t="str">
        <f>IFERROR(VLOOKUP(I3585,KET!$B:$F,4,0),"")</f>
        <v>AFNITA SARI</v>
      </c>
      <c r="F3585" s="20" t="str">
        <f>IFERROR(VLOOKUP(I3585,KET!$B:$F,5,0),"")</f>
        <v>MT</v>
      </c>
      <c r="G3585" s="20">
        <f>IFERROR(INDEX('Kode Outlet dan Target Toko'!$C:$C,MATCH($I3585,'Kode Outlet dan Target Toko'!$E:$E,0)),0)</f>
        <v>122506</v>
      </c>
      <c r="H3585" s="20">
        <f>IFERROR(INDEX('Kode Outlet dan Target Toko'!$D:$D,MATCH($I3585,'Kode Outlet dan Target Toko'!$E:$E,0)),0)</f>
        <v>202816</v>
      </c>
      <c r="I3585" s="42" t="s">
        <v>71</v>
      </c>
      <c r="J3585" s="56" t="s">
        <v>296</v>
      </c>
      <c r="K3585" s="40" t="s">
        <v>13</v>
      </c>
      <c r="L3585" s="26">
        <v>7000</v>
      </c>
      <c r="M3585" s="26">
        <v>31</v>
      </c>
      <c r="N3585" s="25">
        <f t="shared" si="111"/>
        <v>217000</v>
      </c>
      <c r="O3585" s="56"/>
    </row>
    <row r="3586" spans="1:15" hidden="1" x14ac:dyDescent="0.3">
      <c r="A3586" s="26">
        <v>33</v>
      </c>
      <c r="B3586" s="20" t="str">
        <f t="shared" si="110"/>
        <v>AUG</v>
      </c>
      <c r="C3586" s="21">
        <v>46248</v>
      </c>
      <c r="D3586" s="22" t="str">
        <f>IFERROR(INDEX('Kode Outlet dan Target Toko'!$A:$A,MATCH($I3586,'Kode Outlet dan Target Toko'!$E:$E,0)),"")</f>
        <v>GRSM 1</v>
      </c>
      <c r="E3586" s="20" t="str">
        <f>IFERROR(VLOOKUP(I3586,KET!$B:$F,4,0),"")</f>
        <v>AFNITA SARI</v>
      </c>
      <c r="F3586" s="20" t="str">
        <f>IFERROR(VLOOKUP(I3586,KET!$B:$F,5,0),"")</f>
        <v>MT</v>
      </c>
      <c r="G3586" s="20">
        <f>IFERROR(INDEX('Kode Outlet dan Target Toko'!$C:$C,MATCH($I3586,'Kode Outlet dan Target Toko'!$E:$E,0)),0)</f>
        <v>122506</v>
      </c>
      <c r="H3586" s="20">
        <f>IFERROR(INDEX('Kode Outlet dan Target Toko'!$D:$D,MATCH($I3586,'Kode Outlet dan Target Toko'!$E:$E,0)),0)</f>
        <v>202816</v>
      </c>
      <c r="I3586" s="42" t="s">
        <v>71</v>
      </c>
      <c r="J3586" s="56" t="s">
        <v>296</v>
      </c>
      <c r="K3586" s="40" t="s">
        <v>16</v>
      </c>
      <c r="L3586" s="26">
        <v>7000</v>
      </c>
      <c r="M3586" s="26">
        <v>43</v>
      </c>
      <c r="N3586" s="25">
        <f t="shared" si="111"/>
        <v>301000</v>
      </c>
      <c r="O3586" s="56">
        <v>160</v>
      </c>
    </row>
    <row r="3587" spans="1:15" hidden="1" x14ac:dyDescent="0.3">
      <c r="A3587" s="26">
        <v>33</v>
      </c>
      <c r="B3587" s="20" t="str">
        <f t="shared" si="110"/>
        <v>AUG</v>
      </c>
      <c r="C3587" s="21">
        <v>46248</v>
      </c>
      <c r="D3587" s="22" t="str">
        <f>IFERROR(INDEX('Kode Outlet dan Target Toko'!$A:$A,MATCH($I3587,'Kode Outlet dan Target Toko'!$E:$E,0)),"")</f>
        <v>GRSM 1</v>
      </c>
      <c r="E3587" s="20" t="str">
        <f>IFERROR(VLOOKUP(I3587,KET!$B:$F,4,0),"")</f>
        <v>AFNITA SARI</v>
      </c>
      <c r="F3587" s="20" t="str">
        <f>IFERROR(VLOOKUP(I3587,KET!$B:$F,5,0),"")</f>
        <v>MT</v>
      </c>
      <c r="G3587" s="20">
        <f>IFERROR(INDEX('Kode Outlet dan Target Toko'!$C:$C,MATCH($I3587,'Kode Outlet dan Target Toko'!$E:$E,0)),0)</f>
        <v>122506</v>
      </c>
      <c r="H3587" s="20">
        <f>IFERROR(INDEX('Kode Outlet dan Target Toko'!$D:$D,MATCH($I3587,'Kode Outlet dan Target Toko'!$E:$E,0)),0)</f>
        <v>214422</v>
      </c>
      <c r="I3587" s="42" t="s">
        <v>72</v>
      </c>
      <c r="J3587" s="56" t="s">
        <v>294</v>
      </c>
      <c r="K3587" s="40" t="s">
        <v>15</v>
      </c>
      <c r="L3587" s="26">
        <v>3199</v>
      </c>
      <c r="M3587" s="26">
        <v>80</v>
      </c>
      <c r="N3587" s="25">
        <f t="shared" si="111"/>
        <v>255920</v>
      </c>
      <c r="O3587" s="56"/>
    </row>
    <row r="3588" spans="1:15" hidden="1" x14ac:dyDescent="0.3">
      <c r="A3588" s="26">
        <v>33</v>
      </c>
      <c r="B3588" s="20" t="str">
        <f t="shared" si="110"/>
        <v>AUG</v>
      </c>
      <c r="C3588" s="21">
        <v>46248</v>
      </c>
      <c r="D3588" s="22" t="str">
        <f>IFERROR(INDEX('Kode Outlet dan Target Toko'!$A:$A,MATCH($I3588,'Kode Outlet dan Target Toko'!$E:$E,0)),"")</f>
        <v>GRSM 1</v>
      </c>
      <c r="E3588" s="20" t="str">
        <f>IFERROR(VLOOKUP(I3588,KET!$B:$F,4,0),"")</f>
        <v>AFNITA SARI</v>
      </c>
      <c r="F3588" s="20" t="str">
        <f>IFERROR(VLOOKUP(I3588,KET!$B:$F,5,0),"")</f>
        <v>MT</v>
      </c>
      <c r="G3588" s="20">
        <f>IFERROR(INDEX('Kode Outlet dan Target Toko'!$C:$C,MATCH($I3588,'Kode Outlet dan Target Toko'!$E:$E,0)),0)</f>
        <v>122506</v>
      </c>
      <c r="H3588" s="20">
        <f>IFERROR(INDEX('Kode Outlet dan Target Toko'!$D:$D,MATCH($I3588,'Kode Outlet dan Target Toko'!$E:$E,0)),0)</f>
        <v>214422</v>
      </c>
      <c r="I3588" s="42" t="s">
        <v>72</v>
      </c>
      <c r="J3588" s="56" t="s">
        <v>294</v>
      </c>
      <c r="K3588" s="40" t="s">
        <v>14</v>
      </c>
      <c r="L3588" s="26">
        <v>3199</v>
      </c>
      <c r="M3588" s="26">
        <v>46</v>
      </c>
      <c r="N3588" s="25">
        <f t="shared" si="111"/>
        <v>147154</v>
      </c>
      <c r="O3588" s="56"/>
    </row>
    <row r="3589" spans="1:15" hidden="1" x14ac:dyDescent="0.3">
      <c r="A3589" s="26">
        <v>33</v>
      </c>
      <c r="B3589" s="20" t="str">
        <f t="shared" si="110"/>
        <v>AUG</v>
      </c>
      <c r="C3589" s="21">
        <v>46248</v>
      </c>
      <c r="D3589" s="22" t="str">
        <f>IFERROR(INDEX('Kode Outlet dan Target Toko'!$A:$A,MATCH($I3589,'Kode Outlet dan Target Toko'!$E:$E,0)),"")</f>
        <v>GRSM 1</v>
      </c>
      <c r="E3589" s="20" t="str">
        <f>IFERROR(VLOOKUP(I3589,KET!$B:$F,4,0),"")</f>
        <v>AFNITA SARI</v>
      </c>
      <c r="F3589" s="20" t="str">
        <f>IFERROR(VLOOKUP(I3589,KET!$B:$F,5,0),"")</f>
        <v>MT</v>
      </c>
      <c r="G3589" s="20">
        <f>IFERROR(INDEX('Kode Outlet dan Target Toko'!$C:$C,MATCH($I3589,'Kode Outlet dan Target Toko'!$E:$E,0)),0)</f>
        <v>122506</v>
      </c>
      <c r="H3589" s="20">
        <f>IFERROR(INDEX('Kode Outlet dan Target Toko'!$D:$D,MATCH($I3589,'Kode Outlet dan Target Toko'!$E:$E,0)),0)</f>
        <v>214422</v>
      </c>
      <c r="I3589" s="42" t="s">
        <v>72</v>
      </c>
      <c r="J3589" s="56" t="s">
        <v>294</v>
      </c>
      <c r="K3589" s="40" t="s">
        <v>13</v>
      </c>
      <c r="L3589" s="26">
        <v>3199</v>
      </c>
      <c r="M3589" s="26">
        <v>38</v>
      </c>
      <c r="N3589" s="25">
        <f t="shared" si="111"/>
        <v>121562</v>
      </c>
      <c r="O3589" s="56"/>
    </row>
    <row r="3590" spans="1:15" hidden="1" x14ac:dyDescent="0.3">
      <c r="A3590" s="26">
        <v>33</v>
      </c>
      <c r="B3590" s="20" t="str">
        <f t="shared" si="110"/>
        <v>AUG</v>
      </c>
      <c r="C3590" s="21">
        <v>46248</v>
      </c>
      <c r="D3590" s="22" t="str">
        <f>IFERROR(INDEX('Kode Outlet dan Target Toko'!$A:$A,MATCH($I3590,'Kode Outlet dan Target Toko'!$E:$E,0)),"")</f>
        <v>GRSM 1</v>
      </c>
      <c r="E3590" s="20" t="str">
        <f>IFERROR(VLOOKUP(I3590,KET!$B:$F,4,0),"")</f>
        <v>AFNITA SARI</v>
      </c>
      <c r="F3590" s="20" t="str">
        <f>IFERROR(VLOOKUP(I3590,KET!$B:$F,5,0),"")</f>
        <v>MT</v>
      </c>
      <c r="G3590" s="20">
        <f>IFERROR(INDEX('Kode Outlet dan Target Toko'!$C:$C,MATCH($I3590,'Kode Outlet dan Target Toko'!$E:$E,0)),0)</f>
        <v>122506</v>
      </c>
      <c r="H3590" s="20">
        <f>IFERROR(INDEX('Kode Outlet dan Target Toko'!$D:$D,MATCH($I3590,'Kode Outlet dan Target Toko'!$E:$E,0)),0)</f>
        <v>214422</v>
      </c>
      <c r="I3590" s="42" t="s">
        <v>72</v>
      </c>
      <c r="J3590" s="56" t="s">
        <v>294</v>
      </c>
      <c r="K3590" s="40" t="s">
        <v>16</v>
      </c>
      <c r="L3590" s="26">
        <v>3199</v>
      </c>
      <c r="M3590" s="26">
        <v>52</v>
      </c>
      <c r="N3590" s="25">
        <f t="shared" si="111"/>
        <v>166348</v>
      </c>
      <c r="O3590" s="56">
        <v>160</v>
      </c>
    </row>
    <row r="3591" spans="1:15" hidden="1" x14ac:dyDescent="0.3">
      <c r="A3591" s="26">
        <v>33</v>
      </c>
      <c r="B3591" s="20" t="str">
        <f t="shared" ref="B3591:B3654" si="112">IF(C3591="","",UPPER(TEXT(C3591, "MMM")))</f>
        <v>AUG</v>
      </c>
      <c r="C3591" s="21">
        <v>46248</v>
      </c>
      <c r="D3591" s="22" t="str">
        <f>IFERROR(INDEX('Kode Outlet dan Target Toko'!$A:$A,MATCH($I3591,'Kode Outlet dan Target Toko'!$E:$E,0)),"")</f>
        <v>GRSM 1</v>
      </c>
      <c r="E3591" s="20" t="str">
        <f>IFERROR(VLOOKUP(I3591,KET!$B:$F,4,0),"")</f>
        <v>AFNITA SARI</v>
      </c>
      <c r="F3591" s="20" t="str">
        <f>IFERROR(VLOOKUP(I3591,KET!$B:$F,5,0),"")</f>
        <v>MT</v>
      </c>
      <c r="G3591" s="20">
        <f>IFERROR(INDEX('Kode Outlet dan Target Toko'!$C:$C,MATCH($I3591,'Kode Outlet dan Target Toko'!$E:$E,0)),0)</f>
        <v>122506</v>
      </c>
      <c r="H3591" s="20">
        <f>IFERROR(INDEX('Kode Outlet dan Target Toko'!$D:$D,MATCH($I3591,'Kode Outlet dan Target Toko'!$E:$E,0)),0)</f>
        <v>214422</v>
      </c>
      <c r="I3591" s="42" t="s">
        <v>72</v>
      </c>
      <c r="J3591" s="56" t="s">
        <v>293</v>
      </c>
      <c r="K3591" s="40" t="s">
        <v>15</v>
      </c>
      <c r="L3591" s="26">
        <v>3199</v>
      </c>
      <c r="M3591" s="26">
        <v>80</v>
      </c>
      <c r="N3591" s="25">
        <f t="shared" ref="N3591:N3654" si="113">IFERROR(M3591*L3591,"")</f>
        <v>255920</v>
      </c>
      <c r="O3591" s="56"/>
    </row>
    <row r="3592" spans="1:15" hidden="1" x14ac:dyDescent="0.3">
      <c r="A3592" s="26">
        <v>33</v>
      </c>
      <c r="B3592" s="20" t="str">
        <f t="shared" si="112"/>
        <v>AUG</v>
      </c>
      <c r="C3592" s="21">
        <v>46248</v>
      </c>
      <c r="D3592" s="22" t="str">
        <f>IFERROR(INDEX('Kode Outlet dan Target Toko'!$A:$A,MATCH($I3592,'Kode Outlet dan Target Toko'!$E:$E,0)),"")</f>
        <v>GRSM 1</v>
      </c>
      <c r="E3592" s="20" t="str">
        <f>IFERROR(VLOOKUP(I3592,KET!$B:$F,4,0),"")</f>
        <v>AFNITA SARI</v>
      </c>
      <c r="F3592" s="20" t="str">
        <f>IFERROR(VLOOKUP(I3592,KET!$B:$F,5,0),"")</f>
        <v>MT</v>
      </c>
      <c r="G3592" s="20">
        <f>IFERROR(INDEX('Kode Outlet dan Target Toko'!$C:$C,MATCH($I3592,'Kode Outlet dan Target Toko'!$E:$E,0)),0)</f>
        <v>122506</v>
      </c>
      <c r="H3592" s="20">
        <f>IFERROR(INDEX('Kode Outlet dan Target Toko'!$D:$D,MATCH($I3592,'Kode Outlet dan Target Toko'!$E:$E,0)),0)</f>
        <v>214422</v>
      </c>
      <c r="I3592" s="42" t="s">
        <v>72</v>
      </c>
      <c r="J3592" s="56" t="s">
        <v>293</v>
      </c>
      <c r="K3592" s="40" t="s">
        <v>14</v>
      </c>
      <c r="L3592" s="26">
        <v>3199</v>
      </c>
      <c r="M3592" s="26">
        <v>46</v>
      </c>
      <c r="N3592" s="25">
        <f t="shared" si="113"/>
        <v>147154</v>
      </c>
      <c r="O3592" s="56"/>
    </row>
    <row r="3593" spans="1:15" hidden="1" x14ac:dyDescent="0.3">
      <c r="A3593" s="26">
        <v>33</v>
      </c>
      <c r="B3593" s="20" t="str">
        <f t="shared" si="112"/>
        <v>AUG</v>
      </c>
      <c r="C3593" s="21">
        <v>46248</v>
      </c>
      <c r="D3593" s="22" t="str">
        <f>IFERROR(INDEX('Kode Outlet dan Target Toko'!$A:$A,MATCH($I3593,'Kode Outlet dan Target Toko'!$E:$E,0)),"")</f>
        <v>GRSM 1</v>
      </c>
      <c r="E3593" s="20" t="str">
        <f>IFERROR(VLOOKUP(I3593,KET!$B:$F,4,0),"")</f>
        <v>AFNITA SARI</v>
      </c>
      <c r="F3593" s="20" t="str">
        <f>IFERROR(VLOOKUP(I3593,KET!$B:$F,5,0),"")</f>
        <v>MT</v>
      </c>
      <c r="G3593" s="20">
        <f>IFERROR(INDEX('Kode Outlet dan Target Toko'!$C:$C,MATCH($I3593,'Kode Outlet dan Target Toko'!$E:$E,0)),0)</f>
        <v>122506</v>
      </c>
      <c r="H3593" s="20">
        <f>IFERROR(INDEX('Kode Outlet dan Target Toko'!$D:$D,MATCH($I3593,'Kode Outlet dan Target Toko'!$E:$E,0)),0)</f>
        <v>214422</v>
      </c>
      <c r="I3593" s="42" t="s">
        <v>72</v>
      </c>
      <c r="J3593" s="56" t="s">
        <v>293</v>
      </c>
      <c r="K3593" s="40" t="s">
        <v>13</v>
      </c>
      <c r="L3593" s="26">
        <v>3199</v>
      </c>
      <c r="M3593" s="26">
        <v>38</v>
      </c>
      <c r="N3593" s="25">
        <f t="shared" si="113"/>
        <v>121562</v>
      </c>
      <c r="O3593" s="56"/>
    </row>
    <row r="3594" spans="1:15" hidden="1" x14ac:dyDescent="0.3">
      <c r="A3594" s="26">
        <v>33</v>
      </c>
      <c r="B3594" s="20" t="str">
        <f t="shared" si="112"/>
        <v>AUG</v>
      </c>
      <c r="C3594" s="21">
        <v>46248</v>
      </c>
      <c r="D3594" s="22" t="str">
        <f>IFERROR(INDEX('Kode Outlet dan Target Toko'!$A:$A,MATCH($I3594,'Kode Outlet dan Target Toko'!$E:$E,0)),"")</f>
        <v>GRSM 1</v>
      </c>
      <c r="E3594" s="20" t="str">
        <f>IFERROR(VLOOKUP(I3594,KET!$B:$F,4,0),"")</f>
        <v>AFNITA SARI</v>
      </c>
      <c r="F3594" s="20" t="str">
        <f>IFERROR(VLOOKUP(I3594,KET!$B:$F,5,0),"")</f>
        <v>MT</v>
      </c>
      <c r="G3594" s="20">
        <f>IFERROR(INDEX('Kode Outlet dan Target Toko'!$C:$C,MATCH($I3594,'Kode Outlet dan Target Toko'!$E:$E,0)),0)</f>
        <v>122506</v>
      </c>
      <c r="H3594" s="20">
        <f>IFERROR(INDEX('Kode Outlet dan Target Toko'!$D:$D,MATCH($I3594,'Kode Outlet dan Target Toko'!$E:$E,0)),0)</f>
        <v>214422</v>
      </c>
      <c r="I3594" s="42" t="s">
        <v>72</v>
      </c>
      <c r="J3594" s="56" t="s">
        <v>293</v>
      </c>
      <c r="K3594" s="40" t="s">
        <v>16</v>
      </c>
      <c r="L3594" s="26">
        <v>3199</v>
      </c>
      <c r="M3594" s="26">
        <v>52</v>
      </c>
      <c r="N3594" s="25">
        <f t="shared" si="113"/>
        <v>166348</v>
      </c>
      <c r="O3594" s="56">
        <v>160</v>
      </c>
    </row>
    <row r="3595" spans="1:15" hidden="1" x14ac:dyDescent="0.3">
      <c r="A3595" s="26">
        <v>33</v>
      </c>
      <c r="B3595" s="20" t="str">
        <f t="shared" si="112"/>
        <v>AUG</v>
      </c>
      <c r="C3595" s="21">
        <v>46248</v>
      </c>
      <c r="D3595" s="22" t="str">
        <f>IFERROR(INDEX('Kode Outlet dan Target Toko'!$A:$A,MATCH($I3595,'Kode Outlet dan Target Toko'!$E:$E,0)),"")</f>
        <v>GRSM 1</v>
      </c>
      <c r="E3595" s="20" t="str">
        <f>IFERROR(VLOOKUP(I3595,KET!$B:$F,4,0),"")</f>
        <v>AFNITA SARI</v>
      </c>
      <c r="F3595" s="20" t="str">
        <f>IFERROR(VLOOKUP(I3595,KET!$B:$F,5,0),"")</f>
        <v>MT</v>
      </c>
      <c r="G3595" s="20">
        <f>IFERROR(INDEX('Kode Outlet dan Target Toko'!$C:$C,MATCH($I3595,'Kode Outlet dan Target Toko'!$E:$E,0)),0)</f>
        <v>122506</v>
      </c>
      <c r="H3595" s="20">
        <f>IFERROR(INDEX('Kode Outlet dan Target Toko'!$D:$D,MATCH($I3595,'Kode Outlet dan Target Toko'!$E:$E,0)),0)</f>
        <v>202879</v>
      </c>
      <c r="I3595" s="42" t="s">
        <v>70</v>
      </c>
      <c r="J3595" s="56" t="s">
        <v>289</v>
      </c>
      <c r="K3595" s="40" t="s">
        <v>15</v>
      </c>
      <c r="L3595" s="26">
        <v>6400</v>
      </c>
      <c r="M3595" s="26">
        <v>41</v>
      </c>
      <c r="N3595" s="25">
        <f t="shared" si="113"/>
        <v>262400</v>
      </c>
      <c r="O3595" s="56"/>
    </row>
    <row r="3596" spans="1:15" hidden="1" x14ac:dyDescent="0.3">
      <c r="A3596" s="26">
        <v>33</v>
      </c>
      <c r="B3596" s="20" t="str">
        <f t="shared" si="112"/>
        <v>AUG</v>
      </c>
      <c r="C3596" s="21">
        <v>46248</v>
      </c>
      <c r="D3596" s="22" t="str">
        <f>IFERROR(INDEX('Kode Outlet dan Target Toko'!$A:$A,MATCH($I3596,'Kode Outlet dan Target Toko'!$E:$E,0)),"")</f>
        <v>GRSM 1</v>
      </c>
      <c r="E3596" s="20" t="str">
        <f>IFERROR(VLOOKUP(I3596,KET!$B:$F,4,0),"")</f>
        <v>AFNITA SARI</v>
      </c>
      <c r="F3596" s="20" t="str">
        <f>IFERROR(VLOOKUP(I3596,KET!$B:$F,5,0),"")</f>
        <v>MT</v>
      </c>
      <c r="G3596" s="20">
        <f>IFERROR(INDEX('Kode Outlet dan Target Toko'!$C:$C,MATCH($I3596,'Kode Outlet dan Target Toko'!$E:$E,0)),0)</f>
        <v>122506</v>
      </c>
      <c r="H3596" s="20">
        <f>IFERROR(INDEX('Kode Outlet dan Target Toko'!$D:$D,MATCH($I3596,'Kode Outlet dan Target Toko'!$E:$E,0)),0)</f>
        <v>202879</v>
      </c>
      <c r="I3596" s="42" t="s">
        <v>70</v>
      </c>
      <c r="J3596" s="56" t="s">
        <v>289</v>
      </c>
      <c r="K3596" s="40" t="s">
        <v>14</v>
      </c>
      <c r="L3596" s="26">
        <v>6400</v>
      </c>
      <c r="M3596" s="26">
        <v>43</v>
      </c>
      <c r="N3596" s="25">
        <f t="shared" si="113"/>
        <v>275200</v>
      </c>
      <c r="O3596" s="56"/>
    </row>
    <row r="3597" spans="1:15" hidden="1" x14ac:dyDescent="0.3">
      <c r="A3597" s="26">
        <v>33</v>
      </c>
      <c r="B3597" s="20" t="str">
        <f t="shared" si="112"/>
        <v>AUG</v>
      </c>
      <c r="C3597" s="21">
        <v>46248</v>
      </c>
      <c r="D3597" s="22" t="str">
        <f>IFERROR(INDEX('Kode Outlet dan Target Toko'!$A:$A,MATCH($I3597,'Kode Outlet dan Target Toko'!$E:$E,0)),"")</f>
        <v>GRSM 1</v>
      </c>
      <c r="E3597" s="20" t="str">
        <f>IFERROR(VLOOKUP(I3597,KET!$B:$F,4,0),"")</f>
        <v>AFNITA SARI</v>
      </c>
      <c r="F3597" s="20" t="str">
        <f>IFERROR(VLOOKUP(I3597,KET!$B:$F,5,0),"")</f>
        <v>MT</v>
      </c>
      <c r="G3597" s="20">
        <f>IFERROR(INDEX('Kode Outlet dan Target Toko'!$C:$C,MATCH($I3597,'Kode Outlet dan Target Toko'!$E:$E,0)),0)</f>
        <v>122506</v>
      </c>
      <c r="H3597" s="20">
        <f>IFERROR(INDEX('Kode Outlet dan Target Toko'!$D:$D,MATCH($I3597,'Kode Outlet dan Target Toko'!$E:$E,0)),0)</f>
        <v>202879</v>
      </c>
      <c r="I3597" s="42" t="s">
        <v>70</v>
      </c>
      <c r="J3597" s="56" t="s">
        <v>289</v>
      </c>
      <c r="K3597" s="40" t="s">
        <v>13</v>
      </c>
      <c r="L3597" s="26">
        <v>6400</v>
      </c>
      <c r="M3597" s="26">
        <v>17</v>
      </c>
      <c r="N3597" s="25">
        <f t="shared" si="113"/>
        <v>108800</v>
      </c>
      <c r="O3597" s="56"/>
    </row>
    <row r="3598" spans="1:15" hidden="1" x14ac:dyDescent="0.3">
      <c r="A3598" s="26">
        <v>33</v>
      </c>
      <c r="B3598" s="20" t="str">
        <f t="shared" si="112"/>
        <v>AUG</v>
      </c>
      <c r="C3598" s="21">
        <v>46248</v>
      </c>
      <c r="D3598" s="22" t="str">
        <f>IFERROR(INDEX('Kode Outlet dan Target Toko'!$A:$A,MATCH($I3598,'Kode Outlet dan Target Toko'!$E:$E,0)),"")</f>
        <v>GRSM 1</v>
      </c>
      <c r="E3598" s="20" t="str">
        <f>IFERROR(VLOOKUP(I3598,KET!$B:$F,4,0),"")</f>
        <v>AFNITA SARI</v>
      </c>
      <c r="F3598" s="20" t="str">
        <f>IFERROR(VLOOKUP(I3598,KET!$B:$F,5,0),"")</f>
        <v>MT</v>
      </c>
      <c r="G3598" s="20">
        <f>IFERROR(INDEX('Kode Outlet dan Target Toko'!$C:$C,MATCH($I3598,'Kode Outlet dan Target Toko'!$E:$E,0)),0)</f>
        <v>122506</v>
      </c>
      <c r="H3598" s="20">
        <f>IFERROR(INDEX('Kode Outlet dan Target Toko'!$D:$D,MATCH($I3598,'Kode Outlet dan Target Toko'!$E:$E,0)),0)</f>
        <v>202879</v>
      </c>
      <c r="I3598" s="42" t="s">
        <v>70</v>
      </c>
      <c r="J3598" s="56" t="s">
        <v>289</v>
      </c>
      <c r="K3598" s="40" t="s">
        <v>16</v>
      </c>
      <c r="L3598" s="26">
        <v>6400</v>
      </c>
      <c r="M3598" s="26">
        <v>76</v>
      </c>
      <c r="N3598" s="25">
        <f t="shared" si="113"/>
        <v>486400</v>
      </c>
      <c r="O3598" s="56">
        <v>160</v>
      </c>
    </row>
    <row r="3599" spans="1:15" hidden="1" x14ac:dyDescent="0.3">
      <c r="A3599" s="26">
        <v>33</v>
      </c>
      <c r="B3599" s="20" t="str">
        <f t="shared" si="112"/>
        <v>AUG</v>
      </c>
      <c r="C3599" s="21">
        <v>46248</v>
      </c>
      <c r="D3599" s="22" t="str">
        <f>IFERROR(INDEX('Kode Outlet dan Target Toko'!$A:$A,MATCH($I3599,'Kode Outlet dan Target Toko'!$E:$E,0)),"")</f>
        <v>GRSM 1</v>
      </c>
      <c r="E3599" s="20" t="str">
        <f>IFERROR(VLOOKUP(I3599,KET!$B:$F,4,0),"")</f>
        <v>AFNITA SARI</v>
      </c>
      <c r="F3599" s="20" t="str">
        <f>IFERROR(VLOOKUP(I3599,KET!$B:$F,5,0),"")</f>
        <v>MT</v>
      </c>
      <c r="G3599" s="20">
        <f>IFERROR(INDEX('Kode Outlet dan Target Toko'!$C:$C,MATCH($I3599,'Kode Outlet dan Target Toko'!$E:$E,0)),0)</f>
        <v>122506</v>
      </c>
      <c r="H3599" s="20">
        <f>IFERROR(INDEX('Kode Outlet dan Target Toko'!$D:$D,MATCH($I3599,'Kode Outlet dan Target Toko'!$E:$E,0)),0)</f>
        <v>202879</v>
      </c>
      <c r="I3599" s="42" t="s">
        <v>70</v>
      </c>
      <c r="J3599" s="56" t="s">
        <v>290</v>
      </c>
      <c r="K3599" s="40" t="s">
        <v>15</v>
      </c>
      <c r="L3599" s="26">
        <v>6400</v>
      </c>
      <c r="M3599" s="26">
        <v>41</v>
      </c>
      <c r="N3599" s="25">
        <f t="shared" si="113"/>
        <v>262400</v>
      </c>
      <c r="O3599" s="56"/>
    </row>
    <row r="3600" spans="1:15" hidden="1" x14ac:dyDescent="0.3">
      <c r="A3600" s="26">
        <v>33</v>
      </c>
      <c r="B3600" s="20" t="str">
        <f t="shared" si="112"/>
        <v>AUG</v>
      </c>
      <c r="C3600" s="21">
        <v>46248</v>
      </c>
      <c r="D3600" s="22" t="str">
        <f>IFERROR(INDEX('Kode Outlet dan Target Toko'!$A:$A,MATCH($I3600,'Kode Outlet dan Target Toko'!$E:$E,0)),"")</f>
        <v>GRSM 1</v>
      </c>
      <c r="E3600" s="20" t="str">
        <f>IFERROR(VLOOKUP(I3600,KET!$B:$F,4,0),"")</f>
        <v>AFNITA SARI</v>
      </c>
      <c r="F3600" s="20" t="str">
        <f>IFERROR(VLOOKUP(I3600,KET!$B:$F,5,0),"")</f>
        <v>MT</v>
      </c>
      <c r="G3600" s="20">
        <f>IFERROR(INDEX('Kode Outlet dan Target Toko'!$C:$C,MATCH($I3600,'Kode Outlet dan Target Toko'!$E:$E,0)),0)</f>
        <v>122506</v>
      </c>
      <c r="H3600" s="20">
        <f>IFERROR(INDEX('Kode Outlet dan Target Toko'!$D:$D,MATCH($I3600,'Kode Outlet dan Target Toko'!$E:$E,0)),0)</f>
        <v>202879</v>
      </c>
      <c r="I3600" s="42" t="s">
        <v>70</v>
      </c>
      <c r="J3600" s="56" t="s">
        <v>290</v>
      </c>
      <c r="K3600" s="40" t="s">
        <v>14</v>
      </c>
      <c r="L3600" s="26">
        <v>6400</v>
      </c>
      <c r="M3600" s="26">
        <v>43</v>
      </c>
      <c r="N3600" s="25">
        <f t="shared" si="113"/>
        <v>275200</v>
      </c>
      <c r="O3600" s="56"/>
    </row>
    <row r="3601" spans="1:15" hidden="1" x14ac:dyDescent="0.3">
      <c r="A3601" s="26">
        <v>33</v>
      </c>
      <c r="B3601" s="20" t="str">
        <f t="shared" si="112"/>
        <v>AUG</v>
      </c>
      <c r="C3601" s="21">
        <v>46248</v>
      </c>
      <c r="D3601" s="22" t="str">
        <f>IFERROR(INDEX('Kode Outlet dan Target Toko'!$A:$A,MATCH($I3601,'Kode Outlet dan Target Toko'!$E:$E,0)),"")</f>
        <v>GRSM 1</v>
      </c>
      <c r="E3601" s="20" t="str">
        <f>IFERROR(VLOOKUP(I3601,KET!$B:$F,4,0),"")</f>
        <v>AFNITA SARI</v>
      </c>
      <c r="F3601" s="20" t="str">
        <f>IFERROR(VLOOKUP(I3601,KET!$B:$F,5,0),"")</f>
        <v>MT</v>
      </c>
      <c r="G3601" s="20">
        <f>IFERROR(INDEX('Kode Outlet dan Target Toko'!$C:$C,MATCH($I3601,'Kode Outlet dan Target Toko'!$E:$E,0)),0)</f>
        <v>122506</v>
      </c>
      <c r="H3601" s="20">
        <f>IFERROR(INDEX('Kode Outlet dan Target Toko'!$D:$D,MATCH($I3601,'Kode Outlet dan Target Toko'!$E:$E,0)),0)</f>
        <v>202879</v>
      </c>
      <c r="I3601" s="42" t="s">
        <v>70</v>
      </c>
      <c r="J3601" s="56" t="s">
        <v>290</v>
      </c>
      <c r="K3601" s="40" t="s">
        <v>13</v>
      </c>
      <c r="L3601" s="26">
        <v>6400</v>
      </c>
      <c r="M3601" s="26">
        <v>17</v>
      </c>
      <c r="N3601" s="25">
        <f t="shared" si="113"/>
        <v>108800</v>
      </c>
      <c r="O3601" s="56"/>
    </row>
    <row r="3602" spans="1:15" hidden="1" x14ac:dyDescent="0.3">
      <c r="A3602" s="26">
        <v>33</v>
      </c>
      <c r="B3602" s="20" t="str">
        <f t="shared" si="112"/>
        <v>AUG</v>
      </c>
      <c r="C3602" s="21">
        <v>46248</v>
      </c>
      <c r="D3602" s="22" t="str">
        <f>IFERROR(INDEX('Kode Outlet dan Target Toko'!$A:$A,MATCH($I3602,'Kode Outlet dan Target Toko'!$E:$E,0)),"")</f>
        <v>GRSM 1</v>
      </c>
      <c r="E3602" s="20" t="str">
        <f>IFERROR(VLOOKUP(I3602,KET!$B:$F,4,0),"")</f>
        <v>AFNITA SARI</v>
      </c>
      <c r="F3602" s="20" t="str">
        <f>IFERROR(VLOOKUP(I3602,KET!$B:$F,5,0),"")</f>
        <v>MT</v>
      </c>
      <c r="G3602" s="20">
        <f>IFERROR(INDEX('Kode Outlet dan Target Toko'!$C:$C,MATCH($I3602,'Kode Outlet dan Target Toko'!$E:$E,0)),0)</f>
        <v>122506</v>
      </c>
      <c r="H3602" s="20">
        <f>IFERROR(INDEX('Kode Outlet dan Target Toko'!$D:$D,MATCH($I3602,'Kode Outlet dan Target Toko'!$E:$E,0)),0)</f>
        <v>202879</v>
      </c>
      <c r="I3602" s="42" t="s">
        <v>70</v>
      </c>
      <c r="J3602" s="56" t="s">
        <v>290</v>
      </c>
      <c r="K3602" s="40" t="s">
        <v>16</v>
      </c>
      <c r="L3602" s="26">
        <v>6400</v>
      </c>
      <c r="M3602" s="26">
        <v>76</v>
      </c>
      <c r="N3602" s="25">
        <f t="shared" si="113"/>
        <v>486400</v>
      </c>
      <c r="O3602" s="56">
        <v>160</v>
      </c>
    </row>
    <row r="3603" spans="1:15" hidden="1" x14ac:dyDescent="0.3">
      <c r="A3603" s="26">
        <v>33</v>
      </c>
      <c r="B3603" s="20" t="str">
        <f t="shared" si="112"/>
        <v>AUG</v>
      </c>
      <c r="C3603" s="21">
        <v>46249</v>
      </c>
      <c r="D3603" s="22" t="str">
        <f>IFERROR(INDEX('Kode Outlet dan Target Toko'!$A:$A,MATCH($I3603,'Kode Outlet dan Target Toko'!$E:$E,0)),"")</f>
        <v>GRSM 1</v>
      </c>
      <c r="E3603" s="20" t="str">
        <f>IFERROR(VLOOKUP(I3603,KET!$B:$F,4,0),"")</f>
        <v>AFNITA SARI</v>
      </c>
      <c r="F3603" s="20" t="str">
        <f>IFERROR(VLOOKUP(I3603,KET!$B:$F,5,0),"")</f>
        <v>MT</v>
      </c>
      <c r="G3603" s="20">
        <f>IFERROR(INDEX('Kode Outlet dan Target Toko'!$C:$C,MATCH($I3603,'Kode Outlet dan Target Toko'!$E:$E,0)),0)</f>
        <v>122506</v>
      </c>
      <c r="H3603" s="20">
        <f>IFERROR(INDEX('Kode Outlet dan Target Toko'!$D:$D,MATCH($I3603,'Kode Outlet dan Target Toko'!$E:$E,0)),0)</f>
        <v>214300</v>
      </c>
      <c r="I3603" s="42" t="s">
        <v>73</v>
      </c>
      <c r="J3603" s="56" t="s">
        <v>291</v>
      </c>
      <c r="K3603" s="40" t="s">
        <v>15</v>
      </c>
      <c r="L3603" s="26">
        <v>7000</v>
      </c>
      <c r="M3603" s="26">
        <v>20</v>
      </c>
      <c r="N3603" s="25">
        <f t="shared" si="113"/>
        <v>140000</v>
      </c>
      <c r="O3603" s="56"/>
    </row>
    <row r="3604" spans="1:15" hidden="1" x14ac:dyDescent="0.3">
      <c r="A3604" s="26">
        <v>33</v>
      </c>
      <c r="B3604" s="20" t="str">
        <f t="shared" si="112"/>
        <v>AUG</v>
      </c>
      <c r="C3604" s="21">
        <v>46249</v>
      </c>
      <c r="D3604" s="22" t="str">
        <f>IFERROR(INDEX('Kode Outlet dan Target Toko'!$A:$A,MATCH($I3604,'Kode Outlet dan Target Toko'!$E:$E,0)),"")</f>
        <v>GRSM 1</v>
      </c>
      <c r="E3604" s="20" t="str">
        <f>IFERROR(VLOOKUP(I3604,KET!$B:$F,4,0),"")</f>
        <v>AFNITA SARI</v>
      </c>
      <c r="F3604" s="20" t="str">
        <f>IFERROR(VLOOKUP(I3604,KET!$B:$F,5,0),"")</f>
        <v>MT</v>
      </c>
      <c r="G3604" s="20">
        <f>IFERROR(INDEX('Kode Outlet dan Target Toko'!$C:$C,MATCH($I3604,'Kode Outlet dan Target Toko'!$E:$E,0)),0)</f>
        <v>122506</v>
      </c>
      <c r="H3604" s="20">
        <f>IFERROR(INDEX('Kode Outlet dan Target Toko'!$D:$D,MATCH($I3604,'Kode Outlet dan Target Toko'!$E:$E,0)),0)</f>
        <v>214300</v>
      </c>
      <c r="I3604" s="42" t="s">
        <v>73</v>
      </c>
      <c r="J3604" s="56" t="s">
        <v>291</v>
      </c>
      <c r="K3604" s="40" t="s">
        <v>14</v>
      </c>
      <c r="L3604" s="26">
        <v>7000</v>
      </c>
      <c r="M3604" s="26">
        <v>38</v>
      </c>
      <c r="N3604" s="25">
        <f t="shared" si="113"/>
        <v>266000</v>
      </c>
      <c r="O3604" s="56"/>
    </row>
    <row r="3605" spans="1:15" hidden="1" x14ac:dyDescent="0.3">
      <c r="A3605" s="26">
        <v>33</v>
      </c>
      <c r="B3605" s="20" t="str">
        <f t="shared" si="112"/>
        <v>AUG</v>
      </c>
      <c r="C3605" s="21">
        <v>46249</v>
      </c>
      <c r="D3605" s="22" t="str">
        <f>IFERROR(INDEX('Kode Outlet dan Target Toko'!$A:$A,MATCH($I3605,'Kode Outlet dan Target Toko'!$E:$E,0)),"")</f>
        <v>GRSM 1</v>
      </c>
      <c r="E3605" s="20" t="str">
        <f>IFERROR(VLOOKUP(I3605,KET!$B:$F,4,0),"")</f>
        <v>AFNITA SARI</v>
      </c>
      <c r="F3605" s="20" t="str">
        <f>IFERROR(VLOOKUP(I3605,KET!$B:$F,5,0),"")</f>
        <v>MT</v>
      </c>
      <c r="G3605" s="20">
        <f>IFERROR(INDEX('Kode Outlet dan Target Toko'!$C:$C,MATCH($I3605,'Kode Outlet dan Target Toko'!$E:$E,0)),0)</f>
        <v>122506</v>
      </c>
      <c r="H3605" s="20">
        <f>IFERROR(INDEX('Kode Outlet dan Target Toko'!$D:$D,MATCH($I3605,'Kode Outlet dan Target Toko'!$E:$E,0)),0)</f>
        <v>214300</v>
      </c>
      <c r="I3605" s="42" t="s">
        <v>73</v>
      </c>
      <c r="J3605" s="56" t="s">
        <v>291</v>
      </c>
      <c r="K3605" s="40" t="s">
        <v>13</v>
      </c>
      <c r="L3605" s="26">
        <v>7000</v>
      </c>
      <c r="M3605" s="26">
        <v>25</v>
      </c>
      <c r="N3605" s="25">
        <f t="shared" si="113"/>
        <v>175000</v>
      </c>
      <c r="O3605" s="56"/>
    </row>
    <row r="3606" spans="1:15" hidden="1" x14ac:dyDescent="0.3">
      <c r="A3606" s="26">
        <v>33</v>
      </c>
      <c r="B3606" s="20" t="str">
        <f t="shared" si="112"/>
        <v>AUG</v>
      </c>
      <c r="C3606" s="21">
        <v>46249</v>
      </c>
      <c r="D3606" s="22" t="str">
        <f>IFERROR(INDEX('Kode Outlet dan Target Toko'!$A:$A,MATCH($I3606,'Kode Outlet dan Target Toko'!$E:$E,0)),"")</f>
        <v>GRSM 1</v>
      </c>
      <c r="E3606" s="20" t="str">
        <f>IFERROR(VLOOKUP(I3606,KET!$B:$F,4,0),"")</f>
        <v>AFNITA SARI</v>
      </c>
      <c r="F3606" s="20" t="str">
        <f>IFERROR(VLOOKUP(I3606,KET!$B:$F,5,0),"")</f>
        <v>MT</v>
      </c>
      <c r="G3606" s="20">
        <f>IFERROR(INDEX('Kode Outlet dan Target Toko'!$C:$C,MATCH($I3606,'Kode Outlet dan Target Toko'!$E:$E,0)),0)</f>
        <v>122506</v>
      </c>
      <c r="H3606" s="20">
        <f>IFERROR(INDEX('Kode Outlet dan Target Toko'!$D:$D,MATCH($I3606,'Kode Outlet dan Target Toko'!$E:$E,0)),0)</f>
        <v>214300</v>
      </c>
      <c r="I3606" s="42" t="s">
        <v>73</v>
      </c>
      <c r="J3606" s="56" t="s">
        <v>291</v>
      </c>
      <c r="K3606" s="40" t="s">
        <v>16</v>
      </c>
      <c r="L3606" s="26">
        <v>7000</v>
      </c>
      <c r="M3606" s="26">
        <v>55</v>
      </c>
      <c r="N3606" s="25">
        <f t="shared" si="113"/>
        <v>385000</v>
      </c>
      <c r="O3606" s="56">
        <v>160</v>
      </c>
    </row>
    <row r="3607" spans="1:15" hidden="1" x14ac:dyDescent="0.3">
      <c r="A3607" s="26">
        <v>33</v>
      </c>
      <c r="B3607" s="20" t="str">
        <f t="shared" si="112"/>
        <v>AUG</v>
      </c>
      <c r="C3607" s="21">
        <v>46249</v>
      </c>
      <c r="D3607" s="22" t="str">
        <f>IFERROR(INDEX('Kode Outlet dan Target Toko'!$A:$A,MATCH($I3607,'Kode Outlet dan Target Toko'!$E:$E,0)),"")</f>
        <v>GRSM 1</v>
      </c>
      <c r="E3607" s="20" t="str">
        <f>IFERROR(VLOOKUP(I3607,KET!$B:$F,4,0),"")</f>
        <v>AFNITA SARI</v>
      </c>
      <c r="F3607" s="20" t="str">
        <f>IFERROR(VLOOKUP(I3607,KET!$B:$F,5,0),"")</f>
        <v>MT</v>
      </c>
      <c r="G3607" s="20">
        <f>IFERROR(INDEX('Kode Outlet dan Target Toko'!$C:$C,MATCH($I3607,'Kode Outlet dan Target Toko'!$E:$E,0)),0)</f>
        <v>122506</v>
      </c>
      <c r="H3607" s="20">
        <f>IFERROR(INDEX('Kode Outlet dan Target Toko'!$D:$D,MATCH($I3607,'Kode Outlet dan Target Toko'!$E:$E,0)),0)</f>
        <v>214300</v>
      </c>
      <c r="I3607" s="42" t="s">
        <v>73</v>
      </c>
      <c r="J3607" s="56" t="s">
        <v>292</v>
      </c>
      <c r="K3607" s="40" t="s">
        <v>15</v>
      </c>
      <c r="L3607" s="26">
        <v>7000</v>
      </c>
      <c r="M3607" s="26">
        <v>20</v>
      </c>
      <c r="N3607" s="25">
        <f t="shared" si="113"/>
        <v>140000</v>
      </c>
      <c r="O3607" s="56"/>
    </row>
    <row r="3608" spans="1:15" hidden="1" x14ac:dyDescent="0.3">
      <c r="A3608" s="26">
        <v>33</v>
      </c>
      <c r="B3608" s="20" t="str">
        <f t="shared" si="112"/>
        <v>AUG</v>
      </c>
      <c r="C3608" s="21">
        <v>46249</v>
      </c>
      <c r="D3608" s="22" t="str">
        <f>IFERROR(INDEX('Kode Outlet dan Target Toko'!$A:$A,MATCH($I3608,'Kode Outlet dan Target Toko'!$E:$E,0)),"")</f>
        <v>GRSM 1</v>
      </c>
      <c r="E3608" s="20" t="str">
        <f>IFERROR(VLOOKUP(I3608,KET!$B:$F,4,0),"")</f>
        <v>AFNITA SARI</v>
      </c>
      <c r="F3608" s="20" t="str">
        <f>IFERROR(VLOOKUP(I3608,KET!$B:$F,5,0),"")</f>
        <v>MT</v>
      </c>
      <c r="G3608" s="20">
        <f>IFERROR(INDEX('Kode Outlet dan Target Toko'!$C:$C,MATCH($I3608,'Kode Outlet dan Target Toko'!$E:$E,0)),0)</f>
        <v>122506</v>
      </c>
      <c r="H3608" s="20">
        <f>IFERROR(INDEX('Kode Outlet dan Target Toko'!$D:$D,MATCH($I3608,'Kode Outlet dan Target Toko'!$E:$E,0)),0)</f>
        <v>214300</v>
      </c>
      <c r="I3608" s="42" t="s">
        <v>73</v>
      </c>
      <c r="J3608" s="56" t="s">
        <v>292</v>
      </c>
      <c r="K3608" s="40" t="s">
        <v>14</v>
      </c>
      <c r="L3608" s="26">
        <v>7000</v>
      </c>
      <c r="M3608" s="26">
        <v>38</v>
      </c>
      <c r="N3608" s="25">
        <f t="shared" si="113"/>
        <v>266000</v>
      </c>
      <c r="O3608" s="56"/>
    </row>
    <row r="3609" spans="1:15" hidden="1" x14ac:dyDescent="0.3">
      <c r="A3609" s="26">
        <v>33</v>
      </c>
      <c r="B3609" s="20" t="str">
        <f t="shared" si="112"/>
        <v>AUG</v>
      </c>
      <c r="C3609" s="21">
        <v>46249</v>
      </c>
      <c r="D3609" s="22" t="str">
        <f>IFERROR(INDEX('Kode Outlet dan Target Toko'!$A:$A,MATCH($I3609,'Kode Outlet dan Target Toko'!$E:$E,0)),"")</f>
        <v>GRSM 1</v>
      </c>
      <c r="E3609" s="20" t="str">
        <f>IFERROR(VLOOKUP(I3609,KET!$B:$F,4,0),"")</f>
        <v>AFNITA SARI</v>
      </c>
      <c r="F3609" s="20" t="str">
        <f>IFERROR(VLOOKUP(I3609,KET!$B:$F,5,0),"")</f>
        <v>MT</v>
      </c>
      <c r="G3609" s="20">
        <f>IFERROR(INDEX('Kode Outlet dan Target Toko'!$C:$C,MATCH($I3609,'Kode Outlet dan Target Toko'!$E:$E,0)),0)</f>
        <v>122506</v>
      </c>
      <c r="H3609" s="20">
        <f>IFERROR(INDEX('Kode Outlet dan Target Toko'!$D:$D,MATCH($I3609,'Kode Outlet dan Target Toko'!$E:$E,0)),0)</f>
        <v>214300</v>
      </c>
      <c r="I3609" s="42" t="s">
        <v>73</v>
      </c>
      <c r="J3609" s="56" t="s">
        <v>292</v>
      </c>
      <c r="K3609" s="40" t="s">
        <v>13</v>
      </c>
      <c r="L3609" s="26">
        <v>7000</v>
      </c>
      <c r="M3609" s="26">
        <v>25</v>
      </c>
      <c r="N3609" s="25">
        <f t="shared" si="113"/>
        <v>175000</v>
      </c>
      <c r="O3609" s="56"/>
    </row>
    <row r="3610" spans="1:15" hidden="1" x14ac:dyDescent="0.3">
      <c r="A3610" s="26">
        <v>33</v>
      </c>
      <c r="B3610" s="20" t="str">
        <f t="shared" si="112"/>
        <v>AUG</v>
      </c>
      <c r="C3610" s="21">
        <v>46249</v>
      </c>
      <c r="D3610" s="22" t="str">
        <f>IFERROR(INDEX('Kode Outlet dan Target Toko'!$A:$A,MATCH($I3610,'Kode Outlet dan Target Toko'!$E:$E,0)),"")</f>
        <v>GRSM 1</v>
      </c>
      <c r="E3610" s="20" t="str">
        <f>IFERROR(VLOOKUP(I3610,KET!$B:$F,4,0),"")</f>
        <v>AFNITA SARI</v>
      </c>
      <c r="F3610" s="20" t="str">
        <f>IFERROR(VLOOKUP(I3610,KET!$B:$F,5,0),"")</f>
        <v>MT</v>
      </c>
      <c r="G3610" s="20">
        <f>IFERROR(INDEX('Kode Outlet dan Target Toko'!$C:$C,MATCH($I3610,'Kode Outlet dan Target Toko'!$E:$E,0)),0)</f>
        <v>122506</v>
      </c>
      <c r="H3610" s="20">
        <f>IFERROR(INDEX('Kode Outlet dan Target Toko'!$D:$D,MATCH($I3610,'Kode Outlet dan Target Toko'!$E:$E,0)),0)</f>
        <v>214300</v>
      </c>
      <c r="I3610" s="42" t="s">
        <v>73</v>
      </c>
      <c r="J3610" s="56" t="s">
        <v>292</v>
      </c>
      <c r="K3610" s="40" t="s">
        <v>16</v>
      </c>
      <c r="L3610" s="26">
        <v>7000</v>
      </c>
      <c r="M3610" s="26">
        <v>55</v>
      </c>
      <c r="N3610" s="25">
        <f t="shared" si="113"/>
        <v>385000</v>
      </c>
      <c r="O3610" s="56">
        <v>160</v>
      </c>
    </row>
    <row r="3611" spans="1:15" hidden="1" x14ac:dyDescent="0.3">
      <c r="A3611" s="26">
        <v>33</v>
      </c>
      <c r="B3611" s="20" t="str">
        <f t="shared" si="112"/>
        <v>AUG</v>
      </c>
      <c r="C3611" s="21">
        <v>46249</v>
      </c>
      <c r="D3611" s="22" t="str">
        <f>IFERROR(INDEX('Kode Outlet dan Target Toko'!$A:$A,MATCH($I3611,'Kode Outlet dan Target Toko'!$E:$E,0)),"")</f>
        <v>GRSM 1</v>
      </c>
      <c r="E3611" s="20" t="str">
        <f>IFERROR(VLOOKUP(I3611,KET!$B:$F,4,0),"")</f>
        <v>AFNITA SARI</v>
      </c>
      <c r="F3611" s="20" t="str">
        <f>IFERROR(VLOOKUP(I3611,KET!$B:$F,5,0),"")</f>
        <v>MT</v>
      </c>
      <c r="G3611" s="20">
        <f>IFERROR(INDEX('Kode Outlet dan Target Toko'!$C:$C,MATCH($I3611,'Kode Outlet dan Target Toko'!$E:$E,0)),0)</f>
        <v>122506</v>
      </c>
      <c r="H3611" s="20">
        <f>IFERROR(INDEX('Kode Outlet dan Target Toko'!$D:$D,MATCH($I3611,'Kode Outlet dan Target Toko'!$E:$E,0)),0)</f>
        <v>202816</v>
      </c>
      <c r="I3611" s="42" t="s">
        <v>71</v>
      </c>
      <c r="J3611" s="56" t="s">
        <v>295</v>
      </c>
      <c r="K3611" s="40" t="s">
        <v>15</v>
      </c>
      <c r="L3611" s="26">
        <v>7000</v>
      </c>
      <c r="M3611" s="26">
        <v>35</v>
      </c>
      <c r="N3611" s="25">
        <f t="shared" si="113"/>
        <v>245000</v>
      </c>
      <c r="O3611" s="56"/>
    </row>
    <row r="3612" spans="1:15" hidden="1" x14ac:dyDescent="0.3">
      <c r="A3612" s="26">
        <v>33</v>
      </c>
      <c r="B3612" s="20" t="str">
        <f t="shared" si="112"/>
        <v>AUG</v>
      </c>
      <c r="C3612" s="21">
        <v>46249</v>
      </c>
      <c r="D3612" s="22" t="str">
        <f>IFERROR(INDEX('Kode Outlet dan Target Toko'!$A:$A,MATCH($I3612,'Kode Outlet dan Target Toko'!$E:$E,0)),"")</f>
        <v>GRSM 1</v>
      </c>
      <c r="E3612" s="20" t="str">
        <f>IFERROR(VLOOKUP(I3612,KET!$B:$F,4,0),"")</f>
        <v>AFNITA SARI</v>
      </c>
      <c r="F3612" s="20" t="str">
        <f>IFERROR(VLOOKUP(I3612,KET!$B:$F,5,0),"")</f>
        <v>MT</v>
      </c>
      <c r="G3612" s="20">
        <f>IFERROR(INDEX('Kode Outlet dan Target Toko'!$C:$C,MATCH($I3612,'Kode Outlet dan Target Toko'!$E:$E,0)),0)</f>
        <v>122506</v>
      </c>
      <c r="H3612" s="20">
        <f>IFERROR(INDEX('Kode Outlet dan Target Toko'!$D:$D,MATCH($I3612,'Kode Outlet dan Target Toko'!$E:$E,0)),0)</f>
        <v>202816</v>
      </c>
      <c r="I3612" s="42" t="s">
        <v>71</v>
      </c>
      <c r="J3612" s="56" t="s">
        <v>295</v>
      </c>
      <c r="K3612" s="40" t="s">
        <v>14</v>
      </c>
      <c r="L3612" s="26">
        <v>7000</v>
      </c>
      <c r="M3612" s="26">
        <v>41</v>
      </c>
      <c r="N3612" s="25">
        <f t="shared" si="113"/>
        <v>287000</v>
      </c>
      <c r="O3612" s="56"/>
    </row>
    <row r="3613" spans="1:15" hidden="1" x14ac:dyDescent="0.3">
      <c r="A3613" s="26">
        <v>33</v>
      </c>
      <c r="B3613" s="20" t="str">
        <f t="shared" si="112"/>
        <v>AUG</v>
      </c>
      <c r="C3613" s="21">
        <v>46249</v>
      </c>
      <c r="D3613" s="22" t="str">
        <f>IFERROR(INDEX('Kode Outlet dan Target Toko'!$A:$A,MATCH($I3613,'Kode Outlet dan Target Toko'!$E:$E,0)),"")</f>
        <v>GRSM 1</v>
      </c>
      <c r="E3613" s="20" t="str">
        <f>IFERROR(VLOOKUP(I3613,KET!$B:$F,4,0),"")</f>
        <v>AFNITA SARI</v>
      </c>
      <c r="F3613" s="20" t="str">
        <f>IFERROR(VLOOKUP(I3613,KET!$B:$F,5,0),"")</f>
        <v>MT</v>
      </c>
      <c r="G3613" s="20">
        <f>IFERROR(INDEX('Kode Outlet dan Target Toko'!$C:$C,MATCH($I3613,'Kode Outlet dan Target Toko'!$E:$E,0)),0)</f>
        <v>122506</v>
      </c>
      <c r="H3613" s="20">
        <f>IFERROR(INDEX('Kode Outlet dan Target Toko'!$D:$D,MATCH($I3613,'Kode Outlet dan Target Toko'!$E:$E,0)),0)</f>
        <v>202816</v>
      </c>
      <c r="I3613" s="42" t="s">
        <v>71</v>
      </c>
      <c r="J3613" s="56" t="s">
        <v>295</v>
      </c>
      <c r="K3613" s="40" t="s">
        <v>13</v>
      </c>
      <c r="L3613" s="26">
        <v>7000</v>
      </c>
      <c r="M3613" s="26">
        <v>17</v>
      </c>
      <c r="N3613" s="25">
        <f t="shared" si="113"/>
        <v>119000</v>
      </c>
      <c r="O3613" s="56"/>
    </row>
    <row r="3614" spans="1:15" hidden="1" x14ac:dyDescent="0.3">
      <c r="A3614" s="26">
        <v>33</v>
      </c>
      <c r="B3614" s="20" t="str">
        <f t="shared" si="112"/>
        <v>AUG</v>
      </c>
      <c r="C3614" s="21">
        <v>46249</v>
      </c>
      <c r="D3614" s="22" t="str">
        <f>IFERROR(INDEX('Kode Outlet dan Target Toko'!$A:$A,MATCH($I3614,'Kode Outlet dan Target Toko'!$E:$E,0)),"")</f>
        <v>GRSM 1</v>
      </c>
      <c r="E3614" s="20" t="str">
        <f>IFERROR(VLOOKUP(I3614,KET!$B:$F,4,0),"")</f>
        <v>AFNITA SARI</v>
      </c>
      <c r="F3614" s="20" t="str">
        <f>IFERROR(VLOOKUP(I3614,KET!$B:$F,5,0),"")</f>
        <v>MT</v>
      </c>
      <c r="G3614" s="20">
        <f>IFERROR(INDEX('Kode Outlet dan Target Toko'!$C:$C,MATCH($I3614,'Kode Outlet dan Target Toko'!$E:$E,0)),0)</f>
        <v>122506</v>
      </c>
      <c r="H3614" s="20">
        <f>IFERROR(INDEX('Kode Outlet dan Target Toko'!$D:$D,MATCH($I3614,'Kode Outlet dan Target Toko'!$E:$E,0)),0)</f>
        <v>202816</v>
      </c>
      <c r="I3614" s="42" t="s">
        <v>71</v>
      </c>
      <c r="J3614" s="56" t="s">
        <v>295</v>
      </c>
      <c r="K3614" s="40" t="s">
        <v>16</v>
      </c>
      <c r="L3614" s="26">
        <v>7000</v>
      </c>
      <c r="M3614" s="26">
        <v>57</v>
      </c>
      <c r="N3614" s="25">
        <f t="shared" si="113"/>
        <v>399000</v>
      </c>
      <c r="O3614" s="56">
        <v>160</v>
      </c>
    </row>
    <row r="3615" spans="1:15" hidden="1" x14ac:dyDescent="0.3">
      <c r="A3615" s="26">
        <v>33</v>
      </c>
      <c r="B3615" s="20" t="str">
        <f t="shared" si="112"/>
        <v>AUG</v>
      </c>
      <c r="C3615" s="21">
        <v>46249</v>
      </c>
      <c r="D3615" s="22" t="str">
        <f>IFERROR(INDEX('Kode Outlet dan Target Toko'!$A:$A,MATCH($I3615,'Kode Outlet dan Target Toko'!$E:$E,0)),"")</f>
        <v>GRSM 1</v>
      </c>
      <c r="E3615" s="20" t="str">
        <f>IFERROR(VLOOKUP(I3615,KET!$B:$F,4,0),"")</f>
        <v>AFNITA SARI</v>
      </c>
      <c r="F3615" s="20" t="str">
        <f>IFERROR(VLOOKUP(I3615,KET!$B:$F,5,0),"")</f>
        <v>MT</v>
      </c>
      <c r="G3615" s="20">
        <f>IFERROR(INDEX('Kode Outlet dan Target Toko'!$C:$C,MATCH($I3615,'Kode Outlet dan Target Toko'!$E:$E,0)),0)</f>
        <v>122506</v>
      </c>
      <c r="H3615" s="20">
        <f>IFERROR(INDEX('Kode Outlet dan Target Toko'!$D:$D,MATCH($I3615,'Kode Outlet dan Target Toko'!$E:$E,0)),0)</f>
        <v>202816</v>
      </c>
      <c r="I3615" s="42" t="s">
        <v>71</v>
      </c>
      <c r="J3615" s="56" t="s">
        <v>296</v>
      </c>
      <c r="K3615" s="40" t="s">
        <v>15</v>
      </c>
      <c r="L3615" s="26">
        <v>7000</v>
      </c>
      <c r="M3615" s="26">
        <v>35</v>
      </c>
      <c r="N3615" s="25">
        <f t="shared" si="113"/>
        <v>245000</v>
      </c>
      <c r="O3615" s="56"/>
    </row>
    <row r="3616" spans="1:15" hidden="1" x14ac:dyDescent="0.3">
      <c r="A3616" s="26">
        <v>33</v>
      </c>
      <c r="B3616" s="20" t="str">
        <f t="shared" si="112"/>
        <v>AUG</v>
      </c>
      <c r="C3616" s="21">
        <v>46249</v>
      </c>
      <c r="D3616" s="22" t="str">
        <f>IFERROR(INDEX('Kode Outlet dan Target Toko'!$A:$A,MATCH($I3616,'Kode Outlet dan Target Toko'!$E:$E,0)),"")</f>
        <v>GRSM 1</v>
      </c>
      <c r="E3616" s="20" t="str">
        <f>IFERROR(VLOOKUP(I3616,KET!$B:$F,4,0),"")</f>
        <v>AFNITA SARI</v>
      </c>
      <c r="F3616" s="20" t="str">
        <f>IFERROR(VLOOKUP(I3616,KET!$B:$F,5,0),"")</f>
        <v>MT</v>
      </c>
      <c r="G3616" s="20">
        <f>IFERROR(INDEX('Kode Outlet dan Target Toko'!$C:$C,MATCH($I3616,'Kode Outlet dan Target Toko'!$E:$E,0)),0)</f>
        <v>122506</v>
      </c>
      <c r="H3616" s="20">
        <f>IFERROR(INDEX('Kode Outlet dan Target Toko'!$D:$D,MATCH($I3616,'Kode Outlet dan Target Toko'!$E:$E,0)),0)</f>
        <v>202816</v>
      </c>
      <c r="I3616" s="42" t="s">
        <v>71</v>
      </c>
      <c r="J3616" s="56" t="s">
        <v>296</v>
      </c>
      <c r="K3616" s="40" t="s">
        <v>14</v>
      </c>
      <c r="L3616" s="26">
        <v>7000</v>
      </c>
      <c r="M3616" s="26">
        <v>41</v>
      </c>
      <c r="N3616" s="25">
        <f t="shared" si="113"/>
        <v>287000</v>
      </c>
      <c r="O3616" s="56"/>
    </row>
    <row r="3617" spans="1:15" hidden="1" x14ac:dyDescent="0.3">
      <c r="A3617" s="26">
        <v>33</v>
      </c>
      <c r="B3617" s="20" t="str">
        <f t="shared" si="112"/>
        <v>AUG</v>
      </c>
      <c r="C3617" s="21">
        <v>46249</v>
      </c>
      <c r="D3617" s="22" t="str">
        <f>IFERROR(INDEX('Kode Outlet dan Target Toko'!$A:$A,MATCH($I3617,'Kode Outlet dan Target Toko'!$E:$E,0)),"")</f>
        <v>GRSM 1</v>
      </c>
      <c r="E3617" s="20" t="str">
        <f>IFERROR(VLOOKUP(I3617,KET!$B:$F,4,0),"")</f>
        <v>AFNITA SARI</v>
      </c>
      <c r="F3617" s="20" t="str">
        <f>IFERROR(VLOOKUP(I3617,KET!$B:$F,5,0),"")</f>
        <v>MT</v>
      </c>
      <c r="G3617" s="20">
        <f>IFERROR(INDEX('Kode Outlet dan Target Toko'!$C:$C,MATCH($I3617,'Kode Outlet dan Target Toko'!$E:$E,0)),0)</f>
        <v>122506</v>
      </c>
      <c r="H3617" s="20">
        <f>IFERROR(INDEX('Kode Outlet dan Target Toko'!$D:$D,MATCH($I3617,'Kode Outlet dan Target Toko'!$E:$E,0)),0)</f>
        <v>202816</v>
      </c>
      <c r="I3617" s="42" t="s">
        <v>71</v>
      </c>
      <c r="J3617" s="56" t="s">
        <v>296</v>
      </c>
      <c r="K3617" s="40" t="s">
        <v>13</v>
      </c>
      <c r="L3617" s="26">
        <v>7000</v>
      </c>
      <c r="M3617" s="26">
        <v>17</v>
      </c>
      <c r="N3617" s="25">
        <f t="shared" si="113"/>
        <v>119000</v>
      </c>
      <c r="O3617" s="56"/>
    </row>
    <row r="3618" spans="1:15" hidden="1" x14ac:dyDescent="0.3">
      <c r="A3618" s="26">
        <v>33</v>
      </c>
      <c r="B3618" s="20" t="str">
        <f t="shared" si="112"/>
        <v>AUG</v>
      </c>
      <c r="C3618" s="21">
        <v>46249</v>
      </c>
      <c r="D3618" s="22" t="str">
        <f>IFERROR(INDEX('Kode Outlet dan Target Toko'!$A:$A,MATCH($I3618,'Kode Outlet dan Target Toko'!$E:$E,0)),"")</f>
        <v>GRSM 1</v>
      </c>
      <c r="E3618" s="20" t="str">
        <f>IFERROR(VLOOKUP(I3618,KET!$B:$F,4,0),"")</f>
        <v>AFNITA SARI</v>
      </c>
      <c r="F3618" s="20" t="str">
        <f>IFERROR(VLOOKUP(I3618,KET!$B:$F,5,0),"")</f>
        <v>MT</v>
      </c>
      <c r="G3618" s="20">
        <f>IFERROR(INDEX('Kode Outlet dan Target Toko'!$C:$C,MATCH($I3618,'Kode Outlet dan Target Toko'!$E:$E,0)),0)</f>
        <v>122506</v>
      </c>
      <c r="H3618" s="20">
        <f>IFERROR(INDEX('Kode Outlet dan Target Toko'!$D:$D,MATCH($I3618,'Kode Outlet dan Target Toko'!$E:$E,0)),0)</f>
        <v>202816</v>
      </c>
      <c r="I3618" s="42" t="s">
        <v>71</v>
      </c>
      <c r="J3618" s="56" t="s">
        <v>296</v>
      </c>
      <c r="K3618" s="40" t="s">
        <v>16</v>
      </c>
      <c r="L3618" s="26">
        <v>7000</v>
      </c>
      <c r="M3618" s="26">
        <v>57</v>
      </c>
      <c r="N3618" s="25">
        <f t="shared" si="113"/>
        <v>399000</v>
      </c>
      <c r="O3618" s="56">
        <v>160</v>
      </c>
    </row>
    <row r="3619" spans="1:15" hidden="1" x14ac:dyDescent="0.3">
      <c r="A3619" s="26">
        <v>33</v>
      </c>
      <c r="B3619" s="20" t="str">
        <f t="shared" si="112"/>
        <v>AUG</v>
      </c>
      <c r="C3619" s="21">
        <v>46249</v>
      </c>
      <c r="D3619" s="22" t="str">
        <f>IFERROR(INDEX('Kode Outlet dan Target Toko'!$A:$A,MATCH($I3619,'Kode Outlet dan Target Toko'!$E:$E,0)),"")</f>
        <v>GRSM 1</v>
      </c>
      <c r="E3619" s="20" t="str">
        <f>IFERROR(VLOOKUP(I3619,KET!$B:$F,4,0),"")</f>
        <v>AFNITA SARI</v>
      </c>
      <c r="F3619" s="20" t="str">
        <f>IFERROR(VLOOKUP(I3619,KET!$B:$F,5,0),"")</f>
        <v>MT</v>
      </c>
      <c r="G3619" s="20">
        <f>IFERROR(INDEX('Kode Outlet dan Target Toko'!$C:$C,MATCH($I3619,'Kode Outlet dan Target Toko'!$E:$E,0)),0)</f>
        <v>122506</v>
      </c>
      <c r="H3619" s="20">
        <f>IFERROR(INDEX('Kode Outlet dan Target Toko'!$D:$D,MATCH($I3619,'Kode Outlet dan Target Toko'!$E:$E,0)),0)</f>
        <v>202879</v>
      </c>
      <c r="I3619" s="42" t="s">
        <v>70</v>
      </c>
      <c r="J3619" s="56" t="s">
        <v>289</v>
      </c>
      <c r="K3619" s="40" t="s">
        <v>15</v>
      </c>
      <c r="L3619" s="26">
        <v>6400</v>
      </c>
      <c r="M3619" s="26">
        <v>59</v>
      </c>
      <c r="N3619" s="25">
        <f t="shared" si="113"/>
        <v>377600</v>
      </c>
      <c r="O3619" s="56"/>
    </row>
    <row r="3620" spans="1:15" hidden="1" x14ac:dyDescent="0.3">
      <c r="A3620" s="26">
        <v>33</v>
      </c>
      <c r="B3620" s="20" t="str">
        <f t="shared" si="112"/>
        <v>AUG</v>
      </c>
      <c r="C3620" s="21">
        <v>46249</v>
      </c>
      <c r="D3620" s="22" t="str">
        <f>IFERROR(INDEX('Kode Outlet dan Target Toko'!$A:$A,MATCH($I3620,'Kode Outlet dan Target Toko'!$E:$E,0)),"")</f>
        <v>GRSM 1</v>
      </c>
      <c r="E3620" s="20" t="str">
        <f>IFERROR(VLOOKUP(I3620,KET!$B:$F,4,0),"")</f>
        <v>AFNITA SARI</v>
      </c>
      <c r="F3620" s="20" t="str">
        <f>IFERROR(VLOOKUP(I3620,KET!$B:$F,5,0),"")</f>
        <v>MT</v>
      </c>
      <c r="G3620" s="20">
        <f>IFERROR(INDEX('Kode Outlet dan Target Toko'!$C:$C,MATCH($I3620,'Kode Outlet dan Target Toko'!$E:$E,0)),0)</f>
        <v>122506</v>
      </c>
      <c r="H3620" s="20">
        <f>IFERROR(INDEX('Kode Outlet dan Target Toko'!$D:$D,MATCH($I3620,'Kode Outlet dan Target Toko'!$E:$E,0)),0)</f>
        <v>202879</v>
      </c>
      <c r="I3620" s="42" t="s">
        <v>70</v>
      </c>
      <c r="J3620" s="56" t="s">
        <v>289</v>
      </c>
      <c r="K3620" s="40" t="s">
        <v>14</v>
      </c>
      <c r="L3620" s="26">
        <v>6400</v>
      </c>
      <c r="M3620" s="26">
        <v>59</v>
      </c>
      <c r="N3620" s="25">
        <f t="shared" si="113"/>
        <v>377600</v>
      </c>
      <c r="O3620" s="56"/>
    </row>
    <row r="3621" spans="1:15" hidden="1" x14ac:dyDescent="0.3">
      <c r="A3621" s="26">
        <v>33</v>
      </c>
      <c r="B3621" s="20" t="str">
        <f t="shared" si="112"/>
        <v>AUG</v>
      </c>
      <c r="C3621" s="21">
        <v>46249</v>
      </c>
      <c r="D3621" s="22" t="str">
        <f>IFERROR(INDEX('Kode Outlet dan Target Toko'!$A:$A,MATCH($I3621,'Kode Outlet dan Target Toko'!$E:$E,0)),"")</f>
        <v>GRSM 1</v>
      </c>
      <c r="E3621" s="20" t="str">
        <f>IFERROR(VLOOKUP(I3621,KET!$B:$F,4,0),"")</f>
        <v>AFNITA SARI</v>
      </c>
      <c r="F3621" s="20" t="str">
        <f>IFERROR(VLOOKUP(I3621,KET!$B:$F,5,0),"")</f>
        <v>MT</v>
      </c>
      <c r="G3621" s="20">
        <f>IFERROR(INDEX('Kode Outlet dan Target Toko'!$C:$C,MATCH($I3621,'Kode Outlet dan Target Toko'!$E:$E,0)),0)</f>
        <v>122506</v>
      </c>
      <c r="H3621" s="20">
        <f>IFERROR(INDEX('Kode Outlet dan Target Toko'!$D:$D,MATCH($I3621,'Kode Outlet dan Target Toko'!$E:$E,0)),0)</f>
        <v>202879</v>
      </c>
      <c r="I3621" s="42" t="s">
        <v>70</v>
      </c>
      <c r="J3621" s="56" t="s">
        <v>289</v>
      </c>
      <c r="K3621" s="40" t="s">
        <v>13</v>
      </c>
      <c r="L3621" s="26">
        <v>6400</v>
      </c>
      <c r="M3621" s="26">
        <v>24</v>
      </c>
      <c r="N3621" s="25">
        <f t="shared" si="113"/>
        <v>153600</v>
      </c>
      <c r="O3621" s="56"/>
    </row>
    <row r="3622" spans="1:15" hidden="1" x14ac:dyDescent="0.3">
      <c r="A3622" s="26">
        <v>33</v>
      </c>
      <c r="B3622" s="20" t="str">
        <f t="shared" si="112"/>
        <v>AUG</v>
      </c>
      <c r="C3622" s="21">
        <v>46249</v>
      </c>
      <c r="D3622" s="22" t="str">
        <f>IFERROR(INDEX('Kode Outlet dan Target Toko'!$A:$A,MATCH($I3622,'Kode Outlet dan Target Toko'!$E:$E,0)),"")</f>
        <v>GRSM 1</v>
      </c>
      <c r="E3622" s="20" t="str">
        <f>IFERROR(VLOOKUP(I3622,KET!$B:$F,4,0),"")</f>
        <v>AFNITA SARI</v>
      </c>
      <c r="F3622" s="20" t="str">
        <f>IFERROR(VLOOKUP(I3622,KET!$B:$F,5,0),"")</f>
        <v>MT</v>
      </c>
      <c r="G3622" s="20">
        <f>IFERROR(INDEX('Kode Outlet dan Target Toko'!$C:$C,MATCH($I3622,'Kode Outlet dan Target Toko'!$E:$E,0)),0)</f>
        <v>122506</v>
      </c>
      <c r="H3622" s="20">
        <f>IFERROR(INDEX('Kode Outlet dan Target Toko'!$D:$D,MATCH($I3622,'Kode Outlet dan Target Toko'!$E:$E,0)),0)</f>
        <v>202879</v>
      </c>
      <c r="I3622" s="42" t="s">
        <v>70</v>
      </c>
      <c r="J3622" s="56" t="s">
        <v>289</v>
      </c>
      <c r="K3622" s="40" t="s">
        <v>16</v>
      </c>
      <c r="L3622" s="26">
        <v>6400</v>
      </c>
      <c r="M3622" s="26">
        <v>158</v>
      </c>
      <c r="N3622" s="25">
        <f t="shared" si="113"/>
        <v>1011200</v>
      </c>
      <c r="O3622" s="56">
        <v>160</v>
      </c>
    </row>
    <row r="3623" spans="1:15" hidden="1" x14ac:dyDescent="0.3">
      <c r="A3623" s="26">
        <v>33</v>
      </c>
      <c r="B3623" s="20" t="str">
        <f t="shared" si="112"/>
        <v>AUG</v>
      </c>
      <c r="C3623" s="21">
        <v>46249</v>
      </c>
      <c r="D3623" s="22" t="str">
        <f>IFERROR(INDEX('Kode Outlet dan Target Toko'!$A:$A,MATCH($I3623,'Kode Outlet dan Target Toko'!$E:$E,0)),"")</f>
        <v>GRSM 1</v>
      </c>
      <c r="E3623" s="20" t="str">
        <f>IFERROR(VLOOKUP(I3623,KET!$B:$F,4,0),"")</f>
        <v>AFNITA SARI</v>
      </c>
      <c r="F3623" s="20" t="str">
        <f>IFERROR(VLOOKUP(I3623,KET!$B:$F,5,0),"")</f>
        <v>MT</v>
      </c>
      <c r="G3623" s="20">
        <f>IFERROR(INDEX('Kode Outlet dan Target Toko'!$C:$C,MATCH($I3623,'Kode Outlet dan Target Toko'!$E:$E,0)),0)</f>
        <v>122506</v>
      </c>
      <c r="H3623" s="20">
        <f>IFERROR(INDEX('Kode Outlet dan Target Toko'!$D:$D,MATCH($I3623,'Kode Outlet dan Target Toko'!$E:$E,0)),0)</f>
        <v>202879</v>
      </c>
      <c r="I3623" s="42" t="s">
        <v>70</v>
      </c>
      <c r="J3623" s="56" t="s">
        <v>290</v>
      </c>
      <c r="K3623" s="40" t="s">
        <v>15</v>
      </c>
      <c r="L3623" s="26">
        <v>6400</v>
      </c>
      <c r="M3623" s="26">
        <v>59</v>
      </c>
      <c r="N3623" s="25">
        <f t="shared" si="113"/>
        <v>377600</v>
      </c>
      <c r="O3623" s="56"/>
    </row>
    <row r="3624" spans="1:15" hidden="1" x14ac:dyDescent="0.3">
      <c r="A3624" s="26">
        <v>33</v>
      </c>
      <c r="B3624" s="20" t="str">
        <f t="shared" si="112"/>
        <v>AUG</v>
      </c>
      <c r="C3624" s="21">
        <v>46249</v>
      </c>
      <c r="D3624" s="22" t="str">
        <f>IFERROR(INDEX('Kode Outlet dan Target Toko'!$A:$A,MATCH($I3624,'Kode Outlet dan Target Toko'!$E:$E,0)),"")</f>
        <v>GRSM 1</v>
      </c>
      <c r="E3624" s="20" t="str">
        <f>IFERROR(VLOOKUP(I3624,KET!$B:$F,4,0),"")</f>
        <v>AFNITA SARI</v>
      </c>
      <c r="F3624" s="20" t="str">
        <f>IFERROR(VLOOKUP(I3624,KET!$B:$F,5,0),"")</f>
        <v>MT</v>
      </c>
      <c r="G3624" s="20">
        <f>IFERROR(INDEX('Kode Outlet dan Target Toko'!$C:$C,MATCH($I3624,'Kode Outlet dan Target Toko'!$E:$E,0)),0)</f>
        <v>122506</v>
      </c>
      <c r="H3624" s="20">
        <f>IFERROR(INDEX('Kode Outlet dan Target Toko'!$D:$D,MATCH($I3624,'Kode Outlet dan Target Toko'!$E:$E,0)),0)</f>
        <v>202879</v>
      </c>
      <c r="I3624" s="42" t="s">
        <v>70</v>
      </c>
      <c r="J3624" s="56" t="s">
        <v>290</v>
      </c>
      <c r="K3624" s="40" t="s">
        <v>14</v>
      </c>
      <c r="L3624" s="26">
        <v>6400</v>
      </c>
      <c r="M3624" s="26">
        <v>59</v>
      </c>
      <c r="N3624" s="25">
        <f t="shared" si="113"/>
        <v>377600</v>
      </c>
      <c r="O3624" s="56"/>
    </row>
    <row r="3625" spans="1:15" hidden="1" x14ac:dyDescent="0.3">
      <c r="A3625" s="26">
        <v>33</v>
      </c>
      <c r="B3625" s="20" t="str">
        <f t="shared" si="112"/>
        <v>AUG</v>
      </c>
      <c r="C3625" s="21">
        <v>46249</v>
      </c>
      <c r="D3625" s="22" t="str">
        <f>IFERROR(INDEX('Kode Outlet dan Target Toko'!$A:$A,MATCH($I3625,'Kode Outlet dan Target Toko'!$E:$E,0)),"")</f>
        <v>GRSM 1</v>
      </c>
      <c r="E3625" s="20" t="str">
        <f>IFERROR(VLOOKUP(I3625,KET!$B:$F,4,0),"")</f>
        <v>AFNITA SARI</v>
      </c>
      <c r="F3625" s="20" t="str">
        <f>IFERROR(VLOOKUP(I3625,KET!$B:$F,5,0),"")</f>
        <v>MT</v>
      </c>
      <c r="G3625" s="20">
        <f>IFERROR(INDEX('Kode Outlet dan Target Toko'!$C:$C,MATCH($I3625,'Kode Outlet dan Target Toko'!$E:$E,0)),0)</f>
        <v>122506</v>
      </c>
      <c r="H3625" s="20">
        <f>IFERROR(INDEX('Kode Outlet dan Target Toko'!$D:$D,MATCH($I3625,'Kode Outlet dan Target Toko'!$E:$E,0)),0)</f>
        <v>202879</v>
      </c>
      <c r="I3625" s="42" t="s">
        <v>70</v>
      </c>
      <c r="J3625" s="56" t="s">
        <v>290</v>
      </c>
      <c r="K3625" s="40" t="s">
        <v>13</v>
      </c>
      <c r="L3625" s="26">
        <v>6400</v>
      </c>
      <c r="M3625" s="26">
        <v>24</v>
      </c>
      <c r="N3625" s="25">
        <f t="shared" si="113"/>
        <v>153600</v>
      </c>
      <c r="O3625" s="56"/>
    </row>
    <row r="3626" spans="1:15" hidden="1" x14ac:dyDescent="0.3">
      <c r="A3626" s="26">
        <v>33</v>
      </c>
      <c r="B3626" s="20" t="str">
        <f t="shared" si="112"/>
        <v>AUG</v>
      </c>
      <c r="C3626" s="21">
        <v>46249</v>
      </c>
      <c r="D3626" s="22" t="str">
        <f>IFERROR(INDEX('Kode Outlet dan Target Toko'!$A:$A,MATCH($I3626,'Kode Outlet dan Target Toko'!$E:$E,0)),"")</f>
        <v>GRSM 1</v>
      </c>
      <c r="E3626" s="20" t="str">
        <f>IFERROR(VLOOKUP(I3626,KET!$B:$F,4,0),"")</f>
        <v>AFNITA SARI</v>
      </c>
      <c r="F3626" s="20" t="str">
        <f>IFERROR(VLOOKUP(I3626,KET!$B:$F,5,0),"")</f>
        <v>MT</v>
      </c>
      <c r="G3626" s="20">
        <f>IFERROR(INDEX('Kode Outlet dan Target Toko'!$C:$C,MATCH($I3626,'Kode Outlet dan Target Toko'!$E:$E,0)),0)</f>
        <v>122506</v>
      </c>
      <c r="H3626" s="20">
        <f>IFERROR(INDEX('Kode Outlet dan Target Toko'!$D:$D,MATCH($I3626,'Kode Outlet dan Target Toko'!$E:$E,0)),0)</f>
        <v>202879</v>
      </c>
      <c r="I3626" s="42" t="s">
        <v>70</v>
      </c>
      <c r="J3626" s="56" t="s">
        <v>290</v>
      </c>
      <c r="K3626" s="40" t="s">
        <v>16</v>
      </c>
      <c r="L3626" s="26">
        <v>6400</v>
      </c>
      <c r="M3626" s="26">
        <v>158</v>
      </c>
      <c r="N3626" s="25">
        <f t="shared" si="113"/>
        <v>1011200</v>
      </c>
      <c r="O3626" s="56">
        <v>160</v>
      </c>
    </row>
    <row r="3627" spans="1:15" hidden="1" x14ac:dyDescent="0.3">
      <c r="A3627" s="26">
        <v>33</v>
      </c>
      <c r="B3627" s="20" t="str">
        <f t="shared" si="112"/>
        <v>AUG</v>
      </c>
      <c r="C3627" s="21">
        <v>46249</v>
      </c>
      <c r="D3627" s="22" t="str">
        <f>IFERROR(INDEX('Kode Outlet dan Target Toko'!$A:$A,MATCH($I3627,'Kode Outlet dan Target Toko'!$E:$E,0)),"")</f>
        <v>GRSM 1</v>
      </c>
      <c r="E3627" s="20" t="str">
        <f>IFERROR(VLOOKUP(I3627,KET!$B:$F,4,0),"")</f>
        <v>AFNITA SARI</v>
      </c>
      <c r="F3627" s="20" t="str">
        <f>IFERROR(VLOOKUP(I3627,KET!$B:$F,5,0),"")</f>
        <v>MT</v>
      </c>
      <c r="G3627" s="20">
        <f>IFERROR(INDEX('Kode Outlet dan Target Toko'!$C:$C,MATCH($I3627,'Kode Outlet dan Target Toko'!$E:$E,0)),0)</f>
        <v>122506</v>
      </c>
      <c r="H3627" s="20">
        <f>IFERROR(INDEX('Kode Outlet dan Target Toko'!$D:$D,MATCH($I3627,'Kode Outlet dan Target Toko'!$E:$E,0)),0)</f>
        <v>214422</v>
      </c>
      <c r="I3627" s="42" t="s">
        <v>72</v>
      </c>
      <c r="J3627" s="56" t="s">
        <v>294</v>
      </c>
      <c r="K3627" s="40" t="s">
        <v>15</v>
      </c>
      <c r="L3627" s="26">
        <v>3200</v>
      </c>
      <c r="M3627" s="26">
        <v>46</v>
      </c>
      <c r="N3627" s="25">
        <f t="shared" si="113"/>
        <v>147200</v>
      </c>
      <c r="O3627" s="56"/>
    </row>
    <row r="3628" spans="1:15" hidden="1" x14ac:dyDescent="0.3">
      <c r="A3628" s="26">
        <v>33</v>
      </c>
      <c r="B3628" s="20" t="str">
        <f t="shared" si="112"/>
        <v>AUG</v>
      </c>
      <c r="C3628" s="21">
        <v>46249</v>
      </c>
      <c r="D3628" s="22" t="str">
        <f>IFERROR(INDEX('Kode Outlet dan Target Toko'!$A:$A,MATCH($I3628,'Kode Outlet dan Target Toko'!$E:$E,0)),"")</f>
        <v>GRSM 1</v>
      </c>
      <c r="E3628" s="20" t="str">
        <f>IFERROR(VLOOKUP(I3628,KET!$B:$F,4,0),"")</f>
        <v>AFNITA SARI</v>
      </c>
      <c r="F3628" s="20" t="str">
        <f>IFERROR(VLOOKUP(I3628,KET!$B:$F,5,0),"")</f>
        <v>MT</v>
      </c>
      <c r="G3628" s="20">
        <f>IFERROR(INDEX('Kode Outlet dan Target Toko'!$C:$C,MATCH($I3628,'Kode Outlet dan Target Toko'!$E:$E,0)),0)</f>
        <v>122506</v>
      </c>
      <c r="H3628" s="20">
        <f>IFERROR(INDEX('Kode Outlet dan Target Toko'!$D:$D,MATCH($I3628,'Kode Outlet dan Target Toko'!$E:$E,0)),0)</f>
        <v>214422</v>
      </c>
      <c r="I3628" s="42" t="s">
        <v>72</v>
      </c>
      <c r="J3628" s="56" t="s">
        <v>294</v>
      </c>
      <c r="K3628" s="40" t="s">
        <v>14</v>
      </c>
      <c r="L3628" s="26">
        <v>3200</v>
      </c>
      <c r="M3628" s="26">
        <v>98</v>
      </c>
      <c r="N3628" s="25">
        <f t="shared" si="113"/>
        <v>313600</v>
      </c>
      <c r="O3628" s="56"/>
    </row>
    <row r="3629" spans="1:15" hidden="1" x14ac:dyDescent="0.3">
      <c r="A3629" s="26">
        <v>33</v>
      </c>
      <c r="B3629" s="20" t="str">
        <f t="shared" si="112"/>
        <v>AUG</v>
      </c>
      <c r="C3629" s="21">
        <v>46249</v>
      </c>
      <c r="D3629" s="22" t="str">
        <f>IFERROR(INDEX('Kode Outlet dan Target Toko'!$A:$A,MATCH($I3629,'Kode Outlet dan Target Toko'!$E:$E,0)),"")</f>
        <v>GRSM 1</v>
      </c>
      <c r="E3629" s="20" t="str">
        <f>IFERROR(VLOOKUP(I3629,KET!$B:$F,4,0),"")</f>
        <v>AFNITA SARI</v>
      </c>
      <c r="F3629" s="20" t="str">
        <f>IFERROR(VLOOKUP(I3629,KET!$B:$F,5,0),"")</f>
        <v>MT</v>
      </c>
      <c r="G3629" s="20">
        <f>IFERROR(INDEX('Kode Outlet dan Target Toko'!$C:$C,MATCH($I3629,'Kode Outlet dan Target Toko'!$E:$E,0)),0)</f>
        <v>122506</v>
      </c>
      <c r="H3629" s="20">
        <f>IFERROR(INDEX('Kode Outlet dan Target Toko'!$D:$D,MATCH($I3629,'Kode Outlet dan Target Toko'!$E:$E,0)),0)</f>
        <v>214422</v>
      </c>
      <c r="I3629" s="42" t="s">
        <v>72</v>
      </c>
      <c r="J3629" s="56" t="s">
        <v>294</v>
      </c>
      <c r="K3629" s="40" t="s">
        <v>13</v>
      </c>
      <c r="L3629" s="26">
        <v>3200</v>
      </c>
      <c r="M3629" s="26">
        <v>76</v>
      </c>
      <c r="N3629" s="25">
        <f t="shared" si="113"/>
        <v>243200</v>
      </c>
      <c r="O3629" s="56"/>
    </row>
    <row r="3630" spans="1:15" hidden="1" x14ac:dyDescent="0.3">
      <c r="A3630" s="26">
        <v>33</v>
      </c>
      <c r="B3630" s="20" t="str">
        <f t="shared" si="112"/>
        <v>AUG</v>
      </c>
      <c r="C3630" s="21">
        <v>46249</v>
      </c>
      <c r="D3630" s="22" t="str">
        <f>IFERROR(INDEX('Kode Outlet dan Target Toko'!$A:$A,MATCH($I3630,'Kode Outlet dan Target Toko'!$E:$E,0)),"")</f>
        <v>GRSM 1</v>
      </c>
      <c r="E3630" s="20" t="str">
        <f>IFERROR(VLOOKUP(I3630,KET!$B:$F,4,0),"")</f>
        <v>AFNITA SARI</v>
      </c>
      <c r="F3630" s="20" t="str">
        <f>IFERROR(VLOOKUP(I3630,KET!$B:$F,5,0),"")</f>
        <v>MT</v>
      </c>
      <c r="G3630" s="20">
        <f>IFERROR(INDEX('Kode Outlet dan Target Toko'!$C:$C,MATCH($I3630,'Kode Outlet dan Target Toko'!$E:$E,0)),0)</f>
        <v>122506</v>
      </c>
      <c r="H3630" s="20">
        <f>IFERROR(INDEX('Kode Outlet dan Target Toko'!$D:$D,MATCH($I3630,'Kode Outlet dan Target Toko'!$E:$E,0)),0)</f>
        <v>214422</v>
      </c>
      <c r="I3630" s="42" t="s">
        <v>72</v>
      </c>
      <c r="J3630" s="56" t="s">
        <v>294</v>
      </c>
      <c r="K3630" s="40" t="s">
        <v>16</v>
      </c>
      <c r="L3630" s="26">
        <v>3200</v>
      </c>
      <c r="M3630" s="26">
        <v>122</v>
      </c>
      <c r="N3630" s="25">
        <f t="shared" si="113"/>
        <v>390400</v>
      </c>
      <c r="O3630" s="56">
        <v>160</v>
      </c>
    </row>
    <row r="3631" spans="1:15" hidden="1" x14ac:dyDescent="0.3">
      <c r="A3631" s="26">
        <v>33</v>
      </c>
      <c r="B3631" s="20" t="str">
        <f t="shared" si="112"/>
        <v>AUG</v>
      </c>
      <c r="C3631" s="21">
        <v>46249</v>
      </c>
      <c r="D3631" s="22" t="str">
        <f>IFERROR(INDEX('Kode Outlet dan Target Toko'!$A:$A,MATCH($I3631,'Kode Outlet dan Target Toko'!$E:$E,0)),"")</f>
        <v>GRSM 1</v>
      </c>
      <c r="E3631" s="20" t="str">
        <f>IFERROR(VLOOKUP(I3631,KET!$B:$F,4,0),"")</f>
        <v>AFNITA SARI</v>
      </c>
      <c r="F3631" s="20" t="str">
        <f>IFERROR(VLOOKUP(I3631,KET!$B:$F,5,0),"")</f>
        <v>MT</v>
      </c>
      <c r="G3631" s="20">
        <f>IFERROR(INDEX('Kode Outlet dan Target Toko'!$C:$C,MATCH($I3631,'Kode Outlet dan Target Toko'!$E:$E,0)),0)</f>
        <v>122506</v>
      </c>
      <c r="H3631" s="20">
        <f>IFERROR(INDEX('Kode Outlet dan Target Toko'!$D:$D,MATCH($I3631,'Kode Outlet dan Target Toko'!$E:$E,0)),0)</f>
        <v>214422</v>
      </c>
      <c r="I3631" s="42" t="s">
        <v>72</v>
      </c>
      <c r="J3631" s="56" t="s">
        <v>293</v>
      </c>
      <c r="K3631" s="40" t="s">
        <v>15</v>
      </c>
      <c r="L3631" s="26">
        <v>3200</v>
      </c>
      <c r="M3631" s="26">
        <v>46</v>
      </c>
      <c r="N3631" s="25">
        <f t="shared" si="113"/>
        <v>147200</v>
      </c>
      <c r="O3631" s="56"/>
    </row>
    <row r="3632" spans="1:15" hidden="1" x14ac:dyDescent="0.3">
      <c r="A3632" s="26">
        <v>33</v>
      </c>
      <c r="B3632" s="20" t="str">
        <f t="shared" si="112"/>
        <v>AUG</v>
      </c>
      <c r="C3632" s="21">
        <v>46249</v>
      </c>
      <c r="D3632" s="22" t="str">
        <f>IFERROR(INDEX('Kode Outlet dan Target Toko'!$A:$A,MATCH($I3632,'Kode Outlet dan Target Toko'!$E:$E,0)),"")</f>
        <v>GRSM 1</v>
      </c>
      <c r="E3632" s="20" t="str">
        <f>IFERROR(VLOOKUP(I3632,KET!$B:$F,4,0),"")</f>
        <v>AFNITA SARI</v>
      </c>
      <c r="F3632" s="20" t="str">
        <f>IFERROR(VLOOKUP(I3632,KET!$B:$F,5,0),"")</f>
        <v>MT</v>
      </c>
      <c r="G3632" s="20">
        <f>IFERROR(INDEX('Kode Outlet dan Target Toko'!$C:$C,MATCH($I3632,'Kode Outlet dan Target Toko'!$E:$E,0)),0)</f>
        <v>122506</v>
      </c>
      <c r="H3632" s="20">
        <f>IFERROR(INDEX('Kode Outlet dan Target Toko'!$D:$D,MATCH($I3632,'Kode Outlet dan Target Toko'!$E:$E,0)),0)</f>
        <v>214422</v>
      </c>
      <c r="I3632" s="42" t="s">
        <v>72</v>
      </c>
      <c r="J3632" s="56" t="s">
        <v>293</v>
      </c>
      <c r="K3632" s="40" t="s">
        <v>14</v>
      </c>
      <c r="L3632" s="26">
        <v>3200</v>
      </c>
      <c r="M3632" s="26">
        <v>98</v>
      </c>
      <c r="N3632" s="25">
        <f t="shared" si="113"/>
        <v>313600</v>
      </c>
      <c r="O3632" s="56"/>
    </row>
    <row r="3633" spans="1:15" hidden="1" x14ac:dyDescent="0.3">
      <c r="A3633" s="26">
        <v>33</v>
      </c>
      <c r="B3633" s="20" t="str">
        <f t="shared" si="112"/>
        <v>AUG</v>
      </c>
      <c r="C3633" s="21">
        <v>46249</v>
      </c>
      <c r="D3633" s="22" t="str">
        <f>IFERROR(INDEX('Kode Outlet dan Target Toko'!$A:$A,MATCH($I3633,'Kode Outlet dan Target Toko'!$E:$E,0)),"")</f>
        <v>GRSM 1</v>
      </c>
      <c r="E3633" s="20" t="str">
        <f>IFERROR(VLOOKUP(I3633,KET!$B:$F,4,0),"")</f>
        <v>AFNITA SARI</v>
      </c>
      <c r="F3633" s="20" t="str">
        <f>IFERROR(VLOOKUP(I3633,KET!$B:$F,5,0),"")</f>
        <v>MT</v>
      </c>
      <c r="G3633" s="20">
        <f>IFERROR(INDEX('Kode Outlet dan Target Toko'!$C:$C,MATCH($I3633,'Kode Outlet dan Target Toko'!$E:$E,0)),0)</f>
        <v>122506</v>
      </c>
      <c r="H3633" s="20">
        <f>IFERROR(INDEX('Kode Outlet dan Target Toko'!$D:$D,MATCH($I3633,'Kode Outlet dan Target Toko'!$E:$E,0)),0)</f>
        <v>214422</v>
      </c>
      <c r="I3633" s="42" t="s">
        <v>72</v>
      </c>
      <c r="J3633" s="56" t="s">
        <v>293</v>
      </c>
      <c r="K3633" s="40" t="s">
        <v>13</v>
      </c>
      <c r="L3633" s="26">
        <v>3200</v>
      </c>
      <c r="M3633" s="26">
        <v>76</v>
      </c>
      <c r="N3633" s="25">
        <f t="shared" si="113"/>
        <v>243200</v>
      </c>
      <c r="O3633" s="56"/>
    </row>
    <row r="3634" spans="1:15" hidden="1" x14ac:dyDescent="0.3">
      <c r="A3634" s="26">
        <v>33</v>
      </c>
      <c r="B3634" s="20" t="str">
        <f t="shared" si="112"/>
        <v>AUG</v>
      </c>
      <c r="C3634" s="21">
        <v>46249</v>
      </c>
      <c r="D3634" s="22" t="str">
        <f>IFERROR(INDEX('Kode Outlet dan Target Toko'!$A:$A,MATCH($I3634,'Kode Outlet dan Target Toko'!$E:$E,0)),"")</f>
        <v>GRSM 1</v>
      </c>
      <c r="E3634" s="20" t="str">
        <f>IFERROR(VLOOKUP(I3634,KET!$B:$F,4,0),"")</f>
        <v>AFNITA SARI</v>
      </c>
      <c r="F3634" s="20" t="str">
        <f>IFERROR(VLOOKUP(I3634,KET!$B:$F,5,0),"")</f>
        <v>MT</v>
      </c>
      <c r="G3634" s="20">
        <f>IFERROR(INDEX('Kode Outlet dan Target Toko'!$C:$C,MATCH($I3634,'Kode Outlet dan Target Toko'!$E:$E,0)),0)</f>
        <v>122506</v>
      </c>
      <c r="H3634" s="20">
        <f>IFERROR(INDEX('Kode Outlet dan Target Toko'!$D:$D,MATCH($I3634,'Kode Outlet dan Target Toko'!$E:$E,0)),0)</f>
        <v>214422</v>
      </c>
      <c r="I3634" s="42" t="s">
        <v>72</v>
      </c>
      <c r="J3634" s="56" t="s">
        <v>293</v>
      </c>
      <c r="K3634" s="40" t="s">
        <v>16</v>
      </c>
      <c r="L3634" s="26">
        <v>3200</v>
      </c>
      <c r="M3634" s="26">
        <v>122</v>
      </c>
      <c r="N3634" s="25">
        <f t="shared" si="113"/>
        <v>390400</v>
      </c>
      <c r="O3634" s="56">
        <v>160</v>
      </c>
    </row>
    <row r="3635" spans="1:15" hidden="1" x14ac:dyDescent="0.3">
      <c r="A3635" s="26">
        <v>33</v>
      </c>
      <c r="B3635" s="20" t="str">
        <f t="shared" si="112"/>
        <v>AUG</v>
      </c>
      <c r="C3635" s="21">
        <v>46250</v>
      </c>
      <c r="D3635" s="22" t="str">
        <f>IFERROR(INDEX('Kode Outlet dan Target Toko'!$A:$A,MATCH($I3635,'Kode Outlet dan Target Toko'!$E:$E,0)),"")</f>
        <v>GRSM 1</v>
      </c>
      <c r="E3635" s="20" t="str">
        <f>IFERROR(VLOOKUP(I3635,KET!$B:$F,4,0),"")</f>
        <v>AFNITA SARI</v>
      </c>
      <c r="F3635" s="20" t="str">
        <f>IFERROR(VLOOKUP(I3635,KET!$B:$F,5,0),"")</f>
        <v>MT</v>
      </c>
      <c r="G3635" s="20">
        <f>IFERROR(INDEX('Kode Outlet dan Target Toko'!$C:$C,MATCH($I3635,'Kode Outlet dan Target Toko'!$E:$E,0)),0)</f>
        <v>122506</v>
      </c>
      <c r="H3635" s="20">
        <f>IFERROR(INDEX('Kode Outlet dan Target Toko'!$D:$D,MATCH($I3635,'Kode Outlet dan Target Toko'!$E:$E,0)),0)</f>
        <v>202879</v>
      </c>
      <c r="I3635" s="42" t="s">
        <v>70</v>
      </c>
      <c r="J3635" s="56" t="s">
        <v>289</v>
      </c>
      <c r="K3635" s="40" t="s">
        <v>15</v>
      </c>
      <c r="L3635" s="26">
        <v>6400</v>
      </c>
      <c r="M3635" s="26">
        <v>106</v>
      </c>
      <c r="N3635" s="25">
        <f t="shared" si="113"/>
        <v>678400</v>
      </c>
      <c r="O3635" s="56"/>
    </row>
    <row r="3636" spans="1:15" hidden="1" x14ac:dyDescent="0.3">
      <c r="A3636" s="26">
        <v>33</v>
      </c>
      <c r="B3636" s="20" t="str">
        <f t="shared" si="112"/>
        <v>AUG</v>
      </c>
      <c r="C3636" s="21">
        <v>46250</v>
      </c>
      <c r="D3636" s="22" t="str">
        <f>IFERROR(INDEX('Kode Outlet dan Target Toko'!$A:$A,MATCH($I3636,'Kode Outlet dan Target Toko'!$E:$E,0)),"")</f>
        <v>GRSM 1</v>
      </c>
      <c r="E3636" s="20" t="str">
        <f>IFERROR(VLOOKUP(I3636,KET!$B:$F,4,0),"")</f>
        <v>AFNITA SARI</v>
      </c>
      <c r="F3636" s="20" t="str">
        <f>IFERROR(VLOOKUP(I3636,KET!$B:$F,5,0),"")</f>
        <v>MT</v>
      </c>
      <c r="G3636" s="20">
        <f>IFERROR(INDEX('Kode Outlet dan Target Toko'!$C:$C,MATCH($I3636,'Kode Outlet dan Target Toko'!$E:$E,0)),0)</f>
        <v>122506</v>
      </c>
      <c r="H3636" s="20">
        <f>IFERROR(INDEX('Kode Outlet dan Target Toko'!$D:$D,MATCH($I3636,'Kode Outlet dan Target Toko'!$E:$E,0)),0)</f>
        <v>202879</v>
      </c>
      <c r="I3636" s="42" t="s">
        <v>70</v>
      </c>
      <c r="J3636" s="56" t="s">
        <v>289</v>
      </c>
      <c r="K3636" s="40" t="s">
        <v>14</v>
      </c>
      <c r="L3636" s="26">
        <v>6400</v>
      </c>
      <c r="M3636" s="26">
        <v>89</v>
      </c>
      <c r="N3636" s="25">
        <f t="shared" si="113"/>
        <v>569600</v>
      </c>
      <c r="O3636" s="56"/>
    </row>
    <row r="3637" spans="1:15" hidden="1" x14ac:dyDescent="0.3">
      <c r="A3637" s="26">
        <v>33</v>
      </c>
      <c r="B3637" s="20" t="str">
        <f t="shared" si="112"/>
        <v>AUG</v>
      </c>
      <c r="C3637" s="21">
        <v>46250</v>
      </c>
      <c r="D3637" s="22" t="str">
        <f>IFERROR(INDEX('Kode Outlet dan Target Toko'!$A:$A,MATCH($I3637,'Kode Outlet dan Target Toko'!$E:$E,0)),"")</f>
        <v>GRSM 1</v>
      </c>
      <c r="E3637" s="20" t="str">
        <f>IFERROR(VLOOKUP(I3637,KET!$B:$F,4,0),"")</f>
        <v>AFNITA SARI</v>
      </c>
      <c r="F3637" s="20" t="str">
        <f>IFERROR(VLOOKUP(I3637,KET!$B:$F,5,0),"")</f>
        <v>MT</v>
      </c>
      <c r="G3637" s="20">
        <f>IFERROR(INDEX('Kode Outlet dan Target Toko'!$C:$C,MATCH($I3637,'Kode Outlet dan Target Toko'!$E:$E,0)),0)</f>
        <v>122506</v>
      </c>
      <c r="H3637" s="20">
        <f>IFERROR(INDEX('Kode Outlet dan Target Toko'!$D:$D,MATCH($I3637,'Kode Outlet dan Target Toko'!$E:$E,0)),0)</f>
        <v>202879</v>
      </c>
      <c r="I3637" s="42" t="s">
        <v>70</v>
      </c>
      <c r="J3637" s="56" t="s">
        <v>289</v>
      </c>
      <c r="K3637" s="40" t="s">
        <v>13</v>
      </c>
      <c r="L3637" s="26">
        <v>6400</v>
      </c>
      <c r="M3637" s="26">
        <v>34</v>
      </c>
      <c r="N3637" s="25">
        <f t="shared" si="113"/>
        <v>217600</v>
      </c>
      <c r="O3637" s="56"/>
    </row>
    <row r="3638" spans="1:15" hidden="1" x14ac:dyDescent="0.3">
      <c r="A3638" s="26">
        <v>33</v>
      </c>
      <c r="B3638" s="20" t="str">
        <f t="shared" si="112"/>
        <v>AUG</v>
      </c>
      <c r="C3638" s="21">
        <v>46250</v>
      </c>
      <c r="D3638" s="22" t="str">
        <f>IFERROR(INDEX('Kode Outlet dan Target Toko'!$A:$A,MATCH($I3638,'Kode Outlet dan Target Toko'!$E:$E,0)),"")</f>
        <v>GRSM 1</v>
      </c>
      <c r="E3638" s="20" t="str">
        <f>IFERROR(VLOOKUP(I3638,KET!$B:$F,4,0),"")</f>
        <v>AFNITA SARI</v>
      </c>
      <c r="F3638" s="20" t="str">
        <f>IFERROR(VLOOKUP(I3638,KET!$B:$F,5,0),"")</f>
        <v>MT</v>
      </c>
      <c r="G3638" s="20">
        <f>IFERROR(INDEX('Kode Outlet dan Target Toko'!$C:$C,MATCH($I3638,'Kode Outlet dan Target Toko'!$E:$E,0)),0)</f>
        <v>122506</v>
      </c>
      <c r="H3638" s="20">
        <f>IFERROR(INDEX('Kode Outlet dan Target Toko'!$D:$D,MATCH($I3638,'Kode Outlet dan Target Toko'!$E:$E,0)),0)</f>
        <v>202879</v>
      </c>
      <c r="I3638" s="42" t="s">
        <v>70</v>
      </c>
      <c r="J3638" s="56" t="s">
        <v>289</v>
      </c>
      <c r="K3638" s="40" t="s">
        <v>16</v>
      </c>
      <c r="L3638" s="26">
        <v>6400</v>
      </c>
      <c r="M3638" s="26">
        <v>160</v>
      </c>
      <c r="N3638" s="25">
        <f t="shared" si="113"/>
        <v>1024000</v>
      </c>
      <c r="O3638" s="56">
        <v>160</v>
      </c>
    </row>
    <row r="3639" spans="1:15" hidden="1" x14ac:dyDescent="0.3">
      <c r="A3639" s="26">
        <v>33</v>
      </c>
      <c r="B3639" s="20" t="str">
        <f t="shared" si="112"/>
        <v>AUG</v>
      </c>
      <c r="C3639" s="21">
        <v>46250</v>
      </c>
      <c r="D3639" s="22" t="str">
        <f>IFERROR(INDEX('Kode Outlet dan Target Toko'!$A:$A,MATCH($I3639,'Kode Outlet dan Target Toko'!$E:$E,0)),"")</f>
        <v>GRSM 1</v>
      </c>
      <c r="E3639" s="20" t="str">
        <f>IFERROR(VLOOKUP(I3639,KET!$B:$F,4,0),"")</f>
        <v>AFNITA SARI</v>
      </c>
      <c r="F3639" s="20" t="str">
        <f>IFERROR(VLOOKUP(I3639,KET!$B:$F,5,0),"")</f>
        <v>MT</v>
      </c>
      <c r="G3639" s="20">
        <f>IFERROR(INDEX('Kode Outlet dan Target Toko'!$C:$C,MATCH($I3639,'Kode Outlet dan Target Toko'!$E:$E,0)),0)</f>
        <v>122506</v>
      </c>
      <c r="H3639" s="20">
        <f>IFERROR(INDEX('Kode Outlet dan Target Toko'!$D:$D,MATCH($I3639,'Kode Outlet dan Target Toko'!$E:$E,0)),0)</f>
        <v>202879</v>
      </c>
      <c r="I3639" s="42" t="s">
        <v>70</v>
      </c>
      <c r="J3639" s="56" t="s">
        <v>290</v>
      </c>
      <c r="K3639" s="40" t="s">
        <v>15</v>
      </c>
      <c r="L3639" s="26">
        <v>6400</v>
      </c>
      <c r="M3639" s="26">
        <v>106</v>
      </c>
      <c r="N3639" s="25">
        <f t="shared" si="113"/>
        <v>678400</v>
      </c>
      <c r="O3639" s="56"/>
    </row>
    <row r="3640" spans="1:15" hidden="1" x14ac:dyDescent="0.3">
      <c r="A3640" s="26">
        <v>33</v>
      </c>
      <c r="B3640" s="20" t="str">
        <f t="shared" si="112"/>
        <v>AUG</v>
      </c>
      <c r="C3640" s="21">
        <v>46250</v>
      </c>
      <c r="D3640" s="22" t="str">
        <f>IFERROR(INDEX('Kode Outlet dan Target Toko'!$A:$A,MATCH($I3640,'Kode Outlet dan Target Toko'!$E:$E,0)),"")</f>
        <v>GRSM 1</v>
      </c>
      <c r="E3640" s="20" t="str">
        <f>IFERROR(VLOOKUP(I3640,KET!$B:$F,4,0),"")</f>
        <v>AFNITA SARI</v>
      </c>
      <c r="F3640" s="20" t="str">
        <f>IFERROR(VLOOKUP(I3640,KET!$B:$F,5,0),"")</f>
        <v>MT</v>
      </c>
      <c r="G3640" s="20">
        <f>IFERROR(INDEX('Kode Outlet dan Target Toko'!$C:$C,MATCH($I3640,'Kode Outlet dan Target Toko'!$E:$E,0)),0)</f>
        <v>122506</v>
      </c>
      <c r="H3640" s="20">
        <f>IFERROR(INDEX('Kode Outlet dan Target Toko'!$D:$D,MATCH($I3640,'Kode Outlet dan Target Toko'!$E:$E,0)),0)</f>
        <v>202879</v>
      </c>
      <c r="I3640" s="42" t="s">
        <v>70</v>
      </c>
      <c r="J3640" s="56" t="s">
        <v>290</v>
      </c>
      <c r="K3640" s="40" t="s">
        <v>14</v>
      </c>
      <c r="L3640" s="26">
        <v>6400</v>
      </c>
      <c r="M3640" s="26">
        <v>89</v>
      </c>
      <c r="N3640" s="25">
        <f t="shared" si="113"/>
        <v>569600</v>
      </c>
      <c r="O3640" s="56"/>
    </row>
    <row r="3641" spans="1:15" hidden="1" x14ac:dyDescent="0.3">
      <c r="A3641" s="26">
        <v>33</v>
      </c>
      <c r="B3641" s="20" t="str">
        <f t="shared" si="112"/>
        <v>AUG</v>
      </c>
      <c r="C3641" s="21">
        <v>46250</v>
      </c>
      <c r="D3641" s="22" t="str">
        <f>IFERROR(INDEX('Kode Outlet dan Target Toko'!$A:$A,MATCH($I3641,'Kode Outlet dan Target Toko'!$E:$E,0)),"")</f>
        <v>GRSM 1</v>
      </c>
      <c r="E3641" s="20" t="str">
        <f>IFERROR(VLOOKUP(I3641,KET!$B:$F,4,0),"")</f>
        <v>AFNITA SARI</v>
      </c>
      <c r="F3641" s="20" t="str">
        <f>IFERROR(VLOOKUP(I3641,KET!$B:$F,5,0),"")</f>
        <v>MT</v>
      </c>
      <c r="G3641" s="20">
        <f>IFERROR(INDEX('Kode Outlet dan Target Toko'!$C:$C,MATCH($I3641,'Kode Outlet dan Target Toko'!$E:$E,0)),0)</f>
        <v>122506</v>
      </c>
      <c r="H3641" s="20">
        <f>IFERROR(INDEX('Kode Outlet dan Target Toko'!$D:$D,MATCH($I3641,'Kode Outlet dan Target Toko'!$E:$E,0)),0)</f>
        <v>202879</v>
      </c>
      <c r="I3641" s="42" t="s">
        <v>70</v>
      </c>
      <c r="J3641" s="56" t="s">
        <v>290</v>
      </c>
      <c r="K3641" s="40" t="s">
        <v>13</v>
      </c>
      <c r="L3641" s="26">
        <v>6400</v>
      </c>
      <c r="M3641" s="26">
        <v>34</v>
      </c>
      <c r="N3641" s="25">
        <f t="shared" si="113"/>
        <v>217600</v>
      </c>
      <c r="O3641" s="56"/>
    </row>
    <row r="3642" spans="1:15" hidden="1" x14ac:dyDescent="0.3">
      <c r="A3642" s="26">
        <v>33</v>
      </c>
      <c r="B3642" s="20" t="str">
        <f t="shared" si="112"/>
        <v>AUG</v>
      </c>
      <c r="C3642" s="21">
        <v>46250</v>
      </c>
      <c r="D3642" s="22" t="str">
        <f>IFERROR(INDEX('Kode Outlet dan Target Toko'!$A:$A,MATCH($I3642,'Kode Outlet dan Target Toko'!$E:$E,0)),"")</f>
        <v>GRSM 1</v>
      </c>
      <c r="E3642" s="20" t="str">
        <f>IFERROR(VLOOKUP(I3642,KET!$B:$F,4,0),"")</f>
        <v>AFNITA SARI</v>
      </c>
      <c r="F3642" s="20" t="str">
        <f>IFERROR(VLOOKUP(I3642,KET!$B:$F,5,0),"")</f>
        <v>MT</v>
      </c>
      <c r="G3642" s="20">
        <f>IFERROR(INDEX('Kode Outlet dan Target Toko'!$C:$C,MATCH($I3642,'Kode Outlet dan Target Toko'!$E:$E,0)),0)</f>
        <v>122506</v>
      </c>
      <c r="H3642" s="20">
        <f>IFERROR(INDEX('Kode Outlet dan Target Toko'!$D:$D,MATCH($I3642,'Kode Outlet dan Target Toko'!$E:$E,0)),0)</f>
        <v>202879</v>
      </c>
      <c r="I3642" s="42" t="s">
        <v>70</v>
      </c>
      <c r="J3642" s="56" t="s">
        <v>290</v>
      </c>
      <c r="K3642" s="40" t="s">
        <v>16</v>
      </c>
      <c r="L3642" s="26">
        <v>6400</v>
      </c>
      <c r="M3642" s="26">
        <v>160</v>
      </c>
      <c r="N3642" s="25">
        <f t="shared" si="113"/>
        <v>1024000</v>
      </c>
      <c r="O3642" s="56">
        <v>160</v>
      </c>
    </row>
    <row r="3643" spans="1:15" hidden="1" x14ac:dyDescent="0.3">
      <c r="A3643" s="26">
        <v>33</v>
      </c>
      <c r="B3643" s="20" t="str">
        <f t="shared" si="112"/>
        <v>AUG</v>
      </c>
      <c r="C3643" s="21">
        <v>46250</v>
      </c>
      <c r="D3643" s="22" t="str">
        <f>IFERROR(INDEX('Kode Outlet dan Target Toko'!$A:$A,MATCH($I3643,'Kode Outlet dan Target Toko'!$E:$E,0)),"")</f>
        <v>GRSM 1</v>
      </c>
      <c r="E3643" s="20" t="str">
        <f>IFERROR(VLOOKUP(I3643,KET!$B:$F,4,0),"")</f>
        <v>AFNITA SARI</v>
      </c>
      <c r="F3643" s="20" t="str">
        <f>IFERROR(VLOOKUP(I3643,KET!$B:$F,5,0),"")</f>
        <v>MT</v>
      </c>
      <c r="G3643" s="20">
        <f>IFERROR(INDEX('Kode Outlet dan Target Toko'!$C:$C,MATCH($I3643,'Kode Outlet dan Target Toko'!$E:$E,0)),0)</f>
        <v>122506</v>
      </c>
      <c r="H3643" s="20">
        <f>IFERROR(INDEX('Kode Outlet dan Target Toko'!$D:$D,MATCH($I3643,'Kode Outlet dan Target Toko'!$E:$E,0)),0)</f>
        <v>202816</v>
      </c>
      <c r="I3643" s="42" t="s">
        <v>71</v>
      </c>
      <c r="J3643" s="56" t="s">
        <v>295</v>
      </c>
      <c r="K3643" s="40" t="s">
        <v>15</v>
      </c>
      <c r="L3643" s="26">
        <v>7000</v>
      </c>
      <c r="M3643" s="26">
        <v>37</v>
      </c>
      <c r="N3643" s="25">
        <f t="shared" si="113"/>
        <v>259000</v>
      </c>
      <c r="O3643" s="56"/>
    </row>
    <row r="3644" spans="1:15" hidden="1" x14ac:dyDescent="0.3">
      <c r="A3644" s="26">
        <v>33</v>
      </c>
      <c r="B3644" s="20" t="str">
        <f t="shared" si="112"/>
        <v>AUG</v>
      </c>
      <c r="C3644" s="21">
        <v>46250</v>
      </c>
      <c r="D3644" s="22" t="str">
        <f>IFERROR(INDEX('Kode Outlet dan Target Toko'!$A:$A,MATCH($I3644,'Kode Outlet dan Target Toko'!$E:$E,0)),"")</f>
        <v>GRSM 1</v>
      </c>
      <c r="E3644" s="20" t="str">
        <f>IFERROR(VLOOKUP(I3644,KET!$B:$F,4,0),"")</f>
        <v>AFNITA SARI</v>
      </c>
      <c r="F3644" s="20" t="str">
        <f>IFERROR(VLOOKUP(I3644,KET!$B:$F,5,0),"")</f>
        <v>MT</v>
      </c>
      <c r="G3644" s="20">
        <f>IFERROR(INDEX('Kode Outlet dan Target Toko'!$C:$C,MATCH($I3644,'Kode Outlet dan Target Toko'!$E:$E,0)),0)</f>
        <v>122506</v>
      </c>
      <c r="H3644" s="20">
        <f>IFERROR(INDEX('Kode Outlet dan Target Toko'!$D:$D,MATCH($I3644,'Kode Outlet dan Target Toko'!$E:$E,0)),0)</f>
        <v>202816</v>
      </c>
      <c r="I3644" s="42" t="s">
        <v>71</v>
      </c>
      <c r="J3644" s="56" t="s">
        <v>295</v>
      </c>
      <c r="K3644" s="40" t="s">
        <v>14</v>
      </c>
      <c r="L3644" s="26">
        <v>7000</v>
      </c>
      <c r="M3644" s="26">
        <v>47</v>
      </c>
      <c r="N3644" s="25">
        <f t="shared" si="113"/>
        <v>329000</v>
      </c>
      <c r="O3644" s="56"/>
    </row>
    <row r="3645" spans="1:15" hidden="1" x14ac:dyDescent="0.3">
      <c r="A3645" s="26">
        <v>33</v>
      </c>
      <c r="B3645" s="20" t="str">
        <f t="shared" si="112"/>
        <v>AUG</v>
      </c>
      <c r="C3645" s="21">
        <v>46250</v>
      </c>
      <c r="D3645" s="22" t="str">
        <f>IFERROR(INDEX('Kode Outlet dan Target Toko'!$A:$A,MATCH($I3645,'Kode Outlet dan Target Toko'!$E:$E,0)),"")</f>
        <v>GRSM 1</v>
      </c>
      <c r="E3645" s="20" t="str">
        <f>IFERROR(VLOOKUP(I3645,KET!$B:$F,4,0),"")</f>
        <v>AFNITA SARI</v>
      </c>
      <c r="F3645" s="20" t="str">
        <f>IFERROR(VLOOKUP(I3645,KET!$B:$F,5,0),"")</f>
        <v>MT</v>
      </c>
      <c r="G3645" s="20">
        <f>IFERROR(INDEX('Kode Outlet dan Target Toko'!$C:$C,MATCH($I3645,'Kode Outlet dan Target Toko'!$E:$E,0)),0)</f>
        <v>122506</v>
      </c>
      <c r="H3645" s="20">
        <f>IFERROR(INDEX('Kode Outlet dan Target Toko'!$D:$D,MATCH($I3645,'Kode Outlet dan Target Toko'!$E:$E,0)),0)</f>
        <v>202816</v>
      </c>
      <c r="I3645" s="42" t="s">
        <v>71</v>
      </c>
      <c r="J3645" s="56" t="s">
        <v>295</v>
      </c>
      <c r="K3645" s="40" t="s">
        <v>13</v>
      </c>
      <c r="L3645" s="26">
        <v>7000</v>
      </c>
      <c r="M3645" s="26">
        <v>20</v>
      </c>
      <c r="N3645" s="25">
        <f t="shared" si="113"/>
        <v>140000</v>
      </c>
      <c r="O3645" s="56"/>
    </row>
    <row r="3646" spans="1:15" hidden="1" x14ac:dyDescent="0.3">
      <c r="A3646" s="26">
        <v>33</v>
      </c>
      <c r="B3646" s="20" t="str">
        <f t="shared" si="112"/>
        <v>AUG</v>
      </c>
      <c r="C3646" s="21">
        <v>46250</v>
      </c>
      <c r="D3646" s="22" t="str">
        <f>IFERROR(INDEX('Kode Outlet dan Target Toko'!$A:$A,MATCH($I3646,'Kode Outlet dan Target Toko'!$E:$E,0)),"")</f>
        <v>GRSM 1</v>
      </c>
      <c r="E3646" s="20" t="str">
        <f>IFERROR(VLOOKUP(I3646,KET!$B:$F,4,0),"")</f>
        <v>AFNITA SARI</v>
      </c>
      <c r="F3646" s="20" t="str">
        <f>IFERROR(VLOOKUP(I3646,KET!$B:$F,5,0),"")</f>
        <v>MT</v>
      </c>
      <c r="G3646" s="20">
        <f>IFERROR(INDEX('Kode Outlet dan Target Toko'!$C:$C,MATCH($I3646,'Kode Outlet dan Target Toko'!$E:$E,0)),0)</f>
        <v>122506</v>
      </c>
      <c r="H3646" s="20">
        <f>IFERROR(INDEX('Kode Outlet dan Target Toko'!$D:$D,MATCH($I3646,'Kode Outlet dan Target Toko'!$E:$E,0)),0)</f>
        <v>202816</v>
      </c>
      <c r="I3646" s="42" t="s">
        <v>71</v>
      </c>
      <c r="J3646" s="56" t="s">
        <v>295</v>
      </c>
      <c r="K3646" s="40" t="s">
        <v>16</v>
      </c>
      <c r="L3646" s="26">
        <v>7000</v>
      </c>
      <c r="M3646" s="26">
        <v>69</v>
      </c>
      <c r="N3646" s="25">
        <f t="shared" si="113"/>
        <v>483000</v>
      </c>
      <c r="O3646" s="56">
        <v>160</v>
      </c>
    </row>
    <row r="3647" spans="1:15" hidden="1" x14ac:dyDescent="0.3">
      <c r="A3647" s="26">
        <v>33</v>
      </c>
      <c r="B3647" s="20" t="str">
        <f t="shared" si="112"/>
        <v>AUG</v>
      </c>
      <c r="C3647" s="21">
        <v>46250</v>
      </c>
      <c r="D3647" s="22" t="str">
        <f>IFERROR(INDEX('Kode Outlet dan Target Toko'!$A:$A,MATCH($I3647,'Kode Outlet dan Target Toko'!$E:$E,0)),"")</f>
        <v>GRSM 1</v>
      </c>
      <c r="E3647" s="20" t="str">
        <f>IFERROR(VLOOKUP(I3647,KET!$B:$F,4,0),"")</f>
        <v>AFNITA SARI</v>
      </c>
      <c r="F3647" s="20" t="str">
        <f>IFERROR(VLOOKUP(I3647,KET!$B:$F,5,0),"")</f>
        <v>MT</v>
      </c>
      <c r="G3647" s="20">
        <f>IFERROR(INDEX('Kode Outlet dan Target Toko'!$C:$C,MATCH($I3647,'Kode Outlet dan Target Toko'!$E:$E,0)),0)</f>
        <v>122506</v>
      </c>
      <c r="H3647" s="20">
        <f>IFERROR(INDEX('Kode Outlet dan Target Toko'!$D:$D,MATCH($I3647,'Kode Outlet dan Target Toko'!$E:$E,0)),0)</f>
        <v>202816</v>
      </c>
      <c r="I3647" s="42" t="s">
        <v>71</v>
      </c>
      <c r="J3647" s="56" t="s">
        <v>296</v>
      </c>
      <c r="K3647" s="40" t="s">
        <v>15</v>
      </c>
      <c r="L3647" s="26">
        <v>7000</v>
      </c>
      <c r="M3647" s="26">
        <v>37</v>
      </c>
      <c r="N3647" s="25">
        <f t="shared" si="113"/>
        <v>259000</v>
      </c>
      <c r="O3647" s="56"/>
    </row>
    <row r="3648" spans="1:15" hidden="1" x14ac:dyDescent="0.3">
      <c r="A3648" s="26">
        <v>33</v>
      </c>
      <c r="B3648" s="20" t="str">
        <f t="shared" si="112"/>
        <v>AUG</v>
      </c>
      <c r="C3648" s="21">
        <v>46250</v>
      </c>
      <c r="D3648" s="22" t="str">
        <f>IFERROR(INDEX('Kode Outlet dan Target Toko'!$A:$A,MATCH($I3648,'Kode Outlet dan Target Toko'!$E:$E,0)),"")</f>
        <v>GRSM 1</v>
      </c>
      <c r="E3648" s="20" t="str">
        <f>IFERROR(VLOOKUP(I3648,KET!$B:$F,4,0),"")</f>
        <v>AFNITA SARI</v>
      </c>
      <c r="F3648" s="20" t="str">
        <f>IFERROR(VLOOKUP(I3648,KET!$B:$F,5,0),"")</f>
        <v>MT</v>
      </c>
      <c r="G3648" s="20">
        <f>IFERROR(INDEX('Kode Outlet dan Target Toko'!$C:$C,MATCH($I3648,'Kode Outlet dan Target Toko'!$E:$E,0)),0)</f>
        <v>122506</v>
      </c>
      <c r="H3648" s="20">
        <f>IFERROR(INDEX('Kode Outlet dan Target Toko'!$D:$D,MATCH($I3648,'Kode Outlet dan Target Toko'!$E:$E,0)),0)</f>
        <v>202816</v>
      </c>
      <c r="I3648" s="42" t="s">
        <v>71</v>
      </c>
      <c r="J3648" s="56" t="s">
        <v>296</v>
      </c>
      <c r="K3648" s="40" t="s">
        <v>14</v>
      </c>
      <c r="L3648" s="26">
        <v>7000</v>
      </c>
      <c r="M3648" s="26">
        <v>47</v>
      </c>
      <c r="N3648" s="25">
        <f t="shared" si="113"/>
        <v>329000</v>
      </c>
      <c r="O3648" s="56"/>
    </row>
    <row r="3649" spans="1:15" hidden="1" x14ac:dyDescent="0.3">
      <c r="A3649" s="26">
        <v>33</v>
      </c>
      <c r="B3649" s="20" t="str">
        <f t="shared" si="112"/>
        <v>AUG</v>
      </c>
      <c r="C3649" s="21">
        <v>46250</v>
      </c>
      <c r="D3649" s="22" t="str">
        <f>IFERROR(INDEX('Kode Outlet dan Target Toko'!$A:$A,MATCH($I3649,'Kode Outlet dan Target Toko'!$E:$E,0)),"")</f>
        <v>GRSM 1</v>
      </c>
      <c r="E3649" s="20" t="str">
        <f>IFERROR(VLOOKUP(I3649,KET!$B:$F,4,0),"")</f>
        <v>AFNITA SARI</v>
      </c>
      <c r="F3649" s="20" t="str">
        <f>IFERROR(VLOOKUP(I3649,KET!$B:$F,5,0),"")</f>
        <v>MT</v>
      </c>
      <c r="G3649" s="20">
        <f>IFERROR(INDEX('Kode Outlet dan Target Toko'!$C:$C,MATCH($I3649,'Kode Outlet dan Target Toko'!$E:$E,0)),0)</f>
        <v>122506</v>
      </c>
      <c r="H3649" s="20">
        <f>IFERROR(INDEX('Kode Outlet dan Target Toko'!$D:$D,MATCH($I3649,'Kode Outlet dan Target Toko'!$E:$E,0)),0)</f>
        <v>202816</v>
      </c>
      <c r="I3649" s="42" t="s">
        <v>71</v>
      </c>
      <c r="J3649" s="56" t="s">
        <v>296</v>
      </c>
      <c r="K3649" s="40" t="s">
        <v>13</v>
      </c>
      <c r="L3649" s="26">
        <v>7000</v>
      </c>
      <c r="M3649" s="26">
        <v>20</v>
      </c>
      <c r="N3649" s="25">
        <f t="shared" si="113"/>
        <v>140000</v>
      </c>
      <c r="O3649" s="56"/>
    </row>
    <row r="3650" spans="1:15" hidden="1" x14ac:dyDescent="0.3">
      <c r="A3650" s="26">
        <v>33</v>
      </c>
      <c r="B3650" s="20" t="str">
        <f t="shared" si="112"/>
        <v>AUG</v>
      </c>
      <c r="C3650" s="21">
        <v>46250</v>
      </c>
      <c r="D3650" s="22" t="str">
        <f>IFERROR(INDEX('Kode Outlet dan Target Toko'!$A:$A,MATCH($I3650,'Kode Outlet dan Target Toko'!$E:$E,0)),"")</f>
        <v>GRSM 1</v>
      </c>
      <c r="E3650" s="20" t="str">
        <f>IFERROR(VLOOKUP(I3650,KET!$B:$F,4,0),"")</f>
        <v>AFNITA SARI</v>
      </c>
      <c r="F3650" s="20" t="str">
        <f>IFERROR(VLOOKUP(I3650,KET!$B:$F,5,0),"")</f>
        <v>MT</v>
      </c>
      <c r="G3650" s="20">
        <f>IFERROR(INDEX('Kode Outlet dan Target Toko'!$C:$C,MATCH($I3650,'Kode Outlet dan Target Toko'!$E:$E,0)),0)</f>
        <v>122506</v>
      </c>
      <c r="H3650" s="20">
        <f>IFERROR(INDEX('Kode Outlet dan Target Toko'!$D:$D,MATCH($I3650,'Kode Outlet dan Target Toko'!$E:$E,0)),0)</f>
        <v>202816</v>
      </c>
      <c r="I3650" s="42" t="s">
        <v>71</v>
      </c>
      <c r="J3650" s="56" t="s">
        <v>296</v>
      </c>
      <c r="K3650" s="40" t="s">
        <v>16</v>
      </c>
      <c r="L3650" s="26">
        <v>7000</v>
      </c>
      <c r="M3650" s="26">
        <v>69</v>
      </c>
      <c r="N3650" s="25">
        <f t="shared" si="113"/>
        <v>483000</v>
      </c>
      <c r="O3650" s="56">
        <v>160</v>
      </c>
    </row>
    <row r="3651" spans="1:15" hidden="1" x14ac:dyDescent="0.3">
      <c r="A3651" s="26">
        <v>33</v>
      </c>
      <c r="B3651" s="20" t="str">
        <f t="shared" si="112"/>
        <v>AUG</v>
      </c>
      <c r="C3651" s="21">
        <v>46250</v>
      </c>
      <c r="D3651" s="22" t="str">
        <f>IFERROR(INDEX('Kode Outlet dan Target Toko'!$A:$A,MATCH($I3651,'Kode Outlet dan Target Toko'!$E:$E,0)),"")</f>
        <v>GRSM 1</v>
      </c>
      <c r="E3651" s="20" t="str">
        <f>IFERROR(VLOOKUP(I3651,KET!$B:$F,4,0),"")</f>
        <v>AFNITA SARI</v>
      </c>
      <c r="F3651" s="20" t="str">
        <f>IFERROR(VLOOKUP(I3651,KET!$B:$F,5,0),"")</f>
        <v>MT</v>
      </c>
      <c r="G3651" s="20">
        <f>IFERROR(INDEX('Kode Outlet dan Target Toko'!$C:$C,MATCH($I3651,'Kode Outlet dan Target Toko'!$E:$E,0)),0)</f>
        <v>122506</v>
      </c>
      <c r="H3651" s="20">
        <f>IFERROR(INDEX('Kode Outlet dan Target Toko'!$D:$D,MATCH($I3651,'Kode Outlet dan Target Toko'!$E:$E,0)),0)</f>
        <v>214422</v>
      </c>
      <c r="I3651" s="42" t="s">
        <v>72</v>
      </c>
      <c r="J3651" s="56" t="s">
        <v>294</v>
      </c>
      <c r="K3651" s="40" t="s">
        <v>15</v>
      </c>
      <c r="L3651" s="26">
        <v>3200</v>
      </c>
      <c r="M3651" s="26">
        <v>104</v>
      </c>
      <c r="N3651" s="25">
        <f t="shared" si="113"/>
        <v>332800</v>
      </c>
      <c r="O3651" s="56"/>
    </row>
    <row r="3652" spans="1:15" hidden="1" x14ac:dyDescent="0.3">
      <c r="A3652" s="26">
        <v>33</v>
      </c>
      <c r="B3652" s="20" t="str">
        <f t="shared" si="112"/>
        <v>AUG</v>
      </c>
      <c r="C3652" s="21">
        <v>46250</v>
      </c>
      <c r="D3652" s="22" t="str">
        <f>IFERROR(INDEX('Kode Outlet dan Target Toko'!$A:$A,MATCH($I3652,'Kode Outlet dan Target Toko'!$E:$E,0)),"")</f>
        <v>GRSM 1</v>
      </c>
      <c r="E3652" s="20" t="str">
        <f>IFERROR(VLOOKUP(I3652,KET!$B:$F,4,0),"")</f>
        <v>AFNITA SARI</v>
      </c>
      <c r="F3652" s="20" t="str">
        <f>IFERROR(VLOOKUP(I3652,KET!$B:$F,5,0),"")</f>
        <v>MT</v>
      </c>
      <c r="G3652" s="20">
        <f>IFERROR(INDEX('Kode Outlet dan Target Toko'!$C:$C,MATCH($I3652,'Kode Outlet dan Target Toko'!$E:$E,0)),0)</f>
        <v>122506</v>
      </c>
      <c r="H3652" s="20">
        <f>IFERROR(INDEX('Kode Outlet dan Target Toko'!$D:$D,MATCH($I3652,'Kode Outlet dan Target Toko'!$E:$E,0)),0)</f>
        <v>214422</v>
      </c>
      <c r="I3652" s="42" t="s">
        <v>72</v>
      </c>
      <c r="J3652" s="56" t="s">
        <v>294</v>
      </c>
      <c r="K3652" s="40" t="s">
        <v>14</v>
      </c>
      <c r="L3652" s="26">
        <v>3200</v>
      </c>
      <c r="M3652" s="26">
        <v>96</v>
      </c>
      <c r="N3652" s="25">
        <f t="shared" si="113"/>
        <v>307200</v>
      </c>
      <c r="O3652" s="56"/>
    </row>
    <row r="3653" spans="1:15" hidden="1" x14ac:dyDescent="0.3">
      <c r="A3653" s="26">
        <v>33</v>
      </c>
      <c r="B3653" s="20" t="str">
        <f t="shared" si="112"/>
        <v>AUG</v>
      </c>
      <c r="C3653" s="21">
        <v>46250</v>
      </c>
      <c r="D3653" s="22" t="str">
        <f>IFERROR(INDEX('Kode Outlet dan Target Toko'!$A:$A,MATCH($I3653,'Kode Outlet dan Target Toko'!$E:$E,0)),"")</f>
        <v>GRSM 1</v>
      </c>
      <c r="E3653" s="20" t="str">
        <f>IFERROR(VLOOKUP(I3653,KET!$B:$F,4,0),"")</f>
        <v>AFNITA SARI</v>
      </c>
      <c r="F3653" s="20" t="str">
        <f>IFERROR(VLOOKUP(I3653,KET!$B:$F,5,0),"")</f>
        <v>MT</v>
      </c>
      <c r="G3653" s="20">
        <f>IFERROR(INDEX('Kode Outlet dan Target Toko'!$C:$C,MATCH($I3653,'Kode Outlet dan Target Toko'!$E:$E,0)),0)</f>
        <v>122506</v>
      </c>
      <c r="H3653" s="20">
        <f>IFERROR(INDEX('Kode Outlet dan Target Toko'!$D:$D,MATCH($I3653,'Kode Outlet dan Target Toko'!$E:$E,0)),0)</f>
        <v>214422</v>
      </c>
      <c r="I3653" s="42" t="s">
        <v>72</v>
      </c>
      <c r="J3653" s="56" t="s">
        <v>294</v>
      </c>
      <c r="K3653" s="40" t="s">
        <v>13</v>
      </c>
      <c r="L3653" s="26">
        <v>3200</v>
      </c>
      <c r="M3653" s="26">
        <v>74</v>
      </c>
      <c r="N3653" s="25">
        <f t="shared" si="113"/>
        <v>236800</v>
      </c>
      <c r="O3653" s="56"/>
    </row>
    <row r="3654" spans="1:15" hidden="1" x14ac:dyDescent="0.3">
      <c r="A3654" s="26">
        <v>33</v>
      </c>
      <c r="B3654" s="20" t="str">
        <f t="shared" si="112"/>
        <v>AUG</v>
      </c>
      <c r="C3654" s="21">
        <v>46250</v>
      </c>
      <c r="D3654" s="22" t="str">
        <f>IFERROR(INDEX('Kode Outlet dan Target Toko'!$A:$A,MATCH($I3654,'Kode Outlet dan Target Toko'!$E:$E,0)),"")</f>
        <v>GRSM 1</v>
      </c>
      <c r="E3654" s="20" t="str">
        <f>IFERROR(VLOOKUP(I3654,KET!$B:$F,4,0),"")</f>
        <v>AFNITA SARI</v>
      </c>
      <c r="F3654" s="20" t="str">
        <f>IFERROR(VLOOKUP(I3654,KET!$B:$F,5,0),"")</f>
        <v>MT</v>
      </c>
      <c r="G3654" s="20">
        <f>IFERROR(INDEX('Kode Outlet dan Target Toko'!$C:$C,MATCH($I3654,'Kode Outlet dan Target Toko'!$E:$E,0)),0)</f>
        <v>122506</v>
      </c>
      <c r="H3654" s="20">
        <f>IFERROR(INDEX('Kode Outlet dan Target Toko'!$D:$D,MATCH($I3654,'Kode Outlet dan Target Toko'!$E:$E,0)),0)</f>
        <v>214422</v>
      </c>
      <c r="I3654" s="42" t="s">
        <v>72</v>
      </c>
      <c r="J3654" s="56" t="s">
        <v>294</v>
      </c>
      <c r="K3654" s="40" t="s">
        <v>16</v>
      </c>
      <c r="L3654" s="26">
        <v>3200</v>
      </c>
      <c r="M3654" s="26">
        <v>178</v>
      </c>
      <c r="N3654" s="25">
        <f t="shared" si="113"/>
        <v>569600</v>
      </c>
      <c r="O3654" s="56">
        <v>160</v>
      </c>
    </row>
    <row r="3655" spans="1:15" hidden="1" x14ac:dyDescent="0.3">
      <c r="A3655" s="26">
        <v>33</v>
      </c>
      <c r="B3655" s="20" t="str">
        <f t="shared" ref="B3655:B3718" si="114">IF(C3655="","",UPPER(TEXT(C3655, "MMM")))</f>
        <v>AUG</v>
      </c>
      <c r="C3655" s="21">
        <v>46250</v>
      </c>
      <c r="D3655" s="22" t="str">
        <f>IFERROR(INDEX('Kode Outlet dan Target Toko'!$A:$A,MATCH($I3655,'Kode Outlet dan Target Toko'!$E:$E,0)),"")</f>
        <v>GRSM 1</v>
      </c>
      <c r="E3655" s="20" t="str">
        <f>IFERROR(VLOOKUP(I3655,KET!$B:$F,4,0),"")</f>
        <v>AFNITA SARI</v>
      </c>
      <c r="F3655" s="20" t="str">
        <f>IFERROR(VLOOKUP(I3655,KET!$B:$F,5,0),"")</f>
        <v>MT</v>
      </c>
      <c r="G3655" s="20">
        <f>IFERROR(INDEX('Kode Outlet dan Target Toko'!$C:$C,MATCH($I3655,'Kode Outlet dan Target Toko'!$E:$E,0)),0)</f>
        <v>122506</v>
      </c>
      <c r="H3655" s="20">
        <f>IFERROR(INDEX('Kode Outlet dan Target Toko'!$D:$D,MATCH($I3655,'Kode Outlet dan Target Toko'!$E:$E,0)),0)</f>
        <v>214422</v>
      </c>
      <c r="I3655" s="42" t="s">
        <v>72</v>
      </c>
      <c r="J3655" s="56" t="s">
        <v>293</v>
      </c>
      <c r="K3655" s="40" t="s">
        <v>15</v>
      </c>
      <c r="L3655" s="26">
        <v>3200</v>
      </c>
      <c r="M3655" s="26">
        <v>104</v>
      </c>
      <c r="N3655" s="25">
        <f t="shared" ref="N3655:N3718" si="115">IFERROR(M3655*L3655,"")</f>
        <v>332800</v>
      </c>
      <c r="O3655" s="56"/>
    </row>
    <row r="3656" spans="1:15" hidden="1" x14ac:dyDescent="0.3">
      <c r="A3656" s="26">
        <v>33</v>
      </c>
      <c r="B3656" s="20" t="str">
        <f t="shared" si="114"/>
        <v>AUG</v>
      </c>
      <c r="C3656" s="21">
        <v>46250</v>
      </c>
      <c r="D3656" s="22" t="str">
        <f>IFERROR(INDEX('Kode Outlet dan Target Toko'!$A:$A,MATCH($I3656,'Kode Outlet dan Target Toko'!$E:$E,0)),"")</f>
        <v>GRSM 1</v>
      </c>
      <c r="E3656" s="20" t="str">
        <f>IFERROR(VLOOKUP(I3656,KET!$B:$F,4,0),"")</f>
        <v>AFNITA SARI</v>
      </c>
      <c r="F3656" s="20" t="str">
        <f>IFERROR(VLOOKUP(I3656,KET!$B:$F,5,0),"")</f>
        <v>MT</v>
      </c>
      <c r="G3656" s="20">
        <f>IFERROR(INDEX('Kode Outlet dan Target Toko'!$C:$C,MATCH($I3656,'Kode Outlet dan Target Toko'!$E:$E,0)),0)</f>
        <v>122506</v>
      </c>
      <c r="H3656" s="20">
        <f>IFERROR(INDEX('Kode Outlet dan Target Toko'!$D:$D,MATCH($I3656,'Kode Outlet dan Target Toko'!$E:$E,0)),0)</f>
        <v>214422</v>
      </c>
      <c r="I3656" s="42" t="s">
        <v>72</v>
      </c>
      <c r="J3656" s="56" t="s">
        <v>293</v>
      </c>
      <c r="K3656" s="40" t="s">
        <v>14</v>
      </c>
      <c r="L3656" s="26">
        <v>3200</v>
      </c>
      <c r="M3656" s="26">
        <v>96</v>
      </c>
      <c r="N3656" s="25">
        <f t="shared" si="115"/>
        <v>307200</v>
      </c>
      <c r="O3656" s="56"/>
    </row>
    <row r="3657" spans="1:15" hidden="1" x14ac:dyDescent="0.3">
      <c r="A3657" s="26">
        <v>33</v>
      </c>
      <c r="B3657" s="20" t="str">
        <f t="shared" si="114"/>
        <v>AUG</v>
      </c>
      <c r="C3657" s="21">
        <v>46250</v>
      </c>
      <c r="D3657" s="22" t="str">
        <f>IFERROR(INDEX('Kode Outlet dan Target Toko'!$A:$A,MATCH($I3657,'Kode Outlet dan Target Toko'!$E:$E,0)),"")</f>
        <v>GRSM 1</v>
      </c>
      <c r="E3657" s="20" t="str">
        <f>IFERROR(VLOOKUP(I3657,KET!$B:$F,4,0),"")</f>
        <v>AFNITA SARI</v>
      </c>
      <c r="F3657" s="20" t="str">
        <f>IFERROR(VLOOKUP(I3657,KET!$B:$F,5,0),"")</f>
        <v>MT</v>
      </c>
      <c r="G3657" s="20">
        <f>IFERROR(INDEX('Kode Outlet dan Target Toko'!$C:$C,MATCH($I3657,'Kode Outlet dan Target Toko'!$E:$E,0)),0)</f>
        <v>122506</v>
      </c>
      <c r="H3657" s="20">
        <f>IFERROR(INDEX('Kode Outlet dan Target Toko'!$D:$D,MATCH($I3657,'Kode Outlet dan Target Toko'!$E:$E,0)),0)</f>
        <v>214422</v>
      </c>
      <c r="I3657" s="42" t="s">
        <v>72</v>
      </c>
      <c r="J3657" s="56" t="s">
        <v>293</v>
      </c>
      <c r="K3657" s="40" t="s">
        <v>13</v>
      </c>
      <c r="L3657" s="26">
        <v>3200</v>
      </c>
      <c r="M3657" s="26">
        <v>74</v>
      </c>
      <c r="N3657" s="25">
        <f t="shared" si="115"/>
        <v>236800</v>
      </c>
      <c r="O3657" s="56"/>
    </row>
    <row r="3658" spans="1:15" hidden="1" x14ac:dyDescent="0.3">
      <c r="A3658" s="26">
        <v>33</v>
      </c>
      <c r="B3658" s="20" t="str">
        <f t="shared" si="114"/>
        <v>AUG</v>
      </c>
      <c r="C3658" s="21">
        <v>46250</v>
      </c>
      <c r="D3658" s="22" t="str">
        <f>IFERROR(INDEX('Kode Outlet dan Target Toko'!$A:$A,MATCH($I3658,'Kode Outlet dan Target Toko'!$E:$E,0)),"")</f>
        <v>GRSM 1</v>
      </c>
      <c r="E3658" s="20" t="str">
        <f>IFERROR(VLOOKUP(I3658,KET!$B:$F,4,0),"")</f>
        <v>AFNITA SARI</v>
      </c>
      <c r="F3658" s="20" t="str">
        <f>IFERROR(VLOOKUP(I3658,KET!$B:$F,5,0),"")</f>
        <v>MT</v>
      </c>
      <c r="G3658" s="20">
        <f>IFERROR(INDEX('Kode Outlet dan Target Toko'!$C:$C,MATCH($I3658,'Kode Outlet dan Target Toko'!$E:$E,0)),0)</f>
        <v>122506</v>
      </c>
      <c r="H3658" s="20">
        <f>IFERROR(INDEX('Kode Outlet dan Target Toko'!$D:$D,MATCH($I3658,'Kode Outlet dan Target Toko'!$E:$E,0)),0)</f>
        <v>214422</v>
      </c>
      <c r="I3658" s="42" t="s">
        <v>72</v>
      </c>
      <c r="J3658" s="56" t="s">
        <v>293</v>
      </c>
      <c r="K3658" s="40" t="s">
        <v>16</v>
      </c>
      <c r="L3658" s="26">
        <v>3200</v>
      </c>
      <c r="M3658" s="26">
        <v>178</v>
      </c>
      <c r="N3658" s="25">
        <f t="shared" si="115"/>
        <v>569600</v>
      </c>
      <c r="O3658" s="56">
        <v>160</v>
      </c>
    </row>
    <row r="3659" spans="1:15" hidden="1" x14ac:dyDescent="0.3">
      <c r="A3659" s="26">
        <v>33</v>
      </c>
      <c r="B3659" s="20" t="str">
        <f t="shared" si="114"/>
        <v>AUG</v>
      </c>
      <c r="C3659" s="21">
        <v>46250</v>
      </c>
      <c r="D3659" s="22" t="str">
        <f>IFERROR(INDEX('Kode Outlet dan Target Toko'!$A:$A,MATCH($I3659,'Kode Outlet dan Target Toko'!$E:$E,0)),"")</f>
        <v>GRSM 1</v>
      </c>
      <c r="E3659" s="20" t="str">
        <f>IFERROR(VLOOKUP(I3659,KET!$B:$F,4,0),"")</f>
        <v>AFNITA SARI</v>
      </c>
      <c r="F3659" s="20" t="str">
        <f>IFERROR(VLOOKUP(I3659,KET!$B:$F,5,0),"")</f>
        <v>MT</v>
      </c>
      <c r="G3659" s="20">
        <f>IFERROR(INDEX('Kode Outlet dan Target Toko'!$C:$C,MATCH($I3659,'Kode Outlet dan Target Toko'!$E:$E,0)),0)</f>
        <v>122506</v>
      </c>
      <c r="H3659" s="20">
        <f>IFERROR(INDEX('Kode Outlet dan Target Toko'!$D:$D,MATCH($I3659,'Kode Outlet dan Target Toko'!$E:$E,0)),0)</f>
        <v>214300</v>
      </c>
      <c r="I3659" s="42" t="s">
        <v>73</v>
      </c>
      <c r="J3659" s="56" t="s">
        <v>291</v>
      </c>
      <c r="K3659" s="40" t="s">
        <v>15</v>
      </c>
      <c r="L3659" s="26">
        <v>7000</v>
      </c>
      <c r="M3659" s="26">
        <v>26</v>
      </c>
      <c r="N3659" s="25">
        <f t="shared" si="115"/>
        <v>182000</v>
      </c>
      <c r="O3659" s="56"/>
    </row>
    <row r="3660" spans="1:15" hidden="1" x14ac:dyDescent="0.3">
      <c r="A3660" s="26">
        <v>33</v>
      </c>
      <c r="B3660" s="20" t="str">
        <f t="shared" si="114"/>
        <v>AUG</v>
      </c>
      <c r="C3660" s="21">
        <v>46250</v>
      </c>
      <c r="D3660" s="22" t="str">
        <f>IFERROR(INDEX('Kode Outlet dan Target Toko'!$A:$A,MATCH($I3660,'Kode Outlet dan Target Toko'!$E:$E,0)),"")</f>
        <v>GRSM 1</v>
      </c>
      <c r="E3660" s="20" t="str">
        <f>IFERROR(VLOOKUP(I3660,KET!$B:$F,4,0),"")</f>
        <v>AFNITA SARI</v>
      </c>
      <c r="F3660" s="20" t="str">
        <f>IFERROR(VLOOKUP(I3660,KET!$B:$F,5,0),"")</f>
        <v>MT</v>
      </c>
      <c r="G3660" s="20">
        <f>IFERROR(INDEX('Kode Outlet dan Target Toko'!$C:$C,MATCH($I3660,'Kode Outlet dan Target Toko'!$E:$E,0)),0)</f>
        <v>122506</v>
      </c>
      <c r="H3660" s="20">
        <f>IFERROR(INDEX('Kode Outlet dan Target Toko'!$D:$D,MATCH($I3660,'Kode Outlet dan Target Toko'!$E:$E,0)),0)</f>
        <v>214300</v>
      </c>
      <c r="I3660" s="42" t="s">
        <v>73</v>
      </c>
      <c r="J3660" s="56" t="s">
        <v>291</v>
      </c>
      <c r="K3660" s="40" t="s">
        <v>14</v>
      </c>
      <c r="L3660" s="26">
        <v>7000</v>
      </c>
      <c r="M3660" s="26">
        <v>42</v>
      </c>
      <c r="N3660" s="25">
        <f t="shared" si="115"/>
        <v>294000</v>
      </c>
      <c r="O3660" s="56"/>
    </row>
    <row r="3661" spans="1:15" hidden="1" x14ac:dyDescent="0.3">
      <c r="A3661" s="26">
        <v>33</v>
      </c>
      <c r="B3661" s="20" t="str">
        <f t="shared" si="114"/>
        <v>AUG</v>
      </c>
      <c r="C3661" s="21">
        <v>46250</v>
      </c>
      <c r="D3661" s="22" t="str">
        <f>IFERROR(INDEX('Kode Outlet dan Target Toko'!$A:$A,MATCH($I3661,'Kode Outlet dan Target Toko'!$E:$E,0)),"")</f>
        <v>GRSM 1</v>
      </c>
      <c r="E3661" s="20" t="str">
        <f>IFERROR(VLOOKUP(I3661,KET!$B:$F,4,0),"")</f>
        <v>AFNITA SARI</v>
      </c>
      <c r="F3661" s="20" t="str">
        <f>IFERROR(VLOOKUP(I3661,KET!$B:$F,5,0),"")</f>
        <v>MT</v>
      </c>
      <c r="G3661" s="20">
        <f>IFERROR(INDEX('Kode Outlet dan Target Toko'!$C:$C,MATCH($I3661,'Kode Outlet dan Target Toko'!$E:$E,0)),0)</f>
        <v>122506</v>
      </c>
      <c r="H3661" s="20">
        <f>IFERROR(INDEX('Kode Outlet dan Target Toko'!$D:$D,MATCH($I3661,'Kode Outlet dan Target Toko'!$E:$E,0)),0)</f>
        <v>214300</v>
      </c>
      <c r="I3661" s="42" t="s">
        <v>73</v>
      </c>
      <c r="J3661" s="56" t="s">
        <v>291</v>
      </c>
      <c r="K3661" s="40" t="s">
        <v>13</v>
      </c>
      <c r="L3661" s="26">
        <v>7000</v>
      </c>
      <c r="M3661" s="26">
        <v>30</v>
      </c>
      <c r="N3661" s="25">
        <f t="shared" si="115"/>
        <v>210000</v>
      </c>
      <c r="O3661" s="56"/>
    </row>
    <row r="3662" spans="1:15" hidden="1" x14ac:dyDescent="0.3">
      <c r="A3662" s="26">
        <v>33</v>
      </c>
      <c r="B3662" s="20" t="str">
        <f t="shared" si="114"/>
        <v>AUG</v>
      </c>
      <c r="C3662" s="21">
        <v>46250</v>
      </c>
      <c r="D3662" s="22" t="str">
        <f>IFERROR(INDEX('Kode Outlet dan Target Toko'!$A:$A,MATCH($I3662,'Kode Outlet dan Target Toko'!$E:$E,0)),"")</f>
        <v>GRSM 1</v>
      </c>
      <c r="E3662" s="20" t="str">
        <f>IFERROR(VLOOKUP(I3662,KET!$B:$F,4,0),"")</f>
        <v>AFNITA SARI</v>
      </c>
      <c r="F3662" s="20" t="str">
        <f>IFERROR(VLOOKUP(I3662,KET!$B:$F,5,0),"")</f>
        <v>MT</v>
      </c>
      <c r="G3662" s="20">
        <f>IFERROR(INDEX('Kode Outlet dan Target Toko'!$C:$C,MATCH($I3662,'Kode Outlet dan Target Toko'!$E:$E,0)),0)</f>
        <v>122506</v>
      </c>
      <c r="H3662" s="20">
        <f>IFERROR(INDEX('Kode Outlet dan Target Toko'!$D:$D,MATCH($I3662,'Kode Outlet dan Target Toko'!$E:$E,0)),0)</f>
        <v>214300</v>
      </c>
      <c r="I3662" s="42" t="s">
        <v>73</v>
      </c>
      <c r="J3662" s="56" t="s">
        <v>291</v>
      </c>
      <c r="K3662" s="40" t="s">
        <v>16</v>
      </c>
      <c r="L3662" s="26">
        <v>7000</v>
      </c>
      <c r="M3662" s="26">
        <v>64</v>
      </c>
      <c r="N3662" s="25">
        <f t="shared" si="115"/>
        <v>448000</v>
      </c>
      <c r="O3662" s="56">
        <v>160</v>
      </c>
    </row>
    <row r="3663" spans="1:15" hidden="1" x14ac:dyDescent="0.3">
      <c r="A3663" s="26">
        <v>33</v>
      </c>
      <c r="B3663" s="20" t="str">
        <f t="shared" si="114"/>
        <v>AUG</v>
      </c>
      <c r="C3663" s="21">
        <v>46250</v>
      </c>
      <c r="D3663" s="22" t="str">
        <f>IFERROR(INDEX('Kode Outlet dan Target Toko'!$A:$A,MATCH($I3663,'Kode Outlet dan Target Toko'!$E:$E,0)),"")</f>
        <v>GRSM 1</v>
      </c>
      <c r="E3663" s="20" t="str">
        <f>IFERROR(VLOOKUP(I3663,KET!$B:$F,4,0),"")</f>
        <v>AFNITA SARI</v>
      </c>
      <c r="F3663" s="20" t="str">
        <f>IFERROR(VLOOKUP(I3663,KET!$B:$F,5,0),"")</f>
        <v>MT</v>
      </c>
      <c r="G3663" s="20">
        <f>IFERROR(INDEX('Kode Outlet dan Target Toko'!$C:$C,MATCH($I3663,'Kode Outlet dan Target Toko'!$E:$E,0)),0)</f>
        <v>122506</v>
      </c>
      <c r="H3663" s="20">
        <f>IFERROR(INDEX('Kode Outlet dan Target Toko'!$D:$D,MATCH($I3663,'Kode Outlet dan Target Toko'!$E:$E,0)),0)</f>
        <v>214300</v>
      </c>
      <c r="I3663" s="42" t="s">
        <v>73</v>
      </c>
      <c r="J3663" s="56" t="s">
        <v>292</v>
      </c>
      <c r="K3663" s="40" t="s">
        <v>15</v>
      </c>
      <c r="L3663" s="26">
        <v>7000</v>
      </c>
      <c r="M3663" s="26">
        <v>26</v>
      </c>
      <c r="N3663" s="25">
        <f t="shared" si="115"/>
        <v>182000</v>
      </c>
      <c r="O3663" s="56"/>
    </row>
    <row r="3664" spans="1:15" hidden="1" x14ac:dyDescent="0.3">
      <c r="A3664" s="26">
        <v>33</v>
      </c>
      <c r="B3664" s="20" t="str">
        <f t="shared" si="114"/>
        <v>AUG</v>
      </c>
      <c r="C3664" s="21">
        <v>46250</v>
      </c>
      <c r="D3664" s="22" t="str">
        <f>IFERROR(INDEX('Kode Outlet dan Target Toko'!$A:$A,MATCH($I3664,'Kode Outlet dan Target Toko'!$E:$E,0)),"")</f>
        <v>GRSM 1</v>
      </c>
      <c r="E3664" s="20" t="str">
        <f>IFERROR(VLOOKUP(I3664,KET!$B:$F,4,0),"")</f>
        <v>AFNITA SARI</v>
      </c>
      <c r="F3664" s="20" t="str">
        <f>IFERROR(VLOOKUP(I3664,KET!$B:$F,5,0),"")</f>
        <v>MT</v>
      </c>
      <c r="G3664" s="20">
        <f>IFERROR(INDEX('Kode Outlet dan Target Toko'!$C:$C,MATCH($I3664,'Kode Outlet dan Target Toko'!$E:$E,0)),0)</f>
        <v>122506</v>
      </c>
      <c r="H3664" s="20">
        <f>IFERROR(INDEX('Kode Outlet dan Target Toko'!$D:$D,MATCH($I3664,'Kode Outlet dan Target Toko'!$E:$E,0)),0)</f>
        <v>214300</v>
      </c>
      <c r="I3664" s="42" t="s">
        <v>73</v>
      </c>
      <c r="J3664" s="56" t="s">
        <v>292</v>
      </c>
      <c r="K3664" s="40" t="s">
        <v>14</v>
      </c>
      <c r="L3664" s="26">
        <v>7000</v>
      </c>
      <c r="M3664" s="26">
        <v>42</v>
      </c>
      <c r="N3664" s="25">
        <f t="shared" si="115"/>
        <v>294000</v>
      </c>
      <c r="O3664" s="56"/>
    </row>
    <row r="3665" spans="1:15" hidden="1" x14ac:dyDescent="0.3">
      <c r="A3665" s="26">
        <v>33</v>
      </c>
      <c r="B3665" s="20" t="str">
        <f t="shared" si="114"/>
        <v>AUG</v>
      </c>
      <c r="C3665" s="21">
        <v>46250</v>
      </c>
      <c r="D3665" s="22" t="str">
        <f>IFERROR(INDEX('Kode Outlet dan Target Toko'!$A:$A,MATCH($I3665,'Kode Outlet dan Target Toko'!$E:$E,0)),"")</f>
        <v>GRSM 1</v>
      </c>
      <c r="E3665" s="20" t="str">
        <f>IFERROR(VLOOKUP(I3665,KET!$B:$F,4,0),"")</f>
        <v>AFNITA SARI</v>
      </c>
      <c r="F3665" s="20" t="str">
        <f>IFERROR(VLOOKUP(I3665,KET!$B:$F,5,0),"")</f>
        <v>MT</v>
      </c>
      <c r="G3665" s="20">
        <f>IFERROR(INDEX('Kode Outlet dan Target Toko'!$C:$C,MATCH($I3665,'Kode Outlet dan Target Toko'!$E:$E,0)),0)</f>
        <v>122506</v>
      </c>
      <c r="H3665" s="20">
        <f>IFERROR(INDEX('Kode Outlet dan Target Toko'!$D:$D,MATCH($I3665,'Kode Outlet dan Target Toko'!$E:$E,0)),0)</f>
        <v>214300</v>
      </c>
      <c r="I3665" s="42" t="s">
        <v>73</v>
      </c>
      <c r="J3665" s="56" t="s">
        <v>292</v>
      </c>
      <c r="K3665" s="40" t="s">
        <v>13</v>
      </c>
      <c r="L3665" s="26">
        <v>7000</v>
      </c>
      <c r="M3665" s="26">
        <v>30</v>
      </c>
      <c r="N3665" s="25">
        <f t="shared" si="115"/>
        <v>210000</v>
      </c>
      <c r="O3665" s="56"/>
    </row>
    <row r="3666" spans="1:15" hidden="1" x14ac:dyDescent="0.3">
      <c r="A3666" s="26">
        <v>33</v>
      </c>
      <c r="B3666" s="20" t="str">
        <f t="shared" si="114"/>
        <v>AUG</v>
      </c>
      <c r="C3666" s="21">
        <v>46250</v>
      </c>
      <c r="D3666" s="22" t="str">
        <f>IFERROR(INDEX('Kode Outlet dan Target Toko'!$A:$A,MATCH($I3666,'Kode Outlet dan Target Toko'!$E:$E,0)),"")</f>
        <v>GRSM 1</v>
      </c>
      <c r="E3666" s="20" t="str">
        <f>IFERROR(VLOOKUP(I3666,KET!$B:$F,4,0),"")</f>
        <v>AFNITA SARI</v>
      </c>
      <c r="F3666" s="20" t="str">
        <f>IFERROR(VLOOKUP(I3666,KET!$B:$F,5,0),"")</f>
        <v>MT</v>
      </c>
      <c r="G3666" s="20">
        <f>IFERROR(INDEX('Kode Outlet dan Target Toko'!$C:$C,MATCH($I3666,'Kode Outlet dan Target Toko'!$E:$E,0)),0)</f>
        <v>122506</v>
      </c>
      <c r="H3666" s="20">
        <f>IFERROR(INDEX('Kode Outlet dan Target Toko'!$D:$D,MATCH($I3666,'Kode Outlet dan Target Toko'!$E:$E,0)),0)</f>
        <v>214300</v>
      </c>
      <c r="I3666" s="42" t="s">
        <v>73</v>
      </c>
      <c r="J3666" s="56" t="s">
        <v>292</v>
      </c>
      <c r="K3666" s="40" t="s">
        <v>16</v>
      </c>
      <c r="L3666" s="26">
        <v>7000</v>
      </c>
      <c r="M3666" s="26">
        <v>64</v>
      </c>
      <c r="N3666" s="25">
        <f t="shared" si="115"/>
        <v>448000</v>
      </c>
      <c r="O3666" s="56">
        <v>160</v>
      </c>
    </row>
    <row r="3667" spans="1:15" hidden="1" x14ac:dyDescent="0.3">
      <c r="A3667" s="26">
        <v>33</v>
      </c>
      <c r="B3667" s="20" t="str">
        <f t="shared" si="114"/>
        <v>AUG</v>
      </c>
      <c r="C3667" s="21">
        <v>46248</v>
      </c>
      <c r="D3667" s="22" t="str">
        <f>IFERROR(INDEX('Kode Outlet dan Target Toko'!$A:$A,MATCH($I3667,'Kode Outlet dan Target Toko'!$E:$E,0)),"")</f>
        <v>GRSM 5</v>
      </c>
      <c r="E3667" s="20" t="str">
        <f>IFERROR(VLOOKUP(I3667,KET!$B:$F,4,0),"")</f>
        <v>SUPRIYATI</v>
      </c>
      <c r="F3667" s="20" t="str">
        <f>IFERROR(VLOOKUP(I3667,KET!$B:$F,5,0),"")</f>
        <v>GMM</v>
      </c>
      <c r="G3667" s="20">
        <f>IFERROR(INDEX('Kode Outlet dan Target Toko'!$C:$C,MATCH($I3667,'Kode Outlet dan Target Toko'!$E:$E,0)),0)</f>
        <v>103274</v>
      </c>
      <c r="H3667" s="20">
        <f>IFERROR(INDEX('Kode Outlet dan Target Toko'!$D:$D,MATCH($I3667,'Kode Outlet dan Target Toko'!$E:$E,0)),0)</f>
        <v>1301399</v>
      </c>
      <c r="I3667" s="42" t="s">
        <v>111</v>
      </c>
      <c r="J3667" s="56" t="s">
        <v>205</v>
      </c>
      <c r="K3667" s="40" t="s">
        <v>15</v>
      </c>
      <c r="L3667" s="26">
        <v>3117</v>
      </c>
      <c r="M3667" s="26">
        <v>80</v>
      </c>
      <c r="N3667" s="25">
        <f t="shared" si="115"/>
        <v>249360</v>
      </c>
      <c r="O3667" s="56"/>
    </row>
    <row r="3668" spans="1:15" hidden="1" x14ac:dyDescent="0.3">
      <c r="A3668" s="26">
        <v>33</v>
      </c>
      <c r="B3668" s="20" t="str">
        <f t="shared" si="114"/>
        <v>AUG</v>
      </c>
      <c r="C3668" s="21">
        <v>46248</v>
      </c>
      <c r="D3668" s="22" t="str">
        <f>IFERROR(INDEX('Kode Outlet dan Target Toko'!$A:$A,MATCH($I3668,'Kode Outlet dan Target Toko'!$E:$E,0)),"")</f>
        <v>GRSM 5</v>
      </c>
      <c r="E3668" s="20" t="str">
        <f>IFERROR(VLOOKUP(I3668,KET!$B:$F,4,0),"")</f>
        <v>SUPRIYATI</v>
      </c>
      <c r="F3668" s="20" t="str">
        <f>IFERROR(VLOOKUP(I3668,KET!$B:$F,5,0),"")</f>
        <v>GMM</v>
      </c>
      <c r="G3668" s="20">
        <f>IFERROR(INDEX('Kode Outlet dan Target Toko'!$C:$C,MATCH($I3668,'Kode Outlet dan Target Toko'!$E:$E,0)),0)</f>
        <v>103274</v>
      </c>
      <c r="H3668" s="20">
        <f>IFERROR(INDEX('Kode Outlet dan Target Toko'!$D:$D,MATCH($I3668,'Kode Outlet dan Target Toko'!$E:$E,0)),0)</f>
        <v>1301399</v>
      </c>
      <c r="I3668" s="42" t="s">
        <v>111</v>
      </c>
      <c r="J3668" s="56" t="s">
        <v>205</v>
      </c>
      <c r="K3668" s="40" t="s">
        <v>14</v>
      </c>
      <c r="L3668" s="26">
        <v>3117</v>
      </c>
      <c r="M3668" s="26">
        <v>80</v>
      </c>
      <c r="N3668" s="25">
        <f t="shared" si="115"/>
        <v>249360</v>
      </c>
      <c r="O3668" s="56"/>
    </row>
    <row r="3669" spans="1:15" hidden="1" x14ac:dyDescent="0.3">
      <c r="A3669" s="26">
        <v>33</v>
      </c>
      <c r="B3669" s="20" t="str">
        <f t="shared" si="114"/>
        <v>AUG</v>
      </c>
      <c r="C3669" s="21">
        <v>46248</v>
      </c>
      <c r="D3669" s="22" t="str">
        <f>IFERROR(INDEX('Kode Outlet dan Target Toko'!$A:$A,MATCH($I3669,'Kode Outlet dan Target Toko'!$E:$E,0)),"")</f>
        <v>GRSM 5</v>
      </c>
      <c r="E3669" s="20" t="str">
        <f>IFERROR(VLOOKUP(I3669,KET!$B:$F,4,0),"")</f>
        <v>SUPRIYATI</v>
      </c>
      <c r="F3669" s="20" t="str">
        <f>IFERROR(VLOOKUP(I3669,KET!$B:$F,5,0),"")</f>
        <v>GMM</v>
      </c>
      <c r="G3669" s="20">
        <f>IFERROR(INDEX('Kode Outlet dan Target Toko'!$C:$C,MATCH($I3669,'Kode Outlet dan Target Toko'!$E:$E,0)),0)</f>
        <v>103274</v>
      </c>
      <c r="H3669" s="20">
        <f>IFERROR(INDEX('Kode Outlet dan Target Toko'!$D:$D,MATCH($I3669,'Kode Outlet dan Target Toko'!$E:$E,0)),0)</f>
        <v>1301399</v>
      </c>
      <c r="I3669" s="42" t="s">
        <v>111</v>
      </c>
      <c r="J3669" s="56" t="s">
        <v>205</v>
      </c>
      <c r="K3669" s="40" t="s">
        <v>13</v>
      </c>
      <c r="L3669" s="26">
        <v>3117</v>
      </c>
      <c r="M3669" s="26">
        <v>8</v>
      </c>
      <c r="N3669" s="25">
        <f t="shared" si="115"/>
        <v>24936</v>
      </c>
      <c r="O3669" s="56"/>
    </row>
    <row r="3670" spans="1:15" hidden="1" x14ac:dyDescent="0.3">
      <c r="A3670" s="26">
        <v>33</v>
      </c>
      <c r="B3670" s="20" t="str">
        <f t="shared" si="114"/>
        <v>AUG</v>
      </c>
      <c r="C3670" s="21">
        <v>46248</v>
      </c>
      <c r="D3670" s="22" t="str">
        <f>IFERROR(INDEX('Kode Outlet dan Target Toko'!$A:$A,MATCH($I3670,'Kode Outlet dan Target Toko'!$E:$E,0)),"")</f>
        <v>GRSM 5</v>
      </c>
      <c r="E3670" s="20" t="str">
        <f>IFERROR(VLOOKUP(I3670,KET!$B:$F,4,0),"")</f>
        <v>SUPRIYATI</v>
      </c>
      <c r="F3670" s="20" t="str">
        <f>IFERROR(VLOOKUP(I3670,KET!$B:$F,5,0),"")</f>
        <v>GMM</v>
      </c>
      <c r="G3670" s="20">
        <f>IFERROR(INDEX('Kode Outlet dan Target Toko'!$C:$C,MATCH($I3670,'Kode Outlet dan Target Toko'!$E:$E,0)),0)</f>
        <v>103274</v>
      </c>
      <c r="H3670" s="20">
        <f>IFERROR(INDEX('Kode Outlet dan Target Toko'!$D:$D,MATCH($I3670,'Kode Outlet dan Target Toko'!$E:$E,0)),0)</f>
        <v>1301399</v>
      </c>
      <c r="I3670" s="42" t="s">
        <v>111</v>
      </c>
      <c r="J3670" s="56" t="s">
        <v>205</v>
      </c>
      <c r="K3670" s="40" t="s">
        <v>16</v>
      </c>
      <c r="L3670" s="26">
        <v>3117</v>
      </c>
      <c r="M3670" s="26">
        <v>120</v>
      </c>
      <c r="N3670" s="25">
        <f t="shared" si="115"/>
        <v>374040</v>
      </c>
      <c r="O3670" s="56">
        <v>160</v>
      </c>
    </row>
    <row r="3671" spans="1:15" hidden="1" x14ac:dyDescent="0.3">
      <c r="A3671" s="26">
        <v>33</v>
      </c>
      <c r="B3671" s="20" t="str">
        <f t="shared" si="114"/>
        <v>AUG</v>
      </c>
      <c r="C3671" s="21">
        <v>46248</v>
      </c>
      <c r="D3671" s="22" t="str">
        <f>IFERROR(INDEX('Kode Outlet dan Target Toko'!$A:$A,MATCH($I3671,'Kode Outlet dan Target Toko'!$E:$E,0)),"")</f>
        <v>GRSM 5</v>
      </c>
      <c r="E3671" s="20" t="str">
        <f>IFERROR(VLOOKUP(I3671,KET!$B:$F,4,0),"")</f>
        <v>SUPRIYATI</v>
      </c>
      <c r="F3671" s="20" t="str">
        <f>IFERROR(VLOOKUP(I3671,KET!$B:$F,5,0),"")</f>
        <v>GMM</v>
      </c>
      <c r="G3671" s="20">
        <f>IFERROR(INDEX('Kode Outlet dan Target Toko'!$C:$C,MATCH($I3671,'Kode Outlet dan Target Toko'!$E:$E,0)),0)</f>
        <v>103274</v>
      </c>
      <c r="H3671" s="20">
        <f>IFERROR(INDEX('Kode Outlet dan Target Toko'!$D:$D,MATCH($I3671,'Kode Outlet dan Target Toko'!$E:$E,0)),0)</f>
        <v>1301399</v>
      </c>
      <c r="I3671" s="42" t="s">
        <v>111</v>
      </c>
      <c r="J3671" s="56" t="s">
        <v>206</v>
      </c>
      <c r="K3671" s="40" t="s">
        <v>15</v>
      </c>
      <c r="L3671" s="26">
        <v>3117</v>
      </c>
      <c r="M3671" s="26">
        <v>80</v>
      </c>
      <c r="N3671" s="25">
        <f t="shared" si="115"/>
        <v>249360</v>
      </c>
      <c r="O3671" s="56"/>
    </row>
    <row r="3672" spans="1:15" hidden="1" x14ac:dyDescent="0.3">
      <c r="A3672" s="26">
        <v>33</v>
      </c>
      <c r="B3672" s="20" t="str">
        <f t="shared" si="114"/>
        <v>AUG</v>
      </c>
      <c r="C3672" s="21">
        <v>46248</v>
      </c>
      <c r="D3672" s="22" t="str">
        <f>IFERROR(INDEX('Kode Outlet dan Target Toko'!$A:$A,MATCH($I3672,'Kode Outlet dan Target Toko'!$E:$E,0)),"")</f>
        <v>GRSM 5</v>
      </c>
      <c r="E3672" s="20" t="str">
        <f>IFERROR(VLOOKUP(I3672,KET!$B:$F,4,0),"")</f>
        <v>SUPRIYATI</v>
      </c>
      <c r="F3672" s="20" t="str">
        <f>IFERROR(VLOOKUP(I3672,KET!$B:$F,5,0),"")</f>
        <v>GMM</v>
      </c>
      <c r="G3672" s="20">
        <f>IFERROR(INDEX('Kode Outlet dan Target Toko'!$C:$C,MATCH($I3672,'Kode Outlet dan Target Toko'!$E:$E,0)),0)</f>
        <v>103274</v>
      </c>
      <c r="H3672" s="20">
        <f>IFERROR(INDEX('Kode Outlet dan Target Toko'!$D:$D,MATCH($I3672,'Kode Outlet dan Target Toko'!$E:$E,0)),0)</f>
        <v>1301399</v>
      </c>
      <c r="I3672" s="42" t="s">
        <v>111</v>
      </c>
      <c r="J3672" s="56" t="s">
        <v>206</v>
      </c>
      <c r="K3672" s="40" t="s">
        <v>14</v>
      </c>
      <c r="L3672" s="26">
        <v>3117</v>
      </c>
      <c r="M3672" s="26">
        <v>80</v>
      </c>
      <c r="N3672" s="25">
        <f t="shared" si="115"/>
        <v>249360</v>
      </c>
      <c r="O3672" s="56"/>
    </row>
    <row r="3673" spans="1:15" hidden="1" x14ac:dyDescent="0.3">
      <c r="A3673" s="26">
        <v>33</v>
      </c>
      <c r="B3673" s="20" t="str">
        <f t="shared" si="114"/>
        <v>AUG</v>
      </c>
      <c r="C3673" s="21">
        <v>46248</v>
      </c>
      <c r="D3673" s="22" t="str">
        <f>IFERROR(INDEX('Kode Outlet dan Target Toko'!$A:$A,MATCH($I3673,'Kode Outlet dan Target Toko'!$E:$E,0)),"")</f>
        <v>GRSM 5</v>
      </c>
      <c r="E3673" s="20" t="str">
        <f>IFERROR(VLOOKUP(I3673,KET!$B:$F,4,0),"")</f>
        <v>SUPRIYATI</v>
      </c>
      <c r="F3673" s="20" t="str">
        <f>IFERROR(VLOOKUP(I3673,KET!$B:$F,5,0),"")</f>
        <v>GMM</v>
      </c>
      <c r="G3673" s="20">
        <f>IFERROR(INDEX('Kode Outlet dan Target Toko'!$C:$C,MATCH($I3673,'Kode Outlet dan Target Toko'!$E:$E,0)),0)</f>
        <v>103274</v>
      </c>
      <c r="H3673" s="20">
        <f>IFERROR(INDEX('Kode Outlet dan Target Toko'!$D:$D,MATCH($I3673,'Kode Outlet dan Target Toko'!$E:$E,0)),0)</f>
        <v>1301399</v>
      </c>
      <c r="I3673" s="42" t="s">
        <v>111</v>
      </c>
      <c r="J3673" s="56" t="s">
        <v>206</v>
      </c>
      <c r="K3673" s="40" t="s">
        <v>13</v>
      </c>
      <c r="L3673" s="26">
        <v>3117</v>
      </c>
      <c r="M3673" s="26">
        <v>8</v>
      </c>
      <c r="N3673" s="25">
        <f t="shared" si="115"/>
        <v>24936</v>
      </c>
      <c r="O3673" s="56"/>
    </row>
    <row r="3674" spans="1:15" hidden="1" x14ac:dyDescent="0.3">
      <c r="A3674" s="26">
        <v>33</v>
      </c>
      <c r="B3674" s="20" t="str">
        <f t="shared" si="114"/>
        <v>AUG</v>
      </c>
      <c r="C3674" s="21">
        <v>46248</v>
      </c>
      <c r="D3674" s="22" t="str">
        <f>IFERROR(INDEX('Kode Outlet dan Target Toko'!$A:$A,MATCH($I3674,'Kode Outlet dan Target Toko'!$E:$E,0)),"")</f>
        <v>GRSM 5</v>
      </c>
      <c r="E3674" s="20" t="str">
        <f>IFERROR(VLOOKUP(I3674,KET!$B:$F,4,0),"")</f>
        <v>SUPRIYATI</v>
      </c>
      <c r="F3674" s="20" t="str">
        <f>IFERROR(VLOOKUP(I3674,KET!$B:$F,5,0),"")</f>
        <v>GMM</v>
      </c>
      <c r="G3674" s="20">
        <f>IFERROR(INDEX('Kode Outlet dan Target Toko'!$C:$C,MATCH($I3674,'Kode Outlet dan Target Toko'!$E:$E,0)),0)</f>
        <v>103274</v>
      </c>
      <c r="H3674" s="20">
        <f>IFERROR(INDEX('Kode Outlet dan Target Toko'!$D:$D,MATCH($I3674,'Kode Outlet dan Target Toko'!$E:$E,0)),0)</f>
        <v>1301399</v>
      </c>
      <c r="I3674" s="42" t="s">
        <v>111</v>
      </c>
      <c r="J3674" s="56" t="s">
        <v>206</v>
      </c>
      <c r="K3674" s="40" t="s">
        <v>16</v>
      </c>
      <c r="L3674" s="26">
        <v>3117</v>
      </c>
      <c r="M3674" s="26">
        <v>120</v>
      </c>
      <c r="N3674" s="25">
        <f t="shared" si="115"/>
        <v>374040</v>
      </c>
      <c r="O3674" s="56">
        <v>160</v>
      </c>
    </row>
    <row r="3675" spans="1:15" hidden="1" x14ac:dyDescent="0.3">
      <c r="A3675" s="26">
        <v>33</v>
      </c>
      <c r="B3675" s="20" t="str">
        <f t="shared" si="114"/>
        <v>AUG</v>
      </c>
      <c r="C3675" s="21">
        <v>46248</v>
      </c>
      <c r="D3675" s="22" t="str">
        <f>IFERROR(INDEX('Kode Outlet dan Target Toko'!$A:$A,MATCH($I3675,'Kode Outlet dan Target Toko'!$E:$E,0)),"")</f>
        <v>GRSM 5</v>
      </c>
      <c r="E3675" s="20" t="str">
        <f>IFERROR(VLOOKUP(I3675,KET!$B:$F,4,0),"")</f>
        <v>SUPRIYATI</v>
      </c>
      <c r="F3675" s="20" t="str">
        <f>IFERROR(VLOOKUP(I3675,KET!$B:$F,5,0),"")</f>
        <v>GMM</v>
      </c>
      <c r="G3675" s="20">
        <f>IFERROR(INDEX('Kode Outlet dan Target Toko'!$C:$C,MATCH($I3675,'Kode Outlet dan Target Toko'!$E:$E,0)),0)</f>
        <v>211050</v>
      </c>
      <c r="H3675" s="20">
        <f>IFERROR(INDEX('Kode Outlet dan Target Toko'!$D:$D,MATCH($I3675,'Kode Outlet dan Target Toko'!$E:$E,0)),0)</f>
        <v>2910733</v>
      </c>
      <c r="I3675" s="42" t="s">
        <v>93</v>
      </c>
      <c r="J3675" s="56" t="s">
        <v>226</v>
      </c>
      <c r="K3675" s="40" t="s">
        <v>15</v>
      </c>
      <c r="L3675" s="26">
        <v>3000</v>
      </c>
      <c r="M3675" s="26">
        <v>33</v>
      </c>
      <c r="N3675" s="25">
        <f t="shared" si="115"/>
        <v>99000</v>
      </c>
      <c r="O3675" s="56"/>
    </row>
    <row r="3676" spans="1:15" hidden="1" x14ac:dyDescent="0.3">
      <c r="A3676" s="26">
        <v>33</v>
      </c>
      <c r="B3676" s="20" t="str">
        <f t="shared" si="114"/>
        <v>AUG</v>
      </c>
      <c r="C3676" s="21">
        <v>46248</v>
      </c>
      <c r="D3676" s="22" t="str">
        <f>IFERROR(INDEX('Kode Outlet dan Target Toko'!$A:$A,MATCH($I3676,'Kode Outlet dan Target Toko'!$E:$E,0)),"")</f>
        <v>GRSM 5</v>
      </c>
      <c r="E3676" s="20" t="str">
        <f>IFERROR(VLOOKUP(I3676,KET!$B:$F,4,0),"")</f>
        <v>SUPRIYATI</v>
      </c>
      <c r="F3676" s="20" t="str">
        <f>IFERROR(VLOOKUP(I3676,KET!$B:$F,5,0),"")</f>
        <v>GMM</v>
      </c>
      <c r="G3676" s="20">
        <f>IFERROR(INDEX('Kode Outlet dan Target Toko'!$C:$C,MATCH($I3676,'Kode Outlet dan Target Toko'!$E:$E,0)),0)</f>
        <v>211050</v>
      </c>
      <c r="H3676" s="20">
        <f>IFERROR(INDEX('Kode Outlet dan Target Toko'!$D:$D,MATCH($I3676,'Kode Outlet dan Target Toko'!$E:$E,0)),0)</f>
        <v>2910733</v>
      </c>
      <c r="I3676" s="42" t="s">
        <v>93</v>
      </c>
      <c r="J3676" s="56" t="s">
        <v>226</v>
      </c>
      <c r="K3676" s="40" t="s">
        <v>14</v>
      </c>
      <c r="L3676" s="26">
        <v>3000</v>
      </c>
      <c r="M3676" s="26">
        <v>39</v>
      </c>
      <c r="N3676" s="25">
        <f t="shared" si="115"/>
        <v>117000</v>
      </c>
      <c r="O3676" s="56"/>
    </row>
    <row r="3677" spans="1:15" hidden="1" x14ac:dyDescent="0.3">
      <c r="A3677" s="26">
        <v>33</v>
      </c>
      <c r="B3677" s="20" t="str">
        <f t="shared" si="114"/>
        <v>AUG</v>
      </c>
      <c r="C3677" s="21">
        <v>46248</v>
      </c>
      <c r="D3677" s="22" t="str">
        <f>IFERROR(INDEX('Kode Outlet dan Target Toko'!$A:$A,MATCH($I3677,'Kode Outlet dan Target Toko'!$E:$E,0)),"")</f>
        <v>GRSM 5</v>
      </c>
      <c r="E3677" s="20" t="str">
        <f>IFERROR(VLOOKUP(I3677,KET!$B:$F,4,0),"")</f>
        <v>SUPRIYATI</v>
      </c>
      <c r="F3677" s="20" t="str">
        <f>IFERROR(VLOOKUP(I3677,KET!$B:$F,5,0),"")</f>
        <v>GMM</v>
      </c>
      <c r="G3677" s="20">
        <f>IFERROR(INDEX('Kode Outlet dan Target Toko'!$C:$C,MATCH($I3677,'Kode Outlet dan Target Toko'!$E:$E,0)),0)</f>
        <v>211050</v>
      </c>
      <c r="H3677" s="20">
        <f>IFERROR(INDEX('Kode Outlet dan Target Toko'!$D:$D,MATCH($I3677,'Kode Outlet dan Target Toko'!$E:$E,0)),0)</f>
        <v>2910733</v>
      </c>
      <c r="I3677" s="42" t="s">
        <v>93</v>
      </c>
      <c r="J3677" s="56" t="s">
        <v>226</v>
      </c>
      <c r="K3677" s="40" t="s">
        <v>13</v>
      </c>
      <c r="L3677" s="26">
        <v>3000</v>
      </c>
      <c r="M3677" s="26">
        <v>24</v>
      </c>
      <c r="N3677" s="25">
        <f t="shared" si="115"/>
        <v>72000</v>
      </c>
      <c r="O3677" s="56"/>
    </row>
    <row r="3678" spans="1:15" hidden="1" x14ac:dyDescent="0.3">
      <c r="A3678" s="26">
        <v>33</v>
      </c>
      <c r="B3678" s="20" t="str">
        <f t="shared" si="114"/>
        <v>AUG</v>
      </c>
      <c r="C3678" s="21">
        <v>46248</v>
      </c>
      <c r="D3678" s="22" t="str">
        <f>IFERROR(INDEX('Kode Outlet dan Target Toko'!$A:$A,MATCH($I3678,'Kode Outlet dan Target Toko'!$E:$E,0)),"")</f>
        <v>GRSM 5</v>
      </c>
      <c r="E3678" s="20" t="str">
        <f>IFERROR(VLOOKUP(I3678,KET!$B:$F,4,0),"")</f>
        <v>SUPRIYATI</v>
      </c>
      <c r="F3678" s="20" t="str">
        <f>IFERROR(VLOOKUP(I3678,KET!$B:$F,5,0),"")</f>
        <v>GMM</v>
      </c>
      <c r="G3678" s="20">
        <f>IFERROR(INDEX('Kode Outlet dan Target Toko'!$C:$C,MATCH($I3678,'Kode Outlet dan Target Toko'!$E:$E,0)),0)</f>
        <v>211050</v>
      </c>
      <c r="H3678" s="20">
        <f>IFERROR(INDEX('Kode Outlet dan Target Toko'!$D:$D,MATCH($I3678,'Kode Outlet dan Target Toko'!$E:$E,0)),0)</f>
        <v>2910733</v>
      </c>
      <c r="I3678" s="42" t="s">
        <v>93</v>
      </c>
      <c r="J3678" s="56" t="s">
        <v>226</v>
      </c>
      <c r="K3678" s="40" t="s">
        <v>16</v>
      </c>
      <c r="L3678" s="26">
        <v>3000</v>
      </c>
      <c r="M3678" s="26">
        <v>126</v>
      </c>
      <c r="N3678" s="25">
        <f t="shared" si="115"/>
        <v>378000</v>
      </c>
      <c r="O3678" s="56">
        <v>160</v>
      </c>
    </row>
    <row r="3679" spans="1:15" hidden="1" x14ac:dyDescent="0.3">
      <c r="A3679" s="26">
        <v>33</v>
      </c>
      <c r="B3679" s="20" t="str">
        <f t="shared" si="114"/>
        <v>AUG</v>
      </c>
      <c r="C3679" s="21">
        <v>46248</v>
      </c>
      <c r="D3679" s="22" t="str">
        <f>IFERROR(INDEX('Kode Outlet dan Target Toko'!$A:$A,MATCH($I3679,'Kode Outlet dan Target Toko'!$E:$E,0)),"")</f>
        <v>GRSM 5</v>
      </c>
      <c r="E3679" s="20" t="str">
        <f>IFERROR(VLOOKUP(I3679,KET!$B:$F,4,0),"")</f>
        <v>SUPRIYATI</v>
      </c>
      <c r="F3679" s="20" t="str">
        <f>IFERROR(VLOOKUP(I3679,KET!$B:$F,5,0),"")</f>
        <v>GMM</v>
      </c>
      <c r="G3679" s="20">
        <f>IFERROR(INDEX('Kode Outlet dan Target Toko'!$C:$C,MATCH($I3679,'Kode Outlet dan Target Toko'!$E:$E,0)),0)</f>
        <v>211050</v>
      </c>
      <c r="H3679" s="20">
        <f>IFERROR(INDEX('Kode Outlet dan Target Toko'!$D:$D,MATCH($I3679,'Kode Outlet dan Target Toko'!$E:$E,0)),0)</f>
        <v>2910733</v>
      </c>
      <c r="I3679" s="42" t="s">
        <v>93</v>
      </c>
      <c r="J3679" s="56" t="s">
        <v>227</v>
      </c>
      <c r="K3679" s="40" t="s">
        <v>15</v>
      </c>
      <c r="L3679" s="26">
        <v>3000</v>
      </c>
      <c r="M3679" s="26">
        <v>33</v>
      </c>
      <c r="N3679" s="25">
        <f t="shared" si="115"/>
        <v>99000</v>
      </c>
      <c r="O3679" s="56"/>
    </row>
    <row r="3680" spans="1:15" hidden="1" x14ac:dyDescent="0.3">
      <c r="A3680" s="26">
        <v>33</v>
      </c>
      <c r="B3680" s="20" t="str">
        <f t="shared" si="114"/>
        <v>AUG</v>
      </c>
      <c r="C3680" s="21">
        <v>46248</v>
      </c>
      <c r="D3680" s="22" t="str">
        <f>IFERROR(INDEX('Kode Outlet dan Target Toko'!$A:$A,MATCH($I3680,'Kode Outlet dan Target Toko'!$E:$E,0)),"")</f>
        <v>GRSM 5</v>
      </c>
      <c r="E3680" s="20" t="str">
        <f>IFERROR(VLOOKUP(I3680,KET!$B:$F,4,0),"")</f>
        <v>SUPRIYATI</v>
      </c>
      <c r="F3680" s="20" t="str">
        <f>IFERROR(VLOOKUP(I3680,KET!$B:$F,5,0),"")</f>
        <v>GMM</v>
      </c>
      <c r="G3680" s="20">
        <f>IFERROR(INDEX('Kode Outlet dan Target Toko'!$C:$C,MATCH($I3680,'Kode Outlet dan Target Toko'!$E:$E,0)),0)</f>
        <v>211050</v>
      </c>
      <c r="H3680" s="20">
        <f>IFERROR(INDEX('Kode Outlet dan Target Toko'!$D:$D,MATCH($I3680,'Kode Outlet dan Target Toko'!$E:$E,0)),0)</f>
        <v>2910733</v>
      </c>
      <c r="I3680" s="42" t="s">
        <v>93</v>
      </c>
      <c r="J3680" s="56" t="s">
        <v>227</v>
      </c>
      <c r="K3680" s="40" t="s">
        <v>14</v>
      </c>
      <c r="L3680" s="26">
        <v>3000</v>
      </c>
      <c r="M3680" s="26">
        <v>39</v>
      </c>
      <c r="N3680" s="25">
        <f t="shared" si="115"/>
        <v>117000</v>
      </c>
      <c r="O3680" s="56"/>
    </row>
    <row r="3681" spans="1:15" hidden="1" x14ac:dyDescent="0.3">
      <c r="A3681" s="26">
        <v>33</v>
      </c>
      <c r="B3681" s="20" t="str">
        <f t="shared" si="114"/>
        <v>AUG</v>
      </c>
      <c r="C3681" s="21">
        <v>46248</v>
      </c>
      <c r="D3681" s="22" t="str">
        <f>IFERROR(INDEX('Kode Outlet dan Target Toko'!$A:$A,MATCH($I3681,'Kode Outlet dan Target Toko'!$E:$E,0)),"")</f>
        <v>GRSM 5</v>
      </c>
      <c r="E3681" s="20" t="str">
        <f>IFERROR(VLOOKUP(I3681,KET!$B:$F,4,0),"")</f>
        <v>SUPRIYATI</v>
      </c>
      <c r="F3681" s="20" t="str">
        <f>IFERROR(VLOOKUP(I3681,KET!$B:$F,5,0),"")</f>
        <v>GMM</v>
      </c>
      <c r="G3681" s="20">
        <f>IFERROR(INDEX('Kode Outlet dan Target Toko'!$C:$C,MATCH($I3681,'Kode Outlet dan Target Toko'!$E:$E,0)),0)</f>
        <v>211050</v>
      </c>
      <c r="H3681" s="20">
        <f>IFERROR(INDEX('Kode Outlet dan Target Toko'!$D:$D,MATCH($I3681,'Kode Outlet dan Target Toko'!$E:$E,0)),0)</f>
        <v>2910733</v>
      </c>
      <c r="I3681" s="42" t="s">
        <v>93</v>
      </c>
      <c r="J3681" s="56" t="s">
        <v>227</v>
      </c>
      <c r="K3681" s="40" t="s">
        <v>13</v>
      </c>
      <c r="L3681" s="26">
        <v>3000</v>
      </c>
      <c r="M3681" s="26">
        <v>24</v>
      </c>
      <c r="N3681" s="25">
        <f t="shared" si="115"/>
        <v>72000</v>
      </c>
      <c r="O3681" s="56"/>
    </row>
    <row r="3682" spans="1:15" hidden="1" x14ac:dyDescent="0.3">
      <c r="A3682" s="26">
        <v>33</v>
      </c>
      <c r="B3682" s="20" t="str">
        <f t="shared" si="114"/>
        <v>AUG</v>
      </c>
      <c r="C3682" s="21">
        <v>46248</v>
      </c>
      <c r="D3682" s="22" t="str">
        <f>IFERROR(INDEX('Kode Outlet dan Target Toko'!$A:$A,MATCH($I3682,'Kode Outlet dan Target Toko'!$E:$E,0)),"")</f>
        <v>GRSM 5</v>
      </c>
      <c r="E3682" s="20" t="str">
        <f>IFERROR(VLOOKUP(I3682,KET!$B:$F,4,0),"")</f>
        <v>SUPRIYATI</v>
      </c>
      <c r="F3682" s="20" t="str">
        <f>IFERROR(VLOOKUP(I3682,KET!$B:$F,5,0),"")</f>
        <v>GMM</v>
      </c>
      <c r="G3682" s="20">
        <f>IFERROR(INDEX('Kode Outlet dan Target Toko'!$C:$C,MATCH($I3682,'Kode Outlet dan Target Toko'!$E:$E,0)),0)</f>
        <v>211050</v>
      </c>
      <c r="H3682" s="20">
        <f>IFERROR(INDEX('Kode Outlet dan Target Toko'!$D:$D,MATCH($I3682,'Kode Outlet dan Target Toko'!$E:$E,0)),0)</f>
        <v>2910733</v>
      </c>
      <c r="I3682" s="42" t="s">
        <v>93</v>
      </c>
      <c r="J3682" s="56" t="s">
        <v>227</v>
      </c>
      <c r="K3682" s="40" t="s">
        <v>16</v>
      </c>
      <c r="L3682" s="26">
        <v>3000</v>
      </c>
      <c r="M3682" s="26">
        <v>126</v>
      </c>
      <c r="N3682" s="25">
        <f t="shared" si="115"/>
        <v>378000</v>
      </c>
      <c r="O3682" s="56">
        <v>160</v>
      </c>
    </row>
    <row r="3683" spans="1:15" hidden="1" x14ac:dyDescent="0.3">
      <c r="A3683" s="26">
        <v>33</v>
      </c>
      <c r="B3683" s="20" t="str">
        <f t="shared" si="114"/>
        <v>AUG</v>
      </c>
      <c r="C3683" s="21">
        <v>46248</v>
      </c>
      <c r="D3683" s="22" t="str">
        <f>IFERROR(INDEX('Kode Outlet dan Target Toko'!$A:$A,MATCH($I3683,'Kode Outlet dan Target Toko'!$E:$E,0)),"")</f>
        <v>GRSM 5</v>
      </c>
      <c r="E3683" s="20" t="str">
        <f>IFERROR(VLOOKUP(I3683,KET!$B:$F,4,0),"")</f>
        <v>SUPRIYATI</v>
      </c>
      <c r="F3683" s="20" t="str">
        <f>IFERROR(VLOOKUP(I3683,KET!$B:$F,5,0),"")</f>
        <v>GMM</v>
      </c>
      <c r="G3683" s="20">
        <f>IFERROR(INDEX('Kode Outlet dan Target Toko'!$C:$C,MATCH($I3683,'Kode Outlet dan Target Toko'!$E:$E,0)),0)</f>
        <v>211051</v>
      </c>
      <c r="H3683" s="20">
        <f>IFERROR(INDEX('Kode Outlet dan Target Toko'!$D:$D,MATCH($I3683,'Kode Outlet dan Target Toko'!$E:$E,0)),0)</f>
        <v>5580008</v>
      </c>
      <c r="I3683" s="42" t="s">
        <v>88</v>
      </c>
      <c r="J3683" s="56" t="s">
        <v>203</v>
      </c>
      <c r="K3683" s="40" t="s">
        <v>15</v>
      </c>
      <c r="L3683" s="26">
        <v>2989</v>
      </c>
      <c r="M3683" s="26">
        <v>76</v>
      </c>
      <c r="N3683" s="25">
        <f t="shared" si="115"/>
        <v>227164</v>
      </c>
      <c r="O3683" s="56"/>
    </row>
    <row r="3684" spans="1:15" hidden="1" x14ac:dyDescent="0.3">
      <c r="A3684" s="26">
        <v>33</v>
      </c>
      <c r="B3684" s="20" t="str">
        <f t="shared" si="114"/>
        <v>AUG</v>
      </c>
      <c r="C3684" s="21">
        <v>46248</v>
      </c>
      <c r="D3684" s="22" t="str">
        <f>IFERROR(INDEX('Kode Outlet dan Target Toko'!$A:$A,MATCH($I3684,'Kode Outlet dan Target Toko'!$E:$E,0)),"")</f>
        <v>GRSM 5</v>
      </c>
      <c r="E3684" s="20" t="str">
        <f>IFERROR(VLOOKUP(I3684,KET!$B:$F,4,0),"")</f>
        <v>SUPRIYATI</v>
      </c>
      <c r="F3684" s="20" t="str">
        <f>IFERROR(VLOOKUP(I3684,KET!$B:$F,5,0),"")</f>
        <v>GMM</v>
      </c>
      <c r="G3684" s="20">
        <f>IFERROR(INDEX('Kode Outlet dan Target Toko'!$C:$C,MATCH($I3684,'Kode Outlet dan Target Toko'!$E:$E,0)),0)</f>
        <v>211051</v>
      </c>
      <c r="H3684" s="20">
        <f>IFERROR(INDEX('Kode Outlet dan Target Toko'!$D:$D,MATCH($I3684,'Kode Outlet dan Target Toko'!$E:$E,0)),0)</f>
        <v>5580008</v>
      </c>
      <c r="I3684" s="42" t="s">
        <v>88</v>
      </c>
      <c r="J3684" s="56" t="s">
        <v>203</v>
      </c>
      <c r="K3684" s="40" t="s">
        <v>14</v>
      </c>
      <c r="L3684" s="26">
        <v>2989</v>
      </c>
      <c r="M3684" s="26">
        <v>112</v>
      </c>
      <c r="N3684" s="25">
        <f t="shared" si="115"/>
        <v>334768</v>
      </c>
      <c r="O3684" s="56"/>
    </row>
    <row r="3685" spans="1:15" hidden="1" x14ac:dyDescent="0.3">
      <c r="A3685" s="26">
        <v>33</v>
      </c>
      <c r="B3685" s="20" t="str">
        <f t="shared" si="114"/>
        <v>AUG</v>
      </c>
      <c r="C3685" s="21">
        <v>46248</v>
      </c>
      <c r="D3685" s="22" t="str">
        <f>IFERROR(INDEX('Kode Outlet dan Target Toko'!$A:$A,MATCH($I3685,'Kode Outlet dan Target Toko'!$E:$E,0)),"")</f>
        <v>GRSM 5</v>
      </c>
      <c r="E3685" s="20" t="str">
        <f>IFERROR(VLOOKUP(I3685,KET!$B:$F,4,0),"")</f>
        <v>SUPRIYATI</v>
      </c>
      <c r="F3685" s="20" t="str">
        <f>IFERROR(VLOOKUP(I3685,KET!$B:$F,5,0),"")</f>
        <v>GMM</v>
      </c>
      <c r="G3685" s="20">
        <f>IFERROR(INDEX('Kode Outlet dan Target Toko'!$C:$C,MATCH($I3685,'Kode Outlet dan Target Toko'!$E:$E,0)),0)</f>
        <v>211051</v>
      </c>
      <c r="H3685" s="20">
        <f>IFERROR(INDEX('Kode Outlet dan Target Toko'!$D:$D,MATCH($I3685,'Kode Outlet dan Target Toko'!$E:$E,0)),0)</f>
        <v>5580008</v>
      </c>
      <c r="I3685" s="42" t="s">
        <v>88</v>
      </c>
      <c r="J3685" s="56" t="s">
        <v>203</v>
      </c>
      <c r="K3685" s="40" t="s">
        <v>13</v>
      </c>
      <c r="L3685" s="26">
        <v>2989</v>
      </c>
      <c r="M3685" s="26">
        <v>18</v>
      </c>
      <c r="N3685" s="25">
        <f t="shared" si="115"/>
        <v>53802</v>
      </c>
      <c r="O3685" s="56"/>
    </row>
    <row r="3686" spans="1:15" hidden="1" x14ac:dyDescent="0.3">
      <c r="A3686" s="26">
        <v>33</v>
      </c>
      <c r="B3686" s="20" t="str">
        <f t="shared" si="114"/>
        <v>AUG</v>
      </c>
      <c r="C3686" s="21">
        <v>46248</v>
      </c>
      <c r="D3686" s="22" t="str">
        <f>IFERROR(INDEX('Kode Outlet dan Target Toko'!$A:$A,MATCH($I3686,'Kode Outlet dan Target Toko'!$E:$E,0)),"")</f>
        <v>GRSM 5</v>
      </c>
      <c r="E3686" s="20" t="str">
        <f>IFERROR(VLOOKUP(I3686,KET!$B:$F,4,0),"")</f>
        <v>SUPRIYATI</v>
      </c>
      <c r="F3686" s="20" t="str">
        <f>IFERROR(VLOOKUP(I3686,KET!$B:$F,5,0),"")</f>
        <v>GMM</v>
      </c>
      <c r="G3686" s="20">
        <f>IFERROR(INDEX('Kode Outlet dan Target Toko'!$C:$C,MATCH($I3686,'Kode Outlet dan Target Toko'!$E:$E,0)),0)</f>
        <v>211051</v>
      </c>
      <c r="H3686" s="20">
        <f>IFERROR(INDEX('Kode Outlet dan Target Toko'!$D:$D,MATCH($I3686,'Kode Outlet dan Target Toko'!$E:$E,0)),0)</f>
        <v>5580008</v>
      </c>
      <c r="I3686" s="42" t="s">
        <v>88</v>
      </c>
      <c r="J3686" s="56" t="s">
        <v>203</v>
      </c>
      <c r="K3686" s="40" t="s">
        <v>16</v>
      </c>
      <c r="L3686" s="26">
        <v>2989</v>
      </c>
      <c r="M3686" s="26">
        <v>182</v>
      </c>
      <c r="N3686" s="25">
        <f t="shared" si="115"/>
        <v>543998</v>
      </c>
      <c r="O3686" s="56">
        <v>160</v>
      </c>
    </row>
    <row r="3687" spans="1:15" hidden="1" x14ac:dyDescent="0.3">
      <c r="A3687" s="26">
        <v>33</v>
      </c>
      <c r="B3687" s="20" t="str">
        <f t="shared" si="114"/>
        <v>AUG</v>
      </c>
      <c r="C3687" s="21">
        <v>46248</v>
      </c>
      <c r="D3687" s="22" t="str">
        <f>IFERROR(INDEX('Kode Outlet dan Target Toko'!$A:$A,MATCH($I3687,'Kode Outlet dan Target Toko'!$E:$E,0)),"")</f>
        <v>GRSM 5</v>
      </c>
      <c r="E3687" s="20" t="str">
        <f>IFERROR(VLOOKUP(I3687,KET!$B:$F,4,0),"")</f>
        <v>SUPRIYATI</v>
      </c>
      <c r="F3687" s="20" t="str">
        <f>IFERROR(VLOOKUP(I3687,KET!$B:$F,5,0),"")</f>
        <v>GMM</v>
      </c>
      <c r="G3687" s="20">
        <f>IFERROR(INDEX('Kode Outlet dan Target Toko'!$C:$C,MATCH($I3687,'Kode Outlet dan Target Toko'!$E:$E,0)),0)</f>
        <v>211051</v>
      </c>
      <c r="H3687" s="20">
        <f>IFERROR(INDEX('Kode Outlet dan Target Toko'!$D:$D,MATCH($I3687,'Kode Outlet dan Target Toko'!$E:$E,0)),0)</f>
        <v>5580008</v>
      </c>
      <c r="I3687" s="42" t="s">
        <v>88</v>
      </c>
      <c r="J3687" s="56" t="s">
        <v>302</v>
      </c>
      <c r="K3687" s="40" t="s">
        <v>15</v>
      </c>
      <c r="L3687" s="26">
        <v>2989</v>
      </c>
      <c r="M3687" s="26">
        <v>76</v>
      </c>
      <c r="N3687" s="25">
        <f t="shared" si="115"/>
        <v>227164</v>
      </c>
      <c r="O3687" s="56"/>
    </row>
    <row r="3688" spans="1:15" hidden="1" x14ac:dyDescent="0.3">
      <c r="A3688" s="26">
        <v>33</v>
      </c>
      <c r="B3688" s="20" t="str">
        <f t="shared" si="114"/>
        <v>AUG</v>
      </c>
      <c r="C3688" s="21">
        <v>46248</v>
      </c>
      <c r="D3688" s="22" t="str">
        <f>IFERROR(INDEX('Kode Outlet dan Target Toko'!$A:$A,MATCH($I3688,'Kode Outlet dan Target Toko'!$E:$E,0)),"")</f>
        <v>GRSM 5</v>
      </c>
      <c r="E3688" s="20" t="str">
        <f>IFERROR(VLOOKUP(I3688,KET!$B:$F,4,0),"")</f>
        <v>SUPRIYATI</v>
      </c>
      <c r="F3688" s="20" t="str">
        <f>IFERROR(VLOOKUP(I3688,KET!$B:$F,5,0),"")</f>
        <v>GMM</v>
      </c>
      <c r="G3688" s="20">
        <f>IFERROR(INDEX('Kode Outlet dan Target Toko'!$C:$C,MATCH($I3688,'Kode Outlet dan Target Toko'!$E:$E,0)),0)</f>
        <v>211051</v>
      </c>
      <c r="H3688" s="20">
        <f>IFERROR(INDEX('Kode Outlet dan Target Toko'!$D:$D,MATCH($I3688,'Kode Outlet dan Target Toko'!$E:$E,0)),0)</f>
        <v>5580008</v>
      </c>
      <c r="I3688" s="42" t="s">
        <v>88</v>
      </c>
      <c r="J3688" s="56" t="s">
        <v>302</v>
      </c>
      <c r="K3688" s="40" t="s">
        <v>14</v>
      </c>
      <c r="L3688" s="26">
        <v>2989</v>
      </c>
      <c r="M3688" s="26">
        <v>112</v>
      </c>
      <c r="N3688" s="25">
        <f t="shared" si="115"/>
        <v>334768</v>
      </c>
      <c r="O3688" s="56"/>
    </row>
    <row r="3689" spans="1:15" hidden="1" x14ac:dyDescent="0.3">
      <c r="A3689" s="26">
        <v>33</v>
      </c>
      <c r="B3689" s="20" t="str">
        <f t="shared" si="114"/>
        <v>AUG</v>
      </c>
      <c r="C3689" s="21">
        <v>46248</v>
      </c>
      <c r="D3689" s="22" t="str">
        <f>IFERROR(INDEX('Kode Outlet dan Target Toko'!$A:$A,MATCH($I3689,'Kode Outlet dan Target Toko'!$E:$E,0)),"")</f>
        <v>GRSM 5</v>
      </c>
      <c r="E3689" s="20" t="str">
        <f>IFERROR(VLOOKUP(I3689,KET!$B:$F,4,0),"")</f>
        <v>SUPRIYATI</v>
      </c>
      <c r="F3689" s="20" t="str">
        <f>IFERROR(VLOOKUP(I3689,KET!$B:$F,5,0),"")</f>
        <v>GMM</v>
      </c>
      <c r="G3689" s="20">
        <f>IFERROR(INDEX('Kode Outlet dan Target Toko'!$C:$C,MATCH($I3689,'Kode Outlet dan Target Toko'!$E:$E,0)),0)</f>
        <v>211051</v>
      </c>
      <c r="H3689" s="20">
        <f>IFERROR(INDEX('Kode Outlet dan Target Toko'!$D:$D,MATCH($I3689,'Kode Outlet dan Target Toko'!$E:$E,0)),0)</f>
        <v>5580008</v>
      </c>
      <c r="I3689" s="42" t="s">
        <v>88</v>
      </c>
      <c r="J3689" s="56" t="s">
        <v>302</v>
      </c>
      <c r="K3689" s="40" t="s">
        <v>13</v>
      </c>
      <c r="L3689" s="26">
        <v>2989</v>
      </c>
      <c r="M3689" s="26">
        <v>18</v>
      </c>
      <c r="N3689" s="25">
        <f t="shared" si="115"/>
        <v>53802</v>
      </c>
      <c r="O3689" s="56"/>
    </row>
    <row r="3690" spans="1:15" hidden="1" x14ac:dyDescent="0.3">
      <c r="A3690" s="26">
        <v>33</v>
      </c>
      <c r="B3690" s="20" t="str">
        <f t="shared" si="114"/>
        <v>AUG</v>
      </c>
      <c r="C3690" s="21">
        <v>46248</v>
      </c>
      <c r="D3690" s="22" t="str">
        <f>IFERROR(INDEX('Kode Outlet dan Target Toko'!$A:$A,MATCH($I3690,'Kode Outlet dan Target Toko'!$E:$E,0)),"")</f>
        <v>GRSM 5</v>
      </c>
      <c r="E3690" s="20" t="str">
        <f>IFERROR(VLOOKUP(I3690,KET!$B:$F,4,0),"")</f>
        <v>SUPRIYATI</v>
      </c>
      <c r="F3690" s="20" t="str">
        <f>IFERROR(VLOOKUP(I3690,KET!$B:$F,5,0),"")</f>
        <v>GMM</v>
      </c>
      <c r="G3690" s="20">
        <f>IFERROR(INDEX('Kode Outlet dan Target Toko'!$C:$C,MATCH($I3690,'Kode Outlet dan Target Toko'!$E:$E,0)),0)</f>
        <v>211051</v>
      </c>
      <c r="H3690" s="20">
        <f>IFERROR(INDEX('Kode Outlet dan Target Toko'!$D:$D,MATCH($I3690,'Kode Outlet dan Target Toko'!$E:$E,0)),0)</f>
        <v>5580008</v>
      </c>
      <c r="I3690" s="42" t="s">
        <v>88</v>
      </c>
      <c r="J3690" s="56" t="s">
        <v>302</v>
      </c>
      <c r="K3690" s="40" t="s">
        <v>16</v>
      </c>
      <c r="L3690" s="26">
        <v>2989</v>
      </c>
      <c r="M3690" s="26">
        <v>182</v>
      </c>
      <c r="N3690" s="25">
        <f t="shared" si="115"/>
        <v>543998</v>
      </c>
      <c r="O3690" s="56">
        <v>160</v>
      </c>
    </row>
    <row r="3691" spans="1:15" hidden="1" x14ac:dyDescent="0.3">
      <c r="A3691" s="26">
        <v>33</v>
      </c>
      <c r="B3691" s="20" t="str">
        <f t="shared" si="114"/>
        <v>AUG</v>
      </c>
      <c r="C3691" s="21">
        <v>46248</v>
      </c>
      <c r="D3691" s="22" t="str">
        <f>IFERROR(INDEX('Kode Outlet dan Target Toko'!$A:$A,MATCH($I3691,'Kode Outlet dan Target Toko'!$E:$E,0)),"")</f>
        <v>GRSM 5</v>
      </c>
      <c r="E3691" s="20" t="str">
        <f>IFERROR(VLOOKUP(I3691,KET!$B:$F,4,0),"")</f>
        <v>SUPRIYATI</v>
      </c>
      <c r="F3691" s="20" t="str">
        <f>IFERROR(VLOOKUP(I3691,KET!$B:$F,5,0),"")</f>
        <v>GMM</v>
      </c>
      <c r="G3691" s="20">
        <f>IFERROR(INDEX('Kode Outlet dan Target Toko'!$C:$C,MATCH($I3691,'Kode Outlet dan Target Toko'!$E:$E,0)),0)</f>
        <v>0</v>
      </c>
      <c r="H3691" s="20">
        <f>IFERROR(INDEX('Kode Outlet dan Target Toko'!$D:$D,MATCH($I3691,'Kode Outlet dan Target Toko'!$E:$E,0)),0)</f>
        <v>0</v>
      </c>
      <c r="I3691" s="42" t="s">
        <v>117</v>
      </c>
      <c r="J3691" s="56" t="s">
        <v>228</v>
      </c>
      <c r="K3691" s="40" t="s">
        <v>15</v>
      </c>
      <c r="L3691" s="26">
        <v>3200</v>
      </c>
      <c r="M3691" s="26">
        <v>0</v>
      </c>
      <c r="N3691" s="25">
        <f t="shared" si="115"/>
        <v>0</v>
      </c>
      <c r="O3691" s="56"/>
    </row>
    <row r="3692" spans="1:15" hidden="1" x14ac:dyDescent="0.3">
      <c r="A3692" s="26">
        <v>33</v>
      </c>
      <c r="B3692" s="20" t="str">
        <f t="shared" si="114"/>
        <v>AUG</v>
      </c>
      <c r="C3692" s="21">
        <v>46248</v>
      </c>
      <c r="D3692" s="22" t="str">
        <f>IFERROR(INDEX('Kode Outlet dan Target Toko'!$A:$A,MATCH($I3692,'Kode Outlet dan Target Toko'!$E:$E,0)),"")</f>
        <v>GRSM 5</v>
      </c>
      <c r="E3692" s="20" t="str">
        <f>IFERROR(VLOOKUP(I3692,KET!$B:$F,4,0),"")</f>
        <v>SUPRIYATI</v>
      </c>
      <c r="F3692" s="20" t="str">
        <f>IFERROR(VLOOKUP(I3692,KET!$B:$F,5,0),"")</f>
        <v>GMM</v>
      </c>
      <c r="G3692" s="20">
        <f>IFERROR(INDEX('Kode Outlet dan Target Toko'!$C:$C,MATCH($I3692,'Kode Outlet dan Target Toko'!$E:$E,0)),0)</f>
        <v>0</v>
      </c>
      <c r="H3692" s="20">
        <f>IFERROR(INDEX('Kode Outlet dan Target Toko'!$D:$D,MATCH($I3692,'Kode Outlet dan Target Toko'!$E:$E,0)),0)</f>
        <v>0</v>
      </c>
      <c r="I3692" s="42" t="s">
        <v>117</v>
      </c>
      <c r="J3692" s="56" t="s">
        <v>228</v>
      </c>
      <c r="K3692" s="40" t="s">
        <v>14</v>
      </c>
      <c r="L3692" s="26">
        <v>3200</v>
      </c>
      <c r="M3692" s="26">
        <v>0</v>
      </c>
      <c r="N3692" s="25">
        <f t="shared" si="115"/>
        <v>0</v>
      </c>
      <c r="O3692" s="56"/>
    </row>
    <row r="3693" spans="1:15" hidden="1" x14ac:dyDescent="0.3">
      <c r="A3693" s="26">
        <v>33</v>
      </c>
      <c r="B3693" s="20" t="str">
        <f t="shared" si="114"/>
        <v>AUG</v>
      </c>
      <c r="C3693" s="21">
        <v>46248</v>
      </c>
      <c r="D3693" s="22" t="str">
        <f>IFERROR(INDEX('Kode Outlet dan Target Toko'!$A:$A,MATCH($I3693,'Kode Outlet dan Target Toko'!$E:$E,0)),"")</f>
        <v>GRSM 5</v>
      </c>
      <c r="E3693" s="20" t="str">
        <f>IFERROR(VLOOKUP(I3693,KET!$B:$F,4,0),"")</f>
        <v>SUPRIYATI</v>
      </c>
      <c r="F3693" s="20" t="str">
        <f>IFERROR(VLOOKUP(I3693,KET!$B:$F,5,0),"")</f>
        <v>GMM</v>
      </c>
      <c r="G3693" s="20">
        <f>IFERROR(INDEX('Kode Outlet dan Target Toko'!$C:$C,MATCH($I3693,'Kode Outlet dan Target Toko'!$E:$E,0)),0)</f>
        <v>0</v>
      </c>
      <c r="H3693" s="20">
        <f>IFERROR(INDEX('Kode Outlet dan Target Toko'!$D:$D,MATCH($I3693,'Kode Outlet dan Target Toko'!$E:$E,0)),0)</f>
        <v>0</v>
      </c>
      <c r="I3693" s="42" t="s">
        <v>117</v>
      </c>
      <c r="J3693" s="56" t="s">
        <v>228</v>
      </c>
      <c r="K3693" s="40" t="s">
        <v>13</v>
      </c>
      <c r="L3693" s="26">
        <v>3200</v>
      </c>
      <c r="M3693" s="26">
        <v>0</v>
      </c>
      <c r="N3693" s="25">
        <f t="shared" si="115"/>
        <v>0</v>
      </c>
      <c r="O3693" s="56"/>
    </row>
    <row r="3694" spans="1:15" hidden="1" x14ac:dyDescent="0.3">
      <c r="A3694" s="26">
        <v>33</v>
      </c>
      <c r="B3694" s="20" t="str">
        <f t="shared" si="114"/>
        <v>AUG</v>
      </c>
      <c r="C3694" s="21">
        <v>46248</v>
      </c>
      <c r="D3694" s="22" t="str">
        <f>IFERROR(INDEX('Kode Outlet dan Target Toko'!$A:$A,MATCH($I3694,'Kode Outlet dan Target Toko'!$E:$E,0)),"")</f>
        <v>GRSM 5</v>
      </c>
      <c r="E3694" s="20" t="str">
        <f>IFERROR(VLOOKUP(I3694,KET!$B:$F,4,0),"")</f>
        <v>SUPRIYATI</v>
      </c>
      <c r="F3694" s="20" t="str">
        <f>IFERROR(VLOOKUP(I3694,KET!$B:$F,5,0),"")</f>
        <v>GMM</v>
      </c>
      <c r="G3694" s="20">
        <f>IFERROR(INDEX('Kode Outlet dan Target Toko'!$C:$C,MATCH($I3694,'Kode Outlet dan Target Toko'!$E:$E,0)),0)</f>
        <v>0</v>
      </c>
      <c r="H3694" s="20">
        <f>IFERROR(INDEX('Kode Outlet dan Target Toko'!$D:$D,MATCH($I3694,'Kode Outlet dan Target Toko'!$E:$E,0)),0)</f>
        <v>0</v>
      </c>
      <c r="I3694" s="42" t="s">
        <v>117</v>
      </c>
      <c r="J3694" s="56" t="s">
        <v>228</v>
      </c>
      <c r="K3694" s="40" t="s">
        <v>16</v>
      </c>
      <c r="L3694" s="26">
        <v>3200</v>
      </c>
      <c r="M3694" s="26">
        <v>72</v>
      </c>
      <c r="N3694" s="25">
        <f t="shared" si="115"/>
        <v>230400</v>
      </c>
      <c r="O3694" s="56">
        <v>320</v>
      </c>
    </row>
    <row r="3695" spans="1:15" hidden="1" x14ac:dyDescent="0.3">
      <c r="A3695" s="26">
        <v>33</v>
      </c>
      <c r="B3695" s="20" t="str">
        <f t="shared" si="114"/>
        <v>AUG</v>
      </c>
      <c r="C3695" s="21">
        <v>46248</v>
      </c>
      <c r="D3695" s="22" t="str">
        <f>IFERROR(INDEX('Kode Outlet dan Target Toko'!$A:$A,MATCH($I3695,'Kode Outlet dan Target Toko'!$E:$E,0)),"")</f>
        <v>GRSM 5</v>
      </c>
      <c r="E3695" s="20" t="str">
        <f>IFERROR(VLOOKUP(I3695,KET!$B:$F,4,0),"")</f>
        <v>SUPRIYATI</v>
      </c>
      <c r="F3695" s="20" t="str">
        <f>IFERROR(VLOOKUP(I3695,KET!$B:$F,5,0),"")</f>
        <v>GMM</v>
      </c>
      <c r="G3695" s="20">
        <f>IFERROR(INDEX('Kode Outlet dan Target Toko'!$C:$C,MATCH($I3695,'Kode Outlet dan Target Toko'!$E:$E,0)),0)</f>
        <v>0</v>
      </c>
      <c r="H3695" s="20">
        <f>IFERROR(INDEX('Kode Outlet dan Target Toko'!$D:$D,MATCH($I3695,'Kode Outlet dan Target Toko'!$E:$E,0)),0)</f>
        <v>0</v>
      </c>
      <c r="I3695" s="42" t="s">
        <v>117</v>
      </c>
      <c r="J3695" s="56" t="s">
        <v>229</v>
      </c>
      <c r="K3695" s="40" t="s">
        <v>15</v>
      </c>
      <c r="L3695" s="26">
        <v>3200</v>
      </c>
      <c r="M3695" s="26">
        <v>0</v>
      </c>
      <c r="N3695" s="25">
        <f t="shared" si="115"/>
        <v>0</v>
      </c>
      <c r="O3695" s="56"/>
    </row>
    <row r="3696" spans="1:15" hidden="1" x14ac:dyDescent="0.3">
      <c r="A3696" s="26">
        <v>33</v>
      </c>
      <c r="B3696" s="20" t="str">
        <f t="shared" si="114"/>
        <v>AUG</v>
      </c>
      <c r="C3696" s="21">
        <v>46248</v>
      </c>
      <c r="D3696" s="22" t="str">
        <f>IFERROR(INDEX('Kode Outlet dan Target Toko'!$A:$A,MATCH($I3696,'Kode Outlet dan Target Toko'!$E:$E,0)),"")</f>
        <v>GRSM 5</v>
      </c>
      <c r="E3696" s="20" t="str">
        <f>IFERROR(VLOOKUP(I3696,KET!$B:$F,4,0),"")</f>
        <v>SUPRIYATI</v>
      </c>
      <c r="F3696" s="20" t="str">
        <f>IFERROR(VLOOKUP(I3696,KET!$B:$F,5,0),"")</f>
        <v>GMM</v>
      </c>
      <c r="G3696" s="20">
        <f>IFERROR(INDEX('Kode Outlet dan Target Toko'!$C:$C,MATCH($I3696,'Kode Outlet dan Target Toko'!$E:$E,0)),0)</f>
        <v>0</v>
      </c>
      <c r="H3696" s="20">
        <f>IFERROR(INDEX('Kode Outlet dan Target Toko'!$D:$D,MATCH($I3696,'Kode Outlet dan Target Toko'!$E:$E,0)),0)</f>
        <v>0</v>
      </c>
      <c r="I3696" s="42" t="s">
        <v>117</v>
      </c>
      <c r="J3696" s="56" t="s">
        <v>229</v>
      </c>
      <c r="K3696" s="40" t="s">
        <v>14</v>
      </c>
      <c r="L3696" s="26">
        <v>3200</v>
      </c>
      <c r="M3696" s="26">
        <v>0</v>
      </c>
      <c r="N3696" s="25">
        <f t="shared" si="115"/>
        <v>0</v>
      </c>
      <c r="O3696" s="56"/>
    </row>
    <row r="3697" spans="1:15" hidden="1" x14ac:dyDescent="0.3">
      <c r="A3697" s="26">
        <v>33</v>
      </c>
      <c r="B3697" s="20" t="str">
        <f t="shared" si="114"/>
        <v>AUG</v>
      </c>
      <c r="C3697" s="21">
        <v>46248</v>
      </c>
      <c r="D3697" s="22" t="str">
        <f>IFERROR(INDEX('Kode Outlet dan Target Toko'!$A:$A,MATCH($I3697,'Kode Outlet dan Target Toko'!$E:$E,0)),"")</f>
        <v>GRSM 5</v>
      </c>
      <c r="E3697" s="20" t="str">
        <f>IFERROR(VLOOKUP(I3697,KET!$B:$F,4,0),"")</f>
        <v>SUPRIYATI</v>
      </c>
      <c r="F3697" s="20" t="str">
        <f>IFERROR(VLOOKUP(I3697,KET!$B:$F,5,0),"")</f>
        <v>GMM</v>
      </c>
      <c r="G3697" s="20">
        <f>IFERROR(INDEX('Kode Outlet dan Target Toko'!$C:$C,MATCH($I3697,'Kode Outlet dan Target Toko'!$E:$E,0)),0)</f>
        <v>0</v>
      </c>
      <c r="H3697" s="20">
        <f>IFERROR(INDEX('Kode Outlet dan Target Toko'!$D:$D,MATCH($I3697,'Kode Outlet dan Target Toko'!$E:$E,0)),0)</f>
        <v>0</v>
      </c>
      <c r="I3697" s="42" t="s">
        <v>117</v>
      </c>
      <c r="J3697" s="56" t="s">
        <v>229</v>
      </c>
      <c r="K3697" s="40" t="s">
        <v>13</v>
      </c>
      <c r="L3697" s="26">
        <v>3200</v>
      </c>
      <c r="M3697" s="26">
        <v>0</v>
      </c>
      <c r="N3697" s="25">
        <f t="shared" si="115"/>
        <v>0</v>
      </c>
      <c r="O3697" s="56"/>
    </row>
    <row r="3698" spans="1:15" hidden="1" x14ac:dyDescent="0.3">
      <c r="A3698" s="26">
        <v>33</v>
      </c>
      <c r="B3698" s="20" t="str">
        <f t="shared" si="114"/>
        <v>AUG</v>
      </c>
      <c r="C3698" s="21">
        <v>46248</v>
      </c>
      <c r="D3698" s="22" t="str">
        <f>IFERROR(INDEX('Kode Outlet dan Target Toko'!$A:$A,MATCH($I3698,'Kode Outlet dan Target Toko'!$E:$E,0)),"")</f>
        <v>GRSM 5</v>
      </c>
      <c r="E3698" s="20" t="str">
        <f>IFERROR(VLOOKUP(I3698,KET!$B:$F,4,0),"")</f>
        <v>SUPRIYATI</v>
      </c>
      <c r="F3698" s="20" t="str">
        <f>IFERROR(VLOOKUP(I3698,KET!$B:$F,5,0),"")</f>
        <v>GMM</v>
      </c>
      <c r="G3698" s="20">
        <f>IFERROR(INDEX('Kode Outlet dan Target Toko'!$C:$C,MATCH($I3698,'Kode Outlet dan Target Toko'!$E:$E,0)),0)</f>
        <v>0</v>
      </c>
      <c r="H3698" s="20">
        <f>IFERROR(INDEX('Kode Outlet dan Target Toko'!$D:$D,MATCH($I3698,'Kode Outlet dan Target Toko'!$E:$E,0)),0)</f>
        <v>0</v>
      </c>
      <c r="I3698" s="42" t="s">
        <v>117</v>
      </c>
      <c r="J3698" s="56" t="s">
        <v>229</v>
      </c>
      <c r="K3698" s="40" t="s">
        <v>16</v>
      </c>
      <c r="L3698" s="26">
        <v>3200</v>
      </c>
      <c r="M3698" s="26">
        <v>72</v>
      </c>
      <c r="N3698" s="25">
        <f t="shared" si="115"/>
        <v>230400</v>
      </c>
      <c r="O3698" s="56">
        <v>320</v>
      </c>
    </row>
    <row r="3699" spans="1:15" hidden="1" x14ac:dyDescent="0.3">
      <c r="A3699" s="26">
        <v>33</v>
      </c>
      <c r="B3699" s="20" t="str">
        <f t="shared" si="114"/>
        <v>AUG</v>
      </c>
      <c r="C3699" s="21">
        <v>46248</v>
      </c>
      <c r="D3699" s="22" t="str">
        <f>IFERROR(INDEX('Kode Outlet dan Target Toko'!$A:$A,MATCH($I3699,'Kode Outlet dan Target Toko'!$E:$E,0)),"")</f>
        <v>GRSM 5</v>
      </c>
      <c r="E3699" s="20" t="str">
        <f>IFERROR(VLOOKUP(I3699,KET!$B:$F,4,0),"")</f>
        <v>SUPRIYATI</v>
      </c>
      <c r="F3699" s="20" t="str">
        <f>IFERROR(VLOOKUP(I3699,KET!$B:$F,5,0),"")</f>
        <v>GMM</v>
      </c>
      <c r="G3699" s="20">
        <f>IFERROR(INDEX('Kode Outlet dan Target Toko'!$C:$C,MATCH($I3699,'Kode Outlet dan Target Toko'!$E:$E,0)),0)</f>
        <v>211009</v>
      </c>
      <c r="H3699" s="20">
        <f>IFERROR(INDEX('Kode Outlet dan Target Toko'!$D:$D,MATCH($I3699,'Kode Outlet dan Target Toko'!$E:$E,0)),0)</f>
        <v>2100003</v>
      </c>
      <c r="I3699" s="42" t="s">
        <v>118</v>
      </c>
      <c r="J3699" s="56" t="s">
        <v>230</v>
      </c>
      <c r="K3699" s="40" t="s">
        <v>15</v>
      </c>
      <c r="L3699" s="26">
        <v>2900</v>
      </c>
      <c r="M3699" s="26">
        <v>42</v>
      </c>
      <c r="N3699" s="25">
        <f t="shared" si="115"/>
        <v>121800</v>
      </c>
      <c r="O3699" s="56"/>
    </row>
    <row r="3700" spans="1:15" hidden="1" x14ac:dyDescent="0.3">
      <c r="A3700" s="26">
        <v>33</v>
      </c>
      <c r="B3700" s="20" t="str">
        <f t="shared" si="114"/>
        <v>AUG</v>
      </c>
      <c r="C3700" s="21">
        <v>46248</v>
      </c>
      <c r="D3700" s="22" t="str">
        <f>IFERROR(INDEX('Kode Outlet dan Target Toko'!$A:$A,MATCH($I3700,'Kode Outlet dan Target Toko'!$E:$E,0)),"")</f>
        <v>GRSM 5</v>
      </c>
      <c r="E3700" s="20" t="str">
        <f>IFERROR(VLOOKUP(I3700,KET!$B:$F,4,0),"")</f>
        <v>SUPRIYATI</v>
      </c>
      <c r="F3700" s="20" t="str">
        <f>IFERROR(VLOOKUP(I3700,KET!$B:$F,5,0),"")</f>
        <v>GMM</v>
      </c>
      <c r="G3700" s="20">
        <f>IFERROR(INDEX('Kode Outlet dan Target Toko'!$C:$C,MATCH($I3700,'Kode Outlet dan Target Toko'!$E:$E,0)),0)</f>
        <v>211009</v>
      </c>
      <c r="H3700" s="20">
        <f>IFERROR(INDEX('Kode Outlet dan Target Toko'!$D:$D,MATCH($I3700,'Kode Outlet dan Target Toko'!$E:$E,0)),0)</f>
        <v>2100003</v>
      </c>
      <c r="I3700" s="42" t="s">
        <v>118</v>
      </c>
      <c r="J3700" s="56" t="s">
        <v>230</v>
      </c>
      <c r="K3700" s="40" t="s">
        <v>14</v>
      </c>
      <c r="L3700" s="26">
        <v>2900</v>
      </c>
      <c r="M3700" s="26">
        <v>68</v>
      </c>
      <c r="N3700" s="25">
        <f t="shared" si="115"/>
        <v>197200</v>
      </c>
      <c r="O3700" s="56"/>
    </row>
    <row r="3701" spans="1:15" hidden="1" x14ac:dyDescent="0.3">
      <c r="A3701" s="26">
        <v>33</v>
      </c>
      <c r="B3701" s="20" t="str">
        <f t="shared" si="114"/>
        <v>AUG</v>
      </c>
      <c r="C3701" s="21">
        <v>46248</v>
      </c>
      <c r="D3701" s="22" t="str">
        <f>IFERROR(INDEX('Kode Outlet dan Target Toko'!$A:$A,MATCH($I3701,'Kode Outlet dan Target Toko'!$E:$E,0)),"")</f>
        <v>GRSM 5</v>
      </c>
      <c r="E3701" s="20" t="str">
        <f>IFERROR(VLOOKUP(I3701,KET!$B:$F,4,0),"")</f>
        <v>SUPRIYATI</v>
      </c>
      <c r="F3701" s="20" t="str">
        <f>IFERROR(VLOOKUP(I3701,KET!$B:$F,5,0),"")</f>
        <v>GMM</v>
      </c>
      <c r="G3701" s="20">
        <f>IFERROR(INDEX('Kode Outlet dan Target Toko'!$C:$C,MATCH($I3701,'Kode Outlet dan Target Toko'!$E:$E,0)),0)</f>
        <v>211009</v>
      </c>
      <c r="H3701" s="20">
        <f>IFERROR(INDEX('Kode Outlet dan Target Toko'!$D:$D,MATCH($I3701,'Kode Outlet dan Target Toko'!$E:$E,0)),0)</f>
        <v>2100003</v>
      </c>
      <c r="I3701" s="42" t="s">
        <v>118</v>
      </c>
      <c r="J3701" s="56" t="s">
        <v>230</v>
      </c>
      <c r="K3701" s="40" t="s">
        <v>13</v>
      </c>
      <c r="L3701" s="26">
        <v>2900</v>
      </c>
      <c r="M3701" s="26">
        <v>32</v>
      </c>
      <c r="N3701" s="25">
        <f t="shared" si="115"/>
        <v>92800</v>
      </c>
      <c r="O3701" s="56"/>
    </row>
    <row r="3702" spans="1:15" hidden="1" x14ac:dyDescent="0.3">
      <c r="A3702" s="26">
        <v>33</v>
      </c>
      <c r="B3702" s="20" t="str">
        <f t="shared" si="114"/>
        <v>AUG</v>
      </c>
      <c r="C3702" s="21">
        <v>46248</v>
      </c>
      <c r="D3702" s="22" t="str">
        <f>IFERROR(INDEX('Kode Outlet dan Target Toko'!$A:$A,MATCH($I3702,'Kode Outlet dan Target Toko'!$E:$E,0)),"")</f>
        <v>GRSM 5</v>
      </c>
      <c r="E3702" s="20" t="str">
        <f>IFERROR(VLOOKUP(I3702,KET!$B:$F,4,0),"")</f>
        <v>SUPRIYATI</v>
      </c>
      <c r="F3702" s="20" t="str">
        <f>IFERROR(VLOOKUP(I3702,KET!$B:$F,5,0),"")</f>
        <v>GMM</v>
      </c>
      <c r="G3702" s="20">
        <f>IFERROR(INDEX('Kode Outlet dan Target Toko'!$C:$C,MATCH($I3702,'Kode Outlet dan Target Toko'!$E:$E,0)),0)</f>
        <v>211009</v>
      </c>
      <c r="H3702" s="20">
        <f>IFERROR(INDEX('Kode Outlet dan Target Toko'!$D:$D,MATCH($I3702,'Kode Outlet dan Target Toko'!$E:$E,0)),0)</f>
        <v>2100003</v>
      </c>
      <c r="I3702" s="42" t="s">
        <v>118</v>
      </c>
      <c r="J3702" s="56" t="s">
        <v>230</v>
      </c>
      <c r="K3702" s="40" t="s">
        <v>16</v>
      </c>
      <c r="L3702" s="26">
        <v>2900</v>
      </c>
      <c r="M3702" s="26">
        <v>204</v>
      </c>
      <c r="N3702" s="25">
        <f t="shared" si="115"/>
        <v>591600</v>
      </c>
      <c r="O3702" s="56">
        <v>160</v>
      </c>
    </row>
    <row r="3703" spans="1:15" hidden="1" x14ac:dyDescent="0.3">
      <c r="A3703" s="26">
        <v>33</v>
      </c>
      <c r="B3703" s="20" t="str">
        <f t="shared" si="114"/>
        <v>AUG</v>
      </c>
      <c r="C3703" s="21">
        <v>46248</v>
      </c>
      <c r="D3703" s="22" t="str">
        <f>IFERROR(INDEX('Kode Outlet dan Target Toko'!$A:$A,MATCH($I3703,'Kode Outlet dan Target Toko'!$E:$E,0)),"")</f>
        <v>GRSM 5</v>
      </c>
      <c r="E3703" s="20" t="str">
        <f>IFERROR(VLOOKUP(I3703,KET!$B:$F,4,0),"")</f>
        <v>SUPRIYATI</v>
      </c>
      <c r="F3703" s="20" t="str">
        <f>IFERROR(VLOOKUP(I3703,KET!$B:$F,5,0),"")</f>
        <v>GMM</v>
      </c>
      <c r="G3703" s="20">
        <f>IFERROR(INDEX('Kode Outlet dan Target Toko'!$C:$C,MATCH($I3703,'Kode Outlet dan Target Toko'!$E:$E,0)),0)</f>
        <v>211009</v>
      </c>
      <c r="H3703" s="20">
        <f>IFERROR(INDEX('Kode Outlet dan Target Toko'!$D:$D,MATCH($I3703,'Kode Outlet dan Target Toko'!$E:$E,0)),0)</f>
        <v>2100003</v>
      </c>
      <c r="I3703" s="42" t="s">
        <v>118</v>
      </c>
      <c r="J3703" s="56" t="s">
        <v>231</v>
      </c>
      <c r="K3703" s="40" t="s">
        <v>15</v>
      </c>
      <c r="L3703" s="26">
        <v>2900</v>
      </c>
      <c r="M3703" s="26">
        <v>42</v>
      </c>
      <c r="N3703" s="25">
        <f t="shared" si="115"/>
        <v>121800</v>
      </c>
      <c r="O3703" s="56"/>
    </row>
    <row r="3704" spans="1:15" hidden="1" x14ac:dyDescent="0.3">
      <c r="A3704" s="26">
        <v>33</v>
      </c>
      <c r="B3704" s="20" t="str">
        <f t="shared" si="114"/>
        <v>AUG</v>
      </c>
      <c r="C3704" s="21">
        <v>46248</v>
      </c>
      <c r="D3704" s="22" t="str">
        <f>IFERROR(INDEX('Kode Outlet dan Target Toko'!$A:$A,MATCH($I3704,'Kode Outlet dan Target Toko'!$E:$E,0)),"")</f>
        <v>GRSM 5</v>
      </c>
      <c r="E3704" s="20" t="str">
        <f>IFERROR(VLOOKUP(I3704,KET!$B:$F,4,0),"")</f>
        <v>SUPRIYATI</v>
      </c>
      <c r="F3704" s="20" t="str">
        <f>IFERROR(VLOOKUP(I3704,KET!$B:$F,5,0),"")</f>
        <v>GMM</v>
      </c>
      <c r="G3704" s="20">
        <f>IFERROR(INDEX('Kode Outlet dan Target Toko'!$C:$C,MATCH($I3704,'Kode Outlet dan Target Toko'!$E:$E,0)),0)</f>
        <v>211009</v>
      </c>
      <c r="H3704" s="20">
        <f>IFERROR(INDEX('Kode Outlet dan Target Toko'!$D:$D,MATCH($I3704,'Kode Outlet dan Target Toko'!$E:$E,0)),0)</f>
        <v>2100003</v>
      </c>
      <c r="I3704" s="42" t="s">
        <v>118</v>
      </c>
      <c r="J3704" s="56" t="s">
        <v>231</v>
      </c>
      <c r="K3704" s="40" t="s">
        <v>14</v>
      </c>
      <c r="L3704" s="26">
        <v>2900</v>
      </c>
      <c r="M3704" s="26">
        <v>68</v>
      </c>
      <c r="N3704" s="25">
        <f t="shared" si="115"/>
        <v>197200</v>
      </c>
      <c r="O3704" s="56"/>
    </row>
    <row r="3705" spans="1:15" hidden="1" x14ac:dyDescent="0.3">
      <c r="A3705" s="26">
        <v>33</v>
      </c>
      <c r="B3705" s="20" t="str">
        <f t="shared" si="114"/>
        <v>AUG</v>
      </c>
      <c r="C3705" s="21">
        <v>46248</v>
      </c>
      <c r="D3705" s="22" t="str">
        <f>IFERROR(INDEX('Kode Outlet dan Target Toko'!$A:$A,MATCH($I3705,'Kode Outlet dan Target Toko'!$E:$E,0)),"")</f>
        <v>GRSM 5</v>
      </c>
      <c r="E3705" s="20" t="str">
        <f>IFERROR(VLOOKUP(I3705,KET!$B:$F,4,0),"")</f>
        <v>SUPRIYATI</v>
      </c>
      <c r="F3705" s="20" t="str">
        <f>IFERROR(VLOOKUP(I3705,KET!$B:$F,5,0),"")</f>
        <v>GMM</v>
      </c>
      <c r="G3705" s="20">
        <f>IFERROR(INDEX('Kode Outlet dan Target Toko'!$C:$C,MATCH($I3705,'Kode Outlet dan Target Toko'!$E:$E,0)),0)</f>
        <v>211009</v>
      </c>
      <c r="H3705" s="20">
        <f>IFERROR(INDEX('Kode Outlet dan Target Toko'!$D:$D,MATCH($I3705,'Kode Outlet dan Target Toko'!$E:$E,0)),0)</f>
        <v>2100003</v>
      </c>
      <c r="I3705" s="42" t="s">
        <v>118</v>
      </c>
      <c r="J3705" s="56" t="s">
        <v>231</v>
      </c>
      <c r="K3705" s="40" t="s">
        <v>13</v>
      </c>
      <c r="L3705" s="26">
        <v>2900</v>
      </c>
      <c r="M3705" s="26">
        <v>32</v>
      </c>
      <c r="N3705" s="25">
        <f t="shared" si="115"/>
        <v>92800</v>
      </c>
      <c r="O3705" s="56"/>
    </row>
    <row r="3706" spans="1:15" hidden="1" x14ac:dyDescent="0.3">
      <c r="A3706" s="26">
        <v>33</v>
      </c>
      <c r="B3706" s="20" t="str">
        <f t="shared" si="114"/>
        <v>AUG</v>
      </c>
      <c r="C3706" s="21">
        <v>46248</v>
      </c>
      <c r="D3706" s="22" t="str">
        <f>IFERROR(INDEX('Kode Outlet dan Target Toko'!$A:$A,MATCH($I3706,'Kode Outlet dan Target Toko'!$E:$E,0)),"")</f>
        <v>GRSM 5</v>
      </c>
      <c r="E3706" s="20" t="str">
        <f>IFERROR(VLOOKUP(I3706,KET!$B:$F,4,0),"")</f>
        <v>SUPRIYATI</v>
      </c>
      <c r="F3706" s="20" t="str">
        <f>IFERROR(VLOOKUP(I3706,KET!$B:$F,5,0),"")</f>
        <v>GMM</v>
      </c>
      <c r="G3706" s="20">
        <f>IFERROR(INDEX('Kode Outlet dan Target Toko'!$C:$C,MATCH($I3706,'Kode Outlet dan Target Toko'!$E:$E,0)),0)</f>
        <v>211009</v>
      </c>
      <c r="H3706" s="20">
        <f>IFERROR(INDEX('Kode Outlet dan Target Toko'!$D:$D,MATCH($I3706,'Kode Outlet dan Target Toko'!$E:$E,0)),0)</f>
        <v>2100003</v>
      </c>
      <c r="I3706" s="42" t="s">
        <v>118</v>
      </c>
      <c r="J3706" s="56" t="s">
        <v>231</v>
      </c>
      <c r="K3706" s="40" t="s">
        <v>16</v>
      </c>
      <c r="L3706" s="26">
        <v>2900</v>
      </c>
      <c r="M3706" s="26">
        <v>204</v>
      </c>
      <c r="N3706" s="25">
        <f t="shared" si="115"/>
        <v>591600</v>
      </c>
      <c r="O3706" s="56">
        <v>160</v>
      </c>
    </row>
    <row r="3707" spans="1:15" hidden="1" x14ac:dyDescent="0.3">
      <c r="A3707" s="26">
        <v>33</v>
      </c>
      <c r="B3707" s="20" t="str">
        <f t="shared" si="114"/>
        <v>AUG</v>
      </c>
      <c r="C3707" s="21">
        <v>46248</v>
      </c>
      <c r="D3707" s="22" t="str">
        <f>IFERROR(INDEX('Kode Outlet dan Target Toko'!$A:$A,MATCH($I3707,'Kode Outlet dan Target Toko'!$E:$E,0)),"")</f>
        <v>GRSM 5</v>
      </c>
      <c r="E3707" s="20" t="str">
        <f>IFERROR(VLOOKUP(I3707,KET!$B:$F,4,0),"")</f>
        <v>SUPRIYATI</v>
      </c>
      <c r="F3707" s="20" t="str">
        <f>IFERROR(VLOOKUP(I3707,KET!$B:$F,5,0),"")</f>
        <v>GMM</v>
      </c>
      <c r="G3707" s="20">
        <f>IFERROR(INDEX('Kode Outlet dan Target Toko'!$C:$C,MATCH($I3707,'Kode Outlet dan Target Toko'!$E:$E,0)),0)</f>
        <v>103222</v>
      </c>
      <c r="H3707" s="20">
        <f>IFERROR(INDEX('Kode Outlet dan Target Toko'!$D:$D,MATCH($I3707,'Kode Outlet dan Target Toko'!$E:$E,0)),0)</f>
        <v>106437</v>
      </c>
      <c r="I3707" s="42" t="s">
        <v>104</v>
      </c>
      <c r="J3707" s="56" t="s">
        <v>207</v>
      </c>
      <c r="K3707" s="40" t="s">
        <v>15</v>
      </c>
      <c r="L3707" s="26">
        <v>2990</v>
      </c>
      <c r="M3707" s="26">
        <v>157</v>
      </c>
      <c r="N3707" s="25">
        <f t="shared" si="115"/>
        <v>469430</v>
      </c>
      <c r="O3707" s="56"/>
    </row>
    <row r="3708" spans="1:15" hidden="1" x14ac:dyDescent="0.3">
      <c r="A3708" s="26">
        <v>33</v>
      </c>
      <c r="B3708" s="20" t="str">
        <f t="shared" si="114"/>
        <v>AUG</v>
      </c>
      <c r="C3708" s="21">
        <v>46248</v>
      </c>
      <c r="D3708" s="22" t="str">
        <f>IFERROR(INDEX('Kode Outlet dan Target Toko'!$A:$A,MATCH($I3708,'Kode Outlet dan Target Toko'!$E:$E,0)),"")</f>
        <v>GRSM 5</v>
      </c>
      <c r="E3708" s="20" t="str">
        <f>IFERROR(VLOOKUP(I3708,KET!$B:$F,4,0),"")</f>
        <v>SUPRIYATI</v>
      </c>
      <c r="F3708" s="20" t="str">
        <f>IFERROR(VLOOKUP(I3708,KET!$B:$F,5,0),"")</f>
        <v>GMM</v>
      </c>
      <c r="G3708" s="20">
        <f>IFERROR(INDEX('Kode Outlet dan Target Toko'!$C:$C,MATCH($I3708,'Kode Outlet dan Target Toko'!$E:$E,0)),0)</f>
        <v>103222</v>
      </c>
      <c r="H3708" s="20">
        <f>IFERROR(INDEX('Kode Outlet dan Target Toko'!$D:$D,MATCH($I3708,'Kode Outlet dan Target Toko'!$E:$E,0)),0)</f>
        <v>106437</v>
      </c>
      <c r="I3708" s="42" t="s">
        <v>104</v>
      </c>
      <c r="J3708" s="56" t="s">
        <v>207</v>
      </c>
      <c r="K3708" s="40" t="s">
        <v>14</v>
      </c>
      <c r="L3708" s="26">
        <v>2990</v>
      </c>
      <c r="M3708" s="26">
        <v>160</v>
      </c>
      <c r="N3708" s="25">
        <f t="shared" si="115"/>
        <v>478400</v>
      </c>
      <c r="O3708" s="56"/>
    </row>
    <row r="3709" spans="1:15" hidden="1" x14ac:dyDescent="0.3">
      <c r="A3709" s="26">
        <v>33</v>
      </c>
      <c r="B3709" s="20" t="str">
        <f t="shared" si="114"/>
        <v>AUG</v>
      </c>
      <c r="C3709" s="21">
        <v>46248</v>
      </c>
      <c r="D3709" s="22" t="str">
        <f>IFERROR(INDEX('Kode Outlet dan Target Toko'!$A:$A,MATCH($I3709,'Kode Outlet dan Target Toko'!$E:$E,0)),"")</f>
        <v>GRSM 5</v>
      </c>
      <c r="E3709" s="20" t="str">
        <f>IFERROR(VLOOKUP(I3709,KET!$B:$F,4,0),"")</f>
        <v>SUPRIYATI</v>
      </c>
      <c r="F3709" s="20" t="str">
        <f>IFERROR(VLOOKUP(I3709,KET!$B:$F,5,0),"")</f>
        <v>GMM</v>
      </c>
      <c r="G3709" s="20">
        <f>IFERROR(INDEX('Kode Outlet dan Target Toko'!$C:$C,MATCH($I3709,'Kode Outlet dan Target Toko'!$E:$E,0)),0)</f>
        <v>103222</v>
      </c>
      <c r="H3709" s="20">
        <f>IFERROR(INDEX('Kode Outlet dan Target Toko'!$D:$D,MATCH($I3709,'Kode Outlet dan Target Toko'!$E:$E,0)),0)</f>
        <v>106437</v>
      </c>
      <c r="I3709" s="42" t="s">
        <v>104</v>
      </c>
      <c r="J3709" s="56" t="s">
        <v>207</v>
      </c>
      <c r="K3709" s="40" t="s">
        <v>13</v>
      </c>
      <c r="L3709" s="26">
        <v>2990</v>
      </c>
      <c r="M3709" s="26">
        <v>0</v>
      </c>
      <c r="N3709" s="25">
        <f t="shared" si="115"/>
        <v>0</v>
      </c>
      <c r="O3709" s="56"/>
    </row>
    <row r="3710" spans="1:15" hidden="1" x14ac:dyDescent="0.3">
      <c r="A3710" s="26">
        <v>33</v>
      </c>
      <c r="B3710" s="20" t="str">
        <f t="shared" si="114"/>
        <v>AUG</v>
      </c>
      <c r="C3710" s="21">
        <v>46248</v>
      </c>
      <c r="D3710" s="22" t="str">
        <f>IFERROR(INDEX('Kode Outlet dan Target Toko'!$A:$A,MATCH($I3710,'Kode Outlet dan Target Toko'!$E:$E,0)),"")</f>
        <v>GRSM 5</v>
      </c>
      <c r="E3710" s="20" t="str">
        <f>IFERROR(VLOOKUP(I3710,KET!$B:$F,4,0),"")</f>
        <v>SUPRIYATI</v>
      </c>
      <c r="F3710" s="20" t="str">
        <f>IFERROR(VLOOKUP(I3710,KET!$B:$F,5,0),"")</f>
        <v>GMM</v>
      </c>
      <c r="G3710" s="20">
        <f>IFERROR(INDEX('Kode Outlet dan Target Toko'!$C:$C,MATCH($I3710,'Kode Outlet dan Target Toko'!$E:$E,0)),0)</f>
        <v>103222</v>
      </c>
      <c r="H3710" s="20">
        <f>IFERROR(INDEX('Kode Outlet dan Target Toko'!$D:$D,MATCH($I3710,'Kode Outlet dan Target Toko'!$E:$E,0)),0)</f>
        <v>106437</v>
      </c>
      <c r="I3710" s="42" t="s">
        <v>104</v>
      </c>
      <c r="J3710" s="56" t="s">
        <v>207</v>
      </c>
      <c r="K3710" s="40" t="s">
        <v>16</v>
      </c>
      <c r="L3710" s="26">
        <v>2990</v>
      </c>
      <c r="M3710" s="26">
        <v>20</v>
      </c>
      <c r="N3710" s="25">
        <f t="shared" si="115"/>
        <v>59800</v>
      </c>
      <c r="O3710" s="56">
        <v>160</v>
      </c>
    </row>
    <row r="3711" spans="1:15" hidden="1" x14ac:dyDescent="0.3">
      <c r="A3711" s="26">
        <v>33</v>
      </c>
      <c r="B3711" s="20" t="str">
        <f t="shared" si="114"/>
        <v>AUG</v>
      </c>
      <c r="C3711" s="21">
        <v>46248</v>
      </c>
      <c r="D3711" s="22" t="str">
        <f>IFERROR(INDEX('Kode Outlet dan Target Toko'!$A:$A,MATCH($I3711,'Kode Outlet dan Target Toko'!$E:$E,0)),"")</f>
        <v>GRSM 5</v>
      </c>
      <c r="E3711" s="20" t="str">
        <f>IFERROR(VLOOKUP(I3711,KET!$B:$F,4,0),"")</f>
        <v>SUPRIYATI</v>
      </c>
      <c r="F3711" s="20" t="str">
        <f>IFERROR(VLOOKUP(I3711,KET!$B:$F,5,0),"")</f>
        <v>GMM</v>
      </c>
      <c r="G3711" s="20">
        <f>IFERROR(INDEX('Kode Outlet dan Target Toko'!$C:$C,MATCH($I3711,'Kode Outlet dan Target Toko'!$E:$E,0)),0)</f>
        <v>103222</v>
      </c>
      <c r="H3711" s="20">
        <f>IFERROR(INDEX('Kode Outlet dan Target Toko'!$D:$D,MATCH($I3711,'Kode Outlet dan Target Toko'!$E:$E,0)),0)</f>
        <v>106437</v>
      </c>
      <c r="I3711" s="42" t="s">
        <v>104</v>
      </c>
      <c r="J3711" s="56" t="s">
        <v>201</v>
      </c>
      <c r="K3711" s="40" t="s">
        <v>15</v>
      </c>
      <c r="L3711" s="26">
        <v>2990</v>
      </c>
      <c r="M3711" s="26">
        <v>157</v>
      </c>
      <c r="N3711" s="25">
        <f t="shared" si="115"/>
        <v>469430</v>
      </c>
      <c r="O3711" s="56"/>
    </row>
    <row r="3712" spans="1:15" hidden="1" x14ac:dyDescent="0.3">
      <c r="A3712" s="26">
        <v>33</v>
      </c>
      <c r="B3712" s="20" t="str">
        <f t="shared" si="114"/>
        <v>AUG</v>
      </c>
      <c r="C3712" s="21">
        <v>46248</v>
      </c>
      <c r="D3712" s="22" t="str">
        <f>IFERROR(INDEX('Kode Outlet dan Target Toko'!$A:$A,MATCH($I3712,'Kode Outlet dan Target Toko'!$E:$E,0)),"")</f>
        <v>GRSM 5</v>
      </c>
      <c r="E3712" s="20" t="str">
        <f>IFERROR(VLOOKUP(I3712,KET!$B:$F,4,0),"")</f>
        <v>SUPRIYATI</v>
      </c>
      <c r="F3712" s="20" t="str">
        <f>IFERROR(VLOOKUP(I3712,KET!$B:$F,5,0),"")</f>
        <v>GMM</v>
      </c>
      <c r="G3712" s="20">
        <f>IFERROR(INDEX('Kode Outlet dan Target Toko'!$C:$C,MATCH($I3712,'Kode Outlet dan Target Toko'!$E:$E,0)),0)</f>
        <v>103222</v>
      </c>
      <c r="H3712" s="20">
        <f>IFERROR(INDEX('Kode Outlet dan Target Toko'!$D:$D,MATCH($I3712,'Kode Outlet dan Target Toko'!$E:$E,0)),0)</f>
        <v>106437</v>
      </c>
      <c r="I3712" s="42" t="s">
        <v>104</v>
      </c>
      <c r="J3712" s="56" t="s">
        <v>201</v>
      </c>
      <c r="K3712" s="40" t="s">
        <v>14</v>
      </c>
      <c r="L3712" s="26">
        <v>2990</v>
      </c>
      <c r="M3712" s="26">
        <v>160</v>
      </c>
      <c r="N3712" s="25">
        <f t="shared" si="115"/>
        <v>478400</v>
      </c>
      <c r="O3712" s="56"/>
    </row>
    <row r="3713" spans="1:15" hidden="1" x14ac:dyDescent="0.3">
      <c r="A3713" s="26">
        <v>33</v>
      </c>
      <c r="B3713" s="20" t="str">
        <f t="shared" si="114"/>
        <v>AUG</v>
      </c>
      <c r="C3713" s="21">
        <v>46248</v>
      </c>
      <c r="D3713" s="22" t="str">
        <f>IFERROR(INDEX('Kode Outlet dan Target Toko'!$A:$A,MATCH($I3713,'Kode Outlet dan Target Toko'!$E:$E,0)),"")</f>
        <v>GRSM 5</v>
      </c>
      <c r="E3713" s="20" t="str">
        <f>IFERROR(VLOOKUP(I3713,KET!$B:$F,4,0),"")</f>
        <v>SUPRIYATI</v>
      </c>
      <c r="F3713" s="20" t="str">
        <f>IFERROR(VLOOKUP(I3713,KET!$B:$F,5,0),"")</f>
        <v>GMM</v>
      </c>
      <c r="G3713" s="20">
        <f>IFERROR(INDEX('Kode Outlet dan Target Toko'!$C:$C,MATCH($I3713,'Kode Outlet dan Target Toko'!$E:$E,0)),0)</f>
        <v>103222</v>
      </c>
      <c r="H3713" s="20">
        <f>IFERROR(INDEX('Kode Outlet dan Target Toko'!$D:$D,MATCH($I3713,'Kode Outlet dan Target Toko'!$E:$E,0)),0)</f>
        <v>106437</v>
      </c>
      <c r="I3713" s="42" t="s">
        <v>104</v>
      </c>
      <c r="J3713" s="56" t="s">
        <v>201</v>
      </c>
      <c r="K3713" s="40" t="s">
        <v>13</v>
      </c>
      <c r="L3713" s="26">
        <v>2990</v>
      </c>
      <c r="M3713" s="26">
        <v>0</v>
      </c>
      <c r="N3713" s="25">
        <f t="shared" si="115"/>
        <v>0</v>
      </c>
      <c r="O3713" s="56"/>
    </row>
    <row r="3714" spans="1:15" hidden="1" x14ac:dyDescent="0.3">
      <c r="A3714" s="26">
        <v>33</v>
      </c>
      <c r="B3714" s="20" t="str">
        <f t="shared" si="114"/>
        <v>AUG</v>
      </c>
      <c r="C3714" s="21">
        <v>46248</v>
      </c>
      <c r="D3714" s="22" t="str">
        <f>IFERROR(INDEX('Kode Outlet dan Target Toko'!$A:$A,MATCH($I3714,'Kode Outlet dan Target Toko'!$E:$E,0)),"")</f>
        <v>GRSM 5</v>
      </c>
      <c r="E3714" s="20" t="str">
        <f>IFERROR(VLOOKUP(I3714,KET!$B:$F,4,0),"")</f>
        <v>SUPRIYATI</v>
      </c>
      <c r="F3714" s="20" t="str">
        <f>IFERROR(VLOOKUP(I3714,KET!$B:$F,5,0),"")</f>
        <v>GMM</v>
      </c>
      <c r="G3714" s="20">
        <f>IFERROR(INDEX('Kode Outlet dan Target Toko'!$C:$C,MATCH($I3714,'Kode Outlet dan Target Toko'!$E:$E,0)),0)</f>
        <v>103222</v>
      </c>
      <c r="H3714" s="20">
        <f>IFERROR(INDEX('Kode Outlet dan Target Toko'!$D:$D,MATCH($I3714,'Kode Outlet dan Target Toko'!$E:$E,0)),0)</f>
        <v>106437</v>
      </c>
      <c r="I3714" s="42" t="s">
        <v>104</v>
      </c>
      <c r="J3714" s="56" t="s">
        <v>201</v>
      </c>
      <c r="K3714" s="40" t="s">
        <v>16</v>
      </c>
      <c r="L3714" s="26">
        <v>2990</v>
      </c>
      <c r="M3714" s="26">
        <v>20</v>
      </c>
      <c r="N3714" s="25">
        <f t="shared" si="115"/>
        <v>59800</v>
      </c>
      <c r="O3714" s="56">
        <v>160</v>
      </c>
    </row>
    <row r="3715" spans="1:15" hidden="1" x14ac:dyDescent="0.3">
      <c r="A3715" s="26">
        <v>33</v>
      </c>
      <c r="B3715" s="20" t="str">
        <f t="shared" si="114"/>
        <v>AUG</v>
      </c>
      <c r="C3715" s="21">
        <v>46248</v>
      </c>
      <c r="D3715" s="22" t="str">
        <f>IFERROR(INDEX('Kode Outlet dan Target Toko'!$A:$A,MATCH($I3715,'Kode Outlet dan Target Toko'!$E:$E,0)),"")</f>
        <v>GRSM 5</v>
      </c>
      <c r="E3715" s="20" t="str">
        <f>IFERROR(VLOOKUP(I3715,KET!$B:$F,4,0),"")</f>
        <v>SUPRIYATI</v>
      </c>
      <c r="F3715" s="20" t="str">
        <f>IFERROR(VLOOKUP(I3715,KET!$B:$F,5,0),"")</f>
        <v>MT</v>
      </c>
      <c r="G3715" s="20">
        <f>IFERROR(INDEX('Kode Outlet dan Target Toko'!$C:$C,MATCH($I3715,'Kode Outlet dan Target Toko'!$E:$E,0)),0)</f>
        <v>166102</v>
      </c>
      <c r="H3715" s="20">
        <f>IFERROR(INDEX('Kode Outlet dan Target Toko'!$D:$D,MATCH($I3715,'Kode Outlet dan Target Toko'!$E:$E,0)),0)</f>
        <v>9000058</v>
      </c>
      <c r="I3715" s="42" t="s">
        <v>119</v>
      </c>
      <c r="J3715" s="56" t="s">
        <v>232</v>
      </c>
      <c r="K3715" s="40" t="s">
        <v>15</v>
      </c>
      <c r="L3715" s="26">
        <v>3169</v>
      </c>
      <c r="M3715" s="26">
        <v>100</v>
      </c>
      <c r="N3715" s="25">
        <f t="shared" si="115"/>
        <v>316900</v>
      </c>
      <c r="O3715" s="56"/>
    </row>
    <row r="3716" spans="1:15" hidden="1" x14ac:dyDescent="0.3">
      <c r="A3716" s="26">
        <v>33</v>
      </c>
      <c r="B3716" s="20" t="str">
        <f t="shared" si="114"/>
        <v>AUG</v>
      </c>
      <c r="C3716" s="21">
        <v>46248</v>
      </c>
      <c r="D3716" s="22" t="str">
        <f>IFERROR(INDEX('Kode Outlet dan Target Toko'!$A:$A,MATCH($I3716,'Kode Outlet dan Target Toko'!$E:$E,0)),"")</f>
        <v>GRSM 5</v>
      </c>
      <c r="E3716" s="20" t="str">
        <f>IFERROR(VLOOKUP(I3716,KET!$B:$F,4,0),"")</f>
        <v>SUPRIYATI</v>
      </c>
      <c r="F3716" s="20" t="str">
        <f>IFERROR(VLOOKUP(I3716,KET!$B:$F,5,0),"")</f>
        <v>MT</v>
      </c>
      <c r="G3716" s="20">
        <f>IFERROR(INDEX('Kode Outlet dan Target Toko'!$C:$C,MATCH($I3716,'Kode Outlet dan Target Toko'!$E:$E,0)),0)</f>
        <v>166102</v>
      </c>
      <c r="H3716" s="20">
        <f>IFERROR(INDEX('Kode Outlet dan Target Toko'!$D:$D,MATCH($I3716,'Kode Outlet dan Target Toko'!$E:$E,0)),0)</f>
        <v>9000058</v>
      </c>
      <c r="I3716" s="42" t="s">
        <v>119</v>
      </c>
      <c r="J3716" s="56" t="s">
        <v>232</v>
      </c>
      <c r="K3716" s="40" t="s">
        <v>14</v>
      </c>
      <c r="L3716" s="26">
        <v>3169</v>
      </c>
      <c r="M3716" s="26">
        <v>60</v>
      </c>
      <c r="N3716" s="25">
        <f t="shared" si="115"/>
        <v>190140</v>
      </c>
      <c r="O3716" s="56"/>
    </row>
    <row r="3717" spans="1:15" hidden="1" x14ac:dyDescent="0.3">
      <c r="A3717" s="26">
        <v>33</v>
      </c>
      <c r="B3717" s="20" t="str">
        <f t="shared" si="114"/>
        <v>AUG</v>
      </c>
      <c r="C3717" s="21">
        <v>46248</v>
      </c>
      <c r="D3717" s="22" t="str">
        <f>IFERROR(INDEX('Kode Outlet dan Target Toko'!$A:$A,MATCH($I3717,'Kode Outlet dan Target Toko'!$E:$E,0)),"")</f>
        <v>GRSM 5</v>
      </c>
      <c r="E3717" s="20" t="str">
        <f>IFERROR(VLOOKUP(I3717,KET!$B:$F,4,0),"")</f>
        <v>SUPRIYATI</v>
      </c>
      <c r="F3717" s="20" t="str">
        <f>IFERROR(VLOOKUP(I3717,KET!$B:$F,5,0),"")</f>
        <v>MT</v>
      </c>
      <c r="G3717" s="20">
        <f>IFERROR(INDEX('Kode Outlet dan Target Toko'!$C:$C,MATCH($I3717,'Kode Outlet dan Target Toko'!$E:$E,0)),0)</f>
        <v>166102</v>
      </c>
      <c r="H3717" s="20">
        <f>IFERROR(INDEX('Kode Outlet dan Target Toko'!$D:$D,MATCH($I3717,'Kode Outlet dan Target Toko'!$E:$E,0)),0)</f>
        <v>9000058</v>
      </c>
      <c r="I3717" s="42" t="s">
        <v>119</v>
      </c>
      <c r="J3717" s="56" t="s">
        <v>232</v>
      </c>
      <c r="K3717" s="40" t="s">
        <v>13</v>
      </c>
      <c r="L3717" s="26">
        <v>3169</v>
      </c>
      <c r="M3717" s="26">
        <v>0</v>
      </c>
      <c r="N3717" s="25">
        <f t="shared" si="115"/>
        <v>0</v>
      </c>
      <c r="O3717" s="56"/>
    </row>
    <row r="3718" spans="1:15" hidden="1" x14ac:dyDescent="0.3">
      <c r="A3718" s="26">
        <v>33</v>
      </c>
      <c r="B3718" s="20" t="str">
        <f t="shared" si="114"/>
        <v>AUG</v>
      </c>
      <c r="C3718" s="21">
        <v>46248</v>
      </c>
      <c r="D3718" s="22" t="str">
        <f>IFERROR(INDEX('Kode Outlet dan Target Toko'!$A:$A,MATCH($I3718,'Kode Outlet dan Target Toko'!$E:$E,0)),"")</f>
        <v>GRSM 5</v>
      </c>
      <c r="E3718" s="20" t="str">
        <f>IFERROR(VLOOKUP(I3718,KET!$B:$F,4,0),"")</f>
        <v>SUPRIYATI</v>
      </c>
      <c r="F3718" s="20" t="str">
        <f>IFERROR(VLOOKUP(I3718,KET!$B:$F,5,0),"")</f>
        <v>MT</v>
      </c>
      <c r="G3718" s="20">
        <f>IFERROR(INDEX('Kode Outlet dan Target Toko'!$C:$C,MATCH($I3718,'Kode Outlet dan Target Toko'!$E:$E,0)),0)</f>
        <v>166102</v>
      </c>
      <c r="H3718" s="20">
        <f>IFERROR(INDEX('Kode Outlet dan Target Toko'!$D:$D,MATCH($I3718,'Kode Outlet dan Target Toko'!$E:$E,0)),0)</f>
        <v>9000058</v>
      </c>
      <c r="I3718" s="42" t="s">
        <v>119</v>
      </c>
      <c r="J3718" s="56" t="s">
        <v>232</v>
      </c>
      <c r="K3718" s="40" t="s">
        <v>16</v>
      </c>
      <c r="L3718" s="26">
        <v>3169</v>
      </c>
      <c r="M3718" s="26">
        <v>105</v>
      </c>
      <c r="N3718" s="25">
        <f t="shared" si="115"/>
        <v>332745</v>
      </c>
      <c r="O3718" s="56">
        <v>160</v>
      </c>
    </row>
    <row r="3719" spans="1:15" hidden="1" x14ac:dyDescent="0.3">
      <c r="A3719" s="26">
        <v>33</v>
      </c>
      <c r="B3719" s="20" t="str">
        <f t="shared" ref="B3719:B3782" si="116">IF(C3719="","",UPPER(TEXT(C3719, "MMM")))</f>
        <v>AUG</v>
      </c>
      <c r="C3719" s="21">
        <v>46248</v>
      </c>
      <c r="D3719" s="22" t="str">
        <f>IFERROR(INDEX('Kode Outlet dan Target Toko'!$A:$A,MATCH($I3719,'Kode Outlet dan Target Toko'!$E:$E,0)),"")</f>
        <v>GRSM 5</v>
      </c>
      <c r="E3719" s="20" t="str">
        <f>IFERROR(VLOOKUP(I3719,KET!$B:$F,4,0),"")</f>
        <v>SUPRIYATI</v>
      </c>
      <c r="F3719" s="20" t="str">
        <f>IFERROR(VLOOKUP(I3719,KET!$B:$F,5,0),"")</f>
        <v>MT</v>
      </c>
      <c r="G3719" s="20">
        <f>IFERROR(INDEX('Kode Outlet dan Target Toko'!$C:$C,MATCH($I3719,'Kode Outlet dan Target Toko'!$E:$E,0)),0)</f>
        <v>166102</v>
      </c>
      <c r="H3719" s="20">
        <f>IFERROR(INDEX('Kode Outlet dan Target Toko'!$D:$D,MATCH($I3719,'Kode Outlet dan Target Toko'!$E:$E,0)),0)</f>
        <v>9000058</v>
      </c>
      <c r="I3719" s="42" t="s">
        <v>119</v>
      </c>
      <c r="J3719" s="56" t="s">
        <v>233</v>
      </c>
      <c r="K3719" s="40" t="s">
        <v>15</v>
      </c>
      <c r="L3719" s="26">
        <v>3169</v>
      </c>
      <c r="M3719" s="26">
        <v>100</v>
      </c>
      <c r="N3719" s="25">
        <f t="shared" ref="N3719:N3782" si="117">IFERROR(M3719*L3719,"")</f>
        <v>316900</v>
      </c>
      <c r="O3719" s="56"/>
    </row>
    <row r="3720" spans="1:15" hidden="1" x14ac:dyDescent="0.3">
      <c r="A3720" s="26">
        <v>33</v>
      </c>
      <c r="B3720" s="20" t="str">
        <f t="shared" si="116"/>
        <v>AUG</v>
      </c>
      <c r="C3720" s="21">
        <v>46248</v>
      </c>
      <c r="D3720" s="22" t="str">
        <f>IFERROR(INDEX('Kode Outlet dan Target Toko'!$A:$A,MATCH($I3720,'Kode Outlet dan Target Toko'!$E:$E,0)),"")</f>
        <v>GRSM 5</v>
      </c>
      <c r="E3720" s="20" t="str">
        <f>IFERROR(VLOOKUP(I3720,KET!$B:$F,4,0),"")</f>
        <v>SUPRIYATI</v>
      </c>
      <c r="F3720" s="20" t="str">
        <f>IFERROR(VLOOKUP(I3720,KET!$B:$F,5,0),"")</f>
        <v>MT</v>
      </c>
      <c r="G3720" s="20">
        <f>IFERROR(INDEX('Kode Outlet dan Target Toko'!$C:$C,MATCH($I3720,'Kode Outlet dan Target Toko'!$E:$E,0)),0)</f>
        <v>166102</v>
      </c>
      <c r="H3720" s="20">
        <f>IFERROR(INDEX('Kode Outlet dan Target Toko'!$D:$D,MATCH($I3720,'Kode Outlet dan Target Toko'!$E:$E,0)),0)</f>
        <v>9000058</v>
      </c>
      <c r="I3720" s="42" t="s">
        <v>119</v>
      </c>
      <c r="J3720" s="56" t="s">
        <v>233</v>
      </c>
      <c r="K3720" s="40" t="s">
        <v>14</v>
      </c>
      <c r="L3720" s="26">
        <v>3169</v>
      </c>
      <c r="M3720" s="26">
        <v>60</v>
      </c>
      <c r="N3720" s="25">
        <f t="shared" si="117"/>
        <v>190140</v>
      </c>
      <c r="O3720" s="56"/>
    </row>
    <row r="3721" spans="1:15" hidden="1" x14ac:dyDescent="0.3">
      <c r="A3721" s="26">
        <v>33</v>
      </c>
      <c r="B3721" s="20" t="str">
        <f t="shared" si="116"/>
        <v>AUG</v>
      </c>
      <c r="C3721" s="21">
        <v>46248</v>
      </c>
      <c r="D3721" s="22" t="str">
        <f>IFERROR(INDEX('Kode Outlet dan Target Toko'!$A:$A,MATCH($I3721,'Kode Outlet dan Target Toko'!$E:$E,0)),"")</f>
        <v>GRSM 5</v>
      </c>
      <c r="E3721" s="20" t="str">
        <f>IFERROR(VLOOKUP(I3721,KET!$B:$F,4,0),"")</f>
        <v>SUPRIYATI</v>
      </c>
      <c r="F3721" s="20" t="str">
        <f>IFERROR(VLOOKUP(I3721,KET!$B:$F,5,0),"")</f>
        <v>MT</v>
      </c>
      <c r="G3721" s="20">
        <f>IFERROR(INDEX('Kode Outlet dan Target Toko'!$C:$C,MATCH($I3721,'Kode Outlet dan Target Toko'!$E:$E,0)),0)</f>
        <v>166102</v>
      </c>
      <c r="H3721" s="20">
        <f>IFERROR(INDEX('Kode Outlet dan Target Toko'!$D:$D,MATCH($I3721,'Kode Outlet dan Target Toko'!$E:$E,0)),0)</f>
        <v>9000058</v>
      </c>
      <c r="I3721" s="42" t="s">
        <v>119</v>
      </c>
      <c r="J3721" s="56" t="s">
        <v>233</v>
      </c>
      <c r="K3721" s="40" t="s">
        <v>13</v>
      </c>
      <c r="L3721" s="26">
        <v>3169</v>
      </c>
      <c r="M3721" s="26">
        <v>0</v>
      </c>
      <c r="N3721" s="25">
        <f t="shared" si="117"/>
        <v>0</v>
      </c>
      <c r="O3721" s="56"/>
    </row>
    <row r="3722" spans="1:15" hidden="1" x14ac:dyDescent="0.3">
      <c r="A3722" s="26">
        <v>33</v>
      </c>
      <c r="B3722" s="20" t="str">
        <f t="shared" si="116"/>
        <v>AUG</v>
      </c>
      <c r="C3722" s="21">
        <v>46248</v>
      </c>
      <c r="D3722" s="22" t="str">
        <f>IFERROR(INDEX('Kode Outlet dan Target Toko'!$A:$A,MATCH($I3722,'Kode Outlet dan Target Toko'!$E:$E,0)),"")</f>
        <v>GRSM 5</v>
      </c>
      <c r="E3722" s="20" t="str">
        <f>IFERROR(VLOOKUP(I3722,KET!$B:$F,4,0),"")</f>
        <v>SUPRIYATI</v>
      </c>
      <c r="F3722" s="20" t="str">
        <f>IFERROR(VLOOKUP(I3722,KET!$B:$F,5,0),"")</f>
        <v>MT</v>
      </c>
      <c r="G3722" s="20">
        <f>IFERROR(INDEX('Kode Outlet dan Target Toko'!$C:$C,MATCH($I3722,'Kode Outlet dan Target Toko'!$E:$E,0)),0)</f>
        <v>166102</v>
      </c>
      <c r="H3722" s="20">
        <f>IFERROR(INDEX('Kode Outlet dan Target Toko'!$D:$D,MATCH($I3722,'Kode Outlet dan Target Toko'!$E:$E,0)),0)</f>
        <v>9000058</v>
      </c>
      <c r="I3722" s="42" t="s">
        <v>119</v>
      </c>
      <c r="J3722" s="56" t="s">
        <v>233</v>
      </c>
      <c r="K3722" s="40" t="s">
        <v>16</v>
      </c>
      <c r="L3722" s="26">
        <v>3169</v>
      </c>
      <c r="M3722" s="26">
        <v>105</v>
      </c>
      <c r="N3722" s="25">
        <f t="shared" si="117"/>
        <v>332745</v>
      </c>
      <c r="O3722" s="56">
        <v>160</v>
      </c>
    </row>
    <row r="3723" spans="1:15" hidden="1" x14ac:dyDescent="0.3">
      <c r="A3723" s="26">
        <v>33</v>
      </c>
      <c r="B3723" s="20" t="str">
        <f t="shared" si="116"/>
        <v>AUG</v>
      </c>
      <c r="C3723" s="21">
        <v>46248</v>
      </c>
      <c r="D3723" s="22" t="str">
        <f>IFERROR(INDEX('Kode Outlet dan Target Toko'!$A:$A,MATCH($I3723,'Kode Outlet dan Target Toko'!$E:$E,0)),"")</f>
        <v>GRSM 5</v>
      </c>
      <c r="E3723" s="20" t="str">
        <f>IFERROR(VLOOKUP(I3723,KET!$B:$F,4,0),"")</f>
        <v>SUPRIYATI</v>
      </c>
      <c r="F3723" s="20" t="str">
        <f>IFERROR(VLOOKUP(I3723,KET!$B:$F,5,0),"")</f>
        <v>GMM</v>
      </c>
      <c r="G3723" s="20">
        <f>IFERROR(INDEX('Kode Outlet dan Target Toko'!$C:$C,MATCH($I3723,'Kode Outlet dan Target Toko'!$E:$E,0)),0)</f>
        <v>0</v>
      </c>
      <c r="H3723" s="20">
        <f>IFERROR(INDEX('Kode Outlet dan Target Toko'!$D:$D,MATCH($I3723,'Kode Outlet dan Target Toko'!$E:$E,0)),0)</f>
        <v>0</v>
      </c>
      <c r="I3723" s="42" t="s">
        <v>121</v>
      </c>
      <c r="J3723" s="56" t="s">
        <v>239</v>
      </c>
      <c r="K3723" s="40" t="s">
        <v>15</v>
      </c>
      <c r="L3723" s="26">
        <v>3</v>
      </c>
      <c r="M3723" s="26">
        <v>21</v>
      </c>
      <c r="N3723" s="25">
        <f t="shared" si="117"/>
        <v>63</v>
      </c>
      <c r="O3723" s="56"/>
    </row>
    <row r="3724" spans="1:15" hidden="1" x14ac:dyDescent="0.3">
      <c r="A3724" s="26">
        <v>33</v>
      </c>
      <c r="B3724" s="20" t="str">
        <f t="shared" si="116"/>
        <v>AUG</v>
      </c>
      <c r="C3724" s="21">
        <v>46248</v>
      </c>
      <c r="D3724" s="22" t="str">
        <f>IFERROR(INDEX('Kode Outlet dan Target Toko'!$A:$A,MATCH($I3724,'Kode Outlet dan Target Toko'!$E:$E,0)),"")</f>
        <v>GRSM 5</v>
      </c>
      <c r="E3724" s="20" t="str">
        <f>IFERROR(VLOOKUP(I3724,KET!$B:$F,4,0),"")</f>
        <v>SUPRIYATI</v>
      </c>
      <c r="F3724" s="20" t="str">
        <f>IFERROR(VLOOKUP(I3724,KET!$B:$F,5,0),"")</f>
        <v>GMM</v>
      </c>
      <c r="G3724" s="20">
        <f>IFERROR(INDEX('Kode Outlet dan Target Toko'!$C:$C,MATCH($I3724,'Kode Outlet dan Target Toko'!$E:$E,0)),0)</f>
        <v>0</v>
      </c>
      <c r="H3724" s="20">
        <f>IFERROR(INDEX('Kode Outlet dan Target Toko'!$D:$D,MATCH($I3724,'Kode Outlet dan Target Toko'!$E:$E,0)),0)</f>
        <v>0</v>
      </c>
      <c r="I3724" s="42" t="s">
        <v>121</v>
      </c>
      <c r="J3724" s="56" t="s">
        <v>239</v>
      </c>
      <c r="K3724" s="40" t="s">
        <v>14</v>
      </c>
      <c r="L3724" s="26">
        <v>3</v>
      </c>
      <c r="M3724" s="26">
        <v>30</v>
      </c>
      <c r="N3724" s="25">
        <f t="shared" si="117"/>
        <v>90</v>
      </c>
      <c r="O3724" s="56"/>
    </row>
    <row r="3725" spans="1:15" hidden="1" x14ac:dyDescent="0.3">
      <c r="A3725" s="26">
        <v>33</v>
      </c>
      <c r="B3725" s="20" t="str">
        <f t="shared" si="116"/>
        <v>AUG</v>
      </c>
      <c r="C3725" s="21">
        <v>46248</v>
      </c>
      <c r="D3725" s="22" t="str">
        <f>IFERROR(INDEX('Kode Outlet dan Target Toko'!$A:$A,MATCH($I3725,'Kode Outlet dan Target Toko'!$E:$E,0)),"")</f>
        <v>GRSM 5</v>
      </c>
      <c r="E3725" s="20" t="str">
        <f>IFERROR(VLOOKUP(I3725,KET!$B:$F,4,0),"")</f>
        <v>SUPRIYATI</v>
      </c>
      <c r="F3725" s="20" t="str">
        <f>IFERROR(VLOOKUP(I3725,KET!$B:$F,5,0),"")</f>
        <v>GMM</v>
      </c>
      <c r="G3725" s="20">
        <f>IFERROR(INDEX('Kode Outlet dan Target Toko'!$C:$C,MATCH($I3725,'Kode Outlet dan Target Toko'!$E:$E,0)),0)</f>
        <v>0</v>
      </c>
      <c r="H3725" s="20">
        <f>IFERROR(INDEX('Kode Outlet dan Target Toko'!$D:$D,MATCH($I3725,'Kode Outlet dan Target Toko'!$E:$E,0)),0)</f>
        <v>0</v>
      </c>
      <c r="I3725" s="42" t="s">
        <v>121</v>
      </c>
      <c r="J3725" s="56" t="s">
        <v>239</v>
      </c>
      <c r="K3725" s="40" t="s">
        <v>13</v>
      </c>
      <c r="L3725" s="26">
        <v>3</v>
      </c>
      <c r="M3725" s="26">
        <v>0</v>
      </c>
      <c r="N3725" s="25">
        <f t="shared" si="117"/>
        <v>0</v>
      </c>
      <c r="O3725" s="56"/>
    </row>
    <row r="3726" spans="1:15" hidden="1" x14ac:dyDescent="0.3">
      <c r="A3726" s="26">
        <v>33</v>
      </c>
      <c r="B3726" s="20" t="str">
        <f t="shared" si="116"/>
        <v>AUG</v>
      </c>
      <c r="C3726" s="21">
        <v>46248</v>
      </c>
      <c r="D3726" s="22" t="str">
        <f>IFERROR(INDEX('Kode Outlet dan Target Toko'!$A:$A,MATCH($I3726,'Kode Outlet dan Target Toko'!$E:$E,0)),"")</f>
        <v>GRSM 5</v>
      </c>
      <c r="E3726" s="20" t="str">
        <f>IFERROR(VLOOKUP(I3726,KET!$B:$F,4,0),"")</f>
        <v>SUPRIYATI</v>
      </c>
      <c r="F3726" s="20" t="str">
        <f>IFERROR(VLOOKUP(I3726,KET!$B:$F,5,0),"")</f>
        <v>GMM</v>
      </c>
      <c r="G3726" s="20">
        <f>IFERROR(INDEX('Kode Outlet dan Target Toko'!$C:$C,MATCH($I3726,'Kode Outlet dan Target Toko'!$E:$E,0)),0)</f>
        <v>0</v>
      </c>
      <c r="H3726" s="20">
        <f>IFERROR(INDEX('Kode Outlet dan Target Toko'!$D:$D,MATCH($I3726,'Kode Outlet dan Target Toko'!$E:$E,0)),0)</f>
        <v>0</v>
      </c>
      <c r="I3726" s="42" t="s">
        <v>121</v>
      </c>
      <c r="J3726" s="56" t="s">
        <v>239</v>
      </c>
      <c r="K3726" s="40" t="s">
        <v>16</v>
      </c>
      <c r="L3726" s="26">
        <v>3</v>
      </c>
      <c r="M3726" s="26">
        <v>17</v>
      </c>
      <c r="N3726" s="25">
        <f t="shared" si="117"/>
        <v>51</v>
      </c>
      <c r="O3726" s="56">
        <v>160</v>
      </c>
    </row>
    <row r="3727" spans="1:15" hidden="1" x14ac:dyDescent="0.3">
      <c r="A3727" s="26">
        <v>33</v>
      </c>
      <c r="B3727" s="20" t="str">
        <f t="shared" si="116"/>
        <v>AUG</v>
      </c>
      <c r="C3727" s="21">
        <v>46248</v>
      </c>
      <c r="D3727" s="22" t="str">
        <f>IFERROR(INDEX('Kode Outlet dan Target Toko'!$A:$A,MATCH($I3727,'Kode Outlet dan Target Toko'!$E:$E,0)),"")</f>
        <v>GRSM 5</v>
      </c>
      <c r="E3727" s="20" t="str">
        <f>IFERROR(VLOOKUP(I3727,KET!$B:$F,4,0),"")</f>
        <v>SUPRIYATI</v>
      </c>
      <c r="F3727" s="20" t="str">
        <f>IFERROR(VLOOKUP(I3727,KET!$B:$F,5,0),"")</f>
        <v>GMM</v>
      </c>
      <c r="G3727" s="20">
        <f>IFERROR(INDEX('Kode Outlet dan Target Toko'!$C:$C,MATCH($I3727,'Kode Outlet dan Target Toko'!$E:$E,0)),0)</f>
        <v>0</v>
      </c>
      <c r="H3727" s="20">
        <f>IFERROR(INDEX('Kode Outlet dan Target Toko'!$D:$D,MATCH($I3727,'Kode Outlet dan Target Toko'!$E:$E,0)),0)</f>
        <v>0</v>
      </c>
      <c r="I3727" s="42" t="s">
        <v>121</v>
      </c>
      <c r="J3727" s="56" t="s">
        <v>240</v>
      </c>
      <c r="K3727" s="40" t="s">
        <v>15</v>
      </c>
      <c r="L3727" s="26">
        <v>3</v>
      </c>
      <c r="M3727" s="26">
        <v>21</v>
      </c>
      <c r="N3727" s="25">
        <f t="shared" si="117"/>
        <v>63</v>
      </c>
      <c r="O3727" s="56"/>
    </row>
    <row r="3728" spans="1:15" hidden="1" x14ac:dyDescent="0.3">
      <c r="A3728" s="26">
        <v>33</v>
      </c>
      <c r="B3728" s="20" t="str">
        <f t="shared" si="116"/>
        <v>AUG</v>
      </c>
      <c r="C3728" s="21">
        <v>46248</v>
      </c>
      <c r="D3728" s="22" t="str">
        <f>IFERROR(INDEX('Kode Outlet dan Target Toko'!$A:$A,MATCH($I3728,'Kode Outlet dan Target Toko'!$E:$E,0)),"")</f>
        <v>GRSM 5</v>
      </c>
      <c r="E3728" s="20" t="str">
        <f>IFERROR(VLOOKUP(I3728,KET!$B:$F,4,0),"")</f>
        <v>SUPRIYATI</v>
      </c>
      <c r="F3728" s="20" t="str">
        <f>IFERROR(VLOOKUP(I3728,KET!$B:$F,5,0),"")</f>
        <v>GMM</v>
      </c>
      <c r="G3728" s="20">
        <f>IFERROR(INDEX('Kode Outlet dan Target Toko'!$C:$C,MATCH($I3728,'Kode Outlet dan Target Toko'!$E:$E,0)),0)</f>
        <v>0</v>
      </c>
      <c r="H3728" s="20">
        <f>IFERROR(INDEX('Kode Outlet dan Target Toko'!$D:$D,MATCH($I3728,'Kode Outlet dan Target Toko'!$E:$E,0)),0)</f>
        <v>0</v>
      </c>
      <c r="I3728" s="42" t="s">
        <v>121</v>
      </c>
      <c r="J3728" s="56" t="s">
        <v>240</v>
      </c>
      <c r="K3728" s="40" t="s">
        <v>14</v>
      </c>
      <c r="L3728" s="26">
        <v>3</v>
      </c>
      <c r="M3728" s="26">
        <v>30</v>
      </c>
      <c r="N3728" s="25">
        <f t="shared" si="117"/>
        <v>90</v>
      </c>
      <c r="O3728" s="56"/>
    </row>
    <row r="3729" spans="1:15" hidden="1" x14ac:dyDescent="0.3">
      <c r="A3729" s="26">
        <v>33</v>
      </c>
      <c r="B3729" s="20" t="str">
        <f t="shared" si="116"/>
        <v>AUG</v>
      </c>
      <c r="C3729" s="21">
        <v>46248</v>
      </c>
      <c r="D3729" s="22" t="str">
        <f>IFERROR(INDEX('Kode Outlet dan Target Toko'!$A:$A,MATCH($I3729,'Kode Outlet dan Target Toko'!$E:$E,0)),"")</f>
        <v>GRSM 5</v>
      </c>
      <c r="E3729" s="20" t="str">
        <f>IFERROR(VLOOKUP(I3729,KET!$B:$F,4,0),"")</f>
        <v>SUPRIYATI</v>
      </c>
      <c r="F3729" s="20" t="str">
        <f>IFERROR(VLOOKUP(I3729,KET!$B:$F,5,0),"")</f>
        <v>GMM</v>
      </c>
      <c r="G3729" s="20">
        <f>IFERROR(INDEX('Kode Outlet dan Target Toko'!$C:$C,MATCH($I3729,'Kode Outlet dan Target Toko'!$E:$E,0)),0)</f>
        <v>0</v>
      </c>
      <c r="H3729" s="20">
        <f>IFERROR(INDEX('Kode Outlet dan Target Toko'!$D:$D,MATCH($I3729,'Kode Outlet dan Target Toko'!$E:$E,0)),0)</f>
        <v>0</v>
      </c>
      <c r="I3729" s="42" t="s">
        <v>121</v>
      </c>
      <c r="J3729" s="56" t="s">
        <v>240</v>
      </c>
      <c r="K3729" s="40" t="s">
        <v>13</v>
      </c>
      <c r="L3729" s="26">
        <v>3</v>
      </c>
      <c r="M3729" s="26">
        <v>0</v>
      </c>
      <c r="N3729" s="25">
        <f t="shared" si="117"/>
        <v>0</v>
      </c>
      <c r="O3729" s="56"/>
    </row>
    <row r="3730" spans="1:15" hidden="1" x14ac:dyDescent="0.3">
      <c r="A3730" s="26">
        <v>33</v>
      </c>
      <c r="B3730" s="20" t="str">
        <f t="shared" si="116"/>
        <v>AUG</v>
      </c>
      <c r="C3730" s="21">
        <v>46248</v>
      </c>
      <c r="D3730" s="22" t="str">
        <f>IFERROR(INDEX('Kode Outlet dan Target Toko'!$A:$A,MATCH($I3730,'Kode Outlet dan Target Toko'!$E:$E,0)),"")</f>
        <v>GRSM 5</v>
      </c>
      <c r="E3730" s="20" t="str">
        <f>IFERROR(VLOOKUP(I3730,KET!$B:$F,4,0),"")</f>
        <v>SUPRIYATI</v>
      </c>
      <c r="F3730" s="20" t="str">
        <f>IFERROR(VLOOKUP(I3730,KET!$B:$F,5,0),"")</f>
        <v>GMM</v>
      </c>
      <c r="G3730" s="20">
        <f>IFERROR(INDEX('Kode Outlet dan Target Toko'!$C:$C,MATCH($I3730,'Kode Outlet dan Target Toko'!$E:$E,0)),0)</f>
        <v>0</v>
      </c>
      <c r="H3730" s="20">
        <f>IFERROR(INDEX('Kode Outlet dan Target Toko'!$D:$D,MATCH($I3730,'Kode Outlet dan Target Toko'!$E:$E,0)),0)</f>
        <v>0</v>
      </c>
      <c r="I3730" s="42" t="s">
        <v>121</v>
      </c>
      <c r="J3730" s="56" t="s">
        <v>240</v>
      </c>
      <c r="K3730" s="40" t="s">
        <v>16</v>
      </c>
      <c r="L3730" s="26">
        <v>3</v>
      </c>
      <c r="M3730" s="26">
        <v>17</v>
      </c>
      <c r="N3730" s="25">
        <f t="shared" si="117"/>
        <v>51</v>
      </c>
      <c r="O3730" s="56">
        <v>160</v>
      </c>
    </row>
    <row r="3731" spans="1:15" hidden="1" x14ac:dyDescent="0.3">
      <c r="A3731" s="26">
        <v>33</v>
      </c>
      <c r="B3731" s="20" t="str">
        <f t="shared" si="116"/>
        <v>AUG</v>
      </c>
      <c r="C3731" s="21">
        <v>46249</v>
      </c>
      <c r="D3731" s="22" t="str">
        <f>IFERROR(INDEX('Kode Outlet dan Target Toko'!$A:$A,MATCH($I3731,'Kode Outlet dan Target Toko'!$E:$E,0)),"")</f>
        <v>GRSM 5</v>
      </c>
      <c r="E3731" s="20" t="str">
        <f>IFERROR(VLOOKUP(I3731,KET!$B:$F,4,0),"")</f>
        <v>SUPRIYATI</v>
      </c>
      <c r="F3731" s="20" t="str">
        <f>IFERROR(VLOOKUP(I3731,KET!$B:$F,5,0),"")</f>
        <v>GMM</v>
      </c>
      <c r="G3731" s="20">
        <f>IFERROR(INDEX('Kode Outlet dan Target Toko'!$C:$C,MATCH($I3731,'Kode Outlet dan Target Toko'!$E:$E,0)),0)</f>
        <v>103274</v>
      </c>
      <c r="H3731" s="20">
        <f>IFERROR(INDEX('Kode Outlet dan Target Toko'!$D:$D,MATCH($I3731,'Kode Outlet dan Target Toko'!$E:$E,0)),0)</f>
        <v>1301399</v>
      </c>
      <c r="I3731" s="42" t="s">
        <v>111</v>
      </c>
      <c r="J3731" s="56" t="s">
        <v>205</v>
      </c>
      <c r="K3731" s="40" t="s">
        <v>15</v>
      </c>
      <c r="L3731" s="26">
        <v>3092</v>
      </c>
      <c r="M3731" s="26">
        <v>120</v>
      </c>
      <c r="N3731" s="25">
        <f t="shared" si="117"/>
        <v>371040</v>
      </c>
      <c r="O3731" s="56"/>
    </row>
    <row r="3732" spans="1:15" hidden="1" x14ac:dyDescent="0.3">
      <c r="A3732" s="26">
        <v>33</v>
      </c>
      <c r="B3732" s="20" t="str">
        <f t="shared" si="116"/>
        <v>AUG</v>
      </c>
      <c r="C3732" s="21">
        <v>46249</v>
      </c>
      <c r="D3732" s="22" t="str">
        <f>IFERROR(INDEX('Kode Outlet dan Target Toko'!$A:$A,MATCH($I3732,'Kode Outlet dan Target Toko'!$E:$E,0)),"")</f>
        <v>GRSM 5</v>
      </c>
      <c r="E3732" s="20" t="str">
        <f>IFERROR(VLOOKUP(I3732,KET!$B:$F,4,0),"")</f>
        <v>SUPRIYATI</v>
      </c>
      <c r="F3732" s="20" t="str">
        <f>IFERROR(VLOOKUP(I3732,KET!$B:$F,5,0),"")</f>
        <v>GMM</v>
      </c>
      <c r="G3732" s="20">
        <f>IFERROR(INDEX('Kode Outlet dan Target Toko'!$C:$C,MATCH($I3732,'Kode Outlet dan Target Toko'!$E:$E,0)),0)</f>
        <v>103274</v>
      </c>
      <c r="H3732" s="20">
        <f>IFERROR(INDEX('Kode Outlet dan Target Toko'!$D:$D,MATCH($I3732,'Kode Outlet dan Target Toko'!$E:$E,0)),0)</f>
        <v>1301399</v>
      </c>
      <c r="I3732" s="42" t="s">
        <v>111</v>
      </c>
      <c r="J3732" s="56" t="s">
        <v>205</v>
      </c>
      <c r="K3732" s="40" t="s">
        <v>14</v>
      </c>
      <c r="L3732" s="26">
        <v>3092</v>
      </c>
      <c r="M3732" s="26">
        <v>40</v>
      </c>
      <c r="N3732" s="25">
        <f t="shared" si="117"/>
        <v>123680</v>
      </c>
      <c r="O3732" s="56"/>
    </row>
    <row r="3733" spans="1:15" hidden="1" x14ac:dyDescent="0.3">
      <c r="A3733" s="26">
        <v>33</v>
      </c>
      <c r="B3733" s="20" t="str">
        <f t="shared" si="116"/>
        <v>AUG</v>
      </c>
      <c r="C3733" s="21">
        <v>46249</v>
      </c>
      <c r="D3733" s="22" t="str">
        <f>IFERROR(INDEX('Kode Outlet dan Target Toko'!$A:$A,MATCH($I3733,'Kode Outlet dan Target Toko'!$E:$E,0)),"")</f>
        <v>GRSM 5</v>
      </c>
      <c r="E3733" s="20" t="str">
        <f>IFERROR(VLOOKUP(I3733,KET!$B:$F,4,0),"")</f>
        <v>SUPRIYATI</v>
      </c>
      <c r="F3733" s="20" t="str">
        <f>IFERROR(VLOOKUP(I3733,KET!$B:$F,5,0),"")</f>
        <v>GMM</v>
      </c>
      <c r="G3733" s="20">
        <f>IFERROR(INDEX('Kode Outlet dan Target Toko'!$C:$C,MATCH($I3733,'Kode Outlet dan Target Toko'!$E:$E,0)),0)</f>
        <v>103274</v>
      </c>
      <c r="H3733" s="20">
        <f>IFERROR(INDEX('Kode Outlet dan Target Toko'!$D:$D,MATCH($I3733,'Kode Outlet dan Target Toko'!$E:$E,0)),0)</f>
        <v>1301399</v>
      </c>
      <c r="I3733" s="42" t="s">
        <v>111</v>
      </c>
      <c r="J3733" s="56" t="s">
        <v>205</v>
      </c>
      <c r="K3733" s="40" t="s">
        <v>13</v>
      </c>
      <c r="L3733" s="26">
        <v>3092</v>
      </c>
      <c r="M3733" s="26">
        <v>10</v>
      </c>
      <c r="N3733" s="25">
        <f t="shared" si="117"/>
        <v>30920</v>
      </c>
      <c r="O3733" s="56"/>
    </row>
    <row r="3734" spans="1:15" hidden="1" x14ac:dyDescent="0.3">
      <c r="A3734" s="26">
        <v>33</v>
      </c>
      <c r="B3734" s="20" t="str">
        <f t="shared" si="116"/>
        <v>AUG</v>
      </c>
      <c r="C3734" s="21">
        <v>46249</v>
      </c>
      <c r="D3734" s="22" t="str">
        <f>IFERROR(INDEX('Kode Outlet dan Target Toko'!$A:$A,MATCH($I3734,'Kode Outlet dan Target Toko'!$E:$E,0)),"")</f>
        <v>GRSM 5</v>
      </c>
      <c r="E3734" s="20" t="str">
        <f>IFERROR(VLOOKUP(I3734,KET!$B:$F,4,0),"")</f>
        <v>SUPRIYATI</v>
      </c>
      <c r="F3734" s="20" t="str">
        <f>IFERROR(VLOOKUP(I3734,KET!$B:$F,5,0),"")</f>
        <v>GMM</v>
      </c>
      <c r="G3734" s="20">
        <f>IFERROR(INDEX('Kode Outlet dan Target Toko'!$C:$C,MATCH($I3734,'Kode Outlet dan Target Toko'!$E:$E,0)),0)</f>
        <v>103274</v>
      </c>
      <c r="H3734" s="20">
        <f>IFERROR(INDEX('Kode Outlet dan Target Toko'!$D:$D,MATCH($I3734,'Kode Outlet dan Target Toko'!$E:$E,0)),0)</f>
        <v>1301399</v>
      </c>
      <c r="I3734" s="42" t="s">
        <v>111</v>
      </c>
      <c r="J3734" s="56" t="s">
        <v>205</v>
      </c>
      <c r="K3734" s="40" t="s">
        <v>16</v>
      </c>
      <c r="L3734" s="26">
        <v>3092</v>
      </c>
      <c r="M3734" s="26">
        <v>200</v>
      </c>
      <c r="N3734" s="25">
        <f t="shared" si="117"/>
        <v>618400</v>
      </c>
      <c r="O3734" s="56">
        <v>160</v>
      </c>
    </row>
    <row r="3735" spans="1:15" hidden="1" x14ac:dyDescent="0.3">
      <c r="A3735" s="26">
        <v>33</v>
      </c>
      <c r="B3735" s="20" t="str">
        <f t="shared" si="116"/>
        <v>AUG</v>
      </c>
      <c r="C3735" s="21">
        <v>46249</v>
      </c>
      <c r="D3735" s="22" t="str">
        <f>IFERROR(INDEX('Kode Outlet dan Target Toko'!$A:$A,MATCH($I3735,'Kode Outlet dan Target Toko'!$E:$E,0)),"")</f>
        <v>GRSM 5</v>
      </c>
      <c r="E3735" s="20" t="str">
        <f>IFERROR(VLOOKUP(I3735,KET!$B:$F,4,0),"")</f>
        <v>SUPRIYATI</v>
      </c>
      <c r="F3735" s="20" t="str">
        <f>IFERROR(VLOOKUP(I3735,KET!$B:$F,5,0),"")</f>
        <v>GMM</v>
      </c>
      <c r="G3735" s="20">
        <f>IFERROR(INDEX('Kode Outlet dan Target Toko'!$C:$C,MATCH($I3735,'Kode Outlet dan Target Toko'!$E:$E,0)),0)</f>
        <v>103274</v>
      </c>
      <c r="H3735" s="20">
        <f>IFERROR(INDEX('Kode Outlet dan Target Toko'!$D:$D,MATCH($I3735,'Kode Outlet dan Target Toko'!$E:$E,0)),0)</f>
        <v>1301399</v>
      </c>
      <c r="I3735" s="42" t="s">
        <v>111</v>
      </c>
      <c r="J3735" s="56" t="s">
        <v>206</v>
      </c>
      <c r="K3735" s="40" t="s">
        <v>15</v>
      </c>
      <c r="L3735" s="26">
        <v>3092</v>
      </c>
      <c r="M3735" s="26">
        <v>120</v>
      </c>
      <c r="N3735" s="25">
        <f t="shared" si="117"/>
        <v>371040</v>
      </c>
      <c r="O3735" s="56"/>
    </row>
    <row r="3736" spans="1:15" hidden="1" x14ac:dyDescent="0.3">
      <c r="A3736" s="26">
        <v>33</v>
      </c>
      <c r="B3736" s="20" t="str">
        <f t="shared" si="116"/>
        <v>AUG</v>
      </c>
      <c r="C3736" s="21">
        <v>46249</v>
      </c>
      <c r="D3736" s="22" t="str">
        <f>IFERROR(INDEX('Kode Outlet dan Target Toko'!$A:$A,MATCH($I3736,'Kode Outlet dan Target Toko'!$E:$E,0)),"")</f>
        <v>GRSM 5</v>
      </c>
      <c r="E3736" s="20" t="str">
        <f>IFERROR(VLOOKUP(I3736,KET!$B:$F,4,0),"")</f>
        <v>SUPRIYATI</v>
      </c>
      <c r="F3736" s="20" t="str">
        <f>IFERROR(VLOOKUP(I3736,KET!$B:$F,5,0),"")</f>
        <v>GMM</v>
      </c>
      <c r="G3736" s="20">
        <f>IFERROR(INDEX('Kode Outlet dan Target Toko'!$C:$C,MATCH($I3736,'Kode Outlet dan Target Toko'!$E:$E,0)),0)</f>
        <v>103274</v>
      </c>
      <c r="H3736" s="20">
        <f>IFERROR(INDEX('Kode Outlet dan Target Toko'!$D:$D,MATCH($I3736,'Kode Outlet dan Target Toko'!$E:$E,0)),0)</f>
        <v>1301399</v>
      </c>
      <c r="I3736" s="42" t="s">
        <v>111</v>
      </c>
      <c r="J3736" s="56" t="s">
        <v>206</v>
      </c>
      <c r="K3736" s="40" t="s">
        <v>14</v>
      </c>
      <c r="L3736" s="26">
        <v>3092</v>
      </c>
      <c r="M3736" s="26">
        <v>40</v>
      </c>
      <c r="N3736" s="25">
        <f t="shared" si="117"/>
        <v>123680</v>
      </c>
      <c r="O3736" s="56"/>
    </row>
    <row r="3737" spans="1:15" hidden="1" x14ac:dyDescent="0.3">
      <c r="A3737" s="26">
        <v>33</v>
      </c>
      <c r="B3737" s="20" t="str">
        <f t="shared" si="116"/>
        <v>AUG</v>
      </c>
      <c r="C3737" s="21">
        <v>46249</v>
      </c>
      <c r="D3737" s="22" t="str">
        <f>IFERROR(INDEX('Kode Outlet dan Target Toko'!$A:$A,MATCH($I3737,'Kode Outlet dan Target Toko'!$E:$E,0)),"")</f>
        <v>GRSM 5</v>
      </c>
      <c r="E3737" s="20" t="str">
        <f>IFERROR(VLOOKUP(I3737,KET!$B:$F,4,0),"")</f>
        <v>SUPRIYATI</v>
      </c>
      <c r="F3737" s="20" t="str">
        <f>IFERROR(VLOOKUP(I3737,KET!$B:$F,5,0),"")</f>
        <v>GMM</v>
      </c>
      <c r="G3737" s="20">
        <f>IFERROR(INDEX('Kode Outlet dan Target Toko'!$C:$C,MATCH($I3737,'Kode Outlet dan Target Toko'!$E:$E,0)),0)</f>
        <v>103274</v>
      </c>
      <c r="H3737" s="20">
        <f>IFERROR(INDEX('Kode Outlet dan Target Toko'!$D:$D,MATCH($I3737,'Kode Outlet dan Target Toko'!$E:$E,0)),0)</f>
        <v>1301399</v>
      </c>
      <c r="I3737" s="42" t="s">
        <v>111</v>
      </c>
      <c r="J3737" s="56" t="s">
        <v>206</v>
      </c>
      <c r="K3737" s="40" t="s">
        <v>13</v>
      </c>
      <c r="L3737" s="26">
        <v>3092</v>
      </c>
      <c r="M3737" s="26">
        <v>10</v>
      </c>
      <c r="N3737" s="25">
        <f t="shared" si="117"/>
        <v>30920</v>
      </c>
      <c r="O3737" s="56"/>
    </row>
    <row r="3738" spans="1:15" hidden="1" x14ac:dyDescent="0.3">
      <c r="A3738" s="26">
        <v>33</v>
      </c>
      <c r="B3738" s="20" t="str">
        <f t="shared" si="116"/>
        <v>AUG</v>
      </c>
      <c r="C3738" s="21">
        <v>46249</v>
      </c>
      <c r="D3738" s="22" t="str">
        <f>IFERROR(INDEX('Kode Outlet dan Target Toko'!$A:$A,MATCH($I3738,'Kode Outlet dan Target Toko'!$E:$E,0)),"")</f>
        <v>GRSM 5</v>
      </c>
      <c r="E3738" s="20" t="str">
        <f>IFERROR(VLOOKUP(I3738,KET!$B:$F,4,0),"")</f>
        <v>SUPRIYATI</v>
      </c>
      <c r="F3738" s="20" t="str">
        <f>IFERROR(VLOOKUP(I3738,KET!$B:$F,5,0),"")</f>
        <v>GMM</v>
      </c>
      <c r="G3738" s="20">
        <f>IFERROR(INDEX('Kode Outlet dan Target Toko'!$C:$C,MATCH($I3738,'Kode Outlet dan Target Toko'!$E:$E,0)),0)</f>
        <v>103274</v>
      </c>
      <c r="H3738" s="20">
        <f>IFERROR(INDEX('Kode Outlet dan Target Toko'!$D:$D,MATCH($I3738,'Kode Outlet dan Target Toko'!$E:$E,0)),0)</f>
        <v>1301399</v>
      </c>
      <c r="I3738" s="42" t="s">
        <v>111</v>
      </c>
      <c r="J3738" s="56" t="s">
        <v>206</v>
      </c>
      <c r="K3738" s="40" t="s">
        <v>16</v>
      </c>
      <c r="L3738" s="26">
        <v>3092</v>
      </c>
      <c r="M3738" s="26">
        <v>200</v>
      </c>
      <c r="N3738" s="25">
        <f t="shared" si="117"/>
        <v>618400</v>
      </c>
      <c r="O3738" s="56">
        <v>160</v>
      </c>
    </row>
    <row r="3739" spans="1:15" hidden="1" x14ac:dyDescent="0.3">
      <c r="A3739" s="26">
        <v>33</v>
      </c>
      <c r="B3739" s="20" t="str">
        <f t="shared" si="116"/>
        <v>AUG</v>
      </c>
      <c r="C3739" s="21">
        <v>46249</v>
      </c>
      <c r="D3739" s="22" t="str">
        <f>IFERROR(INDEX('Kode Outlet dan Target Toko'!$A:$A,MATCH($I3739,'Kode Outlet dan Target Toko'!$E:$E,0)),"")</f>
        <v>GRSM 5</v>
      </c>
      <c r="E3739" s="20" t="str">
        <f>IFERROR(VLOOKUP(I3739,KET!$B:$F,4,0),"")</f>
        <v>SUPRIYATI</v>
      </c>
      <c r="F3739" s="20" t="str">
        <f>IFERROR(VLOOKUP(I3739,KET!$B:$F,5,0),"")</f>
        <v>GMM</v>
      </c>
      <c r="G3739" s="20">
        <f>IFERROR(INDEX('Kode Outlet dan Target Toko'!$C:$C,MATCH($I3739,'Kode Outlet dan Target Toko'!$E:$E,0)),0)</f>
        <v>211050</v>
      </c>
      <c r="H3739" s="20">
        <f>IFERROR(INDEX('Kode Outlet dan Target Toko'!$D:$D,MATCH($I3739,'Kode Outlet dan Target Toko'!$E:$E,0)),0)</f>
        <v>2910733</v>
      </c>
      <c r="I3739" s="42" t="s">
        <v>93</v>
      </c>
      <c r="J3739" s="56" t="s">
        <v>226</v>
      </c>
      <c r="K3739" s="40" t="s">
        <v>15</v>
      </c>
      <c r="L3739" s="26">
        <v>3000</v>
      </c>
      <c r="M3739" s="26">
        <v>204</v>
      </c>
      <c r="N3739" s="25">
        <f t="shared" si="117"/>
        <v>612000</v>
      </c>
      <c r="O3739" s="56"/>
    </row>
    <row r="3740" spans="1:15" hidden="1" x14ac:dyDescent="0.3">
      <c r="A3740" s="26">
        <v>33</v>
      </c>
      <c r="B3740" s="20" t="str">
        <f t="shared" si="116"/>
        <v>AUG</v>
      </c>
      <c r="C3740" s="21">
        <v>46249</v>
      </c>
      <c r="D3740" s="22" t="str">
        <f>IFERROR(INDEX('Kode Outlet dan Target Toko'!$A:$A,MATCH($I3740,'Kode Outlet dan Target Toko'!$E:$E,0)),"")</f>
        <v>GRSM 5</v>
      </c>
      <c r="E3740" s="20" t="str">
        <f>IFERROR(VLOOKUP(I3740,KET!$B:$F,4,0),"")</f>
        <v>SUPRIYATI</v>
      </c>
      <c r="F3740" s="20" t="str">
        <f>IFERROR(VLOOKUP(I3740,KET!$B:$F,5,0),"")</f>
        <v>GMM</v>
      </c>
      <c r="G3740" s="20">
        <f>IFERROR(INDEX('Kode Outlet dan Target Toko'!$C:$C,MATCH($I3740,'Kode Outlet dan Target Toko'!$E:$E,0)),0)</f>
        <v>211050</v>
      </c>
      <c r="H3740" s="20">
        <f>IFERROR(INDEX('Kode Outlet dan Target Toko'!$D:$D,MATCH($I3740,'Kode Outlet dan Target Toko'!$E:$E,0)),0)</f>
        <v>2910733</v>
      </c>
      <c r="I3740" s="42" t="s">
        <v>93</v>
      </c>
      <c r="J3740" s="56" t="s">
        <v>226</v>
      </c>
      <c r="K3740" s="40" t="s">
        <v>14</v>
      </c>
      <c r="L3740" s="26">
        <v>3000</v>
      </c>
      <c r="M3740" s="26">
        <v>12</v>
      </c>
      <c r="N3740" s="25">
        <f t="shared" si="117"/>
        <v>36000</v>
      </c>
      <c r="O3740" s="56"/>
    </row>
    <row r="3741" spans="1:15" hidden="1" x14ac:dyDescent="0.3">
      <c r="A3741" s="26">
        <v>33</v>
      </c>
      <c r="B3741" s="20" t="str">
        <f t="shared" si="116"/>
        <v>AUG</v>
      </c>
      <c r="C3741" s="21">
        <v>46249</v>
      </c>
      <c r="D3741" s="22" t="str">
        <f>IFERROR(INDEX('Kode Outlet dan Target Toko'!$A:$A,MATCH($I3741,'Kode Outlet dan Target Toko'!$E:$E,0)),"")</f>
        <v>GRSM 5</v>
      </c>
      <c r="E3741" s="20" t="str">
        <f>IFERROR(VLOOKUP(I3741,KET!$B:$F,4,0),"")</f>
        <v>SUPRIYATI</v>
      </c>
      <c r="F3741" s="20" t="str">
        <f>IFERROR(VLOOKUP(I3741,KET!$B:$F,5,0),"")</f>
        <v>GMM</v>
      </c>
      <c r="G3741" s="20">
        <f>IFERROR(INDEX('Kode Outlet dan Target Toko'!$C:$C,MATCH($I3741,'Kode Outlet dan Target Toko'!$E:$E,0)),0)</f>
        <v>211050</v>
      </c>
      <c r="H3741" s="20">
        <f>IFERROR(INDEX('Kode Outlet dan Target Toko'!$D:$D,MATCH($I3741,'Kode Outlet dan Target Toko'!$E:$E,0)),0)</f>
        <v>2910733</v>
      </c>
      <c r="I3741" s="42" t="s">
        <v>93</v>
      </c>
      <c r="J3741" s="56" t="s">
        <v>226</v>
      </c>
      <c r="K3741" s="40" t="s">
        <v>13</v>
      </c>
      <c r="L3741" s="26">
        <v>3000</v>
      </c>
      <c r="M3741" s="26">
        <v>42</v>
      </c>
      <c r="N3741" s="25">
        <f t="shared" si="117"/>
        <v>126000</v>
      </c>
      <c r="O3741" s="56"/>
    </row>
    <row r="3742" spans="1:15" hidden="1" x14ac:dyDescent="0.3">
      <c r="A3742" s="26">
        <v>33</v>
      </c>
      <c r="B3742" s="20" t="str">
        <f t="shared" si="116"/>
        <v>AUG</v>
      </c>
      <c r="C3742" s="21">
        <v>46249</v>
      </c>
      <c r="D3742" s="22" t="str">
        <f>IFERROR(INDEX('Kode Outlet dan Target Toko'!$A:$A,MATCH($I3742,'Kode Outlet dan Target Toko'!$E:$E,0)),"")</f>
        <v>GRSM 5</v>
      </c>
      <c r="E3742" s="20" t="str">
        <f>IFERROR(VLOOKUP(I3742,KET!$B:$F,4,0),"")</f>
        <v>SUPRIYATI</v>
      </c>
      <c r="F3742" s="20" t="str">
        <f>IFERROR(VLOOKUP(I3742,KET!$B:$F,5,0),"")</f>
        <v>GMM</v>
      </c>
      <c r="G3742" s="20">
        <f>IFERROR(INDEX('Kode Outlet dan Target Toko'!$C:$C,MATCH($I3742,'Kode Outlet dan Target Toko'!$E:$E,0)),0)</f>
        <v>211050</v>
      </c>
      <c r="H3742" s="20">
        <f>IFERROR(INDEX('Kode Outlet dan Target Toko'!$D:$D,MATCH($I3742,'Kode Outlet dan Target Toko'!$E:$E,0)),0)</f>
        <v>2910733</v>
      </c>
      <c r="I3742" s="42" t="s">
        <v>93</v>
      </c>
      <c r="J3742" s="56" t="s">
        <v>226</v>
      </c>
      <c r="K3742" s="40" t="s">
        <v>16</v>
      </c>
      <c r="L3742" s="26">
        <v>3000</v>
      </c>
      <c r="M3742" s="26">
        <v>228</v>
      </c>
      <c r="N3742" s="25">
        <f t="shared" si="117"/>
        <v>684000</v>
      </c>
      <c r="O3742" s="56">
        <v>160</v>
      </c>
    </row>
    <row r="3743" spans="1:15" hidden="1" x14ac:dyDescent="0.3">
      <c r="A3743" s="26">
        <v>33</v>
      </c>
      <c r="B3743" s="20" t="str">
        <f t="shared" si="116"/>
        <v>AUG</v>
      </c>
      <c r="C3743" s="21">
        <v>46249</v>
      </c>
      <c r="D3743" s="22" t="str">
        <f>IFERROR(INDEX('Kode Outlet dan Target Toko'!$A:$A,MATCH($I3743,'Kode Outlet dan Target Toko'!$E:$E,0)),"")</f>
        <v>GRSM 5</v>
      </c>
      <c r="E3743" s="20" t="str">
        <f>IFERROR(VLOOKUP(I3743,KET!$B:$F,4,0),"")</f>
        <v>SUPRIYATI</v>
      </c>
      <c r="F3743" s="20" t="str">
        <f>IFERROR(VLOOKUP(I3743,KET!$B:$F,5,0),"")</f>
        <v>GMM</v>
      </c>
      <c r="G3743" s="20">
        <f>IFERROR(INDEX('Kode Outlet dan Target Toko'!$C:$C,MATCH($I3743,'Kode Outlet dan Target Toko'!$E:$E,0)),0)</f>
        <v>211050</v>
      </c>
      <c r="H3743" s="20">
        <f>IFERROR(INDEX('Kode Outlet dan Target Toko'!$D:$D,MATCH($I3743,'Kode Outlet dan Target Toko'!$E:$E,0)),0)</f>
        <v>2910733</v>
      </c>
      <c r="I3743" s="42" t="s">
        <v>93</v>
      </c>
      <c r="J3743" s="56" t="s">
        <v>227</v>
      </c>
      <c r="K3743" s="40" t="s">
        <v>15</v>
      </c>
      <c r="L3743" s="26">
        <v>3000</v>
      </c>
      <c r="M3743" s="26">
        <v>204</v>
      </c>
      <c r="N3743" s="25">
        <f t="shared" si="117"/>
        <v>612000</v>
      </c>
      <c r="O3743" s="56"/>
    </row>
    <row r="3744" spans="1:15" hidden="1" x14ac:dyDescent="0.3">
      <c r="A3744" s="26">
        <v>33</v>
      </c>
      <c r="B3744" s="20" t="str">
        <f t="shared" si="116"/>
        <v>AUG</v>
      </c>
      <c r="C3744" s="21">
        <v>46249</v>
      </c>
      <c r="D3744" s="22" t="str">
        <f>IFERROR(INDEX('Kode Outlet dan Target Toko'!$A:$A,MATCH($I3744,'Kode Outlet dan Target Toko'!$E:$E,0)),"")</f>
        <v>GRSM 5</v>
      </c>
      <c r="E3744" s="20" t="str">
        <f>IFERROR(VLOOKUP(I3744,KET!$B:$F,4,0),"")</f>
        <v>SUPRIYATI</v>
      </c>
      <c r="F3744" s="20" t="str">
        <f>IFERROR(VLOOKUP(I3744,KET!$B:$F,5,0),"")</f>
        <v>GMM</v>
      </c>
      <c r="G3744" s="20">
        <f>IFERROR(INDEX('Kode Outlet dan Target Toko'!$C:$C,MATCH($I3744,'Kode Outlet dan Target Toko'!$E:$E,0)),0)</f>
        <v>211050</v>
      </c>
      <c r="H3744" s="20">
        <f>IFERROR(INDEX('Kode Outlet dan Target Toko'!$D:$D,MATCH($I3744,'Kode Outlet dan Target Toko'!$E:$E,0)),0)</f>
        <v>2910733</v>
      </c>
      <c r="I3744" s="42" t="s">
        <v>93</v>
      </c>
      <c r="J3744" s="56" t="s">
        <v>227</v>
      </c>
      <c r="K3744" s="40" t="s">
        <v>14</v>
      </c>
      <c r="L3744" s="26">
        <v>3000</v>
      </c>
      <c r="M3744" s="26">
        <v>12</v>
      </c>
      <c r="N3744" s="25">
        <f t="shared" si="117"/>
        <v>36000</v>
      </c>
      <c r="O3744" s="56"/>
    </row>
    <row r="3745" spans="1:15" hidden="1" x14ac:dyDescent="0.3">
      <c r="A3745" s="26">
        <v>33</v>
      </c>
      <c r="B3745" s="20" t="str">
        <f t="shared" si="116"/>
        <v>AUG</v>
      </c>
      <c r="C3745" s="21">
        <v>46249</v>
      </c>
      <c r="D3745" s="22" t="str">
        <f>IFERROR(INDEX('Kode Outlet dan Target Toko'!$A:$A,MATCH($I3745,'Kode Outlet dan Target Toko'!$E:$E,0)),"")</f>
        <v>GRSM 5</v>
      </c>
      <c r="E3745" s="20" t="str">
        <f>IFERROR(VLOOKUP(I3745,KET!$B:$F,4,0),"")</f>
        <v>SUPRIYATI</v>
      </c>
      <c r="F3745" s="20" t="str">
        <f>IFERROR(VLOOKUP(I3745,KET!$B:$F,5,0),"")</f>
        <v>GMM</v>
      </c>
      <c r="G3745" s="20">
        <f>IFERROR(INDEX('Kode Outlet dan Target Toko'!$C:$C,MATCH($I3745,'Kode Outlet dan Target Toko'!$E:$E,0)),0)</f>
        <v>211050</v>
      </c>
      <c r="H3745" s="20">
        <f>IFERROR(INDEX('Kode Outlet dan Target Toko'!$D:$D,MATCH($I3745,'Kode Outlet dan Target Toko'!$E:$E,0)),0)</f>
        <v>2910733</v>
      </c>
      <c r="I3745" s="42" t="s">
        <v>93</v>
      </c>
      <c r="J3745" s="56" t="s">
        <v>227</v>
      </c>
      <c r="K3745" s="40" t="s">
        <v>13</v>
      </c>
      <c r="L3745" s="26">
        <v>3000</v>
      </c>
      <c r="M3745" s="26">
        <v>42</v>
      </c>
      <c r="N3745" s="25">
        <f t="shared" si="117"/>
        <v>126000</v>
      </c>
      <c r="O3745" s="56"/>
    </row>
    <row r="3746" spans="1:15" hidden="1" x14ac:dyDescent="0.3">
      <c r="A3746" s="26">
        <v>33</v>
      </c>
      <c r="B3746" s="20" t="str">
        <f t="shared" si="116"/>
        <v>AUG</v>
      </c>
      <c r="C3746" s="21">
        <v>46249</v>
      </c>
      <c r="D3746" s="22" t="str">
        <f>IFERROR(INDEX('Kode Outlet dan Target Toko'!$A:$A,MATCH($I3746,'Kode Outlet dan Target Toko'!$E:$E,0)),"")</f>
        <v>GRSM 5</v>
      </c>
      <c r="E3746" s="20" t="str">
        <f>IFERROR(VLOOKUP(I3746,KET!$B:$F,4,0),"")</f>
        <v>SUPRIYATI</v>
      </c>
      <c r="F3746" s="20" t="str">
        <f>IFERROR(VLOOKUP(I3746,KET!$B:$F,5,0),"")</f>
        <v>GMM</v>
      </c>
      <c r="G3746" s="20">
        <f>IFERROR(INDEX('Kode Outlet dan Target Toko'!$C:$C,MATCH($I3746,'Kode Outlet dan Target Toko'!$E:$E,0)),0)</f>
        <v>211050</v>
      </c>
      <c r="H3746" s="20">
        <f>IFERROR(INDEX('Kode Outlet dan Target Toko'!$D:$D,MATCH($I3746,'Kode Outlet dan Target Toko'!$E:$E,0)),0)</f>
        <v>2910733</v>
      </c>
      <c r="I3746" s="42" t="s">
        <v>93</v>
      </c>
      <c r="J3746" s="56" t="s">
        <v>227</v>
      </c>
      <c r="K3746" s="40" t="s">
        <v>16</v>
      </c>
      <c r="L3746" s="26">
        <v>3000</v>
      </c>
      <c r="M3746" s="26">
        <v>228</v>
      </c>
      <c r="N3746" s="25">
        <f t="shared" si="117"/>
        <v>684000</v>
      </c>
      <c r="O3746" s="56">
        <v>160</v>
      </c>
    </row>
    <row r="3747" spans="1:15" hidden="1" x14ac:dyDescent="0.3">
      <c r="A3747" s="26">
        <v>33</v>
      </c>
      <c r="B3747" s="20" t="str">
        <f t="shared" si="116"/>
        <v>AUG</v>
      </c>
      <c r="C3747" s="21">
        <v>46249</v>
      </c>
      <c r="D3747" s="22" t="str">
        <f>IFERROR(INDEX('Kode Outlet dan Target Toko'!$A:$A,MATCH($I3747,'Kode Outlet dan Target Toko'!$E:$E,0)),"")</f>
        <v>GRSM 5</v>
      </c>
      <c r="E3747" s="20" t="str">
        <f>IFERROR(VLOOKUP(I3747,KET!$B:$F,4,0),"")</f>
        <v>SUPRIYATI</v>
      </c>
      <c r="F3747" s="20" t="str">
        <f>IFERROR(VLOOKUP(I3747,KET!$B:$F,5,0),"")</f>
        <v>GMM</v>
      </c>
      <c r="G3747" s="20">
        <f>IFERROR(INDEX('Kode Outlet dan Target Toko'!$C:$C,MATCH($I3747,'Kode Outlet dan Target Toko'!$E:$E,0)),0)</f>
        <v>0</v>
      </c>
      <c r="H3747" s="20">
        <f>IFERROR(INDEX('Kode Outlet dan Target Toko'!$D:$D,MATCH($I3747,'Kode Outlet dan Target Toko'!$E:$E,0)),0)</f>
        <v>0</v>
      </c>
      <c r="I3747" s="42" t="s">
        <v>117</v>
      </c>
      <c r="J3747" s="56" t="s">
        <v>228</v>
      </c>
      <c r="K3747" s="40" t="s">
        <v>15</v>
      </c>
      <c r="L3747" s="26">
        <v>3200</v>
      </c>
      <c r="M3747" s="26">
        <v>42</v>
      </c>
      <c r="N3747" s="25">
        <f t="shared" si="117"/>
        <v>134400</v>
      </c>
      <c r="O3747" s="56"/>
    </row>
    <row r="3748" spans="1:15" hidden="1" x14ac:dyDescent="0.3">
      <c r="A3748" s="26">
        <v>33</v>
      </c>
      <c r="B3748" s="20" t="str">
        <f t="shared" si="116"/>
        <v>AUG</v>
      </c>
      <c r="C3748" s="21">
        <v>46249</v>
      </c>
      <c r="D3748" s="22" t="str">
        <f>IFERROR(INDEX('Kode Outlet dan Target Toko'!$A:$A,MATCH($I3748,'Kode Outlet dan Target Toko'!$E:$E,0)),"")</f>
        <v>GRSM 5</v>
      </c>
      <c r="E3748" s="20" t="str">
        <f>IFERROR(VLOOKUP(I3748,KET!$B:$F,4,0),"")</f>
        <v>SUPRIYATI</v>
      </c>
      <c r="F3748" s="20" t="str">
        <f>IFERROR(VLOOKUP(I3748,KET!$B:$F,5,0),"")</f>
        <v>GMM</v>
      </c>
      <c r="G3748" s="20">
        <f>IFERROR(INDEX('Kode Outlet dan Target Toko'!$C:$C,MATCH($I3748,'Kode Outlet dan Target Toko'!$E:$E,0)),0)</f>
        <v>0</v>
      </c>
      <c r="H3748" s="20">
        <f>IFERROR(INDEX('Kode Outlet dan Target Toko'!$D:$D,MATCH($I3748,'Kode Outlet dan Target Toko'!$E:$E,0)),0)</f>
        <v>0</v>
      </c>
      <c r="I3748" s="42" t="s">
        <v>117</v>
      </c>
      <c r="J3748" s="56" t="s">
        <v>228</v>
      </c>
      <c r="K3748" s="40" t="s">
        <v>14</v>
      </c>
      <c r="L3748" s="26">
        <v>3200</v>
      </c>
      <c r="M3748" s="26">
        <v>28</v>
      </c>
      <c r="N3748" s="25">
        <f t="shared" si="117"/>
        <v>89600</v>
      </c>
      <c r="O3748" s="56"/>
    </row>
    <row r="3749" spans="1:15" hidden="1" x14ac:dyDescent="0.3">
      <c r="A3749" s="26">
        <v>33</v>
      </c>
      <c r="B3749" s="20" t="str">
        <f t="shared" si="116"/>
        <v>AUG</v>
      </c>
      <c r="C3749" s="21">
        <v>46249</v>
      </c>
      <c r="D3749" s="22" t="str">
        <f>IFERROR(INDEX('Kode Outlet dan Target Toko'!$A:$A,MATCH($I3749,'Kode Outlet dan Target Toko'!$E:$E,0)),"")</f>
        <v>GRSM 5</v>
      </c>
      <c r="E3749" s="20" t="str">
        <f>IFERROR(VLOOKUP(I3749,KET!$B:$F,4,0),"")</f>
        <v>SUPRIYATI</v>
      </c>
      <c r="F3749" s="20" t="str">
        <f>IFERROR(VLOOKUP(I3749,KET!$B:$F,5,0),"")</f>
        <v>GMM</v>
      </c>
      <c r="G3749" s="20">
        <f>IFERROR(INDEX('Kode Outlet dan Target Toko'!$C:$C,MATCH($I3749,'Kode Outlet dan Target Toko'!$E:$E,0)),0)</f>
        <v>0</v>
      </c>
      <c r="H3749" s="20">
        <f>IFERROR(INDEX('Kode Outlet dan Target Toko'!$D:$D,MATCH($I3749,'Kode Outlet dan Target Toko'!$E:$E,0)),0)</f>
        <v>0</v>
      </c>
      <c r="I3749" s="42" t="s">
        <v>117</v>
      </c>
      <c r="J3749" s="56" t="s">
        <v>228</v>
      </c>
      <c r="K3749" s="40" t="s">
        <v>13</v>
      </c>
      <c r="L3749" s="26">
        <v>3200</v>
      </c>
      <c r="M3749" s="26">
        <v>32</v>
      </c>
      <c r="N3749" s="25">
        <f t="shared" si="117"/>
        <v>102400</v>
      </c>
      <c r="O3749" s="56"/>
    </row>
    <row r="3750" spans="1:15" hidden="1" x14ac:dyDescent="0.3">
      <c r="A3750" s="26">
        <v>33</v>
      </c>
      <c r="B3750" s="20" t="str">
        <f t="shared" si="116"/>
        <v>AUG</v>
      </c>
      <c r="C3750" s="21">
        <v>46249</v>
      </c>
      <c r="D3750" s="22" t="str">
        <f>IFERROR(INDEX('Kode Outlet dan Target Toko'!$A:$A,MATCH($I3750,'Kode Outlet dan Target Toko'!$E:$E,0)),"")</f>
        <v>GRSM 5</v>
      </c>
      <c r="E3750" s="20" t="str">
        <f>IFERROR(VLOOKUP(I3750,KET!$B:$F,4,0),"")</f>
        <v>SUPRIYATI</v>
      </c>
      <c r="F3750" s="20" t="str">
        <f>IFERROR(VLOOKUP(I3750,KET!$B:$F,5,0),"")</f>
        <v>GMM</v>
      </c>
      <c r="G3750" s="20">
        <f>IFERROR(INDEX('Kode Outlet dan Target Toko'!$C:$C,MATCH($I3750,'Kode Outlet dan Target Toko'!$E:$E,0)),0)</f>
        <v>0</v>
      </c>
      <c r="H3750" s="20">
        <f>IFERROR(INDEX('Kode Outlet dan Target Toko'!$D:$D,MATCH($I3750,'Kode Outlet dan Target Toko'!$E:$E,0)),0)</f>
        <v>0</v>
      </c>
      <c r="I3750" s="42" t="s">
        <v>117</v>
      </c>
      <c r="J3750" s="56" t="s">
        <v>228</v>
      </c>
      <c r="K3750" s="40" t="s">
        <v>16</v>
      </c>
      <c r="L3750" s="26">
        <v>3200</v>
      </c>
      <c r="M3750" s="26">
        <v>96</v>
      </c>
      <c r="N3750" s="25">
        <f t="shared" si="117"/>
        <v>307200</v>
      </c>
      <c r="O3750" s="56">
        <v>160</v>
      </c>
    </row>
    <row r="3751" spans="1:15" hidden="1" x14ac:dyDescent="0.3">
      <c r="A3751" s="26">
        <v>33</v>
      </c>
      <c r="B3751" s="20" t="str">
        <f t="shared" si="116"/>
        <v>AUG</v>
      </c>
      <c r="C3751" s="21">
        <v>46249</v>
      </c>
      <c r="D3751" s="22" t="str">
        <f>IFERROR(INDEX('Kode Outlet dan Target Toko'!$A:$A,MATCH($I3751,'Kode Outlet dan Target Toko'!$E:$E,0)),"")</f>
        <v>GRSM 5</v>
      </c>
      <c r="E3751" s="20" t="str">
        <f>IFERROR(VLOOKUP(I3751,KET!$B:$F,4,0),"")</f>
        <v>SUPRIYATI</v>
      </c>
      <c r="F3751" s="20" t="str">
        <f>IFERROR(VLOOKUP(I3751,KET!$B:$F,5,0),"")</f>
        <v>GMM</v>
      </c>
      <c r="G3751" s="20">
        <f>IFERROR(INDEX('Kode Outlet dan Target Toko'!$C:$C,MATCH($I3751,'Kode Outlet dan Target Toko'!$E:$E,0)),0)</f>
        <v>0</v>
      </c>
      <c r="H3751" s="20">
        <f>IFERROR(INDEX('Kode Outlet dan Target Toko'!$D:$D,MATCH($I3751,'Kode Outlet dan Target Toko'!$E:$E,0)),0)</f>
        <v>0</v>
      </c>
      <c r="I3751" s="42" t="s">
        <v>117</v>
      </c>
      <c r="J3751" s="56" t="s">
        <v>229</v>
      </c>
      <c r="K3751" s="40" t="s">
        <v>15</v>
      </c>
      <c r="L3751" s="26">
        <v>3200</v>
      </c>
      <c r="M3751" s="26">
        <v>42</v>
      </c>
      <c r="N3751" s="25">
        <f t="shared" si="117"/>
        <v>134400</v>
      </c>
      <c r="O3751" s="56"/>
    </row>
    <row r="3752" spans="1:15" hidden="1" x14ac:dyDescent="0.3">
      <c r="A3752" s="26">
        <v>33</v>
      </c>
      <c r="B3752" s="20" t="str">
        <f t="shared" si="116"/>
        <v>AUG</v>
      </c>
      <c r="C3752" s="21">
        <v>46249</v>
      </c>
      <c r="D3752" s="22" t="str">
        <f>IFERROR(INDEX('Kode Outlet dan Target Toko'!$A:$A,MATCH($I3752,'Kode Outlet dan Target Toko'!$E:$E,0)),"")</f>
        <v>GRSM 5</v>
      </c>
      <c r="E3752" s="20" t="str">
        <f>IFERROR(VLOOKUP(I3752,KET!$B:$F,4,0),"")</f>
        <v>SUPRIYATI</v>
      </c>
      <c r="F3752" s="20" t="str">
        <f>IFERROR(VLOOKUP(I3752,KET!$B:$F,5,0),"")</f>
        <v>GMM</v>
      </c>
      <c r="G3752" s="20">
        <f>IFERROR(INDEX('Kode Outlet dan Target Toko'!$C:$C,MATCH($I3752,'Kode Outlet dan Target Toko'!$E:$E,0)),0)</f>
        <v>0</v>
      </c>
      <c r="H3752" s="20">
        <f>IFERROR(INDEX('Kode Outlet dan Target Toko'!$D:$D,MATCH($I3752,'Kode Outlet dan Target Toko'!$E:$E,0)),0)</f>
        <v>0</v>
      </c>
      <c r="I3752" s="42" t="s">
        <v>117</v>
      </c>
      <c r="J3752" s="56" t="s">
        <v>229</v>
      </c>
      <c r="K3752" s="40" t="s">
        <v>14</v>
      </c>
      <c r="L3752" s="26">
        <v>3200</v>
      </c>
      <c r="M3752" s="26">
        <v>28</v>
      </c>
      <c r="N3752" s="25">
        <f t="shared" si="117"/>
        <v>89600</v>
      </c>
      <c r="O3752" s="56"/>
    </row>
    <row r="3753" spans="1:15" hidden="1" x14ac:dyDescent="0.3">
      <c r="A3753" s="26">
        <v>33</v>
      </c>
      <c r="B3753" s="20" t="str">
        <f t="shared" si="116"/>
        <v>AUG</v>
      </c>
      <c r="C3753" s="21">
        <v>46249</v>
      </c>
      <c r="D3753" s="22" t="str">
        <f>IFERROR(INDEX('Kode Outlet dan Target Toko'!$A:$A,MATCH($I3753,'Kode Outlet dan Target Toko'!$E:$E,0)),"")</f>
        <v>GRSM 5</v>
      </c>
      <c r="E3753" s="20" t="str">
        <f>IFERROR(VLOOKUP(I3753,KET!$B:$F,4,0),"")</f>
        <v>SUPRIYATI</v>
      </c>
      <c r="F3753" s="20" t="str">
        <f>IFERROR(VLOOKUP(I3753,KET!$B:$F,5,0),"")</f>
        <v>GMM</v>
      </c>
      <c r="G3753" s="20">
        <f>IFERROR(INDEX('Kode Outlet dan Target Toko'!$C:$C,MATCH($I3753,'Kode Outlet dan Target Toko'!$E:$E,0)),0)</f>
        <v>0</v>
      </c>
      <c r="H3753" s="20">
        <f>IFERROR(INDEX('Kode Outlet dan Target Toko'!$D:$D,MATCH($I3753,'Kode Outlet dan Target Toko'!$E:$E,0)),0)</f>
        <v>0</v>
      </c>
      <c r="I3753" s="42" t="s">
        <v>117</v>
      </c>
      <c r="J3753" s="56" t="s">
        <v>229</v>
      </c>
      <c r="K3753" s="40" t="s">
        <v>13</v>
      </c>
      <c r="L3753" s="26">
        <v>3200</v>
      </c>
      <c r="M3753" s="26">
        <v>32</v>
      </c>
      <c r="N3753" s="25">
        <f t="shared" si="117"/>
        <v>102400</v>
      </c>
      <c r="O3753" s="56"/>
    </row>
    <row r="3754" spans="1:15" hidden="1" x14ac:dyDescent="0.3">
      <c r="A3754" s="26">
        <v>33</v>
      </c>
      <c r="B3754" s="20" t="str">
        <f t="shared" si="116"/>
        <v>AUG</v>
      </c>
      <c r="C3754" s="21">
        <v>46249</v>
      </c>
      <c r="D3754" s="22" t="str">
        <f>IFERROR(INDEX('Kode Outlet dan Target Toko'!$A:$A,MATCH($I3754,'Kode Outlet dan Target Toko'!$E:$E,0)),"")</f>
        <v>GRSM 5</v>
      </c>
      <c r="E3754" s="20" t="str">
        <f>IFERROR(VLOOKUP(I3754,KET!$B:$F,4,0),"")</f>
        <v>SUPRIYATI</v>
      </c>
      <c r="F3754" s="20" t="str">
        <f>IFERROR(VLOOKUP(I3754,KET!$B:$F,5,0),"")</f>
        <v>GMM</v>
      </c>
      <c r="G3754" s="20">
        <f>IFERROR(INDEX('Kode Outlet dan Target Toko'!$C:$C,MATCH($I3754,'Kode Outlet dan Target Toko'!$E:$E,0)),0)</f>
        <v>0</v>
      </c>
      <c r="H3754" s="20">
        <f>IFERROR(INDEX('Kode Outlet dan Target Toko'!$D:$D,MATCH($I3754,'Kode Outlet dan Target Toko'!$E:$E,0)),0)</f>
        <v>0</v>
      </c>
      <c r="I3754" s="42" t="s">
        <v>117</v>
      </c>
      <c r="J3754" s="56" t="s">
        <v>229</v>
      </c>
      <c r="K3754" s="40" t="s">
        <v>16</v>
      </c>
      <c r="L3754" s="26">
        <v>3200</v>
      </c>
      <c r="M3754" s="26">
        <v>96</v>
      </c>
      <c r="N3754" s="25">
        <f t="shared" si="117"/>
        <v>307200</v>
      </c>
      <c r="O3754" s="56">
        <v>160</v>
      </c>
    </row>
    <row r="3755" spans="1:15" hidden="1" x14ac:dyDescent="0.3">
      <c r="A3755" s="26">
        <v>33</v>
      </c>
      <c r="B3755" s="20" t="str">
        <f t="shared" si="116"/>
        <v>AUG</v>
      </c>
      <c r="C3755" s="21">
        <v>46249</v>
      </c>
      <c r="D3755" s="22" t="str">
        <f>IFERROR(INDEX('Kode Outlet dan Target Toko'!$A:$A,MATCH($I3755,'Kode Outlet dan Target Toko'!$E:$E,0)),"")</f>
        <v>GRSM 5</v>
      </c>
      <c r="E3755" s="20" t="str">
        <f>IFERROR(VLOOKUP(I3755,KET!$B:$F,4,0),"")</f>
        <v>SUPRIYATI</v>
      </c>
      <c r="F3755" s="20" t="str">
        <f>IFERROR(VLOOKUP(I3755,KET!$B:$F,5,0),"")</f>
        <v>MT</v>
      </c>
      <c r="G3755" s="20">
        <f>IFERROR(INDEX('Kode Outlet dan Target Toko'!$C:$C,MATCH($I3755,'Kode Outlet dan Target Toko'!$E:$E,0)),0)</f>
        <v>166102</v>
      </c>
      <c r="H3755" s="20">
        <f>IFERROR(INDEX('Kode Outlet dan Target Toko'!$D:$D,MATCH($I3755,'Kode Outlet dan Target Toko'!$E:$E,0)),0)</f>
        <v>9000058</v>
      </c>
      <c r="I3755" s="42" t="s">
        <v>119</v>
      </c>
      <c r="J3755" s="56" t="s">
        <v>232</v>
      </c>
      <c r="K3755" s="40" t="s">
        <v>15</v>
      </c>
      <c r="L3755" s="26">
        <v>3194</v>
      </c>
      <c r="M3755" s="26">
        <v>100</v>
      </c>
      <c r="N3755" s="25">
        <f t="shared" si="117"/>
        <v>319400</v>
      </c>
      <c r="O3755" s="56"/>
    </row>
    <row r="3756" spans="1:15" hidden="1" x14ac:dyDescent="0.3">
      <c r="A3756" s="26">
        <v>33</v>
      </c>
      <c r="B3756" s="20" t="str">
        <f t="shared" si="116"/>
        <v>AUG</v>
      </c>
      <c r="C3756" s="21">
        <v>46249</v>
      </c>
      <c r="D3756" s="22" t="str">
        <f>IFERROR(INDEX('Kode Outlet dan Target Toko'!$A:$A,MATCH($I3756,'Kode Outlet dan Target Toko'!$E:$E,0)),"")</f>
        <v>GRSM 5</v>
      </c>
      <c r="E3756" s="20" t="str">
        <f>IFERROR(VLOOKUP(I3756,KET!$B:$F,4,0),"")</f>
        <v>SUPRIYATI</v>
      </c>
      <c r="F3756" s="20" t="str">
        <f>IFERROR(VLOOKUP(I3756,KET!$B:$F,5,0),"")</f>
        <v>MT</v>
      </c>
      <c r="G3756" s="20">
        <f>IFERROR(INDEX('Kode Outlet dan Target Toko'!$C:$C,MATCH($I3756,'Kode Outlet dan Target Toko'!$E:$E,0)),0)</f>
        <v>166102</v>
      </c>
      <c r="H3756" s="20">
        <f>IFERROR(INDEX('Kode Outlet dan Target Toko'!$D:$D,MATCH($I3756,'Kode Outlet dan Target Toko'!$E:$E,0)),0)</f>
        <v>9000058</v>
      </c>
      <c r="I3756" s="42" t="s">
        <v>119</v>
      </c>
      <c r="J3756" s="56" t="s">
        <v>232</v>
      </c>
      <c r="K3756" s="40" t="s">
        <v>14</v>
      </c>
      <c r="L3756" s="26">
        <v>3194</v>
      </c>
      <c r="M3756" s="26">
        <v>95</v>
      </c>
      <c r="N3756" s="25">
        <f t="shared" si="117"/>
        <v>303430</v>
      </c>
      <c r="O3756" s="56"/>
    </row>
    <row r="3757" spans="1:15" hidden="1" x14ac:dyDescent="0.3">
      <c r="A3757" s="26">
        <v>33</v>
      </c>
      <c r="B3757" s="20" t="str">
        <f t="shared" si="116"/>
        <v>AUG</v>
      </c>
      <c r="C3757" s="21">
        <v>46249</v>
      </c>
      <c r="D3757" s="22" t="str">
        <f>IFERROR(INDEX('Kode Outlet dan Target Toko'!$A:$A,MATCH($I3757,'Kode Outlet dan Target Toko'!$E:$E,0)),"")</f>
        <v>GRSM 5</v>
      </c>
      <c r="E3757" s="20" t="str">
        <f>IFERROR(VLOOKUP(I3757,KET!$B:$F,4,0),"")</f>
        <v>SUPRIYATI</v>
      </c>
      <c r="F3757" s="20" t="str">
        <f>IFERROR(VLOOKUP(I3757,KET!$B:$F,5,0),"")</f>
        <v>MT</v>
      </c>
      <c r="G3757" s="20">
        <f>IFERROR(INDEX('Kode Outlet dan Target Toko'!$C:$C,MATCH($I3757,'Kode Outlet dan Target Toko'!$E:$E,0)),0)</f>
        <v>166102</v>
      </c>
      <c r="H3757" s="20">
        <f>IFERROR(INDEX('Kode Outlet dan Target Toko'!$D:$D,MATCH($I3757,'Kode Outlet dan Target Toko'!$E:$E,0)),0)</f>
        <v>9000058</v>
      </c>
      <c r="I3757" s="42" t="s">
        <v>119</v>
      </c>
      <c r="J3757" s="56" t="s">
        <v>232</v>
      </c>
      <c r="K3757" s="40" t="s">
        <v>13</v>
      </c>
      <c r="L3757" s="26">
        <v>3194</v>
      </c>
      <c r="M3757" s="26">
        <v>0</v>
      </c>
      <c r="N3757" s="25">
        <f t="shared" si="117"/>
        <v>0</v>
      </c>
      <c r="O3757" s="56"/>
    </row>
    <row r="3758" spans="1:15" hidden="1" x14ac:dyDescent="0.3">
      <c r="A3758" s="26">
        <v>33</v>
      </c>
      <c r="B3758" s="20" t="str">
        <f t="shared" si="116"/>
        <v>AUG</v>
      </c>
      <c r="C3758" s="21">
        <v>46249</v>
      </c>
      <c r="D3758" s="22" t="str">
        <f>IFERROR(INDEX('Kode Outlet dan Target Toko'!$A:$A,MATCH($I3758,'Kode Outlet dan Target Toko'!$E:$E,0)),"")</f>
        <v>GRSM 5</v>
      </c>
      <c r="E3758" s="20" t="str">
        <f>IFERROR(VLOOKUP(I3758,KET!$B:$F,4,0),"")</f>
        <v>SUPRIYATI</v>
      </c>
      <c r="F3758" s="20" t="str">
        <f>IFERROR(VLOOKUP(I3758,KET!$B:$F,5,0),"")</f>
        <v>MT</v>
      </c>
      <c r="G3758" s="20">
        <f>IFERROR(INDEX('Kode Outlet dan Target Toko'!$C:$C,MATCH($I3758,'Kode Outlet dan Target Toko'!$E:$E,0)),0)</f>
        <v>166102</v>
      </c>
      <c r="H3758" s="20">
        <f>IFERROR(INDEX('Kode Outlet dan Target Toko'!$D:$D,MATCH($I3758,'Kode Outlet dan Target Toko'!$E:$E,0)),0)</f>
        <v>9000058</v>
      </c>
      <c r="I3758" s="42" t="s">
        <v>119</v>
      </c>
      <c r="J3758" s="56" t="s">
        <v>232</v>
      </c>
      <c r="K3758" s="40" t="s">
        <v>16</v>
      </c>
      <c r="L3758" s="26">
        <v>3194</v>
      </c>
      <c r="M3758" s="26">
        <v>100</v>
      </c>
      <c r="N3758" s="25">
        <f t="shared" si="117"/>
        <v>319400</v>
      </c>
      <c r="O3758" s="56">
        <v>160</v>
      </c>
    </row>
    <row r="3759" spans="1:15" hidden="1" x14ac:dyDescent="0.3">
      <c r="A3759" s="26">
        <v>33</v>
      </c>
      <c r="B3759" s="20" t="str">
        <f t="shared" si="116"/>
        <v>AUG</v>
      </c>
      <c r="C3759" s="21">
        <v>46249</v>
      </c>
      <c r="D3759" s="22" t="str">
        <f>IFERROR(INDEX('Kode Outlet dan Target Toko'!$A:$A,MATCH($I3759,'Kode Outlet dan Target Toko'!$E:$E,0)),"")</f>
        <v>GRSM 5</v>
      </c>
      <c r="E3759" s="20" t="str">
        <f>IFERROR(VLOOKUP(I3759,KET!$B:$F,4,0),"")</f>
        <v>SUPRIYATI</v>
      </c>
      <c r="F3759" s="20" t="str">
        <f>IFERROR(VLOOKUP(I3759,KET!$B:$F,5,0),"")</f>
        <v>MT</v>
      </c>
      <c r="G3759" s="20">
        <f>IFERROR(INDEX('Kode Outlet dan Target Toko'!$C:$C,MATCH($I3759,'Kode Outlet dan Target Toko'!$E:$E,0)),0)</f>
        <v>166102</v>
      </c>
      <c r="H3759" s="20">
        <f>IFERROR(INDEX('Kode Outlet dan Target Toko'!$D:$D,MATCH($I3759,'Kode Outlet dan Target Toko'!$E:$E,0)),0)</f>
        <v>9000058</v>
      </c>
      <c r="I3759" s="42" t="s">
        <v>119</v>
      </c>
      <c r="J3759" s="56" t="s">
        <v>233</v>
      </c>
      <c r="K3759" s="40" t="s">
        <v>15</v>
      </c>
      <c r="L3759" s="26">
        <v>3194</v>
      </c>
      <c r="M3759" s="26">
        <v>100</v>
      </c>
      <c r="N3759" s="25">
        <f t="shared" si="117"/>
        <v>319400</v>
      </c>
      <c r="O3759" s="56"/>
    </row>
    <row r="3760" spans="1:15" hidden="1" x14ac:dyDescent="0.3">
      <c r="A3760" s="26">
        <v>33</v>
      </c>
      <c r="B3760" s="20" t="str">
        <f t="shared" si="116"/>
        <v>AUG</v>
      </c>
      <c r="C3760" s="21">
        <v>46249</v>
      </c>
      <c r="D3760" s="22" t="str">
        <f>IFERROR(INDEX('Kode Outlet dan Target Toko'!$A:$A,MATCH($I3760,'Kode Outlet dan Target Toko'!$E:$E,0)),"")</f>
        <v>GRSM 5</v>
      </c>
      <c r="E3760" s="20" t="str">
        <f>IFERROR(VLOOKUP(I3760,KET!$B:$F,4,0),"")</f>
        <v>SUPRIYATI</v>
      </c>
      <c r="F3760" s="20" t="str">
        <f>IFERROR(VLOOKUP(I3760,KET!$B:$F,5,0),"")</f>
        <v>MT</v>
      </c>
      <c r="G3760" s="20">
        <f>IFERROR(INDEX('Kode Outlet dan Target Toko'!$C:$C,MATCH($I3760,'Kode Outlet dan Target Toko'!$E:$E,0)),0)</f>
        <v>166102</v>
      </c>
      <c r="H3760" s="20">
        <f>IFERROR(INDEX('Kode Outlet dan Target Toko'!$D:$D,MATCH($I3760,'Kode Outlet dan Target Toko'!$E:$E,0)),0)</f>
        <v>9000058</v>
      </c>
      <c r="I3760" s="42" t="s">
        <v>119</v>
      </c>
      <c r="J3760" s="56" t="s">
        <v>233</v>
      </c>
      <c r="K3760" s="40" t="s">
        <v>14</v>
      </c>
      <c r="L3760" s="26">
        <v>3194</v>
      </c>
      <c r="M3760" s="26">
        <v>95</v>
      </c>
      <c r="N3760" s="25">
        <f t="shared" si="117"/>
        <v>303430</v>
      </c>
      <c r="O3760" s="56"/>
    </row>
    <row r="3761" spans="1:15" hidden="1" x14ac:dyDescent="0.3">
      <c r="A3761" s="26">
        <v>33</v>
      </c>
      <c r="B3761" s="20" t="str">
        <f t="shared" si="116"/>
        <v>AUG</v>
      </c>
      <c r="C3761" s="21">
        <v>46249</v>
      </c>
      <c r="D3761" s="22" t="str">
        <f>IFERROR(INDEX('Kode Outlet dan Target Toko'!$A:$A,MATCH($I3761,'Kode Outlet dan Target Toko'!$E:$E,0)),"")</f>
        <v>GRSM 5</v>
      </c>
      <c r="E3761" s="20" t="str">
        <f>IFERROR(VLOOKUP(I3761,KET!$B:$F,4,0),"")</f>
        <v>SUPRIYATI</v>
      </c>
      <c r="F3761" s="20" t="str">
        <f>IFERROR(VLOOKUP(I3761,KET!$B:$F,5,0),"")</f>
        <v>MT</v>
      </c>
      <c r="G3761" s="20">
        <f>IFERROR(INDEX('Kode Outlet dan Target Toko'!$C:$C,MATCH($I3761,'Kode Outlet dan Target Toko'!$E:$E,0)),0)</f>
        <v>166102</v>
      </c>
      <c r="H3761" s="20">
        <f>IFERROR(INDEX('Kode Outlet dan Target Toko'!$D:$D,MATCH($I3761,'Kode Outlet dan Target Toko'!$E:$E,0)),0)</f>
        <v>9000058</v>
      </c>
      <c r="I3761" s="42" t="s">
        <v>119</v>
      </c>
      <c r="J3761" s="56" t="s">
        <v>233</v>
      </c>
      <c r="K3761" s="40" t="s">
        <v>13</v>
      </c>
      <c r="L3761" s="26">
        <v>3194</v>
      </c>
      <c r="M3761" s="26">
        <v>0</v>
      </c>
      <c r="N3761" s="25">
        <f t="shared" si="117"/>
        <v>0</v>
      </c>
      <c r="O3761" s="56"/>
    </row>
    <row r="3762" spans="1:15" hidden="1" x14ac:dyDescent="0.3">
      <c r="A3762" s="26">
        <v>33</v>
      </c>
      <c r="B3762" s="20" t="str">
        <f t="shared" si="116"/>
        <v>AUG</v>
      </c>
      <c r="C3762" s="21">
        <v>46249</v>
      </c>
      <c r="D3762" s="22" t="str">
        <f>IFERROR(INDEX('Kode Outlet dan Target Toko'!$A:$A,MATCH($I3762,'Kode Outlet dan Target Toko'!$E:$E,0)),"")</f>
        <v>GRSM 5</v>
      </c>
      <c r="E3762" s="20" t="str">
        <f>IFERROR(VLOOKUP(I3762,KET!$B:$F,4,0),"")</f>
        <v>SUPRIYATI</v>
      </c>
      <c r="F3762" s="20" t="str">
        <f>IFERROR(VLOOKUP(I3762,KET!$B:$F,5,0),"")</f>
        <v>MT</v>
      </c>
      <c r="G3762" s="20">
        <f>IFERROR(INDEX('Kode Outlet dan Target Toko'!$C:$C,MATCH($I3762,'Kode Outlet dan Target Toko'!$E:$E,0)),0)</f>
        <v>166102</v>
      </c>
      <c r="H3762" s="20">
        <f>IFERROR(INDEX('Kode Outlet dan Target Toko'!$D:$D,MATCH($I3762,'Kode Outlet dan Target Toko'!$E:$E,0)),0)</f>
        <v>9000058</v>
      </c>
      <c r="I3762" s="42" t="s">
        <v>119</v>
      </c>
      <c r="J3762" s="56" t="s">
        <v>233</v>
      </c>
      <c r="K3762" s="40" t="s">
        <v>16</v>
      </c>
      <c r="L3762" s="26">
        <v>3194</v>
      </c>
      <c r="M3762" s="26">
        <v>100</v>
      </c>
      <c r="N3762" s="25">
        <f t="shared" si="117"/>
        <v>319400</v>
      </c>
      <c r="O3762" s="56">
        <v>160</v>
      </c>
    </row>
    <row r="3763" spans="1:15" hidden="1" x14ac:dyDescent="0.3">
      <c r="A3763" s="26">
        <v>33</v>
      </c>
      <c r="B3763" s="20" t="str">
        <f t="shared" si="116"/>
        <v>AUG</v>
      </c>
      <c r="C3763" s="21">
        <v>46249</v>
      </c>
      <c r="D3763" s="22" t="str">
        <f>IFERROR(INDEX('Kode Outlet dan Target Toko'!$A:$A,MATCH($I3763,'Kode Outlet dan Target Toko'!$E:$E,0)),"")</f>
        <v>GRSM 5</v>
      </c>
      <c r="E3763" s="20" t="str">
        <f>IFERROR(VLOOKUP(I3763,KET!$B:$F,4,0),"")</f>
        <v>SUPRIYATI</v>
      </c>
      <c r="F3763" s="20" t="str">
        <f>IFERROR(VLOOKUP(I3763,KET!$B:$F,5,0),"")</f>
        <v>GMM</v>
      </c>
      <c r="G3763" s="20">
        <f>IFERROR(INDEX('Kode Outlet dan Target Toko'!$C:$C,MATCH($I3763,'Kode Outlet dan Target Toko'!$E:$E,0)),0)</f>
        <v>103222</v>
      </c>
      <c r="H3763" s="20">
        <f>IFERROR(INDEX('Kode Outlet dan Target Toko'!$D:$D,MATCH($I3763,'Kode Outlet dan Target Toko'!$E:$E,0)),0)</f>
        <v>106437</v>
      </c>
      <c r="I3763" s="42" t="s">
        <v>104</v>
      </c>
      <c r="J3763" s="56" t="s">
        <v>207</v>
      </c>
      <c r="K3763" s="40" t="s">
        <v>15</v>
      </c>
      <c r="L3763" s="26">
        <v>2990</v>
      </c>
      <c r="M3763" s="26">
        <v>170</v>
      </c>
      <c r="N3763" s="25">
        <f t="shared" si="117"/>
        <v>508300</v>
      </c>
      <c r="O3763" s="56"/>
    </row>
    <row r="3764" spans="1:15" hidden="1" x14ac:dyDescent="0.3">
      <c r="A3764" s="26">
        <v>33</v>
      </c>
      <c r="B3764" s="20" t="str">
        <f t="shared" si="116"/>
        <v>AUG</v>
      </c>
      <c r="C3764" s="21">
        <v>46249</v>
      </c>
      <c r="D3764" s="22" t="str">
        <f>IFERROR(INDEX('Kode Outlet dan Target Toko'!$A:$A,MATCH($I3764,'Kode Outlet dan Target Toko'!$E:$E,0)),"")</f>
        <v>GRSM 5</v>
      </c>
      <c r="E3764" s="20" t="str">
        <f>IFERROR(VLOOKUP(I3764,KET!$B:$F,4,0),"")</f>
        <v>SUPRIYATI</v>
      </c>
      <c r="F3764" s="20" t="str">
        <f>IFERROR(VLOOKUP(I3764,KET!$B:$F,5,0),"")</f>
        <v>GMM</v>
      </c>
      <c r="G3764" s="20">
        <f>IFERROR(INDEX('Kode Outlet dan Target Toko'!$C:$C,MATCH($I3764,'Kode Outlet dan Target Toko'!$E:$E,0)),0)</f>
        <v>103222</v>
      </c>
      <c r="H3764" s="20">
        <f>IFERROR(INDEX('Kode Outlet dan Target Toko'!$D:$D,MATCH($I3764,'Kode Outlet dan Target Toko'!$E:$E,0)),0)</f>
        <v>106437</v>
      </c>
      <c r="I3764" s="42" t="s">
        <v>104</v>
      </c>
      <c r="J3764" s="56" t="s">
        <v>207</v>
      </c>
      <c r="K3764" s="40" t="s">
        <v>14</v>
      </c>
      <c r="L3764" s="26">
        <v>2990</v>
      </c>
      <c r="M3764" s="26">
        <v>169</v>
      </c>
      <c r="N3764" s="25">
        <f t="shared" si="117"/>
        <v>505310</v>
      </c>
      <c r="O3764" s="56"/>
    </row>
    <row r="3765" spans="1:15" hidden="1" x14ac:dyDescent="0.3">
      <c r="A3765" s="26">
        <v>33</v>
      </c>
      <c r="B3765" s="20" t="str">
        <f t="shared" si="116"/>
        <v>AUG</v>
      </c>
      <c r="C3765" s="21">
        <v>46249</v>
      </c>
      <c r="D3765" s="22" t="str">
        <f>IFERROR(INDEX('Kode Outlet dan Target Toko'!$A:$A,MATCH($I3765,'Kode Outlet dan Target Toko'!$E:$E,0)),"")</f>
        <v>GRSM 5</v>
      </c>
      <c r="E3765" s="20" t="str">
        <f>IFERROR(VLOOKUP(I3765,KET!$B:$F,4,0),"")</f>
        <v>SUPRIYATI</v>
      </c>
      <c r="F3765" s="20" t="str">
        <f>IFERROR(VLOOKUP(I3765,KET!$B:$F,5,0),"")</f>
        <v>GMM</v>
      </c>
      <c r="G3765" s="20">
        <f>IFERROR(INDEX('Kode Outlet dan Target Toko'!$C:$C,MATCH($I3765,'Kode Outlet dan Target Toko'!$E:$E,0)),0)</f>
        <v>103222</v>
      </c>
      <c r="H3765" s="20">
        <f>IFERROR(INDEX('Kode Outlet dan Target Toko'!$D:$D,MATCH($I3765,'Kode Outlet dan Target Toko'!$E:$E,0)),0)</f>
        <v>106437</v>
      </c>
      <c r="I3765" s="42" t="s">
        <v>104</v>
      </c>
      <c r="J3765" s="56" t="s">
        <v>207</v>
      </c>
      <c r="K3765" s="40" t="s">
        <v>13</v>
      </c>
      <c r="L3765" s="26">
        <v>2990</v>
      </c>
      <c r="M3765" s="26">
        <v>0</v>
      </c>
      <c r="N3765" s="25">
        <f t="shared" si="117"/>
        <v>0</v>
      </c>
      <c r="O3765" s="56"/>
    </row>
    <row r="3766" spans="1:15" hidden="1" x14ac:dyDescent="0.3">
      <c r="A3766" s="26">
        <v>33</v>
      </c>
      <c r="B3766" s="20" t="str">
        <f t="shared" si="116"/>
        <v>AUG</v>
      </c>
      <c r="C3766" s="21">
        <v>46249</v>
      </c>
      <c r="D3766" s="22" t="str">
        <f>IFERROR(INDEX('Kode Outlet dan Target Toko'!$A:$A,MATCH($I3766,'Kode Outlet dan Target Toko'!$E:$E,0)),"")</f>
        <v>GRSM 5</v>
      </c>
      <c r="E3766" s="20" t="str">
        <f>IFERROR(VLOOKUP(I3766,KET!$B:$F,4,0),"")</f>
        <v>SUPRIYATI</v>
      </c>
      <c r="F3766" s="20" t="str">
        <f>IFERROR(VLOOKUP(I3766,KET!$B:$F,5,0),"")</f>
        <v>GMM</v>
      </c>
      <c r="G3766" s="20">
        <f>IFERROR(INDEX('Kode Outlet dan Target Toko'!$C:$C,MATCH($I3766,'Kode Outlet dan Target Toko'!$E:$E,0)),0)</f>
        <v>103222</v>
      </c>
      <c r="H3766" s="20">
        <f>IFERROR(INDEX('Kode Outlet dan Target Toko'!$D:$D,MATCH($I3766,'Kode Outlet dan Target Toko'!$E:$E,0)),0)</f>
        <v>106437</v>
      </c>
      <c r="I3766" s="42" t="s">
        <v>104</v>
      </c>
      <c r="J3766" s="56" t="s">
        <v>207</v>
      </c>
      <c r="K3766" s="40" t="s">
        <v>16</v>
      </c>
      <c r="L3766" s="26">
        <v>2990</v>
      </c>
      <c r="M3766" s="26">
        <v>0</v>
      </c>
      <c r="N3766" s="25">
        <f t="shared" si="117"/>
        <v>0</v>
      </c>
      <c r="O3766" s="56">
        <v>160</v>
      </c>
    </row>
    <row r="3767" spans="1:15" hidden="1" x14ac:dyDescent="0.3">
      <c r="A3767" s="26">
        <v>33</v>
      </c>
      <c r="B3767" s="20" t="str">
        <f t="shared" si="116"/>
        <v>AUG</v>
      </c>
      <c r="C3767" s="21">
        <v>46249</v>
      </c>
      <c r="D3767" s="22" t="str">
        <f>IFERROR(INDEX('Kode Outlet dan Target Toko'!$A:$A,MATCH($I3767,'Kode Outlet dan Target Toko'!$E:$E,0)),"")</f>
        <v>GRSM 5</v>
      </c>
      <c r="E3767" s="20" t="str">
        <f>IFERROR(VLOOKUP(I3767,KET!$B:$F,4,0),"")</f>
        <v>SUPRIYATI</v>
      </c>
      <c r="F3767" s="20" t="str">
        <f>IFERROR(VLOOKUP(I3767,KET!$B:$F,5,0),"")</f>
        <v>GMM</v>
      </c>
      <c r="G3767" s="20">
        <f>IFERROR(INDEX('Kode Outlet dan Target Toko'!$C:$C,MATCH($I3767,'Kode Outlet dan Target Toko'!$E:$E,0)),0)</f>
        <v>103222</v>
      </c>
      <c r="H3767" s="20">
        <f>IFERROR(INDEX('Kode Outlet dan Target Toko'!$D:$D,MATCH($I3767,'Kode Outlet dan Target Toko'!$E:$E,0)),0)</f>
        <v>106437</v>
      </c>
      <c r="I3767" s="42" t="s">
        <v>104</v>
      </c>
      <c r="J3767" s="56" t="s">
        <v>208</v>
      </c>
      <c r="K3767" s="40" t="s">
        <v>15</v>
      </c>
      <c r="L3767" s="26">
        <v>2990</v>
      </c>
      <c r="M3767" s="26">
        <v>170</v>
      </c>
      <c r="N3767" s="25">
        <f t="shared" si="117"/>
        <v>508300</v>
      </c>
      <c r="O3767" s="56"/>
    </row>
    <row r="3768" spans="1:15" hidden="1" x14ac:dyDescent="0.3">
      <c r="A3768" s="26">
        <v>33</v>
      </c>
      <c r="B3768" s="20" t="str">
        <f t="shared" si="116"/>
        <v>AUG</v>
      </c>
      <c r="C3768" s="21">
        <v>46249</v>
      </c>
      <c r="D3768" s="22" t="str">
        <f>IFERROR(INDEX('Kode Outlet dan Target Toko'!$A:$A,MATCH($I3768,'Kode Outlet dan Target Toko'!$E:$E,0)),"")</f>
        <v>GRSM 5</v>
      </c>
      <c r="E3768" s="20" t="str">
        <f>IFERROR(VLOOKUP(I3768,KET!$B:$F,4,0),"")</f>
        <v>SUPRIYATI</v>
      </c>
      <c r="F3768" s="20" t="str">
        <f>IFERROR(VLOOKUP(I3768,KET!$B:$F,5,0),"")</f>
        <v>GMM</v>
      </c>
      <c r="G3768" s="20">
        <f>IFERROR(INDEX('Kode Outlet dan Target Toko'!$C:$C,MATCH($I3768,'Kode Outlet dan Target Toko'!$E:$E,0)),0)</f>
        <v>103222</v>
      </c>
      <c r="H3768" s="20">
        <f>IFERROR(INDEX('Kode Outlet dan Target Toko'!$D:$D,MATCH($I3768,'Kode Outlet dan Target Toko'!$E:$E,0)),0)</f>
        <v>106437</v>
      </c>
      <c r="I3768" s="42" t="s">
        <v>104</v>
      </c>
      <c r="J3768" s="56" t="s">
        <v>208</v>
      </c>
      <c r="K3768" s="40" t="s">
        <v>14</v>
      </c>
      <c r="L3768" s="26">
        <v>2990</v>
      </c>
      <c r="M3768" s="26">
        <v>169</v>
      </c>
      <c r="N3768" s="25">
        <f t="shared" si="117"/>
        <v>505310</v>
      </c>
      <c r="O3768" s="56"/>
    </row>
    <row r="3769" spans="1:15" hidden="1" x14ac:dyDescent="0.3">
      <c r="A3769" s="26">
        <v>33</v>
      </c>
      <c r="B3769" s="20" t="str">
        <f t="shared" si="116"/>
        <v>AUG</v>
      </c>
      <c r="C3769" s="21">
        <v>46249</v>
      </c>
      <c r="D3769" s="22" t="str">
        <f>IFERROR(INDEX('Kode Outlet dan Target Toko'!$A:$A,MATCH($I3769,'Kode Outlet dan Target Toko'!$E:$E,0)),"")</f>
        <v>GRSM 5</v>
      </c>
      <c r="E3769" s="20" t="str">
        <f>IFERROR(VLOOKUP(I3769,KET!$B:$F,4,0),"")</f>
        <v>SUPRIYATI</v>
      </c>
      <c r="F3769" s="20" t="str">
        <f>IFERROR(VLOOKUP(I3769,KET!$B:$F,5,0),"")</f>
        <v>GMM</v>
      </c>
      <c r="G3769" s="20">
        <f>IFERROR(INDEX('Kode Outlet dan Target Toko'!$C:$C,MATCH($I3769,'Kode Outlet dan Target Toko'!$E:$E,0)),0)</f>
        <v>103222</v>
      </c>
      <c r="H3769" s="20">
        <f>IFERROR(INDEX('Kode Outlet dan Target Toko'!$D:$D,MATCH($I3769,'Kode Outlet dan Target Toko'!$E:$E,0)),0)</f>
        <v>106437</v>
      </c>
      <c r="I3769" s="42" t="s">
        <v>104</v>
      </c>
      <c r="J3769" s="56" t="s">
        <v>208</v>
      </c>
      <c r="K3769" s="40" t="s">
        <v>13</v>
      </c>
      <c r="L3769" s="26">
        <v>2990</v>
      </c>
      <c r="M3769" s="26">
        <v>0</v>
      </c>
      <c r="N3769" s="25">
        <f t="shared" si="117"/>
        <v>0</v>
      </c>
      <c r="O3769" s="56"/>
    </row>
    <row r="3770" spans="1:15" hidden="1" x14ac:dyDescent="0.3">
      <c r="A3770" s="26">
        <v>33</v>
      </c>
      <c r="B3770" s="20" t="str">
        <f t="shared" si="116"/>
        <v>AUG</v>
      </c>
      <c r="C3770" s="21">
        <v>46249</v>
      </c>
      <c r="D3770" s="22" t="str">
        <f>IFERROR(INDEX('Kode Outlet dan Target Toko'!$A:$A,MATCH($I3770,'Kode Outlet dan Target Toko'!$E:$E,0)),"")</f>
        <v>GRSM 5</v>
      </c>
      <c r="E3770" s="20" t="str">
        <f>IFERROR(VLOOKUP(I3770,KET!$B:$F,4,0),"")</f>
        <v>SUPRIYATI</v>
      </c>
      <c r="F3770" s="20" t="str">
        <f>IFERROR(VLOOKUP(I3770,KET!$B:$F,5,0),"")</f>
        <v>GMM</v>
      </c>
      <c r="G3770" s="20">
        <f>IFERROR(INDEX('Kode Outlet dan Target Toko'!$C:$C,MATCH($I3770,'Kode Outlet dan Target Toko'!$E:$E,0)),0)</f>
        <v>103222</v>
      </c>
      <c r="H3770" s="20">
        <f>IFERROR(INDEX('Kode Outlet dan Target Toko'!$D:$D,MATCH($I3770,'Kode Outlet dan Target Toko'!$E:$E,0)),0)</f>
        <v>106437</v>
      </c>
      <c r="I3770" s="42" t="s">
        <v>104</v>
      </c>
      <c r="J3770" s="56" t="s">
        <v>208</v>
      </c>
      <c r="K3770" s="40" t="s">
        <v>16</v>
      </c>
      <c r="L3770" s="26">
        <v>2990</v>
      </c>
      <c r="M3770" s="26">
        <v>0</v>
      </c>
      <c r="N3770" s="25">
        <f t="shared" si="117"/>
        <v>0</v>
      </c>
      <c r="O3770" s="56">
        <v>160</v>
      </c>
    </row>
    <row r="3771" spans="1:15" hidden="1" x14ac:dyDescent="0.3">
      <c r="A3771" s="26">
        <v>33</v>
      </c>
      <c r="B3771" s="20" t="str">
        <f t="shared" si="116"/>
        <v>AUG</v>
      </c>
      <c r="C3771" s="21">
        <v>46249</v>
      </c>
      <c r="D3771" s="22" t="str">
        <f>IFERROR(INDEX('Kode Outlet dan Target Toko'!$A:$A,MATCH($I3771,'Kode Outlet dan Target Toko'!$E:$E,0)),"")</f>
        <v>GRSM 5</v>
      </c>
      <c r="E3771" s="20" t="str">
        <f>IFERROR(VLOOKUP(I3771,KET!$B:$F,4,0),"")</f>
        <v>SUPRIYATI</v>
      </c>
      <c r="F3771" s="20" t="str">
        <f>IFERROR(VLOOKUP(I3771,KET!$B:$F,5,0),"")</f>
        <v>GMM</v>
      </c>
      <c r="G3771" s="20">
        <f>IFERROR(INDEX('Kode Outlet dan Target Toko'!$C:$C,MATCH($I3771,'Kode Outlet dan Target Toko'!$E:$E,0)),0)</f>
        <v>211051</v>
      </c>
      <c r="H3771" s="20">
        <f>IFERROR(INDEX('Kode Outlet dan Target Toko'!$D:$D,MATCH($I3771,'Kode Outlet dan Target Toko'!$E:$E,0)),0)</f>
        <v>5580008</v>
      </c>
      <c r="I3771" s="42" t="s">
        <v>88</v>
      </c>
      <c r="J3771" s="56" t="s">
        <v>203</v>
      </c>
      <c r="K3771" s="40" t="s">
        <v>15</v>
      </c>
      <c r="L3771" s="26">
        <v>2981</v>
      </c>
      <c r="M3771" s="26">
        <v>114</v>
      </c>
      <c r="N3771" s="25">
        <f t="shared" si="117"/>
        <v>339834</v>
      </c>
      <c r="O3771" s="56"/>
    </row>
    <row r="3772" spans="1:15" hidden="1" x14ac:dyDescent="0.3">
      <c r="A3772" s="26">
        <v>33</v>
      </c>
      <c r="B3772" s="20" t="str">
        <f t="shared" si="116"/>
        <v>AUG</v>
      </c>
      <c r="C3772" s="21">
        <v>46249</v>
      </c>
      <c r="D3772" s="22" t="str">
        <f>IFERROR(INDEX('Kode Outlet dan Target Toko'!$A:$A,MATCH($I3772,'Kode Outlet dan Target Toko'!$E:$E,0)),"")</f>
        <v>GRSM 5</v>
      </c>
      <c r="E3772" s="20" t="str">
        <f>IFERROR(VLOOKUP(I3772,KET!$B:$F,4,0),"")</f>
        <v>SUPRIYATI</v>
      </c>
      <c r="F3772" s="20" t="str">
        <f>IFERROR(VLOOKUP(I3772,KET!$B:$F,5,0),"")</f>
        <v>GMM</v>
      </c>
      <c r="G3772" s="20">
        <f>IFERROR(INDEX('Kode Outlet dan Target Toko'!$C:$C,MATCH($I3772,'Kode Outlet dan Target Toko'!$E:$E,0)),0)</f>
        <v>211051</v>
      </c>
      <c r="H3772" s="20">
        <f>IFERROR(INDEX('Kode Outlet dan Target Toko'!$D:$D,MATCH($I3772,'Kode Outlet dan Target Toko'!$E:$E,0)),0)</f>
        <v>5580008</v>
      </c>
      <c r="I3772" s="42" t="s">
        <v>88</v>
      </c>
      <c r="J3772" s="56" t="s">
        <v>203</v>
      </c>
      <c r="K3772" s="40" t="s">
        <v>14</v>
      </c>
      <c r="L3772" s="26">
        <v>2981</v>
      </c>
      <c r="M3772" s="26">
        <v>112</v>
      </c>
      <c r="N3772" s="25">
        <f t="shared" si="117"/>
        <v>333872</v>
      </c>
      <c r="O3772" s="56"/>
    </row>
    <row r="3773" spans="1:15" hidden="1" x14ac:dyDescent="0.3">
      <c r="A3773" s="26">
        <v>33</v>
      </c>
      <c r="B3773" s="20" t="str">
        <f t="shared" si="116"/>
        <v>AUG</v>
      </c>
      <c r="C3773" s="21">
        <v>46249</v>
      </c>
      <c r="D3773" s="22" t="str">
        <f>IFERROR(INDEX('Kode Outlet dan Target Toko'!$A:$A,MATCH($I3773,'Kode Outlet dan Target Toko'!$E:$E,0)),"")</f>
        <v>GRSM 5</v>
      </c>
      <c r="E3773" s="20" t="str">
        <f>IFERROR(VLOOKUP(I3773,KET!$B:$F,4,0),"")</f>
        <v>SUPRIYATI</v>
      </c>
      <c r="F3773" s="20" t="str">
        <f>IFERROR(VLOOKUP(I3773,KET!$B:$F,5,0),"")</f>
        <v>GMM</v>
      </c>
      <c r="G3773" s="20">
        <f>IFERROR(INDEX('Kode Outlet dan Target Toko'!$C:$C,MATCH($I3773,'Kode Outlet dan Target Toko'!$E:$E,0)),0)</f>
        <v>211051</v>
      </c>
      <c r="H3773" s="20">
        <f>IFERROR(INDEX('Kode Outlet dan Target Toko'!$D:$D,MATCH($I3773,'Kode Outlet dan Target Toko'!$E:$E,0)),0)</f>
        <v>5580008</v>
      </c>
      <c r="I3773" s="42" t="s">
        <v>88</v>
      </c>
      <c r="J3773" s="56" t="s">
        <v>203</v>
      </c>
      <c r="K3773" s="40" t="s">
        <v>13</v>
      </c>
      <c r="L3773" s="26">
        <v>2981</v>
      </c>
      <c r="M3773" s="26">
        <v>84</v>
      </c>
      <c r="N3773" s="25">
        <f t="shared" si="117"/>
        <v>250404</v>
      </c>
      <c r="O3773" s="56"/>
    </row>
    <row r="3774" spans="1:15" hidden="1" x14ac:dyDescent="0.3">
      <c r="A3774" s="26">
        <v>33</v>
      </c>
      <c r="B3774" s="20" t="str">
        <f t="shared" si="116"/>
        <v>AUG</v>
      </c>
      <c r="C3774" s="21">
        <v>46249</v>
      </c>
      <c r="D3774" s="22" t="str">
        <f>IFERROR(INDEX('Kode Outlet dan Target Toko'!$A:$A,MATCH($I3774,'Kode Outlet dan Target Toko'!$E:$E,0)),"")</f>
        <v>GRSM 5</v>
      </c>
      <c r="E3774" s="20" t="str">
        <f>IFERROR(VLOOKUP(I3774,KET!$B:$F,4,0),"")</f>
        <v>SUPRIYATI</v>
      </c>
      <c r="F3774" s="20" t="str">
        <f>IFERROR(VLOOKUP(I3774,KET!$B:$F,5,0),"")</f>
        <v>GMM</v>
      </c>
      <c r="G3774" s="20">
        <f>IFERROR(INDEX('Kode Outlet dan Target Toko'!$C:$C,MATCH($I3774,'Kode Outlet dan Target Toko'!$E:$E,0)),0)</f>
        <v>211051</v>
      </c>
      <c r="H3774" s="20">
        <f>IFERROR(INDEX('Kode Outlet dan Target Toko'!$D:$D,MATCH($I3774,'Kode Outlet dan Target Toko'!$E:$E,0)),0)</f>
        <v>5580008</v>
      </c>
      <c r="I3774" s="42" t="s">
        <v>88</v>
      </c>
      <c r="J3774" s="56" t="s">
        <v>203</v>
      </c>
      <c r="K3774" s="40" t="s">
        <v>16</v>
      </c>
      <c r="L3774" s="26">
        <v>2981</v>
      </c>
      <c r="M3774" s="26">
        <v>228</v>
      </c>
      <c r="N3774" s="25">
        <f t="shared" si="117"/>
        <v>679668</v>
      </c>
      <c r="O3774" s="56">
        <v>160</v>
      </c>
    </row>
    <row r="3775" spans="1:15" hidden="1" x14ac:dyDescent="0.3">
      <c r="A3775" s="26">
        <v>33</v>
      </c>
      <c r="B3775" s="20" t="str">
        <f t="shared" si="116"/>
        <v>AUG</v>
      </c>
      <c r="C3775" s="21">
        <v>46249</v>
      </c>
      <c r="D3775" s="22" t="str">
        <f>IFERROR(INDEX('Kode Outlet dan Target Toko'!$A:$A,MATCH($I3775,'Kode Outlet dan Target Toko'!$E:$E,0)),"")</f>
        <v>GRSM 5</v>
      </c>
      <c r="E3775" s="20" t="str">
        <f>IFERROR(VLOOKUP(I3775,KET!$B:$F,4,0),"")</f>
        <v>SUPRIYATI</v>
      </c>
      <c r="F3775" s="20" t="str">
        <f>IFERROR(VLOOKUP(I3775,KET!$B:$F,5,0),"")</f>
        <v>GMM</v>
      </c>
      <c r="G3775" s="20">
        <f>IFERROR(INDEX('Kode Outlet dan Target Toko'!$C:$C,MATCH($I3775,'Kode Outlet dan Target Toko'!$E:$E,0)),0)</f>
        <v>211051</v>
      </c>
      <c r="H3775" s="20">
        <f>IFERROR(INDEX('Kode Outlet dan Target Toko'!$D:$D,MATCH($I3775,'Kode Outlet dan Target Toko'!$E:$E,0)),0)</f>
        <v>5580008</v>
      </c>
      <c r="I3775" s="42" t="s">
        <v>88</v>
      </c>
      <c r="J3775" s="56" t="s">
        <v>202</v>
      </c>
      <c r="K3775" s="40" t="s">
        <v>15</v>
      </c>
      <c r="L3775" s="26">
        <v>2981</v>
      </c>
      <c r="M3775" s="26">
        <v>114</v>
      </c>
      <c r="N3775" s="25">
        <f t="shared" si="117"/>
        <v>339834</v>
      </c>
      <c r="O3775" s="56"/>
    </row>
    <row r="3776" spans="1:15" hidden="1" x14ac:dyDescent="0.3">
      <c r="A3776" s="26">
        <v>33</v>
      </c>
      <c r="B3776" s="20" t="str">
        <f t="shared" si="116"/>
        <v>AUG</v>
      </c>
      <c r="C3776" s="21">
        <v>46249</v>
      </c>
      <c r="D3776" s="22" t="str">
        <f>IFERROR(INDEX('Kode Outlet dan Target Toko'!$A:$A,MATCH($I3776,'Kode Outlet dan Target Toko'!$E:$E,0)),"")</f>
        <v>GRSM 5</v>
      </c>
      <c r="E3776" s="20" t="str">
        <f>IFERROR(VLOOKUP(I3776,KET!$B:$F,4,0),"")</f>
        <v>SUPRIYATI</v>
      </c>
      <c r="F3776" s="20" t="str">
        <f>IFERROR(VLOOKUP(I3776,KET!$B:$F,5,0),"")</f>
        <v>GMM</v>
      </c>
      <c r="G3776" s="20">
        <f>IFERROR(INDEX('Kode Outlet dan Target Toko'!$C:$C,MATCH($I3776,'Kode Outlet dan Target Toko'!$E:$E,0)),0)</f>
        <v>211051</v>
      </c>
      <c r="H3776" s="20">
        <f>IFERROR(INDEX('Kode Outlet dan Target Toko'!$D:$D,MATCH($I3776,'Kode Outlet dan Target Toko'!$E:$E,0)),0)</f>
        <v>5580008</v>
      </c>
      <c r="I3776" s="42" t="s">
        <v>88</v>
      </c>
      <c r="J3776" s="56" t="s">
        <v>202</v>
      </c>
      <c r="K3776" s="40" t="s">
        <v>14</v>
      </c>
      <c r="L3776" s="26">
        <v>2981</v>
      </c>
      <c r="M3776" s="26">
        <v>112</v>
      </c>
      <c r="N3776" s="25">
        <f t="shared" si="117"/>
        <v>333872</v>
      </c>
      <c r="O3776" s="56"/>
    </row>
    <row r="3777" spans="1:15" hidden="1" x14ac:dyDescent="0.3">
      <c r="A3777" s="26">
        <v>33</v>
      </c>
      <c r="B3777" s="20" t="str">
        <f t="shared" si="116"/>
        <v>AUG</v>
      </c>
      <c r="C3777" s="21">
        <v>46249</v>
      </c>
      <c r="D3777" s="22" t="str">
        <f>IFERROR(INDEX('Kode Outlet dan Target Toko'!$A:$A,MATCH($I3777,'Kode Outlet dan Target Toko'!$E:$E,0)),"")</f>
        <v>GRSM 5</v>
      </c>
      <c r="E3777" s="20" t="str">
        <f>IFERROR(VLOOKUP(I3777,KET!$B:$F,4,0),"")</f>
        <v>SUPRIYATI</v>
      </c>
      <c r="F3777" s="20" t="str">
        <f>IFERROR(VLOOKUP(I3777,KET!$B:$F,5,0),"")</f>
        <v>GMM</v>
      </c>
      <c r="G3777" s="20">
        <f>IFERROR(INDEX('Kode Outlet dan Target Toko'!$C:$C,MATCH($I3777,'Kode Outlet dan Target Toko'!$E:$E,0)),0)</f>
        <v>211051</v>
      </c>
      <c r="H3777" s="20">
        <f>IFERROR(INDEX('Kode Outlet dan Target Toko'!$D:$D,MATCH($I3777,'Kode Outlet dan Target Toko'!$E:$E,0)),0)</f>
        <v>5580008</v>
      </c>
      <c r="I3777" s="42" t="s">
        <v>88</v>
      </c>
      <c r="J3777" s="56" t="s">
        <v>202</v>
      </c>
      <c r="K3777" s="40" t="s">
        <v>13</v>
      </c>
      <c r="L3777" s="26">
        <v>2981</v>
      </c>
      <c r="M3777" s="26">
        <v>84</v>
      </c>
      <c r="N3777" s="25">
        <f t="shared" si="117"/>
        <v>250404</v>
      </c>
      <c r="O3777" s="56"/>
    </row>
    <row r="3778" spans="1:15" hidden="1" x14ac:dyDescent="0.3">
      <c r="A3778" s="26">
        <v>33</v>
      </c>
      <c r="B3778" s="20" t="str">
        <f t="shared" si="116"/>
        <v>AUG</v>
      </c>
      <c r="C3778" s="21">
        <v>46249</v>
      </c>
      <c r="D3778" s="22" t="str">
        <f>IFERROR(INDEX('Kode Outlet dan Target Toko'!$A:$A,MATCH($I3778,'Kode Outlet dan Target Toko'!$E:$E,0)),"")</f>
        <v>GRSM 5</v>
      </c>
      <c r="E3778" s="20" t="str">
        <f>IFERROR(VLOOKUP(I3778,KET!$B:$F,4,0),"")</f>
        <v>SUPRIYATI</v>
      </c>
      <c r="F3778" s="20" t="str">
        <f>IFERROR(VLOOKUP(I3778,KET!$B:$F,5,0),"")</f>
        <v>GMM</v>
      </c>
      <c r="G3778" s="20">
        <f>IFERROR(INDEX('Kode Outlet dan Target Toko'!$C:$C,MATCH($I3778,'Kode Outlet dan Target Toko'!$E:$E,0)),0)</f>
        <v>211051</v>
      </c>
      <c r="H3778" s="20">
        <f>IFERROR(INDEX('Kode Outlet dan Target Toko'!$D:$D,MATCH($I3778,'Kode Outlet dan Target Toko'!$E:$E,0)),0)</f>
        <v>5580008</v>
      </c>
      <c r="I3778" s="42" t="s">
        <v>88</v>
      </c>
      <c r="J3778" s="56" t="s">
        <v>202</v>
      </c>
      <c r="K3778" s="40" t="s">
        <v>16</v>
      </c>
      <c r="L3778" s="26">
        <v>2981</v>
      </c>
      <c r="M3778" s="26">
        <v>228</v>
      </c>
      <c r="N3778" s="25">
        <f t="shared" si="117"/>
        <v>679668</v>
      </c>
      <c r="O3778" s="56">
        <v>160</v>
      </c>
    </row>
    <row r="3779" spans="1:15" hidden="1" x14ac:dyDescent="0.3">
      <c r="A3779" s="26">
        <v>33</v>
      </c>
      <c r="B3779" s="20" t="str">
        <f t="shared" si="116"/>
        <v>AUG</v>
      </c>
      <c r="C3779" s="21">
        <v>46249</v>
      </c>
      <c r="D3779" s="22" t="str">
        <f>IFERROR(INDEX('Kode Outlet dan Target Toko'!$A:$A,MATCH($I3779,'Kode Outlet dan Target Toko'!$E:$E,0)),"")</f>
        <v>GRSM 5</v>
      </c>
      <c r="E3779" s="20" t="str">
        <f>IFERROR(VLOOKUP(I3779,KET!$B:$F,4,0),"")</f>
        <v>SUPRIYATI</v>
      </c>
      <c r="F3779" s="20" t="str">
        <f>IFERROR(VLOOKUP(I3779,KET!$B:$F,5,0),"")</f>
        <v>GMM</v>
      </c>
      <c r="G3779" s="20">
        <f>IFERROR(INDEX('Kode Outlet dan Target Toko'!$C:$C,MATCH($I3779,'Kode Outlet dan Target Toko'!$E:$E,0)),0)</f>
        <v>0</v>
      </c>
      <c r="H3779" s="20">
        <f>IFERROR(INDEX('Kode Outlet dan Target Toko'!$D:$D,MATCH($I3779,'Kode Outlet dan Target Toko'!$E:$E,0)),0)</f>
        <v>0</v>
      </c>
      <c r="I3779" s="42" t="s">
        <v>121</v>
      </c>
      <c r="J3779" s="56" t="s">
        <v>239</v>
      </c>
      <c r="K3779" s="40" t="s">
        <v>15</v>
      </c>
      <c r="L3779" s="26">
        <v>3919</v>
      </c>
      <c r="M3779" s="26">
        <v>60</v>
      </c>
      <c r="N3779" s="25">
        <f t="shared" si="117"/>
        <v>235140</v>
      </c>
      <c r="O3779" s="56"/>
    </row>
    <row r="3780" spans="1:15" hidden="1" x14ac:dyDescent="0.3">
      <c r="A3780" s="26">
        <v>33</v>
      </c>
      <c r="B3780" s="20" t="str">
        <f t="shared" si="116"/>
        <v>AUG</v>
      </c>
      <c r="C3780" s="21">
        <v>46249</v>
      </c>
      <c r="D3780" s="22" t="str">
        <f>IFERROR(INDEX('Kode Outlet dan Target Toko'!$A:$A,MATCH($I3780,'Kode Outlet dan Target Toko'!$E:$E,0)),"")</f>
        <v>GRSM 5</v>
      </c>
      <c r="E3780" s="20" t="str">
        <f>IFERROR(VLOOKUP(I3780,KET!$B:$F,4,0),"")</f>
        <v>SUPRIYATI</v>
      </c>
      <c r="F3780" s="20" t="str">
        <f>IFERROR(VLOOKUP(I3780,KET!$B:$F,5,0),"")</f>
        <v>GMM</v>
      </c>
      <c r="G3780" s="20">
        <f>IFERROR(INDEX('Kode Outlet dan Target Toko'!$C:$C,MATCH($I3780,'Kode Outlet dan Target Toko'!$E:$E,0)),0)</f>
        <v>0</v>
      </c>
      <c r="H3780" s="20">
        <f>IFERROR(INDEX('Kode Outlet dan Target Toko'!$D:$D,MATCH($I3780,'Kode Outlet dan Target Toko'!$E:$E,0)),0)</f>
        <v>0</v>
      </c>
      <c r="I3780" s="42" t="s">
        <v>121</v>
      </c>
      <c r="J3780" s="56" t="s">
        <v>239</v>
      </c>
      <c r="K3780" s="40" t="s">
        <v>14</v>
      </c>
      <c r="L3780" s="26">
        <v>3919</v>
      </c>
      <c r="M3780" s="26">
        <v>60</v>
      </c>
      <c r="N3780" s="25">
        <f t="shared" si="117"/>
        <v>235140</v>
      </c>
      <c r="O3780" s="56"/>
    </row>
    <row r="3781" spans="1:15" hidden="1" x14ac:dyDescent="0.3">
      <c r="A3781" s="26">
        <v>33</v>
      </c>
      <c r="B3781" s="20" t="str">
        <f t="shared" si="116"/>
        <v>AUG</v>
      </c>
      <c r="C3781" s="21">
        <v>46249</v>
      </c>
      <c r="D3781" s="22" t="str">
        <f>IFERROR(INDEX('Kode Outlet dan Target Toko'!$A:$A,MATCH($I3781,'Kode Outlet dan Target Toko'!$E:$E,0)),"")</f>
        <v>GRSM 5</v>
      </c>
      <c r="E3781" s="20" t="str">
        <f>IFERROR(VLOOKUP(I3781,KET!$B:$F,4,0),"")</f>
        <v>SUPRIYATI</v>
      </c>
      <c r="F3781" s="20" t="str">
        <f>IFERROR(VLOOKUP(I3781,KET!$B:$F,5,0),"")</f>
        <v>GMM</v>
      </c>
      <c r="G3781" s="20">
        <f>IFERROR(INDEX('Kode Outlet dan Target Toko'!$C:$C,MATCH($I3781,'Kode Outlet dan Target Toko'!$E:$E,0)),0)</f>
        <v>0</v>
      </c>
      <c r="H3781" s="20">
        <f>IFERROR(INDEX('Kode Outlet dan Target Toko'!$D:$D,MATCH($I3781,'Kode Outlet dan Target Toko'!$E:$E,0)),0)</f>
        <v>0</v>
      </c>
      <c r="I3781" s="42" t="s">
        <v>121</v>
      </c>
      <c r="J3781" s="56" t="s">
        <v>239</v>
      </c>
      <c r="K3781" s="40" t="s">
        <v>13</v>
      </c>
      <c r="L3781" s="26">
        <v>3919</v>
      </c>
      <c r="M3781" s="26">
        <v>0</v>
      </c>
      <c r="N3781" s="25">
        <f t="shared" si="117"/>
        <v>0</v>
      </c>
      <c r="O3781" s="56"/>
    </row>
    <row r="3782" spans="1:15" hidden="1" x14ac:dyDescent="0.3">
      <c r="A3782" s="26">
        <v>33</v>
      </c>
      <c r="B3782" s="20" t="str">
        <f t="shared" si="116"/>
        <v>AUG</v>
      </c>
      <c r="C3782" s="21">
        <v>46249</v>
      </c>
      <c r="D3782" s="22" t="str">
        <f>IFERROR(INDEX('Kode Outlet dan Target Toko'!$A:$A,MATCH($I3782,'Kode Outlet dan Target Toko'!$E:$E,0)),"")</f>
        <v>GRSM 5</v>
      </c>
      <c r="E3782" s="20" t="str">
        <f>IFERROR(VLOOKUP(I3782,KET!$B:$F,4,0),"")</f>
        <v>SUPRIYATI</v>
      </c>
      <c r="F3782" s="20" t="str">
        <f>IFERROR(VLOOKUP(I3782,KET!$B:$F,5,0),"")</f>
        <v>GMM</v>
      </c>
      <c r="G3782" s="20">
        <f>IFERROR(INDEX('Kode Outlet dan Target Toko'!$C:$C,MATCH($I3782,'Kode Outlet dan Target Toko'!$E:$E,0)),0)</f>
        <v>0</v>
      </c>
      <c r="H3782" s="20">
        <f>IFERROR(INDEX('Kode Outlet dan Target Toko'!$D:$D,MATCH($I3782,'Kode Outlet dan Target Toko'!$E:$E,0)),0)</f>
        <v>0</v>
      </c>
      <c r="I3782" s="42" t="s">
        <v>121</v>
      </c>
      <c r="J3782" s="56" t="s">
        <v>239</v>
      </c>
      <c r="K3782" s="40" t="s">
        <v>16</v>
      </c>
      <c r="L3782" s="26">
        <v>3919</v>
      </c>
      <c r="M3782" s="26">
        <v>90</v>
      </c>
      <c r="N3782" s="25">
        <f t="shared" si="117"/>
        <v>352710</v>
      </c>
      <c r="O3782" s="56">
        <v>160</v>
      </c>
    </row>
    <row r="3783" spans="1:15" hidden="1" x14ac:dyDescent="0.3">
      <c r="A3783" s="26">
        <v>33</v>
      </c>
      <c r="B3783" s="20" t="str">
        <f t="shared" ref="B3783:B3846" si="118">IF(C3783="","",UPPER(TEXT(C3783, "MMM")))</f>
        <v>AUG</v>
      </c>
      <c r="C3783" s="21">
        <v>46249</v>
      </c>
      <c r="D3783" s="22" t="str">
        <f>IFERROR(INDEX('Kode Outlet dan Target Toko'!$A:$A,MATCH($I3783,'Kode Outlet dan Target Toko'!$E:$E,0)),"")</f>
        <v>GRSM 5</v>
      </c>
      <c r="E3783" s="20" t="str">
        <f>IFERROR(VLOOKUP(I3783,KET!$B:$F,4,0),"")</f>
        <v>SUPRIYATI</v>
      </c>
      <c r="F3783" s="20" t="str">
        <f>IFERROR(VLOOKUP(I3783,KET!$B:$F,5,0),"")</f>
        <v>GMM</v>
      </c>
      <c r="G3783" s="20">
        <f>IFERROR(INDEX('Kode Outlet dan Target Toko'!$C:$C,MATCH($I3783,'Kode Outlet dan Target Toko'!$E:$E,0)),0)</f>
        <v>0</v>
      </c>
      <c r="H3783" s="20">
        <f>IFERROR(INDEX('Kode Outlet dan Target Toko'!$D:$D,MATCH($I3783,'Kode Outlet dan Target Toko'!$E:$E,0)),0)</f>
        <v>0</v>
      </c>
      <c r="I3783" s="42" t="s">
        <v>121</v>
      </c>
      <c r="J3783" s="56" t="s">
        <v>240</v>
      </c>
      <c r="K3783" s="40" t="s">
        <v>15</v>
      </c>
      <c r="L3783" s="26">
        <v>3919</v>
      </c>
      <c r="M3783" s="26">
        <v>60</v>
      </c>
      <c r="N3783" s="25">
        <f t="shared" ref="N3783:N3846" si="119">IFERROR(M3783*L3783,"")</f>
        <v>235140</v>
      </c>
      <c r="O3783" s="56"/>
    </row>
    <row r="3784" spans="1:15" hidden="1" x14ac:dyDescent="0.3">
      <c r="A3784" s="26">
        <v>33</v>
      </c>
      <c r="B3784" s="20" t="str">
        <f t="shared" si="118"/>
        <v>AUG</v>
      </c>
      <c r="C3784" s="21">
        <v>46249</v>
      </c>
      <c r="D3784" s="22" t="str">
        <f>IFERROR(INDEX('Kode Outlet dan Target Toko'!$A:$A,MATCH($I3784,'Kode Outlet dan Target Toko'!$E:$E,0)),"")</f>
        <v>GRSM 5</v>
      </c>
      <c r="E3784" s="20" t="str">
        <f>IFERROR(VLOOKUP(I3784,KET!$B:$F,4,0),"")</f>
        <v>SUPRIYATI</v>
      </c>
      <c r="F3784" s="20" t="str">
        <f>IFERROR(VLOOKUP(I3784,KET!$B:$F,5,0),"")</f>
        <v>GMM</v>
      </c>
      <c r="G3784" s="20">
        <f>IFERROR(INDEX('Kode Outlet dan Target Toko'!$C:$C,MATCH($I3784,'Kode Outlet dan Target Toko'!$E:$E,0)),0)</f>
        <v>0</v>
      </c>
      <c r="H3784" s="20">
        <f>IFERROR(INDEX('Kode Outlet dan Target Toko'!$D:$D,MATCH($I3784,'Kode Outlet dan Target Toko'!$E:$E,0)),0)</f>
        <v>0</v>
      </c>
      <c r="I3784" s="42" t="s">
        <v>121</v>
      </c>
      <c r="J3784" s="56" t="s">
        <v>240</v>
      </c>
      <c r="K3784" s="40" t="s">
        <v>14</v>
      </c>
      <c r="L3784" s="26">
        <v>3919</v>
      </c>
      <c r="M3784" s="26">
        <v>60</v>
      </c>
      <c r="N3784" s="25">
        <f t="shared" si="119"/>
        <v>235140</v>
      </c>
      <c r="O3784" s="56"/>
    </row>
    <row r="3785" spans="1:15" hidden="1" x14ac:dyDescent="0.3">
      <c r="A3785" s="26">
        <v>33</v>
      </c>
      <c r="B3785" s="20" t="str">
        <f t="shared" si="118"/>
        <v>AUG</v>
      </c>
      <c r="C3785" s="21">
        <v>46249</v>
      </c>
      <c r="D3785" s="22" t="str">
        <f>IFERROR(INDEX('Kode Outlet dan Target Toko'!$A:$A,MATCH($I3785,'Kode Outlet dan Target Toko'!$E:$E,0)),"")</f>
        <v>GRSM 5</v>
      </c>
      <c r="E3785" s="20" t="str">
        <f>IFERROR(VLOOKUP(I3785,KET!$B:$F,4,0),"")</f>
        <v>SUPRIYATI</v>
      </c>
      <c r="F3785" s="20" t="str">
        <f>IFERROR(VLOOKUP(I3785,KET!$B:$F,5,0),"")</f>
        <v>GMM</v>
      </c>
      <c r="G3785" s="20">
        <f>IFERROR(INDEX('Kode Outlet dan Target Toko'!$C:$C,MATCH($I3785,'Kode Outlet dan Target Toko'!$E:$E,0)),0)</f>
        <v>0</v>
      </c>
      <c r="H3785" s="20">
        <f>IFERROR(INDEX('Kode Outlet dan Target Toko'!$D:$D,MATCH($I3785,'Kode Outlet dan Target Toko'!$E:$E,0)),0)</f>
        <v>0</v>
      </c>
      <c r="I3785" s="42" t="s">
        <v>121</v>
      </c>
      <c r="J3785" s="56" t="s">
        <v>240</v>
      </c>
      <c r="K3785" s="40" t="s">
        <v>13</v>
      </c>
      <c r="L3785" s="26">
        <v>3919</v>
      </c>
      <c r="M3785" s="26">
        <v>0</v>
      </c>
      <c r="N3785" s="25">
        <f t="shared" si="119"/>
        <v>0</v>
      </c>
      <c r="O3785" s="56"/>
    </row>
    <row r="3786" spans="1:15" hidden="1" x14ac:dyDescent="0.3">
      <c r="A3786" s="26">
        <v>33</v>
      </c>
      <c r="B3786" s="20" t="str">
        <f t="shared" si="118"/>
        <v>AUG</v>
      </c>
      <c r="C3786" s="21">
        <v>46249</v>
      </c>
      <c r="D3786" s="22" t="str">
        <f>IFERROR(INDEX('Kode Outlet dan Target Toko'!$A:$A,MATCH($I3786,'Kode Outlet dan Target Toko'!$E:$E,0)),"")</f>
        <v>GRSM 5</v>
      </c>
      <c r="E3786" s="20" t="str">
        <f>IFERROR(VLOOKUP(I3786,KET!$B:$F,4,0),"")</f>
        <v>SUPRIYATI</v>
      </c>
      <c r="F3786" s="20" t="str">
        <f>IFERROR(VLOOKUP(I3786,KET!$B:$F,5,0),"")</f>
        <v>GMM</v>
      </c>
      <c r="G3786" s="20">
        <f>IFERROR(INDEX('Kode Outlet dan Target Toko'!$C:$C,MATCH($I3786,'Kode Outlet dan Target Toko'!$E:$E,0)),0)</f>
        <v>0</v>
      </c>
      <c r="H3786" s="20">
        <f>IFERROR(INDEX('Kode Outlet dan Target Toko'!$D:$D,MATCH($I3786,'Kode Outlet dan Target Toko'!$E:$E,0)),0)</f>
        <v>0</v>
      </c>
      <c r="I3786" s="42" t="s">
        <v>121</v>
      </c>
      <c r="J3786" s="56" t="s">
        <v>240</v>
      </c>
      <c r="K3786" s="40" t="s">
        <v>16</v>
      </c>
      <c r="L3786" s="26">
        <v>3919</v>
      </c>
      <c r="M3786" s="26">
        <v>90</v>
      </c>
      <c r="N3786" s="25">
        <f t="shared" si="119"/>
        <v>352710</v>
      </c>
      <c r="O3786" s="56">
        <v>160</v>
      </c>
    </row>
    <row r="3787" spans="1:15" hidden="1" x14ac:dyDescent="0.3">
      <c r="A3787" s="26">
        <v>33</v>
      </c>
      <c r="B3787" s="20" t="str">
        <f t="shared" si="118"/>
        <v>AUG</v>
      </c>
      <c r="C3787" s="21">
        <v>46249</v>
      </c>
      <c r="D3787" s="22" t="str">
        <f>IFERROR(INDEX('Kode Outlet dan Target Toko'!$A:$A,MATCH($I3787,'Kode Outlet dan Target Toko'!$E:$E,0)),"")</f>
        <v>GRSM 5</v>
      </c>
      <c r="E3787" s="20" t="str">
        <f>IFERROR(VLOOKUP(I3787,KET!$B:$F,4,0),"")</f>
        <v>SUPRIYATI</v>
      </c>
      <c r="F3787" s="20" t="str">
        <f>IFERROR(VLOOKUP(I3787,KET!$B:$F,5,0),"")</f>
        <v>GMM</v>
      </c>
      <c r="G3787" s="20">
        <f>IFERROR(INDEX('Kode Outlet dan Target Toko'!$C:$C,MATCH($I3787,'Kode Outlet dan Target Toko'!$E:$E,0)),0)</f>
        <v>211009</v>
      </c>
      <c r="H3787" s="20">
        <f>IFERROR(INDEX('Kode Outlet dan Target Toko'!$D:$D,MATCH($I3787,'Kode Outlet dan Target Toko'!$E:$E,0)),0)</f>
        <v>2100003</v>
      </c>
      <c r="I3787" s="42" t="s">
        <v>118</v>
      </c>
      <c r="J3787" s="56" t="s">
        <v>230</v>
      </c>
      <c r="K3787" s="40" t="s">
        <v>15</v>
      </c>
      <c r="L3787" s="26">
        <v>2900</v>
      </c>
      <c r="M3787" s="26">
        <v>72</v>
      </c>
      <c r="N3787" s="25">
        <f t="shared" si="119"/>
        <v>208800</v>
      </c>
      <c r="O3787" s="56"/>
    </row>
    <row r="3788" spans="1:15" hidden="1" x14ac:dyDescent="0.3">
      <c r="A3788" s="26">
        <v>33</v>
      </c>
      <c r="B3788" s="20" t="str">
        <f t="shared" si="118"/>
        <v>AUG</v>
      </c>
      <c r="C3788" s="21">
        <v>46249</v>
      </c>
      <c r="D3788" s="22" t="str">
        <f>IFERROR(INDEX('Kode Outlet dan Target Toko'!$A:$A,MATCH($I3788,'Kode Outlet dan Target Toko'!$E:$E,0)),"")</f>
        <v>GRSM 5</v>
      </c>
      <c r="E3788" s="20" t="str">
        <f>IFERROR(VLOOKUP(I3788,KET!$B:$F,4,0),"")</f>
        <v>SUPRIYATI</v>
      </c>
      <c r="F3788" s="20" t="str">
        <f>IFERROR(VLOOKUP(I3788,KET!$B:$F,5,0),"")</f>
        <v>GMM</v>
      </c>
      <c r="G3788" s="20">
        <f>IFERROR(INDEX('Kode Outlet dan Target Toko'!$C:$C,MATCH($I3788,'Kode Outlet dan Target Toko'!$E:$E,0)),0)</f>
        <v>211009</v>
      </c>
      <c r="H3788" s="20">
        <f>IFERROR(INDEX('Kode Outlet dan Target Toko'!$D:$D,MATCH($I3788,'Kode Outlet dan Target Toko'!$E:$E,0)),0)</f>
        <v>2100003</v>
      </c>
      <c r="I3788" s="42" t="s">
        <v>118</v>
      </c>
      <c r="J3788" s="56" t="s">
        <v>230</v>
      </c>
      <c r="K3788" s="40" t="s">
        <v>14</v>
      </c>
      <c r="L3788" s="26">
        <v>2900</v>
      </c>
      <c r="M3788" s="26">
        <v>94</v>
      </c>
      <c r="N3788" s="25">
        <f t="shared" si="119"/>
        <v>272600</v>
      </c>
      <c r="O3788" s="56"/>
    </row>
    <row r="3789" spans="1:15" hidden="1" x14ac:dyDescent="0.3">
      <c r="A3789" s="26">
        <v>33</v>
      </c>
      <c r="B3789" s="20" t="str">
        <f t="shared" si="118"/>
        <v>AUG</v>
      </c>
      <c r="C3789" s="21">
        <v>46249</v>
      </c>
      <c r="D3789" s="22" t="str">
        <f>IFERROR(INDEX('Kode Outlet dan Target Toko'!$A:$A,MATCH($I3789,'Kode Outlet dan Target Toko'!$E:$E,0)),"")</f>
        <v>GRSM 5</v>
      </c>
      <c r="E3789" s="20" t="str">
        <f>IFERROR(VLOOKUP(I3789,KET!$B:$F,4,0),"")</f>
        <v>SUPRIYATI</v>
      </c>
      <c r="F3789" s="20" t="str">
        <f>IFERROR(VLOOKUP(I3789,KET!$B:$F,5,0),"")</f>
        <v>GMM</v>
      </c>
      <c r="G3789" s="20">
        <f>IFERROR(INDEX('Kode Outlet dan Target Toko'!$C:$C,MATCH($I3789,'Kode Outlet dan Target Toko'!$E:$E,0)),0)</f>
        <v>211009</v>
      </c>
      <c r="H3789" s="20">
        <f>IFERROR(INDEX('Kode Outlet dan Target Toko'!$D:$D,MATCH($I3789,'Kode Outlet dan Target Toko'!$E:$E,0)),0)</f>
        <v>2100003</v>
      </c>
      <c r="I3789" s="42" t="s">
        <v>118</v>
      </c>
      <c r="J3789" s="56" t="s">
        <v>230</v>
      </c>
      <c r="K3789" s="40" t="s">
        <v>13</v>
      </c>
      <c r="L3789" s="26">
        <v>2900</v>
      </c>
      <c r="M3789" s="26">
        <v>64</v>
      </c>
      <c r="N3789" s="25">
        <f t="shared" si="119"/>
        <v>185600</v>
      </c>
      <c r="O3789" s="56"/>
    </row>
    <row r="3790" spans="1:15" hidden="1" x14ac:dyDescent="0.3">
      <c r="A3790" s="26">
        <v>33</v>
      </c>
      <c r="B3790" s="20" t="str">
        <f t="shared" si="118"/>
        <v>AUG</v>
      </c>
      <c r="C3790" s="21">
        <v>46249</v>
      </c>
      <c r="D3790" s="22" t="str">
        <f>IFERROR(INDEX('Kode Outlet dan Target Toko'!$A:$A,MATCH($I3790,'Kode Outlet dan Target Toko'!$E:$E,0)),"")</f>
        <v>GRSM 5</v>
      </c>
      <c r="E3790" s="20" t="str">
        <f>IFERROR(VLOOKUP(I3790,KET!$B:$F,4,0),"")</f>
        <v>SUPRIYATI</v>
      </c>
      <c r="F3790" s="20" t="str">
        <f>IFERROR(VLOOKUP(I3790,KET!$B:$F,5,0),"")</f>
        <v>GMM</v>
      </c>
      <c r="G3790" s="20">
        <f>IFERROR(INDEX('Kode Outlet dan Target Toko'!$C:$C,MATCH($I3790,'Kode Outlet dan Target Toko'!$E:$E,0)),0)</f>
        <v>211009</v>
      </c>
      <c r="H3790" s="20">
        <f>IFERROR(INDEX('Kode Outlet dan Target Toko'!$D:$D,MATCH($I3790,'Kode Outlet dan Target Toko'!$E:$E,0)),0)</f>
        <v>2100003</v>
      </c>
      <c r="I3790" s="42" t="s">
        <v>118</v>
      </c>
      <c r="J3790" s="56" t="s">
        <v>230</v>
      </c>
      <c r="K3790" s="40" t="s">
        <v>16</v>
      </c>
      <c r="L3790" s="26">
        <v>2900</v>
      </c>
      <c r="M3790" s="26">
        <v>242</v>
      </c>
      <c r="N3790" s="25">
        <f t="shared" si="119"/>
        <v>701800</v>
      </c>
      <c r="O3790" s="56">
        <v>160</v>
      </c>
    </row>
    <row r="3791" spans="1:15" hidden="1" x14ac:dyDescent="0.3">
      <c r="A3791" s="26">
        <v>33</v>
      </c>
      <c r="B3791" s="20" t="str">
        <f t="shared" si="118"/>
        <v>AUG</v>
      </c>
      <c r="C3791" s="21">
        <v>46249</v>
      </c>
      <c r="D3791" s="22" t="str">
        <f>IFERROR(INDEX('Kode Outlet dan Target Toko'!$A:$A,MATCH($I3791,'Kode Outlet dan Target Toko'!$E:$E,0)),"")</f>
        <v>GRSM 5</v>
      </c>
      <c r="E3791" s="20" t="str">
        <f>IFERROR(VLOOKUP(I3791,KET!$B:$F,4,0),"")</f>
        <v>SUPRIYATI</v>
      </c>
      <c r="F3791" s="20" t="str">
        <f>IFERROR(VLOOKUP(I3791,KET!$B:$F,5,0),"")</f>
        <v>GMM</v>
      </c>
      <c r="G3791" s="20">
        <f>IFERROR(INDEX('Kode Outlet dan Target Toko'!$C:$C,MATCH($I3791,'Kode Outlet dan Target Toko'!$E:$E,0)),0)</f>
        <v>211009</v>
      </c>
      <c r="H3791" s="20">
        <f>IFERROR(INDEX('Kode Outlet dan Target Toko'!$D:$D,MATCH($I3791,'Kode Outlet dan Target Toko'!$E:$E,0)),0)</f>
        <v>2100003</v>
      </c>
      <c r="I3791" s="42" t="s">
        <v>118</v>
      </c>
      <c r="J3791" s="56" t="s">
        <v>231</v>
      </c>
      <c r="K3791" s="40" t="s">
        <v>15</v>
      </c>
      <c r="L3791" s="26">
        <v>2900</v>
      </c>
      <c r="M3791" s="26">
        <v>72</v>
      </c>
      <c r="N3791" s="25">
        <f t="shared" si="119"/>
        <v>208800</v>
      </c>
      <c r="O3791" s="56"/>
    </row>
    <row r="3792" spans="1:15" hidden="1" x14ac:dyDescent="0.3">
      <c r="A3792" s="26">
        <v>33</v>
      </c>
      <c r="B3792" s="20" t="str">
        <f t="shared" si="118"/>
        <v>AUG</v>
      </c>
      <c r="C3792" s="21">
        <v>46249</v>
      </c>
      <c r="D3792" s="22" t="str">
        <f>IFERROR(INDEX('Kode Outlet dan Target Toko'!$A:$A,MATCH($I3792,'Kode Outlet dan Target Toko'!$E:$E,0)),"")</f>
        <v>GRSM 5</v>
      </c>
      <c r="E3792" s="20" t="str">
        <f>IFERROR(VLOOKUP(I3792,KET!$B:$F,4,0),"")</f>
        <v>SUPRIYATI</v>
      </c>
      <c r="F3792" s="20" t="str">
        <f>IFERROR(VLOOKUP(I3792,KET!$B:$F,5,0),"")</f>
        <v>GMM</v>
      </c>
      <c r="G3792" s="20">
        <f>IFERROR(INDEX('Kode Outlet dan Target Toko'!$C:$C,MATCH($I3792,'Kode Outlet dan Target Toko'!$E:$E,0)),0)</f>
        <v>211009</v>
      </c>
      <c r="H3792" s="20">
        <f>IFERROR(INDEX('Kode Outlet dan Target Toko'!$D:$D,MATCH($I3792,'Kode Outlet dan Target Toko'!$E:$E,0)),0)</f>
        <v>2100003</v>
      </c>
      <c r="I3792" s="42" t="s">
        <v>118</v>
      </c>
      <c r="J3792" s="56" t="s">
        <v>231</v>
      </c>
      <c r="K3792" s="40" t="s">
        <v>14</v>
      </c>
      <c r="L3792" s="26">
        <v>2900</v>
      </c>
      <c r="M3792" s="26">
        <v>94</v>
      </c>
      <c r="N3792" s="25">
        <f t="shared" si="119"/>
        <v>272600</v>
      </c>
      <c r="O3792" s="56"/>
    </row>
    <row r="3793" spans="1:15" hidden="1" x14ac:dyDescent="0.3">
      <c r="A3793" s="26">
        <v>33</v>
      </c>
      <c r="B3793" s="20" t="str">
        <f t="shared" si="118"/>
        <v>AUG</v>
      </c>
      <c r="C3793" s="21">
        <v>46249</v>
      </c>
      <c r="D3793" s="22" t="str">
        <f>IFERROR(INDEX('Kode Outlet dan Target Toko'!$A:$A,MATCH($I3793,'Kode Outlet dan Target Toko'!$E:$E,0)),"")</f>
        <v>GRSM 5</v>
      </c>
      <c r="E3793" s="20" t="str">
        <f>IFERROR(VLOOKUP(I3793,KET!$B:$F,4,0),"")</f>
        <v>SUPRIYATI</v>
      </c>
      <c r="F3793" s="20" t="str">
        <f>IFERROR(VLOOKUP(I3793,KET!$B:$F,5,0),"")</f>
        <v>GMM</v>
      </c>
      <c r="G3793" s="20">
        <f>IFERROR(INDEX('Kode Outlet dan Target Toko'!$C:$C,MATCH($I3793,'Kode Outlet dan Target Toko'!$E:$E,0)),0)</f>
        <v>211009</v>
      </c>
      <c r="H3793" s="20">
        <f>IFERROR(INDEX('Kode Outlet dan Target Toko'!$D:$D,MATCH($I3793,'Kode Outlet dan Target Toko'!$E:$E,0)),0)</f>
        <v>2100003</v>
      </c>
      <c r="I3793" s="42" t="s">
        <v>118</v>
      </c>
      <c r="J3793" s="56" t="s">
        <v>231</v>
      </c>
      <c r="K3793" s="40" t="s">
        <v>13</v>
      </c>
      <c r="L3793" s="26">
        <v>2900</v>
      </c>
      <c r="M3793" s="26">
        <v>64</v>
      </c>
      <c r="N3793" s="25">
        <f t="shared" si="119"/>
        <v>185600</v>
      </c>
      <c r="O3793" s="56"/>
    </row>
    <row r="3794" spans="1:15" hidden="1" x14ac:dyDescent="0.3">
      <c r="A3794" s="26">
        <v>33</v>
      </c>
      <c r="B3794" s="20" t="str">
        <f t="shared" si="118"/>
        <v>AUG</v>
      </c>
      <c r="C3794" s="21">
        <v>46249</v>
      </c>
      <c r="D3794" s="22" t="str">
        <f>IFERROR(INDEX('Kode Outlet dan Target Toko'!$A:$A,MATCH($I3794,'Kode Outlet dan Target Toko'!$E:$E,0)),"")</f>
        <v>GRSM 5</v>
      </c>
      <c r="E3794" s="20" t="str">
        <f>IFERROR(VLOOKUP(I3794,KET!$B:$F,4,0),"")</f>
        <v>SUPRIYATI</v>
      </c>
      <c r="F3794" s="20" t="str">
        <f>IFERROR(VLOOKUP(I3794,KET!$B:$F,5,0),"")</f>
        <v>GMM</v>
      </c>
      <c r="G3794" s="20">
        <f>IFERROR(INDEX('Kode Outlet dan Target Toko'!$C:$C,MATCH($I3794,'Kode Outlet dan Target Toko'!$E:$E,0)),0)</f>
        <v>211009</v>
      </c>
      <c r="H3794" s="20">
        <f>IFERROR(INDEX('Kode Outlet dan Target Toko'!$D:$D,MATCH($I3794,'Kode Outlet dan Target Toko'!$E:$E,0)),0)</f>
        <v>2100003</v>
      </c>
      <c r="I3794" s="42" t="s">
        <v>118</v>
      </c>
      <c r="J3794" s="56" t="s">
        <v>231</v>
      </c>
      <c r="K3794" s="40" t="s">
        <v>16</v>
      </c>
      <c r="L3794" s="26">
        <v>2900</v>
      </c>
      <c r="M3794" s="26">
        <v>242</v>
      </c>
      <c r="N3794" s="25">
        <f t="shared" si="119"/>
        <v>701800</v>
      </c>
      <c r="O3794" s="56">
        <v>160</v>
      </c>
    </row>
    <row r="3795" spans="1:15" hidden="1" x14ac:dyDescent="0.3">
      <c r="A3795" s="26">
        <v>33</v>
      </c>
      <c r="B3795" s="20" t="str">
        <f t="shared" si="118"/>
        <v>AUG</v>
      </c>
      <c r="C3795" s="21">
        <v>46250</v>
      </c>
      <c r="D3795" s="22" t="str">
        <f>IFERROR(INDEX('Kode Outlet dan Target Toko'!$A:$A,MATCH($I3795,'Kode Outlet dan Target Toko'!$E:$E,0)),"")</f>
        <v>GRSM 5</v>
      </c>
      <c r="E3795" s="20" t="str">
        <f>IFERROR(VLOOKUP(I3795,KET!$B:$F,4,0),"")</f>
        <v>SUPRIYATI</v>
      </c>
      <c r="F3795" s="20" t="str">
        <f>IFERROR(VLOOKUP(I3795,KET!$B:$F,5,0),"")</f>
        <v>GMM</v>
      </c>
      <c r="G3795" s="20">
        <f>IFERROR(INDEX('Kode Outlet dan Target Toko'!$C:$C,MATCH($I3795,'Kode Outlet dan Target Toko'!$E:$E,0)),0)</f>
        <v>211051</v>
      </c>
      <c r="H3795" s="20">
        <f>IFERROR(INDEX('Kode Outlet dan Target Toko'!$D:$D,MATCH($I3795,'Kode Outlet dan Target Toko'!$E:$E,0)),0)</f>
        <v>5580008</v>
      </c>
      <c r="I3795" s="42" t="s">
        <v>88</v>
      </c>
      <c r="J3795" s="56" t="s">
        <v>203</v>
      </c>
      <c r="K3795" s="40" t="s">
        <v>15</v>
      </c>
      <c r="L3795" s="26">
        <v>2995</v>
      </c>
      <c r="M3795" s="26">
        <v>94</v>
      </c>
      <c r="N3795" s="25">
        <f t="shared" si="119"/>
        <v>281530</v>
      </c>
      <c r="O3795" s="56"/>
    </row>
    <row r="3796" spans="1:15" hidden="1" x14ac:dyDescent="0.3">
      <c r="A3796" s="26">
        <v>33</v>
      </c>
      <c r="B3796" s="20" t="str">
        <f t="shared" si="118"/>
        <v>AUG</v>
      </c>
      <c r="C3796" s="21">
        <v>46250</v>
      </c>
      <c r="D3796" s="22" t="str">
        <f>IFERROR(INDEX('Kode Outlet dan Target Toko'!$A:$A,MATCH($I3796,'Kode Outlet dan Target Toko'!$E:$E,0)),"")</f>
        <v>GRSM 5</v>
      </c>
      <c r="E3796" s="20" t="str">
        <f>IFERROR(VLOOKUP(I3796,KET!$B:$F,4,0),"")</f>
        <v>SUPRIYATI</v>
      </c>
      <c r="F3796" s="20" t="str">
        <f>IFERROR(VLOOKUP(I3796,KET!$B:$F,5,0),"")</f>
        <v>GMM</v>
      </c>
      <c r="G3796" s="20">
        <f>IFERROR(INDEX('Kode Outlet dan Target Toko'!$C:$C,MATCH($I3796,'Kode Outlet dan Target Toko'!$E:$E,0)),0)</f>
        <v>211051</v>
      </c>
      <c r="H3796" s="20">
        <f>IFERROR(INDEX('Kode Outlet dan Target Toko'!$D:$D,MATCH($I3796,'Kode Outlet dan Target Toko'!$E:$E,0)),0)</f>
        <v>5580008</v>
      </c>
      <c r="I3796" s="42" t="s">
        <v>88</v>
      </c>
      <c r="J3796" s="56" t="s">
        <v>203</v>
      </c>
      <c r="K3796" s="40" t="s">
        <v>14</v>
      </c>
      <c r="L3796" s="26">
        <v>2995</v>
      </c>
      <c r="M3796" s="26">
        <v>112</v>
      </c>
      <c r="N3796" s="25">
        <f t="shared" si="119"/>
        <v>335440</v>
      </c>
      <c r="O3796" s="56"/>
    </row>
    <row r="3797" spans="1:15" hidden="1" x14ac:dyDescent="0.3">
      <c r="A3797" s="26">
        <v>33</v>
      </c>
      <c r="B3797" s="20" t="str">
        <f t="shared" si="118"/>
        <v>AUG</v>
      </c>
      <c r="C3797" s="21">
        <v>46250</v>
      </c>
      <c r="D3797" s="22" t="str">
        <f>IFERROR(INDEX('Kode Outlet dan Target Toko'!$A:$A,MATCH($I3797,'Kode Outlet dan Target Toko'!$E:$E,0)),"")</f>
        <v>GRSM 5</v>
      </c>
      <c r="E3797" s="20" t="str">
        <f>IFERROR(VLOOKUP(I3797,KET!$B:$F,4,0),"")</f>
        <v>SUPRIYATI</v>
      </c>
      <c r="F3797" s="20" t="str">
        <f>IFERROR(VLOOKUP(I3797,KET!$B:$F,5,0),"")</f>
        <v>GMM</v>
      </c>
      <c r="G3797" s="20">
        <f>IFERROR(INDEX('Kode Outlet dan Target Toko'!$C:$C,MATCH($I3797,'Kode Outlet dan Target Toko'!$E:$E,0)),0)</f>
        <v>211051</v>
      </c>
      <c r="H3797" s="20">
        <f>IFERROR(INDEX('Kode Outlet dan Target Toko'!$D:$D,MATCH($I3797,'Kode Outlet dan Target Toko'!$E:$E,0)),0)</f>
        <v>5580008</v>
      </c>
      <c r="I3797" s="42" t="s">
        <v>88</v>
      </c>
      <c r="J3797" s="56" t="s">
        <v>203</v>
      </c>
      <c r="K3797" s="40" t="s">
        <v>13</v>
      </c>
      <c r="L3797" s="26">
        <v>2995</v>
      </c>
      <c r="M3797" s="26">
        <v>80</v>
      </c>
      <c r="N3797" s="25">
        <f t="shared" si="119"/>
        <v>239600</v>
      </c>
      <c r="O3797" s="56"/>
    </row>
    <row r="3798" spans="1:15" hidden="1" x14ac:dyDescent="0.3">
      <c r="A3798" s="26">
        <v>33</v>
      </c>
      <c r="B3798" s="20" t="str">
        <f t="shared" si="118"/>
        <v>AUG</v>
      </c>
      <c r="C3798" s="21">
        <v>46250</v>
      </c>
      <c r="D3798" s="22" t="str">
        <f>IFERROR(INDEX('Kode Outlet dan Target Toko'!$A:$A,MATCH($I3798,'Kode Outlet dan Target Toko'!$E:$E,0)),"")</f>
        <v>GRSM 5</v>
      </c>
      <c r="E3798" s="20" t="str">
        <f>IFERROR(VLOOKUP(I3798,KET!$B:$F,4,0),"")</f>
        <v>SUPRIYATI</v>
      </c>
      <c r="F3798" s="20" t="str">
        <f>IFERROR(VLOOKUP(I3798,KET!$B:$F,5,0),"")</f>
        <v>GMM</v>
      </c>
      <c r="G3798" s="20">
        <f>IFERROR(INDEX('Kode Outlet dan Target Toko'!$C:$C,MATCH($I3798,'Kode Outlet dan Target Toko'!$E:$E,0)),0)</f>
        <v>211051</v>
      </c>
      <c r="H3798" s="20">
        <f>IFERROR(INDEX('Kode Outlet dan Target Toko'!$D:$D,MATCH($I3798,'Kode Outlet dan Target Toko'!$E:$E,0)),0)</f>
        <v>5580008</v>
      </c>
      <c r="I3798" s="42" t="s">
        <v>88</v>
      </c>
      <c r="J3798" s="56" t="s">
        <v>203</v>
      </c>
      <c r="K3798" s="40" t="s">
        <v>16</v>
      </c>
      <c r="L3798" s="26">
        <v>2995</v>
      </c>
      <c r="M3798" s="26">
        <v>286</v>
      </c>
      <c r="N3798" s="25">
        <f t="shared" si="119"/>
        <v>856570</v>
      </c>
      <c r="O3798" s="56">
        <v>160</v>
      </c>
    </row>
    <row r="3799" spans="1:15" hidden="1" x14ac:dyDescent="0.3">
      <c r="A3799" s="26">
        <v>33</v>
      </c>
      <c r="B3799" s="20" t="str">
        <f t="shared" si="118"/>
        <v>AUG</v>
      </c>
      <c r="C3799" s="21">
        <v>46250</v>
      </c>
      <c r="D3799" s="22" t="str">
        <f>IFERROR(INDEX('Kode Outlet dan Target Toko'!$A:$A,MATCH($I3799,'Kode Outlet dan Target Toko'!$E:$E,0)),"")</f>
        <v>GRSM 5</v>
      </c>
      <c r="E3799" s="20" t="str">
        <f>IFERROR(VLOOKUP(I3799,KET!$B:$F,4,0),"")</f>
        <v>SUPRIYATI</v>
      </c>
      <c r="F3799" s="20" t="str">
        <f>IFERROR(VLOOKUP(I3799,KET!$B:$F,5,0),"")</f>
        <v>GMM</v>
      </c>
      <c r="G3799" s="20">
        <f>IFERROR(INDEX('Kode Outlet dan Target Toko'!$C:$C,MATCH($I3799,'Kode Outlet dan Target Toko'!$E:$E,0)),0)</f>
        <v>211051</v>
      </c>
      <c r="H3799" s="20">
        <f>IFERROR(INDEX('Kode Outlet dan Target Toko'!$D:$D,MATCH($I3799,'Kode Outlet dan Target Toko'!$E:$E,0)),0)</f>
        <v>5580008</v>
      </c>
      <c r="I3799" s="42" t="s">
        <v>88</v>
      </c>
      <c r="J3799" s="56" t="s">
        <v>202</v>
      </c>
      <c r="K3799" s="40" t="s">
        <v>15</v>
      </c>
      <c r="L3799" s="26">
        <v>2995</v>
      </c>
      <c r="M3799" s="26">
        <v>94</v>
      </c>
      <c r="N3799" s="25">
        <f t="shared" si="119"/>
        <v>281530</v>
      </c>
      <c r="O3799" s="56"/>
    </row>
    <row r="3800" spans="1:15" hidden="1" x14ac:dyDescent="0.3">
      <c r="A3800" s="26">
        <v>33</v>
      </c>
      <c r="B3800" s="20" t="str">
        <f t="shared" si="118"/>
        <v>AUG</v>
      </c>
      <c r="C3800" s="21">
        <v>46250</v>
      </c>
      <c r="D3800" s="22" t="str">
        <f>IFERROR(INDEX('Kode Outlet dan Target Toko'!$A:$A,MATCH($I3800,'Kode Outlet dan Target Toko'!$E:$E,0)),"")</f>
        <v>GRSM 5</v>
      </c>
      <c r="E3800" s="20" t="str">
        <f>IFERROR(VLOOKUP(I3800,KET!$B:$F,4,0),"")</f>
        <v>SUPRIYATI</v>
      </c>
      <c r="F3800" s="20" t="str">
        <f>IFERROR(VLOOKUP(I3800,KET!$B:$F,5,0),"")</f>
        <v>GMM</v>
      </c>
      <c r="G3800" s="20">
        <f>IFERROR(INDEX('Kode Outlet dan Target Toko'!$C:$C,MATCH($I3800,'Kode Outlet dan Target Toko'!$E:$E,0)),0)</f>
        <v>211051</v>
      </c>
      <c r="H3800" s="20">
        <f>IFERROR(INDEX('Kode Outlet dan Target Toko'!$D:$D,MATCH($I3800,'Kode Outlet dan Target Toko'!$E:$E,0)),0)</f>
        <v>5580008</v>
      </c>
      <c r="I3800" s="42" t="s">
        <v>88</v>
      </c>
      <c r="J3800" s="56" t="s">
        <v>202</v>
      </c>
      <c r="K3800" s="40" t="s">
        <v>14</v>
      </c>
      <c r="L3800" s="26">
        <v>2995</v>
      </c>
      <c r="M3800" s="26">
        <v>112</v>
      </c>
      <c r="N3800" s="25">
        <f t="shared" si="119"/>
        <v>335440</v>
      </c>
      <c r="O3800" s="56"/>
    </row>
    <row r="3801" spans="1:15" hidden="1" x14ac:dyDescent="0.3">
      <c r="A3801" s="26">
        <v>33</v>
      </c>
      <c r="B3801" s="20" t="str">
        <f t="shared" si="118"/>
        <v>AUG</v>
      </c>
      <c r="C3801" s="21">
        <v>46250</v>
      </c>
      <c r="D3801" s="22" t="str">
        <f>IFERROR(INDEX('Kode Outlet dan Target Toko'!$A:$A,MATCH($I3801,'Kode Outlet dan Target Toko'!$E:$E,0)),"")</f>
        <v>GRSM 5</v>
      </c>
      <c r="E3801" s="20" t="str">
        <f>IFERROR(VLOOKUP(I3801,KET!$B:$F,4,0),"")</f>
        <v>SUPRIYATI</v>
      </c>
      <c r="F3801" s="20" t="str">
        <f>IFERROR(VLOOKUP(I3801,KET!$B:$F,5,0),"")</f>
        <v>GMM</v>
      </c>
      <c r="G3801" s="20">
        <f>IFERROR(INDEX('Kode Outlet dan Target Toko'!$C:$C,MATCH($I3801,'Kode Outlet dan Target Toko'!$E:$E,0)),0)</f>
        <v>211051</v>
      </c>
      <c r="H3801" s="20">
        <f>IFERROR(INDEX('Kode Outlet dan Target Toko'!$D:$D,MATCH($I3801,'Kode Outlet dan Target Toko'!$E:$E,0)),0)</f>
        <v>5580008</v>
      </c>
      <c r="I3801" s="42" t="s">
        <v>88</v>
      </c>
      <c r="J3801" s="56" t="s">
        <v>202</v>
      </c>
      <c r="K3801" s="40" t="s">
        <v>13</v>
      </c>
      <c r="L3801" s="26">
        <v>2995</v>
      </c>
      <c r="M3801" s="26">
        <v>80</v>
      </c>
      <c r="N3801" s="25">
        <f t="shared" si="119"/>
        <v>239600</v>
      </c>
      <c r="O3801" s="56"/>
    </row>
    <row r="3802" spans="1:15" hidden="1" x14ac:dyDescent="0.3">
      <c r="A3802" s="26">
        <v>33</v>
      </c>
      <c r="B3802" s="20" t="str">
        <f t="shared" si="118"/>
        <v>AUG</v>
      </c>
      <c r="C3802" s="21">
        <v>46250</v>
      </c>
      <c r="D3802" s="22" t="str">
        <f>IFERROR(INDEX('Kode Outlet dan Target Toko'!$A:$A,MATCH($I3802,'Kode Outlet dan Target Toko'!$E:$E,0)),"")</f>
        <v>GRSM 5</v>
      </c>
      <c r="E3802" s="20" t="str">
        <f>IFERROR(VLOOKUP(I3802,KET!$B:$F,4,0),"")</f>
        <v>SUPRIYATI</v>
      </c>
      <c r="F3802" s="20" t="str">
        <f>IFERROR(VLOOKUP(I3802,KET!$B:$F,5,0),"")</f>
        <v>GMM</v>
      </c>
      <c r="G3802" s="20">
        <f>IFERROR(INDEX('Kode Outlet dan Target Toko'!$C:$C,MATCH($I3802,'Kode Outlet dan Target Toko'!$E:$E,0)),0)</f>
        <v>211051</v>
      </c>
      <c r="H3802" s="20">
        <f>IFERROR(INDEX('Kode Outlet dan Target Toko'!$D:$D,MATCH($I3802,'Kode Outlet dan Target Toko'!$E:$E,0)),0)</f>
        <v>5580008</v>
      </c>
      <c r="I3802" s="42" t="s">
        <v>88</v>
      </c>
      <c r="J3802" s="56" t="s">
        <v>202</v>
      </c>
      <c r="K3802" s="40" t="s">
        <v>16</v>
      </c>
      <c r="L3802" s="26">
        <v>2995</v>
      </c>
      <c r="M3802" s="26">
        <v>286</v>
      </c>
      <c r="N3802" s="25">
        <f t="shared" si="119"/>
        <v>856570</v>
      </c>
      <c r="O3802" s="56">
        <v>160</v>
      </c>
    </row>
    <row r="3803" spans="1:15" hidden="1" x14ac:dyDescent="0.3">
      <c r="A3803" s="26">
        <v>33</v>
      </c>
      <c r="B3803" s="20" t="str">
        <f t="shared" si="118"/>
        <v>AUG</v>
      </c>
      <c r="C3803" s="21">
        <v>46250</v>
      </c>
      <c r="D3803" s="22" t="str">
        <f>IFERROR(INDEX('Kode Outlet dan Target Toko'!$A:$A,MATCH($I3803,'Kode Outlet dan Target Toko'!$E:$E,0)),"")</f>
        <v>GRSM 5</v>
      </c>
      <c r="E3803" s="20" t="str">
        <f>IFERROR(VLOOKUP(I3803,KET!$B:$F,4,0),"")</f>
        <v>SUPRIYATI</v>
      </c>
      <c r="F3803" s="20" t="str">
        <f>IFERROR(VLOOKUP(I3803,KET!$B:$F,5,0),"")</f>
        <v>GMM</v>
      </c>
      <c r="G3803" s="20">
        <f>IFERROR(INDEX('Kode Outlet dan Target Toko'!$C:$C,MATCH($I3803,'Kode Outlet dan Target Toko'!$E:$E,0)),0)</f>
        <v>103274</v>
      </c>
      <c r="H3803" s="20">
        <f>IFERROR(INDEX('Kode Outlet dan Target Toko'!$D:$D,MATCH($I3803,'Kode Outlet dan Target Toko'!$E:$E,0)),0)</f>
        <v>1301399</v>
      </c>
      <c r="I3803" s="42" t="s">
        <v>111</v>
      </c>
      <c r="J3803" s="56" t="s">
        <v>205</v>
      </c>
      <c r="K3803" s="40" t="s">
        <v>15</v>
      </c>
      <c r="L3803" s="26">
        <v>3083</v>
      </c>
      <c r="M3803" s="26">
        <v>80</v>
      </c>
      <c r="N3803" s="25">
        <f t="shared" si="119"/>
        <v>246640</v>
      </c>
      <c r="O3803" s="56"/>
    </row>
    <row r="3804" spans="1:15" hidden="1" x14ac:dyDescent="0.3">
      <c r="A3804" s="26">
        <v>33</v>
      </c>
      <c r="B3804" s="20" t="str">
        <f t="shared" si="118"/>
        <v>AUG</v>
      </c>
      <c r="C3804" s="21">
        <v>46250</v>
      </c>
      <c r="D3804" s="22" t="str">
        <f>IFERROR(INDEX('Kode Outlet dan Target Toko'!$A:$A,MATCH($I3804,'Kode Outlet dan Target Toko'!$E:$E,0)),"")</f>
        <v>GRSM 5</v>
      </c>
      <c r="E3804" s="20" t="str">
        <f>IFERROR(VLOOKUP(I3804,KET!$B:$F,4,0),"")</f>
        <v>SUPRIYATI</v>
      </c>
      <c r="F3804" s="20" t="str">
        <f>IFERROR(VLOOKUP(I3804,KET!$B:$F,5,0),"")</f>
        <v>GMM</v>
      </c>
      <c r="G3804" s="20">
        <f>IFERROR(INDEX('Kode Outlet dan Target Toko'!$C:$C,MATCH($I3804,'Kode Outlet dan Target Toko'!$E:$E,0)),0)</f>
        <v>103274</v>
      </c>
      <c r="H3804" s="20">
        <f>IFERROR(INDEX('Kode Outlet dan Target Toko'!$D:$D,MATCH($I3804,'Kode Outlet dan Target Toko'!$E:$E,0)),0)</f>
        <v>1301399</v>
      </c>
      <c r="I3804" s="42" t="s">
        <v>111</v>
      </c>
      <c r="J3804" s="56" t="s">
        <v>205</v>
      </c>
      <c r="K3804" s="40" t="s">
        <v>14</v>
      </c>
      <c r="L3804" s="26">
        <v>3083</v>
      </c>
      <c r="M3804" s="26">
        <v>80</v>
      </c>
      <c r="N3804" s="25">
        <f t="shared" si="119"/>
        <v>246640</v>
      </c>
      <c r="O3804" s="56"/>
    </row>
    <row r="3805" spans="1:15" hidden="1" x14ac:dyDescent="0.3">
      <c r="A3805" s="26">
        <v>33</v>
      </c>
      <c r="B3805" s="20" t="str">
        <f t="shared" si="118"/>
        <v>AUG</v>
      </c>
      <c r="C3805" s="21">
        <v>46250</v>
      </c>
      <c r="D3805" s="22" t="str">
        <f>IFERROR(INDEX('Kode Outlet dan Target Toko'!$A:$A,MATCH($I3805,'Kode Outlet dan Target Toko'!$E:$E,0)),"")</f>
        <v>GRSM 5</v>
      </c>
      <c r="E3805" s="20" t="str">
        <f>IFERROR(VLOOKUP(I3805,KET!$B:$F,4,0),"")</f>
        <v>SUPRIYATI</v>
      </c>
      <c r="F3805" s="20" t="str">
        <f>IFERROR(VLOOKUP(I3805,KET!$B:$F,5,0),"")</f>
        <v>GMM</v>
      </c>
      <c r="G3805" s="20">
        <f>IFERROR(INDEX('Kode Outlet dan Target Toko'!$C:$C,MATCH($I3805,'Kode Outlet dan Target Toko'!$E:$E,0)),0)</f>
        <v>103274</v>
      </c>
      <c r="H3805" s="20">
        <f>IFERROR(INDEX('Kode Outlet dan Target Toko'!$D:$D,MATCH($I3805,'Kode Outlet dan Target Toko'!$E:$E,0)),0)</f>
        <v>1301399</v>
      </c>
      <c r="I3805" s="42" t="s">
        <v>111</v>
      </c>
      <c r="J3805" s="56" t="s">
        <v>205</v>
      </c>
      <c r="K3805" s="40" t="s">
        <v>13</v>
      </c>
      <c r="L3805" s="26">
        <v>3083</v>
      </c>
      <c r="M3805" s="26">
        <v>4</v>
      </c>
      <c r="N3805" s="25">
        <f t="shared" si="119"/>
        <v>12332</v>
      </c>
      <c r="O3805" s="56"/>
    </row>
    <row r="3806" spans="1:15" hidden="1" x14ac:dyDescent="0.3">
      <c r="A3806" s="26">
        <v>33</v>
      </c>
      <c r="B3806" s="20" t="str">
        <f t="shared" si="118"/>
        <v>AUG</v>
      </c>
      <c r="C3806" s="21">
        <v>46250</v>
      </c>
      <c r="D3806" s="22" t="str">
        <f>IFERROR(INDEX('Kode Outlet dan Target Toko'!$A:$A,MATCH($I3806,'Kode Outlet dan Target Toko'!$E:$E,0)),"")</f>
        <v>GRSM 5</v>
      </c>
      <c r="E3806" s="20" t="str">
        <f>IFERROR(VLOOKUP(I3806,KET!$B:$F,4,0),"")</f>
        <v>SUPRIYATI</v>
      </c>
      <c r="F3806" s="20" t="str">
        <f>IFERROR(VLOOKUP(I3806,KET!$B:$F,5,0),"")</f>
        <v>GMM</v>
      </c>
      <c r="G3806" s="20">
        <f>IFERROR(INDEX('Kode Outlet dan Target Toko'!$C:$C,MATCH($I3806,'Kode Outlet dan Target Toko'!$E:$E,0)),0)</f>
        <v>103274</v>
      </c>
      <c r="H3806" s="20">
        <f>IFERROR(INDEX('Kode Outlet dan Target Toko'!$D:$D,MATCH($I3806,'Kode Outlet dan Target Toko'!$E:$E,0)),0)</f>
        <v>1301399</v>
      </c>
      <c r="I3806" s="42" t="s">
        <v>111</v>
      </c>
      <c r="J3806" s="56" t="s">
        <v>205</v>
      </c>
      <c r="K3806" s="40" t="s">
        <v>16</v>
      </c>
      <c r="L3806" s="26">
        <v>3083</v>
      </c>
      <c r="M3806" s="26">
        <v>220</v>
      </c>
      <c r="N3806" s="25">
        <f t="shared" si="119"/>
        <v>678260</v>
      </c>
      <c r="O3806" s="56">
        <v>160</v>
      </c>
    </row>
    <row r="3807" spans="1:15" hidden="1" x14ac:dyDescent="0.3">
      <c r="A3807" s="26">
        <v>33</v>
      </c>
      <c r="B3807" s="20" t="str">
        <f t="shared" si="118"/>
        <v>AUG</v>
      </c>
      <c r="C3807" s="21">
        <v>46250</v>
      </c>
      <c r="D3807" s="22" t="str">
        <f>IFERROR(INDEX('Kode Outlet dan Target Toko'!$A:$A,MATCH($I3807,'Kode Outlet dan Target Toko'!$E:$E,0)),"")</f>
        <v>GRSM 5</v>
      </c>
      <c r="E3807" s="20" t="str">
        <f>IFERROR(VLOOKUP(I3807,KET!$B:$F,4,0),"")</f>
        <v>SUPRIYATI</v>
      </c>
      <c r="F3807" s="20" t="str">
        <f>IFERROR(VLOOKUP(I3807,KET!$B:$F,5,0),"")</f>
        <v>GMM</v>
      </c>
      <c r="G3807" s="20">
        <f>IFERROR(INDEX('Kode Outlet dan Target Toko'!$C:$C,MATCH($I3807,'Kode Outlet dan Target Toko'!$E:$E,0)),0)</f>
        <v>103274</v>
      </c>
      <c r="H3807" s="20">
        <f>IFERROR(INDEX('Kode Outlet dan Target Toko'!$D:$D,MATCH($I3807,'Kode Outlet dan Target Toko'!$E:$E,0)),0)</f>
        <v>1301399</v>
      </c>
      <c r="I3807" s="42" t="s">
        <v>111</v>
      </c>
      <c r="J3807" s="56" t="s">
        <v>206</v>
      </c>
      <c r="K3807" s="40" t="s">
        <v>15</v>
      </c>
      <c r="L3807" s="26">
        <v>3083</v>
      </c>
      <c r="M3807" s="26">
        <v>80</v>
      </c>
      <c r="N3807" s="25">
        <f t="shared" si="119"/>
        <v>246640</v>
      </c>
      <c r="O3807" s="56"/>
    </row>
    <row r="3808" spans="1:15" hidden="1" x14ac:dyDescent="0.3">
      <c r="A3808" s="26">
        <v>33</v>
      </c>
      <c r="B3808" s="20" t="str">
        <f t="shared" si="118"/>
        <v>AUG</v>
      </c>
      <c r="C3808" s="21">
        <v>46250</v>
      </c>
      <c r="D3808" s="22" t="str">
        <f>IFERROR(INDEX('Kode Outlet dan Target Toko'!$A:$A,MATCH($I3808,'Kode Outlet dan Target Toko'!$E:$E,0)),"")</f>
        <v>GRSM 5</v>
      </c>
      <c r="E3808" s="20" t="str">
        <f>IFERROR(VLOOKUP(I3808,KET!$B:$F,4,0),"")</f>
        <v>SUPRIYATI</v>
      </c>
      <c r="F3808" s="20" t="str">
        <f>IFERROR(VLOOKUP(I3808,KET!$B:$F,5,0),"")</f>
        <v>GMM</v>
      </c>
      <c r="G3808" s="20">
        <f>IFERROR(INDEX('Kode Outlet dan Target Toko'!$C:$C,MATCH($I3808,'Kode Outlet dan Target Toko'!$E:$E,0)),0)</f>
        <v>103274</v>
      </c>
      <c r="H3808" s="20">
        <f>IFERROR(INDEX('Kode Outlet dan Target Toko'!$D:$D,MATCH($I3808,'Kode Outlet dan Target Toko'!$E:$E,0)),0)</f>
        <v>1301399</v>
      </c>
      <c r="I3808" s="42" t="s">
        <v>111</v>
      </c>
      <c r="J3808" s="56" t="s">
        <v>206</v>
      </c>
      <c r="K3808" s="40" t="s">
        <v>14</v>
      </c>
      <c r="L3808" s="26">
        <v>3083</v>
      </c>
      <c r="M3808" s="26">
        <v>80</v>
      </c>
      <c r="N3808" s="25">
        <f t="shared" si="119"/>
        <v>246640</v>
      </c>
      <c r="O3808" s="56"/>
    </row>
    <row r="3809" spans="1:15" hidden="1" x14ac:dyDescent="0.3">
      <c r="A3809" s="26">
        <v>33</v>
      </c>
      <c r="B3809" s="20" t="str">
        <f t="shared" si="118"/>
        <v>AUG</v>
      </c>
      <c r="C3809" s="21">
        <v>46250</v>
      </c>
      <c r="D3809" s="22" t="str">
        <f>IFERROR(INDEX('Kode Outlet dan Target Toko'!$A:$A,MATCH($I3809,'Kode Outlet dan Target Toko'!$E:$E,0)),"")</f>
        <v>GRSM 5</v>
      </c>
      <c r="E3809" s="20" t="str">
        <f>IFERROR(VLOOKUP(I3809,KET!$B:$F,4,0),"")</f>
        <v>SUPRIYATI</v>
      </c>
      <c r="F3809" s="20" t="str">
        <f>IFERROR(VLOOKUP(I3809,KET!$B:$F,5,0),"")</f>
        <v>GMM</v>
      </c>
      <c r="G3809" s="20">
        <f>IFERROR(INDEX('Kode Outlet dan Target Toko'!$C:$C,MATCH($I3809,'Kode Outlet dan Target Toko'!$E:$E,0)),0)</f>
        <v>103274</v>
      </c>
      <c r="H3809" s="20">
        <f>IFERROR(INDEX('Kode Outlet dan Target Toko'!$D:$D,MATCH($I3809,'Kode Outlet dan Target Toko'!$E:$E,0)),0)</f>
        <v>1301399</v>
      </c>
      <c r="I3809" s="42" t="s">
        <v>111</v>
      </c>
      <c r="J3809" s="56" t="s">
        <v>206</v>
      </c>
      <c r="K3809" s="40" t="s">
        <v>13</v>
      </c>
      <c r="L3809" s="26">
        <v>3083</v>
      </c>
      <c r="M3809" s="26">
        <v>4</v>
      </c>
      <c r="N3809" s="25">
        <f t="shared" si="119"/>
        <v>12332</v>
      </c>
      <c r="O3809" s="56"/>
    </row>
    <row r="3810" spans="1:15" hidden="1" x14ac:dyDescent="0.3">
      <c r="A3810" s="26">
        <v>33</v>
      </c>
      <c r="B3810" s="20" t="str">
        <f t="shared" si="118"/>
        <v>AUG</v>
      </c>
      <c r="C3810" s="21">
        <v>46250</v>
      </c>
      <c r="D3810" s="22" t="str">
        <f>IFERROR(INDEX('Kode Outlet dan Target Toko'!$A:$A,MATCH($I3810,'Kode Outlet dan Target Toko'!$E:$E,0)),"")</f>
        <v>GRSM 5</v>
      </c>
      <c r="E3810" s="20" t="str">
        <f>IFERROR(VLOOKUP(I3810,KET!$B:$F,4,0),"")</f>
        <v>SUPRIYATI</v>
      </c>
      <c r="F3810" s="20" t="str">
        <f>IFERROR(VLOOKUP(I3810,KET!$B:$F,5,0),"")</f>
        <v>GMM</v>
      </c>
      <c r="G3810" s="20">
        <f>IFERROR(INDEX('Kode Outlet dan Target Toko'!$C:$C,MATCH($I3810,'Kode Outlet dan Target Toko'!$E:$E,0)),0)</f>
        <v>103274</v>
      </c>
      <c r="H3810" s="20">
        <f>IFERROR(INDEX('Kode Outlet dan Target Toko'!$D:$D,MATCH($I3810,'Kode Outlet dan Target Toko'!$E:$E,0)),0)</f>
        <v>1301399</v>
      </c>
      <c r="I3810" s="42" t="s">
        <v>111</v>
      </c>
      <c r="J3810" s="56" t="s">
        <v>206</v>
      </c>
      <c r="K3810" s="40" t="s">
        <v>16</v>
      </c>
      <c r="L3810" s="26">
        <v>3083</v>
      </c>
      <c r="M3810" s="26">
        <v>220</v>
      </c>
      <c r="N3810" s="25">
        <f t="shared" si="119"/>
        <v>678260</v>
      </c>
      <c r="O3810" s="56">
        <v>160</v>
      </c>
    </row>
    <row r="3811" spans="1:15" hidden="1" x14ac:dyDescent="0.3">
      <c r="A3811" s="26">
        <v>33</v>
      </c>
      <c r="B3811" s="20" t="str">
        <f t="shared" si="118"/>
        <v>AUG</v>
      </c>
      <c r="C3811" s="21">
        <v>46250</v>
      </c>
      <c r="D3811" s="22" t="str">
        <f>IFERROR(INDEX('Kode Outlet dan Target Toko'!$A:$A,MATCH($I3811,'Kode Outlet dan Target Toko'!$E:$E,0)),"")</f>
        <v>GRSM 5</v>
      </c>
      <c r="E3811" s="20" t="str">
        <f>IFERROR(VLOOKUP(I3811,KET!$B:$F,4,0),"")</f>
        <v>SUPRIYATI</v>
      </c>
      <c r="F3811" s="20" t="str">
        <f>IFERROR(VLOOKUP(I3811,KET!$B:$F,5,0),"")</f>
        <v>GMM</v>
      </c>
      <c r="G3811" s="20">
        <f>IFERROR(INDEX('Kode Outlet dan Target Toko'!$C:$C,MATCH($I3811,'Kode Outlet dan Target Toko'!$E:$E,0)),0)</f>
        <v>211050</v>
      </c>
      <c r="H3811" s="20">
        <f>IFERROR(INDEX('Kode Outlet dan Target Toko'!$D:$D,MATCH($I3811,'Kode Outlet dan Target Toko'!$E:$E,0)),0)</f>
        <v>2910733</v>
      </c>
      <c r="I3811" s="42" t="s">
        <v>93</v>
      </c>
      <c r="J3811" s="56" t="s">
        <v>226</v>
      </c>
      <c r="K3811" s="40" t="s">
        <v>15</v>
      </c>
      <c r="L3811" s="26">
        <v>3000</v>
      </c>
      <c r="M3811" s="26">
        <v>354</v>
      </c>
      <c r="N3811" s="25">
        <f t="shared" si="119"/>
        <v>1062000</v>
      </c>
      <c r="O3811" s="56"/>
    </row>
    <row r="3812" spans="1:15" hidden="1" x14ac:dyDescent="0.3">
      <c r="A3812" s="26">
        <v>33</v>
      </c>
      <c r="B3812" s="20" t="str">
        <f t="shared" si="118"/>
        <v>AUG</v>
      </c>
      <c r="C3812" s="21">
        <v>46250</v>
      </c>
      <c r="D3812" s="22" t="str">
        <f>IFERROR(INDEX('Kode Outlet dan Target Toko'!$A:$A,MATCH($I3812,'Kode Outlet dan Target Toko'!$E:$E,0)),"")</f>
        <v>GRSM 5</v>
      </c>
      <c r="E3812" s="20" t="str">
        <f>IFERROR(VLOOKUP(I3812,KET!$B:$F,4,0),"")</f>
        <v>SUPRIYATI</v>
      </c>
      <c r="F3812" s="20" t="str">
        <f>IFERROR(VLOOKUP(I3812,KET!$B:$F,5,0),"")</f>
        <v>GMM</v>
      </c>
      <c r="G3812" s="20">
        <f>IFERROR(INDEX('Kode Outlet dan Target Toko'!$C:$C,MATCH($I3812,'Kode Outlet dan Target Toko'!$E:$E,0)),0)</f>
        <v>211050</v>
      </c>
      <c r="H3812" s="20">
        <f>IFERROR(INDEX('Kode Outlet dan Target Toko'!$D:$D,MATCH($I3812,'Kode Outlet dan Target Toko'!$E:$E,0)),0)</f>
        <v>2910733</v>
      </c>
      <c r="I3812" s="42" t="s">
        <v>93</v>
      </c>
      <c r="J3812" s="56" t="s">
        <v>226</v>
      </c>
      <c r="K3812" s="40" t="s">
        <v>14</v>
      </c>
      <c r="L3812" s="26">
        <v>3000</v>
      </c>
      <c r="M3812" s="26">
        <v>36</v>
      </c>
      <c r="N3812" s="25">
        <f t="shared" si="119"/>
        <v>108000</v>
      </c>
      <c r="O3812" s="56"/>
    </row>
    <row r="3813" spans="1:15" hidden="1" x14ac:dyDescent="0.3">
      <c r="A3813" s="26">
        <v>33</v>
      </c>
      <c r="B3813" s="20" t="str">
        <f t="shared" si="118"/>
        <v>AUG</v>
      </c>
      <c r="C3813" s="21">
        <v>46250</v>
      </c>
      <c r="D3813" s="22" t="str">
        <f>IFERROR(INDEX('Kode Outlet dan Target Toko'!$A:$A,MATCH($I3813,'Kode Outlet dan Target Toko'!$E:$E,0)),"")</f>
        <v>GRSM 5</v>
      </c>
      <c r="E3813" s="20" t="str">
        <f>IFERROR(VLOOKUP(I3813,KET!$B:$F,4,0),"")</f>
        <v>SUPRIYATI</v>
      </c>
      <c r="F3813" s="20" t="str">
        <f>IFERROR(VLOOKUP(I3813,KET!$B:$F,5,0),"")</f>
        <v>GMM</v>
      </c>
      <c r="G3813" s="20">
        <f>IFERROR(INDEX('Kode Outlet dan Target Toko'!$C:$C,MATCH($I3813,'Kode Outlet dan Target Toko'!$E:$E,0)),0)</f>
        <v>211050</v>
      </c>
      <c r="H3813" s="20">
        <f>IFERROR(INDEX('Kode Outlet dan Target Toko'!$D:$D,MATCH($I3813,'Kode Outlet dan Target Toko'!$E:$E,0)),0)</f>
        <v>2910733</v>
      </c>
      <c r="I3813" s="42" t="s">
        <v>93</v>
      </c>
      <c r="J3813" s="56" t="s">
        <v>226</v>
      </c>
      <c r="K3813" s="40" t="s">
        <v>13</v>
      </c>
      <c r="L3813" s="26">
        <v>3000</v>
      </c>
      <c r="M3813" s="26">
        <v>237</v>
      </c>
      <c r="N3813" s="25">
        <f t="shared" si="119"/>
        <v>711000</v>
      </c>
      <c r="O3813" s="56"/>
    </row>
    <row r="3814" spans="1:15" hidden="1" x14ac:dyDescent="0.3">
      <c r="A3814" s="26">
        <v>33</v>
      </c>
      <c r="B3814" s="20" t="str">
        <f t="shared" si="118"/>
        <v>AUG</v>
      </c>
      <c r="C3814" s="21">
        <v>46250</v>
      </c>
      <c r="D3814" s="22" t="str">
        <f>IFERROR(INDEX('Kode Outlet dan Target Toko'!$A:$A,MATCH($I3814,'Kode Outlet dan Target Toko'!$E:$E,0)),"")</f>
        <v>GRSM 5</v>
      </c>
      <c r="E3814" s="20" t="str">
        <f>IFERROR(VLOOKUP(I3814,KET!$B:$F,4,0),"")</f>
        <v>SUPRIYATI</v>
      </c>
      <c r="F3814" s="20" t="str">
        <f>IFERROR(VLOOKUP(I3814,KET!$B:$F,5,0),"")</f>
        <v>GMM</v>
      </c>
      <c r="G3814" s="20">
        <f>IFERROR(INDEX('Kode Outlet dan Target Toko'!$C:$C,MATCH($I3814,'Kode Outlet dan Target Toko'!$E:$E,0)),0)</f>
        <v>211050</v>
      </c>
      <c r="H3814" s="20">
        <f>IFERROR(INDEX('Kode Outlet dan Target Toko'!$D:$D,MATCH($I3814,'Kode Outlet dan Target Toko'!$E:$E,0)),0)</f>
        <v>2910733</v>
      </c>
      <c r="I3814" s="42" t="s">
        <v>93</v>
      </c>
      <c r="J3814" s="56" t="s">
        <v>226</v>
      </c>
      <c r="K3814" s="40" t="s">
        <v>16</v>
      </c>
      <c r="L3814" s="26">
        <v>3000</v>
      </c>
      <c r="M3814" s="26">
        <v>366</v>
      </c>
      <c r="N3814" s="25">
        <f t="shared" si="119"/>
        <v>1098000</v>
      </c>
      <c r="O3814" s="56">
        <v>160</v>
      </c>
    </row>
    <row r="3815" spans="1:15" hidden="1" x14ac:dyDescent="0.3">
      <c r="A3815" s="26">
        <v>33</v>
      </c>
      <c r="B3815" s="20" t="str">
        <f t="shared" si="118"/>
        <v>AUG</v>
      </c>
      <c r="C3815" s="21">
        <v>46250</v>
      </c>
      <c r="D3815" s="22" t="str">
        <f>IFERROR(INDEX('Kode Outlet dan Target Toko'!$A:$A,MATCH($I3815,'Kode Outlet dan Target Toko'!$E:$E,0)),"")</f>
        <v>GRSM 5</v>
      </c>
      <c r="E3815" s="20" t="str">
        <f>IFERROR(VLOOKUP(I3815,KET!$B:$F,4,0),"")</f>
        <v>SUPRIYATI</v>
      </c>
      <c r="F3815" s="20" t="str">
        <f>IFERROR(VLOOKUP(I3815,KET!$B:$F,5,0),"")</f>
        <v>GMM</v>
      </c>
      <c r="G3815" s="20">
        <f>IFERROR(INDEX('Kode Outlet dan Target Toko'!$C:$C,MATCH($I3815,'Kode Outlet dan Target Toko'!$E:$E,0)),0)</f>
        <v>211050</v>
      </c>
      <c r="H3815" s="20">
        <f>IFERROR(INDEX('Kode Outlet dan Target Toko'!$D:$D,MATCH($I3815,'Kode Outlet dan Target Toko'!$E:$E,0)),0)</f>
        <v>2910733</v>
      </c>
      <c r="I3815" s="42" t="s">
        <v>93</v>
      </c>
      <c r="J3815" s="56" t="s">
        <v>227</v>
      </c>
      <c r="K3815" s="40" t="s">
        <v>15</v>
      </c>
      <c r="L3815" s="26">
        <v>3000</v>
      </c>
      <c r="M3815" s="26">
        <v>354</v>
      </c>
      <c r="N3815" s="25">
        <f t="shared" si="119"/>
        <v>1062000</v>
      </c>
      <c r="O3815" s="56"/>
    </row>
    <row r="3816" spans="1:15" hidden="1" x14ac:dyDescent="0.3">
      <c r="A3816" s="26">
        <v>33</v>
      </c>
      <c r="B3816" s="20" t="str">
        <f t="shared" si="118"/>
        <v>AUG</v>
      </c>
      <c r="C3816" s="21">
        <v>46250</v>
      </c>
      <c r="D3816" s="22" t="str">
        <f>IFERROR(INDEX('Kode Outlet dan Target Toko'!$A:$A,MATCH($I3816,'Kode Outlet dan Target Toko'!$E:$E,0)),"")</f>
        <v>GRSM 5</v>
      </c>
      <c r="E3816" s="20" t="str">
        <f>IFERROR(VLOOKUP(I3816,KET!$B:$F,4,0),"")</f>
        <v>SUPRIYATI</v>
      </c>
      <c r="F3816" s="20" t="str">
        <f>IFERROR(VLOOKUP(I3816,KET!$B:$F,5,0),"")</f>
        <v>GMM</v>
      </c>
      <c r="G3816" s="20">
        <f>IFERROR(INDEX('Kode Outlet dan Target Toko'!$C:$C,MATCH($I3816,'Kode Outlet dan Target Toko'!$E:$E,0)),0)</f>
        <v>211050</v>
      </c>
      <c r="H3816" s="20">
        <f>IFERROR(INDEX('Kode Outlet dan Target Toko'!$D:$D,MATCH($I3816,'Kode Outlet dan Target Toko'!$E:$E,0)),0)</f>
        <v>2910733</v>
      </c>
      <c r="I3816" s="42" t="s">
        <v>93</v>
      </c>
      <c r="J3816" s="56" t="s">
        <v>227</v>
      </c>
      <c r="K3816" s="40" t="s">
        <v>14</v>
      </c>
      <c r="L3816" s="26">
        <v>3000</v>
      </c>
      <c r="M3816" s="26">
        <v>36</v>
      </c>
      <c r="N3816" s="25">
        <f t="shared" si="119"/>
        <v>108000</v>
      </c>
      <c r="O3816" s="56"/>
    </row>
    <row r="3817" spans="1:15" hidden="1" x14ac:dyDescent="0.3">
      <c r="A3817" s="26">
        <v>33</v>
      </c>
      <c r="B3817" s="20" t="str">
        <f t="shared" si="118"/>
        <v>AUG</v>
      </c>
      <c r="C3817" s="21">
        <v>46250</v>
      </c>
      <c r="D3817" s="22" t="str">
        <f>IFERROR(INDEX('Kode Outlet dan Target Toko'!$A:$A,MATCH($I3817,'Kode Outlet dan Target Toko'!$E:$E,0)),"")</f>
        <v>GRSM 5</v>
      </c>
      <c r="E3817" s="20" t="str">
        <f>IFERROR(VLOOKUP(I3817,KET!$B:$F,4,0),"")</f>
        <v>SUPRIYATI</v>
      </c>
      <c r="F3817" s="20" t="str">
        <f>IFERROR(VLOOKUP(I3817,KET!$B:$F,5,0),"")</f>
        <v>GMM</v>
      </c>
      <c r="G3817" s="20">
        <f>IFERROR(INDEX('Kode Outlet dan Target Toko'!$C:$C,MATCH($I3817,'Kode Outlet dan Target Toko'!$E:$E,0)),0)</f>
        <v>211050</v>
      </c>
      <c r="H3817" s="20">
        <f>IFERROR(INDEX('Kode Outlet dan Target Toko'!$D:$D,MATCH($I3817,'Kode Outlet dan Target Toko'!$E:$E,0)),0)</f>
        <v>2910733</v>
      </c>
      <c r="I3817" s="42" t="s">
        <v>93</v>
      </c>
      <c r="J3817" s="56" t="s">
        <v>227</v>
      </c>
      <c r="K3817" s="40" t="s">
        <v>13</v>
      </c>
      <c r="L3817" s="26">
        <v>3000</v>
      </c>
      <c r="M3817" s="26">
        <v>237</v>
      </c>
      <c r="N3817" s="25">
        <f t="shared" si="119"/>
        <v>711000</v>
      </c>
      <c r="O3817" s="56"/>
    </row>
    <row r="3818" spans="1:15" hidden="1" x14ac:dyDescent="0.3">
      <c r="A3818" s="26">
        <v>33</v>
      </c>
      <c r="B3818" s="20" t="str">
        <f t="shared" si="118"/>
        <v>AUG</v>
      </c>
      <c r="C3818" s="21">
        <v>46250</v>
      </c>
      <c r="D3818" s="22" t="str">
        <f>IFERROR(INDEX('Kode Outlet dan Target Toko'!$A:$A,MATCH($I3818,'Kode Outlet dan Target Toko'!$E:$E,0)),"")</f>
        <v>GRSM 5</v>
      </c>
      <c r="E3818" s="20" t="str">
        <f>IFERROR(VLOOKUP(I3818,KET!$B:$F,4,0),"")</f>
        <v>SUPRIYATI</v>
      </c>
      <c r="F3818" s="20" t="str">
        <f>IFERROR(VLOOKUP(I3818,KET!$B:$F,5,0),"")</f>
        <v>GMM</v>
      </c>
      <c r="G3818" s="20">
        <f>IFERROR(INDEX('Kode Outlet dan Target Toko'!$C:$C,MATCH($I3818,'Kode Outlet dan Target Toko'!$E:$E,0)),0)</f>
        <v>211050</v>
      </c>
      <c r="H3818" s="20">
        <f>IFERROR(INDEX('Kode Outlet dan Target Toko'!$D:$D,MATCH($I3818,'Kode Outlet dan Target Toko'!$E:$E,0)),0)</f>
        <v>2910733</v>
      </c>
      <c r="I3818" s="42" t="s">
        <v>93</v>
      </c>
      <c r="J3818" s="56" t="s">
        <v>227</v>
      </c>
      <c r="K3818" s="40" t="s">
        <v>16</v>
      </c>
      <c r="L3818" s="26">
        <v>3000</v>
      </c>
      <c r="M3818" s="26">
        <v>366</v>
      </c>
      <c r="N3818" s="25">
        <f t="shared" si="119"/>
        <v>1098000</v>
      </c>
      <c r="O3818" s="56">
        <v>160</v>
      </c>
    </row>
    <row r="3819" spans="1:15" hidden="1" x14ac:dyDescent="0.3">
      <c r="A3819" s="26">
        <v>33</v>
      </c>
      <c r="B3819" s="20" t="str">
        <f t="shared" si="118"/>
        <v>AUG</v>
      </c>
      <c r="C3819" s="21">
        <v>46250</v>
      </c>
      <c r="D3819" s="22" t="str">
        <f>IFERROR(INDEX('Kode Outlet dan Target Toko'!$A:$A,MATCH($I3819,'Kode Outlet dan Target Toko'!$E:$E,0)),"")</f>
        <v>GRSM 5</v>
      </c>
      <c r="E3819" s="20" t="str">
        <f>IFERROR(VLOOKUP(I3819,KET!$B:$F,4,0),"")</f>
        <v>SUPRIYATI</v>
      </c>
      <c r="F3819" s="20" t="str">
        <f>IFERROR(VLOOKUP(I3819,KET!$B:$F,5,0),"")</f>
        <v>GMM</v>
      </c>
      <c r="G3819" s="20">
        <f>IFERROR(INDEX('Kode Outlet dan Target Toko'!$C:$C,MATCH($I3819,'Kode Outlet dan Target Toko'!$E:$E,0)),0)</f>
        <v>0</v>
      </c>
      <c r="H3819" s="20">
        <f>IFERROR(INDEX('Kode Outlet dan Target Toko'!$D:$D,MATCH($I3819,'Kode Outlet dan Target Toko'!$E:$E,0)),0)</f>
        <v>0</v>
      </c>
      <c r="I3819" s="42" t="s">
        <v>117</v>
      </c>
      <c r="J3819" s="56" t="s">
        <v>228</v>
      </c>
      <c r="K3819" s="40" t="s">
        <v>15</v>
      </c>
      <c r="L3819" s="26">
        <v>3200</v>
      </c>
      <c r="M3819" s="26">
        <v>46</v>
      </c>
      <c r="N3819" s="25">
        <f t="shared" si="119"/>
        <v>147200</v>
      </c>
      <c r="O3819" s="56"/>
    </row>
    <row r="3820" spans="1:15" hidden="1" x14ac:dyDescent="0.3">
      <c r="A3820" s="26">
        <v>33</v>
      </c>
      <c r="B3820" s="20" t="str">
        <f t="shared" si="118"/>
        <v>AUG</v>
      </c>
      <c r="C3820" s="21">
        <v>46250</v>
      </c>
      <c r="D3820" s="22" t="str">
        <f>IFERROR(INDEX('Kode Outlet dan Target Toko'!$A:$A,MATCH($I3820,'Kode Outlet dan Target Toko'!$E:$E,0)),"")</f>
        <v>GRSM 5</v>
      </c>
      <c r="E3820" s="20" t="str">
        <f>IFERROR(VLOOKUP(I3820,KET!$B:$F,4,0),"")</f>
        <v>SUPRIYATI</v>
      </c>
      <c r="F3820" s="20" t="str">
        <f>IFERROR(VLOOKUP(I3820,KET!$B:$F,5,0),"")</f>
        <v>GMM</v>
      </c>
      <c r="G3820" s="20">
        <f>IFERROR(INDEX('Kode Outlet dan Target Toko'!$C:$C,MATCH($I3820,'Kode Outlet dan Target Toko'!$E:$E,0)),0)</f>
        <v>0</v>
      </c>
      <c r="H3820" s="20">
        <f>IFERROR(INDEX('Kode Outlet dan Target Toko'!$D:$D,MATCH($I3820,'Kode Outlet dan Target Toko'!$E:$E,0)),0)</f>
        <v>0</v>
      </c>
      <c r="I3820" s="42" t="s">
        <v>117</v>
      </c>
      <c r="J3820" s="56" t="s">
        <v>228</v>
      </c>
      <c r="K3820" s="40" t="s">
        <v>14</v>
      </c>
      <c r="L3820" s="26">
        <v>3200</v>
      </c>
      <c r="M3820" s="26">
        <v>39</v>
      </c>
      <c r="N3820" s="25">
        <f t="shared" si="119"/>
        <v>124800</v>
      </c>
      <c r="O3820" s="56"/>
    </row>
    <row r="3821" spans="1:15" hidden="1" x14ac:dyDescent="0.3">
      <c r="A3821" s="26">
        <v>33</v>
      </c>
      <c r="B3821" s="20" t="str">
        <f t="shared" si="118"/>
        <v>AUG</v>
      </c>
      <c r="C3821" s="21">
        <v>46250</v>
      </c>
      <c r="D3821" s="22" t="str">
        <f>IFERROR(INDEX('Kode Outlet dan Target Toko'!$A:$A,MATCH($I3821,'Kode Outlet dan Target Toko'!$E:$E,0)),"")</f>
        <v>GRSM 5</v>
      </c>
      <c r="E3821" s="20" t="str">
        <f>IFERROR(VLOOKUP(I3821,KET!$B:$F,4,0),"")</f>
        <v>SUPRIYATI</v>
      </c>
      <c r="F3821" s="20" t="str">
        <f>IFERROR(VLOOKUP(I3821,KET!$B:$F,5,0),"")</f>
        <v>GMM</v>
      </c>
      <c r="G3821" s="20">
        <f>IFERROR(INDEX('Kode Outlet dan Target Toko'!$C:$C,MATCH($I3821,'Kode Outlet dan Target Toko'!$E:$E,0)),0)</f>
        <v>0</v>
      </c>
      <c r="H3821" s="20">
        <f>IFERROR(INDEX('Kode Outlet dan Target Toko'!$D:$D,MATCH($I3821,'Kode Outlet dan Target Toko'!$E:$E,0)),0)</f>
        <v>0</v>
      </c>
      <c r="I3821" s="42" t="s">
        <v>117</v>
      </c>
      <c r="J3821" s="56" t="s">
        <v>228</v>
      </c>
      <c r="K3821" s="40" t="s">
        <v>13</v>
      </c>
      <c r="L3821" s="26">
        <v>3200</v>
      </c>
      <c r="M3821" s="26">
        <v>43</v>
      </c>
      <c r="N3821" s="25">
        <f t="shared" si="119"/>
        <v>137600</v>
      </c>
      <c r="O3821" s="56"/>
    </row>
    <row r="3822" spans="1:15" hidden="1" x14ac:dyDescent="0.3">
      <c r="A3822" s="26">
        <v>33</v>
      </c>
      <c r="B3822" s="20" t="str">
        <f t="shared" si="118"/>
        <v>AUG</v>
      </c>
      <c r="C3822" s="21">
        <v>46250</v>
      </c>
      <c r="D3822" s="22" t="str">
        <f>IFERROR(INDEX('Kode Outlet dan Target Toko'!$A:$A,MATCH($I3822,'Kode Outlet dan Target Toko'!$E:$E,0)),"")</f>
        <v>GRSM 5</v>
      </c>
      <c r="E3822" s="20" t="str">
        <f>IFERROR(VLOOKUP(I3822,KET!$B:$F,4,0),"")</f>
        <v>SUPRIYATI</v>
      </c>
      <c r="F3822" s="20" t="str">
        <f>IFERROR(VLOOKUP(I3822,KET!$B:$F,5,0),"")</f>
        <v>GMM</v>
      </c>
      <c r="G3822" s="20">
        <f>IFERROR(INDEX('Kode Outlet dan Target Toko'!$C:$C,MATCH($I3822,'Kode Outlet dan Target Toko'!$E:$E,0)),0)</f>
        <v>0</v>
      </c>
      <c r="H3822" s="20">
        <f>IFERROR(INDEX('Kode Outlet dan Target Toko'!$D:$D,MATCH($I3822,'Kode Outlet dan Target Toko'!$E:$E,0)),0)</f>
        <v>0</v>
      </c>
      <c r="I3822" s="42" t="s">
        <v>117</v>
      </c>
      <c r="J3822" s="56" t="s">
        <v>228</v>
      </c>
      <c r="K3822" s="40" t="s">
        <v>16</v>
      </c>
      <c r="L3822" s="26">
        <v>3200</v>
      </c>
      <c r="M3822" s="26">
        <v>98</v>
      </c>
      <c r="N3822" s="25">
        <f t="shared" si="119"/>
        <v>313600</v>
      </c>
      <c r="O3822" s="56">
        <v>160</v>
      </c>
    </row>
    <row r="3823" spans="1:15" hidden="1" x14ac:dyDescent="0.3">
      <c r="A3823" s="26">
        <v>33</v>
      </c>
      <c r="B3823" s="20" t="str">
        <f t="shared" si="118"/>
        <v>AUG</v>
      </c>
      <c r="C3823" s="21">
        <v>46250</v>
      </c>
      <c r="D3823" s="22" t="str">
        <f>IFERROR(INDEX('Kode Outlet dan Target Toko'!$A:$A,MATCH($I3823,'Kode Outlet dan Target Toko'!$E:$E,0)),"")</f>
        <v>GRSM 5</v>
      </c>
      <c r="E3823" s="20" t="str">
        <f>IFERROR(VLOOKUP(I3823,KET!$B:$F,4,0),"")</f>
        <v>SUPRIYATI</v>
      </c>
      <c r="F3823" s="20" t="str">
        <f>IFERROR(VLOOKUP(I3823,KET!$B:$F,5,0),"")</f>
        <v>GMM</v>
      </c>
      <c r="G3823" s="20">
        <f>IFERROR(INDEX('Kode Outlet dan Target Toko'!$C:$C,MATCH($I3823,'Kode Outlet dan Target Toko'!$E:$E,0)),0)</f>
        <v>0</v>
      </c>
      <c r="H3823" s="20">
        <f>IFERROR(INDEX('Kode Outlet dan Target Toko'!$D:$D,MATCH($I3823,'Kode Outlet dan Target Toko'!$E:$E,0)),0)</f>
        <v>0</v>
      </c>
      <c r="I3823" s="42" t="s">
        <v>117</v>
      </c>
      <c r="J3823" s="56" t="s">
        <v>229</v>
      </c>
      <c r="K3823" s="40" t="s">
        <v>15</v>
      </c>
      <c r="L3823" s="26">
        <v>3200</v>
      </c>
      <c r="M3823" s="26">
        <v>46</v>
      </c>
      <c r="N3823" s="25">
        <f t="shared" si="119"/>
        <v>147200</v>
      </c>
      <c r="O3823" s="56"/>
    </row>
    <row r="3824" spans="1:15" hidden="1" x14ac:dyDescent="0.3">
      <c r="A3824" s="26">
        <v>33</v>
      </c>
      <c r="B3824" s="20" t="str">
        <f t="shared" si="118"/>
        <v>AUG</v>
      </c>
      <c r="C3824" s="21">
        <v>46250</v>
      </c>
      <c r="D3824" s="22" t="str">
        <f>IFERROR(INDEX('Kode Outlet dan Target Toko'!$A:$A,MATCH($I3824,'Kode Outlet dan Target Toko'!$E:$E,0)),"")</f>
        <v>GRSM 5</v>
      </c>
      <c r="E3824" s="20" t="str">
        <f>IFERROR(VLOOKUP(I3824,KET!$B:$F,4,0),"")</f>
        <v>SUPRIYATI</v>
      </c>
      <c r="F3824" s="20" t="str">
        <f>IFERROR(VLOOKUP(I3824,KET!$B:$F,5,0),"")</f>
        <v>GMM</v>
      </c>
      <c r="G3824" s="20">
        <f>IFERROR(INDEX('Kode Outlet dan Target Toko'!$C:$C,MATCH($I3824,'Kode Outlet dan Target Toko'!$E:$E,0)),0)</f>
        <v>0</v>
      </c>
      <c r="H3824" s="20">
        <f>IFERROR(INDEX('Kode Outlet dan Target Toko'!$D:$D,MATCH($I3824,'Kode Outlet dan Target Toko'!$E:$E,0)),0)</f>
        <v>0</v>
      </c>
      <c r="I3824" s="42" t="s">
        <v>117</v>
      </c>
      <c r="J3824" s="56" t="s">
        <v>229</v>
      </c>
      <c r="K3824" s="40" t="s">
        <v>14</v>
      </c>
      <c r="L3824" s="26">
        <v>3200</v>
      </c>
      <c r="M3824" s="26">
        <v>39</v>
      </c>
      <c r="N3824" s="25">
        <f t="shared" si="119"/>
        <v>124800</v>
      </c>
      <c r="O3824" s="56"/>
    </row>
    <row r="3825" spans="1:15" hidden="1" x14ac:dyDescent="0.3">
      <c r="A3825" s="26">
        <v>33</v>
      </c>
      <c r="B3825" s="20" t="str">
        <f t="shared" si="118"/>
        <v>AUG</v>
      </c>
      <c r="C3825" s="21">
        <v>46250</v>
      </c>
      <c r="D3825" s="22" t="str">
        <f>IFERROR(INDEX('Kode Outlet dan Target Toko'!$A:$A,MATCH($I3825,'Kode Outlet dan Target Toko'!$E:$E,0)),"")</f>
        <v>GRSM 5</v>
      </c>
      <c r="E3825" s="20" t="str">
        <f>IFERROR(VLOOKUP(I3825,KET!$B:$F,4,0),"")</f>
        <v>SUPRIYATI</v>
      </c>
      <c r="F3825" s="20" t="str">
        <f>IFERROR(VLOOKUP(I3825,KET!$B:$F,5,0),"")</f>
        <v>GMM</v>
      </c>
      <c r="G3825" s="20">
        <f>IFERROR(INDEX('Kode Outlet dan Target Toko'!$C:$C,MATCH($I3825,'Kode Outlet dan Target Toko'!$E:$E,0)),0)</f>
        <v>0</v>
      </c>
      <c r="H3825" s="20">
        <f>IFERROR(INDEX('Kode Outlet dan Target Toko'!$D:$D,MATCH($I3825,'Kode Outlet dan Target Toko'!$E:$E,0)),0)</f>
        <v>0</v>
      </c>
      <c r="I3825" s="42" t="s">
        <v>117</v>
      </c>
      <c r="J3825" s="56" t="s">
        <v>229</v>
      </c>
      <c r="K3825" s="40" t="s">
        <v>13</v>
      </c>
      <c r="L3825" s="26">
        <v>3200</v>
      </c>
      <c r="M3825" s="26">
        <v>43</v>
      </c>
      <c r="N3825" s="25">
        <f t="shared" si="119"/>
        <v>137600</v>
      </c>
      <c r="O3825" s="56"/>
    </row>
    <row r="3826" spans="1:15" hidden="1" x14ac:dyDescent="0.3">
      <c r="A3826" s="26">
        <v>33</v>
      </c>
      <c r="B3826" s="20" t="str">
        <f t="shared" si="118"/>
        <v>AUG</v>
      </c>
      <c r="C3826" s="21">
        <v>46250</v>
      </c>
      <c r="D3826" s="22" t="str">
        <f>IFERROR(INDEX('Kode Outlet dan Target Toko'!$A:$A,MATCH($I3826,'Kode Outlet dan Target Toko'!$E:$E,0)),"")</f>
        <v>GRSM 5</v>
      </c>
      <c r="E3826" s="20" t="str">
        <f>IFERROR(VLOOKUP(I3826,KET!$B:$F,4,0),"")</f>
        <v>SUPRIYATI</v>
      </c>
      <c r="F3826" s="20" t="str">
        <f>IFERROR(VLOOKUP(I3826,KET!$B:$F,5,0),"")</f>
        <v>GMM</v>
      </c>
      <c r="G3826" s="20">
        <f>IFERROR(INDEX('Kode Outlet dan Target Toko'!$C:$C,MATCH($I3826,'Kode Outlet dan Target Toko'!$E:$E,0)),0)</f>
        <v>0</v>
      </c>
      <c r="H3826" s="20">
        <f>IFERROR(INDEX('Kode Outlet dan Target Toko'!$D:$D,MATCH($I3826,'Kode Outlet dan Target Toko'!$E:$E,0)),0)</f>
        <v>0</v>
      </c>
      <c r="I3826" s="42" t="s">
        <v>117</v>
      </c>
      <c r="J3826" s="56" t="s">
        <v>229</v>
      </c>
      <c r="K3826" s="40" t="s">
        <v>16</v>
      </c>
      <c r="L3826" s="26">
        <v>3200</v>
      </c>
      <c r="M3826" s="26">
        <v>98</v>
      </c>
      <c r="N3826" s="25">
        <f t="shared" si="119"/>
        <v>313600</v>
      </c>
      <c r="O3826" s="56">
        <v>160</v>
      </c>
    </row>
    <row r="3827" spans="1:15" hidden="1" x14ac:dyDescent="0.3">
      <c r="A3827" s="26">
        <v>33</v>
      </c>
      <c r="B3827" s="20" t="str">
        <f t="shared" si="118"/>
        <v>AUG</v>
      </c>
      <c r="C3827" s="21">
        <v>46250</v>
      </c>
      <c r="D3827" s="22" t="str">
        <f>IFERROR(INDEX('Kode Outlet dan Target Toko'!$A:$A,MATCH($I3827,'Kode Outlet dan Target Toko'!$E:$E,0)),"")</f>
        <v>GRSM 5</v>
      </c>
      <c r="E3827" s="20" t="str">
        <f>IFERROR(VLOOKUP(I3827,KET!$B:$F,4,0),"")</f>
        <v>SUPRIYATI</v>
      </c>
      <c r="F3827" s="20" t="str">
        <f>IFERROR(VLOOKUP(I3827,KET!$B:$F,5,0),"")</f>
        <v>GMM</v>
      </c>
      <c r="G3827" s="20">
        <f>IFERROR(INDEX('Kode Outlet dan Target Toko'!$C:$C,MATCH($I3827,'Kode Outlet dan Target Toko'!$E:$E,0)),0)</f>
        <v>0</v>
      </c>
      <c r="H3827" s="20">
        <f>IFERROR(INDEX('Kode Outlet dan Target Toko'!$D:$D,MATCH($I3827,'Kode Outlet dan Target Toko'!$E:$E,0)),0)</f>
        <v>0</v>
      </c>
      <c r="I3827" s="42" t="s">
        <v>121</v>
      </c>
      <c r="J3827" s="56" t="s">
        <v>239</v>
      </c>
      <c r="K3827" s="40" t="s">
        <v>15</v>
      </c>
      <c r="L3827" s="26">
        <v>3745</v>
      </c>
      <c r="M3827" s="26">
        <v>57</v>
      </c>
      <c r="N3827" s="25">
        <f t="shared" si="119"/>
        <v>213465</v>
      </c>
      <c r="O3827" s="56"/>
    </row>
    <row r="3828" spans="1:15" hidden="1" x14ac:dyDescent="0.3">
      <c r="A3828" s="26">
        <v>33</v>
      </c>
      <c r="B3828" s="20" t="str">
        <f t="shared" si="118"/>
        <v>AUG</v>
      </c>
      <c r="C3828" s="21">
        <v>46250</v>
      </c>
      <c r="D3828" s="22" t="str">
        <f>IFERROR(INDEX('Kode Outlet dan Target Toko'!$A:$A,MATCH($I3828,'Kode Outlet dan Target Toko'!$E:$E,0)),"")</f>
        <v>GRSM 5</v>
      </c>
      <c r="E3828" s="20" t="str">
        <f>IFERROR(VLOOKUP(I3828,KET!$B:$F,4,0),"")</f>
        <v>SUPRIYATI</v>
      </c>
      <c r="F3828" s="20" t="str">
        <f>IFERROR(VLOOKUP(I3828,KET!$B:$F,5,0),"")</f>
        <v>GMM</v>
      </c>
      <c r="G3828" s="20">
        <f>IFERROR(INDEX('Kode Outlet dan Target Toko'!$C:$C,MATCH($I3828,'Kode Outlet dan Target Toko'!$E:$E,0)),0)</f>
        <v>0</v>
      </c>
      <c r="H3828" s="20">
        <f>IFERROR(INDEX('Kode Outlet dan Target Toko'!$D:$D,MATCH($I3828,'Kode Outlet dan Target Toko'!$E:$E,0)),0)</f>
        <v>0</v>
      </c>
      <c r="I3828" s="42" t="s">
        <v>121</v>
      </c>
      <c r="J3828" s="56" t="s">
        <v>239</v>
      </c>
      <c r="K3828" s="40" t="s">
        <v>14</v>
      </c>
      <c r="L3828" s="26">
        <v>3745</v>
      </c>
      <c r="M3828" s="26">
        <v>75</v>
      </c>
      <c r="N3828" s="25">
        <f t="shared" si="119"/>
        <v>280875</v>
      </c>
      <c r="O3828" s="56"/>
    </row>
    <row r="3829" spans="1:15" hidden="1" x14ac:dyDescent="0.3">
      <c r="A3829" s="26">
        <v>33</v>
      </c>
      <c r="B3829" s="20" t="str">
        <f t="shared" si="118"/>
        <v>AUG</v>
      </c>
      <c r="C3829" s="21">
        <v>46250</v>
      </c>
      <c r="D3829" s="22" t="str">
        <f>IFERROR(INDEX('Kode Outlet dan Target Toko'!$A:$A,MATCH($I3829,'Kode Outlet dan Target Toko'!$E:$E,0)),"")</f>
        <v>GRSM 5</v>
      </c>
      <c r="E3829" s="20" t="str">
        <f>IFERROR(VLOOKUP(I3829,KET!$B:$F,4,0),"")</f>
        <v>SUPRIYATI</v>
      </c>
      <c r="F3829" s="20" t="str">
        <f>IFERROR(VLOOKUP(I3829,KET!$B:$F,5,0),"")</f>
        <v>GMM</v>
      </c>
      <c r="G3829" s="20">
        <f>IFERROR(INDEX('Kode Outlet dan Target Toko'!$C:$C,MATCH($I3829,'Kode Outlet dan Target Toko'!$E:$E,0)),0)</f>
        <v>0</v>
      </c>
      <c r="H3829" s="20">
        <f>IFERROR(INDEX('Kode Outlet dan Target Toko'!$D:$D,MATCH($I3829,'Kode Outlet dan Target Toko'!$E:$E,0)),0)</f>
        <v>0</v>
      </c>
      <c r="I3829" s="42" t="s">
        <v>121</v>
      </c>
      <c r="J3829" s="56" t="s">
        <v>239</v>
      </c>
      <c r="K3829" s="40" t="s">
        <v>13</v>
      </c>
      <c r="L3829" s="26">
        <v>3745</v>
      </c>
      <c r="M3829" s="26">
        <v>0</v>
      </c>
      <c r="N3829" s="25">
        <f t="shared" si="119"/>
        <v>0</v>
      </c>
      <c r="O3829" s="56"/>
    </row>
    <row r="3830" spans="1:15" hidden="1" x14ac:dyDescent="0.3">
      <c r="A3830" s="26">
        <v>33</v>
      </c>
      <c r="B3830" s="20" t="str">
        <f t="shared" si="118"/>
        <v>AUG</v>
      </c>
      <c r="C3830" s="21">
        <v>46250</v>
      </c>
      <c r="D3830" s="22" t="str">
        <f>IFERROR(INDEX('Kode Outlet dan Target Toko'!$A:$A,MATCH($I3830,'Kode Outlet dan Target Toko'!$E:$E,0)),"")</f>
        <v>GRSM 5</v>
      </c>
      <c r="E3830" s="20" t="str">
        <f>IFERROR(VLOOKUP(I3830,KET!$B:$F,4,0),"")</f>
        <v>SUPRIYATI</v>
      </c>
      <c r="F3830" s="20" t="str">
        <f>IFERROR(VLOOKUP(I3830,KET!$B:$F,5,0),"")</f>
        <v>GMM</v>
      </c>
      <c r="G3830" s="20">
        <f>IFERROR(INDEX('Kode Outlet dan Target Toko'!$C:$C,MATCH($I3830,'Kode Outlet dan Target Toko'!$E:$E,0)),0)</f>
        <v>0</v>
      </c>
      <c r="H3830" s="20">
        <f>IFERROR(INDEX('Kode Outlet dan Target Toko'!$D:$D,MATCH($I3830,'Kode Outlet dan Target Toko'!$E:$E,0)),0)</f>
        <v>0</v>
      </c>
      <c r="I3830" s="42" t="s">
        <v>121</v>
      </c>
      <c r="J3830" s="56" t="s">
        <v>239</v>
      </c>
      <c r="K3830" s="40" t="s">
        <v>16</v>
      </c>
      <c r="L3830" s="26">
        <v>3745</v>
      </c>
      <c r="M3830" s="26">
        <v>105</v>
      </c>
      <c r="N3830" s="25">
        <f t="shared" si="119"/>
        <v>393225</v>
      </c>
      <c r="O3830" s="56">
        <v>160</v>
      </c>
    </row>
    <row r="3831" spans="1:15" hidden="1" x14ac:dyDescent="0.3">
      <c r="A3831" s="26">
        <v>33</v>
      </c>
      <c r="B3831" s="20" t="str">
        <f t="shared" si="118"/>
        <v>AUG</v>
      </c>
      <c r="C3831" s="21">
        <v>46250</v>
      </c>
      <c r="D3831" s="22" t="str">
        <f>IFERROR(INDEX('Kode Outlet dan Target Toko'!$A:$A,MATCH($I3831,'Kode Outlet dan Target Toko'!$E:$E,0)),"")</f>
        <v>GRSM 5</v>
      </c>
      <c r="E3831" s="20" t="str">
        <f>IFERROR(VLOOKUP(I3831,KET!$B:$F,4,0),"")</f>
        <v>SUPRIYATI</v>
      </c>
      <c r="F3831" s="20" t="str">
        <f>IFERROR(VLOOKUP(I3831,KET!$B:$F,5,0),"")</f>
        <v>GMM</v>
      </c>
      <c r="G3831" s="20">
        <f>IFERROR(INDEX('Kode Outlet dan Target Toko'!$C:$C,MATCH($I3831,'Kode Outlet dan Target Toko'!$E:$E,0)),0)</f>
        <v>0</v>
      </c>
      <c r="H3831" s="20">
        <f>IFERROR(INDEX('Kode Outlet dan Target Toko'!$D:$D,MATCH($I3831,'Kode Outlet dan Target Toko'!$E:$E,0)),0)</f>
        <v>0</v>
      </c>
      <c r="I3831" s="42" t="s">
        <v>121</v>
      </c>
      <c r="J3831" s="56" t="s">
        <v>240</v>
      </c>
      <c r="K3831" s="40" t="s">
        <v>15</v>
      </c>
      <c r="L3831" s="26">
        <v>3745</v>
      </c>
      <c r="M3831" s="26">
        <v>57</v>
      </c>
      <c r="N3831" s="25">
        <f t="shared" si="119"/>
        <v>213465</v>
      </c>
      <c r="O3831" s="56"/>
    </row>
    <row r="3832" spans="1:15" hidden="1" x14ac:dyDescent="0.3">
      <c r="A3832" s="26">
        <v>33</v>
      </c>
      <c r="B3832" s="20" t="str">
        <f t="shared" si="118"/>
        <v>AUG</v>
      </c>
      <c r="C3832" s="21">
        <v>46250</v>
      </c>
      <c r="D3832" s="22" t="str">
        <f>IFERROR(INDEX('Kode Outlet dan Target Toko'!$A:$A,MATCH($I3832,'Kode Outlet dan Target Toko'!$E:$E,0)),"")</f>
        <v>GRSM 5</v>
      </c>
      <c r="E3832" s="20" t="str">
        <f>IFERROR(VLOOKUP(I3832,KET!$B:$F,4,0),"")</f>
        <v>SUPRIYATI</v>
      </c>
      <c r="F3832" s="20" t="str">
        <f>IFERROR(VLOOKUP(I3832,KET!$B:$F,5,0),"")</f>
        <v>GMM</v>
      </c>
      <c r="G3832" s="20">
        <f>IFERROR(INDEX('Kode Outlet dan Target Toko'!$C:$C,MATCH($I3832,'Kode Outlet dan Target Toko'!$E:$E,0)),0)</f>
        <v>0</v>
      </c>
      <c r="H3832" s="20">
        <f>IFERROR(INDEX('Kode Outlet dan Target Toko'!$D:$D,MATCH($I3832,'Kode Outlet dan Target Toko'!$E:$E,0)),0)</f>
        <v>0</v>
      </c>
      <c r="I3832" s="42" t="s">
        <v>121</v>
      </c>
      <c r="J3832" s="56" t="s">
        <v>240</v>
      </c>
      <c r="K3832" s="40" t="s">
        <v>14</v>
      </c>
      <c r="L3832" s="26">
        <v>3745</v>
      </c>
      <c r="M3832" s="26">
        <v>75</v>
      </c>
      <c r="N3832" s="25">
        <f t="shared" si="119"/>
        <v>280875</v>
      </c>
      <c r="O3832" s="56"/>
    </row>
    <row r="3833" spans="1:15" hidden="1" x14ac:dyDescent="0.3">
      <c r="A3833" s="26">
        <v>33</v>
      </c>
      <c r="B3833" s="20" t="str">
        <f t="shared" si="118"/>
        <v>AUG</v>
      </c>
      <c r="C3833" s="21">
        <v>46250</v>
      </c>
      <c r="D3833" s="22" t="str">
        <f>IFERROR(INDEX('Kode Outlet dan Target Toko'!$A:$A,MATCH($I3833,'Kode Outlet dan Target Toko'!$E:$E,0)),"")</f>
        <v>GRSM 5</v>
      </c>
      <c r="E3833" s="20" t="str">
        <f>IFERROR(VLOOKUP(I3833,KET!$B:$F,4,0),"")</f>
        <v>SUPRIYATI</v>
      </c>
      <c r="F3833" s="20" t="str">
        <f>IFERROR(VLOOKUP(I3833,KET!$B:$F,5,0),"")</f>
        <v>GMM</v>
      </c>
      <c r="G3833" s="20">
        <f>IFERROR(INDEX('Kode Outlet dan Target Toko'!$C:$C,MATCH($I3833,'Kode Outlet dan Target Toko'!$E:$E,0)),0)</f>
        <v>0</v>
      </c>
      <c r="H3833" s="20">
        <f>IFERROR(INDEX('Kode Outlet dan Target Toko'!$D:$D,MATCH($I3833,'Kode Outlet dan Target Toko'!$E:$E,0)),0)</f>
        <v>0</v>
      </c>
      <c r="I3833" s="42" t="s">
        <v>121</v>
      </c>
      <c r="J3833" s="56" t="s">
        <v>240</v>
      </c>
      <c r="K3833" s="40" t="s">
        <v>13</v>
      </c>
      <c r="L3833" s="26">
        <v>3745</v>
      </c>
      <c r="M3833" s="26">
        <v>0</v>
      </c>
      <c r="N3833" s="25">
        <f t="shared" si="119"/>
        <v>0</v>
      </c>
      <c r="O3833" s="56"/>
    </row>
    <row r="3834" spans="1:15" hidden="1" x14ac:dyDescent="0.3">
      <c r="A3834" s="26">
        <v>33</v>
      </c>
      <c r="B3834" s="20" t="str">
        <f t="shared" si="118"/>
        <v>AUG</v>
      </c>
      <c r="C3834" s="21">
        <v>46250</v>
      </c>
      <c r="D3834" s="22" t="str">
        <f>IFERROR(INDEX('Kode Outlet dan Target Toko'!$A:$A,MATCH($I3834,'Kode Outlet dan Target Toko'!$E:$E,0)),"")</f>
        <v>GRSM 5</v>
      </c>
      <c r="E3834" s="20" t="str">
        <f>IFERROR(VLOOKUP(I3834,KET!$B:$F,4,0),"")</f>
        <v>SUPRIYATI</v>
      </c>
      <c r="F3834" s="20" t="str">
        <f>IFERROR(VLOOKUP(I3834,KET!$B:$F,5,0),"")</f>
        <v>GMM</v>
      </c>
      <c r="G3834" s="20">
        <f>IFERROR(INDEX('Kode Outlet dan Target Toko'!$C:$C,MATCH($I3834,'Kode Outlet dan Target Toko'!$E:$E,0)),0)</f>
        <v>0</v>
      </c>
      <c r="H3834" s="20">
        <f>IFERROR(INDEX('Kode Outlet dan Target Toko'!$D:$D,MATCH($I3834,'Kode Outlet dan Target Toko'!$E:$E,0)),0)</f>
        <v>0</v>
      </c>
      <c r="I3834" s="42" t="s">
        <v>121</v>
      </c>
      <c r="J3834" s="56" t="s">
        <v>240</v>
      </c>
      <c r="K3834" s="40" t="s">
        <v>16</v>
      </c>
      <c r="L3834" s="26">
        <v>3745</v>
      </c>
      <c r="M3834" s="26">
        <v>105</v>
      </c>
      <c r="N3834" s="25">
        <f t="shared" si="119"/>
        <v>393225</v>
      </c>
      <c r="O3834" s="56">
        <v>160</v>
      </c>
    </row>
    <row r="3835" spans="1:15" hidden="1" x14ac:dyDescent="0.3">
      <c r="A3835" s="26">
        <v>33</v>
      </c>
      <c r="B3835" s="20" t="str">
        <f t="shared" si="118"/>
        <v>AUG</v>
      </c>
      <c r="C3835" s="21">
        <v>46250</v>
      </c>
      <c r="D3835" s="22" t="str">
        <f>IFERROR(INDEX('Kode Outlet dan Target Toko'!$A:$A,MATCH($I3835,'Kode Outlet dan Target Toko'!$E:$E,0)),"")</f>
        <v>GRSM 5</v>
      </c>
      <c r="E3835" s="20" t="str">
        <f>IFERROR(VLOOKUP(I3835,KET!$B:$F,4,0),"")</f>
        <v>SUPRIYATI</v>
      </c>
      <c r="F3835" s="20" t="str">
        <f>IFERROR(VLOOKUP(I3835,KET!$B:$F,5,0),"")</f>
        <v>GMM</v>
      </c>
      <c r="G3835" s="20">
        <f>IFERROR(INDEX('Kode Outlet dan Target Toko'!$C:$C,MATCH($I3835,'Kode Outlet dan Target Toko'!$E:$E,0)),0)</f>
        <v>103222</v>
      </c>
      <c r="H3835" s="20">
        <f>IFERROR(INDEX('Kode Outlet dan Target Toko'!$D:$D,MATCH($I3835,'Kode Outlet dan Target Toko'!$E:$E,0)),0)</f>
        <v>106437</v>
      </c>
      <c r="I3835" s="42" t="s">
        <v>104</v>
      </c>
      <c r="J3835" s="56" t="s">
        <v>207</v>
      </c>
      <c r="K3835" s="40" t="s">
        <v>15</v>
      </c>
      <c r="L3835" s="26">
        <v>2990</v>
      </c>
      <c r="M3835" s="26">
        <v>250</v>
      </c>
      <c r="N3835" s="25">
        <f t="shared" si="119"/>
        <v>747500</v>
      </c>
      <c r="O3835" s="56"/>
    </row>
    <row r="3836" spans="1:15" hidden="1" x14ac:dyDescent="0.3">
      <c r="A3836" s="26">
        <v>33</v>
      </c>
      <c r="B3836" s="20" t="str">
        <f t="shared" si="118"/>
        <v>AUG</v>
      </c>
      <c r="C3836" s="21">
        <v>46250</v>
      </c>
      <c r="D3836" s="22" t="str">
        <f>IFERROR(INDEX('Kode Outlet dan Target Toko'!$A:$A,MATCH($I3836,'Kode Outlet dan Target Toko'!$E:$E,0)),"")</f>
        <v>GRSM 5</v>
      </c>
      <c r="E3836" s="20" t="str">
        <f>IFERROR(VLOOKUP(I3836,KET!$B:$F,4,0),"")</f>
        <v>SUPRIYATI</v>
      </c>
      <c r="F3836" s="20" t="str">
        <f>IFERROR(VLOOKUP(I3836,KET!$B:$F,5,0),"")</f>
        <v>GMM</v>
      </c>
      <c r="G3836" s="20">
        <f>IFERROR(INDEX('Kode Outlet dan Target Toko'!$C:$C,MATCH($I3836,'Kode Outlet dan Target Toko'!$E:$E,0)),0)</f>
        <v>103222</v>
      </c>
      <c r="H3836" s="20">
        <f>IFERROR(INDEX('Kode Outlet dan Target Toko'!$D:$D,MATCH($I3836,'Kode Outlet dan Target Toko'!$E:$E,0)),0)</f>
        <v>106437</v>
      </c>
      <c r="I3836" s="42" t="s">
        <v>104</v>
      </c>
      <c r="J3836" s="56" t="s">
        <v>207</v>
      </c>
      <c r="K3836" s="40" t="s">
        <v>14</v>
      </c>
      <c r="L3836" s="26">
        <v>2990</v>
      </c>
      <c r="M3836" s="26">
        <v>90</v>
      </c>
      <c r="N3836" s="25">
        <f t="shared" si="119"/>
        <v>269100</v>
      </c>
      <c r="O3836" s="56"/>
    </row>
    <row r="3837" spans="1:15" hidden="1" x14ac:dyDescent="0.3">
      <c r="A3837" s="26">
        <v>33</v>
      </c>
      <c r="B3837" s="20" t="str">
        <f t="shared" si="118"/>
        <v>AUG</v>
      </c>
      <c r="C3837" s="21">
        <v>46250</v>
      </c>
      <c r="D3837" s="22" t="str">
        <f>IFERROR(INDEX('Kode Outlet dan Target Toko'!$A:$A,MATCH($I3837,'Kode Outlet dan Target Toko'!$E:$E,0)),"")</f>
        <v>GRSM 5</v>
      </c>
      <c r="E3837" s="20" t="str">
        <f>IFERROR(VLOOKUP(I3837,KET!$B:$F,4,0),"")</f>
        <v>SUPRIYATI</v>
      </c>
      <c r="F3837" s="20" t="str">
        <f>IFERROR(VLOOKUP(I3837,KET!$B:$F,5,0),"")</f>
        <v>GMM</v>
      </c>
      <c r="G3837" s="20">
        <f>IFERROR(INDEX('Kode Outlet dan Target Toko'!$C:$C,MATCH($I3837,'Kode Outlet dan Target Toko'!$E:$E,0)),0)</f>
        <v>103222</v>
      </c>
      <c r="H3837" s="20">
        <f>IFERROR(INDEX('Kode Outlet dan Target Toko'!$D:$D,MATCH($I3837,'Kode Outlet dan Target Toko'!$E:$E,0)),0)</f>
        <v>106437</v>
      </c>
      <c r="I3837" s="42" t="s">
        <v>104</v>
      </c>
      <c r="J3837" s="56" t="s">
        <v>207</v>
      </c>
      <c r="K3837" s="40" t="s">
        <v>13</v>
      </c>
      <c r="L3837" s="26">
        <v>2990</v>
      </c>
      <c r="M3837" s="26">
        <v>0</v>
      </c>
      <c r="N3837" s="25">
        <f t="shared" si="119"/>
        <v>0</v>
      </c>
      <c r="O3837" s="56"/>
    </row>
    <row r="3838" spans="1:15" hidden="1" x14ac:dyDescent="0.3">
      <c r="A3838" s="26">
        <v>33</v>
      </c>
      <c r="B3838" s="20" t="str">
        <f t="shared" si="118"/>
        <v>AUG</v>
      </c>
      <c r="C3838" s="21">
        <v>46250</v>
      </c>
      <c r="D3838" s="22" t="str">
        <f>IFERROR(INDEX('Kode Outlet dan Target Toko'!$A:$A,MATCH($I3838,'Kode Outlet dan Target Toko'!$E:$E,0)),"")</f>
        <v>GRSM 5</v>
      </c>
      <c r="E3838" s="20" t="str">
        <f>IFERROR(VLOOKUP(I3838,KET!$B:$F,4,0),"")</f>
        <v>SUPRIYATI</v>
      </c>
      <c r="F3838" s="20" t="str">
        <f>IFERROR(VLOOKUP(I3838,KET!$B:$F,5,0),"")</f>
        <v>GMM</v>
      </c>
      <c r="G3838" s="20">
        <f>IFERROR(INDEX('Kode Outlet dan Target Toko'!$C:$C,MATCH($I3838,'Kode Outlet dan Target Toko'!$E:$E,0)),0)</f>
        <v>103222</v>
      </c>
      <c r="H3838" s="20">
        <f>IFERROR(INDEX('Kode Outlet dan Target Toko'!$D:$D,MATCH($I3838,'Kode Outlet dan Target Toko'!$E:$E,0)),0)</f>
        <v>106437</v>
      </c>
      <c r="I3838" s="42" t="s">
        <v>104</v>
      </c>
      <c r="J3838" s="56" t="s">
        <v>207</v>
      </c>
      <c r="K3838" s="40" t="s">
        <v>16</v>
      </c>
      <c r="L3838" s="26">
        <v>2990</v>
      </c>
      <c r="M3838" s="26">
        <v>0</v>
      </c>
      <c r="N3838" s="25">
        <f t="shared" si="119"/>
        <v>0</v>
      </c>
      <c r="O3838" s="56">
        <v>160</v>
      </c>
    </row>
    <row r="3839" spans="1:15" hidden="1" x14ac:dyDescent="0.3">
      <c r="A3839" s="26">
        <v>33</v>
      </c>
      <c r="B3839" s="20" t="str">
        <f t="shared" si="118"/>
        <v>AUG</v>
      </c>
      <c r="C3839" s="21">
        <v>46250</v>
      </c>
      <c r="D3839" s="22" t="str">
        <f>IFERROR(INDEX('Kode Outlet dan Target Toko'!$A:$A,MATCH($I3839,'Kode Outlet dan Target Toko'!$E:$E,0)),"")</f>
        <v>GRSM 5</v>
      </c>
      <c r="E3839" s="20" t="str">
        <f>IFERROR(VLOOKUP(I3839,KET!$B:$F,4,0),"")</f>
        <v>SUPRIYATI</v>
      </c>
      <c r="F3839" s="20" t="str">
        <f>IFERROR(VLOOKUP(I3839,KET!$B:$F,5,0),"")</f>
        <v>GMM</v>
      </c>
      <c r="G3839" s="20">
        <f>IFERROR(INDEX('Kode Outlet dan Target Toko'!$C:$C,MATCH($I3839,'Kode Outlet dan Target Toko'!$E:$E,0)),0)</f>
        <v>103222</v>
      </c>
      <c r="H3839" s="20">
        <f>IFERROR(INDEX('Kode Outlet dan Target Toko'!$D:$D,MATCH($I3839,'Kode Outlet dan Target Toko'!$E:$E,0)),0)</f>
        <v>106437</v>
      </c>
      <c r="I3839" s="42" t="s">
        <v>104</v>
      </c>
      <c r="J3839" s="56" t="s">
        <v>208</v>
      </c>
      <c r="K3839" s="40" t="s">
        <v>15</v>
      </c>
      <c r="L3839" s="26">
        <v>2990</v>
      </c>
      <c r="M3839" s="26">
        <v>250</v>
      </c>
      <c r="N3839" s="25">
        <f t="shared" si="119"/>
        <v>747500</v>
      </c>
      <c r="O3839" s="56"/>
    </row>
    <row r="3840" spans="1:15" hidden="1" x14ac:dyDescent="0.3">
      <c r="A3840" s="26">
        <v>33</v>
      </c>
      <c r="B3840" s="20" t="str">
        <f t="shared" si="118"/>
        <v>AUG</v>
      </c>
      <c r="C3840" s="21">
        <v>46250</v>
      </c>
      <c r="D3840" s="22" t="str">
        <f>IFERROR(INDEX('Kode Outlet dan Target Toko'!$A:$A,MATCH($I3840,'Kode Outlet dan Target Toko'!$E:$E,0)),"")</f>
        <v>GRSM 5</v>
      </c>
      <c r="E3840" s="20" t="str">
        <f>IFERROR(VLOOKUP(I3840,KET!$B:$F,4,0),"")</f>
        <v>SUPRIYATI</v>
      </c>
      <c r="F3840" s="20" t="str">
        <f>IFERROR(VLOOKUP(I3840,KET!$B:$F,5,0),"")</f>
        <v>GMM</v>
      </c>
      <c r="G3840" s="20">
        <f>IFERROR(INDEX('Kode Outlet dan Target Toko'!$C:$C,MATCH($I3840,'Kode Outlet dan Target Toko'!$E:$E,0)),0)</f>
        <v>103222</v>
      </c>
      <c r="H3840" s="20">
        <f>IFERROR(INDEX('Kode Outlet dan Target Toko'!$D:$D,MATCH($I3840,'Kode Outlet dan Target Toko'!$E:$E,0)),0)</f>
        <v>106437</v>
      </c>
      <c r="I3840" s="42" t="s">
        <v>104</v>
      </c>
      <c r="J3840" s="56" t="s">
        <v>208</v>
      </c>
      <c r="K3840" s="40" t="s">
        <v>14</v>
      </c>
      <c r="L3840" s="26">
        <v>2990</v>
      </c>
      <c r="M3840" s="26">
        <v>90</v>
      </c>
      <c r="N3840" s="25">
        <f t="shared" si="119"/>
        <v>269100</v>
      </c>
      <c r="O3840" s="56"/>
    </row>
    <row r="3841" spans="1:15" hidden="1" x14ac:dyDescent="0.3">
      <c r="A3841" s="26">
        <v>33</v>
      </c>
      <c r="B3841" s="20" t="str">
        <f t="shared" si="118"/>
        <v>AUG</v>
      </c>
      <c r="C3841" s="21">
        <v>46250</v>
      </c>
      <c r="D3841" s="22" t="str">
        <f>IFERROR(INDEX('Kode Outlet dan Target Toko'!$A:$A,MATCH($I3841,'Kode Outlet dan Target Toko'!$E:$E,0)),"")</f>
        <v>GRSM 5</v>
      </c>
      <c r="E3841" s="20" t="str">
        <f>IFERROR(VLOOKUP(I3841,KET!$B:$F,4,0),"")</f>
        <v>SUPRIYATI</v>
      </c>
      <c r="F3841" s="20" t="str">
        <f>IFERROR(VLOOKUP(I3841,KET!$B:$F,5,0),"")</f>
        <v>GMM</v>
      </c>
      <c r="G3841" s="20">
        <f>IFERROR(INDEX('Kode Outlet dan Target Toko'!$C:$C,MATCH($I3841,'Kode Outlet dan Target Toko'!$E:$E,0)),0)</f>
        <v>103222</v>
      </c>
      <c r="H3841" s="20">
        <f>IFERROR(INDEX('Kode Outlet dan Target Toko'!$D:$D,MATCH($I3841,'Kode Outlet dan Target Toko'!$E:$E,0)),0)</f>
        <v>106437</v>
      </c>
      <c r="I3841" s="42" t="s">
        <v>104</v>
      </c>
      <c r="J3841" s="56" t="s">
        <v>208</v>
      </c>
      <c r="K3841" s="40" t="s">
        <v>13</v>
      </c>
      <c r="L3841" s="26">
        <v>2990</v>
      </c>
      <c r="M3841" s="26">
        <v>0</v>
      </c>
      <c r="N3841" s="25">
        <f t="shared" si="119"/>
        <v>0</v>
      </c>
      <c r="O3841" s="56"/>
    </row>
    <row r="3842" spans="1:15" hidden="1" x14ac:dyDescent="0.3">
      <c r="A3842" s="26">
        <v>33</v>
      </c>
      <c r="B3842" s="20" t="str">
        <f t="shared" si="118"/>
        <v>AUG</v>
      </c>
      <c r="C3842" s="21">
        <v>46250</v>
      </c>
      <c r="D3842" s="22" t="str">
        <f>IFERROR(INDEX('Kode Outlet dan Target Toko'!$A:$A,MATCH($I3842,'Kode Outlet dan Target Toko'!$E:$E,0)),"")</f>
        <v>GRSM 5</v>
      </c>
      <c r="E3842" s="20" t="str">
        <f>IFERROR(VLOOKUP(I3842,KET!$B:$F,4,0),"")</f>
        <v>SUPRIYATI</v>
      </c>
      <c r="F3842" s="20" t="str">
        <f>IFERROR(VLOOKUP(I3842,KET!$B:$F,5,0),"")</f>
        <v>GMM</v>
      </c>
      <c r="G3842" s="20">
        <f>IFERROR(INDEX('Kode Outlet dan Target Toko'!$C:$C,MATCH($I3842,'Kode Outlet dan Target Toko'!$E:$E,0)),0)</f>
        <v>103222</v>
      </c>
      <c r="H3842" s="20">
        <f>IFERROR(INDEX('Kode Outlet dan Target Toko'!$D:$D,MATCH($I3842,'Kode Outlet dan Target Toko'!$E:$E,0)),0)</f>
        <v>106437</v>
      </c>
      <c r="I3842" s="42" t="s">
        <v>104</v>
      </c>
      <c r="J3842" s="56" t="s">
        <v>208</v>
      </c>
      <c r="K3842" s="40" t="s">
        <v>16</v>
      </c>
      <c r="L3842" s="26">
        <v>2990</v>
      </c>
      <c r="M3842" s="26">
        <v>0</v>
      </c>
      <c r="N3842" s="25">
        <f t="shared" si="119"/>
        <v>0</v>
      </c>
      <c r="O3842" s="56">
        <v>160</v>
      </c>
    </row>
    <row r="3843" spans="1:15" hidden="1" x14ac:dyDescent="0.3">
      <c r="A3843" s="26">
        <v>33</v>
      </c>
      <c r="B3843" s="20" t="str">
        <f t="shared" si="118"/>
        <v>AUG</v>
      </c>
      <c r="C3843" s="21">
        <v>46250</v>
      </c>
      <c r="D3843" s="22" t="str">
        <f>IFERROR(INDEX('Kode Outlet dan Target Toko'!$A:$A,MATCH($I3843,'Kode Outlet dan Target Toko'!$E:$E,0)),"")</f>
        <v>GRSM 5</v>
      </c>
      <c r="E3843" s="20" t="str">
        <f>IFERROR(VLOOKUP(I3843,KET!$B:$F,4,0),"")</f>
        <v>SUPRIYATI</v>
      </c>
      <c r="F3843" s="20" t="str">
        <f>IFERROR(VLOOKUP(I3843,KET!$B:$F,5,0),"")</f>
        <v>MT</v>
      </c>
      <c r="G3843" s="20">
        <f>IFERROR(INDEX('Kode Outlet dan Target Toko'!$C:$C,MATCH($I3843,'Kode Outlet dan Target Toko'!$E:$E,0)),0)</f>
        <v>166102</v>
      </c>
      <c r="H3843" s="20">
        <f>IFERROR(INDEX('Kode Outlet dan Target Toko'!$D:$D,MATCH($I3843,'Kode Outlet dan Target Toko'!$E:$E,0)),0)</f>
        <v>9000058</v>
      </c>
      <c r="I3843" s="42" t="s">
        <v>119</v>
      </c>
      <c r="J3843" s="56" t="s">
        <v>232</v>
      </c>
      <c r="K3843" s="40" t="s">
        <v>15</v>
      </c>
      <c r="L3843" s="26">
        <v>3000</v>
      </c>
      <c r="M3843" s="26">
        <v>10</v>
      </c>
      <c r="N3843" s="25">
        <f t="shared" si="119"/>
        <v>30000</v>
      </c>
      <c r="O3843" s="56"/>
    </row>
    <row r="3844" spans="1:15" hidden="1" x14ac:dyDescent="0.3">
      <c r="A3844" s="26">
        <v>33</v>
      </c>
      <c r="B3844" s="20" t="str">
        <f t="shared" si="118"/>
        <v>AUG</v>
      </c>
      <c r="C3844" s="21">
        <v>46250</v>
      </c>
      <c r="D3844" s="22" t="str">
        <f>IFERROR(INDEX('Kode Outlet dan Target Toko'!$A:$A,MATCH($I3844,'Kode Outlet dan Target Toko'!$E:$E,0)),"")</f>
        <v>GRSM 5</v>
      </c>
      <c r="E3844" s="20" t="str">
        <f>IFERROR(VLOOKUP(I3844,KET!$B:$F,4,0),"")</f>
        <v>SUPRIYATI</v>
      </c>
      <c r="F3844" s="20" t="str">
        <f>IFERROR(VLOOKUP(I3844,KET!$B:$F,5,0),"")</f>
        <v>MT</v>
      </c>
      <c r="G3844" s="20">
        <f>IFERROR(INDEX('Kode Outlet dan Target Toko'!$C:$C,MATCH($I3844,'Kode Outlet dan Target Toko'!$E:$E,0)),0)</f>
        <v>166102</v>
      </c>
      <c r="H3844" s="20">
        <f>IFERROR(INDEX('Kode Outlet dan Target Toko'!$D:$D,MATCH($I3844,'Kode Outlet dan Target Toko'!$E:$E,0)),0)</f>
        <v>9000058</v>
      </c>
      <c r="I3844" s="42" t="s">
        <v>119</v>
      </c>
      <c r="J3844" s="56" t="s">
        <v>232</v>
      </c>
      <c r="K3844" s="40" t="s">
        <v>14</v>
      </c>
      <c r="L3844" s="26">
        <v>3000</v>
      </c>
      <c r="M3844" s="26">
        <v>95</v>
      </c>
      <c r="N3844" s="25">
        <f t="shared" si="119"/>
        <v>285000</v>
      </c>
      <c r="O3844" s="56"/>
    </row>
    <row r="3845" spans="1:15" hidden="1" x14ac:dyDescent="0.3">
      <c r="A3845" s="26">
        <v>33</v>
      </c>
      <c r="B3845" s="20" t="str">
        <f t="shared" si="118"/>
        <v>AUG</v>
      </c>
      <c r="C3845" s="21">
        <v>46250</v>
      </c>
      <c r="D3845" s="22" t="str">
        <f>IFERROR(INDEX('Kode Outlet dan Target Toko'!$A:$A,MATCH($I3845,'Kode Outlet dan Target Toko'!$E:$E,0)),"")</f>
        <v>GRSM 5</v>
      </c>
      <c r="E3845" s="20" t="str">
        <f>IFERROR(VLOOKUP(I3845,KET!$B:$F,4,0),"")</f>
        <v>SUPRIYATI</v>
      </c>
      <c r="F3845" s="20" t="str">
        <f>IFERROR(VLOOKUP(I3845,KET!$B:$F,5,0),"")</f>
        <v>MT</v>
      </c>
      <c r="G3845" s="20">
        <f>IFERROR(INDEX('Kode Outlet dan Target Toko'!$C:$C,MATCH($I3845,'Kode Outlet dan Target Toko'!$E:$E,0)),0)</f>
        <v>166102</v>
      </c>
      <c r="H3845" s="20">
        <f>IFERROR(INDEX('Kode Outlet dan Target Toko'!$D:$D,MATCH($I3845,'Kode Outlet dan Target Toko'!$E:$E,0)),0)</f>
        <v>9000058</v>
      </c>
      <c r="I3845" s="42" t="s">
        <v>119</v>
      </c>
      <c r="J3845" s="56" t="s">
        <v>232</v>
      </c>
      <c r="K3845" s="40" t="s">
        <v>13</v>
      </c>
      <c r="L3845" s="26">
        <v>3000</v>
      </c>
      <c r="M3845" s="26">
        <v>0</v>
      </c>
      <c r="N3845" s="25">
        <f t="shared" si="119"/>
        <v>0</v>
      </c>
      <c r="O3845" s="56"/>
    </row>
    <row r="3846" spans="1:15" hidden="1" x14ac:dyDescent="0.3">
      <c r="A3846" s="26">
        <v>33</v>
      </c>
      <c r="B3846" s="20" t="str">
        <f t="shared" si="118"/>
        <v>AUG</v>
      </c>
      <c r="C3846" s="21">
        <v>46250</v>
      </c>
      <c r="D3846" s="22" t="str">
        <f>IFERROR(INDEX('Kode Outlet dan Target Toko'!$A:$A,MATCH($I3846,'Kode Outlet dan Target Toko'!$E:$E,0)),"")</f>
        <v>GRSM 5</v>
      </c>
      <c r="E3846" s="20" t="str">
        <f>IFERROR(VLOOKUP(I3846,KET!$B:$F,4,0),"")</f>
        <v>SUPRIYATI</v>
      </c>
      <c r="F3846" s="20" t="str">
        <f>IFERROR(VLOOKUP(I3846,KET!$B:$F,5,0),"")</f>
        <v>MT</v>
      </c>
      <c r="G3846" s="20">
        <f>IFERROR(INDEX('Kode Outlet dan Target Toko'!$C:$C,MATCH($I3846,'Kode Outlet dan Target Toko'!$E:$E,0)),0)</f>
        <v>166102</v>
      </c>
      <c r="H3846" s="20">
        <f>IFERROR(INDEX('Kode Outlet dan Target Toko'!$D:$D,MATCH($I3846,'Kode Outlet dan Target Toko'!$E:$E,0)),0)</f>
        <v>9000058</v>
      </c>
      <c r="I3846" s="42" t="s">
        <v>119</v>
      </c>
      <c r="J3846" s="56" t="s">
        <v>232</v>
      </c>
      <c r="K3846" s="40" t="s">
        <v>16</v>
      </c>
      <c r="L3846" s="26">
        <v>3000</v>
      </c>
      <c r="M3846" s="26">
        <v>10</v>
      </c>
      <c r="N3846" s="25">
        <f t="shared" si="119"/>
        <v>30000</v>
      </c>
      <c r="O3846" s="56">
        <v>160</v>
      </c>
    </row>
    <row r="3847" spans="1:15" hidden="1" x14ac:dyDescent="0.3">
      <c r="A3847" s="26">
        <v>33</v>
      </c>
      <c r="B3847" s="20" t="str">
        <f t="shared" ref="B3847:B3910" si="120">IF(C3847="","",UPPER(TEXT(C3847, "MMM")))</f>
        <v>AUG</v>
      </c>
      <c r="C3847" s="21">
        <v>46250</v>
      </c>
      <c r="D3847" s="22" t="str">
        <f>IFERROR(INDEX('Kode Outlet dan Target Toko'!$A:$A,MATCH($I3847,'Kode Outlet dan Target Toko'!$E:$E,0)),"")</f>
        <v>GRSM 5</v>
      </c>
      <c r="E3847" s="20" t="str">
        <f>IFERROR(VLOOKUP(I3847,KET!$B:$F,4,0),"")</f>
        <v>SUPRIYATI</v>
      </c>
      <c r="F3847" s="20" t="str">
        <f>IFERROR(VLOOKUP(I3847,KET!$B:$F,5,0),"")</f>
        <v>MT</v>
      </c>
      <c r="G3847" s="20">
        <f>IFERROR(INDEX('Kode Outlet dan Target Toko'!$C:$C,MATCH($I3847,'Kode Outlet dan Target Toko'!$E:$E,0)),0)</f>
        <v>166102</v>
      </c>
      <c r="H3847" s="20">
        <f>IFERROR(INDEX('Kode Outlet dan Target Toko'!$D:$D,MATCH($I3847,'Kode Outlet dan Target Toko'!$E:$E,0)),0)</f>
        <v>9000058</v>
      </c>
      <c r="I3847" s="42" t="s">
        <v>119</v>
      </c>
      <c r="J3847" s="56" t="s">
        <v>233</v>
      </c>
      <c r="K3847" s="40" t="s">
        <v>15</v>
      </c>
      <c r="L3847" s="26">
        <v>3000</v>
      </c>
      <c r="M3847" s="26">
        <v>10</v>
      </c>
      <c r="N3847" s="25">
        <f t="shared" ref="N3847:N3910" si="121">IFERROR(M3847*L3847,"")</f>
        <v>30000</v>
      </c>
      <c r="O3847" s="56"/>
    </row>
    <row r="3848" spans="1:15" hidden="1" x14ac:dyDescent="0.3">
      <c r="A3848" s="26">
        <v>33</v>
      </c>
      <c r="B3848" s="20" t="str">
        <f t="shared" si="120"/>
        <v>AUG</v>
      </c>
      <c r="C3848" s="21">
        <v>46250</v>
      </c>
      <c r="D3848" s="22" t="str">
        <f>IFERROR(INDEX('Kode Outlet dan Target Toko'!$A:$A,MATCH($I3848,'Kode Outlet dan Target Toko'!$E:$E,0)),"")</f>
        <v>GRSM 5</v>
      </c>
      <c r="E3848" s="20" t="str">
        <f>IFERROR(VLOOKUP(I3848,KET!$B:$F,4,0),"")</f>
        <v>SUPRIYATI</v>
      </c>
      <c r="F3848" s="20" t="str">
        <f>IFERROR(VLOOKUP(I3848,KET!$B:$F,5,0),"")</f>
        <v>MT</v>
      </c>
      <c r="G3848" s="20">
        <f>IFERROR(INDEX('Kode Outlet dan Target Toko'!$C:$C,MATCH($I3848,'Kode Outlet dan Target Toko'!$E:$E,0)),0)</f>
        <v>166102</v>
      </c>
      <c r="H3848" s="20">
        <f>IFERROR(INDEX('Kode Outlet dan Target Toko'!$D:$D,MATCH($I3848,'Kode Outlet dan Target Toko'!$E:$E,0)),0)</f>
        <v>9000058</v>
      </c>
      <c r="I3848" s="42" t="s">
        <v>119</v>
      </c>
      <c r="J3848" s="56" t="s">
        <v>233</v>
      </c>
      <c r="K3848" s="40" t="s">
        <v>14</v>
      </c>
      <c r="L3848" s="26">
        <v>3000</v>
      </c>
      <c r="M3848" s="26">
        <v>95</v>
      </c>
      <c r="N3848" s="25">
        <f t="shared" si="121"/>
        <v>285000</v>
      </c>
      <c r="O3848" s="56"/>
    </row>
    <row r="3849" spans="1:15" hidden="1" x14ac:dyDescent="0.3">
      <c r="A3849" s="26">
        <v>33</v>
      </c>
      <c r="B3849" s="20" t="str">
        <f t="shared" si="120"/>
        <v>AUG</v>
      </c>
      <c r="C3849" s="21">
        <v>46250</v>
      </c>
      <c r="D3849" s="22" t="str">
        <f>IFERROR(INDEX('Kode Outlet dan Target Toko'!$A:$A,MATCH($I3849,'Kode Outlet dan Target Toko'!$E:$E,0)),"")</f>
        <v>GRSM 5</v>
      </c>
      <c r="E3849" s="20" t="str">
        <f>IFERROR(VLOOKUP(I3849,KET!$B:$F,4,0),"")</f>
        <v>SUPRIYATI</v>
      </c>
      <c r="F3849" s="20" t="str">
        <f>IFERROR(VLOOKUP(I3849,KET!$B:$F,5,0),"")</f>
        <v>MT</v>
      </c>
      <c r="G3849" s="20">
        <f>IFERROR(INDEX('Kode Outlet dan Target Toko'!$C:$C,MATCH($I3849,'Kode Outlet dan Target Toko'!$E:$E,0)),0)</f>
        <v>166102</v>
      </c>
      <c r="H3849" s="20">
        <f>IFERROR(INDEX('Kode Outlet dan Target Toko'!$D:$D,MATCH($I3849,'Kode Outlet dan Target Toko'!$E:$E,0)),0)</f>
        <v>9000058</v>
      </c>
      <c r="I3849" s="42" t="s">
        <v>119</v>
      </c>
      <c r="J3849" s="56" t="s">
        <v>233</v>
      </c>
      <c r="K3849" s="40" t="s">
        <v>13</v>
      </c>
      <c r="L3849" s="26">
        <v>3000</v>
      </c>
      <c r="M3849" s="26">
        <v>0</v>
      </c>
      <c r="N3849" s="25">
        <f t="shared" si="121"/>
        <v>0</v>
      </c>
      <c r="O3849" s="56"/>
    </row>
    <row r="3850" spans="1:15" hidden="1" x14ac:dyDescent="0.3">
      <c r="A3850" s="26">
        <v>33</v>
      </c>
      <c r="B3850" s="20" t="str">
        <f t="shared" si="120"/>
        <v>AUG</v>
      </c>
      <c r="C3850" s="21">
        <v>46250</v>
      </c>
      <c r="D3850" s="22" t="str">
        <f>IFERROR(INDEX('Kode Outlet dan Target Toko'!$A:$A,MATCH($I3850,'Kode Outlet dan Target Toko'!$E:$E,0)),"")</f>
        <v>GRSM 5</v>
      </c>
      <c r="E3850" s="20" t="str">
        <f>IFERROR(VLOOKUP(I3850,KET!$B:$F,4,0),"")</f>
        <v>SUPRIYATI</v>
      </c>
      <c r="F3850" s="20" t="str">
        <f>IFERROR(VLOOKUP(I3850,KET!$B:$F,5,0),"")</f>
        <v>MT</v>
      </c>
      <c r="G3850" s="20">
        <f>IFERROR(INDEX('Kode Outlet dan Target Toko'!$C:$C,MATCH($I3850,'Kode Outlet dan Target Toko'!$E:$E,0)),0)</f>
        <v>166102</v>
      </c>
      <c r="H3850" s="20">
        <f>IFERROR(INDEX('Kode Outlet dan Target Toko'!$D:$D,MATCH($I3850,'Kode Outlet dan Target Toko'!$E:$E,0)),0)</f>
        <v>9000058</v>
      </c>
      <c r="I3850" s="42" t="s">
        <v>119</v>
      </c>
      <c r="J3850" s="56" t="s">
        <v>233</v>
      </c>
      <c r="K3850" s="40" t="s">
        <v>16</v>
      </c>
      <c r="L3850" s="26">
        <v>3000</v>
      </c>
      <c r="M3850" s="26">
        <v>10</v>
      </c>
      <c r="N3850" s="25">
        <f t="shared" si="121"/>
        <v>30000</v>
      </c>
      <c r="O3850" s="56">
        <v>160</v>
      </c>
    </row>
    <row r="3851" spans="1:15" hidden="1" x14ac:dyDescent="0.3">
      <c r="A3851" s="26">
        <v>33</v>
      </c>
      <c r="B3851" s="20" t="str">
        <f t="shared" si="120"/>
        <v>AUG</v>
      </c>
      <c r="C3851" s="21">
        <v>46250</v>
      </c>
      <c r="D3851" s="22" t="str">
        <f>IFERROR(INDEX('Kode Outlet dan Target Toko'!$A:$A,MATCH($I3851,'Kode Outlet dan Target Toko'!$E:$E,0)),"")</f>
        <v>GRSM 5</v>
      </c>
      <c r="E3851" s="20" t="str">
        <f>IFERROR(VLOOKUP(I3851,KET!$B:$F,4,0),"")</f>
        <v>SUPRIYATI</v>
      </c>
      <c r="F3851" s="20" t="str">
        <f>IFERROR(VLOOKUP(I3851,KET!$B:$F,5,0),"")</f>
        <v>GMM</v>
      </c>
      <c r="G3851" s="20">
        <f>IFERROR(INDEX('Kode Outlet dan Target Toko'!$C:$C,MATCH($I3851,'Kode Outlet dan Target Toko'!$E:$E,0)),0)</f>
        <v>211009</v>
      </c>
      <c r="H3851" s="20">
        <f>IFERROR(INDEX('Kode Outlet dan Target Toko'!$D:$D,MATCH($I3851,'Kode Outlet dan Target Toko'!$E:$E,0)),0)</f>
        <v>2100003</v>
      </c>
      <c r="I3851" s="42" t="s">
        <v>118</v>
      </c>
      <c r="J3851" s="56" t="s">
        <v>230</v>
      </c>
      <c r="K3851" s="40" t="s">
        <v>15</v>
      </c>
      <c r="L3851" s="26">
        <v>2900</v>
      </c>
      <c r="M3851" s="26">
        <v>91</v>
      </c>
      <c r="N3851" s="25">
        <f t="shared" si="121"/>
        <v>263900</v>
      </c>
      <c r="O3851" s="56"/>
    </row>
    <row r="3852" spans="1:15" hidden="1" x14ac:dyDescent="0.3">
      <c r="A3852" s="26">
        <v>33</v>
      </c>
      <c r="B3852" s="20" t="str">
        <f t="shared" si="120"/>
        <v>AUG</v>
      </c>
      <c r="C3852" s="21">
        <v>46250</v>
      </c>
      <c r="D3852" s="22" t="str">
        <f>IFERROR(INDEX('Kode Outlet dan Target Toko'!$A:$A,MATCH($I3852,'Kode Outlet dan Target Toko'!$E:$E,0)),"")</f>
        <v>GRSM 5</v>
      </c>
      <c r="E3852" s="20" t="str">
        <f>IFERROR(VLOOKUP(I3852,KET!$B:$F,4,0),"")</f>
        <v>SUPRIYATI</v>
      </c>
      <c r="F3852" s="20" t="str">
        <f>IFERROR(VLOOKUP(I3852,KET!$B:$F,5,0),"")</f>
        <v>GMM</v>
      </c>
      <c r="G3852" s="20">
        <f>IFERROR(INDEX('Kode Outlet dan Target Toko'!$C:$C,MATCH($I3852,'Kode Outlet dan Target Toko'!$E:$E,0)),0)</f>
        <v>211009</v>
      </c>
      <c r="H3852" s="20">
        <f>IFERROR(INDEX('Kode Outlet dan Target Toko'!$D:$D,MATCH($I3852,'Kode Outlet dan Target Toko'!$E:$E,0)),0)</f>
        <v>2100003</v>
      </c>
      <c r="I3852" s="42" t="s">
        <v>118</v>
      </c>
      <c r="J3852" s="56" t="s">
        <v>230</v>
      </c>
      <c r="K3852" s="40" t="s">
        <v>14</v>
      </c>
      <c r="L3852" s="26">
        <v>2900</v>
      </c>
      <c r="M3852" s="26">
        <v>42</v>
      </c>
      <c r="N3852" s="25">
        <f t="shared" si="121"/>
        <v>121800</v>
      </c>
      <c r="O3852" s="56"/>
    </row>
    <row r="3853" spans="1:15" hidden="1" x14ac:dyDescent="0.3">
      <c r="A3853" s="26">
        <v>33</v>
      </c>
      <c r="B3853" s="20" t="str">
        <f t="shared" si="120"/>
        <v>AUG</v>
      </c>
      <c r="C3853" s="21">
        <v>46250</v>
      </c>
      <c r="D3853" s="22" t="str">
        <f>IFERROR(INDEX('Kode Outlet dan Target Toko'!$A:$A,MATCH($I3853,'Kode Outlet dan Target Toko'!$E:$E,0)),"")</f>
        <v>GRSM 5</v>
      </c>
      <c r="E3853" s="20" t="str">
        <f>IFERROR(VLOOKUP(I3853,KET!$B:$F,4,0),"")</f>
        <v>SUPRIYATI</v>
      </c>
      <c r="F3853" s="20" t="str">
        <f>IFERROR(VLOOKUP(I3853,KET!$B:$F,5,0),"")</f>
        <v>GMM</v>
      </c>
      <c r="G3853" s="20">
        <f>IFERROR(INDEX('Kode Outlet dan Target Toko'!$C:$C,MATCH($I3853,'Kode Outlet dan Target Toko'!$E:$E,0)),0)</f>
        <v>211009</v>
      </c>
      <c r="H3853" s="20">
        <f>IFERROR(INDEX('Kode Outlet dan Target Toko'!$D:$D,MATCH($I3853,'Kode Outlet dan Target Toko'!$E:$E,0)),0)</f>
        <v>2100003</v>
      </c>
      <c r="I3853" s="42" t="s">
        <v>118</v>
      </c>
      <c r="J3853" s="56" t="s">
        <v>230</v>
      </c>
      <c r="K3853" s="40" t="s">
        <v>13</v>
      </c>
      <c r="L3853" s="26">
        <v>2900</v>
      </c>
      <c r="M3853" s="26">
        <v>33</v>
      </c>
      <c r="N3853" s="25">
        <f t="shared" si="121"/>
        <v>95700</v>
      </c>
      <c r="O3853" s="56"/>
    </row>
    <row r="3854" spans="1:15" hidden="1" x14ac:dyDescent="0.3">
      <c r="A3854" s="26">
        <v>33</v>
      </c>
      <c r="B3854" s="20" t="str">
        <f t="shared" si="120"/>
        <v>AUG</v>
      </c>
      <c r="C3854" s="21">
        <v>46250</v>
      </c>
      <c r="D3854" s="22" t="str">
        <f>IFERROR(INDEX('Kode Outlet dan Target Toko'!$A:$A,MATCH($I3854,'Kode Outlet dan Target Toko'!$E:$E,0)),"")</f>
        <v>GRSM 5</v>
      </c>
      <c r="E3854" s="20" t="str">
        <f>IFERROR(VLOOKUP(I3854,KET!$B:$F,4,0),"")</f>
        <v>SUPRIYATI</v>
      </c>
      <c r="F3854" s="20" t="str">
        <f>IFERROR(VLOOKUP(I3854,KET!$B:$F,5,0),"")</f>
        <v>GMM</v>
      </c>
      <c r="G3854" s="20">
        <f>IFERROR(INDEX('Kode Outlet dan Target Toko'!$C:$C,MATCH($I3854,'Kode Outlet dan Target Toko'!$E:$E,0)),0)</f>
        <v>211009</v>
      </c>
      <c r="H3854" s="20">
        <f>IFERROR(INDEX('Kode Outlet dan Target Toko'!$D:$D,MATCH($I3854,'Kode Outlet dan Target Toko'!$E:$E,0)),0)</f>
        <v>2100003</v>
      </c>
      <c r="I3854" s="42" t="s">
        <v>118</v>
      </c>
      <c r="J3854" s="56" t="s">
        <v>230</v>
      </c>
      <c r="K3854" s="40" t="s">
        <v>16</v>
      </c>
      <c r="L3854" s="26">
        <v>2900</v>
      </c>
      <c r="M3854" s="26">
        <v>201</v>
      </c>
      <c r="N3854" s="25">
        <f t="shared" si="121"/>
        <v>582900</v>
      </c>
      <c r="O3854" s="56">
        <v>160</v>
      </c>
    </row>
    <row r="3855" spans="1:15" hidden="1" x14ac:dyDescent="0.3">
      <c r="A3855" s="26">
        <v>33</v>
      </c>
      <c r="B3855" s="20" t="str">
        <f t="shared" si="120"/>
        <v>AUG</v>
      </c>
      <c r="C3855" s="21">
        <v>46250</v>
      </c>
      <c r="D3855" s="22" t="str">
        <f>IFERROR(INDEX('Kode Outlet dan Target Toko'!$A:$A,MATCH($I3855,'Kode Outlet dan Target Toko'!$E:$E,0)),"")</f>
        <v>GRSM 5</v>
      </c>
      <c r="E3855" s="20" t="str">
        <f>IFERROR(VLOOKUP(I3855,KET!$B:$F,4,0),"")</f>
        <v>SUPRIYATI</v>
      </c>
      <c r="F3855" s="20" t="str">
        <f>IFERROR(VLOOKUP(I3855,KET!$B:$F,5,0),"")</f>
        <v>GMM</v>
      </c>
      <c r="G3855" s="20">
        <f>IFERROR(INDEX('Kode Outlet dan Target Toko'!$C:$C,MATCH($I3855,'Kode Outlet dan Target Toko'!$E:$E,0)),0)</f>
        <v>211009</v>
      </c>
      <c r="H3855" s="20">
        <f>IFERROR(INDEX('Kode Outlet dan Target Toko'!$D:$D,MATCH($I3855,'Kode Outlet dan Target Toko'!$E:$E,0)),0)</f>
        <v>2100003</v>
      </c>
      <c r="I3855" s="42" t="s">
        <v>118</v>
      </c>
      <c r="J3855" s="56" t="s">
        <v>231</v>
      </c>
      <c r="K3855" s="40" t="s">
        <v>15</v>
      </c>
      <c r="L3855" s="26">
        <v>2900</v>
      </c>
      <c r="M3855" s="26">
        <v>91</v>
      </c>
      <c r="N3855" s="25">
        <f t="shared" si="121"/>
        <v>263900</v>
      </c>
      <c r="O3855" s="56"/>
    </row>
    <row r="3856" spans="1:15" hidden="1" x14ac:dyDescent="0.3">
      <c r="A3856" s="26">
        <v>33</v>
      </c>
      <c r="B3856" s="20" t="str">
        <f t="shared" si="120"/>
        <v>AUG</v>
      </c>
      <c r="C3856" s="21">
        <v>46250</v>
      </c>
      <c r="D3856" s="22" t="str">
        <f>IFERROR(INDEX('Kode Outlet dan Target Toko'!$A:$A,MATCH($I3856,'Kode Outlet dan Target Toko'!$E:$E,0)),"")</f>
        <v>GRSM 5</v>
      </c>
      <c r="E3856" s="20" t="str">
        <f>IFERROR(VLOOKUP(I3856,KET!$B:$F,4,0),"")</f>
        <v>SUPRIYATI</v>
      </c>
      <c r="F3856" s="20" t="str">
        <f>IFERROR(VLOOKUP(I3856,KET!$B:$F,5,0),"")</f>
        <v>GMM</v>
      </c>
      <c r="G3856" s="20">
        <f>IFERROR(INDEX('Kode Outlet dan Target Toko'!$C:$C,MATCH($I3856,'Kode Outlet dan Target Toko'!$E:$E,0)),0)</f>
        <v>211009</v>
      </c>
      <c r="H3856" s="20">
        <f>IFERROR(INDEX('Kode Outlet dan Target Toko'!$D:$D,MATCH($I3856,'Kode Outlet dan Target Toko'!$E:$E,0)),0)</f>
        <v>2100003</v>
      </c>
      <c r="I3856" s="42" t="s">
        <v>118</v>
      </c>
      <c r="J3856" s="56" t="s">
        <v>231</v>
      </c>
      <c r="K3856" s="40" t="s">
        <v>14</v>
      </c>
      <c r="L3856" s="26">
        <v>2900</v>
      </c>
      <c r="M3856" s="26">
        <v>42</v>
      </c>
      <c r="N3856" s="25">
        <f t="shared" si="121"/>
        <v>121800</v>
      </c>
      <c r="O3856" s="56"/>
    </row>
    <row r="3857" spans="1:15" hidden="1" x14ac:dyDescent="0.3">
      <c r="A3857" s="26">
        <v>33</v>
      </c>
      <c r="B3857" s="20" t="str">
        <f t="shared" si="120"/>
        <v>AUG</v>
      </c>
      <c r="C3857" s="21">
        <v>46250</v>
      </c>
      <c r="D3857" s="22" t="str">
        <f>IFERROR(INDEX('Kode Outlet dan Target Toko'!$A:$A,MATCH($I3857,'Kode Outlet dan Target Toko'!$E:$E,0)),"")</f>
        <v>GRSM 5</v>
      </c>
      <c r="E3857" s="20" t="str">
        <f>IFERROR(VLOOKUP(I3857,KET!$B:$F,4,0),"")</f>
        <v>SUPRIYATI</v>
      </c>
      <c r="F3857" s="20" t="str">
        <f>IFERROR(VLOOKUP(I3857,KET!$B:$F,5,0),"")</f>
        <v>GMM</v>
      </c>
      <c r="G3857" s="20">
        <f>IFERROR(INDEX('Kode Outlet dan Target Toko'!$C:$C,MATCH($I3857,'Kode Outlet dan Target Toko'!$E:$E,0)),0)</f>
        <v>211009</v>
      </c>
      <c r="H3857" s="20">
        <f>IFERROR(INDEX('Kode Outlet dan Target Toko'!$D:$D,MATCH($I3857,'Kode Outlet dan Target Toko'!$E:$E,0)),0)</f>
        <v>2100003</v>
      </c>
      <c r="I3857" s="42" t="s">
        <v>118</v>
      </c>
      <c r="J3857" s="56" t="s">
        <v>231</v>
      </c>
      <c r="K3857" s="40" t="s">
        <v>13</v>
      </c>
      <c r="L3857" s="26">
        <v>2900</v>
      </c>
      <c r="M3857" s="26">
        <v>33</v>
      </c>
      <c r="N3857" s="25">
        <f t="shared" si="121"/>
        <v>95700</v>
      </c>
      <c r="O3857" s="56"/>
    </row>
    <row r="3858" spans="1:15" hidden="1" x14ac:dyDescent="0.3">
      <c r="A3858" s="26">
        <v>33</v>
      </c>
      <c r="B3858" s="20" t="str">
        <f t="shared" si="120"/>
        <v>AUG</v>
      </c>
      <c r="C3858" s="21">
        <v>46250</v>
      </c>
      <c r="D3858" s="22" t="str">
        <f>IFERROR(INDEX('Kode Outlet dan Target Toko'!$A:$A,MATCH($I3858,'Kode Outlet dan Target Toko'!$E:$E,0)),"")</f>
        <v>GRSM 5</v>
      </c>
      <c r="E3858" s="20" t="str">
        <f>IFERROR(VLOOKUP(I3858,KET!$B:$F,4,0),"")</f>
        <v>SUPRIYATI</v>
      </c>
      <c r="F3858" s="20" t="str">
        <f>IFERROR(VLOOKUP(I3858,KET!$B:$F,5,0),"")</f>
        <v>GMM</v>
      </c>
      <c r="G3858" s="20">
        <f>IFERROR(INDEX('Kode Outlet dan Target Toko'!$C:$C,MATCH($I3858,'Kode Outlet dan Target Toko'!$E:$E,0)),0)</f>
        <v>211009</v>
      </c>
      <c r="H3858" s="20">
        <f>IFERROR(INDEX('Kode Outlet dan Target Toko'!$D:$D,MATCH($I3858,'Kode Outlet dan Target Toko'!$E:$E,0)),0)</f>
        <v>2100003</v>
      </c>
      <c r="I3858" s="42" t="s">
        <v>118</v>
      </c>
      <c r="J3858" s="56" t="s">
        <v>231</v>
      </c>
      <c r="K3858" s="40" t="s">
        <v>16</v>
      </c>
      <c r="L3858" s="26">
        <v>2900</v>
      </c>
      <c r="M3858" s="26">
        <v>201</v>
      </c>
      <c r="N3858" s="25">
        <f t="shared" si="121"/>
        <v>582900</v>
      </c>
      <c r="O3858" s="56">
        <v>160</v>
      </c>
    </row>
    <row r="3859" spans="1:15" hidden="1" x14ac:dyDescent="0.3">
      <c r="A3859" s="26">
        <v>33</v>
      </c>
      <c r="B3859" s="20" t="str">
        <f t="shared" si="120"/>
        <v>AUG</v>
      </c>
      <c r="C3859" s="21">
        <v>46248</v>
      </c>
      <c r="D3859" s="22" t="str">
        <f>IFERROR(INDEX('Kode Outlet dan Target Toko'!$A:$A,MATCH($I3859,'Kode Outlet dan Target Toko'!$E:$E,0)),"")</f>
        <v>GRSM 7</v>
      </c>
      <c r="E3859" s="20" t="str">
        <f>IFERROR(VLOOKUP(I3859,KET!$B:$F,4,0),"")</f>
        <v>INDRI</v>
      </c>
      <c r="F3859" s="20" t="str">
        <f>IFERROR(VLOOKUP(I3859,KET!$B:$F,5,0),"")</f>
        <v>GMM</v>
      </c>
      <c r="G3859" s="20">
        <f>IFERROR(INDEX('Kode Outlet dan Target Toko'!$C:$C,MATCH($I3859,'Kode Outlet dan Target Toko'!$E:$E,0)),0)</f>
        <v>211074</v>
      </c>
      <c r="H3859" s="20">
        <f>IFERROR(INDEX('Kode Outlet dan Target Toko'!$D:$D,MATCH($I3859,'Kode Outlet dan Target Toko'!$E:$E,0)),0)</f>
        <v>2217375</v>
      </c>
      <c r="I3859" s="42" t="s">
        <v>85</v>
      </c>
      <c r="J3859" s="56" t="s">
        <v>209</v>
      </c>
      <c r="K3859" s="40" t="s">
        <v>15</v>
      </c>
      <c r="L3859" s="26">
        <v>3200</v>
      </c>
      <c r="M3859" s="26">
        <v>16</v>
      </c>
      <c r="N3859" s="25">
        <f t="shared" si="121"/>
        <v>51200</v>
      </c>
      <c r="O3859" s="56"/>
    </row>
    <row r="3860" spans="1:15" hidden="1" x14ac:dyDescent="0.3">
      <c r="A3860" s="26">
        <v>33</v>
      </c>
      <c r="B3860" s="20" t="str">
        <f t="shared" si="120"/>
        <v>AUG</v>
      </c>
      <c r="C3860" s="21">
        <v>46248</v>
      </c>
      <c r="D3860" s="22" t="str">
        <f>IFERROR(INDEX('Kode Outlet dan Target Toko'!$A:$A,MATCH($I3860,'Kode Outlet dan Target Toko'!$E:$E,0)),"")</f>
        <v>GRSM 7</v>
      </c>
      <c r="E3860" s="20" t="str">
        <f>IFERROR(VLOOKUP(I3860,KET!$B:$F,4,0),"")</f>
        <v>INDRI</v>
      </c>
      <c r="F3860" s="20" t="str">
        <f>IFERROR(VLOOKUP(I3860,KET!$B:$F,5,0),"")</f>
        <v>GMM</v>
      </c>
      <c r="G3860" s="20">
        <f>IFERROR(INDEX('Kode Outlet dan Target Toko'!$C:$C,MATCH($I3860,'Kode Outlet dan Target Toko'!$E:$E,0)),0)</f>
        <v>211074</v>
      </c>
      <c r="H3860" s="20">
        <f>IFERROR(INDEX('Kode Outlet dan Target Toko'!$D:$D,MATCH($I3860,'Kode Outlet dan Target Toko'!$E:$E,0)),0)</f>
        <v>2217375</v>
      </c>
      <c r="I3860" s="42" t="s">
        <v>85</v>
      </c>
      <c r="J3860" s="56" t="s">
        <v>209</v>
      </c>
      <c r="K3860" s="40" t="s">
        <v>14</v>
      </c>
      <c r="L3860" s="26">
        <v>3200</v>
      </c>
      <c r="M3860" s="26">
        <v>44</v>
      </c>
      <c r="N3860" s="25">
        <f t="shared" si="121"/>
        <v>140800</v>
      </c>
      <c r="O3860" s="56"/>
    </row>
    <row r="3861" spans="1:15" hidden="1" x14ac:dyDescent="0.3">
      <c r="A3861" s="26">
        <v>33</v>
      </c>
      <c r="B3861" s="20" t="str">
        <f t="shared" si="120"/>
        <v>AUG</v>
      </c>
      <c r="C3861" s="21">
        <v>46248</v>
      </c>
      <c r="D3861" s="22" t="str">
        <f>IFERROR(INDEX('Kode Outlet dan Target Toko'!$A:$A,MATCH($I3861,'Kode Outlet dan Target Toko'!$E:$E,0)),"")</f>
        <v>GRSM 7</v>
      </c>
      <c r="E3861" s="20" t="str">
        <f>IFERROR(VLOOKUP(I3861,KET!$B:$F,4,0),"")</f>
        <v>INDRI</v>
      </c>
      <c r="F3861" s="20" t="str">
        <f>IFERROR(VLOOKUP(I3861,KET!$B:$F,5,0),"")</f>
        <v>GMM</v>
      </c>
      <c r="G3861" s="20">
        <f>IFERROR(INDEX('Kode Outlet dan Target Toko'!$C:$C,MATCH($I3861,'Kode Outlet dan Target Toko'!$E:$E,0)),0)</f>
        <v>211074</v>
      </c>
      <c r="H3861" s="20">
        <f>IFERROR(INDEX('Kode Outlet dan Target Toko'!$D:$D,MATCH($I3861,'Kode Outlet dan Target Toko'!$E:$E,0)),0)</f>
        <v>2217375</v>
      </c>
      <c r="I3861" s="42" t="s">
        <v>85</v>
      </c>
      <c r="J3861" s="56" t="s">
        <v>209</v>
      </c>
      <c r="K3861" s="40" t="s">
        <v>13</v>
      </c>
      <c r="L3861" s="26">
        <v>3200</v>
      </c>
      <c r="M3861" s="26">
        <v>12</v>
      </c>
      <c r="N3861" s="25">
        <f t="shared" si="121"/>
        <v>38400</v>
      </c>
      <c r="O3861" s="56"/>
    </row>
    <row r="3862" spans="1:15" hidden="1" x14ac:dyDescent="0.3">
      <c r="A3862" s="26">
        <v>33</v>
      </c>
      <c r="B3862" s="20" t="str">
        <f t="shared" si="120"/>
        <v>AUG</v>
      </c>
      <c r="C3862" s="21">
        <v>46248</v>
      </c>
      <c r="D3862" s="22" t="str">
        <f>IFERROR(INDEX('Kode Outlet dan Target Toko'!$A:$A,MATCH($I3862,'Kode Outlet dan Target Toko'!$E:$E,0)),"")</f>
        <v>GRSM 7</v>
      </c>
      <c r="E3862" s="20" t="str">
        <f>IFERROR(VLOOKUP(I3862,KET!$B:$F,4,0),"")</f>
        <v>INDRI</v>
      </c>
      <c r="F3862" s="20" t="str">
        <f>IFERROR(VLOOKUP(I3862,KET!$B:$F,5,0),"")</f>
        <v>GMM</v>
      </c>
      <c r="G3862" s="20">
        <f>IFERROR(INDEX('Kode Outlet dan Target Toko'!$C:$C,MATCH($I3862,'Kode Outlet dan Target Toko'!$E:$E,0)),0)</f>
        <v>211074</v>
      </c>
      <c r="H3862" s="20">
        <f>IFERROR(INDEX('Kode Outlet dan Target Toko'!$D:$D,MATCH($I3862,'Kode Outlet dan Target Toko'!$E:$E,0)),0)</f>
        <v>2217375</v>
      </c>
      <c r="I3862" s="42" t="s">
        <v>85</v>
      </c>
      <c r="J3862" s="56" t="s">
        <v>209</v>
      </c>
      <c r="K3862" s="40" t="s">
        <v>16</v>
      </c>
      <c r="L3862" s="26">
        <v>3200</v>
      </c>
      <c r="M3862" s="26">
        <v>226</v>
      </c>
      <c r="N3862" s="25">
        <f t="shared" si="121"/>
        <v>723200</v>
      </c>
      <c r="O3862" s="56">
        <v>160</v>
      </c>
    </row>
    <row r="3863" spans="1:15" hidden="1" x14ac:dyDescent="0.3">
      <c r="A3863" s="26">
        <v>33</v>
      </c>
      <c r="B3863" s="20" t="str">
        <f t="shared" si="120"/>
        <v>AUG</v>
      </c>
      <c r="C3863" s="21">
        <v>46248</v>
      </c>
      <c r="D3863" s="22" t="str">
        <f>IFERROR(INDEX('Kode Outlet dan Target Toko'!$A:$A,MATCH($I3863,'Kode Outlet dan Target Toko'!$E:$E,0)),"")</f>
        <v>GRSM 7</v>
      </c>
      <c r="E3863" s="20" t="str">
        <f>IFERROR(VLOOKUP(I3863,KET!$B:$F,4,0),"")</f>
        <v>INDRI</v>
      </c>
      <c r="F3863" s="20" t="str">
        <f>IFERROR(VLOOKUP(I3863,KET!$B:$F,5,0),"")</f>
        <v>GMM</v>
      </c>
      <c r="G3863" s="20">
        <f>IFERROR(INDEX('Kode Outlet dan Target Toko'!$C:$C,MATCH($I3863,'Kode Outlet dan Target Toko'!$E:$E,0)),0)</f>
        <v>211074</v>
      </c>
      <c r="H3863" s="20">
        <f>IFERROR(INDEX('Kode Outlet dan Target Toko'!$D:$D,MATCH($I3863,'Kode Outlet dan Target Toko'!$E:$E,0)),0)</f>
        <v>2217375</v>
      </c>
      <c r="I3863" s="42" t="s">
        <v>85</v>
      </c>
      <c r="J3863" s="56" t="s">
        <v>210</v>
      </c>
      <c r="K3863" s="40" t="s">
        <v>15</v>
      </c>
      <c r="L3863" s="26">
        <v>3200</v>
      </c>
      <c r="M3863" s="26">
        <v>16</v>
      </c>
      <c r="N3863" s="25">
        <f t="shared" si="121"/>
        <v>51200</v>
      </c>
      <c r="O3863" s="56"/>
    </row>
    <row r="3864" spans="1:15" hidden="1" x14ac:dyDescent="0.3">
      <c r="A3864" s="26">
        <v>33</v>
      </c>
      <c r="B3864" s="20" t="str">
        <f t="shared" si="120"/>
        <v>AUG</v>
      </c>
      <c r="C3864" s="21">
        <v>46248</v>
      </c>
      <c r="D3864" s="22" t="str">
        <f>IFERROR(INDEX('Kode Outlet dan Target Toko'!$A:$A,MATCH($I3864,'Kode Outlet dan Target Toko'!$E:$E,0)),"")</f>
        <v>GRSM 7</v>
      </c>
      <c r="E3864" s="20" t="str">
        <f>IFERROR(VLOOKUP(I3864,KET!$B:$F,4,0),"")</f>
        <v>INDRI</v>
      </c>
      <c r="F3864" s="20" t="str">
        <f>IFERROR(VLOOKUP(I3864,KET!$B:$F,5,0),"")</f>
        <v>GMM</v>
      </c>
      <c r="G3864" s="20">
        <f>IFERROR(INDEX('Kode Outlet dan Target Toko'!$C:$C,MATCH($I3864,'Kode Outlet dan Target Toko'!$E:$E,0)),0)</f>
        <v>211074</v>
      </c>
      <c r="H3864" s="20">
        <f>IFERROR(INDEX('Kode Outlet dan Target Toko'!$D:$D,MATCH($I3864,'Kode Outlet dan Target Toko'!$E:$E,0)),0)</f>
        <v>2217375</v>
      </c>
      <c r="I3864" s="42" t="s">
        <v>85</v>
      </c>
      <c r="J3864" s="56" t="s">
        <v>210</v>
      </c>
      <c r="K3864" s="40" t="s">
        <v>14</v>
      </c>
      <c r="L3864" s="26">
        <v>3200</v>
      </c>
      <c r="M3864" s="26">
        <v>44</v>
      </c>
      <c r="N3864" s="25">
        <f t="shared" si="121"/>
        <v>140800</v>
      </c>
      <c r="O3864" s="56"/>
    </row>
    <row r="3865" spans="1:15" hidden="1" x14ac:dyDescent="0.3">
      <c r="A3865" s="26">
        <v>33</v>
      </c>
      <c r="B3865" s="20" t="str">
        <f t="shared" si="120"/>
        <v>AUG</v>
      </c>
      <c r="C3865" s="21">
        <v>46248</v>
      </c>
      <c r="D3865" s="22" t="str">
        <f>IFERROR(INDEX('Kode Outlet dan Target Toko'!$A:$A,MATCH($I3865,'Kode Outlet dan Target Toko'!$E:$E,0)),"")</f>
        <v>GRSM 7</v>
      </c>
      <c r="E3865" s="20" t="str">
        <f>IFERROR(VLOOKUP(I3865,KET!$B:$F,4,0),"")</f>
        <v>INDRI</v>
      </c>
      <c r="F3865" s="20" t="str">
        <f>IFERROR(VLOOKUP(I3865,KET!$B:$F,5,0),"")</f>
        <v>GMM</v>
      </c>
      <c r="G3865" s="20">
        <f>IFERROR(INDEX('Kode Outlet dan Target Toko'!$C:$C,MATCH($I3865,'Kode Outlet dan Target Toko'!$E:$E,0)),0)</f>
        <v>211074</v>
      </c>
      <c r="H3865" s="20">
        <f>IFERROR(INDEX('Kode Outlet dan Target Toko'!$D:$D,MATCH($I3865,'Kode Outlet dan Target Toko'!$E:$E,0)),0)</f>
        <v>2217375</v>
      </c>
      <c r="I3865" s="42" t="s">
        <v>85</v>
      </c>
      <c r="J3865" s="56" t="s">
        <v>210</v>
      </c>
      <c r="K3865" s="40" t="s">
        <v>13</v>
      </c>
      <c r="L3865" s="26">
        <v>3200</v>
      </c>
      <c r="M3865" s="26">
        <v>12</v>
      </c>
      <c r="N3865" s="25">
        <f t="shared" si="121"/>
        <v>38400</v>
      </c>
      <c r="O3865" s="56"/>
    </row>
    <row r="3866" spans="1:15" hidden="1" x14ac:dyDescent="0.3">
      <c r="A3866" s="26">
        <v>33</v>
      </c>
      <c r="B3866" s="20" t="str">
        <f t="shared" si="120"/>
        <v>AUG</v>
      </c>
      <c r="C3866" s="21">
        <v>46248</v>
      </c>
      <c r="D3866" s="22" t="str">
        <f>IFERROR(INDEX('Kode Outlet dan Target Toko'!$A:$A,MATCH($I3866,'Kode Outlet dan Target Toko'!$E:$E,0)),"")</f>
        <v>GRSM 7</v>
      </c>
      <c r="E3866" s="20" t="str">
        <f>IFERROR(VLOOKUP(I3866,KET!$B:$F,4,0),"")</f>
        <v>INDRI</v>
      </c>
      <c r="F3866" s="20" t="str">
        <f>IFERROR(VLOOKUP(I3866,KET!$B:$F,5,0),"")</f>
        <v>GMM</v>
      </c>
      <c r="G3866" s="20">
        <f>IFERROR(INDEX('Kode Outlet dan Target Toko'!$C:$C,MATCH($I3866,'Kode Outlet dan Target Toko'!$E:$E,0)),0)</f>
        <v>211074</v>
      </c>
      <c r="H3866" s="20">
        <f>IFERROR(INDEX('Kode Outlet dan Target Toko'!$D:$D,MATCH($I3866,'Kode Outlet dan Target Toko'!$E:$E,0)),0)</f>
        <v>2217375</v>
      </c>
      <c r="I3866" s="42" t="s">
        <v>85</v>
      </c>
      <c r="J3866" s="56" t="s">
        <v>210</v>
      </c>
      <c r="K3866" s="40" t="s">
        <v>16</v>
      </c>
      <c r="L3866" s="26">
        <v>3200</v>
      </c>
      <c r="M3866" s="26">
        <v>226</v>
      </c>
      <c r="N3866" s="25">
        <f t="shared" si="121"/>
        <v>723200</v>
      </c>
      <c r="O3866" s="56">
        <v>160</v>
      </c>
    </row>
    <row r="3867" spans="1:15" hidden="1" x14ac:dyDescent="0.3">
      <c r="A3867" s="26">
        <v>33</v>
      </c>
      <c r="B3867" s="20" t="str">
        <f t="shared" si="120"/>
        <v>AUG</v>
      </c>
      <c r="C3867" s="21">
        <v>46248</v>
      </c>
      <c r="D3867" s="22" t="str">
        <f>IFERROR(INDEX('Kode Outlet dan Target Toko'!$A:$A,MATCH($I3867,'Kode Outlet dan Target Toko'!$E:$E,0)),"")</f>
        <v>GRSM 7</v>
      </c>
      <c r="E3867" s="20" t="str">
        <f>IFERROR(VLOOKUP(I3867,KET!$B:$F,4,0),"")</f>
        <v>INDRI</v>
      </c>
      <c r="F3867" s="20" t="str">
        <f>IFERROR(VLOOKUP(I3867,KET!$B:$F,5,0),"")</f>
        <v>GMM</v>
      </c>
      <c r="G3867" s="20">
        <f>IFERROR(INDEX('Kode Outlet dan Target Toko'!$C:$C,MATCH($I3867,'Kode Outlet dan Target Toko'!$E:$E,0)),0)</f>
        <v>103783</v>
      </c>
      <c r="H3867" s="20">
        <f>IFERROR(INDEX('Kode Outlet dan Target Toko'!$D:$D,MATCH($I3867,'Kode Outlet dan Target Toko'!$E:$E,0)),0)</f>
        <v>7500032</v>
      </c>
      <c r="I3867" s="42" t="s">
        <v>122</v>
      </c>
      <c r="J3867" s="56" t="s">
        <v>303</v>
      </c>
      <c r="K3867" s="40" t="s">
        <v>15</v>
      </c>
      <c r="L3867" s="26">
        <v>6395</v>
      </c>
      <c r="M3867" s="26">
        <v>33</v>
      </c>
      <c r="N3867" s="25">
        <f t="shared" si="121"/>
        <v>211035</v>
      </c>
      <c r="O3867" s="56"/>
    </row>
    <row r="3868" spans="1:15" hidden="1" x14ac:dyDescent="0.3">
      <c r="A3868" s="26">
        <v>33</v>
      </c>
      <c r="B3868" s="20" t="str">
        <f t="shared" si="120"/>
        <v>AUG</v>
      </c>
      <c r="C3868" s="21">
        <v>46248</v>
      </c>
      <c r="D3868" s="22" t="str">
        <f>IFERROR(INDEX('Kode Outlet dan Target Toko'!$A:$A,MATCH($I3868,'Kode Outlet dan Target Toko'!$E:$E,0)),"")</f>
        <v>GRSM 7</v>
      </c>
      <c r="E3868" s="20" t="str">
        <f>IFERROR(VLOOKUP(I3868,KET!$B:$F,4,0),"")</f>
        <v>INDRI</v>
      </c>
      <c r="F3868" s="20" t="str">
        <f>IFERROR(VLOOKUP(I3868,KET!$B:$F,5,0),"")</f>
        <v>GMM</v>
      </c>
      <c r="G3868" s="20">
        <f>IFERROR(INDEX('Kode Outlet dan Target Toko'!$C:$C,MATCH($I3868,'Kode Outlet dan Target Toko'!$E:$E,0)),0)</f>
        <v>103783</v>
      </c>
      <c r="H3868" s="20">
        <f>IFERROR(INDEX('Kode Outlet dan Target Toko'!$D:$D,MATCH($I3868,'Kode Outlet dan Target Toko'!$E:$E,0)),0)</f>
        <v>7500032</v>
      </c>
      <c r="I3868" s="42" t="s">
        <v>122</v>
      </c>
      <c r="J3868" s="56" t="s">
        <v>303</v>
      </c>
      <c r="K3868" s="40" t="s">
        <v>14</v>
      </c>
      <c r="L3868" s="26">
        <v>6395</v>
      </c>
      <c r="M3868" s="26">
        <v>51</v>
      </c>
      <c r="N3868" s="25">
        <f t="shared" si="121"/>
        <v>326145</v>
      </c>
      <c r="O3868" s="56"/>
    </row>
    <row r="3869" spans="1:15" hidden="1" x14ac:dyDescent="0.3">
      <c r="A3869" s="26">
        <v>33</v>
      </c>
      <c r="B3869" s="20" t="str">
        <f t="shared" si="120"/>
        <v>AUG</v>
      </c>
      <c r="C3869" s="21">
        <v>46248</v>
      </c>
      <c r="D3869" s="22" t="str">
        <f>IFERROR(INDEX('Kode Outlet dan Target Toko'!$A:$A,MATCH($I3869,'Kode Outlet dan Target Toko'!$E:$E,0)),"")</f>
        <v>GRSM 7</v>
      </c>
      <c r="E3869" s="20" t="str">
        <f>IFERROR(VLOOKUP(I3869,KET!$B:$F,4,0),"")</f>
        <v>INDRI</v>
      </c>
      <c r="F3869" s="20" t="str">
        <f>IFERROR(VLOOKUP(I3869,KET!$B:$F,5,0),"")</f>
        <v>GMM</v>
      </c>
      <c r="G3869" s="20">
        <f>IFERROR(INDEX('Kode Outlet dan Target Toko'!$C:$C,MATCH($I3869,'Kode Outlet dan Target Toko'!$E:$E,0)),0)</f>
        <v>103783</v>
      </c>
      <c r="H3869" s="20">
        <f>IFERROR(INDEX('Kode Outlet dan Target Toko'!$D:$D,MATCH($I3869,'Kode Outlet dan Target Toko'!$E:$E,0)),0)</f>
        <v>7500032</v>
      </c>
      <c r="I3869" s="42" t="s">
        <v>122</v>
      </c>
      <c r="J3869" s="56" t="s">
        <v>303</v>
      </c>
      <c r="K3869" s="40" t="s">
        <v>13</v>
      </c>
      <c r="L3869" s="26">
        <v>6395</v>
      </c>
      <c r="M3869" s="26">
        <v>45</v>
      </c>
      <c r="N3869" s="25">
        <f t="shared" si="121"/>
        <v>287775</v>
      </c>
      <c r="O3869" s="56"/>
    </row>
    <row r="3870" spans="1:15" hidden="1" x14ac:dyDescent="0.3">
      <c r="A3870" s="26">
        <v>33</v>
      </c>
      <c r="B3870" s="20" t="str">
        <f t="shared" si="120"/>
        <v>AUG</v>
      </c>
      <c r="C3870" s="21">
        <v>46248</v>
      </c>
      <c r="D3870" s="22" t="str">
        <f>IFERROR(INDEX('Kode Outlet dan Target Toko'!$A:$A,MATCH($I3870,'Kode Outlet dan Target Toko'!$E:$E,0)),"")</f>
        <v>GRSM 7</v>
      </c>
      <c r="E3870" s="20" t="str">
        <f>IFERROR(VLOOKUP(I3870,KET!$B:$F,4,0),"")</f>
        <v>INDRI</v>
      </c>
      <c r="F3870" s="20" t="str">
        <f>IFERROR(VLOOKUP(I3870,KET!$B:$F,5,0),"")</f>
        <v>GMM</v>
      </c>
      <c r="G3870" s="20">
        <f>IFERROR(INDEX('Kode Outlet dan Target Toko'!$C:$C,MATCH($I3870,'Kode Outlet dan Target Toko'!$E:$E,0)),0)</f>
        <v>103783</v>
      </c>
      <c r="H3870" s="20">
        <f>IFERROR(INDEX('Kode Outlet dan Target Toko'!$D:$D,MATCH($I3870,'Kode Outlet dan Target Toko'!$E:$E,0)),0)</f>
        <v>7500032</v>
      </c>
      <c r="I3870" s="42" t="s">
        <v>122</v>
      </c>
      <c r="J3870" s="56" t="s">
        <v>303</v>
      </c>
      <c r="K3870" s="40" t="s">
        <v>16</v>
      </c>
      <c r="L3870" s="26">
        <v>6395</v>
      </c>
      <c r="M3870" s="26">
        <v>33</v>
      </c>
      <c r="N3870" s="25">
        <f t="shared" si="121"/>
        <v>211035</v>
      </c>
      <c r="O3870" s="56">
        <v>160</v>
      </c>
    </row>
    <row r="3871" spans="1:15" hidden="1" x14ac:dyDescent="0.3">
      <c r="A3871" s="26">
        <v>33</v>
      </c>
      <c r="B3871" s="20" t="str">
        <f t="shared" si="120"/>
        <v>AUG</v>
      </c>
      <c r="C3871" s="21">
        <v>46248</v>
      </c>
      <c r="D3871" s="22" t="str">
        <f>IFERROR(INDEX('Kode Outlet dan Target Toko'!$A:$A,MATCH($I3871,'Kode Outlet dan Target Toko'!$E:$E,0)),"")</f>
        <v>GRSM 7</v>
      </c>
      <c r="E3871" s="20" t="str">
        <f>IFERROR(VLOOKUP(I3871,KET!$B:$F,4,0),"")</f>
        <v>INDRI</v>
      </c>
      <c r="F3871" s="20" t="str">
        <f>IFERROR(VLOOKUP(I3871,KET!$B:$F,5,0),"")</f>
        <v>GMM</v>
      </c>
      <c r="G3871" s="20">
        <f>IFERROR(INDEX('Kode Outlet dan Target Toko'!$C:$C,MATCH($I3871,'Kode Outlet dan Target Toko'!$E:$E,0)),0)</f>
        <v>103783</v>
      </c>
      <c r="H3871" s="20">
        <f>IFERROR(INDEX('Kode Outlet dan Target Toko'!$D:$D,MATCH($I3871,'Kode Outlet dan Target Toko'!$E:$E,0)),0)</f>
        <v>7500032</v>
      </c>
      <c r="I3871" s="42" t="s">
        <v>122</v>
      </c>
      <c r="J3871" s="56" t="s">
        <v>234</v>
      </c>
      <c r="K3871" s="40" t="s">
        <v>15</v>
      </c>
      <c r="L3871" s="26">
        <v>6395</v>
      </c>
      <c r="M3871" s="26">
        <v>33</v>
      </c>
      <c r="N3871" s="25">
        <f t="shared" si="121"/>
        <v>211035</v>
      </c>
      <c r="O3871" s="56"/>
    </row>
    <row r="3872" spans="1:15" hidden="1" x14ac:dyDescent="0.3">
      <c r="A3872" s="26">
        <v>33</v>
      </c>
      <c r="B3872" s="20" t="str">
        <f t="shared" si="120"/>
        <v>AUG</v>
      </c>
      <c r="C3872" s="21">
        <v>46248</v>
      </c>
      <c r="D3872" s="22" t="str">
        <f>IFERROR(INDEX('Kode Outlet dan Target Toko'!$A:$A,MATCH($I3872,'Kode Outlet dan Target Toko'!$E:$E,0)),"")</f>
        <v>GRSM 7</v>
      </c>
      <c r="E3872" s="20" t="str">
        <f>IFERROR(VLOOKUP(I3872,KET!$B:$F,4,0),"")</f>
        <v>INDRI</v>
      </c>
      <c r="F3872" s="20" t="str">
        <f>IFERROR(VLOOKUP(I3872,KET!$B:$F,5,0),"")</f>
        <v>GMM</v>
      </c>
      <c r="G3872" s="20">
        <f>IFERROR(INDEX('Kode Outlet dan Target Toko'!$C:$C,MATCH($I3872,'Kode Outlet dan Target Toko'!$E:$E,0)),0)</f>
        <v>103783</v>
      </c>
      <c r="H3872" s="20">
        <f>IFERROR(INDEX('Kode Outlet dan Target Toko'!$D:$D,MATCH($I3872,'Kode Outlet dan Target Toko'!$E:$E,0)),0)</f>
        <v>7500032</v>
      </c>
      <c r="I3872" s="42" t="s">
        <v>122</v>
      </c>
      <c r="J3872" s="56" t="s">
        <v>234</v>
      </c>
      <c r="K3872" s="40" t="s">
        <v>14</v>
      </c>
      <c r="L3872" s="26">
        <v>6395</v>
      </c>
      <c r="M3872" s="26">
        <v>51</v>
      </c>
      <c r="N3872" s="25">
        <f t="shared" si="121"/>
        <v>326145</v>
      </c>
      <c r="O3872" s="56"/>
    </row>
    <row r="3873" spans="1:15" hidden="1" x14ac:dyDescent="0.3">
      <c r="A3873" s="26">
        <v>33</v>
      </c>
      <c r="B3873" s="20" t="str">
        <f t="shared" si="120"/>
        <v>AUG</v>
      </c>
      <c r="C3873" s="21">
        <v>46248</v>
      </c>
      <c r="D3873" s="22" t="str">
        <f>IFERROR(INDEX('Kode Outlet dan Target Toko'!$A:$A,MATCH($I3873,'Kode Outlet dan Target Toko'!$E:$E,0)),"")</f>
        <v>GRSM 7</v>
      </c>
      <c r="E3873" s="20" t="str">
        <f>IFERROR(VLOOKUP(I3873,KET!$B:$F,4,0),"")</f>
        <v>INDRI</v>
      </c>
      <c r="F3873" s="20" t="str">
        <f>IFERROR(VLOOKUP(I3873,KET!$B:$F,5,0),"")</f>
        <v>GMM</v>
      </c>
      <c r="G3873" s="20">
        <f>IFERROR(INDEX('Kode Outlet dan Target Toko'!$C:$C,MATCH($I3873,'Kode Outlet dan Target Toko'!$E:$E,0)),0)</f>
        <v>103783</v>
      </c>
      <c r="H3873" s="20">
        <f>IFERROR(INDEX('Kode Outlet dan Target Toko'!$D:$D,MATCH($I3873,'Kode Outlet dan Target Toko'!$E:$E,0)),0)</f>
        <v>7500032</v>
      </c>
      <c r="I3873" s="42" t="s">
        <v>122</v>
      </c>
      <c r="J3873" s="56" t="s">
        <v>234</v>
      </c>
      <c r="K3873" s="40" t="s">
        <v>13</v>
      </c>
      <c r="L3873" s="26">
        <v>6395</v>
      </c>
      <c r="M3873" s="26">
        <v>45</v>
      </c>
      <c r="N3873" s="25">
        <f t="shared" si="121"/>
        <v>287775</v>
      </c>
      <c r="O3873" s="56"/>
    </row>
    <row r="3874" spans="1:15" hidden="1" x14ac:dyDescent="0.3">
      <c r="A3874" s="26">
        <v>33</v>
      </c>
      <c r="B3874" s="20" t="str">
        <f t="shared" si="120"/>
        <v>AUG</v>
      </c>
      <c r="C3874" s="21">
        <v>46248</v>
      </c>
      <c r="D3874" s="22" t="str">
        <f>IFERROR(INDEX('Kode Outlet dan Target Toko'!$A:$A,MATCH($I3874,'Kode Outlet dan Target Toko'!$E:$E,0)),"")</f>
        <v>GRSM 7</v>
      </c>
      <c r="E3874" s="20" t="str">
        <f>IFERROR(VLOOKUP(I3874,KET!$B:$F,4,0),"")</f>
        <v>INDRI</v>
      </c>
      <c r="F3874" s="20" t="str">
        <f>IFERROR(VLOOKUP(I3874,KET!$B:$F,5,0),"")</f>
        <v>GMM</v>
      </c>
      <c r="G3874" s="20">
        <f>IFERROR(INDEX('Kode Outlet dan Target Toko'!$C:$C,MATCH($I3874,'Kode Outlet dan Target Toko'!$E:$E,0)),0)</f>
        <v>103783</v>
      </c>
      <c r="H3874" s="20">
        <f>IFERROR(INDEX('Kode Outlet dan Target Toko'!$D:$D,MATCH($I3874,'Kode Outlet dan Target Toko'!$E:$E,0)),0)</f>
        <v>7500032</v>
      </c>
      <c r="I3874" s="42" t="s">
        <v>122</v>
      </c>
      <c r="J3874" s="56" t="s">
        <v>234</v>
      </c>
      <c r="K3874" s="40" t="s">
        <v>16</v>
      </c>
      <c r="L3874" s="26">
        <v>6395</v>
      </c>
      <c r="M3874" s="26">
        <v>33</v>
      </c>
      <c r="N3874" s="25">
        <f t="shared" si="121"/>
        <v>211035</v>
      </c>
      <c r="O3874" s="56">
        <v>160</v>
      </c>
    </row>
    <row r="3875" spans="1:15" hidden="1" x14ac:dyDescent="0.3">
      <c r="A3875" s="26">
        <v>33</v>
      </c>
      <c r="B3875" s="20" t="str">
        <f t="shared" si="120"/>
        <v>AUG</v>
      </c>
      <c r="C3875" s="21">
        <v>46248</v>
      </c>
      <c r="D3875" s="22" t="str">
        <f>IFERROR(INDEX('Kode Outlet dan Target Toko'!$A:$A,MATCH($I3875,'Kode Outlet dan Target Toko'!$E:$E,0)),"")</f>
        <v>GRSM 7</v>
      </c>
      <c r="E3875" s="20" t="str">
        <f>IFERROR(VLOOKUP(I3875,KET!$B:$F,4,0),"")</f>
        <v>INDRI</v>
      </c>
      <c r="F3875" s="20" t="str">
        <f>IFERROR(VLOOKUP(I3875,KET!$B:$F,5,0),"")</f>
        <v>GMM</v>
      </c>
      <c r="G3875" s="20">
        <f>IFERROR(INDEX('Kode Outlet dan Target Toko'!$C:$C,MATCH($I3875,'Kode Outlet dan Target Toko'!$E:$E,0)),0)</f>
        <v>103783</v>
      </c>
      <c r="H3875" s="20">
        <f>IFERROR(INDEX('Kode Outlet dan Target Toko'!$D:$D,MATCH($I3875,'Kode Outlet dan Target Toko'!$E:$E,0)),0)</f>
        <v>7500090</v>
      </c>
      <c r="I3875" s="42" t="s">
        <v>120</v>
      </c>
      <c r="J3875" s="56" t="s">
        <v>235</v>
      </c>
      <c r="K3875" s="40" t="s">
        <v>15</v>
      </c>
      <c r="L3875" s="26">
        <v>6750</v>
      </c>
      <c r="M3875" s="26">
        <v>24</v>
      </c>
      <c r="N3875" s="25">
        <f t="shared" si="121"/>
        <v>162000</v>
      </c>
      <c r="O3875" s="56"/>
    </row>
    <row r="3876" spans="1:15" hidden="1" x14ac:dyDescent="0.3">
      <c r="A3876" s="26">
        <v>33</v>
      </c>
      <c r="B3876" s="20" t="str">
        <f t="shared" si="120"/>
        <v>AUG</v>
      </c>
      <c r="C3876" s="21">
        <v>46248</v>
      </c>
      <c r="D3876" s="22" t="str">
        <f>IFERROR(INDEX('Kode Outlet dan Target Toko'!$A:$A,MATCH($I3876,'Kode Outlet dan Target Toko'!$E:$E,0)),"")</f>
        <v>GRSM 7</v>
      </c>
      <c r="E3876" s="20" t="str">
        <f>IFERROR(VLOOKUP(I3876,KET!$B:$F,4,0),"")</f>
        <v>INDRI</v>
      </c>
      <c r="F3876" s="20" t="str">
        <f>IFERROR(VLOOKUP(I3876,KET!$B:$F,5,0),"")</f>
        <v>GMM</v>
      </c>
      <c r="G3876" s="20">
        <f>IFERROR(INDEX('Kode Outlet dan Target Toko'!$C:$C,MATCH($I3876,'Kode Outlet dan Target Toko'!$E:$E,0)),0)</f>
        <v>103783</v>
      </c>
      <c r="H3876" s="20">
        <f>IFERROR(INDEX('Kode Outlet dan Target Toko'!$D:$D,MATCH($I3876,'Kode Outlet dan Target Toko'!$E:$E,0)),0)</f>
        <v>7500090</v>
      </c>
      <c r="I3876" s="42" t="s">
        <v>120</v>
      </c>
      <c r="J3876" s="56" t="s">
        <v>235</v>
      </c>
      <c r="K3876" s="40" t="s">
        <v>14</v>
      </c>
      <c r="L3876" s="26">
        <v>6750</v>
      </c>
      <c r="M3876" s="26">
        <v>20</v>
      </c>
      <c r="N3876" s="25">
        <f t="shared" si="121"/>
        <v>135000</v>
      </c>
      <c r="O3876" s="56"/>
    </row>
    <row r="3877" spans="1:15" hidden="1" x14ac:dyDescent="0.3">
      <c r="A3877" s="26">
        <v>33</v>
      </c>
      <c r="B3877" s="20" t="str">
        <f t="shared" si="120"/>
        <v>AUG</v>
      </c>
      <c r="C3877" s="21">
        <v>46248</v>
      </c>
      <c r="D3877" s="22" t="str">
        <f>IFERROR(INDEX('Kode Outlet dan Target Toko'!$A:$A,MATCH($I3877,'Kode Outlet dan Target Toko'!$E:$E,0)),"")</f>
        <v>GRSM 7</v>
      </c>
      <c r="E3877" s="20" t="str">
        <f>IFERROR(VLOOKUP(I3877,KET!$B:$F,4,0),"")</f>
        <v>INDRI</v>
      </c>
      <c r="F3877" s="20" t="str">
        <f>IFERROR(VLOOKUP(I3877,KET!$B:$F,5,0),"")</f>
        <v>GMM</v>
      </c>
      <c r="G3877" s="20">
        <f>IFERROR(INDEX('Kode Outlet dan Target Toko'!$C:$C,MATCH($I3877,'Kode Outlet dan Target Toko'!$E:$E,0)),0)</f>
        <v>103783</v>
      </c>
      <c r="H3877" s="20">
        <f>IFERROR(INDEX('Kode Outlet dan Target Toko'!$D:$D,MATCH($I3877,'Kode Outlet dan Target Toko'!$E:$E,0)),0)</f>
        <v>7500090</v>
      </c>
      <c r="I3877" s="42" t="s">
        <v>120</v>
      </c>
      <c r="J3877" s="56" t="s">
        <v>235</v>
      </c>
      <c r="K3877" s="40" t="s">
        <v>13</v>
      </c>
      <c r="L3877" s="26">
        <v>6750</v>
      </c>
      <c r="M3877" s="26">
        <v>15</v>
      </c>
      <c r="N3877" s="25">
        <f t="shared" si="121"/>
        <v>101250</v>
      </c>
      <c r="O3877" s="56"/>
    </row>
    <row r="3878" spans="1:15" hidden="1" x14ac:dyDescent="0.3">
      <c r="A3878" s="26">
        <v>33</v>
      </c>
      <c r="B3878" s="20" t="str">
        <f t="shared" si="120"/>
        <v>AUG</v>
      </c>
      <c r="C3878" s="21">
        <v>46248</v>
      </c>
      <c r="D3878" s="22" t="str">
        <f>IFERROR(INDEX('Kode Outlet dan Target Toko'!$A:$A,MATCH($I3878,'Kode Outlet dan Target Toko'!$E:$E,0)),"")</f>
        <v>GRSM 7</v>
      </c>
      <c r="E3878" s="20" t="str">
        <f>IFERROR(VLOOKUP(I3878,KET!$B:$F,4,0),"")</f>
        <v>INDRI</v>
      </c>
      <c r="F3878" s="20" t="str">
        <f>IFERROR(VLOOKUP(I3878,KET!$B:$F,5,0),"")</f>
        <v>GMM</v>
      </c>
      <c r="G3878" s="20">
        <f>IFERROR(INDEX('Kode Outlet dan Target Toko'!$C:$C,MATCH($I3878,'Kode Outlet dan Target Toko'!$E:$E,0)),0)</f>
        <v>103783</v>
      </c>
      <c r="H3878" s="20">
        <f>IFERROR(INDEX('Kode Outlet dan Target Toko'!$D:$D,MATCH($I3878,'Kode Outlet dan Target Toko'!$E:$E,0)),0)</f>
        <v>7500090</v>
      </c>
      <c r="I3878" s="42" t="s">
        <v>120</v>
      </c>
      <c r="J3878" s="56" t="s">
        <v>235</v>
      </c>
      <c r="K3878" s="40" t="s">
        <v>16</v>
      </c>
      <c r="L3878" s="26">
        <v>6750</v>
      </c>
      <c r="M3878" s="26">
        <v>35</v>
      </c>
      <c r="N3878" s="25">
        <f t="shared" si="121"/>
        <v>236250</v>
      </c>
      <c r="O3878" s="56">
        <v>160</v>
      </c>
    </row>
    <row r="3879" spans="1:15" hidden="1" x14ac:dyDescent="0.3">
      <c r="A3879" s="26">
        <v>33</v>
      </c>
      <c r="B3879" s="20" t="str">
        <f t="shared" si="120"/>
        <v>AUG</v>
      </c>
      <c r="C3879" s="21">
        <v>46248</v>
      </c>
      <c r="D3879" s="22" t="str">
        <f>IFERROR(INDEX('Kode Outlet dan Target Toko'!$A:$A,MATCH($I3879,'Kode Outlet dan Target Toko'!$E:$E,0)),"")</f>
        <v>GRSM 7</v>
      </c>
      <c r="E3879" s="20" t="str">
        <f>IFERROR(VLOOKUP(I3879,KET!$B:$F,4,0),"")</f>
        <v>INDRI</v>
      </c>
      <c r="F3879" s="20" t="str">
        <f>IFERROR(VLOOKUP(I3879,KET!$B:$F,5,0),"")</f>
        <v>GMM</v>
      </c>
      <c r="G3879" s="20">
        <f>IFERROR(INDEX('Kode Outlet dan Target Toko'!$C:$C,MATCH($I3879,'Kode Outlet dan Target Toko'!$E:$E,0)),0)</f>
        <v>103783</v>
      </c>
      <c r="H3879" s="20">
        <f>IFERROR(INDEX('Kode Outlet dan Target Toko'!$D:$D,MATCH($I3879,'Kode Outlet dan Target Toko'!$E:$E,0)),0)</f>
        <v>7500090</v>
      </c>
      <c r="I3879" s="42" t="s">
        <v>120</v>
      </c>
      <c r="J3879" s="56" t="s">
        <v>236</v>
      </c>
      <c r="K3879" s="40" t="s">
        <v>15</v>
      </c>
      <c r="L3879" s="26">
        <v>6750</v>
      </c>
      <c r="M3879" s="26">
        <v>24</v>
      </c>
      <c r="N3879" s="25">
        <f t="shared" si="121"/>
        <v>162000</v>
      </c>
      <c r="O3879" s="56"/>
    </row>
    <row r="3880" spans="1:15" hidden="1" x14ac:dyDescent="0.3">
      <c r="A3880" s="26">
        <v>33</v>
      </c>
      <c r="B3880" s="20" t="str">
        <f t="shared" si="120"/>
        <v>AUG</v>
      </c>
      <c r="C3880" s="21">
        <v>46248</v>
      </c>
      <c r="D3880" s="22" t="str">
        <f>IFERROR(INDEX('Kode Outlet dan Target Toko'!$A:$A,MATCH($I3880,'Kode Outlet dan Target Toko'!$E:$E,0)),"")</f>
        <v>GRSM 7</v>
      </c>
      <c r="E3880" s="20" t="str">
        <f>IFERROR(VLOOKUP(I3880,KET!$B:$F,4,0),"")</f>
        <v>INDRI</v>
      </c>
      <c r="F3880" s="20" t="str">
        <f>IFERROR(VLOOKUP(I3880,KET!$B:$F,5,0),"")</f>
        <v>GMM</v>
      </c>
      <c r="G3880" s="20">
        <f>IFERROR(INDEX('Kode Outlet dan Target Toko'!$C:$C,MATCH($I3880,'Kode Outlet dan Target Toko'!$E:$E,0)),0)</f>
        <v>103783</v>
      </c>
      <c r="H3880" s="20">
        <f>IFERROR(INDEX('Kode Outlet dan Target Toko'!$D:$D,MATCH($I3880,'Kode Outlet dan Target Toko'!$E:$E,0)),0)</f>
        <v>7500090</v>
      </c>
      <c r="I3880" s="42" t="s">
        <v>120</v>
      </c>
      <c r="J3880" s="56" t="s">
        <v>236</v>
      </c>
      <c r="K3880" s="40" t="s">
        <v>14</v>
      </c>
      <c r="L3880" s="26">
        <v>6750</v>
      </c>
      <c r="M3880" s="26">
        <v>20</v>
      </c>
      <c r="N3880" s="25">
        <f t="shared" si="121"/>
        <v>135000</v>
      </c>
      <c r="O3880" s="56"/>
    </row>
    <row r="3881" spans="1:15" hidden="1" x14ac:dyDescent="0.3">
      <c r="A3881" s="26">
        <v>33</v>
      </c>
      <c r="B3881" s="20" t="str">
        <f t="shared" si="120"/>
        <v>AUG</v>
      </c>
      <c r="C3881" s="21">
        <v>46248</v>
      </c>
      <c r="D3881" s="22" t="str">
        <f>IFERROR(INDEX('Kode Outlet dan Target Toko'!$A:$A,MATCH($I3881,'Kode Outlet dan Target Toko'!$E:$E,0)),"")</f>
        <v>GRSM 7</v>
      </c>
      <c r="E3881" s="20" t="str">
        <f>IFERROR(VLOOKUP(I3881,KET!$B:$F,4,0),"")</f>
        <v>INDRI</v>
      </c>
      <c r="F3881" s="20" t="str">
        <f>IFERROR(VLOOKUP(I3881,KET!$B:$F,5,0),"")</f>
        <v>GMM</v>
      </c>
      <c r="G3881" s="20">
        <f>IFERROR(INDEX('Kode Outlet dan Target Toko'!$C:$C,MATCH($I3881,'Kode Outlet dan Target Toko'!$E:$E,0)),0)</f>
        <v>103783</v>
      </c>
      <c r="H3881" s="20">
        <f>IFERROR(INDEX('Kode Outlet dan Target Toko'!$D:$D,MATCH($I3881,'Kode Outlet dan Target Toko'!$E:$E,0)),0)</f>
        <v>7500090</v>
      </c>
      <c r="I3881" s="42" t="s">
        <v>120</v>
      </c>
      <c r="J3881" s="56" t="s">
        <v>236</v>
      </c>
      <c r="K3881" s="40" t="s">
        <v>13</v>
      </c>
      <c r="L3881" s="26">
        <v>6750</v>
      </c>
      <c r="M3881" s="26">
        <v>15</v>
      </c>
      <c r="N3881" s="25">
        <f t="shared" si="121"/>
        <v>101250</v>
      </c>
      <c r="O3881" s="56"/>
    </row>
    <row r="3882" spans="1:15" hidden="1" x14ac:dyDescent="0.3">
      <c r="A3882" s="26">
        <v>33</v>
      </c>
      <c r="B3882" s="20" t="str">
        <f t="shared" si="120"/>
        <v>AUG</v>
      </c>
      <c r="C3882" s="21">
        <v>46248</v>
      </c>
      <c r="D3882" s="22" t="str">
        <f>IFERROR(INDEX('Kode Outlet dan Target Toko'!$A:$A,MATCH($I3882,'Kode Outlet dan Target Toko'!$E:$E,0)),"")</f>
        <v>GRSM 7</v>
      </c>
      <c r="E3882" s="20" t="str">
        <f>IFERROR(VLOOKUP(I3882,KET!$B:$F,4,0),"")</f>
        <v>INDRI</v>
      </c>
      <c r="F3882" s="20" t="str">
        <f>IFERROR(VLOOKUP(I3882,KET!$B:$F,5,0),"")</f>
        <v>GMM</v>
      </c>
      <c r="G3882" s="20">
        <f>IFERROR(INDEX('Kode Outlet dan Target Toko'!$C:$C,MATCH($I3882,'Kode Outlet dan Target Toko'!$E:$E,0)),0)</f>
        <v>103783</v>
      </c>
      <c r="H3882" s="20">
        <f>IFERROR(INDEX('Kode Outlet dan Target Toko'!$D:$D,MATCH($I3882,'Kode Outlet dan Target Toko'!$E:$E,0)),0)</f>
        <v>7500090</v>
      </c>
      <c r="I3882" s="42" t="s">
        <v>120</v>
      </c>
      <c r="J3882" s="56" t="s">
        <v>236</v>
      </c>
      <c r="K3882" s="40" t="s">
        <v>16</v>
      </c>
      <c r="L3882" s="26">
        <v>6750</v>
      </c>
      <c r="M3882" s="26">
        <v>35</v>
      </c>
      <c r="N3882" s="25">
        <f t="shared" si="121"/>
        <v>236250</v>
      </c>
      <c r="O3882" s="56">
        <v>160</v>
      </c>
    </row>
    <row r="3883" spans="1:15" hidden="1" x14ac:dyDescent="0.3">
      <c r="A3883" s="26">
        <v>33</v>
      </c>
      <c r="B3883" s="20" t="str">
        <f t="shared" si="120"/>
        <v>AUG</v>
      </c>
      <c r="C3883" s="21">
        <v>46248</v>
      </c>
      <c r="D3883" s="22" t="str">
        <f>IFERROR(INDEX('Kode Outlet dan Target Toko'!$A:$A,MATCH($I3883,'Kode Outlet dan Target Toko'!$E:$E,0)),"")</f>
        <v>GRSM 7</v>
      </c>
      <c r="E3883" s="20" t="str">
        <f>IFERROR(VLOOKUP(I3883,KET!$B:$F,4,0),"")</f>
        <v>INDRI</v>
      </c>
      <c r="F3883" s="20" t="str">
        <f>IFERROR(VLOOKUP(I3883,KET!$B:$F,5,0),"")</f>
        <v>GMM</v>
      </c>
      <c r="G3883" s="20">
        <f>IFERROR(INDEX('Kode Outlet dan Target Toko'!$C:$C,MATCH($I3883,'Kode Outlet dan Target Toko'!$E:$E,0)),0)</f>
        <v>103240</v>
      </c>
      <c r="H3883" s="20">
        <f>IFERROR(INDEX('Kode Outlet dan Target Toko'!$D:$D,MATCH($I3883,'Kode Outlet dan Target Toko'!$E:$E,0)),0)</f>
        <v>7112059</v>
      </c>
      <c r="I3883" s="42" t="s">
        <v>116</v>
      </c>
      <c r="J3883" s="56" t="s">
        <v>212</v>
      </c>
      <c r="K3883" s="40" t="s">
        <v>15</v>
      </c>
      <c r="L3883" s="26">
        <v>3200</v>
      </c>
      <c r="M3883" s="26">
        <v>60</v>
      </c>
      <c r="N3883" s="25">
        <f t="shared" si="121"/>
        <v>192000</v>
      </c>
      <c r="O3883" s="56"/>
    </row>
    <row r="3884" spans="1:15" hidden="1" x14ac:dyDescent="0.3">
      <c r="A3884" s="26">
        <v>33</v>
      </c>
      <c r="B3884" s="20" t="str">
        <f t="shared" si="120"/>
        <v>AUG</v>
      </c>
      <c r="C3884" s="21">
        <v>46248</v>
      </c>
      <c r="D3884" s="22" t="str">
        <f>IFERROR(INDEX('Kode Outlet dan Target Toko'!$A:$A,MATCH($I3884,'Kode Outlet dan Target Toko'!$E:$E,0)),"")</f>
        <v>GRSM 7</v>
      </c>
      <c r="E3884" s="20" t="str">
        <f>IFERROR(VLOOKUP(I3884,KET!$B:$F,4,0),"")</f>
        <v>INDRI</v>
      </c>
      <c r="F3884" s="20" t="str">
        <f>IFERROR(VLOOKUP(I3884,KET!$B:$F,5,0),"")</f>
        <v>GMM</v>
      </c>
      <c r="G3884" s="20">
        <f>IFERROR(INDEX('Kode Outlet dan Target Toko'!$C:$C,MATCH($I3884,'Kode Outlet dan Target Toko'!$E:$E,0)),0)</f>
        <v>103240</v>
      </c>
      <c r="H3884" s="20">
        <f>IFERROR(INDEX('Kode Outlet dan Target Toko'!$D:$D,MATCH($I3884,'Kode Outlet dan Target Toko'!$E:$E,0)),0)</f>
        <v>7112059</v>
      </c>
      <c r="I3884" s="42" t="s">
        <v>116</v>
      </c>
      <c r="J3884" s="56" t="s">
        <v>212</v>
      </c>
      <c r="K3884" s="40" t="s">
        <v>14</v>
      </c>
      <c r="L3884" s="26">
        <v>3200</v>
      </c>
      <c r="M3884" s="26">
        <v>67</v>
      </c>
      <c r="N3884" s="25">
        <f t="shared" si="121"/>
        <v>214400</v>
      </c>
      <c r="O3884" s="56"/>
    </row>
    <row r="3885" spans="1:15" hidden="1" x14ac:dyDescent="0.3">
      <c r="A3885" s="26">
        <v>33</v>
      </c>
      <c r="B3885" s="20" t="str">
        <f t="shared" si="120"/>
        <v>AUG</v>
      </c>
      <c r="C3885" s="21">
        <v>46248</v>
      </c>
      <c r="D3885" s="22" t="str">
        <f>IFERROR(INDEX('Kode Outlet dan Target Toko'!$A:$A,MATCH($I3885,'Kode Outlet dan Target Toko'!$E:$E,0)),"")</f>
        <v>GRSM 7</v>
      </c>
      <c r="E3885" s="20" t="str">
        <f>IFERROR(VLOOKUP(I3885,KET!$B:$F,4,0),"")</f>
        <v>INDRI</v>
      </c>
      <c r="F3885" s="20" t="str">
        <f>IFERROR(VLOOKUP(I3885,KET!$B:$F,5,0),"")</f>
        <v>GMM</v>
      </c>
      <c r="G3885" s="20">
        <f>IFERROR(INDEX('Kode Outlet dan Target Toko'!$C:$C,MATCH($I3885,'Kode Outlet dan Target Toko'!$E:$E,0)),0)</f>
        <v>103240</v>
      </c>
      <c r="H3885" s="20">
        <f>IFERROR(INDEX('Kode Outlet dan Target Toko'!$D:$D,MATCH($I3885,'Kode Outlet dan Target Toko'!$E:$E,0)),0)</f>
        <v>7112059</v>
      </c>
      <c r="I3885" s="42" t="s">
        <v>116</v>
      </c>
      <c r="J3885" s="56" t="s">
        <v>212</v>
      </c>
      <c r="K3885" s="40" t="s">
        <v>13</v>
      </c>
      <c r="L3885" s="26">
        <v>3200</v>
      </c>
      <c r="M3885" s="26">
        <v>0</v>
      </c>
      <c r="N3885" s="25">
        <f t="shared" si="121"/>
        <v>0</v>
      </c>
      <c r="O3885" s="56"/>
    </row>
    <row r="3886" spans="1:15" hidden="1" x14ac:dyDescent="0.3">
      <c r="A3886" s="26">
        <v>33</v>
      </c>
      <c r="B3886" s="20" t="str">
        <f t="shared" si="120"/>
        <v>AUG</v>
      </c>
      <c r="C3886" s="21">
        <v>46248</v>
      </c>
      <c r="D3886" s="22" t="str">
        <f>IFERROR(INDEX('Kode Outlet dan Target Toko'!$A:$A,MATCH($I3886,'Kode Outlet dan Target Toko'!$E:$E,0)),"")</f>
        <v>GRSM 7</v>
      </c>
      <c r="E3886" s="20" t="str">
        <f>IFERROR(VLOOKUP(I3886,KET!$B:$F,4,0),"")</f>
        <v>INDRI</v>
      </c>
      <c r="F3886" s="20" t="str">
        <f>IFERROR(VLOOKUP(I3886,KET!$B:$F,5,0),"")</f>
        <v>GMM</v>
      </c>
      <c r="G3886" s="20">
        <f>IFERROR(INDEX('Kode Outlet dan Target Toko'!$C:$C,MATCH($I3886,'Kode Outlet dan Target Toko'!$E:$E,0)),0)</f>
        <v>103240</v>
      </c>
      <c r="H3886" s="20">
        <f>IFERROR(INDEX('Kode Outlet dan Target Toko'!$D:$D,MATCH($I3886,'Kode Outlet dan Target Toko'!$E:$E,0)),0)</f>
        <v>7112059</v>
      </c>
      <c r="I3886" s="42" t="s">
        <v>116</v>
      </c>
      <c r="J3886" s="56" t="s">
        <v>212</v>
      </c>
      <c r="K3886" s="40" t="s">
        <v>16</v>
      </c>
      <c r="L3886" s="26">
        <v>3200</v>
      </c>
      <c r="M3886" s="26">
        <v>107</v>
      </c>
      <c r="N3886" s="25">
        <f t="shared" si="121"/>
        <v>342400</v>
      </c>
      <c r="O3886" s="56">
        <v>160</v>
      </c>
    </row>
    <row r="3887" spans="1:15" hidden="1" x14ac:dyDescent="0.3">
      <c r="A3887" s="26">
        <v>33</v>
      </c>
      <c r="B3887" s="20" t="str">
        <f t="shared" si="120"/>
        <v>AUG</v>
      </c>
      <c r="C3887" s="21">
        <v>46249</v>
      </c>
      <c r="D3887" s="22" t="str">
        <f>IFERROR(INDEX('Kode Outlet dan Target Toko'!$A:$A,MATCH($I3887,'Kode Outlet dan Target Toko'!$E:$E,0)),"")</f>
        <v>GRSM 7</v>
      </c>
      <c r="E3887" s="20" t="str">
        <f>IFERROR(VLOOKUP(I3887,KET!$B:$F,4,0),"")</f>
        <v>INDRI</v>
      </c>
      <c r="F3887" s="20" t="str">
        <f>IFERROR(VLOOKUP(I3887,KET!$B:$F,5,0),"")</f>
        <v>GMM</v>
      </c>
      <c r="G3887" s="20">
        <f>IFERROR(INDEX('Kode Outlet dan Target Toko'!$C:$C,MATCH($I3887,'Kode Outlet dan Target Toko'!$E:$E,0)),0)</f>
        <v>211074</v>
      </c>
      <c r="H3887" s="20">
        <f>IFERROR(INDEX('Kode Outlet dan Target Toko'!$D:$D,MATCH($I3887,'Kode Outlet dan Target Toko'!$E:$E,0)),0)</f>
        <v>2217375</v>
      </c>
      <c r="I3887" s="42" t="s">
        <v>85</v>
      </c>
      <c r="J3887" s="56" t="s">
        <v>209</v>
      </c>
      <c r="K3887" s="40" t="s">
        <v>15</v>
      </c>
      <c r="L3887" s="26">
        <v>3200</v>
      </c>
      <c r="M3887" s="26">
        <v>20</v>
      </c>
      <c r="N3887" s="25">
        <f t="shared" si="121"/>
        <v>64000</v>
      </c>
      <c r="O3887" s="56"/>
    </row>
    <row r="3888" spans="1:15" hidden="1" x14ac:dyDescent="0.3">
      <c r="A3888" s="26">
        <v>33</v>
      </c>
      <c r="B3888" s="20" t="str">
        <f t="shared" si="120"/>
        <v>AUG</v>
      </c>
      <c r="C3888" s="21">
        <v>46249</v>
      </c>
      <c r="D3888" s="22" t="str">
        <f>IFERROR(INDEX('Kode Outlet dan Target Toko'!$A:$A,MATCH($I3888,'Kode Outlet dan Target Toko'!$E:$E,0)),"")</f>
        <v>GRSM 7</v>
      </c>
      <c r="E3888" s="20" t="str">
        <f>IFERROR(VLOOKUP(I3888,KET!$B:$F,4,0),"")</f>
        <v>INDRI</v>
      </c>
      <c r="F3888" s="20" t="str">
        <f>IFERROR(VLOOKUP(I3888,KET!$B:$F,5,0),"")</f>
        <v>GMM</v>
      </c>
      <c r="G3888" s="20">
        <f>IFERROR(INDEX('Kode Outlet dan Target Toko'!$C:$C,MATCH($I3888,'Kode Outlet dan Target Toko'!$E:$E,0)),0)</f>
        <v>211074</v>
      </c>
      <c r="H3888" s="20">
        <f>IFERROR(INDEX('Kode Outlet dan Target Toko'!$D:$D,MATCH($I3888,'Kode Outlet dan Target Toko'!$E:$E,0)),0)</f>
        <v>2217375</v>
      </c>
      <c r="I3888" s="42" t="s">
        <v>85</v>
      </c>
      <c r="J3888" s="56" t="s">
        <v>209</v>
      </c>
      <c r="K3888" s="40" t="s">
        <v>14</v>
      </c>
      <c r="L3888" s="26">
        <v>3200</v>
      </c>
      <c r="M3888" s="26">
        <v>16</v>
      </c>
      <c r="N3888" s="25">
        <f t="shared" si="121"/>
        <v>51200</v>
      </c>
      <c r="O3888" s="56"/>
    </row>
    <row r="3889" spans="1:15" hidden="1" x14ac:dyDescent="0.3">
      <c r="A3889" s="26">
        <v>33</v>
      </c>
      <c r="B3889" s="20" t="str">
        <f t="shared" si="120"/>
        <v>AUG</v>
      </c>
      <c r="C3889" s="21">
        <v>46249</v>
      </c>
      <c r="D3889" s="22" t="str">
        <f>IFERROR(INDEX('Kode Outlet dan Target Toko'!$A:$A,MATCH($I3889,'Kode Outlet dan Target Toko'!$E:$E,0)),"")</f>
        <v>GRSM 7</v>
      </c>
      <c r="E3889" s="20" t="str">
        <f>IFERROR(VLOOKUP(I3889,KET!$B:$F,4,0),"")</f>
        <v>INDRI</v>
      </c>
      <c r="F3889" s="20" t="str">
        <f>IFERROR(VLOOKUP(I3889,KET!$B:$F,5,0),"")</f>
        <v>GMM</v>
      </c>
      <c r="G3889" s="20">
        <f>IFERROR(INDEX('Kode Outlet dan Target Toko'!$C:$C,MATCH($I3889,'Kode Outlet dan Target Toko'!$E:$E,0)),0)</f>
        <v>211074</v>
      </c>
      <c r="H3889" s="20">
        <f>IFERROR(INDEX('Kode Outlet dan Target Toko'!$D:$D,MATCH($I3889,'Kode Outlet dan Target Toko'!$E:$E,0)),0)</f>
        <v>2217375</v>
      </c>
      <c r="I3889" s="42" t="s">
        <v>85</v>
      </c>
      <c r="J3889" s="56" t="s">
        <v>209</v>
      </c>
      <c r="K3889" s="40" t="s">
        <v>13</v>
      </c>
      <c r="L3889" s="26">
        <v>3200</v>
      </c>
      <c r="M3889" s="26">
        <v>10</v>
      </c>
      <c r="N3889" s="25">
        <f t="shared" si="121"/>
        <v>32000</v>
      </c>
      <c r="O3889" s="56"/>
    </row>
    <row r="3890" spans="1:15" hidden="1" x14ac:dyDescent="0.3">
      <c r="A3890" s="26">
        <v>33</v>
      </c>
      <c r="B3890" s="20" t="str">
        <f t="shared" si="120"/>
        <v>AUG</v>
      </c>
      <c r="C3890" s="21">
        <v>46249</v>
      </c>
      <c r="D3890" s="22" t="str">
        <f>IFERROR(INDEX('Kode Outlet dan Target Toko'!$A:$A,MATCH($I3890,'Kode Outlet dan Target Toko'!$E:$E,0)),"")</f>
        <v>GRSM 7</v>
      </c>
      <c r="E3890" s="20" t="str">
        <f>IFERROR(VLOOKUP(I3890,KET!$B:$F,4,0),"")</f>
        <v>INDRI</v>
      </c>
      <c r="F3890" s="20" t="str">
        <f>IFERROR(VLOOKUP(I3890,KET!$B:$F,5,0),"")</f>
        <v>GMM</v>
      </c>
      <c r="G3890" s="20">
        <f>IFERROR(INDEX('Kode Outlet dan Target Toko'!$C:$C,MATCH($I3890,'Kode Outlet dan Target Toko'!$E:$E,0)),0)</f>
        <v>211074</v>
      </c>
      <c r="H3890" s="20">
        <f>IFERROR(INDEX('Kode Outlet dan Target Toko'!$D:$D,MATCH($I3890,'Kode Outlet dan Target Toko'!$E:$E,0)),0)</f>
        <v>2217375</v>
      </c>
      <c r="I3890" s="42" t="s">
        <v>85</v>
      </c>
      <c r="J3890" s="56" t="s">
        <v>209</v>
      </c>
      <c r="K3890" s="40" t="s">
        <v>16</v>
      </c>
      <c r="L3890" s="26">
        <v>3200</v>
      </c>
      <c r="M3890" s="26">
        <v>196</v>
      </c>
      <c r="N3890" s="25">
        <f t="shared" si="121"/>
        <v>627200</v>
      </c>
      <c r="O3890" s="56">
        <v>160</v>
      </c>
    </row>
    <row r="3891" spans="1:15" hidden="1" x14ac:dyDescent="0.3">
      <c r="A3891" s="26">
        <v>33</v>
      </c>
      <c r="B3891" s="20" t="str">
        <f t="shared" si="120"/>
        <v>AUG</v>
      </c>
      <c r="C3891" s="21">
        <v>46249</v>
      </c>
      <c r="D3891" s="22" t="str">
        <f>IFERROR(INDEX('Kode Outlet dan Target Toko'!$A:$A,MATCH($I3891,'Kode Outlet dan Target Toko'!$E:$E,0)),"")</f>
        <v>GRSM 7</v>
      </c>
      <c r="E3891" s="20" t="str">
        <f>IFERROR(VLOOKUP(I3891,KET!$B:$F,4,0),"")</f>
        <v>INDRI</v>
      </c>
      <c r="F3891" s="20" t="str">
        <f>IFERROR(VLOOKUP(I3891,KET!$B:$F,5,0),"")</f>
        <v>GMM</v>
      </c>
      <c r="G3891" s="20">
        <f>IFERROR(INDEX('Kode Outlet dan Target Toko'!$C:$C,MATCH($I3891,'Kode Outlet dan Target Toko'!$E:$E,0)),0)</f>
        <v>211074</v>
      </c>
      <c r="H3891" s="20">
        <f>IFERROR(INDEX('Kode Outlet dan Target Toko'!$D:$D,MATCH($I3891,'Kode Outlet dan Target Toko'!$E:$E,0)),0)</f>
        <v>2217375</v>
      </c>
      <c r="I3891" s="42" t="s">
        <v>85</v>
      </c>
      <c r="J3891" s="56" t="s">
        <v>210</v>
      </c>
      <c r="K3891" s="40" t="s">
        <v>15</v>
      </c>
      <c r="L3891" s="26">
        <v>3200</v>
      </c>
      <c r="M3891" s="26">
        <v>20</v>
      </c>
      <c r="N3891" s="25">
        <f t="shared" si="121"/>
        <v>64000</v>
      </c>
      <c r="O3891" s="56"/>
    </row>
    <row r="3892" spans="1:15" hidden="1" x14ac:dyDescent="0.3">
      <c r="A3892" s="26">
        <v>33</v>
      </c>
      <c r="B3892" s="20" t="str">
        <f t="shared" si="120"/>
        <v>AUG</v>
      </c>
      <c r="C3892" s="21">
        <v>46249</v>
      </c>
      <c r="D3892" s="22" t="str">
        <f>IFERROR(INDEX('Kode Outlet dan Target Toko'!$A:$A,MATCH($I3892,'Kode Outlet dan Target Toko'!$E:$E,0)),"")</f>
        <v>GRSM 7</v>
      </c>
      <c r="E3892" s="20" t="str">
        <f>IFERROR(VLOOKUP(I3892,KET!$B:$F,4,0),"")</f>
        <v>INDRI</v>
      </c>
      <c r="F3892" s="20" t="str">
        <f>IFERROR(VLOOKUP(I3892,KET!$B:$F,5,0),"")</f>
        <v>GMM</v>
      </c>
      <c r="G3892" s="20">
        <f>IFERROR(INDEX('Kode Outlet dan Target Toko'!$C:$C,MATCH($I3892,'Kode Outlet dan Target Toko'!$E:$E,0)),0)</f>
        <v>211074</v>
      </c>
      <c r="H3892" s="20">
        <f>IFERROR(INDEX('Kode Outlet dan Target Toko'!$D:$D,MATCH($I3892,'Kode Outlet dan Target Toko'!$E:$E,0)),0)</f>
        <v>2217375</v>
      </c>
      <c r="I3892" s="42" t="s">
        <v>85</v>
      </c>
      <c r="J3892" s="56" t="s">
        <v>210</v>
      </c>
      <c r="K3892" s="40" t="s">
        <v>14</v>
      </c>
      <c r="L3892" s="26">
        <v>3200</v>
      </c>
      <c r="M3892" s="26">
        <v>16</v>
      </c>
      <c r="N3892" s="25">
        <f t="shared" si="121"/>
        <v>51200</v>
      </c>
      <c r="O3892" s="56"/>
    </row>
    <row r="3893" spans="1:15" hidden="1" x14ac:dyDescent="0.3">
      <c r="A3893" s="26">
        <v>33</v>
      </c>
      <c r="B3893" s="20" t="str">
        <f t="shared" si="120"/>
        <v>AUG</v>
      </c>
      <c r="C3893" s="21">
        <v>46249</v>
      </c>
      <c r="D3893" s="22" t="str">
        <f>IFERROR(INDEX('Kode Outlet dan Target Toko'!$A:$A,MATCH($I3893,'Kode Outlet dan Target Toko'!$E:$E,0)),"")</f>
        <v>GRSM 7</v>
      </c>
      <c r="E3893" s="20" t="str">
        <f>IFERROR(VLOOKUP(I3893,KET!$B:$F,4,0),"")</f>
        <v>INDRI</v>
      </c>
      <c r="F3893" s="20" t="str">
        <f>IFERROR(VLOOKUP(I3893,KET!$B:$F,5,0),"")</f>
        <v>GMM</v>
      </c>
      <c r="G3893" s="20">
        <f>IFERROR(INDEX('Kode Outlet dan Target Toko'!$C:$C,MATCH($I3893,'Kode Outlet dan Target Toko'!$E:$E,0)),0)</f>
        <v>211074</v>
      </c>
      <c r="H3893" s="20">
        <f>IFERROR(INDEX('Kode Outlet dan Target Toko'!$D:$D,MATCH($I3893,'Kode Outlet dan Target Toko'!$E:$E,0)),0)</f>
        <v>2217375</v>
      </c>
      <c r="I3893" s="42" t="s">
        <v>85</v>
      </c>
      <c r="J3893" s="56" t="s">
        <v>210</v>
      </c>
      <c r="K3893" s="40" t="s">
        <v>13</v>
      </c>
      <c r="L3893" s="26">
        <v>3200</v>
      </c>
      <c r="M3893" s="26">
        <v>10</v>
      </c>
      <c r="N3893" s="25">
        <f t="shared" si="121"/>
        <v>32000</v>
      </c>
      <c r="O3893" s="56"/>
    </row>
    <row r="3894" spans="1:15" hidden="1" x14ac:dyDescent="0.3">
      <c r="A3894" s="26">
        <v>33</v>
      </c>
      <c r="B3894" s="20" t="str">
        <f t="shared" si="120"/>
        <v>AUG</v>
      </c>
      <c r="C3894" s="21">
        <v>46249</v>
      </c>
      <c r="D3894" s="22" t="str">
        <f>IFERROR(INDEX('Kode Outlet dan Target Toko'!$A:$A,MATCH($I3894,'Kode Outlet dan Target Toko'!$E:$E,0)),"")</f>
        <v>GRSM 7</v>
      </c>
      <c r="E3894" s="20" t="str">
        <f>IFERROR(VLOOKUP(I3894,KET!$B:$F,4,0),"")</f>
        <v>INDRI</v>
      </c>
      <c r="F3894" s="20" t="str">
        <f>IFERROR(VLOOKUP(I3894,KET!$B:$F,5,0),"")</f>
        <v>GMM</v>
      </c>
      <c r="G3894" s="20">
        <f>IFERROR(INDEX('Kode Outlet dan Target Toko'!$C:$C,MATCH($I3894,'Kode Outlet dan Target Toko'!$E:$E,0)),0)</f>
        <v>211074</v>
      </c>
      <c r="H3894" s="20">
        <f>IFERROR(INDEX('Kode Outlet dan Target Toko'!$D:$D,MATCH($I3894,'Kode Outlet dan Target Toko'!$E:$E,0)),0)</f>
        <v>2217375</v>
      </c>
      <c r="I3894" s="42" t="s">
        <v>85</v>
      </c>
      <c r="J3894" s="56" t="s">
        <v>210</v>
      </c>
      <c r="K3894" s="40" t="s">
        <v>16</v>
      </c>
      <c r="L3894" s="26">
        <v>3200</v>
      </c>
      <c r="M3894" s="26">
        <v>196</v>
      </c>
      <c r="N3894" s="25">
        <f t="shared" si="121"/>
        <v>627200</v>
      </c>
      <c r="O3894" s="56">
        <v>160</v>
      </c>
    </row>
    <row r="3895" spans="1:15" hidden="1" x14ac:dyDescent="0.3">
      <c r="A3895" s="26">
        <v>33</v>
      </c>
      <c r="B3895" s="20" t="str">
        <f t="shared" si="120"/>
        <v>AUG</v>
      </c>
      <c r="C3895" s="21">
        <v>46249</v>
      </c>
      <c r="D3895" s="22" t="str">
        <f>IFERROR(INDEX('Kode Outlet dan Target Toko'!$A:$A,MATCH($I3895,'Kode Outlet dan Target Toko'!$E:$E,0)),"")</f>
        <v>GRSM 7</v>
      </c>
      <c r="E3895" s="20" t="str">
        <f>IFERROR(VLOOKUP(I3895,KET!$B:$F,4,0),"")</f>
        <v>INDRI</v>
      </c>
      <c r="F3895" s="20" t="str">
        <f>IFERROR(VLOOKUP(I3895,KET!$B:$F,5,0),"")</f>
        <v>GMM</v>
      </c>
      <c r="G3895" s="20">
        <f>IFERROR(INDEX('Kode Outlet dan Target Toko'!$C:$C,MATCH($I3895,'Kode Outlet dan Target Toko'!$E:$E,0)),0)</f>
        <v>103783</v>
      </c>
      <c r="H3895" s="20">
        <f>IFERROR(INDEX('Kode Outlet dan Target Toko'!$D:$D,MATCH($I3895,'Kode Outlet dan Target Toko'!$E:$E,0)),0)</f>
        <v>7500090</v>
      </c>
      <c r="I3895" s="42" t="s">
        <v>120</v>
      </c>
      <c r="J3895" s="56" t="s">
        <v>235</v>
      </c>
      <c r="K3895" s="40" t="s">
        <v>15</v>
      </c>
      <c r="L3895" s="26">
        <v>6750</v>
      </c>
      <c r="M3895" s="26">
        <v>25</v>
      </c>
      <c r="N3895" s="25">
        <f t="shared" si="121"/>
        <v>168750</v>
      </c>
      <c r="O3895" s="56"/>
    </row>
    <row r="3896" spans="1:15" hidden="1" x14ac:dyDescent="0.3">
      <c r="A3896" s="26">
        <v>33</v>
      </c>
      <c r="B3896" s="20" t="str">
        <f t="shared" si="120"/>
        <v>AUG</v>
      </c>
      <c r="C3896" s="21">
        <v>46249</v>
      </c>
      <c r="D3896" s="22" t="str">
        <f>IFERROR(INDEX('Kode Outlet dan Target Toko'!$A:$A,MATCH($I3896,'Kode Outlet dan Target Toko'!$E:$E,0)),"")</f>
        <v>GRSM 7</v>
      </c>
      <c r="E3896" s="20" t="str">
        <f>IFERROR(VLOOKUP(I3896,KET!$B:$F,4,0),"")</f>
        <v>INDRI</v>
      </c>
      <c r="F3896" s="20" t="str">
        <f>IFERROR(VLOOKUP(I3896,KET!$B:$F,5,0),"")</f>
        <v>GMM</v>
      </c>
      <c r="G3896" s="20">
        <f>IFERROR(INDEX('Kode Outlet dan Target Toko'!$C:$C,MATCH($I3896,'Kode Outlet dan Target Toko'!$E:$E,0)),0)</f>
        <v>103783</v>
      </c>
      <c r="H3896" s="20">
        <f>IFERROR(INDEX('Kode Outlet dan Target Toko'!$D:$D,MATCH($I3896,'Kode Outlet dan Target Toko'!$E:$E,0)),0)</f>
        <v>7500090</v>
      </c>
      <c r="I3896" s="42" t="s">
        <v>120</v>
      </c>
      <c r="J3896" s="56" t="s">
        <v>235</v>
      </c>
      <c r="K3896" s="40" t="s">
        <v>14</v>
      </c>
      <c r="L3896" s="26">
        <v>6750</v>
      </c>
      <c r="M3896" s="26">
        <v>30</v>
      </c>
      <c r="N3896" s="25">
        <f t="shared" si="121"/>
        <v>202500</v>
      </c>
      <c r="O3896" s="56"/>
    </row>
    <row r="3897" spans="1:15" hidden="1" x14ac:dyDescent="0.3">
      <c r="A3897" s="26">
        <v>33</v>
      </c>
      <c r="B3897" s="20" t="str">
        <f t="shared" si="120"/>
        <v>AUG</v>
      </c>
      <c r="C3897" s="21">
        <v>46249</v>
      </c>
      <c r="D3897" s="22" t="str">
        <f>IFERROR(INDEX('Kode Outlet dan Target Toko'!$A:$A,MATCH($I3897,'Kode Outlet dan Target Toko'!$E:$E,0)),"")</f>
        <v>GRSM 7</v>
      </c>
      <c r="E3897" s="20" t="str">
        <f>IFERROR(VLOOKUP(I3897,KET!$B:$F,4,0),"")</f>
        <v>INDRI</v>
      </c>
      <c r="F3897" s="20" t="str">
        <f>IFERROR(VLOOKUP(I3897,KET!$B:$F,5,0),"")</f>
        <v>GMM</v>
      </c>
      <c r="G3897" s="20">
        <f>IFERROR(INDEX('Kode Outlet dan Target Toko'!$C:$C,MATCH($I3897,'Kode Outlet dan Target Toko'!$E:$E,0)),0)</f>
        <v>103783</v>
      </c>
      <c r="H3897" s="20">
        <f>IFERROR(INDEX('Kode Outlet dan Target Toko'!$D:$D,MATCH($I3897,'Kode Outlet dan Target Toko'!$E:$E,0)),0)</f>
        <v>7500090</v>
      </c>
      <c r="I3897" s="42" t="s">
        <v>120</v>
      </c>
      <c r="J3897" s="56" t="s">
        <v>235</v>
      </c>
      <c r="K3897" s="40" t="s">
        <v>13</v>
      </c>
      <c r="L3897" s="26">
        <v>6750</v>
      </c>
      <c r="M3897" s="26">
        <v>20</v>
      </c>
      <c r="N3897" s="25">
        <f t="shared" si="121"/>
        <v>135000</v>
      </c>
      <c r="O3897" s="56"/>
    </row>
    <row r="3898" spans="1:15" hidden="1" x14ac:dyDescent="0.3">
      <c r="A3898" s="26">
        <v>33</v>
      </c>
      <c r="B3898" s="20" t="str">
        <f t="shared" si="120"/>
        <v>AUG</v>
      </c>
      <c r="C3898" s="21">
        <v>46249</v>
      </c>
      <c r="D3898" s="22" t="str">
        <f>IFERROR(INDEX('Kode Outlet dan Target Toko'!$A:$A,MATCH($I3898,'Kode Outlet dan Target Toko'!$E:$E,0)),"")</f>
        <v>GRSM 7</v>
      </c>
      <c r="E3898" s="20" t="str">
        <f>IFERROR(VLOOKUP(I3898,KET!$B:$F,4,0),"")</f>
        <v>INDRI</v>
      </c>
      <c r="F3898" s="20" t="str">
        <f>IFERROR(VLOOKUP(I3898,KET!$B:$F,5,0),"")</f>
        <v>GMM</v>
      </c>
      <c r="G3898" s="20">
        <f>IFERROR(INDEX('Kode Outlet dan Target Toko'!$C:$C,MATCH($I3898,'Kode Outlet dan Target Toko'!$E:$E,0)),0)</f>
        <v>103783</v>
      </c>
      <c r="H3898" s="20">
        <f>IFERROR(INDEX('Kode Outlet dan Target Toko'!$D:$D,MATCH($I3898,'Kode Outlet dan Target Toko'!$E:$E,0)),0)</f>
        <v>7500090</v>
      </c>
      <c r="I3898" s="42" t="s">
        <v>120</v>
      </c>
      <c r="J3898" s="56" t="s">
        <v>235</v>
      </c>
      <c r="K3898" s="40" t="s">
        <v>16</v>
      </c>
      <c r="L3898" s="26">
        <v>6750</v>
      </c>
      <c r="M3898" s="26">
        <v>37</v>
      </c>
      <c r="N3898" s="25">
        <f t="shared" si="121"/>
        <v>249750</v>
      </c>
      <c r="O3898" s="56">
        <v>160</v>
      </c>
    </row>
    <row r="3899" spans="1:15" hidden="1" x14ac:dyDescent="0.3">
      <c r="A3899" s="26">
        <v>33</v>
      </c>
      <c r="B3899" s="20" t="str">
        <f t="shared" si="120"/>
        <v>AUG</v>
      </c>
      <c r="C3899" s="21">
        <v>46249</v>
      </c>
      <c r="D3899" s="22" t="str">
        <f>IFERROR(INDEX('Kode Outlet dan Target Toko'!$A:$A,MATCH($I3899,'Kode Outlet dan Target Toko'!$E:$E,0)),"")</f>
        <v>GRSM 7</v>
      </c>
      <c r="E3899" s="20" t="str">
        <f>IFERROR(VLOOKUP(I3899,KET!$B:$F,4,0),"")</f>
        <v>INDRI</v>
      </c>
      <c r="F3899" s="20" t="str">
        <f>IFERROR(VLOOKUP(I3899,KET!$B:$F,5,0),"")</f>
        <v>GMM</v>
      </c>
      <c r="G3899" s="20">
        <f>IFERROR(INDEX('Kode Outlet dan Target Toko'!$C:$C,MATCH($I3899,'Kode Outlet dan Target Toko'!$E:$E,0)),0)</f>
        <v>103783</v>
      </c>
      <c r="H3899" s="20">
        <f>IFERROR(INDEX('Kode Outlet dan Target Toko'!$D:$D,MATCH($I3899,'Kode Outlet dan Target Toko'!$E:$E,0)),0)</f>
        <v>7500090</v>
      </c>
      <c r="I3899" s="42" t="s">
        <v>120</v>
      </c>
      <c r="J3899" s="56" t="s">
        <v>236</v>
      </c>
      <c r="K3899" s="40" t="s">
        <v>15</v>
      </c>
      <c r="L3899" s="26">
        <v>6750</v>
      </c>
      <c r="M3899" s="26">
        <v>25</v>
      </c>
      <c r="N3899" s="25">
        <f t="shared" si="121"/>
        <v>168750</v>
      </c>
      <c r="O3899" s="56"/>
    </row>
    <row r="3900" spans="1:15" hidden="1" x14ac:dyDescent="0.3">
      <c r="A3900" s="26">
        <v>33</v>
      </c>
      <c r="B3900" s="20" t="str">
        <f t="shared" si="120"/>
        <v>AUG</v>
      </c>
      <c r="C3900" s="21">
        <v>46249</v>
      </c>
      <c r="D3900" s="22" t="str">
        <f>IFERROR(INDEX('Kode Outlet dan Target Toko'!$A:$A,MATCH($I3900,'Kode Outlet dan Target Toko'!$E:$E,0)),"")</f>
        <v>GRSM 7</v>
      </c>
      <c r="E3900" s="20" t="str">
        <f>IFERROR(VLOOKUP(I3900,KET!$B:$F,4,0),"")</f>
        <v>INDRI</v>
      </c>
      <c r="F3900" s="20" t="str">
        <f>IFERROR(VLOOKUP(I3900,KET!$B:$F,5,0),"")</f>
        <v>GMM</v>
      </c>
      <c r="G3900" s="20">
        <f>IFERROR(INDEX('Kode Outlet dan Target Toko'!$C:$C,MATCH($I3900,'Kode Outlet dan Target Toko'!$E:$E,0)),0)</f>
        <v>103783</v>
      </c>
      <c r="H3900" s="20">
        <f>IFERROR(INDEX('Kode Outlet dan Target Toko'!$D:$D,MATCH($I3900,'Kode Outlet dan Target Toko'!$E:$E,0)),0)</f>
        <v>7500090</v>
      </c>
      <c r="I3900" s="42" t="s">
        <v>120</v>
      </c>
      <c r="J3900" s="56" t="s">
        <v>236</v>
      </c>
      <c r="K3900" s="40" t="s">
        <v>14</v>
      </c>
      <c r="L3900" s="26">
        <v>6750</v>
      </c>
      <c r="M3900" s="26">
        <v>30</v>
      </c>
      <c r="N3900" s="25">
        <f t="shared" si="121"/>
        <v>202500</v>
      </c>
      <c r="O3900" s="56"/>
    </row>
    <row r="3901" spans="1:15" hidden="1" x14ac:dyDescent="0.3">
      <c r="A3901" s="26">
        <v>33</v>
      </c>
      <c r="B3901" s="20" t="str">
        <f t="shared" si="120"/>
        <v>AUG</v>
      </c>
      <c r="C3901" s="21">
        <v>46249</v>
      </c>
      <c r="D3901" s="22" t="str">
        <f>IFERROR(INDEX('Kode Outlet dan Target Toko'!$A:$A,MATCH($I3901,'Kode Outlet dan Target Toko'!$E:$E,0)),"")</f>
        <v>GRSM 7</v>
      </c>
      <c r="E3901" s="20" t="str">
        <f>IFERROR(VLOOKUP(I3901,KET!$B:$F,4,0),"")</f>
        <v>INDRI</v>
      </c>
      <c r="F3901" s="20" t="str">
        <f>IFERROR(VLOOKUP(I3901,KET!$B:$F,5,0),"")</f>
        <v>GMM</v>
      </c>
      <c r="G3901" s="20">
        <f>IFERROR(INDEX('Kode Outlet dan Target Toko'!$C:$C,MATCH($I3901,'Kode Outlet dan Target Toko'!$E:$E,0)),0)</f>
        <v>103783</v>
      </c>
      <c r="H3901" s="20">
        <f>IFERROR(INDEX('Kode Outlet dan Target Toko'!$D:$D,MATCH($I3901,'Kode Outlet dan Target Toko'!$E:$E,0)),0)</f>
        <v>7500090</v>
      </c>
      <c r="I3901" s="42" t="s">
        <v>120</v>
      </c>
      <c r="J3901" s="56" t="s">
        <v>236</v>
      </c>
      <c r="K3901" s="40" t="s">
        <v>13</v>
      </c>
      <c r="L3901" s="26">
        <v>6750</v>
      </c>
      <c r="M3901" s="26">
        <v>20</v>
      </c>
      <c r="N3901" s="25">
        <f t="shared" si="121"/>
        <v>135000</v>
      </c>
      <c r="O3901" s="56"/>
    </row>
    <row r="3902" spans="1:15" hidden="1" x14ac:dyDescent="0.3">
      <c r="A3902" s="26">
        <v>33</v>
      </c>
      <c r="B3902" s="20" t="str">
        <f t="shared" si="120"/>
        <v>AUG</v>
      </c>
      <c r="C3902" s="21">
        <v>46249</v>
      </c>
      <c r="D3902" s="22" t="str">
        <f>IFERROR(INDEX('Kode Outlet dan Target Toko'!$A:$A,MATCH($I3902,'Kode Outlet dan Target Toko'!$E:$E,0)),"")</f>
        <v>GRSM 7</v>
      </c>
      <c r="E3902" s="20" t="str">
        <f>IFERROR(VLOOKUP(I3902,KET!$B:$F,4,0),"")</f>
        <v>INDRI</v>
      </c>
      <c r="F3902" s="20" t="str">
        <f>IFERROR(VLOOKUP(I3902,KET!$B:$F,5,0),"")</f>
        <v>GMM</v>
      </c>
      <c r="G3902" s="20">
        <f>IFERROR(INDEX('Kode Outlet dan Target Toko'!$C:$C,MATCH($I3902,'Kode Outlet dan Target Toko'!$E:$E,0)),0)</f>
        <v>103783</v>
      </c>
      <c r="H3902" s="20">
        <f>IFERROR(INDEX('Kode Outlet dan Target Toko'!$D:$D,MATCH($I3902,'Kode Outlet dan Target Toko'!$E:$E,0)),0)</f>
        <v>7500090</v>
      </c>
      <c r="I3902" s="42" t="s">
        <v>120</v>
      </c>
      <c r="J3902" s="56" t="s">
        <v>236</v>
      </c>
      <c r="K3902" s="40" t="s">
        <v>16</v>
      </c>
      <c r="L3902" s="26">
        <v>6750</v>
      </c>
      <c r="M3902" s="26">
        <v>37</v>
      </c>
      <c r="N3902" s="25">
        <f t="shared" si="121"/>
        <v>249750</v>
      </c>
      <c r="O3902" s="56">
        <v>160</v>
      </c>
    </row>
    <row r="3903" spans="1:15" hidden="1" x14ac:dyDescent="0.3">
      <c r="A3903" s="26">
        <v>33</v>
      </c>
      <c r="B3903" s="20" t="str">
        <f t="shared" si="120"/>
        <v>AUG</v>
      </c>
      <c r="C3903" s="21">
        <v>46249</v>
      </c>
      <c r="D3903" s="22" t="str">
        <f>IFERROR(INDEX('Kode Outlet dan Target Toko'!$A:$A,MATCH($I3903,'Kode Outlet dan Target Toko'!$E:$E,0)),"")</f>
        <v>GRSM 7</v>
      </c>
      <c r="E3903" s="20" t="str">
        <f>IFERROR(VLOOKUP(I3903,KET!$B:$F,4,0),"")</f>
        <v>INDRI</v>
      </c>
      <c r="F3903" s="20" t="str">
        <f>IFERROR(VLOOKUP(I3903,KET!$B:$F,5,0),"")</f>
        <v>GMM</v>
      </c>
      <c r="G3903" s="20">
        <f>IFERROR(INDEX('Kode Outlet dan Target Toko'!$C:$C,MATCH($I3903,'Kode Outlet dan Target Toko'!$E:$E,0)),0)</f>
        <v>103240</v>
      </c>
      <c r="H3903" s="20">
        <f>IFERROR(INDEX('Kode Outlet dan Target Toko'!$D:$D,MATCH($I3903,'Kode Outlet dan Target Toko'!$E:$E,0)),0)</f>
        <v>7112059</v>
      </c>
      <c r="I3903" s="42" t="s">
        <v>116</v>
      </c>
      <c r="J3903" s="56" t="s">
        <v>212</v>
      </c>
      <c r="K3903" s="40" t="s">
        <v>15</v>
      </c>
      <c r="L3903" s="26">
        <v>3200</v>
      </c>
      <c r="M3903" s="26">
        <v>50</v>
      </c>
      <c r="N3903" s="25">
        <f t="shared" si="121"/>
        <v>160000</v>
      </c>
      <c r="O3903" s="56"/>
    </row>
    <row r="3904" spans="1:15" hidden="1" x14ac:dyDescent="0.3">
      <c r="A3904" s="26">
        <v>33</v>
      </c>
      <c r="B3904" s="20" t="str">
        <f t="shared" si="120"/>
        <v>AUG</v>
      </c>
      <c r="C3904" s="21">
        <v>46249</v>
      </c>
      <c r="D3904" s="22" t="str">
        <f>IFERROR(INDEX('Kode Outlet dan Target Toko'!$A:$A,MATCH($I3904,'Kode Outlet dan Target Toko'!$E:$E,0)),"")</f>
        <v>GRSM 7</v>
      </c>
      <c r="E3904" s="20" t="str">
        <f>IFERROR(VLOOKUP(I3904,KET!$B:$F,4,0),"")</f>
        <v>INDRI</v>
      </c>
      <c r="F3904" s="20" t="str">
        <f>IFERROR(VLOOKUP(I3904,KET!$B:$F,5,0),"")</f>
        <v>GMM</v>
      </c>
      <c r="G3904" s="20">
        <f>IFERROR(INDEX('Kode Outlet dan Target Toko'!$C:$C,MATCH($I3904,'Kode Outlet dan Target Toko'!$E:$E,0)),0)</f>
        <v>103240</v>
      </c>
      <c r="H3904" s="20">
        <f>IFERROR(INDEX('Kode Outlet dan Target Toko'!$D:$D,MATCH($I3904,'Kode Outlet dan Target Toko'!$E:$E,0)),0)</f>
        <v>7112059</v>
      </c>
      <c r="I3904" s="42" t="s">
        <v>116</v>
      </c>
      <c r="J3904" s="56" t="s">
        <v>212</v>
      </c>
      <c r="K3904" s="40" t="s">
        <v>14</v>
      </c>
      <c r="L3904" s="26">
        <v>3200</v>
      </c>
      <c r="M3904" s="26">
        <v>70</v>
      </c>
      <c r="N3904" s="25">
        <f t="shared" si="121"/>
        <v>224000</v>
      </c>
      <c r="O3904" s="56"/>
    </row>
    <row r="3905" spans="1:15" hidden="1" x14ac:dyDescent="0.3">
      <c r="A3905" s="26">
        <v>33</v>
      </c>
      <c r="B3905" s="20" t="str">
        <f t="shared" si="120"/>
        <v>AUG</v>
      </c>
      <c r="C3905" s="21">
        <v>46249</v>
      </c>
      <c r="D3905" s="22" t="str">
        <f>IFERROR(INDEX('Kode Outlet dan Target Toko'!$A:$A,MATCH($I3905,'Kode Outlet dan Target Toko'!$E:$E,0)),"")</f>
        <v>GRSM 7</v>
      </c>
      <c r="E3905" s="20" t="str">
        <f>IFERROR(VLOOKUP(I3905,KET!$B:$F,4,0),"")</f>
        <v>INDRI</v>
      </c>
      <c r="F3905" s="20" t="str">
        <f>IFERROR(VLOOKUP(I3905,KET!$B:$F,5,0),"")</f>
        <v>GMM</v>
      </c>
      <c r="G3905" s="20">
        <f>IFERROR(INDEX('Kode Outlet dan Target Toko'!$C:$C,MATCH($I3905,'Kode Outlet dan Target Toko'!$E:$E,0)),0)</f>
        <v>103240</v>
      </c>
      <c r="H3905" s="20">
        <f>IFERROR(INDEX('Kode Outlet dan Target Toko'!$D:$D,MATCH($I3905,'Kode Outlet dan Target Toko'!$E:$E,0)),0)</f>
        <v>7112059</v>
      </c>
      <c r="I3905" s="42" t="s">
        <v>116</v>
      </c>
      <c r="J3905" s="56" t="s">
        <v>212</v>
      </c>
      <c r="K3905" s="40" t="s">
        <v>13</v>
      </c>
      <c r="L3905" s="26">
        <v>3200</v>
      </c>
      <c r="M3905" s="26">
        <v>0</v>
      </c>
      <c r="N3905" s="25">
        <f t="shared" si="121"/>
        <v>0</v>
      </c>
      <c r="O3905" s="56"/>
    </row>
    <row r="3906" spans="1:15" hidden="1" x14ac:dyDescent="0.3">
      <c r="A3906" s="26">
        <v>33</v>
      </c>
      <c r="B3906" s="20" t="str">
        <f t="shared" si="120"/>
        <v>AUG</v>
      </c>
      <c r="C3906" s="21">
        <v>46249</v>
      </c>
      <c r="D3906" s="22" t="str">
        <f>IFERROR(INDEX('Kode Outlet dan Target Toko'!$A:$A,MATCH($I3906,'Kode Outlet dan Target Toko'!$E:$E,0)),"")</f>
        <v>GRSM 7</v>
      </c>
      <c r="E3906" s="20" t="str">
        <f>IFERROR(VLOOKUP(I3906,KET!$B:$F,4,0),"")</f>
        <v>INDRI</v>
      </c>
      <c r="F3906" s="20" t="str">
        <f>IFERROR(VLOOKUP(I3906,KET!$B:$F,5,0),"")</f>
        <v>GMM</v>
      </c>
      <c r="G3906" s="20">
        <f>IFERROR(INDEX('Kode Outlet dan Target Toko'!$C:$C,MATCH($I3906,'Kode Outlet dan Target Toko'!$E:$E,0)),0)</f>
        <v>103240</v>
      </c>
      <c r="H3906" s="20">
        <f>IFERROR(INDEX('Kode Outlet dan Target Toko'!$D:$D,MATCH($I3906,'Kode Outlet dan Target Toko'!$E:$E,0)),0)</f>
        <v>7112059</v>
      </c>
      <c r="I3906" s="42" t="s">
        <v>116</v>
      </c>
      <c r="J3906" s="56" t="s">
        <v>212</v>
      </c>
      <c r="K3906" s="40" t="s">
        <v>16</v>
      </c>
      <c r="L3906" s="26">
        <v>3200</v>
      </c>
      <c r="M3906" s="26">
        <v>84</v>
      </c>
      <c r="N3906" s="25">
        <f t="shared" si="121"/>
        <v>268800</v>
      </c>
      <c r="O3906" s="56">
        <v>160</v>
      </c>
    </row>
    <row r="3907" spans="1:15" hidden="1" x14ac:dyDescent="0.3">
      <c r="A3907" s="26">
        <v>33</v>
      </c>
      <c r="B3907" s="20" t="str">
        <f t="shared" si="120"/>
        <v>AUG</v>
      </c>
      <c r="C3907" s="21">
        <v>46249</v>
      </c>
      <c r="D3907" s="22" t="str">
        <f>IFERROR(INDEX('Kode Outlet dan Target Toko'!$A:$A,MATCH($I3907,'Kode Outlet dan Target Toko'!$E:$E,0)),"")</f>
        <v>GRSM 7</v>
      </c>
      <c r="E3907" s="20" t="str">
        <f>IFERROR(VLOOKUP(I3907,KET!$B:$F,4,0),"")</f>
        <v>INDRI</v>
      </c>
      <c r="F3907" s="20" t="str">
        <f>IFERROR(VLOOKUP(I3907,KET!$B:$F,5,0),"")</f>
        <v>GMM</v>
      </c>
      <c r="G3907" s="20">
        <f>IFERROR(INDEX('Kode Outlet dan Target Toko'!$C:$C,MATCH($I3907,'Kode Outlet dan Target Toko'!$E:$E,0)),0)</f>
        <v>103240</v>
      </c>
      <c r="H3907" s="20">
        <f>IFERROR(INDEX('Kode Outlet dan Target Toko'!$D:$D,MATCH($I3907,'Kode Outlet dan Target Toko'!$E:$E,0)),0)</f>
        <v>7112059</v>
      </c>
      <c r="I3907" s="42" t="s">
        <v>116</v>
      </c>
      <c r="J3907" s="56" t="s">
        <v>213</v>
      </c>
      <c r="K3907" s="40" t="s">
        <v>15</v>
      </c>
      <c r="L3907" s="26">
        <v>3200</v>
      </c>
      <c r="M3907" s="26">
        <v>50</v>
      </c>
      <c r="N3907" s="25">
        <f t="shared" si="121"/>
        <v>160000</v>
      </c>
      <c r="O3907" s="56"/>
    </row>
    <row r="3908" spans="1:15" hidden="1" x14ac:dyDescent="0.3">
      <c r="A3908" s="26">
        <v>33</v>
      </c>
      <c r="B3908" s="20" t="str">
        <f t="shared" si="120"/>
        <v>AUG</v>
      </c>
      <c r="C3908" s="21">
        <v>46249</v>
      </c>
      <c r="D3908" s="22" t="str">
        <f>IFERROR(INDEX('Kode Outlet dan Target Toko'!$A:$A,MATCH($I3908,'Kode Outlet dan Target Toko'!$E:$E,0)),"")</f>
        <v>GRSM 7</v>
      </c>
      <c r="E3908" s="20" t="str">
        <f>IFERROR(VLOOKUP(I3908,KET!$B:$F,4,0),"")</f>
        <v>INDRI</v>
      </c>
      <c r="F3908" s="20" t="str">
        <f>IFERROR(VLOOKUP(I3908,KET!$B:$F,5,0),"")</f>
        <v>GMM</v>
      </c>
      <c r="G3908" s="20">
        <f>IFERROR(INDEX('Kode Outlet dan Target Toko'!$C:$C,MATCH($I3908,'Kode Outlet dan Target Toko'!$E:$E,0)),0)</f>
        <v>103240</v>
      </c>
      <c r="H3908" s="20">
        <f>IFERROR(INDEX('Kode Outlet dan Target Toko'!$D:$D,MATCH($I3908,'Kode Outlet dan Target Toko'!$E:$E,0)),0)</f>
        <v>7112059</v>
      </c>
      <c r="I3908" s="42" t="s">
        <v>116</v>
      </c>
      <c r="J3908" s="56" t="s">
        <v>213</v>
      </c>
      <c r="K3908" s="40" t="s">
        <v>14</v>
      </c>
      <c r="L3908" s="26">
        <v>3200</v>
      </c>
      <c r="M3908" s="26">
        <v>70</v>
      </c>
      <c r="N3908" s="25">
        <f t="shared" si="121"/>
        <v>224000</v>
      </c>
      <c r="O3908" s="56"/>
    </row>
    <row r="3909" spans="1:15" hidden="1" x14ac:dyDescent="0.3">
      <c r="A3909" s="26">
        <v>33</v>
      </c>
      <c r="B3909" s="20" t="str">
        <f t="shared" si="120"/>
        <v>AUG</v>
      </c>
      <c r="C3909" s="21">
        <v>46249</v>
      </c>
      <c r="D3909" s="22" t="str">
        <f>IFERROR(INDEX('Kode Outlet dan Target Toko'!$A:$A,MATCH($I3909,'Kode Outlet dan Target Toko'!$E:$E,0)),"")</f>
        <v>GRSM 7</v>
      </c>
      <c r="E3909" s="20" t="str">
        <f>IFERROR(VLOOKUP(I3909,KET!$B:$F,4,0),"")</f>
        <v>INDRI</v>
      </c>
      <c r="F3909" s="20" t="str">
        <f>IFERROR(VLOOKUP(I3909,KET!$B:$F,5,0),"")</f>
        <v>GMM</v>
      </c>
      <c r="G3909" s="20">
        <f>IFERROR(INDEX('Kode Outlet dan Target Toko'!$C:$C,MATCH($I3909,'Kode Outlet dan Target Toko'!$E:$E,0)),0)</f>
        <v>103240</v>
      </c>
      <c r="H3909" s="20">
        <f>IFERROR(INDEX('Kode Outlet dan Target Toko'!$D:$D,MATCH($I3909,'Kode Outlet dan Target Toko'!$E:$E,0)),0)</f>
        <v>7112059</v>
      </c>
      <c r="I3909" s="42" t="s">
        <v>116</v>
      </c>
      <c r="J3909" s="56" t="s">
        <v>213</v>
      </c>
      <c r="K3909" s="40" t="s">
        <v>13</v>
      </c>
      <c r="L3909" s="26">
        <v>3200</v>
      </c>
      <c r="M3909" s="26">
        <v>0</v>
      </c>
      <c r="N3909" s="25">
        <f t="shared" si="121"/>
        <v>0</v>
      </c>
      <c r="O3909" s="56"/>
    </row>
    <row r="3910" spans="1:15" hidden="1" x14ac:dyDescent="0.3">
      <c r="A3910" s="26">
        <v>33</v>
      </c>
      <c r="B3910" s="20" t="str">
        <f t="shared" si="120"/>
        <v>AUG</v>
      </c>
      <c r="C3910" s="21">
        <v>46249</v>
      </c>
      <c r="D3910" s="22" t="str">
        <f>IFERROR(INDEX('Kode Outlet dan Target Toko'!$A:$A,MATCH($I3910,'Kode Outlet dan Target Toko'!$E:$E,0)),"")</f>
        <v>GRSM 7</v>
      </c>
      <c r="E3910" s="20" t="str">
        <f>IFERROR(VLOOKUP(I3910,KET!$B:$F,4,0),"")</f>
        <v>INDRI</v>
      </c>
      <c r="F3910" s="20" t="str">
        <f>IFERROR(VLOOKUP(I3910,KET!$B:$F,5,0),"")</f>
        <v>GMM</v>
      </c>
      <c r="G3910" s="20">
        <f>IFERROR(INDEX('Kode Outlet dan Target Toko'!$C:$C,MATCH($I3910,'Kode Outlet dan Target Toko'!$E:$E,0)),0)</f>
        <v>103240</v>
      </c>
      <c r="H3910" s="20">
        <f>IFERROR(INDEX('Kode Outlet dan Target Toko'!$D:$D,MATCH($I3910,'Kode Outlet dan Target Toko'!$E:$E,0)),0)</f>
        <v>7112059</v>
      </c>
      <c r="I3910" s="42" t="s">
        <v>116</v>
      </c>
      <c r="J3910" s="56" t="s">
        <v>213</v>
      </c>
      <c r="K3910" s="40" t="s">
        <v>16</v>
      </c>
      <c r="L3910" s="26">
        <v>3200</v>
      </c>
      <c r="M3910" s="26">
        <v>84</v>
      </c>
      <c r="N3910" s="25">
        <f t="shared" si="121"/>
        <v>268800</v>
      </c>
      <c r="O3910" s="56">
        <v>160</v>
      </c>
    </row>
    <row r="3911" spans="1:15" hidden="1" x14ac:dyDescent="0.3">
      <c r="A3911" s="26">
        <v>33</v>
      </c>
      <c r="B3911" s="20" t="str">
        <f t="shared" ref="B3911:B3974" si="122">IF(C3911="","",UPPER(TEXT(C3911, "MMM")))</f>
        <v>AUG</v>
      </c>
      <c r="C3911" s="21">
        <v>46249</v>
      </c>
      <c r="D3911" s="22" t="str">
        <f>IFERROR(INDEX('Kode Outlet dan Target Toko'!$A:$A,MATCH($I3911,'Kode Outlet dan Target Toko'!$E:$E,0)),"")</f>
        <v>GRSM 7</v>
      </c>
      <c r="E3911" s="20" t="str">
        <f>IFERROR(VLOOKUP(I3911,KET!$B:$F,4,0),"")</f>
        <v>INDRI</v>
      </c>
      <c r="F3911" s="20" t="str">
        <f>IFERROR(VLOOKUP(I3911,KET!$B:$F,5,0),"")</f>
        <v>GMM</v>
      </c>
      <c r="G3911" s="20">
        <f>IFERROR(INDEX('Kode Outlet dan Target Toko'!$C:$C,MATCH($I3911,'Kode Outlet dan Target Toko'!$E:$E,0)),0)</f>
        <v>103783</v>
      </c>
      <c r="H3911" s="20">
        <f>IFERROR(INDEX('Kode Outlet dan Target Toko'!$D:$D,MATCH($I3911,'Kode Outlet dan Target Toko'!$E:$E,0)),0)</f>
        <v>7500032</v>
      </c>
      <c r="I3911" s="42" t="s">
        <v>122</v>
      </c>
      <c r="J3911" s="56" t="s">
        <v>303</v>
      </c>
      <c r="K3911" s="40" t="s">
        <v>15</v>
      </c>
      <c r="L3911" s="26">
        <v>6400</v>
      </c>
      <c r="M3911" s="26">
        <v>28</v>
      </c>
      <c r="N3911" s="25">
        <f t="shared" ref="N3911:N3974" si="123">IFERROR(M3911*L3911,"")</f>
        <v>179200</v>
      </c>
      <c r="O3911" s="56"/>
    </row>
    <row r="3912" spans="1:15" hidden="1" x14ac:dyDescent="0.3">
      <c r="A3912" s="26">
        <v>33</v>
      </c>
      <c r="B3912" s="20" t="str">
        <f t="shared" si="122"/>
        <v>AUG</v>
      </c>
      <c r="C3912" s="21">
        <v>46249</v>
      </c>
      <c r="D3912" s="22" t="str">
        <f>IFERROR(INDEX('Kode Outlet dan Target Toko'!$A:$A,MATCH($I3912,'Kode Outlet dan Target Toko'!$E:$E,0)),"")</f>
        <v>GRSM 7</v>
      </c>
      <c r="E3912" s="20" t="str">
        <f>IFERROR(VLOOKUP(I3912,KET!$B:$F,4,0),"")</f>
        <v>INDRI</v>
      </c>
      <c r="F3912" s="20" t="str">
        <f>IFERROR(VLOOKUP(I3912,KET!$B:$F,5,0),"")</f>
        <v>GMM</v>
      </c>
      <c r="G3912" s="20">
        <f>IFERROR(INDEX('Kode Outlet dan Target Toko'!$C:$C,MATCH($I3912,'Kode Outlet dan Target Toko'!$E:$E,0)),0)</f>
        <v>103783</v>
      </c>
      <c r="H3912" s="20">
        <f>IFERROR(INDEX('Kode Outlet dan Target Toko'!$D:$D,MATCH($I3912,'Kode Outlet dan Target Toko'!$E:$E,0)),0)</f>
        <v>7500032</v>
      </c>
      <c r="I3912" s="42" t="s">
        <v>122</v>
      </c>
      <c r="J3912" s="56" t="s">
        <v>303</v>
      </c>
      <c r="K3912" s="40" t="s">
        <v>14</v>
      </c>
      <c r="L3912" s="26">
        <v>6400</v>
      </c>
      <c r="M3912" s="26">
        <v>41</v>
      </c>
      <c r="N3912" s="25">
        <f t="shared" si="123"/>
        <v>262400</v>
      </c>
      <c r="O3912" s="56"/>
    </row>
    <row r="3913" spans="1:15" hidden="1" x14ac:dyDescent="0.3">
      <c r="A3913" s="26">
        <v>33</v>
      </c>
      <c r="B3913" s="20" t="str">
        <f t="shared" si="122"/>
        <v>AUG</v>
      </c>
      <c r="C3913" s="21">
        <v>46249</v>
      </c>
      <c r="D3913" s="22" t="str">
        <f>IFERROR(INDEX('Kode Outlet dan Target Toko'!$A:$A,MATCH($I3913,'Kode Outlet dan Target Toko'!$E:$E,0)),"")</f>
        <v>GRSM 7</v>
      </c>
      <c r="E3913" s="20" t="str">
        <f>IFERROR(VLOOKUP(I3913,KET!$B:$F,4,0),"")</f>
        <v>INDRI</v>
      </c>
      <c r="F3913" s="20" t="str">
        <f>IFERROR(VLOOKUP(I3913,KET!$B:$F,5,0),"")</f>
        <v>GMM</v>
      </c>
      <c r="G3913" s="20">
        <f>IFERROR(INDEX('Kode Outlet dan Target Toko'!$C:$C,MATCH($I3913,'Kode Outlet dan Target Toko'!$E:$E,0)),0)</f>
        <v>103783</v>
      </c>
      <c r="H3913" s="20">
        <f>IFERROR(INDEX('Kode Outlet dan Target Toko'!$D:$D,MATCH($I3913,'Kode Outlet dan Target Toko'!$E:$E,0)),0)</f>
        <v>7500032</v>
      </c>
      <c r="I3913" s="42" t="s">
        <v>122</v>
      </c>
      <c r="J3913" s="56" t="s">
        <v>303</v>
      </c>
      <c r="K3913" s="40" t="s">
        <v>13</v>
      </c>
      <c r="L3913" s="26">
        <v>6400</v>
      </c>
      <c r="M3913" s="26">
        <v>25</v>
      </c>
      <c r="N3913" s="25">
        <f t="shared" si="123"/>
        <v>160000</v>
      </c>
      <c r="O3913" s="56"/>
    </row>
    <row r="3914" spans="1:15" hidden="1" x14ac:dyDescent="0.3">
      <c r="A3914" s="26">
        <v>33</v>
      </c>
      <c r="B3914" s="20" t="str">
        <f t="shared" si="122"/>
        <v>AUG</v>
      </c>
      <c r="C3914" s="21">
        <v>46249</v>
      </c>
      <c r="D3914" s="22" t="str">
        <f>IFERROR(INDEX('Kode Outlet dan Target Toko'!$A:$A,MATCH($I3914,'Kode Outlet dan Target Toko'!$E:$E,0)),"")</f>
        <v>GRSM 7</v>
      </c>
      <c r="E3914" s="20" t="str">
        <f>IFERROR(VLOOKUP(I3914,KET!$B:$F,4,0),"")</f>
        <v>INDRI</v>
      </c>
      <c r="F3914" s="20" t="str">
        <f>IFERROR(VLOOKUP(I3914,KET!$B:$F,5,0),"")</f>
        <v>GMM</v>
      </c>
      <c r="G3914" s="20">
        <f>IFERROR(INDEX('Kode Outlet dan Target Toko'!$C:$C,MATCH($I3914,'Kode Outlet dan Target Toko'!$E:$E,0)),0)</f>
        <v>103783</v>
      </c>
      <c r="H3914" s="20">
        <f>IFERROR(INDEX('Kode Outlet dan Target Toko'!$D:$D,MATCH($I3914,'Kode Outlet dan Target Toko'!$E:$E,0)),0)</f>
        <v>7500032</v>
      </c>
      <c r="I3914" s="42" t="s">
        <v>122</v>
      </c>
      <c r="J3914" s="56" t="s">
        <v>303</v>
      </c>
      <c r="K3914" s="40" t="s">
        <v>16</v>
      </c>
      <c r="L3914" s="26">
        <v>6400</v>
      </c>
      <c r="M3914" s="26">
        <v>30</v>
      </c>
      <c r="N3914" s="25">
        <f t="shared" si="123"/>
        <v>192000</v>
      </c>
      <c r="O3914" s="56">
        <v>160</v>
      </c>
    </row>
    <row r="3915" spans="1:15" hidden="1" x14ac:dyDescent="0.3">
      <c r="A3915" s="26">
        <v>33</v>
      </c>
      <c r="B3915" s="20" t="str">
        <f t="shared" si="122"/>
        <v>AUG</v>
      </c>
      <c r="C3915" s="21">
        <v>46249</v>
      </c>
      <c r="D3915" s="22" t="str">
        <f>IFERROR(INDEX('Kode Outlet dan Target Toko'!$A:$A,MATCH($I3915,'Kode Outlet dan Target Toko'!$E:$E,0)),"")</f>
        <v>GRSM 7</v>
      </c>
      <c r="E3915" s="20" t="str">
        <f>IFERROR(VLOOKUP(I3915,KET!$B:$F,4,0),"")</f>
        <v>INDRI</v>
      </c>
      <c r="F3915" s="20" t="str">
        <f>IFERROR(VLOOKUP(I3915,KET!$B:$F,5,0),"")</f>
        <v>GMM</v>
      </c>
      <c r="G3915" s="20">
        <f>IFERROR(INDEX('Kode Outlet dan Target Toko'!$C:$C,MATCH($I3915,'Kode Outlet dan Target Toko'!$E:$E,0)),0)</f>
        <v>103783</v>
      </c>
      <c r="H3915" s="20">
        <f>IFERROR(INDEX('Kode Outlet dan Target Toko'!$D:$D,MATCH($I3915,'Kode Outlet dan Target Toko'!$E:$E,0)),0)</f>
        <v>7500032</v>
      </c>
      <c r="I3915" s="42" t="s">
        <v>122</v>
      </c>
      <c r="J3915" s="56" t="s">
        <v>234</v>
      </c>
      <c r="K3915" s="40" t="s">
        <v>15</v>
      </c>
      <c r="L3915" s="26">
        <v>6400</v>
      </c>
      <c r="M3915" s="26">
        <v>28</v>
      </c>
      <c r="N3915" s="25">
        <f t="shared" si="123"/>
        <v>179200</v>
      </c>
      <c r="O3915" s="56"/>
    </row>
    <row r="3916" spans="1:15" hidden="1" x14ac:dyDescent="0.3">
      <c r="A3916" s="26">
        <v>33</v>
      </c>
      <c r="B3916" s="20" t="str">
        <f t="shared" si="122"/>
        <v>AUG</v>
      </c>
      <c r="C3916" s="21">
        <v>46249</v>
      </c>
      <c r="D3916" s="22" t="str">
        <f>IFERROR(INDEX('Kode Outlet dan Target Toko'!$A:$A,MATCH($I3916,'Kode Outlet dan Target Toko'!$E:$E,0)),"")</f>
        <v>GRSM 7</v>
      </c>
      <c r="E3916" s="20" t="str">
        <f>IFERROR(VLOOKUP(I3916,KET!$B:$F,4,0),"")</f>
        <v>INDRI</v>
      </c>
      <c r="F3916" s="20" t="str">
        <f>IFERROR(VLOOKUP(I3916,KET!$B:$F,5,0),"")</f>
        <v>GMM</v>
      </c>
      <c r="G3916" s="20">
        <f>IFERROR(INDEX('Kode Outlet dan Target Toko'!$C:$C,MATCH($I3916,'Kode Outlet dan Target Toko'!$E:$E,0)),0)</f>
        <v>103783</v>
      </c>
      <c r="H3916" s="20">
        <f>IFERROR(INDEX('Kode Outlet dan Target Toko'!$D:$D,MATCH($I3916,'Kode Outlet dan Target Toko'!$E:$E,0)),0)</f>
        <v>7500032</v>
      </c>
      <c r="I3916" s="42" t="s">
        <v>122</v>
      </c>
      <c r="J3916" s="56" t="s">
        <v>234</v>
      </c>
      <c r="K3916" s="40" t="s">
        <v>14</v>
      </c>
      <c r="L3916" s="26">
        <v>6400</v>
      </c>
      <c r="M3916" s="26">
        <v>41</v>
      </c>
      <c r="N3916" s="25">
        <f t="shared" si="123"/>
        <v>262400</v>
      </c>
      <c r="O3916" s="56"/>
    </row>
    <row r="3917" spans="1:15" hidden="1" x14ac:dyDescent="0.3">
      <c r="A3917" s="26">
        <v>33</v>
      </c>
      <c r="B3917" s="20" t="str">
        <f t="shared" si="122"/>
        <v>AUG</v>
      </c>
      <c r="C3917" s="21">
        <v>46249</v>
      </c>
      <c r="D3917" s="22" t="str">
        <f>IFERROR(INDEX('Kode Outlet dan Target Toko'!$A:$A,MATCH($I3917,'Kode Outlet dan Target Toko'!$E:$E,0)),"")</f>
        <v>GRSM 7</v>
      </c>
      <c r="E3917" s="20" t="str">
        <f>IFERROR(VLOOKUP(I3917,KET!$B:$F,4,0),"")</f>
        <v>INDRI</v>
      </c>
      <c r="F3917" s="20" t="str">
        <f>IFERROR(VLOOKUP(I3917,KET!$B:$F,5,0),"")</f>
        <v>GMM</v>
      </c>
      <c r="G3917" s="20">
        <f>IFERROR(INDEX('Kode Outlet dan Target Toko'!$C:$C,MATCH($I3917,'Kode Outlet dan Target Toko'!$E:$E,0)),0)</f>
        <v>103783</v>
      </c>
      <c r="H3917" s="20">
        <f>IFERROR(INDEX('Kode Outlet dan Target Toko'!$D:$D,MATCH($I3917,'Kode Outlet dan Target Toko'!$E:$E,0)),0)</f>
        <v>7500032</v>
      </c>
      <c r="I3917" s="42" t="s">
        <v>122</v>
      </c>
      <c r="J3917" s="56" t="s">
        <v>234</v>
      </c>
      <c r="K3917" s="40" t="s">
        <v>13</v>
      </c>
      <c r="L3917" s="26">
        <v>6400</v>
      </c>
      <c r="M3917" s="26">
        <v>25</v>
      </c>
      <c r="N3917" s="25">
        <f t="shared" si="123"/>
        <v>160000</v>
      </c>
      <c r="O3917" s="56"/>
    </row>
    <row r="3918" spans="1:15" hidden="1" x14ac:dyDescent="0.3">
      <c r="A3918" s="26">
        <v>33</v>
      </c>
      <c r="B3918" s="20" t="str">
        <f t="shared" si="122"/>
        <v>AUG</v>
      </c>
      <c r="C3918" s="21">
        <v>46249</v>
      </c>
      <c r="D3918" s="22" t="str">
        <f>IFERROR(INDEX('Kode Outlet dan Target Toko'!$A:$A,MATCH($I3918,'Kode Outlet dan Target Toko'!$E:$E,0)),"")</f>
        <v>GRSM 7</v>
      </c>
      <c r="E3918" s="20" t="str">
        <f>IFERROR(VLOOKUP(I3918,KET!$B:$F,4,0),"")</f>
        <v>INDRI</v>
      </c>
      <c r="F3918" s="20" t="str">
        <f>IFERROR(VLOOKUP(I3918,KET!$B:$F,5,0),"")</f>
        <v>GMM</v>
      </c>
      <c r="G3918" s="20">
        <f>IFERROR(INDEX('Kode Outlet dan Target Toko'!$C:$C,MATCH($I3918,'Kode Outlet dan Target Toko'!$E:$E,0)),0)</f>
        <v>103783</v>
      </c>
      <c r="H3918" s="20">
        <f>IFERROR(INDEX('Kode Outlet dan Target Toko'!$D:$D,MATCH($I3918,'Kode Outlet dan Target Toko'!$E:$E,0)),0)</f>
        <v>7500032</v>
      </c>
      <c r="I3918" s="42" t="s">
        <v>122</v>
      </c>
      <c r="J3918" s="56" t="s">
        <v>234</v>
      </c>
      <c r="K3918" s="40" t="s">
        <v>16</v>
      </c>
      <c r="L3918" s="26">
        <v>6400</v>
      </c>
      <c r="M3918" s="26">
        <v>30</v>
      </c>
      <c r="N3918" s="25">
        <f t="shared" si="123"/>
        <v>192000</v>
      </c>
      <c r="O3918" s="56">
        <v>160</v>
      </c>
    </row>
    <row r="3919" spans="1:15" hidden="1" x14ac:dyDescent="0.3">
      <c r="A3919" s="26">
        <v>33</v>
      </c>
      <c r="B3919" s="20" t="str">
        <f t="shared" si="122"/>
        <v>AUG</v>
      </c>
      <c r="C3919" s="21">
        <v>46250</v>
      </c>
      <c r="D3919" s="22" t="str">
        <f>IFERROR(INDEX('Kode Outlet dan Target Toko'!$A:$A,MATCH($I3919,'Kode Outlet dan Target Toko'!$E:$E,0)),"")</f>
        <v>GRSM 7</v>
      </c>
      <c r="E3919" s="20" t="str">
        <f>IFERROR(VLOOKUP(I3919,KET!$B:$F,4,0),"")</f>
        <v>INDRI</v>
      </c>
      <c r="F3919" s="20" t="str">
        <f>IFERROR(VLOOKUP(I3919,KET!$B:$F,5,0),"")</f>
        <v>GMM</v>
      </c>
      <c r="G3919" s="20">
        <f>IFERROR(INDEX('Kode Outlet dan Target Toko'!$C:$C,MATCH($I3919,'Kode Outlet dan Target Toko'!$E:$E,0)),0)</f>
        <v>211074</v>
      </c>
      <c r="H3919" s="20">
        <f>IFERROR(INDEX('Kode Outlet dan Target Toko'!$D:$D,MATCH($I3919,'Kode Outlet dan Target Toko'!$E:$E,0)),0)</f>
        <v>2217375</v>
      </c>
      <c r="I3919" s="42" t="s">
        <v>85</v>
      </c>
      <c r="J3919" s="56" t="s">
        <v>209</v>
      </c>
      <c r="K3919" s="40" t="s">
        <v>15</v>
      </c>
      <c r="L3919" s="26">
        <v>3200</v>
      </c>
      <c r="M3919" s="26">
        <v>10</v>
      </c>
      <c r="N3919" s="25">
        <f t="shared" si="123"/>
        <v>32000</v>
      </c>
      <c r="O3919" s="56"/>
    </row>
    <row r="3920" spans="1:15" hidden="1" x14ac:dyDescent="0.3">
      <c r="A3920" s="26">
        <v>33</v>
      </c>
      <c r="B3920" s="20" t="str">
        <f t="shared" si="122"/>
        <v>AUG</v>
      </c>
      <c r="C3920" s="21">
        <v>46250</v>
      </c>
      <c r="D3920" s="22" t="str">
        <f>IFERROR(INDEX('Kode Outlet dan Target Toko'!$A:$A,MATCH($I3920,'Kode Outlet dan Target Toko'!$E:$E,0)),"")</f>
        <v>GRSM 7</v>
      </c>
      <c r="E3920" s="20" t="str">
        <f>IFERROR(VLOOKUP(I3920,KET!$B:$F,4,0),"")</f>
        <v>INDRI</v>
      </c>
      <c r="F3920" s="20" t="str">
        <f>IFERROR(VLOOKUP(I3920,KET!$B:$F,5,0),"")</f>
        <v>GMM</v>
      </c>
      <c r="G3920" s="20">
        <f>IFERROR(INDEX('Kode Outlet dan Target Toko'!$C:$C,MATCH($I3920,'Kode Outlet dan Target Toko'!$E:$E,0)),0)</f>
        <v>211074</v>
      </c>
      <c r="H3920" s="20">
        <f>IFERROR(INDEX('Kode Outlet dan Target Toko'!$D:$D,MATCH($I3920,'Kode Outlet dan Target Toko'!$E:$E,0)),0)</f>
        <v>2217375</v>
      </c>
      <c r="I3920" s="42" t="s">
        <v>85</v>
      </c>
      <c r="J3920" s="56" t="s">
        <v>209</v>
      </c>
      <c r="K3920" s="40" t="s">
        <v>14</v>
      </c>
      <c r="L3920" s="26">
        <v>3200</v>
      </c>
      <c r="M3920" s="26">
        <v>12</v>
      </c>
      <c r="N3920" s="25">
        <f t="shared" si="123"/>
        <v>38400</v>
      </c>
      <c r="O3920" s="56"/>
    </row>
    <row r="3921" spans="1:15" hidden="1" x14ac:dyDescent="0.3">
      <c r="A3921" s="26">
        <v>33</v>
      </c>
      <c r="B3921" s="20" t="str">
        <f t="shared" si="122"/>
        <v>AUG</v>
      </c>
      <c r="C3921" s="21">
        <v>46250</v>
      </c>
      <c r="D3921" s="22" t="str">
        <f>IFERROR(INDEX('Kode Outlet dan Target Toko'!$A:$A,MATCH($I3921,'Kode Outlet dan Target Toko'!$E:$E,0)),"")</f>
        <v>GRSM 7</v>
      </c>
      <c r="E3921" s="20" t="str">
        <f>IFERROR(VLOOKUP(I3921,KET!$B:$F,4,0),"")</f>
        <v>INDRI</v>
      </c>
      <c r="F3921" s="20" t="str">
        <f>IFERROR(VLOOKUP(I3921,KET!$B:$F,5,0),"")</f>
        <v>GMM</v>
      </c>
      <c r="G3921" s="20">
        <f>IFERROR(INDEX('Kode Outlet dan Target Toko'!$C:$C,MATCH($I3921,'Kode Outlet dan Target Toko'!$E:$E,0)),0)</f>
        <v>211074</v>
      </c>
      <c r="H3921" s="20">
        <f>IFERROR(INDEX('Kode Outlet dan Target Toko'!$D:$D,MATCH($I3921,'Kode Outlet dan Target Toko'!$E:$E,0)),0)</f>
        <v>2217375</v>
      </c>
      <c r="I3921" s="42" t="s">
        <v>85</v>
      </c>
      <c r="J3921" s="56" t="s">
        <v>209</v>
      </c>
      <c r="K3921" s="40" t="s">
        <v>13</v>
      </c>
      <c r="L3921" s="26">
        <v>3200</v>
      </c>
      <c r="M3921" s="26">
        <v>16</v>
      </c>
      <c r="N3921" s="25">
        <f t="shared" si="123"/>
        <v>51200</v>
      </c>
      <c r="O3921" s="56"/>
    </row>
    <row r="3922" spans="1:15" hidden="1" x14ac:dyDescent="0.3">
      <c r="A3922" s="26">
        <v>33</v>
      </c>
      <c r="B3922" s="20" t="str">
        <f t="shared" si="122"/>
        <v>AUG</v>
      </c>
      <c r="C3922" s="21">
        <v>46250</v>
      </c>
      <c r="D3922" s="22" t="str">
        <f>IFERROR(INDEX('Kode Outlet dan Target Toko'!$A:$A,MATCH($I3922,'Kode Outlet dan Target Toko'!$E:$E,0)),"")</f>
        <v>GRSM 7</v>
      </c>
      <c r="E3922" s="20" t="str">
        <f>IFERROR(VLOOKUP(I3922,KET!$B:$F,4,0),"")</f>
        <v>INDRI</v>
      </c>
      <c r="F3922" s="20" t="str">
        <f>IFERROR(VLOOKUP(I3922,KET!$B:$F,5,0),"")</f>
        <v>GMM</v>
      </c>
      <c r="G3922" s="20">
        <f>IFERROR(INDEX('Kode Outlet dan Target Toko'!$C:$C,MATCH($I3922,'Kode Outlet dan Target Toko'!$E:$E,0)),0)</f>
        <v>211074</v>
      </c>
      <c r="H3922" s="20">
        <f>IFERROR(INDEX('Kode Outlet dan Target Toko'!$D:$D,MATCH($I3922,'Kode Outlet dan Target Toko'!$E:$E,0)),0)</f>
        <v>2217375</v>
      </c>
      <c r="I3922" s="42" t="s">
        <v>85</v>
      </c>
      <c r="J3922" s="56" t="s">
        <v>209</v>
      </c>
      <c r="K3922" s="40" t="s">
        <v>16</v>
      </c>
      <c r="L3922" s="26">
        <v>3200</v>
      </c>
      <c r="M3922" s="26">
        <v>220</v>
      </c>
      <c r="N3922" s="25">
        <f t="shared" si="123"/>
        <v>704000</v>
      </c>
      <c r="O3922" s="56">
        <v>160</v>
      </c>
    </row>
    <row r="3923" spans="1:15" hidden="1" x14ac:dyDescent="0.3">
      <c r="A3923" s="26">
        <v>33</v>
      </c>
      <c r="B3923" s="20" t="str">
        <f t="shared" si="122"/>
        <v>AUG</v>
      </c>
      <c r="C3923" s="21">
        <v>46250</v>
      </c>
      <c r="D3923" s="22" t="str">
        <f>IFERROR(INDEX('Kode Outlet dan Target Toko'!$A:$A,MATCH($I3923,'Kode Outlet dan Target Toko'!$E:$E,0)),"")</f>
        <v>GRSM 7</v>
      </c>
      <c r="E3923" s="20" t="str">
        <f>IFERROR(VLOOKUP(I3923,KET!$B:$F,4,0),"")</f>
        <v>INDRI</v>
      </c>
      <c r="F3923" s="20" t="str">
        <f>IFERROR(VLOOKUP(I3923,KET!$B:$F,5,0),"")</f>
        <v>GMM</v>
      </c>
      <c r="G3923" s="20">
        <f>IFERROR(INDEX('Kode Outlet dan Target Toko'!$C:$C,MATCH($I3923,'Kode Outlet dan Target Toko'!$E:$E,0)),0)</f>
        <v>211074</v>
      </c>
      <c r="H3923" s="20">
        <f>IFERROR(INDEX('Kode Outlet dan Target Toko'!$D:$D,MATCH($I3923,'Kode Outlet dan Target Toko'!$E:$E,0)),0)</f>
        <v>2217375</v>
      </c>
      <c r="I3923" s="42" t="s">
        <v>85</v>
      </c>
      <c r="J3923" s="56" t="s">
        <v>210</v>
      </c>
      <c r="K3923" s="40" t="s">
        <v>15</v>
      </c>
      <c r="L3923" s="26">
        <v>3200</v>
      </c>
      <c r="M3923" s="26">
        <v>10</v>
      </c>
      <c r="N3923" s="25">
        <f t="shared" si="123"/>
        <v>32000</v>
      </c>
      <c r="O3923" s="56"/>
    </row>
    <row r="3924" spans="1:15" hidden="1" x14ac:dyDescent="0.3">
      <c r="A3924" s="26">
        <v>33</v>
      </c>
      <c r="B3924" s="20" t="str">
        <f t="shared" si="122"/>
        <v>AUG</v>
      </c>
      <c r="C3924" s="21">
        <v>46250</v>
      </c>
      <c r="D3924" s="22" t="str">
        <f>IFERROR(INDEX('Kode Outlet dan Target Toko'!$A:$A,MATCH($I3924,'Kode Outlet dan Target Toko'!$E:$E,0)),"")</f>
        <v>GRSM 7</v>
      </c>
      <c r="E3924" s="20" t="str">
        <f>IFERROR(VLOOKUP(I3924,KET!$B:$F,4,0),"")</f>
        <v>INDRI</v>
      </c>
      <c r="F3924" s="20" t="str">
        <f>IFERROR(VLOOKUP(I3924,KET!$B:$F,5,0),"")</f>
        <v>GMM</v>
      </c>
      <c r="G3924" s="20">
        <f>IFERROR(INDEX('Kode Outlet dan Target Toko'!$C:$C,MATCH($I3924,'Kode Outlet dan Target Toko'!$E:$E,0)),0)</f>
        <v>211074</v>
      </c>
      <c r="H3924" s="20">
        <f>IFERROR(INDEX('Kode Outlet dan Target Toko'!$D:$D,MATCH($I3924,'Kode Outlet dan Target Toko'!$E:$E,0)),0)</f>
        <v>2217375</v>
      </c>
      <c r="I3924" s="42" t="s">
        <v>85</v>
      </c>
      <c r="J3924" s="56" t="s">
        <v>210</v>
      </c>
      <c r="K3924" s="40" t="s">
        <v>14</v>
      </c>
      <c r="L3924" s="26">
        <v>3200</v>
      </c>
      <c r="M3924" s="26">
        <v>12</v>
      </c>
      <c r="N3924" s="25">
        <f t="shared" si="123"/>
        <v>38400</v>
      </c>
      <c r="O3924" s="56"/>
    </row>
    <row r="3925" spans="1:15" hidden="1" x14ac:dyDescent="0.3">
      <c r="A3925" s="26">
        <v>33</v>
      </c>
      <c r="B3925" s="20" t="str">
        <f t="shared" si="122"/>
        <v>AUG</v>
      </c>
      <c r="C3925" s="21">
        <v>46250</v>
      </c>
      <c r="D3925" s="22" t="str">
        <f>IFERROR(INDEX('Kode Outlet dan Target Toko'!$A:$A,MATCH($I3925,'Kode Outlet dan Target Toko'!$E:$E,0)),"")</f>
        <v>GRSM 7</v>
      </c>
      <c r="E3925" s="20" t="str">
        <f>IFERROR(VLOOKUP(I3925,KET!$B:$F,4,0),"")</f>
        <v>INDRI</v>
      </c>
      <c r="F3925" s="20" t="str">
        <f>IFERROR(VLOOKUP(I3925,KET!$B:$F,5,0),"")</f>
        <v>GMM</v>
      </c>
      <c r="G3925" s="20">
        <f>IFERROR(INDEX('Kode Outlet dan Target Toko'!$C:$C,MATCH($I3925,'Kode Outlet dan Target Toko'!$E:$E,0)),0)</f>
        <v>211074</v>
      </c>
      <c r="H3925" s="20">
        <f>IFERROR(INDEX('Kode Outlet dan Target Toko'!$D:$D,MATCH($I3925,'Kode Outlet dan Target Toko'!$E:$E,0)),0)</f>
        <v>2217375</v>
      </c>
      <c r="I3925" s="42" t="s">
        <v>85</v>
      </c>
      <c r="J3925" s="56" t="s">
        <v>210</v>
      </c>
      <c r="K3925" s="40" t="s">
        <v>13</v>
      </c>
      <c r="L3925" s="26">
        <v>3200</v>
      </c>
      <c r="M3925" s="26">
        <v>16</v>
      </c>
      <c r="N3925" s="25">
        <f t="shared" si="123"/>
        <v>51200</v>
      </c>
      <c r="O3925" s="56"/>
    </row>
    <row r="3926" spans="1:15" hidden="1" x14ac:dyDescent="0.3">
      <c r="A3926" s="26">
        <v>33</v>
      </c>
      <c r="B3926" s="20" t="str">
        <f t="shared" si="122"/>
        <v>AUG</v>
      </c>
      <c r="C3926" s="21">
        <v>46250</v>
      </c>
      <c r="D3926" s="22" t="str">
        <f>IFERROR(INDEX('Kode Outlet dan Target Toko'!$A:$A,MATCH($I3926,'Kode Outlet dan Target Toko'!$E:$E,0)),"")</f>
        <v>GRSM 7</v>
      </c>
      <c r="E3926" s="20" t="str">
        <f>IFERROR(VLOOKUP(I3926,KET!$B:$F,4,0),"")</f>
        <v>INDRI</v>
      </c>
      <c r="F3926" s="20" t="str">
        <f>IFERROR(VLOOKUP(I3926,KET!$B:$F,5,0),"")</f>
        <v>GMM</v>
      </c>
      <c r="G3926" s="20">
        <f>IFERROR(INDEX('Kode Outlet dan Target Toko'!$C:$C,MATCH($I3926,'Kode Outlet dan Target Toko'!$E:$E,0)),0)</f>
        <v>211074</v>
      </c>
      <c r="H3926" s="20">
        <f>IFERROR(INDEX('Kode Outlet dan Target Toko'!$D:$D,MATCH($I3926,'Kode Outlet dan Target Toko'!$E:$E,0)),0)</f>
        <v>2217375</v>
      </c>
      <c r="I3926" s="42" t="s">
        <v>85</v>
      </c>
      <c r="J3926" s="56" t="s">
        <v>210</v>
      </c>
      <c r="K3926" s="40" t="s">
        <v>16</v>
      </c>
      <c r="L3926" s="26">
        <v>3200</v>
      </c>
      <c r="M3926" s="26">
        <v>220</v>
      </c>
      <c r="N3926" s="25">
        <f t="shared" si="123"/>
        <v>704000</v>
      </c>
      <c r="O3926" s="56">
        <v>160</v>
      </c>
    </row>
    <row r="3927" spans="1:15" hidden="1" x14ac:dyDescent="0.3">
      <c r="A3927" s="26">
        <v>33</v>
      </c>
      <c r="B3927" s="20" t="str">
        <f t="shared" si="122"/>
        <v>AUG</v>
      </c>
      <c r="C3927" s="21">
        <v>46250</v>
      </c>
      <c r="D3927" s="22" t="str">
        <f>IFERROR(INDEX('Kode Outlet dan Target Toko'!$A:$A,MATCH($I3927,'Kode Outlet dan Target Toko'!$E:$E,0)),"")</f>
        <v>GRSM 7</v>
      </c>
      <c r="E3927" s="20" t="str">
        <f>IFERROR(VLOOKUP(I3927,KET!$B:$F,4,0),"")</f>
        <v>INDRI</v>
      </c>
      <c r="F3927" s="20" t="str">
        <f>IFERROR(VLOOKUP(I3927,KET!$B:$F,5,0),"")</f>
        <v>GMM</v>
      </c>
      <c r="G3927" s="20">
        <f>IFERROR(INDEX('Kode Outlet dan Target Toko'!$C:$C,MATCH($I3927,'Kode Outlet dan Target Toko'!$E:$E,0)),0)</f>
        <v>103783</v>
      </c>
      <c r="H3927" s="20">
        <f>IFERROR(INDEX('Kode Outlet dan Target Toko'!$D:$D,MATCH($I3927,'Kode Outlet dan Target Toko'!$E:$E,0)),0)</f>
        <v>7500032</v>
      </c>
      <c r="I3927" s="42" t="s">
        <v>122</v>
      </c>
      <c r="J3927" s="56" t="s">
        <v>303</v>
      </c>
      <c r="K3927" s="40" t="s">
        <v>15</v>
      </c>
      <c r="L3927" s="26">
        <v>6400</v>
      </c>
      <c r="M3927" s="26">
        <v>44</v>
      </c>
      <c r="N3927" s="25">
        <f t="shared" si="123"/>
        <v>281600</v>
      </c>
      <c r="O3927" s="56"/>
    </row>
    <row r="3928" spans="1:15" hidden="1" x14ac:dyDescent="0.3">
      <c r="A3928" s="26">
        <v>33</v>
      </c>
      <c r="B3928" s="20" t="str">
        <f t="shared" si="122"/>
        <v>AUG</v>
      </c>
      <c r="C3928" s="21">
        <v>46250</v>
      </c>
      <c r="D3928" s="22" t="str">
        <f>IFERROR(INDEX('Kode Outlet dan Target Toko'!$A:$A,MATCH($I3928,'Kode Outlet dan Target Toko'!$E:$E,0)),"")</f>
        <v>GRSM 7</v>
      </c>
      <c r="E3928" s="20" t="str">
        <f>IFERROR(VLOOKUP(I3928,KET!$B:$F,4,0),"")</f>
        <v>INDRI</v>
      </c>
      <c r="F3928" s="20" t="str">
        <f>IFERROR(VLOOKUP(I3928,KET!$B:$F,5,0),"")</f>
        <v>GMM</v>
      </c>
      <c r="G3928" s="20">
        <f>IFERROR(INDEX('Kode Outlet dan Target Toko'!$C:$C,MATCH($I3928,'Kode Outlet dan Target Toko'!$E:$E,0)),0)</f>
        <v>103783</v>
      </c>
      <c r="H3928" s="20">
        <f>IFERROR(INDEX('Kode Outlet dan Target Toko'!$D:$D,MATCH($I3928,'Kode Outlet dan Target Toko'!$E:$E,0)),0)</f>
        <v>7500032</v>
      </c>
      <c r="I3928" s="42" t="s">
        <v>122</v>
      </c>
      <c r="J3928" s="56" t="s">
        <v>303</v>
      </c>
      <c r="K3928" s="40" t="s">
        <v>14</v>
      </c>
      <c r="L3928" s="26">
        <v>6400</v>
      </c>
      <c r="M3928" s="26">
        <v>38</v>
      </c>
      <c r="N3928" s="25">
        <f t="shared" si="123"/>
        <v>243200</v>
      </c>
      <c r="O3928" s="56"/>
    </row>
    <row r="3929" spans="1:15" hidden="1" x14ac:dyDescent="0.3">
      <c r="A3929" s="26">
        <v>33</v>
      </c>
      <c r="B3929" s="20" t="str">
        <f t="shared" si="122"/>
        <v>AUG</v>
      </c>
      <c r="C3929" s="21">
        <v>46250</v>
      </c>
      <c r="D3929" s="22" t="str">
        <f>IFERROR(INDEX('Kode Outlet dan Target Toko'!$A:$A,MATCH($I3929,'Kode Outlet dan Target Toko'!$E:$E,0)),"")</f>
        <v>GRSM 7</v>
      </c>
      <c r="E3929" s="20" t="str">
        <f>IFERROR(VLOOKUP(I3929,KET!$B:$F,4,0),"")</f>
        <v>INDRI</v>
      </c>
      <c r="F3929" s="20" t="str">
        <f>IFERROR(VLOOKUP(I3929,KET!$B:$F,5,0),"")</f>
        <v>GMM</v>
      </c>
      <c r="G3929" s="20">
        <f>IFERROR(INDEX('Kode Outlet dan Target Toko'!$C:$C,MATCH($I3929,'Kode Outlet dan Target Toko'!$E:$E,0)),0)</f>
        <v>103783</v>
      </c>
      <c r="H3929" s="20">
        <f>IFERROR(INDEX('Kode Outlet dan Target Toko'!$D:$D,MATCH($I3929,'Kode Outlet dan Target Toko'!$E:$E,0)),0)</f>
        <v>7500032</v>
      </c>
      <c r="I3929" s="42" t="s">
        <v>122</v>
      </c>
      <c r="J3929" s="56" t="s">
        <v>303</v>
      </c>
      <c r="K3929" s="40" t="s">
        <v>13</v>
      </c>
      <c r="L3929" s="26">
        <v>6400</v>
      </c>
      <c r="M3929" s="26">
        <v>48</v>
      </c>
      <c r="N3929" s="25">
        <f t="shared" si="123"/>
        <v>307200</v>
      </c>
      <c r="O3929" s="56"/>
    </row>
    <row r="3930" spans="1:15" hidden="1" x14ac:dyDescent="0.3">
      <c r="A3930" s="26">
        <v>33</v>
      </c>
      <c r="B3930" s="20" t="str">
        <f t="shared" si="122"/>
        <v>AUG</v>
      </c>
      <c r="C3930" s="21">
        <v>46250</v>
      </c>
      <c r="D3930" s="22" t="str">
        <f>IFERROR(INDEX('Kode Outlet dan Target Toko'!$A:$A,MATCH($I3930,'Kode Outlet dan Target Toko'!$E:$E,0)),"")</f>
        <v>GRSM 7</v>
      </c>
      <c r="E3930" s="20" t="str">
        <f>IFERROR(VLOOKUP(I3930,KET!$B:$F,4,0),"")</f>
        <v>INDRI</v>
      </c>
      <c r="F3930" s="20" t="str">
        <f>IFERROR(VLOOKUP(I3930,KET!$B:$F,5,0),"")</f>
        <v>GMM</v>
      </c>
      <c r="G3930" s="20">
        <f>IFERROR(INDEX('Kode Outlet dan Target Toko'!$C:$C,MATCH($I3930,'Kode Outlet dan Target Toko'!$E:$E,0)),0)</f>
        <v>103783</v>
      </c>
      <c r="H3930" s="20">
        <f>IFERROR(INDEX('Kode Outlet dan Target Toko'!$D:$D,MATCH($I3930,'Kode Outlet dan Target Toko'!$E:$E,0)),0)</f>
        <v>7500032</v>
      </c>
      <c r="I3930" s="42" t="s">
        <v>122</v>
      </c>
      <c r="J3930" s="56" t="s">
        <v>303</v>
      </c>
      <c r="K3930" s="40" t="s">
        <v>16</v>
      </c>
      <c r="L3930" s="26">
        <v>6400</v>
      </c>
      <c r="M3930" s="26">
        <v>4</v>
      </c>
      <c r="N3930" s="25">
        <f t="shared" si="123"/>
        <v>25600</v>
      </c>
      <c r="O3930" s="56">
        <v>160</v>
      </c>
    </row>
    <row r="3931" spans="1:15" hidden="1" x14ac:dyDescent="0.3">
      <c r="A3931" s="26">
        <v>33</v>
      </c>
      <c r="B3931" s="20" t="str">
        <f t="shared" si="122"/>
        <v>AUG</v>
      </c>
      <c r="C3931" s="21">
        <v>46250</v>
      </c>
      <c r="D3931" s="22" t="str">
        <f>IFERROR(INDEX('Kode Outlet dan Target Toko'!$A:$A,MATCH($I3931,'Kode Outlet dan Target Toko'!$E:$E,0)),"")</f>
        <v>GRSM 7</v>
      </c>
      <c r="E3931" s="20" t="str">
        <f>IFERROR(VLOOKUP(I3931,KET!$B:$F,4,0),"")</f>
        <v>INDRI</v>
      </c>
      <c r="F3931" s="20" t="str">
        <f>IFERROR(VLOOKUP(I3931,KET!$B:$F,5,0),"")</f>
        <v>GMM</v>
      </c>
      <c r="G3931" s="20">
        <f>IFERROR(INDEX('Kode Outlet dan Target Toko'!$C:$C,MATCH($I3931,'Kode Outlet dan Target Toko'!$E:$E,0)),0)</f>
        <v>103783</v>
      </c>
      <c r="H3931" s="20">
        <f>IFERROR(INDEX('Kode Outlet dan Target Toko'!$D:$D,MATCH($I3931,'Kode Outlet dan Target Toko'!$E:$E,0)),0)</f>
        <v>7500032</v>
      </c>
      <c r="I3931" s="42" t="s">
        <v>122</v>
      </c>
      <c r="J3931" s="56" t="s">
        <v>234</v>
      </c>
      <c r="K3931" s="40" t="s">
        <v>15</v>
      </c>
      <c r="L3931" s="26">
        <v>6400</v>
      </c>
      <c r="M3931" s="26">
        <v>44</v>
      </c>
      <c r="N3931" s="25">
        <f t="shared" si="123"/>
        <v>281600</v>
      </c>
      <c r="O3931" s="56"/>
    </row>
    <row r="3932" spans="1:15" hidden="1" x14ac:dyDescent="0.3">
      <c r="A3932" s="26">
        <v>33</v>
      </c>
      <c r="B3932" s="20" t="str">
        <f t="shared" si="122"/>
        <v>AUG</v>
      </c>
      <c r="C3932" s="21">
        <v>46250</v>
      </c>
      <c r="D3932" s="22" t="str">
        <f>IFERROR(INDEX('Kode Outlet dan Target Toko'!$A:$A,MATCH($I3932,'Kode Outlet dan Target Toko'!$E:$E,0)),"")</f>
        <v>GRSM 7</v>
      </c>
      <c r="E3932" s="20" t="str">
        <f>IFERROR(VLOOKUP(I3932,KET!$B:$F,4,0),"")</f>
        <v>INDRI</v>
      </c>
      <c r="F3932" s="20" t="str">
        <f>IFERROR(VLOOKUP(I3932,KET!$B:$F,5,0),"")</f>
        <v>GMM</v>
      </c>
      <c r="G3932" s="20">
        <f>IFERROR(INDEX('Kode Outlet dan Target Toko'!$C:$C,MATCH($I3932,'Kode Outlet dan Target Toko'!$E:$E,0)),0)</f>
        <v>103783</v>
      </c>
      <c r="H3932" s="20">
        <f>IFERROR(INDEX('Kode Outlet dan Target Toko'!$D:$D,MATCH($I3932,'Kode Outlet dan Target Toko'!$E:$E,0)),0)</f>
        <v>7500032</v>
      </c>
      <c r="I3932" s="42" t="s">
        <v>122</v>
      </c>
      <c r="J3932" s="56" t="s">
        <v>234</v>
      </c>
      <c r="K3932" s="40" t="s">
        <v>14</v>
      </c>
      <c r="L3932" s="26">
        <v>6400</v>
      </c>
      <c r="M3932" s="26">
        <v>38</v>
      </c>
      <c r="N3932" s="25">
        <f t="shared" si="123"/>
        <v>243200</v>
      </c>
      <c r="O3932" s="56"/>
    </row>
    <row r="3933" spans="1:15" hidden="1" x14ac:dyDescent="0.3">
      <c r="A3933" s="26">
        <v>33</v>
      </c>
      <c r="B3933" s="20" t="str">
        <f t="shared" si="122"/>
        <v>AUG</v>
      </c>
      <c r="C3933" s="21">
        <v>46250</v>
      </c>
      <c r="D3933" s="22" t="str">
        <f>IFERROR(INDEX('Kode Outlet dan Target Toko'!$A:$A,MATCH($I3933,'Kode Outlet dan Target Toko'!$E:$E,0)),"")</f>
        <v>GRSM 7</v>
      </c>
      <c r="E3933" s="20" t="str">
        <f>IFERROR(VLOOKUP(I3933,KET!$B:$F,4,0),"")</f>
        <v>INDRI</v>
      </c>
      <c r="F3933" s="20" t="str">
        <f>IFERROR(VLOOKUP(I3933,KET!$B:$F,5,0),"")</f>
        <v>GMM</v>
      </c>
      <c r="G3933" s="20">
        <f>IFERROR(INDEX('Kode Outlet dan Target Toko'!$C:$C,MATCH($I3933,'Kode Outlet dan Target Toko'!$E:$E,0)),0)</f>
        <v>103783</v>
      </c>
      <c r="H3933" s="20">
        <f>IFERROR(INDEX('Kode Outlet dan Target Toko'!$D:$D,MATCH($I3933,'Kode Outlet dan Target Toko'!$E:$E,0)),0)</f>
        <v>7500032</v>
      </c>
      <c r="I3933" s="42" t="s">
        <v>122</v>
      </c>
      <c r="J3933" s="56" t="s">
        <v>234</v>
      </c>
      <c r="K3933" s="40" t="s">
        <v>13</v>
      </c>
      <c r="L3933" s="26">
        <v>6400</v>
      </c>
      <c r="M3933" s="26">
        <v>48</v>
      </c>
      <c r="N3933" s="25">
        <f t="shared" si="123"/>
        <v>307200</v>
      </c>
      <c r="O3933" s="56"/>
    </row>
    <row r="3934" spans="1:15" hidden="1" x14ac:dyDescent="0.3">
      <c r="A3934" s="26">
        <v>33</v>
      </c>
      <c r="B3934" s="20" t="str">
        <f t="shared" si="122"/>
        <v>AUG</v>
      </c>
      <c r="C3934" s="21">
        <v>46250</v>
      </c>
      <c r="D3934" s="22" t="str">
        <f>IFERROR(INDEX('Kode Outlet dan Target Toko'!$A:$A,MATCH($I3934,'Kode Outlet dan Target Toko'!$E:$E,0)),"")</f>
        <v>GRSM 7</v>
      </c>
      <c r="E3934" s="20" t="str">
        <f>IFERROR(VLOOKUP(I3934,KET!$B:$F,4,0),"")</f>
        <v>INDRI</v>
      </c>
      <c r="F3934" s="20" t="str">
        <f>IFERROR(VLOOKUP(I3934,KET!$B:$F,5,0),"")</f>
        <v>GMM</v>
      </c>
      <c r="G3934" s="20">
        <f>IFERROR(INDEX('Kode Outlet dan Target Toko'!$C:$C,MATCH($I3934,'Kode Outlet dan Target Toko'!$E:$E,0)),0)</f>
        <v>103783</v>
      </c>
      <c r="H3934" s="20">
        <f>IFERROR(INDEX('Kode Outlet dan Target Toko'!$D:$D,MATCH($I3934,'Kode Outlet dan Target Toko'!$E:$E,0)),0)</f>
        <v>7500032</v>
      </c>
      <c r="I3934" s="42" t="s">
        <v>122</v>
      </c>
      <c r="J3934" s="56" t="s">
        <v>234</v>
      </c>
      <c r="K3934" s="40" t="s">
        <v>16</v>
      </c>
      <c r="L3934" s="26">
        <v>6400</v>
      </c>
      <c r="M3934" s="26">
        <v>4</v>
      </c>
      <c r="N3934" s="25">
        <f t="shared" si="123"/>
        <v>25600</v>
      </c>
      <c r="O3934" s="56">
        <v>160</v>
      </c>
    </row>
    <row r="3935" spans="1:15" hidden="1" x14ac:dyDescent="0.3">
      <c r="A3935" s="26">
        <v>33</v>
      </c>
      <c r="B3935" s="20" t="str">
        <f t="shared" si="122"/>
        <v>AUG</v>
      </c>
      <c r="C3935" s="21">
        <v>46250</v>
      </c>
      <c r="D3935" s="22" t="str">
        <f>IFERROR(INDEX('Kode Outlet dan Target Toko'!$A:$A,MATCH($I3935,'Kode Outlet dan Target Toko'!$E:$E,0)),"")</f>
        <v>GRSM 7</v>
      </c>
      <c r="E3935" s="20" t="str">
        <f>IFERROR(VLOOKUP(I3935,KET!$B:$F,4,0),"")</f>
        <v>INDRI</v>
      </c>
      <c r="F3935" s="20" t="str">
        <f>IFERROR(VLOOKUP(I3935,KET!$B:$F,5,0),"")</f>
        <v>GMM</v>
      </c>
      <c r="G3935" s="20">
        <f>IFERROR(INDEX('Kode Outlet dan Target Toko'!$C:$C,MATCH($I3935,'Kode Outlet dan Target Toko'!$E:$E,0)),0)</f>
        <v>103240</v>
      </c>
      <c r="H3935" s="20">
        <f>IFERROR(INDEX('Kode Outlet dan Target Toko'!$D:$D,MATCH($I3935,'Kode Outlet dan Target Toko'!$E:$E,0)),0)</f>
        <v>7112059</v>
      </c>
      <c r="I3935" s="42" t="s">
        <v>116</v>
      </c>
      <c r="J3935" s="56" t="s">
        <v>212</v>
      </c>
      <c r="K3935" s="40" t="s">
        <v>15</v>
      </c>
      <c r="L3935" s="26">
        <v>3200</v>
      </c>
      <c r="M3935" s="26">
        <v>64</v>
      </c>
      <c r="N3935" s="25">
        <f t="shared" si="123"/>
        <v>204800</v>
      </c>
      <c r="O3935" s="56"/>
    </row>
    <row r="3936" spans="1:15" hidden="1" x14ac:dyDescent="0.3">
      <c r="A3936" s="26">
        <v>33</v>
      </c>
      <c r="B3936" s="20" t="str">
        <f t="shared" si="122"/>
        <v>AUG</v>
      </c>
      <c r="C3936" s="21">
        <v>46250</v>
      </c>
      <c r="D3936" s="22" t="str">
        <f>IFERROR(INDEX('Kode Outlet dan Target Toko'!$A:$A,MATCH($I3936,'Kode Outlet dan Target Toko'!$E:$E,0)),"")</f>
        <v>GRSM 7</v>
      </c>
      <c r="E3936" s="20" t="str">
        <f>IFERROR(VLOOKUP(I3936,KET!$B:$F,4,0),"")</f>
        <v>INDRI</v>
      </c>
      <c r="F3936" s="20" t="str">
        <f>IFERROR(VLOOKUP(I3936,KET!$B:$F,5,0),"")</f>
        <v>GMM</v>
      </c>
      <c r="G3936" s="20">
        <f>IFERROR(INDEX('Kode Outlet dan Target Toko'!$C:$C,MATCH($I3936,'Kode Outlet dan Target Toko'!$E:$E,0)),0)</f>
        <v>103240</v>
      </c>
      <c r="H3936" s="20">
        <f>IFERROR(INDEX('Kode Outlet dan Target Toko'!$D:$D,MATCH($I3936,'Kode Outlet dan Target Toko'!$E:$E,0)),0)</f>
        <v>7112059</v>
      </c>
      <c r="I3936" s="42" t="s">
        <v>116</v>
      </c>
      <c r="J3936" s="56" t="s">
        <v>212</v>
      </c>
      <c r="K3936" s="40" t="s">
        <v>14</v>
      </c>
      <c r="L3936" s="26">
        <v>3200</v>
      </c>
      <c r="M3936" s="26">
        <v>62</v>
      </c>
      <c r="N3936" s="25">
        <f t="shared" si="123"/>
        <v>198400</v>
      </c>
      <c r="O3936" s="56"/>
    </row>
    <row r="3937" spans="1:15" hidden="1" x14ac:dyDescent="0.3">
      <c r="A3937" s="26">
        <v>33</v>
      </c>
      <c r="B3937" s="20" t="str">
        <f t="shared" si="122"/>
        <v>AUG</v>
      </c>
      <c r="C3937" s="21">
        <v>46250</v>
      </c>
      <c r="D3937" s="22" t="str">
        <f>IFERROR(INDEX('Kode Outlet dan Target Toko'!$A:$A,MATCH($I3937,'Kode Outlet dan Target Toko'!$E:$E,0)),"")</f>
        <v>GRSM 7</v>
      </c>
      <c r="E3937" s="20" t="str">
        <f>IFERROR(VLOOKUP(I3937,KET!$B:$F,4,0),"")</f>
        <v>INDRI</v>
      </c>
      <c r="F3937" s="20" t="str">
        <f>IFERROR(VLOOKUP(I3937,KET!$B:$F,5,0),"")</f>
        <v>GMM</v>
      </c>
      <c r="G3937" s="20">
        <f>IFERROR(INDEX('Kode Outlet dan Target Toko'!$C:$C,MATCH($I3937,'Kode Outlet dan Target Toko'!$E:$E,0)),0)</f>
        <v>103240</v>
      </c>
      <c r="H3937" s="20">
        <f>IFERROR(INDEX('Kode Outlet dan Target Toko'!$D:$D,MATCH($I3937,'Kode Outlet dan Target Toko'!$E:$E,0)),0)</f>
        <v>7112059</v>
      </c>
      <c r="I3937" s="42" t="s">
        <v>116</v>
      </c>
      <c r="J3937" s="56" t="s">
        <v>212</v>
      </c>
      <c r="K3937" s="40" t="s">
        <v>13</v>
      </c>
      <c r="L3937" s="26">
        <v>3200</v>
      </c>
      <c r="M3937" s="26">
        <v>0</v>
      </c>
      <c r="N3937" s="25">
        <f t="shared" si="123"/>
        <v>0</v>
      </c>
      <c r="O3937" s="56"/>
    </row>
    <row r="3938" spans="1:15" hidden="1" x14ac:dyDescent="0.3">
      <c r="A3938" s="26">
        <v>33</v>
      </c>
      <c r="B3938" s="20" t="str">
        <f t="shared" si="122"/>
        <v>AUG</v>
      </c>
      <c r="C3938" s="21">
        <v>46250</v>
      </c>
      <c r="D3938" s="22" t="str">
        <f>IFERROR(INDEX('Kode Outlet dan Target Toko'!$A:$A,MATCH($I3938,'Kode Outlet dan Target Toko'!$E:$E,0)),"")</f>
        <v>GRSM 7</v>
      </c>
      <c r="E3938" s="20" t="str">
        <f>IFERROR(VLOOKUP(I3938,KET!$B:$F,4,0),"")</f>
        <v>INDRI</v>
      </c>
      <c r="F3938" s="20" t="str">
        <f>IFERROR(VLOOKUP(I3938,KET!$B:$F,5,0),"")</f>
        <v>GMM</v>
      </c>
      <c r="G3938" s="20">
        <f>IFERROR(INDEX('Kode Outlet dan Target Toko'!$C:$C,MATCH($I3938,'Kode Outlet dan Target Toko'!$E:$E,0)),0)</f>
        <v>103240</v>
      </c>
      <c r="H3938" s="20">
        <f>IFERROR(INDEX('Kode Outlet dan Target Toko'!$D:$D,MATCH($I3938,'Kode Outlet dan Target Toko'!$E:$E,0)),0)</f>
        <v>7112059</v>
      </c>
      <c r="I3938" s="42" t="s">
        <v>116</v>
      </c>
      <c r="J3938" s="56" t="s">
        <v>212</v>
      </c>
      <c r="K3938" s="40" t="s">
        <v>16</v>
      </c>
      <c r="L3938" s="26">
        <v>3200</v>
      </c>
      <c r="M3938" s="26">
        <v>68</v>
      </c>
      <c r="N3938" s="25">
        <f t="shared" si="123"/>
        <v>217600</v>
      </c>
      <c r="O3938" s="56">
        <v>160</v>
      </c>
    </row>
    <row r="3939" spans="1:15" hidden="1" x14ac:dyDescent="0.3">
      <c r="A3939" s="26">
        <v>33</v>
      </c>
      <c r="B3939" s="20" t="str">
        <f t="shared" si="122"/>
        <v>AUG</v>
      </c>
      <c r="C3939" s="21">
        <v>46250</v>
      </c>
      <c r="D3939" s="22" t="str">
        <f>IFERROR(INDEX('Kode Outlet dan Target Toko'!$A:$A,MATCH($I3939,'Kode Outlet dan Target Toko'!$E:$E,0)),"")</f>
        <v>GRSM 7</v>
      </c>
      <c r="E3939" s="20" t="str">
        <f>IFERROR(VLOOKUP(I3939,KET!$B:$F,4,0),"")</f>
        <v>INDRI</v>
      </c>
      <c r="F3939" s="20" t="str">
        <f>IFERROR(VLOOKUP(I3939,KET!$B:$F,5,0),"")</f>
        <v>GMM</v>
      </c>
      <c r="G3939" s="20">
        <f>IFERROR(INDEX('Kode Outlet dan Target Toko'!$C:$C,MATCH($I3939,'Kode Outlet dan Target Toko'!$E:$E,0)),0)</f>
        <v>103240</v>
      </c>
      <c r="H3939" s="20">
        <f>IFERROR(INDEX('Kode Outlet dan Target Toko'!$D:$D,MATCH($I3939,'Kode Outlet dan Target Toko'!$E:$E,0)),0)</f>
        <v>7112059</v>
      </c>
      <c r="I3939" s="42" t="s">
        <v>116</v>
      </c>
      <c r="J3939" s="56" t="s">
        <v>213</v>
      </c>
      <c r="K3939" s="40" t="s">
        <v>15</v>
      </c>
      <c r="L3939" s="26">
        <v>3200</v>
      </c>
      <c r="M3939" s="26">
        <v>64</v>
      </c>
      <c r="N3939" s="25">
        <f t="shared" si="123"/>
        <v>204800</v>
      </c>
      <c r="O3939" s="56"/>
    </row>
    <row r="3940" spans="1:15" hidden="1" x14ac:dyDescent="0.3">
      <c r="A3940" s="26">
        <v>33</v>
      </c>
      <c r="B3940" s="20" t="str">
        <f t="shared" si="122"/>
        <v>AUG</v>
      </c>
      <c r="C3940" s="21">
        <v>46250</v>
      </c>
      <c r="D3940" s="22" t="str">
        <f>IFERROR(INDEX('Kode Outlet dan Target Toko'!$A:$A,MATCH($I3940,'Kode Outlet dan Target Toko'!$E:$E,0)),"")</f>
        <v>GRSM 7</v>
      </c>
      <c r="E3940" s="20" t="str">
        <f>IFERROR(VLOOKUP(I3940,KET!$B:$F,4,0),"")</f>
        <v>INDRI</v>
      </c>
      <c r="F3940" s="20" t="str">
        <f>IFERROR(VLOOKUP(I3940,KET!$B:$F,5,0),"")</f>
        <v>GMM</v>
      </c>
      <c r="G3940" s="20">
        <f>IFERROR(INDEX('Kode Outlet dan Target Toko'!$C:$C,MATCH($I3940,'Kode Outlet dan Target Toko'!$E:$E,0)),0)</f>
        <v>103240</v>
      </c>
      <c r="H3940" s="20">
        <f>IFERROR(INDEX('Kode Outlet dan Target Toko'!$D:$D,MATCH($I3940,'Kode Outlet dan Target Toko'!$E:$E,0)),0)</f>
        <v>7112059</v>
      </c>
      <c r="I3940" s="42" t="s">
        <v>116</v>
      </c>
      <c r="J3940" s="56" t="s">
        <v>213</v>
      </c>
      <c r="K3940" s="40" t="s">
        <v>14</v>
      </c>
      <c r="L3940" s="26">
        <v>3200</v>
      </c>
      <c r="M3940" s="26">
        <v>62</v>
      </c>
      <c r="N3940" s="25">
        <f t="shared" si="123"/>
        <v>198400</v>
      </c>
      <c r="O3940" s="56"/>
    </row>
    <row r="3941" spans="1:15" hidden="1" x14ac:dyDescent="0.3">
      <c r="A3941" s="26">
        <v>33</v>
      </c>
      <c r="B3941" s="20" t="str">
        <f t="shared" si="122"/>
        <v>AUG</v>
      </c>
      <c r="C3941" s="21">
        <v>46250</v>
      </c>
      <c r="D3941" s="22" t="str">
        <f>IFERROR(INDEX('Kode Outlet dan Target Toko'!$A:$A,MATCH($I3941,'Kode Outlet dan Target Toko'!$E:$E,0)),"")</f>
        <v>GRSM 7</v>
      </c>
      <c r="E3941" s="20" t="str">
        <f>IFERROR(VLOOKUP(I3941,KET!$B:$F,4,0),"")</f>
        <v>INDRI</v>
      </c>
      <c r="F3941" s="20" t="str">
        <f>IFERROR(VLOOKUP(I3941,KET!$B:$F,5,0),"")</f>
        <v>GMM</v>
      </c>
      <c r="G3941" s="20">
        <f>IFERROR(INDEX('Kode Outlet dan Target Toko'!$C:$C,MATCH($I3941,'Kode Outlet dan Target Toko'!$E:$E,0)),0)</f>
        <v>103240</v>
      </c>
      <c r="H3941" s="20">
        <f>IFERROR(INDEX('Kode Outlet dan Target Toko'!$D:$D,MATCH($I3941,'Kode Outlet dan Target Toko'!$E:$E,0)),0)</f>
        <v>7112059</v>
      </c>
      <c r="I3941" s="42" t="s">
        <v>116</v>
      </c>
      <c r="J3941" s="56" t="s">
        <v>213</v>
      </c>
      <c r="K3941" s="40" t="s">
        <v>13</v>
      </c>
      <c r="L3941" s="26">
        <v>3200</v>
      </c>
      <c r="M3941" s="26">
        <v>0</v>
      </c>
      <c r="N3941" s="25">
        <f t="shared" si="123"/>
        <v>0</v>
      </c>
      <c r="O3941" s="56"/>
    </row>
    <row r="3942" spans="1:15" hidden="1" x14ac:dyDescent="0.3">
      <c r="A3942" s="26">
        <v>33</v>
      </c>
      <c r="B3942" s="20" t="str">
        <f t="shared" si="122"/>
        <v>AUG</v>
      </c>
      <c r="C3942" s="21">
        <v>46250</v>
      </c>
      <c r="D3942" s="22" t="str">
        <f>IFERROR(INDEX('Kode Outlet dan Target Toko'!$A:$A,MATCH($I3942,'Kode Outlet dan Target Toko'!$E:$E,0)),"")</f>
        <v>GRSM 7</v>
      </c>
      <c r="E3942" s="20" t="str">
        <f>IFERROR(VLOOKUP(I3942,KET!$B:$F,4,0),"")</f>
        <v>INDRI</v>
      </c>
      <c r="F3942" s="20" t="str">
        <f>IFERROR(VLOOKUP(I3942,KET!$B:$F,5,0),"")</f>
        <v>GMM</v>
      </c>
      <c r="G3942" s="20">
        <f>IFERROR(INDEX('Kode Outlet dan Target Toko'!$C:$C,MATCH($I3942,'Kode Outlet dan Target Toko'!$E:$E,0)),0)</f>
        <v>103240</v>
      </c>
      <c r="H3942" s="20">
        <f>IFERROR(INDEX('Kode Outlet dan Target Toko'!$D:$D,MATCH($I3942,'Kode Outlet dan Target Toko'!$E:$E,0)),0)</f>
        <v>7112059</v>
      </c>
      <c r="I3942" s="42" t="s">
        <v>116</v>
      </c>
      <c r="J3942" s="56" t="s">
        <v>213</v>
      </c>
      <c r="K3942" s="40" t="s">
        <v>16</v>
      </c>
      <c r="L3942" s="26">
        <v>3200</v>
      </c>
      <c r="M3942" s="26">
        <v>68</v>
      </c>
      <c r="N3942" s="25">
        <f t="shared" si="123"/>
        <v>217600</v>
      </c>
      <c r="O3942" s="56">
        <v>160</v>
      </c>
    </row>
    <row r="3943" spans="1:15" hidden="1" x14ac:dyDescent="0.3">
      <c r="A3943" s="26">
        <v>33</v>
      </c>
      <c r="B3943" s="20" t="str">
        <f t="shared" si="122"/>
        <v>AUG</v>
      </c>
      <c r="C3943" s="21">
        <v>46250</v>
      </c>
      <c r="D3943" s="22" t="str">
        <f>IFERROR(INDEX('Kode Outlet dan Target Toko'!$A:$A,MATCH($I3943,'Kode Outlet dan Target Toko'!$E:$E,0)),"")</f>
        <v>GRSM 7</v>
      </c>
      <c r="E3943" s="20" t="str">
        <f>IFERROR(VLOOKUP(I3943,KET!$B:$F,4,0),"")</f>
        <v>INDRI</v>
      </c>
      <c r="F3943" s="20" t="str">
        <f>IFERROR(VLOOKUP(I3943,KET!$B:$F,5,0),"")</f>
        <v>GMM</v>
      </c>
      <c r="G3943" s="20">
        <f>IFERROR(INDEX('Kode Outlet dan Target Toko'!$C:$C,MATCH($I3943,'Kode Outlet dan Target Toko'!$E:$E,0)),0)</f>
        <v>103783</v>
      </c>
      <c r="H3943" s="20">
        <f>IFERROR(INDEX('Kode Outlet dan Target Toko'!$D:$D,MATCH($I3943,'Kode Outlet dan Target Toko'!$E:$E,0)),0)</f>
        <v>7500090</v>
      </c>
      <c r="I3943" s="42" t="s">
        <v>120</v>
      </c>
      <c r="J3943" s="56" t="s">
        <v>235</v>
      </c>
      <c r="K3943" s="40" t="s">
        <v>15</v>
      </c>
      <c r="L3943" s="26">
        <v>6750</v>
      </c>
      <c r="M3943" s="26">
        <v>28</v>
      </c>
      <c r="N3943" s="25">
        <f t="shared" si="123"/>
        <v>189000</v>
      </c>
      <c r="O3943" s="56"/>
    </row>
    <row r="3944" spans="1:15" hidden="1" x14ac:dyDescent="0.3">
      <c r="A3944" s="26">
        <v>33</v>
      </c>
      <c r="B3944" s="20" t="str">
        <f t="shared" si="122"/>
        <v>AUG</v>
      </c>
      <c r="C3944" s="21">
        <v>46250</v>
      </c>
      <c r="D3944" s="22" t="str">
        <f>IFERROR(INDEX('Kode Outlet dan Target Toko'!$A:$A,MATCH($I3944,'Kode Outlet dan Target Toko'!$E:$E,0)),"")</f>
        <v>GRSM 7</v>
      </c>
      <c r="E3944" s="20" t="str">
        <f>IFERROR(VLOOKUP(I3944,KET!$B:$F,4,0),"")</f>
        <v>INDRI</v>
      </c>
      <c r="F3944" s="20" t="str">
        <f>IFERROR(VLOOKUP(I3944,KET!$B:$F,5,0),"")</f>
        <v>GMM</v>
      </c>
      <c r="G3944" s="20">
        <f>IFERROR(INDEX('Kode Outlet dan Target Toko'!$C:$C,MATCH($I3944,'Kode Outlet dan Target Toko'!$E:$E,0)),0)</f>
        <v>103783</v>
      </c>
      <c r="H3944" s="20">
        <f>IFERROR(INDEX('Kode Outlet dan Target Toko'!$D:$D,MATCH($I3944,'Kode Outlet dan Target Toko'!$E:$E,0)),0)</f>
        <v>7500090</v>
      </c>
      <c r="I3944" s="42" t="s">
        <v>120</v>
      </c>
      <c r="J3944" s="56" t="s">
        <v>235</v>
      </c>
      <c r="K3944" s="40" t="s">
        <v>14</v>
      </c>
      <c r="L3944" s="26">
        <v>6750</v>
      </c>
      <c r="M3944" s="26">
        <v>30</v>
      </c>
      <c r="N3944" s="25">
        <f t="shared" si="123"/>
        <v>202500</v>
      </c>
      <c r="O3944" s="56"/>
    </row>
    <row r="3945" spans="1:15" hidden="1" x14ac:dyDescent="0.3">
      <c r="A3945" s="26">
        <v>33</v>
      </c>
      <c r="B3945" s="20" t="str">
        <f t="shared" si="122"/>
        <v>AUG</v>
      </c>
      <c r="C3945" s="21">
        <v>46250</v>
      </c>
      <c r="D3945" s="22" t="str">
        <f>IFERROR(INDEX('Kode Outlet dan Target Toko'!$A:$A,MATCH($I3945,'Kode Outlet dan Target Toko'!$E:$E,0)),"")</f>
        <v>GRSM 7</v>
      </c>
      <c r="E3945" s="20" t="str">
        <f>IFERROR(VLOOKUP(I3945,KET!$B:$F,4,0),"")</f>
        <v>INDRI</v>
      </c>
      <c r="F3945" s="20" t="str">
        <f>IFERROR(VLOOKUP(I3945,KET!$B:$F,5,0),"")</f>
        <v>GMM</v>
      </c>
      <c r="G3945" s="20">
        <f>IFERROR(INDEX('Kode Outlet dan Target Toko'!$C:$C,MATCH($I3945,'Kode Outlet dan Target Toko'!$E:$E,0)),0)</f>
        <v>103783</v>
      </c>
      <c r="H3945" s="20">
        <f>IFERROR(INDEX('Kode Outlet dan Target Toko'!$D:$D,MATCH($I3945,'Kode Outlet dan Target Toko'!$E:$E,0)),0)</f>
        <v>7500090</v>
      </c>
      <c r="I3945" s="42" t="s">
        <v>120</v>
      </c>
      <c r="J3945" s="56" t="s">
        <v>235</v>
      </c>
      <c r="K3945" s="40" t="s">
        <v>13</v>
      </c>
      <c r="L3945" s="26">
        <v>6750</v>
      </c>
      <c r="M3945" s="26">
        <v>18</v>
      </c>
      <c r="N3945" s="25">
        <f t="shared" si="123"/>
        <v>121500</v>
      </c>
      <c r="O3945" s="56"/>
    </row>
    <row r="3946" spans="1:15" hidden="1" x14ac:dyDescent="0.3">
      <c r="A3946" s="26">
        <v>33</v>
      </c>
      <c r="B3946" s="20" t="str">
        <f t="shared" si="122"/>
        <v>AUG</v>
      </c>
      <c r="C3946" s="21">
        <v>46250</v>
      </c>
      <c r="D3946" s="22" t="str">
        <f>IFERROR(INDEX('Kode Outlet dan Target Toko'!$A:$A,MATCH($I3946,'Kode Outlet dan Target Toko'!$E:$E,0)),"")</f>
        <v>GRSM 7</v>
      </c>
      <c r="E3946" s="20" t="str">
        <f>IFERROR(VLOOKUP(I3946,KET!$B:$F,4,0),"")</f>
        <v>INDRI</v>
      </c>
      <c r="F3946" s="20" t="str">
        <f>IFERROR(VLOOKUP(I3946,KET!$B:$F,5,0),"")</f>
        <v>GMM</v>
      </c>
      <c r="G3946" s="20">
        <f>IFERROR(INDEX('Kode Outlet dan Target Toko'!$C:$C,MATCH($I3946,'Kode Outlet dan Target Toko'!$E:$E,0)),0)</f>
        <v>103783</v>
      </c>
      <c r="H3946" s="20">
        <f>IFERROR(INDEX('Kode Outlet dan Target Toko'!$D:$D,MATCH($I3946,'Kode Outlet dan Target Toko'!$E:$E,0)),0)</f>
        <v>7500090</v>
      </c>
      <c r="I3946" s="42" t="s">
        <v>120</v>
      </c>
      <c r="J3946" s="56" t="s">
        <v>235</v>
      </c>
      <c r="K3946" s="40" t="s">
        <v>16</v>
      </c>
      <c r="L3946" s="26">
        <v>6750</v>
      </c>
      <c r="M3946" s="26">
        <v>62</v>
      </c>
      <c r="N3946" s="25">
        <f t="shared" si="123"/>
        <v>418500</v>
      </c>
      <c r="O3946" s="56">
        <v>160</v>
      </c>
    </row>
    <row r="3947" spans="1:15" hidden="1" x14ac:dyDescent="0.3">
      <c r="A3947" s="26">
        <v>33</v>
      </c>
      <c r="B3947" s="20" t="str">
        <f t="shared" si="122"/>
        <v>AUG</v>
      </c>
      <c r="C3947" s="21">
        <v>46250</v>
      </c>
      <c r="D3947" s="22" t="str">
        <f>IFERROR(INDEX('Kode Outlet dan Target Toko'!$A:$A,MATCH($I3947,'Kode Outlet dan Target Toko'!$E:$E,0)),"")</f>
        <v>GRSM 7</v>
      </c>
      <c r="E3947" s="20" t="str">
        <f>IFERROR(VLOOKUP(I3947,KET!$B:$F,4,0),"")</f>
        <v>INDRI</v>
      </c>
      <c r="F3947" s="20" t="str">
        <f>IFERROR(VLOOKUP(I3947,KET!$B:$F,5,0),"")</f>
        <v>GMM</v>
      </c>
      <c r="G3947" s="20">
        <f>IFERROR(INDEX('Kode Outlet dan Target Toko'!$C:$C,MATCH($I3947,'Kode Outlet dan Target Toko'!$E:$E,0)),0)</f>
        <v>103783</v>
      </c>
      <c r="H3947" s="20">
        <f>IFERROR(INDEX('Kode Outlet dan Target Toko'!$D:$D,MATCH($I3947,'Kode Outlet dan Target Toko'!$E:$E,0)),0)</f>
        <v>7500090</v>
      </c>
      <c r="I3947" s="42" t="s">
        <v>120</v>
      </c>
      <c r="J3947" s="56" t="s">
        <v>236</v>
      </c>
      <c r="K3947" s="40" t="s">
        <v>15</v>
      </c>
      <c r="L3947" s="26">
        <v>6750</v>
      </c>
      <c r="M3947" s="26">
        <v>28</v>
      </c>
      <c r="N3947" s="25">
        <f t="shared" si="123"/>
        <v>189000</v>
      </c>
      <c r="O3947" s="56"/>
    </row>
    <row r="3948" spans="1:15" hidden="1" x14ac:dyDescent="0.3">
      <c r="A3948" s="26">
        <v>33</v>
      </c>
      <c r="B3948" s="20" t="str">
        <f t="shared" si="122"/>
        <v>AUG</v>
      </c>
      <c r="C3948" s="21">
        <v>46250</v>
      </c>
      <c r="D3948" s="22" t="str">
        <f>IFERROR(INDEX('Kode Outlet dan Target Toko'!$A:$A,MATCH($I3948,'Kode Outlet dan Target Toko'!$E:$E,0)),"")</f>
        <v>GRSM 7</v>
      </c>
      <c r="E3948" s="20" t="str">
        <f>IFERROR(VLOOKUP(I3948,KET!$B:$F,4,0),"")</f>
        <v>INDRI</v>
      </c>
      <c r="F3948" s="20" t="str">
        <f>IFERROR(VLOOKUP(I3948,KET!$B:$F,5,0),"")</f>
        <v>GMM</v>
      </c>
      <c r="G3948" s="20">
        <f>IFERROR(INDEX('Kode Outlet dan Target Toko'!$C:$C,MATCH($I3948,'Kode Outlet dan Target Toko'!$E:$E,0)),0)</f>
        <v>103783</v>
      </c>
      <c r="H3948" s="20">
        <f>IFERROR(INDEX('Kode Outlet dan Target Toko'!$D:$D,MATCH($I3948,'Kode Outlet dan Target Toko'!$E:$E,0)),0)</f>
        <v>7500090</v>
      </c>
      <c r="I3948" s="42" t="s">
        <v>120</v>
      </c>
      <c r="J3948" s="56" t="s">
        <v>236</v>
      </c>
      <c r="K3948" s="40" t="s">
        <v>14</v>
      </c>
      <c r="L3948" s="26">
        <v>6750</v>
      </c>
      <c r="M3948" s="26">
        <v>30</v>
      </c>
      <c r="N3948" s="25">
        <f t="shared" si="123"/>
        <v>202500</v>
      </c>
      <c r="O3948" s="56"/>
    </row>
    <row r="3949" spans="1:15" hidden="1" x14ac:dyDescent="0.3">
      <c r="A3949" s="26">
        <v>33</v>
      </c>
      <c r="B3949" s="20" t="str">
        <f t="shared" si="122"/>
        <v>AUG</v>
      </c>
      <c r="C3949" s="21">
        <v>46250</v>
      </c>
      <c r="D3949" s="22" t="str">
        <f>IFERROR(INDEX('Kode Outlet dan Target Toko'!$A:$A,MATCH($I3949,'Kode Outlet dan Target Toko'!$E:$E,0)),"")</f>
        <v>GRSM 7</v>
      </c>
      <c r="E3949" s="20" t="str">
        <f>IFERROR(VLOOKUP(I3949,KET!$B:$F,4,0),"")</f>
        <v>INDRI</v>
      </c>
      <c r="F3949" s="20" t="str">
        <f>IFERROR(VLOOKUP(I3949,KET!$B:$F,5,0),"")</f>
        <v>GMM</v>
      </c>
      <c r="G3949" s="20">
        <f>IFERROR(INDEX('Kode Outlet dan Target Toko'!$C:$C,MATCH($I3949,'Kode Outlet dan Target Toko'!$E:$E,0)),0)</f>
        <v>103783</v>
      </c>
      <c r="H3949" s="20">
        <f>IFERROR(INDEX('Kode Outlet dan Target Toko'!$D:$D,MATCH($I3949,'Kode Outlet dan Target Toko'!$E:$E,0)),0)</f>
        <v>7500090</v>
      </c>
      <c r="I3949" s="42" t="s">
        <v>120</v>
      </c>
      <c r="J3949" s="56" t="s">
        <v>236</v>
      </c>
      <c r="K3949" s="40" t="s">
        <v>13</v>
      </c>
      <c r="L3949" s="26">
        <v>6750</v>
      </c>
      <c r="M3949" s="26">
        <v>18</v>
      </c>
      <c r="N3949" s="25">
        <f t="shared" si="123"/>
        <v>121500</v>
      </c>
      <c r="O3949" s="56"/>
    </row>
    <row r="3950" spans="1:15" hidden="1" x14ac:dyDescent="0.3">
      <c r="A3950" s="26">
        <v>33</v>
      </c>
      <c r="B3950" s="20" t="str">
        <f t="shared" si="122"/>
        <v>AUG</v>
      </c>
      <c r="C3950" s="21">
        <v>46250</v>
      </c>
      <c r="D3950" s="22" t="str">
        <f>IFERROR(INDEX('Kode Outlet dan Target Toko'!$A:$A,MATCH($I3950,'Kode Outlet dan Target Toko'!$E:$E,0)),"")</f>
        <v>GRSM 7</v>
      </c>
      <c r="E3950" s="20" t="str">
        <f>IFERROR(VLOOKUP(I3950,KET!$B:$F,4,0),"")</f>
        <v>INDRI</v>
      </c>
      <c r="F3950" s="20" t="str">
        <f>IFERROR(VLOOKUP(I3950,KET!$B:$F,5,0),"")</f>
        <v>GMM</v>
      </c>
      <c r="G3950" s="20">
        <f>IFERROR(INDEX('Kode Outlet dan Target Toko'!$C:$C,MATCH($I3950,'Kode Outlet dan Target Toko'!$E:$E,0)),0)</f>
        <v>103783</v>
      </c>
      <c r="H3950" s="20">
        <f>IFERROR(INDEX('Kode Outlet dan Target Toko'!$D:$D,MATCH($I3950,'Kode Outlet dan Target Toko'!$E:$E,0)),0)</f>
        <v>7500090</v>
      </c>
      <c r="I3950" s="42" t="s">
        <v>120</v>
      </c>
      <c r="J3950" s="56" t="s">
        <v>236</v>
      </c>
      <c r="K3950" s="40" t="s">
        <v>16</v>
      </c>
      <c r="L3950" s="26">
        <v>6750</v>
      </c>
      <c r="M3950" s="26">
        <v>62</v>
      </c>
      <c r="N3950" s="25">
        <f t="shared" si="123"/>
        <v>418500</v>
      </c>
      <c r="O3950" s="56">
        <v>160</v>
      </c>
    </row>
    <row r="3951" spans="1:15" hidden="1" x14ac:dyDescent="0.3">
      <c r="A3951" s="26">
        <v>33</v>
      </c>
      <c r="B3951" s="20" t="str">
        <f t="shared" si="122"/>
        <v>AUG</v>
      </c>
      <c r="C3951" s="21">
        <v>46248</v>
      </c>
      <c r="D3951" s="22" t="str">
        <f>IFERROR(INDEX('Kode Outlet dan Target Toko'!$A:$A,MATCH($I3951,'Kode Outlet dan Target Toko'!$E:$E,0)),"")</f>
        <v>GRSM 6</v>
      </c>
      <c r="E3951" s="20" t="str">
        <f>IFERROR(VLOOKUP(I3951,KET!$B:$F,4,0),"")</f>
        <v>MARTIKA MINTOROWATI</v>
      </c>
      <c r="F3951" s="20" t="str">
        <f>IFERROR(VLOOKUP(I3951,KET!$B:$F,5,0),"")</f>
        <v>GMM</v>
      </c>
      <c r="G3951" s="20">
        <f>IFERROR(INDEX('Kode Outlet dan Target Toko'!$C:$C,MATCH($I3951,'Kode Outlet dan Target Toko'!$E:$E,0)),0)</f>
        <v>211030</v>
      </c>
      <c r="H3951" s="20">
        <f>IFERROR(INDEX('Kode Outlet dan Target Toko'!$D:$D,MATCH($I3951,'Kode Outlet dan Target Toko'!$E:$E,0)),0)</f>
        <v>5766116</v>
      </c>
      <c r="I3951" s="42" t="s">
        <v>106</v>
      </c>
      <c r="J3951" s="56" t="s">
        <v>300</v>
      </c>
      <c r="K3951" s="40" t="s">
        <v>15</v>
      </c>
      <c r="L3951" s="26">
        <v>6000</v>
      </c>
      <c r="M3951" s="26">
        <v>39</v>
      </c>
      <c r="N3951" s="25">
        <f t="shared" si="123"/>
        <v>234000</v>
      </c>
      <c r="O3951" s="56"/>
    </row>
    <row r="3952" spans="1:15" hidden="1" x14ac:dyDescent="0.3">
      <c r="A3952" s="26">
        <v>33</v>
      </c>
      <c r="B3952" s="20" t="str">
        <f t="shared" si="122"/>
        <v>AUG</v>
      </c>
      <c r="C3952" s="21">
        <v>46248</v>
      </c>
      <c r="D3952" s="22" t="str">
        <f>IFERROR(INDEX('Kode Outlet dan Target Toko'!$A:$A,MATCH($I3952,'Kode Outlet dan Target Toko'!$E:$E,0)),"")</f>
        <v>GRSM 6</v>
      </c>
      <c r="E3952" s="20" t="str">
        <f>IFERROR(VLOOKUP(I3952,KET!$B:$F,4,0),"")</f>
        <v>MARTIKA MINTOROWATI</v>
      </c>
      <c r="F3952" s="20" t="str">
        <f>IFERROR(VLOOKUP(I3952,KET!$B:$F,5,0),"")</f>
        <v>GMM</v>
      </c>
      <c r="G3952" s="20">
        <f>IFERROR(INDEX('Kode Outlet dan Target Toko'!$C:$C,MATCH($I3952,'Kode Outlet dan Target Toko'!$E:$E,0)),0)</f>
        <v>211030</v>
      </c>
      <c r="H3952" s="20">
        <f>IFERROR(INDEX('Kode Outlet dan Target Toko'!$D:$D,MATCH($I3952,'Kode Outlet dan Target Toko'!$E:$E,0)),0)</f>
        <v>5766116</v>
      </c>
      <c r="I3952" s="42" t="s">
        <v>106</v>
      </c>
      <c r="J3952" s="56" t="s">
        <v>300</v>
      </c>
      <c r="K3952" s="40" t="s">
        <v>14</v>
      </c>
      <c r="L3952" s="26">
        <v>6000</v>
      </c>
      <c r="M3952" s="26">
        <v>16</v>
      </c>
      <c r="N3952" s="25">
        <f t="shared" si="123"/>
        <v>96000</v>
      </c>
      <c r="O3952" s="56"/>
    </row>
    <row r="3953" spans="1:15" hidden="1" x14ac:dyDescent="0.3">
      <c r="A3953" s="26">
        <v>33</v>
      </c>
      <c r="B3953" s="20" t="str">
        <f t="shared" si="122"/>
        <v>AUG</v>
      </c>
      <c r="C3953" s="21">
        <v>46248</v>
      </c>
      <c r="D3953" s="22" t="str">
        <f>IFERROR(INDEX('Kode Outlet dan Target Toko'!$A:$A,MATCH($I3953,'Kode Outlet dan Target Toko'!$E:$E,0)),"")</f>
        <v>GRSM 6</v>
      </c>
      <c r="E3953" s="20" t="str">
        <f>IFERROR(VLOOKUP(I3953,KET!$B:$F,4,0),"")</f>
        <v>MARTIKA MINTOROWATI</v>
      </c>
      <c r="F3953" s="20" t="str">
        <f>IFERROR(VLOOKUP(I3953,KET!$B:$F,5,0),"")</f>
        <v>GMM</v>
      </c>
      <c r="G3953" s="20">
        <f>IFERROR(INDEX('Kode Outlet dan Target Toko'!$C:$C,MATCH($I3953,'Kode Outlet dan Target Toko'!$E:$E,0)),0)</f>
        <v>211030</v>
      </c>
      <c r="H3953" s="20">
        <f>IFERROR(INDEX('Kode Outlet dan Target Toko'!$D:$D,MATCH($I3953,'Kode Outlet dan Target Toko'!$E:$E,0)),0)</f>
        <v>5766116</v>
      </c>
      <c r="I3953" s="42" t="s">
        <v>106</v>
      </c>
      <c r="J3953" s="56" t="s">
        <v>300</v>
      </c>
      <c r="K3953" s="40" t="s">
        <v>13</v>
      </c>
      <c r="L3953" s="26">
        <v>6000</v>
      </c>
      <c r="M3953" s="26">
        <v>36</v>
      </c>
      <c r="N3953" s="25">
        <f t="shared" si="123"/>
        <v>216000</v>
      </c>
      <c r="O3953" s="56"/>
    </row>
    <row r="3954" spans="1:15" hidden="1" x14ac:dyDescent="0.3">
      <c r="A3954" s="26">
        <v>33</v>
      </c>
      <c r="B3954" s="20" t="str">
        <f t="shared" si="122"/>
        <v>AUG</v>
      </c>
      <c r="C3954" s="21">
        <v>46248</v>
      </c>
      <c r="D3954" s="22" t="str">
        <f>IFERROR(INDEX('Kode Outlet dan Target Toko'!$A:$A,MATCH($I3954,'Kode Outlet dan Target Toko'!$E:$E,0)),"")</f>
        <v>GRSM 6</v>
      </c>
      <c r="E3954" s="20" t="str">
        <f>IFERROR(VLOOKUP(I3954,KET!$B:$F,4,0),"")</f>
        <v>MARTIKA MINTOROWATI</v>
      </c>
      <c r="F3954" s="20" t="str">
        <f>IFERROR(VLOOKUP(I3954,KET!$B:$F,5,0),"")</f>
        <v>GMM</v>
      </c>
      <c r="G3954" s="20">
        <f>IFERROR(INDEX('Kode Outlet dan Target Toko'!$C:$C,MATCH($I3954,'Kode Outlet dan Target Toko'!$E:$E,0)),0)</f>
        <v>211030</v>
      </c>
      <c r="H3954" s="20">
        <f>IFERROR(INDEX('Kode Outlet dan Target Toko'!$D:$D,MATCH($I3954,'Kode Outlet dan Target Toko'!$E:$E,0)),0)</f>
        <v>5766116</v>
      </c>
      <c r="I3954" s="42" t="s">
        <v>106</v>
      </c>
      <c r="J3954" s="56" t="s">
        <v>300</v>
      </c>
      <c r="K3954" s="40" t="s">
        <v>16</v>
      </c>
      <c r="L3954" s="26">
        <v>6000</v>
      </c>
      <c r="M3954" s="26">
        <v>120</v>
      </c>
      <c r="N3954" s="25">
        <f t="shared" si="123"/>
        <v>720000</v>
      </c>
      <c r="O3954" s="56"/>
    </row>
    <row r="3955" spans="1:15" hidden="1" x14ac:dyDescent="0.3">
      <c r="A3955" s="26">
        <v>33</v>
      </c>
      <c r="B3955" s="20" t="str">
        <f t="shared" si="122"/>
        <v>AUG</v>
      </c>
      <c r="C3955" s="21">
        <v>46248</v>
      </c>
      <c r="D3955" s="22" t="str">
        <f>IFERROR(INDEX('Kode Outlet dan Target Toko'!$A:$A,MATCH($I3955,'Kode Outlet dan Target Toko'!$E:$E,0)),"")</f>
        <v>GRSM 6</v>
      </c>
      <c r="E3955" s="20" t="str">
        <f>IFERROR(VLOOKUP(I3955,KET!$B:$F,4,0),"")</f>
        <v>MARTIKA MINTOROWATI</v>
      </c>
      <c r="F3955" s="20" t="str">
        <f>IFERROR(VLOOKUP(I3955,KET!$B:$F,5,0),"")</f>
        <v>GMM</v>
      </c>
      <c r="G3955" s="20">
        <f>IFERROR(INDEX('Kode Outlet dan Target Toko'!$C:$C,MATCH($I3955,'Kode Outlet dan Target Toko'!$E:$E,0)),0)</f>
        <v>211030</v>
      </c>
      <c r="H3955" s="20">
        <f>IFERROR(INDEX('Kode Outlet dan Target Toko'!$D:$D,MATCH($I3955,'Kode Outlet dan Target Toko'!$E:$E,0)),0)</f>
        <v>5766116</v>
      </c>
      <c r="I3955" s="42" t="s">
        <v>106</v>
      </c>
      <c r="J3955" s="56" t="s">
        <v>218</v>
      </c>
      <c r="K3955" s="40" t="s">
        <v>15</v>
      </c>
      <c r="L3955" s="26">
        <v>6000</v>
      </c>
      <c r="M3955" s="26">
        <v>39</v>
      </c>
      <c r="N3955" s="25">
        <f t="shared" si="123"/>
        <v>234000</v>
      </c>
      <c r="O3955" s="56"/>
    </row>
    <row r="3956" spans="1:15" hidden="1" x14ac:dyDescent="0.3">
      <c r="A3956" s="26">
        <v>33</v>
      </c>
      <c r="B3956" s="20" t="str">
        <f t="shared" si="122"/>
        <v>AUG</v>
      </c>
      <c r="C3956" s="21">
        <v>46248</v>
      </c>
      <c r="D3956" s="22" t="str">
        <f>IFERROR(INDEX('Kode Outlet dan Target Toko'!$A:$A,MATCH($I3956,'Kode Outlet dan Target Toko'!$E:$E,0)),"")</f>
        <v>GRSM 6</v>
      </c>
      <c r="E3956" s="20" t="str">
        <f>IFERROR(VLOOKUP(I3956,KET!$B:$F,4,0),"")</f>
        <v>MARTIKA MINTOROWATI</v>
      </c>
      <c r="F3956" s="20" t="str">
        <f>IFERROR(VLOOKUP(I3956,KET!$B:$F,5,0),"")</f>
        <v>GMM</v>
      </c>
      <c r="G3956" s="20">
        <f>IFERROR(INDEX('Kode Outlet dan Target Toko'!$C:$C,MATCH($I3956,'Kode Outlet dan Target Toko'!$E:$E,0)),0)</f>
        <v>211030</v>
      </c>
      <c r="H3956" s="20">
        <f>IFERROR(INDEX('Kode Outlet dan Target Toko'!$D:$D,MATCH($I3956,'Kode Outlet dan Target Toko'!$E:$E,0)),0)</f>
        <v>5766116</v>
      </c>
      <c r="I3956" s="42" t="s">
        <v>106</v>
      </c>
      <c r="J3956" s="56" t="s">
        <v>218</v>
      </c>
      <c r="K3956" s="40" t="s">
        <v>14</v>
      </c>
      <c r="L3956" s="26">
        <v>6000</v>
      </c>
      <c r="M3956" s="26">
        <v>16</v>
      </c>
      <c r="N3956" s="25">
        <f t="shared" si="123"/>
        <v>96000</v>
      </c>
      <c r="O3956" s="56"/>
    </row>
    <row r="3957" spans="1:15" hidden="1" x14ac:dyDescent="0.3">
      <c r="A3957" s="26">
        <v>33</v>
      </c>
      <c r="B3957" s="20" t="str">
        <f t="shared" si="122"/>
        <v>AUG</v>
      </c>
      <c r="C3957" s="21">
        <v>46248</v>
      </c>
      <c r="D3957" s="22" t="str">
        <f>IFERROR(INDEX('Kode Outlet dan Target Toko'!$A:$A,MATCH($I3957,'Kode Outlet dan Target Toko'!$E:$E,0)),"")</f>
        <v>GRSM 6</v>
      </c>
      <c r="E3957" s="20" t="str">
        <f>IFERROR(VLOOKUP(I3957,KET!$B:$F,4,0),"")</f>
        <v>MARTIKA MINTOROWATI</v>
      </c>
      <c r="F3957" s="20" t="str">
        <f>IFERROR(VLOOKUP(I3957,KET!$B:$F,5,0),"")</f>
        <v>GMM</v>
      </c>
      <c r="G3957" s="20">
        <f>IFERROR(INDEX('Kode Outlet dan Target Toko'!$C:$C,MATCH($I3957,'Kode Outlet dan Target Toko'!$E:$E,0)),0)</f>
        <v>211030</v>
      </c>
      <c r="H3957" s="20">
        <f>IFERROR(INDEX('Kode Outlet dan Target Toko'!$D:$D,MATCH($I3957,'Kode Outlet dan Target Toko'!$E:$E,0)),0)</f>
        <v>5766116</v>
      </c>
      <c r="I3957" s="42" t="s">
        <v>106</v>
      </c>
      <c r="J3957" s="56" t="s">
        <v>218</v>
      </c>
      <c r="K3957" s="40" t="s">
        <v>13</v>
      </c>
      <c r="L3957" s="26">
        <v>6000</v>
      </c>
      <c r="M3957" s="26">
        <v>36</v>
      </c>
      <c r="N3957" s="25">
        <f t="shared" si="123"/>
        <v>216000</v>
      </c>
      <c r="O3957" s="56"/>
    </row>
    <row r="3958" spans="1:15" hidden="1" x14ac:dyDescent="0.3">
      <c r="A3958" s="26">
        <v>33</v>
      </c>
      <c r="B3958" s="20" t="str">
        <f t="shared" si="122"/>
        <v>AUG</v>
      </c>
      <c r="C3958" s="21">
        <v>46248</v>
      </c>
      <c r="D3958" s="22" t="str">
        <f>IFERROR(INDEX('Kode Outlet dan Target Toko'!$A:$A,MATCH($I3958,'Kode Outlet dan Target Toko'!$E:$E,0)),"")</f>
        <v>GRSM 6</v>
      </c>
      <c r="E3958" s="20" t="str">
        <f>IFERROR(VLOOKUP(I3958,KET!$B:$F,4,0),"")</f>
        <v>MARTIKA MINTOROWATI</v>
      </c>
      <c r="F3958" s="20" t="str">
        <f>IFERROR(VLOOKUP(I3958,KET!$B:$F,5,0),"")</f>
        <v>GMM</v>
      </c>
      <c r="G3958" s="20">
        <f>IFERROR(INDEX('Kode Outlet dan Target Toko'!$C:$C,MATCH($I3958,'Kode Outlet dan Target Toko'!$E:$E,0)),0)</f>
        <v>211030</v>
      </c>
      <c r="H3958" s="20">
        <f>IFERROR(INDEX('Kode Outlet dan Target Toko'!$D:$D,MATCH($I3958,'Kode Outlet dan Target Toko'!$E:$E,0)),0)</f>
        <v>5766116</v>
      </c>
      <c r="I3958" s="42" t="s">
        <v>106</v>
      </c>
      <c r="J3958" s="56" t="s">
        <v>218</v>
      </c>
      <c r="K3958" s="40" t="s">
        <v>16</v>
      </c>
      <c r="L3958" s="26">
        <v>6000</v>
      </c>
      <c r="M3958" s="26">
        <v>120</v>
      </c>
      <c r="N3958" s="25">
        <f t="shared" si="123"/>
        <v>720000</v>
      </c>
      <c r="O3958" s="56"/>
    </row>
    <row r="3959" spans="1:15" hidden="1" x14ac:dyDescent="0.3">
      <c r="A3959" s="26">
        <v>33</v>
      </c>
      <c r="B3959" s="20" t="str">
        <f t="shared" si="122"/>
        <v>AUG</v>
      </c>
      <c r="C3959" s="21">
        <v>46248</v>
      </c>
      <c r="D3959" s="22" t="str">
        <f>IFERROR(INDEX('Kode Outlet dan Target Toko'!$A:$A,MATCH($I3959,'Kode Outlet dan Target Toko'!$E:$E,0)),"")</f>
        <v>GRSM 6</v>
      </c>
      <c r="E3959" s="20" t="str">
        <f>IFERROR(VLOOKUP(I3959,KET!$B:$F,4,0),"")</f>
        <v>MARTIKA MINTOROWATI</v>
      </c>
      <c r="F3959" s="20" t="str">
        <f>IFERROR(VLOOKUP(I3959,KET!$B:$F,5,0),"")</f>
        <v>GMM</v>
      </c>
      <c r="G3959" s="20">
        <f>IFERROR(INDEX('Kode Outlet dan Target Toko'!$C:$C,MATCH($I3959,'Kode Outlet dan Target Toko'!$E:$E,0)),0)</f>
        <v>211030</v>
      </c>
      <c r="H3959" s="20">
        <f>IFERROR(INDEX('Kode Outlet dan Target Toko'!$D:$D,MATCH($I3959,'Kode Outlet dan Target Toko'!$E:$E,0)),0)</f>
        <v>5765035</v>
      </c>
      <c r="I3959" s="42" t="s">
        <v>113</v>
      </c>
      <c r="J3959" s="56" t="s">
        <v>225</v>
      </c>
      <c r="K3959" s="40" t="s">
        <v>15</v>
      </c>
      <c r="L3959" s="26">
        <v>5860</v>
      </c>
      <c r="M3959" s="26">
        <v>14</v>
      </c>
      <c r="N3959" s="25">
        <f t="shared" si="123"/>
        <v>82040</v>
      </c>
      <c r="O3959" s="56"/>
    </row>
    <row r="3960" spans="1:15" hidden="1" x14ac:dyDescent="0.3">
      <c r="A3960" s="26">
        <v>33</v>
      </c>
      <c r="B3960" s="20" t="str">
        <f t="shared" si="122"/>
        <v>AUG</v>
      </c>
      <c r="C3960" s="21">
        <v>46248</v>
      </c>
      <c r="D3960" s="22" t="str">
        <f>IFERROR(INDEX('Kode Outlet dan Target Toko'!$A:$A,MATCH($I3960,'Kode Outlet dan Target Toko'!$E:$E,0)),"")</f>
        <v>GRSM 6</v>
      </c>
      <c r="E3960" s="20" t="str">
        <f>IFERROR(VLOOKUP(I3960,KET!$B:$F,4,0),"")</f>
        <v>MARTIKA MINTOROWATI</v>
      </c>
      <c r="F3960" s="20" t="str">
        <f>IFERROR(VLOOKUP(I3960,KET!$B:$F,5,0),"")</f>
        <v>GMM</v>
      </c>
      <c r="G3960" s="20">
        <f>IFERROR(INDEX('Kode Outlet dan Target Toko'!$C:$C,MATCH($I3960,'Kode Outlet dan Target Toko'!$E:$E,0)),0)</f>
        <v>211030</v>
      </c>
      <c r="H3960" s="20">
        <f>IFERROR(INDEX('Kode Outlet dan Target Toko'!$D:$D,MATCH($I3960,'Kode Outlet dan Target Toko'!$E:$E,0)),0)</f>
        <v>5765035</v>
      </c>
      <c r="I3960" s="42" t="s">
        <v>113</v>
      </c>
      <c r="J3960" s="56" t="s">
        <v>225</v>
      </c>
      <c r="K3960" s="40" t="s">
        <v>14</v>
      </c>
      <c r="L3960" s="26">
        <v>5860</v>
      </c>
      <c r="M3960" s="26">
        <v>7</v>
      </c>
      <c r="N3960" s="25">
        <f t="shared" si="123"/>
        <v>41020</v>
      </c>
      <c r="O3960" s="56"/>
    </row>
    <row r="3961" spans="1:15" hidden="1" x14ac:dyDescent="0.3">
      <c r="A3961" s="26">
        <v>33</v>
      </c>
      <c r="B3961" s="20" t="str">
        <f t="shared" si="122"/>
        <v>AUG</v>
      </c>
      <c r="C3961" s="21">
        <v>46248</v>
      </c>
      <c r="D3961" s="22" t="str">
        <f>IFERROR(INDEX('Kode Outlet dan Target Toko'!$A:$A,MATCH($I3961,'Kode Outlet dan Target Toko'!$E:$E,0)),"")</f>
        <v>GRSM 6</v>
      </c>
      <c r="E3961" s="20" t="str">
        <f>IFERROR(VLOOKUP(I3961,KET!$B:$F,4,0),"")</f>
        <v>MARTIKA MINTOROWATI</v>
      </c>
      <c r="F3961" s="20" t="str">
        <f>IFERROR(VLOOKUP(I3961,KET!$B:$F,5,0),"")</f>
        <v>GMM</v>
      </c>
      <c r="G3961" s="20">
        <f>IFERROR(INDEX('Kode Outlet dan Target Toko'!$C:$C,MATCH($I3961,'Kode Outlet dan Target Toko'!$E:$E,0)),0)</f>
        <v>211030</v>
      </c>
      <c r="H3961" s="20">
        <f>IFERROR(INDEX('Kode Outlet dan Target Toko'!$D:$D,MATCH($I3961,'Kode Outlet dan Target Toko'!$E:$E,0)),0)</f>
        <v>5765035</v>
      </c>
      <c r="I3961" s="42" t="s">
        <v>113</v>
      </c>
      <c r="J3961" s="56" t="s">
        <v>225</v>
      </c>
      <c r="K3961" s="40" t="s">
        <v>13</v>
      </c>
      <c r="L3961" s="26">
        <v>5860</v>
      </c>
      <c r="M3961" s="26">
        <v>2</v>
      </c>
      <c r="N3961" s="25">
        <f t="shared" si="123"/>
        <v>11720</v>
      </c>
      <c r="O3961" s="56"/>
    </row>
    <row r="3962" spans="1:15" hidden="1" x14ac:dyDescent="0.3">
      <c r="A3962" s="26">
        <v>33</v>
      </c>
      <c r="B3962" s="20" t="str">
        <f t="shared" si="122"/>
        <v>AUG</v>
      </c>
      <c r="C3962" s="21">
        <v>46248</v>
      </c>
      <c r="D3962" s="22" t="str">
        <f>IFERROR(INDEX('Kode Outlet dan Target Toko'!$A:$A,MATCH($I3962,'Kode Outlet dan Target Toko'!$E:$E,0)),"")</f>
        <v>GRSM 6</v>
      </c>
      <c r="E3962" s="20" t="str">
        <f>IFERROR(VLOOKUP(I3962,KET!$B:$F,4,0),"")</f>
        <v>MARTIKA MINTOROWATI</v>
      </c>
      <c r="F3962" s="20" t="str">
        <f>IFERROR(VLOOKUP(I3962,KET!$B:$F,5,0),"")</f>
        <v>GMM</v>
      </c>
      <c r="G3962" s="20">
        <f>IFERROR(INDEX('Kode Outlet dan Target Toko'!$C:$C,MATCH($I3962,'Kode Outlet dan Target Toko'!$E:$E,0)),0)</f>
        <v>211030</v>
      </c>
      <c r="H3962" s="20">
        <f>IFERROR(INDEX('Kode Outlet dan Target Toko'!$D:$D,MATCH($I3962,'Kode Outlet dan Target Toko'!$E:$E,0)),0)</f>
        <v>5765035</v>
      </c>
      <c r="I3962" s="42" t="s">
        <v>113</v>
      </c>
      <c r="J3962" s="56" t="s">
        <v>225</v>
      </c>
      <c r="K3962" s="40" t="s">
        <v>16</v>
      </c>
      <c r="L3962" s="26">
        <v>5860</v>
      </c>
      <c r="M3962" s="26">
        <v>30</v>
      </c>
      <c r="N3962" s="25">
        <f t="shared" si="123"/>
        <v>175800</v>
      </c>
      <c r="O3962" s="56">
        <v>150</v>
      </c>
    </row>
    <row r="3963" spans="1:15" hidden="1" x14ac:dyDescent="0.3">
      <c r="A3963" s="26">
        <v>33</v>
      </c>
      <c r="B3963" s="20" t="str">
        <f t="shared" si="122"/>
        <v>AUG</v>
      </c>
      <c r="C3963" s="21">
        <v>46248</v>
      </c>
      <c r="D3963" s="22" t="str">
        <f>IFERROR(INDEX('Kode Outlet dan Target Toko'!$A:$A,MATCH($I3963,'Kode Outlet dan Target Toko'!$E:$E,0)),"")</f>
        <v>GRSM 6</v>
      </c>
      <c r="E3963" s="20" t="str">
        <f>IFERROR(VLOOKUP(I3963,KET!$B:$F,4,0),"")</f>
        <v>MARTIKA MINTOROWATI</v>
      </c>
      <c r="F3963" s="20" t="str">
        <f>IFERROR(VLOOKUP(I3963,KET!$B:$F,5,0),"")</f>
        <v>GMM</v>
      </c>
      <c r="G3963" s="20">
        <f>IFERROR(INDEX('Kode Outlet dan Target Toko'!$C:$C,MATCH($I3963,'Kode Outlet dan Target Toko'!$E:$E,0)),0)</f>
        <v>211161</v>
      </c>
      <c r="H3963" s="20">
        <f>IFERROR(INDEX('Kode Outlet dan Target Toko'!$D:$D,MATCH($I3963,'Kode Outlet dan Target Toko'!$E:$E,0)),0)</f>
        <v>710355</v>
      </c>
      <c r="I3963" s="42" t="s">
        <v>97</v>
      </c>
      <c r="J3963" s="56" t="s">
        <v>223</v>
      </c>
      <c r="K3963" s="40" t="s">
        <v>15</v>
      </c>
      <c r="L3963" s="26">
        <v>2950</v>
      </c>
      <c r="M3963" s="26">
        <v>12</v>
      </c>
      <c r="N3963" s="25">
        <f t="shared" si="123"/>
        <v>35400</v>
      </c>
      <c r="O3963" s="56"/>
    </row>
    <row r="3964" spans="1:15" hidden="1" x14ac:dyDescent="0.3">
      <c r="A3964" s="26">
        <v>33</v>
      </c>
      <c r="B3964" s="20" t="str">
        <f t="shared" si="122"/>
        <v>AUG</v>
      </c>
      <c r="C3964" s="21">
        <v>46248</v>
      </c>
      <c r="D3964" s="22" t="str">
        <f>IFERROR(INDEX('Kode Outlet dan Target Toko'!$A:$A,MATCH($I3964,'Kode Outlet dan Target Toko'!$E:$E,0)),"")</f>
        <v>GRSM 6</v>
      </c>
      <c r="E3964" s="20" t="str">
        <f>IFERROR(VLOOKUP(I3964,KET!$B:$F,4,0),"")</f>
        <v>MARTIKA MINTOROWATI</v>
      </c>
      <c r="F3964" s="20" t="str">
        <f>IFERROR(VLOOKUP(I3964,KET!$B:$F,5,0),"")</f>
        <v>GMM</v>
      </c>
      <c r="G3964" s="20">
        <f>IFERROR(INDEX('Kode Outlet dan Target Toko'!$C:$C,MATCH($I3964,'Kode Outlet dan Target Toko'!$E:$E,0)),0)</f>
        <v>211161</v>
      </c>
      <c r="H3964" s="20">
        <f>IFERROR(INDEX('Kode Outlet dan Target Toko'!$D:$D,MATCH($I3964,'Kode Outlet dan Target Toko'!$E:$E,0)),0)</f>
        <v>710355</v>
      </c>
      <c r="I3964" s="42" t="s">
        <v>97</v>
      </c>
      <c r="J3964" s="56" t="s">
        <v>223</v>
      </c>
      <c r="K3964" s="40" t="s">
        <v>14</v>
      </c>
      <c r="L3964" s="26">
        <v>2950</v>
      </c>
      <c r="M3964" s="26">
        <v>9</v>
      </c>
      <c r="N3964" s="25">
        <f t="shared" si="123"/>
        <v>26550</v>
      </c>
      <c r="O3964" s="56"/>
    </row>
    <row r="3965" spans="1:15" hidden="1" x14ac:dyDescent="0.3">
      <c r="A3965" s="26">
        <v>33</v>
      </c>
      <c r="B3965" s="20" t="str">
        <f t="shared" si="122"/>
        <v>AUG</v>
      </c>
      <c r="C3965" s="21">
        <v>46248</v>
      </c>
      <c r="D3965" s="22" t="str">
        <f>IFERROR(INDEX('Kode Outlet dan Target Toko'!$A:$A,MATCH($I3965,'Kode Outlet dan Target Toko'!$E:$E,0)),"")</f>
        <v>GRSM 6</v>
      </c>
      <c r="E3965" s="20" t="str">
        <f>IFERROR(VLOOKUP(I3965,KET!$B:$F,4,0),"")</f>
        <v>MARTIKA MINTOROWATI</v>
      </c>
      <c r="F3965" s="20" t="str">
        <f>IFERROR(VLOOKUP(I3965,KET!$B:$F,5,0),"")</f>
        <v>GMM</v>
      </c>
      <c r="G3965" s="20">
        <f>IFERROR(INDEX('Kode Outlet dan Target Toko'!$C:$C,MATCH($I3965,'Kode Outlet dan Target Toko'!$E:$E,0)),0)</f>
        <v>211161</v>
      </c>
      <c r="H3965" s="20">
        <f>IFERROR(INDEX('Kode Outlet dan Target Toko'!$D:$D,MATCH($I3965,'Kode Outlet dan Target Toko'!$E:$E,0)),0)</f>
        <v>710355</v>
      </c>
      <c r="I3965" s="42" t="s">
        <v>97</v>
      </c>
      <c r="J3965" s="56" t="s">
        <v>223</v>
      </c>
      <c r="K3965" s="40" t="s">
        <v>13</v>
      </c>
      <c r="L3965" s="26">
        <v>2950</v>
      </c>
      <c r="M3965" s="26">
        <v>6</v>
      </c>
      <c r="N3965" s="25">
        <f t="shared" si="123"/>
        <v>17700</v>
      </c>
      <c r="O3965" s="56"/>
    </row>
    <row r="3966" spans="1:15" hidden="1" x14ac:dyDescent="0.3">
      <c r="A3966" s="26">
        <v>33</v>
      </c>
      <c r="B3966" s="20" t="str">
        <f t="shared" si="122"/>
        <v>AUG</v>
      </c>
      <c r="C3966" s="21">
        <v>46248</v>
      </c>
      <c r="D3966" s="22" t="str">
        <f>IFERROR(INDEX('Kode Outlet dan Target Toko'!$A:$A,MATCH($I3966,'Kode Outlet dan Target Toko'!$E:$E,0)),"")</f>
        <v>GRSM 6</v>
      </c>
      <c r="E3966" s="20" t="str">
        <f>IFERROR(VLOOKUP(I3966,KET!$B:$F,4,0),"")</f>
        <v>MARTIKA MINTOROWATI</v>
      </c>
      <c r="F3966" s="20" t="str">
        <f>IFERROR(VLOOKUP(I3966,KET!$B:$F,5,0),"")</f>
        <v>GMM</v>
      </c>
      <c r="G3966" s="20">
        <f>IFERROR(INDEX('Kode Outlet dan Target Toko'!$C:$C,MATCH($I3966,'Kode Outlet dan Target Toko'!$E:$E,0)),0)</f>
        <v>211161</v>
      </c>
      <c r="H3966" s="20">
        <f>IFERROR(INDEX('Kode Outlet dan Target Toko'!$D:$D,MATCH($I3966,'Kode Outlet dan Target Toko'!$E:$E,0)),0)</f>
        <v>710355</v>
      </c>
      <c r="I3966" s="42" t="s">
        <v>97</v>
      </c>
      <c r="J3966" s="56" t="s">
        <v>223</v>
      </c>
      <c r="K3966" s="40" t="s">
        <v>16</v>
      </c>
      <c r="L3966" s="26">
        <v>2950</v>
      </c>
      <c r="M3966" s="26">
        <v>45</v>
      </c>
      <c r="N3966" s="25">
        <f t="shared" si="123"/>
        <v>132750</v>
      </c>
      <c r="O3966" s="56"/>
    </row>
    <row r="3967" spans="1:15" hidden="1" x14ac:dyDescent="0.3">
      <c r="A3967" s="26">
        <v>33</v>
      </c>
      <c r="B3967" s="20" t="str">
        <f t="shared" si="122"/>
        <v>AUG</v>
      </c>
      <c r="C3967" s="21">
        <v>46248</v>
      </c>
      <c r="D3967" s="22" t="str">
        <f>IFERROR(INDEX('Kode Outlet dan Target Toko'!$A:$A,MATCH($I3967,'Kode Outlet dan Target Toko'!$E:$E,0)),"")</f>
        <v>GRSM 6</v>
      </c>
      <c r="E3967" s="20" t="str">
        <f>IFERROR(VLOOKUP(I3967,KET!$B:$F,4,0),"")</f>
        <v>MARTIKA MINTOROWATI</v>
      </c>
      <c r="F3967" s="20" t="str">
        <f>IFERROR(VLOOKUP(I3967,KET!$B:$F,5,0),"")</f>
        <v>GMM</v>
      </c>
      <c r="G3967" s="20">
        <f>IFERROR(INDEX('Kode Outlet dan Target Toko'!$C:$C,MATCH($I3967,'Kode Outlet dan Target Toko'!$E:$E,0)),0)</f>
        <v>211161</v>
      </c>
      <c r="H3967" s="20">
        <f>IFERROR(INDEX('Kode Outlet dan Target Toko'!$D:$D,MATCH($I3967,'Kode Outlet dan Target Toko'!$E:$E,0)),0)</f>
        <v>710355</v>
      </c>
      <c r="I3967" s="42" t="s">
        <v>97</v>
      </c>
      <c r="J3967" s="56" t="s">
        <v>222</v>
      </c>
      <c r="K3967" s="40" t="s">
        <v>15</v>
      </c>
      <c r="L3967" s="26">
        <v>2950</v>
      </c>
      <c r="M3967" s="26">
        <v>12</v>
      </c>
      <c r="N3967" s="25">
        <f t="shared" si="123"/>
        <v>35400</v>
      </c>
      <c r="O3967" s="56"/>
    </row>
    <row r="3968" spans="1:15" hidden="1" x14ac:dyDescent="0.3">
      <c r="A3968" s="26">
        <v>33</v>
      </c>
      <c r="B3968" s="20" t="str">
        <f t="shared" si="122"/>
        <v>AUG</v>
      </c>
      <c r="C3968" s="21">
        <v>46248</v>
      </c>
      <c r="D3968" s="22" t="str">
        <f>IFERROR(INDEX('Kode Outlet dan Target Toko'!$A:$A,MATCH($I3968,'Kode Outlet dan Target Toko'!$E:$E,0)),"")</f>
        <v>GRSM 6</v>
      </c>
      <c r="E3968" s="20" t="str">
        <f>IFERROR(VLOOKUP(I3968,KET!$B:$F,4,0),"")</f>
        <v>MARTIKA MINTOROWATI</v>
      </c>
      <c r="F3968" s="20" t="str">
        <f>IFERROR(VLOOKUP(I3968,KET!$B:$F,5,0),"")</f>
        <v>GMM</v>
      </c>
      <c r="G3968" s="20">
        <f>IFERROR(INDEX('Kode Outlet dan Target Toko'!$C:$C,MATCH($I3968,'Kode Outlet dan Target Toko'!$E:$E,0)),0)</f>
        <v>211161</v>
      </c>
      <c r="H3968" s="20">
        <f>IFERROR(INDEX('Kode Outlet dan Target Toko'!$D:$D,MATCH($I3968,'Kode Outlet dan Target Toko'!$E:$E,0)),0)</f>
        <v>710355</v>
      </c>
      <c r="I3968" s="42" t="s">
        <v>97</v>
      </c>
      <c r="J3968" s="56" t="s">
        <v>222</v>
      </c>
      <c r="K3968" s="40" t="s">
        <v>14</v>
      </c>
      <c r="L3968" s="26">
        <v>2950</v>
      </c>
      <c r="M3968" s="26">
        <v>9</v>
      </c>
      <c r="N3968" s="25">
        <f t="shared" si="123"/>
        <v>26550</v>
      </c>
      <c r="O3968" s="56"/>
    </row>
    <row r="3969" spans="1:15" hidden="1" x14ac:dyDescent="0.3">
      <c r="A3969" s="26">
        <v>33</v>
      </c>
      <c r="B3969" s="20" t="str">
        <f t="shared" si="122"/>
        <v>AUG</v>
      </c>
      <c r="C3969" s="21">
        <v>46248</v>
      </c>
      <c r="D3969" s="22" t="str">
        <f>IFERROR(INDEX('Kode Outlet dan Target Toko'!$A:$A,MATCH($I3969,'Kode Outlet dan Target Toko'!$E:$E,0)),"")</f>
        <v>GRSM 6</v>
      </c>
      <c r="E3969" s="20" t="str">
        <f>IFERROR(VLOOKUP(I3969,KET!$B:$F,4,0),"")</f>
        <v>MARTIKA MINTOROWATI</v>
      </c>
      <c r="F3969" s="20" t="str">
        <f>IFERROR(VLOOKUP(I3969,KET!$B:$F,5,0),"")</f>
        <v>GMM</v>
      </c>
      <c r="G3969" s="20">
        <f>IFERROR(INDEX('Kode Outlet dan Target Toko'!$C:$C,MATCH($I3969,'Kode Outlet dan Target Toko'!$E:$E,0)),0)</f>
        <v>211161</v>
      </c>
      <c r="H3969" s="20">
        <f>IFERROR(INDEX('Kode Outlet dan Target Toko'!$D:$D,MATCH($I3969,'Kode Outlet dan Target Toko'!$E:$E,0)),0)</f>
        <v>710355</v>
      </c>
      <c r="I3969" s="42" t="s">
        <v>97</v>
      </c>
      <c r="J3969" s="56" t="s">
        <v>222</v>
      </c>
      <c r="K3969" s="40" t="s">
        <v>13</v>
      </c>
      <c r="L3969" s="26">
        <v>2950</v>
      </c>
      <c r="M3969" s="26">
        <v>6</v>
      </c>
      <c r="N3969" s="25">
        <f t="shared" si="123"/>
        <v>17700</v>
      </c>
      <c r="O3969" s="56"/>
    </row>
    <row r="3970" spans="1:15" hidden="1" x14ac:dyDescent="0.3">
      <c r="A3970" s="26">
        <v>33</v>
      </c>
      <c r="B3970" s="20" t="str">
        <f t="shared" si="122"/>
        <v>AUG</v>
      </c>
      <c r="C3970" s="21">
        <v>46248</v>
      </c>
      <c r="D3970" s="22" t="str">
        <f>IFERROR(INDEX('Kode Outlet dan Target Toko'!$A:$A,MATCH($I3970,'Kode Outlet dan Target Toko'!$E:$E,0)),"")</f>
        <v>GRSM 6</v>
      </c>
      <c r="E3970" s="20" t="str">
        <f>IFERROR(VLOOKUP(I3970,KET!$B:$F,4,0),"")</f>
        <v>MARTIKA MINTOROWATI</v>
      </c>
      <c r="F3970" s="20" t="str">
        <f>IFERROR(VLOOKUP(I3970,KET!$B:$F,5,0),"")</f>
        <v>GMM</v>
      </c>
      <c r="G3970" s="20">
        <f>IFERROR(INDEX('Kode Outlet dan Target Toko'!$C:$C,MATCH($I3970,'Kode Outlet dan Target Toko'!$E:$E,0)),0)</f>
        <v>211161</v>
      </c>
      <c r="H3970" s="20">
        <f>IFERROR(INDEX('Kode Outlet dan Target Toko'!$D:$D,MATCH($I3970,'Kode Outlet dan Target Toko'!$E:$E,0)),0)</f>
        <v>710355</v>
      </c>
      <c r="I3970" s="42" t="s">
        <v>97</v>
      </c>
      <c r="J3970" s="56" t="s">
        <v>222</v>
      </c>
      <c r="K3970" s="40" t="s">
        <v>16</v>
      </c>
      <c r="L3970" s="26">
        <v>2950</v>
      </c>
      <c r="M3970" s="26">
        <v>45</v>
      </c>
      <c r="N3970" s="25">
        <f t="shared" si="123"/>
        <v>132750</v>
      </c>
      <c r="O3970" s="56"/>
    </row>
    <row r="3971" spans="1:15" hidden="1" x14ac:dyDescent="0.3">
      <c r="A3971" s="26">
        <v>33</v>
      </c>
      <c r="B3971" s="20" t="str">
        <f t="shared" si="122"/>
        <v>AUG</v>
      </c>
      <c r="C3971" s="21">
        <v>46248</v>
      </c>
      <c r="D3971" s="22" t="str">
        <f>IFERROR(INDEX('Kode Outlet dan Target Toko'!$A:$A,MATCH($I3971,'Kode Outlet dan Target Toko'!$E:$E,0)),"")</f>
        <v>GRSM 6</v>
      </c>
      <c r="E3971" s="20" t="str">
        <f>IFERROR(VLOOKUP(I3971,KET!$B:$F,4,0),"")</f>
        <v>MARTIKA MINTOROWATI</v>
      </c>
      <c r="F3971" s="20" t="str">
        <f>IFERROR(VLOOKUP(I3971,KET!$B:$F,5,0),"")</f>
        <v>GMM</v>
      </c>
      <c r="G3971" s="20">
        <f>IFERROR(INDEX('Kode Outlet dan Target Toko'!$C:$C,MATCH($I3971,'Kode Outlet dan Target Toko'!$E:$E,0)),0)</f>
        <v>211030</v>
      </c>
      <c r="H3971" s="20">
        <f>IFERROR(INDEX('Kode Outlet dan Target Toko'!$D:$D,MATCH($I3971,'Kode Outlet dan Target Toko'!$E:$E,0)),0)</f>
        <v>5765035</v>
      </c>
      <c r="I3971" s="42" t="s">
        <v>113</v>
      </c>
      <c r="J3971" s="56" t="s">
        <v>224</v>
      </c>
      <c r="K3971" s="40" t="s">
        <v>15</v>
      </c>
      <c r="L3971" s="26">
        <v>3145</v>
      </c>
      <c r="M3971" s="26">
        <v>90</v>
      </c>
      <c r="N3971" s="25">
        <f t="shared" si="123"/>
        <v>283050</v>
      </c>
      <c r="O3971" s="56"/>
    </row>
    <row r="3972" spans="1:15" hidden="1" x14ac:dyDescent="0.3">
      <c r="A3972" s="26">
        <v>33</v>
      </c>
      <c r="B3972" s="20" t="str">
        <f t="shared" si="122"/>
        <v>AUG</v>
      </c>
      <c r="C3972" s="21">
        <v>46248</v>
      </c>
      <c r="D3972" s="22" t="str">
        <f>IFERROR(INDEX('Kode Outlet dan Target Toko'!$A:$A,MATCH($I3972,'Kode Outlet dan Target Toko'!$E:$E,0)),"")</f>
        <v>GRSM 6</v>
      </c>
      <c r="E3972" s="20" t="str">
        <f>IFERROR(VLOOKUP(I3972,KET!$B:$F,4,0),"")</f>
        <v>MARTIKA MINTOROWATI</v>
      </c>
      <c r="F3972" s="20" t="str">
        <f>IFERROR(VLOOKUP(I3972,KET!$B:$F,5,0),"")</f>
        <v>GMM</v>
      </c>
      <c r="G3972" s="20">
        <f>IFERROR(INDEX('Kode Outlet dan Target Toko'!$C:$C,MATCH($I3972,'Kode Outlet dan Target Toko'!$E:$E,0)),0)</f>
        <v>211030</v>
      </c>
      <c r="H3972" s="20">
        <f>IFERROR(INDEX('Kode Outlet dan Target Toko'!$D:$D,MATCH($I3972,'Kode Outlet dan Target Toko'!$E:$E,0)),0)</f>
        <v>5765035</v>
      </c>
      <c r="I3972" s="42" t="s">
        <v>113</v>
      </c>
      <c r="J3972" s="56" t="s">
        <v>224</v>
      </c>
      <c r="K3972" s="40" t="s">
        <v>14</v>
      </c>
      <c r="L3972" s="26">
        <v>3145</v>
      </c>
      <c r="M3972" s="26">
        <v>15</v>
      </c>
      <c r="N3972" s="25">
        <f t="shared" si="123"/>
        <v>47175</v>
      </c>
      <c r="O3972" s="56"/>
    </row>
    <row r="3973" spans="1:15" hidden="1" x14ac:dyDescent="0.3">
      <c r="A3973" s="26">
        <v>33</v>
      </c>
      <c r="B3973" s="20" t="str">
        <f t="shared" si="122"/>
        <v>AUG</v>
      </c>
      <c r="C3973" s="21">
        <v>46248</v>
      </c>
      <c r="D3973" s="22" t="str">
        <f>IFERROR(INDEX('Kode Outlet dan Target Toko'!$A:$A,MATCH($I3973,'Kode Outlet dan Target Toko'!$E:$E,0)),"")</f>
        <v>GRSM 6</v>
      </c>
      <c r="E3973" s="20" t="str">
        <f>IFERROR(VLOOKUP(I3973,KET!$B:$F,4,0),"")</f>
        <v>MARTIKA MINTOROWATI</v>
      </c>
      <c r="F3973" s="20" t="str">
        <f>IFERROR(VLOOKUP(I3973,KET!$B:$F,5,0),"")</f>
        <v>GMM</v>
      </c>
      <c r="G3973" s="20">
        <f>IFERROR(INDEX('Kode Outlet dan Target Toko'!$C:$C,MATCH($I3973,'Kode Outlet dan Target Toko'!$E:$E,0)),0)</f>
        <v>211030</v>
      </c>
      <c r="H3973" s="20">
        <f>IFERROR(INDEX('Kode Outlet dan Target Toko'!$D:$D,MATCH($I3973,'Kode Outlet dan Target Toko'!$E:$E,0)),0)</f>
        <v>5765035</v>
      </c>
      <c r="I3973" s="42" t="s">
        <v>113</v>
      </c>
      <c r="J3973" s="56" t="s">
        <v>224</v>
      </c>
      <c r="K3973" s="40" t="s">
        <v>13</v>
      </c>
      <c r="L3973" s="26">
        <v>3145</v>
      </c>
      <c r="M3973" s="26">
        <v>9</v>
      </c>
      <c r="N3973" s="25">
        <f t="shared" si="123"/>
        <v>28305</v>
      </c>
      <c r="O3973" s="56"/>
    </row>
    <row r="3974" spans="1:15" hidden="1" x14ac:dyDescent="0.3">
      <c r="A3974" s="26">
        <v>33</v>
      </c>
      <c r="B3974" s="20" t="str">
        <f t="shared" si="122"/>
        <v>AUG</v>
      </c>
      <c r="C3974" s="21">
        <v>46248</v>
      </c>
      <c r="D3974" s="22" t="str">
        <f>IFERROR(INDEX('Kode Outlet dan Target Toko'!$A:$A,MATCH($I3974,'Kode Outlet dan Target Toko'!$E:$E,0)),"")</f>
        <v>GRSM 6</v>
      </c>
      <c r="E3974" s="20" t="str">
        <f>IFERROR(VLOOKUP(I3974,KET!$B:$F,4,0),"")</f>
        <v>MARTIKA MINTOROWATI</v>
      </c>
      <c r="F3974" s="20" t="str">
        <f>IFERROR(VLOOKUP(I3974,KET!$B:$F,5,0),"")</f>
        <v>GMM</v>
      </c>
      <c r="G3974" s="20">
        <f>IFERROR(INDEX('Kode Outlet dan Target Toko'!$C:$C,MATCH($I3974,'Kode Outlet dan Target Toko'!$E:$E,0)),0)</f>
        <v>211030</v>
      </c>
      <c r="H3974" s="20">
        <f>IFERROR(INDEX('Kode Outlet dan Target Toko'!$D:$D,MATCH($I3974,'Kode Outlet dan Target Toko'!$E:$E,0)),0)</f>
        <v>5765035</v>
      </c>
      <c r="I3974" s="42" t="s">
        <v>113</v>
      </c>
      <c r="J3974" s="56" t="s">
        <v>224</v>
      </c>
      <c r="K3974" s="40" t="s">
        <v>16</v>
      </c>
      <c r="L3974" s="26">
        <v>3145</v>
      </c>
      <c r="M3974" s="26">
        <v>126</v>
      </c>
      <c r="N3974" s="25">
        <f t="shared" si="123"/>
        <v>396270</v>
      </c>
      <c r="O3974" s="56">
        <v>150</v>
      </c>
    </row>
    <row r="3975" spans="1:15" hidden="1" x14ac:dyDescent="0.3">
      <c r="A3975" s="26">
        <v>33</v>
      </c>
      <c r="B3975" s="20" t="str">
        <f t="shared" ref="B3975:B4038" si="124">IF(C3975="","",UPPER(TEXT(C3975, "MMM")))</f>
        <v>AUG</v>
      </c>
      <c r="C3975" s="21">
        <v>46249</v>
      </c>
      <c r="D3975" s="22" t="str">
        <f>IFERROR(INDEX('Kode Outlet dan Target Toko'!$A:$A,MATCH($I3975,'Kode Outlet dan Target Toko'!$E:$E,0)),"")</f>
        <v>GRSM 6</v>
      </c>
      <c r="E3975" s="20" t="str">
        <f>IFERROR(VLOOKUP(I3975,KET!$B:$F,4,0),"")</f>
        <v>MARTIKA MINTOROWATI</v>
      </c>
      <c r="F3975" s="20" t="str">
        <f>IFERROR(VLOOKUP(I3975,KET!$B:$F,5,0),"")</f>
        <v>GMM</v>
      </c>
      <c r="G3975" s="20">
        <f>IFERROR(INDEX('Kode Outlet dan Target Toko'!$C:$C,MATCH($I3975,'Kode Outlet dan Target Toko'!$E:$E,0)),0)</f>
        <v>211030</v>
      </c>
      <c r="H3975" s="20">
        <f>IFERROR(INDEX('Kode Outlet dan Target Toko'!$D:$D,MATCH($I3975,'Kode Outlet dan Target Toko'!$E:$E,0)),0)</f>
        <v>5765035</v>
      </c>
      <c r="I3975" s="42" t="s">
        <v>113</v>
      </c>
      <c r="J3975" s="56" t="s">
        <v>224</v>
      </c>
      <c r="K3975" s="40" t="s">
        <v>15</v>
      </c>
      <c r="L3975" s="26">
        <v>3145</v>
      </c>
      <c r="M3975" s="26">
        <v>33</v>
      </c>
      <c r="N3975" s="25">
        <f t="shared" ref="N3975:N4038" si="125">IFERROR(M3975*L3975,"")</f>
        <v>103785</v>
      </c>
      <c r="O3975" s="56"/>
    </row>
    <row r="3976" spans="1:15" hidden="1" x14ac:dyDescent="0.3">
      <c r="A3976" s="26">
        <v>33</v>
      </c>
      <c r="B3976" s="20" t="str">
        <f t="shared" si="124"/>
        <v>AUG</v>
      </c>
      <c r="C3976" s="21">
        <v>46249</v>
      </c>
      <c r="D3976" s="22" t="str">
        <f>IFERROR(INDEX('Kode Outlet dan Target Toko'!$A:$A,MATCH($I3976,'Kode Outlet dan Target Toko'!$E:$E,0)),"")</f>
        <v>GRSM 6</v>
      </c>
      <c r="E3976" s="20" t="str">
        <f>IFERROR(VLOOKUP(I3976,KET!$B:$F,4,0),"")</f>
        <v>MARTIKA MINTOROWATI</v>
      </c>
      <c r="F3976" s="20" t="str">
        <f>IFERROR(VLOOKUP(I3976,KET!$B:$F,5,0),"")</f>
        <v>GMM</v>
      </c>
      <c r="G3976" s="20">
        <f>IFERROR(INDEX('Kode Outlet dan Target Toko'!$C:$C,MATCH($I3976,'Kode Outlet dan Target Toko'!$E:$E,0)),0)</f>
        <v>211030</v>
      </c>
      <c r="H3976" s="20">
        <f>IFERROR(INDEX('Kode Outlet dan Target Toko'!$D:$D,MATCH($I3976,'Kode Outlet dan Target Toko'!$E:$E,0)),0)</f>
        <v>5765035</v>
      </c>
      <c r="I3976" s="42" t="s">
        <v>113</v>
      </c>
      <c r="J3976" s="56" t="s">
        <v>224</v>
      </c>
      <c r="K3976" s="40" t="s">
        <v>14</v>
      </c>
      <c r="L3976" s="26">
        <v>3145</v>
      </c>
      <c r="M3976" s="26">
        <v>36</v>
      </c>
      <c r="N3976" s="25">
        <f t="shared" si="125"/>
        <v>113220</v>
      </c>
      <c r="O3976" s="56"/>
    </row>
    <row r="3977" spans="1:15" hidden="1" x14ac:dyDescent="0.3">
      <c r="A3977" s="26">
        <v>33</v>
      </c>
      <c r="B3977" s="20" t="str">
        <f t="shared" si="124"/>
        <v>AUG</v>
      </c>
      <c r="C3977" s="21">
        <v>46249</v>
      </c>
      <c r="D3977" s="22" t="str">
        <f>IFERROR(INDEX('Kode Outlet dan Target Toko'!$A:$A,MATCH($I3977,'Kode Outlet dan Target Toko'!$E:$E,0)),"")</f>
        <v>GRSM 6</v>
      </c>
      <c r="E3977" s="20" t="str">
        <f>IFERROR(VLOOKUP(I3977,KET!$B:$F,4,0),"")</f>
        <v>MARTIKA MINTOROWATI</v>
      </c>
      <c r="F3977" s="20" t="str">
        <f>IFERROR(VLOOKUP(I3977,KET!$B:$F,5,0),"")</f>
        <v>GMM</v>
      </c>
      <c r="G3977" s="20">
        <f>IFERROR(INDEX('Kode Outlet dan Target Toko'!$C:$C,MATCH($I3977,'Kode Outlet dan Target Toko'!$E:$E,0)),0)</f>
        <v>211030</v>
      </c>
      <c r="H3977" s="20">
        <f>IFERROR(INDEX('Kode Outlet dan Target Toko'!$D:$D,MATCH($I3977,'Kode Outlet dan Target Toko'!$E:$E,0)),0)</f>
        <v>5765035</v>
      </c>
      <c r="I3977" s="42" t="s">
        <v>113</v>
      </c>
      <c r="J3977" s="56" t="s">
        <v>224</v>
      </c>
      <c r="K3977" s="40" t="s">
        <v>13</v>
      </c>
      <c r="L3977" s="26">
        <v>3145</v>
      </c>
      <c r="M3977" s="26">
        <v>21</v>
      </c>
      <c r="N3977" s="25">
        <f t="shared" si="125"/>
        <v>66045</v>
      </c>
      <c r="O3977" s="56"/>
    </row>
    <row r="3978" spans="1:15" hidden="1" x14ac:dyDescent="0.3">
      <c r="A3978" s="26">
        <v>33</v>
      </c>
      <c r="B3978" s="20" t="str">
        <f t="shared" si="124"/>
        <v>AUG</v>
      </c>
      <c r="C3978" s="21">
        <v>46249</v>
      </c>
      <c r="D3978" s="22" t="str">
        <f>IFERROR(INDEX('Kode Outlet dan Target Toko'!$A:$A,MATCH($I3978,'Kode Outlet dan Target Toko'!$E:$E,0)),"")</f>
        <v>GRSM 6</v>
      </c>
      <c r="E3978" s="20" t="str">
        <f>IFERROR(VLOOKUP(I3978,KET!$B:$F,4,0),"")</f>
        <v>MARTIKA MINTOROWATI</v>
      </c>
      <c r="F3978" s="20" t="str">
        <f>IFERROR(VLOOKUP(I3978,KET!$B:$F,5,0),"")</f>
        <v>GMM</v>
      </c>
      <c r="G3978" s="20">
        <f>IFERROR(INDEX('Kode Outlet dan Target Toko'!$C:$C,MATCH($I3978,'Kode Outlet dan Target Toko'!$E:$E,0)),0)</f>
        <v>211030</v>
      </c>
      <c r="H3978" s="20">
        <f>IFERROR(INDEX('Kode Outlet dan Target Toko'!$D:$D,MATCH($I3978,'Kode Outlet dan Target Toko'!$E:$E,0)),0)</f>
        <v>5765035</v>
      </c>
      <c r="I3978" s="42" t="s">
        <v>113</v>
      </c>
      <c r="J3978" s="56" t="s">
        <v>224</v>
      </c>
      <c r="K3978" s="40" t="s">
        <v>16</v>
      </c>
      <c r="L3978" s="26">
        <v>3145</v>
      </c>
      <c r="M3978" s="26">
        <v>249</v>
      </c>
      <c r="N3978" s="25">
        <f t="shared" si="125"/>
        <v>783105</v>
      </c>
      <c r="O3978" s="56">
        <v>160</v>
      </c>
    </row>
    <row r="3979" spans="1:15" hidden="1" x14ac:dyDescent="0.3">
      <c r="A3979" s="26">
        <v>33</v>
      </c>
      <c r="B3979" s="20" t="str">
        <f t="shared" si="124"/>
        <v>AUG</v>
      </c>
      <c r="C3979" s="21">
        <v>46249</v>
      </c>
      <c r="D3979" s="22" t="str">
        <f>IFERROR(INDEX('Kode Outlet dan Target Toko'!$A:$A,MATCH($I3979,'Kode Outlet dan Target Toko'!$E:$E,0)),"")</f>
        <v>GRSM 6</v>
      </c>
      <c r="E3979" s="20" t="str">
        <f>IFERROR(VLOOKUP(I3979,KET!$B:$F,4,0),"")</f>
        <v>MARTIKA MINTOROWATI</v>
      </c>
      <c r="F3979" s="20" t="str">
        <f>IFERROR(VLOOKUP(I3979,KET!$B:$F,5,0),"")</f>
        <v>GMM</v>
      </c>
      <c r="G3979" s="20">
        <f>IFERROR(INDEX('Kode Outlet dan Target Toko'!$C:$C,MATCH($I3979,'Kode Outlet dan Target Toko'!$E:$E,0)),0)</f>
        <v>211161</v>
      </c>
      <c r="H3979" s="20">
        <f>IFERROR(INDEX('Kode Outlet dan Target Toko'!$D:$D,MATCH($I3979,'Kode Outlet dan Target Toko'!$E:$E,0)),0)</f>
        <v>7103</v>
      </c>
      <c r="I3979" s="42" t="s">
        <v>91</v>
      </c>
      <c r="J3979" s="56" t="s">
        <v>216</v>
      </c>
      <c r="K3979" s="40" t="s">
        <v>15</v>
      </c>
      <c r="L3979" s="26">
        <v>2400</v>
      </c>
      <c r="M3979" s="26">
        <v>142</v>
      </c>
      <c r="N3979" s="25">
        <f t="shared" si="125"/>
        <v>340800</v>
      </c>
      <c r="O3979" s="56"/>
    </row>
    <row r="3980" spans="1:15" hidden="1" x14ac:dyDescent="0.3">
      <c r="A3980" s="26">
        <v>33</v>
      </c>
      <c r="B3980" s="20" t="str">
        <f t="shared" si="124"/>
        <v>AUG</v>
      </c>
      <c r="C3980" s="21">
        <v>46249</v>
      </c>
      <c r="D3980" s="22" t="str">
        <f>IFERROR(INDEX('Kode Outlet dan Target Toko'!$A:$A,MATCH($I3980,'Kode Outlet dan Target Toko'!$E:$E,0)),"")</f>
        <v>GRSM 6</v>
      </c>
      <c r="E3980" s="20" t="str">
        <f>IFERROR(VLOOKUP(I3980,KET!$B:$F,4,0),"")</f>
        <v>MARTIKA MINTOROWATI</v>
      </c>
      <c r="F3980" s="20" t="str">
        <f>IFERROR(VLOOKUP(I3980,KET!$B:$F,5,0),"")</f>
        <v>GMM</v>
      </c>
      <c r="G3980" s="20">
        <f>IFERROR(INDEX('Kode Outlet dan Target Toko'!$C:$C,MATCH($I3980,'Kode Outlet dan Target Toko'!$E:$E,0)),0)</f>
        <v>211161</v>
      </c>
      <c r="H3980" s="20">
        <f>IFERROR(INDEX('Kode Outlet dan Target Toko'!$D:$D,MATCH($I3980,'Kode Outlet dan Target Toko'!$E:$E,0)),0)</f>
        <v>7103</v>
      </c>
      <c r="I3980" s="42" t="s">
        <v>91</v>
      </c>
      <c r="J3980" s="56" t="s">
        <v>216</v>
      </c>
      <c r="K3980" s="40" t="s">
        <v>14</v>
      </c>
      <c r="L3980" s="26">
        <v>2400</v>
      </c>
      <c r="M3980" s="26">
        <v>42</v>
      </c>
      <c r="N3980" s="25">
        <f t="shared" si="125"/>
        <v>100800</v>
      </c>
      <c r="O3980" s="56"/>
    </row>
    <row r="3981" spans="1:15" hidden="1" x14ac:dyDescent="0.3">
      <c r="A3981" s="26">
        <v>33</v>
      </c>
      <c r="B3981" s="20" t="str">
        <f t="shared" si="124"/>
        <v>AUG</v>
      </c>
      <c r="C3981" s="21">
        <v>46249</v>
      </c>
      <c r="D3981" s="22" t="str">
        <f>IFERROR(INDEX('Kode Outlet dan Target Toko'!$A:$A,MATCH($I3981,'Kode Outlet dan Target Toko'!$E:$E,0)),"")</f>
        <v>GRSM 6</v>
      </c>
      <c r="E3981" s="20" t="str">
        <f>IFERROR(VLOOKUP(I3981,KET!$B:$F,4,0),"")</f>
        <v>MARTIKA MINTOROWATI</v>
      </c>
      <c r="F3981" s="20" t="str">
        <f>IFERROR(VLOOKUP(I3981,KET!$B:$F,5,0),"")</f>
        <v>GMM</v>
      </c>
      <c r="G3981" s="20">
        <f>IFERROR(INDEX('Kode Outlet dan Target Toko'!$C:$C,MATCH($I3981,'Kode Outlet dan Target Toko'!$E:$E,0)),0)</f>
        <v>211161</v>
      </c>
      <c r="H3981" s="20">
        <f>IFERROR(INDEX('Kode Outlet dan Target Toko'!$D:$D,MATCH($I3981,'Kode Outlet dan Target Toko'!$E:$E,0)),0)</f>
        <v>7103</v>
      </c>
      <c r="I3981" s="42" t="s">
        <v>91</v>
      </c>
      <c r="J3981" s="56" t="s">
        <v>216</v>
      </c>
      <c r="K3981" s="40" t="s">
        <v>13</v>
      </c>
      <c r="L3981" s="26">
        <v>2400</v>
      </c>
      <c r="M3981" s="26">
        <v>38</v>
      </c>
      <c r="N3981" s="25">
        <f t="shared" si="125"/>
        <v>91200</v>
      </c>
      <c r="O3981" s="56"/>
    </row>
    <row r="3982" spans="1:15" hidden="1" x14ac:dyDescent="0.3">
      <c r="A3982" s="26">
        <v>33</v>
      </c>
      <c r="B3982" s="20" t="str">
        <f t="shared" si="124"/>
        <v>AUG</v>
      </c>
      <c r="C3982" s="21">
        <v>46249</v>
      </c>
      <c r="D3982" s="22" t="str">
        <f>IFERROR(INDEX('Kode Outlet dan Target Toko'!$A:$A,MATCH($I3982,'Kode Outlet dan Target Toko'!$E:$E,0)),"")</f>
        <v>GRSM 6</v>
      </c>
      <c r="E3982" s="20" t="str">
        <f>IFERROR(VLOOKUP(I3982,KET!$B:$F,4,0),"")</f>
        <v>MARTIKA MINTOROWATI</v>
      </c>
      <c r="F3982" s="20" t="str">
        <f>IFERROR(VLOOKUP(I3982,KET!$B:$F,5,0),"")</f>
        <v>GMM</v>
      </c>
      <c r="G3982" s="20">
        <f>IFERROR(INDEX('Kode Outlet dan Target Toko'!$C:$C,MATCH($I3982,'Kode Outlet dan Target Toko'!$E:$E,0)),0)</f>
        <v>211161</v>
      </c>
      <c r="H3982" s="20">
        <f>IFERROR(INDEX('Kode Outlet dan Target Toko'!$D:$D,MATCH($I3982,'Kode Outlet dan Target Toko'!$E:$E,0)),0)</f>
        <v>7103</v>
      </c>
      <c r="I3982" s="42" t="s">
        <v>91</v>
      </c>
      <c r="J3982" s="56" t="s">
        <v>216</v>
      </c>
      <c r="K3982" s="40" t="s">
        <v>16</v>
      </c>
      <c r="L3982" s="26">
        <v>2400</v>
      </c>
      <c r="M3982" s="26">
        <v>308</v>
      </c>
      <c r="N3982" s="25">
        <f t="shared" si="125"/>
        <v>739200</v>
      </c>
      <c r="O3982" s="56"/>
    </row>
    <row r="3983" spans="1:15" hidden="1" x14ac:dyDescent="0.3">
      <c r="A3983" s="26">
        <v>33</v>
      </c>
      <c r="B3983" s="20" t="str">
        <f t="shared" si="124"/>
        <v>AUG</v>
      </c>
      <c r="C3983" s="21">
        <v>46249</v>
      </c>
      <c r="D3983" s="22" t="str">
        <f>IFERROR(INDEX('Kode Outlet dan Target Toko'!$A:$A,MATCH($I3983,'Kode Outlet dan Target Toko'!$E:$E,0)),"")</f>
        <v>GRSM 6</v>
      </c>
      <c r="E3983" s="20" t="str">
        <f>IFERROR(VLOOKUP(I3983,KET!$B:$F,4,0),"")</f>
        <v>MARTIKA MINTOROWATI</v>
      </c>
      <c r="F3983" s="20" t="str">
        <f>IFERROR(VLOOKUP(I3983,KET!$B:$F,5,0),"")</f>
        <v>GMM</v>
      </c>
      <c r="G3983" s="20">
        <f>IFERROR(INDEX('Kode Outlet dan Target Toko'!$C:$C,MATCH($I3983,'Kode Outlet dan Target Toko'!$E:$E,0)),0)</f>
        <v>170208</v>
      </c>
      <c r="H3983" s="20">
        <f>IFERROR(INDEX('Kode Outlet dan Target Toko'!$D:$D,MATCH($I3983,'Kode Outlet dan Target Toko'!$E:$E,0)),0)</f>
        <v>5765011</v>
      </c>
      <c r="I3983" s="42" t="s">
        <v>109</v>
      </c>
      <c r="J3983" s="56" t="s">
        <v>214</v>
      </c>
      <c r="K3983" s="40" t="s">
        <v>15</v>
      </c>
      <c r="L3983" s="26">
        <v>2950</v>
      </c>
      <c r="M3983" s="26">
        <v>83</v>
      </c>
      <c r="N3983" s="25">
        <f t="shared" si="125"/>
        <v>244850</v>
      </c>
      <c r="O3983" s="56"/>
    </row>
    <row r="3984" spans="1:15" hidden="1" x14ac:dyDescent="0.3">
      <c r="A3984" s="26">
        <v>33</v>
      </c>
      <c r="B3984" s="20" t="str">
        <f t="shared" si="124"/>
        <v>AUG</v>
      </c>
      <c r="C3984" s="21">
        <v>46249</v>
      </c>
      <c r="D3984" s="22" t="str">
        <f>IFERROR(INDEX('Kode Outlet dan Target Toko'!$A:$A,MATCH($I3984,'Kode Outlet dan Target Toko'!$E:$E,0)),"")</f>
        <v>GRSM 6</v>
      </c>
      <c r="E3984" s="20" t="str">
        <f>IFERROR(VLOOKUP(I3984,KET!$B:$F,4,0),"")</f>
        <v>MARTIKA MINTOROWATI</v>
      </c>
      <c r="F3984" s="20" t="str">
        <f>IFERROR(VLOOKUP(I3984,KET!$B:$F,5,0),"")</f>
        <v>GMM</v>
      </c>
      <c r="G3984" s="20">
        <f>IFERROR(INDEX('Kode Outlet dan Target Toko'!$C:$C,MATCH($I3984,'Kode Outlet dan Target Toko'!$E:$E,0)),0)</f>
        <v>170208</v>
      </c>
      <c r="H3984" s="20">
        <f>IFERROR(INDEX('Kode Outlet dan Target Toko'!$D:$D,MATCH($I3984,'Kode Outlet dan Target Toko'!$E:$E,0)),0)</f>
        <v>5765011</v>
      </c>
      <c r="I3984" s="42" t="s">
        <v>109</v>
      </c>
      <c r="J3984" s="56" t="s">
        <v>214</v>
      </c>
      <c r="K3984" s="40" t="s">
        <v>14</v>
      </c>
      <c r="L3984" s="26">
        <v>2950</v>
      </c>
      <c r="M3984" s="26">
        <v>109</v>
      </c>
      <c r="N3984" s="25">
        <f t="shared" si="125"/>
        <v>321550</v>
      </c>
      <c r="O3984" s="56"/>
    </row>
    <row r="3985" spans="1:15" hidden="1" x14ac:dyDescent="0.3">
      <c r="A3985" s="26">
        <v>33</v>
      </c>
      <c r="B3985" s="20" t="str">
        <f t="shared" si="124"/>
        <v>AUG</v>
      </c>
      <c r="C3985" s="21">
        <v>46249</v>
      </c>
      <c r="D3985" s="22" t="str">
        <f>IFERROR(INDEX('Kode Outlet dan Target Toko'!$A:$A,MATCH($I3985,'Kode Outlet dan Target Toko'!$E:$E,0)),"")</f>
        <v>GRSM 6</v>
      </c>
      <c r="E3985" s="20" t="str">
        <f>IFERROR(VLOOKUP(I3985,KET!$B:$F,4,0),"")</f>
        <v>MARTIKA MINTOROWATI</v>
      </c>
      <c r="F3985" s="20" t="str">
        <f>IFERROR(VLOOKUP(I3985,KET!$B:$F,5,0),"")</f>
        <v>GMM</v>
      </c>
      <c r="G3985" s="20">
        <f>IFERROR(INDEX('Kode Outlet dan Target Toko'!$C:$C,MATCH($I3985,'Kode Outlet dan Target Toko'!$E:$E,0)),0)</f>
        <v>170208</v>
      </c>
      <c r="H3985" s="20">
        <f>IFERROR(INDEX('Kode Outlet dan Target Toko'!$D:$D,MATCH($I3985,'Kode Outlet dan Target Toko'!$E:$E,0)),0)</f>
        <v>5765011</v>
      </c>
      <c r="I3985" s="42" t="s">
        <v>109</v>
      </c>
      <c r="J3985" s="56" t="s">
        <v>214</v>
      </c>
      <c r="K3985" s="40" t="s">
        <v>13</v>
      </c>
      <c r="L3985" s="26">
        <v>2950</v>
      </c>
      <c r="M3985" s="26">
        <v>88</v>
      </c>
      <c r="N3985" s="25">
        <f t="shared" si="125"/>
        <v>259600</v>
      </c>
      <c r="O3985" s="56"/>
    </row>
    <row r="3986" spans="1:15" hidden="1" x14ac:dyDescent="0.3">
      <c r="A3986" s="26">
        <v>33</v>
      </c>
      <c r="B3986" s="20" t="str">
        <f t="shared" si="124"/>
        <v>AUG</v>
      </c>
      <c r="C3986" s="21">
        <v>46249</v>
      </c>
      <c r="D3986" s="22" t="str">
        <f>IFERROR(INDEX('Kode Outlet dan Target Toko'!$A:$A,MATCH($I3986,'Kode Outlet dan Target Toko'!$E:$E,0)),"")</f>
        <v>GRSM 6</v>
      </c>
      <c r="E3986" s="20" t="str">
        <f>IFERROR(VLOOKUP(I3986,KET!$B:$F,4,0),"")</f>
        <v>MARTIKA MINTOROWATI</v>
      </c>
      <c r="F3986" s="20" t="str">
        <f>IFERROR(VLOOKUP(I3986,KET!$B:$F,5,0),"")</f>
        <v>GMM</v>
      </c>
      <c r="G3986" s="20">
        <f>IFERROR(INDEX('Kode Outlet dan Target Toko'!$C:$C,MATCH($I3986,'Kode Outlet dan Target Toko'!$E:$E,0)),0)</f>
        <v>170208</v>
      </c>
      <c r="H3986" s="20">
        <f>IFERROR(INDEX('Kode Outlet dan Target Toko'!$D:$D,MATCH($I3986,'Kode Outlet dan Target Toko'!$E:$E,0)),0)</f>
        <v>5765011</v>
      </c>
      <c r="I3986" s="42" t="s">
        <v>109</v>
      </c>
      <c r="J3986" s="56" t="s">
        <v>214</v>
      </c>
      <c r="K3986" s="40" t="s">
        <v>16</v>
      </c>
      <c r="L3986" s="26">
        <v>2950</v>
      </c>
      <c r="M3986" s="26">
        <v>103</v>
      </c>
      <c r="N3986" s="25">
        <f t="shared" si="125"/>
        <v>303850</v>
      </c>
      <c r="O3986" s="56">
        <v>160</v>
      </c>
    </row>
    <row r="3987" spans="1:15" hidden="1" x14ac:dyDescent="0.3">
      <c r="A3987" s="26">
        <v>33</v>
      </c>
      <c r="B3987" s="20" t="str">
        <f t="shared" si="124"/>
        <v>AUG</v>
      </c>
      <c r="C3987" s="21">
        <v>46249</v>
      </c>
      <c r="D3987" s="22" t="str">
        <f>IFERROR(INDEX('Kode Outlet dan Target Toko'!$A:$A,MATCH($I3987,'Kode Outlet dan Target Toko'!$E:$E,0)),"")</f>
        <v>GRSM 6</v>
      </c>
      <c r="E3987" s="20" t="str">
        <f>IFERROR(VLOOKUP(I3987,KET!$B:$F,4,0),"")</f>
        <v>MARTIKA MINTOROWATI</v>
      </c>
      <c r="F3987" s="20" t="str">
        <f>IFERROR(VLOOKUP(I3987,KET!$B:$F,5,0),"")</f>
        <v>GMM</v>
      </c>
      <c r="G3987" s="20">
        <f>IFERROR(INDEX('Kode Outlet dan Target Toko'!$C:$C,MATCH($I3987,'Kode Outlet dan Target Toko'!$E:$E,0)),0)</f>
        <v>170208</v>
      </c>
      <c r="H3987" s="20">
        <f>IFERROR(INDEX('Kode Outlet dan Target Toko'!$D:$D,MATCH($I3987,'Kode Outlet dan Target Toko'!$E:$E,0)),0)</f>
        <v>5765011</v>
      </c>
      <c r="I3987" s="42" t="s">
        <v>109</v>
      </c>
      <c r="J3987" s="56" t="s">
        <v>215</v>
      </c>
      <c r="K3987" s="40" t="s">
        <v>15</v>
      </c>
      <c r="L3987" s="26">
        <v>2950</v>
      </c>
      <c r="M3987" s="26">
        <v>83</v>
      </c>
      <c r="N3987" s="25">
        <f t="shared" si="125"/>
        <v>244850</v>
      </c>
      <c r="O3987" s="56"/>
    </row>
    <row r="3988" spans="1:15" hidden="1" x14ac:dyDescent="0.3">
      <c r="A3988" s="26">
        <v>33</v>
      </c>
      <c r="B3988" s="20" t="str">
        <f t="shared" si="124"/>
        <v>AUG</v>
      </c>
      <c r="C3988" s="21">
        <v>46249</v>
      </c>
      <c r="D3988" s="22" t="str">
        <f>IFERROR(INDEX('Kode Outlet dan Target Toko'!$A:$A,MATCH($I3988,'Kode Outlet dan Target Toko'!$E:$E,0)),"")</f>
        <v>GRSM 6</v>
      </c>
      <c r="E3988" s="20" t="str">
        <f>IFERROR(VLOOKUP(I3988,KET!$B:$F,4,0),"")</f>
        <v>MARTIKA MINTOROWATI</v>
      </c>
      <c r="F3988" s="20" t="str">
        <f>IFERROR(VLOOKUP(I3988,KET!$B:$F,5,0),"")</f>
        <v>GMM</v>
      </c>
      <c r="G3988" s="20">
        <f>IFERROR(INDEX('Kode Outlet dan Target Toko'!$C:$C,MATCH($I3988,'Kode Outlet dan Target Toko'!$E:$E,0)),0)</f>
        <v>170208</v>
      </c>
      <c r="H3988" s="20">
        <f>IFERROR(INDEX('Kode Outlet dan Target Toko'!$D:$D,MATCH($I3988,'Kode Outlet dan Target Toko'!$E:$E,0)),0)</f>
        <v>5765011</v>
      </c>
      <c r="I3988" s="42" t="s">
        <v>109</v>
      </c>
      <c r="J3988" s="56" t="s">
        <v>215</v>
      </c>
      <c r="K3988" s="40" t="s">
        <v>14</v>
      </c>
      <c r="L3988" s="26">
        <v>2950</v>
      </c>
      <c r="M3988" s="26">
        <v>109</v>
      </c>
      <c r="N3988" s="25">
        <f t="shared" si="125"/>
        <v>321550</v>
      </c>
      <c r="O3988" s="56"/>
    </row>
    <row r="3989" spans="1:15" hidden="1" x14ac:dyDescent="0.3">
      <c r="A3989" s="26">
        <v>33</v>
      </c>
      <c r="B3989" s="20" t="str">
        <f t="shared" si="124"/>
        <v>AUG</v>
      </c>
      <c r="C3989" s="21">
        <v>46249</v>
      </c>
      <c r="D3989" s="22" t="str">
        <f>IFERROR(INDEX('Kode Outlet dan Target Toko'!$A:$A,MATCH($I3989,'Kode Outlet dan Target Toko'!$E:$E,0)),"")</f>
        <v>GRSM 6</v>
      </c>
      <c r="E3989" s="20" t="str">
        <f>IFERROR(VLOOKUP(I3989,KET!$B:$F,4,0),"")</f>
        <v>MARTIKA MINTOROWATI</v>
      </c>
      <c r="F3989" s="20" t="str">
        <f>IFERROR(VLOOKUP(I3989,KET!$B:$F,5,0),"")</f>
        <v>GMM</v>
      </c>
      <c r="G3989" s="20">
        <f>IFERROR(INDEX('Kode Outlet dan Target Toko'!$C:$C,MATCH($I3989,'Kode Outlet dan Target Toko'!$E:$E,0)),0)</f>
        <v>170208</v>
      </c>
      <c r="H3989" s="20">
        <f>IFERROR(INDEX('Kode Outlet dan Target Toko'!$D:$D,MATCH($I3989,'Kode Outlet dan Target Toko'!$E:$E,0)),0)</f>
        <v>5765011</v>
      </c>
      <c r="I3989" s="42" t="s">
        <v>109</v>
      </c>
      <c r="J3989" s="56" t="s">
        <v>215</v>
      </c>
      <c r="K3989" s="40" t="s">
        <v>13</v>
      </c>
      <c r="L3989" s="26">
        <v>2950</v>
      </c>
      <c r="M3989" s="26">
        <v>88</v>
      </c>
      <c r="N3989" s="25">
        <f t="shared" si="125"/>
        <v>259600</v>
      </c>
      <c r="O3989" s="56"/>
    </row>
    <row r="3990" spans="1:15" hidden="1" x14ac:dyDescent="0.3">
      <c r="A3990" s="26">
        <v>33</v>
      </c>
      <c r="B3990" s="20" t="str">
        <f t="shared" si="124"/>
        <v>AUG</v>
      </c>
      <c r="C3990" s="21">
        <v>46249</v>
      </c>
      <c r="D3990" s="22" t="str">
        <f>IFERROR(INDEX('Kode Outlet dan Target Toko'!$A:$A,MATCH($I3990,'Kode Outlet dan Target Toko'!$E:$E,0)),"")</f>
        <v>GRSM 6</v>
      </c>
      <c r="E3990" s="20" t="str">
        <f>IFERROR(VLOOKUP(I3990,KET!$B:$F,4,0),"")</f>
        <v>MARTIKA MINTOROWATI</v>
      </c>
      <c r="F3990" s="20" t="str">
        <f>IFERROR(VLOOKUP(I3990,KET!$B:$F,5,0),"")</f>
        <v>GMM</v>
      </c>
      <c r="G3990" s="20">
        <f>IFERROR(INDEX('Kode Outlet dan Target Toko'!$C:$C,MATCH($I3990,'Kode Outlet dan Target Toko'!$E:$E,0)),0)</f>
        <v>170208</v>
      </c>
      <c r="H3990" s="20">
        <f>IFERROR(INDEX('Kode Outlet dan Target Toko'!$D:$D,MATCH($I3990,'Kode Outlet dan Target Toko'!$E:$E,0)),0)</f>
        <v>5765011</v>
      </c>
      <c r="I3990" s="42" t="s">
        <v>109</v>
      </c>
      <c r="J3990" s="56" t="s">
        <v>215</v>
      </c>
      <c r="K3990" s="40" t="s">
        <v>16</v>
      </c>
      <c r="L3990" s="26">
        <v>2950</v>
      </c>
      <c r="M3990" s="26">
        <v>103</v>
      </c>
      <c r="N3990" s="25">
        <f t="shared" si="125"/>
        <v>303850</v>
      </c>
      <c r="O3990" s="56">
        <v>160</v>
      </c>
    </row>
    <row r="3991" spans="1:15" hidden="1" x14ac:dyDescent="0.3">
      <c r="A3991" s="26">
        <v>33</v>
      </c>
      <c r="B3991" s="20" t="str">
        <f t="shared" si="124"/>
        <v>AUG</v>
      </c>
      <c r="C3991" s="21">
        <v>46249</v>
      </c>
      <c r="D3991" s="22" t="str">
        <f>IFERROR(INDEX('Kode Outlet dan Target Toko'!$A:$A,MATCH($I3991,'Kode Outlet dan Target Toko'!$E:$E,0)),"")</f>
        <v>GRSM 6</v>
      </c>
      <c r="E3991" s="20" t="str">
        <f>IFERROR(VLOOKUP(I3991,KET!$B:$F,4,0),"")</f>
        <v>MARTIKA MINTOROWATI</v>
      </c>
      <c r="F3991" s="20" t="str">
        <f>IFERROR(VLOOKUP(I3991,KET!$B:$F,5,0),"")</f>
        <v>GMM</v>
      </c>
      <c r="G3991" s="20">
        <f>IFERROR(INDEX('Kode Outlet dan Target Toko'!$C:$C,MATCH($I3991,'Kode Outlet dan Target Toko'!$E:$E,0)),0)</f>
        <v>211161</v>
      </c>
      <c r="H3991" s="20">
        <f>IFERROR(INDEX('Kode Outlet dan Target Toko'!$D:$D,MATCH($I3991,'Kode Outlet dan Target Toko'!$E:$E,0)),0)</f>
        <v>710355</v>
      </c>
      <c r="I3991" s="42" t="s">
        <v>97</v>
      </c>
      <c r="J3991" s="56" t="s">
        <v>223</v>
      </c>
      <c r="K3991" s="40" t="s">
        <v>15</v>
      </c>
      <c r="L3991" s="26">
        <v>6201</v>
      </c>
      <c r="M3991" s="26">
        <v>18</v>
      </c>
      <c r="N3991" s="25">
        <f t="shared" si="125"/>
        <v>111618</v>
      </c>
      <c r="O3991" s="56"/>
    </row>
    <row r="3992" spans="1:15" hidden="1" x14ac:dyDescent="0.3">
      <c r="A3992" s="26">
        <v>33</v>
      </c>
      <c r="B3992" s="20" t="str">
        <f t="shared" si="124"/>
        <v>AUG</v>
      </c>
      <c r="C3992" s="21">
        <v>46249</v>
      </c>
      <c r="D3992" s="22" t="str">
        <f>IFERROR(INDEX('Kode Outlet dan Target Toko'!$A:$A,MATCH($I3992,'Kode Outlet dan Target Toko'!$E:$E,0)),"")</f>
        <v>GRSM 6</v>
      </c>
      <c r="E3992" s="20" t="str">
        <f>IFERROR(VLOOKUP(I3992,KET!$B:$F,4,0),"")</f>
        <v>MARTIKA MINTOROWATI</v>
      </c>
      <c r="F3992" s="20" t="str">
        <f>IFERROR(VLOOKUP(I3992,KET!$B:$F,5,0),"")</f>
        <v>GMM</v>
      </c>
      <c r="G3992" s="20">
        <f>IFERROR(INDEX('Kode Outlet dan Target Toko'!$C:$C,MATCH($I3992,'Kode Outlet dan Target Toko'!$E:$E,0)),0)</f>
        <v>211161</v>
      </c>
      <c r="H3992" s="20">
        <f>IFERROR(INDEX('Kode Outlet dan Target Toko'!$D:$D,MATCH($I3992,'Kode Outlet dan Target Toko'!$E:$E,0)),0)</f>
        <v>710355</v>
      </c>
      <c r="I3992" s="42" t="s">
        <v>97</v>
      </c>
      <c r="J3992" s="56" t="s">
        <v>223</v>
      </c>
      <c r="K3992" s="40" t="s">
        <v>14</v>
      </c>
      <c r="L3992" s="26">
        <v>6201</v>
      </c>
      <c r="M3992" s="26">
        <v>18</v>
      </c>
      <c r="N3992" s="25">
        <f t="shared" si="125"/>
        <v>111618</v>
      </c>
      <c r="O3992" s="56"/>
    </row>
    <row r="3993" spans="1:15" hidden="1" x14ac:dyDescent="0.3">
      <c r="A3993" s="26">
        <v>33</v>
      </c>
      <c r="B3993" s="20" t="str">
        <f t="shared" si="124"/>
        <v>AUG</v>
      </c>
      <c r="C3993" s="21">
        <v>46249</v>
      </c>
      <c r="D3993" s="22" t="str">
        <f>IFERROR(INDEX('Kode Outlet dan Target Toko'!$A:$A,MATCH($I3993,'Kode Outlet dan Target Toko'!$E:$E,0)),"")</f>
        <v>GRSM 6</v>
      </c>
      <c r="E3993" s="20" t="str">
        <f>IFERROR(VLOOKUP(I3993,KET!$B:$F,4,0),"")</f>
        <v>MARTIKA MINTOROWATI</v>
      </c>
      <c r="F3993" s="20" t="str">
        <f>IFERROR(VLOOKUP(I3993,KET!$B:$F,5,0),"")</f>
        <v>GMM</v>
      </c>
      <c r="G3993" s="20">
        <f>IFERROR(INDEX('Kode Outlet dan Target Toko'!$C:$C,MATCH($I3993,'Kode Outlet dan Target Toko'!$E:$E,0)),0)</f>
        <v>211161</v>
      </c>
      <c r="H3993" s="20">
        <f>IFERROR(INDEX('Kode Outlet dan Target Toko'!$D:$D,MATCH($I3993,'Kode Outlet dan Target Toko'!$E:$E,0)),0)</f>
        <v>710355</v>
      </c>
      <c r="I3993" s="42" t="s">
        <v>97</v>
      </c>
      <c r="J3993" s="56" t="s">
        <v>223</v>
      </c>
      <c r="K3993" s="40" t="s">
        <v>13</v>
      </c>
      <c r="L3993" s="26">
        <v>6201</v>
      </c>
      <c r="M3993" s="26">
        <v>18</v>
      </c>
      <c r="N3993" s="25">
        <f t="shared" si="125"/>
        <v>111618</v>
      </c>
      <c r="O3993" s="56"/>
    </row>
    <row r="3994" spans="1:15" hidden="1" x14ac:dyDescent="0.3">
      <c r="A3994" s="26">
        <v>33</v>
      </c>
      <c r="B3994" s="20" t="str">
        <f t="shared" si="124"/>
        <v>AUG</v>
      </c>
      <c r="C3994" s="21">
        <v>46249</v>
      </c>
      <c r="D3994" s="22" t="str">
        <f>IFERROR(INDEX('Kode Outlet dan Target Toko'!$A:$A,MATCH($I3994,'Kode Outlet dan Target Toko'!$E:$E,0)),"")</f>
        <v>GRSM 6</v>
      </c>
      <c r="E3994" s="20" t="str">
        <f>IFERROR(VLOOKUP(I3994,KET!$B:$F,4,0),"")</f>
        <v>MARTIKA MINTOROWATI</v>
      </c>
      <c r="F3994" s="20" t="str">
        <f>IFERROR(VLOOKUP(I3994,KET!$B:$F,5,0),"")</f>
        <v>GMM</v>
      </c>
      <c r="G3994" s="20">
        <f>IFERROR(INDEX('Kode Outlet dan Target Toko'!$C:$C,MATCH($I3994,'Kode Outlet dan Target Toko'!$E:$E,0)),0)</f>
        <v>211161</v>
      </c>
      <c r="H3994" s="20">
        <f>IFERROR(INDEX('Kode Outlet dan Target Toko'!$D:$D,MATCH($I3994,'Kode Outlet dan Target Toko'!$E:$E,0)),0)</f>
        <v>710355</v>
      </c>
      <c r="I3994" s="42" t="s">
        <v>97</v>
      </c>
      <c r="J3994" s="56" t="s">
        <v>223</v>
      </c>
      <c r="K3994" s="40" t="s">
        <v>16</v>
      </c>
      <c r="L3994" s="26">
        <v>6201</v>
      </c>
      <c r="M3994" s="26">
        <v>93</v>
      </c>
      <c r="N3994" s="25">
        <f t="shared" si="125"/>
        <v>576693</v>
      </c>
      <c r="O3994" s="56">
        <v>160</v>
      </c>
    </row>
    <row r="3995" spans="1:15" hidden="1" x14ac:dyDescent="0.3">
      <c r="A3995" s="26">
        <v>33</v>
      </c>
      <c r="B3995" s="20" t="str">
        <f t="shared" si="124"/>
        <v>AUG</v>
      </c>
      <c r="C3995" s="21">
        <v>46249</v>
      </c>
      <c r="D3995" s="22" t="str">
        <f>IFERROR(INDEX('Kode Outlet dan Target Toko'!$A:$A,MATCH($I3995,'Kode Outlet dan Target Toko'!$E:$E,0)),"")</f>
        <v>GRSM 6</v>
      </c>
      <c r="E3995" s="20" t="str">
        <f>IFERROR(VLOOKUP(I3995,KET!$B:$F,4,0),"")</f>
        <v>MARTIKA MINTOROWATI</v>
      </c>
      <c r="F3995" s="20" t="str">
        <f>IFERROR(VLOOKUP(I3995,KET!$B:$F,5,0),"")</f>
        <v>GMM</v>
      </c>
      <c r="G3995" s="20">
        <f>IFERROR(INDEX('Kode Outlet dan Target Toko'!$C:$C,MATCH($I3995,'Kode Outlet dan Target Toko'!$E:$E,0)),0)</f>
        <v>211161</v>
      </c>
      <c r="H3995" s="20">
        <f>IFERROR(INDEX('Kode Outlet dan Target Toko'!$D:$D,MATCH($I3995,'Kode Outlet dan Target Toko'!$E:$E,0)),0)</f>
        <v>710355</v>
      </c>
      <c r="I3995" s="42" t="s">
        <v>97</v>
      </c>
      <c r="J3995" s="56" t="s">
        <v>222</v>
      </c>
      <c r="K3995" s="40" t="s">
        <v>15</v>
      </c>
      <c r="L3995" s="26">
        <v>6201</v>
      </c>
      <c r="M3995" s="26">
        <v>18</v>
      </c>
      <c r="N3995" s="25">
        <f t="shared" si="125"/>
        <v>111618</v>
      </c>
      <c r="O3995" s="56"/>
    </row>
    <row r="3996" spans="1:15" hidden="1" x14ac:dyDescent="0.3">
      <c r="A3996" s="26">
        <v>33</v>
      </c>
      <c r="B3996" s="20" t="str">
        <f t="shared" si="124"/>
        <v>AUG</v>
      </c>
      <c r="C3996" s="21">
        <v>46249</v>
      </c>
      <c r="D3996" s="22" t="str">
        <f>IFERROR(INDEX('Kode Outlet dan Target Toko'!$A:$A,MATCH($I3996,'Kode Outlet dan Target Toko'!$E:$E,0)),"")</f>
        <v>GRSM 6</v>
      </c>
      <c r="E3996" s="20" t="str">
        <f>IFERROR(VLOOKUP(I3996,KET!$B:$F,4,0),"")</f>
        <v>MARTIKA MINTOROWATI</v>
      </c>
      <c r="F3996" s="20" t="str">
        <f>IFERROR(VLOOKUP(I3996,KET!$B:$F,5,0),"")</f>
        <v>GMM</v>
      </c>
      <c r="G3996" s="20">
        <f>IFERROR(INDEX('Kode Outlet dan Target Toko'!$C:$C,MATCH($I3996,'Kode Outlet dan Target Toko'!$E:$E,0)),0)</f>
        <v>211161</v>
      </c>
      <c r="H3996" s="20">
        <f>IFERROR(INDEX('Kode Outlet dan Target Toko'!$D:$D,MATCH($I3996,'Kode Outlet dan Target Toko'!$E:$E,0)),0)</f>
        <v>710355</v>
      </c>
      <c r="I3996" s="42" t="s">
        <v>97</v>
      </c>
      <c r="J3996" s="56" t="s">
        <v>222</v>
      </c>
      <c r="K3996" s="40" t="s">
        <v>14</v>
      </c>
      <c r="L3996" s="26">
        <v>6201</v>
      </c>
      <c r="M3996" s="26">
        <v>18</v>
      </c>
      <c r="N3996" s="25">
        <f t="shared" si="125"/>
        <v>111618</v>
      </c>
      <c r="O3996" s="56"/>
    </row>
    <row r="3997" spans="1:15" hidden="1" x14ac:dyDescent="0.3">
      <c r="A3997" s="26">
        <v>33</v>
      </c>
      <c r="B3997" s="20" t="str">
        <f t="shared" si="124"/>
        <v>AUG</v>
      </c>
      <c r="C3997" s="21">
        <v>46249</v>
      </c>
      <c r="D3997" s="22" t="str">
        <f>IFERROR(INDEX('Kode Outlet dan Target Toko'!$A:$A,MATCH($I3997,'Kode Outlet dan Target Toko'!$E:$E,0)),"")</f>
        <v>GRSM 6</v>
      </c>
      <c r="E3997" s="20" t="str">
        <f>IFERROR(VLOOKUP(I3997,KET!$B:$F,4,0),"")</f>
        <v>MARTIKA MINTOROWATI</v>
      </c>
      <c r="F3997" s="20" t="str">
        <f>IFERROR(VLOOKUP(I3997,KET!$B:$F,5,0),"")</f>
        <v>GMM</v>
      </c>
      <c r="G3997" s="20">
        <f>IFERROR(INDEX('Kode Outlet dan Target Toko'!$C:$C,MATCH($I3997,'Kode Outlet dan Target Toko'!$E:$E,0)),0)</f>
        <v>211161</v>
      </c>
      <c r="H3997" s="20">
        <f>IFERROR(INDEX('Kode Outlet dan Target Toko'!$D:$D,MATCH($I3997,'Kode Outlet dan Target Toko'!$E:$E,0)),0)</f>
        <v>710355</v>
      </c>
      <c r="I3997" s="42" t="s">
        <v>97</v>
      </c>
      <c r="J3997" s="56" t="s">
        <v>222</v>
      </c>
      <c r="K3997" s="40" t="s">
        <v>13</v>
      </c>
      <c r="L3997" s="26">
        <v>6201</v>
      </c>
      <c r="M3997" s="26">
        <v>18</v>
      </c>
      <c r="N3997" s="25">
        <f t="shared" si="125"/>
        <v>111618</v>
      </c>
      <c r="O3997" s="56"/>
    </row>
    <row r="3998" spans="1:15" hidden="1" x14ac:dyDescent="0.3">
      <c r="A3998" s="26">
        <v>33</v>
      </c>
      <c r="B3998" s="20" t="str">
        <f t="shared" si="124"/>
        <v>AUG</v>
      </c>
      <c r="C3998" s="21">
        <v>46249</v>
      </c>
      <c r="D3998" s="22" t="str">
        <f>IFERROR(INDEX('Kode Outlet dan Target Toko'!$A:$A,MATCH($I3998,'Kode Outlet dan Target Toko'!$E:$E,0)),"")</f>
        <v>GRSM 6</v>
      </c>
      <c r="E3998" s="20" t="str">
        <f>IFERROR(VLOOKUP(I3998,KET!$B:$F,4,0),"")</f>
        <v>MARTIKA MINTOROWATI</v>
      </c>
      <c r="F3998" s="20" t="str">
        <f>IFERROR(VLOOKUP(I3998,KET!$B:$F,5,0),"")</f>
        <v>GMM</v>
      </c>
      <c r="G3998" s="20">
        <f>IFERROR(INDEX('Kode Outlet dan Target Toko'!$C:$C,MATCH($I3998,'Kode Outlet dan Target Toko'!$E:$E,0)),0)</f>
        <v>211161</v>
      </c>
      <c r="H3998" s="20">
        <f>IFERROR(INDEX('Kode Outlet dan Target Toko'!$D:$D,MATCH($I3998,'Kode Outlet dan Target Toko'!$E:$E,0)),0)</f>
        <v>710355</v>
      </c>
      <c r="I3998" s="42" t="s">
        <v>97</v>
      </c>
      <c r="J3998" s="56" t="s">
        <v>222</v>
      </c>
      <c r="K3998" s="40" t="s">
        <v>16</v>
      </c>
      <c r="L3998" s="26">
        <v>6201</v>
      </c>
      <c r="M3998" s="26">
        <v>93</v>
      </c>
      <c r="N3998" s="25">
        <f t="shared" si="125"/>
        <v>576693</v>
      </c>
      <c r="O3998" s="56">
        <v>160</v>
      </c>
    </row>
    <row r="3999" spans="1:15" hidden="1" x14ac:dyDescent="0.3">
      <c r="A3999" s="26">
        <v>33</v>
      </c>
      <c r="B3999" s="20" t="str">
        <f t="shared" si="124"/>
        <v>AUG</v>
      </c>
      <c r="C3999" s="21">
        <v>46249</v>
      </c>
      <c r="D3999" s="22" t="str">
        <f>IFERROR(INDEX('Kode Outlet dan Target Toko'!$A:$A,MATCH($I3999,'Kode Outlet dan Target Toko'!$E:$E,0)),"")</f>
        <v>GRSM 6</v>
      </c>
      <c r="E3999" s="20" t="str">
        <f>IFERROR(VLOOKUP(I3999,KET!$B:$F,4,0),"")</f>
        <v>MARTIKA MINTOROWATI</v>
      </c>
      <c r="F3999" s="20" t="str">
        <f>IFERROR(VLOOKUP(I3999,KET!$B:$F,5,0),"")</f>
        <v>GMM</v>
      </c>
      <c r="G3999" s="20">
        <f>IFERROR(INDEX('Kode Outlet dan Target Toko'!$C:$C,MATCH($I3999,'Kode Outlet dan Target Toko'!$E:$E,0)),0)</f>
        <v>211030</v>
      </c>
      <c r="H3999" s="20">
        <f>IFERROR(INDEX('Kode Outlet dan Target Toko'!$D:$D,MATCH($I3999,'Kode Outlet dan Target Toko'!$E:$E,0)),0)</f>
        <v>5765035</v>
      </c>
      <c r="I3999" s="42" t="s">
        <v>113</v>
      </c>
      <c r="J3999" s="56" t="s">
        <v>225</v>
      </c>
      <c r="K3999" s="40" t="s">
        <v>15</v>
      </c>
      <c r="L3999" s="26">
        <v>3145</v>
      </c>
      <c r="M3999" s="26">
        <v>11</v>
      </c>
      <c r="N3999" s="25">
        <f t="shared" si="125"/>
        <v>34595</v>
      </c>
      <c r="O3999" s="56"/>
    </row>
    <row r="4000" spans="1:15" hidden="1" x14ac:dyDescent="0.3">
      <c r="A4000" s="26">
        <v>33</v>
      </c>
      <c r="B4000" s="20" t="str">
        <f t="shared" si="124"/>
        <v>AUG</v>
      </c>
      <c r="C4000" s="21">
        <v>46249</v>
      </c>
      <c r="D4000" s="22" t="str">
        <f>IFERROR(INDEX('Kode Outlet dan Target Toko'!$A:$A,MATCH($I4000,'Kode Outlet dan Target Toko'!$E:$E,0)),"")</f>
        <v>GRSM 6</v>
      </c>
      <c r="E4000" s="20" t="str">
        <f>IFERROR(VLOOKUP(I4000,KET!$B:$F,4,0),"")</f>
        <v>MARTIKA MINTOROWATI</v>
      </c>
      <c r="F4000" s="20" t="str">
        <f>IFERROR(VLOOKUP(I4000,KET!$B:$F,5,0),"")</f>
        <v>GMM</v>
      </c>
      <c r="G4000" s="20">
        <f>IFERROR(INDEX('Kode Outlet dan Target Toko'!$C:$C,MATCH($I4000,'Kode Outlet dan Target Toko'!$E:$E,0)),0)</f>
        <v>211030</v>
      </c>
      <c r="H4000" s="20">
        <f>IFERROR(INDEX('Kode Outlet dan Target Toko'!$D:$D,MATCH($I4000,'Kode Outlet dan Target Toko'!$E:$E,0)),0)</f>
        <v>5765035</v>
      </c>
      <c r="I4000" s="42" t="s">
        <v>113</v>
      </c>
      <c r="J4000" s="56" t="s">
        <v>225</v>
      </c>
      <c r="K4000" s="40" t="s">
        <v>14</v>
      </c>
      <c r="L4000" s="26">
        <v>3145</v>
      </c>
      <c r="M4000" s="26">
        <v>12</v>
      </c>
      <c r="N4000" s="25">
        <f t="shared" si="125"/>
        <v>37740</v>
      </c>
      <c r="O4000" s="56"/>
    </row>
    <row r="4001" spans="1:15" hidden="1" x14ac:dyDescent="0.3">
      <c r="A4001" s="26">
        <v>33</v>
      </c>
      <c r="B4001" s="20" t="str">
        <f t="shared" si="124"/>
        <v>AUG</v>
      </c>
      <c r="C4001" s="21">
        <v>46249</v>
      </c>
      <c r="D4001" s="22" t="str">
        <f>IFERROR(INDEX('Kode Outlet dan Target Toko'!$A:$A,MATCH($I4001,'Kode Outlet dan Target Toko'!$E:$E,0)),"")</f>
        <v>GRSM 6</v>
      </c>
      <c r="E4001" s="20" t="str">
        <f>IFERROR(VLOOKUP(I4001,KET!$B:$F,4,0),"")</f>
        <v>MARTIKA MINTOROWATI</v>
      </c>
      <c r="F4001" s="20" t="str">
        <f>IFERROR(VLOOKUP(I4001,KET!$B:$F,5,0),"")</f>
        <v>GMM</v>
      </c>
      <c r="G4001" s="20">
        <f>IFERROR(INDEX('Kode Outlet dan Target Toko'!$C:$C,MATCH($I4001,'Kode Outlet dan Target Toko'!$E:$E,0)),0)</f>
        <v>211030</v>
      </c>
      <c r="H4001" s="20">
        <f>IFERROR(INDEX('Kode Outlet dan Target Toko'!$D:$D,MATCH($I4001,'Kode Outlet dan Target Toko'!$E:$E,0)),0)</f>
        <v>5765035</v>
      </c>
      <c r="I4001" s="42" t="s">
        <v>113</v>
      </c>
      <c r="J4001" s="56" t="s">
        <v>225</v>
      </c>
      <c r="K4001" s="40" t="s">
        <v>13</v>
      </c>
      <c r="L4001" s="26">
        <v>3145</v>
      </c>
      <c r="M4001" s="26">
        <v>7</v>
      </c>
      <c r="N4001" s="25">
        <f t="shared" si="125"/>
        <v>22015</v>
      </c>
      <c r="O4001" s="56"/>
    </row>
    <row r="4002" spans="1:15" hidden="1" x14ac:dyDescent="0.3">
      <c r="A4002" s="26">
        <v>33</v>
      </c>
      <c r="B4002" s="20" t="str">
        <f t="shared" si="124"/>
        <v>AUG</v>
      </c>
      <c r="C4002" s="21">
        <v>46249</v>
      </c>
      <c r="D4002" s="22" t="str">
        <f>IFERROR(INDEX('Kode Outlet dan Target Toko'!$A:$A,MATCH($I4002,'Kode Outlet dan Target Toko'!$E:$E,0)),"")</f>
        <v>GRSM 6</v>
      </c>
      <c r="E4002" s="20" t="str">
        <f>IFERROR(VLOOKUP(I4002,KET!$B:$F,4,0),"")</f>
        <v>MARTIKA MINTOROWATI</v>
      </c>
      <c r="F4002" s="20" t="str">
        <f>IFERROR(VLOOKUP(I4002,KET!$B:$F,5,0),"")</f>
        <v>GMM</v>
      </c>
      <c r="G4002" s="20">
        <f>IFERROR(INDEX('Kode Outlet dan Target Toko'!$C:$C,MATCH($I4002,'Kode Outlet dan Target Toko'!$E:$E,0)),0)</f>
        <v>211030</v>
      </c>
      <c r="H4002" s="20">
        <f>IFERROR(INDEX('Kode Outlet dan Target Toko'!$D:$D,MATCH($I4002,'Kode Outlet dan Target Toko'!$E:$E,0)),0)</f>
        <v>5765035</v>
      </c>
      <c r="I4002" s="42" t="s">
        <v>113</v>
      </c>
      <c r="J4002" s="56" t="s">
        <v>225</v>
      </c>
      <c r="K4002" s="40" t="s">
        <v>16</v>
      </c>
      <c r="L4002" s="26">
        <v>3145</v>
      </c>
      <c r="M4002" s="26">
        <v>83</v>
      </c>
      <c r="N4002" s="25">
        <f t="shared" si="125"/>
        <v>261035</v>
      </c>
      <c r="O4002" s="56">
        <v>160</v>
      </c>
    </row>
    <row r="4003" spans="1:15" hidden="1" x14ac:dyDescent="0.3">
      <c r="A4003" s="26">
        <v>33</v>
      </c>
      <c r="B4003" s="20" t="str">
        <f t="shared" si="124"/>
        <v>AUG</v>
      </c>
      <c r="C4003" s="21">
        <v>46249</v>
      </c>
      <c r="D4003" s="22" t="str">
        <f>IFERROR(INDEX('Kode Outlet dan Target Toko'!$A:$A,MATCH($I4003,'Kode Outlet dan Target Toko'!$E:$E,0)),"")</f>
        <v>GRSM 6</v>
      </c>
      <c r="E4003" s="20" t="str">
        <f>IFERROR(VLOOKUP(I4003,KET!$B:$F,4,0),"")</f>
        <v>MARTIKA MINTOROWATI</v>
      </c>
      <c r="F4003" s="20" t="str">
        <f>IFERROR(VLOOKUP(I4003,KET!$B:$F,5,0),"")</f>
        <v>GMM</v>
      </c>
      <c r="G4003" s="20">
        <f>IFERROR(INDEX('Kode Outlet dan Target Toko'!$C:$C,MATCH($I4003,'Kode Outlet dan Target Toko'!$E:$E,0)),0)</f>
        <v>211030</v>
      </c>
      <c r="H4003" s="20">
        <f>IFERROR(INDEX('Kode Outlet dan Target Toko'!$D:$D,MATCH($I4003,'Kode Outlet dan Target Toko'!$E:$E,0)),0)</f>
        <v>5766116</v>
      </c>
      <c r="I4003" s="42" t="s">
        <v>106</v>
      </c>
      <c r="J4003" s="56" t="s">
        <v>300</v>
      </c>
      <c r="K4003" s="40" t="s">
        <v>15</v>
      </c>
      <c r="L4003" s="26">
        <v>6000</v>
      </c>
      <c r="M4003" s="26">
        <v>44</v>
      </c>
      <c r="N4003" s="25">
        <f t="shared" si="125"/>
        <v>264000</v>
      </c>
      <c r="O4003" s="56"/>
    </row>
    <row r="4004" spans="1:15" hidden="1" x14ac:dyDescent="0.3">
      <c r="A4004" s="26">
        <v>33</v>
      </c>
      <c r="B4004" s="20" t="str">
        <f t="shared" si="124"/>
        <v>AUG</v>
      </c>
      <c r="C4004" s="21">
        <v>46249</v>
      </c>
      <c r="D4004" s="22" t="str">
        <f>IFERROR(INDEX('Kode Outlet dan Target Toko'!$A:$A,MATCH($I4004,'Kode Outlet dan Target Toko'!$E:$E,0)),"")</f>
        <v>GRSM 6</v>
      </c>
      <c r="E4004" s="20" t="str">
        <f>IFERROR(VLOOKUP(I4004,KET!$B:$F,4,0),"")</f>
        <v>MARTIKA MINTOROWATI</v>
      </c>
      <c r="F4004" s="20" t="str">
        <f>IFERROR(VLOOKUP(I4004,KET!$B:$F,5,0),"")</f>
        <v>GMM</v>
      </c>
      <c r="G4004" s="20">
        <f>IFERROR(INDEX('Kode Outlet dan Target Toko'!$C:$C,MATCH($I4004,'Kode Outlet dan Target Toko'!$E:$E,0)),0)</f>
        <v>211030</v>
      </c>
      <c r="H4004" s="20">
        <f>IFERROR(INDEX('Kode Outlet dan Target Toko'!$D:$D,MATCH($I4004,'Kode Outlet dan Target Toko'!$E:$E,0)),0)</f>
        <v>5766116</v>
      </c>
      <c r="I4004" s="42" t="s">
        <v>106</v>
      </c>
      <c r="J4004" s="56" t="s">
        <v>300</v>
      </c>
      <c r="K4004" s="40" t="s">
        <v>14</v>
      </c>
      <c r="L4004" s="26">
        <v>6000</v>
      </c>
      <c r="M4004" s="26">
        <v>30</v>
      </c>
      <c r="N4004" s="25">
        <f t="shared" si="125"/>
        <v>180000</v>
      </c>
      <c r="O4004" s="56"/>
    </row>
    <row r="4005" spans="1:15" hidden="1" x14ac:dyDescent="0.3">
      <c r="A4005" s="26">
        <v>33</v>
      </c>
      <c r="B4005" s="20" t="str">
        <f t="shared" si="124"/>
        <v>AUG</v>
      </c>
      <c r="C4005" s="21">
        <v>46249</v>
      </c>
      <c r="D4005" s="22" t="str">
        <f>IFERROR(INDEX('Kode Outlet dan Target Toko'!$A:$A,MATCH($I4005,'Kode Outlet dan Target Toko'!$E:$E,0)),"")</f>
        <v>GRSM 6</v>
      </c>
      <c r="E4005" s="20" t="str">
        <f>IFERROR(VLOOKUP(I4005,KET!$B:$F,4,0),"")</f>
        <v>MARTIKA MINTOROWATI</v>
      </c>
      <c r="F4005" s="20" t="str">
        <f>IFERROR(VLOOKUP(I4005,KET!$B:$F,5,0),"")</f>
        <v>GMM</v>
      </c>
      <c r="G4005" s="20">
        <f>IFERROR(INDEX('Kode Outlet dan Target Toko'!$C:$C,MATCH($I4005,'Kode Outlet dan Target Toko'!$E:$E,0)),0)</f>
        <v>211030</v>
      </c>
      <c r="H4005" s="20">
        <f>IFERROR(INDEX('Kode Outlet dan Target Toko'!$D:$D,MATCH($I4005,'Kode Outlet dan Target Toko'!$E:$E,0)),0)</f>
        <v>5766116</v>
      </c>
      <c r="I4005" s="42" t="s">
        <v>106</v>
      </c>
      <c r="J4005" s="56" t="s">
        <v>300</v>
      </c>
      <c r="K4005" s="40" t="s">
        <v>13</v>
      </c>
      <c r="L4005" s="26">
        <v>6000</v>
      </c>
      <c r="M4005" s="26">
        <v>57</v>
      </c>
      <c r="N4005" s="25">
        <f t="shared" si="125"/>
        <v>342000</v>
      </c>
      <c r="O4005" s="56"/>
    </row>
    <row r="4006" spans="1:15" hidden="1" x14ac:dyDescent="0.3">
      <c r="A4006" s="26">
        <v>33</v>
      </c>
      <c r="B4006" s="20" t="str">
        <f t="shared" si="124"/>
        <v>AUG</v>
      </c>
      <c r="C4006" s="21">
        <v>46249</v>
      </c>
      <c r="D4006" s="22" t="str">
        <f>IFERROR(INDEX('Kode Outlet dan Target Toko'!$A:$A,MATCH($I4006,'Kode Outlet dan Target Toko'!$E:$E,0)),"")</f>
        <v>GRSM 6</v>
      </c>
      <c r="E4006" s="20" t="str">
        <f>IFERROR(VLOOKUP(I4006,KET!$B:$F,4,0),"")</f>
        <v>MARTIKA MINTOROWATI</v>
      </c>
      <c r="F4006" s="20" t="str">
        <f>IFERROR(VLOOKUP(I4006,KET!$B:$F,5,0),"")</f>
        <v>GMM</v>
      </c>
      <c r="G4006" s="20">
        <f>IFERROR(INDEX('Kode Outlet dan Target Toko'!$C:$C,MATCH($I4006,'Kode Outlet dan Target Toko'!$E:$E,0)),0)</f>
        <v>211030</v>
      </c>
      <c r="H4006" s="20">
        <f>IFERROR(INDEX('Kode Outlet dan Target Toko'!$D:$D,MATCH($I4006,'Kode Outlet dan Target Toko'!$E:$E,0)),0)</f>
        <v>5766116</v>
      </c>
      <c r="I4006" s="42" t="s">
        <v>106</v>
      </c>
      <c r="J4006" s="56" t="s">
        <v>300</v>
      </c>
      <c r="K4006" s="40" t="s">
        <v>16</v>
      </c>
      <c r="L4006" s="26">
        <v>6000</v>
      </c>
      <c r="M4006" s="26">
        <v>88</v>
      </c>
      <c r="N4006" s="25">
        <f t="shared" si="125"/>
        <v>528000</v>
      </c>
      <c r="O4006" s="56"/>
    </row>
    <row r="4007" spans="1:15" hidden="1" x14ac:dyDescent="0.3">
      <c r="A4007" s="26">
        <v>33</v>
      </c>
      <c r="B4007" s="20" t="str">
        <f t="shared" si="124"/>
        <v>AUG</v>
      </c>
      <c r="C4007" s="21">
        <v>46249</v>
      </c>
      <c r="D4007" s="22" t="str">
        <f>IFERROR(INDEX('Kode Outlet dan Target Toko'!$A:$A,MATCH($I4007,'Kode Outlet dan Target Toko'!$E:$E,0)),"")</f>
        <v>GRSM 6</v>
      </c>
      <c r="E4007" s="20" t="str">
        <f>IFERROR(VLOOKUP(I4007,KET!$B:$F,4,0),"")</f>
        <v>MARTIKA MINTOROWATI</v>
      </c>
      <c r="F4007" s="20" t="str">
        <f>IFERROR(VLOOKUP(I4007,KET!$B:$F,5,0),"")</f>
        <v>GMM</v>
      </c>
      <c r="G4007" s="20">
        <f>IFERROR(INDEX('Kode Outlet dan Target Toko'!$C:$C,MATCH($I4007,'Kode Outlet dan Target Toko'!$E:$E,0)),0)</f>
        <v>211030</v>
      </c>
      <c r="H4007" s="20">
        <f>IFERROR(INDEX('Kode Outlet dan Target Toko'!$D:$D,MATCH($I4007,'Kode Outlet dan Target Toko'!$E:$E,0)),0)</f>
        <v>5766116</v>
      </c>
      <c r="I4007" s="42" t="s">
        <v>106</v>
      </c>
      <c r="J4007" s="56" t="s">
        <v>218</v>
      </c>
      <c r="K4007" s="40" t="s">
        <v>15</v>
      </c>
      <c r="L4007" s="26">
        <v>6000</v>
      </c>
      <c r="M4007" s="26">
        <v>44</v>
      </c>
      <c r="N4007" s="25">
        <f t="shared" si="125"/>
        <v>264000</v>
      </c>
      <c r="O4007" s="56"/>
    </row>
    <row r="4008" spans="1:15" hidden="1" x14ac:dyDescent="0.3">
      <c r="A4008" s="26">
        <v>33</v>
      </c>
      <c r="B4008" s="20" t="str">
        <f t="shared" si="124"/>
        <v>AUG</v>
      </c>
      <c r="C4008" s="21">
        <v>46249</v>
      </c>
      <c r="D4008" s="22" t="str">
        <f>IFERROR(INDEX('Kode Outlet dan Target Toko'!$A:$A,MATCH($I4008,'Kode Outlet dan Target Toko'!$E:$E,0)),"")</f>
        <v>GRSM 6</v>
      </c>
      <c r="E4008" s="20" t="str">
        <f>IFERROR(VLOOKUP(I4008,KET!$B:$F,4,0),"")</f>
        <v>MARTIKA MINTOROWATI</v>
      </c>
      <c r="F4008" s="20" t="str">
        <f>IFERROR(VLOOKUP(I4008,KET!$B:$F,5,0),"")</f>
        <v>GMM</v>
      </c>
      <c r="G4008" s="20">
        <f>IFERROR(INDEX('Kode Outlet dan Target Toko'!$C:$C,MATCH($I4008,'Kode Outlet dan Target Toko'!$E:$E,0)),0)</f>
        <v>211030</v>
      </c>
      <c r="H4008" s="20">
        <f>IFERROR(INDEX('Kode Outlet dan Target Toko'!$D:$D,MATCH($I4008,'Kode Outlet dan Target Toko'!$E:$E,0)),0)</f>
        <v>5766116</v>
      </c>
      <c r="I4008" s="42" t="s">
        <v>106</v>
      </c>
      <c r="J4008" s="56" t="s">
        <v>218</v>
      </c>
      <c r="K4008" s="40" t="s">
        <v>14</v>
      </c>
      <c r="L4008" s="26">
        <v>6000</v>
      </c>
      <c r="M4008" s="26">
        <v>30</v>
      </c>
      <c r="N4008" s="25">
        <f t="shared" si="125"/>
        <v>180000</v>
      </c>
      <c r="O4008" s="56"/>
    </row>
    <row r="4009" spans="1:15" hidden="1" x14ac:dyDescent="0.3">
      <c r="A4009" s="26">
        <v>33</v>
      </c>
      <c r="B4009" s="20" t="str">
        <f t="shared" si="124"/>
        <v>AUG</v>
      </c>
      <c r="C4009" s="21">
        <v>46249</v>
      </c>
      <c r="D4009" s="22" t="str">
        <f>IFERROR(INDEX('Kode Outlet dan Target Toko'!$A:$A,MATCH($I4009,'Kode Outlet dan Target Toko'!$E:$E,0)),"")</f>
        <v>GRSM 6</v>
      </c>
      <c r="E4009" s="20" t="str">
        <f>IFERROR(VLOOKUP(I4009,KET!$B:$F,4,0),"")</f>
        <v>MARTIKA MINTOROWATI</v>
      </c>
      <c r="F4009" s="20" t="str">
        <f>IFERROR(VLOOKUP(I4009,KET!$B:$F,5,0),"")</f>
        <v>GMM</v>
      </c>
      <c r="G4009" s="20">
        <f>IFERROR(INDEX('Kode Outlet dan Target Toko'!$C:$C,MATCH($I4009,'Kode Outlet dan Target Toko'!$E:$E,0)),0)</f>
        <v>211030</v>
      </c>
      <c r="H4009" s="20">
        <f>IFERROR(INDEX('Kode Outlet dan Target Toko'!$D:$D,MATCH($I4009,'Kode Outlet dan Target Toko'!$E:$E,0)),0)</f>
        <v>5766116</v>
      </c>
      <c r="I4009" s="42" t="s">
        <v>106</v>
      </c>
      <c r="J4009" s="56" t="s">
        <v>218</v>
      </c>
      <c r="K4009" s="40" t="s">
        <v>13</v>
      </c>
      <c r="L4009" s="26">
        <v>6000</v>
      </c>
      <c r="M4009" s="26">
        <v>57</v>
      </c>
      <c r="N4009" s="25">
        <f t="shared" si="125"/>
        <v>342000</v>
      </c>
      <c r="O4009" s="56"/>
    </row>
    <row r="4010" spans="1:15" hidden="1" x14ac:dyDescent="0.3">
      <c r="A4010" s="26">
        <v>33</v>
      </c>
      <c r="B4010" s="20" t="str">
        <f t="shared" si="124"/>
        <v>AUG</v>
      </c>
      <c r="C4010" s="21">
        <v>46249</v>
      </c>
      <c r="D4010" s="22" t="str">
        <f>IFERROR(INDEX('Kode Outlet dan Target Toko'!$A:$A,MATCH($I4010,'Kode Outlet dan Target Toko'!$E:$E,0)),"")</f>
        <v>GRSM 6</v>
      </c>
      <c r="E4010" s="20" t="str">
        <f>IFERROR(VLOOKUP(I4010,KET!$B:$F,4,0),"")</f>
        <v>MARTIKA MINTOROWATI</v>
      </c>
      <c r="F4010" s="20" t="str">
        <f>IFERROR(VLOOKUP(I4010,KET!$B:$F,5,0),"")</f>
        <v>GMM</v>
      </c>
      <c r="G4010" s="20">
        <f>IFERROR(INDEX('Kode Outlet dan Target Toko'!$C:$C,MATCH($I4010,'Kode Outlet dan Target Toko'!$E:$E,0)),0)</f>
        <v>211030</v>
      </c>
      <c r="H4010" s="20">
        <f>IFERROR(INDEX('Kode Outlet dan Target Toko'!$D:$D,MATCH($I4010,'Kode Outlet dan Target Toko'!$E:$E,0)),0)</f>
        <v>5766116</v>
      </c>
      <c r="I4010" s="42" t="s">
        <v>106</v>
      </c>
      <c r="J4010" s="56" t="s">
        <v>218</v>
      </c>
      <c r="K4010" s="40" t="s">
        <v>16</v>
      </c>
      <c r="L4010" s="26">
        <v>6000</v>
      </c>
      <c r="M4010" s="26">
        <v>88</v>
      </c>
      <c r="N4010" s="25">
        <f t="shared" si="125"/>
        <v>528000</v>
      </c>
      <c r="O4010" s="56"/>
    </row>
    <row r="4011" spans="1:15" hidden="1" x14ac:dyDescent="0.3">
      <c r="A4011" s="26">
        <v>33</v>
      </c>
      <c r="B4011" s="20" t="str">
        <f t="shared" si="124"/>
        <v>AUG</v>
      </c>
      <c r="C4011" s="21">
        <v>46250</v>
      </c>
      <c r="D4011" s="22" t="str">
        <f>IFERROR(INDEX('Kode Outlet dan Target Toko'!$A:$A,MATCH($I4011,'Kode Outlet dan Target Toko'!$E:$E,0)),"")</f>
        <v>GRSM 6</v>
      </c>
      <c r="E4011" s="20" t="str">
        <f>IFERROR(VLOOKUP(I4011,KET!$B:$F,4,0),"")</f>
        <v>MARTIKA MINTOROWATI</v>
      </c>
      <c r="F4011" s="20" t="str">
        <f>IFERROR(VLOOKUP(I4011,KET!$B:$F,5,0),"")</f>
        <v>GMM</v>
      </c>
      <c r="G4011" s="20">
        <f>IFERROR(INDEX('Kode Outlet dan Target Toko'!$C:$C,MATCH($I4011,'Kode Outlet dan Target Toko'!$E:$E,0)),0)</f>
        <v>211030</v>
      </c>
      <c r="H4011" s="20">
        <f>IFERROR(INDEX('Kode Outlet dan Target Toko'!$D:$D,MATCH($I4011,'Kode Outlet dan Target Toko'!$E:$E,0)),0)</f>
        <v>5765035</v>
      </c>
      <c r="I4011" s="42" t="s">
        <v>113</v>
      </c>
      <c r="J4011" s="56" t="s">
        <v>224</v>
      </c>
      <c r="K4011" s="40" t="s">
        <v>15</v>
      </c>
      <c r="L4011" s="26">
        <v>3145</v>
      </c>
      <c r="M4011" s="26">
        <v>51</v>
      </c>
      <c r="N4011" s="25">
        <f t="shared" si="125"/>
        <v>160395</v>
      </c>
      <c r="O4011" s="56"/>
    </row>
    <row r="4012" spans="1:15" hidden="1" x14ac:dyDescent="0.3">
      <c r="A4012" s="26">
        <v>33</v>
      </c>
      <c r="B4012" s="20" t="str">
        <f t="shared" si="124"/>
        <v>AUG</v>
      </c>
      <c r="C4012" s="21">
        <v>46250</v>
      </c>
      <c r="D4012" s="22" t="str">
        <f>IFERROR(INDEX('Kode Outlet dan Target Toko'!$A:$A,MATCH($I4012,'Kode Outlet dan Target Toko'!$E:$E,0)),"")</f>
        <v>GRSM 6</v>
      </c>
      <c r="E4012" s="20" t="str">
        <f>IFERROR(VLOOKUP(I4012,KET!$B:$F,4,0),"")</f>
        <v>MARTIKA MINTOROWATI</v>
      </c>
      <c r="F4012" s="20" t="str">
        <f>IFERROR(VLOOKUP(I4012,KET!$B:$F,5,0),"")</f>
        <v>GMM</v>
      </c>
      <c r="G4012" s="20">
        <f>IFERROR(INDEX('Kode Outlet dan Target Toko'!$C:$C,MATCH($I4012,'Kode Outlet dan Target Toko'!$E:$E,0)),0)</f>
        <v>211030</v>
      </c>
      <c r="H4012" s="20">
        <f>IFERROR(INDEX('Kode Outlet dan Target Toko'!$D:$D,MATCH($I4012,'Kode Outlet dan Target Toko'!$E:$E,0)),0)</f>
        <v>5765035</v>
      </c>
      <c r="I4012" s="42" t="s">
        <v>113</v>
      </c>
      <c r="J4012" s="56" t="s">
        <v>224</v>
      </c>
      <c r="K4012" s="40" t="s">
        <v>14</v>
      </c>
      <c r="L4012" s="26">
        <v>3145</v>
      </c>
      <c r="M4012" s="26">
        <v>39</v>
      </c>
      <c r="N4012" s="25">
        <f t="shared" si="125"/>
        <v>122655</v>
      </c>
      <c r="O4012" s="56"/>
    </row>
    <row r="4013" spans="1:15" hidden="1" x14ac:dyDescent="0.3">
      <c r="A4013" s="26">
        <v>33</v>
      </c>
      <c r="B4013" s="20" t="str">
        <f t="shared" si="124"/>
        <v>AUG</v>
      </c>
      <c r="C4013" s="21">
        <v>46250</v>
      </c>
      <c r="D4013" s="22" t="str">
        <f>IFERROR(INDEX('Kode Outlet dan Target Toko'!$A:$A,MATCH($I4013,'Kode Outlet dan Target Toko'!$E:$E,0)),"")</f>
        <v>GRSM 6</v>
      </c>
      <c r="E4013" s="20" t="str">
        <f>IFERROR(VLOOKUP(I4013,KET!$B:$F,4,0),"")</f>
        <v>MARTIKA MINTOROWATI</v>
      </c>
      <c r="F4013" s="20" t="str">
        <f>IFERROR(VLOOKUP(I4013,KET!$B:$F,5,0),"")</f>
        <v>GMM</v>
      </c>
      <c r="G4013" s="20">
        <f>IFERROR(INDEX('Kode Outlet dan Target Toko'!$C:$C,MATCH($I4013,'Kode Outlet dan Target Toko'!$E:$E,0)),0)</f>
        <v>211030</v>
      </c>
      <c r="H4013" s="20">
        <f>IFERROR(INDEX('Kode Outlet dan Target Toko'!$D:$D,MATCH($I4013,'Kode Outlet dan Target Toko'!$E:$E,0)),0)</f>
        <v>5765035</v>
      </c>
      <c r="I4013" s="42" t="s">
        <v>113</v>
      </c>
      <c r="J4013" s="56" t="s">
        <v>224</v>
      </c>
      <c r="K4013" s="40" t="s">
        <v>13</v>
      </c>
      <c r="L4013" s="26">
        <v>3145</v>
      </c>
      <c r="M4013" s="26">
        <v>8</v>
      </c>
      <c r="N4013" s="25">
        <f t="shared" si="125"/>
        <v>25160</v>
      </c>
      <c r="O4013" s="56"/>
    </row>
    <row r="4014" spans="1:15" hidden="1" x14ac:dyDescent="0.3">
      <c r="A4014" s="26">
        <v>33</v>
      </c>
      <c r="B4014" s="20" t="str">
        <f t="shared" si="124"/>
        <v>AUG</v>
      </c>
      <c r="C4014" s="21">
        <v>46250</v>
      </c>
      <c r="D4014" s="22" t="str">
        <f>IFERROR(INDEX('Kode Outlet dan Target Toko'!$A:$A,MATCH($I4014,'Kode Outlet dan Target Toko'!$E:$E,0)),"")</f>
        <v>GRSM 6</v>
      </c>
      <c r="E4014" s="20" t="str">
        <f>IFERROR(VLOOKUP(I4014,KET!$B:$F,4,0),"")</f>
        <v>MARTIKA MINTOROWATI</v>
      </c>
      <c r="F4014" s="20" t="str">
        <f>IFERROR(VLOOKUP(I4014,KET!$B:$F,5,0),"")</f>
        <v>GMM</v>
      </c>
      <c r="G4014" s="20">
        <f>IFERROR(INDEX('Kode Outlet dan Target Toko'!$C:$C,MATCH($I4014,'Kode Outlet dan Target Toko'!$E:$E,0)),0)</f>
        <v>211030</v>
      </c>
      <c r="H4014" s="20">
        <f>IFERROR(INDEX('Kode Outlet dan Target Toko'!$D:$D,MATCH($I4014,'Kode Outlet dan Target Toko'!$E:$E,0)),0)</f>
        <v>5765035</v>
      </c>
      <c r="I4014" s="42" t="s">
        <v>113</v>
      </c>
      <c r="J4014" s="56" t="s">
        <v>224</v>
      </c>
      <c r="K4014" s="40" t="s">
        <v>16</v>
      </c>
      <c r="L4014" s="26">
        <v>3145</v>
      </c>
      <c r="M4014" s="26">
        <v>92</v>
      </c>
      <c r="N4014" s="25">
        <f t="shared" si="125"/>
        <v>289340</v>
      </c>
      <c r="O4014" s="56">
        <v>160</v>
      </c>
    </row>
    <row r="4015" spans="1:15" hidden="1" x14ac:dyDescent="0.3">
      <c r="A4015" s="26">
        <v>33</v>
      </c>
      <c r="B4015" s="20" t="str">
        <f t="shared" si="124"/>
        <v>AUG</v>
      </c>
      <c r="C4015" s="21">
        <v>46250</v>
      </c>
      <c r="D4015" s="22" t="str">
        <f>IFERROR(INDEX('Kode Outlet dan Target Toko'!$A:$A,MATCH($I4015,'Kode Outlet dan Target Toko'!$E:$E,0)),"")</f>
        <v>GRSM 6</v>
      </c>
      <c r="E4015" s="20" t="str">
        <f>IFERROR(VLOOKUP(I4015,KET!$B:$F,4,0),"")</f>
        <v>MARTIKA MINTOROWATI</v>
      </c>
      <c r="F4015" s="20" t="str">
        <f>IFERROR(VLOOKUP(I4015,KET!$B:$F,5,0),"")</f>
        <v>GMM</v>
      </c>
      <c r="G4015" s="20">
        <f>IFERROR(INDEX('Kode Outlet dan Target Toko'!$C:$C,MATCH($I4015,'Kode Outlet dan Target Toko'!$E:$E,0)),0)</f>
        <v>211181</v>
      </c>
      <c r="H4015" s="20">
        <f>IFERROR(INDEX('Kode Outlet dan Target Toko'!$D:$D,MATCH($I4015,'Kode Outlet dan Target Toko'!$E:$E,0)),0)</f>
        <v>3208670</v>
      </c>
      <c r="I4015" s="42" t="s">
        <v>145</v>
      </c>
      <c r="J4015" s="56" t="s">
        <v>220</v>
      </c>
      <c r="K4015" s="40" t="s">
        <v>15</v>
      </c>
      <c r="L4015" s="26">
        <v>5900</v>
      </c>
      <c r="M4015" s="26">
        <v>50</v>
      </c>
      <c r="N4015" s="25">
        <f t="shared" si="125"/>
        <v>295000</v>
      </c>
      <c r="O4015" s="56"/>
    </row>
    <row r="4016" spans="1:15" hidden="1" x14ac:dyDescent="0.3">
      <c r="A4016" s="26">
        <v>33</v>
      </c>
      <c r="B4016" s="20" t="str">
        <f t="shared" si="124"/>
        <v>AUG</v>
      </c>
      <c r="C4016" s="21">
        <v>46250</v>
      </c>
      <c r="D4016" s="22" t="str">
        <f>IFERROR(INDEX('Kode Outlet dan Target Toko'!$A:$A,MATCH($I4016,'Kode Outlet dan Target Toko'!$E:$E,0)),"")</f>
        <v>GRSM 6</v>
      </c>
      <c r="E4016" s="20" t="str">
        <f>IFERROR(VLOOKUP(I4016,KET!$B:$F,4,0),"")</f>
        <v>MARTIKA MINTOROWATI</v>
      </c>
      <c r="F4016" s="20" t="str">
        <f>IFERROR(VLOOKUP(I4016,KET!$B:$F,5,0),"")</f>
        <v>GMM</v>
      </c>
      <c r="G4016" s="20">
        <f>IFERROR(INDEX('Kode Outlet dan Target Toko'!$C:$C,MATCH($I4016,'Kode Outlet dan Target Toko'!$E:$E,0)),0)</f>
        <v>211181</v>
      </c>
      <c r="H4016" s="20">
        <f>IFERROR(INDEX('Kode Outlet dan Target Toko'!$D:$D,MATCH($I4016,'Kode Outlet dan Target Toko'!$E:$E,0)),0)</f>
        <v>3208670</v>
      </c>
      <c r="I4016" s="42" t="s">
        <v>145</v>
      </c>
      <c r="J4016" s="56" t="s">
        <v>220</v>
      </c>
      <c r="K4016" s="40" t="s">
        <v>14</v>
      </c>
      <c r="L4016" s="26">
        <v>5900</v>
      </c>
      <c r="M4016" s="26">
        <v>49</v>
      </c>
      <c r="N4016" s="25">
        <f t="shared" si="125"/>
        <v>289100</v>
      </c>
      <c r="O4016" s="56"/>
    </row>
    <row r="4017" spans="1:15" hidden="1" x14ac:dyDescent="0.3">
      <c r="A4017" s="26">
        <v>33</v>
      </c>
      <c r="B4017" s="20" t="str">
        <f t="shared" si="124"/>
        <v>AUG</v>
      </c>
      <c r="C4017" s="21">
        <v>46250</v>
      </c>
      <c r="D4017" s="22" t="str">
        <f>IFERROR(INDEX('Kode Outlet dan Target Toko'!$A:$A,MATCH($I4017,'Kode Outlet dan Target Toko'!$E:$E,0)),"")</f>
        <v>GRSM 6</v>
      </c>
      <c r="E4017" s="20" t="str">
        <f>IFERROR(VLOOKUP(I4017,KET!$B:$F,4,0),"")</f>
        <v>MARTIKA MINTOROWATI</v>
      </c>
      <c r="F4017" s="20" t="str">
        <f>IFERROR(VLOOKUP(I4017,KET!$B:$F,5,0),"")</f>
        <v>GMM</v>
      </c>
      <c r="G4017" s="20">
        <f>IFERROR(INDEX('Kode Outlet dan Target Toko'!$C:$C,MATCH($I4017,'Kode Outlet dan Target Toko'!$E:$E,0)),0)</f>
        <v>211181</v>
      </c>
      <c r="H4017" s="20">
        <f>IFERROR(INDEX('Kode Outlet dan Target Toko'!$D:$D,MATCH($I4017,'Kode Outlet dan Target Toko'!$E:$E,0)),0)</f>
        <v>3208670</v>
      </c>
      <c r="I4017" s="42" t="s">
        <v>145</v>
      </c>
      <c r="J4017" s="56" t="s">
        <v>220</v>
      </c>
      <c r="K4017" s="40" t="s">
        <v>13</v>
      </c>
      <c r="L4017" s="26">
        <v>5900</v>
      </c>
      <c r="M4017" s="26">
        <v>120</v>
      </c>
      <c r="N4017" s="25">
        <f t="shared" si="125"/>
        <v>708000</v>
      </c>
      <c r="O4017" s="56"/>
    </row>
    <row r="4018" spans="1:15" hidden="1" x14ac:dyDescent="0.3">
      <c r="A4018" s="26">
        <v>33</v>
      </c>
      <c r="B4018" s="20" t="str">
        <f t="shared" si="124"/>
        <v>AUG</v>
      </c>
      <c r="C4018" s="21">
        <v>46250</v>
      </c>
      <c r="D4018" s="22" t="str">
        <f>IFERROR(INDEX('Kode Outlet dan Target Toko'!$A:$A,MATCH($I4018,'Kode Outlet dan Target Toko'!$E:$E,0)),"")</f>
        <v>GRSM 6</v>
      </c>
      <c r="E4018" s="20" t="str">
        <f>IFERROR(VLOOKUP(I4018,KET!$B:$F,4,0),"")</f>
        <v>MARTIKA MINTOROWATI</v>
      </c>
      <c r="F4018" s="20" t="str">
        <f>IFERROR(VLOOKUP(I4018,KET!$B:$F,5,0),"")</f>
        <v>GMM</v>
      </c>
      <c r="G4018" s="20">
        <f>IFERROR(INDEX('Kode Outlet dan Target Toko'!$C:$C,MATCH($I4018,'Kode Outlet dan Target Toko'!$E:$E,0)),0)</f>
        <v>211181</v>
      </c>
      <c r="H4018" s="20">
        <f>IFERROR(INDEX('Kode Outlet dan Target Toko'!$D:$D,MATCH($I4018,'Kode Outlet dan Target Toko'!$E:$E,0)),0)</f>
        <v>3208670</v>
      </c>
      <c r="I4018" s="42" t="s">
        <v>145</v>
      </c>
      <c r="J4018" s="56" t="s">
        <v>220</v>
      </c>
      <c r="K4018" s="40" t="s">
        <v>16</v>
      </c>
      <c r="L4018" s="26">
        <v>5900</v>
      </c>
      <c r="M4018" s="26">
        <v>64</v>
      </c>
      <c r="N4018" s="25">
        <f t="shared" si="125"/>
        <v>377600</v>
      </c>
      <c r="O4018" s="56">
        <v>160</v>
      </c>
    </row>
    <row r="4019" spans="1:15" hidden="1" x14ac:dyDescent="0.3">
      <c r="A4019" s="26">
        <v>33</v>
      </c>
      <c r="B4019" s="20" t="str">
        <f t="shared" si="124"/>
        <v>AUG</v>
      </c>
      <c r="C4019" s="21">
        <v>46250</v>
      </c>
      <c r="D4019" s="22" t="str">
        <f>IFERROR(INDEX('Kode Outlet dan Target Toko'!$A:$A,MATCH($I4019,'Kode Outlet dan Target Toko'!$E:$E,0)),"")</f>
        <v>GRSM 6</v>
      </c>
      <c r="E4019" s="20" t="str">
        <f>IFERROR(VLOOKUP(I4019,KET!$B:$F,4,0),"")</f>
        <v>MARTIKA MINTOROWATI</v>
      </c>
      <c r="F4019" s="20" t="str">
        <f>IFERROR(VLOOKUP(I4019,KET!$B:$F,5,0),"")</f>
        <v>GMM</v>
      </c>
      <c r="G4019" s="20">
        <f>IFERROR(INDEX('Kode Outlet dan Target Toko'!$C:$C,MATCH($I4019,'Kode Outlet dan Target Toko'!$E:$E,0)),0)</f>
        <v>211181</v>
      </c>
      <c r="H4019" s="20">
        <f>IFERROR(INDEX('Kode Outlet dan Target Toko'!$D:$D,MATCH($I4019,'Kode Outlet dan Target Toko'!$E:$E,0)),0)</f>
        <v>3208670</v>
      </c>
      <c r="I4019" s="42" t="s">
        <v>145</v>
      </c>
      <c r="J4019" s="56" t="s">
        <v>221</v>
      </c>
      <c r="K4019" s="40" t="s">
        <v>15</v>
      </c>
      <c r="L4019" s="26">
        <v>5900</v>
      </c>
      <c r="M4019" s="26">
        <v>50</v>
      </c>
      <c r="N4019" s="25">
        <f t="shared" si="125"/>
        <v>295000</v>
      </c>
      <c r="O4019" s="56"/>
    </row>
    <row r="4020" spans="1:15" hidden="1" x14ac:dyDescent="0.3">
      <c r="A4020" s="26">
        <v>33</v>
      </c>
      <c r="B4020" s="20" t="str">
        <f t="shared" si="124"/>
        <v>AUG</v>
      </c>
      <c r="C4020" s="21">
        <v>46250</v>
      </c>
      <c r="D4020" s="22" t="str">
        <f>IFERROR(INDEX('Kode Outlet dan Target Toko'!$A:$A,MATCH($I4020,'Kode Outlet dan Target Toko'!$E:$E,0)),"")</f>
        <v>GRSM 6</v>
      </c>
      <c r="E4020" s="20" t="str">
        <f>IFERROR(VLOOKUP(I4020,KET!$B:$F,4,0),"")</f>
        <v>MARTIKA MINTOROWATI</v>
      </c>
      <c r="F4020" s="20" t="str">
        <f>IFERROR(VLOOKUP(I4020,KET!$B:$F,5,0),"")</f>
        <v>GMM</v>
      </c>
      <c r="G4020" s="20">
        <f>IFERROR(INDEX('Kode Outlet dan Target Toko'!$C:$C,MATCH($I4020,'Kode Outlet dan Target Toko'!$E:$E,0)),0)</f>
        <v>211181</v>
      </c>
      <c r="H4020" s="20">
        <f>IFERROR(INDEX('Kode Outlet dan Target Toko'!$D:$D,MATCH($I4020,'Kode Outlet dan Target Toko'!$E:$E,0)),0)</f>
        <v>3208670</v>
      </c>
      <c r="I4020" s="42" t="s">
        <v>145</v>
      </c>
      <c r="J4020" s="56" t="s">
        <v>221</v>
      </c>
      <c r="K4020" s="40" t="s">
        <v>14</v>
      </c>
      <c r="L4020" s="26">
        <v>5900</v>
      </c>
      <c r="M4020" s="26">
        <v>49</v>
      </c>
      <c r="N4020" s="25">
        <f t="shared" si="125"/>
        <v>289100</v>
      </c>
      <c r="O4020" s="56"/>
    </row>
    <row r="4021" spans="1:15" hidden="1" x14ac:dyDescent="0.3">
      <c r="A4021" s="26">
        <v>33</v>
      </c>
      <c r="B4021" s="20" t="str">
        <f t="shared" si="124"/>
        <v>AUG</v>
      </c>
      <c r="C4021" s="21">
        <v>46250</v>
      </c>
      <c r="D4021" s="22" t="str">
        <f>IFERROR(INDEX('Kode Outlet dan Target Toko'!$A:$A,MATCH($I4021,'Kode Outlet dan Target Toko'!$E:$E,0)),"")</f>
        <v>GRSM 6</v>
      </c>
      <c r="E4021" s="20" t="str">
        <f>IFERROR(VLOOKUP(I4021,KET!$B:$F,4,0),"")</f>
        <v>MARTIKA MINTOROWATI</v>
      </c>
      <c r="F4021" s="20" t="str">
        <f>IFERROR(VLOOKUP(I4021,KET!$B:$F,5,0),"")</f>
        <v>GMM</v>
      </c>
      <c r="G4021" s="20">
        <f>IFERROR(INDEX('Kode Outlet dan Target Toko'!$C:$C,MATCH($I4021,'Kode Outlet dan Target Toko'!$E:$E,0)),0)</f>
        <v>211181</v>
      </c>
      <c r="H4021" s="20">
        <f>IFERROR(INDEX('Kode Outlet dan Target Toko'!$D:$D,MATCH($I4021,'Kode Outlet dan Target Toko'!$E:$E,0)),0)</f>
        <v>3208670</v>
      </c>
      <c r="I4021" s="42" t="s">
        <v>145</v>
      </c>
      <c r="J4021" s="56" t="s">
        <v>221</v>
      </c>
      <c r="K4021" s="40" t="s">
        <v>13</v>
      </c>
      <c r="L4021" s="26">
        <v>5900</v>
      </c>
      <c r="M4021" s="26">
        <v>120</v>
      </c>
      <c r="N4021" s="25">
        <f t="shared" si="125"/>
        <v>708000</v>
      </c>
      <c r="O4021" s="56"/>
    </row>
    <row r="4022" spans="1:15" hidden="1" x14ac:dyDescent="0.3">
      <c r="A4022" s="26">
        <v>33</v>
      </c>
      <c r="B4022" s="20" t="str">
        <f t="shared" si="124"/>
        <v>AUG</v>
      </c>
      <c r="C4022" s="21">
        <v>46250</v>
      </c>
      <c r="D4022" s="22" t="str">
        <f>IFERROR(INDEX('Kode Outlet dan Target Toko'!$A:$A,MATCH($I4022,'Kode Outlet dan Target Toko'!$E:$E,0)),"")</f>
        <v>GRSM 6</v>
      </c>
      <c r="E4022" s="20" t="str">
        <f>IFERROR(VLOOKUP(I4022,KET!$B:$F,4,0),"")</f>
        <v>MARTIKA MINTOROWATI</v>
      </c>
      <c r="F4022" s="20" t="str">
        <f>IFERROR(VLOOKUP(I4022,KET!$B:$F,5,0),"")</f>
        <v>GMM</v>
      </c>
      <c r="G4022" s="20">
        <f>IFERROR(INDEX('Kode Outlet dan Target Toko'!$C:$C,MATCH($I4022,'Kode Outlet dan Target Toko'!$E:$E,0)),0)</f>
        <v>211181</v>
      </c>
      <c r="H4022" s="20">
        <f>IFERROR(INDEX('Kode Outlet dan Target Toko'!$D:$D,MATCH($I4022,'Kode Outlet dan Target Toko'!$E:$E,0)),0)</f>
        <v>3208670</v>
      </c>
      <c r="I4022" s="42" t="s">
        <v>145</v>
      </c>
      <c r="J4022" s="56" t="s">
        <v>221</v>
      </c>
      <c r="K4022" s="40" t="s">
        <v>16</v>
      </c>
      <c r="L4022" s="26">
        <v>5900</v>
      </c>
      <c r="M4022" s="26">
        <v>64</v>
      </c>
      <c r="N4022" s="25">
        <f t="shared" si="125"/>
        <v>377600</v>
      </c>
      <c r="O4022" s="56">
        <v>160</v>
      </c>
    </row>
    <row r="4023" spans="1:15" hidden="1" x14ac:dyDescent="0.3">
      <c r="A4023" s="26">
        <v>33</v>
      </c>
      <c r="B4023" s="20" t="str">
        <f t="shared" si="124"/>
        <v>AUG</v>
      </c>
      <c r="C4023" s="21">
        <v>46250</v>
      </c>
      <c r="D4023" s="22" t="str">
        <f>IFERROR(INDEX('Kode Outlet dan Target Toko'!$A:$A,MATCH($I4023,'Kode Outlet dan Target Toko'!$E:$E,0)),"")</f>
        <v>GRSM 6</v>
      </c>
      <c r="E4023" s="20" t="str">
        <f>IFERROR(VLOOKUP(I4023,KET!$B:$F,4,0),"")</f>
        <v>MARTIKA MINTOROWATI</v>
      </c>
      <c r="F4023" s="20" t="str">
        <f>IFERROR(VLOOKUP(I4023,KET!$B:$F,5,0),"")</f>
        <v>GMM</v>
      </c>
      <c r="G4023" s="20">
        <f>IFERROR(INDEX('Kode Outlet dan Target Toko'!$C:$C,MATCH($I4023,'Kode Outlet dan Target Toko'!$E:$E,0)),0)</f>
        <v>170208</v>
      </c>
      <c r="H4023" s="20">
        <f>IFERROR(INDEX('Kode Outlet dan Target Toko'!$D:$D,MATCH($I4023,'Kode Outlet dan Target Toko'!$E:$E,0)),0)</f>
        <v>5765011</v>
      </c>
      <c r="I4023" s="42" t="s">
        <v>109</v>
      </c>
      <c r="J4023" s="56" t="s">
        <v>214</v>
      </c>
      <c r="K4023" s="40" t="s">
        <v>15</v>
      </c>
      <c r="L4023" s="26">
        <v>2950</v>
      </c>
      <c r="M4023" s="26">
        <v>2</v>
      </c>
      <c r="N4023" s="25">
        <f t="shared" si="125"/>
        <v>5900</v>
      </c>
      <c r="O4023" s="56"/>
    </row>
    <row r="4024" spans="1:15" hidden="1" x14ac:dyDescent="0.3">
      <c r="A4024" s="26">
        <v>33</v>
      </c>
      <c r="B4024" s="20" t="str">
        <f t="shared" si="124"/>
        <v>AUG</v>
      </c>
      <c r="C4024" s="21">
        <v>46250</v>
      </c>
      <c r="D4024" s="22" t="str">
        <f>IFERROR(INDEX('Kode Outlet dan Target Toko'!$A:$A,MATCH($I4024,'Kode Outlet dan Target Toko'!$E:$E,0)),"")</f>
        <v>GRSM 6</v>
      </c>
      <c r="E4024" s="20" t="str">
        <f>IFERROR(VLOOKUP(I4024,KET!$B:$F,4,0),"")</f>
        <v>MARTIKA MINTOROWATI</v>
      </c>
      <c r="F4024" s="20" t="str">
        <f>IFERROR(VLOOKUP(I4024,KET!$B:$F,5,0),"")</f>
        <v>GMM</v>
      </c>
      <c r="G4024" s="20">
        <f>IFERROR(INDEX('Kode Outlet dan Target Toko'!$C:$C,MATCH($I4024,'Kode Outlet dan Target Toko'!$E:$E,0)),0)</f>
        <v>170208</v>
      </c>
      <c r="H4024" s="20">
        <f>IFERROR(INDEX('Kode Outlet dan Target Toko'!$D:$D,MATCH($I4024,'Kode Outlet dan Target Toko'!$E:$E,0)),0)</f>
        <v>5765011</v>
      </c>
      <c r="I4024" s="42" t="s">
        <v>109</v>
      </c>
      <c r="J4024" s="56" t="s">
        <v>214</v>
      </c>
      <c r="K4024" s="40" t="s">
        <v>14</v>
      </c>
      <c r="L4024" s="26">
        <v>2950</v>
      </c>
      <c r="M4024" s="26">
        <v>72</v>
      </c>
      <c r="N4024" s="25">
        <f t="shared" si="125"/>
        <v>212400</v>
      </c>
      <c r="O4024" s="56"/>
    </row>
    <row r="4025" spans="1:15" hidden="1" x14ac:dyDescent="0.3">
      <c r="A4025" s="26">
        <v>33</v>
      </c>
      <c r="B4025" s="20" t="str">
        <f t="shared" si="124"/>
        <v>AUG</v>
      </c>
      <c r="C4025" s="21">
        <v>46250</v>
      </c>
      <c r="D4025" s="22" t="str">
        <f>IFERROR(INDEX('Kode Outlet dan Target Toko'!$A:$A,MATCH($I4025,'Kode Outlet dan Target Toko'!$E:$E,0)),"")</f>
        <v>GRSM 6</v>
      </c>
      <c r="E4025" s="20" t="str">
        <f>IFERROR(VLOOKUP(I4025,KET!$B:$F,4,0),"")</f>
        <v>MARTIKA MINTOROWATI</v>
      </c>
      <c r="F4025" s="20" t="str">
        <f>IFERROR(VLOOKUP(I4025,KET!$B:$F,5,0),"")</f>
        <v>GMM</v>
      </c>
      <c r="G4025" s="20">
        <f>IFERROR(INDEX('Kode Outlet dan Target Toko'!$C:$C,MATCH($I4025,'Kode Outlet dan Target Toko'!$E:$E,0)),0)</f>
        <v>170208</v>
      </c>
      <c r="H4025" s="20">
        <f>IFERROR(INDEX('Kode Outlet dan Target Toko'!$D:$D,MATCH($I4025,'Kode Outlet dan Target Toko'!$E:$E,0)),0)</f>
        <v>5765011</v>
      </c>
      <c r="I4025" s="42" t="s">
        <v>109</v>
      </c>
      <c r="J4025" s="56" t="s">
        <v>214</v>
      </c>
      <c r="K4025" s="40" t="s">
        <v>13</v>
      </c>
      <c r="L4025" s="26">
        <v>2950</v>
      </c>
      <c r="M4025" s="26">
        <v>29</v>
      </c>
      <c r="N4025" s="25">
        <f t="shared" si="125"/>
        <v>85550</v>
      </c>
      <c r="O4025" s="56"/>
    </row>
    <row r="4026" spans="1:15" hidden="1" x14ac:dyDescent="0.3">
      <c r="A4026" s="26">
        <v>33</v>
      </c>
      <c r="B4026" s="20" t="str">
        <f t="shared" si="124"/>
        <v>AUG</v>
      </c>
      <c r="C4026" s="21">
        <v>46250</v>
      </c>
      <c r="D4026" s="22" t="str">
        <f>IFERROR(INDEX('Kode Outlet dan Target Toko'!$A:$A,MATCH($I4026,'Kode Outlet dan Target Toko'!$E:$E,0)),"")</f>
        <v>GRSM 6</v>
      </c>
      <c r="E4026" s="20" t="str">
        <f>IFERROR(VLOOKUP(I4026,KET!$B:$F,4,0),"")</f>
        <v>MARTIKA MINTOROWATI</v>
      </c>
      <c r="F4026" s="20" t="str">
        <f>IFERROR(VLOOKUP(I4026,KET!$B:$F,5,0),"")</f>
        <v>GMM</v>
      </c>
      <c r="G4026" s="20">
        <f>IFERROR(INDEX('Kode Outlet dan Target Toko'!$C:$C,MATCH($I4026,'Kode Outlet dan Target Toko'!$E:$E,0)),0)</f>
        <v>170208</v>
      </c>
      <c r="H4026" s="20">
        <f>IFERROR(INDEX('Kode Outlet dan Target Toko'!$D:$D,MATCH($I4026,'Kode Outlet dan Target Toko'!$E:$E,0)),0)</f>
        <v>5765011</v>
      </c>
      <c r="I4026" s="42" t="s">
        <v>109</v>
      </c>
      <c r="J4026" s="56" t="s">
        <v>214</v>
      </c>
      <c r="K4026" s="40" t="s">
        <v>16</v>
      </c>
      <c r="L4026" s="26">
        <v>2950</v>
      </c>
      <c r="M4026" s="26">
        <v>105</v>
      </c>
      <c r="N4026" s="25">
        <f t="shared" si="125"/>
        <v>309750</v>
      </c>
      <c r="O4026" s="56">
        <v>160</v>
      </c>
    </row>
    <row r="4027" spans="1:15" hidden="1" x14ac:dyDescent="0.3">
      <c r="A4027" s="26">
        <v>33</v>
      </c>
      <c r="B4027" s="20" t="str">
        <f t="shared" si="124"/>
        <v>AUG</v>
      </c>
      <c r="C4027" s="21">
        <v>46250</v>
      </c>
      <c r="D4027" s="22" t="str">
        <f>IFERROR(INDEX('Kode Outlet dan Target Toko'!$A:$A,MATCH($I4027,'Kode Outlet dan Target Toko'!$E:$E,0)),"")</f>
        <v>GRSM 6</v>
      </c>
      <c r="E4027" s="20" t="str">
        <f>IFERROR(VLOOKUP(I4027,KET!$B:$F,4,0),"")</f>
        <v>MARTIKA MINTOROWATI</v>
      </c>
      <c r="F4027" s="20" t="str">
        <f>IFERROR(VLOOKUP(I4027,KET!$B:$F,5,0),"")</f>
        <v>GMM</v>
      </c>
      <c r="G4027" s="20">
        <f>IFERROR(INDEX('Kode Outlet dan Target Toko'!$C:$C,MATCH($I4027,'Kode Outlet dan Target Toko'!$E:$E,0)),0)</f>
        <v>211030</v>
      </c>
      <c r="H4027" s="20">
        <f>IFERROR(INDEX('Kode Outlet dan Target Toko'!$D:$D,MATCH($I4027,'Kode Outlet dan Target Toko'!$E:$E,0)),0)</f>
        <v>5766116</v>
      </c>
      <c r="I4027" s="42" t="s">
        <v>106</v>
      </c>
      <c r="J4027" s="56" t="s">
        <v>218</v>
      </c>
      <c r="K4027" s="40" t="s">
        <v>15</v>
      </c>
      <c r="L4027" s="26">
        <v>6000</v>
      </c>
      <c r="M4027" s="26">
        <v>37</v>
      </c>
      <c r="N4027" s="25">
        <f t="shared" si="125"/>
        <v>222000</v>
      </c>
      <c r="O4027" s="56"/>
    </row>
    <row r="4028" spans="1:15" hidden="1" x14ac:dyDescent="0.3">
      <c r="A4028" s="26">
        <v>33</v>
      </c>
      <c r="B4028" s="20" t="str">
        <f t="shared" si="124"/>
        <v>AUG</v>
      </c>
      <c r="C4028" s="21">
        <v>46250</v>
      </c>
      <c r="D4028" s="22" t="str">
        <f>IFERROR(INDEX('Kode Outlet dan Target Toko'!$A:$A,MATCH($I4028,'Kode Outlet dan Target Toko'!$E:$E,0)),"")</f>
        <v>GRSM 6</v>
      </c>
      <c r="E4028" s="20" t="str">
        <f>IFERROR(VLOOKUP(I4028,KET!$B:$F,4,0),"")</f>
        <v>MARTIKA MINTOROWATI</v>
      </c>
      <c r="F4028" s="20" t="str">
        <f>IFERROR(VLOOKUP(I4028,KET!$B:$F,5,0),"")</f>
        <v>GMM</v>
      </c>
      <c r="G4028" s="20">
        <f>IFERROR(INDEX('Kode Outlet dan Target Toko'!$C:$C,MATCH($I4028,'Kode Outlet dan Target Toko'!$E:$E,0)),0)</f>
        <v>211030</v>
      </c>
      <c r="H4028" s="20">
        <f>IFERROR(INDEX('Kode Outlet dan Target Toko'!$D:$D,MATCH($I4028,'Kode Outlet dan Target Toko'!$E:$E,0)),0)</f>
        <v>5766116</v>
      </c>
      <c r="I4028" s="42" t="s">
        <v>106</v>
      </c>
      <c r="J4028" s="56" t="s">
        <v>218</v>
      </c>
      <c r="K4028" s="40" t="s">
        <v>14</v>
      </c>
      <c r="L4028" s="26">
        <v>6000</v>
      </c>
      <c r="M4028" s="26">
        <v>20</v>
      </c>
      <c r="N4028" s="25">
        <f t="shared" si="125"/>
        <v>120000</v>
      </c>
      <c r="O4028" s="56"/>
    </row>
    <row r="4029" spans="1:15" hidden="1" x14ac:dyDescent="0.3">
      <c r="A4029" s="26">
        <v>33</v>
      </c>
      <c r="B4029" s="20" t="str">
        <f t="shared" si="124"/>
        <v>AUG</v>
      </c>
      <c r="C4029" s="21">
        <v>46250</v>
      </c>
      <c r="D4029" s="22" t="str">
        <f>IFERROR(INDEX('Kode Outlet dan Target Toko'!$A:$A,MATCH($I4029,'Kode Outlet dan Target Toko'!$E:$E,0)),"")</f>
        <v>GRSM 6</v>
      </c>
      <c r="E4029" s="20" t="str">
        <f>IFERROR(VLOOKUP(I4029,KET!$B:$F,4,0),"")</f>
        <v>MARTIKA MINTOROWATI</v>
      </c>
      <c r="F4029" s="20" t="str">
        <f>IFERROR(VLOOKUP(I4029,KET!$B:$F,5,0),"")</f>
        <v>GMM</v>
      </c>
      <c r="G4029" s="20">
        <f>IFERROR(INDEX('Kode Outlet dan Target Toko'!$C:$C,MATCH($I4029,'Kode Outlet dan Target Toko'!$E:$E,0)),0)</f>
        <v>211030</v>
      </c>
      <c r="H4029" s="20">
        <f>IFERROR(INDEX('Kode Outlet dan Target Toko'!$D:$D,MATCH($I4029,'Kode Outlet dan Target Toko'!$E:$E,0)),0)</f>
        <v>5766116</v>
      </c>
      <c r="I4029" s="42" t="s">
        <v>106</v>
      </c>
      <c r="J4029" s="56" t="s">
        <v>218</v>
      </c>
      <c r="K4029" s="40" t="s">
        <v>13</v>
      </c>
      <c r="L4029" s="26">
        <v>6000</v>
      </c>
      <c r="M4029" s="26">
        <v>34</v>
      </c>
      <c r="N4029" s="25">
        <f t="shared" si="125"/>
        <v>204000</v>
      </c>
      <c r="O4029" s="56"/>
    </row>
    <row r="4030" spans="1:15" hidden="1" x14ac:dyDescent="0.3">
      <c r="A4030" s="26">
        <v>33</v>
      </c>
      <c r="B4030" s="20" t="str">
        <f t="shared" si="124"/>
        <v>AUG</v>
      </c>
      <c r="C4030" s="21">
        <v>46250</v>
      </c>
      <c r="D4030" s="22" t="str">
        <f>IFERROR(INDEX('Kode Outlet dan Target Toko'!$A:$A,MATCH($I4030,'Kode Outlet dan Target Toko'!$E:$E,0)),"")</f>
        <v>GRSM 6</v>
      </c>
      <c r="E4030" s="20" t="str">
        <f>IFERROR(VLOOKUP(I4030,KET!$B:$F,4,0),"")</f>
        <v>MARTIKA MINTOROWATI</v>
      </c>
      <c r="F4030" s="20" t="str">
        <f>IFERROR(VLOOKUP(I4030,KET!$B:$F,5,0),"")</f>
        <v>GMM</v>
      </c>
      <c r="G4030" s="20">
        <f>IFERROR(INDEX('Kode Outlet dan Target Toko'!$C:$C,MATCH($I4030,'Kode Outlet dan Target Toko'!$E:$E,0)),0)</f>
        <v>211030</v>
      </c>
      <c r="H4030" s="20">
        <f>IFERROR(INDEX('Kode Outlet dan Target Toko'!$D:$D,MATCH($I4030,'Kode Outlet dan Target Toko'!$E:$E,0)),0)</f>
        <v>5766116</v>
      </c>
      <c r="I4030" s="42" t="s">
        <v>106</v>
      </c>
      <c r="J4030" s="56" t="s">
        <v>218</v>
      </c>
      <c r="K4030" s="40" t="s">
        <v>16</v>
      </c>
      <c r="L4030" s="26">
        <v>6000</v>
      </c>
      <c r="M4030" s="26">
        <v>43</v>
      </c>
      <c r="N4030" s="25">
        <f t="shared" si="125"/>
        <v>258000</v>
      </c>
      <c r="O4030" s="56"/>
    </row>
    <row r="4031" spans="1:15" hidden="1" x14ac:dyDescent="0.3">
      <c r="A4031" s="26">
        <v>33</v>
      </c>
      <c r="B4031" s="20" t="str">
        <f t="shared" si="124"/>
        <v>AUG</v>
      </c>
      <c r="C4031" s="21">
        <v>46250</v>
      </c>
      <c r="D4031" s="22" t="str">
        <f>IFERROR(INDEX('Kode Outlet dan Target Toko'!$A:$A,MATCH($I4031,'Kode Outlet dan Target Toko'!$E:$E,0)),"")</f>
        <v>GRSM 6</v>
      </c>
      <c r="E4031" s="20" t="str">
        <f>IFERROR(VLOOKUP(I4031,KET!$B:$F,4,0),"")</f>
        <v>MARTIKA MINTOROWATI</v>
      </c>
      <c r="F4031" s="20" t="str">
        <f>IFERROR(VLOOKUP(I4031,KET!$B:$F,5,0),"")</f>
        <v>GMM</v>
      </c>
      <c r="G4031" s="20">
        <f>IFERROR(INDEX('Kode Outlet dan Target Toko'!$C:$C,MATCH($I4031,'Kode Outlet dan Target Toko'!$E:$E,0)),0)</f>
        <v>211161</v>
      </c>
      <c r="H4031" s="20">
        <f>IFERROR(INDEX('Kode Outlet dan Target Toko'!$D:$D,MATCH($I4031,'Kode Outlet dan Target Toko'!$E:$E,0)),0)</f>
        <v>710355</v>
      </c>
      <c r="I4031" s="42" t="s">
        <v>97</v>
      </c>
      <c r="J4031" s="56" t="s">
        <v>223</v>
      </c>
      <c r="K4031" s="40" t="s">
        <v>15</v>
      </c>
      <c r="L4031" s="26">
        <v>6201</v>
      </c>
      <c r="M4031" s="26">
        <v>6</v>
      </c>
      <c r="N4031" s="25">
        <f t="shared" si="125"/>
        <v>37206</v>
      </c>
      <c r="O4031" s="56"/>
    </row>
    <row r="4032" spans="1:15" hidden="1" x14ac:dyDescent="0.3">
      <c r="A4032" s="26">
        <v>33</v>
      </c>
      <c r="B4032" s="20" t="str">
        <f t="shared" si="124"/>
        <v>AUG</v>
      </c>
      <c r="C4032" s="21">
        <v>46250</v>
      </c>
      <c r="D4032" s="22" t="str">
        <f>IFERROR(INDEX('Kode Outlet dan Target Toko'!$A:$A,MATCH($I4032,'Kode Outlet dan Target Toko'!$E:$E,0)),"")</f>
        <v>GRSM 6</v>
      </c>
      <c r="E4032" s="20" t="str">
        <f>IFERROR(VLOOKUP(I4032,KET!$B:$F,4,0),"")</f>
        <v>MARTIKA MINTOROWATI</v>
      </c>
      <c r="F4032" s="20" t="str">
        <f>IFERROR(VLOOKUP(I4032,KET!$B:$F,5,0),"")</f>
        <v>GMM</v>
      </c>
      <c r="G4032" s="20">
        <f>IFERROR(INDEX('Kode Outlet dan Target Toko'!$C:$C,MATCH($I4032,'Kode Outlet dan Target Toko'!$E:$E,0)),0)</f>
        <v>211161</v>
      </c>
      <c r="H4032" s="20">
        <f>IFERROR(INDEX('Kode Outlet dan Target Toko'!$D:$D,MATCH($I4032,'Kode Outlet dan Target Toko'!$E:$E,0)),0)</f>
        <v>710355</v>
      </c>
      <c r="I4032" s="42" t="s">
        <v>97</v>
      </c>
      <c r="J4032" s="56" t="s">
        <v>223</v>
      </c>
      <c r="K4032" s="40" t="s">
        <v>14</v>
      </c>
      <c r="L4032" s="26">
        <v>6201</v>
      </c>
      <c r="M4032" s="26">
        <v>15</v>
      </c>
      <c r="N4032" s="25">
        <f t="shared" si="125"/>
        <v>93015</v>
      </c>
      <c r="O4032" s="56"/>
    </row>
    <row r="4033" spans="1:15" hidden="1" x14ac:dyDescent="0.3">
      <c r="A4033" s="26">
        <v>33</v>
      </c>
      <c r="B4033" s="20" t="str">
        <f t="shared" si="124"/>
        <v>AUG</v>
      </c>
      <c r="C4033" s="21">
        <v>46250</v>
      </c>
      <c r="D4033" s="22" t="str">
        <f>IFERROR(INDEX('Kode Outlet dan Target Toko'!$A:$A,MATCH($I4033,'Kode Outlet dan Target Toko'!$E:$E,0)),"")</f>
        <v>GRSM 6</v>
      </c>
      <c r="E4033" s="20" t="str">
        <f>IFERROR(VLOOKUP(I4033,KET!$B:$F,4,0),"")</f>
        <v>MARTIKA MINTOROWATI</v>
      </c>
      <c r="F4033" s="20" t="str">
        <f>IFERROR(VLOOKUP(I4033,KET!$B:$F,5,0),"")</f>
        <v>GMM</v>
      </c>
      <c r="G4033" s="20">
        <f>IFERROR(INDEX('Kode Outlet dan Target Toko'!$C:$C,MATCH($I4033,'Kode Outlet dan Target Toko'!$E:$E,0)),0)</f>
        <v>211161</v>
      </c>
      <c r="H4033" s="20">
        <f>IFERROR(INDEX('Kode Outlet dan Target Toko'!$D:$D,MATCH($I4033,'Kode Outlet dan Target Toko'!$E:$E,0)),0)</f>
        <v>710355</v>
      </c>
      <c r="I4033" s="42" t="s">
        <v>97</v>
      </c>
      <c r="J4033" s="56" t="s">
        <v>223</v>
      </c>
      <c r="K4033" s="40" t="s">
        <v>13</v>
      </c>
      <c r="L4033" s="26">
        <v>6201</v>
      </c>
      <c r="M4033" s="26">
        <v>9</v>
      </c>
      <c r="N4033" s="25">
        <f t="shared" si="125"/>
        <v>55809</v>
      </c>
      <c r="O4033" s="56"/>
    </row>
    <row r="4034" spans="1:15" hidden="1" x14ac:dyDescent="0.3">
      <c r="A4034" s="26">
        <v>33</v>
      </c>
      <c r="B4034" s="20" t="str">
        <f t="shared" si="124"/>
        <v>AUG</v>
      </c>
      <c r="C4034" s="21">
        <v>46250</v>
      </c>
      <c r="D4034" s="22" t="str">
        <f>IFERROR(INDEX('Kode Outlet dan Target Toko'!$A:$A,MATCH($I4034,'Kode Outlet dan Target Toko'!$E:$E,0)),"")</f>
        <v>GRSM 6</v>
      </c>
      <c r="E4034" s="20" t="str">
        <f>IFERROR(VLOOKUP(I4034,KET!$B:$F,4,0),"")</f>
        <v>MARTIKA MINTOROWATI</v>
      </c>
      <c r="F4034" s="20" t="str">
        <f>IFERROR(VLOOKUP(I4034,KET!$B:$F,5,0),"")</f>
        <v>GMM</v>
      </c>
      <c r="G4034" s="20">
        <f>IFERROR(INDEX('Kode Outlet dan Target Toko'!$C:$C,MATCH($I4034,'Kode Outlet dan Target Toko'!$E:$E,0)),0)</f>
        <v>211161</v>
      </c>
      <c r="H4034" s="20">
        <f>IFERROR(INDEX('Kode Outlet dan Target Toko'!$D:$D,MATCH($I4034,'Kode Outlet dan Target Toko'!$E:$E,0)),0)</f>
        <v>710355</v>
      </c>
      <c r="I4034" s="42" t="s">
        <v>97</v>
      </c>
      <c r="J4034" s="56" t="s">
        <v>223</v>
      </c>
      <c r="K4034" s="40" t="s">
        <v>16</v>
      </c>
      <c r="L4034" s="26">
        <v>6201</v>
      </c>
      <c r="M4034" s="26">
        <v>84</v>
      </c>
      <c r="N4034" s="25">
        <f t="shared" si="125"/>
        <v>520884</v>
      </c>
      <c r="O4034" s="56"/>
    </row>
    <row r="4035" spans="1:15" hidden="1" x14ac:dyDescent="0.3">
      <c r="A4035" s="26">
        <v>33</v>
      </c>
      <c r="B4035" s="20" t="str">
        <f t="shared" si="124"/>
        <v>AUG</v>
      </c>
      <c r="C4035" s="21">
        <v>46248</v>
      </c>
      <c r="D4035" s="22" t="str">
        <f>IFERROR(INDEX('Kode Outlet dan Target Toko'!$A:$A,MATCH($I4035,'Kode Outlet dan Target Toko'!$E:$E,0)),"")</f>
        <v>GRSM 6</v>
      </c>
      <c r="E4035" s="20" t="str">
        <f>IFERROR(VLOOKUP(I4035,KET!$B:$F,4,0),"")</f>
        <v>MARTIKA MINTOROWATI</v>
      </c>
      <c r="F4035" s="20" t="str">
        <f>IFERROR(VLOOKUP(I4035,KET!$B:$F,5,0),"")</f>
        <v>GMM</v>
      </c>
      <c r="G4035" s="20">
        <f>IFERROR(INDEX('Kode Outlet dan Target Toko'!$C:$C,MATCH($I4035,'Kode Outlet dan Target Toko'!$E:$E,0)),0)</f>
        <v>211161</v>
      </c>
      <c r="H4035" s="20">
        <f>IFERROR(INDEX('Kode Outlet dan Target Toko'!$D:$D,MATCH($I4035,'Kode Outlet dan Target Toko'!$E:$E,0)),0)</f>
        <v>7103</v>
      </c>
      <c r="I4035" s="42" t="s">
        <v>91</v>
      </c>
      <c r="J4035" s="56" t="s">
        <v>217</v>
      </c>
      <c r="K4035" s="40" t="s">
        <v>15</v>
      </c>
      <c r="L4035" s="26">
        <v>2850</v>
      </c>
      <c r="M4035" s="26">
        <v>68</v>
      </c>
      <c r="N4035" s="25">
        <f t="shared" si="125"/>
        <v>193800</v>
      </c>
      <c r="O4035" s="56"/>
    </row>
    <row r="4036" spans="1:15" hidden="1" x14ac:dyDescent="0.3">
      <c r="A4036" s="26">
        <v>33</v>
      </c>
      <c r="B4036" s="20" t="str">
        <f t="shared" si="124"/>
        <v>AUG</v>
      </c>
      <c r="C4036" s="21">
        <v>46248</v>
      </c>
      <c r="D4036" s="22" t="str">
        <f>IFERROR(INDEX('Kode Outlet dan Target Toko'!$A:$A,MATCH($I4036,'Kode Outlet dan Target Toko'!$E:$E,0)),"")</f>
        <v>GRSM 6</v>
      </c>
      <c r="E4036" s="20" t="str">
        <f>IFERROR(VLOOKUP(I4036,KET!$B:$F,4,0),"")</f>
        <v>MARTIKA MINTOROWATI</v>
      </c>
      <c r="F4036" s="20" t="str">
        <f>IFERROR(VLOOKUP(I4036,KET!$B:$F,5,0),"")</f>
        <v>GMM</v>
      </c>
      <c r="G4036" s="20">
        <f>IFERROR(INDEX('Kode Outlet dan Target Toko'!$C:$C,MATCH($I4036,'Kode Outlet dan Target Toko'!$E:$E,0)),0)</f>
        <v>211161</v>
      </c>
      <c r="H4036" s="20">
        <f>IFERROR(INDEX('Kode Outlet dan Target Toko'!$D:$D,MATCH($I4036,'Kode Outlet dan Target Toko'!$E:$E,0)),0)</f>
        <v>7103</v>
      </c>
      <c r="I4036" s="42" t="s">
        <v>91</v>
      </c>
      <c r="J4036" s="56" t="s">
        <v>217</v>
      </c>
      <c r="K4036" s="40" t="s">
        <v>14</v>
      </c>
      <c r="L4036" s="26">
        <v>2850</v>
      </c>
      <c r="M4036" s="26">
        <v>159</v>
      </c>
      <c r="N4036" s="25">
        <f t="shared" si="125"/>
        <v>453150</v>
      </c>
      <c r="O4036" s="56"/>
    </row>
    <row r="4037" spans="1:15" hidden="1" x14ac:dyDescent="0.3">
      <c r="A4037" s="26">
        <v>33</v>
      </c>
      <c r="B4037" s="20" t="str">
        <f t="shared" si="124"/>
        <v>AUG</v>
      </c>
      <c r="C4037" s="21">
        <v>46248</v>
      </c>
      <c r="D4037" s="22" t="str">
        <f>IFERROR(INDEX('Kode Outlet dan Target Toko'!$A:$A,MATCH($I4037,'Kode Outlet dan Target Toko'!$E:$E,0)),"")</f>
        <v>GRSM 6</v>
      </c>
      <c r="E4037" s="20" t="str">
        <f>IFERROR(VLOOKUP(I4037,KET!$B:$F,4,0),"")</f>
        <v>MARTIKA MINTOROWATI</v>
      </c>
      <c r="F4037" s="20" t="str">
        <f>IFERROR(VLOOKUP(I4037,KET!$B:$F,5,0),"")</f>
        <v>GMM</v>
      </c>
      <c r="G4037" s="20">
        <f>IFERROR(INDEX('Kode Outlet dan Target Toko'!$C:$C,MATCH($I4037,'Kode Outlet dan Target Toko'!$E:$E,0)),0)</f>
        <v>211161</v>
      </c>
      <c r="H4037" s="20">
        <f>IFERROR(INDEX('Kode Outlet dan Target Toko'!$D:$D,MATCH($I4037,'Kode Outlet dan Target Toko'!$E:$E,0)),0)</f>
        <v>7103</v>
      </c>
      <c r="I4037" s="42" t="s">
        <v>91</v>
      </c>
      <c r="J4037" s="56" t="s">
        <v>217</v>
      </c>
      <c r="K4037" s="40" t="s">
        <v>13</v>
      </c>
      <c r="L4037" s="26">
        <v>2850</v>
      </c>
      <c r="M4037" s="26">
        <v>36</v>
      </c>
      <c r="N4037" s="25">
        <f t="shared" si="125"/>
        <v>102600</v>
      </c>
      <c r="O4037" s="56"/>
    </row>
    <row r="4038" spans="1:15" hidden="1" x14ac:dyDescent="0.3">
      <c r="A4038" s="26">
        <v>33</v>
      </c>
      <c r="B4038" s="20" t="str">
        <f t="shared" si="124"/>
        <v>AUG</v>
      </c>
      <c r="C4038" s="21">
        <v>46248</v>
      </c>
      <c r="D4038" s="22" t="str">
        <f>IFERROR(INDEX('Kode Outlet dan Target Toko'!$A:$A,MATCH($I4038,'Kode Outlet dan Target Toko'!$E:$E,0)),"")</f>
        <v>GRSM 6</v>
      </c>
      <c r="E4038" s="20" t="str">
        <f>IFERROR(VLOOKUP(I4038,KET!$B:$F,4,0),"")</f>
        <v>MARTIKA MINTOROWATI</v>
      </c>
      <c r="F4038" s="20" t="str">
        <f>IFERROR(VLOOKUP(I4038,KET!$B:$F,5,0),"")</f>
        <v>GMM</v>
      </c>
      <c r="G4038" s="20">
        <f>IFERROR(INDEX('Kode Outlet dan Target Toko'!$C:$C,MATCH($I4038,'Kode Outlet dan Target Toko'!$E:$E,0)),0)</f>
        <v>211161</v>
      </c>
      <c r="H4038" s="20">
        <f>IFERROR(INDEX('Kode Outlet dan Target Toko'!$D:$D,MATCH($I4038,'Kode Outlet dan Target Toko'!$E:$E,0)),0)</f>
        <v>7103</v>
      </c>
      <c r="I4038" s="42" t="s">
        <v>91</v>
      </c>
      <c r="J4038" s="56" t="s">
        <v>217</v>
      </c>
      <c r="K4038" s="40" t="s">
        <v>16</v>
      </c>
      <c r="L4038" s="26">
        <v>2850</v>
      </c>
      <c r="M4038" s="26">
        <v>424</v>
      </c>
      <c r="N4038" s="25">
        <f t="shared" si="125"/>
        <v>1208400</v>
      </c>
      <c r="O4038" s="56"/>
    </row>
    <row r="4039" spans="1:15" hidden="1" x14ac:dyDescent="0.3">
      <c r="A4039" s="26">
        <v>33</v>
      </c>
      <c r="B4039" s="20" t="str">
        <f t="shared" ref="B4039:B4102" si="126">IF(C4039="","",UPPER(TEXT(C4039, "MMM")))</f>
        <v>AUG</v>
      </c>
      <c r="C4039" s="21">
        <v>46248</v>
      </c>
      <c r="D4039" s="22" t="str">
        <f>IFERROR(INDEX('Kode Outlet dan Target Toko'!$A:$A,MATCH($I4039,'Kode Outlet dan Target Toko'!$E:$E,0)),"")</f>
        <v>GRSM 6</v>
      </c>
      <c r="E4039" s="20" t="str">
        <f>IFERROR(VLOOKUP(I4039,KET!$B:$F,4,0),"")</f>
        <v>MARTIKA MINTOROWATI</v>
      </c>
      <c r="F4039" s="20" t="str">
        <f>IFERROR(VLOOKUP(I4039,KET!$B:$F,5,0),"")</f>
        <v>GMM</v>
      </c>
      <c r="G4039" s="20">
        <f>IFERROR(INDEX('Kode Outlet dan Target Toko'!$C:$C,MATCH($I4039,'Kode Outlet dan Target Toko'!$E:$E,0)),0)</f>
        <v>211161</v>
      </c>
      <c r="H4039" s="20">
        <f>IFERROR(INDEX('Kode Outlet dan Target Toko'!$D:$D,MATCH($I4039,'Kode Outlet dan Target Toko'!$E:$E,0)),0)</f>
        <v>7103</v>
      </c>
      <c r="I4039" s="42" t="s">
        <v>91</v>
      </c>
      <c r="J4039" s="56" t="s">
        <v>216</v>
      </c>
      <c r="K4039" s="40" t="s">
        <v>15</v>
      </c>
      <c r="L4039" s="26">
        <v>2850</v>
      </c>
      <c r="M4039" s="26">
        <v>68</v>
      </c>
      <c r="N4039" s="25">
        <f t="shared" ref="N4039:N4102" si="127">IFERROR(M4039*L4039,"")</f>
        <v>193800</v>
      </c>
      <c r="O4039" s="56"/>
    </row>
    <row r="4040" spans="1:15" hidden="1" x14ac:dyDescent="0.3">
      <c r="A4040" s="26">
        <v>33</v>
      </c>
      <c r="B4040" s="20" t="str">
        <f t="shared" si="126"/>
        <v>AUG</v>
      </c>
      <c r="C4040" s="21">
        <v>46248</v>
      </c>
      <c r="D4040" s="22" t="str">
        <f>IFERROR(INDEX('Kode Outlet dan Target Toko'!$A:$A,MATCH($I4040,'Kode Outlet dan Target Toko'!$E:$E,0)),"")</f>
        <v>GRSM 6</v>
      </c>
      <c r="E4040" s="20" t="str">
        <f>IFERROR(VLOOKUP(I4040,KET!$B:$F,4,0),"")</f>
        <v>MARTIKA MINTOROWATI</v>
      </c>
      <c r="F4040" s="20" t="str">
        <f>IFERROR(VLOOKUP(I4040,KET!$B:$F,5,0),"")</f>
        <v>GMM</v>
      </c>
      <c r="G4040" s="20">
        <f>IFERROR(INDEX('Kode Outlet dan Target Toko'!$C:$C,MATCH($I4040,'Kode Outlet dan Target Toko'!$E:$E,0)),0)</f>
        <v>211161</v>
      </c>
      <c r="H4040" s="20">
        <f>IFERROR(INDEX('Kode Outlet dan Target Toko'!$D:$D,MATCH($I4040,'Kode Outlet dan Target Toko'!$E:$E,0)),0)</f>
        <v>7103</v>
      </c>
      <c r="I4040" s="42" t="s">
        <v>91</v>
      </c>
      <c r="J4040" s="56" t="s">
        <v>216</v>
      </c>
      <c r="K4040" s="40" t="s">
        <v>14</v>
      </c>
      <c r="L4040" s="26">
        <v>2850</v>
      </c>
      <c r="M4040" s="26">
        <v>159</v>
      </c>
      <c r="N4040" s="25">
        <f t="shared" si="127"/>
        <v>453150</v>
      </c>
      <c r="O4040" s="56"/>
    </row>
    <row r="4041" spans="1:15" hidden="1" x14ac:dyDescent="0.3">
      <c r="A4041" s="26">
        <v>33</v>
      </c>
      <c r="B4041" s="20" t="str">
        <f t="shared" si="126"/>
        <v>AUG</v>
      </c>
      <c r="C4041" s="21">
        <v>46248</v>
      </c>
      <c r="D4041" s="22" t="str">
        <f>IFERROR(INDEX('Kode Outlet dan Target Toko'!$A:$A,MATCH($I4041,'Kode Outlet dan Target Toko'!$E:$E,0)),"")</f>
        <v>GRSM 6</v>
      </c>
      <c r="E4041" s="20" t="str">
        <f>IFERROR(VLOOKUP(I4041,KET!$B:$F,4,0),"")</f>
        <v>MARTIKA MINTOROWATI</v>
      </c>
      <c r="F4041" s="20" t="str">
        <f>IFERROR(VLOOKUP(I4041,KET!$B:$F,5,0),"")</f>
        <v>GMM</v>
      </c>
      <c r="G4041" s="20">
        <f>IFERROR(INDEX('Kode Outlet dan Target Toko'!$C:$C,MATCH($I4041,'Kode Outlet dan Target Toko'!$E:$E,0)),0)</f>
        <v>211161</v>
      </c>
      <c r="H4041" s="20">
        <f>IFERROR(INDEX('Kode Outlet dan Target Toko'!$D:$D,MATCH($I4041,'Kode Outlet dan Target Toko'!$E:$E,0)),0)</f>
        <v>7103</v>
      </c>
      <c r="I4041" s="42" t="s">
        <v>91</v>
      </c>
      <c r="J4041" s="56" t="s">
        <v>216</v>
      </c>
      <c r="K4041" s="40" t="s">
        <v>13</v>
      </c>
      <c r="L4041" s="26">
        <v>2850</v>
      </c>
      <c r="M4041" s="26">
        <v>36</v>
      </c>
      <c r="N4041" s="25">
        <f t="shared" si="127"/>
        <v>102600</v>
      </c>
      <c r="O4041" s="56"/>
    </row>
    <row r="4042" spans="1:15" hidden="1" x14ac:dyDescent="0.3">
      <c r="A4042" s="26">
        <v>33</v>
      </c>
      <c r="B4042" s="20" t="str">
        <f t="shared" si="126"/>
        <v>AUG</v>
      </c>
      <c r="C4042" s="21">
        <v>46248</v>
      </c>
      <c r="D4042" s="22" t="str">
        <f>IFERROR(INDEX('Kode Outlet dan Target Toko'!$A:$A,MATCH($I4042,'Kode Outlet dan Target Toko'!$E:$E,0)),"")</f>
        <v>GRSM 6</v>
      </c>
      <c r="E4042" s="20" t="str">
        <f>IFERROR(VLOOKUP(I4042,KET!$B:$F,4,0),"")</f>
        <v>MARTIKA MINTOROWATI</v>
      </c>
      <c r="F4042" s="20" t="str">
        <f>IFERROR(VLOOKUP(I4042,KET!$B:$F,5,0),"")</f>
        <v>GMM</v>
      </c>
      <c r="G4042" s="20">
        <f>IFERROR(INDEX('Kode Outlet dan Target Toko'!$C:$C,MATCH($I4042,'Kode Outlet dan Target Toko'!$E:$E,0)),0)</f>
        <v>211161</v>
      </c>
      <c r="H4042" s="20">
        <f>IFERROR(INDEX('Kode Outlet dan Target Toko'!$D:$D,MATCH($I4042,'Kode Outlet dan Target Toko'!$E:$E,0)),0)</f>
        <v>7103</v>
      </c>
      <c r="I4042" s="42" t="s">
        <v>91</v>
      </c>
      <c r="J4042" s="56" t="s">
        <v>216</v>
      </c>
      <c r="K4042" s="40" t="s">
        <v>16</v>
      </c>
      <c r="L4042" s="26">
        <v>2850</v>
      </c>
      <c r="M4042" s="26">
        <v>424</v>
      </c>
      <c r="N4042" s="25">
        <f t="shared" si="127"/>
        <v>1208400</v>
      </c>
      <c r="O4042" s="56"/>
    </row>
    <row r="4043" spans="1:15" hidden="1" x14ac:dyDescent="0.3">
      <c r="A4043" s="26">
        <v>33</v>
      </c>
      <c r="B4043" s="20" t="str">
        <f t="shared" si="126"/>
        <v>AUG</v>
      </c>
      <c r="C4043" s="21">
        <v>46250</v>
      </c>
      <c r="D4043" s="22" t="str">
        <f>IFERROR(INDEX('Kode Outlet dan Target Toko'!$A:$A,MATCH($I4043,'Kode Outlet dan Target Toko'!$E:$E,0)),"")</f>
        <v>GRSM 6</v>
      </c>
      <c r="E4043" s="20" t="str">
        <f>IFERROR(VLOOKUP(I4043,KET!$B:$F,4,0),"")</f>
        <v>MARTIKA MINTOROWATI</v>
      </c>
      <c r="F4043" s="20" t="str">
        <f>IFERROR(VLOOKUP(I4043,KET!$B:$F,5,0),"")</f>
        <v>GMM</v>
      </c>
      <c r="G4043" s="20">
        <f>IFERROR(INDEX('Kode Outlet dan Target Toko'!$C:$C,MATCH($I4043,'Kode Outlet dan Target Toko'!$E:$E,0)),0)</f>
        <v>211161</v>
      </c>
      <c r="H4043" s="20">
        <f>IFERROR(INDEX('Kode Outlet dan Target Toko'!$D:$D,MATCH($I4043,'Kode Outlet dan Target Toko'!$E:$E,0)),0)</f>
        <v>7103</v>
      </c>
      <c r="I4043" s="42" t="s">
        <v>91</v>
      </c>
      <c r="J4043" s="56" t="s">
        <v>216</v>
      </c>
      <c r="K4043" s="40" t="s">
        <v>15</v>
      </c>
      <c r="L4043" s="26">
        <v>2850</v>
      </c>
      <c r="M4043" s="26">
        <v>112</v>
      </c>
      <c r="N4043" s="25">
        <f t="shared" si="127"/>
        <v>319200</v>
      </c>
      <c r="O4043" s="56"/>
    </row>
    <row r="4044" spans="1:15" hidden="1" x14ac:dyDescent="0.3">
      <c r="A4044" s="26">
        <v>33</v>
      </c>
      <c r="B4044" s="20" t="str">
        <f t="shared" si="126"/>
        <v>AUG</v>
      </c>
      <c r="C4044" s="21">
        <v>46250</v>
      </c>
      <c r="D4044" s="22" t="str">
        <f>IFERROR(INDEX('Kode Outlet dan Target Toko'!$A:$A,MATCH($I4044,'Kode Outlet dan Target Toko'!$E:$E,0)),"")</f>
        <v>GRSM 6</v>
      </c>
      <c r="E4044" s="20" t="str">
        <f>IFERROR(VLOOKUP(I4044,KET!$B:$F,4,0),"")</f>
        <v>MARTIKA MINTOROWATI</v>
      </c>
      <c r="F4044" s="20" t="str">
        <f>IFERROR(VLOOKUP(I4044,KET!$B:$F,5,0),"")</f>
        <v>GMM</v>
      </c>
      <c r="G4044" s="20">
        <f>IFERROR(INDEX('Kode Outlet dan Target Toko'!$C:$C,MATCH($I4044,'Kode Outlet dan Target Toko'!$E:$E,0)),0)</f>
        <v>211161</v>
      </c>
      <c r="H4044" s="20">
        <f>IFERROR(INDEX('Kode Outlet dan Target Toko'!$D:$D,MATCH($I4044,'Kode Outlet dan Target Toko'!$E:$E,0)),0)</f>
        <v>7103</v>
      </c>
      <c r="I4044" s="42" t="s">
        <v>91</v>
      </c>
      <c r="J4044" s="56" t="s">
        <v>216</v>
      </c>
      <c r="K4044" s="40" t="s">
        <v>14</v>
      </c>
      <c r="L4044" s="26">
        <v>2850</v>
      </c>
      <c r="M4044" s="26">
        <v>44</v>
      </c>
      <c r="N4044" s="25">
        <f t="shared" si="127"/>
        <v>125400</v>
      </c>
      <c r="O4044" s="56"/>
    </row>
    <row r="4045" spans="1:15" hidden="1" x14ac:dyDescent="0.3">
      <c r="A4045" s="26">
        <v>33</v>
      </c>
      <c r="B4045" s="20" t="str">
        <f t="shared" si="126"/>
        <v>AUG</v>
      </c>
      <c r="C4045" s="21">
        <v>46250</v>
      </c>
      <c r="D4045" s="22" t="str">
        <f>IFERROR(INDEX('Kode Outlet dan Target Toko'!$A:$A,MATCH($I4045,'Kode Outlet dan Target Toko'!$E:$E,0)),"")</f>
        <v>GRSM 6</v>
      </c>
      <c r="E4045" s="20" t="str">
        <f>IFERROR(VLOOKUP(I4045,KET!$B:$F,4,0),"")</f>
        <v>MARTIKA MINTOROWATI</v>
      </c>
      <c r="F4045" s="20" t="str">
        <f>IFERROR(VLOOKUP(I4045,KET!$B:$F,5,0),"")</f>
        <v>GMM</v>
      </c>
      <c r="G4045" s="20">
        <f>IFERROR(INDEX('Kode Outlet dan Target Toko'!$C:$C,MATCH($I4045,'Kode Outlet dan Target Toko'!$E:$E,0)),0)</f>
        <v>211161</v>
      </c>
      <c r="H4045" s="20">
        <f>IFERROR(INDEX('Kode Outlet dan Target Toko'!$D:$D,MATCH($I4045,'Kode Outlet dan Target Toko'!$E:$E,0)),0)</f>
        <v>7103</v>
      </c>
      <c r="I4045" s="42" t="s">
        <v>91</v>
      </c>
      <c r="J4045" s="56" t="s">
        <v>216</v>
      </c>
      <c r="K4045" s="40" t="s">
        <v>13</v>
      </c>
      <c r="L4045" s="26">
        <v>2850</v>
      </c>
      <c r="M4045" s="26">
        <v>30</v>
      </c>
      <c r="N4045" s="25">
        <f t="shared" si="127"/>
        <v>85500</v>
      </c>
      <c r="O4045" s="56"/>
    </row>
    <row r="4046" spans="1:15" hidden="1" x14ac:dyDescent="0.3">
      <c r="A4046" s="26">
        <v>33</v>
      </c>
      <c r="B4046" s="20" t="str">
        <f t="shared" si="126"/>
        <v>AUG</v>
      </c>
      <c r="C4046" s="21">
        <v>46250</v>
      </c>
      <c r="D4046" s="22" t="str">
        <f>IFERROR(INDEX('Kode Outlet dan Target Toko'!$A:$A,MATCH($I4046,'Kode Outlet dan Target Toko'!$E:$E,0)),"")</f>
        <v>GRSM 6</v>
      </c>
      <c r="E4046" s="20" t="str">
        <f>IFERROR(VLOOKUP(I4046,KET!$B:$F,4,0),"")</f>
        <v>MARTIKA MINTOROWATI</v>
      </c>
      <c r="F4046" s="20" t="str">
        <f>IFERROR(VLOOKUP(I4046,KET!$B:$F,5,0),"")</f>
        <v>GMM</v>
      </c>
      <c r="G4046" s="20">
        <f>IFERROR(INDEX('Kode Outlet dan Target Toko'!$C:$C,MATCH($I4046,'Kode Outlet dan Target Toko'!$E:$E,0)),0)</f>
        <v>211161</v>
      </c>
      <c r="H4046" s="20">
        <f>IFERROR(INDEX('Kode Outlet dan Target Toko'!$D:$D,MATCH($I4046,'Kode Outlet dan Target Toko'!$E:$E,0)),0)</f>
        <v>7103</v>
      </c>
      <c r="I4046" s="42" t="s">
        <v>91</v>
      </c>
      <c r="J4046" s="56" t="s">
        <v>216</v>
      </c>
      <c r="K4046" s="40" t="s">
        <v>16</v>
      </c>
      <c r="L4046" s="26">
        <v>2850</v>
      </c>
      <c r="M4046" s="26">
        <v>342</v>
      </c>
      <c r="N4046" s="25">
        <f t="shared" si="127"/>
        <v>974700</v>
      </c>
      <c r="O4046" s="56"/>
    </row>
    <row r="4047" spans="1:15" hidden="1" x14ac:dyDescent="0.3">
      <c r="A4047" s="26">
        <v>33</v>
      </c>
      <c r="B4047" s="20" t="str">
        <f t="shared" si="126"/>
        <v>AUG</v>
      </c>
      <c r="C4047" s="21">
        <v>46250</v>
      </c>
      <c r="D4047" s="22" t="str">
        <f>IFERROR(INDEX('Kode Outlet dan Target Toko'!$A:$A,MATCH($I4047,'Kode Outlet dan Target Toko'!$E:$E,0)),"")</f>
        <v>GRSM 6</v>
      </c>
      <c r="E4047" s="20" t="str">
        <f>IFERROR(VLOOKUP(I4047,KET!$B:$F,4,0),"")</f>
        <v>MARTIKA MINTOROWATI</v>
      </c>
      <c r="F4047" s="20" t="str">
        <f>IFERROR(VLOOKUP(I4047,KET!$B:$F,5,0),"")</f>
        <v>GMM</v>
      </c>
      <c r="G4047" s="20">
        <f>IFERROR(INDEX('Kode Outlet dan Target Toko'!$C:$C,MATCH($I4047,'Kode Outlet dan Target Toko'!$E:$E,0)),0)</f>
        <v>211161</v>
      </c>
      <c r="H4047" s="20">
        <f>IFERROR(INDEX('Kode Outlet dan Target Toko'!$D:$D,MATCH($I4047,'Kode Outlet dan Target Toko'!$E:$E,0)),0)</f>
        <v>7103</v>
      </c>
      <c r="I4047" s="42" t="s">
        <v>91</v>
      </c>
      <c r="J4047" s="56" t="s">
        <v>217</v>
      </c>
      <c r="K4047" s="40" t="s">
        <v>15</v>
      </c>
      <c r="L4047" s="26">
        <v>2850</v>
      </c>
      <c r="M4047" s="26">
        <v>112</v>
      </c>
      <c r="N4047" s="25">
        <f t="shared" si="127"/>
        <v>319200</v>
      </c>
      <c r="O4047" s="56"/>
    </row>
    <row r="4048" spans="1:15" hidden="1" x14ac:dyDescent="0.3">
      <c r="A4048" s="26">
        <v>33</v>
      </c>
      <c r="B4048" s="20" t="str">
        <f t="shared" si="126"/>
        <v>AUG</v>
      </c>
      <c r="C4048" s="21">
        <v>46250</v>
      </c>
      <c r="D4048" s="22" t="str">
        <f>IFERROR(INDEX('Kode Outlet dan Target Toko'!$A:$A,MATCH($I4048,'Kode Outlet dan Target Toko'!$E:$E,0)),"")</f>
        <v>GRSM 6</v>
      </c>
      <c r="E4048" s="20" t="str">
        <f>IFERROR(VLOOKUP(I4048,KET!$B:$F,4,0),"")</f>
        <v>MARTIKA MINTOROWATI</v>
      </c>
      <c r="F4048" s="20" t="str">
        <f>IFERROR(VLOOKUP(I4048,KET!$B:$F,5,0),"")</f>
        <v>GMM</v>
      </c>
      <c r="G4048" s="20">
        <f>IFERROR(INDEX('Kode Outlet dan Target Toko'!$C:$C,MATCH($I4048,'Kode Outlet dan Target Toko'!$E:$E,0)),0)</f>
        <v>211161</v>
      </c>
      <c r="H4048" s="20">
        <f>IFERROR(INDEX('Kode Outlet dan Target Toko'!$D:$D,MATCH($I4048,'Kode Outlet dan Target Toko'!$E:$E,0)),0)</f>
        <v>7103</v>
      </c>
      <c r="I4048" s="42" t="s">
        <v>91</v>
      </c>
      <c r="J4048" s="56" t="s">
        <v>217</v>
      </c>
      <c r="K4048" s="40" t="s">
        <v>14</v>
      </c>
      <c r="L4048" s="26">
        <v>2850</v>
      </c>
      <c r="M4048" s="26">
        <v>44</v>
      </c>
      <c r="N4048" s="25">
        <f t="shared" si="127"/>
        <v>125400</v>
      </c>
      <c r="O4048" s="56"/>
    </row>
    <row r="4049" spans="1:15" hidden="1" x14ac:dyDescent="0.3">
      <c r="A4049" s="26">
        <v>33</v>
      </c>
      <c r="B4049" s="20" t="str">
        <f t="shared" si="126"/>
        <v>AUG</v>
      </c>
      <c r="C4049" s="21">
        <v>46250</v>
      </c>
      <c r="D4049" s="22" t="str">
        <f>IFERROR(INDEX('Kode Outlet dan Target Toko'!$A:$A,MATCH($I4049,'Kode Outlet dan Target Toko'!$E:$E,0)),"")</f>
        <v>GRSM 6</v>
      </c>
      <c r="E4049" s="20" t="str">
        <f>IFERROR(VLOOKUP(I4049,KET!$B:$F,4,0),"")</f>
        <v>MARTIKA MINTOROWATI</v>
      </c>
      <c r="F4049" s="20" t="str">
        <f>IFERROR(VLOOKUP(I4049,KET!$B:$F,5,0),"")</f>
        <v>GMM</v>
      </c>
      <c r="G4049" s="20">
        <f>IFERROR(INDEX('Kode Outlet dan Target Toko'!$C:$C,MATCH($I4049,'Kode Outlet dan Target Toko'!$E:$E,0)),0)</f>
        <v>211161</v>
      </c>
      <c r="H4049" s="20">
        <f>IFERROR(INDEX('Kode Outlet dan Target Toko'!$D:$D,MATCH($I4049,'Kode Outlet dan Target Toko'!$E:$E,0)),0)</f>
        <v>7103</v>
      </c>
      <c r="I4049" s="42" t="s">
        <v>91</v>
      </c>
      <c r="J4049" s="56" t="s">
        <v>217</v>
      </c>
      <c r="K4049" s="40" t="s">
        <v>13</v>
      </c>
      <c r="L4049" s="26">
        <v>2850</v>
      </c>
      <c r="M4049" s="26">
        <v>30</v>
      </c>
      <c r="N4049" s="25">
        <f t="shared" si="127"/>
        <v>85500</v>
      </c>
      <c r="O4049" s="56"/>
    </row>
    <row r="4050" spans="1:15" hidden="1" x14ac:dyDescent="0.3">
      <c r="A4050" s="26">
        <v>33</v>
      </c>
      <c r="B4050" s="20" t="str">
        <f t="shared" si="126"/>
        <v>AUG</v>
      </c>
      <c r="C4050" s="21">
        <v>46250</v>
      </c>
      <c r="D4050" s="22" t="str">
        <f>IFERROR(INDEX('Kode Outlet dan Target Toko'!$A:$A,MATCH($I4050,'Kode Outlet dan Target Toko'!$E:$E,0)),"")</f>
        <v>GRSM 6</v>
      </c>
      <c r="E4050" s="20" t="str">
        <f>IFERROR(VLOOKUP(I4050,KET!$B:$F,4,0),"")</f>
        <v>MARTIKA MINTOROWATI</v>
      </c>
      <c r="F4050" s="20" t="str">
        <f>IFERROR(VLOOKUP(I4050,KET!$B:$F,5,0),"")</f>
        <v>GMM</v>
      </c>
      <c r="G4050" s="20">
        <f>IFERROR(INDEX('Kode Outlet dan Target Toko'!$C:$C,MATCH($I4050,'Kode Outlet dan Target Toko'!$E:$E,0)),0)</f>
        <v>211161</v>
      </c>
      <c r="H4050" s="20">
        <f>IFERROR(INDEX('Kode Outlet dan Target Toko'!$D:$D,MATCH($I4050,'Kode Outlet dan Target Toko'!$E:$E,0)),0)</f>
        <v>7103</v>
      </c>
      <c r="I4050" s="42" t="s">
        <v>91</v>
      </c>
      <c r="J4050" s="56" t="s">
        <v>217</v>
      </c>
      <c r="K4050" s="40" t="s">
        <v>16</v>
      </c>
      <c r="L4050" s="26">
        <v>2850</v>
      </c>
      <c r="M4050" s="26">
        <v>342</v>
      </c>
      <c r="N4050" s="25">
        <f t="shared" si="127"/>
        <v>974700</v>
      </c>
      <c r="O4050" s="56"/>
    </row>
    <row r="4051" spans="1:15" hidden="1" x14ac:dyDescent="0.3">
      <c r="A4051" s="26">
        <v>33</v>
      </c>
      <c r="B4051" s="20" t="str">
        <f t="shared" si="126"/>
        <v>AUG</v>
      </c>
      <c r="C4051" s="21">
        <v>46248</v>
      </c>
      <c r="D4051" s="22" t="str">
        <f>IFERROR(INDEX('Kode Outlet dan Target Toko'!$A:$A,MATCH($I4051,'Kode Outlet dan Target Toko'!$E:$E,0)),"")</f>
        <v>GRSM 6</v>
      </c>
      <c r="E4051" s="20" t="str">
        <f>IFERROR(VLOOKUP(I4051,KET!$B:$F,4,0),"")</f>
        <v>MARTIKA MINTOROWATI</v>
      </c>
      <c r="F4051" s="20" t="str">
        <f>IFERROR(VLOOKUP(I4051,KET!$B:$F,5,0),"")</f>
        <v>GMM</v>
      </c>
      <c r="G4051" s="20">
        <f>IFERROR(INDEX('Kode Outlet dan Target Toko'!$C:$C,MATCH($I4051,'Kode Outlet dan Target Toko'!$E:$E,0)),0)</f>
        <v>211181</v>
      </c>
      <c r="H4051" s="20">
        <f>IFERROR(INDEX('Kode Outlet dan Target Toko'!$D:$D,MATCH($I4051,'Kode Outlet dan Target Toko'!$E:$E,0)),0)</f>
        <v>3208670</v>
      </c>
      <c r="I4051" s="42" t="s">
        <v>145</v>
      </c>
      <c r="J4051" s="56" t="s">
        <v>220</v>
      </c>
      <c r="K4051" s="40" t="s">
        <v>15</v>
      </c>
      <c r="L4051" s="26">
        <v>5928</v>
      </c>
      <c r="M4051" s="26">
        <v>45</v>
      </c>
      <c r="N4051" s="25">
        <f t="shared" si="127"/>
        <v>266760</v>
      </c>
      <c r="O4051" s="56"/>
    </row>
    <row r="4052" spans="1:15" hidden="1" x14ac:dyDescent="0.3">
      <c r="A4052" s="26">
        <v>33</v>
      </c>
      <c r="B4052" s="20" t="str">
        <f t="shared" si="126"/>
        <v>AUG</v>
      </c>
      <c r="C4052" s="21">
        <v>46248</v>
      </c>
      <c r="D4052" s="22" t="str">
        <f>IFERROR(INDEX('Kode Outlet dan Target Toko'!$A:$A,MATCH($I4052,'Kode Outlet dan Target Toko'!$E:$E,0)),"")</f>
        <v>GRSM 6</v>
      </c>
      <c r="E4052" s="20" t="str">
        <f>IFERROR(VLOOKUP(I4052,KET!$B:$F,4,0),"")</f>
        <v>MARTIKA MINTOROWATI</v>
      </c>
      <c r="F4052" s="20" t="str">
        <f>IFERROR(VLOOKUP(I4052,KET!$B:$F,5,0),"")</f>
        <v>GMM</v>
      </c>
      <c r="G4052" s="20">
        <f>IFERROR(INDEX('Kode Outlet dan Target Toko'!$C:$C,MATCH($I4052,'Kode Outlet dan Target Toko'!$E:$E,0)),0)</f>
        <v>211181</v>
      </c>
      <c r="H4052" s="20">
        <f>IFERROR(INDEX('Kode Outlet dan Target Toko'!$D:$D,MATCH($I4052,'Kode Outlet dan Target Toko'!$E:$E,0)),0)</f>
        <v>3208670</v>
      </c>
      <c r="I4052" s="42" t="s">
        <v>145</v>
      </c>
      <c r="J4052" s="56" t="s">
        <v>220</v>
      </c>
      <c r="K4052" s="40" t="s">
        <v>14</v>
      </c>
      <c r="L4052" s="26">
        <v>5928</v>
      </c>
      <c r="M4052" s="26">
        <v>49</v>
      </c>
      <c r="N4052" s="25">
        <f t="shared" si="127"/>
        <v>290472</v>
      </c>
      <c r="O4052" s="56"/>
    </row>
    <row r="4053" spans="1:15" hidden="1" x14ac:dyDescent="0.3">
      <c r="A4053" s="26">
        <v>33</v>
      </c>
      <c r="B4053" s="20" t="str">
        <f t="shared" si="126"/>
        <v>AUG</v>
      </c>
      <c r="C4053" s="21">
        <v>46248</v>
      </c>
      <c r="D4053" s="22" t="str">
        <f>IFERROR(INDEX('Kode Outlet dan Target Toko'!$A:$A,MATCH($I4053,'Kode Outlet dan Target Toko'!$E:$E,0)),"")</f>
        <v>GRSM 6</v>
      </c>
      <c r="E4053" s="20" t="str">
        <f>IFERROR(VLOOKUP(I4053,KET!$B:$F,4,0),"")</f>
        <v>MARTIKA MINTOROWATI</v>
      </c>
      <c r="F4053" s="20" t="str">
        <f>IFERROR(VLOOKUP(I4053,KET!$B:$F,5,0),"")</f>
        <v>GMM</v>
      </c>
      <c r="G4053" s="20">
        <f>IFERROR(INDEX('Kode Outlet dan Target Toko'!$C:$C,MATCH($I4053,'Kode Outlet dan Target Toko'!$E:$E,0)),0)</f>
        <v>211181</v>
      </c>
      <c r="H4053" s="20">
        <f>IFERROR(INDEX('Kode Outlet dan Target Toko'!$D:$D,MATCH($I4053,'Kode Outlet dan Target Toko'!$E:$E,0)),0)</f>
        <v>3208670</v>
      </c>
      <c r="I4053" s="42" t="s">
        <v>145</v>
      </c>
      <c r="J4053" s="56" t="s">
        <v>220</v>
      </c>
      <c r="K4053" s="40" t="s">
        <v>13</v>
      </c>
      <c r="L4053" s="26">
        <v>5928</v>
      </c>
      <c r="M4053" s="26">
        <v>42</v>
      </c>
      <c r="N4053" s="25">
        <f t="shared" si="127"/>
        <v>248976</v>
      </c>
      <c r="O4053" s="56"/>
    </row>
    <row r="4054" spans="1:15" hidden="1" x14ac:dyDescent="0.3">
      <c r="A4054" s="26">
        <v>33</v>
      </c>
      <c r="B4054" s="20" t="str">
        <f t="shared" si="126"/>
        <v>AUG</v>
      </c>
      <c r="C4054" s="21">
        <v>46248</v>
      </c>
      <c r="D4054" s="22" t="str">
        <f>IFERROR(INDEX('Kode Outlet dan Target Toko'!$A:$A,MATCH($I4054,'Kode Outlet dan Target Toko'!$E:$E,0)),"")</f>
        <v>GRSM 6</v>
      </c>
      <c r="E4054" s="20" t="str">
        <f>IFERROR(VLOOKUP(I4054,KET!$B:$F,4,0),"")</f>
        <v>MARTIKA MINTOROWATI</v>
      </c>
      <c r="F4054" s="20" t="str">
        <f>IFERROR(VLOOKUP(I4054,KET!$B:$F,5,0),"")</f>
        <v>GMM</v>
      </c>
      <c r="G4054" s="20">
        <f>IFERROR(INDEX('Kode Outlet dan Target Toko'!$C:$C,MATCH($I4054,'Kode Outlet dan Target Toko'!$E:$E,0)),0)</f>
        <v>211181</v>
      </c>
      <c r="H4054" s="20">
        <f>IFERROR(INDEX('Kode Outlet dan Target Toko'!$D:$D,MATCH($I4054,'Kode Outlet dan Target Toko'!$E:$E,0)),0)</f>
        <v>3208670</v>
      </c>
      <c r="I4054" s="42" t="s">
        <v>145</v>
      </c>
      <c r="J4054" s="56" t="s">
        <v>220</v>
      </c>
      <c r="K4054" s="40" t="s">
        <v>16</v>
      </c>
      <c r="L4054" s="26">
        <v>5928</v>
      </c>
      <c r="M4054" s="26">
        <v>73</v>
      </c>
      <c r="N4054" s="25">
        <f t="shared" si="127"/>
        <v>432744</v>
      </c>
      <c r="O4054" s="56">
        <v>160</v>
      </c>
    </row>
    <row r="4055" spans="1:15" hidden="1" x14ac:dyDescent="0.3">
      <c r="A4055" s="26">
        <v>33</v>
      </c>
      <c r="B4055" s="20" t="str">
        <f t="shared" si="126"/>
        <v>AUG</v>
      </c>
      <c r="C4055" s="21">
        <v>46248</v>
      </c>
      <c r="D4055" s="22" t="str">
        <f>IFERROR(INDEX('Kode Outlet dan Target Toko'!$A:$A,MATCH($I4055,'Kode Outlet dan Target Toko'!$E:$E,0)),"")</f>
        <v>GRSM 6</v>
      </c>
      <c r="E4055" s="20" t="str">
        <f>IFERROR(VLOOKUP(I4055,KET!$B:$F,4,0),"")</f>
        <v>MARTIKA MINTOROWATI</v>
      </c>
      <c r="F4055" s="20" t="str">
        <f>IFERROR(VLOOKUP(I4055,KET!$B:$F,5,0),"")</f>
        <v>GMM</v>
      </c>
      <c r="G4055" s="20">
        <f>IFERROR(INDEX('Kode Outlet dan Target Toko'!$C:$C,MATCH($I4055,'Kode Outlet dan Target Toko'!$E:$E,0)),0)</f>
        <v>211181</v>
      </c>
      <c r="H4055" s="20">
        <f>IFERROR(INDEX('Kode Outlet dan Target Toko'!$D:$D,MATCH($I4055,'Kode Outlet dan Target Toko'!$E:$E,0)),0)</f>
        <v>3208670</v>
      </c>
      <c r="I4055" s="42" t="s">
        <v>145</v>
      </c>
      <c r="J4055" s="56" t="s">
        <v>221</v>
      </c>
      <c r="K4055" s="40" t="s">
        <v>15</v>
      </c>
      <c r="L4055" s="26">
        <v>5928</v>
      </c>
      <c r="M4055" s="26">
        <v>45</v>
      </c>
      <c r="N4055" s="25">
        <f t="shared" si="127"/>
        <v>266760</v>
      </c>
      <c r="O4055" s="56"/>
    </row>
    <row r="4056" spans="1:15" hidden="1" x14ac:dyDescent="0.3">
      <c r="A4056" s="26">
        <v>33</v>
      </c>
      <c r="B4056" s="20" t="str">
        <f t="shared" si="126"/>
        <v>AUG</v>
      </c>
      <c r="C4056" s="21">
        <v>46248</v>
      </c>
      <c r="D4056" s="22" t="str">
        <f>IFERROR(INDEX('Kode Outlet dan Target Toko'!$A:$A,MATCH($I4056,'Kode Outlet dan Target Toko'!$E:$E,0)),"")</f>
        <v>GRSM 6</v>
      </c>
      <c r="E4056" s="20" t="str">
        <f>IFERROR(VLOOKUP(I4056,KET!$B:$F,4,0),"")</f>
        <v>MARTIKA MINTOROWATI</v>
      </c>
      <c r="F4056" s="20" t="str">
        <f>IFERROR(VLOOKUP(I4056,KET!$B:$F,5,0),"")</f>
        <v>GMM</v>
      </c>
      <c r="G4056" s="20">
        <f>IFERROR(INDEX('Kode Outlet dan Target Toko'!$C:$C,MATCH($I4056,'Kode Outlet dan Target Toko'!$E:$E,0)),0)</f>
        <v>211181</v>
      </c>
      <c r="H4056" s="20">
        <f>IFERROR(INDEX('Kode Outlet dan Target Toko'!$D:$D,MATCH($I4056,'Kode Outlet dan Target Toko'!$E:$E,0)),0)</f>
        <v>3208670</v>
      </c>
      <c r="I4056" s="42" t="s">
        <v>145</v>
      </c>
      <c r="J4056" s="56" t="s">
        <v>221</v>
      </c>
      <c r="K4056" s="40" t="s">
        <v>14</v>
      </c>
      <c r="L4056" s="26">
        <v>5928</v>
      </c>
      <c r="M4056" s="26">
        <v>49</v>
      </c>
      <c r="N4056" s="25">
        <f t="shared" si="127"/>
        <v>290472</v>
      </c>
      <c r="O4056" s="56"/>
    </row>
    <row r="4057" spans="1:15" hidden="1" x14ac:dyDescent="0.3">
      <c r="A4057" s="26">
        <v>33</v>
      </c>
      <c r="B4057" s="20" t="str">
        <f t="shared" si="126"/>
        <v>AUG</v>
      </c>
      <c r="C4057" s="21">
        <v>46248</v>
      </c>
      <c r="D4057" s="22" t="str">
        <f>IFERROR(INDEX('Kode Outlet dan Target Toko'!$A:$A,MATCH($I4057,'Kode Outlet dan Target Toko'!$E:$E,0)),"")</f>
        <v>GRSM 6</v>
      </c>
      <c r="E4057" s="20" t="str">
        <f>IFERROR(VLOOKUP(I4057,KET!$B:$F,4,0),"")</f>
        <v>MARTIKA MINTOROWATI</v>
      </c>
      <c r="F4057" s="20" t="str">
        <f>IFERROR(VLOOKUP(I4057,KET!$B:$F,5,0),"")</f>
        <v>GMM</v>
      </c>
      <c r="G4057" s="20">
        <f>IFERROR(INDEX('Kode Outlet dan Target Toko'!$C:$C,MATCH($I4057,'Kode Outlet dan Target Toko'!$E:$E,0)),0)</f>
        <v>211181</v>
      </c>
      <c r="H4057" s="20">
        <f>IFERROR(INDEX('Kode Outlet dan Target Toko'!$D:$D,MATCH($I4057,'Kode Outlet dan Target Toko'!$E:$E,0)),0)</f>
        <v>3208670</v>
      </c>
      <c r="I4057" s="42" t="s">
        <v>145</v>
      </c>
      <c r="J4057" s="56" t="s">
        <v>221</v>
      </c>
      <c r="K4057" s="40" t="s">
        <v>13</v>
      </c>
      <c r="L4057" s="26">
        <v>5928</v>
      </c>
      <c r="M4057" s="26">
        <v>42</v>
      </c>
      <c r="N4057" s="25">
        <f t="shared" si="127"/>
        <v>248976</v>
      </c>
      <c r="O4057" s="56"/>
    </row>
    <row r="4058" spans="1:15" hidden="1" x14ac:dyDescent="0.3">
      <c r="A4058" s="26">
        <v>33</v>
      </c>
      <c r="B4058" s="20" t="str">
        <f t="shared" si="126"/>
        <v>AUG</v>
      </c>
      <c r="C4058" s="21">
        <v>46248</v>
      </c>
      <c r="D4058" s="22" t="str">
        <f>IFERROR(INDEX('Kode Outlet dan Target Toko'!$A:$A,MATCH($I4058,'Kode Outlet dan Target Toko'!$E:$E,0)),"")</f>
        <v>GRSM 6</v>
      </c>
      <c r="E4058" s="20" t="str">
        <f>IFERROR(VLOOKUP(I4058,KET!$B:$F,4,0),"")</f>
        <v>MARTIKA MINTOROWATI</v>
      </c>
      <c r="F4058" s="20" t="str">
        <f>IFERROR(VLOOKUP(I4058,KET!$B:$F,5,0),"")</f>
        <v>GMM</v>
      </c>
      <c r="G4058" s="20">
        <f>IFERROR(INDEX('Kode Outlet dan Target Toko'!$C:$C,MATCH($I4058,'Kode Outlet dan Target Toko'!$E:$E,0)),0)</f>
        <v>211181</v>
      </c>
      <c r="H4058" s="20">
        <f>IFERROR(INDEX('Kode Outlet dan Target Toko'!$D:$D,MATCH($I4058,'Kode Outlet dan Target Toko'!$E:$E,0)),0)</f>
        <v>3208670</v>
      </c>
      <c r="I4058" s="42" t="s">
        <v>145</v>
      </c>
      <c r="J4058" s="56" t="s">
        <v>221</v>
      </c>
      <c r="K4058" s="40" t="s">
        <v>16</v>
      </c>
      <c r="L4058" s="26">
        <v>5928</v>
      </c>
      <c r="M4058" s="26">
        <v>73</v>
      </c>
      <c r="N4058" s="25">
        <f t="shared" si="127"/>
        <v>432744</v>
      </c>
      <c r="O4058" s="56">
        <v>160</v>
      </c>
    </row>
    <row r="4059" spans="1:15" hidden="1" x14ac:dyDescent="0.3">
      <c r="A4059" s="26">
        <v>33</v>
      </c>
      <c r="B4059" s="20" t="str">
        <f t="shared" si="126"/>
        <v>AUG</v>
      </c>
      <c r="C4059" s="21">
        <v>46249</v>
      </c>
      <c r="D4059" s="22" t="str">
        <f>IFERROR(INDEX('Kode Outlet dan Target Toko'!$A:$A,MATCH($I4059,'Kode Outlet dan Target Toko'!$E:$E,0)),"")</f>
        <v>GRSM 6</v>
      </c>
      <c r="E4059" s="20" t="str">
        <f>IFERROR(VLOOKUP(I4059,KET!$B:$F,4,0),"")</f>
        <v>MARTIKA MINTOROWATI</v>
      </c>
      <c r="F4059" s="20" t="str">
        <f>IFERROR(VLOOKUP(I4059,KET!$B:$F,5,0),"")</f>
        <v>GMM</v>
      </c>
      <c r="G4059" s="20">
        <f>IFERROR(INDEX('Kode Outlet dan Target Toko'!$C:$C,MATCH($I4059,'Kode Outlet dan Target Toko'!$E:$E,0)),0)</f>
        <v>211181</v>
      </c>
      <c r="H4059" s="20">
        <f>IFERROR(INDEX('Kode Outlet dan Target Toko'!$D:$D,MATCH($I4059,'Kode Outlet dan Target Toko'!$E:$E,0)),0)</f>
        <v>3208670</v>
      </c>
      <c r="I4059" s="42" t="s">
        <v>145</v>
      </c>
      <c r="J4059" s="56" t="s">
        <v>220</v>
      </c>
      <c r="K4059" s="40" t="s">
        <v>15</v>
      </c>
      <c r="L4059" s="26">
        <v>5900</v>
      </c>
      <c r="M4059" s="26">
        <v>88</v>
      </c>
      <c r="N4059" s="25">
        <f t="shared" si="127"/>
        <v>519200</v>
      </c>
      <c r="O4059" s="56"/>
    </row>
    <row r="4060" spans="1:15" hidden="1" x14ac:dyDescent="0.3">
      <c r="A4060" s="26">
        <v>33</v>
      </c>
      <c r="B4060" s="20" t="str">
        <f t="shared" si="126"/>
        <v>AUG</v>
      </c>
      <c r="C4060" s="21">
        <v>46249</v>
      </c>
      <c r="D4060" s="22" t="str">
        <f>IFERROR(INDEX('Kode Outlet dan Target Toko'!$A:$A,MATCH($I4060,'Kode Outlet dan Target Toko'!$E:$E,0)),"")</f>
        <v>GRSM 6</v>
      </c>
      <c r="E4060" s="20" t="str">
        <f>IFERROR(VLOOKUP(I4060,KET!$B:$F,4,0),"")</f>
        <v>MARTIKA MINTOROWATI</v>
      </c>
      <c r="F4060" s="20" t="str">
        <f>IFERROR(VLOOKUP(I4060,KET!$B:$F,5,0),"")</f>
        <v>GMM</v>
      </c>
      <c r="G4060" s="20">
        <f>IFERROR(INDEX('Kode Outlet dan Target Toko'!$C:$C,MATCH($I4060,'Kode Outlet dan Target Toko'!$E:$E,0)),0)</f>
        <v>211181</v>
      </c>
      <c r="H4060" s="20">
        <f>IFERROR(INDEX('Kode Outlet dan Target Toko'!$D:$D,MATCH($I4060,'Kode Outlet dan Target Toko'!$E:$E,0)),0)</f>
        <v>3208670</v>
      </c>
      <c r="I4060" s="42" t="s">
        <v>145</v>
      </c>
      <c r="J4060" s="56" t="s">
        <v>220</v>
      </c>
      <c r="K4060" s="40" t="s">
        <v>14</v>
      </c>
      <c r="L4060" s="26">
        <v>5900</v>
      </c>
      <c r="M4060" s="26">
        <v>72</v>
      </c>
      <c r="N4060" s="25">
        <f t="shared" si="127"/>
        <v>424800</v>
      </c>
      <c r="O4060" s="56"/>
    </row>
    <row r="4061" spans="1:15" hidden="1" x14ac:dyDescent="0.3">
      <c r="A4061" s="26">
        <v>33</v>
      </c>
      <c r="B4061" s="20" t="str">
        <f t="shared" si="126"/>
        <v>AUG</v>
      </c>
      <c r="C4061" s="21">
        <v>46249</v>
      </c>
      <c r="D4061" s="22" t="str">
        <f>IFERROR(INDEX('Kode Outlet dan Target Toko'!$A:$A,MATCH($I4061,'Kode Outlet dan Target Toko'!$E:$E,0)),"")</f>
        <v>GRSM 6</v>
      </c>
      <c r="E4061" s="20" t="str">
        <f>IFERROR(VLOOKUP(I4061,KET!$B:$F,4,0),"")</f>
        <v>MARTIKA MINTOROWATI</v>
      </c>
      <c r="F4061" s="20" t="str">
        <f>IFERROR(VLOOKUP(I4061,KET!$B:$F,5,0),"")</f>
        <v>GMM</v>
      </c>
      <c r="G4061" s="20">
        <f>IFERROR(INDEX('Kode Outlet dan Target Toko'!$C:$C,MATCH($I4061,'Kode Outlet dan Target Toko'!$E:$E,0)),0)</f>
        <v>211181</v>
      </c>
      <c r="H4061" s="20">
        <f>IFERROR(INDEX('Kode Outlet dan Target Toko'!$D:$D,MATCH($I4061,'Kode Outlet dan Target Toko'!$E:$E,0)),0)</f>
        <v>3208670</v>
      </c>
      <c r="I4061" s="42" t="s">
        <v>145</v>
      </c>
      <c r="J4061" s="56" t="s">
        <v>220</v>
      </c>
      <c r="K4061" s="40" t="s">
        <v>13</v>
      </c>
      <c r="L4061" s="26">
        <v>5900</v>
      </c>
      <c r="M4061" s="26">
        <v>74</v>
      </c>
      <c r="N4061" s="25">
        <f t="shared" si="127"/>
        <v>436600</v>
      </c>
      <c r="O4061" s="56"/>
    </row>
    <row r="4062" spans="1:15" hidden="1" x14ac:dyDescent="0.3">
      <c r="A4062" s="26">
        <v>33</v>
      </c>
      <c r="B4062" s="20" t="str">
        <f t="shared" si="126"/>
        <v>AUG</v>
      </c>
      <c r="C4062" s="21">
        <v>46249</v>
      </c>
      <c r="D4062" s="22" t="str">
        <f>IFERROR(INDEX('Kode Outlet dan Target Toko'!$A:$A,MATCH($I4062,'Kode Outlet dan Target Toko'!$E:$E,0)),"")</f>
        <v>GRSM 6</v>
      </c>
      <c r="E4062" s="20" t="str">
        <f>IFERROR(VLOOKUP(I4062,KET!$B:$F,4,0),"")</f>
        <v>MARTIKA MINTOROWATI</v>
      </c>
      <c r="F4062" s="20" t="str">
        <f>IFERROR(VLOOKUP(I4062,KET!$B:$F,5,0),"")</f>
        <v>GMM</v>
      </c>
      <c r="G4062" s="20">
        <f>IFERROR(INDEX('Kode Outlet dan Target Toko'!$C:$C,MATCH($I4062,'Kode Outlet dan Target Toko'!$E:$E,0)),0)</f>
        <v>211181</v>
      </c>
      <c r="H4062" s="20">
        <f>IFERROR(INDEX('Kode Outlet dan Target Toko'!$D:$D,MATCH($I4062,'Kode Outlet dan Target Toko'!$E:$E,0)),0)</f>
        <v>3208670</v>
      </c>
      <c r="I4062" s="42" t="s">
        <v>145</v>
      </c>
      <c r="J4062" s="56" t="s">
        <v>220</v>
      </c>
      <c r="K4062" s="40" t="s">
        <v>16</v>
      </c>
      <c r="L4062" s="26">
        <v>5900</v>
      </c>
      <c r="M4062" s="26">
        <v>159</v>
      </c>
      <c r="N4062" s="25">
        <f t="shared" si="127"/>
        <v>938100</v>
      </c>
      <c r="O4062" s="56">
        <v>160</v>
      </c>
    </row>
    <row r="4063" spans="1:15" hidden="1" x14ac:dyDescent="0.3">
      <c r="A4063" s="26">
        <v>33</v>
      </c>
      <c r="B4063" s="20" t="str">
        <f t="shared" si="126"/>
        <v>AUG</v>
      </c>
      <c r="C4063" s="21">
        <v>46249</v>
      </c>
      <c r="D4063" s="22" t="str">
        <f>IFERROR(INDEX('Kode Outlet dan Target Toko'!$A:$A,MATCH($I4063,'Kode Outlet dan Target Toko'!$E:$E,0)),"")</f>
        <v>GRSM 6</v>
      </c>
      <c r="E4063" s="20" t="str">
        <f>IFERROR(VLOOKUP(I4063,KET!$B:$F,4,0),"")</f>
        <v>MARTIKA MINTOROWATI</v>
      </c>
      <c r="F4063" s="20" t="str">
        <f>IFERROR(VLOOKUP(I4063,KET!$B:$F,5,0),"")</f>
        <v>GMM</v>
      </c>
      <c r="G4063" s="20">
        <f>IFERROR(INDEX('Kode Outlet dan Target Toko'!$C:$C,MATCH($I4063,'Kode Outlet dan Target Toko'!$E:$E,0)),0)</f>
        <v>211181</v>
      </c>
      <c r="H4063" s="20">
        <f>IFERROR(INDEX('Kode Outlet dan Target Toko'!$D:$D,MATCH($I4063,'Kode Outlet dan Target Toko'!$E:$E,0)),0)</f>
        <v>3208670</v>
      </c>
      <c r="I4063" s="42" t="s">
        <v>145</v>
      </c>
      <c r="J4063" s="56" t="s">
        <v>221</v>
      </c>
      <c r="K4063" s="40" t="s">
        <v>15</v>
      </c>
      <c r="L4063" s="26">
        <v>5900</v>
      </c>
      <c r="M4063" s="26">
        <v>88</v>
      </c>
      <c r="N4063" s="25">
        <f t="shared" si="127"/>
        <v>519200</v>
      </c>
      <c r="O4063" s="56"/>
    </row>
    <row r="4064" spans="1:15" hidden="1" x14ac:dyDescent="0.3">
      <c r="A4064" s="26">
        <v>33</v>
      </c>
      <c r="B4064" s="20" t="str">
        <f t="shared" si="126"/>
        <v>AUG</v>
      </c>
      <c r="C4064" s="21">
        <v>46249</v>
      </c>
      <c r="D4064" s="22" t="str">
        <f>IFERROR(INDEX('Kode Outlet dan Target Toko'!$A:$A,MATCH($I4064,'Kode Outlet dan Target Toko'!$E:$E,0)),"")</f>
        <v>GRSM 6</v>
      </c>
      <c r="E4064" s="20" t="str">
        <f>IFERROR(VLOOKUP(I4064,KET!$B:$F,4,0),"")</f>
        <v>MARTIKA MINTOROWATI</v>
      </c>
      <c r="F4064" s="20" t="str">
        <f>IFERROR(VLOOKUP(I4064,KET!$B:$F,5,0),"")</f>
        <v>GMM</v>
      </c>
      <c r="G4064" s="20">
        <f>IFERROR(INDEX('Kode Outlet dan Target Toko'!$C:$C,MATCH($I4064,'Kode Outlet dan Target Toko'!$E:$E,0)),0)</f>
        <v>211181</v>
      </c>
      <c r="H4064" s="20">
        <f>IFERROR(INDEX('Kode Outlet dan Target Toko'!$D:$D,MATCH($I4064,'Kode Outlet dan Target Toko'!$E:$E,0)),0)</f>
        <v>3208670</v>
      </c>
      <c r="I4064" s="42" t="s">
        <v>145</v>
      </c>
      <c r="J4064" s="56" t="s">
        <v>221</v>
      </c>
      <c r="K4064" s="40" t="s">
        <v>14</v>
      </c>
      <c r="L4064" s="26">
        <v>5900</v>
      </c>
      <c r="M4064" s="26">
        <v>72</v>
      </c>
      <c r="N4064" s="25">
        <f t="shared" si="127"/>
        <v>424800</v>
      </c>
      <c r="O4064" s="56"/>
    </row>
    <row r="4065" spans="1:15" hidden="1" x14ac:dyDescent="0.3">
      <c r="A4065" s="26">
        <v>33</v>
      </c>
      <c r="B4065" s="20" t="str">
        <f t="shared" si="126"/>
        <v>AUG</v>
      </c>
      <c r="C4065" s="21">
        <v>46249</v>
      </c>
      <c r="D4065" s="22" t="str">
        <f>IFERROR(INDEX('Kode Outlet dan Target Toko'!$A:$A,MATCH($I4065,'Kode Outlet dan Target Toko'!$E:$E,0)),"")</f>
        <v>GRSM 6</v>
      </c>
      <c r="E4065" s="20" t="str">
        <f>IFERROR(VLOOKUP(I4065,KET!$B:$F,4,0),"")</f>
        <v>MARTIKA MINTOROWATI</v>
      </c>
      <c r="F4065" s="20" t="str">
        <f>IFERROR(VLOOKUP(I4065,KET!$B:$F,5,0),"")</f>
        <v>GMM</v>
      </c>
      <c r="G4065" s="20">
        <f>IFERROR(INDEX('Kode Outlet dan Target Toko'!$C:$C,MATCH($I4065,'Kode Outlet dan Target Toko'!$E:$E,0)),0)</f>
        <v>211181</v>
      </c>
      <c r="H4065" s="20">
        <f>IFERROR(INDEX('Kode Outlet dan Target Toko'!$D:$D,MATCH($I4065,'Kode Outlet dan Target Toko'!$E:$E,0)),0)</f>
        <v>3208670</v>
      </c>
      <c r="I4065" s="42" t="s">
        <v>145</v>
      </c>
      <c r="J4065" s="56" t="s">
        <v>221</v>
      </c>
      <c r="K4065" s="40" t="s">
        <v>13</v>
      </c>
      <c r="L4065" s="26">
        <v>5900</v>
      </c>
      <c r="M4065" s="26">
        <v>74</v>
      </c>
      <c r="N4065" s="25">
        <f t="shared" si="127"/>
        <v>436600</v>
      </c>
      <c r="O4065" s="56"/>
    </row>
    <row r="4066" spans="1:15" hidden="1" x14ac:dyDescent="0.3">
      <c r="A4066" s="26">
        <v>33</v>
      </c>
      <c r="B4066" s="20" t="str">
        <f t="shared" si="126"/>
        <v>AUG</v>
      </c>
      <c r="C4066" s="21">
        <v>46249</v>
      </c>
      <c r="D4066" s="22" t="str">
        <f>IFERROR(INDEX('Kode Outlet dan Target Toko'!$A:$A,MATCH($I4066,'Kode Outlet dan Target Toko'!$E:$E,0)),"")</f>
        <v>GRSM 6</v>
      </c>
      <c r="E4066" s="20" t="str">
        <f>IFERROR(VLOOKUP(I4066,KET!$B:$F,4,0),"")</f>
        <v>MARTIKA MINTOROWATI</v>
      </c>
      <c r="F4066" s="20" t="str">
        <f>IFERROR(VLOOKUP(I4066,KET!$B:$F,5,0),"")</f>
        <v>GMM</v>
      </c>
      <c r="G4066" s="20">
        <f>IFERROR(INDEX('Kode Outlet dan Target Toko'!$C:$C,MATCH($I4066,'Kode Outlet dan Target Toko'!$E:$E,0)),0)</f>
        <v>211181</v>
      </c>
      <c r="H4066" s="20">
        <f>IFERROR(INDEX('Kode Outlet dan Target Toko'!$D:$D,MATCH($I4066,'Kode Outlet dan Target Toko'!$E:$E,0)),0)</f>
        <v>3208670</v>
      </c>
      <c r="I4066" s="42" t="s">
        <v>145</v>
      </c>
      <c r="J4066" s="56" t="s">
        <v>221</v>
      </c>
      <c r="K4066" s="40" t="s">
        <v>16</v>
      </c>
      <c r="L4066" s="26">
        <v>5900</v>
      </c>
      <c r="M4066" s="26">
        <v>159</v>
      </c>
      <c r="N4066" s="25">
        <f t="shared" si="127"/>
        <v>938100</v>
      </c>
      <c r="O4066" s="56">
        <v>160</v>
      </c>
    </row>
    <row r="4067" spans="1:15" hidden="1" x14ac:dyDescent="0.3">
      <c r="A4067" s="26">
        <v>33</v>
      </c>
      <c r="B4067" s="20" t="str">
        <f t="shared" si="126"/>
        <v>AUG</v>
      </c>
      <c r="C4067" s="21">
        <v>46248</v>
      </c>
      <c r="D4067" s="22" t="str">
        <f>IFERROR(INDEX('Kode Outlet dan Target Toko'!$A:$A,MATCH($I4067,'Kode Outlet dan Target Toko'!$E:$E,0)),"")</f>
        <v>GRSM 6</v>
      </c>
      <c r="E4067" s="20" t="str">
        <f>IFERROR(VLOOKUP(I4067,KET!$B:$F,4,0),"")</f>
        <v>MARTIKA MINTOROWATI</v>
      </c>
      <c r="F4067" s="20" t="str">
        <f>IFERROR(VLOOKUP(I4067,KET!$B:$F,5,0),"")</f>
        <v>GMM</v>
      </c>
      <c r="G4067" s="20">
        <f>IFERROR(INDEX('Kode Outlet dan Target Toko'!$C:$C,MATCH($I4067,'Kode Outlet dan Target Toko'!$E:$E,0)),0)</f>
        <v>170208</v>
      </c>
      <c r="H4067" s="20">
        <f>IFERROR(INDEX('Kode Outlet dan Target Toko'!$D:$D,MATCH($I4067,'Kode Outlet dan Target Toko'!$E:$E,0)),0)</f>
        <v>5765011</v>
      </c>
      <c r="I4067" s="42" t="s">
        <v>109</v>
      </c>
      <c r="J4067" s="56" t="s">
        <v>214</v>
      </c>
      <c r="K4067" s="40" t="s">
        <v>15</v>
      </c>
      <c r="L4067" s="26">
        <v>2950</v>
      </c>
      <c r="M4067" s="26">
        <v>113</v>
      </c>
      <c r="N4067" s="25">
        <f t="shared" si="127"/>
        <v>333350</v>
      </c>
      <c r="O4067" s="56"/>
    </row>
    <row r="4068" spans="1:15" hidden="1" x14ac:dyDescent="0.3">
      <c r="A4068" s="26">
        <v>33</v>
      </c>
      <c r="B4068" s="20" t="str">
        <f t="shared" si="126"/>
        <v>AUG</v>
      </c>
      <c r="C4068" s="21">
        <v>46248</v>
      </c>
      <c r="D4068" s="22" t="str">
        <f>IFERROR(INDEX('Kode Outlet dan Target Toko'!$A:$A,MATCH($I4068,'Kode Outlet dan Target Toko'!$E:$E,0)),"")</f>
        <v>GRSM 6</v>
      </c>
      <c r="E4068" s="20" t="str">
        <f>IFERROR(VLOOKUP(I4068,KET!$B:$F,4,0),"")</f>
        <v>MARTIKA MINTOROWATI</v>
      </c>
      <c r="F4068" s="20" t="str">
        <f>IFERROR(VLOOKUP(I4068,KET!$B:$F,5,0),"")</f>
        <v>GMM</v>
      </c>
      <c r="G4068" s="20">
        <f>IFERROR(INDEX('Kode Outlet dan Target Toko'!$C:$C,MATCH($I4068,'Kode Outlet dan Target Toko'!$E:$E,0)),0)</f>
        <v>170208</v>
      </c>
      <c r="H4068" s="20">
        <f>IFERROR(INDEX('Kode Outlet dan Target Toko'!$D:$D,MATCH($I4068,'Kode Outlet dan Target Toko'!$E:$E,0)),0)</f>
        <v>5765011</v>
      </c>
      <c r="I4068" s="42" t="s">
        <v>109</v>
      </c>
      <c r="J4068" s="56" t="s">
        <v>214</v>
      </c>
      <c r="K4068" s="40" t="s">
        <v>14</v>
      </c>
      <c r="L4068" s="26">
        <v>2950</v>
      </c>
      <c r="M4068" s="26">
        <v>100</v>
      </c>
      <c r="N4068" s="25">
        <f t="shared" si="127"/>
        <v>295000</v>
      </c>
      <c r="O4068" s="56"/>
    </row>
    <row r="4069" spans="1:15" hidden="1" x14ac:dyDescent="0.3">
      <c r="A4069" s="26">
        <v>33</v>
      </c>
      <c r="B4069" s="20" t="str">
        <f t="shared" si="126"/>
        <v>AUG</v>
      </c>
      <c r="C4069" s="21">
        <v>46248</v>
      </c>
      <c r="D4069" s="22" t="str">
        <f>IFERROR(INDEX('Kode Outlet dan Target Toko'!$A:$A,MATCH($I4069,'Kode Outlet dan Target Toko'!$E:$E,0)),"")</f>
        <v>GRSM 6</v>
      </c>
      <c r="E4069" s="20" t="str">
        <f>IFERROR(VLOOKUP(I4069,KET!$B:$F,4,0),"")</f>
        <v>MARTIKA MINTOROWATI</v>
      </c>
      <c r="F4069" s="20" t="str">
        <f>IFERROR(VLOOKUP(I4069,KET!$B:$F,5,0),"")</f>
        <v>GMM</v>
      </c>
      <c r="G4069" s="20">
        <f>IFERROR(INDEX('Kode Outlet dan Target Toko'!$C:$C,MATCH($I4069,'Kode Outlet dan Target Toko'!$E:$E,0)),0)</f>
        <v>170208</v>
      </c>
      <c r="H4069" s="20">
        <f>IFERROR(INDEX('Kode Outlet dan Target Toko'!$D:$D,MATCH($I4069,'Kode Outlet dan Target Toko'!$E:$E,0)),0)</f>
        <v>5765011</v>
      </c>
      <c r="I4069" s="42" t="s">
        <v>109</v>
      </c>
      <c r="J4069" s="56" t="s">
        <v>214</v>
      </c>
      <c r="K4069" s="40" t="s">
        <v>13</v>
      </c>
      <c r="L4069" s="26">
        <v>2950</v>
      </c>
      <c r="M4069" s="26">
        <v>77</v>
      </c>
      <c r="N4069" s="25">
        <f t="shared" si="127"/>
        <v>227150</v>
      </c>
      <c r="O4069" s="56"/>
    </row>
    <row r="4070" spans="1:15" hidden="1" x14ac:dyDescent="0.3">
      <c r="A4070" s="26">
        <v>33</v>
      </c>
      <c r="B4070" s="20" t="str">
        <f t="shared" si="126"/>
        <v>AUG</v>
      </c>
      <c r="C4070" s="21">
        <v>46248</v>
      </c>
      <c r="D4070" s="22" t="str">
        <f>IFERROR(INDEX('Kode Outlet dan Target Toko'!$A:$A,MATCH($I4070,'Kode Outlet dan Target Toko'!$E:$E,0)),"")</f>
        <v>GRSM 6</v>
      </c>
      <c r="E4070" s="20" t="str">
        <f>IFERROR(VLOOKUP(I4070,KET!$B:$F,4,0),"")</f>
        <v>MARTIKA MINTOROWATI</v>
      </c>
      <c r="F4070" s="20" t="str">
        <f>IFERROR(VLOOKUP(I4070,KET!$B:$F,5,0),"")</f>
        <v>GMM</v>
      </c>
      <c r="G4070" s="20">
        <f>IFERROR(INDEX('Kode Outlet dan Target Toko'!$C:$C,MATCH($I4070,'Kode Outlet dan Target Toko'!$E:$E,0)),0)</f>
        <v>170208</v>
      </c>
      <c r="H4070" s="20">
        <f>IFERROR(INDEX('Kode Outlet dan Target Toko'!$D:$D,MATCH($I4070,'Kode Outlet dan Target Toko'!$E:$E,0)),0)</f>
        <v>5765011</v>
      </c>
      <c r="I4070" s="42" t="s">
        <v>109</v>
      </c>
      <c r="J4070" s="56" t="s">
        <v>214</v>
      </c>
      <c r="K4070" s="40" t="s">
        <v>16</v>
      </c>
      <c r="L4070" s="26">
        <v>2950</v>
      </c>
      <c r="M4070" s="26">
        <v>98</v>
      </c>
      <c r="N4070" s="25">
        <f t="shared" si="127"/>
        <v>289100</v>
      </c>
      <c r="O4070" s="56">
        <v>160</v>
      </c>
    </row>
    <row r="4071" spans="1:15" hidden="1" x14ac:dyDescent="0.3">
      <c r="A4071" s="26">
        <v>33</v>
      </c>
      <c r="B4071" s="20" t="str">
        <f t="shared" si="126"/>
        <v>AUG</v>
      </c>
      <c r="C4071" s="21">
        <v>46248</v>
      </c>
      <c r="D4071" s="22" t="str">
        <f>IFERROR(INDEX('Kode Outlet dan Target Toko'!$A:$A,MATCH($I4071,'Kode Outlet dan Target Toko'!$E:$E,0)),"")</f>
        <v>GRSM 6</v>
      </c>
      <c r="E4071" s="20" t="str">
        <f>IFERROR(VLOOKUP(I4071,KET!$B:$F,4,0),"")</f>
        <v>MARTIKA MINTOROWATI</v>
      </c>
      <c r="F4071" s="20" t="str">
        <f>IFERROR(VLOOKUP(I4071,KET!$B:$F,5,0),"")</f>
        <v>GMM</v>
      </c>
      <c r="G4071" s="20">
        <f>IFERROR(INDEX('Kode Outlet dan Target Toko'!$C:$C,MATCH($I4071,'Kode Outlet dan Target Toko'!$E:$E,0)),0)</f>
        <v>170208</v>
      </c>
      <c r="H4071" s="20">
        <f>IFERROR(INDEX('Kode Outlet dan Target Toko'!$D:$D,MATCH($I4071,'Kode Outlet dan Target Toko'!$E:$E,0)),0)</f>
        <v>5765011</v>
      </c>
      <c r="I4071" s="42" t="s">
        <v>109</v>
      </c>
      <c r="J4071" s="56" t="s">
        <v>215</v>
      </c>
      <c r="K4071" s="40" t="s">
        <v>15</v>
      </c>
      <c r="L4071" s="26">
        <v>2950</v>
      </c>
      <c r="M4071" s="26">
        <v>113</v>
      </c>
      <c r="N4071" s="25">
        <f t="shared" si="127"/>
        <v>333350</v>
      </c>
      <c r="O4071" s="56"/>
    </row>
    <row r="4072" spans="1:15" hidden="1" x14ac:dyDescent="0.3">
      <c r="A4072" s="26">
        <v>33</v>
      </c>
      <c r="B4072" s="20" t="str">
        <f t="shared" si="126"/>
        <v>AUG</v>
      </c>
      <c r="C4072" s="21">
        <v>46248</v>
      </c>
      <c r="D4072" s="22" t="str">
        <f>IFERROR(INDEX('Kode Outlet dan Target Toko'!$A:$A,MATCH($I4072,'Kode Outlet dan Target Toko'!$E:$E,0)),"")</f>
        <v>GRSM 6</v>
      </c>
      <c r="E4072" s="20" t="str">
        <f>IFERROR(VLOOKUP(I4072,KET!$B:$F,4,0),"")</f>
        <v>MARTIKA MINTOROWATI</v>
      </c>
      <c r="F4072" s="20" t="str">
        <f>IFERROR(VLOOKUP(I4072,KET!$B:$F,5,0),"")</f>
        <v>GMM</v>
      </c>
      <c r="G4072" s="20">
        <f>IFERROR(INDEX('Kode Outlet dan Target Toko'!$C:$C,MATCH($I4072,'Kode Outlet dan Target Toko'!$E:$E,0)),0)</f>
        <v>170208</v>
      </c>
      <c r="H4072" s="20">
        <f>IFERROR(INDEX('Kode Outlet dan Target Toko'!$D:$D,MATCH($I4072,'Kode Outlet dan Target Toko'!$E:$E,0)),0)</f>
        <v>5765011</v>
      </c>
      <c r="I4072" s="42" t="s">
        <v>109</v>
      </c>
      <c r="J4072" s="56" t="s">
        <v>215</v>
      </c>
      <c r="K4072" s="40" t="s">
        <v>14</v>
      </c>
      <c r="L4072" s="26">
        <v>2950</v>
      </c>
      <c r="M4072" s="26">
        <v>100</v>
      </c>
      <c r="N4072" s="25">
        <f t="shared" si="127"/>
        <v>295000</v>
      </c>
      <c r="O4072" s="56"/>
    </row>
    <row r="4073" spans="1:15" hidden="1" x14ac:dyDescent="0.3">
      <c r="A4073" s="26">
        <v>33</v>
      </c>
      <c r="B4073" s="20" t="str">
        <f t="shared" si="126"/>
        <v>AUG</v>
      </c>
      <c r="C4073" s="21">
        <v>46248</v>
      </c>
      <c r="D4073" s="22" t="str">
        <f>IFERROR(INDEX('Kode Outlet dan Target Toko'!$A:$A,MATCH($I4073,'Kode Outlet dan Target Toko'!$E:$E,0)),"")</f>
        <v>GRSM 6</v>
      </c>
      <c r="E4073" s="20" t="str">
        <f>IFERROR(VLOOKUP(I4073,KET!$B:$F,4,0),"")</f>
        <v>MARTIKA MINTOROWATI</v>
      </c>
      <c r="F4073" s="20" t="str">
        <f>IFERROR(VLOOKUP(I4073,KET!$B:$F,5,0),"")</f>
        <v>GMM</v>
      </c>
      <c r="G4073" s="20">
        <f>IFERROR(INDEX('Kode Outlet dan Target Toko'!$C:$C,MATCH($I4073,'Kode Outlet dan Target Toko'!$E:$E,0)),0)</f>
        <v>170208</v>
      </c>
      <c r="H4073" s="20">
        <f>IFERROR(INDEX('Kode Outlet dan Target Toko'!$D:$D,MATCH($I4073,'Kode Outlet dan Target Toko'!$E:$E,0)),0)</f>
        <v>5765011</v>
      </c>
      <c r="I4073" s="42" t="s">
        <v>109</v>
      </c>
      <c r="J4073" s="56" t="s">
        <v>215</v>
      </c>
      <c r="K4073" s="40" t="s">
        <v>13</v>
      </c>
      <c r="L4073" s="26">
        <v>2950</v>
      </c>
      <c r="M4073" s="26">
        <v>77</v>
      </c>
      <c r="N4073" s="25">
        <f t="shared" si="127"/>
        <v>227150</v>
      </c>
      <c r="O4073" s="56"/>
    </row>
    <row r="4074" spans="1:15" hidden="1" x14ac:dyDescent="0.3">
      <c r="A4074" s="26">
        <v>33</v>
      </c>
      <c r="B4074" s="20" t="str">
        <f t="shared" si="126"/>
        <v>AUG</v>
      </c>
      <c r="C4074" s="21">
        <v>46248</v>
      </c>
      <c r="D4074" s="22" t="str">
        <f>IFERROR(INDEX('Kode Outlet dan Target Toko'!$A:$A,MATCH($I4074,'Kode Outlet dan Target Toko'!$E:$E,0)),"")</f>
        <v>GRSM 6</v>
      </c>
      <c r="E4074" s="20" t="str">
        <f>IFERROR(VLOOKUP(I4074,KET!$B:$F,4,0),"")</f>
        <v>MARTIKA MINTOROWATI</v>
      </c>
      <c r="F4074" s="20" t="str">
        <f>IFERROR(VLOOKUP(I4074,KET!$B:$F,5,0),"")</f>
        <v>GMM</v>
      </c>
      <c r="G4074" s="20">
        <f>IFERROR(INDEX('Kode Outlet dan Target Toko'!$C:$C,MATCH($I4074,'Kode Outlet dan Target Toko'!$E:$E,0)),0)</f>
        <v>170208</v>
      </c>
      <c r="H4074" s="20">
        <f>IFERROR(INDEX('Kode Outlet dan Target Toko'!$D:$D,MATCH($I4074,'Kode Outlet dan Target Toko'!$E:$E,0)),0)</f>
        <v>5765011</v>
      </c>
      <c r="I4074" s="42" t="s">
        <v>109</v>
      </c>
      <c r="J4074" s="56" t="s">
        <v>215</v>
      </c>
      <c r="K4074" s="40" t="s">
        <v>16</v>
      </c>
      <c r="L4074" s="26">
        <v>2950</v>
      </c>
      <c r="M4074" s="26">
        <v>98</v>
      </c>
      <c r="N4074" s="25">
        <f t="shared" si="127"/>
        <v>289100</v>
      </c>
      <c r="O4074" s="56">
        <v>160</v>
      </c>
    </row>
    <row r="4075" spans="1:15" hidden="1" x14ac:dyDescent="0.3">
      <c r="A4075" s="26">
        <v>33</v>
      </c>
      <c r="B4075" s="20" t="str">
        <f t="shared" si="126"/>
        <v>AUG</v>
      </c>
      <c r="C4075" s="21">
        <v>46249</v>
      </c>
      <c r="D4075" s="22" t="str">
        <f>IFERROR(INDEX('Kode Outlet dan Target Toko'!$A:$A,MATCH($I4075,'Kode Outlet dan Target Toko'!$E:$E,0)),"")</f>
        <v>GRSM 6</v>
      </c>
      <c r="E4075" s="20" t="str">
        <f>IFERROR(VLOOKUP(I4075,KET!$B:$F,4,0),"")</f>
        <v>MARTIKA MINTOROWATI</v>
      </c>
      <c r="F4075" s="20" t="str">
        <f>IFERROR(VLOOKUP(I4075,KET!$B:$F,5,0),"")</f>
        <v>GMM</v>
      </c>
      <c r="G4075" s="20">
        <f>IFERROR(INDEX('Kode Outlet dan Target Toko'!$C:$C,MATCH($I4075,'Kode Outlet dan Target Toko'!$E:$E,0)),0)</f>
        <v>211161</v>
      </c>
      <c r="H4075" s="20">
        <f>IFERROR(INDEX('Kode Outlet dan Target Toko'!$D:$D,MATCH($I4075,'Kode Outlet dan Target Toko'!$E:$E,0)),0)</f>
        <v>7103</v>
      </c>
      <c r="I4075" s="42" t="s">
        <v>91</v>
      </c>
      <c r="J4075" s="56" t="s">
        <v>217</v>
      </c>
      <c r="K4075" s="40" t="s">
        <v>15</v>
      </c>
      <c r="L4075" s="26">
        <v>2400</v>
      </c>
      <c r="M4075" s="26">
        <v>142</v>
      </c>
      <c r="N4075" s="25">
        <f t="shared" si="127"/>
        <v>340800</v>
      </c>
      <c r="O4075" s="56"/>
    </row>
    <row r="4076" spans="1:15" hidden="1" x14ac:dyDescent="0.3">
      <c r="A4076" s="26">
        <v>33</v>
      </c>
      <c r="B4076" s="20" t="str">
        <f t="shared" si="126"/>
        <v>AUG</v>
      </c>
      <c r="C4076" s="21">
        <v>46249</v>
      </c>
      <c r="D4076" s="22" t="str">
        <f>IFERROR(INDEX('Kode Outlet dan Target Toko'!$A:$A,MATCH($I4076,'Kode Outlet dan Target Toko'!$E:$E,0)),"")</f>
        <v>GRSM 6</v>
      </c>
      <c r="E4076" s="20" t="str">
        <f>IFERROR(VLOOKUP(I4076,KET!$B:$F,4,0),"")</f>
        <v>MARTIKA MINTOROWATI</v>
      </c>
      <c r="F4076" s="20" t="str">
        <f>IFERROR(VLOOKUP(I4076,KET!$B:$F,5,0),"")</f>
        <v>GMM</v>
      </c>
      <c r="G4076" s="20">
        <f>IFERROR(INDEX('Kode Outlet dan Target Toko'!$C:$C,MATCH($I4076,'Kode Outlet dan Target Toko'!$E:$E,0)),0)</f>
        <v>211161</v>
      </c>
      <c r="H4076" s="20">
        <f>IFERROR(INDEX('Kode Outlet dan Target Toko'!$D:$D,MATCH($I4076,'Kode Outlet dan Target Toko'!$E:$E,0)),0)</f>
        <v>7103</v>
      </c>
      <c r="I4076" s="42" t="s">
        <v>91</v>
      </c>
      <c r="J4076" s="56" t="s">
        <v>217</v>
      </c>
      <c r="K4076" s="40" t="s">
        <v>14</v>
      </c>
      <c r="L4076" s="26">
        <v>2400</v>
      </c>
      <c r="M4076" s="26">
        <v>42</v>
      </c>
      <c r="N4076" s="25">
        <f t="shared" si="127"/>
        <v>100800</v>
      </c>
      <c r="O4076" s="56"/>
    </row>
    <row r="4077" spans="1:15" hidden="1" x14ac:dyDescent="0.3">
      <c r="A4077" s="26">
        <v>33</v>
      </c>
      <c r="B4077" s="20" t="str">
        <f t="shared" si="126"/>
        <v>AUG</v>
      </c>
      <c r="C4077" s="21">
        <v>46249</v>
      </c>
      <c r="D4077" s="22" t="str">
        <f>IFERROR(INDEX('Kode Outlet dan Target Toko'!$A:$A,MATCH($I4077,'Kode Outlet dan Target Toko'!$E:$E,0)),"")</f>
        <v>GRSM 6</v>
      </c>
      <c r="E4077" s="20" t="str">
        <f>IFERROR(VLOOKUP(I4077,KET!$B:$F,4,0),"")</f>
        <v>MARTIKA MINTOROWATI</v>
      </c>
      <c r="F4077" s="20" t="str">
        <f>IFERROR(VLOOKUP(I4077,KET!$B:$F,5,0),"")</f>
        <v>GMM</v>
      </c>
      <c r="G4077" s="20">
        <f>IFERROR(INDEX('Kode Outlet dan Target Toko'!$C:$C,MATCH($I4077,'Kode Outlet dan Target Toko'!$E:$E,0)),0)</f>
        <v>211161</v>
      </c>
      <c r="H4077" s="20">
        <f>IFERROR(INDEX('Kode Outlet dan Target Toko'!$D:$D,MATCH($I4077,'Kode Outlet dan Target Toko'!$E:$E,0)),0)</f>
        <v>7103</v>
      </c>
      <c r="I4077" s="42" t="s">
        <v>91</v>
      </c>
      <c r="J4077" s="56" t="s">
        <v>217</v>
      </c>
      <c r="K4077" s="40" t="s">
        <v>13</v>
      </c>
      <c r="L4077" s="26">
        <v>2400</v>
      </c>
      <c r="M4077" s="26">
        <v>38</v>
      </c>
      <c r="N4077" s="25">
        <f t="shared" si="127"/>
        <v>91200</v>
      </c>
      <c r="O4077" s="56"/>
    </row>
    <row r="4078" spans="1:15" hidden="1" x14ac:dyDescent="0.3">
      <c r="A4078" s="26">
        <v>33</v>
      </c>
      <c r="B4078" s="20" t="str">
        <f t="shared" si="126"/>
        <v>AUG</v>
      </c>
      <c r="C4078" s="21">
        <v>46249</v>
      </c>
      <c r="D4078" s="22" t="str">
        <f>IFERROR(INDEX('Kode Outlet dan Target Toko'!$A:$A,MATCH($I4078,'Kode Outlet dan Target Toko'!$E:$E,0)),"")</f>
        <v>GRSM 6</v>
      </c>
      <c r="E4078" s="20" t="str">
        <f>IFERROR(VLOOKUP(I4078,KET!$B:$F,4,0),"")</f>
        <v>MARTIKA MINTOROWATI</v>
      </c>
      <c r="F4078" s="20" t="str">
        <f>IFERROR(VLOOKUP(I4078,KET!$B:$F,5,0),"")</f>
        <v>GMM</v>
      </c>
      <c r="G4078" s="20">
        <f>IFERROR(INDEX('Kode Outlet dan Target Toko'!$C:$C,MATCH($I4078,'Kode Outlet dan Target Toko'!$E:$E,0)),0)</f>
        <v>211161</v>
      </c>
      <c r="H4078" s="20">
        <f>IFERROR(INDEX('Kode Outlet dan Target Toko'!$D:$D,MATCH($I4078,'Kode Outlet dan Target Toko'!$E:$E,0)),0)</f>
        <v>7103</v>
      </c>
      <c r="I4078" s="42" t="s">
        <v>91</v>
      </c>
      <c r="J4078" s="56" t="s">
        <v>217</v>
      </c>
      <c r="K4078" s="40" t="s">
        <v>16</v>
      </c>
      <c r="L4078" s="26">
        <v>2400</v>
      </c>
      <c r="M4078" s="26">
        <v>308</v>
      </c>
      <c r="N4078" s="25">
        <f t="shared" si="127"/>
        <v>739200</v>
      </c>
      <c r="O4078" s="56"/>
    </row>
    <row r="4079" spans="1:15" hidden="1" x14ac:dyDescent="0.3">
      <c r="A4079" s="26">
        <v>33</v>
      </c>
      <c r="B4079" s="20" t="str">
        <f t="shared" si="126"/>
        <v>AUG</v>
      </c>
      <c r="C4079" s="21">
        <v>46250</v>
      </c>
      <c r="D4079" s="22" t="str">
        <f>IFERROR(INDEX('Kode Outlet dan Target Toko'!$A:$A,MATCH($I4079,'Kode Outlet dan Target Toko'!$E:$E,0)),"")</f>
        <v>GRSM 6</v>
      </c>
      <c r="E4079" s="20" t="str">
        <f>IFERROR(VLOOKUP(I4079,KET!$B:$F,4,0),"")</f>
        <v>MARTIKA MINTOROWATI</v>
      </c>
      <c r="F4079" s="20" t="str">
        <f>IFERROR(VLOOKUP(I4079,KET!$B:$F,5,0),"")</f>
        <v>GMM</v>
      </c>
      <c r="G4079" s="20">
        <f>IFERROR(INDEX('Kode Outlet dan Target Toko'!$C:$C,MATCH($I4079,'Kode Outlet dan Target Toko'!$E:$E,0)),0)</f>
        <v>211161</v>
      </c>
      <c r="H4079" s="20">
        <f>IFERROR(INDEX('Kode Outlet dan Target Toko'!$D:$D,MATCH($I4079,'Kode Outlet dan Target Toko'!$E:$E,0)),0)</f>
        <v>710355</v>
      </c>
      <c r="I4079" s="42" t="s">
        <v>97</v>
      </c>
      <c r="J4079" s="56" t="s">
        <v>222</v>
      </c>
      <c r="K4079" s="40" t="s">
        <v>15</v>
      </c>
      <c r="L4079" s="26">
        <v>6201</v>
      </c>
      <c r="M4079" s="26">
        <v>6</v>
      </c>
      <c r="N4079" s="25">
        <f t="shared" si="127"/>
        <v>37206</v>
      </c>
      <c r="O4079" s="56"/>
    </row>
    <row r="4080" spans="1:15" hidden="1" x14ac:dyDescent="0.3">
      <c r="A4080" s="26">
        <v>33</v>
      </c>
      <c r="B4080" s="20" t="str">
        <f t="shared" si="126"/>
        <v>AUG</v>
      </c>
      <c r="C4080" s="21">
        <v>46250</v>
      </c>
      <c r="D4080" s="22" t="str">
        <f>IFERROR(INDEX('Kode Outlet dan Target Toko'!$A:$A,MATCH($I4080,'Kode Outlet dan Target Toko'!$E:$E,0)),"")</f>
        <v>GRSM 6</v>
      </c>
      <c r="E4080" s="20" t="str">
        <f>IFERROR(VLOOKUP(I4080,KET!$B:$F,4,0),"")</f>
        <v>MARTIKA MINTOROWATI</v>
      </c>
      <c r="F4080" s="20" t="str">
        <f>IFERROR(VLOOKUP(I4080,KET!$B:$F,5,0),"")</f>
        <v>GMM</v>
      </c>
      <c r="G4080" s="20">
        <f>IFERROR(INDEX('Kode Outlet dan Target Toko'!$C:$C,MATCH($I4080,'Kode Outlet dan Target Toko'!$E:$E,0)),0)</f>
        <v>211161</v>
      </c>
      <c r="H4080" s="20">
        <f>IFERROR(INDEX('Kode Outlet dan Target Toko'!$D:$D,MATCH($I4080,'Kode Outlet dan Target Toko'!$E:$E,0)),0)</f>
        <v>710355</v>
      </c>
      <c r="I4080" s="42" t="s">
        <v>97</v>
      </c>
      <c r="J4080" s="56" t="s">
        <v>222</v>
      </c>
      <c r="K4080" s="40" t="s">
        <v>14</v>
      </c>
      <c r="L4080" s="26">
        <v>6201</v>
      </c>
      <c r="M4080" s="26">
        <v>15</v>
      </c>
      <c r="N4080" s="25">
        <f t="shared" si="127"/>
        <v>93015</v>
      </c>
      <c r="O4080" s="56"/>
    </row>
    <row r="4081" spans="1:15" hidden="1" x14ac:dyDescent="0.3">
      <c r="A4081" s="26">
        <v>33</v>
      </c>
      <c r="B4081" s="20" t="str">
        <f t="shared" si="126"/>
        <v>AUG</v>
      </c>
      <c r="C4081" s="21">
        <v>46250</v>
      </c>
      <c r="D4081" s="22" t="str">
        <f>IFERROR(INDEX('Kode Outlet dan Target Toko'!$A:$A,MATCH($I4081,'Kode Outlet dan Target Toko'!$E:$E,0)),"")</f>
        <v>GRSM 6</v>
      </c>
      <c r="E4081" s="20" t="str">
        <f>IFERROR(VLOOKUP(I4081,KET!$B:$F,4,0),"")</f>
        <v>MARTIKA MINTOROWATI</v>
      </c>
      <c r="F4081" s="20" t="str">
        <f>IFERROR(VLOOKUP(I4081,KET!$B:$F,5,0),"")</f>
        <v>GMM</v>
      </c>
      <c r="G4081" s="20">
        <f>IFERROR(INDEX('Kode Outlet dan Target Toko'!$C:$C,MATCH($I4081,'Kode Outlet dan Target Toko'!$E:$E,0)),0)</f>
        <v>211161</v>
      </c>
      <c r="H4081" s="20">
        <f>IFERROR(INDEX('Kode Outlet dan Target Toko'!$D:$D,MATCH($I4081,'Kode Outlet dan Target Toko'!$E:$E,0)),0)</f>
        <v>710355</v>
      </c>
      <c r="I4081" s="42" t="s">
        <v>97</v>
      </c>
      <c r="J4081" s="56" t="s">
        <v>222</v>
      </c>
      <c r="K4081" s="40" t="s">
        <v>13</v>
      </c>
      <c r="L4081" s="26">
        <v>6201</v>
      </c>
      <c r="M4081" s="26">
        <v>9</v>
      </c>
      <c r="N4081" s="25">
        <f t="shared" si="127"/>
        <v>55809</v>
      </c>
      <c r="O4081" s="56"/>
    </row>
    <row r="4082" spans="1:15" hidden="1" x14ac:dyDescent="0.3">
      <c r="A4082" s="26">
        <v>33</v>
      </c>
      <c r="B4082" s="20" t="str">
        <f t="shared" si="126"/>
        <v>AUG</v>
      </c>
      <c r="C4082" s="21">
        <v>46250</v>
      </c>
      <c r="D4082" s="22" t="str">
        <f>IFERROR(INDEX('Kode Outlet dan Target Toko'!$A:$A,MATCH($I4082,'Kode Outlet dan Target Toko'!$E:$E,0)),"")</f>
        <v>GRSM 6</v>
      </c>
      <c r="E4082" s="20" t="str">
        <f>IFERROR(VLOOKUP(I4082,KET!$B:$F,4,0),"")</f>
        <v>MARTIKA MINTOROWATI</v>
      </c>
      <c r="F4082" s="20" t="str">
        <f>IFERROR(VLOOKUP(I4082,KET!$B:$F,5,0),"")</f>
        <v>GMM</v>
      </c>
      <c r="G4082" s="20">
        <f>IFERROR(INDEX('Kode Outlet dan Target Toko'!$C:$C,MATCH($I4082,'Kode Outlet dan Target Toko'!$E:$E,0)),0)</f>
        <v>211161</v>
      </c>
      <c r="H4082" s="20">
        <f>IFERROR(INDEX('Kode Outlet dan Target Toko'!$D:$D,MATCH($I4082,'Kode Outlet dan Target Toko'!$E:$E,0)),0)</f>
        <v>710355</v>
      </c>
      <c r="I4082" s="42" t="s">
        <v>97</v>
      </c>
      <c r="J4082" s="56" t="s">
        <v>222</v>
      </c>
      <c r="K4082" s="40" t="s">
        <v>16</v>
      </c>
      <c r="L4082" s="26">
        <v>6201</v>
      </c>
      <c r="M4082" s="26">
        <v>84</v>
      </c>
      <c r="N4082" s="25">
        <f t="shared" si="127"/>
        <v>520884</v>
      </c>
      <c r="O4082" s="56"/>
    </row>
    <row r="4083" spans="1:15" hidden="1" x14ac:dyDescent="0.3">
      <c r="A4083" s="26">
        <v>33</v>
      </c>
      <c r="B4083" s="20" t="str">
        <f t="shared" si="126"/>
        <v>AUG</v>
      </c>
      <c r="C4083" s="21">
        <v>46250</v>
      </c>
      <c r="D4083" s="22" t="str">
        <f>IFERROR(INDEX('Kode Outlet dan Target Toko'!$A:$A,MATCH($I4083,'Kode Outlet dan Target Toko'!$E:$E,0)),"")</f>
        <v>GRSM 6</v>
      </c>
      <c r="E4083" s="20" t="str">
        <f>IFERROR(VLOOKUP(I4083,KET!$B:$F,4,0),"")</f>
        <v>MARTIKA MINTOROWATI</v>
      </c>
      <c r="F4083" s="20" t="str">
        <f>IFERROR(VLOOKUP(I4083,KET!$B:$F,5,0),"")</f>
        <v>GMM</v>
      </c>
      <c r="G4083" s="20">
        <f>IFERROR(INDEX('Kode Outlet dan Target Toko'!$C:$C,MATCH($I4083,'Kode Outlet dan Target Toko'!$E:$E,0)),0)</f>
        <v>211030</v>
      </c>
      <c r="H4083" s="20">
        <f>IFERROR(INDEX('Kode Outlet dan Target Toko'!$D:$D,MATCH($I4083,'Kode Outlet dan Target Toko'!$E:$E,0)),0)</f>
        <v>5765035</v>
      </c>
      <c r="I4083" s="42" t="s">
        <v>113</v>
      </c>
      <c r="J4083" s="56" t="s">
        <v>225</v>
      </c>
      <c r="K4083" s="40" t="s">
        <v>15</v>
      </c>
      <c r="L4083" s="26">
        <v>3145</v>
      </c>
      <c r="M4083" s="26">
        <v>51</v>
      </c>
      <c r="N4083" s="25">
        <f t="shared" si="127"/>
        <v>160395</v>
      </c>
      <c r="O4083" s="56"/>
    </row>
    <row r="4084" spans="1:15" hidden="1" x14ac:dyDescent="0.3">
      <c r="A4084" s="26">
        <v>33</v>
      </c>
      <c r="B4084" s="20" t="str">
        <f t="shared" si="126"/>
        <v>AUG</v>
      </c>
      <c r="C4084" s="21">
        <v>46250</v>
      </c>
      <c r="D4084" s="22" t="str">
        <f>IFERROR(INDEX('Kode Outlet dan Target Toko'!$A:$A,MATCH($I4084,'Kode Outlet dan Target Toko'!$E:$E,0)),"")</f>
        <v>GRSM 6</v>
      </c>
      <c r="E4084" s="20" t="str">
        <f>IFERROR(VLOOKUP(I4084,KET!$B:$F,4,0),"")</f>
        <v>MARTIKA MINTOROWATI</v>
      </c>
      <c r="F4084" s="20" t="str">
        <f>IFERROR(VLOOKUP(I4084,KET!$B:$F,5,0),"")</f>
        <v>GMM</v>
      </c>
      <c r="G4084" s="20">
        <f>IFERROR(INDEX('Kode Outlet dan Target Toko'!$C:$C,MATCH($I4084,'Kode Outlet dan Target Toko'!$E:$E,0)),0)</f>
        <v>211030</v>
      </c>
      <c r="H4084" s="20">
        <f>IFERROR(INDEX('Kode Outlet dan Target Toko'!$D:$D,MATCH($I4084,'Kode Outlet dan Target Toko'!$E:$E,0)),0)</f>
        <v>5765035</v>
      </c>
      <c r="I4084" s="42" t="s">
        <v>113</v>
      </c>
      <c r="J4084" s="56" t="s">
        <v>225</v>
      </c>
      <c r="K4084" s="40" t="s">
        <v>14</v>
      </c>
      <c r="L4084" s="26">
        <v>3145</v>
      </c>
      <c r="M4084" s="26">
        <v>39</v>
      </c>
      <c r="N4084" s="25">
        <f t="shared" si="127"/>
        <v>122655</v>
      </c>
      <c r="O4084" s="56"/>
    </row>
    <row r="4085" spans="1:15" hidden="1" x14ac:dyDescent="0.3">
      <c r="A4085" s="26">
        <v>33</v>
      </c>
      <c r="B4085" s="20" t="str">
        <f t="shared" si="126"/>
        <v>AUG</v>
      </c>
      <c r="C4085" s="21">
        <v>46250</v>
      </c>
      <c r="D4085" s="22" t="str">
        <f>IFERROR(INDEX('Kode Outlet dan Target Toko'!$A:$A,MATCH($I4085,'Kode Outlet dan Target Toko'!$E:$E,0)),"")</f>
        <v>GRSM 6</v>
      </c>
      <c r="E4085" s="20" t="str">
        <f>IFERROR(VLOOKUP(I4085,KET!$B:$F,4,0),"")</f>
        <v>MARTIKA MINTOROWATI</v>
      </c>
      <c r="F4085" s="20" t="str">
        <f>IFERROR(VLOOKUP(I4085,KET!$B:$F,5,0),"")</f>
        <v>GMM</v>
      </c>
      <c r="G4085" s="20">
        <f>IFERROR(INDEX('Kode Outlet dan Target Toko'!$C:$C,MATCH($I4085,'Kode Outlet dan Target Toko'!$E:$E,0)),0)</f>
        <v>211030</v>
      </c>
      <c r="H4085" s="20">
        <f>IFERROR(INDEX('Kode Outlet dan Target Toko'!$D:$D,MATCH($I4085,'Kode Outlet dan Target Toko'!$E:$E,0)),0)</f>
        <v>5765035</v>
      </c>
      <c r="I4085" s="42" t="s">
        <v>113</v>
      </c>
      <c r="J4085" s="56" t="s">
        <v>225</v>
      </c>
      <c r="K4085" s="40" t="s">
        <v>13</v>
      </c>
      <c r="L4085" s="26">
        <v>3145</v>
      </c>
      <c r="M4085" s="26">
        <v>8</v>
      </c>
      <c r="N4085" s="25">
        <f t="shared" si="127"/>
        <v>25160</v>
      </c>
      <c r="O4085" s="56"/>
    </row>
    <row r="4086" spans="1:15" hidden="1" x14ac:dyDescent="0.3">
      <c r="A4086" s="26">
        <v>33</v>
      </c>
      <c r="B4086" s="20" t="str">
        <f t="shared" si="126"/>
        <v>AUG</v>
      </c>
      <c r="C4086" s="21">
        <v>46250</v>
      </c>
      <c r="D4086" s="22" t="str">
        <f>IFERROR(INDEX('Kode Outlet dan Target Toko'!$A:$A,MATCH($I4086,'Kode Outlet dan Target Toko'!$E:$E,0)),"")</f>
        <v>GRSM 6</v>
      </c>
      <c r="E4086" s="20" t="str">
        <f>IFERROR(VLOOKUP(I4086,KET!$B:$F,4,0),"")</f>
        <v>MARTIKA MINTOROWATI</v>
      </c>
      <c r="F4086" s="20" t="str">
        <f>IFERROR(VLOOKUP(I4086,KET!$B:$F,5,0),"")</f>
        <v>GMM</v>
      </c>
      <c r="G4086" s="20">
        <f>IFERROR(INDEX('Kode Outlet dan Target Toko'!$C:$C,MATCH($I4086,'Kode Outlet dan Target Toko'!$E:$E,0)),0)</f>
        <v>211030</v>
      </c>
      <c r="H4086" s="20">
        <f>IFERROR(INDEX('Kode Outlet dan Target Toko'!$D:$D,MATCH($I4086,'Kode Outlet dan Target Toko'!$E:$E,0)),0)</f>
        <v>5765035</v>
      </c>
      <c r="I4086" s="42" t="s">
        <v>113</v>
      </c>
      <c r="J4086" s="56" t="s">
        <v>225</v>
      </c>
      <c r="K4086" s="40" t="s">
        <v>16</v>
      </c>
      <c r="L4086" s="26">
        <v>3145</v>
      </c>
      <c r="M4086" s="26">
        <v>92</v>
      </c>
      <c r="N4086" s="25">
        <f t="shared" si="127"/>
        <v>289340</v>
      </c>
      <c r="O4086" s="56">
        <v>160</v>
      </c>
    </row>
    <row r="4087" spans="1:15" hidden="1" x14ac:dyDescent="0.3">
      <c r="A4087" s="26">
        <v>33</v>
      </c>
      <c r="B4087" s="20" t="str">
        <f t="shared" si="126"/>
        <v>AUG</v>
      </c>
      <c r="C4087" s="21">
        <v>46250</v>
      </c>
      <c r="D4087" s="22" t="str">
        <f>IFERROR(INDEX('Kode Outlet dan Target Toko'!$A:$A,MATCH($I4087,'Kode Outlet dan Target Toko'!$E:$E,0)),"")</f>
        <v>GRSM 6</v>
      </c>
      <c r="E4087" s="20" t="str">
        <f>IFERROR(VLOOKUP(I4087,KET!$B:$F,4,0),"")</f>
        <v>MARTIKA MINTOROWATI</v>
      </c>
      <c r="F4087" s="20" t="str">
        <f>IFERROR(VLOOKUP(I4087,KET!$B:$F,5,0),"")</f>
        <v>GMM</v>
      </c>
      <c r="G4087" s="20">
        <f>IFERROR(INDEX('Kode Outlet dan Target Toko'!$C:$C,MATCH($I4087,'Kode Outlet dan Target Toko'!$E:$E,0)),0)</f>
        <v>211030</v>
      </c>
      <c r="H4087" s="20">
        <f>IFERROR(INDEX('Kode Outlet dan Target Toko'!$D:$D,MATCH($I4087,'Kode Outlet dan Target Toko'!$E:$E,0)),0)</f>
        <v>5766116</v>
      </c>
      <c r="I4087" s="42" t="s">
        <v>106</v>
      </c>
      <c r="J4087" s="56" t="s">
        <v>300</v>
      </c>
      <c r="K4087" s="40" t="s">
        <v>15</v>
      </c>
      <c r="L4087" s="26">
        <v>6000</v>
      </c>
      <c r="M4087" s="26">
        <v>37</v>
      </c>
      <c r="N4087" s="25">
        <f t="shared" si="127"/>
        <v>222000</v>
      </c>
      <c r="O4087" s="56"/>
    </row>
    <row r="4088" spans="1:15" hidden="1" x14ac:dyDescent="0.3">
      <c r="A4088" s="26">
        <v>33</v>
      </c>
      <c r="B4088" s="20" t="str">
        <f t="shared" si="126"/>
        <v>AUG</v>
      </c>
      <c r="C4088" s="21">
        <v>46250</v>
      </c>
      <c r="D4088" s="22" t="str">
        <f>IFERROR(INDEX('Kode Outlet dan Target Toko'!$A:$A,MATCH($I4088,'Kode Outlet dan Target Toko'!$E:$E,0)),"")</f>
        <v>GRSM 6</v>
      </c>
      <c r="E4088" s="20" t="str">
        <f>IFERROR(VLOOKUP(I4088,KET!$B:$F,4,0),"")</f>
        <v>MARTIKA MINTOROWATI</v>
      </c>
      <c r="F4088" s="20" t="str">
        <f>IFERROR(VLOOKUP(I4088,KET!$B:$F,5,0),"")</f>
        <v>GMM</v>
      </c>
      <c r="G4088" s="20">
        <f>IFERROR(INDEX('Kode Outlet dan Target Toko'!$C:$C,MATCH($I4088,'Kode Outlet dan Target Toko'!$E:$E,0)),0)</f>
        <v>211030</v>
      </c>
      <c r="H4088" s="20">
        <f>IFERROR(INDEX('Kode Outlet dan Target Toko'!$D:$D,MATCH($I4088,'Kode Outlet dan Target Toko'!$E:$E,0)),0)</f>
        <v>5766116</v>
      </c>
      <c r="I4088" s="42" t="s">
        <v>106</v>
      </c>
      <c r="J4088" s="56" t="s">
        <v>300</v>
      </c>
      <c r="K4088" s="40" t="s">
        <v>14</v>
      </c>
      <c r="L4088" s="26">
        <v>6000</v>
      </c>
      <c r="M4088" s="26">
        <v>20</v>
      </c>
      <c r="N4088" s="25">
        <f t="shared" si="127"/>
        <v>120000</v>
      </c>
      <c r="O4088" s="56"/>
    </row>
    <row r="4089" spans="1:15" hidden="1" x14ac:dyDescent="0.3">
      <c r="A4089" s="26">
        <v>33</v>
      </c>
      <c r="B4089" s="20" t="str">
        <f t="shared" si="126"/>
        <v>AUG</v>
      </c>
      <c r="C4089" s="21">
        <v>46250</v>
      </c>
      <c r="D4089" s="22" t="str">
        <f>IFERROR(INDEX('Kode Outlet dan Target Toko'!$A:$A,MATCH($I4089,'Kode Outlet dan Target Toko'!$E:$E,0)),"")</f>
        <v>GRSM 6</v>
      </c>
      <c r="E4089" s="20" t="str">
        <f>IFERROR(VLOOKUP(I4089,KET!$B:$F,4,0),"")</f>
        <v>MARTIKA MINTOROWATI</v>
      </c>
      <c r="F4089" s="20" t="str">
        <f>IFERROR(VLOOKUP(I4089,KET!$B:$F,5,0),"")</f>
        <v>GMM</v>
      </c>
      <c r="G4089" s="20">
        <f>IFERROR(INDEX('Kode Outlet dan Target Toko'!$C:$C,MATCH($I4089,'Kode Outlet dan Target Toko'!$E:$E,0)),0)</f>
        <v>211030</v>
      </c>
      <c r="H4089" s="20">
        <f>IFERROR(INDEX('Kode Outlet dan Target Toko'!$D:$D,MATCH($I4089,'Kode Outlet dan Target Toko'!$E:$E,0)),0)</f>
        <v>5766116</v>
      </c>
      <c r="I4089" s="42" t="s">
        <v>106</v>
      </c>
      <c r="J4089" s="56" t="s">
        <v>300</v>
      </c>
      <c r="K4089" s="40" t="s">
        <v>13</v>
      </c>
      <c r="L4089" s="26">
        <v>6000</v>
      </c>
      <c r="M4089" s="26">
        <v>34</v>
      </c>
      <c r="N4089" s="25">
        <f t="shared" si="127"/>
        <v>204000</v>
      </c>
      <c r="O4089" s="56"/>
    </row>
    <row r="4090" spans="1:15" hidden="1" x14ac:dyDescent="0.3">
      <c r="A4090" s="26">
        <v>33</v>
      </c>
      <c r="B4090" s="20" t="str">
        <f t="shared" si="126"/>
        <v>AUG</v>
      </c>
      <c r="C4090" s="21">
        <v>46250</v>
      </c>
      <c r="D4090" s="22" t="str">
        <f>IFERROR(INDEX('Kode Outlet dan Target Toko'!$A:$A,MATCH($I4090,'Kode Outlet dan Target Toko'!$E:$E,0)),"")</f>
        <v>GRSM 6</v>
      </c>
      <c r="E4090" s="20" t="str">
        <f>IFERROR(VLOOKUP(I4090,KET!$B:$F,4,0),"")</f>
        <v>MARTIKA MINTOROWATI</v>
      </c>
      <c r="F4090" s="20" t="str">
        <f>IFERROR(VLOOKUP(I4090,KET!$B:$F,5,0),"")</f>
        <v>GMM</v>
      </c>
      <c r="G4090" s="20">
        <f>IFERROR(INDEX('Kode Outlet dan Target Toko'!$C:$C,MATCH($I4090,'Kode Outlet dan Target Toko'!$E:$E,0)),0)</f>
        <v>211030</v>
      </c>
      <c r="H4090" s="20">
        <f>IFERROR(INDEX('Kode Outlet dan Target Toko'!$D:$D,MATCH($I4090,'Kode Outlet dan Target Toko'!$E:$E,0)),0)</f>
        <v>5766116</v>
      </c>
      <c r="I4090" s="42" t="s">
        <v>106</v>
      </c>
      <c r="J4090" s="56" t="s">
        <v>300</v>
      </c>
      <c r="K4090" s="40" t="s">
        <v>16</v>
      </c>
      <c r="L4090" s="26">
        <v>6000</v>
      </c>
      <c r="M4090" s="26">
        <v>43</v>
      </c>
      <c r="N4090" s="25">
        <f t="shared" si="127"/>
        <v>258000</v>
      </c>
      <c r="O4090" s="56"/>
    </row>
    <row r="4091" spans="1:15" hidden="1" x14ac:dyDescent="0.3">
      <c r="A4091" s="26">
        <v>33</v>
      </c>
      <c r="B4091" s="20" t="str">
        <f t="shared" si="126"/>
        <v>AUG</v>
      </c>
      <c r="C4091" s="21">
        <v>46250</v>
      </c>
      <c r="D4091" s="22" t="str">
        <f>IFERROR(INDEX('Kode Outlet dan Target Toko'!$A:$A,MATCH($I4091,'Kode Outlet dan Target Toko'!$E:$E,0)),"")</f>
        <v>GRSM 6</v>
      </c>
      <c r="E4091" s="20" t="str">
        <f>IFERROR(VLOOKUP(I4091,KET!$B:$F,4,0),"")</f>
        <v>MARTIKA MINTOROWATI</v>
      </c>
      <c r="F4091" s="20" t="str">
        <f>IFERROR(VLOOKUP(I4091,KET!$B:$F,5,0),"")</f>
        <v>GMM</v>
      </c>
      <c r="G4091" s="20">
        <f>IFERROR(INDEX('Kode Outlet dan Target Toko'!$C:$C,MATCH($I4091,'Kode Outlet dan Target Toko'!$E:$E,0)),0)</f>
        <v>170208</v>
      </c>
      <c r="H4091" s="20">
        <f>IFERROR(INDEX('Kode Outlet dan Target Toko'!$D:$D,MATCH($I4091,'Kode Outlet dan Target Toko'!$E:$E,0)),0)</f>
        <v>5765011</v>
      </c>
      <c r="I4091" s="42" t="s">
        <v>109</v>
      </c>
      <c r="J4091" s="56" t="s">
        <v>215</v>
      </c>
      <c r="K4091" s="40" t="s">
        <v>15</v>
      </c>
      <c r="L4091" s="26">
        <v>2950</v>
      </c>
      <c r="M4091" s="26">
        <v>2</v>
      </c>
      <c r="N4091" s="25">
        <f t="shared" si="127"/>
        <v>5900</v>
      </c>
      <c r="O4091" s="56"/>
    </row>
    <row r="4092" spans="1:15" hidden="1" x14ac:dyDescent="0.3">
      <c r="A4092" s="26">
        <v>33</v>
      </c>
      <c r="B4092" s="20" t="str">
        <f t="shared" si="126"/>
        <v>AUG</v>
      </c>
      <c r="C4092" s="21">
        <v>46250</v>
      </c>
      <c r="D4092" s="22" t="str">
        <f>IFERROR(INDEX('Kode Outlet dan Target Toko'!$A:$A,MATCH($I4092,'Kode Outlet dan Target Toko'!$E:$E,0)),"")</f>
        <v>GRSM 6</v>
      </c>
      <c r="E4092" s="20" t="str">
        <f>IFERROR(VLOOKUP(I4092,KET!$B:$F,4,0),"")</f>
        <v>MARTIKA MINTOROWATI</v>
      </c>
      <c r="F4092" s="20" t="str">
        <f>IFERROR(VLOOKUP(I4092,KET!$B:$F,5,0),"")</f>
        <v>GMM</v>
      </c>
      <c r="G4092" s="20">
        <f>IFERROR(INDEX('Kode Outlet dan Target Toko'!$C:$C,MATCH($I4092,'Kode Outlet dan Target Toko'!$E:$E,0)),0)</f>
        <v>170208</v>
      </c>
      <c r="H4092" s="20">
        <f>IFERROR(INDEX('Kode Outlet dan Target Toko'!$D:$D,MATCH($I4092,'Kode Outlet dan Target Toko'!$E:$E,0)),0)</f>
        <v>5765011</v>
      </c>
      <c r="I4092" s="42" t="s">
        <v>109</v>
      </c>
      <c r="J4092" s="56" t="s">
        <v>215</v>
      </c>
      <c r="K4092" s="40" t="s">
        <v>14</v>
      </c>
      <c r="L4092" s="26">
        <v>2950</v>
      </c>
      <c r="M4092" s="26">
        <v>72</v>
      </c>
      <c r="N4092" s="25">
        <f t="shared" si="127"/>
        <v>212400</v>
      </c>
      <c r="O4092" s="56"/>
    </row>
    <row r="4093" spans="1:15" hidden="1" x14ac:dyDescent="0.3">
      <c r="A4093" s="26">
        <v>33</v>
      </c>
      <c r="B4093" s="20" t="str">
        <f t="shared" si="126"/>
        <v>AUG</v>
      </c>
      <c r="C4093" s="21">
        <v>46250</v>
      </c>
      <c r="D4093" s="22" t="str">
        <f>IFERROR(INDEX('Kode Outlet dan Target Toko'!$A:$A,MATCH($I4093,'Kode Outlet dan Target Toko'!$E:$E,0)),"")</f>
        <v>GRSM 6</v>
      </c>
      <c r="E4093" s="20" t="str">
        <f>IFERROR(VLOOKUP(I4093,KET!$B:$F,4,0),"")</f>
        <v>MARTIKA MINTOROWATI</v>
      </c>
      <c r="F4093" s="20" t="str">
        <f>IFERROR(VLOOKUP(I4093,KET!$B:$F,5,0),"")</f>
        <v>GMM</v>
      </c>
      <c r="G4093" s="20">
        <f>IFERROR(INDEX('Kode Outlet dan Target Toko'!$C:$C,MATCH($I4093,'Kode Outlet dan Target Toko'!$E:$E,0)),0)</f>
        <v>170208</v>
      </c>
      <c r="H4093" s="20">
        <f>IFERROR(INDEX('Kode Outlet dan Target Toko'!$D:$D,MATCH($I4093,'Kode Outlet dan Target Toko'!$E:$E,0)),0)</f>
        <v>5765011</v>
      </c>
      <c r="I4093" s="42" t="s">
        <v>109</v>
      </c>
      <c r="J4093" s="56" t="s">
        <v>215</v>
      </c>
      <c r="K4093" s="40" t="s">
        <v>13</v>
      </c>
      <c r="L4093" s="26">
        <v>2950</v>
      </c>
      <c r="M4093" s="26">
        <v>29</v>
      </c>
      <c r="N4093" s="25">
        <f t="shared" si="127"/>
        <v>85550</v>
      </c>
      <c r="O4093" s="56"/>
    </row>
    <row r="4094" spans="1:15" hidden="1" x14ac:dyDescent="0.3">
      <c r="A4094" s="26">
        <v>33</v>
      </c>
      <c r="B4094" s="20" t="str">
        <f t="shared" si="126"/>
        <v>AUG</v>
      </c>
      <c r="C4094" s="21">
        <v>46250</v>
      </c>
      <c r="D4094" s="22" t="str">
        <f>IFERROR(INDEX('Kode Outlet dan Target Toko'!$A:$A,MATCH($I4094,'Kode Outlet dan Target Toko'!$E:$E,0)),"")</f>
        <v>GRSM 6</v>
      </c>
      <c r="E4094" s="20" t="str">
        <f>IFERROR(VLOOKUP(I4094,KET!$B:$F,4,0),"")</f>
        <v>MARTIKA MINTOROWATI</v>
      </c>
      <c r="F4094" s="20" t="str">
        <f>IFERROR(VLOOKUP(I4094,KET!$B:$F,5,0),"")</f>
        <v>GMM</v>
      </c>
      <c r="G4094" s="20">
        <f>IFERROR(INDEX('Kode Outlet dan Target Toko'!$C:$C,MATCH($I4094,'Kode Outlet dan Target Toko'!$E:$E,0)),0)</f>
        <v>170208</v>
      </c>
      <c r="H4094" s="20">
        <f>IFERROR(INDEX('Kode Outlet dan Target Toko'!$D:$D,MATCH($I4094,'Kode Outlet dan Target Toko'!$E:$E,0)),0)</f>
        <v>5765011</v>
      </c>
      <c r="I4094" s="42" t="s">
        <v>109</v>
      </c>
      <c r="J4094" s="56" t="s">
        <v>215</v>
      </c>
      <c r="K4094" s="40" t="s">
        <v>16</v>
      </c>
      <c r="L4094" s="26">
        <v>2950</v>
      </c>
      <c r="M4094" s="26">
        <v>105</v>
      </c>
      <c r="N4094" s="25">
        <f t="shared" si="127"/>
        <v>309750</v>
      </c>
      <c r="O4094" s="56">
        <v>160</v>
      </c>
    </row>
    <row r="4095" spans="1:15" hidden="1" x14ac:dyDescent="0.3">
      <c r="A4095" s="26">
        <v>33</v>
      </c>
      <c r="B4095" s="20" t="str">
        <f t="shared" si="126"/>
        <v>AUG</v>
      </c>
      <c r="C4095" s="21">
        <v>46248</v>
      </c>
      <c r="D4095" s="22" t="str">
        <f>IFERROR(INDEX('Kode Outlet dan Target Toko'!$A:$A,MATCH($I4095,'Kode Outlet dan Target Toko'!$E:$E,0)),"")</f>
        <v>GRSM 7</v>
      </c>
      <c r="E4095" s="20" t="str">
        <f>IFERROR(VLOOKUP(I4095,KET!$B:$F,4,0),"")</f>
        <v>INDRI</v>
      </c>
      <c r="F4095" s="20" t="str">
        <f>IFERROR(VLOOKUP(I4095,KET!$B:$F,5,0),"")</f>
        <v>GMM</v>
      </c>
      <c r="G4095" s="20">
        <f>IFERROR(INDEX('Kode Outlet dan Target Toko'!$C:$C,MATCH($I4095,'Kode Outlet dan Target Toko'!$E:$E,0)),0)</f>
        <v>103240</v>
      </c>
      <c r="H4095" s="20">
        <f>IFERROR(INDEX('Kode Outlet dan Target Toko'!$D:$D,MATCH($I4095,'Kode Outlet dan Target Toko'!$E:$E,0)),0)</f>
        <v>7112059</v>
      </c>
      <c r="I4095" s="42" t="s">
        <v>116</v>
      </c>
      <c r="J4095" s="56" t="s">
        <v>213</v>
      </c>
      <c r="K4095" s="40" t="s">
        <v>15</v>
      </c>
      <c r="L4095" s="26">
        <v>3200</v>
      </c>
      <c r="M4095" s="26">
        <v>60</v>
      </c>
      <c r="N4095" s="25">
        <f t="shared" si="127"/>
        <v>192000</v>
      </c>
      <c r="O4095" s="56"/>
    </row>
    <row r="4096" spans="1:15" hidden="1" x14ac:dyDescent="0.3">
      <c r="A4096" s="26">
        <v>33</v>
      </c>
      <c r="B4096" s="20" t="str">
        <f t="shared" si="126"/>
        <v>AUG</v>
      </c>
      <c r="C4096" s="21">
        <v>46248</v>
      </c>
      <c r="D4096" s="22" t="str">
        <f>IFERROR(INDEX('Kode Outlet dan Target Toko'!$A:$A,MATCH($I4096,'Kode Outlet dan Target Toko'!$E:$E,0)),"")</f>
        <v>GRSM 7</v>
      </c>
      <c r="E4096" s="20" t="str">
        <f>IFERROR(VLOOKUP(I4096,KET!$B:$F,4,0),"")</f>
        <v>INDRI</v>
      </c>
      <c r="F4096" s="20" t="str">
        <f>IFERROR(VLOOKUP(I4096,KET!$B:$F,5,0),"")</f>
        <v>GMM</v>
      </c>
      <c r="G4096" s="20">
        <f>IFERROR(INDEX('Kode Outlet dan Target Toko'!$C:$C,MATCH($I4096,'Kode Outlet dan Target Toko'!$E:$E,0)),0)</f>
        <v>103240</v>
      </c>
      <c r="H4096" s="20">
        <f>IFERROR(INDEX('Kode Outlet dan Target Toko'!$D:$D,MATCH($I4096,'Kode Outlet dan Target Toko'!$E:$E,0)),0)</f>
        <v>7112059</v>
      </c>
      <c r="I4096" s="42" t="s">
        <v>116</v>
      </c>
      <c r="J4096" s="56" t="s">
        <v>213</v>
      </c>
      <c r="K4096" s="40" t="s">
        <v>14</v>
      </c>
      <c r="L4096" s="26">
        <v>3200</v>
      </c>
      <c r="M4096" s="26">
        <v>67</v>
      </c>
      <c r="N4096" s="25">
        <f t="shared" si="127"/>
        <v>214400</v>
      </c>
      <c r="O4096" s="56"/>
    </row>
    <row r="4097" spans="1:15" hidden="1" x14ac:dyDescent="0.3">
      <c r="A4097" s="26">
        <v>33</v>
      </c>
      <c r="B4097" s="20" t="str">
        <f t="shared" si="126"/>
        <v>AUG</v>
      </c>
      <c r="C4097" s="21">
        <v>46248</v>
      </c>
      <c r="D4097" s="22" t="str">
        <f>IFERROR(INDEX('Kode Outlet dan Target Toko'!$A:$A,MATCH($I4097,'Kode Outlet dan Target Toko'!$E:$E,0)),"")</f>
        <v>GRSM 7</v>
      </c>
      <c r="E4097" s="20" t="str">
        <f>IFERROR(VLOOKUP(I4097,KET!$B:$F,4,0),"")</f>
        <v>INDRI</v>
      </c>
      <c r="F4097" s="20" t="str">
        <f>IFERROR(VLOOKUP(I4097,KET!$B:$F,5,0),"")</f>
        <v>GMM</v>
      </c>
      <c r="G4097" s="20">
        <f>IFERROR(INDEX('Kode Outlet dan Target Toko'!$C:$C,MATCH($I4097,'Kode Outlet dan Target Toko'!$E:$E,0)),0)</f>
        <v>103240</v>
      </c>
      <c r="H4097" s="20">
        <f>IFERROR(INDEX('Kode Outlet dan Target Toko'!$D:$D,MATCH($I4097,'Kode Outlet dan Target Toko'!$E:$E,0)),0)</f>
        <v>7112059</v>
      </c>
      <c r="I4097" s="42" t="s">
        <v>116</v>
      </c>
      <c r="J4097" s="56" t="s">
        <v>213</v>
      </c>
      <c r="K4097" s="40" t="s">
        <v>13</v>
      </c>
      <c r="L4097" s="26">
        <v>3200</v>
      </c>
      <c r="M4097" s="26">
        <v>0</v>
      </c>
      <c r="N4097" s="25">
        <f t="shared" si="127"/>
        <v>0</v>
      </c>
      <c r="O4097" s="56"/>
    </row>
    <row r="4098" spans="1:15" hidden="1" x14ac:dyDescent="0.3">
      <c r="A4098" s="26">
        <v>33</v>
      </c>
      <c r="B4098" s="20" t="str">
        <f t="shared" si="126"/>
        <v>AUG</v>
      </c>
      <c r="C4098" s="21">
        <v>46248</v>
      </c>
      <c r="D4098" s="22" t="str">
        <f>IFERROR(INDEX('Kode Outlet dan Target Toko'!$A:$A,MATCH($I4098,'Kode Outlet dan Target Toko'!$E:$E,0)),"")</f>
        <v>GRSM 7</v>
      </c>
      <c r="E4098" s="20" t="str">
        <f>IFERROR(VLOOKUP(I4098,KET!$B:$F,4,0),"")</f>
        <v>INDRI</v>
      </c>
      <c r="F4098" s="20" t="str">
        <f>IFERROR(VLOOKUP(I4098,KET!$B:$F,5,0),"")</f>
        <v>GMM</v>
      </c>
      <c r="G4098" s="20">
        <f>IFERROR(INDEX('Kode Outlet dan Target Toko'!$C:$C,MATCH($I4098,'Kode Outlet dan Target Toko'!$E:$E,0)),0)</f>
        <v>103240</v>
      </c>
      <c r="H4098" s="20">
        <f>IFERROR(INDEX('Kode Outlet dan Target Toko'!$D:$D,MATCH($I4098,'Kode Outlet dan Target Toko'!$E:$E,0)),0)</f>
        <v>7112059</v>
      </c>
      <c r="I4098" s="42" t="s">
        <v>116</v>
      </c>
      <c r="J4098" s="56" t="s">
        <v>213</v>
      </c>
      <c r="K4098" s="40" t="s">
        <v>16</v>
      </c>
      <c r="L4098" s="26">
        <v>3200</v>
      </c>
      <c r="M4098" s="26">
        <v>107</v>
      </c>
      <c r="N4098" s="25">
        <f t="shared" si="127"/>
        <v>342400</v>
      </c>
      <c r="O4098" s="56">
        <v>160</v>
      </c>
    </row>
    <row r="4099" spans="1:15" hidden="1" x14ac:dyDescent="0.3">
      <c r="A4099" s="24">
        <v>34</v>
      </c>
      <c r="B4099" s="20" t="str">
        <f t="shared" si="126"/>
        <v>AUG</v>
      </c>
      <c r="C4099" s="21">
        <v>46255</v>
      </c>
      <c r="D4099" s="22" t="str">
        <f>IFERROR(INDEX('Kode Outlet dan Target Toko'!$A:$A,MATCH($I4099,'Kode Outlet dan Target Toko'!$E:$E,0)),"")</f>
        <v>GRSM 5</v>
      </c>
      <c r="E4099" s="20" t="str">
        <f>IFERROR(VLOOKUP(I4099,KET!$B:$F,4,0),"")</f>
        <v>SUPRIYATI</v>
      </c>
      <c r="F4099" s="20" t="str">
        <f>IFERROR(VLOOKUP($I4099,KET!$B:$F,5,0),"")</f>
        <v>GMM</v>
      </c>
      <c r="G4099" s="20">
        <f>IFERROR(INDEX('Kode Outlet dan Target Toko'!$C:$C,MATCH($I4099,'Kode Outlet dan Target Toko'!$E:$E,0)),0)</f>
        <v>103274</v>
      </c>
      <c r="H4099" s="20">
        <f>IFERROR(INDEX('Kode Outlet dan Target Toko'!$D:$D,MATCH($I4099,'Kode Outlet dan Target Toko'!$E:$E,0)),0)</f>
        <v>1301399</v>
      </c>
      <c r="I4099" s="41" t="s">
        <v>111</v>
      </c>
      <c r="J4099" s="45" t="s">
        <v>205</v>
      </c>
      <c r="K4099" s="53" t="s">
        <v>15</v>
      </c>
      <c r="L4099" s="23">
        <v>3081</v>
      </c>
      <c r="M4099" s="24">
        <v>40</v>
      </c>
      <c r="N4099" s="25">
        <f t="shared" si="127"/>
        <v>123240</v>
      </c>
      <c r="O4099" s="24"/>
    </row>
    <row r="4100" spans="1:15" hidden="1" x14ac:dyDescent="0.3">
      <c r="A4100" s="24">
        <v>34</v>
      </c>
      <c r="B4100" s="20" t="str">
        <f t="shared" si="126"/>
        <v>AUG</v>
      </c>
      <c r="C4100" s="21">
        <v>46255</v>
      </c>
      <c r="D4100" s="22" t="str">
        <f>IFERROR(INDEX('Kode Outlet dan Target Toko'!$A:$A,MATCH($I4100,'Kode Outlet dan Target Toko'!$E:$E,0)),"")</f>
        <v>GRSM 5</v>
      </c>
      <c r="E4100" s="20" t="str">
        <f>IFERROR(VLOOKUP(I4100,KET!$B:$F,4,0),"")</f>
        <v>SUPRIYATI</v>
      </c>
      <c r="F4100" s="20" t="str">
        <f>IFERROR(VLOOKUP($I4100,KET!$B:$F,5,0),"")</f>
        <v>GMM</v>
      </c>
      <c r="G4100" s="20">
        <f>IFERROR(INDEX('Kode Outlet dan Target Toko'!$C:$C,MATCH($I4100,'Kode Outlet dan Target Toko'!$E:$E,0)),0)</f>
        <v>103274</v>
      </c>
      <c r="H4100" s="20">
        <f>IFERROR(INDEX('Kode Outlet dan Target Toko'!$D:$D,MATCH($I4100,'Kode Outlet dan Target Toko'!$E:$E,0)),0)</f>
        <v>1301399</v>
      </c>
      <c r="I4100" s="41" t="s">
        <v>111</v>
      </c>
      <c r="J4100" s="45" t="s">
        <v>205</v>
      </c>
      <c r="K4100" s="53" t="s">
        <v>14</v>
      </c>
      <c r="L4100" s="23">
        <v>3081</v>
      </c>
      <c r="M4100" s="24">
        <v>40</v>
      </c>
      <c r="N4100" s="25">
        <f t="shared" si="127"/>
        <v>123240</v>
      </c>
      <c r="O4100" s="24"/>
    </row>
    <row r="4101" spans="1:15" hidden="1" x14ac:dyDescent="0.3">
      <c r="A4101" s="24">
        <v>34</v>
      </c>
      <c r="B4101" s="20" t="str">
        <f t="shared" si="126"/>
        <v>AUG</v>
      </c>
      <c r="C4101" s="21">
        <v>46255</v>
      </c>
      <c r="D4101" s="22" t="str">
        <f>IFERROR(INDEX('Kode Outlet dan Target Toko'!$A:$A,MATCH($I4101,'Kode Outlet dan Target Toko'!$E:$E,0)),"")</f>
        <v>GRSM 5</v>
      </c>
      <c r="E4101" s="20" t="str">
        <f>IFERROR(VLOOKUP(I4101,KET!$B:$F,4,0),"")</f>
        <v>SUPRIYATI</v>
      </c>
      <c r="F4101" s="20" t="str">
        <f>IFERROR(VLOOKUP($I4101,KET!$B:$F,5,0),"")</f>
        <v>GMM</v>
      </c>
      <c r="G4101" s="20">
        <f>IFERROR(INDEX('Kode Outlet dan Target Toko'!$C:$C,MATCH($I4101,'Kode Outlet dan Target Toko'!$E:$E,0)),0)</f>
        <v>103274</v>
      </c>
      <c r="H4101" s="20">
        <f>IFERROR(INDEX('Kode Outlet dan Target Toko'!$D:$D,MATCH($I4101,'Kode Outlet dan Target Toko'!$E:$E,0)),0)</f>
        <v>1301399</v>
      </c>
      <c r="I4101" s="41" t="s">
        <v>111</v>
      </c>
      <c r="J4101" s="45" t="s">
        <v>205</v>
      </c>
      <c r="K4101" s="53" t="s">
        <v>13</v>
      </c>
      <c r="L4101" s="23">
        <v>3081</v>
      </c>
      <c r="M4101" s="24">
        <v>30</v>
      </c>
      <c r="N4101" s="25">
        <f t="shared" si="127"/>
        <v>92430</v>
      </c>
      <c r="O4101" s="24"/>
    </row>
    <row r="4102" spans="1:15" hidden="1" x14ac:dyDescent="0.3">
      <c r="A4102" s="24">
        <v>34</v>
      </c>
      <c r="B4102" s="20" t="str">
        <f t="shared" si="126"/>
        <v>AUG</v>
      </c>
      <c r="C4102" s="21">
        <v>46255</v>
      </c>
      <c r="D4102" s="22" t="str">
        <f>IFERROR(INDEX('Kode Outlet dan Target Toko'!$A:$A,MATCH($I4102,'Kode Outlet dan Target Toko'!$E:$E,0)),"")</f>
        <v>GRSM 5</v>
      </c>
      <c r="E4102" s="20" t="str">
        <f>IFERROR(VLOOKUP(I4102,KET!$B:$F,4,0),"")</f>
        <v>SUPRIYATI</v>
      </c>
      <c r="F4102" s="20" t="str">
        <f>IFERROR(VLOOKUP($I4102,KET!$B:$F,5,0),"")</f>
        <v>GMM</v>
      </c>
      <c r="G4102" s="20">
        <f>IFERROR(INDEX('Kode Outlet dan Target Toko'!$C:$C,MATCH($I4102,'Kode Outlet dan Target Toko'!$E:$E,0)),0)</f>
        <v>103274</v>
      </c>
      <c r="H4102" s="20">
        <f>IFERROR(INDEX('Kode Outlet dan Target Toko'!$D:$D,MATCH($I4102,'Kode Outlet dan Target Toko'!$E:$E,0)),0)</f>
        <v>1301399</v>
      </c>
      <c r="I4102" s="41" t="s">
        <v>111</v>
      </c>
      <c r="J4102" s="45" t="s">
        <v>205</v>
      </c>
      <c r="K4102" s="53" t="s">
        <v>16</v>
      </c>
      <c r="L4102" s="23">
        <v>3081</v>
      </c>
      <c r="M4102" s="24">
        <v>160</v>
      </c>
      <c r="N4102" s="25">
        <f t="shared" si="127"/>
        <v>492960</v>
      </c>
      <c r="O4102" s="24">
        <v>160</v>
      </c>
    </row>
    <row r="4103" spans="1:15" hidden="1" x14ac:dyDescent="0.3">
      <c r="A4103" s="24">
        <v>34</v>
      </c>
      <c r="B4103" s="20" t="str">
        <f t="shared" ref="B4103:B4166" si="128">IF(C4103="","",UPPER(TEXT(C4103, "MMM")))</f>
        <v>AUG</v>
      </c>
      <c r="C4103" s="21">
        <v>46255</v>
      </c>
      <c r="D4103" s="22" t="str">
        <f>IFERROR(INDEX('Kode Outlet dan Target Toko'!$A:$A,MATCH($I4103,'Kode Outlet dan Target Toko'!$E:$E,0)),"")</f>
        <v>GRSM 5</v>
      </c>
      <c r="E4103" s="20" t="str">
        <f>IFERROR(VLOOKUP(I4103,KET!$B:$F,4,0),"")</f>
        <v>SUPRIYATI</v>
      </c>
      <c r="F4103" s="20" t="str">
        <f>IFERROR(VLOOKUP($I4103,KET!$B:$F,5,0),"")</f>
        <v>GMM</v>
      </c>
      <c r="G4103" s="20">
        <f>IFERROR(INDEX('Kode Outlet dan Target Toko'!$C:$C,MATCH($I4103,'Kode Outlet dan Target Toko'!$E:$E,0)),0)</f>
        <v>103274</v>
      </c>
      <c r="H4103" s="20">
        <f>IFERROR(INDEX('Kode Outlet dan Target Toko'!$D:$D,MATCH($I4103,'Kode Outlet dan Target Toko'!$E:$E,0)),0)</f>
        <v>1301399</v>
      </c>
      <c r="I4103" s="41" t="s">
        <v>111</v>
      </c>
      <c r="J4103" s="45" t="s">
        <v>206</v>
      </c>
      <c r="K4103" s="53" t="s">
        <v>15</v>
      </c>
      <c r="L4103" s="23">
        <v>3081</v>
      </c>
      <c r="M4103" s="24">
        <v>40</v>
      </c>
      <c r="N4103" s="25">
        <f t="shared" ref="N4103:N4166" si="129">IFERROR(M4103*L4103,"")</f>
        <v>123240</v>
      </c>
      <c r="O4103" s="24"/>
    </row>
    <row r="4104" spans="1:15" hidden="1" x14ac:dyDescent="0.3">
      <c r="A4104" s="24">
        <v>34</v>
      </c>
      <c r="B4104" s="20" t="str">
        <f t="shared" si="128"/>
        <v>AUG</v>
      </c>
      <c r="C4104" s="21">
        <v>46255</v>
      </c>
      <c r="D4104" s="22" t="str">
        <f>IFERROR(INDEX('Kode Outlet dan Target Toko'!$A:$A,MATCH($I4104,'Kode Outlet dan Target Toko'!$E:$E,0)),"")</f>
        <v>GRSM 5</v>
      </c>
      <c r="E4104" s="20" t="str">
        <f>IFERROR(VLOOKUP(I4104,KET!$B:$F,4,0),"")</f>
        <v>SUPRIYATI</v>
      </c>
      <c r="F4104" s="20" t="str">
        <f>IFERROR(VLOOKUP($I4104,KET!$B:$F,5,0),"")</f>
        <v>GMM</v>
      </c>
      <c r="G4104" s="20">
        <f>IFERROR(INDEX('Kode Outlet dan Target Toko'!$C:$C,MATCH($I4104,'Kode Outlet dan Target Toko'!$E:$E,0)),0)</f>
        <v>103274</v>
      </c>
      <c r="H4104" s="20">
        <f>IFERROR(INDEX('Kode Outlet dan Target Toko'!$D:$D,MATCH($I4104,'Kode Outlet dan Target Toko'!$E:$E,0)),0)</f>
        <v>1301399</v>
      </c>
      <c r="I4104" s="41" t="s">
        <v>111</v>
      </c>
      <c r="J4104" s="45" t="s">
        <v>206</v>
      </c>
      <c r="K4104" s="53" t="s">
        <v>14</v>
      </c>
      <c r="L4104" s="23">
        <v>3081</v>
      </c>
      <c r="M4104" s="24">
        <v>40</v>
      </c>
      <c r="N4104" s="25">
        <f t="shared" si="129"/>
        <v>123240</v>
      </c>
      <c r="O4104" s="24"/>
    </row>
    <row r="4105" spans="1:15" hidden="1" x14ac:dyDescent="0.3">
      <c r="A4105" s="24">
        <v>34</v>
      </c>
      <c r="B4105" s="20" t="str">
        <f t="shared" si="128"/>
        <v>AUG</v>
      </c>
      <c r="C4105" s="21">
        <v>46255</v>
      </c>
      <c r="D4105" s="22" t="str">
        <f>IFERROR(INDEX('Kode Outlet dan Target Toko'!$A:$A,MATCH($I4105,'Kode Outlet dan Target Toko'!$E:$E,0)),"")</f>
        <v>GRSM 5</v>
      </c>
      <c r="E4105" s="20" t="str">
        <f>IFERROR(VLOOKUP(I4105,KET!$B:$F,4,0),"")</f>
        <v>SUPRIYATI</v>
      </c>
      <c r="F4105" s="20" t="str">
        <f>IFERROR(VLOOKUP($I4105,KET!$B:$F,5,0),"")</f>
        <v>GMM</v>
      </c>
      <c r="G4105" s="20">
        <f>IFERROR(INDEX('Kode Outlet dan Target Toko'!$C:$C,MATCH($I4105,'Kode Outlet dan Target Toko'!$E:$E,0)),0)</f>
        <v>103274</v>
      </c>
      <c r="H4105" s="20">
        <f>IFERROR(INDEX('Kode Outlet dan Target Toko'!$D:$D,MATCH($I4105,'Kode Outlet dan Target Toko'!$E:$E,0)),0)</f>
        <v>1301399</v>
      </c>
      <c r="I4105" s="41" t="s">
        <v>111</v>
      </c>
      <c r="J4105" s="45" t="s">
        <v>206</v>
      </c>
      <c r="K4105" s="53" t="s">
        <v>13</v>
      </c>
      <c r="L4105" s="23">
        <v>3081</v>
      </c>
      <c r="M4105" s="24">
        <v>30</v>
      </c>
      <c r="N4105" s="25">
        <f t="shared" si="129"/>
        <v>92430</v>
      </c>
      <c r="O4105" s="24"/>
    </row>
    <row r="4106" spans="1:15" hidden="1" x14ac:dyDescent="0.3">
      <c r="A4106" s="24">
        <v>34</v>
      </c>
      <c r="B4106" s="20" t="str">
        <f t="shared" si="128"/>
        <v>AUG</v>
      </c>
      <c r="C4106" s="21">
        <v>46255</v>
      </c>
      <c r="D4106" s="22" t="str">
        <f>IFERROR(INDEX('Kode Outlet dan Target Toko'!$A:$A,MATCH($I4106,'Kode Outlet dan Target Toko'!$E:$E,0)),"")</f>
        <v>GRSM 5</v>
      </c>
      <c r="E4106" s="20" t="str">
        <f>IFERROR(VLOOKUP(I4106,KET!$B:$F,4,0),"")</f>
        <v>SUPRIYATI</v>
      </c>
      <c r="F4106" s="20" t="str">
        <f>IFERROR(VLOOKUP($I4106,KET!$B:$F,5,0),"")</f>
        <v>GMM</v>
      </c>
      <c r="G4106" s="20">
        <f>IFERROR(INDEX('Kode Outlet dan Target Toko'!$C:$C,MATCH($I4106,'Kode Outlet dan Target Toko'!$E:$E,0)),0)</f>
        <v>103274</v>
      </c>
      <c r="H4106" s="20">
        <f>IFERROR(INDEX('Kode Outlet dan Target Toko'!$D:$D,MATCH($I4106,'Kode Outlet dan Target Toko'!$E:$E,0)),0)</f>
        <v>1301399</v>
      </c>
      <c r="I4106" s="41" t="s">
        <v>111</v>
      </c>
      <c r="J4106" s="45" t="s">
        <v>206</v>
      </c>
      <c r="K4106" s="53" t="s">
        <v>16</v>
      </c>
      <c r="L4106" s="23">
        <v>3081</v>
      </c>
      <c r="M4106" s="24">
        <v>160</v>
      </c>
      <c r="N4106" s="25">
        <f t="shared" si="129"/>
        <v>492960</v>
      </c>
      <c r="O4106" s="24">
        <v>160</v>
      </c>
    </row>
    <row r="4107" spans="1:15" hidden="1" x14ac:dyDescent="0.3">
      <c r="A4107" s="24">
        <v>34</v>
      </c>
      <c r="B4107" s="20" t="str">
        <f t="shared" si="128"/>
        <v>AUG</v>
      </c>
      <c r="C4107" s="21">
        <v>46255</v>
      </c>
      <c r="D4107" s="22" t="str">
        <f>IFERROR(INDEX('Kode Outlet dan Target Toko'!$A:$A,MATCH($I4107,'Kode Outlet dan Target Toko'!$E:$E,0)),"")</f>
        <v>GRSM 5</v>
      </c>
      <c r="E4107" s="20" t="str">
        <f>IFERROR(VLOOKUP(I4107,KET!$B:$F,4,0),"")</f>
        <v>SUPRIYATI</v>
      </c>
      <c r="F4107" s="20" t="str">
        <f>IFERROR(VLOOKUP($I4107,KET!$B:$F,5,0),"")</f>
        <v>GMM</v>
      </c>
      <c r="G4107" s="20">
        <f>IFERROR(INDEX('Kode Outlet dan Target Toko'!$C:$C,MATCH($I4107,'Kode Outlet dan Target Toko'!$E:$E,0)),0)</f>
        <v>211050</v>
      </c>
      <c r="H4107" s="20">
        <f>IFERROR(INDEX('Kode Outlet dan Target Toko'!$D:$D,MATCH($I4107,'Kode Outlet dan Target Toko'!$E:$E,0)),0)</f>
        <v>2910733</v>
      </c>
      <c r="I4107" s="41" t="s">
        <v>93</v>
      </c>
      <c r="J4107" s="45" t="s">
        <v>226</v>
      </c>
      <c r="K4107" s="53" t="s">
        <v>15</v>
      </c>
      <c r="L4107" s="23">
        <v>3000</v>
      </c>
      <c r="M4107" s="24">
        <v>42</v>
      </c>
      <c r="N4107" s="25">
        <f t="shared" si="129"/>
        <v>126000</v>
      </c>
      <c r="O4107" s="24"/>
    </row>
    <row r="4108" spans="1:15" hidden="1" x14ac:dyDescent="0.3">
      <c r="A4108" s="24">
        <v>34</v>
      </c>
      <c r="B4108" s="20" t="str">
        <f t="shared" si="128"/>
        <v>AUG</v>
      </c>
      <c r="C4108" s="21">
        <v>46255</v>
      </c>
      <c r="D4108" s="22" t="str">
        <f>IFERROR(INDEX('Kode Outlet dan Target Toko'!$A:$A,MATCH($I4108,'Kode Outlet dan Target Toko'!$E:$E,0)),"")</f>
        <v>GRSM 5</v>
      </c>
      <c r="E4108" s="20" t="str">
        <f>IFERROR(VLOOKUP(I4108,KET!$B:$F,4,0),"")</f>
        <v>SUPRIYATI</v>
      </c>
      <c r="F4108" s="20" t="str">
        <f>IFERROR(VLOOKUP($I4108,KET!$B:$F,5,0),"")</f>
        <v>GMM</v>
      </c>
      <c r="G4108" s="20">
        <f>IFERROR(INDEX('Kode Outlet dan Target Toko'!$C:$C,MATCH($I4108,'Kode Outlet dan Target Toko'!$E:$E,0)),0)</f>
        <v>211050</v>
      </c>
      <c r="H4108" s="20">
        <f>IFERROR(INDEX('Kode Outlet dan Target Toko'!$D:$D,MATCH($I4108,'Kode Outlet dan Target Toko'!$E:$E,0)),0)</f>
        <v>2910733</v>
      </c>
      <c r="I4108" s="41" t="s">
        <v>93</v>
      </c>
      <c r="J4108" s="45" t="s">
        <v>226</v>
      </c>
      <c r="K4108" s="53" t="s">
        <v>14</v>
      </c>
      <c r="L4108" s="23">
        <v>3000</v>
      </c>
      <c r="M4108" s="24">
        <v>165</v>
      </c>
      <c r="N4108" s="25">
        <f t="shared" si="129"/>
        <v>495000</v>
      </c>
      <c r="O4108" s="24"/>
    </row>
    <row r="4109" spans="1:15" hidden="1" x14ac:dyDescent="0.3">
      <c r="A4109" s="24">
        <v>34</v>
      </c>
      <c r="B4109" s="20" t="str">
        <f t="shared" si="128"/>
        <v>AUG</v>
      </c>
      <c r="C4109" s="21">
        <v>46255</v>
      </c>
      <c r="D4109" s="22" t="str">
        <f>IFERROR(INDEX('Kode Outlet dan Target Toko'!$A:$A,MATCH($I4109,'Kode Outlet dan Target Toko'!$E:$E,0)),"")</f>
        <v>GRSM 5</v>
      </c>
      <c r="E4109" s="20" t="str">
        <f>IFERROR(VLOOKUP(I4109,KET!$B:$F,4,0),"")</f>
        <v>SUPRIYATI</v>
      </c>
      <c r="F4109" s="20" t="str">
        <f>IFERROR(VLOOKUP($I4109,KET!$B:$F,5,0),"")</f>
        <v>GMM</v>
      </c>
      <c r="G4109" s="20">
        <f>IFERROR(INDEX('Kode Outlet dan Target Toko'!$C:$C,MATCH($I4109,'Kode Outlet dan Target Toko'!$E:$E,0)),0)</f>
        <v>211050</v>
      </c>
      <c r="H4109" s="20">
        <f>IFERROR(INDEX('Kode Outlet dan Target Toko'!$D:$D,MATCH($I4109,'Kode Outlet dan Target Toko'!$E:$E,0)),0)</f>
        <v>2910733</v>
      </c>
      <c r="I4109" s="41" t="s">
        <v>93</v>
      </c>
      <c r="J4109" s="45" t="s">
        <v>226</v>
      </c>
      <c r="K4109" s="53" t="s">
        <v>13</v>
      </c>
      <c r="L4109" s="23">
        <v>3000</v>
      </c>
      <c r="M4109" s="24">
        <v>12</v>
      </c>
      <c r="N4109" s="25">
        <f t="shared" si="129"/>
        <v>36000</v>
      </c>
      <c r="O4109" s="24"/>
    </row>
    <row r="4110" spans="1:15" hidden="1" x14ac:dyDescent="0.3">
      <c r="A4110" s="24">
        <v>34</v>
      </c>
      <c r="B4110" s="20" t="str">
        <f t="shared" si="128"/>
        <v>AUG</v>
      </c>
      <c r="C4110" s="21">
        <v>46255</v>
      </c>
      <c r="D4110" s="22" t="str">
        <f>IFERROR(INDEX('Kode Outlet dan Target Toko'!$A:$A,MATCH($I4110,'Kode Outlet dan Target Toko'!$E:$E,0)),"")</f>
        <v>GRSM 5</v>
      </c>
      <c r="E4110" s="20" t="str">
        <f>IFERROR(VLOOKUP(I4110,KET!$B:$F,4,0),"")</f>
        <v>SUPRIYATI</v>
      </c>
      <c r="F4110" s="20" t="str">
        <f>IFERROR(VLOOKUP($I4110,KET!$B:$F,5,0),"")</f>
        <v>GMM</v>
      </c>
      <c r="G4110" s="20">
        <f>IFERROR(INDEX('Kode Outlet dan Target Toko'!$C:$C,MATCH($I4110,'Kode Outlet dan Target Toko'!$E:$E,0)),0)</f>
        <v>211050</v>
      </c>
      <c r="H4110" s="20">
        <f>IFERROR(INDEX('Kode Outlet dan Target Toko'!$D:$D,MATCH($I4110,'Kode Outlet dan Target Toko'!$E:$E,0)),0)</f>
        <v>2910733</v>
      </c>
      <c r="I4110" s="41" t="s">
        <v>93</v>
      </c>
      <c r="J4110" s="45" t="s">
        <v>226</v>
      </c>
      <c r="K4110" s="53" t="s">
        <v>16</v>
      </c>
      <c r="L4110" s="23">
        <v>3000</v>
      </c>
      <c r="M4110" s="24">
        <v>45</v>
      </c>
      <c r="N4110" s="25">
        <f t="shared" si="129"/>
        <v>135000</v>
      </c>
      <c r="O4110" s="24">
        <v>160</v>
      </c>
    </row>
    <row r="4111" spans="1:15" hidden="1" x14ac:dyDescent="0.3">
      <c r="A4111" s="24">
        <v>34</v>
      </c>
      <c r="B4111" s="20" t="str">
        <f t="shared" si="128"/>
        <v>AUG</v>
      </c>
      <c r="C4111" s="21">
        <v>46255</v>
      </c>
      <c r="D4111" s="22" t="str">
        <f>IFERROR(INDEX('Kode Outlet dan Target Toko'!$A:$A,MATCH($I4111,'Kode Outlet dan Target Toko'!$E:$E,0)),"")</f>
        <v>GRSM 5</v>
      </c>
      <c r="E4111" s="20" t="str">
        <f>IFERROR(VLOOKUP(I4111,KET!$B:$F,4,0),"")</f>
        <v>SUPRIYATI</v>
      </c>
      <c r="F4111" s="20" t="str">
        <f>IFERROR(VLOOKUP($I4111,KET!$B:$F,5,0),"")</f>
        <v>GMM</v>
      </c>
      <c r="G4111" s="20">
        <f>IFERROR(INDEX('Kode Outlet dan Target Toko'!$C:$C,MATCH($I4111,'Kode Outlet dan Target Toko'!$E:$E,0)),0)</f>
        <v>211050</v>
      </c>
      <c r="H4111" s="20">
        <f>IFERROR(INDEX('Kode Outlet dan Target Toko'!$D:$D,MATCH($I4111,'Kode Outlet dan Target Toko'!$E:$E,0)),0)</f>
        <v>2910733</v>
      </c>
      <c r="I4111" s="41" t="s">
        <v>93</v>
      </c>
      <c r="J4111" s="45" t="s">
        <v>227</v>
      </c>
      <c r="K4111" s="53" t="s">
        <v>15</v>
      </c>
      <c r="L4111" s="23">
        <v>3000</v>
      </c>
      <c r="M4111" s="24">
        <v>42</v>
      </c>
      <c r="N4111" s="25">
        <f t="shared" si="129"/>
        <v>126000</v>
      </c>
      <c r="O4111" s="24"/>
    </row>
    <row r="4112" spans="1:15" hidden="1" x14ac:dyDescent="0.3">
      <c r="A4112" s="24">
        <v>34</v>
      </c>
      <c r="B4112" s="20" t="str">
        <f t="shared" si="128"/>
        <v>AUG</v>
      </c>
      <c r="C4112" s="21">
        <v>46255</v>
      </c>
      <c r="D4112" s="22" t="str">
        <f>IFERROR(INDEX('Kode Outlet dan Target Toko'!$A:$A,MATCH($I4112,'Kode Outlet dan Target Toko'!$E:$E,0)),"")</f>
        <v>GRSM 5</v>
      </c>
      <c r="E4112" s="20" t="str">
        <f>IFERROR(VLOOKUP(I4112,KET!$B:$F,4,0),"")</f>
        <v>SUPRIYATI</v>
      </c>
      <c r="F4112" s="20" t="str">
        <f>IFERROR(VLOOKUP($I4112,KET!$B:$F,5,0),"")</f>
        <v>GMM</v>
      </c>
      <c r="G4112" s="20">
        <f>IFERROR(INDEX('Kode Outlet dan Target Toko'!$C:$C,MATCH($I4112,'Kode Outlet dan Target Toko'!$E:$E,0)),0)</f>
        <v>211050</v>
      </c>
      <c r="H4112" s="20">
        <f>IFERROR(INDEX('Kode Outlet dan Target Toko'!$D:$D,MATCH($I4112,'Kode Outlet dan Target Toko'!$E:$E,0)),0)</f>
        <v>2910733</v>
      </c>
      <c r="I4112" s="41" t="s">
        <v>93</v>
      </c>
      <c r="J4112" s="45" t="s">
        <v>227</v>
      </c>
      <c r="K4112" s="53" t="s">
        <v>14</v>
      </c>
      <c r="L4112" s="23">
        <v>3000</v>
      </c>
      <c r="M4112" s="24">
        <v>165</v>
      </c>
      <c r="N4112" s="25">
        <f t="shared" si="129"/>
        <v>495000</v>
      </c>
      <c r="O4112" s="24"/>
    </row>
    <row r="4113" spans="1:15" hidden="1" x14ac:dyDescent="0.3">
      <c r="A4113" s="24">
        <v>34</v>
      </c>
      <c r="B4113" s="20" t="str">
        <f t="shared" si="128"/>
        <v>AUG</v>
      </c>
      <c r="C4113" s="21">
        <v>46255</v>
      </c>
      <c r="D4113" s="22" t="str">
        <f>IFERROR(INDEX('Kode Outlet dan Target Toko'!$A:$A,MATCH($I4113,'Kode Outlet dan Target Toko'!$E:$E,0)),"")</f>
        <v>GRSM 5</v>
      </c>
      <c r="E4113" s="20" t="str">
        <f>IFERROR(VLOOKUP(I4113,KET!$B:$F,4,0),"")</f>
        <v>SUPRIYATI</v>
      </c>
      <c r="F4113" s="20" t="str">
        <f>IFERROR(VLOOKUP($I4113,KET!$B:$F,5,0),"")</f>
        <v>GMM</v>
      </c>
      <c r="G4113" s="20">
        <f>IFERROR(INDEX('Kode Outlet dan Target Toko'!$C:$C,MATCH($I4113,'Kode Outlet dan Target Toko'!$E:$E,0)),0)</f>
        <v>211050</v>
      </c>
      <c r="H4113" s="20">
        <f>IFERROR(INDEX('Kode Outlet dan Target Toko'!$D:$D,MATCH($I4113,'Kode Outlet dan Target Toko'!$E:$E,0)),0)</f>
        <v>2910733</v>
      </c>
      <c r="I4113" s="41" t="s">
        <v>93</v>
      </c>
      <c r="J4113" s="45" t="s">
        <v>227</v>
      </c>
      <c r="K4113" s="53" t="s">
        <v>13</v>
      </c>
      <c r="L4113" s="23">
        <v>3000</v>
      </c>
      <c r="M4113" s="24">
        <v>12</v>
      </c>
      <c r="N4113" s="25">
        <f t="shared" si="129"/>
        <v>36000</v>
      </c>
      <c r="O4113" s="24"/>
    </row>
    <row r="4114" spans="1:15" hidden="1" x14ac:dyDescent="0.3">
      <c r="A4114" s="24">
        <v>34</v>
      </c>
      <c r="B4114" s="20" t="str">
        <f t="shared" si="128"/>
        <v>AUG</v>
      </c>
      <c r="C4114" s="21">
        <v>46255</v>
      </c>
      <c r="D4114" s="22" t="str">
        <f>IFERROR(INDEX('Kode Outlet dan Target Toko'!$A:$A,MATCH($I4114,'Kode Outlet dan Target Toko'!$E:$E,0)),"")</f>
        <v>GRSM 5</v>
      </c>
      <c r="E4114" s="20" t="str">
        <f>IFERROR(VLOOKUP(I4114,KET!$B:$F,4,0),"")</f>
        <v>SUPRIYATI</v>
      </c>
      <c r="F4114" s="20" t="str">
        <f>IFERROR(VLOOKUP($I4114,KET!$B:$F,5,0),"")</f>
        <v>GMM</v>
      </c>
      <c r="G4114" s="20">
        <f>IFERROR(INDEX('Kode Outlet dan Target Toko'!$C:$C,MATCH($I4114,'Kode Outlet dan Target Toko'!$E:$E,0)),0)</f>
        <v>211050</v>
      </c>
      <c r="H4114" s="20">
        <f>IFERROR(INDEX('Kode Outlet dan Target Toko'!$D:$D,MATCH($I4114,'Kode Outlet dan Target Toko'!$E:$E,0)),0)</f>
        <v>2910733</v>
      </c>
      <c r="I4114" s="41" t="s">
        <v>93</v>
      </c>
      <c r="J4114" s="45" t="s">
        <v>227</v>
      </c>
      <c r="K4114" s="53" t="s">
        <v>16</v>
      </c>
      <c r="L4114" s="23">
        <v>3000</v>
      </c>
      <c r="M4114" s="24">
        <v>45</v>
      </c>
      <c r="N4114" s="25">
        <f t="shared" si="129"/>
        <v>135000</v>
      </c>
      <c r="O4114" s="24">
        <v>160</v>
      </c>
    </row>
    <row r="4115" spans="1:15" hidden="1" x14ac:dyDescent="0.3">
      <c r="A4115" s="24">
        <v>34</v>
      </c>
      <c r="B4115" s="20" t="str">
        <f t="shared" si="128"/>
        <v>AUG</v>
      </c>
      <c r="C4115" s="21">
        <v>46255</v>
      </c>
      <c r="D4115" s="22" t="str">
        <f>IFERROR(INDEX('Kode Outlet dan Target Toko'!$A:$A,MATCH($I4115,'Kode Outlet dan Target Toko'!$E:$E,0)),"")</f>
        <v>GRSM 5</v>
      </c>
      <c r="E4115" s="20" t="str">
        <f>IFERROR(VLOOKUP(I4115,KET!$B:$F,4,0),"")</f>
        <v>SUPRIYATI</v>
      </c>
      <c r="F4115" s="20" t="str">
        <f>IFERROR(VLOOKUP($I4115,KET!$B:$F,5,0),"")</f>
        <v>MT</v>
      </c>
      <c r="G4115" s="20">
        <f>IFERROR(INDEX('Kode Outlet dan Target Toko'!$C:$C,MATCH($I4115,'Kode Outlet dan Target Toko'!$E:$E,0)),0)</f>
        <v>166102</v>
      </c>
      <c r="H4115" s="20">
        <f>IFERROR(INDEX('Kode Outlet dan Target Toko'!$D:$D,MATCH($I4115,'Kode Outlet dan Target Toko'!$E:$E,0)),0)</f>
        <v>9000058</v>
      </c>
      <c r="I4115" s="41" t="s">
        <v>119</v>
      </c>
      <c r="J4115" s="45" t="s">
        <v>232</v>
      </c>
      <c r="K4115" s="53" t="s">
        <v>15</v>
      </c>
      <c r="L4115" s="23">
        <v>3199</v>
      </c>
      <c r="M4115" s="24">
        <v>95</v>
      </c>
      <c r="N4115" s="25">
        <f t="shared" si="129"/>
        <v>303905</v>
      </c>
      <c r="O4115" s="24"/>
    </row>
    <row r="4116" spans="1:15" hidden="1" x14ac:dyDescent="0.3">
      <c r="A4116" s="24">
        <v>34</v>
      </c>
      <c r="B4116" s="20" t="str">
        <f t="shared" si="128"/>
        <v>AUG</v>
      </c>
      <c r="C4116" s="21">
        <v>46255</v>
      </c>
      <c r="D4116" s="22" t="str">
        <f>IFERROR(INDEX('Kode Outlet dan Target Toko'!$A:$A,MATCH($I4116,'Kode Outlet dan Target Toko'!$E:$E,0)),"")</f>
        <v>GRSM 5</v>
      </c>
      <c r="E4116" s="20" t="str">
        <f>IFERROR(VLOOKUP(I4116,KET!$B:$F,4,0),"")</f>
        <v>SUPRIYATI</v>
      </c>
      <c r="F4116" s="20" t="str">
        <f>IFERROR(VLOOKUP($I4116,KET!$B:$F,5,0),"")</f>
        <v>MT</v>
      </c>
      <c r="G4116" s="20">
        <f>IFERROR(INDEX('Kode Outlet dan Target Toko'!$C:$C,MATCH($I4116,'Kode Outlet dan Target Toko'!$E:$E,0)),0)</f>
        <v>166102</v>
      </c>
      <c r="H4116" s="20">
        <f>IFERROR(INDEX('Kode Outlet dan Target Toko'!$D:$D,MATCH($I4116,'Kode Outlet dan Target Toko'!$E:$E,0)),0)</f>
        <v>9000058</v>
      </c>
      <c r="I4116" s="41" t="s">
        <v>119</v>
      </c>
      <c r="J4116" s="45" t="s">
        <v>232</v>
      </c>
      <c r="K4116" s="53" t="s">
        <v>14</v>
      </c>
      <c r="L4116" s="23">
        <v>3199</v>
      </c>
      <c r="M4116" s="24">
        <v>0</v>
      </c>
      <c r="N4116" s="25">
        <f t="shared" si="129"/>
        <v>0</v>
      </c>
      <c r="O4116" s="24"/>
    </row>
    <row r="4117" spans="1:15" hidden="1" x14ac:dyDescent="0.3">
      <c r="A4117" s="24">
        <v>34</v>
      </c>
      <c r="B4117" s="20" t="str">
        <f t="shared" si="128"/>
        <v>AUG</v>
      </c>
      <c r="C4117" s="21">
        <v>46255</v>
      </c>
      <c r="D4117" s="22" t="str">
        <f>IFERROR(INDEX('Kode Outlet dan Target Toko'!$A:$A,MATCH($I4117,'Kode Outlet dan Target Toko'!$E:$E,0)),"")</f>
        <v>GRSM 5</v>
      </c>
      <c r="E4117" s="20" t="str">
        <f>IFERROR(VLOOKUP(I4117,KET!$B:$F,4,0),"")</f>
        <v>SUPRIYATI</v>
      </c>
      <c r="F4117" s="20" t="str">
        <f>IFERROR(VLOOKUP($I4117,KET!$B:$F,5,0),"")</f>
        <v>MT</v>
      </c>
      <c r="G4117" s="20">
        <f>IFERROR(INDEX('Kode Outlet dan Target Toko'!$C:$C,MATCH($I4117,'Kode Outlet dan Target Toko'!$E:$E,0)),0)</f>
        <v>166102</v>
      </c>
      <c r="H4117" s="20">
        <f>IFERROR(INDEX('Kode Outlet dan Target Toko'!$D:$D,MATCH($I4117,'Kode Outlet dan Target Toko'!$E:$E,0)),0)</f>
        <v>9000058</v>
      </c>
      <c r="I4117" s="41" t="s">
        <v>119</v>
      </c>
      <c r="J4117" s="45" t="s">
        <v>232</v>
      </c>
      <c r="K4117" s="53" t="s">
        <v>13</v>
      </c>
      <c r="L4117" s="23">
        <v>3199</v>
      </c>
      <c r="M4117" s="24">
        <v>35</v>
      </c>
      <c r="N4117" s="25">
        <f t="shared" si="129"/>
        <v>111965</v>
      </c>
      <c r="O4117" s="24"/>
    </row>
    <row r="4118" spans="1:15" hidden="1" x14ac:dyDescent="0.3">
      <c r="A4118" s="24">
        <v>34</v>
      </c>
      <c r="B4118" s="20" t="str">
        <f t="shared" si="128"/>
        <v>AUG</v>
      </c>
      <c r="C4118" s="21">
        <v>46255</v>
      </c>
      <c r="D4118" s="22" t="str">
        <f>IFERROR(INDEX('Kode Outlet dan Target Toko'!$A:$A,MATCH($I4118,'Kode Outlet dan Target Toko'!$E:$E,0)),"")</f>
        <v>GRSM 5</v>
      </c>
      <c r="E4118" s="20" t="str">
        <f>IFERROR(VLOOKUP(I4118,KET!$B:$F,4,0),"")</f>
        <v>SUPRIYATI</v>
      </c>
      <c r="F4118" s="20" t="str">
        <f>IFERROR(VLOOKUP($I4118,KET!$B:$F,5,0),"")</f>
        <v>MT</v>
      </c>
      <c r="G4118" s="20">
        <f>IFERROR(INDEX('Kode Outlet dan Target Toko'!$C:$C,MATCH($I4118,'Kode Outlet dan Target Toko'!$E:$E,0)),0)</f>
        <v>166102</v>
      </c>
      <c r="H4118" s="20">
        <f>IFERROR(INDEX('Kode Outlet dan Target Toko'!$D:$D,MATCH($I4118,'Kode Outlet dan Target Toko'!$E:$E,0)),0)</f>
        <v>9000058</v>
      </c>
      <c r="I4118" s="41" t="s">
        <v>119</v>
      </c>
      <c r="J4118" s="45" t="s">
        <v>232</v>
      </c>
      <c r="K4118" s="53" t="s">
        <v>16</v>
      </c>
      <c r="L4118" s="23">
        <v>3199</v>
      </c>
      <c r="M4118" s="24">
        <v>190</v>
      </c>
      <c r="N4118" s="25">
        <f t="shared" si="129"/>
        <v>607810</v>
      </c>
      <c r="O4118" s="24">
        <v>160</v>
      </c>
    </row>
    <row r="4119" spans="1:15" hidden="1" x14ac:dyDescent="0.3">
      <c r="A4119" s="24">
        <v>34</v>
      </c>
      <c r="B4119" s="20" t="str">
        <f t="shared" si="128"/>
        <v>AUG</v>
      </c>
      <c r="C4119" s="21">
        <v>46255</v>
      </c>
      <c r="D4119" s="22" t="str">
        <f>IFERROR(INDEX('Kode Outlet dan Target Toko'!$A:$A,MATCH($I4119,'Kode Outlet dan Target Toko'!$E:$E,0)),"")</f>
        <v>GRSM 5</v>
      </c>
      <c r="E4119" s="20" t="str">
        <f>IFERROR(VLOOKUP(I4119,KET!$B:$F,4,0),"")</f>
        <v>SUPRIYATI</v>
      </c>
      <c r="F4119" s="20" t="str">
        <f>IFERROR(VLOOKUP($I4119,KET!$B:$F,5,0),"")</f>
        <v>MT</v>
      </c>
      <c r="G4119" s="20">
        <f>IFERROR(INDEX('Kode Outlet dan Target Toko'!$C:$C,MATCH($I4119,'Kode Outlet dan Target Toko'!$E:$E,0)),0)</f>
        <v>166102</v>
      </c>
      <c r="H4119" s="20">
        <f>IFERROR(INDEX('Kode Outlet dan Target Toko'!$D:$D,MATCH($I4119,'Kode Outlet dan Target Toko'!$E:$E,0)),0)</f>
        <v>9000058</v>
      </c>
      <c r="I4119" s="41" t="s">
        <v>119</v>
      </c>
      <c r="J4119" s="45" t="s">
        <v>233</v>
      </c>
      <c r="K4119" s="53" t="s">
        <v>15</v>
      </c>
      <c r="L4119" s="23">
        <v>3199</v>
      </c>
      <c r="M4119" s="24">
        <v>95</v>
      </c>
      <c r="N4119" s="25">
        <f t="shared" si="129"/>
        <v>303905</v>
      </c>
      <c r="O4119" s="24"/>
    </row>
    <row r="4120" spans="1:15" hidden="1" x14ac:dyDescent="0.3">
      <c r="A4120" s="24">
        <v>34</v>
      </c>
      <c r="B4120" s="20" t="str">
        <f t="shared" si="128"/>
        <v>AUG</v>
      </c>
      <c r="C4120" s="21">
        <v>46255</v>
      </c>
      <c r="D4120" s="22" t="str">
        <f>IFERROR(INDEX('Kode Outlet dan Target Toko'!$A:$A,MATCH($I4120,'Kode Outlet dan Target Toko'!$E:$E,0)),"")</f>
        <v>GRSM 5</v>
      </c>
      <c r="E4120" s="20" t="str">
        <f>IFERROR(VLOOKUP(I4120,KET!$B:$F,4,0),"")</f>
        <v>SUPRIYATI</v>
      </c>
      <c r="F4120" s="20" t="str">
        <f>IFERROR(VLOOKUP($I4120,KET!$B:$F,5,0),"")</f>
        <v>MT</v>
      </c>
      <c r="G4120" s="20">
        <f>IFERROR(INDEX('Kode Outlet dan Target Toko'!$C:$C,MATCH($I4120,'Kode Outlet dan Target Toko'!$E:$E,0)),0)</f>
        <v>166102</v>
      </c>
      <c r="H4120" s="20">
        <f>IFERROR(INDEX('Kode Outlet dan Target Toko'!$D:$D,MATCH($I4120,'Kode Outlet dan Target Toko'!$E:$E,0)),0)</f>
        <v>9000058</v>
      </c>
      <c r="I4120" s="41" t="s">
        <v>119</v>
      </c>
      <c r="J4120" s="45" t="s">
        <v>233</v>
      </c>
      <c r="K4120" s="53" t="s">
        <v>14</v>
      </c>
      <c r="L4120" s="23">
        <v>3199</v>
      </c>
      <c r="M4120" s="24">
        <v>0</v>
      </c>
      <c r="N4120" s="25">
        <f t="shared" si="129"/>
        <v>0</v>
      </c>
      <c r="O4120" s="24"/>
    </row>
    <row r="4121" spans="1:15" hidden="1" x14ac:dyDescent="0.3">
      <c r="A4121" s="24">
        <v>34</v>
      </c>
      <c r="B4121" s="20" t="str">
        <f t="shared" si="128"/>
        <v>AUG</v>
      </c>
      <c r="C4121" s="21">
        <v>46255</v>
      </c>
      <c r="D4121" s="22" t="str">
        <f>IFERROR(INDEX('Kode Outlet dan Target Toko'!$A:$A,MATCH($I4121,'Kode Outlet dan Target Toko'!$E:$E,0)),"")</f>
        <v>GRSM 5</v>
      </c>
      <c r="E4121" s="20" t="str">
        <f>IFERROR(VLOOKUP(I4121,KET!$B:$F,4,0),"")</f>
        <v>SUPRIYATI</v>
      </c>
      <c r="F4121" s="20" t="str">
        <f>IFERROR(VLOOKUP($I4121,KET!$B:$F,5,0),"")</f>
        <v>MT</v>
      </c>
      <c r="G4121" s="20">
        <f>IFERROR(INDEX('Kode Outlet dan Target Toko'!$C:$C,MATCH($I4121,'Kode Outlet dan Target Toko'!$E:$E,0)),0)</f>
        <v>166102</v>
      </c>
      <c r="H4121" s="20">
        <f>IFERROR(INDEX('Kode Outlet dan Target Toko'!$D:$D,MATCH($I4121,'Kode Outlet dan Target Toko'!$E:$E,0)),0)</f>
        <v>9000058</v>
      </c>
      <c r="I4121" s="41" t="s">
        <v>119</v>
      </c>
      <c r="J4121" s="45" t="s">
        <v>233</v>
      </c>
      <c r="K4121" s="53" t="s">
        <v>13</v>
      </c>
      <c r="L4121" s="23">
        <v>3199</v>
      </c>
      <c r="M4121" s="24">
        <v>35</v>
      </c>
      <c r="N4121" s="25">
        <f t="shared" si="129"/>
        <v>111965</v>
      </c>
      <c r="O4121" s="24"/>
    </row>
    <row r="4122" spans="1:15" hidden="1" x14ac:dyDescent="0.3">
      <c r="A4122" s="24">
        <v>34</v>
      </c>
      <c r="B4122" s="20" t="str">
        <f t="shared" si="128"/>
        <v>AUG</v>
      </c>
      <c r="C4122" s="21">
        <v>46255</v>
      </c>
      <c r="D4122" s="22" t="str">
        <f>IFERROR(INDEX('Kode Outlet dan Target Toko'!$A:$A,MATCH($I4122,'Kode Outlet dan Target Toko'!$E:$E,0)),"")</f>
        <v>GRSM 5</v>
      </c>
      <c r="E4122" s="20" t="str">
        <f>IFERROR(VLOOKUP(I4122,KET!$B:$F,4,0),"")</f>
        <v>SUPRIYATI</v>
      </c>
      <c r="F4122" s="20" t="str">
        <f>IFERROR(VLOOKUP($I4122,KET!$B:$F,5,0),"")</f>
        <v>MT</v>
      </c>
      <c r="G4122" s="20">
        <f>IFERROR(INDEX('Kode Outlet dan Target Toko'!$C:$C,MATCH($I4122,'Kode Outlet dan Target Toko'!$E:$E,0)),0)</f>
        <v>166102</v>
      </c>
      <c r="H4122" s="20">
        <f>IFERROR(INDEX('Kode Outlet dan Target Toko'!$D:$D,MATCH($I4122,'Kode Outlet dan Target Toko'!$E:$E,0)),0)</f>
        <v>9000058</v>
      </c>
      <c r="I4122" s="41" t="s">
        <v>119</v>
      </c>
      <c r="J4122" s="45" t="s">
        <v>233</v>
      </c>
      <c r="K4122" s="53" t="s">
        <v>16</v>
      </c>
      <c r="L4122" s="23">
        <v>3199</v>
      </c>
      <c r="M4122" s="24">
        <v>190</v>
      </c>
      <c r="N4122" s="25">
        <f t="shared" si="129"/>
        <v>607810</v>
      </c>
      <c r="O4122" s="24">
        <v>160</v>
      </c>
    </row>
    <row r="4123" spans="1:15" hidden="1" x14ac:dyDescent="0.3">
      <c r="A4123" s="24">
        <v>34</v>
      </c>
      <c r="B4123" s="20" t="str">
        <f t="shared" si="128"/>
        <v>AUG</v>
      </c>
      <c r="C4123" s="21">
        <v>46255</v>
      </c>
      <c r="D4123" s="22" t="str">
        <f>IFERROR(INDEX('Kode Outlet dan Target Toko'!$A:$A,MATCH($I4123,'Kode Outlet dan Target Toko'!$E:$E,0)),"")</f>
        <v>GRSM 5</v>
      </c>
      <c r="E4123" s="20" t="str">
        <f>IFERROR(VLOOKUP(I4123,KET!$B:$F,4,0),"")</f>
        <v>SUPRIYATI</v>
      </c>
      <c r="F4123" s="20" t="str">
        <f>IFERROR(VLOOKUP($I4123,KET!$B:$F,5,0),"")</f>
        <v>GMM</v>
      </c>
      <c r="G4123" s="20">
        <f>IFERROR(INDEX('Kode Outlet dan Target Toko'!$C:$C,MATCH($I4123,'Kode Outlet dan Target Toko'!$E:$E,0)),0)</f>
        <v>0</v>
      </c>
      <c r="H4123" s="20">
        <f>IFERROR(INDEX('Kode Outlet dan Target Toko'!$D:$D,MATCH($I4123,'Kode Outlet dan Target Toko'!$E:$E,0)),0)</f>
        <v>0</v>
      </c>
      <c r="I4123" s="41" t="s">
        <v>117</v>
      </c>
      <c r="J4123" s="45" t="s">
        <v>228</v>
      </c>
      <c r="K4123" s="53" t="s">
        <v>15</v>
      </c>
      <c r="L4123" s="23">
        <v>3200</v>
      </c>
      <c r="M4123" s="24">
        <v>53</v>
      </c>
      <c r="N4123" s="25">
        <f t="shared" si="129"/>
        <v>169600</v>
      </c>
      <c r="O4123" s="24"/>
    </row>
    <row r="4124" spans="1:15" hidden="1" x14ac:dyDescent="0.3">
      <c r="A4124" s="24">
        <v>34</v>
      </c>
      <c r="B4124" s="20" t="str">
        <f t="shared" si="128"/>
        <v>AUG</v>
      </c>
      <c r="C4124" s="21">
        <v>46255</v>
      </c>
      <c r="D4124" s="22" t="str">
        <f>IFERROR(INDEX('Kode Outlet dan Target Toko'!$A:$A,MATCH($I4124,'Kode Outlet dan Target Toko'!$E:$E,0)),"")</f>
        <v>GRSM 5</v>
      </c>
      <c r="E4124" s="20" t="str">
        <f>IFERROR(VLOOKUP(I4124,KET!$B:$F,4,0),"")</f>
        <v>SUPRIYATI</v>
      </c>
      <c r="F4124" s="20" t="str">
        <f>IFERROR(VLOOKUP($I4124,KET!$B:$F,5,0),"")</f>
        <v>GMM</v>
      </c>
      <c r="G4124" s="20">
        <f>IFERROR(INDEX('Kode Outlet dan Target Toko'!$C:$C,MATCH($I4124,'Kode Outlet dan Target Toko'!$E:$E,0)),0)</f>
        <v>0</v>
      </c>
      <c r="H4124" s="20">
        <f>IFERROR(INDEX('Kode Outlet dan Target Toko'!$D:$D,MATCH($I4124,'Kode Outlet dan Target Toko'!$E:$E,0)),0)</f>
        <v>0</v>
      </c>
      <c r="I4124" s="41" t="s">
        <v>117</v>
      </c>
      <c r="J4124" s="45" t="s">
        <v>228</v>
      </c>
      <c r="K4124" s="53" t="s">
        <v>14</v>
      </c>
      <c r="L4124" s="23">
        <v>3200</v>
      </c>
      <c r="M4124" s="24">
        <v>57</v>
      </c>
      <c r="N4124" s="25">
        <f t="shared" si="129"/>
        <v>182400</v>
      </c>
      <c r="O4124" s="24"/>
    </row>
    <row r="4125" spans="1:15" hidden="1" x14ac:dyDescent="0.3">
      <c r="A4125" s="24">
        <v>34</v>
      </c>
      <c r="B4125" s="20" t="str">
        <f t="shared" si="128"/>
        <v>AUG</v>
      </c>
      <c r="C4125" s="21">
        <v>46255</v>
      </c>
      <c r="D4125" s="22" t="str">
        <f>IFERROR(INDEX('Kode Outlet dan Target Toko'!$A:$A,MATCH($I4125,'Kode Outlet dan Target Toko'!$E:$E,0)),"")</f>
        <v>GRSM 5</v>
      </c>
      <c r="E4125" s="20" t="str">
        <f>IFERROR(VLOOKUP(I4125,KET!$B:$F,4,0),"")</f>
        <v>SUPRIYATI</v>
      </c>
      <c r="F4125" s="20" t="str">
        <f>IFERROR(VLOOKUP($I4125,KET!$B:$F,5,0),"")</f>
        <v>GMM</v>
      </c>
      <c r="G4125" s="20">
        <f>IFERROR(INDEX('Kode Outlet dan Target Toko'!$C:$C,MATCH($I4125,'Kode Outlet dan Target Toko'!$E:$E,0)),0)</f>
        <v>0</v>
      </c>
      <c r="H4125" s="20">
        <f>IFERROR(INDEX('Kode Outlet dan Target Toko'!$D:$D,MATCH($I4125,'Kode Outlet dan Target Toko'!$E:$E,0)),0)</f>
        <v>0</v>
      </c>
      <c r="I4125" s="41" t="s">
        <v>117</v>
      </c>
      <c r="J4125" s="45" t="s">
        <v>228</v>
      </c>
      <c r="K4125" s="53" t="s">
        <v>13</v>
      </c>
      <c r="L4125" s="23">
        <v>3200</v>
      </c>
      <c r="M4125" s="24">
        <v>49</v>
      </c>
      <c r="N4125" s="25">
        <f t="shared" si="129"/>
        <v>156800</v>
      </c>
      <c r="O4125" s="24"/>
    </row>
    <row r="4126" spans="1:15" hidden="1" x14ac:dyDescent="0.3">
      <c r="A4126" s="24">
        <v>34</v>
      </c>
      <c r="B4126" s="20" t="str">
        <f t="shared" si="128"/>
        <v>AUG</v>
      </c>
      <c r="C4126" s="21">
        <v>46255</v>
      </c>
      <c r="D4126" s="22" t="str">
        <f>IFERROR(INDEX('Kode Outlet dan Target Toko'!$A:$A,MATCH($I4126,'Kode Outlet dan Target Toko'!$E:$E,0)),"")</f>
        <v>GRSM 5</v>
      </c>
      <c r="E4126" s="20" t="str">
        <f>IFERROR(VLOOKUP(I4126,KET!$B:$F,4,0),"")</f>
        <v>SUPRIYATI</v>
      </c>
      <c r="F4126" s="20" t="str">
        <f>IFERROR(VLOOKUP($I4126,KET!$B:$F,5,0),"")</f>
        <v>GMM</v>
      </c>
      <c r="G4126" s="20">
        <f>IFERROR(INDEX('Kode Outlet dan Target Toko'!$C:$C,MATCH($I4126,'Kode Outlet dan Target Toko'!$E:$E,0)),0)</f>
        <v>0</v>
      </c>
      <c r="H4126" s="20">
        <f>IFERROR(INDEX('Kode Outlet dan Target Toko'!$D:$D,MATCH($I4126,'Kode Outlet dan Target Toko'!$E:$E,0)),0)</f>
        <v>0</v>
      </c>
      <c r="I4126" s="41" t="s">
        <v>117</v>
      </c>
      <c r="J4126" s="45" t="s">
        <v>228</v>
      </c>
      <c r="K4126" s="53" t="s">
        <v>16</v>
      </c>
      <c r="L4126" s="23">
        <v>3200</v>
      </c>
      <c r="M4126" s="24">
        <v>127</v>
      </c>
      <c r="N4126" s="25">
        <f t="shared" si="129"/>
        <v>406400</v>
      </c>
      <c r="O4126" s="24">
        <v>124</v>
      </c>
    </row>
    <row r="4127" spans="1:15" hidden="1" x14ac:dyDescent="0.3">
      <c r="A4127" s="24">
        <v>34</v>
      </c>
      <c r="B4127" s="20" t="str">
        <f t="shared" si="128"/>
        <v>AUG</v>
      </c>
      <c r="C4127" s="21">
        <v>46255</v>
      </c>
      <c r="D4127" s="22" t="str">
        <f>IFERROR(INDEX('Kode Outlet dan Target Toko'!$A:$A,MATCH($I4127,'Kode Outlet dan Target Toko'!$E:$E,0)),"")</f>
        <v>GRSM 5</v>
      </c>
      <c r="E4127" s="20" t="str">
        <f>IFERROR(VLOOKUP(I4127,KET!$B:$F,4,0),"")</f>
        <v>SUPRIYATI</v>
      </c>
      <c r="F4127" s="20" t="str">
        <f>IFERROR(VLOOKUP($I4127,KET!$B:$F,5,0),"")</f>
        <v>GMM</v>
      </c>
      <c r="G4127" s="20">
        <f>IFERROR(INDEX('Kode Outlet dan Target Toko'!$C:$C,MATCH($I4127,'Kode Outlet dan Target Toko'!$E:$E,0)),0)</f>
        <v>0</v>
      </c>
      <c r="H4127" s="20">
        <f>IFERROR(INDEX('Kode Outlet dan Target Toko'!$D:$D,MATCH($I4127,'Kode Outlet dan Target Toko'!$E:$E,0)),0)</f>
        <v>0</v>
      </c>
      <c r="I4127" s="41" t="s">
        <v>117</v>
      </c>
      <c r="J4127" s="45" t="s">
        <v>229</v>
      </c>
      <c r="K4127" s="53" t="s">
        <v>15</v>
      </c>
      <c r="L4127" s="23">
        <v>3200</v>
      </c>
      <c r="M4127" s="24">
        <v>53</v>
      </c>
      <c r="N4127" s="25">
        <f t="shared" si="129"/>
        <v>169600</v>
      </c>
      <c r="O4127" s="24"/>
    </row>
    <row r="4128" spans="1:15" hidden="1" x14ac:dyDescent="0.3">
      <c r="A4128" s="24">
        <v>34</v>
      </c>
      <c r="B4128" s="20" t="str">
        <f t="shared" si="128"/>
        <v>AUG</v>
      </c>
      <c r="C4128" s="21">
        <v>46255</v>
      </c>
      <c r="D4128" s="22" t="str">
        <f>IFERROR(INDEX('Kode Outlet dan Target Toko'!$A:$A,MATCH($I4128,'Kode Outlet dan Target Toko'!$E:$E,0)),"")</f>
        <v>GRSM 5</v>
      </c>
      <c r="E4128" s="20" t="str">
        <f>IFERROR(VLOOKUP(I4128,KET!$B:$F,4,0),"")</f>
        <v>SUPRIYATI</v>
      </c>
      <c r="F4128" s="20" t="str">
        <f>IFERROR(VLOOKUP($I4128,KET!$B:$F,5,0),"")</f>
        <v>GMM</v>
      </c>
      <c r="G4128" s="20">
        <f>IFERROR(INDEX('Kode Outlet dan Target Toko'!$C:$C,MATCH($I4128,'Kode Outlet dan Target Toko'!$E:$E,0)),0)</f>
        <v>0</v>
      </c>
      <c r="H4128" s="20">
        <f>IFERROR(INDEX('Kode Outlet dan Target Toko'!$D:$D,MATCH($I4128,'Kode Outlet dan Target Toko'!$E:$E,0)),0)</f>
        <v>0</v>
      </c>
      <c r="I4128" s="41" t="s">
        <v>117</v>
      </c>
      <c r="J4128" s="45" t="s">
        <v>229</v>
      </c>
      <c r="K4128" s="53" t="s">
        <v>14</v>
      </c>
      <c r="L4128" s="23">
        <v>3200</v>
      </c>
      <c r="M4128" s="24">
        <v>57</v>
      </c>
      <c r="N4128" s="25">
        <f t="shared" si="129"/>
        <v>182400</v>
      </c>
      <c r="O4128" s="24"/>
    </row>
    <row r="4129" spans="1:15" hidden="1" x14ac:dyDescent="0.3">
      <c r="A4129" s="24">
        <v>34</v>
      </c>
      <c r="B4129" s="20" t="str">
        <f t="shared" si="128"/>
        <v>AUG</v>
      </c>
      <c r="C4129" s="21">
        <v>46255</v>
      </c>
      <c r="D4129" s="22" t="str">
        <f>IFERROR(INDEX('Kode Outlet dan Target Toko'!$A:$A,MATCH($I4129,'Kode Outlet dan Target Toko'!$E:$E,0)),"")</f>
        <v>GRSM 5</v>
      </c>
      <c r="E4129" s="20" t="str">
        <f>IFERROR(VLOOKUP(I4129,KET!$B:$F,4,0),"")</f>
        <v>SUPRIYATI</v>
      </c>
      <c r="F4129" s="20" t="str">
        <f>IFERROR(VLOOKUP($I4129,KET!$B:$F,5,0),"")</f>
        <v>GMM</v>
      </c>
      <c r="G4129" s="20">
        <f>IFERROR(INDEX('Kode Outlet dan Target Toko'!$C:$C,MATCH($I4129,'Kode Outlet dan Target Toko'!$E:$E,0)),0)</f>
        <v>0</v>
      </c>
      <c r="H4129" s="20">
        <f>IFERROR(INDEX('Kode Outlet dan Target Toko'!$D:$D,MATCH($I4129,'Kode Outlet dan Target Toko'!$E:$E,0)),0)</f>
        <v>0</v>
      </c>
      <c r="I4129" s="41" t="s">
        <v>117</v>
      </c>
      <c r="J4129" s="45" t="s">
        <v>229</v>
      </c>
      <c r="K4129" s="53" t="s">
        <v>13</v>
      </c>
      <c r="L4129" s="23">
        <v>3200</v>
      </c>
      <c r="M4129" s="24">
        <v>49</v>
      </c>
      <c r="N4129" s="25">
        <f t="shared" si="129"/>
        <v>156800</v>
      </c>
      <c r="O4129" s="24"/>
    </row>
    <row r="4130" spans="1:15" hidden="1" x14ac:dyDescent="0.3">
      <c r="A4130" s="24">
        <v>34</v>
      </c>
      <c r="B4130" s="20" t="str">
        <f t="shared" si="128"/>
        <v>AUG</v>
      </c>
      <c r="C4130" s="21">
        <v>46255</v>
      </c>
      <c r="D4130" s="22" t="str">
        <f>IFERROR(INDEX('Kode Outlet dan Target Toko'!$A:$A,MATCH($I4130,'Kode Outlet dan Target Toko'!$E:$E,0)),"")</f>
        <v>GRSM 5</v>
      </c>
      <c r="E4130" s="20" t="str">
        <f>IFERROR(VLOOKUP(I4130,KET!$B:$F,4,0),"")</f>
        <v>SUPRIYATI</v>
      </c>
      <c r="F4130" s="20" t="str">
        <f>IFERROR(VLOOKUP($I4130,KET!$B:$F,5,0),"")</f>
        <v>GMM</v>
      </c>
      <c r="G4130" s="20">
        <f>IFERROR(INDEX('Kode Outlet dan Target Toko'!$C:$C,MATCH($I4130,'Kode Outlet dan Target Toko'!$E:$E,0)),0)</f>
        <v>0</v>
      </c>
      <c r="H4130" s="20">
        <f>IFERROR(INDEX('Kode Outlet dan Target Toko'!$D:$D,MATCH($I4130,'Kode Outlet dan Target Toko'!$E:$E,0)),0)</f>
        <v>0</v>
      </c>
      <c r="I4130" s="41" t="s">
        <v>117</v>
      </c>
      <c r="J4130" s="45" t="s">
        <v>229</v>
      </c>
      <c r="K4130" s="53" t="s">
        <v>16</v>
      </c>
      <c r="L4130" s="23">
        <v>3200</v>
      </c>
      <c r="M4130" s="24">
        <v>127</v>
      </c>
      <c r="N4130" s="25">
        <f t="shared" si="129"/>
        <v>406400</v>
      </c>
      <c r="O4130" s="24">
        <v>124</v>
      </c>
    </row>
    <row r="4131" spans="1:15" hidden="1" x14ac:dyDescent="0.3">
      <c r="A4131" s="24">
        <v>34</v>
      </c>
      <c r="B4131" s="20" t="str">
        <f t="shared" si="128"/>
        <v>AUG</v>
      </c>
      <c r="C4131" s="21">
        <v>46255</v>
      </c>
      <c r="D4131" s="22" t="str">
        <f>IFERROR(INDEX('Kode Outlet dan Target Toko'!$A:$A,MATCH($I4131,'Kode Outlet dan Target Toko'!$E:$E,0)),"")</f>
        <v>GRSM 5</v>
      </c>
      <c r="E4131" s="20" t="str">
        <f>IFERROR(VLOOKUP(I4131,KET!$B:$F,4,0),"")</f>
        <v>SUPRIYATI</v>
      </c>
      <c r="F4131" s="20" t="str">
        <f>IFERROR(VLOOKUP($I4131,KET!$B:$F,5,0),"")</f>
        <v>GMM</v>
      </c>
      <c r="G4131" s="20">
        <f>IFERROR(INDEX('Kode Outlet dan Target Toko'!$C:$C,MATCH($I4131,'Kode Outlet dan Target Toko'!$E:$E,0)),0)</f>
        <v>103222</v>
      </c>
      <c r="H4131" s="20">
        <f>IFERROR(INDEX('Kode Outlet dan Target Toko'!$D:$D,MATCH($I4131,'Kode Outlet dan Target Toko'!$E:$E,0)),0)</f>
        <v>106437</v>
      </c>
      <c r="I4131" s="41" t="s">
        <v>104</v>
      </c>
      <c r="J4131" s="45" t="s">
        <v>207</v>
      </c>
      <c r="K4131" s="53" t="s">
        <v>15</v>
      </c>
      <c r="L4131" s="23">
        <v>2990</v>
      </c>
      <c r="M4131" s="24">
        <v>60</v>
      </c>
      <c r="N4131" s="25">
        <f t="shared" si="129"/>
        <v>179400</v>
      </c>
      <c r="O4131" s="24"/>
    </row>
    <row r="4132" spans="1:15" hidden="1" x14ac:dyDescent="0.3">
      <c r="A4132" s="24">
        <v>34</v>
      </c>
      <c r="B4132" s="20" t="str">
        <f t="shared" si="128"/>
        <v>AUG</v>
      </c>
      <c r="C4132" s="21">
        <v>46255</v>
      </c>
      <c r="D4132" s="22" t="str">
        <f>IFERROR(INDEX('Kode Outlet dan Target Toko'!$A:$A,MATCH($I4132,'Kode Outlet dan Target Toko'!$E:$E,0)),"")</f>
        <v>GRSM 5</v>
      </c>
      <c r="E4132" s="20" t="str">
        <f>IFERROR(VLOOKUP(I4132,KET!$B:$F,4,0),"")</f>
        <v>SUPRIYATI</v>
      </c>
      <c r="F4132" s="20" t="str">
        <f>IFERROR(VLOOKUP($I4132,KET!$B:$F,5,0),"")</f>
        <v>GMM</v>
      </c>
      <c r="G4132" s="20">
        <f>IFERROR(INDEX('Kode Outlet dan Target Toko'!$C:$C,MATCH($I4132,'Kode Outlet dan Target Toko'!$E:$E,0)),0)</f>
        <v>103222</v>
      </c>
      <c r="H4132" s="20">
        <f>IFERROR(INDEX('Kode Outlet dan Target Toko'!$D:$D,MATCH($I4132,'Kode Outlet dan Target Toko'!$E:$E,0)),0)</f>
        <v>106437</v>
      </c>
      <c r="I4132" s="41" t="s">
        <v>104</v>
      </c>
      <c r="J4132" s="45" t="s">
        <v>207</v>
      </c>
      <c r="K4132" s="53" t="s">
        <v>14</v>
      </c>
      <c r="L4132" s="23">
        <v>2990</v>
      </c>
      <c r="M4132" s="24">
        <v>140</v>
      </c>
      <c r="N4132" s="25">
        <f t="shared" si="129"/>
        <v>418600</v>
      </c>
      <c r="O4132" s="24"/>
    </row>
    <row r="4133" spans="1:15" hidden="1" x14ac:dyDescent="0.3">
      <c r="A4133" s="24">
        <v>34</v>
      </c>
      <c r="B4133" s="20" t="str">
        <f t="shared" si="128"/>
        <v>AUG</v>
      </c>
      <c r="C4133" s="21">
        <v>46255</v>
      </c>
      <c r="D4133" s="22" t="str">
        <f>IFERROR(INDEX('Kode Outlet dan Target Toko'!$A:$A,MATCH($I4133,'Kode Outlet dan Target Toko'!$E:$E,0)),"")</f>
        <v>GRSM 5</v>
      </c>
      <c r="E4133" s="20" t="str">
        <f>IFERROR(VLOOKUP(I4133,KET!$B:$F,4,0),"")</f>
        <v>SUPRIYATI</v>
      </c>
      <c r="F4133" s="20" t="str">
        <f>IFERROR(VLOOKUP($I4133,KET!$B:$F,5,0),"")</f>
        <v>GMM</v>
      </c>
      <c r="G4133" s="20">
        <f>IFERROR(INDEX('Kode Outlet dan Target Toko'!$C:$C,MATCH($I4133,'Kode Outlet dan Target Toko'!$E:$E,0)),0)</f>
        <v>103222</v>
      </c>
      <c r="H4133" s="20">
        <f>IFERROR(INDEX('Kode Outlet dan Target Toko'!$D:$D,MATCH($I4133,'Kode Outlet dan Target Toko'!$E:$E,0)),0)</f>
        <v>106437</v>
      </c>
      <c r="I4133" s="41" t="s">
        <v>104</v>
      </c>
      <c r="J4133" s="45" t="s">
        <v>207</v>
      </c>
      <c r="K4133" s="53" t="s">
        <v>13</v>
      </c>
      <c r="L4133" s="23">
        <v>2990</v>
      </c>
      <c r="M4133" s="24">
        <v>0</v>
      </c>
      <c r="N4133" s="25">
        <f t="shared" si="129"/>
        <v>0</v>
      </c>
      <c r="O4133" s="24"/>
    </row>
    <row r="4134" spans="1:15" hidden="1" x14ac:dyDescent="0.3">
      <c r="A4134" s="24">
        <v>34</v>
      </c>
      <c r="B4134" s="20" t="str">
        <f t="shared" si="128"/>
        <v>AUG</v>
      </c>
      <c r="C4134" s="21">
        <v>46255</v>
      </c>
      <c r="D4134" s="22" t="str">
        <f>IFERROR(INDEX('Kode Outlet dan Target Toko'!$A:$A,MATCH($I4134,'Kode Outlet dan Target Toko'!$E:$E,0)),"")</f>
        <v>GRSM 5</v>
      </c>
      <c r="E4134" s="20" t="str">
        <f>IFERROR(VLOOKUP(I4134,KET!$B:$F,4,0),"")</f>
        <v>SUPRIYATI</v>
      </c>
      <c r="F4134" s="20" t="str">
        <f>IFERROR(VLOOKUP($I4134,KET!$B:$F,5,0),"")</f>
        <v>GMM</v>
      </c>
      <c r="G4134" s="20">
        <f>IFERROR(INDEX('Kode Outlet dan Target Toko'!$C:$C,MATCH($I4134,'Kode Outlet dan Target Toko'!$E:$E,0)),0)</f>
        <v>103222</v>
      </c>
      <c r="H4134" s="20">
        <f>IFERROR(INDEX('Kode Outlet dan Target Toko'!$D:$D,MATCH($I4134,'Kode Outlet dan Target Toko'!$E:$E,0)),0)</f>
        <v>106437</v>
      </c>
      <c r="I4134" s="41" t="s">
        <v>104</v>
      </c>
      <c r="J4134" s="45" t="s">
        <v>207</v>
      </c>
      <c r="K4134" s="53" t="s">
        <v>16</v>
      </c>
      <c r="L4134" s="23">
        <v>2990</v>
      </c>
      <c r="M4134" s="24">
        <v>185</v>
      </c>
      <c r="N4134" s="25">
        <f t="shared" si="129"/>
        <v>553150</v>
      </c>
      <c r="O4134" s="24">
        <v>160</v>
      </c>
    </row>
    <row r="4135" spans="1:15" hidden="1" x14ac:dyDescent="0.3">
      <c r="A4135" s="24">
        <v>34</v>
      </c>
      <c r="B4135" s="20" t="str">
        <f t="shared" si="128"/>
        <v>AUG</v>
      </c>
      <c r="C4135" s="21">
        <v>46255</v>
      </c>
      <c r="D4135" s="22" t="str">
        <f>IFERROR(INDEX('Kode Outlet dan Target Toko'!$A:$A,MATCH($I4135,'Kode Outlet dan Target Toko'!$E:$E,0)),"")</f>
        <v>GRSM 5</v>
      </c>
      <c r="E4135" s="20" t="str">
        <f>IFERROR(VLOOKUP(I4135,KET!$B:$F,4,0),"")</f>
        <v>SUPRIYATI</v>
      </c>
      <c r="F4135" s="20" t="str">
        <f>IFERROR(VLOOKUP($I4135,KET!$B:$F,5,0),"")</f>
        <v>GMM</v>
      </c>
      <c r="G4135" s="20">
        <f>IFERROR(INDEX('Kode Outlet dan Target Toko'!$C:$C,MATCH($I4135,'Kode Outlet dan Target Toko'!$E:$E,0)),0)</f>
        <v>103222</v>
      </c>
      <c r="H4135" s="20">
        <f>IFERROR(INDEX('Kode Outlet dan Target Toko'!$D:$D,MATCH($I4135,'Kode Outlet dan Target Toko'!$E:$E,0)),0)</f>
        <v>106437</v>
      </c>
      <c r="I4135" s="41" t="s">
        <v>104</v>
      </c>
      <c r="J4135" s="45" t="s">
        <v>208</v>
      </c>
      <c r="K4135" s="53" t="s">
        <v>15</v>
      </c>
      <c r="L4135" s="23">
        <v>2990</v>
      </c>
      <c r="M4135" s="24">
        <v>60</v>
      </c>
      <c r="N4135" s="25">
        <f t="shared" si="129"/>
        <v>179400</v>
      </c>
      <c r="O4135" s="24"/>
    </row>
    <row r="4136" spans="1:15" hidden="1" x14ac:dyDescent="0.3">
      <c r="A4136" s="24">
        <v>34</v>
      </c>
      <c r="B4136" s="20" t="str">
        <f t="shared" si="128"/>
        <v>AUG</v>
      </c>
      <c r="C4136" s="21">
        <v>46255</v>
      </c>
      <c r="D4136" s="22" t="str">
        <f>IFERROR(INDEX('Kode Outlet dan Target Toko'!$A:$A,MATCH($I4136,'Kode Outlet dan Target Toko'!$E:$E,0)),"")</f>
        <v>GRSM 5</v>
      </c>
      <c r="E4136" s="20" t="str">
        <f>IFERROR(VLOOKUP(I4136,KET!$B:$F,4,0),"")</f>
        <v>SUPRIYATI</v>
      </c>
      <c r="F4136" s="20" t="str">
        <f>IFERROR(VLOOKUP($I4136,KET!$B:$F,5,0),"")</f>
        <v>GMM</v>
      </c>
      <c r="G4136" s="20">
        <f>IFERROR(INDEX('Kode Outlet dan Target Toko'!$C:$C,MATCH($I4136,'Kode Outlet dan Target Toko'!$E:$E,0)),0)</f>
        <v>103222</v>
      </c>
      <c r="H4136" s="20">
        <f>IFERROR(INDEX('Kode Outlet dan Target Toko'!$D:$D,MATCH($I4136,'Kode Outlet dan Target Toko'!$E:$E,0)),0)</f>
        <v>106437</v>
      </c>
      <c r="I4136" s="41" t="s">
        <v>104</v>
      </c>
      <c r="J4136" s="45" t="s">
        <v>208</v>
      </c>
      <c r="K4136" s="53" t="s">
        <v>14</v>
      </c>
      <c r="L4136" s="23">
        <v>2990</v>
      </c>
      <c r="M4136" s="24">
        <v>140</v>
      </c>
      <c r="N4136" s="25">
        <f t="shared" si="129"/>
        <v>418600</v>
      </c>
      <c r="O4136" s="24"/>
    </row>
    <row r="4137" spans="1:15" hidden="1" x14ac:dyDescent="0.3">
      <c r="A4137" s="24">
        <v>34</v>
      </c>
      <c r="B4137" s="20" t="str">
        <f t="shared" si="128"/>
        <v>AUG</v>
      </c>
      <c r="C4137" s="21">
        <v>46255</v>
      </c>
      <c r="D4137" s="22" t="str">
        <f>IFERROR(INDEX('Kode Outlet dan Target Toko'!$A:$A,MATCH($I4137,'Kode Outlet dan Target Toko'!$E:$E,0)),"")</f>
        <v>GRSM 5</v>
      </c>
      <c r="E4137" s="20" t="str">
        <f>IFERROR(VLOOKUP(I4137,KET!$B:$F,4,0),"")</f>
        <v>SUPRIYATI</v>
      </c>
      <c r="F4137" s="20" t="str">
        <f>IFERROR(VLOOKUP($I4137,KET!$B:$F,5,0),"")</f>
        <v>GMM</v>
      </c>
      <c r="G4137" s="20">
        <f>IFERROR(INDEX('Kode Outlet dan Target Toko'!$C:$C,MATCH($I4137,'Kode Outlet dan Target Toko'!$E:$E,0)),0)</f>
        <v>103222</v>
      </c>
      <c r="H4137" s="20">
        <f>IFERROR(INDEX('Kode Outlet dan Target Toko'!$D:$D,MATCH($I4137,'Kode Outlet dan Target Toko'!$E:$E,0)),0)</f>
        <v>106437</v>
      </c>
      <c r="I4137" s="41" t="s">
        <v>104</v>
      </c>
      <c r="J4137" s="45" t="s">
        <v>208</v>
      </c>
      <c r="K4137" s="53" t="s">
        <v>13</v>
      </c>
      <c r="L4137" s="23">
        <v>2990</v>
      </c>
      <c r="M4137" s="24">
        <v>0</v>
      </c>
      <c r="N4137" s="25">
        <f t="shared" si="129"/>
        <v>0</v>
      </c>
      <c r="O4137" s="24"/>
    </row>
    <row r="4138" spans="1:15" hidden="1" x14ac:dyDescent="0.3">
      <c r="A4138" s="24">
        <v>34</v>
      </c>
      <c r="B4138" s="20" t="str">
        <f t="shared" si="128"/>
        <v>AUG</v>
      </c>
      <c r="C4138" s="21">
        <v>46255</v>
      </c>
      <c r="D4138" s="22" t="str">
        <f>IFERROR(INDEX('Kode Outlet dan Target Toko'!$A:$A,MATCH($I4138,'Kode Outlet dan Target Toko'!$E:$E,0)),"")</f>
        <v>GRSM 5</v>
      </c>
      <c r="E4138" s="20" t="str">
        <f>IFERROR(VLOOKUP(I4138,KET!$B:$F,4,0),"")</f>
        <v>SUPRIYATI</v>
      </c>
      <c r="F4138" s="20" t="str">
        <f>IFERROR(VLOOKUP($I4138,KET!$B:$F,5,0),"")</f>
        <v>GMM</v>
      </c>
      <c r="G4138" s="20">
        <f>IFERROR(INDEX('Kode Outlet dan Target Toko'!$C:$C,MATCH($I4138,'Kode Outlet dan Target Toko'!$E:$E,0)),0)</f>
        <v>103222</v>
      </c>
      <c r="H4138" s="20">
        <f>IFERROR(INDEX('Kode Outlet dan Target Toko'!$D:$D,MATCH($I4138,'Kode Outlet dan Target Toko'!$E:$E,0)),0)</f>
        <v>106437</v>
      </c>
      <c r="I4138" s="41" t="s">
        <v>104</v>
      </c>
      <c r="J4138" s="45" t="s">
        <v>208</v>
      </c>
      <c r="K4138" s="53" t="s">
        <v>16</v>
      </c>
      <c r="L4138" s="23">
        <v>2990</v>
      </c>
      <c r="M4138" s="24">
        <v>185</v>
      </c>
      <c r="N4138" s="25">
        <f t="shared" si="129"/>
        <v>553150</v>
      </c>
      <c r="O4138" s="24">
        <v>160</v>
      </c>
    </row>
    <row r="4139" spans="1:15" hidden="1" x14ac:dyDescent="0.3">
      <c r="A4139" s="24">
        <v>34</v>
      </c>
      <c r="B4139" s="20" t="str">
        <f t="shared" si="128"/>
        <v>AUG</v>
      </c>
      <c r="C4139" s="21">
        <v>46255</v>
      </c>
      <c r="D4139" s="22" t="str">
        <f>IFERROR(INDEX('Kode Outlet dan Target Toko'!$A:$A,MATCH($I4139,'Kode Outlet dan Target Toko'!$E:$E,0)),"")</f>
        <v>GRSM 5</v>
      </c>
      <c r="E4139" s="20" t="str">
        <f>IFERROR(VLOOKUP(I4139,KET!$B:$F,4,0),"")</f>
        <v>SUPRIYATI</v>
      </c>
      <c r="F4139" s="20" t="str">
        <f>IFERROR(VLOOKUP($I4139,KET!$B:$F,5,0),"")</f>
        <v>GMM</v>
      </c>
      <c r="G4139" s="20">
        <f>IFERROR(INDEX('Kode Outlet dan Target Toko'!$C:$C,MATCH($I4139,'Kode Outlet dan Target Toko'!$E:$E,0)),0)</f>
        <v>211051</v>
      </c>
      <c r="H4139" s="20">
        <f>IFERROR(INDEX('Kode Outlet dan Target Toko'!$D:$D,MATCH($I4139,'Kode Outlet dan Target Toko'!$E:$E,0)),0)</f>
        <v>5580008</v>
      </c>
      <c r="I4139" s="41" t="s">
        <v>88</v>
      </c>
      <c r="J4139" s="45" t="s">
        <v>202</v>
      </c>
      <c r="K4139" s="53" t="s">
        <v>15</v>
      </c>
      <c r="L4139" s="23">
        <v>3000</v>
      </c>
      <c r="M4139" s="24">
        <v>90</v>
      </c>
      <c r="N4139" s="25">
        <f t="shared" si="129"/>
        <v>270000</v>
      </c>
      <c r="O4139" s="24"/>
    </row>
    <row r="4140" spans="1:15" hidden="1" x14ac:dyDescent="0.3">
      <c r="A4140" s="24">
        <v>34</v>
      </c>
      <c r="B4140" s="20" t="str">
        <f t="shared" si="128"/>
        <v>AUG</v>
      </c>
      <c r="C4140" s="21">
        <v>46255</v>
      </c>
      <c r="D4140" s="22" t="str">
        <f>IFERROR(INDEX('Kode Outlet dan Target Toko'!$A:$A,MATCH($I4140,'Kode Outlet dan Target Toko'!$E:$E,0)),"")</f>
        <v>GRSM 5</v>
      </c>
      <c r="E4140" s="20" t="str">
        <f>IFERROR(VLOOKUP(I4140,KET!$B:$F,4,0),"")</f>
        <v>SUPRIYATI</v>
      </c>
      <c r="F4140" s="20" t="str">
        <f>IFERROR(VLOOKUP($I4140,KET!$B:$F,5,0),"")</f>
        <v>GMM</v>
      </c>
      <c r="G4140" s="20">
        <f>IFERROR(INDEX('Kode Outlet dan Target Toko'!$C:$C,MATCH($I4140,'Kode Outlet dan Target Toko'!$E:$E,0)),0)</f>
        <v>211051</v>
      </c>
      <c r="H4140" s="20">
        <f>IFERROR(INDEX('Kode Outlet dan Target Toko'!$D:$D,MATCH($I4140,'Kode Outlet dan Target Toko'!$E:$E,0)),0)</f>
        <v>5580008</v>
      </c>
      <c r="I4140" s="41" t="s">
        <v>88</v>
      </c>
      <c r="J4140" s="45" t="s">
        <v>202</v>
      </c>
      <c r="K4140" s="53" t="s">
        <v>14</v>
      </c>
      <c r="L4140" s="23">
        <v>3000</v>
      </c>
      <c r="M4140" s="24">
        <v>110</v>
      </c>
      <c r="N4140" s="25">
        <f t="shared" si="129"/>
        <v>330000</v>
      </c>
      <c r="O4140" s="24"/>
    </row>
    <row r="4141" spans="1:15" hidden="1" x14ac:dyDescent="0.3">
      <c r="A4141" s="24">
        <v>34</v>
      </c>
      <c r="B4141" s="20" t="str">
        <f t="shared" si="128"/>
        <v>AUG</v>
      </c>
      <c r="C4141" s="21">
        <v>46255</v>
      </c>
      <c r="D4141" s="22" t="str">
        <f>IFERROR(INDEX('Kode Outlet dan Target Toko'!$A:$A,MATCH($I4141,'Kode Outlet dan Target Toko'!$E:$E,0)),"")</f>
        <v>GRSM 5</v>
      </c>
      <c r="E4141" s="20" t="str">
        <f>IFERROR(VLOOKUP(I4141,KET!$B:$F,4,0),"")</f>
        <v>SUPRIYATI</v>
      </c>
      <c r="F4141" s="20" t="str">
        <f>IFERROR(VLOOKUP($I4141,KET!$B:$F,5,0),"")</f>
        <v>GMM</v>
      </c>
      <c r="G4141" s="20">
        <f>IFERROR(INDEX('Kode Outlet dan Target Toko'!$C:$C,MATCH($I4141,'Kode Outlet dan Target Toko'!$E:$E,0)),0)</f>
        <v>211051</v>
      </c>
      <c r="H4141" s="20">
        <f>IFERROR(INDEX('Kode Outlet dan Target Toko'!$D:$D,MATCH($I4141,'Kode Outlet dan Target Toko'!$E:$E,0)),0)</f>
        <v>5580008</v>
      </c>
      <c r="I4141" s="41" t="s">
        <v>88</v>
      </c>
      <c r="J4141" s="45" t="s">
        <v>202</v>
      </c>
      <c r="K4141" s="53" t="s">
        <v>13</v>
      </c>
      <c r="L4141" s="23">
        <v>3000</v>
      </c>
      <c r="M4141" s="24">
        <v>46</v>
      </c>
      <c r="N4141" s="25">
        <f t="shared" si="129"/>
        <v>138000</v>
      </c>
      <c r="O4141" s="24"/>
    </row>
    <row r="4142" spans="1:15" hidden="1" x14ac:dyDescent="0.3">
      <c r="A4142" s="24">
        <v>34</v>
      </c>
      <c r="B4142" s="20" t="str">
        <f t="shared" si="128"/>
        <v>AUG</v>
      </c>
      <c r="C4142" s="21">
        <v>46255</v>
      </c>
      <c r="D4142" s="22" t="str">
        <f>IFERROR(INDEX('Kode Outlet dan Target Toko'!$A:$A,MATCH($I4142,'Kode Outlet dan Target Toko'!$E:$E,0)),"")</f>
        <v>GRSM 5</v>
      </c>
      <c r="E4142" s="20" t="str">
        <f>IFERROR(VLOOKUP(I4142,KET!$B:$F,4,0),"")</f>
        <v>SUPRIYATI</v>
      </c>
      <c r="F4142" s="20" t="str">
        <f>IFERROR(VLOOKUP($I4142,KET!$B:$F,5,0),"")</f>
        <v>GMM</v>
      </c>
      <c r="G4142" s="20">
        <f>IFERROR(INDEX('Kode Outlet dan Target Toko'!$C:$C,MATCH($I4142,'Kode Outlet dan Target Toko'!$E:$E,0)),0)</f>
        <v>211051</v>
      </c>
      <c r="H4142" s="20">
        <f>IFERROR(INDEX('Kode Outlet dan Target Toko'!$D:$D,MATCH($I4142,'Kode Outlet dan Target Toko'!$E:$E,0)),0)</f>
        <v>5580008</v>
      </c>
      <c r="I4142" s="41" t="s">
        <v>88</v>
      </c>
      <c r="J4142" s="45" t="s">
        <v>202</v>
      </c>
      <c r="K4142" s="53" t="s">
        <v>16</v>
      </c>
      <c r="L4142" s="23">
        <v>3000</v>
      </c>
      <c r="M4142" s="24">
        <v>148</v>
      </c>
      <c r="N4142" s="25">
        <f t="shared" si="129"/>
        <v>444000</v>
      </c>
      <c r="O4142" s="24">
        <v>160</v>
      </c>
    </row>
    <row r="4143" spans="1:15" hidden="1" x14ac:dyDescent="0.3">
      <c r="A4143" s="24">
        <v>34</v>
      </c>
      <c r="B4143" s="20" t="str">
        <f t="shared" si="128"/>
        <v>AUG</v>
      </c>
      <c r="C4143" s="21">
        <v>46255</v>
      </c>
      <c r="D4143" s="22" t="str">
        <f>IFERROR(INDEX('Kode Outlet dan Target Toko'!$A:$A,MATCH($I4143,'Kode Outlet dan Target Toko'!$E:$E,0)),"")</f>
        <v>GRSM 5</v>
      </c>
      <c r="E4143" s="20" t="str">
        <f>IFERROR(VLOOKUP(I4143,KET!$B:$F,4,0),"")</f>
        <v>SUPRIYATI</v>
      </c>
      <c r="F4143" s="20" t="str">
        <f>IFERROR(VLOOKUP($I4143,KET!$B:$F,5,0),"")</f>
        <v>GMM</v>
      </c>
      <c r="G4143" s="20">
        <f>IFERROR(INDEX('Kode Outlet dan Target Toko'!$C:$C,MATCH($I4143,'Kode Outlet dan Target Toko'!$E:$E,0)),0)</f>
        <v>211051</v>
      </c>
      <c r="H4143" s="20">
        <f>IFERROR(INDEX('Kode Outlet dan Target Toko'!$D:$D,MATCH($I4143,'Kode Outlet dan Target Toko'!$E:$E,0)),0)</f>
        <v>5580008</v>
      </c>
      <c r="I4143" s="41" t="s">
        <v>88</v>
      </c>
      <c r="J4143" s="45" t="s">
        <v>203</v>
      </c>
      <c r="K4143" s="53" t="s">
        <v>15</v>
      </c>
      <c r="L4143" s="23">
        <v>3000</v>
      </c>
      <c r="M4143" s="24">
        <v>90</v>
      </c>
      <c r="N4143" s="25">
        <f t="shared" si="129"/>
        <v>270000</v>
      </c>
      <c r="O4143" s="24"/>
    </row>
    <row r="4144" spans="1:15" hidden="1" x14ac:dyDescent="0.3">
      <c r="A4144" s="24">
        <v>34</v>
      </c>
      <c r="B4144" s="20" t="str">
        <f t="shared" si="128"/>
        <v>AUG</v>
      </c>
      <c r="C4144" s="21">
        <v>46255</v>
      </c>
      <c r="D4144" s="22" t="str">
        <f>IFERROR(INDEX('Kode Outlet dan Target Toko'!$A:$A,MATCH($I4144,'Kode Outlet dan Target Toko'!$E:$E,0)),"")</f>
        <v>GRSM 5</v>
      </c>
      <c r="E4144" s="20" t="str">
        <f>IFERROR(VLOOKUP(I4144,KET!$B:$F,4,0),"")</f>
        <v>SUPRIYATI</v>
      </c>
      <c r="F4144" s="20" t="str">
        <f>IFERROR(VLOOKUP($I4144,KET!$B:$F,5,0),"")</f>
        <v>GMM</v>
      </c>
      <c r="G4144" s="20">
        <f>IFERROR(INDEX('Kode Outlet dan Target Toko'!$C:$C,MATCH($I4144,'Kode Outlet dan Target Toko'!$E:$E,0)),0)</f>
        <v>211051</v>
      </c>
      <c r="H4144" s="20">
        <f>IFERROR(INDEX('Kode Outlet dan Target Toko'!$D:$D,MATCH($I4144,'Kode Outlet dan Target Toko'!$E:$E,0)),0)</f>
        <v>5580008</v>
      </c>
      <c r="I4144" s="41" t="s">
        <v>88</v>
      </c>
      <c r="J4144" s="45" t="s">
        <v>203</v>
      </c>
      <c r="K4144" s="53" t="s">
        <v>14</v>
      </c>
      <c r="L4144" s="23">
        <v>3000</v>
      </c>
      <c r="M4144" s="24">
        <v>110</v>
      </c>
      <c r="N4144" s="25">
        <f t="shared" si="129"/>
        <v>330000</v>
      </c>
      <c r="O4144" s="24"/>
    </row>
    <row r="4145" spans="1:15" hidden="1" x14ac:dyDescent="0.3">
      <c r="A4145" s="24">
        <v>34</v>
      </c>
      <c r="B4145" s="20" t="str">
        <f t="shared" si="128"/>
        <v>AUG</v>
      </c>
      <c r="C4145" s="21">
        <v>46255</v>
      </c>
      <c r="D4145" s="22" t="str">
        <f>IFERROR(INDEX('Kode Outlet dan Target Toko'!$A:$A,MATCH($I4145,'Kode Outlet dan Target Toko'!$E:$E,0)),"")</f>
        <v>GRSM 5</v>
      </c>
      <c r="E4145" s="20" t="str">
        <f>IFERROR(VLOOKUP(I4145,KET!$B:$F,4,0),"")</f>
        <v>SUPRIYATI</v>
      </c>
      <c r="F4145" s="20" t="str">
        <f>IFERROR(VLOOKUP($I4145,KET!$B:$F,5,0),"")</f>
        <v>GMM</v>
      </c>
      <c r="G4145" s="20">
        <f>IFERROR(INDEX('Kode Outlet dan Target Toko'!$C:$C,MATCH($I4145,'Kode Outlet dan Target Toko'!$E:$E,0)),0)</f>
        <v>211051</v>
      </c>
      <c r="H4145" s="20">
        <f>IFERROR(INDEX('Kode Outlet dan Target Toko'!$D:$D,MATCH($I4145,'Kode Outlet dan Target Toko'!$E:$E,0)),0)</f>
        <v>5580008</v>
      </c>
      <c r="I4145" s="41" t="s">
        <v>88</v>
      </c>
      <c r="J4145" s="45" t="s">
        <v>203</v>
      </c>
      <c r="K4145" s="53" t="s">
        <v>13</v>
      </c>
      <c r="L4145" s="23">
        <v>3000</v>
      </c>
      <c r="M4145" s="24">
        <v>46</v>
      </c>
      <c r="N4145" s="25">
        <f t="shared" si="129"/>
        <v>138000</v>
      </c>
      <c r="O4145" s="24"/>
    </row>
    <row r="4146" spans="1:15" hidden="1" x14ac:dyDescent="0.3">
      <c r="A4146" s="24">
        <v>34</v>
      </c>
      <c r="B4146" s="20" t="str">
        <f t="shared" si="128"/>
        <v>AUG</v>
      </c>
      <c r="C4146" s="21">
        <v>46255</v>
      </c>
      <c r="D4146" s="22" t="str">
        <f>IFERROR(INDEX('Kode Outlet dan Target Toko'!$A:$A,MATCH($I4146,'Kode Outlet dan Target Toko'!$E:$E,0)),"")</f>
        <v>GRSM 5</v>
      </c>
      <c r="E4146" s="20" t="str">
        <f>IFERROR(VLOOKUP(I4146,KET!$B:$F,4,0),"")</f>
        <v>SUPRIYATI</v>
      </c>
      <c r="F4146" s="20" t="str">
        <f>IFERROR(VLOOKUP($I4146,KET!$B:$F,5,0),"")</f>
        <v>GMM</v>
      </c>
      <c r="G4146" s="20">
        <f>IFERROR(INDEX('Kode Outlet dan Target Toko'!$C:$C,MATCH($I4146,'Kode Outlet dan Target Toko'!$E:$E,0)),0)</f>
        <v>211051</v>
      </c>
      <c r="H4146" s="20">
        <f>IFERROR(INDEX('Kode Outlet dan Target Toko'!$D:$D,MATCH($I4146,'Kode Outlet dan Target Toko'!$E:$E,0)),0)</f>
        <v>5580008</v>
      </c>
      <c r="I4146" s="41" t="s">
        <v>88</v>
      </c>
      <c r="J4146" s="45" t="s">
        <v>203</v>
      </c>
      <c r="K4146" s="53" t="s">
        <v>16</v>
      </c>
      <c r="L4146" s="23">
        <v>3000</v>
      </c>
      <c r="M4146" s="24">
        <v>148</v>
      </c>
      <c r="N4146" s="25">
        <f t="shared" si="129"/>
        <v>444000</v>
      </c>
      <c r="O4146" s="24">
        <v>160</v>
      </c>
    </row>
    <row r="4147" spans="1:15" hidden="1" x14ac:dyDescent="0.3">
      <c r="A4147" s="24">
        <v>34</v>
      </c>
      <c r="B4147" s="20" t="str">
        <f t="shared" si="128"/>
        <v>AUG</v>
      </c>
      <c r="C4147" s="21">
        <v>46255</v>
      </c>
      <c r="D4147" s="22" t="s">
        <v>59</v>
      </c>
      <c r="E4147" s="20" t="str">
        <f>IFERROR(VLOOKUP(I4147,KET!$B:$F,4,0),"")</f>
        <v>SUPRIYATI</v>
      </c>
      <c r="F4147" s="20" t="str">
        <f>IFERROR(VLOOKUP($I4147,KET!$B:$F,5,0),"")</f>
        <v>GMM</v>
      </c>
      <c r="G4147" s="20">
        <f>IFERROR(INDEX('Kode Outlet dan Target Toko'!$C:$C,MATCH($I4147,'Kode Outlet dan Target Toko'!$E:$E,0)),0)</f>
        <v>0</v>
      </c>
      <c r="H4147" s="20">
        <f>IFERROR(INDEX('Kode Outlet dan Target Toko'!$D:$D,MATCH($I4147,'Kode Outlet dan Target Toko'!$E:$E,0)),0)</f>
        <v>0</v>
      </c>
      <c r="I4147" s="41" t="s">
        <v>124</v>
      </c>
      <c r="J4147" s="45" t="s">
        <v>237</v>
      </c>
      <c r="K4147" s="53" t="s">
        <v>15</v>
      </c>
      <c r="L4147" s="23">
        <v>2950</v>
      </c>
      <c r="M4147" s="24">
        <v>0</v>
      </c>
      <c r="N4147" s="25">
        <f t="shared" si="129"/>
        <v>0</v>
      </c>
      <c r="O4147" s="24"/>
    </row>
    <row r="4148" spans="1:15" hidden="1" x14ac:dyDescent="0.3">
      <c r="A4148" s="24">
        <v>34</v>
      </c>
      <c r="B4148" s="20" t="str">
        <f t="shared" si="128"/>
        <v>AUG</v>
      </c>
      <c r="C4148" s="21">
        <v>46255</v>
      </c>
      <c r="D4148" s="22" t="s">
        <v>59</v>
      </c>
      <c r="E4148" s="20" t="str">
        <f>IFERROR(VLOOKUP(I4148,KET!$B:$F,4,0),"")</f>
        <v>SUPRIYATI</v>
      </c>
      <c r="F4148" s="20" t="str">
        <f>IFERROR(VLOOKUP($I4148,KET!$B:$F,5,0),"")</f>
        <v>GMM</v>
      </c>
      <c r="G4148" s="20">
        <f>IFERROR(INDEX('Kode Outlet dan Target Toko'!$C:$C,MATCH($I4148,'Kode Outlet dan Target Toko'!$E:$E,0)),0)</f>
        <v>0</v>
      </c>
      <c r="H4148" s="20">
        <f>IFERROR(INDEX('Kode Outlet dan Target Toko'!$D:$D,MATCH($I4148,'Kode Outlet dan Target Toko'!$E:$E,0)),0)</f>
        <v>0</v>
      </c>
      <c r="I4148" s="41" t="s">
        <v>124</v>
      </c>
      <c r="J4148" s="45" t="s">
        <v>237</v>
      </c>
      <c r="K4148" s="53" t="s">
        <v>14</v>
      </c>
      <c r="L4148" s="23">
        <v>2950</v>
      </c>
      <c r="M4148" s="24">
        <v>80</v>
      </c>
      <c r="N4148" s="25">
        <f t="shared" si="129"/>
        <v>236000</v>
      </c>
      <c r="O4148" s="24"/>
    </row>
    <row r="4149" spans="1:15" hidden="1" x14ac:dyDescent="0.3">
      <c r="A4149" s="24">
        <v>34</v>
      </c>
      <c r="B4149" s="20" t="str">
        <f t="shared" si="128"/>
        <v>AUG</v>
      </c>
      <c r="C4149" s="21">
        <v>46255</v>
      </c>
      <c r="D4149" s="22" t="s">
        <v>59</v>
      </c>
      <c r="E4149" s="20" t="str">
        <f>IFERROR(VLOOKUP(I4149,KET!$B:$F,4,0),"")</f>
        <v>SUPRIYATI</v>
      </c>
      <c r="F4149" s="20" t="str">
        <f>IFERROR(VLOOKUP($I4149,KET!$B:$F,5,0),"")</f>
        <v>GMM</v>
      </c>
      <c r="G4149" s="20">
        <f>IFERROR(INDEX('Kode Outlet dan Target Toko'!$C:$C,MATCH($I4149,'Kode Outlet dan Target Toko'!$E:$E,0)),0)</f>
        <v>0</v>
      </c>
      <c r="H4149" s="20">
        <f>IFERROR(INDEX('Kode Outlet dan Target Toko'!$D:$D,MATCH($I4149,'Kode Outlet dan Target Toko'!$E:$E,0)),0)</f>
        <v>0</v>
      </c>
      <c r="I4149" s="41" t="s">
        <v>124</v>
      </c>
      <c r="J4149" s="45" t="s">
        <v>237</v>
      </c>
      <c r="K4149" s="53" t="s">
        <v>13</v>
      </c>
      <c r="L4149" s="23">
        <v>2950</v>
      </c>
      <c r="M4149" s="24">
        <v>40</v>
      </c>
      <c r="N4149" s="25">
        <f t="shared" si="129"/>
        <v>118000</v>
      </c>
      <c r="O4149" s="24"/>
    </row>
    <row r="4150" spans="1:15" hidden="1" x14ac:dyDescent="0.3">
      <c r="A4150" s="24">
        <v>34</v>
      </c>
      <c r="B4150" s="20" t="str">
        <f t="shared" si="128"/>
        <v>AUG</v>
      </c>
      <c r="C4150" s="21">
        <v>46255</v>
      </c>
      <c r="D4150" s="22" t="s">
        <v>59</v>
      </c>
      <c r="E4150" s="20" t="str">
        <f>IFERROR(VLOOKUP(I4150,KET!$B:$F,4,0),"")</f>
        <v>SUPRIYATI</v>
      </c>
      <c r="F4150" s="20" t="str">
        <f>IFERROR(VLOOKUP($I4150,KET!$B:$F,5,0),"")</f>
        <v>GMM</v>
      </c>
      <c r="G4150" s="20">
        <f>IFERROR(INDEX('Kode Outlet dan Target Toko'!$C:$C,MATCH($I4150,'Kode Outlet dan Target Toko'!$E:$E,0)),0)</f>
        <v>0</v>
      </c>
      <c r="H4150" s="20">
        <f>IFERROR(INDEX('Kode Outlet dan Target Toko'!$D:$D,MATCH($I4150,'Kode Outlet dan Target Toko'!$E:$E,0)),0)</f>
        <v>0</v>
      </c>
      <c r="I4150" s="41" t="s">
        <v>124</v>
      </c>
      <c r="J4150" s="45" t="s">
        <v>237</v>
      </c>
      <c r="K4150" s="53" t="s">
        <v>16</v>
      </c>
      <c r="L4150" s="23">
        <v>2950</v>
      </c>
      <c r="M4150" s="24">
        <v>200</v>
      </c>
      <c r="N4150" s="25">
        <f t="shared" si="129"/>
        <v>590000</v>
      </c>
      <c r="O4150" s="24">
        <v>160</v>
      </c>
    </row>
    <row r="4151" spans="1:15" hidden="1" x14ac:dyDescent="0.3">
      <c r="A4151" s="24">
        <v>34</v>
      </c>
      <c r="B4151" s="20" t="str">
        <f t="shared" si="128"/>
        <v>AUG</v>
      </c>
      <c r="C4151" s="21">
        <v>46255</v>
      </c>
      <c r="D4151" s="22" t="s">
        <v>59</v>
      </c>
      <c r="E4151" s="20" t="str">
        <f>IFERROR(VLOOKUP(I4151,KET!$B:$F,4,0),"")</f>
        <v>SUPRIYATI</v>
      </c>
      <c r="F4151" s="20" t="str">
        <f>IFERROR(VLOOKUP($I4151,KET!$B:$F,5,0),"")</f>
        <v>GMM</v>
      </c>
      <c r="G4151" s="20">
        <f>IFERROR(INDEX('Kode Outlet dan Target Toko'!$C:$C,MATCH($I4151,'Kode Outlet dan Target Toko'!$E:$E,0)),0)</f>
        <v>0</v>
      </c>
      <c r="H4151" s="20">
        <f>IFERROR(INDEX('Kode Outlet dan Target Toko'!$D:$D,MATCH($I4151,'Kode Outlet dan Target Toko'!$E:$E,0)),0)</f>
        <v>0</v>
      </c>
      <c r="I4151" s="41" t="s">
        <v>124</v>
      </c>
      <c r="J4151" s="45" t="s">
        <v>238</v>
      </c>
      <c r="K4151" s="53" t="s">
        <v>15</v>
      </c>
      <c r="L4151" s="23">
        <v>2950</v>
      </c>
      <c r="M4151" s="24">
        <v>0</v>
      </c>
      <c r="N4151" s="25">
        <f t="shared" si="129"/>
        <v>0</v>
      </c>
      <c r="O4151" s="24"/>
    </row>
    <row r="4152" spans="1:15" hidden="1" x14ac:dyDescent="0.3">
      <c r="A4152" s="24">
        <v>34</v>
      </c>
      <c r="B4152" s="20" t="str">
        <f t="shared" si="128"/>
        <v>AUG</v>
      </c>
      <c r="C4152" s="21">
        <v>46255</v>
      </c>
      <c r="D4152" s="22" t="s">
        <v>59</v>
      </c>
      <c r="E4152" s="20" t="str">
        <f>IFERROR(VLOOKUP(I4152,KET!$B:$F,4,0),"")</f>
        <v>SUPRIYATI</v>
      </c>
      <c r="F4152" s="20" t="str">
        <f>IFERROR(VLOOKUP($I4152,KET!$B:$F,5,0),"")</f>
        <v>GMM</v>
      </c>
      <c r="G4152" s="20">
        <f>IFERROR(INDEX('Kode Outlet dan Target Toko'!$C:$C,MATCH($I4152,'Kode Outlet dan Target Toko'!$E:$E,0)),0)</f>
        <v>0</v>
      </c>
      <c r="H4152" s="20">
        <f>IFERROR(INDEX('Kode Outlet dan Target Toko'!$D:$D,MATCH($I4152,'Kode Outlet dan Target Toko'!$E:$E,0)),0)</f>
        <v>0</v>
      </c>
      <c r="I4152" s="41" t="s">
        <v>124</v>
      </c>
      <c r="J4152" s="45" t="s">
        <v>238</v>
      </c>
      <c r="K4152" s="53" t="s">
        <v>14</v>
      </c>
      <c r="L4152" s="23">
        <v>2950</v>
      </c>
      <c r="M4152" s="24">
        <v>80</v>
      </c>
      <c r="N4152" s="25">
        <f t="shared" si="129"/>
        <v>236000</v>
      </c>
      <c r="O4152" s="24"/>
    </row>
    <row r="4153" spans="1:15" hidden="1" x14ac:dyDescent="0.3">
      <c r="A4153" s="24">
        <v>34</v>
      </c>
      <c r="B4153" s="20" t="str">
        <f t="shared" si="128"/>
        <v>AUG</v>
      </c>
      <c r="C4153" s="21">
        <v>46255</v>
      </c>
      <c r="D4153" s="22" t="s">
        <v>59</v>
      </c>
      <c r="E4153" s="20" t="str">
        <f>IFERROR(VLOOKUP(I4153,KET!$B:$F,4,0),"")</f>
        <v>SUPRIYATI</v>
      </c>
      <c r="F4153" s="20" t="str">
        <f>IFERROR(VLOOKUP($I4153,KET!$B:$F,5,0),"")</f>
        <v>GMM</v>
      </c>
      <c r="G4153" s="20">
        <f>IFERROR(INDEX('Kode Outlet dan Target Toko'!$C:$C,MATCH($I4153,'Kode Outlet dan Target Toko'!$E:$E,0)),0)</f>
        <v>0</v>
      </c>
      <c r="H4153" s="20">
        <f>IFERROR(INDEX('Kode Outlet dan Target Toko'!$D:$D,MATCH($I4153,'Kode Outlet dan Target Toko'!$E:$E,0)),0)</f>
        <v>0</v>
      </c>
      <c r="I4153" s="41" t="s">
        <v>124</v>
      </c>
      <c r="J4153" s="45" t="s">
        <v>238</v>
      </c>
      <c r="K4153" s="53" t="s">
        <v>13</v>
      </c>
      <c r="L4153" s="23">
        <v>2950</v>
      </c>
      <c r="M4153" s="24">
        <v>40</v>
      </c>
      <c r="N4153" s="25">
        <f t="shared" si="129"/>
        <v>118000</v>
      </c>
      <c r="O4153" s="24"/>
    </row>
    <row r="4154" spans="1:15" hidden="1" x14ac:dyDescent="0.3">
      <c r="A4154" s="24">
        <v>34</v>
      </c>
      <c r="B4154" s="20" t="str">
        <f t="shared" si="128"/>
        <v>AUG</v>
      </c>
      <c r="C4154" s="21">
        <v>46255</v>
      </c>
      <c r="D4154" s="22" t="s">
        <v>59</v>
      </c>
      <c r="E4154" s="20" t="str">
        <f>IFERROR(VLOOKUP(I4154,KET!$B:$F,4,0),"")</f>
        <v>SUPRIYATI</v>
      </c>
      <c r="F4154" s="20" t="str">
        <f>IFERROR(VLOOKUP($I4154,KET!$B:$F,5,0),"")</f>
        <v>GMM</v>
      </c>
      <c r="G4154" s="20">
        <f>IFERROR(INDEX('Kode Outlet dan Target Toko'!$C:$C,MATCH($I4154,'Kode Outlet dan Target Toko'!$E:$E,0)),0)</f>
        <v>0</v>
      </c>
      <c r="H4154" s="20">
        <f>IFERROR(INDEX('Kode Outlet dan Target Toko'!$D:$D,MATCH($I4154,'Kode Outlet dan Target Toko'!$E:$E,0)),0)</f>
        <v>0</v>
      </c>
      <c r="I4154" s="41" t="s">
        <v>124</v>
      </c>
      <c r="J4154" s="45" t="s">
        <v>238</v>
      </c>
      <c r="K4154" s="53" t="s">
        <v>16</v>
      </c>
      <c r="L4154" s="23">
        <v>2950</v>
      </c>
      <c r="M4154" s="24">
        <v>200</v>
      </c>
      <c r="N4154" s="25">
        <f t="shared" si="129"/>
        <v>590000</v>
      </c>
      <c r="O4154" s="24">
        <v>160</v>
      </c>
    </row>
    <row r="4155" spans="1:15" hidden="1" x14ac:dyDescent="0.3">
      <c r="A4155" s="24">
        <v>34</v>
      </c>
      <c r="B4155" s="20" t="str">
        <f t="shared" si="128"/>
        <v>AUG</v>
      </c>
      <c r="C4155" s="21">
        <v>46255</v>
      </c>
      <c r="D4155" s="22" t="str">
        <f>IFERROR(INDEX('Kode Outlet dan Target Toko'!$A:$A,MATCH($I4155,'Kode Outlet dan Target Toko'!$E:$E,0)),"")</f>
        <v>GRSM 5</v>
      </c>
      <c r="E4155" s="20" t="str">
        <f>IFERROR(VLOOKUP(I4155,KET!$B:$F,4,0),"")</f>
        <v>SUPRIYATI</v>
      </c>
      <c r="F4155" s="20" t="str">
        <f>IFERROR(VLOOKUP($I4155,KET!$B:$F,5,0),"")</f>
        <v>GMM</v>
      </c>
      <c r="G4155" s="20">
        <f>IFERROR(INDEX('Kode Outlet dan Target Toko'!$C:$C,MATCH($I4155,'Kode Outlet dan Target Toko'!$E:$E,0)),0)</f>
        <v>211009</v>
      </c>
      <c r="H4155" s="20">
        <f>IFERROR(INDEX('Kode Outlet dan Target Toko'!$D:$D,MATCH($I4155,'Kode Outlet dan Target Toko'!$E:$E,0)),0)</f>
        <v>2100003</v>
      </c>
      <c r="I4155" s="41" t="s">
        <v>118</v>
      </c>
      <c r="J4155" s="45" t="s">
        <v>230</v>
      </c>
      <c r="K4155" s="53" t="s">
        <v>15</v>
      </c>
      <c r="L4155" s="23">
        <v>2900</v>
      </c>
      <c r="M4155" s="24">
        <v>20</v>
      </c>
      <c r="N4155" s="25">
        <f t="shared" si="129"/>
        <v>58000</v>
      </c>
      <c r="O4155" s="24"/>
    </row>
    <row r="4156" spans="1:15" hidden="1" x14ac:dyDescent="0.3">
      <c r="A4156" s="24">
        <v>34</v>
      </c>
      <c r="B4156" s="20" t="str">
        <f t="shared" si="128"/>
        <v>AUG</v>
      </c>
      <c r="C4156" s="21">
        <v>46255</v>
      </c>
      <c r="D4156" s="22" t="str">
        <f>IFERROR(INDEX('Kode Outlet dan Target Toko'!$A:$A,MATCH($I4156,'Kode Outlet dan Target Toko'!$E:$E,0)),"")</f>
        <v>GRSM 5</v>
      </c>
      <c r="E4156" s="20" t="str">
        <f>IFERROR(VLOOKUP(I4156,KET!$B:$F,4,0),"")</f>
        <v>SUPRIYATI</v>
      </c>
      <c r="F4156" s="20" t="str">
        <f>IFERROR(VLOOKUP($I4156,KET!$B:$F,5,0),"")</f>
        <v>GMM</v>
      </c>
      <c r="G4156" s="20">
        <f>IFERROR(INDEX('Kode Outlet dan Target Toko'!$C:$C,MATCH($I4156,'Kode Outlet dan Target Toko'!$E:$E,0)),0)</f>
        <v>211009</v>
      </c>
      <c r="H4156" s="20">
        <f>IFERROR(INDEX('Kode Outlet dan Target Toko'!$D:$D,MATCH($I4156,'Kode Outlet dan Target Toko'!$E:$E,0)),0)</f>
        <v>2100003</v>
      </c>
      <c r="I4156" s="41" t="s">
        <v>118</v>
      </c>
      <c r="J4156" s="45" t="s">
        <v>230</v>
      </c>
      <c r="K4156" s="53" t="s">
        <v>14</v>
      </c>
      <c r="L4156" s="23">
        <v>2900</v>
      </c>
      <c r="M4156" s="24">
        <v>14</v>
      </c>
      <c r="N4156" s="25">
        <f t="shared" si="129"/>
        <v>40600</v>
      </c>
      <c r="O4156" s="24"/>
    </row>
    <row r="4157" spans="1:15" hidden="1" x14ac:dyDescent="0.3">
      <c r="A4157" s="24">
        <v>34</v>
      </c>
      <c r="B4157" s="20" t="str">
        <f t="shared" si="128"/>
        <v>AUG</v>
      </c>
      <c r="C4157" s="21">
        <v>46255</v>
      </c>
      <c r="D4157" s="22" t="str">
        <f>IFERROR(INDEX('Kode Outlet dan Target Toko'!$A:$A,MATCH($I4157,'Kode Outlet dan Target Toko'!$E:$E,0)),"")</f>
        <v>GRSM 5</v>
      </c>
      <c r="E4157" s="20" t="str">
        <f>IFERROR(VLOOKUP(I4157,KET!$B:$F,4,0),"")</f>
        <v>SUPRIYATI</v>
      </c>
      <c r="F4157" s="20" t="str">
        <f>IFERROR(VLOOKUP($I4157,KET!$B:$F,5,0),"")</f>
        <v>GMM</v>
      </c>
      <c r="G4157" s="20">
        <f>IFERROR(INDEX('Kode Outlet dan Target Toko'!$C:$C,MATCH($I4157,'Kode Outlet dan Target Toko'!$E:$E,0)),0)</f>
        <v>211009</v>
      </c>
      <c r="H4157" s="20">
        <f>IFERROR(INDEX('Kode Outlet dan Target Toko'!$D:$D,MATCH($I4157,'Kode Outlet dan Target Toko'!$E:$E,0)),0)</f>
        <v>2100003</v>
      </c>
      <c r="I4157" s="41" t="s">
        <v>118</v>
      </c>
      <c r="J4157" s="45" t="s">
        <v>230</v>
      </c>
      <c r="K4157" s="53" t="s">
        <v>13</v>
      </c>
      <c r="L4157" s="23">
        <v>2900</v>
      </c>
      <c r="M4157" s="24">
        <v>16</v>
      </c>
      <c r="N4157" s="25">
        <f t="shared" si="129"/>
        <v>46400</v>
      </c>
      <c r="O4157" s="24"/>
    </row>
    <row r="4158" spans="1:15" hidden="1" x14ac:dyDescent="0.3">
      <c r="A4158" s="24">
        <v>34</v>
      </c>
      <c r="B4158" s="20" t="str">
        <f t="shared" si="128"/>
        <v>AUG</v>
      </c>
      <c r="C4158" s="21">
        <v>46255</v>
      </c>
      <c r="D4158" s="22" t="str">
        <f>IFERROR(INDEX('Kode Outlet dan Target Toko'!$A:$A,MATCH($I4158,'Kode Outlet dan Target Toko'!$E:$E,0)),"")</f>
        <v>GRSM 5</v>
      </c>
      <c r="E4158" s="20" t="str">
        <f>IFERROR(VLOOKUP(I4158,KET!$B:$F,4,0),"")</f>
        <v>SUPRIYATI</v>
      </c>
      <c r="F4158" s="20" t="str">
        <f>IFERROR(VLOOKUP($I4158,KET!$B:$F,5,0),"")</f>
        <v>GMM</v>
      </c>
      <c r="G4158" s="20">
        <f>IFERROR(INDEX('Kode Outlet dan Target Toko'!$C:$C,MATCH($I4158,'Kode Outlet dan Target Toko'!$E:$E,0)),0)</f>
        <v>211009</v>
      </c>
      <c r="H4158" s="20">
        <f>IFERROR(INDEX('Kode Outlet dan Target Toko'!$D:$D,MATCH($I4158,'Kode Outlet dan Target Toko'!$E:$E,0)),0)</f>
        <v>2100003</v>
      </c>
      <c r="I4158" s="41" t="s">
        <v>118</v>
      </c>
      <c r="J4158" s="45" t="s">
        <v>230</v>
      </c>
      <c r="K4158" s="53" t="s">
        <v>16</v>
      </c>
      <c r="L4158" s="23">
        <v>2900</v>
      </c>
      <c r="M4158" s="24">
        <v>136</v>
      </c>
      <c r="N4158" s="25">
        <f t="shared" si="129"/>
        <v>394400</v>
      </c>
      <c r="O4158" s="24">
        <v>160</v>
      </c>
    </row>
    <row r="4159" spans="1:15" hidden="1" x14ac:dyDescent="0.3">
      <c r="A4159" s="24">
        <v>34</v>
      </c>
      <c r="B4159" s="20" t="str">
        <f t="shared" si="128"/>
        <v>AUG</v>
      </c>
      <c r="C4159" s="21">
        <v>46255</v>
      </c>
      <c r="D4159" s="22" t="str">
        <f>IFERROR(INDEX('Kode Outlet dan Target Toko'!$A:$A,MATCH($I4159,'Kode Outlet dan Target Toko'!$E:$E,0)),"")</f>
        <v>GRSM 5</v>
      </c>
      <c r="E4159" s="20" t="str">
        <f>IFERROR(VLOOKUP(I4159,KET!$B:$F,4,0),"")</f>
        <v>SUPRIYATI</v>
      </c>
      <c r="F4159" s="20" t="str">
        <f>IFERROR(VLOOKUP($I4159,KET!$B:$F,5,0),"")</f>
        <v>GMM</v>
      </c>
      <c r="G4159" s="20">
        <f>IFERROR(INDEX('Kode Outlet dan Target Toko'!$C:$C,MATCH($I4159,'Kode Outlet dan Target Toko'!$E:$E,0)),0)</f>
        <v>211009</v>
      </c>
      <c r="H4159" s="20">
        <f>IFERROR(INDEX('Kode Outlet dan Target Toko'!$D:$D,MATCH($I4159,'Kode Outlet dan Target Toko'!$E:$E,0)),0)</f>
        <v>2100003</v>
      </c>
      <c r="I4159" s="41" t="s">
        <v>118</v>
      </c>
      <c r="J4159" s="45" t="s">
        <v>231</v>
      </c>
      <c r="K4159" s="53" t="s">
        <v>15</v>
      </c>
      <c r="L4159" s="23">
        <v>2900</v>
      </c>
      <c r="M4159" s="24">
        <v>20</v>
      </c>
      <c r="N4159" s="25">
        <f t="shared" si="129"/>
        <v>58000</v>
      </c>
      <c r="O4159" s="24"/>
    </row>
    <row r="4160" spans="1:15" hidden="1" x14ac:dyDescent="0.3">
      <c r="A4160" s="24">
        <v>34</v>
      </c>
      <c r="B4160" s="20" t="str">
        <f t="shared" si="128"/>
        <v>AUG</v>
      </c>
      <c r="C4160" s="21">
        <v>46255</v>
      </c>
      <c r="D4160" s="22" t="str">
        <f>IFERROR(INDEX('Kode Outlet dan Target Toko'!$A:$A,MATCH($I4160,'Kode Outlet dan Target Toko'!$E:$E,0)),"")</f>
        <v>GRSM 5</v>
      </c>
      <c r="E4160" s="20" t="str">
        <f>IFERROR(VLOOKUP(I4160,KET!$B:$F,4,0),"")</f>
        <v>SUPRIYATI</v>
      </c>
      <c r="F4160" s="20" t="str">
        <f>IFERROR(VLOOKUP($I4160,KET!$B:$F,5,0),"")</f>
        <v>GMM</v>
      </c>
      <c r="G4160" s="20">
        <f>IFERROR(INDEX('Kode Outlet dan Target Toko'!$C:$C,MATCH($I4160,'Kode Outlet dan Target Toko'!$E:$E,0)),0)</f>
        <v>211009</v>
      </c>
      <c r="H4160" s="20">
        <f>IFERROR(INDEX('Kode Outlet dan Target Toko'!$D:$D,MATCH($I4160,'Kode Outlet dan Target Toko'!$E:$E,0)),0)</f>
        <v>2100003</v>
      </c>
      <c r="I4160" s="41" t="s">
        <v>118</v>
      </c>
      <c r="J4160" s="45" t="s">
        <v>231</v>
      </c>
      <c r="K4160" s="53" t="s">
        <v>14</v>
      </c>
      <c r="L4160" s="23">
        <v>2900</v>
      </c>
      <c r="M4160" s="24">
        <v>14</v>
      </c>
      <c r="N4160" s="25">
        <f t="shared" si="129"/>
        <v>40600</v>
      </c>
      <c r="O4160" s="24"/>
    </row>
    <row r="4161" spans="1:15" hidden="1" x14ac:dyDescent="0.3">
      <c r="A4161" s="24">
        <v>34</v>
      </c>
      <c r="B4161" s="20" t="str">
        <f t="shared" si="128"/>
        <v>AUG</v>
      </c>
      <c r="C4161" s="21">
        <v>46255</v>
      </c>
      <c r="D4161" s="22" t="str">
        <f>IFERROR(INDEX('Kode Outlet dan Target Toko'!$A:$A,MATCH($I4161,'Kode Outlet dan Target Toko'!$E:$E,0)),"")</f>
        <v>GRSM 5</v>
      </c>
      <c r="E4161" s="20" t="str">
        <f>IFERROR(VLOOKUP(I4161,KET!$B:$F,4,0),"")</f>
        <v>SUPRIYATI</v>
      </c>
      <c r="F4161" s="20" t="str">
        <f>IFERROR(VLOOKUP($I4161,KET!$B:$F,5,0),"")</f>
        <v>GMM</v>
      </c>
      <c r="G4161" s="20">
        <f>IFERROR(INDEX('Kode Outlet dan Target Toko'!$C:$C,MATCH($I4161,'Kode Outlet dan Target Toko'!$E:$E,0)),0)</f>
        <v>211009</v>
      </c>
      <c r="H4161" s="20">
        <f>IFERROR(INDEX('Kode Outlet dan Target Toko'!$D:$D,MATCH($I4161,'Kode Outlet dan Target Toko'!$E:$E,0)),0)</f>
        <v>2100003</v>
      </c>
      <c r="I4161" s="41" t="s">
        <v>118</v>
      </c>
      <c r="J4161" s="45" t="s">
        <v>231</v>
      </c>
      <c r="K4161" s="53" t="s">
        <v>13</v>
      </c>
      <c r="L4161" s="23">
        <v>2900</v>
      </c>
      <c r="M4161" s="24">
        <v>16</v>
      </c>
      <c r="N4161" s="25">
        <f t="shared" si="129"/>
        <v>46400</v>
      </c>
      <c r="O4161" s="24"/>
    </row>
    <row r="4162" spans="1:15" hidden="1" x14ac:dyDescent="0.3">
      <c r="A4162" s="24">
        <v>34</v>
      </c>
      <c r="B4162" s="20" t="str">
        <f t="shared" si="128"/>
        <v>AUG</v>
      </c>
      <c r="C4162" s="21">
        <v>46255</v>
      </c>
      <c r="D4162" s="22" t="str">
        <f>IFERROR(INDEX('Kode Outlet dan Target Toko'!$A:$A,MATCH($I4162,'Kode Outlet dan Target Toko'!$E:$E,0)),"")</f>
        <v>GRSM 5</v>
      </c>
      <c r="E4162" s="20" t="str">
        <f>IFERROR(VLOOKUP(I4162,KET!$B:$F,4,0),"")</f>
        <v>SUPRIYATI</v>
      </c>
      <c r="F4162" s="20" t="str">
        <f>IFERROR(VLOOKUP($I4162,KET!$B:$F,5,0),"")</f>
        <v>GMM</v>
      </c>
      <c r="G4162" s="20">
        <f>IFERROR(INDEX('Kode Outlet dan Target Toko'!$C:$C,MATCH($I4162,'Kode Outlet dan Target Toko'!$E:$E,0)),0)</f>
        <v>211009</v>
      </c>
      <c r="H4162" s="20">
        <f>IFERROR(INDEX('Kode Outlet dan Target Toko'!$D:$D,MATCH($I4162,'Kode Outlet dan Target Toko'!$E:$E,0)),0)</f>
        <v>2100003</v>
      </c>
      <c r="I4162" s="41" t="s">
        <v>118</v>
      </c>
      <c r="J4162" s="45" t="s">
        <v>231</v>
      </c>
      <c r="K4162" s="53" t="s">
        <v>16</v>
      </c>
      <c r="L4162" s="23">
        <v>2900</v>
      </c>
      <c r="M4162" s="24">
        <v>136</v>
      </c>
      <c r="N4162" s="25">
        <f t="shared" si="129"/>
        <v>394400</v>
      </c>
      <c r="O4162" s="24">
        <v>160</v>
      </c>
    </row>
    <row r="4163" spans="1:15" hidden="1" x14ac:dyDescent="0.3">
      <c r="A4163" s="24">
        <v>34</v>
      </c>
      <c r="B4163" s="20" t="str">
        <f t="shared" si="128"/>
        <v>AUG</v>
      </c>
      <c r="C4163" s="21">
        <v>46255</v>
      </c>
      <c r="D4163" s="22" t="str">
        <f>IFERROR(INDEX('Kode Outlet dan Target Toko'!$A:$A,MATCH($I4163,'Kode Outlet dan Target Toko'!$E:$E,0)),"")</f>
        <v>GRSM 5</v>
      </c>
      <c r="E4163" s="20" t="str">
        <f>IFERROR(VLOOKUP(I4163,KET!$B:$F,4,0),"")</f>
        <v>SUPRIYATI</v>
      </c>
      <c r="F4163" s="20" t="str">
        <f>IFERROR(VLOOKUP($I4163,KET!$B:$F,5,0),"")</f>
        <v>GMM</v>
      </c>
      <c r="G4163" s="20">
        <f>IFERROR(INDEX('Kode Outlet dan Target Toko'!$C:$C,MATCH($I4163,'Kode Outlet dan Target Toko'!$E:$E,0)),0)</f>
        <v>0</v>
      </c>
      <c r="H4163" s="20">
        <f>IFERROR(INDEX('Kode Outlet dan Target Toko'!$D:$D,MATCH($I4163,'Kode Outlet dan Target Toko'!$E:$E,0)),0)</f>
        <v>0</v>
      </c>
      <c r="I4163" s="41" t="s">
        <v>125</v>
      </c>
      <c r="J4163" s="45" t="s">
        <v>239</v>
      </c>
      <c r="K4163" s="53" t="s">
        <v>15</v>
      </c>
      <c r="L4163" s="23">
        <v>2900</v>
      </c>
      <c r="M4163" s="24">
        <v>100</v>
      </c>
      <c r="N4163" s="25">
        <f t="shared" si="129"/>
        <v>290000</v>
      </c>
      <c r="O4163" s="24"/>
    </row>
    <row r="4164" spans="1:15" hidden="1" x14ac:dyDescent="0.3">
      <c r="A4164" s="24">
        <v>34</v>
      </c>
      <c r="B4164" s="20" t="str">
        <f t="shared" si="128"/>
        <v>AUG</v>
      </c>
      <c r="C4164" s="21">
        <v>46255</v>
      </c>
      <c r="D4164" s="22" t="str">
        <f>IFERROR(INDEX('Kode Outlet dan Target Toko'!$A:$A,MATCH($I4164,'Kode Outlet dan Target Toko'!$E:$E,0)),"")</f>
        <v>GRSM 5</v>
      </c>
      <c r="E4164" s="20" t="str">
        <f>IFERROR(VLOOKUP(I4164,KET!$B:$F,4,0),"")</f>
        <v>SUPRIYATI</v>
      </c>
      <c r="F4164" s="20" t="str">
        <f>IFERROR(VLOOKUP($I4164,KET!$B:$F,5,0),"")</f>
        <v>GMM</v>
      </c>
      <c r="G4164" s="20">
        <f>IFERROR(INDEX('Kode Outlet dan Target Toko'!$C:$C,MATCH($I4164,'Kode Outlet dan Target Toko'!$E:$E,0)),0)</f>
        <v>0</v>
      </c>
      <c r="H4164" s="20">
        <f>IFERROR(INDEX('Kode Outlet dan Target Toko'!$D:$D,MATCH($I4164,'Kode Outlet dan Target Toko'!$E:$E,0)),0)</f>
        <v>0</v>
      </c>
      <c r="I4164" s="41" t="s">
        <v>125</v>
      </c>
      <c r="J4164" s="45" t="s">
        <v>239</v>
      </c>
      <c r="K4164" s="53" t="s">
        <v>14</v>
      </c>
      <c r="L4164" s="23">
        <v>2900</v>
      </c>
      <c r="M4164" s="24">
        <v>100</v>
      </c>
      <c r="N4164" s="25">
        <f t="shared" si="129"/>
        <v>290000</v>
      </c>
      <c r="O4164" s="24"/>
    </row>
    <row r="4165" spans="1:15" hidden="1" x14ac:dyDescent="0.3">
      <c r="A4165" s="24">
        <v>34</v>
      </c>
      <c r="B4165" s="20" t="str">
        <f t="shared" si="128"/>
        <v>AUG</v>
      </c>
      <c r="C4165" s="21">
        <v>46255</v>
      </c>
      <c r="D4165" s="22" t="str">
        <f>IFERROR(INDEX('Kode Outlet dan Target Toko'!$A:$A,MATCH($I4165,'Kode Outlet dan Target Toko'!$E:$E,0)),"")</f>
        <v>GRSM 5</v>
      </c>
      <c r="E4165" s="20" t="str">
        <f>IFERROR(VLOOKUP(I4165,KET!$B:$F,4,0),"")</f>
        <v>SUPRIYATI</v>
      </c>
      <c r="F4165" s="20" t="str">
        <f>IFERROR(VLOOKUP($I4165,KET!$B:$F,5,0),"")</f>
        <v>GMM</v>
      </c>
      <c r="G4165" s="20">
        <f>IFERROR(INDEX('Kode Outlet dan Target Toko'!$C:$C,MATCH($I4165,'Kode Outlet dan Target Toko'!$E:$E,0)),0)</f>
        <v>0</v>
      </c>
      <c r="H4165" s="20">
        <f>IFERROR(INDEX('Kode Outlet dan Target Toko'!$D:$D,MATCH($I4165,'Kode Outlet dan Target Toko'!$E:$E,0)),0)</f>
        <v>0</v>
      </c>
      <c r="I4165" s="41" t="s">
        <v>125</v>
      </c>
      <c r="J4165" s="45" t="s">
        <v>239</v>
      </c>
      <c r="K4165" s="53" t="s">
        <v>13</v>
      </c>
      <c r="L4165" s="23">
        <v>2900</v>
      </c>
      <c r="M4165" s="24">
        <v>100</v>
      </c>
      <c r="N4165" s="25">
        <f t="shared" si="129"/>
        <v>290000</v>
      </c>
      <c r="O4165" s="24"/>
    </row>
    <row r="4166" spans="1:15" hidden="1" x14ac:dyDescent="0.3">
      <c r="A4166" s="24">
        <v>34</v>
      </c>
      <c r="B4166" s="20" t="str">
        <f t="shared" si="128"/>
        <v>AUG</v>
      </c>
      <c r="C4166" s="21">
        <v>46255</v>
      </c>
      <c r="D4166" s="22" t="str">
        <f>IFERROR(INDEX('Kode Outlet dan Target Toko'!$A:$A,MATCH($I4166,'Kode Outlet dan Target Toko'!$E:$E,0)),"")</f>
        <v>GRSM 5</v>
      </c>
      <c r="E4166" s="20" t="str">
        <f>IFERROR(VLOOKUP(I4166,KET!$B:$F,4,0),"")</f>
        <v>SUPRIYATI</v>
      </c>
      <c r="F4166" s="20" t="str">
        <f>IFERROR(VLOOKUP($I4166,KET!$B:$F,5,0),"")</f>
        <v>GMM</v>
      </c>
      <c r="G4166" s="20">
        <f>IFERROR(INDEX('Kode Outlet dan Target Toko'!$C:$C,MATCH($I4166,'Kode Outlet dan Target Toko'!$E:$E,0)),0)</f>
        <v>0</v>
      </c>
      <c r="H4166" s="20">
        <f>IFERROR(INDEX('Kode Outlet dan Target Toko'!$D:$D,MATCH($I4166,'Kode Outlet dan Target Toko'!$E:$E,0)),0)</f>
        <v>0</v>
      </c>
      <c r="I4166" s="41" t="s">
        <v>125</v>
      </c>
      <c r="J4166" s="45" t="s">
        <v>239</v>
      </c>
      <c r="K4166" s="53" t="s">
        <v>16</v>
      </c>
      <c r="L4166" s="23">
        <v>2900</v>
      </c>
      <c r="M4166" s="24">
        <v>100</v>
      </c>
      <c r="N4166" s="25">
        <f t="shared" si="129"/>
        <v>290000</v>
      </c>
      <c r="O4166" s="24">
        <v>160</v>
      </c>
    </row>
    <row r="4167" spans="1:15" hidden="1" x14ac:dyDescent="0.3">
      <c r="A4167" s="24">
        <v>34</v>
      </c>
      <c r="B4167" s="20" t="str">
        <f t="shared" ref="B4167:B4230" si="130">IF(C4167="","",UPPER(TEXT(C4167, "MMM")))</f>
        <v>AUG</v>
      </c>
      <c r="C4167" s="21">
        <v>46255</v>
      </c>
      <c r="D4167" s="22" t="str">
        <f>IFERROR(INDEX('Kode Outlet dan Target Toko'!$A:$A,MATCH($I4167,'Kode Outlet dan Target Toko'!$E:$E,0)),"")</f>
        <v>GRSM 5</v>
      </c>
      <c r="E4167" s="20" t="str">
        <f>IFERROR(VLOOKUP(I4167,KET!$B:$F,4,0),"")</f>
        <v>SUPRIYATI</v>
      </c>
      <c r="F4167" s="20" t="str">
        <f>IFERROR(VLOOKUP($I4167,KET!$B:$F,5,0),"")</f>
        <v>GMM</v>
      </c>
      <c r="G4167" s="20">
        <f>IFERROR(INDEX('Kode Outlet dan Target Toko'!$C:$C,MATCH($I4167,'Kode Outlet dan Target Toko'!$E:$E,0)),0)</f>
        <v>0</v>
      </c>
      <c r="H4167" s="20">
        <f>IFERROR(INDEX('Kode Outlet dan Target Toko'!$D:$D,MATCH($I4167,'Kode Outlet dan Target Toko'!$E:$E,0)),0)</f>
        <v>0</v>
      </c>
      <c r="I4167" s="41" t="s">
        <v>125</v>
      </c>
      <c r="J4167" s="45" t="s">
        <v>240</v>
      </c>
      <c r="K4167" s="53" t="s">
        <v>15</v>
      </c>
      <c r="L4167" s="23">
        <v>2900</v>
      </c>
      <c r="M4167" s="24">
        <v>100</v>
      </c>
      <c r="N4167" s="25">
        <f t="shared" ref="N4167:N4230" si="131">IFERROR(M4167*L4167,"")</f>
        <v>290000</v>
      </c>
      <c r="O4167" s="24"/>
    </row>
    <row r="4168" spans="1:15" hidden="1" x14ac:dyDescent="0.3">
      <c r="A4168" s="24">
        <v>34</v>
      </c>
      <c r="B4168" s="20" t="str">
        <f t="shared" si="130"/>
        <v>AUG</v>
      </c>
      <c r="C4168" s="21">
        <v>46255</v>
      </c>
      <c r="D4168" s="22" t="str">
        <f>IFERROR(INDEX('Kode Outlet dan Target Toko'!$A:$A,MATCH($I4168,'Kode Outlet dan Target Toko'!$E:$E,0)),"")</f>
        <v>GRSM 5</v>
      </c>
      <c r="E4168" s="20" t="str">
        <f>IFERROR(VLOOKUP(I4168,KET!$B:$F,4,0),"")</f>
        <v>SUPRIYATI</v>
      </c>
      <c r="F4168" s="20" t="str">
        <f>IFERROR(VLOOKUP($I4168,KET!$B:$F,5,0),"")</f>
        <v>GMM</v>
      </c>
      <c r="G4168" s="20">
        <f>IFERROR(INDEX('Kode Outlet dan Target Toko'!$C:$C,MATCH($I4168,'Kode Outlet dan Target Toko'!$E:$E,0)),0)</f>
        <v>0</v>
      </c>
      <c r="H4168" s="20">
        <f>IFERROR(INDEX('Kode Outlet dan Target Toko'!$D:$D,MATCH($I4168,'Kode Outlet dan Target Toko'!$E:$E,0)),0)</f>
        <v>0</v>
      </c>
      <c r="I4168" s="41" t="s">
        <v>125</v>
      </c>
      <c r="J4168" s="45" t="s">
        <v>240</v>
      </c>
      <c r="K4168" s="53" t="s">
        <v>14</v>
      </c>
      <c r="L4168" s="23">
        <v>2900</v>
      </c>
      <c r="M4168" s="24">
        <v>100</v>
      </c>
      <c r="N4168" s="25">
        <f t="shared" si="131"/>
        <v>290000</v>
      </c>
      <c r="O4168" s="24"/>
    </row>
    <row r="4169" spans="1:15" hidden="1" x14ac:dyDescent="0.3">
      <c r="A4169" s="24">
        <v>34</v>
      </c>
      <c r="B4169" s="20" t="str">
        <f t="shared" si="130"/>
        <v>AUG</v>
      </c>
      <c r="C4169" s="21">
        <v>46255</v>
      </c>
      <c r="D4169" s="22" t="str">
        <f>IFERROR(INDEX('Kode Outlet dan Target Toko'!$A:$A,MATCH($I4169,'Kode Outlet dan Target Toko'!$E:$E,0)),"")</f>
        <v>GRSM 5</v>
      </c>
      <c r="E4169" s="20" t="str">
        <f>IFERROR(VLOOKUP(I4169,KET!$B:$F,4,0),"")</f>
        <v>SUPRIYATI</v>
      </c>
      <c r="F4169" s="20" t="str">
        <f>IFERROR(VLOOKUP($I4169,KET!$B:$F,5,0),"")</f>
        <v>GMM</v>
      </c>
      <c r="G4169" s="20">
        <f>IFERROR(INDEX('Kode Outlet dan Target Toko'!$C:$C,MATCH($I4169,'Kode Outlet dan Target Toko'!$E:$E,0)),0)</f>
        <v>0</v>
      </c>
      <c r="H4169" s="20">
        <f>IFERROR(INDEX('Kode Outlet dan Target Toko'!$D:$D,MATCH($I4169,'Kode Outlet dan Target Toko'!$E:$E,0)),0)</f>
        <v>0</v>
      </c>
      <c r="I4169" s="41" t="s">
        <v>125</v>
      </c>
      <c r="J4169" s="45" t="s">
        <v>240</v>
      </c>
      <c r="K4169" s="53" t="s">
        <v>13</v>
      </c>
      <c r="L4169" s="23">
        <v>2900</v>
      </c>
      <c r="M4169" s="24">
        <v>100</v>
      </c>
      <c r="N4169" s="25">
        <f t="shared" si="131"/>
        <v>290000</v>
      </c>
      <c r="O4169" s="24"/>
    </row>
    <row r="4170" spans="1:15" hidden="1" x14ac:dyDescent="0.3">
      <c r="A4170" s="24">
        <v>34</v>
      </c>
      <c r="B4170" s="20" t="str">
        <f t="shared" si="130"/>
        <v>AUG</v>
      </c>
      <c r="C4170" s="21">
        <v>46255</v>
      </c>
      <c r="D4170" s="22" t="str">
        <f>IFERROR(INDEX('Kode Outlet dan Target Toko'!$A:$A,MATCH($I4170,'Kode Outlet dan Target Toko'!$E:$E,0)),"")</f>
        <v>GRSM 5</v>
      </c>
      <c r="E4170" s="20" t="str">
        <f>IFERROR(VLOOKUP(I4170,KET!$B:$F,4,0),"")</f>
        <v>SUPRIYATI</v>
      </c>
      <c r="F4170" s="20" t="str">
        <f>IFERROR(VLOOKUP($I4170,KET!$B:$F,5,0),"")</f>
        <v>GMM</v>
      </c>
      <c r="G4170" s="20">
        <f>IFERROR(INDEX('Kode Outlet dan Target Toko'!$C:$C,MATCH($I4170,'Kode Outlet dan Target Toko'!$E:$E,0)),0)</f>
        <v>0</v>
      </c>
      <c r="H4170" s="20">
        <f>IFERROR(INDEX('Kode Outlet dan Target Toko'!$D:$D,MATCH($I4170,'Kode Outlet dan Target Toko'!$E:$E,0)),0)</f>
        <v>0</v>
      </c>
      <c r="I4170" s="41" t="s">
        <v>125</v>
      </c>
      <c r="J4170" s="45" t="s">
        <v>240</v>
      </c>
      <c r="K4170" s="53" t="s">
        <v>16</v>
      </c>
      <c r="L4170" s="23">
        <v>2900</v>
      </c>
      <c r="M4170" s="24">
        <v>100</v>
      </c>
      <c r="N4170" s="25">
        <f t="shared" si="131"/>
        <v>290000</v>
      </c>
      <c r="O4170" s="24">
        <v>160</v>
      </c>
    </row>
    <row r="4171" spans="1:15" hidden="1" x14ac:dyDescent="0.3">
      <c r="A4171" s="24">
        <v>34</v>
      </c>
      <c r="B4171" s="20" t="str">
        <f t="shared" si="130"/>
        <v>AUG</v>
      </c>
      <c r="C4171" s="21">
        <v>46256</v>
      </c>
      <c r="D4171" s="22" t="str">
        <f>IFERROR(INDEX('Kode Outlet dan Target Toko'!$A:$A,MATCH($I4171,'Kode Outlet dan Target Toko'!$E:$E,0)),"")</f>
        <v>GRSM 5</v>
      </c>
      <c r="E4171" s="20" t="str">
        <f>IFERROR(VLOOKUP(I4171,KET!$B:$F,4,0),"")</f>
        <v>SUPRIYATI</v>
      </c>
      <c r="F4171" s="20" t="str">
        <f>IFERROR(VLOOKUP($I4171,KET!$B:$F,5,0),"")</f>
        <v>GMM</v>
      </c>
      <c r="G4171" s="20">
        <f>IFERROR(INDEX('Kode Outlet dan Target Toko'!$C:$C,MATCH($I4171,'Kode Outlet dan Target Toko'!$E:$E,0)),0)</f>
        <v>103274</v>
      </c>
      <c r="H4171" s="20">
        <f>IFERROR(INDEX('Kode Outlet dan Target Toko'!$D:$D,MATCH($I4171,'Kode Outlet dan Target Toko'!$E:$E,0)),0)</f>
        <v>1301399</v>
      </c>
      <c r="I4171" s="41" t="s">
        <v>111</v>
      </c>
      <c r="J4171" s="45" t="s">
        <v>205</v>
      </c>
      <c r="K4171" s="53" t="s">
        <v>15</v>
      </c>
      <c r="L4171" s="23">
        <v>3111</v>
      </c>
      <c r="M4171" s="24">
        <v>80</v>
      </c>
      <c r="N4171" s="25">
        <f t="shared" si="131"/>
        <v>248880</v>
      </c>
      <c r="O4171" s="24"/>
    </row>
    <row r="4172" spans="1:15" hidden="1" x14ac:dyDescent="0.3">
      <c r="A4172" s="24">
        <v>34</v>
      </c>
      <c r="B4172" s="20" t="str">
        <f t="shared" si="130"/>
        <v>AUG</v>
      </c>
      <c r="C4172" s="21">
        <v>46256</v>
      </c>
      <c r="D4172" s="22" t="str">
        <f>IFERROR(INDEX('Kode Outlet dan Target Toko'!$A:$A,MATCH($I4172,'Kode Outlet dan Target Toko'!$E:$E,0)),"")</f>
        <v>GRSM 5</v>
      </c>
      <c r="E4172" s="20" t="str">
        <f>IFERROR(VLOOKUP(I4172,KET!$B:$F,4,0),"")</f>
        <v>SUPRIYATI</v>
      </c>
      <c r="F4172" s="20" t="str">
        <f>IFERROR(VLOOKUP($I4172,KET!$B:$F,5,0),"")</f>
        <v>GMM</v>
      </c>
      <c r="G4172" s="20">
        <f>IFERROR(INDEX('Kode Outlet dan Target Toko'!$C:$C,MATCH($I4172,'Kode Outlet dan Target Toko'!$E:$E,0)),0)</f>
        <v>103274</v>
      </c>
      <c r="H4172" s="20">
        <f>IFERROR(INDEX('Kode Outlet dan Target Toko'!$D:$D,MATCH($I4172,'Kode Outlet dan Target Toko'!$E:$E,0)),0)</f>
        <v>1301399</v>
      </c>
      <c r="I4172" s="41" t="s">
        <v>111</v>
      </c>
      <c r="J4172" s="45" t="s">
        <v>205</v>
      </c>
      <c r="K4172" s="53" t="s">
        <v>14</v>
      </c>
      <c r="L4172" s="23">
        <v>3111</v>
      </c>
      <c r="M4172" s="24">
        <v>60</v>
      </c>
      <c r="N4172" s="25">
        <f t="shared" si="131"/>
        <v>186660</v>
      </c>
      <c r="O4172" s="24"/>
    </row>
    <row r="4173" spans="1:15" hidden="1" x14ac:dyDescent="0.3">
      <c r="A4173" s="24">
        <v>34</v>
      </c>
      <c r="B4173" s="20" t="str">
        <f t="shared" si="130"/>
        <v>AUG</v>
      </c>
      <c r="C4173" s="21">
        <v>46256</v>
      </c>
      <c r="D4173" s="22" t="str">
        <f>IFERROR(INDEX('Kode Outlet dan Target Toko'!$A:$A,MATCH($I4173,'Kode Outlet dan Target Toko'!$E:$E,0)),"")</f>
        <v>GRSM 5</v>
      </c>
      <c r="E4173" s="20" t="str">
        <f>IFERROR(VLOOKUP(I4173,KET!$B:$F,4,0),"")</f>
        <v>SUPRIYATI</v>
      </c>
      <c r="F4173" s="20" t="str">
        <f>IFERROR(VLOOKUP($I4173,KET!$B:$F,5,0),"")</f>
        <v>GMM</v>
      </c>
      <c r="G4173" s="20">
        <f>IFERROR(INDEX('Kode Outlet dan Target Toko'!$C:$C,MATCH($I4173,'Kode Outlet dan Target Toko'!$E:$E,0)),0)</f>
        <v>103274</v>
      </c>
      <c r="H4173" s="20">
        <f>IFERROR(INDEX('Kode Outlet dan Target Toko'!$D:$D,MATCH($I4173,'Kode Outlet dan Target Toko'!$E:$E,0)),0)</f>
        <v>1301399</v>
      </c>
      <c r="I4173" s="41" t="s">
        <v>111</v>
      </c>
      <c r="J4173" s="45" t="s">
        <v>205</v>
      </c>
      <c r="K4173" s="53" t="s">
        <v>13</v>
      </c>
      <c r="L4173" s="23">
        <v>3111</v>
      </c>
      <c r="M4173" s="24">
        <v>10</v>
      </c>
      <c r="N4173" s="25">
        <f t="shared" si="131"/>
        <v>31110</v>
      </c>
      <c r="O4173" s="24"/>
    </row>
    <row r="4174" spans="1:15" hidden="1" x14ac:dyDescent="0.3">
      <c r="A4174" s="24">
        <v>34</v>
      </c>
      <c r="B4174" s="20" t="str">
        <f t="shared" si="130"/>
        <v>AUG</v>
      </c>
      <c r="C4174" s="21">
        <v>46256</v>
      </c>
      <c r="D4174" s="22" t="str">
        <f>IFERROR(INDEX('Kode Outlet dan Target Toko'!$A:$A,MATCH($I4174,'Kode Outlet dan Target Toko'!$E:$E,0)),"")</f>
        <v>GRSM 5</v>
      </c>
      <c r="E4174" s="20" t="str">
        <f>IFERROR(VLOOKUP(I4174,KET!$B:$F,4,0),"")</f>
        <v>SUPRIYATI</v>
      </c>
      <c r="F4174" s="20" t="str">
        <f>IFERROR(VLOOKUP($I4174,KET!$B:$F,5,0),"")</f>
        <v>GMM</v>
      </c>
      <c r="G4174" s="20">
        <f>IFERROR(INDEX('Kode Outlet dan Target Toko'!$C:$C,MATCH($I4174,'Kode Outlet dan Target Toko'!$E:$E,0)),0)</f>
        <v>103274</v>
      </c>
      <c r="H4174" s="20">
        <f>IFERROR(INDEX('Kode Outlet dan Target Toko'!$D:$D,MATCH($I4174,'Kode Outlet dan Target Toko'!$E:$E,0)),0)</f>
        <v>1301399</v>
      </c>
      <c r="I4174" s="41" t="s">
        <v>111</v>
      </c>
      <c r="J4174" s="45" t="s">
        <v>205</v>
      </c>
      <c r="K4174" s="53" t="s">
        <v>16</v>
      </c>
      <c r="L4174" s="23">
        <v>3111</v>
      </c>
      <c r="M4174" s="24">
        <v>120</v>
      </c>
      <c r="N4174" s="25">
        <f t="shared" si="131"/>
        <v>373320</v>
      </c>
      <c r="O4174" s="24">
        <v>160</v>
      </c>
    </row>
    <row r="4175" spans="1:15" hidden="1" x14ac:dyDescent="0.3">
      <c r="A4175" s="24">
        <v>34</v>
      </c>
      <c r="B4175" s="20" t="str">
        <f t="shared" si="130"/>
        <v>AUG</v>
      </c>
      <c r="C4175" s="21">
        <v>46256</v>
      </c>
      <c r="D4175" s="22" t="str">
        <f>IFERROR(INDEX('Kode Outlet dan Target Toko'!$A:$A,MATCH($I4175,'Kode Outlet dan Target Toko'!$E:$E,0)),"")</f>
        <v>GRSM 5</v>
      </c>
      <c r="E4175" s="20" t="str">
        <f>IFERROR(VLOOKUP(I4175,KET!$B:$F,4,0),"")</f>
        <v>SUPRIYATI</v>
      </c>
      <c r="F4175" s="20" t="str">
        <f>IFERROR(VLOOKUP($I4175,KET!$B:$F,5,0),"")</f>
        <v>GMM</v>
      </c>
      <c r="G4175" s="20">
        <f>IFERROR(INDEX('Kode Outlet dan Target Toko'!$C:$C,MATCH($I4175,'Kode Outlet dan Target Toko'!$E:$E,0)),0)</f>
        <v>103274</v>
      </c>
      <c r="H4175" s="20">
        <f>IFERROR(INDEX('Kode Outlet dan Target Toko'!$D:$D,MATCH($I4175,'Kode Outlet dan Target Toko'!$E:$E,0)),0)</f>
        <v>1301399</v>
      </c>
      <c r="I4175" s="41" t="s">
        <v>111</v>
      </c>
      <c r="J4175" s="45" t="s">
        <v>206</v>
      </c>
      <c r="K4175" s="53" t="s">
        <v>15</v>
      </c>
      <c r="L4175" s="23">
        <v>3111</v>
      </c>
      <c r="M4175" s="24">
        <v>80</v>
      </c>
      <c r="N4175" s="25">
        <f t="shared" si="131"/>
        <v>248880</v>
      </c>
      <c r="O4175" s="24"/>
    </row>
    <row r="4176" spans="1:15" hidden="1" x14ac:dyDescent="0.3">
      <c r="A4176" s="24">
        <v>34</v>
      </c>
      <c r="B4176" s="20" t="str">
        <f t="shared" si="130"/>
        <v>AUG</v>
      </c>
      <c r="C4176" s="21">
        <v>46256</v>
      </c>
      <c r="D4176" s="22" t="str">
        <f>IFERROR(INDEX('Kode Outlet dan Target Toko'!$A:$A,MATCH($I4176,'Kode Outlet dan Target Toko'!$E:$E,0)),"")</f>
        <v>GRSM 5</v>
      </c>
      <c r="E4176" s="20" t="str">
        <f>IFERROR(VLOOKUP(I4176,KET!$B:$F,4,0),"")</f>
        <v>SUPRIYATI</v>
      </c>
      <c r="F4176" s="20" t="str">
        <f>IFERROR(VLOOKUP($I4176,KET!$B:$F,5,0),"")</f>
        <v>GMM</v>
      </c>
      <c r="G4176" s="20">
        <f>IFERROR(INDEX('Kode Outlet dan Target Toko'!$C:$C,MATCH($I4176,'Kode Outlet dan Target Toko'!$E:$E,0)),0)</f>
        <v>103274</v>
      </c>
      <c r="H4176" s="20">
        <f>IFERROR(INDEX('Kode Outlet dan Target Toko'!$D:$D,MATCH($I4176,'Kode Outlet dan Target Toko'!$E:$E,0)),0)</f>
        <v>1301399</v>
      </c>
      <c r="I4176" s="41" t="s">
        <v>111</v>
      </c>
      <c r="J4176" s="45" t="s">
        <v>206</v>
      </c>
      <c r="K4176" s="53" t="s">
        <v>14</v>
      </c>
      <c r="L4176" s="23">
        <v>3111</v>
      </c>
      <c r="M4176" s="24">
        <v>60</v>
      </c>
      <c r="N4176" s="25">
        <f t="shared" si="131"/>
        <v>186660</v>
      </c>
      <c r="O4176" s="24"/>
    </row>
    <row r="4177" spans="1:15" hidden="1" x14ac:dyDescent="0.3">
      <c r="A4177" s="24">
        <v>34</v>
      </c>
      <c r="B4177" s="20" t="str">
        <f t="shared" si="130"/>
        <v>AUG</v>
      </c>
      <c r="C4177" s="21">
        <v>46256</v>
      </c>
      <c r="D4177" s="22" t="str">
        <f>IFERROR(INDEX('Kode Outlet dan Target Toko'!$A:$A,MATCH($I4177,'Kode Outlet dan Target Toko'!$E:$E,0)),"")</f>
        <v>GRSM 5</v>
      </c>
      <c r="E4177" s="20" t="str">
        <f>IFERROR(VLOOKUP(I4177,KET!$B:$F,4,0),"")</f>
        <v>SUPRIYATI</v>
      </c>
      <c r="F4177" s="20" t="str">
        <f>IFERROR(VLOOKUP($I4177,KET!$B:$F,5,0),"")</f>
        <v>GMM</v>
      </c>
      <c r="G4177" s="20">
        <f>IFERROR(INDEX('Kode Outlet dan Target Toko'!$C:$C,MATCH($I4177,'Kode Outlet dan Target Toko'!$E:$E,0)),0)</f>
        <v>103274</v>
      </c>
      <c r="H4177" s="20">
        <f>IFERROR(INDEX('Kode Outlet dan Target Toko'!$D:$D,MATCH($I4177,'Kode Outlet dan Target Toko'!$E:$E,0)),0)</f>
        <v>1301399</v>
      </c>
      <c r="I4177" s="41" t="s">
        <v>111</v>
      </c>
      <c r="J4177" s="45" t="s">
        <v>206</v>
      </c>
      <c r="K4177" s="53" t="s">
        <v>13</v>
      </c>
      <c r="L4177" s="23">
        <v>3111</v>
      </c>
      <c r="M4177" s="24">
        <v>10</v>
      </c>
      <c r="N4177" s="25">
        <f t="shared" si="131"/>
        <v>31110</v>
      </c>
      <c r="O4177" s="24"/>
    </row>
    <row r="4178" spans="1:15" hidden="1" x14ac:dyDescent="0.3">
      <c r="A4178" s="24">
        <v>34</v>
      </c>
      <c r="B4178" s="20" t="str">
        <f t="shared" si="130"/>
        <v>AUG</v>
      </c>
      <c r="C4178" s="21">
        <v>46256</v>
      </c>
      <c r="D4178" s="22" t="str">
        <f>IFERROR(INDEX('Kode Outlet dan Target Toko'!$A:$A,MATCH($I4178,'Kode Outlet dan Target Toko'!$E:$E,0)),"")</f>
        <v>GRSM 5</v>
      </c>
      <c r="E4178" s="20" t="str">
        <f>IFERROR(VLOOKUP(I4178,KET!$B:$F,4,0),"")</f>
        <v>SUPRIYATI</v>
      </c>
      <c r="F4178" s="20" t="str">
        <f>IFERROR(VLOOKUP($I4178,KET!$B:$F,5,0),"")</f>
        <v>GMM</v>
      </c>
      <c r="G4178" s="20">
        <f>IFERROR(INDEX('Kode Outlet dan Target Toko'!$C:$C,MATCH($I4178,'Kode Outlet dan Target Toko'!$E:$E,0)),0)</f>
        <v>103274</v>
      </c>
      <c r="H4178" s="20">
        <f>IFERROR(INDEX('Kode Outlet dan Target Toko'!$D:$D,MATCH($I4178,'Kode Outlet dan Target Toko'!$E:$E,0)),0)</f>
        <v>1301399</v>
      </c>
      <c r="I4178" s="41" t="s">
        <v>111</v>
      </c>
      <c r="J4178" s="45" t="s">
        <v>206</v>
      </c>
      <c r="K4178" s="53" t="s">
        <v>16</v>
      </c>
      <c r="L4178" s="23">
        <v>3111</v>
      </c>
      <c r="M4178" s="24">
        <v>120</v>
      </c>
      <c r="N4178" s="25">
        <f t="shared" si="131"/>
        <v>373320</v>
      </c>
      <c r="O4178" s="24">
        <v>160</v>
      </c>
    </row>
    <row r="4179" spans="1:15" hidden="1" x14ac:dyDescent="0.3">
      <c r="A4179" s="24">
        <v>34</v>
      </c>
      <c r="B4179" s="20" t="str">
        <f t="shared" si="130"/>
        <v>AUG</v>
      </c>
      <c r="C4179" s="21">
        <v>46256</v>
      </c>
      <c r="D4179" s="22" t="str">
        <f>IFERROR(INDEX('Kode Outlet dan Target Toko'!$A:$A,MATCH($I4179,'Kode Outlet dan Target Toko'!$E:$E,0)),"")</f>
        <v>GRSM 5</v>
      </c>
      <c r="E4179" s="20" t="str">
        <f>IFERROR(VLOOKUP(I4179,KET!$B:$F,4,0),"")</f>
        <v>SUPRIYATI</v>
      </c>
      <c r="F4179" s="20" t="str">
        <f>IFERROR(VLOOKUP($I4179,KET!$B:$F,5,0),"")</f>
        <v>GMM</v>
      </c>
      <c r="G4179" s="20">
        <f>IFERROR(INDEX('Kode Outlet dan Target Toko'!$C:$C,MATCH($I4179,'Kode Outlet dan Target Toko'!$E:$E,0)),0)</f>
        <v>211050</v>
      </c>
      <c r="H4179" s="20">
        <f>IFERROR(INDEX('Kode Outlet dan Target Toko'!$D:$D,MATCH($I4179,'Kode Outlet dan Target Toko'!$E:$E,0)),0)</f>
        <v>2910733</v>
      </c>
      <c r="I4179" s="41" t="s">
        <v>93</v>
      </c>
      <c r="J4179" s="45" t="s">
        <v>226</v>
      </c>
      <c r="K4179" s="53" t="s">
        <v>15</v>
      </c>
      <c r="L4179" s="23">
        <v>3000</v>
      </c>
      <c r="M4179" s="24">
        <v>30</v>
      </c>
      <c r="N4179" s="25">
        <f t="shared" si="131"/>
        <v>90000</v>
      </c>
      <c r="O4179" s="24"/>
    </row>
    <row r="4180" spans="1:15" hidden="1" x14ac:dyDescent="0.3">
      <c r="A4180" s="24">
        <v>34</v>
      </c>
      <c r="B4180" s="20" t="str">
        <f t="shared" si="130"/>
        <v>AUG</v>
      </c>
      <c r="C4180" s="21">
        <v>46256</v>
      </c>
      <c r="D4180" s="22" t="str">
        <f>IFERROR(INDEX('Kode Outlet dan Target Toko'!$A:$A,MATCH($I4180,'Kode Outlet dan Target Toko'!$E:$E,0)),"")</f>
        <v>GRSM 5</v>
      </c>
      <c r="E4180" s="20" t="str">
        <f>IFERROR(VLOOKUP(I4180,KET!$B:$F,4,0),"")</f>
        <v>SUPRIYATI</v>
      </c>
      <c r="F4180" s="20" t="str">
        <f>IFERROR(VLOOKUP($I4180,KET!$B:$F,5,0),"")</f>
        <v>GMM</v>
      </c>
      <c r="G4180" s="20">
        <f>IFERROR(INDEX('Kode Outlet dan Target Toko'!$C:$C,MATCH($I4180,'Kode Outlet dan Target Toko'!$E:$E,0)),0)</f>
        <v>211050</v>
      </c>
      <c r="H4180" s="20">
        <f>IFERROR(INDEX('Kode Outlet dan Target Toko'!$D:$D,MATCH($I4180,'Kode Outlet dan Target Toko'!$E:$E,0)),0)</f>
        <v>2910733</v>
      </c>
      <c r="I4180" s="41" t="s">
        <v>93</v>
      </c>
      <c r="J4180" s="45" t="s">
        <v>226</v>
      </c>
      <c r="K4180" s="53" t="s">
        <v>14</v>
      </c>
      <c r="L4180" s="23">
        <v>3000</v>
      </c>
      <c r="M4180" s="24">
        <v>234</v>
      </c>
      <c r="N4180" s="25">
        <f t="shared" si="131"/>
        <v>702000</v>
      </c>
      <c r="O4180" s="24"/>
    </row>
    <row r="4181" spans="1:15" hidden="1" x14ac:dyDescent="0.3">
      <c r="A4181" s="24">
        <v>34</v>
      </c>
      <c r="B4181" s="20" t="str">
        <f t="shared" si="130"/>
        <v>AUG</v>
      </c>
      <c r="C4181" s="21">
        <v>46256</v>
      </c>
      <c r="D4181" s="22" t="str">
        <f>IFERROR(INDEX('Kode Outlet dan Target Toko'!$A:$A,MATCH($I4181,'Kode Outlet dan Target Toko'!$E:$E,0)),"")</f>
        <v>GRSM 5</v>
      </c>
      <c r="E4181" s="20" t="str">
        <f>IFERROR(VLOOKUP(I4181,KET!$B:$F,4,0),"")</f>
        <v>SUPRIYATI</v>
      </c>
      <c r="F4181" s="20" t="str">
        <f>IFERROR(VLOOKUP($I4181,KET!$B:$F,5,0),"")</f>
        <v>GMM</v>
      </c>
      <c r="G4181" s="20">
        <f>IFERROR(INDEX('Kode Outlet dan Target Toko'!$C:$C,MATCH($I4181,'Kode Outlet dan Target Toko'!$E:$E,0)),0)</f>
        <v>211050</v>
      </c>
      <c r="H4181" s="20">
        <f>IFERROR(INDEX('Kode Outlet dan Target Toko'!$D:$D,MATCH($I4181,'Kode Outlet dan Target Toko'!$E:$E,0)),0)</f>
        <v>2910733</v>
      </c>
      <c r="I4181" s="41" t="s">
        <v>93</v>
      </c>
      <c r="J4181" s="45" t="s">
        <v>226</v>
      </c>
      <c r="K4181" s="53" t="s">
        <v>13</v>
      </c>
      <c r="L4181" s="23">
        <v>3000</v>
      </c>
      <c r="M4181" s="24">
        <v>9</v>
      </c>
      <c r="N4181" s="25">
        <f t="shared" si="131"/>
        <v>27000</v>
      </c>
      <c r="O4181" s="24"/>
    </row>
    <row r="4182" spans="1:15" hidden="1" x14ac:dyDescent="0.3">
      <c r="A4182" s="24">
        <v>34</v>
      </c>
      <c r="B4182" s="20" t="str">
        <f t="shared" si="130"/>
        <v>AUG</v>
      </c>
      <c r="C4182" s="21">
        <v>46256</v>
      </c>
      <c r="D4182" s="22" t="str">
        <f>IFERROR(INDEX('Kode Outlet dan Target Toko'!$A:$A,MATCH($I4182,'Kode Outlet dan Target Toko'!$E:$E,0)),"")</f>
        <v>GRSM 5</v>
      </c>
      <c r="E4182" s="20" t="str">
        <f>IFERROR(VLOOKUP(I4182,KET!$B:$F,4,0),"")</f>
        <v>SUPRIYATI</v>
      </c>
      <c r="F4182" s="20" t="str">
        <f>IFERROR(VLOOKUP($I4182,KET!$B:$F,5,0),"")</f>
        <v>GMM</v>
      </c>
      <c r="G4182" s="20">
        <f>IFERROR(INDEX('Kode Outlet dan Target Toko'!$C:$C,MATCH($I4182,'Kode Outlet dan Target Toko'!$E:$E,0)),0)</f>
        <v>211050</v>
      </c>
      <c r="H4182" s="20">
        <f>IFERROR(INDEX('Kode Outlet dan Target Toko'!$D:$D,MATCH($I4182,'Kode Outlet dan Target Toko'!$E:$E,0)),0)</f>
        <v>2910733</v>
      </c>
      <c r="I4182" s="41" t="s">
        <v>93</v>
      </c>
      <c r="J4182" s="45" t="s">
        <v>226</v>
      </c>
      <c r="K4182" s="53" t="s">
        <v>16</v>
      </c>
      <c r="L4182" s="23">
        <v>3000</v>
      </c>
      <c r="M4182" s="24">
        <v>129</v>
      </c>
      <c r="N4182" s="25">
        <f t="shared" si="131"/>
        <v>387000</v>
      </c>
      <c r="O4182" s="24">
        <v>160</v>
      </c>
    </row>
    <row r="4183" spans="1:15" hidden="1" x14ac:dyDescent="0.3">
      <c r="A4183" s="24">
        <v>34</v>
      </c>
      <c r="B4183" s="20" t="str">
        <f t="shared" si="130"/>
        <v>AUG</v>
      </c>
      <c r="C4183" s="21">
        <v>46256</v>
      </c>
      <c r="D4183" s="22" t="str">
        <f>IFERROR(INDEX('Kode Outlet dan Target Toko'!$A:$A,MATCH($I4183,'Kode Outlet dan Target Toko'!$E:$E,0)),"")</f>
        <v>GRSM 5</v>
      </c>
      <c r="E4183" s="20" t="str">
        <f>IFERROR(VLOOKUP(I4183,KET!$B:$F,4,0),"")</f>
        <v>SUPRIYATI</v>
      </c>
      <c r="F4183" s="20" t="str">
        <f>IFERROR(VLOOKUP($I4183,KET!$B:$F,5,0),"")</f>
        <v>GMM</v>
      </c>
      <c r="G4183" s="20">
        <f>IFERROR(INDEX('Kode Outlet dan Target Toko'!$C:$C,MATCH($I4183,'Kode Outlet dan Target Toko'!$E:$E,0)),0)</f>
        <v>211050</v>
      </c>
      <c r="H4183" s="20">
        <f>IFERROR(INDEX('Kode Outlet dan Target Toko'!$D:$D,MATCH($I4183,'Kode Outlet dan Target Toko'!$E:$E,0)),0)</f>
        <v>2910733</v>
      </c>
      <c r="I4183" s="41" t="s">
        <v>93</v>
      </c>
      <c r="J4183" s="45" t="s">
        <v>227</v>
      </c>
      <c r="K4183" s="53" t="s">
        <v>15</v>
      </c>
      <c r="L4183" s="23">
        <v>3000</v>
      </c>
      <c r="M4183" s="24">
        <v>30</v>
      </c>
      <c r="N4183" s="25">
        <f t="shared" si="131"/>
        <v>90000</v>
      </c>
      <c r="O4183" s="24"/>
    </row>
    <row r="4184" spans="1:15" hidden="1" x14ac:dyDescent="0.3">
      <c r="A4184" s="24">
        <v>34</v>
      </c>
      <c r="B4184" s="20" t="str">
        <f t="shared" si="130"/>
        <v>AUG</v>
      </c>
      <c r="C4184" s="21">
        <v>46256</v>
      </c>
      <c r="D4184" s="22" t="str">
        <f>IFERROR(INDEX('Kode Outlet dan Target Toko'!$A:$A,MATCH($I4184,'Kode Outlet dan Target Toko'!$E:$E,0)),"")</f>
        <v>GRSM 5</v>
      </c>
      <c r="E4184" s="20" t="str">
        <f>IFERROR(VLOOKUP(I4184,KET!$B:$F,4,0),"")</f>
        <v>SUPRIYATI</v>
      </c>
      <c r="F4184" s="20" t="str">
        <f>IFERROR(VLOOKUP($I4184,KET!$B:$F,5,0),"")</f>
        <v>GMM</v>
      </c>
      <c r="G4184" s="20">
        <f>IFERROR(INDEX('Kode Outlet dan Target Toko'!$C:$C,MATCH($I4184,'Kode Outlet dan Target Toko'!$E:$E,0)),0)</f>
        <v>211050</v>
      </c>
      <c r="H4184" s="20">
        <f>IFERROR(INDEX('Kode Outlet dan Target Toko'!$D:$D,MATCH($I4184,'Kode Outlet dan Target Toko'!$E:$E,0)),0)</f>
        <v>2910733</v>
      </c>
      <c r="I4184" s="41" t="s">
        <v>93</v>
      </c>
      <c r="J4184" s="45" t="s">
        <v>227</v>
      </c>
      <c r="K4184" s="53" t="s">
        <v>14</v>
      </c>
      <c r="L4184" s="23">
        <v>3000</v>
      </c>
      <c r="M4184" s="24">
        <v>234</v>
      </c>
      <c r="N4184" s="25">
        <f t="shared" si="131"/>
        <v>702000</v>
      </c>
      <c r="O4184" s="24"/>
    </row>
    <row r="4185" spans="1:15" hidden="1" x14ac:dyDescent="0.3">
      <c r="A4185" s="24">
        <v>34</v>
      </c>
      <c r="B4185" s="20" t="str">
        <f t="shared" si="130"/>
        <v>AUG</v>
      </c>
      <c r="C4185" s="21">
        <v>46256</v>
      </c>
      <c r="D4185" s="22" t="str">
        <f>IFERROR(INDEX('Kode Outlet dan Target Toko'!$A:$A,MATCH($I4185,'Kode Outlet dan Target Toko'!$E:$E,0)),"")</f>
        <v>GRSM 5</v>
      </c>
      <c r="E4185" s="20" t="str">
        <f>IFERROR(VLOOKUP(I4185,KET!$B:$F,4,0),"")</f>
        <v>SUPRIYATI</v>
      </c>
      <c r="F4185" s="20" t="str">
        <f>IFERROR(VLOOKUP($I4185,KET!$B:$F,5,0),"")</f>
        <v>GMM</v>
      </c>
      <c r="G4185" s="20">
        <f>IFERROR(INDEX('Kode Outlet dan Target Toko'!$C:$C,MATCH($I4185,'Kode Outlet dan Target Toko'!$E:$E,0)),0)</f>
        <v>211050</v>
      </c>
      <c r="H4185" s="20">
        <f>IFERROR(INDEX('Kode Outlet dan Target Toko'!$D:$D,MATCH($I4185,'Kode Outlet dan Target Toko'!$E:$E,0)),0)</f>
        <v>2910733</v>
      </c>
      <c r="I4185" s="41" t="s">
        <v>93</v>
      </c>
      <c r="J4185" s="45" t="s">
        <v>227</v>
      </c>
      <c r="K4185" s="53" t="s">
        <v>13</v>
      </c>
      <c r="L4185" s="23">
        <v>3000</v>
      </c>
      <c r="M4185" s="24">
        <v>9</v>
      </c>
      <c r="N4185" s="25">
        <f t="shared" si="131"/>
        <v>27000</v>
      </c>
      <c r="O4185" s="24"/>
    </row>
    <row r="4186" spans="1:15" hidden="1" x14ac:dyDescent="0.3">
      <c r="A4186" s="24">
        <v>34</v>
      </c>
      <c r="B4186" s="20" t="str">
        <f t="shared" si="130"/>
        <v>AUG</v>
      </c>
      <c r="C4186" s="21">
        <v>46256</v>
      </c>
      <c r="D4186" s="22" t="str">
        <f>IFERROR(INDEX('Kode Outlet dan Target Toko'!$A:$A,MATCH($I4186,'Kode Outlet dan Target Toko'!$E:$E,0)),"")</f>
        <v>GRSM 5</v>
      </c>
      <c r="E4186" s="20" t="str">
        <f>IFERROR(VLOOKUP(I4186,KET!$B:$F,4,0),"")</f>
        <v>SUPRIYATI</v>
      </c>
      <c r="F4186" s="20" t="str">
        <f>IFERROR(VLOOKUP($I4186,KET!$B:$F,5,0),"")</f>
        <v>GMM</v>
      </c>
      <c r="G4186" s="20">
        <f>IFERROR(INDEX('Kode Outlet dan Target Toko'!$C:$C,MATCH($I4186,'Kode Outlet dan Target Toko'!$E:$E,0)),0)</f>
        <v>211050</v>
      </c>
      <c r="H4186" s="20">
        <f>IFERROR(INDEX('Kode Outlet dan Target Toko'!$D:$D,MATCH($I4186,'Kode Outlet dan Target Toko'!$E:$E,0)),0)</f>
        <v>2910733</v>
      </c>
      <c r="I4186" s="41" t="s">
        <v>93</v>
      </c>
      <c r="J4186" s="45" t="s">
        <v>227</v>
      </c>
      <c r="K4186" s="53" t="s">
        <v>16</v>
      </c>
      <c r="L4186" s="23">
        <v>3000</v>
      </c>
      <c r="M4186" s="24">
        <v>129</v>
      </c>
      <c r="N4186" s="25">
        <f t="shared" si="131"/>
        <v>387000</v>
      </c>
      <c r="O4186" s="24">
        <v>160</v>
      </c>
    </row>
    <row r="4187" spans="1:15" hidden="1" x14ac:dyDescent="0.3">
      <c r="A4187" s="24">
        <v>34</v>
      </c>
      <c r="B4187" s="20" t="str">
        <f t="shared" si="130"/>
        <v>AUG</v>
      </c>
      <c r="C4187" s="21">
        <v>46256</v>
      </c>
      <c r="D4187" s="22" t="str">
        <f>IFERROR(INDEX('Kode Outlet dan Target Toko'!$A:$A,MATCH($I4187,'Kode Outlet dan Target Toko'!$E:$E,0)),"")</f>
        <v>GRSM 5</v>
      </c>
      <c r="E4187" s="20" t="str">
        <f>IFERROR(VLOOKUP(I4187,KET!$B:$F,4,0),"")</f>
        <v>SUPRIYATI</v>
      </c>
      <c r="F4187" s="20" t="str">
        <f>IFERROR(VLOOKUP($I4187,KET!$B:$F,5,0),"")</f>
        <v>GMM</v>
      </c>
      <c r="G4187" s="20">
        <f>IFERROR(INDEX('Kode Outlet dan Target Toko'!$C:$C,MATCH($I4187,'Kode Outlet dan Target Toko'!$E:$E,0)),0)</f>
        <v>0</v>
      </c>
      <c r="H4187" s="20">
        <f>IFERROR(INDEX('Kode Outlet dan Target Toko'!$D:$D,MATCH($I4187,'Kode Outlet dan Target Toko'!$E:$E,0)),0)</f>
        <v>0</v>
      </c>
      <c r="I4187" s="41" t="s">
        <v>117</v>
      </c>
      <c r="J4187" s="45" t="s">
        <v>228</v>
      </c>
      <c r="K4187" s="53" t="s">
        <v>15</v>
      </c>
      <c r="L4187" s="23">
        <v>3200</v>
      </c>
      <c r="M4187" s="24">
        <v>58</v>
      </c>
      <c r="N4187" s="25">
        <f t="shared" si="131"/>
        <v>185600</v>
      </c>
      <c r="O4187" s="24"/>
    </row>
    <row r="4188" spans="1:15" hidden="1" x14ac:dyDescent="0.3">
      <c r="A4188" s="24">
        <v>34</v>
      </c>
      <c r="B4188" s="20" t="str">
        <f t="shared" si="130"/>
        <v>AUG</v>
      </c>
      <c r="C4188" s="21">
        <v>46256</v>
      </c>
      <c r="D4188" s="22" t="str">
        <f>IFERROR(INDEX('Kode Outlet dan Target Toko'!$A:$A,MATCH($I4188,'Kode Outlet dan Target Toko'!$E:$E,0)),"")</f>
        <v>GRSM 5</v>
      </c>
      <c r="E4188" s="20" t="str">
        <f>IFERROR(VLOOKUP(I4188,KET!$B:$F,4,0),"")</f>
        <v>SUPRIYATI</v>
      </c>
      <c r="F4188" s="20" t="str">
        <f>IFERROR(VLOOKUP($I4188,KET!$B:$F,5,0),"")</f>
        <v>GMM</v>
      </c>
      <c r="G4188" s="20">
        <f>IFERROR(INDEX('Kode Outlet dan Target Toko'!$C:$C,MATCH($I4188,'Kode Outlet dan Target Toko'!$E:$E,0)),0)</f>
        <v>0</v>
      </c>
      <c r="H4188" s="20">
        <f>IFERROR(INDEX('Kode Outlet dan Target Toko'!$D:$D,MATCH($I4188,'Kode Outlet dan Target Toko'!$E:$E,0)),0)</f>
        <v>0</v>
      </c>
      <c r="I4188" s="41" t="s">
        <v>117</v>
      </c>
      <c r="J4188" s="45" t="s">
        <v>228</v>
      </c>
      <c r="K4188" s="53" t="s">
        <v>14</v>
      </c>
      <c r="L4188" s="23">
        <v>3200</v>
      </c>
      <c r="M4188" s="24">
        <v>66</v>
      </c>
      <c r="N4188" s="25">
        <f t="shared" si="131"/>
        <v>211200</v>
      </c>
      <c r="O4188" s="24"/>
    </row>
    <row r="4189" spans="1:15" hidden="1" x14ac:dyDescent="0.3">
      <c r="A4189" s="24">
        <v>34</v>
      </c>
      <c r="B4189" s="20" t="str">
        <f t="shared" si="130"/>
        <v>AUG</v>
      </c>
      <c r="C4189" s="21">
        <v>46256</v>
      </c>
      <c r="D4189" s="22" t="str">
        <f>IFERROR(INDEX('Kode Outlet dan Target Toko'!$A:$A,MATCH($I4189,'Kode Outlet dan Target Toko'!$E:$E,0)),"")</f>
        <v>GRSM 5</v>
      </c>
      <c r="E4189" s="20" t="str">
        <f>IFERROR(VLOOKUP(I4189,KET!$B:$F,4,0),"")</f>
        <v>SUPRIYATI</v>
      </c>
      <c r="F4189" s="20" t="str">
        <f>IFERROR(VLOOKUP($I4189,KET!$B:$F,5,0),"")</f>
        <v>GMM</v>
      </c>
      <c r="G4189" s="20">
        <f>IFERROR(INDEX('Kode Outlet dan Target Toko'!$C:$C,MATCH($I4189,'Kode Outlet dan Target Toko'!$E:$E,0)),0)</f>
        <v>0</v>
      </c>
      <c r="H4189" s="20">
        <f>IFERROR(INDEX('Kode Outlet dan Target Toko'!$D:$D,MATCH($I4189,'Kode Outlet dan Target Toko'!$E:$E,0)),0)</f>
        <v>0</v>
      </c>
      <c r="I4189" s="41" t="s">
        <v>117</v>
      </c>
      <c r="J4189" s="45" t="s">
        <v>228</v>
      </c>
      <c r="K4189" s="53" t="s">
        <v>13</v>
      </c>
      <c r="L4189" s="23">
        <v>3200</v>
      </c>
      <c r="M4189" s="24">
        <v>53</v>
      </c>
      <c r="N4189" s="25">
        <f t="shared" si="131"/>
        <v>169600</v>
      </c>
      <c r="O4189" s="24"/>
    </row>
    <row r="4190" spans="1:15" hidden="1" x14ac:dyDescent="0.3">
      <c r="A4190" s="24">
        <v>34</v>
      </c>
      <c r="B4190" s="20" t="str">
        <f t="shared" si="130"/>
        <v>AUG</v>
      </c>
      <c r="C4190" s="21">
        <v>46256</v>
      </c>
      <c r="D4190" s="22" t="str">
        <f>IFERROR(INDEX('Kode Outlet dan Target Toko'!$A:$A,MATCH($I4190,'Kode Outlet dan Target Toko'!$E:$E,0)),"")</f>
        <v>GRSM 5</v>
      </c>
      <c r="E4190" s="20" t="str">
        <f>IFERROR(VLOOKUP(I4190,KET!$B:$F,4,0),"")</f>
        <v>SUPRIYATI</v>
      </c>
      <c r="F4190" s="20" t="str">
        <f>IFERROR(VLOOKUP($I4190,KET!$B:$F,5,0),"")</f>
        <v>GMM</v>
      </c>
      <c r="G4190" s="20">
        <f>IFERROR(INDEX('Kode Outlet dan Target Toko'!$C:$C,MATCH($I4190,'Kode Outlet dan Target Toko'!$E:$E,0)),0)</f>
        <v>0</v>
      </c>
      <c r="H4190" s="20">
        <f>IFERROR(INDEX('Kode Outlet dan Target Toko'!$D:$D,MATCH($I4190,'Kode Outlet dan Target Toko'!$E:$E,0)),0)</f>
        <v>0</v>
      </c>
      <c r="I4190" s="41" t="s">
        <v>117</v>
      </c>
      <c r="J4190" s="45" t="s">
        <v>228</v>
      </c>
      <c r="K4190" s="53" t="s">
        <v>16</v>
      </c>
      <c r="L4190" s="23">
        <v>3200</v>
      </c>
      <c r="M4190" s="24">
        <v>137</v>
      </c>
      <c r="N4190" s="25">
        <f t="shared" si="131"/>
        <v>438400</v>
      </c>
      <c r="O4190" s="24">
        <v>160</v>
      </c>
    </row>
    <row r="4191" spans="1:15" hidden="1" x14ac:dyDescent="0.3">
      <c r="A4191" s="24">
        <v>34</v>
      </c>
      <c r="B4191" s="20" t="str">
        <f t="shared" si="130"/>
        <v>AUG</v>
      </c>
      <c r="C4191" s="21">
        <v>46256</v>
      </c>
      <c r="D4191" s="22" t="str">
        <f>IFERROR(INDEX('Kode Outlet dan Target Toko'!$A:$A,MATCH($I4191,'Kode Outlet dan Target Toko'!$E:$E,0)),"")</f>
        <v>GRSM 5</v>
      </c>
      <c r="E4191" s="20" t="str">
        <f>IFERROR(VLOOKUP(I4191,KET!$B:$F,4,0),"")</f>
        <v>SUPRIYATI</v>
      </c>
      <c r="F4191" s="20" t="str">
        <f>IFERROR(VLOOKUP($I4191,KET!$B:$F,5,0),"")</f>
        <v>GMM</v>
      </c>
      <c r="G4191" s="20">
        <f>IFERROR(INDEX('Kode Outlet dan Target Toko'!$C:$C,MATCH($I4191,'Kode Outlet dan Target Toko'!$E:$E,0)),0)</f>
        <v>0</v>
      </c>
      <c r="H4191" s="20">
        <f>IFERROR(INDEX('Kode Outlet dan Target Toko'!$D:$D,MATCH($I4191,'Kode Outlet dan Target Toko'!$E:$E,0)),0)</f>
        <v>0</v>
      </c>
      <c r="I4191" s="41" t="s">
        <v>117</v>
      </c>
      <c r="J4191" s="45" t="s">
        <v>229</v>
      </c>
      <c r="K4191" s="53" t="s">
        <v>15</v>
      </c>
      <c r="L4191" s="23">
        <v>3200</v>
      </c>
      <c r="M4191" s="24">
        <v>58</v>
      </c>
      <c r="N4191" s="25">
        <f t="shared" si="131"/>
        <v>185600</v>
      </c>
      <c r="O4191" s="24"/>
    </row>
    <row r="4192" spans="1:15" hidden="1" x14ac:dyDescent="0.3">
      <c r="A4192" s="24">
        <v>34</v>
      </c>
      <c r="B4192" s="20" t="str">
        <f t="shared" si="130"/>
        <v>AUG</v>
      </c>
      <c r="C4192" s="21">
        <v>46256</v>
      </c>
      <c r="D4192" s="22" t="str">
        <f>IFERROR(INDEX('Kode Outlet dan Target Toko'!$A:$A,MATCH($I4192,'Kode Outlet dan Target Toko'!$E:$E,0)),"")</f>
        <v>GRSM 5</v>
      </c>
      <c r="E4192" s="20" t="str">
        <f>IFERROR(VLOOKUP(I4192,KET!$B:$F,4,0),"")</f>
        <v>SUPRIYATI</v>
      </c>
      <c r="F4192" s="20" t="str">
        <f>IFERROR(VLOOKUP($I4192,KET!$B:$F,5,0),"")</f>
        <v>GMM</v>
      </c>
      <c r="G4192" s="20">
        <f>IFERROR(INDEX('Kode Outlet dan Target Toko'!$C:$C,MATCH($I4192,'Kode Outlet dan Target Toko'!$E:$E,0)),0)</f>
        <v>0</v>
      </c>
      <c r="H4192" s="20">
        <f>IFERROR(INDEX('Kode Outlet dan Target Toko'!$D:$D,MATCH($I4192,'Kode Outlet dan Target Toko'!$E:$E,0)),0)</f>
        <v>0</v>
      </c>
      <c r="I4192" s="41" t="s">
        <v>117</v>
      </c>
      <c r="J4192" s="45" t="s">
        <v>229</v>
      </c>
      <c r="K4192" s="53" t="s">
        <v>14</v>
      </c>
      <c r="L4192" s="23">
        <v>3200</v>
      </c>
      <c r="M4192" s="24">
        <v>66</v>
      </c>
      <c r="N4192" s="25">
        <f t="shared" si="131"/>
        <v>211200</v>
      </c>
      <c r="O4192" s="24"/>
    </row>
    <row r="4193" spans="1:15" hidden="1" x14ac:dyDescent="0.3">
      <c r="A4193" s="24">
        <v>34</v>
      </c>
      <c r="B4193" s="20" t="str">
        <f t="shared" si="130"/>
        <v>AUG</v>
      </c>
      <c r="C4193" s="21">
        <v>46256</v>
      </c>
      <c r="D4193" s="22" t="str">
        <f>IFERROR(INDEX('Kode Outlet dan Target Toko'!$A:$A,MATCH($I4193,'Kode Outlet dan Target Toko'!$E:$E,0)),"")</f>
        <v>GRSM 5</v>
      </c>
      <c r="E4193" s="20" t="str">
        <f>IFERROR(VLOOKUP(I4193,KET!$B:$F,4,0),"")</f>
        <v>SUPRIYATI</v>
      </c>
      <c r="F4193" s="20" t="str">
        <f>IFERROR(VLOOKUP($I4193,KET!$B:$F,5,0),"")</f>
        <v>GMM</v>
      </c>
      <c r="G4193" s="20">
        <f>IFERROR(INDEX('Kode Outlet dan Target Toko'!$C:$C,MATCH($I4193,'Kode Outlet dan Target Toko'!$E:$E,0)),0)</f>
        <v>0</v>
      </c>
      <c r="H4193" s="20">
        <f>IFERROR(INDEX('Kode Outlet dan Target Toko'!$D:$D,MATCH($I4193,'Kode Outlet dan Target Toko'!$E:$E,0)),0)</f>
        <v>0</v>
      </c>
      <c r="I4193" s="41" t="s">
        <v>117</v>
      </c>
      <c r="J4193" s="45" t="s">
        <v>229</v>
      </c>
      <c r="K4193" s="53" t="s">
        <v>13</v>
      </c>
      <c r="L4193" s="23">
        <v>3200</v>
      </c>
      <c r="M4193" s="24">
        <v>53</v>
      </c>
      <c r="N4193" s="25">
        <f t="shared" si="131"/>
        <v>169600</v>
      </c>
      <c r="O4193" s="24"/>
    </row>
    <row r="4194" spans="1:15" hidden="1" x14ac:dyDescent="0.3">
      <c r="A4194" s="24">
        <v>34</v>
      </c>
      <c r="B4194" s="20" t="str">
        <f t="shared" si="130"/>
        <v>AUG</v>
      </c>
      <c r="C4194" s="21">
        <v>46256</v>
      </c>
      <c r="D4194" s="22" t="str">
        <f>IFERROR(INDEX('Kode Outlet dan Target Toko'!$A:$A,MATCH($I4194,'Kode Outlet dan Target Toko'!$E:$E,0)),"")</f>
        <v>GRSM 5</v>
      </c>
      <c r="E4194" s="20" t="str">
        <f>IFERROR(VLOOKUP(I4194,KET!$B:$F,4,0),"")</f>
        <v>SUPRIYATI</v>
      </c>
      <c r="F4194" s="20" t="str">
        <f>IFERROR(VLOOKUP($I4194,KET!$B:$F,5,0),"")</f>
        <v>GMM</v>
      </c>
      <c r="G4194" s="20">
        <f>IFERROR(INDEX('Kode Outlet dan Target Toko'!$C:$C,MATCH($I4194,'Kode Outlet dan Target Toko'!$E:$E,0)),0)</f>
        <v>0</v>
      </c>
      <c r="H4194" s="20">
        <f>IFERROR(INDEX('Kode Outlet dan Target Toko'!$D:$D,MATCH($I4194,'Kode Outlet dan Target Toko'!$E:$E,0)),0)</f>
        <v>0</v>
      </c>
      <c r="I4194" s="41" t="s">
        <v>117</v>
      </c>
      <c r="J4194" s="45" t="s">
        <v>229</v>
      </c>
      <c r="K4194" s="53" t="s">
        <v>16</v>
      </c>
      <c r="L4194" s="23">
        <v>3200</v>
      </c>
      <c r="M4194" s="24">
        <v>137</v>
      </c>
      <c r="N4194" s="25">
        <f t="shared" si="131"/>
        <v>438400</v>
      </c>
      <c r="O4194" s="24">
        <v>160</v>
      </c>
    </row>
    <row r="4195" spans="1:15" hidden="1" x14ac:dyDescent="0.3">
      <c r="A4195" s="24">
        <v>34</v>
      </c>
      <c r="B4195" s="20" t="str">
        <f t="shared" si="130"/>
        <v>AUG</v>
      </c>
      <c r="C4195" s="21">
        <v>46256</v>
      </c>
      <c r="D4195" s="22" t="str">
        <f>IFERROR(INDEX('Kode Outlet dan Target Toko'!$A:$A,MATCH($I4195,'Kode Outlet dan Target Toko'!$E:$E,0)),"")</f>
        <v>GRSM 5</v>
      </c>
      <c r="E4195" s="20" t="str">
        <f>IFERROR(VLOOKUP(I4195,KET!$B:$F,4,0),"")</f>
        <v>SUPRIYATI</v>
      </c>
      <c r="F4195" s="20" t="str">
        <f>IFERROR(VLOOKUP($I4195,KET!$B:$F,5,0),"")</f>
        <v>GMM</v>
      </c>
      <c r="G4195" s="20">
        <f>IFERROR(INDEX('Kode Outlet dan Target Toko'!$C:$C,MATCH($I4195,'Kode Outlet dan Target Toko'!$E:$E,0)),0)</f>
        <v>0</v>
      </c>
      <c r="H4195" s="20">
        <f>IFERROR(INDEX('Kode Outlet dan Target Toko'!$D:$D,MATCH($I4195,'Kode Outlet dan Target Toko'!$E:$E,0)),0)</f>
        <v>0</v>
      </c>
      <c r="I4195" s="41" t="s">
        <v>125</v>
      </c>
      <c r="J4195" s="45" t="s">
        <v>239</v>
      </c>
      <c r="K4195" s="53" t="s">
        <v>15</v>
      </c>
      <c r="L4195" s="23">
        <v>3050</v>
      </c>
      <c r="M4195" s="24">
        <v>40</v>
      </c>
      <c r="N4195" s="25">
        <f t="shared" si="131"/>
        <v>122000</v>
      </c>
      <c r="O4195" s="24"/>
    </row>
    <row r="4196" spans="1:15" hidden="1" x14ac:dyDescent="0.3">
      <c r="A4196" s="24">
        <v>34</v>
      </c>
      <c r="B4196" s="20" t="str">
        <f t="shared" si="130"/>
        <v>AUG</v>
      </c>
      <c r="C4196" s="21">
        <v>46256</v>
      </c>
      <c r="D4196" s="22" t="str">
        <f>IFERROR(INDEX('Kode Outlet dan Target Toko'!$A:$A,MATCH($I4196,'Kode Outlet dan Target Toko'!$E:$E,0)),"")</f>
        <v>GRSM 5</v>
      </c>
      <c r="E4196" s="20" t="str">
        <f>IFERROR(VLOOKUP(I4196,KET!$B:$F,4,0),"")</f>
        <v>SUPRIYATI</v>
      </c>
      <c r="F4196" s="20" t="str">
        <f>IFERROR(VLOOKUP($I4196,KET!$B:$F,5,0),"")</f>
        <v>GMM</v>
      </c>
      <c r="G4196" s="20">
        <f>IFERROR(INDEX('Kode Outlet dan Target Toko'!$C:$C,MATCH($I4196,'Kode Outlet dan Target Toko'!$E:$E,0)),0)</f>
        <v>0</v>
      </c>
      <c r="H4196" s="20">
        <f>IFERROR(INDEX('Kode Outlet dan Target Toko'!$D:$D,MATCH($I4196,'Kode Outlet dan Target Toko'!$E:$E,0)),0)</f>
        <v>0</v>
      </c>
      <c r="I4196" s="41" t="s">
        <v>125</v>
      </c>
      <c r="J4196" s="45" t="s">
        <v>239</v>
      </c>
      <c r="K4196" s="53" t="s">
        <v>14</v>
      </c>
      <c r="L4196" s="23">
        <v>3050</v>
      </c>
      <c r="M4196" s="24">
        <v>60</v>
      </c>
      <c r="N4196" s="25">
        <f t="shared" si="131"/>
        <v>183000</v>
      </c>
      <c r="O4196" s="24"/>
    </row>
    <row r="4197" spans="1:15" hidden="1" x14ac:dyDescent="0.3">
      <c r="A4197" s="24">
        <v>34</v>
      </c>
      <c r="B4197" s="20" t="str">
        <f t="shared" si="130"/>
        <v>AUG</v>
      </c>
      <c r="C4197" s="21">
        <v>46256</v>
      </c>
      <c r="D4197" s="22" t="str">
        <f>IFERROR(INDEX('Kode Outlet dan Target Toko'!$A:$A,MATCH($I4197,'Kode Outlet dan Target Toko'!$E:$E,0)),"")</f>
        <v>GRSM 5</v>
      </c>
      <c r="E4197" s="20" t="str">
        <f>IFERROR(VLOOKUP(I4197,KET!$B:$F,4,0),"")</f>
        <v>SUPRIYATI</v>
      </c>
      <c r="F4197" s="20" t="str">
        <f>IFERROR(VLOOKUP($I4197,KET!$B:$F,5,0),"")</f>
        <v>GMM</v>
      </c>
      <c r="G4197" s="20">
        <f>IFERROR(INDEX('Kode Outlet dan Target Toko'!$C:$C,MATCH($I4197,'Kode Outlet dan Target Toko'!$E:$E,0)),0)</f>
        <v>0</v>
      </c>
      <c r="H4197" s="20">
        <f>IFERROR(INDEX('Kode Outlet dan Target Toko'!$D:$D,MATCH($I4197,'Kode Outlet dan Target Toko'!$E:$E,0)),0)</f>
        <v>0</v>
      </c>
      <c r="I4197" s="41" t="s">
        <v>125</v>
      </c>
      <c r="J4197" s="45" t="s">
        <v>239</v>
      </c>
      <c r="K4197" s="53" t="s">
        <v>13</v>
      </c>
      <c r="L4197" s="23">
        <v>3050</v>
      </c>
      <c r="M4197" s="24">
        <v>60</v>
      </c>
      <c r="N4197" s="25">
        <f t="shared" si="131"/>
        <v>183000</v>
      </c>
      <c r="O4197" s="24"/>
    </row>
    <row r="4198" spans="1:15" hidden="1" x14ac:dyDescent="0.3">
      <c r="A4198" s="24">
        <v>34</v>
      </c>
      <c r="B4198" s="20" t="str">
        <f t="shared" si="130"/>
        <v>AUG</v>
      </c>
      <c r="C4198" s="21">
        <v>46256</v>
      </c>
      <c r="D4198" s="22" t="str">
        <f>IFERROR(INDEX('Kode Outlet dan Target Toko'!$A:$A,MATCH($I4198,'Kode Outlet dan Target Toko'!$E:$E,0)),"")</f>
        <v>GRSM 5</v>
      </c>
      <c r="E4198" s="20" t="str">
        <f>IFERROR(VLOOKUP(I4198,KET!$B:$F,4,0),"")</f>
        <v>SUPRIYATI</v>
      </c>
      <c r="F4198" s="20" t="str">
        <f>IFERROR(VLOOKUP($I4198,KET!$B:$F,5,0),"")</f>
        <v>GMM</v>
      </c>
      <c r="G4198" s="20">
        <f>IFERROR(INDEX('Kode Outlet dan Target Toko'!$C:$C,MATCH($I4198,'Kode Outlet dan Target Toko'!$E:$E,0)),0)</f>
        <v>0</v>
      </c>
      <c r="H4198" s="20">
        <f>IFERROR(INDEX('Kode Outlet dan Target Toko'!$D:$D,MATCH($I4198,'Kode Outlet dan Target Toko'!$E:$E,0)),0)</f>
        <v>0</v>
      </c>
      <c r="I4198" s="41" t="s">
        <v>125</v>
      </c>
      <c r="J4198" s="45" t="s">
        <v>239</v>
      </c>
      <c r="K4198" s="53" t="s">
        <v>16</v>
      </c>
      <c r="L4198" s="23">
        <v>3050</v>
      </c>
      <c r="M4198" s="24">
        <v>60</v>
      </c>
      <c r="N4198" s="25">
        <f t="shared" si="131"/>
        <v>183000</v>
      </c>
      <c r="O4198" s="24">
        <v>160</v>
      </c>
    </row>
    <row r="4199" spans="1:15" hidden="1" x14ac:dyDescent="0.3">
      <c r="A4199" s="24">
        <v>34</v>
      </c>
      <c r="B4199" s="20" t="str">
        <f t="shared" si="130"/>
        <v>AUG</v>
      </c>
      <c r="C4199" s="21">
        <v>46256</v>
      </c>
      <c r="D4199" s="22" t="str">
        <f>IFERROR(INDEX('Kode Outlet dan Target Toko'!$A:$A,MATCH($I4199,'Kode Outlet dan Target Toko'!$E:$E,0)),"")</f>
        <v>GRSM 5</v>
      </c>
      <c r="E4199" s="20" t="str">
        <f>IFERROR(VLOOKUP(I4199,KET!$B:$F,4,0),"")</f>
        <v>SUPRIYATI</v>
      </c>
      <c r="F4199" s="20" t="str">
        <f>IFERROR(VLOOKUP($I4199,KET!$B:$F,5,0),"")</f>
        <v>GMM</v>
      </c>
      <c r="G4199" s="20">
        <f>IFERROR(INDEX('Kode Outlet dan Target Toko'!$C:$C,MATCH($I4199,'Kode Outlet dan Target Toko'!$E:$E,0)),0)</f>
        <v>0</v>
      </c>
      <c r="H4199" s="20">
        <f>IFERROR(INDEX('Kode Outlet dan Target Toko'!$D:$D,MATCH($I4199,'Kode Outlet dan Target Toko'!$E:$E,0)),0)</f>
        <v>0</v>
      </c>
      <c r="I4199" s="41" t="s">
        <v>125</v>
      </c>
      <c r="J4199" s="45" t="s">
        <v>240</v>
      </c>
      <c r="K4199" s="53" t="s">
        <v>15</v>
      </c>
      <c r="L4199" s="23">
        <v>3050</v>
      </c>
      <c r="M4199" s="24">
        <v>40</v>
      </c>
      <c r="N4199" s="25">
        <f t="shared" si="131"/>
        <v>122000</v>
      </c>
      <c r="O4199" s="24"/>
    </row>
    <row r="4200" spans="1:15" hidden="1" x14ac:dyDescent="0.3">
      <c r="A4200" s="24">
        <v>34</v>
      </c>
      <c r="B4200" s="20" t="str">
        <f t="shared" si="130"/>
        <v>AUG</v>
      </c>
      <c r="C4200" s="21">
        <v>46256</v>
      </c>
      <c r="D4200" s="22" t="str">
        <f>IFERROR(INDEX('Kode Outlet dan Target Toko'!$A:$A,MATCH($I4200,'Kode Outlet dan Target Toko'!$E:$E,0)),"")</f>
        <v>GRSM 5</v>
      </c>
      <c r="E4200" s="20" t="str">
        <f>IFERROR(VLOOKUP(I4200,KET!$B:$F,4,0),"")</f>
        <v>SUPRIYATI</v>
      </c>
      <c r="F4200" s="20" t="str">
        <f>IFERROR(VLOOKUP($I4200,KET!$B:$F,5,0),"")</f>
        <v>GMM</v>
      </c>
      <c r="G4200" s="20">
        <f>IFERROR(INDEX('Kode Outlet dan Target Toko'!$C:$C,MATCH($I4200,'Kode Outlet dan Target Toko'!$E:$E,0)),0)</f>
        <v>0</v>
      </c>
      <c r="H4200" s="20">
        <f>IFERROR(INDEX('Kode Outlet dan Target Toko'!$D:$D,MATCH($I4200,'Kode Outlet dan Target Toko'!$E:$E,0)),0)</f>
        <v>0</v>
      </c>
      <c r="I4200" s="41" t="s">
        <v>125</v>
      </c>
      <c r="J4200" s="45" t="s">
        <v>240</v>
      </c>
      <c r="K4200" s="53" t="s">
        <v>14</v>
      </c>
      <c r="L4200" s="23">
        <v>3050</v>
      </c>
      <c r="M4200" s="24">
        <v>60</v>
      </c>
      <c r="N4200" s="25">
        <f t="shared" si="131"/>
        <v>183000</v>
      </c>
      <c r="O4200" s="24"/>
    </row>
    <row r="4201" spans="1:15" hidden="1" x14ac:dyDescent="0.3">
      <c r="A4201" s="24">
        <v>34</v>
      </c>
      <c r="B4201" s="20" t="str">
        <f t="shared" si="130"/>
        <v>AUG</v>
      </c>
      <c r="C4201" s="21">
        <v>46256</v>
      </c>
      <c r="D4201" s="22" t="str">
        <f>IFERROR(INDEX('Kode Outlet dan Target Toko'!$A:$A,MATCH($I4201,'Kode Outlet dan Target Toko'!$E:$E,0)),"")</f>
        <v>GRSM 5</v>
      </c>
      <c r="E4201" s="20" t="str">
        <f>IFERROR(VLOOKUP(I4201,KET!$B:$F,4,0),"")</f>
        <v>SUPRIYATI</v>
      </c>
      <c r="F4201" s="20" t="str">
        <f>IFERROR(VLOOKUP($I4201,KET!$B:$F,5,0),"")</f>
        <v>GMM</v>
      </c>
      <c r="G4201" s="20">
        <f>IFERROR(INDEX('Kode Outlet dan Target Toko'!$C:$C,MATCH($I4201,'Kode Outlet dan Target Toko'!$E:$E,0)),0)</f>
        <v>0</v>
      </c>
      <c r="H4201" s="20">
        <f>IFERROR(INDEX('Kode Outlet dan Target Toko'!$D:$D,MATCH($I4201,'Kode Outlet dan Target Toko'!$E:$E,0)),0)</f>
        <v>0</v>
      </c>
      <c r="I4201" s="41" t="s">
        <v>125</v>
      </c>
      <c r="J4201" s="45" t="s">
        <v>240</v>
      </c>
      <c r="K4201" s="53" t="s">
        <v>13</v>
      </c>
      <c r="L4201" s="23">
        <v>3050</v>
      </c>
      <c r="M4201" s="24">
        <v>60</v>
      </c>
      <c r="N4201" s="25">
        <f t="shared" si="131"/>
        <v>183000</v>
      </c>
      <c r="O4201" s="24"/>
    </row>
    <row r="4202" spans="1:15" hidden="1" x14ac:dyDescent="0.3">
      <c r="A4202" s="24">
        <v>34</v>
      </c>
      <c r="B4202" s="20" t="str">
        <f t="shared" si="130"/>
        <v>AUG</v>
      </c>
      <c r="C4202" s="21">
        <v>46256</v>
      </c>
      <c r="D4202" s="22" t="str">
        <f>IFERROR(INDEX('Kode Outlet dan Target Toko'!$A:$A,MATCH($I4202,'Kode Outlet dan Target Toko'!$E:$E,0)),"")</f>
        <v>GRSM 5</v>
      </c>
      <c r="E4202" s="20" t="str">
        <f>IFERROR(VLOOKUP(I4202,KET!$B:$F,4,0),"")</f>
        <v>SUPRIYATI</v>
      </c>
      <c r="F4202" s="20" t="str">
        <f>IFERROR(VLOOKUP($I4202,KET!$B:$F,5,0),"")</f>
        <v>GMM</v>
      </c>
      <c r="G4202" s="20">
        <f>IFERROR(INDEX('Kode Outlet dan Target Toko'!$C:$C,MATCH($I4202,'Kode Outlet dan Target Toko'!$E:$E,0)),0)</f>
        <v>0</v>
      </c>
      <c r="H4202" s="20">
        <f>IFERROR(INDEX('Kode Outlet dan Target Toko'!$D:$D,MATCH($I4202,'Kode Outlet dan Target Toko'!$E:$E,0)),0)</f>
        <v>0</v>
      </c>
      <c r="I4202" s="41" t="s">
        <v>125</v>
      </c>
      <c r="J4202" s="45" t="s">
        <v>240</v>
      </c>
      <c r="K4202" s="53" t="s">
        <v>16</v>
      </c>
      <c r="L4202" s="23">
        <v>3050</v>
      </c>
      <c r="M4202" s="24">
        <v>60</v>
      </c>
      <c r="N4202" s="25">
        <f t="shared" si="131"/>
        <v>183000</v>
      </c>
      <c r="O4202" s="24">
        <v>160</v>
      </c>
    </row>
    <row r="4203" spans="1:15" hidden="1" x14ac:dyDescent="0.3">
      <c r="A4203" s="24">
        <v>34</v>
      </c>
      <c r="B4203" s="20" t="str">
        <f t="shared" si="130"/>
        <v>AUG</v>
      </c>
      <c r="C4203" s="21">
        <v>46256</v>
      </c>
      <c r="D4203" s="22" t="str">
        <f>IFERROR(INDEX('Kode Outlet dan Target Toko'!$A:$A,MATCH($I4203,'Kode Outlet dan Target Toko'!$E:$E,0)),"")</f>
        <v>GRSM 5</v>
      </c>
      <c r="E4203" s="20" t="str">
        <f>IFERROR(VLOOKUP(I4203,KET!$B:$F,4,0),"")</f>
        <v>SUPRIYATI</v>
      </c>
      <c r="F4203" s="20" t="str">
        <f>IFERROR(VLOOKUP($I4203,KET!$B:$F,5,0),"")</f>
        <v>GMM</v>
      </c>
      <c r="G4203" s="20">
        <f>IFERROR(INDEX('Kode Outlet dan Target Toko'!$C:$C,MATCH($I4203,'Kode Outlet dan Target Toko'!$E:$E,0)),0)</f>
        <v>0</v>
      </c>
      <c r="H4203" s="20">
        <f>IFERROR(INDEX('Kode Outlet dan Target Toko'!$D:$D,MATCH($I4203,'Kode Outlet dan Target Toko'!$E:$E,0)),0)</f>
        <v>0</v>
      </c>
      <c r="I4203" s="41" t="s">
        <v>124</v>
      </c>
      <c r="J4203" s="45" t="s">
        <v>237</v>
      </c>
      <c r="K4203" s="53" t="s">
        <v>15</v>
      </c>
      <c r="L4203" s="23">
        <v>2950</v>
      </c>
      <c r="M4203" s="24">
        <v>0</v>
      </c>
      <c r="N4203" s="25">
        <f t="shared" si="131"/>
        <v>0</v>
      </c>
      <c r="O4203" s="24"/>
    </row>
    <row r="4204" spans="1:15" hidden="1" x14ac:dyDescent="0.3">
      <c r="A4204" s="24">
        <v>34</v>
      </c>
      <c r="B4204" s="20" t="str">
        <f t="shared" si="130"/>
        <v>AUG</v>
      </c>
      <c r="C4204" s="21">
        <v>46256</v>
      </c>
      <c r="D4204" s="22" t="str">
        <f>IFERROR(INDEX('Kode Outlet dan Target Toko'!$A:$A,MATCH($I4204,'Kode Outlet dan Target Toko'!$E:$E,0)),"")</f>
        <v>GRSM 5</v>
      </c>
      <c r="E4204" s="20" t="str">
        <f>IFERROR(VLOOKUP(I4204,KET!$B:$F,4,0),"")</f>
        <v>SUPRIYATI</v>
      </c>
      <c r="F4204" s="20" t="str">
        <f>IFERROR(VLOOKUP($I4204,KET!$B:$F,5,0),"")</f>
        <v>GMM</v>
      </c>
      <c r="G4204" s="20">
        <f>IFERROR(INDEX('Kode Outlet dan Target Toko'!$C:$C,MATCH($I4204,'Kode Outlet dan Target Toko'!$E:$E,0)),0)</f>
        <v>0</v>
      </c>
      <c r="H4204" s="20">
        <f>IFERROR(INDEX('Kode Outlet dan Target Toko'!$D:$D,MATCH($I4204,'Kode Outlet dan Target Toko'!$E:$E,0)),0)</f>
        <v>0</v>
      </c>
      <c r="I4204" s="41" t="s">
        <v>124</v>
      </c>
      <c r="J4204" s="45" t="s">
        <v>237</v>
      </c>
      <c r="K4204" s="53" t="s">
        <v>14</v>
      </c>
      <c r="L4204" s="23">
        <v>2950</v>
      </c>
      <c r="M4204" s="24">
        <v>120</v>
      </c>
      <c r="N4204" s="25">
        <f t="shared" si="131"/>
        <v>354000</v>
      </c>
      <c r="O4204" s="24"/>
    </row>
    <row r="4205" spans="1:15" hidden="1" x14ac:dyDescent="0.3">
      <c r="A4205" s="24">
        <v>34</v>
      </c>
      <c r="B4205" s="20" t="str">
        <f t="shared" si="130"/>
        <v>AUG</v>
      </c>
      <c r="C4205" s="21">
        <v>46256</v>
      </c>
      <c r="D4205" s="22" t="str">
        <f>IFERROR(INDEX('Kode Outlet dan Target Toko'!$A:$A,MATCH($I4205,'Kode Outlet dan Target Toko'!$E:$E,0)),"")</f>
        <v>GRSM 5</v>
      </c>
      <c r="E4205" s="20" t="str">
        <f>IFERROR(VLOOKUP(I4205,KET!$B:$F,4,0),"")</f>
        <v>SUPRIYATI</v>
      </c>
      <c r="F4205" s="20" t="str">
        <f>IFERROR(VLOOKUP($I4205,KET!$B:$F,5,0),"")</f>
        <v>GMM</v>
      </c>
      <c r="G4205" s="20">
        <f>IFERROR(INDEX('Kode Outlet dan Target Toko'!$C:$C,MATCH($I4205,'Kode Outlet dan Target Toko'!$E:$E,0)),0)</f>
        <v>0</v>
      </c>
      <c r="H4205" s="20">
        <f>IFERROR(INDEX('Kode Outlet dan Target Toko'!$D:$D,MATCH($I4205,'Kode Outlet dan Target Toko'!$E:$E,0)),0)</f>
        <v>0</v>
      </c>
      <c r="I4205" s="41" t="s">
        <v>124</v>
      </c>
      <c r="J4205" s="45" t="s">
        <v>237</v>
      </c>
      <c r="K4205" s="53" t="s">
        <v>13</v>
      </c>
      <c r="L4205" s="23">
        <v>2950</v>
      </c>
      <c r="M4205" s="24">
        <v>80</v>
      </c>
      <c r="N4205" s="25">
        <f t="shared" si="131"/>
        <v>236000</v>
      </c>
      <c r="O4205" s="24"/>
    </row>
    <row r="4206" spans="1:15" hidden="1" x14ac:dyDescent="0.3">
      <c r="A4206" s="24">
        <v>34</v>
      </c>
      <c r="B4206" s="20" t="str">
        <f t="shared" si="130"/>
        <v>AUG</v>
      </c>
      <c r="C4206" s="21">
        <v>46256</v>
      </c>
      <c r="D4206" s="22" t="str">
        <f>IFERROR(INDEX('Kode Outlet dan Target Toko'!$A:$A,MATCH($I4206,'Kode Outlet dan Target Toko'!$E:$E,0)),"")</f>
        <v>GRSM 5</v>
      </c>
      <c r="E4206" s="20" t="str">
        <f>IFERROR(VLOOKUP(I4206,KET!$B:$F,4,0),"")</f>
        <v>SUPRIYATI</v>
      </c>
      <c r="F4206" s="20" t="str">
        <f>IFERROR(VLOOKUP($I4206,KET!$B:$F,5,0),"")</f>
        <v>GMM</v>
      </c>
      <c r="G4206" s="20">
        <f>IFERROR(INDEX('Kode Outlet dan Target Toko'!$C:$C,MATCH($I4206,'Kode Outlet dan Target Toko'!$E:$E,0)),0)</f>
        <v>0</v>
      </c>
      <c r="H4206" s="20">
        <f>IFERROR(INDEX('Kode Outlet dan Target Toko'!$D:$D,MATCH($I4206,'Kode Outlet dan Target Toko'!$E:$E,0)),0)</f>
        <v>0</v>
      </c>
      <c r="I4206" s="41" t="s">
        <v>124</v>
      </c>
      <c r="J4206" s="45" t="s">
        <v>237</v>
      </c>
      <c r="K4206" s="53" t="s">
        <v>16</v>
      </c>
      <c r="L4206" s="23">
        <v>2950</v>
      </c>
      <c r="M4206" s="24">
        <v>160</v>
      </c>
      <c r="N4206" s="25">
        <f t="shared" si="131"/>
        <v>472000</v>
      </c>
      <c r="O4206" s="24">
        <v>160</v>
      </c>
    </row>
    <row r="4207" spans="1:15" hidden="1" x14ac:dyDescent="0.3">
      <c r="A4207" s="24">
        <v>34</v>
      </c>
      <c r="B4207" s="20" t="str">
        <f t="shared" si="130"/>
        <v>AUG</v>
      </c>
      <c r="C4207" s="21">
        <v>46256</v>
      </c>
      <c r="D4207" s="22" t="str">
        <f>IFERROR(INDEX('Kode Outlet dan Target Toko'!$A:$A,MATCH($I4207,'Kode Outlet dan Target Toko'!$E:$E,0)),"")</f>
        <v>GRSM 5</v>
      </c>
      <c r="E4207" s="20" t="str">
        <f>IFERROR(VLOOKUP(I4207,KET!$B:$F,4,0),"")</f>
        <v>SUPRIYATI</v>
      </c>
      <c r="F4207" s="20" t="str">
        <f>IFERROR(VLOOKUP($I4207,KET!$B:$F,5,0),"")</f>
        <v>GMM</v>
      </c>
      <c r="G4207" s="20">
        <f>IFERROR(INDEX('Kode Outlet dan Target Toko'!$C:$C,MATCH($I4207,'Kode Outlet dan Target Toko'!$E:$E,0)),0)</f>
        <v>0</v>
      </c>
      <c r="H4207" s="20">
        <f>IFERROR(INDEX('Kode Outlet dan Target Toko'!$D:$D,MATCH($I4207,'Kode Outlet dan Target Toko'!$E:$E,0)),0)</f>
        <v>0</v>
      </c>
      <c r="I4207" s="41" t="s">
        <v>124</v>
      </c>
      <c r="J4207" s="45" t="s">
        <v>238</v>
      </c>
      <c r="K4207" s="53" t="s">
        <v>15</v>
      </c>
      <c r="L4207" s="23">
        <v>2950</v>
      </c>
      <c r="M4207" s="24">
        <v>0</v>
      </c>
      <c r="N4207" s="25">
        <f t="shared" si="131"/>
        <v>0</v>
      </c>
      <c r="O4207" s="24"/>
    </row>
    <row r="4208" spans="1:15" hidden="1" x14ac:dyDescent="0.3">
      <c r="A4208" s="24">
        <v>34</v>
      </c>
      <c r="B4208" s="20" t="str">
        <f t="shared" si="130"/>
        <v>AUG</v>
      </c>
      <c r="C4208" s="21">
        <v>46256</v>
      </c>
      <c r="D4208" s="22" t="str">
        <f>IFERROR(INDEX('Kode Outlet dan Target Toko'!$A:$A,MATCH($I4208,'Kode Outlet dan Target Toko'!$E:$E,0)),"")</f>
        <v>GRSM 5</v>
      </c>
      <c r="E4208" s="20" t="str">
        <f>IFERROR(VLOOKUP(I4208,KET!$B:$F,4,0),"")</f>
        <v>SUPRIYATI</v>
      </c>
      <c r="F4208" s="20" t="str">
        <f>IFERROR(VLOOKUP($I4208,KET!$B:$F,5,0),"")</f>
        <v>GMM</v>
      </c>
      <c r="G4208" s="20">
        <f>IFERROR(INDEX('Kode Outlet dan Target Toko'!$C:$C,MATCH($I4208,'Kode Outlet dan Target Toko'!$E:$E,0)),0)</f>
        <v>0</v>
      </c>
      <c r="H4208" s="20">
        <f>IFERROR(INDEX('Kode Outlet dan Target Toko'!$D:$D,MATCH($I4208,'Kode Outlet dan Target Toko'!$E:$E,0)),0)</f>
        <v>0</v>
      </c>
      <c r="I4208" s="41" t="s">
        <v>124</v>
      </c>
      <c r="J4208" s="45" t="s">
        <v>238</v>
      </c>
      <c r="K4208" s="53" t="s">
        <v>14</v>
      </c>
      <c r="L4208" s="23">
        <v>2950</v>
      </c>
      <c r="M4208" s="24">
        <v>120</v>
      </c>
      <c r="N4208" s="25">
        <f t="shared" si="131"/>
        <v>354000</v>
      </c>
      <c r="O4208" s="24"/>
    </row>
    <row r="4209" spans="1:15" hidden="1" x14ac:dyDescent="0.3">
      <c r="A4209" s="24">
        <v>34</v>
      </c>
      <c r="B4209" s="20" t="str">
        <f t="shared" si="130"/>
        <v>AUG</v>
      </c>
      <c r="C4209" s="21">
        <v>46256</v>
      </c>
      <c r="D4209" s="22" t="str">
        <f>IFERROR(INDEX('Kode Outlet dan Target Toko'!$A:$A,MATCH($I4209,'Kode Outlet dan Target Toko'!$E:$E,0)),"")</f>
        <v>GRSM 5</v>
      </c>
      <c r="E4209" s="20" t="str">
        <f>IFERROR(VLOOKUP(I4209,KET!$B:$F,4,0),"")</f>
        <v>SUPRIYATI</v>
      </c>
      <c r="F4209" s="20" t="str">
        <f>IFERROR(VLOOKUP($I4209,KET!$B:$F,5,0),"")</f>
        <v>GMM</v>
      </c>
      <c r="G4209" s="20">
        <f>IFERROR(INDEX('Kode Outlet dan Target Toko'!$C:$C,MATCH($I4209,'Kode Outlet dan Target Toko'!$E:$E,0)),0)</f>
        <v>0</v>
      </c>
      <c r="H4209" s="20">
        <f>IFERROR(INDEX('Kode Outlet dan Target Toko'!$D:$D,MATCH($I4209,'Kode Outlet dan Target Toko'!$E:$E,0)),0)</f>
        <v>0</v>
      </c>
      <c r="I4209" s="41" t="s">
        <v>124</v>
      </c>
      <c r="J4209" s="45" t="s">
        <v>238</v>
      </c>
      <c r="K4209" s="53" t="s">
        <v>13</v>
      </c>
      <c r="L4209" s="23">
        <v>2950</v>
      </c>
      <c r="M4209" s="24">
        <v>80</v>
      </c>
      <c r="N4209" s="25">
        <f t="shared" si="131"/>
        <v>236000</v>
      </c>
      <c r="O4209" s="24"/>
    </row>
    <row r="4210" spans="1:15" hidden="1" x14ac:dyDescent="0.3">
      <c r="A4210" s="24">
        <v>34</v>
      </c>
      <c r="B4210" s="20" t="str">
        <f t="shared" si="130"/>
        <v>AUG</v>
      </c>
      <c r="C4210" s="21">
        <v>46256</v>
      </c>
      <c r="D4210" s="22" t="str">
        <f>IFERROR(INDEX('Kode Outlet dan Target Toko'!$A:$A,MATCH($I4210,'Kode Outlet dan Target Toko'!$E:$E,0)),"")</f>
        <v>GRSM 5</v>
      </c>
      <c r="E4210" s="20" t="str">
        <f>IFERROR(VLOOKUP(I4210,KET!$B:$F,4,0),"")</f>
        <v>SUPRIYATI</v>
      </c>
      <c r="F4210" s="20" t="str">
        <f>IFERROR(VLOOKUP($I4210,KET!$B:$F,5,0),"")</f>
        <v>GMM</v>
      </c>
      <c r="G4210" s="20">
        <f>IFERROR(INDEX('Kode Outlet dan Target Toko'!$C:$C,MATCH($I4210,'Kode Outlet dan Target Toko'!$E:$E,0)),0)</f>
        <v>0</v>
      </c>
      <c r="H4210" s="20">
        <f>IFERROR(INDEX('Kode Outlet dan Target Toko'!$D:$D,MATCH($I4210,'Kode Outlet dan Target Toko'!$E:$E,0)),0)</f>
        <v>0</v>
      </c>
      <c r="I4210" s="41" t="s">
        <v>124</v>
      </c>
      <c r="J4210" s="45" t="s">
        <v>238</v>
      </c>
      <c r="K4210" s="53" t="s">
        <v>16</v>
      </c>
      <c r="L4210" s="23">
        <v>2950</v>
      </c>
      <c r="M4210" s="24">
        <v>160</v>
      </c>
      <c r="N4210" s="25">
        <f t="shared" si="131"/>
        <v>472000</v>
      </c>
      <c r="O4210" s="24">
        <v>160</v>
      </c>
    </row>
    <row r="4211" spans="1:15" hidden="1" x14ac:dyDescent="0.3">
      <c r="A4211" s="24">
        <v>34</v>
      </c>
      <c r="B4211" s="20" t="str">
        <f t="shared" si="130"/>
        <v>AUG</v>
      </c>
      <c r="C4211" s="21">
        <v>46256</v>
      </c>
      <c r="D4211" s="22" t="str">
        <f>IFERROR(INDEX('Kode Outlet dan Target Toko'!$A:$A,MATCH($I4211,'Kode Outlet dan Target Toko'!$E:$E,0)),"")</f>
        <v>GRSM 5</v>
      </c>
      <c r="E4211" s="20" t="str">
        <f>IFERROR(VLOOKUP(I4211,KET!$B:$F,4,0),"")</f>
        <v>SUPRIYATI</v>
      </c>
      <c r="F4211" s="20" t="str">
        <f>IFERROR(VLOOKUP($I4211,KET!$B:$F,5,0),"")</f>
        <v>MT</v>
      </c>
      <c r="G4211" s="20">
        <f>IFERROR(INDEX('Kode Outlet dan Target Toko'!$C:$C,MATCH($I4211,'Kode Outlet dan Target Toko'!$E:$E,0)),0)</f>
        <v>166102</v>
      </c>
      <c r="H4211" s="20">
        <f>IFERROR(INDEX('Kode Outlet dan Target Toko'!$D:$D,MATCH($I4211,'Kode Outlet dan Target Toko'!$E:$E,0)),0)</f>
        <v>9000058</v>
      </c>
      <c r="I4211" s="41" t="s">
        <v>119</v>
      </c>
      <c r="J4211" s="45" t="s">
        <v>232</v>
      </c>
      <c r="K4211" s="53" t="s">
        <v>15</v>
      </c>
      <c r="L4211" s="23">
        <v>3194</v>
      </c>
      <c r="M4211" s="24">
        <v>110</v>
      </c>
      <c r="N4211" s="25">
        <f t="shared" si="131"/>
        <v>351340</v>
      </c>
      <c r="O4211" s="24"/>
    </row>
    <row r="4212" spans="1:15" hidden="1" x14ac:dyDescent="0.3">
      <c r="A4212" s="24">
        <v>34</v>
      </c>
      <c r="B4212" s="20" t="str">
        <f t="shared" si="130"/>
        <v>AUG</v>
      </c>
      <c r="C4212" s="21">
        <v>46256</v>
      </c>
      <c r="D4212" s="22" t="str">
        <f>IFERROR(INDEX('Kode Outlet dan Target Toko'!$A:$A,MATCH($I4212,'Kode Outlet dan Target Toko'!$E:$E,0)),"")</f>
        <v>GRSM 5</v>
      </c>
      <c r="E4212" s="20" t="str">
        <f>IFERROR(VLOOKUP(I4212,KET!$B:$F,4,0),"")</f>
        <v>SUPRIYATI</v>
      </c>
      <c r="F4212" s="20" t="str">
        <f>IFERROR(VLOOKUP($I4212,KET!$B:$F,5,0),"")</f>
        <v>MT</v>
      </c>
      <c r="G4212" s="20">
        <f>IFERROR(INDEX('Kode Outlet dan Target Toko'!$C:$C,MATCH($I4212,'Kode Outlet dan Target Toko'!$E:$E,0)),0)</f>
        <v>166102</v>
      </c>
      <c r="H4212" s="20">
        <f>IFERROR(INDEX('Kode Outlet dan Target Toko'!$D:$D,MATCH($I4212,'Kode Outlet dan Target Toko'!$E:$E,0)),0)</f>
        <v>9000058</v>
      </c>
      <c r="I4212" s="41" t="s">
        <v>119</v>
      </c>
      <c r="J4212" s="45" t="s">
        <v>232</v>
      </c>
      <c r="K4212" s="53" t="s">
        <v>14</v>
      </c>
      <c r="L4212" s="23">
        <v>3194</v>
      </c>
      <c r="M4212" s="24">
        <v>0</v>
      </c>
      <c r="N4212" s="25">
        <f t="shared" si="131"/>
        <v>0</v>
      </c>
      <c r="O4212" s="24"/>
    </row>
    <row r="4213" spans="1:15" hidden="1" x14ac:dyDescent="0.3">
      <c r="A4213" s="24">
        <v>34</v>
      </c>
      <c r="B4213" s="20" t="str">
        <f t="shared" si="130"/>
        <v>AUG</v>
      </c>
      <c r="C4213" s="21">
        <v>46256</v>
      </c>
      <c r="D4213" s="22" t="str">
        <f>IFERROR(INDEX('Kode Outlet dan Target Toko'!$A:$A,MATCH($I4213,'Kode Outlet dan Target Toko'!$E:$E,0)),"")</f>
        <v>GRSM 5</v>
      </c>
      <c r="E4213" s="20" t="str">
        <f>IFERROR(VLOOKUP(I4213,KET!$B:$F,4,0),"")</f>
        <v>SUPRIYATI</v>
      </c>
      <c r="F4213" s="20" t="str">
        <f>IFERROR(VLOOKUP($I4213,KET!$B:$F,5,0),"")</f>
        <v>MT</v>
      </c>
      <c r="G4213" s="20">
        <f>IFERROR(INDEX('Kode Outlet dan Target Toko'!$C:$C,MATCH($I4213,'Kode Outlet dan Target Toko'!$E:$E,0)),0)</f>
        <v>166102</v>
      </c>
      <c r="H4213" s="20">
        <f>IFERROR(INDEX('Kode Outlet dan Target Toko'!$D:$D,MATCH($I4213,'Kode Outlet dan Target Toko'!$E:$E,0)),0)</f>
        <v>9000058</v>
      </c>
      <c r="I4213" s="41" t="s">
        <v>119</v>
      </c>
      <c r="J4213" s="45" t="s">
        <v>232</v>
      </c>
      <c r="K4213" s="53" t="s">
        <v>13</v>
      </c>
      <c r="L4213" s="23">
        <v>3194</v>
      </c>
      <c r="M4213" s="24">
        <v>65</v>
      </c>
      <c r="N4213" s="25">
        <f t="shared" si="131"/>
        <v>207610</v>
      </c>
      <c r="O4213" s="24"/>
    </row>
    <row r="4214" spans="1:15" hidden="1" x14ac:dyDescent="0.3">
      <c r="A4214" s="24">
        <v>34</v>
      </c>
      <c r="B4214" s="20" t="str">
        <f t="shared" si="130"/>
        <v>AUG</v>
      </c>
      <c r="C4214" s="21">
        <v>46256</v>
      </c>
      <c r="D4214" s="22" t="str">
        <f>IFERROR(INDEX('Kode Outlet dan Target Toko'!$A:$A,MATCH($I4214,'Kode Outlet dan Target Toko'!$E:$E,0)),"")</f>
        <v>GRSM 5</v>
      </c>
      <c r="E4214" s="20" t="str">
        <f>IFERROR(VLOOKUP(I4214,KET!$B:$F,4,0),"")</f>
        <v>SUPRIYATI</v>
      </c>
      <c r="F4214" s="20" t="str">
        <f>IFERROR(VLOOKUP($I4214,KET!$B:$F,5,0),"")</f>
        <v>MT</v>
      </c>
      <c r="G4214" s="20">
        <f>IFERROR(INDEX('Kode Outlet dan Target Toko'!$C:$C,MATCH($I4214,'Kode Outlet dan Target Toko'!$E:$E,0)),0)</f>
        <v>166102</v>
      </c>
      <c r="H4214" s="20">
        <f>IFERROR(INDEX('Kode Outlet dan Target Toko'!$D:$D,MATCH($I4214,'Kode Outlet dan Target Toko'!$E:$E,0)),0)</f>
        <v>9000058</v>
      </c>
      <c r="I4214" s="41" t="s">
        <v>119</v>
      </c>
      <c r="J4214" s="45" t="s">
        <v>232</v>
      </c>
      <c r="K4214" s="53" t="s">
        <v>16</v>
      </c>
      <c r="L4214" s="23">
        <v>3194</v>
      </c>
      <c r="M4214" s="24">
        <v>220</v>
      </c>
      <c r="N4214" s="25">
        <f t="shared" si="131"/>
        <v>702680</v>
      </c>
      <c r="O4214" s="24">
        <v>160</v>
      </c>
    </row>
    <row r="4215" spans="1:15" hidden="1" x14ac:dyDescent="0.3">
      <c r="A4215" s="24">
        <v>34</v>
      </c>
      <c r="B4215" s="20" t="str">
        <f t="shared" si="130"/>
        <v>AUG</v>
      </c>
      <c r="C4215" s="21">
        <v>46256</v>
      </c>
      <c r="D4215" s="22" t="str">
        <f>IFERROR(INDEX('Kode Outlet dan Target Toko'!$A:$A,MATCH($I4215,'Kode Outlet dan Target Toko'!$E:$E,0)),"")</f>
        <v>GRSM 5</v>
      </c>
      <c r="E4215" s="20" t="str">
        <f>IFERROR(VLOOKUP(I4215,KET!$B:$F,4,0),"")</f>
        <v>SUPRIYATI</v>
      </c>
      <c r="F4215" s="20" t="str">
        <f>IFERROR(VLOOKUP($I4215,KET!$B:$F,5,0),"")</f>
        <v>MT</v>
      </c>
      <c r="G4215" s="20">
        <f>IFERROR(INDEX('Kode Outlet dan Target Toko'!$C:$C,MATCH($I4215,'Kode Outlet dan Target Toko'!$E:$E,0)),0)</f>
        <v>166102</v>
      </c>
      <c r="H4215" s="20">
        <f>IFERROR(INDEX('Kode Outlet dan Target Toko'!$D:$D,MATCH($I4215,'Kode Outlet dan Target Toko'!$E:$E,0)),0)</f>
        <v>9000058</v>
      </c>
      <c r="I4215" s="41" t="s">
        <v>119</v>
      </c>
      <c r="J4215" s="45" t="s">
        <v>233</v>
      </c>
      <c r="K4215" s="53" t="s">
        <v>15</v>
      </c>
      <c r="L4215" s="23">
        <v>3194</v>
      </c>
      <c r="M4215" s="24">
        <v>110</v>
      </c>
      <c r="N4215" s="25">
        <f t="shared" si="131"/>
        <v>351340</v>
      </c>
      <c r="O4215" s="24"/>
    </row>
    <row r="4216" spans="1:15" hidden="1" x14ac:dyDescent="0.3">
      <c r="A4216" s="24">
        <v>34</v>
      </c>
      <c r="B4216" s="20" t="str">
        <f t="shared" si="130"/>
        <v>AUG</v>
      </c>
      <c r="C4216" s="21">
        <v>46256</v>
      </c>
      <c r="D4216" s="22" t="str">
        <f>IFERROR(INDEX('Kode Outlet dan Target Toko'!$A:$A,MATCH($I4216,'Kode Outlet dan Target Toko'!$E:$E,0)),"")</f>
        <v>GRSM 5</v>
      </c>
      <c r="E4216" s="20" t="str">
        <f>IFERROR(VLOOKUP(I4216,KET!$B:$F,4,0),"")</f>
        <v>SUPRIYATI</v>
      </c>
      <c r="F4216" s="20" t="str">
        <f>IFERROR(VLOOKUP($I4216,KET!$B:$F,5,0),"")</f>
        <v>MT</v>
      </c>
      <c r="G4216" s="20">
        <f>IFERROR(INDEX('Kode Outlet dan Target Toko'!$C:$C,MATCH($I4216,'Kode Outlet dan Target Toko'!$E:$E,0)),0)</f>
        <v>166102</v>
      </c>
      <c r="H4216" s="20">
        <f>IFERROR(INDEX('Kode Outlet dan Target Toko'!$D:$D,MATCH($I4216,'Kode Outlet dan Target Toko'!$E:$E,0)),0)</f>
        <v>9000058</v>
      </c>
      <c r="I4216" s="41" t="s">
        <v>119</v>
      </c>
      <c r="J4216" s="45" t="s">
        <v>233</v>
      </c>
      <c r="K4216" s="53" t="s">
        <v>14</v>
      </c>
      <c r="L4216" s="23">
        <v>3194</v>
      </c>
      <c r="M4216" s="24">
        <v>0</v>
      </c>
      <c r="N4216" s="25">
        <f t="shared" si="131"/>
        <v>0</v>
      </c>
      <c r="O4216" s="24"/>
    </row>
    <row r="4217" spans="1:15" hidden="1" x14ac:dyDescent="0.3">
      <c r="A4217" s="24">
        <v>34</v>
      </c>
      <c r="B4217" s="20" t="str">
        <f t="shared" si="130"/>
        <v>AUG</v>
      </c>
      <c r="C4217" s="21">
        <v>46256</v>
      </c>
      <c r="D4217" s="22" t="str">
        <f>IFERROR(INDEX('Kode Outlet dan Target Toko'!$A:$A,MATCH($I4217,'Kode Outlet dan Target Toko'!$E:$E,0)),"")</f>
        <v>GRSM 5</v>
      </c>
      <c r="E4217" s="20" t="str">
        <f>IFERROR(VLOOKUP(I4217,KET!$B:$F,4,0),"")</f>
        <v>SUPRIYATI</v>
      </c>
      <c r="F4217" s="20" t="str">
        <f>IFERROR(VLOOKUP($I4217,KET!$B:$F,5,0),"")</f>
        <v>MT</v>
      </c>
      <c r="G4217" s="20">
        <f>IFERROR(INDEX('Kode Outlet dan Target Toko'!$C:$C,MATCH($I4217,'Kode Outlet dan Target Toko'!$E:$E,0)),0)</f>
        <v>166102</v>
      </c>
      <c r="H4217" s="20">
        <f>IFERROR(INDEX('Kode Outlet dan Target Toko'!$D:$D,MATCH($I4217,'Kode Outlet dan Target Toko'!$E:$E,0)),0)</f>
        <v>9000058</v>
      </c>
      <c r="I4217" s="41" t="s">
        <v>119</v>
      </c>
      <c r="J4217" s="45" t="s">
        <v>233</v>
      </c>
      <c r="K4217" s="53" t="s">
        <v>13</v>
      </c>
      <c r="L4217" s="23">
        <v>3194</v>
      </c>
      <c r="M4217" s="24">
        <v>65</v>
      </c>
      <c r="N4217" s="25">
        <f t="shared" si="131"/>
        <v>207610</v>
      </c>
      <c r="O4217" s="24"/>
    </row>
    <row r="4218" spans="1:15" hidden="1" x14ac:dyDescent="0.3">
      <c r="A4218" s="24">
        <v>34</v>
      </c>
      <c r="B4218" s="20" t="str">
        <f t="shared" si="130"/>
        <v>AUG</v>
      </c>
      <c r="C4218" s="21">
        <v>46256</v>
      </c>
      <c r="D4218" s="22" t="str">
        <f>IFERROR(INDEX('Kode Outlet dan Target Toko'!$A:$A,MATCH($I4218,'Kode Outlet dan Target Toko'!$E:$E,0)),"")</f>
        <v>GRSM 5</v>
      </c>
      <c r="E4218" s="20" t="str">
        <f>IFERROR(VLOOKUP(I4218,KET!$B:$F,4,0),"")</f>
        <v>SUPRIYATI</v>
      </c>
      <c r="F4218" s="20" t="str">
        <f>IFERROR(VLOOKUP($I4218,KET!$B:$F,5,0),"")</f>
        <v>MT</v>
      </c>
      <c r="G4218" s="20">
        <f>IFERROR(INDEX('Kode Outlet dan Target Toko'!$C:$C,MATCH($I4218,'Kode Outlet dan Target Toko'!$E:$E,0)),0)</f>
        <v>166102</v>
      </c>
      <c r="H4218" s="20">
        <f>IFERROR(INDEX('Kode Outlet dan Target Toko'!$D:$D,MATCH($I4218,'Kode Outlet dan Target Toko'!$E:$E,0)),0)</f>
        <v>9000058</v>
      </c>
      <c r="I4218" s="41" t="s">
        <v>119</v>
      </c>
      <c r="J4218" s="45" t="s">
        <v>233</v>
      </c>
      <c r="K4218" s="53" t="s">
        <v>16</v>
      </c>
      <c r="L4218" s="23">
        <v>3194</v>
      </c>
      <c r="M4218" s="24">
        <v>220</v>
      </c>
      <c r="N4218" s="25">
        <f t="shared" si="131"/>
        <v>702680</v>
      </c>
      <c r="O4218" s="24">
        <v>160</v>
      </c>
    </row>
    <row r="4219" spans="1:15" hidden="1" x14ac:dyDescent="0.3">
      <c r="A4219" s="24">
        <v>34</v>
      </c>
      <c r="B4219" s="20" t="str">
        <f t="shared" si="130"/>
        <v>AUG</v>
      </c>
      <c r="C4219" s="21">
        <v>46256</v>
      </c>
      <c r="D4219" s="22" t="str">
        <f>IFERROR(INDEX('Kode Outlet dan Target Toko'!$A:$A,MATCH($I4219,'Kode Outlet dan Target Toko'!$E:$E,0)),"")</f>
        <v>GRSM 5</v>
      </c>
      <c r="E4219" s="20" t="str">
        <f>IFERROR(VLOOKUP(I4219,KET!$B:$F,4,0),"")</f>
        <v>SUPRIYATI</v>
      </c>
      <c r="F4219" s="20" t="str">
        <f>IFERROR(VLOOKUP($I4219,KET!$B:$F,5,0),"")</f>
        <v>GMM</v>
      </c>
      <c r="G4219" s="20">
        <f>IFERROR(INDEX('Kode Outlet dan Target Toko'!$C:$C,MATCH($I4219,'Kode Outlet dan Target Toko'!$E:$E,0)),0)</f>
        <v>211051</v>
      </c>
      <c r="H4219" s="20">
        <f>IFERROR(INDEX('Kode Outlet dan Target Toko'!$D:$D,MATCH($I4219,'Kode Outlet dan Target Toko'!$E:$E,0)),0)</f>
        <v>5580008</v>
      </c>
      <c r="I4219" s="41" t="s">
        <v>88</v>
      </c>
      <c r="J4219" s="45" t="s">
        <v>202</v>
      </c>
      <c r="K4219" s="53" t="s">
        <v>15</v>
      </c>
      <c r="L4219" s="23">
        <v>3000</v>
      </c>
      <c r="M4219" s="24">
        <v>126</v>
      </c>
      <c r="N4219" s="25">
        <f t="shared" si="131"/>
        <v>378000</v>
      </c>
      <c r="O4219" s="24"/>
    </row>
    <row r="4220" spans="1:15" hidden="1" x14ac:dyDescent="0.3">
      <c r="A4220" s="24">
        <v>34</v>
      </c>
      <c r="B4220" s="20" t="str">
        <f t="shared" si="130"/>
        <v>AUG</v>
      </c>
      <c r="C4220" s="21">
        <v>46256</v>
      </c>
      <c r="D4220" s="22" t="str">
        <f>IFERROR(INDEX('Kode Outlet dan Target Toko'!$A:$A,MATCH($I4220,'Kode Outlet dan Target Toko'!$E:$E,0)),"")</f>
        <v>GRSM 5</v>
      </c>
      <c r="E4220" s="20" t="str">
        <f>IFERROR(VLOOKUP(I4220,KET!$B:$F,4,0),"")</f>
        <v>SUPRIYATI</v>
      </c>
      <c r="F4220" s="20" t="str">
        <f>IFERROR(VLOOKUP($I4220,KET!$B:$F,5,0),"")</f>
        <v>GMM</v>
      </c>
      <c r="G4220" s="20">
        <f>IFERROR(INDEX('Kode Outlet dan Target Toko'!$C:$C,MATCH($I4220,'Kode Outlet dan Target Toko'!$E:$E,0)),0)</f>
        <v>211051</v>
      </c>
      <c r="H4220" s="20">
        <f>IFERROR(INDEX('Kode Outlet dan Target Toko'!$D:$D,MATCH($I4220,'Kode Outlet dan Target Toko'!$E:$E,0)),0)</f>
        <v>5580008</v>
      </c>
      <c r="I4220" s="41" t="s">
        <v>88</v>
      </c>
      <c r="J4220" s="45" t="s">
        <v>202</v>
      </c>
      <c r="K4220" s="53" t="s">
        <v>14</v>
      </c>
      <c r="L4220" s="23">
        <v>3000</v>
      </c>
      <c r="M4220" s="24">
        <v>86</v>
      </c>
      <c r="N4220" s="25">
        <f t="shared" si="131"/>
        <v>258000</v>
      </c>
      <c r="O4220" s="24"/>
    </row>
    <row r="4221" spans="1:15" hidden="1" x14ac:dyDescent="0.3">
      <c r="A4221" s="24">
        <v>34</v>
      </c>
      <c r="B4221" s="20" t="str">
        <f t="shared" si="130"/>
        <v>AUG</v>
      </c>
      <c r="C4221" s="21">
        <v>46256</v>
      </c>
      <c r="D4221" s="22" t="str">
        <f>IFERROR(INDEX('Kode Outlet dan Target Toko'!$A:$A,MATCH($I4221,'Kode Outlet dan Target Toko'!$E:$E,0)),"")</f>
        <v>GRSM 5</v>
      </c>
      <c r="E4221" s="20" t="str">
        <f>IFERROR(VLOOKUP(I4221,KET!$B:$F,4,0),"")</f>
        <v>SUPRIYATI</v>
      </c>
      <c r="F4221" s="20" t="str">
        <f>IFERROR(VLOOKUP($I4221,KET!$B:$F,5,0),"")</f>
        <v>GMM</v>
      </c>
      <c r="G4221" s="20">
        <f>IFERROR(INDEX('Kode Outlet dan Target Toko'!$C:$C,MATCH($I4221,'Kode Outlet dan Target Toko'!$E:$E,0)),0)</f>
        <v>211051</v>
      </c>
      <c r="H4221" s="20">
        <f>IFERROR(INDEX('Kode Outlet dan Target Toko'!$D:$D,MATCH($I4221,'Kode Outlet dan Target Toko'!$E:$E,0)),0)</f>
        <v>5580008</v>
      </c>
      <c r="I4221" s="41" t="s">
        <v>88</v>
      </c>
      <c r="J4221" s="45" t="s">
        <v>202</v>
      </c>
      <c r="K4221" s="53" t="s">
        <v>13</v>
      </c>
      <c r="L4221" s="23">
        <v>3000</v>
      </c>
      <c r="M4221" s="24">
        <v>28</v>
      </c>
      <c r="N4221" s="25">
        <f t="shared" si="131"/>
        <v>84000</v>
      </c>
      <c r="O4221" s="24"/>
    </row>
    <row r="4222" spans="1:15" hidden="1" x14ac:dyDescent="0.3">
      <c r="A4222" s="24">
        <v>34</v>
      </c>
      <c r="B4222" s="20" t="str">
        <f t="shared" si="130"/>
        <v>AUG</v>
      </c>
      <c r="C4222" s="21">
        <v>46256</v>
      </c>
      <c r="D4222" s="22" t="str">
        <f>IFERROR(INDEX('Kode Outlet dan Target Toko'!$A:$A,MATCH($I4222,'Kode Outlet dan Target Toko'!$E:$E,0)),"")</f>
        <v>GRSM 5</v>
      </c>
      <c r="E4222" s="20" t="str">
        <f>IFERROR(VLOOKUP(I4222,KET!$B:$F,4,0),"")</f>
        <v>SUPRIYATI</v>
      </c>
      <c r="F4222" s="20" t="str">
        <f>IFERROR(VLOOKUP($I4222,KET!$B:$F,5,0),"")</f>
        <v>GMM</v>
      </c>
      <c r="G4222" s="20">
        <f>IFERROR(INDEX('Kode Outlet dan Target Toko'!$C:$C,MATCH($I4222,'Kode Outlet dan Target Toko'!$E:$E,0)),0)</f>
        <v>211051</v>
      </c>
      <c r="H4222" s="20">
        <f>IFERROR(INDEX('Kode Outlet dan Target Toko'!$D:$D,MATCH($I4222,'Kode Outlet dan Target Toko'!$E:$E,0)),0)</f>
        <v>5580008</v>
      </c>
      <c r="I4222" s="41" t="s">
        <v>88</v>
      </c>
      <c r="J4222" s="45" t="s">
        <v>202</v>
      </c>
      <c r="K4222" s="53" t="s">
        <v>16</v>
      </c>
      <c r="L4222" s="23">
        <v>3000</v>
      </c>
      <c r="M4222" s="24">
        <v>212</v>
      </c>
      <c r="N4222" s="25">
        <f t="shared" si="131"/>
        <v>636000</v>
      </c>
      <c r="O4222" s="24">
        <v>160</v>
      </c>
    </row>
    <row r="4223" spans="1:15" hidden="1" x14ac:dyDescent="0.3">
      <c r="A4223" s="24">
        <v>34</v>
      </c>
      <c r="B4223" s="20" t="str">
        <f t="shared" si="130"/>
        <v>AUG</v>
      </c>
      <c r="C4223" s="21">
        <v>46256</v>
      </c>
      <c r="D4223" s="22" t="str">
        <f>IFERROR(INDEX('Kode Outlet dan Target Toko'!$A:$A,MATCH($I4223,'Kode Outlet dan Target Toko'!$E:$E,0)),"")</f>
        <v>GRSM 5</v>
      </c>
      <c r="E4223" s="20" t="str">
        <f>IFERROR(VLOOKUP(I4223,KET!$B:$F,4,0),"")</f>
        <v>SUPRIYATI</v>
      </c>
      <c r="F4223" s="20" t="str">
        <f>IFERROR(VLOOKUP($I4223,KET!$B:$F,5,0),"")</f>
        <v>GMM</v>
      </c>
      <c r="G4223" s="20">
        <f>IFERROR(INDEX('Kode Outlet dan Target Toko'!$C:$C,MATCH($I4223,'Kode Outlet dan Target Toko'!$E:$E,0)),0)</f>
        <v>211051</v>
      </c>
      <c r="H4223" s="20">
        <f>IFERROR(INDEX('Kode Outlet dan Target Toko'!$D:$D,MATCH($I4223,'Kode Outlet dan Target Toko'!$E:$E,0)),0)</f>
        <v>5580008</v>
      </c>
      <c r="I4223" s="41" t="s">
        <v>88</v>
      </c>
      <c r="J4223" s="45" t="s">
        <v>203</v>
      </c>
      <c r="K4223" s="53" t="s">
        <v>15</v>
      </c>
      <c r="L4223" s="23">
        <v>3000</v>
      </c>
      <c r="M4223" s="24">
        <v>126</v>
      </c>
      <c r="N4223" s="25">
        <f t="shared" si="131"/>
        <v>378000</v>
      </c>
      <c r="O4223" s="24"/>
    </row>
    <row r="4224" spans="1:15" hidden="1" x14ac:dyDescent="0.3">
      <c r="A4224" s="24">
        <v>34</v>
      </c>
      <c r="B4224" s="20" t="str">
        <f t="shared" si="130"/>
        <v>AUG</v>
      </c>
      <c r="C4224" s="21">
        <v>46256</v>
      </c>
      <c r="D4224" s="22" t="str">
        <f>IFERROR(INDEX('Kode Outlet dan Target Toko'!$A:$A,MATCH($I4224,'Kode Outlet dan Target Toko'!$E:$E,0)),"")</f>
        <v>GRSM 5</v>
      </c>
      <c r="E4224" s="20" t="str">
        <f>IFERROR(VLOOKUP(I4224,KET!$B:$F,4,0),"")</f>
        <v>SUPRIYATI</v>
      </c>
      <c r="F4224" s="20" t="str">
        <f>IFERROR(VLOOKUP($I4224,KET!$B:$F,5,0),"")</f>
        <v>GMM</v>
      </c>
      <c r="G4224" s="20">
        <f>IFERROR(INDEX('Kode Outlet dan Target Toko'!$C:$C,MATCH($I4224,'Kode Outlet dan Target Toko'!$E:$E,0)),0)</f>
        <v>211051</v>
      </c>
      <c r="H4224" s="20">
        <f>IFERROR(INDEX('Kode Outlet dan Target Toko'!$D:$D,MATCH($I4224,'Kode Outlet dan Target Toko'!$E:$E,0)),0)</f>
        <v>5580008</v>
      </c>
      <c r="I4224" s="41" t="s">
        <v>88</v>
      </c>
      <c r="J4224" s="45" t="s">
        <v>203</v>
      </c>
      <c r="K4224" s="53" t="s">
        <v>14</v>
      </c>
      <c r="L4224" s="23">
        <v>3000</v>
      </c>
      <c r="M4224" s="24">
        <v>86</v>
      </c>
      <c r="N4224" s="25">
        <f t="shared" si="131"/>
        <v>258000</v>
      </c>
      <c r="O4224" s="24"/>
    </row>
    <row r="4225" spans="1:15" hidden="1" x14ac:dyDescent="0.3">
      <c r="A4225" s="24">
        <v>34</v>
      </c>
      <c r="B4225" s="20" t="str">
        <f t="shared" si="130"/>
        <v>AUG</v>
      </c>
      <c r="C4225" s="21">
        <v>46256</v>
      </c>
      <c r="D4225" s="22" t="str">
        <f>IFERROR(INDEX('Kode Outlet dan Target Toko'!$A:$A,MATCH($I4225,'Kode Outlet dan Target Toko'!$E:$E,0)),"")</f>
        <v>GRSM 5</v>
      </c>
      <c r="E4225" s="20" t="str">
        <f>IFERROR(VLOOKUP(I4225,KET!$B:$F,4,0),"")</f>
        <v>SUPRIYATI</v>
      </c>
      <c r="F4225" s="20" t="str">
        <f>IFERROR(VLOOKUP($I4225,KET!$B:$F,5,0),"")</f>
        <v>GMM</v>
      </c>
      <c r="G4225" s="20">
        <f>IFERROR(INDEX('Kode Outlet dan Target Toko'!$C:$C,MATCH($I4225,'Kode Outlet dan Target Toko'!$E:$E,0)),0)</f>
        <v>211051</v>
      </c>
      <c r="H4225" s="20">
        <f>IFERROR(INDEX('Kode Outlet dan Target Toko'!$D:$D,MATCH($I4225,'Kode Outlet dan Target Toko'!$E:$E,0)),0)</f>
        <v>5580008</v>
      </c>
      <c r="I4225" s="41" t="s">
        <v>88</v>
      </c>
      <c r="J4225" s="45" t="s">
        <v>203</v>
      </c>
      <c r="K4225" s="53" t="s">
        <v>13</v>
      </c>
      <c r="L4225" s="23">
        <v>3000</v>
      </c>
      <c r="M4225" s="24">
        <v>28</v>
      </c>
      <c r="N4225" s="25">
        <f t="shared" si="131"/>
        <v>84000</v>
      </c>
      <c r="O4225" s="24"/>
    </row>
    <row r="4226" spans="1:15" hidden="1" x14ac:dyDescent="0.3">
      <c r="A4226" s="24">
        <v>34</v>
      </c>
      <c r="B4226" s="20" t="str">
        <f t="shared" si="130"/>
        <v>AUG</v>
      </c>
      <c r="C4226" s="21">
        <v>46256</v>
      </c>
      <c r="D4226" s="22" t="str">
        <f>IFERROR(INDEX('Kode Outlet dan Target Toko'!$A:$A,MATCH($I4226,'Kode Outlet dan Target Toko'!$E:$E,0)),"")</f>
        <v>GRSM 5</v>
      </c>
      <c r="E4226" s="20" t="str">
        <f>IFERROR(VLOOKUP(I4226,KET!$B:$F,4,0),"")</f>
        <v>SUPRIYATI</v>
      </c>
      <c r="F4226" s="20" t="str">
        <f>IFERROR(VLOOKUP($I4226,KET!$B:$F,5,0),"")</f>
        <v>GMM</v>
      </c>
      <c r="G4226" s="20">
        <f>IFERROR(INDEX('Kode Outlet dan Target Toko'!$C:$C,MATCH($I4226,'Kode Outlet dan Target Toko'!$E:$E,0)),0)</f>
        <v>211051</v>
      </c>
      <c r="H4226" s="20">
        <f>IFERROR(INDEX('Kode Outlet dan Target Toko'!$D:$D,MATCH($I4226,'Kode Outlet dan Target Toko'!$E:$E,0)),0)</f>
        <v>5580008</v>
      </c>
      <c r="I4226" s="41" t="s">
        <v>88</v>
      </c>
      <c r="J4226" s="45" t="s">
        <v>203</v>
      </c>
      <c r="K4226" s="53" t="s">
        <v>16</v>
      </c>
      <c r="L4226" s="23">
        <v>3000</v>
      </c>
      <c r="M4226" s="24">
        <v>212</v>
      </c>
      <c r="N4226" s="25">
        <f t="shared" si="131"/>
        <v>636000</v>
      </c>
      <c r="O4226" s="24">
        <v>160</v>
      </c>
    </row>
    <row r="4227" spans="1:15" hidden="1" x14ac:dyDescent="0.3">
      <c r="A4227" s="24">
        <v>34</v>
      </c>
      <c r="B4227" s="20" t="str">
        <f t="shared" si="130"/>
        <v>AUG</v>
      </c>
      <c r="C4227" s="21">
        <v>46256</v>
      </c>
      <c r="D4227" s="22" t="str">
        <f>IFERROR(INDEX('Kode Outlet dan Target Toko'!$A:$A,MATCH($I4227,'Kode Outlet dan Target Toko'!$E:$E,0)),"")</f>
        <v>GRSM 5</v>
      </c>
      <c r="E4227" s="20" t="str">
        <f>IFERROR(VLOOKUP(I4227,KET!$B:$F,4,0),"")</f>
        <v>SUPRIYATI</v>
      </c>
      <c r="F4227" s="20" t="str">
        <f>IFERROR(VLOOKUP($I4227,KET!$B:$F,5,0),"")</f>
        <v>GMM</v>
      </c>
      <c r="G4227" s="20">
        <f>IFERROR(INDEX('Kode Outlet dan Target Toko'!$C:$C,MATCH($I4227,'Kode Outlet dan Target Toko'!$E:$E,0)),0)</f>
        <v>103222</v>
      </c>
      <c r="H4227" s="20">
        <f>IFERROR(INDEX('Kode Outlet dan Target Toko'!$D:$D,MATCH($I4227,'Kode Outlet dan Target Toko'!$E:$E,0)),0)</f>
        <v>106437</v>
      </c>
      <c r="I4227" s="41" t="s">
        <v>104</v>
      </c>
      <c r="J4227" s="45" t="s">
        <v>207</v>
      </c>
      <c r="K4227" s="53" t="s">
        <v>15</v>
      </c>
      <c r="L4227" s="23">
        <v>2990</v>
      </c>
      <c r="M4227" s="24">
        <v>55</v>
      </c>
      <c r="N4227" s="25">
        <f t="shared" si="131"/>
        <v>164450</v>
      </c>
      <c r="O4227" s="24"/>
    </row>
    <row r="4228" spans="1:15" hidden="1" x14ac:dyDescent="0.3">
      <c r="A4228" s="24">
        <v>34</v>
      </c>
      <c r="B4228" s="20" t="str">
        <f t="shared" si="130"/>
        <v>AUG</v>
      </c>
      <c r="C4228" s="21">
        <v>46256</v>
      </c>
      <c r="D4228" s="22" t="str">
        <f>IFERROR(INDEX('Kode Outlet dan Target Toko'!$A:$A,MATCH($I4228,'Kode Outlet dan Target Toko'!$E:$E,0)),"")</f>
        <v>GRSM 5</v>
      </c>
      <c r="E4228" s="20" t="str">
        <f>IFERROR(VLOOKUP(I4228,KET!$B:$F,4,0),"")</f>
        <v>SUPRIYATI</v>
      </c>
      <c r="F4228" s="20" t="str">
        <f>IFERROR(VLOOKUP($I4228,KET!$B:$F,5,0),"")</f>
        <v>GMM</v>
      </c>
      <c r="G4228" s="20">
        <f>IFERROR(INDEX('Kode Outlet dan Target Toko'!$C:$C,MATCH($I4228,'Kode Outlet dan Target Toko'!$E:$E,0)),0)</f>
        <v>103222</v>
      </c>
      <c r="H4228" s="20">
        <f>IFERROR(INDEX('Kode Outlet dan Target Toko'!$D:$D,MATCH($I4228,'Kode Outlet dan Target Toko'!$E:$E,0)),0)</f>
        <v>106437</v>
      </c>
      <c r="I4228" s="41" t="s">
        <v>104</v>
      </c>
      <c r="J4228" s="45" t="s">
        <v>207</v>
      </c>
      <c r="K4228" s="53" t="s">
        <v>14</v>
      </c>
      <c r="L4228" s="23">
        <v>2990</v>
      </c>
      <c r="M4228" s="24">
        <v>189</v>
      </c>
      <c r="N4228" s="25">
        <f t="shared" si="131"/>
        <v>565110</v>
      </c>
      <c r="O4228" s="24"/>
    </row>
    <row r="4229" spans="1:15" hidden="1" x14ac:dyDescent="0.3">
      <c r="A4229" s="24">
        <v>34</v>
      </c>
      <c r="B4229" s="20" t="str">
        <f t="shared" si="130"/>
        <v>AUG</v>
      </c>
      <c r="C4229" s="21">
        <v>46256</v>
      </c>
      <c r="D4229" s="22" t="str">
        <f>IFERROR(INDEX('Kode Outlet dan Target Toko'!$A:$A,MATCH($I4229,'Kode Outlet dan Target Toko'!$E:$E,0)),"")</f>
        <v>GRSM 5</v>
      </c>
      <c r="E4229" s="20" t="str">
        <f>IFERROR(VLOOKUP(I4229,KET!$B:$F,4,0),"")</f>
        <v>SUPRIYATI</v>
      </c>
      <c r="F4229" s="20" t="str">
        <f>IFERROR(VLOOKUP($I4229,KET!$B:$F,5,0),"")</f>
        <v>GMM</v>
      </c>
      <c r="G4229" s="20">
        <f>IFERROR(INDEX('Kode Outlet dan Target Toko'!$C:$C,MATCH($I4229,'Kode Outlet dan Target Toko'!$E:$E,0)),0)</f>
        <v>103222</v>
      </c>
      <c r="H4229" s="20">
        <f>IFERROR(INDEX('Kode Outlet dan Target Toko'!$D:$D,MATCH($I4229,'Kode Outlet dan Target Toko'!$E:$E,0)),0)</f>
        <v>106437</v>
      </c>
      <c r="I4229" s="41" t="s">
        <v>104</v>
      </c>
      <c r="J4229" s="45" t="s">
        <v>207</v>
      </c>
      <c r="K4229" s="53" t="s">
        <v>13</v>
      </c>
      <c r="L4229" s="23">
        <v>2990</v>
      </c>
      <c r="M4229" s="24">
        <v>0</v>
      </c>
      <c r="N4229" s="25">
        <f t="shared" si="131"/>
        <v>0</v>
      </c>
      <c r="O4229" s="24"/>
    </row>
    <row r="4230" spans="1:15" hidden="1" x14ac:dyDescent="0.3">
      <c r="A4230" s="24">
        <v>34</v>
      </c>
      <c r="B4230" s="20" t="str">
        <f t="shared" si="130"/>
        <v>AUG</v>
      </c>
      <c r="C4230" s="21">
        <v>46256</v>
      </c>
      <c r="D4230" s="22" t="str">
        <f>IFERROR(INDEX('Kode Outlet dan Target Toko'!$A:$A,MATCH($I4230,'Kode Outlet dan Target Toko'!$E:$E,0)),"")</f>
        <v>GRSM 5</v>
      </c>
      <c r="E4230" s="20" t="str">
        <f>IFERROR(VLOOKUP(I4230,KET!$B:$F,4,0),"")</f>
        <v>SUPRIYATI</v>
      </c>
      <c r="F4230" s="20" t="str">
        <f>IFERROR(VLOOKUP($I4230,KET!$B:$F,5,0),"")</f>
        <v>GMM</v>
      </c>
      <c r="G4230" s="20">
        <f>IFERROR(INDEX('Kode Outlet dan Target Toko'!$C:$C,MATCH($I4230,'Kode Outlet dan Target Toko'!$E:$E,0)),0)</f>
        <v>103222</v>
      </c>
      <c r="H4230" s="20">
        <f>IFERROR(INDEX('Kode Outlet dan Target Toko'!$D:$D,MATCH($I4230,'Kode Outlet dan Target Toko'!$E:$E,0)),0)</f>
        <v>106437</v>
      </c>
      <c r="I4230" s="41" t="s">
        <v>104</v>
      </c>
      <c r="J4230" s="45" t="s">
        <v>207</v>
      </c>
      <c r="K4230" s="53" t="s">
        <v>16</v>
      </c>
      <c r="L4230" s="23">
        <v>2990</v>
      </c>
      <c r="M4230" s="24">
        <v>195</v>
      </c>
      <c r="N4230" s="25">
        <f t="shared" si="131"/>
        <v>583050</v>
      </c>
      <c r="O4230" s="24">
        <v>160</v>
      </c>
    </row>
    <row r="4231" spans="1:15" hidden="1" x14ac:dyDescent="0.3">
      <c r="A4231" s="24">
        <v>34</v>
      </c>
      <c r="B4231" s="20" t="str">
        <f t="shared" ref="B4231:B4294" si="132">IF(C4231="","",UPPER(TEXT(C4231, "MMM")))</f>
        <v>AUG</v>
      </c>
      <c r="C4231" s="21">
        <v>46256</v>
      </c>
      <c r="D4231" s="22" t="str">
        <f>IFERROR(INDEX('Kode Outlet dan Target Toko'!$A:$A,MATCH($I4231,'Kode Outlet dan Target Toko'!$E:$E,0)),"")</f>
        <v>GRSM 5</v>
      </c>
      <c r="E4231" s="20" t="str">
        <f>IFERROR(VLOOKUP(I4231,KET!$B:$F,4,0),"")</f>
        <v>SUPRIYATI</v>
      </c>
      <c r="F4231" s="20" t="str">
        <f>IFERROR(VLOOKUP($I4231,KET!$B:$F,5,0),"")</f>
        <v>GMM</v>
      </c>
      <c r="G4231" s="20">
        <f>IFERROR(INDEX('Kode Outlet dan Target Toko'!$C:$C,MATCH($I4231,'Kode Outlet dan Target Toko'!$E:$E,0)),0)</f>
        <v>103222</v>
      </c>
      <c r="H4231" s="20">
        <f>IFERROR(INDEX('Kode Outlet dan Target Toko'!$D:$D,MATCH($I4231,'Kode Outlet dan Target Toko'!$E:$E,0)),0)</f>
        <v>106437</v>
      </c>
      <c r="I4231" s="41" t="s">
        <v>104</v>
      </c>
      <c r="J4231" s="45" t="s">
        <v>208</v>
      </c>
      <c r="K4231" s="53" t="s">
        <v>15</v>
      </c>
      <c r="L4231" s="23">
        <v>2990</v>
      </c>
      <c r="M4231" s="24">
        <v>55</v>
      </c>
      <c r="N4231" s="25">
        <f t="shared" ref="N4231:N4294" si="133">IFERROR(M4231*L4231,"")</f>
        <v>164450</v>
      </c>
      <c r="O4231" s="24"/>
    </row>
    <row r="4232" spans="1:15" hidden="1" x14ac:dyDescent="0.3">
      <c r="A4232" s="24">
        <v>34</v>
      </c>
      <c r="B4232" s="20" t="str">
        <f t="shared" si="132"/>
        <v>AUG</v>
      </c>
      <c r="C4232" s="21">
        <v>46256</v>
      </c>
      <c r="D4232" s="22" t="str">
        <f>IFERROR(INDEX('Kode Outlet dan Target Toko'!$A:$A,MATCH($I4232,'Kode Outlet dan Target Toko'!$E:$E,0)),"")</f>
        <v>GRSM 5</v>
      </c>
      <c r="E4232" s="20" t="str">
        <f>IFERROR(VLOOKUP(I4232,KET!$B:$F,4,0),"")</f>
        <v>SUPRIYATI</v>
      </c>
      <c r="F4232" s="20" t="str">
        <f>IFERROR(VLOOKUP($I4232,KET!$B:$F,5,0),"")</f>
        <v>GMM</v>
      </c>
      <c r="G4232" s="20">
        <f>IFERROR(INDEX('Kode Outlet dan Target Toko'!$C:$C,MATCH($I4232,'Kode Outlet dan Target Toko'!$E:$E,0)),0)</f>
        <v>103222</v>
      </c>
      <c r="H4232" s="20">
        <f>IFERROR(INDEX('Kode Outlet dan Target Toko'!$D:$D,MATCH($I4232,'Kode Outlet dan Target Toko'!$E:$E,0)),0)</f>
        <v>106437</v>
      </c>
      <c r="I4232" s="41" t="s">
        <v>104</v>
      </c>
      <c r="J4232" s="45" t="s">
        <v>208</v>
      </c>
      <c r="K4232" s="53" t="s">
        <v>14</v>
      </c>
      <c r="L4232" s="23">
        <v>2990</v>
      </c>
      <c r="M4232" s="24">
        <v>189</v>
      </c>
      <c r="N4232" s="25">
        <f t="shared" si="133"/>
        <v>565110</v>
      </c>
      <c r="O4232" s="24"/>
    </row>
    <row r="4233" spans="1:15" hidden="1" x14ac:dyDescent="0.3">
      <c r="A4233" s="24">
        <v>34</v>
      </c>
      <c r="B4233" s="20" t="str">
        <f t="shared" si="132"/>
        <v>AUG</v>
      </c>
      <c r="C4233" s="21">
        <v>46256</v>
      </c>
      <c r="D4233" s="22" t="str">
        <f>IFERROR(INDEX('Kode Outlet dan Target Toko'!$A:$A,MATCH($I4233,'Kode Outlet dan Target Toko'!$E:$E,0)),"")</f>
        <v>GRSM 5</v>
      </c>
      <c r="E4233" s="20" t="str">
        <f>IFERROR(VLOOKUP(I4233,KET!$B:$F,4,0),"")</f>
        <v>SUPRIYATI</v>
      </c>
      <c r="F4233" s="20" t="str">
        <f>IFERROR(VLOOKUP($I4233,KET!$B:$F,5,0),"")</f>
        <v>GMM</v>
      </c>
      <c r="G4233" s="20">
        <f>IFERROR(INDEX('Kode Outlet dan Target Toko'!$C:$C,MATCH($I4233,'Kode Outlet dan Target Toko'!$E:$E,0)),0)</f>
        <v>103222</v>
      </c>
      <c r="H4233" s="20">
        <f>IFERROR(INDEX('Kode Outlet dan Target Toko'!$D:$D,MATCH($I4233,'Kode Outlet dan Target Toko'!$E:$E,0)),0)</f>
        <v>106437</v>
      </c>
      <c r="I4233" s="41" t="s">
        <v>104</v>
      </c>
      <c r="J4233" s="45" t="s">
        <v>208</v>
      </c>
      <c r="K4233" s="53" t="s">
        <v>13</v>
      </c>
      <c r="L4233" s="23">
        <v>2990</v>
      </c>
      <c r="M4233" s="24">
        <v>0</v>
      </c>
      <c r="N4233" s="25">
        <f t="shared" si="133"/>
        <v>0</v>
      </c>
      <c r="O4233" s="24"/>
    </row>
    <row r="4234" spans="1:15" hidden="1" x14ac:dyDescent="0.3">
      <c r="A4234" s="24">
        <v>34</v>
      </c>
      <c r="B4234" s="20" t="str">
        <f t="shared" si="132"/>
        <v>AUG</v>
      </c>
      <c r="C4234" s="21">
        <v>46256</v>
      </c>
      <c r="D4234" s="22" t="str">
        <f>IFERROR(INDEX('Kode Outlet dan Target Toko'!$A:$A,MATCH($I4234,'Kode Outlet dan Target Toko'!$E:$E,0)),"")</f>
        <v>GRSM 5</v>
      </c>
      <c r="E4234" s="20" t="str">
        <f>IFERROR(VLOOKUP(I4234,KET!$B:$F,4,0),"")</f>
        <v>SUPRIYATI</v>
      </c>
      <c r="F4234" s="20" t="str">
        <f>IFERROR(VLOOKUP($I4234,KET!$B:$F,5,0),"")</f>
        <v>GMM</v>
      </c>
      <c r="G4234" s="20">
        <f>IFERROR(INDEX('Kode Outlet dan Target Toko'!$C:$C,MATCH($I4234,'Kode Outlet dan Target Toko'!$E:$E,0)),0)</f>
        <v>103222</v>
      </c>
      <c r="H4234" s="20">
        <f>IFERROR(INDEX('Kode Outlet dan Target Toko'!$D:$D,MATCH($I4234,'Kode Outlet dan Target Toko'!$E:$E,0)),0)</f>
        <v>106437</v>
      </c>
      <c r="I4234" s="41" t="s">
        <v>104</v>
      </c>
      <c r="J4234" s="45" t="s">
        <v>208</v>
      </c>
      <c r="K4234" s="53" t="s">
        <v>16</v>
      </c>
      <c r="L4234" s="23">
        <v>2990</v>
      </c>
      <c r="M4234" s="24">
        <v>195</v>
      </c>
      <c r="N4234" s="25">
        <f t="shared" si="133"/>
        <v>583050</v>
      </c>
      <c r="O4234" s="24">
        <v>160</v>
      </c>
    </row>
    <row r="4235" spans="1:15" hidden="1" x14ac:dyDescent="0.3">
      <c r="A4235" s="24">
        <v>34</v>
      </c>
      <c r="B4235" s="20" t="str">
        <f t="shared" si="132"/>
        <v>AUG</v>
      </c>
      <c r="C4235" s="21">
        <v>46256</v>
      </c>
      <c r="D4235" s="22" t="str">
        <f>IFERROR(INDEX('Kode Outlet dan Target Toko'!$A:$A,MATCH($I4235,'Kode Outlet dan Target Toko'!$E:$E,0)),"")</f>
        <v>GRSM 5</v>
      </c>
      <c r="E4235" s="20" t="str">
        <f>IFERROR(VLOOKUP(I4235,KET!$B:$F,4,0),"")</f>
        <v>SUPRIYATI</v>
      </c>
      <c r="F4235" s="20" t="str">
        <f>IFERROR(VLOOKUP($I4235,KET!$B:$F,5,0),"")</f>
        <v>GMM</v>
      </c>
      <c r="G4235" s="20">
        <f>IFERROR(INDEX('Kode Outlet dan Target Toko'!$C:$C,MATCH($I4235,'Kode Outlet dan Target Toko'!$E:$E,0)),0)</f>
        <v>211009</v>
      </c>
      <c r="H4235" s="20">
        <f>IFERROR(INDEX('Kode Outlet dan Target Toko'!$D:$D,MATCH($I4235,'Kode Outlet dan Target Toko'!$E:$E,0)),0)</f>
        <v>2100003</v>
      </c>
      <c r="I4235" s="41" t="s">
        <v>118</v>
      </c>
      <c r="J4235" s="45" t="s">
        <v>230</v>
      </c>
      <c r="K4235" s="53" t="s">
        <v>15</v>
      </c>
      <c r="L4235" s="23">
        <v>2900</v>
      </c>
      <c r="M4235" s="24">
        <v>46</v>
      </c>
      <c r="N4235" s="25">
        <f t="shared" si="133"/>
        <v>133400</v>
      </c>
      <c r="O4235" s="24"/>
    </row>
    <row r="4236" spans="1:15" hidden="1" x14ac:dyDescent="0.3">
      <c r="A4236" s="24">
        <v>34</v>
      </c>
      <c r="B4236" s="20" t="str">
        <f t="shared" si="132"/>
        <v>AUG</v>
      </c>
      <c r="C4236" s="21">
        <v>46256</v>
      </c>
      <c r="D4236" s="22" t="str">
        <f>IFERROR(INDEX('Kode Outlet dan Target Toko'!$A:$A,MATCH($I4236,'Kode Outlet dan Target Toko'!$E:$E,0)),"")</f>
        <v>GRSM 5</v>
      </c>
      <c r="E4236" s="20" t="str">
        <f>IFERROR(VLOOKUP(I4236,KET!$B:$F,4,0),"")</f>
        <v>SUPRIYATI</v>
      </c>
      <c r="F4236" s="20" t="str">
        <f>IFERROR(VLOOKUP($I4236,KET!$B:$F,5,0),"")</f>
        <v>GMM</v>
      </c>
      <c r="G4236" s="20">
        <f>IFERROR(INDEX('Kode Outlet dan Target Toko'!$C:$C,MATCH($I4236,'Kode Outlet dan Target Toko'!$E:$E,0)),0)</f>
        <v>211009</v>
      </c>
      <c r="H4236" s="20">
        <f>IFERROR(INDEX('Kode Outlet dan Target Toko'!$D:$D,MATCH($I4236,'Kode Outlet dan Target Toko'!$E:$E,0)),0)</f>
        <v>2100003</v>
      </c>
      <c r="I4236" s="41" t="s">
        <v>118</v>
      </c>
      <c r="J4236" s="45" t="s">
        <v>230</v>
      </c>
      <c r="K4236" s="53" t="s">
        <v>14</v>
      </c>
      <c r="L4236" s="23">
        <v>2900</v>
      </c>
      <c r="M4236" s="24">
        <v>28</v>
      </c>
      <c r="N4236" s="25">
        <f t="shared" si="133"/>
        <v>81200</v>
      </c>
      <c r="O4236" s="24"/>
    </row>
    <row r="4237" spans="1:15" hidden="1" x14ac:dyDescent="0.3">
      <c r="A4237" s="24">
        <v>34</v>
      </c>
      <c r="B4237" s="20" t="str">
        <f t="shared" si="132"/>
        <v>AUG</v>
      </c>
      <c r="C4237" s="21">
        <v>46256</v>
      </c>
      <c r="D4237" s="22" t="str">
        <f>IFERROR(INDEX('Kode Outlet dan Target Toko'!$A:$A,MATCH($I4237,'Kode Outlet dan Target Toko'!$E:$E,0)),"")</f>
        <v>GRSM 5</v>
      </c>
      <c r="E4237" s="20" t="str">
        <f>IFERROR(VLOOKUP(I4237,KET!$B:$F,4,0),"")</f>
        <v>SUPRIYATI</v>
      </c>
      <c r="F4237" s="20" t="str">
        <f>IFERROR(VLOOKUP($I4237,KET!$B:$F,5,0),"")</f>
        <v>GMM</v>
      </c>
      <c r="G4237" s="20">
        <f>IFERROR(INDEX('Kode Outlet dan Target Toko'!$C:$C,MATCH($I4237,'Kode Outlet dan Target Toko'!$E:$E,0)),0)</f>
        <v>211009</v>
      </c>
      <c r="H4237" s="20">
        <f>IFERROR(INDEX('Kode Outlet dan Target Toko'!$D:$D,MATCH($I4237,'Kode Outlet dan Target Toko'!$E:$E,0)),0)</f>
        <v>2100003</v>
      </c>
      <c r="I4237" s="41" t="s">
        <v>118</v>
      </c>
      <c r="J4237" s="45" t="s">
        <v>230</v>
      </c>
      <c r="K4237" s="53" t="s">
        <v>13</v>
      </c>
      <c r="L4237" s="23">
        <v>2900</v>
      </c>
      <c r="M4237" s="24">
        <v>24</v>
      </c>
      <c r="N4237" s="25">
        <f t="shared" si="133"/>
        <v>69600</v>
      </c>
      <c r="O4237" s="24"/>
    </row>
    <row r="4238" spans="1:15" hidden="1" x14ac:dyDescent="0.3">
      <c r="A4238" s="24">
        <v>34</v>
      </c>
      <c r="B4238" s="20" t="str">
        <f t="shared" si="132"/>
        <v>AUG</v>
      </c>
      <c r="C4238" s="21">
        <v>46256</v>
      </c>
      <c r="D4238" s="22" t="str">
        <f>IFERROR(INDEX('Kode Outlet dan Target Toko'!$A:$A,MATCH($I4238,'Kode Outlet dan Target Toko'!$E:$E,0)),"")</f>
        <v>GRSM 5</v>
      </c>
      <c r="E4238" s="20" t="str">
        <f>IFERROR(VLOOKUP(I4238,KET!$B:$F,4,0),"")</f>
        <v>SUPRIYATI</v>
      </c>
      <c r="F4238" s="20" t="str">
        <f>IFERROR(VLOOKUP($I4238,KET!$B:$F,5,0),"")</f>
        <v>GMM</v>
      </c>
      <c r="G4238" s="20">
        <f>IFERROR(INDEX('Kode Outlet dan Target Toko'!$C:$C,MATCH($I4238,'Kode Outlet dan Target Toko'!$E:$E,0)),0)</f>
        <v>211009</v>
      </c>
      <c r="H4238" s="20">
        <f>IFERROR(INDEX('Kode Outlet dan Target Toko'!$D:$D,MATCH($I4238,'Kode Outlet dan Target Toko'!$E:$E,0)),0)</f>
        <v>2100003</v>
      </c>
      <c r="I4238" s="41" t="s">
        <v>118</v>
      </c>
      <c r="J4238" s="45" t="s">
        <v>230</v>
      </c>
      <c r="K4238" s="53" t="s">
        <v>16</v>
      </c>
      <c r="L4238" s="23">
        <v>2900</v>
      </c>
      <c r="M4238" s="24">
        <v>106</v>
      </c>
      <c r="N4238" s="25">
        <f t="shared" si="133"/>
        <v>307400</v>
      </c>
      <c r="O4238" s="24">
        <v>160</v>
      </c>
    </row>
    <row r="4239" spans="1:15" hidden="1" x14ac:dyDescent="0.3">
      <c r="A4239" s="24">
        <v>34</v>
      </c>
      <c r="B4239" s="20" t="str">
        <f t="shared" si="132"/>
        <v>AUG</v>
      </c>
      <c r="C4239" s="21">
        <v>46256</v>
      </c>
      <c r="D4239" s="22" t="str">
        <f>IFERROR(INDEX('Kode Outlet dan Target Toko'!$A:$A,MATCH($I4239,'Kode Outlet dan Target Toko'!$E:$E,0)),"")</f>
        <v>GRSM 5</v>
      </c>
      <c r="E4239" s="20" t="str">
        <f>IFERROR(VLOOKUP(I4239,KET!$B:$F,4,0),"")</f>
        <v>SUPRIYATI</v>
      </c>
      <c r="F4239" s="20" t="str">
        <f>IFERROR(VLOOKUP($I4239,KET!$B:$F,5,0),"")</f>
        <v>GMM</v>
      </c>
      <c r="G4239" s="20">
        <f>IFERROR(INDEX('Kode Outlet dan Target Toko'!$C:$C,MATCH($I4239,'Kode Outlet dan Target Toko'!$E:$E,0)),0)</f>
        <v>211009</v>
      </c>
      <c r="H4239" s="20">
        <f>IFERROR(INDEX('Kode Outlet dan Target Toko'!$D:$D,MATCH($I4239,'Kode Outlet dan Target Toko'!$E:$E,0)),0)</f>
        <v>2100003</v>
      </c>
      <c r="I4239" s="41" t="s">
        <v>118</v>
      </c>
      <c r="J4239" s="45" t="s">
        <v>231</v>
      </c>
      <c r="K4239" s="53" t="s">
        <v>15</v>
      </c>
      <c r="L4239" s="23">
        <v>2900</v>
      </c>
      <c r="M4239" s="24">
        <v>46</v>
      </c>
      <c r="N4239" s="25">
        <f t="shared" si="133"/>
        <v>133400</v>
      </c>
      <c r="O4239" s="24"/>
    </row>
    <row r="4240" spans="1:15" hidden="1" x14ac:dyDescent="0.3">
      <c r="A4240" s="24">
        <v>34</v>
      </c>
      <c r="B4240" s="20" t="str">
        <f t="shared" si="132"/>
        <v>AUG</v>
      </c>
      <c r="C4240" s="21">
        <v>46256</v>
      </c>
      <c r="D4240" s="22" t="str">
        <f>IFERROR(INDEX('Kode Outlet dan Target Toko'!$A:$A,MATCH($I4240,'Kode Outlet dan Target Toko'!$E:$E,0)),"")</f>
        <v>GRSM 5</v>
      </c>
      <c r="E4240" s="20" t="str">
        <f>IFERROR(VLOOKUP(I4240,KET!$B:$F,4,0),"")</f>
        <v>SUPRIYATI</v>
      </c>
      <c r="F4240" s="20" t="str">
        <f>IFERROR(VLOOKUP($I4240,KET!$B:$F,5,0),"")</f>
        <v>GMM</v>
      </c>
      <c r="G4240" s="20">
        <f>IFERROR(INDEX('Kode Outlet dan Target Toko'!$C:$C,MATCH($I4240,'Kode Outlet dan Target Toko'!$E:$E,0)),0)</f>
        <v>211009</v>
      </c>
      <c r="H4240" s="20">
        <f>IFERROR(INDEX('Kode Outlet dan Target Toko'!$D:$D,MATCH($I4240,'Kode Outlet dan Target Toko'!$E:$E,0)),0)</f>
        <v>2100003</v>
      </c>
      <c r="I4240" s="41" t="s">
        <v>118</v>
      </c>
      <c r="J4240" s="45" t="s">
        <v>231</v>
      </c>
      <c r="K4240" s="53" t="s">
        <v>14</v>
      </c>
      <c r="L4240" s="23">
        <v>2900</v>
      </c>
      <c r="M4240" s="24">
        <v>28</v>
      </c>
      <c r="N4240" s="25">
        <f t="shared" si="133"/>
        <v>81200</v>
      </c>
      <c r="O4240" s="24"/>
    </row>
    <row r="4241" spans="1:15" hidden="1" x14ac:dyDescent="0.3">
      <c r="A4241" s="24">
        <v>34</v>
      </c>
      <c r="B4241" s="20" t="str">
        <f t="shared" si="132"/>
        <v>AUG</v>
      </c>
      <c r="C4241" s="21">
        <v>46256</v>
      </c>
      <c r="D4241" s="22" t="str">
        <f>IFERROR(INDEX('Kode Outlet dan Target Toko'!$A:$A,MATCH($I4241,'Kode Outlet dan Target Toko'!$E:$E,0)),"")</f>
        <v>GRSM 5</v>
      </c>
      <c r="E4241" s="20" t="str">
        <f>IFERROR(VLOOKUP(I4241,KET!$B:$F,4,0),"")</f>
        <v>SUPRIYATI</v>
      </c>
      <c r="F4241" s="20" t="str">
        <f>IFERROR(VLOOKUP($I4241,KET!$B:$F,5,0),"")</f>
        <v>GMM</v>
      </c>
      <c r="G4241" s="20">
        <f>IFERROR(INDEX('Kode Outlet dan Target Toko'!$C:$C,MATCH($I4241,'Kode Outlet dan Target Toko'!$E:$E,0)),0)</f>
        <v>211009</v>
      </c>
      <c r="H4241" s="20">
        <f>IFERROR(INDEX('Kode Outlet dan Target Toko'!$D:$D,MATCH($I4241,'Kode Outlet dan Target Toko'!$E:$E,0)),0)</f>
        <v>2100003</v>
      </c>
      <c r="I4241" s="41" t="s">
        <v>118</v>
      </c>
      <c r="J4241" s="45" t="s">
        <v>231</v>
      </c>
      <c r="K4241" s="53" t="s">
        <v>13</v>
      </c>
      <c r="L4241" s="23">
        <v>2900</v>
      </c>
      <c r="M4241" s="24">
        <v>24</v>
      </c>
      <c r="N4241" s="25">
        <f t="shared" si="133"/>
        <v>69600</v>
      </c>
      <c r="O4241" s="24"/>
    </row>
    <row r="4242" spans="1:15" hidden="1" x14ac:dyDescent="0.3">
      <c r="A4242" s="24">
        <v>34</v>
      </c>
      <c r="B4242" s="20" t="str">
        <f t="shared" si="132"/>
        <v>AUG</v>
      </c>
      <c r="C4242" s="21">
        <v>46256</v>
      </c>
      <c r="D4242" s="22" t="str">
        <f>IFERROR(INDEX('Kode Outlet dan Target Toko'!$A:$A,MATCH($I4242,'Kode Outlet dan Target Toko'!$E:$E,0)),"")</f>
        <v>GRSM 5</v>
      </c>
      <c r="E4242" s="20" t="str">
        <f>IFERROR(VLOOKUP(I4242,KET!$B:$F,4,0),"")</f>
        <v>SUPRIYATI</v>
      </c>
      <c r="F4242" s="20" t="str">
        <f>IFERROR(VLOOKUP($I4242,KET!$B:$F,5,0),"")</f>
        <v>GMM</v>
      </c>
      <c r="G4242" s="20">
        <f>IFERROR(INDEX('Kode Outlet dan Target Toko'!$C:$C,MATCH($I4242,'Kode Outlet dan Target Toko'!$E:$E,0)),0)</f>
        <v>211009</v>
      </c>
      <c r="H4242" s="20">
        <f>IFERROR(INDEX('Kode Outlet dan Target Toko'!$D:$D,MATCH($I4242,'Kode Outlet dan Target Toko'!$E:$E,0)),0)</f>
        <v>2100003</v>
      </c>
      <c r="I4242" s="41" t="s">
        <v>118</v>
      </c>
      <c r="J4242" s="45" t="s">
        <v>231</v>
      </c>
      <c r="K4242" s="53" t="s">
        <v>16</v>
      </c>
      <c r="L4242" s="23">
        <v>2900</v>
      </c>
      <c r="M4242" s="24">
        <v>106</v>
      </c>
      <c r="N4242" s="25">
        <f t="shared" si="133"/>
        <v>307400</v>
      </c>
      <c r="O4242" s="24">
        <v>160</v>
      </c>
    </row>
    <row r="4243" spans="1:15" hidden="1" x14ac:dyDescent="0.3">
      <c r="A4243" s="24">
        <v>34</v>
      </c>
      <c r="B4243" s="20" t="str">
        <f t="shared" si="132"/>
        <v>AUG</v>
      </c>
      <c r="C4243" s="21">
        <v>46257</v>
      </c>
      <c r="D4243" s="22" t="str">
        <f>IFERROR(INDEX('Kode Outlet dan Target Toko'!$A:$A,MATCH($I4243,'Kode Outlet dan Target Toko'!$E:$E,0)),"")</f>
        <v>GRSM 5</v>
      </c>
      <c r="E4243" s="20" t="str">
        <f>IFERROR(VLOOKUP(I4243,KET!$B:$F,4,0),"")</f>
        <v>SUPRIYATI</v>
      </c>
      <c r="F4243" s="20" t="str">
        <f>IFERROR(VLOOKUP($I4243,KET!$B:$F,5,0),"")</f>
        <v>GMM</v>
      </c>
      <c r="G4243" s="20">
        <f>IFERROR(INDEX('Kode Outlet dan Target Toko'!$C:$C,MATCH($I4243,'Kode Outlet dan Target Toko'!$E:$E,0)),0)</f>
        <v>103274</v>
      </c>
      <c r="H4243" s="20">
        <f>IFERROR(INDEX('Kode Outlet dan Target Toko'!$D:$D,MATCH($I4243,'Kode Outlet dan Target Toko'!$E:$E,0)),0)</f>
        <v>1301399</v>
      </c>
      <c r="I4243" s="41" t="s">
        <v>111</v>
      </c>
      <c r="J4243" s="45" t="s">
        <v>205</v>
      </c>
      <c r="K4243" s="53" t="s">
        <v>15</v>
      </c>
      <c r="L4243" s="23">
        <v>3089</v>
      </c>
      <c r="M4243" s="24">
        <v>40</v>
      </c>
      <c r="N4243" s="25">
        <f t="shared" si="133"/>
        <v>123560</v>
      </c>
      <c r="O4243" s="24"/>
    </row>
    <row r="4244" spans="1:15" hidden="1" x14ac:dyDescent="0.3">
      <c r="A4244" s="24">
        <v>34</v>
      </c>
      <c r="B4244" s="20" t="str">
        <f t="shared" si="132"/>
        <v>AUG</v>
      </c>
      <c r="C4244" s="21">
        <v>46257</v>
      </c>
      <c r="D4244" s="22" t="str">
        <f>IFERROR(INDEX('Kode Outlet dan Target Toko'!$A:$A,MATCH($I4244,'Kode Outlet dan Target Toko'!$E:$E,0)),"")</f>
        <v>GRSM 5</v>
      </c>
      <c r="E4244" s="20" t="str">
        <f>IFERROR(VLOOKUP(I4244,KET!$B:$F,4,0),"")</f>
        <v>SUPRIYATI</v>
      </c>
      <c r="F4244" s="20" t="str">
        <f>IFERROR(VLOOKUP($I4244,KET!$B:$F,5,0),"")</f>
        <v>GMM</v>
      </c>
      <c r="G4244" s="20">
        <f>IFERROR(INDEX('Kode Outlet dan Target Toko'!$C:$C,MATCH($I4244,'Kode Outlet dan Target Toko'!$E:$E,0)),0)</f>
        <v>103274</v>
      </c>
      <c r="H4244" s="20">
        <f>IFERROR(INDEX('Kode Outlet dan Target Toko'!$D:$D,MATCH($I4244,'Kode Outlet dan Target Toko'!$E:$E,0)),0)</f>
        <v>1301399</v>
      </c>
      <c r="I4244" s="41" t="s">
        <v>111</v>
      </c>
      <c r="J4244" s="45" t="s">
        <v>205</v>
      </c>
      <c r="K4244" s="53" t="s">
        <v>14</v>
      </c>
      <c r="L4244" s="23">
        <v>3089</v>
      </c>
      <c r="M4244" s="24">
        <v>60</v>
      </c>
      <c r="N4244" s="25">
        <f t="shared" si="133"/>
        <v>185340</v>
      </c>
      <c r="O4244" s="24"/>
    </row>
    <row r="4245" spans="1:15" hidden="1" x14ac:dyDescent="0.3">
      <c r="A4245" s="24">
        <v>34</v>
      </c>
      <c r="B4245" s="20" t="str">
        <f t="shared" si="132"/>
        <v>AUG</v>
      </c>
      <c r="C4245" s="21">
        <v>46257</v>
      </c>
      <c r="D4245" s="22" t="str">
        <f>IFERROR(INDEX('Kode Outlet dan Target Toko'!$A:$A,MATCH($I4245,'Kode Outlet dan Target Toko'!$E:$E,0)),"")</f>
        <v>GRSM 5</v>
      </c>
      <c r="E4245" s="20" t="str">
        <f>IFERROR(VLOOKUP(I4245,KET!$B:$F,4,0),"")</f>
        <v>SUPRIYATI</v>
      </c>
      <c r="F4245" s="20" t="str">
        <f>IFERROR(VLOOKUP($I4245,KET!$B:$F,5,0),"")</f>
        <v>GMM</v>
      </c>
      <c r="G4245" s="20">
        <f>IFERROR(INDEX('Kode Outlet dan Target Toko'!$C:$C,MATCH($I4245,'Kode Outlet dan Target Toko'!$E:$E,0)),0)</f>
        <v>103274</v>
      </c>
      <c r="H4245" s="20">
        <f>IFERROR(INDEX('Kode Outlet dan Target Toko'!$D:$D,MATCH($I4245,'Kode Outlet dan Target Toko'!$E:$E,0)),0)</f>
        <v>1301399</v>
      </c>
      <c r="I4245" s="41" t="s">
        <v>111</v>
      </c>
      <c r="J4245" s="45" t="s">
        <v>205</v>
      </c>
      <c r="K4245" s="53" t="s">
        <v>13</v>
      </c>
      <c r="L4245" s="23">
        <v>3089</v>
      </c>
      <c r="M4245" s="24">
        <v>20</v>
      </c>
      <c r="N4245" s="25">
        <f t="shared" si="133"/>
        <v>61780</v>
      </c>
      <c r="O4245" s="24"/>
    </row>
    <row r="4246" spans="1:15" hidden="1" x14ac:dyDescent="0.3">
      <c r="A4246" s="24">
        <v>34</v>
      </c>
      <c r="B4246" s="20" t="str">
        <f t="shared" si="132"/>
        <v>AUG</v>
      </c>
      <c r="C4246" s="21">
        <v>46257</v>
      </c>
      <c r="D4246" s="22" t="str">
        <f>IFERROR(INDEX('Kode Outlet dan Target Toko'!$A:$A,MATCH($I4246,'Kode Outlet dan Target Toko'!$E:$E,0)),"")</f>
        <v>GRSM 5</v>
      </c>
      <c r="E4246" s="20" t="str">
        <f>IFERROR(VLOOKUP(I4246,KET!$B:$F,4,0),"")</f>
        <v>SUPRIYATI</v>
      </c>
      <c r="F4246" s="20" t="str">
        <f>IFERROR(VLOOKUP($I4246,KET!$B:$F,5,0),"")</f>
        <v>GMM</v>
      </c>
      <c r="G4246" s="20">
        <f>IFERROR(INDEX('Kode Outlet dan Target Toko'!$C:$C,MATCH($I4246,'Kode Outlet dan Target Toko'!$E:$E,0)),0)</f>
        <v>103274</v>
      </c>
      <c r="H4246" s="20">
        <f>IFERROR(INDEX('Kode Outlet dan Target Toko'!$D:$D,MATCH($I4246,'Kode Outlet dan Target Toko'!$E:$E,0)),0)</f>
        <v>1301399</v>
      </c>
      <c r="I4246" s="41" t="s">
        <v>111</v>
      </c>
      <c r="J4246" s="45" t="s">
        <v>205</v>
      </c>
      <c r="K4246" s="53" t="s">
        <v>16</v>
      </c>
      <c r="L4246" s="23">
        <v>3089</v>
      </c>
      <c r="M4246" s="24">
        <v>150</v>
      </c>
      <c r="N4246" s="25">
        <f t="shared" si="133"/>
        <v>463350</v>
      </c>
      <c r="O4246" s="24">
        <v>160</v>
      </c>
    </row>
    <row r="4247" spans="1:15" hidden="1" x14ac:dyDescent="0.3">
      <c r="A4247" s="24">
        <v>34</v>
      </c>
      <c r="B4247" s="20" t="str">
        <f t="shared" si="132"/>
        <v>AUG</v>
      </c>
      <c r="C4247" s="21">
        <v>46257</v>
      </c>
      <c r="D4247" s="22" t="str">
        <f>IFERROR(INDEX('Kode Outlet dan Target Toko'!$A:$A,MATCH($I4247,'Kode Outlet dan Target Toko'!$E:$E,0)),"")</f>
        <v>GRSM 5</v>
      </c>
      <c r="E4247" s="20" t="str">
        <f>IFERROR(VLOOKUP(I4247,KET!$B:$F,4,0),"")</f>
        <v>SUPRIYATI</v>
      </c>
      <c r="F4247" s="20" t="str">
        <f>IFERROR(VLOOKUP($I4247,KET!$B:$F,5,0),"")</f>
        <v>GMM</v>
      </c>
      <c r="G4247" s="20">
        <f>IFERROR(INDEX('Kode Outlet dan Target Toko'!$C:$C,MATCH($I4247,'Kode Outlet dan Target Toko'!$E:$E,0)),0)</f>
        <v>103274</v>
      </c>
      <c r="H4247" s="20">
        <f>IFERROR(INDEX('Kode Outlet dan Target Toko'!$D:$D,MATCH($I4247,'Kode Outlet dan Target Toko'!$E:$E,0)),0)</f>
        <v>1301399</v>
      </c>
      <c r="I4247" s="41" t="s">
        <v>111</v>
      </c>
      <c r="J4247" s="45" t="s">
        <v>206</v>
      </c>
      <c r="K4247" s="53" t="s">
        <v>15</v>
      </c>
      <c r="L4247" s="23">
        <v>3089</v>
      </c>
      <c r="M4247" s="24">
        <v>40</v>
      </c>
      <c r="N4247" s="25">
        <f t="shared" si="133"/>
        <v>123560</v>
      </c>
      <c r="O4247" s="24"/>
    </row>
    <row r="4248" spans="1:15" hidden="1" x14ac:dyDescent="0.3">
      <c r="A4248" s="24">
        <v>34</v>
      </c>
      <c r="B4248" s="20" t="str">
        <f t="shared" si="132"/>
        <v>AUG</v>
      </c>
      <c r="C4248" s="21">
        <v>46257</v>
      </c>
      <c r="D4248" s="22" t="str">
        <f>IFERROR(INDEX('Kode Outlet dan Target Toko'!$A:$A,MATCH($I4248,'Kode Outlet dan Target Toko'!$E:$E,0)),"")</f>
        <v>GRSM 5</v>
      </c>
      <c r="E4248" s="20" t="str">
        <f>IFERROR(VLOOKUP(I4248,KET!$B:$F,4,0),"")</f>
        <v>SUPRIYATI</v>
      </c>
      <c r="F4248" s="20" t="str">
        <f>IFERROR(VLOOKUP($I4248,KET!$B:$F,5,0),"")</f>
        <v>GMM</v>
      </c>
      <c r="G4248" s="20">
        <f>IFERROR(INDEX('Kode Outlet dan Target Toko'!$C:$C,MATCH($I4248,'Kode Outlet dan Target Toko'!$E:$E,0)),0)</f>
        <v>103274</v>
      </c>
      <c r="H4248" s="20">
        <f>IFERROR(INDEX('Kode Outlet dan Target Toko'!$D:$D,MATCH($I4248,'Kode Outlet dan Target Toko'!$E:$E,0)),0)</f>
        <v>1301399</v>
      </c>
      <c r="I4248" s="41" t="s">
        <v>111</v>
      </c>
      <c r="J4248" s="45" t="s">
        <v>206</v>
      </c>
      <c r="K4248" s="53" t="s">
        <v>14</v>
      </c>
      <c r="L4248" s="23">
        <v>3089</v>
      </c>
      <c r="M4248" s="24">
        <v>60</v>
      </c>
      <c r="N4248" s="25">
        <f t="shared" si="133"/>
        <v>185340</v>
      </c>
      <c r="O4248" s="24"/>
    </row>
    <row r="4249" spans="1:15" hidden="1" x14ac:dyDescent="0.3">
      <c r="A4249" s="24">
        <v>34</v>
      </c>
      <c r="B4249" s="20" t="str">
        <f t="shared" si="132"/>
        <v>AUG</v>
      </c>
      <c r="C4249" s="21">
        <v>46257</v>
      </c>
      <c r="D4249" s="22" t="str">
        <f>IFERROR(INDEX('Kode Outlet dan Target Toko'!$A:$A,MATCH($I4249,'Kode Outlet dan Target Toko'!$E:$E,0)),"")</f>
        <v>GRSM 5</v>
      </c>
      <c r="E4249" s="20" t="str">
        <f>IFERROR(VLOOKUP(I4249,KET!$B:$F,4,0),"")</f>
        <v>SUPRIYATI</v>
      </c>
      <c r="F4249" s="20" t="str">
        <f>IFERROR(VLOOKUP($I4249,KET!$B:$F,5,0),"")</f>
        <v>GMM</v>
      </c>
      <c r="G4249" s="20">
        <f>IFERROR(INDEX('Kode Outlet dan Target Toko'!$C:$C,MATCH($I4249,'Kode Outlet dan Target Toko'!$E:$E,0)),0)</f>
        <v>103274</v>
      </c>
      <c r="H4249" s="20">
        <f>IFERROR(INDEX('Kode Outlet dan Target Toko'!$D:$D,MATCH($I4249,'Kode Outlet dan Target Toko'!$E:$E,0)),0)</f>
        <v>1301399</v>
      </c>
      <c r="I4249" s="41" t="s">
        <v>111</v>
      </c>
      <c r="J4249" s="45" t="s">
        <v>206</v>
      </c>
      <c r="K4249" s="53" t="s">
        <v>13</v>
      </c>
      <c r="L4249" s="23">
        <v>3089</v>
      </c>
      <c r="M4249" s="24">
        <v>20</v>
      </c>
      <c r="N4249" s="25">
        <f t="shared" si="133"/>
        <v>61780</v>
      </c>
      <c r="O4249" s="24"/>
    </row>
    <row r="4250" spans="1:15" hidden="1" x14ac:dyDescent="0.3">
      <c r="A4250" s="24">
        <v>34</v>
      </c>
      <c r="B4250" s="20" t="str">
        <f t="shared" si="132"/>
        <v>AUG</v>
      </c>
      <c r="C4250" s="21">
        <v>46257</v>
      </c>
      <c r="D4250" s="22" t="str">
        <f>IFERROR(INDEX('Kode Outlet dan Target Toko'!$A:$A,MATCH($I4250,'Kode Outlet dan Target Toko'!$E:$E,0)),"")</f>
        <v>GRSM 5</v>
      </c>
      <c r="E4250" s="20" t="str">
        <f>IFERROR(VLOOKUP(I4250,KET!$B:$F,4,0),"")</f>
        <v>SUPRIYATI</v>
      </c>
      <c r="F4250" s="20" t="str">
        <f>IFERROR(VLOOKUP($I4250,KET!$B:$F,5,0),"")</f>
        <v>GMM</v>
      </c>
      <c r="G4250" s="20">
        <f>IFERROR(INDEX('Kode Outlet dan Target Toko'!$C:$C,MATCH($I4250,'Kode Outlet dan Target Toko'!$E:$E,0)),0)</f>
        <v>103274</v>
      </c>
      <c r="H4250" s="20">
        <f>IFERROR(INDEX('Kode Outlet dan Target Toko'!$D:$D,MATCH($I4250,'Kode Outlet dan Target Toko'!$E:$E,0)),0)</f>
        <v>1301399</v>
      </c>
      <c r="I4250" s="41" t="s">
        <v>111</v>
      </c>
      <c r="J4250" s="45" t="s">
        <v>206</v>
      </c>
      <c r="K4250" s="53" t="s">
        <v>16</v>
      </c>
      <c r="L4250" s="23">
        <v>3089</v>
      </c>
      <c r="M4250" s="24">
        <v>150</v>
      </c>
      <c r="N4250" s="25">
        <f t="shared" si="133"/>
        <v>463350</v>
      </c>
      <c r="O4250" s="24">
        <v>160</v>
      </c>
    </row>
    <row r="4251" spans="1:15" hidden="1" x14ac:dyDescent="0.3">
      <c r="A4251" s="24">
        <v>34</v>
      </c>
      <c r="B4251" s="20" t="str">
        <f t="shared" si="132"/>
        <v>AUG</v>
      </c>
      <c r="C4251" s="21">
        <v>46257</v>
      </c>
      <c r="D4251" s="22" t="str">
        <f>IFERROR(INDEX('Kode Outlet dan Target Toko'!$A:$A,MATCH($I4251,'Kode Outlet dan Target Toko'!$E:$E,0)),"")</f>
        <v>GRSM 5</v>
      </c>
      <c r="E4251" s="20" t="str">
        <f>IFERROR(VLOOKUP(I4251,KET!$B:$F,4,0),"")</f>
        <v>SUPRIYATI</v>
      </c>
      <c r="F4251" s="20" t="str">
        <f>IFERROR(VLOOKUP($I4251,KET!$B:$F,5,0),"")</f>
        <v>GMM</v>
      </c>
      <c r="G4251" s="20">
        <f>IFERROR(INDEX('Kode Outlet dan Target Toko'!$C:$C,MATCH($I4251,'Kode Outlet dan Target Toko'!$E:$E,0)),0)</f>
        <v>211050</v>
      </c>
      <c r="H4251" s="20">
        <f>IFERROR(INDEX('Kode Outlet dan Target Toko'!$D:$D,MATCH($I4251,'Kode Outlet dan Target Toko'!$E:$E,0)),0)</f>
        <v>2910733</v>
      </c>
      <c r="I4251" s="41" t="s">
        <v>93</v>
      </c>
      <c r="J4251" s="45" t="s">
        <v>226</v>
      </c>
      <c r="K4251" s="53" t="s">
        <v>15</v>
      </c>
      <c r="L4251" s="23">
        <v>3000</v>
      </c>
      <c r="M4251" s="24">
        <v>51</v>
      </c>
      <c r="N4251" s="25">
        <f t="shared" si="133"/>
        <v>153000</v>
      </c>
      <c r="O4251" s="24"/>
    </row>
    <row r="4252" spans="1:15" hidden="1" x14ac:dyDescent="0.3">
      <c r="A4252" s="24">
        <v>34</v>
      </c>
      <c r="B4252" s="20" t="str">
        <f t="shared" si="132"/>
        <v>AUG</v>
      </c>
      <c r="C4252" s="21">
        <v>46257</v>
      </c>
      <c r="D4252" s="22" t="str">
        <f>IFERROR(INDEX('Kode Outlet dan Target Toko'!$A:$A,MATCH($I4252,'Kode Outlet dan Target Toko'!$E:$E,0)),"")</f>
        <v>GRSM 5</v>
      </c>
      <c r="E4252" s="20" t="str">
        <f>IFERROR(VLOOKUP(I4252,KET!$B:$F,4,0),"")</f>
        <v>SUPRIYATI</v>
      </c>
      <c r="F4252" s="20" t="str">
        <f>IFERROR(VLOOKUP($I4252,KET!$B:$F,5,0),"")</f>
        <v>GMM</v>
      </c>
      <c r="G4252" s="20">
        <f>IFERROR(INDEX('Kode Outlet dan Target Toko'!$C:$C,MATCH($I4252,'Kode Outlet dan Target Toko'!$E:$E,0)),0)</f>
        <v>211050</v>
      </c>
      <c r="H4252" s="20">
        <f>IFERROR(INDEX('Kode Outlet dan Target Toko'!$D:$D,MATCH($I4252,'Kode Outlet dan Target Toko'!$E:$E,0)),0)</f>
        <v>2910733</v>
      </c>
      <c r="I4252" s="41" t="s">
        <v>93</v>
      </c>
      <c r="J4252" s="45" t="s">
        <v>226</v>
      </c>
      <c r="K4252" s="53" t="s">
        <v>14</v>
      </c>
      <c r="L4252" s="23">
        <v>3000</v>
      </c>
      <c r="M4252" s="24">
        <v>132</v>
      </c>
      <c r="N4252" s="25">
        <f t="shared" si="133"/>
        <v>396000</v>
      </c>
      <c r="O4252" s="24"/>
    </row>
    <row r="4253" spans="1:15" hidden="1" x14ac:dyDescent="0.3">
      <c r="A4253" s="24">
        <v>34</v>
      </c>
      <c r="B4253" s="20" t="str">
        <f t="shared" si="132"/>
        <v>AUG</v>
      </c>
      <c r="C4253" s="21">
        <v>46257</v>
      </c>
      <c r="D4253" s="22" t="str">
        <f>IFERROR(INDEX('Kode Outlet dan Target Toko'!$A:$A,MATCH($I4253,'Kode Outlet dan Target Toko'!$E:$E,0)),"")</f>
        <v>GRSM 5</v>
      </c>
      <c r="E4253" s="20" t="str">
        <f>IFERROR(VLOOKUP(I4253,KET!$B:$F,4,0),"")</f>
        <v>SUPRIYATI</v>
      </c>
      <c r="F4253" s="20" t="str">
        <f>IFERROR(VLOOKUP($I4253,KET!$B:$F,5,0),"")</f>
        <v>GMM</v>
      </c>
      <c r="G4253" s="20">
        <f>IFERROR(INDEX('Kode Outlet dan Target Toko'!$C:$C,MATCH($I4253,'Kode Outlet dan Target Toko'!$E:$E,0)),0)</f>
        <v>211050</v>
      </c>
      <c r="H4253" s="20">
        <f>IFERROR(INDEX('Kode Outlet dan Target Toko'!$D:$D,MATCH($I4253,'Kode Outlet dan Target Toko'!$E:$E,0)),0)</f>
        <v>2910733</v>
      </c>
      <c r="I4253" s="41" t="s">
        <v>93</v>
      </c>
      <c r="J4253" s="45" t="s">
        <v>226</v>
      </c>
      <c r="K4253" s="53" t="s">
        <v>13</v>
      </c>
      <c r="L4253" s="23">
        <v>3000</v>
      </c>
      <c r="M4253" s="24">
        <v>42</v>
      </c>
      <c r="N4253" s="25">
        <f t="shared" si="133"/>
        <v>126000</v>
      </c>
      <c r="O4253" s="24"/>
    </row>
    <row r="4254" spans="1:15" hidden="1" x14ac:dyDescent="0.3">
      <c r="A4254" s="24">
        <v>34</v>
      </c>
      <c r="B4254" s="20" t="str">
        <f t="shared" si="132"/>
        <v>AUG</v>
      </c>
      <c r="C4254" s="21">
        <v>46257</v>
      </c>
      <c r="D4254" s="22" t="str">
        <f>IFERROR(INDEX('Kode Outlet dan Target Toko'!$A:$A,MATCH($I4254,'Kode Outlet dan Target Toko'!$E:$E,0)),"")</f>
        <v>GRSM 5</v>
      </c>
      <c r="E4254" s="20" t="str">
        <f>IFERROR(VLOOKUP(I4254,KET!$B:$F,4,0),"")</f>
        <v>SUPRIYATI</v>
      </c>
      <c r="F4254" s="20" t="str">
        <f>IFERROR(VLOOKUP($I4254,KET!$B:$F,5,0),"")</f>
        <v>GMM</v>
      </c>
      <c r="G4254" s="20">
        <f>IFERROR(INDEX('Kode Outlet dan Target Toko'!$C:$C,MATCH($I4254,'Kode Outlet dan Target Toko'!$E:$E,0)),0)</f>
        <v>211050</v>
      </c>
      <c r="H4254" s="20">
        <f>IFERROR(INDEX('Kode Outlet dan Target Toko'!$D:$D,MATCH($I4254,'Kode Outlet dan Target Toko'!$E:$E,0)),0)</f>
        <v>2910733</v>
      </c>
      <c r="I4254" s="41" t="s">
        <v>93</v>
      </c>
      <c r="J4254" s="45" t="s">
        <v>226</v>
      </c>
      <c r="K4254" s="53" t="s">
        <v>16</v>
      </c>
      <c r="L4254" s="23">
        <v>3000</v>
      </c>
      <c r="M4254" s="24">
        <v>261</v>
      </c>
      <c r="N4254" s="25">
        <f t="shared" si="133"/>
        <v>783000</v>
      </c>
      <c r="O4254" s="24">
        <v>160</v>
      </c>
    </row>
    <row r="4255" spans="1:15" hidden="1" x14ac:dyDescent="0.3">
      <c r="A4255" s="24">
        <v>34</v>
      </c>
      <c r="B4255" s="20" t="str">
        <f t="shared" si="132"/>
        <v>AUG</v>
      </c>
      <c r="C4255" s="21">
        <v>46257</v>
      </c>
      <c r="D4255" s="22" t="str">
        <f>IFERROR(INDEX('Kode Outlet dan Target Toko'!$A:$A,MATCH($I4255,'Kode Outlet dan Target Toko'!$E:$E,0)),"")</f>
        <v>GRSM 5</v>
      </c>
      <c r="E4255" s="20" t="str">
        <f>IFERROR(VLOOKUP(I4255,KET!$B:$F,4,0),"")</f>
        <v>SUPRIYATI</v>
      </c>
      <c r="F4255" s="20" t="str">
        <f>IFERROR(VLOOKUP($I4255,KET!$B:$F,5,0),"")</f>
        <v>GMM</v>
      </c>
      <c r="G4255" s="20">
        <f>IFERROR(INDEX('Kode Outlet dan Target Toko'!$C:$C,MATCH($I4255,'Kode Outlet dan Target Toko'!$E:$E,0)),0)</f>
        <v>211050</v>
      </c>
      <c r="H4255" s="20">
        <f>IFERROR(INDEX('Kode Outlet dan Target Toko'!$D:$D,MATCH($I4255,'Kode Outlet dan Target Toko'!$E:$E,0)),0)</f>
        <v>2910733</v>
      </c>
      <c r="I4255" s="41" t="s">
        <v>93</v>
      </c>
      <c r="J4255" s="45" t="s">
        <v>227</v>
      </c>
      <c r="K4255" s="53" t="s">
        <v>15</v>
      </c>
      <c r="L4255" s="23">
        <v>3000</v>
      </c>
      <c r="M4255" s="24">
        <v>51</v>
      </c>
      <c r="N4255" s="25">
        <f t="shared" si="133"/>
        <v>153000</v>
      </c>
      <c r="O4255" s="24"/>
    </row>
    <row r="4256" spans="1:15" hidden="1" x14ac:dyDescent="0.3">
      <c r="A4256" s="24">
        <v>34</v>
      </c>
      <c r="B4256" s="20" t="str">
        <f t="shared" si="132"/>
        <v>AUG</v>
      </c>
      <c r="C4256" s="21">
        <v>46257</v>
      </c>
      <c r="D4256" s="22" t="str">
        <f>IFERROR(INDEX('Kode Outlet dan Target Toko'!$A:$A,MATCH($I4256,'Kode Outlet dan Target Toko'!$E:$E,0)),"")</f>
        <v>GRSM 5</v>
      </c>
      <c r="E4256" s="20" t="str">
        <f>IFERROR(VLOOKUP(I4256,KET!$B:$F,4,0),"")</f>
        <v>SUPRIYATI</v>
      </c>
      <c r="F4256" s="20" t="str">
        <f>IFERROR(VLOOKUP($I4256,KET!$B:$F,5,0),"")</f>
        <v>GMM</v>
      </c>
      <c r="G4256" s="20">
        <f>IFERROR(INDEX('Kode Outlet dan Target Toko'!$C:$C,MATCH($I4256,'Kode Outlet dan Target Toko'!$E:$E,0)),0)</f>
        <v>211050</v>
      </c>
      <c r="H4256" s="20">
        <f>IFERROR(INDEX('Kode Outlet dan Target Toko'!$D:$D,MATCH($I4256,'Kode Outlet dan Target Toko'!$E:$E,0)),0)</f>
        <v>2910733</v>
      </c>
      <c r="I4256" s="41" t="s">
        <v>93</v>
      </c>
      <c r="J4256" s="45" t="s">
        <v>227</v>
      </c>
      <c r="K4256" s="53" t="s">
        <v>14</v>
      </c>
      <c r="L4256" s="23">
        <v>3000</v>
      </c>
      <c r="M4256" s="24">
        <v>132</v>
      </c>
      <c r="N4256" s="25">
        <f t="shared" si="133"/>
        <v>396000</v>
      </c>
      <c r="O4256" s="24"/>
    </row>
    <row r="4257" spans="1:15" hidden="1" x14ac:dyDescent="0.3">
      <c r="A4257" s="24">
        <v>34</v>
      </c>
      <c r="B4257" s="20" t="str">
        <f t="shared" si="132"/>
        <v>AUG</v>
      </c>
      <c r="C4257" s="21">
        <v>46257</v>
      </c>
      <c r="D4257" s="22" t="str">
        <f>IFERROR(INDEX('Kode Outlet dan Target Toko'!$A:$A,MATCH($I4257,'Kode Outlet dan Target Toko'!$E:$E,0)),"")</f>
        <v>GRSM 5</v>
      </c>
      <c r="E4257" s="20" t="str">
        <f>IFERROR(VLOOKUP(I4257,KET!$B:$F,4,0),"")</f>
        <v>SUPRIYATI</v>
      </c>
      <c r="F4257" s="20" t="str">
        <f>IFERROR(VLOOKUP($I4257,KET!$B:$F,5,0),"")</f>
        <v>GMM</v>
      </c>
      <c r="G4257" s="20">
        <f>IFERROR(INDEX('Kode Outlet dan Target Toko'!$C:$C,MATCH($I4257,'Kode Outlet dan Target Toko'!$E:$E,0)),0)</f>
        <v>211050</v>
      </c>
      <c r="H4257" s="20">
        <f>IFERROR(INDEX('Kode Outlet dan Target Toko'!$D:$D,MATCH($I4257,'Kode Outlet dan Target Toko'!$E:$E,0)),0)</f>
        <v>2910733</v>
      </c>
      <c r="I4257" s="41" t="s">
        <v>93</v>
      </c>
      <c r="J4257" s="45" t="s">
        <v>227</v>
      </c>
      <c r="K4257" s="53" t="s">
        <v>13</v>
      </c>
      <c r="L4257" s="23">
        <v>3000</v>
      </c>
      <c r="M4257" s="24">
        <v>42</v>
      </c>
      <c r="N4257" s="25">
        <f t="shared" si="133"/>
        <v>126000</v>
      </c>
      <c r="O4257" s="24"/>
    </row>
    <row r="4258" spans="1:15" hidden="1" x14ac:dyDescent="0.3">
      <c r="A4258" s="24">
        <v>34</v>
      </c>
      <c r="B4258" s="20" t="str">
        <f t="shared" si="132"/>
        <v>AUG</v>
      </c>
      <c r="C4258" s="21">
        <v>46257</v>
      </c>
      <c r="D4258" s="22" t="str">
        <f>IFERROR(INDEX('Kode Outlet dan Target Toko'!$A:$A,MATCH($I4258,'Kode Outlet dan Target Toko'!$E:$E,0)),"")</f>
        <v>GRSM 5</v>
      </c>
      <c r="E4258" s="20" t="str">
        <f>IFERROR(VLOOKUP(I4258,KET!$B:$F,4,0),"")</f>
        <v>SUPRIYATI</v>
      </c>
      <c r="F4258" s="20" t="str">
        <f>IFERROR(VLOOKUP($I4258,KET!$B:$F,5,0),"")</f>
        <v>GMM</v>
      </c>
      <c r="G4258" s="20">
        <f>IFERROR(INDEX('Kode Outlet dan Target Toko'!$C:$C,MATCH($I4258,'Kode Outlet dan Target Toko'!$E:$E,0)),0)</f>
        <v>211050</v>
      </c>
      <c r="H4258" s="20">
        <f>IFERROR(INDEX('Kode Outlet dan Target Toko'!$D:$D,MATCH($I4258,'Kode Outlet dan Target Toko'!$E:$E,0)),0)</f>
        <v>2910733</v>
      </c>
      <c r="I4258" s="41" t="s">
        <v>93</v>
      </c>
      <c r="J4258" s="45" t="s">
        <v>227</v>
      </c>
      <c r="K4258" s="53" t="s">
        <v>16</v>
      </c>
      <c r="L4258" s="23">
        <v>3000</v>
      </c>
      <c r="M4258" s="24">
        <v>261</v>
      </c>
      <c r="N4258" s="25">
        <f t="shared" si="133"/>
        <v>783000</v>
      </c>
      <c r="O4258" s="24">
        <v>160</v>
      </c>
    </row>
    <row r="4259" spans="1:15" hidden="1" x14ac:dyDescent="0.3">
      <c r="A4259" s="24">
        <v>34</v>
      </c>
      <c r="B4259" s="20" t="str">
        <f t="shared" si="132"/>
        <v>AUG</v>
      </c>
      <c r="C4259" s="21">
        <v>46257</v>
      </c>
      <c r="D4259" s="22" t="str">
        <f>IFERROR(INDEX('Kode Outlet dan Target Toko'!$A:$A,MATCH($I4259,'Kode Outlet dan Target Toko'!$E:$E,0)),"")</f>
        <v>GRSM 5</v>
      </c>
      <c r="E4259" s="20" t="str">
        <f>IFERROR(VLOOKUP(I4259,KET!$B:$F,4,0),"")</f>
        <v>SUPRIYATI</v>
      </c>
      <c r="F4259" s="20" t="str">
        <f>IFERROR(VLOOKUP($I4259,KET!$B:$F,5,0),"")</f>
        <v>GMM</v>
      </c>
      <c r="G4259" s="20">
        <f>IFERROR(INDEX('Kode Outlet dan Target Toko'!$C:$C,MATCH($I4259,'Kode Outlet dan Target Toko'!$E:$E,0)),0)</f>
        <v>0</v>
      </c>
      <c r="H4259" s="20">
        <f>IFERROR(INDEX('Kode Outlet dan Target Toko'!$D:$D,MATCH($I4259,'Kode Outlet dan Target Toko'!$E:$E,0)),0)</f>
        <v>0</v>
      </c>
      <c r="I4259" s="41" t="s">
        <v>117</v>
      </c>
      <c r="J4259" s="45" t="s">
        <v>228</v>
      </c>
      <c r="K4259" s="53" t="s">
        <v>15</v>
      </c>
      <c r="L4259" s="23">
        <v>3200</v>
      </c>
      <c r="M4259" s="24">
        <v>55</v>
      </c>
      <c r="N4259" s="25">
        <f t="shared" si="133"/>
        <v>176000</v>
      </c>
      <c r="O4259" s="24"/>
    </row>
    <row r="4260" spans="1:15" hidden="1" x14ac:dyDescent="0.3">
      <c r="A4260" s="24">
        <v>34</v>
      </c>
      <c r="B4260" s="20" t="str">
        <f t="shared" si="132"/>
        <v>AUG</v>
      </c>
      <c r="C4260" s="21">
        <v>46257</v>
      </c>
      <c r="D4260" s="22" t="str">
        <f>IFERROR(INDEX('Kode Outlet dan Target Toko'!$A:$A,MATCH($I4260,'Kode Outlet dan Target Toko'!$E:$E,0)),"")</f>
        <v>GRSM 5</v>
      </c>
      <c r="E4260" s="20" t="str">
        <f>IFERROR(VLOOKUP(I4260,KET!$B:$F,4,0),"")</f>
        <v>SUPRIYATI</v>
      </c>
      <c r="F4260" s="20" t="str">
        <f>IFERROR(VLOOKUP($I4260,KET!$B:$F,5,0),"")</f>
        <v>GMM</v>
      </c>
      <c r="G4260" s="20">
        <f>IFERROR(INDEX('Kode Outlet dan Target Toko'!$C:$C,MATCH($I4260,'Kode Outlet dan Target Toko'!$E:$E,0)),0)</f>
        <v>0</v>
      </c>
      <c r="H4260" s="20">
        <f>IFERROR(INDEX('Kode Outlet dan Target Toko'!$D:$D,MATCH($I4260,'Kode Outlet dan Target Toko'!$E:$E,0)),0)</f>
        <v>0</v>
      </c>
      <c r="I4260" s="41" t="s">
        <v>117</v>
      </c>
      <c r="J4260" s="45" t="s">
        <v>228</v>
      </c>
      <c r="K4260" s="53" t="s">
        <v>14</v>
      </c>
      <c r="L4260" s="23">
        <v>3200</v>
      </c>
      <c r="M4260" s="24">
        <v>63</v>
      </c>
      <c r="N4260" s="25">
        <f t="shared" si="133"/>
        <v>201600</v>
      </c>
      <c r="O4260" s="24"/>
    </row>
    <row r="4261" spans="1:15" hidden="1" x14ac:dyDescent="0.3">
      <c r="A4261" s="24">
        <v>34</v>
      </c>
      <c r="B4261" s="20" t="str">
        <f t="shared" si="132"/>
        <v>AUG</v>
      </c>
      <c r="C4261" s="21">
        <v>46257</v>
      </c>
      <c r="D4261" s="22" t="str">
        <f>IFERROR(INDEX('Kode Outlet dan Target Toko'!$A:$A,MATCH($I4261,'Kode Outlet dan Target Toko'!$E:$E,0)),"")</f>
        <v>GRSM 5</v>
      </c>
      <c r="E4261" s="20" t="str">
        <f>IFERROR(VLOOKUP(I4261,KET!$B:$F,4,0),"")</f>
        <v>SUPRIYATI</v>
      </c>
      <c r="F4261" s="20" t="str">
        <f>IFERROR(VLOOKUP($I4261,KET!$B:$F,5,0),"")</f>
        <v>GMM</v>
      </c>
      <c r="G4261" s="20">
        <f>IFERROR(INDEX('Kode Outlet dan Target Toko'!$C:$C,MATCH($I4261,'Kode Outlet dan Target Toko'!$E:$E,0)),0)</f>
        <v>0</v>
      </c>
      <c r="H4261" s="20">
        <f>IFERROR(INDEX('Kode Outlet dan Target Toko'!$D:$D,MATCH($I4261,'Kode Outlet dan Target Toko'!$E:$E,0)),0)</f>
        <v>0</v>
      </c>
      <c r="I4261" s="41" t="s">
        <v>117</v>
      </c>
      <c r="J4261" s="45" t="s">
        <v>228</v>
      </c>
      <c r="K4261" s="53" t="s">
        <v>13</v>
      </c>
      <c r="L4261" s="23">
        <v>3200</v>
      </c>
      <c r="M4261" s="24">
        <v>52</v>
      </c>
      <c r="N4261" s="25">
        <f t="shared" si="133"/>
        <v>166400</v>
      </c>
      <c r="O4261" s="24"/>
    </row>
    <row r="4262" spans="1:15" hidden="1" x14ac:dyDescent="0.3">
      <c r="A4262" s="24">
        <v>34</v>
      </c>
      <c r="B4262" s="20" t="str">
        <f t="shared" si="132"/>
        <v>AUG</v>
      </c>
      <c r="C4262" s="21">
        <v>46257</v>
      </c>
      <c r="D4262" s="22" t="str">
        <f>IFERROR(INDEX('Kode Outlet dan Target Toko'!$A:$A,MATCH($I4262,'Kode Outlet dan Target Toko'!$E:$E,0)),"")</f>
        <v>GRSM 5</v>
      </c>
      <c r="E4262" s="20" t="str">
        <f>IFERROR(VLOOKUP(I4262,KET!$B:$F,4,0),"")</f>
        <v>SUPRIYATI</v>
      </c>
      <c r="F4262" s="20" t="str">
        <f>IFERROR(VLOOKUP($I4262,KET!$B:$F,5,0),"")</f>
        <v>GMM</v>
      </c>
      <c r="G4262" s="20">
        <f>IFERROR(INDEX('Kode Outlet dan Target Toko'!$C:$C,MATCH($I4262,'Kode Outlet dan Target Toko'!$E:$E,0)),0)</f>
        <v>0</v>
      </c>
      <c r="H4262" s="20">
        <f>IFERROR(INDEX('Kode Outlet dan Target Toko'!$D:$D,MATCH($I4262,'Kode Outlet dan Target Toko'!$E:$E,0)),0)</f>
        <v>0</v>
      </c>
      <c r="I4262" s="41" t="s">
        <v>117</v>
      </c>
      <c r="J4262" s="45" t="s">
        <v>228</v>
      </c>
      <c r="K4262" s="53" t="s">
        <v>16</v>
      </c>
      <c r="L4262" s="23">
        <v>3200</v>
      </c>
      <c r="M4262" s="24">
        <v>142</v>
      </c>
      <c r="N4262" s="25">
        <f t="shared" si="133"/>
        <v>454400</v>
      </c>
      <c r="O4262" s="24">
        <v>136</v>
      </c>
    </row>
    <row r="4263" spans="1:15" hidden="1" x14ac:dyDescent="0.3">
      <c r="A4263" s="24">
        <v>34</v>
      </c>
      <c r="B4263" s="20" t="str">
        <f t="shared" si="132"/>
        <v>AUG</v>
      </c>
      <c r="C4263" s="21">
        <v>46257</v>
      </c>
      <c r="D4263" s="22" t="str">
        <f>IFERROR(INDEX('Kode Outlet dan Target Toko'!$A:$A,MATCH($I4263,'Kode Outlet dan Target Toko'!$E:$E,0)),"")</f>
        <v>GRSM 5</v>
      </c>
      <c r="E4263" s="20" t="str">
        <f>IFERROR(VLOOKUP(I4263,KET!$B:$F,4,0),"")</f>
        <v>SUPRIYATI</v>
      </c>
      <c r="F4263" s="20" t="str">
        <f>IFERROR(VLOOKUP($I4263,KET!$B:$F,5,0),"")</f>
        <v>GMM</v>
      </c>
      <c r="G4263" s="20">
        <f>IFERROR(INDEX('Kode Outlet dan Target Toko'!$C:$C,MATCH($I4263,'Kode Outlet dan Target Toko'!$E:$E,0)),0)</f>
        <v>0</v>
      </c>
      <c r="H4263" s="20">
        <f>IFERROR(INDEX('Kode Outlet dan Target Toko'!$D:$D,MATCH($I4263,'Kode Outlet dan Target Toko'!$E:$E,0)),0)</f>
        <v>0</v>
      </c>
      <c r="I4263" s="41" t="s">
        <v>117</v>
      </c>
      <c r="J4263" s="45" t="s">
        <v>229</v>
      </c>
      <c r="K4263" s="53" t="s">
        <v>15</v>
      </c>
      <c r="L4263" s="23">
        <v>3200</v>
      </c>
      <c r="M4263" s="24">
        <v>55</v>
      </c>
      <c r="N4263" s="25">
        <f t="shared" si="133"/>
        <v>176000</v>
      </c>
      <c r="O4263" s="24"/>
    </row>
    <row r="4264" spans="1:15" hidden="1" x14ac:dyDescent="0.3">
      <c r="A4264" s="24">
        <v>34</v>
      </c>
      <c r="B4264" s="20" t="str">
        <f t="shared" si="132"/>
        <v>AUG</v>
      </c>
      <c r="C4264" s="21">
        <v>46257</v>
      </c>
      <c r="D4264" s="22" t="str">
        <f>IFERROR(INDEX('Kode Outlet dan Target Toko'!$A:$A,MATCH($I4264,'Kode Outlet dan Target Toko'!$E:$E,0)),"")</f>
        <v>GRSM 5</v>
      </c>
      <c r="E4264" s="20" t="str">
        <f>IFERROR(VLOOKUP(I4264,KET!$B:$F,4,0),"")</f>
        <v>SUPRIYATI</v>
      </c>
      <c r="F4264" s="20" t="str">
        <f>IFERROR(VLOOKUP($I4264,KET!$B:$F,5,0),"")</f>
        <v>GMM</v>
      </c>
      <c r="G4264" s="20">
        <f>IFERROR(INDEX('Kode Outlet dan Target Toko'!$C:$C,MATCH($I4264,'Kode Outlet dan Target Toko'!$E:$E,0)),0)</f>
        <v>0</v>
      </c>
      <c r="H4264" s="20">
        <f>IFERROR(INDEX('Kode Outlet dan Target Toko'!$D:$D,MATCH($I4264,'Kode Outlet dan Target Toko'!$E:$E,0)),0)</f>
        <v>0</v>
      </c>
      <c r="I4264" s="41" t="s">
        <v>117</v>
      </c>
      <c r="J4264" s="45" t="s">
        <v>229</v>
      </c>
      <c r="K4264" s="53" t="s">
        <v>14</v>
      </c>
      <c r="L4264" s="23">
        <v>3200</v>
      </c>
      <c r="M4264" s="24">
        <v>63</v>
      </c>
      <c r="N4264" s="25">
        <f t="shared" si="133"/>
        <v>201600</v>
      </c>
      <c r="O4264" s="24"/>
    </row>
    <row r="4265" spans="1:15" hidden="1" x14ac:dyDescent="0.3">
      <c r="A4265" s="24">
        <v>34</v>
      </c>
      <c r="B4265" s="20" t="str">
        <f t="shared" si="132"/>
        <v>AUG</v>
      </c>
      <c r="C4265" s="21">
        <v>46257</v>
      </c>
      <c r="D4265" s="22" t="str">
        <f>IFERROR(INDEX('Kode Outlet dan Target Toko'!$A:$A,MATCH($I4265,'Kode Outlet dan Target Toko'!$E:$E,0)),"")</f>
        <v>GRSM 5</v>
      </c>
      <c r="E4265" s="20" t="str">
        <f>IFERROR(VLOOKUP(I4265,KET!$B:$F,4,0),"")</f>
        <v>SUPRIYATI</v>
      </c>
      <c r="F4265" s="20" t="str">
        <f>IFERROR(VLOOKUP($I4265,KET!$B:$F,5,0),"")</f>
        <v>GMM</v>
      </c>
      <c r="G4265" s="20">
        <f>IFERROR(INDEX('Kode Outlet dan Target Toko'!$C:$C,MATCH($I4265,'Kode Outlet dan Target Toko'!$E:$E,0)),0)</f>
        <v>0</v>
      </c>
      <c r="H4265" s="20">
        <f>IFERROR(INDEX('Kode Outlet dan Target Toko'!$D:$D,MATCH($I4265,'Kode Outlet dan Target Toko'!$E:$E,0)),0)</f>
        <v>0</v>
      </c>
      <c r="I4265" s="41" t="s">
        <v>117</v>
      </c>
      <c r="J4265" s="45" t="s">
        <v>229</v>
      </c>
      <c r="K4265" s="53" t="s">
        <v>13</v>
      </c>
      <c r="L4265" s="23">
        <v>3200</v>
      </c>
      <c r="M4265" s="24">
        <v>52</v>
      </c>
      <c r="N4265" s="25">
        <f t="shared" si="133"/>
        <v>166400</v>
      </c>
      <c r="O4265" s="24"/>
    </row>
    <row r="4266" spans="1:15" hidden="1" x14ac:dyDescent="0.3">
      <c r="A4266" s="24">
        <v>34</v>
      </c>
      <c r="B4266" s="20" t="str">
        <f t="shared" si="132"/>
        <v>AUG</v>
      </c>
      <c r="C4266" s="21">
        <v>46257</v>
      </c>
      <c r="D4266" s="22" t="str">
        <f>IFERROR(INDEX('Kode Outlet dan Target Toko'!$A:$A,MATCH($I4266,'Kode Outlet dan Target Toko'!$E:$E,0)),"")</f>
        <v>GRSM 5</v>
      </c>
      <c r="E4266" s="20" t="str">
        <f>IFERROR(VLOOKUP(I4266,KET!$B:$F,4,0),"")</f>
        <v>SUPRIYATI</v>
      </c>
      <c r="F4266" s="20" t="str">
        <f>IFERROR(VLOOKUP($I4266,KET!$B:$F,5,0),"")</f>
        <v>GMM</v>
      </c>
      <c r="G4266" s="20">
        <f>IFERROR(INDEX('Kode Outlet dan Target Toko'!$C:$C,MATCH($I4266,'Kode Outlet dan Target Toko'!$E:$E,0)),0)</f>
        <v>0</v>
      </c>
      <c r="H4266" s="20">
        <f>IFERROR(INDEX('Kode Outlet dan Target Toko'!$D:$D,MATCH($I4266,'Kode Outlet dan Target Toko'!$E:$E,0)),0)</f>
        <v>0</v>
      </c>
      <c r="I4266" s="41" t="s">
        <v>117</v>
      </c>
      <c r="J4266" s="45" t="s">
        <v>229</v>
      </c>
      <c r="K4266" s="53" t="s">
        <v>16</v>
      </c>
      <c r="L4266" s="23">
        <v>3200</v>
      </c>
      <c r="M4266" s="24">
        <v>142</v>
      </c>
      <c r="N4266" s="25">
        <f t="shared" si="133"/>
        <v>454400</v>
      </c>
      <c r="O4266" s="24">
        <v>136</v>
      </c>
    </row>
    <row r="4267" spans="1:15" hidden="1" x14ac:dyDescent="0.3">
      <c r="A4267" s="24">
        <v>34</v>
      </c>
      <c r="B4267" s="20" t="str">
        <f t="shared" si="132"/>
        <v>AUG</v>
      </c>
      <c r="C4267" s="21">
        <v>46257</v>
      </c>
      <c r="D4267" s="22" t="str">
        <f>IFERROR(INDEX('Kode Outlet dan Target Toko'!$A:$A,MATCH($I4267,'Kode Outlet dan Target Toko'!$E:$E,0)),"")</f>
        <v>GRSM 5</v>
      </c>
      <c r="E4267" s="20" t="str">
        <f>IFERROR(VLOOKUP(I4267,KET!$B:$F,4,0),"")</f>
        <v>SUPRIYATI</v>
      </c>
      <c r="F4267" s="20" t="str">
        <f>IFERROR(VLOOKUP($I4267,KET!$B:$F,5,0),"")</f>
        <v>MT</v>
      </c>
      <c r="G4267" s="20">
        <f>IFERROR(INDEX('Kode Outlet dan Target Toko'!$C:$C,MATCH($I4267,'Kode Outlet dan Target Toko'!$E:$E,0)),0)</f>
        <v>166102</v>
      </c>
      <c r="H4267" s="20">
        <f>IFERROR(INDEX('Kode Outlet dan Target Toko'!$D:$D,MATCH($I4267,'Kode Outlet dan Target Toko'!$E:$E,0)),0)</f>
        <v>9000058</v>
      </c>
      <c r="I4267" s="41" t="s">
        <v>119</v>
      </c>
      <c r="J4267" s="45" t="s">
        <v>232</v>
      </c>
      <c r="K4267" s="53" t="s">
        <v>15</v>
      </c>
      <c r="L4267" s="23">
        <v>3178</v>
      </c>
      <c r="M4267" s="24">
        <v>145</v>
      </c>
      <c r="N4267" s="25">
        <f t="shared" si="133"/>
        <v>460810</v>
      </c>
      <c r="O4267" s="24"/>
    </row>
    <row r="4268" spans="1:15" hidden="1" x14ac:dyDescent="0.3">
      <c r="A4268" s="24">
        <v>34</v>
      </c>
      <c r="B4268" s="20" t="str">
        <f t="shared" si="132"/>
        <v>AUG</v>
      </c>
      <c r="C4268" s="21">
        <v>46257</v>
      </c>
      <c r="D4268" s="22" t="str">
        <f>IFERROR(INDEX('Kode Outlet dan Target Toko'!$A:$A,MATCH($I4268,'Kode Outlet dan Target Toko'!$E:$E,0)),"")</f>
        <v>GRSM 5</v>
      </c>
      <c r="E4268" s="20" t="str">
        <f>IFERROR(VLOOKUP(I4268,KET!$B:$F,4,0),"")</f>
        <v>SUPRIYATI</v>
      </c>
      <c r="F4268" s="20" t="str">
        <f>IFERROR(VLOOKUP($I4268,KET!$B:$F,5,0),"")</f>
        <v>MT</v>
      </c>
      <c r="G4268" s="20">
        <f>IFERROR(INDEX('Kode Outlet dan Target Toko'!$C:$C,MATCH($I4268,'Kode Outlet dan Target Toko'!$E:$E,0)),0)</f>
        <v>166102</v>
      </c>
      <c r="H4268" s="20">
        <f>IFERROR(INDEX('Kode Outlet dan Target Toko'!$D:$D,MATCH($I4268,'Kode Outlet dan Target Toko'!$E:$E,0)),0)</f>
        <v>9000058</v>
      </c>
      <c r="I4268" s="41" t="s">
        <v>119</v>
      </c>
      <c r="J4268" s="45" t="s">
        <v>232</v>
      </c>
      <c r="K4268" s="53" t="s">
        <v>14</v>
      </c>
      <c r="L4268" s="23">
        <v>3178</v>
      </c>
      <c r="M4268" s="24">
        <v>0</v>
      </c>
      <c r="N4268" s="25">
        <f t="shared" si="133"/>
        <v>0</v>
      </c>
      <c r="O4268" s="24"/>
    </row>
    <row r="4269" spans="1:15" hidden="1" x14ac:dyDescent="0.3">
      <c r="A4269" s="24">
        <v>34</v>
      </c>
      <c r="B4269" s="20" t="str">
        <f t="shared" si="132"/>
        <v>AUG</v>
      </c>
      <c r="C4269" s="21">
        <v>46257</v>
      </c>
      <c r="D4269" s="22" t="str">
        <f>IFERROR(INDEX('Kode Outlet dan Target Toko'!$A:$A,MATCH($I4269,'Kode Outlet dan Target Toko'!$E:$E,0)),"")</f>
        <v>GRSM 5</v>
      </c>
      <c r="E4269" s="20" t="str">
        <f>IFERROR(VLOOKUP(I4269,KET!$B:$F,4,0),"")</f>
        <v>SUPRIYATI</v>
      </c>
      <c r="F4269" s="20" t="str">
        <f>IFERROR(VLOOKUP($I4269,KET!$B:$F,5,0),"")</f>
        <v>MT</v>
      </c>
      <c r="G4269" s="20">
        <f>IFERROR(INDEX('Kode Outlet dan Target Toko'!$C:$C,MATCH($I4269,'Kode Outlet dan Target Toko'!$E:$E,0)),0)</f>
        <v>166102</v>
      </c>
      <c r="H4269" s="20">
        <f>IFERROR(INDEX('Kode Outlet dan Target Toko'!$D:$D,MATCH($I4269,'Kode Outlet dan Target Toko'!$E:$E,0)),0)</f>
        <v>9000058</v>
      </c>
      <c r="I4269" s="41" t="s">
        <v>119</v>
      </c>
      <c r="J4269" s="45" t="s">
        <v>232</v>
      </c>
      <c r="K4269" s="53" t="s">
        <v>13</v>
      </c>
      <c r="L4269" s="23">
        <v>3178</v>
      </c>
      <c r="M4269" s="24">
        <v>55</v>
      </c>
      <c r="N4269" s="25">
        <f t="shared" si="133"/>
        <v>174790</v>
      </c>
      <c r="O4269" s="24"/>
    </row>
    <row r="4270" spans="1:15" hidden="1" x14ac:dyDescent="0.3">
      <c r="A4270" s="24">
        <v>34</v>
      </c>
      <c r="B4270" s="20" t="str">
        <f t="shared" si="132"/>
        <v>AUG</v>
      </c>
      <c r="C4270" s="21">
        <v>46257</v>
      </c>
      <c r="D4270" s="22" t="str">
        <f>IFERROR(INDEX('Kode Outlet dan Target Toko'!$A:$A,MATCH($I4270,'Kode Outlet dan Target Toko'!$E:$E,0)),"")</f>
        <v>GRSM 5</v>
      </c>
      <c r="E4270" s="20" t="str">
        <f>IFERROR(VLOOKUP(I4270,KET!$B:$F,4,0),"")</f>
        <v>SUPRIYATI</v>
      </c>
      <c r="F4270" s="20" t="str">
        <f>IFERROR(VLOOKUP($I4270,KET!$B:$F,5,0),"")</f>
        <v>MT</v>
      </c>
      <c r="G4270" s="20">
        <f>IFERROR(INDEX('Kode Outlet dan Target Toko'!$C:$C,MATCH($I4270,'Kode Outlet dan Target Toko'!$E:$E,0)),0)</f>
        <v>166102</v>
      </c>
      <c r="H4270" s="20">
        <f>IFERROR(INDEX('Kode Outlet dan Target Toko'!$D:$D,MATCH($I4270,'Kode Outlet dan Target Toko'!$E:$E,0)),0)</f>
        <v>9000058</v>
      </c>
      <c r="I4270" s="41" t="s">
        <v>119</v>
      </c>
      <c r="J4270" s="45" t="s">
        <v>232</v>
      </c>
      <c r="K4270" s="53" t="s">
        <v>16</v>
      </c>
      <c r="L4270" s="23">
        <v>3178</v>
      </c>
      <c r="M4270" s="24">
        <v>165</v>
      </c>
      <c r="N4270" s="25">
        <f t="shared" si="133"/>
        <v>524370</v>
      </c>
      <c r="O4270" s="24">
        <v>160</v>
      </c>
    </row>
    <row r="4271" spans="1:15" hidden="1" x14ac:dyDescent="0.3">
      <c r="A4271" s="24">
        <v>34</v>
      </c>
      <c r="B4271" s="20" t="str">
        <f t="shared" si="132"/>
        <v>AUG</v>
      </c>
      <c r="C4271" s="21">
        <v>46257</v>
      </c>
      <c r="D4271" s="22" t="str">
        <f>IFERROR(INDEX('Kode Outlet dan Target Toko'!$A:$A,MATCH($I4271,'Kode Outlet dan Target Toko'!$E:$E,0)),"")</f>
        <v>GRSM 5</v>
      </c>
      <c r="E4271" s="20" t="str">
        <f>IFERROR(VLOOKUP(I4271,KET!$B:$F,4,0),"")</f>
        <v>SUPRIYATI</v>
      </c>
      <c r="F4271" s="20" t="str">
        <f>IFERROR(VLOOKUP($I4271,KET!$B:$F,5,0),"")</f>
        <v>MT</v>
      </c>
      <c r="G4271" s="20">
        <f>IFERROR(INDEX('Kode Outlet dan Target Toko'!$C:$C,MATCH($I4271,'Kode Outlet dan Target Toko'!$E:$E,0)),0)</f>
        <v>166102</v>
      </c>
      <c r="H4271" s="20">
        <f>IFERROR(INDEX('Kode Outlet dan Target Toko'!$D:$D,MATCH($I4271,'Kode Outlet dan Target Toko'!$E:$E,0)),0)</f>
        <v>9000058</v>
      </c>
      <c r="I4271" s="41" t="s">
        <v>119</v>
      </c>
      <c r="J4271" s="45" t="s">
        <v>233</v>
      </c>
      <c r="K4271" s="53" t="s">
        <v>15</v>
      </c>
      <c r="L4271" s="23">
        <v>3178</v>
      </c>
      <c r="M4271" s="24">
        <v>145</v>
      </c>
      <c r="N4271" s="25">
        <f t="shared" si="133"/>
        <v>460810</v>
      </c>
      <c r="O4271" s="24"/>
    </row>
    <row r="4272" spans="1:15" hidden="1" x14ac:dyDescent="0.3">
      <c r="A4272" s="24">
        <v>34</v>
      </c>
      <c r="B4272" s="20" t="str">
        <f t="shared" si="132"/>
        <v>AUG</v>
      </c>
      <c r="C4272" s="21">
        <v>46257</v>
      </c>
      <c r="D4272" s="22" t="str">
        <f>IFERROR(INDEX('Kode Outlet dan Target Toko'!$A:$A,MATCH($I4272,'Kode Outlet dan Target Toko'!$E:$E,0)),"")</f>
        <v>GRSM 5</v>
      </c>
      <c r="E4272" s="20" t="str">
        <f>IFERROR(VLOOKUP(I4272,KET!$B:$F,4,0),"")</f>
        <v>SUPRIYATI</v>
      </c>
      <c r="F4272" s="20" t="str">
        <f>IFERROR(VLOOKUP($I4272,KET!$B:$F,5,0),"")</f>
        <v>MT</v>
      </c>
      <c r="G4272" s="20">
        <f>IFERROR(INDEX('Kode Outlet dan Target Toko'!$C:$C,MATCH($I4272,'Kode Outlet dan Target Toko'!$E:$E,0)),0)</f>
        <v>166102</v>
      </c>
      <c r="H4272" s="20">
        <f>IFERROR(INDEX('Kode Outlet dan Target Toko'!$D:$D,MATCH($I4272,'Kode Outlet dan Target Toko'!$E:$E,0)),0)</f>
        <v>9000058</v>
      </c>
      <c r="I4272" s="41" t="s">
        <v>119</v>
      </c>
      <c r="J4272" s="45" t="s">
        <v>233</v>
      </c>
      <c r="K4272" s="53" t="s">
        <v>14</v>
      </c>
      <c r="L4272" s="23">
        <v>3178</v>
      </c>
      <c r="M4272" s="24">
        <v>0</v>
      </c>
      <c r="N4272" s="25">
        <f t="shared" si="133"/>
        <v>0</v>
      </c>
      <c r="O4272" s="24"/>
    </row>
    <row r="4273" spans="1:15" hidden="1" x14ac:dyDescent="0.3">
      <c r="A4273" s="24">
        <v>34</v>
      </c>
      <c r="B4273" s="20" t="str">
        <f t="shared" si="132"/>
        <v>AUG</v>
      </c>
      <c r="C4273" s="21">
        <v>46257</v>
      </c>
      <c r="D4273" s="22" t="str">
        <f>IFERROR(INDEX('Kode Outlet dan Target Toko'!$A:$A,MATCH($I4273,'Kode Outlet dan Target Toko'!$E:$E,0)),"")</f>
        <v>GRSM 5</v>
      </c>
      <c r="E4273" s="20" t="str">
        <f>IFERROR(VLOOKUP(I4273,KET!$B:$F,4,0),"")</f>
        <v>SUPRIYATI</v>
      </c>
      <c r="F4273" s="20" t="str">
        <f>IFERROR(VLOOKUP($I4273,KET!$B:$F,5,0),"")</f>
        <v>MT</v>
      </c>
      <c r="G4273" s="20">
        <f>IFERROR(INDEX('Kode Outlet dan Target Toko'!$C:$C,MATCH($I4273,'Kode Outlet dan Target Toko'!$E:$E,0)),0)</f>
        <v>166102</v>
      </c>
      <c r="H4273" s="20">
        <f>IFERROR(INDEX('Kode Outlet dan Target Toko'!$D:$D,MATCH($I4273,'Kode Outlet dan Target Toko'!$E:$E,0)),0)</f>
        <v>9000058</v>
      </c>
      <c r="I4273" s="41" t="s">
        <v>119</v>
      </c>
      <c r="J4273" s="45" t="s">
        <v>233</v>
      </c>
      <c r="K4273" s="53" t="s">
        <v>13</v>
      </c>
      <c r="L4273" s="23">
        <v>3178</v>
      </c>
      <c r="M4273" s="24">
        <v>55</v>
      </c>
      <c r="N4273" s="25">
        <f t="shared" si="133"/>
        <v>174790</v>
      </c>
      <c r="O4273" s="24"/>
    </row>
    <row r="4274" spans="1:15" hidden="1" x14ac:dyDescent="0.3">
      <c r="A4274" s="24">
        <v>34</v>
      </c>
      <c r="B4274" s="20" t="str">
        <f t="shared" si="132"/>
        <v>AUG</v>
      </c>
      <c r="C4274" s="21">
        <v>46257</v>
      </c>
      <c r="D4274" s="22" t="str">
        <f>IFERROR(INDEX('Kode Outlet dan Target Toko'!$A:$A,MATCH($I4274,'Kode Outlet dan Target Toko'!$E:$E,0)),"")</f>
        <v>GRSM 5</v>
      </c>
      <c r="E4274" s="20" t="str">
        <f>IFERROR(VLOOKUP(I4274,KET!$B:$F,4,0),"")</f>
        <v>SUPRIYATI</v>
      </c>
      <c r="F4274" s="20" t="str">
        <f>IFERROR(VLOOKUP($I4274,KET!$B:$F,5,0),"")</f>
        <v>MT</v>
      </c>
      <c r="G4274" s="20">
        <f>IFERROR(INDEX('Kode Outlet dan Target Toko'!$C:$C,MATCH($I4274,'Kode Outlet dan Target Toko'!$E:$E,0)),0)</f>
        <v>166102</v>
      </c>
      <c r="H4274" s="20">
        <f>IFERROR(INDEX('Kode Outlet dan Target Toko'!$D:$D,MATCH($I4274,'Kode Outlet dan Target Toko'!$E:$E,0)),0)</f>
        <v>9000058</v>
      </c>
      <c r="I4274" s="41" t="s">
        <v>119</v>
      </c>
      <c r="J4274" s="45" t="s">
        <v>233</v>
      </c>
      <c r="K4274" s="53" t="s">
        <v>16</v>
      </c>
      <c r="L4274" s="23">
        <v>3178</v>
      </c>
      <c r="M4274" s="24">
        <v>165</v>
      </c>
      <c r="N4274" s="25">
        <f t="shared" si="133"/>
        <v>524370</v>
      </c>
      <c r="O4274" s="24">
        <v>160</v>
      </c>
    </row>
    <row r="4275" spans="1:15" hidden="1" x14ac:dyDescent="0.3">
      <c r="A4275" s="24">
        <v>34</v>
      </c>
      <c r="B4275" s="20" t="str">
        <f t="shared" si="132"/>
        <v>AUG</v>
      </c>
      <c r="C4275" s="21">
        <v>46257</v>
      </c>
      <c r="D4275" s="22" t="str">
        <f>IFERROR(INDEX('Kode Outlet dan Target Toko'!$A:$A,MATCH($I4275,'Kode Outlet dan Target Toko'!$E:$E,0)),"")</f>
        <v>GRSM 5</v>
      </c>
      <c r="E4275" s="20" t="str">
        <f>IFERROR(VLOOKUP(I4275,KET!$B:$F,4,0),"")</f>
        <v>SUPRIYATI</v>
      </c>
      <c r="F4275" s="20" t="str">
        <f>IFERROR(VLOOKUP($I4275,KET!$B:$F,5,0),"")</f>
        <v>GMM</v>
      </c>
      <c r="G4275" s="20">
        <f>IFERROR(INDEX('Kode Outlet dan Target Toko'!$C:$C,MATCH($I4275,'Kode Outlet dan Target Toko'!$E:$E,0)),0)</f>
        <v>211051</v>
      </c>
      <c r="H4275" s="20">
        <f>IFERROR(INDEX('Kode Outlet dan Target Toko'!$D:$D,MATCH($I4275,'Kode Outlet dan Target Toko'!$E:$E,0)),0)</f>
        <v>5580008</v>
      </c>
      <c r="I4275" s="41" t="s">
        <v>88</v>
      </c>
      <c r="J4275" s="45" t="s">
        <v>204</v>
      </c>
      <c r="K4275" s="53" t="s">
        <v>15</v>
      </c>
      <c r="L4275" s="23">
        <v>3000</v>
      </c>
      <c r="M4275" s="24">
        <v>134</v>
      </c>
      <c r="N4275" s="25">
        <f t="shared" si="133"/>
        <v>402000</v>
      </c>
      <c r="O4275" s="24"/>
    </row>
    <row r="4276" spans="1:15" hidden="1" x14ac:dyDescent="0.3">
      <c r="A4276" s="24">
        <v>34</v>
      </c>
      <c r="B4276" s="20" t="str">
        <f t="shared" si="132"/>
        <v>AUG</v>
      </c>
      <c r="C4276" s="21">
        <v>46257</v>
      </c>
      <c r="D4276" s="22" t="str">
        <f>IFERROR(INDEX('Kode Outlet dan Target Toko'!$A:$A,MATCH($I4276,'Kode Outlet dan Target Toko'!$E:$E,0)),"")</f>
        <v>GRSM 5</v>
      </c>
      <c r="E4276" s="20" t="str">
        <f>IFERROR(VLOOKUP(I4276,KET!$B:$F,4,0),"")</f>
        <v>SUPRIYATI</v>
      </c>
      <c r="F4276" s="20" t="str">
        <f>IFERROR(VLOOKUP($I4276,KET!$B:$F,5,0),"")</f>
        <v>GMM</v>
      </c>
      <c r="G4276" s="20">
        <f>IFERROR(INDEX('Kode Outlet dan Target Toko'!$C:$C,MATCH($I4276,'Kode Outlet dan Target Toko'!$E:$E,0)),0)</f>
        <v>211051</v>
      </c>
      <c r="H4276" s="20">
        <f>IFERROR(INDEX('Kode Outlet dan Target Toko'!$D:$D,MATCH($I4276,'Kode Outlet dan Target Toko'!$E:$E,0)),0)</f>
        <v>5580008</v>
      </c>
      <c r="I4276" s="41" t="s">
        <v>88</v>
      </c>
      <c r="J4276" s="45" t="s">
        <v>204</v>
      </c>
      <c r="K4276" s="53" t="s">
        <v>14</v>
      </c>
      <c r="L4276" s="23">
        <v>3000</v>
      </c>
      <c r="M4276" s="24">
        <v>82</v>
      </c>
      <c r="N4276" s="25">
        <f t="shared" si="133"/>
        <v>246000</v>
      </c>
      <c r="O4276" s="24"/>
    </row>
    <row r="4277" spans="1:15" hidden="1" x14ac:dyDescent="0.3">
      <c r="A4277" s="24">
        <v>34</v>
      </c>
      <c r="B4277" s="20" t="str">
        <f t="shared" si="132"/>
        <v>AUG</v>
      </c>
      <c r="C4277" s="21">
        <v>46257</v>
      </c>
      <c r="D4277" s="22" t="str">
        <f>IFERROR(INDEX('Kode Outlet dan Target Toko'!$A:$A,MATCH($I4277,'Kode Outlet dan Target Toko'!$E:$E,0)),"")</f>
        <v>GRSM 5</v>
      </c>
      <c r="E4277" s="20" t="str">
        <f>IFERROR(VLOOKUP(I4277,KET!$B:$F,4,0),"")</f>
        <v>SUPRIYATI</v>
      </c>
      <c r="F4277" s="20" t="str">
        <f>IFERROR(VLOOKUP($I4277,KET!$B:$F,5,0),"")</f>
        <v>GMM</v>
      </c>
      <c r="G4277" s="20">
        <f>IFERROR(INDEX('Kode Outlet dan Target Toko'!$C:$C,MATCH($I4277,'Kode Outlet dan Target Toko'!$E:$E,0)),0)</f>
        <v>211051</v>
      </c>
      <c r="H4277" s="20">
        <f>IFERROR(INDEX('Kode Outlet dan Target Toko'!$D:$D,MATCH($I4277,'Kode Outlet dan Target Toko'!$E:$E,0)),0)</f>
        <v>5580008</v>
      </c>
      <c r="I4277" s="41" t="s">
        <v>88</v>
      </c>
      <c r="J4277" s="45" t="s">
        <v>204</v>
      </c>
      <c r="K4277" s="53" t="s">
        <v>13</v>
      </c>
      <c r="L4277" s="23">
        <v>3000</v>
      </c>
      <c r="M4277" s="24">
        <v>32</v>
      </c>
      <c r="N4277" s="25">
        <f t="shared" si="133"/>
        <v>96000</v>
      </c>
      <c r="O4277" s="24"/>
    </row>
    <row r="4278" spans="1:15" hidden="1" x14ac:dyDescent="0.3">
      <c r="A4278" s="24">
        <v>34</v>
      </c>
      <c r="B4278" s="20" t="str">
        <f t="shared" si="132"/>
        <v>AUG</v>
      </c>
      <c r="C4278" s="21">
        <v>46257</v>
      </c>
      <c r="D4278" s="22" t="str">
        <f>IFERROR(INDEX('Kode Outlet dan Target Toko'!$A:$A,MATCH($I4278,'Kode Outlet dan Target Toko'!$E:$E,0)),"")</f>
        <v>GRSM 5</v>
      </c>
      <c r="E4278" s="20" t="str">
        <f>IFERROR(VLOOKUP(I4278,KET!$B:$F,4,0),"")</f>
        <v>SUPRIYATI</v>
      </c>
      <c r="F4278" s="20" t="str">
        <f>IFERROR(VLOOKUP($I4278,KET!$B:$F,5,0),"")</f>
        <v>GMM</v>
      </c>
      <c r="G4278" s="20">
        <f>IFERROR(INDEX('Kode Outlet dan Target Toko'!$C:$C,MATCH($I4278,'Kode Outlet dan Target Toko'!$E:$E,0)),0)</f>
        <v>211051</v>
      </c>
      <c r="H4278" s="20">
        <f>IFERROR(INDEX('Kode Outlet dan Target Toko'!$D:$D,MATCH($I4278,'Kode Outlet dan Target Toko'!$E:$E,0)),0)</f>
        <v>5580008</v>
      </c>
      <c r="I4278" s="41" t="s">
        <v>88</v>
      </c>
      <c r="J4278" s="45" t="s">
        <v>204</v>
      </c>
      <c r="K4278" s="53" t="s">
        <v>16</v>
      </c>
      <c r="L4278" s="23">
        <v>3000</v>
      </c>
      <c r="M4278" s="24">
        <v>226</v>
      </c>
      <c r="N4278" s="25">
        <f t="shared" si="133"/>
        <v>678000</v>
      </c>
      <c r="O4278" s="24">
        <v>160</v>
      </c>
    </row>
    <row r="4279" spans="1:15" hidden="1" x14ac:dyDescent="0.3">
      <c r="A4279" s="24">
        <v>34</v>
      </c>
      <c r="B4279" s="20" t="str">
        <f t="shared" si="132"/>
        <v>AUG</v>
      </c>
      <c r="C4279" s="21">
        <v>46257</v>
      </c>
      <c r="D4279" s="22" t="str">
        <f>IFERROR(INDEX('Kode Outlet dan Target Toko'!$A:$A,MATCH($I4279,'Kode Outlet dan Target Toko'!$E:$E,0)),"")</f>
        <v>GRSM 5</v>
      </c>
      <c r="E4279" s="20" t="str">
        <f>IFERROR(VLOOKUP(I4279,KET!$B:$F,4,0),"")</f>
        <v>SUPRIYATI</v>
      </c>
      <c r="F4279" s="20" t="str">
        <f>IFERROR(VLOOKUP($I4279,KET!$B:$F,5,0),"")</f>
        <v>GMM</v>
      </c>
      <c r="G4279" s="20">
        <f>IFERROR(INDEX('Kode Outlet dan Target Toko'!$C:$C,MATCH($I4279,'Kode Outlet dan Target Toko'!$E:$E,0)),0)</f>
        <v>211051</v>
      </c>
      <c r="H4279" s="20">
        <f>IFERROR(INDEX('Kode Outlet dan Target Toko'!$D:$D,MATCH($I4279,'Kode Outlet dan Target Toko'!$E:$E,0)),0)</f>
        <v>5580008</v>
      </c>
      <c r="I4279" s="41" t="s">
        <v>88</v>
      </c>
      <c r="J4279" s="45" t="s">
        <v>203</v>
      </c>
      <c r="K4279" s="53" t="s">
        <v>15</v>
      </c>
      <c r="L4279" s="23">
        <v>3000</v>
      </c>
      <c r="M4279" s="24">
        <v>134</v>
      </c>
      <c r="N4279" s="25">
        <f t="shared" si="133"/>
        <v>402000</v>
      </c>
      <c r="O4279" s="24"/>
    </row>
    <row r="4280" spans="1:15" hidden="1" x14ac:dyDescent="0.3">
      <c r="A4280" s="24">
        <v>34</v>
      </c>
      <c r="B4280" s="20" t="str">
        <f t="shared" si="132"/>
        <v>AUG</v>
      </c>
      <c r="C4280" s="21">
        <v>46257</v>
      </c>
      <c r="D4280" s="22" t="str">
        <f>IFERROR(INDEX('Kode Outlet dan Target Toko'!$A:$A,MATCH($I4280,'Kode Outlet dan Target Toko'!$E:$E,0)),"")</f>
        <v>GRSM 5</v>
      </c>
      <c r="E4280" s="20" t="str">
        <f>IFERROR(VLOOKUP(I4280,KET!$B:$F,4,0),"")</f>
        <v>SUPRIYATI</v>
      </c>
      <c r="F4280" s="20" t="str">
        <f>IFERROR(VLOOKUP($I4280,KET!$B:$F,5,0),"")</f>
        <v>GMM</v>
      </c>
      <c r="G4280" s="20">
        <f>IFERROR(INDEX('Kode Outlet dan Target Toko'!$C:$C,MATCH($I4280,'Kode Outlet dan Target Toko'!$E:$E,0)),0)</f>
        <v>211051</v>
      </c>
      <c r="H4280" s="20">
        <f>IFERROR(INDEX('Kode Outlet dan Target Toko'!$D:$D,MATCH($I4280,'Kode Outlet dan Target Toko'!$E:$E,0)),0)</f>
        <v>5580008</v>
      </c>
      <c r="I4280" s="41" t="s">
        <v>88</v>
      </c>
      <c r="J4280" s="45" t="s">
        <v>203</v>
      </c>
      <c r="K4280" s="53" t="s">
        <v>14</v>
      </c>
      <c r="L4280" s="23">
        <v>3000</v>
      </c>
      <c r="M4280" s="24">
        <v>82</v>
      </c>
      <c r="N4280" s="25">
        <f t="shared" si="133"/>
        <v>246000</v>
      </c>
      <c r="O4280" s="24"/>
    </row>
    <row r="4281" spans="1:15" hidden="1" x14ac:dyDescent="0.3">
      <c r="A4281" s="24">
        <v>34</v>
      </c>
      <c r="B4281" s="20" t="str">
        <f t="shared" si="132"/>
        <v>AUG</v>
      </c>
      <c r="C4281" s="21">
        <v>46257</v>
      </c>
      <c r="D4281" s="22" t="str">
        <f>IFERROR(INDEX('Kode Outlet dan Target Toko'!$A:$A,MATCH($I4281,'Kode Outlet dan Target Toko'!$E:$E,0)),"")</f>
        <v>GRSM 5</v>
      </c>
      <c r="E4281" s="20" t="str">
        <f>IFERROR(VLOOKUP(I4281,KET!$B:$F,4,0),"")</f>
        <v>SUPRIYATI</v>
      </c>
      <c r="F4281" s="20" t="str">
        <f>IFERROR(VLOOKUP($I4281,KET!$B:$F,5,0),"")</f>
        <v>GMM</v>
      </c>
      <c r="G4281" s="20">
        <f>IFERROR(INDEX('Kode Outlet dan Target Toko'!$C:$C,MATCH($I4281,'Kode Outlet dan Target Toko'!$E:$E,0)),0)</f>
        <v>211051</v>
      </c>
      <c r="H4281" s="20">
        <f>IFERROR(INDEX('Kode Outlet dan Target Toko'!$D:$D,MATCH($I4281,'Kode Outlet dan Target Toko'!$E:$E,0)),0)</f>
        <v>5580008</v>
      </c>
      <c r="I4281" s="41" t="s">
        <v>88</v>
      </c>
      <c r="J4281" s="45" t="s">
        <v>203</v>
      </c>
      <c r="K4281" s="53" t="s">
        <v>13</v>
      </c>
      <c r="L4281" s="23">
        <v>3000</v>
      </c>
      <c r="M4281" s="24">
        <v>32</v>
      </c>
      <c r="N4281" s="25">
        <f t="shared" si="133"/>
        <v>96000</v>
      </c>
      <c r="O4281" s="24"/>
    </row>
    <row r="4282" spans="1:15" hidden="1" x14ac:dyDescent="0.3">
      <c r="A4282" s="24">
        <v>34</v>
      </c>
      <c r="B4282" s="20" t="str">
        <f t="shared" si="132"/>
        <v>AUG</v>
      </c>
      <c r="C4282" s="21">
        <v>46257</v>
      </c>
      <c r="D4282" s="22" t="str">
        <f>IFERROR(INDEX('Kode Outlet dan Target Toko'!$A:$A,MATCH($I4282,'Kode Outlet dan Target Toko'!$E:$E,0)),"")</f>
        <v>GRSM 5</v>
      </c>
      <c r="E4282" s="20" t="str">
        <f>IFERROR(VLOOKUP(I4282,KET!$B:$F,4,0),"")</f>
        <v>SUPRIYATI</v>
      </c>
      <c r="F4282" s="20" t="str">
        <f>IFERROR(VLOOKUP($I4282,KET!$B:$F,5,0),"")</f>
        <v>GMM</v>
      </c>
      <c r="G4282" s="20">
        <f>IFERROR(INDEX('Kode Outlet dan Target Toko'!$C:$C,MATCH($I4282,'Kode Outlet dan Target Toko'!$E:$E,0)),0)</f>
        <v>211051</v>
      </c>
      <c r="H4282" s="20">
        <f>IFERROR(INDEX('Kode Outlet dan Target Toko'!$D:$D,MATCH($I4282,'Kode Outlet dan Target Toko'!$E:$E,0)),0)</f>
        <v>5580008</v>
      </c>
      <c r="I4282" s="41" t="s">
        <v>88</v>
      </c>
      <c r="J4282" s="45" t="s">
        <v>203</v>
      </c>
      <c r="K4282" s="53" t="s">
        <v>16</v>
      </c>
      <c r="L4282" s="23">
        <v>3000</v>
      </c>
      <c r="M4282" s="24">
        <v>226</v>
      </c>
      <c r="N4282" s="25">
        <f t="shared" si="133"/>
        <v>678000</v>
      </c>
      <c r="O4282" s="24">
        <v>160</v>
      </c>
    </row>
    <row r="4283" spans="1:15" hidden="1" x14ac:dyDescent="0.3">
      <c r="A4283" s="24">
        <v>34</v>
      </c>
      <c r="B4283" s="20" t="str">
        <f t="shared" si="132"/>
        <v>AUG</v>
      </c>
      <c r="C4283" s="21">
        <v>46257</v>
      </c>
      <c r="D4283" s="22" t="str">
        <f>IFERROR(INDEX('Kode Outlet dan Target Toko'!$A:$A,MATCH($I4283,'Kode Outlet dan Target Toko'!$E:$E,0)),"")</f>
        <v>GRSM 5</v>
      </c>
      <c r="E4283" s="20" t="str">
        <f>IFERROR(VLOOKUP(I4283,KET!$B:$F,4,0),"")</f>
        <v>SUPRIYATI</v>
      </c>
      <c r="F4283" s="20" t="str">
        <f>IFERROR(VLOOKUP($I4283,KET!$B:$F,5,0),"")</f>
        <v>GMM</v>
      </c>
      <c r="G4283" s="20">
        <f>IFERROR(INDEX('Kode Outlet dan Target Toko'!$C:$C,MATCH($I4283,'Kode Outlet dan Target Toko'!$E:$E,0)),0)</f>
        <v>0</v>
      </c>
      <c r="H4283" s="20">
        <f>IFERROR(INDEX('Kode Outlet dan Target Toko'!$D:$D,MATCH($I4283,'Kode Outlet dan Target Toko'!$E:$E,0)),0)</f>
        <v>0</v>
      </c>
      <c r="I4283" s="41" t="s">
        <v>124</v>
      </c>
      <c r="J4283" s="45" t="s">
        <v>237</v>
      </c>
      <c r="K4283" s="53" t="s">
        <v>15</v>
      </c>
      <c r="L4283" s="23">
        <v>2950</v>
      </c>
      <c r="M4283" s="24">
        <v>0</v>
      </c>
      <c r="N4283" s="25">
        <f t="shared" si="133"/>
        <v>0</v>
      </c>
      <c r="O4283" s="24"/>
    </row>
    <row r="4284" spans="1:15" hidden="1" x14ac:dyDescent="0.3">
      <c r="A4284" s="24">
        <v>34</v>
      </c>
      <c r="B4284" s="20" t="str">
        <f t="shared" si="132"/>
        <v>AUG</v>
      </c>
      <c r="C4284" s="21">
        <v>46257</v>
      </c>
      <c r="D4284" s="22" t="str">
        <f>IFERROR(INDEX('Kode Outlet dan Target Toko'!$A:$A,MATCH($I4284,'Kode Outlet dan Target Toko'!$E:$E,0)),"")</f>
        <v>GRSM 5</v>
      </c>
      <c r="E4284" s="20" t="str">
        <f>IFERROR(VLOOKUP(I4284,KET!$B:$F,4,0),"")</f>
        <v>SUPRIYATI</v>
      </c>
      <c r="F4284" s="20" t="str">
        <f>IFERROR(VLOOKUP($I4284,KET!$B:$F,5,0),"")</f>
        <v>GMM</v>
      </c>
      <c r="G4284" s="20">
        <f>IFERROR(INDEX('Kode Outlet dan Target Toko'!$C:$C,MATCH($I4284,'Kode Outlet dan Target Toko'!$E:$E,0)),0)</f>
        <v>0</v>
      </c>
      <c r="H4284" s="20">
        <f>IFERROR(INDEX('Kode Outlet dan Target Toko'!$D:$D,MATCH($I4284,'Kode Outlet dan Target Toko'!$E:$E,0)),0)</f>
        <v>0</v>
      </c>
      <c r="I4284" s="41" t="s">
        <v>124</v>
      </c>
      <c r="J4284" s="45" t="s">
        <v>237</v>
      </c>
      <c r="K4284" s="53" t="s">
        <v>14</v>
      </c>
      <c r="L4284" s="23">
        <v>2950</v>
      </c>
      <c r="M4284" s="24">
        <v>80</v>
      </c>
      <c r="N4284" s="25">
        <f t="shared" si="133"/>
        <v>236000</v>
      </c>
      <c r="O4284" s="24"/>
    </row>
    <row r="4285" spans="1:15" hidden="1" x14ac:dyDescent="0.3">
      <c r="A4285" s="24">
        <v>34</v>
      </c>
      <c r="B4285" s="20" t="str">
        <f t="shared" si="132"/>
        <v>AUG</v>
      </c>
      <c r="C4285" s="21">
        <v>46257</v>
      </c>
      <c r="D4285" s="22" t="str">
        <f>IFERROR(INDEX('Kode Outlet dan Target Toko'!$A:$A,MATCH($I4285,'Kode Outlet dan Target Toko'!$E:$E,0)),"")</f>
        <v>GRSM 5</v>
      </c>
      <c r="E4285" s="20" t="str">
        <f>IFERROR(VLOOKUP(I4285,KET!$B:$F,4,0),"")</f>
        <v>SUPRIYATI</v>
      </c>
      <c r="F4285" s="20" t="str">
        <f>IFERROR(VLOOKUP($I4285,KET!$B:$F,5,0),"")</f>
        <v>GMM</v>
      </c>
      <c r="G4285" s="20">
        <f>IFERROR(INDEX('Kode Outlet dan Target Toko'!$C:$C,MATCH($I4285,'Kode Outlet dan Target Toko'!$E:$E,0)),0)</f>
        <v>0</v>
      </c>
      <c r="H4285" s="20">
        <f>IFERROR(INDEX('Kode Outlet dan Target Toko'!$D:$D,MATCH($I4285,'Kode Outlet dan Target Toko'!$E:$E,0)),0)</f>
        <v>0</v>
      </c>
      <c r="I4285" s="41" t="s">
        <v>124</v>
      </c>
      <c r="J4285" s="45" t="s">
        <v>237</v>
      </c>
      <c r="K4285" s="53" t="s">
        <v>13</v>
      </c>
      <c r="L4285" s="23">
        <v>2950</v>
      </c>
      <c r="M4285" s="24">
        <v>40</v>
      </c>
      <c r="N4285" s="25">
        <f t="shared" si="133"/>
        <v>118000</v>
      </c>
      <c r="O4285" s="24"/>
    </row>
    <row r="4286" spans="1:15" hidden="1" x14ac:dyDescent="0.3">
      <c r="A4286" s="24">
        <v>34</v>
      </c>
      <c r="B4286" s="20" t="str">
        <f t="shared" si="132"/>
        <v>AUG</v>
      </c>
      <c r="C4286" s="21">
        <v>46257</v>
      </c>
      <c r="D4286" s="22" t="str">
        <f>IFERROR(INDEX('Kode Outlet dan Target Toko'!$A:$A,MATCH($I4286,'Kode Outlet dan Target Toko'!$E:$E,0)),"")</f>
        <v>GRSM 5</v>
      </c>
      <c r="E4286" s="20" t="str">
        <f>IFERROR(VLOOKUP(I4286,KET!$B:$F,4,0),"")</f>
        <v>SUPRIYATI</v>
      </c>
      <c r="F4286" s="20" t="str">
        <f>IFERROR(VLOOKUP($I4286,KET!$B:$F,5,0),"")</f>
        <v>GMM</v>
      </c>
      <c r="G4286" s="20">
        <f>IFERROR(INDEX('Kode Outlet dan Target Toko'!$C:$C,MATCH($I4286,'Kode Outlet dan Target Toko'!$E:$E,0)),0)</f>
        <v>0</v>
      </c>
      <c r="H4286" s="20">
        <f>IFERROR(INDEX('Kode Outlet dan Target Toko'!$D:$D,MATCH($I4286,'Kode Outlet dan Target Toko'!$E:$E,0)),0)</f>
        <v>0</v>
      </c>
      <c r="I4286" s="41" t="s">
        <v>124</v>
      </c>
      <c r="J4286" s="45" t="s">
        <v>237</v>
      </c>
      <c r="K4286" s="53" t="s">
        <v>16</v>
      </c>
      <c r="L4286" s="23">
        <v>2950</v>
      </c>
      <c r="M4286" s="24">
        <v>40</v>
      </c>
      <c r="N4286" s="25">
        <f t="shared" si="133"/>
        <v>118000</v>
      </c>
      <c r="O4286" s="24">
        <v>160</v>
      </c>
    </row>
    <row r="4287" spans="1:15" hidden="1" x14ac:dyDescent="0.3">
      <c r="A4287" s="24">
        <v>34</v>
      </c>
      <c r="B4287" s="20" t="str">
        <f t="shared" si="132"/>
        <v>AUG</v>
      </c>
      <c r="C4287" s="21">
        <v>46257</v>
      </c>
      <c r="D4287" s="22" t="str">
        <f>IFERROR(INDEX('Kode Outlet dan Target Toko'!$A:$A,MATCH($I4287,'Kode Outlet dan Target Toko'!$E:$E,0)),"")</f>
        <v>GRSM 5</v>
      </c>
      <c r="E4287" s="20" t="str">
        <f>IFERROR(VLOOKUP(I4287,KET!$B:$F,4,0),"")</f>
        <v>SUPRIYATI</v>
      </c>
      <c r="F4287" s="20" t="str">
        <f>IFERROR(VLOOKUP($I4287,KET!$B:$F,5,0),"")</f>
        <v>GMM</v>
      </c>
      <c r="G4287" s="20">
        <f>IFERROR(INDEX('Kode Outlet dan Target Toko'!$C:$C,MATCH($I4287,'Kode Outlet dan Target Toko'!$E:$E,0)),0)</f>
        <v>0</v>
      </c>
      <c r="H4287" s="20">
        <f>IFERROR(INDEX('Kode Outlet dan Target Toko'!$D:$D,MATCH($I4287,'Kode Outlet dan Target Toko'!$E:$E,0)),0)</f>
        <v>0</v>
      </c>
      <c r="I4287" s="41" t="s">
        <v>124</v>
      </c>
      <c r="J4287" s="45" t="s">
        <v>238</v>
      </c>
      <c r="K4287" s="53" t="s">
        <v>15</v>
      </c>
      <c r="L4287" s="23">
        <v>2950</v>
      </c>
      <c r="M4287" s="24">
        <v>0</v>
      </c>
      <c r="N4287" s="25">
        <f t="shared" si="133"/>
        <v>0</v>
      </c>
      <c r="O4287" s="24"/>
    </row>
    <row r="4288" spans="1:15" hidden="1" x14ac:dyDescent="0.3">
      <c r="A4288" s="24">
        <v>34</v>
      </c>
      <c r="B4288" s="20" t="str">
        <f t="shared" si="132"/>
        <v>AUG</v>
      </c>
      <c r="C4288" s="21">
        <v>46257</v>
      </c>
      <c r="D4288" s="22" t="str">
        <f>IFERROR(INDEX('Kode Outlet dan Target Toko'!$A:$A,MATCH($I4288,'Kode Outlet dan Target Toko'!$E:$E,0)),"")</f>
        <v>GRSM 5</v>
      </c>
      <c r="E4288" s="20" t="str">
        <f>IFERROR(VLOOKUP(I4288,KET!$B:$F,4,0),"")</f>
        <v>SUPRIYATI</v>
      </c>
      <c r="F4288" s="20" t="str">
        <f>IFERROR(VLOOKUP($I4288,KET!$B:$F,5,0),"")</f>
        <v>GMM</v>
      </c>
      <c r="G4288" s="20">
        <f>IFERROR(INDEX('Kode Outlet dan Target Toko'!$C:$C,MATCH($I4288,'Kode Outlet dan Target Toko'!$E:$E,0)),0)</f>
        <v>0</v>
      </c>
      <c r="H4288" s="20">
        <f>IFERROR(INDEX('Kode Outlet dan Target Toko'!$D:$D,MATCH($I4288,'Kode Outlet dan Target Toko'!$E:$E,0)),0)</f>
        <v>0</v>
      </c>
      <c r="I4288" s="41" t="s">
        <v>124</v>
      </c>
      <c r="J4288" s="45" t="s">
        <v>238</v>
      </c>
      <c r="K4288" s="53" t="s">
        <v>14</v>
      </c>
      <c r="L4288" s="23">
        <v>2950</v>
      </c>
      <c r="M4288" s="24">
        <v>80</v>
      </c>
      <c r="N4288" s="25">
        <f t="shared" si="133"/>
        <v>236000</v>
      </c>
      <c r="O4288" s="24"/>
    </row>
    <row r="4289" spans="1:15" hidden="1" x14ac:dyDescent="0.3">
      <c r="A4289" s="24">
        <v>34</v>
      </c>
      <c r="B4289" s="20" t="str">
        <f t="shared" si="132"/>
        <v>AUG</v>
      </c>
      <c r="C4289" s="21">
        <v>46257</v>
      </c>
      <c r="D4289" s="22" t="str">
        <f>IFERROR(INDEX('Kode Outlet dan Target Toko'!$A:$A,MATCH($I4289,'Kode Outlet dan Target Toko'!$E:$E,0)),"")</f>
        <v>GRSM 5</v>
      </c>
      <c r="E4289" s="20" t="str">
        <f>IFERROR(VLOOKUP(I4289,KET!$B:$F,4,0),"")</f>
        <v>SUPRIYATI</v>
      </c>
      <c r="F4289" s="20" t="str">
        <f>IFERROR(VLOOKUP($I4289,KET!$B:$F,5,0),"")</f>
        <v>GMM</v>
      </c>
      <c r="G4289" s="20">
        <f>IFERROR(INDEX('Kode Outlet dan Target Toko'!$C:$C,MATCH($I4289,'Kode Outlet dan Target Toko'!$E:$E,0)),0)</f>
        <v>0</v>
      </c>
      <c r="H4289" s="20">
        <f>IFERROR(INDEX('Kode Outlet dan Target Toko'!$D:$D,MATCH($I4289,'Kode Outlet dan Target Toko'!$E:$E,0)),0)</f>
        <v>0</v>
      </c>
      <c r="I4289" s="41" t="s">
        <v>124</v>
      </c>
      <c r="J4289" s="45" t="s">
        <v>238</v>
      </c>
      <c r="K4289" s="53" t="s">
        <v>13</v>
      </c>
      <c r="L4289" s="23">
        <v>2950</v>
      </c>
      <c r="M4289" s="24">
        <v>40</v>
      </c>
      <c r="N4289" s="25">
        <f t="shared" si="133"/>
        <v>118000</v>
      </c>
      <c r="O4289" s="24"/>
    </row>
    <row r="4290" spans="1:15" hidden="1" x14ac:dyDescent="0.3">
      <c r="A4290" s="24">
        <v>34</v>
      </c>
      <c r="B4290" s="20" t="str">
        <f t="shared" si="132"/>
        <v>AUG</v>
      </c>
      <c r="C4290" s="21">
        <v>46257</v>
      </c>
      <c r="D4290" s="22" t="str">
        <f>IFERROR(INDEX('Kode Outlet dan Target Toko'!$A:$A,MATCH($I4290,'Kode Outlet dan Target Toko'!$E:$E,0)),"")</f>
        <v>GRSM 5</v>
      </c>
      <c r="E4290" s="20" t="str">
        <f>IFERROR(VLOOKUP(I4290,KET!$B:$F,4,0),"")</f>
        <v>SUPRIYATI</v>
      </c>
      <c r="F4290" s="20" t="str">
        <f>IFERROR(VLOOKUP($I4290,KET!$B:$F,5,0),"")</f>
        <v>GMM</v>
      </c>
      <c r="G4290" s="20">
        <f>IFERROR(INDEX('Kode Outlet dan Target Toko'!$C:$C,MATCH($I4290,'Kode Outlet dan Target Toko'!$E:$E,0)),0)</f>
        <v>0</v>
      </c>
      <c r="H4290" s="20">
        <f>IFERROR(INDEX('Kode Outlet dan Target Toko'!$D:$D,MATCH($I4290,'Kode Outlet dan Target Toko'!$E:$E,0)),0)</f>
        <v>0</v>
      </c>
      <c r="I4290" s="41" t="s">
        <v>124</v>
      </c>
      <c r="J4290" s="45" t="s">
        <v>238</v>
      </c>
      <c r="K4290" s="53" t="s">
        <v>16</v>
      </c>
      <c r="L4290" s="23">
        <v>2950</v>
      </c>
      <c r="M4290" s="24">
        <v>40</v>
      </c>
      <c r="N4290" s="25">
        <f t="shared" si="133"/>
        <v>118000</v>
      </c>
      <c r="O4290" s="24">
        <v>160</v>
      </c>
    </row>
    <row r="4291" spans="1:15" hidden="1" x14ac:dyDescent="0.3">
      <c r="A4291" s="24">
        <v>34</v>
      </c>
      <c r="B4291" s="20" t="str">
        <f t="shared" si="132"/>
        <v>AUG</v>
      </c>
      <c r="C4291" s="21">
        <v>46257</v>
      </c>
      <c r="D4291" s="22" t="str">
        <f>IFERROR(INDEX('Kode Outlet dan Target Toko'!$A:$A,MATCH($I4291,'Kode Outlet dan Target Toko'!$E:$E,0)),"")</f>
        <v>GRSM 5</v>
      </c>
      <c r="E4291" s="20" t="str">
        <f>IFERROR(VLOOKUP(I4291,KET!$B:$F,4,0),"")</f>
        <v>SUPRIYATI</v>
      </c>
      <c r="F4291" s="20" t="str">
        <f>IFERROR(VLOOKUP($I4291,KET!$B:$F,5,0),"")</f>
        <v>GMM</v>
      </c>
      <c r="G4291" s="20">
        <f>IFERROR(INDEX('Kode Outlet dan Target Toko'!$C:$C,MATCH($I4291,'Kode Outlet dan Target Toko'!$E:$E,0)),0)</f>
        <v>103222</v>
      </c>
      <c r="H4291" s="20">
        <f>IFERROR(INDEX('Kode Outlet dan Target Toko'!$D:$D,MATCH($I4291,'Kode Outlet dan Target Toko'!$E:$E,0)),0)</f>
        <v>106437</v>
      </c>
      <c r="I4291" s="41" t="s">
        <v>104</v>
      </c>
      <c r="J4291" s="45" t="s">
        <v>207</v>
      </c>
      <c r="K4291" s="53" t="s">
        <v>15</v>
      </c>
      <c r="L4291" s="23">
        <v>2990</v>
      </c>
      <c r="M4291" s="24">
        <v>40</v>
      </c>
      <c r="N4291" s="25">
        <f t="shared" si="133"/>
        <v>119600</v>
      </c>
      <c r="O4291" s="24"/>
    </row>
    <row r="4292" spans="1:15" hidden="1" x14ac:dyDescent="0.3">
      <c r="A4292" s="24">
        <v>34</v>
      </c>
      <c r="B4292" s="20" t="str">
        <f t="shared" si="132"/>
        <v>AUG</v>
      </c>
      <c r="C4292" s="21">
        <v>46257</v>
      </c>
      <c r="D4292" s="22" t="str">
        <f>IFERROR(INDEX('Kode Outlet dan Target Toko'!$A:$A,MATCH($I4292,'Kode Outlet dan Target Toko'!$E:$E,0)),"")</f>
        <v>GRSM 5</v>
      </c>
      <c r="E4292" s="20" t="str">
        <f>IFERROR(VLOOKUP(I4292,KET!$B:$F,4,0),"")</f>
        <v>SUPRIYATI</v>
      </c>
      <c r="F4292" s="20" t="str">
        <f>IFERROR(VLOOKUP($I4292,KET!$B:$F,5,0),"")</f>
        <v>GMM</v>
      </c>
      <c r="G4292" s="20">
        <f>IFERROR(INDEX('Kode Outlet dan Target Toko'!$C:$C,MATCH($I4292,'Kode Outlet dan Target Toko'!$E:$E,0)),0)</f>
        <v>103222</v>
      </c>
      <c r="H4292" s="20">
        <f>IFERROR(INDEX('Kode Outlet dan Target Toko'!$D:$D,MATCH($I4292,'Kode Outlet dan Target Toko'!$E:$E,0)),0)</f>
        <v>106437</v>
      </c>
      <c r="I4292" s="41" t="s">
        <v>104</v>
      </c>
      <c r="J4292" s="45" t="s">
        <v>207</v>
      </c>
      <c r="K4292" s="53" t="s">
        <v>14</v>
      </c>
      <c r="L4292" s="23">
        <v>2990</v>
      </c>
      <c r="M4292" s="24">
        <v>192</v>
      </c>
      <c r="N4292" s="25">
        <f t="shared" si="133"/>
        <v>574080</v>
      </c>
      <c r="O4292" s="24"/>
    </row>
    <row r="4293" spans="1:15" hidden="1" x14ac:dyDescent="0.3">
      <c r="A4293" s="24">
        <v>34</v>
      </c>
      <c r="B4293" s="20" t="str">
        <f t="shared" si="132"/>
        <v>AUG</v>
      </c>
      <c r="C4293" s="21">
        <v>46257</v>
      </c>
      <c r="D4293" s="22" t="str">
        <f>IFERROR(INDEX('Kode Outlet dan Target Toko'!$A:$A,MATCH($I4293,'Kode Outlet dan Target Toko'!$E:$E,0)),"")</f>
        <v>GRSM 5</v>
      </c>
      <c r="E4293" s="20" t="str">
        <f>IFERROR(VLOOKUP(I4293,KET!$B:$F,4,0),"")</f>
        <v>SUPRIYATI</v>
      </c>
      <c r="F4293" s="20" t="str">
        <f>IFERROR(VLOOKUP($I4293,KET!$B:$F,5,0),"")</f>
        <v>GMM</v>
      </c>
      <c r="G4293" s="20">
        <f>IFERROR(INDEX('Kode Outlet dan Target Toko'!$C:$C,MATCH($I4293,'Kode Outlet dan Target Toko'!$E:$E,0)),0)</f>
        <v>103222</v>
      </c>
      <c r="H4293" s="20">
        <f>IFERROR(INDEX('Kode Outlet dan Target Toko'!$D:$D,MATCH($I4293,'Kode Outlet dan Target Toko'!$E:$E,0)),0)</f>
        <v>106437</v>
      </c>
      <c r="I4293" s="41" t="s">
        <v>104</v>
      </c>
      <c r="J4293" s="45" t="s">
        <v>207</v>
      </c>
      <c r="K4293" s="53" t="s">
        <v>13</v>
      </c>
      <c r="L4293" s="23">
        <v>2990</v>
      </c>
      <c r="M4293" s="24">
        <v>0</v>
      </c>
      <c r="N4293" s="25">
        <f t="shared" si="133"/>
        <v>0</v>
      </c>
      <c r="O4293" s="24"/>
    </row>
    <row r="4294" spans="1:15" hidden="1" x14ac:dyDescent="0.3">
      <c r="A4294" s="24">
        <v>34</v>
      </c>
      <c r="B4294" s="20" t="str">
        <f t="shared" si="132"/>
        <v>AUG</v>
      </c>
      <c r="C4294" s="21">
        <v>46257</v>
      </c>
      <c r="D4294" s="22" t="str">
        <f>IFERROR(INDEX('Kode Outlet dan Target Toko'!$A:$A,MATCH($I4294,'Kode Outlet dan Target Toko'!$E:$E,0)),"")</f>
        <v>GRSM 5</v>
      </c>
      <c r="E4294" s="20" t="str">
        <f>IFERROR(VLOOKUP(I4294,KET!$B:$F,4,0),"")</f>
        <v>SUPRIYATI</v>
      </c>
      <c r="F4294" s="20" t="str">
        <f>IFERROR(VLOOKUP($I4294,KET!$B:$F,5,0),"")</f>
        <v>GMM</v>
      </c>
      <c r="G4294" s="20">
        <f>IFERROR(INDEX('Kode Outlet dan Target Toko'!$C:$C,MATCH($I4294,'Kode Outlet dan Target Toko'!$E:$E,0)),0)</f>
        <v>103222</v>
      </c>
      <c r="H4294" s="20">
        <f>IFERROR(INDEX('Kode Outlet dan Target Toko'!$D:$D,MATCH($I4294,'Kode Outlet dan Target Toko'!$E:$E,0)),0)</f>
        <v>106437</v>
      </c>
      <c r="I4294" s="41" t="s">
        <v>104</v>
      </c>
      <c r="J4294" s="45" t="s">
        <v>207</v>
      </c>
      <c r="K4294" s="53" t="s">
        <v>16</v>
      </c>
      <c r="L4294" s="23">
        <v>2990</v>
      </c>
      <c r="M4294" s="24">
        <v>220</v>
      </c>
      <c r="N4294" s="25">
        <f t="shared" si="133"/>
        <v>657800</v>
      </c>
      <c r="O4294" s="24">
        <v>160</v>
      </c>
    </row>
    <row r="4295" spans="1:15" hidden="1" x14ac:dyDescent="0.3">
      <c r="A4295" s="24">
        <v>34</v>
      </c>
      <c r="B4295" s="20" t="str">
        <f t="shared" ref="B4295:B4358" si="134">IF(C4295="","",UPPER(TEXT(C4295, "MMM")))</f>
        <v>AUG</v>
      </c>
      <c r="C4295" s="21">
        <v>46257</v>
      </c>
      <c r="D4295" s="22" t="str">
        <f>IFERROR(INDEX('Kode Outlet dan Target Toko'!$A:$A,MATCH($I4295,'Kode Outlet dan Target Toko'!$E:$E,0)),"")</f>
        <v>GRSM 5</v>
      </c>
      <c r="E4295" s="20" t="str">
        <f>IFERROR(VLOOKUP(I4295,KET!$B:$F,4,0),"")</f>
        <v>SUPRIYATI</v>
      </c>
      <c r="F4295" s="20" t="str">
        <f>IFERROR(VLOOKUP($I4295,KET!$B:$F,5,0),"")</f>
        <v>GMM</v>
      </c>
      <c r="G4295" s="20">
        <f>IFERROR(INDEX('Kode Outlet dan Target Toko'!$C:$C,MATCH($I4295,'Kode Outlet dan Target Toko'!$E:$E,0)),0)</f>
        <v>103222</v>
      </c>
      <c r="H4295" s="20">
        <f>IFERROR(INDEX('Kode Outlet dan Target Toko'!$D:$D,MATCH($I4295,'Kode Outlet dan Target Toko'!$E:$E,0)),0)</f>
        <v>106437</v>
      </c>
      <c r="I4295" s="41" t="s">
        <v>104</v>
      </c>
      <c r="J4295" s="45" t="s">
        <v>208</v>
      </c>
      <c r="K4295" s="53" t="s">
        <v>15</v>
      </c>
      <c r="L4295" s="23">
        <v>2990</v>
      </c>
      <c r="M4295" s="24">
        <v>40</v>
      </c>
      <c r="N4295" s="25">
        <f t="shared" ref="N4295:N4358" si="135">IFERROR(M4295*L4295,"")</f>
        <v>119600</v>
      </c>
      <c r="O4295" s="24"/>
    </row>
    <row r="4296" spans="1:15" hidden="1" x14ac:dyDescent="0.3">
      <c r="A4296" s="24">
        <v>34</v>
      </c>
      <c r="B4296" s="20" t="str">
        <f t="shared" si="134"/>
        <v>AUG</v>
      </c>
      <c r="C4296" s="21">
        <v>46257</v>
      </c>
      <c r="D4296" s="22" t="str">
        <f>IFERROR(INDEX('Kode Outlet dan Target Toko'!$A:$A,MATCH($I4296,'Kode Outlet dan Target Toko'!$E:$E,0)),"")</f>
        <v>GRSM 5</v>
      </c>
      <c r="E4296" s="20" t="str">
        <f>IFERROR(VLOOKUP(I4296,KET!$B:$F,4,0),"")</f>
        <v>SUPRIYATI</v>
      </c>
      <c r="F4296" s="20" t="str">
        <f>IFERROR(VLOOKUP($I4296,KET!$B:$F,5,0),"")</f>
        <v>GMM</v>
      </c>
      <c r="G4296" s="20">
        <f>IFERROR(INDEX('Kode Outlet dan Target Toko'!$C:$C,MATCH($I4296,'Kode Outlet dan Target Toko'!$E:$E,0)),0)</f>
        <v>103222</v>
      </c>
      <c r="H4296" s="20">
        <f>IFERROR(INDEX('Kode Outlet dan Target Toko'!$D:$D,MATCH($I4296,'Kode Outlet dan Target Toko'!$E:$E,0)),0)</f>
        <v>106437</v>
      </c>
      <c r="I4296" s="41" t="s">
        <v>104</v>
      </c>
      <c r="J4296" s="45" t="s">
        <v>208</v>
      </c>
      <c r="K4296" s="53" t="s">
        <v>14</v>
      </c>
      <c r="L4296" s="23">
        <v>2990</v>
      </c>
      <c r="M4296" s="24">
        <v>192</v>
      </c>
      <c r="N4296" s="25">
        <f t="shared" si="135"/>
        <v>574080</v>
      </c>
      <c r="O4296" s="24"/>
    </row>
    <row r="4297" spans="1:15" hidden="1" x14ac:dyDescent="0.3">
      <c r="A4297" s="24">
        <v>34</v>
      </c>
      <c r="B4297" s="20" t="str">
        <f t="shared" si="134"/>
        <v>AUG</v>
      </c>
      <c r="C4297" s="21">
        <v>46257</v>
      </c>
      <c r="D4297" s="22" t="str">
        <f>IFERROR(INDEX('Kode Outlet dan Target Toko'!$A:$A,MATCH($I4297,'Kode Outlet dan Target Toko'!$E:$E,0)),"")</f>
        <v>GRSM 5</v>
      </c>
      <c r="E4297" s="20" t="str">
        <f>IFERROR(VLOOKUP(I4297,KET!$B:$F,4,0),"")</f>
        <v>SUPRIYATI</v>
      </c>
      <c r="F4297" s="20" t="str">
        <f>IFERROR(VLOOKUP($I4297,KET!$B:$F,5,0),"")</f>
        <v>GMM</v>
      </c>
      <c r="G4297" s="20">
        <f>IFERROR(INDEX('Kode Outlet dan Target Toko'!$C:$C,MATCH($I4297,'Kode Outlet dan Target Toko'!$E:$E,0)),0)</f>
        <v>103222</v>
      </c>
      <c r="H4297" s="20">
        <f>IFERROR(INDEX('Kode Outlet dan Target Toko'!$D:$D,MATCH($I4297,'Kode Outlet dan Target Toko'!$E:$E,0)),0)</f>
        <v>106437</v>
      </c>
      <c r="I4297" s="41" t="s">
        <v>104</v>
      </c>
      <c r="J4297" s="45" t="s">
        <v>208</v>
      </c>
      <c r="K4297" s="53" t="s">
        <v>13</v>
      </c>
      <c r="L4297" s="23">
        <v>2990</v>
      </c>
      <c r="M4297" s="24">
        <v>0</v>
      </c>
      <c r="N4297" s="25">
        <f t="shared" si="135"/>
        <v>0</v>
      </c>
      <c r="O4297" s="24"/>
    </row>
    <row r="4298" spans="1:15" hidden="1" x14ac:dyDescent="0.3">
      <c r="A4298" s="24">
        <v>34</v>
      </c>
      <c r="B4298" s="20" t="str">
        <f t="shared" si="134"/>
        <v>AUG</v>
      </c>
      <c r="C4298" s="21">
        <v>46257</v>
      </c>
      <c r="D4298" s="22" t="str">
        <f>IFERROR(INDEX('Kode Outlet dan Target Toko'!$A:$A,MATCH($I4298,'Kode Outlet dan Target Toko'!$E:$E,0)),"")</f>
        <v>GRSM 5</v>
      </c>
      <c r="E4298" s="20" t="str">
        <f>IFERROR(VLOOKUP(I4298,KET!$B:$F,4,0),"")</f>
        <v>SUPRIYATI</v>
      </c>
      <c r="F4298" s="20" t="str">
        <f>IFERROR(VLOOKUP($I4298,KET!$B:$F,5,0),"")</f>
        <v>GMM</v>
      </c>
      <c r="G4298" s="20">
        <f>IFERROR(INDEX('Kode Outlet dan Target Toko'!$C:$C,MATCH($I4298,'Kode Outlet dan Target Toko'!$E:$E,0)),0)</f>
        <v>103222</v>
      </c>
      <c r="H4298" s="20">
        <f>IFERROR(INDEX('Kode Outlet dan Target Toko'!$D:$D,MATCH($I4298,'Kode Outlet dan Target Toko'!$E:$E,0)),0)</f>
        <v>106437</v>
      </c>
      <c r="I4298" s="41" t="s">
        <v>104</v>
      </c>
      <c r="J4298" s="45" t="s">
        <v>208</v>
      </c>
      <c r="K4298" s="53" t="s">
        <v>16</v>
      </c>
      <c r="L4298" s="23">
        <v>2990</v>
      </c>
      <c r="M4298" s="24">
        <v>220</v>
      </c>
      <c r="N4298" s="25">
        <f t="shared" si="135"/>
        <v>657800</v>
      </c>
      <c r="O4298" s="24">
        <v>160</v>
      </c>
    </row>
    <row r="4299" spans="1:15" hidden="1" x14ac:dyDescent="0.3">
      <c r="A4299" s="24">
        <v>34</v>
      </c>
      <c r="B4299" s="20" t="str">
        <f t="shared" si="134"/>
        <v>AUG</v>
      </c>
      <c r="C4299" s="21">
        <v>46257</v>
      </c>
      <c r="D4299" s="22" t="str">
        <f>IFERROR(INDEX('Kode Outlet dan Target Toko'!$A:$A,MATCH($I4299,'Kode Outlet dan Target Toko'!$E:$E,0)),"")</f>
        <v>GRSM 5</v>
      </c>
      <c r="E4299" s="20" t="str">
        <f>IFERROR(VLOOKUP(I4299,KET!$B:$F,4,0),"")</f>
        <v>SUPRIYATI</v>
      </c>
      <c r="F4299" s="20" t="str">
        <f>IFERROR(VLOOKUP($I4299,KET!$B:$F,5,0),"")</f>
        <v>GMM</v>
      </c>
      <c r="G4299" s="20">
        <f>IFERROR(INDEX('Kode Outlet dan Target Toko'!$C:$C,MATCH($I4299,'Kode Outlet dan Target Toko'!$E:$E,0)),0)</f>
        <v>0</v>
      </c>
      <c r="H4299" s="20">
        <f>IFERROR(INDEX('Kode Outlet dan Target Toko'!$D:$D,MATCH($I4299,'Kode Outlet dan Target Toko'!$E:$E,0)),0)</f>
        <v>0</v>
      </c>
      <c r="I4299" s="41" t="s">
        <v>125</v>
      </c>
      <c r="J4299" s="45" t="s">
        <v>239</v>
      </c>
      <c r="K4299" s="53" t="s">
        <v>15</v>
      </c>
      <c r="L4299" s="23">
        <v>3050</v>
      </c>
      <c r="M4299" s="24">
        <v>30</v>
      </c>
      <c r="N4299" s="25">
        <f t="shared" si="135"/>
        <v>91500</v>
      </c>
      <c r="O4299" s="24"/>
    </row>
    <row r="4300" spans="1:15" hidden="1" x14ac:dyDescent="0.3">
      <c r="A4300" s="24">
        <v>34</v>
      </c>
      <c r="B4300" s="20" t="str">
        <f t="shared" si="134"/>
        <v>AUG</v>
      </c>
      <c r="C4300" s="21">
        <v>46257</v>
      </c>
      <c r="D4300" s="22" t="str">
        <f>IFERROR(INDEX('Kode Outlet dan Target Toko'!$A:$A,MATCH($I4300,'Kode Outlet dan Target Toko'!$E:$E,0)),"")</f>
        <v>GRSM 5</v>
      </c>
      <c r="E4300" s="20" t="str">
        <f>IFERROR(VLOOKUP(I4300,KET!$B:$F,4,0),"")</f>
        <v>SUPRIYATI</v>
      </c>
      <c r="F4300" s="20" t="str">
        <f>IFERROR(VLOOKUP($I4300,KET!$B:$F,5,0),"")</f>
        <v>GMM</v>
      </c>
      <c r="G4300" s="20">
        <f>IFERROR(INDEX('Kode Outlet dan Target Toko'!$C:$C,MATCH($I4300,'Kode Outlet dan Target Toko'!$E:$E,0)),0)</f>
        <v>0</v>
      </c>
      <c r="H4300" s="20">
        <f>IFERROR(INDEX('Kode Outlet dan Target Toko'!$D:$D,MATCH($I4300,'Kode Outlet dan Target Toko'!$E:$E,0)),0)</f>
        <v>0</v>
      </c>
      <c r="I4300" s="41" t="s">
        <v>125</v>
      </c>
      <c r="J4300" s="45" t="s">
        <v>239</v>
      </c>
      <c r="K4300" s="53" t="s">
        <v>14</v>
      </c>
      <c r="L4300" s="23">
        <v>3050</v>
      </c>
      <c r="M4300" s="24">
        <v>40</v>
      </c>
      <c r="N4300" s="25">
        <f t="shared" si="135"/>
        <v>122000</v>
      </c>
      <c r="O4300" s="24"/>
    </row>
    <row r="4301" spans="1:15" hidden="1" x14ac:dyDescent="0.3">
      <c r="A4301" s="24">
        <v>34</v>
      </c>
      <c r="B4301" s="20" t="str">
        <f t="shared" si="134"/>
        <v>AUG</v>
      </c>
      <c r="C4301" s="21">
        <v>46257</v>
      </c>
      <c r="D4301" s="22" t="str">
        <f>IFERROR(INDEX('Kode Outlet dan Target Toko'!$A:$A,MATCH($I4301,'Kode Outlet dan Target Toko'!$E:$E,0)),"")</f>
        <v>GRSM 5</v>
      </c>
      <c r="E4301" s="20" t="str">
        <f>IFERROR(VLOOKUP(I4301,KET!$B:$F,4,0),"")</f>
        <v>SUPRIYATI</v>
      </c>
      <c r="F4301" s="20" t="str">
        <f>IFERROR(VLOOKUP($I4301,KET!$B:$F,5,0),"")</f>
        <v>GMM</v>
      </c>
      <c r="G4301" s="20">
        <f>IFERROR(INDEX('Kode Outlet dan Target Toko'!$C:$C,MATCH($I4301,'Kode Outlet dan Target Toko'!$E:$E,0)),0)</f>
        <v>0</v>
      </c>
      <c r="H4301" s="20">
        <f>IFERROR(INDEX('Kode Outlet dan Target Toko'!$D:$D,MATCH($I4301,'Kode Outlet dan Target Toko'!$E:$E,0)),0)</f>
        <v>0</v>
      </c>
      <c r="I4301" s="41" t="s">
        <v>125</v>
      </c>
      <c r="J4301" s="45" t="s">
        <v>239</v>
      </c>
      <c r="K4301" s="53" t="s">
        <v>13</v>
      </c>
      <c r="L4301" s="23">
        <v>3050</v>
      </c>
      <c r="M4301" s="24">
        <v>15</v>
      </c>
      <c r="N4301" s="25">
        <f t="shared" si="135"/>
        <v>45750</v>
      </c>
      <c r="O4301" s="24"/>
    </row>
    <row r="4302" spans="1:15" hidden="1" x14ac:dyDescent="0.3">
      <c r="A4302" s="24">
        <v>34</v>
      </c>
      <c r="B4302" s="20" t="str">
        <f t="shared" si="134"/>
        <v>AUG</v>
      </c>
      <c r="C4302" s="21">
        <v>46257</v>
      </c>
      <c r="D4302" s="22" t="str">
        <f>IFERROR(INDEX('Kode Outlet dan Target Toko'!$A:$A,MATCH($I4302,'Kode Outlet dan Target Toko'!$E:$E,0)),"")</f>
        <v>GRSM 5</v>
      </c>
      <c r="E4302" s="20" t="str">
        <f>IFERROR(VLOOKUP(I4302,KET!$B:$F,4,0),"")</f>
        <v>SUPRIYATI</v>
      </c>
      <c r="F4302" s="20" t="str">
        <f>IFERROR(VLOOKUP($I4302,KET!$B:$F,5,0),"")</f>
        <v>GMM</v>
      </c>
      <c r="G4302" s="20">
        <f>IFERROR(INDEX('Kode Outlet dan Target Toko'!$C:$C,MATCH($I4302,'Kode Outlet dan Target Toko'!$E:$E,0)),0)</f>
        <v>0</v>
      </c>
      <c r="H4302" s="20">
        <f>IFERROR(INDEX('Kode Outlet dan Target Toko'!$D:$D,MATCH($I4302,'Kode Outlet dan Target Toko'!$E:$E,0)),0)</f>
        <v>0</v>
      </c>
      <c r="I4302" s="41" t="s">
        <v>125</v>
      </c>
      <c r="J4302" s="45" t="s">
        <v>239</v>
      </c>
      <c r="K4302" s="53" t="s">
        <v>16</v>
      </c>
      <c r="L4302" s="23">
        <v>3050</v>
      </c>
      <c r="M4302" s="24">
        <v>60</v>
      </c>
      <c r="N4302" s="25">
        <f t="shared" si="135"/>
        <v>183000</v>
      </c>
      <c r="O4302" s="24">
        <v>160</v>
      </c>
    </row>
    <row r="4303" spans="1:15" hidden="1" x14ac:dyDescent="0.3">
      <c r="A4303" s="24">
        <v>34</v>
      </c>
      <c r="B4303" s="20" t="str">
        <f t="shared" si="134"/>
        <v>AUG</v>
      </c>
      <c r="C4303" s="21">
        <v>46257</v>
      </c>
      <c r="D4303" s="22" t="str">
        <f>IFERROR(INDEX('Kode Outlet dan Target Toko'!$A:$A,MATCH($I4303,'Kode Outlet dan Target Toko'!$E:$E,0)),"")</f>
        <v>GRSM 5</v>
      </c>
      <c r="E4303" s="20" t="str">
        <f>IFERROR(VLOOKUP(I4303,KET!$B:$F,4,0),"")</f>
        <v>SUPRIYATI</v>
      </c>
      <c r="F4303" s="20" t="str">
        <f>IFERROR(VLOOKUP($I4303,KET!$B:$F,5,0),"")</f>
        <v>GMM</v>
      </c>
      <c r="G4303" s="20">
        <f>IFERROR(INDEX('Kode Outlet dan Target Toko'!$C:$C,MATCH($I4303,'Kode Outlet dan Target Toko'!$E:$E,0)),0)</f>
        <v>0</v>
      </c>
      <c r="H4303" s="20">
        <f>IFERROR(INDEX('Kode Outlet dan Target Toko'!$D:$D,MATCH($I4303,'Kode Outlet dan Target Toko'!$E:$E,0)),0)</f>
        <v>0</v>
      </c>
      <c r="I4303" s="41" t="s">
        <v>125</v>
      </c>
      <c r="J4303" s="45" t="s">
        <v>240</v>
      </c>
      <c r="K4303" s="53" t="s">
        <v>15</v>
      </c>
      <c r="L4303" s="23">
        <v>3050</v>
      </c>
      <c r="M4303" s="24">
        <v>30</v>
      </c>
      <c r="N4303" s="25">
        <f t="shared" si="135"/>
        <v>91500</v>
      </c>
      <c r="O4303" s="24"/>
    </row>
    <row r="4304" spans="1:15" hidden="1" x14ac:dyDescent="0.3">
      <c r="A4304" s="24">
        <v>34</v>
      </c>
      <c r="B4304" s="20" t="str">
        <f t="shared" si="134"/>
        <v>AUG</v>
      </c>
      <c r="C4304" s="21">
        <v>46257</v>
      </c>
      <c r="D4304" s="22" t="str">
        <f>IFERROR(INDEX('Kode Outlet dan Target Toko'!$A:$A,MATCH($I4304,'Kode Outlet dan Target Toko'!$E:$E,0)),"")</f>
        <v>GRSM 5</v>
      </c>
      <c r="E4304" s="20" t="str">
        <f>IFERROR(VLOOKUP(I4304,KET!$B:$F,4,0),"")</f>
        <v>SUPRIYATI</v>
      </c>
      <c r="F4304" s="20" t="str">
        <f>IFERROR(VLOOKUP($I4304,KET!$B:$F,5,0),"")</f>
        <v>GMM</v>
      </c>
      <c r="G4304" s="20">
        <f>IFERROR(INDEX('Kode Outlet dan Target Toko'!$C:$C,MATCH($I4304,'Kode Outlet dan Target Toko'!$E:$E,0)),0)</f>
        <v>0</v>
      </c>
      <c r="H4304" s="20">
        <f>IFERROR(INDEX('Kode Outlet dan Target Toko'!$D:$D,MATCH($I4304,'Kode Outlet dan Target Toko'!$E:$E,0)),0)</f>
        <v>0</v>
      </c>
      <c r="I4304" s="41" t="s">
        <v>125</v>
      </c>
      <c r="J4304" s="45" t="s">
        <v>240</v>
      </c>
      <c r="K4304" s="53" t="s">
        <v>14</v>
      </c>
      <c r="L4304" s="23">
        <v>3050</v>
      </c>
      <c r="M4304" s="24">
        <v>40</v>
      </c>
      <c r="N4304" s="25">
        <f t="shared" si="135"/>
        <v>122000</v>
      </c>
      <c r="O4304" s="24"/>
    </row>
    <row r="4305" spans="1:15" hidden="1" x14ac:dyDescent="0.3">
      <c r="A4305" s="24">
        <v>34</v>
      </c>
      <c r="B4305" s="20" t="str">
        <f t="shared" si="134"/>
        <v>AUG</v>
      </c>
      <c r="C4305" s="21">
        <v>46257</v>
      </c>
      <c r="D4305" s="22" t="str">
        <f>IFERROR(INDEX('Kode Outlet dan Target Toko'!$A:$A,MATCH($I4305,'Kode Outlet dan Target Toko'!$E:$E,0)),"")</f>
        <v>GRSM 5</v>
      </c>
      <c r="E4305" s="20" t="str">
        <f>IFERROR(VLOOKUP(I4305,KET!$B:$F,4,0),"")</f>
        <v>SUPRIYATI</v>
      </c>
      <c r="F4305" s="20" t="str">
        <f>IFERROR(VLOOKUP($I4305,KET!$B:$F,5,0),"")</f>
        <v>GMM</v>
      </c>
      <c r="G4305" s="20">
        <f>IFERROR(INDEX('Kode Outlet dan Target Toko'!$C:$C,MATCH($I4305,'Kode Outlet dan Target Toko'!$E:$E,0)),0)</f>
        <v>0</v>
      </c>
      <c r="H4305" s="20">
        <f>IFERROR(INDEX('Kode Outlet dan Target Toko'!$D:$D,MATCH($I4305,'Kode Outlet dan Target Toko'!$E:$E,0)),0)</f>
        <v>0</v>
      </c>
      <c r="I4305" s="41" t="s">
        <v>125</v>
      </c>
      <c r="J4305" s="45" t="s">
        <v>240</v>
      </c>
      <c r="K4305" s="53" t="s">
        <v>13</v>
      </c>
      <c r="L4305" s="23">
        <v>3050</v>
      </c>
      <c r="M4305" s="24">
        <v>15</v>
      </c>
      <c r="N4305" s="25">
        <f t="shared" si="135"/>
        <v>45750</v>
      </c>
      <c r="O4305" s="24"/>
    </row>
    <row r="4306" spans="1:15" hidden="1" x14ac:dyDescent="0.3">
      <c r="A4306" s="24">
        <v>34</v>
      </c>
      <c r="B4306" s="20" t="str">
        <f t="shared" si="134"/>
        <v>AUG</v>
      </c>
      <c r="C4306" s="21">
        <v>46257</v>
      </c>
      <c r="D4306" s="22" t="str">
        <f>IFERROR(INDEX('Kode Outlet dan Target Toko'!$A:$A,MATCH($I4306,'Kode Outlet dan Target Toko'!$E:$E,0)),"")</f>
        <v>GRSM 5</v>
      </c>
      <c r="E4306" s="20" t="str">
        <f>IFERROR(VLOOKUP(I4306,KET!$B:$F,4,0),"")</f>
        <v>SUPRIYATI</v>
      </c>
      <c r="F4306" s="20" t="str">
        <f>IFERROR(VLOOKUP($I4306,KET!$B:$F,5,0),"")</f>
        <v>GMM</v>
      </c>
      <c r="G4306" s="20">
        <f>IFERROR(INDEX('Kode Outlet dan Target Toko'!$C:$C,MATCH($I4306,'Kode Outlet dan Target Toko'!$E:$E,0)),0)</f>
        <v>0</v>
      </c>
      <c r="H4306" s="20">
        <f>IFERROR(INDEX('Kode Outlet dan Target Toko'!$D:$D,MATCH($I4306,'Kode Outlet dan Target Toko'!$E:$E,0)),0)</f>
        <v>0</v>
      </c>
      <c r="I4306" s="41" t="s">
        <v>125</v>
      </c>
      <c r="J4306" s="45" t="s">
        <v>240</v>
      </c>
      <c r="K4306" s="53" t="s">
        <v>16</v>
      </c>
      <c r="L4306" s="23">
        <v>3050</v>
      </c>
      <c r="M4306" s="24">
        <v>60</v>
      </c>
      <c r="N4306" s="25">
        <f t="shared" si="135"/>
        <v>183000</v>
      </c>
      <c r="O4306" s="24">
        <v>160</v>
      </c>
    </row>
    <row r="4307" spans="1:15" hidden="1" x14ac:dyDescent="0.3">
      <c r="A4307" s="24">
        <v>34</v>
      </c>
      <c r="B4307" s="20" t="str">
        <f t="shared" si="134"/>
        <v>AUG</v>
      </c>
      <c r="C4307" s="21">
        <v>46257</v>
      </c>
      <c r="D4307" s="22" t="str">
        <f>IFERROR(INDEX('Kode Outlet dan Target Toko'!$A:$A,MATCH($I4307,'Kode Outlet dan Target Toko'!$E:$E,0)),"")</f>
        <v>GRSM 5</v>
      </c>
      <c r="E4307" s="20" t="str">
        <f>IFERROR(VLOOKUP(I4307,KET!$B:$F,4,0),"")</f>
        <v>SUPRIYATI</v>
      </c>
      <c r="F4307" s="20" t="str">
        <f>IFERROR(VLOOKUP($I4307,KET!$B:$F,5,0),"")</f>
        <v>GMM</v>
      </c>
      <c r="G4307" s="20">
        <f>IFERROR(INDEX('Kode Outlet dan Target Toko'!$C:$C,MATCH($I4307,'Kode Outlet dan Target Toko'!$E:$E,0)),0)</f>
        <v>211009</v>
      </c>
      <c r="H4307" s="20">
        <f>IFERROR(INDEX('Kode Outlet dan Target Toko'!$D:$D,MATCH($I4307,'Kode Outlet dan Target Toko'!$E:$E,0)),0)</f>
        <v>2100003</v>
      </c>
      <c r="I4307" s="41" t="s">
        <v>118</v>
      </c>
      <c r="J4307" s="45" t="s">
        <v>230</v>
      </c>
      <c r="K4307" s="53" t="s">
        <v>15</v>
      </c>
      <c r="L4307" s="23">
        <v>2897</v>
      </c>
      <c r="M4307" s="24">
        <v>42</v>
      </c>
      <c r="N4307" s="25">
        <f t="shared" si="135"/>
        <v>121674</v>
      </c>
      <c r="O4307" s="24"/>
    </row>
    <row r="4308" spans="1:15" hidden="1" x14ac:dyDescent="0.3">
      <c r="A4308" s="24">
        <v>34</v>
      </c>
      <c r="B4308" s="20" t="str">
        <f t="shared" si="134"/>
        <v>AUG</v>
      </c>
      <c r="C4308" s="21">
        <v>46257</v>
      </c>
      <c r="D4308" s="22" t="str">
        <f>IFERROR(INDEX('Kode Outlet dan Target Toko'!$A:$A,MATCH($I4308,'Kode Outlet dan Target Toko'!$E:$E,0)),"")</f>
        <v>GRSM 5</v>
      </c>
      <c r="E4308" s="20" t="str">
        <f>IFERROR(VLOOKUP(I4308,KET!$B:$F,4,0),"")</f>
        <v>SUPRIYATI</v>
      </c>
      <c r="F4308" s="20" t="str">
        <f>IFERROR(VLOOKUP($I4308,KET!$B:$F,5,0),"")</f>
        <v>GMM</v>
      </c>
      <c r="G4308" s="20">
        <f>IFERROR(INDEX('Kode Outlet dan Target Toko'!$C:$C,MATCH($I4308,'Kode Outlet dan Target Toko'!$E:$E,0)),0)</f>
        <v>211009</v>
      </c>
      <c r="H4308" s="20">
        <f>IFERROR(INDEX('Kode Outlet dan Target Toko'!$D:$D,MATCH($I4308,'Kode Outlet dan Target Toko'!$E:$E,0)),0)</f>
        <v>2100003</v>
      </c>
      <c r="I4308" s="41" t="s">
        <v>118</v>
      </c>
      <c r="J4308" s="45" t="s">
        <v>230</v>
      </c>
      <c r="K4308" s="53" t="s">
        <v>14</v>
      </c>
      <c r="L4308" s="23">
        <v>2897</v>
      </c>
      <c r="M4308" s="24">
        <v>18</v>
      </c>
      <c r="N4308" s="25">
        <f t="shared" si="135"/>
        <v>52146</v>
      </c>
      <c r="O4308" s="24"/>
    </row>
    <row r="4309" spans="1:15" hidden="1" x14ac:dyDescent="0.3">
      <c r="A4309" s="24">
        <v>34</v>
      </c>
      <c r="B4309" s="20" t="str">
        <f t="shared" si="134"/>
        <v>AUG</v>
      </c>
      <c r="C4309" s="21">
        <v>46257</v>
      </c>
      <c r="D4309" s="22" t="str">
        <f>IFERROR(INDEX('Kode Outlet dan Target Toko'!$A:$A,MATCH($I4309,'Kode Outlet dan Target Toko'!$E:$E,0)),"")</f>
        <v>GRSM 5</v>
      </c>
      <c r="E4309" s="20" t="str">
        <f>IFERROR(VLOOKUP(I4309,KET!$B:$F,4,0),"")</f>
        <v>SUPRIYATI</v>
      </c>
      <c r="F4309" s="20" t="str">
        <f>IFERROR(VLOOKUP($I4309,KET!$B:$F,5,0),"")</f>
        <v>GMM</v>
      </c>
      <c r="G4309" s="20">
        <f>IFERROR(INDEX('Kode Outlet dan Target Toko'!$C:$C,MATCH($I4309,'Kode Outlet dan Target Toko'!$E:$E,0)),0)</f>
        <v>211009</v>
      </c>
      <c r="H4309" s="20">
        <f>IFERROR(INDEX('Kode Outlet dan Target Toko'!$D:$D,MATCH($I4309,'Kode Outlet dan Target Toko'!$E:$E,0)),0)</f>
        <v>2100003</v>
      </c>
      <c r="I4309" s="41" t="s">
        <v>118</v>
      </c>
      <c r="J4309" s="45" t="s">
        <v>230</v>
      </c>
      <c r="K4309" s="53" t="s">
        <v>13</v>
      </c>
      <c r="L4309" s="23">
        <v>2897</v>
      </c>
      <c r="M4309" s="24">
        <v>40</v>
      </c>
      <c r="N4309" s="25">
        <f t="shared" si="135"/>
        <v>115880</v>
      </c>
      <c r="O4309" s="24"/>
    </row>
    <row r="4310" spans="1:15" hidden="1" x14ac:dyDescent="0.3">
      <c r="A4310" s="24">
        <v>34</v>
      </c>
      <c r="B4310" s="20" t="str">
        <f t="shared" si="134"/>
        <v>AUG</v>
      </c>
      <c r="C4310" s="21">
        <v>46257</v>
      </c>
      <c r="D4310" s="22" t="str">
        <f>IFERROR(INDEX('Kode Outlet dan Target Toko'!$A:$A,MATCH($I4310,'Kode Outlet dan Target Toko'!$E:$E,0)),"")</f>
        <v>GRSM 5</v>
      </c>
      <c r="E4310" s="20" t="str">
        <f>IFERROR(VLOOKUP(I4310,KET!$B:$F,4,0),"")</f>
        <v>SUPRIYATI</v>
      </c>
      <c r="F4310" s="20" t="str">
        <f>IFERROR(VLOOKUP($I4310,KET!$B:$F,5,0),"")</f>
        <v>GMM</v>
      </c>
      <c r="G4310" s="20">
        <f>IFERROR(INDEX('Kode Outlet dan Target Toko'!$C:$C,MATCH($I4310,'Kode Outlet dan Target Toko'!$E:$E,0)),0)</f>
        <v>211009</v>
      </c>
      <c r="H4310" s="20">
        <f>IFERROR(INDEX('Kode Outlet dan Target Toko'!$D:$D,MATCH($I4310,'Kode Outlet dan Target Toko'!$E:$E,0)),0)</f>
        <v>2100003</v>
      </c>
      <c r="I4310" s="41" t="s">
        <v>118</v>
      </c>
      <c r="J4310" s="45" t="s">
        <v>230</v>
      </c>
      <c r="K4310" s="53" t="s">
        <v>16</v>
      </c>
      <c r="L4310" s="23">
        <v>2897</v>
      </c>
      <c r="M4310" s="24">
        <v>114</v>
      </c>
      <c r="N4310" s="25">
        <f t="shared" si="135"/>
        <v>330258</v>
      </c>
      <c r="O4310" s="24">
        <v>160</v>
      </c>
    </row>
    <row r="4311" spans="1:15" hidden="1" x14ac:dyDescent="0.3">
      <c r="A4311" s="24">
        <v>34</v>
      </c>
      <c r="B4311" s="20" t="str">
        <f t="shared" si="134"/>
        <v>AUG</v>
      </c>
      <c r="C4311" s="21">
        <v>46257</v>
      </c>
      <c r="D4311" s="22" t="str">
        <f>IFERROR(INDEX('Kode Outlet dan Target Toko'!$A:$A,MATCH($I4311,'Kode Outlet dan Target Toko'!$E:$E,0)),"")</f>
        <v>GRSM 5</v>
      </c>
      <c r="E4311" s="20" t="str">
        <f>IFERROR(VLOOKUP(I4311,KET!$B:$F,4,0),"")</f>
        <v>SUPRIYATI</v>
      </c>
      <c r="F4311" s="20" t="str">
        <f>IFERROR(VLOOKUP($I4311,KET!$B:$F,5,0),"")</f>
        <v>GMM</v>
      </c>
      <c r="G4311" s="20">
        <f>IFERROR(INDEX('Kode Outlet dan Target Toko'!$C:$C,MATCH($I4311,'Kode Outlet dan Target Toko'!$E:$E,0)),0)</f>
        <v>211009</v>
      </c>
      <c r="H4311" s="20">
        <f>IFERROR(INDEX('Kode Outlet dan Target Toko'!$D:$D,MATCH($I4311,'Kode Outlet dan Target Toko'!$E:$E,0)),0)</f>
        <v>2100003</v>
      </c>
      <c r="I4311" s="41" t="s">
        <v>118</v>
      </c>
      <c r="J4311" s="45" t="s">
        <v>231</v>
      </c>
      <c r="K4311" s="53" t="s">
        <v>15</v>
      </c>
      <c r="L4311" s="23">
        <v>2897</v>
      </c>
      <c r="M4311" s="24">
        <v>42</v>
      </c>
      <c r="N4311" s="25">
        <f t="shared" si="135"/>
        <v>121674</v>
      </c>
      <c r="O4311" s="24"/>
    </row>
    <row r="4312" spans="1:15" hidden="1" x14ac:dyDescent="0.3">
      <c r="A4312" s="24">
        <v>34</v>
      </c>
      <c r="B4312" s="20" t="str">
        <f t="shared" si="134"/>
        <v>AUG</v>
      </c>
      <c r="C4312" s="21">
        <v>46257</v>
      </c>
      <c r="D4312" s="22" t="str">
        <f>IFERROR(INDEX('Kode Outlet dan Target Toko'!$A:$A,MATCH($I4312,'Kode Outlet dan Target Toko'!$E:$E,0)),"")</f>
        <v>GRSM 5</v>
      </c>
      <c r="E4312" s="20" t="str">
        <f>IFERROR(VLOOKUP(I4312,KET!$B:$F,4,0),"")</f>
        <v>SUPRIYATI</v>
      </c>
      <c r="F4312" s="20" t="str">
        <f>IFERROR(VLOOKUP($I4312,KET!$B:$F,5,0),"")</f>
        <v>GMM</v>
      </c>
      <c r="G4312" s="20">
        <f>IFERROR(INDEX('Kode Outlet dan Target Toko'!$C:$C,MATCH($I4312,'Kode Outlet dan Target Toko'!$E:$E,0)),0)</f>
        <v>211009</v>
      </c>
      <c r="H4312" s="20">
        <f>IFERROR(INDEX('Kode Outlet dan Target Toko'!$D:$D,MATCH($I4312,'Kode Outlet dan Target Toko'!$E:$E,0)),0)</f>
        <v>2100003</v>
      </c>
      <c r="I4312" s="41" t="s">
        <v>118</v>
      </c>
      <c r="J4312" s="45" t="s">
        <v>231</v>
      </c>
      <c r="K4312" s="53" t="s">
        <v>14</v>
      </c>
      <c r="L4312" s="23">
        <v>2897</v>
      </c>
      <c r="M4312" s="24">
        <v>18</v>
      </c>
      <c r="N4312" s="25">
        <f t="shared" si="135"/>
        <v>52146</v>
      </c>
      <c r="O4312" s="24"/>
    </row>
    <row r="4313" spans="1:15" hidden="1" x14ac:dyDescent="0.3">
      <c r="A4313" s="24">
        <v>34</v>
      </c>
      <c r="B4313" s="20" t="str">
        <f t="shared" si="134"/>
        <v>AUG</v>
      </c>
      <c r="C4313" s="21">
        <v>46257</v>
      </c>
      <c r="D4313" s="22" t="str">
        <f>IFERROR(INDEX('Kode Outlet dan Target Toko'!$A:$A,MATCH($I4313,'Kode Outlet dan Target Toko'!$E:$E,0)),"")</f>
        <v>GRSM 5</v>
      </c>
      <c r="E4313" s="20" t="str">
        <f>IFERROR(VLOOKUP(I4313,KET!$B:$F,4,0),"")</f>
        <v>SUPRIYATI</v>
      </c>
      <c r="F4313" s="20" t="str">
        <f>IFERROR(VLOOKUP($I4313,KET!$B:$F,5,0),"")</f>
        <v>GMM</v>
      </c>
      <c r="G4313" s="20">
        <f>IFERROR(INDEX('Kode Outlet dan Target Toko'!$C:$C,MATCH($I4313,'Kode Outlet dan Target Toko'!$E:$E,0)),0)</f>
        <v>211009</v>
      </c>
      <c r="H4313" s="20">
        <f>IFERROR(INDEX('Kode Outlet dan Target Toko'!$D:$D,MATCH($I4313,'Kode Outlet dan Target Toko'!$E:$E,0)),0)</f>
        <v>2100003</v>
      </c>
      <c r="I4313" s="41" t="s">
        <v>118</v>
      </c>
      <c r="J4313" s="45" t="s">
        <v>231</v>
      </c>
      <c r="K4313" s="53" t="s">
        <v>13</v>
      </c>
      <c r="L4313" s="23">
        <v>2897</v>
      </c>
      <c r="M4313" s="24">
        <v>40</v>
      </c>
      <c r="N4313" s="25">
        <f t="shared" si="135"/>
        <v>115880</v>
      </c>
      <c r="O4313" s="24"/>
    </row>
    <row r="4314" spans="1:15" hidden="1" x14ac:dyDescent="0.3">
      <c r="A4314" s="24">
        <v>34</v>
      </c>
      <c r="B4314" s="20" t="str">
        <f t="shared" si="134"/>
        <v>AUG</v>
      </c>
      <c r="C4314" s="21">
        <v>46257</v>
      </c>
      <c r="D4314" s="22" t="str">
        <f>IFERROR(INDEX('Kode Outlet dan Target Toko'!$A:$A,MATCH($I4314,'Kode Outlet dan Target Toko'!$E:$E,0)),"")</f>
        <v>GRSM 5</v>
      </c>
      <c r="E4314" s="20" t="str">
        <f>IFERROR(VLOOKUP(I4314,KET!$B:$F,4,0),"")</f>
        <v>SUPRIYATI</v>
      </c>
      <c r="F4314" s="20" t="str">
        <f>IFERROR(VLOOKUP($I4314,KET!$B:$F,5,0),"")</f>
        <v>GMM</v>
      </c>
      <c r="G4314" s="20">
        <f>IFERROR(INDEX('Kode Outlet dan Target Toko'!$C:$C,MATCH($I4314,'Kode Outlet dan Target Toko'!$E:$E,0)),0)</f>
        <v>211009</v>
      </c>
      <c r="H4314" s="20">
        <f>IFERROR(INDEX('Kode Outlet dan Target Toko'!$D:$D,MATCH($I4314,'Kode Outlet dan Target Toko'!$E:$E,0)),0)</f>
        <v>2100003</v>
      </c>
      <c r="I4314" s="41" t="s">
        <v>118</v>
      </c>
      <c r="J4314" s="45" t="s">
        <v>231</v>
      </c>
      <c r="K4314" s="53" t="s">
        <v>16</v>
      </c>
      <c r="L4314" s="23">
        <v>2897</v>
      </c>
      <c r="M4314" s="24">
        <v>114</v>
      </c>
      <c r="N4314" s="25">
        <f t="shared" si="135"/>
        <v>330258</v>
      </c>
      <c r="O4314" s="24">
        <v>160</v>
      </c>
    </row>
    <row r="4315" spans="1:15" hidden="1" x14ac:dyDescent="0.3">
      <c r="A4315" s="24">
        <v>34</v>
      </c>
      <c r="B4315" s="20" t="str">
        <f t="shared" si="134"/>
        <v>AUG</v>
      </c>
      <c r="C4315" s="21">
        <v>46252</v>
      </c>
      <c r="D4315" s="22" t="str">
        <f>IFERROR(INDEX('Kode Outlet dan Target Toko'!$A:$A,MATCH($I4315,'Kode Outlet dan Target Toko'!$E:$E,0)),"")</f>
        <v>GRSM 3A</v>
      </c>
      <c r="E4315" s="20" t="str">
        <f>IFERROR(VLOOKUP(I4315,KET!$B:$F,4,0),"")</f>
        <v>FAHMI LUKMANUL HAKIM</v>
      </c>
      <c r="F4315" s="20" t="str">
        <f>IFERROR(VLOOKUP($I4315,KET!$B:$F,5,0),"")</f>
        <v>GMM</v>
      </c>
      <c r="G4315" s="20">
        <f>IFERROR(INDEX('Kode Outlet dan Target Toko'!$C:$C,MATCH($I4315,'Kode Outlet dan Target Toko'!$E:$E,0)),0)</f>
        <v>211019</v>
      </c>
      <c r="H4315" s="20">
        <f>IFERROR(INDEX('Kode Outlet dan Target Toko'!$D:$D,MATCH($I4315,'Kode Outlet dan Target Toko'!$E:$E,0)),0)</f>
        <v>1556924</v>
      </c>
      <c r="I4315" s="41" t="s">
        <v>102</v>
      </c>
      <c r="J4315" s="45" t="s">
        <v>194</v>
      </c>
      <c r="K4315" s="53" t="s">
        <v>15</v>
      </c>
      <c r="L4315" s="23">
        <v>3007</v>
      </c>
      <c r="M4315" s="24">
        <v>34</v>
      </c>
      <c r="N4315" s="25">
        <f t="shared" si="135"/>
        <v>102238</v>
      </c>
      <c r="O4315" s="24"/>
    </row>
    <row r="4316" spans="1:15" hidden="1" x14ac:dyDescent="0.3">
      <c r="A4316" s="24">
        <v>34</v>
      </c>
      <c r="B4316" s="20" t="str">
        <f t="shared" si="134"/>
        <v>AUG</v>
      </c>
      <c r="C4316" s="21">
        <v>46252</v>
      </c>
      <c r="D4316" s="22" t="str">
        <f>IFERROR(INDEX('Kode Outlet dan Target Toko'!$A:$A,MATCH($I4316,'Kode Outlet dan Target Toko'!$E:$E,0)),"")</f>
        <v>GRSM 3A</v>
      </c>
      <c r="E4316" s="20" t="str">
        <f>IFERROR(VLOOKUP(I4316,KET!$B:$F,4,0),"")</f>
        <v>FAHMI LUKMANUL HAKIM</v>
      </c>
      <c r="F4316" s="20" t="str">
        <f>IFERROR(VLOOKUP($I4316,KET!$B:$F,5,0),"")</f>
        <v>GMM</v>
      </c>
      <c r="G4316" s="20">
        <f>IFERROR(INDEX('Kode Outlet dan Target Toko'!$C:$C,MATCH($I4316,'Kode Outlet dan Target Toko'!$E:$E,0)),0)</f>
        <v>211019</v>
      </c>
      <c r="H4316" s="20">
        <f>IFERROR(INDEX('Kode Outlet dan Target Toko'!$D:$D,MATCH($I4316,'Kode Outlet dan Target Toko'!$E:$E,0)),0)</f>
        <v>1556924</v>
      </c>
      <c r="I4316" s="41" t="s">
        <v>102</v>
      </c>
      <c r="J4316" s="45" t="s">
        <v>194</v>
      </c>
      <c r="K4316" s="53" t="s">
        <v>14</v>
      </c>
      <c r="L4316" s="23">
        <v>3007</v>
      </c>
      <c r="M4316" s="24">
        <v>70</v>
      </c>
      <c r="N4316" s="25">
        <f t="shared" si="135"/>
        <v>210490</v>
      </c>
      <c r="O4316" s="24"/>
    </row>
    <row r="4317" spans="1:15" hidden="1" x14ac:dyDescent="0.3">
      <c r="A4317" s="24">
        <v>34</v>
      </c>
      <c r="B4317" s="20" t="str">
        <f t="shared" si="134"/>
        <v>AUG</v>
      </c>
      <c r="C4317" s="21">
        <v>46252</v>
      </c>
      <c r="D4317" s="22" t="str">
        <f>IFERROR(INDEX('Kode Outlet dan Target Toko'!$A:$A,MATCH($I4317,'Kode Outlet dan Target Toko'!$E:$E,0)),"")</f>
        <v>GRSM 3A</v>
      </c>
      <c r="E4317" s="20" t="str">
        <f>IFERROR(VLOOKUP(I4317,KET!$B:$F,4,0),"")</f>
        <v>FAHMI LUKMANUL HAKIM</v>
      </c>
      <c r="F4317" s="20" t="str">
        <f>IFERROR(VLOOKUP($I4317,KET!$B:$F,5,0),"")</f>
        <v>GMM</v>
      </c>
      <c r="G4317" s="20">
        <f>IFERROR(INDEX('Kode Outlet dan Target Toko'!$C:$C,MATCH($I4317,'Kode Outlet dan Target Toko'!$E:$E,0)),0)</f>
        <v>211019</v>
      </c>
      <c r="H4317" s="20">
        <f>IFERROR(INDEX('Kode Outlet dan Target Toko'!$D:$D,MATCH($I4317,'Kode Outlet dan Target Toko'!$E:$E,0)),0)</f>
        <v>1556924</v>
      </c>
      <c r="I4317" s="41" t="s">
        <v>102</v>
      </c>
      <c r="J4317" s="45" t="s">
        <v>194</v>
      </c>
      <c r="K4317" s="53" t="s">
        <v>13</v>
      </c>
      <c r="L4317" s="23">
        <v>3007</v>
      </c>
      <c r="M4317" s="24">
        <v>24</v>
      </c>
      <c r="N4317" s="25">
        <f t="shared" si="135"/>
        <v>72168</v>
      </c>
      <c r="O4317" s="24"/>
    </row>
    <row r="4318" spans="1:15" hidden="1" x14ac:dyDescent="0.3">
      <c r="A4318" s="24">
        <v>34</v>
      </c>
      <c r="B4318" s="20" t="str">
        <f t="shared" si="134"/>
        <v>AUG</v>
      </c>
      <c r="C4318" s="21">
        <v>46252</v>
      </c>
      <c r="D4318" s="22" t="str">
        <f>IFERROR(INDEX('Kode Outlet dan Target Toko'!$A:$A,MATCH($I4318,'Kode Outlet dan Target Toko'!$E:$E,0)),"")</f>
        <v>GRSM 3A</v>
      </c>
      <c r="E4318" s="20" t="str">
        <f>IFERROR(VLOOKUP(I4318,KET!$B:$F,4,0),"")</f>
        <v>FAHMI LUKMANUL HAKIM</v>
      </c>
      <c r="F4318" s="20" t="str">
        <f>IFERROR(VLOOKUP($I4318,KET!$B:$F,5,0),"")</f>
        <v>GMM</v>
      </c>
      <c r="G4318" s="20">
        <f>IFERROR(INDEX('Kode Outlet dan Target Toko'!$C:$C,MATCH($I4318,'Kode Outlet dan Target Toko'!$E:$E,0)),0)</f>
        <v>211019</v>
      </c>
      <c r="H4318" s="20">
        <f>IFERROR(INDEX('Kode Outlet dan Target Toko'!$D:$D,MATCH($I4318,'Kode Outlet dan Target Toko'!$E:$E,0)),0)</f>
        <v>1556924</v>
      </c>
      <c r="I4318" s="41" t="s">
        <v>102</v>
      </c>
      <c r="J4318" s="45" t="s">
        <v>194</v>
      </c>
      <c r="K4318" s="53" t="s">
        <v>16</v>
      </c>
      <c r="L4318" s="23">
        <v>3007</v>
      </c>
      <c r="M4318" s="24">
        <v>690</v>
      </c>
      <c r="N4318" s="25">
        <f t="shared" si="135"/>
        <v>2074830</v>
      </c>
      <c r="O4318" s="24">
        <v>150</v>
      </c>
    </row>
    <row r="4319" spans="1:15" hidden="1" x14ac:dyDescent="0.3">
      <c r="A4319" s="24">
        <v>34</v>
      </c>
      <c r="B4319" s="20" t="str">
        <f t="shared" si="134"/>
        <v>AUG</v>
      </c>
      <c r="C4319" s="21">
        <v>46252</v>
      </c>
      <c r="D4319" s="22" t="str">
        <f>IFERROR(INDEX('Kode Outlet dan Target Toko'!$A:$A,MATCH($I4319,'Kode Outlet dan Target Toko'!$E:$E,0)),"")</f>
        <v>GRSM 3A</v>
      </c>
      <c r="E4319" s="20" t="str">
        <f>IFERROR(VLOOKUP(I4319,KET!$B:$F,4,0),"")</f>
        <v>FAHMI LUKMANUL HAKIM</v>
      </c>
      <c r="F4319" s="20" t="str">
        <f>IFERROR(VLOOKUP($I4319,KET!$B:$F,5,0),"")</f>
        <v>GMM</v>
      </c>
      <c r="G4319" s="20">
        <f>IFERROR(INDEX('Kode Outlet dan Target Toko'!$C:$C,MATCH($I4319,'Kode Outlet dan Target Toko'!$E:$E,0)),0)</f>
        <v>211019</v>
      </c>
      <c r="H4319" s="20">
        <f>IFERROR(INDEX('Kode Outlet dan Target Toko'!$D:$D,MATCH($I4319,'Kode Outlet dan Target Toko'!$E:$E,0)),0)</f>
        <v>1556924</v>
      </c>
      <c r="I4319" s="41" t="s">
        <v>102</v>
      </c>
      <c r="J4319" s="45" t="s">
        <v>195</v>
      </c>
      <c r="K4319" s="53" t="s">
        <v>15</v>
      </c>
      <c r="L4319" s="23">
        <v>3007</v>
      </c>
      <c r="M4319" s="24">
        <v>34</v>
      </c>
      <c r="N4319" s="25">
        <f t="shared" si="135"/>
        <v>102238</v>
      </c>
      <c r="O4319" s="24"/>
    </row>
    <row r="4320" spans="1:15" hidden="1" x14ac:dyDescent="0.3">
      <c r="A4320" s="24">
        <v>34</v>
      </c>
      <c r="B4320" s="20" t="str">
        <f t="shared" si="134"/>
        <v>AUG</v>
      </c>
      <c r="C4320" s="21">
        <v>46252</v>
      </c>
      <c r="D4320" s="22" t="str">
        <f>IFERROR(INDEX('Kode Outlet dan Target Toko'!$A:$A,MATCH($I4320,'Kode Outlet dan Target Toko'!$E:$E,0)),"")</f>
        <v>GRSM 3A</v>
      </c>
      <c r="E4320" s="20" t="str">
        <f>IFERROR(VLOOKUP(I4320,KET!$B:$F,4,0),"")</f>
        <v>FAHMI LUKMANUL HAKIM</v>
      </c>
      <c r="F4320" s="20" t="str">
        <f>IFERROR(VLOOKUP($I4320,KET!$B:$F,5,0),"")</f>
        <v>GMM</v>
      </c>
      <c r="G4320" s="20">
        <f>IFERROR(INDEX('Kode Outlet dan Target Toko'!$C:$C,MATCH($I4320,'Kode Outlet dan Target Toko'!$E:$E,0)),0)</f>
        <v>211019</v>
      </c>
      <c r="H4320" s="20">
        <f>IFERROR(INDEX('Kode Outlet dan Target Toko'!$D:$D,MATCH($I4320,'Kode Outlet dan Target Toko'!$E:$E,0)),0)</f>
        <v>1556924</v>
      </c>
      <c r="I4320" s="41" t="s">
        <v>102</v>
      </c>
      <c r="J4320" s="45" t="s">
        <v>195</v>
      </c>
      <c r="K4320" s="53" t="s">
        <v>14</v>
      </c>
      <c r="L4320" s="23">
        <v>3007</v>
      </c>
      <c r="M4320" s="24">
        <v>70</v>
      </c>
      <c r="N4320" s="25">
        <f t="shared" si="135"/>
        <v>210490</v>
      </c>
      <c r="O4320" s="24"/>
    </row>
    <row r="4321" spans="1:15" hidden="1" x14ac:dyDescent="0.3">
      <c r="A4321" s="24">
        <v>34</v>
      </c>
      <c r="B4321" s="20" t="str">
        <f t="shared" si="134"/>
        <v>AUG</v>
      </c>
      <c r="C4321" s="21">
        <v>46252</v>
      </c>
      <c r="D4321" s="22" t="str">
        <f>IFERROR(INDEX('Kode Outlet dan Target Toko'!$A:$A,MATCH($I4321,'Kode Outlet dan Target Toko'!$E:$E,0)),"")</f>
        <v>GRSM 3A</v>
      </c>
      <c r="E4321" s="20" t="str">
        <f>IFERROR(VLOOKUP(I4321,KET!$B:$F,4,0),"")</f>
        <v>FAHMI LUKMANUL HAKIM</v>
      </c>
      <c r="F4321" s="20" t="str">
        <f>IFERROR(VLOOKUP($I4321,KET!$B:$F,5,0),"")</f>
        <v>GMM</v>
      </c>
      <c r="G4321" s="20">
        <f>IFERROR(INDEX('Kode Outlet dan Target Toko'!$C:$C,MATCH($I4321,'Kode Outlet dan Target Toko'!$E:$E,0)),0)</f>
        <v>211019</v>
      </c>
      <c r="H4321" s="20">
        <f>IFERROR(INDEX('Kode Outlet dan Target Toko'!$D:$D,MATCH($I4321,'Kode Outlet dan Target Toko'!$E:$E,0)),0)</f>
        <v>1556924</v>
      </c>
      <c r="I4321" s="41" t="s">
        <v>102</v>
      </c>
      <c r="J4321" s="45" t="s">
        <v>195</v>
      </c>
      <c r="K4321" s="53" t="s">
        <v>13</v>
      </c>
      <c r="L4321" s="23">
        <v>3007</v>
      </c>
      <c r="M4321" s="24">
        <v>24</v>
      </c>
      <c r="N4321" s="25">
        <f t="shared" si="135"/>
        <v>72168</v>
      </c>
      <c r="O4321" s="24"/>
    </row>
    <row r="4322" spans="1:15" hidden="1" x14ac:dyDescent="0.3">
      <c r="A4322" s="24">
        <v>34</v>
      </c>
      <c r="B4322" s="20" t="str">
        <f t="shared" si="134"/>
        <v>AUG</v>
      </c>
      <c r="C4322" s="21">
        <v>46252</v>
      </c>
      <c r="D4322" s="22" t="str">
        <f>IFERROR(INDEX('Kode Outlet dan Target Toko'!$A:$A,MATCH($I4322,'Kode Outlet dan Target Toko'!$E:$E,0)),"")</f>
        <v>GRSM 3A</v>
      </c>
      <c r="E4322" s="20" t="str">
        <f>IFERROR(VLOOKUP(I4322,KET!$B:$F,4,0),"")</f>
        <v>FAHMI LUKMANUL HAKIM</v>
      </c>
      <c r="F4322" s="20" t="str">
        <f>IFERROR(VLOOKUP($I4322,KET!$B:$F,5,0),"")</f>
        <v>GMM</v>
      </c>
      <c r="G4322" s="20">
        <f>IFERROR(INDEX('Kode Outlet dan Target Toko'!$C:$C,MATCH($I4322,'Kode Outlet dan Target Toko'!$E:$E,0)),0)</f>
        <v>211019</v>
      </c>
      <c r="H4322" s="20">
        <f>IFERROR(INDEX('Kode Outlet dan Target Toko'!$D:$D,MATCH($I4322,'Kode Outlet dan Target Toko'!$E:$E,0)),0)</f>
        <v>1556924</v>
      </c>
      <c r="I4322" s="41" t="s">
        <v>102</v>
      </c>
      <c r="J4322" s="45" t="s">
        <v>195</v>
      </c>
      <c r="K4322" s="53" t="s">
        <v>16</v>
      </c>
      <c r="L4322" s="23">
        <v>3007</v>
      </c>
      <c r="M4322" s="24">
        <v>690</v>
      </c>
      <c r="N4322" s="25">
        <f t="shared" si="135"/>
        <v>2074830</v>
      </c>
      <c r="O4322" s="24">
        <v>150</v>
      </c>
    </row>
    <row r="4323" spans="1:15" hidden="1" x14ac:dyDescent="0.3">
      <c r="A4323" s="24">
        <v>34</v>
      </c>
      <c r="B4323" s="20" t="str">
        <f t="shared" si="134"/>
        <v>AUG</v>
      </c>
      <c r="C4323" s="21">
        <v>46255</v>
      </c>
      <c r="D4323" s="22" t="str">
        <f>IFERROR(INDEX('Kode Outlet dan Target Toko'!$A:$A,MATCH($I4323,'Kode Outlet dan Target Toko'!$E:$E,0)),"")</f>
        <v>GRSM 3A</v>
      </c>
      <c r="E4323" s="20" t="str">
        <f>IFERROR(VLOOKUP(I4323,KET!$B:$F,4,0),"")</f>
        <v>FAHMI LUKMANUL HAKIM</v>
      </c>
      <c r="F4323" s="20" t="str">
        <f>IFERROR(VLOOKUP($I4323,KET!$B:$F,5,0),"")</f>
        <v>GMM</v>
      </c>
      <c r="G4323" s="20">
        <f>IFERROR(INDEX('Kode Outlet dan Target Toko'!$C:$C,MATCH($I4323,'Kode Outlet dan Target Toko'!$E:$E,0)),0)</f>
        <v>211019</v>
      </c>
      <c r="H4323" s="20">
        <f>IFERROR(INDEX('Kode Outlet dan Target Toko'!$D:$D,MATCH($I4323,'Kode Outlet dan Target Toko'!$E:$E,0)),0)</f>
        <v>1556924</v>
      </c>
      <c r="I4323" s="41" t="s">
        <v>102</v>
      </c>
      <c r="J4323" s="45" t="s">
        <v>194</v>
      </c>
      <c r="K4323" s="53" t="s">
        <v>15</v>
      </c>
      <c r="L4323" s="23">
        <v>3011</v>
      </c>
      <c r="M4323" s="24">
        <v>77</v>
      </c>
      <c r="N4323" s="25">
        <f t="shared" si="135"/>
        <v>231847</v>
      </c>
      <c r="O4323" s="24"/>
    </row>
    <row r="4324" spans="1:15" hidden="1" x14ac:dyDescent="0.3">
      <c r="A4324" s="24">
        <v>34</v>
      </c>
      <c r="B4324" s="20" t="str">
        <f t="shared" si="134"/>
        <v>AUG</v>
      </c>
      <c r="C4324" s="21">
        <v>46255</v>
      </c>
      <c r="D4324" s="22" t="str">
        <f>IFERROR(INDEX('Kode Outlet dan Target Toko'!$A:$A,MATCH($I4324,'Kode Outlet dan Target Toko'!$E:$E,0)),"")</f>
        <v>GRSM 3A</v>
      </c>
      <c r="E4324" s="20" t="str">
        <f>IFERROR(VLOOKUP(I4324,KET!$B:$F,4,0),"")</f>
        <v>FAHMI LUKMANUL HAKIM</v>
      </c>
      <c r="F4324" s="20" t="str">
        <f>IFERROR(VLOOKUP($I4324,KET!$B:$F,5,0),"")</f>
        <v>GMM</v>
      </c>
      <c r="G4324" s="20">
        <f>IFERROR(INDEX('Kode Outlet dan Target Toko'!$C:$C,MATCH($I4324,'Kode Outlet dan Target Toko'!$E:$E,0)),0)</f>
        <v>211019</v>
      </c>
      <c r="H4324" s="20">
        <f>IFERROR(INDEX('Kode Outlet dan Target Toko'!$D:$D,MATCH($I4324,'Kode Outlet dan Target Toko'!$E:$E,0)),0)</f>
        <v>1556924</v>
      </c>
      <c r="I4324" s="41" t="s">
        <v>102</v>
      </c>
      <c r="J4324" s="45" t="s">
        <v>194</v>
      </c>
      <c r="K4324" s="53" t="s">
        <v>14</v>
      </c>
      <c r="L4324" s="23">
        <v>3011</v>
      </c>
      <c r="M4324" s="24">
        <v>63</v>
      </c>
      <c r="N4324" s="25">
        <f t="shared" si="135"/>
        <v>189693</v>
      </c>
      <c r="O4324" s="24"/>
    </row>
    <row r="4325" spans="1:15" hidden="1" x14ac:dyDescent="0.3">
      <c r="A4325" s="24">
        <v>34</v>
      </c>
      <c r="B4325" s="20" t="str">
        <f t="shared" si="134"/>
        <v>AUG</v>
      </c>
      <c r="C4325" s="21">
        <v>46255</v>
      </c>
      <c r="D4325" s="22" t="str">
        <f>IFERROR(INDEX('Kode Outlet dan Target Toko'!$A:$A,MATCH($I4325,'Kode Outlet dan Target Toko'!$E:$E,0)),"")</f>
        <v>GRSM 3A</v>
      </c>
      <c r="E4325" s="20" t="str">
        <f>IFERROR(VLOOKUP(I4325,KET!$B:$F,4,0),"")</f>
        <v>FAHMI LUKMANUL HAKIM</v>
      </c>
      <c r="F4325" s="20" t="str">
        <f>IFERROR(VLOOKUP($I4325,KET!$B:$F,5,0),"")</f>
        <v>GMM</v>
      </c>
      <c r="G4325" s="20">
        <f>IFERROR(INDEX('Kode Outlet dan Target Toko'!$C:$C,MATCH($I4325,'Kode Outlet dan Target Toko'!$E:$E,0)),0)</f>
        <v>211019</v>
      </c>
      <c r="H4325" s="20">
        <f>IFERROR(INDEX('Kode Outlet dan Target Toko'!$D:$D,MATCH($I4325,'Kode Outlet dan Target Toko'!$E:$E,0)),0)</f>
        <v>1556924</v>
      </c>
      <c r="I4325" s="41" t="s">
        <v>102</v>
      </c>
      <c r="J4325" s="45" t="s">
        <v>194</v>
      </c>
      <c r="K4325" s="53" t="s">
        <v>13</v>
      </c>
      <c r="L4325" s="23">
        <v>3011</v>
      </c>
      <c r="M4325" s="24">
        <v>18</v>
      </c>
      <c r="N4325" s="25">
        <f t="shared" si="135"/>
        <v>54198</v>
      </c>
      <c r="O4325" s="24"/>
    </row>
    <row r="4326" spans="1:15" hidden="1" x14ac:dyDescent="0.3">
      <c r="A4326" s="24">
        <v>34</v>
      </c>
      <c r="B4326" s="20" t="str">
        <f t="shared" si="134"/>
        <v>AUG</v>
      </c>
      <c r="C4326" s="21">
        <v>46255</v>
      </c>
      <c r="D4326" s="22" t="str">
        <f>IFERROR(INDEX('Kode Outlet dan Target Toko'!$A:$A,MATCH($I4326,'Kode Outlet dan Target Toko'!$E:$E,0)),"")</f>
        <v>GRSM 3A</v>
      </c>
      <c r="E4326" s="20" t="str">
        <f>IFERROR(VLOOKUP(I4326,KET!$B:$F,4,0),"")</f>
        <v>FAHMI LUKMANUL HAKIM</v>
      </c>
      <c r="F4326" s="20" t="str">
        <f>IFERROR(VLOOKUP($I4326,KET!$B:$F,5,0),"")</f>
        <v>GMM</v>
      </c>
      <c r="G4326" s="20">
        <f>IFERROR(INDEX('Kode Outlet dan Target Toko'!$C:$C,MATCH($I4326,'Kode Outlet dan Target Toko'!$E:$E,0)),0)</f>
        <v>211019</v>
      </c>
      <c r="H4326" s="20">
        <f>IFERROR(INDEX('Kode Outlet dan Target Toko'!$D:$D,MATCH($I4326,'Kode Outlet dan Target Toko'!$E:$E,0)),0)</f>
        <v>1556924</v>
      </c>
      <c r="I4326" s="41" t="s">
        <v>102</v>
      </c>
      <c r="J4326" s="45" t="s">
        <v>194</v>
      </c>
      <c r="K4326" s="53" t="s">
        <v>16</v>
      </c>
      <c r="L4326" s="23">
        <v>3011</v>
      </c>
      <c r="M4326" s="24">
        <v>108</v>
      </c>
      <c r="N4326" s="25">
        <f t="shared" si="135"/>
        <v>325188</v>
      </c>
      <c r="O4326" s="24">
        <v>55</v>
      </c>
    </row>
    <row r="4327" spans="1:15" hidden="1" x14ac:dyDescent="0.3">
      <c r="A4327" s="24">
        <v>34</v>
      </c>
      <c r="B4327" s="20" t="str">
        <f t="shared" si="134"/>
        <v>AUG</v>
      </c>
      <c r="C4327" s="21">
        <v>46255</v>
      </c>
      <c r="D4327" s="22" t="str">
        <f>IFERROR(INDEX('Kode Outlet dan Target Toko'!$A:$A,MATCH($I4327,'Kode Outlet dan Target Toko'!$E:$E,0)),"")</f>
        <v>GRSM 3A</v>
      </c>
      <c r="E4327" s="20" t="str">
        <f>IFERROR(VLOOKUP(I4327,KET!$B:$F,4,0),"")</f>
        <v>FAHMI LUKMANUL HAKIM</v>
      </c>
      <c r="F4327" s="20" t="str">
        <f>IFERROR(VLOOKUP($I4327,KET!$B:$F,5,0),"")</f>
        <v>GMM</v>
      </c>
      <c r="G4327" s="20">
        <f>IFERROR(INDEX('Kode Outlet dan Target Toko'!$C:$C,MATCH($I4327,'Kode Outlet dan Target Toko'!$E:$E,0)),0)</f>
        <v>211019</v>
      </c>
      <c r="H4327" s="20">
        <f>IFERROR(INDEX('Kode Outlet dan Target Toko'!$D:$D,MATCH($I4327,'Kode Outlet dan Target Toko'!$E:$E,0)),0)</f>
        <v>1556924</v>
      </c>
      <c r="I4327" s="41" t="s">
        <v>102</v>
      </c>
      <c r="J4327" s="45" t="s">
        <v>195</v>
      </c>
      <c r="K4327" s="53" t="s">
        <v>15</v>
      </c>
      <c r="L4327" s="23">
        <v>3011</v>
      </c>
      <c r="M4327" s="24">
        <v>77</v>
      </c>
      <c r="N4327" s="25">
        <f t="shared" si="135"/>
        <v>231847</v>
      </c>
      <c r="O4327" s="24"/>
    </row>
    <row r="4328" spans="1:15" hidden="1" x14ac:dyDescent="0.3">
      <c r="A4328" s="24">
        <v>34</v>
      </c>
      <c r="B4328" s="20" t="str">
        <f t="shared" si="134"/>
        <v>AUG</v>
      </c>
      <c r="C4328" s="21">
        <v>46255</v>
      </c>
      <c r="D4328" s="22" t="str">
        <f>IFERROR(INDEX('Kode Outlet dan Target Toko'!$A:$A,MATCH($I4328,'Kode Outlet dan Target Toko'!$E:$E,0)),"")</f>
        <v>GRSM 3A</v>
      </c>
      <c r="E4328" s="20" t="str">
        <f>IFERROR(VLOOKUP(I4328,KET!$B:$F,4,0),"")</f>
        <v>FAHMI LUKMANUL HAKIM</v>
      </c>
      <c r="F4328" s="20" t="str">
        <f>IFERROR(VLOOKUP($I4328,KET!$B:$F,5,0),"")</f>
        <v>GMM</v>
      </c>
      <c r="G4328" s="20">
        <f>IFERROR(INDEX('Kode Outlet dan Target Toko'!$C:$C,MATCH($I4328,'Kode Outlet dan Target Toko'!$E:$E,0)),0)</f>
        <v>211019</v>
      </c>
      <c r="H4328" s="20">
        <f>IFERROR(INDEX('Kode Outlet dan Target Toko'!$D:$D,MATCH($I4328,'Kode Outlet dan Target Toko'!$E:$E,0)),0)</f>
        <v>1556924</v>
      </c>
      <c r="I4328" s="41" t="s">
        <v>102</v>
      </c>
      <c r="J4328" s="45" t="s">
        <v>195</v>
      </c>
      <c r="K4328" s="53" t="s">
        <v>14</v>
      </c>
      <c r="L4328" s="23">
        <v>3011</v>
      </c>
      <c r="M4328" s="24">
        <v>63</v>
      </c>
      <c r="N4328" s="25">
        <f t="shared" si="135"/>
        <v>189693</v>
      </c>
      <c r="O4328" s="24"/>
    </row>
    <row r="4329" spans="1:15" hidden="1" x14ac:dyDescent="0.3">
      <c r="A4329" s="24">
        <v>34</v>
      </c>
      <c r="B4329" s="20" t="str">
        <f t="shared" si="134"/>
        <v>AUG</v>
      </c>
      <c r="C4329" s="21">
        <v>46255</v>
      </c>
      <c r="D4329" s="22" t="str">
        <f>IFERROR(INDEX('Kode Outlet dan Target Toko'!$A:$A,MATCH($I4329,'Kode Outlet dan Target Toko'!$E:$E,0)),"")</f>
        <v>GRSM 3A</v>
      </c>
      <c r="E4329" s="20" t="str">
        <f>IFERROR(VLOOKUP(I4329,KET!$B:$F,4,0),"")</f>
        <v>FAHMI LUKMANUL HAKIM</v>
      </c>
      <c r="F4329" s="20" t="str">
        <f>IFERROR(VLOOKUP($I4329,KET!$B:$F,5,0),"")</f>
        <v>GMM</v>
      </c>
      <c r="G4329" s="20">
        <f>IFERROR(INDEX('Kode Outlet dan Target Toko'!$C:$C,MATCH($I4329,'Kode Outlet dan Target Toko'!$E:$E,0)),0)</f>
        <v>211019</v>
      </c>
      <c r="H4329" s="20">
        <f>IFERROR(INDEX('Kode Outlet dan Target Toko'!$D:$D,MATCH($I4329,'Kode Outlet dan Target Toko'!$E:$E,0)),0)</f>
        <v>1556924</v>
      </c>
      <c r="I4329" s="41" t="s">
        <v>102</v>
      </c>
      <c r="J4329" s="45" t="s">
        <v>195</v>
      </c>
      <c r="K4329" s="53" t="s">
        <v>13</v>
      </c>
      <c r="L4329" s="23">
        <v>3011</v>
      </c>
      <c r="M4329" s="24">
        <v>18</v>
      </c>
      <c r="N4329" s="25">
        <f t="shared" si="135"/>
        <v>54198</v>
      </c>
      <c r="O4329" s="24"/>
    </row>
    <row r="4330" spans="1:15" hidden="1" x14ac:dyDescent="0.3">
      <c r="A4330" s="24">
        <v>34</v>
      </c>
      <c r="B4330" s="20" t="str">
        <f t="shared" si="134"/>
        <v>AUG</v>
      </c>
      <c r="C4330" s="21">
        <v>46255</v>
      </c>
      <c r="D4330" s="22" t="str">
        <f>IFERROR(INDEX('Kode Outlet dan Target Toko'!$A:$A,MATCH($I4330,'Kode Outlet dan Target Toko'!$E:$E,0)),"")</f>
        <v>GRSM 3A</v>
      </c>
      <c r="E4330" s="20" t="str">
        <f>IFERROR(VLOOKUP(I4330,KET!$B:$F,4,0),"")</f>
        <v>FAHMI LUKMANUL HAKIM</v>
      </c>
      <c r="F4330" s="20" t="str">
        <f>IFERROR(VLOOKUP($I4330,KET!$B:$F,5,0),"")</f>
        <v>GMM</v>
      </c>
      <c r="G4330" s="20">
        <f>IFERROR(INDEX('Kode Outlet dan Target Toko'!$C:$C,MATCH($I4330,'Kode Outlet dan Target Toko'!$E:$E,0)),0)</f>
        <v>211019</v>
      </c>
      <c r="H4330" s="20">
        <f>IFERROR(INDEX('Kode Outlet dan Target Toko'!$D:$D,MATCH($I4330,'Kode Outlet dan Target Toko'!$E:$E,0)),0)</f>
        <v>1556924</v>
      </c>
      <c r="I4330" s="41" t="s">
        <v>102</v>
      </c>
      <c r="J4330" s="45" t="s">
        <v>195</v>
      </c>
      <c r="K4330" s="53" t="s">
        <v>16</v>
      </c>
      <c r="L4330" s="23">
        <v>3011</v>
      </c>
      <c r="M4330" s="24">
        <v>108</v>
      </c>
      <c r="N4330" s="25">
        <f t="shared" si="135"/>
        <v>325188</v>
      </c>
      <c r="O4330" s="24">
        <v>55</v>
      </c>
    </row>
    <row r="4331" spans="1:15" hidden="1" x14ac:dyDescent="0.3">
      <c r="A4331" s="24">
        <v>34</v>
      </c>
      <c r="B4331" s="20" t="str">
        <f t="shared" si="134"/>
        <v>AUG</v>
      </c>
      <c r="C4331" s="21">
        <v>46255</v>
      </c>
      <c r="D4331" s="22" t="str">
        <f>IFERROR(INDEX('Kode Outlet dan Target Toko'!$A:$A,MATCH($I4331,'Kode Outlet dan Target Toko'!$E:$E,0)),"")</f>
        <v>GRSM 4</v>
      </c>
      <c r="E4331" s="20" t="str">
        <f>IFERROR(VLOOKUP(I4331,KET!$B:$F,4,0),"")</f>
        <v>FAHMI LUKMANUL HAKIM</v>
      </c>
      <c r="F4331" s="20" t="str">
        <f>IFERROR(VLOOKUP($I4331,KET!$B:$F,5,0),"")</f>
        <v>NKA</v>
      </c>
      <c r="G4331" s="20">
        <f>IFERROR(INDEX('Kode Outlet dan Target Toko'!$C:$C,MATCH($I4331,'Kode Outlet dan Target Toko'!$E:$E,0)),0)</f>
        <v>195403</v>
      </c>
      <c r="H4331" s="20">
        <f>IFERROR(INDEX('Kode Outlet dan Target Toko'!$D:$D,MATCH($I4331,'Kode Outlet dan Target Toko'!$E:$E,0)),0)</f>
        <v>1600007</v>
      </c>
      <c r="I4331" s="41" t="s">
        <v>87</v>
      </c>
      <c r="J4331" s="45" t="s">
        <v>174</v>
      </c>
      <c r="K4331" s="53" t="s">
        <v>15</v>
      </c>
      <c r="L4331" s="23">
        <v>2150</v>
      </c>
      <c r="M4331" s="24">
        <v>81</v>
      </c>
      <c r="N4331" s="25">
        <f t="shared" si="135"/>
        <v>174150</v>
      </c>
      <c r="O4331" s="24"/>
    </row>
    <row r="4332" spans="1:15" hidden="1" x14ac:dyDescent="0.3">
      <c r="A4332" s="24">
        <v>34</v>
      </c>
      <c r="B4332" s="20" t="str">
        <f t="shared" si="134"/>
        <v>AUG</v>
      </c>
      <c r="C4332" s="21">
        <v>46255</v>
      </c>
      <c r="D4332" s="22" t="str">
        <f>IFERROR(INDEX('Kode Outlet dan Target Toko'!$A:$A,MATCH($I4332,'Kode Outlet dan Target Toko'!$E:$E,0)),"")</f>
        <v>GRSM 4</v>
      </c>
      <c r="E4332" s="20" t="str">
        <f>IFERROR(VLOOKUP(I4332,KET!$B:$F,4,0),"")</f>
        <v>FAHMI LUKMANUL HAKIM</v>
      </c>
      <c r="F4332" s="20" t="str">
        <f>IFERROR(VLOOKUP($I4332,KET!$B:$F,5,0),"")</f>
        <v>NKA</v>
      </c>
      <c r="G4332" s="20">
        <f>IFERROR(INDEX('Kode Outlet dan Target Toko'!$C:$C,MATCH($I4332,'Kode Outlet dan Target Toko'!$E:$E,0)),0)</f>
        <v>195403</v>
      </c>
      <c r="H4332" s="20">
        <f>IFERROR(INDEX('Kode Outlet dan Target Toko'!$D:$D,MATCH($I4332,'Kode Outlet dan Target Toko'!$E:$E,0)),0)</f>
        <v>1600007</v>
      </c>
      <c r="I4332" s="41" t="s">
        <v>87</v>
      </c>
      <c r="J4332" s="45" t="s">
        <v>174</v>
      </c>
      <c r="K4332" s="53" t="s">
        <v>14</v>
      </c>
      <c r="L4332" s="23">
        <v>2150</v>
      </c>
      <c r="M4332" s="24">
        <v>84</v>
      </c>
      <c r="N4332" s="25">
        <f t="shared" si="135"/>
        <v>180600</v>
      </c>
      <c r="O4332" s="24"/>
    </row>
    <row r="4333" spans="1:15" hidden="1" x14ac:dyDescent="0.3">
      <c r="A4333" s="24">
        <v>34</v>
      </c>
      <c r="B4333" s="20" t="str">
        <f t="shared" si="134"/>
        <v>AUG</v>
      </c>
      <c r="C4333" s="21">
        <v>46255</v>
      </c>
      <c r="D4333" s="22" t="str">
        <f>IFERROR(INDEX('Kode Outlet dan Target Toko'!$A:$A,MATCH($I4333,'Kode Outlet dan Target Toko'!$E:$E,0)),"")</f>
        <v>GRSM 4</v>
      </c>
      <c r="E4333" s="20" t="str">
        <f>IFERROR(VLOOKUP(I4333,KET!$B:$F,4,0),"")</f>
        <v>FAHMI LUKMANUL HAKIM</v>
      </c>
      <c r="F4333" s="20" t="str">
        <f>IFERROR(VLOOKUP($I4333,KET!$B:$F,5,0),"")</f>
        <v>NKA</v>
      </c>
      <c r="G4333" s="20">
        <f>IFERROR(INDEX('Kode Outlet dan Target Toko'!$C:$C,MATCH($I4333,'Kode Outlet dan Target Toko'!$E:$E,0)),0)</f>
        <v>195403</v>
      </c>
      <c r="H4333" s="20">
        <f>IFERROR(INDEX('Kode Outlet dan Target Toko'!$D:$D,MATCH($I4333,'Kode Outlet dan Target Toko'!$E:$E,0)),0)</f>
        <v>1600007</v>
      </c>
      <c r="I4333" s="41" t="s">
        <v>87</v>
      </c>
      <c r="J4333" s="45" t="s">
        <v>174</v>
      </c>
      <c r="K4333" s="53" t="s">
        <v>13</v>
      </c>
      <c r="L4333" s="23">
        <v>2150</v>
      </c>
      <c r="M4333" s="24">
        <v>78</v>
      </c>
      <c r="N4333" s="25">
        <f t="shared" si="135"/>
        <v>167700</v>
      </c>
      <c r="O4333" s="24"/>
    </row>
    <row r="4334" spans="1:15" hidden="1" x14ac:dyDescent="0.3">
      <c r="A4334" s="24">
        <v>34</v>
      </c>
      <c r="B4334" s="20" t="str">
        <f t="shared" si="134"/>
        <v>AUG</v>
      </c>
      <c r="C4334" s="21">
        <v>46255</v>
      </c>
      <c r="D4334" s="22" t="str">
        <f>IFERROR(INDEX('Kode Outlet dan Target Toko'!$A:$A,MATCH($I4334,'Kode Outlet dan Target Toko'!$E:$E,0)),"")</f>
        <v>GRSM 4</v>
      </c>
      <c r="E4334" s="20" t="str">
        <f>IFERROR(VLOOKUP(I4334,KET!$B:$F,4,0),"")</f>
        <v>FAHMI LUKMANUL HAKIM</v>
      </c>
      <c r="F4334" s="20" t="str">
        <f>IFERROR(VLOOKUP($I4334,KET!$B:$F,5,0),"")</f>
        <v>NKA</v>
      </c>
      <c r="G4334" s="20">
        <f>IFERROR(INDEX('Kode Outlet dan Target Toko'!$C:$C,MATCH($I4334,'Kode Outlet dan Target Toko'!$E:$E,0)),0)</f>
        <v>195403</v>
      </c>
      <c r="H4334" s="20">
        <f>IFERROR(INDEX('Kode Outlet dan Target Toko'!$D:$D,MATCH($I4334,'Kode Outlet dan Target Toko'!$E:$E,0)),0)</f>
        <v>1600007</v>
      </c>
      <c r="I4334" s="41" t="s">
        <v>87</v>
      </c>
      <c r="J4334" s="45" t="s">
        <v>174</v>
      </c>
      <c r="K4334" s="53" t="s">
        <v>16</v>
      </c>
      <c r="L4334" s="23">
        <v>2150</v>
      </c>
      <c r="M4334" s="24">
        <v>102</v>
      </c>
      <c r="N4334" s="25">
        <f t="shared" si="135"/>
        <v>219300</v>
      </c>
      <c r="O4334" s="24">
        <v>160</v>
      </c>
    </row>
    <row r="4335" spans="1:15" x14ac:dyDescent="0.3">
      <c r="A4335" s="24">
        <v>34</v>
      </c>
      <c r="B4335" s="20" t="str">
        <f t="shared" si="134"/>
        <v>AUG</v>
      </c>
      <c r="C4335" s="21">
        <v>46255</v>
      </c>
      <c r="D4335" s="22" t="str">
        <f>IFERROR(INDEX('Kode Outlet dan Target Toko'!$A:$A,MATCH($I4335,'Kode Outlet dan Target Toko'!$E:$E,0)),"")</f>
        <v>GRSM 4</v>
      </c>
      <c r="E4335" s="20" t="str">
        <f>IFERROR(VLOOKUP(I4335,KET!$B:$F,4,0),"")</f>
        <v>FAHMI LUKMANUL HAKIM</v>
      </c>
      <c r="F4335" s="20" t="str">
        <f>IFERROR(VLOOKUP($I4335,KET!$B:$F,5,0),"")</f>
        <v>GMM</v>
      </c>
      <c r="G4335" s="20">
        <f>IFERROR(INDEX('Kode Outlet dan Target Toko'!$C:$C,MATCH($I4335,'Kode Outlet dan Target Toko'!$E:$E,0)),0)</f>
        <v>103258</v>
      </c>
      <c r="H4335" s="20">
        <f>IFERROR(INDEX('Kode Outlet dan Target Toko'!$D:$D,MATCH($I4335,'Kode Outlet dan Target Toko'!$E:$E,0)),0)</f>
        <v>9201924</v>
      </c>
      <c r="I4335" s="41" t="s">
        <v>95</v>
      </c>
      <c r="J4335" s="45" t="s">
        <v>253</v>
      </c>
      <c r="K4335" s="53" t="s">
        <v>15</v>
      </c>
      <c r="L4335" s="23">
        <v>2000</v>
      </c>
      <c r="M4335" s="24">
        <v>121</v>
      </c>
      <c r="N4335" s="25">
        <f t="shared" si="135"/>
        <v>242000</v>
      </c>
      <c r="O4335" s="24"/>
    </row>
    <row r="4336" spans="1:15" x14ac:dyDescent="0.3">
      <c r="A4336" s="24">
        <v>34</v>
      </c>
      <c r="B4336" s="20" t="str">
        <f t="shared" si="134"/>
        <v>AUG</v>
      </c>
      <c r="C4336" s="21">
        <v>46255</v>
      </c>
      <c r="D4336" s="22" t="str">
        <f>IFERROR(INDEX('Kode Outlet dan Target Toko'!$A:$A,MATCH($I4336,'Kode Outlet dan Target Toko'!$E:$E,0)),"")</f>
        <v>GRSM 4</v>
      </c>
      <c r="E4336" s="20" t="str">
        <f>IFERROR(VLOOKUP(I4336,KET!$B:$F,4,0),"")</f>
        <v>FAHMI LUKMANUL HAKIM</v>
      </c>
      <c r="F4336" s="20" t="str">
        <f>IFERROR(VLOOKUP($I4336,KET!$B:$F,5,0),"")</f>
        <v>GMM</v>
      </c>
      <c r="G4336" s="20">
        <f>IFERROR(INDEX('Kode Outlet dan Target Toko'!$C:$C,MATCH($I4336,'Kode Outlet dan Target Toko'!$E:$E,0)),0)</f>
        <v>103258</v>
      </c>
      <c r="H4336" s="20">
        <f>IFERROR(INDEX('Kode Outlet dan Target Toko'!$D:$D,MATCH($I4336,'Kode Outlet dan Target Toko'!$E:$E,0)),0)</f>
        <v>9201924</v>
      </c>
      <c r="I4336" s="41" t="s">
        <v>95</v>
      </c>
      <c r="J4336" s="45" t="s">
        <v>253</v>
      </c>
      <c r="K4336" s="53" t="s">
        <v>14</v>
      </c>
      <c r="L4336" s="23">
        <v>2000</v>
      </c>
      <c r="M4336" s="24">
        <v>26</v>
      </c>
      <c r="N4336" s="25">
        <f t="shared" si="135"/>
        <v>52000</v>
      </c>
      <c r="O4336" s="24"/>
    </row>
    <row r="4337" spans="1:15" x14ac:dyDescent="0.3">
      <c r="A4337" s="24">
        <v>34</v>
      </c>
      <c r="B4337" s="20" t="str">
        <f t="shared" si="134"/>
        <v>AUG</v>
      </c>
      <c r="C4337" s="21">
        <v>46255</v>
      </c>
      <c r="D4337" s="22" t="str">
        <f>IFERROR(INDEX('Kode Outlet dan Target Toko'!$A:$A,MATCH($I4337,'Kode Outlet dan Target Toko'!$E:$E,0)),"")</f>
        <v>GRSM 4</v>
      </c>
      <c r="E4337" s="20" t="str">
        <f>IFERROR(VLOOKUP(I4337,KET!$B:$F,4,0),"")</f>
        <v>FAHMI LUKMANUL HAKIM</v>
      </c>
      <c r="F4337" s="20" t="str">
        <f>IFERROR(VLOOKUP($I4337,KET!$B:$F,5,0),"")</f>
        <v>GMM</v>
      </c>
      <c r="G4337" s="20">
        <f>IFERROR(INDEX('Kode Outlet dan Target Toko'!$C:$C,MATCH($I4337,'Kode Outlet dan Target Toko'!$E:$E,0)),0)</f>
        <v>103258</v>
      </c>
      <c r="H4337" s="20">
        <f>IFERROR(INDEX('Kode Outlet dan Target Toko'!$D:$D,MATCH($I4337,'Kode Outlet dan Target Toko'!$E:$E,0)),0)</f>
        <v>9201924</v>
      </c>
      <c r="I4337" s="41" t="s">
        <v>95</v>
      </c>
      <c r="J4337" s="45" t="s">
        <v>253</v>
      </c>
      <c r="K4337" s="53" t="s">
        <v>13</v>
      </c>
      <c r="L4337" s="23">
        <v>2000</v>
      </c>
      <c r="M4337" s="24">
        <v>0</v>
      </c>
      <c r="N4337" s="25">
        <f t="shared" si="135"/>
        <v>0</v>
      </c>
      <c r="O4337" s="24"/>
    </row>
    <row r="4338" spans="1:15" x14ac:dyDescent="0.3">
      <c r="A4338" s="24">
        <v>34</v>
      </c>
      <c r="B4338" s="20" t="str">
        <f t="shared" si="134"/>
        <v>AUG</v>
      </c>
      <c r="C4338" s="21">
        <v>46255</v>
      </c>
      <c r="D4338" s="22" t="str">
        <f>IFERROR(INDEX('Kode Outlet dan Target Toko'!$A:$A,MATCH($I4338,'Kode Outlet dan Target Toko'!$E:$E,0)),"")</f>
        <v>GRSM 4</v>
      </c>
      <c r="E4338" s="20" t="str">
        <f>IFERROR(VLOOKUP(I4338,KET!$B:$F,4,0),"")</f>
        <v>FAHMI LUKMANUL HAKIM</v>
      </c>
      <c r="F4338" s="20" t="str">
        <f>IFERROR(VLOOKUP($I4338,KET!$B:$F,5,0),"")</f>
        <v>GMM</v>
      </c>
      <c r="G4338" s="20">
        <f>IFERROR(INDEX('Kode Outlet dan Target Toko'!$C:$C,MATCH($I4338,'Kode Outlet dan Target Toko'!$E:$E,0)),0)</f>
        <v>103258</v>
      </c>
      <c r="H4338" s="20">
        <f>IFERROR(INDEX('Kode Outlet dan Target Toko'!$D:$D,MATCH($I4338,'Kode Outlet dan Target Toko'!$E:$E,0)),0)</f>
        <v>9201924</v>
      </c>
      <c r="I4338" s="41" t="s">
        <v>95</v>
      </c>
      <c r="J4338" s="45" t="s">
        <v>253</v>
      </c>
      <c r="K4338" s="53" t="s">
        <v>16</v>
      </c>
      <c r="L4338" s="23">
        <v>2000</v>
      </c>
      <c r="M4338" s="24">
        <v>0</v>
      </c>
      <c r="N4338" s="25">
        <f t="shared" si="135"/>
        <v>0</v>
      </c>
      <c r="O4338" s="24">
        <v>160</v>
      </c>
    </row>
    <row r="4339" spans="1:15" hidden="1" x14ac:dyDescent="0.3">
      <c r="A4339" s="24">
        <v>34</v>
      </c>
      <c r="B4339" s="20" t="str">
        <f t="shared" si="134"/>
        <v>AUG</v>
      </c>
      <c r="C4339" s="21">
        <v>46255</v>
      </c>
      <c r="D4339" s="22" t="str">
        <f>IFERROR(INDEX('Kode Outlet dan Target Toko'!$A:$A,MATCH($I4339,'Kode Outlet dan Target Toko'!$E:$E,0)),"")</f>
        <v>GRSM 4</v>
      </c>
      <c r="E4339" s="20" t="str">
        <f>IFERROR(VLOOKUP(I4339,KET!$B:$F,4,0),"")</f>
        <v>FAHMI LUKMANUL HAKIM</v>
      </c>
      <c r="F4339" s="20" t="str">
        <f>IFERROR(VLOOKUP($I4339,KET!$B:$F,5,0),"")</f>
        <v>GMM</v>
      </c>
      <c r="G4339" s="20">
        <f>IFERROR(INDEX('Kode Outlet dan Target Toko'!$C:$C,MATCH($I4339,'Kode Outlet dan Target Toko'!$E:$E,0)),0)</f>
        <v>103258</v>
      </c>
      <c r="H4339" s="20">
        <f>IFERROR(INDEX('Kode Outlet dan Target Toko'!$D:$D,MATCH($I4339,'Kode Outlet dan Target Toko'!$E:$E,0)),0)</f>
        <v>9201924</v>
      </c>
      <c r="I4339" s="41" t="s">
        <v>95</v>
      </c>
      <c r="J4339" s="45" t="s">
        <v>200</v>
      </c>
      <c r="K4339" s="53" t="s">
        <v>15</v>
      </c>
      <c r="L4339" s="23">
        <v>2000</v>
      </c>
      <c r="M4339" s="24">
        <v>121</v>
      </c>
      <c r="N4339" s="25">
        <f t="shared" si="135"/>
        <v>242000</v>
      </c>
      <c r="O4339" s="24"/>
    </row>
    <row r="4340" spans="1:15" hidden="1" x14ac:dyDescent="0.3">
      <c r="A4340" s="24">
        <v>34</v>
      </c>
      <c r="B4340" s="20" t="str">
        <f t="shared" si="134"/>
        <v>AUG</v>
      </c>
      <c r="C4340" s="21">
        <v>46255</v>
      </c>
      <c r="D4340" s="22" t="str">
        <f>IFERROR(INDEX('Kode Outlet dan Target Toko'!$A:$A,MATCH($I4340,'Kode Outlet dan Target Toko'!$E:$E,0)),"")</f>
        <v>GRSM 4</v>
      </c>
      <c r="E4340" s="20" t="str">
        <f>IFERROR(VLOOKUP(I4340,KET!$B:$F,4,0),"")</f>
        <v>FAHMI LUKMANUL HAKIM</v>
      </c>
      <c r="F4340" s="20" t="str">
        <f>IFERROR(VLOOKUP($I4340,KET!$B:$F,5,0),"")</f>
        <v>GMM</v>
      </c>
      <c r="G4340" s="20">
        <f>IFERROR(INDEX('Kode Outlet dan Target Toko'!$C:$C,MATCH($I4340,'Kode Outlet dan Target Toko'!$E:$E,0)),0)</f>
        <v>103258</v>
      </c>
      <c r="H4340" s="20">
        <f>IFERROR(INDEX('Kode Outlet dan Target Toko'!$D:$D,MATCH($I4340,'Kode Outlet dan Target Toko'!$E:$E,0)),0)</f>
        <v>9201924</v>
      </c>
      <c r="I4340" s="41" t="s">
        <v>95</v>
      </c>
      <c r="J4340" s="45" t="s">
        <v>200</v>
      </c>
      <c r="K4340" s="53" t="s">
        <v>14</v>
      </c>
      <c r="L4340" s="23">
        <v>2000</v>
      </c>
      <c r="M4340" s="24">
        <v>26</v>
      </c>
      <c r="N4340" s="25">
        <f t="shared" si="135"/>
        <v>52000</v>
      </c>
      <c r="O4340" s="24"/>
    </row>
    <row r="4341" spans="1:15" hidden="1" x14ac:dyDescent="0.3">
      <c r="A4341" s="24">
        <v>34</v>
      </c>
      <c r="B4341" s="20" t="str">
        <f t="shared" si="134"/>
        <v>AUG</v>
      </c>
      <c r="C4341" s="21">
        <v>46255</v>
      </c>
      <c r="D4341" s="22" t="str">
        <f>IFERROR(INDEX('Kode Outlet dan Target Toko'!$A:$A,MATCH($I4341,'Kode Outlet dan Target Toko'!$E:$E,0)),"")</f>
        <v>GRSM 4</v>
      </c>
      <c r="E4341" s="20" t="str">
        <f>IFERROR(VLOOKUP(I4341,KET!$B:$F,4,0),"")</f>
        <v>FAHMI LUKMANUL HAKIM</v>
      </c>
      <c r="F4341" s="20" t="str">
        <f>IFERROR(VLOOKUP($I4341,KET!$B:$F,5,0),"")</f>
        <v>GMM</v>
      </c>
      <c r="G4341" s="20">
        <f>IFERROR(INDEX('Kode Outlet dan Target Toko'!$C:$C,MATCH($I4341,'Kode Outlet dan Target Toko'!$E:$E,0)),0)</f>
        <v>103258</v>
      </c>
      <c r="H4341" s="20">
        <f>IFERROR(INDEX('Kode Outlet dan Target Toko'!$D:$D,MATCH($I4341,'Kode Outlet dan Target Toko'!$E:$E,0)),0)</f>
        <v>9201924</v>
      </c>
      <c r="I4341" s="41" t="s">
        <v>95</v>
      </c>
      <c r="J4341" s="45" t="s">
        <v>200</v>
      </c>
      <c r="K4341" s="53" t="s">
        <v>13</v>
      </c>
      <c r="L4341" s="23">
        <v>2000</v>
      </c>
      <c r="M4341" s="24">
        <v>0</v>
      </c>
      <c r="N4341" s="25">
        <f t="shared" si="135"/>
        <v>0</v>
      </c>
      <c r="O4341" s="24"/>
    </row>
    <row r="4342" spans="1:15" hidden="1" x14ac:dyDescent="0.3">
      <c r="A4342" s="24">
        <v>34</v>
      </c>
      <c r="B4342" s="20" t="str">
        <f t="shared" si="134"/>
        <v>AUG</v>
      </c>
      <c r="C4342" s="21">
        <v>46255</v>
      </c>
      <c r="D4342" s="22" t="str">
        <f>IFERROR(INDEX('Kode Outlet dan Target Toko'!$A:$A,MATCH($I4342,'Kode Outlet dan Target Toko'!$E:$E,0)),"")</f>
        <v>GRSM 4</v>
      </c>
      <c r="E4342" s="20" t="str">
        <f>IFERROR(VLOOKUP(I4342,KET!$B:$F,4,0),"")</f>
        <v>FAHMI LUKMANUL HAKIM</v>
      </c>
      <c r="F4342" s="20" t="str">
        <f>IFERROR(VLOOKUP($I4342,KET!$B:$F,5,0),"")</f>
        <v>GMM</v>
      </c>
      <c r="G4342" s="20">
        <f>IFERROR(INDEX('Kode Outlet dan Target Toko'!$C:$C,MATCH($I4342,'Kode Outlet dan Target Toko'!$E:$E,0)),0)</f>
        <v>103258</v>
      </c>
      <c r="H4342" s="20">
        <f>IFERROR(INDEX('Kode Outlet dan Target Toko'!$D:$D,MATCH($I4342,'Kode Outlet dan Target Toko'!$E:$E,0)),0)</f>
        <v>9201924</v>
      </c>
      <c r="I4342" s="41" t="s">
        <v>95</v>
      </c>
      <c r="J4342" s="45" t="s">
        <v>200</v>
      </c>
      <c r="K4342" s="53" t="s">
        <v>16</v>
      </c>
      <c r="L4342" s="23">
        <v>2000</v>
      </c>
      <c r="M4342" s="24">
        <v>0</v>
      </c>
      <c r="N4342" s="25">
        <f t="shared" si="135"/>
        <v>0</v>
      </c>
      <c r="O4342" s="24">
        <v>160</v>
      </c>
    </row>
    <row r="4343" spans="1:15" hidden="1" x14ac:dyDescent="0.3">
      <c r="A4343" s="24">
        <v>34</v>
      </c>
      <c r="B4343" s="20" t="str">
        <f t="shared" si="134"/>
        <v>AUG</v>
      </c>
      <c r="C4343" s="21">
        <v>46255</v>
      </c>
      <c r="D4343" s="22" t="str">
        <f>IFERROR(INDEX('Kode Outlet dan Target Toko'!$A:$A,MATCH($I4343,'Kode Outlet dan Target Toko'!$E:$E,0)),"")</f>
        <v>GRSM 4</v>
      </c>
      <c r="E4343" s="20" t="str">
        <f>IFERROR(VLOOKUP(I4343,KET!$B:$F,4,0),"")</f>
        <v>FAHMI LUKMANUL HAKIM</v>
      </c>
      <c r="F4343" s="20" t="str">
        <f>IFERROR(VLOOKUP($I4343,KET!$B:$F,5,0),"")</f>
        <v>NKA</v>
      </c>
      <c r="G4343" s="20">
        <f>IFERROR(INDEX('Kode Outlet dan Target Toko'!$C:$C,MATCH($I4343,'Kode Outlet dan Target Toko'!$E:$E,0)),0)</f>
        <v>195403</v>
      </c>
      <c r="H4343" s="20">
        <f>IFERROR(INDEX('Kode Outlet dan Target Toko'!$D:$D,MATCH($I4343,'Kode Outlet dan Target Toko'!$E:$E,0)),0)</f>
        <v>1600007</v>
      </c>
      <c r="I4343" s="41" t="s">
        <v>87</v>
      </c>
      <c r="J4343" s="45" t="s">
        <v>175</v>
      </c>
      <c r="K4343" s="53" t="s">
        <v>15</v>
      </c>
      <c r="L4343" s="23">
        <v>2150</v>
      </c>
      <c r="M4343" s="24">
        <v>78</v>
      </c>
      <c r="N4343" s="25">
        <f t="shared" si="135"/>
        <v>167700</v>
      </c>
      <c r="O4343" s="24"/>
    </row>
    <row r="4344" spans="1:15" hidden="1" x14ac:dyDescent="0.3">
      <c r="A4344" s="24">
        <v>34</v>
      </c>
      <c r="B4344" s="20" t="str">
        <f t="shared" si="134"/>
        <v>AUG</v>
      </c>
      <c r="C4344" s="21">
        <v>46255</v>
      </c>
      <c r="D4344" s="22" t="str">
        <f>IFERROR(INDEX('Kode Outlet dan Target Toko'!$A:$A,MATCH($I4344,'Kode Outlet dan Target Toko'!$E:$E,0)),"")</f>
        <v>GRSM 4</v>
      </c>
      <c r="E4344" s="20" t="str">
        <f>IFERROR(VLOOKUP(I4344,KET!$B:$F,4,0),"")</f>
        <v>FAHMI LUKMANUL HAKIM</v>
      </c>
      <c r="F4344" s="20" t="str">
        <f>IFERROR(VLOOKUP($I4344,KET!$B:$F,5,0),"")</f>
        <v>NKA</v>
      </c>
      <c r="G4344" s="20">
        <f>IFERROR(INDEX('Kode Outlet dan Target Toko'!$C:$C,MATCH($I4344,'Kode Outlet dan Target Toko'!$E:$E,0)),0)</f>
        <v>195403</v>
      </c>
      <c r="H4344" s="20">
        <f>IFERROR(INDEX('Kode Outlet dan Target Toko'!$D:$D,MATCH($I4344,'Kode Outlet dan Target Toko'!$E:$E,0)),0)</f>
        <v>1600007</v>
      </c>
      <c r="I4344" s="41" t="s">
        <v>87</v>
      </c>
      <c r="J4344" s="45" t="s">
        <v>175</v>
      </c>
      <c r="K4344" s="53" t="s">
        <v>14</v>
      </c>
      <c r="L4344" s="23">
        <v>2150</v>
      </c>
      <c r="M4344" s="24">
        <v>81</v>
      </c>
      <c r="N4344" s="25">
        <f t="shared" si="135"/>
        <v>174150</v>
      </c>
      <c r="O4344" s="24"/>
    </row>
    <row r="4345" spans="1:15" hidden="1" x14ac:dyDescent="0.3">
      <c r="A4345" s="24">
        <v>34</v>
      </c>
      <c r="B4345" s="20" t="str">
        <f t="shared" si="134"/>
        <v>AUG</v>
      </c>
      <c r="C4345" s="21">
        <v>46255</v>
      </c>
      <c r="D4345" s="22" t="str">
        <f>IFERROR(INDEX('Kode Outlet dan Target Toko'!$A:$A,MATCH($I4345,'Kode Outlet dan Target Toko'!$E:$E,0)),"")</f>
        <v>GRSM 4</v>
      </c>
      <c r="E4345" s="20" t="str">
        <f>IFERROR(VLOOKUP(I4345,KET!$B:$F,4,0),"")</f>
        <v>FAHMI LUKMANUL HAKIM</v>
      </c>
      <c r="F4345" s="20" t="str">
        <f>IFERROR(VLOOKUP($I4345,KET!$B:$F,5,0),"")</f>
        <v>NKA</v>
      </c>
      <c r="G4345" s="20">
        <f>IFERROR(INDEX('Kode Outlet dan Target Toko'!$C:$C,MATCH($I4345,'Kode Outlet dan Target Toko'!$E:$E,0)),0)</f>
        <v>195403</v>
      </c>
      <c r="H4345" s="20">
        <f>IFERROR(INDEX('Kode Outlet dan Target Toko'!$D:$D,MATCH($I4345,'Kode Outlet dan Target Toko'!$E:$E,0)),0)</f>
        <v>1600007</v>
      </c>
      <c r="I4345" s="41" t="s">
        <v>87</v>
      </c>
      <c r="J4345" s="45" t="s">
        <v>175</v>
      </c>
      <c r="K4345" s="53" t="s">
        <v>13</v>
      </c>
      <c r="L4345" s="23">
        <v>2150</v>
      </c>
      <c r="M4345" s="24">
        <v>72</v>
      </c>
      <c r="N4345" s="25">
        <f t="shared" si="135"/>
        <v>154800</v>
      </c>
      <c r="O4345" s="24"/>
    </row>
    <row r="4346" spans="1:15" hidden="1" x14ac:dyDescent="0.3">
      <c r="A4346" s="24">
        <v>34</v>
      </c>
      <c r="B4346" s="20" t="str">
        <f t="shared" si="134"/>
        <v>AUG</v>
      </c>
      <c r="C4346" s="21">
        <v>46255</v>
      </c>
      <c r="D4346" s="22" t="str">
        <f>IFERROR(INDEX('Kode Outlet dan Target Toko'!$A:$A,MATCH($I4346,'Kode Outlet dan Target Toko'!$E:$E,0)),"")</f>
        <v>GRSM 4</v>
      </c>
      <c r="E4346" s="20" t="str">
        <f>IFERROR(VLOOKUP(I4346,KET!$B:$F,4,0),"")</f>
        <v>FAHMI LUKMANUL HAKIM</v>
      </c>
      <c r="F4346" s="20" t="str">
        <f>IFERROR(VLOOKUP($I4346,KET!$B:$F,5,0),"")</f>
        <v>NKA</v>
      </c>
      <c r="G4346" s="20">
        <f>IFERROR(INDEX('Kode Outlet dan Target Toko'!$C:$C,MATCH($I4346,'Kode Outlet dan Target Toko'!$E:$E,0)),0)</f>
        <v>195403</v>
      </c>
      <c r="H4346" s="20">
        <f>IFERROR(INDEX('Kode Outlet dan Target Toko'!$D:$D,MATCH($I4346,'Kode Outlet dan Target Toko'!$E:$E,0)),0)</f>
        <v>1600007</v>
      </c>
      <c r="I4346" s="41" t="s">
        <v>87</v>
      </c>
      <c r="J4346" s="45" t="s">
        <v>175</v>
      </c>
      <c r="K4346" s="53" t="s">
        <v>16</v>
      </c>
      <c r="L4346" s="23">
        <v>2150</v>
      </c>
      <c r="M4346" s="24">
        <v>96</v>
      </c>
      <c r="N4346" s="25">
        <f t="shared" si="135"/>
        <v>206400</v>
      </c>
      <c r="O4346" s="24">
        <v>160</v>
      </c>
    </row>
    <row r="4347" spans="1:15" hidden="1" x14ac:dyDescent="0.3">
      <c r="A4347" s="24">
        <v>34</v>
      </c>
      <c r="B4347" s="20" t="str">
        <f t="shared" si="134"/>
        <v>AUG</v>
      </c>
      <c r="C4347" s="21">
        <v>46255</v>
      </c>
      <c r="D4347" s="22" t="str">
        <f>IFERROR(INDEX('Kode Outlet dan Target Toko'!$A:$A,MATCH($I4347,'Kode Outlet dan Target Toko'!$E:$E,0)),"")</f>
        <v>GRSM 4</v>
      </c>
      <c r="E4347" s="20" t="str">
        <f>IFERROR(VLOOKUP(I4347,KET!$B:$F,4,0),"")</f>
        <v>FAHMI LUKMANUL HAKIM</v>
      </c>
      <c r="F4347" s="20" t="str">
        <f>IFERROR(VLOOKUP($I4347,KET!$B:$F,5,0),"")</f>
        <v>GMM</v>
      </c>
      <c r="G4347" s="20">
        <f>IFERROR(INDEX('Kode Outlet dan Target Toko'!$C:$C,MATCH($I4347,'Kode Outlet dan Target Toko'!$E:$E,0)),0)</f>
        <v>103259</v>
      </c>
      <c r="H4347" s="20">
        <f>IFERROR(INDEX('Kode Outlet dan Target Toko'!$D:$D,MATCH($I4347,'Kode Outlet dan Target Toko'!$E:$E,0)),0)</f>
        <v>9002359</v>
      </c>
      <c r="I4347" s="41" t="s">
        <v>103</v>
      </c>
      <c r="J4347" s="45" t="s">
        <v>196</v>
      </c>
      <c r="K4347" s="53" t="s">
        <v>15</v>
      </c>
      <c r="L4347" s="23">
        <v>1950</v>
      </c>
      <c r="M4347" s="24">
        <v>66</v>
      </c>
      <c r="N4347" s="25">
        <f t="shared" si="135"/>
        <v>128700</v>
      </c>
      <c r="O4347" s="24"/>
    </row>
    <row r="4348" spans="1:15" hidden="1" x14ac:dyDescent="0.3">
      <c r="A4348" s="24">
        <v>34</v>
      </c>
      <c r="B4348" s="20" t="str">
        <f t="shared" si="134"/>
        <v>AUG</v>
      </c>
      <c r="C4348" s="21">
        <v>46255</v>
      </c>
      <c r="D4348" s="22" t="str">
        <f>IFERROR(INDEX('Kode Outlet dan Target Toko'!$A:$A,MATCH($I4348,'Kode Outlet dan Target Toko'!$E:$E,0)),"")</f>
        <v>GRSM 4</v>
      </c>
      <c r="E4348" s="20" t="str">
        <f>IFERROR(VLOOKUP(I4348,KET!$B:$F,4,0),"")</f>
        <v>FAHMI LUKMANUL HAKIM</v>
      </c>
      <c r="F4348" s="20" t="str">
        <f>IFERROR(VLOOKUP($I4348,KET!$B:$F,5,0),"")</f>
        <v>GMM</v>
      </c>
      <c r="G4348" s="20">
        <f>IFERROR(INDEX('Kode Outlet dan Target Toko'!$C:$C,MATCH($I4348,'Kode Outlet dan Target Toko'!$E:$E,0)),0)</f>
        <v>103259</v>
      </c>
      <c r="H4348" s="20">
        <f>IFERROR(INDEX('Kode Outlet dan Target Toko'!$D:$D,MATCH($I4348,'Kode Outlet dan Target Toko'!$E:$E,0)),0)</f>
        <v>9002359</v>
      </c>
      <c r="I4348" s="41" t="s">
        <v>103</v>
      </c>
      <c r="J4348" s="45" t="s">
        <v>196</v>
      </c>
      <c r="K4348" s="53" t="s">
        <v>14</v>
      </c>
      <c r="L4348" s="23">
        <v>1950</v>
      </c>
      <c r="M4348" s="24">
        <v>0</v>
      </c>
      <c r="N4348" s="25">
        <f t="shared" si="135"/>
        <v>0</v>
      </c>
      <c r="O4348" s="24"/>
    </row>
    <row r="4349" spans="1:15" hidden="1" x14ac:dyDescent="0.3">
      <c r="A4349" s="24">
        <v>34</v>
      </c>
      <c r="B4349" s="20" t="str">
        <f t="shared" si="134"/>
        <v>AUG</v>
      </c>
      <c r="C4349" s="21">
        <v>46255</v>
      </c>
      <c r="D4349" s="22" t="str">
        <f>IFERROR(INDEX('Kode Outlet dan Target Toko'!$A:$A,MATCH($I4349,'Kode Outlet dan Target Toko'!$E:$E,0)),"")</f>
        <v>GRSM 4</v>
      </c>
      <c r="E4349" s="20" t="str">
        <f>IFERROR(VLOOKUP(I4349,KET!$B:$F,4,0),"")</f>
        <v>FAHMI LUKMANUL HAKIM</v>
      </c>
      <c r="F4349" s="20" t="str">
        <f>IFERROR(VLOOKUP($I4349,KET!$B:$F,5,0),"")</f>
        <v>GMM</v>
      </c>
      <c r="G4349" s="20">
        <f>IFERROR(INDEX('Kode Outlet dan Target Toko'!$C:$C,MATCH($I4349,'Kode Outlet dan Target Toko'!$E:$E,0)),0)</f>
        <v>103259</v>
      </c>
      <c r="H4349" s="20">
        <f>IFERROR(INDEX('Kode Outlet dan Target Toko'!$D:$D,MATCH($I4349,'Kode Outlet dan Target Toko'!$E:$E,0)),0)</f>
        <v>9002359</v>
      </c>
      <c r="I4349" s="41" t="s">
        <v>103</v>
      </c>
      <c r="J4349" s="45" t="s">
        <v>196</v>
      </c>
      <c r="K4349" s="53" t="s">
        <v>13</v>
      </c>
      <c r="L4349" s="23">
        <v>1950</v>
      </c>
      <c r="M4349" s="24">
        <v>0</v>
      </c>
      <c r="N4349" s="25">
        <f t="shared" si="135"/>
        <v>0</v>
      </c>
      <c r="O4349" s="24"/>
    </row>
    <row r="4350" spans="1:15" hidden="1" x14ac:dyDescent="0.3">
      <c r="A4350" s="24">
        <v>34</v>
      </c>
      <c r="B4350" s="20" t="str">
        <f t="shared" si="134"/>
        <v>AUG</v>
      </c>
      <c r="C4350" s="21">
        <v>46255</v>
      </c>
      <c r="D4350" s="22" t="str">
        <f>IFERROR(INDEX('Kode Outlet dan Target Toko'!$A:$A,MATCH($I4350,'Kode Outlet dan Target Toko'!$E:$E,0)),"")</f>
        <v>GRSM 4</v>
      </c>
      <c r="E4350" s="20" t="str">
        <f>IFERROR(VLOOKUP(I4350,KET!$B:$F,4,0),"")</f>
        <v>FAHMI LUKMANUL HAKIM</v>
      </c>
      <c r="F4350" s="20" t="str">
        <f>IFERROR(VLOOKUP($I4350,KET!$B:$F,5,0),"")</f>
        <v>GMM</v>
      </c>
      <c r="G4350" s="20">
        <f>IFERROR(INDEX('Kode Outlet dan Target Toko'!$C:$C,MATCH($I4350,'Kode Outlet dan Target Toko'!$E:$E,0)),0)</f>
        <v>103259</v>
      </c>
      <c r="H4350" s="20">
        <f>IFERROR(INDEX('Kode Outlet dan Target Toko'!$D:$D,MATCH($I4350,'Kode Outlet dan Target Toko'!$E:$E,0)),0)</f>
        <v>9002359</v>
      </c>
      <c r="I4350" s="41" t="s">
        <v>103</v>
      </c>
      <c r="J4350" s="45" t="s">
        <v>196</v>
      </c>
      <c r="K4350" s="53" t="s">
        <v>16</v>
      </c>
      <c r="L4350" s="23">
        <v>1950</v>
      </c>
      <c r="M4350" s="24">
        <v>0</v>
      </c>
      <c r="N4350" s="25">
        <f t="shared" si="135"/>
        <v>0</v>
      </c>
      <c r="O4350" s="24">
        <v>160</v>
      </c>
    </row>
    <row r="4351" spans="1:15" hidden="1" x14ac:dyDescent="0.3">
      <c r="A4351" s="24">
        <v>34</v>
      </c>
      <c r="B4351" s="20" t="str">
        <f t="shared" si="134"/>
        <v>AUG</v>
      </c>
      <c r="C4351" s="21">
        <v>46255</v>
      </c>
      <c r="D4351" s="22" t="str">
        <f>IFERROR(INDEX('Kode Outlet dan Target Toko'!$A:$A,MATCH($I4351,'Kode Outlet dan Target Toko'!$E:$E,0)),"")</f>
        <v>GRSM 4</v>
      </c>
      <c r="E4351" s="20" t="str">
        <f>IFERROR(VLOOKUP(I4351,KET!$B:$F,4,0),"")</f>
        <v>FAHMI LUKMANUL HAKIM</v>
      </c>
      <c r="F4351" s="20" t="str">
        <f>IFERROR(VLOOKUP($I4351,KET!$B:$F,5,0),"")</f>
        <v>GMM</v>
      </c>
      <c r="G4351" s="20">
        <f>IFERROR(INDEX('Kode Outlet dan Target Toko'!$C:$C,MATCH($I4351,'Kode Outlet dan Target Toko'!$E:$E,0)),0)</f>
        <v>103712</v>
      </c>
      <c r="H4351" s="20">
        <f>IFERROR(INDEX('Kode Outlet dan Target Toko'!$D:$D,MATCH($I4351,'Kode Outlet dan Target Toko'!$E:$E,0)),0)</f>
        <v>4404677</v>
      </c>
      <c r="I4351" s="41" t="s">
        <v>99</v>
      </c>
      <c r="J4351" s="45" t="s">
        <v>178</v>
      </c>
      <c r="K4351" s="53" t="s">
        <v>15</v>
      </c>
      <c r="L4351" s="23">
        <v>3000</v>
      </c>
      <c r="M4351" s="24">
        <v>30</v>
      </c>
      <c r="N4351" s="25">
        <f t="shared" si="135"/>
        <v>90000</v>
      </c>
      <c r="O4351" s="24"/>
    </row>
    <row r="4352" spans="1:15" hidden="1" x14ac:dyDescent="0.3">
      <c r="A4352" s="24">
        <v>34</v>
      </c>
      <c r="B4352" s="20" t="str">
        <f t="shared" si="134"/>
        <v>AUG</v>
      </c>
      <c r="C4352" s="21">
        <v>46255</v>
      </c>
      <c r="D4352" s="22" t="str">
        <f>IFERROR(INDEX('Kode Outlet dan Target Toko'!$A:$A,MATCH($I4352,'Kode Outlet dan Target Toko'!$E:$E,0)),"")</f>
        <v>GRSM 4</v>
      </c>
      <c r="E4352" s="20" t="str">
        <f>IFERROR(VLOOKUP(I4352,KET!$B:$F,4,0),"")</f>
        <v>FAHMI LUKMANUL HAKIM</v>
      </c>
      <c r="F4352" s="20" t="str">
        <f>IFERROR(VLOOKUP($I4352,KET!$B:$F,5,0),"")</f>
        <v>GMM</v>
      </c>
      <c r="G4352" s="20">
        <f>IFERROR(INDEX('Kode Outlet dan Target Toko'!$C:$C,MATCH($I4352,'Kode Outlet dan Target Toko'!$E:$E,0)),0)</f>
        <v>103712</v>
      </c>
      <c r="H4352" s="20">
        <f>IFERROR(INDEX('Kode Outlet dan Target Toko'!$D:$D,MATCH($I4352,'Kode Outlet dan Target Toko'!$E:$E,0)),0)</f>
        <v>4404677</v>
      </c>
      <c r="I4352" s="41" t="s">
        <v>99</v>
      </c>
      <c r="J4352" s="45" t="s">
        <v>178</v>
      </c>
      <c r="K4352" s="53" t="s">
        <v>14</v>
      </c>
      <c r="L4352" s="23">
        <v>3000</v>
      </c>
      <c r="M4352" s="24">
        <v>37</v>
      </c>
      <c r="N4352" s="25">
        <f t="shared" si="135"/>
        <v>111000</v>
      </c>
      <c r="O4352" s="24"/>
    </row>
    <row r="4353" spans="1:15" hidden="1" x14ac:dyDescent="0.3">
      <c r="A4353" s="24">
        <v>34</v>
      </c>
      <c r="B4353" s="20" t="str">
        <f t="shared" si="134"/>
        <v>AUG</v>
      </c>
      <c r="C4353" s="21">
        <v>46255</v>
      </c>
      <c r="D4353" s="22" t="str">
        <f>IFERROR(INDEX('Kode Outlet dan Target Toko'!$A:$A,MATCH($I4353,'Kode Outlet dan Target Toko'!$E:$E,0)),"")</f>
        <v>GRSM 4</v>
      </c>
      <c r="E4353" s="20" t="str">
        <f>IFERROR(VLOOKUP(I4353,KET!$B:$F,4,0),"")</f>
        <v>FAHMI LUKMANUL HAKIM</v>
      </c>
      <c r="F4353" s="20" t="str">
        <f>IFERROR(VLOOKUP($I4353,KET!$B:$F,5,0),"")</f>
        <v>GMM</v>
      </c>
      <c r="G4353" s="20">
        <f>IFERROR(INDEX('Kode Outlet dan Target Toko'!$C:$C,MATCH($I4353,'Kode Outlet dan Target Toko'!$E:$E,0)),0)</f>
        <v>103712</v>
      </c>
      <c r="H4353" s="20">
        <f>IFERROR(INDEX('Kode Outlet dan Target Toko'!$D:$D,MATCH($I4353,'Kode Outlet dan Target Toko'!$E:$E,0)),0)</f>
        <v>4404677</v>
      </c>
      <c r="I4353" s="41" t="s">
        <v>99</v>
      </c>
      <c r="J4353" s="45" t="s">
        <v>178</v>
      </c>
      <c r="K4353" s="53" t="s">
        <v>13</v>
      </c>
      <c r="L4353" s="23">
        <v>3000</v>
      </c>
      <c r="M4353" s="24">
        <v>26</v>
      </c>
      <c r="N4353" s="25">
        <f t="shared" si="135"/>
        <v>78000</v>
      </c>
      <c r="O4353" s="24"/>
    </row>
    <row r="4354" spans="1:15" hidden="1" x14ac:dyDescent="0.3">
      <c r="A4354" s="24">
        <v>34</v>
      </c>
      <c r="B4354" s="20" t="str">
        <f t="shared" si="134"/>
        <v>AUG</v>
      </c>
      <c r="C4354" s="21">
        <v>46255</v>
      </c>
      <c r="D4354" s="22" t="str">
        <f>IFERROR(INDEX('Kode Outlet dan Target Toko'!$A:$A,MATCH($I4354,'Kode Outlet dan Target Toko'!$E:$E,0)),"")</f>
        <v>GRSM 4</v>
      </c>
      <c r="E4354" s="20" t="str">
        <f>IFERROR(VLOOKUP(I4354,KET!$B:$F,4,0),"")</f>
        <v>FAHMI LUKMANUL HAKIM</v>
      </c>
      <c r="F4354" s="20" t="str">
        <f>IFERROR(VLOOKUP($I4354,KET!$B:$F,5,0),"")</f>
        <v>GMM</v>
      </c>
      <c r="G4354" s="20">
        <f>IFERROR(INDEX('Kode Outlet dan Target Toko'!$C:$C,MATCH($I4354,'Kode Outlet dan Target Toko'!$E:$E,0)),0)</f>
        <v>103712</v>
      </c>
      <c r="H4354" s="20">
        <f>IFERROR(INDEX('Kode Outlet dan Target Toko'!$D:$D,MATCH($I4354,'Kode Outlet dan Target Toko'!$E:$E,0)),0)</f>
        <v>4404677</v>
      </c>
      <c r="I4354" s="41" t="s">
        <v>99</v>
      </c>
      <c r="J4354" s="45" t="s">
        <v>178</v>
      </c>
      <c r="K4354" s="53" t="s">
        <v>16</v>
      </c>
      <c r="L4354" s="23">
        <v>3000</v>
      </c>
      <c r="M4354" s="24">
        <v>105</v>
      </c>
      <c r="N4354" s="25">
        <f t="shared" si="135"/>
        <v>315000</v>
      </c>
      <c r="O4354" s="24">
        <v>160</v>
      </c>
    </row>
    <row r="4355" spans="1:15" hidden="1" x14ac:dyDescent="0.3">
      <c r="A4355" s="24">
        <v>34</v>
      </c>
      <c r="B4355" s="20" t="str">
        <f t="shared" si="134"/>
        <v>AUG</v>
      </c>
      <c r="C4355" s="21">
        <v>46255</v>
      </c>
      <c r="D4355" s="22" t="str">
        <f>IFERROR(INDEX('Kode Outlet dan Target Toko'!$A:$A,MATCH($I4355,'Kode Outlet dan Target Toko'!$E:$E,0)),"")</f>
        <v>GRSM 4</v>
      </c>
      <c r="E4355" s="20" t="str">
        <f>IFERROR(VLOOKUP(I4355,KET!$B:$F,4,0),"")</f>
        <v>FAHMI LUKMANUL HAKIM</v>
      </c>
      <c r="F4355" s="20" t="str">
        <f>IFERROR(VLOOKUP($I4355,KET!$B:$F,5,0),"")</f>
        <v>GMM</v>
      </c>
      <c r="G4355" s="20">
        <f>IFERROR(INDEX('Kode Outlet dan Target Toko'!$C:$C,MATCH($I4355,'Kode Outlet dan Target Toko'!$E:$E,0)),0)</f>
        <v>103712</v>
      </c>
      <c r="H4355" s="20">
        <f>IFERROR(INDEX('Kode Outlet dan Target Toko'!$D:$D,MATCH($I4355,'Kode Outlet dan Target Toko'!$E:$E,0)),0)</f>
        <v>4404677</v>
      </c>
      <c r="I4355" s="41" t="s">
        <v>99</v>
      </c>
      <c r="J4355" s="45" t="s">
        <v>179</v>
      </c>
      <c r="K4355" s="53" t="s">
        <v>15</v>
      </c>
      <c r="L4355" s="23">
        <v>3000</v>
      </c>
      <c r="M4355" s="24">
        <v>28</v>
      </c>
      <c r="N4355" s="25">
        <f t="shared" si="135"/>
        <v>84000</v>
      </c>
      <c r="O4355" s="24"/>
    </row>
    <row r="4356" spans="1:15" hidden="1" x14ac:dyDescent="0.3">
      <c r="A4356" s="24">
        <v>34</v>
      </c>
      <c r="B4356" s="20" t="str">
        <f t="shared" si="134"/>
        <v>AUG</v>
      </c>
      <c r="C4356" s="21">
        <v>46255</v>
      </c>
      <c r="D4356" s="22" t="str">
        <f>IFERROR(INDEX('Kode Outlet dan Target Toko'!$A:$A,MATCH($I4356,'Kode Outlet dan Target Toko'!$E:$E,0)),"")</f>
        <v>GRSM 4</v>
      </c>
      <c r="E4356" s="20" t="str">
        <f>IFERROR(VLOOKUP(I4356,KET!$B:$F,4,0),"")</f>
        <v>FAHMI LUKMANUL HAKIM</v>
      </c>
      <c r="F4356" s="20" t="str">
        <f>IFERROR(VLOOKUP($I4356,KET!$B:$F,5,0),"")</f>
        <v>GMM</v>
      </c>
      <c r="G4356" s="20">
        <f>IFERROR(INDEX('Kode Outlet dan Target Toko'!$C:$C,MATCH($I4356,'Kode Outlet dan Target Toko'!$E:$E,0)),0)</f>
        <v>103712</v>
      </c>
      <c r="H4356" s="20">
        <f>IFERROR(INDEX('Kode Outlet dan Target Toko'!$D:$D,MATCH($I4356,'Kode Outlet dan Target Toko'!$E:$E,0)),0)</f>
        <v>4404677</v>
      </c>
      <c r="I4356" s="41" t="s">
        <v>99</v>
      </c>
      <c r="J4356" s="45" t="s">
        <v>179</v>
      </c>
      <c r="K4356" s="53" t="s">
        <v>14</v>
      </c>
      <c r="L4356" s="23">
        <v>3000</v>
      </c>
      <c r="M4356" s="24">
        <v>33</v>
      </c>
      <c r="N4356" s="25">
        <f t="shared" si="135"/>
        <v>99000</v>
      </c>
      <c r="O4356" s="24"/>
    </row>
    <row r="4357" spans="1:15" hidden="1" x14ac:dyDescent="0.3">
      <c r="A4357" s="24">
        <v>34</v>
      </c>
      <c r="B4357" s="20" t="str">
        <f t="shared" si="134"/>
        <v>AUG</v>
      </c>
      <c r="C4357" s="21">
        <v>46255</v>
      </c>
      <c r="D4357" s="22" t="str">
        <f>IFERROR(INDEX('Kode Outlet dan Target Toko'!$A:$A,MATCH($I4357,'Kode Outlet dan Target Toko'!$E:$E,0)),"")</f>
        <v>GRSM 4</v>
      </c>
      <c r="E4357" s="20" t="str">
        <f>IFERROR(VLOOKUP(I4357,KET!$B:$F,4,0),"")</f>
        <v>FAHMI LUKMANUL HAKIM</v>
      </c>
      <c r="F4357" s="20" t="str">
        <f>IFERROR(VLOOKUP($I4357,KET!$B:$F,5,0),"")</f>
        <v>GMM</v>
      </c>
      <c r="G4357" s="20">
        <f>IFERROR(INDEX('Kode Outlet dan Target Toko'!$C:$C,MATCH($I4357,'Kode Outlet dan Target Toko'!$E:$E,0)),0)</f>
        <v>103712</v>
      </c>
      <c r="H4357" s="20">
        <f>IFERROR(INDEX('Kode Outlet dan Target Toko'!$D:$D,MATCH($I4357,'Kode Outlet dan Target Toko'!$E:$E,0)),0)</f>
        <v>4404677</v>
      </c>
      <c r="I4357" s="41" t="s">
        <v>99</v>
      </c>
      <c r="J4357" s="45" t="s">
        <v>179</v>
      </c>
      <c r="K4357" s="53" t="s">
        <v>13</v>
      </c>
      <c r="L4357" s="23">
        <v>3000</v>
      </c>
      <c r="M4357" s="24">
        <v>25</v>
      </c>
      <c r="N4357" s="25">
        <f t="shared" si="135"/>
        <v>75000</v>
      </c>
      <c r="O4357" s="24"/>
    </row>
    <row r="4358" spans="1:15" hidden="1" x14ac:dyDescent="0.3">
      <c r="A4358" s="24">
        <v>34</v>
      </c>
      <c r="B4358" s="20" t="str">
        <f t="shared" si="134"/>
        <v>AUG</v>
      </c>
      <c r="C4358" s="21">
        <v>46255</v>
      </c>
      <c r="D4358" s="22" t="str">
        <f>IFERROR(INDEX('Kode Outlet dan Target Toko'!$A:$A,MATCH($I4358,'Kode Outlet dan Target Toko'!$E:$E,0)),"")</f>
        <v>GRSM 4</v>
      </c>
      <c r="E4358" s="20" t="str">
        <f>IFERROR(VLOOKUP(I4358,KET!$B:$F,4,0),"")</f>
        <v>FAHMI LUKMANUL HAKIM</v>
      </c>
      <c r="F4358" s="20" t="str">
        <f>IFERROR(VLOOKUP($I4358,KET!$B:$F,5,0),"")</f>
        <v>GMM</v>
      </c>
      <c r="G4358" s="20">
        <f>IFERROR(INDEX('Kode Outlet dan Target Toko'!$C:$C,MATCH($I4358,'Kode Outlet dan Target Toko'!$E:$E,0)),0)</f>
        <v>103712</v>
      </c>
      <c r="H4358" s="20">
        <f>IFERROR(INDEX('Kode Outlet dan Target Toko'!$D:$D,MATCH($I4358,'Kode Outlet dan Target Toko'!$E:$E,0)),0)</f>
        <v>4404677</v>
      </c>
      <c r="I4358" s="41" t="s">
        <v>99</v>
      </c>
      <c r="J4358" s="45" t="s">
        <v>179</v>
      </c>
      <c r="K4358" s="53" t="s">
        <v>16</v>
      </c>
      <c r="L4358" s="23">
        <v>3000</v>
      </c>
      <c r="M4358" s="24">
        <v>102</v>
      </c>
      <c r="N4358" s="25">
        <f t="shared" si="135"/>
        <v>306000</v>
      </c>
      <c r="O4358" s="24">
        <v>160</v>
      </c>
    </row>
    <row r="4359" spans="1:15" hidden="1" x14ac:dyDescent="0.3">
      <c r="A4359" s="24">
        <v>34</v>
      </c>
      <c r="B4359" s="20" t="str">
        <f t="shared" ref="B4359:B4422" si="136">IF(C4359="","",UPPER(TEXT(C4359, "MMM")))</f>
        <v>AUG</v>
      </c>
      <c r="C4359" s="21">
        <v>46255</v>
      </c>
      <c r="D4359" s="22" t="str">
        <f>IFERROR(INDEX('Kode Outlet dan Target Toko'!$A:$A,MATCH($I4359,'Kode Outlet dan Target Toko'!$E:$E,0)),"")</f>
        <v>GRSM 4</v>
      </c>
      <c r="E4359" s="20" t="str">
        <f>IFERROR(VLOOKUP(I4359,KET!$B:$F,4,0),"")</f>
        <v>FAHMI LUKMANUL HAKIM</v>
      </c>
      <c r="F4359" s="20" t="str">
        <f>IFERROR(VLOOKUP($I4359,KET!$B:$F,5,0),"")</f>
        <v>GMM</v>
      </c>
      <c r="G4359" s="20">
        <f>IFERROR(INDEX('Kode Outlet dan Target Toko'!$C:$C,MATCH($I4359,'Kode Outlet dan Target Toko'!$E:$E,0)),0)</f>
        <v>103259</v>
      </c>
      <c r="H4359" s="20">
        <f>IFERROR(INDEX('Kode Outlet dan Target Toko'!$D:$D,MATCH($I4359,'Kode Outlet dan Target Toko'!$E:$E,0)),0)</f>
        <v>9006219</v>
      </c>
      <c r="I4359" s="41" t="s">
        <v>96</v>
      </c>
      <c r="J4359" s="45" t="s">
        <v>198</v>
      </c>
      <c r="K4359" s="53" t="s">
        <v>15</v>
      </c>
      <c r="L4359" s="23">
        <v>2000</v>
      </c>
      <c r="M4359" s="24">
        <v>32</v>
      </c>
      <c r="N4359" s="25">
        <f t="shared" ref="N4359:N4422" si="137">IFERROR(M4359*L4359,"")</f>
        <v>64000</v>
      </c>
      <c r="O4359" s="24"/>
    </row>
    <row r="4360" spans="1:15" hidden="1" x14ac:dyDescent="0.3">
      <c r="A4360" s="24">
        <v>34</v>
      </c>
      <c r="B4360" s="20" t="str">
        <f t="shared" si="136"/>
        <v>AUG</v>
      </c>
      <c r="C4360" s="21">
        <v>46255</v>
      </c>
      <c r="D4360" s="22" t="str">
        <f>IFERROR(INDEX('Kode Outlet dan Target Toko'!$A:$A,MATCH($I4360,'Kode Outlet dan Target Toko'!$E:$E,0)),"")</f>
        <v>GRSM 4</v>
      </c>
      <c r="E4360" s="20" t="str">
        <f>IFERROR(VLOOKUP(I4360,KET!$B:$F,4,0),"")</f>
        <v>FAHMI LUKMANUL HAKIM</v>
      </c>
      <c r="F4360" s="20" t="str">
        <f>IFERROR(VLOOKUP($I4360,KET!$B:$F,5,0),"")</f>
        <v>GMM</v>
      </c>
      <c r="G4360" s="20">
        <f>IFERROR(INDEX('Kode Outlet dan Target Toko'!$C:$C,MATCH($I4360,'Kode Outlet dan Target Toko'!$E:$E,0)),0)</f>
        <v>103259</v>
      </c>
      <c r="H4360" s="20">
        <f>IFERROR(INDEX('Kode Outlet dan Target Toko'!$D:$D,MATCH($I4360,'Kode Outlet dan Target Toko'!$E:$E,0)),0)</f>
        <v>9006219</v>
      </c>
      <c r="I4360" s="41" t="s">
        <v>96</v>
      </c>
      <c r="J4360" s="45" t="s">
        <v>198</v>
      </c>
      <c r="K4360" s="53" t="s">
        <v>14</v>
      </c>
      <c r="L4360" s="23">
        <v>2000</v>
      </c>
      <c r="M4360" s="24">
        <v>20</v>
      </c>
      <c r="N4360" s="25">
        <f t="shared" si="137"/>
        <v>40000</v>
      </c>
      <c r="O4360" s="24"/>
    </row>
    <row r="4361" spans="1:15" hidden="1" x14ac:dyDescent="0.3">
      <c r="A4361" s="24">
        <v>34</v>
      </c>
      <c r="B4361" s="20" t="str">
        <f t="shared" si="136"/>
        <v>AUG</v>
      </c>
      <c r="C4361" s="21">
        <v>46255</v>
      </c>
      <c r="D4361" s="22" t="str">
        <f>IFERROR(INDEX('Kode Outlet dan Target Toko'!$A:$A,MATCH($I4361,'Kode Outlet dan Target Toko'!$E:$E,0)),"")</f>
        <v>GRSM 4</v>
      </c>
      <c r="E4361" s="20" t="str">
        <f>IFERROR(VLOOKUP(I4361,KET!$B:$F,4,0),"")</f>
        <v>FAHMI LUKMANUL HAKIM</v>
      </c>
      <c r="F4361" s="20" t="str">
        <f>IFERROR(VLOOKUP($I4361,KET!$B:$F,5,0),"")</f>
        <v>GMM</v>
      </c>
      <c r="G4361" s="20">
        <f>IFERROR(INDEX('Kode Outlet dan Target Toko'!$C:$C,MATCH($I4361,'Kode Outlet dan Target Toko'!$E:$E,0)),0)</f>
        <v>103259</v>
      </c>
      <c r="H4361" s="20">
        <f>IFERROR(INDEX('Kode Outlet dan Target Toko'!$D:$D,MATCH($I4361,'Kode Outlet dan Target Toko'!$E:$E,0)),0)</f>
        <v>9006219</v>
      </c>
      <c r="I4361" s="41" t="s">
        <v>96</v>
      </c>
      <c r="J4361" s="45" t="s">
        <v>198</v>
      </c>
      <c r="K4361" s="53" t="s">
        <v>13</v>
      </c>
      <c r="L4361" s="23">
        <v>2000</v>
      </c>
      <c r="M4361" s="24">
        <v>35</v>
      </c>
      <c r="N4361" s="25">
        <f t="shared" si="137"/>
        <v>70000</v>
      </c>
      <c r="O4361" s="24"/>
    </row>
    <row r="4362" spans="1:15" hidden="1" x14ac:dyDescent="0.3">
      <c r="A4362" s="24">
        <v>34</v>
      </c>
      <c r="B4362" s="20" t="str">
        <f t="shared" si="136"/>
        <v>AUG</v>
      </c>
      <c r="C4362" s="21">
        <v>46255</v>
      </c>
      <c r="D4362" s="22" t="str">
        <f>IFERROR(INDEX('Kode Outlet dan Target Toko'!$A:$A,MATCH($I4362,'Kode Outlet dan Target Toko'!$E:$E,0)),"")</f>
        <v>GRSM 4</v>
      </c>
      <c r="E4362" s="20" t="str">
        <f>IFERROR(VLOOKUP(I4362,KET!$B:$F,4,0),"")</f>
        <v>FAHMI LUKMANUL HAKIM</v>
      </c>
      <c r="F4362" s="20" t="str">
        <f>IFERROR(VLOOKUP($I4362,KET!$B:$F,5,0),"")</f>
        <v>GMM</v>
      </c>
      <c r="G4362" s="20">
        <f>IFERROR(INDEX('Kode Outlet dan Target Toko'!$C:$C,MATCH($I4362,'Kode Outlet dan Target Toko'!$E:$E,0)),0)</f>
        <v>103259</v>
      </c>
      <c r="H4362" s="20">
        <f>IFERROR(INDEX('Kode Outlet dan Target Toko'!$D:$D,MATCH($I4362,'Kode Outlet dan Target Toko'!$E:$E,0)),0)</f>
        <v>9006219</v>
      </c>
      <c r="I4362" s="41" t="s">
        <v>96</v>
      </c>
      <c r="J4362" s="45" t="s">
        <v>198</v>
      </c>
      <c r="K4362" s="53" t="s">
        <v>16</v>
      </c>
      <c r="L4362" s="23">
        <v>2000</v>
      </c>
      <c r="M4362" s="24">
        <v>119</v>
      </c>
      <c r="N4362" s="25">
        <f t="shared" si="137"/>
        <v>238000</v>
      </c>
      <c r="O4362" s="24">
        <v>160</v>
      </c>
    </row>
    <row r="4363" spans="1:15" hidden="1" x14ac:dyDescent="0.3">
      <c r="A4363" s="24">
        <v>34</v>
      </c>
      <c r="B4363" s="20" t="str">
        <f t="shared" si="136"/>
        <v>AUG</v>
      </c>
      <c r="C4363" s="21">
        <v>46255</v>
      </c>
      <c r="D4363" s="22" t="str">
        <f>IFERROR(INDEX('Kode Outlet dan Target Toko'!$A:$A,MATCH($I4363,'Kode Outlet dan Target Toko'!$E:$E,0)),"")</f>
        <v>GRSM 4</v>
      </c>
      <c r="E4363" s="20" t="str">
        <f>IFERROR(VLOOKUP(I4363,KET!$B:$F,4,0),"")</f>
        <v>FAHMI LUKMANUL HAKIM</v>
      </c>
      <c r="F4363" s="20" t="str">
        <f>IFERROR(VLOOKUP($I4363,KET!$B:$F,5,0),"")</f>
        <v>GMM</v>
      </c>
      <c r="G4363" s="20">
        <f>IFERROR(INDEX('Kode Outlet dan Target Toko'!$C:$C,MATCH($I4363,'Kode Outlet dan Target Toko'!$E:$E,0)),0)</f>
        <v>103259</v>
      </c>
      <c r="H4363" s="20">
        <f>IFERROR(INDEX('Kode Outlet dan Target Toko'!$D:$D,MATCH($I4363,'Kode Outlet dan Target Toko'!$E:$E,0)),0)</f>
        <v>9006219</v>
      </c>
      <c r="I4363" s="41" t="s">
        <v>96</v>
      </c>
      <c r="J4363" s="45" t="s">
        <v>199</v>
      </c>
      <c r="K4363" s="53" t="s">
        <v>15</v>
      </c>
      <c r="L4363" s="23">
        <v>2000</v>
      </c>
      <c r="M4363" s="24">
        <v>32</v>
      </c>
      <c r="N4363" s="25">
        <f t="shared" si="137"/>
        <v>64000</v>
      </c>
      <c r="O4363" s="24"/>
    </row>
    <row r="4364" spans="1:15" hidden="1" x14ac:dyDescent="0.3">
      <c r="A4364" s="24">
        <v>34</v>
      </c>
      <c r="B4364" s="20" t="str">
        <f t="shared" si="136"/>
        <v>AUG</v>
      </c>
      <c r="C4364" s="21">
        <v>46255</v>
      </c>
      <c r="D4364" s="22" t="str">
        <f>IFERROR(INDEX('Kode Outlet dan Target Toko'!$A:$A,MATCH($I4364,'Kode Outlet dan Target Toko'!$E:$E,0)),"")</f>
        <v>GRSM 4</v>
      </c>
      <c r="E4364" s="20" t="str">
        <f>IFERROR(VLOOKUP(I4364,KET!$B:$F,4,0),"")</f>
        <v>FAHMI LUKMANUL HAKIM</v>
      </c>
      <c r="F4364" s="20" t="str">
        <f>IFERROR(VLOOKUP($I4364,KET!$B:$F,5,0),"")</f>
        <v>GMM</v>
      </c>
      <c r="G4364" s="20">
        <f>IFERROR(INDEX('Kode Outlet dan Target Toko'!$C:$C,MATCH($I4364,'Kode Outlet dan Target Toko'!$E:$E,0)),0)</f>
        <v>103259</v>
      </c>
      <c r="H4364" s="20">
        <f>IFERROR(INDEX('Kode Outlet dan Target Toko'!$D:$D,MATCH($I4364,'Kode Outlet dan Target Toko'!$E:$E,0)),0)</f>
        <v>9006219</v>
      </c>
      <c r="I4364" s="41" t="s">
        <v>96</v>
      </c>
      <c r="J4364" s="45" t="s">
        <v>199</v>
      </c>
      <c r="K4364" s="53" t="s">
        <v>14</v>
      </c>
      <c r="L4364" s="23">
        <v>2000</v>
      </c>
      <c r="M4364" s="24">
        <v>20</v>
      </c>
      <c r="N4364" s="25">
        <f t="shared" si="137"/>
        <v>40000</v>
      </c>
      <c r="O4364" s="24"/>
    </row>
    <row r="4365" spans="1:15" hidden="1" x14ac:dyDescent="0.3">
      <c r="A4365" s="24">
        <v>34</v>
      </c>
      <c r="B4365" s="20" t="str">
        <f t="shared" si="136"/>
        <v>AUG</v>
      </c>
      <c r="C4365" s="21">
        <v>46255</v>
      </c>
      <c r="D4365" s="22" t="str">
        <f>IFERROR(INDEX('Kode Outlet dan Target Toko'!$A:$A,MATCH($I4365,'Kode Outlet dan Target Toko'!$E:$E,0)),"")</f>
        <v>GRSM 4</v>
      </c>
      <c r="E4365" s="20" t="str">
        <f>IFERROR(VLOOKUP(I4365,KET!$B:$F,4,0),"")</f>
        <v>FAHMI LUKMANUL HAKIM</v>
      </c>
      <c r="F4365" s="20" t="str">
        <f>IFERROR(VLOOKUP($I4365,KET!$B:$F,5,0),"")</f>
        <v>GMM</v>
      </c>
      <c r="G4365" s="20">
        <f>IFERROR(INDEX('Kode Outlet dan Target Toko'!$C:$C,MATCH($I4365,'Kode Outlet dan Target Toko'!$E:$E,0)),0)</f>
        <v>103259</v>
      </c>
      <c r="H4365" s="20">
        <f>IFERROR(INDEX('Kode Outlet dan Target Toko'!$D:$D,MATCH($I4365,'Kode Outlet dan Target Toko'!$E:$E,0)),0)</f>
        <v>9006219</v>
      </c>
      <c r="I4365" s="41" t="s">
        <v>96</v>
      </c>
      <c r="J4365" s="45" t="s">
        <v>199</v>
      </c>
      <c r="K4365" s="53" t="s">
        <v>13</v>
      </c>
      <c r="L4365" s="23">
        <v>2000</v>
      </c>
      <c r="M4365" s="24">
        <v>35</v>
      </c>
      <c r="N4365" s="25">
        <f t="shared" si="137"/>
        <v>70000</v>
      </c>
      <c r="O4365" s="24"/>
    </row>
    <row r="4366" spans="1:15" hidden="1" x14ac:dyDescent="0.3">
      <c r="A4366" s="24">
        <v>34</v>
      </c>
      <c r="B4366" s="20" t="str">
        <f t="shared" si="136"/>
        <v>AUG</v>
      </c>
      <c r="C4366" s="21">
        <v>46255</v>
      </c>
      <c r="D4366" s="22" t="str">
        <f>IFERROR(INDEX('Kode Outlet dan Target Toko'!$A:$A,MATCH($I4366,'Kode Outlet dan Target Toko'!$E:$E,0)),"")</f>
        <v>GRSM 4</v>
      </c>
      <c r="E4366" s="20" t="str">
        <f>IFERROR(VLOOKUP(I4366,KET!$B:$F,4,0),"")</f>
        <v>FAHMI LUKMANUL HAKIM</v>
      </c>
      <c r="F4366" s="20" t="str">
        <f>IFERROR(VLOOKUP($I4366,KET!$B:$F,5,0),"")</f>
        <v>GMM</v>
      </c>
      <c r="G4366" s="20">
        <f>IFERROR(INDEX('Kode Outlet dan Target Toko'!$C:$C,MATCH($I4366,'Kode Outlet dan Target Toko'!$E:$E,0)),0)</f>
        <v>103259</v>
      </c>
      <c r="H4366" s="20">
        <f>IFERROR(INDEX('Kode Outlet dan Target Toko'!$D:$D,MATCH($I4366,'Kode Outlet dan Target Toko'!$E:$E,0)),0)</f>
        <v>9006219</v>
      </c>
      <c r="I4366" s="41" t="s">
        <v>96</v>
      </c>
      <c r="J4366" s="45" t="s">
        <v>199</v>
      </c>
      <c r="K4366" s="53" t="s">
        <v>16</v>
      </c>
      <c r="L4366" s="23">
        <v>2000</v>
      </c>
      <c r="M4366" s="24">
        <v>119</v>
      </c>
      <c r="N4366" s="25">
        <f t="shared" si="137"/>
        <v>238000</v>
      </c>
      <c r="O4366" s="24">
        <v>160</v>
      </c>
    </row>
    <row r="4367" spans="1:15" hidden="1" x14ac:dyDescent="0.3">
      <c r="A4367" s="24">
        <v>34</v>
      </c>
      <c r="B4367" s="20" t="str">
        <f t="shared" si="136"/>
        <v>AUG</v>
      </c>
      <c r="C4367" s="21">
        <v>46255</v>
      </c>
      <c r="D4367" s="22" t="str">
        <f>IFERROR(INDEX('Kode Outlet dan Target Toko'!$A:$A,MATCH($I4367,'Kode Outlet dan Target Toko'!$E:$E,0)),"")</f>
        <v>GRSM 4</v>
      </c>
      <c r="E4367" s="20" t="str">
        <f>IFERROR(VLOOKUP(I4367,KET!$B:$F,4,0),"")</f>
        <v>FAHMI LUKMANUL HAKIM</v>
      </c>
      <c r="F4367" s="20" t="str">
        <f>IFERROR(VLOOKUP($I4367,KET!$B:$F,5,0),"")</f>
        <v>NKA</v>
      </c>
      <c r="G4367" s="20">
        <f>IFERROR(INDEX('Kode Outlet dan Target Toko'!$C:$C,MATCH($I4367,'Kode Outlet dan Target Toko'!$E:$E,0)),0)</f>
        <v>121409</v>
      </c>
      <c r="H4367" s="20">
        <f>IFERROR(INDEX('Kode Outlet dan Target Toko'!$D:$D,MATCH($I4367,'Kode Outlet dan Target Toko'!$E:$E,0)),0)</f>
        <v>5025004</v>
      </c>
      <c r="I4367" s="41" t="s">
        <v>112</v>
      </c>
      <c r="J4367" s="45" t="s">
        <v>185</v>
      </c>
      <c r="K4367" s="53" t="s">
        <v>15</v>
      </c>
      <c r="L4367" s="23">
        <v>3275</v>
      </c>
      <c r="M4367" s="24">
        <v>90</v>
      </c>
      <c r="N4367" s="25">
        <f t="shared" si="137"/>
        <v>294750</v>
      </c>
      <c r="O4367" s="24"/>
    </row>
    <row r="4368" spans="1:15" hidden="1" x14ac:dyDescent="0.3">
      <c r="A4368" s="24">
        <v>34</v>
      </c>
      <c r="B4368" s="20" t="str">
        <f t="shared" si="136"/>
        <v>AUG</v>
      </c>
      <c r="C4368" s="21">
        <v>46255</v>
      </c>
      <c r="D4368" s="22" t="str">
        <f>IFERROR(INDEX('Kode Outlet dan Target Toko'!$A:$A,MATCH($I4368,'Kode Outlet dan Target Toko'!$E:$E,0)),"")</f>
        <v>GRSM 4</v>
      </c>
      <c r="E4368" s="20" t="str">
        <f>IFERROR(VLOOKUP(I4368,KET!$B:$F,4,0),"")</f>
        <v>FAHMI LUKMANUL HAKIM</v>
      </c>
      <c r="F4368" s="20" t="str">
        <f>IFERROR(VLOOKUP($I4368,KET!$B:$F,5,0),"")</f>
        <v>NKA</v>
      </c>
      <c r="G4368" s="20">
        <f>IFERROR(INDEX('Kode Outlet dan Target Toko'!$C:$C,MATCH($I4368,'Kode Outlet dan Target Toko'!$E:$E,0)),0)</f>
        <v>121409</v>
      </c>
      <c r="H4368" s="20">
        <f>IFERROR(INDEX('Kode Outlet dan Target Toko'!$D:$D,MATCH($I4368,'Kode Outlet dan Target Toko'!$E:$E,0)),0)</f>
        <v>5025004</v>
      </c>
      <c r="I4368" s="41" t="s">
        <v>112</v>
      </c>
      <c r="J4368" s="45" t="s">
        <v>185</v>
      </c>
      <c r="K4368" s="53" t="s">
        <v>14</v>
      </c>
      <c r="L4368" s="23">
        <v>3275</v>
      </c>
      <c r="M4368" s="24">
        <v>8</v>
      </c>
      <c r="N4368" s="25">
        <f t="shared" si="137"/>
        <v>26200</v>
      </c>
      <c r="O4368" s="24"/>
    </row>
    <row r="4369" spans="1:15" hidden="1" x14ac:dyDescent="0.3">
      <c r="A4369" s="24">
        <v>34</v>
      </c>
      <c r="B4369" s="20" t="str">
        <f t="shared" si="136"/>
        <v>AUG</v>
      </c>
      <c r="C4369" s="21">
        <v>46255</v>
      </c>
      <c r="D4369" s="22" t="str">
        <f>IFERROR(INDEX('Kode Outlet dan Target Toko'!$A:$A,MATCH($I4369,'Kode Outlet dan Target Toko'!$E:$E,0)),"")</f>
        <v>GRSM 4</v>
      </c>
      <c r="E4369" s="20" t="str">
        <f>IFERROR(VLOOKUP(I4369,KET!$B:$F,4,0),"")</f>
        <v>FAHMI LUKMANUL HAKIM</v>
      </c>
      <c r="F4369" s="20" t="str">
        <f>IFERROR(VLOOKUP($I4369,KET!$B:$F,5,0),"")</f>
        <v>NKA</v>
      </c>
      <c r="G4369" s="20">
        <f>IFERROR(INDEX('Kode Outlet dan Target Toko'!$C:$C,MATCH($I4369,'Kode Outlet dan Target Toko'!$E:$E,0)),0)</f>
        <v>121409</v>
      </c>
      <c r="H4369" s="20">
        <f>IFERROR(INDEX('Kode Outlet dan Target Toko'!$D:$D,MATCH($I4369,'Kode Outlet dan Target Toko'!$E:$E,0)),0)</f>
        <v>5025004</v>
      </c>
      <c r="I4369" s="41" t="s">
        <v>112</v>
      </c>
      <c r="J4369" s="45" t="s">
        <v>185</v>
      </c>
      <c r="K4369" s="53" t="s">
        <v>13</v>
      </c>
      <c r="L4369" s="23">
        <v>3275</v>
      </c>
      <c r="M4369" s="24">
        <v>43</v>
      </c>
      <c r="N4369" s="25">
        <f t="shared" si="137"/>
        <v>140825</v>
      </c>
      <c r="O4369" s="24"/>
    </row>
    <row r="4370" spans="1:15" hidden="1" x14ac:dyDescent="0.3">
      <c r="A4370" s="24">
        <v>34</v>
      </c>
      <c r="B4370" s="20" t="str">
        <f t="shared" si="136"/>
        <v>AUG</v>
      </c>
      <c r="C4370" s="21">
        <v>46255</v>
      </c>
      <c r="D4370" s="22" t="str">
        <f>IFERROR(INDEX('Kode Outlet dan Target Toko'!$A:$A,MATCH($I4370,'Kode Outlet dan Target Toko'!$E:$E,0)),"")</f>
        <v>GRSM 4</v>
      </c>
      <c r="E4370" s="20" t="str">
        <f>IFERROR(VLOOKUP(I4370,KET!$B:$F,4,0),"")</f>
        <v>FAHMI LUKMANUL HAKIM</v>
      </c>
      <c r="F4370" s="20" t="str">
        <f>IFERROR(VLOOKUP($I4370,KET!$B:$F,5,0),"")</f>
        <v>NKA</v>
      </c>
      <c r="G4370" s="20">
        <f>IFERROR(INDEX('Kode Outlet dan Target Toko'!$C:$C,MATCH($I4370,'Kode Outlet dan Target Toko'!$E:$E,0)),0)</f>
        <v>121409</v>
      </c>
      <c r="H4370" s="20">
        <f>IFERROR(INDEX('Kode Outlet dan Target Toko'!$D:$D,MATCH($I4370,'Kode Outlet dan Target Toko'!$E:$E,0)),0)</f>
        <v>5025004</v>
      </c>
      <c r="I4370" s="41" t="s">
        <v>112</v>
      </c>
      <c r="J4370" s="45" t="s">
        <v>185</v>
      </c>
      <c r="K4370" s="53" t="s">
        <v>16</v>
      </c>
      <c r="L4370" s="23">
        <v>3275</v>
      </c>
      <c r="M4370" s="24">
        <v>153</v>
      </c>
      <c r="N4370" s="25">
        <f t="shared" si="137"/>
        <v>501075</v>
      </c>
      <c r="O4370" s="24">
        <v>160</v>
      </c>
    </row>
    <row r="4371" spans="1:15" hidden="1" x14ac:dyDescent="0.3">
      <c r="A4371" s="24">
        <v>34</v>
      </c>
      <c r="B4371" s="20" t="str">
        <f t="shared" si="136"/>
        <v>AUG</v>
      </c>
      <c r="C4371" s="21">
        <v>46255</v>
      </c>
      <c r="D4371" s="22" t="str">
        <f>IFERROR(INDEX('Kode Outlet dan Target Toko'!$A:$A,MATCH($I4371,'Kode Outlet dan Target Toko'!$E:$E,0)),"")</f>
        <v>GRSM 4</v>
      </c>
      <c r="E4371" s="20" t="str">
        <f>IFERROR(VLOOKUP(I4371,KET!$B:$F,4,0),"")</f>
        <v>FAHMI LUKMANUL HAKIM</v>
      </c>
      <c r="F4371" s="20" t="str">
        <f>IFERROR(VLOOKUP($I4371,KET!$B:$F,5,0),"")</f>
        <v>NKA</v>
      </c>
      <c r="G4371" s="20">
        <f>IFERROR(INDEX('Kode Outlet dan Target Toko'!$C:$C,MATCH($I4371,'Kode Outlet dan Target Toko'!$E:$E,0)),0)</f>
        <v>121409</v>
      </c>
      <c r="H4371" s="20">
        <f>IFERROR(INDEX('Kode Outlet dan Target Toko'!$D:$D,MATCH($I4371,'Kode Outlet dan Target Toko'!$E:$E,0)),0)</f>
        <v>5025004</v>
      </c>
      <c r="I4371" s="41" t="s">
        <v>112</v>
      </c>
      <c r="J4371" s="45" t="s">
        <v>184</v>
      </c>
      <c r="K4371" s="53" t="s">
        <v>15</v>
      </c>
      <c r="L4371" s="23">
        <v>3275</v>
      </c>
      <c r="M4371" s="24">
        <v>90</v>
      </c>
      <c r="N4371" s="25">
        <f t="shared" si="137"/>
        <v>294750</v>
      </c>
      <c r="O4371" s="24"/>
    </row>
    <row r="4372" spans="1:15" hidden="1" x14ac:dyDescent="0.3">
      <c r="A4372" s="24">
        <v>34</v>
      </c>
      <c r="B4372" s="20" t="str">
        <f t="shared" si="136"/>
        <v>AUG</v>
      </c>
      <c r="C4372" s="21">
        <v>46255</v>
      </c>
      <c r="D4372" s="22" t="str">
        <f>IFERROR(INDEX('Kode Outlet dan Target Toko'!$A:$A,MATCH($I4372,'Kode Outlet dan Target Toko'!$E:$E,0)),"")</f>
        <v>GRSM 4</v>
      </c>
      <c r="E4372" s="20" t="str">
        <f>IFERROR(VLOOKUP(I4372,KET!$B:$F,4,0),"")</f>
        <v>FAHMI LUKMANUL HAKIM</v>
      </c>
      <c r="F4372" s="20" t="str">
        <f>IFERROR(VLOOKUP($I4372,KET!$B:$F,5,0),"")</f>
        <v>NKA</v>
      </c>
      <c r="G4372" s="20">
        <f>IFERROR(INDEX('Kode Outlet dan Target Toko'!$C:$C,MATCH($I4372,'Kode Outlet dan Target Toko'!$E:$E,0)),0)</f>
        <v>121409</v>
      </c>
      <c r="H4372" s="20">
        <f>IFERROR(INDEX('Kode Outlet dan Target Toko'!$D:$D,MATCH($I4372,'Kode Outlet dan Target Toko'!$E:$E,0)),0)</f>
        <v>5025004</v>
      </c>
      <c r="I4372" s="41" t="s">
        <v>112</v>
      </c>
      <c r="J4372" s="45" t="s">
        <v>184</v>
      </c>
      <c r="K4372" s="53" t="s">
        <v>14</v>
      </c>
      <c r="L4372" s="23">
        <v>3275</v>
      </c>
      <c r="M4372" s="24">
        <v>8</v>
      </c>
      <c r="N4372" s="25">
        <f t="shared" si="137"/>
        <v>26200</v>
      </c>
      <c r="O4372" s="24"/>
    </row>
    <row r="4373" spans="1:15" hidden="1" x14ac:dyDescent="0.3">
      <c r="A4373" s="24">
        <v>34</v>
      </c>
      <c r="B4373" s="20" t="str">
        <f t="shared" si="136"/>
        <v>AUG</v>
      </c>
      <c r="C4373" s="21">
        <v>46255</v>
      </c>
      <c r="D4373" s="22" t="str">
        <f>IFERROR(INDEX('Kode Outlet dan Target Toko'!$A:$A,MATCH($I4373,'Kode Outlet dan Target Toko'!$E:$E,0)),"")</f>
        <v>GRSM 4</v>
      </c>
      <c r="E4373" s="20" t="str">
        <f>IFERROR(VLOOKUP(I4373,KET!$B:$F,4,0),"")</f>
        <v>FAHMI LUKMANUL HAKIM</v>
      </c>
      <c r="F4373" s="20" t="str">
        <f>IFERROR(VLOOKUP($I4373,KET!$B:$F,5,0),"")</f>
        <v>NKA</v>
      </c>
      <c r="G4373" s="20">
        <f>IFERROR(INDEX('Kode Outlet dan Target Toko'!$C:$C,MATCH($I4373,'Kode Outlet dan Target Toko'!$E:$E,0)),0)</f>
        <v>121409</v>
      </c>
      <c r="H4373" s="20">
        <f>IFERROR(INDEX('Kode Outlet dan Target Toko'!$D:$D,MATCH($I4373,'Kode Outlet dan Target Toko'!$E:$E,0)),0)</f>
        <v>5025004</v>
      </c>
      <c r="I4373" s="41" t="s">
        <v>112</v>
      </c>
      <c r="J4373" s="45" t="s">
        <v>184</v>
      </c>
      <c r="K4373" s="53" t="s">
        <v>13</v>
      </c>
      <c r="L4373" s="23">
        <v>3275</v>
      </c>
      <c r="M4373" s="24">
        <v>43</v>
      </c>
      <c r="N4373" s="25">
        <f t="shared" si="137"/>
        <v>140825</v>
      </c>
      <c r="O4373" s="24"/>
    </row>
    <row r="4374" spans="1:15" hidden="1" x14ac:dyDescent="0.3">
      <c r="A4374" s="24">
        <v>34</v>
      </c>
      <c r="B4374" s="20" t="str">
        <f t="shared" si="136"/>
        <v>AUG</v>
      </c>
      <c r="C4374" s="21">
        <v>46255</v>
      </c>
      <c r="D4374" s="22" t="str">
        <f>IFERROR(INDEX('Kode Outlet dan Target Toko'!$A:$A,MATCH($I4374,'Kode Outlet dan Target Toko'!$E:$E,0)),"")</f>
        <v>GRSM 4</v>
      </c>
      <c r="E4374" s="20" t="str">
        <f>IFERROR(VLOOKUP(I4374,KET!$B:$F,4,0),"")</f>
        <v>FAHMI LUKMANUL HAKIM</v>
      </c>
      <c r="F4374" s="20" t="str">
        <f>IFERROR(VLOOKUP($I4374,KET!$B:$F,5,0),"")</f>
        <v>NKA</v>
      </c>
      <c r="G4374" s="20">
        <f>IFERROR(INDEX('Kode Outlet dan Target Toko'!$C:$C,MATCH($I4374,'Kode Outlet dan Target Toko'!$E:$E,0)),0)</f>
        <v>121409</v>
      </c>
      <c r="H4374" s="20">
        <f>IFERROR(INDEX('Kode Outlet dan Target Toko'!$D:$D,MATCH($I4374,'Kode Outlet dan Target Toko'!$E:$E,0)),0)</f>
        <v>5025004</v>
      </c>
      <c r="I4374" s="41" t="s">
        <v>112</v>
      </c>
      <c r="J4374" s="45" t="s">
        <v>184</v>
      </c>
      <c r="K4374" s="53" t="s">
        <v>16</v>
      </c>
      <c r="L4374" s="23">
        <v>3275</v>
      </c>
      <c r="M4374" s="24">
        <v>153</v>
      </c>
      <c r="N4374" s="25">
        <f t="shared" si="137"/>
        <v>501075</v>
      </c>
      <c r="O4374" s="24">
        <v>160</v>
      </c>
    </row>
    <row r="4375" spans="1:15" hidden="1" x14ac:dyDescent="0.3">
      <c r="A4375" s="24">
        <v>34</v>
      </c>
      <c r="B4375" s="20" t="str">
        <f t="shared" si="136"/>
        <v>AUG</v>
      </c>
      <c r="C4375" s="21">
        <v>46255</v>
      </c>
      <c r="D4375" s="22" t="str">
        <f>IFERROR(INDEX('Kode Outlet dan Target Toko'!$A:$A,MATCH($I4375,'Kode Outlet dan Target Toko'!$E:$E,0)),"")</f>
        <v>GRSM 4</v>
      </c>
      <c r="E4375" s="20" t="str">
        <f>IFERROR(VLOOKUP(I4375,KET!$B:$F,4,0),"")</f>
        <v>FAHMI LUKMANUL HAKIM</v>
      </c>
      <c r="F4375" s="20" t="str">
        <f>IFERROR(VLOOKUP($I4375,KET!$B:$F,5,0),"")</f>
        <v>GMM</v>
      </c>
      <c r="G4375" s="20">
        <f>IFERROR(INDEX('Kode Outlet dan Target Toko'!$C:$C,MATCH($I4375,'Kode Outlet dan Target Toko'!$E:$E,0)),0)</f>
        <v>103257</v>
      </c>
      <c r="H4375" s="20">
        <f>IFERROR(INDEX('Kode Outlet dan Target Toko'!$D:$D,MATCH($I4375,'Kode Outlet dan Target Toko'!$E:$E,0)),0)</f>
        <v>9162509</v>
      </c>
      <c r="I4375" s="41" t="s">
        <v>57</v>
      </c>
      <c r="J4375" s="45" t="s">
        <v>192</v>
      </c>
      <c r="K4375" s="53" t="s">
        <v>15</v>
      </c>
      <c r="L4375" s="23">
        <v>5038</v>
      </c>
      <c r="M4375" s="24">
        <v>0</v>
      </c>
      <c r="N4375" s="25">
        <f t="shared" si="137"/>
        <v>0</v>
      </c>
      <c r="O4375" s="24"/>
    </row>
    <row r="4376" spans="1:15" hidden="1" x14ac:dyDescent="0.3">
      <c r="A4376" s="24">
        <v>34</v>
      </c>
      <c r="B4376" s="20" t="str">
        <f t="shared" si="136"/>
        <v>AUG</v>
      </c>
      <c r="C4376" s="21">
        <v>46255</v>
      </c>
      <c r="D4376" s="22" t="str">
        <f>IFERROR(INDEX('Kode Outlet dan Target Toko'!$A:$A,MATCH($I4376,'Kode Outlet dan Target Toko'!$E:$E,0)),"")</f>
        <v>GRSM 4</v>
      </c>
      <c r="E4376" s="20" t="str">
        <f>IFERROR(VLOOKUP(I4376,KET!$B:$F,4,0),"")</f>
        <v>FAHMI LUKMANUL HAKIM</v>
      </c>
      <c r="F4376" s="20" t="str">
        <f>IFERROR(VLOOKUP($I4376,KET!$B:$F,5,0),"")</f>
        <v>GMM</v>
      </c>
      <c r="G4376" s="20">
        <f>IFERROR(INDEX('Kode Outlet dan Target Toko'!$C:$C,MATCH($I4376,'Kode Outlet dan Target Toko'!$E:$E,0)),0)</f>
        <v>103257</v>
      </c>
      <c r="H4376" s="20">
        <f>IFERROR(INDEX('Kode Outlet dan Target Toko'!$D:$D,MATCH($I4376,'Kode Outlet dan Target Toko'!$E:$E,0)),0)</f>
        <v>9162509</v>
      </c>
      <c r="I4376" s="41" t="s">
        <v>57</v>
      </c>
      <c r="J4376" s="45" t="s">
        <v>192</v>
      </c>
      <c r="K4376" s="53" t="s">
        <v>14</v>
      </c>
      <c r="L4376" s="23">
        <v>5038</v>
      </c>
      <c r="M4376" s="24">
        <v>120</v>
      </c>
      <c r="N4376" s="25">
        <f t="shared" si="137"/>
        <v>604560</v>
      </c>
      <c r="O4376" s="24"/>
    </row>
    <row r="4377" spans="1:15" hidden="1" x14ac:dyDescent="0.3">
      <c r="A4377" s="24">
        <v>34</v>
      </c>
      <c r="B4377" s="20" t="str">
        <f t="shared" si="136"/>
        <v>AUG</v>
      </c>
      <c r="C4377" s="21">
        <v>46255</v>
      </c>
      <c r="D4377" s="22" t="str">
        <f>IFERROR(INDEX('Kode Outlet dan Target Toko'!$A:$A,MATCH($I4377,'Kode Outlet dan Target Toko'!$E:$E,0)),"")</f>
        <v>GRSM 4</v>
      </c>
      <c r="E4377" s="20" t="str">
        <f>IFERROR(VLOOKUP(I4377,KET!$B:$F,4,0),"")</f>
        <v>FAHMI LUKMANUL HAKIM</v>
      </c>
      <c r="F4377" s="20" t="str">
        <f>IFERROR(VLOOKUP($I4377,KET!$B:$F,5,0),"")</f>
        <v>GMM</v>
      </c>
      <c r="G4377" s="20">
        <f>IFERROR(INDEX('Kode Outlet dan Target Toko'!$C:$C,MATCH($I4377,'Kode Outlet dan Target Toko'!$E:$E,0)),0)</f>
        <v>103257</v>
      </c>
      <c r="H4377" s="20">
        <f>IFERROR(INDEX('Kode Outlet dan Target Toko'!$D:$D,MATCH($I4377,'Kode Outlet dan Target Toko'!$E:$E,0)),0)</f>
        <v>9162509</v>
      </c>
      <c r="I4377" s="41" t="s">
        <v>57</v>
      </c>
      <c r="J4377" s="45" t="s">
        <v>192</v>
      </c>
      <c r="K4377" s="53" t="s">
        <v>13</v>
      </c>
      <c r="L4377" s="23">
        <v>5038</v>
      </c>
      <c r="M4377" s="24">
        <v>0</v>
      </c>
      <c r="N4377" s="25">
        <f t="shared" si="137"/>
        <v>0</v>
      </c>
      <c r="O4377" s="24"/>
    </row>
    <row r="4378" spans="1:15" hidden="1" x14ac:dyDescent="0.3">
      <c r="A4378" s="24">
        <v>34</v>
      </c>
      <c r="B4378" s="20" t="str">
        <f t="shared" si="136"/>
        <v>AUG</v>
      </c>
      <c r="C4378" s="21">
        <v>46255</v>
      </c>
      <c r="D4378" s="22" t="str">
        <f>IFERROR(INDEX('Kode Outlet dan Target Toko'!$A:$A,MATCH($I4378,'Kode Outlet dan Target Toko'!$E:$E,0)),"")</f>
        <v>GRSM 4</v>
      </c>
      <c r="E4378" s="20" t="str">
        <f>IFERROR(VLOOKUP(I4378,KET!$B:$F,4,0),"")</f>
        <v>FAHMI LUKMANUL HAKIM</v>
      </c>
      <c r="F4378" s="20" t="str">
        <f>IFERROR(VLOOKUP($I4378,KET!$B:$F,5,0),"")</f>
        <v>GMM</v>
      </c>
      <c r="G4378" s="20">
        <f>IFERROR(INDEX('Kode Outlet dan Target Toko'!$C:$C,MATCH($I4378,'Kode Outlet dan Target Toko'!$E:$E,0)),0)</f>
        <v>103257</v>
      </c>
      <c r="H4378" s="20">
        <f>IFERROR(INDEX('Kode Outlet dan Target Toko'!$D:$D,MATCH($I4378,'Kode Outlet dan Target Toko'!$E:$E,0)),0)</f>
        <v>9162509</v>
      </c>
      <c r="I4378" s="41" t="s">
        <v>57</v>
      </c>
      <c r="J4378" s="45" t="s">
        <v>192</v>
      </c>
      <c r="K4378" s="53" t="s">
        <v>16</v>
      </c>
      <c r="L4378" s="23">
        <v>5038</v>
      </c>
      <c r="M4378" s="24">
        <v>0</v>
      </c>
      <c r="N4378" s="25">
        <f t="shared" si="137"/>
        <v>0</v>
      </c>
      <c r="O4378" s="24">
        <v>160</v>
      </c>
    </row>
    <row r="4379" spans="1:15" hidden="1" x14ac:dyDescent="0.3">
      <c r="A4379" s="24">
        <v>34</v>
      </c>
      <c r="B4379" s="20" t="str">
        <f t="shared" si="136"/>
        <v>AUG</v>
      </c>
      <c r="C4379" s="21">
        <v>46255</v>
      </c>
      <c r="D4379" s="22" t="str">
        <f>IFERROR(INDEX('Kode Outlet dan Target Toko'!$A:$A,MATCH($I4379,'Kode Outlet dan Target Toko'!$E:$E,0)),"")</f>
        <v>GRSM 4</v>
      </c>
      <c r="E4379" s="20" t="str">
        <f>IFERROR(VLOOKUP(I4379,KET!$B:$F,4,0),"")</f>
        <v>FAHMI LUKMANUL HAKIM</v>
      </c>
      <c r="F4379" s="20" t="str">
        <f>IFERROR(VLOOKUP($I4379,KET!$B:$F,5,0),"")</f>
        <v>GMM</v>
      </c>
      <c r="G4379" s="20">
        <f>IFERROR(INDEX('Kode Outlet dan Target Toko'!$C:$C,MATCH($I4379,'Kode Outlet dan Target Toko'!$E:$E,0)),0)</f>
        <v>103257</v>
      </c>
      <c r="H4379" s="20">
        <f>IFERROR(INDEX('Kode Outlet dan Target Toko'!$D:$D,MATCH($I4379,'Kode Outlet dan Target Toko'!$E:$E,0)),0)</f>
        <v>9162509</v>
      </c>
      <c r="I4379" s="41" t="s">
        <v>57</v>
      </c>
      <c r="J4379" s="45" t="s">
        <v>193</v>
      </c>
      <c r="K4379" s="53" t="s">
        <v>15</v>
      </c>
      <c r="L4379" s="23">
        <v>4992</v>
      </c>
      <c r="M4379" s="24">
        <v>0</v>
      </c>
      <c r="N4379" s="25">
        <f t="shared" si="137"/>
        <v>0</v>
      </c>
      <c r="O4379" s="24"/>
    </row>
    <row r="4380" spans="1:15" hidden="1" x14ac:dyDescent="0.3">
      <c r="A4380" s="24">
        <v>34</v>
      </c>
      <c r="B4380" s="20" t="str">
        <f t="shared" si="136"/>
        <v>AUG</v>
      </c>
      <c r="C4380" s="21">
        <v>46255</v>
      </c>
      <c r="D4380" s="22" t="str">
        <f>IFERROR(INDEX('Kode Outlet dan Target Toko'!$A:$A,MATCH($I4380,'Kode Outlet dan Target Toko'!$E:$E,0)),"")</f>
        <v>GRSM 4</v>
      </c>
      <c r="E4380" s="20" t="str">
        <f>IFERROR(VLOOKUP(I4380,KET!$B:$F,4,0),"")</f>
        <v>FAHMI LUKMANUL HAKIM</v>
      </c>
      <c r="F4380" s="20" t="str">
        <f>IFERROR(VLOOKUP($I4380,KET!$B:$F,5,0),"")</f>
        <v>GMM</v>
      </c>
      <c r="G4380" s="20">
        <f>IFERROR(INDEX('Kode Outlet dan Target Toko'!$C:$C,MATCH($I4380,'Kode Outlet dan Target Toko'!$E:$E,0)),0)</f>
        <v>103257</v>
      </c>
      <c r="H4380" s="20">
        <f>IFERROR(INDEX('Kode Outlet dan Target Toko'!$D:$D,MATCH($I4380,'Kode Outlet dan Target Toko'!$E:$E,0)),0)</f>
        <v>9162509</v>
      </c>
      <c r="I4380" s="41" t="s">
        <v>57</v>
      </c>
      <c r="J4380" s="45" t="s">
        <v>193</v>
      </c>
      <c r="K4380" s="53" t="s">
        <v>14</v>
      </c>
      <c r="L4380" s="23">
        <v>4992</v>
      </c>
      <c r="M4380" s="24">
        <v>118</v>
      </c>
      <c r="N4380" s="25">
        <f t="shared" si="137"/>
        <v>589056</v>
      </c>
      <c r="O4380" s="24"/>
    </row>
    <row r="4381" spans="1:15" hidden="1" x14ac:dyDescent="0.3">
      <c r="A4381" s="24">
        <v>34</v>
      </c>
      <c r="B4381" s="20" t="str">
        <f t="shared" si="136"/>
        <v>AUG</v>
      </c>
      <c r="C4381" s="21">
        <v>46255</v>
      </c>
      <c r="D4381" s="22" t="str">
        <f>IFERROR(INDEX('Kode Outlet dan Target Toko'!$A:$A,MATCH($I4381,'Kode Outlet dan Target Toko'!$E:$E,0)),"")</f>
        <v>GRSM 4</v>
      </c>
      <c r="E4381" s="20" t="str">
        <f>IFERROR(VLOOKUP(I4381,KET!$B:$F,4,0),"")</f>
        <v>FAHMI LUKMANUL HAKIM</v>
      </c>
      <c r="F4381" s="20" t="str">
        <f>IFERROR(VLOOKUP($I4381,KET!$B:$F,5,0),"")</f>
        <v>GMM</v>
      </c>
      <c r="G4381" s="20">
        <f>IFERROR(INDEX('Kode Outlet dan Target Toko'!$C:$C,MATCH($I4381,'Kode Outlet dan Target Toko'!$E:$E,0)),0)</f>
        <v>103257</v>
      </c>
      <c r="H4381" s="20">
        <f>IFERROR(INDEX('Kode Outlet dan Target Toko'!$D:$D,MATCH($I4381,'Kode Outlet dan Target Toko'!$E:$E,0)),0)</f>
        <v>9162509</v>
      </c>
      <c r="I4381" s="41" t="s">
        <v>57</v>
      </c>
      <c r="J4381" s="45" t="s">
        <v>193</v>
      </c>
      <c r="K4381" s="53" t="s">
        <v>13</v>
      </c>
      <c r="L4381" s="23">
        <v>4992</v>
      </c>
      <c r="M4381" s="24">
        <v>0</v>
      </c>
      <c r="N4381" s="25">
        <f t="shared" si="137"/>
        <v>0</v>
      </c>
      <c r="O4381" s="24"/>
    </row>
    <row r="4382" spans="1:15" hidden="1" x14ac:dyDescent="0.3">
      <c r="A4382" s="24">
        <v>34</v>
      </c>
      <c r="B4382" s="20" t="str">
        <f t="shared" si="136"/>
        <v>AUG</v>
      </c>
      <c r="C4382" s="21">
        <v>46255</v>
      </c>
      <c r="D4382" s="22" t="str">
        <f>IFERROR(INDEX('Kode Outlet dan Target Toko'!$A:$A,MATCH($I4382,'Kode Outlet dan Target Toko'!$E:$E,0)),"")</f>
        <v>GRSM 4</v>
      </c>
      <c r="E4382" s="20" t="str">
        <f>IFERROR(VLOOKUP(I4382,KET!$B:$F,4,0),"")</f>
        <v>FAHMI LUKMANUL HAKIM</v>
      </c>
      <c r="F4382" s="20" t="str">
        <f>IFERROR(VLOOKUP($I4382,KET!$B:$F,5,0),"")</f>
        <v>GMM</v>
      </c>
      <c r="G4382" s="20">
        <f>IFERROR(INDEX('Kode Outlet dan Target Toko'!$C:$C,MATCH($I4382,'Kode Outlet dan Target Toko'!$E:$E,0)),0)</f>
        <v>103257</v>
      </c>
      <c r="H4382" s="20">
        <f>IFERROR(INDEX('Kode Outlet dan Target Toko'!$D:$D,MATCH($I4382,'Kode Outlet dan Target Toko'!$E:$E,0)),0)</f>
        <v>9162509</v>
      </c>
      <c r="I4382" s="41" t="s">
        <v>57</v>
      </c>
      <c r="J4382" s="45" t="s">
        <v>193</v>
      </c>
      <c r="K4382" s="53" t="s">
        <v>16</v>
      </c>
      <c r="L4382" s="23">
        <v>4992</v>
      </c>
      <c r="M4382" s="24">
        <v>0</v>
      </c>
      <c r="N4382" s="25">
        <f t="shared" si="137"/>
        <v>0</v>
      </c>
      <c r="O4382" s="24">
        <v>160</v>
      </c>
    </row>
    <row r="4383" spans="1:15" hidden="1" x14ac:dyDescent="0.3">
      <c r="A4383" s="24">
        <v>34</v>
      </c>
      <c r="B4383" s="20" t="str">
        <f t="shared" si="136"/>
        <v>AUG</v>
      </c>
      <c r="C4383" s="21">
        <v>46255</v>
      </c>
      <c r="D4383" s="22" t="str">
        <f>IFERROR(INDEX('Kode Outlet dan Target Toko'!$A:$A,MATCH($I4383,'Kode Outlet dan Target Toko'!$E:$E,0)),"")</f>
        <v>GRSM 4</v>
      </c>
      <c r="E4383" s="20" t="str">
        <f>IFERROR(VLOOKUP(I4383,KET!$B:$F,4,0),"")</f>
        <v>FAHMI LUKMANUL HAKIM</v>
      </c>
      <c r="F4383" s="20" t="str">
        <f>IFERROR(VLOOKUP($I4383,KET!$B:$F,5,0),"")</f>
        <v>GMM</v>
      </c>
      <c r="G4383" s="20">
        <f>IFERROR(INDEX('Kode Outlet dan Target Toko'!$C:$C,MATCH($I4383,'Kode Outlet dan Target Toko'!$E:$E,0)),0)</f>
        <v>103259</v>
      </c>
      <c r="H4383" s="20">
        <f>IFERROR(INDEX('Kode Outlet dan Target Toko'!$D:$D,MATCH($I4383,'Kode Outlet dan Target Toko'!$E:$E,0)),0)</f>
        <v>9002359</v>
      </c>
      <c r="I4383" s="41" t="s">
        <v>103</v>
      </c>
      <c r="J4383" s="45" t="s">
        <v>197</v>
      </c>
      <c r="K4383" s="53" t="s">
        <v>15</v>
      </c>
      <c r="L4383" s="23">
        <v>1950</v>
      </c>
      <c r="M4383" s="24">
        <v>6</v>
      </c>
      <c r="N4383" s="25">
        <f t="shared" si="137"/>
        <v>11700</v>
      </c>
      <c r="O4383" s="24"/>
    </row>
    <row r="4384" spans="1:15" hidden="1" x14ac:dyDescent="0.3">
      <c r="A4384" s="24">
        <v>34</v>
      </c>
      <c r="B4384" s="20" t="str">
        <f t="shared" si="136"/>
        <v>AUG</v>
      </c>
      <c r="C4384" s="21">
        <v>46255</v>
      </c>
      <c r="D4384" s="22" t="str">
        <f>IFERROR(INDEX('Kode Outlet dan Target Toko'!$A:$A,MATCH($I4384,'Kode Outlet dan Target Toko'!$E:$E,0)),"")</f>
        <v>GRSM 4</v>
      </c>
      <c r="E4384" s="20" t="str">
        <f>IFERROR(VLOOKUP(I4384,KET!$B:$F,4,0),"")</f>
        <v>FAHMI LUKMANUL HAKIM</v>
      </c>
      <c r="F4384" s="20" t="str">
        <f>IFERROR(VLOOKUP($I4384,KET!$B:$F,5,0),"")</f>
        <v>GMM</v>
      </c>
      <c r="G4384" s="20">
        <f>IFERROR(INDEX('Kode Outlet dan Target Toko'!$C:$C,MATCH($I4384,'Kode Outlet dan Target Toko'!$E:$E,0)),0)</f>
        <v>103259</v>
      </c>
      <c r="H4384" s="20">
        <f>IFERROR(INDEX('Kode Outlet dan Target Toko'!$D:$D,MATCH($I4384,'Kode Outlet dan Target Toko'!$E:$E,0)),0)</f>
        <v>9002359</v>
      </c>
      <c r="I4384" s="41" t="s">
        <v>103</v>
      </c>
      <c r="J4384" s="45" t="s">
        <v>197</v>
      </c>
      <c r="K4384" s="53" t="s">
        <v>14</v>
      </c>
      <c r="L4384" s="23">
        <v>1950</v>
      </c>
      <c r="M4384" s="24">
        <v>0</v>
      </c>
      <c r="N4384" s="25">
        <f t="shared" si="137"/>
        <v>0</v>
      </c>
      <c r="O4384" s="24"/>
    </row>
    <row r="4385" spans="1:15" hidden="1" x14ac:dyDescent="0.3">
      <c r="A4385" s="24">
        <v>34</v>
      </c>
      <c r="B4385" s="20" t="str">
        <f t="shared" si="136"/>
        <v>AUG</v>
      </c>
      <c r="C4385" s="21">
        <v>46255</v>
      </c>
      <c r="D4385" s="22" t="str">
        <f>IFERROR(INDEX('Kode Outlet dan Target Toko'!$A:$A,MATCH($I4385,'Kode Outlet dan Target Toko'!$E:$E,0)),"")</f>
        <v>GRSM 4</v>
      </c>
      <c r="E4385" s="20" t="str">
        <f>IFERROR(VLOOKUP(I4385,KET!$B:$F,4,0),"")</f>
        <v>FAHMI LUKMANUL HAKIM</v>
      </c>
      <c r="F4385" s="20" t="str">
        <f>IFERROR(VLOOKUP($I4385,KET!$B:$F,5,0),"")</f>
        <v>GMM</v>
      </c>
      <c r="G4385" s="20">
        <f>IFERROR(INDEX('Kode Outlet dan Target Toko'!$C:$C,MATCH($I4385,'Kode Outlet dan Target Toko'!$E:$E,0)),0)</f>
        <v>103259</v>
      </c>
      <c r="H4385" s="20">
        <f>IFERROR(INDEX('Kode Outlet dan Target Toko'!$D:$D,MATCH($I4385,'Kode Outlet dan Target Toko'!$E:$E,0)),0)</f>
        <v>9002359</v>
      </c>
      <c r="I4385" s="41" t="s">
        <v>103</v>
      </c>
      <c r="J4385" s="45" t="s">
        <v>197</v>
      </c>
      <c r="K4385" s="53" t="s">
        <v>13</v>
      </c>
      <c r="L4385" s="23">
        <v>1950</v>
      </c>
      <c r="M4385" s="24">
        <v>0</v>
      </c>
      <c r="N4385" s="25">
        <f t="shared" si="137"/>
        <v>0</v>
      </c>
      <c r="O4385" s="24"/>
    </row>
    <row r="4386" spans="1:15" hidden="1" x14ac:dyDescent="0.3">
      <c r="A4386" s="24">
        <v>34</v>
      </c>
      <c r="B4386" s="20" t="str">
        <f t="shared" si="136"/>
        <v>AUG</v>
      </c>
      <c r="C4386" s="21">
        <v>46255</v>
      </c>
      <c r="D4386" s="22" t="str">
        <f>IFERROR(INDEX('Kode Outlet dan Target Toko'!$A:$A,MATCH($I4386,'Kode Outlet dan Target Toko'!$E:$E,0)),"")</f>
        <v>GRSM 4</v>
      </c>
      <c r="E4386" s="20" t="str">
        <f>IFERROR(VLOOKUP(I4386,KET!$B:$F,4,0),"")</f>
        <v>FAHMI LUKMANUL HAKIM</v>
      </c>
      <c r="F4386" s="20" t="str">
        <f>IFERROR(VLOOKUP($I4386,KET!$B:$F,5,0),"")</f>
        <v>GMM</v>
      </c>
      <c r="G4386" s="20">
        <f>IFERROR(INDEX('Kode Outlet dan Target Toko'!$C:$C,MATCH($I4386,'Kode Outlet dan Target Toko'!$E:$E,0)),0)</f>
        <v>103259</v>
      </c>
      <c r="H4386" s="20">
        <f>IFERROR(INDEX('Kode Outlet dan Target Toko'!$D:$D,MATCH($I4386,'Kode Outlet dan Target Toko'!$E:$E,0)),0)</f>
        <v>9002359</v>
      </c>
      <c r="I4386" s="41" t="s">
        <v>103</v>
      </c>
      <c r="J4386" s="45" t="s">
        <v>197</v>
      </c>
      <c r="K4386" s="53" t="s">
        <v>16</v>
      </c>
      <c r="L4386" s="23">
        <v>1950</v>
      </c>
      <c r="M4386" s="24">
        <v>0</v>
      </c>
      <c r="N4386" s="25">
        <f t="shared" si="137"/>
        <v>0</v>
      </c>
      <c r="O4386" s="24">
        <v>160</v>
      </c>
    </row>
    <row r="4387" spans="1:15" hidden="1" x14ac:dyDescent="0.3">
      <c r="A4387" s="24">
        <v>34</v>
      </c>
      <c r="B4387" s="20" t="str">
        <f t="shared" si="136"/>
        <v>AUG</v>
      </c>
      <c r="C4387" s="21">
        <v>46256</v>
      </c>
      <c r="D4387" s="22" t="str">
        <f>IFERROR(INDEX('Kode Outlet dan Target Toko'!$A:$A,MATCH($I4387,'Kode Outlet dan Target Toko'!$E:$E,0)),"")</f>
        <v>GRSM 3A</v>
      </c>
      <c r="E4387" s="20" t="str">
        <f>IFERROR(VLOOKUP(I4387,KET!$B:$F,4,0),"")</f>
        <v>FAHMI LUKMANUL HAKIM</v>
      </c>
      <c r="F4387" s="20" t="str">
        <f>IFERROR(VLOOKUP($I4387,KET!$B:$F,5,0),"")</f>
        <v>GMM</v>
      </c>
      <c r="G4387" s="20">
        <f>IFERROR(INDEX('Kode Outlet dan Target Toko'!$C:$C,MATCH($I4387,'Kode Outlet dan Target Toko'!$E:$E,0)),0)</f>
        <v>211019</v>
      </c>
      <c r="H4387" s="20">
        <f>IFERROR(INDEX('Kode Outlet dan Target Toko'!$D:$D,MATCH($I4387,'Kode Outlet dan Target Toko'!$E:$E,0)),0)</f>
        <v>1556924</v>
      </c>
      <c r="I4387" s="41" t="s">
        <v>102</v>
      </c>
      <c r="J4387" s="45" t="s">
        <v>194</v>
      </c>
      <c r="K4387" s="53" t="s">
        <v>15</v>
      </c>
      <c r="L4387" s="23">
        <v>2928</v>
      </c>
      <c r="M4387" s="24">
        <v>232</v>
      </c>
      <c r="N4387" s="25">
        <f t="shared" si="137"/>
        <v>679296</v>
      </c>
      <c r="O4387" s="24"/>
    </row>
    <row r="4388" spans="1:15" hidden="1" x14ac:dyDescent="0.3">
      <c r="A4388" s="24">
        <v>34</v>
      </c>
      <c r="B4388" s="20" t="str">
        <f t="shared" si="136"/>
        <v>AUG</v>
      </c>
      <c r="C4388" s="21">
        <v>46256</v>
      </c>
      <c r="D4388" s="22" t="str">
        <f>IFERROR(INDEX('Kode Outlet dan Target Toko'!$A:$A,MATCH($I4388,'Kode Outlet dan Target Toko'!$E:$E,0)),"")</f>
        <v>GRSM 3A</v>
      </c>
      <c r="E4388" s="20" t="str">
        <f>IFERROR(VLOOKUP(I4388,KET!$B:$F,4,0),"")</f>
        <v>FAHMI LUKMANUL HAKIM</v>
      </c>
      <c r="F4388" s="20" t="str">
        <f>IFERROR(VLOOKUP($I4388,KET!$B:$F,5,0),"")</f>
        <v>GMM</v>
      </c>
      <c r="G4388" s="20">
        <f>IFERROR(INDEX('Kode Outlet dan Target Toko'!$C:$C,MATCH($I4388,'Kode Outlet dan Target Toko'!$E:$E,0)),0)</f>
        <v>211019</v>
      </c>
      <c r="H4388" s="20">
        <f>IFERROR(INDEX('Kode Outlet dan Target Toko'!$D:$D,MATCH($I4388,'Kode Outlet dan Target Toko'!$E:$E,0)),0)</f>
        <v>1556924</v>
      </c>
      <c r="I4388" s="41" t="s">
        <v>102</v>
      </c>
      <c r="J4388" s="45" t="s">
        <v>194</v>
      </c>
      <c r="K4388" s="53" t="s">
        <v>14</v>
      </c>
      <c r="L4388" s="23">
        <v>2928</v>
      </c>
      <c r="M4388" s="24">
        <v>53</v>
      </c>
      <c r="N4388" s="25">
        <f t="shared" si="137"/>
        <v>155184</v>
      </c>
      <c r="O4388" s="24"/>
    </row>
    <row r="4389" spans="1:15" hidden="1" x14ac:dyDescent="0.3">
      <c r="A4389" s="24">
        <v>34</v>
      </c>
      <c r="B4389" s="20" t="str">
        <f t="shared" si="136"/>
        <v>AUG</v>
      </c>
      <c r="C4389" s="21">
        <v>46256</v>
      </c>
      <c r="D4389" s="22" t="str">
        <f>IFERROR(INDEX('Kode Outlet dan Target Toko'!$A:$A,MATCH($I4389,'Kode Outlet dan Target Toko'!$E:$E,0)),"")</f>
        <v>GRSM 3A</v>
      </c>
      <c r="E4389" s="20" t="str">
        <f>IFERROR(VLOOKUP(I4389,KET!$B:$F,4,0),"")</f>
        <v>FAHMI LUKMANUL HAKIM</v>
      </c>
      <c r="F4389" s="20" t="str">
        <f>IFERROR(VLOOKUP($I4389,KET!$B:$F,5,0),"")</f>
        <v>GMM</v>
      </c>
      <c r="G4389" s="20">
        <f>IFERROR(INDEX('Kode Outlet dan Target Toko'!$C:$C,MATCH($I4389,'Kode Outlet dan Target Toko'!$E:$E,0)),0)</f>
        <v>211019</v>
      </c>
      <c r="H4389" s="20">
        <f>IFERROR(INDEX('Kode Outlet dan Target Toko'!$D:$D,MATCH($I4389,'Kode Outlet dan Target Toko'!$E:$E,0)),0)</f>
        <v>1556924</v>
      </c>
      <c r="I4389" s="41" t="s">
        <v>102</v>
      </c>
      <c r="J4389" s="45" t="s">
        <v>194</v>
      </c>
      <c r="K4389" s="53" t="s">
        <v>13</v>
      </c>
      <c r="L4389" s="23">
        <v>2928</v>
      </c>
      <c r="M4389" s="24">
        <v>2</v>
      </c>
      <c r="N4389" s="25">
        <f t="shared" si="137"/>
        <v>5856</v>
      </c>
      <c r="O4389" s="24"/>
    </row>
    <row r="4390" spans="1:15" hidden="1" x14ac:dyDescent="0.3">
      <c r="A4390" s="24">
        <v>34</v>
      </c>
      <c r="B4390" s="20" t="str">
        <f t="shared" si="136"/>
        <v>AUG</v>
      </c>
      <c r="C4390" s="21">
        <v>46256</v>
      </c>
      <c r="D4390" s="22" t="str">
        <f>IFERROR(INDEX('Kode Outlet dan Target Toko'!$A:$A,MATCH($I4390,'Kode Outlet dan Target Toko'!$E:$E,0)),"")</f>
        <v>GRSM 3A</v>
      </c>
      <c r="E4390" s="20" t="str">
        <f>IFERROR(VLOOKUP(I4390,KET!$B:$F,4,0),"")</f>
        <v>FAHMI LUKMANUL HAKIM</v>
      </c>
      <c r="F4390" s="20" t="str">
        <f>IFERROR(VLOOKUP($I4390,KET!$B:$F,5,0),"")</f>
        <v>GMM</v>
      </c>
      <c r="G4390" s="20">
        <f>IFERROR(INDEX('Kode Outlet dan Target Toko'!$C:$C,MATCH($I4390,'Kode Outlet dan Target Toko'!$E:$E,0)),0)</f>
        <v>211019</v>
      </c>
      <c r="H4390" s="20">
        <f>IFERROR(INDEX('Kode Outlet dan Target Toko'!$D:$D,MATCH($I4390,'Kode Outlet dan Target Toko'!$E:$E,0)),0)</f>
        <v>1556924</v>
      </c>
      <c r="I4390" s="41" t="s">
        <v>102</v>
      </c>
      <c r="J4390" s="45" t="s">
        <v>194</v>
      </c>
      <c r="K4390" s="53" t="s">
        <v>16</v>
      </c>
      <c r="L4390" s="23">
        <v>2928</v>
      </c>
      <c r="M4390" s="24">
        <v>48</v>
      </c>
      <c r="N4390" s="25">
        <f t="shared" si="137"/>
        <v>140544</v>
      </c>
      <c r="O4390" s="24">
        <v>50</v>
      </c>
    </row>
    <row r="4391" spans="1:15" hidden="1" x14ac:dyDescent="0.3">
      <c r="A4391" s="24">
        <v>34</v>
      </c>
      <c r="B4391" s="20" t="str">
        <f t="shared" si="136"/>
        <v>AUG</v>
      </c>
      <c r="C4391" s="21">
        <v>46256</v>
      </c>
      <c r="D4391" s="22" t="str">
        <f>IFERROR(INDEX('Kode Outlet dan Target Toko'!$A:$A,MATCH($I4391,'Kode Outlet dan Target Toko'!$E:$E,0)),"")</f>
        <v>GRSM 3A</v>
      </c>
      <c r="E4391" s="20" t="str">
        <f>IFERROR(VLOOKUP(I4391,KET!$B:$F,4,0),"")</f>
        <v>FAHMI LUKMANUL HAKIM</v>
      </c>
      <c r="F4391" s="20" t="str">
        <f>IFERROR(VLOOKUP($I4391,KET!$B:$F,5,0),"")</f>
        <v>GMM</v>
      </c>
      <c r="G4391" s="20">
        <f>IFERROR(INDEX('Kode Outlet dan Target Toko'!$C:$C,MATCH($I4391,'Kode Outlet dan Target Toko'!$E:$E,0)),0)</f>
        <v>211019</v>
      </c>
      <c r="H4391" s="20">
        <f>IFERROR(INDEX('Kode Outlet dan Target Toko'!$D:$D,MATCH($I4391,'Kode Outlet dan Target Toko'!$E:$E,0)),0)</f>
        <v>1556924</v>
      </c>
      <c r="I4391" s="41" t="s">
        <v>102</v>
      </c>
      <c r="J4391" s="45" t="s">
        <v>195</v>
      </c>
      <c r="K4391" s="53" t="s">
        <v>15</v>
      </c>
      <c r="L4391" s="23">
        <v>2928</v>
      </c>
      <c r="M4391" s="24">
        <v>232</v>
      </c>
      <c r="N4391" s="25">
        <f t="shared" si="137"/>
        <v>679296</v>
      </c>
      <c r="O4391" s="24"/>
    </row>
    <row r="4392" spans="1:15" hidden="1" x14ac:dyDescent="0.3">
      <c r="A4392" s="24">
        <v>34</v>
      </c>
      <c r="B4392" s="20" t="str">
        <f t="shared" si="136"/>
        <v>AUG</v>
      </c>
      <c r="C4392" s="21">
        <v>46256</v>
      </c>
      <c r="D4392" s="22" t="str">
        <f>IFERROR(INDEX('Kode Outlet dan Target Toko'!$A:$A,MATCH($I4392,'Kode Outlet dan Target Toko'!$E:$E,0)),"")</f>
        <v>GRSM 3A</v>
      </c>
      <c r="E4392" s="20" t="str">
        <f>IFERROR(VLOOKUP(I4392,KET!$B:$F,4,0),"")</f>
        <v>FAHMI LUKMANUL HAKIM</v>
      </c>
      <c r="F4392" s="20" t="str">
        <f>IFERROR(VLOOKUP($I4392,KET!$B:$F,5,0),"")</f>
        <v>GMM</v>
      </c>
      <c r="G4392" s="20">
        <f>IFERROR(INDEX('Kode Outlet dan Target Toko'!$C:$C,MATCH($I4392,'Kode Outlet dan Target Toko'!$E:$E,0)),0)</f>
        <v>211019</v>
      </c>
      <c r="H4392" s="20">
        <f>IFERROR(INDEX('Kode Outlet dan Target Toko'!$D:$D,MATCH($I4392,'Kode Outlet dan Target Toko'!$E:$E,0)),0)</f>
        <v>1556924</v>
      </c>
      <c r="I4392" s="41" t="s">
        <v>102</v>
      </c>
      <c r="J4392" s="45" t="s">
        <v>195</v>
      </c>
      <c r="K4392" s="53" t="s">
        <v>14</v>
      </c>
      <c r="L4392" s="23">
        <v>2928</v>
      </c>
      <c r="M4392" s="24">
        <v>53</v>
      </c>
      <c r="N4392" s="25">
        <f t="shared" si="137"/>
        <v>155184</v>
      </c>
      <c r="O4392" s="24"/>
    </row>
    <row r="4393" spans="1:15" hidden="1" x14ac:dyDescent="0.3">
      <c r="A4393" s="24">
        <v>34</v>
      </c>
      <c r="B4393" s="20" t="str">
        <f t="shared" si="136"/>
        <v>AUG</v>
      </c>
      <c r="C4393" s="21">
        <v>46256</v>
      </c>
      <c r="D4393" s="22" t="str">
        <f>IFERROR(INDEX('Kode Outlet dan Target Toko'!$A:$A,MATCH($I4393,'Kode Outlet dan Target Toko'!$E:$E,0)),"")</f>
        <v>GRSM 3A</v>
      </c>
      <c r="E4393" s="20" t="str">
        <f>IFERROR(VLOOKUP(I4393,KET!$B:$F,4,0),"")</f>
        <v>FAHMI LUKMANUL HAKIM</v>
      </c>
      <c r="F4393" s="20" t="str">
        <f>IFERROR(VLOOKUP($I4393,KET!$B:$F,5,0),"")</f>
        <v>GMM</v>
      </c>
      <c r="G4393" s="20">
        <f>IFERROR(INDEX('Kode Outlet dan Target Toko'!$C:$C,MATCH($I4393,'Kode Outlet dan Target Toko'!$E:$E,0)),0)</f>
        <v>211019</v>
      </c>
      <c r="H4393" s="20">
        <f>IFERROR(INDEX('Kode Outlet dan Target Toko'!$D:$D,MATCH($I4393,'Kode Outlet dan Target Toko'!$E:$E,0)),0)</f>
        <v>1556924</v>
      </c>
      <c r="I4393" s="41" t="s">
        <v>102</v>
      </c>
      <c r="J4393" s="45" t="s">
        <v>195</v>
      </c>
      <c r="K4393" s="53" t="s">
        <v>13</v>
      </c>
      <c r="L4393" s="23">
        <v>2928</v>
      </c>
      <c r="M4393" s="24">
        <v>2</v>
      </c>
      <c r="N4393" s="25">
        <f t="shared" si="137"/>
        <v>5856</v>
      </c>
      <c r="O4393" s="24"/>
    </row>
    <row r="4394" spans="1:15" hidden="1" x14ac:dyDescent="0.3">
      <c r="A4394" s="24">
        <v>34</v>
      </c>
      <c r="B4394" s="20" t="str">
        <f t="shared" si="136"/>
        <v>AUG</v>
      </c>
      <c r="C4394" s="21">
        <v>46256</v>
      </c>
      <c r="D4394" s="22" t="str">
        <f>IFERROR(INDEX('Kode Outlet dan Target Toko'!$A:$A,MATCH($I4394,'Kode Outlet dan Target Toko'!$E:$E,0)),"")</f>
        <v>GRSM 3A</v>
      </c>
      <c r="E4394" s="20" t="str">
        <f>IFERROR(VLOOKUP(I4394,KET!$B:$F,4,0),"")</f>
        <v>FAHMI LUKMANUL HAKIM</v>
      </c>
      <c r="F4394" s="20" t="str">
        <f>IFERROR(VLOOKUP($I4394,KET!$B:$F,5,0),"")</f>
        <v>GMM</v>
      </c>
      <c r="G4394" s="20">
        <f>IFERROR(INDEX('Kode Outlet dan Target Toko'!$C:$C,MATCH($I4394,'Kode Outlet dan Target Toko'!$E:$E,0)),0)</f>
        <v>211019</v>
      </c>
      <c r="H4394" s="20">
        <f>IFERROR(INDEX('Kode Outlet dan Target Toko'!$D:$D,MATCH($I4394,'Kode Outlet dan Target Toko'!$E:$E,0)),0)</f>
        <v>1556924</v>
      </c>
      <c r="I4394" s="41" t="s">
        <v>102</v>
      </c>
      <c r="J4394" s="45" t="s">
        <v>195</v>
      </c>
      <c r="K4394" s="53" t="s">
        <v>16</v>
      </c>
      <c r="L4394" s="23">
        <v>2928</v>
      </c>
      <c r="M4394" s="24">
        <v>48</v>
      </c>
      <c r="N4394" s="25">
        <f t="shared" si="137"/>
        <v>140544</v>
      </c>
      <c r="O4394" s="24">
        <v>50</v>
      </c>
    </row>
    <row r="4395" spans="1:15" hidden="1" x14ac:dyDescent="0.3">
      <c r="A4395" s="24">
        <v>34</v>
      </c>
      <c r="B4395" s="20" t="str">
        <f t="shared" si="136"/>
        <v>AUG</v>
      </c>
      <c r="C4395" s="21">
        <v>46256</v>
      </c>
      <c r="D4395" s="22" t="str">
        <f>IFERROR(INDEX('Kode Outlet dan Target Toko'!$A:$A,MATCH($I4395,'Kode Outlet dan Target Toko'!$E:$E,0)),"")</f>
        <v>GRSM 4</v>
      </c>
      <c r="E4395" s="20" t="str">
        <f>IFERROR(VLOOKUP(I4395,KET!$B:$F,4,0),"")</f>
        <v>FAHMI LUKMANUL HAKIM</v>
      </c>
      <c r="F4395" s="20" t="str">
        <f>IFERROR(VLOOKUP($I4395,KET!$B:$F,5,0),"")</f>
        <v>GMM</v>
      </c>
      <c r="G4395" s="20">
        <f>IFERROR(INDEX('Kode Outlet dan Target Toko'!$C:$C,MATCH($I4395,'Kode Outlet dan Target Toko'!$E:$E,0)),0)</f>
        <v>103257</v>
      </c>
      <c r="H4395" s="20">
        <f>IFERROR(INDEX('Kode Outlet dan Target Toko'!$D:$D,MATCH($I4395,'Kode Outlet dan Target Toko'!$E:$E,0)),0)</f>
        <v>9162509</v>
      </c>
      <c r="I4395" s="41" t="s">
        <v>57</v>
      </c>
      <c r="J4395" s="45" t="s">
        <v>192</v>
      </c>
      <c r="K4395" s="53" t="s">
        <v>15</v>
      </c>
      <c r="L4395" s="23">
        <v>3100</v>
      </c>
      <c r="M4395" s="24">
        <v>80</v>
      </c>
      <c r="N4395" s="25">
        <f t="shared" si="137"/>
        <v>248000</v>
      </c>
      <c r="O4395" s="24"/>
    </row>
    <row r="4396" spans="1:15" hidden="1" x14ac:dyDescent="0.3">
      <c r="A4396" s="24">
        <v>34</v>
      </c>
      <c r="B4396" s="20" t="str">
        <f t="shared" si="136"/>
        <v>AUG</v>
      </c>
      <c r="C4396" s="21">
        <v>46256</v>
      </c>
      <c r="D4396" s="22" t="str">
        <f>IFERROR(INDEX('Kode Outlet dan Target Toko'!$A:$A,MATCH($I4396,'Kode Outlet dan Target Toko'!$E:$E,0)),"")</f>
        <v>GRSM 4</v>
      </c>
      <c r="E4396" s="20" t="str">
        <f>IFERROR(VLOOKUP(I4396,KET!$B:$F,4,0),"")</f>
        <v>FAHMI LUKMANUL HAKIM</v>
      </c>
      <c r="F4396" s="20" t="str">
        <f>IFERROR(VLOOKUP($I4396,KET!$B:$F,5,0),"")</f>
        <v>GMM</v>
      </c>
      <c r="G4396" s="20">
        <f>IFERROR(INDEX('Kode Outlet dan Target Toko'!$C:$C,MATCH($I4396,'Kode Outlet dan Target Toko'!$E:$E,0)),0)</f>
        <v>103257</v>
      </c>
      <c r="H4396" s="20">
        <f>IFERROR(INDEX('Kode Outlet dan Target Toko'!$D:$D,MATCH($I4396,'Kode Outlet dan Target Toko'!$E:$E,0)),0)</f>
        <v>9162509</v>
      </c>
      <c r="I4396" s="41" t="s">
        <v>57</v>
      </c>
      <c r="J4396" s="45" t="s">
        <v>192</v>
      </c>
      <c r="K4396" s="53" t="s">
        <v>14</v>
      </c>
      <c r="L4396" s="23">
        <v>3100</v>
      </c>
      <c r="M4396" s="24">
        <v>67</v>
      </c>
      <c r="N4396" s="25">
        <f t="shared" si="137"/>
        <v>207700</v>
      </c>
      <c r="O4396" s="24"/>
    </row>
    <row r="4397" spans="1:15" hidden="1" x14ac:dyDescent="0.3">
      <c r="A4397" s="24">
        <v>34</v>
      </c>
      <c r="B4397" s="20" t="str">
        <f t="shared" si="136"/>
        <v>AUG</v>
      </c>
      <c r="C4397" s="21">
        <v>46256</v>
      </c>
      <c r="D4397" s="22" t="str">
        <f>IFERROR(INDEX('Kode Outlet dan Target Toko'!$A:$A,MATCH($I4397,'Kode Outlet dan Target Toko'!$E:$E,0)),"")</f>
        <v>GRSM 4</v>
      </c>
      <c r="E4397" s="20" t="str">
        <f>IFERROR(VLOOKUP(I4397,KET!$B:$F,4,0),"")</f>
        <v>FAHMI LUKMANUL HAKIM</v>
      </c>
      <c r="F4397" s="20" t="str">
        <f>IFERROR(VLOOKUP($I4397,KET!$B:$F,5,0),"")</f>
        <v>GMM</v>
      </c>
      <c r="G4397" s="20">
        <f>IFERROR(INDEX('Kode Outlet dan Target Toko'!$C:$C,MATCH($I4397,'Kode Outlet dan Target Toko'!$E:$E,0)),0)</f>
        <v>103257</v>
      </c>
      <c r="H4397" s="20">
        <f>IFERROR(INDEX('Kode Outlet dan Target Toko'!$D:$D,MATCH($I4397,'Kode Outlet dan Target Toko'!$E:$E,0)),0)</f>
        <v>9162509</v>
      </c>
      <c r="I4397" s="41" t="s">
        <v>57</v>
      </c>
      <c r="J4397" s="45" t="s">
        <v>192</v>
      </c>
      <c r="K4397" s="53" t="s">
        <v>13</v>
      </c>
      <c r="L4397" s="23">
        <v>3100</v>
      </c>
      <c r="M4397" s="24">
        <v>0</v>
      </c>
      <c r="N4397" s="25">
        <f t="shared" si="137"/>
        <v>0</v>
      </c>
      <c r="O4397" s="24"/>
    </row>
    <row r="4398" spans="1:15" hidden="1" x14ac:dyDescent="0.3">
      <c r="A4398" s="24">
        <v>34</v>
      </c>
      <c r="B4398" s="20" t="str">
        <f t="shared" si="136"/>
        <v>AUG</v>
      </c>
      <c r="C4398" s="21">
        <v>46256</v>
      </c>
      <c r="D4398" s="22" t="str">
        <f>IFERROR(INDEX('Kode Outlet dan Target Toko'!$A:$A,MATCH($I4398,'Kode Outlet dan Target Toko'!$E:$E,0)),"")</f>
        <v>GRSM 4</v>
      </c>
      <c r="E4398" s="20" t="str">
        <f>IFERROR(VLOOKUP(I4398,KET!$B:$F,4,0),"")</f>
        <v>FAHMI LUKMANUL HAKIM</v>
      </c>
      <c r="F4398" s="20" t="str">
        <f>IFERROR(VLOOKUP($I4398,KET!$B:$F,5,0),"")</f>
        <v>GMM</v>
      </c>
      <c r="G4398" s="20">
        <f>IFERROR(INDEX('Kode Outlet dan Target Toko'!$C:$C,MATCH($I4398,'Kode Outlet dan Target Toko'!$E:$E,0)),0)</f>
        <v>103257</v>
      </c>
      <c r="H4398" s="20">
        <f>IFERROR(INDEX('Kode Outlet dan Target Toko'!$D:$D,MATCH($I4398,'Kode Outlet dan Target Toko'!$E:$E,0)),0)</f>
        <v>9162509</v>
      </c>
      <c r="I4398" s="41" t="s">
        <v>57</v>
      </c>
      <c r="J4398" s="45" t="s">
        <v>192</v>
      </c>
      <c r="K4398" s="53" t="s">
        <v>16</v>
      </c>
      <c r="L4398" s="23">
        <v>3100</v>
      </c>
      <c r="M4398" s="24">
        <v>52</v>
      </c>
      <c r="N4398" s="25">
        <f t="shared" si="137"/>
        <v>161200</v>
      </c>
      <c r="O4398" s="24">
        <v>160</v>
      </c>
    </row>
    <row r="4399" spans="1:15" hidden="1" x14ac:dyDescent="0.3">
      <c r="A4399" s="24">
        <v>34</v>
      </c>
      <c r="B4399" s="20" t="str">
        <f t="shared" si="136"/>
        <v>AUG</v>
      </c>
      <c r="C4399" s="21">
        <v>46256</v>
      </c>
      <c r="D4399" s="22" t="str">
        <f>IFERROR(INDEX('Kode Outlet dan Target Toko'!$A:$A,MATCH($I4399,'Kode Outlet dan Target Toko'!$E:$E,0)),"")</f>
        <v>GRSM 4</v>
      </c>
      <c r="E4399" s="20" t="str">
        <f>IFERROR(VLOOKUP(I4399,KET!$B:$F,4,0),"")</f>
        <v>FAHMI LUKMANUL HAKIM</v>
      </c>
      <c r="F4399" s="20" t="str">
        <f>IFERROR(VLOOKUP($I4399,KET!$B:$F,5,0),"")</f>
        <v>NKA</v>
      </c>
      <c r="G4399" s="20">
        <f>IFERROR(INDEX('Kode Outlet dan Target Toko'!$C:$C,MATCH($I4399,'Kode Outlet dan Target Toko'!$E:$E,0)),0)</f>
        <v>195403</v>
      </c>
      <c r="H4399" s="20">
        <f>IFERROR(INDEX('Kode Outlet dan Target Toko'!$D:$D,MATCH($I4399,'Kode Outlet dan Target Toko'!$E:$E,0)),0)</f>
        <v>1600007</v>
      </c>
      <c r="I4399" s="41" t="s">
        <v>87</v>
      </c>
      <c r="J4399" s="45" t="s">
        <v>174</v>
      </c>
      <c r="K4399" s="53" t="s">
        <v>15</v>
      </c>
      <c r="L4399" s="23">
        <v>2150</v>
      </c>
      <c r="M4399" s="24">
        <v>87</v>
      </c>
      <c r="N4399" s="25">
        <f t="shared" si="137"/>
        <v>187050</v>
      </c>
      <c r="O4399" s="24"/>
    </row>
    <row r="4400" spans="1:15" hidden="1" x14ac:dyDescent="0.3">
      <c r="A4400" s="24">
        <v>34</v>
      </c>
      <c r="B4400" s="20" t="str">
        <f t="shared" si="136"/>
        <v>AUG</v>
      </c>
      <c r="C4400" s="21">
        <v>46256</v>
      </c>
      <c r="D4400" s="22" t="str">
        <f>IFERROR(INDEX('Kode Outlet dan Target Toko'!$A:$A,MATCH($I4400,'Kode Outlet dan Target Toko'!$E:$E,0)),"")</f>
        <v>GRSM 4</v>
      </c>
      <c r="E4400" s="20" t="str">
        <f>IFERROR(VLOOKUP(I4400,KET!$B:$F,4,0),"")</f>
        <v>FAHMI LUKMANUL HAKIM</v>
      </c>
      <c r="F4400" s="20" t="str">
        <f>IFERROR(VLOOKUP($I4400,KET!$B:$F,5,0),"")</f>
        <v>NKA</v>
      </c>
      <c r="G4400" s="20">
        <f>IFERROR(INDEX('Kode Outlet dan Target Toko'!$C:$C,MATCH($I4400,'Kode Outlet dan Target Toko'!$E:$E,0)),0)</f>
        <v>195403</v>
      </c>
      <c r="H4400" s="20">
        <f>IFERROR(INDEX('Kode Outlet dan Target Toko'!$D:$D,MATCH($I4400,'Kode Outlet dan Target Toko'!$E:$E,0)),0)</f>
        <v>1600007</v>
      </c>
      <c r="I4400" s="41" t="s">
        <v>87</v>
      </c>
      <c r="J4400" s="45" t="s">
        <v>174</v>
      </c>
      <c r="K4400" s="53" t="s">
        <v>14</v>
      </c>
      <c r="L4400" s="23">
        <v>2150</v>
      </c>
      <c r="M4400" s="24">
        <v>90</v>
      </c>
      <c r="N4400" s="25">
        <f t="shared" si="137"/>
        <v>193500</v>
      </c>
      <c r="O4400" s="24"/>
    </row>
    <row r="4401" spans="1:15" hidden="1" x14ac:dyDescent="0.3">
      <c r="A4401" s="24">
        <v>34</v>
      </c>
      <c r="B4401" s="20" t="str">
        <f t="shared" si="136"/>
        <v>AUG</v>
      </c>
      <c r="C4401" s="21">
        <v>46256</v>
      </c>
      <c r="D4401" s="22" t="str">
        <f>IFERROR(INDEX('Kode Outlet dan Target Toko'!$A:$A,MATCH($I4401,'Kode Outlet dan Target Toko'!$E:$E,0)),"")</f>
        <v>GRSM 4</v>
      </c>
      <c r="E4401" s="20" t="str">
        <f>IFERROR(VLOOKUP(I4401,KET!$B:$F,4,0),"")</f>
        <v>FAHMI LUKMANUL HAKIM</v>
      </c>
      <c r="F4401" s="20" t="str">
        <f>IFERROR(VLOOKUP($I4401,KET!$B:$F,5,0),"")</f>
        <v>NKA</v>
      </c>
      <c r="G4401" s="20">
        <f>IFERROR(INDEX('Kode Outlet dan Target Toko'!$C:$C,MATCH($I4401,'Kode Outlet dan Target Toko'!$E:$E,0)),0)</f>
        <v>195403</v>
      </c>
      <c r="H4401" s="20">
        <f>IFERROR(INDEX('Kode Outlet dan Target Toko'!$D:$D,MATCH($I4401,'Kode Outlet dan Target Toko'!$E:$E,0)),0)</f>
        <v>1600007</v>
      </c>
      <c r="I4401" s="41" t="s">
        <v>87</v>
      </c>
      <c r="J4401" s="45" t="s">
        <v>174</v>
      </c>
      <c r="K4401" s="53" t="s">
        <v>13</v>
      </c>
      <c r="L4401" s="23">
        <v>2150</v>
      </c>
      <c r="M4401" s="24">
        <v>84</v>
      </c>
      <c r="N4401" s="25">
        <f t="shared" si="137"/>
        <v>180600</v>
      </c>
      <c r="O4401" s="24"/>
    </row>
    <row r="4402" spans="1:15" hidden="1" x14ac:dyDescent="0.3">
      <c r="A4402" s="24">
        <v>34</v>
      </c>
      <c r="B4402" s="20" t="str">
        <f t="shared" si="136"/>
        <v>AUG</v>
      </c>
      <c r="C4402" s="21">
        <v>46256</v>
      </c>
      <c r="D4402" s="22" t="str">
        <f>IFERROR(INDEX('Kode Outlet dan Target Toko'!$A:$A,MATCH($I4402,'Kode Outlet dan Target Toko'!$E:$E,0)),"")</f>
        <v>GRSM 4</v>
      </c>
      <c r="E4402" s="20" t="str">
        <f>IFERROR(VLOOKUP(I4402,KET!$B:$F,4,0),"")</f>
        <v>FAHMI LUKMANUL HAKIM</v>
      </c>
      <c r="F4402" s="20" t="str">
        <f>IFERROR(VLOOKUP($I4402,KET!$B:$F,5,0),"")</f>
        <v>NKA</v>
      </c>
      <c r="G4402" s="20">
        <f>IFERROR(INDEX('Kode Outlet dan Target Toko'!$C:$C,MATCH($I4402,'Kode Outlet dan Target Toko'!$E:$E,0)),0)</f>
        <v>195403</v>
      </c>
      <c r="H4402" s="20">
        <f>IFERROR(INDEX('Kode Outlet dan Target Toko'!$D:$D,MATCH($I4402,'Kode Outlet dan Target Toko'!$E:$E,0)),0)</f>
        <v>1600007</v>
      </c>
      <c r="I4402" s="41" t="s">
        <v>87</v>
      </c>
      <c r="J4402" s="45" t="s">
        <v>174</v>
      </c>
      <c r="K4402" s="53" t="s">
        <v>16</v>
      </c>
      <c r="L4402" s="23">
        <v>2150</v>
      </c>
      <c r="M4402" s="24">
        <v>114</v>
      </c>
      <c r="N4402" s="25">
        <f t="shared" si="137"/>
        <v>245100</v>
      </c>
      <c r="O4402" s="24">
        <v>160</v>
      </c>
    </row>
    <row r="4403" spans="1:15" hidden="1" x14ac:dyDescent="0.3">
      <c r="A4403" s="24">
        <v>34</v>
      </c>
      <c r="B4403" s="20" t="str">
        <f t="shared" si="136"/>
        <v>AUG</v>
      </c>
      <c r="C4403" s="21">
        <v>46256</v>
      </c>
      <c r="D4403" s="22" t="str">
        <f>IFERROR(INDEX('Kode Outlet dan Target Toko'!$A:$A,MATCH($I4403,'Kode Outlet dan Target Toko'!$E:$E,0)),"")</f>
        <v>GRSM 4</v>
      </c>
      <c r="E4403" s="20" t="str">
        <f>IFERROR(VLOOKUP(I4403,KET!$B:$F,4,0),"")</f>
        <v>FAHMI LUKMANUL HAKIM</v>
      </c>
      <c r="F4403" s="20" t="str">
        <f>IFERROR(VLOOKUP($I4403,KET!$B:$F,5,0),"")</f>
        <v>NKA</v>
      </c>
      <c r="G4403" s="20">
        <f>IFERROR(INDEX('Kode Outlet dan Target Toko'!$C:$C,MATCH($I4403,'Kode Outlet dan Target Toko'!$E:$E,0)),0)</f>
        <v>195403</v>
      </c>
      <c r="H4403" s="20">
        <f>IFERROR(INDEX('Kode Outlet dan Target Toko'!$D:$D,MATCH($I4403,'Kode Outlet dan Target Toko'!$E:$E,0)),0)</f>
        <v>1600007</v>
      </c>
      <c r="I4403" s="41" t="s">
        <v>87</v>
      </c>
      <c r="J4403" s="45" t="s">
        <v>175</v>
      </c>
      <c r="K4403" s="53" t="s">
        <v>15</v>
      </c>
      <c r="L4403" s="23">
        <v>2150</v>
      </c>
      <c r="M4403" s="24">
        <v>84</v>
      </c>
      <c r="N4403" s="25">
        <f t="shared" si="137"/>
        <v>180600</v>
      </c>
      <c r="O4403" s="24"/>
    </row>
    <row r="4404" spans="1:15" hidden="1" x14ac:dyDescent="0.3">
      <c r="A4404" s="24">
        <v>34</v>
      </c>
      <c r="B4404" s="20" t="str">
        <f t="shared" si="136"/>
        <v>AUG</v>
      </c>
      <c r="C4404" s="21">
        <v>46256</v>
      </c>
      <c r="D4404" s="22" t="str">
        <f>IFERROR(INDEX('Kode Outlet dan Target Toko'!$A:$A,MATCH($I4404,'Kode Outlet dan Target Toko'!$E:$E,0)),"")</f>
        <v>GRSM 4</v>
      </c>
      <c r="E4404" s="20" t="str">
        <f>IFERROR(VLOOKUP(I4404,KET!$B:$F,4,0),"")</f>
        <v>FAHMI LUKMANUL HAKIM</v>
      </c>
      <c r="F4404" s="20" t="str">
        <f>IFERROR(VLOOKUP($I4404,KET!$B:$F,5,0),"")</f>
        <v>NKA</v>
      </c>
      <c r="G4404" s="20">
        <f>IFERROR(INDEX('Kode Outlet dan Target Toko'!$C:$C,MATCH($I4404,'Kode Outlet dan Target Toko'!$E:$E,0)),0)</f>
        <v>195403</v>
      </c>
      <c r="H4404" s="20">
        <f>IFERROR(INDEX('Kode Outlet dan Target Toko'!$D:$D,MATCH($I4404,'Kode Outlet dan Target Toko'!$E:$E,0)),0)</f>
        <v>1600007</v>
      </c>
      <c r="I4404" s="41" t="s">
        <v>87</v>
      </c>
      <c r="J4404" s="45" t="s">
        <v>175</v>
      </c>
      <c r="K4404" s="53" t="s">
        <v>14</v>
      </c>
      <c r="L4404" s="23">
        <v>2150</v>
      </c>
      <c r="M4404" s="24">
        <v>81</v>
      </c>
      <c r="N4404" s="25">
        <f t="shared" si="137"/>
        <v>174150</v>
      </c>
      <c r="O4404" s="24"/>
    </row>
    <row r="4405" spans="1:15" hidden="1" x14ac:dyDescent="0.3">
      <c r="A4405" s="24">
        <v>34</v>
      </c>
      <c r="B4405" s="20" t="str">
        <f t="shared" si="136"/>
        <v>AUG</v>
      </c>
      <c r="C4405" s="21">
        <v>46256</v>
      </c>
      <c r="D4405" s="22" t="str">
        <f>IFERROR(INDEX('Kode Outlet dan Target Toko'!$A:$A,MATCH($I4405,'Kode Outlet dan Target Toko'!$E:$E,0)),"")</f>
        <v>GRSM 4</v>
      </c>
      <c r="E4405" s="20" t="str">
        <f>IFERROR(VLOOKUP(I4405,KET!$B:$F,4,0),"")</f>
        <v>FAHMI LUKMANUL HAKIM</v>
      </c>
      <c r="F4405" s="20" t="str">
        <f>IFERROR(VLOOKUP($I4405,KET!$B:$F,5,0),"")</f>
        <v>NKA</v>
      </c>
      <c r="G4405" s="20">
        <f>IFERROR(INDEX('Kode Outlet dan Target Toko'!$C:$C,MATCH($I4405,'Kode Outlet dan Target Toko'!$E:$E,0)),0)</f>
        <v>195403</v>
      </c>
      <c r="H4405" s="20">
        <f>IFERROR(INDEX('Kode Outlet dan Target Toko'!$D:$D,MATCH($I4405,'Kode Outlet dan Target Toko'!$E:$E,0)),0)</f>
        <v>1600007</v>
      </c>
      <c r="I4405" s="41" t="s">
        <v>87</v>
      </c>
      <c r="J4405" s="45" t="s">
        <v>175</v>
      </c>
      <c r="K4405" s="53" t="s">
        <v>13</v>
      </c>
      <c r="L4405" s="23">
        <v>2150</v>
      </c>
      <c r="M4405" s="24">
        <v>81</v>
      </c>
      <c r="N4405" s="25">
        <f t="shared" si="137"/>
        <v>174150</v>
      </c>
      <c r="O4405" s="24"/>
    </row>
    <row r="4406" spans="1:15" hidden="1" x14ac:dyDescent="0.3">
      <c r="A4406" s="24">
        <v>34</v>
      </c>
      <c r="B4406" s="20" t="str">
        <f t="shared" si="136"/>
        <v>AUG</v>
      </c>
      <c r="C4406" s="21">
        <v>46256</v>
      </c>
      <c r="D4406" s="22" t="str">
        <f>IFERROR(INDEX('Kode Outlet dan Target Toko'!$A:$A,MATCH($I4406,'Kode Outlet dan Target Toko'!$E:$E,0)),"")</f>
        <v>GRSM 4</v>
      </c>
      <c r="E4406" s="20" t="str">
        <f>IFERROR(VLOOKUP(I4406,KET!$B:$F,4,0),"")</f>
        <v>FAHMI LUKMANUL HAKIM</v>
      </c>
      <c r="F4406" s="20" t="str">
        <f>IFERROR(VLOOKUP($I4406,KET!$B:$F,5,0),"")</f>
        <v>NKA</v>
      </c>
      <c r="G4406" s="20">
        <f>IFERROR(INDEX('Kode Outlet dan Target Toko'!$C:$C,MATCH($I4406,'Kode Outlet dan Target Toko'!$E:$E,0)),0)</f>
        <v>195403</v>
      </c>
      <c r="H4406" s="20">
        <f>IFERROR(INDEX('Kode Outlet dan Target Toko'!$D:$D,MATCH($I4406,'Kode Outlet dan Target Toko'!$E:$E,0)),0)</f>
        <v>1600007</v>
      </c>
      <c r="I4406" s="41" t="s">
        <v>87</v>
      </c>
      <c r="J4406" s="45" t="s">
        <v>175</v>
      </c>
      <c r="K4406" s="53" t="s">
        <v>16</v>
      </c>
      <c r="L4406" s="23">
        <v>2150</v>
      </c>
      <c r="M4406" s="24">
        <v>108</v>
      </c>
      <c r="N4406" s="25">
        <f t="shared" si="137"/>
        <v>232200</v>
      </c>
      <c r="O4406" s="24">
        <v>160</v>
      </c>
    </row>
    <row r="4407" spans="1:15" hidden="1" x14ac:dyDescent="0.3">
      <c r="A4407" s="24">
        <v>34</v>
      </c>
      <c r="B4407" s="20" t="str">
        <f t="shared" si="136"/>
        <v>AUG</v>
      </c>
      <c r="C4407" s="21">
        <v>46256</v>
      </c>
      <c r="D4407" s="22" t="str">
        <f>IFERROR(INDEX('Kode Outlet dan Target Toko'!$A:$A,MATCH($I4407,'Kode Outlet dan Target Toko'!$E:$E,0)),"")</f>
        <v>GRSM 4</v>
      </c>
      <c r="E4407" s="20" t="str">
        <f>IFERROR(VLOOKUP(I4407,KET!$B:$F,4,0),"")</f>
        <v>FAHMI LUKMANUL HAKIM</v>
      </c>
      <c r="F4407" s="20" t="str">
        <f>IFERROR(VLOOKUP($I4407,KET!$B:$F,5,0),"")</f>
        <v>GMM</v>
      </c>
      <c r="G4407" s="20">
        <f>IFERROR(INDEX('Kode Outlet dan Target Toko'!$C:$C,MATCH($I4407,'Kode Outlet dan Target Toko'!$E:$E,0)),0)</f>
        <v>103259</v>
      </c>
      <c r="H4407" s="20">
        <f>IFERROR(INDEX('Kode Outlet dan Target Toko'!$D:$D,MATCH($I4407,'Kode Outlet dan Target Toko'!$E:$E,0)),0)</f>
        <v>9006219</v>
      </c>
      <c r="I4407" s="41" t="s">
        <v>96</v>
      </c>
      <c r="J4407" s="45" t="s">
        <v>198</v>
      </c>
      <c r="K4407" s="53" t="s">
        <v>15</v>
      </c>
      <c r="L4407" s="23">
        <v>2000</v>
      </c>
      <c r="M4407" s="24">
        <v>24</v>
      </c>
      <c r="N4407" s="25">
        <f t="shared" si="137"/>
        <v>48000</v>
      </c>
      <c r="O4407" s="24"/>
    </row>
    <row r="4408" spans="1:15" hidden="1" x14ac:dyDescent="0.3">
      <c r="A4408" s="24">
        <v>34</v>
      </c>
      <c r="B4408" s="20" t="str">
        <f t="shared" si="136"/>
        <v>AUG</v>
      </c>
      <c r="C4408" s="21">
        <v>46256</v>
      </c>
      <c r="D4408" s="22" t="str">
        <f>IFERROR(INDEX('Kode Outlet dan Target Toko'!$A:$A,MATCH($I4408,'Kode Outlet dan Target Toko'!$E:$E,0)),"")</f>
        <v>GRSM 4</v>
      </c>
      <c r="E4408" s="20" t="str">
        <f>IFERROR(VLOOKUP(I4408,KET!$B:$F,4,0),"")</f>
        <v>FAHMI LUKMANUL HAKIM</v>
      </c>
      <c r="F4408" s="20" t="str">
        <f>IFERROR(VLOOKUP($I4408,KET!$B:$F,5,0),"")</f>
        <v>GMM</v>
      </c>
      <c r="G4408" s="20">
        <f>IFERROR(INDEX('Kode Outlet dan Target Toko'!$C:$C,MATCH($I4408,'Kode Outlet dan Target Toko'!$E:$E,0)),0)</f>
        <v>103259</v>
      </c>
      <c r="H4408" s="20">
        <f>IFERROR(INDEX('Kode Outlet dan Target Toko'!$D:$D,MATCH($I4408,'Kode Outlet dan Target Toko'!$E:$E,0)),0)</f>
        <v>9006219</v>
      </c>
      <c r="I4408" s="41" t="s">
        <v>96</v>
      </c>
      <c r="J4408" s="45" t="s">
        <v>198</v>
      </c>
      <c r="K4408" s="53" t="s">
        <v>14</v>
      </c>
      <c r="L4408" s="23">
        <v>2000</v>
      </c>
      <c r="M4408" s="24">
        <v>32</v>
      </c>
      <c r="N4408" s="25">
        <f t="shared" si="137"/>
        <v>64000</v>
      </c>
      <c r="O4408" s="24"/>
    </row>
    <row r="4409" spans="1:15" hidden="1" x14ac:dyDescent="0.3">
      <c r="A4409" s="24">
        <v>34</v>
      </c>
      <c r="B4409" s="20" t="str">
        <f t="shared" si="136"/>
        <v>AUG</v>
      </c>
      <c r="C4409" s="21">
        <v>46256</v>
      </c>
      <c r="D4409" s="22" t="str">
        <f>IFERROR(INDEX('Kode Outlet dan Target Toko'!$A:$A,MATCH($I4409,'Kode Outlet dan Target Toko'!$E:$E,0)),"")</f>
        <v>GRSM 4</v>
      </c>
      <c r="E4409" s="20" t="str">
        <f>IFERROR(VLOOKUP(I4409,KET!$B:$F,4,0),"")</f>
        <v>FAHMI LUKMANUL HAKIM</v>
      </c>
      <c r="F4409" s="20" t="str">
        <f>IFERROR(VLOOKUP($I4409,KET!$B:$F,5,0),"")</f>
        <v>GMM</v>
      </c>
      <c r="G4409" s="20">
        <f>IFERROR(INDEX('Kode Outlet dan Target Toko'!$C:$C,MATCH($I4409,'Kode Outlet dan Target Toko'!$E:$E,0)),0)</f>
        <v>103259</v>
      </c>
      <c r="H4409" s="20">
        <f>IFERROR(INDEX('Kode Outlet dan Target Toko'!$D:$D,MATCH($I4409,'Kode Outlet dan Target Toko'!$E:$E,0)),0)</f>
        <v>9006219</v>
      </c>
      <c r="I4409" s="41" t="s">
        <v>96</v>
      </c>
      <c r="J4409" s="45" t="s">
        <v>198</v>
      </c>
      <c r="K4409" s="53" t="s">
        <v>13</v>
      </c>
      <c r="L4409" s="23">
        <v>2000</v>
      </c>
      <c r="M4409" s="24">
        <v>41</v>
      </c>
      <c r="N4409" s="25">
        <f t="shared" si="137"/>
        <v>82000</v>
      </c>
      <c r="O4409" s="24"/>
    </row>
    <row r="4410" spans="1:15" hidden="1" x14ac:dyDescent="0.3">
      <c r="A4410" s="24">
        <v>34</v>
      </c>
      <c r="B4410" s="20" t="str">
        <f t="shared" si="136"/>
        <v>AUG</v>
      </c>
      <c r="C4410" s="21">
        <v>46256</v>
      </c>
      <c r="D4410" s="22" t="str">
        <f>IFERROR(INDEX('Kode Outlet dan Target Toko'!$A:$A,MATCH($I4410,'Kode Outlet dan Target Toko'!$E:$E,0)),"")</f>
        <v>GRSM 4</v>
      </c>
      <c r="E4410" s="20" t="str">
        <f>IFERROR(VLOOKUP(I4410,KET!$B:$F,4,0),"")</f>
        <v>FAHMI LUKMANUL HAKIM</v>
      </c>
      <c r="F4410" s="20" t="str">
        <f>IFERROR(VLOOKUP($I4410,KET!$B:$F,5,0),"")</f>
        <v>GMM</v>
      </c>
      <c r="G4410" s="20">
        <f>IFERROR(INDEX('Kode Outlet dan Target Toko'!$C:$C,MATCH($I4410,'Kode Outlet dan Target Toko'!$E:$E,0)),0)</f>
        <v>103259</v>
      </c>
      <c r="H4410" s="20">
        <f>IFERROR(INDEX('Kode Outlet dan Target Toko'!$D:$D,MATCH($I4410,'Kode Outlet dan Target Toko'!$E:$E,0)),0)</f>
        <v>9006219</v>
      </c>
      <c r="I4410" s="41" t="s">
        <v>96</v>
      </c>
      <c r="J4410" s="45" t="s">
        <v>198</v>
      </c>
      <c r="K4410" s="53" t="s">
        <v>16</v>
      </c>
      <c r="L4410" s="23">
        <v>2000</v>
      </c>
      <c r="M4410" s="24">
        <v>116</v>
      </c>
      <c r="N4410" s="25">
        <f t="shared" si="137"/>
        <v>232000</v>
      </c>
      <c r="O4410" s="24">
        <v>160</v>
      </c>
    </row>
    <row r="4411" spans="1:15" hidden="1" x14ac:dyDescent="0.3">
      <c r="A4411" s="24">
        <v>34</v>
      </c>
      <c r="B4411" s="20" t="str">
        <f t="shared" si="136"/>
        <v>AUG</v>
      </c>
      <c r="C4411" s="21">
        <v>46256</v>
      </c>
      <c r="D4411" s="22" t="str">
        <f>IFERROR(INDEX('Kode Outlet dan Target Toko'!$A:$A,MATCH($I4411,'Kode Outlet dan Target Toko'!$E:$E,0)),"")</f>
        <v>GRSM 4</v>
      </c>
      <c r="E4411" s="20" t="str">
        <f>IFERROR(VLOOKUP(I4411,KET!$B:$F,4,0),"")</f>
        <v>FAHMI LUKMANUL HAKIM</v>
      </c>
      <c r="F4411" s="20" t="str">
        <f>IFERROR(VLOOKUP($I4411,KET!$B:$F,5,0),"")</f>
        <v>GMM</v>
      </c>
      <c r="G4411" s="20">
        <f>IFERROR(INDEX('Kode Outlet dan Target Toko'!$C:$C,MATCH($I4411,'Kode Outlet dan Target Toko'!$E:$E,0)),0)</f>
        <v>103259</v>
      </c>
      <c r="H4411" s="20">
        <f>IFERROR(INDEX('Kode Outlet dan Target Toko'!$D:$D,MATCH($I4411,'Kode Outlet dan Target Toko'!$E:$E,0)),0)</f>
        <v>9006219</v>
      </c>
      <c r="I4411" s="41" t="s">
        <v>96</v>
      </c>
      <c r="J4411" s="45" t="s">
        <v>199</v>
      </c>
      <c r="K4411" s="53" t="s">
        <v>15</v>
      </c>
      <c r="L4411" s="23">
        <v>2000</v>
      </c>
      <c r="M4411" s="24">
        <v>24</v>
      </c>
      <c r="N4411" s="25">
        <f t="shared" si="137"/>
        <v>48000</v>
      </c>
      <c r="O4411" s="24"/>
    </row>
    <row r="4412" spans="1:15" hidden="1" x14ac:dyDescent="0.3">
      <c r="A4412" s="24">
        <v>34</v>
      </c>
      <c r="B4412" s="20" t="str">
        <f t="shared" si="136"/>
        <v>AUG</v>
      </c>
      <c r="C4412" s="21">
        <v>46256</v>
      </c>
      <c r="D4412" s="22" t="str">
        <f>IFERROR(INDEX('Kode Outlet dan Target Toko'!$A:$A,MATCH($I4412,'Kode Outlet dan Target Toko'!$E:$E,0)),"")</f>
        <v>GRSM 4</v>
      </c>
      <c r="E4412" s="20" t="str">
        <f>IFERROR(VLOOKUP(I4412,KET!$B:$F,4,0),"")</f>
        <v>FAHMI LUKMANUL HAKIM</v>
      </c>
      <c r="F4412" s="20" t="str">
        <f>IFERROR(VLOOKUP($I4412,KET!$B:$F,5,0),"")</f>
        <v>GMM</v>
      </c>
      <c r="G4412" s="20">
        <f>IFERROR(INDEX('Kode Outlet dan Target Toko'!$C:$C,MATCH($I4412,'Kode Outlet dan Target Toko'!$E:$E,0)),0)</f>
        <v>103259</v>
      </c>
      <c r="H4412" s="20">
        <f>IFERROR(INDEX('Kode Outlet dan Target Toko'!$D:$D,MATCH($I4412,'Kode Outlet dan Target Toko'!$E:$E,0)),0)</f>
        <v>9006219</v>
      </c>
      <c r="I4412" s="41" t="s">
        <v>96</v>
      </c>
      <c r="J4412" s="45" t="s">
        <v>199</v>
      </c>
      <c r="K4412" s="53" t="s">
        <v>14</v>
      </c>
      <c r="L4412" s="23">
        <v>2000</v>
      </c>
      <c r="M4412" s="24">
        <v>32</v>
      </c>
      <c r="N4412" s="25">
        <f t="shared" si="137"/>
        <v>64000</v>
      </c>
      <c r="O4412" s="24"/>
    </row>
    <row r="4413" spans="1:15" hidden="1" x14ac:dyDescent="0.3">
      <c r="A4413" s="24">
        <v>34</v>
      </c>
      <c r="B4413" s="20" t="str">
        <f t="shared" si="136"/>
        <v>AUG</v>
      </c>
      <c r="C4413" s="21">
        <v>46256</v>
      </c>
      <c r="D4413" s="22" t="str">
        <f>IFERROR(INDEX('Kode Outlet dan Target Toko'!$A:$A,MATCH($I4413,'Kode Outlet dan Target Toko'!$E:$E,0)),"")</f>
        <v>GRSM 4</v>
      </c>
      <c r="E4413" s="20" t="str">
        <f>IFERROR(VLOOKUP(I4413,KET!$B:$F,4,0),"")</f>
        <v>FAHMI LUKMANUL HAKIM</v>
      </c>
      <c r="F4413" s="20" t="str">
        <f>IFERROR(VLOOKUP($I4413,KET!$B:$F,5,0),"")</f>
        <v>GMM</v>
      </c>
      <c r="G4413" s="20">
        <f>IFERROR(INDEX('Kode Outlet dan Target Toko'!$C:$C,MATCH($I4413,'Kode Outlet dan Target Toko'!$E:$E,0)),0)</f>
        <v>103259</v>
      </c>
      <c r="H4413" s="20">
        <f>IFERROR(INDEX('Kode Outlet dan Target Toko'!$D:$D,MATCH($I4413,'Kode Outlet dan Target Toko'!$E:$E,0)),0)</f>
        <v>9006219</v>
      </c>
      <c r="I4413" s="41" t="s">
        <v>96</v>
      </c>
      <c r="J4413" s="45" t="s">
        <v>199</v>
      </c>
      <c r="K4413" s="53" t="s">
        <v>13</v>
      </c>
      <c r="L4413" s="23">
        <v>2000</v>
      </c>
      <c r="M4413" s="24">
        <v>41</v>
      </c>
      <c r="N4413" s="25">
        <f t="shared" si="137"/>
        <v>82000</v>
      </c>
      <c r="O4413" s="24"/>
    </row>
    <row r="4414" spans="1:15" hidden="1" x14ac:dyDescent="0.3">
      <c r="A4414" s="24">
        <v>34</v>
      </c>
      <c r="B4414" s="20" t="str">
        <f t="shared" si="136"/>
        <v>AUG</v>
      </c>
      <c r="C4414" s="21">
        <v>46256</v>
      </c>
      <c r="D4414" s="22" t="str">
        <f>IFERROR(INDEX('Kode Outlet dan Target Toko'!$A:$A,MATCH($I4414,'Kode Outlet dan Target Toko'!$E:$E,0)),"")</f>
        <v>GRSM 4</v>
      </c>
      <c r="E4414" s="20" t="str">
        <f>IFERROR(VLOOKUP(I4414,KET!$B:$F,4,0),"")</f>
        <v>FAHMI LUKMANUL HAKIM</v>
      </c>
      <c r="F4414" s="20" t="str">
        <f>IFERROR(VLOOKUP($I4414,KET!$B:$F,5,0),"")</f>
        <v>GMM</v>
      </c>
      <c r="G4414" s="20">
        <f>IFERROR(INDEX('Kode Outlet dan Target Toko'!$C:$C,MATCH($I4414,'Kode Outlet dan Target Toko'!$E:$E,0)),0)</f>
        <v>103259</v>
      </c>
      <c r="H4414" s="20">
        <f>IFERROR(INDEX('Kode Outlet dan Target Toko'!$D:$D,MATCH($I4414,'Kode Outlet dan Target Toko'!$E:$E,0)),0)</f>
        <v>9006219</v>
      </c>
      <c r="I4414" s="41" t="s">
        <v>96</v>
      </c>
      <c r="J4414" s="45" t="s">
        <v>199</v>
      </c>
      <c r="K4414" s="53" t="s">
        <v>16</v>
      </c>
      <c r="L4414" s="23">
        <v>2000</v>
      </c>
      <c r="M4414" s="24">
        <v>116</v>
      </c>
      <c r="N4414" s="25">
        <f t="shared" si="137"/>
        <v>232000</v>
      </c>
      <c r="O4414" s="24">
        <v>160</v>
      </c>
    </row>
    <row r="4415" spans="1:15" x14ac:dyDescent="0.3">
      <c r="A4415" s="24">
        <v>34</v>
      </c>
      <c r="B4415" s="20" t="str">
        <f t="shared" si="136"/>
        <v>AUG</v>
      </c>
      <c r="C4415" s="21">
        <v>46256</v>
      </c>
      <c r="D4415" s="22" t="str">
        <f>IFERROR(INDEX('Kode Outlet dan Target Toko'!$A:$A,MATCH($I4415,'Kode Outlet dan Target Toko'!$E:$E,0)),"")</f>
        <v>GRSM 4</v>
      </c>
      <c r="E4415" s="20" t="str">
        <f>IFERROR(VLOOKUP(I4415,KET!$B:$F,4,0),"")</f>
        <v>FAHMI LUKMANUL HAKIM</v>
      </c>
      <c r="F4415" s="20" t="str">
        <f>IFERROR(VLOOKUP($I4415,KET!$B:$F,5,0),"")</f>
        <v>GMM</v>
      </c>
      <c r="G4415" s="20">
        <f>IFERROR(INDEX('Kode Outlet dan Target Toko'!$C:$C,MATCH($I4415,'Kode Outlet dan Target Toko'!$E:$E,0)),0)</f>
        <v>103258</v>
      </c>
      <c r="H4415" s="20">
        <f>IFERROR(INDEX('Kode Outlet dan Target Toko'!$D:$D,MATCH($I4415,'Kode Outlet dan Target Toko'!$E:$E,0)),0)</f>
        <v>9201924</v>
      </c>
      <c r="I4415" s="41" t="s">
        <v>95</v>
      </c>
      <c r="J4415" s="45" t="s">
        <v>253</v>
      </c>
      <c r="K4415" s="53" t="s">
        <v>15</v>
      </c>
      <c r="L4415" s="23">
        <v>2000</v>
      </c>
      <c r="M4415" s="24">
        <v>46</v>
      </c>
      <c r="N4415" s="25">
        <f t="shared" si="137"/>
        <v>92000</v>
      </c>
      <c r="O4415" s="24"/>
    </row>
    <row r="4416" spans="1:15" x14ac:dyDescent="0.3">
      <c r="A4416" s="24">
        <v>34</v>
      </c>
      <c r="B4416" s="20" t="str">
        <f t="shared" si="136"/>
        <v>AUG</v>
      </c>
      <c r="C4416" s="21">
        <v>46256</v>
      </c>
      <c r="D4416" s="22" t="str">
        <f>IFERROR(INDEX('Kode Outlet dan Target Toko'!$A:$A,MATCH($I4416,'Kode Outlet dan Target Toko'!$E:$E,0)),"")</f>
        <v>GRSM 4</v>
      </c>
      <c r="E4416" s="20" t="str">
        <f>IFERROR(VLOOKUP(I4416,KET!$B:$F,4,0),"")</f>
        <v>FAHMI LUKMANUL HAKIM</v>
      </c>
      <c r="F4416" s="20" t="str">
        <f>IFERROR(VLOOKUP($I4416,KET!$B:$F,5,0),"")</f>
        <v>GMM</v>
      </c>
      <c r="G4416" s="20">
        <f>IFERROR(INDEX('Kode Outlet dan Target Toko'!$C:$C,MATCH($I4416,'Kode Outlet dan Target Toko'!$E:$E,0)),0)</f>
        <v>103258</v>
      </c>
      <c r="H4416" s="20">
        <f>IFERROR(INDEX('Kode Outlet dan Target Toko'!$D:$D,MATCH($I4416,'Kode Outlet dan Target Toko'!$E:$E,0)),0)</f>
        <v>9201924</v>
      </c>
      <c r="I4416" s="41" t="s">
        <v>95</v>
      </c>
      <c r="J4416" s="45" t="s">
        <v>253</v>
      </c>
      <c r="K4416" s="53" t="s">
        <v>14</v>
      </c>
      <c r="L4416" s="23">
        <v>2000</v>
      </c>
      <c r="M4416" s="24">
        <v>120</v>
      </c>
      <c r="N4416" s="25">
        <f t="shared" si="137"/>
        <v>240000</v>
      </c>
      <c r="O4416" s="24"/>
    </row>
    <row r="4417" spans="1:15" x14ac:dyDescent="0.3">
      <c r="A4417" s="24">
        <v>34</v>
      </c>
      <c r="B4417" s="20" t="str">
        <f t="shared" si="136"/>
        <v>AUG</v>
      </c>
      <c r="C4417" s="21">
        <v>46256</v>
      </c>
      <c r="D4417" s="22" t="str">
        <f>IFERROR(INDEX('Kode Outlet dan Target Toko'!$A:$A,MATCH($I4417,'Kode Outlet dan Target Toko'!$E:$E,0)),"")</f>
        <v>GRSM 4</v>
      </c>
      <c r="E4417" s="20" t="str">
        <f>IFERROR(VLOOKUP(I4417,KET!$B:$F,4,0),"")</f>
        <v>FAHMI LUKMANUL HAKIM</v>
      </c>
      <c r="F4417" s="20" t="str">
        <f>IFERROR(VLOOKUP($I4417,KET!$B:$F,5,0),"")</f>
        <v>GMM</v>
      </c>
      <c r="G4417" s="20">
        <f>IFERROR(INDEX('Kode Outlet dan Target Toko'!$C:$C,MATCH($I4417,'Kode Outlet dan Target Toko'!$E:$E,0)),0)</f>
        <v>103258</v>
      </c>
      <c r="H4417" s="20">
        <f>IFERROR(INDEX('Kode Outlet dan Target Toko'!$D:$D,MATCH($I4417,'Kode Outlet dan Target Toko'!$E:$E,0)),0)</f>
        <v>9201924</v>
      </c>
      <c r="I4417" s="41" t="s">
        <v>95</v>
      </c>
      <c r="J4417" s="45" t="s">
        <v>253</v>
      </c>
      <c r="K4417" s="53" t="s">
        <v>13</v>
      </c>
      <c r="L4417" s="23">
        <v>2000</v>
      </c>
      <c r="M4417" s="24">
        <v>0</v>
      </c>
      <c r="N4417" s="25">
        <f t="shared" si="137"/>
        <v>0</v>
      </c>
      <c r="O4417" s="24"/>
    </row>
    <row r="4418" spans="1:15" x14ac:dyDescent="0.3">
      <c r="A4418" s="24">
        <v>34</v>
      </c>
      <c r="B4418" s="20" t="str">
        <f t="shared" si="136"/>
        <v>AUG</v>
      </c>
      <c r="C4418" s="21">
        <v>46256</v>
      </c>
      <c r="D4418" s="22" t="str">
        <f>IFERROR(INDEX('Kode Outlet dan Target Toko'!$A:$A,MATCH($I4418,'Kode Outlet dan Target Toko'!$E:$E,0)),"")</f>
        <v>GRSM 4</v>
      </c>
      <c r="E4418" s="20" t="str">
        <f>IFERROR(VLOOKUP(I4418,KET!$B:$F,4,0),"")</f>
        <v>FAHMI LUKMANUL HAKIM</v>
      </c>
      <c r="F4418" s="20" t="str">
        <f>IFERROR(VLOOKUP($I4418,KET!$B:$F,5,0),"")</f>
        <v>GMM</v>
      </c>
      <c r="G4418" s="20">
        <f>IFERROR(INDEX('Kode Outlet dan Target Toko'!$C:$C,MATCH($I4418,'Kode Outlet dan Target Toko'!$E:$E,0)),0)</f>
        <v>103258</v>
      </c>
      <c r="H4418" s="20">
        <f>IFERROR(INDEX('Kode Outlet dan Target Toko'!$D:$D,MATCH($I4418,'Kode Outlet dan Target Toko'!$E:$E,0)),0)</f>
        <v>9201924</v>
      </c>
      <c r="I4418" s="41" t="s">
        <v>95</v>
      </c>
      <c r="J4418" s="45" t="s">
        <v>253</v>
      </c>
      <c r="K4418" s="53" t="s">
        <v>16</v>
      </c>
      <c r="L4418" s="23">
        <v>2000</v>
      </c>
      <c r="M4418" s="24">
        <v>180</v>
      </c>
      <c r="N4418" s="25">
        <f t="shared" si="137"/>
        <v>360000</v>
      </c>
      <c r="O4418" s="24">
        <v>160</v>
      </c>
    </row>
    <row r="4419" spans="1:15" hidden="1" x14ac:dyDescent="0.3">
      <c r="A4419" s="24">
        <v>34</v>
      </c>
      <c r="B4419" s="20" t="str">
        <f t="shared" si="136"/>
        <v>AUG</v>
      </c>
      <c r="C4419" s="21">
        <v>46256</v>
      </c>
      <c r="D4419" s="22" t="str">
        <f>IFERROR(INDEX('Kode Outlet dan Target Toko'!$A:$A,MATCH($I4419,'Kode Outlet dan Target Toko'!$E:$E,0)),"")</f>
        <v>GRSM 4</v>
      </c>
      <c r="E4419" s="20" t="str">
        <f>IFERROR(VLOOKUP(I4419,KET!$B:$F,4,0),"")</f>
        <v>FAHMI LUKMANUL HAKIM</v>
      </c>
      <c r="F4419" s="20" t="str">
        <f>IFERROR(VLOOKUP($I4419,KET!$B:$F,5,0),"")</f>
        <v>GMM</v>
      </c>
      <c r="G4419" s="20">
        <f>IFERROR(INDEX('Kode Outlet dan Target Toko'!$C:$C,MATCH($I4419,'Kode Outlet dan Target Toko'!$E:$E,0)),0)</f>
        <v>103258</v>
      </c>
      <c r="H4419" s="20">
        <f>IFERROR(INDEX('Kode Outlet dan Target Toko'!$D:$D,MATCH($I4419,'Kode Outlet dan Target Toko'!$E:$E,0)),0)</f>
        <v>9201924</v>
      </c>
      <c r="I4419" s="41" t="s">
        <v>95</v>
      </c>
      <c r="J4419" s="45" t="s">
        <v>200</v>
      </c>
      <c r="K4419" s="53" t="s">
        <v>15</v>
      </c>
      <c r="L4419" s="23">
        <v>2000</v>
      </c>
      <c r="M4419" s="24">
        <v>46</v>
      </c>
      <c r="N4419" s="25">
        <f t="shared" si="137"/>
        <v>92000</v>
      </c>
      <c r="O4419" s="24"/>
    </row>
    <row r="4420" spans="1:15" hidden="1" x14ac:dyDescent="0.3">
      <c r="A4420" s="24">
        <v>34</v>
      </c>
      <c r="B4420" s="20" t="str">
        <f t="shared" si="136"/>
        <v>AUG</v>
      </c>
      <c r="C4420" s="21">
        <v>46256</v>
      </c>
      <c r="D4420" s="22" t="str">
        <f>IFERROR(INDEX('Kode Outlet dan Target Toko'!$A:$A,MATCH($I4420,'Kode Outlet dan Target Toko'!$E:$E,0)),"")</f>
        <v>GRSM 4</v>
      </c>
      <c r="E4420" s="20" t="str">
        <f>IFERROR(VLOOKUP(I4420,KET!$B:$F,4,0),"")</f>
        <v>FAHMI LUKMANUL HAKIM</v>
      </c>
      <c r="F4420" s="20" t="str">
        <f>IFERROR(VLOOKUP($I4420,KET!$B:$F,5,0),"")</f>
        <v>GMM</v>
      </c>
      <c r="G4420" s="20">
        <f>IFERROR(INDEX('Kode Outlet dan Target Toko'!$C:$C,MATCH($I4420,'Kode Outlet dan Target Toko'!$E:$E,0)),0)</f>
        <v>103258</v>
      </c>
      <c r="H4420" s="20">
        <f>IFERROR(INDEX('Kode Outlet dan Target Toko'!$D:$D,MATCH($I4420,'Kode Outlet dan Target Toko'!$E:$E,0)),0)</f>
        <v>9201924</v>
      </c>
      <c r="I4420" s="41" t="s">
        <v>95</v>
      </c>
      <c r="J4420" s="45" t="s">
        <v>200</v>
      </c>
      <c r="K4420" s="53" t="s">
        <v>14</v>
      </c>
      <c r="L4420" s="23">
        <v>2000</v>
      </c>
      <c r="M4420" s="24">
        <v>120</v>
      </c>
      <c r="N4420" s="25">
        <f t="shared" si="137"/>
        <v>240000</v>
      </c>
      <c r="O4420" s="24"/>
    </row>
    <row r="4421" spans="1:15" hidden="1" x14ac:dyDescent="0.3">
      <c r="A4421" s="24">
        <v>34</v>
      </c>
      <c r="B4421" s="20" t="str">
        <f t="shared" si="136"/>
        <v>AUG</v>
      </c>
      <c r="C4421" s="21">
        <v>46256</v>
      </c>
      <c r="D4421" s="22" t="str">
        <f>IFERROR(INDEX('Kode Outlet dan Target Toko'!$A:$A,MATCH($I4421,'Kode Outlet dan Target Toko'!$E:$E,0)),"")</f>
        <v>GRSM 4</v>
      </c>
      <c r="E4421" s="20" t="str">
        <f>IFERROR(VLOOKUP(I4421,KET!$B:$F,4,0),"")</f>
        <v>FAHMI LUKMANUL HAKIM</v>
      </c>
      <c r="F4421" s="20" t="str">
        <f>IFERROR(VLOOKUP($I4421,KET!$B:$F,5,0),"")</f>
        <v>GMM</v>
      </c>
      <c r="G4421" s="20">
        <f>IFERROR(INDEX('Kode Outlet dan Target Toko'!$C:$C,MATCH($I4421,'Kode Outlet dan Target Toko'!$E:$E,0)),0)</f>
        <v>103258</v>
      </c>
      <c r="H4421" s="20">
        <f>IFERROR(INDEX('Kode Outlet dan Target Toko'!$D:$D,MATCH($I4421,'Kode Outlet dan Target Toko'!$E:$E,0)),0)</f>
        <v>9201924</v>
      </c>
      <c r="I4421" s="41" t="s">
        <v>95</v>
      </c>
      <c r="J4421" s="45" t="s">
        <v>200</v>
      </c>
      <c r="K4421" s="53" t="s">
        <v>13</v>
      </c>
      <c r="L4421" s="23">
        <v>2000</v>
      </c>
      <c r="M4421" s="24">
        <v>0</v>
      </c>
      <c r="N4421" s="25">
        <f t="shared" si="137"/>
        <v>0</v>
      </c>
      <c r="O4421" s="24"/>
    </row>
    <row r="4422" spans="1:15" hidden="1" x14ac:dyDescent="0.3">
      <c r="A4422" s="24">
        <v>34</v>
      </c>
      <c r="B4422" s="20" t="str">
        <f t="shared" si="136"/>
        <v>AUG</v>
      </c>
      <c r="C4422" s="21">
        <v>46256</v>
      </c>
      <c r="D4422" s="22" t="str">
        <f>IFERROR(INDEX('Kode Outlet dan Target Toko'!$A:$A,MATCH($I4422,'Kode Outlet dan Target Toko'!$E:$E,0)),"")</f>
        <v>GRSM 4</v>
      </c>
      <c r="E4422" s="20" t="str">
        <f>IFERROR(VLOOKUP(I4422,KET!$B:$F,4,0),"")</f>
        <v>FAHMI LUKMANUL HAKIM</v>
      </c>
      <c r="F4422" s="20" t="str">
        <f>IFERROR(VLOOKUP($I4422,KET!$B:$F,5,0),"")</f>
        <v>GMM</v>
      </c>
      <c r="G4422" s="20">
        <f>IFERROR(INDEX('Kode Outlet dan Target Toko'!$C:$C,MATCH($I4422,'Kode Outlet dan Target Toko'!$E:$E,0)),0)</f>
        <v>103258</v>
      </c>
      <c r="H4422" s="20">
        <f>IFERROR(INDEX('Kode Outlet dan Target Toko'!$D:$D,MATCH($I4422,'Kode Outlet dan Target Toko'!$E:$E,0)),0)</f>
        <v>9201924</v>
      </c>
      <c r="I4422" s="41" t="s">
        <v>95</v>
      </c>
      <c r="J4422" s="45" t="s">
        <v>200</v>
      </c>
      <c r="K4422" s="53" t="s">
        <v>16</v>
      </c>
      <c r="L4422" s="23">
        <v>2000</v>
      </c>
      <c r="M4422" s="24">
        <v>180</v>
      </c>
      <c r="N4422" s="25">
        <f t="shared" si="137"/>
        <v>360000</v>
      </c>
      <c r="O4422" s="24">
        <v>160</v>
      </c>
    </row>
    <row r="4423" spans="1:15" hidden="1" x14ac:dyDescent="0.3">
      <c r="A4423" s="24">
        <v>34</v>
      </c>
      <c r="B4423" s="20" t="str">
        <f t="shared" ref="B4423:B4486" si="138">IF(C4423="","",UPPER(TEXT(C4423, "MMM")))</f>
        <v>AUG</v>
      </c>
      <c r="C4423" s="21">
        <v>46256</v>
      </c>
      <c r="D4423" s="22" t="str">
        <f>IFERROR(INDEX('Kode Outlet dan Target Toko'!$A:$A,MATCH($I4423,'Kode Outlet dan Target Toko'!$E:$E,0)),"")</f>
        <v>GRSM 4</v>
      </c>
      <c r="E4423" s="20" t="str">
        <f>IFERROR(VLOOKUP(I4423,KET!$B:$F,4,0),"")</f>
        <v>FAHMI LUKMANUL HAKIM</v>
      </c>
      <c r="F4423" s="20" t="str">
        <f>IFERROR(VLOOKUP($I4423,KET!$B:$F,5,0),"")</f>
        <v>GMM</v>
      </c>
      <c r="G4423" s="20">
        <f>IFERROR(INDEX('Kode Outlet dan Target Toko'!$C:$C,MATCH($I4423,'Kode Outlet dan Target Toko'!$E:$E,0)),0)</f>
        <v>103712</v>
      </c>
      <c r="H4423" s="20">
        <f>IFERROR(INDEX('Kode Outlet dan Target Toko'!$D:$D,MATCH($I4423,'Kode Outlet dan Target Toko'!$E:$E,0)),0)</f>
        <v>4404677</v>
      </c>
      <c r="I4423" s="41" t="s">
        <v>99</v>
      </c>
      <c r="J4423" s="45" t="s">
        <v>179</v>
      </c>
      <c r="K4423" s="53" t="s">
        <v>15</v>
      </c>
      <c r="L4423" s="23">
        <v>3000</v>
      </c>
      <c r="M4423" s="24">
        <v>33</v>
      </c>
      <c r="N4423" s="25">
        <f t="shared" ref="N4423:N4486" si="139">IFERROR(M4423*L4423,"")</f>
        <v>99000</v>
      </c>
      <c r="O4423" s="24"/>
    </row>
    <row r="4424" spans="1:15" hidden="1" x14ac:dyDescent="0.3">
      <c r="A4424" s="24">
        <v>34</v>
      </c>
      <c r="B4424" s="20" t="str">
        <f t="shared" si="138"/>
        <v>AUG</v>
      </c>
      <c r="C4424" s="21">
        <v>46256</v>
      </c>
      <c r="D4424" s="22" t="str">
        <f>IFERROR(INDEX('Kode Outlet dan Target Toko'!$A:$A,MATCH($I4424,'Kode Outlet dan Target Toko'!$E:$E,0)),"")</f>
        <v>GRSM 4</v>
      </c>
      <c r="E4424" s="20" t="str">
        <f>IFERROR(VLOOKUP(I4424,KET!$B:$F,4,0),"")</f>
        <v>FAHMI LUKMANUL HAKIM</v>
      </c>
      <c r="F4424" s="20" t="str">
        <f>IFERROR(VLOOKUP($I4424,KET!$B:$F,5,0),"")</f>
        <v>GMM</v>
      </c>
      <c r="G4424" s="20">
        <f>IFERROR(INDEX('Kode Outlet dan Target Toko'!$C:$C,MATCH($I4424,'Kode Outlet dan Target Toko'!$E:$E,0)),0)</f>
        <v>103712</v>
      </c>
      <c r="H4424" s="20">
        <f>IFERROR(INDEX('Kode Outlet dan Target Toko'!$D:$D,MATCH($I4424,'Kode Outlet dan Target Toko'!$E:$E,0)),0)</f>
        <v>4404677</v>
      </c>
      <c r="I4424" s="41" t="s">
        <v>99</v>
      </c>
      <c r="J4424" s="45" t="s">
        <v>179</v>
      </c>
      <c r="K4424" s="53" t="s">
        <v>14</v>
      </c>
      <c r="L4424" s="23">
        <v>3000</v>
      </c>
      <c r="M4424" s="24">
        <v>40</v>
      </c>
      <c r="N4424" s="25">
        <f t="shared" si="139"/>
        <v>120000</v>
      </c>
      <c r="O4424" s="24"/>
    </row>
    <row r="4425" spans="1:15" hidden="1" x14ac:dyDescent="0.3">
      <c r="A4425" s="24">
        <v>34</v>
      </c>
      <c r="B4425" s="20" t="str">
        <f t="shared" si="138"/>
        <v>AUG</v>
      </c>
      <c r="C4425" s="21">
        <v>46256</v>
      </c>
      <c r="D4425" s="22" t="str">
        <f>IFERROR(INDEX('Kode Outlet dan Target Toko'!$A:$A,MATCH($I4425,'Kode Outlet dan Target Toko'!$E:$E,0)),"")</f>
        <v>GRSM 4</v>
      </c>
      <c r="E4425" s="20" t="str">
        <f>IFERROR(VLOOKUP(I4425,KET!$B:$F,4,0),"")</f>
        <v>FAHMI LUKMANUL HAKIM</v>
      </c>
      <c r="F4425" s="20" t="str">
        <f>IFERROR(VLOOKUP($I4425,KET!$B:$F,5,0),"")</f>
        <v>GMM</v>
      </c>
      <c r="G4425" s="20">
        <f>IFERROR(INDEX('Kode Outlet dan Target Toko'!$C:$C,MATCH($I4425,'Kode Outlet dan Target Toko'!$E:$E,0)),0)</f>
        <v>103712</v>
      </c>
      <c r="H4425" s="20">
        <f>IFERROR(INDEX('Kode Outlet dan Target Toko'!$D:$D,MATCH($I4425,'Kode Outlet dan Target Toko'!$E:$E,0)),0)</f>
        <v>4404677</v>
      </c>
      <c r="I4425" s="41" t="s">
        <v>99</v>
      </c>
      <c r="J4425" s="45" t="s">
        <v>179</v>
      </c>
      <c r="K4425" s="53" t="s">
        <v>13</v>
      </c>
      <c r="L4425" s="23">
        <v>3000</v>
      </c>
      <c r="M4425" s="24">
        <v>29</v>
      </c>
      <c r="N4425" s="25">
        <f t="shared" si="139"/>
        <v>87000</v>
      </c>
      <c r="O4425" s="24"/>
    </row>
    <row r="4426" spans="1:15" hidden="1" x14ac:dyDescent="0.3">
      <c r="A4426" s="24">
        <v>34</v>
      </c>
      <c r="B4426" s="20" t="str">
        <f t="shared" si="138"/>
        <v>AUG</v>
      </c>
      <c r="C4426" s="21">
        <v>46256</v>
      </c>
      <c r="D4426" s="22" t="str">
        <f>IFERROR(INDEX('Kode Outlet dan Target Toko'!$A:$A,MATCH($I4426,'Kode Outlet dan Target Toko'!$E:$E,0)),"")</f>
        <v>GRSM 4</v>
      </c>
      <c r="E4426" s="20" t="str">
        <f>IFERROR(VLOOKUP(I4426,KET!$B:$F,4,0),"")</f>
        <v>FAHMI LUKMANUL HAKIM</v>
      </c>
      <c r="F4426" s="20" t="str">
        <f>IFERROR(VLOOKUP($I4426,KET!$B:$F,5,0),"")</f>
        <v>GMM</v>
      </c>
      <c r="G4426" s="20">
        <f>IFERROR(INDEX('Kode Outlet dan Target Toko'!$C:$C,MATCH($I4426,'Kode Outlet dan Target Toko'!$E:$E,0)),0)</f>
        <v>103712</v>
      </c>
      <c r="H4426" s="20">
        <f>IFERROR(INDEX('Kode Outlet dan Target Toko'!$D:$D,MATCH($I4426,'Kode Outlet dan Target Toko'!$E:$E,0)),0)</f>
        <v>4404677</v>
      </c>
      <c r="I4426" s="41" t="s">
        <v>99</v>
      </c>
      <c r="J4426" s="45" t="s">
        <v>179</v>
      </c>
      <c r="K4426" s="53" t="s">
        <v>16</v>
      </c>
      <c r="L4426" s="23">
        <v>3000</v>
      </c>
      <c r="M4426" s="24">
        <v>105</v>
      </c>
      <c r="N4426" s="25">
        <f t="shared" si="139"/>
        <v>315000</v>
      </c>
      <c r="O4426" s="24">
        <v>160</v>
      </c>
    </row>
    <row r="4427" spans="1:15" hidden="1" x14ac:dyDescent="0.3">
      <c r="A4427" s="24">
        <v>34</v>
      </c>
      <c r="B4427" s="20" t="str">
        <f t="shared" si="138"/>
        <v>AUG</v>
      </c>
      <c r="C4427" s="21">
        <v>46256</v>
      </c>
      <c r="D4427" s="22" t="str">
        <f>IFERROR(INDEX('Kode Outlet dan Target Toko'!$A:$A,MATCH($I4427,'Kode Outlet dan Target Toko'!$E:$E,0)),"")</f>
        <v>GRSM 4</v>
      </c>
      <c r="E4427" s="20" t="str">
        <f>IFERROR(VLOOKUP(I4427,KET!$B:$F,4,0),"")</f>
        <v>FAHMI LUKMANUL HAKIM</v>
      </c>
      <c r="F4427" s="20" t="str">
        <f>IFERROR(VLOOKUP($I4427,KET!$B:$F,5,0),"")</f>
        <v>GMM</v>
      </c>
      <c r="G4427" s="20">
        <f>IFERROR(INDEX('Kode Outlet dan Target Toko'!$C:$C,MATCH($I4427,'Kode Outlet dan Target Toko'!$E:$E,0)),0)</f>
        <v>103712</v>
      </c>
      <c r="H4427" s="20">
        <f>IFERROR(INDEX('Kode Outlet dan Target Toko'!$D:$D,MATCH($I4427,'Kode Outlet dan Target Toko'!$E:$E,0)),0)</f>
        <v>4404677</v>
      </c>
      <c r="I4427" s="41" t="s">
        <v>99</v>
      </c>
      <c r="J4427" s="45" t="s">
        <v>178</v>
      </c>
      <c r="K4427" s="53" t="s">
        <v>15</v>
      </c>
      <c r="L4427" s="23">
        <v>3000</v>
      </c>
      <c r="M4427" s="24">
        <v>31</v>
      </c>
      <c r="N4427" s="25">
        <f t="shared" si="139"/>
        <v>93000</v>
      </c>
      <c r="O4427" s="24"/>
    </row>
    <row r="4428" spans="1:15" hidden="1" x14ac:dyDescent="0.3">
      <c r="A4428" s="24">
        <v>34</v>
      </c>
      <c r="B4428" s="20" t="str">
        <f t="shared" si="138"/>
        <v>AUG</v>
      </c>
      <c r="C4428" s="21">
        <v>46256</v>
      </c>
      <c r="D4428" s="22" t="str">
        <f>IFERROR(INDEX('Kode Outlet dan Target Toko'!$A:$A,MATCH($I4428,'Kode Outlet dan Target Toko'!$E:$E,0)),"")</f>
        <v>GRSM 4</v>
      </c>
      <c r="E4428" s="20" t="str">
        <f>IFERROR(VLOOKUP(I4428,KET!$B:$F,4,0),"")</f>
        <v>FAHMI LUKMANUL HAKIM</v>
      </c>
      <c r="F4428" s="20" t="str">
        <f>IFERROR(VLOOKUP($I4428,KET!$B:$F,5,0),"")</f>
        <v>GMM</v>
      </c>
      <c r="G4428" s="20">
        <f>IFERROR(INDEX('Kode Outlet dan Target Toko'!$C:$C,MATCH($I4428,'Kode Outlet dan Target Toko'!$E:$E,0)),0)</f>
        <v>103712</v>
      </c>
      <c r="H4428" s="20">
        <f>IFERROR(INDEX('Kode Outlet dan Target Toko'!$D:$D,MATCH($I4428,'Kode Outlet dan Target Toko'!$E:$E,0)),0)</f>
        <v>4404677</v>
      </c>
      <c r="I4428" s="41" t="s">
        <v>99</v>
      </c>
      <c r="J4428" s="45" t="s">
        <v>178</v>
      </c>
      <c r="K4428" s="53" t="s">
        <v>14</v>
      </c>
      <c r="L4428" s="23">
        <v>3000</v>
      </c>
      <c r="M4428" s="24">
        <v>43</v>
      </c>
      <c r="N4428" s="25">
        <f t="shared" si="139"/>
        <v>129000</v>
      </c>
      <c r="O4428" s="24"/>
    </row>
    <row r="4429" spans="1:15" hidden="1" x14ac:dyDescent="0.3">
      <c r="A4429" s="24">
        <v>34</v>
      </c>
      <c r="B4429" s="20" t="str">
        <f t="shared" si="138"/>
        <v>AUG</v>
      </c>
      <c r="C4429" s="21">
        <v>46256</v>
      </c>
      <c r="D4429" s="22" t="str">
        <f>IFERROR(INDEX('Kode Outlet dan Target Toko'!$A:$A,MATCH($I4429,'Kode Outlet dan Target Toko'!$E:$E,0)),"")</f>
        <v>GRSM 4</v>
      </c>
      <c r="E4429" s="20" t="str">
        <f>IFERROR(VLOOKUP(I4429,KET!$B:$F,4,0),"")</f>
        <v>FAHMI LUKMANUL HAKIM</v>
      </c>
      <c r="F4429" s="20" t="str">
        <f>IFERROR(VLOOKUP($I4429,KET!$B:$F,5,0),"")</f>
        <v>GMM</v>
      </c>
      <c r="G4429" s="20">
        <f>IFERROR(INDEX('Kode Outlet dan Target Toko'!$C:$C,MATCH($I4429,'Kode Outlet dan Target Toko'!$E:$E,0)),0)</f>
        <v>103712</v>
      </c>
      <c r="H4429" s="20">
        <f>IFERROR(INDEX('Kode Outlet dan Target Toko'!$D:$D,MATCH($I4429,'Kode Outlet dan Target Toko'!$E:$E,0)),0)</f>
        <v>4404677</v>
      </c>
      <c r="I4429" s="41" t="s">
        <v>99</v>
      </c>
      <c r="J4429" s="45" t="s">
        <v>178</v>
      </c>
      <c r="K4429" s="53" t="s">
        <v>13</v>
      </c>
      <c r="L4429" s="23">
        <v>3000</v>
      </c>
      <c r="M4429" s="24">
        <v>27</v>
      </c>
      <c r="N4429" s="25">
        <f t="shared" si="139"/>
        <v>81000</v>
      </c>
      <c r="O4429" s="24"/>
    </row>
    <row r="4430" spans="1:15" hidden="1" x14ac:dyDescent="0.3">
      <c r="A4430" s="24">
        <v>34</v>
      </c>
      <c r="B4430" s="20" t="str">
        <f t="shared" si="138"/>
        <v>AUG</v>
      </c>
      <c r="C4430" s="21">
        <v>46256</v>
      </c>
      <c r="D4430" s="22" t="str">
        <f>IFERROR(INDEX('Kode Outlet dan Target Toko'!$A:$A,MATCH($I4430,'Kode Outlet dan Target Toko'!$E:$E,0)),"")</f>
        <v>GRSM 4</v>
      </c>
      <c r="E4430" s="20" t="str">
        <f>IFERROR(VLOOKUP(I4430,KET!$B:$F,4,0),"")</f>
        <v>FAHMI LUKMANUL HAKIM</v>
      </c>
      <c r="F4430" s="20" t="str">
        <f>IFERROR(VLOOKUP($I4430,KET!$B:$F,5,0),"")</f>
        <v>GMM</v>
      </c>
      <c r="G4430" s="20">
        <f>IFERROR(INDEX('Kode Outlet dan Target Toko'!$C:$C,MATCH($I4430,'Kode Outlet dan Target Toko'!$E:$E,0)),0)</f>
        <v>103712</v>
      </c>
      <c r="H4430" s="20">
        <f>IFERROR(INDEX('Kode Outlet dan Target Toko'!$D:$D,MATCH($I4430,'Kode Outlet dan Target Toko'!$E:$E,0)),0)</f>
        <v>4404677</v>
      </c>
      <c r="I4430" s="41" t="s">
        <v>99</v>
      </c>
      <c r="J4430" s="45" t="s">
        <v>178</v>
      </c>
      <c r="K4430" s="53" t="s">
        <v>16</v>
      </c>
      <c r="L4430" s="23">
        <v>3000</v>
      </c>
      <c r="M4430" s="24">
        <v>113</v>
      </c>
      <c r="N4430" s="25">
        <f t="shared" si="139"/>
        <v>339000</v>
      </c>
      <c r="O4430" s="24">
        <v>160</v>
      </c>
    </row>
    <row r="4431" spans="1:15" hidden="1" x14ac:dyDescent="0.3">
      <c r="A4431" s="24">
        <v>34</v>
      </c>
      <c r="B4431" s="20" t="str">
        <f t="shared" si="138"/>
        <v>AUG</v>
      </c>
      <c r="C4431" s="21">
        <v>46256</v>
      </c>
      <c r="D4431" s="22" t="str">
        <f>IFERROR(INDEX('Kode Outlet dan Target Toko'!$A:$A,MATCH($I4431,'Kode Outlet dan Target Toko'!$E:$E,0)),"")</f>
        <v>GRSM 4</v>
      </c>
      <c r="E4431" s="20" t="str">
        <f>IFERROR(VLOOKUP(I4431,KET!$B:$F,4,0),"")</f>
        <v>FAHMI LUKMANUL HAKIM</v>
      </c>
      <c r="F4431" s="20" t="str">
        <f>IFERROR(VLOOKUP($I4431,KET!$B:$F,5,0),"")</f>
        <v>GMM</v>
      </c>
      <c r="G4431" s="20">
        <f>IFERROR(INDEX('Kode Outlet dan Target Toko'!$C:$C,MATCH($I4431,'Kode Outlet dan Target Toko'!$E:$E,0)),0)</f>
        <v>103257</v>
      </c>
      <c r="H4431" s="20">
        <f>IFERROR(INDEX('Kode Outlet dan Target Toko'!$D:$D,MATCH($I4431,'Kode Outlet dan Target Toko'!$E:$E,0)),0)</f>
        <v>9162509</v>
      </c>
      <c r="I4431" s="41" t="s">
        <v>57</v>
      </c>
      <c r="J4431" s="45" t="s">
        <v>193</v>
      </c>
      <c r="K4431" s="53" t="s">
        <v>15</v>
      </c>
      <c r="L4431" s="23">
        <v>3100</v>
      </c>
      <c r="M4431" s="24">
        <v>75</v>
      </c>
      <c r="N4431" s="25">
        <f t="shared" si="139"/>
        <v>232500</v>
      </c>
      <c r="O4431" s="24"/>
    </row>
    <row r="4432" spans="1:15" hidden="1" x14ac:dyDescent="0.3">
      <c r="A4432" s="24">
        <v>34</v>
      </c>
      <c r="B4432" s="20" t="str">
        <f t="shared" si="138"/>
        <v>AUG</v>
      </c>
      <c r="C4432" s="21">
        <v>46256</v>
      </c>
      <c r="D4432" s="22" t="str">
        <f>IFERROR(INDEX('Kode Outlet dan Target Toko'!$A:$A,MATCH($I4432,'Kode Outlet dan Target Toko'!$E:$E,0)),"")</f>
        <v>GRSM 4</v>
      </c>
      <c r="E4432" s="20" t="str">
        <f>IFERROR(VLOOKUP(I4432,KET!$B:$F,4,0),"")</f>
        <v>FAHMI LUKMANUL HAKIM</v>
      </c>
      <c r="F4432" s="20" t="str">
        <f>IFERROR(VLOOKUP($I4432,KET!$B:$F,5,0),"")</f>
        <v>GMM</v>
      </c>
      <c r="G4432" s="20">
        <f>IFERROR(INDEX('Kode Outlet dan Target Toko'!$C:$C,MATCH($I4432,'Kode Outlet dan Target Toko'!$E:$E,0)),0)</f>
        <v>103257</v>
      </c>
      <c r="H4432" s="20">
        <f>IFERROR(INDEX('Kode Outlet dan Target Toko'!$D:$D,MATCH($I4432,'Kode Outlet dan Target Toko'!$E:$E,0)),0)</f>
        <v>9162509</v>
      </c>
      <c r="I4432" s="41" t="s">
        <v>57</v>
      </c>
      <c r="J4432" s="45" t="s">
        <v>193</v>
      </c>
      <c r="K4432" s="53" t="s">
        <v>14</v>
      </c>
      <c r="L4432" s="23">
        <v>3100</v>
      </c>
      <c r="M4432" s="24">
        <v>65</v>
      </c>
      <c r="N4432" s="25">
        <f t="shared" si="139"/>
        <v>201500</v>
      </c>
      <c r="O4432" s="24"/>
    </row>
    <row r="4433" spans="1:15" hidden="1" x14ac:dyDescent="0.3">
      <c r="A4433" s="24">
        <v>34</v>
      </c>
      <c r="B4433" s="20" t="str">
        <f t="shared" si="138"/>
        <v>AUG</v>
      </c>
      <c r="C4433" s="21">
        <v>46256</v>
      </c>
      <c r="D4433" s="22" t="str">
        <f>IFERROR(INDEX('Kode Outlet dan Target Toko'!$A:$A,MATCH($I4433,'Kode Outlet dan Target Toko'!$E:$E,0)),"")</f>
        <v>GRSM 4</v>
      </c>
      <c r="E4433" s="20" t="str">
        <f>IFERROR(VLOOKUP(I4433,KET!$B:$F,4,0),"")</f>
        <v>FAHMI LUKMANUL HAKIM</v>
      </c>
      <c r="F4433" s="20" t="str">
        <f>IFERROR(VLOOKUP($I4433,KET!$B:$F,5,0),"")</f>
        <v>GMM</v>
      </c>
      <c r="G4433" s="20">
        <f>IFERROR(INDEX('Kode Outlet dan Target Toko'!$C:$C,MATCH($I4433,'Kode Outlet dan Target Toko'!$E:$E,0)),0)</f>
        <v>103257</v>
      </c>
      <c r="H4433" s="20">
        <f>IFERROR(INDEX('Kode Outlet dan Target Toko'!$D:$D,MATCH($I4433,'Kode Outlet dan Target Toko'!$E:$E,0)),0)</f>
        <v>9162509</v>
      </c>
      <c r="I4433" s="41" t="s">
        <v>57</v>
      </c>
      <c r="J4433" s="45" t="s">
        <v>193</v>
      </c>
      <c r="K4433" s="53" t="s">
        <v>13</v>
      </c>
      <c r="L4433" s="23">
        <v>3100</v>
      </c>
      <c r="M4433" s="24">
        <v>0</v>
      </c>
      <c r="N4433" s="25">
        <f t="shared" si="139"/>
        <v>0</v>
      </c>
      <c r="O4433" s="24"/>
    </row>
    <row r="4434" spans="1:15" hidden="1" x14ac:dyDescent="0.3">
      <c r="A4434" s="24">
        <v>34</v>
      </c>
      <c r="B4434" s="20" t="str">
        <f t="shared" si="138"/>
        <v>AUG</v>
      </c>
      <c r="C4434" s="21">
        <v>46256</v>
      </c>
      <c r="D4434" s="22" t="str">
        <f>IFERROR(INDEX('Kode Outlet dan Target Toko'!$A:$A,MATCH($I4434,'Kode Outlet dan Target Toko'!$E:$E,0)),"")</f>
        <v>GRSM 4</v>
      </c>
      <c r="E4434" s="20" t="str">
        <f>IFERROR(VLOOKUP(I4434,KET!$B:$F,4,0),"")</f>
        <v>FAHMI LUKMANUL HAKIM</v>
      </c>
      <c r="F4434" s="20" t="str">
        <f>IFERROR(VLOOKUP($I4434,KET!$B:$F,5,0),"")</f>
        <v>GMM</v>
      </c>
      <c r="G4434" s="20">
        <f>IFERROR(INDEX('Kode Outlet dan Target Toko'!$C:$C,MATCH($I4434,'Kode Outlet dan Target Toko'!$E:$E,0)),0)</f>
        <v>103257</v>
      </c>
      <c r="H4434" s="20">
        <f>IFERROR(INDEX('Kode Outlet dan Target Toko'!$D:$D,MATCH($I4434,'Kode Outlet dan Target Toko'!$E:$E,0)),0)</f>
        <v>9162509</v>
      </c>
      <c r="I4434" s="41" t="s">
        <v>57</v>
      </c>
      <c r="J4434" s="45" t="s">
        <v>193</v>
      </c>
      <c r="K4434" s="53" t="s">
        <v>16</v>
      </c>
      <c r="L4434" s="23">
        <v>3100</v>
      </c>
      <c r="M4434" s="24">
        <v>55</v>
      </c>
      <c r="N4434" s="25">
        <f t="shared" si="139"/>
        <v>170500</v>
      </c>
      <c r="O4434" s="24">
        <v>160</v>
      </c>
    </row>
    <row r="4435" spans="1:15" hidden="1" x14ac:dyDescent="0.3">
      <c r="A4435" s="24">
        <v>34</v>
      </c>
      <c r="B4435" s="20" t="str">
        <f t="shared" si="138"/>
        <v>AUG</v>
      </c>
      <c r="C4435" s="21">
        <v>46256</v>
      </c>
      <c r="D4435" s="22" t="str">
        <f>IFERROR(INDEX('Kode Outlet dan Target Toko'!$A:$A,MATCH($I4435,'Kode Outlet dan Target Toko'!$E:$E,0)),"")</f>
        <v>GRSM 4</v>
      </c>
      <c r="E4435" s="20" t="str">
        <f>IFERROR(VLOOKUP(I4435,KET!$B:$F,4,0),"")</f>
        <v>FAHMI LUKMANUL HAKIM</v>
      </c>
      <c r="F4435" s="20" t="str">
        <f>IFERROR(VLOOKUP($I4435,KET!$B:$F,5,0),"")</f>
        <v>NKA</v>
      </c>
      <c r="G4435" s="20">
        <f>IFERROR(INDEX('Kode Outlet dan Target Toko'!$C:$C,MATCH($I4435,'Kode Outlet dan Target Toko'!$E:$E,0)),0)</f>
        <v>121409</v>
      </c>
      <c r="H4435" s="20">
        <f>IFERROR(INDEX('Kode Outlet dan Target Toko'!$D:$D,MATCH($I4435,'Kode Outlet dan Target Toko'!$E:$E,0)),0)</f>
        <v>5025004</v>
      </c>
      <c r="I4435" s="41" t="s">
        <v>112</v>
      </c>
      <c r="J4435" s="45" t="s">
        <v>185</v>
      </c>
      <c r="K4435" s="53" t="s">
        <v>15</v>
      </c>
      <c r="L4435" s="23">
        <v>3275</v>
      </c>
      <c r="M4435" s="24">
        <v>98</v>
      </c>
      <c r="N4435" s="25">
        <f t="shared" si="139"/>
        <v>320950</v>
      </c>
      <c r="O4435" s="24"/>
    </row>
    <row r="4436" spans="1:15" hidden="1" x14ac:dyDescent="0.3">
      <c r="A4436" s="24">
        <v>34</v>
      </c>
      <c r="B4436" s="20" t="str">
        <f t="shared" si="138"/>
        <v>AUG</v>
      </c>
      <c r="C4436" s="21">
        <v>46256</v>
      </c>
      <c r="D4436" s="22" t="str">
        <f>IFERROR(INDEX('Kode Outlet dan Target Toko'!$A:$A,MATCH($I4436,'Kode Outlet dan Target Toko'!$E:$E,0)),"")</f>
        <v>GRSM 4</v>
      </c>
      <c r="E4436" s="20" t="str">
        <f>IFERROR(VLOOKUP(I4436,KET!$B:$F,4,0),"")</f>
        <v>FAHMI LUKMANUL HAKIM</v>
      </c>
      <c r="F4436" s="20" t="str">
        <f>IFERROR(VLOOKUP($I4436,KET!$B:$F,5,0),"")</f>
        <v>NKA</v>
      </c>
      <c r="G4436" s="20">
        <f>IFERROR(INDEX('Kode Outlet dan Target Toko'!$C:$C,MATCH($I4436,'Kode Outlet dan Target Toko'!$E:$E,0)),0)</f>
        <v>121409</v>
      </c>
      <c r="H4436" s="20">
        <f>IFERROR(INDEX('Kode Outlet dan Target Toko'!$D:$D,MATCH($I4436,'Kode Outlet dan Target Toko'!$E:$E,0)),0)</f>
        <v>5025004</v>
      </c>
      <c r="I4436" s="41" t="s">
        <v>112</v>
      </c>
      <c r="J4436" s="45" t="s">
        <v>185</v>
      </c>
      <c r="K4436" s="53" t="s">
        <v>14</v>
      </c>
      <c r="L4436" s="23">
        <v>3275</v>
      </c>
      <c r="M4436" s="24">
        <v>0</v>
      </c>
      <c r="N4436" s="25">
        <f t="shared" si="139"/>
        <v>0</v>
      </c>
      <c r="O4436" s="24"/>
    </row>
    <row r="4437" spans="1:15" hidden="1" x14ac:dyDescent="0.3">
      <c r="A4437" s="24">
        <v>34</v>
      </c>
      <c r="B4437" s="20" t="str">
        <f t="shared" si="138"/>
        <v>AUG</v>
      </c>
      <c r="C4437" s="21">
        <v>46256</v>
      </c>
      <c r="D4437" s="22" t="str">
        <f>IFERROR(INDEX('Kode Outlet dan Target Toko'!$A:$A,MATCH($I4437,'Kode Outlet dan Target Toko'!$E:$E,0)),"")</f>
        <v>GRSM 4</v>
      </c>
      <c r="E4437" s="20" t="str">
        <f>IFERROR(VLOOKUP(I4437,KET!$B:$F,4,0),"")</f>
        <v>FAHMI LUKMANUL HAKIM</v>
      </c>
      <c r="F4437" s="20" t="str">
        <f>IFERROR(VLOOKUP($I4437,KET!$B:$F,5,0),"")</f>
        <v>NKA</v>
      </c>
      <c r="G4437" s="20">
        <f>IFERROR(INDEX('Kode Outlet dan Target Toko'!$C:$C,MATCH($I4437,'Kode Outlet dan Target Toko'!$E:$E,0)),0)</f>
        <v>121409</v>
      </c>
      <c r="H4437" s="20">
        <f>IFERROR(INDEX('Kode Outlet dan Target Toko'!$D:$D,MATCH($I4437,'Kode Outlet dan Target Toko'!$E:$E,0)),0)</f>
        <v>5025004</v>
      </c>
      <c r="I4437" s="41" t="s">
        <v>112</v>
      </c>
      <c r="J4437" s="45" t="s">
        <v>185</v>
      </c>
      <c r="K4437" s="53" t="s">
        <v>13</v>
      </c>
      <c r="L4437" s="23">
        <v>3275</v>
      </c>
      <c r="M4437" s="24">
        <v>44</v>
      </c>
      <c r="N4437" s="25">
        <f t="shared" si="139"/>
        <v>144100</v>
      </c>
      <c r="O4437" s="24"/>
    </row>
    <row r="4438" spans="1:15" hidden="1" x14ac:dyDescent="0.3">
      <c r="A4438" s="24">
        <v>34</v>
      </c>
      <c r="B4438" s="20" t="str">
        <f t="shared" si="138"/>
        <v>AUG</v>
      </c>
      <c r="C4438" s="21">
        <v>46256</v>
      </c>
      <c r="D4438" s="22" t="str">
        <f>IFERROR(INDEX('Kode Outlet dan Target Toko'!$A:$A,MATCH($I4438,'Kode Outlet dan Target Toko'!$E:$E,0)),"")</f>
        <v>GRSM 4</v>
      </c>
      <c r="E4438" s="20" t="str">
        <f>IFERROR(VLOOKUP(I4438,KET!$B:$F,4,0),"")</f>
        <v>FAHMI LUKMANUL HAKIM</v>
      </c>
      <c r="F4438" s="20" t="str">
        <f>IFERROR(VLOOKUP($I4438,KET!$B:$F,5,0),"")</f>
        <v>NKA</v>
      </c>
      <c r="G4438" s="20">
        <f>IFERROR(INDEX('Kode Outlet dan Target Toko'!$C:$C,MATCH($I4438,'Kode Outlet dan Target Toko'!$E:$E,0)),0)</f>
        <v>121409</v>
      </c>
      <c r="H4438" s="20">
        <f>IFERROR(INDEX('Kode Outlet dan Target Toko'!$D:$D,MATCH($I4438,'Kode Outlet dan Target Toko'!$E:$E,0)),0)</f>
        <v>5025004</v>
      </c>
      <c r="I4438" s="41" t="s">
        <v>112</v>
      </c>
      <c r="J4438" s="45" t="s">
        <v>185</v>
      </c>
      <c r="K4438" s="53" t="s">
        <v>16</v>
      </c>
      <c r="L4438" s="23">
        <v>3275</v>
      </c>
      <c r="M4438" s="24">
        <v>103</v>
      </c>
      <c r="N4438" s="25">
        <f t="shared" si="139"/>
        <v>337325</v>
      </c>
      <c r="O4438" s="24">
        <v>160</v>
      </c>
    </row>
    <row r="4439" spans="1:15" hidden="1" x14ac:dyDescent="0.3">
      <c r="A4439" s="24">
        <v>34</v>
      </c>
      <c r="B4439" s="20" t="str">
        <f t="shared" si="138"/>
        <v>AUG</v>
      </c>
      <c r="C4439" s="21">
        <v>46256</v>
      </c>
      <c r="D4439" s="22" t="str">
        <f>IFERROR(INDEX('Kode Outlet dan Target Toko'!$A:$A,MATCH($I4439,'Kode Outlet dan Target Toko'!$E:$E,0)),"")</f>
        <v>GRSM 4</v>
      </c>
      <c r="E4439" s="20" t="str">
        <f>IFERROR(VLOOKUP(I4439,KET!$B:$F,4,0),"")</f>
        <v>FAHMI LUKMANUL HAKIM</v>
      </c>
      <c r="F4439" s="20" t="str">
        <f>IFERROR(VLOOKUP($I4439,KET!$B:$F,5,0),"")</f>
        <v>NKA</v>
      </c>
      <c r="G4439" s="20">
        <f>IFERROR(INDEX('Kode Outlet dan Target Toko'!$C:$C,MATCH($I4439,'Kode Outlet dan Target Toko'!$E:$E,0)),0)</f>
        <v>121409</v>
      </c>
      <c r="H4439" s="20">
        <f>IFERROR(INDEX('Kode Outlet dan Target Toko'!$D:$D,MATCH($I4439,'Kode Outlet dan Target Toko'!$E:$E,0)),0)</f>
        <v>5025004</v>
      </c>
      <c r="I4439" s="41" t="s">
        <v>112</v>
      </c>
      <c r="J4439" s="45" t="s">
        <v>184</v>
      </c>
      <c r="K4439" s="53" t="s">
        <v>15</v>
      </c>
      <c r="L4439" s="23">
        <v>3275</v>
      </c>
      <c r="M4439" s="24">
        <v>98</v>
      </c>
      <c r="N4439" s="25">
        <f t="shared" si="139"/>
        <v>320950</v>
      </c>
      <c r="O4439" s="24"/>
    </row>
    <row r="4440" spans="1:15" hidden="1" x14ac:dyDescent="0.3">
      <c r="A4440" s="24">
        <v>34</v>
      </c>
      <c r="B4440" s="20" t="str">
        <f t="shared" si="138"/>
        <v>AUG</v>
      </c>
      <c r="C4440" s="21">
        <v>46256</v>
      </c>
      <c r="D4440" s="22" t="str">
        <f>IFERROR(INDEX('Kode Outlet dan Target Toko'!$A:$A,MATCH($I4440,'Kode Outlet dan Target Toko'!$E:$E,0)),"")</f>
        <v>GRSM 4</v>
      </c>
      <c r="E4440" s="20" t="str">
        <f>IFERROR(VLOOKUP(I4440,KET!$B:$F,4,0),"")</f>
        <v>FAHMI LUKMANUL HAKIM</v>
      </c>
      <c r="F4440" s="20" t="str">
        <f>IFERROR(VLOOKUP($I4440,KET!$B:$F,5,0),"")</f>
        <v>NKA</v>
      </c>
      <c r="G4440" s="20">
        <f>IFERROR(INDEX('Kode Outlet dan Target Toko'!$C:$C,MATCH($I4440,'Kode Outlet dan Target Toko'!$E:$E,0)),0)</f>
        <v>121409</v>
      </c>
      <c r="H4440" s="20">
        <f>IFERROR(INDEX('Kode Outlet dan Target Toko'!$D:$D,MATCH($I4440,'Kode Outlet dan Target Toko'!$E:$E,0)),0)</f>
        <v>5025004</v>
      </c>
      <c r="I4440" s="41" t="s">
        <v>112</v>
      </c>
      <c r="J4440" s="45" t="s">
        <v>184</v>
      </c>
      <c r="K4440" s="53" t="s">
        <v>14</v>
      </c>
      <c r="L4440" s="23">
        <v>3275</v>
      </c>
      <c r="M4440" s="24">
        <v>0</v>
      </c>
      <c r="N4440" s="25">
        <f t="shared" si="139"/>
        <v>0</v>
      </c>
      <c r="O4440" s="24"/>
    </row>
    <row r="4441" spans="1:15" hidden="1" x14ac:dyDescent="0.3">
      <c r="A4441" s="24">
        <v>34</v>
      </c>
      <c r="B4441" s="20" t="str">
        <f t="shared" si="138"/>
        <v>AUG</v>
      </c>
      <c r="C4441" s="21">
        <v>46256</v>
      </c>
      <c r="D4441" s="22" t="str">
        <f>IFERROR(INDEX('Kode Outlet dan Target Toko'!$A:$A,MATCH($I4441,'Kode Outlet dan Target Toko'!$E:$E,0)),"")</f>
        <v>GRSM 4</v>
      </c>
      <c r="E4441" s="20" t="str">
        <f>IFERROR(VLOOKUP(I4441,KET!$B:$F,4,0),"")</f>
        <v>FAHMI LUKMANUL HAKIM</v>
      </c>
      <c r="F4441" s="20" t="str">
        <f>IFERROR(VLOOKUP($I4441,KET!$B:$F,5,0),"")</f>
        <v>NKA</v>
      </c>
      <c r="G4441" s="20">
        <f>IFERROR(INDEX('Kode Outlet dan Target Toko'!$C:$C,MATCH($I4441,'Kode Outlet dan Target Toko'!$E:$E,0)),0)</f>
        <v>121409</v>
      </c>
      <c r="H4441" s="20">
        <f>IFERROR(INDEX('Kode Outlet dan Target Toko'!$D:$D,MATCH($I4441,'Kode Outlet dan Target Toko'!$E:$E,0)),0)</f>
        <v>5025004</v>
      </c>
      <c r="I4441" s="41" t="s">
        <v>112</v>
      </c>
      <c r="J4441" s="45" t="s">
        <v>184</v>
      </c>
      <c r="K4441" s="53" t="s">
        <v>13</v>
      </c>
      <c r="L4441" s="23">
        <v>3275</v>
      </c>
      <c r="M4441" s="24">
        <v>44</v>
      </c>
      <c r="N4441" s="25">
        <f t="shared" si="139"/>
        <v>144100</v>
      </c>
      <c r="O4441" s="24"/>
    </row>
    <row r="4442" spans="1:15" hidden="1" x14ac:dyDescent="0.3">
      <c r="A4442" s="24">
        <v>34</v>
      </c>
      <c r="B4442" s="20" t="str">
        <f t="shared" si="138"/>
        <v>AUG</v>
      </c>
      <c r="C4442" s="21">
        <v>46256</v>
      </c>
      <c r="D4442" s="22" t="str">
        <f>IFERROR(INDEX('Kode Outlet dan Target Toko'!$A:$A,MATCH($I4442,'Kode Outlet dan Target Toko'!$E:$E,0)),"")</f>
        <v>GRSM 4</v>
      </c>
      <c r="E4442" s="20" t="str">
        <f>IFERROR(VLOOKUP(I4442,KET!$B:$F,4,0),"")</f>
        <v>FAHMI LUKMANUL HAKIM</v>
      </c>
      <c r="F4442" s="20" t="str">
        <f>IFERROR(VLOOKUP($I4442,KET!$B:$F,5,0),"")</f>
        <v>NKA</v>
      </c>
      <c r="G4442" s="20">
        <f>IFERROR(INDEX('Kode Outlet dan Target Toko'!$C:$C,MATCH($I4442,'Kode Outlet dan Target Toko'!$E:$E,0)),0)</f>
        <v>121409</v>
      </c>
      <c r="H4442" s="20">
        <f>IFERROR(INDEX('Kode Outlet dan Target Toko'!$D:$D,MATCH($I4442,'Kode Outlet dan Target Toko'!$E:$E,0)),0)</f>
        <v>5025004</v>
      </c>
      <c r="I4442" s="41" t="s">
        <v>112</v>
      </c>
      <c r="J4442" s="45" t="s">
        <v>184</v>
      </c>
      <c r="K4442" s="53" t="s">
        <v>16</v>
      </c>
      <c r="L4442" s="23">
        <v>3275</v>
      </c>
      <c r="M4442" s="24">
        <v>103</v>
      </c>
      <c r="N4442" s="25">
        <f t="shared" si="139"/>
        <v>337325</v>
      </c>
      <c r="O4442" s="24">
        <v>160</v>
      </c>
    </row>
    <row r="4443" spans="1:15" hidden="1" x14ac:dyDescent="0.3">
      <c r="A4443" s="24">
        <v>34</v>
      </c>
      <c r="B4443" s="20" t="str">
        <f t="shared" si="138"/>
        <v>AUG</v>
      </c>
      <c r="C4443" s="21">
        <v>46255</v>
      </c>
      <c r="D4443" s="22" t="str">
        <f>IFERROR(INDEX('Kode Outlet dan Target Toko'!$A:$A,MATCH($I4443,'Kode Outlet dan Target Toko'!$E:$E,0)),"")</f>
        <v>GRSM 4</v>
      </c>
      <c r="E4443" s="20" t="str">
        <f>IFERROR(VLOOKUP(I4443,KET!$B:$F,4,0),"")</f>
        <v>FAHMI LUKMANUL HAKIM</v>
      </c>
      <c r="F4443" s="20" t="str">
        <f>IFERROR(VLOOKUP($I4443,KET!$B:$F,5,0),"")</f>
        <v>GMM</v>
      </c>
      <c r="G4443" s="20">
        <f>IFERROR(INDEX('Kode Outlet dan Target Toko'!$C:$C,MATCH($I4443,'Kode Outlet dan Target Toko'!$E:$E,0)),0)</f>
        <v>103259</v>
      </c>
      <c r="H4443" s="20">
        <f>IFERROR(INDEX('Kode Outlet dan Target Toko'!$D:$D,MATCH($I4443,'Kode Outlet dan Target Toko'!$E:$E,0)),0)</f>
        <v>9002359</v>
      </c>
      <c r="I4443" s="41" t="s">
        <v>103</v>
      </c>
      <c r="J4443" s="45" t="s">
        <v>197</v>
      </c>
      <c r="K4443" s="53" t="s">
        <v>15</v>
      </c>
      <c r="L4443" s="23">
        <v>1967</v>
      </c>
      <c r="M4443" s="24">
        <v>24</v>
      </c>
      <c r="N4443" s="25">
        <f t="shared" si="139"/>
        <v>47208</v>
      </c>
      <c r="O4443" s="24"/>
    </row>
    <row r="4444" spans="1:15" hidden="1" x14ac:dyDescent="0.3">
      <c r="A4444" s="24">
        <v>34</v>
      </c>
      <c r="B4444" s="20" t="str">
        <f t="shared" si="138"/>
        <v>AUG</v>
      </c>
      <c r="C4444" s="21">
        <v>46255</v>
      </c>
      <c r="D4444" s="22" t="str">
        <f>IFERROR(INDEX('Kode Outlet dan Target Toko'!$A:$A,MATCH($I4444,'Kode Outlet dan Target Toko'!$E:$E,0)),"")</f>
        <v>GRSM 4</v>
      </c>
      <c r="E4444" s="20" t="str">
        <f>IFERROR(VLOOKUP(I4444,KET!$B:$F,4,0),"")</f>
        <v>FAHMI LUKMANUL HAKIM</v>
      </c>
      <c r="F4444" s="20" t="str">
        <f>IFERROR(VLOOKUP($I4444,KET!$B:$F,5,0),"")</f>
        <v>GMM</v>
      </c>
      <c r="G4444" s="20">
        <f>IFERROR(INDEX('Kode Outlet dan Target Toko'!$C:$C,MATCH($I4444,'Kode Outlet dan Target Toko'!$E:$E,0)),0)</f>
        <v>103259</v>
      </c>
      <c r="H4444" s="20">
        <f>IFERROR(INDEX('Kode Outlet dan Target Toko'!$D:$D,MATCH($I4444,'Kode Outlet dan Target Toko'!$E:$E,0)),0)</f>
        <v>9002359</v>
      </c>
      <c r="I4444" s="41" t="s">
        <v>103</v>
      </c>
      <c r="J4444" s="45" t="s">
        <v>197</v>
      </c>
      <c r="K4444" s="53" t="s">
        <v>14</v>
      </c>
      <c r="L4444" s="23">
        <v>1967</v>
      </c>
      <c r="M4444" s="24">
        <v>0</v>
      </c>
      <c r="N4444" s="25">
        <f t="shared" si="139"/>
        <v>0</v>
      </c>
      <c r="O4444" s="24"/>
    </row>
    <row r="4445" spans="1:15" hidden="1" x14ac:dyDescent="0.3">
      <c r="A4445" s="24">
        <v>34</v>
      </c>
      <c r="B4445" s="20" t="str">
        <f t="shared" si="138"/>
        <v>AUG</v>
      </c>
      <c r="C4445" s="21">
        <v>46255</v>
      </c>
      <c r="D4445" s="22" t="str">
        <f>IFERROR(INDEX('Kode Outlet dan Target Toko'!$A:$A,MATCH($I4445,'Kode Outlet dan Target Toko'!$E:$E,0)),"")</f>
        <v>GRSM 4</v>
      </c>
      <c r="E4445" s="20" t="str">
        <f>IFERROR(VLOOKUP(I4445,KET!$B:$F,4,0),"")</f>
        <v>FAHMI LUKMANUL HAKIM</v>
      </c>
      <c r="F4445" s="20" t="str">
        <f>IFERROR(VLOOKUP($I4445,KET!$B:$F,5,0),"")</f>
        <v>GMM</v>
      </c>
      <c r="G4445" s="20">
        <f>IFERROR(INDEX('Kode Outlet dan Target Toko'!$C:$C,MATCH($I4445,'Kode Outlet dan Target Toko'!$E:$E,0)),0)</f>
        <v>103259</v>
      </c>
      <c r="H4445" s="20">
        <f>IFERROR(INDEX('Kode Outlet dan Target Toko'!$D:$D,MATCH($I4445,'Kode Outlet dan Target Toko'!$E:$E,0)),0)</f>
        <v>9002359</v>
      </c>
      <c r="I4445" s="41" t="s">
        <v>103</v>
      </c>
      <c r="J4445" s="45" t="s">
        <v>197</v>
      </c>
      <c r="K4445" s="53" t="s">
        <v>13</v>
      </c>
      <c r="L4445" s="23">
        <v>1967</v>
      </c>
      <c r="M4445" s="24">
        <v>0</v>
      </c>
      <c r="N4445" s="25">
        <f t="shared" si="139"/>
        <v>0</v>
      </c>
      <c r="O4445" s="24"/>
    </row>
    <row r="4446" spans="1:15" hidden="1" x14ac:dyDescent="0.3">
      <c r="A4446" s="24">
        <v>34</v>
      </c>
      <c r="B4446" s="20" t="str">
        <f t="shared" si="138"/>
        <v>AUG</v>
      </c>
      <c r="C4446" s="21">
        <v>46255</v>
      </c>
      <c r="D4446" s="22" t="str">
        <f>IFERROR(INDEX('Kode Outlet dan Target Toko'!$A:$A,MATCH($I4446,'Kode Outlet dan Target Toko'!$E:$E,0)),"")</f>
        <v>GRSM 4</v>
      </c>
      <c r="E4446" s="20" t="str">
        <f>IFERROR(VLOOKUP(I4446,KET!$B:$F,4,0),"")</f>
        <v>FAHMI LUKMANUL HAKIM</v>
      </c>
      <c r="F4446" s="20" t="str">
        <f>IFERROR(VLOOKUP($I4446,KET!$B:$F,5,0),"")</f>
        <v>GMM</v>
      </c>
      <c r="G4446" s="20">
        <f>IFERROR(INDEX('Kode Outlet dan Target Toko'!$C:$C,MATCH($I4446,'Kode Outlet dan Target Toko'!$E:$E,0)),0)</f>
        <v>103259</v>
      </c>
      <c r="H4446" s="20">
        <f>IFERROR(INDEX('Kode Outlet dan Target Toko'!$D:$D,MATCH($I4446,'Kode Outlet dan Target Toko'!$E:$E,0)),0)</f>
        <v>9002359</v>
      </c>
      <c r="I4446" s="41" t="s">
        <v>103</v>
      </c>
      <c r="J4446" s="45" t="s">
        <v>197</v>
      </c>
      <c r="K4446" s="53" t="s">
        <v>16</v>
      </c>
      <c r="L4446" s="23">
        <v>1967</v>
      </c>
      <c r="M4446" s="24">
        <v>0</v>
      </c>
      <c r="N4446" s="25">
        <f t="shared" si="139"/>
        <v>0</v>
      </c>
      <c r="O4446" s="24">
        <v>160</v>
      </c>
    </row>
    <row r="4447" spans="1:15" hidden="1" x14ac:dyDescent="0.3">
      <c r="A4447" s="24">
        <v>34</v>
      </c>
      <c r="B4447" s="20" t="str">
        <f t="shared" si="138"/>
        <v>AUG</v>
      </c>
      <c r="C4447" s="21">
        <v>46255</v>
      </c>
      <c r="D4447" s="22" t="str">
        <f>IFERROR(INDEX('Kode Outlet dan Target Toko'!$A:$A,MATCH($I4447,'Kode Outlet dan Target Toko'!$E:$E,0)),"")</f>
        <v>GRSM 4</v>
      </c>
      <c r="E4447" s="20" t="str">
        <f>IFERROR(VLOOKUP(I4447,KET!$B:$F,4,0),"")</f>
        <v>FAHMI LUKMANUL HAKIM</v>
      </c>
      <c r="F4447" s="20" t="str">
        <f>IFERROR(VLOOKUP($I4447,KET!$B:$F,5,0),"")</f>
        <v>GMM</v>
      </c>
      <c r="G4447" s="20">
        <f>IFERROR(INDEX('Kode Outlet dan Target Toko'!$C:$C,MATCH($I4447,'Kode Outlet dan Target Toko'!$E:$E,0)),0)</f>
        <v>103259</v>
      </c>
      <c r="H4447" s="20">
        <f>IFERROR(INDEX('Kode Outlet dan Target Toko'!$D:$D,MATCH($I4447,'Kode Outlet dan Target Toko'!$E:$E,0)),0)</f>
        <v>9002359</v>
      </c>
      <c r="I4447" s="41" t="s">
        <v>103</v>
      </c>
      <c r="J4447" s="45" t="s">
        <v>196</v>
      </c>
      <c r="K4447" s="53" t="s">
        <v>15</v>
      </c>
      <c r="L4447" s="23">
        <v>1967</v>
      </c>
      <c r="M4447" s="24">
        <v>42</v>
      </c>
      <c r="N4447" s="25">
        <f t="shared" si="139"/>
        <v>82614</v>
      </c>
      <c r="O4447" s="24"/>
    </row>
    <row r="4448" spans="1:15" hidden="1" x14ac:dyDescent="0.3">
      <c r="A4448" s="24">
        <v>34</v>
      </c>
      <c r="B4448" s="20" t="str">
        <f t="shared" si="138"/>
        <v>AUG</v>
      </c>
      <c r="C4448" s="21">
        <v>46255</v>
      </c>
      <c r="D4448" s="22" t="str">
        <f>IFERROR(INDEX('Kode Outlet dan Target Toko'!$A:$A,MATCH($I4448,'Kode Outlet dan Target Toko'!$E:$E,0)),"")</f>
        <v>GRSM 4</v>
      </c>
      <c r="E4448" s="20" t="str">
        <f>IFERROR(VLOOKUP(I4448,KET!$B:$F,4,0),"")</f>
        <v>FAHMI LUKMANUL HAKIM</v>
      </c>
      <c r="F4448" s="20" t="str">
        <f>IFERROR(VLOOKUP($I4448,KET!$B:$F,5,0),"")</f>
        <v>GMM</v>
      </c>
      <c r="G4448" s="20">
        <f>IFERROR(INDEX('Kode Outlet dan Target Toko'!$C:$C,MATCH($I4448,'Kode Outlet dan Target Toko'!$E:$E,0)),0)</f>
        <v>103259</v>
      </c>
      <c r="H4448" s="20">
        <f>IFERROR(INDEX('Kode Outlet dan Target Toko'!$D:$D,MATCH($I4448,'Kode Outlet dan Target Toko'!$E:$E,0)),0)</f>
        <v>9002359</v>
      </c>
      <c r="I4448" s="41" t="s">
        <v>103</v>
      </c>
      <c r="J4448" s="45" t="s">
        <v>196</v>
      </c>
      <c r="K4448" s="53" t="s">
        <v>14</v>
      </c>
      <c r="L4448" s="23">
        <v>1967</v>
      </c>
      <c r="M4448" s="24">
        <v>0</v>
      </c>
      <c r="N4448" s="25">
        <f t="shared" si="139"/>
        <v>0</v>
      </c>
      <c r="O4448" s="24"/>
    </row>
    <row r="4449" spans="1:15" hidden="1" x14ac:dyDescent="0.3">
      <c r="A4449" s="24">
        <v>34</v>
      </c>
      <c r="B4449" s="20" t="str">
        <f t="shared" si="138"/>
        <v>AUG</v>
      </c>
      <c r="C4449" s="21">
        <v>46255</v>
      </c>
      <c r="D4449" s="22" t="str">
        <f>IFERROR(INDEX('Kode Outlet dan Target Toko'!$A:$A,MATCH($I4449,'Kode Outlet dan Target Toko'!$E:$E,0)),"")</f>
        <v>GRSM 4</v>
      </c>
      <c r="E4449" s="20" t="str">
        <f>IFERROR(VLOOKUP(I4449,KET!$B:$F,4,0),"")</f>
        <v>FAHMI LUKMANUL HAKIM</v>
      </c>
      <c r="F4449" s="20" t="str">
        <f>IFERROR(VLOOKUP($I4449,KET!$B:$F,5,0),"")</f>
        <v>GMM</v>
      </c>
      <c r="G4449" s="20">
        <f>IFERROR(INDEX('Kode Outlet dan Target Toko'!$C:$C,MATCH($I4449,'Kode Outlet dan Target Toko'!$E:$E,0)),0)</f>
        <v>103259</v>
      </c>
      <c r="H4449" s="20">
        <f>IFERROR(INDEX('Kode Outlet dan Target Toko'!$D:$D,MATCH($I4449,'Kode Outlet dan Target Toko'!$E:$E,0)),0)</f>
        <v>9002359</v>
      </c>
      <c r="I4449" s="41" t="s">
        <v>103</v>
      </c>
      <c r="J4449" s="45" t="s">
        <v>196</v>
      </c>
      <c r="K4449" s="53" t="s">
        <v>13</v>
      </c>
      <c r="L4449" s="23">
        <v>1967</v>
      </c>
      <c r="M4449" s="24">
        <v>0</v>
      </c>
      <c r="N4449" s="25">
        <f t="shared" si="139"/>
        <v>0</v>
      </c>
      <c r="O4449" s="24"/>
    </row>
    <row r="4450" spans="1:15" hidden="1" x14ac:dyDescent="0.3">
      <c r="A4450" s="24">
        <v>34</v>
      </c>
      <c r="B4450" s="20" t="str">
        <f t="shared" si="138"/>
        <v>AUG</v>
      </c>
      <c r="C4450" s="21">
        <v>46255</v>
      </c>
      <c r="D4450" s="22" t="str">
        <f>IFERROR(INDEX('Kode Outlet dan Target Toko'!$A:$A,MATCH($I4450,'Kode Outlet dan Target Toko'!$E:$E,0)),"")</f>
        <v>GRSM 4</v>
      </c>
      <c r="E4450" s="20" t="str">
        <f>IFERROR(VLOOKUP(I4450,KET!$B:$F,4,0),"")</f>
        <v>FAHMI LUKMANUL HAKIM</v>
      </c>
      <c r="F4450" s="20" t="str">
        <f>IFERROR(VLOOKUP($I4450,KET!$B:$F,5,0),"")</f>
        <v>GMM</v>
      </c>
      <c r="G4450" s="20">
        <f>IFERROR(INDEX('Kode Outlet dan Target Toko'!$C:$C,MATCH($I4450,'Kode Outlet dan Target Toko'!$E:$E,0)),0)</f>
        <v>103259</v>
      </c>
      <c r="H4450" s="20">
        <f>IFERROR(INDEX('Kode Outlet dan Target Toko'!$D:$D,MATCH($I4450,'Kode Outlet dan Target Toko'!$E:$E,0)),0)</f>
        <v>9002359</v>
      </c>
      <c r="I4450" s="41" t="s">
        <v>103</v>
      </c>
      <c r="J4450" s="45" t="s">
        <v>196</v>
      </c>
      <c r="K4450" s="53" t="s">
        <v>16</v>
      </c>
      <c r="L4450" s="23">
        <v>1967</v>
      </c>
      <c r="M4450" s="24">
        <v>0</v>
      </c>
      <c r="N4450" s="25">
        <f t="shared" si="139"/>
        <v>0</v>
      </c>
      <c r="O4450" s="24">
        <v>160</v>
      </c>
    </row>
    <row r="4451" spans="1:15" hidden="1" x14ac:dyDescent="0.3">
      <c r="A4451" s="24">
        <v>34</v>
      </c>
      <c r="B4451" s="20" t="str">
        <f t="shared" si="138"/>
        <v>AUG</v>
      </c>
      <c r="C4451" s="21">
        <v>46256</v>
      </c>
      <c r="D4451" s="22" t="str">
        <f>IFERROR(INDEX('Kode Outlet dan Target Toko'!$A:$A,MATCH($I4451,'Kode Outlet dan Target Toko'!$E:$E,0)),"")</f>
        <v>GRSM 4</v>
      </c>
      <c r="E4451" s="20" t="str">
        <f>IFERROR(VLOOKUP(I4451,KET!$B:$F,4,0),"")</f>
        <v>FAHMI LUKMANUL HAKIM</v>
      </c>
      <c r="F4451" s="20" t="str">
        <f>IFERROR(VLOOKUP($I4451,KET!$B:$F,5,0),"")</f>
        <v>GMM</v>
      </c>
      <c r="G4451" s="20">
        <f>IFERROR(INDEX('Kode Outlet dan Target Toko'!$C:$C,MATCH($I4451,'Kode Outlet dan Target Toko'!$E:$E,0)),0)</f>
        <v>103259</v>
      </c>
      <c r="H4451" s="20">
        <f>IFERROR(INDEX('Kode Outlet dan Target Toko'!$D:$D,MATCH($I4451,'Kode Outlet dan Target Toko'!$E:$E,0)),0)</f>
        <v>9002359</v>
      </c>
      <c r="I4451" s="41" t="s">
        <v>103</v>
      </c>
      <c r="J4451" s="45" t="s">
        <v>197</v>
      </c>
      <c r="K4451" s="53" t="s">
        <v>15</v>
      </c>
      <c r="L4451" s="23">
        <v>1967</v>
      </c>
      <c r="M4451" s="24">
        <v>36</v>
      </c>
      <c r="N4451" s="25">
        <f t="shared" si="139"/>
        <v>70812</v>
      </c>
      <c r="O4451" s="24"/>
    </row>
    <row r="4452" spans="1:15" hidden="1" x14ac:dyDescent="0.3">
      <c r="A4452" s="24">
        <v>34</v>
      </c>
      <c r="B4452" s="20" t="str">
        <f t="shared" si="138"/>
        <v>AUG</v>
      </c>
      <c r="C4452" s="21">
        <v>46256</v>
      </c>
      <c r="D4452" s="22" t="str">
        <f>IFERROR(INDEX('Kode Outlet dan Target Toko'!$A:$A,MATCH($I4452,'Kode Outlet dan Target Toko'!$E:$E,0)),"")</f>
        <v>GRSM 4</v>
      </c>
      <c r="E4452" s="20" t="str">
        <f>IFERROR(VLOOKUP(I4452,KET!$B:$F,4,0),"")</f>
        <v>FAHMI LUKMANUL HAKIM</v>
      </c>
      <c r="F4452" s="20" t="str">
        <f>IFERROR(VLOOKUP($I4452,KET!$B:$F,5,0),"")</f>
        <v>GMM</v>
      </c>
      <c r="G4452" s="20">
        <f>IFERROR(INDEX('Kode Outlet dan Target Toko'!$C:$C,MATCH($I4452,'Kode Outlet dan Target Toko'!$E:$E,0)),0)</f>
        <v>103259</v>
      </c>
      <c r="H4452" s="20">
        <f>IFERROR(INDEX('Kode Outlet dan Target Toko'!$D:$D,MATCH($I4452,'Kode Outlet dan Target Toko'!$E:$E,0)),0)</f>
        <v>9002359</v>
      </c>
      <c r="I4452" s="41" t="s">
        <v>103</v>
      </c>
      <c r="J4452" s="45" t="s">
        <v>197</v>
      </c>
      <c r="K4452" s="53" t="s">
        <v>14</v>
      </c>
      <c r="L4452" s="23">
        <v>1967</v>
      </c>
      <c r="M4452" s="24">
        <v>0</v>
      </c>
      <c r="N4452" s="25">
        <f t="shared" si="139"/>
        <v>0</v>
      </c>
      <c r="O4452" s="24"/>
    </row>
    <row r="4453" spans="1:15" hidden="1" x14ac:dyDescent="0.3">
      <c r="A4453" s="24">
        <v>34</v>
      </c>
      <c r="B4453" s="20" t="str">
        <f t="shared" si="138"/>
        <v>AUG</v>
      </c>
      <c r="C4453" s="21">
        <v>46256</v>
      </c>
      <c r="D4453" s="22" t="str">
        <f>IFERROR(INDEX('Kode Outlet dan Target Toko'!$A:$A,MATCH($I4453,'Kode Outlet dan Target Toko'!$E:$E,0)),"")</f>
        <v>GRSM 4</v>
      </c>
      <c r="E4453" s="20" t="str">
        <f>IFERROR(VLOOKUP(I4453,KET!$B:$F,4,0),"")</f>
        <v>FAHMI LUKMANUL HAKIM</v>
      </c>
      <c r="F4453" s="20" t="str">
        <f>IFERROR(VLOOKUP($I4453,KET!$B:$F,5,0),"")</f>
        <v>GMM</v>
      </c>
      <c r="G4453" s="20">
        <f>IFERROR(INDEX('Kode Outlet dan Target Toko'!$C:$C,MATCH($I4453,'Kode Outlet dan Target Toko'!$E:$E,0)),0)</f>
        <v>103259</v>
      </c>
      <c r="H4453" s="20">
        <f>IFERROR(INDEX('Kode Outlet dan Target Toko'!$D:$D,MATCH($I4453,'Kode Outlet dan Target Toko'!$E:$E,0)),0)</f>
        <v>9002359</v>
      </c>
      <c r="I4453" s="41" t="s">
        <v>103</v>
      </c>
      <c r="J4453" s="45" t="s">
        <v>197</v>
      </c>
      <c r="K4453" s="53" t="s">
        <v>13</v>
      </c>
      <c r="L4453" s="23">
        <v>1967</v>
      </c>
      <c r="M4453" s="24">
        <v>0</v>
      </c>
      <c r="N4453" s="25">
        <f t="shared" si="139"/>
        <v>0</v>
      </c>
      <c r="O4453" s="24"/>
    </row>
    <row r="4454" spans="1:15" hidden="1" x14ac:dyDescent="0.3">
      <c r="A4454" s="24">
        <v>34</v>
      </c>
      <c r="B4454" s="20" t="str">
        <f t="shared" si="138"/>
        <v>AUG</v>
      </c>
      <c r="C4454" s="21">
        <v>46256</v>
      </c>
      <c r="D4454" s="22" t="str">
        <f>IFERROR(INDEX('Kode Outlet dan Target Toko'!$A:$A,MATCH($I4454,'Kode Outlet dan Target Toko'!$E:$E,0)),"")</f>
        <v>GRSM 4</v>
      </c>
      <c r="E4454" s="20" t="str">
        <f>IFERROR(VLOOKUP(I4454,KET!$B:$F,4,0),"")</f>
        <v>FAHMI LUKMANUL HAKIM</v>
      </c>
      <c r="F4454" s="20" t="str">
        <f>IFERROR(VLOOKUP($I4454,KET!$B:$F,5,0),"")</f>
        <v>GMM</v>
      </c>
      <c r="G4454" s="20">
        <f>IFERROR(INDEX('Kode Outlet dan Target Toko'!$C:$C,MATCH($I4454,'Kode Outlet dan Target Toko'!$E:$E,0)),0)</f>
        <v>103259</v>
      </c>
      <c r="H4454" s="20">
        <f>IFERROR(INDEX('Kode Outlet dan Target Toko'!$D:$D,MATCH($I4454,'Kode Outlet dan Target Toko'!$E:$E,0)),0)</f>
        <v>9002359</v>
      </c>
      <c r="I4454" s="41" t="s">
        <v>103</v>
      </c>
      <c r="J4454" s="45" t="s">
        <v>197</v>
      </c>
      <c r="K4454" s="53" t="s">
        <v>16</v>
      </c>
      <c r="L4454" s="23">
        <v>1967</v>
      </c>
      <c r="M4454" s="24">
        <v>0</v>
      </c>
      <c r="N4454" s="25">
        <f t="shared" si="139"/>
        <v>0</v>
      </c>
      <c r="O4454" s="24">
        <v>160</v>
      </c>
    </row>
    <row r="4455" spans="1:15" hidden="1" x14ac:dyDescent="0.3">
      <c r="A4455" s="24">
        <v>34</v>
      </c>
      <c r="B4455" s="20" t="str">
        <f t="shared" si="138"/>
        <v>AUG</v>
      </c>
      <c r="C4455" s="21">
        <v>46256</v>
      </c>
      <c r="D4455" s="22" t="str">
        <f>IFERROR(INDEX('Kode Outlet dan Target Toko'!$A:$A,MATCH($I4455,'Kode Outlet dan Target Toko'!$E:$E,0)),"")</f>
        <v>GRSM 4</v>
      </c>
      <c r="E4455" s="20" t="str">
        <f>IFERROR(VLOOKUP(I4455,KET!$B:$F,4,0),"")</f>
        <v>FAHMI LUKMANUL HAKIM</v>
      </c>
      <c r="F4455" s="20" t="str">
        <f>IFERROR(VLOOKUP($I4455,KET!$B:$F,5,0),"")</f>
        <v>GMM</v>
      </c>
      <c r="G4455" s="20">
        <f>IFERROR(INDEX('Kode Outlet dan Target Toko'!$C:$C,MATCH($I4455,'Kode Outlet dan Target Toko'!$E:$E,0)),0)</f>
        <v>103259</v>
      </c>
      <c r="H4455" s="20">
        <f>IFERROR(INDEX('Kode Outlet dan Target Toko'!$D:$D,MATCH($I4455,'Kode Outlet dan Target Toko'!$E:$E,0)),0)</f>
        <v>9002359</v>
      </c>
      <c r="I4455" s="41" t="s">
        <v>103</v>
      </c>
      <c r="J4455" s="45" t="s">
        <v>196</v>
      </c>
      <c r="K4455" s="53" t="s">
        <v>15</v>
      </c>
      <c r="L4455" s="23">
        <v>1967</v>
      </c>
      <c r="M4455" s="24">
        <v>30</v>
      </c>
      <c r="N4455" s="25">
        <f t="shared" si="139"/>
        <v>59010</v>
      </c>
      <c r="O4455" s="24"/>
    </row>
    <row r="4456" spans="1:15" hidden="1" x14ac:dyDescent="0.3">
      <c r="A4456" s="24">
        <v>34</v>
      </c>
      <c r="B4456" s="20" t="str">
        <f t="shared" si="138"/>
        <v>AUG</v>
      </c>
      <c r="C4456" s="21">
        <v>46256</v>
      </c>
      <c r="D4456" s="22" t="str">
        <f>IFERROR(INDEX('Kode Outlet dan Target Toko'!$A:$A,MATCH($I4456,'Kode Outlet dan Target Toko'!$E:$E,0)),"")</f>
        <v>GRSM 4</v>
      </c>
      <c r="E4456" s="20" t="str">
        <f>IFERROR(VLOOKUP(I4456,KET!$B:$F,4,0),"")</f>
        <v>FAHMI LUKMANUL HAKIM</v>
      </c>
      <c r="F4456" s="20" t="str">
        <f>IFERROR(VLOOKUP($I4456,KET!$B:$F,5,0),"")</f>
        <v>GMM</v>
      </c>
      <c r="G4456" s="20">
        <f>IFERROR(INDEX('Kode Outlet dan Target Toko'!$C:$C,MATCH($I4456,'Kode Outlet dan Target Toko'!$E:$E,0)),0)</f>
        <v>103259</v>
      </c>
      <c r="H4456" s="20">
        <f>IFERROR(INDEX('Kode Outlet dan Target Toko'!$D:$D,MATCH($I4456,'Kode Outlet dan Target Toko'!$E:$E,0)),0)</f>
        <v>9002359</v>
      </c>
      <c r="I4456" s="41" t="s">
        <v>103</v>
      </c>
      <c r="J4456" s="45" t="s">
        <v>196</v>
      </c>
      <c r="K4456" s="53" t="s">
        <v>14</v>
      </c>
      <c r="L4456" s="23">
        <v>1967</v>
      </c>
      <c r="M4456" s="24">
        <v>0</v>
      </c>
      <c r="N4456" s="25">
        <f t="shared" si="139"/>
        <v>0</v>
      </c>
      <c r="O4456" s="24"/>
    </row>
    <row r="4457" spans="1:15" hidden="1" x14ac:dyDescent="0.3">
      <c r="A4457" s="24">
        <v>34</v>
      </c>
      <c r="B4457" s="20" t="str">
        <f t="shared" si="138"/>
        <v>AUG</v>
      </c>
      <c r="C4457" s="21">
        <v>46256</v>
      </c>
      <c r="D4457" s="22" t="str">
        <f>IFERROR(INDEX('Kode Outlet dan Target Toko'!$A:$A,MATCH($I4457,'Kode Outlet dan Target Toko'!$E:$E,0)),"")</f>
        <v>GRSM 4</v>
      </c>
      <c r="E4457" s="20" t="str">
        <f>IFERROR(VLOOKUP(I4457,KET!$B:$F,4,0),"")</f>
        <v>FAHMI LUKMANUL HAKIM</v>
      </c>
      <c r="F4457" s="20" t="str">
        <f>IFERROR(VLOOKUP($I4457,KET!$B:$F,5,0),"")</f>
        <v>GMM</v>
      </c>
      <c r="G4457" s="20">
        <f>IFERROR(INDEX('Kode Outlet dan Target Toko'!$C:$C,MATCH($I4457,'Kode Outlet dan Target Toko'!$E:$E,0)),0)</f>
        <v>103259</v>
      </c>
      <c r="H4457" s="20">
        <f>IFERROR(INDEX('Kode Outlet dan Target Toko'!$D:$D,MATCH($I4457,'Kode Outlet dan Target Toko'!$E:$E,0)),0)</f>
        <v>9002359</v>
      </c>
      <c r="I4457" s="41" t="s">
        <v>103</v>
      </c>
      <c r="J4457" s="45" t="s">
        <v>196</v>
      </c>
      <c r="K4457" s="53" t="s">
        <v>13</v>
      </c>
      <c r="L4457" s="23">
        <v>1967</v>
      </c>
      <c r="M4457" s="24">
        <v>0</v>
      </c>
      <c r="N4457" s="25">
        <f t="shared" si="139"/>
        <v>0</v>
      </c>
      <c r="O4457" s="24"/>
    </row>
    <row r="4458" spans="1:15" hidden="1" x14ac:dyDescent="0.3">
      <c r="A4458" s="24">
        <v>34</v>
      </c>
      <c r="B4458" s="20" t="str">
        <f t="shared" si="138"/>
        <v>AUG</v>
      </c>
      <c r="C4458" s="21">
        <v>46256</v>
      </c>
      <c r="D4458" s="22" t="str">
        <f>IFERROR(INDEX('Kode Outlet dan Target Toko'!$A:$A,MATCH($I4458,'Kode Outlet dan Target Toko'!$E:$E,0)),"")</f>
        <v>GRSM 4</v>
      </c>
      <c r="E4458" s="20" t="str">
        <f>IFERROR(VLOOKUP(I4458,KET!$B:$F,4,0),"")</f>
        <v>FAHMI LUKMANUL HAKIM</v>
      </c>
      <c r="F4458" s="20" t="str">
        <f>IFERROR(VLOOKUP($I4458,KET!$B:$F,5,0),"")</f>
        <v>GMM</v>
      </c>
      <c r="G4458" s="20">
        <f>IFERROR(INDEX('Kode Outlet dan Target Toko'!$C:$C,MATCH($I4458,'Kode Outlet dan Target Toko'!$E:$E,0)),0)</f>
        <v>103259</v>
      </c>
      <c r="H4458" s="20">
        <f>IFERROR(INDEX('Kode Outlet dan Target Toko'!$D:$D,MATCH($I4458,'Kode Outlet dan Target Toko'!$E:$E,0)),0)</f>
        <v>9002359</v>
      </c>
      <c r="I4458" s="41" t="s">
        <v>103</v>
      </c>
      <c r="J4458" s="45" t="s">
        <v>196</v>
      </c>
      <c r="K4458" s="53" t="s">
        <v>16</v>
      </c>
      <c r="L4458" s="23">
        <v>1967</v>
      </c>
      <c r="M4458" s="24">
        <v>0</v>
      </c>
      <c r="N4458" s="25">
        <f t="shared" si="139"/>
        <v>0</v>
      </c>
      <c r="O4458" s="24">
        <v>160</v>
      </c>
    </row>
    <row r="4459" spans="1:15" hidden="1" x14ac:dyDescent="0.3">
      <c r="A4459" s="24">
        <v>34</v>
      </c>
      <c r="B4459" s="20" t="str">
        <f t="shared" si="138"/>
        <v>AUG</v>
      </c>
      <c r="C4459" s="21">
        <v>46257</v>
      </c>
      <c r="D4459" s="22" t="str">
        <f>IFERROR(INDEX('Kode Outlet dan Target Toko'!$A:$A,MATCH($I4459,'Kode Outlet dan Target Toko'!$E:$E,0)),"")</f>
        <v>GRSM 4</v>
      </c>
      <c r="E4459" s="20" t="str">
        <f>IFERROR(VLOOKUP(I4459,KET!$B:$F,4,0),"")</f>
        <v>FAHMI LUKMANUL HAKIM</v>
      </c>
      <c r="F4459" s="20" t="str">
        <f>IFERROR(VLOOKUP($I4459,KET!$B:$F,5,0),"")</f>
        <v>NKA</v>
      </c>
      <c r="G4459" s="20">
        <f>IFERROR(INDEX('Kode Outlet dan Target Toko'!$C:$C,MATCH($I4459,'Kode Outlet dan Target Toko'!$E:$E,0)),0)</f>
        <v>195403</v>
      </c>
      <c r="H4459" s="20">
        <f>IFERROR(INDEX('Kode Outlet dan Target Toko'!$D:$D,MATCH($I4459,'Kode Outlet dan Target Toko'!$E:$E,0)),0)</f>
        <v>1600007</v>
      </c>
      <c r="I4459" s="41" t="s">
        <v>87</v>
      </c>
      <c r="J4459" s="45" t="s">
        <v>174</v>
      </c>
      <c r="K4459" s="53" t="s">
        <v>15</v>
      </c>
      <c r="L4459" s="23">
        <v>2150</v>
      </c>
      <c r="M4459" s="24">
        <v>78</v>
      </c>
      <c r="N4459" s="25">
        <f t="shared" si="139"/>
        <v>167700</v>
      </c>
      <c r="O4459" s="24"/>
    </row>
    <row r="4460" spans="1:15" hidden="1" x14ac:dyDescent="0.3">
      <c r="A4460" s="24">
        <v>34</v>
      </c>
      <c r="B4460" s="20" t="str">
        <f t="shared" si="138"/>
        <v>AUG</v>
      </c>
      <c r="C4460" s="21">
        <v>46257</v>
      </c>
      <c r="D4460" s="22" t="str">
        <f>IFERROR(INDEX('Kode Outlet dan Target Toko'!$A:$A,MATCH($I4460,'Kode Outlet dan Target Toko'!$E:$E,0)),"")</f>
        <v>GRSM 4</v>
      </c>
      <c r="E4460" s="20" t="str">
        <f>IFERROR(VLOOKUP(I4460,KET!$B:$F,4,0),"")</f>
        <v>FAHMI LUKMANUL HAKIM</v>
      </c>
      <c r="F4460" s="20" t="str">
        <f>IFERROR(VLOOKUP($I4460,KET!$B:$F,5,0),"")</f>
        <v>NKA</v>
      </c>
      <c r="G4460" s="20">
        <f>IFERROR(INDEX('Kode Outlet dan Target Toko'!$C:$C,MATCH($I4460,'Kode Outlet dan Target Toko'!$E:$E,0)),0)</f>
        <v>195403</v>
      </c>
      <c r="H4460" s="20">
        <f>IFERROR(INDEX('Kode Outlet dan Target Toko'!$D:$D,MATCH($I4460,'Kode Outlet dan Target Toko'!$E:$E,0)),0)</f>
        <v>1600007</v>
      </c>
      <c r="I4460" s="41" t="s">
        <v>87</v>
      </c>
      <c r="J4460" s="45" t="s">
        <v>174</v>
      </c>
      <c r="K4460" s="53" t="s">
        <v>14</v>
      </c>
      <c r="L4460" s="23">
        <v>2150</v>
      </c>
      <c r="M4460" s="24">
        <v>84</v>
      </c>
      <c r="N4460" s="25">
        <f t="shared" si="139"/>
        <v>180600</v>
      </c>
      <c r="O4460" s="24"/>
    </row>
    <row r="4461" spans="1:15" hidden="1" x14ac:dyDescent="0.3">
      <c r="A4461" s="24">
        <v>34</v>
      </c>
      <c r="B4461" s="20" t="str">
        <f t="shared" si="138"/>
        <v>AUG</v>
      </c>
      <c r="C4461" s="21">
        <v>46257</v>
      </c>
      <c r="D4461" s="22" t="str">
        <f>IFERROR(INDEX('Kode Outlet dan Target Toko'!$A:$A,MATCH($I4461,'Kode Outlet dan Target Toko'!$E:$E,0)),"")</f>
        <v>GRSM 4</v>
      </c>
      <c r="E4461" s="20" t="str">
        <f>IFERROR(VLOOKUP(I4461,KET!$B:$F,4,0),"")</f>
        <v>FAHMI LUKMANUL HAKIM</v>
      </c>
      <c r="F4461" s="20" t="str">
        <f>IFERROR(VLOOKUP($I4461,KET!$B:$F,5,0),"")</f>
        <v>NKA</v>
      </c>
      <c r="G4461" s="20">
        <f>IFERROR(INDEX('Kode Outlet dan Target Toko'!$C:$C,MATCH($I4461,'Kode Outlet dan Target Toko'!$E:$E,0)),0)</f>
        <v>195403</v>
      </c>
      <c r="H4461" s="20">
        <f>IFERROR(INDEX('Kode Outlet dan Target Toko'!$D:$D,MATCH($I4461,'Kode Outlet dan Target Toko'!$E:$E,0)),0)</f>
        <v>1600007</v>
      </c>
      <c r="I4461" s="41" t="s">
        <v>87</v>
      </c>
      <c r="J4461" s="45" t="s">
        <v>174</v>
      </c>
      <c r="K4461" s="53" t="s">
        <v>13</v>
      </c>
      <c r="L4461" s="23">
        <v>2150</v>
      </c>
      <c r="M4461" s="24">
        <v>87</v>
      </c>
      <c r="N4461" s="25">
        <f t="shared" si="139"/>
        <v>187050</v>
      </c>
      <c r="O4461" s="24"/>
    </row>
    <row r="4462" spans="1:15" hidden="1" x14ac:dyDescent="0.3">
      <c r="A4462" s="24">
        <v>34</v>
      </c>
      <c r="B4462" s="20" t="str">
        <f t="shared" si="138"/>
        <v>AUG</v>
      </c>
      <c r="C4462" s="21">
        <v>46257</v>
      </c>
      <c r="D4462" s="22" t="str">
        <f>IFERROR(INDEX('Kode Outlet dan Target Toko'!$A:$A,MATCH($I4462,'Kode Outlet dan Target Toko'!$E:$E,0)),"")</f>
        <v>GRSM 4</v>
      </c>
      <c r="E4462" s="20" t="str">
        <f>IFERROR(VLOOKUP(I4462,KET!$B:$F,4,0),"")</f>
        <v>FAHMI LUKMANUL HAKIM</v>
      </c>
      <c r="F4462" s="20" t="str">
        <f>IFERROR(VLOOKUP($I4462,KET!$B:$F,5,0),"")</f>
        <v>NKA</v>
      </c>
      <c r="G4462" s="20">
        <f>IFERROR(INDEX('Kode Outlet dan Target Toko'!$C:$C,MATCH($I4462,'Kode Outlet dan Target Toko'!$E:$E,0)),0)</f>
        <v>195403</v>
      </c>
      <c r="H4462" s="20">
        <f>IFERROR(INDEX('Kode Outlet dan Target Toko'!$D:$D,MATCH($I4462,'Kode Outlet dan Target Toko'!$E:$E,0)),0)</f>
        <v>1600007</v>
      </c>
      <c r="I4462" s="41" t="s">
        <v>87</v>
      </c>
      <c r="J4462" s="45" t="s">
        <v>174</v>
      </c>
      <c r="K4462" s="53" t="s">
        <v>16</v>
      </c>
      <c r="L4462" s="23">
        <v>2150</v>
      </c>
      <c r="M4462" s="24">
        <v>96</v>
      </c>
      <c r="N4462" s="25">
        <f t="shared" si="139"/>
        <v>206400</v>
      </c>
      <c r="O4462" s="24">
        <v>160</v>
      </c>
    </row>
    <row r="4463" spans="1:15" hidden="1" x14ac:dyDescent="0.3">
      <c r="A4463" s="24">
        <v>34</v>
      </c>
      <c r="B4463" s="20" t="str">
        <f t="shared" si="138"/>
        <v>AUG</v>
      </c>
      <c r="C4463" s="21">
        <v>46257</v>
      </c>
      <c r="D4463" s="22" t="str">
        <f>IFERROR(INDEX('Kode Outlet dan Target Toko'!$A:$A,MATCH($I4463,'Kode Outlet dan Target Toko'!$E:$E,0)),"")</f>
        <v>GRSM 4</v>
      </c>
      <c r="E4463" s="20" t="str">
        <f>IFERROR(VLOOKUP(I4463,KET!$B:$F,4,0),"")</f>
        <v>FAHMI LUKMANUL HAKIM</v>
      </c>
      <c r="F4463" s="20" t="str">
        <f>IFERROR(VLOOKUP($I4463,KET!$B:$F,5,0),"")</f>
        <v>NKA</v>
      </c>
      <c r="G4463" s="20">
        <f>IFERROR(INDEX('Kode Outlet dan Target Toko'!$C:$C,MATCH($I4463,'Kode Outlet dan Target Toko'!$E:$E,0)),0)</f>
        <v>121409</v>
      </c>
      <c r="H4463" s="20">
        <f>IFERROR(INDEX('Kode Outlet dan Target Toko'!$D:$D,MATCH($I4463,'Kode Outlet dan Target Toko'!$E:$E,0)),0)</f>
        <v>5025004</v>
      </c>
      <c r="I4463" s="41" t="s">
        <v>112</v>
      </c>
      <c r="J4463" s="45" t="s">
        <v>185</v>
      </c>
      <c r="K4463" s="53" t="s">
        <v>15</v>
      </c>
      <c r="L4463" s="23">
        <v>3275</v>
      </c>
      <c r="M4463" s="24">
        <v>125</v>
      </c>
      <c r="N4463" s="25">
        <f t="shared" si="139"/>
        <v>409375</v>
      </c>
      <c r="O4463" s="24"/>
    </row>
    <row r="4464" spans="1:15" hidden="1" x14ac:dyDescent="0.3">
      <c r="A4464" s="24">
        <v>34</v>
      </c>
      <c r="B4464" s="20" t="str">
        <f t="shared" si="138"/>
        <v>AUG</v>
      </c>
      <c r="C4464" s="21">
        <v>46257</v>
      </c>
      <c r="D4464" s="22" t="str">
        <f>IFERROR(INDEX('Kode Outlet dan Target Toko'!$A:$A,MATCH($I4464,'Kode Outlet dan Target Toko'!$E:$E,0)),"")</f>
        <v>GRSM 4</v>
      </c>
      <c r="E4464" s="20" t="str">
        <f>IFERROR(VLOOKUP(I4464,KET!$B:$F,4,0),"")</f>
        <v>FAHMI LUKMANUL HAKIM</v>
      </c>
      <c r="F4464" s="20" t="str">
        <f>IFERROR(VLOOKUP($I4464,KET!$B:$F,5,0),"")</f>
        <v>NKA</v>
      </c>
      <c r="G4464" s="20">
        <f>IFERROR(INDEX('Kode Outlet dan Target Toko'!$C:$C,MATCH($I4464,'Kode Outlet dan Target Toko'!$E:$E,0)),0)</f>
        <v>121409</v>
      </c>
      <c r="H4464" s="20">
        <f>IFERROR(INDEX('Kode Outlet dan Target Toko'!$D:$D,MATCH($I4464,'Kode Outlet dan Target Toko'!$E:$E,0)),0)</f>
        <v>5025004</v>
      </c>
      <c r="I4464" s="41" t="s">
        <v>112</v>
      </c>
      <c r="J4464" s="45" t="s">
        <v>185</v>
      </c>
      <c r="K4464" s="53" t="s">
        <v>14</v>
      </c>
      <c r="L4464" s="23">
        <v>3275</v>
      </c>
      <c r="M4464" s="24">
        <v>0</v>
      </c>
      <c r="N4464" s="25">
        <f t="shared" si="139"/>
        <v>0</v>
      </c>
      <c r="O4464" s="24"/>
    </row>
    <row r="4465" spans="1:15" hidden="1" x14ac:dyDescent="0.3">
      <c r="A4465" s="24">
        <v>34</v>
      </c>
      <c r="B4465" s="20" t="str">
        <f t="shared" si="138"/>
        <v>AUG</v>
      </c>
      <c r="C4465" s="21">
        <v>46257</v>
      </c>
      <c r="D4465" s="22" t="str">
        <f>IFERROR(INDEX('Kode Outlet dan Target Toko'!$A:$A,MATCH($I4465,'Kode Outlet dan Target Toko'!$E:$E,0)),"")</f>
        <v>GRSM 4</v>
      </c>
      <c r="E4465" s="20" t="str">
        <f>IFERROR(VLOOKUP(I4465,KET!$B:$F,4,0),"")</f>
        <v>FAHMI LUKMANUL HAKIM</v>
      </c>
      <c r="F4465" s="20" t="str">
        <f>IFERROR(VLOOKUP($I4465,KET!$B:$F,5,0),"")</f>
        <v>NKA</v>
      </c>
      <c r="G4465" s="20">
        <f>IFERROR(INDEX('Kode Outlet dan Target Toko'!$C:$C,MATCH($I4465,'Kode Outlet dan Target Toko'!$E:$E,0)),0)</f>
        <v>121409</v>
      </c>
      <c r="H4465" s="20">
        <f>IFERROR(INDEX('Kode Outlet dan Target Toko'!$D:$D,MATCH($I4465,'Kode Outlet dan Target Toko'!$E:$E,0)),0)</f>
        <v>5025004</v>
      </c>
      <c r="I4465" s="41" t="s">
        <v>112</v>
      </c>
      <c r="J4465" s="45" t="s">
        <v>185</v>
      </c>
      <c r="K4465" s="53" t="s">
        <v>13</v>
      </c>
      <c r="L4465" s="23">
        <v>3275</v>
      </c>
      <c r="M4465" s="24">
        <v>69</v>
      </c>
      <c r="N4465" s="25">
        <f t="shared" si="139"/>
        <v>225975</v>
      </c>
      <c r="O4465" s="24"/>
    </row>
    <row r="4466" spans="1:15" hidden="1" x14ac:dyDescent="0.3">
      <c r="A4466" s="24">
        <v>34</v>
      </c>
      <c r="B4466" s="20" t="str">
        <f t="shared" si="138"/>
        <v>AUG</v>
      </c>
      <c r="C4466" s="21">
        <v>46257</v>
      </c>
      <c r="D4466" s="22" t="str">
        <f>IFERROR(INDEX('Kode Outlet dan Target Toko'!$A:$A,MATCH($I4466,'Kode Outlet dan Target Toko'!$E:$E,0)),"")</f>
        <v>GRSM 4</v>
      </c>
      <c r="E4466" s="20" t="str">
        <f>IFERROR(VLOOKUP(I4466,KET!$B:$F,4,0),"")</f>
        <v>FAHMI LUKMANUL HAKIM</v>
      </c>
      <c r="F4466" s="20" t="str">
        <f>IFERROR(VLOOKUP($I4466,KET!$B:$F,5,0),"")</f>
        <v>NKA</v>
      </c>
      <c r="G4466" s="20">
        <f>IFERROR(INDEX('Kode Outlet dan Target Toko'!$C:$C,MATCH($I4466,'Kode Outlet dan Target Toko'!$E:$E,0)),0)</f>
        <v>121409</v>
      </c>
      <c r="H4466" s="20">
        <f>IFERROR(INDEX('Kode Outlet dan Target Toko'!$D:$D,MATCH($I4466,'Kode Outlet dan Target Toko'!$E:$E,0)),0)</f>
        <v>5025004</v>
      </c>
      <c r="I4466" s="41" t="s">
        <v>112</v>
      </c>
      <c r="J4466" s="45" t="s">
        <v>185</v>
      </c>
      <c r="K4466" s="53" t="s">
        <v>16</v>
      </c>
      <c r="L4466" s="23">
        <v>3275</v>
      </c>
      <c r="M4466" s="24">
        <v>211</v>
      </c>
      <c r="N4466" s="25">
        <f t="shared" si="139"/>
        <v>691025</v>
      </c>
      <c r="O4466" s="24">
        <v>160</v>
      </c>
    </row>
    <row r="4467" spans="1:15" hidden="1" x14ac:dyDescent="0.3">
      <c r="A4467" s="24">
        <v>34</v>
      </c>
      <c r="B4467" s="20" t="str">
        <f t="shared" si="138"/>
        <v>AUG</v>
      </c>
      <c r="C4467" s="21">
        <v>46257</v>
      </c>
      <c r="D4467" s="22" t="str">
        <f>IFERROR(INDEX('Kode Outlet dan Target Toko'!$A:$A,MATCH($I4467,'Kode Outlet dan Target Toko'!$E:$E,0)),"")</f>
        <v>GRSM 4</v>
      </c>
      <c r="E4467" s="20" t="str">
        <f>IFERROR(VLOOKUP(I4467,KET!$B:$F,4,0),"")</f>
        <v>FAHMI LUKMANUL HAKIM</v>
      </c>
      <c r="F4467" s="20" t="str">
        <f>IFERROR(VLOOKUP($I4467,KET!$B:$F,5,0),"")</f>
        <v>NKA</v>
      </c>
      <c r="G4467" s="20">
        <f>IFERROR(INDEX('Kode Outlet dan Target Toko'!$C:$C,MATCH($I4467,'Kode Outlet dan Target Toko'!$E:$E,0)),0)</f>
        <v>121409</v>
      </c>
      <c r="H4467" s="20">
        <f>IFERROR(INDEX('Kode Outlet dan Target Toko'!$D:$D,MATCH($I4467,'Kode Outlet dan Target Toko'!$E:$E,0)),0)</f>
        <v>5025004</v>
      </c>
      <c r="I4467" s="41" t="s">
        <v>112</v>
      </c>
      <c r="J4467" s="45" t="s">
        <v>184</v>
      </c>
      <c r="K4467" s="53" t="s">
        <v>15</v>
      </c>
      <c r="L4467" s="23">
        <v>3275</v>
      </c>
      <c r="M4467" s="24">
        <v>125</v>
      </c>
      <c r="N4467" s="25">
        <f t="shared" si="139"/>
        <v>409375</v>
      </c>
      <c r="O4467" s="24"/>
    </row>
    <row r="4468" spans="1:15" hidden="1" x14ac:dyDescent="0.3">
      <c r="A4468" s="24">
        <v>34</v>
      </c>
      <c r="B4468" s="20" t="str">
        <f t="shared" si="138"/>
        <v>AUG</v>
      </c>
      <c r="C4468" s="21">
        <v>46257</v>
      </c>
      <c r="D4468" s="22" t="str">
        <f>IFERROR(INDEX('Kode Outlet dan Target Toko'!$A:$A,MATCH($I4468,'Kode Outlet dan Target Toko'!$E:$E,0)),"")</f>
        <v>GRSM 4</v>
      </c>
      <c r="E4468" s="20" t="str">
        <f>IFERROR(VLOOKUP(I4468,KET!$B:$F,4,0),"")</f>
        <v>FAHMI LUKMANUL HAKIM</v>
      </c>
      <c r="F4468" s="20" t="str">
        <f>IFERROR(VLOOKUP($I4468,KET!$B:$F,5,0),"")</f>
        <v>NKA</v>
      </c>
      <c r="G4468" s="20">
        <f>IFERROR(INDEX('Kode Outlet dan Target Toko'!$C:$C,MATCH($I4468,'Kode Outlet dan Target Toko'!$E:$E,0)),0)</f>
        <v>121409</v>
      </c>
      <c r="H4468" s="20">
        <f>IFERROR(INDEX('Kode Outlet dan Target Toko'!$D:$D,MATCH($I4468,'Kode Outlet dan Target Toko'!$E:$E,0)),0)</f>
        <v>5025004</v>
      </c>
      <c r="I4468" s="41" t="s">
        <v>112</v>
      </c>
      <c r="J4468" s="45" t="s">
        <v>184</v>
      </c>
      <c r="K4468" s="53" t="s">
        <v>14</v>
      </c>
      <c r="L4468" s="23">
        <v>3275</v>
      </c>
      <c r="M4468" s="24">
        <v>0</v>
      </c>
      <c r="N4468" s="25">
        <f t="shared" si="139"/>
        <v>0</v>
      </c>
      <c r="O4468" s="24"/>
    </row>
    <row r="4469" spans="1:15" hidden="1" x14ac:dyDescent="0.3">
      <c r="A4469" s="24">
        <v>34</v>
      </c>
      <c r="B4469" s="20" t="str">
        <f t="shared" si="138"/>
        <v>AUG</v>
      </c>
      <c r="C4469" s="21">
        <v>46257</v>
      </c>
      <c r="D4469" s="22" t="str">
        <f>IFERROR(INDEX('Kode Outlet dan Target Toko'!$A:$A,MATCH($I4469,'Kode Outlet dan Target Toko'!$E:$E,0)),"")</f>
        <v>GRSM 4</v>
      </c>
      <c r="E4469" s="20" t="str">
        <f>IFERROR(VLOOKUP(I4469,KET!$B:$F,4,0),"")</f>
        <v>FAHMI LUKMANUL HAKIM</v>
      </c>
      <c r="F4469" s="20" t="str">
        <f>IFERROR(VLOOKUP($I4469,KET!$B:$F,5,0),"")</f>
        <v>NKA</v>
      </c>
      <c r="G4469" s="20">
        <f>IFERROR(INDEX('Kode Outlet dan Target Toko'!$C:$C,MATCH($I4469,'Kode Outlet dan Target Toko'!$E:$E,0)),0)</f>
        <v>121409</v>
      </c>
      <c r="H4469" s="20">
        <f>IFERROR(INDEX('Kode Outlet dan Target Toko'!$D:$D,MATCH($I4469,'Kode Outlet dan Target Toko'!$E:$E,0)),0)</f>
        <v>5025004</v>
      </c>
      <c r="I4469" s="41" t="s">
        <v>112</v>
      </c>
      <c r="J4469" s="45" t="s">
        <v>184</v>
      </c>
      <c r="K4469" s="53" t="s">
        <v>13</v>
      </c>
      <c r="L4469" s="23">
        <v>3275</v>
      </c>
      <c r="M4469" s="24">
        <v>69</v>
      </c>
      <c r="N4469" s="25">
        <f t="shared" si="139"/>
        <v>225975</v>
      </c>
      <c r="O4469" s="24"/>
    </row>
    <row r="4470" spans="1:15" hidden="1" x14ac:dyDescent="0.3">
      <c r="A4470" s="24">
        <v>34</v>
      </c>
      <c r="B4470" s="20" t="str">
        <f t="shared" si="138"/>
        <v>AUG</v>
      </c>
      <c r="C4470" s="21">
        <v>46257</v>
      </c>
      <c r="D4470" s="22" t="str">
        <f>IFERROR(INDEX('Kode Outlet dan Target Toko'!$A:$A,MATCH($I4470,'Kode Outlet dan Target Toko'!$E:$E,0)),"")</f>
        <v>GRSM 4</v>
      </c>
      <c r="E4470" s="20" t="str">
        <f>IFERROR(VLOOKUP(I4470,KET!$B:$F,4,0),"")</f>
        <v>FAHMI LUKMANUL HAKIM</v>
      </c>
      <c r="F4470" s="20" t="str">
        <f>IFERROR(VLOOKUP($I4470,KET!$B:$F,5,0),"")</f>
        <v>NKA</v>
      </c>
      <c r="G4470" s="20">
        <f>IFERROR(INDEX('Kode Outlet dan Target Toko'!$C:$C,MATCH($I4470,'Kode Outlet dan Target Toko'!$E:$E,0)),0)</f>
        <v>121409</v>
      </c>
      <c r="H4470" s="20">
        <f>IFERROR(INDEX('Kode Outlet dan Target Toko'!$D:$D,MATCH($I4470,'Kode Outlet dan Target Toko'!$E:$E,0)),0)</f>
        <v>5025004</v>
      </c>
      <c r="I4470" s="41" t="s">
        <v>112</v>
      </c>
      <c r="J4470" s="45" t="s">
        <v>184</v>
      </c>
      <c r="K4470" s="53" t="s">
        <v>16</v>
      </c>
      <c r="L4470" s="23">
        <v>3275</v>
      </c>
      <c r="M4470" s="24">
        <v>211</v>
      </c>
      <c r="N4470" s="25">
        <f t="shared" si="139"/>
        <v>691025</v>
      </c>
      <c r="O4470" s="24">
        <v>160</v>
      </c>
    </row>
    <row r="4471" spans="1:15" hidden="1" x14ac:dyDescent="0.3">
      <c r="A4471" s="24">
        <v>34</v>
      </c>
      <c r="B4471" s="20" t="str">
        <f t="shared" si="138"/>
        <v>AUG</v>
      </c>
      <c r="C4471" s="21">
        <v>46257</v>
      </c>
      <c r="D4471" s="22" t="str">
        <f>IFERROR(INDEX('Kode Outlet dan Target Toko'!$A:$A,MATCH($I4471,'Kode Outlet dan Target Toko'!$E:$E,0)),"")</f>
        <v>GRSM 4</v>
      </c>
      <c r="E4471" s="20" t="str">
        <f>IFERROR(VLOOKUP(I4471,KET!$B:$F,4,0),"")</f>
        <v>FAHMI LUKMANUL HAKIM</v>
      </c>
      <c r="F4471" s="20" t="str">
        <f>IFERROR(VLOOKUP($I4471,KET!$B:$F,5,0),"")</f>
        <v>GMM</v>
      </c>
      <c r="G4471" s="20">
        <f>IFERROR(INDEX('Kode Outlet dan Target Toko'!$C:$C,MATCH($I4471,'Kode Outlet dan Target Toko'!$E:$E,0)),0)</f>
        <v>103712</v>
      </c>
      <c r="H4471" s="20">
        <f>IFERROR(INDEX('Kode Outlet dan Target Toko'!$D:$D,MATCH($I4471,'Kode Outlet dan Target Toko'!$E:$E,0)),0)</f>
        <v>4404677</v>
      </c>
      <c r="I4471" s="41" t="s">
        <v>99</v>
      </c>
      <c r="J4471" s="45" t="s">
        <v>178</v>
      </c>
      <c r="K4471" s="53" t="s">
        <v>15</v>
      </c>
      <c r="L4471" s="23">
        <v>3000</v>
      </c>
      <c r="M4471" s="24">
        <v>36</v>
      </c>
      <c r="N4471" s="25">
        <f t="shared" si="139"/>
        <v>108000</v>
      </c>
      <c r="O4471" s="24"/>
    </row>
    <row r="4472" spans="1:15" hidden="1" x14ac:dyDescent="0.3">
      <c r="A4472" s="24">
        <v>34</v>
      </c>
      <c r="B4472" s="20" t="str">
        <f t="shared" si="138"/>
        <v>AUG</v>
      </c>
      <c r="C4472" s="21">
        <v>46257</v>
      </c>
      <c r="D4472" s="22" t="str">
        <f>IFERROR(INDEX('Kode Outlet dan Target Toko'!$A:$A,MATCH($I4472,'Kode Outlet dan Target Toko'!$E:$E,0)),"")</f>
        <v>GRSM 4</v>
      </c>
      <c r="E4472" s="20" t="str">
        <f>IFERROR(VLOOKUP(I4472,KET!$B:$F,4,0),"")</f>
        <v>FAHMI LUKMANUL HAKIM</v>
      </c>
      <c r="F4472" s="20" t="str">
        <f>IFERROR(VLOOKUP($I4472,KET!$B:$F,5,0),"")</f>
        <v>GMM</v>
      </c>
      <c r="G4472" s="20">
        <f>IFERROR(INDEX('Kode Outlet dan Target Toko'!$C:$C,MATCH($I4472,'Kode Outlet dan Target Toko'!$E:$E,0)),0)</f>
        <v>103712</v>
      </c>
      <c r="H4472" s="20">
        <f>IFERROR(INDEX('Kode Outlet dan Target Toko'!$D:$D,MATCH($I4472,'Kode Outlet dan Target Toko'!$E:$E,0)),0)</f>
        <v>4404677</v>
      </c>
      <c r="I4472" s="41" t="s">
        <v>99</v>
      </c>
      <c r="J4472" s="45" t="s">
        <v>178</v>
      </c>
      <c r="K4472" s="53" t="s">
        <v>14</v>
      </c>
      <c r="L4472" s="23">
        <v>3000</v>
      </c>
      <c r="M4472" s="24">
        <v>45</v>
      </c>
      <c r="N4472" s="25">
        <f t="shared" si="139"/>
        <v>135000</v>
      </c>
      <c r="O4472" s="24"/>
    </row>
    <row r="4473" spans="1:15" hidden="1" x14ac:dyDescent="0.3">
      <c r="A4473" s="24">
        <v>34</v>
      </c>
      <c r="B4473" s="20" t="str">
        <f t="shared" si="138"/>
        <v>AUG</v>
      </c>
      <c r="C4473" s="21">
        <v>46257</v>
      </c>
      <c r="D4473" s="22" t="str">
        <f>IFERROR(INDEX('Kode Outlet dan Target Toko'!$A:$A,MATCH($I4473,'Kode Outlet dan Target Toko'!$E:$E,0)),"")</f>
        <v>GRSM 4</v>
      </c>
      <c r="E4473" s="20" t="str">
        <f>IFERROR(VLOOKUP(I4473,KET!$B:$F,4,0),"")</f>
        <v>FAHMI LUKMANUL HAKIM</v>
      </c>
      <c r="F4473" s="20" t="str">
        <f>IFERROR(VLOOKUP($I4473,KET!$B:$F,5,0),"")</f>
        <v>GMM</v>
      </c>
      <c r="G4473" s="20">
        <f>IFERROR(INDEX('Kode Outlet dan Target Toko'!$C:$C,MATCH($I4473,'Kode Outlet dan Target Toko'!$E:$E,0)),0)</f>
        <v>103712</v>
      </c>
      <c r="H4473" s="20">
        <f>IFERROR(INDEX('Kode Outlet dan Target Toko'!$D:$D,MATCH($I4473,'Kode Outlet dan Target Toko'!$E:$E,0)),0)</f>
        <v>4404677</v>
      </c>
      <c r="I4473" s="41" t="s">
        <v>99</v>
      </c>
      <c r="J4473" s="45" t="s">
        <v>178</v>
      </c>
      <c r="K4473" s="53" t="s">
        <v>13</v>
      </c>
      <c r="L4473" s="23">
        <v>3000</v>
      </c>
      <c r="M4473" s="24">
        <v>24</v>
      </c>
      <c r="N4473" s="25">
        <f t="shared" si="139"/>
        <v>72000</v>
      </c>
      <c r="O4473" s="24"/>
    </row>
    <row r="4474" spans="1:15" hidden="1" x14ac:dyDescent="0.3">
      <c r="A4474" s="24">
        <v>34</v>
      </c>
      <c r="B4474" s="20" t="str">
        <f t="shared" si="138"/>
        <v>AUG</v>
      </c>
      <c r="C4474" s="21">
        <v>46257</v>
      </c>
      <c r="D4474" s="22" t="str">
        <f>IFERROR(INDEX('Kode Outlet dan Target Toko'!$A:$A,MATCH($I4474,'Kode Outlet dan Target Toko'!$E:$E,0)),"")</f>
        <v>GRSM 4</v>
      </c>
      <c r="E4474" s="20" t="str">
        <f>IFERROR(VLOOKUP(I4474,KET!$B:$F,4,0),"")</f>
        <v>FAHMI LUKMANUL HAKIM</v>
      </c>
      <c r="F4474" s="20" t="str">
        <f>IFERROR(VLOOKUP($I4474,KET!$B:$F,5,0),"")</f>
        <v>GMM</v>
      </c>
      <c r="G4474" s="20">
        <f>IFERROR(INDEX('Kode Outlet dan Target Toko'!$C:$C,MATCH($I4474,'Kode Outlet dan Target Toko'!$E:$E,0)),0)</f>
        <v>103712</v>
      </c>
      <c r="H4474" s="20">
        <f>IFERROR(INDEX('Kode Outlet dan Target Toko'!$D:$D,MATCH($I4474,'Kode Outlet dan Target Toko'!$E:$E,0)),0)</f>
        <v>4404677</v>
      </c>
      <c r="I4474" s="41" t="s">
        <v>99</v>
      </c>
      <c r="J4474" s="45" t="s">
        <v>178</v>
      </c>
      <c r="K4474" s="53" t="s">
        <v>16</v>
      </c>
      <c r="L4474" s="23">
        <v>3000</v>
      </c>
      <c r="M4474" s="24">
        <v>117</v>
      </c>
      <c r="N4474" s="25">
        <f t="shared" si="139"/>
        <v>351000</v>
      </c>
      <c r="O4474" s="24">
        <v>160</v>
      </c>
    </row>
    <row r="4475" spans="1:15" hidden="1" x14ac:dyDescent="0.3">
      <c r="A4475" s="24">
        <v>34</v>
      </c>
      <c r="B4475" s="20" t="str">
        <f t="shared" si="138"/>
        <v>AUG</v>
      </c>
      <c r="C4475" s="21">
        <v>46257</v>
      </c>
      <c r="D4475" s="22" t="str">
        <f>IFERROR(INDEX('Kode Outlet dan Target Toko'!$A:$A,MATCH($I4475,'Kode Outlet dan Target Toko'!$E:$E,0)),"")</f>
        <v>GRSM 4</v>
      </c>
      <c r="E4475" s="20" t="str">
        <f>IFERROR(VLOOKUP(I4475,KET!$B:$F,4,0),"")</f>
        <v>FAHMI LUKMANUL HAKIM</v>
      </c>
      <c r="F4475" s="20" t="str">
        <f>IFERROR(VLOOKUP($I4475,KET!$B:$F,5,0),"")</f>
        <v>GMM</v>
      </c>
      <c r="G4475" s="20">
        <f>IFERROR(INDEX('Kode Outlet dan Target Toko'!$C:$C,MATCH($I4475,'Kode Outlet dan Target Toko'!$E:$E,0)),0)</f>
        <v>103712</v>
      </c>
      <c r="H4475" s="20">
        <f>IFERROR(INDEX('Kode Outlet dan Target Toko'!$D:$D,MATCH($I4475,'Kode Outlet dan Target Toko'!$E:$E,0)),0)</f>
        <v>4404677</v>
      </c>
      <c r="I4475" s="41" t="s">
        <v>99</v>
      </c>
      <c r="J4475" s="45" t="s">
        <v>179</v>
      </c>
      <c r="K4475" s="53" t="s">
        <v>15</v>
      </c>
      <c r="L4475" s="23">
        <v>3000</v>
      </c>
      <c r="M4475" s="24">
        <v>30</v>
      </c>
      <c r="N4475" s="25">
        <f t="shared" si="139"/>
        <v>90000</v>
      </c>
      <c r="O4475" s="24"/>
    </row>
    <row r="4476" spans="1:15" hidden="1" x14ac:dyDescent="0.3">
      <c r="A4476" s="24">
        <v>34</v>
      </c>
      <c r="B4476" s="20" t="str">
        <f t="shared" si="138"/>
        <v>AUG</v>
      </c>
      <c r="C4476" s="21">
        <v>46257</v>
      </c>
      <c r="D4476" s="22" t="str">
        <f>IFERROR(INDEX('Kode Outlet dan Target Toko'!$A:$A,MATCH($I4476,'Kode Outlet dan Target Toko'!$E:$E,0)),"")</f>
        <v>GRSM 4</v>
      </c>
      <c r="E4476" s="20" t="str">
        <f>IFERROR(VLOOKUP(I4476,KET!$B:$F,4,0),"")</f>
        <v>FAHMI LUKMANUL HAKIM</v>
      </c>
      <c r="F4476" s="20" t="str">
        <f>IFERROR(VLOOKUP($I4476,KET!$B:$F,5,0),"")</f>
        <v>GMM</v>
      </c>
      <c r="G4476" s="20">
        <f>IFERROR(INDEX('Kode Outlet dan Target Toko'!$C:$C,MATCH($I4476,'Kode Outlet dan Target Toko'!$E:$E,0)),0)</f>
        <v>103712</v>
      </c>
      <c r="H4476" s="20">
        <f>IFERROR(INDEX('Kode Outlet dan Target Toko'!$D:$D,MATCH($I4476,'Kode Outlet dan Target Toko'!$E:$E,0)),0)</f>
        <v>4404677</v>
      </c>
      <c r="I4476" s="41" t="s">
        <v>99</v>
      </c>
      <c r="J4476" s="45" t="s">
        <v>179</v>
      </c>
      <c r="K4476" s="53" t="s">
        <v>14</v>
      </c>
      <c r="L4476" s="23">
        <v>3000</v>
      </c>
      <c r="M4476" s="24">
        <v>50</v>
      </c>
      <c r="N4476" s="25">
        <f t="shared" si="139"/>
        <v>150000</v>
      </c>
      <c r="O4476" s="24"/>
    </row>
    <row r="4477" spans="1:15" hidden="1" x14ac:dyDescent="0.3">
      <c r="A4477" s="24">
        <v>34</v>
      </c>
      <c r="B4477" s="20" t="str">
        <f t="shared" si="138"/>
        <v>AUG</v>
      </c>
      <c r="C4477" s="21">
        <v>46257</v>
      </c>
      <c r="D4477" s="22" t="str">
        <f>IFERROR(INDEX('Kode Outlet dan Target Toko'!$A:$A,MATCH($I4477,'Kode Outlet dan Target Toko'!$E:$E,0)),"")</f>
        <v>GRSM 4</v>
      </c>
      <c r="E4477" s="20" t="str">
        <f>IFERROR(VLOOKUP(I4477,KET!$B:$F,4,0),"")</f>
        <v>FAHMI LUKMANUL HAKIM</v>
      </c>
      <c r="F4477" s="20" t="str">
        <f>IFERROR(VLOOKUP($I4477,KET!$B:$F,5,0),"")</f>
        <v>GMM</v>
      </c>
      <c r="G4477" s="20">
        <f>IFERROR(INDEX('Kode Outlet dan Target Toko'!$C:$C,MATCH($I4477,'Kode Outlet dan Target Toko'!$E:$E,0)),0)</f>
        <v>103712</v>
      </c>
      <c r="H4477" s="20">
        <f>IFERROR(INDEX('Kode Outlet dan Target Toko'!$D:$D,MATCH($I4477,'Kode Outlet dan Target Toko'!$E:$E,0)),0)</f>
        <v>4404677</v>
      </c>
      <c r="I4477" s="41" t="s">
        <v>99</v>
      </c>
      <c r="J4477" s="45" t="s">
        <v>179</v>
      </c>
      <c r="K4477" s="53" t="s">
        <v>13</v>
      </c>
      <c r="L4477" s="23">
        <v>3000</v>
      </c>
      <c r="M4477" s="24">
        <v>24</v>
      </c>
      <c r="N4477" s="25">
        <f t="shared" si="139"/>
        <v>72000</v>
      </c>
      <c r="O4477" s="24"/>
    </row>
    <row r="4478" spans="1:15" hidden="1" x14ac:dyDescent="0.3">
      <c r="A4478" s="24">
        <v>34</v>
      </c>
      <c r="B4478" s="20" t="str">
        <f t="shared" si="138"/>
        <v>AUG</v>
      </c>
      <c r="C4478" s="21">
        <v>46257</v>
      </c>
      <c r="D4478" s="22" t="str">
        <f>IFERROR(INDEX('Kode Outlet dan Target Toko'!$A:$A,MATCH($I4478,'Kode Outlet dan Target Toko'!$E:$E,0)),"")</f>
        <v>GRSM 4</v>
      </c>
      <c r="E4478" s="20" t="str">
        <f>IFERROR(VLOOKUP(I4478,KET!$B:$F,4,0),"")</f>
        <v>FAHMI LUKMANUL HAKIM</v>
      </c>
      <c r="F4478" s="20" t="str">
        <f>IFERROR(VLOOKUP($I4478,KET!$B:$F,5,0),"")</f>
        <v>GMM</v>
      </c>
      <c r="G4478" s="20">
        <f>IFERROR(INDEX('Kode Outlet dan Target Toko'!$C:$C,MATCH($I4478,'Kode Outlet dan Target Toko'!$E:$E,0)),0)</f>
        <v>103712</v>
      </c>
      <c r="H4478" s="20">
        <f>IFERROR(INDEX('Kode Outlet dan Target Toko'!$D:$D,MATCH($I4478,'Kode Outlet dan Target Toko'!$E:$E,0)),0)</f>
        <v>4404677</v>
      </c>
      <c r="I4478" s="41" t="s">
        <v>99</v>
      </c>
      <c r="J4478" s="45" t="s">
        <v>179</v>
      </c>
      <c r="K4478" s="53" t="s">
        <v>16</v>
      </c>
      <c r="L4478" s="23">
        <v>3000</v>
      </c>
      <c r="M4478" s="24">
        <v>122</v>
      </c>
      <c r="N4478" s="25">
        <f t="shared" si="139"/>
        <v>366000</v>
      </c>
      <c r="O4478" s="24">
        <v>160</v>
      </c>
    </row>
    <row r="4479" spans="1:15" hidden="1" x14ac:dyDescent="0.3">
      <c r="A4479" s="24">
        <v>34</v>
      </c>
      <c r="B4479" s="20" t="str">
        <f t="shared" si="138"/>
        <v>AUG</v>
      </c>
      <c r="C4479" s="21">
        <v>46257</v>
      </c>
      <c r="D4479" s="22" t="str">
        <f>IFERROR(INDEX('Kode Outlet dan Target Toko'!$A:$A,MATCH($I4479,'Kode Outlet dan Target Toko'!$E:$E,0)),"")</f>
        <v>GRSM 4</v>
      </c>
      <c r="E4479" s="20" t="str">
        <f>IFERROR(VLOOKUP(I4479,KET!$B:$F,4,0),"")</f>
        <v>FAHMI LUKMANUL HAKIM</v>
      </c>
      <c r="F4479" s="20" t="str">
        <f>IFERROR(VLOOKUP($I4479,KET!$B:$F,5,0),"")</f>
        <v>GMM</v>
      </c>
      <c r="G4479" s="20">
        <f>IFERROR(INDEX('Kode Outlet dan Target Toko'!$C:$C,MATCH($I4479,'Kode Outlet dan Target Toko'!$E:$E,0)),0)</f>
        <v>103257</v>
      </c>
      <c r="H4479" s="20">
        <f>IFERROR(INDEX('Kode Outlet dan Target Toko'!$D:$D,MATCH($I4479,'Kode Outlet dan Target Toko'!$E:$E,0)),0)</f>
        <v>9162509</v>
      </c>
      <c r="I4479" s="41" t="s">
        <v>57</v>
      </c>
      <c r="J4479" s="45" t="s">
        <v>192</v>
      </c>
      <c r="K4479" s="53" t="s">
        <v>15</v>
      </c>
      <c r="L4479" s="23">
        <v>3100</v>
      </c>
      <c r="M4479" s="24">
        <v>57</v>
      </c>
      <c r="N4479" s="25">
        <f t="shared" si="139"/>
        <v>176700</v>
      </c>
      <c r="O4479" s="24"/>
    </row>
    <row r="4480" spans="1:15" hidden="1" x14ac:dyDescent="0.3">
      <c r="A4480" s="24">
        <v>34</v>
      </c>
      <c r="B4480" s="20" t="str">
        <f t="shared" si="138"/>
        <v>AUG</v>
      </c>
      <c r="C4480" s="21">
        <v>46257</v>
      </c>
      <c r="D4480" s="22" t="str">
        <f>IFERROR(INDEX('Kode Outlet dan Target Toko'!$A:$A,MATCH($I4480,'Kode Outlet dan Target Toko'!$E:$E,0)),"")</f>
        <v>GRSM 4</v>
      </c>
      <c r="E4480" s="20" t="str">
        <f>IFERROR(VLOOKUP(I4480,KET!$B:$F,4,0),"")</f>
        <v>FAHMI LUKMANUL HAKIM</v>
      </c>
      <c r="F4480" s="20" t="str">
        <f>IFERROR(VLOOKUP($I4480,KET!$B:$F,5,0),"")</f>
        <v>GMM</v>
      </c>
      <c r="G4480" s="20">
        <f>IFERROR(INDEX('Kode Outlet dan Target Toko'!$C:$C,MATCH($I4480,'Kode Outlet dan Target Toko'!$E:$E,0)),0)</f>
        <v>103257</v>
      </c>
      <c r="H4480" s="20">
        <f>IFERROR(INDEX('Kode Outlet dan Target Toko'!$D:$D,MATCH($I4480,'Kode Outlet dan Target Toko'!$E:$E,0)),0)</f>
        <v>9162509</v>
      </c>
      <c r="I4480" s="41" t="s">
        <v>57</v>
      </c>
      <c r="J4480" s="45" t="s">
        <v>192</v>
      </c>
      <c r="K4480" s="53" t="s">
        <v>14</v>
      </c>
      <c r="L4480" s="23">
        <v>3100</v>
      </c>
      <c r="M4480" s="24">
        <v>34</v>
      </c>
      <c r="N4480" s="25">
        <f t="shared" si="139"/>
        <v>105400</v>
      </c>
      <c r="O4480" s="24"/>
    </row>
    <row r="4481" spans="1:15" hidden="1" x14ac:dyDescent="0.3">
      <c r="A4481" s="24">
        <v>34</v>
      </c>
      <c r="B4481" s="20" t="str">
        <f t="shared" si="138"/>
        <v>AUG</v>
      </c>
      <c r="C4481" s="21">
        <v>46257</v>
      </c>
      <c r="D4481" s="22" t="str">
        <f>IFERROR(INDEX('Kode Outlet dan Target Toko'!$A:$A,MATCH($I4481,'Kode Outlet dan Target Toko'!$E:$E,0)),"")</f>
        <v>GRSM 4</v>
      </c>
      <c r="E4481" s="20" t="str">
        <f>IFERROR(VLOOKUP(I4481,KET!$B:$F,4,0),"")</f>
        <v>FAHMI LUKMANUL HAKIM</v>
      </c>
      <c r="F4481" s="20" t="str">
        <f>IFERROR(VLOOKUP($I4481,KET!$B:$F,5,0),"")</f>
        <v>GMM</v>
      </c>
      <c r="G4481" s="20">
        <f>IFERROR(INDEX('Kode Outlet dan Target Toko'!$C:$C,MATCH($I4481,'Kode Outlet dan Target Toko'!$E:$E,0)),0)</f>
        <v>103257</v>
      </c>
      <c r="H4481" s="20">
        <f>IFERROR(INDEX('Kode Outlet dan Target Toko'!$D:$D,MATCH($I4481,'Kode Outlet dan Target Toko'!$E:$E,0)),0)</f>
        <v>9162509</v>
      </c>
      <c r="I4481" s="41" t="s">
        <v>57</v>
      </c>
      <c r="J4481" s="45" t="s">
        <v>192</v>
      </c>
      <c r="K4481" s="53" t="s">
        <v>13</v>
      </c>
      <c r="L4481" s="23">
        <v>3100</v>
      </c>
      <c r="M4481" s="24">
        <v>0</v>
      </c>
      <c r="N4481" s="25">
        <f t="shared" si="139"/>
        <v>0</v>
      </c>
      <c r="O4481" s="24"/>
    </row>
    <row r="4482" spans="1:15" hidden="1" x14ac:dyDescent="0.3">
      <c r="A4482" s="24">
        <v>34</v>
      </c>
      <c r="B4482" s="20" t="str">
        <f t="shared" si="138"/>
        <v>AUG</v>
      </c>
      <c r="C4482" s="21">
        <v>46257</v>
      </c>
      <c r="D4482" s="22" t="str">
        <f>IFERROR(INDEX('Kode Outlet dan Target Toko'!$A:$A,MATCH($I4482,'Kode Outlet dan Target Toko'!$E:$E,0)),"")</f>
        <v>GRSM 4</v>
      </c>
      <c r="E4482" s="20" t="str">
        <f>IFERROR(VLOOKUP(I4482,KET!$B:$F,4,0),"")</f>
        <v>FAHMI LUKMANUL HAKIM</v>
      </c>
      <c r="F4482" s="20" t="str">
        <f>IFERROR(VLOOKUP($I4482,KET!$B:$F,5,0),"")</f>
        <v>GMM</v>
      </c>
      <c r="G4482" s="20">
        <f>IFERROR(INDEX('Kode Outlet dan Target Toko'!$C:$C,MATCH($I4482,'Kode Outlet dan Target Toko'!$E:$E,0)),0)</f>
        <v>103257</v>
      </c>
      <c r="H4482" s="20">
        <f>IFERROR(INDEX('Kode Outlet dan Target Toko'!$D:$D,MATCH($I4482,'Kode Outlet dan Target Toko'!$E:$E,0)),0)</f>
        <v>9162509</v>
      </c>
      <c r="I4482" s="41" t="s">
        <v>57</v>
      </c>
      <c r="J4482" s="45" t="s">
        <v>192</v>
      </c>
      <c r="K4482" s="53" t="s">
        <v>16</v>
      </c>
      <c r="L4482" s="23">
        <v>3100</v>
      </c>
      <c r="M4482" s="24">
        <v>81</v>
      </c>
      <c r="N4482" s="25">
        <f t="shared" si="139"/>
        <v>251100</v>
      </c>
      <c r="O4482" s="24">
        <v>160</v>
      </c>
    </row>
    <row r="4483" spans="1:15" hidden="1" x14ac:dyDescent="0.3">
      <c r="A4483" s="24">
        <v>34</v>
      </c>
      <c r="B4483" s="20" t="str">
        <f t="shared" si="138"/>
        <v>AUG</v>
      </c>
      <c r="C4483" s="21">
        <v>46257</v>
      </c>
      <c r="D4483" s="22" t="str">
        <f>IFERROR(INDEX('Kode Outlet dan Target Toko'!$A:$A,MATCH($I4483,'Kode Outlet dan Target Toko'!$E:$E,0)),"")</f>
        <v>GRSM 4</v>
      </c>
      <c r="E4483" s="20" t="str">
        <f>IFERROR(VLOOKUP(I4483,KET!$B:$F,4,0),"")</f>
        <v>FAHMI LUKMANUL HAKIM</v>
      </c>
      <c r="F4483" s="20" t="str">
        <f>IFERROR(VLOOKUP($I4483,KET!$B:$F,5,0),"")</f>
        <v>GMM</v>
      </c>
      <c r="G4483" s="20">
        <f>IFERROR(INDEX('Kode Outlet dan Target Toko'!$C:$C,MATCH($I4483,'Kode Outlet dan Target Toko'!$E:$E,0)),0)</f>
        <v>103259</v>
      </c>
      <c r="H4483" s="20">
        <f>IFERROR(INDEX('Kode Outlet dan Target Toko'!$D:$D,MATCH($I4483,'Kode Outlet dan Target Toko'!$E:$E,0)),0)</f>
        <v>9006219</v>
      </c>
      <c r="I4483" s="41" t="s">
        <v>96</v>
      </c>
      <c r="J4483" s="45" t="s">
        <v>198</v>
      </c>
      <c r="K4483" s="53" t="s">
        <v>15</v>
      </c>
      <c r="L4483" s="23">
        <v>2000</v>
      </c>
      <c r="M4483" s="24">
        <v>24</v>
      </c>
      <c r="N4483" s="25">
        <f t="shared" si="139"/>
        <v>48000</v>
      </c>
      <c r="O4483" s="24"/>
    </row>
    <row r="4484" spans="1:15" hidden="1" x14ac:dyDescent="0.3">
      <c r="A4484" s="24">
        <v>34</v>
      </c>
      <c r="B4484" s="20" t="str">
        <f t="shared" si="138"/>
        <v>AUG</v>
      </c>
      <c r="C4484" s="21">
        <v>46257</v>
      </c>
      <c r="D4484" s="22" t="str">
        <f>IFERROR(INDEX('Kode Outlet dan Target Toko'!$A:$A,MATCH($I4484,'Kode Outlet dan Target Toko'!$E:$E,0)),"")</f>
        <v>GRSM 4</v>
      </c>
      <c r="E4484" s="20" t="str">
        <f>IFERROR(VLOOKUP(I4484,KET!$B:$F,4,0),"")</f>
        <v>FAHMI LUKMANUL HAKIM</v>
      </c>
      <c r="F4484" s="20" t="str">
        <f>IFERROR(VLOOKUP($I4484,KET!$B:$F,5,0),"")</f>
        <v>GMM</v>
      </c>
      <c r="G4484" s="20">
        <f>IFERROR(INDEX('Kode Outlet dan Target Toko'!$C:$C,MATCH($I4484,'Kode Outlet dan Target Toko'!$E:$E,0)),0)</f>
        <v>103259</v>
      </c>
      <c r="H4484" s="20">
        <f>IFERROR(INDEX('Kode Outlet dan Target Toko'!$D:$D,MATCH($I4484,'Kode Outlet dan Target Toko'!$E:$E,0)),0)</f>
        <v>9006219</v>
      </c>
      <c r="I4484" s="41" t="s">
        <v>96</v>
      </c>
      <c r="J4484" s="45" t="s">
        <v>198</v>
      </c>
      <c r="K4484" s="53" t="s">
        <v>14</v>
      </c>
      <c r="L4484" s="23">
        <v>2000</v>
      </c>
      <c r="M4484" s="24">
        <v>38</v>
      </c>
      <c r="N4484" s="25">
        <f t="shared" si="139"/>
        <v>76000</v>
      </c>
      <c r="O4484" s="24"/>
    </row>
    <row r="4485" spans="1:15" hidden="1" x14ac:dyDescent="0.3">
      <c r="A4485" s="24">
        <v>34</v>
      </c>
      <c r="B4485" s="20" t="str">
        <f t="shared" si="138"/>
        <v>AUG</v>
      </c>
      <c r="C4485" s="21">
        <v>46257</v>
      </c>
      <c r="D4485" s="22" t="str">
        <f>IFERROR(INDEX('Kode Outlet dan Target Toko'!$A:$A,MATCH($I4485,'Kode Outlet dan Target Toko'!$E:$E,0)),"")</f>
        <v>GRSM 4</v>
      </c>
      <c r="E4485" s="20" t="str">
        <f>IFERROR(VLOOKUP(I4485,KET!$B:$F,4,0),"")</f>
        <v>FAHMI LUKMANUL HAKIM</v>
      </c>
      <c r="F4485" s="20" t="str">
        <f>IFERROR(VLOOKUP($I4485,KET!$B:$F,5,0),"")</f>
        <v>GMM</v>
      </c>
      <c r="G4485" s="20">
        <f>IFERROR(INDEX('Kode Outlet dan Target Toko'!$C:$C,MATCH($I4485,'Kode Outlet dan Target Toko'!$E:$E,0)),0)</f>
        <v>103259</v>
      </c>
      <c r="H4485" s="20">
        <f>IFERROR(INDEX('Kode Outlet dan Target Toko'!$D:$D,MATCH($I4485,'Kode Outlet dan Target Toko'!$E:$E,0)),0)</f>
        <v>9006219</v>
      </c>
      <c r="I4485" s="41" t="s">
        <v>96</v>
      </c>
      <c r="J4485" s="45" t="s">
        <v>198</v>
      </c>
      <c r="K4485" s="53" t="s">
        <v>13</v>
      </c>
      <c r="L4485" s="23">
        <v>2000</v>
      </c>
      <c r="M4485" s="24">
        <v>56</v>
      </c>
      <c r="N4485" s="25">
        <f t="shared" si="139"/>
        <v>112000</v>
      </c>
      <c r="O4485" s="24"/>
    </row>
    <row r="4486" spans="1:15" hidden="1" x14ac:dyDescent="0.3">
      <c r="A4486" s="24">
        <v>34</v>
      </c>
      <c r="B4486" s="20" t="str">
        <f t="shared" si="138"/>
        <v>AUG</v>
      </c>
      <c r="C4486" s="21">
        <v>46257</v>
      </c>
      <c r="D4486" s="22" t="str">
        <f>IFERROR(INDEX('Kode Outlet dan Target Toko'!$A:$A,MATCH($I4486,'Kode Outlet dan Target Toko'!$E:$E,0)),"")</f>
        <v>GRSM 4</v>
      </c>
      <c r="E4486" s="20" t="str">
        <f>IFERROR(VLOOKUP(I4486,KET!$B:$F,4,0),"")</f>
        <v>FAHMI LUKMANUL HAKIM</v>
      </c>
      <c r="F4486" s="20" t="str">
        <f>IFERROR(VLOOKUP($I4486,KET!$B:$F,5,0),"")</f>
        <v>GMM</v>
      </c>
      <c r="G4486" s="20">
        <f>IFERROR(INDEX('Kode Outlet dan Target Toko'!$C:$C,MATCH($I4486,'Kode Outlet dan Target Toko'!$E:$E,0)),0)</f>
        <v>103259</v>
      </c>
      <c r="H4486" s="20">
        <f>IFERROR(INDEX('Kode Outlet dan Target Toko'!$D:$D,MATCH($I4486,'Kode Outlet dan Target Toko'!$E:$E,0)),0)</f>
        <v>9006219</v>
      </c>
      <c r="I4486" s="41" t="s">
        <v>96</v>
      </c>
      <c r="J4486" s="45" t="s">
        <v>198</v>
      </c>
      <c r="K4486" s="53" t="s">
        <v>16</v>
      </c>
      <c r="L4486" s="23">
        <v>2000</v>
      </c>
      <c r="M4486" s="24">
        <v>107</v>
      </c>
      <c r="N4486" s="25">
        <f t="shared" si="139"/>
        <v>214000</v>
      </c>
      <c r="O4486" s="24">
        <v>160</v>
      </c>
    </row>
    <row r="4487" spans="1:15" hidden="1" x14ac:dyDescent="0.3">
      <c r="A4487" s="24">
        <v>34</v>
      </c>
      <c r="B4487" s="20" t="str">
        <f t="shared" ref="B4487:B4550" si="140">IF(C4487="","",UPPER(TEXT(C4487, "MMM")))</f>
        <v>AUG</v>
      </c>
      <c r="C4487" s="21">
        <v>46257</v>
      </c>
      <c r="D4487" s="22" t="str">
        <f>IFERROR(INDEX('Kode Outlet dan Target Toko'!$A:$A,MATCH($I4487,'Kode Outlet dan Target Toko'!$E:$E,0)),"")</f>
        <v>GRSM 4</v>
      </c>
      <c r="E4487" s="20" t="str">
        <f>IFERROR(VLOOKUP(I4487,KET!$B:$F,4,0),"")</f>
        <v>FAHMI LUKMANUL HAKIM</v>
      </c>
      <c r="F4487" s="20" t="str">
        <f>IFERROR(VLOOKUP($I4487,KET!$B:$F,5,0),"")</f>
        <v>GMM</v>
      </c>
      <c r="G4487" s="20">
        <f>IFERROR(INDEX('Kode Outlet dan Target Toko'!$C:$C,MATCH($I4487,'Kode Outlet dan Target Toko'!$E:$E,0)),0)</f>
        <v>103259</v>
      </c>
      <c r="H4487" s="20">
        <f>IFERROR(INDEX('Kode Outlet dan Target Toko'!$D:$D,MATCH($I4487,'Kode Outlet dan Target Toko'!$E:$E,0)),0)</f>
        <v>9006219</v>
      </c>
      <c r="I4487" s="41" t="s">
        <v>96</v>
      </c>
      <c r="J4487" s="45" t="s">
        <v>199</v>
      </c>
      <c r="K4487" s="53" t="s">
        <v>15</v>
      </c>
      <c r="L4487" s="23">
        <v>2000</v>
      </c>
      <c r="M4487" s="24">
        <v>24</v>
      </c>
      <c r="N4487" s="25">
        <f t="shared" ref="N4487:N4550" si="141">IFERROR(M4487*L4487,"")</f>
        <v>48000</v>
      </c>
      <c r="O4487" s="24"/>
    </row>
    <row r="4488" spans="1:15" hidden="1" x14ac:dyDescent="0.3">
      <c r="A4488" s="24">
        <v>34</v>
      </c>
      <c r="B4488" s="20" t="str">
        <f t="shared" si="140"/>
        <v>AUG</v>
      </c>
      <c r="C4488" s="21">
        <v>46257</v>
      </c>
      <c r="D4488" s="22" t="str">
        <f>IFERROR(INDEX('Kode Outlet dan Target Toko'!$A:$A,MATCH($I4488,'Kode Outlet dan Target Toko'!$E:$E,0)),"")</f>
        <v>GRSM 4</v>
      </c>
      <c r="E4488" s="20" t="str">
        <f>IFERROR(VLOOKUP(I4488,KET!$B:$F,4,0),"")</f>
        <v>FAHMI LUKMANUL HAKIM</v>
      </c>
      <c r="F4488" s="20" t="str">
        <f>IFERROR(VLOOKUP($I4488,KET!$B:$F,5,0),"")</f>
        <v>GMM</v>
      </c>
      <c r="G4488" s="20">
        <f>IFERROR(INDEX('Kode Outlet dan Target Toko'!$C:$C,MATCH($I4488,'Kode Outlet dan Target Toko'!$E:$E,0)),0)</f>
        <v>103259</v>
      </c>
      <c r="H4488" s="20">
        <f>IFERROR(INDEX('Kode Outlet dan Target Toko'!$D:$D,MATCH($I4488,'Kode Outlet dan Target Toko'!$E:$E,0)),0)</f>
        <v>9006219</v>
      </c>
      <c r="I4488" s="41" t="s">
        <v>96</v>
      </c>
      <c r="J4488" s="45" t="s">
        <v>199</v>
      </c>
      <c r="K4488" s="53" t="s">
        <v>14</v>
      </c>
      <c r="L4488" s="23">
        <v>2000</v>
      </c>
      <c r="M4488" s="24">
        <v>38</v>
      </c>
      <c r="N4488" s="25">
        <f t="shared" si="141"/>
        <v>76000</v>
      </c>
      <c r="O4488" s="24"/>
    </row>
    <row r="4489" spans="1:15" hidden="1" x14ac:dyDescent="0.3">
      <c r="A4489" s="24">
        <v>34</v>
      </c>
      <c r="B4489" s="20" t="str">
        <f t="shared" si="140"/>
        <v>AUG</v>
      </c>
      <c r="C4489" s="21">
        <v>46257</v>
      </c>
      <c r="D4489" s="22" t="str">
        <f>IFERROR(INDEX('Kode Outlet dan Target Toko'!$A:$A,MATCH($I4489,'Kode Outlet dan Target Toko'!$E:$E,0)),"")</f>
        <v>GRSM 4</v>
      </c>
      <c r="E4489" s="20" t="str">
        <f>IFERROR(VLOOKUP(I4489,KET!$B:$F,4,0),"")</f>
        <v>FAHMI LUKMANUL HAKIM</v>
      </c>
      <c r="F4489" s="20" t="str">
        <f>IFERROR(VLOOKUP($I4489,KET!$B:$F,5,0),"")</f>
        <v>GMM</v>
      </c>
      <c r="G4489" s="20">
        <f>IFERROR(INDEX('Kode Outlet dan Target Toko'!$C:$C,MATCH($I4489,'Kode Outlet dan Target Toko'!$E:$E,0)),0)</f>
        <v>103259</v>
      </c>
      <c r="H4489" s="20">
        <f>IFERROR(INDEX('Kode Outlet dan Target Toko'!$D:$D,MATCH($I4489,'Kode Outlet dan Target Toko'!$E:$E,0)),0)</f>
        <v>9006219</v>
      </c>
      <c r="I4489" s="41" t="s">
        <v>96</v>
      </c>
      <c r="J4489" s="45" t="s">
        <v>199</v>
      </c>
      <c r="K4489" s="53" t="s">
        <v>13</v>
      </c>
      <c r="L4489" s="23">
        <v>2000</v>
      </c>
      <c r="M4489" s="24">
        <v>56</v>
      </c>
      <c r="N4489" s="25">
        <f t="shared" si="141"/>
        <v>112000</v>
      </c>
      <c r="O4489" s="24"/>
    </row>
    <row r="4490" spans="1:15" hidden="1" x14ac:dyDescent="0.3">
      <c r="A4490" s="24">
        <v>34</v>
      </c>
      <c r="B4490" s="20" t="str">
        <f t="shared" si="140"/>
        <v>AUG</v>
      </c>
      <c r="C4490" s="21">
        <v>46257</v>
      </c>
      <c r="D4490" s="22" t="str">
        <f>IFERROR(INDEX('Kode Outlet dan Target Toko'!$A:$A,MATCH($I4490,'Kode Outlet dan Target Toko'!$E:$E,0)),"")</f>
        <v>GRSM 4</v>
      </c>
      <c r="E4490" s="20" t="str">
        <f>IFERROR(VLOOKUP(I4490,KET!$B:$F,4,0),"")</f>
        <v>FAHMI LUKMANUL HAKIM</v>
      </c>
      <c r="F4490" s="20" t="str">
        <f>IFERROR(VLOOKUP($I4490,KET!$B:$F,5,0),"")</f>
        <v>GMM</v>
      </c>
      <c r="G4490" s="20">
        <f>IFERROR(INDEX('Kode Outlet dan Target Toko'!$C:$C,MATCH($I4490,'Kode Outlet dan Target Toko'!$E:$E,0)),0)</f>
        <v>103259</v>
      </c>
      <c r="H4490" s="20">
        <f>IFERROR(INDEX('Kode Outlet dan Target Toko'!$D:$D,MATCH($I4490,'Kode Outlet dan Target Toko'!$E:$E,0)),0)</f>
        <v>9006219</v>
      </c>
      <c r="I4490" s="41" t="s">
        <v>96</v>
      </c>
      <c r="J4490" s="45" t="s">
        <v>199</v>
      </c>
      <c r="K4490" s="53" t="s">
        <v>16</v>
      </c>
      <c r="L4490" s="23">
        <v>2000</v>
      </c>
      <c r="M4490" s="24">
        <v>107</v>
      </c>
      <c r="N4490" s="25">
        <f t="shared" si="141"/>
        <v>214000</v>
      </c>
      <c r="O4490" s="24">
        <v>160</v>
      </c>
    </row>
    <row r="4491" spans="1:15" x14ac:dyDescent="0.3">
      <c r="A4491" s="24">
        <v>34</v>
      </c>
      <c r="B4491" s="20" t="str">
        <f t="shared" si="140"/>
        <v>AUG</v>
      </c>
      <c r="C4491" s="21">
        <v>46257</v>
      </c>
      <c r="D4491" s="22" t="str">
        <f>IFERROR(INDEX('Kode Outlet dan Target Toko'!$A:$A,MATCH($I4491,'Kode Outlet dan Target Toko'!$E:$E,0)),"")</f>
        <v>GRSM 4</v>
      </c>
      <c r="E4491" s="20" t="str">
        <f>IFERROR(VLOOKUP(I4491,KET!$B:$F,4,0),"")</f>
        <v>FAHMI LUKMANUL HAKIM</v>
      </c>
      <c r="F4491" s="20" t="str">
        <f>IFERROR(VLOOKUP($I4491,KET!$B:$F,5,0),"")</f>
        <v>GMM</v>
      </c>
      <c r="G4491" s="20">
        <f>IFERROR(INDEX('Kode Outlet dan Target Toko'!$C:$C,MATCH($I4491,'Kode Outlet dan Target Toko'!$E:$E,0)),0)</f>
        <v>103258</v>
      </c>
      <c r="H4491" s="20">
        <f>IFERROR(INDEX('Kode Outlet dan Target Toko'!$D:$D,MATCH($I4491,'Kode Outlet dan Target Toko'!$E:$E,0)),0)</f>
        <v>9201924</v>
      </c>
      <c r="I4491" s="41" t="s">
        <v>95</v>
      </c>
      <c r="J4491" s="45" t="s">
        <v>253</v>
      </c>
      <c r="K4491" s="53" t="s">
        <v>15</v>
      </c>
      <c r="L4491" s="23">
        <v>2000</v>
      </c>
      <c r="M4491" s="24">
        <v>39</v>
      </c>
      <c r="N4491" s="25">
        <f t="shared" si="141"/>
        <v>78000</v>
      </c>
      <c r="O4491" s="24"/>
    </row>
    <row r="4492" spans="1:15" x14ac:dyDescent="0.3">
      <c r="A4492" s="24">
        <v>34</v>
      </c>
      <c r="B4492" s="20" t="str">
        <f t="shared" si="140"/>
        <v>AUG</v>
      </c>
      <c r="C4492" s="21">
        <v>46257</v>
      </c>
      <c r="D4492" s="22" t="str">
        <f>IFERROR(INDEX('Kode Outlet dan Target Toko'!$A:$A,MATCH($I4492,'Kode Outlet dan Target Toko'!$E:$E,0)),"")</f>
        <v>GRSM 4</v>
      </c>
      <c r="E4492" s="20" t="str">
        <f>IFERROR(VLOOKUP(I4492,KET!$B:$F,4,0),"")</f>
        <v>FAHMI LUKMANUL HAKIM</v>
      </c>
      <c r="F4492" s="20" t="str">
        <f>IFERROR(VLOOKUP($I4492,KET!$B:$F,5,0),"")</f>
        <v>GMM</v>
      </c>
      <c r="G4492" s="20">
        <f>IFERROR(INDEX('Kode Outlet dan Target Toko'!$C:$C,MATCH($I4492,'Kode Outlet dan Target Toko'!$E:$E,0)),0)</f>
        <v>103258</v>
      </c>
      <c r="H4492" s="20">
        <f>IFERROR(INDEX('Kode Outlet dan Target Toko'!$D:$D,MATCH($I4492,'Kode Outlet dan Target Toko'!$E:$E,0)),0)</f>
        <v>9201924</v>
      </c>
      <c r="I4492" s="41" t="s">
        <v>95</v>
      </c>
      <c r="J4492" s="45" t="s">
        <v>253</v>
      </c>
      <c r="K4492" s="53" t="s">
        <v>14</v>
      </c>
      <c r="L4492" s="23">
        <v>2000</v>
      </c>
      <c r="M4492" s="24">
        <v>57</v>
      </c>
      <c r="N4492" s="25">
        <f t="shared" si="141"/>
        <v>114000</v>
      </c>
      <c r="O4492" s="24"/>
    </row>
    <row r="4493" spans="1:15" x14ac:dyDescent="0.3">
      <c r="A4493" s="24">
        <v>34</v>
      </c>
      <c r="B4493" s="20" t="str">
        <f t="shared" si="140"/>
        <v>AUG</v>
      </c>
      <c r="C4493" s="21">
        <v>46257</v>
      </c>
      <c r="D4493" s="22" t="str">
        <f>IFERROR(INDEX('Kode Outlet dan Target Toko'!$A:$A,MATCH($I4493,'Kode Outlet dan Target Toko'!$E:$E,0)),"")</f>
        <v>GRSM 4</v>
      </c>
      <c r="E4493" s="20" t="str">
        <f>IFERROR(VLOOKUP(I4493,KET!$B:$F,4,0),"")</f>
        <v>FAHMI LUKMANUL HAKIM</v>
      </c>
      <c r="F4493" s="20" t="str">
        <f>IFERROR(VLOOKUP($I4493,KET!$B:$F,5,0),"")</f>
        <v>GMM</v>
      </c>
      <c r="G4493" s="20">
        <f>IFERROR(INDEX('Kode Outlet dan Target Toko'!$C:$C,MATCH($I4493,'Kode Outlet dan Target Toko'!$E:$E,0)),0)</f>
        <v>103258</v>
      </c>
      <c r="H4493" s="20">
        <f>IFERROR(INDEX('Kode Outlet dan Target Toko'!$D:$D,MATCH($I4493,'Kode Outlet dan Target Toko'!$E:$E,0)),0)</f>
        <v>9201924</v>
      </c>
      <c r="I4493" s="41" t="s">
        <v>95</v>
      </c>
      <c r="J4493" s="45" t="s">
        <v>253</v>
      </c>
      <c r="K4493" s="53" t="s">
        <v>13</v>
      </c>
      <c r="L4493" s="23">
        <v>2000</v>
      </c>
      <c r="M4493" s="24">
        <v>0</v>
      </c>
      <c r="N4493" s="25">
        <f t="shared" si="141"/>
        <v>0</v>
      </c>
      <c r="O4493" s="24"/>
    </row>
    <row r="4494" spans="1:15" x14ac:dyDescent="0.3">
      <c r="A4494" s="24">
        <v>34</v>
      </c>
      <c r="B4494" s="20" t="str">
        <f t="shared" si="140"/>
        <v>AUG</v>
      </c>
      <c r="C4494" s="21">
        <v>46257</v>
      </c>
      <c r="D4494" s="22" t="str">
        <f>IFERROR(INDEX('Kode Outlet dan Target Toko'!$A:$A,MATCH($I4494,'Kode Outlet dan Target Toko'!$E:$E,0)),"")</f>
        <v>GRSM 4</v>
      </c>
      <c r="E4494" s="20" t="str">
        <f>IFERROR(VLOOKUP(I4494,KET!$B:$F,4,0),"")</f>
        <v>FAHMI LUKMANUL HAKIM</v>
      </c>
      <c r="F4494" s="20" t="str">
        <f>IFERROR(VLOOKUP($I4494,KET!$B:$F,5,0),"")</f>
        <v>GMM</v>
      </c>
      <c r="G4494" s="20">
        <f>IFERROR(INDEX('Kode Outlet dan Target Toko'!$C:$C,MATCH($I4494,'Kode Outlet dan Target Toko'!$E:$E,0)),0)</f>
        <v>103258</v>
      </c>
      <c r="H4494" s="20">
        <f>IFERROR(INDEX('Kode Outlet dan Target Toko'!$D:$D,MATCH($I4494,'Kode Outlet dan Target Toko'!$E:$E,0)),0)</f>
        <v>9201924</v>
      </c>
      <c r="I4494" s="41" t="s">
        <v>95</v>
      </c>
      <c r="J4494" s="45" t="s">
        <v>253</v>
      </c>
      <c r="K4494" s="53" t="s">
        <v>16</v>
      </c>
      <c r="L4494" s="23">
        <v>2000</v>
      </c>
      <c r="M4494" s="24">
        <v>90</v>
      </c>
      <c r="N4494" s="25">
        <f t="shared" si="141"/>
        <v>180000</v>
      </c>
      <c r="O4494" s="24">
        <v>160</v>
      </c>
    </row>
    <row r="4495" spans="1:15" hidden="1" x14ac:dyDescent="0.3">
      <c r="A4495" s="24">
        <v>34</v>
      </c>
      <c r="B4495" s="20" t="str">
        <f t="shared" si="140"/>
        <v>AUG</v>
      </c>
      <c r="C4495" s="21">
        <v>46257</v>
      </c>
      <c r="D4495" s="22" t="str">
        <f>IFERROR(INDEX('Kode Outlet dan Target Toko'!$A:$A,MATCH($I4495,'Kode Outlet dan Target Toko'!$E:$E,0)),"")</f>
        <v>GRSM 4</v>
      </c>
      <c r="E4495" s="20" t="str">
        <f>IFERROR(VLOOKUP(I4495,KET!$B:$F,4,0),"")</f>
        <v>FAHMI LUKMANUL HAKIM</v>
      </c>
      <c r="F4495" s="20" t="str">
        <f>IFERROR(VLOOKUP($I4495,KET!$B:$F,5,0),"")</f>
        <v>GMM</v>
      </c>
      <c r="G4495" s="20">
        <f>IFERROR(INDEX('Kode Outlet dan Target Toko'!$C:$C,MATCH($I4495,'Kode Outlet dan Target Toko'!$E:$E,0)),0)</f>
        <v>103258</v>
      </c>
      <c r="H4495" s="20">
        <f>IFERROR(INDEX('Kode Outlet dan Target Toko'!$D:$D,MATCH($I4495,'Kode Outlet dan Target Toko'!$E:$E,0)),0)</f>
        <v>9201924</v>
      </c>
      <c r="I4495" s="41" t="s">
        <v>95</v>
      </c>
      <c r="J4495" s="45" t="s">
        <v>200</v>
      </c>
      <c r="K4495" s="53" t="s">
        <v>15</v>
      </c>
      <c r="L4495" s="23">
        <v>2000</v>
      </c>
      <c r="M4495" s="24">
        <v>39</v>
      </c>
      <c r="N4495" s="25">
        <f t="shared" si="141"/>
        <v>78000</v>
      </c>
      <c r="O4495" s="24"/>
    </row>
    <row r="4496" spans="1:15" hidden="1" x14ac:dyDescent="0.3">
      <c r="A4496" s="24">
        <v>34</v>
      </c>
      <c r="B4496" s="20" t="str">
        <f t="shared" si="140"/>
        <v>AUG</v>
      </c>
      <c r="C4496" s="21">
        <v>46257</v>
      </c>
      <c r="D4496" s="22" t="str">
        <f>IFERROR(INDEX('Kode Outlet dan Target Toko'!$A:$A,MATCH($I4496,'Kode Outlet dan Target Toko'!$E:$E,0)),"")</f>
        <v>GRSM 4</v>
      </c>
      <c r="E4496" s="20" t="str">
        <f>IFERROR(VLOOKUP(I4496,KET!$B:$F,4,0),"")</f>
        <v>FAHMI LUKMANUL HAKIM</v>
      </c>
      <c r="F4496" s="20" t="str">
        <f>IFERROR(VLOOKUP($I4496,KET!$B:$F,5,0),"")</f>
        <v>GMM</v>
      </c>
      <c r="G4496" s="20">
        <f>IFERROR(INDEX('Kode Outlet dan Target Toko'!$C:$C,MATCH($I4496,'Kode Outlet dan Target Toko'!$E:$E,0)),0)</f>
        <v>103258</v>
      </c>
      <c r="H4496" s="20">
        <f>IFERROR(INDEX('Kode Outlet dan Target Toko'!$D:$D,MATCH($I4496,'Kode Outlet dan Target Toko'!$E:$E,0)),0)</f>
        <v>9201924</v>
      </c>
      <c r="I4496" s="41" t="s">
        <v>95</v>
      </c>
      <c r="J4496" s="45" t="s">
        <v>200</v>
      </c>
      <c r="K4496" s="53" t="s">
        <v>14</v>
      </c>
      <c r="L4496" s="23">
        <v>2000</v>
      </c>
      <c r="M4496" s="24">
        <v>57</v>
      </c>
      <c r="N4496" s="25">
        <f t="shared" si="141"/>
        <v>114000</v>
      </c>
      <c r="O4496" s="24"/>
    </row>
    <row r="4497" spans="1:15" hidden="1" x14ac:dyDescent="0.3">
      <c r="A4497" s="24">
        <v>34</v>
      </c>
      <c r="B4497" s="20" t="str">
        <f t="shared" si="140"/>
        <v>AUG</v>
      </c>
      <c r="C4497" s="21">
        <v>46257</v>
      </c>
      <c r="D4497" s="22" t="str">
        <f>IFERROR(INDEX('Kode Outlet dan Target Toko'!$A:$A,MATCH($I4497,'Kode Outlet dan Target Toko'!$E:$E,0)),"")</f>
        <v>GRSM 4</v>
      </c>
      <c r="E4497" s="20" t="str">
        <f>IFERROR(VLOOKUP(I4497,KET!$B:$F,4,0),"")</f>
        <v>FAHMI LUKMANUL HAKIM</v>
      </c>
      <c r="F4497" s="20" t="str">
        <f>IFERROR(VLOOKUP($I4497,KET!$B:$F,5,0),"")</f>
        <v>GMM</v>
      </c>
      <c r="G4497" s="20">
        <f>IFERROR(INDEX('Kode Outlet dan Target Toko'!$C:$C,MATCH($I4497,'Kode Outlet dan Target Toko'!$E:$E,0)),0)</f>
        <v>103258</v>
      </c>
      <c r="H4497" s="20">
        <f>IFERROR(INDEX('Kode Outlet dan Target Toko'!$D:$D,MATCH($I4497,'Kode Outlet dan Target Toko'!$E:$E,0)),0)</f>
        <v>9201924</v>
      </c>
      <c r="I4497" s="41" t="s">
        <v>95</v>
      </c>
      <c r="J4497" s="45" t="s">
        <v>200</v>
      </c>
      <c r="K4497" s="53" t="s">
        <v>13</v>
      </c>
      <c r="L4497" s="23">
        <v>2000</v>
      </c>
      <c r="M4497" s="24">
        <v>0</v>
      </c>
      <c r="N4497" s="25">
        <f t="shared" si="141"/>
        <v>0</v>
      </c>
      <c r="O4497" s="24"/>
    </row>
    <row r="4498" spans="1:15" hidden="1" x14ac:dyDescent="0.3">
      <c r="A4498" s="24">
        <v>34</v>
      </c>
      <c r="B4498" s="20" t="str">
        <f t="shared" si="140"/>
        <v>AUG</v>
      </c>
      <c r="C4498" s="21">
        <v>46257</v>
      </c>
      <c r="D4498" s="22" t="str">
        <f>IFERROR(INDEX('Kode Outlet dan Target Toko'!$A:$A,MATCH($I4498,'Kode Outlet dan Target Toko'!$E:$E,0)),"")</f>
        <v>GRSM 4</v>
      </c>
      <c r="E4498" s="20" t="str">
        <f>IFERROR(VLOOKUP(I4498,KET!$B:$F,4,0),"")</f>
        <v>FAHMI LUKMANUL HAKIM</v>
      </c>
      <c r="F4498" s="20" t="str">
        <f>IFERROR(VLOOKUP($I4498,KET!$B:$F,5,0),"")</f>
        <v>GMM</v>
      </c>
      <c r="G4498" s="20">
        <f>IFERROR(INDEX('Kode Outlet dan Target Toko'!$C:$C,MATCH($I4498,'Kode Outlet dan Target Toko'!$E:$E,0)),0)</f>
        <v>103258</v>
      </c>
      <c r="H4498" s="20">
        <f>IFERROR(INDEX('Kode Outlet dan Target Toko'!$D:$D,MATCH($I4498,'Kode Outlet dan Target Toko'!$E:$E,0)),0)</f>
        <v>9201924</v>
      </c>
      <c r="I4498" s="41" t="s">
        <v>95</v>
      </c>
      <c r="J4498" s="45" t="s">
        <v>200</v>
      </c>
      <c r="K4498" s="53" t="s">
        <v>16</v>
      </c>
      <c r="L4498" s="23">
        <v>2000</v>
      </c>
      <c r="M4498" s="24">
        <v>90</v>
      </c>
      <c r="N4498" s="25">
        <f t="shared" si="141"/>
        <v>180000</v>
      </c>
      <c r="O4498" s="24">
        <v>160</v>
      </c>
    </row>
    <row r="4499" spans="1:15" hidden="1" x14ac:dyDescent="0.3">
      <c r="A4499" s="24">
        <v>34</v>
      </c>
      <c r="B4499" s="20" t="str">
        <f t="shared" si="140"/>
        <v>AUG</v>
      </c>
      <c r="C4499" s="21">
        <v>46257</v>
      </c>
      <c r="D4499" s="22" t="str">
        <f>IFERROR(INDEX('Kode Outlet dan Target Toko'!$A:$A,MATCH($I4499,'Kode Outlet dan Target Toko'!$E:$E,0)),"")</f>
        <v>GRSM 4</v>
      </c>
      <c r="E4499" s="20" t="str">
        <f>IFERROR(VLOOKUP(I4499,KET!$B:$F,4,0),"")</f>
        <v>FAHMI LUKMANUL HAKIM</v>
      </c>
      <c r="F4499" s="20" t="str">
        <f>IFERROR(VLOOKUP($I4499,KET!$B:$F,5,0),"")</f>
        <v>GMM</v>
      </c>
      <c r="G4499" s="20">
        <f>IFERROR(INDEX('Kode Outlet dan Target Toko'!$C:$C,MATCH($I4499,'Kode Outlet dan Target Toko'!$E:$E,0)),0)</f>
        <v>103257</v>
      </c>
      <c r="H4499" s="20">
        <f>IFERROR(INDEX('Kode Outlet dan Target Toko'!$D:$D,MATCH($I4499,'Kode Outlet dan Target Toko'!$E:$E,0)),0)</f>
        <v>9162509</v>
      </c>
      <c r="I4499" s="41" t="s">
        <v>57</v>
      </c>
      <c r="J4499" s="45" t="s">
        <v>193</v>
      </c>
      <c r="K4499" s="53" t="s">
        <v>15</v>
      </c>
      <c r="L4499" s="23">
        <v>3100</v>
      </c>
      <c r="M4499" s="24">
        <v>56</v>
      </c>
      <c r="N4499" s="25">
        <f t="shared" si="141"/>
        <v>173600</v>
      </c>
      <c r="O4499" s="24"/>
    </row>
    <row r="4500" spans="1:15" hidden="1" x14ac:dyDescent="0.3">
      <c r="A4500" s="24">
        <v>34</v>
      </c>
      <c r="B4500" s="20" t="str">
        <f t="shared" si="140"/>
        <v>AUG</v>
      </c>
      <c r="C4500" s="21">
        <v>46257</v>
      </c>
      <c r="D4500" s="22" t="str">
        <f>IFERROR(INDEX('Kode Outlet dan Target Toko'!$A:$A,MATCH($I4500,'Kode Outlet dan Target Toko'!$E:$E,0)),"")</f>
        <v>GRSM 4</v>
      </c>
      <c r="E4500" s="20" t="str">
        <f>IFERROR(VLOOKUP(I4500,KET!$B:$F,4,0),"")</f>
        <v>FAHMI LUKMANUL HAKIM</v>
      </c>
      <c r="F4500" s="20" t="str">
        <f>IFERROR(VLOOKUP($I4500,KET!$B:$F,5,0),"")</f>
        <v>GMM</v>
      </c>
      <c r="G4500" s="20">
        <f>IFERROR(INDEX('Kode Outlet dan Target Toko'!$C:$C,MATCH($I4500,'Kode Outlet dan Target Toko'!$E:$E,0)),0)</f>
        <v>103257</v>
      </c>
      <c r="H4500" s="20">
        <f>IFERROR(INDEX('Kode Outlet dan Target Toko'!$D:$D,MATCH($I4500,'Kode Outlet dan Target Toko'!$E:$E,0)),0)</f>
        <v>9162509</v>
      </c>
      <c r="I4500" s="41" t="s">
        <v>57</v>
      </c>
      <c r="J4500" s="45" t="s">
        <v>193</v>
      </c>
      <c r="K4500" s="53" t="s">
        <v>14</v>
      </c>
      <c r="L4500" s="23">
        <v>3100</v>
      </c>
      <c r="M4500" s="24">
        <v>34</v>
      </c>
      <c r="N4500" s="25">
        <f t="shared" si="141"/>
        <v>105400</v>
      </c>
      <c r="O4500" s="24"/>
    </row>
    <row r="4501" spans="1:15" hidden="1" x14ac:dyDescent="0.3">
      <c r="A4501" s="24">
        <v>34</v>
      </c>
      <c r="B4501" s="20" t="str">
        <f t="shared" si="140"/>
        <v>AUG</v>
      </c>
      <c r="C4501" s="21">
        <v>46257</v>
      </c>
      <c r="D4501" s="22" t="str">
        <f>IFERROR(INDEX('Kode Outlet dan Target Toko'!$A:$A,MATCH($I4501,'Kode Outlet dan Target Toko'!$E:$E,0)),"")</f>
        <v>GRSM 4</v>
      </c>
      <c r="E4501" s="20" t="str">
        <f>IFERROR(VLOOKUP(I4501,KET!$B:$F,4,0),"")</f>
        <v>FAHMI LUKMANUL HAKIM</v>
      </c>
      <c r="F4501" s="20" t="str">
        <f>IFERROR(VLOOKUP($I4501,KET!$B:$F,5,0),"")</f>
        <v>GMM</v>
      </c>
      <c r="G4501" s="20">
        <f>IFERROR(INDEX('Kode Outlet dan Target Toko'!$C:$C,MATCH($I4501,'Kode Outlet dan Target Toko'!$E:$E,0)),0)</f>
        <v>103257</v>
      </c>
      <c r="H4501" s="20">
        <f>IFERROR(INDEX('Kode Outlet dan Target Toko'!$D:$D,MATCH($I4501,'Kode Outlet dan Target Toko'!$E:$E,0)),0)</f>
        <v>9162509</v>
      </c>
      <c r="I4501" s="41" t="s">
        <v>57</v>
      </c>
      <c r="J4501" s="45" t="s">
        <v>193</v>
      </c>
      <c r="K4501" s="53" t="s">
        <v>13</v>
      </c>
      <c r="L4501" s="23">
        <v>3100</v>
      </c>
      <c r="M4501" s="24">
        <v>0</v>
      </c>
      <c r="N4501" s="25">
        <f t="shared" si="141"/>
        <v>0</v>
      </c>
      <c r="O4501" s="24"/>
    </row>
    <row r="4502" spans="1:15" hidden="1" x14ac:dyDescent="0.3">
      <c r="A4502" s="24">
        <v>34</v>
      </c>
      <c r="B4502" s="20" t="str">
        <f t="shared" si="140"/>
        <v>AUG</v>
      </c>
      <c r="C4502" s="21">
        <v>46257</v>
      </c>
      <c r="D4502" s="22" t="str">
        <f>IFERROR(INDEX('Kode Outlet dan Target Toko'!$A:$A,MATCH($I4502,'Kode Outlet dan Target Toko'!$E:$E,0)),"")</f>
        <v>GRSM 4</v>
      </c>
      <c r="E4502" s="20" t="str">
        <f>IFERROR(VLOOKUP(I4502,KET!$B:$F,4,0),"")</f>
        <v>FAHMI LUKMANUL HAKIM</v>
      </c>
      <c r="F4502" s="20" t="str">
        <f>IFERROR(VLOOKUP($I4502,KET!$B:$F,5,0),"")</f>
        <v>GMM</v>
      </c>
      <c r="G4502" s="20">
        <f>IFERROR(INDEX('Kode Outlet dan Target Toko'!$C:$C,MATCH($I4502,'Kode Outlet dan Target Toko'!$E:$E,0)),0)</f>
        <v>103257</v>
      </c>
      <c r="H4502" s="20">
        <f>IFERROR(INDEX('Kode Outlet dan Target Toko'!$D:$D,MATCH($I4502,'Kode Outlet dan Target Toko'!$E:$E,0)),0)</f>
        <v>9162509</v>
      </c>
      <c r="I4502" s="41" t="s">
        <v>57</v>
      </c>
      <c r="J4502" s="45" t="s">
        <v>193</v>
      </c>
      <c r="K4502" s="53" t="s">
        <v>16</v>
      </c>
      <c r="L4502" s="23">
        <v>3100</v>
      </c>
      <c r="M4502" s="24">
        <v>80</v>
      </c>
      <c r="N4502" s="25">
        <f t="shared" si="141"/>
        <v>248000</v>
      </c>
      <c r="O4502" s="24">
        <v>160</v>
      </c>
    </row>
    <row r="4503" spans="1:15" hidden="1" x14ac:dyDescent="0.3">
      <c r="A4503" s="24">
        <v>34</v>
      </c>
      <c r="B4503" s="20" t="str">
        <f t="shared" si="140"/>
        <v>AUG</v>
      </c>
      <c r="C4503" s="21">
        <v>46257</v>
      </c>
      <c r="D4503" s="22" t="str">
        <f>IFERROR(INDEX('Kode Outlet dan Target Toko'!$A:$A,MATCH($I4503,'Kode Outlet dan Target Toko'!$E:$E,0)),"")</f>
        <v>GRSM 4</v>
      </c>
      <c r="E4503" s="20" t="str">
        <f>IFERROR(VLOOKUP(I4503,KET!$B:$F,4,0),"")</f>
        <v>FAHMI LUKMANUL HAKIM</v>
      </c>
      <c r="F4503" s="20" t="str">
        <f>IFERROR(VLOOKUP($I4503,KET!$B:$F,5,0),"")</f>
        <v>GMM</v>
      </c>
      <c r="G4503" s="20">
        <f>IFERROR(INDEX('Kode Outlet dan Target Toko'!$C:$C,MATCH($I4503,'Kode Outlet dan Target Toko'!$E:$E,0)),0)</f>
        <v>103259</v>
      </c>
      <c r="H4503" s="20">
        <f>IFERROR(INDEX('Kode Outlet dan Target Toko'!$D:$D,MATCH($I4503,'Kode Outlet dan Target Toko'!$E:$E,0)),0)</f>
        <v>9002359</v>
      </c>
      <c r="I4503" s="41" t="s">
        <v>103</v>
      </c>
      <c r="J4503" s="45" t="s">
        <v>196</v>
      </c>
      <c r="K4503" s="53" t="s">
        <v>15</v>
      </c>
      <c r="L4503" s="23">
        <v>1933</v>
      </c>
      <c r="M4503" s="24">
        <v>132</v>
      </c>
      <c r="N4503" s="25">
        <f t="shared" si="141"/>
        <v>255156</v>
      </c>
      <c r="O4503" s="24"/>
    </row>
    <row r="4504" spans="1:15" hidden="1" x14ac:dyDescent="0.3">
      <c r="A4504" s="24">
        <v>34</v>
      </c>
      <c r="B4504" s="20" t="str">
        <f t="shared" si="140"/>
        <v>AUG</v>
      </c>
      <c r="C4504" s="21">
        <v>46257</v>
      </c>
      <c r="D4504" s="22" t="str">
        <f>IFERROR(INDEX('Kode Outlet dan Target Toko'!$A:$A,MATCH($I4504,'Kode Outlet dan Target Toko'!$E:$E,0)),"")</f>
        <v>GRSM 4</v>
      </c>
      <c r="E4504" s="20" t="str">
        <f>IFERROR(VLOOKUP(I4504,KET!$B:$F,4,0),"")</f>
        <v>FAHMI LUKMANUL HAKIM</v>
      </c>
      <c r="F4504" s="20" t="str">
        <f>IFERROR(VLOOKUP($I4504,KET!$B:$F,5,0),"")</f>
        <v>GMM</v>
      </c>
      <c r="G4504" s="20">
        <f>IFERROR(INDEX('Kode Outlet dan Target Toko'!$C:$C,MATCH($I4504,'Kode Outlet dan Target Toko'!$E:$E,0)),0)</f>
        <v>103259</v>
      </c>
      <c r="H4504" s="20">
        <f>IFERROR(INDEX('Kode Outlet dan Target Toko'!$D:$D,MATCH($I4504,'Kode Outlet dan Target Toko'!$E:$E,0)),0)</f>
        <v>9002359</v>
      </c>
      <c r="I4504" s="41" t="s">
        <v>103</v>
      </c>
      <c r="J4504" s="45" t="s">
        <v>196</v>
      </c>
      <c r="K4504" s="53" t="s">
        <v>14</v>
      </c>
      <c r="L4504" s="23">
        <v>1933</v>
      </c>
      <c r="M4504" s="24">
        <v>0</v>
      </c>
      <c r="N4504" s="25">
        <f t="shared" si="141"/>
        <v>0</v>
      </c>
      <c r="O4504" s="24"/>
    </row>
    <row r="4505" spans="1:15" hidden="1" x14ac:dyDescent="0.3">
      <c r="A4505" s="24">
        <v>34</v>
      </c>
      <c r="B4505" s="20" t="str">
        <f t="shared" si="140"/>
        <v>AUG</v>
      </c>
      <c r="C4505" s="21">
        <v>46257</v>
      </c>
      <c r="D4505" s="22" t="str">
        <f>IFERROR(INDEX('Kode Outlet dan Target Toko'!$A:$A,MATCH($I4505,'Kode Outlet dan Target Toko'!$E:$E,0)),"")</f>
        <v>GRSM 4</v>
      </c>
      <c r="E4505" s="20" t="str">
        <f>IFERROR(VLOOKUP(I4505,KET!$B:$F,4,0),"")</f>
        <v>FAHMI LUKMANUL HAKIM</v>
      </c>
      <c r="F4505" s="20" t="str">
        <f>IFERROR(VLOOKUP($I4505,KET!$B:$F,5,0),"")</f>
        <v>GMM</v>
      </c>
      <c r="G4505" s="20">
        <f>IFERROR(INDEX('Kode Outlet dan Target Toko'!$C:$C,MATCH($I4505,'Kode Outlet dan Target Toko'!$E:$E,0)),0)</f>
        <v>103259</v>
      </c>
      <c r="H4505" s="20">
        <f>IFERROR(INDEX('Kode Outlet dan Target Toko'!$D:$D,MATCH($I4505,'Kode Outlet dan Target Toko'!$E:$E,0)),0)</f>
        <v>9002359</v>
      </c>
      <c r="I4505" s="41" t="s">
        <v>103</v>
      </c>
      <c r="J4505" s="45" t="s">
        <v>196</v>
      </c>
      <c r="K4505" s="53" t="s">
        <v>13</v>
      </c>
      <c r="L4505" s="23">
        <v>1933</v>
      </c>
      <c r="M4505" s="24">
        <v>0</v>
      </c>
      <c r="N4505" s="25">
        <f t="shared" si="141"/>
        <v>0</v>
      </c>
      <c r="O4505" s="24"/>
    </row>
    <row r="4506" spans="1:15" hidden="1" x14ac:dyDescent="0.3">
      <c r="A4506" s="24">
        <v>34</v>
      </c>
      <c r="B4506" s="20" t="str">
        <f t="shared" si="140"/>
        <v>AUG</v>
      </c>
      <c r="C4506" s="21">
        <v>46257</v>
      </c>
      <c r="D4506" s="22" t="str">
        <f>IFERROR(INDEX('Kode Outlet dan Target Toko'!$A:$A,MATCH($I4506,'Kode Outlet dan Target Toko'!$E:$E,0)),"")</f>
        <v>GRSM 4</v>
      </c>
      <c r="E4506" s="20" t="str">
        <f>IFERROR(VLOOKUP(I4506,KET!$B:$F,4,0),"")</f>
        <v>FAHMI LUKMANUL HAKIM</v>
      </c>
      <c r="F4506" s="20" t="str">
        <f>IFERROR(VLOOKUP($I4506,KET!$B:$F,5,0),"")</f>
        <v>GMM</v>
      </c>
      <c r="G4506" s="20">
        <f>IFERROR(INDEX('Kode Outlet dan Target Toko'!$C:$C,MATCH($I4506,'Kode Outlet dan Target Toko'!$E:$E,0)),0)</f>
        <v>103259</v>
      </c>
      <c r="H4506" s="20">
        <f>IFERROR(INDEX('Kode Outlet dan Target Toko'!$D:$D,MATCH($I4506,'Kode Outlet dan Target Toko'!$E:$E,0)),0)</f>
        <v>9002359</v>
      </c>
      <c r="I4506" s="41" t="s">
        <v>103</v>
      </c>
      <c r="J4506" s="45" t="s">
        <v>196</v>
      </c>
      <c r="K4506" s="53" t="s">
        <v>16</v>
      </c>
      <c r="L4506" s="23">
        <v>1933</v>
      </c>
      <c r="M4506" s="24">
        <v>0</v>
      </c>
      <c r="N4506" s="25">
        <f t="shared" si="141"/>
        <v>0</v>
      </c>
      <c r="O4506" s="24"/>
    </row>
    <row r="4507" spans="1:15" hidden="1" x14ac:dyDescent="0.3">
      <c r="A4507" s="24">
        <v>34</v>
      </c>
      <c r="B4507" s="20" t="str">
        <f t="shared" si="140"/>
        <v>AUG</v>
      </c>
      <c r="C4507" s="21">
        <v>46257</v>
      </c>
      <c r="D4507" s="22" t="str">
        <f>IFERROR(INDEX('Kode Outlet dan Target Toko'!$A:$A,MATCH($I4507,'Kode Outlet dan Target Toko'!$E:$E,0)),"")</f>
        <v>GRSM 4</v>
      </c>
      <c r="E4507" s="20" t="str">
        <f>IFERROR(VLOOKUP(I4507,KET!$B:$F,4,0),"")</f>
        <v>FAHMI LUKMANUL HAKIM</v>
      </c>
      <c r="F4507" s="20" t="str">
        <f>IFERROR(VLOOKUP($I4507,KET!$B:$F,5,0),"")</f>
        <v>GMM</v>
      </c>
      <c r="G4507" s="20">
        <f>IFERROR(INDEX('Kode Outlet dan Target Toko'!$C:$C,MATCH($I4507,'Kode Outlet dan Target Toko'!$E:$E,0)),0)</f>
        <v>103259</v>
      </c>
      <c r="H4507" s="20">
        <f>IFERROR(INDEX('Kode Outlet dan Target Toko'!$D:$D,MATCH($I4507,'Kode Outlet dan Target Toko'!$E:$E,0)),0)</f>
        <v>9002359</v>
      </c>
      <c r="I4507" s="41" t="s">
        <v>103</v>
      </c>
      <c r="J4507" s="45" t="s">
        <v>197</v>
      </c>
      <c r="K4507" s="53" t="s">
        <v>15</v>
      </c>
      <c r="L4507" s="23">
        <v>1933</v>
      </c>
      <c r="M4507" s="24">
        <v>114</v>
      </c>
      <c r="N4507" s="25">
        <f t="shared" si="141"/>
        <v>220362</v>
      </c>
      <c r="O4507" s="24"/>
    </row>
    <row r="4508" spans="1:15" hidden="1" x14ac:dyDescent="0.3">
      <c r="A4508" s="24">
        <v>34</v>
      </c>
      <c r="B4508" s="20" t="str">
        <f t="shared" si="140"/>
        <v>AUG</v>
      </c>
      <c r="C4508" s="21">
        <v>46257</v>
      </c>
      <c r="D4508" s="22" t="str">
        <f>IFERROR(INDEX('Kode Outlet dan Target Toko'!$A:$A,MATCH($I4508,'Kode Outlet dan Target Toko'!$E:$E,0)),"")</f>
        <v>GRSM 4</v>
      </c>
      <c r="E4508" s="20" t="str">
        <f>IFERROR(VLOOKUP(I4508,KET!$B:$F,4,0),"")</f>
        <v>FAHMI LUKMANUL HAKIM</v>
      </c>
      <c r="F4508" s="20" t="str">
        <f>IFERROR(VLOOKUP($I4508,KET!$B:$F,5,0),"")</f>
        <v>GMM</v>
      </c>
      <c r="G4508" s="20">
        <f>IFERROR(INDEX('Kode Outlet dan Target Toko'!$C:$C,MATCH($I4508,'Kode Outlet dan Target Toko'!$E:$E,0)),0)</f>
        <v>103259</v>
      </c>
      <c r="H4508" s="20">
        <f>IFERROR(INDEX('Kode Outlet dan Target Toko'!$D:$D,MATCH($I4508,'Kode Outlet dan Target Toko'!$E:$E,0)),0)</f>
        <v>9002359</v>
      </c>
      <c r="I4508" s="41" t="s">
        <v>103</v>
      </c>
      <c r="J4508" s="45" t="s">
        <v>197</v>
      </c>
      <c r="K4508" s="53" t="s">
        <v>14</v>
      </c>
      <c r="L4508" s="23">
        <v>1933</v>
      </c>
      <c r="M4508" s="24">
        <v>0</v>
      </c>
      <c r="N4508" s="25">
        <f t="shared" si="141"/>
        <v>0</v>
      </c>
      <c r="O4508" s="24"/>
    </row>
    <row r="4509" spans="1:15" hidden="1" x14ac:dyDescent="0.3">
      <c r="A4509" s="24">
        <v>34</v>
      </c>
      <c r="B4509" s="20" t="str">
        <f t="shared" si="140"/>
        <v>AUG</v>
      </c>
      <c r="C4509" s="21">
        <v>46257</v>
      </c>
      <c r="D4509" s="22" t="str">
        <f>IFERROR(INDEX('Kode Outlet dan Target Toko'!$A:$A,MATCH($I4509,'Kode Outlet dan Target Toko'!$E:$E,0)),"")</f>
        <v>GRSM 4</v>
      </c>
      <c r="E4509" s="20" t="str">
        <f>IFERROR(VLOOKUP(I4509,KET!$B:$F,4,0),"")</f>
        <v>FAHMI LUKMANUL HAKIM</v>
      </c>
      <c r="F4509" s="20" t="str">
        <f>IFERROR(VLOOKUP($I4509,KET!$B:$F,5,0),"")</f>
        <v>GMM</v>
      </c>
      <c r="G4509" s="20">
        <f>IFERROR(INDEX('Kode Outlet dan Target Toko'!$C:$C,MATCH($I4509,'Kode Outlet dan Target Toko'!$E:$E,0)),0)</f>
        <v>103259</v>
      </c>
      <c r="H4509" s="20">
        <f>IFERROR(INDEX('Kode Outlet dan Target Toko'!$D:$D,MATCH($I4509,'Kode Outlet dan Target Toko'!$E:$E,0)),0)</f>
        <v>9002359</v>
      </c>
      <c r="I4509" s="41" t="s">
        <v>103</v>
      </c>
      <c r="J4509" s="45" t="s">
        <v>197</v>
      </c>
      <c r="K4509" s="53" t="s">
        <v>13</v>
      </c>
      <c r="L4509" s="23">
        <v>1933</v>
      </c>
      <c r="M4509" s="24">
        <v>0</v>
      </c>
      <c r="N4509" s="25">
        <f t="shared" si="141"/>
        <v>0</v>
      </c>
      <c r="O4509" s="24"/>
    </row>
    <row r="4510" spans="1:15" hidden="1" x14ac:dyDescent="0.3">
      <c r="A4510" s="24">
        <v>34</v>
      </c>
      <c r="B4510" s="20" t="str">
        <f t="shared" si="140"/>
        <v>AUG</v>
      </c>
      <c r="C4510" s="21">
        <v>46257</v>
      </c>
      <c r="D4510" s="22" t="str">
        <f>IFERROR(INDEX('Kode Outlet dan Target Toko'!$A:$A,MATCH($I4510,'Kode Outlet dan Target Toko'!$E:$E,0)),"")</f>
        <v>GRSM 4</v>
      </c>
      <c r="E4510" s="20" t="str">
        <f>IFERROR(VLOOKUP(I4510,KET!$B:$F,4,0),"")</f>
        <v>FAHMI LUKMANUL HAKIM</v>
      </c>
      <c r="F4510" s="20" t="str">
        <f>IFERROR(VLOOKUP($I4510,KET!$B:$F,5,0),"")</f>
        <v>GMM</v>
      </c>
      <c r="G4510" s="20">
        <f>IFERROR(INDEX('Kode Outlet dan Target Toko'!$C:$C,MATCH($I4510,'Kode Outlet dan Target Toko'!$E:$E,0)),0)</f>
        <v>103259</v>
      </c>
      <c r="H4510" s="20">
        <f>IFERROR(INDEX('Kode Outlet dan Target Toko'!$D:$D,MATCH($I4510,'Kode Outlet dan Target Toko'!$E:$E,0)),0)</f>
        <v>9002359</v>
      </c>
      <c r="I4510" s="41" t="s">
        <v>103</v>
      </c>
      <c r="J4510" s="45" t="s">
        <v>197</v>
      </c>
      <c r="K4510" s="53" t="s">
        <v>16</v>
      </c>
      <c r="L4510" s="23">
        <v>1933</v>
      </c>
      <c r="M4510" s="24">
        <v>0</v>
      </c>
      <c r="N4510" s="25">
        <f t="shared" si="141"/>
        <v>0</v>
      </c>
      <c r="O4510" s="24"/>
    </row>
    <row r="4511" spans="1:15" hidden="1" x14ac:dyDescent="0.3">
      <c r="A4511" s="24">
        <v>34</v>
      </c>
      <c r="B4511" s="20" t="str">
        <f t="shared" si="140"/>
        <v>AUG</v>
      </c>
      <c r="C4511" s="21">
        <v>46255</v>
      </c>
      <c r="D4511" s="22" t="str">
        <f>IFERROR(INDEX('Kode Outlet dan Target Toko'!$A:$A,MATCH($I4511,'Kode Outlet dan Target Toko'!$E:$E,0)),"")</f>
        <v>GRSM 7</v>
      </c>
      <c r="E4511" s="20" t="str">
        <f>IFERROR(VLOOKUP(I4511,KET!$B:$F,4,0),"")</f>
        <v>INDRI</v>
      </c>
      <c r="F4511" s="20" t="str">
        <f>IFERROR(VLOOKUP($I4511,KET!$B:$F,5,0),"")</f>
        <v>GMM</v>
      </c>
      <c r="G4511" s="20">
        <f>IFERROR(INDEX('Kode Outlet dan Target Toko'!$C:$C,MATCH($I4511,'Kode Outlet dan Target Toko'!$E:$E,0)),0)</f>
        <v>103783</v>
      </c>
      <c r="H4511" s="20">
        <f>IFERROR(INDEX('Kode Outlet dan Target Toko'!$D:$D,MATCH($I4511,'Kode Outlet dan Target Toko'!$E:$E,0)),0)</f>
        <v>7500032</v>
      </c>
      <c r="I4511" s="41" t="s">
        <v>122</v>
      </c>
      <c r="J4511" s="56" t="s">
        <v>303</v>
      </c>
      <c r="K4511" s="53" t="s">
        <v>15</v>
      </c>
      <c r="L4511" s="23">
        <v>6246</v>
      </c>
      <c r="M4511" s="24">
        <v>29</v>
      </c>
      <c r="N4511" s="25">
        <f t="shared" si="141"/>
        <v>181134</v>
      </c>
      <c r="O4511" s="24"/>
    </row>
    <row r="4512" spans="1:15" hidden="1" x14ac:dyDescent="0.3">
      <c r="A4512" s="24">
        <v>34</v>
      </c>
      <c r="B4512" s="20" t="str">
        <f t="shared" si="140"/>
        <v>AUG</v>
      </c>
      <c r="C4512" s="21">
        <v>46255</v>
      </c>
      <c r="D4512" s="22" t="str">
        <f>IFERROR(INDEX('Kode Outlet dan Target Toko'!$A:$A,MATCH($I4512,'Kode Outlet dan Target Toko'!$E:$E,0)),"")</f>
        <v>GRSM 7</v>
      </c>
      <c r="E4512" s="20" t="str">
        <f>IFERROR(VLOOKUP(I4512,KET!$B:$F,4,0),"")</f>
        <v>INDRI</v>
      </c>
      <c r="F4512" s="20" t="str">
        <f>IFERROR(VLOOKUP($I4512,KET!$B:$F,5,0),"")</f>
        <v>GMM</v>
      </c>
      <c r="G4512" s="20">
        <f>IFERROR(INDEX('Kode Outlet dan Target Toko'!$C:$C,MATCH($I4512,'Kode Outlet dan Target Toko'!$E:$E,0)),0)</f>
        <v>103783</v>
      </c>
      <c r="H4512" s="20">
        <f>IFERROR(INDEX('Kode Outlet dan Target Toko'!$D:$D,MATCH($I4512,'Kode Outlet dan Target Toko'!$E:$E,0)),0)</f>
        <v>7500032</v>
      </c>
      <c r="I4512" s="41" t="s">
        <v>122</v>
      </c>
      <c r="J4512" s="56" t="s">
        <v>303</v>
      </c>
      <c r="K4512" s="53" t="s">
        <v>14</v>
      </c>
      <c r="L4512" s="23">
        <v>6246</v>
      </c>
      <c r="M4512" s="24">
        <v>21</v>
      </c>
      <c r="N4512" s="25">
        <f t="shared" si="141"/>
        <v>131166</v>
      </c>
      <c r="O4512" s="24"/>
    </row>
    <row r="4513" spans="1:15" hidden="1" x14ac:dyDescent="0.3">
      <c r="A4513" s="24">
        <v>34</v>
      </c>
      <c r="B4513" s="20" t="str">
        <f t="shared" si="140"/>
        <v>AUG</v>
      </c>
      <c r="C4513" s="21">
        <v>46255</v>
      </c>
      <c r="D4513" s="22" t="str">
        <f>IFERROR(INDEX('Kode Outlet dan Target Toko'!$A:$A,MATCH($I4513,'Kode Outlet dan Target Toko'!$E:$E,0)),"")</f>
        <v>GRSM 7</v>
      </c>
      <c r="E4513" s="20" t="str">
        <f>IFERROR(VLOOKUP(I4513,KET!$B:$F,4,0),"")</f>
        <v>INDRI</v>
      </c>
      <c r="F4513" s="20" t="str">
        <f>IFERROR(VLOOKUP($I4513,KET!$B:$F,5,0),"")</f>
        <v>GMM</v>
      </c>
      <c r="G4513" s="20">
        <f>IFERROR(INDEX('Kode Outlet dan Target Toko'!$C:$C,MATCH($I4513,'Kode Outlet dan Target Toko'!$E:$E,0)),0)</f>
        <v>103783</v>
      </c>
      <c r="H4513" s="20">
        <f>IFERROR(INDEX('Kode Outlet dan Target Toko'!$D:$D,MATCH($I4513,'Kode Outlet dan Target Toko'!$E:$E,0)),0)</f>
        <v>7500032</v>
      </c>
      <c r="I4513" s="41" t="s">
        <v>122</v>
      </c>
      <c r="J4513" s="56" t="s">
        <v>303</v>
      </c>
      <c r="K4513" s="53" t="s">
        <v>13</v>
      </c>
      <c r="L4513" s="23">
        <v>6246</v>
      </c>
      <c r="M4513" s="24">
        <v>19</v>
      </c>
      <c r="N4513" s="25">
        <f t="shared" si="141"/>
        <v>118674</v>
      </c>
      <c r="O4513" s="24"/>
    </row>
    <row r="4514" spans="1:15" hidden="1" x14ac:dyDescent="0.3">
      <c r="A4514" s="24">
        <v>34</v>
      </c>
      <c r="B4514" s="20" t="str">
        <f t="shared" si="140"/>
        <v>AUG</v>
      </c>
      <c r="C4514" s="21">
        <v>46255</v>
      </c>
      <c r="D4514" s="22" t="str">
        <f>IFERROR(INDEX('Kode Outlet dan Target Toko'!$A:$A,MATCH($I4514,'Kode Outlet dan Target Toko'!$E:$E,0)),"")</f>
        <v>GRSM 7</v>
      </c>
      <c r="E4514" s="20" t="str">
        <f>IFERROR(VLOOKUP(I4514,KET!$B:$F,4,0),"")</f>
        <v>INDRI</v>
      </c>
      <c r="F4514" s="20" t="str">
        <f>IFERROR(VLOOKUP($I4514,KET!$B:$F,5,0),"")</f>
        <v>GMM</v>
      </c>
      <c r="G4514" s="20">
        <f>IFERROR(INDEX('Kode Outlet dan Target Toko'!$C:$C,MATCH($I4514,'Kode Outlet dan Target Toko'!$E:$E,0)),0)</f>
        <v>103783</v>
      </c>
      <c r="H4514" s="20">
        <f>IFERROR(INDEX('Kode Outlet dan Target Toko'!$D:$D,MATCH($I4514,'Kode Outlet dan Target Toko'!$E:$E,0)),0)</f>
        <v>7500032</v>
      </c>
      <c r="I4514" s="41" t="s">
        <v>122</v>
      </c>
      <c r="J4514" s="56" t="s">
        <v>303</v>
      </c>
      <c r="K4514" s="53" t="s">
        <v>16</v>
      </c>
      <c r="L4514" s="23">
        <v>6246</v>
      </c>
      <c r="M4514" s="24">
        <v>56</v>
      </c>
      <c r="N4514" s="25">
        <f t="shared" si="141"/>
        <v>349776</v>
      </c>
      <c r="O4514" s="24">
        <v>160</v>
      </c>
    </row>
    <row r="4515" spans="1:15" hidden="1" x14ac:dyDescent="0.3">
      <c r="A4515" s="24">
        <v>34</v>
      </c>
      <c r="B4515" s="20" t="str">
        <f t="shared" si="140"/>
        <v>AUG</v>
      </c>
      <c r="C4515" s="21">
        <v>46255</v>
      </c>
      <c r="D4515" s="22" t="str">
        <f>IFERROR(INDEX('Kode Outlet dan Target Toko'!$A:$A,MATCH($I4515,'Kode Outlet dan Target Toko'!$E:$E,0)),"")</f>
        <v>GRSM 7</v>
      </c>
      <c r="E4515" s="20" t="str">
        <f>IFERROR(VLOOKUP(I4515,KET!$B:$F,4,0),"")</f>
        <v>INDRI</v>
      </c>
      <c r="F4515" s="20" t="str">
        <f>IFERROR(VLOOKUP($I4515,KET!$B:$F,5,0),"")</f>
        <v>GMM</v>
      </c>
      <c r="G4515" s="20">
        <f>IFERROR(INDEX('Kode Outlet dan Target Toko'!$C:$C,MATCH($I4515,'Kode Outlet dan Target Toko'!$E:$E,0)),0)</f>
        <v>103783</v>
      </c>
      <c r="H4515" s="20">
        <f>IFERROR(INDEX('Kode Outlet dan Target Toko'!$D:$D,MATCH($I4515,'Kode Outlet dan Target Toko'!$E:$E,0)),0)</f>
        <v>7500032</v>
      </c>
      <c r="I4515" s="41" t="s">
        <v>122</v>
      </c>
      <c r="J4515" s="45" t="s">
        <v>234</v>
      </c>
      <c r="K4515" s="53" t="s">
        <v>15</v>
      </c>
      <c r="L4515" s="23">
        <v>6246</v>
      </c>
      <c r="M4515" s="24">
        <v>29</v>
      </c>
      <c r="N4515" s="25">
        <f t="shared" si="141"/>
        <v>181134</v>
      </c>
      <c r="O4515" s="24"/>
    </row>
    <row r="4516" spans="1:15" hidden="1" x14ac:dyDescent="0.3">
      <c r="A4516" s="24">
        <v>34</v>
      </c>
      <c r="B4516" s="20" t="str">
        <f t="shared" si="140"/>
        <v>AUG</v>
      </c>
      <c r="C4516" s="21">
        <v>46255</v>
      </c>
      <c r="D4516" s="22" t="str">
        <f>IFERROR(INDEX('Kode Outlet dan Target Toko'!$A:$A,MATCH($I4516,'Kode Outlet dan Target Toko'!$E:$E,0)),"")</f>
        <v>GRSM 7</v>
      </c>
      <c r="E4516" s="20" t="str">
        <f>IFERROR(VLOOKUP(I4516,KET!$B:$F,4,0),"")</f>
        <v>INDRI</v>
      </c>
      <c r="F4516" s="20" t="str">
        <f>IFERROR(VLOOKUP($I4516,KET!$B:$F,5,0),"")</f>
        <v>GMM</v>
      </c>
      <c r="G4516" s="20">
        <f>IFERROR(INDEX('Kode Outlet dan Target Toko'!$C:$C,MATCH($I4516,'Kode Outlet dan Target Toko'!$E:$E,0)),0)</f>
        <v>103783</v>
      </c>
      <c r="H4516" s="20">
        <f>IFERROR(INDEX('Kode Outlet dan Target Toko'!$D:$D,MATCH($I4516,'Kode Outlet dan Target Toko'!$E:$E,0)),0)</f>
        <v>7500032</v>
      </c>
      <c r="I4516" s="41" t="s">
        <v>122</v>
      </c>
      <c r="J4516" s="45" t="s">
        <v>234</v>
      </c>
      <c r="K4516" s="53" t="s">
        <v>14</v>
      </c>
      <c r="L4516" s="23">
        <v>6246</v>
      </c>
      <c r="M4516" s="24">
        <v>21</v>
      </c>
      <c r="N4516" s="25">
        <f t="shared" si="141"/>
        <v>131166</v>
      </c>
      <c r="O4516" s="24"/>
    </row>
    <row r="4517" spans="1:15" hidden="1" x14ac:dyDescent="0.3">
      <c r="A4517" s="24">
        <v>34</v>
      </c>
      <c r="B4517" s="20" t="str">
        <f t="shared" si="140"/>
        <v>AUG</v>
      </c>
      <c r="C4517" s="21">
        <v>46255</v>
      </c>
      <c r="D4517" s="22" t="str">
        <f>IFERROR(INDEX('Kode Outlet dan Target Toko'!$A:$A,MATCH($I4517,'Kode Outlet dan Target Toko'!$E:$E,0)),"")</f>
        <v>GRSM 7</v>
      </c>
      <c r="E4517" s="20" t="str">
        <f>IFERROR(VLOOKUP(I4517,KET!$B:$F,4,0),"")</f>
        <v>INDRI</v>
      </c>
      <c r="F4517" s="20" t="str">
        <f>IFERROR(VLOOKUP($I4517,KET!$B:$F,5,0),"")</f>
        <v>GMM</v>
      </c>
      <c r="G4517" s="20">
        <f>IFERROR(INDEX('Kode Outlet dan Target Toko'!$C:$C,MATCH($I4517,'Kode Outlet dan Target Toko'!$E:$E,0)),0)</f>
        <v>103783</v>
      </c>
      <c r="H4517" s="20">
        <f>IFERROR(INDEX('Kode Outlet dan Target Toko'!$D:$D,MATCH($I4517,'Kode Outlet dan Target Toko'!$E:$E,0)),0)</f>
        <v>7500032</v>
      </c>
      <c r="I4517" s="41" t="s">
        <v>122</v>
      </c>
      <c r="J4517" s="45" t="s">
        <v>234</v>
      </c>
      <c r="K4517" s="53" t="s">
        <v>13</v>
      </c>
      <c r="L4517" s="23">
        <v>6246</v>
      </c>
      <c r="M4517" s="24">
        <v>19</v>
      </c>
      <c r="N4517" s="25">
        <f t="shared" si="141"/>
        <v>118674</v>
      </c>
      <c r="O4517" s="24"/>
    </row>
    <row r="4518" spans="1:15" hidden="1" x14ac:dyDescent="0.3">
      <c r="A4518" s="24">
        <v>34</v>
      </c>
      <c r="B4518" s="20" t="str">
        <f t="shared" si="140"/>
        <v>AUG</v>
      </c>
      <c r="C4518" s="21">
        <v>46255</v>
      </c>
      <c r="D4518" s="22" t="str">
        <f>IFERROR(INDEX('Kode Outlet dan Target Toko'!$A:$A,MATCH($I4518,'Kode Outlet dan Target Toko'!$E:$E,0)),"")</f>
        <v>GRSM 7</v>
      </c>
      <c r="E4518" s="20" t="str">
        <f>IFERROR(VLOOKUP(I4518,KET!$B:$F,4,0),"")</f>
        <v>INDRI</v>
      </c>
      <c r="F4518" s="20" t="str">
        <f>IFERROR(VLOOKUP($I4518,KET!$B:$F,5,0),"")</f>
        <v>GMM</v>
      </c>
      <c r="G4518" s="20">
        <f>IFERROR(INDEX('Kode Outlet dan Target Toko'!$C:$C,MATCH($I4518,'Kode Outlet dan Target Toko'!$E:$E,0)),0)</f>
        <v>103783</v>
      </c>
      <c r="H4518" s="20">
        <f>IFERROR(INDEX('Kode Outlet dan Target Toko'!$D:$D,MATCH($I4518,'Kode Outlet dan Target Toko'!$E:$E,0)),0)</f>
        <v>7500032</v>
      </c>
      <c r="I4518" s="41" t="s">
        <v>122</v>
      </c>
      <c r="J4518" s="45" t="s">
        <v>234</v>
      </c>
      <c r="K4518" s="53" t="s">
        <v>16</v>
      </c>
      <c r="L4518" s="23">
        <v>6246</v>
      </c>
      <c r="M4518" s="24">
        <v>56</v>
      </c>
      <c r="N4518" s="25">
        <f t="shared" si="141"/>
        <v>349776</v>
      </c>
      <c r="O4518" s="24">
        <v>160</v>
      </c>
    </row>
    <row r="4519" spans="1:15" hidden="1" x14ac:dyDescent="0.3">
      <c r="A4519" s="24">
        <v>34</v>
      </c>
      <c r="B4519" s="20" t="str">
        <f t="shared" si="140"/>
        <v>AUG</v>
      </c>
      <c r="C4519" s="21">
        <v>46255</v>
      </c>
      <c r="D4519" s="22" t="str">
        <f>IFERROR(INDEX('Kode Outlet dan Target Toko'!$A:$A,MATCH($I4519,'Kode Outlet dan Target Toko'!$E:$E,0)),"")</f>
        <v>GRSM 7</v>
      </c>
      <c r="E4519" s="20" t="str">
        <f>IFERROR(VLOOKUP(I4519,KET!$B:$F,4,0),"")</f>
        <v>INDRI</v>
      </c>
      <c r="F4519" s="20" t="str">
        <f>IFERROR(VLOOKUP($I4519,KET!$B:$F,5,0),"")</f>
        <v>GMM</v>
      </c>
      <c r="G4519" s="20">
        <f>IFERROR(INDEX('Kode Outlet dan Target Toko'!$C:$C,MATCH($I4519,'Kode Outlet dan Target Toko'!$E:$E,0)),0)</f>
        <v>103783</v>
      </c>
      <c r="H4519" s="20">
        <f>IFERROR(INDEX('Kode Outlet dan Target Toko'!$D:$D,MATCH($I4519,'Kode Outlet dan Target Toko'!$E:$E,0)),0)</f>
        <v>7500090</v>
      </c>
      <c r="I4519" s="41" t="s">
        <v>120</v>
      </c>
      <c r="J4519" s="45" t="s">
        <v>235</v>
      </c>
      <c r="K4519" s="53" t="s">
        <v>15</v>
      </c>
      <c r="L4519" s="23">
        <v>6750</v>
      </c>
      <c r="M4519" s="24">
        <v>22</v>
      </c>
      <c r="N4519" s="25">
        <f t="shared" si="141"/>
        <v>148500</v>
      </c>
      <c r="O4519" s="24"/>
    </row>
    <row r="4520" spans="1:15" hidden="1" x14ac:dyDescent="0.3">
      <c r="A4520" s="24">
        <v>34</v>
      </c>
      <c r="B4520" s="20" t="str">
        <f t="shared" si="140"/>
        <v>AUG</v>
      </c>
      <c r="C4520" s="21">
        <v>46255</v>
      </c>
      <c r="D4520" s="22" t="str">
        <f>IFERROR(INDEX('Kode Outlet dan Target Toko'!$A:$A,MATCH($I4520,'Kode Outlet dan Target Toko'!$E:$E,0)),"")</f>
        <v>GRSM 7</v>
      </c>
      <c r="E4520" s="20" t="str">
        <f>IFERROR(VLOOKUP(I4520,KET!$B:$F,4,0),"")</f>
        <v>INDRI</v>
      </c>
      <c r="F4520" s="20" t="str">
        <f>IFERROR(VLOOKUP($I4520,KET!$B:$F,5,0),"")</f>
        <v>GMM</v>
      </c>
      <c r="G4520" s="20">
        <f>IFERROR(INDEX('Kode Outlet dan Target Toko'!$C:$C,MATCH($I4520,'Kode Outlet dan Target Toko'!$E:$E,0)),0)</f>
        <v>103783</v>
      </c>
      <c r="H4520" s="20">
        <f>IFERROR(INDEX('Kode Outlet dan Target Toko'!$D:$D,MATCH($I4520,'Kode Outlet dan Target Toko'!$E:$E,0)),0)</f>
        <v>7500090</v>
      </c>
      <c r="I4520" s="41" t="s">
        <v>120</v>
      </c>
      <c r="J4520" s="45" t="s">
        <v>235</v>
      </c>
      <c r="K4520" s="53" t="s">
        <v>14</v>
      </c>
      <c r="L4520" s="23">
        <v>6750</v>
      </c>
      <c r="M4520" s="24">
        <v>26</v>
      </c>
      <c r="N4520" s="25">
        <f t="shared" si="141"/>
        <v>175500</v>
      </c>
      <c r="O4520" s="24"/>
    </row>
    <row r="4521" spans="1:15" hidden="1" x14ac:dyDescent="0.3">
      <c r="A4521" s="24">
        <v>34</v>
      </c>
      <c r="B4521" s="20" t="str">
        <f t="shared" si="140"/>
        <v>AUG</v>
      </c>
      <c r="C4521" s="21">
        <v>46255</v>
      </c>
      <c r="D4521" s="22" t="str">
        <f>IFERROR(INDEX('Kode Outlet dan Target Toko'!$A:$A,MATCH($I4521,'Kode Outlet dan Target Toko'!$E:$E,0)),"")</f>
        <v>GRSM 7</v>
      </c>
      <c r="E4521" s="20" t="str">
        <f>IFERROR(VLOOKUP(I4521,KET!$B:$F,4,0),"")</f>
        <v>INDRI</v>
      </c>
      <c r="F4521" s="20" t="str">
        <f>IFERROR(VLOOKUP($I4521,KET!$B:$F,5,0),"")</f>
        <v>GMM</v>
      </c>
      <c r="G4521" s="20">
        <f>IFERROR(INDEX('Kode Outlet dan Target Toko'!$C:$C,MATCH($I4521,'Kode Outlet dan Target Toko'!$E:$E,0)),0)</f>
        <v>103783</v>
      </c>
      <c r="H4521" s="20">
        <f>IFERROR(INDEX('Kode Outlet dan Target Toko'!$D:$D,MATCH($I4521,'Kode Outlet dan Target Toko'!$E:$E,0)),0)</f>
        <v>7500090</v>
      </c>
      <c r="I4521" s="41" t="s">
        <v>120</v>
      </c>
      <c r="J4521" s="45" t="s">
        <v>235</v>
      </c>
      <c r="K4521" s="53" t="s">
        <v>13</v>
      </c>
      <c r="L4521" s="23">
        <v>6750</v>
      </c>
      <c r="M4521" s="24">
        <v>20</v>
      </c>
      <c r="N4521" s="25">
        <f t="shared" si="141"/>
        <v>135000</v>
      </c>
      <c r="O4521" s="24"/>
    </row>
    <row r="4522" spans="1:15" hidden="1" x14ac:dyDescent="0.3">
      <c r="A4522" s="24">
        <v>34</v>
      </c>
      <c r="B4522" s="20" t="str">
        <f t="shared" si="140"/>
        <v>AUG</v>
      </c>
      <c r="C4522" s="21">
        <v>46255</v>
      </c>
      <c r="D4522" s="22" t="str">
        <f>IFERROR(INDEX('Kode Outlet dan Target Toko'!$A:$A,MATCH($I4522,'Kode Outlet dan Target Toko'!$E:$E,0)),"")</f>
        <v>GRSM 7</v>
      </c>
      <c r="E4522" s="20" t="str">
        <f>IFERROR(VLOOKUP(I4522,KET!$B:$F,4,0),"")</f>
        <v>INDRI</v>
      </c>
      <c r="F4522" s="20" t="str">
        <f>IFERROR(VLOOKUP($I4522,KET!$B:$F,5,0),"")</f>
        <v>GMM</v>
      </c>
      <c r="G4522" s="20">
        <f>IFERROR(INDEX('Kode Outlet dan Target Toko'!$C:$C,MATCH($I4522,'Kode Outlet dan Target Toko'!$E:$E,0)),0)</f>
        <v>103783</v>
      </c>
      <c r="H4522" s="20">
        <f>IFERROR(INDEX('Kode Outlet dan Target Toko'!$D:$D,MATCH($I4522,'Kode Outlet dan Target Toko'!$E:$E,0)),0)</f>
        <v>7500090</v>
      </c>
      <c r="I4522" s="41" t="s">
        <v>120</v>
      </c>
      <c r="J4522" s="45" t="s">
        <v>235</v>
      </c>
      <c r="K4522" s="53" t="s">
        <v>16</v>
      </c>
      <c r="L4522" s="23">
        <v>6750</v>
      </c>
      <c r="M4522" s="24">
        <v>34</v>
      </c>
      <c r="N4522" s="25">
        <f t="shared" si="141"/>
        <v>229500</v>
      </c>
      <c r="O4522" s="24">
        <v>160</v>
      </c>
    </row>
    <row r="4523" spans="1:15" hidden="1" x14ac:dyDescent="0.3">
      <c r="A4523" s="24">
        <v>34</v>
      </c>
      <c r="B4523" s="20" t="str">
        <f t="shared" si="140"/>
        <v>AUG</v>
      </c>
      <c r="C4523" s="21">
        <v>46255</v>
      </c>
      <c r="D4523" s="22" t="str">
        <f>IFERROR(INDEX('Kode Outlet dan Target Toko'!$A:$A,MATCH($I4523,'Kode Outlet dan Target Toko'!$E:$E,0)),"")</f>
        <v>GRSM 7</v>
      </c>
      <c r="E4523" s="20" t="str">
        <f>IFERROR(VLOOKUP(I4523,KET!$B:$F,4,0),"")</f>
        <v>INDRI</v>
      </c>
      <c r="F4523" s="20" t="str">
        <f>IFERROR(VLOOKUP($I4523,KET!$B:$F,5,0),"")</f>
        <v>GMM</v>
      </c>
      <c r="G4523" s="20">
        <f>IFERROR(INDEX('Kode Outlet dan Target Toko'!$C:$C,MATCH($I4523,'Kode Outlet dan Target Toko'!$E:$E,0)),0)</f>
        <v>103783</v>
      </c>
      <c r="H4523" s="20">
        <f>IFERROR(INDEX('Kode Outlet dan Target Toko'!$D:$D,MATCH($I4523,'Kode Outlet dan Target Toko'!$E:$E,0)),0)</f>
        <v>7500090</v>
      </c>
      <c r="I4523" s="41" t="s">
        <v>120</v>
      </c>
      <c r="J4523" s="45" t="s">
        <v>236</v>
      </c>
      <c r="K4523" s="53" t="s">
        <v>15</v>
      </c>
      <c r="L4523" s="23">
        <v>6750</v>
      </c>
      <c r="M4523" s="24">
        <v>22</v>
      </c>
      <c r="N4523" s="25">
        <f t="shared" si="141"/>
        <v>148500</v>
      </c>
      <c r="O4523" s="24"/>
    </row>
    <row r="4524" spans="1:15" hidden="1" x14ac:dyDescent="0.3">
      <c r="A4524" s="24">
        <v>34</v>
      </c>
      <c r="B4524" s="20" t="str">
        <f t="shared" si="140"/>
        <v>AUG</v>
      </c>
      <c r="C4524" s="21">
        <v>46255</v>
      </c>
      <c r="D4524" s="22" t="str">
        <f>IFERROR(INDEX('Kode Outlet dan Target Toko'!$A:$A,MATCH($I4524,'Kode Outlet dan Target Toko'!$E:$E,0)),"")</f>
        <v>GRSM 7</v>
      </c>
      <c r="E4524" s="20" t="str">
        <f>IFERROR(VLOOKUP(I4524,KET!$B:$F,4,0),"")</f>
        <v>INDRI</v>
      </c>
      <c r="F4524" s="20" t="str">
        <f>IFERROR(VLOOKUP($I4524,KET!$B:$F,5,0),"")</f>
        <v>GMM</v>
      </c>
      <c r="G4524" s="20">
        <f>IFERROR(INDEX('Kode Outlet dan Target Toko'!$C:$C,MATCH($I4524,'Kode Outlet dan Target Toko'!$E:$E,0)),0)</f>
        <v>103783</v>
      </c>
      <c r="H4524" s="20">
        <f>IFERROR(INDEX('Kode Outlet dan Target Toko'!$D:$D,MATCH($I4524,'Kode Outlet dan Target Toko'!$E:$E,0)),0)</f>
        <v>7500090</v>
      </c>
      <c r="I4524" s="41" t="s">
        <v>120</v>
      </c>
      <c r="J4524" s="45" t="s">
        <v>236</v>
      </c>
      <c r="K4524" s="53" t="s">
        <v>14</v>
      </c>
      <c r="L4524" s="23">
        <v>6750</v>
      </c>
      <c r="M4524" s="24">
        <v>26</v>
      </c>
      <c r="N4524" s="25">
        <f t="shared" si="141"/>
        <v>175500</v>
      </c>
      <c r="O4524" s="24"/>
    </row>
    <row r="4525" spans="1:15" hidden="1" x14ac:dyDescent="0.3">
      <c r="A4525" s="24">
        <v>34</v>
      </c>
      <c r="B4525" s="20" t="str">
        <f t="shared" si="140"/>
        <v>AUG</v>
      </c>
      <c r="C4525" s="21">
        <v>46255</v>
      </c>
      <c r="D4525" s="22" t="str">
        <f>IFERROR(INDEX('Kode Outlet dan Target Toko'!$A:$A,MATCH($I4525,'Kode Outlet dan Target Toko'!$E:$E,0)),"")</f>
        <v>GRSM 7</v>
      </c>
      <c r="E4525" s="20" t="str">
        <f>IFERROR(VLOOKUP(I4525,KET!$B:$F,4,0),"")</f>
        <v>INDRI</v>
      </c>
      <c r="F4525" s="20" t="str">
        <f>IFERROR(VLOOKUP($I4525,KET!$B:$F,5,0),"")</f>
        <v>GMM</v>
      </c>
      <c r="G4525" s="20">
        <f>IFERROR(INDEX('Kode Outlet dan Target Toko'!$C:$C,MATCH($I4525,'Kode Outlet dan Target Toko'!$E:$E,0)),0)</f>
        <v>103783</v>
      </c>
      <c r="H4525" s="20">
        <f>IFERROR(INDEX('Kode Outlet dan Target Toko'!$D:$D,MATCH($I4525,'Kode Outlet dan Target Toko'!$E:$E,0)),0)</f>
        <v>7500090</v>
      </c>
      <c r="I4525" s="41" t="s">
        <v>120</v>
      </c>
      <c r="J4525" s="45" t="s">
        <v>236</v>
      </c>
      <c r="K4525" s="53" t="s">
        <v>13</v>
      </c>
      <c r="L4525" s="23">
        <v>6750</v>
      </c>
      <c r="M4525" s="24">
        <v>20</v>
      </c>
      <c r="N4525" s="25">
        <f t="shared" si="141"/>
        <v>135000</v>
      </c>
      <c r="O4525" s="24"/>
    </row>
    <row r="4526" spans="1:15" hidden="1" x14ac:dyDescent="0.3">
      <c r="A4526" s="24">
        <v>34</v>
      </c>
      <c r="B4526" s="20" t="str">
        <f t="shared" si="140"/>
        <v>AUG</v>
      </c>
      <c r="C4526" s="21">
        <v>46255</v>
      </c>
      <c r="D4526" s="22" t="str">
        <f>IFERROR(INDEX('Kode Outlet dan Target Toko'!$A:$A,MATCH($I4526,'Kode Outlet dan Target Toko'!$E:$E,0)),"")</f>
        <v>GRSM 7</v>
      </c>
      <c r="E4526" s="20" t="str">
        <f>IFERROR(VLOOKUP(I4526,KET!$B:$F,4,0),"")</f>
        <v>INDRI</v>
      </c>
      <c r="F4526" s="20" t="str">
        <f>IFERROR(VLOOKUP($I4526,KET!$B:$F,5,0),"")</f>
        <v>GMM</v>
      </c>
      <c r="G4526" s="20">
        <f>IFERROR(INDEX('Kode Outlet dan Target Toko'!$C:$C,MATCH($I4526,'Kode Outlet dan Target Toko'!$E:$E,0)),0)</f>
        <v>103783</v>
      </c>
      <c r="H4526" s="20">
        <f>IFERROR(INDEX('Kode Outlet dan Target Toko'!$D:$D,MATCH($I4526,'Kode Outlet dan Target Toko'!$E:$E,0)),0)</f>
        <v>7500090</v>
      </c>
      <c r="I4526" s="41" t="s">
        <v>120</v>
      </c>
      <c r="J4526" s="45" t="s">
        <v>236</v>
      </c>
      <c r="K4526" s="53" t="s">
        <v>16</v>
      </c>
      <c r="L4526" s="23">
        <v>6750</v>
      </c>
      <c r="M4526" s="24">
        <v>34</v>
      </c>
      <c r="N4526" s="25">
        <f t="shared" si="141"/>
        <v>229500</v>
      </c>
      <c r="O4526" s="24">
        <v>160</v>
      </c>
    </row>
    <row r="4527" spans="1:15" hidden="1" x14ac:dyDescent="0.3">
      <c r="A4527" s="24">
        <v>34</v>
      </c>
      <c r="B4527" s="20" t="str">
        <f t="shared" si="140"/>
        <v>AUG</v>
      </c>
      <c r="C4527" s="21">
        <v>46255</v>
      </c>
      <c r="D4527" s="22" t="str">
        <f>IFERROR(INDEX('Kode Outlet dan Target Toko'!$A:$A,MATCH($I4527,'Kode Outlet dan Target Toko'!$E:$E,0)),"")</f>
        <v>GRSM 7</v>
      </c>
      <c r="E4527" s="20" t="str">
        <f>IFERROR(VLOOKUP(I4527,KET!$B:$F,4,0),"")</f>
        <v>INDRI</v>
      </c>
      <c r="F4527" s="20" t="str">
        <f>IFERROR(VLOOKUP($I4527,KET!$B:$F,5,0),"")</f>
        <v>GMM</v>
      </c>
      <c r="G4527" s="20">
        <f>IFERROR(INDEX('Kode Outlet dan Target Toko'!$C:$C,MATCH($I4527,'Kode Outlet dan Target Toko'!$E:$E,0)),0)</f>
        <v>103240</v>
      </c>
      <c r="H4527" s="20">
        <f>IFERROR(INDEX('Kode Outlet dan Target Toko'!$D:$D,MATCH($I4527,'Kode Outlet dan Target Toko'!$E:$E,0)),0)</f>
        <v>7112059</v>
      </c>
      <c r="I4527" s="41" t="s">
        <v>116</v>
      </c>
      <c r="J4527" s="45" t="s">
        <v>212</v>
      </c>
      <c r="K4527" s="53" t="s">
        <v>15</v>
      </c>
      <c r="L4527" s="23">
        <v>2123</v>
      </c>
      <c r="M4527" s="24">
        <v>73</v>
      </c>
      <c r="N4527" s="25">
        <f t="shared" si="141"/>
        <v>154979</v>
      </c>
      <c r="O4527" s="24"/>
    </row>
    <row r="4528" spans="1:15" hidden="1" x14ac:dyDescent="0.3">
      <c r="A4528" s="24">
        <v>34</v>
      </c>
      <c r="B4528" s="20" t="str">
        <f t="shared" si="140"/>
        <v>AUG</v>
      </c>
      <c r="C4528" s="21">
        <v>46255</v>
      </c>
      <c r="D4528" s="22" t="str">
        <f>IFERROR(INDEX('Kode Outlet dan Target Toko'!$A:$A,MATCH($I4528,'Kode Outlet dan Target Toko'!$E:$E,0)),"")</f>
        <v>GRSM 7</v>
      </c>
      <c r="E4528" s="20" t="str">
        <f>IFERROR(VLOOKUP(I4528,KET!$B:$F,4,0),"")</f>
        <v>INDRI</v>
      </c>
      <c r="F4528" s="20" t="str">
        <f>IFERROR(VLOOKUP($I4528,KET!$B:$F,5,0),"")</f>
        <v>GMM</v>
      </c>
      <c r="G4528" s="20">
        <f>IFERROR(INDEX('Kode Outlet dan Target Toko'!$C:$C,MATCH($I4528,'Kode Outlet dan Target Toko'!$E:$E,0)),0)</f>
        <v>103240</v>
      </c>
      <c r="H4528" s="20">
        <f>IFERROR(INDEX('Kode Outlet dan Target Toko'!$D:$D,MATCH($I4528,'Kode Outlet dan Target Toko'!$E:$E,0)),0)</f>
        <v>7112059</v>
      </c>
      <c r="I4528" s="41" t="s">
        <v>116</v>
      </c>
      <c r="J4528" s="45" t="s">
        <v>212</v>
      </c>
      <c r="K4528" s="53" t="s">
        <v>14</v>
      </c>
      <c r="L4528" s="23">
        <v>2123</v>
      </c>
      <c r="M4528" s="24">
        <v>6</v>
      </c>
      <c r="N4528" s="25">
        <f t="shared" si="141"/>
        <v>12738</v>
      </c>
      <c r="O4528" s="24"/>
    </row>
    <row r="4529" spans="1:15" hidden="1" x14ac:dyDescent="0.3">
      <c r="A4529" s="24">
        <v>34</v>
      </c>
      <c r="B4529" s="20" t="str">
        <f t="shared" si="140"/>
        <v>AUG</v>
      </c>
      <c r="C4529" s="21">
        <v>46255</v>
      </c>
      <c r="D4529" s="22" t="str">
        <f>IFERROR(INDEX('Kode Outlet dan Target Toko'!$A:$A,MATCH($I4529,'Kode Outlet dan Target Toko'!$E:$E,0)),"")</f>
        <v>GRSM 7</v>
      </c>
      <c r="E4529" s="20" t="str">
        <f>IFERROR(VLOOKUP(I4529,KET!$B:$F,4,0),"")</f>
        <v>INDRI</v>
      </c>
      <c r="F4529" s="20" t="str">
        <f>IFERROR(VLOOKUP($I4529,KET!$B:$F,5,0),"")</f>
        <v>GMM</v>
      </c>
      <c r="G4529" s="20">
        <f>IFERROR(INDEX('Kode Outlet dan Target Toko'!$C:$C,MATCH($I4529,'Kode Outlet dan Target Toko'!$E:$E,0)),0)</f>
        <v>103240</v>
      </c>
      <c r="H4529" s="20">
        <f>IFERROR(INDEX('Kode Outlet dan Target Toko'!$D:$D,MATCH($I4529,'Kode Outlet dan Target Toko'!$E:$E,0)),0)</f>
        <v>7112059</v>
      </c>
      <c r="I4529" s="41" t="s">
        <v>116</v>
      </c>
      <c r="J4529" s="45" t="s">
        <v>212</v>
      </c>
      <c r="K4529" s="53" t="s">
        <v>13</v>
      </c>
      <c r="L4529" s="23">
        <v>2123</v>
      </c>
      <c r="M4529" s="24">
        <v>0</v>
      </c>
      <c r="N4529" s="25">
        <f t="shared" si="141"/>
        <v>0</v>
      </c>
      <c r="O4529" s="24"/>
    </row>
    <row r="4530" spans="1:15" hidden="1" x14ac:dyDescent="0.3">
      <c r="A4530" s="24">
        <v>34</v>
      </c>
      <c r="B4530" s="20" t="str">
        <f t="shared" si="140"/>
        <v>AUG</v>
      </c>
      <c r="C4530" s="21">
        <v>46255</v>
      </c>
      <c r="D4530" s="22" t="str">
        <f>IFERROR(INDEX('Kode Outlet dan Target Toko'!$A:$A,MATCH($I4530,'Kode Outlet dan Target Toko'!$E:$E,0)),"")</f>
        <v>GRSM 7</v>
      </c>
      <c r="E4530" s="20" t="str">
        <f>IFERROR(VLOOKUP(I4530,KET!$B:$F,4,0),"")</f>
        <v>INDRI</v>
      </c>
      <c r="F4530" s="20" t="str">
        <f>IFERROR(VLOOKUP($I4530,KET!$B:$F,5,0),"")</f>
        <v>GMM</v>
      </c>
      <c r="G4530" s="20">
        <f>IFERROR(INDEX('Kode Outlet dan Target Toko'!$C:$C,MATCH($I4530,'Kode Outlet dan Target Toko'!$E:$E,0)),0)</f>
        <v>103240</v>
      </c>
      <c r="H4530" s="20">
        <f>IFERROR(INDEX('Kode Outlet dan Target Toko'!$D:$D,MATCH($I4530,'Kode Outlet dan Target Toko'!$E:$E,0)),0)</f>
        <v>7112059</v>
      </c>
      <c r="I4530" s="41" t="s">
        <v>116</v>
      </c>
      <c r="J4530" s="45" t="s">
        <v>212</v>
      </c>
      <c r="K4530" s="53" t="s">
        <v>16</v>
      </c>
      <c r="L4530" s="23">
        <v>2123</v>
      </c>
      <c r="M4530" s="24">
        <v>120</v>
      </c>
      <c r="N4530" s="25">
        <f t="shared" si="141"/>
        <v>254760</v>
      </c>
      <c r="O4530" s="24">
        <v>160</v>
      </c>
    </row>
    <row r="4531" spans="1:15" hidden="1" x14ac:dyDescent="0.3">
      <c r="A4531" s="24">
        <v>34</v>
      </c>
      <c r="B4531" s="20" t="str">
        <f t="shared" si="140"/>
        <v>AUG</v>
      </c>
      <c r="C4531" s="21">
        <v>46255</v>
      </c>
      <c r="D4531" s="22" t="str">
        <f>IFERROR(INDEX('Kode Outlet dan Target Toko'!$A:$A,MATCH($I4531,'Kode Outlet dan Target Toko'!$E:$E,0)),"")</f>
        <v>GRSM 7</v>
      </c>
      <c r="E4531" s="20" t="str">
        <f>IFERROR(VLOOKUP(I4531,KET!$B:$F,4,0),"")</f>
        <v>INDRI</v>
      </c>
      <c r="F4531" s="20" t="str">
        <f>IFERROR(VLOOKUP($I4531,KET!$B:$F,5,0),"")</f>
        <v>GMM</v>
      </c>
      <c r="G4531" s="20">
        <f>IFERROR(INDEX('Kode Outlet dan Target Toko'!$C:$C,MATCH($I4531,'Kode Outlet dan Target Toko'!$E:$E,0)),0)</f>
        <v>103240</v>
      </c>
      <c r="H4531" s="20">
        <f>IFERROR(INDEX('Kode Outlet dan Target Toko'!$D:$D,MATCH($I4531,'Kode Outlet dan Target Toko'!$E:$E,0)),0)</f>
        <v>7112059</v>
      </c>
      <c r="I4531" s="41" t="s">
        <v>116</v>
      </c>
      <c r="J4531" s="45" t="s">
        <v>213</v>
      </c>
      <c r="K4531" s="53" t="s">
        <v>15</v>
      </c>
      <c r="L4531" s="23">
        <v>2123</v>
      </c>
      <c r="M4531" s="24">
        <v>73</v>
      </c>
      <c r="N4531" s="25">
        <f t="shared" si="141"/>
        <v>154979</v>
      </c>
      <c r="O4531" s="24"/>
    </row>
    <row r="4532" spans="1:15" hidden="1" x14ac:dyDescent="0.3">
      <c r="A4532" s="24">
        <v>34</v>
      </c>
      <c r="B4532" s="20" t="str">
        <f t="shared" si="140"/>
        <v>AUG</v>
      </c>
      <c r="C4532" s="21">
        <v>46255</v>
      </c>
      <c r="D4532" s="22" t="str">
        <f>IFERROR(INDEX('Kode Outlet dan Target Toko'!$A:$A,MATCH($I4532,'Kode Outlet dan Target Toko'!$E:$E,0)),"")</f>
        <v>GRSM 7</v>
      </c>
      <c r="E4532" s="20" t="str">
        <f>IFERROR(VLOOKUP(I4532,KET!$B:$F,4,0),"")</f>
        <v>INDRI</v>
      </c>
      <c r="F4532" s="20" t="str">
        <f>IFERROR(VLOOKUP($I4532,KET!$B:$F,5,0),"")</f>
        <v>GMM</v>
      </c>
      <c r="G4532" s="20">
        <f>IFERROR(INDEX('Kode Outlet dan Target Toko'!$C:$C,MATCH($I4532,'Kode Outlet dan Target Toko'!$E:$E,0)),0)</f>
        <v>103240</v>
      </c>
      <c r="H4532" s="20">
        <f>IFERROR(INDEX('Kode Outlet dan Target Toko'!$D:$D,MATCH($I4532,'Kode Outlet dan Target Toko'!$E:$E,0)),0)</f>
        <v>7112059</v>
      </c>
      <c r="I4532" s="41" t="s">
        <v>116</v>
      </c>
      <c r="J4532" s="45" t="s">
        <v>213</v>
      </c>
      <c r="K4532" s="53" t="s">
        <v>14</v>
      </c>
      <c r="L4532" s="23">
        <v>2123</v>
      </c>
      <c r="M4532" s="24">
        <v>6</v>
      </c>
      <c r="N4532" s="25">
        <f t="shared" si="141"/>
        <v>12738</v>
      </c>
      <c r="O4532" s="24"/>
    </row>
    <row r="4533" spans="1:15" hidden="1" x14ac:dyDescent="0.3">
      <c r="A4533" s="24">
        <v>34</v>
      </c>
      <c r="B4533" s="20" t="str">
        <f t="shared" si="140"/>
        <v>AUG</v>
      </c>
      <c r="C4533" s="21">
        <v>46255</v>
      </c>
      <c r="D4533" s="22" t="str">
        <f>IFERROR(INDEX('Kode Outlet dan Target Toko'!$A:$A,MATCH($I4533,'Kode Outlet dan Target Toko'!$E:$E,0)),"")</f>
        <v>GRSM 7</v>
      </c>
      <c r="E4533" s="20" t="str">
        <f>IFERROR(VLOOKUP(I4533,KET!$B:$F,4,0),"")</f>
        <v>INDRI</v>
      </c>
      <c r="F4533" s="20" t="str">
        <f>IFERROR(VLOOKUP($I4533,KET!$B:$F,5,0),"")</f>
        <v>GMM</v>
      </c>
      <c r="G4533" s="20">
        <f>IFERROR(INDEX('Kode Outlet dan Target Toko'!$C:$C,MATCH($I4533,'Kode Outlet dan Target Toko'!$E:$E,0)),0)</f>
        <v>103240</v>
      </c>
      <c r="H4533" s="20">
        <f>IFERROR(INDEX('Kode Outlet dan Target Toko'!$D:$D,MATCH($I4533,'Kode Outlet dan Target Toko'!$E:$E,0)),0)</f>
        <v>7112059</v>
      </c>
      <c r="I4533" s="41" t="s">
        <v>116</v>
      </c>
      <c r="J4533" s="45" t="s">
        <v>213</v>
      </c>
      <c r="K4533" s="53" t="s">
        <v>13</v>
      </c>
      <c r="L4533" s="23">
        <v>2123</v>
      </c>
      <c r="M4533" s="24">
        <v>0</v>
      </c>
      <c r="N4533" s="25">
        <f t="shared" si="141"/>
        <v>0</v>
      </c>
      <c r="O4533" s="24"/>
    </row>
    <row r="4534" spans="1:15" hidden="1" x14ac:dyDescent="0.3">
      <c r="A4534" s="24">
        <v>34</v>
      </c>
      <c r="B4534" s="20" t="str">
        <f t="shared" si="140"/>
        <v>AUG</v>
      </c>
      <c r="C4534" s="21">
        <v>46255</v>
      </c>
      <c r="D4534" s="22" t="str">
        <f>IFERROR(INDEX('Kode Outlet dan Target Toko'!$A:$A,MATCH($I4534,'Kode Outlet dan Target Toko'!$E:$E,0)),"")</f>
        <v>GRSM 7</v>
      </c>
      <c r="E4534" s="20" t="str">
        <f>IFERROR(VLOOKUP(I4534,KET!$B:$F,4,0),"")</f>
        <v>INDRI</v>
      </c>
      <c r="F4534" s="20" t="str">
        <f>IFERROR(VLOOKUP($I4534,KET!$B:$F,5,0),"")</f>
        <v>GMM</v>
      </c>
      <c r="G4534" s="20">
        <f>IFERROR(INDEX('Kode Outlet dan Target Toko'!$C:$C,MATCH($I4534,'Kode Outlet dan Target Toko'!$E:$E,0)),0)</f>
        <v>103240</v>
      </c>
      <c r="H4534" s="20">
        <f>IFERROR(INDEX('Kode Outlet dan Target Toko'!$D:$D,MATCH($I4534,'Kode Outlet dan Target Toko'!$E:$E,0)),0)</f>
        <v>7112059</v>
      </c>
      <c r="I4534" s="41" t="s">
        <v>116</v>
      </c>
      <c r="J4534" s="45" t="s">
        <v>213</v>
      </c>
      <c r="K4534" s="53" t="s">
        <v>16</v>
      </c>
      <c r="L4534" s="23">
        <v>2123</v>
      </c>
      <c r="M4534" s="24">
        <v>120</v>
      </c>
      <c r="N4534" s="25">
        <f t="shared" si="141"/>
        <v>254760</v>
      </c>
      <c r="O4534" s="24">
        <v>160</v>
      </c>
    </row>
    <row r="4535" spans="1:15" hidden="1" x14ac:dyDescent="0.3">
      <c r="A4535" s="24">
        <v>34</v>
      </c>
      <c r="B4535" s="20" t="str">
        <f t="shared" si="140"/>
        <v>AUG</v>
      </c>
      <c r="C4535" s="21">
        <v>46255</v>
      </c>
      <c r="D4535" s="22" t="str">
        <f>IFERROR(INDEX('Kode Outlet dan Target Toko'!$A:$A,MATCH($I4535,'Kode Outlet dan Target Toko'!$E:$E,0)),"")</f>
        <v>GRSM 7</v>
      </c>
      <c r="E4535" s="20" t="str">
        <f>IFERROR(VLOOKUP(I4535,KET!$B:$F,4,0),"")</f>
        <v>INDRI</v>
      </c>
      <c r="F4535" s="20" t="str">
        <f>IFERROR(VLOOKUP($I4535,KET!$B:$F,5,0),"")</f>
        <v>GMM</v>
      </c>
      <c r="G4535" s="20">
        <f>IFERROR(INDEX('Kode Outlet dan Target Toko'!$C:$C,MATCH($I4535,'Kode Outlet dan Target Toko'!$E:$E,0)),0)</f>
        <v>211074</v>
      </c>
      <c r="H4535" s="20">
        <f>IFERROR(INDEX('Kode Outlet dan Target Toko'!$D:$D,MATCH($I4535,'Kode Outlet dan Target Toko'!$E:$E,0)),0)</f>
        <v>2217375</v>
      </c>
      <c r="I4535" s="41" t="s">
        <v>85</v>
      </c>
      <c r="J4535" s="45" t="s">
        <v>209</v>
      </c>
      <c r="K4535" s="53" t="s">
        <v>15</v>
      </c>
      <c r="L4535" s="23">
        <v>3200</v>
      </c>
      <c r="M4535" s="24">
        <v>20</v>
      </c>
      <c r="N4535" s="25">
        <f t="shared" si="141"/>
        <v>64000</v>
      </c>
      <c r="O4535" s="24"/>
    </row>
    <row r="4536" spans="1:15" hidden="1" x14ac:dyDescent="0.3">
      <c r="A4536" s="24">
        <v>34</v>
      </c>
      <c r="B4536" s="20" t="str">
        <f t="shared" si="140"/>
        <v>AUG</v>
      </c>
      <c r="C4536" s="21">
        <v>46255</v>
      </c>
      <c r="D4536" s="22" t="str">
        <f>IFERROR(INDEX('Kode Outlet dan Target Toko'!$A:$A,MATCH($I4536,'Kode Outlet dan Target Toko'!$E:$E,0)),"")</f>
        <v>GRSM 7</v>
      </c>
      <c r="E4536" s="20" t="str">
        <f>IFERROR(VLOOKUP(I4536,KET!$B:$F,4,0),"")</f>
        <v>INDRI</v>
      </c>
      <c r="F4536" s="20" t="str">
        <f>IFERROR(VLOOKUP($I4536,KET!$B:$F,5,0),"")</f>
        <v>GMM</v>
      </c>
      <c r="G4536" s="20">
        <f>IFERROR(INDEX('Kode Outlet dan Target Toko'!$C:$C,MATCH($I4536,'Kode Outlet dan Target Toko'!$E:$E,0)),0)</f>
        <v>211074</v>
      </c>
      <c r="H4536" s="20">
        <f>IFERROR(INDEX('Kode Outlet dan Target Toko'!$D:$D,MATCH($I4536,'Kode Outlet dan Target Toko'!$E:$E,0)),0)</f>
        <v>2217375</v>
      </c>
      <c r="I4536" s="41" t="s">
        <v>85</v>
      </c>
      <c r="J4536" s="45" t="s">
        <v>209</v>
      </c>
      <c r="K4536" s="53" t="s">
        <v>14</v>
      </c>
      <c r="L4536" s="23">
        <v>3200</v>
      </c>
      <c r="M4536" s="24">
        <v>0</v>
      </c>
      <c r="N4536" s="25">
        <f t="shared" si="141"/>
        <v>0</v>
      </c>
      <c r="O4536" s="24"/>
    </row>
    <row r="4537" spans="1:15" hidden="1" x14ac:dyDescent="0.3">
      <c r="A4537" s="24">
        <v>34</v>
      </c>
      <c r="B4537" s="20" t="str">
        <f t="shared" si="140"/>
        <v>AUG</v>
      </c>
      <c r="C4537" s="21">
        <v>46255</v>
      </c>
      <c r="D4537" s="22" t="str">
        <f>IFERROR(INDEX('Kode Outlet dan Target Toko'!$A:$A,MATCH($I4537,'Kode Outlet dan Target Toko'!$E:$E,0)),"")</f>
        <v>GRSM 7</v>
      </c>
      <c r="E4537" s="20" t="str">
        <f>IFERROR(VLOOKUP(I4537,KET!$B:$F,4,0),"")</f>
        <v>INDRI</v>
      </c>
      <c r="F4537" s="20" t="str">
        <f>IFERROR(VLOOKUP($I4537,KET!$B:$F,5,0),"")</f>
        <v>GMM</v>
      </c>
      <c r="G4537" s="20">
        <f>IFERROR(INDEX('Kode Outlet dan Target Toko'!$C:$C,MATCH($I4537,'Kode Outlet dan Target Toko'!$E:$E,0)),0)</f>
        <v>211074</v>
      </c>
      <c r="H4537" s="20">
        <f>IFERROR(INDEX('Kode Outlet dan Target Toko'!$D:$D,MATCH($I4537,'Kode Outlet dan Target Toko'!$E:$E,0)),0)</f>
        <v>2217375</v>
      </c>
      <c r="I4537" s="41" t="s">
        <v>85</v>
      </c>
      <c r="J4537" s="45" t="s">
        <v>209</v>
      </c>
      <c r="K4537" s="53" t="s">
        <v>13</v>
      </c>
      <c r="L4537" s="23">
        <v>3200</v>
      </c>
      <c r="M4537" s="24">
        <v>10</v>
      </c>
      <c r="N4537" s="25">
        <f t="shared" si="141"/>
        <v>32000</v>
      </c>
      <c r="O4537" s="24"/>
    </row>
    <row r="4538" spans="1:15" hidden="1" x14ac:dyDescent="0.3">
      <c r="A4538" s="24">
        <v>34</v>
      </c>
      <c r="B4538" s="20" t="str">
        <f t="shared" si="140"/>
        <v>AUG</v>
      </c>
      <c r="C4538" s="21">
        <v>46255</v>
      </c>
      <c r="D4538" s="22" t="str">
        <f>IFERROR(INDEX('Kode Outlet dan Target Toko'!$A:$A,MATCH($I4538,'Kode Outlet dan Target Toko'!$E:$E,0)),"")</f>
        <v>GRSM 7</v>
      </c>
      <c r="E4538" s="20" t="str">
        <f>IFERROR(VLOOKUP(I4538,KET!$B:$F,4,0),"")</f>
        <v>INDRI</v>
      </c>
      <c r="F4538" s="20" t="str">
        <f>IFERROR(VLOOKUP($I4538,KET!$B:$F,5,0),"")</f>
        <v>GMM</v>
      </c>
      <c r="G4538" s="20">
        <f>IFERROR(INDEX('Kode Outlet dan Target Toko'!$C:$C,MATCH($I4538,'Kode Outlet dan Target Toko'!$E:$E,0)),0)</f>
        <v>211074</v>
      </c>
      <c r="H4538" s="20">
        <f>IFERROR(INDEX('Kode Outlet dan Target Toko'!$D:$D,MATCH($I4538,'Kode Outlet dan Target Toko'!$E:$E,0)),0)</f>
        <v>2217375</v>
      </c>
      <c r="I4538" s="41" t="s">
        <v>85</v>
      </c>
      <c r="J4538" s="45" t="s">
        <v>209</v>
      </c>
      <c r="K4538" s="53" t="s">
        <v>16</v>
      </c>
      <c r="L4538" s="23">
        <v>3200</v>
      </c>
      <c r="M4538" s="24">
        <v>160</v>
      </c>
      <c r="N4538" s="25">
        <f t="shared" si="141"/>
        <v>512000</v>
      </c>
      <c r="O4538" s="24">
        <v>160</v>
      </c>
    </row>
    <row r="4539" spans="1:15" hidden="1" x14ac:dyDescent="0.3">
      <c r="A4539" s="24">
        <v>34</v>
      </c>
      <c r="B4539" s="20" t="str">
        <f t="shared" si="140"/>
        <v>AUG</v>
      </c>
      <c r="C4539" s="21">
        <v>46255</v>
      </c>
      <c r="D4539" s="22" t="str">
        <f>IFERROR(INDEX('Kode Outlet dan Target Toko'!$A:$A,MATCH($I4539,'Kode Outlet dan Target Toko'!$E:$E,0)),"")</f>
        <v>GRSM 7</v>
      </c>
      <c r="E4539" s="20" t="str">
        <f>IFERROR(VLOOKUP(I4539,KET!$B:$F,4,0),"")</f>
        <v>INDRI</v>
      </c>
      <c r="F4539" s="20" t="str">
        <f>IFERROR(VLOOKUP($I4539,KET!$B:$F,5,0),"")</f>
        <v>GMM</v>
      </c>
      <c r="G4539" s="20">
        <f>IFERROR(INDEX('Kode Outlet dan Target Toko'!$C:$C,MATCH($I4539,'Kode Outlet dan Target Toko'!$E:$E,0)),0)</f>
        <v>211074</v>
      </c>
      <c r="H4539" s="20">
        <f>IFERROR(INDEX('Kode Outlet dan Target Toko'!$D:$D,MATCH($I4539,'Kode Outlet dan Target Toko'!$E:$E,0)),0)</f>
        <v>2217375</v>
      </c>
      <c r="I4539" s="41" t="s">
        <v>85</v>
      </c>
      <c r="J4539" s="45" t="s">
        <v>210</v>
      </c>
      <c r="K4539" s="53" t="s">
        <v>15</v>
      </c>
      <c r="L4539" s="23">
        <v>3200</v>
      </c>
      <c r="M4539" s="24">
        <v>20</v>
      </c>
      <c r="N4539" s="25">
        <f t="shared" si="141"/>
        <v>64000</v>
      </c>
      <c r="O4539" s="24"/>
    </row>
    <row r="4540" spans="1:15" hidden="1" x14ac:dyDescent="0.3">
      <c r="A4540" s="24">
        <v>34</v>
      </c>
      <c r="B4540" s="20" t="str">
        <f t="shared" si="140"/>
        <v>AUG</v>
      </c>
      <c r="C4540" s="21">
        <v>46255</v>
      </c>
      <c r="D4540" s="22" t="str">
        <f>IFERROR(INDEX('Kode Outlet dan Target Toko'!$A:$A,MATCH($I4540,'Kode Outlet dan Target Toko'!$E:$E,0)),"")</f>
        <v>GRSM 7</v>
      </c>
      <c r="E4540" s="20" t="str">
        <f>IFERROR(VLOOKUP(I4540,KET!$B:$F,4,0),"")</f>
        <v>INDRI</v>
      </c>
      <c r="F4540" s="20" t="str">
        <f>IFERROR(VLOOKUP($I4540,KET!$B:$F,5,0),"")</f>
        <v>GMM</v>
      </c>
      <c r="G4540" s="20">
        <f>IFERROR(INDEX('Kode Outlet dan Target Toko'!$C:$C,MATCH($I4540,'Kode Outlet dan Target Toko'!$E:$E,0)),0)</f>
        <v>211074</v>
      </c>
      <c r="H4540" s="20">
        <f>IFERROR(INDEX('Kode Outlet dan Target Toko'!$D:$D,MATCH($I4540,'Kode Outlet dan Target Toko'!$E:$E,0)),0)</f>
        <v>2217375</v>
      </c>
      <c r="I4540" s="41" t="s">
        <v>85</v>
      </c>
      <c r="J4540" s="45" t="s">
        <v>210</v>
      </c>
      <c r="K4540" s="53" t="s">
        <v>14</v>
      </c>
      <c r="L4540" s="23">
        <v>3200</v>
      </c>
      <c r="M4540" s="24">
        <v>0</v>
      </c>
      <c r="N4540" s="25">
        <f t="shared" si="141"/>
        <v>0</v>
      </c>
      <c r="O4540" s="24"/>
    </row>
    <row r="4541" spans="1:15" hidden="1" x14ac:dyDescent="0.3">
      <c r="A4541" s="24">
        <v>34</v>
      </c>
      <c r="B4541" s="20" t="str">
        <f t="shared" si="140"/>
        <v>AUG</v>
      </c>
      <c r="C4541" s="21">
        <v>46255</v>
      </c>
      <c r="D4541" s="22" t="str">
        <f>IFERROR(INDEX('Kode Outlet dan Target Toko'!$A:$A,MATCH($I4541,'Kode Outlet dan Target Toko'!$E:$E,0)),"")</f>
        <v>GRSM 7</v>
      </c>
      <c r="E4541" s="20" t="str">
        <f>IFERROR(VLOOKUP(I4541,KET!$B:$F,4,0),"")</f>
        <v>INDRI</v>
      </c>
      <c r="F4541" s="20" t="str">
        <f>IFERROR(VLOOKUP($I4541,KET!$B:$F,5,0),"")</f>
        <v>GMM</v>
      </c>
      <c r="G4541" s="20">
        <f>IFERROR(INDEX('Kode Outlet dan Target Toko'!$C:$C,MATCH($I4541,'Kode Outlet dan Target Toko'!$E:$E,0)),0)</f>
        <v>211074</v>
      </c>
      <c r="H4541" s="20">
        <f>IFERROR(INDEX('Kode Outlet dan Target Toko'!$D:$D,MATCH($I4541,'Kode Outlet dan Target Toko'!$E:$E,0)),0)</f>
        <v>2217375</v>
      </c>
      <c r="I4541" s="41" t="s">
        <v>85</v>
      </c>
      <c r="J4541" s="45" t="s">
        <v>210</v>
      </c>
      <c r="K4541" s="53" t="s">
        <v>13</v>
      </c>
      <c r="L4541" s="23">
        <v>3200</v>
      </c>
      <c r="M4541" s="24">
        <v>10</v>
      </c>
      <c r="N4541" s="25">
        <f t="shared" si="141"/>
        <v>32000</v>
      </c>
      <c r="O4541" s="24"/>
    </row>
    <row r="4542" spans="1:15" hidden="1" x14ac:dyDescent="0.3">
      <c r="A4542" s="24">
        <v>34</v>
      </c>
      <c r="B4542" s="20" t="str">
        <f t="shared" si="140"/>
        <v>AUG</v>
      </c>
      <c r="C4542" s="21">
        <v>46255</v>
      </c>
      <c r="D4542" s="22" t="str">
        <f>IFERROR(INDEX('Kode Outlet dan Target Toko'!$A:$A,MATCH($I4542,'Kode Outlet dan Target Toko'!$E:$E,0)),"")</f>
        <v>GRSM 7</v>
      </c>
      <c r="E4542" s="20" t="str">
        <f>IFERROR(VLOOKUP(I4542,KET!$B:$F,4,0),"")</f>
        <v>INDRI</v>
      </c>
      <c r="F4542" s="20" t="str">
        <f>IFERROR(VLOOKUP($I4542,KET!$B:$F,5,0),"")</f>
        <v>GMM</v>
      </c>
      <c r="G4542" s="20">
        <f>IFERROR(INDEX('Kode Outlet dan Target Toko'!$C:$C,MATCH($I4542,'Kode Outlet dan Target Toko'!$E:$E,0)),0)</f>
        <v>211074</v>
      </c>
      <c r="H4542" s="20">
        <f>IFERROR(INDEX('Kode Outlet dan Target Toko'!$D:$D,MATCH($I4542,'Kode Outlet dan Target Toko'!$E:$E,0)),0)</f>
        <v>2217375</v>
      </c>
      <c r="I4542" s="41" t="s">
        <v>85</v>
      </c>
      <c r="J4542" s="45" t="s">
        <v>210</v>
      </c>
      <c r="K4542" s="53" t="s">
        <v>16</v>
      </c>
      <c r="L4542" s="23">
        <v>3200</v>
      </c>
      <c r="M4542" s="24">
        <v>160</v>
      </c>
      <c r="N4542" s="25">
        <f t="shared" si="141"/>
        <v>512000</v>
      </c>
      <c r="O4542" s="24">
        <v>160</v>
      </c>
    </row>
    <row r="4543" spans="1:15" hidden="1" x14ac:dyDescent="0.3">
      <c r="A4543" s="24">
        <v>34</v>
      </c>
      <c r="B4543" s="20" t="str">
        <f t="shared" si="140"/>
        <v>AUG</v>
      </c>
      <c r="C4543" s="21">
        <v>46255</v>
      </c>
      <c r="D4543" s="22" t="str">
        <f>IFERROR(INDEX('Kode Outlet dan Target Toko'!$A:$A,MATCH($I4543,'Kode Outlet dan Target Toko'!$E:$E,0)),"")</f>
        <v>GRSM 7</v>
      </c>
      <c r="E4543" s="20" t="str">
        <f>IFERROR(VLOOKUP(I4543,KET!$B:$F,4,0),"")</f>
        <v>INDRI</v>
      </c>
      <c r="F4543" s="20" t="str">
        <f>IFERROR(VLOOKUP($I4543,KET!$B:$F,5,0),"")</f>
        <v>GMM</v>
      </c>
      <c r="G4543" s="20">
        <f>IFERROR(INDEX('Kode Outlet dan Target Toko'!$C:$C,MATCH($I4543,'Kode Outlet dan Target Toko'!$E:$E,0)),0)</f>
        <v>211074</v>
      </c>
      <c r="H4543" s="20">
        <f>IFERROR(INDEX('Kode Outlet dan Target Toko'!$D:$D,MATCH($I4543,'Kode Outlet dan Target Toko'!$E:$E,0)),0)</f>
        <v>2217375</v>
      </c>
      <c r="I4543" s="41" t="s">
        <v>85</v>
      </c>
      <c r="J4543" s="45" t="s">
        <v>211</v>
      </c>
      <c r="K4543" s="53" t="s">
        <v>15</v>
      </c>
      <c r="L4543" s="23">
        <v>3200</v>
      </c>
      <c r="M4543" s="24">
        <v>20</v>
      </c>
      <c r="N4543" s="25">
        <f t="shared" si="141"/>
        <v>64000</v>
      </c>
      <c r="O4543" s="24"/>
    </row>
    <row r="4544" spans="1:15" hidden="1" x14ac:dyDescent="0.3">
      <c r="A4544" s="24">
        <v>34</v>
      </c>
      <c r="B4544" s="20" t="str">
        <f t="shared" si="140"/>
        <v>AUG</v>
      </c>
      <c r="C4544" s="21">
        <v>46255</v>
      </c>
      <c r="D4544" s="22" t="str">
        <f>IFERROR(INDEX('Kode Outlet dan Target Toko'!$A:$A,MATCH($I4544,'Kode Outlet dan Target Toko'!$E:$E,0)),"")</f>
        <v>GRSM 7</v>
      </c>
      <c r="E4544" s="20" t="str">
        <f>IFERROR(VLOOKUP(I4544,KET!$B:$F,4,0),"")</f>
        <v>INDRI</v>
      </c>
      <c r="F4544" s="20" t="str">
        <f>IFERROR(VLOOKUP($I4544,KET!$B:$F,5,0),"")</f>
        <v>GMM</v>
      </c>
      <c r="G4544" s="20">
        <f>IFERROR(INDEX('Kode Outlet dan Target Toko'!$C:$C,MATCH($I4544,'Kode Outlet dan Target Toko'!$E:$E,0)),0)</f>
        <v>211074</v>
      </c>
      <c r="H4544" s="20">
        <f>IFERROR(INDEX('Kode Outlet dan Target Toko'!$D:$D,MATCH($I4544,'Kode Outlet dan Target Toko'!$E:$E,0)),0)</f>
        <v>2217375</v>
      </c>
      <c r="I4544" s="41" t="s">
        <v>85</v>
      </c>
      <c r="J4544" s="45" t="s">
        <v>211</v>
      </c>
      <c r="K4544" s="53" t="s">
        <v>14</v>
      </c>
      <c r="L4544" s="23">
        <v>3200</v>
      </c>
      <c r="M4544" s="24">
        <v>0</v>
      </c>
      <c r="N4544" s="25">
        <f t="shared" si="141"/>
        <v>0</v>
      </c>
      <c r="O4544" s="24"/>
    </row>
    <row r="4545" spans="1:15" hidden="1" x14ac:dyDescent="0.3">
      <c r="A4545" s="24">
        <v>34</v>
      </c>
      <c r="B4545" s="20" t="str">
        <f t="shared" si="140"/>
        <v>AUG</v>
      </c>
      <c r="C4545" s="21">
        <v>46255</v>
      </c>
      <c r="D4545" s="22" t="str">
        <f>IFERROR(INDEX('Kode Outlet dan Target Toko'!$A:$A,MATCH($I4545,'Kode Outlet dan Target Toko'!$E:$E,0)),"")</f>
        <v>GRSM 7</v>
      </c>
      <c r="E4545" s="20" t="str">
        <f>IFERROR(VLOOKUP(I4545,KET!$B:$F,4,0),"")</f>
        <v>INDRI</v>
      </c>
      <c r="F4545" s="20" t="str">
        <f>IFERROR(VLOOKUP($I4545,KET!$B:$F,5,0),"")</f>
        <v>GMM</v>
      </c>
      <c r="G4545" s="20">
        <f>IFERROR(INDEX('Kode Outlet dan Target Toko'!$C:$C,MATCH($I4545,'Kode Outlet dan Target Toko'!$E:$E,0)),0)</f>
        <v>211074</v>
      </c>
      <c r="H4545" s="20">
        <f>IFERROR(INDEX('Kode Outlet dan Target Toko'!$D:$D,MATCH($I4545,'Kode Outlet dan Target Toko'!$E:$E,0)),0)</f>
        <v>2217375</v>
      </c>
      <c r="I4545" s="41" t="s">
        <v>85</v>
      </c>
      <c r="J4545" s="45" t="s">
        <v>211</v>
      </c>
      <c r="K4545" s="53" t="s">
        <v>13</v>
      </c>
      <c r="L4545" s="23">
        <v>3200</v>
      </c>
      <c r="M4545" s="24">
        <v>10</v>
      </c>
      <c r="N4545" s="25">
        <f t="shared" si="141"/>
        <v>32000</v>
      </c>
      <c r="O4545" s="24"/>
    </row>
    <row r="4546" spans="1:15" hidden="1" x14ac:dyDescent="0.3">
      <c r="A4546" s="24">
        <v>34</v>
      </c>
      <c r="B4546" s="20" t="str">
        <f t="shared" si="140"/>
        <v>AUG</v>
      </c>
      <c r="C4546" s="21">
        <v>46255</v>
      </c>
      <c r="D4546" s="22" t="str">
        <f>IFERROR(INDEX('Kode Outlet dan Target Toko'!$A:$A,MATCH($I4546,'Kode Outlet dan Target Toko'!$E:$E,0)),"")</f>
        <v>GRSM 7</v>
      </c>
      <c r="E4546" s="20" t="str">
        <f>IFERROR(VLOOKUP(I4546,KET!$B:$F,4,0),"")</f>
        <v>INDRI</v>
      </c>
      <c r="F4546" s="20" t="str">
        <f>IFERROR(VLOOKUP($I4546,KET!$B:$F,5,0),"")</f>
        <v>GMM</v>
      </c>
      <c r="G4546" s="20">
        <f>IFERROR(INDEX('Kode Outlet dan Target Toko'!$C:$C,MATCH($I4546,'Kode Outlet dan Target Toko'!$E:$E,0)),0)</f>
        <v>211074</v>
      </c>
      <c r="H4546" s="20">
        <f>IFERROR(INDEX('Kode Outlet dan Target Toko'!$D:$D,MATCH($I4546,'Kode Outlet dan Target Toko'!$E:$E,0)),0)</f>
        <v>2217375</v>
      </c>
      <c r="I4546" s="41" t="s">
        <v>85</v>
      </c>
      <c r="J4546" s="45" t="s">
        <v>211</v>
      </c>
      <c r="K4546" s="53" t="s">
        <v>16</v>
      </c>
      <c r="L4546" s="23">
        <v>3200</v>
      </c>
      <c r="M4546" s="24">
        <v>160</v>
      </c>
      <c r="N4546" s="25">
        <f t="shared" si="141"/>
        <v>512000</v>
      </c>
      <c r="O4546" s="24">
        <v>160</v>
      </c>
    </row>
    <row r="4547" spans="1:15" hidden="1" x14ac:dyDescent="0.3">
      <c r="A4547" s="24">
        <v>34</v>
      </c>
      <c r="B4547" s="20" t="str">
        <f t="shared" si="140"/>
        <v>AUG</v>
      </c>
      <c r="C4547" s="21">
        <v>46256</v>
      </c>
      <c r="D4547" s="22" t="str">
        <f>IFERROR(INDEX('Kode Outlet dan Target Toko'!$A:$A,MATCH($I4547,'Kode Outlet dan Target Toko'!$E:$E,0)),"")</f>
        <v>GRSM 7</v>
      </c>
      <c r="E4547" s="20" t="str">
        <f>IFERROR(VLOOKUP(I4547,KET!$B:$F,4,0),"")</f>
        <v>INDRI</v>
      </c>
      <c r="F4547" s="20" t="str">
        <f>IFERROR(VLOOKUP($I4547,KET!$B:$F,5,0),"")</f>
        <v>GMM</v>
      </c>
      <c r="G4547" s="20">
        <f>IFERROR(INDEX('Kode Outlet dan Target Toko'!$C:$C,MATCH($I4547,'Kode Outlet dan Target Toko'!$E:$E,0)),0)</f>
        <v>103783</v>
      </c>
      <c r="H4547" s="20">
        <f>IFERROR(INDEX('Kode Outlet dan Target Toko'!$D:$D,MATCH($I4547,'Kode Outlet dan Target Toko'!$E:$E,0)),0)</f>
        <v>7500032</v>
      </c>
      <c r="I4547" s="41" t="s">
        <v>122</v>
      </c>
      <c r="J4547" s="56" t="s">
        <v>303</v>
      </c>
      <c r="K4547" s="53" t="s">
        <v>15</v>
      </c>
      <c r="L4547" s="23">
        <v>6400</v>
      </c>
      <c r="M4547" s="24">
        <v>10</v>
      </c>
      <c r="N4547" s="25">
        <f t="shared" si="141"/>
        <v>64000</v>
      </c>
      <c r="O4547" s="24"/>
    </row>
    <row r="4548" spans="1:15" hidden="1" x14ac:dyDescent="0.3">
      <c r="A4548" s="24">
        <v>34</v>
      </c>
      <c r="B4548" s="20" t="str">
        <f t="shared" si="140"/>
        <v>AUG</v>
      </c>
      <c r="C4548" s="21">
        <v>46256</v>
      </c>
      <c r="D4548" s="22" t="str">
        <f>IFERROR(INDEX('Kode Outlet dan Target Toko'!$A:$A,MATCH($I4548,'Kode Outlet dan Target Toko'!$E:$E,0)),"")</f>
        <v>GRSM 7</v>
      </c>
      <c r="E4548" s="20" t="str">
        <f>IFERROR(VLOOKUP(I4548,KET!$B:$F,4,0),"")</f>
        <v>INDRI</v>
      </c>
      <c r="F4548" s="20" t="str">
        <f>IFERROR(VLOOKUP($I4548,KET!$B:$F,5,0),"")</f>
        <v>GMM</v>
      </c>
      <c r="G4548" s="20">
        <f>IFERROR(INDEX('Kode Outlet dan Target Toko'!$C:$C,MATCH($I4548,'Kode Outlet dan Target Toko'!$E:$E,0)),0)</f>
        <v>103783</v>
      </c>
      <c r="H4548" s="20">
        <f>IFERROR(INDEX('Kode Outlet dan Target Toko'!$D:$D,MATCH($I4548,'Kode Outlet dan Target Toko'!$E:$E,0)),0)</f>
        <v>7500032</v>
      </c>
      <c r="I4548" s="41" t="s">
        <v>122</v>
      </c>
      <c r="J4548" s="56" t="s">
        <v>303</v>
      </c>
      <c r="K4548" s="53" t="s">
        <v>14</v>
      </c>
      <c r="L4548" s="23">
        <v>6400</v>
      </c>
      <c r="M4548" s="24">
        <v>25</v>
      </c>
      <c r="N4548" s="25">
        <f t="shared" si="141"/>
        <v>160000</v>
      </c>
      <c r="O4548" s="24"/>
    </row>
    <row r="4549" spans="1:15" hidden="1" x14ac:dyDescent="0.3">
      <c r="A4549" s="24">
        <v>34</v>
      </c>
      <c r="B4549" s="20" t="str">
        <f t="shared" si="140"/>
        <v>AUG</v>
      </c>
      <c r="C4549" s="21">
        <v>46256</v>
      </c>
      <c r="D4549" s="22" t="str">
        <f>IFERROR(INDEX('Kode Outlet dan Target Toko'!$A:$A,MATCH($I4549,'Kode Outlet dan Target Toko'!$E:$E,0)),"")</f>
        <v>GRSM 7</v>
      </c>
      <c r="E4549" s="20" t="str">
        <f>IFERROR(VLOOKUP(I4549,KET!$B:$F,4,0),"")</f>
        <v>INDRI</v>
      </c>
      <c r="F4549" s="20" t="str">
        <f>IFERROR(VLOOKUP($I4549,KET!$B:$F,5,0),"")</f>
        <v>GMM</v>
      </c>
      <c r="G4549" s="20">
        <f>IFERROR(INDEX('Kode Outlet dan Target Toko'!$C:$C,MATCH($I4549,'Kode Outlet dan Target Toko'!$E:$E,0)),0)</f>
        <v>103783</v>
      </c>
      <c r="H4549" s="20">
        <f>IFERROR(INDEX('Kode Outlet dan Target Toko'!$D:$D,MATCH($I4549,'Kode Outlet dan Target Toko'!$E:$E,0)),0)</f>
        <v>7500032</v>
      </c>
      <c r="I4549" s="41" t="s">
        <v>122</v>
      </c>
      <c r="J4549" s="56" t="s">
        <v>303</v>
      </c>
      <c r="K4549" s="53" t="s">
        <v>13</v>
      </c>
      <c r="L4549" s="23">
        <v>6400</v>
      </c>
      <c r="M4549" s="24">
        <v>22</v>
      </c>
      <c r="N4549" s="25">
        <f t="shared" si="141"/>
        <v>140800</v>
      </c>
      <c r="O4549" s="24"/>
    </row>
    <row r="4550" spans="1:15" hidden="1" x14ac:dyDescent="0.3">
      <c r="A4550" s="24">
        <v>34</v>
      </c>
      <c r="B4550" s="20" t="str">
        <f t="shared" si="140"/>
        <v>AUG</v>
      </c>
      <c r="C4550" s="21">
        <v>46256</v>
      </c>
      <c r="D4550" s="22" t="str">
        <f>IFERROR(INDEX('Kode Outlet dan Target Toko'!$A:$A,MATCH($I4550,'Kode Outlet dan Target Toko'!$E:$E,0)),"")</f>
        <v>GRSM 7</v>
      </c>
      <c r="E4550" s="20" t="str">
        <f>IFERROR(VLOOKUP(I4550,KET!$B:$F,4,0),"")</f>
        <v>INDRI</v>
      </c>
      <c r="F4550" s="20" t="str">
        <f>IFERROR(VLOOKUP($I4550,KET!$B:$F,5,0),"")</f>
        <v>GMM</v>
      </c>
      <c r="G4550" s="20">
        <f>IFERROR(INDEX('Kode Outlet dan Target Toko'!$C:$C,MATCH($I4550,'Kode Outlet dan Target Toko'!$E:$E,0)),0)</f>
        <v>103783</v>
      </c>
      <c r="H4550" s="20">
        <f>IFERROR(INDEX('Kode Outlet dan Target Toko'!$D:$D,MATCH($I4550,'Kode Outlet dan Target Toko'!$E:$E,0)),0)</f>
        <v>7500032</v>
      </c>
      <c r="I4550" s="41" t="s">
        <v>122</v>
      </c>
      <c r="J4550" s="56" t="s">
        <v>303</v>
      </c>
      <c r="K4550" s="53" t="s">
        <v>16</v>
      </c>
      <c r="L4550" s="23">
        <v>6400</v>
      </c>
      <c r="M4550" s="24">
        <v>31</v>
      </c>
      <c r="N4550" s="25">
        <f t="shared" si="141"/>
        <v>198400</v>
      </c>
      <c r="O4550" s="24">
        <v>160</v>
      </c>
    </row>
    <row r="4551" spans="1:15" hidden="1" x14ac:dyDescent="0.3">
      <c r="A4551" s="24">
        <v>34</v>
      </c>
      <c r="B4551" s="20" t="str">
        <f t="shared" ref="B4551:B4614" si="142">IF(C4551="","",UPPER(TEXT(C4551, "MMM")))</f>
        <v>AUG</v>
      </c>
      <c r="C4551" s="21">
        <v>46256</v>
      </c>
      <c r="D4551" s="22" t="str">
        <f>IFERROR(INDEX('Kode Outlet dan Target Toko'!$A:$A,MATCH($I4551,'Kode Outlet dan Target Toko'!$E:$E,0)),"")</f>
        <v>GRSM 7</v>
      </c>
      <c r="E4551" s="20" t="str">
        <f>IFERROR(VLOOKUP(I4551,KET!$B:$F,4,0),"")</f>
        <v>INDRI</v>
      </c>
      <c r="F4551" s="20" t="str">
        <f>IFERROR(VLOOKUP($I4551,KET!$B:$F,5,0),"")</f>
        <v>GMM</v>
      </c>
      <c r="G4551" s="20">
        <f>IFERROR(INDEX('Kode Outlet dan Target Toko'!$C:$C,MATCH($I4551,'Kode Outlet dan Target Toko'!$E:$E,0)),0)</f>
        <v>103783</v>
      </c>
      <c r="H4551" s="20">
        <f>IFERROR(INDEX('Kode Outlet dan Target Toko'!$D:$D,MATCH($I4551,'Kode Outlet dan Target Toko'!$E:$E,0)),0)</f>
        <v>7500032</v>
      </c>
      <c r="I4551" s="41" t="s">
        <v>122</v>
      </c>
      <c r="J4551" s="45" t="s">
        <v>234</v>
      </c>
      <c r="K4551" s="53" t="s">
        <v>15</v>
      </c>
      <c r="L4551" s="23">
        <v>6400</v>
      </c>
      <c r="M4551" s="24">
        <v>10</v>
      </c>
      <c r="N4551" s="25">
        <f t="shared" ref="N4551:N4614" si="143">IFERROR(M4551*L4551,"")</f>
        <v>64000</v>
      </c>
      <c r="O4551" s="24"/>
    </row>
    <row r="4552" spans="1:15" hidden="1" x14ac:dyDescent="0.3">
      <c r="A4552" s="24">
        <v>34</v>
      </c>
      <c r="B4552" s="20" t="str">
        <f t="shared" si="142"/>
        <v>AUG</v>
      </c>
      <c r="C4552" s="21">
        <v>46256</v>
      </c>
      <c r="D4552" s="22" t="str">
        <f>IFERROR(INDEX('Kode Outlet dan Target Toko'!$A:$A,MATCH($I4552,'Kode Outlet dan Target Toko'!$E:$E,0)),"")</f>
        <v>GRSM 7</v>
      </c>
      <c r="E4552" s="20" t="str">
        <f>IFERROR(VLOOKUP(I4552,KET!$B:$F,4,0),"")</f>
        <v>INDRI</v>
      </c>
      <c r="F4552" s="20" t="str">
        <f>IFERROR(VLOOKUP($I4552,KET!$B:$F,5,0),"")</f>
        <v>GMM</v>
      </c>
      <c r="G4552" s="20">
        <f>IFERROR(INDEX('Kode Outlet dan Target Toko'!$C:$C,MATCH($I4552,'Kode Outlet dan Target Toko'!$E:$E,0)),0)</f>
        <v>103783</v>
      </c>
      <c r="H4552" s="20">
        <f>IFERROR(INDEX('Kode Outlet dan Target Toko'!$D:$D,MATCH($I4552,'Kode Outlet dan Target Toko'!$E:$E,0)),0)</f>
        <v>7500032</v>
      </c>
      <c r="I4552" s="41" t="s">
        <v>122</v>
      </c>
      <c r="J4552" s="45" t="s">
        <v>234</v>
      </c>
      <c r="K4552" s="53" t="s">
        <v>14</v>
      </c>
      <c r="L4552" s="23">
        <v>6400</v>
      </c>
      <c r="M4552" s="24">
        <v>25</v>
      </c>
      <c r="N4552" s="25">
        <f t="shared" si="143"/>
        <v>160000</v>
      </c>
      <c r="O4552" s="24"/>
    </row>
    <row r="4553" spans="1:15" hidden="1" x14ac:dyDescent="0.3">
      <c r="A4553" s="24">
        <v>34</v>
      </c>
      <c r="B4553" s="20" t="str">
        <f t="shared" si="142"/>
        <v>AUG</v>
      </c>
      <c r="C4553" s="21">
        <v>46256</v>
      </c>
      <c r="D4553" s="22" t="str">
        <f>IFERROR(INDEX('Kode Outlet dan Target Toko'!$A:$A,MATCH($I4553,'Kode Outlet dan Target Toko'!$E:$E,0)),"")</f>
        <v>GRSM 7</v>
      </c>
      <c r="E4553" s="20" t="str">
        <f>IFERROR(VLOOKUP(I4553,KET!$B:$F,4,0),"")</f>
        <v>INDRI</v>
      </c>
      <c r="F4553" s="20" t="str">
        <f>IFERROR(VLOOKUP($I4553,KET!$B:$F,5,0),"")</f>
        <v>GMM</v>
      </c>
      <c r="G4553" s="20">
        <f>IFERROR(INDEX('Kode Outlet dan Target Toko'!$C:$C,MATCH($I4553,'Kode Outlet dan Target Toko'!$E:$E,0)),0)</f>
        <v>103783</v>
      </c>
      <c r="H4553" s="20">
        <f>IFERROR(INDEX('Kode Outlet dan Target Toko'!$D:$D,MATCH($I4553,'Kode Outlet dan Target Toko'!$E:$E,0)),0)</f>
        <v>7500032</v>
      </c>
      <c r="I4553" s="41" t="s">
        <v>122</v>
      </c>
      <c r="J4553" s="45" t="s">
        <v>234</v>
      </c>
      <c r="K4553" s="53" t="s">
        <v>13</v>
      </c>
      <c r="L4553" s="23">
        <v>6400</v>
      </c>
      <c r="M4553" s="24">
        <v>22</v>
      </c>
      <c r="N4553" s="25">
        <f t="shared" si="143"/>
        <v>140800</v>
      </c>
      <c r="O4553" s="24"/>
    </row>
    <row r="4554" spans="1:15" hidden="1" x14ac:dyDescent="0.3">
      <c r="A4554" s="24">
        <v>34</v>
      </c>
      <c r="B4554" s="20" t="str">
        <f t="shared" si="142"/>
        <v>AUG</v>
      </c>
      <c r="C4554" s="21">
        <v>46256</v>
      </c>
      <c r="D4554" s="22" t="str">
        <f>IFERROR(INDEX('Kode Outlet dan Target Toko'!$A:$A,MATCH($I4554,'Kode Outlet dan Target Toko'!$E:$E,0)),"")</f>
        <v>GRSM 7</v>
      </c>
      <c r="E4554" s="20" t="str">
        <f>IFERROR(VLOOKUP(I4554,KET!$B:$F,4,0),"")</f>
        <v>INDRI</v>
      </c>
      <c r="F4554" s="20" t="str">
        <f>IFERROR(VLOOKUP($I4554,KET!$B:$F,5,0),"")</f>
        <v>GMM</v>
      </c>
      <c r="G4554" s="20">
        <f>IFERROR(INDEX('Kode Outlet dan Target Toko'!$C:$C,MATCH($I4554,'Kode Outlet dan Target Toko'!$E:$E,0)),0)</f>
        <v>103783</v>
      </c>
      <c r="H4554" s="20">
        <f>IFERROR(INDEX('Kode Outlet dan Target Toko'!$D:$D,MATCH($I4554,'Kode Outlet dan Target Toko'!$E:$E,0)),0)</f>
        <v>7500032</v>
      </c>
      <c r="I4554" s="41" t="s">
        <v>122</v>
      </c>
      <c r="J4554" s="45" t="s">
        <v>234</v>
      </c>
      <c r="K4554" s="53" t="s">
        <v>16</v>
      </c>
      <c r="L4554" s="23">
        <v>6400</v>
      </c>
      <c r="M4554" s="24">
        <v>31</v>
      </c>
      <c r="N4554" s="25">
        <f t="shared" si="143"/>
        <v>198400</v>
      </c>
      <c r="O4554" s="24">
        <v>160</v>
      </c>
    </row>
    <row r="4555" spans="1:15" hidden="1" x14ac:dyDescent="0.3">
      <c r="A4555" s="24">
        <v>34</v>
      </c>
      <c r="B4555" s="20" t="str">
        <f t="shared" si="142"/>
        <v>AUG</v>
      </c>
      <c r="C4555" s="21">
        <v>46256</v>
      </c>
      <c r="D4555" s="22" t="str">
        <f>IFERROR(INDEX('Kode Outlet dan Target Toko'!$A:$A,MATCH($I4555,'Kode Outlet dan Target Toko'!$E:$E,0)),"")</f>
        <v>GRSM 7</v>
      </c>
      <c r="E4555" s="20" t="str">
        <f>IFERROR(VLOOKUP(I4555,KET!$B:$F,4,0),"")</f>
        <v>INDRI</v>
      </c>
      <c r="F4555" s="20" t="str">
        <f>IFERROR(VLOOKUP($I4555,KET!$B:$F,5,0),"")</f>
        <v>GMM</v>
      </c>
      <c r="G4555" s="20">
        <f>IFERROR(INDEX('Kode Outlet dan Target Toko'!$C:$C,MATCH($I4555,'Kode Outlet dan Target Toko'!$E:$E,0)),0)</f>
        <v>211074</v>
      </c>
      <c r="H4555" s="20">
        <f>IFERROR(INDEX('Kode Outlet dan Target Toko'!$D:$D,MATCH($I4555,'Kode Outlet dan Target Toko'!$E:$E,0)),0)</f>
        <v>2217375</v>
      </c>
      <c r="I4555" s="41" t="s">
        <v>85</v>
      </c>
      <c r="J4555" s="45" t="s">
        <v>209</v>
      </c>
      <c r="K4555" s="53" t="s">
        <v>15</v>
      </c>
      <c r="L4555" s="23">
        <v>3200</v>
      </c>
      <c r="M4555" s="24">
        <v>0</v>
      </c>
      <c r="N4555" s="25">
        <f t="shared" si="143"/>
        <v>0</v>
      </c>
      <c r="O4555" s="24"/>
    </row>
    <row r="4556" spans="1:15" hidden="1" x14ac:dyDescent="0.3">
      <c r="A4556" s="24">
        <v>34</v>
      </c>
      <c r="B4556" s="20" t="str">
        <f t="shared" si="142"/>
        <v>AUG</v>
      </c>
      <c r="C4556" s="21">
        <v>46256</v>
      </c>
      <c r="D4556" s="22" t="str">
        <f>IFERROR(INDEX('Kode Outlet dan Target Toko'!$A:$A,MATCH($I4556,'Kode Outlet dan Target Toko'!$E:$E,0)),"")</f>
        <v>GRSM 7</v>
      </c>
      <c r="E4556" s="20" t="str">
        <f>IFERROR(VLOOKUP(I4556,KET!$B:$F,4,0),"")</f>
        <v>INDRI</v>
      </c>
      <c r="F4556" s="20" t="str">
        <f>IFERROR(VLOOKUP($I4556,KET!$B:$F,5,0),"")</f>
        <v>GMM</v>
      </c>
      <c r="G4556" s="20">
        <f>IFERROR(INDEX('Kode Outlet dan Target Toko'!$C:$C,MATCH($I4556,'Kode Outlet dan Target Toko'!$E:$E,0)),0)</f>
        <v>211074</v>
      </c>
      <c r="H4556" s="20">
        <f>IFERROR(INDEX('Kode Outlet dan Target Toko'!$D:$D,MATCH($I4556,'Kode Outlet dan Target Toko'!$E:$E,0)),0)</f>
        <v>2217375</v>
      </c>
      <c r="I4556" s="41" t="s">
        <v>85</v>
      </c>
      <c r="J4556" s="45" t="s">
        <v>209</v>
      </c>
      <c r="K4556" s="53" t="s">
        <v>14</v>
      </c>
      <c r="L4556" s="23">
        <v>3200</v>
      </c>
      <c r="M4556" s="24">
        <v>0</v>
      </c>
      <c r="N4556" s="25">
        <f t="shared" si="143"/>
        <v>0</v>
      </c>
      <c r="O4556" s="24"/>
    </row>
    <row r="4557" spans="1:15" hidden="1" x14ac:dyDescent="0.3">
      <c r="A4557" s="24">
        <v>34</v>
      </c>
      <c r="B4557" s="20" t="str">
        <f t="shared" si="142"/>
        <v>AUG</v>
      </c>
      <c r="C4557" s="21">
        <v>46256</v>
      </c>
      <c r="D4557" s="22" t="str">
        <f>IFERROR(INDEX('Kode Outlet dan Target Toko'!$A:$A,MATCH($I4557,'Kode Outlet dan Target Toko'!$E:$E,0)),"")</f>
        <v>GRSM 7</v>
      </c>
      <c r="E4557" s="20" t="str">
        <f>IFERROR(VLOOKUP(I4557,KET!$B:$F,4,0),"")</f>
        <v>INDRI</v>
      </c>
      <c r="F4557" s="20" t="str">
        <f>IFERROR(VLOOKUP($I4557,KET!$B:$F,5,0),"")</f>
        <v>GMM</v>
      </c>
      <c r="G4557" s="20">
        <f>IFERROR(INDEX('Kode Outlet dan Target Toko'!$C:$C,MATCH($I4557,'Kode Outlet dan Target Toko'!$E:$E,0)),0)</f>
        <v>211074</v>
      </c>
      <c r="H4557" s="20">
        <f>IFERROR(INDEX('Kode Outlet dan Target Toko'!$D:$D,MATCH($I4557,'Kode Outlet dan Target Toko'!$E:$E,0)),0)</f>
        <v>2217375</v>
      </c>
      <c r="I4557" s="41" t="s">
        <v>85</v>
      </c>
      <c r="J4557" s="45" t="s">
        <v>209</v>
      </c>
      <c r="K4557" s="53" t="s">
        <v>13</v>
      </c>
      <c r="L4557" s="23">
        <v>3200</v>
      </c>
      <c r="M4557" s="24">
        <v>0</v>
      </c>
      <c r="N4557" s="25">
        <f t="shared" si="143"/>
        <v>0</v>
      </c>
      <c r="O4557" s="24"/>
    </row>
    <row r="4558" spans="1:15" hidden="1" x14ac:dyDescent="0.3">
      <c r="A4558" s="24">
        <v>34</v>
      </c>
      <c r="B4558" s="20" t="str">
        <f t="shared" si="142"/>
        <v>AUG</v>
      </c>
      <c r="C4558" s="21">
        <v>46256</v>
      </c>
      <c r="D4558" s="22" t="str">
        <f>IFERROR(INDEX('Kode Outlet dan Target Toko'!$A:$A,MATCH($I4558,'Kode Outlet dan Target Toko'!$E:$E,0)),"")</f>
        <v>GRSM 7</v>
      </c>
      <c r="E4558" s="20" t="str">
        <f>IFERROR(VLOOKUP(I4558,KET!$B:$F,4,0),"")</f>
        <v>INDRI</v>
      </c>
      <c r="F4558" s="20" t="str">
        <f>IFERROR(VLOOKUP($I4558,KET!$B:$F,5,0),"")</f>
        <v>GMM</v>
      </c>
      <c r="G4558" s="20">
        <f>IFERROR(INDEX('Kode Outlet dan Target Toko'!$C:$C,MATCH($I4558,'Kode Outlet dan Target Toko'!$E:$E,0)),0)</f>
        <v>211074</v>
      </c>
      <c r="H4558" s="20">
        <f>IFERROR(INDEX('Kode Outlet dan Target Toko'!$D:$D,MATCH($I4558,'Kode Outlet dan Target Toko'!$E:$E,0)),0)</f>
        <v>2217375</v>
      </c>
      <c r="I4558" s="41" t="s">
        <v>85</v>
      </c>
      <c r="J4558" s="45" t="s">
        <v>209</v>
      </c>
      <c r="K4558" s="53" t="s">
        <v>16</v>
      </c>
      <c r="L4558" s="23">
        <v>3200</v>
      </c>
      <c r="M4558" s="24">
        <v>184</v>
      </c>
      <c r="N4558" s="25">
        <f t="shared" si="143"/>
        <v>588800</v>
      </c>
      <c r="O4558" s="24">
        <v>160</v>
      </c>
    </row>
    <row r="4559" spans="1:15" hidden="1" x14ac:dyDescent="0.3">
      <c r="A4559" s="24">
        <v>34</v>
      </c>
      <c r="B4559" s="20" t="str">
        <f t="shared" si="142"/>
        <v>AUG</v>
      </c>
      <c r="C4559" s="21">
        <v>46256</v>
      </c>
      <c r="D4559" s="22" t="str">
        <f>IFERROR(INDEX('Kode Outlet dan Target Toko'!$A:$A,MATCH($I4559,'Kode Outlet dan Target Toko'!$E:$E,0)),"")</f>
        <v>GRSM 7</v>
      </c>
      <c r="E4559" s="20" t="str">
        <f>IFERROR(VLOOKUP(I4559,KET!$B:$F,4,0),"")</f>
        <v>INDRI</v>
      </c>
      <c r="F4559" s="20" t="str">
        <f>IFERROR(VLOOKUP($I4559,KET!$B:$F,5,0),"")</f>
        <v>GMM</v>
      </c>
      <c r="G4559" s="20">
        <f>IFERROR(INDEX('Kode Outlet dan Target Toko'!$C:$C,MATCH($I4559,'Kode Outlet dan Target Toko'!$E:$E,0)),0)</f>
        <v>211074</v>
      </c>
      <c r="H4559" s="20">
        <f>IFERROR(INDEX('Kode Outlet dan Target Toko'!$D:$D,MATCH($I4559,'Kode Outlet dan Target Toko'!$E:$E,0)),0)</f>
        <v>2217375</v>
      </c>
      <c r="I4559" s="41" t="s">
        <v>85</v>
      </c>
      <c r="J4559" s="45" t="s">
        <v>210</v>
      </c>
      <c r="K4559" s="53" t="s">
        <v>15</v>
      </c>
      <c r="L4559" s="23">
        <v>3200</v>
      </c>
      <c r="M4559" s="24">
        <v>0</v>
      </c>
      <c r="N4559" s="25">
        <f t="shared" si="143"/>
        <v>0</v>
      </c>
      <c r="O4559" s="24"/>
    </row>
    <row r="4560" spans="1:15" hidden="1" x14ac:dyDescent="0.3">
      <c r="A4560" s="24">
        <v>34</v>
      </c>
      <c r="B4560" s="20" t="str">
        <f t="shared" si="142"/>
        <v>AUG</v>
      </c>
      <c r="C4560" s="21">
        <v>46256</v>
      </c>
      <c r="D4560" s="22" t="str">
        <f>IFERROR(INDEX('Kode Outlet dan Target Toko'!$A:$A,MATCH($I4560,'Kode Outlet dan Target Toko'!$E:$E,0)),"")</f>
        <v>GRSM 7</v>
      </c>
      <c r="E4560" s="20" t="str">
        <f>IFERROR(VLOOKUP(I4560,KET!$B:$F,4,0),"")</f>
        <v>INDRI</v>
      </c>
      <c r="F4560" s="20" t="str">
        <f>IFERROR(VLOOKUP($I4560,KET!$B:$F,5,0),"")</f>
        <v>GMM</v>
      </c>
      <c r="G4560" s="20">
        <f>IFERROR(INDEX('Kode Outlet dan Target Toko'!$C:$C,MATCH($I4560,'Kode Outlet dan Target Toko'!$E:$E,0)),0)</f>
        <v>211074</v>
      </c>
      <c r="H4560" s="20">
        <f>IFERROR(INDEX('Kode Outlet dan Target Toko'!$D:$D,MATCH($I4560,'Kode Outlet dan Target Toko'!$E:$E,0)),0)</f>
        <v>2217375</v>
      </c>
      <c r="I4560" s="41" t="s">
        <v>85</v>
      </c>
      <c r="J4560" s="45" t="s">
        <v>210</v>
      </c>
      <c r="K4560" s="53" t="s">
        <v>14</v>
      </c>
      <c r="L4560" s="23">
        <v>3200</v>
      </c>
      <c r="M4560" s="24">
        <v>0</v>
      </c>
      <c r="N4560" s="25">
        <f t="shared" si="143"/>
        <v>0</v>
      </c>
      <c r="O4560" s="24"/>
    </row>
    <row r="4561" spans="1:15" hidden="1" x14ac:dyDescent="0.3">
      <c r="A4561" s="24">
        <v>34</v>
      </c>
      <c r="B4561" s="20" t="str">
        <f t="shared" si="142"/>
        <v>AUG</v>
      </c>
      <c r="C4561" s="21">
        <v>46256</v>
      </c>
      <c r="D4561" s="22" t="str">
        <f>IFERROR(INDEX('Kode Outlet dan Target Toko'!$A:$A,MATCH($I4561,'Kode Outlet dan Target Toko'!$E:$E,0)),"")</f>
        <v>GRSM 7</v>
      </c>
      <c r="E4561" s="20" t="str">
        <f>IFERROR(VLOOKUP(I4561,KET!$B:$F,4,0),"")</f>
        <v>INDRI</v>
      </c>
      <c r="F4561" s="20" t="str">
        <f>IFERROR(VLOOKUP($I4561,KET!$B:$F,5,0),"")</f>
        <v>GMM</v>
      </c>
      <c r="G4561" s="20">
        <f>IFERROR(INDEX('Kode Outlet dan Target Toko'!$C:$C,MATCH($I4561,'Kode Outlet dan Target Toko'!$E:$E,0)),0)</f>
        <v>211074</v>
      </c>
      <c r="H4561" s="20">
        <f>IFERROR(INDEX('Kode Outlet dan Target Toko'!$D:$D,MATCH($I4561,'Kode Outlet dan Target Toko'!$E:$E,0)),0)</f>
        <v>2217375</v>
      </c>
      <c r="I4561" s="41" t="s">
        <v>85</v>
      </c>
      <c r="J4561" s="45" t="s">
        <v>210</v>
      </c>
      <c r="K4561" s="53" t="s">
        <v>13</v>
      </c>
      <c r="L4561" s="23">
        <v>3200</v>
      </c>
      <c r="M4561" s="24">
        <v>0</v>
      </c>
      <c r="N4561" s="25">
        <f t="shared" si="143"/>
        <v>0</v>
      </c>
      <c r="O4561" s="24"/>
    </row>
    <row r="4562" spans="1:15" hidden="1" x14ac:dyDescent="0.3">
      <c r="A4562" s="24">
        <v>34</v>
      </c>
      <c r="B4562" s="20" t="str">
        <f t="shared" si="142"/>
        <v>AUG</v>
      </c>
      <c r="C4562" s="21">
        <v>46256</v>
      </c>
      <c r="D4562" s="22" t="str">
        <f>IFERROR(INDEX('Kode Outlet dan Target Toko'!$A:$A,MATCH($I4562,'Kode Outlet dan Target Toko'!$E:$E,0)),"")</f>
        <v>GRSM 7</v>
      </c>
      <c r="E4562" s="20" t="str">
        <f>IFERROR(VLOOKUP(I4562,KET!$B:$F,4,0),"")</f>
        <v>INDRI</v>
      </c>
      <c r="F4562" s="20" t="str">
        <f>IFERROR(VLOOKUP($I4562,KET!$B:$F,5,0),"")</f>
        <v>GMM</v>
      </c>
      <c r="G4562" s="20">
        <f>IFERROR(INDEX('Kode Outlet dan Target Toko'!$C:$C,MATCH($I4562,'Kode Outlet dan Target Toko'!$E:$E,0)),0)</f>
        <v>211074</v>
      </c>
      <c r="H4562" s="20">
        <f>IFERROR(INDEX('Kode Outlet dan Target Toko'!$D:$D,MATCH($I4562,'Kode Outlet dan Target Toko'!$E:$E,0)),0)</f>
        <v>2217375</v>
      </c>
      <c r="I4562" s="41" t="s">
        <v>85</v>
      </c>
      <c r="J4562" s="45" t="s">
        <v>210</v>
      </c>
      <c r="K4562" s="53" t="s">
        <v>16</v>
      </c>
      <c r="L4562" s="23">
        <v>3200</v>
      </c>
      <c r="M4562" s="24">
        <v>184</v>
      </c>
      <c r="N4562" s="25">
        <f t="shared" si="143"/>
        <v>588800</v>
      </c>
      <c r="O4562" s="24">
        <v>160</v>
      </c>
    </row>
    <row r="4563" spans="1:15" hidden="1" x14ac:dyDescent="0.3">
      <c r="A4563" s="24">
        <v>34</v>
      </c>
      <c r="B4563" s="20" t="str">
        <f t="shared" si="142"/>
        <v>AUG</v>
      </c>
      <c r="C4563" s="21">
        <v>46256</v>
      </c>
      <c r="D4563" s="22" t="str">
        <f>IFERROR(INDEX('Kode Outlet dan Target Toko'!$A:$A,MATCH($I4563,'Kode Outlet dan Target Toko'!$E:$E,0)),"")</f>
        <v>GRSM 7</v>
      </c>
      <c r="E4563" s="20" t="str">
        <f>IFERROR(VLOOKUP(I4563,KET!$B:$F,4,0),"")</f>
        <v>INDRI</v>
      </c>
      <c r="F4563" s="20" t="str">
        <f>IFERROR(VLOOKUP($I4563,KET!$B:$F,5,0),"")</f>
        <v>GMM</v>
      </c>
      <c r="G4563" s="20">
        <f>IFERROR(INDEX('Kode Outlet dan Target Toko'!$C:$C,MATCH($I4563,'Kode Outlet dan Target Toko'!$E:$E,0)),0)</f>
        <v>211074</v>
      </c>
      <c r="H4563" s="20">
        <f>IFERROR(INDEX('Kode Outlet dan Target Toko'!$D:$D,MATCH($I4563,'Kode Outlet dan Target Toko'!$E:$E,0)),0)</f>
        <v>2217375</v>
      </c>
      <c r="I4563" s="41" t="s">
        <v>85</v>
      </c>
      <c r="J4563" s="45" t="s">
        <v>211</v>
      </c>
      <c r="K4563" s="53" t="s">
        <v>15</v>
      </c>
      <c r="L4563" s="23">
        <v>3200</v>
      </c>
      <c r="M4563" s="24">
        <v>0</v>
      </c>
      <c r="N4563" s="25">
        <f t="shared" si="143"/>
        <v>0</v>
      </c>
      <c r="O4563" s="24"/>
    </row>
    <row r="4564" spans="1:15" hidden="1" x14ac:dyDescent="0.3">
      <c r="A4564" s="24">
        <v>34</v>
      </c>
      <c r="B4564" s="20" t="str">
        <f t="shared" si="142"/>
        <v>AUG</v>
      </c>
      <c r="C4564" s="21">
        <v>46256</v>
      </c>
      <c r="D4564" s="22" t="str">
        <f>IFERROR(INDEX('Kode Outlet dan Target Toko'!$A:$A,MATCH($I4564,'Kode Outlet dan Target Toko'!$E:$E,0)),"")</f>
        <v>GRSM 7</v>
      </c>
      <c r="E4564" s="20" t="str">
        <f>IFERROR(VLOOKUP(I4564,KET!$B:$F,4,0),"")</f>
        <v>INDRI</v>
      </c>
      <c r="F4564" s="20" t="str">
        <f>IFERROR(VLOOKUP($I4564,KET!$B:$F,5,0),"")</f>
        <v>GMM</v>
      </c>
      <c r="G4564" s="20">
        <f>IFERROR(INDEX('Kode Outlet dan Target Toko'!$C:$C,MATCH($I4564,'Kode Outlet dan Target Toko'!$E:$E,0)),0)</f>
        <v>211074</v>
      </c>
      <c r="H4564" s="20">
        <f>IFERROR(INDEX('Kode Outlet dan Target Toko'!$D:$D,MATCH($I4564,'Kode Outlet dan Target Toko'!$E:$E,0)),0)</f>
        <v>2217375</v>
      </c>
      <c r="I4564" s="41" t="s">
        <v>85</v>
      </c>
      <c r="J4564" s="45" t="s">
        <v>211</v>
      </c>
      <c r="K4564" s="53" t="s">
        <v>14</v>
      </c>
      <c r="L4564" s="23">
        <v>3200</v>
      </c>
      <c r="M4564" s="24">
        <v>0</v>
      </c>
      <c r="N4564" s="25">
        <f t="shared" si="143"/>
        <v>0</v>
      </c>
      <c r="O4564" s="24"/>
    </row>
    <row r="4565" spans="1:15" hidden="1" x14ac:dyDescent="0.3">
      <c r="A4565" s="24">
        <v>34</v>
      </c>
      <c r="B4565" s="20" t="str">
        <f t="shared" si="142"/>
        <v>AUG</v>
      </c>
      <c r="C4565" s="21">
        <v>46256</v>
      </c>
      <c r="D4565" s="22" t="str">
        <f>IFERROR(INDEX('Kode Outlet dan Target Toko'!$A:$A,MATCH($I4565,'Kode Outlet dan Target Toko'!$E:$E,0)),"")</f>
        <v>GRSM 7</v>
      </c>
      <c r="E4565" s="20" t="str">
        <f>IFERROR(VLOOKUP(I4565,KET!$B:$F,4,0),"")</f>
        <v>INDRI</v>
      </c>
      <c r="F4565" s="20" t="str">
        <f>IFERROR(VLOOKUP($I4565,KET!$B:$F,5,0),"")</f>
        <v>GMM</v>
      </c>
      <c r="G4565" s="20">
        <f>IFERROR(INDEX('Kode Outlet dan Target Toko'!$C:$C,MATCH($I4565,'Kode Outlet dan Target Toko'!$E:$E,0)),0)</f>
        <v>211074</v>
      </c>
      <c r="H4565" s="20">
        <f>IFERROR(INDEX('Kode Outlet dan Target Toko'!$D:$D,MATCH($I4565,'Kode Outlet dan Target Toko'!$E:$E,0)),0)</f>
        <v>2217375</v>
      </c>
      <c r="I4565" s="41" t="s">
        <v>85</v>
      </c>
      <c r="J4565" s="45" t="s">
        <v>211</v>
      </c>
      <c r="K4565" s="53" t="s">
        <v>13</v>
      </c>
      <c r="L4565" s="23">
        <v>3200</v>
      </c>
      <c r="M4565" s="24">
        <v>0</v>
      </c>
      <c r="N4565" s="25">
        <f t="shared" si="143"/>
        <v>0</v>
      </c>
      <c r="O4565" s="24"/>
    </row>
    <row r="4566" spans="1:15" hidden="1" x14ac:dyDescent="0.3">
      <c r="A4566" s="24">
        <v>34</v>
      </c>
      <c r="B4566" s="20" t="str">
        <f t="shared" si="142"/>
        <v>AUG</v>
      </c>
      <c r="C4566" s="21">
        <v>46256</v>
      </c>
      <c r="D4566" s="22" t="str">
        <f>IFERROR(INDEX('Kode Outlet dan Target Toko'!$A:$A,MATCH($I4566,'Kode Outlet dan Target Toko'!$E:$E,0)),"")</f>
        <v>GRSM 7</v>
      </c>
      <c r="E4566" s="20" t="str">
        <f>IFERROR(VLOOKUP(I4566,KET!$B:$F,4,0),"")</f>
        <v>INDRI</v>
      </c>
      <c r="F4566" s="20" t="str">
        <f>IFERROR(VLOOKUP($I4566,KET!$B:$F,5,0),"")</f>
        <v>GMM</v>
      </c>
      <c r="G4566" s="20">
        <f>IFERROR(INDEX('Kode Outlet dan Target Toko'!$C:$C,MATCH($I4566,'Kode Outlet dan Target Toko'!$E:$E,0)),0)</f>
        <v>211074</v>
      </c>
      <c r="H4566" s="20">
        <f>IFERROR(INDEX('Kode Outlet dan Target Toko'!$D:$D,MATCH($I4566,'Kode Outlet dan Target Toko'!$E:$E,0)),0)</f>
        <v>2217375</v>
      </c>
      <c r="I4566" s="41" t="s">
        <v>85</v>
      </c>
      <c r="J4566" s="45" t="s">
        <v>211</v>
      </c>
      <c r="K4566" s="53" t="s">
        <v>16</v>
      </c>
      <c r="L4566" s="23">
        <v>3200</v>
      </c>
      <c r="M4566" s="24">
        <v>184</v>
      </c>
      <c r="N4566" s="25">
        <f t="shared" si="143"/>
        <v>588800</v>
      </c>
      <c r="O4566" s="24">
        <v>160</v>
      </c>
    </row>
    <row r="4567" spans="1:15" hidden="1" x14ac:dyDescent="0.3">
      <c r="A4567" s="24">
        <v>34</v>
      </c>
      <c r="B4567" s="20" t="str">
        <f t="shared" si="142"/>
        <v>AUG</v>
      </c>
      <c r="C4567" s="21">
        <v>46256</v>
      </c>
      <c r="D4567" s="22" t="str">
        <f>IFERROR(INDEX('Kode Outlet dan Target Toko'!$A:$A,MATCH($I4567,'Kode Outlet dan Target Toko'!$E:$E,0)),"")</f>
        <v>GRSM 7</v>
      </c>
      <c r="E4567" s="20" t="str">
        <f>IFERROR(VLOOKUP(I4567,KET!$B:$F,4,0),"")</f>
        <v>INDRI</v>
      </c>
      <c r="F4567" s="20" t="str">
        <f>IFERROR(VLOOKUP($I4567,KET!$B:$F,5,0),"")</f>
        <v>GMM</v>
      </c>
      <c r="G4567" s="20">
        <f>IFERROR(INDEX('Kode Outlet dan Target Toko'!$C:$C,MATCH($I4567,'Kode Outlet dan Target Toko'!$E:$E,0)),0)</f>
        <v>103783</v>
      </c>
      <c r="H4567" s="20">
        <f>IFERROR(INDEX('Kode Outlet dan Target Toko'!$D:$D,MATCH($I4567,'Kode Outlet dan Target Toko'!$E:$E,0)),0)</f>
        <v>7500090</v>
      </c>
      <c r="I4567" s="41" t="s">
        <v>120</v>
      </c>
      <c r="J4567" s="45" t="s">
        <v>235</v>
      </c>
      <c r="K4567" s="53" t="s">
        <v>15</v>
      </c>
      <c r="L4567" s="23">
        <v>6400</v>
      </c>
      <c r="M4567" s="24">
        <v>15</v>
      </c>
      <c r="N4567" s="25">
        <f t="shared" si="143"/>
        <v>96000</v>
      </c>
      <c r="O4567" s="24"/>
    </row>
    <row r="4568" spans="1:15" hidden="1" x14ac:dyDescent="0.3">
      <c r="A4568" s="24">
        <v>34</v>
      </c>
      <c r="B4568" s="20" t="str">
        <f t="shared" si="142"/>
        <v>AUG</v>
      </c>
      <c r="C4568" s="21">
        <v>46256</v>
      </c>
      <c r="D4568" s="22" t="str">
        <f>IFERROR(INDEX('Kode Outlet dan Target Toko'!$A:$A,MATCH($I4568,'Kode Outlet dan Target Toko'!$E:$E,0)),"")</f>
        <v>GRSM 7</v>
      </c>
      <c r="E4568" s="20" t="str">
        <f>IFERROR(VLOOKUP(I4568,KET!$B:$F,4,0),"")</f>
        <v>INDRI</v>
      </c>
      <c r="F4568" s="20" t="str">
        <f>IFERROR(VLOOKUP($I4568,KET!$B:$F,5,0),"")</f>
        <v>GMM</v>
      </c>
      <c r="G4568" s="20">
        <f>IFERROR(INDEX('Kode Outlet dan Target Toko'!$C:$C,MATCH($I4568,'Kode Outlet dan Target Toko'!$E:$E,0)),0)</f>
        <v>103783</v>
      </c>
      <c r="H4568" s="20">
        <f>IFERROR(INDEX('Kode Outlet dan Target Toko'!$D:$D,MATCH($I4568,'Kode Outlet dan Target Toko'!$E:$E,0)),0)</f>
        <v>7500090</v>
      </c>
      <c r="I4568" s="41" t="s">
        <v>120</v>
      </c>
      <c r="J4568" s="45" t="s">
        <v>235</v>
      </c>
      <c r="K4568" s="53" t="s">
        <v>14</v>
      </c>
      <c r="L4568" s="23">
        <v>6400</v>
      </c>
      <c r="M4568" s="24">
        <v>25</v>
      </c>
      <c r="N4568" s="25">
        <f t="shared" si="143"/>
        <v>160000</v>
      </c>
      <c r="O4568" s="24"/>
    </row>
    <row r="4569" spans="1:15" hidden="1" x14ac:dyDescent="0.3">
      <c r="A4569" s="24">
        <v>34</v>
      </c>
      <c r="B4569" s="20" t="str">
        <f t="shared" si="142"/>
        <v>AUG</v>
      </c>
      <c r="C4569" s="21">
        <v>46256</v>
      </c>
      <c r="D4569" s="22" t="str">
        <f>IFERROR(INDEX('Kode Outlet dan Target Toko'!$A:$A,MATCH($I4569,'Kode Outlet dan Target Toko'!$E:$E,0)),"")</f>
        <v>GRSM 7</v>
      </c>
      <c r="E4569" s="20" t="str">
        <f>IFERROR(VLOOKUP(I4569,KET!$B:$F,4,0),"")</f>
        <v>INDRI</v>
      </c>
      <c r="F4569" s="20" t="str">
        <f>IFERROR(VLOOKUP($I4569,KET!$B:$F,5,0),"")</f>
        <v>GMM</v>
      </c>
      <c r="G4569" s="20">
        <f>IFERROR(INDEX('Kode Outlet dan Target Toko'!$C:$C,MATCH($I4569,'Kode Outlet dan Target Toko'!$E:$E,0)),0)</f>
        <v>103783</v>
      </c>
      <c r="H4569" s="20">
        <f>IFERROR(INDEX('Kode Outlet dan Target Toko'!$D:$D,MATCH($I4569,'Kode Outlet dan Target Toko'!$E:$E,0)),0)</f>
        <v>7500090</v>
      </c>
      <c r="I4569" s="41" t="s">
        <v>120</v>
      </c>
      <c r="J4569" s="45" t="s">
        <v>235</v>
      </c>
      <c r="K4569" s="53" t="s">
        <v>13</v>
      </c>
      <c r="L4569" s="23">
        <v>6400</v>
      </c>
      <c r="M4569" s="24">
        <v>12</v>
      </c>
      <c r="N4569" s="25">
        <f t="shared" si="143"/>
        <v>76800</v>
      </c>
      <c r="O4569" s="24"/>
    </row>
    <row r="4570" spans="1:15" hidden="1" x14ac:dyDescent="0.3">
      <c r="A4570" s="24">
        <v>34</v>
      </c>
      <c r="B4570" s="20" t="str">
        <f t="shared" si="142"/>
        <v>AUG</v>
      </c>
      <c r="C4570" s="21">
        <v>46256</v>
      </c>
      <c r="D4570" s="22" t="str">
        <f>IFERROR(INDEX('Kode Outlet dan Target Toko'!$A:$A,MATCH($I4570,'Kode Outlet dan Target Toko'!$E:$E,0)),"")</f>
        <v>GRSM 7</v>
      </c>
      <c r="E4570" s="20" t="str">
        <f>IFERROR(VLOOKUP(I4570,KET!$B:$F,4,0),"")</f>
        <v>INDRI</v>
      </c>
      <c r="F4570" s="20" t="str">
        <f>IFERROR(VLOOKUP($I4570,KET!$B:$F,5,0),"")</f>
        <v>GMM</v>
      </c>
      <c r="G4570" s="20">
        <f>IFERROR(INDEX('Kode Outlet dan Target Toko'!$C:$C,MATCH($I4570,'Kode Outlet dan Target Toko'!$E:$E,0)),0)</f>
        <v>103783</v>
      </c>
      <c r="H4570" s="20">
        <f>IFERROR(INDEX('Kode Outlet dan Target Toko'!$D:$D,MATCH($I4570,'Kode Outlet dan Target Toko'!$E:$E,0)),0)</f>
        <v>7500090</v>
      </c>
      <c r="I4570" s="41" t="s">
        <v>120</v>
      </c>
      <c r="J4570" s="45" t="s">
        <v>235</v>
      </c>
      <c r="K4570" s="53" t="s">
        <v>16</v>
      </c>
      <c r="L4570" s="23">
        <v>6400</v>
      </c>
      <c r="M4570" s="24">
        <v>60</v>
      </c>
      <c r="N4570" s="25">
        <f t="shared" si="143"/>
        <v>384000</v>
      </c>
      <c r="O4570" s="24">
        <v>160</v>
      </c>
    </row>
    <row r="4571" spans="1:15" hidden="1" x14ac:dyDescent="0.3">
      <c r="A4571" s="24">
        <v>34</v>
      </c>
      <c r="B4571" s="20" t="str">
        <f t="shared" si="142"/>
        <v>AUG</v>
      </c>
      <c r="C4571" s="21">
        <v>46256</v>
      </c>
      <c r="D4571" s="22" t="str">
        <f>IFERROR(INDEX('Kode Outlet dan Target Toko'!$A:$A,MATCH($I4571,'Kode Outlet dan Target Toko'!$E:$E,0)),"")</f>
        <v>GRSM 7</v>
      </c>
      <c r="E4571" s="20" t="str">
        <f>IFERROR(VLOOKUP(I4571,KET!$B:$F,4,0),"")</f>
        <v>INDRI</v>
      </c>
      <c r="F4571" s="20" t="str">
        <f>IFERROR(VLOOKUP($I4571,KET!$B:$F,5,0),"")</f>
        <v>GMM</v>
      </c>
      <c r="G4571" s="20">
        <f>IFERROR(INDEX('Kode Outlet dan Target Toko'!$C:$C,MATCH($I4571,'Kode Outlet dan Target Toko'!$E:$E,0)),0)</f>
        <v>103783</v>
      </c>
      <c r="H4571" s="20">
        <f>IFERROR(INDEX('Kode Outlet dan Target Toko'!$D:$D,MATCH($I4571,'Kode Outlet dan Target Toko'!$E:$E,0)),0)</f>
        <v>7500090</v>
      </c>
      <c r="I4571" s="41" t="s">
        <v>120</v>
      </c>
      <c r="J4571" s="45" t="s">
        <v>236</v>
      </c>
      <c r="K4571" s="53" t="s">
        <v>15</v>
      </c>
      <c r="L4571" s="23">
        <v>6400</v>
      </c>
      <c r="M4571" s="24">
        <v>15</v>
      </c>
      <c r="N4571" s="25">
        <f t="shared" si="143"/>
        <v>96000</v>
      </c>
      <c r="O4571" s="24"/>
    </row>
    <row r="4572" spans="1:15" hidden="1" x14ac:dyDescent="0.3">
      <c r="A4572" s="24">
        <v>34</v>
      </c>
      <c r="B4572" s="20" t="str">
        <f t="shared" si="142"/>
        <v>AUG</v>
      </c>
      <c r="C4572" s="21">
        <v>46256</v>
      </c>
      <c r="D4572" s="22" t="str">
        <f>IFERROR(INDEX('Kode Outlet dan Target Toko'!$A:$A,MATCH($I4572,'Kode Outlet dan Target Toko'!$E:$E,0)),"")</f>
        <v>GRSM 7</v>
      </c>
      <c r="E4572" s="20" t="str">
        <f>IFERROR(VLOOKUP(I4572,KET!$B:$F,4,0),"")</f>
        <v>INDRI</v>
      </c>
      <c r="F4572" s="20" t="str">
        <f>IFERROR(VLOOKUP($I4572,KET!$B:$F,5,0),"")</f>
        <v>GMM</v>
      </c>
      <c r="G4572" s="20">
        <f>IFERROR(INDEX('Kode Outlet dan Target Toko'!$C:$C,MATCH($I4572,'Kode Outlet dan Target Toko'!$E:$E,0)),0)</f>
        <v>103783</v>
      </c>
      <c r="H4572" s="20">
        <f>IFERROR(INDEX('Kode Outlet dan Target Toko'!$D:$D,MATCH($I4572,'Kode Outlet dan Target Toko'!$E:$E,0)),0)</f>
        <v>7500090</v>
      </c>
      <c r="I4572" s="41" t="s">
        <v>120</v>
      </c>
      <c r="J4572" s="45" t="s">
        <v>236</v>
      </c>
      <c r="K4572" s="53" t="s">
        <v>14</v>
      </c>
      <c r="L4572" s="23">
        <v>6400</v>
      </c>
      <c r="M4572" s="24">
        <v>25</v>
      </c>
      <c r="N4572" s="25">
        <f t="shared" si="143"/>
        <v>160000</v>
      </c>
      <c r="O4572" s="24"/>
    </row>
    <row r="4573" spans="1:15" hidden="1" x14ac:dyDescent="0.3">
      <c r="A4573" s="24">
        <v>34</v>
      </c>
      <c r="B4573" s="20" t="str">
        <f t="shared" si="142"/>
        <v>AUG</v>
      </c>
      <c r="C4573" s="21">
        <v>46256</v>
      </c>
      <c r="D4573" s="22" t="str">
        <f>IFERROR(INDEX('Kode Outlet dan Target Toko'!$A:$A,MATCH($I4573,'Kode Outlet dan Target Toko'!$E:$E,0)),"")</f>
        <v>GRSM 7</v>
      </c>
      <c r="E4573" s="20" t="str">
        <f>IFERROR(VLOOKUP(I4573,KET!$B:$F,4,0),"")</f>
        <v>INDRI</v>
      </c>
      <c r="F4573" s="20" t="str">
        <f>IFERROR(VLOOKUP($I4573,KET!$B:$F,5,0),"")</f>
        <v>GMM</v>
      </c>
      <c r="G4573" s="20">
        <f>IFERROR(INDEX('Kode Outlet dan Target Toko'!$C:$C,MATCH($I4573,'Kode Outlet dan Target Toko'!$E:$E,0)),0)</f>
        <v>103783</v>
      </c>
      <c r="H4573" s="20">
        <f>IFERROR(INDEX('Kode Outlet dan Target Toko'!$D:$D,MATCH($I4573,'Kode Outlet dan Target Toko'!$E:$E,0)),0)</f>
        <v>7500090</v>
      </c>
      <c r="I4573" s="41" t="s">
        <v>120</v>
      </c>
      <c r="J4573" s="45" t="s">
        <v>236</v>
      </c>
      <c r="K4573" s="53" t="s">
        <v>13</v>
      </c>
      <c r="L4573" s="23">
        <v>6400</v>
      </c>
      <c r="M4573" s="24">
        <v>12</v>
      </c>
      <c r="N4573" s="25">
        <f t="shared" si="143"/>
        <v>76800</v>
      </c>
      <c r="O4573" s="24"/>
    </row>
    <row r="4574" spans="1:15" hidden="1" x14ac:dyDescent="0.3">
      <c r="A4574" s="24">
        <v>34</v>
      </c>
      <c r="B4574" s="20" t="str">
        <f t="shared" si="142"/>
        <v>AUG</v>
      </c>
      <c r="C4574" s="21">
        <v>46256</v>
      </c>
      <c r="D4574" s="22" t="str">
        <f>IFERROR(INDEX('Kode Outlet dan Target Toko'!$A:$A,MATCH($I4574,'Kode Outlet dan Target Toko'!$E:$E,0)),"")</f>
        <v>GRSM 7</v>
      </c>
      <c r="E4574" s="20" t="str">
        <f>IFERROR(VLOOKUP(I4574,KET!$B:$F,4,0),"")</f>
        <v>INDRI</v>
      </c>
      <c r="F4574" s="20" t="str">
        <f>IFERROR(VLOOKUP($I4574,KET!$B:$F,5,0),"")</f>
        <v>GMM</v>
      </c>
      <c r="G4574" s="20">
        <f>IFERROR(INDEX('Kode Outlet dan Target Toko'!$C:$C,MATCH($I4574,'Kode Outlet dan Target Toko'!$E:$E,0)),0)</f>
        <v>103783</v>
      </c>
      <c r="H4574" s="20">
        <f>IFERROR(INDEX('Kode Outlet dan Target Toko'!$D:$D,MATCH($I4574,'Kode Outlet dan Target Toko'!$E:$E,0)),0)</f>
        <v>7500090</v>
      </c>
      <c r="I4574" s="41" t="s">
        <v>120</v>
      </c>
      <c r="J4574" s="45" t="s">
        <v>236</v>
      </c>
      <c r="K4574" s="53" t="s">
        <v>16</v>
      </c>
      <c r="L4574" s="23">
        <v>6400</v>
      </c>
      <c r="M4574" s="24">
        <v>60</v>
      </c>
      <c r="N4574" s="25">
        <f t="shared" si="143"/>
        <v>384000</v>
      </c>
      <c r="O4574" s="24">
        <v>160</v>
      </c>
    </row>
    <row r="4575" spans="1:15" hidden="1" x14ac:dyDescent="0.3">
      <c r="A4575" s="24">
        <v>34</v>
      </c>
      <c r="B4575" s="20" t="str">
        <f t="shared" si="142"/>
        <v>AUG</v>
      </c>
      <c r="C4575" s="21">
        <v>46256</v>
      </c>
      <c r="D4575" s="22" t="str">
        <f>IFERROR(INDEX('Kode Outlet dan Target Toko'!$A:$A,MATCH($I4575,'Kode Outlet dan Target Toko'!$E:$E,0)),"")</f>
        <v>GRSM 7</v>
      </c>
      <c r="E4575" s="20" t="str">
        <f>IFERROR(VLOOKUP(I4575,KET!$B:$F,4,0),"")</f>
        <v>INDRI</v>
      </c>
      <c r="F4575" s="20" t="str">
        <f>IFERROR(VLOOKUP($I4575,KET!$B:$F,5,0),"")</f>
        <v>GMM</v>
      </c>
      <c r="G4575" s="20">
        <f>IFERROR(INDEX('Kode Outlet dan Target Toko'!$C:$C,MATCH($I4575,'Kode Outlet dan Target Toko'!$E:$E,0)),0)</f>
        <v>103240</v>
      </c>
      <c r="H4575" s="20">
        <f>IFERROR(INDEX('Kode Outlet dan Target Toko'!$D:$D,MATCH($I4575,'Kode Outlet dan Target Toko'!$E:$E,0)),0)</f>
        <v>7112059</v>
      </c>
      <c r="I4575" s="41" t="s">
        <v>116</v>
      </c>
      <c r="J4575" s="45" t="s">
        <v>213</v>
      </c>
      <c r="K4575" s="53" t="s">
        <v>15</v>
      </c>
      <c r="L4575" s="23">
        <v>3184</v>
      </c>
      <c r="M4575" s="24">
        <v>73</v>
      </c>
      <c r="N4575" s="25">
        <f t="shared" si="143"/>
        <v>232432</v>
      </c>
      <c r="O4575" s="24"/>
    </row>
    <row r="4576" spans="1:15" hidden="1" x14ac:dyDescent="0.3">
      <c r="A4576" s="24">
        <v>34</v>
      </c>
      <c r="B4576" s="20" t="str">
        <f t="shared" si="142"/>
        <v>AUG</v>
      </c>
      <c r="C4576" s="21">
        <v>46256</v>
      </c>
      <c r="D4576" s="22" t="str">
        <f>IFERROR(INDEX('Kode Outlet dan Target Toko'!$A:$A,MATCH($I4576,'Kode Outlet dan Target Toko'!$E:$E,0)),"")</f>
        <v>GRSM 7</v>
      </c>
      <c r="E4576" s="20" t="str">
        <f>IFERROR(VLOOKUP(I4576,KET!$B:$F,4,0),"")</f>
        <v>INDRI</v>
      </c>
      <c r="F4576" s="20" t="str">
        <f>IFERROR(VLOOKUP($I4576,KET!$B:$F,5,0),"")</f>
        <v>GMM</v>
      </c>
      <c r="G4576" s="20">
        <f>IFERROR(INDEX('Kode Outlet dan Target Toko'!$C:$C,MATCH($I4576,'Kode Outlet dan Target Toko'!$E:$E,0)),0)</f>
        <v>103240</v>
      </c>
      <c r="H4576" s="20">
        <f>IFERROR(INDEX('Kode Outlet dan Target Toko'!$D:$D,MATCH($I4576,'Kode Outlet dan Target Toko'!$E:$E,0)),0)</f>
        <v>7112059</v>
      </c>
      <c r="I4576" s="41" t="s">
        <v>116</v>
      </c>
      <c r="J4576" s="45" t="s">
        <v>213</v>
      </c>
      <c r="K4576" s="53" t="s">
        <v>14</v>
      </c>
      <c r="L4576" s="23">
        <v>3184</v>
      </c>
      <c r="M4576" s="24">
        <v>6</v>
      </c>
      <c r="N4576" s="25">
        <f t="shared" si="143"/>
        <v>19104</v>
      </c>
      <c r="O4576" s="24"/>
    </row>
    <row r="4577" spans="1:15" hidden="1" x14ac:dyDescent="0.3">
      <c r="A4577" s="24">
        <v>34</v>
      </c>
      <c r="B4577" s="20" t="str">
        <f t="shared" si="142"/>
        <v>AUG</v>
      </c>
      <c r="C4577" s="21">
        <v>46256</v>
      </c>
      <c r="D4577" s="22" t="str">
        <f>IFERROR(INDEX('Kode Outlet dan Target Toko'!$A:$A,MATCH($I4577,'Kode Outlet dan Target Toko'!$E:$E,0)),"")</f>
        <v>GRSM 7</v>
      </c>
      <c r="E4577" s="20" t="str">
        <f>IFERROR(VLOOKUP(I4577,KET!$B:$F,4,0),"")</f>
        <v>INDRI</v>
      </c>
      <c r="F4577" s="20" t="str">
        <f>IFERROR(VLOOKUP($I4577,KET!$B:$F,5,0),"")</f>
        <v>GMM</v>
      </c>
      <c r="G4577" s="20">
        <f>IFERROR(INDEX('Kode Outlet dan Target Toko'!$C:$C,MATCH($I4577,'Kode Outlet dan Target Toko'!$E:$E,0)),0)</f>
        <v>103240</v>
      </c>
      <c r="H4577" s="20">
        <f>IFERROR(INDEX('Kode Outlet dan Target Toko'!$D:$D,MATCH($I4577,'Kode Outlet dan Target Toko'!$E:$E,0)),0)</f>
        <v>7112059</v>
      </c>
      <c r="I4577" s="41" t="s">
        <v>116</v>
      </c>
      <c r="J4577" s="45" t="s">
        <v>213</v>
      </c>
      <c r="K4577" s="53" t="s">
        <v>13</v>
      </c>
      <c r="L4577" s="23">
        <v>3184</v>
      </c>
      <c r="M4577" s="24">
        <v>0</v>
      </c>
      <c r="N4577" s="25">
        <f t="shared" si="143"/>
        <v>0</v>
      </c>
      <c r="O4577" s="24"/>
    </row>
    <row r="4578" spans="1:15" hidden="1" x14ac:dyDescent="0.3">
      <c r="A4578" s="24">
        <v>34</v>
      </c>
      <c r="B4578" s="20" t="str">
        <f t="shared" si="142"/>
        <v>AUG</v>
      </c>
      <c r="C4578" s="21">
        <v>46256</v>
      </c>
      <c r="D4578" s="22" t="str">
        <f>IFERROR(INDEX('Kode Outlet dan Target Toko'!$A:$A,MATCH($I4578,'Kode Outlet dan Target Toko'!$E:$E,0)),"")</f>
        <v>GRSM 7</v>
      </c>
      <c r="E4578" s="20" t="str">
        <f>IFERROR(VLOOKUP(I4578,KET!$B:$F,4,0),"")</f>
        <v>INDRI</v>
      </c>
      <c r="F4578" s="20" t="str">
        <f>IFERROR(VLOOKUP($I4578,KET!$B:$F,5,0),"")</f>
        <v>GMM</v>
      </c>
      <c r="G4578" s="20">
        <f>IFERROR(INDEX('Kode Outlet dan Target Toko'!$C:$C,MATCH($I4578,'Kode Outlet dan Target Toko'!$E:$E,0)),0)</f>
        <v>103240</v>
      </c>
      <c r="H4578" s="20">
        <f>IFERROR(INDEX('Kode Outlet dan Target Toko'!$D:$D,MATCH($I4578,'Kode Outlet dan Target Toko'!$E:$E,0)),0)</f>
        <v>7112059</v>
      </c>
      <c r="I4578" s="41" t="s">
        <v>116</v>
      </c>
      <c r="J4578" s="45" t="s">
        <v>213</v>
      </c>
      <c r="K4578" s="53" t="s">
        <v>16</v>
      </c>
      <c r="L4578" s="23">
        <v>3184</v>
      </c>
      <c r="M4578" s="24">
        <v>120</v>
      </c>
      <c r="N4578" s="25">
        <f t="shared" si="143"/>
        <v>382080</v>
      </c>
      <c r="O4578" s="24">
        <v>160</v>
      </c>
    </row>
    <row r="4579" spans="1:15" hidden="1" x14ac:dyDescent="0.3">
      <c r="A4579" s="24">
        <v>34</v>
      </c>
      <c r="B4579" s="20" t="str">
        <f t="shared" si="142"/>
        <v>AUG</v>
      </c>
      <c r="C4579" s="21">
        <v>46256</v>
      </c>
      <c r="D4579" s="22" t="str">
        <f>IFERROR(INDEX('Kode Outlet dan Target Toko'!$A:$A,MATCH($I4579,'Kode Outlet dan Target Toko'!$E:$E,0)),"")</f>
        <v>GRSM 7</v>
      </c>
      <c r="E4579" s="20" t="str">
        <f>IFERROR(VLOOKUP(I4579,KET!$B:$F,4,0),"")</f>
        <v>INDRI</v>
      </c>
      <c r="F4579" s="20" t="str">
        <f>IFERROR(VLOOKUP($I4579,KET!$B:$F,5,0),"")</f>
        <v>GMM</v>
      </c>
      <c r="G4579" s="20">
        <f>IFERROR(INDEX('Kode Outlet dan Target Toko'!$C:$C,MATCH($I4579,'Kode Outlet dan Target Toko'!$E:$E,0)),0)</f>
        <v>103240</v>
      </c>
      <c r="H4579" s="20">
        <f>IFERROR(INDEX('Kode Outlet dan Target Toko'!$D:$D,MATCH($I4579,'Kode Outlet dan Target Toko'!$E:$E,0)),0)</f>
        <v>7112059</v>
      </c>
      <c r="I4579" s="41" t="s">
        <v>116</v>
      </c>
      <c r="J4579" s="45" t="s">
        <v>212</v>
      </c>
      <c r="K4579" s="53" t="s">
        <v>15</v>
      </c>
      <c r="L4579" s="23">
        <v>3184</v>
      </c>
      <c r="M4579" s="24">
        <v>73</v>
      </c>
      <c r="N4579" s="25">
        <f t="shared" si="143"/>
        <v>232432</v>
      </c>
      <c r="O4579" s="24"/>
    </row>
    <row r="4580" spans="1:15" hidden="1" x14ac:dyDescent="0.3">
      <c r="A4580" s="24">
        <v>34</v>
      </c>
      <c r="B4580" s="20" t="str">
        <f t="shared" si="142"/>
        <v>AUG</v>
      </c>
      <c r="C4580" s="21">
        <v>46256</v>
      </c>
      <c r="D4580" s="22" t="str">
        <f>IFERROR(INDEX('Kode Outlet dan Target Toko'!$A:$A,MATCH($I4580,'Kode Outlet dan Target Toko'!$E:$E,0)),"")</f>
        <v>GRSM 7</v>
      </c>
      <c r="E4580" s="20" t="str">
        <f>IFERROR(VLOOKUP(I4580,KET!$B:$F,4,0),"")</f>
        <v>INDRI</v>
      </c>
      <c r="F4580" s="20" t="str">
        <f>IFERROR(VLOOKUP($I4580,KET!$B:$F,5,0),"")</f>
        <v>GMM</v>
      </c>
      <c r="G4580" s="20">
        <f>IFERROR(INDEX('Kode Outlet dan Target Toko'!$C:$C,MATCH($I4580,'Kode Outlet dan Target Toko'!$E:$E,0)),0)</f>
        <v>103240</v>
      </c>
      <c r="H4580" s="20">
        <f>IFERROR(INDEX('Kode Outlet dan Target Toko'!$D:$D,MATCH($I4580,'Kode Outlet dan Target Toko'!$E:$E,0)),0)</f>
        <v>7112059</v>
      </c>
      <c r="I4580" s="41" t="s">
        <v>116</v>
      </c>
      <c r="J4580" s="45" t="s">
        <v>212</v>
      </c>
      <c r="K4580" s="53" t="s">
        <v>14</v>
      </c>
      <c r="L4580" s="23">
        <v>3184</v>
      </c>
      <c r="M4580" s="24">
        <v>6</v>
      </c>
      <c r="N4580" s="25">
        <f t="shared" si="143"/>
        <v>19104</v>
      </c>
      <c r="O4580" s="24"/>
    </row>
    <row r="4581" spans="1:15" hidden="1" x14ac:dyDescent="0.3">
      <c r="A4581" s="24">
        <v>34</v>
      </c>
      <c r="B4581" s="20" t="str">
        <f t="shared" si="142"/>
        <v>AUG</v>
      </c>
      <c r="C4581" s="21">
        <v>46256</v>
      </c>
      <c r="D4581" s="22" t="str">
        <f>IFERROR(INDEX('Kode Outlet dan Target Toko'!$A:$A,MATCH($I4581,'Kode Outlet dan Target Toko'!$E:$E,0)),"")</f>
        <v>GRSM 7</v>
      </c>
      <c r="E4581" s="20" t="str">
        <f>IFERROR(VLOOKUP(I4581,KET!$B:$F,4,0),"")</f>
        <v>INDRI</v>
      </c>
      <c r="F4581" s="20" t="str">
        <f>IFERROR(VLOOKUP($I4581,KET!$B:$F,5,0),"")</f>
        <v>GMM</v>
      </c>
      <c r="G4581" s="20">
        <f>IFERROR(INDEX('Kode Outlet dan Target Toko'!$C:$C,MATCH($I4581,'Kode Outlet dan Target Toko'!$E:$E,0)),0)</f>
        <v>103240</v>
      </c>
      <c r="H4581" s="20">
        <f>IFERROR(INDEX('Kode Outlet dan Target Toko'!$D:$D,MATCH($I4581,'Kode Outlet dan Target Toko'!$E:$E,0)),0)</f>
        <v>7112059</v>
      </c>
      <c r="I4581" s="41" t="s">
        <v>116</v>
      </c>
      <c r="J4581" s="45" t="s">
        <v>212</v>
      </c>
      <c r="K4581" s="53" t="s">
        <v>13</v>
      </c>
      <c r="L4581" s="23">
        <v>3184</v>
      </c>
      <c r="M4581" s="24">
        <v>0</v>
      </c>
      <c r="N4581" s="25">
        <f t="shared" si="143"/>
        <v>0</v>
      </c>
      <c r="O4581" s="24"/>
    </row>
    <row r="4582" spans="1:15" hidden="1" x14ac:dyDescent="0.3">
      <c r="A4582" s="24">
        <v>34</v>
      </c>
      <c r="B4582" s="20" t="str">
        <f t="shared" si="142"/>
        <v>AUG</v>
      </c>
      <c r="C4582" s="21">
        <v>46256</v>
      </c>
      <c r="D4582" s="22" t="str">
        <f>IFERROR(INDEX('Kode Outlet dan Target Toko'!$A:$A,MATCH($I4582,'Kode Outlet dan Target Toko'!$E:$E,0)),"")</f>
        <v>GRSM 7</v>
      </c>
      <c r="E4582" s="20" t="str">
        <f>IFERROR(VLOOKUP(I4582,KET!$B:$F,4,0),"")</f>
        <v>INDRI</v>
      </c>
      <c r="F4582" s="20" t="str">
        <f>IFERROR(VLOOKUP($I4582,KET!$B:$F,5,0),"")</f>
        <v>GMM</v>
      </c>
      <c r="G4582" s="20">
        <f>IFERROR(INDEX('Kode Outlet dan Target Toko'!$C:$C,MATCH($I4582,'Kode Outlet dan Target Toko'!$E:$E,0)),0)</f>
        <v>103240</v>
      </c>
      <c r="H4582" s="20">
        <f>IFERROR(INDEX('Kode Outlet dan Target Toko'!$D:$D,MATCH($I4582,'Kode Outlet dan Target Toko'!$E:$E,0)),0)</f>
        <v>7112059</v>
      </c>
      <c r="I4582" s="41" t="s">
        <v>116</v>
      </c>
      <c r="J4582" s="45" t="s">
        <v>212</v>
      </c>
      <c r="K4582" s="53" t="s">
        <v>16</v>
      </c>
      <c r="L4582" s="23">
        <v>3184</v>
      </c>
      <c r="M4582" s="24">
        <v>120</v>
      </c>
      <c r="N4582" s="25">
        <f t="shared" si="143"/>
        <v>382080</v>
      </c>
      <c r="O4582" s="24">
        <v>160</v>
      </c>
    </row>
    <row r="4583" spans="1:15" hidden="1" x14ac:dyDescent="0.3">
      <c r="A4583" s="24">
        <v>34</v>
      </c>
      <c r="B4583" s="20" t="str">
        <f t="shared" si="142"/>
        <v>AUG</v>
      </c>
      <c r="C4583" s="21">
        <v>46257</v>
      </c>
      <c r="D4583" s="22" t="str">
        <f>IFERROR(INDEX('Kode Outlet dan Target Toko'!$A:$A,MATCH($I4583,'Kode Outlet dan Target Toko'!$E:$E,0)),"")</f>
        <v>GRSM 7</v>
      </c>
      <c r="E4583" s="20" t="str">
        <f>IFERROR(VLOOKUP(I4583,KET!$B:$F,4,0),"")</f>
        <v>INDRI</v>
      </c>
      <c r="F4583" s="20" t="str">
        <f>IFERROR(VLOOKUP($I4583,KET!$B:$F,5,0),"")</f>
        <v>GMM</v>
      </c>
      <c r="G4583" s="20">
        <f>IFERROR(INDEX('Kode Outlet dan Target Toko'!$C:$C,MATCH($I4583,'Kode Outlet dan Target Toko'!$E:$E,0)),0)</f>
        <v>103783</v>
      </c>
      <c r="H4583" s="20">
        <f>IFERROR(INDEX('Kode Outlet dan Target Toko'!$D:$D,MATCH($I4583,'Kode Outlet dan Target Toko'!$E:$E,0)),0)</f>
        <v>7500032</v>
      </c>
      <c r="I4583" s="41" t="s">
        <v>122</v>
      </c>
      <c r="J4583" s="56" t="s">
        <v>303</v>
      </c>
      <c r="K4583" s="53" t="s">
        <v>15</v>
      </c>
      <c r="L4583" s="23">
        <v>6400</v>
      </c>
      <c r="M4583" s="24">
        <v>15</v>
      </c>
      <c r="N4583" s="25">
        <f t="shared" si="143"/>
        <v>96000</v>
      </c>
      <c r="O4583" s="24"/>
    </row>
    <row r="4584" spans="1:15" hidden="1" x14ac:dyDescent="0.3">
      <c r="A4584" s="24">
        <v>34</v>
      </c>
      <c r="B4584" s="20" t="str">
        <f t="shared" si="142"/>
        <v>AUG</v>
      </c>
      <c r="C4584" s="21">
        <v>46257</v>
      </c>
      <c r="D4584" s="22" t="str">
        <f>IFERROR(INDEX('Kode Outlet dan Target Toko'!$A:$A,MATCH($I4584,'Kode Outlet dan Target Toko'!$E:$E,0)),"")</f>
        <v>GRSM 7</v>
      </c>
      <c r="E4584" s="20" t="str">
        <f>IFERROR(VLOOKUP(I4584,KET!$B:$F,4,0),"")</f>
        <v>INDRI</v>
      </c>
      <c r="F4584" s="20" t="str">
        <f>IFERROR(VLOOKUP($I4584,KET!$B:$F,5,0),"")</f>
        <v>GMM</v>
      </c>
      <c r="G4584" s="20">
        <f>IFERROR(INDEX('Kode Outlet dan Target Toko'!$C:$C,MATCH($I4584,'Kode Outlet dan Target Toko'!$E:$E,0)),0)</f>
        <v>103783</v>
      </c>
      <c r="H4584" s="20">
        <f>IFERROR(INDEX('Kode Outlet dan Target Toko'!$D:$D,MATCH($I4584,'Kode Outlet dan Target Toko'!$E:$E,0)),0)</f>
        <v>7500032</v>
      </c>
      <c r="I4584" s="41" t="s">
        <v>122</v>
      </c>
      <c r="J4584" s="56" t="s">
        <v>303</v>
      </c>
      <c r="K4584" s="53" t="s">
        <v>14</v>
      </c>
      <c r="L4584" s="23">
        <v>6400</v>
      </c>
      <c r="M4584" s="24">
        <v>25</v>
      </c>
      <c r="N4584" s="25">
        <f t="shared" si="143"/>
        <v>160000</v>
      </c>
      <c r="O4584" s="24"/>
    </row>
    <row r="4585" spans="1:15" hidden="1" x14ac:dyDescent="0.3">
      <c r="A4585" s="24">
        <v>34</v>
      </c>
      <c r="B4585" s="20" t="str">
        <f t="shared" si="142"/>
        <v>AUG</v>
      </c>
      <c r="C4585" s="21">
        <v>46257</v>
      </c>
      <c r="D4585" s="22" t="str">
        <f>IFERROR(INDEX('Kode Outlet dan Target Toko'!$A:$A,MATCH($I4585,'Kode Outlet dan Target Toko'!$E:$E,0)),"")</f>
        <v>GRSM 7</v>
      </c>
      <c r="E4585" s="20" t="str">
        <f>IFERROR(VLOOKUP(I4585,KET!$B:$F,4,0),"")</f>
        <v>INDRI</v>
      </c>
      <c r="F4585" s="20" t="str">
        <f>IFERROR(VLOOKUP($I4585,KET!$B:$F,5,0),"")</f>
        <v>GMM</v>
      </c>
      <c r="G4585" s="20">
        <f>IFERROR(INDEX('Kode Outlet dan Target Toko'!$C:$C,MATCH($I4585,'Kode Outlet dan Target Toko'!$E:$E,0)),0)</f>
        <v>103783</v>
      </c>
      <c r="H4585" s="20">
        <f>IFERROR(INDEX('Kode Outlet dan Target Toko'!$D:$D,MATCH($I4585,'Kode Outlet dan Target Toko'!$E:$E,0)),0)</f>
        <v>7500032</v>
      </c>
      <c r="I4585" s="41" t="s">
        <v>122</v>
      </c>
      <c r="J4585" s="56" t="s">
        <v>303</v>
      </c>
      <c r="K4585" s="53" t="s">
        <v>13</v>
      </c>
      <c r="L4585" s="23">
        <v>6400</v>
      </c>
      <c r="M4585" s="24">
        <v>11</v>
      </c>
      <c r="N4585" s="25">
        <f t="shared" si="143"/>
        <v>70400</v>
      </c>
      <c r="O4585" s="24"/>
    </row>
    <row r="4586" spans="1:15" hidden="1" x14ac:dyDescent="0.3">
      <c r="A4586" s="24">
        <v>34</v>
      </c>
      <c r="B4586" s="20" t="str">
        <f t="shared" si="142"/>
        <v>AUG</v>
      </c>
      <c r="C4586" s="21">
        <v>46257</v>
      </c>
      <c r="D4586" s="22" t="str">
        <f>IFERROR(INDEX('Kode Outlet dan Target Toko'!$A:$A,MATCH($I4586,'Kode Outlet dan Target Toko'!$E:$E,0)),"")</f>
        <v>GRSM 7</v>
      </c>
      <c r="E4586" s="20" t="str">
        <f>IFERROR(VLOOKUP(I4586,KET!$B:$F,4,0),"")</f>
        <v>INDRI</v>
      </c>
      <c r="F4586" s="20" t="str">
        <f>IFERROR(VLOOKUP($I4586,KET!$B:$F,5,0),"")</f>
        <v>GMM</v>
      </c>
      <c r="G4586" s="20">
        <f>IFERROR(INDEX('Kode Outlet dan Target Toko'!$C:$C,MATCH($I4586,'Kode Outlet dan Target Toko'!$E:$E,0)),0)</f>
        <v>103783</v>
      </c>
      <c r="H4586" s="20">
        <f>IFERROR(INDEX('Kode Outlet dan Target Toko'!$D:$D,MATCH($I4586,'Kode Outlet dan Target Toko'!$E:$E,0)),0)</f>
        <v>7500032</v>
      </c>
      <c r="I4586" s="41" t="s">
        <v>122</v>
      </c>
      <c r="J4586" s="56" t="s">
        <v>303</v>
      </c>
      <c r="K4586" s="53" t="s">
        <v>16</v>
      </c>
      <c r="L4586" s="23">
        <v>6400</v>
      </c>
      <c r="M4586" s="24">
        <v>38</v>
      </c>
      <c r="N4586" s="25">
        <f t="shared" si="143"/>
        <v>243200</v>
      </c>
      <c r="O4586" s="24">
        <v>160</v>
      </c>
    </row>
    <row r="4587" spans="1:15" hidden="1" x14ac:dyDescent="0.3">
      <c r="A4587" s="24">
        <v>34</v>
      </c>
      <c r="B4587" s="20" t="str">
        <f t="shared" si="142"/>
        <v>AUG</v>
      </c>
      <c r="C4587" s="21">
        <v>46257</v>
      </c>
      <c r="D4587" s="22" t="str">
        <f>IFERROR(INDEX('Kode Outlet dan Target Toko'!$A:$A,MATCH($I4587,'Kode Outlet dan Target Toko'!$E:$E,0)),"")</f>
        <v>GRSM 7</v>
      </c>
      <c r="E4587" s="20" t="str">
        <f>IFERROR(VLOOKUP(I4587,KET!$B:$F,4,0),"")</f>
        <v>INDRI</v>
      </c>
      <c r="F4587" s="20" t="str">
        <f>IFERROR(VLOOKUP($I4587,KET!$B:$F,5,0),"")</f>
        <v>GMM</v>
      </c>
      <c r="G4587" s="20">
        <f>IFERROR(INDEX('Kode Outlet dan Target Toko'!$C:$C,MATCH($I4587,'Kode Outlet dan Target Toko'!$E:$E,0)),0)</f>
        <v>103783</v>
      </c>
      <c r="H4587" s="20">
        <f>IFERROR(INDEX('Kode Outlet dan Target Toko'!$D:$D,MATCH($I4587,'Kode Outlet dan Target Toko'!$E:$E,0)),0)</f>
        <v>7500032</v>
      </c>
      <c r="I4587" s="41" t="s">
        <v>122</v>
      </c>
      <c r="J4587" s="45" t="s">
        <v>234</v>
      </c>
      <c r="K4587" s="53" t="s">
        <v>15</v>
      </c>
      <c r="L4587" s="23">
        <v>6400</v>
      </c>
      <c r="M4587" s="24">
        <v>15</v>
      </c>
      <c r="N4587" s="25">
        <f t="shared" si="143"/>
        <v>96000</v>
      </c>
      <c r="O4587" s="24"/>
    </row>
    <row r="4588" spans="1:15" hidden="1" x14ac:dyDescent="0.3">
      <c r="A4588" s="24">
        <v>34</v>
      </c>
      <c r="B4588" s="20" t="str">
        <f t="shared" si="142"/>
        <v>AUG</v>
      </c>
      <c r="C4588" s="21">
        <v>46257</v>
      </c>
      <c r="D4588" s="22" t="str">
        <f>IFERROR(INDEX('Kode Outlet dan Target Toko'!$A:$A,MATCH($I4588,'Kode Outlet dan Target Toko'!$E:$E,0)),"")</f>
        <v>GRSM 7</v>
      </c>
      <c r="E4588" s="20" t="str">
        <f>IFERROR(VLOOKUP(I4588,KET!$B:$F,4,0),"")</f>
        <v>INDRI</v>
      </c>
      <c r="F4588" s="20" t="str">
        <f>IFERROR(VLOOKUP($I4588,KET!$B:$F,5,0),"")</f>
        <v>GMM</v>
      </c>
      <c r="G4588" s="20">
        <f>IFERROR(INDEX('Kode Outlet dan Target Toko'!$C:$C,MATCH($I4588,'Kode Outlet dan Target Toko'!$E:$E,0)),0)</f>
        <v>103783</v>
      </c>
      <c r="H4588" s="20">
        <f>IFERROR(INDEX('Kode Outlet dan Target Toko'!$D:$D,MATCH($I4588,'Kode Outlet dan Target Toko'!$E:$E,0)),0)</f>
        <v>7500032</v>
      </c>
      <c r="I4588" s="41" t="s">
        <v>122</v>
      </c>
      <c r="J4588" s="45" t="s">
        <v>234</v>
      </c>
      <c r="K4588" s="53" t="s">
        <v>14</v>
      </c>
      <c r="L4588" s="23">
        <v>6400</v>
      </c>
      <c r="M4588" s="24">
        <v>25</v>
      </c>
      <c r="N4588" s="25">
        <f t="shared" si="143"/>
        <v>160000</v>
      </c>
      <c r="O4588" s="24"/>
    </row>
    <row r="4589" spans="1:15" hidden="1" x14ac:dyDescent="0.3">
      <c r="A4589" s="24">
        <v>34</v>
      </c>
      <c r="B4589" s="20" t="str">
        <f t="shared" si="142"/>
        <v>AUG</v>
      </c>
      <c r="C4589" s="21">
        <v>46257</v>
      </c>
      <c r="D4589" s="22" t="str">
        <f>IFERROR(INDEX('Kode Outlet dan Target Toko'!$A:$A,MATCH($I4589,'Kode Outlet dan Target Toko'!$E:$E,0)),"")</f>
        <v>GRSM 7</v>
      </c>
      <c r="E4589" s="20" t="str">
        <f>IFERROR(VLOOKUP(I4589,KET!$B:$F,4,0),"")</f>
        <v>INDRI</v>
      </c>
      <c r="F4589" s="20" t="str">
        <f>IFERROR(VLOOKUP($I4589,KET!$B:$F,5,0),"")</f>
        <v>GMM</v>
      </c>
      <c r="G4589" s="20">
        <f>IFERROR(INDEX('Kode Outlet dan Target Toko'!$C:$C,MATCH($I4589,'Kode Outlet dan Target Toko'!$E:$E,0)),0)</f>
        <v>103783</v>
      </c>
      <c r="H4589" s="20">
        <f>IFERROR(INDEX('Kode Outlet dan Target Toko'!$D:$D,MATCH($I4589,'Kode Outlet dan Target Toko'!$E:$E,0)),0)</f>
        <v>7500032</v>
      </c>
      <c r="I4589" s="41" t="s">
        <v>122</v>
      </c>
      <c r="J4589" s="45" t="s">
        <v>234</v>
      </c>
      <c r="K4589" s="53" t="s">
        <v>13</v>
      </c>
      <c r="L4589" s="23">
        <v>6400</v>
      </c>
      <c r="M4589" s="24">
        <v>11</v>
      </c>
      <c r="N4589" s="25">
        <f t="shared" si="143"/>
        <v>70400</v>
      </c>
      <c r="O4589" s="24"/>
    </row>
    <row r="4590" spans="1:15" hidden="1" x14ac:dyDescent="0.3">
      <c r="A4590" s="24">
        <v>34</v>
      </c>
      <c r="B4590" s="20" t="str">
        <f t="shared" si="142"/>
        <v>AUG</v>
      </c>
      <c r="C4590" s="21">
        <v>46257</v>
      </c>
      <c r="D4590" s="22" t="str">
        <f>IFERROR(INDEX('Kode Outlet dan Target Toko'!$A:$A,MATCH($I4590,'Kode Outlet dan Target Toko'!$E:$E,0)),"")</f>
        <v>GRSM 7</v>
      </c>
      <c r="E4590" s="20" t="str">
        <f>IFERROR(VLOOKUP(I4590,KET!$B:$F,4,0),"")</f>
        <v>INDRI</v>
      </c>
      <c r="F4590" s="20" t="str">
        <f>IFERROR(VLOOKUP($I4590,KET!$B:$F,5,0),"")</f>
        <v>GMM</v>
      </c>
      <c r="G4590" s="20">
        <f>IFERROR(INDEX('Kode Outlet dan Target Toko'!$C:$C,MATCH($I4590,'Kode Outlet dan Target Toko'!$E:$E,0)),0)</f>
        <v>103783</v>
      </c>
      <c r="H4590" s="20">
        <f>IFERROR(INDEX('Kode Outlet dan Target Toko'!$D:$D,MATCH($I4590,'Kode Outlet dan Target Toko'!$E:$E,0)),0)</f>
        <v>7500032</v>
      </c>
      <c r="I4590" s="41" t="s">
        <v>122</v>
      </c>
      <c r="J4590" s="45" t="s">
        <v>234</v>
      </c>
      <c r="K4590" s="53" t="s">
        <v>16</v>
      </c>
      <c r="L4590" s="23">
        <v>6400</v>
      </c>
      <c r="M4590" s="24">
        <v>38</v>
      </c>
      <c r="N4590" s="25">
        <f t="shared" si="143"/>
        <v>243200</v>
      </c>
      <c r="O4590" s="24">
        <v>160</v>
      </c>
    </row>
    <row r="4591" spans="1:15" hidden="1" x14ac:dyDescent="0.3">
      <c r="A4591" s="24">
        <v>34</v>
      </c>
      <c r="B4591" s="20" t="str">
        <f t="shared" si="142"/>
        <v>AUG</v>
      </c>
      <c r="C4591" s="21">
        <v>46257</v>
      </c>
      <c r="D4591" s="22" t="str">
        <f>IFERROR(INDEX('Kode Outlet dan Target Toko'!$A:$A,MATCH($I4591,'Kode Outlet dan Target Toko'!$E:$E,0)),"")</f>
        <v>GRSM 7</v>
      </c>
      <c r="E4591" s="20" t="str">
        <f>IFERROR(VLOOKUP(I4591,KET!$B:$F,4,0),"")</f>
        <v>INDRI</v>
      </c>
      <c r="F4591" s="20" t="str">
        <f>IFERROR(VLOOKUP($I4591,KET!$B:$F,5,0),"")</f>
        <v>GMM</v>
      </c>
      <c r="G4591" s="20">
        <f>IFERROR(INDEX('Kode Outlet dan Target Toko'!$C:$C,MATCH($I4591,'Kode Outlet dan Target Toko'!$E:$E,0)),0)</f>
        <v>211074</v>
      </c>
      <c r="H4591" s="20">
        <f>IFERROR(INDEX('Kode Outlet dan Target Toko'!$D:$D,MATCH($I4591,'Kode Outlet dan Target Toko'!$E:$E,0)),0)</f>
        <v>2217375</v>
      </c>
      <c r="I4591" s="41" t="s">
        <v>85</v>
      </c>
      <c r="J4591" s="45" t="s">
        <v>209</v>
      </c>
      <c r="K4591" s="53" t="s">
        <v>15</v>
      </c>
      <c r="L4591" s="23">
        <v>3200</v>
      </c>
      <c r="M4591" s="24">
        <v>14</v>
      </c>
      <c r="N4591" s="25">
        <f t="shared" si="143"/>
        <v>44800</v>
      </c>
      <c r="O4591" s="24"/>
    </row>
    <row r="4592" spans="1:15" hidden="1" x14ac:dyDescent="0.3">
      <c r="A4592" s="24">
        <v>34</v>
      </c>
      <c r="B4592" s="20" t="str">
        <f t="shared" si="142"/>
        <v>AUG</v>
      </c>
      <c r="C4592" s="21">
        <v>46257</v>
      </c>
      <c r="D4592" s="22" t="str">
        <f>IFERROR(INDEX('Kode Outlet dan Target Toko'!$A:$A,MATCH($I4592,'Kode Outlet dan Target Toko'!$E:$E,0)),"")</f>
        <v>GRSM 7</v>
      </c>
      <c r="E4592" s="20" t="str">
        <f>IFERROR(VLOOKUP(I4592,KET!$B:$F,4,0),"")</f>
        <v>INDRI</v>
      </c>
      <c r="F4592" s="20" t="str">
        <f>IFERROR(VLOOKUP($I4592,KET!$B:$F,5,0),"")</f>
        <v>GMM</v>
      </c>
      <c r="G4592" s="20">
        <f>IFERROR(INDEX('Kode Outlet dan Target Toko'!$C:$C,MATCH($I4592,'Kode Outlet dan Target Toko'!$E:$E,0)),0)</f>
        <v>211074</v>
      </c>
      <c r="H4592" s="20">
        <f>IFERROR(INDEX('Kode Outlet dan Target Toko'!$D:$D,MATCH($I4592,'Kode Outlet dan Target Toko'!$E:$E,0)),0)</f>
        <v>2217375</v>
      </c>
      <c r="I4592" s="41" t="s">
        <v>85</v>
      </c>
      <c r="J4592" s="45" t="s">
        <v>209</v>
      </c>
      <c r="K4592" s="53" t="s">
        <v>14</v>
      </c>
      <c r="L4592" s="23">
        <v>3200</v>
      </c>
      <c r="M4592" s="24">
        <v>20</v>
      </c>
      <c r="N4592" s="25">
        <f t="shared" si="143"/>
        <v>64000</v>
      </c>
      <c r="O4592" s="24"/>
    </row>
    <row r="4593" spans="1:15" hidden="1" x14ac:dyDescent="0.3">
      <c r="A4593" s="24">
        <v>34</v>
      </c>
      <c r="B4593" s="20" t="str">
        <f t="shared" si="142"/>
        <v>AUG</v>
      </c>
      <c r="C4593" s="21">
        <v>46257</v>
      </c>
      <c r="D4593" s="22" t="str">
        <f>IFERROR(INDEX('Kode Outlet dan Target Toko'!$A:$A,MATCH($I4593,'Kode Outlet dan Target Toko'!$E:$E,0)),"")</f>
        <v>GRSM 7</v>
      </c>
      <c r="E4593" s="20" t="str">
        <f>IFERROR(VLOOKUP(I4593,KET!$B:$F,4,0),"")</f>
        <v>INDRI</v>
      </c>
      <c r="F4593" s="20" t="str">
        <f>IFERROR(VLOOKUP($I4593,KET!$B:$F,5,0),"")</f>
        <v>GMM</v>
      </c>
      <c r="G4593" s="20">
        <f>IFERROR(INDEX('Kode Outlet dan Target Toko'!$C:$C,MATCH($I4593,'Kode Outlet dan Target Toko'!$E:$E,0)),0)</f>
        <v>211074</v>
      </c>
      <c r="H4593" s="20">
        <f>IFERROR(INDEX('Kode Outlet dan Target Toko'!$D:$D,MATCH($I4593,'Kode Outlet dan Target Toko'!$E:$E,0)),0)</f>
        <v>2217375</v>
      </c>
      <c r="I4593" s="41" t="s">
        <v>85</v>
      </c>
      <c r="J4593" s="45" t="s">
        <v>209</v>
      </c>
      <c r="K4593" s="53" t="s">
        <v>13</v>
      </c>
      <c r="L4593" s="23">
        <v>3200</v>
      </c>
      <c r="M4593" s="24">
        <v>0</v>
      </c>
      <c r="N4593" s="25">
        <f t="shared" si="143"/>
        <v>0</v>
      </c>
      <c r="O4593" s="24"/>
    </row>
    <row r="4594" spans="1:15" hidden="1" x14ac:dyDescent="0.3">
      <c r="A4594" s="24">
        <v>34</v>
      </c>
      <c r="B4594" s="20" t="str">
        <f t="shared" si="142"/>
        <v>AUG</v>
      </c>
      <c r="C4594" s="21">
        <v>46257</v>
      </c>
      <c r="D4594" s="22" t="str">
        <f>IFERROR(INDEX('Kode Outlet dan Target Toko'!$A:$A,MATCH($I4594,'Kode Outlet dan Target Toko'!$E:$E,0)),"")</f>
        <v>GRSM 7</v>
      </c>
      <c r="E4594" s="20" t="str">
        <f>IFERROR(VLOOKUP(I4594,KET!$B:$F,4,0),"")</f>
        <v>INDRI</v>
      </c>
      <c r="F4594" s="20" t="str">
        <f>IFERROR(VLOOKUP($I4594,KET!$B:$F,5,0),"")</f>
        <v>GMM</v>
      </c>
      <c r="G4594" s="20">
        <f>IFERROR(INDEX('Kode Outlet dan Target Toko'!$C:$C,MATCH($I4594,'Kode Outlet dan Target Toko'!$E:$E,0)),0)</f>
        <v>211074</v>
      </c>
      <c r="H4594" s="20">
        <f>IFERROR(INDEX('Kode Outlet dan Target Toko'!$D:$D,MATCH($I4594,'Kode Outlet dan Target Toko'!$E:$E,0)),0)</f>
        <v>2217375</v>
      </c>
      <c r="I4594" s="41" t="s">
        <v>85</v>
      </c>
      <c r="J4594" s="45" t="s">
        <v>209</v>
      </c>
      <c r="K4594" s="53" t="s">
        <v>16</v>
      </c>
      <c r="L4594" s="23">
        <v>3200</v>
      </c>
      <c r="M4594" s="24">
        <v>148</v>
      </c>
      <c r="N4594" s="25">
        <f t="shared" si="143"/>
        <v>473600</v>
      </c>
      <c r="O4594" s="24">
        <v>160</v>
      </c>
    </row>
    <row r="4595" spans="1:15" hidden="1" x14ac:dyDescent="0.3">
      <c r="A4595" s="24">
        <v>34</v>
      </c>
      <c r="B4595" s="20" t="str">
        <f t="shared" si="142"/>
        <v>AUG</v>
      </c>
      <c r="C4595" s="21">
        <v>46257</v>
      </c>
      <c r="D4595" s="22" t="str">
        <f>IFERROR(INDEX('Kode Outlet dan Target Toko'!$A:$A,MATCH($I4595,'Kode Outlet dan Target Toko'!$E:$E,0)),"")</f>
        <v>GRSM 7</v>
      </c>
      <c r="E4595" s="20" t="str">
        <f>IFERROR(VLOOKUP(I4595,KET!$B:$F,4,0),"")</f>
        <v>INDRI</v>
      </c>
      <c r="F4595" s="20" t="str">
        <f>IFERROR(VLOOKUP($I4595,KET!$B:$F,5,0),"")</f>
        <v>GMM</v>
      </c>
      <c r="G4595" s="20">
        <f>IFERROR(INDEX('Kode Outlet dan Target Toko'!$C:$C,MATCH($I4595,'Kode Outlet dan Target Toko'!$E:$E,0)),0)</f>
        <v>211074</v>
      </c>
      <c r="H4595" s="20">
        <f>IFERROR(INDEX('Kode Outlet dan Target Toko'!$D:$D,MATCH($I4595,'Kode Outlet dan Target Toko'!$E:$E,0)),0)</f>
        <v>2217375</v>
      </c>
      <c r="I4595" s="41" t="s">
        <v>85</v>
      </c>
      <c r="J4595" s="45" t="s">
        <v>210</v>
      </c>
      <c r="K4595" s="53" t="s">
        <v>15</v>
      </c>
      <c r="L4595" s="23">
        <v>3200</v>
      </c>
      <c r="M4595" s="24">
        <v>14</v>
      </c>
      <c r="N4595" s="25">
        <f t="shared" si="143"/>
        <v>44800</v>
      </c>
      <c r="O4595" s="24"/>
    </row>
    <row r="4596" spans="1:15" hidden="1" x14ac:dyDescent="0.3">
      <c r="A4596" s="24">
        <v>34</v>
      </c>
      <c r="B4596" s="20" t="str">
        <f t="shared" si="142"/>
        <v>AUG</v>
      </c>
      <c r="C4596" s="21">
        <v>46257</v>
      </c>
      <c r="D4596" s="22" t="str">
        <f>IFERROR(INDEX('Kode Outlet dan Target Toko'!$A:$A,MATCH($I4596,'Kode Outlet dan Target Toko'!$E:$E,0)),"")</f>
        <v>GRSM 7</v>
      </c>
      <c r="E4596" s="20" t="str">
        <f>IFERROR(VLOOKUP(I4596,KET!$B:$F,4,0),"")</f>
        <v>INDRI</v>
      </c>
      <c r="F4596" s="20" t="str">
        <f>IFERROR(VLOOKUP($I4596,KET!$B:$F,5,0),"")</f>
        <v>GMM</v>
      </c>
      <c r="G4596" s="20">
        <f>IFERROR(INDEX('Kode Outlet dan Target Toko'!$C:$C,MATCH($I4596,'Kode Outlet dan Target Toko'!$E:$E,0)),0)</f>
        <v>211074</v>
      </c>
      <c r="H4596" s="20">
        <f>IFERROR(INDEX('Kode Outlet dan Target Toko'!$D:$D,MATCH($I4596,'Kode Outlet dan Target Toko'!$E:$E,0)),0)</f>
        <v>2217375</v>
      </c>
      <c r="I4596" s="41" t="s">
        <v>85</v>
      </c>
      <c r="J4596" s="45" t="s">
        <v>210</v>
      </c>
      <c r="K4596" s="53" t="s">
        <v>14</v>
      </c>
      <c r="L4596" s="23">
        <v>3200</v>
      </c>
      <c r="M4596" s="24">
        <v>20</v>
      </c>
      <c r="N4596" s="25">
        <f t="shared" si="143"/>
        <v>64000</v>
      </c>
      <c r="O4596" s="24"/>
    </row>
    <row r="4597" spans="1:15" hidden="1" x14ac:dyDescent="0.3">
      <c r="A4597" s="24">
        <v>34</v>
      </c>
      <c r="B4597" s="20" t="str">
        <f t="shared" si="142"/>
        <v>AUG</v>
      </c>
      <c r="C4597" s="21">
        <v>46257</v>
      </c>
      <c r="D4597" s="22" t="str">
        <f>IFERROR(INDEX('Kode Outlet dan Target Toko'!$A:$A,MATCH($I4597,'Kode Outlet dan Target Toko'!$E:$E,0)),"")</f>
        <v>GRSM 7</v>
      </c>
      <c r="E4597" s="20" t="str">
        <f>IFERROR(VLOOKUP(I4597,KET!$B:$F,4,0),"")</f>
        <v>INDRI</v>
      </c>
      <c r="F4597" s="20" t="str">
        <f>IFERROR(VLOOKUP($I4597,KET!$B:$F,5,0),"")</f>
        <v>GMM</v>
      </c>
      <c r="G4597" s="20">
        <f>IFERROR(INDEX('Kode Outlet dan Target Toko'!$C:$C,MATCH($I4597,'Kode Outlet dan Target Toko'!$E:$E,0)),0)</f>
        <v>211074</v>
      </c>
      <c r="H4597" s="20">
        <f>IFERROR(INDEX('Kode Outlet dan Target Toko'!$D:$D,MATCH($I4597,'Kode Outlet dan Target Toko'!$E:$E,0)),0)</f>
        <v>2217375</v>
      </c>
      <c r="I4597" s="41" t="s">
        <v>85</v>
      </c>
      <c r="J4597" s="45" t="s">
        <v>210</v>
      </c>
      <c r="K4597" s="53" t="s">
        <v>13</v>
      </c>
      <c r="L4597" s="23">
        <v>3200</v>
      </c>
      <c r="M4597" s="24">
        <v>0</v>
      </c>
      <c r="N4597" s="25">
        <f t="shared" si="143"/>
        <v>0</v>
      </c>
      <c r="O4597" s="24"/>
    </row>
    <row r="4598" spans="1:15" hidden="1" x14ac:dyDescent="0.3">
      <c r="A4598" s="24">
        <v>34</v>
      </c>
      <c r="B4598" s="20" t="str">
        <f t="shared" si="142"/>
        <v>AUG</v>
      </c>
      <c r="C4598" s="21">
        <v>46257</v>
      </c>
      <c r="D4598" s="22" t="str">
        <f>IFERROR(INDEX('Kode Outlet dan Target Toko'!$A:$A,MATCH($I4598,'Kode Outlet dan Target Toko'!$E:$E,0)),"")</f>
        <v>GRSM 7</v>
      </c>
      <c r="E4598" s="20" t="str">
        <f>IFERROR(VLOOKUP(I4598,KET!$B:$F,4,0),"")</f>
        <v>INDRI</v>
      </c>
      <c r="F4598" s="20" t="str">
        <f>IFERROR(VLOOKUP($I4598,KET!$B:$F,5,0),"")</f>
        <v>GMM</v>
      </c>
      <c r="G4598" s="20">
        <f>IFERROR(INDEX('Kode Outlet dan Target Toko'!$C:$C,MATCH($I4598,'Kode Outlet dan Target Toko'!$E:$E,0)),0)</f>
        <v>211074</v>
      </c>
      <c r="H4598" s="20">
        <f>IFERROR(INDEX('Kode Outlet dan Target Toko'!$D:$D,MATCH($I4598,'Kode Outlet dan Target Toko'!$E:$E,0)),0)</f>
        <v>2217375</v>
      </c>
      <c r="I4598" s="41" t="s">
        <v>85</v>
      </c>
      <c r="J4598" s="45" t="s">
        <v>210</v>
      </c>
      <c r="K4598" s="53" t="s">
        <v>16</v>
      </c>
      <c r="L4598" s="23">
        <v>3200</v>
      </c>
      <c r="M4598" s="24">
        <v>148</v>
      </c>
      <c r="N4598" s="25">
        <f t="shared" si="143"/>
        <v>473600</v>
      </c>
      <c r="O4598" s="24">
        <v>160</v>
      </c>
    </row>
    <row r="4599" spans="1:15" hidden="1" x14ac:dyDescent="0.3">
      <c r="A4599" s="24">
        <v>34</v>
      </c>
      <c r="B4599" s="20" t="str">
        <f t="shared" si="142"/>
        <v>AUG</v>
      </c>
      <c r="C4599" s="21">
        <v>46257</v>
      </c>
      <c r="D4599" s="22" t="str">
        <f>IFERROR(INDEX('Kode Outlet dan Target Toko'!$A:$A,MATCH($I4599,'Kode Outlet dan Target Toko'!$E:$E,0)),"")</f>
        <v>GRSM 7</v>
      </c>
      <c r="E4599" s="20" t="str">
        <f>IFERROR(VLOOKUP(I4599,KET!$B:$F,4,0),"")</f>
        <v>INDRI</v>
      </c>
      <c r="F4599" s="20" t="str">
        <f>IFERROR(VLOOKUP($I4599,KET!$B:$F,5,0),"")</f>
        <v>GMM</v>
      </c>
      <c r="G4599" s="20">
        <f>IFERROR(INDEX('Kode Outlet dan Target Toko'!$C:$C,MATCH($I4599,'Kode Outlet dan Target Toko'!$E:$E,0)),0)</f>
        <v>211074</v>
      </c>
      <c r="H4599" s="20">
        <f>IFERROR(INDEX('Kode Outlet dan Target Toko'!$D:$D,MATCH($I4599,'Kode Outlet dan Target Toko'!$E:$E,0)),0)</f>
        <v>2217375</v>
      </c>
      <c r="I4599" s="41" t="s">
        <v>85</v>
      </c>
      <c r="J4599" s="45" t="s">
        <v>211</v>
      </c>
      <c r="K4599" s="53" t="s">
        <v>15</v>
      </c>
      <c r="L4599" s="23">
        <v>3200</v>
      </c>
      <c r="M4599" s="24">
        <v>14</v>
      </c>
      <c r="N4599" s="25">
        <f t="shared" si="143"/>
        <v>44800</v>
      </c>
      <c r="O4599" s="24"/>
    </row>
    <row r="4600" spans="1:15" hidden="1" x14ac:dyDescent="0.3">
      <c r="A4600" s="24">
        <v>34</v>
      </c>
      <c r="B4600" s="20" t="str">
        <f t="shared" si="142"/>
        <v>AUG</v>
      </c>
      <c r="C4600" s="21">
        <v>46257</v>
      </c>
      <c r="D4600" s="22" t="str">
        <f>IFERROR(INDEX('Kode Outlet dan Target Toko'!$A:$A,MATCH($I4600,'Kode Outlet dan Target Toko'!$E:$E,0)),"")</f>
        <v>GRSM 7</v>
      </c>
      <c r="E4600" s="20" t="str">
        <f>IFERROR(VLOOKUP(I4600,KET!$B:$F,4,0),"")</f>
        <v>INDRI</v>
      </c>
      <c r="F4600" s="20" t="str">
        <f>IFERROR(VLOOKUP($I4600,KET!$B:$F,5,0),"")</f>
        <v>GMM</v>
      </c>
      <c r="G4600" s="20">
        <f>IFERROR(INDEX('Kode Outlet dan Target Toko'!$C:$C,MATCH($I4600,'Kode Outlet dan Target Toko'!$E:$E,0)),0)</f>
        <v>211074</v>
      </c>
      <c r="H4600" s="20">
        <f>IFERROR(INDEX('Kode Outlet dan Target Toko'!$D:$D,MATCH($I4600,'Kode Outlet dan Target Toko'!$E:$E,0)),0)</f>
        <v>2217375</v>
      </c>
      <c r="I4600" s="41" t="s">
        <v>85</v>
      </c>
      <c r="J4600" s="45" t="s">
        <v>211</v>
      </c>
      <c r="K4600" s="53" t="s">
        <v>14</v>
      </c>
      <c r="L4600" s="23">
        <v>3200</v>
      </c>
      <c r="M4600" s="24">
        <v>20</v>
      </c>
      <c r="N4600" s="25">
        <f t="shared" si="143"/>
        <v>64000</v>
      </c>
      <c r="O4600" s="24"/>
    </row>
    <row r="4601" spans="1:15" hidden="1" x14ac:dyDescent="0.3">
      <c r="A4601" s="24">
        <v>34</v>
      </c>
      <c r="B4601" s="20" t="str">
        <f t="shared" si="142"/>
        <v>AUG</v>
      </c>
      <c r="C4601" s="21">
        <v>46257</v>
      </c>
      <c r="D4601" s="22" t="str">
        <f>IFERROR(INDEX('Kode Outlet dan Target Toko'!$A:$A,MATCH($I4601,'Kode Outlet dan Target Toko'!$E:$E,0)),"")</f>
        <v>GRSM 7</v>
      </c>
      <c r="E4601" s="20" t="str">
        <f>IFERROR(VLOOKUP(I4601,KET!$B:$F,4,0),"")</f>
        <v>INDRI</v>
      </c>
      <c r="F4601" s="20" t="str">
        <f>IFERROR(VLOOKUP($I4601,KET!$B:$F,5,0),"")</f>
        <v>GMM</v>
      </c>
      <c r="G4601" s="20">
        <f>IFERROR(INDEX('Kode Outlet dan Target Toko'!$C:$C,MATCH($I4601,'Kode Outlet dan Target Toko'!$E:$E,0)),0)</f>
        <v>211074</v>
      </c>
      <c r="H4601" s="20">
        <f>IFERROR(INDEX('Kode Outlet dan Target Toko'!$D:$D,MATCH($I4601,'Kode Outlet dan Target Toko'!$E:$E,0)),0)</f>
        <v>2217375</v>
      </c>
      <c r="I4601" s="41" t="s">
        <v>85</v>
      </c>
      <c r="J4601" s="45" t="s">
        <v>211</v>
      </c>
      <c r="K4601" s="53" t="s">
        <v>13</v>
      </c>
      <c r="L4601" s="23">
        <v>3200</v>
      </c>
      <c r="M4601" s="24">
        <v>0</v>
      </c>
      <c r="N4601" s="25">
        <f t="shared" si="143"/>
        <v>0</v>
      </c>
      <c r="O4601" s="24"/>
    </row>
    <row r="4602" spans="1:15" hidden="1" x14ac:dyDescent="0.3">
      <c r="A4602" s="24">
        <v>34</v>
      </c>
      <c r="B4602" s="20" t="str">
        <f t="shared" si="142"/>
        <v>AUG</v>
      </c>
      <c r="C4602" s="21">
        <v>46257</v>
      </c>
      <c r="D4602" s="22" t="str">
        <f>IFERROR(INDEX('Kode Outlet dan Target Toko'!$A:$A,MATCH($I4602,'Kode Outlet dan Target Toko'!$E:$E,0)),"")</f>
        <v>GRSM 7</v>
      </c>
      <c r="E4602" s="20" t="str">
        <f>IFERROR(VLOOKUP(I4602,KET!$B:$F,4,0),"")</f>
        <v>INDRI</v>
      </c>
      <c r="F4602" s="20" t="str">
        <f>IFERROR(VLOOKUP($I4602,KET!$B:$F,5,0),"")</f>
        <v>GMM</v>
      </c>
      <c r="G4602" s="20">
        <f>IFERROR(INDEX('Kode Outlet dan Target Toko'!$C:$C,MATCH($I4602,'Kode Outlet dan Target Toko'!$E:$E,0)),0)</f>
        <v>211074</v>
      </c>
      <c r="H4602" s="20">
        <f>IFERROR(INDEX('Kode Outlet dan Target Toko'!$D:$D,MATCH($I4602,'Kode Outlet dan Target Toko'!$E:$E,0)),0)</f>
        <v>2217375</v>
      </c>
      <c r="I4602" s="41" t="s">
        <v>85</v>
      </c>
      <c r="J4602" s="45" t="s">
        <v>211</v>
      </c>
      <c r="K4602" s="53" t="s">
        <v>16</v>
      </c>
      <c r="L4602" s="23">
        <v>3200</v>
      </c>
      <c r="M4602" s="24">
        <v>148</v>
      </c>
      <c r="N4602" s="25">
        <f t="shared" si="143"/>
        <v>473600</v>
      </c>
      <c r="O4602" s="24">
        <v>160</v>
      </c>
    </row>
    <row r="4603" spans="1:15" hidden="1" x14ac:dyDescent="0.3">
      <c r="A4603" s="24">
        <v>34</v>
      </c>
      <c r="B4603" s="20" t="str">
        <f t="shared" si="142"/>
        <v>AUG</v>
      </c>
      <c r="C4603" s="21">
        <v>46257</v>
      </c>
      <c r="D4603" s="22" t="str">
        <f>IFERROR(INDEX('Kode Outlet dan Target Toko'!$A:$A,MATCH($I4603,'Kode Outlet dan Target Toko'!$E:$E,0)),"")</f>
        <v>GRSM 7</v>
      </c>
      <c r="E4603" s="20" t="str">
        <f>IFERROR(VLOOKUP(I4603,KET!$B:$F,4,0),"")</f>
        <v>INDRI</v>
      </c>
      <c r="F4603" s="20" t="str">
        <f>IFERROR(VLOOKUP($I4603,KET!$B:$F,5,0),"")</f>
        <v>GMM</v>
      </c>
      <c r="G4603" s="20">
        <f>IFERROR(INDEX('Kode Outlet dan Target Toko'!$C:$C,MATCH($I4603,'Kode Outlet dan Target Toko'!$E:$E,0)),0)</f>
        <v>103240</v>
      </c>
      <c r="H4603" s="20">
        <f>IFERROR(INDEX('Kode Outlet dan Target Toko'!$D:$D,MATCH($I4603,'Kode Outlet dan Target Toko'!$E:$E,0)),0)</f>
        <v>7112059</v>
      </c>
      <c r="I4603" s="41" t="s">
        <v>116</v>
      </c>
      <c r="J4603" s="45" t="s">
        <v>212</v>
      </c>
      <c r="K4603" s="53" t="s">
        <v>15</v>
      </c>
      <c r="L4603" s="23">
        <v>2769</v>
      </c>
      <c r="M4603" s="24">
        <v>84</v>
      </c>
      <c r="N4603" s="25">
        <f t="shared" si="143"/>
        <v>232596</v>
      </c>
      <c r="O4603" s="24"/>
    </row>
    <row r="4604" spans="1:15" hidden="1" x14ac:dyDescent="0.3">
      <c r="A4604" s="24">
        <v>34</v>
      </c>
      <c r="B4604" s="20" t="str">
        <f t="shared" si="142"/>
        <v>AUG</v>
      </c>
      <c r="C4604" s="21">
        <v>46257</v>
      </c>
      <c r="D4604" s="22" t="str">
        <f>IFERROR(INDEX('Kode Outlet dan Target Toko'!$A:$A,MATCH($I4604,'Kode Outlet dan Target Toko'!$E:$E,0)),"")</f>
        <v>GRSM 7</v>
      </c>
      <c r="E4604" s="20" t="str">
        <f>IFERROR(VLOOKUP(I4604,KET!$B:$F,4,0),"")</f>
        <v>INDRI</v>
      </c>
      <c r="F4604" s="20" t="str">
        <f>IFERROR(VLOOKUP($I4604,KET!$B:$F,5,0),"")</f>
        <v>GMM</v>
      </c>
      <c r="G4604" s="20">
        <f>IFERROR(INDEX('Kode Outlet dan Target Toko'!$C:$C,MATCH($I4604,'Kode Outlet dan Target Toko'!$E:$E,0)),0)</f>
        <v>103240</v>
      </c>
      <c r="H4604" s="20">
        <f>IFERROR(INDEX('Kode Outlet dan Target Toko'!$D:$D,MATCH($I4604,'Kode Outlet dan Target Toko'!$E:$E,0)),0)</f>
        <v>7112059</v>
      </c>
      <c r="I4604" s="41" t="s">
        <v>116</v>
      </c>
      <c r="J4604" s="45" t="s">
        <v>212</v>
      </c>
      <c r="K4604" s="53" t="s">
        <v>14</v>
      </c>
      <c r="L4604" s="23">
        <v>2769</v>
      </c>
      <c r="M4604" s="24">
        <v>90</v>
      </c>
      <c r="N4604" s="25">
        <f t="shared" si="143"/>
        <v>249210</v>
      </c>
      <c r="O4604" s="24"/>
    </row>
    <row r="4605" spans="1:15" hidden="1" x14ac:dyDescent="0.3">
      <c r="A4605" s="24">
        <v>34</v>
      </c>
      <c r="B4605" s="20" t="str">
        <f t="shared" si="142"/>
        <v>AUG</v>
      </c>
      <c r="C4605" s="21">
        <v>46257</v>
      </c>
      <c r="D4605" s="22" t="str">
        <f>IFERROR(INDEX('Kode Outlet dan Target Toko'!$A:$A,MATCH($I4605,'Kode Outlet dan Target Toko'!$E:$E,0)),"")</f>
        <v>GRSM 7</v>
      </c>
      <c r="E4605" s="20" t="str">
        <f>IFERROR(VLOOKUP(I4605,KET!$B:$F,4,0),"")</f>
        <v>INDRI</v>
      </c>
      <c r="F4605" s="20" t="str">
        <f>IFERROR(VLOOKUP($I4605,KET!$B:$F,5,0),"")</f>
        <v>GMM</v>
      </c>
      <c r="G4605" s="20">
        <f>IFERROR(INDEX('Kode Outlet dan Target Toko'!$C:$C,MATCH($I4605,'Kode Outlet dan Target Toko'!$E:$E,0)),0)</f>
        <v>103240</v>
      </c>
      <c r="H4605" s="20">
        <f>IFERROR(INDEX('Kode Outlet dan Target Toko'!$D:$D,MATCH($I4605,'Kode Outlet dan Target Toko'!$E:$E,0)),0)</f>
        <v>7112059</v>
      </c>
      <c r="I4605" s="41" t="s">
        <v>116</v>
      </c>
      <c r="J4605" s="45" t="s">
        <v>212</v>
      </c>
      <c r="K4605" s="53" t="s">
        <v>13</v>
      </c>
      <c r="L4605" s="23">
        <v>2769</v>
      </c>
      <c r="M4605" s="24">
        <v>0</v>
      </c>
      <c r="N4605" s="25">
        <f t="shared" si="143"/>
        <v>0</v>
      </c>
      <c r="O4605" s="24"/>
    </row>
    <row r="4606" spans="1:15" hidden="1" x14ac:dyDescent="0.3">
      <c r="A4606" s="24">
        <v>34</v>
      </c>
      <c r="B4606" s="20" t="str">
        <f t="shared" si="142"/>
        <v>AUG</v>
      </c>
      <c r="C4606" s="21">
        <v>46257</v>
      </c>
      <c r="D4606" s="22" t="str">
        <f>IFERROR(INDEX('Kode Outlet dan Target Toko'!$A:$A,MATCH($I4606,'Kode Outlet dan Target Toko'!$E:$E,0)),"")</f>
        <v>GRSM 7</v>
      </c>
      <c r="E4606" s="20" t="str">
        <f>IFERROR(VLOOKUP(I4606,KET!$B:$F,4,0),"")</f>
        <v>INDRI</v>
      </c>
      <c r="F4606" s="20" t="str">
        <f>IFERROR(VLOOKUP($I4606,KET!$B:$F,5,0),"")</f>
        <v>GMM</v>
      </c>
      <c r="G4606" s="20">
        <f>IFERROR(INDEX('Kode Outlet dan Target Toko'!$C:$C,MATCH($I4606,'Kode Outlet dan Target Toko'!$E:$E,0)),0)</f>
        <v>103240</v>
      </c>
      <c r="H4606" s="20">
        <f>IFERROR(INDEX('Kode Outlet dan Target Toko'!$D:$D,MATCH($I4606,'Kode Outlet dan Target Toko'!$E:$E,0)),0)</f>
        <v>7112059</v>
      </c>
      <c r="I4606" s="41" t="s">
        <v>116</v>
      </c>
      <c r="J4606" s="45" t="s">
        <v>212</v>
      </c>
      <c r="K4606" s="53" t="s">
        <v>16</v>
      </c>
      <c r="L4606" s="23">
        <v>2769</v>
      </c>
      <c r="M4606" s="24">
        <v>138</v>
      </c>
      <c r="N4606" s="25">
        <f t="shared" si="143"/>
        <v>382122</v>
      </c>
      <c r="O4606" s="24">
        <v>160</v>
      </c>
    </row>
    <row r="4607" spans="1:15" hidden="1" x14ac:dyDescent="0.3">
      <c r="A4607" s="24">
        <v>34</v>
      </c>
      <c r="B4607" s="20" t="str">
        <f t="shared" si="142"/>
        <v>AUG</v>
      </c>
      <c r="C4607" s="21">
        <v>46257</v>
      </c>
      <c r="D4607" s="22" t="str">
        <f>IFERROR(INDEX('Kode Outlet dan Target Toko'!$A:$A,MATCH($I4607,'Kode Outlet dan Target Toko'!$E:$E,0)),"")</f>
        <v>GRSM 7</v>
      </c>
      <c r="E4607" s="20" t="str">
        <f>IFERROR(VLOOKUP(I4607,KET!$B:$F,4,0),"")</f>
        <v>INDRI</v>
      </c>
      <c r="F4607" s="20" t="str">
        <f>IFERROR(VLOOKUP($I4607,KET!$B:$F,5,0),"")</f>
        <v>GMM</v>
      </c>
      <c r="G4607" s="20">
        <f>IFERROR(INDEX('Kode Outlet dan Target Toko'!$C:$C,MATCH($I4607,'Kode Outlet dan Target Toko'!$E:$E,0)),0)</f>
        <v>103240</v>
      </c>
      <c r="H4607" s="20">
        <f>IFERROR(INDEX('Kode Outlet dan Target Toko'!$D:$D,MATCH($I4607,'Kode Outlet dan Target Toko'!$E:$E,0)),0)</f>
        <v>7112059</v>
      </c>
      <c r="I4607" s="41" t="s">
        <v>116</v>
      </c>
      <c r="J4607" s="45" t="s">
        <v>213</v>
      </c>
      <c r="K4607" s="53" t="s">
        <v>15</v>
      </c>
      <c r="L4607" s="23">
        <v>2769</v>
      </c>
      <c r="M4607" s="24">
        <v>84</v>
      </c>
      <c r="N4607" s="25">
        <f t="shared" si="143"/>
        <v>232596</v>
      </c>
      <c r="O4607" s="24"/>
    </row>
    <row r="4608" spans="1:15" hidden="1" x14ac:dyDescent="0.3">
      <c r="A4608" s="24">
        <v>34</v>
      </c>
      <c r="B4608" s="20" t="str">
        <f t="shared" si="142"/>
        <v>AUG</v>
      </c>
      <c r="C4608" s="21">
        <v>46257</v>
      </c>
      <c r="D4608" s="22" t="str">
        <f>IFERROR(INDEX('Kode Outlet dan Target Toko'!$A:$A,MATCH($I4608,'Kode Outlet dan Target Toko'!$E:$E,0)),"")</f>
        <v>GRSM 7</v>
      </c>
      <c r="E4608" s="20" t="str">
        <f>IFERROR(VLOOKUP(I4608,KET!$B:$F,4,0),"")</f>
        <v>INDRI</v>
      </c>
      <c r="F4608" s="20" t="str">
        <f>IFERROR(VLOOKUP($I4608,KET!$B:$F,5,0),"")</f>
        <v>GMM</v>
      </c>
      <c r="G4608" s="20">
        <f>IFERROR(INDEX('Kode Outlet dan Target Toko'!$C:$C,MATCH($I4608,'Kode Outlet dan Target Toko'!$E:$E,0)),0)</f>
        <v>103240</v>
      </c>
      <c r="H4608" s="20">
        <f>IFERROR(INDEX('Kode Outlet dan Target Toko'!$D:$D,MATCH($I4608,'Kode Outlet dan Target Toko'!$E:$E,0)),0)</f>
        <v>7112059</v>
      </c>
      <c r="I4608" s="41" t="s">
        <v>116</v>
      </c>
      <c r="J4608" s="45" t="s">
        <v>213</v>
      </c>
      <c r="K4608" s="53" t="s">
        <v>14</v>
      </c>
      <c r="L4608" s="23">
        <v>2769</v>
      </c>
      <c r="M4608" s="24">
        <v>90</v>
      </c>
      <c r="N4608" s="25">
        <f t="shared" si="143"/>
        <v>249210</v>
      </c>
      <c r="O4608" s="24"/>
    </row>
    <row r="4609" spans="1:15" hidden="1" x14ac:dyDescent="0.3">
      <c r="A4609" s="24">
        <v>34</v>
      </c>
      <c r="B4609" s="20" t="str">
        <f t="shared" si="142"/>
        <v>AUG</v>
      </c>
      <c r="C4609" s="21">
        <v>46257</v>
      </c>
      <c r="D4609" s="22" t="str">
        <f>IFERROR(INDEX('Kode Outlet dan Target Toko'!$A:$A,MATCH($I4609,'Kode Outlet dan Target Toko'!$E:$E,0)),"")</f>
        <v>GRSM 7</v>
      </c>
      <c r="E4609" s="20" t="str">
        <f>IFERROR(VLOOKUP(I4609,KET!$B:$F,4,0),"")</f>
        <v>INDRI</v>
      </c>
      <c r="F4609" s="20" t="str">
        <f>IFERROR(VLOOKUP($I4609,KET!$B:$F,5,0),"")</f>
        <v>GMM</v>
      </c>
      <c r="G4609" s="20">
        <f>IFERROR(INDEX('Kode Outlet dan Target Toko'!$C:$C,MATCH($I4609,'Kode Outlet dan Target Toko'!$E:$E,0)),0)</f>
        <v>103240</v>
      </c>
      <c r="H4609" s="20">
        <f>IFERROR(INDEX('Kode Outlet dan Target Toko'!$D:$D,MATCH($I4609,'Kode Outlet dan Target Toko'!$E:$E,0)),0)</f>
        <v>7112059</v>
      </c>
      <c r="I4609" s="41" t="s">
        <v>116</v>
      </c>
      <c r="J4609" s="45" t="s">
        <v>213</v>
      </c>
      <c r="K4609" s="53" t="s">
        <v>13</v>
      </c>
      <c r="L4609" s="23">
        <v>2769</v>
      </c>
      <c r="M4609" s="24">
        <v>0</v>
      </c>
      <c r="N4609" s="25">
        <f t="shared" si="143"/>
        <v>0</v>
      </c>
      <c r="O4609" s="24"/>
    </row>
    <row r="4610" spans="1:15" hidden="1" x14ac:dyDescent="0.3">
      <c r="A4610" s="24">
        <v>34</v>
      </c>
      <c r="B4610" s="20" t="str">
        <f t="shared" si="142"/>
        <v>AUG</v>
      </c>
      <c r="C4610" s="21">
        <v>46257</v>
      </c>
      <c r="D4610" s="22" t="str">
        <f>IFERROR(INDEX('Kode Outlet dan Target Toko'!$A:$A,MATCH($I4610,'Kode Outlet dan Target Toko'!$E:$E,0)),"")</f>
        <v>GRSM 7</v>
      </c>
      <c r="E4610" s="20" t="str">
        <f>IFERROR(VLOOKUP(I4610,KET!$B:$F,4,0),"")</f>
        <v>INDRI</v>
      </c>
      <c r="F4610" s="20" t="str">
        <f>IFERROR(VLOOKUP($I4610,KET!$B:$F,5,0),"")</f>
        <v>GMM</v>
      </c>
      <c r="G4610" s="20">
        <f>IFERROR(INDEX('Kode Outlet dan Target Toko'!$C:$C,MATCH($I4610,'Kode Outlet dan Target Toko'!$E:$E,0)),0)</f>
        <v>103240</v>
      </c>
      <c r="H4610" s="20">
        <f>IFERROR(INDEX('Kode Outlet dan Target Toko'!$D:$D,MATCH($I4610,'Kode Outlet dan Target Toko'!$E:$E,0)),0)</f>
        <v>7112059</v>
      </c>
      <c r="I4610" s="41" t="s">
        <v>116</v>
      </c>
      <c r="J4610" s="45" t="s">
        <v>213</v>
      </c>
      <c r="K4610" s="53" t="s">
        <v>16</v>
      </c>
      <c r="L4610" s="23">
        <v>2769</v>
      </c>
      <c r="M4610" s="24">
        <v>138</v>
      </c>
      <c r="N4610" s="25">
        <f t="shared" si="143"/>
        <v>382122</v>
      </c>
      <c r="O4610" s="24">
        <v>160</v>
      </c>
    </row>
    <row r="4611" spans="1:15" hidden="1" x14ac:dyDescent="0.3">
      <c r="A4611" s="24">
        <v>34</v>
      </c>
      <c r="B4611" s="20" t="str">
        <f t="shared" si="142"/>
        <v>AUG</v>
      </c>
      <c r="C4611" s="21">
        <v>46257</v>
      </c>
      <c r="D4611" s="22" t="str">
        <f>IFERROR(INDEX('Kode Outlet dan Target Toko'!$A:$A,MATCH($I4611,'Kode Outlet dan Target Toko'!$E:$E,0)),"")</f>
        <v>GRSM 7</v>
      </c>
      <c r="E4611" s="20" t="str">
        <f>IFERROR(VLOOKUP(I4611,KET!$B:$F,4,0),"")</f>
        <v>INDRI</v>
      </c>
      <c r="F4611" s="20" t="str">
        <f>IFERROR(VLOOKUP($I4611,KET!$B:$F,5,0),"")</f>
        <v>GMM</v>
      </c>
      <c r="G4611" s="20">
        <f>IFERROR(INDEX('Kode Outlet dan Target Toko'!$C:$C,MATCH($I4611,'Kode Outlet dan Target Toko'!$E:$E,0)),0)</f>
        <v>103783</v>
      </c>
      <c r="H4611" s="20">
        <f>IFERROR(INDEX('Kode Outlet dan Target Toko'!$D:$D,MATCH($I4611,'Kode Outlet dan Target Toko'!$E:$E,0)),0)</f>
        <v>7500090</v>
      </c>
      <c r="I4611" s="41" t="s">
        <v>120</v>
      </c>
      <c r="J4611" s="45" t="s">
        <v>235</v>
      </c>
      <c r="K4611" s="53" t="s">
        <v>15</v>
      </c>
      <c r="L4611" s="23">
        <v>6400</v>
      </c>
      <c r="M4611" s="24">
        <v>20</v>
      </c>
      <c r="N4611" s="25">
        <f t="shared" si="143"/>
        <v>128000</v>
      </c>
      <c r="O4611" s="24"/>
    </row>
    <row r="4612" spans="1:15" hidden="1" x14ac:dyDescent="0.3">
      <c r="A4612" s="24">
        <v>34</v>
      </c>
      <c r="B4612" s="20" t="str">
        <f t="shared" si="142"/>
        <v>AUG</v>
      </c>
      <c r="C4612" s="21">
        <v>46257</v>
      </c>
      <c r="D4612" s="22" t="str">
        <f>IFERROR(INDEX('Kode Outlet dan Target Toko'!$A:$A,MATCH($I4612,'Kode Outlet dan Target Toko'!$E:$E,0)),"")</f>
        <v>GRSM 7</v>
      </c>
      <c r="E4612" s="20" t="str">
        <f>IFERROR(VLOOKUP(I4612,KET!$B:$F,4,0),"")</f>
        <v>INDRI</v>
      </c>
      <c r="F4612" s="20" t="str">
        <f>IFERROR(VLOOKUP($I4612,KET!$B:$F,5,0),"")</f>
        <v>GMM</v>
      </c>
      <c r="G4612" s="20">
        <f>IFERROR(INDEX('Kode Outlet dan Target Toko'!$C:$C,MATCH($I4612,'Kode Outlet dan Target Toko'!$E:$E,0)),0)</f>
        <v>103783</v>
      </c>
      <c r="H4612" s="20">
        <f>IFERROR(INDEX('Kode Outlet dan Target Toko'!$D:$D,MATCH($I4612,'Kode Outlet dan Target Toko'!$E:$E,0)),0)</f>
        <v>7500090</v>
      </c>
      <c r="I4612" s="41" t="s">
        <v>120</v>
      </c>
      <c r="J4612" s="45" t="s">
        <v>235</v>
      </c>
      <c r="K4612" s="53" t="s">
        <v>14</v>
      </c>
      <c r="L4612" s="23">
        <v>6400</v>
      </c>
      <c r="M4612" s="24">
        <v>20</v>
      </c>
      <c r="N4612" s="25">
        <f t="shared" si="143"/>
        <v>128000</v>
      </c>
      <c r="O4612" s="24"/>
    </row>
    <row r="4613" spans="1:15" hidden="1" x14ac:dyDescent="0.3">
      <c r="A4613" s="24">
        <v>34</v>
      </c>
      <c r="B4613" s="20" t="str">
        <f t="shared" si="142"/>
        <v>AUG</v>
      </c>
      <c r="C4613" s="21">
        <v>46257</v>
      </c>
      <c r="D4613" s="22" t="str">
        <f>IFERROR(INDEX('Kode Outlet dan Target Toko'!$A:$A,MATCH($I4613,'Kode Outlet dan Target Toko'!$E:$E,0)),"")</f>
        <v>GRSM 7</v>
      </c>
      <c r="E4613" s="20" t="str">
        <f>IFERROR(VLOOKUP(I4613,KET!$B:$F,4,0),"")</f>
        <v>INDRI</v>
      </c>
      <c r="F4613" s="20" t="str">
        <f>IFERROR(VLOOKUP($I4613,KET!$B:$F,5,0),"")</f>
        <v>GMM</v>
      </c>
      <c r="G4613" s="20">
        <f>IFERROR(INDEX('Kode Outlet dan Target Toko'!$C:$C,MATCH($I4613,'Kode Outlet dan Target Toko'!$E:$E,0)),0)</f>
        <v>103783</v>
      </c>
      <c r="H4613" s="20">
        <f>IFERROR(INDEX('Kode Outlet dan Target Toko'!$D:$D,MATCH($I4613,'Kode Outlet dan Target Toko'!$E:$E,0)),0)</f>
        <v>7500090</v>
      </c>
      <c r="I4613" s="41" t="s">
        <v>120</v>
      </c>
      <c r="J4613" s="45" t="s">
        <v>235</v>
      </c>
      <c r="K4613" s="53" t="s">
        <v>13</v>
      </c>
      <c r="L4613" s="23">
        <v>6400</v>
      </c>
      <c r="M4613" s="24">
        <v>15</v>
      </c>
      <c r="N4613" s="25">
        <f t="shared" si="143"/>
        <v>96000</v>
      </c>
      <c r="O4613" s="24"/>
    </row>
    <row r="4614" spans="1:15" hidden="1" x14ac:dyDescent="0.3">
      <c r="A4614" s="24">
        <v>34</v>
      </c>
      <c r="B4614" s="20" t="str">
        <f t="shared" si="142"/>
        <v>AUG</v>
      </c>
      <c r="C4614" s="21">
        <v>46257</v>
      </c>
      <c r="D4614" s="22" t="str">
        <f>IFERROR(INDEX('Kode Outlet dan Target Toko'!$A:$A,MATCH($I4614,'Kode Outlet dan Target Toko'!$E:$E,0)),"")</f>
        <v>GRSM 7</v>
      </c>
      <c r="E4614" s="20" t="str">
        <f>IFERROR(VLOOKUP(I4614,KET!$B:$F,4,0),"")</f>
        <v>INDRI</v>
      </c>
      <c r="F4614" s="20" t="str">
        <f>IFERROR(VLOOKUP($I4614,KET!$B:$F,5,0),"")</f>
        <v>GMM</v>
      </c>
      <c r="G4614" s="20">
        <f>IFERROR(INDEX('Kode Outlet dan Target Toko'!$C:$C,MATCH($I4614,'Kode Outlet dan Target Toko'!$E:$E,0)),0)</f>
        <v>103783</v>
      </c>
      <c r="H4614" s="20">
        <f>IFERROR(INDEX('Kode Outlet dan Target Toko'!$D:$D,MATCH($I4614,'Kode Outlet dan Target Toko'!$E:$E,0)),0)</f>
        <v>7500090</v>
      </c>
      <c r="I4614" s="41" t="s">
        <v>120</v>
      </c>
      <c r="J4614" s="45" t="s">
        <v>235</v>
      </c>
      <c r="K4614" s="53" t="s">
        <v>16</v>
      </c>
      <c r="L4614" s="23">
        <v>6400</v>
      </c>
      <c r="M4614" s="24">
        <v>35</v>
      </c>
      <c r="N4614" s="25">
        <f t="shared" si="143"/>
        <v>224000</v>
      </c>
      <c r="O4614" s="24"/>
    </row>
    <row r="4615" spans="1:15" hidden="1" x14ac:dyDescent="0.3">
      <c r="A4615" s="24">
        <v>34</v>
      </c>
      <c r="B4615" s="20" t="str">
        <f t="shared" ref="B4615:B4646" si="144">IF(C4615="","",UPPER(TEXT(C4615, "MMM")))</f>
        <v>AUG</v>
      </c>
      <c r="C4615" s="21">
        <v>46257</v>
      </c>
      <c r="D4615" s="22" t="str">
        <f>IFERROR(INDEX('Kode Outlet dan Target Toko'!$A:$A,MATCH($I4615,'Kode Outlet dan Target Toko'!$E:$E,0)),"")</f>
        <v>GRSM 7</v>
      </c>
      <c r="E4615" s="20" t="str">
        <f>IFERROR(VLOOKUP(I4615,KET!$B:$F,4,0),"")</f>
        <v>INDRI</v>
      </c>
      <c r="F4615" s="20" t="str">
        <f>IFERROR(VLOOKUP($I4615,KET!$B:$F,5,0),"")</f>
        <v>GMM</v>
      </c>
      <c r="G4615" s="20">
        <f>IFERROR(INDEX('Kode Outlet dan Target Toko'!$C:$C,MATCH($I4615,'Kode Outlet dan Target Toko'!$E:$E,0)),0)</f>
        <v>103783</v>
      </c>
      <c r="H4615" s="20">
        <f>IFERROR(INDEX('Kode Outlet dan Target Toko'!$D:$D,MATCH($I4615,'Kode Outlet dan Target Toko'!$E:$E,0)),0)</f>
        <v>7500090</v>
      </c>
      <c r="I4615" s="41" t="s">
        <v>120</v>
      </c>
      <c r="J4615" s="45" t="s">
        <v>236</v>
      </c>
      <c r="K4615" s="53" t="s">
        <v>15</v>
      </c>
      <c r="L4615" s="23">
        <v>6400</v>
      </c>
      <c r="M4615" s="24">
        <v>20</v>
      </c>
      <c r="N4615" s="25">
        <f t="shared" ref="N4615:N4678" si="145">IFERROR(M4615*L4615,"")</f>
        <v>128000</v>
      </c>
      <c r="O4615" s="24"/>
    </row>
    <row r="4616" spans="1:15" hidden="1" x14ac:dyDescent="0.3">
      <c r="A4616" s="24">
        <v>34</v>
      </c>
      <c r="B4616" s="20" t="str">
        <f t="shared" si="144"/>
        <v>AUG</v>
      </c>
      <c r="C4616" s="21">
        <v>46257</v>
      </c>
      <c r="D4616" s="22" t="str">
        <f>IFERROR(INDEX('Kode Outlet dan Target Toko'!$A:$A,MATCH($I4616,'Kode Outlet dan Target Toko'!$E:$E,0)),"")</f>
        <v>GRSM 7</v>
      </c>
      <c r="E4616" s="20" t="str">
        <f>IFERROR(VLOOKUP(I4616,KET!$B:$F,4,0),"")</f>
        <v>INDRI</v>
      </c>
      <c r="F4616" s="20" t="str">
        <f>IFERROR(VLOOKUP($I4616,KET!$B:$F,5,0),"")</f>
        <v>GMM</v>
      </c>
      <c r="G4616" s="20">
        <f>IFERROR(INDEX('Kode Outlet dan Target Toko'!$C:$C,MATCH($I4616,'Kode Outlet dan Target Toko'!$E:$E,0)),0)</f>
        <v>103783</v>
      </c>
      <c r="H4616" s="20">
        <f>IFERROR(INDEX('Kode Outlet dan Target Toko'!$D:$D,MATCH($I4616,'Kode Outlet dan Target Toko'!$E:$E,0)),0)</f>
        <v>7500090</v>
      </c>
      <c r="I4616" s="41" t="s">
        <v>120</v>
      </c>
      <c r="J4616" s="45" t="s">
        <v>236</v>
      </c>
      <c r="K4616" s="53" t="s">
        <v>14</v>
      </c>
      <c r="L4616" s="23">
        <v>6400</v>
      </c>
      <c r="M4616" s="24">
        <v>20</v>
      </c>
      <c r="N4616" s="25">
        <f t="shared" si="145"/>
        <v>128000</v>
      </c>
      <c r="O4616" s="24"/>
    </row>
    <row r="4617" spans="1:15" hidden="1" x14ac:dyDescent="0.3">
      <c r="A4617" s="24">
        <v>34</v>
      </c>
      <c r="B4617" s="20" t="str">
        <f t="shared" si="144"/>
        <v>AUG</v>
      </c>
      <c r="C4617" s="21">
        <v>46257</v>
      </c>
      <c r="D4617" s="22" t="str">
        <f>IFERROR(INDEX('Kode Outlet dan Target Toko'!$A:$A,MATCH($I4617,'Kode Outlet dan Target Toko'!$E:$E,0)),"")</f>
        <v>GRSM 7</v>
      </c>
      <c r="E4617" s="20" t="str">
        <f>IFERROR(VLOOKUP(I4617,KET!$B:$F,4,0),"")</f>
        <v>INDRI</v>
      </c>
      <c r="F4617" s="20" t="str">
        <f>IFERROR(VLOOKUP($I4617,KET!$B:$F,5,0),"")</f>
        <v>GMM</v>
      </c>
      <c r="G4617" s="20">
        <f>IFERROR(INDEX('Kode Outlet dan Target Toko'!$C:$C,MATCH($I4617,'Kode Outlet dan Target Toko'!$E:$E,0)),0)</f>
        <v>103783</v>
      </c>
      <c r="H4617" s="20">
        <f>IFERROR(INDEX('Kode Outlet dan Target Toko'!$D:$D,MATCH($I4617,'Kode Outlet dan Target Toko'!$E:$E,0)),0)</f>
        <v>7500090</v>
      </c>
      <c r="I4617" s="41" t="s">
        <v>120</v>
      </c>
      <c r="J4617" s="45" t="s">
        <v>236</v>
      </c>
      <c r="K4617" s="53" t="s">
        <v>13</v>
      </c>
      <c r="L4617" s="23">
        <v>6400</v>
      </c>
      <c r="M4617" s="24">
        <v>15</v>
      </c>
      <c r="N4617" s="25">
        <f t="shared" si="145"/>
        <v>96000</v>
      </c>
      <c r="O4617" s="24"/>
    </row>
    <row r="4618" spans="1:15" hidden="1" x14ac:dyDescent="0.3">
      <c r="A4618" s="24">
        <v>34</v>
      </c>
      <c r="B4618" s="20" t="str">
        <f t="shared" si="144"/>
        <v>AUG</v>
      </c>
      <c r="C4618" s="21">
        <v>46257</v>
      </c>
      <c r="D4618" s="22" t="str">
        <f>IFERROR(INDEX('Kode Outlet dan Target Toko'!$A:$A,MATCH($I4618,'Kode Outlet dan Target Toko'!$E:$E,0)),"")</f>
        <v>GRSM 7</v>
      </c>
      <c r="E4618" s="20" t="str">
        <f>IFERROR(VLOOKUP(I4618,KET!$B:$F,4,0),"")</f>
        <v>INDRI</v>
      </c>
      <c r="F4618" s="20" t="str">
        <f>IFERROR(VLOOKUP($I4618,KET!$B:$F,5,0),"")</f>
        <v>GMM</v>
      </c>
      <c r="G4618" s="20">
        <f>IFERROR(INDEX('Kode Outlet dan Target Toko'!$C:$C,MATCH($I4618,'Kode Outlet dan Target Toko'!$E:$E,0)),0)</f>
        <v>103783</v>
      </c>
      <c r="H4618" s="20">
        <f>IFERROR(INDEX('Kode Outlet dan Target Toko'!$D:$D,MATCH($I4618,'Kode Outlet dan Target Toko'!$E:$E,0)),0)</f>
        <v>7500090</v>
      </c>
      <c r="I4618" s="41" t="s">
        <v>120</v>
      </c>
      <c r="J4618" s="45" t="s">
        <v>236</v>
      </c>
      <c r="K4618" s="53" t="s">
        <v>16</v>
      </c>
      <c r="L4618" s="23">
        <v>6400</v>
      </c>
      <c r="M4618" s="24">
        <v>35</v>
      </c>
      <c r="N4618" s="25">
        <f t="shared" si="145"/>
        <v>224000</v>
      </c>
      <c r="O4618" s="24"/>
    </row>
    <row r="4619" spans="1:15" hidden="1" x14ac:dyDescent="0.3">
      <c r="A4619" s="24">
        <v>34</v>
      </c>
      <c r="B4619" s="20" t="str">
        <f t="shared" si="144"/>
        <v>AUG</v>
      </c>
      <c r="C4619" s="21">
        <v>46255</v>
      </c>
      <c r="D4619" s="22" t="str">
        <f>IFERROR(INDEX('Kode Outlet dan Target Toko'!$A:$A,MATCH($I4619,'Kode Outlet dan Target Toko'!$E:$E,0)),"")</f>
        <v>GRSM 6</v>
      </c>
      <c r="E4619" s="20" t="str">
        <f>IFERROR(VLOOKUP(I4619,KET!$B:$F,4,0),"")</f>
        <v>MARTIKA MINTOROWATI</v>
      </c>
      <c r="F4619" s="20" t="str">
        <f>IFERROR(VLOOKUP($I4619,KET!$B:$F,5,0),"")</f>
        <v>GMM</v>
      </c>
      <c r="G4619" s="20">
        <f>IFERROR(INDEX('Kode Outlet dan Target Toko'!$C:$C,MATCH($I4619,'Kode Outlet dan Target Toko'!$E:$E,0)),0)</f>
        <v>170208</v>
      </c>
      <c r="H4619" s="20">
        <f>IFERROR(INDEX('Kode Outlet dan Target Toko'!$D:$D,MATCH($I4619,'Kode Outlet dan Target Toko'!$E:$E,0)),0)</f>
        <v>5765011</v>
      </c>
      <c r="I4619" s="41" t="s">
        <v>109</v>
      </c>
      <c r="J4619" s="56" t="s">
        <v>214</v>
      </c>
      <c r="K4619" s="53" t="s">
        <v>15</v>
      </c>
      <c r="L4619" s="23">
        <v>2950</v>
      </c>
      <c r="M4619" s="24">
        <v>0</v>
      </c>
      <c r="N4619" s="25">
        <f t="shared" si="145"/>
        <v>0</v>
      </c>
      <c r="O4619" s="24"/>
    </row>
    <row r="4620" spans="1:15" hidden="1" x14ac:dyDescent="0.3">
      <c r="A4620" s="24">
        <v>34</v>
      </c>
      <c r="B4620" s="20" t="str">
        <f t="shared" si="144"/>
        <v>AUG</v>
      </c>
      <c r="C4620" s="21">
        <v>46255</v>
      </c>
      <c r="D4620" s="22" t="str">
        <f>IFERROR(INDEX('Kode Outlet dan Target Toko'!$A:$A,MATCH($I4620,'Kode Outlet dan Target Toko'!$E:$E,0)),"")</f>
        <v>GRSM 6</v>
      </c>
      <c r="E4620" s="20" t="str">
        <f>IFERROR(VLOOKUP(I4620,KET!$B:$F,4,0),"")</f>
        <v>MARTIKA MINTOROWATI</v>
      </c>
      <c r="F4620" s="20" t="str">
        <f>IFERROR(VLOOKUP($I4620,KET!$B:$F,5,0),"")</f>
        <v>GMM</v>
      </c>
      <c r="G4620" s="20">
        <f>IFERROR(INDEX('Kode Outlet dan Target Toko'!$C:$C,MATCH($I4620,'Kode Outlet dan Target Toko'!$E:$E,0)),0)</f>
        <v>170208</v>
      </c>
      <c r="H4620" s="20">
        <f>IFERROR(INDEX('Kode Outlet dan Target Toko'!$D:$D,MATCH($I4620,'Kode Outlet dan Target Toko'!$E:$E,0)),0)</f>
        <v>5765011</v>
      </c>
      <c r="I4620" s="41" t="s">
        <v>109</v>
      </c>
      <c r="J4620" s="56" t="s">
        <v>214</v>
      </c>
      <c r="K4620" s="53" t="s">
        <v>14</v>
      </c>
      <c r="L4620" s="23">
        <v>2950</v>
      </c>
      <c r="M4620" s="24">
        <v>201</v>
      </c>
      <c r="N4620" s="25">
        <f t="shared" si="145"/>
        <v>592950</v>
      </c>
      <c r="O4620" s="24"/>
    </row>
    <row r="4621" spans="1:15" hidden="1" x14ac:dyDescent="0.3">
      <c r="A4621" s="24">
        <v>34</v>
      </c>
      <c r="B4621" s="20" t="str">
        <f t="shared" si="144"/>
        <v>AUG</v>
      </c>
      <c r="C4621" s="21">
        <v>46255</v>
      </c>
      <c r="D4621" s="22" t="str">
        <f>IFERROR(INDEX('Kode Outlet dan Target Toko'!$A:$A,MATCH($I4621,'Kode Outlet dan Target Toko'!$E:$E,0)),"")</f>
        <v>GRSM 6</v>
      </c>
      <c r="E4621" s="20" t="str">
        <f>IFERROR(VLOOKUP(I4621,KET!$B:$F,4,0),"")</f>
        <v>MARTIKA MINTOROWATI</v>
      </c>
      <c r="F4621" s="20" t="str">
        <f>IFERROR(VLOOKUP($I4621,KET!$B:$F,5,0),"")</f>
        <v>GMM</v>
      </c>
      <c r="G4621" s="20">
        <f>IFERROR(INDEX('Kode Outlet dan Target Toko'!$C:$C,MATCH($I4621,'Kode Outlet dan Target Toko'!$E:$E,0)),0)</f>
        <v>170208</v>
      </c>
      <c r="H4621" s="20">
        <f>IFERROR(INDEX('Kode Outlet dan Target Toko'!$D:$D,MATCH($I4621,'Kode Outlet dan Target Toko'!$E:$E,0)),0)</f>
        <v>5765011</v>
      </c>
      <c r="I4621" s="41" t="s">
        <v>109</v>
      </c>
      <c r="J4621" s="56" t="s">
        <v>214</v>
      </c>
      <c r="K4621" s="53" t="s">
        <v>13</v>
      </c>
      <c r="L4621" s="23">
        <v>2950</v>
      </c>
      <c r="M4621" s="24">
        <v>51</v>
      </c>
      <c r="N4621" s="25">
        <f t="shared" si="145"/>
        <v>150450</v>
      </c>
      <c r="O4621" s="24"/>
    </row>
    <row r="4622" spans="1:15" hidden="1" x14ac:dyDescent="0.3">
      <c r="A4622" s="24">
        <v>34</v>
      </c>
      <c r="B4622" s="20" t="str">
        <f t="shared" si="144"/>
        <v>AUG</v>
      </c>
      <c r="C4622" s="21">
        <v>46255</v>
      </c>
      <c r="D4622" s="22" t="str">
        <f>IFERROR(INDEX('Kode Outlet dan Target Toko'!$A:$A,MATCH($I4622,'Kode Outlet dan Target Toko'!$E:$E,0)),"")</f>
        <v>GRSM 6</v>
      </c>
      <c r="E4622" s="20" t="str">
        <f>IFERROR(VLOOKUP(I4622,KET!$B:$F,4,0),"")</f>
        <v>MARTIKA MINTOROWATI</v>
      </c>
      <c r="F4622" s="20" t="str">
        <f>IFERROR(VLOOKUP($I4622,KET!$B:$F,5,0),"")</f>
        <v>GMM</v>
      </c>
      <c r="G4622" s="20">
        <f>IFERROR(INDEX('Kode Outlet dan Target Toko'!$C:$C,MATCH($I4622,'Kode Outlet dan Target Toko'!$E:$E,0)),0)</f>
        <v>170208</v>
      </c>
      <c r="H4622" s="20">
        <f>IFERROR(INDEX('Kode Outlet dan Target Toko'!$D:$D,MATCH($I4622,'Kode Outlet dan Target Toko'!$E:$E,0)),0)</f>
        <v>5765011</v>
      </c>
      <c r="I4622" s="41" t="s">
        <v>109</v>
      </c>
      <c r="J4622" s="56" t="s">
        <v>214</v>
      </c>
      <c r="K4622" s="53" t="s">
        <v>16</v>
      </c>
      <c r="L4622" s="23">
        <v>2950</v>
      </c>
      <c r="M4622" s="24">
        <v>189</v>
      </c>
      <c r="N4622" s="25">
        <f t="shared" si="145"/>
        <v>557550</v>
      </c>
      <c r="O4622" s="24">
        <v>160</v>
      </c>
    </row>
    <row r="4623" spans="1:15" hidden="1" x14ac:dyDescent="0.3">
      <c r="A4623" s="24">
        <v>34</v>
      </c>
      <c r="B4623" s="20" t="str">
        <f t="shared" si="144"/>
        <v>AUG</v>
      </c>
      <c r="C4623" s="21">
        <v>46255</v>
      </c>
      <c r="D4623" s="22" t="str">
        <f>IFERROR(INDEX('Kode Outlet dan Target Toko'!$A:$A,MATCH($I4623,'Kode Outlet dan Target Toko'!$E:$E,0)),"")</f>
        <v>GRSM 6</v>
      </c>
      <c r="E4623" s="20" t="str">
        <f>IFERROR(VLOOKUP(I4623,KET!$B:$F,4,0),"")</f>
        <v>MARTIKA MINTOROWATI</v>
      </c>
      <c r="F4623" s="20" t="str">
        <f>IFERROR(VLOOKUP($I4623,KET!$B:$F,5,0),"")</f>
        <v>GMM</v>
      </c>
      <c r="G4623" s="20">
        <f>IFERROR(INDEX('Kode Outlet dan Target Toko'!$C:$C,MATCH($I4623,'Kode Outlet dan Target Toko'!$E:$E,0)),0)</f>
        <v>211161</v>
      </c>
      <c r="H4623" s="20">
        <f>IFERROR(INDEX('Kode Outlet dan Target Toko'!$D:$D,MATCH($I4623,'Kode Outlet dan Target Toko'!$E:$E,0)),0)</f>
        <v>7103</v>
      </c>
      <c r="I4623" s="42" t="s">
        <v>91</v>
      </c>
      <c r="J4623" s="45" t="s">
        <v>217</v>
      </c>
      <c r="K4623" s="53" t="s">
        <v>15</v>
      </c>
      <c r="L4623" s="23">
        <v>2850</v>
      </c>
      <c r="M4623" s="24">
        <v>96</v>
      </c>
      <c r="N4623" s="25">
        <f t="shared" si="145"/>
        <v>273600</v>
      </c>
      <c r="O4623" s="24"/>
    </row>
    <row r="4624" spans="1:15" hidden="1" x14ac:dyDescent="0.3">
      <c r="A4624" s="24">
        <v>34</v>
      </c>
      <c r="B4624" s="20" t="str">
        <f t="shared" si="144"/>
        <v>AUG</v>
      </c>
      <c r="C4624" s="21">
        <v>46255</v>
      </c>
      <c r="D4624" s="22" t="str">
        <f>IFERROR(INDEX('Kode Outlet dan Target Toko'!$A:$A,MATCH($I4624,'Kode Outlet dan Target Toko'!$E:$E,0)),"")</f>
        <v>GRSM 6</v>
      </c>
      <c r="E4624" s="20" t="str">
        <f>IFERROR(VLOOKUP(I4624,KET!$B:$F,4,0),"")</f>
        <v>MARTIKA MINTOROWATI</v>
      </c>
      <c r="F4624" s="20" t="str">
        <f>IFERROR(VLOOKUP($I4624,KET!$B:$F,5,0),"")</f>
        <v>GMM</v>
      </c>
      <c r="G4624" s="20">
        <f>IFERROR(INDEX('Kode Outlet dan Target Toko'!$C:$C,MATCH($I4624,'Kode Outlet dan Target Toko'!$E:$E,0)),0)</f>
        <v>211161</v>
      </c>
      <c r="H4624" s="20">
        <f>IFERROR(INDEX('Kode Outlet dan Target Toko'!$D:$D,MATCH($I4624,'Kode Outlet dan Target Toko'!$E:$E,0)),0)</f>
        <v>7103</v>
      </c>
      <c r="I4624" s="42" t="s">
        <v>91</v>
      </c>
      <c r="J4624" s="45" t="s">
        <v>217</v>
      </c>
      <c r="K4624" s="53" t="s">
        <v>14</v>
      </c>
      <c r="L4624" s="23">
        <v>2850</v>
      </c>
      <c r="M4624" s="24">
        <v>65</v>
      </c>
      <c r="N4624" s="25">
        <f t="shared" si="145"/>
        <v>185250</v>
      </c>
      <c r="O4624" s="24"/>
    </row>
    <row r="4625" spans="1:15" hidden="1" x14ac:dyDescent="0.3">
      <c r="A4625" s="24">
        <v>34</v>
      </c>
      <c r="B4625" s="20" t="str">
        <f t="shared" si="144"/>
        <v>AUG</v>
      </c>
      <c r="C4625" s="21">
        <v>46255</v>
      </c>
      <c r="D4625" s="22" t="str">
        <f>IFERROR(INDEX('Kode Outlet dan Target Toko'!$A:$A,MATCH($I4625,'Kode Outlet dan Target Toko'!$E:$E,0)),"")</f>
        <v>GRSM 6</v>
      </c>
      <c r="E4625" s="20" t="str">
        <f>IFERROR(VLOOKUP(I4625,KET!$B:$F,4,0),"")</f>
        <v>MARTIKA MINTOROWATI</v>
      </c>
      <c r="F4625" s="20" t="str">
        <f>IFERROR(VLOOKUP($I4625,KET!$B:$F,5,0),"")</f>
        <v>GMM</v>
      </c>
      <c r="G4625" s="20">
        <f>IFERROR(INDEX('Kode Outlet dan Target Toko'!$C:$C,MATCH($I4625,'Kode Outlet dan Target Toko'!$E:$E,0)),0)</f>
        <v>211161</v>
      </c>
      <c r="H4625" s="20">
        <f>IFERROR(INDEX('Kode Outlet dan Target Toko'!$D:$D,MATCH($I4625,'Kode Outlet dan Target Toko'!$E:$E,0)),0)</f>
        <v>7103</v>
      </c>
      <c r="I4625" s="42" t="s">
        <v>91</v>
      </c>
      <c r="J4625" s="45" t="s">
        <v>217</v>
      </c>
      <c r="K4625" s="53" t="s">
        <v>13</v>
      </c>
      <c r="L4625" s="23">
        <v>2850</v>
      </c>
      <c r="M4625" s="24">
        <v>40</v>
      </c>
      <c r="N4625" s="25">
        <f t="shared" si="145"/>
        <v>114000</v>
      </c>
      <c r="O4625" s="24"/>
    </row>
    <row r="4626" spans="1:15" hidden="1" x14ac:dyDescent="0.3">
      <c r="A4626" s="24">
        <v>34</v>
      </c>
      <c r="B4626" s="20" t="str">
        <f t="shared" si="144"/>
        <v>AUG</v>
      </c>
      <c r="C4626" s="21">
        <v>46255</v>
      </c>
      <c r="D4626" s="22" t="str">
        <f>IFERROR(INDEX('Kode Outlet dan Target Toko'!$A:$A,MATCH($I4626,'Kode Outlet dan Target Toko'!$E:$E,0)),"")</f>
        <v>GRSM 6</v>
      </c>
      <c r="E4626" s="20" t="str">
        <f>IFERROR(VLOOKUP(I4626,KET!$B:$F,4,0),"")</f>
        <v>MARTIKA MINTOROWATI</v>
      </c>
      <c r="F4626" s="20" t="str">
        <f>IFERROR(VLOOKUP($I4626,KET!$B:$F,5,0),"")</f>
        <v>GMM</v>
      </c>
      <c r="G4626" s="20">
        <f>IFERROR(INDEX('Kode Outlet dan Target Toko'!$C:$C,MATCH($I4626,'Kode Outlet dan Target Toko'!$E:$E,0)),0)</f>
        <v>211161</v>
      </c>
      <c r="H4626" s="20">
        <f>IFERROR(INDEX('Kode Outlet dan Target Toko'!$D:$D,MATCH($I4626,'Kode Outlet dan Target Toko'!$E:$E,0)),0)</f>
        <v>7103</v>
      </c>
      <c r="I4626" s="42" t="s">
        <v>91</v>
      </c>
      <c r="J4626" s="45" t="s">
        <v>217</v>
      </c>
      <c r="K4626" s="53" t="s">
        <v>16</v>
      </c>
      <c r="L4626" s="23">
        <v>2850</v>
      </c>
      <c r="M4626" s="24">
        <v>340</v>
      </c>
      <c r="N4626" s="25">
        <f t="shared" si="145"/>
        <v>969000</v>
      </c>
      <c r="O4626" s="24"/>
    </row>
    <row r="4627" spans="1:15" hidden="1" x14ac:dyDescent="0.3">
      <c r="A4627" s="24">
        <v>34</v>
      </c>
      <c r="B4627" s="20" t="str">
        <f t="shared" si="144"/>
        <v>AUG</v>
      </c>
      <c r="C4627" s="21">
        <v>46255</v>
      </c>
      <c r="D4627" s="22" t="str">
        <f>IFERROR(INDEX('Kode Outlet dan Target Toko'!$A:$A,MATCH($I4627,'Kode Outlet dan Target Toko'!$E:$E,0)),"")</f>
        <v>GRSM 6</v>
      </c>
      <c r="E4627" s="20" t="str">
        <f>IFERROR(VLOOKUP(I4627,KET!$B:$F,4,0),"")</f>
        <v>MARTIKA MINTOROWATI</v>
      </c>
      <c r="F4627" s="20" t="str">
        <f>IFERROR(VLOOKUP($I4627,KET!$B:$F,5,0),"")</f>
        <v>GMM</v>
      </c>
      <c r="G4627" s="20">
        <f>IFERROR(INDEX('Kode Outlet dan Target Toko'!$C:$C,MATCH($I4627,'Kode Outlet dan Target Toko'!$E:$E,0)),0)</f>
        <v>211161</v>
      </c>
      <c r="H4627" s="20">
        <f>IFERROR(INDEX('Kode Outlet dan Target Toko'!$D:$D,MATCH($I4627,'Kode Outlet dan Target Toko'!$E:$E,0)),0)</f>
        <v>7103</v>
      </c>
      <c r="I4627" s="42" t="s">
        <v>91</v>
      </c>
      <c r="J4627" s="45" t="s">
        <v>216</v>
      </c>
      <c r="K4627" s="53" t="s">
        <v>15</v>
      </c>
      <c r="L4627" s="23">
        <v>2850</v>
      </c>
      <c r="M4627" s="24">
        <v>96</v>
      </c>
      <c r="N4627" s="25">
        <f t="shared" si="145"/>
        <v>273600</v>
      </c>
      <c r="O4627" s="24"/>
    </row>
    <row r="4628" spans="1:15" hidden="1" x14ac:dyDescent="0.3">
      <c r="A4628" s="24">
        <v>34</v>
      </c>
      <c r="B4628" s="20" t="str">
        <f t="shared" si="144"/>
        <v>AUG</v>
      </c>
      <c r="C4628" s="21">
        <v>46255</v>
      </c>
      <c r="D4628" s="22" t="str">
        <f>IFERROR(INDEX('Kode Outlet dan Target Toko'!$A:$A,MATCH($I4628,'Kode Outlet dan Target Toko'!$E:$E,0)),"")</f>
        <v>GRSM 6</v>
      </c>
      <c r="E4628" s="20" t="str">
        <f>IFERROR(VLOOKUP(I4628,KET!$B:$F,4,0),"")</f>
        <v>MARTIKA MINTOROWATI</v>
      </c>
      <c r="F4628" s="20" t="str">
        <f>IFERROR(VLOOKUP($I4628,KET!$B:$F,5,0),"")</f>
        <v>GMM</v>
      </c>
      <c r="G4628" s="20">
        <f>IFERROR(INDEX('Kode Outlet dan Target Toko'!$C:$C,MATCH($I4628,'Kode Outlet dan Target Toko'!$E:$E,0)),0)</f>
        <v>211161</v>
      </c>
      <c r="H4628" s="20">
        <f>IFERROR(INDEX('Kode Outlet dan Target Toko'!$D:$D,MATCH($I4628,'Kode Outlet dan Target Toko'!$E:$E,0)),0)</f>
        <v>7103</v>
      </c>
      <c r="I4628" s="42" t="s">
        <v>91</v>
      </c>
      <c r="J4628" s="45" t="s">
        <v>216</v>
      </c>
      <c r="K4628" s="53" t="s">
        <v>14</v>
      </c>
      <c r="L4628" s="23">
        <v>2850</v>
      </c>
      <c r="M4628" s="24">
        <v>65</v>
      </c>
      <c r="N4628" s="25">
        <f t="shared" si="145"/>
        <v>185250</v>
      </c>
      <c r="O4628" s="24"/>
    </row>
    <row r="4629" spans="1:15" hidden="1" x14ac:dyDescent="0.3">
      <c r="A4629" s="24">
        <v>34</v>
      </c>
      <c r="B4629" s="20" t="str">
        <f t="shared" si="144"/>
        <v>AUG</v>
      </c>
      <c r="C4629" s="21">
        <v>46255</v>
      </c>
      <c r="D4629" s="22" t="str">
        <f>IFERROR(INDEX('Kode Outlet dan Target Toko'!$A:$A,MATCH($I4629,'Kode Outlet dan Target Toko'!$E:$E,0)),"")</f>
        <v>GRSM 6</v>
      </c>
      <c r="E4629" s="20" t="str">
        <f>IFERROR(VLOOKUP(I4629,KET!$B:$F,4,0),"")</f>
        <v>MARTIKA MINTOROWATI</v>
      </c>
      <c r="F4629" s="20" t="str">
        <f>IFERROR(VLOOKUP($I4629,KET!$B:$F,5,0),"")</f>
        <v>GMM</v>
      </c>
      <c r="G4629" s="20">
        <f>IFERROR(INDEX('Kode Outlet dan Target Toko'!$C:$C,MATCH($I4629,'Kode Outlet dan Target Toko'!$E:$E,0)),0)</f>
        <v>211161</v>
      </c>
      <c r="H4629" s="20">
        <f>IFERROR(INDEX('Kode Outlet dan Target Toko'!$D:$D,MATCH($I4629,'Kode Outlet dan Target Toko'!$E:$E,0)),0)</f>
        <v>7103</v>
      </c>
      <c r="I4629" s="42" t="s">
        <v>91</v>
      </c>
      <c r="J4629" s="45" t="s">
        <v>216</v>
      </c>
      <c r="K4629" s="53" t="s">
        <v>13</v>
      </c>
      <c r="L4629" s="23">
        <v>2850</v>
      </c>
      <c r="M4629" s="24">
        <v>40</v>
      </c>
      <c r="N4629" s="25">
        <f t="shared" si="145"/>
        <v>114000</v>
      </c>
      <c r="O4629" s="24"/>
    </row>
    <row r="4630" spans="1:15" hidden="1" x14ac:dyDescent="0.3">
      <c r="A4630" s="24">
        <v>34</v>
      </c>
      <c r="B4630" s="20" t="str">
        <f t="shared" si="144"/>
        <v>AUG</v>
      </c>
      <c r="C4630" s="21">
        <v>46255</v>
      </c>
      <c r="D4630" s="22" t="str">
        <f>IFERROR(INDEX('Kode Outlet dan Target Toko'!$A:$A,MATCH($I4630,'Kode Outlet dan Target Toko'!$E:$E,0)),"")</f>
        <v>GRSM 6</v>
      </c>
      <c r="E4630" s="20" t="str">
        <f>IFERROR(VLOOKUP(I4630,KET!$B:$F,4,0),"")</f>
        <v>MARTIKA MINTOROWATI</v>
      </c>
      <c r="F4630" s="20" t="str">
        <f>IFERROR(VLOOKUP($I4630,KET!$B:$F,5,0),"")</f>
        <v>GMM</v>
      </c>
      <c r="G4630" s="20">
        <f>IFERROR(INDEX('Kode Outlet dan Target Toko'!$C:$C,MATCH($I4630,'Kode Outlet dan Target Toko'!$E:$E,0)),0)</f>
        <v>211161</v>
      </c>
      <c r="H4630" s="20">
        <f>IFERROR(INDEX('Kode Outlet dan Target Toko'!$D:$D,MATCH($I4630,'Kode Outlet dan Target Toko'!$E:$E,0)),0)</f>
        <v>7103</v>
      </c>
      <c r="I4630" s="42" t="s">
        <v>91</v>
      </c>
      <c r="J4630" s="45" t="s">
        <v>216</v>
      </c>
      <c r="K4630" s="53" t="s">
        <v>16</v>
      </c>
      <c r="L4630" s="23">
        <v>2850</v>
      </c>
      <c r="M4630" s="24">
        <v>340</v>
      </c>
      <c r="N4630" s="25">
        <f t="shared" si="145"/>
        <v>969000</v>
      </c>
      <c r="O4630" s="24"/>
    </row>
    <row r="4631" spans="1:15" hidden="1" x14ac:dyDescent="0.3">
      <c r="A4631" s="24">
        <v>34</v>
      </c>
      <c r="B4631" s="20" t="str">
        <f t="shared" si="144"/>
        <v>AUG</v>
      </c>
      <c r="C4631" s="21">
        <v>46255</v>
      </c>
      <c r="D4631" s="22" t="str">
        <f>IFERROR(INDEX('Kode Outlet dan Target Toko'!$A:$A,MATCH($I4631,'Kode Outlet dan Target Toko'!$E:$E,0)),"")</f>
        <v>GRSM 6</v>
      </c>
      <c r="E4631" s="20" t="str">
        <f>IFERROR(VLOOKUP(I4631,KET!$B:$F,4,0),"")</f>
        <v>MARTIKA MINTOROWATI</v>
      </c>
      <c r="F4631" s="20" t="str">
        <f>IFERROR(VLOOKUP($I4631,KET!$B:$F,5,0),"")</f>
        <v>GMM</v>
      </c>
      <c r="G4631" s="20">
        <f>IFERROR(INDEX('Kode Outlet dan Target Toko'!$C:$C,MATCH($I4631,'Kode Outlet dan Target Toko'!$E:$E,0)),0)</f>
        <v>211030</v>
      </c>
      <c r="H4631" s="20">
        <f>IFERROR(INDEX('Kode Outlet dan Target Toko'!$D:$D,MATCH($I4631,'Kode Outlet dan Target Toko'!$E:$E,0)),0)</f>
        <v>5766116</v>
      </c>
      <c r="I4631" s="41" t="s">
        <v>106</v>
      </c>
      <c r="J4631" s="45" t="s">
        <v>219</v>
      </c>
      <c r="K4631" s="53" t="s">
        <v>15</v>
      </c>
      <c r="L4631" s="23">
        <v>6000</v>
      </c>
      <c r="M4631" s="24">
        <v>34</v>
      </c>
      <c r="N4631" s="25">
        <f t="shared" si="145"/>
        <v>204000</v>
      </c>
      <c r="O4631" s="24"/>
    </row>
    <row r="4632" spans="1:15" hidden="1" x14ac:dyDescent="0.3">
      <c r="A4632" s="24">
        <v>34</v>
      </c>
      <c r="B4632" s="20" t="str">
        <f t="shared" si="144"/>
        <v>AUG</v>
      </c>
      <c r="C4632" s="21">
        <v>46255</v>
      </c>
      <c r="D4632" s="22" t="str">
        <f>IFERROR(INDEX('Kode Outlet dan Target Toko'!$A:$A,MATCH($I4632,'Kode Outlet dan Target Toko'!$E:$E,0)),"")</f>
        <v>GRSM 6</v>
      </c>
      <c r="E4632" s="20" t="str">
        <f>IFERROR(VLOOKUP(I4632,KET!$B:$F,4,0),"")</f>
        <v>MARTIKA MINTOROWATI</v>
      </c>
      <c r="F4632" s="20" t="str">
        <f>IFERROR(VLOOKUP($I4632,KET!$B:$F,5,0),"")</f>
        <v>GMM</v>
      </c>
      <c r="G4632" s="20">
        <f>IFERROR(INDEX('Kode Outlet dan Target Toko'!$C:$C,MATCH($I4632,'Kode Outlet dan Target Toko'!$E:$E,0)),0)</f>
        <v>211030</v>
      </c>
      <c r="H4632" s="20">
        <f>IFERROR(INDEX('Kode Outlet dan Target Toko'!$D:$D,MATCH($I4632,'Kode Outlet dan Target Toko'!$E:$E,0)),0)</f>
        <v>5766116</v>
      </c>
      <c r="I4632" s="41" t="s">
        <v>106</v>
      </c>
      <c r="J4632" s="45" t="s">
        <v>219</v>
      </c>
      <c r="K4632" s="53" t="s">
        <v>14</v>
      </c>
      <c r="L4632" s="23">
        <v>6000</v>
      </c>
      <c r="M4632" s="24">
        <v>20</v>
      </c>
      <c r="N4632" s="25">
        <f t="shared" si="145"/>
        <v>120000</v>
      </c>
      <c r="O4632" s="24"/>
    </row>
    <row r="4633" spans="1:15" hidden="1" x14ac:dyDescent="0.3">
      <c r="A4633" s="24">
        <v>34</v>
      </c>
      <c r="B4633" s="20" t="str">
        <f t="shared" si="144"/>
        <v>AUG</v>
      </c>
      <c r="C4633" s="21">
        <v>46255</v>
      </c>
      <c r="D4633" s="22" t="str">
        <f>IFERROR(INDEX('Kode Outlet dan Target Toko'!$A:$A,MATCH($I4633,'Kode Outlet dan Target Toko'!$E:$E,0)),"")</f>
        <v>GRSM 6</v>
      </c>
      <c r="E4633" s="20" t="str">
        <f>IFERROR(VLOOKUP(I4633,KET!$B:$F,4,0),"")</f>
        <v>MARTIKA MINTOROWATI</v>
      </c>
      <c r="F4633" s="20" t="str">
        <f>IFERROR(VLOOKUP($I4633,KET!$B:$F,5,0),"")</f>
        <v>GMM</v>
      </c>
      <c r="G4633" s="20">
        <f>IFERROR(INDEX('Kode Outlet dan Target Toko'!$C:$C,MATCH($I4633,'Kode Outlet dan Target Toko'!$E:$E,0)),0)</f>
        <v>211030</v>
      </c>
      <c r="H4633" s="20">
        <f>IFERROR(INDEX('Kode Outlet dan Target Toko'!$D:$D,MATCH($I4633,'Kode Outlet dan Target Toko'!$E:$E,0)),0)</f>
        <v>5766116</v>
      </c>
      <c r="I4633" s="41" t="s">
        <v>106</v>
      </c>
      <c r="J4633" s="45" t="s">
        <v>219</v>
      </c>
      <c r="K4633" s="53" t="s">
        <v>13</v>
      </c>
      <c r="L4633" s="23">
        <v>6000</v>
      </c>
      <c r="M4633" s="24">
        <v>16</v>
      </c>
      <c r="N4633" s="25">
        <f t="shared" si="145"/>
        <v>96000</v>
      </c>
      <c r="O4633" s="24"/>
    </row>
    <row r="4634" spans="1:15" hidden="1" x14ac:dyDescent="0.3">
      <c r="A4634" s="24">
        <v>34</v>
      </c>
      <c r="B4634" s="20" t="str">
        <f t="shared" si="144"/>
        <v>AUG</v>
      </c>
      <c r="C4634" s="21">
        <v>46255</v>
      </c>
      <c r="D4634" s="22" t="str">
        <f>IFERROR(INDEX('Kode Outlet dan Target Toko'!$A:$A,MATCH($I4634,'Kode Outlet dan Target Toko'!$E:$E,0)),"")</f>
        <v>GRSM 6</v>
      </c>
      <c r="E4634" s="20" t="str">
        <f>IFERROR(VLOOKUP(I4634,KET!$B:$F,4,0),"")</f>
        <v>MARTIKA MINTOROWATI</v>
      </c>
      <c r="F4634" s="20" t="str">
        <f>IFERROR(VLOOKUP($I4634,KET!$B:$F,5,0),"")</f>
        <v>GMM</v>
      </c>
      <c r="G4634" s="20">
        <f>IFERROR(INDEX('Kode Outlet dan Target Toko'!$C:$C,MATCH($I4634,'Kode Outlet dan Target Toko'!$E:$E,0)),0)</f>
        <v>211030</v>
      </c>
      <c r="H4634" s="20">
        <f>IFERROR(INDEX('Kode Outlet dan Target Toko'!$D:$D,MATCH($I4634,'Kode Outlet dan Target Toko'!$E:$E,0)),0)</f>
        <v>5766116</v>
      </c>
      <c r="I4634" s="41" t="s">
        <v>106</v>
      </c>
      <c r="J4634" s="45" t="s">
        <v>219</v>
      </c>
      <c r="K4634" s="53" t="s">
        <v>16</v>
      </c>
      <c r="L4634" s="23">
        <v>6000</v>
      </c>
      <c r="M4634" s="24">
        <v>56</v>
      </c>
      <c r="N4634" s="25">
        <f t="shared" si="145"/>
        <v>336000</v>
      </c>
      <c r="O4634" s="24"/>
    </row>
    <row r="4635" spans="1:15" hidden="1" x14ac:dyDescent="0.3">
      <c r="A4635" s="24">
        <v>34</v>
      </c>
      <c r="B4635" s="20" t="str">
        <f t="shared" si="144"/>
        <v>AUG</v>
      </c>
      <c r="C4635" s="21">
        <v>46255</v>
      </c>
      <c r="D4635" s="22" t="str">
        <f>IFERROR(INDEX('Kode Outlet dan Target Toko'!$A:$A,MATCH($I4635,'Kode Outlet dan Target Toko'!$E:$E,0)),"")</f>
        <v>GRSM 6</v>
      </c>
      <c r="E4635" s="20" t="str">
        <f>IFERROR(VLOOKUP(I4635,KET!$B:$F,4,0),"")</f>
        <v>MARTIKA MINTOROWATI</v>
      </c>
      <c r="F4635" s="20" t="str">
        <f>IFERROR(VLOOKUP($I4635,KET!$B:$F,5,0),"")</f>
        <v>GMM</v>
      </c>
      <c r="G4635" s="20">
        <f>IFERROR(INDEX('Kode Outlet dan Target Toko'!$C:$C,MATCH($I4635,'Kode Outlet dan Target Toko'!$E:$E,0)),0)</f>
        <v>211030</v>
      </c>
      <c r="H4635" s="20">
        <f>IFERROR(INDEX('Kode Outlet dan Target Toko'!$D:$D,MATCH($I4635,'Kode Outlet dan Target Toko'!$E:$E,0)),0)</f>
        <v>5765035</v>
      </c>
      <c r="I4635" s="41" t="s">
        <v>113</v>
      </c>
      <c r="J4635" s="45" t="s">
        <v>225</v>
      </c>
      <c r="K4635" s="53" t="s">
        <v>15</v>
      </c>
      <c r="L4635" s="23">
        <v>1953</v>
      </c>
      <c r="M4635" s="24">
        <v>25</v>
      </c>
      <c r="N4635" s="25">
        <f t="shared" si="145"/>
        <v>48825</v>
      </c>
      <c r="O4635" s="24"/>
    </row>
    <row r="4636" spans="1:15" hidden="1" x14ac:dyDescent="0.3">
      <c r="A4636" s="24">
        <v>34</v>
      </c>
      <c r="B4636" s="20" t="str">
        <f t="shared" si="144"/>
        <v>AUG</v>
      </c>
      <c r="C4636" s="21">
        <v>46255</v>
      </c>
      <c r="D4636" s="22" t="str">
        <f>IFERROR(INDEX('Kode Outlet dan Target Toko'!$A:$A,MATCH($I4636,'Kode Outlet dan Target Toko'!$E:$E,0)),"")</f>
        <v>GRSM 6</v>
      </c>
      <c r="E4636" s="20" t="str">
        <f>IFERROR(VLOOKUP(I4636,KET!$B:$F,4,0),"")</f>
        <v>MARTIKA MINTOROWATI</v>
      </c>
      <c r="F4636" s="20" t="str">
        <f>IFERROR(VLOOKUP($I4636,KET!$B:$F,5,0),"")</f>
        <v>GMM</v>
      </c>
      <c r="G4636" s="20">
        <f>IFERROR(INDEX('Kode Outlet dan Target Toko'!$C:$C,MATCH($I4636,'Kode Outlet dan Target Toko'!$E:$E,0)),0)</f>
        <v>211030</v>
      </c>
      <c r="H4636" s="20">
        <f>IFERROR(INDEX('Kode Outlet dan Target Toko'!$D:$D,MATCH($I4636,'Kode Outlet dan Target Toko'!$E:$E,0)),0)</f>
        <v>5765035</v>
      </c>
      <c r="I4636" s="41" t="s">
        <v>113</v>
      </c>
      <c r="J4636" s="45" t="s">
        <v>225</v>
      </c>
      <c r="K4636" s="53" t="s">
        <v>14</v>
      </c>
      <c r="L4636" s="23">
        <v>1953</v>
      </c>
      <c r="M4636" s="24">
        <v>22</v>
      </c>
      <c r="N4636" s="25">
        <f t="shared" si="145"/>
        <v>42966</v>
      </c>
      <c r="O4636" s="24"/>
    </row>
    <row r="4637" spans="1:15" hidden="1" x14ac:dyDescent="0.3">
      <c r="A4637" s="24">
        <v>34</v>
      </c>
      <c r="B4637" s="20" t="str">
        <f t="shared" si="144"/>
        <v>AUG</v>
      </c>
      <c r="C4637" s="21">
        <v>46255</v>
      </c>
      <c r="D4637" s="22" t="str">
        <f>IFERROR(INDEX('Kode Outlet dan Target Toko'!$A:$A,MATCH($I4637,'Kode Outlet dan Target Toko'!$E:$E,0)),"")</f>
        <v>GRSM 6</v>
      </c>
      <c r="E4637" s="20" t="str">
        <f>IFERROR(VLOOKUP(I4637,KET!$B:$F,4,0),"")</f>
        <v>MARTIKA MINTOROWATI</v>
      </c>
      <c r="F4637" s="20" t="str">
        <f>IFERROR(VLOOKUP($I4637,KET!$B:$F,5,0),"")</f>
        <v>GMM</v>
      </c>
      <c r="G4637" s="20">
        <f>IFERROR(INDEX('Kode Outlet dan Target Toko'!$C:$C,MATCH($I4637,'Kode Outlet dan Target Toko'!$E:$E,0)),0)</f>
        <v>211030</v>
      </c>
      <c r="H4637" s="20">
        <f>IFERROR(INDEX('Kode Outlet dan Target Toko'!$D:$D,MATCH($I4637,'Kode Outlet dan Target Toko'!$E:$E,0)),0)</f>
        <v>5765035</v>
      </c>
      <c r="I4637" s="41" t="s">
        <v>113</v>
      </c>
      <c r="J4637" s="45" t="s">
        <v>225</v>
      </c>
      <c r="K4637" s="53" t="s">
        <v>13</v>
      </c>
      <c r="L4637" s="23">
        <v>1953</v>
      </c>
      <c r="M4637" s="24">
        <v>5</v>
      </c>
      <c r="N4637" s="25">
        <f t="shared" si="145"/>
        <v>9765</v>
      </c>
      <c r="O4637" s="24"/>
    </row>
    <row r="4638" spans="1:15" hidden="1" x14ac:dyDescent="0.3">
      <c r="A4638" s="24">
        <v>34</v>
      </c>
      <c r="B4638" s="20" t="str">
        <f t="shared" si="144"/>
        <v>AUG</v>
      </c>
      <c r="C4638" s="21">
        <v>46255</v>
      </c>
      <c r="D4638" s="22" t="str">
        <f>IFERROR(INDEX('Kode Outlet dan Target Toko'!$A:$A,MATCH($I4638,'Kode Outlet dan Target Toko'!$E:$E,0)),"")</f>
        <v>GRSM 6</v>
      </c>
      <c r="E4638" s="20" t="str">
        <f>IFERROR(VLOOKUP(I4638,KET!$B:$F,4,0),"")</f>
        <v>MARTIKA MINTOROWATI</v>
      </c>
      <c r="F4638" s="20" t="str">
        <f>IFERROR(VLOOKUP($I4638,KET!$B:$F,5,0),"")</f>
        <v>GMM</v>
      </c>
      <c r="G4638" s="20">
        <f>IFERROR(INDEX('Kode Outlet dan Target Toko'!$C:$C,MATCH($I4638,'Kode Outlet dan Target Toko'!$E:$E,0)),0)</f>
        <v>211030</v>
      </c>
      <c r="H4638" s="20">
        <f>IFERROR(INDEX('Kode Outlet dan Target Toko'!$D:$D,MATCH($I4638,'Kode Outlet dan Target Toko'!$E:$E,0)),0)</f>
        <v>5765035</v>
      </c>
      <c r="I4638" s="41" t="s">
        <v>113</v>
      </c>
      <c r="J4638" s="45" t="s">
        <v>225</v>
      </c>
      <c r="K4638" s="53" t="s">
        <v>16</v>
      </c>
      <c r="L4638" s="23">
        <v>1953</v>
      </c>
      <c r="M4638" s="24">
        <v>88</v>
      </c>
      <c r="N4638" s="25">
        <f t="shared" si="145"/>
        <v>171864</v>
      </c>
      <c r="O4638" s="24">
        <v>150</v>
      </c>
    </row>
    <row r="4639" spans="1:15" hidden="1" x14ac:dyDescent="0.3">
      <c r="A4639" s="24">
        <v>34</v>
      </c>
      <c r="B4639" s="20" t="str">
        <f t="shared" si="144"/>
        <v>AUG</v>
      </c>
      <c r="C4639" s="21">
        <v>46255</v>
      </c>
      <c r="D4639" s="22" t="str">
        <f>IFERROR(INDEX('Kode Outlet dan Target Toko'!$A:$A,MATCH($I4639,'Kode Outlet dan Target Toko'!$E:$E,0)),"")</f>
        <v>GRSM 6</v>
      </c>
      <c r="E4639" s="20" t="str">
        <f>IFERROR(VLOOKUP(I4639,KET!$B:$F,4,0),"")</f>
        <v>MARTIKA MINTOROWATI</v>
      </c>
      <c r="F4639" s="20" t="str">
        <f>IFERROR(VLOOKUP($I4639,KET!$B:$F,5,0),"")</f>
        <v>GMM</v>
      </c>
      <c r="G4639" s="20">
        <f>IFERROR(INDEX('Kode Outlet dan Target Toko'!$C:$C,MATCH($I4639,'Kode Outlet dan Target Toko'!$E:$E,0)),0)</f>
        <v>211030</v>
      </c>
      <c r="H4639" s="20">
        <f>IFERROR(INDEX('Kode Outlet dan Target Toko'!$D:$D,MATCH($I4639,'Kode Outlet dan Target Toko'!$E:$E,0)),0)</f>
        <v>5765035</v>
      </c>
      <c r="I4639" s="41" t="s">
        <v>113</v>
      </c>
      <c r="J4639" s="45" t="s">
        <v>224</v>
      </c>
      <c r="K4639" s="53" t="s">
        <v>15</v>
      </c>
      <c r="L4639" s="23">
        <v>1953</v>
      </c>
      <c r="M4639" s="24">
        <v>30</v>
      </c>
      <c r="N4639" s="25">
        <f t="shared" si="145"/>
        <v>58590</v>
      </c>
      <c r="O4639" s="24"/>
    </row>
    <row r="4640" spans="1:15" hidden="1" x14ac:dyDescent="0.3">
      <c r="A4640" s="24">
        <v>34</v>
      </c>
      <c r="B4640" s="20" t="str">
        <f t="shared" si="144"/>
        <v>AUG</v>
      </c>
      <c r="C4640" s="21">
        <v>46255</v>
      </c>
      <c r="D4640" s="22" t="str">
        <f>IFERROR(INDEX('Kode Outlet dan Target Toko'!$A:$A,MATCH($I4640,'Kode Outlet dan Target Toko'!$E:$E,0)),"")</f>
        <v>GRSM 6</v>
      </c>
      <c r="E4640" s="20" t="str">
        <f>IFERROR(VLOOKUP(I4640,KET!$B:$F,4,0),"")</f>
        <v>MARTIKA MINTOROWATI</v>
      </c>
      <c r="F4640" s="20" t="str">
        <f>IFERROR(VLOOKUP($I4640,KET!$B:$F,5,0),"")</f>
        <v>GMM</v>
      </c>
      <c r="G4640" s="20">
        <f>IFERROR(INDEX('Kode Outlet dan Target Toko'!$C:$C,MATCH($I4640,'Kode Outlet dan Target Toko'!$E:$E,0)),0)</f>
        <v>211030</v>
      </c>
      <c r="H4640" s="20">
        <f>IFERROR(INDEX('Kode Outlet dan Target Toko'!$D:$D,MATCH($I4640,'Kode Outlet dan Target Toko'!$E:$E,0)),0)</f>
        <v>5765035</v>
      </c>
      <c r="I4640" s="41" t="s">
        <v>113</v>
      </c>
      <c r="J4640" s="45" t="s">
        <v>224</v>
      </c>
      <c r="K4640" s="53" t="s">
        <v>14</v>
      </c>
      <c r="L4640" s="23">
        <v>1953</v>
      </c>
      <c r="M4640" s="24">
        <v>40</v>
      </c>
      <c r="N4640" s="25">
        <f t="shared" si="145"/>
        <v>78120</v>
      </c>
      <c r="O4640" s="24"/>
    </row>
    <row r="4641" spans="1:15" hidden="1" x14ac:dyDescent="0.3">
      <c r="A4641" s="24">
        <v>34</v>
      </c>
      <c r="B4641" s="20" t="str">
        <f t="shared" si="144"/>
        <v>AUG</v>
      </c>
      <c r="C4641" s="21">
        <v>46255</v>
      </c>
      <c r="D4641" s="22" t="str">
        <f>IFERROR(INDEX('Kode Outlet dan Target Toko'!$A:$A,MATCH($I4641,'Kode Outlet dan Target Toko'!$E:$E,0)),"")</f>
        <v>GRSM 6</v>
      </c>
      <c r="E4641" s="20" t="str">
        <f>IFERROR(VLOOKUP(I4641,KET!$B:$F,4,0),"")</f>
        <v>MARTIKA MINTOROWATI</v>
      </c>
      <c r="F4641" s="20" t="str">
        <f>IFERROR(VLOOKUP($I4641,KET!$B:$F,5,0),"")</f>
        <v>GMM</v>
      </c>
      <c r="G4641" s="20">
        <f>IFERROR(INDEX('Kode Outlet dan Target Toko'!$C:$C,MATCH($I4641,'Kode Outlet dan Target Toko'!$E:$E,0)),0)</f>
        <v>211030</v>
      </c>
      <c r="H4641" s="20">
        <f>IFERROR(INDEX('Kode Outlet dan Target Toko'!$D:$D,MATCH($I4641,'Kode Outlet dan Target Toko'!$E:$E,0)),0)</f>
        <v>5765035</v>
      </c>
      <c r="I4641" s="41" t="s">
        <v>113</v>
      </c>
      <c r="J4641" s="45" t="s">
        <v>224</v>
      </c>
      <c r="K4641" s="53" t="s">
        <v>13</v>
      </c>
      <c r="L4641" s="23">
        <v>1953</v>
      </c>
      <c r="M4641" s="24">
        <v>3</v>
      </c>
      <c r="N4641" s="25">
        <f t="shared" si="145"/>
        <v>5859</v>
      </c>
      <c r="O4641" s="24"/>
    </row>
    <row r="4642" spans="1:15" hidden="1" x14ac:dyDescent="0.3">
      <c r="A4642" s="24">
        <v>34</v>
      </c>
      <c r="B4642" s="20" t="str">
        <f t="shared" si="144"/>
        <v>AUG</v>
      </c>
      <c r="C4642" s="21">
        <v>46255</v>
      </c>
      <c r="D4642" s="22" t="str">
        <f>IFERROR(INDEX('Kode Outlet dan Target Toko'!$A:$A,MATCH($I4642,'Kode Outlet dan Target Toko'!$E:$E,0)),"")</f>
        <v>GRSM 6</v>
      </c>
      <c r="E4642" s="20" t="str">
        <f>IFERROR(VLOOKUP(I4642,KET!$B:$F,4,0),"")</f>
        <v>MARTIKA MINTOROWATI</v>
      </c>
      <c r="F4642" s="20" t="str">
        <f>IFERROR(VLOOKUP($I4642,KET!$B:$F,5,0),"")</f>
        <v>GMM</v>
      </c>
      <c r="G4642" s="20">
        <f>IFERROR(INDEX('Kode Outlet dan Target Toko'!$C:$C,MATCH($I4642,'Kode Outlet dan Target Toko'!$E:$E,0)),0)</f>
        <v>211030</v>
      </c>
      <c r="H4642" s="20">
        <f>IFERROR(INDEX('Kode Outlet dan Target Toko'!$D:$D,MATCH($I4642,'Kode Outlet dan Target Toko'!$E:$E,0)),0)</f>
        <v>5765035</v>
      </c>
      <c r="I4642" s="41" t="s">
        <v>113</v>
      </c>
      <c r="J4642" s="45" t="s">
        <v>224</v>
      </c>
      <c r="K4642" s="53" t="s">
        <v>16</v>
      </c>
      <c r="L4642" s="23">
        <v>1953</v>
      </c>
      <c r="M4642" s="24">
        <v>60</v>
      </c>
      <c r="N4642" s="25">
        <f t="shared" si="145"/>
        <v>117180</v>
      </c>
      <c r="O4642" s="24">
        <v>160</v>
      </c>
    </row>
    <row r="4643" spans="1:15" hidden="1" x14ac:dyDescent="0.3">
      <c r="A4643" s="24">
        <v>34</v>
      </c>
      <c r="B4643" s="20" t="str">
        <f t="shared" si="144"/>
        <v>AUG</v>
      </c>
      <c r="C4643" s="21">
        <v>46255</v>
      </c>
      <c r="D4643" s="22" t="str">
        <f>IFERROR(INDEX('Kode Outlet dan Target Toko'!$A:$A,MATCH($I4643,'Kode Outlet dan Target Toko'!$E:$E,0)),"")</f>
        <v>GRSM 6</v>
      </c>
      <c r="E4643" s="20" t="str">
        <f>IFERROR(VLOOKUP(I4643,KET!$B:$F,4,0),"")</f>
        <v>MARTIKA MINTOROWATI</v>
      </c>
      <c r="F4643" s="20" t="str">
        <f>IFERROR(VLOOKUP($I4643,KET!$B:$F,5,0),"")</f>
        <v>GMM</v>
      </c>
      <c r="G4643" s="20">
        <f>IFERROR(INDEX('Kode Outlet dan Target Toko'!$C:$C,MATCH($I4643,'Kode Outlet dan Target Toko'!$E:$E,0)),0)</f>
        <v>211161</v>
      </c>
      <c r="H4643" s="20">
        <f>IFERROR(INDEX('Kode Outlet dan Target Toko'!$D:$D,MATCH($I4643,'Kode Outlet dan Target Toko'!$E:$E,0)),0)</f>
        <v>710355</v>
      </c>
      <c r="I4643" s="41" t="s">
        <v>97</v>
      </c>
      <c r="J4643" s="45" t="s">
        <v>222</v>
      </c>
      <c r="K4643" s="53" t="s">
        <v>15</v>
      </c>
      <c r="L4643" s="23">
        <v>6201</v>
      </c>
      <c r="M4643" s="24">
        <v>36</v>
      </c>
      <c r="N4643" s="25">
        <f t="shared" si="145"/>
        <v>223236</v>
      </c>
      <c r="O4643" s="24"/>
    </row>
    <row r="4644" spans="1:15" hidden="1" x14ac:dyDescent="0.3">
      <c r="A4644" s="24">
        <v>34</v>
      </c>
      <c r="B4644" s="20" t="str">
        <f t="shared" si="144"/>
        <v>AUG</v>
      </c>
      <c r="C4644" s="21">
        <v>46255</v>
      </c>
      <c r="D4644" s="22" t="str">
        <f>IFERROR(INDEX('Kode Outlet dan Target Toko'!$A:$A,MATCH($I4644,'Kode Outlet dan Target Toko'!$E:$E,0)),"")</f>
        <v>GRSM 6</v>
      </c>
      <c r="E4644" s="20" t="str">
        <f>IFERROR(VLOOKUP(I4644,KET!$B:$F,4,0),"")</f>
        <v>MARTIKA MINTOROWATI</v>
      </c>
      <c r="F4644" s="20" t="str">
        <f>IFERROR(VLOOKUP($I4644,KET!$B:$F,5,0),"")</f>
        <v>GMM</v>
      </c>
      <c r="G4644" s="20">
        <f>IFERROR(INDEX('Kode Outlet dan Target Toko'!$C:$C,MATCH($I4644,'Kode Outlet dan Target Toko'!$E:$E,0)),0)</f>
        <v>211161</v>
      </c>
      <c r="H4644" s="20">
        <f>IFERROR(INDEX('Kode Outlet dan Target Toko'!$D:$D,MATCH($I4644,'Kode Outlet dan Target Toko'!$E:$E,0)),0)</f>
        <v>710355</v>
      </c>
      <c r="I4644" s="41" t="s">
        <v>97</v>
      </c>
      <c r="J4644" s="45" t="s">
        <v>222</v>
      </c>
      <c r="K4644" s="53" t="s">
        <v>14</v>
      </c>
      <c r="L4644" s="23">
        <v>6201</v>
      </c>
      <c r="M4644" s="24">
        <v>0</v>
      </c>
      <c r="N4644" s="25">
        <f t="shared" si="145"/>
        <v>0</v>
      </c>
      <c r="O4644" s="24"/>
    </row>
    <row r="4645" spans="1:15" hidden="1" x14ac:dyDescent="0.3">
      <c r="A4645" s="24">
        <v>34</v>
      </c>
      <c r="B4645" s="20" t="str">
        <f t="shared" si="144"/>
        <v>AUG</v>
      </c>
      <c r="C4645" s="21">
        <v>46255</v>
      </c>
      <c r="D4645" s="22" t="str">
        <f>IFERROR(INDEX('Kode Outlet dan Target Toko'!$A:$A,MATCH($I4645,'Kode Outlet dan Target Toko'!$E:$E,0)),"")</f>
        <v>GRSM 6</v>
      </c>
      <c r="E4645" s="20" t="str">
        <f>IFERROR(VLOOKUP(I4645,KET!$B:$F,4,0),"")</f>
        <v>MARTIKA MINTOROWATI</v>
      </c>
      <c r="F4645" s="20" t="str">
        <f>IFERROR(VLOOKUP($I4645,KET!$B:$F,5,0),"")</f>
        <v>GMM</v>
      </c>
      <c r="G4645" s="20">
        <f>IFERROR(INDEX('Kode Outlet dan Target Toko'!$C:$C,MATCH($I4645,'Kode Outlet dan Target Toko'!$E:$E,0)),0)</f>
        <v>211161</v>
      </c>
      <c r="H4645" s="20">
        <f>IFERROR(INDEX('Kode Outlet dan Target Toko'!$D:$D,MATCH($I4645,'Kode Outlet dan Target Toko'!$E:$E,0)),0)</f>
        <v>710355</v>
      </c>
      <c r="I4645" s="41" t="s">
        <v>97</v>
      </c>
      <c r="J4645" s="45" t="s">
        <v>222</v>
      </c>
      <c r="K4645" s="53" t="s">
        <v>13</v>
      </c>
      <c r="L4645" s="23">
        <v>6201</v>
      </c>
      <c r="M4645" s="24">
        <v>36</v>
      </c>
      <c r="N4645" s="25">
        <f t="shared" si="145"/>
        <v>223236</v>
      </c>
      <c r="O4645" s="24"/>
    </row>
    <row r="4646" spans="1:15" hidden="1" x14ac:dyDescent="0.3">
      <c r="A4646" s="24">
        <v>34</v>
      </c>
      <c r="B4646" s="20" t="str">
        <f t="shared" si="144"/>
        <v>AUG</v>
      </c>
      <c r="C4646" s="21">
        <v>46255</v>
      </c>
      <c r="D4646" s="22" t="str">
        <f>IFERROR(INDEX('Kode Outlet dan Target Toko'!$A:$A,MATCH($I4646,'Kode Outlet dan Target Toko'!$E:$E,0)),"")</f>
        <v>GRSM 6</v>
      </c>
      <c r="E4646" s="20" t="str">
        <f>IFERROR(VLOOKUP(I4646,KET!$B:$F,4,0),"")</f>
        <v>MARTIKA MINTOROWATI</v>
      </c>
      <c r="F4646" s="20" t="str">
        <f>IFERROR(VLOOKUP($I4646,KET!$B:$F,5,0),"")</f>
        <v>GMM</v>
      </c>
      <c r="G4646" s="20">
        <f>IFERROR(INDEX('Kode Outlet dan Target Toko'!$C:$C,MATCH($I4646,'Kode Outlet dan Target Toko'!$E:$E,0)),0)</f>
        <v>211161</v>
      </c>
      <c r="H4646" s="20">
        <f>IFERROR(INDEX('Kode Outlet dan Target Toko'!$D:$D,MATCH($I4646,'Kode Outlet dan Target Toko'!$E:$E,0)),0)</f>
        <v>710355</v>
      </c>
      <c r="I4646" s="41" t="s">
        <v>97</v>
      </c>
      <c r="J4646" s="45" t="s">
        <v>222</v>
      </c>
      <c r="K4646" s="53" t="s">
        <v>16</v>
      </c>
      <c r="L4646" s="23">
        <v>6201</v>
      </c>
      <c r="M4646" s="24">
        <v>72</v>
      </c>
      <c r="N4646" s="25">
        <f t="shared" si="145"/>
        <v>446472</v>
      </c>
      <c r="O4646" s="24">
        <v>160</v>
      </c>
    </row>
    <row r="4647" spans="1:15" hidden="1" x14ac:dyDescent="0.3">
      <c r="A4647" s="24">
        <v>34</v>
      </c>
      <c r="B4647" s="20" t="s">
        <v>123</v>
      </c>
      <c r="C4647" s="21">
        <v>46255</v>
      </c>
      <c r="D4647" s="22" t="str">
        <f>IFERROR(INDEX('Kode Outlet dan Target Toko'!$A:$A,MATCH($I4647,'Kode Outlet dan Target Toko'!$E:$E,0)),"")</f>
        <v>GRSM 6</v>
      </c>
      <c r="E4647" s="20" t="str">
        <f>IFERROR(VLOOKUP(I4647,KET!$B:$F,4,0),"")</f>
        <v>MARTIKA MINTOROWATI</v>
      </c>
      <c r="F4647" s="20" t="str">
        <f>IFERROR(VLOOKUP($I4647,KET!$B:$F,5,0),"")</f>
        <v>GMM</v>
      </c>
      <c r="G4647" s="20">
        <f>IFERROR(INDEX('Kode Outlet dan Target Toko'!$C:$C,MATCH($I4647,'Kode Outlet dan Target Toko'!$E:$E,0)),0)</f>
        <v>211161</v>
      </c>
      <c r="H4647" s="20">
        <f>IFERROR(INDEX('Kode Outlet dan Target Toko'!$D:$D,MATCH($I4647,'Kode Outlet dan Target Toko'!$E:$E,0)),0)</f>
        <v>710355</v>
      </c>
      <c r="I4647" s="42" t="s">
        <v>97</v>
      </c>
      <c r="J4647" s="56" t="s">
        <v>223</v>
      </c>
      <c r="K4647" s="53" t="s">
        <v>15</v>
      </c>
      <c r="L4647" s="23">
        <v>6201</v>
      </c>
      <c r="M4647" s="24">
        <v>36</v>
      </c>
      <c r="N4647" s="25">
        <f t="shared" si="145"/>
        <v>223236</v>
      </c>
      <c r="O4647" s="24"/>
    </row>
    <row r="4648" spans="1:15" hidden="1" x14ac:dyDescent="0.3">
      <c r="A4648" s="24">
        <v>34</v>
      </c>
      <c r="B4648" s="20" t="s">
        <v>123</v>
      </c>
      <c r="C4648" s="21">
        <v>46255</v>
      </c>
      <c r="D4648" s="22" t="str">
        <f>IFERROR(INDEX('Kode Outlet dan Target Toko'!$A:$A,MATCH($I4648,'Kode Outlet dan Target Toko'!$E:$E,0)),"")</f>
        <v>GRSM 6</v>
      </c>
      <c r="E4648" s="20" t="str">
        <f>IFERROR(VLOOKUP(I4648,KET!$B:$F,4,0),"")</f>
        <v>MARTIKA MINTOROWATI</v>
      </c>
      <c r="F4648" s="20" t="str">
        <f>IFERROR(VLOOKUP($I4648,KET!$B:$F,5,0),"")</f>
        <v>GMM</v>
      </c>
      <c r="G4648" s="20">
        <f>IFERROR(INDEX('Kode Outlet dan Target Toko'!$C:$C,MATCH($I4648,'Kode Outlet dan Target Toko'!$E:$E,0)),0)</f>
        <v>211161</v>
      </c>
      <c r="H4648" s="20">
        <f>IFERROR(INDEX('Kode Outlet dan Target Toko'!$D:$D,MATCH($I4648,'Kode Outlet dan Target Toko'!$E:$E,0)),0)</f>
        <v>710355</v>
      </c>
      <c r="I4648" s="42" t="s">
        <v>97</v>
      </c>
      <c r="J4648" s="56" t="s">
        <v>223</v>
      </c>
      <c r="K4648" s="53" t="s">
        <v>14</v>
      </c>
      <c r="L4648" s="23">
        <v>6201</v>
      </c>
      <c r="M4648" s="24">
        <v>0</v>
      </c>
      <c r="N4648" s="25">
        <f t="shared" si="145"/>
        <v>0</v>
      </c>
      <c r="O4648" s="24"/>
    </row>
    <row r="4649" spans="1:15" hidden="1" x14ac:dyDescent="0.3">
      <c r="A4649" s="24">
        <v>34</v>
      </c>
      <c r="B4649" s="20" t="s">
        <v>123</v>
      </c>
      <c r="C4649" s="21">
        <v>46255</v>
      </c>
      <c r="D4649" s="22" t="str">
        <f>IFERROR(INDEX('Kode Outlet dan Target Toko'!$A:$A,MATCH($I4649,'Kode Outlet dan Target Toko'!$E:$E,0)),"")</f>
        <v>GRSM 6</v>
      </c>
      <c r="E4649" s="20" t="str">
        <f>IFERROR(VLOOKUP(I4649,KET!$B:$F,4,0),"")</f>
        <v>MARTIKA MINTOROWATI</v>
      </c>
      <c r="F4649" s="20" t="str">
        <f>IFERROR(VLOOKUP($I4649,KET!$B:$F,5,0),"")</f>
        <v>GMM</v>
      </c>
      <c r="G4649" s="20">
        <f>IFERROR(INDEX('Kode Outlet dan Target Toko'!$C:$C,MATCH($I4649,'Kode Outlet dan Target Toko'!$E:$E,0)),0)</f>
        <v>211161</v>
      </c>
      <c r="H4649" s="20">
        <f>IFERROR(INDEX('Kode Outlet dan Target Toko'!$D:$D,MATCH($I4649,'Kode Outlet dan Target Toko'!$E:$E,0)),0)</f>
        <v>710355</v>
      </c>
      <c r="I4649" s="42" t="s">
        <v>97</v>
      </c>
      <c r="J4649" s="56" t="s">
        <v>223</v>
      </c>
      <c r="K4649" s="53" t="s">
        <v>13</v>
      </c>
      <c r="L4649" s="23">
        <v>6201</v>
      </c>
      <c r="M4649" s="24">
        <v>36</v>
      </c>
      <c r="N4649" s="25">
        <f t="shared" si="145"/>
        <v>223236</v>
      </c>
      <c r="O4649" s="24"/>
    </row>
    <row r="4650" spans="1:15" hidden="1" x14ac:dyDescent="0.3">
      <c r="A4650" s="24">
        <v>34</v>
      </c>
      <c r="B4650" s="20" t="s">
        <v>123</v>
      </c>
      <c r="C4650" s="21">
        <v>46255</v>
      </c>
      <c r="D4650" s="22" t="str">
        <f>IFERROR(INDEX('Kode Outlet dan Target Toko'!$A:$A,MATCH($I4650,'Kode Outlet dan Target Toko'!$E:$E,0)),"")</f>
        <v>GRSM 6</v>
      </c>
      <c r="E4650" s="20" t="str">
        <f>IFERROR(VLOOKUP(I4650,KET!$B:$F,4,0),"")</f>
        <v>MARTIKA MINTOROWATI</v>
      </c>
      <c r="F4650" s="20" t="str">
        <f>IFERROR(VLOOKUP($I4650,KET!$B:$F,5,0),"")</f>
        <v>GMM</v>
      </c>
      <c r="G4650" s="20">
        <f>IFERROR(INDEX('Kode Outlet dan Target Toko'!$C:$C,MATCH($I4650,'Kode Outlet dan Target Toko'!$E:$E,0)),0)</f>
        <v>211161</v>
      </c>
      <c r="H4650" s="20">
        <f>IFERROR(INDEX('Kode Outlet dan Target Toko'!$D:$D,MATCH($I4650,'Kode Outlet dan Target Toko'!$E:$E,0)),0)</f>
        <v>710355</v>
      </c>
      <c r="I4650" s="42" t="s">
        <v>97</v>
      </c>
      <c r="J4650" s="56" t="s">
        <v>223</v>
      </c>
      <c r="K4650" s="53" t="s">
        <v>16</v>
      </c>
      <c r="L4650" s="23">
        <v>6201</v>
      </c>
      <c r="M4650" s="24">
        <v>72</v>
      </c>
      <c r="N4650" s="25">
        <f t="shared" si="145"/>
        <v>446472</v>
      </c>
      <c r="O4650" s="24">
        <v>160</v>
      </c>
    </row>
    <row r="4651" spans="1:15" hidden="1" x14ac:dyDescent="0.3">
      <c r="A4651" s="24">
        <v>34</v>
      </c>
      <c r="B4651" s="20" t="str">
        <f t="shared" ref="B4651:B4682" si="146">IF(C4647="","",UPPER(TEXT(C4647, "MMM")))</f>
        <v>AUG</v>
      </c>
      <c r="C4651" s="21">
        <v>46256</v>
      </c>
      <c r="D4651" s="22" t="str">
        <f>IFERROR(INDEX('Kode Outlet dan Target Toko'!$A:$A,MATCH($I4647,'Kode Outlet dan Target Toko'!$E:$E,0)),"")</f>
        <v>GRSM 6</v>
      </c>
      <c r="E4651" s="20" t="str">
        <f>IFERROR(VLOOKUP(I4651,KET!$B:$F,4,0),"")</f>
        <v>MARTIKA MINTOROWATI</v>
      </c>
      <c r="F4651" s="20" t="str">
        <f>IFERROR(VLOOKUP($I4647,KET!$B:$F,5,0),"")</f>
        <v>GMM</v>
      </c>
      <c r="G4651" s="20">
        <f>IFERROR(INDEX('Kode Outlet dan Target Toko'!$C:$C,MATCH($I4647,'Kode Outlet dan Target Toko'!$E:$E,0)),0)</f>
        <v>211161</v>
      </c>
      <c r="H4651" s="20">
        <f>IFERROR(INDEX('Kode Outlet dan Target Toko'!$D:$D,MATCH($I4647,'Kode Outlet dan Target Toko'!$E:$E,0)),0)</f>
        <v>710355</v>
      </c>
      <c r="I4651" s="42" t="s">
        <v>91</v>
      </c>
      <c r="J4651" s="45" t="s">
        <v>217</v>
      </c>
      <c r="K4651" s="53" t="s">
        <v>15</v>
      </c>
      <c r="L4651" s="23">
        <v>2850</v>
      </c>
      <c r="M4651" s="24">
        <v>105</v>
      </c>
      <c r="N4651" s="25">
        <f t="shared" si="145"/>
        <v>299250</v>
      </c>
      <c r="O4651" s="24"/>
    </row>
    <row r="4652" spans="1:15" hidden="1" x14ac:dyDescent="0.3">
      <c r="A4652" s="24">
        <v>34</v>
      </c>
      <c r="B4652" s="20" t="str">
        <f t="shared" si="146"/>
        <v>AUG</v>
      </c>
      <c r="C4652" s="21">
        <v>46256</v>
      </c>
      <c r="D4652" s="22" t="str">
        <f>IFERROR(INDEX('Kode Outlet dan Target Toko'!$A:$A,MATCH($I4648,'Kode Outlet dan Target Toko'!$E:$E,0)),"")</f>
        <v>GRSM 6</v>
      </c>
      <c r="E4652" s="20" t="str">
        <f>IFERROR(VLOOKUP(I4652,KET!$B:$F,4,0),"")</f>
        <v>MARTIKA MINTOROWATI</v>
      </c>
      <c r="F4652" s="20" t="str">
        <f>IFERROR(VLOOKUP($I4648,KET!$B:$F,5,0),"")</f>
        <v>GMM</v>
      </c>
      <c r="G4652" s="20">
        <f>IFERROR(INDEX('Kode Outlet dan Target Toko'!$C:$C,MATCH($I4648,'Kode Outlet dan Target Toko'!$E:$E,0)),0)</f>
        <v>211161</v>
      </c>
      <c r="H4652" s="20">
        <f>IFERROR(INDEX('Kode Outlet dan Target Toko'!$D:$D,MATCH($I4648,'Kode Outlet dan Target Toko'!$E:$E,0)),0)</f>
        <v>710355</v>
      </c>
      <c r="I4652" s="42" t="s">
        <v>91</v>
      </c>
      <c r="J4652" s="45" t="s">
        <v>217</v>
      </c>
      <c r="K4652" s="53" t="s">
        <v>14</v>
      </c>
      <c r="L4652" s="23">
        <v>2850</v>
      </c>
      <c r="M4652" s="24">
        <v>70</v>
      </c>
      <c r="N4652" s="25">
        <f t="shared" si="145"/>
        <v>199500</v>
      </c>
      <c r="O4652" s="24"/>
    </row>
    <row r="4653" spans="1:15" hidden="1" x14ac:dyDescent="0.3">
      <c r="A4653" s="24">
        <v>34</v>
      </c>
      <c r="B4653" s="20" t="str">
        <f t="shared" si="146"/>
        <v>AUG</v>
      </c>
      <c r="C4653" s="21">
        <v>46256</v>
      </c>
      <c r="D4653" s="22" t="str">
        <f>IFERROR(INDEX('Kode Outlet dan Target Toko'!$A:$A,MATCH($I4649,'Kode Outlet dan Target Toko'!$E:$E,0)),"")</f>
        <v>GRSM 6</v>
      </c>
      <c r="E4653" s="20" t="str">
        <f>IFERROR(VLOOKUP(I4653,KET!$B:$F,4,0),"")</f>
        <v>MARTIKA MINTOROWATI</v>
      </c>
      <c r="F4653" s="20" t="str">
        <f>IFERROR(VLOOKUP($I4649,KET!$B:$F,5,0),"")</f>
        <v>GMM</v>
      </c>
      <c r="G4653" s="20">
        <f>IFERROR(INDEX('Kode Outlet dan Target Toko'!$C:$C,MATCH($I4649,'Kode Outlet dan Target Toko'!$E:$E,0)),0)</f>
        <v>211161</v>
      </c>
      <c r="H4653" s="20">
        <f>IFERROR(INDEX('Kode Outlet dan Target Toko'!$D:$D,MATCH($I4649,'Kode Outlet dan Target Toko'!$E:$E,0)),0)</f>
        <v>710355</v>
      </c>
      <c r="I4653" s="42" t="s">
        <v>91</v>
      </c>
      <c r="J4653" s="45" t="s">
        <v>217</v>
      </c>
      <c r="K4653" s="53" t="s">
        <v>13</v>
      </c>
      <c r="L4653" s="23">
        <v>2850</v>
      </c>
      <c r="M4653" s="24">
        <v>24</v>
      </c>
      <c r="N4653" s="25">
        <f t="shared" si="145"/>
        <v>68400</v>
      </c>
      <c r="O4653" s="24"/>
    </row>
    <row r="4654" spans="1:15" hidden="1" x14ac:dyDescent="0.3">
      <c r="A4654" s="24">
        <v>34</v>
      </c>
      <c r="B4654" s="20" t="str">
        <f t="shared" si="146"/>
        <v>AUG</v>
      </c>
      <c r="C4654" s="21">
        <v>46256</v>
      </c>
      <c r="D4654" s="22" t="str">
        <f>IFERROR(INDEX('Kode Outlet dan Target Toko'!$A:$A,MATCH($I4650,'Kode Outlet dan Target Toko'!$E:$E,0)),"")</f>
        <v>GRSM 6</v>
      </c>
      <c r="E4654" s="20" t="str">
        <f>IFERROR(VLOOKUP(I4654,KET!$B:$F,4,0),"")</f>
        <v>MARTIKA MINTOROWATI</v>
      </c>
      <c r="F4654" s="20" t="str">
        <f>IFERROR(VLOOKUP($I4650,KET!$B:$F,5,0),"")</f>
        <v>GMM</v>
      </c>
      <c r="G4654" s="20">
        <f>IFERROR(INDEX('Kode Outlet dan Target Toko'!$C:$C,MATCH($I4650,'Kode Outlet dan Target Toko'!$E:$E,0)),0)</f>
        <v>211161</v>
      </c>
      <c r="H4654" s="20">
        <f>IFERROR(INDEX('Kode Outlet dan Target Toko'!$D:$D,MATCH($I4650,'Kode Outlet dan Target Toko'!$E:$E,0)),0)</f>
        <v>710355</v>
      </c>
      <c r="I4654" s="42" t="s">
        <v>91</v>
      </c>
      <c r="J4654" s="45" t="s">
        <v>217</v>
      </c>
      <c r="K4654" s="53" t="s">
        <v>16</v>
      </c>
      <c r="L4654" s="23">
        <v>2850</v>
      </c>
      <c r="M4654" s="24">
        <v>296</v>
      </c>
      <c r="N4654" s="25">
        <f t="shared" si="145"/>
        <v>843600</v>
      </c>
      <c r="O4654" s="24"/>
    </row>
    <row r="4655" spans="1:15" hidden="1" x14ac:dyDescent="0.3">
      <c r="A4655" s="24">
        <v>34</v>
      </c>
      <c r="B4655" s="20" t="str">
        <f t="shared" si="146"/>
        <v>AUG</v>
      </c>
      <c r="C4655" s="21">
        <v>46256</v>
      </c>
      <c r="D4655" s="22" t="str">
        <f>IFERROR(INDEX('Kode Outlet dan Target Toko'!$A:$A,MATCH($I4651,'Kode Outlet dan Target Toko'!$E:$E,0)),"")</f>
        <v>GRSM 6</v>
      </c>
      <c r="E4655" s="20" t="str">
        <f>IFERROR(VLOOKUP(I4655,KET!$B:$F,4,0),"")</f>
        <v>MARTIKA MINTOROWATI</v>
      </c>
      <c r="F4655" s="20" t="str">
        <f>IFERROR(VLOOKUP($I4651,KET!$B:$F,5,0),"")</f>
        <v>GMM</v>
      </c>
      <c r="G4655" s="20">
        <f>IFERROR(INDEX('Kode Outlet dan Target Toko'!$C:$C,MATCH($I4651,'Kode Outlet dan Target Toko'!$E:$E,0)),0)</f>
        <v>211161</v>
      </c>
      <c r="H4655" s="20">
        <f>IFERROR(INDEX('Kode Outlet dan Target Toko'!$D:$D,MATCH($I4651,'Kode Outlet dan Target Toko'!$E:$E,0)),0)</f>
        <v>7103</v>
      </c>
      <c r="I4655" s="42" t="s">
        <v>91</v>
      </c>
      <c r="J4655" s="45" t="s">
        <v>216</v>
      </c>
      <c r="K4655" s="53" t="s">
        <v>15</v>
      </c>
      <c r="L4655" s="23">
        <v>2850</v>
      </c>
      <c r="M4655" s="24">
        <v>105</v>
      </c>
      <c r="N4655" s="25">
        <f t="shared" si="145"/>
        <v>299250</v>
      </c>
      <c r="O4655" s="24"/>
    </row>
    <row r="4656" spans="1:15" hidden="1" x14ac:dyDescent="0.3">
      <c r="A4656" s="24">
        <v>34</v>
      </c>
      <c r="B4656" s="20" t="str">
        <f t="shared" si="146"/>
        <v>AUG</v>
      </c>
      <c r="C4656" s="21">
        <v>46256</v>
      </c>
      <c r="D4656" s="22" t="str">
        <f>IFERROR(INDEX('Kode Outlet dan Target Toko'!$A:$A,MATCH($I4652,'Kode Outlet dan Target Toko'!$E:$E,0)),"")</f>
        <v>GRSM 6</v>
      </c>
      <c r="E4656" s="20" t="str">
        <f>IFERROR(VLOOKUP(I4656,KET!$B:$F,4,0),"")</f>
        <v>MARTIKA MINTOROWATI</v>
      </c>
      <c r="F4656" s="20" t="str">
        <f>IFERROR(VLOOKUP($I4652,KET!$B:$F,5,0),"")</f>
        <v>GMM</v>
      </c>
      <c r="G4656" s="20">
        <f>IFERROR(INDEX('Kode Outlet dan Target Toko'!$C:$C,MATCH($I4652,'Kode Outlet dan Target Toko'!$E:$E,0)),0)</f>
        <v>211161</v>
      </c>
      <c r="H4656" s="20">
        <f>IFERROR(INDEX('Kode Outlet dan Target Toko'!$D:$D,MATCH($I4652,'Kode Outlet dan Target Toko'!$E:$E,0)),0)</f>
        <v>7103</v>
      </c>
      <c r="I4656" s="42" t="s">
        <v>91</v>
      </c>
      <c r="J4656" s="45" t="s">
        <v>216</v>
      </c>
      <c r="K4656" s="53" t="s">
        <v>14</v>
      </c>
      <c r="L4656" s="23">
        <v>2850</v>
      </c>
      <c r="M4656" s="24">
        <v>70</v>
      </c>
      <c r="N4656" s="25">
        <f t="shared" si="145"/>
        <v>199500</v>
      </c>
      <c r="O4656" s="24"/>
    </row>
    <row r="4657" spans="1:15" hidden="1" x14ac:dyDescent="0.3">
      <c r="A4657" s="24">
        <v>34</v>
      </c>
      <c r="B4657" s="20" t="str">
        <f t="shared" si="146"/>
        <v>AUG</v>
      </c>
      <c r="C4657" s="21">
        <v>46256</v>
      </c>
      <c r="D4657" s="22" t="str">
        <f>IFERROR(INDEX('Kode Outlet dan Target Toko'!$A:$A,MATCH($I4653,'Kode Outlet dan Target Toko'!$E:$E,0)),"")</f>
        <v>GRSM 6</v>
      </c>
      <c r="E4657" s="20" t="str">
        <f>IFERROR(VLOOKUP(I4657,KET!$B:$F,4,0),"")</f>
        <v>MARTIKA MINTOROWATI</v>
      </c>
      <c r="F4657" s="20" t="str">
        <f>IFERROR(VLOOKUP($I4653,KET!$B:$F,5,0),"")</f>
        <v>GMM</v>
      </c>
      <c r="G4657" s="20">
        <f>IFERROR(INDEX('Kode Outlet dan Target Toko'!$C:$C,MATCH($I4653,'Kode Outlet dan Target Toko'!$E:$E,0)),0)</f>
        <v>211161</v>
      </c>
      <c r="H4657" s="20">
        <f>IFERROR(INDEX('Kode Outlet dan Target Toko'!$D:$D,MATCH($I4653,'Kode Outlet dan Target Toko'!$E:$E,0)),0)</f>
        <v>7103</v>
      </c>
      <c r="I4657" s="42" t="s">
        <v>91</v>
      </c>
      <c r="J4657" s="45" t="s">
        <v>216</v>
      </c>
      <c r="K4657" s="53" t="s">
        <v>13</v>
      </c>
      <c r="L4657" s="23">
        <v>2850</v>
      </c>
      <c r="M4657" s="24">
        <v>24</v>
      </c>
      <c r="N4657" s="25">
        <f t="shared" si="145"/>
        <v>68400</v>
      </c>
      <c r="O4657" s="24"/>
    </row>
    <row r="4658" spans="1:15" hidden="1" x14ac:dyDescent="0.3">
      <c r="A4658" s="24">
        <v>34</v>
      </c>
      <c r="B4658" s="20" t="str">
        <f t="shared" si="146"/>
        <v>AUG</v>
      </c>
      <c r="C4658" s="21">
        <v>46256</v>
      </c>
      <c r="D4658" s="22" t="str">
        <f>IFERROR(INDEX('Kode Outlet dan Target Toko'!$A:$A,MATCH($I4654,'Kode Outlet dan Target Toko'!$E:$E,0)),"")</f>
        <v>GRSM 6</v>
      </c>
      <c r="E4658" s="20" t="str">
        <f>IFERROR(VLOOKUP(I4658,KET!$B:$F,4,0),"")</f>
        <v>MARTIKA MINTOROWATI</v>
      </c>
      <c r="F4658" s="20" t="str">
        <f>IFERROR(VLOOKUP($I4654,KET!$B:$F,5,0),"")</f>
        <v>GMM</v>
      </c>
      <c r="G4658" s="20">
        <f>IFERROR(INDEX('Kode Outlet dan Target Toko'!$C:$C,MATCH($I4654,'Kode Outlet dan Target Toko'!$E:$E,0)),0)</f>
        <v>211161</v>
      </c>
      <c r="H4658" s="20">
        <f>IFERROR(INDEX('Kode Outlet dan Target Toko'!$D:$D,MATCH($I4654,'Kode Outlet dan Target Toko'!$E:$E,0)),0)</f>
        <v>7103</v>
      </c>
      <c r="I4658" s="42" t="s">
        <v>91</v>
      </c>
      <c r="J4658" s="45" t="s">
        <v>216</v>
      </c>
      <c r="K4658" s="53" t="s">
        <v>16</v>
      </c>
      <c r="L4658" s="23">
        <v>2850</v>
      </c>
      <c r="M4658" s="24">
        <v>296</v>
      </c>
      <c r="N4658" s="25">
        <f t="shared" si="145"/>
        <v>843600</v>
      </c>
      <c r="O4658" s="24"/>
    </row>
    <row r="4659" spans="1:15" hidden="1" x14ac:dyDescent="0.3">
      <c r="A4659" s="24">
        <v>34</v>
      </c>
      <c r="B4659" s="20" t="str">
        <f t="shared" si="146"/>
        <v>AUG</v>
      </c>
      <c r="C4659" s="21">
        <v>46256</v>
      </c>
      <c r="D4659" s="22" t="str">
        <f>IFERROR(INDEX('Kode Outlet dan Target Toko'!$A:$A,MATCH($I4655,'Kode Outlet dan Target Toko'!$E:$E,0)),"")</f>
        <v>GRSM 6</v>
      </c>
      <c r="E4659" s="20" t="str">
        <f>IFERROR(VLOOKUP(I4659,KET!$B:$F,4,0),"")</f>
        <v>MARTIKA MINTOROWATI</v>
      </c>
      <c r="F4659" s="20" t="str">
        <f>IFERROR(VLOOKUP($I4655,KET!$B:$F,5,0),"")</f>
        <v>GMM</v>
      </c>
      <c r="G4659" s="20">
        <f>IFERROR(INDEX('Kode Outlet dan Target Toko'!$C:$C,MATCH($I4655,'Kode Outlet dan Target Toko'!$E:$E,0)),0)</f>
        <v>211161</v>
      </c>
      <c r="H4659" s="20">
        <f>IFERROR(INDEX('Kode Outlet dan Target Toko'!$D:$D,MATCH($I4655,'Kode Outlet dan Target Toko'!$E:$E,0)),0)</f>
        <v>7103</v>
      </c>
      <c r="I4659" s="41" t="s">
        <v>113</v>
      </c>
      <c r="J4659" s="45" t="s">
        <v>225</v>
      </c>
      <c r="K4659" s="53" t="s">
        <v>15</v>
      </c>
      <c r="L4659" s="23">
        <v>1953</v>
      </c>
      <c r="M4659" s="24">
        <v>53</v>
      </c>
      <c r="N4659" s="25">
        <f t="shared" si="145"/>
        <v>103509</v>
      </c>
      <c r="O4659" s="24"/>
    </row>
    <row r="4660" spans="1:15" hidden="1" x14ac:dyDescent="0.3">
      <c r="A4660" s="24">
        <v>34</v>
      </c>
      <c r="B4660" s="20" t="str">
        <f t="shared" si="146"/>
        <v>AUG</v>
      </c>
      <c r="C4660" s="21">
        <v>46256</v>
      </c>
      <c r="D4660" s="22" t="str">
        <f>IFERROR(INDEX('Kode Outlet dan Target Toko'!$A:$A,MATCH($I4656,'Kode Outlet dan Target Toko'!$E:$E,0)),"")</f>
        <v>GRSM 6</v>
      </c>
      <c r="E4660" s="20" t="str">
        <f>IFERROR(VLOOKUP(I4660,KET!$B:$F,4,0),"")</f>
        <v>MARTIKA MINTOROWATI</v>
      </c>
      <c r="F4660" s="20" t="str">
        <f>IFERROR(VLOOKUP($I4656,KET!$B:$F,5,0),"")</f>
        <v>GMM</v>
      </c>
      <c r="G4660" s="20">
        <f>IFERROR(INDEX('Kode Outlet dan Target Toko'!$C:$C,MATCH($I4656,'Kode Outlet dan Target Toko'!$E:$E,0)),0)</f>
        <v>211161</v>
      </c>
      <c r="H4660" s="20">
        <f>IFERROR(INDEX('Kode Outlet dan Target Toko'!$D:$D,MATCH($I4656,'Kode Outlet dan Target Toko'!$E:$E,0)),0)</f>
        <v>7103</v>
      </c>
      <c r="I4660" s="41" t="s">
        <v>113</v>
      </c>
      <c r="J4660" s="45" t="s">
        <v>225</v>
      </c>
      <c r="K4660" s="53" t="s">
        <v>14</v>
      </c>
      <c r="L4660" s="23">
        <v>1953</v>
      </c>
      <c r="M4660" s="24">
        <v>67</v>
      </c>
      <c r="N4660" s="25">
        <f t="shared" si="145"/>
        <v>130851</v>
      </c>
      <c r="O4660" s="24"/>
    </row>
    <row r="4661" spans="1:15" hidden="1" x14ac:dyDescent="0.3">
      <c r="A4661" s="24">
        <v>34</v>
      </c>
      <c r="B4661" s="20" t="str">
        <f t="shared" si="146"/>
        <v>AUG</v>
      </c>
      <c r="C4661" s="21">
        <v>46256</v>
      </c>
      <c r="D4661" s="22" t="str">
        <f>IFERROR(INDEX('Kode Outlet dan Target Toko'!$A:$A,MATCH($I4657,'Kode Outlet dan Target Toko'!$E:$E,0)),"")</f>
        <v>GRSM 6</v>
      </c>
      <c r="E4661" s="20" t="str">
        <f>IFERROR(VLOOKUP(I4661,KET!$B:$F,4,0),"")</f>
        <v>MARTIKA MINTOROWATI</v>
      </c>
      <c r="F4661" s="20" t="str">
        <f>IFERROR(VLOOKUP($I4657,KET!$B:$F,5,0),"")</f>
        <v>GMM</v>
      </c>
      <c r="G4661" s="20">
        <f>IFERROR(INDEX('Kode Outlet dan Target Toko'!$C:$C,MATCH($I4657,'Kode Outlet dan Target Toko'!$E:$E,0)),0)</f>
        <v>211161</v>
      </c>
      <c r="H4661" s="20">
        <f>IFERROR(INDEX('Kode Outlet dan Target Toko'!$D:$D,MATCH($I4657,'Kode Outlet dan Target Toko'!$E:$E,0)),0)</f>
        <v>7103</v>
      </c>
      <c r="I4661" s="41" t="s">
        <v>113</v>
      </c>
      <c r="J4661" s="45" t="s">
        <v>225</v>
      </c>
      <c r="K4661" s="53" t="s">
        <v>13</v>
      </c>
      <c r="L4661" s="23">
        <v>1953</v>
      </c>
      <c r="M4661" s="24">
        <v>11</v>
      </c>
      <c r="N4661" s="25">
        <f t="shared" si="145"/>
        <v>21483</v>
      </c>
      <c r="O4661" s="24"/>
    </row>
    <row r="4662" spans="1:15" hidden="1" x14ac:dyDescent="0.3">
      <c r="A4662" s="24">
        <v>34</v>
      </c>
      <c r="B4662" s="20" t="str">
        <f t="shared" si="146"/>
        <v>AUG</v>
      </c>
      <c r="C4662" s="21">
        <v>46256</v>
      </c>
      <c r="D4662" s="22" t="str">
        <f>IFERROR(INDEX('Kode Outlet dan Target Toko'!$A:$A,MATCH($I4658,'Kode Outlet dan Target Toko'!$E:$E,0)),"")</f>
        <v>GRSM 6</v>
      </c>
      <c r="E4662" s="20" t="str">
        <f>IFERROR(VLOOKUP(I4662,KET!$B:$F,4,0),"")</f>
        <v>MARTIKA MINTOROWATI</v>
      </c>
      <c r="F4662" s="20" t="str">
        <f>IFERROR(VLOOKUP($I4658,KET!$B:$F,5,0),"")</f>
        <v>GMM</v>
      </c>
      <c r="G4662" s="20">
        <f>IFERROR(INDEX('Kode Outlet dan Target Toko'!$C:$C,MATCH($I4658,'Kode Outlet dan Target Toko'!$E:$E,0)),0)</f>
        <v>211161</v>
      </c>
      <c r="H4662" s="20">
        <f>IFERROR(INDEX('Kode Outlet dan Target Toko'!$D:$D,MATCH($I4658,'Kode Outlet dan Target Toko'!$E:$E,0)),0)</f>
        <v>7103</v>
      </c>
      <c r="I4662" s="41" t="s">
        <v>113</v>
      </c>
      <c r="J4662" s="45" t="s">
        <v>225</v>
      </c>
      <c r="K4662" s="53" t="s">
        <v>16</v>
      </c>
      <c r="L4662" s="23">
        <v>1953</v>
      </c>
      <c r="M4662" s="24">
        <v>133</v>
      </c>
      <c r="N4662" s="25">
        <f t="shared" si="145"/>
        <v>259749</v>
      </c>
      <c r="O4662" s="24">
        <v>150</v>
      </c>
    </row>
    <row r="4663" spans="1:15" hidden="1" x14ac:dyDescent="0.3">
      <c r="A4663" s="24">
        <v>34</v>
      </c>
      <c r="B4663" s="20" t="str">
        <f t="shared" si="146"/>
        <v>AUG</v>
      </c>
      <c r="C4663" s="21">
        <v>46256</v>
      </c>
      <c r="D4663" s="22" t="str">
        <f>IFERROR(INDEX('Kode Outlet dan Target Toko'!$A:$A,MATCH($I4659,'Kode Outlet dan Target Toko'!$E:$E,0)),"")</f>
        <v>GRSM 6</v>
      </c>
      <c r="E4663" s="20" t="str">
        <f>IFERROR(VLOOKUP(I4663,KET!$B:$F,4,0),"")</f>
        <v>MARTIKA MINTOROWATI</v>
      </c>
      <c r="F4663" s="20" t="str">
        <f>IFERROR(VLOOKUP($I4659,KET!$B:$F,5,0),"")</f>
        <v>GMM</v>
      </c>
      <c r="G4663" s="20">
        <f>IFERROR(INDEX('Kode Outlet dan Target Toko'!$C:$C,MATCH($I4659,'Kode Outlet dan Target Toko'!$E:$E,0)),0)</f>
        <v>211030</v>
      </c>
      <c r="H4663" s="20">
        <f>IFERROR(INDEX('Kode Outlet dan Target Toko'!$D:$D,MATCH($I4659,'Kode Outlet dan Target Toko'!$E:$E,0)),0)</f>
        <v>5765035</v>
      </c>
      <c r="I4663" s="42" t="s">
        <v>145</v>
      </c>
      <c r="J4663" s="45" t="s">
        <v>221</v>
      </c>
      <c r="K4663" s="53" t="s">
        <v>15</v>
      </c>
      <c r="L4663" s="23">
        <v>2900</v>
      </c>
      <c r="M4663" s="24">
        <v>26</v>
      </c>
      <c r="N4663" s="25">
        <f t="shared" si="145"/>
        <v>75400</v>
      </c>
      <c r="O4663" s="24"/>
    </row>
    <row r="4664" spans="1:15" hidden="1" x14ac:dyDescent="0.3">
      <c r="A4664" s="24">
        <v>34</v>
      </c>
      <c r="B4664" s="20" t="str">
        <f t="shared" si="146"/>
        <v>AUG</v>
      </c>
      <c r="C4664" s="21">
        <v>46256</v>
      </c>
      <c r="D4664" s="22" t="str">
        <f>IFERROR(INDEX('Kode Outlet dan Target Toko'!$A:$A,MATCH($I4660,'Kode Outlet dan Target Toko'!$E:$E,0)),"")</f>
        <v>GRSM 6</v>
      </c>
      <c r="E4664" s="20" t="str">
        <f>IFERROR(VLOOKUP(I4664,KET!$B:$F,4,0),"")</f>
        <v>MARTIKA MINTOROWATI</v>
      </c>
      <c r="F4664" s="20" t="str">
        <f>IFERROR(VLOOKUP($I4660,KET!$B:$F,5,0),"")</f>
        <v>GMM</v>
      </c>
      <c r="G4664" s="20">
        <f>IFERROR(INDEX('Kode Outlet dan Target Toko'!$C:$C,MATCH($I4660,'Kode Outlet dan Target Toko'!$E:$E,0)),0)</f>
        <v>211030</v>
      </c>
      <c r="H4664" s="20">
        <f>IFERROR(INDEX('Kode Outlet dan Target Toko'!$D:$D,MATCH($I4660,'Kode Outlet dan Target Toko'!$E:$E,0)),0)</f>
        <v>5765035</v>
      </c>
      <c r="I4664" s="42" t="s">
        <v>145</v>
      </c>
      <c r="J4664" s="45" t="s">
        <v>221</v>
      </c>
      <c r="K4664" s="53" t="s">
        <v>14</v>
      </c>
      <c r="L4664" s="23">
        <v>2900</v>
      </c>
      <c r="M4664" s="24">
        <v>42</v>
      </c>
      <c r="N4664" s="25">
        <f t="shared" si="145"/>
        <v>121800</v>
      </c>
      <c r="O4664" s="24"/>
    </row>
    <row r="4665" spans="1:15" hidden="1" x14ac:dyDescent="0.3">
      <c r="A4665" s="24">
        <v>34</v>
      </c>
      <c r="B4665" s="20" t="str">
        <f t="shared" si="146"/>
        <v>AUG</v>
      </c>
      <c r="C4665" s="21">
        <v>46256</v>
      </c>
      <c r="D4665" s="22" t="str">
        <f>IFERROR(INDEX('Kode Outlet dan Target Toko'!$A:$A,MATCH($I4661,'Kode Outlet dan Target Toko'!$E:$E,0)),"")</f>
        <v>GRSM 6</v>
      </c>
      <c r="E4665" s="20" t="str">
        <f>IFERROR(VLOOKUP(I4665,KET!$B:$F,4,0),"")</f>
        <v>MARTIKA MINTOROWATI</v>
      </c>
      <c r="F4665" s="20" t="str">
        <f>IFERROR(VLOOKUP($I4661,KET!$B:$F,5,0),"")</f>
        <v>GMM</v>
      </c>
      <c r="G4665" s="20">
        <f>IFERROR(INDEX('Kode Outlet dan Target Toko'!$C:$C,MATCH($I4661,'Kode Outlet dan Target Toko'!$E:$E,0)),0)</f>
        <v>211030</v>
      </c>
      <c r="H4665" s="20">
        <f>IFERROR(INDEX('Kode Outlet dan Target Toko'!$D:$D,MATCH($I4661,'Kode Outlet dan Target Toko'!$E:$E,0)),0)</f>
        <v>5765035</v>
      </c>
      <c r="I4665" s="42" t="s">
        <v>145</v>
      </c>
      <c r="J4665" s="45" t="s">
        <v>221</v>
      </c>
      <c r="K4665" s="53" t="s">
        <v>13</v>
      </c>
      <c r="L4665" s="23">
        <v>2900</v>
      </c>
      <c r="M4665" s="24">
        <v>35</v>
      </c>
      <c r="N4665" s="25">
        <f t="shared" si="145"/>
        <v>101500</v>
      </c>
      <c r="O4665" s="24"/>
    </row>
    <row r="4666" spans="1:15" hidden="1" x14ac:dyDescent="0.3">
      <c r="A4666" s="24">
        <v>34</v>
      </c>
      <c r="B4666" s="20" t="str">
        <f t="shared" si="146"/>
        <v>AUG</v>
      </c>
      <c r="C4666" s="21">
        <v>46256</v>
      </c>
      <c r="D4666" s="22" t="str">
        <f>IFERROR(INDEX('Kode Outlet dan Target Toko'!$A:$A,MATCH($I4662,'Kode Outlet dan Target Toko'!$E:$E,0)),"")</f>
        <v>GRSM 6</v>
      </c>
      <c r="E4666" s="20" t="str">
        <f>IFERROR(VLOOKUP(I4666,KET!$B:$F,4,0),"")</f>
        <v>MARTIKA MINTOROWATI</v>
      </c>
      <c r="F4666" s="20" t="str">
        <f>IFERROR(VLOOKUP($I4662,KET!$B:$F,5,0),"")</f>
        <v>GMM</v>
      </c>
      <c r="G4666" s="20">
        <f>IFERROR(INDEX('Kode Outlet dan Target Toko'!$C:$C,MATCH($I4662,'Kode Outlet dan Target Toko'!$E:$E,0)),0)</f>
        <v>211030</v>
      </c>
      <c r="H4666" s="20">
        <f>IFERROR(INDEX('Kode Outlet dan Target Toko'!$D:$D,MATCH($I4662,'Kode Outlet dan Target Toko'!$E:$E,0)),0)</f>
        <v>5765035</v>
      </c>
      <c r="I4666" s="42" t="s">
        <v>145</v>
      </c>
      <c r="J4666" s="45" t="s">
        <v>221</v>
      </c>
      <c r="K4666" s="53" t="s">
        <v>16</v>
      </c>
      <c r="L4666" s="23">
        <v>2900</v>
      </c>
      <c r="M4666" s="24">
        <v>64</v>
      </c>
      <c r="N4666" s="25">
        <f t="shared" si="145"/>
        <v>185600</v>
      </c>
      <c r="O4666" s="24">
        <v>190</v>
      </c>
    </row>
    <row r="4667" spans="1:15" hidden="1" x14ac:dyDescent="0.3">
      <c r="A4667" s="24">
        <v>34</v>
      </c>
      <c r="B4667" s="20" t="str">
        <f t="shared" si="146"/>
        <v>AUG</v>
      </c>
      <c r="C4667" s="21">
        <v>46256</v>
      </c>
      <c r="D4667" s="22" t="str">
        <f>IFERROR(INDEX('Kode Outlet dan Target Toko'!$A:$A,MATCH($I4663,'Kode Outlet dan Target Toko'!$E:$E,0)),"")</f>
        <v>GRSM 6</v>
      </c>
      <c r="E4667" s="20" t="str">
        <f>IFERROR(VLOOKUP(I4667,KET!$B:$F,4,0),"")</f>
        <v>MARTIKA MINTOROWATI</v>
      </c>
      <c r="F4667" s="20" t="str">
        <f>IFERROR(VLOOKUP($I4663,KET!$B:$F,5,0),"")</f>
        <v>GMM</v>
      </c>
      <c r="G4667" s="20">
        <f>IFERROR(INDEX('Kode Outlet dan Target Toko'!$C:$C,MATCH($I4663,'Kode Outlet dan Target Toko'!$E:$E,0)),0)</f>
        <v>211181</v>
      </c>
      <c r="H4667" s="20">
        <f>IFERROR(INDEX('Kode Outlet dan Target Toko'!$D:$D,MATCH($I4667,'Kode Outlet dan Target Toko'!$E:$E,0)),0)</f>
        <v>710355</v>
      </c>
      <c r="I4667" s="41" t="s">
        <v>97</v>
      </c>
      <c r="J4667" s="56" t="s">
        <v>223</v>
      </c>
      <c r="K4667" s="53" t="s">
        <v>15</v>
      </c>
      <c r="L4667" s="23">
        <v>6201</v>
      </c>
      <c r="M4667" s="24">
        <v>24</v>
      </c>
      <c r="N4667" s="25">
        <f t="shared" si="145"/>
        <v>148824</v>
      </c>
      <c r="O4667" s="24"/>
    </row>
    <row r="4668" spans="1:15" hidden="1" x14ac:dyDescent="0.3">
      <c r="A4668" s="24">
        <v>34</v>
      </c>
      <c r="B4668" s="20" t="str">
        <f t="shared" si="146"/>
        <v>AUG</v>
      </c>
      <c r="C4668" s="21">
        <v>46256</v>
      </c>
      <c r="D4668" s="22" t="str">
        <f>IFERROR(INDEX('Kode Outlet dan Target Toko'!$A:$A,MATCH($I4664,'Kode Outlet dan Target Toko'!$E:$E,0)),"")</f>
        <v>GRSM 6</v>
      </c>
      <c r="E4668" s="20" t="str">
        <f>IFERROR(VLOOKUP(I4668,KET!$B:$F,4,0),"")</f>
        <v>MARTIKA MINTOROWATI</v>
      </c>
      <c r="F4668" s="20" t="str">
        <f>IFERROR(VLOOKUP($I4664,KET!$B:$F,5,0),"")</f>
        <v>GMM</v>
      </c>
      <c r="G4668" s="20">
        <f>IFERROR(INDEX('Kode Outlet dan Target Toko'!$C:$C,MATCH($I4664,'Kode Outlet dan Target Toko'!$E:$E,0)),0)</f>
        <v>211181</v>
      </c>
      <c r="H4668" s="20">
        <f>IFERROR(INDEX('Kode Outlet dan Target Toko'!$D:$D,MATCH($I4668,'Kode Outlet dan Target Toko'!$E:$E,0)),0)</f>
        <v>710355</v>
      </c>
      <c r="I4668" s="41" t="s">
        <v>97</v>
      </c>
      <c r="J4668" s="56" t="s">
        <v>223</v>
      </c>
      <c r="K4668" s="53" t="s">
        <v>14</v>
      </c>
      <c r="L4668" s="23">
        <v>6201</v>
      </c>
      <c r="M4668" s="24">
        <v>0</v>
      </c>
      <c r="N4668" s="25">
        <f t="shared" si="145"/>
        <v>0</v>
      </c>
      <c r="O4668" s="24"/>
    </row>
    <row r="4669" spans="1:15" hidden="1" x14ac:dyDescent="0.3">
      <c r="A4669" s="24">
        <v>34</v>
      </c>
      <c r="B4669" s="20" t="str">
        <f t="shared" si="146"/>
        <v>AUG</v>
      </c>
      <c r="C4669" s="21">
        <v>46256</v>
      </c>
      <c r="D4669" s="22" t="str">
        <f>IFERROR(INDEX('Kode Outlet dan Target Toko'!$A:$A,MATCH($I4665,'Kode Outlet dan Target Toko'!$E:$E,0)),"")</f>
        <v>GRSM 6</v>
      </c>
      <c r="E4669" s="20" t="str">
        <f>IFERROR(VLOOKUP(I4669,KET!$B:$F,4,0),"")</f>
        <v>MARTIKA MINTOROWATI</v>
      </c>
      <c r="F4669" s="20" t="str">
        <f>IFERROR(VLOOKUP($I4665,KET!$B:$F,5,0),"")</f>
        <v>GMM</v>
      </c>
      <c r="G4669" s="20">
        <f>IFERROR(INDEX('Kode Outlet dan Target Toko'!$C:$C,MATCH($I4665,'Kode Outlet dan Target Toko'!$E:$E,0)),0)</f>
        <v>211181</v>
      </c>
      <c r="H4669" s="20">
        <f>IFERROR(INDEX('Kode Outlet dan Target Toko'!$D:$D,MATCH($I4669,'Kode Outlet dan Target Toko'!$E:$E,0)),0)</f>
        <v>710355</v>
      </c>
      <c r="I4669" s="41" t="s">
        <v>97</v>
      </c>
      <c r="J4669" s="56" t="s">
        <v>223</v>
      </c>
      <c r="K4669" s="53" t="s">
        <v>13</v>
      </c>
      <c r="L4669" s="23">
        <v>6201</v>
      </c>
      <c r="M4669" s="24">
        <v>27</v>
      </c>
      <c r="N4669" s="25">
        <f t="shared" si="145"/>
        <v>167427</v>
      </c>
      <c r="O4669" s="24"/>
    </row>
    <row r="4670" spans="1:15" hidden="1" x14ac:dyDescent="0.3">
      <c r="A4670" s="24">
        <v>34</v>
      </c>
      <c r="B4670" s="20" t="str">
        <f t="shared" si="146"/>
        <v>AUG</v>
      </c>
      <c r="C4670" s="21">
        <v>46256</v>
      </c>
      <c r="D4670" s="22" t="str">
        <f>IFERROR(INDEX('Kode Outlet dan Target Toko'!$A:$A,MATCH($I4666,'Kode Outlet dan Target Toko'!$E:$E,0)),"")</f>
        <v>GRSM 6</v>
      </c>
      <c r="E4670" s="20" t="str">
        <f>IFERROR(VLOOKUP(I4670,KET!$B:$F,4,0),"")</f>
        <v>MARTIKA MINTOROWATI</v>
      </c>
      <c r="F4670" s="20" t="str">
        <f>IFERROR(VLOOKUP($I4666,KET!$B:$F,5,0),"")</f>
        <v>GMM</v>
      </c>
      <c r="G4670" s="20">
        <f>IFERROR(INDEX('Kode Outlet dan Target Toko'!$C:$C,MATCH($I4666,'Kode Outlet dan Target Toko'!$E:$E,0)),0)</f>
        <v>211181</v>
      </c>
      <c r="H4670" s="20">
        <f>IFERROR(INDEX('Kode Outlet dan Target Toko'!$D:$D,MATCH($I4670,'Kode Outlet dan Target Toko'!$E:$E,0)),0)</f>
        <v>710355</v>
      </c>
      <c r="I4670" s="41" t="s">
        <v>97</v>
      </c>
      <c r="J4670" s="56" t="s">
        <v>223</v>
      </c>
      <c r="K4670" s="53" t="s">
        <v>16</v>
      </c>
      <c r="L4670" s="23">
        <v>6201</v>
      </c>
      <c r="M4670" s="24">
        <v>75</v>
      </c>
      <c r="N4670" s="25">
        <f t="shared" si="145"/>
        <v>465075</v>
      </c>
      <c r="O4670" s="24"/>
    </row>
    <row r="4671" spans="1:15" hidden="1" x14ac:dyDescent="0.3">
      <c r="A4671" s="24">
        <v>34</v>
      </c>
      <c r="B4671" s="20" t="str">
        <f t="shared" si="146"/>
        <v>AUG</v>
      </c>
      <c r="C4671" s="21">
        <v>46256</v>
      </c>
      <c r="D4671" s="22" t="str">
        <f>IFERROR(INDEX('Kode Outlet dan Target Toko'!$A:$A,MATCH($I4667,'Kode Outlet dan Target Toko'!$E:$E,0)),"")</f>
        <v>GRSM 6</v>
      </c>
      <c r="E4671" s="20" t="str">
        <f>IFERROR(VLOOKUP(I4671,KET!$B:$F,4,0),"")</f>
        <v>MARTIKA MINTOROWATI</v>
      </c>
      <c r="F4671" s="20" t="str">
        <f>IFERROR(VLOOKUP($I4667,KET!$B:$F,5,0),"")</f>
        <v>GMM</v>
      </c>
      <c r="G4671" s="20">
        <f>IFERROR(INDEX('Kode Outlet dan Target Toko'!$C:$C,MATCH($I4667,'Kode Outlet dan Target Toko'!$E:$E,0)),0)</f>
        <v>211161</v>
      </c>
      <c r="H4671" s="20">
        <f>IFERROR(INDEX('Kode Outlet dan Target Toko'!$D:$D,MATCH($I4667,'Kode Outlet dan Target Toko'!$E:$E,0)),0)</f>
        <v>710355</v>
      </c>
      <c r="I4671" s="41" t="s">
        <v>113</v>
      </c>
      <c r="J4671" s="45" t="s">
        <v>224</v>
      </c>
      <c r="K4671" s="53" t="s">
        <v>15</v>
      </c>
      <c r="L4671" s="23">
        <v>1953</v>
      </c>
      <c r="M4671" s="24">
        <v>80</v>
      </c>
      <c r="N4671" s="25">
        <f t="shared" si="145"/>
        <v>156240</v>
      </c>
      <c r="O4671" s="24"/>
    </row>
    <row r="4672" spans="1:15" hidden="1" x14ac:dyDescent="0.3">
      <c r="A4672" s="24">
        <v>34</v>
      </c>
      <c r="B4672" s="20" t="str">
        <f t="shared" si="146"/>
        <v>AUG</v>
      </c>
      <c r="C4672" s="21">
        <v>46256</v>
      </c>
      <c r="D4672" s="22" t="str">
        <f>IFERROR(INDEX('Kode Outlet dan Target Toko'!$A:$A,MATCH($I4668,'Kode Outlet dan Target Toko'!$E:$E,0)),"")</f>
        <v>GRSM 6</v>
      </c>
      <c r="E4672" s="20" t="str">
        <f>IFERROR(VLOOKUP(I4672,KET!$B:$F,4,0),"")</f>
        <v>MARTIKA MINTOROWATI</v>
      </c>
      <c r="F4672" s="20" t="str">
        <f>IFERROR(VLOOKUP($I4668,KET!$B:$F,5,0),"")</f>
        <v>GMM</v>
      </c>
      <c r="G4672" s="20">
        <f>IFERROR(INDEX('Kode Outlet dan Target Toko'!$C:$C,MATCH($I4668,'Kode Outlet dan Target Toko'!$E:$E,0)),0)</f>
        <v>211161</v>
      </c>
      <c r="H4672" s="20">
        <f>IFERROR(INDEX('Kode Outlet dan Target Toko'!$D:$D,MATCH($I4668,'Kode Outlet dan Target Toko'!$E:$E,0)),0)</f>
        <v>710355</v>
      </c>
      <c r="I4672" s="41" t="s">
        <v>113</v>
      </c>
      <c r="J4672" s="45" t="s">
        <v>224</v>
      </c>
      <c r="K4672" s="53" t="s">
        <v>14</v>
      </c>
      <c r="L4672" s="23">
        <v>1953</v>
      </c>
      <c r="M4672" s="24">
        <v>72</v>
      </c>
      <c r="N4672" s="25">
        <f t="shared" si="145"/>
        <v>140616</v>
      </c>
      <c r="O4672" s="24"/>
    </row>
    <row r="4673" spans="1:15" hidden="1" x14ac:dyDescent="0.3">
      <c r="A4673" s="24">
        <v>34</v>
      </c>
      <c r="B4673" s="20" t="str">
        <f t="shared" si="146"/>
        <v>AUG</v>
      </c>
      <c r="C4673" s="21">
        <v>46256</v>
      </c>
      <c r="D4673" s="22" t="str">
        <f>IFERROR(INDEX('Kode Outlet dan Target Toko'!$A:$A,MATCH($I4669,'Kode Outlet dan Target Toko'!$E:$E,0)),"")</f>
        <v>GRSM 6</v>
      </c>
      <c r="E4673" s="20" t="str">
        <f>IFERROR(VLOOKUP(I4673,KET!$B:$F,4,0),"")</f>
        <v>MARTIKA MINTOROWATI</v>
      </c>
      <c r="F4673" s="20" t="str">
        <f>IFERROR(VLOOKUP($I4669,KET!$B:$F,5,0),"")</f>
        <v>GMM</v>
      </c>
      <c r="G4673" s="20">
        <f>IFERROR(INDEX('Kode Outlet dan Target Toko'!$C:$C,MATCH($I4669,'Kode Outlet dan Target Toko'!$E:$E,0)),0)</f>
        <v>211161</v>
      </c>
      <c r="H4673" s="20">
        <f>IFERROR(INDEX('Kode Outlet dan Target Toko'!$D:$D,MATCH($I4669,'Kode Outlet dan Target Toko'!$E:$E,0)),0)</f>
        <v>710355</v>
      </c>
      <c r="I4673" s="41" t="s">
        <v>113</v>
      </c>
      <c r="J4673" s="45" t="s">
        <v>224</v>
      </c>
      <c r="K4673" s="53" t="s">
        <v>13</v>
      </c>
      <c r="L4673" s="23">
        <v>1953</v>
      </c>
      <c r="M4673" s="24">
        <v>9</v>
      </c>
      <c r="N4673" s="25">
        <f t="shared" si="145"/>
        <v>17577</v>
      </c>
      <c r="O4673" s="24"/>
    </row>
    <row r="4674" spans="1:15" hidden="1" x14ac:dyDescent="0.3">
      <c r="A4674" s="24">
        <v>34</v>
      </c>
      <c r="B4674" s="20" t="str">
        <f t="shared" si="146"/>
        <v>AUG</v>
      </c>
      <c r="C4674" s="21">
        <v>46256</v>
      </c>
      <c r="D4674" s="22" t="str">
        <f>IFERROR(INDEX('Kode Outlet dan Target Toko'!$A:$A,MATCH($I4670,'Kode Outlet dan Target Toko'!$E:$E,0)),"")</f>
        <v>GRSM 6</v>
      </c>
      <c r="E4674" s="20" t="str">
        <f>IFERROR(VLOOKUP(I4674,KET!$B:$F,4,0),"")</f>
        <v>MARTIKA MINTOROWATI</v>
      </c>
      <c r="F4674" s="20" t="str">
        <f>IFERROR(VLOOKUP($I4670,KET!$B:$F,5,0),"")</f>
        <v>GMM</v>
      </c>
      <c r="G4674" s="20">
        <f>IFERROR(INDEX('Kode Outlet dan Target Toko'!$C:$C,MATCH($I4670,'Kode Outlet dan Target Toko'!$E:$E,0)),0)</f>
        <v>211161</v>
      </c>
      <c r="H4674" s="20">
        <f>IFERROR(INDEX('Kode Outlet dan Target Toko'!$D:$D,MATCH($I4670,'Kode Outlet dan Target Toko'!$E:$E,0)),0)</f>
        <v>710355</v>
      </c>
      <c r="I4674" s="41" t="s">
        <v>113</v>
      </c>
      <c r="J4674" s="45" t="s">
        <v>224</v>
      </c>
      <c r="K4674" s="53" t="s">
        <v>16</v>
      </c>
      <c r="L4674" s="23">
        <v>1953</v>
      </c>
      <c r="M4674" s="24">
        <v>162</v>
      </c>
      <c r="N4674" s="25">
        <f t="shared" si="145"/>
        <v>316386</v>
      </c>
      <c r="O4674" s="24">
        <v>160</v>
      </c>
    </row>
    <row r="4675" spans="1:15" hidden="1" x14ac:dyDescent="0.3">
      <c r="A4675" s="24">
        <v>34</v>
      </c>
      <c r="B4675" s="20" t="str">
        <f t="shared" si="146"/>
        <v>AUG</v>
      </c>
      <c r="C4675" s="21">
        <v>46256</v>
      </c>
      <c r="D4675" s="22" t="str">
        <f>IFERROR(INDEX('Kode Outlet dan Target Toko'!$A:$A,MATCH($I4671,'Kode Outlet dan Target Toko'!$E:$E,0)),"")</f>
        <v>GRSM 6</v>
      </c>
      <c r="E4675" s="20" t="str">
        <f>IFERROR(VLOOKUP(I4675,KET!$B:$F,4,0),"")</f>
        <v>MARTIKA MINTOROWATI</v>
      </c>
      <c r="F4675" s="20" t="str">
        <f>IFERROR(VLOOKUP($I4671,KET!$B:$F,5,0),"")</f>
        <v>GMM</v>
      </c>
      <c r="G4675" s="20">
        <f>IFERROR(INDEX('Kode Outlet dan Target Toko'!$C:$C,MATCH($I4671,'Kode Outlet dan Target Toko'!$E:$E,0)),0)</f>
        <v>211030</v>
      </c>
      <c r="H4675" s="20">
        <f>IFERROR(INDEX('Kode Outlet dan Target Toko'!$D:$D,MATCH($I4671,'Kode Outlet dan Target Toko'!$E:$E,0)),0)</f>
        <v>5765035</v>
      </c>
      <c r="I4675" s="41" t="s">
        <v>97</v>
      </c>
      <c r="J4675" s="45" t="s">
        <v>222</v>
      </c>
      <c r="K4675" s="53" t="s">
        <v>15</v>
      </c>
      <c r="L4675" s="23">
        <v>6201</v>
      </c>
      <c r="M4675" s="24">
        <v>24</v>
      </c>
      <c r="N4675" s="25">
        <f t="shared" si="145"/>
        <v>148824</v>
      </c>
      <c r="O4675" s="24"/>
    </row>
    <row r="4676" spans="1:15" hidden="1" x14ac:dyDescent="0.3">
      <c r="A4676" s="24">
        <v>34</v>
      </c>
      <c r="B4676" s="20" t="str">
        <f t="shared" si="146"/>
        <v>AUG</v>
      </c>
      <c r="C4676" s="21">
        <v>46256</v>
      </c>
      <c r="D4676" s="22" t="str">
        <f>IFERROR(INDEX('Kode Outlet dan Target Toko'!$A:$A,MATCH($I4672,'Kode Outlet dan Target Toko'!$E:$E,0)),"")</f>
        <v>GRSM 6</v>
      </c>
      <c r="E4676" s="20" t="str">
        <f>IFERROR(VLOOKUP(I4676,KET!$B:$F,4,0),"")</f>
        <v>MARTIKA MINTOROWATI</v>
      </c>
      <c r="F4676" s="20" t="str">
        <f>IFERROR(VLOOKUP($I4672,KET!$B:$F,5,0),"")</f>
        <v>GMM</v>
      </c>
      <c r="G4676" s="20">
        <f>IFERROR(INDEX('Kode Outlet dan Target Toko'!$C:$C,MATCH($I4672,'Kode Outlet dan Target Toko'!$E:$E,0)),0)</f>
        <v>211030</v>
      </c>
      <c r="H4676" s="20">
        <f>IFERROR(INDEX('Kode Outlet dan Target Toko'!$D:$D,MATCH($I4672,'Kode Outlet dan Target Toko'!$E:$E,0)),0)</f>
        <v>5765035</v>
      </c>
      <c r="I4676" s="41" t="s">
        <v>97</v>
      </c>
      <c r="J4676" s="45" t="s">
        <v>222</v>
      </c>
      <c r="K4676" s="53" t="s">
        <v>14</v>
      </c>
      <c r="L4676" s="23">
        <v>6201</v>
      </c>
      <c r="M4676" s="24">
        <v>0</v>
      </c>
      <c r="N4676" s="25">
        <f t="shared" si="145"/>
        <v>0</v>
      </c>
      <c r="O4676" s="24"/>
    </row>
    <row r="4677" spans="1:15" hidden="1" x14ac:dyDescent="0.3">
      <c r="A4677" s="24">
        <v>34</v>
      </c>
      <c r="B4677" s="20" t="str">
        <f t="shared" si="146"/>
        <v>AUG</v>
      </c>
      <c r="C4677" s="21">
        <v>46256</v>
      </c>
      <c r="D4677" s="22" t="str">
        <f>IFERROR(INDEX('Kode Outlet dan Target Toko'!$A:$A,MATCH($I4673,'Kode Outlet dan Target Toko'!$E:$E,0)),"")</f>
        <v>GRSM 6</v>
      </c>
      <c r="E4677" s="20" t="str">
        <f>IFERROR(VLOOKUP(I4677,KET!$B:$F,4,0),"")</f>
        <v>MARTIKA MINTOROWATI</v>
      </c>
      <c r="F4677" s="20" t="str">
        <f>IFERROR(VLOOKUP($I4673,KET!$B:$F,5,0),"")</f>
        <v>GMM</v>
      </c>
      <c r="G4677" s="20">
        <f>IFERROR(INDEX('Kode Outlet dan Target Toko'!$C:$C,MATCH($I4673,'Kode Outlet dan Target Toko'!$E:$E,0)),0)</f>
        <v>211030</v>
      </c>
      <c r="H4677" s="20">
        <f>IFERROR(INDEX('Kode Outlet dan Target Toko'!$D:$D,MATCH($I4673,'Kode Outlet dan Target Toko'!$E:$E,0)),0)</f>
        <v>5765035</v>
      </c>
      <c r="I4677" s="41" t="s">
        <v>97</v>
      </c>
      <c r="J4677" s="45" t="s">
        <v>222</v>
      </c>
      <c r="K4677" s="53" t="s">
        <v>13</v>
      </c>
      <c r="L4677" s="23">
        <v>6201</v>
      </c>
      <c r="M4677" s="24">
        <v>27</v>
      </c>
      <c r="N4677" s="25">
        <f t="shared" si="145"/>
        <v>167427</v>
      </c>
      <c r="O4677" s="24"/>
    </row>
    <row r="4678" spans="1:15" hidden="1" x14ac:dyDescent="0.3">
      <c r="A4678" s="24">
        <v>34</v>
      </c>
      <c r="B4678" s="20" t="str">
        <f t="shared" si="146"/>
        <v>AUG</v>
      </c>
      <c r="C4678" s="21">
        <v>46256</v>
      </c>
      <c r="D4678" s="22" t="str">
        <f>IFERROR(INDEX('Kode Outlet dan Target Toko'!$A:$A,MATCH($I4674,'Kode Outlet dan Target Toko'!$E:$E,0)),"")</f>
        <v>GRSM 6</v>
      </c>
      <c r="E4678" s="20" t="str">
        <f>IFERROR(VLOOKUP(I4678,KET!$B:$F,4,0),"")</f>
        <v>MARTIKA MINTOROWATI</v>
      </c>
      <c r="F4678" s="20" t="str">
        <f>IFERROR(VLOOKUP($I4674,KET!$B:$F,5,0),"")</f>
        <v>GMM</v>
      </c>
      <c r="G4678" s="20">
        <f>IFERROR(INDEX('Kode Outlet dan Target Toko'!$C:$C,MATCH($I4674,'Kode Outlet dan Target Toko'!$E:$E,0)),0)</f>
        <v>211030</v>
      </c>
      <c r="H4678" s="20">
        <f>IFERROR(INDEX('Kode Outlet dan Target Toko'!$D:$D,MATCH($I4674,'Kode Outlet dan Target Toko'!$E:$E,0)),0)</f>
        <v>5765035</v>
      </c>
      <c r="I4678" s="41" t="s">
        <v>97</v>
      </c>
      <c r="J4678" s="45" t="s">
        <v>222</v>
      </c>
      <c r="K4678" s="53" t="s">
        <v>16</v>
      </c>
      <c r="L4678" s="23">
        <v>6201</v>
      </c>
      <c r="M4678" s="24">
        <v>75</v>
      </c>
      <c r="N4678" s="25">
        <f t="shared" si="145"/>
        <v>465075</v>
      </c>
      <c r="O4678" s="24"/>
    </row>
    <row r="4679" spans="1:15" hidden="1" x14ac:dyDescent="0.3">
      <c r="A4679" s="24">
        <v>34</v>
      </c>
      <c r="B4679" s="20" t="str">
        <f t="shared" si="146"/>
        <v>AUG</v>
      </c>
      <c r="C4679" s="21">
        <v>46256</v>
      </c>
      <c r="D4679" s="22" t="str">
        <f>IFERROR(INDEX('Kode Outlet dan Target Toko'!$A:$A,MATCH($I4675,'Kode Outlet dan Target Toko'!$E:$E,0)),"")</f>
        <v>GRSM 6</v>
      </c>
      <c r="E4679" s="20" t="str">
        <f>IFERROR(VLOOKUP(I4679,KET!$B:$F,4,0),"")</f>
        <v>MARTIKA MINTOROWATI</v>
      </c>
      <c r="F4679" s="20" t="str">
        <f>IFERROR(VLOOKUP($I4675,KET!$B:$F,5,0),"")</f>
        <v>GMM</v>
      </c>
      <c r="G4679" s="20">
        <f>IFERROR(INDEX('Kode Outlet dan Target Toko'!$C:$C,MATCH($I4675,'Kode Outlet dan Target Toko'!$E:$E,0)),0)</f>
        <v>211161</v>
      </c>
      <c r="H4679" s="20">
        <f>IFERROR(INDEX('Kode Outlet dan Target Toko'!$D:$D,MATCH($I4675,'Kode Outlet dan Target Toko'!$E:$E,0)),0)</f>
        <v>710355</v>
      </c>
      <c r="I4679" s="41" t="s">
        <v>106</v>
      </c>
      <c r="J4679" s="45" t="s">
        <v>219</v>
      </c>
      <c r="K4679" s="53" t="s">
        <v>15</v>
      </c>
      <c r="L4679" s="23">
        <v>6000</v>
      </c>
      <c r="M4679" s="24">
        <v>31</v>
      </c>
      <c r="N4679" s="25">
        <f t="shared" ref="N4679:N4742" si="147">IFERROR(M4679*L4679,"")</f>
        <v>186000</v>
      </c>
      <c r="O4679" s="24"/>
    </row>
    <row r="4680" spans="1:15" hidden="1" x14ac:dyDescent="0.3">
      <c r="A4680" s="24">
        <v>34</v>
      </c>
      <c r="B4680" s="20" t="str">
        <f t="shared" si="146"/>
        <v>AUG</v>
      </c>
      <c r="C4680" s="21">
        <v>46256</v>
      </c>
      <c r="D4680" s="22" t="str">
        <f>IFERROR(INDEX('Kode Outlet dan Target Toko'!$A:$A,MATCH($I4676,'Kode Outlet dan Target Toko'!$E:$E,0)),"")</f>
        <v>GRSM 6</v>
      </c>
      <c r="E4680" s="20" t="str">
        <f>IFERROR(VLOOKUP(I4680,KET!$B:$F,4,0),"")</f>
        <v>MARTIKA MINTOROWATI</v>
      </c>
      <c r="F4680" s="20" t="str">
        <f>IFERROR(VLOOKUP($I4676,KET!$B:$F,5,0),"")</f>
        <v>GMM</v>
      </c>
      <c r="G4680" s="20">
        <f>IFERROR(INDEX('Kode Outlet dan Target Toko'!$C:$C,MATCH($I4676,'Kode Outlet dan Target Toko'!$E:$E,0)),0)</f>
        <v>211161</v>
      </c>
      <c r="H4680" s="20">
        <f>IFERROR(INDEX('Kode Outlet dan Target Toko'!$D:$D,MATCH($I4676,'Kode Outlet dan Target Toko'!$E:$E,0)),0)</f>
        <v>710355</v>
      </c>
      <c r="I4680" s="41" t="s">
        <v>106</v>
      </c>
      <c r="J4680" s="45" t="s">
        <v>219</v>
      </c>
      <c r="K4680" s="53" t="s">
        <v>14</v>
      </c>
      <c r="L4680" s="23">
        <v>6000</v>
      </c>
      <c r="M4680" s="24">
        <v>43</v>
      </c>
      <c r="N4680" s="25">
        <f t="shared" si="147"/>
        <v>258000</v>
      </c>
      <c r="O4680" s="24"/>
    </row>
    <row r="4681" spans="1:15" hidden="1" x14ac:dyDescent="0.3">
      <c r="A4681" s="24">
        <v>34</v>
      </c>
      <c r="B4681" s="20" t="str">
        <f t="shared" si="146"/>
        <v>AUG</v>
      </c>
      <c r="C4681" s="21">
        <v>46256</v>
      </c>
      <c r="D4681" s="22" t="str">
        <f>IFERROR(INDEX('Kode Outlet dan Target Toko'!$A:$A,MATCH($I4677,'Kode Outlet dan Target Toko'!$E:$E,0)),"")</f>
        <v>GRSM 6</v>
      </c>
      <c r="E4681" s="20" t="str">
        <f>IFERROR(VLOOKUP(I4681,KET!$B:$F,4,0),"")</f>
        <v>MARTIKA MINTOROWATI</v>
      </c>
      <c r="F4681" s="20" t="str">
        <f>IFERROR(VLOOKUP($I4677,KET!$B:$F,5,0),"")</f>
        <v>GMM</v>
      </c>
      <c r="G4681" s="20">
        <f>IFERROR(INDEX('Kode Outlet dan Target Toko'!$C:$C,MATCH($I4677,'Kode Outlet dan Target Toko'!$E:$E,0)),0)</f>
        <v>211161</v>
      </c>
      <c r="H4681" s="20">
        <f>IFERROR(INDEX('Kode Outlet dan Target Toko'!$D:$D,MATCH($I4677,'Kode Outlet dan Target Toko'!$E:$E,0)),0)</f>
        <v>710355</v>
      </c>
      <c r="I4681" s="41" t="s">
        <v>106</v>
      </c>
      <c r="J4681" s="45" t="s">
        <v>219</v>
      </c>
      <c r="K4681" s="53" t="s">
        <v>13</v>
      </c>
      <c r="L4681" s="23">
        <v>6000</v>
      </c>
      <c r="M4681" s="23">
        <v>8</v>
      </c>
      <c r="N4681" s="25">
        <f t="shared" si="147"/>
        <v>48000</v>
      </c>
      <c r="O4681" s="24"/>
    </row>
    <row r="4682" spans="1:15" hidden="1" x14ac:dyDescent="0.3">
      <c r="A4682" s="24">
        <v>34</v>
      </c>
      <c r="B4682" s="20" t="str">
        <f t="shared" si="146"/>
        <v>AUG</v>
      </c>
      <c r="C4682" s="21">
        <v>46256</v>
      </c>
      <c r="D4682" s="22" t="str">
        <f>IFERROR(INDEX('Kode Outlet dan Target Toko'!$A:$A,MATCH($I4678,'Kode Outlet dan Target Toko'!$E:$E,0)),"")</f>
        <v>GRSM 6</v>
      </c>
      <c r="E4682" s="20" t="str">
        <f>IFERROR(VLOOKUP(I4682,KET!$B:$F,4,0),"")</f>
        <v>MARTIKA MINTOROWATI</v>
      </c>
      <c r="F4682" s="20" t="str">
        <f>IFERROR(VLOOKUP($I4678,KET!$B:$F,5,0),"")</f>
        <v>GMM</v>
      </c>
      <c r="G4682" s="20">
        <f>IFERROR(INDEX('Kode Outlet dan Target Toko'!$C:$C,MATCH($I4678,'Kode Outlet dan Target Toko'!$E:$E,0)),0)</f>
        <v>211161</v>
      </c>
      <c r="H4682" s="20">
        <f>IFERROR(INDEX('Kode Outlet dan Target Toko'!$D:$D,MATCH($I4678,'Kode Outlet dan Target Toko'!$E:$E,0)),0)</f>
        <v>710355</v>
      </c>
      <c r="I4682" s="41" t="s">
        <v>106</v>
      </c>
      <c r="J4682" s="45" t="s">
        <v>219</v>
      </c>
      <c r="K4682" s="53" t="s">
        <v>16</v>
      </c>
      <c r="L4682" s="23">
        <v>6000</v>
      </c>
      <c r="M4682" s="23">
        <v>61</v>
      </c>
      <c r="N4682" s="25">
        <f t="shared" si="147"/>
        <v>366000</v>
      </c>
      <c r="O4682" s="24"/>
    </row>
    <row r="4683" spans="1:15" hidden="1" x14ac:dyDescent="0.3">
      <c r="A4683" s="24">
        <v>34</v>
      </c>
      <c r="B4683" s="20" t="s">
        <v>123</v>
      </c>
      <c r="C4683" s="21">
        <v>46255</v>
      </c>
      <c r="D4683" s="22" t="str">
        <f>IFERROR(INDEX('Kode Outlet dan Target Toko'!$A:$A,MATCH($I4679,'Kode Outlet dan Target Toko'!$E:$E,0)),"")</f>
        <v>GRSM 6</v>
      </c>
      <c r="E4683" s="20" t="str">
        <f>IFERROR(VLOOKUP(I4683,KET!$B:$F,4,0),"")</f>
        <v>MARTIKA MINTOROWATI</v>
      </c>
      <c r="F4683" s="20" t="str">
        <f>IFERROR(VLOOKUP($I4679,KET!$B:$F,5,0),"")</f>
        <v>GMM</v>
      </c>
      <c r="G4683" s="20">
        <f>IFERROR(INDEX('Kode Outlet dan Target Toko'!$C:$C,MATCH($I4679,'Kode Outlet dan Target Toko'!$E:$E,0)),0)</f>
        <v>211030</v>
      </c>
      <c r="H4683" s="20">
        <f>IFERROR(INDEX('Kode Outlet dan Target Toko'!$D:$D,MATCH($I4679,'Kode Outlet dan Target Toko'!$E:$E,0)),0)</f>
        <v>5766116</v>
      </c>
      <c r="I4683" s="41" t="s">
        <v>109</v>
      </c>
      <c r="J4683" s="56" t="s">
        <v>215</v>
      </c>
      <c r="K4683" s="53" t="s">
        <v>15</v>
      </c>
      <c r="L4683" s="23">
        <v>2950</v>
      </c>
      <c r="M4683" s="23">
        <v>0</v>
      </c>
      <c r="N4683" s="25">
        <f t="shared" si="147"/>
        <v>0</v>
      </c>
      <c r="O4683" s="24"/>
    </row>
    <row r="4684" spans="1:15" hidden="1" x14ac:dyDescent="0.3">
      <c r="A4684" s="24">
        <v>34</v>
      </c>
      <c r="B4684" s="20" t="s">
        <v>123</v>
      </c>
      <c r="C4684" s="21">
        <v>46255</v>
      </c>
      <c r="D4684" s="22" t="str">
        <f>IFERROR(INDEX('Kode Outlet dan Target Toko'!$A:$A,MATCH($I4680,'Kode Outlet dan Target Toko'!$E:$E,0)),"")</f>
        <v>GRSM 6</v>
      </c>
      <c r="E4684" s="20" t="str">
        <f>IFERROR(VLOOKUP(I4684,KET!$B:$F,4,0),"")</f>
        <v>MARTIKA MINTOROWATI</v>
      </c>
      <c r="F4684" s="20" t="str">
        <f>IFERROR(VLOOKUP($I4680,KET!$B:$F,5,0),"")</f>
        <v>GMM</v>
      </c>
      <c r="G4684" s="20">
        <f>IFERROR(INDEX('Kode Outlet dan Target Toko'!$C:$C,MATCH($I4680,'Kode Outlet dan Target Toko'!$E:$E,0)),0)</f>
        <v>211030</v>
      </c>
      <c r="H4684" s="20">
        <f>IFERROR(INDEX('Kode Outlet dan Target Toko'!$D:$D,MATCH($I4680,'Kode Outlet dan Target Toko'!$E:$E,0)),0)</f>
        <v>5766116</v>
      </c>
      <c r="I4684" s="41" t="s">
        <v>109</v>
      </c>
      <c r="J4684" s="56" t="s">
        <v>215</v>
      </c>
      <c r="K4684" s="53" t="s">
        <v>14</v>
      </c>
      <c r="L4684" s="23">
        <v>2950</v>
      </c>
      <c r="M4684" s="23">
        <v>201</v>
      </c>
      <c r="N4684" s="25">
        <f t="shared" si="147"/>
        <v>592950</v>
      </c>
      <c r="O4684" s="24"/>
    </row>
    <row r="4685" spans="1:15" hidden="1" x14ac:dyDescent="0.3">
      <c r="A4685" s="24">
        <v>34</v>
      </c>
      <c r="B4685" s="20" t="s">
        <v>123</v>
      </c>
      <c r="C4685" s="21">
        <v>46255</v>
      </c>
      <c r="D4685" s="22" t="str">
        <f>IFERROR(INDEX('Kode Outlet dan Target Toko'!$A:$A,MATCH($I4681,'Kode Outlet dan Target Toko'!$E:$E,0)),"")</f>
        <v>GRSM 6</v>
      </c>
      <c r="E4685" s="20" t="str">
        <f>IFERROR(VLOOKUP(I4685,KET!$B:$F,4,0),"")</f>
        <v>MARTIKA MINTOROWATI</v>
      </c>
      <c r="F4685" s="20" t="str">
        <f>IFERROR(VLOOKUP($I4681,KET!$B:$F,5,0),"")</f>
        <v>GMM</v>
      </c>
      <c r="G4685" s="20">
        <f>IFERROR(INDEX('Kode Outlet dan Target Toko'!$C:$C,MATCH($I4681,'Kode Outlet dan Target Toko'!$E:$E,0)),0)</f>
        <v>211030</v>
      </c>
      <c r="H4685" s="20">
        <f>IFERROR(INDEX('Kode Outlet dan Target Toko'!$D:$D,MATCH($I4681,'Kode Outlet dan Target Toko'!$E:$E,0)),0)</f>
        <v>5766116</v>
      </c>
      <c r="I4685" s="41" t="s">
        <v>109</v>
      </c>
      <c r="J4685" s="56" t="s">
        <v>215</v>
      </c>
      <c r="K4685" s="53" t="s">
        <v>13</v>
      </c>
      <c r="L4685" s="23">
        <v>2950</v>
      </c>
      <c r="M4685" s="23">
        <v>51</v>
      </c>
      <c r="N4685" s="25">
        <f t="shared" si="147"/>
        <v>150450</v>
      </c>
      <c r="O4685" s="24"/>
    </row>
    <row r="4686" spans="1:15" hidden="1" x14ac:dyDescent="0.3">
      <c r="A4686" s="24">
        <v>34</v>
      </c>
      <c r="B4686" s="20" t="s">
        <v>123</v>
      </c>
      <c r="C4686" s="21">
        <v>46255</v>
      </c>
      <c r="D4686" s="22" t="str">
        <f>IFERROR(INDEX('Kode Outlet dan Target Toko'!$A:$A,MATCH($I4682,'Kode Outlet dan Target Toko'!$E:$E,0)),"")</f>
        <v>GRSM 6</v>
      </c>
      <c r="E4686" s="20" t="str">
        <f>IFERROR(VLOOKUP(I4686,KET!$B:$F,4,0),"")</f>
        <v>MARTIKA MINTOROWATI</v>
      </c>
      <c r="F4686" s="20" t="str">
        <f>IFERROR(VLOOKUP($I4682,KET!$B:$F,5,0),"")</f>
        <v>GMM</v>
      </c>
      <c r="G4686" s="20">
        <f>IFERROR(INDEX('Kode Outlet dan Target Toko'!$C:$C,MATCH($I4682,'Kode Outlet dan Target Toko'!$E:$E,0)),0)</f>
        <v>211030</v>
      </c>
      <c r="H4686" s="20">
        <f>IFERROR(INDEX('Kode Outlet dan Target Toko'!$D:$D,MATCH($I4682,'Kode Outlet dan Target Toko'!$E:$E,0)),0)</f>
        <v>5766116</v>
      </c>
      <c r="I4686" s="41" t="s">
        <v>109</v>
      </c>
      <c r="J4686" s="56" t="s">
        <v>215</v>
      </c>
      <c r="K4686" s="53" t="s">
        <v>16</v>
      </c>
      <c r="L4686" s="23">
        <v>2950</v>
      </c>
      <c r="M4686" s="23">
        <v>189</v>
      </c>
      <c r="N4686" s="25">
        <f t="shared" si="147"/>
        <v>557550</v>
      </c>
      <c r="O4686" s="24">
        <v>160</v>
      </c>
    </row>
    <row r="4687" spans="1:15" hidden="1" x14ac:dyDescent="0.3">
      <c r="A4687" s="24">
        <v>34</v>
      </c>
      <c r="B4687" s="20" t="s">
        <v>123</v>
      </c>
      <c r="C4687" s="21">
        <v>46255</v>
      </c>
      <c r="D4687" s="22" t="str">
        <f>IFERROR(INDEX('Kode Outlet dan Target Toko'!$A:$A,MATCH($I4683,'Kode Outlet dan Target Toko'!$E:$E,0)),"")</f>
        <v>GRSM 6</v>
      </c>
      <c r="E4687" s="20" t="str">
        <f>IFERROR(VLOOKUP(I4687,KET!$B:$F,4,0),"")</f>
        <v>MARTIKA MINTOROWATI</v>
      </c>
      <c r="F4687" s="20" t="str">
        <f>IFERROR(VLOOKUP($I4683,KET!$B:$F,5,0),"")</f>
        <v>GMM</v>
      </c>
      <c r="G4687" s="20">
        <f>IFERROR(INDEX('Kode Outlet dan Target Toko'!$C:$C,MATCH($I4683,'Kode Outlet dan Target Toko'!$E:$E,0)),0)</f>
        <v>170208</v>
      </c>
      <c r="H4687" s="20">
        <f>IFERROR(INDEX('Kode Outlet dan Target Toko'!$D:$D,MATCH($I4683,'Kode Outlet dan Target Toko'!$E:$E,0)),0)</f>
        <v>5765011</v>
      </c>
      <c r="I4687" s="41" t="s">
        <v>106</v>
      </c>
      <c r="J4687" s="45" t="s">
        <v>218</v>
      </c>
      <c r="K4687" s="53" t="s">
        <v>15</v>
      </c>
      <c r="L4687" s="23">
        <v>6000</v>
      </c>
      <c r="M4687" s="23">
        <v>34</v>
      </c>
      <c r="N4687" s="25">
        <f t="shared" si="147"/>
        <v>204000</v>
      </c>
      <c r="O4687" s="24"/>
    </row>
    <row r="4688" spans="1:15" hidden="1" x14ac:dyDescent="0.3">
      <c r="A4688" s="24">
        <v>34</v>
      </c>
      <c r="B4688" s="20" t="s">
        <v>123</v>
      </c>
      <c r="C4688" s="21">
        <v>46255</v>
      </c>
      <c r="D4688" s="22" t="str">
        <f>IFERROR(INDEX('Kode Outlet dan Target Toko'!$A:$A,MATCH($I4684,'Kode Outlet dan Target Toko'!$E:$E,0)),"")</f>
        <v>GRSM 6</v>
      </c>
      <c r="E4688" s="20" t="str">
        <f>IFERROR(VLOOKUP(I4688,KET!$B:$F,4,0),"")</f>
        <v>MARTIKA MINTOROWATI</v>
      </c>
      <c r="F4688" s="20" t="str">
        <f>IFERROR(VLOOKUP($I4684,KET!$B:$F,5,0),"")</f>
        <v>GMM</v>
      </c>
      <c r="G4688" s="20">
        <f>IFERROR(INDEX('Kode Outlet dan Target Toko'!$C:$C,MATCH($I4684,'Kode Outlet dan Target Toko'!$E:$E,0)),0)</f>
        <v>170208</v>
      </c>
      <c r="H4688" s="20">
        <f>IFERROR(INDEX('Kode Outlet dan Target Toko'!$D:$D,MATCH($I4684,'Kode Outlet dan Target Toko'!$E:$E,0)),0)</f>
        <v>5765011</v>
      </c>
      <c r="I4688" s="41" t="s">
        <v>106</v>
      </c>
      <c r="J4688" s="45" t="s">
        <v>218</v>
      </c>
      <c r="K4688" s="53" t="s">
        <v>14</v>
      </c>
      <c r="L4688" s="23">
        <v>6000</v>
      </c>
      <c r="M4688" s="23">
        <v>20</v>
      </c>
      <c r="N4688" s="25">
        <f t="shared" si="147"/>
        <v>120000</v>
      </c>
      <c r="O4688" s="24"/>
    </row>
    <row r="4689" spans="1:15" hidden="1" x14ac:dyDescent="0.3">
      <c r="A4689" s="24">
        <v>34</v>
      </c>
      <c r="B4689" s="20" t="s">
        <v>123</v>
      </c>
      <c r="C4689" s="21">
        <v>46255</v>
      </c>
      <c r="D4689" s="22" t="str">
        <f>IFERROR(INDEX('Kode Outlet dan Target Toko'!$A:$A,MATCH($I4685,'Kode Outlet dan Target Toko'!$E:$E,0)),"")</f>
        <v>GRSM 6</v>
      </c>
      <c r="E4689" s="20" t="str">
        <f>IFERROR(VLOOKUP(I4689,KET!$B:$F,4,0),"")</f>
        <v>MARTIKA MINTOROWATI</v>
      </c>
      <c r="F4689" s="20" t="str">
        <f>IFERROR(VLOOKUP($I4685,KET!$B:$F,5,0),"")</f>
        <v>GMM</v>
      </c>
      <c r="G4689" s="20">
        <f>IFERROR(INDEX('Kode Outlet dan Target Toko'!$C:$C,MATCH($I4685,'Kode Outlet dan Target Toko'!$E:$E,0)),0)</f>
        <v>170208</v>
      </c>
      <c r="H4689" s="20">
        <f>IFERROR(INDEX('Kode Outlet dan Target Toko'!$D:$D,MATCH($I4685,'Kode Outlet dan Target Toko'!$E:$E,0)),0)</f>
        <v>5765011</v>
      </c>
      <c r="I4689" s="41" t="s">
        <v>106</v>
      </c>
      <c r="J4689" s="45" t="s">
        <v>218</v>
      </c>
      <c r="K4689" s="53" t="s">
        <v>13</v>
      </c>
      <c r="L4689" s="23">
        <v>6000</v>
      </c>
      <c r="M4689" s="23">
        <v>16</v>
      </c>
      <c r="N4689" s="25">
        <f t="shared" si="147"/>
        <v>96000</v>
      </c>
      <c r="O4689" s="24"/>
    </row>
    <row r="4690" spans="1:15" hidden="1" x14ac:dyDescent="0.3">
      <c r="A4690" s="24">
        <v>34</v>
      </c>
      <c r="B4690" s="20" t="s">
        <v>123</v>
      </c>
      <c r="C4690" s="21">
        <v>46255</v>
      </c>
      <c r="D4690" s="22" t="str">
        <f>IFERROR(INDEX('Kode Outlet dan Target Toko'!$A:$A,MATCH($I4686,'Kode Outlet dan Target Toko'!$E:$E,0)),"")</f>
        <v>GRSM 6</v>
      </c>
      <c r="E4690" s="20" t="str">
        <f>IFERROR(VLOOKUP(I4690,KET!$B:$F,4,0),"")</f>
        <v>MARTIKA MINTOROWATI</v>
      </c>
      <c r="F4690" s="20" t="str">
        <f>IFERROR(VLOOKUP($I4686,KET!$B:$F,5,0),"")</f>
        <v>GMM</v>
      </c>
      <c r="G4690" s="20">
        <f>IFERROR(INDEX('Kode Outlet dan Target Toko'!$C:$C,MATCH($I4686,'Kode Outlet dan Target Toko'!$E:$E,0)),0)</f>
        <v>170208</v>
      </c>
      <c r="H4690" s="20">
        <f>IFERROR(INDEX('Kode Outlet dan Target Toko'!$D:$D,MATCH($I4686,'Kode Outlet dan Target Toko'!$E:$E,0)),0)</f>
        <v>5765011</v>
      </c>
      <c r="I4690" s="41" t="s">
        <v>106</v>
      </c>
      <c r="J4690" s="45" t="s">
        <v>218</v>
      </c>
      <c r="K4690" s="53" t="s">
        <v>16</v>
      </c>
      <c r="L4690" s="23">
        <v>6000</v>
      </c>
      <c r="M4690" s="23">
        <v>56</v>
      </c>
      <c r="N4690" s="25">
        <f t="shared" si="147"/>
        <v>336000</v>
      </c>
      <c r="O4690" s="24">
        <v>160</v>
      </c>
    </row>
    <row r="4691" spans="1:15" hidden="1" x14ac:dyDescent="0.3">
      <c r="A4691" s="24">
        <v>34</v>
      </c>
      <c r="B4691" s="20" t="s">
        <v>123</v>
      </c>
      <c r="C4691" s="21">
        <v>46255</v>
      </c>
      <c r="D4691" s="22" t="str">
        <f>IFERROR(INDEX('Kode Outlet dan Target Toko'!$A:$A,MATCH($I4687,'Kode Outlet dan Target Toko'!$E:$E,0)),"")</f>
        <v>GRSM 6</v>
      </c>
      <c r="E4691" s="20" t="str">
        <f>IFERROR(VLOOKUP(I4691,KET!$B:$F,4,0),"")</f>
        <v>MARTIKA MINTOROWATI</v>
      </c>
      <c r="F4691" s="20" t="str">
        <f>IFERROR(VLOOKUP($I4687,KET!$B:$F,5,0),"")</f>
        <v>GMM</v>
      </c>
      <c r="G4691" s="20">
        <f>IFERROR(INDEX('Kode Outlet dan Target Toko'!$C:$C,MATCH($I4687,'Kode Outlet dan Target Toko'!$E:$E,0)),0)</f>
        <v>211030</v>
      </c>
      <c r="H4691" s="20">
        <f>IFERROR(INDEX('Kode Outlet dan Target Toko'!$D:$D,MATCH($I4687,'Kode Outlet dan Target Toko'!$E:$E,0)),0)</f>
        <v>5766116</v>
      </c>
      <c r="I4691" s="42" t="s">
        <v>145</v>
      </c>
      <c r="J4691" s="45" t="s">
        <v>220</v>
      </c>
      <c r="K4691" s="53" t="s">
        <v>15</v>
      </c>
      <c r="L4691" s="23">
        <v>2950</v>
      </c>
      <c r="M4691" s="23">
        <v>30</v>
      </c>
      <c r="N4691" s="25">
        <f t="shared" si="147"/>
        <v>88500</v>
      </c>
      <c r="O4691" s="24"/>
    </row>
    <row r="4692" spans="1:15" hidden="1" x14ac:dyDescent="0.3">
      <c r="A4692" s="24">
        <v>34</v>
      </c>
      <c r="B4692" s="20" t="s">
        <v>123</v>
      </c>
      <c r="C4692" s="21">
        <v>46255</v>
      </c>
      <c r="D4692" s="22" t="str">
        <f>IFERROR(INDEX('Kode Outlet dan Target Toko'!$A:$A,MATCH($I4688,'Kode Outlet dan Target Toko'!$E:$E,0)),"")</f>
        <v>GRSM 6</v>
      </c>
      <c r="E4692" s="20" t="str">
        <f>IFERROR(VLOOKUP(I4692,KET!$B:$F,4,0),"")</f>
        <v>MARTIKA MINTOROWATI</v>
      </c>
      <c r="F4692" s="20" t="str">
        <f>IFERROR(VLOOKUP($I4688,KET!$B:$F,5,0),"")</f>
        <v>GMM</v>
      </c>
      <c r="G4692" s="20">
        <f>IFERROR(INDEX('Kode Outlet dan Target Toko'!$C:$C,MATCH($I4688,'Kode Outlet dan Target Toko'!$E:$E,0)),0)</f>
        <v>211030</v>
      </c>
      <c r="H4692" s="20">
        <f>IFERROR(INDEX('Kode Outlet dan Target Toko'!$D:$D,MATCH($I4688,'Kode Outlet dan Target Toko'!$E:$E,0)),0)</f>
        <v>5766116</v>
      </c>
      <c r="I4692" s="42" t="s">
        <v>145</v>
      </c>
      <c r="J4692" s="45" t="s">
        <v>220</v>
      </c>
      <c r="K4692" s="53" t="s">
        <v>14</v>
      </c>
      <c r="L4692" s="23">
        <v>2950</v>
      </c>
      <c r="M4692" s="23">
        <v>36</v>
      </c>
      <c r="N4692" s="25">
        <f t="shared" si="147"/>
        <v>106200</v>
      </c>
      <c r="O4692" s="24"/>
    </row>
    <row r="4693" spans="1:15" hidden="1" x14ac:dyDescent="0.3">
      <c r="A4693" s="24">
        <v>34</v>
      </c>
      <c r="B4693" s="20" t="s">
        <v>123</v>
      </c>
      <c r="C4693" s="21">
        <v>46255</v>
      </c>
      <c r="D4693" s="22" t="str">
        <f>IFERROR(INDEX('Kode Outlet dan Target Toko'!$A:$A,MATCH($I4689,'Kode Outlet dan Target Toko'!$E:$E,0)),"")</f>
        <v>GRSM 6</v>
      </c>
      <c r="E4693" s="20" t="str">
        <f>IFERROR(VLOOKUP(I4693,KET!$B:$F,4,0),"")</f>
        <v>MARTIKA MINTOROWATI</v>
      </c>
      <c r="F4693" s="20" t="str">
        <f>IFERROR(VLOOKUP($I4689,KET!$B:$F,5,0),"")</f>
        <v>GMM</v>
      </c>
      <c r="G4693" s="20">
        <f>IFERROR(INDEX('Kode Outlet dan Target Toko'!$C:$C,MATCH($I4689,'Kode Outlet dan Target Toko'!$E:$E,0)),0)</f>
        <v>211030</v>
      </c>
      <c r="H4693" s="20">
        <f>IFERROR(INDEX('Kode Outlet dan Target Toko'!$D:$D,MATCH($I4689,'Kode Outlet dan Target Toko'!$E:$E,0)),0)</f>
        <v>5766116</v>
      </c>
      <c r="I4693" s="42" t="s">
        <v>145</v>
      </c>
      <c r="J4693" s="45" t="s">
        <v>220</v>
      </c>
      <c r="K4693" s="53" t="s">
        <v>13</v>
      </c>
      <c r="L4693" s="23">
        <v>2950</v>
      </c>
      <c r="M4693" s="23">
        <v>22</v>
      </c>
      <c r="N4693" s="25">
        <f t="shared" si="147"/>
        <v>64900</v>
      </c>
      <c r="O4693" s="24"/>
    </row>
    <row r="4694" spans="1:15" hidden="1" x14ac:dyDescent="0.3">
      <c r="A4694" s="24">
        <v>34</v>
      </c>
      <c r="B4694" s="20" t="s">
        <v>123</v>
      </c>
      <c r="C4694" s="21">
        <v>46255</v>
      </c>
      <c r="D4694" s="22" t="str">
        <f>IFERROR(INDEX('Kode Outlet dan Target Toko'!$A:$A,MATCH($I4690,'Kode Outlet dan Target Toko'!$E:$E,0)),"")</f>
        <v>GRSM 6</v>
      </c>
      <c r="E4694" s="20" t="str">
        <f>IFERROR(VLOOKUP(I4694,KET!$B:$F,4,0),"")</f>
        <v>MARTIKA MINTOROWATI</v>
      </c>
      <c r="F4694" s="20" t="str">
        <f>IFERROR(VLOOKUP($I4690,KET!$B:$F,5,0),"")</f>
        <v>GMM</v>
      </c>
      <c r="G4694" s="20">
        <f>IFERROR(INDEX('Kode Outlet dan Target Toko'!$C:$C,MATCH($I4690,'Kode Outlet dan Target Toko'!$E:$E,0)),0)</f>
        <v>211030</v>
      </c>
      <c r="H4694" s="20">
        <f>IFERROR(INDEX('Kode Outlet dan Target Toko'!$D:$D,MATCH($I4690,'Kode Outlet dan Target Toko'!$E:$E,0)),0)</f>
        <v>5766116</v>
      </c>
      <c r="I4694" s="42" t="s">
        <v>145</v>
      </c>
      <c r="J4694" s="45" t="s">
        <v>220</v>
      </c>
      <c r="K4694" s="53" t="s">
        <v>16</v>
      </c>
      <c r="L4694" s="23">
        <v>2950</v>
      </c>
      <c r="M4694" s="23">
        <v>62</v>
      </c>
      <c r="N4694" s="25">
        <f t="shared" si="147"/>
        <v>182900</v>
      </c>
      <c r="O4694" s="24">
        <v>160</v>
      </c>
    </row>
    <row r="4695" spans="1:15" hidden="1" x14ac:dyDescent="0.3">
      <c r="A4695" s="24">
        <v>34</v>
      </c>
      <c r="B4695" s="20" t="s">
        <v>123</v>
      </c>
      <c r="C4695" s="21">
        <v>46255</v>
      </c>
      <c r="D4695" s="22" t="str">
        <f>IFERROR(INDEX('Kode Outlet dan Target Toko'!$A:$A,MATCH($I4691,'Kode Outlet dan Target Toko'!$E:$E,0)),"")</f>
        <v>GRSM 6</v>
      </c>
      <c r="E4695" s="20" t="str">
        <f>IFERROR(VLOOKUP(I4695,KET!$B:$F,4,0),"")</f>
        <v>MARTIKA MINTOROWATI</v>
      </c>
      <c r="F4695" s="20" t="str">
        <f>IFERROR(VLOOKUP($I4691,KET!$B:$F,5,0),"")</f>
        <v>GMM</v>
      </c>
      <c r="G4695" s="20">
        <f>IFERROR(INDEX('Kode Outlet dan Target Toko'!$C:$C,MATCH($I4691,'Kode Outlet dan Target Toko'!$E:$E,0)),0)</f>
        <v>211181</v>
      </c>
      <c r="H4695" s="20">
        <f>IFERROR(INDEX('Kode Outlet dan Target Toko'!$D:$D,MATCH($I4691,'Kode Outlet dan Target Toko'!$E:$E,0)),0)</f>
        <v>3208670</v>
      </c>
      <c r="I4695" s="42" t="s">
        <v>145</v>
      </c>
      <c r="J4695" s="45" t="s">
        <v>221</v>
      </c>
      <c r="K4695" s="53" t="s">
        <v>15</v>
      </c>
      <c r="L4695" s="23">
        <v>2950</v>
      </c>
      <c r="M4695" s="23">
        <v>30</v>
      </c>
      <c r="N4695" s="25">
        <f t="shared" si="147"/>
        <v>88500</v>
      </c>
      <c r="O4695" s="24"/>
    </row>
    <row r="4696" spans="1:15" hidden="1" x14ac:dyDescent="0.3">
      <c r="A4696" s="24">
        <v>34</v>
      </c>
      <c r="B4696" s="20" t="s">
        <v>123</v>
      </c>
      <c r="C4696" s="21">
        <v>46255</v>
      </c>
      <c r="D4696" s="22" t="str">
        <f>IFERROR(INDEX('Kode Outlet dan Target Toko'!$A:$A,MATCH($I4692,'Kode Outlet dan Target Toko'!$E:$E,0)),"")</f>
        <v>GRSM 6</v>
      </c>
      <c r="E4696" s="20" t="str">
        <f>IFERROR(VLOOKUP(I4696,KET!$B:$F,4,0),"")</f>
        <v>MARTIKA MINTOROWATI</v>
      </c>
      <c r="F4696" s="20" t="str">
        <f>IFERROR(VLOOKUP($I4692,KET!$B:$F,5,0),"")</f>
        <v>GMM</v>
      </c>
      <c r="G4696" s="20">
        <f>IFERROR(INDEX('Kode Outlet dan Target Toko'!$C:$C,MATCH($I4692,'Kode Outlet dan Target Toko'!$E:$E,0)),0)</f>
        <v>211181</v>
      </c>
      <c r="H4696" s="20">
        <f>IFERROR(INDEX('Kode Outlet dan Target Toko'!$D:$D,MATCH($I4692,'Kode Outlet dan Target Toko'!$E:$E,0)),0)</f>
        <v>3208670</v>
      </c>
      <c r="I4696" s="42" t="s">
        <v>145</v>
      </c>
      <c r="J4696" s="45" t="s">
        <v>221</v>
      </c>
      <c r="K4696" s="53" t="s">
        <v>14</v>
      </c>
      <c r="L4696" s="23">
        <v>2950</v>
      </c>
      <c r="M4696" s="23">
        <v>36</v>
      </c>
      <c r="N4696" s="25">
        <f t="shared" si="147"/>
        <v>106200</v>
      </c>
      <c r="O4696" s="24"/>
    </row>
    <row r="4697" spans="1:15" hidden="1" x14ac:dyDescent="0.3">
      <c r="A4697" s="24">
        <v>34</v>
      </c>
      <c r="B4697" s="20" t="s">
        <v>123</v>
      </c>
      <c r="C4697" s="21">
        <v>46255</v>
      </c>
      <c r="D4697" s="22" t="str">
        <f>IFERROR(INDEX('Kode Outlet dan Target Toko'!$A:$A,MATCH($I4693,'Kode Outlet dan Target Toko'!$E:$E,0)),"")</f>
        <v>GRSM 6</v>
      </c>
      <c r="E4697" s="20" t="str">
        <f>IFERROR(VLOOKUP(I4697,KET!$B:$F,4,0),"")</f>
        <v>MARTIKA MINTOROWATI</v>
      </c>
      <c r="F4697" s="20" t="str">
        <f>IFERROR(VLOOKUP($I4693,KET!$B:$F,5,0),"")</f>
        <v>GMM</v>
      </c>
      <c r="G4697" s="20">
        <f>IFERROR(INDEX('Kode Outlet dan Target Toko'!$C:$C,MATCH($I4693,'Kode Outlet dan Target Toko'!$E:$E,0)),0)</f>
        <v>211181</v>
      </c>
      <c r="H4697" s="20">
        <f>IFERROR(INDEX('Kode Outlet dan Target Toko'!$D:$D,MATCH($I4693,'Kode Outlet dan Target Toko'!$E:$E,0)),0)</f>
        <v>3208670</v>
      </c>
      <c r="I4697" s="42" t="s">
        <v>145</v>
      </c>
      <c r="J4697" s="45" t="s">
        <v>221</v>
      </c>
      <c r="K4697" s="53" t="s">
        <v>13</v>
      </c>
      <c r="L4697" s="23">
        <v>2950</v>
      </c>
      <c r="M4697" s="23">
        <v>22</v>
      </c>
      <c r="N4697" s="25">
        <f t="shared" si="147"/>
        <v>64900</v>
      </c>
      <c r="O4697" s="24"/>
    </row>
    <row r="4698" spans="1:15" hidden="1" x14ac:dyDescent="0.3">
      <c r="A4698" s="24">
        <v>34</v>
      </c>
      <c r="B4698" s="20" t="s">
        <v>123</v>
      </c>
      <c r="C4698" s="21">
        <v>46255</v>
      </c>
      <c r="D4698" s="22" t="str">
        <f>IFERROR(INDEX('Kode Outlet dan Target Toko'!$A:$A,MATCH($I4694,'Kode Outlet dan Target Toko'!$E:$E,0)),"")</f>
        <v>GRSM 6</v>
      </c>
      <c r="E4698" s="20" t="str">
        <f>IFERROR(VLOOKUP(I4698,KET!$B:$F,4,0),"")</f>
        <v>MARTIKA MINTOROWATI</v>
      </c>
      <c r="F4698" s="20" t="str">
        <f>IFERROR(VLOOKUP($I4694,KET!$B:$F,5,0),"")</f>
        <v>GMM</v>
      </c>
      <c r="G4698" s="20">
        <f>IFERROR(INDEX('Kode Outlet dan Target Toko'!$C:$C,MATCH($I4694,'Kode Outlet dan Target Toko'!$E:$E,0)),0)</f>
        <v>211181</v>
      </c>
      <c r="H4698" s="20">
        <f>IFERROR(INDEX('Kode Outlet dan Target Toko'!$D:$D,MATCH($I4694,'Kode Outlet dan Target Toko'!$E:$E,0)),0)</f>
        <v>3208670</v>
      </c>
      <c r="I4698" s="42" t="s">
        <v>145</v>
      </c>
      <c r="J4698" s="45" t="s">
        <v>221</v>
      </c>
      <c r="K4698" s="53" t="s">
        <v>16</v>
      </c>
      <c r="L4698" s="23">
        <v>2950</v>
      </c>
      <c r="M4698" s="23">
        <v>62</v>
      </c>
      <c r="N4698" s="25">
        <f t="shared" si="147"/>
        <v>182900</v>
      </c>
      <c r="O4698" s="24">
        <v>160</v>
      </c>
    </row>
    <row r="4699" spans="1:15" hidden="1" x14ac:dyDescent="0.3">
      <c r="A4699" s="24">
        <v>34</v>
      </c>
      <c r="B4699" s="20" t="s">
        <v>123</v>
      </c>
      <c r="C4699" s="21">
        <v>46256</v>
      </c>
      <c r="D4699" s="22" t="str">
        <f>IFERROR(INDEX('Kode Outlet dan Target Toko'!$A:$A,MATCH($I4695,'Kode Outlet dan Target Toko'!$E:$E,0)),"")</f>
        <v>GRSM 6</v>
      </c>
      <c r="E4699" s="20" t="str">
        <f>IFERROR(VLOOKUP(I4699,KET!$B:$F,4,0),"")</f>
        <v>MARTIKA MINTOROWATI</v>
      </c>
      <c r="F4699" s="20" t="str">
        <f>IFERROR(VLOOKUP($I4695,KET!$B:$F,5,0),"")</f>
        <v>GMM</v>
      </c>
      <c r="G4699" s="20">
        <f>IFERROR(INDEX('Kode Outlet dan Target Toko'!$C:$C,MATCH($I4695,'Kode Outlet dan Target Toko'!$E:$E,0)),0)</f>
        <v>211181</v>
      </c>
      <c r="H4699" s="20">
        <f>IFERROR(INDEX('Kode Outlet dan Target Toko'!$D:$D,MATCH($I4695,'Kode Outlet dan Target Toko'!$E:$E,0)),0)</f>
        <v>3208670</v>
      </c>
      <c r="I4699" s="41" t="s">
        <v>109</v>
      </c>
      <c r="J4699" s="56" t="s">
        <v>215</v>
      </c>
      <c r="K4699" s="53" t="s">
        <v>15</v>
      </c>
      <c r="L4699" s="23">
        <v>2950</v>
      </c>
      <c r="M4699" s="23">
        <v>0</v>
      </c>
      <c r="N4699" s="25">
        <f t="shared" si="147"/>
        <v>0</v>
      </c>
      <c r="O4699" s="24"/>
    </row>
    <row r="4700" spans="1:15" hidden="1" x14ac:dyDescent="0.3">
      <c r="A4700" s="24">
        <v>34</v>
      </c>
      <c r="B4700" s="20" t="s">
        <v>123</v>
      </c>
      <c r="C4700" s="21">
        <v>46256</v>
      </c>
      <c r="D4700" s="22" t="str">
        <f>IFERROR(INDEX('Kode Outlet dan Target Toko'!$A:$A,MATCH($I4696,'Kode Outlet dan Target Toko'!$E:$E,0)),"")</f>
        <v>GRSM 6</v>
      </c>
      <c r="E4700" s="20" t="str">
        <f>IFERROR(VLOOKUP(I4700,KET!$B:$F,4,0),"")</f>
        <v>MARTIKA MINTOROWATI</v>
      </c>
      <c r="F4700" s="20" t="str">
        <f>IFERROR(VLOOKUP($I4696,KET!$B:$F,5,0),"")</f>
        <v>GMM</v>
      </c>
      <c r="G4700" s="20">
        <f>IFERROR(INDEX('Kode Outlet dan Target Toko'!$C:$C,MATCH($I4696,'Kode Outlet dan Target Toko'!$E:$E,0)),0)</f>
        <v>211181</v>
      </c>
      <c r="H4700" s="20">
        <f>IFERROR(INDEX('Kode Outlet dan Target Toko'!$D:$D,MATCH($I4696,'Kode Outlet dan Target Toko'!$E:$E,0)),0)</f>
        <v>3208670</v>
      </c>
      <c r="I4700" s="41" t="s">
        <v>109</v>
      </c>
      <c r="J4700" s="56" t="s">
        <v>215</v>
      </c>
      <c r="K4700" s="53" t="s">
        <v>14</v>
      </c>
      <c r="L4700" s="23">
        <v>2950</v>
      </c>
      <c r="M4700" s="23">
        <v>112</v>
      </c>
      <c r="N4700" s="25">
        <f t="shared" si="147"/>
        <v>330400</v>
      </c>
      <c r="O4700" s="24"/>
    </row>
    <row r="4701" spans="1:15" hidden="1" x14ac:dyDescent="0.3">
      <c r="A4701" s="24">
        <v>34</v>
      </c>
      <c r="B4701" s="20" t="s">
        <v>123</v>
      </c>
      <c r="C4701" s="21">
        <v>46256</v>
      </c>
      <c r="D4701" s="22" t="str">
        <f>IFERROR(INDEX('Kode Outlet dan Target Toko'!$A:$A,MATCH($I4697,'Kode Outlet dan Target Toko'!$E:$E,0)),"")</f>
        <v>GRSM 6</v>
      </c>
      <c r="E4701" s="20" t="str">
        <f>IFERROR(VLOOKUP(I4701,KET!$B:$F,4,0),"")</f>
        <v>MARTIKA MINTOROWATI</v>
      </c>
      <c r="F4701" s="20" t="str">
        <f>IFERROR(VLOOKUP($I4697,KET!$B:$F,5,0),"")</f>
        <v>GMM</v>
      </c>
      <c r="G4701" s="20">
        <f>IFERROR(INDEX('Kode Outlet dan Target Toko'!$C:$C,MATCH($I4697,'Kode Outlet dan Target Toko'!$E:$E,0)),0)</f>
        <v>211181</v>
      </c>
      <c r="H4701" s="20">
        <f>IFERROR(INDEX('Kode Outlet dan Target Toko'!$D:$D,MATCH($I4697,'Kode Outlet dan Target Toko'!$E:$E,0)),0)</f>
        <v>3208670</v>
      </c>
      <c r="I4701" s="41" t="s">
        <v>109</v>
      </c>
      <c r="J4701" s="56" t="s">
        <v>215</v>
      </c>
      <c r="K4701" s="53" t="s">
        <v>13</v>
      </c>
      <c r="L4701" s="23">
        <v>2950</v>
      </c>
      <c r="M4701" s="23">
        <v>44</v>
      </c>
      <c r="N4701" s="25">
        <f t="shared" si="147"/>
        <v>129800</v>
      </c>
      <c r="O4701" s="24"/>
    </row>
    <row r="4702" spans="1:15" hidden="1" x14ac:dyDescent="0.3">
      <c r="A4702" s="24">
        <v>34</v>
      </c>
      <c r="B4702" s="20" t="s">
        <v>123</v>
      </c>
      <c r="C4702" s="21">
        <v>46256</v>
      </c>
      <c r="D4702" s="22" t="str">
        <f>IFERROR(INDEX('Kode Outlet dan Target Toko'!$A:$A,MATCH($I4698,'Kode Outlet dan Target Toko'!$E:$E,0)),"")</f>
        <v>GRSM 6</v>
      </c>
      <c r="E4702" s="20" t="str">
        <f>IFERROR(VLOOKUP(I4702,KET!$B:$F,4,0),"")</f>
        <v>MARTIKA MINTOROWATI</v>
      </c>
      <c r="F4702" s="20" t="str">
        <f>IFERROR(VLOOKUP($I4698,KET!$B:$F,5,0),"")</f>
        <v>GMM</v>
      </c>
      <c r="G4702" s="20">
        <f>IFERROR(INDEX('Kode Outlet dan Target Toko'!$C:$C,MATCH($I4698,'Kode Outlet dan Target Toko'!$E:$E,0)),0)</f>
        <v>211181</v>
      </c>
      <c r="H4702" s="20">
        <f>IFERROR(INDEX('Kode Outlet dan Target Toko'!$D:$D,MATCH($I4698,'Kode Outlet dan Target Toko'!$E:$E,0)),0)</f>
        <v>3208670</v>
      </c>
      <c r="I4702" s="41" t="s">
        <v>109</v>
      </c>
      <c r="J4702" s="56" t="s">
        <v>215</v>
      </c>
      <c r="K4702" s="53" t="s">
        <v>16</v>
      </c>
      <c r="L4702" s="23">
        <v>2950</v>
      </c>
      <c r="M4702" s="23">
        <v>129</v>
      </c>
      <c r="N4702" s="25">
        <f t="shared" si="147"/>
        <v>380550</v>
      </c>
      <c r="O4702" s="24">
        <v>160</v>
      </c>
    </row>
    <row r="4703" spans="1:15" hidden="1" x14ac:dyDescent="0.3">
      <c r="A4703" s="24">
        <v>34</v>
      </c>
      <c r="B4703" s="20" t="s">
        <v>123</v>
      </c>
      <c r="C4703" s="21">
        <v>46256</v>
      </c>
      <c r="D4703" s="22" t="str">
        <f>IFERROR(INDEX('Kode Outlet dan Target Toko'!$A:$A,MATCH($I4699,'Kode Outlet dan Target Toko'!$E:$E,0)),"")</f>
        <v>GRSM 6</v>
      </c>
      <c r="E4703" s="20" t="str">
        <f>IFERROR(VLOOKUP(I4703,KET!$B:$F,4,0),"")</f>
        <v>MARTIKA MINTOROWATI</v>
      </c>
      <c r="F4703" s="20" t="str">
        <f>IFERROR(VLOOKUP($I4699,KET!$B:$F,5,0),"")</f>
        <v>GMM</v>
      </c>
      <c r="G4703" s="20">
        <f>IFERROR(INDEX('Kode Outlet dan Target Toko'!$C:$C,MATCH($I4699,'Kode Outlet dan Target Toko'!$E:$E,0)),0)</f>
        <v>170208</v>
      </c>
      <c r="H4703" s="20">
        <f>IFERROR(INDEX('Kode Outlet dan Target Toko'!$D:$D,MATCH($I4699,'Kode Outlet dan Target Toko'!$E:$E,0)),0)</f>
        <v>5765011</v>
      </c>
      <c r="I4703" s="42" t="s">
        <v>145</v>
      </c>
      <c r="J4703" s="45" t="s">
        <v>220</v>
      </c>
      <c r="K4703" s="53" t="s">
        <v>15</v>
      </c>
      <c r="L4703" s="23">
        <v>2900</v>
      </c>
      <c r="M4703" s="23">
        <v>26</v>
      </c>
      <c r="N4703" s="25">
        <f t="shared" si="147"/>
        <v>75400</v>
      </c>
      <c r="O4703" s="24"/>
    </row>
    <row r="4704" spans="1:15" hidden="1" x14ac:dyDescent="0.3">
      <c r="A4704" s="24">
        <v>34</v>
      </c>
      <c r="B4704" s="20" t="s">
        <v>123</v>
      </c>
      <c r="C4704" s="21">
        <v>46256</v>
      </c>
      <c r="D4704" s="22" t="str">
        <f>IFERROR(INDEX('Kode Outlet dan Target Toko'!$A:$A,MATCH($I4700,'Kode Outlet dan Target Toko'!$E:$E,0)),"")</f>
        <v>GRSM 6</v>
      </c>
      <c r="E4704" s="20" t="str">
        <f>IFERROR(VLOOKUP(I4704,KET!$B:$F,4,0),"")</f>
        <v>MARTIKA MINTOROWATI</v>
      </c>
      <c r="F4704" s="20" t="str">
        <f>IFERROR(VLOOKUP($I4700,KET!$B:$F,5,0),"")</f>
        <v>GMM</v>
      </c>
      <c r="G4704" s="20">
        <f>IFERROR(INDEX('Kode Outlet dan Target Toko'!$C:$C,MATCH($I4700,'Kode Outlet dan Target Toko'!$E:$E,0)),0)</f>
        <v>170208</v>
      </c>
      <c r="H4704" s="20">
        <f>IFERROR(INDEX('Kode Outlet dan Target Toko'!$D:$D,MATCH($I4700,'Kode Outlet dan Target Toko'!$E:$E,0)),0)</f>
        <v>5765011</v>
      </c>
      <c r="I4704" s="42" t="s">
        <v>145</v>
      </c>
      <c r="J4704" s="45" t="s">
        <v>220</v>
      </c>
      <c r="K4704" s="53" t="s">
        <v>14</v>
      </c>
      <c r="L4704" s="23">
        <v>2900</v>
      </c>
      <c r="M4704" s="23">
        <v>42</v>
      </c>
      <c r="N4704" s="25">
        <f t="shared" si="147"/>
        <v>121800</v>
      </c>
      <c r="O4704" s="24"/>
    </row>
    <row r="4705" spans="1:15" hidden="1" x14ac:dyDescent="0.3">
      <c r="A4705" s="24">
        <v>34</v>
      </c>
      <c r="B4705" s="20" t="s">
        <v>123</v>
      </c>
      <c r="C4705" s="21">
        <v>46256</v>
      </c>
      <c r="D4705" s="22" t="str">
        <f>IFERROR(INDEX('Kode Outlet dan Target Toko'!$A:$A,MATCH($I4701,'Kode Outlet dan Target Toko'!$E:$E,0)),"")</f>
        <v>GRSM 6</v>
      </c>
      <c r="E4705" s="20" t="str">
        <f>IFERROR(VLOOKUP(I4705,KET!$B:$F,4,0),"")</f>
        <v>MARTIKA MINTOROWATI</v>
      </c>
      <c r="F4705" s="20" t="str">
        <f>IFERROR(VLOOKUP($I4701,KET!$B:$F,5,0),"")</f>
        <v>GMM</v>
      </c>
      <c r="G4705" s="20">
        <f>IFERROR(INDEX('Kode Outlet dan Target Toko'!$C:$C,MATCH($I4701,'Kode Outlet dan Target Toko'!$E:$E,0)),0)</f>
        <v>170208</v>
      </c>
      <c r="H4705" s="20">
        <f>IFERROR(INDEX('Kode Outlet dan Target Toko'!$D:$D,MATCH($I4701,'Kode Outlet dan Target Toko'!$E:$E,0)),0)</f>
        <v>5765011</v>
      </c>
      <c r="I4705" s="42" t="s">
        <v>145</v>
      </c>
      <c r="J4705" s="45" t="s">
        <v>220</v>
      </c>
      <c r="K4705" s="53" t="s">
        <v>13</v>
      </c>
      <c r="L4705" s="23">
        <v>2900</v>
      </c>
      <c r="M4705" s="23">
        <v>35</v>
      </c>
      <c r="N4705" s="25">
        <f t="shared" si="147"/>
        <v>101500</v>
      </c>
      <c r="O4705" s="24"/>
    </row>
    <row r="4706" spans="1:15" hidden="1" x14ac:dyDescent="0.3">
      <c r="A4706" s="24">
        <v>34</v>
      </c>
      <c r="B4706" s="20" t="s">
        <v>123</v>
      </c>
      <c r="C4706" s="21">
        <v>46256</v>
      </c>
      <c r="D4706" s="22" t="str">
        <f>IFERROR(INDEX('Kode Outlet dan Target Toko'!$A:$A,MATCH($I4702,'Kode Outlet dan Target Toko'!$E:$E,0)),"")</f>
        <v>GRSM 6</v>
      </c>
      <c r="E4706" s="20" t="str">
        <f>IFERROR(VLOOKUP(I4706,KET!$B:$F,4,0),"")</f>
        <v>MARTIKA MINTOROWATI</v>
      </c>
      <c r="F4706" s="20" t="str">
        <f>IFERROR(VLOOKUP($I4702,KET!$B:$F,5,0),"")</f>
        <v>GMM</v>
      </c>
      <c r="G4706" s="20">
        <f>IFERROR(INDEX('Kode Outlet dan Target Toko'!$C:$C,MATCH($I4702,'Kode Outlet dan Target Toko'!$E:$E,0)),0)</f>
        <v>170208</v>
      </c>
      <c r="H4706" s="20">
        <f>IFERROR(INDEX('Kode Outlet dan Target Toko'!$D:$D,MATCH($I4702,'Kode Outlet dan Target Toko'!$E:$E,0)),0)</f>
        <v>5765011</v>
      </c>
      <c r="I4706" s="42" t="s">
        <v>145</v>
      </c>
      <c r="J4706" s="45" t="s">
        <v>220</v>
      </c>
      <c r="K4706" s="53" t="s">
        <v>16</v>
      </c>
      <c r="L4706" s="23">
        <v>2900</v>
      </c>
      <c r="M4706" s="23">
        <v>64</v>
      </c>
      <c r="N4706" s="25">
        <f t="shared" si="147"/>
        <v>185600</v>
      </c>
      <c r="O4706" s="24">
        <v>160</v>
      </c>
    </row>
    <row r="4707" spans="1:15" hidden="1" x14ac:dyDescent="0.3">
      <c r="A4707" s="24">
        <v>34</v>
      </c>
      <c r="B4707" s="20" t="s">
        <v>123</v>
      </c>
      <c r="C4707" s="21">
        <v>46257</v>
      </c>
      <c r="D4707" s="22" t="str">
        <f>IFERROR(INDEX('Kode Outlet dan Target Toko'!$A:$A,MATCH($I4703,'Kode Outlet dan Target Toko'!$E:$E,0)),"")</f>
        <v>GRSM 6</v>
      </c>
      <c r="E4707" s="20" t="str">
        <f>IFERROR(VLOOKUP(I4707,KET!$B:$F,4,0),"")</f>
        <v>MARTIKA MINTOROWATI</v>
      </c>
      <c r="F4707" s="20" t="str">
        <f>IFERROR(VLOOKUP($I4703,KET!$B:$F,5,0),"")</f>
        <v>GMM</v>
      </c>
      <c r="G4707" s="20">
        <f>IFERROR(INDEX('Kode Outlet dan Target Toko'!$C:$C,MATCH($I4703,'Kode Outlet dan Target Toko'!$E:$E,0)),0)</f>
        <v>211181</v>
      </c>
      <c r="H4707" s="20">
        <f>IFERROR(INDEX('Kode Outlet dan Target Toko'!$D:$D,MATCH($I4703,'Kode Outlet dan Target Toko'!$E:$E,0)),0)</f>
        <v>3208670</v>
      </c>
      <c r="I4707" s="41" t="s">
        <v>106</v>
      </c>
      <c r="J4707" s="45" t="s">
        <v>219</v>
      </c>
      <c r="K4707" s="53" t="s">
        <v>15</v>
      </c>
      <c r="L4707" s="23">
        <v>6000</v>
      </c>
      <c r="M4707" s="23">
        <v>9</v>
      </c>
      <c r="N4707" s="25">
        <f t="shared" si="147"/>
        <v>54000</v>
      </c>
      <c r="O4707" s="24"/>
    </row>
    <row r="4708" spans="1:15" hidden="1" x14ac:dyDescent="0.3">
      <c r="A4708" s="24">
        <v>34</v>
      </c>
      <c r="B4708" s="20" t="s">
        <v>123</v>
      </c>
      <c r="C4708" s="21">
        <v>46257</v>
      </c>
      <c r="D4708" s="22" t="str">
        <f>IFERROR(INDEX('Kode Outlet dan Target Toko'!$A:$A,MATCH($I4704,'Kode Outlet dan Target Toko'!$E:$E,0)),"")</f>
        <v>GRSM 6</v>
      </c>
      <c r="E4708" s="20" t="str">
        <f>IFERROR(VLOOKUP(I4708,KET!$B:$F,4,0),"")</f>
        <v>MARTIKA MINTOROWATI</v>
      </c>
      <c r="F4708" s="20" t="str">
        <f>IFERROR(VLOOKUP($I4704,KET!$B:$F,5,0),"")</f>
        <v>GMM</v>
      </c>
      <c r="G4708" s="20">
        <f>IFERROR(INDEX('Kode Outlet dan Target Toko'!$C:$C,MATCH($I4704,'Kode Outlet dan Target Toko'!$E:$E,0)),0)</f>
        <v>211181</v>
      </c>
      <c r="H4708" s="20">
        <f>IFERROR(INDEX('Kode Outlet dan Target Toko'!$D:$D,MATCH($I4704,'Kode Outlet dan Target Toko'!$E:$E,0)),0)</f>
        <v>3208670</v>
      </c>
      <c r="I4708" s="41" t="s">
        <v>106</v>
      </c>
      <c r="J4708" s="45" t="s">
        <v>219</v>
      </c>
      <c r="K4708" s="53" t="s">
        <v>14</v>
      </c>
      <c r="L4708" s="23">
        <v>6000</v>
      </c>
      <c r="M4708" s="23">
        <v>56</v>
      </c>
      <c r="N4708" s="25">
        <f t="shared" si="147"/>
        <v>336000</v>
      </c>
      <c r="O4708" s="24"/>
    </row>
    <row r="4709" spans="1:15" hidden="1" x14ac:dyDescent="0.3">
      <c r="A4709" s="24">
        <v>34</v>
      </c>
      <c r="B4709" s="20" t="s">
        <v>123</v>
      </c>
      <c r="C4709" s="21">
        <v>46257</v>
      </c>
      <c r="D4709" s="22" t="str">
        <f>IFERROR(INDEX('Kode Outlet dan Target Toko'!$A:$A,MATCH($I4705,'Kode Outlet dan Target Toko'!$E:$E,0)),"")</f>
        <v>GRSM 6</v>
      </c>
      <c r="E4709" s="20" t="str">
        <f>IFERROR(VLOOKUP(I4709,KET!$B:$F,4,0),"")</f>
        <v>MARTIKA MINTOROWATI</v>
      </c>
      <c r="F4709" s="20" t="str">
        <f>IFERROR(VLOOKUP($I4705,KET!$B:$F,5,0),"")</f>
        <v>GMM</v>
      </c>
      <c r="G4709" s="20">
        <f>IFERROR(INDEX('Kode Outlet dan Target Toko'!$C:$C,MATCH($I4705,'Kode Outlet dan Target Toko'!$E:$E,0)),0)</f>
        <v>211181</v>
      </c>
      <c r="H4709" s="20">
        <f>IFERROR(INDEX('Kode Outlet dan Target Toko'!$D:$D,MATCH($I4705,'Kode Outlet dan Target Toko'!$E:$E,0)),0)</f>
        <v>3208670</v>
      </c>
      <c r="I4709" s="41" t="s">
        <v>106</v>
      </c>
      <c r="J4709" s="45" t="s">
        <v>219</v>
      </c>
      <c r="K4709" s="53" t="s">
        <v>13</v>
      </c>
      <c r="L4709" s="23">
        <v>6000</v>
      </c>
      <c r="M4709" s="23">
        <v>3</v>
      </c>
      <c r="N4709" s="25">
        <f t="shared" si="147"/>
        <v>18000</v>
      </c>
      <c r="O4709" s="24"/>
    </row>
    <row r="4710" spans="1:15" hidden="1" x14ac:dyDescent="0.3">
      <c r="A4710" s="24">
        <v>34</v>
      </c>
      <c r="B4710" s="20" t="s">
        <v>123</v>
      </c>
      <c r="C4710" s="21">
        <v>46257</v>
      </c>
      <c r="D4710" s="22" t="str">
        <f>IFERROR(INDEX('Kode Outlet dan Target Toko'!$A:$A,MATCH($I4706,'Kode Outlet dan Target Toko'!$E:$E,0)),"")</f>
        <v>GRSM 6</v>
      </c>
      <c r="E4710" s="20" t="str">
        <f>IFERROR(VLOOKUP(I4710,KET!$B:$F,4,0),"")</f>
        <v>MARTIKA MINTOROWATI</v>
      </c>
      <c r="F4710" s="20" t="str">
        <f>IFERROR(VLOOKUP($I4706,KET!$B:$F,5,0),"")</f>
        <v>GMM</v>
      </c>
      <c r="G4710" s="20">
        <f>IFERROR(INDEX('Kode Outlet dan Target Toko'!$C:$C,MATCH($I4706,'Kode Outlet dan Target Toko'!$E:$E,0)),0)</f>
        <v>211181</v>
      </c>
      <c r="H4710" s="20">
        <f>IFERROR(INDEX('Kode Outlet dan Target Toko'!$D:$D,MATCH($I4706,'Kode Outlet dan Target Toko'!$E:$E,0)),0)</f>
        <v>3208670</v>
      </c>
      <c r="I4710" s="41" t="s">
        <v>106</v>
      </c>
      <c r="J4710" s="45" t="s">
        <v>219</v>
      </c>
      <c r="K4710" s="53" t="s">
        <v>16</v>
      </c>
      <c r="L4710" s="23">
        <v>6000</v>
      </c>
      <c r="M4710" s="23">
        <v>77</v>
      </c>
      <c r="N4710" s="25">
        <f t="shared" si="147"/>
        <v>462000</v>
      </c>
      <c r="O4710" s="24">
        <v>160</v>
      </c>
    </row>
    <row r="4711" spans="1:15" hidden="1" x14ac:dyDescent="0.3">
      <c r="A4711" s="24">
        <v>34</v>
      </c>
      <c r="B4711" s="20" t="s">
        <v>123</v>
      </c>
      <c r="C4711" s="21">
        <v>46257</v>
      </c>
      <c r="D4711" s="22" t="str">
        <f>IFERROR(INDEX('Kode Outlet dan Target Toko'!$A:$A,MATCH($I4707,'Kode Outlet dan Target Toko'!$E:$E,0)),"")</f>
        <v>GRSM 6</v>
      </c>
      <c r="E4711" s="20" t="str">
        <f>IFERROR(VLOOKUP(I4711,KET!$B:$F,4,0),"")</f>
        <v>MARTIKA MINTOROWATI</v>
      </c>
      <c r="F4711" s="20" t="str">
        <f>IFERROR(VLOOKUP($I4707,KET!$B:$F,5,0),"")</f>
        <v>GMM</v>
      </c>
      <c r="G4711" s="20">
        <f>IFERROR(INDEX('Kode Outlet dan Target Toko'!$C:$C,MATCH($I4707,'Kode Outlet dan Target Toko'!$E:$E,0)),0)</f>
        <v>211030</v>
      </c>
      <c r="H4711" s="20">
        <f>IFERROR(INDEX('Kode Outlet dan Target Toko'!$D:$D,MATCH($I4707,'Kode Outlet dan Target Toko'!$E:$E,0)),0)</f>
        <v>5766116</v>
      </c>
      <c r="I4711" s="42" t="s">
        <v>145</v>
      </c>
      <c r="J4711" s="45" t="s">
        <v>221</v>
      </c>
      <c r="K4711" s="53" t="s">
        <v>15</v>
      </c>
      <c r="L4711" s="23">
        <v>2900</v>
      </c>
      <c r="M4711" s="23">
        <v>47</v>
      </c>
      <c r="N4711" s="25">
        <f t="shared" si="147"/>
        <v>136300</v>
      </c>
      <c r="O4711" s="24"/>
    </row>
    <row r="4712" spans="1:15" hidden="1" x14ac:dyDescent="0.3">
      <c r="A4712" s="24">
        <v>34</v>
      </c>
      <c r="B4712" s="20" t="s">
        <v>123</v>
      </c>
      <c r="C4712" s="21">
        <v>46257</v>
      </c>
      <c r="D4712" s="22" t="str">
        <f>IFERROR(INDEX('Kode Outlet dan Target Toko'!$A:$A,MATCH($I4708,'Kode Outlet dan Target Toko'!$E:$E,0)),"")</f>
        <v>GRSM 6</v>
      </c>
      <c r="E4712" s="20" t="str">
        <f>IFERROR(VLOOKUP(I4712,KET!$B:$F,4,0),"")</f>
        <v>MARTIKA MINTOROWATI</v>
      </c>
      <c r="F4712" s="20" t="str">
        <f>IFERROR(VLOOKUP($I4708,KET!$B:$F,5,0),"")</f>
        <v>GMM</v>
      </c>
      <c r="G4712" s="20">
        <f>IFERROR(INDEX('Kode Outlet dan Target Toko'!$C:$C,MATCH($I4708,'Kode Outlet dan Target Toko'!$E:$E,0)),0)</f>
        <v>211030</v>
      </c>
      <c r="H4712" s="20">
        <f>IFERROR(INDEX('Kode Outlet dan Target Toko'!$D:$D,MATCH($I4708,'Kode Outlet dan Target Toko'!$E:$E,0)),0)</f>
        <v>5766116</v>
      </c>
      <c r="I4712" s="42" t="s">
        <v>145</v>
      </c>
      <c r="J4712" s="45" t="s">
        <v>221</v>
      </c>
      <c r="K4712" s="53" t="s">
        <v>14</v>
      </c>
      <c r="L4712" s="23">
        <v>2900</v>
      </c>
      <c r="M4712" s="23">
        <v>34</v>
      </c>
      <c r="N4712" s="25">
        <f t="shared" si="147"/>
        <v>98600</v>
      </c>
      <c r="O4712" s="24"/>
    </row>
    <row r="4713" spans="1:15" hidden="1" x14ac:dyDescent="0.3">
      <c r="A4713" s="24">
        <v>34</v>
      </c>
      <c r="B4713" s="20" t="s">
        <v>123</v>
      </c>
      <c r="C4713" s="21">
        <v>46257</v>
      </c>
      <c r="D4713" s="22" t="str">
        <f>IFERROR(INDEX('Kode Outlet dan Target Toko'!$A:$A,MATCH($I4709,'Kode Outlet dan Target Toko'!$E:$E,0)),"")</f>
        <v>GRSM 6</v>
      </c>
      <c r="E4713" s="20" t="str">
        <f>IFERROR(VLOOKUP(I4713,KET!$B:$F,4,0),"")</f>
        <v>MARTIKA MINTOROWATI</v>
      </c>
      <c r="F4713" s="20" t="str">
        <f>IFERROR(VLOOKUP($I4709,KET!$B:$F,5,0),"")</f>
        <v>GMM</v>
      </c>
      <c r="G4713" s="20">
        <f>IFERROR(INDEX('Kode Outlet dan Target Toko'!$C:$C,MATCH($I4709,'Kode Outlet dan Target Toko'!$E:$E,0)),0)</f>
        <v>211030</v>
      </c>
      <c r="H4713" s="20">
        <f>IFERROR(INDEX('Kode Outlet dan Target Toko'!$D:$D,MATCH($I4709,'Kode Outlet dan Target Toko'!$E:$E,0)),0)</f>
        <v>5766116</v>
      </c>
      <c r="I4713" s="42" t="s">
        <v>145</v>
      </c>
      <c r="J4713" s="45" t="s">
        <v>221</v>
      </c>
      <c r="K4713" s="53" t="s">
        <v>13</v>
      </c>
      <c r="L4713" s="23">
        <v>2900</v>
      </c>
      <c r="M4713" s="23">
        <v>39</v>
      </c>
      <c r="N4713" s="25">
        <f t="shared" si="147"/>
        <v>113100</v>
      </c>
      <c r="O4713" s="24"/>
    </row>
    <row r="4714" spans="1:15" hidden="1" x14ac:dyDescent="0.3">
      <c r="A4714" s="24">
        <v>34</v>
      </c>
      <c r="B4714" s="20" t="s">
        <v>123</v>
      </c>
      <c r="C4714" s="21">
        <v>46257</v>
      </c>
      <c r="D4714" s="22" t="str">
        <f>IFERROR(INDEX('Kode Outlet dan Target Toko'!$A:$A,MATCH($I4710,'Kode Outlet dan Target Toko'!$E:$E,0)),"")</f>
        <v>GRSM 6</v>
      </c>
      <c r="E4714" s="20" t="str">
        <f>IFERROR(VLOOKUP(I4714,KET!$B:$F,4,0),"")</f>
        <v>MARTIKA MINTOROWATI</v>
      </c>
      <c r="F4714" s="20" t="str">
        <f>IFERROR(VLOOKUP($I4710,KET!$B:$F,5,0),"")</f>
        <v>GMM</v>
      </c>
      <c r="G4714" s="20">
        <f>IFERROR(INDEX('Kode Outlet dan Target Toko'!$C:$C,MATCH($I4710,'Kode Outlet dan Target Toko'!$E:$E,0)),0)</f>
        <v>211030</v>
      </c>
      <c r="H4714" s="20">
        <f>IFERROR(INDEX('Kode Outlet dan Target Toko'!$D:$D,MATCH($I4710,'Kode Outlet dan Target Toko'!$E:$E,0)),0)</f>
        <v>5766116</v>
      </c>
      <c r="I4714" s="42" t="s">
        <v>145</v>
      </c>
      <c r="J4714" s="45" t="s">
        <v>221</v>
      </c>
      <c r="K4714" s="53" t="s">
        <v>16</v>
      </c>
      <c r="L4714" s="23">
        <v>2900</v>
      </c>
      <c r="M4714" s="23">
        <v>53</v>
      </c>
      <c r="N4714" s="25">
        <f t="shared" si="147"/>
        <v>153700</v>
      </c>
      <c r="O4714" s="24">
        <v>160</v>
      </c>
    </row>
    <row r="4715" spans="1:15" hidden="1" x14ac:dyDescent="0.3">
      <c r="A4715" s="24">
        <v>34</v>
      </c>
      <c r="B4715" s="20" t="s">
        <v>123</v>
      </c>
      <c r="C4715" s="21">
        <v>46257</v>
      </c>
      <c r="D4715" s="22" t="str">
        <f>IFERROR(INDEX('Kode Outlet dan Target Toko'!$A:$A,MATCH($I4711,'Kode Outlet dan Target Toko'!$E:$E,0)),"")</f>
        <v>GRSM 6</v>
      </c>
      <c r="E4715" s="20" t="str">
        <f>IFERROR(VLOOKUP(I4715,KET!$B:$F,4,0),"")</f>
        <v>MARTIKA MINTOROWATI</v>
      </c>
      <c r="F4715" s="20" t="str">
        <f>IFERROR(VLOOKUP($I4711,KET!$B:$F,5,0),"")</f>
        <v>GMM</v>
      </c>
      <c r="G4715" s="20">
        <f>IFERROR(INDEX('Kode Outlet dan Target Toko'!$C:$C,MATCH($I4711,'Kode Outlet dan Target Toko'!$E:$E,0)),0)</f>
        <v>211181</v>
      </c>
      <c r="H4715" s="20">
        <f>IFERROR(INDEX('Kode Outlet dan Target Toko'!$D:$D,MATCH($I4711,'Kode Outlet dan Target Toko'!$E:$E,0)),0)</f>
        <v>3208670</v>
      </c>
      <c r="I4715" s="41" t="s">
        <v>109</v>
      </c>
      <c r="J4715" s="56" t="s">
        <v>215</v>
      </c>
      <c r="K4715" s="53" t="s">
        <v>15</v>
      </c>
      <c r="L4715" s="23">
        <v>2950</v>
      </c>
      <c r="M4715" s="23">
        <v>0</v>
      </c>
      <c r="N4715" s="25">
        <f t="shared" si="147"/>
        <v>0</v>
      </c>
      <c r="O4715" s="24"/>
    </row>
    <row r="4716" spans="1:15" hidden="1" x14ac:dyDescent="0.3">
      <c r="A4716" s="24">
        <v>34</v>
      </c>
      <c r="B4716" s="20" t="s">
        <v>123</v>
      </c>
      <c r="C4716" s="21">
        <v>46257</v>
      </c>
      <c r="D4716" s="22" t="str">
        <f>IFERROR(INDEX('Kode Outlet dan Target Toko'!$A:$A,MATCH($I4712,'Kode Outlet dan Target Toko'!$E:$E,0)),"")</f>
        <v>GRSM 6</v>
      </c>
      <c r="E4716" s="20" t="str">
        <f>IFERROR(VLOOKUP(I4716,KET!$B:$F,4,0),"")</f>
        <v>MARTIKA MINTOROWATI</v>
      </c>
      <c r="F4716" s="20" t="str">
        <f>IFERROR(VLOOKUP($I4712,KET!$B:$F,5,0),"")</f>
        <v>GMM</v>
      </c>
      <c r="G4716" s="20">
        <f>IFERROR(INDEX('Kode Outlet dan Target Toko'!$C:$C,MATCH($I4712,'Kode Outlet dan Target Toko'!$E:$E,0)),0)</f>
        <v>211181</v>
      </c>
      <c r="H4716" s="20">
        <f>IFERROR(INDEX('Kode Outlet dan Target Toko'!$D:$D,MATCH($I4712,'Kode Outlet dan Target Toko'!$E:$E,0)),0)</f>
        <v>3208670</v>
      </c>
      <c r="I4716" s="41" t="s">
        <v>109</v>
      </c>
      <c r="J4716" s="56" t="s">
        <v>215</v>
      </c>
      <c r="K4716" s="53" t="s">
        <v>14</v>
      </c>
      <c r="L4716" s="23">
        <v>2950</v>
      </c>
      <c r="M4716" s="23">
        <v>97</v>
      </c>
      <c r="N4716" s="25">
        <f t="shared" si="147"/>
        <v>286150</v>
      </c>
      <c r="O4716" s="24"/>
    </row>
    <row r="4717" spans="1:15" hidden="1" x14ac:dyDescent="0.3">
      <c r="A4717" s="24">
        <v>34</v>
      </c>
      <c r="B4717" s="20" t="s">
        <v>123</v>
      </c>
      <c r="C4717" s="21">
        <v>46257</v>
      </c>
      <c r="D4717" s="22" t="str">
        <f>IFERROR(INDEX('Kode Outlet dan Target Toko'!$A:$A,MATCH($I4713,'Kode Outlet dan Target Toko'!$E:$E,0)),"")</f>
        <v>GRSM 6</v>
      </c>
      <c r="E4717" s="20" t="str">
        <f>IFERROR(VLOOKUP(I4717,KET!$B:$F,4,0),"")</f>
        <v>MARTIKA MINTOROWATI</v>
      </c>
      <c r="F4717" s="20" t="str">
        <f>IFERROR(VLOOKUP($I4713,KET!$B:$F,5,0),"")</f>
        <v>GMM</v>
      </c>
      <c r="G4717" s="20">
        <f>IFERROR(INDEX('Kode Outlet dan Target Toko'!$C:$C,MATCH($I4713,'Kode Outlet dan Target Toko'!$E:$E,0)),0)</f>
        <v>211181</v>
      </c>
      <c r="H4717" s="20">
        <f>IFERROR(INDEX('Kode Outlet dan Target Toko'!$D:$D,MATCH($I4713,'Kode Outlet dan Target Toko'!$E:$E,0)),0)</f>
        <v>3208670</v>
      </c>
      <c r="I4717" s="41" t="s">
        <v>109</v>
      </c>
      <c r="J4717" s="56" t="s">
        <v>215</v>
      </c>
      <c r="K4717" s="53" t="s">
        <v>13</v>
      </c>
      <c r="L4717" s="23">
        <v>2950</v>
      </c>
      <c r="M4717" s="23">
        <v>39</v>
      </c>
      <c r="N4717" s="25">
        <f t="shared" si="147"/>
        <v>115050</v>
      </c>
      <c r="O4717" s="24"/>
    </row>
    <row r="4718" spans="1:15" hidden="1" x14ac:dyDescent="0.3">
      <c r="A4718" s="24">
        <v>34</v>
      </c>
      <c r="B4718" s="20" t="s">
        <v>123</v>
      </c>
      <c r="C4718" s="21">
        <v>46257</v>
      </c>
      <c r="D4718" s="22" t="str">
        <f>IFERROR(INDEX('Kode Outlet dan Target Toko'!$A:$A,MATCH($I4714,'Kode Outlet dan Target Toko'!$E:$E,0)),"")</f>
        <v>GRSM 6</v>
      </c>
      <c r="E4718" s="20" t="str">
        <f>IFERROR(VLOOKUP(I4718,KET!$B:$F,4,0),"")</f>
        <v>MARTIKA MINTOROWATI</v>
      </c>
      <c r="F4718" s="20" t="str">
        <f>IFERROR(VLOOKUP($I4714,KET!$B:$F,5,0),"")</f>
        <v>GMM</v>
      </c>
      <c r="G4718" s="20">
        <f>IFERROR(INDEX('Kode Outlet dan Target Toko'!$C:$C,MATCH($I4714,'Kode Outlet dan Target Toko'!$E:$E,0)),0)</f>
        <v>211181</v>
      </c>
      <c r="H4718" s="20">
        <f>IFERROR(INDEX('Kode Outlet dan Target Toko'!$D:$D,MATCH($I4714,'Kode Outlet dan Target Toko'!$E:$E,0)),0)</f>
        <v>3208670</v>
      </c>
      <c r="I4718" s="41" t="s">
        <v>109</v>
      </c>
      <c r="J4718" s="56" t="s">
        <v>215</v>
      </c>
      <c r="K4718" s="53" t="s">
        <v>16</v>
      </c>
      <c r="L4718" s="23">
        <v>2950</v>
      </c>
      <c r="M4718" s="23">
        <v>141</v>
      </c>
      <c r="N4718" s="25">
        <f t="shared" si="147"/>
        <v>415950</v>
      </c>
      <c r="O4718" s="24">
        <v>160</v>
      </c>
    </row>
    <row r="4719" spans="1:15" hidden="1" x14ac:dyDescent="0.3">
      <c r="A4719" s="24">
        <v>34</v>
      </c>
      <c r="B4719" s="20" t="s">
        <v>123</v>
      </c>
      <c r="C4719" s="21">
        <v>46257</v>
      </c>
      <c r="D4719" s="22" t="str">
        <f>IFERROR(INDEX('Kode Outlet dan Target Toko'!$A:$A,MATCH($I4715,'Kode Outlet dan Target Toko'!$E:$E,0)),"")</f>
        <v>GRSM 6</v>
      </c>
      <c r="E4719" s="20" t="str">
        <f>IFERROR(VLOOKUP(I4719,KET!$B:$F,4,0),"")</f>
        <v>MARTIKA MINTOROWATI</v>
      </c>
      <c r="F4719" s="20" t="str">
        <f>IFERROR(VLOOKUP($I4715,KET!$B:$F,5,0),"")</f>
        <v>GMM</v>
      </c>
      <c r="G4719" s="20">
        <f>IFERROR(INDEX('Kode Outlet dan Target Toko'!$C:$C,MATCH($I4715,'Kode Outlet dan Target Toko'!$E:$E,0)),0)</f>
        <v>170208</v>
      </c>
      <c r="H4719" s="20">
        <f>IFERROR(INDEX('Kode Outlet dan Target Toko'!$D:$D,MATCH($I4715,'Kode Outlet dan Target Toko'!$E:$E,0)),0)</f>
        <v>5765011</v>
      </c>
      <c r="I4719" s="41" t="s">
        <v>91</v>
      </c>
      <c r="J4719" s="45" t="s">
        <v>217</v>
      </c>
      <c r="K4719" s="53" t="s">
        <v>15</v>
      </c>
      <c r="L4719" s="23">
        <v>2850</v>
      </c>
      <c r="M4719" s="23">
        <v>115</v>
      </c>
      <c r="N4719" s="25">
        <f t="shared" si="147"/>
        <v>327750</v>
      </c>
      <c r="O4719" s="24"/>
    </row>
    <row r="4720" spans="1:15" hidden="1" x14ac:dyDescent="0.3">
      <c r="A4720" s="24">
        <v>34</v>
      </c>
      <c r="B4720" s="20" t="s">
        <v>123</v>
      </c>
      <c r="C4720" s="21">
        <v>46257</v>
      </c>
      <c r="D4720" s="22" t="str">
        <f>IFERROR(INDEX('Kode Outlet dan Target Toko'!$A:$A,MATCH($I4716,'Kode Outlet dan Target Toko'!$E:$E,0)),"")</f>
        <v>GRSM 6</v>
      </c>
      <c r="E4720" s="20" t="str">
        <f>IFERROR(VLOOKUP(I4720,KET!$B:$F,4,0),"")</f>
        <v>MARTIKA MINTOROWATI</v>
      </c>
      <c r="F4720" s="20" t="str">
        <f>IFERROR(VLOOKUP($I4716,KET!$B:$F,5,0),"")</f>
        <v>GMM</v>
      </c>
      <c r="G4720" s="20">
        <f>IFERROR(INDEX('Kode Outlet dan Target Toko'!$C:$C,MATCH($I4716,'Kode Outlet dan Target Toko'!$E:$E,0)),0)</f>
        <v>170208</v>
      </c>
      <c r="H4720" s="20">
        <f>IFERROR(INDEX('Kode Outlet dan Target Toko'!$D:$D,MATCH($I4716,'Kode Outlet dan Target Toko'!$E:$E,0)),0)</f>
        <v>5765011</v>
      </c>
      <c r="I4720" s="41" t="s">
        <v>91</v>
      </c>
      <c r="J4720" s="45" t="s">
        <v>217</v>
      </c>
      <c r="K4720" s="53" t="s">
        <v>14</v>
      </c>
      <c r="L4720" s="23">
        <v>2850</v>
      </c>
      <c r="M4720" s="23">
        <v>79</v>
      </c>
      <c r="N4720" s="25">
        <f t="shared" si="147"/>
        <v>225150</v>
      </c>
      <c r="O4720" s="24"/>
    </row>
    <row r="4721" spans="1:15" hidden="1" x14ac:dyDescent="0.3">
      <c r="A4721" s="24">
        <v>34</v>
      </c>
      <c r="B4721" s="20" t="s">
        <v>123</v>
      </c>
      <c r="C4721" s="21">
        <v>46257</v>
      </c>
      <c r="D4721" s="22" t="str">
        <f>IFERROR(INDEX('Kode Outlet dan Target Toko'!$A:$A,MATCH($I4717,'Kode Outlet dan Target Toko'!$E:$E,0)),"")</f>
        <v>GRSM 6</v>
      </c>
      <c r="E4721" s="20" t="str">
        <f>IFERROR(VLOOKUP(I4721,KET!$B:$F,4,0),"")</f>
        <v>MARTIKA MINTOROWATI</v>
      </c>
      <c r="F4721" s="20" t="str">
        <f>IFERROR(VLOOKUP($I4717,KET!$B:$F,5,0),"")</f>
        <v>GMM</v>
      </c>
      <c r="G4721" s="20">
        <f>IFERROR(INDEX('Kode Outlet dan Target Toko'!$C:$C,MATCH($I4717,'Kode Outlet dan Target Toko'!$E:$E,0)),0)</f>
        <v>170208</v>
      </c>
      <c r="H4721" s="20">
        <f>IFERROR(INDEX('Kode Outlet dan Target Toko'!$D:$D,MATCH($I4717,'Kode Outlet dan Target Toko'!$E:$E,0)),0)</f>
        <v>5765011</v>
      </c>
      <c r="I4721" s="41" t="s">
        <v>91</v>
      </c>
      <c r="J4721" s="45" t="s">
        <v>217</v>
      </c>
      <c r="K4721" s="53" t="s">
        <v>13</v>
      </c>
      <c r="L4721" s="23">
        <v>2850</v>
      </c>
      <c r="M4721" s="23">
        <v>36</v>
      </c>
      <c r="N4721" s="25">
        <f t="shared" si="147"/>
        <v>102600</v>
      </c>
      <c r="O4721" s="24"/>
    </row>
    <row r="4722" spans="1:15" hidden="1" x14ac:dyDescent="0.3">
      <c r="A4722" s="24">
        <v>34</v>
      </c>
      <c r="B4722" s="20" t="s">
        <v>123</v>
      </c>
      <c r="C4722" s="21">
        <v>46257</v>
      </c>
      <c r="D4722" s="22" t="str">
        <f>IFERROR(INDEX('Kode Outlet dan Target Toko'!$A:$A,MATCH($I4718,'Kode Outlet dan Target Toko'!$E:$E,0)),"")</f>
        <v>GRSM 6</v>
      </c>
      <c r="E4722" s="20" t="str">
        <f>IFERROR(VLOOKUP(I4722,KET!$B:$F,4,0),"")</f>
        <v>MARTIKA MINTOROWATI</v>
      </c>
      <c r="F4722" s="20" t="str">
        <f>IFERROR(VLOOKUP($I4718,KET!$B:$F,5,0),"")</f>
        <v>GMM</v>
      </c>
      <c r="G4722" s="20">
        <f>IFERROR(INDEX('Kode Outlet dan Target Toko'!$C:$C,MATCH($I4718,'Kode Outlet dan Target Toko'!$E:$E,0)),0)</f>
        <v>170208</v>
      </c>
      <c r="H4722" s="20">
        <f>IFERROR(INDEX('Kode Outlet dan Target Toko'!$D:$D,MATCH($I4718,'Kode Outlet dan Target Toko'!$E:$E,0)),0)</f>
        <v>5765011</v>
      </c>
      <c r="I4722" s="41" t="s">
        <v>91</v>
      </c>
      <c r="J4722" s="45" t="s">
        <v>217</v>
      </c>
      <c r="K4722" s="53" t="s">
        <v>16</v>
      </c>
      <c r="L4722" s="23">
        <v>2850</v>
      </c>
      <c r="M4722" s="23">
        <v>303</v>
      </c>
      <c r="N4722" s="25">
        <f t="shared" si="147"/>
        <v>863550</v>
      </c>
      <c r="O4722" s="24">
        <v>160</v>
      </c>
    </row>
    <row r="4723" spans="1:15" hidden="1" x14ac:dyDescent="0.3">
      <c r="A4723" s="24">
        <v>34</v>
      </c>
      <c r="B4723" s="20" t="s">
        <v>123</v>
      </c>
      <c r="C4723" s="21">
        <v>46257</v>
      </c>
      <c r="D4723" s="22" t="str">
        <f>IFERROR(INDEX('Kode Outlet dan Target Toko'!$A:$A,MATCH($I4719,'Kode Outlet dan Target Toko'!$E:$E,0)),"")</f>
        <v>GRSM 6</v>
      </c>
      <c r="E4723" s="20" t="str">
        <f>IFERROR(VLOOKUP(I4723,KET!$B:$F,4,0),"")</f>
        <v>MARTIKA MINTOROWATI</v>
      </c>
      <c r="F4723" s="20" t="str">
        <f>IFERROR(VLOOKUP($I4719,KET!$B:$F,5,0),"")</f>
        <v>GMM</v>
      </c>
      <c r="G4723" s="20">
        <f>IFERROR(INDEX('Kode Outlet dan Target Toko'!$C:$C,MATCH($I4719,'Kode Outlet dan Target Toko'!$E:$E,0)),0)</f>
        <v>211161</v>
      </c>
      <c r="H4723" s="20">
        <f>IFERROR(INDEX('Kode Outlet dan Target Toko'!$D:$D,MATCH($I4719,'Kode Outlet dan Target Toko'!$E:$E,0)),0)</f>
        <v>7103</v>
      </c>
      <c r="I4723" s="41" t="s">
        <v>91</v>
      </c>
      <c r="J4723" s="45" t="s">
        <v>216</v>
      </c>
      <c r="K4723" s="53" t="s">
        <v>15</v>
      </c>
      <c r="L4723" s="23">
        <v>2850</v>
      </c>
      <c r="M4723" s="23">
        <v>115</v>
      </c>
      <c r="N4723" s="25">
        <f t="shared" si="147"/>
        <v>327750</v>
      </c>
      <c r="O4723" s="24"/>
    </row>
    <row r="4724" spans="1:15" hidden="1" x14ac:dyDescent="0.3">
      <c r="A4724" s="24">
        <v>34</v>
      </c>
      <c r="B4724" s="20" t="s">
        <v>123</v>
      </c>
      <c r="C4724" s="21">
        <v>46257</v>
      </c>
      <c r="D4724" s="22" t="str">
        <f>IFERROR(INDEX('Kode Outlet dan Target Toko'!$A:$A,MATCH($I4720,'Kode Outlet dan Target Toko'!$E:$E,0)),"")</f>
        <v>GRSM 6</v>
      </c>
      <c r="E4724" s="20" t="str">
        <f>IFERROR(VLOOKUP(I4724,KET!$B:$F,4,0),"")</f>
        <v>MARTIKA MINTOROWATI</v>
      </c>
      <c r="F4724" s="20" t="str">
        <f>IFERROR(VLOOKUP($I4720,KET!$B:$F,5,0),"")</f>
        <v>GMM</v>
      </c>
      <c r="G4724" s="20">
        <f>IFERROR(INDEX('Kode Outlet dan Target Toko'!$C:$C,MATCH($I4720,'Kode Outlet dan Target Toko'!$E:$E,0)),0)</f>
        <v>211161</v>
      </c>
      <c r="H4724" s="20">
        <f>IFERROR(INDEX('Kode Outlet dan Target Toko'!$D:$D,MATCH($I4720,'Kode Outlet dan Target Toko'!$E:$E,0)),0)</f>
        <v>7103</v>
      </c>
      <c r="I4724" s="41" t="s">
        <v>91</v>
      </c>
      <c r="J4724" s="45" t="s">
        <v>216</v>
      </c>
      <c r="K4724" s="53" t="s">
        <v>14</v>
      </c>
      <c r="L4724" s="23">
        <v>2850</v>
      </c>
      <c r="M4724" s="23">
        <v>79</v>
      </c>
      <c r="N4724" s="25">
        <f t="shared" si="147"/>
        <v>225150</v>
      </c>
      <c r="O4724" s="24"/>
    </row>
    <row r="4725" spans="1:15" hidden="1" x14ac:dyDescent="0.3">
      <c r="A4725" s="24">
        <v>34</v>
      </c>
      <c r="B4725" s="20" t="s">
        <v>123</v>
      </c>
      <c r="C4725" s="21">
        <v>46257</v>
      </c>
      <c r="D4725" s="22" t="str">
        <f>IFERROR(INDEX('Kode Outlet dan Target Toko'!$A:$A,MATCH($I4721,'Kode Outlet dan Target Toko'!$E:$E,0)),"")</f>
        <v>GRSM 6</v>
      </c>
      <c r="E4725" s="20" t="str">
        <f>IFERROR(VLOOKUP(I4725,KET!$B:$F,4,0),"")</f>
        <v>MARTIKA MINTOROWATI</v>
      </c>
      <c r="F4725" s="20" t="str">
        <f>IFERROR(VLOOKUP($I4721,KET!$B:$F,5,0),"")</f>
        <v>GMM</v>
      </c>
      <c r="G4725" s="20">
        <f>IFERROR(INDEX('Kode Outlet dan Target Toko'!$C:$C,MATCH($I4721,'Kode Outlet dan Target Toko'!$E:$E,0)),0)</f>
        <v>211161</v>
      </c>
      <c r="H4725" s="20">
        <f>IFERROR(INDEX('Kode Outlet dan Target Toko'!$D:$D,MATCH($I4721,'Kode Outlet dan Target Toko'!$E:$E,0)),0)</f>
        <v>7103</v>
      </c>
      <c r="I4725" s="41" t="s">
        <v>91</v>
      </c>
      <c r="J4725" s="45" t="s">
        <v>216</v>
      </c>
      <c r="K4725" s="53" t="s">
        <v>13</v>
      </c>
      <c r="L4725" s="23">
        <v>2850</v>
      </c>
      <c r="M4725" s="23">
        <v>36</v>
      </c>
      <c r="N4725" s="25">
        <f t="shared" si="147"/>
        <v>102600</v>
      </c>
      <c r="O4725" s="24"/>
    </row>
    <row r="4726" spans="1:15" hidden="1" x14ac:dyDescent="0.3">
      <c r="A4726" s="24">
        <v>34</v>
      </c>
      <c r="B4726" s="20" t="s">
        <v>123</v>
      </c>
      <c r="C4726" s="21">
        <v>46257</v>
      </c>
      <c r="D4726" s="22" t="str">
        <f>IFERROR(INDEX('Kode Outlet dan Target Toko'!$A:$A,MATCH($I4722,'Kode Outlet dan Target Toko'!$E:$E,0)),"")</f>
        <v>GRSM 6</v>
      </c>
      <c r="E4726" s="20" t="str">
        <f>IFERROR(VLOOKUP(I4726,KET!$B:$F,4,0),"")</f>
        <v>MARTIKA MINTOROWATI</v>
      </c>
      <c r="F4726" s="20" t="str">
        <f>IFERROR(VLOOKUP($I4722,KET!$B:$F,5,0),"")</f>
        <v>GMM</v>
      </c>
      <c r="G4726" s="20">
        <f>IFERROR(INDEX('Kode Outlet dan Target Toko'!$C:$C,MATCH($I4722,'Kode Outlet dan Target Toko'!$E:$E,0)),0)</f>
        <v>211161</v>
      </c>
      <c r="H4726" s="20">
        <f>IFERROR(INDEX('Kode Outlet dan Target Toko'!$D:$D,MATCH($I4722,'Kode Outlet dan Target Toko'!$E:$E,0)),0)</f>
        <v>7103</v>
      </c>
      <c r="I4726" s="41" t="s">
        <v>91</v>
      </c>
      <c r="J4726" s="45" t="s">
        <v>216</v>
      </c>
      <c r="K4726" s="53" t="s">
        <v>16</v>
      </c>
      <c r="L4726" s="23">
        <v>2850</v>
      </c>
      <c r="M4726" s="23">
        <v>303</v>
      </c>
      <c r="N4726" s="25">
        <f t="shared" si="147"/>
        <v>863550</v>
      </c>
      <c r="O4726" s="24">
        <v>160</v>
      </c>
    </row>
    <row r="4727" spans="1:15" hidden="1" x14ac:dyDescent="0.3">
      <c r="A4727" s="24">
        <v>34</v>
      </c>
      <c r="B4727" s="20" t="s">
        <v>123</v>
      </c>
      <c r="C4727" s="21">
        <v>46257</v>
      </c>
      <c r="D4727" s="22" t="str">
        <f>IFERROR(INDEX('Kode Outlet dan Target Toko'!$A:$A,MATCH($I4727,'Kode Outlet dan Target Toko'!$E:$E,0)),"")</f>
        <v>GRSM 6</v>
      </c>
      <c r="E4727" s="20" t="str">
        <f>IFERROR(VLOOKUP(I4727,KET!$B:$F,4,0),"")</f>
        <v>MARTIKA MINTOROWATI</v>
      </c>
      <c r="F4727" s="20" t="str">
        <f>IFERROR(VLOOKUP($I4727,KET!$B:$F,5,0),"")</f>
        <v>GMM</v>
      </c>
      <c r="G4727" s="20">
        <f>IFERROR(INDEX('Kode Outlet dan Target Toko'!$C:$C,MATCH($I4727,'Kode Outlet dan Target Toko'!$E:$E,0)),0)</f>
        <v>211030</v>
      </c>
      <c r="H4727" s="20">
        <f>IFERROR(INDEX('Kode Outlet dan Target Toko'!$D:$D,MATCH($I4727,'Kode Outlet dan Target Toko'!$E:$E,0)),0)</f>
        <v>5765035</v>
      </c>
      <c r="I4727" s="41" t="s">
        <v>113</v>
      </c>
      <c r="J4727" s="45" t="s">
        <v>224</v>
      </c>
      <c r="K4727" s="53" t="s">
        <v>15</v>
      </c>
      <c r="L4727" s="23">
        <v>1953</v>
      </c>
      <c r="M4727" s="23">
        <v>37</v>
      </c>
      <c r="N4727" s="25">
        <f t="shared" si="147"/>
        <v>72261</v>
      </c>
      <c r="O4727" s="24"/>
    </row>
    <row r="4728" spans="1:15" hidden="1" x14ac:dyDescent="0.3">
      <c r="A4728" s="24">
        <v>34</v>
      </c>
      <c r="B4728" s="20" t="s">
        <v>123</v>
      </c>
      <c r="C4728" s="21">
        <v>46257</v>
      </c>
      <c r="D4728" s="22" t="str">
        <f>IFERROR(INDEX('Kode Outlet dan Target Toko'!$A:$A,MATCH($I4728,'Kode Outlet dan Target Toko'!$E:$E,0)),"")</f>
        <v>GRSM 6</v>
      </c>
      <c r="E4728" s="20" t="str">
        <f>IFERROR(VLOOKUP(I4728,KET!$B:$F,4,0),"")</f>
        <v>MARTIKA MINTOROWATI</v>
      </c>
      <c r="F4728" s="20" t="str">
        <f>IFERROR(VLOOKUP($I4728,KET!$B:$F,5,0),"")</f>
        <v>GMM</v>
      </c>
      <c r="G4728" s="20">
        <f>IFERROR(INDEX('Kode Outlet dan Target Toko'!$C:$C,MATCH($I4728,'Kode Outlet dan Target Toko'!$E:$E,0)),0)</f>
        <v>211030</v>
      </c>
      <c r="H4728" s="20">
        <f>IFERROR(INDEX('Kode Outlet dan Target Toko'!$D:$D,MATCH($I4728,'Kode Outlet dan Target Toko'!$E:$E,0)),0)</f>
        <v>5765035</v>
      </c>
      <c r="I4728" s="41" t="s">
        <v>113</v>
      </c>
      <c r="J4728" s="45" t="s">
        <v>224</v>
      </c>
      <c r="K4728" s="53" t="s">
        <v>14</v>
      </c>
      <c r="L4728" s="23">
        <v>1953</v>
      </c>
      <c r="M4728" s="23">
        <v>35</v>
      </c>
      <c r="N4728" s="25">
        <f t="shared" si="147"/>
        <v>68355</v>
      </c>
      <c r="O4728" s="24"/>
    </row>
    <row r="4729" spans="1:15" hidden="1" x14ac:dyDescent="0.3">
      <c r="A4729" s="24">
        <v>34</v>
      </c>
      <c r="B4729" s="20" t="s">
        <v>123</v>
      </c>
      <c r="C4729" s="21">
        <v>46257</v>
      </c>
      <c r="D4729" s="22" t="str">
        <f>IFERROR(INDEX('Kode Outlet dan Target Toko'!$A:$A,MATCH($I4729,'Kode Outlet dan Target Toko'!$E:$E,0)),"")</f>
        <v>GRSM 6</v>
      </c>
      <c r="E4729" s="20" t="str">
        <f>IFERROR(VLOOKUP(I4729,KET!$B:$F,4,0),"")</f>
        <v>MARTIKA MINTOROWATI</v>
      </c>
      <c r="F4729" s="20" t="str">
        <f>IFERROR(VLOOKUP($I4729,KET!$B:$F,5,0),"")</f>
        <v>GMM</v>
      </c>
      <c r="G4729" s="20">
        <f>IFERROR(INDEX('Kode Outlet dan Target Toko'!$C:$C,MATCH($I4729,'Kode Outlet dan Target Toko'!$E:$E,0)),0)</f>
        <v>211030</v>
      </c>
      <c r="H4729" s="20">
        <f>IFERROR(INDEX('Kode Outlet dan Target Toko'!$D:$D,MATCH($I4729,'Kode Outlet dan Target Toko'!$E:$E,0)),0)</f>
        <v>5765035</v>
      </c>
      <c r="I4729" s="41" t="s">
        <v>113</v>
      </c>
      <c r="J4729" s="45" t="s">
        <v>224</v>
      </c>
      <c r="K4729" s="53" t="s">
        <v>13</v>
      </c>
      <c r="L4729" s="23">
        <v>1953</v>
      </c>
      <c r="M4729" s="23">
        <v>2</v>
      </c>
      <c r="N4729" s="25">
        <f t="shared" si="147"/>
        <v>3906</v>
      </c>
      <c r="O4729" s="24"/>
    </row>
    <row r="4730" spans="1:15" hidden="1" x14ac:dyDescent="0.3">
      <c r="A4730" s="24">
        <v>34</v>
      </c>
      <c r="B4730" s="20" t="s">
        <v>123</v>
      </c>
      <c r="C4730" s="21">
        <v>46257</v>
      </c>
      <c r="D4730" s="22" t="str">
        <f>IFERROR(INDEX('Kode Outlet dan Target Toko'!$A:$A,MATCH($I4730,'Kode Outlet dan Target Toko'!$E:$E,0)),"")</f>
        <v>GRSM 6</v>
      </c>
      <c r="E4730" s="20" t="str">
        <f>IFERROR(VLOOKUP(I4730,KET!$B:$F,4,0),"")</f>
        <v>MARTIKA MINTOROWATI</v>
      </c>
      <c r="F4730" s="20" t="str">
        <f>IFERROR(VLOOKUP($I4730,KET!$B:$F,5,0),"")</f>
        <v>GMM</v>
      </c>
      <c r="G4730" s="20">
        <f>IFERROR(INDEX('Kode Outlet dan Target Toko'!$C:$C,MATCH($I4730,'Kode Outlet dan Target Toko'!$E:$E,0)),0)</f>
        <v>211030</v>
      </c>
      <c r="H4730" s="20">
        <f>IFERROR(INDEX('Kode Outlet dan Target Toko'!$D:$D,MATCH($I4730,'Kode Outlet dan Target Toko'!$E:$E,0)),0)</f>
        <v>5765035</v>
      </c>
      <c r="I4730" s="41" t="s">
        <v>113</v>
      </c>
      <c r="J4730" s="45" t="s">
        <v>224</v>
      </c>
      <c r="K4730" s="53" t="s">
        <v>16</v>
      </c>
      <c r="L4730" s="23">
        <v>1953</v>
      </c>
      <c r="M4730" s="23">
        <v>78</v>
      </c>
      <c r="N4730" s="25">
        <f t="shared" si="147"/>
        <v>152334</v>
      </c>
      <c r="O4730" s="24">
        <v>160</v>
      </c>
    </row>
    <row r="4731" spans="1:15" hidden="1" x14ac:dyDescent="0.3">
      <c r="A4731" s="24">
        <v>34</v>
      </c>
      <c r="B4731" s="20" t="s">
        <v>123</v>
      </c>
      <c r="C4731" s="21">
        <v>46257</v>
      </c>
      <c r="D4731" s="22" t="str">
        <f>IFERROR(INDEX('Kode Outlet dan Target Toko'!$A:$A,MATCH($I4731,'Kode Outlet dan Target Toko'!$E:$E,0)),"")</f>
        <v>GRSM 6</v>
      </c>
      <c r="E4731" s="20" t="str">
        <f>IFERROR(VLOOKUP(I4731,KET!$B:$F,4,0),"")</f>
        <v>MARTIKA MINTOROWATI</v>
      </c>
      <c r="F4731" s="20" t="str">
        <f>IFERROR(VLOOKUP($I4731,KET!$B:$F,5,0),"")</f>
        <v>GMM</v>
      </c>
      <c r="G4731" s="20">
        <f>IFERROR(INDEX('Kode Outlet dan Target Toko'!$C:$C,MATCH($I4731,'Kode Outlet dan Target Toko'!$E:$E,0)),0)</f>
        <v>211030</v>
      </c>
      <c r="H4731" s="20">
        <f>IFERROR(INDEX('Kode Outlet dan Target Toko'!$D:$D,MATCH($I4731,'Kode Outlet dan Target Toko'!$E:$E,0)),0)</f>
        <v>5765035</v>
      </c>
      <c r="I4731" s="41" t="s">
        <v>113</v>
      </c>
      <c r="J4731" s="45" t="s">
        <v>225</v>
      </c>
      <c r="K4731" s="53" t="s">
        <v>15</v>
      </c>
      <c r="L4731" s="23">
        <v>1953</v>
      </c>
      <c r="M4731" s="23">
        <v>29</v>
      </c>
      <c r="N4731" s="25">
        <f t="shared" si="147"/>
        <v>56637</v>
      </c>
      <c r="O4731" s="24"/>
    </row>
    <row r="4732" spans="1:15" hidden="1" x14ac:dyDescent="0.3">
      <c r="A4732" s="24">
        <v>34</v>
      </c>
      <c r="B4732" s="20" t="s">
        <v>123</v>
      </c>
      <c r="C4732" s="21">
        <v>46257</v>
      </c>
      <c r="D4732" s="22" t="str">
        <f>IFERROR(INDEX('Kode Outlet dan Target Toko'!$A:$A,MATCH($I4732,'Kode Outlet dan Target Toko'!$E:$E,0)),"")</f>
        <v>GRSM 6</v>
      </c>
      <c r="E4732" s="20" t="str">
        <f>IFERROR(VLOOKUP(I4732,KET!$B:$F,4,0),"")</f>
        <v>MARTIKA MINTOROWATI</v>
      </c>
      <c r="F4732" s="20" t="str">
        <f>IFERROR(VLOOKUP($I4732,KET!$B:$F,5,0),"")</f>
        <v>GMM</v>
      </c>
      <c r="G4732" s="20">
        <f>IFERROR(INDEX('Kode Outlet dan Target Toko'!$C:$C,MATCH($I4732,'Kode Outlet dan Target Toko'!$E:$E,0)),0)</f>
        <v>211030</v>
      </c>
      <c r="H4732" s="20">
        <f>IFERROR(INDEX('Kode Outlet dan Target Toko'!$D:$D,MATCH($I4732,'Kode Outlet dan Target Toko'!$E:$E,0)),0)</f>
        <v>5765035</v>
      </c>
      <c r="I4732" s="41" t="s">
        <v>113</v>
      </c>
      <c r="J4732" s="45" t="s">
        <v>225</v>
      </c>
      <c r="K4732" s="53" t="s">
        <v>14</v>
      </c>
      <c r="L4732" s="23">
        <v>1953</v>
      </c>
      <c r="M4732" s="23">
        <v>21</v>
      </c>
      <c r="N4732" s="25">
        <f t="shared" si="147"/>
        <v>41013</v>
      </c>
      <c r="O4732" s="24"/>
    </row>
    <row r="4733" spans="1:15" hidden="1" x14ac:dyDescent="0.3">
      <c r="A4733" s="24">
        <v>34</v>
      </c>
      <c r="B4733" s="20" t="s">
        <v>123</v>
      </c>
      <c r="C4733" s="21">
        <v>46257</v>
      </c>
      <c r="D4733" s="22" t="str">
        <f>IFERROR(INDEX('Kode Outlet dan Target Toko'!$A:$A,MATCH($I4733,'Kode Outlet dan Target Toko'!$E:$E,0)),"")</f>
        <v>GRSM 6</v>
      </c>
      <c r="E4733" s="20" t="str">
        <f>IFERROR(VLOOKUP(I4733,KET!$B:$F,4,0),"")</f>
        <v>MARTIKA MINTOROWATI</v>
      </c>
      <c r="F4733" s="20" t="str">
        <f>IFERROR(VLOOKUP($I4733,KET!$B:$F,5,0),"")</f>
        <v>GMM</v>
      </c>
      <c r="G4733" s="20">
        <f>IFERROR(INDEX('Kode Outlet dan Target Toko'!$C:$C,MATCH($I4733,'Kode Outlet dan Target Toko'!$E:$E,0)),0)</f>
        <v>211030</v>
      </c>
      <c r="H4733" s="20">
        <f>IFERROR(INDEX('Kode Outlet dan Target Toko'!$D:$D,MATCH($I4733,'Kode Outlet dan Target Toko'!$E:$E,0)),0)</f>
        <v>5765035</v>
      </c>
      <c r="I4733" s="41" t="s">
        <v>113</v>
      </c>
      <c r="J4733" s="45" t="s">
        <v>225</v>
      </c>
      <c r="K4733" s="53" t="s">
        <v>13</v>
      </c>
      <c r="L4733" s="23">
        <v>1953</v>
      </c>
      <c r="M4733" s="23">
        <v>0</v>
      </c>
      <c r="N4733" s="25">
        <f t="shared" si="147"/>
        <v>0</v>
      </c>
      <c r="O4733" s="24"/>
    </row>
    <row r="4734" spans="1:15" hidden="1" x14ac:dyDescent="0.3">
      <c r="A4734" s="24">
        <v>34</v>
      </c>
      <c r="B4734" s="20" t="s">
        <v>123</v>
      </c>
      <c r="C4734" s="21">
        <v>46257</v>
      </c>
      <c r="D4734" s="22" t="str">
        <f>IFERROR(INDEX('Kode Outlet dan Target Toko'!$A:$A,MATCH($I4734,'Kode Outlet dan Target Toko'!$E:$E,0)),"")</f>
        <v>GRSM 6</v>
      </c>
      <c r="E4734" s="20" t="str">
        <f>IFERROR(VLOOKUP(I4734,KET!$B:$F,4,0),"")</f>
        <v>MARTIKA MINTOROWATI</v>
      </c>
      <c r="F4734" s="20" t="str">
        <f>IFERROR(VLOOKUP($I4734,KET!$B:$F,5,0),"")</f>
        <v>GMM</v>
      </c>
      <c r="G4734" s="20">
        <f>IFERROR(INDEX('Kode Outlet dan Target Toko'!$C:$C,MATCH($I4734,'Kode Outlet dan Target Toko'!$E:$E,0)),0)</f>
        <v>211030</v>
      </c>
      <c r="H4734" s="20">
        <f>IFERROR(INDEX('Kode Outlet dan Target Toko'!$D:$D,MATCH($I4734,'Kode Outlet dan Target Toko'!$E:$E,0)),0)</f>
        <v>5765035</v>
      </c>
      <c r="I4734" s="41" t="s">
        <v>113</v>
      </c>
      <c r="J4734" s="45" t="s">
        <v>225</v>
      </c>
      <c r="K4734" s="53" t="s">
        <v>16</v>
      </c>
      <c r="L4734" s="23">
        <v>1953</v>
      </c>
      <c r="M4734" s="23">
        <v>67</v>
      </c>
      <c r="N4734" s="25">
        <f t="shared" si="147"/>
        <v>130851</v>
      </c>
      <c r="O4734" s="24">
        <v>160</v>
      </c>
    </row>
    <row r="4735" spans="1:15" hidden="1" x14ac:dyDescent="0.3">
      <c r="A4735" s="24">
        <v>34</v>
      </c>
      <c r="B4735" s="20" t="s">
        <v>123</v>
      </c>
      <c r="C4735" s="21">
        <v>46257</v>
      </c>
      <c r="D4735" s="22" t="str">
        <f>IFERROR(INDEX('Kode Outlet dan Target Toko'!$A:$A,MATCH($I4735,'Kode Outlet dan Target Toko'!$E:$E,0)),"")</f>
        <v>GRSM 6</v>
      </c>
      <c r="E4735" s="20" t="str">
        <f>IFERROR(VLOOKUP(I4735,KET!$B:$F,4,0),"")</f>
        <v>MARTIKA MINTOROWATI</v>
      </c>
      <c r="F4735" s="20" t="str">
        <f>IFERROR(VLOOKUP($I4735,KET!$B:$F,5,0),"")</f>
        <v>GMM</v>
      </c>
      <c r="G4735" s="20">
        <f>IFERROR(INDEX('Kode Outlet dan Target Toko'!$C:$C,MATCH($I4735,'Kode Outlet dan Target Toko'!$E:$E,0)),0)</f>
        <v>211161</v>
      </c>
      <c r="H4735" s="20">
        <f>IFERROR(INDEX('Kode Outlet dan Target Toko'!$D:$D,MATCH($I4735,'Kode Outlet dan Target Toko'!$E:$E,0)),0)</f>
        <v>710355</v>
      </c>
      <c r="I4735" s="41" t="s">
        <v>97</v>
      </c>
      <c r="J4735" s="45" t="s">
        <v>222</v>
      </c>
      <c r="K4735" s="53" t="s">
        <v>15</v>
      </c>
      <c r="L4735" s="23">
        <v>2069</v>
      </c>
      <c r="M4735" s="23">
        <v>6</v>
      </c>
      <c r="N4735" s="25">
        <f t="shared" si="147"/>
        <v>12414</v>
      </c>
      <c r="O4735" s="24"/>
    </row>
    <row r="4736" spans="1:15" hidden="1" x14ac:dyDescent="0.3">
      <c r="A4736" s="24">
        <v>34</v>
      </c>
      <c r="B4736" s="20" t="s">
        <v>123</v>
      </c>
      <c r="C4736" s="21">
        <v>46257</v>
      </c>
      <c r="D4736" s="22" t="str">
        <f>IFERROR(INDEX('Kode Outlet dan Target Toko'!$A:$A,MATCH($I4736,'Kode Outlet dan Target Toko'!$E:$E,0)),"")</f>
        <v>GRSM 6</v>
      </c>
      <c r="E4736" s="20" t="str">
        <f>IFERROR(VLOOKUP(I4736,KET!$B:$F,4,0),"")</f>
        <v>MARTIKA MINTOROWATI</v>
      </c>
      <c r="F4736" s="20" t="str">
        <f>IFERROR(VLOOKUP($I4736,KET!$B:$F,5,0),"")</f>
        <v>GMM</v>
      </c>
      <c r="G4736" s="20">
        <f>IFERROR(INDEX('Kode Outlet dan Target Toko'!$C:$C,MATCH($I4736,'Kode Outlet dan Target Toko'!$E:$E,0)),0)</f>
        <v>211161</v>
      </c>
      <c r="H4736" s="20">
        <f>IFERROR(INDEX('Kode Outlet dan Target Toko'!$D:$D,MATCH($I4736,'Kode Outlet dan Target Toko'!$E:$E,0)),0)</f>
        <v>710355</v>
      </c>
      <c r="I4736" s="41" t="s">
        <v>97</v>
      </c>
      <c r="J4736" s="45" t="s">
        <v>222</v>
      </c>
      <c r="K4736" s="53" t="s">
        <v>14</v>
      </c>
      <c r="L4736" s="23">
        <v>2069</v>
      </c>
      <c r="M4736" s="23">
        <v>0</v>
      </c>
      <c r="N4736" s="25">
        <f t="shared" si="147"/>
        <v>0</v>
      </c>
      <c r="O4736" s="24"/>
    </row>
    <row r="4737" spans="1:15" hidden="1" x14ac:dyDescent="0.3">
      <c r="A4737" s="24">
        <v>34</v>
      </c>
      <c r="B4737" s="20" t="s">
        <v>123</v>
      </c>
      <c r="C4737" s="21">
        <v>46257</v>
      </c>
      <c r="D4737" s="22" t="str">
        <f>IFERROR(INDEX('Kode Outlet dan Target Toko'!$A:$A,MATCH($I4737,'Kode Outlet dan Target Toko'!$E:$E,0)),"")</f>
        <v>GRSM 6</v>
      </c>
      <c r="E4737" s="20" t="str">
        <f>IFERROR(VLOOKUP(I4737,KET!$B:$F,4,0),"")</f>
        <v>MARTIKA MINTOROWATI</v>
      </c>
      <c r="F4737" s="20" t="str">
        <f>IFERROR(VLOOKUP($I4737,KET!$B:$F,5,0),"")</f>
        <v>GMM</v>
      </c>
      <c r="G4737" s="20">
        <f>IFERROR(INDEX('Kode Outlet dan Target Toko'!$C:$C,MATCH($I4737,'Kode Outlet dan Target Toko'!$E:$E,0)),0)</f>
        <v>211161</v>
      </c>
      <c r="H4737" s="20">
        <f>IFERROR(INDEX('Kode Outlet dan Target Toko'!$D:$D,MATCH($I4737,'Kode Outlet dan Target Toko'!$E:$E,0)),0)</f>
        <v>710355</v>
      </c>
      <c r="I4737" s="41" t="s">
        <v>97</v>
      </c>
      <c r="J4737" s="45" t="s">
        <v>222</v>
      </c>
      <c r="K4737" s="53" t="s">
        <v>13</v>
      </c>
      <c r="L4737" s="23">
        <v>2069</v>
      </c>
      <c r="M4737" s="23">
        <v>12</v>
      </c>
      <c r="N4737" s="25">
        <f t="shared" si="147"/>
        <v>24828</v>
      </c>
      <c r="O4737" s="24"/>
    </row>
    <row r="4738" spans="1:15" hidden="1" x14ac:dyDescent="0.3">
      <c r="A4738" s="24">
        <v>34</v>
      </c>
      <c r="B4738" s="20" t="s">
        <v>123</v>
      </c>
      <c r="C4738" s="21">
        <v>46257</v>
      </c>
      <c r="D4738" s="22" t="str">
        <f>IFERROR(INDEX('Kode Outlet dan Target Toko'!$A:$A,MATCH($I4738,'Kode Outlet dan Target Toko'!$E:$E,0)),"")</f>
        <v>GRSM 6</v>
      </c>
      <c r="E4738" s="20" t="str">
        <f>IFERROR(VLOOKUP(I4738,KET!$B:$F,4,0),"")</f>
        <v>MARTIKA MINTOROWATI</v>
      </c>
      <c r="F4738" s="20" t="str">
        <f>IFERROR(VLOOKUP($I4738,KET!$B:$F,5,0),"")</f>
        <v>GMM</v>
      </c>
      <c r="G4738" s="20">
        <f>IFERROR(INDEX('Kode Outlet dan Target Toko'!$C:$C,MATCH($I4738,'Kode Outlet dan Target Toko'!$E:$E,0)),0)</f>
        <v>211161</v>
      </c>
      <c r="H4738" s="20">
        <f>IFERROR(INDEX('Kode Outlet dan Target Toko'!$D:$D,MATCH($I4738,'Kode Outlet dan Target Toko'!$E:$E,0)),0)</f>
        <v>710355</v>
      </c>
      <c r="I4738" s="41" t="s">
        <v>97</v>
      </c>
      <c r="J4738" s="45" t="s">
        <v>222</v>
      </c>
      <c r="K4738" s="53" t="s">
        <v>16</v>
      </c>
      <c r="L4738" s="23">
        <v>2069</v>
      </c>
      <c r="M4738" s="23">
        <v>318</v>
      </c>
      <c r="N4738" s="25">
        <f t="shared" si="147"/>
        <v>657942</v>
      </c>
      <c r="O4738" s="24">
        <v>160</v>
      </c>
    </row>
    <row r="4739" spans="1:15" hidden="1" x14ac:dyDescent="0.3">
      <c r="A4739" s="24">
        <v>34</v>
      </c>
      <c r="B4739" s="20" t="s">
        <v>123</v>
      </c>
      <c r="C4739" s="21">
        <v>46257</v>
      </c>
      <c r="D4739" s="22" t="str">
        <f>IFERROR(INDEX('Kode Outlet dan Target Toko'!$A:$A,MATCH($I4739,'Kode Outlet dan Target Toko'!$E:$E,0)),"")</f>
        <v>GRSM 6</v>
      </c>
      <c r="E4739" s="20" t="str">
        <f>IFERROR(VLOOKUP(I4739,KET!$B:$F,4,0),"")</f>
        <v>MARTIKA MINTOROWATI</v>
      </c>
      <c r="F4739" s="20" t="str">
        <f>IFERROR(VLOOKUP($I4739,KET!$B:$F,5,0),"")</f>
        <v>GMM</v>
      </c>
      <c r="G4739" s="20">
        <f>IFERROR(INDEX('Kode Outlet dan Target Toko'!$C:$C,MATCH($I4739,'Kode Outlet dan Target Toko'!$E:$E,0)),0)</f>
        <v>211161</v>
      </c>
      <c r="H4739" s="20">
        <f>IFERROR(INDEX('Kode Outlet dan Target Toko'!$D:$D,MATCH($I4739,'Kode Outlet dan Target Toko'!$E:$E,0)),0)</f>
        <v>710355</v>
      </c>
      <c r="I4739" s="41" t="s">
        <v>97</v>
      </c>
      <c r="J4739" s="56" t="s">
        <v>223</v>
      </c>
      <c r="K4739" s="53" t="s">
        <v>15</v>
      </c>
      <c r="L4739" s="23">
        <v>2069</v>
      </c>
      <c r="M4739" s="23">
        <v>6</v>
      </c>
      <c r="N4739" s="25">
        <f t="shared" si="147"/>
        <v>12414</v>
      </c>
      <c r="O4739" s="24"/>
    </row>
    <row r="4740" spans="1:15" hidden="1" x14ac:dyDescent="0.3">
      <c r="A4740" s="24">
        <v>34</v>
      </c>
      <c r="B4740" s="20" t="s">
        <v>123</v>
      </c>
      <c r="C4740" s="21">
        <v>46257</v>
      </c>
      <c r="D4740" s="22" t="str">
        <f>IFERROR(INDEX('Kode Outlet dan Target Toko'!$A:$A,MATCH($I4740,'Kode Outlet dan Target Toko'!$E:$E,0)),"")</f>
        <v>GRSM 6</v>
      </c>
      <c r="E4740" s="20" t="str">
        <f>IFERROR(VLOOKUP(I4740,KET!$B:$F,4,0),"")</f>
        <v>MARTIKA MINTOROWATI</v>
      </c>
      <c r="F4740" s="20" t="str">
        <f>IFERROR(VLOOKUP($I4740,KET!$B:$F,5,0),"")</f>
        <v>GMM</v>
      </c>
      <c r="G4740" s="20">
        <f>IFERROR(INDEX('Kode Outlet dan Target Toko'!$C:$C,MATCH($I4740,'Kode Outlet dan Target Toko'!$E:$E,0)),0)</f>
        <v>211161</v>
      </c>
      <c r="H4740" s="20">
        <f>IFERROR(INDEX('Kode Outlet dan Target Toko'!$D:$D,MATCH($I4740,'Kode Outlet dan Target Toko'!$E:$E,0)),0)</f>
        <v>710355</v>
      </c>
      <c r="I4740" s="41" t="s">
        <v>97</v>
      </c>
      <c r="J4740" s="56" t="s">
        <v>223</v>
      </c>
      <c r="K4740" s="53" t="s">
        <v>14</v>
      </c>
      <c r="L4740" s="23">
        <v>2069</v>
      </c>
      <c r="M4740" s="23">
        <v>0</v>
      </c>
      <c r="N4740" s="25">
        <f t="shared" si="147"/>
        <v>0</v>
      </c>
      <c r="O4740" s="24"/>
    </row>
    <row r="4741" spans="1:15" hidden="1" x14ac:dyDescent="0.3">
      <c r="A4741" s="24">
        <v>34</v>
      </c>
      <c r="B4741" s="20" t="s">
        <v>123</v>
      </c>
      <c r="C4741" s="21">
        <v>46257</v>
      </c>
      <c r="D4741" s="22" t="str">
        <f>IFERROR(INDEX('Kode Outlet dan Target Toko'!$A:$A,MATCH($I4741,'Kode Outlet dan Target Toko'!$E:$E,0)),"")</f>
        <v>GRSM 6</v>
      </c>
      <c r="E4741" s="20" t="str">
        <f>IFERROR(VLOOKUP(I4741,KET!$B:$F,4,0),"")</f>
        <v>MARTIKA MINTOROWATI</v>
      </c>
      <c r="F4741" s="20" t="str">
        <f>IFERROR(VLOOKUP($I4741,KET!$B:$F,5,0),"")</f>
        <v>GMM</v>
      </c>
      <c r="G4741" s="20">
        <f>IFERROR(INDEX('Kode Outlet dan Target Toko'!$C:$C,MATCH($I4741,'Kode Outlet dan Target Toko'!$E:$E,0)),0)</f>
        <v>211161</v>
      </c>
      <c r="H4741" s="20">
        <f>IFERROR(INDEX('Kode Outlet dan Target Toko'!$D:$D,MATCH($I4741,'Kode Outlet dan Target Toko'!$E:$E,0)),0)</f>
        <v>710355</v>
      </c>
      <c r="I4741" s="41" t="s">
        <v>97</v>
      </c>
      <c r="J4741" s="56" t="s">
        <v>223</v>
      </c>
      <c r="K4741" s="53" t="s">
        <v>13</v>
      </c>
      <c r="L4741" s="23">
        <v>2069</v>
      </c>
      <c r="M4741" s="23">
        <v>12</v>
      </c>
      <c r="N4741" s="25">
        <f t="shared" si="147"/>
        <v>24828</v>
      </c>
      <c r="O4741" s="24"/>
    </row>
    <row r="4742" spans="1:15" hidden="1" x14ac:dyDescent="0.3">
      <c r="A4742" s="24">
        <v>34</v>
      </c>
      <c r="B4742" s="20" t="s">
        <v>123</v>
      </c>
      <c r="C4742" s="21">
        <v>46257</v>
      </c>
      <c r="D4742" s="22" t="str">
        <f>IFERROR(INDEX('Kode Outlet dan Target Toko'!$A:$A,MATCH($I4742,'Kode Outlet dan Target Toko'!$E:$E,0)),"")</f>
        <v>GRSM 6</v>
      </c>
      <c r="E4742" s="20" t="str">
        <f>IFERROR(VLOOKUP(I4742,KET!$B:$F,4,0),"")</f>
        <v>MARTIKA MINTOROWATI</v>
      </c>
      <c r="F4742" s="20" t="str">
        <f>IFERROR(VLOOKUP($I4742,KET!$B:$F,5,0),"")</f>
        <v>GMM</v>
      </c>
      <c r="G4742" s="20">
        <f>IFERROR(INDEX('Kode Outlet dan Target Toko'!$C:$C,MATCH($I4742,'Kode Outlet dan Target Toko'!$E:$E,0)),0)</f>
        <v>211161</v>
      </c>
      <c r="H4742" s="20">
        <f>IFERROR(INDEX('Kode Outlet dan Target Toko'!$D:$D,MATCH($I4742,'Kode Outlet dan Target Toko'!$E:$E,0)),0)</f>
        <v>710355</v>
      </c>
      <c r="I4742" s="41" t="s">
        <v>97</v>
      </c>
      <c r="J4742" s="56" t="s">
        <v>223</v>
      </c>
      <c r="K4742" s="53" t="s">
        <v>16</v>
      </c>
      <c r="L4742" s="23">
        <v>2069</v>
      </c>
      <c r="M4742" s="23">
        <v>318</v>
      </c>
      <c r="N4742" s="25">
        <f t="shared" si="147"/>
        <v>657942</v>
      </c>
      <c r="O4742" s="24">
        <v>160</v>
      </c>
    </row>
    <row r="4743" spans="1:15" hidden="1" x14ac:dyDescent="0.3">
      <c r="A4743" s="24">
        <v>34</v>
      </c>
      <c r="B4743" s="20" t="str">
        <f>IF(C4679="","",UPPER(TEXT(C4679, "MMM")))</f>
        <v>AUG</v>
      </c>
      <c r="C4743" s="21">
        <v>46257</v>
      </c>
      <c r="D4743" s="22" t="str">
        <f>IFERROR(INDEX('Kode Outlet dan Target Toko'!$A:$A,MATCH($I4679,'Kode Outlet dan Target Toko'!$E:$E,0)),"")</f>
        <v>GRSM 6</v>
      </c>
      <c r="E4743" s="20" t="str">
        <f>IFERROR(VLOOKUP(I4743,KET!$B:$F,4,0),"")</f>
        <v>FAHMI LUKMANUL HAKIM</v>
      </c>
      <c r="F4743" s="20" t="str">
        <f>IFERROR(VLOOKUP($I4679,KET!$B:$F,5,0),"")</f>
        <v>GMM</v>
      </c>
      <c r="G4743" s="20">
        <f>IFERROR(INDEX('Kode Outlet dan Target Toko'!$C:$C,MATCH($I4679,'Kode Outlet dan Target Toko'!$E:$E,0)),0)</f>
        <v>211030</v>
      </c>
      <c r="H4743" s="20">
        <f>IFERROR(INDEX('Kode Outlet dan Target Toko'!$D:$D,MATCH($I4679,'Kode Outlet dan Target Toko'!$E:$E,0)),0)</f>
        <v>5766116</v>
      </c>
      <c r="I4743" s="41" t="s">
        <v>87</v>
      </c>
      <c r="J4743" s="45" t="s">
        <v>175</v>
      </c>
      <c r="K4743" s="53" t="s">
        <v>15</v>
      </c>
      <c r="L4743" s="23">
        <v>2150</v>
      </c>
      <c r="M4743" s="23">
        <v>82</v>
      </c>
      <c r="N4743" s="25">
        <f t="shared" ref="N4743:N4766" si="148">IFERROR(M4743*L4743,"")</f>
        <v>176300</v>
      </c>
      <c r="O4743" s="24"/>
    </row>
    <row r="4744" spans="1:15" hidden="1" x14ac:dyDescent="0.3">
      <c r="A4744" s="24">
        <v>34</v>
      </c>
      <c r="B4744" s="20" t="str">
        <f>IF(C4680="","",UPPER(TEXT(C4680, "MMM")))</f>
        <v>AUG</v>
      </c>
      <c r="C4744" s="21">
        <v>46257</v>
      </c>
      <c r="D4744" s="22" t="str">
        <f>IFERROR(INDEX('Kode Outlet dan Target Toko'!$A:$A,MATCH($I4680,'Kode Outlet dan Target Toko'!$E:$E,0)),"")</f>
        <v>GRSM 6</v>
      </c>
      <c r="E4744" s="20" t="str">
        <f>IFERROR(VLOOKUP(I4744,KET!$B:$F,4,0),"")</f>
        <v>FAHMI LUKMANUL HAKIM</v>
      </c>
      <c r="F4744" s="20" t="str">
        <f>IFERROR(VLOOKUP($I4680,KET!$B:$F,5,0),"")</f>
        <v>GMM</v>
      </c>
      <c r="G4744" s="20">
        <f>IFERROR(INDEX('Kode Outlet dan Target Toko'!$C:$C,MATCH($I4680,'Kode Outlet dan Target Toko'!$E:$E,0)),0)</f>
        <v>211030</v>
      </c>
      <c r="H4744" s="20">
        <f>IFERROR(INDEX('Kode Outlet dan Target Toko'!$D:$D,MATCH($I4680,'Kode Outlet dan Target Toko'!$E:$E,0)),0)</f>
        <v>5766116</v>
      </c>
      <c r="I4744" s="41" t="s">
        <v>87</v>
      </c>
      <c r="J4744" s="45" t="s">
        <v>175</v>
      </c>
      <c r="K4744" s="53" t="s">
        <v>14</v>
      </c>
      <c r="L4744" s="23">
        <v>2150</v>
      </c>
      <c r="M4744" s="23">
        <v>83</v>
      </c>
      <c r="N4744" s="25">
        <f t="shared" si="148"/>
        <v>178450</v>
      </c>
      <c r="O4744" s="24"/>
    </row>
    <row r="4745" spans="1:15" hidden="1" x14ac:dyDescent="0.3">
      <c r="A4745" s="24">
        <v>34</v>
      </c>
      <c r="B4745" s="20" t="str">
        <f>IF(C4681="","",UPPER(TEXT(C4681, "MMM")))</f>
        <v>AUG</v>
      </c>
      <c r="C4745" s="21">
        <v>46257</v>
      </c>
      <c r="D4745" s="22" t="str">
        <f>IFERROR(INDEX('Kode Outlet dan Target Toko'!$A:$A,MATCH($I4681,'Kode Outlet dan Target Toko'!$E:$E,0)),"")</f>
        <v>GRSM 6</v>
      </c>
      <c r="E4745" s="20" t="str">
        <f>IFERROR(VLOOKUP(I4745,KET!$B:$F,4,0),"")</f>
        <v>FAHMI LUKMANUL HAKIM</v>
      </c>
      <c r="F4745" s="20" t="str">
        <f>IFERROR(VLOOKUP($I4681,KET!$B:$F,5,0),"")</f>
        <v>GMM</v>
      </c>
      <c r="G4745" s="20">
        <f>IFERROR(INDEX('Kode Outlet dan Target Toko'!$C:$C,MATCH($I4681,'Kode Outlet dan Target Toko'!$E:$E,0)),0)</f>
        <v>211030</v>
      </c>
      <c r="H4745" s="20">
        <f>IFERROR(INDEX('Kode Outlet dan Target Toko'!$D:$D,MATCH($I4681,'Kode Outlet dan Target Toko'!$E:$E,0)),0)</f>
        <v>5766116</v>
      </c>
      <c r="I4745" s="41" t="s">
        <v>87</v>
      </c>
      <c r="J4745" s="45" t="s">
        <v>175</v>
      </c>
      <c r="K4745" s="53" t="s">
        <v>13</v>
      </c>
      <c r="L4745" s="23">
        <v>2150</v>
      </c>
      <c r="M4745" s="23">
        <v>90</v>
      </c>
      <c r="N4745" s="25">
        <f t="shared" si="148"/>
        <v>193500</v>
      </c>
      <c r="O4745" s="24"/>
    </row>
    <row r="4746" spans="1:15" hidden="1" x14ac:dyDescent="0.3">
      <c r="A4746" s="24">
        <v>34</v>
      </c>
      <c r="B4746" s="20" t="str">
        <f>IF(C4682="","",UPPER(TEXT(C4682, "MMM")))</f>
        <v>AUG</v>
      </c>
      <c r="C4746" s="21">
        <v>46257</v>
      </c>
      <c r="D4746" s="22" t="str">
        <f>IFERROR(INDEX('Kode Outlet dan Target Toko'!$A:$A,MATCH($I4682,'Kode Outlet dan Target Toko'!$E:$E,0)),"")</f>
        <v>GRSM 6</v>
      </c>
      <c r="E4746" s="20" t="str">
        <f>IFERROR(VLOOKUP(I4746,KET!$B:$F,4,0),"")</f>
        <v>FAHMI LUKMANUL HAKIM</v>
      </c>
      <c r="F4746" s="20" t="str">
        <f>IFERROR(VLOOKUP($I4682,KET!$B:$F,5,0),"")</f>
        <v>GMM</v>
      </c>
      <c r="G4746" s="20">
        <f>IFERROR(INDEX('Kode Outlet dan Target Toko'!$C:$C,MATCH($I4682,'Kode Outlet dan Target Toko'!$E:$E,0)),0)</f>
        <v>211030</v>
      </c>
      <c r="H4746" s="20">
        <f>IFERROR(INDEX('Kode Outlet dan Target Toko'!$D:$D,MATCH($I4682,'Kode Outlet dan Target Toko'!$E:$E,0)),0)</f>
        <v>5766116</v>
      </c>
      <c r="I4746" s="41" t="s">
        <v>87</v>
      </c>
      <c r="J4746" s="45" t="s">
        <v>175</v>
      </c>
      <c r="K4746" s="53" t="s">
        <v>16</v>
      </c>
      <c r="L4746" s="23">
        <v>2150</v>
      </c>
      <c r="M4746" s="23">
        <v>101</v>
      </c>
      <c r="N4746" s="25">
        <f t="shared" si="148"/>
        <v>217150</v>
      </c>
      <c r="O4746" s="24">
        <v>160</v>
      </c>
    </row>
    <row r="4747" spans="1:15" hidden="1" x14ac:dyDescent="0.3">
      <c r="A4747" s="24">
        <v>34</v>
      </c>
      <c r="B4747" s="20" t="s">
        <v>123</v>
      </c>
      <c r="C4747" s="21">
        <v>46257</v>
      </c>
      <c r="D4747" s="22" t="str">
        <f>IFERROR(INDEX('Kode Outlet dan Target Toko'!$A:$A,MATCH($I4727,'Kode Outlet dan Target Toko'!$E:$E,0)),"")</f>
        <v>GRSM 6</v>
      </c>
      <c r="E4747" s="20" t="str">
        <f>IFERROR(VLOOKUP(I4747,KET!$B:$F,4,0),"")</f>
        <v>MARTIKA MINTOROWATI</v>
      </c>
      <c r="F4747" s="20" t="str">
        <f>IFERROR(VLOOKUP($I4727,KET!$B:$F,5,0),"")</f>
        <v>GMM</v>
      </c>
      <c r="G4747" s="20">
        <f>IFERROR(INDEX('Kode Outlet dan Target Toko'!$C:$C,MATCH($I4727,'Kode Outlet dan Target Toko'!$E:$E,0)),0)</f>
        <v>211030</v>
      </c>
      <c r="H4747" s="20">
        <f>IFERROR(INDEX('Kode Outlet dan Target Toko'!$D:$D,MATCH($I4727,'Kode Outlet dan Target Toko'!$E:$E,0)),0)</f>
        <v>5765035</v>
      </c>
      <c r="I4747" s="41" t="s">
        <v>106</v>
      </c>
      <c r="J4747" s="45" t="s">
        <v>218</v>
      </c>
      <c r="K4747" s="53" t="s">
        <v>15</v>
      </c>
      <c r="L4747" s="23">
        <v>6000</v>
      </c>
      <c r="M4747" s="23">
        <v>9</v>
      </c>
      <c r="N4747" s="25">
        <f t="shared" si="148"/>
        <v>54000</v>
      </c>
      <c r="O4747" s="24"/>
    </row>
    <row r="4748" spans="1:15" hidden="1" x14ac:dyDescent="0.3">
      <c r="A4748" s="24">
        <v>34</v>
      </c>
      <c r="B4748" s="20" t="s">
        <v>123</v>
      </c>
      <c r="C4748" s="21">
        <v>46257</v>
      </c>
      <c r="D4748" s="22" t="str">
        <f>IFERROR(INDEX('Kode Outlet dan Target Toko'!$A:$A,MATCH($I4728,'Kode Outlet dan Target Toko'!$E:$E,0)),"")</f>
        <v>GRSM 6</v>
      </c>
      <c r="E4748" s="20" t="str">
        <f>IFERROR(VLOOKUP(I4748,KET!$B:$F,4,0),"")</f>
        <v>MARTIKA MINTOROWATI</v>
      </c>
      <c r="F4748" s="20" t="str">
        <f>IFERROR(VLOOKUP($I4728,KET!$B:$F,5,0),"")</f>
        <v>GMM</v>
      </c>
      <c r="G4748" s="20">
        <f>IFERROR(INDEX('Kode Outlet dan Target Toko'!$C:$C,MATCH($I4728,'Kode Outlet dan Target Toko'!$E:$E,0)),0)</f>
        <v>211030</v>
      </c>
      <c r="H4748" s="20">
        <f>IFERROR(INDEX('Kode Outlet dan Target Toko'!$D:$D,MATCH($I4728,'Kode Outlet dan Target Toko'!$E:$E,0)),0)</f>
        <v>5765035</v>
      </c>
      <c r="I4748" s="41" t="s">
        <v>106</v>
      </c>
      <c r="J4748" s="45" t="s">
        <v>218</v>
      </c>
      <c r="K4748" s="53" t="s">
        <v>14</v>
      </c>
      <c r="L4748" s="23">
        <v>6000</v>
      </c>
      <c r="M4748" s="23">
        <v>56</v>
      </c>
      <c r="N4748" s="25">
        <f t="shared" si="148"/>
        <v>336000</v>
      </c>
      <c r="O4748" s="24"/>
    </row>
    <row r="4749" spans="1:15" hidden="1" x14ac:dyDescent="0.3">
      <c r="A4749" s="24">
        <v>34</v>
      </c>
      <c r="B4749" s="20" t="s">
        <v>123</v>
      </c>
      <c r="C4749" s="21">
        <v>46257</v>
      </c>
      <c r="D4749" s="22" t="str">
        <f>IFERROR(INDEX('Kode Outlet dan Target Toko'!$A:$A,MATCH($I4729,'Kode Outlet dan Target Toko'!$E:$E,0)),"")</f>
        <v>GRSM 6</v>
      </c>
      <c r="E4749" s="20" t="str">
        <f>IFERROR(VLOOKUP(I4749,KET!$B:$F,4,0),"")</f>
        <v>MARTIKA MINTOROWATI</v>
      </c>
      <c r="F4749" s="20" t="str">
        <f>IFERROR(VLOOKUP($I4729,KET!$B:$F,5,0),"")</f>
        <v>GMM</v>
      </c>
      <c r="G4749" s="20">
        <f>IFERROR(INDEX('Kode Outlet dan Target Toko'!$C:$C,MATCH($I4729,'Kode Outlet dan Target Toko'!$E:$E,0)),0)</f>
        <v>211030</v>
      </c>
      <c r="H4749" s="20">
        <f>IFERROR(INDEX('Kode Outlet dan Target Toko'!$D:$D,MATCH($I4729,'Kode Outlet dan Target Toko'!$E:$E,0)),0)</f>
        <v>5765035</v>
      </c>
      <c r="I4749" s="41" t="s">
        <v>106</v>
      </c>
      <c r="J4749" s="45" t="s">
        <v>218</v>
      </c>
      <c r="K4749" s="53" t="s">
        <v>13</v>
      </c>
      <c r="L4749" s="23">
        <v>6000</v>
      </c>
      <c r="M4749" s="23">
        <v>3</v>
      </c>
      <c r="N4749" s="25">
        <f t="shared" si="148"/>
        <v>18000</v>
      </c>
      <c r="O4749" s="24"/>
    </row>
    <row r="4750" spans="1:15" hidden="1" x14ac:dyDescent="0.3">
      <c r="A4750" s="24">
        <v>34</v>
      </c>
      <c r="B4750" s="20" t="s">
        <v>123</v>
      </c>
      <c r="C4750" s="21">
        <v>46257</v>
      </c>
      <c r="D4750" s="22" t="str">
        <f>IFERROR(INDEX('Kode Outlet dan Target Toko'!$A:$A,MATCH($I4730,'Kode Outlet dan Target Toko'!$E:$E,0)),"")</f>
        <v>GRSM 6</v>
      </c>
      <c r="E4750" s="20" t="str">
        <f>IFERROR(VLOOKUP(I4750,KET!$B:$F,4,0),"")</f>
        <v>MARTIKA MINTOROWATI</v>
      </c>
      <c r="F4750" s="20" t="str">
        <f>IFERROR(VLOOKUP($I4730,KET!$B:$F,5,0),"")</f>
        <v>GMM</v>
      </c>
      <c r="G4750" s="20">
        <f>IFERROR(INDEX('Kode Outlet dan Target Toko'!$C:$C,MATCH($I4730,'Kode Outlet dan Target Toko'!$E:$E,0)),0)</f>
        <v>211030</v>
      </c>
      <c r="H4750" s="20">
        <f>IFERROR(INDEX('Kode Outlet dan Target Toko'!$D:$D,MATCH($I4730,'Kode Outlet dan Target Toko'!$E:$E,0)),0)</f>
        <v>5765035</v>
      </c>
      <c r="I4750" s="41" t="s">
        <v>106</v>
      </c>
      <c r="J4750" s="45" t="s">
        <v>218</v>
      </c>
      <c r="K4750" s="53" t="s">
        <v>16</v>
      </c>
      <c r="L4750" s="23">
        <v>6000</v>
      </c>
      <c r="M4750" s="23">
        <v>77</v>
      </c>
      <c r="N4750" s="25">
        <f t="shared" si="148"/>
        <v>462000</v>
      </c>
      <c r="O4750" s="24">
        <v>160</v>
      </c>
    </row>
    <row r="4751" spans="1:15" hidden="1" x14ac:dyDescent="0.3">
      <c r="A4751" s="24">
        <v>34</v>
      </c>
      <c r="B4751" s="20" t="str">
        <f>IF(C4731="","",UPPER(TEXT(C4731, "MMM")))</f>
        <v>AUG</v>
      </c>
      <c r="C4751" s="21">
        <v>46256</v>
      </c>
      <c r="D4751" s="22" t="str">
        <f>IFERROR(INDEX('Kode Outlet dan Target Toko'!$A:$A,MATCH($I4731,'Kode Outlet dan Target Toko'!$E:$E,0)),"")</f>
        <v>GRSM 6</v>
      </c>
      <c r="E4751" s="20" t="str">
        <f>IFERROR(VLOOKUP(I4751,KET!$B:$F,4,0),"")</f>
        <v>MARTIKA MINTOROWATI</v>
      </c>
      <c r="F4751" s="20" t="str">
        <f>IFERROR(VLOOKUP($I4731,KET!$B:$F,5,0),"")</f>
        <v>GMM</v>
      </c>
      <c r="G4751" s="20">
        <f>IFERROR(INDEX('Kode Outlet dan Target Toko'!$C:$C,MATCH($I4731,'Kode Outlet dan Target Toko'!$E:$E,0)),0)</f>
        <v>211030</v>
      </c>
      <c r="H4751" s="20">
        <f>IFERROR(INDEX('Kode Outlet dan Target Toko'!$D:$D,MATCH($I4731,'Kode Outlet dan Target Toko'!$E:$E,0)),0)</f>
        <v>5765035</v>
      </c>
      <c r="I4751" s="41" t="s">
        <v>106</v>
      </c>
      <c r="J4751" s="45" t="s">
        <v>218</v>
      </c>
      <c r="K4751" s="53" t="s">
        <v>15</v>
      </c>
      <c r="L4751" s="23">
        <v>6000</v>
      </c>
      <c r="M4751" s="24">
        <v>31</v>
      </c>
      <c r="N4751" s="25">
        <f t="shared" si="148"/>
        <v>186000</v>
      </c>
      <c r="O4751" s="24"/>
    </row>
    <row r="4752" spans="1:15" hidden="1" x14ac:dyDescent="0.3">
      <c r="A4752" s="24">
        <v>34</v>
      </c>
      <c r="B4752" s="20" t="str">
        <f>IF(C4732="","",UPPER(TEXT(C4732, "MMM")))</f>
        <v>AUG</v>
      </c>
      <c r="C4752" s="21">
        <v>46256</v>
      </c>
      <c r="D4752" s="22" t="str">
        <f>IFERROR(INDEX('Kode Outlet dan Target Toko'!$A:$A,MATCH($I4732,'Kode Outlet dan Target Toko'!$E:$E,0)),"")</f>
        <v>GRSM 6</v>
      </c>
      <c r="E4752" s="20" t="str">
        <f>IFERROR(VLOOKUP(I4752,KET!$B:$F,4,0),"")</f>
        <v>MARTIKA MINTOROWATI</v>
      </c>
      <c r="F4752" s="20" t="str">
        <f>IFERROR(VLOOKUP($I4732,KET!$B:$F,5,0),"")</f>
        <v>GMM</v>
      </c>
      <c r="G4752" s="20">
        <f>IFERROR(INDEX('Kode Outlet dan Target Toko'!$C:$C,MATCH($I4732,'Kode Outlet dan Target Toko'!$E:$E,0)),0)</f>
        <v>211030</v>
      </c>
      <c r="H4752" s="20">
        <f>IFERROR(INDEX('Kode Outlet dan Target Toko'!$D:$D,MATCH($I4732,'Kode Outlet dan Target Toko'!$E:$E,0)),0)</f>
        <v>5765035</v>
      </c>
      <c r="I4752" s="41" t="s">
        <v>106</v>
      </c>
      <c r="J4752" s="45" t="s">
        <v>218</v>
      </c>
      <c r="K4752" s="53" t="s">
        <v>14</v>
      </c>
      <c r="L4752" s="23">
        <v>6000</v>
      </c>
      <c r="M4752" s="24">
        <v>43</v>
      </c>
      <c r="N4752" s="25">
        <f t="shared" si="148"/>
        <v>258000</v>
      </c>
      <c r="O4752" s="24"/>
    </row>
    <row r="4753" spans="1:15" hidden="1" x14ac:dyDescent="0.3">
      <c r="A4753" s="24">
        <v>34</v>
      </c>
      <c r="B4753" s="20" t="str">
        <f>IF(C4733="","",UPPER(TEXT(C4733, "MMM")))</f>
        <v>AUG</v>
      </c>
      <c r="C4753" s="21">
        <v>46256</v>
      </c>
      <c r="D4753" s="22" t="str">
        <f>IFERROR(INDEX('Kode Outlet dan Target Toko'!$A:$A,MATCH($I4733,'Kode Outlet dan Target Toko'!$E:$E,0)),"")</f>
        <v>GRSM 6</v>
      </c>
      <c r="E4753" s="20" t="str">
        <f>IFERROR(VLOOKUP(I4753,KET!$B:$F,4,0),"")</f>
        <v>MARTIKA MINTOROWATI</v>
      </c>
      <c r="F4753" s="20" t="str">
        <f>IFERROR(VLOOKUP($I4733,KET!$B:$F,5,0),"")</f>
        <v>GMM</v>
      </c>
      <c r="G4753" s="20">
        <f>IFERROR(INDEX('Kode Outlet dan Target Toko'!$C:$C,MATCH($I4733,'Kode Outlet dan Target Toko'!$E:$E,0)),0)</f>
        <v>211030</v>
      </c>
      <c r="H4753" s="20">
        <f>IFERROR(INDEX('Kode Outlet dan Target Toko'!$D:$D,MATCH($I4733,'Kode Outlet dan Target Toko'!$E:$E,0)),0)</f>
        <v>5765035</v>
      </c>
      <c r="I4753" s="41" t="s">
        <v>106</v>
      </c>
      <c r="J4753" s="45" t="s">
        <v>218</v>
      </c>
      <c r="K4753" s="53" t="s">
        <v>13</v>
      </c>
      <c r="L4753" s="23">
        <v>6000</v>
      </c>
      <c r="M4753" s="23">
        <v>8</v>
      </c>
      <c r="N4753" s="25">
        <f t="shared" si="148"/>
        <v>48000</v>
      </c>
      <c r="O4753" s="24"/>
    </row>
    <row r="4754" spans="1:15" hidden="1" x14ac:dyDescent="0.3">
      <c r="A4754" s="24">
        <v>34</v>
      </c>
      <c r="B4754" s="20" t="str">
        <f>IF(C4734="","",UPPER(TEXT(C4734, "MMM")))</f>
        <v>AUG</v>
      </c>
      <c r="C4754" s="21">
        <v>46256</v>
      </c>
      <c r="D4754" s="22" t="str">
        <f>IFERROR(INDEX('Kode Outlet dan Target Toko'!$A:$A,MATCH($I4734,'Kode Outlet dan Target Toko'!$E:$E,0)),"")</f>
        <v>GRSM 6</v>
      </c>
      <c r="E4754" s="20" t="str">
        <f>IFERROR(VLOOKUP(I4754,KET!$B:$F,4,0),"")</f>
        <v>MARTIKA MINTOROWATI</v>
      </c>
      <c r="F4754" s="20" t="str">
        <f>IFERROR(VLOOKUP($I4734,KET!$B:$F,5,0),"")</f>
        <v>GMM</v>
      </c>
      <c r="G4754" s="20">
        <f>IFERROR(INDEX('Kode Outlet dan Target Toko'!$C:$C,MATCH($I4734,'Kode Outlet dan Target Toko'!$E:$E,0)),0)</f>
        <v>211030</v>
      </c>
      <c r="H4754" s="20">
        <f>IFERROR(INDEX('Kode Outlet dan Target Toko'!$D:$D,MATCH($I4734,'Kode Outlet dan Target Toko'!$E:$E,0)),0)</f>
        <v>5765035</v>
      </c>
      <c r="I4754" s="41" t="s">
        <v>106</v>
      </c>
      <c r="J4754" s="45" t="s">
        <v>218</v>
      </c>
      <c r="K4754" s="53" t="s">
        <v>16</v>
      </c>
      <c r="L4754" s="23">
        <v>6000</v>
      </c>
      <c r="M4754" s="23">
        <v>61</v>
      </c>
      <c r="N4754" s="25">
        <f t="shared" si="148"/>
        <v>366000</v>
      </c>
      <c r="O4754" s="24"/>
    </row>
    <row r="4755" spans="1:15" hidden="1" x14ac:dyDescent="0.3">
      <c r="A4755" s="24">
        <v>34</v>
      </c>
      <c r="B4755" s="20" t="s">
        <v>123</v>
      </c>
      <c r="C4755" s="21">
        <v>46256</v>
      </c>
      <c r="D4755" s="22" t="s">
        <v>45</v>
      </c>
      <c r="E4755" s="20" t="str">
        <f>IFERROR(VLOOKUP(I4755,KET!$B:$F,4,0),"")</f>
        <v>MARTIKA MINTOROWATI</v>
      </c>
      <c r="F4755" s="20" t="s">
        <v>42</v>
      </c>
      <c r="G4755" s="20">
        <v>170208</v>
      </c>
      <c r="H4755" s="20">
        <v>5765022</v>
      </c>
      <c r="I4755" s="41" t="s">
        <v>109</v>
      </c>
      <c r="J4755" s="56" t="s">
        <v>214</v>
      </c>
      <c r="K4755" s="53" t="s">
        <v>15</v>
      </c>
      <c r="L4755" s="23">
        <v>2950</v>
      </c>
      <c r="M4755" s="23">
        <v>0</v>
      </c>
      <c r="N4755" s="25">
        <f t="shared" si="148"/>
        <v>0</v>
      </c>
      <c r="O4755" s="24"/>
    </row>
    <row r="4756" spans="1:15" hidden="1" x14ac:dyDescent="0.3">
      <c r="A4756" s="24">
        <v>34</v>
      </c>
      <c r="B4756" s="20" t="s">
        <v>123</v>
      </c>
      <c r="C4756" s="21">
        <v>46256</v>
      </c>
      <c r="D4756" s="22" t="s">
        <v>45</v>
      </c>
      <c r="E4756" s="20" t="str">
        <f>IFERROR(VLOOKUP(I4756,KET!$B:$F,4,0),"")</f>
        <v>MARTIKA MINTOROWATI</v>
      </c>
      <c r="F4756" s="20" t="s">
        <v>42</v>
      </c>
      <c r="G4756" s="20">
        <v>170208</v>
      </c>
      <c r="H4756" s="20">
        <v>5765022</v>
      </c>
      <c r="I4756" s="41" t="s">
        <v>109</v>
      </c>
      <c r="J4756" s="56" t="s">
        <v>214</v>
      </c>
      <c r="K4756" s="53" t="s">
        <v>14</v>
      </c>
      <c r="L4756" s="23">
        <v>2950</v>
      </c>
      <c r="M4756" s="23">
        <v>112</v>
      </c>
      <c r="N4756" s="25">
        <f t="shared" si="148"/>
        <v>330400</v>
      </c>
      <c r="O4756" s="24"/>
    </row>
    <row r="4757" spans="1:15" hidden="1" x14ac:dyDescent="0.3">
      <c r="A4757" s="24">
        <v>34</v>
      </c>
      <c r="B4757" s="20" t="s">
        <v>123</v>
      </c>
      <c r="C4757" s="21">
        <v>46256</v>
      </c>
      <c r="D4757" s="22" t="s">
        <v>45</v>
      </c>
      <c r="E4757" s="20" t="str">
        <f>IFERROR(VLOOKUP(I4757,KET!$B:$F,4,0),"")</f>
        <v>MARTIKA MINTOROWATI</v>
      </c>
      <c r="F4757" s="20" t="s">
        <v>42</v>
      </c>
      <c r="G4757" s="20">
        <v>170208</v>
      </c>
      <c r="H4757" s="20">
        <v>5765022</v>
      </c>
      <c r="I4757" s="41" t="s">
        <v>109</v>
      </c>
      <c r="J4757" s="56" t="s">
        <v>214</v>
      </c>
      <c r="K4757" s="53" t="s">
        <v>13</v>
      </c>
      <c r="L4757" s="23">
        <v>2950</v>
      </c>
      <c r="M4757" s="23">
        <v>44</v>
      </c>
      <c r="N4757" s="25">
        <f t="shared" si="148"/>
        <v>129800</v>
      </c>
      <c r="O4757" s="24"/>
    </row>
    <row r="4758" spans="1:15" hidden="1" x14ac:dyDescent="0.3">
      <c r="A4758" s="24">
        <v>34</v>
      </c>
      <c r="B4758" s="20" t="s">
        <v>123</v>
      </c>
      <c r="C4758" s="21">
        <v>46256</v>
      </c>
      <c r="D4758" s="22" t="s">
        <v>45</v>
      </c>
      <c r="E4758" s="20" t="str">
        <f>IFERROR(VLOOKUP(I4758,KET!$B:$F,4,0),"")</f>
        <v>MARTIKA MINTOROWATI</v>
      </c>
      <c r="F4758" s="20" t="s">
        <v>42</v>
      </c>
      <c r="G4758" s="20">
        <v>170208</v>
      </c>
      <c r="H4758" s="20">
        <v>5765022</v>
      </c>
      <c r="I4758" s="41" t="s">
        <v>109</v>
      </c>
      <c r="J4758" s="56" t="s">
        <v>214</v>
      </c>
      <c r="K4758" s="53" t="s">
        <v>16</v>
      </c>
      <c r="L4758" s="23">
        <v>2950</v>
      </c>
      <c r="M4758" s="23">
        <v>129</v>
      </c>
      <c r="N4758" s="25">
        <f t="shared" si="148"/>
        <v>380550</v>
      </c>
      <c r="O4758" s="24">
        <v>160</v>
      </c>
    </row>
    <row r="4759" spans="1:15" hidden="1" x14ac:dyDescent="0.3">
      <c r="A4759" s="24">
        <v>34</v>
      </c>
      <c r="B4759" s="20" t="s">
        <v>123</v>
      </c>
      <c r="C4759" s="21">
        <v>46257</v>
      </c>
      <c r="D4759" s="22" t="s">
        <v>45</v>
      </c>
      <c r="E4759" s="20" t="str">
        <f>IFERROR(VLOOKUP(I4759,KET!$B:$F,4,0),"")</f>
        <v>MARTIKA MINTOROWATI</v>
      </c>
      <c r="F4759" s="20" t="s">
        <v>42</v>
      </c>
      <c r="G4759" s="20">
        <v>170208</v>
      </c>
      <c r="H4759" s="20">
        <v>5765022</v>
      </c>
      <c r="I4759" s="41" t="s">
        <v>109</v>
      </c>
      <c r="J4759" s="56" t="s">
        <v>214</v>
      </c>
      <c r="K4759" s="53" t="s">
        <v>15</v>
      </c>
      <c r="L4759" s="23">
        <v>2950</v>
      </c>
      <c r="M4759" s="23">
        <v>0</v>
      </c>
      <c r="N4759" s="25">
        <f t="shared" si="148"/>
        <v>0</v>
      </c>
      <c r="O4759" s="24"/>
    </row>
    <row r="4760" spans="1:15" hidden="1" x14ac:dyDescent="0.3">
      <c r="A4760" s="24">
        <v>34</v>
      </c>
      <c r="B4760" s="20" t="s">
        <v>123</v>
      </c>
      <c r="C4760" s="21">
        <v>46257</v>
      </c>
      <c r="D4760" s="22" t="s">
        <v>45</v>
      </c>
      <c r="E4760" s="20" t="str">
        <f>IFERROR(VLOOKUP(I4760,KET!$B:$F,4,0),"")</f>
        <v>MARTIKA MINTOROWATI</v>
      </c>
      <c r="F4760" s="20" t="s">
        <v>42</v>
      </c>
      <c r="G4760" s="20">
        <v>170208</v>
      </c>
      <c r="H4760" s="20">
        <v>5765022</v>
      </c>
      <c r="I4760" s="41" t="s">
        <v>109</v>
      </c>
      <c r="J4760" s="56" t="s">
        <v>214</v>
      </c>
      <c r="K4760" s="53" t="s">
        <v>14</v>
      </c>
      <c r="L4760" s="23">
        <v>2950</v>
      </c>
      <c r="M4760" s="23">
        <v>97</v>
      </c>
      <c r="N4760" s="25">
        <f t="shared" si="148"/>
        <v>286150</v>
      </c>
      <c r="O4760" s="24"/>
    </row>
    <row r="4761" spans="1:15" hidden="1" x14ac:dyDescent="0.3">
      <c r="A4761" s="24">
        <v>34</v>
      </c>
      <c r="B4761" s="20" t="s">
        <v>123</v>
      </c>
      <c r="C4761" s="21">
        <v>46257</v>
      </c>
      <c r="D4761" s="22" t="s">
        <v>45</v>
      </c>
      <c r="E4761" s="20" t="str">
        <f>IFERROR(VLOOKUP(I4761,KET!$B:$F,4,0),"")</f>
        <v>MARTIKA MINTOROWATI</v>
      </c>
      <c r="F4761" s="20" t="s">
        <v>42</v>
      </c>
      <c r="G4761" s="20">
        <v>170208</v>
      </c>
      <c r="H4761" s="20">
        <v>5765022</v>
      </c>
      <c r="I4761" s="41" t="s">
        <v>109</v>
      </c>
      <c r="J4761" s="56" t="s">
        <v>214</v>
      </c>
      <c r="K4761" s="53" t="s">
        <v>13</v>
      </c>
      <c r="L4761" s="23">
        <v>2950</v>
      </c>
      <c r="M4761" s="23">
        <v>39</v>
      </c>
      <c r="N4761" s="25">
        <f t="shared" si="148"/>
        <v>115050</v>
      </c>
      <c r="O4761" s="24"/>
    </row>
    <row r="4762" spans="1:15" hidden="1" x14ac:dyDescent="0.3">
      <c r="A4762" s="24">
        <v>34</v>
      </c>
      <c r="B4762" s="20" t="s">
        <v>123</v>
      </c>
      <c r="C4762" s="21">
        <v>46257</v>
      </c>
      <c r="D4762" s="22" t="s">
        <v>45</v>
      </c>
      <c r="E4762" s="20" t="str">
        <f>IFERROR(VLOOKUP(I4762,KET!$B:$F,4,0),"")</f>
        <v>MARTIKA MINTOROWATI</v>
      </c>
      <c r="F4762" s="20" t="s">
        <v>42</v>
      </c>
      <c r="G4762" s="20">
        <v>170208</v>
      </c>
      <c r="H4762" s="20">
        <v>5765022</v>
      </c>
      <c r="I4762" s="41" t="s">
        <v>109</v>
      </c>
      <c r="J4762" s="56" t="s">
        <v>214</v>
      </c>
      <c r="K4762" s="53" t="s">
        <v>16</v>
      </c>
      <c r="L4762" s="23">
        <v>2950</v>
      </c>
      <c r="M4762" s="23">
        <v>141</v>
      </c>
      <c r="N4762" s="25">
        <f t="shared" si="148"/>
        <v>415950</v>
      </c>
      <c r="O4762" s="24">
        <v>160</v>
      </c>
    </row>
    <row r="4763" spans="1:15" hidden="1" x14ac:dyDescent="0.3">
      <c r="A4763" s="24">
        <v>34</v>
      </c>
      <c r="B4763" s="20" t="s">
        <v>123</v>
      </c>
      <c r="C4763" s="21">
        <v>46257</v>
      </c>
      <c r="D4763" s="22" t="str">
        <f>IFERROR(INDEX('Kode Outlet dan Target Toko'!$A:$A,MATCH($I4743,'Kode Outlet dan Target Toko'!$E:$E,0)),"")</f>
        <v>GRSM 4</v>
      </c>
      <c r="E4763" s="20" t="str">
        <f>IFERROR(VLOOKUP(I4763,KET!$B:$F,4,0),"")</f>
        <v>MARTIKA MINTOROWATI</v>
      </c>
      <c r="F4763" s="20" t="str">
        <f>IFERROR(VLOOKUP($I4743,KET!$B:$F,5,0),"")</f>
        <v>NKA</v>
      </c>
      <c r="G4763" s="20">
        <f>IFERROR(INDEX('Kode Outlet dan Target Toko'!$C:$C,MATCH($I4743,'Kode Outlet dan Target Toko'!$E:$E,0)),0)</f>
        <v>195403</v>
      </c>
      <c r="H4763" s="20">
        <f>IFERROR(INDEX('Kode Outlet dan Target Toko'!$D:$D,MATCH($I4743,'Kode Outlet dan Target Toko'!$E:$E,0)),0)</f>
        <v>1600007</v>
      </c>
      <c r="I4763" s="42" t="s">
        <v>145</v>
      </c>
      <c r="J4763" s="45" t="s">
        <v>220</v>
      </c>
      <c r="K4763" s="53" t="s">
        <v>15</v>
      </c>
      <c r="L4763" s="23">
        <v>2900</v>
      </c>
      <c r="M4763" s="23">
        <v>47</v>
      </c>
      <c r="N4763" s="25">
        <f t="shared" si="148"/>
        <v>136300</v>
      </c>
      <c r="O4763" s="24"/>
    </row>
    <row r="4764" spans="1:15" hidden="1" x14ac:dyDescent="0.3">
      <c r="A4764" s="24">
        <v>34</v>
      </c>
      <c r="B4764" s="20" t="s">
        <v>123</v>
      </c>
      <c r="C4764" s="21">
        <v>46257</v>
      </c>
      <c r="D4764" s="22" t="str">
        <f>IFERROR(INDEX('Kode Outlet dan Target Toko'!$A:$A,MATCH($I4744,'Kode Outlet dan Target Toko'!$E:$E,0)),"")</f>
        <v>GRSM 4</v>
      </c>
      <c r="E4764" s="20" t="str">
        <f>IFERROR(VLOOKUP(I4764,KET!$B:$F,4,0),"")</f>
        <v>MARTIKA MINTOROWATI</v>
      </c>
      <c r="F4764" s="20" t="str">
        <f>IFERROR(VLOOKUP($I4744,KET!$B:$F,5,0),"")</f>
        <v>NKA</v>
      </c>
      <c r="G4764" s="20">
        <f>IFERROR(INDEX('Kode Outlet dan Target Toko'!$C:$C,MATCH($I4744,'Kode Outlet dan Target Toko'!$E:$E,0)),0)</f>
        <v>195403</v>
      </c>
      <c r="H4764" s="20">
        <f>IFERROR(INDEX('Kode Outlet dan Target Toko'!$D:$D,MATCH($I4744,'Kode Outlet dan Target Toko'!$E:$E,0)),0)</f>
        <v>1600007</v>
      </c>
      <c r="I4764" s="42" t="s">
        <v>145</v>
      </c>
      <c r="J4764" s="45" t="s">
        <v>220</v>
      </c>
      <c r="K4764" s="53" t="s">
        <v>14</v>
      </c>
      <c r="L4764" s="23">
        <v>2900</v>
      </c>
      <c r="M4764" s="23">
        <v>34</v>
      </c>
      <c r="N4764" s="25">
        <f t="shared" si="148"/>
        <v>98600</v>
      </c>
      <c r="O4764" s="24"/>
    </row>
    <row r="4765" spans="1:15" hidden="1" x14ac:dyDescent="0.3">
      <c r="A4765" s="24">
        <v>34</v>
      </c>
      <c r="B4765" s="20" t="s">
        <v>123</v>
      </c>
      <c r="C4765" s="21">
        <v>46257</v>
      </c>
      <c r="D4765" s="22" t="str">
        <f>IFERROR(INDEX('Kode Outlet dan Target Toko'!$A:$A,MATCH($I4745,'Kode Outlet dan Target Toko'!$E:$E,0)),"")</f>
        <v>GRSM 4</v>
      </c>
      <c r="E4765" s="20" t="str">
        <f>IFERROR(VLOOKUP(I4765,KET!$B:$F,4,0),"")</f>
        <v>MARTIKA MINTOROWATI</v>
      </c>
      <c r="F4765" s="20" t="str">
        <f>IFERROR(VLOOKUP($I4745,KET!$B:$F,5,0),"")</f>
        <v>NKA</v>
      </c>
      <c r="G4765" s="20">
        <f>IFERROR(INDEX('Kode Outlet dan Target Toko'!$C:$C,MATCH($I4745,'Kode Outlet dan Target Toko'!$E:$E,0)),0)</f>
        <v>195403</v>
      </c>
      <c r="H4765" s="20">
        <f>IFERROR(INDEX('Kode Outlet dan Target Toko'!$D:$D,MATCH($I4745,'Kode Outlet dan Target Toko'!$E:$E,0)),0)</f>
        <v>1600007</v>
      </c>
      <c r="I4765" s="42" t="s">
        <v>145</v>
      </c>
      <c r="J4765" s="45" t="s">
        <v>220</v>
      </c>
      <c r="K4765" s="53" t="s">
        <v>13</v>
      </c>
      <c r="L4765" s="23">
        <v>2900</v>
      </c>
      <c r="M4765" s="23">
        <v>39</v>
      </c>
      <c r="N4765" s="25">
        <f t="shared" si="148"/>
        <v>113100</v>
      </c>
      <c r="O4765" s="24"/>
    </row>
    <row r="4766" spans="1:15" hidden="1" x14ac:dyDescent="0.3">
      <c r="A4766" s="24">
        <v>34</v>
      </c>
      <c r="B4766" s="20" t="s">
        <v>123</v>
      </c>
      <c r="C4766" s="21">
        <v>46257</v>
      </c>
      <c r="D4766" s="22" t="str">
        <f>IFERROR(INDEX('Kode Outlet dan Target Toko'!$A:$A,MATCH($I4746,'Kode Outlet dan Target Toko'!$E:$E,0)),"")</f>
        <v>GRSM 4</v>
      </c>
      <c r="E4766" s="20" t="str">
        <f>IFERROR(VLOOKUP(I4766,KET!$B:$F,4,0),"")</f>
        <v>MARTIKA MINTOROWATI</v>
      </c>
      <c r="F4766" s="20" t="str">
        <f>IFERROR(VLOOKUP($I4746,KET!$B:$F,5,0),"")</f>
        <v>NKA</v>
      </c>
      <c r="G4766" s="20">
        <f>IFERROR(INDEX('Kode Outlet dan Target Toko'!$C:$C,MATCH($I4746,'Kode Outlet dan Target Toko'!$E:$E,0)),0)</f>
        <v>195403</v>
      </c>
      <c r="H4766" s="20">
        <f>IFERROR(INDEX('Kode Outlet dan Target Toko'!$D:$D,MATCH($I4746,'Kode Outlet dan Target Toko'!$E:$E,0)),0)</f>
        <v>1600007</v>
      </c>
      <c r="I4766" s="42" t="s">
        <v>145</v>
      </c>
      <c r="J4766" s="45" t="s">
        <v>220</v>
      </c>
      <c r="K4766" s="53" t="s">
        <v>16</v>
      </c>
      <c r="L4766" s="23">
        <v>2900</v>
      </c>
      <c r="M4766" s="23">
        <v>53</v>
      </c>
      <c r="N4766" s="25">
        <f t="shared" si="148"/>
        <v>153700</v>
      </c>
      <c r="O4766" s="24">
        <v>160</v>
      </c>
    </row>
  </sheetData>
  <autoFilter ref="A5:O4766" xr:uid="{00000000-0001-0000-0400-000000000000}">
    <filterColumn colId="0">
      <filters>
        <filter val="34"/>
      </filters>
    </filterColumn>
    <filterColumn colId="9">
      <filters>
        <filter val="HANA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69"/>
  <sheetViews>
    <sheetView showGridLines="0" zoomScale="70" zoomScaleNormal="70" workbookViewId="0">
      <pane xSplit="8" ySplit="6" topLeftCell="I842" activePane="bottomRight" state="frozen"/>
      <selection activeCell="K7" sqref="K7:K1327"/>
      <selection pane="topRight" activeCell="K7" sqref="K7:K1327"/>
      <selection pane="bottomLeft" activeCell="K7" sqref="K7:K1327"/>
      <selection pane="bottomRight" activeCell="H5" sqref="H5:H6"/>
    </sheetView>
  </sheetViews>
  <sheetFormatPr defaultColWidth="14.44140625" defaultRowHeight="14.4" x14ac:dyDescent="0.3"/>
  <cols>
    <col min="1" max="1" width="6.33203125" customWidth="1"/>
    <col min="2" max="2" width="7" customWidth="1"/>
    <col min="3" max="3" width="14.33203125" customWidth="1"/>
    <col min="4" max="4" width="10.33203125" hidden="1" customWidth="1"/>
    <col min="5" max="5" width="12" hidden="1" customWidth="1"/>
    <col min="6" max="6" width="24" hidden="1" customWidth="1"/>
    <col min="7" max="7" width="10.33203125" hidden="1" customWidth="1"/>
    <col min="8" max="8" width="29.88671875" customWidth="1"/>
    <col min="9" max="18" width="13.33203125" customWidth="1"/>
    <col min="19" max="21" width="13.109375" customWidth="1"/>
    <col min="22" max="23" width="13.33203125" customWidth="1"/>
    <col min="24" max="26" width="9.109375" customWidth="1"/>
  </cols>
  <sheetData>
    <row r="1" spans="1:23" ht="21" customHeight="1" x14ac:dyDescent="0.4">
      <c r="A1" s="4" t="s">
        <v>0</v>
      </c>
      <c r="B1" s="5"/>
      <c r="C1" s="6"/>
      <c r="D1" s="5"/>
      <c r="E1" s="5"/>
      <c r="F1" s="5"/>
      <c r="G1" s="5"/>
      <c r="H1" s="5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3" ht="16.5" customHeight="1" x14ac:dyDescent="0.3">
      <c r="A2" s="8" t="s">
        <v>1</v>
      </c>
      <c r="B2" s="9"/>
      <c r="C2" s="10"/>
      <c r="D2" s="11"/>
      <c r="E2" s="11"/>
      <c r="F2" s="12"/>
      <c r="G2" s="13" t="s">
        <v>2</v>
      </c>
      <c r="H2" s="13" t="s">
        <v>2</v>
      </c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23" ht="14.25" customHeight="1" x14ac:dyDescent="0.3">
      <c r="A3" s="5"/>
      <c r="B3" s="5"/>
      <c r="C3" s="6"/>
      <c r="D3" s="5"/>
      <c r="E3" s="5"/>
      <c r="F3" s="5"/>
      <c r="G3" s="5"/>
      <c r="H3" s="5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23" ht="14.25" customHeight="1" x14ac:dyDescent="0.3">
      <c r="A4" s="5"/>
      <c r="B4" s="5"/>
      <c r="C4" s="6"/>
      <c r="D4" s="5"/>
      <c r="E4" s="5"/>
      <c r="F4" s="5"/>
      <c r="G4" s="5"/>
      <c r="H4" s="5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23" ht="14.25" customHeight="1" x14ac:dyDescent="0.3">
      <c r="A5" s="74" t="s">
        <v>3</v>
      </c>
      <c r="B5" s="74" t="s">
        <v>4</v>
      </c>
      <c r="C5" s="81" t="s">
        <v>5</v>
      </c>
      <c r="D5" s="74" t="s">
        <v>6</v>
      </c>
      <c r="E5" s="74" t="s">
        <v>7</v>
      </c>
      <c r="F5" s="74" t="s">
        <v>8</v>
      </c>
      <c r="G5" s="74" t="s">
        <v>9</v>
      </c>
      <c r="H5" s="74" t="s">
        <v>10</v>
      </c>
      <c r="I5" s="74" t="s">
        <v>11</v>
      </c>
      <c r="J5" s="79"/>
      <c r="K5" s="79"/>
      <c r="L5" s="79"/>
      <c r="M5" s="80"/>
      <c r="N5" s="78" t="s">
        <v>12</v>
      </c>
      <c r="O5" s="79"/>
      <c r="P5" s="79"/>
      <c r="Q5" s="79"/>
      <c r="R5" s="80"/>
      <c r="S5" s="76"/>
      <c r="T5" s="77"/>
      <c r="U5" s="77"/>
      <c r="V5" s="77"/>
      <c r="W5" s="77"/>
    </row>
    <row r="6" spans="1:23" ht="49.5" customHeight="1" x14ac:dyDescent="0.3">
      <c r="A6" s="75"/>
      <c r="B6" s="75"/>
      <c r="C6" s="75"/>
      <c r="D6" s="75"/>
      <c r="E6" s="75"/>
      <c r="F6" s="75"/>
      <c r="G6" s="75"/>
      <c r="H6" s="75"/>
      <c r="I6" s="64" t="s">
        <v>13</v>
      </c>
      <c r="J6" s="64" t="s">
        <v>14</v>
      </c>
      <c r="K6" s="64" t="s">
        <v>15</v>
      </c>
      <c r="L6" s="64" t="s">
        <v>16</v>
      </c>
      <c r="M6" s="64" t="s">
        <v>17</v>
      </c>
      <c r="N6" s="65" t="s">
        <v>13</v>
      </c>
      <c r="O6" s="65" t="s">
        <v>14</v>
      </c>
      <c r="P6" s="31" t="s">
        <v>15</v>
      </c>
      <c r="Q6" s="65" t="s">
        <v>16</v>
      </c>
      <c r="R6" s="65" t="s">
        <v>17</v>
      </c>
    </row>
    <row r="7" spans="1:23" ht="14.25" customHeight="1" x14ac:dyDescent="0.3">
      <c r="A7" s="19">
        <v>22</v>
      </c>
      <c r="B7" s="20" t="str">
        <f t="shared" ref="B7:B70" si="0">IF(C7="","",UPPER(TEXT(C7, "MMM")))</f>
        <v>MAY</v>
      </c>
      <c r="C7" s="21">
        <v>46171</v>
      </c>
      <c r="D7" s="20" t="str">
        <f>IFERROR(VLOOKUP(H7,KET!$B:$F,2,0),"")</f>
        <v>GRSM 4</v>
      </c>
      <c r="E7" s="20" t="str">
        <f>IFERROR(VLOOKUP(H7,KET!$B:$F,3,0),"")</f>
        <v>TASIK</v>
      </c>
      <c r="F7" s="20" t="str">
        <f>IFERROR(VLOOKUP(H7,KET!$B:$F,4,0),"")</f>
        <v>FAHMI LUKMANUL HAKIM</v>
      </c>
      <c r="G7" s="20" t="str">
        <f>IFERROR(VLOOKUP(H7,KET!$B:$F,5,0),"")</f>
        <v>GMM</v>
      </c>
      <c r="H7" s="56" t="s">
        <v>18</v>
      </c>
      <c r="I7" s="32">
        <v>969</v>
      </c>
      <c r="J7" s="32">
        <v>1099</v>
      </c>
      <c r="K7" s="32">
        <v>825</v>
      </c>
      <c r="L7" s="32">
        <v>666</v>
      </c>
      <c r="M7" s="33">
        <f t="shared" ref="M7:M70" si="1">SUM(I7:L7)</f>
        <v>3559</v>
      </c>
      <c r="N7" s="32">
        <v>942</v>
      </c>
      <c r="O7" s="32">
        <v>1036</v>
      </c>
      <c r="P7" s="34">
        <v>771</v>
      </c>
      <c r="Q7" s="32">
        <v>477</v>
      </c>
      <c r="R7" s="33">
        <f t="shared" ref="R7:R70" si="2">SUM(N7:Q7)</f>
        <v>3226</v>
      </c>
    </row>
    <row r="8" spans="1:23" ht="14.25" customHeight="1" x14ac:dyDescent="0.3">
      <c r="A8" s="19">
        <v>22</v>
      </c>
      <c r="B8" s="20" t="str">
        <f t="shared" si="0"/>
        <v>MAY</v>
      </c>
      <c r="C8" s="21">
        <v>46171</v>
      </c>
      <c r="D8" s="20" t="str">
        <f>IFERROR(VLOOKUP(H8,KET!$B:$F,2,0),"")</f>
        <v>GRSM 4</v>
      </c>
      <c r="E8" s="20" t="str">
        <f>IFERROR(VLOOKUP(H8,KET!$B:$F,3,0),"")</f>
        <v>TASIK</v>
      </c>
      <c r="F8" s="20" t="str">
        <f>IFERROR(VLOOKUP(H8,KET!$B:$F,4,0),"")</f>
        <v>FAHMI LUKMANUL HAKIM</v>
      </c>
      <c r="G8" s="20" t="str">
        <f>IFERROR(VLOOKUP(H8,KET!$B:$F,5,0),"")</f>
        <v>GMM</v>
      </c>
      <c r="H8" s="56" t="s">
        <v>18</v>
      </c>
      <c r="I8" s="32">
        <v>1008</v>
      </c>
      <c r="J8" s="32">
        <v>1153</v>
      </c>
      <c r="K8" s="32">
        <v>876</v>
      </c>
      <c r="L8" s="32">
        <v>795</v>
      </c>
      <c r="M8" s="33">
        <f t="shared" si="1"/>
        <v>3832</v>
      </c>
      <c r="N8" s="32">
        <v>969</v>
      </c>
      <c r="O8" s="32">
        <v>1099</v>
      </c>
      <c r="P8" s="34">
        <v>825</v>
      </c>
      <c r="Q8" s="32">
        <v>666</v>
      </c>
      <c r="R8" s="33">
        <f t="shared" si="2"/>
        <v>3559</v>
      </c>
    </row>
    <row r="9" spans="1:23" ht="14.25" customHeight="1" x14ac:dyDescent="0.3">
      <c r="A9" s="19">
        <v>22</v>
      </c>
      <c r="B9" s="20" t="str">
        <f t="shared" si="0"/>
        <v>MAY</v>
      </c>
      <c r="C9" s="21">
        <v>46172</v>
      </c>
      <c r="D9" s="20" t="str">
        <f>IFERROR(VLOOKUP(H9,KET!$B:$F,2,0),"")</f>
        <v>GRSM 4</v>
      </c>
      <c r="E9" s="20" t="str">
        <f>IFERROR(VLOOKUP(H9,KET!$B:$F,3,0),"")</f>
        <v>TASIK</v>
      </c>
      <c r="F9" s="20" t="str">
        <f>IFERROR(VLOOKUP(H9,KET!$B:$F,4,0),"")</f>
        <v>FAHMI LUKMANUL HAKIM</v>
      </c>
      <c r="G9" s="20" t="str">
        <f>IFERROR(VLOOKUP(H9,KET!$B:$F,5,0),"")</f>
        <v>GMM</v>
      </c>
      <c r="H9" s="56" t="s">
        <v>18</v>
      </c>
      <c r="I9" s="32">
        <v>889</v>
      </c>
      <c r="J9" s="32">
        <v>967</v>
      </c>
      <c r="K9" s="32">
        <v>690</v>
      </c>
      <c r="L9" s="32">
        <v>405</v>
      </c>
      <c r="M9" s="33">
        <f t="shared" si="1"/>
        <v>2951</v>
      </c>
      <c r="N9" s="32">
        <v>835</v>
      </c>
      <c r="O9" s="32">
        <v>883</v>
      </c>
      <c r="P9" s="34">
        <v>615</v>
      </c>
      <c r="Q9" s="32">
        <v>315</v>
      </c>
      <c r="R9" s="33">
        <f t="shared" si="2"/>
        <v>2648</v>
      </c>
    </row>
    <row r="10" spans="1:23" ht="14.25" customHeight="1" x14ac:dyDescent="0.3">
      <c r="A10" s="19">
        <v>22</v>
      </c>
      <c r="B10" s="20" t="str">
        <f t="shared" si="0"/>
        <v>MAY</v>
      </c>
      <c r="C10" s="21">
        <v>46172</v>
      </c>
      <c r="D10" s="20" t="str">
        <f>IFERROR(VLOOKUP(H10,KET!$B:$F,2,0),"")</f>
        <v>GRSM 4</v>
      </c>
      <c r="E10" s="20" t="str">
        <f>IFERROR(VLOOKUP(H10,KET!$B:$F,3,0),"")</f>
        <v>TASIK</v>
      </c>
      <c r="F10" s="20" t="str">
        <f>IFERROR(VLOOKUP(H10,KET!$B:$F,4,0),"")</f>
        <v>FAHMI LUKMANUL HAKIM</v>
      </c>
      <c r="G10" s="20" t="str">
        <f>IFERROR(VLOOKUP(H10,KET!$B:$F,5,0),"")</f>
        <v>GMM</v>
      </c>
      <c r="H10" s="56" t="s">
        <v>18</v>
      </c>
      <c r="I10" s="32">
        <v>942</v>
      </c>
      <c r="J10" s="32">
        <v>1036</v>
      </c>
      <c r="K10" s="32">
        <v>771</v>
      </c>
      <c r="L10" s="32">
        <v>477</v>
      </c>
      <c r="M10" s="33">
        <f t="shared" si="1"/>
        <v>3226</v>
      </c>
      <c r="N10" s="32">
        <v>889</v>
      </c>
      <c r="O10" s="32">
        <v>967</v>
      </c>
      <c r="P10" s="34">
        <v>690</v>
      </c>
      <c r="Q10" s="32">
        <v>405</v>
      </c>
      <c r="R10" s="33">
        <f t="shared" si="2"/>
        <v>2951</v>
      </c>
    </row>
    <row r="11" spans="1:23" ht="14.25" customHeight="1" x14ac:dyDescent="0.3">
      <c r="A11" s="19">
        <v>22</v>
      </c>
      <c r="B11" s="20" t="str">
        <f t="shared" si="0"/>
        <v>MAY</v>
      </c>
      <c r="C11" s="21">
        <v>46173</v>
      </c>
      <c r="D11" s="20" t="str">
        <f>IFERROR(VLOOKUP(H11,KET!$B:$F,2,0),"")</f>
        <v>GRSM 4</v>
      </c>
      <c r="E11" s="20" t="str">
        <f>IFERROR(VLOOKUP(H11,KET!$B:$F,3,0),"")</f>
        <v>TASIK</v>
      </c>
      <c r="F11" s="20" t="str">
        <f>IFERROR(VLOOKUP(H11,KET!$B:$F,4,0),"")</f>
        <v>FAHMI LUKMANUL HAKIM</v>
      </c>
      <c r="G11" s="20" t="str">
        <f>IFERROR(VLOOKUP(H11,KET!$B:$F,5,0),"")</f>
        <v>GMM</v>
      </c>
      <c r="H11" s="56" t="s">
        <v>18</v>
      </c>
      <c r="I11" s="32">
        <v>835</v>
      </c>
      <c r="J11" s="32">
        <v>883</v>
      </c>
      <c r="K11" s="32">
        <v>615</v>
      </c>
      <c r="L11" s="32">
        <v>315</v>
      </c>
      <c r="M11" s="33">
        <f t="shared" si="1"/>
        <v>2648</v>
      </c>
      <c r="N11" s="32">
        <v>799</v>
      </c>
      <c r="O11" s="32">
        <v>757</v>
      </c>
      <c r="P11" s="34">
        <v>471</v>
      </c>
      <c r="Q11" s="32">
        <v>222</v>
      </c>
      <c r="R11" s="33">
        <f t="shared" si="2"/>
        <v>2249</v>
      </c>
    </row>
    <row r="12" spans="1:23" ht="14.25" customHeight="1" x14ac:dyDescent="0.3">
      <c r="A12" s="19">
        <v>22</v>
      </c>
      <c r="B12" s="20" t="str">
        <f t="shared" si="0"/>
        <v>MAY</v>
      </c>
      <c r="C12" s="21">
        <v>46173</v>
      </c>
      <c r="D12" s="20" t="str">
        <f>IFERROR(VLOOKUP(H12,KET!$B:$F,2,0),"")</f>
        <v>GRSM 4</v>
      </c>
      <c r="E12" s="20" t="str">
        <f>IFERROR(VLOOKUP(H12,KET!$B:$F,3,0),"")</f>
        <v>TASIK</v>
      </c>
      <c r="F12" s="20" t="str">
        <f>IFERROR(VLOOKUP(H12,KET!$B:$F,4,0),"")</f>
        <v>FAHMI LUKMANUL HAKIM</v>
      </c>
      <c r="G12" s="20" t="str">
        <f>IFERROR(VLOOKUP(H12,KET!$B:$F,5,0),"")</f>
        <v>GMM</v>
      </c>
      <c r="H12" s="56" t="s">
        <v>18</v>
      </c>
      <c r="I12" s="32">
        <v>799</v>
      </c>
      <c r="J12" s="32">
        <v>757</v>
      </c>
      <c r="K12" s="32">
        <v>471</v>
      </c>
      <c r="L12" s="32">
        <v>222</v>
      </c>
      <c r="M12" s="33">
        <f t="shared" si="1"/>
        <v>2249</v>
      </c>
      <c r="N12" s="32">
        <v>742</v>
      </c>
      <c r="O12" s="32">
        <v>697</v>
      </c>
      <c r="P12" s="34">
        <v>384</v>
      </c>
      <c r="Q12" s="32">
        <v>165</v>
      </c>
      <c r="R12" s="33">
        <f t="shared" si="2"/>
        <v>1988</v>
      </c>
    </row>
    <row r="13" spans="1:23" ht="14.25" customHeight="1" x14ac:dyDescent="0.3">
      <c r="A13" s="19">
        <v>22</v>
      </c>
      <c r="B13" s="20" t="str">
        <f t="shared" si="0"/>
        <v>MAY</v>
      </c>
      <c r="C13" s="21">
        <v>46171</v>
      </c>
      <c r="D13" s="20" t="str">
        <f>IFERROR(VLOOKUP(H13,KET!$B:$F,2,0),"")</f>
        <v>GRSM 4</v>
      </c>
      <c r="E13" s="20" t="str">
        <f>IFERROR(VLOOKUP(H13,KET!$B:$F,3,0),"")</f>
        <v>KUNINGAN</v>
      </c>
      <c r="F13" s="20" t="str">
        <f>IFERROR(VLOOKUP(H13,KET!$B:$F,4,0),"")</f>
        <v>FAHMI LUKMANUL HAKIM</v>
      </c>
      <c r="G13" s="20" t="str">
        <f>IFERROR(VLOOKUP(H13,KET!$B:$F,5,0),"")</f>
        <v>GMM</v>
      </c>
      <c r="H13" s="56" t="s">
        <v>19</v>
      </c>
      <c r="I13" s="32">
        <v>582</v>
      </c>
      <c r="J13" s="32">
        <v>688</v>
      </c>
      <c r="K13" s="32">
        <v>1032</v>
      </c>
      <c r="L13" s="32">
        <v>3357</v>
      </c>
      <c r="M13" s="33">
        <f t="shared" si="1"/>
        <v>5659</v>
      </c>
      <c r="N13" s="32">
        <v>519</v>
      </c>
      <c r="O13" s="32">
        <v>627</v>
      </c>
      <c r="P13" s="34">
        <v>99</v>
      </c>
      <c r="Q13" s="32">
        <v>3283</v>
      </c>
      <c r="R13" s="33">
        <f t="shared" si="2"/>
        <v>4528</v>
      </c>
    </row>
    <row r="14" spans="1:23" ht="14.25" customHeight="1" x14ac:dyDescent="0.3">
      <c r="A14" s="19">
        <v>22</v>
      </c>
      <c r="B14" s="20" t="str">
        <f t="shared" si="0"/>
        <v>MAY</v>
      </c>
      <c r="C14" s="21">
        <v>46171</v>
      </c>
      <c r="D14" s="20" t="str">
        <f>IFERROR(VLOOKUP(H14,KET!$B:$F,2,0),"")</f>
        <v>GRSM 4</v>
      </c>
      <c r="E14" s="20" t="str">
        <f>IFERROR(VLOOKUP(H14,KET!$B:$F,3,0),"")</f>
        <v>KUNINGAN</v>
      </c>
      <c r="F14" s="20" t="str">
        <f>IFERROR(VLOOKUP(H14,KET!$B:$F,4,0),"")</f>
        <v>FAHMI LUKMANUL HAKIM</v>
      </c>
      <c r="G14" s="20" t="str">
        <f>IFERROR(VLOOKUP(H14,KET!$B:$F,5,0),"")</f>
        <v>GMM</v>
      </c>
      <c r="H14" s="56" t="s">
        <v>19</v>
      </c>
      <c r="I14" s="32">
        <v>582</v>
      </c>
      <c r="J14" s="32">
        <v>688</v>
      </c>
      <c r="K14" s="32">
        <v>1032</v>
      </c>
      <c r="L14" s="32">
        <v>3357</v>
      </c>
      <c r="M14" s="33">
        <f t="shared" si="1"/>
        <v>5659</v>
      </c>
      <c r="N14" s="32">
        <v>486</v>
      </c>
      <c r="O14" s="32">
        <v>564</v>
      </c>
      <c r="P14" s="34">
        <v>938</v>
      </c>
      <c r="Q14" s="32">
        <v>3199</v>
      </c>
      <c r="R14" s="33">
        <f t="shared" si="2"/>
        <v>5187</v>
      </c>
    </row>
    <row r="15" spans="1:23" ht="14.25" customHeight="1" x14ac:dyDescent="0.3">
      <c r="A15" s="19">
        <v>22</v>
      </c>
      <c r="B15" s="20" t="str">
        <f t="shared" si="0"/>
        <v>MAY</v>
      </c>
      <c r="C15" s="21">
        <v>46172</v>
      </c>
      <c r="D15" s="20" t="str">
        <f>IFERROR(VLOOKUP(H15,KET!$B:$F,2,0),"")</f>
        <v>GRSM 4</v>
      </c>
      <c r="E15" s="20" t="str">
        <f>IFERROR(VLOOKUP(H15,KET!$B:$F,3,0),"")</f>
        <v>KUNINGAN</v>
      </c>
      <c r="F15" s="20" t="str">
        <f>IFERROR(VLOOKUP(H15,KET!$B:$F,4,0),"")</f>
        <v>FAHMI LUKMANUL HAKIM</v>
      </c>
      <c r="G15" s="20" t="str">
        <f>IFERROR(VLOOKUP(H15,KET!$B:$F,5,0),"")</f>
        <v>GMM</v>
      </c>
      <c r="H15" s="56" t="s">
        <v>19</v>
      </c>
      <c r="I15" s="32">
        <v>486</v>
      </c>
      <c r="J15" s="32">
        <v>564</v>
      </c>
      <c r="K15" s="32">
        <v>938</v>
      </c>
      <c r="L15" s="32">
        <v>3199</v>
      </c>
      <c r="M15" s="33">
        <f t="shared" si="1"/>
        <v>5187</v>
      </c>
      <c r="N15" s="32">
        <v>429</v>
      </c>
      <c r="O15" s="32">
        <v>488</v>
      </c>
      <c r="P15" s="34">
        <v>909</v>
      </c>
      <c r="Q15" s="32">
        <v>3072</v>
      </c>
      <c r="R15" s="33">
        <f t="shared" si="2"/>
        <v>4898</v>
      </c>
    </row>
    <row r="16" spans="1:23" ht="14.25" customHeight="1" x14ac:dyDescent="0.3">
      <c r="A16" s="19">
        <v>22</v>
      </c>
      <c r="B16" s="20" t="str">
        <f t="shared" si="0"/>
        <v>MAY</v>
      </c>
      <c r="C16" s="21">
        <v>46172</v>
      </c>
      <c r="D16" s="20" t="str">
        <f>IFERROR(VLOOKUP(H16,KET!$B:$F,2,0),"")</f>
        <v>GRSM 4</v>
      </c>
      <c r="E16" s="20" t="str">
        <f>IFERROR(VLOOKUP(H16,KET!$B:$F,3,0),"")</f>
        <v>KUNINGAN</v>
      </c>
      <c r="F16" s="20" t="str">
        <f>IFERROR(VLOOKUP(H16,KET!$B:$F,4,0),"")</f>
        <v>FAHMI LUKMANUL HAKIM</v>
      </c>
      <c r="G16" s="20" t="str">
        <f>IFERROR(VLOOKUP(H16,KET!$B:$F,5,0),"")</f>
        <v>GMM</v>
      </c>
      <c r="H16" s="56" t="s">
        <v>19</v>
      </c>
      <c r="I16" s="32">
        <v>486</v>
      </c>
      <c r="J16" s="32">
        <v>564</v>
      </c>
      <c r="K16" s="32">
        <v>938</v>
      </c>
      <c r="L16" s="32">
        <v>3199</v>
      </c>
      <c r="M16" s="33">
        <f t="shared" si="1"/>
        <v>5187</v>
      </c>
      <c r="N16" s="32">
        <v>386</v>
      </c>
      <c r="O16" s="32">
        <v>414</v>
      </c>
      <c r="P16" s="34">
        <v>885</v>
      </c>
      <c r="Q16" s="32">
        <v>2941</v>
      </c>
      <c r="R16" s="33">
        <f t="shared" si="2"/>
        <v>4626</v>
      </c>
    </row>
    <row r="17" spans="1:18" ht="14.25" customHeight="1" x14ac:dyDescent="0.3">
      <c r="A17" s="19">
        <v>22</v>
      </c>
      <c r="B17" s="20" t="str">
        <f t="shared" si="0"/>
        <v>MAY</v>
      </c>
      <c r="C17" s="21">
        <v>46173</v>
      </c>
      <c r="D17" s="20" t="str">
        <f>IFERROR(VLOOKUP(H17,KET!$B:$F,2,0),"")</f>
        <v>GRSM 4</v>
      </c>
      <c r="E17" s="20" t="str">
        <f>IFERROR(VLOOKUP(H17,KET!$B:$F,3,0),"")</f>
        <v>KUNINGAN</v>
      </c>
      <c r="F17" s="20" t="str">
        <f>IFERROR(VLOOKUP(H17,KET!$B:$F,4,0),"")</f>
        <v>FAHMI LUKMANUL HAKIM</v>
      </c>
      <c r="G17" s="20" t="str">
        <f>IFERROR(VLOOKUP(H17,KET!$B:$F,5,0),"")</f>
        <v>GMM</v>
      </c>
      <c r="H17" s="56" t="s">
        <v>19</v>
      </c>
      <c r="I17" s="32">
        <v>386</v>
      </c>
      <c r="J17" s="32">
        <v>414</v>
      </c>
      <c r="K17" s="32">
        <v>885</v>
      </c>
      <c r="L17" s="32">
        <v>2941</v>
      </c>
      <c r="M17" s="33">
        <f t="shared" si="1"/>
        <v>4626</v>
      </c>
      <c r="N17" s="32">
        <v>326</v>
      </c>
      <c r="O17" s="32">
        <v>326</v>
      </c>
      <c r="P17" s="34">
        <v>852</v>
      </c>
      <c r="Q17" s="32">
        <v>2792</v>
      </c>
      <c r="R17" s="33">
        <f t="shared" si="2"/>
        <v>4296</v>
      </c>
    </row>
    <row r="18" spans="1:18" ht="14.25" customHeight="1" x14ac:dyDescent="0.3">
      <c r="A18" s="19">
        <v>22</v>
      </c>
      <c r="B18" s="20" t="str">
        <f t="shared" si="0"/>
        <v>MAY</v>
      </c>
      <c r="C18" s="21">
        <v>46173</v>
      </c>
      <c r="D18" s="20" t="str">
        <f>IFERROR(VLOOKUP(H18,KET!$B:$F,2,0),"")</f>
        <v>GRSM 4</v>
      </c>
      <c r="E18" s="20" t="str">
        <f>IFERROR(VLOOKUP(H18,KET!$B:$F,3,0),"")</f>
        <v>KUNINGAN</v>
      </c>
      <c r="F18" s="20" t="str">
        <f>IFERROR(VLOOKUP(H18,KET!$B:$F,4,0),"")</f>
        <v>FAHMI LUKMANUL HAKIM</v>
      </c>
      <c r="G18" s="20" t="str">
        <f>IFERROR(VLOOKUP(H18,KET!$B:$F,5,0),"")</f>
        <v>GMM</v>
      </c>
      <c r="H18" s="56" t="s">
        <v>19</v>
      </c>
      <c r="I18" s="32">
        <v>386</v>
      </c>
      <c r="J18" s="32">
        <v>414</v>
      </c>
      <c r="K18" s="32">
        <v>885</v>
      </c>
      <c r="L18" s="32">
        <v>2941</v>
      </c>
      <c r="M18" s="33">
        <f t="shared" si="1"/>
        <v>4626</v>
      </c>
      <c r="N18" s="32">
        <v>279</v>
      </c>
      <c r="O18" s="32">
        <v>245</v>
      </c>
      <c r="P18" s="34">
        <v>823</v>
      </c>
      <c r="Q18" s="32">
        <v>2641</v>
      </c>
      <c r="R18" s="33">
        <f t="shared" si="2"/>
        <v>3988</v>
      </c>
    </row>
    <row r="19" spans="1:18" ht="14.25" customHeight="1" x14ac:dyDescent="0.3">
      <c r="A19" s="19">
        <v>22</v>
      </c>
      <c r="B19" s="20" t="str">
        <f t="shared" si="0"/>
        <v>MAY</v>
      </c>
      <c r="C19" s="21">
        <v>46171</v>
      </c>
      <c r="D19" s="20" t="str">
        <f>IFERROR(VLOOKUP(H19,KET!$B:$F,2,0),"")</f>
        <v>GRSM 4</v>
      </c>
      <c r="E19" s="20" t="str">
        <f>IFERROR(VLOOKUP(H19,KET!$B:$F,3,0),"")</f>
        <v>TASIK</v>
      </c>
      <c r="F19" s="20" t="str">
        <f>IFERROR(VLOOKUP(H19,KET!$B:$F,4,0),"")</f>
        <v>FAHMI LUKMANUL HAKIM</v>
      </c>
      <c r="G19" s="20" t="str">
        <f>IFERROR(VLOOKUP(H19,KET!$B:$F,5,0),"")</f>
        <v>GMM</v>
      </c>
      <c r="H19" s="56" t="s">
        <v>20</v>
      </c>
      <c r="I19" s="32">
        <v>818</v>
      </c>
      <c r="J19" s="32">
        <v>1238</v>
      </c>
      <c r="K19" s="32">
        <v>1032</v>
      </c>
      <c r="L19" s="32" t="s">
        <v>21</v>
      </c>
      <c r="M19" s="33">
        <f t="shared" si="1"/>
        <v>3088</v>
      </c>
      <c r="N19" s="32">
        <v>770</v>
      </c>
      <c r="O19" s="32">
        <v>1175</v>
      </c>
      <c r="P19" s="34">
        <v>978</v>
      </c>
      <c r="Q19" s="32" t="s">
        <v>21</v>
      </c>
      <c r="R19" s="33">
        <f t="shared" si="2"/>
        <v>2923</v>
      </c>
    </row>
    <row r="20" spans="1:18" ht="14.25" customHeight="1" x14ac:dyDescent="0.3">
      <c r="A20" s="19">
        <v>22</v>
      </c>
      <c r="B20" s="20" t="str">
        <f t="shared" si="0"/>
        <v>MAY</v>
      </c>
      <c r="C20" s="21">
        <v>46171</v>
      </c>
      <c r="D20" s="20" t="str">
        <f>IFERROR(VLOOKUP(H20,KET!$B:$F,2,0),"")</f>
        <v>GRSM 4</v>
      </c>
      <c r="E20" s="20" t="str">
        <f>IFERROR(VLOOKUP(H20,KET!$B:$F,3,0),"")</f>
        <v>TASIK</v>
      </c>
      <c r="F20" s="20" t="str">
        <f>IFERROR(VLOOKUP(H20,KET!$B:$F,4,0),"")</f>
        <v>FAHMI LUKMANUL HAKIM</v>
      </c>
      <c r="G20" s="20" t="str">
        <f>IFERROR(VLOOKUP(H20,KET!$B:$F,5,0),"")</f>
        <v>GMM</v>
      </c>
      <c r="H20" s="56" t="s">
        <v>20</v>
      </c>
      <c r="I20" s="32">
        <v>818</v>
      </c>
      <c r="J20" s="32">
        <v>1238</v>
      </c>
      <c r="K20" s="32">
        <v>1032</v>
      </c>
      <c r="L20" s="32" t="s">
        <v>21</v>
      </c>
      <c r="M20" s="33">
        <f t="shared" si="1"/>
        <v>3088</v>
      </c>
      <c r="N20" s="32">
        <v>776</v>
      </c>
      <c r="O20" s="32">
        <v>1121</v>
      </c>
      <c r="P20" s="34">
        <v>975</v>
      </c>
      <c r="Q20" s="32" t="s">
        <v>21</v>
      </c>
      <c r="R20" s="33">
        <f t="shared" si="2"/>
        <v>2872</v>
      </c>
    </row>
    <row r="21" spans="1:18" ht="15.75" customHeight="1" x14ac:dyDescent="0.3">
      <c r="A21" s="19">
        <v>22</v>
      </c>
      <c r="B21" s="20" t="str">
        <f t="shared" si="0"/>
        <v>MAY</v>
      </c>
      <c r="C21" s="21">
        <v>46172</v>
      </c>
      <c r="D21" s="20" t="str">
        <f>IFERROR(VLOOKUP(H21,KET!$B:$F,2,0),"")</f>
        <v>GRSM 4</v>
      </c>
      <c r="E21" s="20" t="str">
        <f>IFERROR(VLOOKUP(H21,KET!$B:$F,3,0),"")</f>
        <v>TASIK</v>
      </c>
      <c r="F21" s="20" t="str">
        <f>IFERROR(VLOOKUP(H21,KET!$B:$F,4,0),"")</f>
        <v>FAHMI LUKMANUL HAKIM</v>
      </c>
      <c r="G21" s="20" t="str">
        <f>IFERROR(VLOOKUP(H21,KET!$B:$F,5,0),"")</f>
        <v>GMM</v>
      </c>
      <c r="H21" s="56" t="s">
        <v>20</v>
      </c>
      <c r="I21" s="32">
        <v>776</v>
      </c>
      <c r="J21" s="32">
        <v>1137</v>
      </c>
      <c r="K21" s="32">
        <v>975</v>
      </c>
      <c r="L21" s="32" t="s">
        <v>21</v>
      </c>
      <c r="M21" s="33">
        <f t="shared" si="1"/>
        <v>2888</v>
      </c>
      <c r="N21" s="32">
        <v>689</v>
      </c>
      <c r="O21" s="32">
        <v>989</v>
      </c>
      <c r="P21" s="34">
        <v>905</v>
      </c>
      <c r="Q21" s="32" t="s">
        <v>21</v>
      </c>
      <c r="R21" s="33">
        <f t="shared" si="2"/>
        <v>2583</v>
      </c>
    </row>
    <row r="22" spans="1:18" ht="15.75" customHeight="1" x14ac:dyDescent="0.3">
      <c r="A22" s="19">
        <v>22</v>
      </c>
      <c r="B22" s="20" t="str">
        <f t="shared" si="0"/>
        <v>MAY</v>
      </c>
      <c r="C22" s="21">
        <v>46172</v>
      </c>
      <c r="D22" s="20" t="str">
        <f>IFERROR(VLOOKUP(H22,KET!$B:$F,2,0),"")</f>
        <v>GRSM 4</v>
      </c>
      <c r="E22" s="20" t="str">
        <f>IFERROR(VLOOKUP(H22,KET!$B:$F,3,0),"")</f>
        <v>TASIK</v>
      </c>
      <c r="F22" s="20" t="str">
        <f>IFERROR(VLOOKUP(H22,KET!$B:$F,4,0),"")</f>
        <v>FAHMI LUKMANUL HAKIM</v>
      </c>
      <c r="G22" s="20" t="str">
        <f>IFERROR(VLOOKUP(H22,KET!$B:$F,5,0),"")</f>
        <v>GMM</v>
      </c>
      <c r="H22" s="56" t="s">
        <v>20</v>
      </c>
      <c r="I22" s="32">
        <v>776</v>
      </c>
      <c r="J22" s="32">
        <v>1137</v>
      </c>
      <c r="K22" s="32">
        <v>975</v>
      </c>
      <c r="L22" s="32" t="s">
        <v>21</v>
      </c>
      <c r="M22" s="33">
        <f t="shared" si="1"/>
        <v>2888</v>
      </c>
      <c r="N22" s="32">
        <v>702</v>
      </c>
      <c r="O22" s="32">
        <v>983</v>
      </c>
      <c r="P22" s="34">
        <v>895</v>
      </c>
      <c r="Q22" s="32" t="s">
        <v>21</v>
      </c>
      <c r="R22" s="33">
        <f t="shared" si="2"/>
        <v>2580</v>
      </c>
    </row>
    <row r="23" spans="1:18" ht="15.75" customHeight="1" x14ac:dyDescent="0.3">
      <c r="A23" s="19">
        <v>22</v>
      </c>
      <c r="B23" s="20" t="str">
        <f t="shared" si="0"/>
        <v>MAY</v>
      </c>
      <c r="C23" s="21">
        <v>46173</v>
      </c>
      <c r="D23" s="20" t="str">
        <f>IFERROR(VLOOKUP(H23,KET!$B:$F,2,0),"")</f>
        <v>GRSM 4</v>
      </c>
      <c r="E23" s="20" t="str">
        <f>IFERROR(VLOOKUP(H23,KET!$B:$F,3,0),"")</f>
        <v>TASIK</v>
      </c>
      <c r="F23" s="20" t="str">
        <f>IFERROR(VLOOKUP(H23,KET!$B:$F,4,0),"")</f>
        <v>FAHMI LUKMANUL HAKIM</v>
      </c>
      <c r="G23" s="20" t="str">
        <f>IFERROR(VLOOKUP(H23,KET!$B:$F,5,0),"")</f>
        <v>GMM</v>
      </c>
      <c r="H23" s="56" t="s">
        <v>20</v>
      </c>
      <c r="I23" s="32">
        <v>666</v>
      </c>
      <c r="J23" s="32">
        <v>842</v>
      </c>
      <c r="K23" s="32">
        <v>832</v>
      </c>
      <c r="L23" s="32" t="s">
        <v>21</v>
      </c>
      <c r="M23" s="33">
        <f t="shared" si="1"/>
        <v>2340</v>
      </c>
      <c r="N23" s="32">
        <v>624</v>
      </c>
      <c r="O23" s="32">
        <v>706</v>
      </c>
      <c r="P23" s="34">
        <v>767</v>
      </c>
      <c r="Q23" s="32" t="s">
        <v>21</v>
      </c>
      <c r="R23" s="33">
        <f t="shared" si="2"/>
        <v>2097</v>
      </c>
    </row>
    <row r="24" spans="1:18" ht="15.75" customHeight="1" x14ac:dyDescent="0.3">
      <c r="A24" s="19">
        <v>22</v>
      </c>
      <c r="B24" s="20" t="str">
        <f t="shared" si="0"/>
        <v>MAY</v>
      </c>
      <c r="C24" s="21">
        <v>46173</v>
      </c>
      <c r="D24" s="20" t="str">
        <f>IFERROR(VLOOKUP(H24,KET!$B:$F,2,0),"")</f>
        <v>GRSM 4</v>
      </c>
      <c r="E24" s="20" t="str">
        <f>IFERROR(VLOOKUP(H24,KET!$B:$F,3,0),"")</f>
        <v>TASIK</v>
      </c>
      <c r="F24" s="20" t="str">
        <f>IFERROR(VLOOKUP(H24,KET!$B:$F,4,0),"")</f>
        <v>FAHMI LUKMANUL HAKIM</v>
      </c>
      <c r="G24" s="20" t="str">
        <f>IFERROR(VLOOKUP(H24,KET!$B:$F,5,0),"")</f>
        <v>GMM</v>
      </c>
      <c r="H24" s="56" t="s">
        <v>20</v>
      </c>
      <c r="I24" s="32">
        <v>702</v>
      </c>
      <c r="J24" s="32">
        <v>983</v>
      </c>
      <c r="K24" s="32">
        <v>895</v>
      </c>
      <c r="L24" s="32" t="s">
        <v>21</v>
      </c>
      <c r="M24" s="33">
        <f t="shared" si="1"/>
        <v>2580</v>
      </c>
      <c r="N24" s="32">
        <v>666</v>
      </c>
      <c r="O24" s="32">
        <v>842</v>
      </c>
      <c r="P24" s="34">
        <v>832</v>
      </c>
      <c r="Q24" s="32" t="s">
        <v>21</v>
      </c>
      <c r="R24" s="33">
        <f t="shared" si="2"/>
        <v>2340</v>
      </c>
    </row>
    <row r="25" spans="1:18" ht="15.75" customHeight="1" x14ac:dyDescent="0.3">
      <c r="A25" s="19">
        <v>23</v>
      </c>
      <c r="B25" s="20" t="str">
        <f t="shared" si="0"/>
        <v>JUN</v>
      </c>
      <c r="C25" s="21">
        <v>46178</v>
      </c>
      <c r="D25" s="20" t="str">
        <f>IFERROR(VLOOKUP(H25,KET!$B:$F,2,0),"")</f>
        <v>GRSM 4</v>
      </c>
      <c r="E25" s="20" t="str">
        <f>IFERROR(VLOOKUP(H25,KET!$B:$F,3,0),"")</f>
        <v>TASIK</v>
      </c>
      <c r="F25" s="20" t="str">
        <f>IFERROR(VLOOKUP(H25,KET!$B:$F,4,0),"")</f>
        <v>FAHMI LUKMANUL HAKIM</v>
      </c>
      <c r="G25" s="20" t="str">
        <f>IFERROR(VLOOKUP(H25,KET!$B:$F,5,0),"")</f>
        <v>GMM</v>
      </c>
      <c r="H25" s="56" t="s">
        <v>18</v>
      </c>
      <c r="I25" s="32">
        <v>1083</v>
      </c>
      <c r="J25" s="32">
        <v>1440</v>
      </c>
      <c r="K25" s="32">
        <v>1413</v>
      </c>
      <c r="L25" s="32">
        <v>1014</v>
      </c>
      <c r="M25" s="33">
        <f t="shared" si="1"/>
        <v>4950</v>
      </c>
      <c r="N25" s="32">
        <v>1053</v>
      </c>
      <c r="O25" s="32">
        <v>1374</v>
      </c>
      <c r="P25" s="34">
        <v>1356</v>
      </c>
      <c r="Q25" s="32">
        <v>954</v>
      </c>
      <c r="R25" s="33">
        <f t="shared" si="2"/>
        <v>4737</v>
      </c>
    </row>
    <row r="26" spans="1:18" ht="15.75" customHeight="1" x14ac:dyDescent="0.3">
      <c r="A26" s="19">
        <v>23</v>
      </c>
      <c r="B26" s="20" t="str">
        <f t="shared" si="0"/>
        <v>JUN</v>
      </c>
      <c r="C26" s="21">
        <v>46178</v>
      </c>
      <c r="D26" s="20" t="str">
        <f>IFERROR(VLOOKUP(H26,KET!$B:$F,2,0),"")</f>
        <v>GRSM 4</v>
      </c>
      <c r="E26" s="20" t="str">
        <f>IFERROR(VLOOKUP(H26,KET!$B:$F,3,0),"")</f>
        <v>TASIK</v>
      </c>
      <c r="F26" s="20" t="str">
        <f>IFERROR(VLOOKUP(H26,KET!$B:$F,4,0),"")</f>
        <v>FAHMI LUKMANUL HAKIM</v>
      </c>
      <c r="G26" s="20" t="str">
        <f>IFERROR(VLOOKUP(H26,KET!$B:$F,5,0),"")</f>
        <v>GMM</v>
      </c>
      <c r="H26" s="56" t="s">
        <v>18</v>
      </c>
      <c r="I26" s="32">
        <v>1053</v>
      </c>
      <c r="J26" s="32">
        <v>1474</v>
      </c>
      <c r="K26" s="32">
        <v>1356</v>
      </c>
      <c r="L26" s="32">
        <v>954</v>
      </c>
      <c r="M26" s="33">
        <f t="shared" si="1"/>
        <v>4837</v>
      </c>
      <c r="N26" s="32">
        <v>1023</v>
      </c>
      <c r="O26" s="32">
        <v>1320</v>
      </c>
      <c r="P26" s="34">
        <v>1293</v>
      </c>
      <c r="Q26" s="32">
        <v>834</v>
      </c>
      <c r="R26" s="33">
        <f t="shared" si="2"/>
        <v>4470</v>
      </c>
    </row>
    <row r="27" spans="1:18" ht="15.75" customHeight="1" x14ac:dyDescent="0.3">
      <c r="A27" s="19">
        <v>23</v>
      </c>
      <c r="B27" s="20" t="str">
        <f t="shared" si="0"/>
        <v>JUN</v>
      </c>
      <c r="C27" s="21">
        <v>46178</v>
      </c>
      <c r="D27" s="20" t="str">
        <f>IFERROR(VLOOKUP(H27,KET!$B:$F,2,0),"")</f>
        <v>GRSM 3A</v>
      </c>
      <c r="E27" s="20" t="str">
        <f>IFERROR(VLOOKUP(H27,KET!$B:$F,3,0),"")</f>
        <v>SUKABUMI</v>
      </c>
      <c r="F27" s="20" t="str">
        <f>IFERROR(VLOOKUP(H27,KET!$B:$F,4,0),"")</f>
        <v>FAHMI LUKMANUL HAKIM</v>
      </c>
      <c r="G27" s="20" t="str">
        <f>IFERROR(VLOOKUP(H27,KET!$B:$F,5,0),"")</f>
        <v>GMM</v>
      </c>
      <c r="H27" s="56" t="s">
        <v>22</v>
      </c>
      <c r="I27" s="32">
        <v>553</v>
      </c>
      <c r="J27" s="32">
        <v>1030</v>
      </c>
      <c r="K27" s="32">
        <v>682</v>
      </c>
      <c r="L27" s="32">
        <v>906</v>
      </c>
      <c r="M27" s="33">
        <f t="shared" si="1"/>
        <v>3171</v>
      </c>
      <c r="N27" s="32">
        <v>1053</v>
      </c>
      <c r="O27" s="32">
        <v>1374</v>
      </c>
      <c r="P27" s="34">
        <v>669</v>
      </c>
      <c r="Q27" s="32">
        <v>861</v>
      </c>
      <c r="R27" s="33">
        <f t="shared" si="2"/>
        <v>3957</v>
      </c>
    </row>
    <row r="28" spans="1:18" ht="15.75" customHeight="1" x14ac:dyDescent="0.3">
      <c r="A28" s="19">
        <v>23</v>
      </c>
      <c r="B28" s="20" t="str">
        <f t="shared" si="0"/>
        <v>JUN</v>
      </c>
      <c r="C28" s="21">
        <v>46178</v>
      </c>
      <c r="D28" s="20" t="str">
        <f>IFERROR(VLOOKUP(H28,KET!$B:$F,2,0),"")</f>
        <v>GRSM 4</v>
      </c>
      <c r="E28" s="20" t="str">
        <f>IFERROR(VLOOKUP(H28,KET!$B:$F,3,0),"")</f>
        <v>KUNINGAN</v>
      </c>
      <c r="F28" s="20" t="str">
        <f>IFERROR(VLOOKUP(H28,KET!$B:$F,4,0),"")</f>
        <v>FAHMI LUKMANUL HAKIM</v>
      </c>
      <c r="G28" s="20" t="str">
        <f>IFERROR(VLOOKUP(H28,KET!$B:$F,5,0),"")</f>
        <v>GMM</v>
      </c>
      <c r="H28" s="56" t="s">
        <v>19</v>
      </c>
      <c r="I28" s="32">
        <v>279</v>
      </c>
      <c r="J28" s="32">
        <v>245</v>
      </c>
      <c r="K28" s="32">
        <v>823</v>
      </c>
      <c r="L28" s="32">
        <v>2641</v>
      </c>
      <c r="M28" s="33">
        <f t="shared" si="1"/>
        <v>3988</v>
      </c>
      <c r="N28" s="32">
        <v>189</v>
      </c>
      <c r="O28" s="32">
        <v>131</v>
      </c>
      <c r="P28" s="34">
        <v>716</v>
      </c>
      <c r="Q28" s="32">
        <v>2329</v>
      </c>
      <c r="R28" s="33">
        <f t="shared" si="2"/>
        <v>3365</v>
      </c>
    </row>
    <row r="29" spans="1:18" ht="15.75" customHeight="1" x14ac:dyDescent="0.3">
      <c r="A29" s="19">
        <v>23</v>
      </c>
      <c r="B29" s="20" t="str">
        <f t="shared" si="0"/>
        <v>JUN</v>
      </c>
      <c r="C29" s="21">
        <v>46178</v>
      </c>
      <c r="D29" s="20" t="str">
        <f>IFERROR(VLOOKUP(H29,KET!$B:$F,2,0),"")</f>
        <v>GRSM 4</v>
      </c>
      <c r="E29" s="20" t="str">
        <f>IFERROR(VLOOKUP(H29,KET!$B:$F,3,0),"")</f>
        <v>KUNINGAN</v>
      </c>
      <c r="F29" s="20" t="str">
        <f>IFERROR(VLOOKUP(H29,KET!$B:$F,4,0),"")</f>
        <v>FAHMI LUKMANUL HAKIM</v>
      </c>
      <c r="G29" s="20" t="str">
        <f>IFERROR(VLOOKUP(H29,KET!$B:$F,5,0),"")</f>
        <v>GMM</v>
      </c>
      <c r="H29" s="56" t="s">
        <v>19</v>
      </c>
      <c r="I29" s="32">
        <v>279</v>
      </c>
      <c r="J29" s="32">
        <v>245</v>
      </c>
      <c r="K29" s="32">
        <v>823</v>
      </c>
      <c r="L29" s="32">
        <v>2641</v>
      </c>
      <c r="M29" s="33">
        <f t="shared" si="1"/>
        <v>3988</v>
      </c>
      <c r="N29" s="32">
        <v>228</v>
      </c>
      <c r="O29" s="32">
        <v>172</v>
      </c>
      <c r="P29" s="34">
        <v>766</v>
      </c>
      <c r="Q29" s="32">
        <v>2476</v>
      </c>
      <c r="R29" s="33">
        <f t="shared" si="2"/>
        <v>3642</v>
      </c>
    </row>
    <row r="30" spans="1:18" ht="15.75" customHeight="1" x14ac:dyDescent="0.3">
      <c r="A30" s="19">
        <v>23</v>
      </c>
      <c r="B30" s="20" t="str">
        <f t="shared" si="0"/>
        <v>JUN</v>
      </c>
      <c r="C30" s="21">
        <v>46178</v>
      </c>
      <c r="D30" s="20" t="str">
        <f>IFERROR(VLOOKUP(H30,KET!$B:$F,2,0),"")</f>
        <v>GRSM 4</v>
      </c>
      <c r="E30" s="20" t="str">
        <f>IFERROR(VLOOKUP(H30,KET!$B:$F,3,0),"")</f>
        <v>GARUT</v>
      </c>
      <c r="F30" s="20" t="str">
        <f>IFERROR(VLOOKUP(H30,KET!$B:$F,4,0),"")</f>
        <v>FAHMI LUKMANUL HAKIM</v>
      </c>
      <c r="G30" s="20" t="str">
        <f>IFERROR(VLOOKUP(H30,KET!$B:$F,5,0),"")</f>
        <v>GMM</v>
      </c>
      <c r="H30" s="56" t="s">
        <v>23</v>
      </c>
      <c r="I30" s="32">
        <v>280</v>
      </c>
      <c r="J30" s="32">
        <v>450</v>
      </c>
      <c r="K30" s="32">
        <v>480</v>
      </c>
      <c r="L30" s="32">
        <v>2280</v>
      </c>
      <c r="M30" s="33">
        <f t="shared" si="1"/>
        <v>3490</v>
      </c>
      <c r="N30" s="32">
        <v>250</v>
      </c>
      <c r="O30" s="32">
        <v>415</v>
      </c>
      <c r="P30" s="34">
        <v>440</v>
      </c>
      <c r="Q30" s="32">
        <v>2175</v>
      </c>
      <c r="R30" s="33">
        <f t="shared" si="2"/>
        <v>3280</v>
      </c>
    </row>
    <row r="31" spans="1:18" ht="15.75" customHeight="1" x14ac:dyDescent="0.3">
      <c r="A31" s="19">
        <v>23</v>
      </c>
      <c r="B31" s="20" t="str">
        <f t="shared" si="0"/>
        <v>JUN</v>
      </c>
      <c r="C31" s="21">
        <v>46178</v>
      </c>
      <c r="D31" s="20" t="str">
        <f>IFERROR(VLOOKUP(H31,KET!$B:$F,2,0),"")</f>
        <v>GRSM 4</v>
      </c>
      <c r="E31" s="20" t="str">
        <f>IFERROR(VLOOKUP(H31,KET!$B:$F,3,0),"")</f>
        <v>GARUT</v>
      </c>
      <c r="F31" s="20" t="str">
        <f>IFERROR(VLOOKUP(H31,KET!$B:$F,4,0),"")</f>
        <v>FAHMI LUKMANUL HAKIM</v>
      </c>
      <c r="G31" s="20" t="str">
        <f>IFERROR(VLOOKUP(H31,KET!$B:$F,5,0),"")</f>
        <v>GMM</v>
      </c>
      <c r="H31" s="56" t="s">
        <v>23</v>
      </c>
      <c r="I31" s="32">
        <v>280</v>
      </c>
      <c r="J31" s="32">
        <v>450</v>
      </c>
      <c r="K31" s="32">
        <v>480</v>
      </c>
      <c r="L31" s="32">
        <v>2280</v>
      </c>
      <c r="M31" s="33">
        <f t="shared" si="1"/>
        <v>3490</v>
      </c>
      <c r="N31" s="32">
        <v>255</v>
      </c>
      <c r="O31" s="32">
        <v>420</v>
      </c>
      <c r="P31" s="34">
        <v>445</v>
      </c>
      <c r="Q31" s="32">
        <v>2180</v>
      </c>
      <c r="R31" s="33">
        <f t="shared" si="2"/>
        <v>3300</v>
      </c>
    </row>
    <row r="32" spans="1:18" ht="15.75" customHeight="1" x14ac:dyDescent="0.3">
      <c r="A32" s="19">
        <v>23</v>
      </c>
      <c r="B32" s="20" t="str">
        <f t="shared" si="0"/>
        <v>JUN</v>
      </c>
      <c r="C32" s="21">
        <v>46178</v>
      </c>
      <c r="D32" s="20" t="str">
        <f>IFERROR(VLOOKUP(H32,KET!$B:$F,2,0),"")</f>
        <v>GRSM 4</v>
      </c>
      <c r="E32" s="20" t="str">
        <f>IFERROR(VLOOKUP(H32,KET!$B:$F,3,0),"")</f>
        <v>TASIK</v>
      </c>
      <c r="F32" s="20" t="str">
        <f>IFERROR(VLOOKUP(H32,KET!$B:$F,4,0),"")</f>
        <v>FAHMI LUKMANUL HAKIM</v>
      </c>
      <c r="G32" s="20" t="str">
        <f>IFERROR(VLOOKUP(H32,KET!$B:$F,5,0),"")</f>
        <v>GMM</v>
      </c>
      <c r="H32" s="56" t="s">
        <v>24</v>
      </c>
      <c r="I32" s="32">
        <v>120</v>
      </c>
      <c r="J32" s="32">
        <v>110</v>
      </c>
      <c r="K32" s="32">
        <v>120</v>
      </c>
      <c r="L32" s="32">
        <v>144</v>
      </c>
      <c r="M32" s="33">
        <f t="shared" si="1"/>
        <v>494</v>
      </c>
      <c r="N32" s="32">
        <v>1080</v>
      </c>
      <c r="O32" s="32">
        <v>2250</v>
      </c>
      <c r="P32" s="34">
        <v>1362</v>
      </c>
      <c r="Q32" s="32">
        <v>3900</v>
      </c>
      <c r="R32" s="33">
        <f t="shared" si="2"/>
        <v>8592</v>
      </c>
    </row>
    <row r="33" spans="1:18" ht="15.75" customHeight="1" x14ac:dyDescent="0.3">
      <c r="A33" s="19">
        <v>23</v>
      </c>
      <c r="B33" s="20" t="str">
        <f t="shared" si="0"/>
        <v>JUN</v>
      </c>
      <c r="C33" s="21">
        <v>46179</v>
      </c>
      <c r="D33" s="20" t="str">
        <f>IFERROR(VLOOKUP(H33,KET!$B:$F,2,0),"")</f>
        <v>GRSM 4</v>
      </c>
      <c r="E33" s="20" t="str">
        <f>IFERROR(VLOOKUP(H33,KET!$B:$F,3,0),"")</f>
        <v>TASIK</v>
      </c>
      <c r="F33" s="20" t="str">
        <f>IFERROR(VLOOKUP(H33,KET!$B:$F,4,0),"")</f>
        <v>FAHMI LUKMANUL HAKIM</v>
      </c>
      <c r="G33" s="20" t="str">
        <f>IFERROR(VLOOKUP(H33,KET!$B:$F,5,0),"")</f>
        <v>GMM</v>
      </c>
      <c r="H33" s="56" t="s">
        <v>24</v>
      </c>
      <c r="I33" s="32">
        <v>1080</v>
      </c>
      <c r="J33" s="32">
        <v>2250</v>
      </c>
      <c r="K33" s="32">
        <v>1362</v>
      </c>
      <c r="L33" s="32">
        <v>3900</v>
      </c>
      <c r="M33" s="33">
        <f t="shared" si="1"/>
        <v>8592</v>
      </c>
      <c r="N33" s="32">
        <v>960</v>
      </c>
      <c r="O33" s="32">
        <v>2110</v>
      </c>
      <c r="P33" s="34">
        <v>1222</v>
      </c>
      <c r="Q33" s="32">
        <v>3684</v>
      </c>
      <c r="R33" s="33">
        <f t="shared" si="2"/>
        <v>7976</v>
      </c>
    </row>
    <row r="34" spans="1:18" ht="15.75" customHeight="1" x14ac:dyDescent="0.3">
      <c r="A34" s="19">
        <v>23</v>
      </c>
      <c r="B34" s="20" t="str">
        <f t="shared" si="0"/>
        <v>JUN</v>
      </c>
      <c r="C34" s="21">
        <v>46179</v>
      </c>
      <c r="D34" s="20" t="str">
        <f>IFERROR(VLOOKUP(H34,KET!$B:$F,2,0),"")</f>
        <v>GRSM 4</v>
      </c>
      <c r="E34" s="20" t="str">
        <f>IFERROR(VLOOKUP(H34,KET!$B:$F,3,0),"")</f>
        <v>TASIK</v>
      </c>
      <c r="F34" s="20" t="str">
        <f>IFERROR(VLOOKUP(H34,KET!$B:$F,4,0),"")</f>
        <v>FAHMI LUKMANUL HAKIM</v>
      </c>
      <c r="G34" s="20" t="str">
        <f>IFERROR(VLOOKUP(H34,KET!$B:$F,5,0),"")</f>
        <v>GMM</v>
      </c>
      <c r="H34" s="56" t="s">
        <v>18</v>
      </c>
      <c r="I34" s="32">
        <v>1023</v>
      </c>
      <c r="J34" s="32">
        <v>1320</v>
      </c>
      <c r="K34" s="32">
        <v>1293</v>
      </c>
      <c r="L34" s="32">
        <v>834</v>
      </c>
      <c r="M34" s="33">
        <f t="shared" si="1"/>
        <v>4470</v>
      </c>
      <c r="N34" s="32">
        <v>993</v>
      </c>
      <c r="O34" s="32">
        <v>1239</v>
      </c>
      <c r="P34" s="34">
        <v>1236</v>
      </c>
      <c r="Q34" s="32">
        <v>735</v>
      </c>
      <c r="R34" s="33">
        <f t="shared" si="2"/>
        <v>4203</v>
      </c>
    </row>
    <row r="35" spans="1:18" ht="15.75" customHeight="1" x14ac:dyDescent="0.3">
      <c r="A35" s="19">
        <v>23</v>
      </c>
      <c r="B35" s="20" t="str">
        <f t="shared" si="0"/>
        <v>JUN</v>
      </c>
      <c r="C35" s="21">
        <v>46179</v>
      </c>
      <c r="D35" s="20" t="str">
        <f>IFERROR(VLOOKUP(H35,KET!$B:$F,2,0),"")</f>
        <v>GRSM 4</v>
      </c>
      <c r="E35" s="20" t="str">
        <f>IFERROR(VLOOKUP(H35,KET!$B:$F,3,0),"")</f>
        <v>TASIK</v>
      </c>
      <c r="F35" s="20" t="str">
        <f>IFERROR(VLOOKUP(H35,KET!$B:$F,4,0),"")</f>
        <v>FAHMI LUKMANUL HAKIM</v>
      </c>
      <c r="G35" s="20" t="str">
        <f>IFERROR(VLOOKUP(H35,KET!$B:$F,5,0),"")</f>
        <v>GMM</v>
      </c>
      <c r="H35" s="56" t="s">
        <v>18</v>
      </c>
      <c r="I35" s="32">
        <v>993</v>
      </c>
      <c r="J35" s="32">
        <v>1239</v>
      </c>
      <c r="K35" s="32">
        <v>1236</v>
      </c>
      <c r="L35" s="32">
        <v>735</v>
      </c>
      <c r="M35" s="33">
        <f t="shared" si="1"/>
        <v>4203</v>
      </c>
      <c r="N35" s="32">
        <v>954</v>
      </c>
      <c r="O35" s="32">
        <v>1179</v>
      </c>
      <c r="P35" s="34">
        <v>1164</v>
      </c>
      <c r="Q35" s="32">
        <v>654</v>
      </c>
      <c r="R35" s="33">
        <f t="shared" si="2"/>
        <v>3951</v>
      </c>
    </row>
    <row r="36" spans="1:18" ht="15.75" customHeight="1" x14ac:dyDescent="0.3">
      <c r="A36" s="19">
        <v>23</v>
      </c>
      <c r="B36" s="20" t="str">
        <f t="shared" si="0"/>
        <v>JUN</v>
      </c>
      <c r="C36" s="21">
        <v>46179</v>
      </c>
      <c r="D36" s="20" t="str">
        <f>IFERROR(VLOOKUP(H36,KET!$B:$F,2,0),"")</f>
        <v>GRSM 4</v>
      </c>
      <c r="E36" s="20" t="str">
        <f>IFERROR(VLOOKUP(H36,KET!$B:$F,3,0),"")</f>
        <v>GARUT</v>
      </c>
      <c r="F36" s="20" t="str">
        <f>IFERROR(VLOOKUP(H36,KET!$B:$F,4,0),"")</f>
        <v>FAHMI LUKMANUL HAKIM</v>
      </c>
      <c r="G36" s="20" t="str">
        <f>IFERROR(VLOOKUP(H36,KET!$B:$F,5,0),"")</f>
        <v>GMM</v>
      </c>
      <c r="H36" s="56" t="s">
        <v>23</v>
      </c>
      <c r="I36" s="32">
        <v>225</v>
      </c>
      <c r="J36" s="32">
        <v>420</v>
      </c>
      <c r="K36" s="32">
        <v>445</v>
      </c>
      <c r="L36" s="32">
        <v>2180</v>
      </c>
      <c r="M36" s="33">
        <f t="shared" si="1"/>
        <v>3270</v>
      </c>
      <c r="N36" s="32">
        <v>185</v>
      </c>
      <c r="O36" s="32">
        <v>385</v>
      </c>
      <c r="P36" s="34">
        <v>405</v>
      </c>
      <c r="Q36" s="32">
        <v>2050</v>
      </c>
      <c r="R36" s="33">
        <f t="shared" si="2"/>
        <v>3025</v>
      </c>
    </row>
    <row r="37" spans="1:18" ht="15.75" customHeight="1" x14ac:dyDescent="0.3">
      <c r="A37" s="19">
        <v>23</v>
      </c>
      <c r="B37" s="20" t="str">
        <f t="shared" si="0"/>
        <v>JUN</v>
      </c>
      <c r="C37" s="21">
        <v>46179</v>
      </c>
      <c r="D37" s="20" t="str">
        <f>IFERROR(VLOOKUP(H37,KET!$B:$F,2,0),"")</f>
        <v>GRSM 4</v>
      </c>
      <c r="E37" s="20" t="str">
        <f>IFERROR(VLOOKUP(H37,KET!$B:$F,3,0),"")</f>
        <v>GARUT</v>
      </c>
      <c r="F37" s="20" t="str">
        <f>IFERROR(VLOOKUP(H37,KET!$B:$F,4,0),"")</f>
        <v>FAHMI LUKMANUL HAKIM</v>
      </c>
      <c r="G37" s="20" t="str">
        <f>IFERROR(VLOOKUP(H37,KET!$B:$F,5,0),"")</f>
        <v>GMM</v>
      </c>
      <c r="H37" s="56" t="s">
        <v>23</v>
      </c>
      <c r="I37" s="32">
        <v>250</v>
      </c>
      <c r="J37" s="32">
        <v>415</v>
      </c>
      <c r="K37" s="32">
        <v>440</v>
      </c>
      <c r="L37" s="32">
        <v>2175</v>
      </c>
      <c r="M37" s="33">
        <f t="shared" si="1"/>
        <v>3280</v>
      </c>
      <c r="N37" s="32">
        <v>205</v>
      </c>
      <c r="O37" s="32">
        <v>375</v>
      </c>
      <c r="P37" s="34">
        <v>395</v>
      </c>
      <c r="Q37" s="32">
        <v>2040</v>
      </c>
      <c r="R37" s="33">
        <f t="shared" si="2"/>
        <v>3015</v>
      </c>
    </row>
    <row r="38" spans="1:18" ht="15.75" customHeight="1" x14ac:dyDescent="0.3">
      <c r="A38" s="19">
        <v>23</v>
      </c>
      <c r="B38" s="20" t="str">
        <f t="shared" si="0"/>
        <v>JUN</v>
      </c>
      <c r="C38" s="21">
        <v>46179</v>
      </c>
      <c r="D38" s="20" t="str">
        <f>IFERROR(VLOOKUP(H38,KET!$B:$F,2,0),"")</f>
        <v>GRSM 4</v>
      </c>
      <c r="E38" s="20" t="str">
        <f>IFERROR(VLOOKUP(H38,KET!$B:$F,3,0),"")</f>
        <v>KUNINGAN</v>
      </c>
      <c r="F38" s="20" t="str">
        <f>IFERROR(VLOOKUP(H38,KET!$B:$F,4,0),"")</f>
        <v>FAHMI LUKMANUL HAKIM</v>
      </c>
      <c r="G38" s="20" t="str">
        <f>IFERROR(VLOOKUP(H38,KET!$B:$F,5,0),"")</f>
        <v>GMM</v>
      </c>
      <c r="H38" s="56" t="s">
        <v>19</v>
      </c>
      <c r="I38" s="32">
        <v>189</v>
      </c>
      <c r="J38" s="32">
        <v>131</v>
      </c>
      <c r="K38" s="32">
        <v>716</v>
      </c>
      <c r="L38" s="32">
        <v>2329</v>
      </c>
      <c r="M38" s="33">
        <f t="shared" si="1"/>
        <v>3365</v>
      </c>
      <c r="N38" s="32">
        <v>92</v>
      </c>
      <c r="O38" s="32">
        <v>80</v>
      </c>
      <c r="P38" s="34">
        <v>616</v>
      </c>
      <c r="Q38" s="32">
        <v>2019</v>
      </c>
      <c r="R38" s="33">
        <f t="shared" si="2"/>
        <v>2807</v>
      </c>
    </row>
    <row r="39" spans="1:18" ht="15.75" customHeight="1" x14ac:dyDescent="0.3">
      <c r="A39" s="19">
        <v>23</v>
      </c>
      <c r="B39" s="20" t="str">
        <f t="shared" si="0"/>
        <v>JUN</v>
      </c>
      <c r="C39" s="21">
        <v>46179</v>
      </c>
      <c r="D39" s="20" t="str">
        <f>IFERROR(VLOOKUP(H39,KET!$B:$F,2,0),"")</f>
        <v>GRSM 4</v>
      </c>
      <c r="E39" s="20" t="str">
        <f>IFERROR(VLOOKUP(H39,KET!$B:$F,3,0),"")</f>
        <v>KUNINGAN</v>
      </c>
      <c r="F39" s="20" t="str">
        <f>IFERROR(VLOOKUP(H39,KET!$B:$F,4,0),"")</f>
        <v>FAHMI LUKMANUL HAKIM</v>
      </c>
      <c r="G39" s="20" t="str">
        <f>IFERROR(VLOOKUP(H39,KET!$B:$F,5,0),"")</f>
        <v>GMM</v>
      </c>
      <c r="H39" s="56" t="s">
        <v>19</v>
      </c>
      <c r="I39" s="32">
        <v>189</v>
      </c>
      <c r="J39" s="32">
        <v>131</v>
      </c>
      <c r="K39" s="32">
        <v>716</v>
      </c>
      <c r="L39" s="32">
        <v>2329</v>
      </c>
      <c r="M39" s="33">
        <f t="shared" si="1"/>
        <v>3365</v>
      </c>
      <c r="N39" s="32">
        <v>135</v>
      </c>
      <c r="O39" s="32">
        <v>104</v>
      </c>
      <c r="P39" s="34">
        <v>664</v>
      </c>
      <c r="Q39" s="32">
        <v>2175</v>
      </c>
      <c r="R39" s="33">
        <f t="shared" si="2"/>
        <v>3078</v>
      </c>
    </row>
    <row r="40" spans="1:18" ht="15.75" customHeight="1" x14ac:dyDescent="0.3">
      <c r="A40" s="19">
        <v>23</v>
      </c>
      <c r="B40" s="20" t="str">
        <f t="shared" si="0"/>
        <v>JUN</v>
      </c>
      <c r="C40" s="21">
        <v>46179</v>
      </c>
      <c r="D40" s="20" t="str">
        <f>IFERROR(VLOOKUP(H40,KET!$B:$F,2,0),"")</f>
        <v>GRSM 3A</v>
      </c>
      <c r="E40" s="20" t="str">
        <f>IFERROR(VLOOKUP(H40,KET!$B:$F,3,0),"")</f>
        <v>SUKABUMI</v>
      </c>
      <c r="F40" s="20" t="str">
        <f>IFERROR(VLOOKUP(H40,KET!$B:$F,4,0),"")</f>
        <v>FAHMI LUKMANUL HAKIM</v>
      </c>
      <c r="G40" s="20" t="str">
        <f>IFERROR(VLOOKUP(H40,KET!$B:$F,5,0),"")</f>
        <v>GMM</v>
      </c>
      <c r="H40" s="56" t="s">
        <v>22</v>
      </c>
      <c r="I40" s="32">
        <v>544</v>
      </c>
      <c r="J40" s="32">
        <v>1002</v>
      </c>
      <c r="K40" s="32">
        <v>655</v>
      </c>
      <c r="L40" s="32">
        <v>816</v>
      </c>
      <c r="M40" s="33">
        <f t="shared" si="1"/>
        <v>3017</v>
      </c>
      <c r="N40" s="32">
        <v>518</v>
      </c>
      <c r="O40" s="32">
        <v>954</v>
      </c>
      <c r="P40" s="34">
        <v>601</v>
      </c>
      <c r="Q40" s="32">
        <v>690</v>
      </c>
      <c r="R40" s="33">
        <f t="shared" si="2"/>
        <v>2763</v>
      </c>
    </row>
    <row r="41" spans="1:18" ht="15.75" customHeight="1" x14ac:dyDescent="0.3">
      <c r="A41" s="19">
        <v>23</v>
      </c>
      <c r="B41" s="20" t="str">
        <f t="shared" si="0"/>
        <v>JUN</v>
      </c>
      <c r="C41" s="21">
        <v>46179</v>
      </c>
      <c r="D41" s="20" t="str">
        <f>IFERROR(VLOOKUP(H41,KET!$B:$F,2,0),"")</f>
        <v>GRSM 3A</v>
      </c>
      <c r="E41" s="20" t="str">
        <f>IFERROR(VLOOKUP(H41,KET!$B:$F,3,0),"")</f>
        <v>SUKABUMI</v>
      </c>
      <c r="F41" s="20" t="str">
        <f>IFERROR(VLOOKUP(H41,KET!$B:$F,4,0),"")</f>
        <v>FAHMI LUKMANUL HAKIM</v>
      </c>
      <c r="G41" s="20" t="str">
        <f>IFERROR(VLOOKUP(H41,KET!$B:$F,5,0),"")</f>
        <v>GMM</v>
      </c>
      <c r="H41" s="56" t="s">
        <v>22</v>
      </c>
      <c r="I41" s="32">
        <v>544</v>
      </c>
      <c r="J41" s="32">
        <v>1002</v>
      </c>
      <c r="K41" s="32">
        <v>655</v>
      </c>
      <c r="L41" s="32">
        <v>816</v>
      </c>
      <c r="M41" s="33">
        <f t="shared" si="1"/>
        <v>3017</v>
      </c>
      <c r="N41" s="32">
        <v>494</v>
      </c>
      <c r="O41" s="32">
        <v>954</v>
      </c>
      <c r="P41" s="34">
        <v>601</v>
      </c>
      <c r="Q41" s="32">
        <v>690</v>
      </c>
      <c r="R41" s="33">
        <f t="shared" si="2"/>
        <v>2739</v>
      </c>
    </row>
    <row r="42" spans="1:18" ht="15.75" customHeight="1" x14ac:dyDescent="0.3">
      <c r="A42" s="19">
        <v>23</v>
      </c>
      <c r="B42" s="20" t="str">
        <f t="shared" si="0"/>
        <v>JUN</v>
      </c>
      <c r="C42" s="21">
        <v>46179</v>
      </c>
      <c r="D42" s="20" t="str">
        <f>IFERROR(VLOOKUP(H42,KET!$B:$F,2,0),"")</f>
        <v>GRSM 4</v>
      </c>
      <c r="E42" s="20" t="str">
        <f>IFERROR(VLOOKUP(H42,KET!$B:$F,3,0),"")</f>
        <v>TASIK</v>
      </c>
      <c r="F42" s="20" t="str">
        <f>IFERROR(VLOOKUP(H42,KET!$B:$F,4,0),"")</f>
        <v>FAHMI LUKMANUL HAKIM</v>
      </c>
      <c r="G42" s="20" t="str">
        <f>IFERROR(VLOOKUP(H42,KET!$B:$F,5,0),"")</f>
        <v>GMM</v>
      </c>
      <c r="H42" s="56" t="s">
        <v>20</v>
      </c>
      <c r="I42" s="32">
        <v>1216</v>
      </c>
      <c r="J42" s="32">
        <v>634</v>
      </c>
      <c r="K42" s="32">
        <v>665</v>
      </c>
      <c r="L42" s="32" t="s">
        <v>21</v>
      </c>
      <c r="M42" s="33">
        <f t="shared" si="1"/>
        <v>2515</v>
      </c>
      <c r="N42" s="32">
        <v>1182</v>
      </c>
      <c r="O42" s="32">
        <v>549</v>
      </c>
      <c r="P42" s="34">
        <v>616</v>
      </c>
      <c r="Q42" s="32" t="s">
        <v>21</v>
      </c>
      <c r="R42" s="33">
        <f t="shared" si="2"/>
        <v>2347</v>
      </c>
    </row>
    <row r="43" spans="1:18" ht="15.75" customHeight="1" x14ac:dyDescent="0.3">
      <c r="A43" s="19">
        <v>23</v>
      </c>
      <c r="B43" s="20" t="str">
        <f t="shared" si="0"/>
        <v>JUN</v>
      </c>
      <c r="C43" s="21">
        <v>46180</v>
      </c>
      <c r="D43" s="20" t="str">
        <f>IFERROR(VLOOKUP(H43,KET!$B:$F,2,0),"")</f>
        <v>GRSM 4</v>
      </c>
      <c r="E43" s="20" t="str">
        <f>IFERROR(VLOOKUP(H43,KET!$B:$F,3,0),"")</f>
        <v>TASIK</v>
      </c>
      <c r="F43" s="20" t="str">
        <f>IFERROR(VLOOKUP(H43,KET!$B:$F,4,0),"")</f>
        <v>FAHMI LUKMANUL HAKIM</v>
      </c>
      <c r="G43" s="20" t="str">
        <f>IFERROR(VLOOKUP(H43,KET!$B:$F,5,0),"")</f>
        <v>GMM</v>
      </c>
      <c r="H43" s="56" t="s">
        <v>24</v>
      </c>
      <c r="I43" s="32">
        <v>860</v>
      </c>
      <c r="J43" s="32">
        <v>2000</v>
      </c>
      <c r="K43" s="32">
        <v>1102</v>
      </c>
      <c r="L43" s="32">
        <v>3500</v>
      </c>
      <c r="M43" s="33">
        <f t="shared" si="1"/>
        <v>7462</v>
      </c>
      <c r="N43" s="32">
        <v>788</v>
      </c>
      <c r="O43" s="32">
        <v>1910</v>
      </c>
      <c r="P43" s="34">
        <v>1012</v>
      </c>
      <c r="Q43" s="32">
        <v>3140</v>
      </c>
      <c r="R43" s="33">
        <f t="shared" si="2"/>
        <v>6850</v>
      </c>
    </row>
    <row r="44" spans="1:18" ht="15.75" customHeight="1" x14ac:dyDescent="0.3">
      <c r="A44" s="19">
        <v>23</v>
      </c>
      <c r="B44" s="20" t="str">
        <f t="shared" si="0"/>
        <v>JUN</v>
      </c>
      <c r="C44" s="21">
        <v>46180</v>
      </c>
      <c r="D44" s="20" t="str">
        <f>IFERROR(VLOOKUP(H44,KET!$B:$F,2,0),"")</f>
        <v>GRSM 4</v>
      </c>
      <c r="E44" s="20" t="str">
        <f>IFERROR(VLOOKUP(H44,KET!$B:$F,3,0),"")</f>
        <v>TASIK</v>
      </c>
      <c r="F44" s="20" t="str">
        <f>IFERROR(VLOOKUP(H44,KET!$B:$F,4,0),"")</f>
        <v>FAHMI LUKMANUL HAKIM</v>
      </c>
      <c r="G44" s="20" t="str">
        <f>IFERROR(VLOOKUP(H44,KET!$B:$F,5,0),"")</f>
        <v>GMM</v>
      </c>
      <c r="H44" s="56" t="s">
        <v>18</v>
      </c>
      <c r="I44" s="32">
        <v>927</v>
      </c>
      <c r="J44" s="32">
        <v>1125</v>
      </c>
      <c r="K44" s="32">
        <v>1104</v>
      </c>
      <c r="L44" s="32">
        <v>594</v>
      </c>
      <c r="M44" s="33">
        <f t="shared" si="1"/>
        <v>3750</v>
      </c>
      <c r="N44" s="32">
        <v>894</v>
      </c>
      <c r="O44" s="32">
        <v>1062</v>
      </c>
      <c r="P44" s="34">
        <v>1032</v>
      </c>
      <c r="Q44" s="32">
        <v>483</v>
      </c>
      <c r="R44" s="33">
        <f t="shared" si="2"/>
        <v>3471</v>
      </c>
    </row>
    <row r="45" spans="1:18" ht="15.75" customHeight="1" x14ac:dyDescent="0.3">
      <c r="A45" s="19">
        <v>23</v>
      </c>
      <c r="B45" s="20" t="str">
        <f t="shared" si="0"/>
        <v>JUN</v>
      </c>
      <c r="C45" s="21">
        <v>46180</v>
      </c>
      <c r="D45" s="20" t="str">
        <f>IFERROR(VLOOKUP(H45,KET!$B:$F,2,0),"")</f>
        <v>GRSM 4</v>
      </c>
      <c r="E45" s="20" t="str">
        <f>IFERROR(VLOOKUP(H45,KET!$B:$F,3,0),"")</f>
        <v>TASIK</v>
      </c>
      <c r="F45" s="20" t="str">
        <f>IFERROR(VLOOKUP(H45,KET!$B:$F,4,0),"")</f>
        <v>FAHMI LUKMANUL HAKIM</v>
      </c>
      <c r="G45" s="20" t="str">
        <f>IFERROR(VLOOKUP(H45,KET!$B:$F,5,0),"")</f>
        <v>GMM</v>
      </c>
      <c r="H45" s="56" t="s">
        <v>18</v>
      </c>
      <c r="I45" s="32">
        <v>954</v>
      </c>
      <c r="J45" s="32">
        <v>1179</v>
      </c>
      <c r="K45" s="32">
        <v>1164</v>
      </c>
      <c r="L45" s="32">
        <v>654</v>
      </c>
      <c r="M45" s="33">
        <f t="shared" si="1"/>
        <v>3951</v>
      </c>
      <c r="N45" s="32">
        <v>927</v>
      </c>
      <c r="O45" s="32">
        <v>1125</v>
      </c>
      <c r="P45" s="34">
        <v>1104</v>
      </c>
      <c r="Q45" s="32">
        <v>594</v>
      </c>
      <c r="R45" s="33">
        <f t="shared" si="2"/>
        <v>3750</v>
      </c>
    </row>
    <row r="46" spans="1:18" ht="15.75" customHeight="1" x14ac:dyDescent="0.3">
      <c r="A46" s="19">
        <v>23</v>
      </c>
      <c r="B46" s="20" t="str">
        <f t="shared" si="0"/>
        <v>JUN</v>
      </c>
      <c r="C46" s="21">
        <v>46180</v>
      </c>
      <c r="D46" s="20" t="str">
        <f>IFERROR(VLOOKUP(H46,KET!$B:$F,2,0),"")</f>
        <v>GRSM 4</v>
      </c>
      <c r="E46" s="20" t="str">
        <f>IFERROR(VLOOKUP(H46,KET!$B:$F,3,0),"")</f>
        <v>KUNINGAN</v>
      </c>
      <c r="F46" s="20" t="str">
        <f>IFERROR(VLOOKUP(H46,KET!$B:$F,4,0),"")</f>
        <v>FAHMI LUKMANUL HAKIM</v>
      </c>
      <c r="G46" s="20" t="str">
        <f>IFERROR(VLOOKUP(H46,KET!$B:$F,5,0),"")</f>
        <v>GMM</v>
      </c>
      <c r="H46" s="56" t="s">
        <v>19</v>
      </c>
      <c r="I46" s="32">
        <v>212</v>
      </c>
      <c r="J46" s="32">
        <v>260</v>
      </c>
      <c r="K46" s="32">
        <v>616</v>
      </c>
      <c r="L46" s="32">
        <v>2019</v>
      </c>
      <c r="M46" s="33">
        <f t="shared" si="1"/>
        <v>3107</v>
      </c>
      <c r="N46" s="32">
        <v>145</v>
      </c>
      <c r="O46" s="32">
        <v>174</v>
      </c>
      <c r="P46" s="34">
        <v>516</v>
      </c>
      <c r="Q46" s="32">
        <v>1662</v>
      </c>
      <c r="R46" s="33">
        <f t="shared" si="2"/>
        <v>2497</v>
      </c>
    </row>
    <row r="47" spans="1:18" ht="15.75" customHeight="1" x14ac:dyDescent="0.3">
      <c r="A47" s="19">
        <v>23</v>
      </c>
      <c r="B47" s="20" t="str">
        <f t="shared" si="0"/>
        <v>JUN</v>
      </c>
      <c r="C47" s="21">
        <v>46180</v>
      </c>
      <c r="D47" s="20" t="str">
        <f>IFERROR(VLOOKUP(H47,KET!$B:$F,2,0),"")</f>
        <v>GRSM 4</v>
      </c>
      <c r="E47" s="20" t="str">
        <f>IFERROR(VLOOKUP(H47,KET!$B:$F,3,0),"")</f>
        <v>KUNINGAN</v>
      </c>
      <c r="F47" s="20" t="str">
        <f>IFERROR(VLOOKUP(H47,KET!$B:$F,4,0),"")</f>
        <v>FAHMI LUKMANUL HAKIM</v>
      </c>
      <c r="G47" s="20" t="str">
        <f>IFERROR(VLOOKUP(H47,KET!$B:$F,5,0),"")</f>
        <v>GMM</v>
      </c>
      <c r="H47" s="56" t="s">
        <v>19</v>
      </c>
      <c r="I47" s="32">
        <v>212</v>
      </c>
      <c r="J47" s="32">
        <v>260</v>
      </c>
      <c r="K47" s="32">
        <v>616</v>
      </c>
      <c r="L47" s="32">
        <v>2019</v>
      </c>
      <c r="M47" s="33">
        <f t="shared" si="1"/>
        <v>3107</v>
      </c>
      <c r="N47" s="32">
        <v>173</v>
      </c>
      <c r="O47" s="32">
        <v>219</v>
      </c>
      <c r="P47" s="34">
        <v>563</v>
      </c>
      <c r="Q47" s="32">
        <v>1847</v>
      </c>
      <c r="R47" s="33">
        <f t="shared" si="2"/>
        <v>2802</v>
      </c>
    </row>
    <row r="48" spans="1:18" ht="15.75" customHeight="1" x14ac:dyDescent="0.3">
      <c r="A48" s="19">
        <v>23</v>
      </c>
      <c r="B48" s="20" t="str">
        <f t="shared" si="0"/>
        <v>JUN</v>
      </c>
      <c r="C48" s="21">
        <v>46180</v>
      </c>
      <c r="D48" s="20" t="str">
        <f>IFERROR(VLOOKUP(H48,KET!$B:$F,2,0),"")</f>
        <v>GRSM 4</v>
      </c>
      <c r="E48" s="20" t="str">
        <f>IFERROR(VLOOKUP(H48,KET!$B:$F,3,0),"")</f>
        <v>GARUT</v>
      </c>
      <c r="F48" s="20" t="str">
        <f>IFERROR(VLOOKUP(H48,KET!$B:$F,4,0),"")</f>
        <v>FAHMI LUKMANUL HAKIM</v>
      </c>
      <c r="G48" s="20" t="str">
        <f>IFERROR(VLOOKUP(H48,KET!$B:$F,5,0),"")</f>
        <v>GMM</v>
      </c>
      <c r="H48" s="56" t="s">
        <v>23</v>
      </c>
      <c r="I48" s="32">
        <v>185</v>
      </c>
      <c r="J48" s="32">
        <v>385</v>
      </c>
      <c r="K48" s="32">
        <v>405</v>
      </c>
      <c r="L48" s="32">
        <v>2050</v>
      </c>
      <c r="M48" s="33">
        <f t="shared" si="1"/>
        <v>3025</v>
      </c>
      <c r="N48" s="32">
        <v>146</v>
      </c>
      <c r="O48" s="32">
        <v>357</v>
      </c>
      <c r="P48" s="34">
        <v>370</v>
      </c>
      <c r="Q48" s="32">
        <v>1915</v>
      </c>
      <c r="R48" s="33">
        <f t="shared" si="2"/>
        <v>2788</v>
      </c>
    </row>
    <row r="49" spans="1:18" ht="15.75" customHeight="1" x14ac:dyDescent="0.3">
      <c r="A49" s="19">
        <v>23</v>
      </c>
      <c r="B49" s="20" t="str">
        <f t="shared" si="0"/>
        <v>JUN</v>
      </c>
      <c r="C49" s="21">
        <v>46180</v>
      </c>
      <c r="D49" s="20" t="str">
        <f>IFERROR(VLOOKUP(H49,KET!$B:$F,2,0),"")</f>
        <v>GRSM 4</v>
      </c>
      <c r="E49" s="20" t="str">
        <f>IFERROR(VLOOKUP(H49,KET!$B:$F,3,0),"")</f>
        <v>GARUT</v>
      </c>
      <c r="F49" s="20" t="str">
        <f>IFERROR(VLOOKUP(H49,KET!$B:$F,4,0),"")</f>
        <v>FAHMI LUKMANUL HAKIM</v>
      </c>
      <c r="G49" s="20" t="str">
        <f>IFERROR(VLOOKUP(H49,KET!$B:$F,5,0),"")</f>
        <v>GMM</v>
      </c>
      <c r="H49" s="56" t="s">
        <v>23</v>
      </c>
      <c r="I49" s="32">
        <v>205</v>
      </c>
      <c r="J49" s="32">
        <v>375</v>
      </c>
      <c r="K49" s="32">
        <v>395</v>
      </c>
      <c r="L49" s="32">
        <v>2040</v>
      </c>
      <c r="M49" s="33">
        <f t="shared" si="1"/>
        <v>3015</v>
      </c>
      <c r="N49" s="32">
        <v>150</v>
      </c>
      <c r="O49" s="32">
        <v>340</v>
      </c>
      <c r="P49" s="34">
        <v>355</v>
      </c>
      <c r="Q49" s="32">
        <v>1895</v>
      </c>
      <c r="R49" s="33">
        <f t="shared" si="2"/>
        <v>2740</v>
      </c>
    </row>
    <row r="50" spans="1:18" ht="15.75" customHeight="1" x14ac:dyDescent="0.3">
      <c r="A50" s="19">
        <v>23</v>
      </c>
      <c r="B50" s="20" t="str">
        <f t="shared" si="0"/>
        <v>JUN</v>
      </c>
      <c r="C50" s="21">
        <v>46178</v>
      </c>
      <c r="D50" s="20" t="str">
        <f>IFERROR(VLOOKUP(H50,KET!$B:$F,2,0),"")</f>
        <v>GRSM 3A</v>
      </c>
      <c r="E50" s="20" t="str">
        <f>IFERROR(VLOOKUP(H50,KET!$B:$F,3,0),"")</f>
        <v>SUKABUMI</v>
      </c>
      <c r="F50" s="20" t="str">
        <f>IFERROR(VLOOKUP(H50,KET!$B:$F,4,0),"")</f>
        <v>FAHMI LUKMANUL HAKIM</v>
      </c>
      <c r="G50" s="20" t="str">
        <f>IFERROR(VLOOKUP(H50,KET!$B:$F,5,0),"")</f>
        <v>GMM</v>
      </c>
      <c r="H50" s="56" t="s">
        <v>22</v>
      </c>
      <c r="I50" s="32">
        <v>553</v>
      </c>
      <c r="J50" s="32">
        <v>1030</v>
      </c>
      <c r="K50" s="32">
        <v>682</v>
      </c>
      <c r="L50" s="32">
        <v>906</v>
      </c>
      <c r="M50" s="33">
        <f t="shared" si="1"/>
        <v>3171</v>
      </c>
      <c r="N50" s="32">
        <v>1053</v>
      </c>
      <c r="O50" s="32">
        <v>1374</v>
      </c>
      <c r="P50" s="34">
        <v>668</v>
      </c>
      <c r="Q50" s="32">
        <v>861</v>
      </c>
      <c r="R50" s="33">
        <f t="shared" si="2"/>
        <v>3956</v>
      </c>
    </row>
    <row r="51" spans="1:18" ht="15.75" customHeight="1" x14ac:dyDescent="0.3">
      <c r="A51" s="19">
        <v>23</v>
      </c>
      <c r="B51" s="20" t="str">
        <f t="shared" si="0"/>
        <v>JUN</v>
      </c>
      <c r="C51" s="21">
        <v>46178</v>
      </c>
      <c r="D51" s="20" t="str">
        <f>IFERROR(VLOOKUP(H51,KET!$B:$F,2,0),"")</f>
        <v>GRSM 4</v>
      </c>
      <c r="E51" s="20" t="str">
        <f>IFERROR(VLOOKUP(H51,KET!$B:$F,3,0),"")</f>
        <v>TASIK</v>
      </c>
      <c r="F51" s="20" t="str">
        <f>IFERROR(VLOOKUP(H51,KET!$B:$F,4,0),"")</f>
        <v>FAHMI LUKMANUL HAKIM</v>
      </c>
      <c r="G51" s="20" t="str">
        <f>IFERROR(VLOOKUP(H51,KET!$B:$F,5,0),"")</f>
        <v>GMM</v>
      </c>
      <c r="H51" s="56" t="s">
        <v>20</v>
      </c>
      <c r="I51" s="32">
        <v>1294</v>
      </c>
      <c r="J51" s="32">
        <v>783</v>
      </c>
      <c r="K51" s="32">
        <v>784</v>
      </c>
      <c r="L51" s="32" t="s">
        <v>21</v>
      </c>
      <c r="M51" s="33">
        <f t="shared" si="1"/>
        <v>2861</v>
      </c>
      <c r="N51" s="32">
        <v>1254</v>
      </c>
      <c r="O51" s="32">
        <v>724</v>
      </c>
      <c r="P51" s="34">
        <v>722</v>
      </c>
      <c r="Q51" s="32" t="s">
        <v>21</v>
      </c>
      <c r="R51" s="33">
        <f t="shared" si="2"/>
        <v>2700</v>
      </c>
    </row>
    <row r="52" spans="1:18" ht="15.75" customHeight="1" x14ac:dyDescent="0.3">
      <c r="A52" s="19">
        <v>23</v>
      </c>
      <c r="B52" s="20" t="str">
        <f t="shared" si="0"/>
        <v>JUN</v>
      </c>
      <c r="C52" s="21">
        <v>46180</v>
      </c>
      <c r="D52" s="20" t="str">
        <f>IFERROR(VLOOKUP(H52,KET!$B:$F,2,0),"")</f>
        <v>GRSM 4</v>
      </c>
      <c r="E52" s="20" t="str">
        <f>IFERROR(VLOOKUP(H52,KET!$B:$F,3,0),"")</f>
        <v>TASIK</v>
      </c>
      <c r="F52" s="20" t="str">
        <f>IFERROR(VLOOKUP(H52,KET!$B:$F,4,0),"")</f>
        <v>FAHMI LUKMANUL HAKIM</v>
      </c>
      <c r="G52" s="20" t="str">
        <f>IFERROR(VLOOKUP(H52,KET!$B:$F,5,0),"")</f>
        <v>GMM</v>
      </c>
      <c r="H52" s="56" t="s">
        <v>20</v>
      </c>
      <c r="I52" s="32">
        <v>1153</v>
      </c>
      <c r="J52" s="32">
        <v>455</v>
      </c>
      <c r="K52" s="32">
        <v>540</v>
      </c>
      <c r="L52" s="32" t="s">
        <v>21</v>
      </c>
      <c r="M52" s="33">
        <f t="shared" si="1"/>
        <v>2148</v>
      </c>
      <c r="N52" s="32">
        <v>1130</v>
      </c>
      <c r="O52" s="32">
        <v>354</v>
      </c>
      <c r="P52" s="34">
        <v>458</v>
      </c>
      <c r="Q52" s="32" t="s">
        <v>21</v>
      </c>
      <c r="R52" s="33">
        <f t="shared" si="2"/>
        <v>1942</v>
      </c>
    </row>
    <row r="53" spans="1:18" ht="15.75" customHeight="1" x14ac:dyDescent="0.3">
      <c r="A53" s="19">
        <v>24</v>
      </c>
      <c r="B53" s="20" t="str">
        <f t="shared" si="0"/>
        <v>JUN</v>
      </c>
      <c r="C53" s="21">
        <v>46181</v>
      </c>
      <c r="D53" s="20" t="str">
        <f>IFERROR(VLOOKUP(H53,KET!$B:$F,2,0),"")</f>
        <v>GRSM 3A</v>
      </c>
      <c r="E53" s="20" t="str">
        <f>IFERROR(VLOOKUP(H53,KET!$B:$F,3,0),"")</f>
        <v>SUKABUMI</v>
      </c>
      <c r="F53" s="20" t="str">
        <f>IFERROR(VLOOKUP(H53,KET!$B:$F,4,0),"")</f>
        <v>FAHMI LUKMANUL HAKIM</v>
      </c>
      <c r="G53" s="20" t="str">
        <f>IFERROR(VLOOKUP(H53,KET!$B:$F,5,0),"")</f>
        <v>GMM</v>
      </c>
      <c r="H53" s="56" t="s">
        <v>22</v>
      </c>
      <c r="I53" s="32">
        <v>494</v>
      </c>
      <c r="J53" s="32">
        <v>954</v>
      </c>
      <c r="K53" s="32">
        <v>601</v>
      </c>
      <c r="L53" s="32">
        <v>690</v>
      </c>
      <c r="M53" s="33">
        <f t="shared" si="1"/>
        <v>2739</v>
      </c>
      <c r="N53" s="32">
        <v>476</v>
      </c>
      <c r="O53" s="32">
        <v>914</v>
      </c>
      <c r="P53" s="34">
        <v>571</v>
      </c>
      <c r="Q53" s="32">
        <v>612</v>
      </c>
      <c r="R53" s="33">
        <f t="shared" si="2"/>
        <v>2573</v>
      </c>
    </row>
    <row r="54" spans="1:18" ht="15.75" customHeight="1" x14ac:dyDescent="0.3">
      <c r="A54" s="19">
        <v>24</v>
      </c>
      <c r="B54" s="20" t="str">
        <f t="shared" si="0"/>
        <v>JUN</v>
      </c>
      <c r="C54" s="21">
        <v>46181</v>
      </c>
      <c r="D54" s="20" t="str">
        <f>IFERROR(VLOOKUP(H54,KET!$B:$F,2,0),"")</f>
        <v>GRSM 3A</v>
      </c>
      <c r="E54" s="20" t="str">
        <f>IFERROR(VLOOKUP(H54,KET!$B:$F,3,0),"")</f>
        <v>SUKABUMI</v>
      </c>
      <c r="F54" s="20" t="str">
        <f>IFERROR(VLOOKUP(H54,KET!$B:$F,4,0),"")</f>
        <v>FAHMI LUKMANUL HAKIM</v>
      </c>
      <c r="G54" s="20" t="str">
        <f>IFERROR(VLOOKUP(H54,KET!$B:$F,5,0),"")</f>
        <v>GMM</v>
      </c>
      <c r="H54" s="56" t="s">
        <v>22</v>
      </c>
      <c r="I54" s="32">
        <v>494</v>
      </c>
      <c r="J54" s="32">
        <v>954</v>
      </c>
      <c r="K54" s="32">
        <v>601</v>
      </c>
      <c r="L54" s="32">
        <v>690</v>
      </c>
      <c r="M54" s="33">
        <f t="shared" si="1"/>
        <v>2739</v>
      </c>
      <c r="N54" s="32">
        <v>476</v>
      </c>
      <c r="O54" s="32">
        <v>914</v>
      </c>
      <c r="P54" s="34">
        <v>571</v>
      </c>
      <c r="Q54" s="32">
        <v>612</v>
      </c>
      <c r="R54" s="33">
        <f t="shared" si="2"/>
        <v>2573</v>
      </c>
    </row>
    <row r="55" spans="1:18" ht="15.75" customHeight="1" x14ac:dyDescent="0.3">
      <c r="A55" s="19">
        <v>24</v>
      </c>
      <c r="B55" s="20" t="str">
        <f t="shared" si="0"/>
        <v>JUN</v>
      </c>
      <c r="C55" s="21">
        <v>46185</v>
      </c>
      <c r="D55" s="20" t="str">
        <f>IFERROR(VLOOKUP(H55,KET!$B:$F,2,0),"")</f>
        <v>GRSM 4</v>
      </c>
      <c r="E55" s="20" t="str">
        <f>IFERROR(VLOOKUP(H55,KET!$B:$F,3,0),"")</f>
        <v>GARUT</v>
      </c>
      <c r="F55" s="20" t="str">
        <f>IFERROR(VLOOKUP(H55,KET!$B:$F,4,0),"")</f>
        <v>FAHMI LUKMANUL HAKIM</v>
      </c>
      <c r="G55" s="20" t="str">
        <f>IFERROR(VLOOKUP(H55,KET!$B:$F,5,0),"")</f>
        <v>GMM</v>
      </c>
      <c r="H55" s="56" t="s">
        <v>23</v>
      </c>
      <c r="I55" s="32">
        <v>320</v>
      </c>
      <c r="J55" s="32">
        <v>360</v>
      </c>
      <c r="K55" s="32">
        <v>400</v>
      </c>
      <c r="L55" s="32">
        <v>1710</v>
      </c>
      <c r="M55" s="33">
        <f t="shared" si="1"/>
        <v>2790</v>
      </c>
      <c r="N55" s="32">
        <v>390</v>
      </c>
      <c r="O55" s="32">
        <v>325</v>
      </c>
      <c r="P55" s="34">
        <v>367</v>
      </c>
      <c r="Q55" s="32">
        <v>1615</v>
      </c>
      <c r="R55" s="33">
        <f t="shared" si="2"/>
        <v>2697</v>
      </c>
    </row>
    <row r="56" spans="1:18" ht="15.75" customHeight="1" x14ac:dyDescent="0.3">
      <c r="A56" s="19">
        <v>24</v>
      </c>
      <c r="B56" s="20" t="str">
        <f t="shared" si="0"/>
        <v>JUN</v>
      </c>
      <c r="C56" s="21">
        <v>46185</v>
      </c>
      <c r="D56" s="20" t="str">
        <f>IFERROR(VLOOKUP(H56,KET!$B:$F,2,0),"")</f>
        <v>GRSM 4</v>
      </c>
      <c r="E56" s="20" t="str">
        <f>IFERROR(VLOOKUP(H56,KET!$B:$F,3,0),"")</f>
        <v>GARUT</v>
      </c>
      <c r="F56" s="20" t="str">
        <f>IFERROR(VLOOKUP(H56,KET!$B:$F,4,0),"")</f>
        <v>FAHMI LUKMANUL HAKIM</v>
      </c>
      <c r="G56" s="20" t="str">
        <f>IFERROR(VLOOKUP(H56,KET!$B:$F,5,0),"")</f>
        <v>GMM</v>
      </c>
      <c r="H56" s="56" t="s">
        <v>23</v>
      </c>
      <c r="I56" s="32">
        <v>320</v>
      </c>
      <c r="J56" s="32">
        <v>360</v>
      </c>
      <c r="K56" s="32">
        <v>400</v>
      </c>
      <c r="L56" s="32">
        <v>1710</v>
      </c>
      <c r="M56" s="33">
        <f t="shared" si="1"/>
        <v>2790</v>
      </c>
      <c r="N56" s="32">
        <v>330</v>
      </c>
      <c r="O56" s="32">
        <v>372</v>
      </c>
      <c r="P56" s="34">
        <v>370</v>
      </c>
      <c r="Q56" s="32">
        <v>1617</v>
      </c>
      <c r="R56" s="33">
        <f t="shared" si="2"/>
        <v>2689</v>
      </c>
    </row>
    <row r="57" spans="1:18" ht="15.75" customHeight="1" x14ac:dyDescent="0.3">
      <c r="A57" s="19">
        <v>24</v>
      </c>
      <c r="B57" s="20" t="str">
        <f t="shared" si="0"/>
        <v>JUN</v>
      </c>
      <c r="C57" s="21">
        <v>46185</v>
      </c>
      <c r="D57" s="20" t="str">
        <f>IFERROR(VLOOKUP(H57,KET!$B:$F,2,0),"")</f>
        <v>GRSM 4</v>
      </c>
      <c r="E57" s="20" t="str">
        <f>IFERROR(VLOOKUP(H57,KET!$B:$F,3,0),"")</f>
        <v>KUNINGAN</v>
      </c>
      <c r="F57" s="20" t="str">
        <f>IFERROR(VLOOKUP(H57,KET!$B:$F,4,0),"")</f>
        <v>FAHMI LUKMANUL HAKIM</v>
      </c>
      <c r="G57" s="20" t="str">
        <f>IFERROR(VLOOKUP(H57,KET!$B:$F,5,0),"")</f>
        <v>GMM</v>
      </c>
      <c r="H57" s="56" t="s">
        <v>19</v>
      </c>
      <c r="I57" s="32">
        <v>445</v>
      </c>
      <c r="J57" s="32">
        <v>474</v>
      </c>
      <c r="K57" s="32">
        <v>816</v>
      </c>
      <c r="L57" s="32">
        <v>2562</v>
      </c>
      <c r="M57" s="33">
        <f t="shared" si="1"/>
        <v>4297</v>
      </c>
      <c r="N57" s="32">
        <v>405</v>
      </c>
      <c r="O57" s="32">
        <v>408</v>
      </c>
      <c r="P57" s="34">
        <v>759</v>
      </c>
      <c r="Q57" s="32">
        <v>2374</v>
      </c>
      <c r="R57" s="33">
        <f t="shared" si="2"/>
        <v>3946</v>
      </c>
    </row>
    <row r="58" spans="1:18" ht="15.75" customHeight="1" x14ac:dyDescent="0.3">
      <c r="A58" s="19">
        <v>24</v>
      </c>
      <c r="B58" s="20" t="str">
        <f t="shared" si="0"/>
        <v>JUN</v>
      </c>
      <c r="C58" s="21">
        <v>46185</v>
      </c>
      <c r="D58" s="20" t="str">
        <f>IFERROR(VLOOKUP(H58,KET!$B:$F,2,0),"")</f>
        <v>GRSM 4</v>
      </c>
      <c r="E58" s="20" t="str">
        <f>IFERROR(VLOOKUP(H58,KET!$B:$F,3,0),"")</f>
        <v>KUNINGAN</v>
      </c>
      <c r="F58" s="20" t="str">
        <f>IFERROR(VLOOKUP(H58,KET!$B:$F,4,0),"")</f>
        <v>FAHMI LUKMANUL HAKIM</v>
      </c>
      <c r="G58" s="20" t="str">
        <f>IFERROR(VLOOKUP(H58,KET!$B:$F,5,0),"")</f>
        <v>GMM</v>
      </c>
      <c r="H58" s="56" t="s">
        <v>19</v>
      </c>
      <c r="I58" s="32">
        <v>405</v>
      </c>
      <c r="J58" s="32">
        <v>408</v>
      </c>
      <c r="K58" s="32">
        <v>759</v>
      </c>
      <c r="L58" s="32">
        <v>2374</v>
      </c>
      <c r="M58" s="33">
        <f t="shared" si="1"/>
        <v>3946</v>
      </c>
      <c r="N58" s="32">
        <v>372</v>
      </c>
      <c r="O58" s="32">
        <v>341</v>
      </c>
      <c r="P58" s="34">
        <v>709</v>
      </c>
      <c r="Q58" s="32">
        <v>2200</v>
      </c>
      <c r="R58" s="33">
        <f t="shared" si="2"/>
        <v>3622</v>
      </c>
    </row>
    <row r="59" spans="1:18" ht="15.75" customHeight="1" x14ac:dyDescent="0.3">
      <c r="A59" s="19">
        <v>24</v>
      </c>
      <c r="B59" s="20" t="str">
        <f t="shared" si="0"/>
        <v>JUN</v>
      </c>
      <c r="C59" s="21">
        <v>46185</v>
      </c>
      <c r="D59" s="20" t="str">
        <f>IFERROR(VLOOKUP(H59,KET!$B:$F,2,0),"")</f>
        <v>GRSM 3A</v>
      </c>
      <c r="E59" s="20" t="str">
        <f>IFERROR(VLOOKUP(H59,KET!$B:$F,3,0),"")</f>
        <v>SUKABUMI</v>
      </c>
      <c r="F59" s="20" t="str">
        <f>IFERROR(VLOOKUP(H59,KET!$B:$F,4,0),"")</f>
        <v>FAHMI LUKMANUL HAKIM</v>
      </c>
      <c r="G59" s="20" t="str">
        <f>IFERROR(VLOOKUP(H59,KET!$B:$F,5,0),"")</f>
        <v>GMM</v>
      </c>
      <c r="H59" s="56" t="s">
        <v>22</v>
      </c>
      <c r="I59" s="32">
        <v>391</v>
      </c>
      <c r="J59" s="32">
        <v>954</v>
      </c>
      <c r="K59" s="32">
        <v>458</v>
      </c>
      <c r="L59" s="32">
        <v>1114</v>
      </c>
      <c r="M59" s="33">
        <f t="shared" si="1"/>
        <v>2917</v>
      </c>
      <c r="N59" s="32">
        <v>377</v>
      </c>
      <c r="O59" s="32">
        <v>704</v>
      </c>
      <c r="P59" s="34">
        <v>431</v>
      </c>
      <c r="Q59" s="32">
        <v>1079</v>
      </c>
      <c r="R59" s="33">
        <f t="shared" si="2"/>
        <v>2591</v>
      </c>
    </row>
    <row r="60" spans="1:18" ht="15.75" customHeight="1" x14ac:dyDescent="0.3">
      <c r="A60" s="19">
        <v>24</v>
      </c>
      <c r="B60" s="20" t="str">
        <f t="shared" si="0"/>
        <v>JUN</v>
      </c>
      <c r="C60" s="21">
        <v>46185</v>
      </c>
      <c r="D60" s="20" t="str">
        <f>IFERROR(VLOOKUP(H60,KET!$B:$F,2,0),"")</f>
        <v>GRSM 3A</v>
      </c>
      <c r="E60" s="20" t="str">
        <f>IFERROR(VLOOKUP(H60,KET!$B:$F,3,0),"")</f>
        <v>SUKABUMI</v>
      </c>
      <c r="F60" s="20" t="str">
        <f>IFERROR(VLOOKUP(H60,KET!$B:$F,4,0),"")</f>
        <v>FAHMI LUKMANUL HAKIM</v>
      </c>
      <c r="G60" s="20" t="str">
        <f>IFERROR(VLOOKUP(H60,KET!$B:$F,5,0),"")</f>
        <v>GMM</v>
      </c>
      <c r="H60" s="56" t="s">
        <v>22</v>
      </c>
      <c r="I60" s="32">
        <v>391</v>
      </c>
      <c r="J60" s="32">
        <v>954</v>
      </c>
      <c r="K60" s="32">
        <v>458</v>
      </c>
      <c r="L60" s="32">
        <v>1114</v>
      </c>
      <c r="M60" s="33">
        <f t="shared" si="1"/>
        <v>2917</v>
      </c>
      <c r="N60" s="32">
        <v>377</v>
      </c>
      <c r="O60" s="32">
        <v>704</v>
      </c>
      <c r="P60" s="34">
        <v>431</v>
      </c>
      <c r="Q60" s="32">
        <v>1079</v>
      </c>
      <c r="R60" s="33">
        <f t="shared" si="2"/>
        <v>2591</v>
      </c>
    </row>
    <row r="61" spans="1:18" ht="15.75" customHeight="1" x14ac:dyDescent="0.3">
      <c r="A61" s="19">
        <v>24</v>
      </c>
      <c r="B61" s="20" t="str">
        <f t="shared" si="0"/>
        <v>JUN</v>
      </c>
      <c r="C61" s="21">
        <v>46185</v>
      </c>
      <c r="D61" s="20" t="str">
        <f>IFERROR(VLOOKUP(H61,KET!$B:$F,2,0),"")</f>
        <v>GRSM 4</v>
      </c>
      <c r="E61" s="20" t="str">
        <f>IFERROR(VLOOKUP(H61,KET!$B:$F,3,0),"")</f>
        <v>TASIK</v>
      </c>
      <c r="F61" s="20" t="str">
        <f>IFERROR(VLOOKUP(H61,KET!$B:$F,4,0),"")</f>
        <v>FAHMI LUKMANUL HAKIM</v>
      </c>
      <c r="G61" s="20" t="str">
        <f>IFERROR(VLOOKUP(H61,KET!$B:$F,5,0),"")</f>
        <v>GMM</v>
      </c>
      <c r="H61" s="56" t="s">
        <v>24</v>
      </c>
      <c r="I61" s="32">
        <v>860</v>
      </c>
      <c r="J61" s="32">
        <v>2000</v>
      </c>
      <c r="K61" s="32">
        <v>1102</v>
      </c>
      <c r="L61" s="32">
        <v>3500</v>
      </c>
      <c r="M61" s="33">
        <f t="shared" si="1"/>
        <v>7462</v>
      </c>
      <c r="N61" s="32">
        <v>830</v>
      </c>
      <c r="O61" s="32">
        <v>1952</v>
      </c>
      <c r="P61" s="34">
        <v>1054</v>
      </c>
      <c r="Q61" s="32">
        <v>3356</v>
      </c>
      <c r="R61" s="33">
        <f t="shared" si="2"/>
        <v>7192</v>
      </c>
    </row>
    <row r="62" spans="1:18" ht="15.75" customHeight="1" x14ac:dyDescent="0.3">
      <c r="A62" s="19">
        <v>24</v>
      </c>
      <c r="B62" s="20" t="str">
        <f t="shared" si="0"/>
        <v>JUN</v>
      </c>
      <c r="C62" s="21">
        <v>46185</v>
      </c>
      <c r="D62" s="20" t="str">
        <f>IFERROR(VLOOKUP(H62,KET!$B:$F,2,0),"")</f>
        <v>GRSM 4</v>
      </c>
      <c r="E62" s="20" t="str">
        <f>IFERROR(VLOOKUP(H62,KET!$B:$F,3,0),"")</f>
        <v>TASIK</v>
      </c>
      <c r="F62" s="20" t="str">
        <f>IFERROR(VLOOKUP(H62,KET!$B:$F,4,0),"")</f>
        <v>FAHMI LUKMANUL HAKIM</v>
      </c>
      <c r="G62" s="20" t="str">
        <f>IFERROR(VLOOKUP(H62,KET!$B:$F,5,0),"")</f>
        <v>GMM</v>
      </c>
      <c r="H62" s="56" t="s">
        <v>24</v>
      </c>
      <c r="I62" s="32">
        <v>840</v>
      </c>
      <c r="J62" s="32">
        <v>1952</v>
      </c>
      <c r="K62" s="32">
        <v>1054</v>
      </c>
      <c r="L62" s="32">
        <v>3356</v>
      </c>
      <c r="M62" s="33">
        <f t="shared" si="1"/>
        <v>7202</v>
      </c>
      <c r="N62" s="32">
        <v>827</v>
      </c>
      <c r="O62" s="32">
        <v>1904</v>
      </c>
      <c r="P62" s="34">
        <v>1006</v>
      </c>
      <c r="Q62" s="32">
        <v>3199</v>
      </c>
      <c r="R62" s="33">
        <f t="shared" si="2"/>
        <v>6936</v>
      </c>
    </row>
    <row r="63" spans="1:18" ht="15.75" customHeight="1" x14ac:dyDescent="0.3">
      <c r="A63" s="19">
        <v>24</v>
      </c>
      <c r="B63" s="20" t="str">
        <f t="shared" si="0"/>
        <v>JUN</v>
      </c>
      <c r="C63" s="21">
        <v>46185</v>
      </c>
      <c r="D63" s="20" t="str">
        <f>IFERROR(VLOOKUP(H63,KET!$B:$F,2,0),"")</f>
        <v>GRSM 4</v>
      </c>
      <c r="E63" s="20" t="str">
        <f>IFERROR(VLOOKUP(H63,KET!$B:$F,3,0),"")</f>
        <v>TASIK</v>
      </c>
      <c r="F63" s="20" t="str">
        <f>IFERROR(VLOOKUP(H63,KET!$B:$F,4,0),"")</f>
        <v>FAHMI LUKMANUL HAKIM</v>
      </c>
      <c r="G63" s="20" t="str">
        <f>IFERROR(VLOOKUP(H63,KET!$B:$F,5,0),"")</f>
        <v>GMM</v>
      </c>
      <c r="H63" s="56" t="s">
        <v>20</v>
      </c>
      <c r="I63" s="32">
        <v>1088</v>
      </c>
      <c r="J63" s="32">
        <v>1255</v>
      </c>
      <c r="K63" s="32">
        <v>1525</v>
      </c>
      <c r="L63" s="32" t="s">
        <v>21</v>
      </c>
      <c r="M63" s="33">
        <f t="shared" si="1"/>
        <v>3868</v>
      </c>
      <c r="N63" s="32">
        <v>1052</v>
      </c>
      <c r="O63" s="32">
        <v>1147</v>
      </c>
      <c r="P63" s="34">
        <v>1466</v>
      </c>
      <c r="Q63" s="32" t="s">
        <v>21</v>
      </c>
      <c r="R63" s="33">
        <f t="shared" si="2"/>
        <v>3665</v>
      </c>
    </row>
    <row r="64" spans="1:18" ht="15.75" customHeight="1" x14ac:dyDescent="0.3">
      <c r="A64" s="19">
        <v>24</v>
      </c>
      <c r="B64" s="20" t="str">
        <f t="shared" si="0"/>
        <v>JUN</v>
      </c>
      <c r="C64" s="21">
        <v>46185</v>
      </c>
      <c r="D64" s="20" t="str">
        <f>IFERROR(VLOOKUP(H64,KET!$B:$F,2,0),"")</f>
        <v>GRSM 4</v>
      </c>
      <c r="E64" s="20" t="str">
        <f>IFERROR(VLOOKUP(H64,KET!$B:$F,3,0),"")</f>
        <v>TASIK</v>
      </c>
      <c r="F64" s="20" t="str">
        <f>IFERROR(VLOOKUP(H64,KET!$B:$F,4,0),"")</f>
        <v>FAHMI LUKMANUL HAKIM</v>
      </c>
      <c r="G64" s="20" t="str">
        <f>IFERROR(VLOOKUP(H64,KET!$B:$F,5,0),"")</f>
        <v>GMM</v>
      </c>
      <c r="H64" s="56" t="s">
        <v>20</v>
      </c>
      <c r="I64" s="32">
        <v>1137</v>
      </c>
      <c r="J64" s="32">
        <v>1380</v>
      </c>
      <c r="K64" s="32">
        <v>1576</v>
      </c>
      <c r="L64" s="32"/>
      <c r="M64" s="33">
        <f t="shared" si="1"/>
        <v>4093</v>
      </c>
      <c r="N64" s="32">
        <v>1088</v>
      </c>
      <c r="O64" s="32">
        <v>1255</v>
      </c>
      <c r="P64" s="34">
        <v>1525</v>
      </c>
      <c r="Q64" s="32"/>
      <c r="R64" s="33">
        <f t="shared" si="2"/>
        <v>3868</v>
      </c>
    </row>
    <row r="65" spans="1:18" ht="15.75" customHeight="1" x14ac:dyDescent="0.3">
      <c r="A65" s="19">
        <v>24</v>
      </c>
      <c r="B65" s="20" t="str">
        <f t="shared" si="0"/>
        <v>JUN</v>
      </c>
      <c r="C65" s="21">
        <v>46185</v>
      </c>
      <c r="D65" s="20" t="str">
        <f>IFERROR(VLOOKUP(H65,KET!$B:$F,2,0),"")</f>
        <v>GRSM 4</v>
      </c>
      <c r="E65" s="20" t="str">
        <f>IFERROR(VLOOKUP(H65,KET!$B:$F,3,0),"")</f>
        <v>TASIK</v>
      </c>
      <c r="F65" s="20" t="str">
        <f>IFERROR(VLOOKUP(H65,KET!$B:$F,4,0),"")</f>
        <v>FAHMI LUKMANUL HAKIM</v>
      </c>
      <c r="G65" s="20" t="str">
        <f>IFERROR(VLOOKUP(H65,KET!$B:$F,5,0),"")</f>
        <v>GMM</v>
      </c>
      <c r="H65" s="56" t="s">
        <v>18</v>
      </c>
      <c r="I65" s="32">
        <v>894</v>
      </c>
      <c r="J65" s="32">
        <v>1062</v>
      </c>
      <c r="K65" s="32">
        <v>1032</v>
      </c>
      <c r="L65" s="32">
        <v>483</v>
      </c>
      <c r="M65" s="33">
        <f t="shared" si="1"/>
        <v>3471</v>
      </c>
      <c r="N65" s="32">
        <v>849</v>
      </c>
      <c r="O65" s="32">
        <v>1041</v>
      </c>
      <c r="P65" s="34">
        <v>987</v>
      </c>
      <c r="Q65" s="32">
        <v>417</v>
      </c>
      <c r="R65" s="33">
        <f t="shared" si="2"/>
        <v>3294</v>
      </c>
    </row>
    <row r="66" spans="1:18" ht="15.75" customHeight="1" x14ac:dyDescent="0.3">
      <c r="A66" s="19">
        <v>24</v>
      </c>
      <c r="B66" s="20" t="str">
        <f t="shared" si="0"/>
        <v>JUN</v>
      </c>
      <c r="C66" s="21">
        <v>46185</v>
      </c>
      <c r="D66" s="20" t="str">
        <f>IFERROR(VLOOKUP(H66,KET!$B:$F,2,0),"")</f>
        <v>GRSM 4</v>
      </c>
      <c r="E66" s="20" t="str">
        <f>IFERROR(VLOOKUP(H66,KET!$B:$F,3,0),"")</f>
        <v>TASIK</v>
      </c>
      <c r="F66" s="20" t="str">
        <f>IFERROR(VLOOKUP(H66,KET!$B:$F,4,0),"")</f>
        <v>FAHMI LUKMANUL HAKIM</v>
      </c>
      <c r="G66" s="20" t="str">
        <f>IFERROR(VLOOKUP(H66,KET!$B:$F,5,0),"")</f>
        <v>GMM</v>
      </c>
      <c r="H66" s="56" t="s">
        <v>18</v>
      </c>
      <c r="I66" s="32">
        <v>849</v>
      </c>
      <c r="J66" s="32">
        <v>1041</v>
      </c>
      <c r="K66" s="32">
        <v>987</v>
      </c>
      <c r="L66" s="32">
        <v>417</v>
      </c>
      <c r="M66" s="33">
        <f t="shared" si="1"/>
        <v>3294</v>
      </c>
      <c r="N66" s="32">
        <v>828</v>
      </c>
      <c r="O66" s="32">
        <v>993</v>
      </c>
      <c r="P66" s="34">
        <v>937</v>
      </c>
      <c r="Q66" s="32">
        <v>330</v>
      </c>
      <c r="R66" s="33">
        <f t="shared" si="2"/>
        <v>3088</v>
      </c>
    </row>
    <row r="67" spans="1:18" ht="15.75" customHeight="1" x14ac:dyDescent="0.3">
      <c r="A67" s="19">
        <v>24</v>
      </c>
      <c r="B67" s="20" t="str">
        <f t="shared" si="0"/>
        <v>JUN</v>
      </c>
      <c r="C67" s="21">
        <v>46186</v>
      </c>
      <c r="D67" s="20" t="str">
        <f>IFERROR(VLOOKUP(H67,KET!$B:$F,2,0),"")</f>
        <v>GRSM 4</v>
      </c>
      <c r="E67" s="20" t="str">
        <f>IFERROR(VLOOKUP(H67,KET!$B:$F,3,0),"")</f>
        <v>KUNINGAN</v>
      </c>
      <c r="F67" s="20" t="str">
        <f>IFERROR(VLOOKUP(H67,KET!$B:$F,4,0),"")</f>
        <v>FAHMI LUKMANUL HAKIM</v>
      </c>
      <c r="G67" s="20" t="str">
        <f>IFERROR(VLOOKUP(H67,KET!$B:$F,5,0),"")</f>
        <v>GMM</v>
      </c>
      <c r="H67" s="56" t="s">
        <v>19</v>
      </c>
      <c r="I67" s="32">
        <v>372</v>
      </c>
      <c r="J67" s="32">
        <v>341</v>
      </c>
      <c r="K67" s="32">
        <v>709</v>
      </c>
      <c r="L67" s="32">
        <v>2200</v>
      </c>
      <c r="M67" s="33">
        <f t="shared" si="1"/>
        <v>3622</v>
      </c>
      <c r="N67" s="32">
        <v>328</v>
      </c>
      <c r="O67" s="32">
        <v>270</v>
      </c>
      <c r="P67" s="34">
        <v>646</v>
      </c>
      <c r="Q67" s="32">
        <v>2009</v>
      </c>
      <c r="R67" s="33">
        <f t="shared" si="2"/>
        <v>3253</v>
      </c>
    </row>
    <row r="68" spans="1:18" ht="15.75" customHeight="1" x14ac:dyDescent="0.3">
      <c r="A68" s="19">
        <v>24</v>
      </c>
      <c r="B68" s="20" t="str">
        <f t="shared" si="0"/>
        <v>JUN</v>
      </c>
      <c r="C68" s="21">
        <v>46186</v>
      </c>
      <c r="D68" s="20" t="str">
        <f>IFERROR(VLOOKUP(H68,KET!$B:$F,2,0),"")</f>
        <v>GRSM 4</v>
      </c>
      <c r="E68" s="20" t="str">
        <f>IFERROR(VLOOKUP(H68,KET!$B:$F,3,0),"")</f>
        <v>KUNINGAN</v>
      </c>
      <c r="F68" s="20" t="str">
        <f>IFERROR(VLOOKUP(H68,KET!$B:$F,4,0),"")</f>
        <v>FAHMI LUKMANUL HAKIM</v>
      </c>
      <c r="G68" s="20" t="str">
        <f>IFERROR(VLOOKUP(H68,KET!$B:$F,5,0),"")</f>
        <v>GMM</v>
      </c>
      <c r="H68" s="56" t="s">
        <v>19</v>
      </c>
      <c r="I68" s="32">
        <v>328</v>
      </c>
      <c r="J68" s="32">
        <v>270</v>
      </c>
      <c r="K68" s="32">
        <v>646</v>
      </c>
      <c r="L68" s="32">
        <v>2009</v>
      </c>
      <c r="M68" s="33">
        <f t="shared" si="1"/>
        <v>3253</v>
      </c>
      <c r="N68" s="32">
        <v>3297</v>
      </c>
      <c r="O68" s="32">
        <v>202</v>
      </c>
      <c r="P68" s="34">
        <v>587</v>
      </c>
      <c r="Q68" s="32">
        <v>1838</v>
      </c>
      <c r="R68" s="33">
        <f t="shared" si="2"/>
        <v>5924</v>
      </c>
    </row>
    <row r="69" spans="1:18" ht="15.75" customHeight="1" x14ac:dyDescent="0.3">
      <c r="A69" s="19">
        <v>24</v>
      </c>
      <c r="B69" s="20" t="str">
        <f t="shared" si="0"/>
        <v>JUN</v>
      </c>
      <c r="C69" s="21">
        <v>46186</v>
      </c>
      <c r="D69" s="20" t="str">
        <f>IFERROR(VLOOKUP(H69,KET!$B:$F,2,0),"")</f>
        <v>GRSM 4</v>
      </c>
      <c r="E69" s="20" t="str">
        <f>IFERROR(VLOOKUP(H69,KET!$B:$F,3,0),"")</f>
        <v>GARUT</v>
      </c>
      <c r="F69" s="20" t="str">
        <f>IFERROR(VLOOKUP(H69,KET!$B:$F,4,0),"")</f>
        <v>FAHMI LUKMANUL HAKIM</v>
      </c>
      <c r="G69" s="20" t="str">
        <f>IFERROR(VLOOKUP(H69,KET!$B:$F,5,0),"")</f>
        <v>GMM</v>
      </c>
      <c r="H69" s="56" t="s">
        <v>23</v>
      </c>
      <c r="I69" s="32">
        <v>330</v>
      </c>
      <c r="J69" s="32">
        <v>372</v>
      </c>
      <c r="K69" s="32">
        <v>370</v>
      </c>
      <c r="L69" s="32">
        <v>1617</v>
      </c>
      <c r="M69" s="33">
        <f t="shared" si="1"/>
        <v>2689</v>
      </c>
      <c r="N69" s="32">
        <v>292</v>
      </c>
      <c r="O69" s="32">
        <v>330</v>
      </c>
      <c r="P69" s="34">
        <v>335</v>
      </c>
      <c r="Q69" s="32">
        <v>1047</v>
      </c>
      <c r="R69" s="33">
        <f t="shared" si="2"/>
        <v>2004</v>
      </c>
    </row>
    <row r="70" spans="1:18" ht="15.75" customHeight="1" x14ac:dyDescent="0.3">
      <c r="A70" s="19">
        <v>24</v>
      </c>
      <c r="B70" s="20" t="str">
        <f t="shared" si="0"/>
        <v>JUN</v>
      </c>
      <c r="C70" s="21">
        <v>46186</v>
      </c>
      <c r="D70" s="20" t="str">
        <f>IFERROR(VLOOKUP(H70,KET!$B:$F,2,0),"")</f>
        <v>GRSM 4</v>
      </c>
      <c r="E70" s="20" t="str">
        <f>IFERROR(VLOOKUP(H70,KET!$B:$F,3,0),"")</f>
        <v>GARUT</v>
      </c>
      <c r="F70" s="20" t="str">
        <f>IFERROR(VLOOKUP(H70,KET!$B:$F,4,0),"")</f>
        <v>FAHMI LUKMANUL HAKIM</v>
      </c>
      <c r="G70" s="20" t="str">
        <f>IFERROR(VLOOKUP(H70,KET!$B:$F,5,0),"")</f>
        <v>GMM</v>
      </c>
      <c r="H70" s="56" t="s">
        <v>23</v>
      </c>
      <c r="I70" s="32">
        <v>390</v>
      </c>
      <c r="J70" s="32">
        <v>325</v>
      </c>
      <c r="K70" s="32">
        <v>367</v>
      </c>
      <c r="L70" s="32">
        <v>1615</v>
      </c>
      <c r="M70" s="33">
        <f t="shared" si="1"/>
        <v>2697</v>
      </c>
      <c r="N70" s="32">
        <v>347</v>
      </c>
      <c r="O70" s="32">
        <v>280</v>
      </c>
      <c r="P70" s="34">
        <v>324</v>
      </c>
      <c r="Q70" s="32">
        <v>1491</v>
      </c>
      <c r="R70" s="33">
        <f t="shared" si="2"/>
        <v>2442</v>
      </c>
    </row>
    <row r="71" spans="1:18" ht="15.75" customHeight="1" x14ac:dyDescent="0.3">
      <c r="A71" s="19">
        <v>24</v>
      </c>
      <c r="B71" s="20" t="str">
        <f t="shared" ref="B71:B134" si="3">IF(C71="","",UPPER(TEXT(C71, "MMM")))</f>
        <v>JUN</v>
      </c>
      <c r="C71" s="21">
        <v>46186</v>
      </c>
      <c r="D71" s="20" t="str">
        <f>IFERROR(VLOOKUP(H71,KET!$B:$F,2,0),"")</f>
        <v>GRSM 4</v>
      </c>
      <c r="E71" s="20" t="str">
        <f>IFERROR(VLOOKUP(H71,KET!$B:$F,3,0),"")</f>
        <v>TASIK</v>
      </c>
      <c r="F71" s="20" t="str">
        <f>IFERROR(VLOOKUP(H71,KET!$B:$F,4,0),"")</f>
        <v>FAHMI LUKMANUL HAKIM</v>
      </c>
      <c r="G71" s="20" t="str">
        <f>IFERROR(VLOOKUP(H71,KET!$B:$F,5,0),"")</f>
        <v>GMM</v>
      </c>
      <c r="H71" s="56" t="s">
        <v>18</v>
      </c>
      <c r="I71" s="32">
        <v>987</v>
      </c>
      <c r="J71" s="32">
        <v>1233</v>
      </c>
      <c r="K71" s="32">
        <v>1117</v>
      </c>
      <c r="L71" s="32">
        <v>1530</v>
      </c>
      <c r="M71" s="33">
        <f t="shared" ref="M71:M134" si="4">SUM(I71:L71)</f>
        <v>4867</v>
      </c>
      <c r="N71" s="32">
        <v>987</v>
      </c>
      <c r="O71" s="32">
        <v>1173</v>
      </c>
      <c r="P71" s="34">
        <v>951</v>
      </c>
      <c r="Q71" s="32">
        <v>1428</v>
      </c>
      <c r="R71" s="33">
        <f t="shared" ref="R71:R134" si="5">SUM(N71:Q71)</f>
        <v>4539</v>
      </c>
    </row>
    <row r="72" spans="1:18" ht="15.75" customHeight="1" x14ac:dyDescent="0.3">
      <c r="A72" s="19">
        <v>24</v>
      </c>
      <c r="B72" s="20" t="str">
        <f t="shared" si="3"/>
        <v>JUN</v>
      </c>
      <c r="C72" s="21">
        <v>46186</v>
      </c>
      <c r="D72" s="20" t="str">
        <f>IFERROR(VLOOKUP(H72,KET!$B:$F,2,0),"")</f>
        <v>GRSM 4</v>
      </c>
      <c r="E72" s="20" t="str">
        <f>IFERROR(VLOOKUP(H72,KET!$B:$F,3,0),"")</f>
        <v>TASIK</v>
      </c>
      <c r="F72" s="20" t="str">
        <f>IFERROR(VLOOKUP(H72,KET!$B:$F,4,0),"")</f>
        <v>FAHMI LUKMANUL HAKIM</v>
      </c>
      <c r="G72" s="20" t="str">
        <f>IFERROR(VLOOKUP(H72,KET!$B:$F,5,0),"")</f>
        <v>GMM</v>
      </c>
      <c r="H72" s="56" t="s">
        <v>18</v>
      </c>
      <c r="I72" s="32">
        <v>828</v>
      </c>
      <c r="J72" s="32">
        <v>993</v>
      </c>
      <c r="K72" s="32">
        <v>937</v>
      </c>
      <c r="L72" s="32">
        <v>330</v>
      </c>
      <c r="M72" s="33">
        <f t="shared" si="4"/>
        <v>3088</v>
      </c>
      <c r="N72" s="32">
        <v>942</v>
      </c>
      <c r="O72" s="32">
        <v>1119</v>
      </c>
      <c r="P72" s="34">
        <v>879</v>
      </c>
      <c r="Q72" s="32">
        <v>1287</v>
      </c>
      <c r="R72" s="33">
        <f t="shared" si="5"/>
        <v>4227</v>
      </c>
    </row>
    <row r="73" spans="1:18" ht="15.75" customHeight="1" x14ac:dyDescent="0.3">
      <c r="A73" s="19">
        <v>24</v>
      </c>
      <c r="B73" s="20" t="str">
        <f t="shared" si="3"/>
        <v>JUN</v>
      </c>
      <c r="C73" s="21">
        <v>46186</v>
      </c>
      <c r="D73" s="20" t="str">
        <f>IFERROR(VLOOKUP(H73,KET!$B:$F,2,0),"")</f>
        <v>GRSM 3A</v>
      </c>
      <c r="E73" s="20" t="str">
        <f>IFERROR(VLOOKUP(H73,KET!$B:$F,3,0),"")</f>
        <v>SUKABUMI</v>
      </c>
      <c r="F73" s="20" t="str">
        <f>IFERROR(VLOOKUP(H73,KET!$B:$F,4,0),"")</f>
        <v>FAHMI LUKMANUL HAKIM</v>
      </c>
      <c r="G73" s="20" t="str">
        <f>IFERROR(VLOOKUP(H73,KET!$B:$F,5,0),"")</f>
        <v>GMM</v>
      </c>
      <c r="H73" s="56" t="s">
        <v>22</v>
      </c>
      <c r="I73" s="32">
        <v>363</v>
      </c>
      <c r="J73" s="32">
        <v>680</v>
      </c>
      <c r="K73" s="32">
        <v>406</v>
      </c>
      <c r="L73" s="32">
        <v>1048</v>
      </c>
      <c r="M73" s="33">
        <f t="shared" si="4"/>
        <v>2497</v>
      </c>
      <c r="N73" s="32">
        <v>357</v>
      </c>
      <c r="O73" s="32">
        <v>657</v>
      </c>
      <c r="P73" s="34">
        <v>376</v>
      </c>
      <c r="Q73" s="32">
        <v>988</v>
      </c>
      <c r="R73" s="33">
        <f t="shared" si="5"/>
        <v>2378</v>
      </c>
    </row>
    <row r="74" spans="1:18" ht="15.75" customHeight="1" x14ac:dyDescent="0.3">
      <c r="A74" s="19">
        <v>24</v>
      </c>
      <c r="B74" s="20" t="str">
        <f t="shared" si="3"/>
        <v>JUN</v>
      </c>
      <c r="C74" s="21">
        <v>46186</v>
      </c>
      <c r="D74" s="20" t="str">
        <f>IFERROR(VLOOKUP(H74,KET!$B:$F,2,0),"")</f>
        <v>GRSM 3A</v>
      </c>
      <c r="E74" s="20" t="str">
        <f>IFERROR(VLOOKUP(H74,KET!$B:$F,3,0),"")</f>
        <v>SUKABUMI</v>
      </c>
      <c r="F74" s="20" t="str">
        <f>IFERROR(VLOOKUP(H74,KET!$B:$F,4,0),"")</f>
        <v>FAHMI LUKMANUL HAKIM</v>
      </c>
      <c r="G74" s="20" t="str">
        <f>IFERROR(VLOOKUP(H74,KET!$B:$F,5,0),"")</f>
        <v>GMM</v>
      </c>
      <c r="H74" s="56" t="s">
        <v>22</v>
      </c>
      <c r="I74" s="32">
        <v>363</v>
      </c>
      <c r="J74" s="32">
        <v>680</v>
      </c>
      <c r="K74" s="32">
        <v>406</v>
      </c>
      <c r="L74" s="32">
        <v>1048</v>
      </c>
      <c r="M74" s="33">
        <f t="shared" si="4"/>
        <v>2497</v>
      </c>
      <c r="N74" s="32">
        <v>357</v>
      </c>
      <c r="O74" s="32">
        <v>657</v>
      </c>
      <c r="P74" s="34">
        <v>376</v>
      </c>
      <c r="Q74" s="32">
        <v>988</v>
      </c>
      <c r="R74" s="33">
        <f t="shared" si="5"/>
        <v>2378</v>
      </c>
    </row>
    <row r="75" spans="1:18" ht="15.75" customHeight="1" x14ac:dyDescent="0.3">
      <c r="A75" s="19">
        <v>24</v>
      </c>
      <c r="B75" s="20" t="str">
        <f t="shared" si="3"/>
        <v>JUN</v>
      </c>
      <c r="C75" s="21">
        <v>46186</v>
      </c>
      <c r="D75" s="20" t="str">
        <f>IFERROR(VLOOKUP(H75,KET!$B:$F,2,0),"")</f>
        <v>GRSM 4</v>
      </c>
      <c r="E75" s="20" t="str">
        <f>IFERROR(VLOOKUP(H75,KET!$B:$F,3,0),"")</f>
        <v>TASIK</v>
      </c>
      <c r="F75" s="20" t="str">
        <f>IFERROR(VLOOKUP(H75,KET!$B:$F,4,0),"")</f>
        <v>FAHMI LUKMANUL HAKIM</v>
      </c>
      <c r="G75" s="20" t="str">
        <f>IFERROR(VLOOKUP(H75,KET!$B:$F,5,0),"")</f>
        <v>GMM</v>
      </c>
      <c r="H75" s="56" t="s">
        <v>24</v>
      </c>
      <c r="I75" s="32">
        <v>827</v>
      </c>
      <c r="J75" s="32">
        <v>1904</v>
      </c>
      <c r="K75" s="32">
        <v>1006</v>
      </c>
      <c r="L75" s="32">
        <v>3199</v>
      </c>
      <c r="M75" s="33">
        <f t="shared" si="4"/>
        <v>6936</v>
      </c>
      <c r="N75" s="32">
        <v>767</v>
      </c>
      <c r="O75" s="32">
        <v>1844</v>
      </c>
      <c r="P75" s="34">
        <v>946</v>
      </c>
      <c r="Q75" s="32">
        <v>3019</v>
      </c>
      <c r="R75" s="33">
        <f t="shared" si="5"/>
        <v>6576</v>
      </c>
    </row>
    <row r="76" spans="1:18" ht="15.75" customHeight="1" x14ac:dyDescent="0.3">
      <c r="A76" s="19">
        <v>24</v>
      </c>
      <c r="B76" s="20" t="str">
        <f t="shared" si="3"/>
        <v>JUN</v>
      </c>
      <c r="C76" s="21">
        <v>46186</v>
      </c>
      <c r="D76" s="20" t="str">
        <f>IFERROR(VLOOKUP(H76,KET!$B:$F,2,0),"")</f>
        <v>GRSM 4</v>
      </c>
      <c r="E76" s="20" t="str">
        <f>IFERROR(VLOOKUP(H76,KET!$B:$F,3,0),"")</f>
        <v>TASIK</v>
      </c>
      <c r="F76" s="20" t="str">
        <f>IFERROR(VLOOKUP(H76,KET!$B:$F,4,0),"")</f>
        <v>FAHMI LUKMANUL HAKIM</v>
      </c>
      <c r="G76" s="20" t="str">
        <f>IFERROR(VLOOKUP(H76,KET!$B:$F,5,0),"")</f>
        <v>GMM</v>
      </c>
      <c r="H76" s="56" t="s">
        <v>24</v>
      </c>
      <c r="I76" s="32">
        <v>767</v>
      </c>
      <c r="J76" s="32">
        <v>1844</v>
      </c>
      <c r="K76" s="32">
        <v>946</v>
      </c>
      <c r="L76" s="32">
        <v>3019</v>
      </c>
      <c r="M76" s="33">
        <f t="shared" si="4"/>
        <v>6576</v>
      </c>
      <c r="N76" s="32">
        <v>731</v>
      </c>
      <c r="O76" s="32">
        <v>1796</v>
      </c>
      <c r="P76" s="34">
        <v>886</v>
      </c>
      <c r="Q76" s="32">
        <v>2839</v>
      </c>
      <c r="R76" s="33">
        <f t="shared" si="5"/>
        <v>6252</v>
      </c>
    </row>
    <row r="77" spans="1:18" ht="15.75" customHeight="1" x14ac:dyDescent="0.3">
      <c r="A77" s="19">
        <v>24</v>
      </c>
      <c r="B77" s="20" t="str">
        <f t="shared" si="3"/>
        <v>JUN</v>
      </c>
      <c r="C77" s="21">
        <v>46186</v>
      </c>
      <c r="D77" s="20" t="str">
        <f>IFERROR(VLOOKUP(H77,KET!$B:$F,2,0),"")</f>
        <v>GRSM 4</v>
      </c>
      <c r="E77" s="20" t="str">
        <f>IFERROR(VLOOKUP(H77,KET!$B:$F,3,0),"")</f>
        <v>TASIK</v>
      </c>
      <c r="F77" s="20" t="str">
        <f>IFERROR(VLOOKUP(H77,KET!$B:$F,4,0),"")</f>
        <v>FAHMI LUKMANUL HAKIM</v>
      </c>
      <c r="G77" s="20" t="str">
        <f>IFERROR(VLOOKUP(H77,KET!$B:$F,5,0),"")</f>
        <v>GMM</v>
      </c>
      <c r="H77" s="56" t="s">
        <v>20</v>
      </c>
      <c r="I77" s="32">
        <v>1073</v>
      </c>
      <c r="J77" s="32">
        <v>1228</v>
      </c>
      <c r="K77" s="32">
        <v>1456</v>
      </c>
      <c r="L77" s="32"/>
      <c r="M77" s="33">
        <f t="shared" si="4"/>
        <v>3757</v>
      </c>
      <c r="N77" s="32">
        <v>1028</v>
      </c>
      <c r="O77" s="32">
        <v>1130</v>
      </c>
      <c r="P77" s="34">
        <v>1389</v>
      </c>
      <c r="Q77" s="32"/>
      <c r="R77" s="33">
        <f t="shared" si="5"/>
        <v>3547</v>
      </c>
    </row>
    <row r="78" spans="1:18" ht="15.75" customHeight="1" x14ac:dyDescent="0.3">
      <c r="A78" s="19">
        <v>24</v>
      </c>
      <c r="B78" s="20" t="str">
        <f t="shared" si="3"/>
        <v>JUN</v>
      </c>
      <c r="C78" s="21">
        <v>46186</v>
      </c>
      <c r="D78" s="20" t="str">
        <f>IFERROR(VLOOKUP(H78,KET!$B:$F,2,0),"")</f>
        <v>GRSM 4</v>
      </c>
      <c r="E78" s="20" t="str">
        <f>IFERROR(VLOOKUP(H78,KET!$B:$F,3,0),"")</f>
        <v>TASIK</v>
      </c>
      <c r="F78" s="20" t="str">
        <f>IFERROR(VLOOKUP(H78,KET!$B:$F,4,0),"")</f>
        <v>FAHMI LUKMANUL HAKIM</v>
      </c>
      <c r="G78" s="20" t="str">
        <f>IFERROR(VLOOKUP(H78,KET!$B:$F,5,0),"")</f>
        <v>GMM</v>
      </c>
      <c r="H78" s="56" t="s">
        <v>20</v>
      </c>
      <c r="I78" s="32">
        <v>1112</v>
      </c>
      <c r="J78" s="32">
        <v>1334</v>
      </c>
      <c r="K78" s="32">
        <v>1529</v>
      </c>
      <c r="L78" s="32"/>
      <c r="M78" s="33">
        <f t="shared" si="4"/>
        <v>3975</v>
      </c>
      <c r="N78" s="32">
        <v>1073</v>
      </c>
      <c r="O78" s="32">
        <v>1228</v>
      </c>
      <c r="P78" s="34">
        <v>1456</v>
      </c>
      <c r="Q78" s="32"/>
      <c r="R78" s="33">
        <f t="shared" si="5"/>
        <v>3757</v>
      </c>
    </row>
    <row r="79" spans="1:18" ht="15.75" customHeight="1" x14ac:dyDescent="0.3">
      <c r="A79" s="19">
        <v>24</v>
      </c>
      <c r="B79" s="20" t="str">
        <f t="shared" si="3"/>
        <v>JUN</v>
      </c>
      <c r="C79" s="21">
        <v>46187</v>
      </c>
      <c r="D79" s="20" t="str">
        <f>IFERROR(VLOOKUP(H79,KET!$B:$F,2,0),"")</f>
        <v>GRSM 4</v>
      </c>
      <c r="E79" s="20" t="str">
        <f>IFERROR(VLOOKUP(H79,KET!$B:$F,3,0),"")</f>
        <v>GARUT</v>
      </c>
      <c r="F79" s="20" t="str">
        <f>IFERROR(VLOOKUP(H79,KET!$B:$F,4,0),"")</f>
        <v>FAHMI LUKMANUL HAKIM</v>
      </c>
      <c r="G79" s="20" t="str">
        <f>IFERROR(VLOOKUP(H79,KET!$B:$F,5,0),"")</f>
        <v>GMM</v>
      </c>
      <c r="H79" s="56" t="s">
        <v>23</v>
      </c>
      <c r="I79" s="32">
        <v>347</v>
      </c>
      <c r="J79" s="32">
        <v>280</v>
      </c>
      <c r="K79" s="32">
        <v>324</v>
      </c>
      <c r="L79" s="32">
        <v>1491</v>
      </c>
      <c r="M79" s="33">
        <f t="shared" si="4"/>
        <v>2442</v>
      </c>
      <c r="N79" s="32">
        <v>292</v>
      </c>
      <c r="O79" s="32">
        <v>233</v>
      </c>
      <c r="P79" s="34">
        <v>244</v>
      </c>
      <c r="Q79" s="32">
        <v>1309</v>
      </c>
      <c r="R79" s="33">
        <f t="shared" si="5"/>
        <v>2078</v>
      </c>
    </row>
    <row r="80" spans="1:18" ht="15.75" customHeight="1" x14ac:dyDescent="0.3">
      <c r="A80" s="19">
        <v>24</v>
      </c>
      <c r="B80" s="20" t="str">
        <f t="shared" si="3"/>
        <v>JUN</v>
      </c>
      <c r="C80" s="21">
        <v>46187</v>
      </c>
      <c r="D80" s="20" t="str">
        <f>IFERROR(VLOOKUP(H80,KET!$B:$F,2,0),"")</f>
        <v>GRSM 4</v>
      </c>
      <c r="E80" s="20" t="str">
        <f>IFERROR(VLOOKUP(H80,KET!$B:$F,3,0),"")</f>
        <v>GARUT</v>
      </c>
      <c r="F80" s="20" t="str">
        <f>IFERROR(VLOOKUP(H80,KET!$B:$F,4,0),"")</f>
        <v>FAHMI LUKMANUL HAKIM</v>
      </c>
      <c r="G80" s="20" t="str">
        <f>IFERROR(VLOOKUP(H80,KET!$B:$F,5,0),"")</f>
        <v>GMM</v>
      </c>
      <c r="H80" s="56" t="s">
        <v>23</v>
      </c>
      <c r="I80" s="32">
        <v>292</v>
      </c>
      <c r="J80" s="32">
        <v>330</v>
      </c>
      <c r="K80" s="32">
        <v>335</v>
      </c>
      <c r="L80" s="32">
        <v>1047</v>
      </c>
      <c r="M80" s="33">
        <f t="shared" si="4"/>
        <v>2004</v>
      </c>
      <c r="N80" s="32">
        <v>241</v>
      </c>
      <c r="O80" s="32">
        <v>291</v>
      </c>
      <c r="P80" s="34">
        <v>263</v>
      </c>
      <c r="Q80" s="32">
        <v>895</v>
      </c>
      <c r="R80" s="33">
        <f t="shared" si="5"/>
        <v>1690</v>
      </c>
    </row>
    <row r="81" spans="1:18" ht="15.75" customHeight="1" x14ac:dyDescent="0.3">
      <c r="A81" s="19">
        <v>24</v>
      </c>
      <c r="B81" s="20" t="str">
        <f t="shared" si="3"/>
        <v>JUN</v>
      </c>
      <c r="C81" s="21">
        <v>46187</v>
      </c>
      <c r="D81" s="20" t="str">
        <f>IFERROR(VLOOKUP(H81,KET!$B:$F,2,0),"")</f>
        <v>GRSM 4</v>
      </c>
      <c r="E81" s="20" t="str">
        <f>IFERROR(VLOOKUP(H81,KET!$B:$F,3,0),"")</f>
        <v>KUNINGAN</v>
      </c>
      <c r="F81" s="20" t="str">
        <f>IFERROR(VLOOKUP(H81,KET!$B:$F,4,0),"")</f>
        <v>FAHMI LUKMANUL HAKIM</v>
      </c>
      <c r="G81" s="20" t="str">
        <f>IFERROR(VLOOKUP(H81,KET!$B:$F,5,0),"")</f>
        <v>GMM</v>
      </c>
      <c r="H81" s="56" t="s">
        <v>19</v>
      </c>
      <c r="I81" s="32">
        <v>329</v>
      </c>
      <c r="J81" s="32">
        <v>202</v>
      </c>
      <c r="K81" s="32">
        <v>587</v>
      </c>
      <c r="L81" s="32">
        <v>1838</v>
      </c>
      <c r="M81" s="33">
        <f t="shared" si="4"/>
        <v>2956</v>
      </c>
      <c r="N81" s="32">
        <v>281</v>
      </c>
      <c r="O81" s="32">
        <v>127</v>
      </c>
      <c r="P81" s="34">
        <v>522</v>
      </c>
      <c r="Q81" s="32">
        <v>1644</v>
      </c>
      <c r="R81" s="33">
        <f t="shared" si="5"/>
        <v>2574</v>
      </c>
    </row>
    <row r="82" spans="1:18" ht="15.75" customHeight="1" x14ac:dyDescent="0.3">
      <c r="A82" s="19">
        <v>24</v>
      </c>
      <c r="B82" s="20" t="str">
        <f t="shared" si="3"/>
        <v>JUN</v>
      </c>
      <c r="C82" s="21">
        <v>46187</v>
      </c>
      <c r="D82" s="20" t="str">
        <f>IFERROR(VLOOKUP(H82,KET!$B:$F,2,0),"")</f>
        <v>GRSM 4</v>
      </c>
      <c r="E82" s="20" t="str">
        <f>IFERROR(VLOOKUP(H82,KET!$B:$F,3,0),"")</f>
        <v>KUNINGAN</v>
      </c>
      <c r="F82" s="20" t="str">
        <f>IFERROR(VLOOKUP(H82,KET!$B:$F,4,0),"")</f>
        <v>FAHMI LUKMANUL HAKIM</v>
      </c>
      <c r="G82" s="20" t="str">
        <f>IFERROR(VLOOKUP(H82,KET!$B:$F,5,0),"")</f>
        <v>GMM</v>
      </c>
      <c r="H82" s="56" t="s">
        <v>19</v>
      </c>
      <c r="I82" s="32">
        <v>281</v>
      </c>
      <c r="J82" s="32">
        <v>127</v>
      </c>
      <c r="K82" s="32">
        <v>522</v>
      </c>
      <c r="L82" s="32">
        <v>1644</v>
      </c>
      <c r="M82" s="33">
        <f t="shared" si="4"/>
        <v>2574</v>
      </c>
      <c r="N82" s="32">
        <v>228</v>
      </c>
      <c r="O82" s="32">
        <v>61</v>
      </c>
      <c r="P82" s="34">
        <v>472</v>
      </c>
      <c r="Q82" s="32">
        <v>1455</v>
      </c>
      <c r="R82" s="33">
        <f t="shared" si="5"/>
        <v>2216</v>
      </c>
    </row>
    <row r="83" spans="1:18" ht="15.75" customHeight="1" x14ac:dyDescent="0.3">
      <c r="A83" s="19">
        <v>24</v>
      </c>
      <c r="B83" s="20" t="str">
        <f t="shared" si="3"/>
        <v>JUN</v>
      </c>
      <c r="C83" s="21">
        <v>46187</v>
      </c>
      <c r="D83" s="20" t="str">
        <f>IFERROR(VLOOKUP(H83,KET!$B:$F,2,0),"")</f>
        <v>GRSM 4</v>
      </c>
      <c r="E83" s="20" t="str">
        <f>IFERROR(VLOOKUP(H83,KET!$B:$F,3,0),"")</f>
        <v>TASIK</v>
      </c>
      <c r="F83" s="20" t="str">
        <f>IFERROR(VLOOKUP(H83,KET!$B:$F,4,0),"")</f>
        <v>FAHMI LUKMANUL HAKIM</v>
      </c>
      <c r="G83" s="20" t="str">
        <f>IFERROR(VLOOKUP(H83,KET!$B:$F,5,0),"")</f>
        <v>GMM</v>
      </c>
      <c r="H83" s="56" t="s">
        <v>18</v>
      </c>
      <c r="I83" s="32">
        <v>942</v>
      </c>
      <c r="J83" s="32">
        <v>1119</v>
      </c>
      <c r="K83" s="32">
        <v>879</v>
      </c>
      <c r="L83" s="32">
        <v>1287</v>
      </c>
      <c r="M83" s="33">
        <f t="shared" si="4"/>
        <v>4227</v>
      </c>
      <c r="N83" s="32">
        <v>909</v>
      </c>
      <c r="O83" s="32">
        <v>1047</v>
      </c>
      <c r="P83" s="34">
        <v>801</v>
      </c>
      <c r="Q83" s="32">
        <v>1194</v>
      </c>
      <c r="R83" s="33">
        <f t="shared" si="5"/>
        <v>3951</v>
      </c>
    </row>
    <row r="84" spans="1:18" ht="15.75" customHeight="1" x14ac:dyDescent="0.3">
      <c r="A84" s="19">
        <v>24</v>
      </c>
      <c r="B84" s="20" t="str">
        <f t="shared" si="3"/>
        <v>JUN</v>
      </c>
      <c r="C84" s="21">
        <v>46187</v>
      </c>
      <c r="D84" s="20" t="str">
        <f>IFERROR(VLOOKUP(H84,KET!$B:$F,2,0),"")</f>
        <v>GRSM 4</v>
      </c>
      <c r="E84" s="20" t="str">
        <f>IFERROR(VLOOKUP(H84,KET!$B:$F,3,0),"")</f>
        <v>TASIK</v>
      </c>
      <c r="F84" s="20" t="str">
        <f>IFERROR(VLOOKUP(H84,KET!$B:$F,4,0),"")</f>
        <v>FAHMI LUKMANUL HAKIM</v>
      </c>
      <c r="G84" s="20" t="str">
        <f>IFERROR(VLOOKUP(H84,KET!$B:$F,5,0),"")</f>
        <v>GMM</v>
      </c>
      <c r="H84" s="56" t="s">
        <v>18</v>
      </c>
      <c r="I84" s="32">
        <v>909</v>
      </c>
      <c r="J84" s="32">
        <v>1047</v>
      </c>
      <c r="K84" s="32">
        <v>801</v>
      </c>
      <c r="L84" s="32">
        <v>1194</v>
      </c>
      <c r="M84" s="33">
        <f t="shared" si="4"/>
        <v>3951</v>
      </c>
      <c r="N84" s="32">
        <v>861</v>
      </c>
      <c r="O84" s="32">
        <v>987</v>
      </c>
      <c r="P84" s="34">
        <v>753</v>
      </c>
      <c r="Q84" s="32">
        <v>1137</v>
      </c>
      <c r="R84" s="33">
        <f t="shared" si="5"/>
        <v>3738</v>
      </c>
    </row>
    <row r="85" spans="1:18" ht="15.75" customHeight="1" x14ac:dyDescent="0.3">
      <c r="A85" s="19">
        <v>24</v>
      </c>
      <c r="B85" s="20" t="str">
        <f t="shared" si="3"/>
        <v>JUN</v>
      </c>
      <c r="C85" s="21">
        <v>46187</v>
      </c>
      <c r="D85" s="20" t="str">
        <f>IFERROR(VLOOKUP(H85,KET!$B:$F,2,0),"")</f>
        <v>GRSM 4</v>
      </c>
      <c r="E85" s="20" t="str">
        <f>IFERROR(VLOOKUP(H85,KET!$B:$F,3,0),"")</f>
        <v>TASIK</v>
      </c>
      <c r="F85" s="20" t="str">
        <f>IFERROR(VLOOKUP(H85,KET!$B:$F,4,0),"")</f>
        <v>FAHMI LUKMANUL HAKIM</v>
      </c>
      <c r="G85" s="20" t="str">
        <f>IFERROR(VLOOKUP(H85,KET!$B:$F,5,0),"")</f>
        <v>GMM</v>
      </c>
      <c r="H85" s="56" t="s">
        <v>24</v>
      </c>
      <c r="I85" s="32">
        <v>695</v>
      </c>
      <c r="J85" s="32">
        <v>1736</v>
      </c>
      <c r="K85" s="32">
        <v>814</v>
      </c>
      <c r="L85" s="32">
        <v>2635</v>
      </c>
      <c r="M85" s="33">
        <f t="shared" si="4"/>
        <v>5880</v>
      </c>
      <c r="N85" s="32">
        <v>685</v>
      </c>
      <c r="O85" s="32">
        <v>1676</v>
      </c>
      <c r="P85" s="34">
        <v>814</v>
      </c>
      <c r="Q85" s="32">
        <v>2459</v>
      </c>
      <c r="R85" s="33">
        <f t="shared" si="5"/>
        <v>5634</v>
      </c>
    </row>
    <row r="86" spans="1:18" ht="15.75" customHeight="1" x14ac:dyDescent="0.3">
      <c r="A86" s="19">
        <v>24</v>
      </c>
      <c r="B86" s="20" t="str">
        <f t="shared" si="3"/>
        <v>JUN</v>
      </c>
      <c r="C86" s="21">
        <v>46187</v>
      </c>
      <c r="D86" s="20" t="str">
        <f>IFERROR(VLOOKUP(H86,KET!$B:$F,2,0),"")</f>
        <v>GRSM 4</v>
      </c>
      <c r="E86" s="20" t="str">
        <f>IFERROR(VLOOKUP(H86,KET!$B:$F,3,0),"")</f>
        <v>TASIK</v>
      </c>
      <c r="F86" s="20" t="str">
        <f>IFERROR(VLOOKUP(H86,KET!$B:$F,4,0),"")</f>
        <v>FAHMI LUKMANUL HAKIM</v>
      </c>
      <c r="G86" s="20" t="str">
        <f>IFERROR(VLOOKUP(H86,KET!$B:$F,5,0),"")</f>
        <v>GMM</v>
      </c>
      <c r="H86" s="56" t="s">
        <v>24</v>
      </c>
      <c r="I86" s="32">
        <v>695</v>
      </c>
      <c r="J86" s="32">
        <v>1736</v>
      </c>
      <c r="K86" s="32">
        <v>814</v>
      </c>
      <c r="L86" s="32">
        <v>2635</v>
      </c>
      <c r="M86" s="33">
        <f t="shared" si="4"/>
        <v>5880</v>
      </c>
      <c r="N86" s="32">
        <v>635</v>
      </c>
      <c r="O86" s="32">
        <v>1676</v>
      </c>
      <c r="P86" s="34">
        <v>754</v>
      </c>
      <c r="Q86" s="32">
        <v>2459</v>
      </c>
      <c r="R86" s="33">
        <f t="shared" si="5"/>
        <v>5524</v>
      </c>
    </row>
    <row r="87" spans="1:18" ht="15.75" customHeight="1" x14ac:dyDescent="0.3">
      <c r="A87" s="19">
        <v>24</v>
      </c>
      <c r="B87" s="20" t="str">
        <f t="shared" si="3"/>
        <v>JUN</v>
      </c>
      <c r="C87" s="21">
        <v>46187</v>
      </c>
      <c r="D87" s="20" t="str">
        <f>IFERROR(VLOOKUP(H87,KET!$B:$F,2,0),"")</f>
        <v>GRSM 4</v>
      </c>
      <c r="E87" s="20" t="str">
        <f>IFERROR(VLOOKUP(H87,KET!$B:$F,3,0),"")</f>
        <v>TASIK</v>
      </c>
      <c r="F87" s="20" t="str">
        <f>IFERROR(VLOOKUP(H87,KET!$B:$F,4,0),"")</f>
        <v>FAHMI LUKMANUL HAKIM</v>
      </c>
      <c r="G87" s="20" t="str">
        <f>IFERROR(VLOOKUP(H87,KET!$B:$F,5,0),"")</f>
        <v>GMM</v>
      </c>
      <c r="H87" s="56" t="s">
        <v>20</v>
      </c>
      <c r="I87" s="32">
        <v>1039</v>
      </c>
      <c r="J87" s="32">
        <v>1092</v>
      </c>
      <c r="K87" s="32">
        <v>1368</v>
      </c>
      <c r="L87" s="32"/>
      <c r="M87" s="33">
        <f t="shared" si="4"/>
        <v>3499</v>
      </c>
      <c r="N87" s="32">
        <v>1008</v>
      </c>
      <c r="O87" s="32">
        <v>1092</v>
      </c>
      <c r="P87" s="34">
        <v>1368</v>
      </c>
      <c r="Q87" s="32"/>
      <c r="R87" s="33">
        <f t="shared" si="5"/>
        <v>3468</v>
      </c>
    </row>
    <row r="88" spans="1:18" ht="15.75" customHeight="1" x14ac:dyDescent="0.3">
      <c r="A88" s="19">
        <v>24</v>
      </c>
      <c r="B88" s="20" t="str">
        <f t="shared" si="3"/>
        <v>JUN</v>
      </c>
      <c r="C88" s="21">
        <v>46187</v>
      </c>
      <c r="D88" s="20" t="str">
        <f>IFERROR(VLOOKUP(H88,KET!$B:$F,2,0),"")</f>
        <v>GRSM 4</v>
      </c>
      <c r="E88" s="20" t="str">
        <f>IFERROR(VLOOKUP(H88,KET!$B:$F,3,0),"")</f>
        <v>TASIK</v>
      </c>
      <c r="F88" s="20" t="str">
        <f>IFERROR(VLOOKUP(H88,KET!$B:$F,4,0),"")</f>
        <v>FAHMI LUKMANUL HAKIM</v>
      </c>
      <c r="G88" s="20" t="str">
        <f>IFERROR(VLOOKUP(H88,KET!$B:$F,5,0),"")</f>
        <v>GMM</v>
      </c>
      <c r="H88" s="56" t="s">
        <v>20</v>
      </c>
      <c r="I88" s="32">
        <v>1063</v>
      </c>
      <c r="J88" s="32">
        <v>1188</v>
      </c>
      <c r="K88" s="32">
        <v>1485</v>
      </c>
      <c r="L88" s="32"/>
      <c r="M88" s="33">
        <f t="shared" si="4"/>
        <v>3736</v>
      </c>
      <c r="N88" s="32">
        <v>1039</v>
      </c>
      <c r="O88" s="32">
        <v>1092</v>
      </c>
      <c r="P88" s="34">
        <v>1368</v>
      </c>
      <c r="Q88" s="32"/>
      <c r="R88" s="33">
        <f t="shared" si="5"/>
        <v>3499</v>
      </c>
    </row>
    <row r="89" spans="1:18" ht="15.75" customHeight="1" x14ac:dyDescent="0.3">
      <c r="A89" s="19">
        <v>25</v>
      </c>
      <c r="B89" s="20" t="str">
        <f t="shared" si="3"/>
        <v>JUN</v>
      </c>
      <c r="C89" s="21">
        <v>46188</v>
      </c>
      <c r="D89" s="20" t="str">
        <f>IFERROR(VLOOKUP(H89,KET!$B:$F,2,0),"")</f>
        <v>GRSM 3A</v>
      </c>
      <c r="E89" s="20" t="str">
        <f>IFERROR(VLOOKUP(H89,KET!$B:$F,3,0),"")</f>
        <v>SUKABUMI</v>
      </c>
      <c r="F89" s="20" t="str">
        <f>IFERROR(VLOOKUP(H89,KET!$B:$F,4,0),"")</f>
        <v>FAHMI LUKMANUL HAKIM</v>
      </c>
      <c r="G89" s="20" t="str">
        <f>IFERROR(VLOOKUP(H89,KET!$B:$F,5,0),"")</f>
        <v>GMM</v>
      </c>
      <c r="H89" s="56" t="s">
        <v>22</v>
      </c>
      <c r="I89" s="32">
        <v>353</v>
      </c>
      <c r="J89" s="32">
        <v>609</v>
      </c>
      <c r="K89" s="32">
        <v>348</v>
      </c>
      <c r="L89" s="32">
        <v>928</v>
      </c>
      <c r="M89" s="33">
        <f t="shared" si="4"/>
        <v>2238</v>
      </c>
      <c r="N89" s="32">
        <v>341</v>
      </c>
      <c r="O89" s="32">
        <v>657</v>
      </c>
      <c r="P89" s="34">
        <v>332</v>
      </c>
      <c r="Q89" s="32">
        <v>883</v>
      </c>
      <c r="R89" s="33">
        <f t="shared" si="5"/>
        <v>2213</v>
      </c>
    </row>
    <row r="90" spans="1:18" ht="15.75" customHeight="1" x14ac:dyDescent="0.3">
      <c r="A90" s="19">
        <v>25</v>
      </c>
      <c r="B90" s="20" t="str">
        <f t="shared" si="3"/>
        <v>JUN</v>
      </c>
      <c r="C90" s="21">
        <v>46188</v>
      </c>
      <c r="D90" s="20" t="str">
        <f>IFERROR(VLOOKUP(H90,KET!$B:$F,2,0),"")</f>
        <v>GRSM 3A</v>
      </c>
      <c r="E90" s="20" t="str">
        <f>IFERROR(VLOOKUP(H90,KET!$B:$F,3,0),"")</f>
        <v>SUKABUMI</v>
      </c>
      <c r="F90" s="20" t="str">
        <f>IFERROR(VLOOKUP(H90,KET!$B:$F,4,0),"")</f>
        <v>FAHMI LUKMANUL HAKIM</v>
      </c>
      <c r="G90" s="20" t="str">
        <f>IFERROR(VLOOKUP(H90,KET!$B:$F,5,0),"")</f>
        <v>GMM</v>
      </c>
      <c r="H90" s="56" t="s">
        <v>22</v>
      </c>
      <c r="I90" s="32">
        <v>353</v>
      </c>
      <c r="J90" s="32">
        <v>609</v>
      </c>
      <c r="K90" s="32">
        <v>348</v>
      </c>
      <c r="L90" s="32">
        <v>928</v>
      </c>
      <c r="M90" s="33">
        <f t="shared" si="4"/>
        <v>2238</v>
      </c>
      <c r="N90" s="32">
        <v>341</v>
      </c>
      <c r="O90" s="32">
        <v>657</v>
      </c>
      <c r="P90" s="34">
        <v>332</v>
      </c>
      <c r="Q90" s="32">
        <v>883</v>
      </c>
      <c r="R90" s="33">
        <f t="shared" si="5"/>
        <v>2213</v>
      </c>
    </row>
    <row r="91" spans="1:18" ht="15.75" customHeight="1" x14ac:dyDescent="0.3">
      <c r="A91" s="19">
        <v>25</v>
      </c>
      <c r="B91" s="20" t="str">
        <f t="shared" si="3"/>
        <v>JUN</v>
      </c>
      <c r="C91" s="21">
        <v>46192</v>
      </c>
      <c r="D91" s="20" t="str">
        <f>IFERROR(VLOOKUP(H91,KET!$B:$F,2,0),"")</f>
        <v>GRSM 4</v>
      </c>
      <c r="E91" s="20" t="str">
        <f>IFERROR(VLOOKUP(H91,KET!$B:$F,3,0),"")</f>
        <v>TASIK</v>
      </c>
      <c r="F91" s="20" t="str">
        <f>IFERROR(VLOOKUP(H91,KET!$B:$F,4,0),"")</f>
        <v>FAHMI LUKMANUL HAKIM</v>
      </c>
      <c r="G91" s="20" t="str">
        <f>IFERROR(VLOOKUP(H91,KET!$B:$F,5,0),"")</f>
        <v>GMM</v>
      </c>
      <c r="H91" s="56" t="s">
        <v>18</v>
      </c>
      <c r="I91" s="32">
        <v>924</v>
      </c>
      <c r="J91" s="32">
        <v>1089</v>
      </c>
      <c r="K91" s="32">
        <v>1035</v>
      </c>
      <c r="L91" s="32">
        <v>1317</v>
      </c>
      <c r="M91" s="33">
        <f t="shared" si="4"/>
        <v>4365</v>
      </c>
      <c r="N91" s="32">
        <v>897</v>
      </c>
      <c r="O91" s="32">
        <v>1026</v>
      </c>
      <c r="P91" s="34">
        <v>981</v>
      </c>
      <c r="Q91" s="32">
        <v>1239</v>
      </c>
      <c r="R91" s="33">
        <f t="shared" si="5"/>
        <v>4143</v>
      </c>
    </row>
    <row r="92" spans="1:18" ht="15.75" customHeight="1" x14ac:dyDescent="0.3">
      <c r="A92" s="19">
        <v>25</v>
      </c>
      <c r="B92" s="20" t="str">
        <f t="shared" si="3"/>
        <v>JUN</v>
      </c>
      <c r="C92" s="21">
        <v>46192</v>
      </c>
      <c r="D92" s="20" t="str">
        <f>IFERROR(VLOOKUP(H92,KET!$B:$F,2,0),"")</f>
        <v>GRSM 4</v>
      </c>
      <c r="E92" s="20" t="str">
        <f>IFERROR(VLOOKUP(H92,KET!$B:$F,3,0),"")</f>
        <v>TASIK</v>
      </c>
      <c r="F92" s="20" t="str">
        <f>IFERROR(VLOOKUP(H92,KET!$B:$F,4,0),"")</f>
        <v>FAHMI LUKMANUL HAKIM</v>
      </c>
      <c r="G92" s="20" t="str">
        <f>IFERROR(VLOOKUP(H92,KET!$B:$F,5,0),"")</f>
        <v>GMM</v>
      </c>
      <c r="H92" s="56" t="s">
        <v>18</v>
      </c>
      <c r="I92" s="32">
        <v>960</v>
      </c>
      <c r="J92" s="32">
        <v>1140</v>
      </c>
      <c r="K92" s="32">
        <v>1080</v>
      </c>
      <c r="L92" s="32">
        <v>1440</v>
      </c>
      <c r="M92" s="33">
        <f t="shared" si="4"/>
        <v>4620</v>
      </c>
      <c r="N92" s="32">
        <v>924</v>
      </c>
      <c r="O92" s="32">
        <v>1089</v>
      </c>
      <c r="P92" s="34">
        <v>1035</v>
      </c>
      <c r="Q92" s="32">
        <v>1317</v>
      </c>
      <c r="R92" s="33">
        <f t="shared" si="5"/>
        <v>4365</v>
      </c>
    </row>
    <row r="93" spans="1:18" ht="15.75" customHeight="1" x14ac:dyDescent="0.3">
      <c r="A93" s="19">
        <v>25</v>
      </c>
      <c r="B93" s="20" t="str">
        <f t="shared" si="3"/>
        <v>JUN</v>
      </c>
      <c r="C93" s="21">
        <v>46192</v>
      </c>
      <c r="D93" s="20" t="str">
        <f>IFERROR(VLOOKUP(H93,KET!$B:$F,2,0),"")</f>
        <v>GRSM 4</v>
      </c>
      <c r="E93" s="20" t="str">
        <f>IFERROR(VLOOKUP(H93,KET!$B:$F,3,0),"")</f>
        <v>TASIK</v>
      </c>
      <c r="F93" s="20" t="str">
        <f>IFERROR(VLOOKUP(H93,KET!$B:$F,4,0),"")</f>
        <v>FAHMI LUKMANUL HAKIM</v>
      </c>
      <c r="G93" s="20" t="str">
        <f>IFERROR(VLOOKUP(H93,KET!$B:$F,5,0),"")</f>
        <v>GMM</v>
      </c>
      <c r="H93" s="56" t="s">
        <v>24</v>
      </c>
      <c r="I93" s="32">
        <v>635</v>
      </c>
      <c r="J93" s="32">
        <v>1676</v>
      </c>
      <c r="K93" s="32">
        <v>754</v>
      </c>
      <c r="L93" s="32">
        <v>2455</v>
      </c>
      <c r="M93" s="33">
        <f t="shared" si="4"/>
        <v>5520</v>
      </c>
      <c r="N93" s="32">
        <v>593</v>
      </c>
      <c r="O93" s="32">
        <v>1628</v>
      </c>
      <c r="P93" s="34">
        <v>706</v>
      </c>
      <c r="Q93" s="32">
        <v>2335</v>
      </c>
      <c r="R93" s="33">
        <f t="shared" si="5"/>
        <v>5262</v>
      </c>
    </row>
    <row r="94" spans="1:18" ht="15.75" customHeight="1" x14ac:dyDescent="0.3">
      <c r="A94" s="19">
        <v>25</v>
      </c>
      <c r="B94" s="20" t="str">
        <f t="shared" si="3"/>
        <v>JUN</v>
      </c>
      <c r="C94" s="21">
        <v>46192</v>
      </c>
      <c r="D94" s="20" t="str">
        <f>IFERROR(VLOOKUP(H94,KET!$B:$F,2,0),"")</f>
        <v>GRSM 4</v>
      </c>
      <c r="E94" s="20" t="str">
        <f>IFERROR(VLOOKUP(H94,KET!$B:$F,3,0),"")</f>
        <v>TASIK</v>
      </c>
      <c r="F94" s="20" t="str">
        <f>IFERROR(VLOOKUP(H94,KET!$B:$F,4,0),"")</f>
        <v>FAHMI LUKMANUL HAKIM</v>
      </c>
      <c r="G94" s="20" t="str">
        <f>IFERROR(VLOOKUP(H94,KET!$B:$F,5,0),"")</f>
        <v>GMM</v>
      </c>
      <c r="H94" s="56" t="s">
        <v>24</v>
      </c>
      <c r="I94" s="32">
        <v>635</v>
      </c>
      <c r="J94" s="32">
        <v>1676</v>
      </c>
      <c r="K94" s="32">
        <v>754</v>
      </c>
      <c r="L94" s="32">
        <v>2455</v>
      </c>
      <c r="M94" s="33">
        <f t="shared" si="4"/>
        <v>5520</v>
      </c>
      <c r="N94" s="32">
        <v>593</v>
      </c>
      <c r="O94" s="32">
        <v>1628</v>
      </c>
      <c r="P94" s="34">
        <v>706</v>
      </c>
      <c r="Q94" s="32">
        <v>2335</v>
      </c>
      <c r="R94" s="33">
        <f t="shared" si="5"/>
        <v>5262</v>
      </c>
    </row>
    <row r="95" spans="1:18" ht="15.75" customHeight="1" x14ac:dyDescent="0.3">
      <c r="A95" s="19">
        <v>25</v>
      </c>
      <c r="B95" s="20" t="str">
        <f t="shared" si="3"/>
        <v>JUN</v>
      </c>
      <c r="C95" s="21">
        <v>46192</v>
      </c>
      <c r="D95" s="20" t="str">
        <f>IFERROR(VLOOKUP(H95,KET!$B:$F,2,0),"")</f>
        <v>GRSM 4</v>
      </c>
      <c r="E95" s="20" t="str">
        <f>IFERROR(VLOOKUP(H95,KET!$B:$F,3,0),"")</f>
        <v>TASIK</v>
      </c>
      <c r="F95" s="20" t="str">
        <f>IFERROR(VLOOKUP(H95,KET!$B:$F,4,0),"")</f>
        <v>FAHMI LUKMANUL HAKIM</v>
      </c>
      <c r="G95" s="20" t="str">
        <f>IFERROR(VLOOKUP(H95,KET!$B:$F,5,0),"")</f>
        <v>GMM</v>
      </c>
      <c r="H95" s="56" t="s">
        <v>20</v>
      </c>
      <c r="I95" s="32">
        <v>932</v>
      </c>
      <c r="J95" s="32">
        <v>1114</v>
      </c>
      <c r="K95" s="32">
        <v>1321</v>
      </c>
      <c r="L95" s="32">
        <v>488</v>
      </c>
      <c r="M95" s="33">
        <f t="shared" si="4"/>
        <v>3855</v>
      </c>
      <c r="N95" s="32">
        <v>897</v>
      </c>
      <c r="O95" s="32">
        <v>1043</v>
      </c>
      <c r="P95" s="34">
        <v>1279</v>
      </c>
      <c r="Q95" s="32">
        <v>406</v>
      </c>
      <c r="R95" s="33">
        <f t="shared" si="5"/>
        <v>3625</v>
      </c>
    </row>
    <row r="96" spans="1:18" ht="15.75" customHeight="1" x14ac:dyDescent="0.3">
      <c r="A96" s="19">
        <v>25</v>
      </c>
      <c r="B96" s="20" t="str">
        <f t="shared" si="3"/>
        <v>JUN</v>
      </c>
      <c r="C96" s="21">
        <v>46192</v>
      </c>
      <c r="D96" s="20" t="str">
        <f>IFERROR(VLOOKUP(H96,KET!$B:$F,2,0),"")</f>
        <v>GRSM 4</v>
      </c>
      <c r="E96" s="20" t="str">
        <f>IFERROR(VLOOKUP(H96,KET!$B:$F,3,0),"")</f>
        <v>TASIK</v>
      </c>
      <c r="F96" s="20" t="str">
        <f>IFERROR(VLOOKUP(H96,KET!$B:$F,4,0),"")</f>
        <v>FAHMI LUKMANUL HAKIM</v>
      </c>
      <c r="G96" s="20" t="str">
        <f>IFERROR(VLOOKUP(H96,KET!$B:$F,5,0),"")</f>
        <v>GMM</v>
      </c>
      <c r="H96" s="56" t="s">
        <v>20</v>
      </c>
      <c r="I96" s="32">
        <v>932</v>
      </c>
      <c r="J96" s="32">
        <v>1114</v>
      </c>
      <c r="K96" s="32">
        <v>1321</v>
      </c>
      <c r="L96" s="32">
        <v>488</v>
      </c>
      <c r="M96" s="33">
        <f t="shared" si="4"/>
        <v>3855</v>
      </c>
      <c r="N96" s="32">
        <v>897</v>
      </c>
      <c r="O96" s="32">
        <v>1043</v>
      </c>
      <c r="P96" s="34">
        <v>1279</v>
      </c>
      <c r="Q96" s="32">
        <v>406</v>
      </c>
      <c r="R96" s="33">
        <f t="shared" si="5"/>
        <v>3625</v>
      </c>
    </row>
    <row r="97" spans="1:18" ht="15.75" customHeight="1" x14ac:dyDescent="0.3">
      <c r="A97" s="19">
        <v>25</v>
      </c>
      <c r="B97" s="20" t="str">
        <f t="shared" si="3"/>
        <v>JUN</v>
      </c>
      <c r="C97" s="21">
        <v>46192</v>
      </c>
      <c r="D97" s="20" t="str">
        <f>IFERROR(VLOOKUP(H97,KET!$B:$F,2,0),"")</f>
        <v>GRSM 4</v>
      </c>
      <c r="E97" s="20" t="str">
        <f>IFERROR(VLOOKUP(H97,KET!$B:$F,3,0),"")</f>
        <v>GARUT</v>
      </c>
      <c r="F97" s="20" t="str">
        <f>IFERROR(VLOOKUP(H97,KET!$B:$F,4,0),"")</f>
        <v>FAHMI LUKMANUL HAKIM</v>
      </c>
      <c r="G97" s="20" t="str">
        <f>IFERROR(VLOOKUP(H97,KET!$B:$F,5,0),"")</f>
        <v>GMM</v>
      </c>
      <c r="H97" s="56" t="s">
        <v>23</v>
      </c>
      <c r="I97" s="32">
        <v>241</v>
      </c>
      <c r="J97" s="32">
        <v>440</v>
      </c>
      <c r="K97" s="32">
        <v>320</v>
      </c>
      <c r="L97" s="32">
        <v>895</v>
      </c>
      <c r="M97" s="33">
        <f t="shared" si="4"/>
        <v>1896</v>
      </c>
      <c r="N97" s="32">
        <v>211</v>
      </c>
      <c r="O97" s="32">
        <v>408</v>
      </c>
      <c r="P97" s="34">
        <v>282</v>
      </c>
      <c r="Q97" s="32">
        <v>815</v>
      </c>
      <c r="R97" s="33">
        <f t="shared" si="5"/>
        <v>1716</v>
      </c>
    </row>
    <row r="98" spans="1:18" ht="15.75" customHeight="1" x14ac:dyDescent="0.3">
      <c r="A98" s="19">
        <v>25</v>
      </c>
      <c r="B98" s="20" t="str">
        <f t="shared" si="3"/>
        <v>JUN</v>
      </c>
      <c r="C98" s="21">
        <v>46192</v>
      </c>
      <c r="D98" s="20" t="str">
        <f>IFERROR(VLOOKUP(H98,KET!$B:$F,2,0),"")</f>
        <v>GRSM 4</v>
      </c>
      <c r="E98" s="20" t="str">
        <f>IFERROR(VLOOKUP(H98,KET!$B:$F,3,0),"")</f>
        <v>GARUT</v>
      </c>
      <c r="F98" s="20" t="str">
        <f>IFERROR(VLOOKUP(H98,KET!$B:$F,4,0),"")</f>
        <v>FAHMI LUKMANUL HAKIM</v>
      </c>
      <c r="G98" s="20" t="str">
        <f>IFERROR(VLOOKUP(H98,KET!$B:$F,5,0),"")</f>
        <v>GMM</v>
      </c>
      <c r="H98" s="56" t="s">
        <v>23</v>
      </c>
      <c r="I98" s="32">
        <v>320</v>
      </c>
      <c r="J98" s="32">
        <v>440</v>
      </c>
      <c r="K98" s="32">
        <v>280</v>
      </c>
      <c r="L98" s="32">
        <v>1760</v>
      </c>
      <c r="M98" s="33">
        <f t="shared" si="4"/>
        <v>2800</v>
      </c>
      <c r="N98" s="32" t="s">
        <v>21</v>
      </c>
      <c r="O98" s="32" t="s">
        <v>21</v>
      </c>
      <c r="P98" s="34" t="s">
        <v>21</v>
      </c>
      <c r="Q98" s="32" t="s">
        <v>21</v>
      </c>
      <c r="R98" s="33">
        <f t="shared" si="5"/>
        <v>0</v>
      </c>
    </row>
    <row r="99" spans="1:18" ht="15.75" customHeight="1" x14ac:dyDescent="0.3">
      <c r="A99" s="19">
        <v>25</v>
      </c>
      <c r="B99" s="20" t="str">
        <f t="shared" si="3"/>
        <v>JUN</v>
      </c>
      <c r="C99" s="21">
        <v>46192</v>
      </c>
      <c r="D99" s="20" t="str">
        <f>IFERROR(VLOOKUP(H99,KET!$B:$F,2,0),"")</f>
        <v>GRSM 4</v>
      </c>
      <c r="E99" s="20" t="str">
        <f>IFERROR(VLOOKUP(H99,KET!$B:$F,3,0),"")</f>
        <v>KUNINGAN</v>
      </c>
      <c r="F99" s="20" t="str">
        <f>IFERROR(VLOOKUP(H99,KET!$B:$F,4,0),"")</f>
        <v>FAHMI LUKMANUL HAKIM</v>
      </c>
      <c r="G99" s="20" t="str">
        <f>IFERROR(VLOOKUP(H99,KET!$B:$F,5,0),"")</f>
        <v>GMM</v>
      </c>
      <c r="H99" s="56" t="s">
        <v>19</v>
      </c>
      <c r="I99" s="32">
        <v>292</v>
      </c>
      <c r="J99" s="32">
        <v>410</v>
      </c>
      <c r="K99" s="32">
        <v>762</v>
      </c>
      <c r="L99" s="32">
        <v>1884</v>
      </c>
      <c r="M99" s="33">
        <f t="shared" si="4"/>
        <v>3348</v>
      </c>
      <c r="N99" s="32">
        <v>292</v>
      </c>
      <c r="O99" s="32">
        <v>410</v>
      </c>
      <c r="P99" s="34">
        <v>695</v>
      </c>
      <c r="Q99" s="32">
        <v>1254</v>
      </c>
      <c r="R99" s="33">
        <f t="shared" si="5"/>
        <v>2651</v>
      </c>
    </row>
    <row r="100" spans="1:18" ht="15.75" customHeight="1" x14ac:dyDescent="0.3">
      <c r="A100" s="19">
        <v>25</v>
      </c>
      <c r="B100" s="20" t="str">
        <f t="shared" si="3"/>
        <v>JUN</v>
      </c>
      <c r="C100" s="21">
        <v>46192</v>
      </c>
      <c r="D100" s="20" t="str">
        <f>IFERROR(VLOOKUP(H100,KET!$B:$F,2,0),"")</f>
        <v>GRSM 4</v>
      </c>
      <c r="E100" s="20" t="str">
        <f>IFERROR(VLOOKUP(H100,KET!$B:$F,3,0),"")</f>
        <v>KUNINGAN</v>
      </c>
      <c r="F100" s="20" t="str">
        <f>IFERROR(VLOOKUP(H100,KET!$B:$F,4,0),"")</f>
        <v>FAHMI LUKMANUL HAKIM</v>
      </c>
      <c r="G100" s="20" t="str">
        <f>IFERROR(VLOOKUP(H100,KET!$B:$F,5,0),"")</f>
        <v>GMM</v>
      </c>
      <c r="H100" s="56" t="s">
        <v>19</v>
      </c>
      <c r="I100" s="32">
        <v>292</v>
      </c>
      <c r="J100" s="32">
        <v>410</v>
      </c>
      <c r="K100" s="34">
        <v>695</v>
      </c>
      <c r="L100" s="34">
        <v>1254</v>
      </c>
      <c r="M100" s="33">
        <f t="shared" si="4"/>
        <v>2651</v>
      </c>
      <c r="N100" s="32">
        <v>246</v>
      </c>
      <c r="O100" s="32">
        <v>335</v>
      </c>
      <c r="P100" s="34">
        <v>645</v>
      </c>
      <c r="Q100" s="34">
        <v>1057</v>
      </c>
      <c r="R100" s="33">
        <f t="shared" si="5"/>
        <v>2283</v>
      </c>
    </row>
    <row r="101" spans="1:18" ht="15.75" customHeight="1" x14ac:dyDescent="0.3">
      <c r="A101" s="19">
        <v>25</v>
      </c>
      <c r="B101" s="20" t="str">
        <f t="shared" si="3"/>
        <v>JUN</v>
      </c>
      <c r="C101" s="21">
        <v>46192</v>
      </c>
      <c r="D101" s="20" t="str">
        <f>IFERROR(VLOOKUP(H101,KET!$B:$F,2,0),"")</f>
        <v>GRSM 4</v>
      </c>
      <c r="E101" s="20" t="str">
        <f>IFERROR(VLOOKUP(H101,KET!$B:$F,3,0),"")</f>
        <v>KUNINGAN</v>
      </c>
      <c r="F101" s="20" t="str">
        <f>IFERROR(VLOOKUP(H101,KET!$B:$F,4,0),"")</f>
        <v>FAHMI LUKMANUL HAKIM</v>
      </c>
      <c r="G101" s="20" t="str">
        <f>IFERROR(VLOOKUP(H101,KET!$B:$F,5,0),"")</f>
        <v>GMM</v>
      </c>
      <c r="H101" s="56" t="s">
        <v>25</v>
      </c>
      <c r="I101" s="32">
        <v>1177</v>
      </c>
      <c r="J101" s="32">
        <v>409</v>
      </c>
      <c r="K101" s="32">
        <v>1155</v>
      </c>
      <c r="L101" s="32">
        <v>865</v>
      </c>
      <c r="M101" s="33">
        <f t="shared" si="4"/>
        <v>3606</v>
      </c>
      <c r="N101" s="32">
        <v>1099</v>
      </c>
      <c r="O101" s="32">
        <v>242</v>
      </c>
      <c r="P101" s="34">
        <v>1077</v>
      </c>
      <c r="Q101" s="32">
        <v>641</v>
      </c>
      <c r="R101" s="33">
        <f t="shared" si="5"/>
        <v>3059</v>
      </c>
    </row>
    <row r="102" spans="1:18" ht="15.75" customHeight="1" x14ac:dyDescent="0.3">
      <c r="A102" s="19">
        <v>25</v>
      </c>
      <c r="B102" s="20" t="str">
        <f t="shared" si="3"/>
        <v>JUN</v>
      </c>
      <c r="C102" s="21">
        <v>46192</v>
      </c>
      <c r="D102" s="20" t="str">
        <f>IFERROR(VLOOKUP(H102,KET!$B:$F,2,0),"")</f>
        <v>GRSM 4</v>
      </c>
      <c r="E102" s="20" t="str">
        <f>IFERROR(VLOOKUP(H102,KET!$B:$F,3,0),"")</f>
        <v>KUNINGAN</v>
      </c>
      <c r="F102" s="20" t="str">
        <f>IFERROR(VLOOKUP(H102,KET!$B:$F,4,0),"")</f>
        <v>FAHMI LUKMANUL HAKIM</v>
      </c>
      <c r="G102" s="20" t="str">
        <f>IFERROR(VLOOKUP(H102,KET!$B:$F,5,0),"")</f>
        <v>GMM</v>
      </c>
      <c r="H102" s="56" t="s">
        <v>25</v>
      </c>
      <c r="I102" s="32">
        <v>1177</v>
      </c>
      <c r="J102" s="32">
        <v>409</v>
      </c>
      <c r="K102" s="32">
        <v>1155</v>
      </c>
      <c r="L102" s="32">
        <v>865</v>
      </c>
      <c r="M102" s="33">
        <f t="shared" si="4"/>
        <v>3606</v>
      </c>
      <c r="N102" s="32">
        <v>1099</v>
      </c>
      <c r="O102" s="32">
        <v>242</v>
      </c>
      <c r="P102" s="34">
        <v>1077</v>
      </c>
      <c r="Q102" s="32">
        <v>641</v>
      </c>
      <c r="R102" s="33">
        <f t="shared" si="5"/>
        <v>3059</v>
      </c>
    </row>
    <row r="103" spans="1:18" ht="15.75" customHeight="1" x14ac:dyDescent="0.3">
      <c r="A103" s="19">
        <v>25</v>
      </c>
      <c r="B103" s="20" t="str">
        <f t="shared" si="3"/>
        <v>JUN</v>
      </c>
      <c r="C103" s="21">
        <v>46192</v>
      </c>
      <c r="D103" s="20" t="str">
        <f>IFERROR(VLOOKUP(H103,KET!$B:$F,2,0),"")</f>
        <v>GRSM 3A</v>
      </c>
      <c r="E103" s="20" t="str">
        <f>IFERROR(VLOOKUP(H103,KET!$B:$F,3,0),"")</f>
        <v>SUKABUMI</v>
      </c>
      <c r="F103" s="20" t="str">
        <f>IFERROR(VLOOKUP(H103,KET!$B:$F,4,0),"")</f>
        <v>FAHMI LUKMANUL HAKIM</v>
      </c>
      <c r="G103" s="20" t="str">
        <f>IFERROR(VLOOKUP(H103,KET!$B:$F,5,0),"")</f>
        <v>GMM</v>
      </c>
      <c r="H103" s="56" t="s">
        <v>22</v>
      </c>
      <c r="I103" s="32">
        <v>267</v>
      </c>
      <c r="J103" s="32">
        <v>790</v>
      </c>
      <c r="K103" s="32">
        <v>614</v>
      </c>
      <c r="L103" s="32">
        <v>568</v>
      </c>
      <c r="M103" s="33">
        <f t="shared" si="4"/>
        <v>2239</v>
      </c>
      <c r="N103" s="32">
        <v>255</v>
      </c>
      <c r="O103" s="32">
        <v>775</v>
      </c>
      <c r="P103" s="34">
        <v>601</v>
      </c>
      <c r="Q103" s="32">
        <v>543</v>
      </c>
      <c r="R103" s="33">
        <f t="shared" si="5"/>
        <v>2174</v>
      </c>
    </row>
    <row r="104" spans="1:18" ht="15.75" customHeight="1" x14ac:dyDescent="0.3">
      <c r="A104" s="19">
        <v>25</v>
      </c>
      <c r="B104" s="20" t="str">
        <f t="shared" si="3"/>
        <v>JUN</v>
      </c>
      <c r="C104" s="21">
        <v>46192</v>
      </c>
      <c r="D104" s="20" t="str">
        <f>IFERROR(VLOOKUP(H104,KET!$B:$F,2,0),"")</f>
        <v>GRSM 3A</v>
      </c>
      <c r="E104" s="20" t="str">
        <f>IFERROR(VLOOKUP(H104,KET!$B:$F,3,0),"")</f>
        <v>SUKABUMI</v>
      </c>
      <c r="F104" s="20" t="str">
        <f>IFERROR(VLOOKUP(H104,KET!$B:$F,4,0),"")</f>
        <v>FAHMI LUKMANUL HAKIM</v>
      </c>
      <c r="G104" s="20" t="str">
        <f>IFERROR(VLOOKUP(H104,KET!$B:$F,5,0),"")</f>
        <v>GMM</v>
      </c>
      <c r="H104" s="56" t="s">
        <v>22</v>
      </c>
      <c r="I104" s="32">
        <v>267</v>
      </c>
      <c r="J104" s="32">
        <v>790</v>
      </c>
      <c r="K104" s="32">
        <v>614</v>
      </c>
      <c r="L104" s="32">
        <v>568</v>
      </c>
      <c r="M104" s="33">
        <f t="shared" si="4"/>
        <v>2239</v>
      </c>
      <c r="N104" s="32">
        <v>255</v>
      </c>
      <c r="O104" s="32">
        <v>775</v>
      </c>
      <c r="P104" s="34">
        <v>601</v>
      </c>
      <c r="Q104" s="32">
        <v>543</v>
      </c>
      <c r="R104" s="33">
        <f t="shared" si="5"/>
        <v>2174</v>
      </c>
    </row>
    <row r="105" spans="1:18" ht="15.75" customHeight="1" x14ac:dyDescent="0.3">
      <c r="A105" s="19">
        <v>25</v>
      </c>
      <c r="B105" s="20" t="str">
        <f t="shared" si="3"/>
        <v>JUN</v>
      </c>
      <c r="C105" s="21">
        <v>46192</v>
      </c>
      <c r="D105" s="20" t="str">
        <f>IFERROR(VLOOKUP(H105,KET!$B:$F,2,0),"")</f>
        <v>GRSM 4</v>
      </c>
      <c r="E105" s="20" t="str">
        <f>IFERROR(VLOOKUP(H105,KET!$B:$F,3,0),"")</f>
        <v>BANDUNG</v>
      </c>
      <c r="F105" s="20" t="str">
        <f>IFERROR(VLOOKUP(H105,KET!$B:$F,4,0),"")</f>
        <v>FAHMI LUKMANUL HAKIM</v>
      </c>
      <c r="G105" s="20" t="str">
        <f>IFERROR(VLOOKUP(H105,KET!$B:$F,5,0),"")</f>
        <v>NKA</v>
      </c>
      <c r="H105" s="56" t="s">
        <v>26</v>
      </c>
      <c r="I105" s="32">
        <v>385</v>
      </c>
      <c r="J105" s="32">
        <v>1160</v>
      </c>
      <c r="K105" s="32">
        <v>675</v>
      </c>
      <c r="L105" s="32">
        <v>3860</v>
      </c>
      <c r="M105" s="33">
        <f t="shared" si="4"/>
        <v>6080</v>
      </c>
      <c r="N105" s="32">
        <v>365</v>
      </c>
      <c r="O105" s="32">
        <v>1040</v>
      </c>
      <c r="P105" s="34">
        <v>585</v>
      </c>
      <c r="Q105" s="32">
        <v>3730</v>
      </c>
      <c r="R105" s="33">
        <f t="shared" si="5"/>
        <v>5720</v>
      </c>
    </row>
    <row r="106" spans="1:18" ht="15.75" customHeight="1" x14ac:dyDescent="0.3">
      <c r="A106" s="19">
        <v>25</v>
      </c>
      <c r="B106" s="20" t="str">
        <f t="shared" si="3"/>
        <v>JUN</v>
      </c>
      <c r="C106" s="21">
        <v>46192</v>
      </c>
      <c r="D106" s="20" t="str">
        <f>IFERROR(VLOOKUP(H106,KET!$B:$F,2,0),"")</f>
        <v>GRSM 4</v>
      </c>
      <c r="E106" s="20" t="str">
        <f>IFERROR(VLOOKUP(H106,KET!$B:$F,3,0),"")</f>
        <v>BANDUNG</v>
      </c>
      <c r="F106" s="20" t="str">
        <f>IFERROR(VLOOKUP(H106,KET!$B:$F,4,0),"")</f>
        <v>FAHMI LUKMANUL HAKIM</v>
      </c>
      <c r="G106" s="20" t="str">
        <f>IFERROR(VLOOKUP(H106,KET!$B:$F,5,0),"")</f>
        <v>NKA</v>
      </c>
      <c r="H106" s="56" t="s">
        <v>26</v>
      </c>
      <c r="I106" s="32">
        <v>385</v>
      </c>
      <c r="J106" s="32">
        <v>1160</v>
      </c>
      <c r="K106" s="32">
        <v>675</v>
      </c>
      <c r="L106" s="32">
        <v>3860</v>
      </c>
      <c r="M106" s="33">
        <f t="shared" si="4"/>
        <v>6080</v>
      </c>
      <c r="N106" s="32">
        <v>365</v>
      </c>
      <c r="O106" s="32">
        <v>1040</v>
      </c>
      <c r="P106" s="34">
        <v>585</v>
      </c>
      <c r="Q106" s="32">
        <v>3730</v>
      </c>
      <c r="R106" s="33">
        <f t="shared" si="5"/>
        <v>5720</v>
      </c>
    </row>
    <row r="107" spans="1:18" ht="15.75" customHeight="1" x14ac:dyDescent="0.3">
      <c r="A107" s="19">
        <v>25</v>
      </c>
      <c r="B107" s="20" t="str">
        <f t="shared" si="3"/>
        <v>JUN</v>
      </c>
      <c r="C107" s="21">
        <v>46192</v>
      </c>
      <c r="D107" s="20" t="str">
        <f>IFERROR(VLOOKUP(H107,KET!$B:$F,2,0),"")</f>
        <v>GRSM 4</v>
      </c>
      <c r="E107" s="20" t="str">
        <f>IFERROR(VLOOKUP(H107,KET!$B:$F,3,0),"")</f>
        <v>MAJALAYA</v>
      </c>
      <c r="F107" s="20" t="str">
        <f>IFERROR(VLOOKUP(H107,KET!$B:$F,4,0),"")</f>
        <v>FAHMI LUKMANUL HAKIM</v>
      </c>
      <c r="G107" s="20" t="str">
        <f>IFERROR(VLOOKUP(H107,KET!$B:$F,5,0),"")</f>
        <v>GMM</v>
      </c>
      <c r="H107" s="56" t="s">
        <v>27</v>
      </c>
      <c r="I107" s="32">
        <v>780</v>
      </c>
      <c r="J107" s="32">
        <v>1080</v>
      </c>
      <c r="K107" s="32">
        <v>1200</v>
      </c>
      <c r="L107" s="32">
        <v>1320</v>
      </c>
      <c r="M107" s="33">
        <f t="shared" si="4"/>
        <v>4380</v>
      </c>
      <c r="N107" s="32">
        <v>743</v>
      </c>
      <c r="O107" s="32">
        <v>1045</v>
      </c>
      <c r="P107" s="34">
        <v>1140</v>
      </c>
      <c r="Q107" s="32">
        <v>1190</v>
      </c>
      <c r="R107" s="33">
        <f t="shared" si="5"/>
        <v>4118</v>
      </c>
    </row>
    <row r="108" spans="1:18" ht="15.75" customHeight="1" x14ac:dyDescent="0.3">
      <c r="A108" s="19">
        <v>25</v>
      </c>
      <c r="B108" s="20" t="str">
        <f t="shared" si="3"/>
        <v>JUN</v>
      </c>
      <c r="C108" s="21">
        <v>46192</v>
      </c>
      <c r="D108" s="20" t="str">
        <f>IFERROR(VLOOKUP(H108,KET!$B:$F,2,0),"")</f>
        <v>GRSM 4</v>
      </c>
      <c r="E108" s="20" t="str">
        <f>IFERROR(VLOOKUP(H108,KET!$B:$F,3,0),"")</f>
        <v>MAJALAYA</v>
      </c>
      <c r="F108" s="20" t="str">
        <f>IFERROR(VLOOKUP(H108,KET!$B:$F,4,0),"")</f>
        <v>FAHMI LUKMANUL HAKIM</v>
      </c>
      <c r="G108" s="20" t="str">
        <f>IFERROR(VLOOKUP(H108,KET!$B:$F,5,0),"")</f>
        <v>GMM</v>
      </c>
      <c r="H108" s="56" t="s">
        <v>27</v>
      </c>
      <c r="I108" s="32">
        <v>780</v>
      </c>
      <c r="J108" s="32">
        <v>1080</v>
      </c>
      <c r="K108" s="32">
        <v>1200</v>
      </c>
      <c r="L108" s="32">
        <v>1320</v>
      </c>
      <c r="M108" s="33">
        <f t="shared" si="4"/>
        <v>4380</v>
      </c>
      <c r="N108" s="32">
        <v>745</v>
      </c>
      <c r="O108" s="32">
        <v>1040</v>
      </c>
      <c r="P108" s="34">
        <v>1150</v>
      </c>
      <c r="Q108" s="32">
        <v>1155</v>
      </c>
      <c r="R108" s="33">
        <f t="shared" si="5"/>
        <v>4090</v>
      </c>
    </row>
    <row r="109" spans="1:18" ht="15.75" customHeight="1" x14ac:dyDescent="0.3">
      <c r="A109" s="19">
        <v>25</v>
      </c>
      <c r="B109" s="20" t="str">
        <f t="shared" si="3"/>
        <v>JUN</v>
      </c>
      <c r="C109" s="21">
        <v>46193</v>
      </c>
      <c r="D109" s="20" t="str">
        <f>IFERROR(VLOOKUP(H109,KET!$B:$F,2,0),"")</f>
        <v>GRSM 4</v>
      </c>
      <c r="E109" s="20" t="str">
        <f>IFERROR(VLOOKUP(H109,KET!$B:$F,3,0),"")</f>
        <v>TASIK</v>
      </c>
      <c r="F109" s="20" t="str">
        <f>IFERROR(VLOOKUP(H109,KET!$B:$F,4,0),"")</f>
        <v>FAHMI LUKMANUL HAKIM</v>
      </c>
      <c r="G109" s="20" t="str">
        <f>IFERROR(VLOOKUP(H109,KET!$B:$F,5,0),"")</f>
        <v>GMM</v>
      </c>
      <c r="H109" s="56" t="s">
        <v>18</v>
      </c>
      <c r="I109" s="32">
        <v>864</v>
      </c>
      <c r="J109" s="32">
        <v>969</v>
      </c>
      <c r="K109" s="32">
        <v>933</v>
      </c>
      <c r="L109" s="32">
        <v>1152</v>
      </c>
      <c r="M109" s="33">
        <f t="shared" si="4"/>
        <v>3918</v>
      </c>
      <c r="N109" s="32">
        <v>828</v>
      </c>
      <c r="O109" s="32">
        <v>912</v>
      </c>
      <c r="P109" s="34">
        <v>870</v>
      </c>
      <c r="Q109" s="32">
        <v>1056</v>
      </c>
      <c r="R109" s="33">
        <f t="shared" si="5"/>
        <v>3666</v>
      </c>
    </row>
    <row r="110" spans="1:18" ht="15.75" customHeight="1" x14ac:dyDescent="0.3">
      <c r="A110" s="19">
        <v>25</v>
      </c>
      <c r="B110" s="20" t="str">
        <f t="shared" si="3"/>
        <v>JUN</v>
      </c>
      <c r="C110" s="21">
        <v>46193</v>
      </c>
      <c r="D110" s="20" t="str">
        <f>IFERROR(VLOOKUP(H110,KET!$B:$F,2,0),"")</f>
        <v>GRSM 4</v>
      </c>
      <c r="E110" s="20" t="str">
        <f>IFERROR(VLOOKUP(H110,KET!$B:$F,3,0),"")</f>
        <v>TASIK</v>
      </c>
      <c r="F110" s="20" t="str">
        <f>IFERROR(VLOOKUP(H110,KET!$B:$F,4,0),"")</f>
        <v>FAHMI LUKMANUL HAKIM</v>
      </c>
      <c r="G110" s="20" t="str">
        <f>IFERROR(VLOOKUP(H110,KET!$B:$F,5,0),"")</f>
        <v>GMM</v>
      </c>
      <c r="H110" s="56" t="s">
        <v>18</v>
      </c>
      <c r="I110" s="32">
        <v>897</v>
      </c>
      <c r="J110" s="32">
        <v>1026</v>
      </c>
      <c r="K110" s="32">
        <v>981</v>
      </c>
      <c r="L110" s="32">
        <v>1239</v>
      </c>
      <c r="M110" s="33">
        <f t="shared" si="4"/>
        <v>4143</v>
      </c>
      <c r="N110" s="32">
        <v>864</v>
      </c>
      <c r="O110" s="32">
        <v>969</v>
      </c>
      <c r="P110" s="34">
        <v>933</v>
      </c>
      <c r="Q110" s="32">
        <v>1152</v>
      </c>
      <c r="R110" s="33">
        <f t="shared" si="5"/>
        <v>3918</v>
      </c>
    </row>
    <row r="111" spans="1:18" ht="15.75" customHeight="1" x14ac:dyDescent="0.3">
      <c r="A111" s="19">
        <v>25</v>
      </c>
      <c r="B111" s="20" t="str">
        <f t="shared" si="3"/>
        <v>JUN</v>
      </c>
      <c r="C111" s="21">
        <v>46193</v>
      </c>
      <c r="D111" s="20" t="str">
        <f>IFERROR(VLOOKUP(H111,KET!$B:$F,2,0),"")</f>
        <v>GRSM 4</v>
      </c>
      <c r="E111" s="20" t="str">
        <f>IFERROR(VLOOKUP(H111,KET!$B:$F,3,0),"")</f>
        <v>TASIK</v>
      </c>
      <c r="F111" s="20" t="str">
        <f>IFERROR(VLOOKUP(H111,KET!$B:$F,4,0),"")</f>
        <v>FAHMI LUKMANUL HAKIM</v>
      </c>
      <c r="G111" s="20" t="str">
        <f>IFERROR(VLOOKUP(H111,KET!$B:$F,5,0),"")</f>
        <v>GMM</v>
      </c>
      <c r="H111" s="56" t="s">
        <v>24</v>
      </c>
      <c r="I111" s="32">
        <v>557</v>
      </c>
      <c r="J111" s="32">
        <v>1580</v>
      </c>
      <c r="K111" s="32">
        <v>658</v>
      </c>
      <c r="L111" s="32">
        <v>2215</v>
      </c>
      <c r="M111" s="33">
        <f t="shared" si="4"/>
        <v>5010</v>
      </c>
      <c r="N111" s="32">
        <v>550</v>
      </c>
      <c r="O111" s="32">
        <v>1532</v>
      </c>
      <c r="P111" s="34">
        <v>604</v>
      </c>
      <c r="Q111" s="32">
        <v>2083</v>
      </c>
      <c r="R111" s="33">
        <f t="shared" si="5"/>
        <v>4769</v>
      </c>
    </row>
    <row r="112" spans="1:18" ht="15.75" customHeight="1" x14ac:dyDescent="0.3">
      <c r="A112" s="19">
        <v>25</v>
      </c>
      <c r="B112" s="20" t="str">
        <f t="shared" si="3"/>
        <v>JUN</v>
      </c>
      <c r="C112" s="21">
        <v>46193</v>
      </c>
      <c r="D112" s="20" t="str">
        <f>IFERROR(VLOOKUP(H112,KET!$B:$F,2,0),"")</f>
        <v>GRSM 4</v>
      </c>
      <c r="E112" s="20" t="str">
        <f>IFERROR(VLOOKUP(H112,KET!$B:$F,3,0),"")</f>
        <v>TASIK</v>
      </c>
      <c r="F112" s="20" t="str">
        <f>IFERROR(VLOOKUP(H112,KET!$B:$F,4,0),"")</f>
        <v>FAHMI LUKMANUL HAKIM</v>
      </c>
      <c r="G112" s="20" t="str">
        <f>IFERROR(VLOOKUP(H112,KET!$B:$F,5,0),"")</f>
        <v>GMM</v>
      </c>
      <c r="H112" s="56" t="s">
        <v>24</v>
      </c>
      <c r="I112" s="32">
        <v>550</v>
      </c>
      <c r="J112" s="32">
        <v>1532</v>
      </c>
      <c r="K112" s="32">
        <v>604</v>
      </c>
      <c r="L112" s="32">
        <v>2083</v>
      </c>
      <c r="M112" s="33">
        <f t="shared" si="4"/>
        <v>4769</v>
      </c>
      <c r="N112" s="32">
        <v>508</v>
      </c>
      <c r="O112" s="32">
        <v>1490</v>
      </c>
      <c r="P112" s="34">
        <v>544</v>
      </c>
      <c r="Q112" s="32">
        <v>1963</v>
      </c>
      <c r="R112" s="33">
        <f t="shared" si="5"/>
        <v>4505</v>
      </c>
    </row>
    <row r="113" spans="1:18" ht="15.75" customHeight="1" x14ac:dyDescent="0.3">
      <c r="A113" s="19">
        <v>25</v>
      </c>
      <c r="B113" s="20" t="str">
        <f t="shared" si="3"/>
        <v>JUN</v>
      </c>
      <c r="C113" s="21">
        <v>46193</v>
      </c>
      <c r="D113" s="20" t="str">
        <f>IFERROR(VLOOKUP(H113,KET!$B:$F,2,0),"")</f>
        <v>GRSM 4</v>
      </c>
      <c r="E113" s="20" t="str">
        <f>IFERROR(VLOOKUP(H113,KET!$B:$F,3,0),"")</f>
        <v>TASIK</v>
      </c>
      <c r="F113" s="20" t="str">
        <f>IFERROR(VLOOKUP(H113,KET!$B:$F,4,0),"")</f>
        <v>FAHMI LUKMANUL HAKIM</v>
      </c>
      <c r="G113" s="20" t="str">
        <f>IFERROR(VLOOKUP(H113,KET!$B:$F,5,0),"")</f>
        <v>GMM</v>
      </c>
      <c r="H113" s="56" t="s">
        <v>20</v>
      </c>
      <c r="I113" s="32">
        <v>828</v>
      </c>
      <c r="J113" s="32">
        <v>1174</v>
      </c>
      <c r="K113" s="32">
        <v>923</v>
      </c>
      <c r="L113" s="32">
        <v>238</v>
      </c>
      <c r="M113" s="33">
        <f t="shared" si="4"/>
        <v>3163</v>
      </c>
      <c r="N113" s="32">
        <v>795</v>
      </c>
      <c r="O113" s="32">
        <v>1105</v>
      </c>
      <c r="P113" s="34">
        <v>869</v>
      </c>
      <c r="Q113" s="32">
        <v>168</v>
      </c>
      <c r="R113" s="33">
        <f t="shared" si="5"/>
        <v>2937</v>
      </c>
    </row>
    <row r="114" spans="1:18" ht="15.75" customHeight="1" x14ac:dyDescent="0.3">
      <c r="A114" s="19">
        <v>25</v>
      </c>
      <c r="B114" s="20" t="str">
        <f t="shared" si="3"/>
        <v>JUN</v>
      </c>
      <c r="C114" s="21">
        <v>46193</v>
      </c>
      <c r="D114" s="20" t="str">
        <f>IFERROR(VLOOKUP(H114,KET!$B:$F,2,0),"")</f>
        <v>GRSM 4</v>
      </c>
      <c r="E114" s="20" t="str">
        <f>IFERROR(VLOOKUP(H114,KET!$B:$F,3,0),"")</f>
        <v>TASIK</v>
      </c>
      <c r="F114" s="20" t="str">
        <f>IFERROR(VLOOKUP(H114,KET!$B:$F,4,0),"")</f>
        <v>FAHMI LUKMANUL HAKIM</v>
      </c>
      <c r="G114" s="20" t="str">
        <f>IFERROR(VLOOKUP(H114,KET!$B:$F,5,0),"")</f>
        <v>GMM</v>
      </c>
      <c r="H114" s="56" t="s">
        <v>20</v>
      </c>
      <c r="I114" s="32">
        <v>828</v>
      </c>
      <c r="J114" s="32">
        <v>1174</v>
      </c>
      <c r="K114" s="32">
        <v>923</v>
      </c>
      <c r="L114" s="32">
        <v>238</v>
      </c>
      <c r="M114" s="33">
        <f t="shared" si="4"/>
        <v>3163</v>
      </c>
      <c r="N114" s="32">
        <v>795</v>
      </c>
      <c r="O114" s="32">
        <v>1105</v>
      </c>
      <c r="P114" s="34">
        <v>869</v>
      </c>
      <c r="Q114" s="32">
        <v>168</v>
      </c>
      <c r="R114" s="33">
        <f t="shared" si="5"/>
        <v>2937</v>
      </c>
    </row>
    <row r="115" spans="1:18" ht="15.75" customHeight="1" x14ac:dyDescent="0.3">
      <c r="A115" s="19">
        <v>25</v>
      </c>
      <c r="B115" s="20" t="str">
        <f t="shared" si="3"/>
        <v>JUN</v>
      </c>
      <c r="C115" s="21">
        <v>46193</v>
      </c>
      <c r="D115" s="20" t="str">
        <f>IFERROR(VLOOKUP(H115,KET!$B:$F,2,0),"")</f>
        <v>GRSM 4</v>
      </c>
      <c r="E115" s="20" t="str">
        <f>IFERROR(VLOOKUP(H115,KET!$B:$F,3,0),"")</f>
        <v>GARUT</v>
      </c>
      <c r="F115" s="20" t="str">
        <f>IFERROR(VLOOKUP(H115,KET!$B:$F,4,0),"")</f>
        <v>FAHMI LUKMANUL HAKIM</v>
      </c>
      <c r="G115" s="20" t="str">
        <f>IFERROR(VLOOKUP(H115,KET!$B:$F,5,0),"")</f>
        <v>GMM</v>
      </c>
      <c r="H115" s="56" t="s">
        <v>23</v>
      </c>
      <c r="I115" s="32">
        <v>211</v>
      </c>
      <c r="J115" s="32">
        <v>408</v>
      </c>
      <c r="K115" s="32">
        <v>282</v>
      </c>
      <c r="L115" s="32">
        <v>815</v>
      </c>
      <c r="M115" s="33">
        <f t="shared" si="4"/>
        <v>1716</v>
      </c>
      <c r="N115" s="32">
        <v>141</v>
      </c>
      <c r="O115" s="32">
        <v>358</v>
      </c>
      <c r="P115" s="34">
        <v>219</v>
      </c>
      <c r="Q115" s="32">
        <v>722</v>
      </c>
      <c r="R115" s="33">
        <f t="shared" si="5"/>
        <v>1440</v>
      </c>
    </row>
    <row r="116" spans="1:18" ht="15.75" customHeight="1" x14ac:dyDescent="0.3">
      <c r="A116" s="19">
        <v>25</v>
      </c>
      <c r="B116" s="20" t="str">
        <f t="shared" si="3"/>
        <v>JUN</v>
      </c>
      <c r="C116" s="21">
        <v>46193</v>
      </c>
      <c r="D116" s="20" t="str">
        <f>IFERROR(VLOOKUP(H116,KET!$B:$F,2,0),"")</f>
        <v>GRSM 4</v>
      </c>
      <c r="E116" s="20" t="str">
        <f>IFERROR(VLOOKUP(H116,KET!$B:$F,3,0),"")</f>
        <v>GARUT</v>
      </c>
      <c r="F116" s="20" t="str">
        <f>IFERROR(VLOOKUP(H116,KET!$B:$F,4,0),"")</f>
        <v>FAHMI LUKMANUL HAKIM</v>
      </c>
      <c r="G116" s="20" t="str">
        <f>IFERROR(VLOOKUP(H116,KET!$B:$F,5,0),"")</f>
        <v>GMM</v>
      </c>
      <c r="H116" s="56" t="s">
        <v>23</v>
      </c>
      <c r="I116" s="32">
        <v>287</v>
      </c>
      <c r="J116" s="32">
        <v>408</v>
      </c>
      <c r="K116" s="32">
        <v>241</v>
      </c>
      <c r="L116" s="32">
        <v>1677</v>
      </c>
      <c r="M116" s="33">
        <f t="shared" si="4"/>
        <v>2613</v>
      </c>
      <c r="N116" s="32">
        <v>214</v>
      </c>
      <c r="O116" s="32">
        <v>355</v>
      </c>
      <c r="P116" s="34">
        <v>173</v>
      </c>
      <c r="Q116" s="32">
        <v>1570</v>
      </c>
      <c r="R116" s="33">
        <f t="shared" si="5"/>
        <v>2312</v>
      </c>
    </row>
    <row r="117" spans="1:18" ht="15.75" customHeight="1" x14ac:dyDescent="0.3">
      <c r="A117" s="19">
        <v>25</v>
      </c>
      <c r="B117" s="20" t="str">
        <f t="shared" si="3"/>
        <v>JUN</v>
      </c>
      <c r="C117" s="21">
        <v>46193</v>
      </c>
      <c r="D117" s="20" t="str">
        <f>IFERROR(VLOOKUP(H117,KET!$B:$F,2,0),"")</f>
        <v>GRSM 4</v>
      </c>
      <c r="E117" s="20" t="str">
        <f>IFERROR(VLOOKUP(H117,KET!$B:$F,3,0),"")</f>
        <v>KUNINGAN</v>
      </c>
      <c r="F117" s="20" t="str">
        <f>IFERROR(VLOOKUP(H117,KET!$B:$F,4,0),"")</f>
        <v>FAHMI LUKMANUL HAKIM</v>
      </c>
      <c r="G117" s="20" t="str">
        <f>IFERROR(VLOOKUP(H117,KET!$B:$F,5,0),"")</f>
        <v>GMM</v>
      </c>
      <c r="H117" s="56" t="s">
        <v>19</v>
      </c>
      <c r="I117" s="32">
        <v>245</v>
      </c>
      <c r="J117" s="32">
        <v>345</v>
      </c>
      <c r="K117" s="32">
        <v>629</v>
      </c>
      <c r="L117" s="32">
        <v>848</v>
      </c>
      <c r="M117" s="33">
        <f t="shared" si="4"/>
        <v>2067</v>
      </c>
      <c r="N117" s="32">
        <v>204</v>
      </c>
      <c r="O117" s="32">
        <v>302</v>
      </c>
      <c r="P117" s="34">
        <v>574</v>
      </c>
      <c r="Q117" s="32">
        <v>653</v>
      </c>
      <c r="R117" s="33">
        <f t="shared" si="5"/>
        <v>1733</v>
      </c>
    </row>
    <row r="118" spans="1:18" ht="15.75" customHeight="1" x14ac:dyDescent="0.3">
      <c r="A118" s="19">
        <v>25</v>
      </c>
      <c r="B118" s="20" t="str">
        <f t="shared" si="3"/>
        <v>JUN</v>
      </c>
      <c r="C118" s="21">
        <v>46193</v>
      </c>
      <c r="D118" s="20" t="str">
        <f>IFERROR(VLOOKUP(H118,KET!$B:$F,2,0),"")</f>
        <v>GRSM 4</v>
      </c>
      <c r="E118" s="20" t="str">
        <f>IFERROR(VLOOKUP(H118,KET!$B:$F,3,0),"")</f>
        <v>KUNINGAN</v>
      </c>
      <c r="F118" s="20" t="str">
        <f>IFERROR(VLOOKUP(H118,KET!$B:$F,4,0),"")</f>
        <v>FAHMI LUKMANUL HAKIM</v>
      </c>
      <c r="G118" s="20" t="str">
        <f>IFERROR(VLOOKUP(H118,KET!$B:$F,5,0),"")</f>
        <v>GMM</v>
      </c>
      <c r="H118" s="56" t="s">
        <v>19</v>
      </c>
      <c r="I118" s="32">
        <v>292</v>
      </c>
      <c r="J118" s="32">
        <v>410</v>
      </c>
      <c r="K118" s="32">
        <v>695</v>
      </c>
      <c r="L118" s="32">
        <v>1254</v>
      </c>
      <c r="M118" s="33">
        <f t="shared" si="4"/>
        <v>2651</v>
      </c>
      <c r="N118" s="32">
        <v>245</v>
      </c>
      <c r="O118" s="32">
        <v>345</v>
      </c>
      <c r="P118" s="34">
        <v>629</v>
      </c>
      <c r="Q118" s="32">
        <v>848</v>
      </c>
      <c r="R118" s="33">
        <f t="shared" si="5"/>
        <v>2067</v>
      </c>
    </row>
    <row r="119" spans="1:18" ht="15.75" customHeight="1" x14ac:dyDescent="0.3">
      <c r="A119" s="19">
        <v>25</v>
      </c>
      <c r="B119" s="20" t="str">
        <f t="shared" si="3"/>
        <v>JUN</v>
      </c>
      <c r="C119" s="21">
        <v>46193</v>
      </c>
      <c r="D119" s="20" t="str">
        <f>IFERROR(VLOOKUP(H119,KET!$B:$F,2,0),"")</f>
        <v>GRSM 4</v>
      </c>
      <c r="E119" s="20" t="str">
        <f>IFERROR(VLOOKUP(H119,KET!$B:$F,3,0),"")</f>
        <v>KUNINGAN</v>
      </c>
      <c r="F119" s="20" t="str">
        <f>IFERROR(VLOOKUP(H119,KET!$B:$F,4,0),"")</f>
        <v>FAHMI LUKMANUL HAKIM</v>
      </c>
      <c r="G119" s="20" t="str">
        <f>IFERROR(VLOOKUP(H119,KET!$B:$F,5,0),"")</f>
        <v>GMM</v>
      </c>
      <c r="H119" s="56" t="s">
        <v>25</v>
      </c>
      <c r="I119" s="32">
        <v>1099</v>
      </c>
      <c r="J119" s="32">
        <v>242</v>
      </c>
      <c r="K119" s="32">
        <v>1077</v>
      </c>
      <c r="L119" s="32">
        <v>641</v>
      </c>
      <c r="M119" s="33">
        <f t="shared" si="4"/>
        <v>3059</v>
      </c>
      <c r="N119" s="32">
        <v>1045</v>
      </c>
      <c r="O119" s="32">
        <v>148</v>
      </c>
      <c r="P119" s="34">
        <v>923</v>
      </c>
      <c r="Q119" s="32">
        <v>327</v>
      </c>
      <c r="R119" s="33">
        <f t="shared" si="5"/>
        <v>2443</v>
      </c>
    </row>
    <row r="120" spans="1:18" ht="15.75" customHeight="1" x14ac:dyDescent="0.3">
      <c r="A120" s="19">
        <v>25</v>
      </c>
      <c r="B120" s="20" t="str">
        <f t="shared" si="3"/>
        <v>JUN</v>
      </c>
      <c r="C120" s="21">
        <v>46193</v>
      </c>
      <c r="D120" s="20" t="str">
        <f>IFERROR(VLOOKUP(H120,KET!$B:$F,2,0),"")</f>
        <v>GRSM 4</v>
      </c>
      <c r="E120" s="20" t="str">
        <f>IFERROR(VLOOKUP(H120,KET!$B:$F,3,0),"")</f>
        <v>KUNINGAN</v>
      </c>
      <c r="F120" s="20" t="str">
        <f>IFERROR(VLOOKUP(H120,KET!$B:$F,4,0),"")</f>
        <v>FAHMI LUKMANUL HAKIM</v>
      </c>
      <c r="G120" s="20" t="str">
        <f>IFERROR(VLOOKUP(H120,KET!$B:$F,5,0),"")</f>
        <v>GMM</v>
      </c>
      <c r="H120" s="56" t="s">
        <v>25</v>
      </c>
      <c r="I120" s="32">
        <v>1099</v>
      </c>
      <c r="J120" s="32">
        <v>242</v>
      </c>
      <c r="K120" s="32">
        <v>1077</v>
      </c>
      <c r="L120" s="32">
        <v>641</v>
      </c>
      <c r="M120" s="33">
        <f t="shared" si="4"/>
        <v>3059</v>
      </c>
      <c r="N120" s="32">
        <v>1045</v>
      </c>
      <c r="O120" s="32">
        <v>148</v>
      </c>
      <c r="P120" s="34">
        <v>923</v>
      </c>
      <c r="Q120" s="32">
        <v>327</v>
      </c>
      <c r="R120" s="33">
        <f t="shared" si="5"/>
        <v>2443</v>
      </c>
    </row>
    <row r="121" spans="1:18" ht="15.75" customHeight="1" x14ac:dyDescent="0.3">
      <c r="A121" s="19">
        <v>25</v>
      </c>
      <c r="B121" s="20" t="str">
        <f t="shared" si="3"/>
        <v>JUN</v>
      </c>
      <c r="C121" s="21">
        <v>46193</v>
      </c>
      <c r="D121" s="20" t="str">
        <f>IFERROR(VLOOKUP(H121,KET!$B:$F,2,0),"")</f>
        <v>GRSM 3A</v>
      </c>
      <c r="E121" s="20" t="str">
        <f>IFERROR(VLOOKUP(H121,KET!$B:$F,3,0),"")</f>
        <v>SUKABUMI</v>
      </c>
      <c r="F121" s="20" t="str">
        <f>IFERROR(VLOOKUP(H121,KET!$B:$F,4,0),"")</f>
        <v>FAHMI LUKMANUL HAKIM</v>
      </c>
      <c r="G121" s="20" t="str">
        <f>IFERROR(VLOOKUP(H121,KET!$B:$F,5,0),"")</f>
        <v>GMM</v>
      </c>
      <c r="H121" s="56" t="s">
        <v>22</v>
      </c>
      <c r="I121" s="32">
        <v>243</v>
      </c>
      <c r="J121" s="32">
        <v>760</v>
      </c>
      <c r="K121" s="32">
        <v>588</v>
      </c>
      <c r="L121" s="32">
        <v>1342</v>
      </c>
      <c r="M121" s="33">
        <f t="shared" si="4"/>
        <v>2933</v>
      </c>
      <c r="N121" s="32">
        <v>213</v>
      </c>
      <c r="O121" s="32">
        <v>692</v>
      </c>
      <c r="P121" s="34">
        <v>552</v>
      </c>
      <c r="Q121" s="32">
        <v>1274</v>
      </c>
      <c r="R121" s="33">
        <f t="shared" si="5"/>
        <v>2731</v>
      </c>
    </row>
    <row r="122" spans="1:18" ht="15.75" customHeight="1" x14ac:dyDescent="0.3">
      <c r="A122" s="19">
        <v>25</v>
      </c>
      <c r="B122" s="20" t="str">
        <f t="shared" si="3"/>
        <v>JUN</v>
      </c>
      <c r="C122" s="21">
        <v>46193</v>
      </c>
      <c r="D122" s="20" t="str">
        <f>IFERROR(VLOOKUP(H122,KET!$B:$F,2,0),"")</f>
        <v>GRSM 3A</v>
      </c>
      <c r="E122" s="20" t="str">
        <f>IFERROR(VLOOKUP(H122,KET!$B:$F,3,0),"")</f>
        <v>SUKABUMI</v>
      </c>
      <c r="F122" s="20" t="str">
        <f>IFERROR(VLOOKUP(H122,KET!$B:$F,4,0),"")</f>
        <v>FAHMI LUKMANUL HAKIM</v>
      </c>
      <c r="G122" s="20" t="str">
        <f>IFERROR(VLOOKUP(H122,KET!$B:$F,5,0),"")</f>
        <v>GMM</v>
      </c>
      <c r="H122" s="56" t="s">
        <v>22</v>
      </c>
      <c r="I122" s="32">
        <v>243</v>
      </c>
      <c r="J122" s="32">
        <v>760</v>
      </c>
      <c r="K122" s="32">
        <v>588</v>
      </c>
      <c r="L122" s="32">
        <v>1342</v>
      </c>
      <c r="M122" s="33">
        <f t="shared" si="4"/>
        <v>2933</v>
      </c>
      <c r="N122" s="32">
        <v>213</v>
      </c>
      <c r="O122" s="32">
        <v>692</v>
      </c>
      <c r="P122" s="34">
        <v>552</v>
      </c>
      <c r="Q122" s="32">
        <v>1274</v>
      </c>
      <c r="R122" s="33">
        <f t="shared" si="5"/>
        <v>2731</v>
      </c>
    </row>
    <row r="123" spans="1:18" ht="15.75" customHeight="1" x14ac:dyDescent="0.3">
      <c r="A123" s="19">
        <v>25</v>
      </c>
      <c r="B123" s="20" t="str">
        <f t="shared" si="3"/>
        <v>JUN</v>
      </c>
      <c r="C123" s="21">
        <v>46193</v>
      </c>
      <c r="D123" s="20" t="str">
        <f>IFERROR(VLOOKUP(H123,KET!$B:$F,2,0),"")</f>
        <v>GRSM 4</v>
      </c>
      <c r="E123" s="20" t="str">
        <f>IFERROR(VLOOKUP(H123,KET!$B:$F,3,0),"")</f>
        <v>BANDUNG</v>
      </c>
      <c r="F123" s="20" t="str">
        <f>IFERROR(VLOOKUP(H123,KET!$B:$F,4,0),"")</f>
        <v>FAHMI LUKMANUL HAKIM</v>
      </c>
      <c r="G123" s="20" t="str">
        <f>IFERROR(VLOOKUP(H123,KET!$B:$F,5,0),"")</f>
        <v>NKA</v>
      </c>
      <c r="H123" s="56" t="s">
        <v>26</v>
      </c>
      <c r="I123" s="32">
        <v>365</v>
      </c>
      <c r="J123" s="32">
        <v>1040</v>
      </c>
      <c r="K123" s="32">
        <v>585</v>
      </c>
      <c r="L123" s="32">
        <v>3730</v>
      </c>
      <c r="M123" s="33">
        <f t="shared" si="4"/>
        <v>5720</v>
      </c>
      <c r="N123" s="32">
        <v>335</v>
      </c>
      <c r="O123" s="32">
        <v>970</v>
      </c>
      <c r="P123" s="34">
        <v>555</v>
      </c>
      <c r="Q123" s="32">
        <v>3600</v>
      </c>
      <c r="R123" s="33">
        <f t="shared" si="5"/>
        <v>5460</v>
      </c>
    </row>
    <row r="124" spans="1:18" ht="15.75" customHeight="1" x14ac:dyDescent="0.3">
      <c r="A124" s="19">
        <v>25</v>
      </c>
      <c r="B124" s="20" t="str">
        <f t="shared" si="3"/>
        <v>JUN</v>
      </c>
      <c r="C124" s="21">
        <v>46193</v>
      </c>
      <c r="D124" s="20" t="str">
        <f>IFERROR(VLOOKUP(H124,KET!$B:$F,2,0),"")</f>
        <v>GRSM 4</v>
      </c>
      <c r="E124" s="20" t="str">
        <f>IFERROR(VLOOKUP(H124,KET!$B:$F,3,0),"")</f>
        <v>BANDUNG</v>
      </c>
      <c r="F124" s="20" t="str">
        <f>IFERROR(VLOOKUP(H124,KET!$B:$F,4,0),"")</f>
        <v>FAHMI LUKMANUL HAKIM</v>
      </c>
      <c r="G124" s="20" t="str">
        <f>IFERROR(VLOOKUP(H124,KET!$B:$F,5,0),"")</f>
        <v>NKA</v>
      </c>
      <c r="H124" s="56" t="s">
        <v>26</v>
      </c>
      <c r="I124" s="32">
        <v>365</v>
      </c>
      <c r="J124" s="32">
        <v>1040</v>
      </c>
      <c r="K124" s="32">
        <v>585</v>
      </c>
      <c r="L124" s="32">
        <v>3730</v>
      </c>
      <c r="M124" s="33">
        <f t="shared" si="4"/>
        <v>5720</v>
      </c>
      <c r="N124" s="32">
        <v>335</v>
      </c>
      <c r="O124" s="32">
        <v>970</v>
      </c>
      <c r="P124" s="34">
        <v>555</v>
      </c>
      <c r="Q124" s="32">
        <v>3600</v>
      </c>
      <c r="R124" s="33">
        <f t="shared" si="5"/>
        <v>5460</v>
      </c>
    </row>
    <row r="125" spans="1:18" ht="15.75" customHeight="1" x14ac:dyDescent="0.3">
      <c r="A125" s="19">
        <v>25</v>
      </c>
      <c r="B125" s="20" t="str">
        <f t="shared" si="3"/>
        <v>JUN</v>
      </c>
      <c r="C125" s="21">
        <v>46193</v>
      </c>
      <c r="D125" s="20" t="str">
        <f>IFERROR(VLOOKUP(H125,KET!$B:$F,2,0),"")</f>
        <v>GRSM 4</v>
      </c>
      <c r="E125" s="20" t="str">
        <f>IFERROR(VLOOKUP(H125,KET!$B:$F,3,0),"")</f>
        <v>MAJALAYA</v>
      </c>
      <c r="F125" s="20" t="str">
        <f>IFERROR(VLOOKUP(H125,KET!$B:$F,4,0),"")</f>
        <v>FAHMI LUKMANUL HAKIM</v>
      </c>
      <c r="G125" s="20" t="str">
        <f>IFERROR(VLOOKUP(H125,KET!$B:$F,5,0),"")</f>
        <v>GMM</v>
      </c>
      <c r="H125" s="56" t="s">
        <v>27</v>
      </c>
      <c r="I125" s="32">
        <v>1860</v>
      </c>
      <c r="J125" s="32">
        <v>1860</v>
      </c>
      <c r="K125" s="32">
        <v>2340</v>
      </c>
      <c r="L125" s="32">
        <v>2340</v>
      </c>
      <c r="M125" s="33">
        <f t="shared" si="4"/>
        <v>8400</v>
      </c>
      <c r="N125" s="32">
        <v>1835</v>
      </c>
      <c r="O125" s="32">
        <v>1772</v>
      </c>
      <c r="P125" s="34">
        <v>2285</v>
      </c>
      <c r="Q125" s="32">
        <v>2170</v>
      </c>
      <c r="R125" s="33">
        <f t="shared" si="5"/>
        <v>8062</v>
      </c>
    </row>
    <row r="126" spans="1:18" ht="15.75" customHeight="1" x14ac:dyDescent="0.3">
      <c r="A126" s="19">
        <v>25</v>
      </c>
      <c r="B126" s="20" t="str">
        <f t="shared" si="3"/>
        <v>JUN</v>
      </c>
      <c r="C126" s="21">
        <v>46193</v>
      </c>
      <c r="D126" s="20" t="str">
        <f>IFERROR(VLOOKUP(H126,KET!$B:$F,2,0),"")</f>
        <v>GRSM 4</v>
      </c>
      <c r="E126" s="20" t="str">
        <f>IFERROR(VLOOKUP(H126,KET!$B:$F,3,0),"")</f>
        <v>MAJALAYA</v>
      </c>
      <c r="F126" s="20" t="str">
        <f>IFERROR(VLOOKUP(H126,KET!$B:$F,4,0),"")</f>
        <v>FAHMI LUKMANUL HAKIM</v>
      </c>
      <c r="G126" s="20" t="str">
        <f>IFERROR(VLOOKUP(H126,KET!$B:$F,5,0),"")</f>
        <v>GMM</v>
      </c>
      <c r="H126" s="56" t="s">
        <v>27</v>
      </c>
      <c r="I126" s="32">
        <v>1800</v>
      </c>
      <c r="J126" s="32">
        <v>1818</v>
      </c>
      <c r="K126" s="32">
        <v>2305</v>
      </c>
      <c r="L126" s="32">
        <v>2170</v>
      </c>
      <c r="M126" s="33">
        <f t="shared" si="4"/>
        <v>8093</v>
      </c>
      <c r="N126" s="32">
        <v>1800</v>
      </c>
      <c r="O126" s="32">
        <v>1818</v>
      </c>
      <c r="P126" s="34">
        <v>2305</v>
      </c>
      <c r="Q126" s="32">
        <v>2170</v>
      </c>
      <c r="R126" s="33">
        <f t="shared" si="5"/>
        <v>8093</v>
      </c>
    </row>
    <row r="127" spans="1:18" ht="15.75" customHeight="1" x14ac:dyDescent="0.3">
      <c r="A127" s="19">
        <v>25</v>
      </c>
      <c r="B127" s="20" t="str">
        <f t="shared" si="3"/>
        <v>JUN</v>
      </c>
      <c r="C127" s="21">
        <v>46194</v>
      </c>
      <c r="D127" s="20" t="str">
        <f>IFERROR(VLOOKUP(H127,KET!$B:$F,2,0),"")</f>
        <v>GRSM 4</v>
      </c>
      <c r="E127" s="20" t="str">
        <f>IFERROR(VLOOKUP(H127,KET!$B:$F,3,0),"")</f>
        <v>TASIK</v>
      </c>
      <c r="F127" s="20" t="str">
        <f>IFERROR(VLOOKUP(H127,KET!$B:$F,4,0),"")</f>
        <v>FAHMI LUKMANUL HAKIM</v>
      </c>
      <c r="G127" s="20" t="str">
        <f>IFERROR(VLOOKUP(H127,KET!$B:$F,5,0),"")</f>
        <v>GMM</v>
      </c>
      <c r="H127" s="56" t="s">
        <v>18</v>
      </c>
      <c r="I127" s="32">
        <v>795</v>
      </c>
      <c r="J127" s="32">
        <v>855</v>
      </c>
      <c r="K127" s="32">
        <v>822</v>
      </c>
      <c r="L127" s="32">
        <v>954</v>
      </c>
      <c r="M127" s="33">
        <f t="shared" si="4"/>
        <v>3426</v>
      </c>
      <c r="N127" s="32">
        <v>753</v>
      </c>
      <c r="O127" s="32">
        <v>804</v>
      </c>
      <c r="P127" s="34">
        <v>759</v>
      </c>
      <c r="Q127" s="32">
        <v>837</v>
      </c>
      <c r="R127" s="33">
        <f t="shared" si="5"/>
        <v>3153</v>
      </c>
    </row>
    <row r="128" spans="1:18" ht="15.75" customHeight="1" x14ac:dyDescent="0.3">
      <c r="A128" s="19">
        <v>25</v>
      </c>
      <c r="B128" s="20" t="str">
        <f t="shared" si="3"/>
        <v>JUN</v>
      </c>
      <c r="C128" s="21">
        <v>46194</v>
      </c>
      <c r="D128" s="20" t="str">
        <f>IFERROR(VLOOKUP(H128,KET!$B:$F,2,0),"")</f>
        <v>GRSM 4</v>
      </c>
      <c r="E128" s="20" t="str">
        <f>IFERROR(VLOOKUP(H128,KET!$B:$F,3,0),"")</f>
        <v>TASIK</v>
      </c>
      <c r="F128" s="20" t="str">
        <f>IFERROR(VLOOKUP(H128,KET!$B:$F,4,0),"")</f>
        <v>FAHMI LUKMANUL HAKIM</v>
      </c>
      <c r="G128" s="20" t="str">
        <f>IFERROR(VLOOKUP(H128,KET!$B:$F,5,0),"")</f>
        <v>GMM</v>
      </c>
      <c r="H128" s="56" t="s">
        <v>18</v>
      </c>
      <c r="I128" s="32">
        <v>828</v>
      </c>
      <c r="J128" s="32">
        <v>912</v>
      </c>
      <c r="K128" s="32">
        <v>870</v>
      </c>
      <c r="L128" s="32">
        <v>1056</v>
      </c>
      <c r="M128" s="33">
        <f t="shared" si="4"/>
        <v>3666</v>
      </c>
      <c r="N128" s="32">
        <v>795</v>
      </c>
      <c r="O128" s="32">
        <v>855</v>
      </c>
      <c r="P128" s="34">
        <v>822</v>
      </c>
      <c r="Q128" s="32">
        <v>954</v>
      </c>
      <c r="R128" s="33">
        <f t="shared" si="5"/>
        <v>3426</v>
      </c>
    </row>
    <row r="129" spans="1:18" ht="15.75" customHeight="1" x14ac:dyDescent="0.3">
      <c r="A129" s="19">
        <v>25</v>
      </c>
      <c r="B129" s="20" t="str">
        <f t="shared" si="3"/>
        <v>JUN</v>
      </c>
      <c r="C129" s="21">
        <v>46194</v>
      </c>
      <c r="D129" s="20" t="str">
        <f>IFERROR(VLOOKUP(H129,KET!$B:$F,2,0),"")</f>
        <v>GRSM 4</v>
      </c>
      <c r="E129" s="20" t="str">
        <f>IFERROR(VLOOKUP(H129,KET!$B:$F,3,0),"")</f>
        <v>TASIK</v>
      </c>
      <c r="F129" s="20" t="str">
        <f>IFERROR(VLOOKUP(H129,KET!$B:$F,4,0),"")</f>
        <v>FAHMI LUKMANUL HAKIM</v>
      </c>
      <c r="G129" s="20" t="str">
        <f>IFERROR(VLOOKUP(H129,KET!$B:$F,5,0),"")</f>
        <v>GMM</v>
      </c>
      <c r="H129" s="56" t="s">
        <v>24</v>
      </c>
      <c r="I129" s="32">
        <v>557</v>
      </c>
      <c r="J129" s="32">
        <v>1580</v>
      </c>
      <c r="K129" s="32">
        <v>658</v>
      </c>
      <c r="L129" s="32">
        <v>2215</v>
      </c>
      <c r="M129" s="33">
        <f t="shared" si="4"/>
        <v>5010</v>
      </c>
      <c r="N129" s="32">
        <v>550</v>
      </c>
      <c r="O129" s="32">
        <v>1532</v>
      </c>
      <c r="P129" s="34">
        <v>604</v>
      </c>
      <c r="Q129" s="32">
        <v>2083</v>
      </c>
      <c r="R129" s="33">
        <f t="shared" si="5"/>
        <v>4769</v>
      </c>
    </row>
    <row r="130" spans="1:18" ht="15.75" customHeight="1" x14ac:dyDescent="0.3">
      <c r="A130" s="19">
        <v>25</v>
      </c>
      <c r="B130" s="20" t="str">
        <f t="shared" si="3"/>
        <v>JUN</v>
      </c>
      <c r="C130" s="21">
        <v>46194</v>
      </c>
      <c r="D130" s="20" t="str">
        <f>IFERROR(VLOOKUP(H130,KET!$B:$F,2,0),"")</f>
        <v>GRSM 4</v>
      </c>
      <c r="E130" s="20" t="str">
        <f>IFERROR(VLOOKUP(H130,KET!$B:$F,3,0),"")</f>
        <v>TASIK</v>
      </c>
      <c r="F130" s="20" t="str">
        <f>IFERROR(VLOOKUP(H130,KET!$B:$F,4,0),"")</f>
        <v>FAHMI LUKMANUL HAKIM</v>
      </c>
      <c r="G130" s="20" t="str">
        <f>IFERROR(VLOOKUP(H130,KET!$B:$F,5,0),"")</f>
        <v>GMM</v>
      </c>
      <c r="H130" s="56" t="s">
        <v>24</v>
      </c>
      <c r="I130" s="32">
        <v>557</v>
      </c>
      <c r="J130" s="32">
        <v>1580</v>
      </c>
      <c r="K130" s="32">
        <v>658</v>
      </c>
      <c r="L130" s="32">
        <v>2215</v>
      </c>
      <c r="M130" s="33">
        <f t="shared" si="4"/>
        <v>5010</v>
      </c>
      <c r="N130" s="32">
        <v>550</v>
      </c>
      <c r="O130" s="32">
        <v>1532</v>
      </c>
      <c r="P130" s="34">
        <v>604</v>
      </c>
      <c r="Q130" s="32">
        <v>2083</v>
      </c>
      <c r="R130" s="33">
        <f t="shared" si="5"/>
        <v>4769</v>
      </c>
    </row>
    <row r="131" spans="1:18" ht="15.75" customHeight="1" x14ac:dyDescent="0.3">
      <c r="A131" s="19">
        <v>25</v>
      </c>
      <c r="B131" s="20" t="str">
        <f t="shared" si="3"/>
        <v>JUN</v>
      </c>
      <c r="C131" s="21">
        <v>46194</v>
      </c>
      <c r="D131" s="20" t="str">
        <f>IFERROR(VLOOKUP(H131,KET!$B:$F,2,0),"")</f>
        <v>GRSM 4</v>
      </c>
      <c r="E131" s="20" t="str">
        <f>IFERROR(VLOOKUP(H131,KET!$B:$F,3,0),"")</f>
        <v>TASIK</v>
      </c>
      <c r="F131" s="20" t="str">
        <f>IFERROR(VLOOKUP(H131,KET!$B:$F,4,0),"")</f>
        <v>FAHMI LUKMANUL HAKIM</v>
      </c>
      <c r="G131" s="20" t="str">
        <f>IFERROR(VLOOKUP(H131,KET!$B:$F,5,0),"")</f>
        <v>GMM</v>
      </c>
      <c r="H131" s="56" t="s">
        <v>24</v>
      </c>
      <c r="I131" s="32">
        <v>418</v>
      </c>
      <c r="J131" s="32">
        <v>141</v>
      </c>
      <c r="K131" s="32">
        <v>472</v>
      </c>
      <c r="L131" s="32">
        <v>1771</v>
      </c>
      <c r="M131" s="33">
        <f t="shared" si="4"/>
        <v>2802</v>
      </c>
      <c r="N131" s="32">
        <v>316</v>
      </c>
      <c r="O131" s="32">
        <v>1358</v>
      </c>
      <c r="P131" s="34">
        <v>412</v>
      </c>
      <c r="Q131" s="32">
        <v>1603</v>
      </c>
      <c r="R131" s="33">
        <f t="shared" si="5"/>
        <v>3689</v>
      </c>
    </row>
    <row r="132" spans="1:18" ht="15.75" customHeight="1" x14ac:dyDescent="0.3">
      <c r="A132" s="19">
        <v>25</v>
      </c>
      <c r="B132" s="20" t="str">
        <f t="shared" si="3"/>
        <v>JUN</v>
      </c>
      <c r="C132" s="21">
        <v>46194</v>
      </c>
      <c r="D132" s="20" t="str">
        <f>IFERROR(VLOOKUP(H132,KET!$B:$F,2,0),"")</f>
        <v>GRSM 4</v>
      </c>
      <c r="E132" s="20" t="str">
        <f>IFERROR(VLOOKUP(H132,KET!$B:$F,3,0),"")</f>
        <v>TASIK</v>
      </c>
      <c r="F132" s="20" t="str">
        <f>IFERROR(VLOOKUP(H132,KET!$B:$F,4,0),"")</f>
        <v>FAHMI LUKMANUL HAKIM</v>
      </c>
      <c r="G132" s="20" t="str">
        <f>IFERROR(VLOOKUP(H132,KET!$B:$F,5,0),"")</f>
        <v>GMM</v>
      </c>
      <c r="H132" s="56" t="s">
        <v>20</v>
      </c>
      <c r="I132" s="32">
        <v>795</v>
      </c>
      <c r="J132" s="32">
        <v>1105</v>
      </c>
      <c r="K132" s="32">
        <v>869</v>
      </c>
      <c r="L132" s="32">
        <v>168</v>
      </c>
      <c r="M132" s="33">
        <f t="shared" si="4"/>
        <v>2937</v>
      </c>
      <c r="N132" s="32">
        <v>766</v>
      </c>
      <c r="O132" s="32">
        <v>1048</v>
      </c>
      <c r="P132" s="34">
        <v>824</v>
      </c>
      <c r="Q132" s="32">
        <v>88</v>
      </c>
      <c r="R132" s="33">
        <f t="shared" si="5"/>
        <v>2726</v>
      </c>
    </row>
    <row r="133" spans="1:18" ht="15.75" customHeight="1" x14ac:dyDescent="0.3">
      <c r="A133" s="19">
        <v>25</v>
      </c>
      <c r="B133" s="20" t="str">
        <f t="shared" si="3"/>
        <v>JUN</v>
      </c>
      <c r="C133" s="21">
        <v>46194</v>
      </c>
      <c r="D133" s="20" t="str">
        <f>IFERROR(VLOOKUP(H133,KET!$B:$F,2,0),"")</f>
        <v>GRSM 4</v>
      </c>
      <c r="E133" s="20" t="str">
        <f>IFERROR(VLOOKUP(H133,KET!$B:$F,3,0),"")</f>
        <v>TASIK</v>
      </c>
      <c r="F133" s="20" t="str">
        <f>IFERROR(VLOOKUP(H133,KET!$B:$F,4,0),"")</f>
        <v>FAHMI LUKMANUL HAKIM</v>
      </c>
      <c r="G133" s="20" t="str">
        <f>IFERROR(VLOOKUP(H133,KET!$B:$F,5,0),"")</f>
        <v>GMM</v>
      </c>
      <c r="H133" s="56" t="s">
        <v>20</v>
      </c>
      <c r="I133" s="32">
        <v>795</v>
      </c>
      <c r="J133" s="32">
        <v>1105</v>
      </c>
      <c r="K133" s="32">
        <v>869</v>
      </c>
      <c r="L133" s="32">
        <v>168</v>
      </c>
      <c r="M133" s="33">
        <f t="shared" si="4"/>
        <v>2937</v>
      </c>
      <c r="N133" s="32">
        <v>766</v>
      </c>
      <c r="O133" s="32">
        <v>1048</v>
      </c>
      <c r="P133" s="34">
        <v>824</v>
      </c>
      <c r="Q133" s="32">
        <v>88</v>
      </c>
      <c r="R133" s="33">
        <f t="shared" si="5"/>
        <v>2726</v>
      </c>
    </row>
    <row r="134" spans="1:18" ht="15.75" customHeight="1" x14ac:dyDescent="0.3">
      <c r="A134" s="19">
        <v>25</v>
      </c>
      <c r="B134" s="20" t="str">
        <f t="shared" si="3"/>
        <v>JUN</v>
      </c>
      <c r="C134" s="21">
        <v>46194</v>
      </c>
      <c r="D134" s="20" t="str">
        <f>IFERROR(VLOOKUP(H134,KET!$B:$F,2,0),"")</f>
        <v>GRSM 4</v>
      </c>
      <c r="E134" s="20" t="str">
        <f>IFERROR(VLOOKUP(H134,KET!$B:$F,3,0),"")</f>
        <v>GARUT</v>
      </c>
      <c r="F134" s="20" t="str">
        <f>IFERROR(VLOOKUP(H134,KET!$B:$F,4,0),"")</f>
        <v>FAHMI LUKMANUL HAKIM</v>
      </c>
      <c r="G134" s="20" t="str">
        <f>IFERROR(VLOOKUP(H134,KET!$B:$F,5,0),"")</f>
        <v>GMM</v>
      </c>
      <c r="H134" s="56" t="s">
        <v>23</v>
      </c>
      <c r="I134" s="32">
        <v>214</v>
      </c>
      <c r="J134" s="32">
        <v>355</v>
      </c>
      <c r="K134" s="32">
        <v>173</v>
      </c>
      <c r="L134" s="32">
        <v>1570</v>
      </c>
      <c r="M134" s="33">
        <f t="shared" si="4"/>
        <v>2312</v>
      </c>
      <c r="N134" s="32">
        <v>150</v>
      </c>
      <c r="O134" s="32">
        <v>296</v>
      </c>
      <c r="P134" s="34">
        <v>110</v>
      </c>
      <c r="Q134" s="32">
        <v>1450</v>
      </c>
      <c r="R134" s="33">
        <f t="shared" si="5"/>
        <v>2006</v>
      </c>
    </row>
    <row r="135" spans="1:18" ht="15.75" customHeight="1" x14ac:dyDescent="0.3">
      <c r="A135" s="19">
        <v>25</v>
      </c>
      <c r="B135" s="20" t="str">
        <f t="shared" ref="B135:B198" si="6">IF(C135="","",UPPER(TEXT(C135, "MMM")))</f>
        <v>JUN</v>
      </c>
      <c r="C135" s="21">
        <v>46194</v>
      </c>
      <c r="D135" s="20" t="str">
        <f>IFERROR(VLOOKUP(H135,KET!$B:$F,2,0),"")</f>
        <v>GRSM 4</v>
      </c>
      <c r="E135" s="20" t="str">
        <f>IFERROR(VLOOKUP(H135,KET!$B:$F,3,0),"")</f>
        <v>GARUT</v>
      </c>
      <c r="F135" s="20" t="str">
        <f>IFERROR(VLOOKUP(H135,KET!$B:$F,4,0),"")</f>
        <v>FAHMI LUKMANUL HAKIM</v>
      </c>
      <c r="G135" s="20" t="str">
        <f>IFERROR(VLOOKUP(H135,KET!$B:$F,5,0),"")</f>
        <v>GMM</v>
      </c>
      <c r="H135" s="56" t="s">
        <v>23</v>
      </c>
      <c r="I135" s="32">
        <v>141</v>
      </c>
      <c r="J135" s="32">
        <v>358</v>
      </c>
      <c r="K135" s="32">
        <v>219</v>
      </c>
      <c r="L135" s="32">
        <v>722</v>
      </c>
      <c r="M135" s="33">
        <f t="shared" ref="M135:M198" si="7">SUM(I135:L135)</f>
        <v>1440</v>
      </c>
      <c r="N135" s="32">
        <v>78</v>
      </c>
      <c r="O135" s="32">
        <v>305</v>
      </c>
      <c r="P135" s="34">
        <v>159</v>
      </c>
      <c r="Q135" s="32">
        <v>612</v>
      </c>
      <c r="R135" s="33">
        <f t="shared" ref="R135:R198" si="8">SUM(N135:Q135)</f>
        <v>1154</v>
      </c>
    </row>
    <row r="136" spans="1:18" ht="15.75" customHeight="1" x14ac:dyDescent="0.3">
      <c r="A136" s="19">
        <v>25</v>
      </c>
      <c r="B136" s="20" t="str">
        <f t="shared" si="6"/>
        <v>JUN</v>
      </c>
      <c r="C136" s="21">
        <v>46194</v>
      </c>
      <c r="D136" s="20" t="str">
        <f>IFERROR(VLOOKUP(H136,KET!$B:$F,2,0),"")</f>
        <v>GRSM 4</v>
      </c>
      <c r="E136" s="20" t="str">
        <f>IFERROR(VLOOKUP(H136,KET!$B:$F,3,0),"")</f>
        <v>KUNINGAN</v>
      </c>
      <c r="F136" s="20" t="str">
        <f>IFERROR(VLOOKUP(H136,KET!$B:$F,4,0),"")</f>
        <v>FAHMI LUKMANUL HAKIM</v>
      </c>
      <c r="G136" s="20" t="str">
        <f>IFERROR(VLOOKUP(H136,KET!$B:$F,5,0),"")</f>
        <v>GMM</v>
      </c>
      <c r="H136" s="56" t="s">
        <v>19</v>
      </c>
      <c r="I136" s="32">
        <v>151</v>
      </c>
      <c r="J136" s="32">
        <v>230</v>
      </c>
      <c r="K136" s="32">
        <v>526</v>
      </c>
      <c r="L136" s="32">
        <v>438</v>
      </c>
      <c r="M136" s="33">
        <f t="shared" si="7"/>
        <v>1345</v>
      </c>
      <c r="N136" s="32">
        <v>151</v>
      </c>
      <c r="O136" s="32">
        <v>230</v>
      </c>
      <c r="P136" s="34">
        <v>526</v>
      </c>
      <c r="Q136" s="32">
        <v>438</v>
      </c>
      <c r="R136" s="33">
        <f t="shared" si="8"/>
        <v>1345</v>
      </c>
    </row>
    <row r="137" spans="1:18" ht="15.75" customHeight="1" x14ac:dyDescent="0.3">
      <c r="A137" s="19">
        <v>25</v>
      </c>
      <c r="B137" s="20" t="str">
        <f t="shared" si="6"/>
        <v>JUN</v>
      </c>
      <c r="C137" s="21">
        <v>46194</v>
      </c>
      <c r="D137" s="20" t="str">
        <f>IFERROR(VLOOKUP(H137,KET!$B:$F,2,0),"")</f>
        <v>GRSM 4</v>
      </c>
      <c r="E137" s="20" t="str">
        <f>IFERROR(VLOOKUP(H137,KET!$B:$F,3,0),"")</f>
        <v>KUNINGAN</v>
      </c>
      <c r="F137" s="20" t="str">
        <f>IFERROR(VLOOKUP(H137,KET!$B:$F,4,0),"")</f>
        <v>FAHMI LUKMANUL HAKIM</v>
      </c>
      <c r="G137" s="20" t="str">
        <f>IFERROR(VLOOKUP(H137,KET!$B:$F,5,0),"")</f>
        <v>GMM</v>
      </c>
      <c r="H137" s="56" t="s">
        <v>19</v>
      </c>
      <c r="I137" s="32">
        <v>204</v>
      </c>
      <c r="J137" s="32">
        <v>302</v>
      </c>
      <c r="K137" s="34">
        <v>574</v>
      </c>
      <c r="L137" s="34">
        <v>653</v>
      </c>
      <c r="M137" s="33">
        <f t="shared" si="7"/>
        <v>1733</v>
      </c>
      <c r="N137" s="32">
        <v>151</v>
      </c>
      <c r="O137" s="32">
        <v>230</v>
      </c>
      <c r="P137" s="34">
        <v>526</v>
      </c>
      <c r="Q137" s="34">
        <v>438</v>
      </c>
      <c r="R137" s="33">
        <f t="shared" si="8"/>
        <v>1345</v>
      </c>
    </row>
    <row r="138" spans="1:18" ht="15.75" customHeight="1" x14ac:dyDescent="0.3">
      <c r="A138" s="19">
        <v>25</v>
      </c>
      <c r="B138" s="20" t="str">
        <f t="shared" si="6"/>
        <v>JUN</v>
      </c>
      <c r="C138" s="21">
        <v>46194</v>
      </c>
      <c r="D138" s="20" t="str">
        <f>IFERROR(VLOOKUP(H138,KET!$B:$F,2,0),"")</f>
        <v>GRSM 4</v>
      </c>
      <c r="E138" s="20" t="str">
        <f>IFERROR(VLOOKUP(H138,KET!$B:$F,3,0),"")</f>
        <v>KUNINGAN</v>
      </c>
      <c r="F138" s="20" t="str">
        <f>IFERROR(VLOOKUP(H138,KET!$B:$F,4,0),"")</f>
        <v>FAHMI LUKMANUL HAKIM</v>
      </c>
      <c r="G138" s="20" t="str">
        <f>IFERROR(VLOOKUP(H138,KET!$B:$F,5,0),"")</f>
        <v>GMM</v>
      </c>
      <c r="H138" s="56" t="s">
        <v>25</v>
      </c>
      <c r="I138" s="32">
        <v>1045</v>
      </c>
      <c r="J138" s="32">
        <v>148</v>
      </c>
      <c r="K138" s="32">
        <v>923</v>
      </c>
      <c r="L138" s="32">
        <v>327</v>
      </c>
      <c r="M138" s="33">
        <f t="shared" si="7"/>
        <v>2443</v>
      </c>
      <c r="N138" s="32">
        <v>887</v>
      </c>
      <c r="O138" s="32">
        <v>58</v>
      </c>
      <c r="P138" s="34">
        <v>689</v>
      </c>
      <c r="Q138" s="32">
        <v>79</v>
      </c>
      <c r="R138" s="33">
        <f t="shared" si="8"/>
        <v>1713</v>
      </c>
    </row>
    <row r="139" spans="1:18" ht="15.75" customHeight="1" x14ac:dyDescent="0.3">
      <c r="A139" s="19">
        <v>25</v>
      </c>
      <c r="B139" s="20" t="str">
        <f t="shared" si="6"/>
        <v>JUN</v>
      </c>
      <c r="C139" s="21">
        <v>46194</v>
      </c>
      <c r="D139" s="20" t="str">
        <f>IFERROR(VLOOKUP(H139,KET!$B:$F,2,0),"")</f>
        <v>GRSM 4</v>
      </c>
      <c r="E139" s="20" t="str">
        <f>IFERROR(VLOOKUP(H139,KET!$B:$F,3,0),"")</f>
        <v>KUNINGAN</v>
      </c>
      <c r="F139" s="20" t="str">
        <f>IFERROR(VLOOKUP(H139,KET!$B:$F,4,0),"")</f>
        <v>FAHMI LUKMANUL HAKIM</v>
      </c>
      <c r="G139" s="20" t="str">
        <f>IFERROR(VLOOKUP(H139,KET!$B:$F,5,0),"")</f>
        <v>GMM</v>
      </c>
      <c r="H139" s="56" t="s">
        <v>25</v>
      </c>
      <c r="I139" s="32">
        <v>1045</v>
      </c>
      <c r="J139" s="32">
        <v>148</v>
      </c>
      <c r="K139" s="32">
        <v>923</v>
      </c>
      <c r="L139" s="32">
        <v>327</v>
      </c>
      <c r="M139" s="33">
        <f t="shared" si="7"/>
        <v>2443</v>
      </c>
      <c r="N139" s="32">
        <v>887</v>
      </c>
      <c r="O139" s="32">
        <v>58</v>
      </c>
      <c r="P139" s="34">
        <v>689</v>
      </c>
      <c r="Q139" s="32">
        <v>79</v>
      </c>
      <c r="R139" s="33">
        <f t="shared" si="8"/>
        <v>1713</v>
      </c>
    </row>
    <row r="140" spans="1:18" ht="15.75" customHeight="1" x14ac:dyDescent="0.3">
      <c r="A140" s="19">
        <v>25</v>
      </c>
      <c r="B140" s="20" t="str">
        <f t="shared" si="6"/>
        <v>JUN</v>
      </c>
      <c r="C140" s="21">
        <v>46194</v>
      </c>
      <c r="D140" s="20" t="str">
        <f>IFERROR(VLOOKUP(H140,KET!$B:$F,2,0),"")</f>
        <v>GRSM 4</v>
      </c>
      <c r="E140" s="20" t="str">
        <f>IFERROR(VLOOKUP(H140,KET!$B:$F,3,0),"")</f>
        <v>BANDUNG</v>
      </c>
      <c r="F140" s="20" t="str">
        <f>IFERROR(VLOOKUP(H140,KET!$B:$F,4,0),"")</f>
        <v>FAHMI LUKMANUL HAKIM</v>
      </c>
      <c r="G140" s="20" t="str">
        <f>IFERROR(VLOOKUP(H140,KET!$B:$F,5,0),"")</f>
        <v>NKA</v>
      </c>
      <c r="H140" s="56" t="s">
        <v>26</v>
      </c>
      <c r="I140" s="32">
        <v>365</v>
      </c>
      <c r="J140" s="32">
        <v>1040</v>
      </c>
      <c r="K140" s="32">
        <v>585</v>
      </c>
      <c r="L140" s="32">
        <v>3730</v>
      </c>
      <c r="M140" s="33">
        <f t="shared" si="7"/>
        <v>5720</v>
      </c>
      <c r="N140" s="32">
        <v>335</v>
      </c>
      <c r="O140" s="32">
        <v>970</v>
      </c>
      <c r="P140" s="34">
        <v>555</v>
      </c>
      <c r="Q140" s="32">
        <v>3600</v>
      </c>
      <c r="R140" s="33">
        <f t="shared" si="8"/>
        <v>5460</v>
      </c>
    </row>
    <row r="141" spans="1:18" ht="15.75" customHeight="1" x14ac:dyDescent="0.3">
      <c r="A141" s="19">
        <v>25</v>
      </c>
      <c r="B141" s="20" t="str">
        <f t="shared" si="6"/>
        <v>JUN</v>
      </c>
      <c r="C141" s="21">
        <v>46194</v>
      </c>
      <c r="D141" s="20" t="str">
        <f>IFERROR(VLOOKUP(H141,KET!$B:$F,2,0),"")</f>
        <v>GRSM 4</v>
      </c>
      <c r="E141" s="20" t="str">
        <f>IFERROR(VLOOKUP(H141,KET!$B:$F,3,0),"")</f>
        <v>BANDUNG</v>
      </c>
      <c r="F141" s="20" t="str">
        <f>IFERROR(VLOOKUP(H141,KET!$B:$F,4,0),"")</f>
        <v>FAHMI LUKMANUL HAKIM</v>
      </c>
      <c r="G141" s="20" t="str">
        <f>IFERROR(VLOOKUP(H141,KET!$B:$F,5,0),"")</f>
        <v>NKA</v>
      </c>
      <c r="H141" s="56" t="s">
        <v>26</v>
      </c>
      <c r="I141" s="32">
        <v>365</v>
      </c>
      <c r="J141" s="32">
        <v>1040</v>
      </c>
      <c r="K141" s="32">
        <v>585</v>
      </c>
      <c r="L141" s="32">
        <v>3730</v>
      </c>
      <c r="M141" s="33">
        <f t="shared" si="7"/>
        <v>5720</v>
      </c>
      <c r="N141" s="32">
        <v>335</v>
      </c>
      <c r="O141" s="32">
        <v>970</v>
      </c>
      <c r="P141" s="34">
        <v>555</v>
      </c>
      <c r="Q141" s="32">
        <v>3600</v>
      </c>
      <c r="R141" s="33">
        <f t="shared" si="8"/>
        <v>5460</v>
      </c>
    </row>
    <row r="142" spans="1:18" ht="15.75" customHeight="1" x14ac:dyDescent="0.3">
      <c r="A142" s="19">
        <v>25</v>
      </c>
      <c r="B142" s="20" t="str">
        <f t="shared" si="6"/>
        <v>JUN</v>
      </c>
      <c r="C142" s="21">
        <v>46194</v>
      </c>
      <c r="D142" s="20" t="str">
        <f>IFERROR(VLOOKUP(H142,KET!$B:$F,2,0),"")</f>
        <v>GRSM 4</v>
      </c>
      <c r="E142" s="20" t="str">
        <f>IFERROR(VLOOKUP(H142,KET!$B:$F,3,0),"")</f>
        <v>MAJALAYA</v>
      </c>
      <c r="F142" s="20" t="str">
        <f>IFERROR(VLOOKUP(H142,KET!$B:$F,4,0),"")</f>
        <v>FAHMI LUKMANUL HAKIM</v>
      </c>
      <c r="G142" s="20" t="str">
        <f>IFERROR(VLOOKUP(H142,KET!$B:$F,5,0),"")</f>
        <v>GMM</v>
      </c>
      <c r="H142" s="56" t="s">
        <v>27</v>
      </c>
      <c r="I142" s="32">
        <v>1775</v>
      </c>
      <c r="J142" s="32">
        <v>1730</v>
      </c>
      <c r="K142" s="32">
        <v>2250</v>
      </c>
      <c r="L142" s="32">
        <v>2000</v>
      </c>
      <c r="M142" s="33">
        <f t="shared" si="7"/>
        <v>7755</v>
      </c>
      <c r="N142" s="32">
        <v>1707</v>
      </c>
      <c r="O142" s="32">
        <v>1648</v>
      </c>
      <c r="P142" s="34">
        <v>1190</v>
      </c>
      <c r="Q142" s="32">
        <v>1818</v>
      </c>
      <c r="R142" s="33">
        <f t="shared" si="8"/>
        <v>6363</v>
      </c>
    </row>
    <row r="143" spans="1:18" ht="15.75" customHeight="1" x14ac:dyDescent="0.3">
      <c r="A143" s="19">
        <v>25</v>
      </c>
      <c r="B143" s="20" t="str">
        <f t="shared" si="6"/>
        <v>JUN</v>
      </c>
      <c r="C143" s="21">
        <v>46194</v>
      </c>
      <c r="D143" s="20" t="str">
        <f>IFERROR(VLOOKUP(H143,KET!$B:$F,2,0),"")</f>
        <v>GRSM 4</v>
      </c>
      <c r="E143" s="20" t="str">
        <f>IFERROR(VLOOKUP(H143,KET!$B:$F,3,0),"")</f>
        <v>MAJALAYA</v>
      </c>
      <c r="F143" s="20" t="str">
        <f>IFERROR(VLOOKUP(H143,KET!$B:$F,4,0),"")</f>
        <v>FAHMI LUKMANUL HAKIM</v>
      </c>
      <c r="G143" s="20" t="str">
        <f>IFERROR(VLOOKUP(H143,KET!$B:$F,5,0),"")</f>
        <v>GMM</v>
      </c>
      <c r="H143" s="56" t="s">
        <v>27</v>
      </c>
      <c r="I143" s="32">
        <v>1775</v>
      </c>
      <c r="J143" s="32">
        <v>1730</v>
      </c>
      <c r="K143" s="32">
        <v>2250</v>
      </c>
      <c r="L143" s="32">
        <v>2000</v>
      </c>
      <c r="M143" s="33">
        <f t="shared" si="7"/>
        <v>7755</v>
      </c>
      <c r="N143" s="32">
        <v>1729</v>
      </c>
      <c r="O143" s="32">
        <v>1675</v>
      </c>
      <c r="P143" s="34">
        <v>2200</v>
      </c>
      <c r="Q143" s="32">
        <v>1798</v>
      </c>
      <c r="R143" s="33">
        <f t="shared" si="8"/>
        <v>7402</v>
      </c>
    </row>
    <row r="144" spans="1:18" ht="15.75" customHeight="1" x14ac:dyDescent="0.3">
      <c r="A144" s="19">
        <v>24</v>
      </c>
      <c r="B144" s="20" t="str">
        <f t="shared" si="6"/>
        <v>JUN</v>
      </c>
      <c r="C144" s="21">
        <v>46185</v>
      </c>
      <c r="D144" s="20" t="str">
        <f>IFERROR(VLOOKUP(H144,KET!$B:$F,2,0),"")</f>
        <v>GRSM 4</v>
      </c>
      <c r="E144" s="20" t="str">
        <f>IFERROR(VLOOKUP(H144,KET!$B:$F,3,0),"")</f>
        <v>KUNINGAN</v>
      </c>
      <c r="F144" s="20" t="str">
        <f>IFERROR(VLOOKUP(H144,KET!$B:$F,4,0),"")</f>
        <v>FAHMI LUKMANUL HAKIM</v>
      </c>
      <c r="G144" s="20" t="str">
        <f>IFERROR(VLOOKUP(H144,KET!$B:$F,5,0),"")</f>
        <v>GMM</v>
      </c>
      <c r="H144" s="56" t="s">
        <v>25</v>
      </c>
      <c r="I144" s="32">
        <v>1295</v>
      </c>
      <c r="J144" s="32">
        <v>907</v>
      </c>
      <c r="K144" s="32">
        <v>1392</v>
      </c>
      <c r="L144" s="32">
        <v>1805</v>
      </c>
      <c r="M144" s="33">
        <f t="shared" si="7"/>
        <v>5399</v>
      </c>
      <c r="N144" s="32">
        <v>1265</v>
      </c>
      <c r="O144" s="32">
        <v>759</v>
      </c>
      <c r="P144" s="34">
        <v>1345</v>
      </c>
      <c r="Q144" s="32">
        <v>1427</v>
      </c>
      <c r="R144" s="33">
        <f t="shared" si="8"/>
        <v>4796</v>
      </c>
    </row>
    <row r="145" spans="1:18" ht="15.75" customHeight="1" x14ac:dyDescent="0.3">
      <c r="A145" s="19">
        <v>24</v>
      </c>
      <c r="B145" s="20" t="str">
        <f t="shared" si="6"/>
        <v>JUN</v>
      </c>
      <c r="C145" s="21">
        <v>46185</v>
      </c>
      <c r="D145" s="20" t="str">
        <f>IFERROR(VLOOKUP(H145,KET!$B:$F,2,0),"")</f>
        <v>GRSM 4</v>
      </c>
      <c r="E145" s="20" t="str">
        <f>IFERROR(VLOOKUP(H145,KET!$B:$F,3,0),"")</f>
        <v>KUNINGAN</v>
      </c>
      <c r="F145" s="20" t="str">
        <f>IFERROR(VLOOKUP(H145,KET!$B:$F,4,0),"")</f>
        <v>FAHMI LUKMANUL HAKIM</v>
      </c>
      <c r="G145" s="20" t="str">
        <f>IFERROR(VLOOKUP(H145,KET!$B:$F,5,0),"")</f>
        <v>GMM</v>
      </c>
      <c r="H145" s="56" t="s">
        <v>25</v>
      </c>
      <c r="I145" s="32">
        <v>1295</v>
      </c>
      <c r="J145" s="32">
        <v>907</v>
      </c>
      <c r="K145" s="32">
        <v>1392</v>
      </c>
      <c r="L145" s="32">
        <v>1805</v>
      </c>
      <c r="M145" s="33">
        <f t="shared" si="7"/>
        <v>5399</v>
      </c>
      <c r="N145" s="32">
        <v>1265</v>
      </c>
      <c r="O145" s="32">
        <v>759</v>
      </c>
      <c r="P145" s="34">
        <v>1345</v>
      </c>
      <c r="Q145" s="32">
        <v>1427</v>
      </c>
      <c r="R145" s="33">
        <f t="shared" si="8"/>
        <v>4796</v>
      </c>
    </row>
    <row r="146" spans="1:18" ht="15.75" customHeight="1" x14ac:dyDescent="0.3">
      <c r="A146" s="19">
        <v>24</v>
      </c>
      <c r="B146" s="20" t="str">
        <f t="shared" si="6"/>
        <v>JUN</v>
      </c>
      <c r="C146" s="21">
        <v>46186</v>
      </c>
      <c r="D146" s="20" t="str">
        <f>IFERROR(VLOOKUP(H146,KET!$B:$F,2,0),"")</f>
        <v>GRSM 4</v>
      </c>
      <c r="E146" s="20" t="str">
        <f>IFERROR(VLOOKUP(H146,KET!$B:$F,3,0),"")</f>
        <v>KUNINGAN</v>
      </c>
      <c r="F146" s="20" t="str">
        <f>IFERROR(VLOOKUP(H146,KET!$B:$F,4,0),"")</f>
        <v>FAHMI LUKMANUL HAKIM</v>
      </c>
      <c r="G146" s="20" t="str">
        <f>IFERROR(VLOOKUP(H146,KET!$B:$F,5,0),"")</f>
        <v>GMM</v>
      </c>
      <c r="H146" s="56" t="s">
        <v>25</v>
      </c>
      <c r="I146" s="32">
        <v>1265</v>
      </c>
      <c r="J146" s="32">
        <v>759</v>
      </c>
      <c r="K146" s="32">
        <v>1345</v>
      </c>
      <c r="L146" s="32">
        <v>1427</v>
      </c>
      <c r="M146" s="33">
        <f t="shared" si="7"/>
        <v>4796</v>
      </c>
      <c r="N146" s="32">
        <v>1220</v>
      </c>
      <c r="O146" s="32">
        <v>574</v>
      </c>
      <c r="P146" s="34">
        <v>1221</v>
      </c>
      <c r="Q146" s="32">
        <v>1177</v>
      </c>
      <c r="R146" s="33">
        <f t="shared" si="8"/>
        <v>4192</v>
      </c>
    </row>
    <row r="147" spans="1:18" ht="15.75" customHeight="1" x14ac:dyDescent="0.3">
      <c r="A147" s="19">
        <v>24</v>
      </c>
      <c r="B147" s="20" t="str">
        <f t="shared" si="6"/>
        <v>JUN</v>
      </c>
      <c r="C147" s="21">
        <v>46186</v>
      </c>
      <c r="D147" s="20" t="str">
        <f>IFERROR(VLOOKUP(H147,KET!$B:$F,2,0),"")</f>
        <v>GRSM 4</v>
      </c>
      <c r="E147" s="20" t="str">
        <f>IFERROR(VLOOKUP(H147,KET!$B:$F,3,0),"")</f>
        <v>KUNINGAN</v>
      </c>
      <c r="F147" s="20" t="str">
        <f>IFERROR(VLOOKUP(H147,KET!$B:$F,4,0),"")</f>
        <v>FAHMI LUKMANUL HAKIM</v>
      </c>
      <c r="G147" s="20" t="str">
        <f>IFERROR(VLOOKUP(H147,KET!$B:$F,5,0),"")</f>
        <v>GMM</v>
      </c>
      <c r="H147" s="56" t="s">
        <v>25</v>
      </c>
      <c r="I147" s="32">
        <v>1265</v>
      </c>
      <c r="J147" s="32">
        <v>759</v>
      </c>
      <c r="K147" s="32">
        <v>1345</v>
      </c>
      <c r="L147" s="32">
        <v>1427</v>
      </c>
      <c r="M147" s="33">
        <f t="shared" si="7"/>
        <v>4796</v>
      </c>
      <c r="N147" s="32">
        <v>1220</v>
      </c>
      <c r="O147" s="32">
        <v>574</v>
      </c>
      <c r="P147" s="34">
        <v>1221</v>
      </c>
      <c r="Q147" s="32">
        <v>1177</v>
      </c>
      <c r="R147" s="33">
        <f t="shared" si="8"/>
        <v>4192</v>
      </c>
    </row>
    <row r="148" spans="1:18" ht="15.75" customHeight="1" x14ac:dyDescent="0.3">
      <c r="A148" s="19">
        <v>24</v>
      </c>
      <c r="B148" s="20" t="str">
        <f t="shared" si="6"/>
        <v>JUN</v>
      </c>
      <c r="C148" s="21">
        <v>46187</v>
      </c>
      <c r="D148" s="20" t="str">
        <f>IFERROR(VLOOKUP(H148,KET!$B:$F,2,0),"")</f>
        <v>GRSM 4</v>
      </c>
      <c r="E148" s="20" t="str">
        <f>IFERROR(VLOOKUP(H148,KET!$B:$F,3,0),"")</f>
        <v>KUNINGAN</v>
      </c>
      <c r="F148" s="20" t="str">
        <f>IFERROR(VLOOKUP(H148,KET!$B:$F,4,0),"")</f>
        <v>FAHMI LUKMANUL HAKIM</v>
      </c>
      <c r="G148" s="20" t="str">
        <f>IFERROR(VLOOKUP(H148,KET!$B:$F,5,0),"")</f>
        <v>GMM</v>
      </c>
      <c r="H148" s="56" t="s">
        <v>25</v>
      </c>
      <c r="I148" s="32">
        <v>1220</v>
      </c>
      <c r="J148" s="32">
        <v>574</v>
      </c>
      <c r="K148" s="32">
        <v>1221</v>
      </c>
      <c r="L148" s="32">
        <v>1177</v>
      </c>
      <c r="M148" s="33">
        <f t="shared" si="7"/>
        <v>4192</v>
      </c>
      <c r="N148" s="32">
        <v>1177</v>
      </c>
      <c r="O148" s="32">
        <v>409</v>
      </c>
      <c r="P148" s="34">
        <v>1155</v>
      </c>
      <c r="Q148" s="32">
        <v>865</v>
      </c>
      <c r="R148" s="33">
        <f t="shared" si="8"/>
        <v>3606</v>
      </c>
    </row>
    <row r="149" spans="1:18" ht="15.75" customHeight="1" x14ac:dyDescent="0.3">
      <c r="A149" s="19">
        <v>24</v>
      </c>
      <c r="B149" s="20" t="str">
        <f t="shared" si="6"/>
        <v>JUN</v>
      </c>
      <c r="C149" s="21">
        <v>46187</v>
      </c>
      <c r="D149" s="20" t="str">
        <f>IFERROR(VLOOKUP(H149,KET!$B:$F,2,0),"")</f>
        <v>GRSM 4</v>
      </c>
      <c r="E149" s="20" t="str">
        <f>IFERROR(VLOOKUP(H149,KET!$B:$F,3,0),"")</f>
        <v>KUNINGAN</v>
      </c>
      <c r="F149" s="20" t="str">
        <f>IFERROR(VLOOKUP(H149,KET!$B:$F,4,0),"")</f>
        <v>FAHMI LUKMANUL HAKIM</v>
      </c>
      <c r="G149" s="20" t="str">
        <f>IFERROR(VLOOKUP(H149,KET!$B:$F,5,0),"")</f>
        <v>GMM</v>
      </c>
      <c r="H149" s="56" t="s">
        <v>25</v>
      </c>
      <c r="I149" s="32">
        <v>1220</v>
      </c>
      <c r="J149" s="32">
        <v>574</v>
      </c>
      <c r="K149" s="32">
        <v>1221</v>
      </c>
      <c r="L149" s="32">
        <v>1177</v>
      </c>
      <c r="M149" s="33">
        <f t="shared" si="7"/>
        <v>4192</v>
      </c>
      <c r="N149" s="32">
        <v>1177</v>
      </c>
      <c r="O149" s="32">
        <v>409</v>
      </c>
      <c r="P149" s="34">
        <v>1155</v>
      </c>
      <c r="Q149" s="32">
        <v>865</v>
      </c>
      <c r="R149" s="33">
        <f t="shared" si="8"/>
        <v>3606</v>
      </c>
    </row>
    <row r="150" spans="1:18" ht="15.75" customHeight="1" x14ac:dyDescent="0.3">
      <c r="A150" s="19">
        <v>23</v>
      </c>
      <c r="B150" s="20" t="str">
        <f t="shared" si="6"/>
        <v>JUN</v>
      </c>
      <c r="C150" s="21">
        <v>46178</v>
      </c>
      <c r="D150" s="20" t="str">
        <f>IFERROR(VLOOKUP(H150,KET!$B:$F,2,0),"")</f>
        <v>GRSM 4</v>
      </c>
      <c r="E150" s="20" t="str">
        <f>IFERROR(VLOOKUP(H150,KET!$B:$F,3,0),"")</f>
        <v>KUNINGAN</v>
      </c>
      <c r="F150" s="20" t="str">
        <f>IFERROR(VLOOKUP(H150,KET!$B:$F,4,0),"")</f>
        <v>FAHMI LUKMANUL HAKIM</v>
      </c>
      <c r="G150" s="20" t="str">
        <f>IFERROR(VLOOKUP(H150,KET!$B:$F,5,0),"")</f>
        <v>GMM</v>
      </c>
      <c r="H150" s="56" t="s">
        <v>25</v>
      </c>
      <c r="I150" s="32">
        <v>1000</v>
      </c>
      <c r="J150" s="32">
        <v>520</v>
      </c>
      <c r="K150" s="32">
        <v>920</v>
      </c>
      <c r="L150" s="32">
        <v>2360</v>
      </c>
      <c r="M150" s="33">
        <f t="shared" si="7"/>
        <v>4800</v>
      </c>
      <c r="N150" s="32">
        <v>980</v>
      </c>
      <c r="O150" s="32">
        <v>495</v>
      </c>
      <c r="P150" s="34">
        <v>885</v>
      </c>
      <c r="Q150" s="32">
        <v>2240</v>
      </c>
      <c r="R150" s="33">
        <f t="shared" si="8"/>
        <v>4600</v>
      </c>
    </row>
    <row r="151" spans="1:18" ht="15.75" customHeight="1" x14ac:dyDescent="0.3">
      <c r="A151" s="19">
        <v>23</v>
      </c>
      <c r="B151" s="20" t="str">
        <f t="shared" si="6"/>
        <v>JUN</v>
      </c>
      <c r="C151" s="21">
        <v>46178</v>
      </c>
      <c r="D151" s="20" t="str">
        <f>IFERROR(VLOOKUP(H151,KET!$B:$F,2,0),"")</f>
        <v>GRSM 4</v>
      </c>
      <c r="E151" s="20" t="str">
        <f>IFERROR(VLOOKUP(H151,KET!$B:$F,3,0),"")</f>
        <v>KUNINGAN</v>
      </c>
      <c r="F151" s="20" t="str">
        <f>IFERROR(VLOOKUP(H151,KET!$B:$F,4,0),"")</f>
        <v>FAHMI LUKMANUL HAKIM</v>
      </c>
      <c r="G151" s="20" t="str">
        <f>IFERROR(VLOOKUP(H151,KET!$B:$F,5,0),"")</f>
        <v>GMM</v>
      </c>
      <c r="H151" s="56" t="s">
        <v>25</v>
      </c>
      <c r="I151" s="32">
        <v>1000</v>
      </c>
      <c r="J151" s="32">
        <v>520</v>
      </c>
      <c r="K151" s="32">
        <v>920</v>
      </c>
      <c r="L151" s="32">
        <v>2360</v>
      </c>
      <c r="M151" s="33">
        <f t="shared" si="7"/>
        <v>4800</v>
      </c>
      <c r="N151" s="32">
        <v>980</v>
      </c>
      <c r="O151" s="32">
        <v>495</v>
      </c>
      <c r="P151" s="34">
        <v>885</v>
      </c>
      <c r="Q151" s="32">
        <v>2240</v>
      </c>
      <c r="R151" s="33">
        <f t="shared" si="8"/>
        <v>4600</v>
      </c>
    </row>
    <row r="152" spans="1:18" ht="15.75" customHeight="1" x14ac:dyDescent="0.3">
      <c r="A152" s="19">
        <v>23</v>
      </c>
      <c r="B152" s="20" t="str">
        <f t="shared" si="6"/>
        <v>JUN</v>
      </c>
      <c r="C152" s="21">
        <v>46179</v>
      </c>
      <c r="D152" s="20" t="str">
        <f>IFERROR(VLOOKUP(H152,KET!$B:$F,2,0),"")</f>
        <v>GRSM 4</v>
      </c>
      <c r="E152" s="20" t="str">
        <f>IFERROR(VLOOKUP(H152,KET!$B:$F,3,0),"")</f>
        <v>KUNINGAN</v>
      </c>
      <c r="F152" s="20" t="str">
        <f>IFERROR(VLOOKUP(H152,KET!$B:$F,4,0),"")</f>
        <v>FAHMI LUKMANUL HAKIM</v>
      </c>
      <c r="G152" s="20" t="str">
        <f>IFERROR(VLOOKUP(H152,KET!$B:$F,5,0),"")</f>
        <v>GMM</v>
      </c>
      <c r="H152" s="56" t="s">
        <v>25</v>
      </c>
      <c r="I152" s="32">
        <v>480</v>
      </c>
      <c r="J152" s="32">
        <v>495</v>
      </c>
      <c r="K152" s="32">
        <v>885</v>
      </c>
      <c r="L152" s="32">
        <v>2240</v>
      </c>
      <c r="M152" s="33">
        <f t="shared" si="7"/>
        <v>4100</v>
      </c>
      <c r="N152" s="32">
        <v>940</v>
      </c>
      <c r="O152" s="32">
        <v>295</v>
      </c>
      <c r="P152" s="34">
        <v>845</v>
      </c>
      <c r="Q152" s="32">
        <v>2070</v>
      </c>
      <c r="R152" s="33">
        <f t="shared" si="8"/>
        <v>4150</v>
      </c>
    </row>
    <row r="153" spans="1:18" ht="15.75" customHeight="1" x14ac:dyDescent="0.3">
      <c r="A153" s="19">
        <v>23</v>
      </c>
      <c r="B153" s="20" t="str">
        <f t="shared" si="6"/>
        <v>JUN</v>
      </c>
      <c r="C153" s="21">
        <v>46179</v>
      </c>
      <c r="D153" s="20" t="str">
        <f>IFERROR(VLOOKUP(H153,KET!$B:$F,2,0),"")</f>
        <v>GRSM 4</v>
      </c>
      <c r="E153" s="20" t="str">
        <f>IFERROR(VLOOKUP(H153,KET!$B:$F,3,0),"")</f>
        <v>KUNINGAN</v>
      </c>
      <c r="F153" s="20" t="str">
        <f>IFERROR(VLOOKUP(H153,KET!$B:$F,4,0),"")</f>
        <v>FAHMI LUKMANUL HAKIM</v>
      </c>
      <c r="G153" s="20" t="str">
        <f>IFERROR(VLOOKUP(H153,KET!$B:$F,5,0),"")</f>
        <v>GMM</v>
      </c>
      <c r="H153" s="56" t="s">
        <v>25</v>
      </c>
      <c r="I153" s="32">
        <v>480</v>
      </c>
      <c r="J153" s="32">
        <v>495</v>
      </c>
      <c r="K153" s="32">
        <v>885</v>
      </c>
      <c r="L153" s="32">
        <v>2240</v>
      </c>
      <c r="M153" s="33">
        <f t="shared" si="7"/>
        <v>4100</v>
      </c>
      <c r="N153" s="32">
        <v>940</v>
      </c>
      <c r="O153" s="32">
        <v>295</v>
      </c>
      <c r="P153" s="34">
        <v>845</v>
      </c>
      <c r="Q153" s="32">
        <v>2070</v>
      </c>
      <c r="R153" s="33">
        <f t="shared" si="8"/>
        <v>4150</v>
      </c>
    </row>
    <row r="154" spans="1:18" ht="15.75" customHeight="1" x14ac:dyDescent="0.3">
      <c r="A154" s="19">
        <v>23</v>
      </c>
      <c r="B154" s="20" t="str">
        <f t="shared" si="6"/>
        <v>JUN</v>
      </c>
      <c r="C154" s="21">
        <v>46180</v>
      </c>
      <c r="D154" s="20" t="str">
        <f>IFERROR(VLOOKUP(H154,KET!$B:$F,2,0),"")</f>
        <v>GRSM 4</v>
      </c>
      <c r="E154" s="20" t="str">
        <f>IFERROR(VLOOKUP(H154,KET!$B:$F,3,0),"")</f>
        <v>KUNINGAN</v>
      </c>
      <c r="F154" s="20" t="str">
        <f>IFERROR(VLOOKUP(H154,KET!$B:$F,4,0),"")</f>
        <v>FAHMI LUKMANUL HAKIM</v>
      </c>
      <c r="G154" s="20" t="str">
        <f>IFERROR(VLOOKUP(H154,KET!$B:$F,5,0),"")</f>
        <v>GMM</v>
      </c>
      <c r="H154" s="56" t="s">
        <v>25</v>
      </c>
      <c r="I154" s="32">
        <v>940</v>
      </c>
      <c r="J154" s="32">
        <v>295</v>
      </c>
      <c r="K154" s="32">
        <v>845</v>
      </c>
      <c r="L154" s="32">
        <v>2070</v>
      </c>
      <c r="M154" s="33">
        <f t="shared" si="7"/>
        <v>4150</v>
      </c>
      <c r="N154" s="32">
        <v>895</v>
      </c>
      <c r="O154" s="32">
        <v>107</v>
      </c>
      <c r="P154" s="34">
        <v>792</v>
      </c>
      <c r="Q154" s="32">
        <v>1805</v>
      </c>
      <c r="R154" s="33">
        <f t="shared" si="8"/>
        <v>3599</v>
      </c>
    </row>
    <row r="155" spans="1:18" ht="15.75" customHeight="1" x14ac:dyDescent="0.3">
      <c r="A155" s="19">
        <v>23</v>
      </c>
      <c r="B155" s="20" t="str">
        <f t="shared" si="6"/>
        <v>JUN</v>
      </c>
      <c r="C155" s="21">
        <v>46180</v>
      </c>
      <c r="D155" s="20" t="str">
        <f>IFERROR(VLOOKUP(H155,KET!$B:$F,2,0),"")</f>
        <v>GRSM 4</v>
      </c>
      <c r="E155" s="20" t="str">
        <f>IFERROR(VLOOKUP(H155,KET!$B:$F,3,0),"")</f>
        <v>KUNINGAN</v>
      </c>
      <c r="F155" s="20" t="str">
        <f>IFERROR(VLOOKUP(H155,KET!$B:$F,4,0),"")</f>
        <v>FAHMI LUKMANUL HAKIM</v>
      </c>
      <c r="G155" s="20" t="str">
        <f>IFERROR(VLOOKUP(H155,KET!$B:$F,5,0),"")</f>
        <v>GMM</v>
      </c>
      <c r="H155" s="56" t="s">
        <v>25</v>
      </c>
      <c r="I155" s="32">
        <v>940</v>
      </c>
      <c r="J155" s="32">
        <v>295</v>
      </c>
      <c r="K155" s="32">
        <v>845</v>
      </c>
      <c r="L155" s="32">
        <v>2070</v>
      </c>
      <c r="M155" s="33">
        <f t="shared" si="7"/>
        <v>4150</v>
      </c>
      <c r="N155" s="32">
        <v>895</v>
      </c>
      <c r="O155" s="32">
        <v>107</v>
      </c>
      <c r="P155" s="34">
        <v>792</v>
      </c>
      <c r="Q155" s="32">
        <v>1805</v>
      </c>
      <c r="R155" s="33">
        <f t="shared" si="8"/>
        <v>3599</v>
      </c>
    </row>
    <row r="156" spans="1:18" ht="15.75" customHeight="1" x14ac:dyDescent="0.3">
      <c r="A156" s="19">
        <v>26</v>
      </c>
      <c r="B156" s="20" t="str">
        <f t="shared" si="6"/>
        <v>JUN</v>
      </c>
      <c r="C156" s="21">
        <v>46195</v>
      </c>
      <c r="D156" s="20" t="str">
        <f>IFERROR(VLOOKUP(H156,KET!$B:$F,2,0),"")</f>
        <v>GRSM 3A</v>
      </c>
      <c r="E156" s="20" t="str">
        <f>IFERROR(VLOOKUP(H156,KET!$B:$F,3,0),"")</f>
        <v>SUKABUMI</v>
      </c>
      <c r="F156" s="20" t="str">
        <f>IFERROR(VLOOKUP(H156,KET!$B:$F,4,0),"")</f>
        <v>FAHMI LUKMANUL HAKIM</v>
      </c>
      <c r="G156" s="20" t="str">
        <f>IFERROR(VLOOKUP(H156,KET!$B:$F,5,0),"")</f>
        <v>GMM</v>
      </c>
      <c r="H156" s="56" t="s">
        <v>22</v>
      </c>
      <c r="I156" s="32">
        <v>173</v>
      </c>
      <c r="J156" s="32">
        <v>612</v>
      </c>
      <c r="K156" s="32">
        <v>512</v>
      </c>
      <c r="L156" s="32">
        <v>1194</v>
      </c>
      <c r="M156" s="33">
        <f t="shared" si="7"/>
        <v>2491</v>
      </c>
      <c r="N156" s="32">
        <v>155</v>
      </c>
      <c r="O156" s="32">
        <v>572</v>
      </c>
      <c r="P156" s="34">
        <v>484</v>
      </c>
      <c r="Q156" s="32">
        <v>1098</v>
      </c>
      <c r="R156" s="33">
        <f t="shared" si="8"/>
        <v>2309</v>
      </c>
    </row>
    <row r="157" spans="1:18" ht="15.75" customHeight="1" x14ac:dyDescent="0.3">
      <c r="A157" s="19">
        <v>26</v>
      </c>
      <c r="B157" s="20" t="str">
        <f t="shared" si="6"/>
        <v>JUN</v>
      </c>
      <c r="C157" s="21">
        <v>46195</v>
      </c>
      <c r="D157" s="20" t="str">
        <f>IFERROR(VLOOKUP(H157,KET!$B:$F,2,0),"")</f>
        <v>GRSM 3A</v>
      </c>
      <c r="E157" s="20" t="str">
        <f>IFERROR(VLOOKUP(H157,KET!$B:$F,3,0),"")</f>
        <v>SUKABUMI</v>
      </c>
      <c r="F157" s="20" t="str">
        <f>IFERROR(VLOOKUP(H157,KET!$B:$F,4,0),"")</f>
        <v>FAHMI LUKMANUL HAKIM</v>
      </c>
      <c r="G157" s="20" t="str">
        <f>IFERROR(VLOOKUP(H157,KET!$B:$F,5,0),"")</f>
        <v>GMM</v>
      </c>
      <c r="H157" s="56" t="s">
        <v>22</v>
      </c>
      <c r="I157" s="32">
        <v>173</v>
      </c>
      <c r="J157" s="32">
        <v>612</v>
      </c>
      <c r="K157" s="32">
        <v>512</v>
      </c>
      <c r="L157" s="32">
        <v>1194</v>
      </c>
      <c r="M157" s="33">
        <f t="shared" si="7"/>
        <v>2491</v>
      </c>
      <c r="N157" s="32">
        <v>155</v>
      </c>
      <c r="O157" s="32">
        <v>572</v>
      </c>
      <c r="P157" s="34">
        <v>484</v>
      </c>
      <c r="Q157" s="32">
        <v>1098</v>
      </c>
      <c r="R157" s="33">
        <f t="shared" si="8"/>
        <v>2309</v>
      </c>
    </row>
    <row r="158" spans="1:18" ht="15.75" customHeight="1" x14ac:dyDescent="0.3">
      <c r="A158" s="19">
        <v>26</v>
      </c>
      <c r="B158" s="20" t="str">
        <f t="shared" si="6"/>
        <v>JUN</v>
      </c>
      <c r="C158" s="21">
        <v>46199</v>
      </c>
      <c r="D158" s="20" t="str">
        <f>IFERROR(VLOOKUP(H158,KET!$B:$F,2,0),"")</f>
        <v>GRSM 4</v>
      </c>
      <c r="E158" s="20" t="str">
        <f>IFERROR(VLOOKUP(H158,KET!$B:$F,3,0),"")</f>
        <v>TASIK</v>
      </c>
      <c r="F158" s="20" t="str">
        <f>IFERROR(VLOOKUP(H158,KET!$B:$F,4,0),"")</f>
        <v>FAHMI LUKMANUL HAKIM</v>
      </c>
      <c r="G158" s="20" t="str">
        <f>IFERROR(VLOOKUP(H158,KET!$B:$F,5,0),"")</f>
        <v>GMM</v>
      </c>
      <c r="H158" s="56" t="s">
        <v>18</v>
      </c>
      <c r="I158" s="32">
        <v>1080</v>
      </c>
      <c r="J158" s="32">
        <v>1680</v>
      </c>
      <c r="K158" s="32">
        <v>1200</v>
      </c>
      <c r="L158" s="32">
        <v>2280</v>
      </c>
      <c r="M158" s="33">
        <f t="shared" si="7"/>
        <v>6240</v>
      </c>
      <c r="N158" s="32">
        <v>1053</v>
      </c>
      <c r="O158" s="32">
        <v>1623</v>
      </c>
      <c r="P158" s="34">
        <v>1149</v>
      </c>
      <c r="Q158" s="32">
        <v>2208</v>
      </c>
      <c r="R158" s="33">
        <f t="shared" si="8"/>
        <v>6033</v>
      </c>
    </row>
    <row r="159" spans="1:18" ht="15.75" customHeight="1" x14ac:dyDescent="0.3">
      <c r="A159" s="19">
        <v>26</v>
      </c>
      <c r="B159" s="20" t="str">
        <f t="shared" si="6"/>
        <v>JUN</v>
      </c>
      <c r="C159" s="21">
        <v>46199</v>
      </c>
      <c r="D159" s="20" t="str">
        <f>IFERROR(VLOOKUP(H159,KET!$B:$F,2,0),"")</f>
        <v>GRSM 4</v>
      </c>
      <c r="E159" s="20" t="str">
        <f>IFERROR(VLOOKUP(H159,KET!$B:$F,3,0),"")</f>
        <v>TASIK</v>
      </c>
      <c r="F159" s="20" t="str">
        <f>IFERROR(VLOOKUP(H159,KET!$B:$F,4,0),"")</f>
        <v>FAHMI LUKMANUL HAKIM</v>
      </c>
      <c r="G159" s="20" t="str">
        <f>IFERROR(VLOOKUP(H159,KET!$B:$F,5,0),"")</f>
        <v>GMM</v>
      </c>
      <c r="H159" s="56" t="s">
        <v>18</v>
      </c>
      <c r="I159" s="32">
        <v>1053</v>
      </c>
      <c r="J159" s="32">
        <v>1566</v>
      </c>
      <c r="K159" s="32">
        <v>1083</v>
      </c>
      <c r="L159" s="32">
        <v>2208</v>
      </c>
      <c r="M159" s="33">
        <f t="shared" si="7"/>
        <v>5910</v>
      </c>
      <c r="N159" s="32">
        <v>1008</v>
      </c>
      <c r="O159" s="32">
        <v>1623</v>
      </c>
      <c r="P159" s="34">
        <v>1149</v>
      </c>
      <c r="Q159" s="32">
        <v>2088</v>
      </c>
      <c r="R159" s="33">
        <f t="shared" si="8"/>
        <v>5868</v>
      </c>
    </row>
    <row r="160" spans="1:18" ht="15.75" customHeight="1" x14ac:dyDescent="0.3">
      <c r="A160" s="19">
        <v>26</v>
      </c>
      <c r="B160" s="20" t="str">
        <f t="shared" si="6"/>
        <v>JUN</v>
      </c>
      <c r="C160" s="21">
        <v>46199</v>
      </c>
      <c r="D160" s="20" t="str">
        <f>IFERROR(VLOOKUP(H160,KET!$B:$F,2,0),"")</f>
        <v>GRSM 4</v>
      </c>
      <c r="E160" s="20" t="str">
        <f>IFERROR(VLOOKUP(H160,KET!$B:$F,3,0),"")</f>
        <v>TASIK</v>
      </c>
      <c r="F160" s="20" t="str">
        <f>IFERROR(VLOOKUP(H160,KET!$B:$F,4,0),"")</f>
        <v>FAHMI LUKMANUL HAKIM</v>
      </c>
      <c r="G160" s="20" t="str">
        <f>IFERROR(VLOOKUP(H160,KET!$B:$F,5,0),"")</f>
        <v>GMM</v>
      </c>
      <c r="H160" s="56" t="s">
        <v>24</v>
      </c>
      <c r="I160" s="32">
        <v>316</v>
      </c>
      <c r="J160" s="32">
        <v>1358</v>
      </c>
      <c r="K160" s="32">
        <v>412</v>
      </c>
      <c r="L160" s="32">
        <v>1603</v>
      </c>
      <c r="M160" s="33">
        <f t="shared" si="7"/>
        <v>3689</v>
      </c>
      <c r="N160" s="32">
        <v>220</v>
      </c>
      <c r="O160" s="32">
        <v>1262</v>
      </c>
      <c r="P160" s="34">
        <v>328</v>
      </c>
      <c r="Q160" s="32">
        <v>1459</v>
      </c>
      <c r="R160" s="33">
        <f t="shared" si="8"/>
        <v>3269</v>
      </c>
    </row>
    <row r="161" spans="1:18" ht="15.75" customHeight="1" x14ac:dyDescent="0.3">
      <c r="A161" s="19">
        <v>26</v>
      </c>
      <c r="B161" s="20" t="str">
        <f t="shared" si="6"/>
        <v>JUN</v>
      </c>
      <c r="C161" s="21">
        <v>46199</v>
      </c>
      <c r="D161" s="20" t="str">
        <f>IFERROR(VLOOKUP(H161,KET!$B:$F,2,0),"")</f>
        <v>GRSM 4</v>
      </c>
      <c r="E161" s="20" t="str">
        <f>IFERROR(VLOOKUP(H161,KET!$B:$F,3,0),"")</f>
        <v>TASIK</v>
      </c>
      <c r="F161" s="20" t="str">
        <f>IFERROR(VLOOKUP(H161,KET!$B:$F,4,0),"")</f>
        <v>FAHMI LUKMANUL HAKIM</v>
      </c>
      <c r="G161" s="20" t="str">
        <f>IFERROR(VLOOKUP(H161,KET!$B:$F,5,0),"")</f>
        <v>GMM</v>
      </c>
      <c r="H161" s="56" t="s">
        <v>24</v>
      </c>
      <c r="I161" s="32">
        <v>220</v>
      </c>
      <c r="J161" s="32">
        <v>1262</v>
      </c>
      <c r="K161" s="34">
        <v>328</v>
      </c>
      <c r="L161" s="32">
        <v>1459</v>
      </c>
      <c r="M161" s="33">
        <f t="shared" si="7"/>
        <v>3269</v>
      </c>
      <c r="N161" s="32">
        <v>160</v>
      </c>
      <c r="O161" s="32">
        <v>1142</v>
      </c>
      <c r="P161" s="34">
        <v>232</v>
      </c>
      <c r="Q161" s="32">
        <v>1315</v>
      </c>
      <c r="R161" s="33">
        <f t="shared" si="8"/>
        <v>2849</v>
      </c>
    </row>
    <row r="162" spans="1:18" ht="15.75" customHeight="1" x14ac:dyDescent="0.3">
      <c r="A162" s="19">
        <v>26</v>
      </c>
      <c r="B162" s="20" t="str">
        <f t="shared" si="6"/>
        <v>JUN</v>
      </c>
      <c r="C162" s="21">
        <v>46199</v>
      </c>
      <c r="D162" s="20" t="str">
        <f>IFERROR(VLOOKUP(H162,KET!$B:$F,2,0),"")</f>
        <v>GRSM 4</v>
      </c>
      <c r="E162" s="20" t="str">
        <f>IFERROR(VLOOKUP(H162,KET!$B:$F,3,0),"")</f>
        <v>TASIK</v>
      </c>
      <c r="F162" s="20" t="str">
        <f>IFERROR(VLOOKUP(H162,KET!$B:$F,4,0),"")</f>
        <v>FAHMI LUKMANUL HAKIM</v>
      </c>
      <c r="G162" s="20" t="str">
        <f>IFERROR(VLOOKUP(H162,KET!$B:$F,5,0),"")</f>
        <v>GMM</v>
      </c>
      <c r="H162" s="56" t="s">
        <v>20</v>
      </c>
      <c r="I162" s="32">
        <v>1227</v>
      </c>
      <c r="J162" s="32">
        <v>1643</v>
      </c>
      <c r="K162" s="32">
        <v>1115</v>
      </c>
      <c r="L162" s="32">
        <v>1767</v>
      </c>
      <c r="M162" s="33">
        <f t="shared" si="7"/>
        <v>5752</v>
      </c>
      <c r="N162" s="32">
        <v>1215</v>
      </c>
      <c r="O162" s="32">
        <v>1594</v>
      </c>
      <c r="P162" s="34">
        <v>1079</v>
      </c>
      <c r="Q162" s="32">
        <v>1657</v>
      </c>
      <c r="R162" s="33">
        <f t="shared" si="8"/>
        <v>5545</v>
      </c>
    </row>
    <row r="163" spans="1:18" ht="15.75" customHeight="1" x14ac:dyDescent="0.3">
      <c r="A163" s="19">
        <v>26</v>
      </c>
      <c r="B163" s="20" t="str">
        <f t="shared" si="6"/>
        <v>JUN</v>
      </c>
      <c r="C163" s="21">
        <v>46199</v>
      </c>
      <c r="D163" s="20" t="str">
        <f>IFERROR(VLOOKUP(H163,KET!$B:$F,2,0),"")</f>
        <v>GRSM 4</v>
      </c>
      <c r="E163" s="20" t="str">
        <f>IFERROR(VLOOKUP(H163,KET!$B:$F,3,0),"")</f>
        <v>TASIK</v>
      </c>
      <c r="F163" s="20" t="str">
        <f>IFERROR(VLOOKUP(H163,KET!$B:$F,4,0),"")</f>
        <v>FAHMI LUKMANUL HAKIM</v>
      </c>
      <c r="G163" s="20" t="str">
        <f>IFERROR(VLOOKUP(H163,KET!$B:$F,5,0),"")</f>
        <v>GMM</v>
      </c>
      <c r="H163" s="56" t="s">
        <v>20</v>
      </c>
      <c r="I163" s="32">
        <v>1215</v>
      </c>
      <c r="J163" s="32">
        <v>1594</v>
      </c>
      <c r="K163" s="34">
        <v>1079</v>
      </c>
      <c r="L163" s="32">
        <v>1657</v>
      </c>
      <c r="M163" s="33">
        <f t="shared" si="7"/>
        <v>5545</v>
      </c>
      <c r="N163" s="32">
        <v>1206</v>
      </c>
      <c r="O163" s="32">
        <v>1542</v>
      </c>
      <c r="P163" s="34">
        <v>1045</v>
      </c>
      <c r="Q163" s="32">
        <v>1530</v>
      </c>
      <c r="R163" s="33">
        <f t="shared" si="8"/>
        <v>5323</v>
      </c>
    </row>
    <row r="164" spans="1:18" ht="15.75" customHeight="1" x14ac:dyDescent="0.3">
      <c r="A164" s="19">
        <v>26</v>
      </c>
      <c r="B164" s="20" t="str">
        <f t="shared" si="6"/>
        <v>JUN</v>
      </c>
      <c r="C164" s="21">
        <v>46199</v>
      </c>
      <c r="D164" s="20" t="str">
        <f>IFERROR(VLOOKUP(H164,KET!$B:$F,2,0),"")</f>
        <v>GRSM 4</v>
      </c>
      <c r="E164" s="20" t="str">
        <f>IFERROR(VLOOKUP(H164,KET!$B:$F,3,0),"")</f>
        <v>GARUT</v>
      </c>
      <c r="F164" s="20" t="str">
        <f>IFERROR(VLOOKUP(H164,KET!$B:$F,4,0),"")</f>
        <v>FAHMI LUKMANUL HAKIM</v>
      </c>
      <c r="G164" s="20" t="str">
        <f>IFERROR(VLOOKUP(H164,KET!$B:$F,5,0),"")</f>
        <v>GMM</v>
      </c>
      <c r="H164" s="56" t="s">
        <v>23</v>
      </c>
      <c r="I164" s="32">
        <v>240</v>
      </c>
      <c r="J164" s="32">
        <v>280</v>
      </c>
      <c r="K164" s="32">
        <v>480</v>
      </c>
      <c r="L164" s="32">
        <v>1160</v>
      </c>
      <c r="M164" s="33">
        <f t="shared" si="7"/>
        <v>2160</v>
      </c>
      <c r="N164" s="32">
        <v>185</v>
      </c>
      <c r="O164" s="32">
        <v>216</v>
      </c>
      <c r="P164" s="34">
        <v>422</v>
      </c>
      <c r="Q164" s="32"/>
      <c r="R164" s="33">
        <f t="shared" si="8"/>
        <v>823</v>
      </c>
    </row>
    <row r="165" spans="1:18" ht="15.75" customHeight="1" x14ac:dyDescent="0.3">
      <c r="A165" s="19">
        <v>26</v>
      </c>
      <c r="B165" s="20" t="str">
        <f t="shared" si="6"/>
        <v>JUN</v>
      </c>
      <c r="C165" s="21">
        <v>46199</v>
      </c>
      <c r="D165" s="20" t="str">
        <f>IFERROR(VLOOKUP(H165,KET!$B:$F,2,0),"")</f>
        <v>GRSM 4</v>
      </c>
      <c r="E165" s="20" t="str">
        <f>IFERROR(VLOOKUP(H165,KET!$B:$F,3,0),"")</f>
        <v>GARUT</v>
      </c>
      <c r="F165" s="20" t="str">
        <f>IFERROR(VLOOKUP(H165,KET!$B:$F,4,0),"")</f>
        <v>FAHMI LUKMANUL HAKIM</v>
      </c>
      <c r="G165" s="20" t="str">
        <f>IFERROR(VLOOKUP(H165,KET!$B:$F,5,0),"")</f>
        <v>GMM</v>
      </c>
      <c r="H165" s="56" t="s">
        <v>23</v>
      </c>
      <c r="I165" s="32">
        <v>240</v>
      </c>
      <c r="J165" s="32">
        <v>280</v>
      </c>
      <c r="K165" s="32">
        <v>480</v>
      </c>
      <c r="L165" s="32">
        <v>1160</v>
      </c>
      <c r="M165" s="33">
        <f t="shared" si="7"/>
        <v>2160</v>
      </c>
      <c r="N165" s="32">
        <v>187</v>
      </c>
      <c r="O165" s="32">
        <v>218</v>
      </c>
      <c r="P165" s="34">
        <v>425</v>
      </c>
      <c r="Q165" s="32">
        <v>1160</v>
      </c>
      <c r="R165" s="33">
        <f t="shared" si="8"/>
        <v>1990</v>
      </c>
    </row>
    <row r="166" spans="1:18" ht="15.75" customHeight="1" x14ac:dyDescent="0.3">
      <c r="A166" s="19">
        <v>26</v>
      </c>
      <c r="B166" s="20" t="str">
        <f t="shared" si="6"/>
        <v>JUN</v>
      </c>
      <c r="C166" s="21">
        <v>46199</v>
      </c>
      <c r="D166" s="20" t="str">
        <f>IFERROR(VLOOKUP(H166,KET!$B:$F,2,0),"")</f>
        <v>GRSM 4</v>
      </c>
      <c r="E166" s="20" t="str">
        <f>IFERROR(VLOOKUP(H166,KET!$B:$F,3,0),"")</f>
        <v>KUNINGAN</v>
      </c>
      <c r="F166" s="20" t="str">
        <f>IFERROR(VLOOKUP(H166,KET!$B:$F,4,0),"")</f>
        <v>FAHMI LUKMANUL HAKIM</v>
      </c>
      <c r="G166" s="20" t="str">
        <f>IFERROR(VLOOKUP(H166,KET!$B:$F,5,0),"")</f>
        <v>GMM</v>
      </c>
      <c r="H166" s="56" t="s">
        <v>19</v>
      </c>
      <c r="I166" s="32">
        <v>331</v>
      </c>
      <c r="J166" s="32">
        <v>410</v>
      </c>
      <c r="K166" s="32">
        <v>526</v>
      </c>
      <c r="L166" s="32">
        <v>738</v>
      </c>
      <c r="M166" s="33">
        <f t="shared" si="7"/>
        <v>2005</v>
      </c>
      <c r="N166" s="32">
        <v>269</v>
      </c>
      <c r="O166" s="32">
        <v>342</v>
      </c>
      <c r="P166" s="34">
        <v>455</v>
      </c>
      <c r="Q166" s="32">
        <v>417</v>
      </c>
      <c r="R166" s="33">
        <f t="shared" si="8"/>
        <v>1483</v>
      </c>
    </row>
    <row r="167" spans="1:18" ht="15.75" customHeight="1" x14ac:dyDescent="0.3">
      <c r="A167" s="19">
        <v>26</v>
      </c>
      <c r="B167" s="20" t="str">
        <f t="shared" si="6"/>
        <v>JUN</v>
      </c>
      <c r="C167" s="21">
        <v>46199</v>
      </c>
      <c r="D167" s="20" t="str">
        <f>IFERROR(VLOOKUP(H167,KET!$B:$F,2,0),"")</f>
        <v>GRSM 4</v>
      </c>
      <c r="E167" s="20" t="str">
        <f>IFERROR(VLOOKUP(H167,KET!$B:$F,3,0),"")</f>
        <v>KUNINGAN</v>
      </c>
      <c r="F167" s="20" t="str">
        <f>IFERROR(VLOOKUP(H167,KET!$B:$F,4,0),"")</f>
        <v>FAHMI LUKMANUL HAKIM</v>
      </c>
      <c r="G167" s="20" t="str">
        <f>IFERROR(VLOOKUP(H167,KET!$B:$F,5,0),"")</f>
        <v>GMM</v>
      </c>
      <c r="H167" s="56" t="s">
        <v>19</v>
      </c>
      <c r="I167" s="32">
        <v>269</v>
      </c>
      <c r="J167" s="32">
        <v>342</v>
      </c>
      <c r="K167" s="34">
        <v>455</v>
      </c>
      <c r="L167" s="32">
        <v>417</v>
      </c>
      <c r="M167" s="33">
        <f t="shared" si="7"/>
        <v>1483</v>
      </c>
      <c r="N167" s="32">
        <v>215</v>
      </c>
      <c r="O167" s="32">
        <v>277</v>
      </c>
      <c r="P167" s="34">
        <v>386</v>
      </c>
      <c r="Q167" s="32">
        <v>302</v>
      </c>
      <c r="R167" s="33">
        <f t="shared" si="8"/>
        <v>1180</v>
      </c>
    </row>
    <row r="168" spans="1:18" ht="15.75" customHeight="1" x14ac:dyDescent="0.3">
      <c r="A168" s="19">
        <v>26</v>
      </c>
      <c r="B168" s="20" t="str">
        <f t="shared" si="6"/>
        <v>JUN</v>
      </c>
      <c r="C168" s="21">
        <v>46199</v>
      </c>
      <c r="D168" s="20" t="str">
        <f>IFERROR(VLOOKUP(H168,KET!$B:$F,2,0),"")</f>
        <v>GRSM 4</v>
      </c>
      <c r="E168" s="20" t="str">
        <f>IFERROR(VLOOKUP(H168,KET!$B:$F,3,0),"")</f>
        <v>KUNINGAN</v>
      </c>
      <c r="F168" s="20" t="str">
        <f>IFERROR(VLOOKUP(H168,KET!$B:$F,4,0),"")</f>
        <v>FAHMI LUKMANUL HAKIM</v>
      </c>
      <c r="G168" s="20" t="str">
        <f>IFERROR(VLOOKUP(H168,KET!$B:$F,5,0),"")</f>
        <v>GMM</v>
      </c>
      <c r="H168" s="56" t="s">
        <v>25</v>
      </c>
      <c r="I168" s="32">
        <v>1031</v>
      </c>
      <c r="J168" s="32">
        <v>1209</v>
      </c>
      <c r="K168" s="32">
        <v>529</v>
      </c>
      <c r="L168" s="32">
        <v>1031</v>
      </c>
      <c r="M168" s="33">
        <f t="shared" si="7"/>
        <v>3800</v>
      </c>
      <c r="N168" s="32">
        <v>1131</v>
      </c>
      <c r="O168" s="32">
        <v>860</v>
      </c>
      <c r="P168" s="34">
        <v>362</v>
      </c>
      <c r="Q168" s="32">
        <v>789</v>
      </c>
      <c r="R168" s="33">
        <f t="shared" si="8"/>
        <v>3142</v>
      </c>
    </row>
    <row r="169" spans="1:18" ht="15.75" customHeight="1" x14ac:dyDescent="0.3">
      <c r="A169" s="19">
        <v>26</v>
      </c>
      <c r="B169" s="20" t="str">
        <f t="shared" si="6"/>
        <v>JUN</v>
      </c>
      <c r="C169" s="21">
        <v>46199</v>
      </c>
      <c r="D169" s="20" t="str">
        <f>IFERROR(VLOOKUP(H169,KET!$B:$F,2,0),"")</f>
        <v>GRSM 4</v>
      </c>
      <c r="E169" s="20" t="str">
        <f>IFERROR(VLOOKUP(H169,KET!$B:$F,3,0),"")</f>
        <v>KUNINGAN</v>
      </c>
      <c r="F169" s="20" t="str">
        <f>IFERROR(VLOOKUP(H169,KET!$B:$F,4,0),"")</f>
        <v>FAHMI LUKMANUL HAKIM</v>
      </c>
      <c r="G169" s="20" t="str">
        <f>IFERROR(VLOOKUP(H169,KET!$B:$F,5,0),"")</f>
        <v>GMM</v>
      </c>
      <c r="H169" s="56" t="s">
        <v>25</v>
      </c>
      <c r="I169" s="32">
        <v>1131</v>
      </c>
      <c r="J169" s="32">
        <v>860</v>
      </c>
      <c r="K169" s="34">
        <v>362</v>
      </c>
      <c r="L169" s="32">
        <v>789</v>
      </c>
      <c r="M169" s="33">
        <f t="shared" si="7"/>
        <v>3142</v>
      </c>
      <c r="N169" s="32">
        <v>1131</v>
      </c>
      <c r="O169" s="32">
        <v>860</v>
      </c>
      <c r="P169" s="34">
        <v>362</v>
      </c>
      <c r="Q169" s="32">
        <v>789</v>
      </c>
      <c r="R169" s="33">
        <f t="shared" si="8"/>
        <v>3142</v>
      </c>
    </row>
    <row r="170" spans="1:18" ht="15.75" customHeight="1" x14ac:dyDescent="0.3">
      <c r="A170" s="19">
        <v>26</v>
      </c>
      <c r="B170" s="20" t="str">
        <f t="shared" si="6"/>
        <v>JUN</v>
      </c>
      <c r="C170" s="21">
        <v>46199</v>
      </c>
      <c r="D170" s="20" t="str">
        <f>IFERROR(VLOOKUP(H170,KET!$B:$F,2,0),"")</f>
        <v>GRSM 4</v>
      </c>
      <c r="E170" s="20" t="str">
        <f>IFERROR(VLOOKUP(H170,KET!$B:$F,3,0),"")</f>
        <v>BANJAR</v>
      </c>
      <c r="F170" s="20" t="str">
        <f>IFERROR(VLOOKUP(H170,KET!$B:$F,4,0),"")</f>
        <v>FAHMI LUKMANUL HAKIM</v>
      </c>
      <c r="G170" s="20" t="str">
        <f>IFERROR(VLOOKUP(H170,KET!$B:$F,5,0),"")</f>
        <v>GMM</v>
      </c>
      <c r="H170" s="56" t="s">
        <v>28</v>
      </c>
      <c r="I170" s="32">
        <v>240</v>
      </c>
      <c r="J170" s="32">
        <v>540</v>
      </c>
      <c r="K170" s="32">
        <v>480</v>
      </c>
      <c r="L170" s="32">
        <v>240</v>
      </c>
      <c r="M170" s="33">
        <f t="shared" si="7"/>
        <v>1500</v>
      </c>
      <c r="N170" s="32">
        <v>210</v>
      </c>
      <c r="O170" s="32">
        <v>485</v>
      </c>
      <c r="P170" s="34">
        <v>417</v>
      </c>
      <c r="Q170" s="32">
        <v>150</v>
      </c>
      <c r="R170" s="33">
        <f t="shared" si="8"/>
        <v>1262</v>
      </c>
    </row>
    <row r="171" spans="1:18" ht="15.75" customHeight="1" x14ac:dyDescent="0.3">
      <c r="A171" s="19">
        <v>26</v>
      </c>
      <c r="B171" s="20" t="str">
        <f t="shared" si="6"/>
        <v>JUN</v>
      </c>
      <c r="C171" s="21">
        <v>46199</v>
      </c>
      <c r="D171" s="20" t="str">
        <f>IFERROR(VLOOKUP(H171,KET!$B:$F,2,0),"")</f>
        <v>GRSM 4</v>
      </c>
      <c r="E171" s="20" t="str">
        <f>IFERROR(VLOOKUP(H171,KET!$B:$F,3,0),"")</f>
        <v>BANJAR</v>
      </c>
      <c r="F171" s="20" t="str">
        <f>IFERROR(VLOOKUP(H171,KET!$B:$F,4,0),"")</f>
        <v>FAHMI LUKMANUL HAKIM</v>
      </c>
      <c r="G171" s="20" t="str">
        <f>IFERROR(VLOOKUP(H171,KET!$B:$F,5,0),"")</f>
        <v>GMM</v>
      </c>
      <c r="H171" s="56" t="s">
        <v>28</v>
      </c>
      <c r="I171" s="32">
        <v>240</v>
      </c>
      <c r="J171" s="32">
        <v>540</v>
      </c>
      <c r="K171" s="32">
        <v>480</v>
      </c>
      <c r="L171" s="32">
        <v>240</v>
      </c>
      <c r="M171" s="33">
        <f t="shared" si="7"/>
        <v>1500</v>
      </c>
      <c r="N171" s="32">
        <v>210</v>
      </c>
      <c r="O171" s="32">
        <v>485</v>
      </c>
      <c r="P171" s="34">
        <v>417</v>
      </c>
      <c r="Q171" s="32">
        <v>150</v>
      </c>
      <c r="R171" s="33">
        <f t="shared" si="8"/>
        <v>1262</v>
      </c>
    </row>
    <row r="172" spans="1:18" ht="15.75" customHeight="1" x14ac:dyDescent="0.3">
      <c r="A172" s="19">
        <v>26</v>
      </c>
      <c r="B172" s="20" t="str">
        <f t="shared" si="6"/>
        <v>JUN</v>
      </c>
      <c r="C172" s="21">
        <v>46199</v>
      </c>
      <c r="D172" s="20" t="str">
        <f>IFERROR(VLOOKUP(H172,KET!$B:$F,2,0),"")</f>
        <v>GRSM 3A</v>
      </c>
      <c r="E172" s="20" t="str">
        <f>IFERROR(VLOOKUP(H172,KET!$B:$F,3,0),"")</f>
        <v>SUKABUMI</v>
      </c>
      <c r="F172" s="20" t="str">
        <f>IFERROR(VLOOKUP(H172,KET!$B:$F,4,0),"")</f>
        <v>FAHMI LUKMANUL HAKIM</v>
      </c>
      <c r="G172" s="20" t="str">
        <f>IFERROR(VLOOKUP(H172,KET!$B:$F,5,0),"")</f>
        <v>GMM</v>
      </c>
      <c r="H172" s="56" t="s">
        <v>22</v>
      </c>
      <c r="I172" s="32">
        <v>85</v>
      </c>
      <c r="J172" s="32">
        <v>425</v>
      </c>
      <c r="K172" s="32">
        <v>364</v>
      </c>
      <c r="L172" s="32">
        <v>858</v>
      </c>
      <c r="M172" s="33">
        <f t="shared" si="7"/>
        <v>1732</v>
      </c>
      <c r="N172" s="32">
        <v>65</v>
      </c>
      <c r="O172" s="32">
        <v>374</v>
      </c>
      <c r="P172" s="34">
        <v>328</v>
      </c>
      <c r="Q172" s="32">
        <v>596</v>
      </c>
      <c r="R172" s="33">
        <f t="shared" si="8"/>
        <v>1363</v>
      </c>
    </row>
    <row r="173" spans="1:18" ht="15.75" customHeight="1" x14ac:dyDescent="0.3">
      <c r="A173" s="19">
        <v>26</v>
      </c>
      <c r="B173" s="20" t="str">
        <f t="shared" si="6"/>
        <v>JUN</v>
      </c>
      <c r="C173" s="21">
        <v>46199</v>
      </c>
      <c r="D173" s="20" t="str">
        <f>IFERROR(VLOOKUP(H173,KET!$B:$F,2,0),"")</f>
        <v>GRSM 3A</v>
      </c>
      <c r="E173" s="20" t="str">
        <f>IFERROR(VLOOKUP(H173,KET!$B:$F,3,0),"")</f>
        <v>SUKABUMI</v>
      </c>
      <c r="F173" s="20" t="str">
        <f>IFERROR(VLOOKUP(H173,KET!$B:$F,4,0),"")</f>
        <v>FAHMI LUKMANUL HAKIM</v>
      </c>
      <c r="G173" s="20" t="str">
        <f>IFERROR(VLOOKUP(H173,KET!$B:$F,5,0),"")</f>
        <v>GMM</v>
      </c>
      <c r="H173" s="56" t="s">
        <v>22</v>
      </c>
      <c r="I173" s="32">
        <v>85</v>
      </c>
      <c r="J173" s="32">
        <v>425</v>
      </c>
      <c r="K173" s="32">
        <v>364</v>
      </c>
      <c r="L173" s="32">
        <v>858</v>
      </c>
      <c r="M173" s="33">
        <f t="shared" si="7"/>
        <v>1732</v>
      </c>
      <c r="N173" s="32">
        <v>65</v>
      </c>
      <c r="O173" s="32">
        <v>374</v>
      </c>
      <c r="P173" s="34">
        <v>328</v>
      </c>
      <c r="Q173" s="32">
        <v>596</v>
      </c>
      <c r="R173" s="33">
        <f t="shared" si="8"/>
        <v>1363</v>
      </c>
    </row>
    <row r="174" spans="1:18" ht="15.75" customHeight="1" x14ac:dyDescent="0.3">
      <c r="A174" s="19">
        <v>26</v>
      </c>
      <c r="B174" s="20" t="str">
        <f t="shared" si="6"/>
        <v>JUN</v>
      </c>
      <c r="C174" s="21">
        <v>46199</v>
      </c>
      <c r="D174" s="20" t="str">
        <f>IFERROR(VLOOKUP(H174,KET!$B:$F,2,0),"")</f>
        <v>GRSM 4</v>
      </c>
      <c r="E174" s="20" t="str">
        <f>IFERROR(VLOOKUP(H174,KET!$B:$F,3,0),"")</f>
        <v>BANDUNG</v>
      </c>
      <c r="F174" s="20" t="str">
        <f>IFERROR(VLOOKUP(H174,KET!$B:$F,4,0),"")</f>
        <v>FAHMI LUKMANUL HAKIM</v>
      </c>
      <c r="G174" s="20" t="str">
        <f>IFERROR(VLOOKUP(H174,KET!$B:$F,5,0),"")</f>
        <v>NKA</v>
      </c>
      <c r="H174" s="56" t="s">
        <v>26</v>
      </c>
      <c r="I174" s="32">
        <v>149</v>
      </c>
      <c r="J174" s="32">
        <v>677</v>
      </c>
      <c r="K174" s="32">
        <v>339</v>
      </c>
      <c r="L174" s="32">
        <v>3984</v>
      </c>
      <c r="M174" s="33">
        <f t="shared" si="7"/>
        <v>5149</v>
      </c>
      <c r="N174" s="32">
        <v>109</v>
      </c>
      <c r="O174" s="32">
        <v>557</v>
      </c>
      <c r="P174" s="34">
        <v>297</v>
      </c>
      <c r="Q174" s="32">
        <v>3732</v>
      </c>
      <c r="R174" s="33">
        <f t="shared" si="8"/>
        <v>4695</v>
      </c>
    </row>
    <row r="175" spans="1:18" ht="15.75" customHeight="1" x14ac:dyDescent="0.3">
      <c r="A175" s="19">
        <v>26</v>
      </c>
      <c r="B175" s="20" t="str">
        <f t="shared" si="6"/>
        <v>JUN</v>
      </c>
      <c r="C175" s="21">
        <v>46199</v>
      </c>
      <c r="D175" s="20" t="str">
        <f>IFERROR(VLOOKUP(H175,KET!$B:$F,2,0),"")</f>
        <v>GRSM 4</v>
      </c>
      <c r="E175" s="20" t="str">
        <f>IFERROR(VLOOKUP(H175,KET!$B:$F,3,0),"")</f>
        <v>BANDUNG</v>
      </c>
      <c r="F175" s="20" t="str">
        <f>IFERROR(VLOOKUP(H175,KET!$B:$F,4,0),"")</f>
        <v>FAHMI LUKMANUL HAKIM</v>
      </c>
      <c r="G175" s="20" t="str">
        <f>IFERROR(VLOOKUP(H175,KET!$B:$F,5,0),"")</f>
        <v>NKA</v>
      </c>
      <c r="H175" s="56" t="s">
        <v>26</v>
      </c>
      <c r="I175" s="32">
        <v>149</v>
      </c>
      <c r="J175" s="32">
        <v>677</v>
      </c>
      <c r="K175" s="32">
        <v>339</v>
      </c>
      <c r="L175" s="32">
        <v>3984</v>
      </c>
      <c r="M175" s="33">
        <f t="shared" si="7"/>
        <v>5149</v>
      </c>
      <c r="N175" s="32">
        <v>109</v>
      </c>
      <c r="O175" s="32">
        <v>557</v>
      </c>
      <c r="P175" s="34">
        <v>297</v>
      </c>
      <c r="Q175" s="32">
        <v>3732</v>
      </c>
      <c r="R175" s="33">
        <f t="shared" si="8"/>
        <v>4695</v>
      </c>
    </row>
    <row r="176" spans="1:18" ht="15.75" customHeight="1" x14ac:dyDescent="0.3">
      <c r="A176" s="19">
        <v>26</v>
      </c>
      <c r="B176" s="20" t="str">
        <f t="shared" si="6"/>
        <v>JUN</v>
      </c>
      <c r="C176" s="21">
        <v>46199</v>
      </c>
      <c r="D176" s="20" t="str">
        <f>IFERROR(VLOOKUP(H176,KET!$B:$F,2,0),"")</f>
        <v>GRSM 4</v>
      </c>
      <c r="E176" s="20" t="str">
        <f>IFERROR(VLOOKUP(H176,KET!$B:$F,3,0),"")</f>
        <v>MAJALAYA</v>
      </c>
      <c r="F176" s="20" t="str">
        <f>IFERROR(VLOOKUP(H176,KET!$B:$F,4,0),"")</f>
        <v>FAHMI LUKMANUL HAKIM</v>
      </c>
      <c r="G176" s="20" t="str">
        <f>IFERROR(VLOOKUP(H176,KET!$B:$F,5,0),"")</f>
        <v>GMM</v>
      </c>
      <c r="H176" s="56" t="s">
        <v>27</v>
      </c>
      <c r="I176" s="32">
        <v>1620</v>
      </c>
      <c r="J176" s="32">
        <v>1320</v>
      </c>
      <c r="K176" s="32">
        <v>1920</v>
      </c>
      <c r="L176" s="32">
        <v>1560</v>
      </c>
      <c r="M176" s="33">
        <f t="shared" si="7"/>
        <v>6420</v>
      </c>
      <c r="N176" s="32">
        <v>1597</v>
      </c>
      <c r="O176" s="32">
        <v>1263</v>
      </c>
      <c r="P176" s="34">
        <v>1881</v>
      </c>
      <c r="Q176" s="32">
        <v>1432</v>
      </c>
      <c r="R176" s="33">
        <f t="shared" si="8"/>
        <v>6173</v>
      </c>
    </row>
    <row r="177" spans="1:18" ht="15.75" customHeight="1" x14ac:dyDescent="0.3">
      <c r="A177" s="19">
        <v>26</v>
      </c>
      <c r="B177" s="20" t="str">
        <f t="shared" si="6"/>
        <v>JUN</v>
      </c>
      <c r="C177" s="21">
        <v>46199</v>
      </c>
      <c r="D177" s="20" t="str">
        <f>IFERROR(VLOOKUP(H177,KET!$B:$F,2,0),"")</f>
        <v>GRSM 4</v>
      </c>
      <c r="E177" s="20" t="str">
        <f>IFERROR(VLOOKUP(H177,KET!$B:$F,3,0),"")</f>
        <v>MAJALAYA</v>
      </c>
      <c r="F177" s="20" t="str">
        <f>IFERROR(VLOOKUP(H177,KET!$B:$F,4,0),"")</f>
        <v>FAHMI LUKMANUL HAKIM</v>
      </c>
      <c r="G177" s="20" t="str">
        <f>IFERROR(VLOOKUP(H177,KET!$B:$F,5,0),"")</f>
        <v>GMM</v>
      </c>
      <c r="H177" s="56" t="s">
        <v>27</v>
      </c>
      <c r="I177" s="32">
        <v>1620</v>
      </c>
      <c r="J177" s="32">
        <v>1320</v>
      </c>
      <c r="K177" s="32">
        <v>1920</v>
      </c>
      <c r="L177" s="32">
        <v>1560</v>
      </c>
      <c r="M177" s="33">
        <f t="shared" si="7"/>
        <v>6420</v>
      </c>
      <c r="N177" s="32">
        <v>1597</v>
      </c>
      <c r="O177" s="32">
        <v>1263</v>
      </c>
      <c r="P177" s="34">
        <v>1881</v>
      </c>
      <c r="Q177" s="32">
        <v>1432</v>
      </c>
      <c r="R177" s="33">
        <f t="shared" si="8"/>
        <v>6173</v>
      </c>
    </row>
    <row r="178" spans="1:18" ht="15.75" customHeight="1" x14ac:dyDescent="0.3">
      <c r="A178" s="19">
        <v>26</v>
      </c>
      <c r="B178" s="20" t="str">
        <f t="shared" si="6"/>
        <v>JUN</v>
      </c>
      <c r="C178" s="21">
        <v>46199</v>
      </c>
      <c r="D178" s="20"/>
      <c r="E178" s="20"/>
      <c r="F178" s="20"/>
      <c r="G178" s="20"/>
      <c r="H178" s="56" t="s">
        <v>22</v>
      </c>
      <c r="I178" s="32">
        <v>85</v>
      </c>
      <c r="J178" s="32">
        <v>452</v>
      </c>
      <c r="K178" s="32">
        <v>364</v>
      </c>
      <c r="L178" s="32">
        <v>858</v>
      </c>
      <c r="M178" s="33">
        <f t="shared" si="7"/>
        <v>1759</v>
      </c>
      <c r="N178" s="32">
        <v>65</v>
      </c>
      <c r="O178" s="32">
        <v>374</v>
      </c>
      <c r="P178" s="34">
        <v>328</v>
      </c>
      <c r="Q178" s="32">
        <v>596</v>
      </c>
      <c r="R178" s="33">
        <f t="shared" si="8"/>
        <v>1363</v>
      </c>
    </row>
    <row r="179" spans="1:18" ht="15.75" customHeight="1" x14ac:dyDescent="0.3">
      <c r="A179" s="19">
        <v>26</v>
      </c>
      <c r="B179" s="20" t="str">
        <f t="shared" si="6"/>
        <v>JUN</v>
      </c>
      <c r="C179" s="21">
        <v>46199</v>
      </c>
      <c r="D179" s="20"/>
      <c r="E179" s="20"/>
      <c r="F179" s="20"/>
      <c r="G179" s="20"/>
      <c r="H179" s="56" t="s">
        <v>22</v>
      </c>
      <c r="I179" s="32">
        <v>85</v>
      </c>
      <c r="J179" s="32">
        <v>452</v>
      </c>
      <c r="K179" s="32">
        <v>364</v>
      </c>
      <c r="L179" s="32">
        <v>858</v>
      </c>
      <c r="M179" s="33">
        <f t="shared" si="7"/>
        <v>1759</v>
      </c>
      <c r="N179" s="32">
        <v>65</v>
      </c>
      <c r="O179" s="32">
        <v>374</v>
      </c>
      <c r="P179" s="34">
        <v>328</v>
      </c>
      <c r="Q179" s="32">
        <v>596</v>
      </c>
      <c r="R179" s="33">
        <f t="shared" si="8"/>
        <v>1363</v>
      </c>
    </row>
    <row r="180" spans="1:18" ht="15.75" customHeight="1" x14ac:dyDescent="0.3">
      <c r="A180" s="19">
        <v>26</v>
      </c>
      <c r="B180" s="20" t="str">
        <f t="shared" si="6"/>
        <v>JUN</v>
      </c>
      <c r="C180" s="21">
        <v>46200</v>
      </c>
      <c r="D180" s="20" t="str">
        <f>IFERROR(VLOOKUP(H180,KET!$B:$F,2,0),"")</f>
        <v>GRSM 4</v>
      </c>
      <c r="E180" s="20" t="str">
        <f>IFERROR(VLOOKUP(H180,KET!$B:$F,3,0),"")</f>
        <v>TASIK</v>
      </c>
      <c r="F180" s="20" t="str">
        <f>IFERROR(VLOOKUP(H180,KET!$B:$F,4,0),"")</f>
        <v>FAHMI LUKMANUL HAKIM</v>
      </c>
      <c r="G180" s="20" t="str">
        <f>IFERROR(VLOOKUP(H180,KET!$B:$F,5,0),"")</f>
        <v>GMM</v>
      </c>
      <c r="H180" s="56" t="s">
        <v>18</v>
      </c>
      <c r="I180" s="32">
        <v>1008</v>
      </c>
      <c r="J180" s="32">
        <v>1566</v>
      </c>
      <c r="K180" s="32">
        <v>1098</v>
      </c>
      <c r="L180" s="32">
        <v>2088</v>
      </c>
      <c r="M180" s="33">
        <f t="shared" si="7"/>
        <v>5760</v>
      </c>
      <c r="N180" s="32">
        <v>957</v>
      </c>
      <c r="O180" s="32">
        <v>1509</v>
      </c>
      <c r="P180" s="34">
        <v>1026</v>
      </c>
      <c r="Q180" s="32">
        <v>1950</v>
      </c>
      <c r="R180" s="33">
        <f t="shared" si="8"/>
        <v>5442</v>
      </c>
    </row>
    <row r="181" spans="1:18" ht="15.75" customHeight="1" x14ac:dyDescent="0.3">
      <c r="A181" s="19">
        <v>26</v>
      </c>
      <c r="B181" s="20" t="str">
        <f t="shared" si="6"/>
        <v>JUN</v>
      </c>
      <c r="C181" s="21">
        <v>46200</v>
      </c>
      <c r="D181" s="20" t="str">
        <f>IFERROR(VLOOKUP(H181,KET!$B:$F,2,0),"")</f>
        <v>GRSM 4</v>
      </c>
      <c r="E181" s="20" t="str">
        <f>IFERROR(VLOOKUP(H181,KET!$B:$F,3,0),"")</f>
        <v>TASIK</v>
      </c>
      <c r="F181" s="20" t="str">
        <f>IFERROR(VLOOKUP(H181,KET!$B:$F,4,0),"")</f>
        <v>FAHMI LUKMANUL HAKIM</v>
      </c>
      <c r="G181" s="20" t="str">
        <f>IFERROR(VLOOKUP(H181,KET!$B:$F,5,0),"")</f>
        <v>GMM</v>
      </c>
      <c r="H181" s="56" t="s">
        <v>18</v>
      </c>
      <c r="I181" s="32">
        <v>915</v>
      </c>
      <c r="J181" s="32">
        <v>443</v>
      </c>
      <c r="K181" s="34">
        <v>1026</v>
      </c>
      <c r="L181" s="32">
        <v>1806</v>
      </c>
      <c r="M181" s="33">
        <f t="shared" si="7"/>
        <v>4190</v>
      </c>
      <c r="N181" s="32">
        <v>957</v>
      </c>
      <c r="O181" s="32">
        <v>1509</v>
      </c>
      <c r="P181" s="34">
        <v>945</v>
      </c>
      <c r="Q181" s="32">
        <v>1950</v>
      </c>
      <c r="R181" s="33">
        <f t="shared" si="8"/>
        <v>5361</v>
      </c>
    </row>
    <row r="182" spans="1:18" ht="15.75" customHeight="1" x14ac:dyDescent="0.3">
      <c r="A182" s="19">
        <v>26</v>
      </c>
      <c r="B182" s="20" t="str">
        <f t="shared" si="6"/>
        <v>JUN</v>
      </c>
      <c r="C182" s="21">
        <v>46200</v>
      </c>
      <c r="D182" s="20" t="str">
        <f>IFERROR(VLOOKUP(H182,KET!$B:$F,2,0),"")</f>
        <v>GRSM 4</v>
      </c>
      <c r="E182" s="20" t="str">
        <f>IFERROR(VLOOKUP(H182,KET!$B:$F,3,0),"")</f>
        <v>TASIK</v>
      </c>
      <c r="F182" s="20" t="str">
        <f>IFERROR(VLOOKUP(H182,KET!$B:$F,4,0),"")</f>
        <v>FAHMI LUKMANUL HAKIM</v>
      </c>
      <c r="G182" s="20" t="str">
        <f>IFERROR(VLOOKUP(H182,KET!$B:$F,5,0),"")</f>
        <v>GMM</v>
      </c>
      <c r="H182" s="56" t="s">
        <v>24</v>
      </c>
      <c r="I182" s="32">
        <v>160</v>
      </c>
      <c r="J182" s="32">
        <v>1142</v>
      </c>
      <c r="K182" s="32">
        <v>232</v>
      </c>
      <c r="L182" s="32">
        <v>1315</v>
      </c>
      <c r="M182" s="33">
        <f t="shared" si="7"/>
        <v>2849</v>
      </c>
      <c r="N182" s="32">
        <v>142</v>
      </c>
      <c r="O182" s="32">
        <v>722</v>
      </c>
      <c r="P182" s="34">
        <v>184</v>
      </c>
      <c r="Q182" s="32">
        <v>1051</v>
      </c>
      <c r="R182" s="33">
        <f t="shared" si="8"/>
        <v>2099</v>
      </c>
    </row>
    <row r="183" spans="1:18" ht="15.75" customHeight="1" x14ac:dyDescent="0.3">
      <c r="A183" s="19">
        <v>26</v>
      </c>
      <c r="B183" s="20" t="str">
        <f t="shared" si="6"/>
        <v>JUN</v>
      </c>
      <c r="C183" s="21">
        <v>46200</v>
      </c>
      <c r="D183" s="20" t="str">
        <f>IFERROR(VLOOKUP(H183,KET!$B:$F,2,0),"")</f>
        <v>GRSM 4</v>
      </c>
      <c r="E183" s="20" t="str">
        <f>IFERROR(VLOOKUP(H183,KET!$B:$F,3,0),"")</f>
        <v>TASIK</v>
      </c>
      <c r="F183" s="20" t="str">
        <f>IFERROR(VLOOKUP(H183,KET!$B:$F,4,0),"")</f>
        <v>FAHMI LUKMANUL HAKIM</v>
      </c>
      <c r="G183" s="20" t="str">
        <f>IFERROR(VLOOKUP(H183,KET!$B:$F,5,0),"")</f>
        <v>GMM</v>
      </c>
      <c r="H183" s="56" t="s">
        <v>24</v>
      </c>
      <c r="I183" s="32">
        <v>142</v>
      </c>
      <c r="J183" s="32">
        <v>722</v>
      </c>
      <c r="K183" s="32">
        <v>184</v>
      </c>
      <c r="L183" s="32">
        <v>1051</v>
      </c>
      <c r="M183" s="33">
        <f t="shared" si="7"/>
        <v>2099</v>
      </c>
      <c r="N183" s="32">
        <v>124</v>
      </c>
      <c r="O183" s="32">
        <v>542</v>
      </c>
      <c r="P183" s="34">
        <v>148</v>
      </c>
      <c r="Q183" s="32">
        <v>751</v>
      </c>
      <c r="R183" s="33">
        <f t="shared" si="8"/>
        <v>1565</v>
      </c>
    </row>
    <row r="184" spans="1:18" ht="15.75" customHeight="1" x14ac:dyDescent="0.3">
      <c r="A184" s="19">
        <v>26</v>
      </c>
      <c r="B184" s="20" t="str">
        <f t="shared" si="6"/>
        <v>JUN</v>
      </c>
      <c r="C184" s="21">
        <v>46200</v>
      </c>
      <c r="D184" s="20" t="str">
        <f>IFERROR(VLOOKUP(H184,KET!$B:$F,2,0),"")</f>
        <v>GRSM 4</v>
      </c>
      <c r="E184" s="20" t="str">
        <f>IFERROR(VLOOKUP(H184,KET!$B:$F,3,0),"")</f>
        <v>TASIK</v>
      </c>
      <c r="F184" s="20" t="str">
        <f>IFERROR(VLOOKUP(H184,KET!$B:$F,4,0),"")</f>
        <v>FAHMI LUKMANUL HAKIM</v>
      </c>
      <c r="G184" s="20" t="str">
        <f>IFERROR(VLOOKUP(H184,KET!$B:$F,5,0),"")</f>
        <v>GMM</v>
      </c>
      <c r="H184" s="56" t="s">
        <v>20</v>
      </c>
      <c r="I184" s="32">
        <v>1196</v>
      </c>
      <c r="J184" s="32">
        <v>1491</v>
      </c>
      <c r="K184" s="32">
        <v>1005</v>
      </c>
      <c r="L184" s="32">
        <v>1382</v>
      </c>
      <c r="M184" s="33">
        <f t="shared" si="7"/>
        <v>5074</v>
      </c>
      <c r="N184" s="32">
        <v>1183</v>
      </c>
      <c r="O184" s="32">
        <v>1442</v>
      </c>
      <c r="P184" s="34">
        <v>967</v>
      </c>
      <c r="Q184" s="32">
        <v>1231</v>
      </c>
      <c r="R184" s="33">
        <f t="shared" si="8"/>
        <v>4823</v>
      </c>
    </row>
    <row r="185" spans="1:18" ht="15.75" customHeight="1" x14ac:dyDescent="0.3">
      <c r="A185" s="19">
        <v>26</v>
      </c>
      <c r="B185" s="20" t="str">
        <f t="shared" si="6"/>
        <v>JUN</v>
      </c>
      <c r="C185" s="21">
        <v>46200</v>
      </c>
      <c r="D185" s="20" t="str">
        <f>IFERROR(VLOOKUP(H185,KET!$B:$F,2,0),"")</f>
        <v>GRSM 4</v>
      </c>
      <c r="E185" s="20" t="str">
        <f>IFERROR(VLOOKUP(H185,KET!$B:$F,3,0),"")</f>
        <v>TASIK</v>
      </c>
      <c r="F185" s="20" t="str">
        <f>IFERROR(VLOOKUP(H185,KET!$B:$F,4,0),"")</f>
        <v>FAHMI LUKMANUL HAKIM</v>
      </c>
      <c r="G185" s="20" t="str">
        <f>IFERROR(VLOOKUP(H185,KET!$B:$F,5,0),"")</f>
        <v>GMM</v>
      </c>
      <c r="H185" s="56" t="s">
        <v>20</v>
      </c>
      <c r="I185" s="32">
        <v>1206</v>
      </c>
      <c r="J185" s="32">
        <v>1542</v>
      </c>
      <c r="K185" s="34">
        <v>1045</v>
      </c>
      <c r="L185" s="32">
        <v>1530</v>
      </c>
      <c r="M185" s="33">
        <f t="shared" si="7"/>
        <v>5323</v>
      </c>
      <c r="N185" s="32">
        <v>1196</v>
      </c>
      <c r="O185" s="32">
        <v>1491</v>
      </c>
      <c r="P185" s="34">
        <v>1005</v>
      </c>
      <c r="Q185" s="32">
        <v>1382</v>
      </c>
      <c r="R185" s="33">
        <f t="shared" si="8"/>
        <v>5074</v>
      </c>
    </row>
    <row r="186" spans="1:18" ht="15.75" customHeight="1" x14ac:dyDescent="0.3">
      <c r="A186" s="19">
        <v>26</v>
      </c>
      <c r="B186" s="20" t="str">
        <f t="shared" si="6"/>
        <v>JUN</v>
      </c>
      <c r="C186" s="21">
        <v>46200</v>
      </c>
      <c r="D186" s="20" t="str">
        <f>IFERROR(VLOOKUP(H186,KET!$B:$F,2,0),"")</f>
        <v>GRSM 4</v>
      </c>
      <c r="E186" s="20" t="str">
        <f>IFERROR(VLOOKUP(H186,KET!$B:$F,3,0),"")</f>
        <v>GARUT</v>
      </c>
      <c r="F186" s="20" t="str">
        <f>IFERROR(VLOOKUP(H186,KET!$B:$F,4,0),"")</f>
        <v>FAHMI LUKMANUL HAKIM</v>
      </c>
      <c r="G186" s="20" t="str">
        <f>IFERROR(VLOOKUP(H186,KET!$B:$F,5,0),"")</f>
        <v>GMM</v>
      </c>
      <c r="H186" s="56" t="s">
        <v>23</v>
      </c>
      <c r="I186" s="32">
        <v>187</v>
      </c>
      <c r="J186" s="32">
        <v>218</v>
      </c>
      <c r="K186" s="32">
        <v>425</v>
      </c>
      <c r="L186" s="32">
        <v>1069</v>
      </c>
      <c r="M186" s="33">
        <f t="shared" si="7"/>
        <v>1899</v>
      </c>
      <c r="N186" s="32">
        <v>129</v>
      </c>
      <c r="O186" s="32">
        <v>149</v>
      </c>
      <c r="P186" s="34">
        <v>365</v>
      </c>
      <c r="Q186" s="32">
        <v>974</v>
      </c>
      <c r="R186" s="33">
        <f t="shared" si="8"/>
        <v>1617</v>
      </c>
    </row>
    <row r="187" spans="1:18" ht="15.75" customHeight="1" x14ac:dyDescent="0.3">
      <c r="A187" s="19">
        <v>26</v>
      </c>
      <c r="B187" s="20" t="str">
        <f t="shared" si="6"/>
        <v>JUN</v>
      </c>
      <c r="C187" s="21">
        <v>46200</v>
      </c>
      <c r="D187" s="20" t="str">
        <f>IFERROR(VLOOKUP(H187,KET!$B:$F,2,0),"")</f>
        <v>GRSM 4</v>
      </c>
      <c r="E187" s="20" t="str">
        <f>IFERROR(VLOOKUP(H187,KET!$B:$F,3,0),"")</f>
        <v>GARUT</v>
      </c>
      <c r="F187" s="20" t="str">
        <f>IFERROR(VLOOKUP(H187,KET!$B:$F,4,0),"")</f>
        <v>FAHMI LUKMANUL HAKIM</v>
      </c>
      <c r="G187" s="20" t="str">
        <f>IFERROR(VLOOKUP(H187,KET!$B:$F,5,0),"")</f>
        <v>GMM</v>
      </c>
      <c r="H187" s="56" t="s">
        <v>23</v>
      </c>
      <c r="I187" s="32">
        <v>185</v>
      </c>
      <c r="J187" s="32">
        <v>216</v>
      </c>
      <c r="K187" s="32">
        <v>422</v>
      </c>
      <c r="L187" s="32">
        <v>974</v>
      </c>
      <c r="M187" s="33">
        <f t="shared" si="7"/>
        <v>1797</v>
      </c>
      <c r="N187" s="32">
        <v>125</v>
      </c>
      <c r="O187" s="32">
        <v>144</v>
      </c>
      <c r="P187" s="34">
        <v>358</v>
      </c>
      <c r="Q187" s="32">
        <v>875</v>
      </c>
      <c r="R187" s="33">
        <f t="shared" si="8"/>
        <v>1502</v>
      </c>
    </row>
    <row r="188" spans="1:18" ht="15.75" customHeight="1" x14ac:dyDescent="0.3">
      <c r="A188" s="19">
        <v>26</v>
      </c>
      <c r="B188" s="20" t="str">
        <f t="shared" si="6"/>
        <v>JUN</v>
      </c>
      <c r="C188" s="21">
        <v>46200</v>
      </c>
      <c r="D188" s="20" t="str">
        <f>IFERROR(VLOOKUP(H188,KET!$B:$F,2,0),"")</f>
        <v>GRSM 4</v>
      </c>
      <c r="E188" s="20" t="str">
        <f>IFERROR(VLOOKUP(H188,KET!$B:$F,3,0),"")</f>
        <v>KUNINGAN</v>
      </c>
      <c r="F188" s="20" t="str">
        <f>IFERROR(VLOOKUP(H188,KET!$B:$F,4,0),"")</f>
        <v>FAHMI LUKMANUL HAKIM</v>
      </c>
      <c r="G188" s="20" t="str">
        <f>IFERROR(VLOOKUP(H188,KET!$B:$F,5,0),"")</f>
        <v>GMM</v>
      </c>
      <c r="H188" s="56" t="s">
        <v>19</v>
      </c>
      <c r="I188" s="32">
        <v>215</v>
      </c>
      <c r="J188" s="32">
        <v>277</v>
      </c>
      <c r="K188" s="32">
        <v>386</v>
      </c>
      <c r="L188" s="32">
        <v>902</v>
      </c>
      <c r="M188" s="33">
        <f t="shared" si="7"/>
        <v>1780</v>
      </c>
      <c r="N188" s="32">
        <v>159</v>
      </c>
      <c r="O188" s="32">
        <v>214</v>
      </c>
      <c r="P188" s="34">
        <v>318</v>
      </c>
      <c r="Q188" s="32">
        <v>678</v>
      </c>
      <c r="R188" s="33">
        <f t="shared" si="8"/>
        <v>1369</v>
      </c>
    </row>
    <row r="189" spans="1:18" ht="15.75" customHeight="1" x14ac:dyDescent="0.3">
      <c r="A189" s="19">
        <v>26</v>
      </c>
      <c r="B189" s="20" t="str">
        <f t="shared" si="6"/>
        <v>JUN</v>
      </c>
      <c r="C189" s="21">
        <v>46200</v>
      </c>
      <c r="D189" s="20" t="str">
        <f>IFERROR(VLOOKUP(H189,KET!$B:$F,2,0),"")</f>
        <v>GRSM 4</v>
      </c>
      <c r="E189" s="20" t="str">
        <f>IFERROR(VLOOKUP(H189,KET!$B:$F,3,0),"")</f>
        <v>KUNINGAN</v>
      </c>
      <c r="F189" s="20" t="str">
        <f>IFERROR(VLOOKUP(H189,KET!$B:$F,4,0),"")</f>
        <v>FAHMI LUKMANUL HAKIM</v>
      </c>
      <c r="G189" s="20" t="str">
        <f>IFERROR(VLOOKUP(H189,KET!$B:$F,5,0),"")</f>
        <v>GMM</v>
      </c>
      <c r="H189" s="56" t="s">
        <v>19</v>
      </c>
      <c r="I189" s="32">
        <v>159</v>
      </c>
      <c r="J189" s="32">
        <v>214</v>
      </c>
      <c r="K189" s="34">
        <v>318</v>
      </c>
      <c r="L189" s="32">
        <v>678</v>
      </c>
      <c r="M189" s="33">
        <f t="shared" si="7"/>
        <v>1369</v>
      </c>
      <c r="N189" s="32">
        <v>55</v>
      </c>
      <c r="O189" s="32">
        <v>59</v>
      </c>
      <c r="P189" s="34">
        <v>63</v>
      </c>
      <c r="Q189" s="32">
        <v>222</v>
      </c>
      <c r="R189" s="33">
        <f t="shared" si="8"/>
        <v>399</v>
      </c>
    </row>
    <row r="190" spans="1:18" ht="15.75" customHeight="1" x14ac:dyDescent="0.3">
      <c r="A190" s="19">
        <v>26</v>
      </c>
      <c r="B190" s="20" t="str">
        <f t="shared" si="6"/>
        <v>JUN</v>
      </c>
      <c r="C190" s="21">
        <v>46200</v>
      </c>
      <c r="D190" s="20" t="str">
        <f>IFERROR(VLOOKUP(H190,KET!$B:$F,2,0),"")</f>
        <v>GRSM 4</v>
      </c>
      <c r="E190" s="20" t="str">
        <f>IFERROR(VLOOKUP(H190,KET!$B:$F,3,0),"")</f>
        <v>KUNINGAN</v>
      </c>
      <c r="F190" s="20" t="str">
        <f>IFERROR(VLOOKUP(H190,KET!$B:$F,4,0),"")</f>
        <v>FAHMI LUKMANUL HAKIM</v>
      </c>
      <c r="G190" s="20" t="str">
        <f>IFERROR(VLOOKUP(H190,KET!$B:$F,5,0),"")</f>
        <v>GMM</v>
      </c>
      <c r="H190" s="56" t="s">
        <v>25</v>
      </c>
      <c r="I190" s="32">
        <v>1209</v>
      </c>
      <c r="J190" s="32">
        <v>1092</v>
      </c>
      <c r="K190" s="32">
        <v>529</v>
      </c>
      <c r="L190" s="32">
        <v>1031</v>
      </c>
      <c r="M190" s="33">
        <f t="shared" si="7"/>
        <v>3861</v>
      </c>
      <c r="N190" s="32">
        <v>1131</v>
      </c>
      <c r="O190" s="32">
        <v>860</v>
      </c>
      <c r="P190" s="34">
        <v>362</v>
      </c>
      <c r="Q190" s="32">
        <v>789</v>
      </c>
      <c r="R190" s="33">
        <f t="shared" si="8"/>
        <v>3142</v>
      </c>
    </row>
    <row r="191" spans="1:18" ht="15.75" customHeight="1" x14ac:dyDescent="0.3">
      <c r="A191" s="19">
        <v>26</v>
      </c>
      <c r="B191" s="20" t="str">
        <f t="shared" si="6"/>
        <v>JUN</v>
      </c>
      <c r="C191" s="21">
        <v>46200</v>
      </c>
      <c r="D191" s="20" t="str">
        <f>IFERROR(VLOOKUP(H191,KET!$B:$F,2,0),"")</f>
        <v>GRSM 4</v>
      </c>
      <c r="E191" s="20" t="str">
        <f>IFERROR(VLOOKUP(H191,KET!$B:$F,3,0),"")</f>
        <v>KUNINGAN</v>
      </c>
      <c r="F191" s="20" t="str">
        <f>IFERROR(VLOOKUP(H191,KET!$B:$F,4,0),"")</f>
        <v>FAHMI LUKMANUL HAKIM</v>
      </c>
      <c r="G191" s="20" t="str">
        <f>IFERROR(VLOOKUP(H191,KET!$B:$F,5,0),"")</f>
        <v>GMM</v>
      </c>
      <c r="H191" s="56" t="s">
        <v>25</v>
      </c>
      <c r="I191" s="32">
        <v>1209</v>
      </c>
      <c r="J191" s="32">
        <v>1092</v>
      </c>
      <c r="K191" s="34">
        <v>529</v>
      </c>
      <c r="L191" s="32">
        <v>1031</v>
      </c>
      <c r="M191" s="33">
        <f t="shared" si="7"/>
        <v>3861</v>
      </c>
      <c r="N191" s="32">
        <v>1131</v>
      </c>
      <c r="O191" s="32">
        <v>860</v>
      </c>
      <c r="P191" s="34">
        <v>362</v>
      </c>
      <c r="Q191" s="32">
        <v>789</v>
      </c>
      <c r="R191" s="33">
        <f t="shared" si="8"/>
        <v>3142</v>
      </c>
    </row>
    <row r="192" spans="1:18" ht="15.75" customHeight="1" x14ac:dyDescent="0.3">
      <c r="A192" s="19">
        <v>26</v>
      </c>
      <c r="B192" s="20" t="str">
        <f t="shared" si="6"/>
        <v>JUN</v>
      </c>
      <c r="C192" s="21">
        <v>46200</v>
      </c>
      <c r="D192" s="20" t="str">
        <f>IFERROR(VLOOKUP(H192,KET!$B:$F,2,0),"")</f>
        <v>GRSM 4</v>
      </c>
      <c r="E192" s="20" t="str">
        <f>IFERROR(VLOOKUP(H192,KET!$B:$F,3,0),"")</f>
        <v>BANJAR</v>
      </c>
      <c r="F192" s="20" t="str">
        <f>IFERROR(VLOOKUP(H192,KET!$B:$F,4,0),"")</f>
        <v>FAHMI LUKMANUL HAKIM</v>
      </c>
      <c r="G192" s="20" t="str">
        <f>IFERROR(VLOOKUP(H192,KET!$B:$F,5,0),"")</f>
        <v>GMM</v>
      </c>
      <c r="H192" s="56" t="s">
        <v>28</v>
      </c>
      <c r="I192" s="32">
        <v>210</v>
      </c>
      <c r="J192" s="32">
        <v>490</v>
      </c>
      <c r="K192" s="32">
        <v>420</v>
      </c>
      <c r="L192" s="32">
        <v>150</v>
      </c>
      <c r="M192" s="33">
        <f t="shared" si="7"/>
        <v>1270</v>
      </c>
      <c r="N192" s="32">
        <v>150</v>
      </c>
      <c r="O192" s="32">
        <v>400</v>
      </c>
      <c r="P192" s="34">
        <v>350</v>
      </c>
      <c r="Q192" s="32">
        <v>100</v>
      </c>
      <c r="R192" s="33">
        <f t="shared" si="8"/>
        <v>1000</v>
      </c>
    </row>
    <row r="193" spans="1:18" ht="15.75" customHeight="1" x14ac:dyDescent="0.3">
      <c r="A193" s="19">
        <v>26</v>
      </c>
      <c r="B193" s="20" t="str">
        <f t="shared" si="6"/>
        <v>JUN</v>
      </c>
      <c r="C193" s="21">
        <v>46200</v>
      </c>
      <c r="D193" s="20" t="str">
        <f>IFERROR(VLOOKUP(H193,KET!$B:$F,2,0),"")</f>
        <v>GRSM 4</v>
      </c>
      <c r="E193" s="20" t="str">
        <f>IFERROR(VLOOKUP(H193,KET!$B:$F,3,0),"")</f>
        <v>BANJAR</v>
      </c>
      <c r="F193" s="20" t="str">
        <f>IFERROR(VLOOKUP(H193,KET!$B:$F,4,0),"")</f>
        <v>FAHMI LUKMANUL HAKIM</v>
      </c>
      <c r="G193" s="20" t="str">
        <f>IFERROR(VLOOKUP(H193,KET!$B:$F,5,0),"")</f>
        <v>GMM</v>
      </c>
      <c r="H193" s="56" t="s">
        <v>28</v>
      </c>
      <c r="I193" s="32">
        <v>210</v>
      </c>
      <c r="J193" s="32">
        <v>490</v>
      </c>
      <c r="K193" s="32">
        <v>420</v>
      </c>
      <c r="L193" s="32">
        <v>150</v>
      </c>
      <c r="M193" s="33">
        <f t="shared" si="7"/>
        <v>1270</v>
      </c>
      <c r="N193" s="32">
        <v>150</v>
      </c>
      <c r="O193" s="32">
        <v>400</v>
      </c>
      <c r="P193" s="34">
        <v>350</v>
      </c>
      <c r="Q193" s="32">
        <v>100</v>
      </c>
      <c r="R193" s="33">
        <f t="shared" si="8"/>
        <v>1000</v>
      </c>
    </row>
    <row r="194" spans="1:18" ht="15.75" customHeight="1" x14ac:dyDescent="0.3">
      <c r="A194" s="19">
        <v>26</v>
      </c>
      <c r="B194" s="20" t="str">
        <f t="shared" si="6"/>
        <v>JUN</v>
      </c>
      <c r="C194" s="21">
        <v>46200</v>
      </c>
      <c r="D194" s="20" t="str">
        <f>IFERROR(VLOOKUP(H194,KET!$B:$F,2,0),"")</f>
        <v>GRSM 3A</v>
      </c>
      <c r="E194" s="20" t="str">
        <f>IFERROR(VLOOKUP(H194,KET!$B:$F,3,0),"")</f>
        <v>SUKABUMI</v>
      </c>
      <c r="F194" s="20" t="str">
        <f>IFERROR(VLOOKUP(H194,KET!$B:$F,4,0),"")</f>
        <v>FAHMI LUKMANUL HAKIM</v>
      </c>
      <c r="G194" s="20" t="str">
        <f>IFERROR(VLOOKUP(H194,KET!$B:$F,5,0),"")</f>
        <v>GMM</v>
      </c>
      <c r="H194" s="56" t="s">
        <v>22</v>
      </c>
      <c r="I194" s="32">
        <v>65</v>
      </c>
      <c r="J194" s="32">
        <v>374</v>
      </c>
      <c r="K194" s="32">
        <v>328</v>
      </c>
      <c r="L194" s="32">
        <v>596</v>
      </c>
      <c r="M194" s="33">
        <f t="shared" si="7"/>
        <v>1363</v>
      </c>
      <c r="N194" s="32">
        <v>60</v>
      </c>
      <c r="O194" s="32">
        <v>308</v>
      </c>
      <c r="P194" s="34">
        <v>300</v>
      </c>
      <c r="Q194" s="32">
        <v>424</v>
      </c>
      <c r="R194" s="33">
        <f t="shared" si="8"/>
        <v>1092</v>
      </c>
    </row>
    <row r="195" spans="1:18" ht="15.75" customHeight="1" x14ac:dyDescent="0.3">
      <c r="A195" s="19">
        <v>26</v>
      </c>
      <c r="B195" s="20" t="str">
        <f t="shared" si="6"/>
        <v>JUN</v>
      </c>
      <c r="C195" s="21">
        <v>46200</v>
      </c>
      <c r="D195" s="20" t="str">
        <f>IFERROR(VLOOKUP(H195,KET!$B:$F,2,0),"")</f>
        <v>GRSM 3A</v>
      </c>
      <c r="E195" s="20" t="str">
        <f>IFERROR(VLOOKUP(H195,KET!$B:$F,3,0),"")</f>
        <v>SUKABUMI</v>
      </c>
      <c r="F195" s="20" t="str">
        <f>IFERROR(VLOOKUP(H195,KET!$B:$F,4,0),"")</f>
        <v>FAHMI LUKMANUL HAKIM</v>
      </c>
      <c r="G195" s="20" t="str">
        <f>IFERROR(VLOOKUP(H195,KET!$B:$F,5,0),"")</f>
        <v>GMM</v>
      </c>
      <c r="H195" s="56" t="s">
        <v>22</v>
      </c>
      <c r="I195" s="32">
        <v>65</v>
      </c>
      <c r="J195" s="32">
        <v>374</v>
      </c>
      <c r="K195" s="32">
        <v>328</v>
      </c>
      <c r="L195" s="32">
        <v>596</v>
      </c>
      <c r="M195" s="33">
        <f t="shared" si="7"/>
        <v>1363</v>
      </c>
      <c r="N195" s="32">
        <v>60</v>
      </c>
      <c r="O195" s="32">
        <v>308</v>
      </c>
      <c r="P195" s="34">
        <v>300</v>
      </c>
      <c r="Q195" s="32">
        <v>424</v>
      </c>
      <c r="R195" s="33">
        <f t="shared" si="8"/>
        <v>1092</v>
      </c>
    </row>
    <row r="196" spans="1:18" ht="15.75" customHeight="1" x14ac:dyDescent="0.3">
      <c r="A196" s="19">
        <v>26</v>
      </c>
      <c r="B196" s="20" t="str">
        <f t="shared" si="6"/>
        <v>JUN</v>
      </c>
      <c r="C196" s="21">
        <v>46200</v>
      </c>
      <c r="D196" s="20" t="str">
        <f>IFERROR(VLOOKUP(H196,KET!$B:$F,2,0),"")</f>
        <v>GRSM 4</v>
      </c>
      <c r="E196" s="20" t="str">
        <f>IFERROR(VLOOKUP(H196,KET!$B:$F,3,0),"")</f>
        <v>BANDUNG</v>
      </c>
      <c r="F196" s="20" t="str">
        <f>IFERROR(VLOOKUP(H196,KET!$B:$F,4,0),"")</f>
        <v>FAHMI LUKMANUL HAKIM</v>
      </c>
      <c r="G196" s="20" t="str">
        <f>IFERROR(VLOOKUP(H196,KET!$B:$F,5,0),"")</f>
        <v>NKA</v>
      </c>
      <c r="H196" s="56" t="s">
        <v>26</v>
      </c>
      <c r="I196" s="32">
        <v>149</v>
      </c>
      <c r="J196" s="32">
        <v>667</v>
      </c>
      <c r="K196" s="32">
        <v>339</v>
      </c>
      <c r="L196" s="32">
        <v>3984</v>
      </c>
      <c r="M196" s="33">
        <f t="shared" si="7"/>
        <v>5139</v>
      </c>
      <c r="N196" s="32">
        <v>9</v>
      </c>
      <c r="O196" s="32">
        <v>557</v>
      </c>
      <c r="P196" s="34">
        <v>279</v>
      </c>
      <c r="Q196" s="32">
        <v>3732</v>
      </c>
      <c r="R196" s="33">
        <f t="shared" si="8"/>
        <v>4577</v>
      </c>
    </row>
    <row r="197" spans="1:18" ht="15.75" customHeight="1" x14ac:dyDescent="0.3">
      <c r="A197" s="19">
        <v>26</v>
      </c>
      <c r="B197" s="20" t="str">
        <f t="shared" si="6"/>
        <v>JUN</v>
      </c>
      <c r="C197" s="21">
        <v>46200</v>
      </c>
      <c r="D197" s="20" t="str">
        <f>IFERROR(VLOOKUP(H197,KET!$B:$F,2,0),"")</f>
        <v>GRSM 4</v>
      </c>
      <c r="E197" s="20" t="str">
        <f>IFERROR(VLOOKUP(H197,KET!$B:$F,3,0),"")</f>
        <v>BANDUNG</v>
      </c>
      <c r="F197" s="20" t="str">
        <f>IFERROR(VLOOKUP(H197,KET!$B:$F,4,0),"")</f>
        <v>FAHMI LUKMANUL HAKIM</v>
      </c>
      <c r="G197" s="20" t="str">
        <f>IFERROR(VLOOKUP(H197,KET!$B:$F,5,0),"")</f>
        <v>NKA</v>
      </c>
      <c r="H197" s="56" t="s">
        <v>26</v>
      </c>
      <c r="I197" s="32">
        <v>149</v>
      </c>
      <c r="J197" s="32">
        <v>667</v>
      </c>
      <c r="K197" s="32">
        <v>339</v>
      </c>
      <c r="L197" s="32">
        <v>3984</v>
      </c>
      <c r="M197" s="33">
        <f t="shared" si="7"/>
        <v>5139</v>
      </c>
      <c r="N197" s="32">
        <v>9</v>
      </c>
      <c r="O197" s="32">
        <v>557</v>
      </c>
      <c r="P197" s="34">
        <v>279</v>
      </c>
      <c r="Q197" s="32">
        <v>3732</v>
      </c>
      <c r="R197" s="33">
        <f t="shared" si="8"/>
        <v>4577</v>
      </c>
    </row>
    <row r="198" spans="1:18" ht="15.75" customHeight="1" x14ac:dyDescent="0.3">
      <c r="A198" s="19">
        <v>26</v>
      </c>
      <c r="B198" s="20" t="str">
        <f t="shared" si="6"/>
        <v>JUN</v>
      </c>
      <c r="C198" s="21">
        <v>46200</v>
      </c>
      <c r="D198" s="20" t="str">
        <f>IFERROR(VLOOKUP(H198,KET!$B:$F,2,0),"")</f>
        <v>GRSM 4</v>
      </c>
      <c r="E198" s="20" t="str">
        <f>IFERROR(VLOOKUP(H198,KET!$B:$F,3,0),"")</f>
        <v>MAJALAYA</v>
      </c>
      <c r="F198" s="20" t="str">
        <f>IFERROR(VLOOKUP(H198,KET!$B:$F,4,0),"")</f>
        <v>FAHMI LUKMANUL HAKIM</v>
      </c>
      <c r="G198" s="20" t="str">
        <f>IFERROR(VLOOKUP(H198,KET!$B:$F,5,0),"")</f>
        <v>GMM</v>
      </c>
      <c r="H198" s="56" t="s">
        <v>27</v>
      </c>
      <c r="I198" s="32">
        <v>1567</v>
      </c>
      <c r="J198" s="32">
        <v>1813</v>
      </c>
      <c r="K198" s="32">
        <v>1841</v>
      </c>
      <c r="L198" s="32">
        <v>2502</v>
      </c>
      <c r="M198" s="33">
        <f t="shared" si="7"/>
        <v>7723</v>
      </c>
      <c r="N198" s="32">
        <v>1515</v>
      </c>
      <c r="O198" s="32">
        <v>1733</v>
      </c>
      <c r="P198" s="34">
        <v>1781</v>
      </c>
      <c r="Q198" s="32">
        <v>2324</v>
      </c>
      <c r="R198" s="33">
        <f t="shared" si="8"/>
        <v>7353</v>
      </c>
    </row>
    <row r="199" spans="1:18" ht="15.75" customHeight="1" x14ac:dyDescent="0.3">
      <c r="A199" s="19">
        <v>26</v>
      </c>
      <c r="B199" s="20" t="str">
        <f t="shared" ref="B199:B262" si="9">IF(C199="","",UPPER(TEXT(C199, "MMM")))</f>
        <v>JUN</v>
      </c>
      <c r="C199" s="21">
        <v>46200</v>
      </c>
      <c r="D199" s="20" t="str">
        <f>IFERROR(VLOOKUP(H199,KET!$B:$F,2,0),"")</f>
        <v>GRSM 4</v>
      </c>
      <c r="E199" s="20" t="str">
        <f>IFERROR(VLOOKUP(H199,KET!$B:$F,3,0),"")</f>
        <v>MAJALAYA</v>
      </c>
      <c r="F199" s="20" t="str">
        <f>IFERROR(VLOOKUP(H199,KET!$B:$F,4,0),"")</f>
        <v>FAHMI LUKMANUL HAKIM</v>
      </c>
      <c r="G199" s="20" t="str">
        <f>IFERROR(VLOOKUP(H199,KET!$B:$F,5,0),"")</f>
        <v>GMM</v>
      </c>
      <c r="H199" s="56" t="s">
        <v>27</v>
      </c>
      <c r="I199" s="32">
        <v>1567</v>
      </c>
      <c r="J199" s="32">
        <v>1813</v>
      </c>
      <c r="K199" s="32">
        <v>1841</v>
      </c>
      <c r="L199" s="32">
        <v>2502</v>
      </c>
      <c r="M199" s="33">
        <f t="shared" ref="M199:M262" si="10">SUM(I199:L199)</f>
        <v>7723</v>
      </c>
      <c r="N199" s="32">
        <v>1515</v>
      </c>
      <c r="O199" s="32">
        <v>1733</v>
      </c>
      <c r="P199" s="34">
        <v>1781</v>
      </c>
      <c r="Q199" s="32">
        <v>2324</v>
      </c>
      <c r="R199" s="33">
        <f t="shared" ref="R199:R262" si="11">SUM(N199:Q199)</f>
        <v>7353</v>
      </c>
    </row>
    <row r="200" spans="1:18" ht="15.75" customHeight="1" x14ac:dyDescent="0.3">
      <c r="A200" s="19">
        <v>26</v>
      </c>
      <c r="B200" s="20" t="str">
        <f t="shared" si="9"/>
        <v>JUN</v>
      </c>
      <c r="C200" s="21">
        <v>46201</v>
      </c>
      <c r="D200" s="20" t="str">
        <f>IFERROR(VLOOKUP(H200,KET!$B:$F,2,0),"")</f>
        <v>GRSM 4</v>
      </c>
      <c r="E200" s="20" t="str">
        <f>IFERROR(VLOOKUP(H200,KET!$B:$F,3,0),"")</f>
        <v>TASIK</v>
      </c>
      <c r="F200" s="20" t="str">
        <f>IFERROR(VLOOKUP(H200,KET!$B:$F,4,0),"")</f>
        <v>FAHMI LUKMANUL HAKIM</v>
      </c>
      <c r="G200" s="20" t="str">
        <f>IFERROR(VLOOKUP(H200,KET!$B:$F,5,0),"")</f>
        <v>GMM</v>
      </c>
      <c r="H200" s="56" t="s">
        <v>18</v>
      </c>
      <c r="I200" s="32">
        <v>915</v>
      </c>
      <c r="J200" s="32">
        <v>1443</v>
      </c>
      <c r="K200" s="32">
        <v>945</v>
      </c>
      <c r="L200" s="32">
        <v>1950</v>
      </c>
      <c r="M200" s="33">
        <f t="shared" si="10"/>
        <v>5253</v>
      </c>
      <c r="N200" s="32">
        <v>858</v>
      </c>
      <c r="O200" s="32">
        <v>1374</v>
      </c>
      <c r="P200" s="34">
        <v>858</v>
      </c>
      <c r="Q200" s="32">
        <v>1839</v>
      </c>
      <c r="R200" s="33">
        <f t="shared" si="11"/>
        <v>4929</v>
      </c>
    </row>
    <row r="201" spans="1:18" ht="15.75" customHeight="1" x14ac:dyDescent="0.3">
      <c r="A201" s="19">
        <v>26</v>
      </c>
      <c r="B201" s="20" t="str">
        <f t="shared" si="9"/>
        <v>JUN</v>
      </c>
      <c r="C201" s="21">
        <v>46201</v>
      </c>
      <c r="D201" s="20" t="str">
        <f>IFERROR(VLOOKUP(H201,KET!$B:$F,2,0),"")</f>
        <v>GRSM 4</v>
      </c>
      <c r="E201" s="20" t="str">
        <f>IFERROR(VLOOKUP(H201,KET!$B:$F,3,0),"")</f>
        <v>TASIK</v>
      </c>
      <c r="F201" s="20" t="str">
        <f>IFERROR(VLOOKUP(H201,KET!$B:$F,4,0),"")</f>
        <v>FAHMI LUKMANUL HAKIM</v>
      </c>
      <c r="G201" s="20" t="str">
        <f>IFERROR(VLOOKUP(H201,KET!$B:$F,5,0),"")</f>
        <v>GMM</v>
      </c>
      <c r="H201" s="56" t="s">
        <v>18</v>
      </c>
      <c r="I201" s="32">
        <v>858</v>
      </c>
      <c r="J201" s="32">
        <v>1374</v>
      </c>
      <c r="K201" s="34">
        <v>858</v>
      </c>
      <c r="L201" s="32">
        <v>1839</v>
      </c>
      <c r="M201" s="33">
        <f t="shared" si="10"/>
        <v>4929</v>
      </c>
      <c r="N201" s="32">
        <v>798</v>
      </c>
      <c r="O201" s="32">
        <v>1297</v>
      </c>
      <c r="P201" s="34">
        <v>801</v>
      </c>
      <c r="Q201" s="32">
        <v>1725</v>
      </c>
      <c r="R201" s="33">
        <f t="shared" si="11"/>
        <v>4621</v>
      </c>
    </row>
    <row r="202" spans="1:18" ht="15.75" customHeight="1" x14ac:dyDescent="0.3">
      <c r="A202" s="19">
        <v>26</v>
      </c>
      <c r="B202" s="20" t="str">
        <f t="shared" si="9"/>
        <v>JUN</v>
      </c>
      <c r="C202" s="21">
        <v>46201</v>
      </c>
      <c r="D202" s="20" t="str">
        <f>IFERROR(VLOOKUP(H202,KET!$B:$F,2,0),"")</f>
        <v>GRSM 4</v>
      </c>
      <c r="E202" s="20" t="str">
        <f>IFERROR(VLOOKUP(H202,KET!$B:$F,3,0),"")</f>
        <v>TASIK</v>
      </c>
      <c r="F202" s="20" t="str">
        <f>IFERROR(VLOOKUP(H202,KET!$B:$F,4,0),"")</f>
        <v>FAHMI LUKMANUL HAKIM</v>
      </c>
      <c r="G202" s="20" t="str">
        <f>IFERROR(VLOOKUP(H202,KET!$B:$F,5,0),"")</f>
        <v>GMM</v>
      </c>
      <c r="H202" s="56" t="s">
        <v>24</v>
      </c>
      <c r="I202" s="32">
        <v>142</v>
      </c>
      <c r="J202" s="32">
        <v>722</v>
      </c>
      <c r="K202" s="32">
        <v>184</v>
      </c>
      <c r="L202" s="32">
        <v>1051</v>
      </c>
      <c r="M202" s="33">
        <f t="shared" si="10"/>
        <v>2099</v>
      </c>
      <c r="N202" s="32">
        <v>124</v>
      </c>
      <c r="O202" s="32">
        <v>542</v>
      </c>
      <c r="P202" s="34">
        <v>148</v>
      </c>
      <c r="Q202" s="32">
        <v>751</v>
      </c>
      <c r="R202" s="33">
        <f t="shared" si="11"/>
        <v>1565</v>
      </c>
    </row>
    <row r="203" spans="1:18" ht="15.75" customHeight="1" x14ac:dyDescent="0.3">
      <c r="A203" s="19">
        <v>26</v>
      </c>
      <c r="B203" s="20" t="str">
        <f t="shared" si="9"/>
        <v>JUN</v>
      </c>
      <c r="C203" s="21">
        <v>46201</v>
      </c>
      <c r="D203" s="20" t="str">
        <f>IFERROR(VLOOKUP(H203,KET!$B:$F,2,0),"")</f>
        <v>GRSM 4</v>
      </c>
      <c r="E203" s="20" t="str">
        <f>IFERROR(VLOOKUP(H203,KET!$B:$F,3,0),"")</f>
        <v>TASIK</v>
      </c>
      <c r="F203" s="20" t="str">
        <f>IFERROR(VLOOKUP(H203,KET!$B:$F,4,0),"")</f>
        <v>FAHMI LUKMANUL HAKIM</v>
      </c>
      <c r="G203" s="20" t="str">
        <f>IFERROR(VLOOKUP(H203,KET!$B:$F,5,0),"")</f>
        <v>GMM</v>
      </c>
      <c r="H203" s="56" t="s">
        <v>24</v>
      </c>
      <c r="I203" s="32">
        <v>124</v>
      </c>
      <c r="J203" s="32">
        <v>542</v>
      </c>
      <c r="K203" s="34">
        <v>148</v>
      </c>
      <c r="L203" s="32">
        <v>751</v>
      </c>
      <c r="M203" s="33">
        <f t="shared" si="10"/>
        <v>1565</v>
      </c>
      <c r="N203" s="32">
        <v>109</v>
      </c>
      <c r="O203" s="32">
        <v>332</v>
      </c>
      <c r="P203" s="34">
        <v>124</v>
      </c>
      <c r="Q203" s="32">
        <v>451</v>
      </c>
      <c r="R203" s="33">
        <f t="shared" si="11"/>
        <v>1016</v>
      </c>
    </row>
    <row r="204" spans="1:18" ht="15.75" customHeight="1" x14ac:dyDescent="0.3">
      <c r="A204" s="19">
        <v>26</v>
      </c>
      <c r="B204" s="20" t="str">
        <f t="shared" si="9"/>
        <v>JUN</v>
      </c>
      <c r="C204" s="21">
        <v>46201</v>
      </c>
      <c r="D204" s="20" t="str">
        <f>IFERROR(VLOOKUP(H204,KET!$B:$F,2,0),"")</f>
        <v>GRSM 4</v>
      </c>
      <c r="E204" s="20" t="str">
        <f>IFERROR(VLOOKUP(H204,KET!$B:$F,3,0),"")</f>
        <v>TASIK</v>
      </c>
      <c r="F204" s="20" t="str">
        <f>IFERROR(VLOOKUP(H204,KET!$B:$F,4,0),"")</f>
        <v>FAHMI LUKMANUL HAKIM</v>
      </c>
      <c r="G204" s="20" t="str">
        <f>IFERROR(VLOOKUP(H204,KET!$B:$F,5,0),"")</f>
        <v>GMM</v>
      </c>
      <c r="H204" s="56" t="s">
        <v>20</v>
      </c>
      <c r="I204" s="32">
        <v>1183</v>
      </c>
      <c r="J204" s="32">
        <v>1442</v>
      </c>
      <c r="K204" s="32">
        <v>1231</v>
      </c>
      <c r="L204" s="32">
        <v>1231</v>
      </c>
      <c r="M204" s="33">
        <f t="shared" si="10"/>
        <v>5087</v>
      </c>
      <c r="N204" s="32">
        <v>1177</v>
      </c>
      <c r="O204" s="32">
        <v>1412</v>
      </c>
      <c r="P204" s="34">
        <v>921</v>
      </c>
      <c r="Q204" s="32">
        <v>1048</v>
      </c>
      <c r="R204" s="33">
        <f t="shared" si="11"/>
        <v>4558</v>
      </c>
    </row>
    <row r="205" spans="1:18" ht="15.75" customHeight="1" x14ac:dyDescent="0.3">
      <c r="A205" s="19">
        <v>26</v>
      </c>
      <c r="B205" s="20" t="str">
        <f t="shared" si="9"/>
        <v>JUN</v>
      </c>
      <c r="C205" s="21">
        <v>46201</v>
      </c>
      <c r="D205" s="20" t="str">
        <f>IFERROR(VLOOKUP(H205,KET!$B:$F,2,0),"")</f>
        <v>GRSM 4</v>
      </c>
      <c r="E205" s="20" t="str">
        <f>IFERROR(VLOOKUP(H205,KET!$B:$F,3,0),"")</f>
        <v>TASIK</v>
      </c>
      <c r="F205" s="20" t="str">
        <f>IFERROR(VLOOKUP(H205,KET!$B:$F,4,0),"")</f>
        <v>FAHMI LUKMANUL HAKIM</v>
      </c>
      <c r="G205" s="20" t="str">
        <f>IFERROR(VLOOKUP(H205,KET!$B:$F,5,0),"")</f>
        <v>GMM</v>
      </c>
      <c r="H205" s="56" t="s">
        <v>20</v>
      </c>
      <c r="I205" s="32">
        <v>1177</v>
      </c>
      <c r="J205" s="32">
        <v>1412</v>
      </c>
      <c r="K205" s="34">
        <v>921</v>
      </c>
      <c r="L205" s="32">
        <v>1048</v>
      </c>
      <c r="M205" s="33">
        <f t="shared" si="10"/>
        <v>4558</v>
      </c>
      <c r="N205" s="32">
        <v>1169</v>
      </c>
      <c r="O205" s="32">
        <v>1370</v>
      </c>
      <c r="P205" s="34">
        <v>881</v>
      </c>
      <c r="Q205" s="32">
        <v>869</v>
      </c>
      <c r="R205" s="33">
        <f t="shared" si="11"/>
        <v>4289</v>
      </c>
    </row>
    <row r="206" spans="1:18" ht="15.75" customHeight="1" x14ac:dyDescent="0.3">
      <c r="A206" s="19">
        <v>26</v>
      </c>
      <c r="B206" s="20" t="str">
        <f t="shared" si="9"/>
        <v>JUN</v>
      </c>
      <c r="C206" s="21">
        <v>46201</v>
      </c>
      <c r="D206" s="20" t="str">
        <f>IFERROR(VLOOKUP(H206,KET!$B:$F,2,0),"")</f>
        <v>GRSM 4</v>
      </c>
      <c r="E206" s="20" t="str">
        <f>IFERROR(VLOOKUP(H206,KET!$B:$F,3,0),"")</f>
        <v>GARUT</v>
      </c>
      <c r="F206" s="20" t="str">
        <f>IFERROR(VLOOKUP(H206,KET!$B:$F,4,0),"")</f>
        <v>FAHMI LUKMANUL HAKIM</v>
      </c>
      <c r="G206" s="20" t="str">
        <f>IFERROR(VLOOKUP(H206,KET!$B:$F,5,0),"")</f>
        <v>GMM</v>
      </c>
      <c r="H206" s="56" t="s">
        <v>23</v>
      </c>
      <c r="I206" s="32">
        <v>240</v>
      </c>
      <c r="J206" s="32">
        <v>280</v>
      </c>
      <c r="K206" s="32">
        <v>480</v>
      </c>
      <c r="L206" s="32">
        <v>971</v>
      </c>
      <c r="M206" s="33">
        <f t="shared" si="10"/>
        <v>1971</v>
      </c>
      <c r="N206" s="32">
        <v>187</v>
      </c>
      <c r="O206" s="32">
        <v>218</v>
      </c>
      <c r="P206" s="34">
        <v>425</v>
      </c>
      <c r="Q206" s="32">
        <v>880</v>
      </c>
      <c r="R206" s="33">
        <f t="shared" si="11"/>
        <v>1710</v>
      </c>
    </row>
    <row r="207" spans="1:18" ht="15.75" customHeight="1" x14ac:dyDescent="0.3">
      <c r="A207" s="19">
        <v>26</v>
      </c>
      <c r="B207" s="20" t="str">
        <f t="shared" si="9"/>
        <v>JUN</v>
      </c>
      <c r="C207" s="21">
        <v>46201</v>
      </c>
      <c r="D207" s="20" t="str">
        <f>IFERROR(VLOOKUP(H207,KET!$B:$F,2,0),"")</f>
        <v>GRSM 4</v>
      </c>
      <c r="E207" s="20" t="str">
        <f>IFERROR(VLOOKUP(H207,KET!$B:$F,3,0),"")</f>
        <v>GARUT</v>
      </c>
      <c r="F207" s="20" t="str">
        <f>IFERROR(VLOOKUP(H207,KET!$B:$F,4,0),"")</f>
        <v>FAHMI LUKMANUL HAKIM</v>
      </c>
      <c r="G207" s="20" t="str">
        <f>IFERROR(VLOOKUP(H207,KET!$B:$F,5,0),"")</f>
        <v>GMM</v>
      </c>
      <c r="H207" s="56" t="s">
        <v>23</v>
      </c>
      <c r="I207" s="32">
        <v>187</v>
      </c>
      <c r="J207" s="32">
        <v>218</v>
      </c>
      <c r="K207" s="34">
        <v>425</v>
      </c>
      <c r="L207" s="32">
        <v>974</v>
      </c>
      <c r="M207" s="33">
        <f t="shared" si="10"/>
        <v>1804</v>
      </c>
      <c r="N207" s="32">
        <v>75</v>
      </c>
      <c r="O207" s="32">
        <v>85</v>
      </c>
      <c r="P207" s="34">
        <v>313</v>
      </c>
      <c r="Q207" s="32">
        <v>887</v>
      </c>
      <c r="R207" s="33">
        <f t="shared" si="11"/>
        <v>1360</v>
      </c>
    </row>
    <row r="208" spans="1:18" ht="15.75" customHeight="1" x14ac:dyDescent="0.3">
      <c r="A208" s="19">
        <v>26</v>
      </c>
      <c r="B208" s="20" t="str">
        <f t="shared" si="9"/>
        <v>JUN</v>
      </c>
      <c r="C208" s="21">
        <v>46201</v>
      </c>
      <c r="D208" s="20" t="str">
        <f>IFERROR(VLOOKUP(H208,KET!$B:$F,2,0),"")</f>
        <v>GRSM 4</v>
      </c>
      <c r="E208" s="20" t="str">
        <f>IFERROR(VLOOKUP(H208,KET!$B:$F,3,0),"")</f>
        <v>KUNINGAN</v>
      </c>
      <c r="F208" s="20" t="str">
        <f>IFERROR(VLOOKUP(H208,KET!$B:$F,4,0),"")</f>
        <v>FAHMI LUKMANUL HAKIM</v>
      </c>
      <c r="G208" s="20" t="str">
        <f>IFERROR(VLOOKUP(H208,KET!$B:$F,5,0),"")</f>
        <v>GMM</v>
      </c>
      <c r="H208" s="56" t="s">
        <v>19</v>
      </c>
      <c r="I208" s="32">
        <v>159</v>
      </c>
      <c r="J208" s="32">
        <v>214</v>
      </c>
      <c r="K208" s="32">
        <v>318</v>
      </c>
      <c r="L208" s="32">
        <v>678</v>
      </c>
      <c r="M208" s="33">
        <f t="shared" si="10"/>
        <v>1369</v>
      </c>
      <c r="N208" s="32">
        <v>107</v>
      </c>
      <c r="O208" s="32">
        <v>140</v>
      </c>
      <c r="P208" s="34">
        <v>236</v>
      </c>
      <c r="Q208" s="32">
        <v>451</v>
      </c>
      <c r="R208" s="33">
        <f t="shared" si="11"/>
        <v>934</v>
      </c>
    </row>
    <row r="209" spans="1:18" ht="15.75" customHeight="1" x14ac:dyDescent="0.3">
      <c r="A209" s="19">
        <v>26</v>
      </c>
      <c r="B209" s="20" t="str">
        <f t="shared" si="9"/>
        <v>JUN</v>
      </c>
      <c r="C209" s="21">
        <v>46201</v>
      </c>
      <c r="D209" s="20" t="str">
        <f>IFERROR(VLOOKUP(H209,KET!$B:$F,2,0),"")</f>
        <v>GRSM 4</v>
      </c>
      <c r="E209" s="20" t="str">
        <f>IFERROR(VLOOKUP(H209,KET!$B:$F,3,0),"")</f>
        <v>KUNINGAN</v>
      </c>
      <c r="F209" s="20" t="str">
        <f>IFERROR(VLOOKUP(H209,KET!$B:$F,4,0),"")</f>
        <v>FAHMI LUKMANUL HAKIM</v>
      </c>
      <c r="G209" s="20" t="str">
        <f>IFERROR(VLOOKUP(H209,KET!$B:$F,5,0),"")</f>
        <v>GMM</v>
      </c>
      <c r="H209" s="56" t="s">
        <v>19</v>
      </c>
      <c r="I209" s="32">
        <v>107</v>
      </c>
      <c r="J209" s="32">
        <v>140</v>
      </c>
      <c r="K209" s="34">
        <v>236</v>
      </c>
      <c r="L209" s="32">
        <v>451</v>
      </c>
      <c r="M209" s="33">
        <f t="shared" si="10"/>
        <v>934</v>
      </c>
      <c r="N209" s="32">
        <v>54</v>
      </c>
      <c r="O209" s="32">
        <v>68</v>
      </c>
      <c r="P209" s="34">
        <v>164</v>
      </c>
      <c r="Q209" s="32">
        <v>231</v>
      </c>
      <c r="R209" s="33">
        <f t="shared" si="11"/>
        <v>517</v>
      </c>
    </row>
    <row r="210" spans="1:18" ht="15.75" customHeight="1" x14ac:dyDescent="0.3">
      <c r="A210" s="19">
        <v>26</v>
      </c>
      <c r="B210" s="20" t="str">
        <f t="shared" si="9"/>
        <v>JUN</v>
      </c>
      <c r="C210" s="21">
        <v>46201</v>
      </c>
      <c r="D210" s="20" t="str">
        <f>IFERROR(VLOOKUP(H210,KET!$B:$F,2,0),"")</f>
        <v>GRSM 4</v>
      </c>
      <c r="E210" s="20" t="str">
        <f>IFERROR(VLOOKUP(H210,KET!$B:$F,3,0),"")</f>
        <v>KUNINGAN</v>
      </c>
      <c r="F210" s="20" t="str">
        <f>IFERROR(VLOOKUP(H210,KET!$B:$F,4,0),"")</f>
        <v>FAHMI LUKMANUL HAKIM</v>
      </c>
      <c r="G210" s="20" t="str">
        <f>IFERROR(VLOOKUP(H210,KET!$B:$F,5,0),"")</f>
        <v>GMM</v>
      </c>
      <c r="H210" s="56" t="s">
        <v>25</v>
      </c>
      <c r="I210" s="32">
        <v>1131</v>
      </c>
      <c r="J210" s="32">
        <v>860</v>
      </c>
      <c r="K210" s="32">
        <v>362</v>
      </c>
      <c r="L210" s="32">
        <v>786</v>
      </c>
      <c r="M210" s="33">
        <f t="shared" si="10"/>
        <v>3139</v>
      </c>
      <c r="N210" s="32">
        <v>977</v>
      </c>
      <c r="O210" s="32">
        <v>690</v>
      </c>
      <c r="P210" s="34">
        <v>204</v>
      </c>
      <c r="Q210" s="32">
        <v>477</v>
      </c>
      <c r="R210" s="33">
        <f t="shared" si="11"/>
        <v>2348</v>
      </c>
    </row>
    <row r="211" spans="1:18" ht="15.75" customHeight="1" x14ac:dyDescent="0.3">
      <c r="A211" s="19">
        <v>26</v>
      </c>
      <c r="B211" s="20" t="str">
        <f t="shared" si="9"/>
        <v>JUN</v>
      </c>
      <c r="C211" s="21">
        <v>46201</v>
      </c>
      <c r="D211" s="20" t="str">
        <f>IFERROR(VLOOKUP(H211,KET!$B:$F,2,0),"")</f>
        <v>GRSM 4</v>
      </c>
      <c r="E211" s="20" t="str">
        <f>IFERROR(VLOOKUP(H211,KET!$B:$F,3,0),"")</f>
        <v>KUNINGAN</v>
      </c>
      <c r="F211" s="20" t="str">
        <f>IFERROR(VLOOKUP(H211,KET!$B:$F,4,0),"")</f>
        <v>FAHMI LUKMANUL HAKIM</v>
      </c>
      <c r="G211" s="20" t="str">
        <f>IFERROR(VLOOKUP(H211,KET!$B:$F,5,0),"")</f>
        <v>GMM</v>
      </c>
      <c r="H211" s="56" t="s">
        <v>25</v>
      </c>
      <c r="I211" s="32">
        <v>1131</v>
      </c>
      <c r="J211" s="32">
        <v>860</v>
      </c>
      <c r="K211" s="32">
        <v>362</v>
      </c>
      <c r="L211" s="32">
        <v>786</v>
      </c>
      <c r="M211" s="33">
        <f t="shared" si="10"/>
        <v>3139</v>
      </c>
      <c r="N211" s="32">
        <v>977</v>
      </c>
      <c r="O211" s="32">
        <v>690</v>
      </c>
      <c r="P211" s="34">
        <v>204</v>
      </c>
      <c r="Q211" s="32">
        <v>477</v>
      </c>
      <c r="R211" s="33">
        <f t="shared" si="11"/>
        <v>2348</v>
      </c>
    </row>
    <row r="212" spans="1:18" ht="15.75" customHeight="1" x14ac:dyDescent="0.3">
      <c r="A212" s="19">
        <v>26</v>
      </c>
      <c r="B212" s="20" t="str">
        <f t="shared" si="9"/>
        <v>JUN</v>
      </c>
      <c r="C212" s="21">
        <v>46201</v>
      </c>
      <c r="D212" s="20" t="str">
        <f>IFERROR(VLOOKUP(H212,KET!$B:$F,2,0),"")</f>
        <v>GRSM 4</v>
      </c>
      <c r="E212" s="20" t="str">
        <f>IFERROR(VLOOKUP(H212,KET!$B:$F,3,0),"")</f>
        <v>BANDUNG</v>
      </c>
      <c r="F212" s="20" t="str">
        <f>IFERROR(VLOOKUP(H212,KET!$B:$F,4,0),"")</f>
        <v>FAHMI LUKMANUL HAKIM</v>
      </c>
      <c r="G212" s="20" t="str">
        <f>IFERROR(VLOOKUP(H212,KET!$B:$F,5,0),"")</f>
        <v>NKA</v>
      </c>
      <c r="H212" s="56" t="s">
        <v>26</v>
      </c>
      <c r="I212" s="32">
        <v>109</v>
      </c>
      <c r="J212" s="32">
        <v>557</v>
      </c>
      <c r="K212" s="32">
        <v>279</v>
      </c>
      <c r="L212" s="32">
        <v>3732</v>
      </c>
      <c r="M212" s="33">
        <f t="shared" si="10"/>
        <v>4677</v>
      </c>
      <c r="N212" s="32">
        <v>89</v>
      </c>
      <c r="O212" s="32">
        <v>521</v>
      </c>
      <c r="P212" s="34">
        <v>239</v>
      </c>
      <c r="Q212" s="32">
        <v>3326</v>
      </c>
      <c r="R212" s="33">
        <f t="shared" si="11"/>
        <v>4175</v>
      </c>
    </row>
    <row r="213" spans="1:18" ht="15.75" customHeight="1" x14ac:dyDescent="0.3">
      <c r="A213" s="19">
        <v>26</v>
      </c>
      <c r="B213" s="20" t="str">
        <f t="shared" si="9"/>
        <v>JUN</v>
      </c>
      <c r="C213" s="21">
        <v>46201</v>
      </c>
      <c r="D213" s="20" t="str">
        <f>IFERROR(VLOOKUP(H213,KET!$B:$F,2,0),"")</f>
        <v>GRSM 4</v>
      </c>
      <c r="E213" s="20" t="str">
        <f>IFERROR(VLOOKUP(H213,KET!$B:$F,3,0),"")</f>
        <v>BANDUNG</v>
      </c>
      <c r="F213" s="20" t="str">
        <f>IFERROR(VLOOKUP(H213,KET!$B:$F,4,0),"")</f>
        <v>FAHMI LUKMANUL HAKIM</v>
      </c>
      <c r="G213" s="20" t="str">
        <f>IFERROR(VLOOKUP(H213,KET!$B:$F,5,0),"")</f>
        <v>NKA</v>
      </c>
      <c r="H213" s="56" t="s">
        <v>26</v>
      </c>
      <c r="I213" s="32">
        <v>109</v>
      </c>
      <c r="J213" s="32">
        <v>557</v>
      </c>
      <c r="K213" s="32">
        <v>279</v>
      </c>
      <c r="L213" s="32">
        <v>3732</v>
      </c>
      <c r="M213" s="33">
        <f t="shared" si="10"/>
        <v>4677</v>
      </c>
      <c r="N213" s="32">
        <v>89</v>
      </c>
      <c r="O213" s="32">
        <v>521</v>
      </c>
      <c r="P213" s="34">
        <v>239</v>
      </c>
      <c r="Q213" s="32">
        <v>3326</v>
      </c>
      <c r="R213" s="33">
        <f t="shared" si="11"/>
        <v>4175</v>
      </c>
    </row>
    <row r="214" spans="1:18" ht="15.75" customHeight="1" x14ac:dyDescent="0.3">
      <c r="A214" s="19">
        <v>26</v>
      </c>
      <c r="B214" s="20" t="str">
        <f t="shared" si="9"/>
        <v>JUN</v>
      </c>
      <c r="C214" s="21">
        <v>46201</v>
      </c>
      <c r="D214" s="20" t="str">
        <f>IFERROR(VLOOKUP(H214,KET!$B:$F,2,0),"")</f>
        <v>GRSM 4</v>
      </c>
      <c r="E214" s="20" t="str">
        <f>IFERROR(VLOOKUP(H214,KET!$B:$F,3,0),"")</f>
        <v>MAJALAYA</v>
      </c>
      <c r="F214" s="20" t="str">
        <f>IFERROR(VLOOKUP(H214,KET!$B:$F,4,0),"")</f>
        <v>FAHMI LUKMANUL HAKIM</v>
      </c>
      <c r="G214" s="20" t="str">
        <f>IFERROR(VLOOKUP(H214,KET!$B:$F,5,0),"")</f>
        <v>GMM</v>
      </c>
      <c r="H214" s="56" t="s">
        <v>27</v>
      </c>
      <c r="I214" s="32">
        <v>1459</v>
      </c>
      <c r="J214" s="32">
        <v>1640</v>
      </c>
      <c r="K214" s="32">
        <v>1716</v>
      </c>
      <c r="L214" s="32">
        <v>2109</v>
      </c>
      <c r="M214" s="33">
        <f t="shared" si="10"/>
        <v>6924</v>
      </c>
      <c r="N214" s="32">
        <v>1392</v>
      </c>
      <c r="O214" s="32">
        <v>1554</v>
      </c>
      <c r="P214" s="34">
        <v>1643</v>
      </c>
      <c r="Q214" s="32">
        <v>1886</v>
      </c>
      <c r="R214" s="33">
        <f t="shared" si="11"/>
        <v>6475</v>
      </c>
    </row>
    <row r="215" spans="1:18" ht="15.75" customHeight="1" x14ac:dyDescent="0.3">
      <c r="A215" s="19">
        <v>26</v>
      </c>
      <c r="B215" s="20" t="str">
        <f t="shared" si="9"/>
        <v>JUN</v>
      </c>
      <c r="C215" s="21">
        <v>46201</v>
      </c>
      <c r="D215" s="20" t="str">
        <f>IFERROR(VLOOKUP(H215,KET!$B:$F,2,0),"")</f>
        <v>GRSM 4</v>
      </c>
      <c r="E215" s="20" t="str">
        <f>IFERROR(VLOOKUP(H215,KET!$B:$F,3,0),"")</f>
        <v>MAJALAYA</v>
      </c>
      <c r="F215" s="20" t="str">
        <f>IFERROR(VLOOKUP(H215,KET!$B:$F,4,0),"")</f>
        <v>FAHMI LUKMANUL HAKIM</v>
      </c>
      <c r="G215" s="20" t="str">
        <f>IFERROR(VLOOKUP(H215,KET!$B:$F,5,0),"")</f>
        <v>GMM</v>
      </c>
      <c r="H215" s="56" t="s">
        <v>27</v>
      </c>
      <c r="I215" s="32">
        <v>1459</v>
      </c>
      <c r="J215" s="32">
        <v>1640</v>
      </c>
      <c r="K215" s="32">
        <v>1716</v>
      </c>
      <c r="L215" s="32">
        <v>2109</v>
      </c>
      <c r="M215" s="33">
        <f t="shared" si="10"/>
        <v>6924</v>
      </c>
      <c r="N215" s="32">
        <v>1392</v>
      </c>
      <c r="O215" s="32">
        <v>1554</v>
      </c>
      <c r="P215" s="34">
        <v>1643</v>
      </c>
      <c r="Q215" s="32">
        <v>1886</v>
      </c>
      <c r="R215" s="33">
        <f t="shared" si="11"/>
        <v>6475</v>
      </c>
    </row>
    <row r="216" spans="1:18" ht="15.75" customHeight="1" x14ac:dyDescent="0.3">
      <c r="A216" s="19">
        <v>26</v>
      </c>
      <c r="B216" s="20" t="str">
        <f t="shared" si="9"/>
        <v>JUN</v>
      </c>
      <c r="C216" s="21">
        <v>46201</v>
      </c>
      <c r="D216" s="20" t="str">
        <f>IFERROR(VLOOKUP(H216,KET!$B:$F,2,0),"")</f>
        <v>GRSM 4</v>
      </c>
      <c r="E216" s="20" t="str">
        <f>IFERROR(VLOOKUP(H216,KET!$B:$F,3,0),"")</f>
        <v>BANJAR</v>
      </c>
      <c r="F216" s="20" t="str">
        <f>IFERROR(VLOOKUP(H216,KET!$B:$F,4,0),"")</f>
        <v>FAHMI LUKMANUL HAKIM</v>
      </c>
      <c r="G216" s="20" t="str">
        <f>IFERROR(VLOOKUP(H216,KET!$B:$F,5,0),"")</f>
        <v>GMM</v>
      </c>
      <c r="H216" s="56" t="s">
        <v>28</v>
      </c>
      <c r="I216" s="32">
        <v>150</v>
      </c>
      <c r="J216" s="32">
        <v>400</v>
      </c>
      <c r="K216" s="32">
        <v>350</v>
      </c>
      <c r="L216" s="32">
        <v>100</v>
      </c>
      <c r="M216" s="33">
        <f t="shared" si="10"/>
        <v>1000</v>
      </c>
      <c r="N216" s="32">
        <v>100</v>
      </c>
      <c r="O216" s="32">
        <v>310</v>
      </c>
      <c r="P216" s="34">
        <v>275</v>
      </c>
      <c r="Q216" s="32">
        <v>70</v>
      </c>
      <c r="R216" s="33">
        <f t="shared" si="11"/>
        <v>755</v>
      </c>
    </row>
    <row r="217" spans="1:18" ht="15.75" customHeight="1" x14ac:dyDescent="0.3">
      <c r="A217" s="19">
        <v>26</v>
      </c>
      <c r="B217" s="20" t="str">
        <f t="shared" si="9"/>
        <v>JUN</v>
      </c>
      <c r="C217" s="21">
        <v>46201</v>
      </c>
      <c r="D217" s="20" t="str">
        <f>IFERROR(VLOOKUP(H217,KET!$B:$F,2,0),"")</f>
        <v>GRSM 4</v>
      </c>
      <c r="E217" s="20" t="str">
        <f>IFERROR(VLOOKUP(H217,KET!$B:$F,3,0),"")</f>
        <v>BANJAR</v>
      </c>
      <c r="F217" s="20" t="str">
        <f>IFERROR(VLOOKUP(H217,KET!$B:$F,4,0),"")</f>
        <v>FAHMI LUKMANUL HAKIM</v>
      </c>
      <c r="G217" s="20" t="str">
        <f>IFERROR(VLOOKUP(H217,KET!$B:$F,5,0),"")</f>
        <v>GMM</v>
      </c>
      <c r="H217" s="56" t="s">
        <v>28</v>
      </c>
      <c r="I217" s="32">
        <v>150</v>
      </c>
      <c r="J217" s="32">
        <v>400</v>
      </c>
      <c r="K217" s="32">
        <v>350</v>
      </c>
      <c r="L217" s="32">
        <v>100</v>
      </c>
      <c r="M217" s="33">
        <f t="shared" si="10"/>
        <v>1000</v>
      </c>
      <c r="N217" s="32">
        <v>100</v>
      </c>
      <c r="O217" s="32">
        <v>310</v>
      </c>
      <c r="P217" s="34">
        <v>275</v>
      </c>
      <c r="Q217" s="32">
        <v>70</v>
      </c>
      <c r="R217" s="33">
        <f t="shared" si="11"/>
        <v>755</v>
      </c>
    </row>
    <row r="218" spans="1:18" ht="15.75" customHeight="1" x14ac:dyDescent="0.3">
      <c r="A218" s="19">
        <v>27</v>
      </c>
      <c r="B218" s="20" t="str">
        <f t="shared" si="9"/>
        <v>JUL</v>
      </c>
      <c r="C218" s="21">
        <v>46206</v>
      </c>
      <c r="D218" s="20" t="str">
        <f>IFERROR(VLOOKUP(H218,KET!$B:$F,2,0),"")</f>
        <v>GRSM 4</v>
      </c>
      <c r="E218" s="20" t="str">
        <f>IFERROR(VLOOKUP(H218,KET!$B:$F,3,0),"")</f>
        <v>GARUT</v>
      </c>
      <c r="F218" s="20" t="str">
        <f>IFERROR(VLOOKUP(H218,KET!$B:$F,4,0),"")</f>
        <v>FAHMI LUKMANUL HAKIM</v>
      </c>
      <c r="G218" s="20" t="str">
        <f>IFERROR(VLOOKUP(H218,KET!$B:$F,5,0),"")</f>
        <v>GMM</v>
      </c>
      <c r="H218" s="19" t="s">
        <v>23</v>
      </c>
      <c r="I218" s="32">
        <v>240</v>
      </c>
      <c r="J218" s="32">
        <v>200</v>
      </c>
      <c r="K218" s="32">
        <v>320</v>
      </c>
      <c r="L218" s="32">
        <v>280</v>
      </c>
      <c r="M218" s="33">
        <f t="shared" si="10"/>
        <v>1040</v>
      </c>
      <c r="N218" s="32">
        <v>189</v>
      </c>
      <c r="O218" s="32">
        <v>163</v>
      </c>
      <c r="P218" s="34">
        <v>273</v>
      </c>
      <c r="Q218" s="32">
        <v>227</v>
      </c>
      <c r="R218" s="33">
        <f t="shared" si="11"/>
        <v>852</v>
      </c>
    </row>
    <row r="219" spans="1:18" ht="15.75" customHeight="1" x14ac:dyDescent="0.3">
      <c r="A219" s="19">
        <v>27</v>
      </c>
      <c r="B219" s="20" t="str">
        <f t="shared" si="9"/>
        <v>JUL</v>
      </c>
      <c r="C219" s="21">
        <v>46206</v>
      </c>
      <c r="D219" s="20" t="str">
        <f>IFERROR(VLOOKUP(H219,KET!$B:$F,2,0),"")</f>
        <v>GRSM 4</v>
      </c>
      <c r="E219" s="20" t="str">
        <f>IFERROR(VLOOKUP(H219,KET!$B:$F,3,0),"")</f>
        <v>GARUT</v>
      </c>
      <c r="F219" s="20" t="str">
        <f>IFERROR(VLOOKUP(H219,KET!$B:$F,4,0),"")</f>
        <v>FAHMI LUKMANUL HAKIM</v>
      </c>
      <c r="G219" s="20" t="str">
        <f>IFERROR(VLOOKUP(H219,KET!$B:$F,5,0),"")</f>
        <v>GMM</v>
      </c>
      <c r="H219" s="19" t="s">
        <v>23</v>
      </c>
      <c r="I219" s="32">
        <v>240</v>
      </c>
      <c r="J219" s="32">
        <v>200</v>
      </c>
      <c r="K219" s="32">
        <v>320</v>
      </c>
      <c r="L219" s="32">
        <v>280</v>
      </c>
      <c r="M219" s="33">
        <f t="shared" si="10"/>
        <v>1040</v>
      </c>
      <c r="N219" s="32">
        <v>188</v>
      </c>
      <c r="O219" s="32">
        <v>166</v>
      </c>
      <c r="P219" s="34">
        <v>276</v>
      </c>
      <c r="Q219" s="32">
        <v>229</v>
      </c>
      <c r="R219" s="33">
        <f t="shared" si="11"/>
        <v>859</v>
      </c>
    </row>
    <row r="220" spans="1:18" ht="15.75" customHeight="1" x14ac:dyDescent="0.3">
      <c r="A220" s="19">
        <v>27</v>
      </c>
      <c r="B220" s="20" t="str">
        <f t="shared" si="9"/>
        <v>JUL</v>
      </c>
      <c r="C220" s="21">
        <v>46206</v>
      </c>
      <c r="D220" s="20" t="str">
        <f>IFERROR(VLOOKUP(H220,KET!$B:$F,2,0),"")</f>
        <v/>
      </c>
      <c r="E220" s="20" t="str">
        <f>IFERROR(VLOOKUP(H220,KET!$B:$F,3,0),"")</f>
        <v/>
      </c>
      <c r="F220" s="20" t="str">
        <f>IFERROR(VLOOKUP(H220,KET!$B:$F,4,0),"")</f>
        <v/>
      </c>
      <c r="G220" s="20" t="str">
        <f>IFERROR(VLOOKUP(H220,KET!$B:$F,5,0),"")</f>
        <v/>
      </c>
      <c r="H220" s="19" t="s">
        <v>29</v>
      </c>
      <c r="I220" s="32">
        <v>560</v>
      </c>
      <c r="J220" s="32">
        <v>1920</v>
      </c>
      <c r="K220" s="32">
        <v>800</v>
      </c>
      <c r="L220" s="32">
        <v>1360</v>
      </c>
      <c r="M220" s="33">
        <f t="shared" si="10"/>
        <v>4640</v>
      </c>
      <c r="N220" s="32">
        <v>326</v>
      </c>
      <c r="O220" s="32">
        <v>1608</v>
      </c>
      <c r="P220" s="34">
        <v>533</v>
      </c>
      <c r="Q220" s="32">
        <v>949</v>
      </c>
      <c r="R220" s="33">
        <f t="shared" si="11"/>
        <v>3416</v>
      </c>
    </row>
    <row r="221" spans="1:18" ht="15.75" customHeight="1" x14ac:dyDescent="0.3">
      <c r="A221" s="19">
        <v>27</v>
      </c>
      <c r="B221" s="20" t="str">
        <f t="shared" si="9"/>
        <v>JUL</v>
      </c>
      <c r="C221" s="21">
        <v>46206</v>
      </c>
      <c r="D221" s="20" t="str">
        <f>IFERROR(VLOOKUP(H221,KET!$B:$F,2,0),"")</f>
        <v>GRSM 4</v>
      </c>
      <c r="E221" s="20" t="str">
        <f>IFERROR(VLOOKUP(H221,KET!$B:$F,3,0),"")</f>
        <v>TASIK</v>
      </c>
      <c r="F221" s="20" t="str">
        <f>IFERROR(VLOOKUP(H221,KET!$B:$F,4,0),"")</f>
        <v>FAHMI LUKMANUL HAKIM</v>
      </c>
      <c r="G221" s="20" t="str">
        <f>IFERROR(VLOOKUP(H221,KET!$B:$F,5,0),"")</f>
        <v>GMM</v>
      </c>
      <c r="H221" s="19" t="s">
        <v>18</v>
      </c>
      <c r="I221" s="32">
        <v>1260</v>
      </c>
      <c r="J221" s="32">
        <v>1500</v>
      </c>
      <c r="K221" s="32">
        <v>1500</v>
      </c>
      <c r="L221" s="32">
        <v>2160</v>
      </c>
      <c r="M221" s="33">
        <f t="shared" si="10"/>
        <v>6420</v>
      </c>
      <c r="N221" s="32">
        <v>1214</v>
      </c>
      <c r="O221" s="32">
        <v>1412</v>
      </c>
      <c r="P221" s="34">
        <v>1430</v>
      </c>
      <c r="Q221" s="32">
        <v>1963</v>
      </c>
      <c r="R221" s="33">
        <f t="shared" si="11"/>
        <v>6019</v>
      </c>
    </row>
    <row r="222" spans="1:18" ht="15.75" customHeight="1" x14ac:dyDescent="0.3">
      <c r="A222" s="19">
        <v>27</v>
      </c>
      <c r="B222" s="20" t="str">
        <f t="shared" si="9"/>
        <v>JUL</v>
      </c>
      <c r="C222" s="21">
        <v>46206</v>
      </c>
      <c r="D222" s="20" t="str">
        <f>IFERROR(VLOOKUP(H222,KET!$B:$F,2,0),"")</f>
        <v>GRSM 4</v>
      </c>
      <c r="E222" s="20" t="str">
        <f>IFERROR(VLOOKUP(H222,KET!$B:$F,3,0),"")</f>
        <v>BANDUNG</v>
      </c>
      <c r="F222" s="20" t="str">
        <f>IFERROR(VLOOKUP(H222,KET!$B:$F,4,0),"")</f>
        <v>FAHMI LUKMANUL HAKIM</v>
      </c>
      <c r="G222" s="20" t="str">
        <f>IFERROR(VLOOKUP(H222,KET!$B:$F,5,0),"")</f>
        <v>NKA</v>
      </c>
      <c r="H222" s="19" t="s">
        <v>26</v>
      </c>
      <c r="I222" s="32">
        <v>400</v>
      </c>
      <c r="J222" s="32">
        <v>840</v>
      </c>
      <c r="K222" s="32">
        <v>560</v>
      </c>
      <c r="L222" s="32">
        <v>3800</v>
      </c>
      <c r="M222" s="33">
        <f t="shared" si="10"/>
        <v>5600</v>
      </c>
      <c r="N222" s="32">
        <v>380</v>
      </c>
      <c r="O222" s="32">
        <v>800</v>
      </c>
      <c r="P222" s="34">
        <v>540</v>
      </c>
      <c r="Q222" s="32">
        <v>3740</v>
      </c>
      <c r="R222" s="33">
        <f t="shared" si="11"/>
        <v>5460</v>
      </c>
    </row>
    <row r="223" spans="1:18" ht="15.75" customHeight="1" x14ac:dyDescent="0.3">
      <c r="A223" s="19">
        <v>27</v>
      </c>
      <c r="B223" s="20" t="str">
        <f t="shared" si="9"/>
        <v>JUL</v>
      </c>
      <c r="C223" s="21">
        <v>46206</v>
      </c>
      <c r="D223" s="20" t="str">
        <f>IFERROR(VLOOKUP(H223,KET!$B:$F,2,0),"")</f>
        <v>GRSM 4</v>
      </c>
      <c r="E223" s="20" t="str">
        <f>IFERROR(VLOOKUP(H223,KET!$B:$F,3,0),"")</f>
        <v>KUNINGAN</v>
      </c>
      <c r="F223" s="20" t="str">
        <f>IFERROR(VLOOKUP(H223,KET!$B:$F,4,0),"")</f>
        <v>FAHMI LUKMANUL HAKIM</v>
      </c>
      <c r="G223" s="20" t="str">
        <f>IFERROR(VLOOKUP(H223,KET!$B:$F,5,0),"")</f>
        <v>GMM</v>
      </c>
      <c r="H223" s="19" t="s">
        <v>30</v>
      </c>
      <c r="I223" s="32">
        <v>294</v>
      </c>
      <c r="J223" s="32">
        <v>345</v>
      </c>
      <c r="K223" s="32">
        <v>474</v>
      </c>
      <c r="L223" s="32">
        <v>663</v>
      </c>
      <c r="M223" s="33">
        <f t="shared" si="10"/>
        <v>1776</v>
      </c>
      <c r="N223" s="32">
        <v>249</v>
      </c>
      <c r="O223" s="32">
        <v>303</v>
      </c>
      <c r="P223" s="34">
        <v>449</v>
      </c>
      <c r="Q223" s="32">
        <v>463</v>
      </c>
      <c r="R223" s="33">
        <f t="shared" si="11"/>
        <v>1464</v>
      </c>
    </row>
    <row r="224" spans="1:18" ht="15.75" customHeight="1" x14ac:dyDescent="0.3">
      <c r="A224" s="19">
        <v>27</v>
      </c>
      <c r="B224" s="20" t="str">
        <f t="shared" si="9"/>
        <v>JUL</v>
      </c>
      <c r="C224" s="21">
        <v>46206</v>
      </c>
      <c r="D224" s="20" t="str">
        <f>IFERROR(VLOOKUP(H224,KET!$B:$F,2,0),"")</f>
        <v>GRSM 4</v>
      </c>
      <c r="E224" s="20" t="str">
        <f>IFERROR(VLOOKUP(H224,KET!$B:$F,3,0),"")</f>
        <v>KUNINGAN</v>
      </c>
      <c r="F224" s="20" t="str">
        <f>IFERROR(VLOOKUP(H224,KET!$B:$F,4,0),"")</f>
        <v>FAHMI LUKMANUL HAKIM</v>
      </c>
      <c r="G224" s="20" t="str">
        <f>IFERROR(VLOOKUP(H224,KET!$B:$F,5,0),"")</f>
        <v>GMM</v>
      </c>
      <c r="H224" s="19" t="s">
        <v>30</v>
      </c>
      <c r="I224" s="32">
        <v>295</v>
      </c>
      <c r="J224" s="32">
        <v>345</v>
      </c>
      <c r="K224" s="32">
        <v>474</v>
      </c>
      <c r="L224" s="32">
        <v>863</v>
      </c>
      <c r="M224" s="33">
        <f t="shared" si="10"/>
        <v>1977</v>
      </c>
      <c r="N224" s="32">
        <v>210</v>
      </c>
      <c r="O224" s="32">
        <v>2532</v>
      </c>
      <c r="P224" s="34">
        <v>419</v>
      </c>
      <c r="Q224" s="32">
        <v>463</v>
      </c>
      <c r="R224" s="33">
        <f t="shared" si="11"/>
        <v>3624</v>
      </c>
    </row>
    <row r="225" spans="1:18" ht="15.75" customHeight="1" x14ac:dyDescent="0.3">
      <c r="A225" s="19">
        <v>27</v>
      </c>
      <c r="B225" s="20" t="str">
        <f t="shared" si="9"/>
        <v>JUL</v>
      </c>
      <c r="C225" s="21">
        <v>46206</v>
      </c>
      <c r="D225" s="20" t="str">
        <f>IFERROR(VLOOKUP(H225,KET!$B:$F,2,0),"")</f>
        <v>GRSM 4</v>
      </c>
      <c r="E225" s="20" t="str">
        <f>IFERROR(VLOOKUP(H225,KET!$B:$F,3,0),"")</f>
        <v>SUBANG</v>
      </c>
      <c r="F225" s="20" t="str">
        <f>IFERROR(VLOOKUP(H225,KET!$B:$F,4,0),"")</f>
        <v>FAHMI LUKMANUL HAKIM</v>
      </c>
      <c r="G225" s="20" t="str">
        <f>IFERROR(VLOOKUP(H225,KET!$B:$F,5,0),"")</f>
        <v>GMM</v>
      </c>
      <c r="H225" s="19" t="s">
        <v>31</v>
      </c>
      <c r="I225" s="32">
        <v>480</v>
      </c>
      <c r="J225" s="32">
        <v>680</v>
      </c>
      <c r="K225" s="32">
        <v>1080</v>
      </c>
      <c r="L225" s="32">
        <v>2240</v>
      </c>
      <c r="M225" s="33">
        <f t="shared" si="10"/>
        <v>4480</v>
      </c>
      <c r="N225" s="32">
        <v>397</v>
      </c>
      <c r="O225" s="32">
        <v>575</v>
      </c>
      <c r="P225" s="34">
        <v>1000</v>
      </c>
      <c r="Q225" s="32">
        <v>1893</v>
      </c>
      <c r="R225" s="33">
        <f t="shared" si="11"/>
        <v>3865</v>
      </c>
    </row>
    <row r="226" spans="1:18" ht="15.75" customHeight="1" x14ac:dyDescent="0.3">
      <c r="A226" s="19">
        <v>27</v>
      </c>
      <c r="B226" s="20" t="str">
        <f t="shared" si="9"/>
        <v>JUL</v>
      </c>
      <c r="C226" s="21">
        <v>46207</v>
      </c>
      <c r="D226" s="20" t="str">
        <f>IFERROR(VLOOKUP(H226,KET!$B:$F,2,0),"")</f>
        <v>GRSM 4</v>
      </c>
      <c r="E226" s="20" t="str">
        <f>IFERROR(VLOOKUP(H226,KET!$B:$F,3,0),"")</f>
        <v>SUBANG</v>
      </c>
      <c r="F226" s="20" t="str">
        <f>IFERROR(VLOOKUP(H226,KET!$B:$F,4,0),"")</f>
        <v>FAHMI LUKMANUL HAKIM</v>
      </c>
      <c r="G226" s="20" t="str">
        <f>IFERROR(VLOOKUP(H226,KET!$B:$F,5,0),"")</f>
        <v>GMM</v>
      </c>
      <c r="H226" s="19" t="s">
        <v>31</v>
      </c>
      <c r="I226" s="32">
        <v>314</v>
      </c>
      <c r="J226" s="32">
        <v>470</v>
      </c>
      <c r="K226" s="32">
        <v>920</v>
      </c>
      <c r="L226" s="32">
        <v>1546</v>
      </c>
      <c r="M226" s="33">
        <f t="shared" si="10"/>
        <v>3250</v>
      </c>
      <c r="N226" s="32">
        <v>121</v>
      </c>
      <c r="O226" s="32">
        <v>300</v>
      </c>
      <c r="P226" s="34">
        <v>670</v>
      </c>
      <c r="Q226" s="32">
        <v>864</v>
      </c>
      <c r="R226" s="33">
        <f t="shared" si="11"/>
        <v>1955</v>
      </c>
    </row>
    <row r="227" spans="1:18" ht="15.75" customHeight="1" x14ac:dyDescent="0.3">
      <c r="A227" s="19">
        <v>27</v>
      </c>
      <c r="B227" s="20" t="str">
        <f t="shared" si="9"/>
        <v>JUL</v>
      </c>
      <c r="C227" s="21">
        <v>46207</v>
      </c>
      <c r="D227" s="20" t="str">
        <f>IFERROR(VLOOKUP(H227,KET!$B:$F,2,0),"")</f>
        <v>GRSM 4</v>
      </c>
      <c r="E227" s="20" t="str">
        <f>IFERROR(VLOOKUP(H227,KET!$B:$F,3,0),"")</f>
        <v>KUNINGAN</v>
      </c>
      <c r="F227" s="20" t="str">
        <f>IFERROR(VLOOKUP(H227,KET!$B:$F,4,0),"")</f>
        <v>FAHMI LUKMANUL HAKIM</v>
      </c>
      <c r="G227" s="20" t="str">
        <f>IFERROR(VLOOKUP(H227,KET!$B:$F,5,0),"")</f>
        <v>GMM</v>
      </c>
      <c r="H227" s="19" t="s">
        <v>30</v>
      </c>
      <c r="I227" s="32">
        <v>249</v>
      </c>
      <c r="J227" s="32">
        <v>303</v>
      </c>
      <c r="K227" s="32">
        <v>449</v>
      </c>
      <c r="L227" s="32">
        <v>463</v>
      </c>
      <c r="M227" s="33">
        <f t="shared" si="10"/>
        <v>1464</v>
      </c>
      <c r="N227" s="32">
        <v>214</v>
      </c>
      <c r="O227" s="32">
        <v>253</v>
      </c>
      <c r="P227" s="34">
        <v>404</v>
      </c>
      <c r="Q227" s="32">
        <v>313</v>
      </c>
      <c r="R227" s="33">
        <f t="shared" si="11"/>
        <v>1184</v>
      </c>
    </row>
    <row r="228" spans="1:18" ht="15.75" customHeight="1" x14ac:dyDescent="0.3">
      <c r="A228" s="19">
        <v>27</v>
      </c>
      <c r="B228" s="20" t="str">
        <f t="shared" si="9"/>
        <v>JUL</v>
      </c>
      <c r="C228" s="21">
        <v>46207</v>
      </c>
      <c r="D228" s="20" t="str">
        <f>IFERROR(VLOOKUP(H228,KET!$B:$F,2,0),"")</f>
        <v>GRSM 4</v>
      </c>
      <c r="E228" s="20" t="str">
        <f>IFERROR(VLOOKUP(H228,KET!$B:$F,3,0),"")</f>
        <v>GARUT</v>
      </c>
      <c r="F228" s="20" t="str">
        <f>IFERROR(VLOOKUP(H228,KET!$B:$F,4,0),"")</f>
        <v>FAHMI LUKMANUL HAKIM</v>
      </c>
      <c r="G228" s="20" t="str">
        <f>IFERROR(VLOOKUP(H228,KET!$B:$F,5,0),"")</f>
        <v>GMM</v>
      </c>
      <c r="H228" s="19" t="s">
        <v>23</v>
      </c>
      <c r="I228" s="32">
        <v>189</v>
      </c>
      <c r="J228" s="32">
        <v>163</v>
      </c>
      <c r="K228" s="32">
        <v>273</v>
      </c>
      <c r="L228" s="32">
        <v>227</v>
      </c>
      <c r="M228" s="33">
        <f t="shared" si="10"/>
        <v>852</v>
      </c>
      <c r="N228" s="32">
        <v>143</v>
      </c>
      <c r="O228" s="32">
        <v>109</v>
      </c>
      <c r="P228" s="34">
        <v>230</v>
      </c>
      <c r="Q228" s="32">
        <v>174</v>
      </c>
      <c r="R228" s="33">
        <f t="shared" si="11"/>
        <v>656</v>
      </c>
    </row>
    <row r="229" spans="1:18" ht="15.75" customHeight="1" x14ac:dyDescent="0.3">
      <c r="A229" s="19">
        <v>27</v>
      </c>
      <c r="B229" s="20" t="str">
        <f t="shared" si="9"/>
        <v>JUL</v>
      </c>
      <c r="C229" s="21">
        <v>46207</v>
      </c>
      <c r="D229" s="20" t="str">
        <f>IFERROR(VLOOKUP(H229,KET!$B:$F,2,0),"")</f>
        <v>GRSM 4</v>
      </c>
      <c r="E229" s="20" t="str">
        <f>IFERROR(VLOOKUP(H229,KET!$B:$F,3,0),"")</f>
        <v>GARUT</v>
      </c>
      <c r="F229" s="20" t="str">
        <f>IFERROR(VLOOKUP(H229,KET!$B:$F,4,0),"")</f>
        <v>FAHMI LUKMANUL HAKIM</v>
      </c>
      <c r="G229" s="20" t="str">
        <f>IFERROR(VLOOKUP(H229,KET!$B:$F,5,0),"")</f>
        <v>GMM</v>
      </c>
      <c r="H229" s="19" t="s">
        <v>23</v>
      </c>
      <c r="I229" s="32">
        <v>188</v>
      </c>
      <c r="J229" s="32">
        <v>166</v>
      </c>
      <c r="K229" s="32">
        <v>276</v>
      </c>
      <c r="L229" s="32">
        <v>229</v>
      </c>
      <c r="M229" s="33">
        <f t="shared" si="10"/>
        <v>859</v>
      </c>
      <c r="N229" s="32">
        <v>144</v>
      </c>
      <c r="O229" s="32">
        <v>115</v>
      </c>
      <c r="P229" s="34">
        <v>236</v>
      </c>
      <c r="Q229" s="32">
        <v>247</v>
      </c>
      <c r="R229" s="33">
        <f t="shared" si="11"/>
        <v>742</v>
      </c>
    </row>
    <row r="230" spans="1:18" ht="15.75" customHeight="1" x14ac:dyDescent="0.3">
      <c r="A230" s="19">
        <v>27</v>
      </c>
      <c r="B230" s="20" t="str">
        <f t="shared" si="9"/>
        <v>JUL</v>
      </c>
      <c r="C230" s="21">
        <v>46207</v>
      </c>
      <c r="D230" s="20" t="str">
        <f>IFERROR(VLOOKUP(H230,KET!$B:$F,2,0),"")</f>
        <v>GRSM 4</v>
      </c>
      <c r="E230" s="20" t="str">
        <f>IFERROR(VLOOKUP(H230,KET!$B:$F,3,0),"")</f>
        <v>TASIK</v>
      </c>
      <c r="F230" s="20" t="str">
        <f>IFERROR(VLOOKUP(H230,KET!$B:$F,4,0),"")</f>
        <v>FAHMI LUKMANUL HAKIM</v>
      </c>
      <c r="G230" s="20" t="str">
        <f>IFERROR(VLOOKUP(H230,KET!$B:$F,5,0),"")</f>
        <v>GMM</v>
      </c>
      <c r="H230" s="19" t="s">
        <v>18</v>
      </c>
      <c r="I230" s="32">
        <v>1159</v>
      </c>
      <c r="J230" s="32">
        <v>1322</v>
      </c>
      <c r="K230" s="32">
        <v>1357</v>
      </c>
      <c r="L230" s="32">
        <v>1761</v>
      </c>
      <c r="M230" s="33">
        <f t="shared" si="10"/>
        <v>5599</v>
      </c>
      <c r="N230" s="32">
        <v>1099</v>
      </c>
      <c r="O230" s="32">
        <v>1244</v>
      </c>
      <c r="P230" s="34">
        <v>1291</v>
      </c>
      <c r="Q230" s="32">
        <v>1549</v>
      </c>
      <c r="R230" s="33">
        <f t="shared" si="11"/>
        <v>5183</v>
      </c>
    </row>
    <row r="231" spans="1:18" ht="15.75" customHeight="1" x14ac:dyDescent="0.3">
      <c r="A231" s="19">
        <v>27</v>
      </c>
      <c r="B231" s="20" t="str">
        <f t="shared" si="9"/>
        <v>JUL</v>
      </c>
      <c r="C231" s="21">
        <v>46207</v>
      </c>
      <c r="D231" s="20" t="str">
        <f>IFERROR(VLOOKUP(H231,KET!$B:$F,2,0),"")</f>
        <v>GRSM 4</v>
      </c>
      <c r="E231" s="20" t="str">
        <f>IFERROR(VLOOKUP(H231,KET!$B:$F,3,0),"")</f>
        <v>BANDUNG</v>
      </c>
      <c r="F231" s="20" t="str">
        <f>IFERROR(VLOOKUP(H231,KET!$B:$F,4,0),"")</f>
        <v>FAHMI LUKMANUL HAKIM</v>
      </c>
      <c r="G231" s="20" t="str">
        <f>IFERROR(VLOOKUP(H231,KET!$B:$F,5,0),"")</f>
        <v>NKA</v>
      </c>
      <c r="H231" s="19" t="s">
        <v>26</v>
      </c>
      <c r="I231" s="32">
        <v>380</v>
      </c>
      <c r="J231" s="32">
        <v>800</v>
      </c>
      <c r="K231" s="32">
        <v>540</v>
      </c>
      <c r="L231" s="32">
        <v>3740</v>
      </c>
      <c r="M231" s="33">
        <f t="shared" si="10"/>
        <v>5460</v>
      </c>
      <c r="N231" s="32">
        <v>327</v>
      </c>
      <c r="O231" s="32">
        <v>711</v>
      </c>
      <c r="P231" s="34">
        <v>445</v>
      </c>
      <c r="Q231" s="32">
        <v>3467</v>
      </c>
      <c r="R231" s="33">
        <f t="shared" si="11"/>
        <v>4950</v>
      </c>
    </row>
    <row r="232" spans="1:18" ht="15.75" customHeight="1" x14ac:dyDescent="0.3">
      <c r="A232" s="19">
        <v>27</v>
      </c>
      <c r="B232" s="20" t="str">
        <f t="shared" si="9"/>
        <v>JUL</v>
      </c>
      <c r="C232" s="21">
        <v>46207</v>
      </c>
      <c r="D232" s="20" t="str">
        <f>IFERROR(VLOOKUP(H232,KET!$B:$F,2,0),"")</f>
        <v/>
      </c>
      <c r="E232" s="20" t="str">
        <f>IFERROR(VLOOKUP(H232,KET!$B:$F,3,0),"")</f>
        <v/>
      </c>
      <c r="F232" s="20" t="str">
        <f>IFERROR(VLOOKUP(H232,KET!$B:$F,4,0),"")</f>
        <v/>
      </c>
      <c r="G232" s="20" t="str">
        <f>IFERROR(VLOOKUP(H232,KET!$B:$F,5,0),"")</f>
        <v/>
      </c>
      <c r="H232" s="19" t="s">
        <v>29</v>
      </c>
      <c r="I232" s="32">
        <v>452</v>
      </c>
      <c r="J232" s="32">
        <v>1764</v>
      </c>
      <c r="K232" s="32">
        <v>674</v>
      </c>
      <c r="L232" s="32">
        <v>1177</v>
      </c>
      <c r="M232" s="33">
        <f t="shared" si="10"/>
        <v>4067</v>
      </c>
      <c r="N232" s="32">
        <v>244</v>
      </c>
      <c r="O232" s="32">
        <v>1457</v>
      </c>
      <c r="P232" s="34">
        <v>391</v>
      </c>
      <c r="Q232" s="32">
        <v>746</v>
      </c>
      <c r="R232" s="33">
        <f t="shared" si="11"/>
        <v>2838</v>
      </c>
    </row>
    <row r="233" spans="1:18" ht="15.75" customHeight="1" x14ac:dyDescent="0.3">
      <c r="A233" s="19">
        <v>27</v>
      </c>
      <c r="B233" s="20" t="str">
        <f t="shared" si="9"/>
        <v>JUL</v>
      </c>
      <c r="C233" s="21">
        <v>46208</v>
      </c>
      <c r="D233" s="20" t="str">
        <f>IFERROR(VLOOKUP(H233,KET!$B:$F,2,0),"")</f>
        <v>GRSM 4</v>
      </c>
      <c r="E233" s="20" t="str">
        <f>IFERROR(VLOOKUP(H233,KET!$B:$F,3,0),"")</f>
        <v>SUBANG</v>
      </c>
      <c r="F233" s="20" t="str">
        <f>IFERROR(VLOOKUP(H233,KET!$B:$F,4,0),"")</f>
        <v>FAHMI LUKMANUL HAKIM</v>
      </c>
      <c r="G233" s="20" t="str">
        <f>IFERROR(VLOOKUP(H233,KET!$B:$F,5,0),"")</f>
        <v>GMM</v>
      </c>
      <c r="H233" s="19" t="s">
        <v>31</v>
      </c>
      <c r="I233" s="32">
        <v>521</v>
      </c>
      <c r="J233" s="32">
        <v>500</v>
      </c>
      <c r="K233" s="32">
        <v>1390</v>
      </c>
      <c r="L233" s="32">
        <v>2184</v>
      </c>
      <c r="M233" s="33">
        <f t="shared" si="10"/>
        <v>4595</v>
      </c>
      <c r="N233" s="32">
        <v>332</v>
      </c>
      <c r="O233" s="32">
        <v>274</v>
      </c>
      <c r="P233" s="34">
        <v>1174</v>
      </c>
      <c r="Q233" s="32">
        <v>1539</v>
      </c>
      <c r="R233" s="33">
        <f t="shared" si="11"/>
        <v>3319</v>
      </c>
    </row>
    <row r="234" spans="1:18" ht="15.75" customHeight="1" x14ac:dyDescent="0.3">
      <c r="A234" s="19">
        <v>27</v>
      </c>
      <c r="B234" s="20" t="str">
        <f t="shared" si="9"/>
        <v>JUL</v>
      </c>
      <c r="C234" s="21">
        <v>46208</v>
      </c>
      <c r="D234" s="20" t="str">
        <f>IFERROR(VLOOKUP(H234,KET!$B:$F,2,0),"")</f>
        <v>GRSM 4</v>
      </c>
      <c r="E234" s="20" t="str">
        <f>IFERROR(VLOOKUP(H234,KET!$B:$F,3,0),"")</f>
        <v>GARUT</v>
      </c>
      <c r="F234" s="20" t="str">
        <f>IFERROR(VLOOKUP(H234,KET!$B:$F,4,0),"")</f>
        <v>FAHMI LUKMANUL HAKIM</v>
      </c>
      <c r="G234" s="20" t="str">
        <f>IFERROR(VLOOKUP(H234,KET!$B:$F,5,0),"")</f>
        <v>GMM</v>
      </c>
      <c r="H234" s="19" t="s">
        <v>23</v>
      </c>
      <c r="I234" s="32">
        <v>143</v>
      </c>
      <c r="J234" s="32">
        <v>109</v>
      </c>
      <c r="K234" s="32">
        <v>320</v>
      </c>
      <c r="L234" s="32">
        <v>174</v>
      </c>
      <c r="M234" s="33">
        <f t="shared" si="10"/>
        <v>746</v>
      </c>
      <c r="N234" s="32">
        <v>85</v>
      </c>
      <c r="O234" s="32">
        <v>56</v>
      </c>
      <c r="P234" s="34">
        <v>274</v>
      </c>
      <c r="Q234" s="32">
        <v>123</v>
      </c>
      <c r="R234" s="33">
        <f t="shared" si="11"/>
        <v>538</v>
      </c>
    </row>
    <row r="235" spans="1:18" ht="15.75" customHeight="1" x14ac:dyDescent="0.3">
      <c r="A235" s="19">
        <v>27</v>
      </c>
      <c r="B235" s="20" t="str">
        <f t="shared" si="9"/>
        <v>JUL</v>
      </c>
      <c r="C235" s="21">
        <v>46208</v>
      </c>
      <c r="D235" s="20" t="str">
        <f>IFERROR(VLOOKUP(H235,KET!$B:$F,2,0),"")</f>
        <v>GRSM 4</v>
      </c>
      <c r="E235" s="20" t="str">
        <f>IFERROR(VLOOKUP(H235,KET!$B:$F,3,0),"")</f>
        <v>GARUT</v>
      </c>
      <c r="F235" s="20" t="str">
        <f>IFERROR(VLOOKUP(H235,KET!$B:$F,4,0),"")</f>
        <v>FAHMI LUKMANUL HAKIM</v>
      </c>
      <c r="G235" s="20" t="str">
        <f>IFERROR(VLOOKUP(H235,KET!$B:$F,5,0),"")</f>
        <v>GMM</v>
      </c>
      <c r="H235" s="19" t="s">
        <v>23</v>
      </c>
      <c r="I235" s="32">
        <v>144</v>
      </c>
      <c r="J235" s="32">
        <v>115</v>
      </c>
      <c r="K235" s="32">
        <v>236</v>
      </c>
      <c r="L235" s="32">
        <v>247</v>
      </c>
      <c r="M235" s="33">
        <f t="shared" si="10"/>
        <v>742</v>
      </c>
      <c r="N235" s="32">
        <v>89</v>
      </c>
      <c r="O235" s="32">
        <v>104</v>
      </c>
      <c r="P235" s="34">
        <v>194</v>
      </c>
      <c r="Q235" s="32">
        <v>199</v>
      </c>
      <c r="R235" s="33">
        <f t="shared" si="11"/>
        <v>586</v>
      </c>
    </row>
    <row r="236" spans="1:18" ht="15.75" customHeight="1" x14ac:dyDescent="0.3">
      <c r="A236" s="19">
        <v>27</v>
      </c>
      <c r="B236" s="20" t="str">
        <f t="shared" si="9"/>
        <v>JUL</v>
      </c>
      <c r="C236" s="21">
        <v>46208</v>
      </c>
      <c r="D236" s="20" t="str">
        <f>IFERROR(VLOOKUP(H236,KET!$B:$F,2,0),"")</f>
        <v>GRSM 4</v>
      </c>
      <c r="E236" s="20" t="str">
        <f>IFERROR(VLOOKUP(H236,KET!$B:$F,3,0),"")</f>
        <v>TASIK</v>
      </c>
      <c r="F236" s="20" t="str">
        <f>IFERROR(VLOOKUP(H236,KET!$B:$F,4,0),"")</f>
        <v>FAHMI LUKMANUL HAKIM</v>
      </c>
      <c r="G236" s="20" t="str">
        <f>IFERROR(VLOOKUP(H236,KET!$B:$F,5,0),"")</f>
        <v>GMM</v>
      </c>
      <c r="H236" s="19" t="s">
        <v>18</v>
      </c>
      <c r="I236" s="32">
        <v>1046</v>
      </c>
      <c r="J236" s="32">
        <v>1157</v>
      </c>
      <c r="K236" s="32">
        <v>1220</v>
      </c>
      <c r="L236" s="32">
        <v>1326</v>
      </c>
      <c r="M236" s="33">
        <f t="shared" si="10"/>
        <v>4749</v>
      </c>
      <c r="N236" s="32">
        <v>993</v>
      </c>
      <c r="O236" s="32">
        <v>1559</v>
      </c>
      <c r="P236" s="34">
        <v>1160</v>
      </c>
      <c r="Q236" s="32">
        <v>1121</v>
      </c>
      <c r="R236" s="33">
        <f t="shared" si="11"/>
        <v>4833</v>
      </c>
    </row>
    <row r="237" spans="1:18" ht="15.75" customHeight="1" x14ac:dyDescent="0.3">
      <c r="A237" s="19">
        <v>27</v>
      </c>
      <c r="B237" s="20" t="str">
        <f t="shared" si="9"/>
        <v>JUL</v>
      </c>
      <c r="C237" s="21">
        <v>46208</v>
      </c>
      <c r="D237" s="20" t="str">
        <f>IFERROR(VLOOKUP(H237,KET!$B:$F,2,0),"")</f>
        <v>GRSM 4</v>
      </c>
      <c r="E237" s="20" t="str">
        <f>IFERROR(VLOOKUP(H237,KET!$B:$F,3,0),"")</f>
        <v>KUNINGAN</v>
      </c>
      <c r="F237" s="20" t="str">
        <f>IFERROR(VLOOKUP(H237,KET!$B:$F,4,0),"")</f>
        <v>FAHMI LUKMANUL HAKIM</v>
      </c>
      <c r="G237" s="20" t="str">
        <f>IFERROR(VLOOKUP(H237,KET!$B:$F,5,0),"")</f>
        <v>GMM</v>
      </c>
      <c r="H237" s="19" t="s">
        <v>30</v>
      </c>
      <c r="I237" s="32">
        <v>214</v>
      </c>
      <c r="J237" s="32">
        <v>253</v>
      </c>
      <c r="K237" s="32">
        <v>404</v>
      </c>
      <c r="L237" s="32">
        <v>313</v>
      </c>
      <c r="M237" s="33">
        <f t="shared" si="10"/>
        <v>1184</v>
      </c>
      <c r="N237" s="32">
        <v>144</v>
      </c>
      <c r="O237" s="32">
        <v>181</v>
      </c>
      <c r="P237" s="34">
        <v>339</v>
      </c>
      <c r="Q237" s="32">
        <v>128</v>
      </c>
      <c r="R237" s="33">
        <f t="shared" si="11"/>
        <v>792</v>
      </c>
    </row>
    <row r="238" spans="1:18" ht="15.75" customHeight="1" x14ac:dyDescent="0.3">
      <c r="A238" s="19">
        <v>27</v>
      </c>
      <c r="B238" s="20" t="str">
        <f t="shared" si="9"/>
        <v>JUL</v>
      </c>
      <c r="C238" s="21">
        <v>46206</v>
      </c>
      <c r="D238" s="20" t="str">
        <f>IFERROR(VLOOKUP(H238,KET!$B:$F,2,0),"")</f>
        <v>GRSM 4</v>
      </c>
      <c r="E238" s="20" t="str">
        <f>IFERROR(VLOOKUP(H238,KET!$B:$F,3,0),"")</f>
        <v>TASIKMALAYA</v>
      </c>
      <c r="F238" s="20" t="str">
        <f>IFERROR(VLOOKUP(H238,KET!$B:$F,4,0),"")</f>
        <v>FAHMI LUKMANUL HAKIM</v>
      </c>
      <c r="G238" s="20" t="str">
        <f>IFERROR(VLOOKUP(H238,KET!$B:$F,5,0),"")</f>
        <v>GMM</v>
      </c>
      <c r="H238" s="19" t="s">
        <v>32</v>
      </c>
      <c r="I238" s="32">
        <v>930</v>
      </c>
      <c r="J238" s="32">
        <v>1055</v>
      </c>
      <c r="K238" s="32">
        <v>887</v>
      </c>
      <c r="L238" s="32">
        <v>1833</v>
      </c>
      <c r="M238" s="33">
        <f t="shared" si="10"/>
        <v>4705</v>
      </c>
      <c r="N238" s="32">
        <v>890</v>
      </c>
      <c r="O238" s="32">
        <v>10154</v>
      </c>
      <c r="P238" s="34">
        <v>847</v>
      </c>
      <c r="Q238" s="32">
        <v>1728</v>
      </c>
      <c r="R238" s="33">
        <f t="shared" si="11"/>
        <v>13619</v>
      </c>
    </row>
    <row r="239" spans="1:18" ht="15.75" customHeight="1" x14ac:dyDescent="0.3">
      <c r="A239" s="19">
        <v>27</v>
      </c>
      <c r="B239" s="20" t="str">
        <f t="shared" si="9"/>
        <v>JUL</v>
      </c>
      <c r="C239" s="21">
        <v>46208</v>
      </c>
      <c r="D239" s="20" t="str">
        <f>IFERROR(VLOOKUP(H239,KET!$B:$F,2,0),"")</f>
        <v>GRSM 4</v>
      </c>
      <c r="E239" s="20" t="str">
        <f>IFERROR(VLOOKUP(H239,KET!$B:$F,3,0),"")</f>
        <v>TASIKMALAYA</v>
      </c>
      <c r="F239" s="20" t="str">
        <f>IFERROR(VLOOKUP(H239,KET!$B:$F,4,0),"")</f>
        <v>FAHMI LUKMANUL HAKIM</v>
      </c>
      <c r="G239" s="20" t="str">
        <f>IFERROR(VLOOKUP(H239,KET!$B:$F,5,0),"")</f>
        <v>GMM</v>
      </c>
      <c r="H239" s="19" t="s">
        <v>32</v>
      </c>
      <c r="I239" s="32">
        <v>780</v>
      </c>
      <c r="J239" s="32">
        <v>905</v>
      </c>
      <c r="K239" s="32">
        <v>737</v>
      </c>
      <c r="L239" s="32">
        <v>1398</v>
      </c>
      <c r="M239" s="33">
        <f t="shared" si="10"/>
        <v>3820</v>
      </c>
      <c r="N239" s="32">
        <v>730</v>
      </c>
      <c r="O239" s="32">
        <v>935</v>
      </c>
      <c r="P239" s="34">
        <v>687</v>
      </c>
      <c r="Q239" s="32">
        <v>1238</v>
      </c>
      <c r="R239" s="33">
        <f t="shared" si="11"/>
        <v>3590</v>
      </c>
    </row>
    <row r="240" spans="1:18" ht="15.75" customHeight="1" x14ac:dyDescent="0.3">
      <c r="A240" s="19">
        <v>27</v>
      </c>
      <c r="B240" s="20" t="str">
        <f t="shared" si="9"/>
        <v>JUL</v>
      </c>
      <c r="C240" s="21">
        <v>46207</v>
      </c>
      <c r="D240" s="20" t="str">
        <f>IFERROR(VLOOKUP(H240,KET!$B:$F,2,0),"")</f>
        <v>GRSM 4</v>
      </c>
      <c r="E240" s="20" t="str">
        <f>IFERROR(VLOOKUP(H240,KET!$B:$F,3,0),"")</f>
        <v>TASIKMALAYA</v>
      </c>
      <c r="F240" s="20" t="str">
        <f>IFERROR(VLOOKUP(H240,KET!$B:$F,4,0),"")</f>
        <v>FAHMI LUKMANUL HAKIM</v>
      </c>
      <c r="G240" s="20" t="str">
        <f>IFERROR(VLOOKUP(H240,KET!$B:$F,5,0),"")</f>
        <v>GMM</v>
      </c>
      <c r="H240" s="19" t="s">
        <v>32</v>
      </c>
      <c r="I240" s="32">
        <v>850</v>
      </c>
      <c r="J240" s="32">
        <v>975</v>
      </c>
      <c r="K240" s="32">
        <v>807</v>
      </c>
      <c r="L240" s="32">
        <v>1628</v>
      </c>
      <c r="M240" s="33">
        <f t="shared" si="10"/>
        <v>4260</v>
      </c>
      <c r="N240" s="32">
        <v>820</v>
      </c>
      <c r="O240" s="32">
        <v>935</v>
      </c>
      <c r="P240" s="34">
        <v>767</v>
      </c>
      <c r="Q240" s="32">
        <v>1518</v>
      </c>
      <c r="R240" s="33">
        <f t="shared" si="11"/>
        <v>4040</v>
      </c>
    </row>
    <row r="241" spans="1:18" ht="15.75" customHeight="1" x14ac:dyDescent="0.3">
      <c r="A241" s="19">
        <v>27</v>
      </c>
      <c r="B241" s="20" t="str">
        <f t="shared" si="9"/>
        <v>JUL</v>
      </c>
      <c r="C241" s="21">
        <v>46208</v>
      </c>
      <c r="D241" s="20" t="str">
        <f>IFERROR(VLOOKUP(H241,KET!$B:$F,2,0),"")</f>
        <v/>
      </c>
      <c r="E241" s="20" t="str">
        <f>IFERROR(VLOOKUP(H241,KET!$B:$F,3,0),"")</f>
        <v/>
      </c>
      <c r="F241" s="20" t="str">
        <f>IFERROR(VLOOKUP(H241,KET!$B:$F,4,0),"")</f>
        <v/>
      </c>
      <c r="G241" s="20" t="str">
        <f>IFERROR(VLOOKUP(H241,KET!$B:$F,5,0),"")</f>
        <v/>
      </c>
      <c r="H241" s="19" t="s">
        <v>29</v>
      </c>
      <c r="I241" s="32">
        <v>789</v>
      </c>
      <c r="J241" s="32">
        <v>1457</v>
      </c>
      <c r="K241" s="32">
        <v>654</v>
      </c>
      <c r="L241" s="32">
        <v>1005</v>
      </c>
      <c r="M241" s="33">
        <f t="shared" si="10"/>
        <v>3905</v>
      </c>
      <c r="N241" s="32">
        <v>492</v>
      </c>
      <c r="O241" s="32">
        <v>1183</v>
      </c>
      <c r="P241" s="34">
        <v>387</v>
      </c>
      <c r="Q241" s="32">
        <v>599</v>
      </c>
      <c r="R241" s="33">
        <f t="shared" si="11"/>
        <v>2661</v>
      </c>
    </row>
    <row r="242" spans="1:18" ht="15.75" customHeight="1" x14ac:dyDescent="0.3">
      <c r="A242" s="19">
        <v>27</v>
      </c>
      <c r="B242" s="20" t="str">
        <f t="shared" si="9"/>
        <v>JUL</v>
      </c>
      <c r="C242" s="21">
        <v>46208</v>
      </c>
      <c r="D242" s="20" t="str">
        <f>IFERROR(VLOOKUP(H242,KET!$B:$F,2,0),"")</f>
        <v>GRSM 4</v>
      </c>
      <c r="E242" s="20" t="str">
        <f>IFERROR(VLOOKUP(H242,KET!$B:$F,3,0),"")</f>
        <v>TASIKMALAYA</v>
      </c>
      <c r="F242" s="20" t="str">
        <f>IFERROR(VLOOKUP(H242,KET!$B:$F,4,0),"")</f>
        <v>FAHMI LUKMANUL HAKIM</v>
      </c>
      <c r="G242" s="20" t="str">
        <f>IFERROR(VLOOKUP(H242,KET!$B:$F,5,0),"")</f>
        <v>GMM</v>
      </c>
      <c r="H242" s="19" t="s">
        <v>32</v>
      </c>
      <c r="I242" s="32">
        <v>180</v>
      </c>
      <c r="J242" s="32">
        <v>310</v>
      </c>
      <c r="K242" s="32">
        <v>350</v>
      </c>
      <c r="L242" s="32">
        <v>640</v>
      </c>
      <c r="M242" s="33">
        <f t="shared" si="10"/>
        <v>1480</v>
      </c>
      <c r="N242" s="32">
        <v>150</v>
      </c>
      <c r="O242" s="32">
        <v>270</v>
      </c>
      <c r="P242" s="34">
        <v>310</v>
      </c>
      <c r="Q242" s="32">
        <v>520</v>
      </c>
      <c r="R242" s="33">
        <f t="shared" si="11"/>
        <v>1250</v>
      </c>
    </row>
    <row r="243" spans="1:18" ht="15.75" customHeight="1" x14ac:dyDescent="0.3">
      <c r="A243" s="19">
        <v>27</v>
      </c>
      <c r="B243" s="20" t="str">
        <f t="shared" si="9"/>
        <v>JUL</v>
      </c>
      <c r="C243" s="21">
        <v>46206</v>
      </c>
      <c r="D243" s="20" t="str">
        <f>IFERROR(VLOOKUP(H243,KET!$B:$F,2,0),"")</f>
        <v>GRSM 5</v>
      </c>
      <c r="E243" s="20" t="str">
        <f>IFERROR(VLOOKUP(H243,KET!$B:$F,3,0),"")</f>
        <v>TEGAL</v>
      </c>
      <c r="F243" s="20" t="str">
        <f>IFERROR(VLOOKUP(H243,KET!$B:$F,4,0),"")</f>
        <v>SUPRIYATI</v>
      </c>
      <c r="G243" s="20" t="str">
        <f>IFERROR(VLOOKUP(H243,KET!$B:$F,5,0),"")</f>
        <v>GMM</v>
      </c>
      <c r="H243" s="19" t="s">
        <v>33</v>
      </c>
      <c r="I243" s="32">
        <v>400</v>
      </c>
      <c r="J243" s="32">
        <v>120</v>
      </c>
      <c r="K243" s="32">
        <v>480</v>
      </c>
      <c r="L243" s="32">
        <v>0</v>
      </c>
      <c r="M243" s="33">
        <f t="shared" si="10"/>
        <v>1000</v>
      </c>
      <c r="N243" s="32">
        <v>366</v>
      </c>
      <c r="O243" s="32">
        <v>35</v>
      </c>
      <c r="P243" s="34">
        <v>417</v>
      </c>
      <c r="Q243" s="32">
        <v>0</v>
      </c>
      <c r="R243" s="33">
        <f t="shared" si="11"/>
        <v>818</v>
      </c>
    </row>
    <row r="244" spans="1:18" ht="15.75" customHeight="1" x14ac:dyDescent="0.3">
      <c r="A244" s="19">
        <v>27</v>
      </c>
      <c r="B244" s="20" t="str">
        <f t="shared" si="9"/>
        <v>JUL</v>
      </c>
      <c r="C244" s="21">
        <v>46207</v>
      </c>
      <c r="D244" s="20" t="str">
        <f>IFERROR(VLOOKUP(H244,KET!$B:$F,2,0),"")</f>
        <v>GRSM 5</v>
      </c>
      <c r="E244" s="20" t="str">
        <f>IFERROR(VLOOKUP(H244,KET!$B:$F,3,0),"")</f>
        <v>TEGAL</v>
      </c>
      <c r="F244" s="20" t="str">
        <f>IFERROR(VLOOKUP(H244,KET!$B:$F,4,0),"")</f>
        <v>SUPRIYATI</v>
      </c>
      <c r="G244" s="20" t="str">
        <f>IFERROR(VLOOKUP(H244,KET!$B:$F,5,0),"")</f>
        <v>GMM</v>
      </c>
      <c r="H244" s="19" t="s">
        <v>33</v>
      </c>
      <c r="I244" s="32">
        <v>480</v>
      </c>
      <c r="J244" s="32">
        <v>1635</v>
      </c>
      <c r="K244" s="32">
        <v>880</v>
      </c>
      <c r="L244" s="32">
        <v>1560</v>
      </c>
      <c r="M244" s="33">
        <f t="shared" si="10"/>
        <v>4555</v>
      </c>
      <c r="N244" s="32">
        <v>446</v>
      </c>
      <c r="O244" s="32">
        <v>1573</v>
      </c>
      <c r="P244" s="34">
        <v>752</v>
      </c>
      <c r="Q244" s="32">
        <v>1502</v>
      </c>
      <c r="R244" s="33">
        <f t="shared" si="11"/>
        <v>4273</v>
      </c>
    </row>
    <row r="245" spans="1:18" ht="15.75" customHeight="1" x14ac:dyDescent="0.3">
      <c r="A245" s="19">
        <v>27</v>
      </c>
      <c r="B245" s="20" t="str">
        <f t="shared" si="9"/>
        <v>JUL</v>
      </c>
      <c r="C245" s="21">
        <v>46208</v>
      </c>
      <c r="D245" s="20" t="str">
        <f>IFERROR(VLOOKUP(H245,KET!$B:$F,2,0),"")</f>
        <v>GRSM 5</v>
      </c>
      <c r="E245" s="20" t="str">
        <f>IFERROR(VLOOKUP(H245,KET!$B:$F,3,0),"")</f>
        <v>TEGAL</v>
      </c>
      <c r="F245" s="20" t="str">
        <f>IFERROR(VLOOKUP(H245,KET!$B:$F,4,0),"")</f>
        <v>SUPRIYATI</v>
      </c>
      <c r="G245" s="20" t="str">
        <f>IFERROR(VLOOKUP(H245,KET!$B:$F,5,0),"")</f>
        <v>GMM</v>
      </c>
      <c r="H245" s="19" t="s">
        <v>33</v>
      </c>
      <c r="I245" s="32">
        <v>446</v>
      </c>
      <c r="J245" s="32">
        <v>1573</v>
      </c>
      <c r="K245" s="32">
        <v>752</v>
      </c>
      <c r="L245" s="32">
        <v>1502</v>
      </c>
      <c r="M245" s="33">
        <f t="shared" si="10"/>
        <v>4273</v>
      </c>
      <c r="N245" s="32">
        <v>402</v>
      </c>
      <c r="O245" s="32">
        <v>1495</v>
      </c>
      <c r="P245" s="34">
        <v>625</v>
      </c>
      <c r="Q245" s="32">
        <v>1247</v>
      </c>
      <c r="R245" s="33">
        <f t="shared" si="11"/>
        <v>3769</v>
      </c>
    </row>
    <row r="246" spans="1:18" ht="15.75" customHeight="1" x14ac:dyDescent="0.3">
      <c r="A246" s="19">
        <v>25</v>
      </c>
      <c r="B246" s="20" t="str">
        <f t="shared" si="9"/>
        <v>JUN</v>
      </c>
      <c r="C246" s="21">
        <v>46195</v>
      </c>
      <c r="D246" s="20" t="str">
        <f>IFERROR(VLOOKUP(H246,KET!$B:$F,2,0),"")</f>
        <v>GRSM 3A</v>
      </c>
      <c r="E246" s="20" t="str">
        <f>IFERROR(VLOOKUP(H246,KET!$B:$F,3,0),"")</f>
        <v>SUKABUMI</v>
      </c>
      <c r="F246" s="20" t="str">
        <f>IFERROR(VLOOKUP(H246,KET!$B:$F,4,0),"")</f>
        <v>FAHMI LUKMANUL HAKIM</v>
      </c>
      <c r="G246" s="20" t="str">
        <f>IFERROR(VLOOKUP(H246,KET!$B:$F,5,0),"")</f>
        <v>GMM</v>
      </c>
      <c r="H246" s="19" t="s">
        <v>22</v>
      </c>
      <c r="I246" s="32">
        <v>173</v>
      </c>
      <c r="J246" s="32">
        <v>612</v>
      </c>
      <c r="K246" s="32">
        <v>512</v>
      </c>
      <c r="L246" s="32">
        <v>1194</v>
      </c>
      <c r="M246" s="33">
        <f t="shared" si="10"/>
        <v>2491</v>
      </c>
      <c r="N246" s="32">
        <v>155</v>
      </c>
      <c r="O246" s="32">
        <v>572</v>
      </c>
      <c r="P246" s="34">
        <v>484</v>
      </c>
      <c r="Q246" s="32">
        <v>1098</v>
      </c>
      <c r="R246" s="33">
        <f t="shared" si="11"/>
        <v>2309</v>
      </c>
    </row>
    <row r="247" spans="1:18" ht="15.75" customHeight="1" x14ac:dyDescent="0.3">
      <c r="A247" s="19">
        <v>26</v>
      </c>
      <c r="B247" s="20" t="str">
        <f t="shared" si="9"/>
        <v>JUN</v>
      </c>
      <c r="C247" s="21">
        <v>46202</v>
      </c>
      <c r="D247" s="20" t="str">
        <f>IFERROR(VLOOKUP(H247,KET!$B:$F,2,0),"")</f>
        <v>GRSM 3A</v>
      </c>
      <c r="E247" s="20" t="str">
        <f>IFERROR(VLOOKUP(H247,KET!$B:$F,3,0),"")</f>
        <v>SUKABUMI</v>
      </c>
      <c r="F247" s="20" t="str">
        <f>IFERROR(VLOOKUP(H247,KET!$B:$F,4,0),"")</f>
        <v>FAHMI LUKMANUL HAKIM</v>
      </c>
      <c r="G247" s="20" t="str">
        <f>IFERROR(VLOOKUP(H247,KET!$B:$F,5,0),"")</f>
        <v>GMM</v>
      </c>
      <c r="H247" s="19" t="s">
        <v>22</v>
      </c>
      <c r="I247" s="32">
        <v>60</v>
      </c>
      <c r="J247" s="32">
        <v>308</v>
      </c>
      <c r="K247" s="32">
        <v>300</v>
      </c>
      <c r="L247" s="32">
        <v>424</v>
      </c>
      <c r="M247" s="33">
        <f t="shared" si="10"/>
        <v>1092</v>
      </c>
      <c r="N247" s="32">
        <v>46</v>
      </c>
      <c r="O247" s="32">
        <v>228</v>
      </c>
      <c r="P247" s="34">
        <v>280</v>
      </c>
      <c r="Q247" s="32">
        <v>338</v>
      </c>
      <c r="R247" s="33">
        <f t="shared" si="11"/>
        <v>892</v>
      </c>
    </row>
    <row r="248" spans="1:18" ht="15.75" customHeight="1" x14ac:dyDescent="0.3">
      <c r="A248" s="19">
        <v>27</v>
      </c>
      <c r="B248" s="20" t="str">
        <f t="shared" si="9"/>
        <v>JUL</v>
      </c>
      <c r="C248" s="21">
        <v>46206</v>
      </c>
      <c r="D248" s="20" t="str">
        <f>IFERROR(VLOOKUP(H248,KET!$B:$F,2,0),"")</f>
        <v>GRSM 4</v>
      </c>
      <c r="E248" s="20" t="str">
        <f>IFERROR(VLOOKUP(H248,KET!$B:$F,3,0),"")</f>
        <v>BANJAR</v>
      </c>
      <c r="F248" s="20" t="str">
        <f>IFERROR(VLOOKUP(H248,KET!$B:$F,4,0),"")</f>
        <v>FAHMI LUKMANUL HAKIM</v>
      </c>
      <c r="G248" s="20" t="str">
        <f>IFERROR(VLOOKUP(H248,KET!$B:$F,5,0),"")</f>
        <v>GMM</v>
      </c>
      <c r="H248" s="19" t="s">
        <v>34</v>
      </c>
      <c r="I248" s="32">
        <v>223</v>
      </c>
      <c r="J248" s="32">
        <v>360</v>
      </c>
      <c r="K248" s="32">
        <v>400</v>
      </c>
      <c r="L248" s="32">
        <v>720</v>
      </c>
      <c r="M248" s="33">
        <f t="shared" si="10"/>
        <v>1703</v>
      </c>
      <c r="N248" s="32">
        <v>180</v>
      </c>
      <c r="O248" s="32">
        <v>310</v>
      </c>
      <c r="P248" s="34">
        <v>350</v>
      </c>
      <c r="Q248" s="32">
        <v>640</v>
      </c>
      <c r="R248" s="33">
        <f t="shared" si="11"/>
        <v>1480</v>
      </c>
    </row>
    <row r="249" spans="1:18" ht="15.75" customHeight="1" x14ac:dyDescent="0.3">
      <c r="A249" s="19">
        <v>27</v>
      </c>
      <c r="B249" s="20" t="str">
        <f t="shared" si="9"/>
        <v>JUL</v>
      </c>
      <c r="C249" s="21">
        <v>46207</v>
      </c>
      <c r="D249" s="20" t="str">
        <f>IFERROR(VLOOKUP(H249,KET!$B:$F,2,0),"")</f>
        <v>GRSM 4</v>
      </c>
      <c r="E249" s="20" t="str">
        <f>IFERROR(VLOOKUP(H249,KET!$B:$F,3,0),"")</f>
        <v>BANJAR</v>
      </c>
      <c r="F249" s="20" t="str">
        <f>IFERROR(VLOOKUP(H249,KET!$B:$F,4,0),"")</f>
        <v>FAHMI LUKMANUL HAKIM</v>
      </c>
      <c r="G249" s="20" t="str">
        <f>IFERROR(VLOOKUP(H249,KET!$B:$F,5,0),"")</f>
        <v>GMM</v>
      </c>
      <c r="H249" s="19" t="s">
        <v>34</v>
      </c>
      <c r="I249" s="32">
        <v>180</v>
      </c>
      <c r="J249" s="32">
        <v>310</v>
      </c>
      <c r="K249" s="32">
        <v>350</v>
      </c>
      <c r="L249" s="32">
        <v>640</v>
      </c>
      <c r="M249" s="33">
        <f t="shared" si="10"/>
        <v>1480</v>
      </c>
      <c r="N249" s="32">
        <v>150</v>
      </c>
      <c r="O249" s="32">
        <v>260</v>
      </c>
      <c r="P249" s="34">
        <v>310</v>
      </c>
      <c r="Q249" s="32">
        <v>580</v>
      </c>
      <c r="R249" s="33">
        <f t="shared" si="11"/>
        <v>1300</v>
      </c>
    </row>
    <row r="250" spans="1:18" ht="15.75" customHeight="1" x14ac:dyDescent="0.3">
      <c r="A250" s="19">
        <v>27</v>
      </c>
      <c r="B250" s="20" t="str">
        <f t="shared" si="9"/>
        <v>JUL</v>
      </c>
      <c r="C250" s="21">
        <v>46207</v>
      </c>
      <c r="D250" s="20" t="str">
        <f>IFERROR(VLOOKUP(H250,KET!$B:$F,2,0),"")</f>
        <v>GRSM 4</v>
      </c>
      <c r="E250" s="20" t="str">
        <f>IFERROR(VLOOKUP(H250,KET!$B:$F,3,0),"")</f>
        <v>BANDUNG</v>
      </c>
      <c r="F250" s="20" t="str">
        <f>IFERROR(VLOOKUP(H250,KET!$B:$F,4,0),"")</f>
        <v>FAHMI LUKMANUL HAKIM</v>
      </c>
      <c r="G250" s="20" t="str">
        <f>IFERROR(VLOOKUP(H250,KET!$B:$F,5,0),"")</f>
        <v>NKA</v>
      </c>
      <c r="H250" s="19" t="s">
        <v>26</v>
      </c>
      <c r="I250" s="32">
        <v>380</v>
      </c>
      <c r="J250" s="32">
        <v>800</v>
      </c>
      <c r="K250" s="32">
        <v>540</v>
      </c>
      <c r="L250" s="32">
        <v>3740</v>
      </c>
      <c r="M250" s="33">
        <f t="shared" si="10"/>
        <v>5460</v>
      </c>
      <c r="N250" s="32">
        <v>364</v>
      </c>
      <c r="O250" s="32">
        <v>769</v>
      </c>
      <c r="P250" s="34">
        <v>497</v>
      </c>
      <c r="Q250" s="32">
        <v>3586</v>
      </c>
      <c r="R250" s="33">
        <f t="shared" si="11"/>
        <v>5216</v>
      </c>
    </row>
    <row r="251" spans="1:18" ht="15.75" customHeight="1" x14ac:dyDescent="0.3">
      <c r="A251" s="19">
        <v>27</v>
      </c>
      <c r="B251" s="20" t="str">
        <f t="shared" si="9"/>
        <v>JUL</v>
      </c>
      <c r="C251" s="21">
        <v>46208</v>
      </c>
      <c r="D251" s="20" t="str">
        <f>IFERROR(VLOOKUP(H251,KET!$B:$F,2,0),"")</f>
        <v>GRSM 4</v>
      </c>
      <c r="E251" s="20" t="str">
        <f>IFERROR(VLOOKUP(H251,KET!$B:$F,3,0),"")</f>
        <v>KUNINGAN</v>
      </c>
      <c r="F251" s="20" t="str">
        <f>IFERROR(VLOOKUP(H251,KET!$B:$F,4,0),"")</f>
        <v>FAHMI LUKMANUL HAKIM</v>
      </c>
      <c r="G251" s="20" t="str">
        <f>IFERROR(VLOOKUP(H251,KET!$B:$F,5,0),"")</f>
        <v>GMM</v>
      </c>
      <c r="H251" s="19" t="s">
        <v>30</v>
      </c>
      <c r="I251" s="32">
        <v>214</v>
      </c>
      <c r="J251" s="32">
        <v>253</v>
      </c>
      <c r="K251" s="32">
        <v>404</v>
      </c>
      <c r="L251" s="32">
        <v>313</v>
      </c>
      <c r="M251" s="33">
        <f t="shared" si="10"/>
        <v>1184</v>
      </c>
      <c r="N251" s="32">
        <v>144</v>
      </c>
      <c r="O251" s="32">
        <v>181</v>
      </c>
      <c r="P251" s="34">
        <v>339</v>
      </c>
      <c r="Q251" s="32">
        <v>128</v>
      </c>
      <c r="R251" s="33">
        <f t="shared" si="11"/>
        <v>792</v>
      </c>
    </row>
    <row r="252" spans="1:18" ht="15.75" customHeight="1" x14ac:dyDescent="0.3">
      <c r="A252" s="19">
        <v>27</v>
      </c>
      <c r="B252" s="20" t="str">
        <f t="shared" si="9"/>
        <v>JUL</v>
      </c>
      <c r="C252" s="21">
        <v>46208</v>
      </c>
      <c r="D252" s="20" t="str">
        <f>IFERROR(VLOOKUP(H252,KET!$B:$F,2,0),"")</f>
        <v>GRSM 4</v>
      </c>
      <c r="E252" s="20" t="str">
        <f>IFERROR(VLOOKUP(H252,KET!$B:$F,3,0),"")</f>
        <v>BANDUNG</v>
      </c>
      <c r="F252" s="20" t="str">
        <f>IFERROR(VLOOKUP(H252,KET!$B:$F,4,0),"")</f>
        <v>FAHMI LUKMANUL HAKIM</v>
      </c>
      <c r="G252" s="20" t="str">
        <f>IFERROR(VLOOKUP(H252,KET!$B:$F,5,0),"")</f>
        <v>NKA</v>
      </c>
      <c r="H252" s="19" t="s">
        <v>26</v>
      </c>
      <c r="I252" s="32">
        <v>364</v>
      </c>
      <c r="J252" s="32">
        <v>769</v>
      </c>
      <c r="K252" s="32">
        <v>497</v>
      </c>
      <c r="L252" s="32">
        <v>3586</v>
      </c>
      <c r="M252" s="33">
        <f t="shared" si="10"/>
        <v>5216</v>
      </c>
      <c r="N252" s="32">
        <v>327</v>
      </c>
      <c r="O252" s="32">
        <v>711</v>
      </c>
      <c r="P252" s="32">
        <v>445</v>
      </c>
      <c r="Q252" s="32">
        <v>3467</v>
      </c>
      <c r="R252" s="33">
        <f t="shared" si="11"/>
        <v>4950</v>
      </c>
    </row>
    <row r="253" spans="1:18" ht="15.75" customHeight="1" x14ac:dyDescent="0.3">
      <c r="A253" s="19">
        <v>28</v>
      </c>
      <c r="B253" s="20" t="str">
        <f t="shared" si="9"/>
        <v>JUL</v>
      </c>
      <c r="C253" s="21">
        <v>46215</v>
      </c>
      <c r="D253" s="20" t="str">
        <f>IFERROR(VLOOKUP(H253,KET!$B:$F,2,0),"")</f>
        <v>GRSM 4</v>
      </c>
      <c r="E253" s="20" t="str">
        <f>IFERROR(VLOOKUP(H253,KET!$B:$F,3,0),"")</f>
        <v>SUBANG</v>
      </c>
      <c r="F253" s="20" t="str">
        <f>IFERROR(VLOOKUP(H253,KET!$B:$F,4,0),"")</f>
        <v>FAHMI LUKMANUL HAKIM</v>
      </c>
      <c r="G253" s="20" t="str">
        <f>IFERROR(VLOOKUP(H253,KET!$B:$F,5,0),"")</f>
        <v>GMM</v>
      </c>
      <c r="H253" s="19" t="s">
        <v>31</v>
      </c>
      <c r="I253" s="32">
        <v>880</v>
      </c>
      <c r="J253" s="32">
        <v>660</v>
      </c>
      <c r="K253" s="32">
        <v>800</v>
      </c>
      <c r="L253" s="32">
        <v>860</v>
      </c>
      <c r="M253" s="33">
        <f t="shared" si="10"/>
        <v>3200</v>
      </c>
      <c r="N253" s="32">
        <v>635</v>
      </c>
      <c r="O253" s="32">
        <v>350</v>
      </c>
      <c r="P253" s="32">
        <v>405</v>
      </c>
      <c r="Q253" s="32">
        <v>365</v>
      </c>
      <c r="R253" s="33">
        <f t="shared" si="11"/>
        <v>1755</v>
      </c>
    </row>
    <row r="254" spans="1:18" ht="15.75" customHeight="1" x14ac:dyDescent="0.3">
      <c r="A254" s="19">
        <v>28</v>
      </c>
      <c r="B254" s="20" t="str">
        <f t="shared" si="9"/>
        <v>JUL</v>
      </c>
      <c r="C254" s="21">
        <v>46215</v>
      </c>
      <c r="D254" s="20" t="str">
        <f>IFERROR(VLOOKUP(H254,KET!$B:$F,2,0),"")</f>
        <v>GRSM 4</v>
      </c>
      <c r="E254" s="20" t="str">
        <f>IFERROR(VLOOKUP(H254,KET!$B:$F,3,0),"")</f>
        <v>GARUT</v>
      </c>
      <c r="F254" s="20" t="str">
        <f>IFERROR(VLOOKUP(H254,KET!$B:$F,4,0),"")</f>
        <v>FAHMI LUKMANUL HAKIM</v>
      </c>
      <c r="G254" s="20" t="str">
        <f>IFERROR(VLOOKUP(H254,KET!$B:$F,5,0),"")</f>
        <v>GMM</v>
      </c>
      <c r="H254" s="19" t="s">
        <v>23</v>
      </c>
      <c r="I254" s="32">
        <v>101</v>
      </c>
      <c r="J254" s="32">
        <v>153</v>
      </c>
      <c r="K254" s="32">
        <v>148</v>
      </c>
      <c r="L254" s="32">
        <v>288</v>
      </c>
      <c r="M254" s="33">
        <f t="shared" si="10"/>
        <v>690</v>
      </c>
      <c r="N254" s="32">
        <v>48</v>
      </c>
      <c r="O254" s="32">
        <v>78</v>
      </c>
      <c r="P254" s="32">
        <v>65</v>
      </c>
      <c r="Q254" s="32">
        <v>192</v>
      </c>
      <c r="R254" s="33">
        <f t="shared" si="11"/>
        <v>383</v>
      </c>
    </row>
    <row r="255" spans="1:18" ht="15.75" customHeight="1" x14ac:dyDescent="0.3">
      <c r="A255" s="19">
        <v>28</v>
      </c>
      <c r="B255" s="20" t="str">
        <f t="shared" si="9"/>
        <v>JUL</v>
      </c>
      <c r="C255" s="21">
        <v>46215</v>
      </c>
      <c r="D255" s="20" t="str">
        <f>IFERROR(VLOOKUP(H255,KET!$B:$F,2,0),"")</f>
        <v/>
      </c>
      <c r="E255" s="20" t="str">
        <f>IFERROR(VLOOKUP(H255,KET!$B:$F,3,0),"")</f>
        <v/>
      </c>
      <c r="F255" s="20" t="str">
        <f>IFERROR(VLOOKUP(H255,KET!$B:$F,4,0),"")</f>
        <v/>
      </c>
      <c r="G255" s="20" t="str">
        <f>IFERROR(VLOOKUP(H255,KET!$B:$F,5,0),"")</f>
        <v/>
      </c>
      <c r="H255" s="19" t="s">
        <v>29</v>
      </c>
      <c r="I255" s="32">
        <v>1183</v>
      </c>
      <c r="J255" s="32">
        <v>2141</v>
      </c>
      <c r="K255" s="32">
        <v>1276</v>
      </c>
      <c r="L255" s="32">
        <v>1971</v>
      </c>
      <c r="M255" s="33">
        <f t="shared" si="10"/>
        <v>6571</v>
      </c>
      <c r="N255" s="32">
        <v>1066</v>
      </c>
      <c r="O255" s="32">
        <v>1988</v>
      </c>
      <c r="P255" s="32">
        <v>1148</v>
      </c>
      <c r="Q255" s="32">
        <v>1718</v>
      </c>
      <c r="R255" s="33">
        <f t="shared" si="11"/>
        <v>5920</v>
      </c>
    </row>
    <row r="256" spans="1:18" ht="15.75" customHeight="1" x14ac:dyDescent="0.3">
      <c r="A256" s="19">
        <v>28</v>
      </c>
      <c r="B256" s="20" t="str">
        <f t="shared" si="9"/>
        <v>JUL</v>
      </c>
      <c r="C256" s="21">
        <v>46215</v>
      </c>
      <c r="D256" s="20" t="str">
        <f>IFERROR(VLOOKUP(H256,KET!$B:$F,2,0),"")</f>
        <v>GRSM 4</v>
      </c>
      <c r="E256" s="20" t="str">
        <f>IFERROR(VLOOKUP(H256,KET!$B:$F,3,0),"")</f>
        <v>GARUT</v>
      </c>
      <c r="F256" s="20" t="str">
        <f>IFERROR(VLOOKUP(H256,KET!$B:$F,4,0),"")</f>
        <v>FAHMI LUKMANUL HAKIM</v>
      </c>
      <c r="G256" s="20" t="str">
        <f>IFERROR(VLOOKUP(H256,KET!$B:$F,5,0),"")</f>
        <v>GMM</v>
      </c>
      <c r="H256" s="19" t="s">
        <v>35</v>
      </c>
      <c r="I256" s="32">
        <v>1560</v>
      </c>
      <c r="J256" s="32">
        <v>2000</v>
      </c>
      <c r="K256" s="32">
        <v>2000</v>
      </c>
      <c r="L256" s="32">
        <v>1760</v>
      </c>
      <c r="M256" s="33">
        <f t="shared" si="10"/>
        <v>7320</v>
      </c>
      <c r="N256" s="32">
        <v>1480</v>
      </c>
      <c r="O256" s="32">
        <v>1860</v>
      </c>
      <c r="P256" s="32">
        <v>1880</v>
      </c>
      <c r="Q256" s="32">
        <v>1600</v>
      </c>
      <c r="R256" s="33">
        <f t="shared" si="11"/>
        <v>6820</v>
      </c>
    </row>
    <row r="257" spans="1:18" ht="15.75" customHeight="1" x14ac:dyDescent="0.3">
      <c r="A257" s="19">
        <v>28</v>
      </c>
      <c r="B257" s="20" t="str">
        <f t="shared" si="9"/>
        <v>JUL</v>
      </c>
      <c r="C257" s="21">
        <v>46215</v>
      </c>
      <c r="D257" s="20" t="str">
        <f>IFERROR(VLOOKUP(H257,KET!$B:$F,2,0),"")</f>
        <v>GRSM 4</v>
      </c>
      <c r="E257" s="20" t="str">
        <f>IFERROR(VLOOKUP(H257,KET!$B:$F,3,0),"")</f>
        <v>MAJALAYA</v>
      </c>
      <c r="F257" s="20" t="str">
        <f>IFERROR(VLOOKUP(H257,KET!$B:$F,4,0),"")</f>
        <v>FAHMI LUKMANUL HAKIM</v>
      </c>
      <c r="G257" s="20" t="str">
        <f>IFERROR(VLOOKUP(H257,KET!$B:$F,5,0),"")</f>
        <v>GMM</v>
      </c>
      <c r="H257" s="19" t="s">
        <v>27</v>
      </c>
      <c r="I257" s="32">
        <v>776</v>
      </c>
      <c r="J257" s="32">
        <v>1785</v>
      </c>
      <c r="K257" s="32">
        <v>2246</v>
      </c>
      <c r="L257" s="32">
        <v>963</v>
      </c>
      <c r="M257" s="33">
        <f t="shared" si="10"/>
        <v>5770</v>
      </c>
      <c r="N257" s="32">
        <v>726</v>
      </c>
      <c r="O257" s="32">
        <v>1697</v>
      </c>
      <c r="P257" s="32">
        <v>2174</v>
      </c>
      <c r="Q257" s="32">
        <v>743</v>
      </c>
      <c r="R257" s="33">
        <f t="shared" si="11"/>
        <v>5340</v>
      </c>
    </row>
    <row r="258" spans="1:18" ht="15.75" customHeight="1" x14ac:dyDescent="0.3">
      <c r="A258" s="19">
        <v>28</v>
      </c>
      <c r="B258" s="20" t="str">
        <f t="shared" si="9"/>
        <v>JUL</v>
      </c>
      <c r="C258" s="21">
        <v>46215</v>
      </c>
      <c r="D258" s="20" t="str">
        <f>IFERROR(VLOOKUP(H258,KET!$B:$F,2,0),"")</f>
        <v>GRSM 4</v>
      </c>
      <c r="E258" s="20" t="str">
        <f>IFERROR(VLOOKUP(H258,KET!$B:$F,3,0),"")</f>
        <v>MAJALAYA</v>
      </c>
      <c r="F258" s="20" t="str">
        <f>IFERROR(VLOOKUP(H258,KET!$B:$F,4,0),"")</f>
        <v>FAHMI LUKMANUL HAKIM</v>
      </c>
      <c r="G258" s="20" t="str">
        <f>IFERROR(VLOOKUP(H258,KET!$B:$F,5,0),"")</f>
        <v>GMM</v>
      </c>
      <c r="H258" s="19" t="s">
        <v>27</v>
      </c>
      <c r="I258" s="32">
        <v>776</v>
      </c>
      <c r="J258" s="32">
        <v>1785</v>
      </c>
      <c r="K258" s="32">
        <v>2246</v>
      </c>
      <c r="L258" s="32">
        <v>963</v>
      </c>
      <c r="M258" s="33">
        <f t="shared" si="10"/>
        <v>5770</v>
      </c>
      <c r="N258" s="32">
        <v>734</v>
      </c>
      <c r="O258" s="32">
        <v>1699</v>
      </c>
      <c r="P258" s="32">
        <v>2175</v>
      </c>
      <c r="Q258" s="32">
        <v>745</v>
      </c>
      <c r="R258" s="33">
        <f t="shared" si="11"/>
        <v>5353</v>
      </c>
    </row>
    <row r="259" spans="1:18" ht="15.75" customHeight="1" x14ac:dyDescent="0.3">
      <c r="A259" s="19">
        <v>28</v>
      </c>
      <c r="B259" s="20" t="str">
        <f t="shared" si="9"/>
        <v>JUL</v>
      </c>
      <c r="C259" s="21">
        <v>46215</v>
      </c>
      <c r="D259" s="20" t="str">
        <f>IFERROR(VLOOKUP(H259,KET!$B:$F,2,0),"")</f>
        <v/>
      </c>
      <c r="E259" s="20" t="str">
        <f>IFERROR(VLOOKUP(H259,KET!$B:$F,3,0),"")</f>
        <v/>
      </c>
      <c r="F259" s="20" t="str">
        <f>IFERROR(VLOOKUP(H259,KET!$B:$F,4,0),"")</f>
        <v/>
      </c>
      <c r="G259" s="20" t="str">
        <f>IFERROR(VLOOKUP(H259,KET!$B:$F,5,0),"")</f>
        <v/>
      </c>
      <c r="H259" s="19" t="s">
        <v>29</v>
      </c>
      <c r="I259" s="32">
        <v>1293</v>
      </c>
      <c r="J259" s="32">
        <v>2290</v>
      </c>
      <c r="K259" s="32">
        <v>1400</v>
      </c>
      <c r="L259" s="32">
        <v>2219</v>
      </c>
      <c r="M259" s="33">
        <f t="shared" si="10"/>
        <v>7202</v>
      </c>
      <c r="N259" s="32">
        <v>1183</v>
      </c>
      <c r="O259" s="32">
        <v>2141</v>
      </c>
      <c r="P259" s="32">
        <v>1276</v>
      </c>
      <c r="Q259" s="32">
        <v>1971</v>
      </c>
      <c r="R259" s="33">
        <f t="shared" si="11"/>
        <v>6571</v>
      </c>
    </row>
    <row r="260" spans="1:18" ht="15.75" customHeight="1" x14ac:dyDescent="0.3">
      <c r="A260" s="19">
        <v>28</v>
      </c>
      <c r="B260" s="20" t="str">
        <f t="shared" si="9"/>
        <v>JUL</v>
      </c>
      <c r="C260" s="21">
        <v>46215</v>
      </c>
      <c r="D260" s="20" t="str">
        <f>IFERROR(VLOOKUP(H260,KET!$B:$F,2,0),"")</f>
        <v>GRSM 4</v>
      </c>
      <c r="E260" s="20" t="str">
        <f>IFERROR(VLOOKUP(H260,KET!$B:$F,3,0),"")</f>
        <v>BANDUNG</v>
      </c>
      <c r="F260" s="20" t="str">
        <f>IFERROR(VLOOKUP(H260,KET!$B:$F,4,0),"")</f>
        <v>FAHMI LUKMANUL HAKIM</v>
      </c>
      <c r="G260" s="20" t="str">
        <f>IFERROR(VLOOKUP(H260,KET!$B:$F,5,0),"")</f>
        <v>NKA</v>
      </c>
      <c r="H260" s="19" t="s">
        <v>26</v>
      </c>
      <c r="I260" s="32">
        <v>145</v>
      </c>
      <c r="J260" s="32">
        <v>659</v>
      </c>
      <c r="K260" s="32">
        <v>319</v>
      </c>
      <c r="L260" s="32">
        <v>2885</v>
      </c>
      <c r="M260" s="33">
        <f t="shared" si="10"/>
        <v>4008</v>
      </c>
      <c r="N260" s="32">
        <v>120</v>
      </c>
      <c r="O260" s="32">
        <v>598</v>
      </c>
      <c r="P260" s="32">
        <v>321</v>
      </c>
      <c r="Q260" s="32">
        <v>2719</v>
      </c>
      <c r="R260" s="33">
        <f t="shared" si="11"/>
        <v>3758</v>
      </c>
    </row>
    <row r="261" spans="1:18" ht="15.75" customHeight="1" x14ac:dyDescent="0.3">
      <c r="A261" s="19">
        <v>28</v>
      </c>
      <c r="B261" s="20" t="str">
        <f t="shared" si="9"/>
        <v>JUL</v>
      </c>
      <c r="C261" s="21">
        <v>46215</v>
      </c>
      <c r="D261" s="20" t="str">
        <f>IFERROR(VLOOKUP(H261,KET!$B:$F,2,0),"")</f>
        <v>GRSM 4</v>
      </c>
      <c r="E261" s="20" t="str">
        <f>IFERROR(VLOOKUP(H261,KET!$B:$F,3,0),"")</f>
        <v>BANDUNG</v>
      </c>
      <c r="F261" s="20" t="str">
        <f>IFERROR(VLOOKUP(H261,KET!$B:$F,4,0),"")</f>
        <v>FAHMI LUKMANUL HAKIM</v>
      </c>
      <c r="G261" s="20" t="str">
        <f>IFERROR(VLOOKUP(H261,KET!$B:$F,5,0),"")</f>
        <v>NKA</v>
      </c>
      <c r="H261" s="19" t="s">
        <v>26</v>
      </c>
      <c r="I261" s="32">
        <v>145</v>
      </c>
      <c r="J261" s="32">
        <v>659</v>
      </c>
      <c r="K261" s="32">
        <v>319</v>
      </c>
      <c r="L261" s="32">
        <v>2885</v>
      </c>
      <c r="M261" s="33">
        <f t="shared" si="10"/>
        <v>4008</v>
      </c>
      <c r="N261" s="32">
        <v>120</v>
      </c>
      <c r="O261" s="32">
        <v>598</v>
      </c>
      <c r="P261" s="32">
        <v>321</v>
      </c>
      <c r="Q261" s="32">
        <v>2719</v>
      </c>
      <c r="R261" s="33">
        <f t="shared" si="11"/>
        <v>3758</v>
      </c>
    </row>
    <row r="262" spans="1:18" ht="15.75" customHeight="1" x14ac:dyDescent="0.3">
      <c r="A262" s="19">
        <v>28</v>
      </c>
      <c r="B262" s="20" t="str">
        <f t="shared" si="9"/>
        <v>JUL</v>
      </c>
      <c r="C262" s="21">
        <v>46215</v>
      </c>
      <c r="D262" s="20" t="str">
        <f>IFERROR(VLOOKUP(H262,KET!$B:$F,2,0),"")</f>
        <v>GRSM 4</v>
      </c>
      <c r="E262" s="20" t="str">
        <f>IFERROR(VLOOKUP(H262,KET!$B:$F,3,0),"")</f>
        <v>BANJAR</v>
      </c>
      <c r="F262" s="20" t="str">
        <f>IFERROR(VLOOKUP(H262,KET!$B:$F,4,0),"")</f>
        <v>FAHMI LUKMANUL HAKIM</v>
      </c>
      <c r="G262" s="20" t="str">
        <f>IFERROR(VLOOKUP(H262,KET!$B:$F,5,0),"")</f>
        <v>GMM</v>
      </c>
      <c r="H262" s="19" t="s">
        <v>34</v>
      </c>
      <c r="I262" s="32">
        <v>80</v>
      </c>
      <c r="J262" s="32">
        <v>200</v>
      </c>
      <c r="K262" s="32">
        <v>200</v>
      </c>
      <c r="L262" s="32">
        <v>290</v>
      </c>
      <c r="M262" s="33">
        <f t="shared" si="10"/>
        <v>770</v>
      </c>
      <c r="N262" s="32">
        <v>70</v>
      </c>
      <c r="O262" s="32">
        <v>160</v>
      </c>
      <c r="P262" s="32">
        <v>170</v>
      </c>
      <c r="Q262" s="32">
        <v>150</v>
      </c>
      <c r="R262" s="33">
        <f t="shared" si="11"/>
        <v>550</v>
      </c>
    </row>
    <row r="263" spans="1:18" ht="15.75" customHeight="1" x14ac:dyDescent="0.3">
      <c r="A263" s="19">
        <v>28</v>
      </c>
      <c r="B263" s="20" t="str">
        <f t="shared" ref="B263:B322" si="12">IF(C263="","",UPPER(TEXT(C263, "MMM")))</f>
        <v>JUL</v>
      </c>
      <c r="C263" s="21">
        <v>46213</v>
      </c>
      <c r="D263" s="20" t="str">
        <f>IFERROR(VLOOKUP(H263,KET!$B:$F,2,0),"")</f>
        <v>GRSM 5</v>
      </c>
      <c r="E263" s="20" t="str">
        <f>IFERROR(VLOOKUP(H263,KET!$B:$F,3,0),"")</f>
        <v>TEGAL</v>
      </c>
      <c r="F263" s="20" t="str">
        <f>IFERROR(VLOOKUP(H263,KET!$B:$F,4,0),"")</f>
        <v>SUPRIYATI</v>
      </c>
      <c r="G263" s="20" t="str">
        <f>IFERROR(VLOOKUP(H263,KET!$B:$F,5,0),"")</f>
        <v>GMM</v>
      </c>
      <c r="H263" s="56" t="s">
        <v>33</v>
      </c>
      <c r="I263" s="56">
        <v>402</v>
      </c>
      <c r="J263" s="56">
        <v>1495</v>
      </c>
      <c r="K263" s="56">
        <v>625</v>
      </c>
      <c r="L263" s="56">
        <v>1247</v>
      </c>
      <c r="M263" s="33">
        <f t="shared" ref="M263:M326" si="13">SUM(I263:L263)</f>
        <v>3769</v>
      </c>
      <c r="N263" s="56">
        <v>363</v>
      </c>
      <c r="O263" s="56">
        <v>1404</v>
      </c>
      <c r="P263" s="56">
        <v>506</v>
      </c>
      <c r="Q263" s="56">
        <v>852</v>
      </c>
      <c r="R263" s="33">
        <f t="shared" ref="R263:R326" si="14">SUM(N263:Q263)</f>
        <v>3125</v>
      </c>
    </row>
    <row r="264" spans="1:18" ht="15.75" customHeight="1" x14ac:dyDescent="0.3">
      <c r="A264" s="19">
        <v>28</v>
      </c>
      <c r="B264" s="20" t="str">
        <f t="shared" si="12"/>
        <v>JUL</v>
      </c>
      <c r="C264" s="21">
        <v>46213</v>
      </c>
      <c r="D264" s="20" t="str">
        <f>IFERROR(VLOOKUP(H264,KET!$B:$F,2,0),"")</f>
        <v>GRSM 5</v>
      </c>
      <c r="E264" s="20" t="str">
        <f>IFERROR(VLOOKUP(H264,KET!$B:$F,3,0),"")</f>
        <v>TEGAL</v>
      </c>
      <c r="F264" s="20" t="str">
        <f>IFERROR(VLOOKUP(H264,KET!$B:$F,4,0),"")</f>
        <v>SUPRIYATI</v>
      </c>
      <c r="G264" s="20" t="str">
        <f>IFERROR(VLOOKUP(H264,KET!$B:$F,5,0),"")</f>
        <v>GMM</v>
      </c>
      <c r="H264" s="56" t="s">
        <v>33</v>
      </c>
      <c r="I264" s="56">
        <v>402</v>
      </c>
      <c r="J264" s="56">
        <v>1495</v>
      </c>
      <c r="K264" s="56">
        <v>625</v>
      </c>
      <c r="L264" s="56">
        <v>1247</v>
      </c>
      <c r="M264" s="33">
        <f t="shared" si="13"/>
        <v>3769</v>
      </c>
      <c r="N264" s="56">
        <v>363</v>
      </c>
      <c r="O264" s="56">
        <v>1404</v>
      </c>
      <c r="P264" s="56">
        <v>506</v>
      </c>
      <c r="Q264" s="56">
        <v>852</v>
      </c>
      <c r="R264" s="33">
        <f t="shared" si="14"/>
        <v>3125</v>
      </c>
    </row>
    <row r="265" spans="1:18" ht="15.75" customHeight="1" x14ac:dyDescent="0.3">
      <c r="A265" s="19">
        <v>28</v>
      </c>
      <c r="B265" s="20" t="str">
        <f t="shared" si="12"/>
        <v>JUL</v>
      </c>
      <c r="C265" s="21">
        <v>46213</v>
      </c>
      <c r="D265" s="20" t="str">
        <f>IFERROR(VLOOKUP(H265,KET!$B:$F,2,0),"")</f>
        <v>GRSM 5</v>
      </c>
      <c r="E265" s="20" t="str">
        <f>IFERROR(VLOOKUP(H265,KET!$B:$F,3,0),"")</f>
        <v>PURWOKERTO</v>
      </c>
      <c r="F265" s="20" t="str">
        <f>IFERROR(VLOOKUP(H265,KET!$B:$F,4,0),"")</f>
        <v>SUPRIYATI</v>
      </c>
      <c r="G265" s="20" t="str">
        <f>IFERROR(VLOOKUP(H265,KET!$B:$F,5,0),"")</f>
        <v>GMM</v>
      </c>
      <c r="H265" s="56" t="s">
        <v>36</v>
      </c>
      <c r="I265" s="56">
        <v>419</v>
      </c>
      <c r="J265" s="56">
        <v>1819</v>
      </c>
      <c r="K265" s="56">
        <v>1349</v>
      </c>
      <c r="L265" s="56">
        <v>2395</v>
      </c>
      <c r="M265" s="33">
        <f t="shared" si="13"/>
        <v>5982</v>
      </c>
      <c r="N265" s="56">
        <v>375</v>
      </c>
      <c r="O265" s="56">
        <v>1736</v>
      </c>
      <c r="P265" s="56">
        <v>1302</v>
      </c>
      <c r="Q265" s="56">
        <v>2298</v>
      </c>
      <c r="R265" s="33">
        <f t="shared" si="14"/>
        <v>5711</v>
      </c>
    </row>
    <row r="266" spans="1:18" ht="15.75" customHeight="1" x14ac:dyDescent="0.3">
      <c r="A266" s="19">
        <v>28</v>
      </c>
      <c r="B266" s="20" t="str">
        <f t="shared" si="12"/>
        <v>JUL</v>
      </c>
      <c r="C266" s="21">
        <v>46213</v>
      </c>
      <c r="D266" s="20" t="str">
        <f>IFERROR(VLOOKUP(H266,KET!$B:$F,2,0),"")</f>
        <v>GRSM 5</v>
      </c>
      <c r="E266" s="20" t="str">
        <f>IFERROR(VLOOKUP(H266,KET!$B:$F,3,0),"")</f>
        <v>PURWOKERTO</v>
      </c>
      <c r="F266" s="20" t="str">
        <f>IFERROR(VLOOKUP(H266,KET!$B:$F,4,0),"")</f>
        <v>SUPRIYATI</v>
      </c>
      <c r="G266" s="20" t="str">
        <f>IFERROR(VLOOKUP(H266,KET!$B:$F,5,0),"")</f>
        <v>GMM</v>
      </c>
      <c r="H266" s="56" t="s">
        <v>36</v>
      </c>
      <c r="I266" s="56">
        <v>419</v>
      </c>
      <c r="J266" s="56">
        <v>1819</v>
      </c>
      <c r="K266" s="56">
        <v>1349</v>
      </c>
      <c r="L266" s="56">
        <v>2395</v>
      </c>
      <c r="M266" s="33">
        <f t="shared" si="13"/>
        <v>5982</v>
      </c>
      <c r="N266" s="56">
        <v>375</v>
      </c>
      <c r="O266" s="56">
        <v>1736</v>
      </c>
      <c r="P266" s="56">
        <v>1302</v>
      </c>
      <c r="Q266" s="56">
        <v>2298</v>
      </c>
      <c r="R266" s="33">
        <f t="shared" si="14"/>
        <v>5711</v>
      </c>
    </row>
    <row r="267" spans="1:18" ht="15.75" customHeight="1" x14ac:dyDescent="0.3">
      <c r="A267" s="19">
        <v>28</v>
      </c>
      <c r="B267" s="20" t="str">
        <f t="shared" si="12"/>
        <v>JUL</v>
      </c>
      <c r="C267" s="21">
        <v>46213</v>
      </c>
      <c r="D267" s="20" t="str">
        <f>IFERROR(VLOOKUP(H267,KET!$B:$F,2,0),"")</f>
        <v>GRSM 5</v>
      </c>
      <c r="E267" s="20" t="str">
        <f>IFERROR(VLOOKUP(H267,KET!$B:$F,3,0),"")</f>
        <v>PURWOKERTO</v>
      </c>
      <c r="F267" s="20" t="str">
        <f>IFERROR(VLOOKUP(H267,KET!$B:$F,4,0),"")</f>
        <v>SUPRIYATI</v>
      </c>
      <c r="G267" s="20" t="str">
        <f>IFERROR(VLOOKUP(H267,KET!$B:$F,5,0),"")</f>
        <v>GMM</v>
      </c>
      <c r="H267" s="56" t="s">
        <v>37</v>
      </c>
      <c r="I267" s="56">
        <v>1040</v>
      </c>
      <c r="J267" s="56">
        <v>2440</v>
      </c>
      <c r="K267" s="56">
        <v>1440</v>
      </c>
      <c r="L267" s="56">
        <v>840</v>
      </c>
      <c r="M267" s="33">
        <f t="shared" si="13"/>
        <v>5760</v>
      </c>
      <c r="N267" s="56">
        <v>960</v>
      </c>
      <c r="O267" s="56">
        <v>2201</v>
      </c>
      <c r="P267" s="56">
        <v>1359</v>
      </c>
      <c r="Q267" s="56">
        <v>600</v>
      </c>
      <c r="R267" s="33">
        <f t="shared" si="14"/>
        <v>5120</v>
      </c>
    </row>
    <row r="268" spans="1:18" ht="15.75" customHeight="1" x14ac:dyDescent="0.3">
      <c r="A268" s="19">
        <v>28</v>
      </c>
      <c r="B268" s="20" t="str">
        <f t="shared" si="12"/>
        <v>JUL</v>
      </c>
      <c r="C268" s="21">
        <v>46213</v>
      </c>
      <c r="D268" s="20" t="str">
        <f>IFERROR(VLOOKUP(H268,KET!$B:$F,2,0),"")</f>
        <v>GRSM 5</v>
      </c>
      <c r="E268" s="20" t="str">
        <f>IFERROR(VLOOKUP(H268,KET!$B:$F,3,0),"")</f>
        <v>PURWOKERTO</v>
      </c>
      <c r="F268" s="20" t="str">
        <f>IFERROR(VLOOKUP(H268,KET!$B:$F,4,0),"")</f>
        <v>SUPRIYATI</v>
      </c>
      <c r="G268" s="20" t="str">
        <f>IFERROR(VLOOKUP(H268,KET!$B:$F,5,0),"")</f>
        <v>GMM</v>
      </c>
      <c r="H268" s="56" t="s">
        <v>37</v>
      </c>
      <c r="I268" s="56">
        <v>1040</v>
      </c>
      <c r="J268" s="56">
        <v>2440</v>
      </c>
      <c r="K268" s="56">
        <v>1440</v>
      </c>
      <c r="L268" s="56">
        <v>840</v>
      </c>
      <c r="M268" s="33">
        <f t="shared" si="13"/>
        <v>5760</v>
      </c>
      <c r="N268" s="56">
        <v>960</v>
      </c>
      <c r="O268" s="56">
        <v>2201</v>
      </c>
      <c r="P268" s="56">
        <v>1359</v>
      </c>
      <c r="Q268" s="56">
        <v>600</v>
      </c>
      <c r="R268" s="33">
        <f t="shared" si="14"/>
        <v>5120</v>
      </c>
    </row>
    <row r="269" spans="1:18" ht="15.75" customHeight="1" x14ac:dyDescent="0.3">
      <c r="A269" s="19">
        <v>28</v>
      </c>
      <c r="B269" s="20" t="str">
        <f t="shared" si="12"/>
        <v>JUL</v>
      </c>
      <c r="C269" s="21">
        <v>46213</v>
      </c>
      <c r="D269" s="20" t="str">
        <f>IFERROR(VLOOKUP(H269,KET!$B:$F,2,0),"")</f>
        <v>GRSM 5</v>
      </c>
      <c r="E269" s="20" t="str">
        <f>IFERROR(VLOOKUP(H269,KET!$B:$F,3,0),"")</f>
        <v>WONOGIRI</v>
      </c>
      <c r="F269" s="20" t="str">
        <f>IFERROR(VLOOKUP(H269,KET!$B:$F,4,0),"")</f>
        <v>SUPRIYATI</v>
      </c>
      <c r="G269" s="20" t="str">
        <f>IFERROR(VLOOKUP(H269,KET!$B:$F,5,0),"")</f>
        <v>GMM</v>
      </c>
      <c r="H269" s="56" t="s">
        <v>38</v>
      </c>
      <c r="I269" s="56">
        <v>1200</v>
      </c>
      <c r="J269" s="56">
        <v>1720</v>
      </c>
      <c r="K269" s="56">
        <v>1320</v>
      </c>
      <c r="L269" s="56">
        <v>3000</v>
      </c>
      <c r="M269" s="33">
        <f t="shared" si="13"/>
        <v>7240</v>
      </c>
      <c r="N269" s="56">
        <v>1158</v>
      </c>
      <c r="O269" s="56">
        <v>1585</v>
      </c>
      <c r="P269" s="56">
        <v>1249</v>
      </c>
      <c r="Q269" s="56">
        <v>2907</v>
      </c>
      <c r="R269" s="33">
        <f t="shared" si="14"/>
        <v>6899</v>
      </c>
    </row>
    <row r="270" spans="1:18" ht="15.75" customHeight="1" x14ac:dyDescent="0.3">
      <c r="A270" s="19">
        <v>28</v>
      </c>
      <c r="B270" s="20" t="str">
        <f t="shared" si="12"/>
        <v>JUL</v>
      </c>
      <c r="C270" s="21">
        <v>46213</v>
      </c>
      <c r="D270" s="20" t="str">
        <f>IFERROR(VLOOKUP(H270,KET!$B:$F,2,0),"")</f>
        <v>GRSM 5</v>
      </c>
      <c r="E270" s="20" t="str">
        <f>IFERROR(VLOOKUP(H270,KET!$B:$F,3,0),"")</f>
        <v>WONOGIRI</v>
      </c>
      <c r="F270" s="20" t="str">
        <f>IFERROR(VLOOKUP(H270,KET!$B:$F,4,0),"")</f>
        <v>SUPRIYATI</v>
      </c>
      <c r="G270" s="20" t="str">
        <f>IFERROR(VLOOKUP(H270,KET!$B:$F,5,0),"")</f>
        <v>GMM</v>
      </c>
      <c r="H270" s="56" t="s">
        <v>38</v>
      </c>
      <c r="I270" s="56">
        <v>1200</v>
      </c>
      <c r="J270" s="56">
        <v>1720</v>
      </c>
      <c r="K270" s="56">
        <v>1320</v>
      </c>
      <c r="L270" s="56">
        <v>3000</v>
      </c>
      <c r="M270" s="33">
        <f t="shared" si="13"/>
        <v>7240</v>
      </c>
      <c r="N270" s="56">
        <v>1158</v>
      </c>
      <c r="O270" s="56">
        <v>1585</v>
      </c>
      <c r="P270" s="56">
        <v>1249</v>
      </c>
      <c r="Q270" s="56">
        <v>2907</v>
      </c>
      <c r="R270" s="33">
        <f t="shared" si="14"/>
        <v>6899</v>
      </c>
    </row>
    <row r="271" spans="1:18" ht="15.75" customHeight="1" x14ac:dyDescent="0.3">
      <c r="A271" s="19">
        <v>28</v>
      </c>
      <c r="B271" s="20" t="str">
        <f t="shared" si="12"/>
        <v>JUL</v>
      </c>
      <c r="C271" s="21">
        <v>46214</v>
      </c>
      <c r="D271" s="20" t="str">
        <f>IFERROR(VLOOKUP(H271,KET!$B:$F,2,0),"")</f>
        <v>GRSM 5</v>
      </c>
      <c r="E271" s="20" t="str">
        <f>IFERROR(VLOOKUP(H271,KET!$B:$F,3,0),"")</f>
        <v>TEGAL</v>
      </c>
      <c r="F271" s="20" t="str">
        <f>IFERROR(VLOOKUP(H271,KET!$B:$F,4,0),"")</f>
        <v>SUPRIYATI</v>
      </c>
      <c r="G271" s="20" t="str">
        <f>IFERROR(VLOOKUP(H271,KET!$B:$F,5,0),"")</f>
        <v>GMM</v>
      </c>
      <c r="H271" s="56" t="s">
        <v>33</v>
      </c>
      <c r="I271" s="56">
        <v>363</v>
      </c>
      <c r="J271" s="56">
        <v>1404</v>
      </c>
      <c r="K271" s="56">
        <v>506</v>
      </c>
      <c r="L271" s="56">
        <v>852</v>
      </c>
      <c r="M271" s="33">
        <f t="shared" si="13"/>
        <v>3125</v>
      </c>
      <c r="N271" s="56">
        <v>310</v>
      </c>
      <c r="O271" s="56">
        <v>1301</v>
      </c>
      <c r="P271" s="56">
        <v>431</v>
      </c>
      <c r="Q271" s="56">
        <v>665</v>
      </c>
      <c r="R271" s="33">
        <f t="shared" si="14"/>
        <v>2707</v>
      </c>
    </row>
    <row r="272" spans="1:18" ht="15.75" customHeight="1" x14ac:dyDescent="0.3">
      <c r="A272" s="19">
        <v>28</v>
      </c>
      <c r="B272" s="20" t="str">
        <f t="shared" si="12"/>
        <v>JUL</v>
      </c>
      <c r="C272" s="21">
        <v>46214</v>
      </c>
      <c r="D272" s="20" t="str">
        <f>IFERROR(VLOOKUP(H272,KET!$B:$F,2,0),"")</f>
        <v>GRSM 5</v>
      </c>
      <c r="E272" s="20" t="str">
        <f>IFERROR(VLOOKUP(H272,KET!$B:$F,3,0),"")</f>
        <v>TEGAL</v>
      </c>
      <c r="F272" s="20" t="str">
        <f>IFERROR(VLOOKUP(H272,KET!$B:$F,4,0),"")</f>
        <v>SUPRIYATI</v>
      </c>
      <c r="G272" s="20" t="str">
        <f>IFERROR(VLOOKUP(H272,KET!$B:$F,5,0),"")</f>
        <v>GMM</v>
      </c>
      <c r="H272" s="56" t="s">
        <v>33</v>
      </c>
      <c r="I272" s="56">
        <v>363</v>
      </c>
      <c r="J272" s="56">
        <v>1404</v>
      </c>
      <c r="K272" s="56">
        <v>506</v>
      </c>
      <c r="L272" s="56">
        <v>852</v>
      </c>
      <c r="M272" s="33">
        <f t="shared" si="13"/>
        <v>3125</v>
      </c>
      <c r="N272" s="56">
        <v>310</v>
      </c>
      <c r="O272" s="56">
        <v>1301</v>
      </c>
      <c r="P272" s="56">
        <v>431</v>
      </c>
      <c r="Q272" s="56">
        <v>665</v>
      </c>
      <c r="R272" s="33">
        <f t="shared" si="14"/>
        <v>2707</v>
      </c>
    </row>
    <row r="273" spans="1:18" ht="15.75" customHeight="1" x14ac:dyDescent="0.3">
      <c r="A273" s="19">
        <v>28</v>
      </c>
      <c r="B273" s="20" t="str">
        <f t="shared" si="12"/>
        <v>JUL</v>
      </c>
      <c r="C273" s="21">
        <v>46214</v>
      </c>
      <c r="D273" s="20" t="str">
        <f>IFERROR(VLOOKUP(H273,KET!$B:$F,2,0),"")</f>
        <v>GRSM 5</v>
      </c>
      <c r="E273" s="20" t="str">
        <f>IFERROR(VLOOKUP(H273,KET!$B:$F,3,0),"")</f>
        <v>WONOGIRI</v>
      </c>
      <c r="F273" s="20" t="str">
        <f>IFERROR(VLOOKUP(H273,KET!$B:$F,4,0),"")</f>
        <v>SUPRIYATI</v>
      </c>
      <c r="G273" s="20" t="str">
        <f>IFERROR(VLOOKUP(H273,KET!$B:$F,5,0),"")</f>
        <v>GMM</v>
      </c>
      <c r="H273" s="56" t="s">
        <v>38</v>
      </c>
      <c r="I273" s="56">
        <v>1040</v>
      </c>
      <c r="J273" s="56">
        <v>1409</v>
      </c>
      <c r="K273" s="56">
        <v>1120</v>
      </c>
      <c r="L273" s="56">
        <v>2720</v>
      </c>
      <c r="M273" s="33">
        <f t="shared" si="13"/>
        <v>6289</v>
      </c>
      <c r="N273" s="56">
        <v>939</v>
      </c>
      <c r="O273" s="56">
        <v>1313</v>
      </c>
      <c r="P273" s="56">
        <v>1027</v>
      </c>
      <c r="Q273" s="56">
        <v>2465</v>
      </c>
      <c r="R273" s="33">
        <f t="shared" si="14"/>
        <v>5744</v>
      </c>
    </row>
    <row r="274" spans="1:18" ht="15.75" customHeight="1" x14ac:dyDescent="0.3">
      <c r="A274" s="19">
        <v>28</v>
      </c>
      <c r="B274" s="20" t="str">
        <f t="shared" si="12"/>
        <v>JUL</v>
      </c>
      <c r="C274" s="21">
        <v>46214</v>
      </c>
      <c r="D274" s="20" t="str">
        <f>IFERROR(VLOOKUP(H274,KET!$B:$F,2,0),"")</f>
        <v>GRSM 5</v>
      </c>
      <c r="E274" s="20" t="str">
        <f>IFERROR(VLOOKUP(H274,KET!$B:$F,3,0),"")</f>
        <v>WONOGIRI</v>
      </c>
      <c r="F274" s="20" t="str">
        <f>IFERROR(VLOOKUP(H274,KET!$B:$F,4,0),"")</f>
        <v>SUPRIYATI</v>
      </c>
      <c r="G274" s="20" t="str">
        <f>IFERROR(VLOOKUP(H274,KET!$B:$F,5,0),"")</f>
        <v>GMM</v>
      </c>
      <c r="H274" s="56" t="s">
        <v>38</v>
      </c>
      <c r="I274" s="56">
        <v>1040</v>
      </c>
      <c r="J274" s="56">
        <v>1409</v>
      </c>
      <c r="K274" s="56">
        <v>1120</v>
      </c>
      <c r="L274" s="56">
        <v>2720</v>
      </c>
      <c r="M274" s="33">
        <f t="shared" si="13"/>
        <v>6289</v>
      </c>
      <c r="N274" s="56">
        <v>939</v>
      </c>
      <c r="O274" s="56">
        <v>1313</v>
      </c>
      <c r="P274" s="56">
        <v>1027</v>
      </c>
      <c r="Q274" s="56">
        <v>2465</v>
      </c>
      <c r="R274" s="33">
        <f t="shared" si="14"/>
        <v>5744</v>
      </c>
    </row>
    <row r="275" spans="1:18" ht="15.75" customHeight="1" x14ac:dyDescent="0.3">
      <c r="A275" s="19">
        <v>28</v>
      </c>
      <c r="B275" s="20" t="str">
        <f t="shared" si="12"/>
        <v>JUL</v>
      </c>
      <c r="C275" s="21">
        <v>46214</v>
      </c>
      <c r="D275" s="20" t="str">
        <f>IFERROR(VLOOKUP(H275,KET!$B:$F,2,0),"")</f>
        <v>GRSM 5</v>
      </c>
      <c r="E275" s="20" t="str">
        <f>IFERROR(VLOOKUP(H275,KET!$B:$F,3,0),"")</f>
        <v>PURWOKERTO</v>
      </c>
      <c r="F275" s="20" t="str">
        <f>IFERROR(VLOOKUP(H275,KET!$B:$F,4,0),"")</f>
        <v>SUPRIYATI</v>
      </c>
      <c r="G275" s="20" t="str">
        <f>IFERROR(VLOOKUP(H275,KET!$B:$F,5,0),"")</f>
        <v>GMM</v>
      </c>
      <c r="H275" s="56" t="s">
        <v>37</v>
      </c>
      <c r="I275" s="56">
        <v>960</v>
      </c>
      <c r="J275" s="56">
        <v>2201</v>
      </c>
      <c r="K275" s="56">
        <v>1359</v>
      </c>
      <c r="L275" s="56">
        <v>600</v>
      </c>
      <c r="M275" s="33">
        <f t="shared" si="13"/>
        <v>5120</v>
      </c>
      <c r="N275" s="56">
        <v>908</v>
      </c>
      <c r="O275" s="56">
        <v>1740</v>
      </c>
      <c r="P275" s="56">
        <v>1272</v>
      </c>
      <c r="Q275" s="56">
        <v>290</v>
      </c>
      <c r="R275" s="33">
        <f t="shared" si="14"/>
        <v>4210</v>
      </c>
    </row>
    <row r="276" spans="1:18" ht="15.75" customHeight="1" x14ac:dyDescent="0.3">
      <c r="A276" s="19">
        <v>28</v>
      </c>
      <c r="B276" s="20" t="str">
        <f t="shared" si="12"/>
        <v>JUL</v>
      </c>
      <c r="C276" s="21">
        <v>46214</v>
      </c>
      <c r="D276" s="20" t="str">
        <f>IFERROR(VLOOKUP(H276,KET!$B:$F,2,0),"")</f>
        <v>GRSM 5</v>
      </c>
      <c r="E276" s="20" t="str">
        <f>IFERROR(VLOOKUP(H276,KET!$B:$F,3,0),"")</f>
        <v>PURWOKERTO</v>
      </c>
      <c r="F276" s="20" t="str">
        <f>IFERROR(VLOOKUP(H276,KET!$B:$F,4,0),"")</f>
        <v>SUPRIYATI</v>
      </c>
      <c r="G276" s="20" t="str">
        <f>IFERROR(VLOOKUP(H276,KET!$B:$F,5,0),"")</f>
        <v>GMM</v>
      </c>
      <c r="H276" s="56" t="s">
        <v>37</v>
      </c>
      <c r="I276" s="56">
        <v>960</v>
      </c>
      <c r="J276" s="56">
        <v>2201</v>
      </c>
      <c r="K276" s="56">
        <v>1359</v>
      </c>
      <c r="L276" s="56">
        <v>600</v>
      </c>
      <c r="M276" s="33">
        <f t="shared" si="13"/>
        <v>5120</v>
      </c>
      <c r="N276" s="56">
        <v>908</v>
      </c>
      <c r="O276" s="56">
        <v>1740</v>
      </c>
      <c r="P276" s="56">
        <v>1272</v>
      </c>
      <c r="Q276" s="56">
        <v>290</v>
      </c>
      <c r="R276" s="33">
        <f t="shared" si="14"/>
        <v>4210</v>
      </c>
    </row>
    <row r="277" spans="1:18" ht="15.75" customHeight="1" x14ac:dyDescent="0.3">
      <c r="A277" s="19">
        <v>28</v>
      </c>
      <c r="B277" s="20" t="str">
        <f t="shared" si="12"/>
        <v>JUL</v>
      </c>
      <c r="C277" s="21">
        <v>46214</v>
      </c>
      <c r="D277" s="20" t="str">
        <f>IFERROR(VLOOKUP(H277,KET!$B:$F,2,0),"")</f>
        <v>GRSM 5</v>
      </c>
      <c r="E277" s="20" t="str">
        <f>IFERROR(VLOOKUP(H277,KET!$B:$F,3,0),"")</f>
        <v>PURWOKERTO</v>
      </c>
      <c r="F277" s="20" t="str">
        <f>IFERROR(VLOOKUP(H277,KET!$B:$F,4,0),"")</f>
        <v>SUPRIYATI</v>
      </c>
      <c r="G277" s="20" t="str">
        <f>IFERROR(VLOOKUP(H277,KET!$B:$F,5,0),"")</f>
        <v>GMM</v>
      </c>
      <c r="H277" s="56" t="s">
        <v>36</v>
      </c>
      <c r="I277" s="56">
        <v>375</v>
      </c>
      <c r="J277" s="56">
        <v>1736</v>
      </c>
      <c r="K277" s="56">
        <v>1302</v>
      </c>
      <c r="L277" s="56">
        <v>2298</v>
      </c>
      <c r="M277" s="33">
        <f t="shared" si="13"/>
        <v>5711</v>
      </c>
      <c r="N277" s="56">
        <v>302</v>
      </c>
      <c r="O277" s="56">
        <v>1454</v>
      </c>
      <c r="P277" s="56">
        <v>1199</v>
      </c>
      <c r="Q277" s="56">
        <v>2021</v>
      </c>
      <c r="R277" s="33">
        <f t="shared" si="14"/>
        <v>4976</v>
      </c>
    </row>
    <row r="278" spans="1:18" ht="15.75" customHeight="1" x14ac:dyDescent="0.3">
      <c r="A278" s="19">
        <v>28</v>
      </c>
      <c r="B278" s="20" t="str">
        <f t="shared" si="12"/>
        <v>JUL</v>
      </c>
      <c r="C278" s="21">
        <v>46214</v>
      </c>
      <c r="D278" s="20" t="str">
        <f>IFERROR(VLOOKUP(H278,KET!$B:$F,2,0),"")</f>
        <v>GRSM 5</v>
      </c>
      <c r="E278" s="20" t="str">
        <f>IFERROR(VLOOKUP(H278,KET!$B:$F,3,0),"")</f>
        <v>PURWOKERTO</v>
      </c>
      <c r="F278" s="20" t="str">
        <f>IFERROR(VLOOKUP(H278,KET!$B:$F,4,0),"")</f>
        <v>SUPRIYATI</v>
      </c>
      <c r="G278" s="20" t="str">
        <f>IFERROR(VLOOKUP(H278,KET!$B:$F,5,0),"")</f>
        <v>GMM</v>
      </c>
      <c r="H278" s="56" t="s">
        <v>36</v>
      </c>
      <c r="I278" s="56">
        <v>375</v>
      </c>
      <c r="J278" s="56">
        <v>1736</v>
      </c>
      <c r="K278" s="56">
        <v>1302</v>
      </c>
      <c r="L278" s="56">
        <v>2298</v>
      </c>
      <c r="M278" s="33">
        <f t="shared" si="13"/>
        <v>5711</v>
      </c>
      <c r="N278" s="56">
        <v>302</v>
      </c>
      <c r="O278" s="56">
        <v>1454</v>
      </c>
      <c r="P278" s="56">
        <v>1199</v>
      </c>
      <c r="Q278" s="56">
        <v>2021</v>
      </c>
      <c r="R278" s="33">
        <f t="shared" si="14"/>
        <v>4976</v>
      </c>
    </row>
    <row r="279" spans="1:18" ht="15.75" customHeight="1" x14ac:dyDescent="0.3">
      <c r="A279" s="19">
        <v>28</v>
      </c>
      <c r="B279" s="20" t="str">
        <f t="shared" si="12"/>
        <v>JUL</v>
      </c>
      <c r="C279" s="21">
        <v>46215</v>
      </c>
      <c r="D279" s="20" t="str">
        <f>IFERROR(VLOOKUP(H279,KET!$B:$F,2,0),"")</f>
        <v>GRSM 5</v>
      </c>
      <c r="E279" s="20" t="str">
        <f>IFERROR(VLOOKUP(H279,KET!$B:$F,3,0),"")</f>
        <v>TEGAL</v>
      </c>
      <c r="F279" s="20" t="str">
        <f>IFERROR(VLOOKUP(H279,KET!$B:$F,4,0),"")</f>
        <v>SUPRIYATI</v>
      </c>
      <c r="G279" s="20" t="str">
        <f>IFERROR(VLOOKUP(H279,KET!$B:$F,5,0),"")</f>
        <v>GMM</v>
      </c>
      <c r="H279" s="56" t="s">
        <v>33</v>
      </c>
      <c r="I279" s="56">
        <v>310</v>
      </c>
      <c r="J279" s="56">
        <v>1301</v>
      </c>
      <c r="K279" s="56">
        <v>431</v>
      </c>
      <c r="L279" s="56">
        <v>665</v>
      </c>
      <c r="M279" s="33">
        <f t="shared" si="13"/>
        <v>2707</v>
      </c>
      <c r="N279" s="56">
        <v>219</v>
      </c>
      <c r="O279" s="56">
        <v>1159</v>
      </c>
      <c r="P279" s="56">
        <v>283</v>
      </c>
      <c r="Q279" s="56">
        <v>313</v>
      </c>
      <c r="R279" s="33">
        <f t="shared" si="14"/>
        <v>1974</v>
      </c>
    </row>
    <row r="280" spans="1:18" ht="15.75" customHeight="1" x14ac:dyDescent="0.3">
      <c r="A280" s="19">
        <v>28</v>
      </c>
      <c r="B280" s="20" t="str">
        <f t="shared" si="12"/>
        <v>JUL</v>
      </c>
      <c r="C280" s="21">
        <v>46215</v>
      </c>
      <c r="D280" s="20" t="str">
        <f>IFERROR(VLOOKUP(H280,KET!$B:$F,2,0),"")</f>
        <v>GRSM 5</v>
      </c>
      <c r="E280" s="20" t="str">
        <f>IFERROR(VLOOKUP(H280,KET!$B:$F,3,0),"")</f>
        <v>TEGAL</v>
      </c>
      <c r="F280" s="20" t="str">
        <f>IFERROR(VLOOKUP(H280,KET!$B:$F,4,0),"")</f>
        <v>SUPRIYATI</v>
      </c>
      <c r="G280" s="20" t="str">
        <f>IFERROR(VLOOKUP(H280,KET!$B:$F,5,0),"")</f>
        <v>GMM</v>
      </c>
      <c r="H280" s="56" t="s">
        <v>33</v>
      </c>
      <c r="I280" s="56">
        <v>310</v>
      </c>
      <c r="J280" s="56">
        <v>1301</v>
      </c>
      <c r="K280" s="56">
        <v>431</v>
      </c>
      <c r="L280" s="56">
        <v>665</v>
      </c>
      <c r="M280" s="33">
        <f t="shared" si="13"/>
        <v>2707</v>
      </c>
      <c r="N280" s="56">
        <v>219</v>
      </c>
      <c r="O280" s="56">
        <v>1159</v>
      </c>
      <c r="P280" s="56">
        <v>283</v>
      </c>
      <c r="Q280" s="56">
        <v>313</v>
      </c>
      <c r="R280" s="33">
        <f t="shared" si="14"/>
        <v>1974</v>
      </c>
    </row>
    <row r="281" spans="1:18" ht="15.75" customHeight="1" x14ac:dyDescent="0.3">
      <c r="A281" s="19">
        <v>28</v>
      </c>
      <c r="B281" s="20" t="str">
        <f t="shared" si="12"/>
        <v>JUL</v>
      </c>
      <c r="C281" s="21">
        <v>46215</v>
      </c>
      <c r="D281" s="20" t="str">
        <f>IFERROR(VLOOKUP(H281,KET!$B:$F,2,0),"")</f>
        <v>GRSM 5</v>
      </c>
      <c r="E281" s="20" t="str">
        <f>IFERROR(VLOOKUP(H281,KET!$B:$F,3,0),"")</f>
        <v>WONOGIRI</v>
      </c>
      <c r="F281" s="20" t="str">
        <f>IFERROR(VLOOKUP(H281,KET!$B:$F,4,0),"")</f>
        <v>SUPRIYATI</v>
      </c>
      <c r="G281" s="20" t="str">
        <f>IFERROR(VLOOKUP(H281,KET!$B:$F,5,0),"")</f>
        <v>GMM</v>
      </c>
      <c r="H281" s="56" t="s">
        <v>38</v>
      </c>
      <c r="I281" s="56">
        <v>1040</v>
      </c>
      <c r="J281" s="56">
        <v>1400</v>
      </c>
      <c r="K281" s="56">
        <v>1120</v>
      </c>
      <c r="L281" s="56">
        <v>2720</v>
      </c>
      <c r="M281" s="33">
        <f t="shared" si="13"/>
        <v>6280</v>
      </c>
      <c r="N281" s="56">
        <v>870</v>
      </c>
      <c r="O281" s="56">
        <v>1225</v>
      </c>
      <c r="P281" s="56">
        <v>1024</v>
      </c>
      <c r="Q281" s="56">
        <v>2340</v>
      </c>
      <c r="R281" s="33">
        <f t="shared" si="14"/>
        <v>5459</v>
      </c>
    </row>
    <row r="282" spans="1:18" ht="15.75" customHeight="1" x14ac:dyDescent="0.3">
      <c r="A282" s="19">
        <v>28</v>
      </c>
      <c r="B282" s="20" t="str">
        <f t="shared" si="12"/>
        <v>JUL</v>
      </c>
      <c r="C282" s="21">
        <v>46215</v>
      </c>
      <c r="D282" s="20" t="str">
        <f>IFERROR(VLOOKUP(H282,KET!$B:$F,2,0),"")</f>
        <v>GRSM 5</v>
      </c>
      <c r="E282" s="20" t="str">
        <f>IFERROR(VLOOKUP(H282,KET!$B:$F,3,0),"")</f>
        <v>WONOGIRI</v>
      </c>
      <c r="F282" s="20" t="str">
        <f>IFERROR(VLOOKUP(H282,KET!$B:$F,4,0),"")</f>
        <v>SUPRIYATI</v>
      </c>
      <c r="G282" s="20" t="str">
        <f>IFERROR(VLOOKUP(H282,KET!$B:$F,5,0),"")</f>
        <v>GMM</v>
      </c>
      <c r="H282" s="56" t="s">
        <v>38</v>
      </c>
      <c r="I282" s="56">
        <v>1040</v>
      </c>
      <c r="J282" s="56">
        <v>1400</v>
      </c>
      <c r="K282" s="56">
        <v>1120</v>
      </c>
      <c r="L282" s="56">
        <v>2720</v>
      </c>
      <c r="M282" s="33">
        <f t="shared" si="13"/>
        <v>6280</v>
      </c>
      <c r="N282" s="56">
        <v>870</v>
      </c>
      <c r="O282" s="56">
        <v>1225</v>
      </c>
      <c r="P282" s="56">
        <v>1024</v>
      </c>
      <c r="Q282" s="56">
        <v>2340</v>
      </c>
      <c r="R282" s="33">
        <f t="shared" si="14"/>
        <v>5459</v>
      </c>
    </row>
    <row r="283" spans="1:18" ht="15.75" customHeight="1" x14ac:dyDescent="0.3">
      <c r="A283" s="19">
        <v>28</v>
      </c>
      <c r="B283" s="20" t="str">
        <f t="shared" si="12"/>
        <v>JUL</v>
      </c>
      <c r="C283" s="21">
        <v>46215</v>
      </c>
      <c r="D283" s="20" t="str">
        <f>IFERROR(VLOOKUP(H283,KET!$B:$F,2,0),"")</f>
        <v>GRSM 5</v>
      </c>
      <c r="E283" s="20" t="str">
        <f>IFERROR(VLOOKUP(H283,KET!$B:$F,3,0),"")</f>
        <v>PURWOKERTO</v>
      </c>
      <c r="F283" s="20" t="str">
        <f>IFERROR(VLOOKUP(H283,KET!$B:$F,4,0),"")</f>
        <v>SUPRIYATI</v>
      </c>
      <c r="G283" s="20" t="str">
        <f>IFERROR(VLOOKUP(H283,KET!$B:$F,5,0),"")</f>
        <v>GMM</v>
      </c>
      <c r="H283" s="56" t="s">
        <v>36</v>
      </c>
      <c r="I283" s="56">
        <v>520</v>
      </c>
      <c r="J283" s="56">
        <v>2440</v>
      </c>
      <c r="K283" s="56">
        <v>840</v>
      </c>
      <c r="L283" s="56">
        <v>1480</v>
      </c>
      <c r="M283" s="33">
        <f t="shared" si="13"/>
        <v>5280</v>
      </c>
      <c r="N283" s="56">
        <v>480</v>
      </c>
      <c r="O283" s="56">
        <v>3160</v>
      </c>
      <c r="P283" s="56">
        <v>1520</v>
      </c>
      <c r="Q283" s="56">
        <v>3640</v>
      </c>
      <c r="R283" s="33">
        <f t="shared" si="14"/>
        <v>8800</v>
      </c>
    </row>
    <row r="284" spans="1:18" ht="15.75" customHeight="1" x14ac:dyDescent="0.3">
      <c r="A284" s="19">
        <v>28</v>
      </c>
      <c r="B284" s="20" t="str">
        <f t="shared" si="12"/>
        <v>JUL</v>
      </c>
      <c r="C284" s="21">
        <v>46215</v>
      </c>
      <c r="D284" s="20" t="str">
        <f>IFERROR(VLOOKUP(H284,KET!$B:$F,2,0),"")</f>
        <v>GRSM 5</v>
      </c>
      <c r="E284" s="20" t="str">
        <f>IFERROR(VLOOKUP(H284,KET!$B:$F,3,0),"")</f>
        <v>PURWOKERTO</v>
      </c>
      <c r="F284" s="20" t="str">
        <f>IFERROR(VLOOKUP(H284,KET!$B:$F,4,0),"")</f>
        <v>SUPRIYATI</v>
      </c>
      <c r="G284" s="20" t="str">
        <f>IFERROR(VLOOKUP(H284,KET!$B:$F,5,0),"")</f>
        <v>GMM</v>
      </c>
      <c r="H284" s="56" t="s">
        <v>36</v>
      </c>
      <c r="I284" s="56">
        <v>520</v>
      </c>
      <c r="J284" s="56">
        <v>2440</v>
      </c>
      <c r="K284" s="56">
        <v>840</v>
      </c>
      <c r="L284" s="56">
        <v>1480</v>
      </c>
      <c r="M284" s="33">
        <f t="shared" si="13"/>
        <v>5280</v>
      </c>
      <c r="N284" s="56">
        <v>480</v>
      </c>
      <c r="O284" s="56">
        <v>3160</v>
      </c>
      <c r="P284" s="56">
        <v>1520</v>
      </c>
      <c r="Q284" s="56">
        <v>3640</v>
      </c>
      <c r="R284" s="33">
        <f t="shared" si="14"/>
        <v>8800</v>
      </c>
    </row>
    <row r="285" spans="1:18" ht="15.75" customHeight="1" x14ac:dyDescent="0.3">
      <c r="A285" s="19">
        <v>28</v>
      </c>
      <c r="B285" s="20" t="str">
        <f t="shared" si="12"/>
        <v>JUL</v>
      </c>
      <c r="C285" s="21">
        <v>46215</v>
      </c>
      <c r="D285" s="20" t="str">
        <f>IFERROR(VLOOKUP(H285,KET!$B:$F,2,0),"")</f>
        <v>GRSM 5</v>
      </c>
      <c r="E285" s="20" t="str">
        <f>IFERROR(VLOOKUP(H285,KET!$B:$F,3,0),"")</f>
        <v>PURWOKERTO</v>
      </c>
      <c r="F285" s="20" t="str">
        <f>IFERROR(VLOOKUP(H285,KET!$B:$F,4,0),"")</f>
        <v>SUPRIYATI</v>
      </c>
      <c r="G285" s="20" t="str">
        <f>IFERROR(VLOOKUP(H285,KET!$B:$F,5,0),"")</f>
        <v>GMM</v>
      </c>
      <c r="H285" s="56" t="s">
        <v>37</v>
      </c>
      <c r="I285" s="56">
        <v>908</v>
      </c>
      <c r="J285" s="56">
        <v>1920</v>
      </c>
      <c r="K285" s="56">
        <v>1272</v>
      </c>
      <c r="L285" s="56">
        <v>290</v>
      </c>
      <c r="M285" s="33">
        <f t="shared" si="13"/>
        <v>4390</v>
      </c>
      <c r="N285" s="56">
        <v>791</v>
      </c>
      <c r="O285" s="56">
        <v>1672</v>
      </c>
      <c r="P285" s="56">
        <v>1146</v>
      </c>
      <c r="Q285" s="56">
        <v>11</v>
      </c>
      <c r="R285" s="33">
        <f t="shared" si="14"/>
        <v>3620</v>
      </c>
    </row>
    <row r="286" spans="1:18" ht="15.75" customHeight="1" x14ac:dyDescent="0.3">
      <c r="A286" s="19">
        <v>28</v>
      </c>
      <c r="B286" s="20" t="str">
        <f t="shared" si="12"/>
        <v>JUL</v>
      </c>
      <c r="C286" s="21">
        <v>46215</v>
      </c>
      <c r="D286" s="20" t="str">
        <f>IFERROR(VLOOKUP(H286,KET!$B:$F,2,0),"")</f>
        <v>GRSM 5</v>
      </c>
      <c r="E286" s="20" t="str">
        <f>IFERROR(VLOOKUP(H286,KET!$B:$F,3,0),"")</f>
        <v>PURWOKERTO</v>
      </c>
      <c r="F286" s="20" t="str">
        <f>IFERROR(VLOOKUP(H286,KET!$B:$F,4,0),"")</f>
        <v>SUPRIYATI</v>
      </c>
      <c r="G286" s="20" t="str">
        <f>IFERROR(VLOOKUP(H286,KET!$B:$F,5,0),"")</f>
        <v>GMM</v>
      </c>
      <c r="H286" s="56" t="s">
        <v>37</v>
      </c>
      <c r="I286" s="56">
        <v>908</v>
      </c>
      <c r="J286" s="56">
        <v>1920</v>
      </c>
      <c r="K286" s="56">
        <v>1272</v>
      </c>
      <c r="L286" s="56">
        <v>290</v>
      </c>
      <c r="M286" s="33">
        <f t="shared" si="13"/>
        <v>4390</v>
      </c>
      <c r="N286" s="56">
        <v>791</v>
      </c>
      <c r="O286" s="56">
        <v>1672</v>
      </c>
      <c r="P286" s="56">
        <v>1146</v>
      </c>
      <c r="Q286" s="56">
        <v>11</v>
      </c>
      <c r="R286" s="33">
        <f t="shared" si="14"/>
        <v>3620</v>
      </c>
    </row>
    <row r="287" spans="1:18" ht="15.75" customHeight="1" x14ac:dyDescent="0.3">
      <c r="A287" s="19">
        <v>28</v>
      </c>
      <c r="B287" s="20" t="str">
        <f t="shared" si="12"/>
        <v>JUL</v>
      </c>
      <c r="C287" s="21">
        <v>46213</v>
      </c>
      <c r="D287" t="s">
        <v>39</v>
      </c>
      <c r="E287" t="s">
        <v>40</v>
      </c>
      <c r="F287" t="s">
        <v>41</v>
      </c>
      <c r="G287" t="s">
        <v>42</v>
      </c>
      <c r="H287" s="19" t="s">
        <v>34</v>
      </c>
      <c r="I287" s="56">
        <v>140</v>
      </c>
      <c r="J287" s="56">
        <v>300</v>
      </c>
      <c r="K287" s="56">
        <v>310</v>
      </c>
      <c r="L287" s="56">
        <v>350</v>
      </c>
      <c r="M287" s="33">
        <f t="shared" si="13"/>
        <v>1100</v>
      </c>
      <c r="N287" s="56">
        <v>110</v>
      </c>
      <c r="O287" s="56">
        <v>240</v>
      </c>
      <c r="P287" s="56">
        <v>250</v>
      </c>
      <c r="Q287" s="56">
        <v>270</v>
      </c>
      <c r="R287" s="33">
        <f t="shared" si="14"/>
        <v>870</v>
      </c>
    </row>
    <row r="288" spans="1:18" ht="15.75" customHeight="1" x14ac:dyDescent="0.3">
      <c r="A288" s="19">
        <v>28</v>
      </c>
      <c r="B288" s="20" t="str">
        <f t="shared" si="12"/>
        <v>JUL</v>
      </c>
      <c r="C288" s="21">
        <v>46214</v>
      </c>
      <c r="D288" t="s">
        <v>39</v>
      </c>
      <c r="E288" t="s">
        <v>40</v>
      </c>
      <c r="F288" t="s">
        <v>41</v>
      </c>
      <c r="G288" t="s">
        <v>42</v>
      </c>
      <c r="H288" s="19" t="s">
        <v>34</v>
      </c>
      <c r="I288" s="56">
        <v>120</v>
      </c>
      <c r="J288" s="56">
        <v>240</v>
      </c>
      <c r="K288" s="56">
        <v>250</v>
      </c>
      <c r="L288" s="56">
        <v>370</v>
      </c>
      <c r="M288" s="33">
        <f t="shared" si="13"/>
        <v>980</v>
      </c>
      <c r="N288" s="56">
        <v>80</v>
      </c>
      <c r="O288" s="56">
        <v>200</v>
      </c>
      <c r="P288" s="56">
        <v>200</v>
      </c>
      <c r="Q288" s="56">
        <v>290</v>
      </c>
      <c r="R288" s="33">
        <f t="shared" si="14"/>
        <v>770</v>
      </c>
    </row>
    <row r="289" spans="1:18" ht="15.75" customHeight="1" x14ac:dyDescent="0.3">
      <c r="A289" s="19">
        <v>28</v>
      </c>
      <c r="B289" s="20" t="str">
        <f t="shared" si="12"/>
        <v>JUL</v>
      </c>
      <c r="C289" s="21">
        <v>46215</v>
      </c>
      <c r="D289" t="s">
        <v>39</v>
      </c>
      <c r="E289" t="s">
        <v>40</v>
      </c>
      <c r="F289" t="s">
        <v>41</v>
      </c>
      <c r="G289" t="s">
        <v>42</v>
      </c>
      <c r="H289" s="19" t="s">
        <v>34</v>
      </c>
      <c r="I289" s="56">
        <v>80</v>
      </c>
      <c r="J289" s="56">
        <v>200</v>
      </c>
      <c r="K289" s="56">
        <v>200</v>
      </c>
      <c r="L289" s="56">
        <v>290</v>
      </c>
      <c r="M289" s="33">
        <f t="shared" si="13"/>
        <v>770</v>
      </c>
      <c r="N289" s="56">
        <v>70</v>
      </c>
      <c r="O289" s="56">
        <v>160</v>
      </c>
      <c r="P289" s="56">
        <v>170</v>
      </c>
      <c r="Q289" s="56">
        <v>150</v>
      </c>
      <c r="R289" s="33">
        <f t="shared" si="14"/>
        <v>550</v>
      </c>
    </row>
    <row r="290" spans="1:18" ht="15.75" customHeight="1" x14ac:dyDescent="0.3">
      <c r="A290" s="19">
        <v>28</v>
      </c>
      <c r="B290" s="20" t="str">
        <f t="shared" si="12"/>
        <v>JUL</v>
      </c>
      <c r="C290" s="21">
        <v>46213</v>
      </c>
      <c r="D290" t="s">
        <v>39</v>
      </c>
      <c r="E290" t="s">
        <v>43</v>
      </c>
      <c r="F290" t="s">
        <v>41</v>
      </c>
      <c r="G290" t="s">
        <v>42</v>
      </c>
      <c r="H290" s="19" t="s">
        <v>32</v>
      </c>
      <c r="I290" s="56">
        <v>825</v>
      </c>
      <c r="J290" s="56">
        <v>945</v>
      </c>
      <c r="K290" s="56">
        <v>777</v>
      </c>
      <c r="L290" s="56">
        <v>1198</v>
      </c>
      <c r="M290" s="33">
        <f t="shared" si="13"/>
        <v>3745</v>
      </c>
      <c r="N290" s="56">
        <v>765</v>
      </c>
      <c r="O290" s="56">
        <v>885</v>
      </c>
      <c r="P290" s="56">
        <v>727</v>
      </c>
      <c r="Q290" s="56">
        <v>1118</v>
      </c>
      <c r="R290" s="33">
        <f t="shared" si="14"/>
        <v>3495</v>
      </c>
    </row>
    <row r="291" spans="1:18" ht="15.75" customHeight="1" x14ac:dyDescent="0.3">
      <c r="A291" s="19">
        <v>28</v>
      </c>
      <c r="B291" s="20" t="str">
        <f t="shared" si="12"/>
        <v>JUL</v>
      </c>
      <c r="C291" s="21">
        <v>46214</v>
      </c>
      <c r="D291" t="s">
        <v>39</v>
      </c>
      <c r="E291" t="s">
        <v>43</v>
      </c>
      <c r="F291" t="s">
        <v>41</v>
      </c>
      <c r="G291" t="s">
        <v>42</v>
      </c>
      <c r="H291" s="19" t="s">
        <v>32</v>
      </c>
      <c r="I291" s="56">
        <v>705</v>
      </c>
      <c r="J291" s="56">
        <v>815</v>
      </c>
      <c r="K291" s="56">
        <v>627</v>
      </c>
      <c r="L291" s="56">
        <v>1018</v>
      </c>
      <c r="M291" s="33">
        <f t="shared" si="13"/>
        <v>3165</v>
      </c>
      <c r="N291" s="56">
        <v>605</v>
      </c>
      <c r="O291" s="56">
        <v>755</v>
      </c>
      <c r="P291" s="56">
        <v>527</v>
      </c>
      <c r="Q291" s="56">
        <v>938</v>
      </c>
      <c r="R291" s="33">
        <f t="shared" si="14"/>
        <v>2825</v>
      </c>
    </row>
    <row r="292" spans="1:18" ht="15.75" customHeight="1" x14ac:dyDescent="0.3">
      <c r="A292" s="19">
        <v>28</v>
      </c>
      <c r="B292" s="20" t="str">
        <f t="shared" si="12"/>
        <v>JUL</v>
      </c>
      <c r="C292" s="21">
        <v>46215</v>
      </c>
      <c r="D292" t="s">
        <v>39</v>
      </c>
      <c r="E292" t="s">
        <v>43</v>
      </c>
      <c r="F292" t="s">
        <v>41</v>
      </c>
      <c r="G292" t="s">
        <v>42</v>
      </c>
      <c r="H292" s="19" t="s">
        <v>32</v>
      </c>
      <c r="I292" s="56">
        <v>555</v>
      </c>
      <c r="J292" s="56">
        <v>705</v>
      </c>
      <c r="K292" s="56">
        <v>477</v>
      </c>
      <c r="L292" s="56">
        <v>885</v>
      </c>
      <c r="M292" s="33">
        <f t="shared" si="13"/>
        <v>2622</v>
      </c>
      <c r="N292" s="56">
        <v>505</v>
      </c>
      <c r="O292" s="56">
        <v>655</v>
      </c>
      <c r="P292" s="56">
        <v>427</v>
      </c>
      <c r="Q292" s="56">
        <v>835</v>
      </c>
      <c r="R292" s="33">
        <f t="shared" si="14"/>
        <v>2422</v>
      </c>
    </row>
    <row r="293" spans="1:18" ht="15.75" customHeight="1" x14ac:dyDescent="0.3">
      <c r="A293" s="19">
        <v>28</v>
      </c>
      <c r="B293" s="20" t="str">
        <f t="shared" si="12"/>
        <v>JUL</v>
      </c>
      <c r="C293" s="21">
        <v>46215</v>
      </c>
      <c r="D293" t="s">
        <v>39</v>
      </c>
      <c r="E293" t="s">
        <v>43</v>
      </c>
      <c r="F293" t="s">
        <v>41</v>
      </c>
      <c r="G293" t="s">
        <v>42</v>
      </c>
      <c r="H293" s="19" t="s">
        <v>32</v>
      </c>
      <c r="I293" s="56">
        <v>605</v>
      </c>
      <c r="J293" s="56">
        <v>755</v>
      </c>
      <c r="K293" s="56">
        <v>527</v>
      </c>
      <c r="L293" s="56">
        <v>948</v>
      </c>
      <c r="M293" s="33">
        <f t="shared" si="13"/>
        <v>2835</v>
      </c>
      <c r="N293" s="56">
        <v>555</v>
      </c>
      <c r="O293" s="56">
        <v>705</v>
      </c>
      <c r="P293" s="56">
        <v>477</v>
      </c>
      <c r="Q293" s="56">
        <v>885</v>
      </c>
      <c r="R293" s="33">
        <f t="shared" si="14"/>
        <v>2622</v>
      </c>
    </row>
    <row r="294" spans="1:18" ht="15.75" customHeight="1" x14ac:dyDescent="0.3">
      <c r="A294" s="19">
        <v>28</v>
      </c>
      <c r="B294" s="20" t="str">
        <f t="shared" si="12"/>
        <v>JUL</v>
      </c>
      <c r="C294" s="21">
        <v>46213</v>
      </c>
      <c r="D294" t="s">
        <v>39</v>
      </c>
      <c r="E294" t="s">
        <v>44</v>
      </c>
      <c r="F294" t="s">
        <v>41</v>
      </c>
      <c r="G294" t="s">
        <v>42</v>
      </c>
      <c r="H294" s="19" t="s">
        <v>30</v>
      </c>
      <c r="I294" s="56">
        <v>444</v>
      </c>
      <c r="J294" s="56">
        <v>481</v>
      </c>
      <c r="K294" s="56">
        <v>693</v>
      </c>
      <c r="L294" s="56">
        <v>728</v>
      </c>
      <c r="M294" s="33">
        <f t="shared" si="13"/>
        <v>2346</v>
      </c>
      <c r="N294" s="56">
        <v>369</v>
      </c>
      <c r="O294" s="56">
        <v>396</v>
      </c>
      <c r="P294" s="56">
        <v>588</v>
      </c>
      <c r="Q294" s="56">
        <v>428</v>
      </c>
      <c r="R294" s="33">
        <f t="shared" si="14"/>
        <v>1781</v>
      </c>
    </row>
    <row r="295" spans="1:18" ht="15.75" customHeight="1" x14ac:dyDescent="0.3">
      <c r="A295" s="19">
        <v>28</v>
      </c>
      <c r="B295" s="20" t="str">
        <f t="shared" si="12"/>
        <v>JUL</v>
      </c>
      <c r="C295" s="21">
        <v>46214</v>
      </c>
      <c r="D295" t="s">
        <v>39</v>
      </c>
      <c r="E295" t="s">
        <v>44</v>
      </c>
      <c r="F295" t="s">
        <v>41</v>
      </c>
      <c r="G295" t="s">
        <v>42</v>
      </c>
      <c r="H295" s="19" t="s">
        <v>30</v>
      </c>
      <c r="I295" s="56">
        <v>369</v>
      </c>
      <c r="J295" s="56">
        <v>396</v>
      </c>
      <c r="K295" s="56">
        <v>588</v>
      </c>
      <c r="L295" s="56">
        <v>428</v>
      </c>
      <c r="M295" s="33">
        <f t="shared" si="13"/>
        <v>1781</v>
      </c>
      <c r="N295" s="56">
        <v>334</v>
      </c>
      <c r="O295" s="56">
        <v>352</v>
      </c>
      <c r="P295" s="56">
        <v>538</v>
      </c>
      <c r="Q295" s="56">
        <v>278</v>
      </c>
      <c r="R295" s="33">
        <f t="shared" si="14"/>
        <v>1502</v>
      </c>
    </row>
    <row r="296" spans="1:18" ht="15.75" customHeight="1" x14ac:dyDescent="0.3">
      <c r="A296" s="19">
        <v>28</v>
      </c>
      <c r="B296" s="20" t="str">
        <f t="shared" si="12"/>
        <v>JUL</v>
      </c>
      <c r="C296" s="21">
        <v>46215</v>
      </c>
      <c r="D296" t="s">
        <v>39</v>
      </c>
      <c r="E296" t="s">
        <v>44</v>
      </c>
      <c r="F296" t="s">
        <v>41</v>
      </c>
      <c r="G296" t="s">
        <v>42</v>
      </c>
      <c r="H296" s="19" t="s">
        <v>30</v>
      </c>
      <c r="I296" s="56">
        <v>334</v>
      </c>
      <c r="J296" s="56">
        <v>351</v>
      </c>
      <c r="K296" s="56">
        <v>538</v>
      </c>
      <c r="L296" s="56">
        <v>428</v>
      </c>
      <c r="M296" s="33">
        <f t="shared" si="13"/>
        <v>1651</v>
      </c>
      <c r="N296" s="56">
        <v>234</v>
      </c>
      <c r="O296" s="56">
        <v>241</v>
      </c>
      <c r="P296" s="56">
        <v>428</v>
      </c>
      <c r="Q296" s="56">
        <v>178</v>
      </c>
      <c r="R296" s="33">
        <f t="shared" si="14"/>
        <v>1081</v>
      </c>
    </row>
    <row r="297" spans="1:18" ht="15.75" customHeight="1" x14ac:dyDescent="0.3">
      <c r="A297" s="19">
        <v>28</v>
      </c>
      <c r="B297" s="20" t="str">
        <f t="shared" si="12"/>
        <v>JUL</v>
      </c>
      <c r="C297" s="21">
        <v>46214</v>
      </c>
      <c r="D297" t="s">
        <v>45</v>
      </c>
      <c r="E297" t="s">
        <v>46</v>
      </c>
      <c r="F297" t="s">
        <v>47</v>
      </c>
      <c r="G297" t="s">
        <v>42</v>
      </c>
      <c r="H297" s="56" t="s">
        <v>48</v>
      </c>
      <c r="I297" s="56">
        <v>504</v>
      </c>
      <c r="J297" s="56">
        <v>630</v>
      </c>
      <c r="K297" s="56">
        <v>498</v>
      </c>
      <c r="L297" s="56">
        <v>390</v>
      </c>
      <c r="M297" s="33">
        <f t="shared" si="13"/>
        <v>2022</v>
      </c>
      <c r="N297" s="56">
        <v>333</v>
      </c>
      <c r="O297" s="56">
        <v>450</v>
      </c>
      <c r="P297" s="56">
        <v>339</v>
      </c>
      <c r="Q297" s="56">
        <v>195</v>
      </c>
      <c r="R297" s="33">
        <f t="shared" si="14"/>
        <v>1317</v>
      </c>
    </row>
    <row r="298" spans="1:18" ht="15.75" customHeight="1" x14ac:dyDescent="0.3">
      <c r="A298" s="19">
        <v>28</v>
      </c>
      <c r="B298" s="20" t="str">
        <f t="shared" si="12"/>
        <v>JUL</v>
      </c>
      <c r="C298" s="21">
        <v>46214</v>
      </c>
      <c r="D298" t="s">
        <v>45</v>
      </c>
      <c r="E298" t="s">
        <v>46</v>
      </c>
      <c r="F298" t="s">
        <v>47</v>
      </c>
      <c r="G298" t="s">
        <v>42</v>
      </c>
      <c r="H298" s="56" t="s">
        <v>48</v>
      </c>
      <c r="I298" s="56">
        <v>504</v>
      </c>
      <c r="J298" s="56">
        <v>630</v>
      </c>
      <c r="K298" s="56">
        <v>498</v>
      </c>
      <c r="L298" s="56">
        <v>390</v>
      </c>
      <c r="M298" s="33">
        <f t="shared" si="13"/>
        <v>2022</v>
      </c>
      <c r="N298" s="56">
        <v>333</v>
      </c>
      <c r="O298" s="56">
        <v>450</v>
      </c>
      <c r="P298" s="56">
        <v>339</v>
      </c>
      <c r="Q298" s="56">
        <v>195</v>
      </c>
      <c r="R298" s="33">
        <f t="shared" si="14"/>
        <v>1317</v>
      </c>
    </row>
    <row r="299" spans="1:18" ht="15.75" customHeight="1" x14ac:dyDescent="0.3">
      <c r="A299" s="19">
        <v>28</v>
      </c>
      <c r="B299" s="20" t="str">
        <f t="shared" si="12"/>
        <v>JUL</v>
      </c>
      <c r="C299" s="21">
        <v>46214</v>
      </c>
      <c r="D299" t="s">
        <v>45</v>
      </c>
      <c r="E299" t="s">
        <v>49</v>
      </c>
      <c r="F299" t="s">
        <v>47</v>
      </c>
      <c r="G299" t="s">
        <v>42</v>
      </c>
      <c r="H299" s="56" t="s">
        <v>50</v>
      </c>
      <c r="I299" s="56">
        <v>444</v>
      </c>
      <c r="J299" s="56">
        <v>1032</v>
      </c>
      <c r="K299" s="56">
        <v>722</v>
      </c>
      <c r="L299" s="56">
        <v>504</v>
      </c>
      <c r="M299" s="33">
        <f t="shared" si="13"/>
        <v>2702</v>
      </c>
      <c r="N299" s="56">
        <v>414</v>
      </c>
      <c r="O299" s="56">
        <v>937</v>
      </c>
      <c r="P299" s="56">
        <v>647</v>
      </c>
      <c r="Q299" s="56">
        <v>184</v>
      </c>
      <c r="R299" s="33">
        <f t="shared" si="14"/>
        <v>2182</v>
      </c>
    </row>
    <row r="300" spans="1:18" ht="15.75" customHeight="1" x14ac:dyDescent="0.3">
      <c r="A300" s="19">
        <v>28</v>
      </c>
      <c r="B300" s="20" t="str">
        <f t="shared" si="12"/>
        <v>JUL</v>
      </c>
      <c r="C300" s="21">
        <v>46214</v>
      </c>
      <c r="D300" t="s">
        <v>45</v>
      </c>
      <c r="E300" t="s">
        <v>49</v>
      </c>
      <c r="F300" t="s">
        <v>47</v>
      </c>
      <c r="G300" t="s">
        <v>42</v>
      </c>
      <c r="H300" s="56" t="s">
        <v>50</v>
      </c>
      <c r="I300" s="56">
        <v>444</v>
      </c>
      <c r="J300" s="56">
        <v>1032</v>
      </c>
      <c r="K300" s="56">
        <v>722</v>
      </c>
      <c r="L300" s="56">
        <v>504</v>
      </c>
      <c r="M300" s="33">
        <f t="shared" si="13"/>
        <v>2702</v>
      </c>
      <c r="N300" s="56">
        <v>414</v>
      </c>
      <c r="O300" s="56">
        <v>937</v>
      </c>
      <c r="P300" s="56">
        <v>647</v>
      </c>
      <c r="Q300" s="56">
        <v>184</v>
      </c>
      <c r="R300" s="33">
        <f t="shared" si="14"/>
        <v>2182</v>
      </c>
    </row>
    <row r="301" spans="1:18" ht="15.75" customHeight="1" x14ac:dyDescent="0.3">
      <c r="A301" s="19">
        <v>28</v>
      </c>
      <c r="B301" s="20" t="str">
        <f t="shared" si="12"/>
        <v>JUL</v>
      </c>
      <c r="C301" s="21">
        <v>46214</v>
      </c>
      <c r="D301" t="s">
        <v>45</v>
      </c>
      <c r="E301" t="s">
        <v>51</v>
      </c>
      <c r="F301" t="s">
        <v>47</v>
      </c>
      <c r="G301" t="s">
        <v>42</v>
      </c>
      <c r="H301" s="56" t="s">
        <v>52</v>
      </c>
      <c r="I301" s="56">
        <v>0</v>
      </c>
      <c r="J301" s="56">
        <v>2796</v>
      </c>
      <c r="K301" s="56">
        <v>977</v>
      </c>
      <c r="L301" s="56">
        <v>3197</v>
      </c>
      <c r="M301" s="33">
        <f t="shared" si="13"/>
        <v>6970</v>
      </c>
      <c r="N301" s="56">
        <v>0</v>
      </c>
      <c r="O301" s="56">
        <v>2698</v>
      </c>
      <c r="P301" s="56">
        <v>909</v>
      </c>
      <c r="Q301" s="56">
        <v>3099</v>
      </c>
      <c r="R301" s="33">
        <f t="shared" si="14"/>
        <v>6706</v>
      </c>
    </row>
    <row r="302" spans="1:18" ht="15.75" customHeight="1" x14ac:dyDescent="0.3">
      <c r="A302" s="19">
        <v>28</v>
      </c>
      <c r="B302" s="20" t="str">
        <f t="shared" si="12"/>
        <v>JUL</v>
      </c>
      <c r="C302" s="21">
        <v>46214</v>
      </c>
      <c r="D302" t="s">
        <v>45</v>
      </c>
      <c r="E302" t="s">
        <v>51</v>
      </c>
      <c r="F302" t="s">
        <v>47</v>
      </c>
      <c r="G302" t="s">
        <v>42</v>
      </c>
      <c r="H302" s="56" t="s">
        <v>52</v>
      </c>
      <c r="I302" s="56">
        <v>0</v>
      </c>
      <c r="J302" s="56">
        <v>2796</v>
      </c>
      <c r="K302" s="56">
        <v>977</v>
      </c>
      <c r="L302" s="56">
        <v>3197</v>
      </c>
      <c r="M302" s="33">
        <f t="shared" si="13"/>
        <v>6970</v>
      </c>
      <c r="N302" s="56">
        <v>0</v>
      </c>
      <c r="O302" s="56">
        <v>2698</v>
      </c>
      <c r="P302" s="56">
        <v>909</v>
      </c>
      <c r="Q302" s="56">
        <v>3099</v>
      </c>
      <c r="R302" s="33">
        <f t="shared" si="14"/>
        <v>6706</v>
      </c>
    </row>
    <row r="303" spans="1:18" ht="15.75" customHeight="1" x14ac:dyDescent="0.3">
      <c r="A303" s="19">
        <v>28</v>
      </c>
      <c r="B303" s="20" t="str">
        <f t="shared" si="12"/>
        <v>JUL</v>
      </c>
      <c r="C303" s="21">
        <v>46214</v>
      </c>
      <c r="D303" t="s">
        <v>45</v>
      </c>
      <c r="E303" t="s">
        <v>51</v>
      </c>
      <c r="F303" t="s">
        <v>47</v>
      </c>
      <c r="G303" t="s">
        <v>42</v>
      </c>
      <c r="H303" s="56" t="s">
        <v>53</v>
      </c>
      <c r="I303" s="56">
        <v>2</v>
      </c>
      <c r="J303" s="56">
        <v>200</v>
      </c>
      <c r="K303" s="56">
        <v>256</v>
      </c>
      <c r="L303" s="56">
        <v>594</v>
      </c>
      <c r="M303" s="33">
        <f t="shared" si="13"/>
        <v>1052</v>
      </c>
      <c r="N303" s="56">
        <v>0</v>
      </c>
      <c r="O303" s="56">
        <v>196</v>
      </c>
      <c r="P303" s="56">
        <v>256</v>
      </c>
      <c r="Q303" s="56">
        <v>522</v>
      </c>
      <c r="R303" s="33">
        <f t="shared" si="14"/>
        <v>974</v>
      </c>
    </row>
    <row r="304" spans="1:18" ht="15.75" customHeight="1" x14ac:dyDescent="0.3">
      <c r="A304" s="19">
        <v>28</v>
      </c>
      <c r="B304" s="20" t="str">
        <f t="shared" si="12"/>
        <v>JUL</v>
      </c>
      <c r="C304" s="21">
        <v>46214</v>
      </c>
      <c r="D304" t="s">
        <v>45</v>
      </c>
      <c r="E304" t="s">
        <v>51</v>
      </c>
      <c r="F304" t="s">
        <v>47</v>
      </c>
      <c r="G304" t="s">
        <v>42</v>
      </c>
      <c r="H304" s="56" t="s">
        <v>53</v>
      </c>
      <c r="I304" s="56">
        <v>2</v>
      </c>
      <c r="J304" s="56">
        <v>200</v>
      </c>
      <c r="K304" s="56">
        <v>256</v>
      </c>
      <c r="L304" s="56">
        <v>594</v>
      </c>
      <c r="M304" s="33">
        <f t="shared" si="13"/>
        <v>1052</v>
      </c>
      <c r="N304" s="56">
        <v>0</v>
      </c>
      <c r="O304" s="56">
        <v>196</v>
      </c>
      <c r="P304" s="56">
        <v>256</v>
      </c>
      <c r="Q304" s="56">
        <v>522</v>
      </c>
      <c r="R304" s="33">
        <f t="shared" si="14"/>
        <v>974</v>
      </c>
    </row>
    <row r="305" spans="1:18" ht="15.75" customHeight="1" x14ac:dyDescent="0.3">
      <c r="A305" s="19">
        <v>28</v>
      </c>
      <c r="B305" s="20" t="str">
        <f t="shared" si="12"/>
        <v>JUL</v>
      </c>
      <c r="C305" s="21">
        <v>46214</v>
      </c>
      <c r="D305" t="s">
        <v>45</v>
      </c>
      <c r="E305" t="s">
        <v>46</v>
      </c>
      <c r="F305" t="s">
        <v>47</v>
      </c>
      <c r="G305" t="s">
        <v>42</v>
      </c>
      <c r="H305" s="56" t="s">
        <v>54</v>
      </c>
      <c r="I305" s="56">
        <v>1020</v>
      </c>
      <c r="J305" s="56">
        <v>1020</v>
      </c>
      <c r="K305" s="56">
        <v>1020</v>
      </c>
      <c r="L305" s="56">
        <v>1030</v>
      </c>
      <c r="M305" s="33">
        <f t="shared" si="13"/>
        <v>4090</v>
      </c>
      <c r="N305" s="56">
        <v>870</v>
      </c>
      <c r="O305" s="56">
        <v>940</v>
      </c>
      <c r="P305" s="56">
        <v>852</v>
      </c>
      <c r="Q305" s="56">
        <v>910</v>
      </c>
      <c r="R305" s="33">
        <f t="shared" si="14"/>
        <v>3572</v>
      </c>
    </row>
    <row r="306" spans="1:18" ht="15.75" customHeight="1" x14ac:dyDescent="0.3">
      <c r="A306" s="19">
        <v>28</v>
      </c>
      <c r="B306" s="20" t="str">
        <f t="shared" si="12"/>
        <v>JUL</v>
      </c>
      <c r="C306" s="21">
        <v>46214</v>
      </c>
      <c r="D306" t="s">
        <v>45</v>
      </c>
      <c r="E306" t="s">
        <v>46</v>
      </c>
      <c r="F306" t="s">
        <v>47</v>
      </c>
      <c r="G306" t="s">
        <v>42</v>
      </c>
      <c r="H306" s="56" t="s">
        <v>54</v>
      </c>
      <c r="I306" s="56">
        <v>1020</v>
      </c>
      <c r="J306" s="56">
        <v>1020</v>
      </c>
      <c r="K306" s="56">
        <v>1020</v>
      </c>
      <c r="L306" s="56">
        <v>1030</v>
      </c>
      <c r="M306" s="33">
        <f t="shared" si="13"/>
        <v>4090</v>
      </c>
      <c r="N306" s="56">
        <v>870</v>
      </c>
      <c r="O306" s="56">
        <v>940</v>
      </c>
      <c r="P306" s="56">
        <v>852</v>
      </c>
      <c r="Q306" s="56">
        <v>910</v>
      </c>
      <c r="R306" s="33">
        <f t="shared" si="14"/>
        <v>3572</v>
      </c>
    </row>
    <row r="307" spans="1:18" ht="15.75" customHeight="1" x14ac:dyDescent="0.3">
      <c r="A307" s="19">
        <v>28</v>
      </c>
      <c r="B307" s="20" t="str">
        <f t="shared" si="12"/>
        <v>JUL</v>
      </c>
      <c r="C307" s="21">
        <v>46215</v>
      </c>
      <c r="D307" t="s">
        <v>45</v>
      </c>
      <c r="E307" t="s">
        <v>49</v>
      </c>
      <c r="F307" t="s">
        <v>47</v>
      </c>
      <c r="G307" t="s">
        <v>42</v>
      </c>
      <c r="H307" s="56" t="s">
        <v>50</v>
      </c>
      <c r="I307" s="56">
        <v>414</v>
      </c>
      <c r="J307" s="56">
        <v>937</v>
      </c>
      <c r="K307" s="56">
        <v>647</v>
      </c>
      <c r="L307" s="56">
        <v>184</v>
      </c>
      <c r="M307" s="33">
        <f t="shared" si="13"/>
        <v>2182</v>
      </c>
      <c r="N307" s="56">
        <v>360</v>
      </c>
      <c r="O307" s="56">
        <v>795</v>
      </c>
      <c r="P307" s="56">
        <v>566</v>
      </c>
      <c r="Q307" s="56">
        <v>0</v>
      </c>
      <c r="R307" s="33">
        <f t="shared" si="14"/>
        <v>1721</v>
      </c>
    </row>
    <row r="308" spans="1:18" ht="15.75" customHeight="1" x14ac:dyDescent="0.3">
      <c r="A308" s="19">
        <v>28</v>
      </c>
      <c r="B308" s="20" t="str">
        <f t="shared" si="12"/>
        <v>JUL</v>
      </c>
      <c r="C308" s="21">
        <v>46215</v>
      </c>
      <c r="D308" t="s">
        <v>45</v>
      </c>
      <c r="E308" t="s">
        <v>49</v>
      </c>
      <c r="F308" t="s">
        <v>47</v>
      </c>
      <c r="G308" t="s">
        <v>42</v>
      </c>
      <c r="H308" s="56" t="s">
        <v>50</v>
      </c>
      <c r="I308" s="56">
        <v>414</v>
      </c>
      <c r="J308" s="56">
        <v>937</v>
      </c>
      <c r="K308" s="56">
        <v>647</v>
      </c>
      <c r="L308" s="56">
        <v>184</v>
      </c>
      <c r="M308" s="33">
        <f t="shared" si="13"/>
        <v>2182</v>
      </c>
      <c r="N308" s="56">
        <v>360</v>
      </c>
      <c r="O308" s="56">
        <v>795</v>
      </c>
      <c r="P308" s="56">
        <v>566</v>
      </c>
      <c r="Q308" s="56">
        <v>0</v>
      </c>
      <c r="R308" s="33">
        <f t="shared" si="14"/>
        <v>1721</v>
      </c>
    </row>
    <row r="309" spans="1:18" ht="15.75" customHeight="1" x14ac:dyDescent="0.3">
      <c r="A309" s="19">
        <v>28</v>
      </c>
      <c r="B309" s="20" t="str">
        <f t="shared" si="12"/>
        <v>JUL</v>
      </c>
      <c r="C309" s="21">
        <v>46215</v>
      </c>
      <c r="D309" t="s">
        <v>45</v>
      </c>
      <c r="E309" t="s">
        <v>46</v>
      </c>
      <c r="F309" t="s">
        <v>47</v>
      </c>
      <c r="G309" t="s">
        <v>42</v>
      </c>
      <c r="H309" s="56" t="s">
        <v>48</v>
      </c>
      <c r="I309" s="56">
        <v>333</v>
      </c>
      <c r="J309" s="56">
        <v>450</v>
      </c>
      <c r="K309" s="56">
        <v>339</v>
      </c>
      <c r="L309" s="56">
        <v>195</v>
      </c>
      <c r="M309" s="33">
        <f t="shared" si="13"/>
        <v>1317</v>
      </c>
      <c r="N309" s="56">
        <v>168</v>
      </c>
      <c r="O309" s="56">
        <v>291</v>
      </c>
      <c r="P309" s="56">
        <v>168</v>
      </c>
      <c r="Q309" s="56">
        <v>45</v>
      </c>
      <c r="R309" s="33">
        <f t="shared" si="14"/>
        <v>672</v>
      </c>
    </row>
    <row r="310" spans="1:18" ht="15.75" customHeight="1" x14ac:dyDescent="0.3">
      <c r="A310" s="19">
        <v>28</v>
      </c>
      <c r="B310" s="20" t="str">
        <f t="shared" si="12"/>
        <v>JUL</v>
      </c>
      <c r="C310" s="21">
        <v>46215</v>
      </c>
      <c r="D310" t="s">
        <v>45</v>
      </c>
      <c r="E310" t="s">
        <v>46</v>
      </c>
      <c r="F310" t="s">
        <v>47</v>
      </c>
      <c r="G310" t="s">
        <v>42</v>
      </c>
      <c r="H310" s="56" t="s">
        <v>48</v>
      </c>
      <c r="I310" s="56">
        <v>333</v>
      </c>
      <c r="J310" s="56">
        <v>450</v>
      </c>
      <c r="K310" s="56">
        <v>339</v>
      </c>
      <c r="L310" s="56">
        <v>195</v>
      </c>
      <c r="M310" s="33">
        <f t="shared" si="13"/>
        <v>1317</v>
      </c>
      <c r="N310" s="56">
        <v>168</v>
      </c>
      <c r="O310" s="56">
        <v>291</v>
      </c>
      <c r="P310" s="56">
        <v>168</v>
      </c>
      <c r="Q310" s="56">
        <v>45</v>
      </c>
      <c r="R310" s="33">
        <f t="shared" si="14"/>
        <v>672</v>
      </c>
    </row>
    <row r="311" spans="1:18" ht="15.75" customHeight="1" x14ac:dyDescent="0.3">
      <c r="A311" s="19">
        <v>28</v>
      </c>
      <c r="B311" s="20" t="str">
        <f t="shared" si="12"/>
        <v>JUL</v>
      </c>
      <c r="C311" s="21">
        <v>46215</v>
      </c>
      <c r="D311" t="s">
        <v>45</v>
      </c>
      <c r="E311" t="s">
        <v>51</v>
      </c>
      <c r="F311" t="s">
        <v>47</v>
      </c>
      <c r="G311" t="s">
        <v>42</v>
      </c>
      <c r="H311" s="56" t="s">
        <v>52</v>
      </c>
      <c r="I311" s="56">
        <v>0</v>
      </c>
      <c r="J311" s="56">
        <v>2698</v>
      </c>
      <c r="K311" s="56">
        <v>909</v>
      </c>
      <c r="L311" s="56">
        <v>3099</v>
      </c>
      <c r="M311" s="33">
        <f t="shared" si="13"/>
        <v>6706</v>
      </c>
      <c r="N311" s="56">
        <v>0</v>
      </c>
      <c r="O311" s="56">
        <v>2542</v>
      </c>
      <c r="P311" s="56">
        <v>777</v>
      </c>
      <c r="Q311" s="56">
        <v>2826</v>
      </c>
      <c r="R311" s="33">
        <f t="shared" si="14"/>
        <v>6145</v>
      </c>
    </row>
    <row r="312" spans="1:18" ht="15.75" customHeight="1" x14ac:dyDescent="0.3">
      <c r="A312" s="19">
        <v>28</v>
      </c>
      <c r="B312" s="20" t="str">
        <f t="shared" si="12"/>
        <v>JUL</v>
      </c>
      <c r="C312" s="21">
        <v>46215</v>
      </c>
      <c r="D312" t="s">
        <v>45</v>
      </c>
      <c r="E312" t="s">
        <v>51</v>
      </c>
      <c r="F312" t="s">
        <v>47</v>
      </c>
      <c r="G312" t="s">
        <v>42</v>
      </c>
      <c r="H312" s="56" t="s">
        <v>52</v>
      </c>
      <c r="I312" s="56">
        <v>0</v>
      </c>
      <c r="J312" s="56">
        <v>2698</v>
      </c>
      <c r="K312" s="56">
        <v>909</v>
      </c>
      <c r="L312" s="56">
        <v>3099</v>
      </c>
      <c r="M312" s="33">
        <f t="shared" si="13"/>
        <v>6706</v>
      </c>
      <c r="N312" s="56">
        <v>0</v>
      </c>
      <c r="O312" s="56">
        <v>2542</v>
      </c>
      <c r="P312" s="56">
        <v>777</v>
      </c>
      <c r="Q312" s="56">
        <v>2826</v>
      </c>
      <c r="R312" s="33">
        <f t="shared" si="14"/>
        <v>6145</v>
      </c>
    </row>
    <row r="313" spans="1:18" ht="15.75" customHeight="1" x14ac:dyDescent="0.3">
      <c r="A313" s="19">
        <v>28</v>
      </c>
      <c r="B313" s="20" t="str">
        <f t="shared" si="12"/>
        <v>JUL</v>
      </c>
      <c r="C313" s="21">
        <v>46215</v>
      </c>
      <c r="D313" t="s">
        <v>45</v>
      </c>
      <c r="E313" t="s">
        <v>46</v>
      </c>
      <c r="F313" t="s">
        <v>47</v>
      </c>
      <c r="G313" t="s">
        <v>42</v>
      </c>
      <c r="H313" s="56" t="s">
        <v>54</v>
      </c>
      <c r="I313" s="56">
        <v>870</v>
      </c>
      <c r="J313" s="56">
        <v>940</v>
      </c>
      <c r="K313" s="56">
        <v>852</v>
      </c>
      <c r="L313" s="56">
        <v>910</v>
      </c>
      <c r="M313" s="33">
        <f t="shared" si="13"/>
        <v>3572</v>
      </c>
      <c r="N313" s="56">
        <v>690</v>
      </c>
      <c r="O313" s="56">
        <v>720</v>
      </c>
      <c r="P313" s="56">
        <v>812</v>
      </c>
      <c r="Q313" s="56">
        <v>735</v>
      </c>
      <c r="R313" s="33">
        <f t="shared" si="14"/>
        <v>2957</v>
      </c>
    </row>
    <row r="314" spans="1:18" ht="15.75" customHeight="1" x14ac:dyDescent="0.3">
      <c r="A314" s="19">
        <v>28</v>
      </c>
      <c r="B314" s="20" t="str">
        <f t="shared" si="12"/>
        <v>JUL</v>
      </c>
      <c r="C314" s="21">
        <v>46215</v>
      </c>
      <c r="D314" t="s">
        <v>45</v>
      </c>
      <c r="E314" t="s">
        <v>46</v>
      </c>
      <c r="F314" t="s">
        <v>47</v>
      </c>
      <c r="G314" t="s">
        <v>42</v>
      </c>
      <c r="H314" s="56" t="s">
        <v>54</v>
      </c>
      <c r="I314" s="56">
        <v>870</v>
      </c>
      <c r="J314" s="56">
        <v>940</v>
      </c>
      <c r="K314" s="56">
        <v>852</v>
      </c>
      <c r="L314" s="56">
        <v>910</v>
      </c>
      <c r="M314" s="33">
        <f t="shared" si="13"/>
        <v>3572</v>
      </c>
      <c r="N314" s="56">
        <v>690</v>
      </c>
      <c r="O314" s="56">
        <v>720</v>
      </c>
      <c r="P314" s="56">
        <v>812</v>
      </c>
      <c r="Q314" s="56">
        <v>735</v>
      </c>
      <c r="R314" s="33">
        <f t="shared" si="14"/>
        <v>2957</v>
      </c>
    </row>
    <row r="315" spans="1:18" ht="15.75" customHeight="1" x14ac:dyDescent="0.3">
      <c r="A315" s="19">
        <v>28</v>
      </c>
      <c r="B315" s="20" t="str">
        <f t="shared" si="12"/>
        <v>JUL</v>
      </c>
      <c r="C315" s="21">
        <v>46215</v>
      </c>
      <c r="D315" t="s">
        <v>45</v>
      </c>
      <c r="E315" t="s">
        <v>51</v>
      </c>
      <c r="F315" t="s">
        <v>47</v>
      </c>
      <c r="G315" t="s">
        <v>42</v>
      </c>
      <c r="H315" s="56" t="s">
        <v>53</v>
      </c>
      <c r="I315" s="56">
        <v>0</v>
      </c>
      <c r="J315" s="56">
        <v>1000</v>
      </c>
      <c r="K315" s="56">
        <v>960</v>
      </c>
      <c r="L315" s="56">
        <v>2140</v>
      </c>
      <c r="M315" s="33">
        <f t="shared" si="13"/>
        <v>4100</v>
      </c>
      <c r="N315" s="56">
        <v>0</v>
      </c>
      <c r="O315" s="56">
        <v>967</v>
      </c>
      <c r="P315" s="56">
        <v>941</v>
      </c>
      <c r="Q315" s="56">
        <v>2030</v>
      </c>
      <c r="R315" s="33">
        <f t="shared" si="14"/>
        <v>3938</v>
      </c>
    </row>
    <row r="316" spans="1:18" ht="15.75" customHeight="1" x14ac:dyDescent="0.3">
      <c r="A316" s="19">
        <v>28</v>
      </c>
      <c r="B316" s="20" t="str">
        <f t="shared" si="12"/>
        <v>JUL</v>
      </c>
      <c r="C316" s="21">
        <v>46215</v>
      </c>
      <c r="D316" t="s">
        <v>45</v>
      </c>
      <c r="E316" t="s">
        <v>51</v>
      </c>
      <c r="F316" t="s">
        <v>47</v>
      </c>
      <c r="G316" t="s">
        <v>42</v>
      </c>
      <c r="H316" s="56" t="s">
        <v>53</v>
      </c>
      <c r="I316" s="56">
        <v>0</v>
      </c>
      <c r="J316" s="56">
        <v>1000</v>
      </c>
      <c r="K316" s="56">
        <v>960</v>
      </c>
      <c r="L316" s="56">
        <v>2140</v>
      </c>
      <c r="M316" s="33">
        <f t="shared" si="13"/>
        <v>4100</v>
      </c>
      <c r="N316" s="56">
        <v>0</v>
      </c>
      <c r="O316" s="56">
        <v>967</v>
      </c>
      <c r="P316" s="56">
        <v>941</v>
      </c>
      <c r="Q316" s="56">
        <v>2030</v>
      </c>
      <c r="R316" s="33">
        <f t="shared" si="14"/>
        <v>3938</v>
      </c>
    </row>
    <row r="317" spans="1:18" ht="15.75" customHeight="1" x14ac:dyDescent="0.3">
      <c r="A317" s="19">
        <v>28</v>
      </c>
      <c r="B317" s="20" t="str">
        <f t="shared" si="12"/>
        <v>JUL</v>
      </c>
      <c r="C317" s="21">
        <v>46215</v>
      </c>
      <c r="D317" t="s">
        <v>45</v>
      </c>
      <c r="E317" t="s">
        <v>46</v>
      </c>
      <c r="F317" t="s">
        <v>47</v>
      </c>
      <c r="G317" t="s">
        <v>42</v>
      </c>
      <c r="H317" s="56" t="s">
        <v>54</v>
      </c>
      <c r="I317" s="56">
        <v>1080</v>
      </c>
      <c r="J317" s="56">
        <v>1200</v>
      </c>
      <c r="K317" s="56">
        <v>1320</v>
      </c>
      <c r="L317" s="56">
        <v>1260</v>
      </c>
      <c r="M317" s="33">
        <f t="shared" si="13"/>
        <v>4860</v>
      </c>
      <c r="N317" s="56">
        <v>1020</v>
      </c>
      <c r="O317" s="56">
        <v>1020</v>
      </c>
      <c r="P317" s="56">
        <v>1020</v>
      </c>
      <c r="Q317" s="56">
        <v>1030</v>
      </c>
      <c r="R317" s="33">
        <f t="shared" si="14"/>
        <v>4090</v>
      </c>
    </row>
    <row r="318" spans="1:18" ht="15.75" customHeight="1" x14ac:dyDescent="0.3">
      <c r="A318" s="19">
        <v>28</v>
      </c>
      <c r="B318" s="20" t="str">
        <f t="shared" si="12"/>
        <v>JUL</v>
      </c>
      <c r="C318" s="21">
        <v>46215</v>
      </c>
      <c r="D318" t="s">
        <v>45</v>
      </c>
      <c r="E318" t="s">
        <v>46</v>
      </c>
      <c r="F318" t="s">
        <v>47</v>
      </c>
      <c r="G318" t="s">
        <v>42</v>
      </c>
      <c r="H318" s="56" t="s">
        <v>54</v>
      </c>
      <c r="I318" s="56">
        <v>1080</v>
      </c>
      <c r="J318" s="56">
        <v>1200</v>
      </c>
      <c r="K318" s="56">
        <v>1320</v>
      </c>
      <c r="L318" s="56">
        <v>1260</v>
      </c>
      <c r="M318" s="33">
        <f t="shared" si="13"/>
        <v>4860</v>
      </c>
      <c r="N318" s="56">
        <v>1020</v>
      </c>
      <c r="O318" s="56">
        <v>1020</v>
      </c>
      <c r="P318" s="56">
        <v>1020</v>
      </c>
      <c r="Q318" s="56">
        <v>1030</v>
      </c>
      <c r="R318" s="33">
        <f t="shared" si="14"/>
        <v>4090</v>
      </c>
    </row>
    <row r="319" spans="1:18" ht="15.75" customHeight="1" x14ac:dyDescent="0.3">
      <c r="A319" s="19">
        <v>28</v>
      </c>
      <c r="B319" s="20" t="str">
        <f t="shared" si="12"/>
        <v>JUL</v>
      </c>
      <c r="C319" s="21">
        <v>46215</v>
      </c>
      <c r="D319" t="s">
        <v>45</v>
      </c>
      <c r="E319" t="s">
        <v>51</v>
      </c>
      <c r="F319" t="s">
        <v>47</v>
      </c>
      <c r="G319" t="s">
        <v>42</v>
      </c>
      <c r="H319" s="56" t="s">
        <v>52</v>
      </c>
      <c r="I319" s="56">
        <v>0</v>
      </c>
      <c r="J319" s="56">
        <v>2856</v>
      </c>
      <c r="K319" s="56">
        <v>998</v>
      </c>
      <c r="L319" s="56">
        <v>3262</v>
      </c>
      <c r="M319" s="33">
        <f t="shared" si="13"/>
        <v>7116</v>
      </c>
      <c r="N319" s="56">
        <v>0</v>
      </c>
      <c r="O319" s="56">
        <v>2796</v>
      </c>
      <c r="P319" s="56">
        <v>977</v>
      </c>
      <c r="Q319" s="56">
        <v>3197</v>
      </c>
      <c r="R319" s="33">
        <f t="shared" si="14"/>
        <v>6970</v>
      </c>
    </row>
    <row r="320" spans="1:18" ht="15.75" customHeight="1" x14ac:dyDescent="0.3">
      <c r="A320" s="19">
        <v>28</v>
      </c>
      <c r="B320" s="20" t="str">
        <f t="shared" si="12"/>
        <v>JUL</v>
      </c>
      <c r="C320" s="21">
        <v>46215</v>
      </c>
      <c r="D320" t="s">
        <v>45</v>
      </c>
      <c r="E320" t="s">
        <v>51</v>
      </c>
      <c r="F320" t="s">
        <v>47</v>
      </c>
      <c r="G320" t="s">
        <v>42</v>
      </c>
      <c r="H320" s="56" t="s">
        <v>52</v>
      </c>
      <c r="I320" s="56">
        <v>0</v>
      </c>
      <c r="J320" s="56">
        <v>2856</v>
      </c>
      <c r="K320" s="56">
        <v>998</v>
      </c>
      <c r="L320" s="56">
        <v>3262</v>
      </c>
      <c r="M320" s="33">
        <f t="shared" si="13"/>
        <v>7116</v>
      </c>
      <c r="N320" s="56">
        <v>0</v>
      </c>
      <c r="O320" s="56">
        <v>2796</v>
      </c>
      <c r="P320" s="56">
        <v>977</v>
      </c>
      <c r="Q320" s="56">
        <v>3197</v>
      </c>
      <c r="R320" s="33">
        <f t="shared" si="14"/>
        <v>6970</v>
      </c>
    </row>
    <row r="321" spans="1:18" ht="15.75" customHeight="1" x14ac:dyDescent="0.3">
      <c r="A321" s="19">
        <v>28</v>
      </c>
      <c r="B321" s="20" t="str">
        <f t="shared" si="12"/>
        <v>JUL</v>
      </c>
      <c r="C321" s="21">
        <v>46215</v>
      </c>
      <c r="D321" t="s">
        <v>45</v>
      </c>
      <c r="E321" t="s">
        <v>46</v>
      </c>
      <c r="F321" t="s">
        <v>47</v>
      </c>
      <c r="G321" t="s">
        <v>42</v>
      </c>
      <c r="H321" s="56" t="s">
        <v>48</v>
      </c>
      <c r="I321" s="56">
        <v>672</v>
      </c>
      <c r="J321" s="56">
        <v>780</v>
      </c>
      <c r="K321" s="56">
        <v>663</v>
      </c>
      <c r="L321" s="56">
        <v>600</v>
      </c>
      <c r="M321" s="33">
        <f t="shared" si="13"/>
        <v>2715</v>
      </c>
      <c r="N321" s="56">
        <v>504</v>
      </c>
      <c r="O321" s="56">
        <v>630</v>
      </c>
      <c r="P321" s="56">
        <v>498</v>
      </c>
      <c r="Q321" s="56">
        <v>390</v>
      </c>
      <c r="R321" s="33">
        <f t="shared" si="14"/>
        <v>2022</v>
      </c>
    </row>
    <row r="322" spans="1:18" ht="15.75" customHeight="1" x14ac:dyDescent="0.3">
      <c r="A322" s="19">
        <v>28</v>
      </c>
      <c r="B322" s="20" t="str">
        <f t="shared" si="12"/>
        <v>JUL</v>
      </c>
      <c r="C322" s="21">
        <v>46215</v>
      </c>
      <c r="D322" t="s">
        <v>45</v>
      </c>
      <c r="E322" t="s">
        <v>46</v>
      </c>
      <c r="F322" t="s">
        <v>47</v>
      </c>
      <c r="G322" t="s">
        <v>42</v>
      </c>
      <c r="H322" s="56" t="s">
        <v>48</v>
      </c>
      <c r="I322" s="56">
        <v>672</v>
      </c>
      <c r="J322" s="56">
        <v>780</v>
      </c>
      <c r="K322" s="56">
        <v>663</v>
      </c>
      <c r="L322" s="56">
        <v>600</v>
      </c>
      <c r="M322" s="33">
        <f t="shared" si="13"/>
        <v>2715</v>
      </c>
      <c r="N322" s="56">
        <v>504</v>
      </c>
      <c r="O322" s="56">
        <v>630</v>
      </c>
      <c r="P322" s="56">
        <v>498</v>
      </c>
      <c r="Q322" s="56">
        <v>390</v>
      </c>
      <c r="R322" s="33">
        <f t="shared" si="14"/>
        <v>2022</v>
      </c>
    </row>
    <row r="323" spans="1:18" ht="15.75" customHeight="1" x14ac:dyDescent="0.3">
      <c r="A323" s="19">
        <v>29</v>
      </c>
      <c r="B323" s="20" t="s">
        <v>55</v>
      </c>
      <c r="C323" s="21">
        <v>46220</v>
      </c>
      <c r="D323" s="20" t="s">
        <v>39</v>
      </c>
      <c r="E323" s="20" t="s">
        <v>56</v>
      </c>
      <c r="F323" s="20" t="s">
        <v>41</v>
      </c>
      <c r="G323" s="20" t="s">
        <v>42</v>
      </c>
      <c r="H323" s="19" t="s">
        <v>57</v>
      </c>
      <c r="I323" s="32">
        <v>140</v>
      </c>
      <c r="J323" s="32">
        <v>200</v>
      </c>
      <c r="K323" s="32">
        <v>250</v>
      </c>
      <c r="L323" s="32">
        <v>350</v>
      </c>
      <c r="M323" s="33">
        <f t="shared" si="13"/>
        <v>940</v>
      </c>
      <c r="N323" s="32">
        <v>93</v>
      </c>
      <c r="O323" s="32">
        <v>141</v>
      </c>
      <c r="P323" s="34">
        <v>187</v>
      </c>
      <c r="Q323" s="32">
        <v>261</v>
      </c>
      <c r="R323" s="33">
        <f t="shared" si="14"/>
        <v>682</v>
      </c>
    </row>
    <row r="324" spans="1:18" ht="15.75" customHeight="1" x14ac:dyDescent="0.3">
      <c r="A324" s="19">
        <v>29</v>
      </c>
      <c r="B324" s="20" t="s">
        <v>55</v>
      </c>
      <c r="C324" s="21">
        <v>46220</v>
      </c>
      <c r="D324" s="20" t="s">
        <v>39</v>
      </c>
      <c r="E324" s="20" t="s">
        <v>44</v>
      </c>
      <c r="F324" s="20" t="s">
        <v>41</v>
      </c>
      <c r="G324" s="20" t="s">
        <v>42</v>
      </c>
      <c r="H324" s="19" t="s">
        <v>30</v>
      </c>
      <c r="I324" s="32">
        <v>634</v>
      </c>
      <c r="J324" s="32">
        <v>641</v>
      </c>
      <c r="K324" s="32">
        <v>8280</v>
      </c>
      <c r="L324" s="32">
        <v>578</v>
      </c>
      <c r="M324" s="33">
        <f t="shared" si="13"/>
        <v>10133</v>
      </c>
      <c r="N324" s="32">
        <v>604</v>
      </c>
      <c r="O324" s="32">
        <v>596</v>
      </c>
      <c r="P324" s="34">
        <v>793</v>
      </c>
      <c r="Q324" s="32">
        <v>448</v>
      </c>
      <c r="R324" s="33">
        <f t="shared" si="14"/>
        <v>2441</v>
      </c>
    </row>
    <row r="325" spans="1:18" ht="15.75" customHeight="1" x14ac:dyDescent="0.3">
      <c r="A325" s="19">
        <v>29</v>
      </c>
      <c r="B325" s="20" t="s">
        <v>55</v>
      </c>
      <c r="C325" s="21">
        <v>46220</v>
      </c>
      <c r="D325" s="20" t="s">
        <v>39</v>
      </c>
      <c r="E325" s="20" t="s">
        <v>44</v>
      </c>
      <c r="F325" s="20" t="s">
        <v>41</v>
      </c>
      <c r="G325" s="20" t="s">
        <v>42</v>
      </c>
      <c r="H325" s="19" t="s">
        <v>30</v>
      </c>
      <c r="I325" s="32">
        <v>634</v>
      </c>
      <c r="J325" s="32">
        <v>641</v>
      </c>
      <c r="K325" s="32">
        <v>8280</v>
      </c>
      <c r="L325" s="32">
        <v>578</v>
      </c>
      <c r="M325" s="33">
        <f t="shared" si="13"/>
        <v>10133</v>
      </c>
      <c r="N325" s="32">
        <v>604</v>
      </c>
      <c r="O325" s="32">
        <v>596</v>
      </c>
      <c r="P325" s="34">
        <v>793</v>
      </c>
      <c r="Q325" s="32">
        <v>448</v>
      </c>
      <c r="R325" s="33">
        <f t="shared" si="14"/>
        <v>2441</v>
      </c>
    </row>
    <row r="326" spans="1:18" ht="15.75" customHeight="1" x14ac:dyDescent="0.3">
      <c r="A326" s="19">
        <v>29</v>
      </c>
      <c r="B326" s="20" t="s">
        <v>55</v>
      </c>
      <c r="C326" s="21">
        <v>46220</v>
      </c>
      <c r="D326" s="20" t="s">
        <v>39</v>
      </c>
      <c r="E326" s="20" t="s">
        <v>43</v>
      </c>
      <c r="F326" s="20" t="s">
        <v>41</v>
      </c>
      <c r="G326" s="20" t="s">
        <v>42</v>
      </c>
      <c r="H326" s="19" t="s">
        <v>32</v>
      </c>
      <c r="I326" s="32">
        <v>705</v>
      </c>
      <c r="J326" s="32">
        <v>855</v>
      </c>
      <c r="K326" s="32">
        <v>627</v>
      </c>
      <c r="L326" s="32">
        <v>1635</v>
      </c>
      <c r="M326" s="33">
        <f t="shared" si="13"/>
        <v>3822</v>
      </c>
      <c r="N326" s="32">
        <v>655</v>
      </c>
      <c r="O326" s="32">
        <v>805</v>
      </c>
      <c r="P326" s="34">
        <v>577</v>
      </c>
      <c r="Q326" s="32">
        <v>1525</v>
      </c>
      <c r="R326" s="33">
        <f t="shared" si="14"/>
        <v>3562</v>
      </c>
    </row>
    <row r="327" spans="1:18" ht="15.75" customHeight="1" x14ac:dyDescent="0.3">
      <c r="A327" s="19">
        <v>29</v>
      </c>
      <c r="B327" s="20" t="s">
        <v>55</v>
      </c>
      <c r="C327" s="21">
        <v>46220</v>
      </c>
      <c r="D327" s="20" t="s">
        <v>39</v>
      </c>
      <c r="E327" s="20" t="s">
        <v>43</v>
      </c>
      <c r="F327" s="20" t="s">
        <v>41</v>
      </c>
      <c r="G327" s="20" t="s">
        <v>42</v>
      </c>
      <c r="H327" s="19" t="s">
        <v>32</v>
      </c>
      <c r="I327" s="32">
        <v>655</v>
      </c>
      <c r="J327" s="32">
        <v>805</v>
      </c>
      <c r="K327" s="32">
        <v>577</v>
      </c>
      <c r="L327" s="32">
        <v>1525</v>
      </c>
      <c r="M327" s="33">
        <f t="shared" ref="M327:M390" si="15">SUM(I327:L327)</f>
        <v>3562</v>
      </c>
      <c r="N327" s="32">
        <v>605</v>
      </c>
      <c r="O327" s="32">
        <v>765</v>
      </c>
      <c r="P327" s="34">
        <v>507</v>
      </c>
      <c r="Q327" s="32">
        <v>1425</v>
      </c>
      <c r="R327" s="33">
        <f t="shared" ref="R327:R390" si="16">SUM(N327:Q327)</f>
        <v>3302</v>
      </c>
    </row>
    <row r="328" spans="1:18" ht="15.75" customHeight="1" x14ac:dyDescent="0.3">
      <c r="A328" s="19">
        <v>29</v>
      </c>
      <c r="B328" s="20" t="s">
        <v>55</v>
      </c>
      <c r="C328" s="21">
        <v>46220</v>
      </c>
      <c r="D328" s="20" t="s">
        <v>39</v>
      </c>
      <c r="E328" s="20" t="s">
        <v>58</v>
      </c>
      <c r="F328" s="20" t="s">
        <v>41</v>
      </c>
      <c r="G328" s="20" t="s">
        <v>42</v>
      </c>
      <c r="H328" s="19" t="s">
        <v>31</v>
      </c>
      <c r="I328" s="32">
        <v>636</v>
      </c>
      <c r="J328" s="32">
        <v>521</v>
      </c>
      <c r="K328" s="32">
        <v>685</v>
      </c>
      <c r="L328" s="32">
        <v>620</v>
      </c>
      <c r="M328" s="33">
        <f t="shared" si="15"/>
        <v>2462</v>
      </c>
      <c r="N328" s="32">
        <v>452</v>
      </c>
      <c r="O328" s="32">
        <v>331</v>
      </c>
      <c r="P328" s="34">
        <v>532</v>
      </c>
      <c r="Q328" s="32">
        <v>525</v>
      </c>
      <c r="R328" s="33">
        <f t="shared" si="16"/>
        <v>1840</v>
      </c>
    </row>
    <row r="329" spans="1:18" ht="15.75" customHeight="1" x14ac:dyDescent="0.3">
      <c r="A329" s="19">
        <v>29</v>
      </c>
      <c r="B329" s="20" t="s">
        <v>55</v>
      </c>
      <c r="C329" s="21">
        <v>46220</v>
      </c>
      <c r="D329" s="20" t="s">
        <v>39</v>
      </c>
      <c r="E329" s="20" t="s">
        <v>43</v>
      </c>
      <c r="F329" s="20" t="s">
        <v>41</v>
      </c>
      <c r="G329" s="20" t="s">
        <v>42</v>
      </c>
      <c r="H329" s="19" t="s">
        <v>29</v>
      </c>
      <c r="I329" s="32">
        <v>1426</v>
      </c>
      <c r="J329" s="32">
        <v>1988</v>
      </c>
      <c r="K329" s="32">
        <v>1508</v>
      </c>
      <c r="L329" s="32">
        <v>2797</v>
      </c>
      <c r="M329" s="33">
        <f t="shared" si="15"/>
        <v>7719</v>
      </c>
      <c r="N329" s="32">
        <v>1321</v>
      </c>
      <c r="O329" s="32">
        <v>1890</v>
      </c>
      <c r="P329" s="34">
        <v>1391</v>
      </c>
      <c r="Q329" s="32">
        <v>2622</v>
      </c>
      <c r="R329" s="33">
        <f t="shared" si="16"/>
        <v>7224</v>
      </c>
    </row>
    <row r="330" spans="1:18" ht="15.75" customHeight="1" x14ac:dyDescent="0.3">
      <c r="A330" s="19">
        <v>29</v>
      </c>
      <c r="B330" s="20" t="s">
        <v>55</v>
      </c>
      <c r="C330" s="21">
        <v>46220</v>
      </c>
      <c r="D330" s="20" t="s">
        <v>39</v>
      </c>
      <c r="E330" s="20" t="s">
        <v>58</v>
      </c>
      <c r="F330" s="20" t="s">
        <v>41</v>
      </c>
      <c r="G330" s="20" t="s">
        <v>42</v>
      </c>
      <c r="H330" s="19" t="s">
        <v>31</v>
      </c>
      <c r="I330" s="32">
        <v>636</v>
      </c>
      <c r="J330" s="32">
        <v>521</v>
      </c>
      <c r="K330" s="32">
        <v>685</v>
      </c>
      <c r="L330" s="32">
        <v>620</v>
      </c>
      <c r="M330" s="33">
        <f t="shared" si="15"/>
        <v>2462</v>
      </c>
      <c r="N330" s="32">
        <v>452</v>
      </c>
      <c r="O330" s="32">
        <v>331</v>
      </c>
      <c r="P330" s="34">
        <v>532</v>
      </c>
      <c r="Q330" s="32">
        <v>525</v>
      </c>
      <c r="R330" s="33">
        <f t="shared" si="16"/>
        <v>1840</v>
      </c>
    </row>
    <row r="331" spans="1:18" ht="15.75" customHeight="1" x14ac:dyDescent="0.3">
      <c r="A331" s="19">
        <v>29</v>
      </c>
      <c r="B331" s="20" t="s">
        <v>55</v>
      </c>
      <c r="C331" s="21">
        <v>46220</v>
      </c>
      <c r="D331" s="20" t="s">
        <v>39</v>
      </c>
      <c r="E331" s="20" t="s">
        <v>56</v>
      </c>
      <c r="F331" s="20" t="s">
        <v>41</v>
      </c>
      <c r="G331" s="20" t="s">
        <v>42</v>
      </c>
      <c r="H331" s="19" t="s">
        <v>35</v>
      </c>
      <c r="I331" s="32">
        <v>1480</v>
      </c>
      <c r="J331" s="32">
        <v>1860</v>
      </c>
      <c r="K331" s="32">
        <v>1880</v>
      </c>
      <c r="L331" s="32">
        <v>1600</v>
      </c>
      <c r="M331" s="33">
        <f t="shared" si="15"/>
        <v>6820</v>
      </c>
      <c r="N331" s="32">
        <v>1400</v>
      </c>
      <c r="O331" s="32">
        <v>1750</v>
      </c>
      <c r="P331" s="34">
        <v>1790</v>
      </c>
      <c r="Q331" s="32">
        <v>1460</v>
      </c>
      <c r="R331" s="33">
        <f t="shared" si="16"/>
        <v>6400</v>
      </c>
    </row>
    <row r="332" spans="1:18" ht="15.75" customHeight="1" x14ac:dyDescent="0.3">
      <c r="A332" s="19">
        <v>29</v>
      </c>
      <c r="B332" s="20" t="s">
        <v>55</v>
      </c>
      <c r="C332" s="21">
        <v>46220</v>
      </c>
      <c r="D332" s="20" t="s">
        <v>39</v>
      </c>
      <c r="E332" s="20" t="s">
        <v>43</v>
      </c>
      <c r="F332" s="20" t="s">
        <v>41</v>
      </c>
      <c r="G332" s="20" t="s">
        <v>42</v>
      </c>
      <c r="H332" s="19" t="s">
        <v>29</v>
      </c>
      <c r="I332" s="32">
        <v>1321</v>
      </c>
      <c r="J332" s="32">
        <v>1890</v>
      </c>
      <c r="K332" s="32">
        <v>1391</v>
      </c>
      <c r="L332" s="32">
        <v>2622</v>
      </c>
      <c r="M332" s="33">
        <f t="shared" si="15"/>
        <v>7224</v>
      </c>
      <c r="N332" s="32">
        <v>1228</v>
      </c>
      <c r="O332" s="32">
        <v>1789</v>
      </c>
      <c r="P332" s="34">
        <v>1286</v>
      </c>
      <c r="Q332" s="32">
        <v>2453</v>
      </c>
      <c r="R332" s="33">
        <f t="shared" si="16"/>
        <v>6756</v>
      </c>
    </row>
    <row r="333" spans="1:18" ht="15.75" customHeight="1" x14ac:dyDescent="0.3">
      <c r="A333" s="19">
        <v>29</v>
      </c>
      <c r="B333" s="20" t="s">
        <v>55</v>
      </c>
      <c r="C333" s="21">
        <v>46220</v>
      </c>
      <c r="D333" s="20" t="s">
        <v>39</v>
      </c>
      <c r="E333" s="20" t="s">
        <v>40</v>
      </c>
      <c r="F333" s="20" t="s">
        <v>41</v>
      </c>
      <c r="G333" s="20" t="s">
        <v>42</v>
      </c>
      <c r="H333" s="19" t="s">
        <v>34</v>
      </c>
      <c r="I333" s="32">
        <v>250</v>
      </c>
      <c r="J333" s="32">
        <v>400</v>
      </c>
      <c r="K333" s="32">
        <v>350</v>
      </c>
      <c r="L333" s="32">
        <v>450</v>
      </c>
      <c r="M333" s="33">
        <f t="shared" si="15"/>
        <v>1450</v>
      </c>
      <c r="N333" s="32">
        <v>215</v>
      </c>
      <c r="O333" s="32">
        <v>365</v>
      </c>
      <c r="P333" s="34">
        <v>310</v>
      </c>
      <c r="Q333" s="32">
        <v>370</v>
      </c>
      <c r="R333" s="33">
        <f t="shared" si="16"/>
        <v>1260</v>
      </c>
    </row>
    <row r="334" spans="1:18" ht="15.75" customHeight="1" x14ac:dyDescent="0.3">
      <c r="A334" s="19">
        <v>29</v>
      </c>
      <c r="B334" s="20" t="s">
        <v>55</v>
      </c>
      <c r="C334" s="21">
        <v>46221</v>
      </c>
      <c r="D334" s="20" t="s">
        <v>39</v>
      </c>
      <c r="E334" s="20" t="s">
        <v>58</v>
      </c>
      <c r="F334" s="20" t="s">
        <v>41</v>
      </c>
      <c r="G334" s="20" t="s">
        <v>42</v>
      </c>
      <c r="H334" s="19" t="s">
        <v>31</v>
      </c>
      <c r="I334" s="32">
        <v>1000</v>
      </c>
      <c r="J334" s="32">
        <v>1400</v>
      </c>
      <c r="K334" s="32">
        <v>1320</v>
      </c>
      <c r="L334" s="32">
        <v>2440</v>
      </c>
      <c r="M334" s="33">
        <f t="shared" si="15"/>
        <v>6160</v>
      </c>
      <c r="N334" s="32">
        <v>803</v>
      </c>
      <c r="O334" s="32">
        <v>1047</v>
      </c>
      <c r="P334" s="34">
        <v>1080</v>
      </c>
      <c r="Q334" s="32">
        <v>2062</v>
      </c>
      <c r="R334" s="33">
        <f t="shared" si="16"/>
        <v>4992</v>
      </c>
    </row>
    <row r="335" spans="1:18" ht="15.75" customHeight="1" x14ac:dyDescent="0.3">
      <c r="A335" s="19">
        <v>29</v>
      </c>
      <c r="B335" s="20" t="s">
        <v>55</v>
      </c>
      <c r="C335" s="21">
        <v>46221</v>
      </c>
      <c r="D335" s="20" t="s">
        <v>39</v>
      </c>
      <c r="E335" s="20" t="s">
        <v>58</v>
      </c>
      <c r="F335" s="20" t="s">
        <v>41</v>
      </c>
      <c r="G335" s="20" t="s">
        <v>42</v>
      </c>
      <c r="H335" s="19" t="s">
        <v>31</v>
      </c>
      <c r="I335" s="32">
        <v>1000</v>
      </c>
      <c r="J335" s="32">
        <v>1400</v>
      </c>
      <c r="K335" s="32">
        <v>1320</v>
      </c>
      <c r="L335" s="32">
        <v>2440</v>
      </c>
      <c r="M335" s="33">
        <f t="shared" si="15"/>
        <v>6160</v>
      </c>
      <c r="N335" s="32">
        <v>803</v>
      </c>
      <c r="O335" s="32">
        <v>1047</v>
      </c>
      <c r="P335" s="34">
        <v>1080</v>
      </c>
      <c r="Q335" s="32">
        <v>2062</v>
      </c>
      <c r="R335" s="33">
        <f t="shared" si="16"/>
        <v>4992</v>
      </c>
    </row>
    <row r="336" spans="1:18" ht="15.75" customHeight="1" x14ac:dyDescent="0.3">
      <c r="A336" s="19">
        <v>29</v>
      </c>
      <c r="B336" s="20" t="s">
        <v>55</v>
      </c>
      <c r="C336" s="21">
        <v>46221</v>
      </c>
      <c r="D336" s="20" t="s">
        <v>39</v>
      </c>
      <c r="E336" s="20" t="s">
        <v>44</v>
      </c>
      <c r="F336" s="20" t="s">
        <v>41</v>
      </c>
      <c r="G336" s="20" t="s">
        <v>42</v>
      </c>
      <c r="H336" s="19" t="s">
        <v>30</v>
      </c>
      <c r="I336" s="32">
        <v>604</v>
      </c>
      <c r="J336" s="32">
        <v>596</v>
      </c>
      <c r="K336" s="32">
        <v>793</v>
      </c>
      <c r="L336" s="32">
        <v>448</v>
      </c>
      <c r="M336" s="33">
        <f t="shared" si="15"/>
        <v>2441</v>
      </c>
      <c r="N336" s="32">
        <v>569</v>
      </c>
      <c r="O336" s="32">
        <v>547</v>
      </c>
      <c r="P336" s="34">
        <v>748</v>
      </c>
      <c r="Q336" s="32">
        <v>297</v>
      </c>
      <c r="R336" s="33">
        <f t="shared" si="16"/>
        <v>2161</v>
      </c>
    </row>
    <row r="337" spans="1:18" ht="15.75" customHeight="1" x14ac:dyDescent="0.3">
      <c r="A337" s="19">
        <v>29</v>
      </c>
      <c r="B337" s="20" t="s">
        <v>55</v>
      </c>
      <c r="C337" s="21">
        <v>46221</v>
      </c>
      <c r="D337" s="20" t="s">
        <v>39</v>
      </c>
      <c r="E337" s="20" t="s">
        <v>44</v>
      </c>
      <c r="F337" s="20" t="s">
        <v>41</v>
      </c>
      <c r="G337" s="20" t="s">
        <v>42</v>
      </c>
      <c r="H337" s="19" t="s">
        <v>30</v>
      </c>
      <c r="I337" s="32">
        <v>604</v>
      </c>
      <c r="J337" s="32">
        <v>596</v>
      </c>
      <c r="K337" s="32">
        <v>793</v>
      </c>
      <c r="L337" s="32">
        <v>448</v>
      </c>
      <c r="M337" s="33">
        <f t="shared" si="15"/>
        <v>2441</v>
      </c>
      <c r="N337" s="32">
        <v>534</v>
      </c>
      <c r="O337" s="32">
        <v>497</v>
      </c>
      <c r="P337" s="34">
        <v>698</v>
      </c>
      <c r="Q337" s="32">
        <v>112</v>
      </c>
      <c r="R337" s="33">
        <f t="shared" si="16"/>
        <v>1841</v>
      </c>
    </row>
    <row r="338" spans="1:18" ht="15.75" customHeight="1" x14ac:dyDescent="0.3">
      <c r="A338" s="19">
        <v>29</v>
      </c>
      <c r="B338" s="20" t="s">
        <v>55</v>
      </c>
      <c r="C338" s="21">
        <v>46221</v>
      </c>
      <c r="D338" s="20" t="s">
        <v>39</v>
      </c>
      <c r="E338" s="20" t="s">
        <v>56</v>
      </c>
      <c r="F338" s="20" t="s">
        <v>41</v>
      </c>
      <c r="G338" s="20" t="s">
        <v>42</v>
      </c>
      <c r="H338" s="19" t="s">
        <v>57</v>
      </c>
      <c r="I338" s="32">
        <v>140</v>
      </c>
      <c r="J338" s="32">
        <v>200</v>
      </c>
      <c r="K338" s="32">
        <v>250</v>
      </c>
      <c r="L338" s="32">
        <v>350</v>
      </c>
      <c r="M338" s="33">
        <f t="shared" si="15"/>
        <v>940</v>
      </c>
      <c r="N338" s="32">
        <v>71</v>
      </c>
      <c r="O338" s="32">
        <v>135</v>
      </c>
      <c r="P338" s="34">
        <v>174</v>
      </c>
      <c r="Q338" s="32">
        <v>256</v>
      </c>
      <c r="R338" s="33">
        <f t="shared" si="16"/>
        <v>636</v>
      </c>
    </row>
    <row r="339" spans="1:18" ht="15.75" customHeight="1" x14ac:dyDescent="0.3">
      <c r="A339" s="19">
        <v>29</v>
      </c>
      <c r="B339" s="20" t="s">
        <v>55</v>
      </c>
      <c r="C339" s="21">
        <v>46221</v>
      </c>
      <c r="D339" s="20" t="s">
        <v>39</v>
      </c>
      <c r="E339" s="20" t="s">
        <v>43</v>
      </c>
      <c r="F339" s="20" t="s">
        <v>41</v>
      </c>
      <c r="G339" s="20" t="s">
        <v>42</v>
      </c>
      <c r="H339" s="19" t="s">
        <v>32</v>
      </c>
      <c r="I339" s="32">
        <v>605</v>
      </c>
      <c r="J339" s="32">
        <v>765</v>
      </c>
      <c r="K339" s="32">
        <v>507</v>
      </c>
      <c r="L339" s="32">
        <v>1425</v>
      </c>
      <c r="M339" s="33">
        <f t="shared" si="15"/>
        <v>3302</v>
      </c>
      <c r="N339" s="32">
        <v>565</v>
      </c>
      <c r="O339" s="32">
        <v>725</v>
      </c>
      <c r="P339" s="34">
        <v>465</v>
      </c>
      <c r="Q339" s="32">
        <v>1325</v>
      </c>
      <c r="R339" s="33">
        <f t="shared" si="16"/>
        <v>3080</v>
      </c>
    </row>
    <row r="340" spans="1:18" ht="15.75" customHeight="1" x14ac:dyDescent="0.3">
      <c r="A340" s="19">
        <v>29</v>
      </c>
      <c r="B340" s="20" t="s">
        <v>55</v>
      </c>
      <c r="C340" s="21">
        <v>46221</v>
      </c>
      <c r="D340" s="20" t="s">
        <v>39</v>
      </c>
      <c r="E340" s="20" t="s">
        <v>43</v>
      </c>
      <c r="F340" s="20" t="s">
        <v>41</v>
      </c>
      <c r="G340" s="20" t="s">
        <v>42</v>
      </c>
      <c r="H340" s="19" t="s">
        <v>32</v>
      </c>
      <c r="I340" s="32">
        <v>565</v>
      </c>
      <c r="J340" s="32">
        <v>725</v>
      </c>
      <c r="K340" s="32">
        <v>467</v>
      </c>
      <c r="L340" s="32">
        <v>1325</v>
      </c>
      <c r="M340" s="33">
        <f t="shared" si="15"/>
        <v>3082</v>
      </c>
      <c r="N340" s="32">
        <v>515</v>
      </c>
      <c r="O340" s="32">
        <v>675</v>
      </c>
      <c r="P340" s="34">
        <v>417</v>
      </c>
      <c r="Q340" s="32">
        <v>1245</v>
      </c>
      <c r="R340" s="33">
        <f t="shared" si="16"/>
        <v>2852</v>
      </c>
    </row>
    <row r="341" spans="1:18" ht="15.75" customHeight="1" x14ac:dyDescent="0.3">
      <c r="A341" s="19">
        <v>29</v>
      </c>
      <c r="B341" s="20" t="s">
        <v>55</v>
      </c>
      <c r="C341" s="21">
        <v>46220</v>
      </c>
      <c r="D341" s="20" t="s">
        <v>39</v>
      </c>
      <c r="E341" s="20" t="s">
        <v>56</v>
      </c>
      <c r="F341" s="20" t="s">
        <v>41</v>
      </c>
      <c r="G341" s="20" t="s">
        <v>42</v>
      </c>
      <c r="H341" s="19" t="s">
        <v>35</v>
      </c>
      <c r="I341" s="32">
        <v>1480</v>
      </c>
      <c r="J341" s="32">
        <v>1860</v>
      </c>
      <c r="K341" s="32">
        <v>1880</v>
      </c>
      <c r="L341" s="32">
        <v>1600</v>
      </c>
      <c r="M341" s="33">
        <f t="shared" si="15"/>
        <v>6820</v>
      </c>
      <c r="N341" s="32">
        <v>1400</v>
      </c>
      <c r="O341" s="32">
        <v>1750</v>
      </c>
      <c r="P341" s="34">
        <v>1790</v>
      </c>
      <c r="Q341" s="32">
        <v>1460</v>
      </c>
      <c r="R341" s="33">
        <f t="shared" si="16"/>
        <v>6400</v>
      </c>
    </row>
    <row r="342" spans="1:18" ht="15.75" customHeight="1" x14ac:dyDescent="0.3">
      <c r="A342" s="19">
        <v>29</v>
      </c>
      <c r="B342" s="20" t="s">
        <v>55</v>
      </c>
      <c r="C342" s="21">
        <v>46221</v>
      </c>
      <c r="D342" s="20" t="s">
        <v>39</v>
      </c>
      <c r="E342" s="20" t="s">
        <v>40</v>
      </c>
      <c r="F342" s="20" t="s">
        <v>41</v>
      </c>
      <c r="G342" s="20" t="s">
        <v>42</v>
      </c>
      <c r="H342" s="19" t="s">
        <v>34</v>
      </c>
      <c r="I342" s="32">
        <v>215</v>
      </c>
      <c r="J342" s="32">
        <v>365</v>
      </c>
      <c r="K342" s="32">
        <v>310</v>
      </c>
      <c r="L342" s="32">
        <v>370</v>
      </c>
      <c r="M342" s="33">
        <f t="shared" si="15"/>
        <v>1260</v>
      </c>
      <c r="N342" s="32">
        <v>185</v>
      </c>
      <c r="O342" s="32">
        <v>320</v>
      </c>
      <c r="P342" s="34">
        <v>265</v>
      </c>
      <c r="Q342" s="32">
        <v>250</v>
      </c>
      <c r="R342" s="33">
        <f t="shared" si="16"/>
        <v>1020</v>
      </c>
    </row>
    <row r="343" spans="1:18" ht="15.75" customHeight="1" x14ac:dyDescent="0.3">
      <c r="A343" s="19">
        <v>29</v>
      </c>
      <c r="B343" s="20" t="s">
        <v>55</v>
      </c>
      <c r="C343" s="21">
        <v>46221</v>
      </c>
      <c r="D343" s="20" t="s">
        <v>39</v>
      </c>
      <c r="E343" s="20" t="s">
        <v>43</v>
      </c>
      <c r="F343" s="20" t="s">
        <v>41</v>
      </c>
      <c r="G343" s="20" t="s">
        <v>42</v>
      </c>
      <c r="H343" s="19" t="s">
        <v>29</v>
      </c>
      <c r="I343" s="32">
        <v>1131</v>
      </c>
      <c r="J343" s="32">
        <v>1684</v>
      </c>
      <c r="K343" s="32">
        <v>1296</v>
      </c>
      <c r="L343" s="32">
        <v>2336</v>
      </c>
      <c r="M343" s="33">
        <f t="shared" si="15"/>
        <v>6447</v>
      </c>
      <c r="N343" s="32">
        <v>1028</v>
      </c>
      <c r="O343" s="32">
        <v>1573</v>
      </c>
      <c r="P343" s="34">
        <v>1181</v>
      </c>
      <c r="Q343" s="32">
        <v>2148</v>
      </c>
      <c r="R343" s="33">
        <f t="shared" si="16"/>
        <v>5930</v>
      </c>
    </row>
    <row r="344" spans="1:18" ht="15.75" customHeight="1" x14ac:dyDescent="0.3">
      <c r="A344" s="19">
        <v>29</v>
      </c>
      <c r="B344" s="20" t="s">
        <v>55</v>
      </c>
      <c r="C344" s="21">
        <v>46221</v>
      </c>
      <c r="D344" s="20" t="s">
        <v>39</v>
      </c>
      <c r="E344" s="20" t="s">
        <v>43</v>
      </c>
      <c r="F344" s="20" t="s">
        <v>41</v>
      </c>
      <c r="G344" s="20" t="s">
        <v>42</v>
      </c>
      <c r="H344" s="19" t="s">
        <v>29</v>
      </c>
      <c r="I344" s="32">
        <v>1228</v>
      </c>
      <c r="J344" s="32">
        <v>1789</v>
      </c>
      <c r="K344" s="32">
        <v>1296</v>
      </c>
      <c r="L344" s="32">
        <v>2453</v>
      </c>
      <c r="M344" s="33">
        <f t="shared" si="15"/>
        <v>6766</v>
      </c>
      <c r="N344" s="32">
        <v>1131</v>
      </c>
      <c r="O344" s="32">
        <v>1684</v>
      </c>
      <c r="P344" s="34">
        <v>1188</v>
      </c>
      <c r="Q344" s="32">
        <v>2336</v>
      </c>
      <c r="R344" s="33">
        <f t="shared" si="16"/>
        <v>6339</v>
      </c>
    </row>
    <row r="345" spans="1:18" ht="15.75" customHeight="1" x14ac:dyDescent="0.3">
      <c r="A345" s="19">
        <v>29</v>
      </c>
      <c r="B345" s="20" t="s">
        <v>55</v>
      </c>
      <c r="C345" s="21">
        <v>46221</v>
      </c>
      <c r="D345" s="20" t="s">
        <v>39</v>
      </c>
      <c r="E345" s="20" t="s">
        <v>40</v>
      </c>
      <c r="F345" s="20" t="s">
        <v>41</v>
      </c>
      <c r="G345" s="20" t="s">
        <v>42</v>
      </c>
      <c r="H345" s="19" t="s">
        <v>34</v>
      </c>
      <c r="I345" s="32">
        <v>215</v>
      </c>
      <c r="J345" s="32">
        <v>365</v>
      </c>
      <c r="K345" s="32">
        <v>310</v>
      </c>
      <c r="L345" s="32">
        <v>370</v>
      </c>
      <c r="M345" s="33">
        <f t="shared" si="15"/>
        <v>1260</v>
      </c>
      <c r="N345" s="32">
        <v>185</v>
      </c>
      <c r="O345" s="32">
        <v>320</v>
      </c>
      <c r="P345" s="34">
        <v>265</v>
      </c>
      <c r="Q345" s="32">
        <v>250</v>
      </c>
      <c r="R345" s="33">
        <f t="shared" si="16"/>
        <v>1020</v>
      </c>
    </row>
    <row r="346" spans="1:18" ht="15.75" customHeight="1" x14ac:dyDescent="0.3">
      <c r="A346" s="19">
        <v>29</v>
      </c>
      <c r="B346" s="20" t="s">
        <v>55</v>
      </c>
      <c r="C346" s="21">
        <v>46222</v>
      </c>
      <c r="D346" s="20" t="s">
        <v>39</v>
      </c>
      <c r="E346" s="20" t="s">
        <v>58</v>
      </c>
      <c r="F346" s="20" t="s">
        <v>41</v>
      </c>
      <c r="G346" s="20" t="s">
        <v>42</v>
      </c>
      <c r="H346" s="19" t="s">
        <v>31</v>
      </c>
      <c r="I346" s="32">
        <v>803</v>
      </c>
      <c r="J346" s="32">
        <v>1047</v>
      </c>
      <c r="K346" s="32">
        <v>1080</v>
      </c>
      <c r="L346" s="32">
        <v>2062</v>
      </c>
      <c r="M346" s="33">
        <f t="shared" si="15"/>
        <v>4992</v>
      </c>
      <c r="N346" s="32">
        <v>593</v>
      </c>
      <c r="O346" s="32">
        <v>583</v>
      </c>
      <c r="P346" s="34">
        <v>796</v>
      </c>
      <c r="Q346" s="32">
        <v>1578</v>
      </c>
      <c r="R346" s="33">
        <f t="shared" si="16"/>
        <v>3550</v>
      </c>
    </row>
    <row r="347" spans="1:18" ht="15.75" customHeight="1" x14ac:dyDescent="0.3">
      <c r="A347" s="19">
        <v>29</v>
      </c>
      <c r="B347" s="20" t="s">
        <v>55</v>
      </c>
      <c r="C347" s="21">
        <v>46222</v>
      </c>
      <c r="D347" s="20" t="s">
        <v>39</v>
      </c>
      <c r="E347" s="20" t="s">
        <v>58</v>
      </c>
      <c r="F347" s="20" t="s">
        <v>41</v>
      </c>
      <c r="G347" s="20" t="s">
        <v>42</v>
      </c>
      <c r="H347" s="19" t="s">
        <v>31</v>
      </c>
      <c r="I347" s="32">
        <v>803</v>
      </c>
      <c r="J347" s="32">
        <v>1047</v>
      </c>
      <c r="K347" s="32">
        <v>1080</v>
      </c>
      <c r="L347" s="32">
        <v>2062</v>
      </c>
      <c r="M347" s="33">
        <f t="shared" si="15"/>
        <v>4992</v>
      </c>
      <c r="N347" s="32">
        <v>593</v>
      </c>
      <c r="O347" s="32">
        <v>583</v>
      </c>
      <c r="P347" s="34">
        <v>796</v>
      </c>
      <c r="Q347" s="32">
        <v>1578</v>
      </c>
      <c r="R347" s="33">
        <f t="shared" si="16"/>
        <v>3550</v>
      </c>
    </row>
    <row r="348" spans="1:18" ht="15.75" customHeight="1" x14ac:dyDescent="0.3">
      <c r="A348" s="19">
        <v>29</v>
      </c>
      <c r="B348" s="20" t="s">
        <v>55</v>
      </c>
      <c r="C348" s="21">
        <v>46222</v>
      </c>
      <c r="D348" s="20" t="s">
        <v>39</v>
      </c>
      <c r="E348" s="20" t="s">
        <v>44</v>
      </c>
      <c r="F348" s="20" t="s">
        <v>41</v>
      </c>
      <c r="G348" s="20" t="s">
        <v>42</v>
      </c>
      <c r="H348" s="19" t="s">
        <v>30</v>
      </c>
      <c r="I348" s="32">
        <v>534</v>
      </c>
      <c r="J348" s="32">
        <v>497</v>
      </c>
      <c r="K348" s="32">
        <v>698</v>
      </c>
      <c r="L348" s="32">
        <v>312</v>
      </c>
      <c r="M348" s="33">
        <f t="shared" si="15"/>
        <v>2041</v>
      </c>
      <c r="N348" s="32">
        <v>409</v>
      </c>
      <c r="O348" s="32">
        <v>347</v>
      </c>
      <c r="P348" s="34">
        <v>508</v>
      </c>
      <c r="Q348" s="32">
        <v>67</v>
      </c>
      <c r="R348" s="33">
        <f t="shared" si="16"/>
        <v>1331</v>
      </c>
    </row>
    <row r="349" spans="1:18" ht="15.75" customHeight="1" x14ac:dyDescent="0.3">
      <c r="A349" s="19">
        <v>29</v>
      </c>
      <c r="B349" s="20" t="s">
        <v>55</v>
      </c>
      <c r="C349" s="21">
        <v>46222</v>
      </c>
      <c r="D349" s="20" t="s">
        <v>39</v>
      </c>
      <c r="E349" s="20" t="s">
        <v>44</v>
      </c>
      <c r="F349" s="20" t="s">
        <v>41</v>
      </c>
      <c r="G349" s="20" t="s">
        <v>42</v>
      </c>
      <c r="H349" s="19" t="s">
        <v>30</v>
      </c>
      <c r="I349" s="32">
        <v>534</v>
      </c>
      <c r="J349" s="32">
        <v>497</v>
      </c>
      <c r="K349" s="32">
        <v>698</v>
      </c>
      <c r="L349" s="32">
        <v>312</v>
      </c>
      <c r="M349" s="33">
        <f t="shared" si="15"/>
        <v>2041</v>
      </c>
      <c r="N349" s="32">
        <v>409</v>
      </c>
      <c r="O349" s="32">
        <v>347</v>
      </c>
      <c r="P349" s="34">
        <v>508</v>
      </c>
      <c r="Q349" s="32">
        <v>67</v>
      </c>
      <c r="R349" s="33">
        <f t="shared" si="16"/>
        <v>1331</v>
      </c>
    </row>
    <row r="350" spans="1:18" ht="15.75" customHeight="1" x14ac:dyDescent="0.3">
      <c r="A350" s="19">
        <v>29</v>
      </c>
      <c r="B350" s="20" t="s">
        <v>55</v>
      </c>
      <c r="C350" s="21">
        <v>46222</v>
      </c>
      <c r="D350" s="20" t="s">
        <v>39</v>
      </c>
      <c r="E350" s="20" t="s">
        <v>56</v>
      </c>
      <c r="F350" s="20" t="s">
        <v>41</v>
      </c>
      <c r="G350" s="20" t="s">
        <v>42</v>
      </c>
      <c r="H350" s="19" t="s">
        <v>35</v>
      </c>
      <c r="I350" s="32">
        <v>1280</v>
      </c>
      <c r="J350" s="32">
        <v>1650</v>
      </c>
      <c r="K350" s="32">
        <v>1680</v>
      </c>
      <c r="L350" s="32">
        <v>1280</v>
      </c>
      <c r="M350" s="33">
        <f t="shared" si="15"/>
        <v>5890</v>
      </c>
      <c r="N350" s="32">
        <v>1100</v>
      </c>
      <c r="O350" s="32">
        <v>1440</v>
      </c>
      <c r="P350" s="34">
        <v>1480</v>
      </c>
      <c r="Q350" s="32">
        <v>920</v>
      </c>
      <c r="R350" s="33">
        <f t="shared" si="16"/>
        <v>4940</v>
      </c>
    </row>
    <row r="351" spans="1:18" ht="15.75" customHeight="1" x14ac:dyDescent="0.3">
      <c r="A351" s="19">
        <v>29</v>
      </c>
      <c r="B351" s="20" t="s">
        <v>55</v>
      </c>
      <c r="C351" s="21">
        <v>46222</v>
      </c>
      <c r="D351" s="20" t="s">
        <v>39</v>
      </c>
      <c r="E351" s="20" t="s">
        <v>43</v>
      </c>
      <c r="F351" s="20" t="s">
        <v>41</v>
      </c>
      <c r="G351" s="20" t="s">
        <v>42</v>
      </c>
      <c r="H351" s="19" t="s">
        <v>29</v>
      </c>
      <c r="I351" s="32">
        <v>1028</v>
      </c>
      <c r="J351" s="32">
        <v>1573</v>
      </c>
      <c r="K351" s="32">
        <v>1181</v>
      </c>
      <c r="L351" s="32">
        <v>2148</v>
      </c>
      <c r="M351" s="33">
        <f t="shared" si="15"/>
        <v>5930</v>
      </c>
      <c r="N351" s="32">
        <v>922</v>
      </c>
      <c r="O351" s="32">
        <v>1471</v>
      </c>
      <c r="P351" s="34">
        <v>1074</v>
      </c>
      <c r="Q351" s="32">
        <v>1957</v>
      </c>
      <c r="R351" s="33">
        <f t="shared" si="16"/>
        <v>5424</v>
      </c>
    </row>
    <row r="352" spans="1:18" ht="15.75" customHeight="1" x14ac:dyDescent="0.3">
      <c r="A352" s="19">
        <v>29</v>
      </c>
      <c r="B352" s="20" t="s">
        <v>55</v>
      </c>
      <c r="C352" s="21">
        <v>46222</v>
      </c>
      <c r="D352" s="20" t="s">
        <v>39</v>
      </c>
      <c r="E352" s="20" t="s">
        <v>43</v>
      </c>
      <c r="F352" s="20" t="s">
        <v>41</v>
      </c>
      <c r="G352" s="20" t="s">
        <v>42</v>
      </c>
      <c r="H352" s="19" t="s">
        <v>29</v>
      </c>
      <c r="I352" s="32">
        <v>922</v>
      </c>
      <c r="J352" s="32">
        <v>1471</v>
      </c>
      <c r="K352" s="32">
        <v>1074</v>
      </c>
      <c r="L352" s="32">
        <v>1957</v>
      </c>
      <c r="M352" s="33">
        <f t="shared" si="15"/>
        <v>5424</v>
      </c>
      <c r="N352" s="32">
        <v>810</v>
      </c>
      <c r="O352" s="32">
        <v>1363</v>
      </c>
      <c r="P352" s="34">
        <v>959</v>
      </c>
      <c r="Q352" s="32">
        <v>1756</v>
      </c>
      <c r="R352" s="33">
        <f t="shared" si="16"/>
        <v>4888</v>
      </c>
    </row>
    <row r="353" spans="1:18" ht="15.75" customHeight="1" x14ac:dyDescent="0.3">
      <c r="A353" s="19">
        <v>29</v>
      </c>
      <c r="B353" s="20" t="s">
        <v>55</v>
      </c>
      <c r="C353" s="21">
        <v>46222</v>
      </c>
      <c r="D353" s="20" t="s">
        <v>39</v>
      </c>
      <c r="E353" s="20" t="s">
        <v>56</v>
      </c>
      <c r="F353" s="20" t="s">
        <v>41</v>
      </c>
      <c r="G353" s="20" t="s">
        <v>42</v>
      </c>
      <c r="H353" s="19" t="s">
        <v>57</v>
      </c>
      <c r="I353" s="32">
        <v>185</v>
      </c>
      <c r="J353" s="32">
        <v>350</v>
      </c>
      <c r="K353" s="32">
        <v>700</v>
      </c>
      <c r="L353" s="32">
        <v>1580</v>
      </c>
      <c r="M353" s="33">
        <f t="shared" si="15"/>
        <v>2815</v>
      </c>
      <c r="N353" s="32">
        <v>97</v>
      </c>
      <c r="O353" s="32">
        <v>265</v>
      </c>
      <c r="P353" s="34">
        <v>610</v>
      </c>
      <c r="Q353" s="32">
        <v>1483</v>
      </c>
      <c r="R353" s="33">
        <f t="shared" si="16"/>
        <v>2455</v>
      </c>
    </row>
    <row r="354" spans="1:18" ht="15.75" customHeight="1" x14ac:dyDescent="0.3">
      <c r="A354" s="19">
        <v>29</v>
      </c>
      <c r="B354" s="20" t="s">
        <v>55</v>
      </c>
      <c r="C354" s="21">
        <v>46222</v>
      </c>
      <c r="D354" s="20" t="s">
        <v>39</v>
      </c>
      <c r="E354" s="20" t="s">
        <v>40</v>
      </c>
      <c r="F354" s="20" t="s">
        <v>41</v>
      </c>
      <c r="G354" s="20" t="s">
        <v>42</v>
      </c>
      <c r="H354" s="19" t="s">
        <v>34</v>
      </c>
      <c r="I354" s="32">
        <v>185</v>
      </c>
      <c r="J354" s="32">
        <v>320</v>
      </c>
      <c r="K354" s="32">
        <v>265</v>
      </c>
      <c r="L354" s="32">
        <v>250</v>
      </c>
      <c r="M354" s="33">
        <f t="shared" si="15"/>
        <v>1020</v>
      </c>
      <c r="N354" s="32">
        <v>150</v>
      </c>
      <c r="O354" s="32">
        <v>280</v>
      </c>
      <c r="P354" s="34">
        <v>225</v>
      </c>
      <c r="Q354" s="32">
        <v>100</v>
      </c>
      <c r="R354" s="33">
        <f t="shared" si="16"/>
        <v>755</v>
      </c>
    </row>
    <row r="355" spans="1:18" ht="15.75" customHeight="1" x14ac:dyDescent="0.3">
      <c r="A355" s="19">
        <v>29</v>
      </c>
      <c r="B355" s="20" t="s">
        <v>55</v>
      </c>
      <c r="C355" s="21">
        <v>46222</v>
      </c>
      <c r="D355" s="20" t="s">
        <v>39</v>
      </c>
      <c r="E355" s="20" t="s">
        <v>43</v>
      </c>
      <c r="F355" s="20" t="s">
        <v>41</v>
      </c>
      <c r="G355" s="20" t="s">
        <v>42</v>
      </c>
      <c r="H355" s="19" t="s">
        <v>32</v>
      </c>
      <c r="I355" s="32">
        <v>515</v>
      </c>
      <c r="J355" s="32">
        <v>675</v>
      </c>
      <c r="K355" s="32">
        <v>417</v>
      </c>
      <c r="L355" s="32">
        <v>1245</v>
      </c>
      <c r="M355" s="33">
        <f t="shared" si="15"/>
        <v>2852</v>
      </c>
      <c r="N355" s="32">
        <v>495</v>
      </c>
      <c r="O355" s="32">
        <v>625</v>
      </c>
      <c r="P355" s="34">
        <v>382</v>
      </c>
      <c r="Q355" s="32">
        <v>1140</v>
      </c>
      <c r="R355" s="33">
        <f t="shared" si="16"/>
        <v>2642</v>
      </c>
    </row>
    <row r="356" spans="1:18" ht="15.75" customHeight="1" x14ac:dyDescent="0.3">
      <c r="A356" s="19">
        <v>29</v>
      </c>
      <c r="B356" s="20" t="s">
        <v>55</v>
      </c>
      <c r="C356" s="21">
        <v>46220</v>
      </c>
      <c r="D356" s="20" t="s">
        <v>39</v>
      </c>
      <c r="E356" s="20" t="s">
        <v>56</v>
      </c>
      <c r="F356" s="20" t="s">
        <v>41</v>
      </c>
      <c r="G356" s="20" t="s">
        <v>42</v>
      </c>
      <c r="H356" s="19" t="s">
        <v>57</v>
      </c>
      <c r="I356" s="32">
        <v>140</v>
      </c>
      <c r="J356" s="32">
        <v>200</v>
      </c>
      <c r="K356" s="32">
        <v>250</v>
      </c>
      <c r="L356" s="32">
        <v>350</v>
      </c>
      <c r="M356" s="33">
        <f t="shared" si="15"/>
        <v>940</v>
      </c>
      <c r="N356" s="32">
        <v>93</v>
      </c>
      <c r="O356" s="32">
        <v>141</v>
      </c>
      <c r="P356" s="34">
        <v>187</v>
      </c>
      <c r="Q356" s="32">
        <v>261</v>
      </c>
      <c r="R356" s="33">
        <f t="shared" si="16"/>
        <v>682</v>
      </c>
    </row>
    <row r="357" spans="1:18" ht="15.75" customHeight="1" x14ac:dyDescent="0.3">
      <c r="A357" s="19">
        <v>29</v>
      </c>
      <c r="B357" s="20" t="s">
        <v>55</v>
      </c>
      <c r="C357" s="21">
        <v>46220</v>
      </c>
      <c r="D357" s="20" t="s">
        <v>39</v>
      </c>
      <c r="E357" s="20" t="s">
        <v>40</v>
      </c>
      <c r="F357" s="20" t="s">
        <v>41</v>
      </c>
      <c r="G357" s="20" t="s">
        <v>42</v>
      </c>
      <c r="H357" s="19" t="s">
        <v>34</v>
      </c>
      <c r="I357" s="32">
        <v>250</v>
      </c>
      <c r="J357" s="32">
        <v>400</v>
      </c>
      <c r="K357" s="32">
        <v>350</v>
      </c>
      <c r="L357" s="32">
        <v>450</v>
      </c>
      <c r="M357" s="33">
        <f t="shared" si="15"/>
        <v>1450</v>
      </c>
      <c r="N357" s="32">
        <v>215</v>
      </c>
      <c r="O357" s="32">
        <v>365</v>
      </c>
      <c r="P357" s="34">
        <v>310</v>
      </c>
      <c r="Q357" s="32">
        <v>370</v>
      </c>
      <c r="R357" s="33">
        <f t="shared" si="16"/>
        <v>1260</v>
      </c>
    </row>
    <row r="358" spans="1:18" ht="15.75" customHeight="1" x14ac:dyDescent="0.3">
      <c r="A358" s="19">
        <v>29</v>
      </c>
      <c r="B358" s="20" t="s">
        <v>55</v>
      </c>
      <c r="C358" s="21">
        <v>46221</v>
      </c>
      <c r="D358" s="20" t="s">
        <v>39</v>
      </c>
      <c r="E358" s="20" t="s">
        <v>56</v>
      </c>
      <c r="F358" s="20" t="s">
        <v>41</v>
      </c>
      <c r="G358" s="20" t="s">
        <v>42</v>
      </c>
      <c r="H358" s="19" t="s">
        <v>57</v>
      </c>
      <c r="I358" s="32">
        <v>140</v>
      </c>
      <c r="J358" s="32">
        <v>200</v>
      </c>
      <c r="K358" s="32">
        <v>250</v>
      </c>
      <c r="L358" s="32">
        <v>350</v>
      </c>
      <c r="M358" s="33">
        <f t="shared" si="15"/>
        <v>940</v>
      </c>
      <c r="N358" s="32">
        <v>71</v>
      </c>
      <c r="O358" s="32">
        <v>135</v>
      </c>
      <c r="P358" s="34">
        <v>174</v>
      </c>
      <c r="Q358" s="32">
        <v>256</v>
      </c>
      <c r="R358" s="33">
        <f t="shared" si="16"/>
        <v>636</v>
      </c>
    </row>
    <row r="359" spans="1:18" ht="15.75" customHeight="1" x14ac:dyDescent="0.3">
      <c r="A359" s="19">
        <v>29</v>
      </c>
      <c r="B359" s="20" t="s">
        <v>55</v>
      </c>
      <c r="C359" s="21">
        <v>46222</v>
      </c>
      <c r="D359" s="20" t="s">
        <v>39</v>
      </c>
      <c r="E359" s="20" t="s">
        <v>56</v>
      </c>
      <c r="F359" s="20" t="s">
        <v>41</v>
      </c>
      <c r="G359" s="20" t="s">
        <v>42</v>
      </c>
      <c r="H359" s="19" t="s">
        <v>35</v>
      </c>
      <c r="I359" s="32">
        <v>1280</v>
      </c>
      <c r="J359" s="32">
        <v>1650</v>
      </c>
      <c r="K359" s="32">
        <v>1680</v>
      </c>
      <c r="L359" s="32">
        <v>1280</v>
      </c>
      <c r="M359" s="33">
        <f t="shared" si="15"/>
        <v>5890</v>
      </c>
      <c r="N359" s="32">
        <v>1100</v>
      </c>
      <c r="O359" s="32">
        <v>1440</v>
      </c>
      <c r="P359" s="34">
        <v>1480</v>
      </c>
      <c r="Q359" s="32">
        <v>920</v>
      </c>
      <c r="R359" s="33">
        <f t="shared" si="16"/>
        <v>4940</v>
      </c>
    </row>
    <row r="360" spans="1:18" ht="15.75" customHeight="1" x14ac:dyDescent="0.3">
      <c r="A360" s="19">
        <v>29</v>
      </c>
      <c r="B360" s="20" t="s">
        <v>55</v>
      </c>
      <c r="C360" s="21">
        <v>46222</v>
      </c>
      <c r="D360" s="20" t="s">
        <v>39</v>
      </c>
      <c r="E360" s="20" t="s">
        <v>56</v>
      </c>
      <c r="F360" s="20" t="s">
        <v>41</v>
      </c>
      <c r="G360" s="20" t="s">
        <v>42</v>
      </c>
      <c r="H360" s="19" t="s">
        <v>57</v>
      </c>
      <c r="I360" s="32">
        <v>185</v>
      </c>
      <c r="J360" s="32">
        <v>350</v>
      </c>
      <c r="K360" s="32">
        <v>700</v>
      </c>
      <c r="L360" s="32">
        <v>1580</v>
      </c>
      <c r="M360" s="33">
        <f t="shared" si="15"/>
        <v>2815</v>
      </c>
      <c r="N360" s="32">
        <v>97</v>
      </c>
      <c r="O360" s="32">
        <v>265</v>
      </c>
      <c r="P360" s="34">
        <v>610</v>
      </c>
      <c r="Q360" s="32">
        <v>1483</v>
      </c>
      <c r="R360" s="33">
        <f t="shared" si="16"/>
        <v>2455</v>
      </c>
    </row>
    <row r="361" spans="1:18" ht="15.75" customHeight="1" x14ac:dyDescent="0.3">
      <c r="A361" s="19">
        <v>29</v>
      </c>
      <c r="B361" s="20" t="s">
        <v>55</v>
      </c>
      <c r="C361" s="21">
        <v>46222</v>
      </c>
      <c r="D361" s="20" t="s">
        <v>39</v>
      </c>
      <c r="E361" s="20" t="s">
        <v>40</v>
      </c>
      <c r="F361" s="20" t="s">
        <v>41</v>
      </c>
      <c r="G361" s="20" t="s">
        <v>42</v>
      </c>
      <c r="H361" s="19" t="s">
        <v>34</v>
      </c>
      <c r="I361" s="32">
        <v>185</v>
      </c>
      <c r="J361" s="32">
        <v>320</v>
      </c>
      <c r="K361" s="32">
        <v>265</v>
      </c>
      <c r="L361" s="32">
        <v>250</v>
      </c>
      <c r="M361" s="33">
        <f t="shared" si="15"/>
        <v>1020</v>
      </c>
      <c r="N361" s="32">
        <v>150</v>
      </c>
      <c r="O361" s="32">
        <v>280</v>
      </c>
      <c r="P361" s="34">
        <v>225</v>
      </c>
      <c r="Q361" s="32">
        <v>100</v>
      </c>
      <c r="R361" s="33">
        <f t="shared" si="16"/>
        <v>755</v>
      </c>
    </row>
    <row r="362" spans="1:18" ht="15.75" customHeight="1" x14ac:dyDescent="0.3">
      <c r="A362" s="19">
        <v>29</v>
      </c>
      <c r="B362" s="20" t="s">
        <v>55</v>
      </c>
      <c r="C362" s="21">
        <v>46220</v>
      </c>
      <c r="D362" s="20" t="s">
        <v>59</v>
      </c>
      <c r="E362" s="20" t="s">
        <v>60</v>
      </c>
      <c r="F362" s="20" t="s">
        <v>61</v>
      </c>
      <c r="G362" s="20" t="s">
        <v>42</v>
      </c>
      <c r="H362" s="19" t="s">
        <v>33</v>
      </c>
      <c r="I362" s="32">
        <v>219</v>
      </c>
      <c r="J362" s="32">
        <v>1159</v>
      </c>
      <c r="K362" s="32">
        <v>283</v>
      </c>
      <c r="L362" s="32">
        <v>1313</v>
      </c>
      <c r="M362" s="33">
        <f t="shared" si="15"/>
        <v>2974</v>
      </c>
      <c r="N362" s="32">
        <v>196</v>
      </c>
      <c r="O362" s="32">
        <v>1111</v>
      </c>
      <c r="P362" s="34">
        <v>224</v>
      </c>
      <c r="Q362" s="32">
        <v>826</v>
      </c>
      <c r="R362" s="33">
        <f t="shared" si="16"/>
        <v>2357</v>
      </c>
    </row>
    <row r="363" spans="1:18" ht="15.75" customHeight="1" x14ac:dyDescent="0.3">
      <c r="A363" s="19">
        <v>29</v>
      </c>
      <c r="B363" s="20" t="s">
        <v>55</v>
      </c>
      <c r="C363" s="21">
        <v>46220</v>
      </c>
      <c r="D363" s="20" t="s">
        <v>59</v>
      </c>
      <c r="E363" s="20" t="s">
        <v>62</v>
      </c>
      <c r="F363" s="20" t="s">
        <v>61</v>
      </c>
      <c r="G363" s="20" t="s">
        <v>42</v>
      </c>
      <c r="H363" s="56" t="s">
        <v>38</v>
      </c>
      <c r="I363" s="32">
        <v>1040</v>
      </c>
      <c r="J363" s="32">
        <v>1400</v>
      </c>
      <c r="K363" s="32">
        <v>1120</v>
      </c>
      <c r="L363" s="32">
        <v>2720</v>
      </c>
      <c r="M363" s="33">
        <f t="shared" si="15"/>
        <v>6280</v>
      </c>
      <c r="N363" s="32">
        <v>948</v>
      </c>
      <c r="O363" s="32">
        <v>1344</v>
      </c>
      <c r="P363" s="34">
        <v>1048</v>
      </c>
      <c r="Q363" s="32">
        <v>2544</v>
      </c>
      <c r="R363" s="33">
        <f t="shared" si="16"/>
        <v>5884</v>
      </c>
    </row>
    <row r="364" spans="1:18" ht="15.75" customHeight="1" x14ac:dyDescent="0.3">
      <c r="A364" s="19">
        <v>29</v>
      </c>
      <c r="B364" s="20" t="s">
        <v>55</v>
      </c>
      <c r="C364" s="21">
        <v>46220</v>
      </c>
      <c r="D364" s="20" t="s">
        <v>59</v>
      </c>
      <c r="E364" s="20" t="s">
        <v>62</v>
      </c>
      <c r="F364" s="20" t="s">
        <v>61</v>
      </c>
      <c r="G364" s="20" t="s">
        <v>42</v>
      </c>
      <c r="H364" s="56" t="s">
        <v>38</v>
      </c>
      <c r="I364" s="32">
        <v>1040</v>
      </c>
      <c r="J364" s="32">
        <v>1400</v>
      </c>
      <c r="K364" s="32">
        <v>1120</v>
      </c>
      <c r="L364" s="32">
        <v>2720</v>
      </c>
      <c r="M364" s="33">
        <f t="shared" si="15"/>
        <v>6280</v>
      </c>
      <c r="N364" s="32">
        <v>948</v>
      </c>
      <c r="O364" s="32">
        <v>1344</v>
      </c>
      <c r="P364" s="34">
        <v>1048</v>
      </c>
      <c r="Q364" s="32">
        <v>2544</v>
      </c>
      <c r="R364" s="33">
        <f t="shared" si="16"/>
        <v>5884</v>
      </c>
    </row>
    <row r="365" spans="1:18" ht="15.75" customHeight="1" x14ac:dyDescent="0.3">
      <c r="A365" s="19">
        <v>29</v>
      </c>
      <c r="B365" s="20" t="s">
        <v>55</v>
      </c>
      <c r="C365" s="21">
        <v>46220</v>
      </c>
      <c r="D365" s="20" t="s">
        <v>59</v>
      </c>
      <c r="E365" s="20" t="s">
        <v>63</v>
      </c>
      <c r="F365" s="20" t="s">
        <v>61</v>
      </c>
      <c r="G365" s="20" t="s">
        <v>42</v>
      </c>
      <c r="H365" s="56" t="s">
        <v>37</v>
      </c>
      <c r="I365" s="32">
        <v>1560</v>
      </c>
      <c r="J365" s="32">
        <v>3920</v>
      </c>
      <c r="K365" s="32">
        <v>2120</v>
      </c>
      <c r="L365" s="32">
        <v>2480</v>
      </c>
      <c r="M365" s="33">
        <f t="shared" si="15"/>
        <v>10080</v>
      </c>
      <c r="N365" s="32">
        <v>1513</v>
      </c>
      <c r="O365" s="32">
        <v>3648</v>
      </c>
      <c r="P365" s="34">
        <v>2000</v>
      </c>
      <c r="Q365" s="32">
        <v>2119</v>
      </c>
      <c r="R365" s="33">
        <f t="shared" si="16"/>
        <v>9280</v>
      </c>
    </row>
    <row r="366" spans="1:18" ht="15.75" customHeight="1" x14ac:dyDescent="0.3">
      <c r="A366" s="19">
        <v>29</v>
      </c>
      <c r="B366" s="20" t="s">
        <v>55</v>
      </c>
      <c r="C366" s="21">
        <v>46220</v>
      </c>
      <c r="D366" s="20" t="s">
        <v>59</v>
      </c>
      <c r="E366" s="20" t="s">
        <v>63</v>
      </c>
      <c r="F366" s="20" t="s">
        <v>61</v>
      </c>
      <c r="G366" s="20" t="s">
        <v>42</v>
      </c>
      <c r="H366" s="56" t="s">
        <v>37</v>
      </c>
      <c r="I366" s="32">
        <v>1560</v>
      </c>
      <c r="J366" s="32">
        <v>3920</v>
      </c>
      <c r="K366" s="32">
        <v>2120</v>
      </c>
      <c r="L366" s="32">
        <v>2480</v>
      </c>
      <c r="M366" s="33">
        <f t="shared" si="15"/>
        <v>10080</v>
      </c>
      <c r="N366" s="32">
        <v>1513</v>
      </c>
      <c r="O366" s="32">
        <v>3648</v>
      </c>
      <c r="P366" s="34">
        <v>2000</v>
      </c>
      <c r="Q366" s="32">
        <v>2119</v>
      </c>
      <c r="R366" s="33">
        <f t="shared" si="16"/>
        <v>9280</v>
      </c>
    </row>
    <row r="367" spans="1:18" ht="15.75" customHeight="1" x14ac:dyDescent="0.3">
      <c r="A367" s="19">
        <v>29</v>
      </c>
      <c r="B367" s="20" t="s">
        <v>55</v>
      </c>
      <c r="C367" s="21">
        <v>46220</v>
      </c>
      <c r="D367" s="20" t="s">
        <v>59</v>
      </c>
      <c r="E367" s="20" t="s">
        <v>63</v>
      </c>
      <c r="F367" s="20" t="s">
        <v>61</v>
      </c>
      <c r="G367" s="20" t="s">
        <v>42</v>
      </c>
      <c r="H367" s="19" t="s">
        <v>36</v>
      </c>
      <c r="I367" s="32">
        <v>480</v>
      </c>
      <c r="J367" s="32">
        <v>3160</v>
      </c>
      <c r="K367" s="32">
        <v>1520</v>
      </c>
      <c r="L367" s="32">
        <v>3640</v>
      </c>
      <c r="M367" s="33">
        <f t="shared" si="15"/>
        <v>8800</v>
      </c>
      <c r="N367" s="32">
        <v>400</v>
      </c>
      <c r="O367" s="32">
        <v>3320</v>
      </c>
      <c r="P367" s="34">
        <v>1600</v>
      </c>
      <c r="Q367" s="32">
        <v>4560</v>
      </c>
      <c r="R367" s="33">
        <f t="shared" si="16"/>
        <v>9880</v>
      </c>
    </row>
    <row r="368" spans="1:18" ht="15.75" customHeight="1" x14ac:dyDescent="0.3">
      <c r="A368" s="19">
        <v>29</v>
      </c>
      <c r="B368" s="20" t="s">
        <v>55</v>
      </c>
      <c r="C368" s="21">
        <v>46220</v>
      </c>
      <c r="D368" s="20" t="s">
        <v>59</v>
      </c>
      <c r="E368" s="20" t="s">
        <v>63</v>
      </c>
      <c r="F368" s="20" t="s">
        <v>61</v>
      </c>
      <c r="G368" s="20" t="s">
        <v>42</v>
      </c>
      <c r="H368" s="19" t="s">
        <v>36</v>
      </c>
      <c r="I368" s="32">
        <v>480</v>
      </c>
      <c r="J368" s="32">
        <v>3160</v>
      </c>
      <c r="K368" s="32">
        <v>1520</v>
      </c>
      <c r="L368" s="32">
        <v>3640</v>
      </c>
      <c r="M368" s="33">
        <f t="shared" si="15"/>
        <v>8800</v>
      </c>
      <c r="N368" s="32">
        <v>400</v>
      </c>
      <c r="O368" s="32">
        <v>3320</v>
      </c>
      <c r="P368" s="34">
        <v>1600</v>
      </c>
      <c r="Q368" s="32">
        <v>4560</v>
      </c>
      <c r="R368" s="33">
        <f t="shared" si="16"/>
        <v>9880</v>
      </c>
    </row>
    <row r="369" spans="1:18" ht="15.75" customHeight="1" x14ac:dyDescent="0.3">
      <c r="A369" s="19">
        <v>29</v>
      </c>
      <c r="B369" s="20" t="s">
        <v>55</v>
      </c>
      <c r="C369" s="21">
        <v>46221</v>
      </c>
      <c r="D369" s="20" t="s">
        <v>59</v>
      </c>
      <c r="E369" s="20" t="s">
        <v>60</v>
      </c>
      <c r="F369" s="20" t="s">
        <v>61</v>
      </c>
      <c r="G369" s="20" t="s">
        <v>42</v>
      </c>
      <c r="H369" s="19" t="s">
        <v>33</v>
      </c>
      <c r="I369" s="32">
        <v>196</v>
      </c>
      <c r="J369" s="32">
        <v>1111</v>
      </c>
      <c r="K369" s="32">
        <v>224</v>
      </c>
      <c r="L369" s="32">
        <v>826</v>
      </c>
      <c r="M369" s="33">
        <f t="shared" si="15"/>
        <v>2357</v>
      </c>
      <c r="N369" s="32">
        <v>165</v>
      </c>
      <c r="O369" s="32">
        <v>1021</v>
      </c>
      <c r="P369" s="34">
        <v>171</v>
      </c>
      <c r="Q369" s="32">
        <v>631</v>
      </c>
      <c r="R369" s="33">
        <f t="shared" si="16"/>
        <v>1988</v>
      </c>
    </row>
    <row r="370" spans="1:18" ht="15.75" customHeight="1" x14ac:dyDescent="0.3">
      <c r="A370" s="19">
        <v>29</v>
      </c>
      <c r="B370" s="20" t="s">
        <v>55</v>
      </c>
      <c r="C370" s="21">
        <v>46221</v>
      </c>
      <c r="D370" s="20" t="s">
        <v>59</v>
      </c>
      <c r="E370" s="20" t="s">
        <v>60</v>
      </c>
      <c r="F370" s="20" t="s">
        <v>61</v>
      </c>
      <c r="G370" s="20" t="s">
        <v>42</v>
      </c>
      <c r="H370" s="19" t="s">
        <v>33</v>
      </c>
      <c r="I370" s="32">
        <v>196</v>
      </c>
      <c r="J370" s="32">
        <v>1111</v>
      </c>
      <c r="K370" s="32">
        <v>224</v>
      </c>
      <c r="L370" s="32">
        <v>826</v>
      </c>
      <c r="M370" s="33">
        <f t="shared" si="15"/>
        <v>2357</v>
      </c>
      <c r="N370" s="32">
        <v>165</v>
      </c>
      <c r="O370" s="32">
        <v>1021</v>
      </c>
      <c r="P370" s="34">
        <v>171</v>
      </c>
      <c r="Q370" s="32">
        <v>631</v>
      </c>
      <c r="R370" s="33">
        <f t="shared" si="16"/>
        <v>1988</v>
      </c>
    </row>
    <row r="371" spans="1:18" ht="15.75" customHeight="1" x14ac:dyDescent="0.3">
      <c r="A371" s="19">
        <v>29</v>
      </c>
      <c r="B371" s="20" t="s">
        <v>55</v>
      </c>
      <c r="C371" s="21">
        <v>46221</v>
      </c>
      <c r="D371" s="20" t="s">
        <v>59</v>
      </c>
      <c r="E371" s="20" t="s">
        <v>63</v>
      </c>
      <c r="F371" s="20" t="s">
        <v>61</v>
      </c>
      <c r="G371" s="20" t="s">
        <v>42</v>
      </c>
      <c r="H371" s="56" t="s">
        <v>37</v>
      </c>
      <c r="I371" s="32">
        <v>1513</v>
      </c>
      <c r="J371" s="32">
        <v>3648</v>
      </c>
      <c r="K371" s="32">
        <v>2000</v>
      </c>
      <c r="L371" s="32">
        <v>2119</v>
      </c>
      <c r="M371" s="33">
        <f t="shared" si="15"/>
        <v>9280</v>
      </c>
      <c r="N371" s="32">
        <v>1431</v>
      </c>
      <c r="O371" s="32">
        <v>3367</v>
      </c>
      <c r="P371" s="34">
        <v>1881</v>
      </c>
      <c r="Q371" s="32">
        <v>1799</v>
      </c>
      <c r="R371" s="33">
        <f t="shared" si="16"/>
        <v>8478</v>
      </c>
    </row>
    <row r="372" spans="1:18" ht="15.75" customHeight="1" x14ac:dyDescent="0.3">
      <c r="A372" s="19">
        <v>29</v>
      </c>
      <c r="B372" s="20" t="s">
        <v>55</v>
      </c>
      <c r="C372" s="21">
        <v>46221</v>
      </c>
      <c r="D372" s="20" t="s">
        <v>59</v>
      </c>
      <c r="E372" s="20" t="s">
        <v>63</v>
      </c>
      <c r="F372" s="20" t="s">
        <v>61</v>
      </c>
      <c r="G372" s="20" t="s">
        <v>42</v>
      </c>
      <c r="H372" s="56" t="s">
        <v>37</v>
      </c>
      <c r="I372" s="32">
        <v>1513</v>
      </c>
      <c r="J372" s="32">
        <v>3648</v>
      </c>
      <c r="K372" s="32">
        <v>2000</v>
      </c>
      <c r="L372" s="32">
        <v>2119</v>
      </c>
      <c r="M372" s="33">
        <f t="shared" si="15"/>
        <v>9280</v>
      </c>
      <c r="N372" s="32">
        <v>1431</v>
      </c>
      <c r="O372" s="32">
        <v>3367</v>
      </c>
      <c r="P372" s="34">
        <v>1881</v>
      </c>
      <c r="Q372" s="32">
        <v>1799</v>
      </c>
      <c r="R372" s="33">
        <f t="shared" si="16"/>
        <v>8478</v>
      </c>
    </row>
    <row r="373" spans="1:18" ht="15.75" customHeight="1" x14ac:dyDescent="0.3">
      <c r="A373" s="19">
        <v>29</v>
      </c>
      <c r="B373" s="20" t="s">
        <v>55</v>
      </c>
      <c r="C373" s="21">
        <v>46221</v>
      </c>
      <c r="D373" s="20" t="s">
        <v>59</v>
      </c>
      <c r="E373" s="20" t="s">
        <v>63</v>
      </c>
      <c r="F373" s="20" t="s">
        <v>61</v>
      </c>
      <c r="G373" s="20" t="s">
        <v>42</v>
      </c>
      <c r="H373" s="19" t="s">
        <v>36</v>
      </c>
      <c r="I373" s="32">
        <v>400</v>
      </c>
      <c r="J373" s="32">
        <v>3320</v>
      </c>
      <c r="K373" s="32">
        <v>1600</v>
      </c>
      <c r="L373" s="32">
        <v>4560</v>
      </c>
      <c r="M373" s="33">
        <f t="shared" si="15"/>
        <v>9880</v>
      </c>
      <c r="N373" s="32">
        <v>320</v>
      </c>
      <c r="O373" s="32">
        <v>3120</v>
      </c>
      <c r="P373" s="34">
        <v>1480</v>
      </c>
      <c r="Q373" s="32">
        <v>4280</v>
      </c>
      <c r="R373" s="33">
        <f t="shared" si="16"/>
        <v>9200</v>
      </c>
    </row>
    <row r="374" spans="1:18" ht="15.75" customHeight="1" x14ac:dyDescent="0.3">
      <c r="A374" s="19">
        <v>29</v>
      </c>
      <c r="B374" s="20" t="s">
        <v>55</v>
      </c>
      <c r="C374" s="21">
        <v>46221</v>
      </c>
      <c r="D374" s="20" t="s">
        <v>59</v>
      </c>
      <c r="E374" s="20" t="s">
        <v>63</v>
      </c>
      <c r="F374" s="20" t="s">
        <v>61</v>
      </c>
      <c r="G374" s="20" t="s">
        <v>42</v>
      </c>
      <c r="H374" s="19" t="s">
        <v>36</v>
      </c>
      <c r="I374" s="32">
        <v>400</v>
      </c>
      <c r="J374" s="32">
        <v>3320</v>
      </c>
      <c r="K374" s="32">
        <v>1600</v>
      </c>
      <c r="L374" s="32">
        <v>4560</v>
      </c>
      <c r="M374" s="33">
        <f t="shared" si="15"/>
        <v>9880</v>
      </c>
      <c r="N374" s="32">
        <v>320</v>
      </c>
      <c r="O374" s="32">
        <v>3120</v>
      </c>
      <c r="P374" s="34">
        <v>1480</v>
      </c>
      <c r="Q374" s="32">
        <v>4280</v>
      </c>
      <c r="R374" s="33">
        <f t="shared" si="16"/>
        <v>9200</v>
      </c>
    </row>
    <row r="375" spans="1:18" ht="15.75" customHeight="1" x14ac:dyDescent="0.3">
      <c r="A375" s="19">
        <v>29</v>
      </c>
      <c r="B375" s="20" t="s">
        <v>55</v>
      </c>
      <c r="C375" s="21">
        <v>46221</v>
      </c>
      <c r="D375" s="20" t="s">
        <v>59</v>
      </c>
      <c r="E375" s="20" t="s">
        <v>62</v>
      </c>
      <c r="F375" s="20" t="s">
        <v>61</v>
      </c>
      <c r="G375" s="20" t="s">
        <v>42</v>
      </c>
      <c r="H375" s="56" t="s">
        <v>38</v>
      </c>
      <c r="I375" s="32">
        <v>1040</v>
      </c>
      <c r="J375" s="32">
        <v>1400</v>
      </c>
      <c r="K375" s="32">
        <v>1120</v>
      </c>
      <c r="L375" s="32">
        <v>2720</v>
      </c>
      <c r="M375" s="33">
        <f t="shared" si="15"/>
        <v>6280</v>
      </c>
      <c r="N375" s="32">
        <v>845</v>
      </c>
      <c r="O375" s="32">
        <v>1303</v>
      </c>
      <c r="P375" s="34">
        <v>994</v>
      </c>
      <c r="Q375" s="32">
        <v>2410</v>
      </c>
      <c r="R375" s="33">
        <f t="shared" si="16"/>
        <v>5552</v>
      </c>
    </row>
    <row r="376" spans="1:18" ht="15.75" customHeight="1" x14ac:dyDescent="0.3">
      <c r="A376" s="19">
        <v>29</v>
      </c>
      <c r="B376" s="20" t="s">
        <v>55</v>
      </c>
      <c r="C376" s="21">
        <v>46221</v>
      </c>
      <c r="D376" s="20" t="s">
        <v>59</v>
      </c>
      <c r="E376" s="20" t="s">
        <v>62</v>
      </c>
      <c r="F376" s="20" t="s">
        <v>61</v>
      </c>
      <c r="G376" s="20" t="s">
        <v>42</v>
      </c>
      <c r="H376" s="56" t="s">
        <v>38</v>
      </c>
      <c r="I376" s="32">
        <v>1040</v>
      </c>
      <c r="J376" s="32">
        <v>1400</v>
      </c>
      <c r="K376" s="32">
        <v>1120</v>
      </c>
      <c r="L376" s="32">
        <v>2720</v>
      </c>
      <c r="M376" s="33">
        <f t="shared" si="15"/>
        <v>6280</v>
      </c>
      <c r="N376" s="32">
        <v>845</v>
      </c>
      <c r="O376" s="32">
        <v>1303</v>
      </c>
      <c r="P376" s="34">
        <v>994</v>
      </c>
      <c r="Q376" s="32">
        <v>2410</v>
      </c>
      <c r="R376" s="33">
        <f t="shared" si="16"/>
        <v>5552</v>
      </c>
    </row>
    <row r="377" spans="1:18" ht="15.75" customHeight="1" x14ac:dyDescent="0.3">
      <c r="A377" s="19">
        <v>29</v>
      </c>
      <c r="B377" s="20" t="s">
        <v>55</v>
      </c>
      <c r="C377" s="21">
        <v>46222</v>
      </c>
      <c r="D377" s="20" t="s">
        <v>59</v>
      </c>
      <c r="E377" s="20" t="s">
        <v>63</v>
      </c>
      <c r="F377" s="20" t="s">
        <v>61</v>
      </c>
      <c r="G377" s="20" t="s">
        <v>42</v>
      </c>
      <c r="H377" s="19" t="s">
        <v>36</v>
      </c>
      <c r="I377" s="32">
        <v>320</v>
      </c>
      <c r="J377" s="32">
        <v>3120</v>
      </c>
      <c r="K377" s="32">
        <v>1480</v>
      </c>
      <c r="L377" s="32">
        <v>4280</v>
      </c>
      <c r="M377" s="33">
        <f t="shared" si="15"/>
        <v>9200</v>
      </c>
      <c r="N377" s="32">
        <v>160</v>
      </c>
      <c r="O377" s="32">
        <v>2917</v>
      </c>
      <c r="P377" s="34">
        <v>1400</v>
      </c>
      <c r="Q377" s="32">
        <v>3993</v>
      </c>
      <c r="R377" s="33">
        <f t="shared" si="16"/>
        <v>8470</v>
      </c>
    </row>
    <row r="378" spans="1:18" ht="15.75" customHeight="1" x14ac:dyDescent="0.3">
      <c r="A378" s="19">
        <v>29</v>
      </c>
      <c r="B378" s="20" t="s">
        <v>55</v>
      </c>
      <c r="C378" s="21">
        <v>46222</v>
      </c>
      <c r="D378" s="20" t="s">
        <v>59</v>
      </c>
      <c r="E378" s="20" t="s">
        <v>63</v>
      </c>
      <c r="F378" s="20" t="s">
        <v>61</v>
      </c>
      <c r="G378" s="20" t="s">
        <v>42</v>
      </c>
      <c r="H378" s="19" t="s">
        <v>36</v>
      </c>
      <c r="I378" s="32">
        <v>320</v>
      </c>
      <c r="J378" s="32">
        <v>3120</v>
      </c>
      <c r="K378" s="32">
        <v>1480</v>
      </c>
      <c r="L378" s="32">
        <v>4280</v>
      </c>
      <c r="M378" s="33">
        <f t="shared" si="15"/>
        <v>9200</v>
      </c>
      <c r="N378" s="32">
        <v>160</v>
      </c>
      <c r="O378" s="32">
        <v>2917</v>
      </c>
      <c r="P378" s="34">
        <v>1400</v>
      </c>
      <c r="Q378" s="32">
        <v>3993</v>
      </c>
      <c r="R378" s="33">
        <f t="shared" si="16"/>
        <v>8470</v>
      </c>
    </row>
    <row r="379" spans="1:18" ht="15.75" customHeight="1" x14ac:dyDescent="0.3">
      <c r="A379" s="19">
        <v>29</v>
      </c>
      <c r="B379" s="20" t="s">
        <v>55</v>
      </c>
      <c r="C379" s="21">
        <v>46222</v>
      </c>
      <c r="D379" s="20" t="s">
        <v>59</v>
      </c>
      <c r="E379" s="20" t="s">
        <v>60</v>
      </c>
      <c r="F379" s="20" t="s">
        <v>61</v>
      </c>
      <c r="G379" s="20" t="s">
        <v>42</v>
      </c>
      <c r="H379" s="19" t="s">
        <v>33</v>
      </c>
      <c r="I379" s="32">
        <v>165</v>
      </c>
      <c r="J379" s="32">
        <v>1021</v>
      </c>
      <c r="K379" s="32">
        <v>171</v>
      </c>
      <c r="L379" s="32">
        <v>631</v>
      </c>
      <c r="M379" s="33">
        <f t="shared" si="15"/>
        <v>1988</v>
      </c>
      <c r="N379" s="32">
        <v>87</v>
      </c>
      <c r="O379" s="32">
        <v>881</v>
      </c>
      <c r="P379" s="34">
        <v>59</v>
      </c>
      <c r="Q379" s="32">
        <v>257</v>
      </c>
      <c r="R379" s="33">
        <f t="shared" si="16"/>
        <v>1284</v>
      </c>
    </row>
    <row r="380" spans="1:18" ht="15.75" customHeight="1" x14ac:dyDescent="0.3">
      <c r="A380" s="19">
        <v>29</v>
      </c>
      <c r="B380" s="20" t="s">
        <v>55</v>
      </c>
      <c r="C380" s="21">
        <v>46222</v>
      </c>
      <c r="D380" s="20" t="s">
        <v>59</v>
      </c>
      <c r="E380" s="20" t="s">
        <v>60</v>
      </c>
      <c r="F380" s="20" t="s">
        <v>61</v>
      </c>
      <c r="G380" s="20" t="s">
        <v>42</v>
      </c>
      <c r="H380" s="19" t="s">
        <v>33</v>
      </c>
      <c r="I380" s="32">
        <v>165</v>
      </c>
      <c r="J380" s="32">
        <v>1021</v>
      </c>
      <c r="K380" s="32">
        <v>171</v>
      </c>
      <c r="L380" s="32">
        <v>631</v>
      </c>
      <c r="M380" s="33">
        <f t="shared" si="15"/>
        <v>1988</v>
      </c>
      <c r="N380" s="32">
        <v>87</v>
      </c>
      <c r="O380" s="32">
        <v>881</v>
      </c>
      <c r="P380" s="34">
        <v>59</v>
      </c>
      <c r="Q380" s="32">
        <v>257</v>
      </c>
      <c r="R380" s="33">
        <f t="shared" si="16"/>
        <v>1284</v>
      </c>
    </row>
    <row r="381" spans="1:18" ht="15.75" customHeight="1" x14ac:dyDescent="0.3">
      <c r="A381" s="19">
        <v>29</v>
      </c>
      <c r="B381" s="20" t="s">
        <v>55</v>
      </c>
      <c r="C381" s="21">
        <v>46222</v>
      </c>
      <c r="D381" s="20" t="s">
        <v>59</v>
      </c>
      <c r="E381" s="20" t="s">
        <v>62</v>
      </c>
      <c r="F381" s="20" t="s">
        <v>61</v>
      </c>
      <c r="G381" s="20" t="s">
        <v>42</v>
      </c>
      <c r="H381" s="56" t="s">
        <v>38</v>
      </c>
      <c r="I381" s="32">
        <v>1040</v>
      </c>
      <c r="J381" s="32">
        <v>1400</v>
      </c>
      <c r="K381" s="32">
        <v>1120</v>
      </c>
      <c r="L381" s="32">
        <v>2720</v>
      </c>
      <c r="M381" s="33">
        <f t="shared" si="15"/>
        <v>6280</v>
      </c>
      <c r="N381" s="32">
        <v>889</v>
      </c>
      <c r="O381" s="32">
        <v>1289</v>
      </c>
      <c r="P381" s="34">
        <v>994</v>
      </c>
      <c r="Q381" s="32">
        <v>2396</v>
      </c>
      <c r="R381" s="33">
        <f t="shared" si="16"/>
        <v>5568</v>
      </c>
    </row>
    <row r="382" spans="1:18" ht="15.75" customHeight="1" x14ac:dyDescent="0.3">
      <c r="A382" s="19">
        <v>29</v>
      </c>
      <c r="B382" s="20" t="s">
        <v>55</v>
      </c>
      <c r="C382" s="21">
        <v>46222</v>
      </c>
      <c r="D382" s="20" t="s">
        <v>59</v>
      </c>
      <c r="E382" s="20" t="s">
        <v>62</v>
      </c>
      <c r="F382" s="20" t="s">
        <v>61</v>
      </c>
      <c r="G382" s="20" t="s">
        <v>42</v>
      </c>
      <c r="H382" s="56" t="s">
        <v>38</v>
      </c>
      <c r="I382" s="32">
        <v>1040</v>
      </c>
      <c r="J382" s="32">
        <v>1400</v>
      </c>
      <c r="K382" s="32">
        <v>1120</v>
      </c>
      <c r="L382" s="32">
        <v>2720</v>
      </c>
      <c r="M382" s="33">
        <f t="shared" si="15"/>
        <v>6280</v>
      </c>
      <c r="N382" s="32">
        <v>889</v>
      </c>
      <c r="O382" s="32">
        <v>1289</v>
      </c>
      <c r="P382" s="34">
        <v>994</v>
      </c>
      <c r="Q382" s="32">
        <v>2396</v>
      </c>
      <c r="R382" s="33">
        <f t="shared" si="16"/>
        <v>5568</v>
      </c>
    </row>
    <row r="383" spans="1:18" ht="15.75" customHeight="1" x14ac:dyDescent="0.3">
      <c r="A383" s="19">
        <v>29</v>
      </c>
      <c r="B383" s="20" t="s">
        <v>55</v>
      </c>
      <c r="C383" s="21">
        <v>46222</v>
      </c>
      <c r="D383" s="20" t="s">
        <v>59</v>
      </c>
      <c r="E383" s="20" t="s">
        <v>63</v>
      </c>
      <c r="F383" s="20" t="s">
        <v>61</v>
      </c>
      <c r="G383" s="20" t="s">
        <v>42</v>
      </c>
      <c r="H383" s="56" t="s">
        <v>37</v>
      </c>
      <c r="I383" s="32">
        <v>1431</v>
      </c>
      <c r="J383" s="32">
        <v>3367</v>
      </c>
      <c r="K383" s="32">
        <v>1881</v>
      </c>
      <c r="L383" s="32">
        <v>1799</v>
      </c>
      <c r="M383" s="33">
        <f t="shared" si="15"/>
        <v>8478</v>
      </c>
      <c r="N383" s="32">
        <v>1343</v>
      </c>
      <c r="O383" s="32">
        <v>3239</v>
      </c>
      <c r="P383" s="34">
        <v>1641</v>
      </c>
      <c r="Q383" s="32">
        <v>1376</v>
      </c>
      <c r="R383" s="33">
        <f t="shared" si="16"/>
        <v>7599</v>
      </c>
    </row>
    <row r="384" spans="1:18" ht="15.75" customHeight="1" x14ac:dyDescent="0.3">
      <c r="A384" s="19">
        <v>29</v>
      </c>
      <c r="B384" s="20" t="s">
        <v>55</v>
      </c>
      <c r="C384" s="21">
        <v>46222</v>
      </c>
      <c r="D384" s="20" t="s">
        <v>59</v>
      </c>
      <c r="E384" s="20" t="s">
        <v>63</v>
      </c>
      <c r="F384" s="20" t="s">
        <v>61</v>
      </c>
      <c r="G384" s="20" t="s">
        <v>42</v>
      </c>
      <c r="H384" s="56" t="s">
        <v>37</v>
      </c>
      <c r="I384" s="32">
        <v>1431</v>
      </c>
      <c r="J384" s="32">
        <v>3367</v>
      </c>
      <c r="K384" s="32">
        <v>1881</v>
      </c>
      <c r="L384" s="32">
        <v>1799</v>
      </c>
      <c r="M384" s="33">
        <f t="shared" si="15"/>
        <v>8478</v>
      </c>
      <c r="N384" s="32">
        <v>1343</v>
      </c>
      <c r="O384" s="32">
        <v>3239</v>
      </c>
      <c r="P384" s="34">
        <v>1641</v>
      </c>
      <c r="Q384" s="32">
        <v>1376</v>
      </c>
      <c r="R384" s="33">
        <f t="shared" si="16"/>
        <v>7599</v>
      </c>
    </row>
    <row r="385" spans="1:18" ht="15.75" customHeight="1" x14ac:dyDescent="0.3">
      <c r="A385" s="19">
        <v>29</v>
      </c>
      <c r="B385" s="20" t="s">
        <v>55</v>
      </c>
      <c r="C385" s="21">
        <v>46220</v>
      </c>
      <c r="D385" s="20" t="s">
        <v>59</v>
      </c>
      <c r="E385" s="20" t="s">
        <v>60</v>
      </c>
      <c r="F385" s="20" t="s">
        <v>61</v>
      </c>
      <c r="G385" s="20" t="s">
        <v>42</v>
      </c>
      <c r="H385" s="19" t="s">
        <v>33</v>
      </c>
      <c r="I385" s="32">
        <v>219</v>
      </c>
      <c r="J385" s="32">
        <v>1159</v>
      </c>
      <c r="K385" s="32">
        <v>283</v>
      </c>
      <c r="L385" s="32">
        <v>1313</v>
      </c>
      <c r="M385" s="33">
        <f t="shared" si="15"/>
        <v>2974</v>
      </c>
      <c r="N385" s="32">
        <v>196</v>
      </c>
      <c r="O385" s="32">
        <v>1111</v>
      </c>
      <c r="P385" s="34">
        <v>224</v>
      </c>
      <c r="Q385" s="32">
        <v>826</v>
      </c>
      <c r="R385" s="33">
        <f t="shared" si="16"/>
        <v>2357</v>
      </c>
    </row>
    <row r="386" spans="1:18" ht="15.75" customHeight="1" x14ac:dyDescent="0.3">
      <c r="A386" s="19">
        <v>29</v>
      </c>
      <c r="B386" s="20" t="s">
        <v>55</v>
      </c>
      <c r="C386" s="21">
        <v>46220</v>
      </c>
      <c r="D386" s="20" t="s">
        <v>45</v>
      </c>
      <c r="E386" s="20" t="s">
        <v>46</v>
      </c>
      <c r="F386" s="20" t="s">
        <v>47</v>
      </c>
      <c r="G386" s="20" t="s">
        <v>42</v>
      </c>
      <c r="H386" s="56" t="s">
        <v>48</v>
      </c>
      <c r="I386" s="32">
        <v>160</v>
      </c>
      <c r="J386" s="32">
        <v>760</v>
      </c>
      <c r="K386" s="32">
        <v>880</v>
      </c>
      <c r="L386" s="32">
        <v>1640</v>
      </c>
      <c r="M386" s="33">
        <f t="shared" si="15"/>
        <v>3440</v>
      </c>
      <c r="N386" s="32">
        <v>100</v>
      </c>
      <c r="O386" s="32">
        <v>620</v>
      </c>
      <c r="P386" s="34">
        <v>778</v>
      </c>
      <c r="Q386" s="32">
        <v>1440</v>
      </c>
      <c r="R386" s="33">
        <f t="shared" si="16"/>
        <v>2938</v>
      </c>
    </row>
    <row r="387" spans="1:18" ht="15.75" customHeight="1" x14ac:dyDescent="0.3">
      <c r="A387" s="19">
        <v>29</v>
      </c>
      <c r="B387" s="20" t="s">
        <v>55</v>
      </c>
      <c r="C387" s="21">
        <v>46220</v>
      </c>
      <c r="D387" s="20" t="s">
        <v>45</v>
      </c>
      <c r="E387" s="20" t="s">
        <v>46</v>
      </c>
      <c r="F387" s="20" t="s">
        <v>47</v>
      </c>
      <c r="G387" s="20" t="s">
        <v>42</v>
      </c>
      <c r="H387" s="56" t="s">
        <v>48</v>
      </c>
      <c r="I387" s="32">
        <v>160</v>
      </c>
      <c r="J387" s="32">
        <v>760</v>
      </c>
      <c r="K387" s="32">
        <v>880</v>
      </c>
      <c r="L387" s="32">
        <v>1640</v>
      </c>
      <c r="M387" s="33">
        <f t="shared" si="15"/>
        <v>3440</v>
      </c>
      <c r="N387" s="32">
        <v>100</v>
      </c>
      <c r="O387" s="32">
        <v>620</v>
      </c>
      <c r="P387" s="34">
        <v>778</v>
      </c>
      <c r="Q387" s="32">
        <v>1440</v>
      </c>
      <c r="R387" s="33">
        <f t="shared" si="16"/>
        <v>2938</v>
      </c>
    </row>
    <row r="388" spans="1:18" ht="15.75" customHeight="1" x14ac:dyDescent="0.3">
      <c r="A388" s="19">
        <v>29</v>
      </c>
      <c r="B388" s="20" t="s">
        <v>55</v>
      </c>
      <c r="C388" s="21">
        <v>46220</v>
      </c>
      <c r="D388" s="20" t="s">
        <v>45</v>
      </c>
      <c r="E388" s="20" t="s">
        <v>51</v>
      </c>
      <c r="F388" s="20" t="s">
        <v>47</v>
      </c>
      <c r="G388" s="20" t="s">
        <v>42</v>
      </c>
      <c r="H388" s="56" t="s">
        <v>52</v>
      </c>
      <c r="I388" s="32">
        <v>0</v>
      </c>
      <c r="J388" s="32">
        <v>2542</v>
      </c>
      <c r="K388" s="32">
        <v>777</v>
      </c>
      <c r="L388" s="32">
        <v>2826</v>
      </c>
      <c r="M388" s="33">
        <f t="shared" si="15"/>
        <v>6145</v>
      </c>
      <c r="N388" s="32">
        <v>0</v>
      </c>
      <c r="O388" s="32">
        <v>2422</v>
      </c>
      <c r="P388" s="34">
        <v>693</v>
      </c>
      <c r="Q388" s="32">
        <v>2678</v>
      </c>
      <c r="R388" s="33">
        <f t="shared" si="16"/>
        <v>5793</v>
      </c>
    </row>
    <row r="389" spans="1:18" ht="15.75" customHeight="1" x14ac:dyDescent="0.3">
      <c r="A389" s="19">
        <v>29</v>
      </c>
      <c r="B389" s="20" t="s">
        <v>55</v>
      </c>
      <c r="C389" s="21">
        <v>46220</v>
      </c>
      <c r="D389" s="20" t="s">
        <v>45</v>
      </c>
      <c r="E389" s="20" t="s">
        <v>51</v>
      </c>
      <c r="F389" s="20" t="s">
        <v>47</v>
      </c>
      <c r="G389" s="20" t="s">
        <v>42</v>
      </c>
      <c r="H389" s="56" t="s">
        <v>52</v>
      </c>
      <c r="I389" s="32">
        <v>0</v>
      </c>
      <c r="J389" s="32">
        <v>2542</v>
      </c>
      <c r="K389" s="32">
        <v>777</v>
      </c>
      <c r="L389" s="32">
        <v>2826</v>
      </c>
      <c r="M389" s="33">
        <f t="shared" si="15"/>
        <v>6145</v>
      </c>
      <c r="N389" s="32">
        <v>0</v>
      </c>
      <c r="O389" s="32">
        <v>2422</v>
      </c>
      <c r="P389" s="34">
        <v>693</v>
      </c>
      <c r="Q389" s="32">
        <v>2678</v>
      </c>
      <c r="R389" s="33">
        <f t="shared" si="16"/>
        <v>5793</v>
      </c>
    </row>
    <row r="390" spans="1:18" ht="15.75" customHeight="1" x14ac:dyDescent="0.3">
      <c r="A390" s="19">
        <v>29</v>
      </c>
      <c r="B390" s="20" t="s">
        <v>55</v>
      </c>
      <c r="C390" s="21">
        <v>46220</v>
      </c>
      <c r="D390" s="20" t="s">
        <v>45</v>
      </c>
      <c r="E390" s="20" t="s">
        <v>51</v>
      </c>
      <c r="F390" s="20" t="s">
        <v>47</v>
      </c>
      <c r="G390" s="20" t="s">
        <v>42</v>
      </c>
      <c r="H390" s="56" t="s">
        <v>53</v>
      </c>
      <c r="I390" s="32">
        <v>0</v>
      </c>
      <c r="J390" s="32">
        <v>880</v>
      </c>
      <c r="K390" s="32">
        <v>920</v>
      </c>
      <c r="L390" s="32">
        <v>2020</v>
      </c>
      <c r="M390" s="33">
        <f t="shared" si="15"/>
        <v>3820</v>
      </c>
      <c r="N390" s="32">
        <v>0</v>
      </c>
      <c r="O390" s="32">
        <v>804</v>
      </c>
      <c r="P390" s="34">
        <v>898</v>
      </c>
      <c r="Q390" s="32">
        <v>1892</v>
      </c>
      <c r="R390" s="33">
        <f t="shared" si="16"/>
        <v>3594</v>
      </c>
    </row>
    <row r="391" spans="1:18" ht="15.75" customHeight="1" x14ac:dyDescent="0.3">
      <c r="A391" s="19">
        <v>29</v>
      </c>
      <c r="B391" s="20" t="s">
        <v>55</v>
      </c>
      <c r="C391" s="21">
        <v>46220</v>
      </c>
      <c r="D391" s="20" t="s">
        <v>45</v>
      </c>
      <c r="E391" s="20" t="s">
        <v>51</v>
      </c>
      <c r="F391" s="20" t="s">
        <v>47</v>
      </c>
      <c r="G391" s="20" t="s">
        <v>42</v>
      </c>
      <c r="H391" s="56" t="s">
        <v>53</v>
      </c>
      <c r="I391" s="32">
        <v>0</v>
      </c>
      <c r="J391" s="32">
        <v>880</v>
      </c>
      <c r="K391" s="32">
        <v>920</v>
      </c>
      <c r="L391" s="32">
        <v>2020</v>
      </c>
      <c r="M391" s="33">
        <f t="shared" ref="M391:M454" si="17">SUM(I391:L391)</f>
        <v>3820</v>
      </c>
      <c r="N391" s="32">
        <v>0</v>
      </c>
      <c r="O391" s="32">
        <v>804</v>
      </c>
      <c r="P391" s="34">
        <v>898</v>
      </c>
      <c r="Q391" s="32">
        <v>1892</v>
      </c>
      <c r="R391" s="33">
        <f t="shared" ref="R391:R454" si="18">SUM(N391:Q391)</f>
        <v>3594</v>
      </c>
    </row>
    <row r="392" spans="1:18" ht="15.75" customHeight="1" x14ac:dyDescent="0.3">
      <c r="A392" s="19">
        <v>29</v>
      </c>
      <c r="B392" s="20" t="s">
        <v>55</v>
      </c>
      <c r="C392" s="21">
        <v>46220</v>
      </c>
      <c r="D392" s="20" t="s">
        <v>45</v>
      </c>
      <c r="E392" s="20" t="s">
        <v>46</v>
      </c>
      <c r="F392" s="20" t="s">
        <v>47</v>
      </c>
      <c r="G392" s="20" t="s">
        <v>42</v>
      </c>
      <c r="H392" s="19" t="s">
        <v>54</v>
      </c>
      <c r="I392" s="32">
        <v>690</v>
      </c>
      <c r="J392" s="32">
        <v>720</v>
      </c>
      <c r="K392" s="32">
        <v>812</v>
      </c>
      <c r="L392" s="32">
        <v>735</v>
      </c>
      <c r="M392" s="33">
        <f t="shared" si="17"/>
        <v>2957</v>
      </c>
      <c r="N392" s="32">
        <v>615</v>
      </c>
      <c r="O392" s="32">
        <v>595</v>
      </c>
      <c r="P392" s="34">
        <v>702</v>
      </c>
      <c r="Q392" s="32">
        <v>575</v>
      </c>
      <c r="R392" s="33">
        <f t="shared" si="18"/>
        <v>2487</v>
      </c>
    </row>
    <row r="393" spans="1:18" ht="15.75" customHeight="1" x14ac:dyDescent="0.3">
      <c r="A393" s="19">
        <v>29</v>
      </c>
      <c r="B393" s="20" t="s">
        <v>55</v>
      </c>
      <c r="C393" s="21">
        <v>46220</v>
      </c>
      <c r="D393" s="20" t="s">
        <v>45</v>
      </c>
      <c r="E393" s="20" t="s">
        <v>46</v>
      </c>
      <c r="F393" s="20" t="s">
        <v>47</v>
      </c>
      <c r="G393" s="20" t="s">
        <v>42</v>
      </c>
      <c r="H393" s="19" t="s">
        <v>54</v>
      </c>
      <c r="I393" s="32">
        <v>690</v>
      </c>
      <c r="J393" s="32">
        <v>720</v>
      </c>
      <c r="K393" s="32">
        <v>812</v>
      </c>
      <c r="L393" s="32">
        <v>735</v>
      </c>
      <c r="M393" s="33">
        <f t="shared" si="17"/>
        <v>2957</v>
      </c>
      <c r="N393" s="32">
        <v>615</v>
      </c>
      <c r="O393" s="32">
        <v>595</v>
      </c>
      <c r="P393" s="34">
        <v>702</v>
      </c>
      <c r="Q393" s="32">
        <v>575</v>
      </c>
      <c r="R393" s="33">
        <f t="shared" si="18"/>
        <v>2487</v>
      </c>
    </row>
    <row r="394" spans="1:18" ht="15.75" customHeight="1" x14ac:dyDescent="0.3">
      <c r="A394" s="19">
        <v>29</v>
      </c>
      <c r="B394" s="20" t="s">
        <v>55</v>
      </c>
      <c r="C394" s="21">
        <v>46220</v>
      </c>
      <c r="D394" s="20" t="s">
        <v>45</v>
      </c>
      <c r="E394" s="20" t="s">
        <v>64</v>
      </c>
      <c r="F394" s="20" t="s">
        <v>47</v>
      </c>
      <c r="G394" s="20" t="s">
        <v>42</v>
      </c>
      <c r="H394" s="19" t="s">
        <v>65</v>
      </c>
      <c r="I394" s="32">
        <v>1242</v>
      </c>
      <c r="J394" s="32">
        <v>1874</v>
      </c>
      <c r="K394" s="32">
        <v>1892</v>
      </c>
      <c r="L394" s="32">
        <v>1272</v>
      </c>
      <c r="M394" s="33">
        <f t="shared" si="17"/>
        <v>6280</v>
      </c>
      <c r="N394" s="32">
        <v>1219</v>
      </c>
      <c r="O394" s="32">
        <v>1776</v>
      </c>
      <c r="P394" s="34">
        <v>1854</v>
      </c>
      <c r="Q394" s="32">
        <v>1073</v>
      </c>
      <c r="R394" s="33">
        <f t="shared" si="18"/>
        <v>5922</v>
      </c>
    </row>
    <row r="395" spans="1:18" ht="15.75" customHeight="1" x14ac:dyDescent="0.3">
      <c r="A395" s="19">
        <v>29</v>
      </c>
      <c r="B395" s="20" t="s">
        <v>55</v>
      </c>
      <c r="C395" s="21">
        <v>46220</v>
      </c>
      <c r="D395" s="20" t="s">
        <v>45</v>
      </c>
      <c r="E395" s="20" t="s">
        <v>64</v>
      </c>
      <c r="F395" s="20" t="s">
        <v>47</v>
      </c>
      <c r="G395" s="20" t="s">
        <v>42</v>
      </c>
      <c r="H395" s="19" t="s">
        <v>65</v>
      </c>
      <c r="I395" s="32">
        <v>1242</v>
      </c>
      <c r="J395" s="32">
        <v>1874</v>
      </c>
      <c r="K395" s="32">
        <v>1892</v>
      </c>
      <c r="L395" s="32">
        <v>1272</v>
      </c>
      <c r="M395" s="33">
        <f t="shared" si="17"/>
        <v>6280</v>
      </c>
      <c r="N395" s="32">
        <v>1219</v>
      </c>
      <c r="O395" s="32">
        <v>1776</v>
      </c>
      <c r="P395" s="34">
        <v>1854</v>
      </c>
      <c r="Q395" s="32">
        <v>1073</v>
      </c>
      <c r="R395" s="33">
        <f t="shared" si="18"/>
        <v>5922</v>
      </c>
    </row>
    <row r="396" spans="1:18" ht="15.75" customHeight="1" x14ac:dyDescent="0.3">
      <c r="A396" s="19">
        <v>29</v>
      </c>
      <c r="B396" s="20" t="s">
        <v>55</v>
      </c>
      <c r="C396" s="21">
        <v>46220</v>
      </c>
      <c r="D396" s="20" t="s">
        <v>45</v>
      </c>
      <c r="E396" s="20" t="s">
        <v>49</v>
      </c>
      <c r="F396" s="20" t="s">
        <v>47</v>
      </c>
      <c r="G396" s="20" t="s">
        <v>42</v>
      </c>
      <c r="H396" s="56" t="s">
        <v>50</v>
      </c>
      <c r="I396" s="32">
        <v>396</v>
      </c>
      <c r="J396" s="32">
        <v>892</v>
      </c>
      <c r="K396" s="32">
        <v>688</v>
      </c>
      <c r="L396" s="32">
        <v>298</v>
      </c>
      <c r="M396" s="33">
        <f t="shared" si="17"/>
        <v>2274</v>
      </c>
      <c r="N396" s="32">
        <v>354</v>
      </c>
      <c r="O396" s="32">
        <v>831</v>
      </c>
      <c r="P396" s="34">
        <v>603</v>
      </c>
      <c r="Q396" s="32">
        <v>197</v>
      </c>
      <c r="R396" s="33">
        <f t="shared" si="18"/>
        <v>1985</v>
      </c>
    </row>
    <row r="397" spans="1:18" ht="15.75" customHeight="1" x14ac:dyDescent="0.3">
      <c r="A397" s="19">
        <v>29</v>
      </c>
      <c r="B397" s="20" t="s">
        <v>55</v>
      </c>
      <c r="C397" s="21">
        <v>46220</v>
      </c>
      <c r="D397" s="20" t="s">
        <v>45</v>
      </c>
      <c r="E397" s="20" t="s">
        <v>49</v>
      </c>
      <c r="F397" s="20" t="s">
        <v>47</v>
      </c>
      <c r="G397" s="20" t="s">
        <v>42</v>
      </c>
      <c r="H397" s="56" t="s">
        <v>50</v>
      </c>
      <c r="I397" s="32">
        <v>396</v>
      </c>
      <c r="J397" s="32">
        <v>892</v>
      </c>
      <c r="K397" s="32">
        <v>688</v>
      </c>
      <c r="L397" s="32">
        <v>298</v>
      </c>
      <c r="M397" s="33">
        <f t="shared" si="17"/>
        <v>2274</v>
      </c>
      <c r="N397" s="32">
        <v>354</v>
      </c>
      <c r="O397" s="32">
        <v>831</v>
      </c>
      <c r="P397" s="34">
        <v>603</v>
      </c>
      <c r="Q397" s="32">
        <v>197</v>
      </c>
      <c r="R397" s="33">
        <f t="shared" si="18"/>
        <v>1985</v>
      </c>
    </row>
    <row r="398" spans="1:18" ht="15.75" customHeight="1" x14ac:dyDescent="0.3">
      <c r="A398" s="19">
        <v>29</v>
      </c>
      <c r="B398" s="20" t="s">
        <v>55</v>
      </c>
      <c r="C398" s="21">
        <v>46221</v>
      </c>
      <c r="D398" s="20" t="s">
        <v>45</v>
      </c>
      <c r="E398" s="20" t="s">
        <v>46</v>
      </c>
      <c r="F398" s="20" t="s">
        <v>47</v>
      </c>
      <c r="G398" s="20" t="s">
        <v>42</v>
      </c>
      <c r="H398" s="56" t="s">
        <v>48</v>
      </c>
      <c r="I398" s="32">
        <v>100</v>
      </c>
      <c r="J398" s="32">
        <v>620</v>
      </c>
      <c r="K398" s="32">
        <v>778</v>
      </c>
      <c r="L398" s="32">
        <v>1440</v>
      </c>
      <c r="M398" s="33">
        <f t="shared" si="17"/>
        <v>2938</v>
      </c>
      <c r="N398" s="32">
        <v>46</v>
      </c>
      <c r="O398" s="32">
        <v>500</v>
      </c>
      <c r="P398" s="34">
        <v>688</v>
      </c>
      <c r="Q398" s="32">
        <v>1224</v>
      </c>
      <c r="R398" s="33">
        <f t="shared" si="18"/>
        <v>2458</v>
      </c>
    </row>
    <row r="399" spans="1:18" ht="15.75" customHeight="1" x14ac:dyDescent="0.3">
      <c r="A399" s="19">
        <v>29</v>
      </c>
      <c r="B399" s="20" t="s">
        <v>55</v>
      </c>
      <c r="C399" s="21">
        <v>46221</v>
      </c>
      <c r="D399" s="20" t="s">
        <v>45</v>
      </c>
      <c r="E399" s="20" t="s">
        <v>46</v>
      </c>
      <c r="F399" s="20" t="s">
        <v>47</v>
      </c>
      <c r="G399" s="20" t="s">
        <v>42</v>
      </c>
      <c r="H399" s="56" t="s">
        <v>48</v>
      </c>
      <c r="I399" s="32">
        <v>100</v>
      </c>
      <c r="J399" s="32">
        <v>620</v>
      </c>
      <c r="K399" s="32">
        <v>778</v>
      </c>
      <c r="L399" s="32">
        <v>1440</v>
      </c>
      <c r="M399" s="33">
        <f t="shared" si="17"/>
        <v>2938</v>
      </c>
      <c r="N399" s="32">
        <v>46</v>
      </c>
      <c r="O399" s="32">
        <v>500</v>
      </c>
      <c r="P399" s="34">
        <v>688</v>
      </c>
      <c r="Q399" s="32">
        <v>1224</v>
      </c>
      <c r="R399" s="33">
        <f t="shared" si="18"/>
        <v>2458</v>
      </c>
    </row>
    <row r="400" spans="1:18" ht="15.75" customHeight="1" x14ac:dyDescent="0.3">
      <c r="A400" s="19">
        <v>29</v>
      </c>
      <c r="B400" s="20" t="s">
        <v>55</v>
      </c>
      <c r="C400" s="21">
        <v>46221</v>
      </c>
      <c r="D400" s="20" t="s">
        <v>45</v>
      </c>
      <c r="E400" s="20" t="s">
        <v>49</v>
      </c>
      <c r="F400" s="20" t="s">
        <v>47</v>
      </c>
      <c r="G400" s="20" t="s">
        <v>42</v>
      </c>
      <c r="H400" s="56" t="s">
        <v>50</v>
      </c>
      <c r="I400" s="32">
        <v>734</v>
      </c>
      <c r="J400" s="32">
        <v>1191</v>
      </c>
      <c r="K400" s="32">
        <v>603</v>
      </c>
      <c r="L400" s="32">
        <v>2197</v>
      </c>
      <c r="M400" s="33">
        <f t="shared" si="17"/>
        <v>4725</v>
      </c>
      <c r="N400" s="32">
        <v>676</v>
      </c>
      <c r="O400" s="32">
        <v>1097</v>
      </c>
      <c r="P400" s="34">
        <v>482</v>
      </c>
      <c r="Q400" s="32">
        <v>1928</v>
      </c>
      <c r="R400" s="33">
        <f t="shared" si="18"/>
        <v>4183</v>
      </c>
    </row>
    <row r="401" spans="1:18" ht="15.75" customHeight="1" x14ac:dyDescent="0.3">
      <c r="A401" s="19">
        <v>29</v>
      </c>
      <c r="B401" s="20" t="s">
        <v>55</v>
      </c>
      <c r="C401" s="21">
        <v>46221</v>
      </c>
      <c r="D401" s="20" t="s">
        <v>45</v>
      </c>
      <c r="E401" s="20" t="s">
        <v>49</v>
      </c>
      <c r="F401" s="20" t="s">
        <v>47</v>
      </c>
      <c r="G401" s="20" t="s">
        <v>42</v>
      </c>
      <c r="H401" s="56" t="s">
        <v>50</v>
      </c>
      <c r="I401" s="32">
        <v>734</v>
      </c>
      <c r="J401" s="32">
        <v>1191</v>
      </c>
      <c r="K401" s="32">
        <v>603</v>
      </c>
      <c r="L401" s="32">
        <v>2197</v>
      </c>
      <c r="M401" s="33">
        <f t="shared" si="17"/>
        <v>4725</v>
      </c>
      <c r="N401" s="32">
        <v>676</v>
      </c>
      <c r="O401" s="32">
        <v>1097</v>
      </c>
      <c r="P401" s="34">
        <v>482</v>
      </c>
      <c r="Q401" s="32">
        <v>1928</v>
      </c>
      <c r="R401" s="33">
        <f t="shared" si="18"/>
        <v>4183</v>
      </c>
    </row>
    <row r="402" spans="1:18" ht="15.75" customHeight="1" x14ac:dyDescent="0.3">
      <c r="A402" s="19">
        <v>29</v>
      </c>
      <c r="B402" s="20" t="s">
        <v>55</v>
      </c>
      <c r="C402" s="21">
        <v>46221</v>
      </c>
      <c r="D402" s="20" t="s">
        <v>45</v>
      </c>
      <c r="E402" s="20" t="s">
        <v>49</v>
      </c>
      <c r="F402" s="20" t="s">
        <v>47</v>
      </c>
      <c r="G402" s="20" t="s">
        <v>42</v>
      </c>
      <c r="H402" s="19" t="s">
        <v>66</v>
      </c>
      <c r="I402" s="32">
        <v>301</v>
      </c>
      <c r="J402" s="32">
        <v>383</v>
      </c>
      <c r="K402" s="32">
        <v>377</v>
      </c>
      <c r="L402" s="32">
        <v>522</v>
      </c>
      <c r="M402" s="33">
        <f t="shared" si="17"/>
        <v>1583</v>
      </c>
      <c r="N402" s="32">
        <v>271</v>
      </c>
      <c r="O402" s="32">
        <v>333</v>
      </c>
      <c r="P402" s="34">
        <v>352</v>
      </c>
      <c r="Q402" s="32">
        <v>272</v>
      </c>
      <c r="R402" s="33">
        <f t="shared" si="18"/>
        <v>1228</v>
      </c>
    </row>
    <row r="403" spans="1:18" ht="15.75" customHeight="1" x14ac:dyDescent="0.3">
      <c r="A403" s="19">
        <v>29</v>
      </c>
      <c r="B403" s="20" t="s">
        <v>55</v>
      </c>
      <c r="C403" s="21">
        <v>46221</v>
      </c>
      <c r="D403" s="20" t="s">
        <v>45</v>
      </c>
      <c r="E403" s="20" t="s">
        <v>49</v>
      </c>
      <c r="F403" s="20" t="s">
        <v>47</v>
      </c>
      <c r="G403" s="20" t="s">
        <v>42</v>
      </c>
      <c r="H403" s="19" t="s">
        <v>66</v>
      </c>
      <c r="I403" s="32">
        <v>301</v>
      </c>
      <c r="J403" s="32">
        <v>383</v>
      </c>
      <c r="K403" s="32">
        <v>377</v>
      </c>
      <c r="L403" s="32">
        <v>522</v>
      </c>
      <c r="M403" s="33">
        <f t="shared" si="17"/>
        <v>1583</v>
      </c>
      <c r="N403" s="32">
        <v>271</v>
      </c>
      <c r="O403" s="32">
        <v>333</v>
      </c>
      <c r="P403" s="34">
        <v>352</v>
      </c>
      <c r="Q403" s="32">
        <v>272</v>
      </c>
      <c r="R403" s="33">
        <f t="shared" si="18"/>
        <v>1228</v>
      </c>
    </row>
    <row r="404" spans="1:18" ht="15.75" customHeight="1" x14ac:dyDescent="0.3">
      <c r="A404" s="19">
        <v>29</v>
      </c>
      <c r="B404" s="20" t="s">
        <v>55</v>
      </c>
      <c r="C404" s="21">
        <v>46221</v>
      </c>
      <c r="D404" s="20" t="s">
        <v>45</v>
      </c>
      <c r="E404" s="20" t="s">
        <v>51</v>
      </c>
      <c r="F404" s="20" t="s">
        <v>47</v>
      </c>
      <c r="G404" s="20" t="s">
        <v>42</v>
      </c>
      <c r="H404" s="56" t="s">
        <v>52</v>
      </c>
      <c r="I404" s="32">
        <v>0</v>
      </c>
      <c r="J404" s="32">
        <v>3908</v>
      </c>
      <c r="K404" s="32">
        <v>2274</v>
      </c>
      <c r="L404" s="32">
        <v>5913</v>
      </c>
      <c r="M404" s="33">
        <f t="shared" si="17"/>
        <v>12095</v>
      </c>
      <c r="N404" s="32">
        <v>0</v>
      </c>
      <c r="O404" s="32">
        <v>3774</v>
      </c>
      <c r="P404" s="34">
        <v>2194</v>
      </c>
      <c r="Q404" s="32">
        <v>5747</v>
      </c>
      <c r="R404" s="33">
        <f t="shared" si="18"/>
        <v>11715</v>
      </c>
    </row>
    <row r="405" spans="1:18" ht="15.75" customHeight="1" x14ac:dyDescent="0.3">
      <c r="A405" s="19">
        <v>29</v>
      </c>
      <c r="B405" s="20" t="s">
        <v>55</v>
      </c>
      <c r="C405" s="21">
        <v>46221</v>
      </c>
      <c r="D405" s="20" t="s">
        <v>45</v>
      </c>
      <c r="E405" s="20" t="s">
        <v>51</v>
      </c>
      <c r="F405" s="20" t="s">
        <v>47</v>
      </c>
      <c r="G405" s="20" t="s">
        <v>42</v>
      </c>
      <c r="H405" s="56" t="s">
        <v>52</v>
      </c>
      <c r="I405" s="32">
        <v>0</v>
      </c>
      <c r="J405" s="32">
        <v>3908</v>
      </c>
      <c r="K405" s="32">
        <v>2274</v>
      </c>
      <c r="L405" s="32">
        <v>5913</v>
      </c>
      <c r="M405" s="33">
        <f t="shared" si="17"/>
        <v>12095</v>
      </c>
      <c r="N405" s="32">
        <v>0</v>
      </c>
      <c r="O405" s="32">
        <v>3774</v>
      </c>
      <c r="P405" s="34">
        <v>2194</v>
      </c>
      <c r="Q405" s="32">
        <v>5747</v>
      </c>
      <c r="R405" s="33">
        <f t="shared" si="18"/>
        <v>11715</v>
      </c>
    </row>
    <row r="406" spans="1:18" ht="15.75" customHeight="1" x14ac:dyDescent="0.3">
      <c r="A406" s="19">
        <v>29</v>
      </c>
      <c r="B406" s="20" t="s">
        <v>55</v>
      </c>
      <c r="C406" s="21">
        <v>46221</v>
      </c>
      <c r="D406" s="20" t="s">
        <v>45</v>
      </c>
      <c r="E406" s="20" t="s">
        <v>64</v>
      </c>
      <c r="F406" s="20" t="s">
        <v>47</v>
      </c>
      <c r="G406" s="20" t="s">
        <v>42</v>
      </c>
      <c r="H406" s="19" t="s">
        <v>65</v>
      </c>
      <c r="I406" s="32">
        <v>1219</v>
      </c>
      <c r="J406" s="32">
        <v>1776</v>
      </c>
      <c r="K406" s="32">
        <v>1854</v>
      </c>
      <c r="L406" s="32">
        <v>1073</v>
      </c>
      <c r="M406" s="33">
        <f t="shared" si="17"/>
        <v>5922</v>
      </c>
      <c r="N406" s="32">
        <v>1207</v>
      </c>
      <c r="O406" s="32">
        <v>1636</v>
      </c>
      <c r="P406" s="34">
        <v>1806</v>
      </c>
      <c r="Q406" s="32">
        <v>833</v>
      </c>
      <c r="R406" s="33">
        <f t="shared" si="18"/>
        <v>5482</v>
      </c>
    </row>
    <row r="407" spans="1:18" ht="15.75" customHeight="1" x14ac:dyDescent="0.3">
      <c r="A407" s="19">
        <v>29</v>
      </c>
      <c r="B407" s="20" t="s">
        <v>55</v>
      </c>
      <c r="C407" s="21">
        <v>46221</v>
      </c>
      <c r="D407" s="20" t="s">
        <v>45</v>
      </c>
      <c r="E407" s="20" t="s">
        <v>64</v>
      </c>
      <c r="F407" s="20" t="s">
        <v>47</v>
      </c>
      <c r="G407" s="20" t="s">
        <v>42</v>
      </c>
      <c r="H407" s="19" t="s">
        <v>65</v>
      </c>
      <c r="I407" s="32">
        <v>1219</v>
      </c>
      <c r="J407" s="32">
        <v>1776</v>
      </c>
      <c r="K407" s="32">
        <v>1854</v>
      </c>
      <c r="L407" s="32">
        <v>1073</v>
      </c>
      <c r="M407" s="33">
        <f t="shared" si="17"/>
        <v>5922</v>
      </c>
      <c r="N407" s="32">
        <v>1207</v>
      </c>
      <c r="O407" s="32">
        <v>1636</v>
      </c>
      <c r="P407" s="34">
        <v>1806</v>
      </c>
      <c r="Q407" s="32">
        <v>833</v>
      </c>
      <c r="R407" s="33">
        <f t="shared" si="18"/>
        <v>5482</v>
      </c>
    </row>
    <row r="408" spans="1:18" ht="15.75" customHeight="1" x14ac:dyDescent="0.3">
      <c r="A408" s="19">
        <v>29</v>
      </c>
      <c r="B408" s="20" t="s">
        <v>55</v>
      </c>
      <c r="C408" s="21">
        <v>46221</v>
      </c>
      <c r="D408" s="20" t="s">
        <v>45</v>
      </c>
      <c r="E408" s="20" t="s">
        <v>46</v>
      </c>
      <c r="F408" s="20" t="s">
        <v>47</v>
      </c>
      <c r="G408" s="20" t="s">
        <v>42</v>
      </c>
      <c r="H408" s="19" t="s">
        <v>54</v>
      </c>
      <c r="I408" s="32">
        <v>615</v>
      </c>
      <c r="J408" s="32">
        <v>595</v>
      </c>
      <c r="K408" s="32">
        <v>702</v>
      </c>
      <c r="L408" s="32">
        <v>575</v>
      </c>
      <c r="M408" s="33">
        <f t="shared" si="17"/>
        <v>2487</v>
      </c>
      <c r="N408" s="32">
        <v>527</v>
      </c>
      <c r="O408" s="32">
        <v>475</v>
      </c>
      <c r="P408" s="34">
        <v>644</v>
      </c>
      <c r="Q408" s="32">
        <v>340</v>
      </c>
      <c r="R408" s="33">
        <f t="shared" si="18"/>
        <v>1986</v>
      </c>
    </row>
    <row r="409" spans="1:18" ht="15.75" customHeight="1" x14ac:dyDescent="0.3">
      <c r="A409" s="19">
        <v>29</v>
      </c>
      <c r="B409" s="20" t="s">
        <v>55</v>
      </c>
      <c r="C409" s="21">
        <v>46221</v>
      </c>
      <c r="D409" s="20" t="s">
        <v>45</v>
      </c>
      <c r="E409" s="20" t="s">
        <v>46</v>
      </c>
      <c r="F409" s="20" t="s">
        <v>47</v>
      </c>
      <c r="G409" s="20" t="s">
        <v>42</v>
      </c>
      <c r="H409" s="19" t="s">
        <v>54</v>
      </c>
      <c r="I409" s="32">
        <v>615</v>
      </c>
      <c r="J409" s="32">
        <v>595</v>
      </c>
      <c r="K409" s="32">
        <v>702</v>
      </c>
      <c r="L409" s="32">
        <v>575</v>
      </c>
      <c r="M409" s="33">
        <f t="shared" si="17"/>
        <v>2487</v>
      </c>
      <c r="N409" s="32">
        <v>527</v>
      </c>
      <c r="O409" s="32">
        <v>475</v>
      </c>
      <c r="P409" s="34">
        <v>644</v>
      </c>
      <c r="Q409" s="32">
        <v>340</v>
      </c>
      <c r="R409" s="33">
        <f t="shared" si="18"/>
        <v>1986</v>
      </c>
    </row>
    <row r="410" spans="1:18" ht="15.75" customHeight="1" x14ac:dyDescent="0.3">
      <c r="A410" s="19">
        <v>29</v>
      </c>
      <c r="B410" s="20" t="s">
        <v>55</v>
      </c>
      <c r="C410" s="21">
        <v>46221</v>
      </c>
      <c r="D410" s="20" t="s">
        <v>45</v>
      </c>
      <c r="E410" s="20" t="s">
        <v>51</v>
      </c>
      <c r="F410" s="20" t="s">
        <v>47</v>
      </c>
      <c r="G410" s="20" t="s">
        <v>42</v>
      </c>
      <c r="H410" s="56" t="s">
        <v>53</v>
      </c>
      <c r="I410" s="32">
        <v>0</v>
      </c>
      <c r="J410" s="32">
        <v>804</v>
      </c>
      <c r="K410" s="32">
        <v>898</v>
      </c>
      <c r="L410" s="32">
        <v>1892</v>
      </c>
      <c r="M410" s="33">
        <f t="shared" si="17"/>
        <v>3594</v>
      </c>
      <c r="N410" s="32">
        <v>0</v>
      </c>
      <c r="O410" s="32">
        <v>734</v>
      </c>
      <c r="P410" s="34">
        <v>838</v>
      </c>
      <c r="Q410" s="32">
        <v>1770</v>
      </c>
      <c r="R410" s="33">
        <f t="shared" si="18"/>
        <v>3342</v>
      </c>
    </row>
    <row r="411" spans="1:18" ht="15.75" customHeight="1" x14ac:dyDescent="0.3">
      <c r="A411" s="19">
        <v>29</v>
      </c>
      <c r="B411" s="20" t="s">
        <v>55</v>
      </c>
      <c r="C411" s="21">
        <v>46221</v>
      </c>
      <c r="D411" s="20" t="s">
        <v>45</v>
      </c>
      <c r="E411" s="20" t="s">
        <v>51</v>
      </c>
      <c r="F411" s="20" t="s">
        <v>47</v>
      </c>
      <c r="G411" s="20" t="s">
        <v>42</v>
      </c>
      <c r="H411" s="56" t="s">
        <v>53</v>
      </c>
      <c r="I411" s="32">
        <v>0</v>
      </c>
      <c r="J411" s="32">
        <v>804</v>
      </c>
      <c r="K411" s="32">
        <v>898</v>
      </c>
      <c r="L411" s="32">
        <v>1892</v>
      </c>
      <c r="M411" s="33">
        <f t="shared" si="17"/>
        <v>3594</v>
      </c>
      <c r="N411" s="32">
        <v>0</v>
      </c>
      <c r="O411" s="32">
        <v>734</v>
      </c>
      <c r="P411" s="34">
        <v>838</v>
      </c>
      <c r="Q411" s="32">
        <v>1770</v>
      </c>
      <c r="R411" s="33">
        <f t="shared" si="18"/>
        <v>3342</v>
      </c>
    </row>
    <row r="412" spans="1:18" ht="15.75" customHeight="1" x14ac:dyDescent="0.3">
      <c r="A412" s="19">
        <v>29</v>
      </c>
      <c r="B412" s="20" t="s">
        <v>55</v>
      </c>
      <c r="C412" s="21">
        <v>46222</v>
      </c>
      <c r="D412" s="20" t="s">
        <v>45</v>
      </c>
      <c r="E412" s="20" t="s">
        <v>49</v>
      </c>
      <c r="F412" s="20" t="s">
        <v>47</v>
      </c>
      <c r="G412" s="20" t="s">
        <v>42</v>
      </c>
      <c r="H412" s="19" t="s">
        <v>66</v>
      </c>
      <c r="I412" s="32">
        <v>271</v>
      </c>
      <c r="J412" s="32">
        <v>333</v>
      </c>
      <c r="K412" s="32">
        <v>352</v>
      </c>
      <c r="L412" s="32">
        <v>272</v>
      </c>
      <c r="M412" s="33">
        <f t="shared" si="17"/>
        <v>1228</v>
      </c>
      <c r="N412" s="32">
        <v>200</v>
      </c>
      <c r="O412" s="32">
        <v>249</v>
      </c>
      <c r="P412" s="34">
        <v>293</v>
      </c>
      <c r="Q412" s="32">
        <v>72</v>
      </c>
      <c r="R412" s="33">
        <f t="shared" si="18"/>
        <v>814</v>
      </c>
    </row>
    <row r="413" spans="1:18" ht="15.75" customHeight="1" x14ac:dyDescent="0.3">
      <c r="A413" s="19">
        <v>29</v>
      </c>
      <c r="B413" s="20" t="s">
        <v>55</v>
      </c>
      <c r="C413" s="21">
        <v>46222</v>
      </c>
      <c r="D413" s="20" t="s">
        <v>45</v>
      </c>
      <c r="E413" s="20" t="s">
        <v>49</v>
      </c>
      <c r="F413" s="20" t="s">
        <v>47</v>
      </c>
      <c r="G413" s="20" t="s">
        <v>42</v>
      </c>
      <c r="H413" s="19" t="s">
        <v>66</v>
      </c>
      <c r="I413" s="32">
        <v>271</v>
      </c>
      <c r="J413" s="32">
        <v>333</v>
      </c>
      <c r="K413" s="32">
        <v>352</v>
      </c>
      <c r="L413" s="32">
        <v>272</v>
      </c>
      <c r="M413" s="33">
        <f t="shared" si="17"/>
        <v>1228</v>
      </c>
      <c r="N413" s="32">
        <v>200</v>
      </c>
      <c r="O413" s="32">
        <v>249</v>
      </c>
      <c r="P413" s="34">
        <v>293</v>
      </c>
      <c r="Q413" s="32">
        <v>72</v>
      </c>
      <c r="R413" s="33">
        <f t="shared" si="18"/>
        <v>814</v>
      </c>
    </row>
    <row r="414" spans="1:18" ht="15.75" customHeight="1" x14ac:dyDescent="0.3">
      <c r="A414" s="19">
        <v>29</v>
      </c>
      <c r="B414" s="20" t="s">
        <v>55</v>
      </c>
      <c r="C414" s="21">
        <v>46222</v>
      </c>
      <c r="D414" s="20" t="s">
        <v>45</v>
      </c>
      <c r="E414" s="20" t="s">
        <v>64</v>
      </c>
      <c r="F414" s="20" t="s">
        <v>47</v>
      </c>
      <c r="G414" s="20" t="s">
        <v>42</v>
      </c>
      <c r="H414" s="19" t="s">
        <v>65</v>
      </c>
      <c r="I414" s="32">
        <v>1207</v>
      </c>
      <c r="J414" s="32">
        <v>1636</v>
      </c>
      <c r="K414" s="32">
        <v>1806</v>
      </c>
      <c r="L414" s="32">
        <v>833</v>
      </c>
      <c r="M414" s="33">
        <f t="shared" si="17"/>
        <v>5482</v>
      </c>
      <c r="N414" s="32">
        <v>1187</v>
      </c>
      <c r="O414" s="32">
        <v>1474</v>
      </c>
      <c r="P414" s="34">
        <v>1754</v>
      </c>
      <c r="Q414" s="32">
        <v>565</v>
      </c>
      <c r="R414" s="33">
        <f t="shared" si="18"/>
        <v>4980</v>
      </c>
    </row>
    <row r="415" spans="1:18" ht="15.75" customHeight="1" x14ac:dyDescent="0.3">
      <c r="A415" s="19">
        <v>29</v>
      </c>
      <c r="B415" s="20" t="s">
        <v>55</v>
      </c>
      <c r="C415" s="21">
        <v>46222</v>
      </c>
      <c r="D415" s="20" t="s">
        <v>45</v>
      </c>
      <c r="E415" s="20" t="s">
        <v>64</v>
      </c>
      <c r="F415" s="20" t="s">
        <v>47</v>
      </c>
      <c r="G415" s="20" t="s">
        <v>42</v>
      </c>
      <c r="H415" s="19" t="s">
        <v>65</v>
      </c>
      <c r="I415" s="32">
        <v>1207</v>
      </c>
      <c r="J415" s="32">
        <v>1636</v>
      </c>
      <c r="K415" s="32">
        <v>1806</v>
      </c>
      <c r="L415" s="32">
        <v>833</v>
      </c>
      <c r="M415" s="33">
        <f t="shared" si="17"/>
        <v>5482</v>
      </c>
      <c r="N415" s="32">
        <v>1187</v>
      </c>
      <c r="O415" s="32">
        <v>1474</v>
      </c>
      <c r="P415" s="34">
        <v>1754</v>
      </c>
      <c r="Q415" s="32">
        <v>565</v>
      </c>
      <c r="R415" s="33">
        <f t="shared" si="18"/>
        <v>4980</v>
      </c>
    </row>
    <row r="416" spans="1:18" ht="15.75" customHeight="1" x14ac:dyDescent="0.3">
      <c r="A416" s="19">
        <v>29</v>
      </c>
      <c r="B416" s="20" t="s">
        <v>55</v>
      </c>
      <c r="C416" s="21">
        <v>46222</v>
      </c>
      <c r="D416" s="20" t="s">
        <v>45</v>
      </c>
      <c r="E416" s="20" t="s">
        <v>49</v>
      </c>
      <c r="F416" s="20" t="s">
        <v>47</v>
      </c>
      <c r="G416" s="20" t="s">
        <v>42</v>
      </c>
      <c r="H416" s="56" t="s">
        <v>50</v>
      </c>
      <c r="I416" s="32">
        <v>676</v>
      </c>
      <c r="J416" s="32">
        <v>1097</v>
      </c>
      <c r="K416" s="32">
        <v>482</v>
      </c>
      <c r="L416" s="32">
        <v>1928</v>
      </c>
      <c r="M416" s="33">
        <f t="shared" si="17"/>
        <v>4183</v>
      </c>
      <c r="N416" s="32">
        <v>624</v>
      </c>
      <c r="O416" s="32">
        <v>1005</v>
      </c>
      <c r="P416" s="34">
        <v>422</v>
      </c>
      <c r="Q416" s="32">
        <v>1564</v>
      </c>
      <c r="R416" s="33">
        <f t="shared" si="18"/>
        <v>3615</v>
      </c>
    </row>
    <row r="417" spans="1:18" ht="15.75" customHeight="1" x14ac:dyDescent="0.3">
      <c r="A417" s="19">
        <v>29</v>
      </c>
      <c r="B417" s="20" t="s">
        <v>55</v>
      </c>
      <c r="C417" s="21">
        <v>46222</v>
      </c>
      <c r="D417" s="20" t="s">
        <v>45</v>
      </c>
      <c r="E417" s="20" t="s">
        <v>49</v>
      </c>
      <c r="F417" s="20" t="s">
        <v>47</v>
      </c>
      <c r="G417" s="20" t="s">
        <v>42</v>
      </c>
      <c r="H417" s="56" t="s">
        <v>50</v>
      </c>
      <c r="I417" s="32">
        <v>676</v>
      </c>
      <c r="J417" s="32">
        <v>1097</v>
      </c>
      <c r="K417" s="32">
        <v>482</v>
      </c>
      <c r="L417" s="32">
        <v>1928</v>
      </c>
      <c r="M417" s="33">
        <f t="shared" si="17"/>
        <v>4183</v>
      </c>
      <c r="N417" s="32">
        <v>624</v>
      </c>
      <c r="O417" s="32">
        <v>1005</v>
      </c>
      <c r="P417" s="34">
        <v>422</v>
      </c>
      <c r="Q417" s="32">
        <v>1564</v>
      </c>
      <c r="R417" s="33">
        <f t="shared" si="18"/>
        <v>3615</v>
      </c>
    </row>
    <row r="418" spans="1:18" ht="15.75" customHeight="1" x14ac:dyDescent="0.3">
      <c r="A418" s="19">
        <v>29</v>
      </c>
      <c r="B418" s="20" t="s">
        <v>55</v>
      </c>
      <c r="C418" s="21">
        <v>46222</v>
      </c>
      <c r="D418" s="20" t="s">
        <v>45</v>
      </c>
      <c r="E418" s="20" t="s">
        <v>46</v>
      </c>
      <c r="F418" s="20" t="s">
        <v>47</v>
      </c>
      <c r="G418" s="20" t="s">
        <v>42</v>
      </c>
      <c r="H418" s="56" t="s">
        <v>48</v>
      </c>
      <c r="I418" s="32">
        <v>46</v>
      </c>
      <c r="J418" s="32">
        <v>500</v>
      </c>
      <c r="K418" s="32">
        <v>688</v>
      </c>
      <c r="L418" s="32">
        <v>1224</v>
      </c>
      <c r="M418" s="33">
        <f t="shared" si="17"/>
        <v>2458</v>
      </c>
      <c r="N418" s="32">
        <v>42</v>
      </c>
      <c r="O418" s="32">
        <v>382</v>
      </c>
      <c r="P418" s="34">
        <v>596</v>
      </c>
      <c r="Q418" s="32">
        <v>964</v>
      </c>
      <c r="R418" s="33">
        <f t="shared" si="18"/>
        <v>1984</v>
      </c>
    </row>
    <row r="419" spans="1:18" ht="15.75" customHeight="1" x14ac:dyDescent="0.3">
      <c r="A419" s="19">
        <v>29</v>
      </c>
      <c r="B419" s="20" t="s">
        <v>55</v>
      </c>
      <c r="C419" s="21">
        <v>46222</v>
      </c>
      <c r="D419" s="20" t="s">
        <v>45</v>
      </c>
      <c r="E419" s="20" t="s">
        <v>46</v>
      </c>
      <c r="F419" s="20" t="s">
        <v>47</v>
      </c>
      <c r="G419" s="20" t="s">
        <v>42</v>
      </c>
      <c r="H419" s="56" t="s">
        <v>48</v>
      </c>
      <c r="I419" s="32">
        <v>46</v>
      </c>
      <c r="J419" s="32">
        <v>500</v>
      </c>
      <c r="K419" s="32">
        <v>688</v>
      </c>
      <c r="L419" s="32">
        <v>1224</v>
      </c>
      <c r="M419" s="33">
        <f t="shared" si="17"/>
        <v>2458</v>
      </c>
      <c r="N419" s="32">
        <v>42</v>
      </c>
      <c r="O419" s="32">
        <v>382</v>
      </c>
      <c r="P419" s="34">
        <v>596</v>
      </c>
      <c r="Q419" s="32">
        <v>964</v>
      </c>
      <c r="R419" s="33">
        <f t="shared" si="18"/>
        <v>1984</v>
      </c>
    </row>
    <row r="420" spans="1:18" ht="15.75" customHeight="1" x14ac:dyDescent="0.3">
      <c r="A420" s="19">
        <v>29</v>
      </c>
      <c r="B420" s="20" t="s">
        <v>55</v>
      </c>
      <c r="C420" s="21">
        <v>46222</v>
      </c>
      <c r="D420" s="20" t="s">
        <v>45</v>
      </c>
      <c r="E420" s="20" t="s">
        <v>51</v>
      </c>
      <c r="F420" s="20" t="s">
        <v>47</v>
      </c>
      <c r="G420" s="20" t="s">
        <v>42</v>
      </c>
      <c r="H420" s="56" t="s">
        <v>52</v>
      </c>
      <c r="I420" s="32">
        <v>0</v>
      </c>
      <c r="J420" s="32">
        <v>3774</v>
      </c>
      <c r="K420" s="32">
        <v>2194</v>
      </c>
      <c r="L420" s="32">
        <v>5747</v>
      </c>
      <c r="M420" s="33">
        <f t="shared" si="17"/>
        <v>11715</v>
      </c>
      <c r="N420" s="32">
        <v>0</v>
      </c>
      <c r="O420" s="32">
        <v>3635</v>
      </c>
      <c r="P420" s="34">
        <v>2069</v>
      </c>
      <c r="Q420" s="32">
        <v>5519</v>
      </c>
      <c r="R420" s="33">
        <f t="shared" si="18"/>
        <v>11223</v>
      </c>
    </row>
    <row r="421" spans="1:18" ht="15.75" customHeight="1" x14ac:dyDescent="0.3">
      <c r="A421" s="19">
        <v>29</v>
      </c>
      <c r="B421" s="20" t="s">
        <v>55</v>
      </c>
      <c r="C421" s="21">
        <v>46222</v>
      </c>
      <c r="D421" s="20" t="s">
        <v>45</v>
      </c>
      <c r="E421" s="20" t="s">
        <v>51</v>
      </c>
      <c r="F421" s="20" t="s">
        <v>47</v>
      </c>
      <c r="G421" s="20" t="s">
        <v>42</v>
      </c>
      <c r="H421" s="56" t="s">
        <v>52</v>
      </c>
      <c r="I421" s="32">
        <v>0</v>
      </c>
      <c r="J421" s="32">
        <v>3774</v>
      </c>
      <c r="K421" s="32">
        <v>2194</v>
      </c>
      <c r="L421" s="32">
        <v>5747</v>
      </c>
      <c r="M421" s="33">
        <f t="shared" si="17"/>
        <v>11715</v>
      </c>
      <c r="N421" s="32">
        <v>0</v>
      </c>
      <c r="O421" s="32">
        <v>3635</v>
      </c>
      <c r="P421" s="34">
        <v>2069</v>
      </c>
      <c r="Q421" s="32">
        <v>5519</v>
      </c>
      <c r="R421" s="33">
        <f t="shared" si="18"/>
        <v>11223</v>
      </c>
    </row>
    <row r="422" spans="1:18" ht="15.75" customHeight="1" x14ac:dyDescent="0.3">
      <c r="A422" s="19">
        <v>29</v>
      </c>
      <c r="B422" s="20" t="s">
        <v>55</v>
      </c>
      <c r="C422" s="21">
        <v>46222</v>
      </c>
      <c r="D422" s="20" t="s">
        <v>45</v>
      </c>
      <c r="E422" s="20" t="s">
        <v>51</v>
      </c>
      <c r="F422" s="20" t="s">
        <v>47</v>
      </c>
      <c r="G422" s="20" t="s">
        <v>42</v>
      </c>
      <c r="H422" s="56" t="s">
        <v>53</v>
      </c>
      <c r="I422" s="32">
        <v>0</v>
      </c>
      <c r="J422" s="32">
        <v>880</v>
      </c>
      <c r="K422" s="32">
        <v>920</v>
      </c>
      <c r="L422" s="32">
        <v>1840</v>
      </c>
      <c r="M422" s="33">
        <f t="shared" si="17"/>
        <v>3640</v>
      </c>
      <c r="N422" s="32">
        <v>0</v>
      </c>
      <c r="O422" s="32">
        <v>832</v>
      </c>
      <c r="P422" s="34">
        <v>886</v>
      </c>
      <c r="Q422" s="32">
        <v>1744</v>
      </c>
      <c r="R422" s="33">
        <f t="shared" si="18"/>
        <v>3462</v>
      </c>
    </row>
    <row r="423" spans="1:18" ht="15.75" customHeight="1" x14ac:dyDescent="0.3">
      <c r="A423" s="19">
        <v>29</v>
      </c>
      <c r="B423" s="20" t="s">
        <v>55</v>
      </c>
      <c r="C423" s="21">
        <v>46222</v>
      </c>
      <c r="D423" s="20" t="s">
        <v>45</v>
      </c>
      <c r="E423" s="20" t="s">
        <v>51</v>
      </c>
      <c r="F423" s="20" t="s">
        <v>47</v>
      </c>
      <c r="G423" s="20" t="s">
        <v>42</v>
      </c>
      <c r="H423" s="56" t="s">
        <v>53</v>
      </c>
      <c r="I423" s="32">
        <v>0</v>
      </c>
      <c r="J423" s="32">
        <v>880</v>
      </c>
      <c r="K423" s="32">
        <v>920</v>
      </c>
      <c r="L423" s="32">
        <v>1840</v>
      </c>
      <c r="M423" s="33">
        <f t="shared" si="17"/>
        <v>3640</v>
      </c>
      <c r="N423" s="32">
        <v>0</v>
      </c>
      <c r="O423" s="32">
        <v>832</v>
      </c>
      <c r="P423" s="34">
        <v>886</v>
      </c>
      <c r="Q423" s="32">
        <v>1744</v>
      </c>
      <c r="R423" s="33">
        <f t="shared" si="18"/>
        <v>3462</v>
      </c>
    </row>
    <row r="424" spans="1:18" ht="15.75" customHeight="1" x14ac:dyDescent="0.3">
      <c r="A424" s="19">
        <v>29</v>
      </c>
      <c r="B424" s="20" t="s">
        <v>55</v>
      </c>
      <c r="C424" s="21">
        <v>46222</v>
      </c>
      <c r="D424" s="20" t="s">
        <v>45</v>
      </c>
      <c r="E424" s="20" t="s">
        <v>46</v>
      </c>
      <c r="F424" s="20" t="s">
        <v>47</v>
      </c>
      <c r="G424" s="20" t="s">
        <v>42</v>
      </c>
      <c r="H424" s="19" t="s">
        <v>54</v>
      </c>
      <c r="I424" s="32">
        <v>527</v>
      </c>
      <c r="J424" s="32">
        <v>475</v>
      </c>
      <c r="K424" s="32">
        <v>475</v>
      </c>
      <c r="L424" s="32">
        <v>340</v>
      </c>
      <c r="M424" s="33">
        <f t="shared" si="17"/>
        <v>1817</v>
      </c>
      <c r="N424" s="32">
        <v>455</v>
      </c>
      <c r="O424" s="32">
        <v>374</v>
      </c>
      <c r="P424" s="34">
        <v>499</v>
      </c>
      <c r="Q424" s="32">
        <v>155</v>
      </c>
      <c r="R424" s="33">
        <f t="shared" si="18"/>
        <v>1483</v>
      </c>
    </row>
    <row r="425" spans="1:18" ht="15.75" customHeight="1" x14ac:dyDescent="0.3">
      <c r="A425" s="19">
        <v>29</v>
      </c>
      <c r="B425" s="20" t="s">
        <v>55</v>
      </c>
      <c r="C425" s="21">
        <v>46222</v>
      </c>
      <c r="D425" s="20" t="s">
        <v>45</v>
      </c>
      <c r="E425" s="20" t="s">
        <v>46</v>
      </c>
      <c r="F425" s="20" t="s">
        <v>47</v>
      </c>
      <c r="G425" s="20" t="s">
        <v>42</v>
      </c>
      <c r="H425" s="19" t="s">
        <v>54</v>
      </c>
      <c r="I425" s="32">
        <v>527</v>
      </c>
      <c r="J425" s="32">
        <v>475</v>
      </c>
      <c r="K425" s="32">
        <v>475</v>
      </c>
      <c r="L425" s="32">
        <v>340</v>
      </c>
      <c r="M425" s="33">
        <f t="shared" si="17"/>
        <v>1817</v>
      </c>
      <c r="N425" s="32">
        <v>455</v>
      </c>
      <c r="O425" s="32">
        <v>374</v>
      </c>
      <c r="P425" s="34">
        <v>499</v>
      </c>
      <c r="Q425" s="32">
        <v>155</v>
      </c>
      <c r="R425" s="33">
        <f t="shared" si="18"/>
        <v>1483</v>
      </c>
    </row>
    <row r="426" spans="1:18" ht="15.75" customHeight="1" x14ac:dyDescent="0.3">
      <c r="A426" s="19">
        <v>30</v>
      </c>
      <c r="B426" s="20" t="str">
        <f t="shared" ref="B426:B457" si="19">IF(C426="","",UPPER(TEXT(C426, "MMM")))</f>
        <v>JUL</v>
      </c>
      <c r="C426" s="21">
        <v>46227</v>
      </c>
      <c r="D426" s="20" t="str">
        <f>IFERROR(VLOOKUP(H426,KET!$B:$F,2,0),"")</f>
        <v>GRSM 4</v>
      </c>
      <c r="E426" s="20" t="str">
        <f>IFERROR(VLOOKUP(H426,KET!$B:$F,3,0),"")</f>
        <v>SUBANG</v>
      </c>
      <c r="F426" s="20" t="str">
        <f>IFERROR(VLOOKUP(H426,KET!$B:$F,4,0),"")</f>
        <v>FAHMI LUKMANUL HAKIM</v>
      </c>
      <c r="G426" s="20" t="str">
        <f>IFERROR(VLOOKUP(H426,KET!$B:$F,5,0),"")</f>
        <v>GMM</v>
      </c>
      <c r="H426" s="19" t="s">
        <v>31</v>
      </c>
      <c r="I426" s="32">
        <v>1400</v>
      </c>
      <c r="J426" s="32">
        <v>920</v>
      </c>
      <c r="K426" s="32">
        <v>1280</v>
      </c>
      <c r="L426" s="32">
        <v>2200</v>
      </c>
      <c r="M426" s="33">
        <f t="shared" si="17"/>
        <v>5800</v>
      </c>
      <c r="N426" s="32">
        <v>1253</v>
      </c>
      <c r="O426" s="32">
        <v>767</v>
      </c>
      <c r="P426" s="34">
        <v>1168</v>
      </c>
      <c r="Q426" s="32">
        <v>1992</v>
      </c>
      <c r="R426" s="33">
        <f t="shared" si="18"/>
        <v>5180</v>
      </c>
    </row>
    <row r="427" spans="1:18" ht="15.75" customHeight="1" x14ac:dyDescent="0.3">
      <c r="A427" s="19">
        <v>30</v>
      </c>
      <c r="B427" s="20" t="str">
        <f t="shared" si="19"/>
        <v>JUL</v>
      </c>
      <c r="C427" s="21">
        <v>46227</v>
      </c>
      <c r="D427" s="20" t="str">
        <f>IFERROR(VLOOKUP(H427,KET!$B:$F,2,0),"")</f>
        <v>GRSM 4</v>
      </c>
      <c r="E427" s="20" t="str">
        <f>IFERROR(VLOOKUP(H427,KET!$B:$F,3,0),"")</f>
        <v>SUBANG</v>
      </c>
      <c r="F427" s="20" t="str">
        <f>IFERROR(VLOOKUP(H427,KET!$B:$F,4,0),"")</f>
        <v>FAHMI LUKMANUL HAKIM</v>
      </c>
      <c r="G427" s="20" t="str">
        <f>IFERROR(VLOOKUP(H427,KET!$B:$F,5,0),"")</f>
        <v>GMM</v>
      </c>
      <c r="H427" s="19" t="s">
        <v>31</v>
      </c>
      <c r="I427" s="32">
        <v>1400</v>
      </c>
      <c r="J427" s="32">
        <v>920</v>
      </c>
      <c r="K427" s="32">
        <v>1280</v>
      </c>
      <c r="L427" s="32">
        <v>2200</v>
      </c>
      <c r="M427" s="33">
        <f t="shared" si="17"/>
        <v>5800</v>
      </c>
      <c r="N427" s="32">
        <v>1253</v>
      </c>
      <c r="O427" s="32">
        <v>767</v>
      </c>
      <c r="P427" s="34">
        <v>1168</v>
      </c>
      <c r="Q427" s="32">
        <v>1992</v>
      </c>
      <c r="R427" s="33">
        <f t="shared" si="18"/>
        <v>5180</v>
      </c>
    </row>
    <row r="428" spans="1:18" ht="15.75" customHeight="1" x14ac:dyDescent="0.3">
      <c r="A428" s="19">
        <v>30</v>
      </c>
      <c r="B428" s="20" t="str">
        <f t="shared" si="19"/>
        <v>JUL</v>
      </c>
      <c r="C428" s="21">
        <v>46227</v>
      </c>
      <c r="D428" s="20" t="str">
        <f>IFERROR(VLOOKUP(H428,KET!$B:$F,2,0),"")</f>
        <v>GRSM 4</v>
      </c>
      <c r="E428" s="20" t="str">
        <f>IFERROR(VLOOKUP(H428,KET!$B:$F,3,0),"")</f>
        <v>KUNINGAN</v>
      </c>
      <c r="F428" s="20" t="str">
        <f>IFERROR(VLOOKUP(H428,KET!$B:$F,4,0),"")</f>
        <v>FAHMI LUKMANUL HAKIM</v>
      </c>
      <c r="G428" s="20" t="str">
        <f>IFERROR(VLOOKUP(H428,KET!$B:$F,5,0),"")</f>
        <v>GMM</v>
      </c>
      <c r="H428" s="19" t="s">
        <v>30</v>
      </c>
      <c r="I428" s="32">
        <v>409</v>
      </c>
      <c r="J428" s="32">
        <v>347</v>
      </c>
      <c r="K428" s="32">
        <v>508</v>
      </c>
      <c r="L428" s="32">
        <v>267</v>
      </c>
      <c r="M428" s="33">
        <f t="shared" si="17"/>
        <v>1531</v>
      </c>
      <c r="N428" s="32">
        <v>374</v>
      </c>
      <c r="O428" s="32">
        <v>297</v>
      </c>
      <c r="P428" s="34">
        <v>458</v>
      </c>
      <c r="Q428" s="32">
        <v>122</v>
      </c>
      <c r="R428" s="33">
        <f t="shared" si="18"/>
        <v>1251</v>
      </c>
    </row>
    <row r="429" spans="1:18" ht="15.75" customHeight="1" x14ac:dyDescent="0.3">
      <c r="A429" s="19">
        <v>30</v>
      </c>
      <c r="B429" s="20" t="str">
        <f t="shared" si="19"/>
        <v>JUL</v>
      </c>
      <c r="C429" s="21">
        <v>46227</v>
      </c>
      <c r="D429" s="20" t="str">
        <f>IFERROR(VLOOKUP(H429,KET!$B:$F,2,0),"")</f>
        <v>GRSM 4</v>
      </c>
      <c r="E429" s="20" t="str">
        <f>IFERROR(VLOOKUP(H429,KET!$B:$F,3,0),"")</f>
        <v>GARUT</v>
      </c>
      <c r="F429" s="20" t="str">
        <f>IFERROR(VLOOKUP(H429,KET!$B:$F,4,0),"")</f>
        <v>FAHMI LUKMANUL HAKIM</v>
      </c>
      <c r="G429" s="20" t="str">
        <f>IFERROR(VLOOKUP(H429,KET!$B:$F,5,0),"")</f>
        <v>GMM</v>
      </c>
      <c r="H429" s="19" t="s">
        <v>35</v>
      </c>
      <c r="I429" s="32">
        <v>1100</v>
      </c>
      <c r="J429" s="32">
        <v>1840</v>
      </c>
      <c r="K429" s="32">
        <v>1880</v>
      </c>
      <c r="L429" s="32">
        <v>2920</v>
      </c>
      <c r="M429" s="33">
        <f t="shared" si="17"/>
        <v>7740</v>
      </c>
      <c r="N429" s="32">
        <v>1000</v>
      </c>
      <c r="O429" s="32">
        <v>1730</v>
      </c>
      <c r="P429" s="34">
        <v>1780</v>
      </c>
      <c r="Q429" s="32">
        <v>2780</v>
      </c>
      <c r="R429" s="33">
        <f t="shared" si="18"/>
        <v>7290</v>
      </c>
    </row>
    <row r="430" spans="1:18" ht="15.75" customHeight="1" x14ac:dyDescent="0.3">
      <c r="A430" s="19">
        <v>30</v>
      </c>
      <c r="B430" s="20" t="str">
        <f t="shared" si="19"/>
        <v>JUL</v>
      </c>
      <c r="C430" s="21">
        <v>46227</v>
      </c>
      <c r="D430" s="20" t="str">
        <f>IFERROR(VLOOKUP(H430,KET!$B:$F,2,0),"")</f>
        <v>GRSM 4</v>
      </c>
      <c r="E430" s="20" t="str">
        <f>IFERROR(VLOOKUP(H430,KET!$B:$F,3,0),"")</f>
        <v>GARUT</v>
      </c>
      <c r="F430" s="20" t="str">
        <f>IFERROR(VLOOKUP(H430,KET!$B:$F,4,0),"")</f>
        <v>FAHMI LUKMANUL HAKIM</v>
      </c>
      <c r="G430" s="20" t="str">
        <f>IFERROR(VLOOKUP(H430,KET!$B:$F,5,0),"")</f>
        <v>GMM</v>
      </c>
      <c r="H430" s="19" t="s">
        <v>35</v>
      </c>
      <c r="I430" s="32">
        <v>1000</v>
      </c>
      <c r="J430" s="32">
        <v>1730</v>
      </c>
      <c r="K430" s="32">
        <v>1780</v>
      </c>
      <c r="L430" s="32">
        <v>2780</v>
      </c>
      <c r="M430" s="33">
        <f t="shared" si="17"/>
        <v>7290</v>
      </c>
      <c r="N430" s="32">
        <v>900</v>
      </c>
      <c r="O430" s="32">
        <v>1630</v>
      </c>
      <c r="P430" s="34">
        <v>1670</v>
      </c>
      <c r="Q430" s="32">
        <v>2650</v>
      </c>
      <c r="R430" s="33">
        <f t="shared" si="18"/>
        <v>6850</v>
      </c>
    </row>
    <row r="431" spans="1:18" ht="15.75" customHeight="1" x14ac:dyDescent="0.3">
      <c r="A431" s="19">
        <v>30</v>
      </c>
      <c r="B431" s="20" t="str">
        <f t="shared" si="19"/>
        <v>JUL</v>
      </c>
      <c r="C431" s="21">
        <v>46227</v>
      </c>
      <c r="D431" s="20" t="str">
        <f>IFERROR(VLOOKUP(H431,KET!$B:$F,2,0),"")</f>
        <v>GRSM 4</v>
      </c>
      <c r="E431" s="20" t="str">
        <f>IFERROR(VLOOKUP(H431,KET!$B:$F,3,0),"")</f>
        <v>KUNINGAN</v>
      </c>
      <c r="F431" s="20" t="str">
        <f>IFERROR(VLOOKUP(H431,KET!$B:$F,4,0),"")</f>
        <v>FAHMI LUKMANUL HAKIM</v>
      </c>
      <c r="G431" s="20" t="str">
        <f>IFERROR(VLOOKUP(H431,KET!$B:$F,5,0),"")</f>
        <v>GMM</v>
      </c>
      <c r="H431" s="19" t="s">
        <v>30</v>
      </c>
      <c r="I431" s="32">
        <v>409</v>
      </c>
      <c r="J431" s="32">
        <v>347</v>
      </c>
      <c r="K431" s="32">
        <v>508</v>
      </c>
      <c r="L431" s="32">
        <v>267</v>
      </c>
      <c r="M431" s="33">
        <f t="shared" si="17"/>
        <v>1531</v>
      </c>
      <c r="N431" s="32">
        <v>324</v>
      </c>
      <c r="O431" s="32">
        <v>237</v>
      </c>
      <c r="P431" s="34">
        <v>393</v>
      </c>
      <c r="Q431" s="32">
        <v>17</v>
      </c>
      <c r="R431" s="33">
        <f t="shared" si="18"/>
        <v>971</v>
      </c>
    </row>
    <row r="432" spans="1:18" ht="15.75" customHeight="1" x14ac:dyDescent="0.3">
      <c r="A432" s="19">
        <v>30</v>
      </c>
      <c r="B432" s="20" t="str">
        <f t="shared" si="19"/>
        <v>JUL</v>
      </c>
      <c r="C432" s="21">
        <v>46227</v>
      </c>
      <c r="D432" s="20" t="str">
        <f>IFERROR(VLOOKUP(H432,KET!$B:$F,2,0),"")</f>
        <v>GRSM 4</v>
      </c>
      <c r="E432" s="20" t="str">
        <f>IFERROR(VLOOKUP(H432,KET!$B:$F,3,0),"")</f>
        <v>BANJAR</v>
      </c>
      <c r="F432" s="20" t="str">
        <f>IFERROR(VLOOKUP(H432,KET!$B:$F,4,0),"")</f>
        <v>FAHMI LUKMANUL HAKIM</v>
      </c>
      <c r="G432" s="20" t="str">
        <f>IFERROR(VLOOKUP(H432,KET!$B:$F,5,0),"")</f>
        <v>GMM</v>
      </c>
      <c r="H432" s="19" t="s">
        <v>67</v>
      </c>
      <c r="I432" s="32">
        <v>350</v>
      </c>
      <c r="J432" s="32">
        <v>520</v>
      </c>
      <c r="K432" s="32">
        <v>550</v>
      </c>
      <c r="L432" s="32">
        <v>610</v>
      </c>
      <c r="M432" s="33">
        <f t="shared" si="17"/>
        <v>2030</v>
      </c>
      <c r="N432" s="32">
        <v>310</v>
      </c>
      <c r="O432" s="32">
        <v>470</v>
      </c>
      <c r="P432" s="34">
        <v>490</v>
      </c>
      <c r="Q432" s="32">
        <v>537</v>
      </c>
      <c r="R432" s="33">
        <f t="shared" si="18"/>
        <v>1807</v>
      </c>
    </row>
    <row r="433" spans="1:18" ht="15.75" customHeight="1" x14ac:dyDescent="0.3">
      <c r="A433" s="19">
        <v>30</v>
      </c>
      <c r="B433" s="20" t="str">
        <f t="shared" si="19"/>
        <v>JUL</v>
      </c>
      <c r="C433" s="21">
        <v>46227</v>
      </c>
      <c r="D433" s="20" t="str">
        <f>IFERROR(VLOOKUP(H433,KET!$B:$F,2,0),"")</f>
        <v>GRSM 4</v>
      </c>
      <c r="E433" s="20" t="str">
        <f>IFERROR(VLOOKUP(H433,KET!$B:$F,3,0),"")</f>
        <v>TASIKMALAYA</v>
      </c>
      <c r="F433" s="20" t="str">
        <f>IFERROR(VLOOKUP(H433,KET!$B:$F,4,0),"")</f>
        <v>FAHMI LUKMANUL HAKIM</v>
      </c>
      <c r="G433" s="20" t="str">
        <f>IFERROR(VLOOKUP(H433,KET!$B:$F,5,0),"")</f>
        <v>GMM</v>
      </c>
      <c r="H433" s="19" t="s">
        <v>32</v>
      </c>
      <c r="I433" s="32">
        <v>725</v>
      </c>
      <c r="J433" s="32">
        <v>815</v>
      </c>
      <c r="K433" s="32">
        <v>652</v>
      </c>
      <c r="L433" s="32">
        <v>1360</v>
      </c>
      <c r="M433" s="33">
        <f t="shared" si="17"/>
        <v>3552</v>
      </c>
      <c r="N433" s="32">
        <v>635</v>
      </c>
      <c r="O433" s="32">
        <v>737</v>
      </c>
      <c r="P433" s="34">
        <v>563</v>
      </c>
      <c r="Q433" s="32">
        <v>1210</v>
      </c>
      <c r="R433" s="33">
        <f t="shared" si="18"/>
        <v>3145</v>
      </c>
    </row>
    <row r="434" spans="1:18" ht="15.75" customHeight="1" x14ac:dyDescent="0.3">
      <c r="A434" s="19">
        <v>30</v>
      </c>
      <c r="B434" s="20" t="str">
        <f t="shared" si="19"/>
        <v>JUL</v>
      </c>
      <c r="C434" s="21">
        <v>46227</v>
      </c>
      <c r="D434" s="20" t="str">
        <f>IFERROR(VLOOKUP(H434,KET!$B:$F,2,0),"")</f>
        <v>GRSM 4</v>
      </c>
      <c r="E434" s="20" t="str">
        <f>IFERROR(VLOOKUP(H434,KET!$B:$F,3,0),"")</f>
        <v>TASIKMALAYA</v>
      </c>
      <c r="F434" s="20" t="str">
        <f>IFERROR(VLOOKUP(H434,KET!$B:$F,4,0),"")</f>
        <v>FAHMI LUKMANUL HAKIM</v>
      </c>
      <c r="G434" s="20" t="str">
        <f>IFERROR(VLOOKUP(H434,KET!$B:$F,5,0),"")</f>
        <v>GMM</v>
      </c>
      <c r="H434" s="19" t="s">
        <v>32</v>
      </c>
      <c r="I434" s="32">
        <v>710</v>
      </c>
      <c r="J434" s="32">
        <v>750</v>
      </c>
      <c r="K434" s="32">
        <v>610</v>
      </c>
      <c r="L434" s="32">
        <v>1325</v>
      </c>
      <c r="M434" s="33">
        <f t="shared" si="17"/>
        <v>3395</v>
      </c>
      <c r="N434" s="32">
        <v>660</v>
      </c>
      <c r="O434" s="32">
        <v>700</v>
      </c>
      <c r="P434" s="34">
        <v>550</v>
      </c>
      <c r="Q434" s="32">
        <v>1215</v>
      </c>
      <c r="R434" s="33">
        <f t="shared" si="18"/>
        <v>3125</v>
      </c>
    </row>
    <row r="435" spans="1:18" ht="15.75" customHeight="1" x14ac:dyDescent="0.3">
      <c r="A435" s="19">
        <v>30</v>
      </c>
      <c r="B435" s="20" t="str">
        <f t="shared" si="19"/>
        <v>JUL</v>
      </c>
      <c r="C435" s="21">
        <v>46227</v>
      </c>
      <c r="D435" s="20" t="str">
        <f>IFERROR(VLOOKUP(H435,KET!$B:$F,2,0),"")</f>
        <v>GRSM 4</v>
      </c>
      <c r="E435" s="20" t="str">
        <f>IFERROR(VLOOKUP(H435,KET!$B:$F,3,0),"")</f>
        <v>TASIKMALAYA</v>
      </c>
      <c r="F435" s="20" t="str">
        <f>IFERROR(VLOOKUP(H435,KET!$B:$F,4,0),"")</f>
        <v>FAHMI LUKMANUL HAKIM</v>
      </c>
      <c r="G435" s="20" t="str">
        <f>IFERROR(VLOOKUP(H435,KET!$B:$F,5,0),"")</f>
        <v>GMM</v>
      </c>
      <c r="H435" s="19" t="s">
        <v>68</v>
      </c>
      <c r="I435" s="32">
        <v>1480</v>
      </c>
      <c r="J435" s="32">
        <v>1720</v>
      </c>
      <c r="K435" s="32">
        <v>1920</v>
      </c>
      <c r="L435" s="32">
        <v>2440</v>
      </c>
      <c r="M435" s="33">
        <f t="shared" si="17"/>
        <v>7560</v>
      </c>
      <c r="N435" s="32">
        <v>1384</v>
      </c>
      <c r="O435" s="32">
        <v>1576</v>
      </c>
      <c r="P435" s="34">
        <v>1788</v>
      </c>
      <c r="Q435" s="32">
        <v>2266</v>
      </c>
      <c r="R435" s="33">
        <f t="shared" si="18"/>
        <v>7014</v>
      </c>
    </row>
    <row r="436" spans="1:18" ht="15.75" customHeight="1" x14ac:dyDescent="0.3">
      <c r="A436" s="19">
        <v>30</v>
      </c>
      <c r="B436" s="20" t="str">
        <f t="shared" si="19"/>
        <v>JUL</v>
      </c>
      <c r="C436" s="21">
        <v>46228</v>
      </c>
      <c r="D436" s="20" t="str">
        <f>IFERROR(VLOOKUP(H436,KET!$B:$F,2,0),"")</f>
        <v>GRSM 4</v>
      </c>
      <c r="E436" s="20" t="str">
        <f>IFERROR(VLOOKUP(H436,KET!$B:$F,3,0),"")</f>
        <v>GARUT</v>
      </c>
      <c r="F436" s="20" t="str">
        <f>IFERROR(VLOOKUP(H436,KET!$B:$F,4,0),"")</f>
        <v>FAHMI LUKMANUL HAKIM</v>
      </c>
      <c r="G436" s="20" t="str">
        <f>IFERROR(VLOOKUP(H436,KET!$B:$F,5,0),"")</f>
        <v>GMM</v>
      </c>
      <c r="H436" s="19" t="s">
        <v>57</v>
      </c>
      <c r="I436" s="32">
        <v>175</v>
      </c>
      <c r="J436" s="32">
        <v>140</v>
      </c>
      <c r="K436" s="32">
        <v>240</v>
      </c>
      <c r="L436" s="32">
        <v>60</v>
      </c>
      <c r="M436" s="33">
        <f t="shared" si="17"/>
        <v>615</v>
      </c>
      <c r="N436" s="32">
        <v>125</v>
      </c>
      <c r="O436" s="32">
        <v>85</v>
      </c>
      <c r="P436" s="34">
        <v>180</v>
      </c>
      <c r="Q436" s="32">
        <v>20</v>
      </c>
      <c r="R436" s="33">
        <f t="shared" si="18"/>
        <v>410</v>
      </c>
    </row>
    <row r="437" spans="1:18" ht="15.75" customHeight="1" x14ac:dyDescent="0.3">
      <c r="A437" s="19">
        <v>30</v>
      </c>
      <c r="B437" s="20" t="str">
        <f t="shared" si="19"/>
        <v>JUL</v>
      </c>
      <c r="C437" s="21">
        <v>46228</v>
      </c>
      <c r="D437" s="20" t="str">
        <f>IFERROR(VLOOKUP(H437,KET!$B:$F,2,0),"")</f>
        <v>GRSM 4</v>
      </c>
      <c r="E437" s="20" t="str">
        <f>IFERROR(VLOOKUP(H437,KET!$B:$F,3,0),"")</f>
        <v>GARUT</v>
      </c>
      <c r="F437" s="20" t="str">
        <f>IFERROR(VLOOKUP(H437,KET!$B:$F,4,0),"")</f>
        <v>FAHMI LUKMANUL HAKIM</v>
      </c>
      <c r="G437" s="20" t="str">
        <f>IFERROR(VLOOKUP(H437,KET!$B:$F,5,0),"")</f>
        <v>GMM</v>
      </c>
      <c r="H437" s="19" t="s">
        <v>57</v>
      </c>
      <c r="I437" s="32">
        <v>125</v>
      </c>
      <c r="J437" s="32">
        <v>85</v>
      </c>
      <c r="K437" s="32">
        <v>180</v>
      </c>
      <c r="L437" s="32">
        <v>120</v>
      </c>
      <c r="M437" s="33">
        <f t="shared" si="17"/>
        <v>510</v>
      </c>
      <c r="N437" s="32">
        <v>85</v>
      </c>
      <c r="O437" s="32">
        <v>33</v>
      </c>
      <c r="P437" s="34">
        <v>125</v>
      </c>
      <c r="Q437" s="32">
        <v>87</v>
      </c>
      <c r="R437" s="33">
        <f t="shared" si="18"/>
        <v>330</v>
      </c>
    </row>
    <row r="438" spans="1:18" ht="15.75" customHeight="1" x14ac:dyDescent="0.3">
      <c r="A438" s="19">
        <v>30</v>
      </c>
      <c r="B438" s="20" t="str">
        <f t="shared" si="19"/>
        <v>JUL</v>
      </c>
      <c r="C438" s="21">
        <v>46227</v>
      </c>
      <c r="D438" s="20" t="str">
        <f>IFERROR(VLOOKUP(H438,KET!$B:$F,2,0),"")</f>
        <v>GRSM 4</v>
      </c>
      <c r="E438" s="20" t="str">
        <f>IFERROR(VLOOKUP(H438,KET!$B:$F,3,0),"")</f>
        <v>BANJAR</v>
      </c>
      <c r="F438" s="20" t="str">
        <f>IFERROR(VLOOKUP(H438,KET!$B:$F,4,0),"")</f>
        <v>FAHMI LUKMANUL HAKIM</v>
      </c>
      <c r="G438" s="20" t="str">
        <f>IFERROR(VLOOKUP(H438,KET!$B:$F,5,0),"")</f>
        <v>GMM</v>
      </c>
      <c r="H438" s="19" t="s">
        <v>67</v>
      </c>
      <c r="I438" s="32">
        <v>350</v>
      </c>
      <c r="J438" s="32">
        <v>520</v>
      </c>
      <c r="K438" s="32">
        <v>550</v>
      </c>
      <c r="L438" s="32">
        <v>610</v>
      </c>
      <c r="M438" s="33">
        <f t="shared" si="17"/>
        <v>2030</v>
      </c>
      <c r="N438" s="32">
        <v>310</v>
      </c>
      <c r="O438" s="32">
        <v>470</v>
      </c>
      <c r="P438" s="34">
        <v>490</v>
      </c>
      <c r="Q438" s="32">
        <v>537</v>
      </c>
      <c r="R438" s="33">
        <f t="shared" si="18"/>
        <v>1807</v>
      </c>
    </row>
    <row r="439" spans="1:18" ht="15.75" customHeight="1" x14ac:dyDescent="0.3">
      <c r="A439" s="19">
        <v>30</v>
      </c>
      <c r="B439" s="20" t="str">
        <f t="shared" si="19"/>
        <v>JUL</v>
      </c>
      <c r="C439" s="21">
        <v>46227</v>
      </c>
      <c r="D439" s="20" t="str">
        <f>IFERROR(VLOOKUP(H439,KET!$B:$F,2,0),"")</f>
        <v>GRSM 4</v>
      </c>
      <c r="E439" s="20" t="str">
        <f>IFERROR(VLOOKUP(H439,KET!$B:$F,3,0),"")</f>
        <v>TASIKMALAYA</v>
      </c>
      <c r="F439" s="20" t="str">
        <f>IFERROR(VLOOKUP(H439,KET!$B:$F,4,0),"")</f>
        <v>FAHMI LUKMANUL HAKIM</v>
      </c>
      <c r="G439" s="20" t="str">
        <f>IFERROR(VLOOKUP(H439,KET!$B:$F,5,0),"")</f>
        <v>GMM</v>
      </c>
      <c r="H439" s="19" t="s">
        <v>68</v>
      </c>
      <c r="I439" s="32">
        <v>1384</v>
      </c>
      <c r="J439" s="32">
        <v>1576</v>
      </c>
      <c r="K439" s="32">
        <v>1788</v>
      </c>
      <c r="L439" s="32">
        <v>2266</v>
      </c>
      <c r="M439" s="33">
        <f t="shared" si="17"/>
        <v>7014</v>
      </c>
      <c r="N439" s="32">
        <v>1288</v>
      </c>
      <c r="O439" s="32">
        <v>1462</v>
      </c>
      <c r="P439" s="34">
        <v>1665</v>
      </c>
      <c r="Q439" s="32">
        <v>2128</v>
      </c>
      <c r="R439" s="33">
        <f t="shared" si="18"/>
        <v>6543</v>
      </c>
    </row>
    <row r="440" spans="1:18" ht="15.75" customHeight="1" x14ac:dyDescent="0.3">
      <c r="A440" s="19">
        <v>30</v>
      </c>
      <c r="B440" s="20" t="str">
        <f t="shared" si="19"/>
        <v>JUL</v>
      </c>
      <c r="C440" s="21">
        <v>46228</v>
      </c>
      <c r="D440" s="20" t="str">
        <f>IFERROR(VLOOKUP(H440,KET!$B:$F,2,0),"")</f>
        <v>GRSM 4</v>
      </c>
      <c r="E440" s="20" t="str">
        <f>IFERROR(VLOOKUP(H440,KET!$B:$F,3,0),"")</f>
        <v>KUNINGAN</v>
      </c>
      <c r="F440" s="20" t="str">
        <f>IFERROR(VLOOKUP(H440,KET!$B:$F,4,0),"")</f>
        <v>FAHMI LUKMANUL HAKIM</v>
      </c>
      <c r="G440" s="20" t="str">
        <f>IFERROR(VLOOKUP(H440,KET!$B:$F,5,0),"")</f>
        <v>GMM</v>
      </c>
      <c r="H440" s="19" t="s">
        <v>30</v>
      </c>
      <c r="I440" s="32">
        <v>324</v>
      </c>
      <c r="J440" s="32">
        <v>237</v>
      </c>
      <c r="K440" s="32">
        <v>393</v>
      </c>
      <c r="L440" s="32">
        <v>17</v>
      </c>
      <c r="M440" s="33">
        <f t="shared" si="17"/>
        <v>971</v>
      </c>
      <c r="N440" s="32">
        <v>234</v>
      </c>
      <c r="O440" s="32">
        <v>152</v>
      </c>
      <c r="P440" s="34">
        <v>295</v>
      </c>
      <c r="Q440" s="32">
        <v>0</v>
      </c>
      <c r="R440" s="33">
        <f t="shared" si="18"/>
        <v>681</v>
      </c>
    </row>
    <row r="441" spans="1:18" ht="15.75" customHeight="1" x14ac:dyDescent="0.3">
      <c r="A441" s="19">
        <v>30</v>
      </c>
      <c r="B441" s="20" t="str">
        <f t="shared" si="19"/>
        <v>JUL</v>
      </c>
      <c r="C441" s="21">
        <v>46228</v>
      </c>
      <c r="D441" s="20" t="str">
        <f>IFERROR(VLOOKUP(H441,KET!$B:$F,2,0),"")</f>
        <v>GRSM 4</v>
      </c>
      <c r="E441" s="20" t="str">
        <f>IFERROR(VLOOKUP(H441,KET!$B:$F,3,0),"")</f>
        <v>KUNINGAN</v>
      </c>
      <c r="F441" s="20" t="str">
        <f>IFERROR(VLOOKUP(H441,KET!$B:$F,4,0),"")</f>
        <v>FAHMI LUKMANUL HAKIM</v>
      </c>
      <c r="G441" s="20" t="str">
        <f>IFERROR(VLOOKUP(H441,KET!$B:$F,5,0),"")</f>
        <v>GMM</v>
      </c>
      <c r="H441" s="19" t="s">
        <v>30</v>
      </c>
      <c r="I441" s="32">
        <v>324</v>
      </c>
      <c r="J441" s="32">
        <v>237</v>
      </c>
      <c r="K441" s="32">
        <v>393</v>
      </c>
      <c r="L441" s="32">
        <v>17</v>
      </c>
      <c r="M441" s="33">
        <f t="shared" si="17"/>
        <v>971</v>
      </c>
      <c r="N441" s="32">
        <v>234</v>
      </c>
      <c r="O441" s="32">
        <v>152</v>
      </c>
      <c r="P441" s="34">
        <v>295</v>
      </c>
      <c r="Q441" s="32">
        <v>0</v>
      </c>
      <c r="R441" s="33">
        <f t="shared" si="18"/>
        <v>681</v>
      </c>
    </row>
    <row r="442" spans="1:18" ht="15.75" customHeight="1" x14ac:dyDescent="0.3">
      <c r="A442" s="19">
        <v>30</v>
      </c>
      <c r="B442" s="20" t="str">
        <f t="shared" si="19"/>
        <v>JUL</v>
      </c>
      <c r="C442" s="21">
        <v>46228</v>
      </c>
      <c r="D442" s="20" t="str">
        <f>IFERROR(VLOOKUP(H442,KET!$B:$F,2,0),"")</f>
        <v>GRSM 4</v>
      </c>
      <c r="E442" s="20" t="str">
        <f>IFERROR(VLOOKUP(H442,KET!$B:$F,3,0),"")</f>
        <v>SUBANG</v>
      </c>
      <c r="F442" s="20" t="str">
        <f>IFERROR(VLOOKUP(H442,KET!$B:$F,4,0),"")</f>
        <v>FAHMI LUKMANUL HAKIM</v>
      </c>
      <c r="G442" s="20" t="str">
        <f>IFERROR(VLOOKUP(H442,KET!$B:$F,5,0),"")</f>
        <v>GMM</v>
      </c>
      <c r="H442" s="19" t="s">
        <v>31</v>
      </c>
      <c r="I442" s="32">
        <v>1253</v>
      </c>
      <c r="J442" s="32">
        <v>967</v>
      </c>
      <c r="K442" s="32">
        <v>1168</v>
      </c>
      <c r="L442" s="32">
        <v>1326</v>
      </c>
      <c r="M442" s="33">
        <f t="shared" si="17"/>
        <v>4714</v>
      </c>
      <c r="N442" s="32">
        <v>1133</v>
      </c>
      <c r="O442" s="32">
        <v>483</v>
      </c>
      <c r="P442" s="34">
        <v>872</v>
      </c>
      <c r="Q442" s="32">
        <v>1326</v>
      </c>
      <c r="R442" s="33">
        <f t="shared" si="18"/>
        <v>3814</v>
      </c>
    </row>
    <row r="443" spans="1:18" ht="15.75" customHeight="1" x14ac:dyDescent="0.3">
      <c r="A443" s="19">
        <v>30</v>
      </c>
      <c r="B443" s="20" t="str">
        <f t="shared" si="19"/>
        <v>JUL</v>
      </c>
      <c r="C443" s="21">
        <v>46228</v>
      </c>
      <c r="D443" s="20" t="str">
        <f>IFERROR(VLOOKUP(H443,KET!$B:$F,2,0),"")</f>
        <v>GRSM 4</v>
      </c>
      <c r="E443" s="20" t="str">
        <f>IFERROR(VLOOKUP(H443,KET!$B:$F,3,0),"")</f>
        <v>SUBANG</v>
      </c>
      <c r="F443" s="20" t="str">
        <f>IFERROR(VLOOKUP(H443,KET!$B:$F,4,0),"")</f>
        <v>FAHMI LUKMANUL HAKIM</v>
      </c>
      <c r="G443" s="20" t="str">
        <f>IFERROR(VLOOKUP(H443,KET!$B:$F,5,0),"")</f>
        <v>GMM</v>
      </c>
      <c r="H443" s="19" t="s">
        <v>31</v>
      </c>
      <c r="I443" s="32">
        <v>1253</v>
      </c>
      <c r="J443" s="32">
        <v>967</v>
      </c>
      <c r="K443" s="32">
        <v>1168</v>
      </c>
      <c r="L443" s="32">
        <v>1326</v>
      </c>
      <c r="M443" s="33">
        <f t="shared" si="17"/>
        <v>4714</v>
      </c>
      <c r="N443" s="32">
        <v>1133</v>
      </c>
      <c r="O443" s="32">
        <v>483</v>
      </c>
      <c r="P443" s="34">
        <v>872</v>
      </c>
      <c r="Q443" s="32">
        <v>1326</v>
      </c>
      <c r="R443" s="33">
        <f t="shared" si="18"/>
        <v>3814</v>
      </c>
    </row>
    <row r="444" spans="1:18" ht="15.75" customHeight="1" x14ac:dyDescent="0.3">
      <c r="A444" s="19">
        <v>30</v>
      </c>
      <c r="B444" s="20" t="str">
        <f t="shared" si="19"/>
        <v>JUL</v>
      </c>
      <c r="C444" s="21">
        <v>46228</v>
      </c>
      <c r="D444" s="20" t="str">
        <f>IFERROR(VLOOKUP(H444,KET!$B:$F,2,0),"")</f>
        <v>GRSM 4</v>
      </c>
      <c r="E444" s="20" t="str">
        <f>IFERROR(VLOOKUP(H444,KET!$B:$F,3,0),"")</f>
        <v>TASIKMALAYA</v>
      </c>
      <c r="F444" s="20" t="str">
        <f>IFERROR(VLOOKUP(H444,KET!$B:$F,4,0),"")</f>
        <v>FAHMI LUKMANUL HAKIM</v>
      </c>
      <c r="G444" s="20" t="str">
        <f>IFERROR(VLOOKUP(H444,KET!$B:$F,5,0),"")</f>
        <v>GMM</v>
      </c>
      <c r="H444" s="19" t="s">
        <v>68</v>
      </c>
      <c r="I444" s="32">
        <v>1288</v>
      </c>
      <c r="J444" s="32">
        <v>1462</v>
      </c>
      <c r="K444" s="32">
        <v>1665</v>
      </c>
      <c r="L444" s="32">
        <v>2128</v>
      </c>
      <c r="M444" s="33">
        <f t="shared" si="17"/>
        <v>6543</v>
      </c>
      <c r="N444" s="32">
        <v>1144</v>
      </c>
      <c r="O444" s="32">
        <v>1291</v>
      </c>
      <c r="P444" s="34">
        <v>1500</v>
      </c>
      <c r="Q444" s="32">
        <v>1903</v>
      </c>
      <c r="R444" s="33">
        <f t="shared" si="18"/>
        <v>5838</v>
      </c>
    </row>
    <row r="445" spans="1:18" ht="15.75" customHeight="1" x14ac:dyDescent="0.3">
      <c r="A445" s="19">
        <v>30</v>
      </c>
      <c r="B445" s="20" t="str">
        <f t="shared" si="19"/>
        <v>JUL</v>
      </c>
      <c r="C445" s="21">
        <v>46228</v>
      </c>
      <c r="D445" s="20" t="str">
        <f>IFERROR(VLOOKUP(H445,KET!$B:$F,2,0),"")</f>
        <v>GRSM 4</v>
      </c>
      <c r="E445" s="20" t="str">
        <f>IFERROR(VLOOKUP(H445,KET!$B:$F,3,0),"")</f>
        <v>TASIKMALAYA</v>
      </c>
      <c r="F445" s="20" t="str">
        <f>IFERROR(VLOOKUP(H445,KET!$B:$F,4,0),"")</f>
        <v>FAHMI LUKMANUL HAKIM</v>
      </c>
      <c r="G445" s="20" t="str">
        <f>IFERROR(VLOOKUP(H445,KET!$B:$F,5,0),"")</f>
        <v>GMM</v>
      </c>
      <c r="H445" s="19" t="s">
        <v>68</v>
      </c>
      <c r="I445" s="32">
        <v>1144</v>
      </c>
      <c r="J445" s="32">
        <v>1291</v>
      </c>
      <c r="K445" s="32">
        <v>1500</v>
      </c>
      <c r="L445" s="32">
        <v>1903</v>
      </c>
      <c r="M445" s="33">
        <f t="shared" si="17"/>
        <v>5838</v>
      </c>
      <c r="N445" s="32">
        <v>1009</v>
      </c>
      <c r="O445" s="32">
        <v>1141</v>
      </c>
      <c r="P445" s="34">
        <v>1353</v>
      </c>
      <c r="Q445" s="32">
        <v>1666</v>
      </c>
      <c r="R445" s="33">
        <f t="shared" si="18"/>
        <v>5169</v>
      </c>
    </row>
    <row r="446" spans="1:18" ht="15.75" customHeight="1" x14ac:dyDescent="0.3">
      <c r="A446" s="19">
        <v>30</v>
      </c>
      <c r="B446" s="20" t="str">
        <f t="shared" si="19"/>
        <v>JUL</v>
      </c>
      <c r="C446" s="21">
        <v>46228</v>
      </c>
      <c r="D446" s="20" t="str">
        <f>IFERROR(VLOOKUP(H446,KET!$B:$F,2,0),"")</f>
        <v>GRSM 4</v>
      </c>
      <c r="E446" s="20" t="str">
        <f>IFERROR(VLOOKUP(H446,KET!$B:$F,3,0),"")</f>
        <v>GARUT</v>
      </c>
      <c r="F446" s="20" t="str">
        <f>IFERROR(VLOOKUP(H446,KET!$B:$F,4,0),"")</f>
        <v>FAHMI LUKMANUL HAKIM</v>
      </c>
      <c r="G446" s="20" t="str">
        <f>IFERROR(VLOOKUP(H446,KET!$B:$F,5,0),"")</f>
        <v>GMM</v>
      </c>
      <c r="H446" s="19" t="s">
        <v>57</v>
      </c>
      <c r="I446" s="32">
        <v>175</v>
      </c>
      <c r="J446" s="32">
        <v>172</v>
      </c>
      <c r="K446" s="32">
        <v>236</v>
      </c>
      <c r="L446" s="32">
        <v>77</v>
      </c>
      <c r="M446" s="33">
        <f t="shared" si="17"/>
        <v>660</v>
      </c>
      <c r="N446" s="32">
        <v>153</v>
      </c>
      <c r="O446" s="32">
        <v>147</v>
      </c>
      <c r="P446" s="34">
        <v>206</v>
      </c>
      <c r="Q446" s="32">
        <v>51</v>
      </c>
      <c r="R446" s="33">
        <f t="shared" si="18"/>
        <v>557</v>
      </c>
    </row>
    <row r="447" spans="1:18" ht="15.75" customHeight="1" x14ac:dyDescent="0.3">
      <c r="A447" s="19">
        <v>30</v>
      </c>
      <c r="B447" s="20" t="str">
        <f t="shared" si="19"/>
        <v>JUL</v>
      </c>
      <c r="C447" s="21">
        <v>46228</v>
      </c>
      <c r="D447" s="20" t="str">
        <f>IFERROR(VLOOKUP(H447,KET!$B:$F,2,0),"")</f>
        <v>GRSM 4</v>
      </c>
      <c r="E447" s="20" t="str">
        <f>IFERROR(VLOOKUP(H447,KET!$B:$F,3,0),"")</f>
        <v>GARUT</v>
      </c>
      <c r="F447" s="20" t="str">
        <f>IFERROR(VLOOKUP(H447,KET!$B:$F,4,0),"")</f>
        <v>FAHMI LUKMANUL HAKIM</v>
      </c>
      <c r="G447" s="20" t="str">
        <f>IFERROR(VLOOKUP(H447,KET!$B:$F,5,0),"")</f>
        <v>GMM</v>
      </c>
      <c r="H447" s="19" t="s">
        <v>57</v>
      </c>
      <c r="I447" s="32">
        <v>175</v>
      </c>
      <c r="J447" s="32">
        <v>172</v>
      </c>
      <c r="K447" s="32">
        <v>236</v>
      </c>
      <c r="L447" s="32">
        <v>87</v>
      </c>
      <c r="M447" s="33">
        <f t="shared" si="17"/>
        <v>670</v>
      </c>
      <c r="N447" s="32">
        <v>153</v>
      </c>
      <c r="O447" s="32">
        <v>144</v>
      </c>
      <c r="P447" s="34">
        <v>201</v>
      </c>
      <c r="Q447" s="32">
        <v>52</v>
      </c>
      <c r="R447" s="33">
        <f t="shared" si="18"/>
        <v>550</v>
      </c>
    </row>
    <row r="448" spans="1:18" ht="15.75" customHeight="1" x14ac:dyDescent="0.3">
      <c r="A448" s="19">
        <v>30</v>
      </c>
      <c r="B448" s="20" t="str">
        <f t="shared" si="19"/>
        <v>JUL</v>
      </c>
      <c r="C448" s="21">
        <v>46228</v>
      </c>
      <c r="D448" s="20" t="str">
        <f>IFERROR(VLOOKUP(H448,KET!$B:$F,2,0),"")</f>
        <v>GRSM 4</v>
      </c>
      <c r="E448" s="20" t="str">
        <f>IFERROR(VLOOKUP(H448,KET!$B:$F,3,0),"")</f>
        <v>BANJAR</v>
      </c>
      <c r="F448" s="20" t="str">
        <f>IFERROR(VLOOKUP(H448,KET!$B:$F,4,0),"")</f>
        <v>FAHMI LUKMANUL HAKIM</v>
      </c>
      <c r="G448" s="20" t="str">
        <f>IFERROR(VLOOKUP(H448,KET!$B:$F,5,0),"")</f>
        <v>GMM</v>
      </c>
      <c r="H448" s="19" t="s">
        <v>67</v>
      </c>
      <c r="I448" s="32">
        <v>280</v>
      </c>
      <c r="J448" s="32">
        <v>470</v>
      </c>
      <c r="K448" s="32">
        <v>400</v>
      </c>
      <c r="L448" s="32">
        <v>537</v>
      </c>
      <c r="M448" s="33">
        <f t="shared" si="17"/>
        <v>1687</v>
      </c>
      <c r="N448" s="32">
        <v>220</v>
      </c>
      <c r="O448" s="32">
        <v>405</v>
      </c>
      <c r="P448" s="34">
        <v>280</v>
      </c>
      <c r="Q448" s="32">
        <v>360</v>
      </c>
      <c r="R448" s="33">
        <f t="shared" si="18"/>
        <v>1265</v>
      </c>
    </row>
    <row r="449" spans="1:18" ht="15.75" customHeight="1" x14ac:dyDescent="0.3">
      <c r="A449" s="19">
        <v>30</v>
      </c>
      <c r="B449" s="20" t="str">
        <f t="shared" si="19"/>
        <v>JUL</v>
      </c>
      <c r="C449" s="21">
        <v>46228</v>
      </c>
      <c r="D449" s="20" t="str">
        <f>IFERROR(VLOOKUP(H449,KET!$B:$F,2,0),"")</f>
        <v>GRSM 4</v>
      </c>
      <c r="E449" s="20" t="str">
        <f>IFERROR(VLOOKUP(H449,KET!$B:$F,3,0),"")</f>
        <v>TASIKMALAYA</v>
      </c>
      <c r="F449" s="20" t="str">
        <f>IFERROR(VLOOKUP(H449,KET!$B:$F,4,0),"")</f>
        <v>FAHMI LUKMANUL HAKIM</v>
      </c>
      <c r="G449" s="20" t="str">
        <f>IFERROR(VLOOKUP(H449,KET!$B:$F,5,0),"")</f>
        <v>GMM</v>
      </c>
      <c r="H449" s="19" t="s">
        <v>32</v>
      </c>
      <c r="I449" s="32">
        <v>635</v>
      </c>
      <c r="J449" s="32">
        <v>737</v>
      </c>
      <c r="K449" s="32">
        <v>563</v>
      </c>
      <c r="L449" s="32">
        <v>1210</v>
      </c>
      <c r="M449" s="33">
        <f t="shared" si="17"/>
        <v>3145</v>
      </c>
      <c r="N449" s="32">
        <v>590</v>
      </c>
      <c r="O449" s="32">
        <v>702</v>
      </c>
      <c r="P449" s="34">
        <v>523</v>
      </c>
      <c r="Q449" s="32">
        <v>1100</v>
      </c>
      <c r="R449" s="33">
        <f t="shared" si="18"/>
        <v>2915</v>
      </c>
    </row>
    <row r="450" spans="1:18" ht="15.75" customHeight="1" x14ac:dyDescent="0.3">
      <c r="A450" s="19">
        <v>30</v>
      </c>
      <c r="B450" s="20" t="str">
        <f t="shared" si="19"/>
        <v>JUL</v>
      </c>
      <c r="C450" s="21">
        <v>46228</v>
      </c>
      <c r="D450" s="20" t="str">
        <f>IFERROR(VLOOKUP(H450,KET!$B:$F,2,0),"")</f>
        <v>GRSM 4</v>
      </c>
      <c r="E450" s="20" t="str">
        <f>IFERROR(VLOOKUP(H450,KET!$B:$F,3,0),"")</f>
        <v>TASIKMALAYA</v>
      </c>
      <c r="F450" s="20" t="str">
        <f>IFERROR(VLOOKUP(H450,KET!$B:$F,4,0),"")</f>
        <v>FAHMI LUKMANUL HAKIM</v>
      </c>
      <c r="G450" s="20" t="str">
        <f>IFERROR(VLOOKUP(H450,KET!$B:$F,5,0),"")</f>
        <v>GMM</v>
      </c>
      <c r="H450" s="19" t="s">
        <v>32</v>
      </c>
      <c r="I450" s="32">
        <v>660</v>
      </c>
      <c r="J450" s="32">
        <v>700</v>
      </c>
      <c r="K450" s="32">
        <v>550</v>
      </c>
      <c r="L450" s="32">
        <v>1215</v>
      </c>
      <c r="M450" s="33">
        <f t="shared" si="17"/>
        <v>3125</v>
      </c>
      <c r="N450" s="32">
        <v>610</v>
      </c>
      <c r="O450" s="32">
        <v>540</v>
      </c>
      <c r="P450" s="34">
        <v>520</v>
      </c>
      <c r="Q450" s="32">
        <v>1110</v>
      </c>
      <c r="R450" s="33">
        <f t="shared" si="18"/>
        <v>2780</v>
      </c>
    </row>
    <row r="451" spans="1:18" ht="15.75" customHeight="1" x14ac:dyDescent="0.3">
      <c r="A451" s="19">
        <v>30</v>
      </c>
      <c r="B451" s="20" t="str">
        <f t="shared" si="19"/>
        <v>JUL</v>
      </c>
      <c r="C451" s="21">
        <v>46229</v>
      </c>
      <c r="D451" s="20" t="str">
        <f>IFERROR(VLOOKUP(H451,KET!$B:$F,2,0),"")</f>
        <v>GRSM 4</v>
      </c>
      <c r="E451" s="20" t="str">
        <f>IFERROR(VLOOKUP(H451,KET!$B:$F,3,0),"")</f>
        <v>KUNINGAN</v>
      </c>
      <c r="F451" s="20" t="str">
        <f>IFERROR(VLOOKUP(H451,KET!$B:$F,4,0),"")</f>
        <v>FAHMI LUKMANUL HAKIM</v>
      </c>
      <c r="G451" s="20" t="str">
        <f>IFERROR(VLOOKUP(H451,KET!$B:$F,5,0),"")</f>
        <v>GMM</v>
      </c>
      <c r="H451" s="19" t="s">
        <v>30</v>
      </c>
      <c r="I451" s="32">
        <v>414</v>
      </c>
      <c r="J451" s="32">
        <v>272</v>
      </c>
      <c r="K451" s="32">
        <v>295</v>
      </c>
      <c r="L451" s="32">
        <v>0</v>
      </c>
      <c r="M451" s="33">
        <f t="shared" si="17"/>
        <v>981</v>
      </c>
      <c r="N451" s="32">
        <v>285</v>
      </c>
      <c r="O451" s="32">
        <v>190</v>
      </c>
      <c r="P451" s="34">
        <v>190</v>
      </c>
      <c r="Q451" s="32">
        <v>0</v>
      </c>
      <c r="R451" s="33">
        <f t="shared" si="18"/>
        <v>665</v>
      </c>
    </row>
    <row r="452" spans="1:18" ht="15.75" customHeight="1" x14ac:dyDescent="0.3">
      <c r="A452" s="19">
        <v>30</v>
      </c>
      <c r="B452" s="20" t="str">
        <f t="shared" si="19"/>
        <v>JUL</v>
      </c>
      <c r="C452" s="21">
        <v>46229</v>
      </c>
      <c r="D452" s="20" t="str">
        <f>IFERROR(VLOOKUP(H452,KET!$B:$F,2,0),"")</f>
        <v>GRSM 4</v>
      </c>
      <c r="E452" s="20" t="str">
        <f>IFERROR(VLOOKUP(H452,KET!$B:$F,3,0),"")</f>
        <v>SUBANG</v>
      </c>
      <c r="F452" s="20" t="str">
        <f>IFERROR(VLOOKUP(H452,KET!$B:$F,4,0),"")</f>
        <v>FAHMI LUKMANUL HAKIM</v>
      </c>
      <c r="G452" s="20" t="str">
        <f>IFERROR(VLOOKUP(H452,KET!$B:$F,5,0),"")</f>
        <v>GMM</v>
      </c>
      <c r="H452" s="19" t="s">
        <v>31</v>
      </c>
      <c r="I452" s="32">
        <v>1133</v>
      </c>
      <c r="J452" s="32">
        <v>783</v>
      </c>
      <c r="K452" s="32">
        <v>872</v>
      </c>
      <c r="L452" s="32">
        <v>1626</v>
      </c>
      <c r="M452" s="33">
        <f t="shared" si="17"/>
        <v>4414</v>
      </c>
      <c r="N452" s="32">
        <v>681</v>
      </c>
      <c r="O452" s="32">
        <v>441</v>
      </c>
      <c r="P452" s="34">
        <v>476</v>
      </c>
      <c r="Q452" s="32">
        <v>836</v>
      </c>
      <c r="R452" s="33">
        <f t="shared" si="18"/>
        <v>2434</v>
      </c>
    </row>
    <row r="453" spans="1:18" ht="15.75" customHeight="1" x14ac:dyDescent="0.3">
      <c r="A453" s="19">
        <v>30</v>
      </c>
      <c r="B453" s="20" t="str">
        <f t="shared" si="19"/>
        <v>JUL</v>
      </c>
      <c r="C453" s="21">
        <v>46229</v>
      </c>
      <c r="D453" s="20" t="str">
        <f>IFERROR(VLOOKUP(H453,KET!$B:$F,2,0),"")</f>
        <v>GRSM 4</v>
      </c>
      <c r="E453" s="20" t="str">
        <f>IFERROR(VLOOKUP(H453,KET!$B:$F,3,0),"")</f>
        <v>SUBANG</v>
      </c>
      <c r="F453" s="20" t="str">
        <f>IFERROR(VLOOKUP(H453,KET!$B:$F,4,0),"")</f>
        <v>FAHMI LUKMANUL HAKIM</v>
      </c>
      <c r="G453" s="20" t="str">
        <f>IFERROR(VLOOKUP(H453,KET!$B:$F,5,0),"")</f>
        <v>GMM</v>
      </c>
      <c r="H453" s="19" t="s">
        <v>31</v>
      </c>
      <c r="I453" s="32">
        <v>1133</v>
      </c>
      <c r="J453" s="32">
        <v>783</v>
      </c>
      <c r="K453" s="32">
        <v>872</v>
      </c>
      <c r="L453" s="32">
        <v>1626</v>
      </c>
      <c r="M453" s="33">
        <f t="shared" si="17"/>
        <v>4414</v>
      </c>
      <c r="N453" s="32">
        <v>681</v>
      </c>
      <c r="O453" s="32">
        <v>441</v>
      </c>
      <c r="P453" s="34">
        <v>476</v>
      </c>
      <c r="Q453" s="32">
        <v>836</v>
      </c>
      <c r="R453" s="33">
        <f t="shared" si="18"/>
        <v>2434</v>
      </c>
    </row>
    <row r="454" spans="1:18" ht="15.75" customHeight="1" x14ac:dyDescent="0.3">
      <c r="A454" s="19">
        <v>30</v>
      </c>
      <c r="B454" s="20" t="str">
        <f t="shared" si="19"/>
        <v>JUL</v>
      </c>
      <c r="C454" s="21">
        <v>46229</v>
      </c>
      <c r="D454" s="20" t="str">
        <f>IFERROR(VLOOKUP(H454,KET!$B:$F,2,0),"")</f>
        <v>GRSM 4</v>
      </c>
      <c r="E454" s="20" t="str">
        <f>IFERROR(VLOOKUP(H454,KET!$B:$F,3,0),"")</f>
        <v>TASIKMALAYA</v>
      </c>
      <c r="F454" s="20" t="str">
        <f>IFERROR(VLOOKUP(H454,KET!$B:$F,4,0),"")</f>
        <v>FAHMI LUKMANUL HAKIM</v>
      </c>
      <c r="G454" s="20" t="str">
        <f>IFERROR(VLOOKUP(H454,KET!$B:$F,5,0),"")</f>
        <v>GMM</v>
      </c>
      <c r="H454" s="19" t="s">
        <v>68</v>
      </c>
      <c r="I454" s="32">
        <v>2153</v>
      </c>
      <c r="J454" s="32">
        <v>1805</v>
      </c>
      <c r="K454" s="32">
        <v>1154</v>
      </c>
      <c r="L454" s="32">
        <v>2856</v>
      </c>
      <c r="M454" s="33">
        <f t="shared" si="17"/>
        <v>7968</v>
      </c>
      <c r="N454" s="32">
        <v>2000</v>
      </c>
      <c r="O454" s="32">
        <v>1622</v>
      </c>
      <c r="P454" s="34">
        <v>980</v>
      </c>
      <c r="Q454" s="32">
        <v>2604</v>
      </c>
      <c r="R454" s="33">
        <f t="shared" si="18"/>
        <v>7206</v>
      </c>
    </row>
    <row r="455" spans="1:18" ht="15.75" customHeight="1" x14ac:dyDescent="0.3">
      <c r="A455" s="19">
        <v>30</v>
      </c>
      <c r="B455" s="20" t="str">
        <f t="shared" si="19"/>
        <v>JUL</v>
      </c>
      <c r="C455" s="21">
        <v>46229</v>
      </c>
      <c r="D455" s="20" t="str">
        <f>IFERROR(VLOOKUP(H455,KET!$B:$F,2,0),"")</f>
        <v>GRSM 4</v>
      </c>
      <c r="E455" s="20" t="str">
        <f>IFERROR(VLOOKUP(H455,KET!$B:$F,3,0),"")</f>
        <v>TASIKMALAYA</v>
      </c>
      <c r="F455" s="20" t="str">
        <f>IFERROR(VLOOKUP(H455,KET!$B:$F,4,0),"")</f>
        <v>FAHMI LUKMANUL HAKIM</v>
      </c>
      <c r="G455" s="20" t="str">
        <f>IFERROR(VLOOKUP(H455,KET!$B:$F,5,0),"")</f>
        <v>GMM</v>
      </c>
      <c r="H455" s="19" t="s">
        <v>68</v>
      </c>
      <c r="I455" s="32">
        <v>2000</v>
      </c>
      <c r="J455" s="32">
        <v>1622</v>
      </c>
      <c r="K455" s="32">
        <v>980</v>
      </c>
      <c r="L455" s="32">
        <v>2604</v>
      </c>
      <c r="M455" s="33">
        <f t="shared" ref="M455:M518" si="20">SUM(I455:L455)</f>
        <v>7206</v>
      </c>
      <c r="N455" s="32">
        <v>1856</v>
      </c>
      <c r="O455" s="32">
        <v>1445</v>
      </c>
      <c r="P455" s="34">
        <v>812</v>
      </c>
      <c r="Q455" s="32">
        <v>2340</v>
      </c>
      <c r="R455" s="33">
        <f t="shared" ref="R455:R518" si="21">SUM(N455:Q455)</f>
        <v>6453</v>
      </c>
    </row>
    <row r="456" spans="1:18" ht="15.75" customHeight="1" x14ac:dyDescent="0.3">
      <c r="A456" s="19">
        <v>30</v>
      </c>
      <c r="B456" s="20" t="str">
        <f t="shared" si="19"/>
        <v>JUL</v>
      </c>
      <c r="C456" s="21">
        <v>46229</v>
      </c>
      <c r="D456" s="20" t="str">
        <f>IFERROR(VLOOKUP(H456,KET!$B:$F,2,0),"")</f>
        <v>GRSM 4</v>
      </c>
      <c r="E456" s="20" t="str">
        <f>IFERROR(VLOOKUP(H456,KET!$B:$F,3,0),"")</f>
        <v>BANJAR</v>
      </c>
      <c r="F456" s="20" t="str">
        <f>IFERROR(VLOOKUP(H456,KET!$B:$F,4,0),"")</f>
        <v>FAHMI LUKMANUL HAKIM</v>
      </c>
      <c r="G456" s="20" t="str">
        <f>IFERROR(VLOOKUP(H456,KET!$B:$F,5,0),"")</f>
        <v>GMM</v>
      </c>
      <c r="H456" s="19" t="s">
        <v>67</v>
      </c>
      <c r="I456" s="32">
        <v>220</v>
      </c>
      <c r="J456" s="32">
        <v>405</v>
      </c>
      <c r="K456" s="32">
        <v>280</v>
      </c>
      <c r="L456" s="32">
        <v>360</v>
      </c>
      <c r="M456" s="33">
        <f t="shared" si="20"/>
        <v>1265</v>
      </c>
      <c r="N456" s="32">
        <v>100</v>
      </c>
      <c r="O456" s="32">
        <v>210</v>
      </c>
      <c r="P456" s="34">
        <v>150</v>
      </c>
      <c r="Q456" s="32">
        <v>120</v>
      </c>
      <c r="R456" s="33">
        <f t="shared" si="21"/>
        <v>580</v>
      </c>
    </row>
    <row r="457" spans="1:18" ht="15.75" customHeight="1" x14ac:dyDescent="0.3">
      <c r="A457" s="19">
        <v>30</v>
      </c>
      <c r="B457" s="20" t="str">
        <f t="shared" si="19"/>
        <v>JUL</v>
      </c>
      <c r="C457" s="21">
        <v>46229</v>
      </c>
      <c r="D457" s="20" t="str">
        <f>IFERROR(VLOOKUP(H457,KET!$B:$F,2,0),"")</f>
        <v>GRSM 4</v>
      </c>
      <c r="E457" s="20" t="str">
        <f>IFERROR(VLOOKUP(H457,KET!$B:$F,3,0),"")</f>
        <v>BANJAR</v>
      </c>
      <c r="F457" s="20" t="str">
        <f>IFERROR(VLOOKUP(H457,KET!$B:$F,4,0),"")</f>
        <v>FAHMI LUKMANUL HAKIM</v>
      </c>
      <c r="G457" s="20" t="str">
        <f>IFERROR(VLOOKUP(H457,KET!$B:$F,5,0),"")</f>
        <v>GMM</v>
      </c>
      <c r="H457" s="19" t="s">
        <v>67</v>
      </c>
      <c r="I457" s="32">
        <v>220</v>
      </c>
      <c r="J457" s="32">
        <v>405</v>
      </c>
      <c r="K457" s="32">
        <v>280</v>
      </c>
      <c r="L457" s="32">
        <v>360</v>
      </c>
      <c r="M457" s="33">
        <f t="shared" si="20"/>
        <v>1265</v>
      </c>
      <c r="N457" s="32">
        <v>100</v>
      </c>
      <c r="O457" s="32">
        <v>210</v>
      </c>
      <c r="P457" s="34">
        <v>150</v>
      </c>
      <c r="Q457" s="32">
        <v>120</v>
      </c>
      <c r="R457" s="33">
        <f t="shared" si="21"/>
        <v>580</v>
      </c>
    </row>
    <row r="458" spans="1:18" ht="15.75" customHeight="1" x14ac:dyDescent="0.3">
      <c r="A458" s="19">
        <v>30</v>
      </c>
      <c r="B458" s="20" t="str">
        <f t="shared" ref="B458:B489" si="22">IF(C458="","",UPPER(TEXT(C458, "MMM")))</f>
        <v>JUL</v>
      </c>
      <c r="C458" s="21">
        <v>46229</v>
      </c>
      <c r="D458" s="20" t="str">
        <f>IFERROR(VLOOKUP(H458,KET!$B:$F,2,0),"")</f>
        <v>GRSM 4</v>
      </c>
      <c r="E458" s="20" t="str">
        <f>IFERROR(VLOOKUP(H458,KET!$B:$F,3,0),"")</f>
        <v>GARUT</v>
      </c>
      <c r="F458" s="20" t="str">
        <f>IFERROR(VLOOKUP(H458,KET!$B:$F,4,0),"")</f>
        <v>FAHMI LUKMANUL HAKIM</v>
      </c>
      <c r="G458" s="20" t="str">
        <f>IFERROR(VLOOKUP(H458,KET!$B:$F,5,0),"")</f>
        <v>GMM</v>
      </c>
      <c r="H458" s="19" t="s">
        <v>57</v>
      </c>
      <c r="I458" s="32">
        <v>153</v>
      </c>
      <c r="J458" s="32">
        <v>147</v>
      </c>
      <c r="K458" s="32">
        <v>206</v>
      </c>
      <c r="L458" s="32">
        <v>85</v>
      </c>
      <c r="M458" s="33">
        <f t="shared" si="20"/>
        <v>591</v>
      </c>
      <c r="N458" s="32">
        <v>113</v>
      </c>
      <c r="O458" s="32">
        <v>107</v>
      </c>
      <c r="P458" s="34">
        <v>176</v>
      </c>
      <c r="Q458" s="32">
        <v>50</v>
      </c>
      <c r="R458" s="33">
        <f t="shared" si="21"/>
        <v>446</v>
      </c>
    </row>
    <row r="459" spans="1:18" ht="15.75" customHeight="1" x14ac:dyDescent="0.3">
      <c r="A459" s="19">
        <v>30</v>
      </c>
      <c r="B459" s="20" t="str">
        <f t="shared" si="22"/>
        <v>JUL</v>
      </c>
      <c r="C459" s="21">
        <v>46229</v>
      </c>
      <c r="D459" s="20" t="str">
        <f>IFERROR(VLOOKUP(H459,KET!$B:$F,2,0),"")</f>
        <v>GRSM 4</v>
      </c>
      <c r="E459" s="20" t="str">
        <f>IFERROR(VLOOKUP(H459,KET!$B:$F,3,0),"")</f>
        <v>GARUT</v>
      </c>
      <c r="F459" s="20" t="str">
        <f>IFERROR(VLOOKUP(H459,KET!$B:$F,4,0),"")</f>
        <v>FAHMI LUKMANUL HAKIM</v>
      </c>
      <c r="G459" s="20" t="str">
        <f>IFERROR(VLOOKUP(H459,KET!$B:$F,5,0),"")</f>
        <v>GMM</v>
      </c>
      <c r="H459" s="19" t="s">
        <v>57</v>
      </c>
      <c r="I459" s="32">
        <v>153</v>
      </c>
      <c r="J459" s="32">
        <v>147</v>
      </c>
      <c r="K459" s="32">
        <v>206</v>
      </c>
      <c r="L459" s="32">
        <v>91</v>
      </c>
      <c r="M459" s="33">
        <f t="shared" si="20"/>
        <v>597</v>
      </c>
      <c r="N459" s="32">
        <v>113</v>
      </c>
      <c r="O459" s="32">
        <v>107</v>
      </c>
      <c r="P459" s="34">
        <v>176</v>
      </c>
      <c r="Q459" s="32">
        <v>46</v>
      </c>
      <c r="R459" s="33">
        <f t="shared" si="21"/>
        <v>442</v>
      </c>
    </row>
    <row r="460" spans="1:18" ht="15.75" customHeight="1" x14ac:dyDescent="0.3">
      <c r="A460" s="19">
        <v>30</v>
      </c>
      <c r="B460" s="20" t="str">
        <f t="shared" si="22"/>
        <v>JUL</v>
      </c>
      <c r="C460" s="21">
        <v>46229</v>
      </c>
      <c r="D460" s="20" t="str">
        <f>IFERROR(VLOOKUP(H460,KET!$B:$F,2,0),"")</f>
        <v>GRSM 4</v>
      </c>
      <c r="E460" s="20" t="str">
        <f>IFERROR(VLOOKUP(H460,KET!$B:$F,3,0),"")</f>
        <v>KUNINGAN</v>
      </c>
      <c r="F460" s="20" t="str">
        <f>IFERROR(VLOOKUP(H460,KET!$B:$F,4,0),"")</f>
        <v>FAHMI LUKMANUL HAKIM</v>
      </c>
      <c r="G460" s="20" t="str">
        <f>IFERROR(VLOOKUP(H460,KET!$B:$F,5,0),"")</f>
        <v>GMM</v>
      </c>
      <c r="H460" s="19" t="s">
        <v>30</v>
      </c>
      <c r="I460" s="32">
        <v>414</v>
      </c>
      <c r="J460" s="32">
        <v>272</v>
      </c>
      <c r="K460" s="32">
        <v>295</v>
      </c>
      <c r="L460" s="32">
        <v>0</v>
      </c>
      <c r="M460" s="33">
        <f t="shared" si="20"/>
        <v>981</v>
      </c>
      <c r="N460" s="32">
        <v>285</v>
      </c>
      <c r="O460" s="32">
        <v>190</v>
      </c>
      <c r="P460" s="34">
        <v>190</v>
      </c>
      <c r="Q460" s="32">
        <v>0</v>
      </c>
      <c r="R460" s="33">
        <f t="shared" si="21"/>
        <v>665</v>
      </c>
    </row>
    <row r="461" spans="1:18" ht="15.75" customHeight="1" x14ac:dyDescent="0.3">
      <c r="A461" s="19">
        <v>30</v>
      </c>
      <c r="B461" s="20" t="str">
        <f t="shared" si="22"/>
        <v>JUL</v>
      </c>
      <c r="C461" s="21">
        <v>46229</v>
      </c>
      <c r="D461" s="20" t="str">
        <f>IFERROR(VLOOKUP(H461,KET!$B:$F,2,0),"")</f>
        <v>GRSM 4</v>
      </c>
      <c r="E461" s="20" t="str">
        <f>IFERROR(VLOOKUP(H461,KET!$B:$F,3,0),"")</f>
        <v>GARUT</v>
      </c>
      <c r="F461" s="20" t="str">
        <f>IFERROR(VLOOKUP(H461,KET!$B:$F,4,0),"")</f>
        <v>FAHMI LUKMANUL HAKIM</v>
      </c>
      <c r="G461" s="20" t="str">
        <f>IFERROR(VLOOKUP(H461,KET!$B:$F,5,0),"")</f>
        <v>GMM</v>
      </c>
      <c r="H461" s="19" t="s">
        <v>35</v>
      </c>
      <c r="I461" s="32">
        <v>700</v>
      </c>
      <c r="J461" s="32">
        <v>1400</v>
      </c>
      <c r="K461" s="32">
        <v>1450</v>
      </c>
      <c r="L461" s="32">
        <v>2370</v>
      </c>
      <c r="M461" s="33">
        <f t="shared" si="20"/>
        <v>5920</v>
      </c>
      <c r="N461" s="32">
        <v>610</v>
      </c>
      <c r="O461" s="32">
        <v>1280</v>
      </c>
      <c r="P461" s="34">
        <v>1350</v>
      </c>
      <c r="Q461" s="32">
        <v>2240</v>
      </c>
      <c r="R461" s="33">
        <f t="shared" si="21"/>
        <v>5480</v>
      </c>
    </row>
    <row r="462" spans="1:18" ht="15.75" customHeight="1" x14ac:dyDescent="0.3">
      <c r="A462" s="19">
        <v>30</v>
      </c>
      <c r="B462" s="20" t="str">
        <f t="shared" si="22"/>
        <v>JUL</v>
      </c>
      <c r="C462" s="21">
        <v>46229</v>
      </c>
      <c r="D462" s="20" t="str">
        <f>IFERROR(VLOOKUP(H462,KET!$B:$F,2,0),"")</f>
        <v>GRSM 4</v>
      </c>
      <c r="E462" s="20" t="str">
        <f>IFERROR(VLOOKUP(H462,KET!$B:$F,3,0),"")</f>
        <v>GARUT</v>
      </c>
      <c r="F462" s="20" t="str">
        <f>IFERROR(VLOOKUP(H462,KET!$B:$F,4,0),"")</f>
        <v>FAHMI LUKMANUL HAKIM</v>
      </c>
      <c r="G462" s="20" t="str">
        <f>IFERROR(VLOOKUP(H462,KET!$B:$F,5,0),"")</f>
        <v>GMM</v>
      </c>
      <c r="H462" s="19" t="s">
        <v>35</v>
      </c>
      <c r="I462" s="32">
        <v>610</v>
      </c>
      <c r="J462" s="32">
        <v>1280</v>
      </c>
      <c r="K462" s="32">
        <v>1350</v>
      </c>
      <c r="L462" s="32">
        <v>2240</v>
      </c>
      <c r="M462" s="33">
        <f t="shared" si="20"/>
        <v>5480</v>
      </c>
      <c r="N462" s="32">
        <v>520</v>
      </c>
      <c r="O462" s="32">
        <v>1170</v>
      </c>
      <c r="P462" s="34">
        <v>1250</v>
      </c>
      <c r="Q462" s="32">
        <v>2110</v>
      </c>
      <c r="R462" s="33">
        <f t="shared" si="21"/>
        <v>5050</v>
      </c>
    </row>
    <row r="463" spans="1:18" ht="15.75" customHeight="1" x14ac:dyDescent="0.3">
      <c r="A463" s="19">
        <v>30</v>
      </c>
      <c r="B463" s="20" t="str">
        <f t="shared" si="22"/>
        <v>JUL</v>
      </c>
      <c r="C463" s="21">
        <v>46227</v>
      </c>
      <c r="D463" s="20" t="str">
        <f>IFERROR(VLOOKUP(H463,KET!$B:$F,2,0),"")</f>
        <v>GRSM 5</v>
      </c>
      <c r="E463" s="20" t="str">
        <f>IFERROR(VLOOKUP(H463,KET!$B:$F,3,0),"")</f>
        <v>TEGAL</v>
      </c>
      <c r="F463" s="20" t="str">
        <f>IFERROR(VLOOKUP(H463,KET!$B:$F,4,0),"")</f>
        <v>SUPRIYATI</v>
      </c>
      <c r="G463" s="20" t="str">
        <f>IFERROR(VLOOKUP(H463,KET!$B:$F,5,0),"")</f>
        <v>GMM</v>
      </c>
      <c r="H463" s="19" t="s">
        <v>33</v>
      </c>
      <c r="I463" s="32">
        <v>1156</v>
      </c>
      <c r="J463" s="32">
        <v>1695</v>
      </c>
      <c r="K463" s="32">
        <v>1758</v>
      </c>
      <c r="L463" s="32">
        <v>1299</v>
      </c>
      <c r="M463" s="33">
        <f t="shared" si="20"/>
        <v>5908</v>
      </c>
      <c r="N463" s="32">
        <v>1043</v>
      </c>
      <c r="O463" s="32">
        <v>1578</v>
      </c>
      <c r="P463" s="34">
        <v>1648</v>
      </c>
      <c r="Q463" s="32">
        <v>1536</v>
      </c>
      <c r="R463" s="33">
        <f t="shared" si="21"/>
        <v>5805</v>
      </c>
    </row>
    <row r="464" spans="1:18" ht="15.75" customHeight="1" x14ac:dyDescent="0.3">
      <c r="A464" s="19">
        <v>30</v>
      </c>
      <c r="B464" s="20" t="str">
        <f t="shared" si="22"/>
        <v>JUL</v>
      </c>
      <c r="C464" s="21">
        <v>46227</v>
      </c>
      <c r="D464" s="20" t="str">
        <f>IFERROR(VLOOKUP(H464,KET!$B:$F,2,0),"")</f>
        <v>GRSM 5</v>
      </c>
      <c r="E464" s="20" t="str">
        <f>IFERROR(VLOOKUP(H464,KET!$B:$F,3,0),"")</f>
        <v>PURWOKERTO</v>
      </c>
      <c r="F464" s="20" t="str">
        <f>IFERROR(VLOOKUP(H464,KET!$B:$F,4,0),"")</f>
        <v>SUPRIYATI</v>
      </c>
      <c r="G464" s="20" t="str">
        <f>IFERROR(VLOOKUP(H464,KET!$B:$F,5,0),"")</f>
        <v>GMM</v>
      </c>
      <c r="H464" s="19" t="s">
        <v>36</v>
      </c>
      <c r="I464" s="32">
        <v>120</v>
      </c>
      <c r="J464" s="32">
        <v>2680</v>
      </c>
      <c r="K464" s="32">
        <v>1360</v>
      </c>
      <c r="L464" s="32">
        <v>3760</v>
      </c>
      <c r="M464" s="33">
        <f t="shared" si="20"/>
        <v>7920</v>
      </c>
      <c r="N464" s="32">
        <v>240</v>
      </c>
      <c r="O464" s="32">
        <v>2800</v>
      </c>
      <c r="P464" s="34">
        <v>1240</v>
      </c>
      <c r="Q464" s="32">
        <v>3560</v>
      </c>
      <c r="R464" s="33">
        <f t="shared" si="21"/>
        <v>7840</v>
      </c>
    </row>
    <row r="465" spans="1:18" ht="15.75" customHeight="1" x14ac:dyDescent="0.3">
      <c r="A465" s="19">
        <v>30</v>
      </c>
      <c r="B465" s="20" t="str">
        <f t="shared" si="22"/>
        <v>JUL</v>
      </c>
      <c r="C465" s="21">
        <v>46227</v>
      </c>
      <c r="D465" s="20" t="str">
        <f>IFERROR(VLOOKUP(H465,KET!$B:$F,2,0),"")</f>
        <v>GRSM 5</v>
      </c>
      <c r="E465" s="20" t="str">
        <f>IFERROR(VLOOKUP(H465,KET!$B:$F,3,0),"")</f>
        <v>PURWOKERTO</v>
      </c>
      <c r="F465" s="20" t="str">
        <f>IFERROR(VLOOKUP(H465,KET!$B:$F,4,0),"")</f>
        <v>SUPRIYATI</v>
      </c>
      <c r="G465" s="20" t="str">
        <f>IFERROR(VLOOKUP(H465,KET!$B:$F,5,0),"")</f>
        <v>GMM</v>
      </c>
      <c r="H465" s="19" t="s">
        <v>37</v>
      </c>
      <c r="I465" s="32">
        <v>1264</v>
      </c>
      <c r="J465" s="32">
        <v>4200</v>
      </c>
      <c r="K465" s="32">
        <v>1962</v>
      </c>
      <c r="L465" s="32">
        <v>4976</v>
      </c>
      <c r="M465" s="33">
        <f t="shared" si="20"/>
        <v>12402</v>
      </c>
      <c r="N465" s="32">
        <v>1202</v>
      </c>
      <c r="O465" s="32">
        <v>3960</v>
      </c>
      <c r="P465" s="34">
        <v>1848</v>
      </c>
      <c r="Q465" s="32">
        <v>4612</v>
      </c>
      <c r="R465" s="33">
        <f t="shared" si="21"/>
        <v>11622</v>
      </c>
    </row>
    <row r="466" spans="1:18" ht="15.75" customHeight="1" x14ac:dyDescent="0.3">
      <c r="A466" s="19">
        <v>30</v>
      </c>
      <c r="B466" s="20" t="str">
        <f t="shared" si="22"/>
        <v>JUL</v>
      </c>
      <c r="C466" s="21">
        <v>46227</v>
      </c>
      <c r="D466" s="20" t="str">
        <f>IFERROR(VLOOKUP(H466,KET!$B:$F,2,0),"")</f>
        <v>GRSM 5</v>
      </c>
      <c r="E466" s="20" t="str">
        <f>IFERROR(VLOOKUP(H466,KET!$B:$F,3,0),"")</f>
        <v>WONOGIRI</v>
      </c>
      <c r="F466" s="20" t="str">
        <f>IFERROR(VLOOKUP(H466,KET!$B:$F,4,0),"")</f>
        <v>SUPRIYATI</v>
      </c>
      <c r="G466" s="20" t="str">
        <f>IFERROR(VLOOKUP(H466,KET!$B:$F,5,0),"")</f>
        <v>GMM</v>
      </c>
      <c r="H466" s="19" t="s">
        <v>38</v>
      </c>
      <c r="I466" s="32">
        <v>1040</v>
      </c>
      <c r="J466" s="32">
        <v>1400</v>
      </c>
      <c r="K466" s="32">
        <v>1120</v>
      </c>
      <c r="L466" s="32">
        <v>2720</v>
      </c>
      <c r="M466" s="33">
        <f t="shared" si="20"/>
        <v>6280</v>
      </c>
      <c r="N466" s="32">
        <v>928</v>
      </c>
      <c r="O466" s="32">
        <v>1317</v>
      </c>
      <c r="P466" s="34">
        <v>983</v>
      </c>
      <c r="Q466" s="32">
        <v>2394</v>
      </c>
      <c r="R466" s="33">
        <f t="shared" si="21"/>
        <v>5622</v>
      </c>
    </row>
    <row r="467" spans="1:18" ht="15.75" customHeight="1" x14ac:dyDescent="0.3">
      <c r="A467" s="19">
        <v>30</v>
      </c>
      <c r="B467" s="20" t="str">
        <f t="shared" si="22"/>
        <v>JUL</v>
      </c>
      <c r="C467" s="21">
        <v>46228</v>
      </c>
      <c r="D467" s="20" t="str">
        <f>IFERROR(VLOOKUP(H467,KET!$B:$F,2,0),"")</f>
        <v>GRSM 5</v>
      </c>
      <c r="E467" s="20" t="str">
        <f>IFERROR(VLOOKUP(H467,KET!$B:$F,3,0),"")</f>
        <v>TEGAL</v>
      </c>
      <c r="F467" s="20" t="str">
        <f>IFERROR(VLOOKUP(H467,KET!$B:$F,4,0),"")</f>
        <v>SUPRIYATI</v>
      </c>
      <c r="G467" s="20" t="str">
        <f>IFERROR(VLOOKUP(H467,KET!$B:$F,5,0),"")</f>
        <v>GMM</v>
      </c>
      <c r="H467" s="19" t="s">
        <v>33</v>
      </c>
      <c r="I467" s="32">
        <v>1043</v>
      </c>
      <c r="J467" s="32">
        <v>1578</v>
      </c>
      <c r="K467" s="32">
        <v>1648</v>
      </c>
      <c r="L467" s="32">
        <v>1536</v>
      </c>
      <c r="M467" s="33">
        <f t="shared" si="20"/>
        <v>5805</v>
      </c>
      <c r="N467" s="32">
        <v>923</v>
      </c>
      <c r="O467" s="32">
        <v>1276</v>
      </c>
      <c r="P467" s="34">
        <v>1477</v>
      </c>
      <c r="Q467" s="32">
        <v>1305</v>
      </c>
      <c r="R467" s="33">
        <f t="shared" si="21"/>
        <v>4981</v>
      </c>
    </row>
    <row r="468" spans="1:18" ht="15.75" customHeight="1" x14ac:dyDescent="0.3">
      <c r="A468" s="19">
        <v>30</v>
      </c>
      <c r="B468" s="20" t="str">
        <f t="shared" si="22"/>
        <v>JUL</v>
      </c>
      <c r="C468" s="21">
        <v>46228</v>
      </c>
      <c r="D468" s="20" t="str">
        <f>IFERROR(VLOOKUP(H468,KET!$B:$F,2,0),"")</f>
        <v>GRSM 5</v>
      </c>
      <c r="E468" s="20" t="str">
        <f>IFERROR(VLOOKUP(H468,KET!$B:$F,3,0),"")</f>
        <v>WONOGIRI</v>
      </c>
      <c r="F468" s="20" t="str">
        <f>IFERROR(VLOOKUP(H468,KET!$B:$F,4,0),"")</f>
        <v>SUPRIYATI</v>
      </c>
      <c r="G468" s="20" t="str">
        <f>IFERROR(VLOOKUP(H468,KET!$B:$F,5,0),"")</f>
        <v>GMM</v>
      </c>
      <c r="H468" s="19" t="s">
        <v>38</v>
      </c>
      <c r="I468" s="32">
        <v>1040</v>
      </c>
      <c r="J468" s="32">
        <v>1400</v>
      </c>
      <c r="K468" s="32">
        <v>1120</v>
      </c>
      <c r="L468" s="32">
        <v>2720</v>
      </c>
      <c r="M468" s="33">
        <f t="shared" si="20"/>
        <v>6280</v>
      </c>
      <c r="N468" s="32">
        <v>953</v>
      </c>
      <c r="O468" s="32">
        <v>1328</v>
      </c>
      <c r="P468" s="34">
        <v>1037</v>
      </c>
      <c r="Q468" s="32">
        <v>2426</v>
      </c>
      <c r="R468" s="33">
        <f t="shared" si="21"/>
        <v>5744</v>
      </c>
    </row>
    <row r="469" spans="1:18" ht="15.75" customHeight="1" x14ac:dyDescent="0.3">
      <c r="A469" s="19">
        <v>30</v>
      </c>
      <c r="B469" s="20" t="str">
        <f t="shared" si="22"/>
        <v>JUL</v>
      </c>
      <c r="C469" s="21">
        <v>46228</v>
      </c>
      <c r="D469" s="20" t="str">
        <f>IFERROR(VLOOKUP(H469,KET!$B:$F,2,0),"")</f>
        <v>GRSM 5</v>
      </c>
      <c r="E469" s="20" t="str">
        <f>IFERROR(VLOOKUP(H469,KET!$B:$F,3,0),"")</f>
        <v>PURWOKERTO</v>
      </c>
      <c r="F469" s="20" t="str">
        <f>IFERROR(VLOOKUP(H469,KET!$B:$F,4,0),"")</f>
        <v>SUPRIYATI</v>
      </c>
      <c r="G469" s="20" t="str">
        <f>IFERROR(VLOOKUP(H469,KET!$B:$F,5,0),"")</f>
        <v>GMM</v>
      </c>
      <c r="H469" s="19" t="s">
        <v>36</v>
      </c>
      <c r="I469" s="32">
        <v>240</v>
      </c>
      <c r="J469" s="32">
        <v>2800</v>
      </c>
      <c r="K469" s="32">
        <v>1240</v>
      </c>
      <c r="L469" s="32">
        <v>3560</v>
      </c>
      <c r="M469" s="33">
        <f t="shared" si="20"/>
        <v>7840</v>
      </c>
      <c r="N469" s="32">
        <v>200</v>
      </c>
      <c r="O469" s="32">
        <v>2520</v>
      </c>
      <c r="P469" s="34">
        <v>1120</v>
      </c>
      <c r="Q469" s="32">
        <v>3120</v>
      </c>
      <c r="R469" s="33">
        <f t="shared" si="21"/>
        <v>6960</v>
      </c>
    </row>
    <row r="470" spans="1:18" ht="15.75" customHeight="1" x14ac:dyDescent="0.3">
      <c r="A470" s="19">
        <v>30</v>
      </c>
      <c r="B470" s="20" t="str">
        <f t="shared" si="22"/>
        <v>JUL</v>
      </c>
      <c r="C470" s="21">
        <v>46228</v>
      </c>
      <c r="D470" s="20" t="str">
        <f>IFERROR(VLOOKUP(H470,KET!$B:$F,2,0),"")</f>
        <v>GRSM 5</v>
      </c>
      <c r="E470" s="20" t="str">
        <f>IFERROR(VLOOKUP(H470,KET!$B:$F,3,0),"")</f>
        <v>PURWOKERTO</v>
      </c>
      <c r="F470" s="20" t="str">
        <f>IFERROR(VLOOKUP(H470,KET!$B:$F,4,0),"")</f>
        <v>SUPRIYATI</v>
      </c>
      <c r="G470" s="20" t="str">
        <f>IFERROR(VLOOKUP(H470,KET!$B:$F,5,0),"")</f>
        <v>GMM</v>
      </c>
      <c r="H470" s="19" t="s">
        <v>37</v>
      </c>
      <c r="I470" s="32">
        <v>1202</v>
      </c>
      <c r="J470" s="32">
        <v>3960</v>
      </c>
      <c r="K470" s="32">
        <v>1848</v>
      </c>
      <c r="L470" s="32">
        <v>4612</v>
      </c>
      <c r="M470" s="33">
        <f t="shared" si="20"/>
        <v>11622</v>
      </c>
      <c r="N470" s="32">
        <v>1121</v>
      </c>
      <c r="O470" s="32">
        <v>3601</v>
      </c>
      <c r="P470" s="34">
        <v>1722</v>
      </c>
      <c r="Q470" s="32">
        <v>4242</v>
      </c>
      <c r="R470" s="33">
        <f t="shared" si="21"/>
        <v>10686</v>
      </c>
    </row>
    <row r="471" spans="1:18" ht="15.75" customHeight="1" x14ac:dyDescent="0.3">
      <c r="A471" s="19">
        <v>30</v>
      </c>
      <c r="B471" s="20" t="str">
        <f t="shared" si="22"/>
        <v>JUL</v>
      </c>
      <c r="C471" s="21">
        <v>46229</v>
      </c>
      <c r="D471" s="20" t="str">
        <f>IFERROR(VLOOKUP(H471,KET!$B:$F,2,0),"")</f>
        <v>GRSM 5</v>
      </c>
      <c r="E471" s="20" t="str">
        <f>IFERROR(VLOOKUP(H471,KET!$B:$F,3,0),"")</f>
        <v>PURWOKERTO</v>
      </c>
      <c r="F471" s="20" t="str">
        <f>IFERROR(VLOOKUP(H471,KET!$B:$F,4,0),"")</f>
        <v>SUPRIYATI</v>
      </c>
      <c r="G471" s="20" t="str">
        <f>IFERROR(VLOOKUP(H471,KET!$B:$F,5,0),"")</f>
        <v>GMM</v>
      </c>
      <c r="H471" s="19" t="s">
        <v>37</v>
      </c>
      <c r="I471" s="32">
        <v>1121</v>
      </c>
      <c r="J471" s="32">
        <v>3601</v>
      </c>
      <c r="K471" s="32">
        <v>1722</v>
      </c>
      <c r="L471" s="32">
        <v>4242</v>
      </c>
      <c r="M471" s="33">
        <f t="shared" si="20"/>
        <v>10686</v>
      </c>
      <c r="N471" s="32">
        <v>1026</v>
      </c>
      <c r="O471" s="32">
        <v>3252</v>
      </c>
      <c r="P471" s="34">
        <v>1620</v>
      </c>
      <c r="Q471" s="32">
        <v>3821</v>
      </c>
      <c r="R471" s="33">
        <f t="shared" si="21"/>
        <v>9719</v>
      </c>
    </row>
    <row r="472" spans="1:18" ht="15.75" customHeight="1" x14ac:dyDescent="0.3">
      <c r="A472" s="19">
        <v>30</v>
      </c>
      <c r="B472" s="20" t="str">
        <f t="shared" si="22"/>
        <v>JUL</v>
      </c>
      <c r="C472" s="21">
        <v>46229</v>
      </c>
      <c r="D472" s="20" t="str">
        <f>IFERROR(VLOOKUP(H472,KET!$B:$F,2,0),"")</f>
        <v>GRSM 5</v>
      </c>
      <c r="E472" s="20" t="str">
        <f>IFERROR(VLOOKUP(H472,KET!$B:$F,3,0),"")</f>
        <v>TEGAL</v>
      </c>
      <c r="F472" s="20" t="str">
        <f>IFERROR(VLOOKUP(H472,KET!$B:$F,4,0),"")</f>
        <v>SUPRIYATI</v>
      </c>
      <c r="G472" s="20" t="str">
        <f>IFERROR(VLOOKUP(H472,KET!$B:$F,5,0),"")</f>
        <v>GMM</v>
      </c>
      <c r="H472" s="19" t="s">
        <v>33</v>
      </c>
      <c r="I472" s="32">
        <v>923</v>
      </c>
      <c r="J472" s="32">
        <v>1276</v>
      </c>
      <c r="K472" s="32">
        <v>1477</v>
      </c>
      <c r="L472" s="32">
        <v>1305</v>
      </c>
      <c r="M472" s="33">
        <f t="shared" si="20"/>
        <v>4981</v>
      </c>
      <c r="N472" s="32">
        <v>799</v>
      </c>
      <c r="O472" s="32">
        <v>1067</v>
      </c>
      <c r="P472" s="34">
        <v>1279</v>
      </c>
      <c r="Q472" s="32">
        <v>994</v>
      </c>
      <c r="R472" s="33">
        <f t="shared" si="21"/>
        <v>4139</v>
      </c>
    </row>
    <row r="473" spans="1:18" ht="15.75" customHeight="1" x14ac:dyDescent="0.3">
      <c r="A473" s="19">
        <v>30</v>
      </c>
      <c r="B473" s="20" t="str">
        <f t="shared" si="22"/>
        <v>JUL</v>
      </c>
      <c r="C473" s="21">
        <v>46229</v>
      </c>
      <c r="D473" s="20" t="str">
        <f>IFERROR(VLOOKUP(H473,KET!$B:$F,2,0),"")</f>
        <v>GRSM 5</v>
      </c>
      <c r="E473" s="20" t="str">
        <f>IFERROR(VLOOKUP(H473,KET!$B:$F,3,0),"")</f>
        <v>WONOGIRI</v>
      </c>
      <c r="F473" s="20" t="str">
        <f>IFERROR(VLOOKUP(H473,KET!$B:$F,4,0),"")</f>
        <v>SUPRIYATI</v>
      </c>
      <c r="G473" s="20" t="str">
        <f>IFERROR(VLOOKUP(H473,KET!$B:$F,5,0),"")</f>
        <v>GMM</v>
      </c>
      <c r="H473" s="19" t="s">
        <v>38</v>
      </c>
      <c r="I473" s="32">
        <v>1040</v>
      </c>
      <c r="J473" s="32">
        <v>1400</v>
      </c>
      <c r="K473" s="32">
        <v>1120</v>
      </c>
      <c r="L473" s="32">
        <v>2720</v>
      </c>
      <c r="M473" s="33">
        <f t="shared" si="20"/>
        <v>6280</v>
      </c>
      <c r="N473" s="32">
        <v>963</v>
      </c>
      <c r="O473" s="32">
        <v>1321</v>
      </c>
      <c r="P473" s="34">
        <v>917</v>
      </c>
      <c r="Q473" s="32">
        <v>2307</v>
      </c>
      <c r="R473" s="33">
        <f t="shared" si="21"/>
        <v>5508</v>
      </c>
    </row>
    <row r="474" spans="1:18" ht="15.75" customHeight="1" x14ac:dyDescent="0.3">
      <c r="A474" s="19">
        <v>30</v>
      </c>
      <c r="B474" s="20" t="str">
        <f t="shared" si="22"/>
        <v>JUL</v>
      </c>
      <c r="C474" s="21">
        <v>46229</v>
      </c>
      <c r="D474" s="20" t="str">
        <f>IFERROR(VLOOKUP(H474,KET!$B:$F,2,0),"")</f>
        <v>GRSM 5</v>
      </c>
      <c r="E474" s="20" t="str">
        <f>IFERROR(VLOOKUP(H474,KET!$B:$F,3,0),"")</f>
        <v>PURWOKERTO</v>
      </c>
      <c r="F474" s="20" t="str">
        <f>IFERROR(VLOOKUP(H474,KET!$B:$F,4,0),"")</f>
        <v>SUPRIYATI</v>
      </c>
      <c r="G474" s="20" t="str">
        <f>IFERROR(VLOOKUP(H474,KET!$B:$F,5,0),"")</f>
        <v>GMM</v>
      </c>
      <c r="H474" s="19" t="s">
        <v>36</v>
      </c>
      <c r="I474" s="32">
        <v>200</v>
      </c>
      <c r="J474" s="32">
        <v>2520</v>
      </c>
      <c r="K474" s="32">
        <v>1120</v>
      </c>
      <c r="L474" s="32">
        <v>3120</v>
      </c>
      <c r="M474" s="33">
        <f t="shared" si="20"/>
        <v>6960</v>
      </c>
      <c r="N474" s="32">
        <v>145</v>
      </c>
      <c r="O474" s="32">
        <v>2251</v>
      </c>
      <c r="P474" s="34">
        <v>987</v>
      </c>
      <c r="Q474" s="32">
        <v>2703</v>
      </c>
      <c r="R474" s="33">
        <f t="shared" si="21"/>
        <v>6086</v>
      </c>
    </row>
    <row r="475" spans="1:18" ht="15.75" customHeight="1" x14ac:dyDescent="0.3">
      <c r="A475" s="19">
        <v>30</v>
      </c>
      <c r="B475" s="20" t="str">
        <f t="shared" si="22"/>
        <v>JUL</v>
      </c>
      <c r="C475" s="21">
        <v>46227</v>
      </c>
      <c r="D475" s="20" t="str">
        <f>IFERROR(VLOOKUP(H475,KET!$B:$F,2,0),"")</f>
        <v>GRSM 6</v>
      </c>
      <c r="E475" s="20" t="str">
        <f>IFERROR(VLOOKUP(H475,KET!$B:$F,3,0),"")</f>
        <v>MOJOKERTO</v>
      </c>
      <c r="F475" s="20" t="str">
        <f>IFERROR(VLOOKUP(H475,KET!$B:$F,4,0),"")</f>
        <v>WINDA</v>
      </c>
      <c r="G475" s="20" t="str">
        <f>IFERROR(VLOOKUP(H475,KET!$B:$F,5,0),"")</f>
        <v>GMM</v>
      </c>
      <c r="H475" s="19" t="s">
        <v>48</v>
      </c>
      <c r="I475" s="32">
        <v>46</v>
      </c>
      <c r="J475" s="32">
        <v>640</v>
      </c>
      <c r="K475" s="32">
        <v>652</v>
      </c>
      <c r="L475" s="32">
        <v>1240</v>
      </c>
      <c r="M475" s="33">
        <f t="shared" si="20"/>
        <v>2578</v>
      </c>
      <c r="N475" s="32">
        <v>44</v>
      </c>
      <c r="O475" s="32">
        <v>520</v>
      </c>
      <c r="P475" s="34">
        <v>562</v>
      </c>
      <c r="Q475" s="32">
        <v>978</v>
      </c>
      <c r="R475" s="33">
        <f t="shared" si="21"/>
        <v>2104</v>
      </c>
    </row>
    <row r="476" spans="1:18" ht="15.75" customHeight="1" x14ac:dyDescent="0.3">
      <c r="A476" s="19">
        <v>30</v>
      </c>
      <c r="B476" s="20" t="str">
        <f t="shared" si="22"/>
        <v>JUL</v>
      </c>
      <c r="C476" s="21">
        <v>46227</v>
      </c>
      <c r="D476" s="20" t="str">
        <f>IFERROR(VLOOKUP(H476,KET!$B:$F,2,0),"")</f>
        <v>GRSM 6</v>
      </c>
      <c r="E476" s="20" t="str">
        <f>IFERROR(VLOOKUP(H476,KET!$B:$F,3,0),"")</f>
        <v>BANYUWANGI</v>
      </c>
      <c r="F476" s="20" t="str">
        <f>IFERROR(VLOOKUP(H476,KET!$B:$F,4,0),"")</f>
        <v>WINDA</v>
      </c>
      <c r="G476" s="20" t="str">
        <f>IFERROR(VLOOKUP(H476,KET!$B:$F,5,0),"")</f>
        <v>GMM</v>
      </c>
      <c r="H476" s="19" t="s">
        <v>69</v>
      </c>
      <c r="I476" s="32">
        <v>932</v>
      </c>
      <c r="J476" s="32">
        <v>2042</v>
      </c>
      <c r="K476" s="32">
        <v>2218</v>
      </c>
      <c r="L476" s="32">
        <v>1486</v>
      </c>
      <c r="M476" s="33">
        <f t="shared" si="20"/>
        <v>6678</v>
      </c>
      <c r="N476" s="32">
        <v>874</v>
      </c>
      <c r="O476" s="32">
        <v>2156</v>
      </c>
      <c r="P476" s="34">
        <v>1974</v>
      </c>
      <c r="Q476" s="32">
        <v>1322</v>
      </c>
      <c r="R476" s="33">
        <f t="shared" si="21"/>
        <v>6326</v>
      </c>
    </row>
    <row r="477" spans="1:18" ht="15.75" customHeight="1" x14ac:dyDescent="0.3">
      <c r="A477" s="19">
        <v>30</v>
      </c>
      <c r="B477" s="20" t="str">
        <f t="shared" si="22"/>
        <v>JUL</v>
      </c>
      <c r="C477" s="21">
        <v>46227</v>
      </c>
      <c r="D477" s="20" t="str">
        <f>IFERROR(VLOOKUP(H477,KET!$B:$F,2,0),"")</f>
        <v>GRSM 6</v>
      </c>
      <c r="E477" s="20" t="str">
        <f>IFERROR(VLOOKUP(H477,KET!$B:$F,3,0),"")</f>
        <v>BANYUWANGI</v>
      </c>
      <c r="F477" s="20" t="str">
        <f>IFERROR(VLOOKUP(H477,KET!$B:$F,4,0),"")</f>
        <v>WINDA</v>
      </c>
      <c r="G477" s="20" t="str">
        <f>IFERROR(VLOOKUP(H477,KET!$B:$F,5,0),"")</f>
        <v>GMM</v>
      </c>
      <c r="H477" s="19" t="s">
        <v>69</v>
      </c>
      <c r="I477" s="32">
        <v>874</v>
      </c>
      <c r="J477" s="32">
        <v>2156</v>
      </c>
      <c r="K477" s="32">
        <v>1974</v>
      </c>
      <c r="L477" s="32">
        <v>1322</v>
      </c>
      <c r="M477" s="33">
        <f t="shared" si="20"/>
        <v>6326</v>
      </c>
      <c r="N477" s="32">
        <v>814</v>
      </c>
      <c r="O477" s="32">
        <v>2014</v>
      </c>
      <c r="P477" s="34">
        <v>1910</v>
      </c>
      <c r="Q477" s="32">
        <v>1142</v>
      </c>
      <c r="R477" s="33">
        <f t="shared" si="21"/>
        <v>5880</v>
      </c>
    </row>
    <row r="478" spans="1:18" ht="15.75" customHeight="1" x14ac:dyDescent="0.3">
      <c r="A478" s="19">
        <v>30</v>
      </c>
      <c r="B478" s="20" t="str">
        <f t="shared" si="22"/>
        <v>JUL</v>
      </c>
      <c r="C478" s="21">
        <v>46227</v>
      </c>
      <c r="D478" s="20" t="str">
        <f>IFERROR(VLOOKUP(H478,KET!$B:$F,2,0),"")</f>
        <v>GRSM 6</v>
      </c>
      <c r="E478" s="20" t="str">
        <f>IFERROR(VLOOKUP(H478,KET!$B:$F,3,0),"")</f>
        <v>PROBOLINGGO</v>
      </c>
      <c r="F478" s="20" t="str">
        <f>IFERROR(VLOOKUP(H478,KET!$B:$F,4,0),"")</f>
        <v>WINDA</v>
      </c>
      <c r="G478" s="20" t="str">
        <f>IFERROR(VLOOKUP(H478,KET!$B:$F,5,0),"")</f>
        <v>GMM</v>
      </c>
      <c r="H478" s="19" t="s">
        <v>53</v>
      </c>
      <c r="I478" s="32">
        <v>0</v>
      </c>
      <c r="J478" s="32">
        <v>945</v>
      </c>
      <c r="K478" s="32">
        <v>899</v>
      </c>
      <c r="L478" s="32">
        <v>1991</v>
      </c>
      <c r="M478" s="33">
        <f t="shared" si="20"/>
        <v>3835</v>
      </c>
      <c r="N478" s="32">
        <v>0</v>
      </c>
      <c r="O478" s="32">
        <v>813</v>
      </c>
      <c r="P478" s="34">
        <v>777</v>
      </c>
      <c r="Q478" s="32">
        <v>1823</v>
      </c>
      <c r="R478" s="33">
        <f t="shared" si="21"/>
        <v>3413</v>
      </c>
    </row>
    <row r="479" spans="1:18" ht="15.75" customHeight="1" x14ac:dyDescent="0.3">
      <c r="A479" s="19">
        <v>30</v>
      </c>
      <c r="B479" s="20" t="str">
        <f t="shared" si="22"/>
        <v>JUL</v>
      </c>
      <c r="C479" s="21">
        <v>46227</v>
      </c>
      <c r="D479" s="20" t="str">
        <f>IFERROR(VLOOKUP(H479,KET!$B:$F,2,0),"")</f>
        <v>GRSM 6</v>
      </c>
      <c r="E479" s="20" t="str">
        <f>IFERROR(VLOOKUP(H479,KET!$B:$F,3,0),"")</f>
        <v>PROBOLINGGO</v>
      </c>
      <c r="F479" s="20" t="str">
        <f>IFERROR(VLOOKUP(H479,KET!$B:$F,4,0),"")</f>
        <v>WINDA</v>
      </c>
      <c r="G479" s="20" t="str">
        <f>IFERROR(VLOOKUP(H479,KET!$B:$F,5,0),"")</f>
        <v>GMM</v>
      </c>
      <c r="H479" s="19" t="s">
        <v>52</v>
      </c>
      <c r="I479" s="32">
        <v>0</v>
      </c>
      <c r="J479" s="32">
        <v>3635</v>
      </c>
      <c r="K479" s="32">
        <v>2069</v>
      </c>
      <c r="L479" s="32">
        <v>5519</v>
      </c>
      <c r="M479" s="33">
        <f t="shared" si="20"/>
        <v>11223</v>
      </c>
      <c r="N479" s="32">
        <v>0</v>
      </c>
      <c r="O479" s="32">
        <v>3411</v>
      </c>
      <c r="P479" s="34">
        <v>1853</v>
      </c>
      <c r="Q479" s="32">
        <v>5081</v>
      </c>
      <c r="R479" s="33">
        <f t="shared" si="21"/>
        <v>10345</v>
      </c>
    </row>
    <row r="480" spans="1:18" ht="15.75" customHeight="1" x14ac:dyDescent="0.3">
      <c r="A480" s="19">
        <v>30</v>
      </c>
      <c r="B480" s="20" t="str">
        <f t="shared" si="22"/>
        <v>JUL</v>
      </c>
      <c r="C480" s="21">
        <v>46227</v>
      </c>
      <c r="D480" s="20" t="str">
        <f>IFERROR(VLOOKUP(H480,KET!$B:$F,2,0),"")</f>
        <v>GRSM 6</v>
      </c>
      <c r="E480" s="20" t="str">
        <f>IFERROR(VLOOKUP(H480,KET!$B:$F,3,0),"")</f>
        <v>PASURUAN</v>
      </c>
      <c r="F480" s="20" t="str">
        <f>IFERROR(VLOOKUP(H480,KET!$B:$F,4,0),"")</f>
        <v>WINDA</v>
      </c>
      <c r="G480" s="20" t="str">
        <f>IFERROR(VLOOKUP(H480,KET!$B:$F,5,0),"")</f>
        <v>GMM</v>
      </c>
      <c r="H480" s="19" t="s">
        <v>50</v>
      </c>
      <c r="I480" s="32">
        <v>616</v>
      </c>
      <c r="J480" s="32">
        <v>933</v>
      </c>
      <c r="K480" s="32">
        <v>378</v>
      </c>
      <c r="L480" s="32">
        <v>1574</v>
      </c>
      <c r="M480" s="33">
        <f t="shared" si="20"/>
        <v>3501</v>
      </c>
      <c r="N480" s="32">
        <v>548</v>
      </c>
      <c r="O480" s="32">
        <v>853</v>
      </c>
      <c r="P480" s="34">
        <v>302</v>
      </c>
      <c r="Q480" s="32">
        <v>1314</v>
      </c>
      <c r="R480" s="33">
        <f t="shared" si="21"/>
        <v>3017</v>
      </c>
    </row>
    <row r="481" spans="1:18" ht="15.75" customHeight="1" x14ac:dyDescent="0.3">
      <c r="A481" s="19">
        <v>30</v>
      </c>
      <c r="B481" s="20" t="str">
        <f t="shared" si="22"/>
        <v>JUL</v>
      </c>
      <c r="C481" s="21">
        <v>46227</v>
      </c>
      <c r="D481" s="20" t="str">
        <f>IFERROR(VLOOKUP(H481,KET!$B:$F,2,0),"")</f>
        <v>GRSM 6</v>
      </c>
      <c r="E481" s="20" t="str">
        <f>IFERROR(VLOOKUP(H481,KET!$B:$F,3,0),"")</f>
        <v>PASURUAN</v>
      </c>
      <c r="F481" s="20" t="str">
        <f>IFERROR(VLOOKUP(H481,KET!$B:$F,4,0),"")</f>
        <v>WINDA</v>
      </c>
      <c r="G481" s="20" t="str">
        <f>IFERROR(VLOOKUP(H481,KET!$B:$F,5,0),"")</f>
        <v>GMM</v>
      </c>
      <c r="H481" s="19" t="s">
        <v>50</v>
      </c>
      <c r="I481" s="32">
        <v>457</v>
      </c>
      <c r="J481" s="32">
        <v>759</v>
      </c>
      <c r="K481" s="32">
        <v>495</v>
      </c>
      <c r="L481" s="32">
        <v>883</v>
      </c>
      <c r="M481" s="33">
        <f t="shared" si="20"/>
        <v>2594</v>
      </c>
      <c r="N481" s="32">
        <v>350</v>
      </c>
      <c r="O481" s="32">
        <v>645</v>
      </c>
      <c r="P481" s="34">
        <v>481</v>
      </c>
      <c r="Q481" s="32">
        <v>674</v>
      </c>
      <c r="R481" s="33">
        <f t="shared" si="21"/>
        <v>2150</v>
      </c>
    </row>
    <row r="482" spans="1:18" ht="15.75" customHeight="1" x14ac:dyDescent="0.3">
      <c r="A482" s="19">
        <v>30</v>
      </c>
      <c r="B482" s="20" t="str">
        <f t="shared" si="22"/>
        <v>JUL</v>
      </c>
      <c r="C482" s="21">
        <v>46228</v>
      </c>
      <c r="D482" s="20" t="str">
        <f>IFERROR(VLOOKUP(H482,KET!$B:$F,2,0),"")</f>
        <v>GRSM 6</v>
      </c>
      <c r="E482" s="20" t="str">
        <f>IFERROR(VLOOKUP(H482,KET!$B:$F,3,0),"")</f>
        <v>BANYUWANGI</v>
      </c>
      <c r="F482" s="20" t="str">
        <f>IFERROR(VLOOKUP(H482,KET!$B:$F,4,0),"")</f>
        <v>WINDA</v>
      </c>
      <c r="G482" s="20" t="str">
        <f>IFERROR(VLOOKUP(H482,KET!$B:$F,5,0),"")</f>
        <v>GMM</v>
      </c>
      <c r="H482" s="19" t="s">
        <v>69</v>
      </c>
      <c r="I482" s="32">
        <v>814</v>
      </c>
      <c r="J482" s="32">
        <v>2014</v>
      </c>
      <c r="K482" s="32">
        <v>1910</v>
      </c>
      <c r="L482" s="32">
        <v>1142</v>
      </c>
      <c r="M482" s="33">
        <f t="shared" si="20"/>
        <v>5880</v>
      </c>
      <c r="N482" s="32">
        <v>692</v>
      </c>
      <c r="O482" s="32">
        <v>1886</v>
      </c>
      <c r="P482" s="34">
        <v>1780</v>
      </c>
      <c r="Q482" s="32">
        <v>856</v>
      </c>
      <c r="R482" s="33">
        <f t="shared" si="21"/>
        <v>5214</v>
      </c>
    </row>
    <row r="483" spans="1:18" ht="15.75" customHeight="1" x14ac:dyDescent="0.3">
      <c r="A483" s="19">
        <v>30</v>
      </c>
      <c r="B483" s="20" t="str">
        <f t="shared" si="22"/>
        <v>JUL</v>
      </c>
      <c r="C483" s="21">
        <v>46228</v>
      </c>
      <c r="D483" s="20" t="str">
        <f>IFERROR(VLOOKUP(H483,KET!$B:$F,2,0),"")</f>
        <v>GRSM 6</v>
      </c>
      <c r="E483" s="20" t="str">
        <f>IFERROR(VLOOKUP(H483,KET!$B:$F,3,0),"")</f>
        <v>MOJOKERTO</v>
      </c>
      <c r="F483" s="20" t="str">
        <f>IFERROR(VLOOKUP(H483,KET!$B:$F,4,0),"")</f>
        <v>WINDA</v>
      </c>
      <c r="G483" s="20" t="str">
        <f>IFERROR(VLOOKUP(H483,KET!$B:$F,5,0),"")</f>
        <v>GMM</v>
      </c>
      <c r="H483" s="19" t="s">
        <v>48</v>
      </c>
      <c r="I483" s="32">
        <v>44</v>
      </c>
      <c r="J483" s="32">
        <v>520</v>
      </c>
      <c r="K483" s="32">
        <v>562</v>
      </c>
      <c r="L483" s="32">
        <v>978</v>
      </c>
      <c r="M483" s="33">
        <f t="shared" si="20"/>
        <v>2104</v>
      </c>
      <c r="N483" s="32">
        <v>44</v>
      </c>
      <c r="O483" s="32">
        <v>520</v>
      </c>
      <c r="P483" s="34">
        <v>562</v>
      </c>
      <c r="Q483" s="32">
        <v>978</v>
      </c>
      <c r="R483" s="33">
        <f t="shared" si="21"/>
        <v>2104</v>
      </c>
    </row>
    <row r="484" spans="1:18" ht="15.75" customHeight="1" x14ac:dyDescent="0.3">
      <c r="A484" s="19">
        <v>30</v>
      </c>
      <c r="B484" s="20" t="str">
        <f t="shared" si="22"/>
        <v>JUL</v>
      </c>
      <c r="C484" s="21">
        <v>46228</v>
      </c>
      <c r="D484" s="20" t="str">
        <f>IFERROR(VLOOKUP(H484,KET!$B:$F,2,0),"")</f>
        <v>GRSM 6</v>
      </c>
      <c r="E484" s="20" t="str">
        <f>IFERROR(VLOOKUP(H484,KET!$B:$F,3,0),"")</f>
        <v>PROBOLINGGO</v>
      </c>
      <c r="F484" s="20" t="str">
        <f>IFERROR(VLOOKUP(H484,KET!$B:$F,4,0),"")</f>
        <v>WINDA</v>
      </c>
      <c r="G484" s="20" t="str">
        <f>IFERROR(VLOOKUP(H484,KET!$B:$F,5,0),"")</f>
        <v>GMM</v>
      </c>
      <c r="H484" s="19" t="s">
        <v>53</v>
      </c>
      <c r="I484" s="32">
        <v>0</v>
      </c>
      <c r="J484" s="32">
        <v>813</v>
      </c>
      <c r="K484" s="32">
        <v>777</v>
      </c>
      <c r="L484" s="32">
        <v>1823</v>
      </c>
      <c r="M484" s="33">
        <f t="shared" si="20"/>
        <v>3413</v>
      </c>
      <c r="N484" s="32">
        <v>0</v>
      </c>
      <c r="O484" s="32">
        <v>682</v>
      </c>
      <c r="P484" s="34">
        <v>650</v>
      </c>
      <c r="Q484" s="32">
        <v>1602</v>
      </c>
      <c r="R484" s="33">
        <f t="shared" si="21"/>
        <v>2934</v>
      </c>
    </row>
    <row r="485" spans="1:18" ht="15.75" customHeight="1" x14ac:dyDescent="0.3">
      <c r="A485" s="19">
        <v>30</v>
      </c>
      <c r="B485" s="20" t="str">
        <f t="shared" si="22"/>
        <v>JUL</v>
      </c>
      <c r="C485" s="21">
        <v>46228</v>
      </c>
      <c r="D485" s="20" t="str">
        <f>IFERROR(VLOOKUP(H485,KET!$B:$F,2,0),"")</f>
        <v>GRSM 6</v>
      </c>
      <c r="E485" s="20" t="str">
        <f>IFERROR(VLOOKUP(H485,KET!$B:$F,3,0),"")</f>
        <v>PROBOLINGGO</v>
      </c>
      <c r="F485" s="20" t="str">
        <f>IFERROR(VLOOKUP(H485,KET!$B:$F,4,0),"")</f>
        <v>WINDA</v>
      </c>
      <c r="G485" s="20" t="str">
        <f>IFERROR(VLOOKUP(H485,KET!$B:$F,5,0),"")</f>
        <v>GMM</v>
      </c>
      <c r="H485" s="19" t="s">
        <v>52</v>
      </c>
      <c r="I485" s="32">
        <v>0</v>
      </c>
      <c r="J485" s="32">
        <v>3411</v>
      </c>
      <c r="K485" s="32">
        <v>1853</v>
      </c>
      <c r="L485" s="32">
        <v>5081</v>
      </c>
      <c r="M485" s="33">
        <f t="shared" si="20"/>
        <v>10345</v>
      </c>
      <c r="N485" s="32">
        <v>0</v>
      </c>
      <c r="O485" s="32">
        <v>3225</v>
      </c>
      <c r="P485" s="34">
        <v>1679</v>
      </c>
      <c r="Q485" s="32">
        <v>4751</v>
      </c>
      <c r="R485" s="33">
        <f t="shared" si="21"/>
        <v>9655</v>
      </c>
    </row>
    <row r="486" spans="1:18" ht="15.75" customHeight="1" x14ac:dyDescent="0.3">
      <c r="A486" s="19">
        <v>30</v>
      </c>
      <c r="B486" s="20" t="str">
        <f t="shared" si="22"/>
        <v>JUL</v>
      </c>
      <c r="C486" s="21">
        <v>46228</v>
      </c>
      <c r="D486" s="20" t="str">
        <f>IFERROR(VLOOKUP(H486,KET!$B:$F,2,0),"")</f>
        <v>GRSM 6</v>
      </c>
      <c r="E486" s="20" t="str">
        <f>IFERROR(VLOOKUP(H486,KET!$B:$F,3,0),"")</f>
        <v>PASURUAN</v>
      </c>
      <c r="F486" s="20" t="str">
        <f>IFERROR(VLOOKUP(H486,KET!$B:$F,4,0),"")</f>
        <v>WINDA</v>
      </c>
      <c r="G486" s="20" t="str">
        <f>IFERROR(VLOOKUP(H486,KET!$B:$F,5,0),"")</f>
        <v>GMM</v>
      </c>
      <c r="H486" s="19" t="s">
        <v>50</v>
      </c>
      <c r="I486" s="32">
        <v>548</v>
      </c>
      <c r="J486" s="32">
        <v>853</v>
      </c>
      <c r="K486" s="32">
        <v>302</v>
      </c>
      <c r="L486" s="32">
        <v>1314</v>
      </c>
      <c r="M486" s="33">
        <f t="shared" si="20"/>
        <v>3017</v>
      </c>
      <c r="N486" s="32">
        <v>468</v>
      </c>
      <c r="O486" s="32">
        <v>632</v>
      </c>
      <c r="P486" s="34">
        <v>216</v>
      </c>
      <c r="Q486" s="32">
        <v>1002</v>
      </c>
      <c r="R486" s="33">
        <f t="shared" si="21"/>
        <v>2318</v>
      </c>
    </row>
    <row r="487" spans="1:18" ht="15.75" customHeight="1" x14ac:dyDescent="0.3">
      <c r="A487" s="19">
        <v>30</v>
      </c>
      <c r="B487" s="20" t="str">
        <f t="shared" si="22"/>
        <v>JUL</v>
      </c>
      <c r="C487" s="21">
        <v>46228</v>
      </c>
      <c r="D487" s="20" t="str">
        <f>IFERROR(VLOOKUP(H487,KET!$B:$F,2,0),"")</f>
        <v>GRSM 6</v>
      </c>
      <c r="E487" s="20" t="str">
        <f>IFERROR(VLOOKUP(H487,KET!$B:$F,3,0),"")</f>
        <v>PASURUAN</v>
      </c>
      <c r="F487" s="20" t="str">
        <f>IFERROR(VLOOKUP(H487,KET!$B:$F,4,0),"")</f>
        <v>WINDA</v>
      </c>
      <c r="G487" s="20" t="str">
        <f>IFERROR(VLOOKUP(H487,KET!$B:$F,5,0),"")</f>
        <v>GMM</v>
      </c>
      <c r="H487" s="19" t="s">
        <v>50</v>
      </c>
      <c r="I487" s="32">
        <v>350</v>
      </c>
      <c r="J487" s="32">
        <v>645</v>
      </c>
      <c r="K487" s="32">
        <v>481</v>
      </c>
      <c r="L487" s="32">
        <v>674</v>
      </c>
      <c r="M487" s="33">
        <f t="shared" si="20"/>
        <v>2150</v>
      </c>
      <c r="N487" s="32">
        <v>241</v>
      </c>
      <c r="O487" s="32">
        <v>609</v>
      </c>
      <c r="P487" s="34">
        <v>402</v>
      </c>
      <c r="Q487" s="32">
        <v>439</v>
      </c>
      <c r="R487" s="33">
        <f t="shared" si="21"/>
        <v>1691</v>
      </c>
    </row>
    <row r="488" spans="1:18" ht="15.75" customHeight="1" x14ac:dyDescent="0.3">
      <c r="A488" s="19">
        <v>30</v>
      </c>
      <c r="B488" s="20" t="str">
        <f t="shared" si="22"/>
        <v>JUL</v>
      </c>
      <c r="C488" s="21">
        <v>46228</v>
      </c>
      <c r="D488" s="20" t="str">
        <f>IFERROR(VLOOKUP(H488,KET!$B:$F,2,0),"")</f>
        <v>GRSM 6</v>
      </c>
      <c r="E488" s="20" t="str">
        <f>IFERROR(VLOOKUP(H488,KET!$B:$F,3,0),"")</f>
        <v>MOJOKERTO</v>
      </c>
      <c r="F488" s="20" t="str">
        <f>IFERROR(VLOOKUP(H488,KET!$B:$F,4,0),"")</f>
        <v>WINDA</v>
      </c>
      <c r="G488" s="20" t="str">
        <f>IFERROR(VLOOKUP(H488,KET!$B:$F,5,0),"")</f>
        <v>GMM</v>
      </c>
      <c r="H488" s="19" t="s">
        <v>54</v>
      </c>
      <c r="I488" s="32">
        <v>2220</v>
      </c>
      <c r="J488" s="32">
        <v>2250</v>
      </c>
      <c r="K488" s="32">
        <v>3022</v>
      </c>
      <c r="L488" s="32">
        <v>3155</v>
      </c>
      <c r="M488" s="33">
        <f t="shared" si="20"/>
        <v>10647</v>
      </c>
      <c r="N488" s="32">
        <v>2190</v>
      </c>
      <c r="O488" s="32">
        <v>2430</v>
      </c>
      <c r="P488" s="34">
        <v>2892</v>
      </c>
      <c r="Q488" s="32">
        <v>2940</v>
      </c>
      <c r="R488" s="33">
        <f t="shared" si="21"/>
        <v>10452</v>
      </c>
    </row>
    <row r="489" spans="1:18" ht="15.75" customHeight="1" x14ac:dyDescent="0.3">
      <c r="A489" s="19">
        <v>30</v>
      </c>
      <c r="B489" s="20" t="str">
        <f t="shared" si="22"/>
        <v>JUL</v>
      </c>
      <c r="C489" s="21">
        <v>46229</v>
      </c>
      <c r="D489" s="20" t="str">
        <f>IFERROR(VLOOKUP(H489,KET!$B:$F,2,0),"")</f>
        <v>GRSM 6</v>
      </c>
      <c r="E489" s="20" t="str">
        <f>IFERROR(VLOOKUP(H489,KET!$B:$F,3,0),"")</f>
        <v>PROBOLINGGO</v>
      </c>
      <c r="F489" s="20" t="str">
        <f>IFERROR(VLOOKUP(H489,KET!$B:$F,4,0),"")</f>
        <v>WINDA</v>
      </c>
      <c r="G489" s="20" t="str">
        <f>IFERROR(VLOOKUP(H489,KET!$B:$F,5,0),"")</f>
        <v>GMM</v>
      </c>
      <c r="H489" s="19" t="s">
        <v>53</v>
      </c>
      <c r="I489" s="32">
        <v>0</v>
      </c>
      <c r="J489" s="32">
        <v>682</v>
      </c>
      <c r="K489" s="32">
        <v>650</v>
      </c>
      <c r="L489" s="32">
        <v>1602</v>
      </c>
      <c r="M489" s="33">
        <f t="shared" si="20"/>
        <v>2934</v>
      </c>
      <c r="N489" s="32">
        <v>0</v>
      </c>
      <c r="O489" s="32">
        <v>553</v>
      </c>
      <c r="P489" s="34">
        <v>541</v>
      </c>
      <c r="Q489" s="32">
        <v>1447</v>
      </c>
      <c r="R489" s="33">
        <f t="shared" si="21"/>
        <v>2541</v>
      </c>
    </row>
    <row r="490" spans="1:18" ht="15.75" customHeight="1" x14ac:dyDescent="0.3">
      <c r="A490" s="19">
        <v>30</v>
      </c>
      <c r="B490" s="20" t="str">
        <f t="shared" ref="B490:B518" si="23">IF(C490="","",UPPER(TEXT(C490, "MMM")))</f>
        <v>JUL</v>
      </c>
      <c r="C490" s="21">
        <v>46229</v>
      </c>
      <c r="D490" s="20" t="str">
        <f>IFERROR(VLOOKUP(H490,KET!$B:$F,2,0),"")</f>
        <v>GRSM 6</v>
      </c>
      <c r="E490" s="20" t="str">
        <f>IFERROR(VLOOKUP(H490,KET!$B:$F,3,0),"")</f>
        <v>BANYUWANGI</v>
      </c>
      <c r="F490" s="20" t="str">
        <f>IFERROR(VLOOKUP(H490,KET!$B:$F,4,0),"")</f>
        <v>WINDA</v>
      </c>
      <c r="G490" s="20" t="str">
        <f>IFERROR(VLOOKUP(H490,KET!$B:$F,5,0),"")</f>
        <v>GMM</v>
      </c>
      <c r="H490" s="19" t="s">
        <v>69</v>
      </c>
      <c r="I490" s="32">
        <v>692</v>
      </c>
      <c r="J490" s="32">
        <v>1886</v>
      </c>
      <c r="K490" s="32">
        <v>1780</v>
      </c>
      <c r="L490" s="32">
        <v>856</v>
      </c>
      <c r="M490" s="33">
        <f t="shared" si="20"/>
        <v>5214</v>
      </c>
      <c r="N490" s="32">
        <v>592</v>
      </c>
      <c r="O490" s="32">
        <v>1756</v>
      </c>
      <c r="P490" s="34">
        <v>1662</v>
      </c>
      <c r="Q490" s="32">
        <v>586</v>
      </c>
      <c r="R490" s="33">
        <f t="shared" si="21"/>
        <v>4596</v>
      </c>
    </row>
    <row r="491" spans="1:18" ht="15.75" customHeight="1" x14ac:dyDescent="0.3">
      <c r="A491" s="19">
        <v>30</v>
      </c>
      <c r="B491" s="20" t="str">
        <f t="shared" si="23"/>
        <v>JUL</v>
      </c>
      <c r="C491" s="21">
        <v>46229</v>
      </c>
      <c r="D491" s="20" t="str">
        <f>IFERROR(VLOOKUP(H491,KET!$B:$F,2,0),"")</f>
        <v>GRSM 6</v>
      </c>
      <c r="E491" s="20" t="str">
        <f>IFERROR(VLOOKUP(H491,KET!$B:$F,3,0),"")</f>
        <v>BANYUWANGI</v>
      </c>
      <c r="F491" s="20" t="str">
        <f>IFERROR(VLOOKUP(H491,KET!$B:$F,4,0),"")</f>
        <v>WINDA</v>
      </c>
      <c r="G491" s="20" t="str">
        <f>IFERROR(VLOOKUP(H491,KET!$B:$F,5,0),"")</f>
        <v>GMM</v>
      </c>
      <c r="H491" s="19" t="s">
        <v>69</v>
      </c>
      <c r="I491" s="32">
        <v>692</v>
      </c>
      <c r="J491" s="32">
        <v>1886</v>
      </c>
      <c r="K491" s="32">
        <v>1780</v>
      </c>
      <c r="L491" s="32">
        <v>856</v>
      </c>
      <c r="M491" s="33">
        <f t="shared" si="20"/>
        <v>5214</v>
      </c>
      <c r="N491" s="32">
        <v>592</v>
      </c>
      <c r="O491" s="32">
        <v>1756</v>
      </c>
      <c r="P491" s="34">
        <v>1662</v>
      </c>
      <c r="Q491" s="32">
        <v>586</v>
      </c>
      <c r="R491" s="33">
        <f t="shared" si="21"/>
        <v>4596</v>
      </c>
    </row>
    <row r="492" spans="1:18" ht="15.75" customHeight="1" x14ac:dyDescent="0.3">
      <c r="A492" s="19">
        <v>30</v>
      </c>
      <c r="B492" s="20" t="str">
        <f t="shared" si="23"/>
        <v>JUL</v>
      </c>
      <c r="C492" s="21">
        <v>46229</v>
      </c>
      <c r="D492" s="20" t="str">
        <f>IFERROR(VLOOKUP(H492,KET!$B:$F,2,0),"")</f>
        <v>GRSM 6</v>
      </c>
      <c r="E492" s="20" t="str">
        <f>IFERROR(VLOOKUP(H492,KET!$B:$F,3,0),"")</f>
        <v>MOJOKERTO</v>
      </c>
      <c r="F492" s="20" t="str">
        <f>IFERROR(VLOOKUP(H492,KET!$B:$F,4,0),"")</f>
        <v>WINDA</v>
      </c>
      <c r="G492" s="20" t="str">
        <f>IFERROR(VLOOKUP(H492,KET!$B:$F,5,0),"")</f>
        <v>GMM</v>
      </c>
      <c r="H492" s="19" t="s">
        <v>48</v>
      </c>
      <c r="I492" s="32">
        <v>44</v>
      </c>
      <c r="J492" s="32">
        <v>520</v>
      </c>
      <c r="K492" s="32">
        <v>562</v>
      </c>
      <c r="L492" s="32">
        <v>978</v>
      </c>
      <c r="M492" s="33">
        <f t="shared" si="20"/>
        <v>2104</v>
      </c>
      <c r="N492" s="32">
        <v>38</v>
      </c>
      <c r="O492" s="32">
        <v>420</v>
      </c>
      <c r="P492" s="34">
        <v>432</v>
      </c>
      <c r="Q492" s="32">
        <v>724</v>
      </c>
      <c r="R492" s="33">
        <f t="shared" si="21"/>
        <v>1614</v>
      </c>
    </row>
    <row r="493" spans="1:18" ht="15.75" customHeight="1" x14ac:dyDescent="0.3">
      <c r="A493" s="19">
        <v>30</v>
      </c>
      <c r="B493" s="20" t="str">
        <f t="shared" si="23"/>
        <v>JUL</v>
      </c>
      <c r="C493" s="21">
        <v>46229</v>
      </c>
      <c r="D493" s="20" t="str">
        <f>IFERROR(VLOOKUP(H493,KET!$B:$F,2,0),"")</f>
        <v>GRSM 6</v>
      </c>
      <c r="E493" s="20" t="str">
        <f>IFERROR(VLOOKUP(H493,KET!$B:$F,3,0),"")</f>
        <v>PASURUAN</v>
      </c>
      <c r="F493" s="20" t="str">
        <f>IFERROR(VLOOKUP(H493,KET!$B:$F,4,0),"")</f>
        <v>WINDA</v>
      </c>
      <c r="G493" s="20" t="str">
        <f>IFERROR(VLOOKUP(H493,KET!$B:$F,5,0),"")</f>
        <v>GMM</v>
      </c>
      <c r="H493" s="19" t="s">
        <v>50</v>
      </c>
      <c r="I493" s="32">
        <v>241</v>
      </c>
      <c r="J493" s="32">
        <v>609</v>
      </c>
      <c r="K493" s="32">
        <v>402</v>
      </c>
      <c r="L493" s="32">
        <v>439</v>
      </c>
      <c r="M493" s="33">
        <f t="shared" si="20"/>
        <v>1691</v>
      </c>
      <c r="N493" s="32">
        <v>0</v>
      </c>
      <c r="O493" s="32">
        <v>471</v>
      </c>
      <c r="P493" s="34">
        <v>297</v>
      </c>
      <c r="Q493" s="32">
        <v>217</v>
      </c>
      <c r="R493" s="33">
        <f t="shared" si="21"/>
        <v>985</v>
      </c>
    </row>
    <row r="494" spans="1:18" ht="15.75" customHeight="1" x14ac:dyDescent="0.3">
      <c r="A494" s="19">
        <v>30</v>
      </c>
      <c r="B494" s="20" t="str">
        <f t="shared" si="23"/>
        <v>JUL</v>
      </c>
      <c r="C494" s="21">
        <v>46229</v>
      </c>
      <c r="D494" s="20" t="str">
        <f>IFERROR(VLOOKUP(H494,KET!$B:$F,2,0),"")</f>
        <v>GRSM 6</v>
      </c>
      <c r="E494" s="20" t="str">
        <f>IFERROR(VLOOKUP(H494,KET!$B:$F,3,0),"")</f>
        <v>PROBOLINGGO</v>
      </c>
      <c r="F494" s="20" t="str">
        <f>IFERROR(VLOOKUP(H494,KET!$B:$F,4,0),"")</f>
        <v>WINDA</v>
      </c>
      <c r="G494" s="20" t="str">
        <f>IFERROR(VLOOKUP(H494,KET!$B:$F,5,0),"")</f>
        <v>GMM</v>
      </c>
      <c r="H494" s="19" t="s">
        <v>52</v>
      </c>
      <c r="I494" s="32">
        <v>0</v>
      </c>
      <c r="J494" s="32">
        <v>3225</v>
      </c>
      <c r="K494" s="32">
        <v>1679</v>
      </c>
      <c r="L494" s="32">
        <v>4751</v>
      </c>
      <c r="M494" s="33">
        <f t="shared" si="20"/>
        <v>9655</v>
      </c>
      <c r="N494" s="32">
        <v>0</v>
      </c>
      <c r="O494" s="32">
        <v>2999</v>
      </c>
      <c r="P494" s="34">
        <v>1495</v>
      </c>
      <c r="Q494" s="32">
        <v>4371</v>
      </c>
      <c r="R494" s="33">
        <f t="shared" si="21"/>
        <v>8865</v>
      </c>
    </row>
    <row r="495" spans="1:18" ht="15.75" customHeight="1" x14ac:dyDescent="0.3">
      <c r="A495" s="19">
        <v>30</v>
      </c>
      <c r="B495" s="20" t="str">
        <f t="shared" si="23"/>
        <v>JUL</v>
      </c>
      <c r="C495" s="21">
        <v>46229</v>
      </c>
      <c r="D495" s="20" t="str">
        <f>IFERROR(VLOOKUP(H495,KET!$B:$F,2,0),"")</f>
        <v>GRSM 6</v>
      </c>
      <c r="E495" s="20" t="str">
        <f>IFERROR(VLOOKUP(H495,KET!$B:$F,3,0),"")</f>
        <v>PASURUAN</v>
      </c>
      <c r="F495" s="20" t="str">
        <f>IFERROR(VLOOKUP(H495,KET!$B:$F,4,0),"")</f>
        <v>WINDA</v>
      </c>
      <c r="G495" s="20" t="str">
        <f>IFERROR(VLOOKUP(H495,KET!$B:$F,5,0),"")</f>
        <v>GMM</v>
      </c>
      <c r="H495" s="19" t="s">
        <v>50</v>
      </c>
      <c r="I495" s="32">
        <v>566</v>
      </c>
      <c r="J495" s="32">
        <v>692</v>
      </c>
      <c r="K495" s="32">
        <v>630</v>
      </c>
      <c r="L495" s="32">
        <v>1227</v>
      </c>
      <c r="M495" s="33">
        <f t="shared" si="20"/>
        <v>3115</v>
      </c>
      <c r="N495" s="32">
        <v>468</v>
      </c>
      <c r="O495" s="32">
        <v>424</v>
      </c>
      <c r="P495" s="34">
        <v>512</v>
      </c>
      <c r="Q495" s="32">
        <v>732</v>
      </c>
      <c r="R495" s="33">
        <f t="shared" si="21"/>
        <v>2136</v>
      </c>
    </row>
    <row r="496" spans="1:18" ht="15.75" customHeight="1" x14ac:dyDescent="0.3">
      <c r="A496" s="19">
        <v>30</v>
      </c>
      <c r="B496" s="20" t="str">
        <f t="shared" si="23"/>
        <v>JUL</v>
      </c>
      <c r="C496" s="21">
        <v>46229</v>
      </c>
      <c r="D496" s="20" t="str">
        <f>IFERROR(VLOOKUP(H496,KET!$B:$F,2,0),"")</f>
        <v>GRSM 6</v>
      </c>
      <c r="E496" s="20" t="str">
        <f>IFERROR(VLOOKUP(H496,KET!$B:$F,3,0),"")</f>
        <v>PASURUAN</v>
      </c>
      <c r="F496" s="20" t="str">
        <f>IFERROR(VLOOKUP(H496,KET!$B:$F,4,0),"")</f>
        <v>WINDA</v>
      </c>
      <c r="G496" s="20" t="str">
        <f>IFERROR(VLOOKUP(H496,KET!$B:$F,5,0),"")</f>
        <v>GMM</v>
      </c>
      <c r="H496" s="19" t="s">
        <v>50</v>
      </c>
      <c r="I496" s="32">
        <v>566</v>
      </c>
      <c r="J496" s="32">
        <v>692</v>
      </c>
      <c r="K496" s="32">
        <v>630</v>
      </c>
      <c r="L496" s="32">
        <v>1227</v>
      </c>
      <c r="M496" s="33">
        <f t="shared" si="20"/>
        <v>3115</v>
      </c>
      <c r="N496" s="32">
        <v>468</v>
      </c>
      <c r="O496" s="32">
        <v>424</v>
      </c>
      <c r="P496" s="34">
        <v>512</v>
      </c>
      <c r="Q496" s="32">
        <v>732</v>
      </c>
      <c r="R496" s="33">
        <f t="shared" si="21"/>
        <v>2136</v>
      </c>
    </row>
    <row r="497" spans="1:18" ht="15.75" customHeight="1" x14ac:dyDescent="0.3">
      <c r="A497" s="19">
        <v>30</v>
      </c>
      <c r="B497" s="20" t="str">
        <f t="shared" si="23"/>
        <v>JUL</v>
      </c>
      <c r="C497" s="21">
        <v>46229</v>
      </c>
      <c r="D497" s="20" t="str">
        <f>IFERROR(VLOOKUP(H497,KET!$B:$F,2,0),"")</f>
        <v>GRSM 6</v>
      </c>
      <c r="E497" s="20" t="str">
        <f>IFERROR(VLOOKUP(H497,KET!$B:$F,3,0),"")</f>
        <v>MOJOKERTO</v>
      </c>
      <c r="F497" s="20" t="str">
        <f>IFERROR(VLOOKUP(H497,KET!$B:$F,4,0),"")</f>
        <v>WINDA</v>
      </c>
      <c r="G497" s="20" t="str">
        <f>IFERROR(VLOOKUP(H497,KET!$B:$F,5,0),"")</f>
        <v>GMM</v>
      </c>
      <c r="H497" s="19" t="s">
        <v>54</v>
      </c>
      <c r="I497" s="32">
        <v>2190</v>
      </c>
      <c r="J497" s="32">
        <v>2430</v>
      </c>
      <c r="K497" s="32">
        <v>2892</v>
      </c>
      <c r="L497" s="32">
        <v>2940</v>
      </c>
      <c r="M497" s="33">
        <f t="shared" si="20"/>
        <v>10452</v>
      </c>
      <c r="N497" s="32">
        <v>2160</v>
      </c>
      <c r="O497" s="32">
        <v>2374</v>
      </c>
      <c r="P497" s="34">
        <v>2782</v>
      </c>
      <c r="Q497" s="32">
        <v>2700</v>
      </c>
      <c r="R497" s="33">
        <f t="shared" si="21"/>
        <v>10016</v>
      </c>
    </row>
    <row r="498" spans="1:18" ht="15.75" customHeight="1" x14ac:dyDescent="0.3">
      <c r="A498" s="19">
        <v>30</v>
      </c>
      <c r="B498" s="20" t="str">
        <f t="shared" si="23"/>
        <v>JUL</v>
      </c>
      <c r="C498" s="21">
        <v>46227</v>
      </c>
      <c r="D498" s="20" t="str">
        <f>IFERROR(VLOOKUP(H498,KET!$B:$F,2,0),"")</f>
        <v>GRSM 1</v>
      </c>
      <c r="E498" s="20" t="str">
        <f>IFERROR(VLOOKUP(H498,KET!$B:$F,3,0),"")</f>
        <v>MEDAN</v>
      </c>
      <c r="F498" s="20" t="str">
        <f>IFERROR(VLOOKUP(H498,KET!$B:$F,4,0),"")</f>
        <v>AFNITA SARI</v>
      </c>
      <c r="G498" s="20" t="str">
        <f>IFERROR(VLOOKUP(H498,KET!$B:$F,5,0),"")</f>
        <v>MT</v>
      </c>
      <c r="H498" s="19" t="s">
        <v>70</v>
      </c>
      <c r="I498" s="32">
        <v>420</v>
      </c>
      <c r="J498" s="32">
        <v>1650</v>
      </c>
      <c r="K498" s="32">
        <v>1206</v>
      </c>
      <c r="L498" s="32">
        <v>1119</v>
      </c>
      <c r="M498" s="33">
        <f t="shared" si="20"/>
        <v>4395</v>
      </c>
      <c r="N498" s="32">
        <v>412</v>
      </c>
      <c r="O498" s="32">
        <v>1630</v>
      </c>
      <c r="P498" s="34">
        <v>1178</v>
      </c>
      <c r="Q498" s="32">
        <v>1075</v>
      </c>
      <c r="R498" s="33">
        <f t="shared" si="21"/>
        <v>4295</v>
      </c>
    </row>
    <row r="499" spans="1:18" ht="15.75" customHeight="1" x14ac:dyDescent="0.3">
      <c r="A499" s="19">
        <v>30</v>
      </c>
      <c r="B499" s="20" t="str">
        <f t="shared" si="23"/>
        <v>JUL</v>
      </c>
      <c r="C499" s="21">
        <v>46227</v>
      </c>
      <c r="D499" s="20" t="str">
        <f>IFERROR(VLOOKUP(H499,KET!$B:$F,2,0),"")</f>
        <v>GRSM 1</v>
      </c>
      <c r="E499" s="20" t="str">
        <f>IFERROR(VLOOKUP(H499,KET!$B:$F,3,0),"")</f>
        <v>MEDAN</v>
      </c>
      <c r="F499" s="20" t="str">
        <f>IFERROR(VLOOKUP(H499,KET!$B:$F,4,0),"")</f>
        <v>AFNITA SARI</v>
      </c>
      <c r="G499" s="20" t="str">
        <f>IFERROR(VLOOKUP(H499,KET!$B:$F,5,0),"")</f>
        <v>MT</v>
      </c>
      <c r="H499" s="19" t="s">
        <v>71</v>
      </c>
      <c r="I499" s="32">
        <v>300</v>
      </c>
      <c r="J499" s="32">
        <v>350</v>
      </c>
      <c r="K499" s="32">
        <v>260</v>
      </c>
      <c r="L499" s="32">
        <v>450</v>
      </c>
      <c r="M499" s="33">
        <f t="shared" si="20"/>
        <v>1360</v>
      </c>
      <c r="N499" s="32">
        <v>260</v>
      </c>
      <c r="O499" s="32">
        <v>300</v>
      </c>
      <c r="P499" s="34">
        <v>235</v>
      </c>
      <c r="Q499" s="32">
        <v>380</v>
      </c>
      <c r="R499" s="33">
        <f t="shared" si="21"/>
        <v>1175</v>
      </c>
    </row>
    <row r="500" spans="1:18" ht="15.75" customHeight="1" x14ac:dyDescent="0.3">
      <c r="A500" s="19">
        <v>30</v>
      </c>
      <c r="B500" s="20" t="str">
        <f t="shared" si="23"/>
        <v>JUL</v>
      </c>
      <c r="C500" s="21">
        <v>46227</v>
      </c>
      <c r="D500" s="20" t="str">
        <f>IFERROR(VLOOKUP(H500,KET!$B:$F,2,0),"")</f>
        <v>GRSM 1</v>
      </c>
      <c r="E500" s="20" t="str">
        <f>IFERROR(VLOOKUP(H500,KET!$B:$F,3,0),"")</f>
        <v>MEDAN</v>
      </c>
      <c r="F500" s="20" t="str">
        <f>IFERROR(VLOOKUP(H500,KET!$B:$F,4,0),"")</f>
        <v>AFNITA SARI</v>
      </c>
      <c r="G500" s="20" t="str">
        <f>IFERROR(VLOOKUP(H500,KET!$B:$F,5,0),"")</f>
        <v>MT</v>
      </c>
      <c r="H500" s="19" t="s">
        <v>71</v>
      </c>
      <c r="I500" s="32">
        <v>300</v>
      </c>
      <c r="J500" s="32">
        <v>350</v>
      </c>
      <c r="K500" s="32">
        <v>260</v>
      </c>
      <c r="L500" s="32">
        <v>450</v>
      </c>
      <c r="M500" s="33">
        <f t="shared" si="20"/>
        <v>1360</v>
      </c>
      <c r="N500" s="32">
        <v>260</v>
      </c>
      <c r="O500" s="32">
        <v>300</v>
      </c>
      <c r="P500" s="34">
        <v>235</v>
      </c>
      <c r="Q500" s="32">
        <v>380</v>
      </c>
      <c r="R500" s="33">
        <f t="shared" si="21"/>
        <v>1175</v>
      </c>
    </row>
    <row r="501" spans="1:18" ht="15.75" customHeight="1" x14ac:dyDescent="0.3">
      <c r="A501" s="19">
        <v>30</v>
      </c>
      <c r="B501" s="20" t="str">
        <f t="shared" si="23"/>
        <v>JUL</v>
      </c>
      <c r="C501" s="21">
        <v>46227</v>
      </c>
      <c r="D501" s="20" t="str">
        <f>IFERROR(VLOOKUP(H501,KET!$B:$F,2,0),"")</f>
        <v>GRSM 1</v>
      </c>
      <c r="E501" s="20" t="str">
        <f>IFERROR(VLOOKUP(H501,KET!$B:$F,3,0),"")</f>
        <v>MEDAN</v>
      </c>
      <c r="F501" s="20" t="str">
        <f>IFERROR(VLOOKUP(H501,KET!$B:$F,4,0),"")</f>
        <v>AFNITA SARI</v>
      </c>
      <c r="G501" s="20" t="str">
        <f>IFERROR(VLOOKUP(H501,KET!$B:$F,5,0),"")</f>
        <v>MT</v>
      </c>
      <c r="H501" s="19" t="s">
        <v>72</v>
      </c>
      <c r="I501" s="32">
        <v>420</v>
      </c>
      <c r="J501" s="32">
        <v>1650</v>
      </c>
      <c r="K501" s="32">
        <v>1206</v>
      </c>
      <c r="L501" s="32">
        <v>1119</v>
      </c>
      <c r="M501" s="33">
        <f t="shared" si="20"/>
        <v>4395</v>
      </c>
      <c r="N501" s="32">
        <v>412</v>
      </c>
      <c r="O501" s="32">
        <v>1630</v>
      </c>
      <c r="P501" s="34">
        <v>1178</v>
      </c>
      <c r="Q501" s="32">
        <v>1075</v>
      </c>
      <c r="R501" s="33">
        <f t="shared" si="21"/>
        <v>4295</v>
      </c>
    </row>
    <row r="502" spans="1:18" ht="15.75" customHeight="1" x14ac:dyDescent="0.3">
      <c r="A502" s="19">
        <v>30</v>
      </c>
      <c r="B502" s="20" t="str">
        <f t="shared" si="23"/>
        <v>JUL</v>
      </c>
      <c r="C502" s="21">
        <v>46228</v>
      </c>
      <c r="D502" s="20" t="str">
        <f>IFERROR(VLOOKUP(H502,KET!$B:$F,2,0),"")</f>
        <v>GRSM 1</v>
      </c>
      <c r="E502" s="20" t="str">
        <f>IFERROR(VLOOKUP(H502,KET!$B:$F,3,0),"")</f>
        <v>MEDAN</v>
      </c>
      <c r="F502" s="20" t="str">
        <f>IFERROR(VLOOKUP(H502,KET!$B:$F,4,0),"")</f>
        <v>AFNITA SARI</v>
      </c>
      <c r="G502" s="20" t="str">
        <f>IFERROR(VLOOKUP(H502,KET!$B:$F,5,0),"")</f>
        <v>MT</v>
      </c>
      <c r="H502" s="19" t="s">
        <v>70</v>
      </c>
      <c r="I502" s="32">
        <v>412</v>
      </c>
      <c r="J502" s="32">
        <v>1630</v>
      </c>
      <c r="K502" s="32">
        <v>1178</v>
      </c>
      <c r="L502" s="32">
        <v>1075</v>
      </c>
      <c r="M502" s="33">
        <f t="shared" si="20"/>
        <v>4295</v>
      </c>
      <c r="N502" s="32">
        <v>363</v>
      </c>
      <c r="O502" s="32">
        <v>1550</v>
      </c>
      <c r="P502" s="34">
        <v>1118</v>
      </c>
      <c r="Q502" s="32">
        <v>936</v>
      </c>
      <c r="R502" s="33">
        <f t="shared" si="21"/>
        <v>3967</v>
      </c>
    </row>
    <row r="503" spans="1:18" ht="15.75" customHeight="1" x14ac:dyDescent="0.3">
      <c r="A503" s="19">
        <v>30</v>
      </c>
      <c r="B503" s="20" t="str">
        <f t="shared" si="23"/>
        <v>JUL</v>
      </c>
      <c r="C503" s="21">
        <v>46228</v>
      </c>
      <c r="D503" s="20" t="str">
        <f>IFERROR(VLOOKUP(H503,KET!$B:$F,2,0),"")</f>
        <v>GRSM 1</v>
      </c>
      <c r="E503" s="20" t="str">
        <f>IFERROR(VLOOKUP(H503,KET!$B:$F,3,0),"")</f>
        <v>MEDAN</v>
      </c>
      <c r="F503" s="20" t="str">
        <f>IFERROR(VLOOKUP(H503,KET!$B:$F,4,0),"")</f>
        <v>AFNITA SARI</v>
      </c>
      <c r="G503" s="20" t="str">
        <f>IFERROR(VLOOKUP(H503,KET!$B:$F,5,0),"")</f>
        <v>MT</v>
      </c>
      <c r="H503" s="19" t="s">
        <v>71</v>
      </c>
      <c r="I503" s="32">
        <v>244</v>
      </c>
      <c r="J503" s="32">
        <v>280</v>
      </c>
      <c r="K503" s="32">
        <v>220</v>
      </c>
      <c r="L503" s="32">
        <v>328</v>
      </c>
      <c r="M503" s="33">
        <f t="shared" si="20"/>
        <v>1072</v>
      </c>
      <c r="N503" s="32">
        <v>200</v>
      </c>
      <c r="O503" s="32">
        <v>238</v>
      </c>
      <c r="P503" s="34">
        <v>190</v>
      </c>
      <c r="Q503" s="32">
        <v>248</v>
      </c>
      <c r="R503" s="33">
        <f t="shared" si="21"/>
        <v>876</v>
      </c>
    </row>
    <row r="504" spans="1:18" ht="15.75" customHeight="1" x14ac:dyDescent="0.3">
      <c r="A504" s="19">
        <v>30</v>
      </c>
      <c r="B504" s="20" t="str">
        <f t="shared" si="23"/>
        <v>JUL</v>
      </c>
      <c r="C504" s="21">
        <v>46228</v>
      </c>
      <c r="D504" s="20" t="str">
        <f>IFERROR(VLOOKUP(H504,KET!$B:$F,2,0),"")</f>
        <v>GRSM 1</v>
      </c>
      <c r="E504" s="20" t="str">
        <f>IFERROR(VLOOKUP(H504,KET!$B:$F,3,0),"")</f>
        <v>MEDAN</v>
      </c>
      <c r="F504" s="20" t="str">
        <f>IFERROR(VLOOKUP(H504,KET!$B:$F,4,0),"")</f>
        <v>AFNITA SARI</v>
      </c>
      <c r="G504" s="20" t="str">
        <f>IFERROR(VLOOKUP(H504,KET!$B:$F,5,0),"")</f>
        <v>MT</v>
      </c>
      <c r="H504" s="19" t="s">
        <v>71</v>
      </c>
      <c r="I504" s="32">
        <v>244</v>
      </c>
      <c r="J504" s="32">
        <v>280</v>
      </c>
      <c r="K504" s="32">
        <v>220</v>
      </c>
      <c r="L504" s="32">
        <v>328</v>
      </c>
      <c r="M504" s="33">
        <f t="shared" si="20"/>
        <v>1072</v>
      </c>
      <c r="N504" s="32">
        <v>200</v>
      </c>
      <c r="O504" s="32">
        <v>238</v>
      </c>
      <c r="P504" s="34">
        <v>190</v>
      </c>
      <c r="Q504" s="32">
        <v>248</v>
      </c>
      <c r="R504" s="33">
        <f t="shared" si="21"/>
        <v>876</v>
      </c>
    </row>
    <row r="505" spans="1:18" ht="15.75" customHeight="1" x14ac:dyDescent="0.3">
      <c r="A505" s="19">
        <v>30</v>
      </c>
      <c r="B505" s="20" t="str">
        <f t="shared" si="23"/>
        <v>JUL</v>
      </c>
      <c r="C505" s="21">
        <v>46228</v>
      </c>
      <c r="D505" s="20" t="str">
        <f>IFERROR(VLOOKUP(H505,KET!$B:$F,2,0),"")</f>
        <v>GRSM 1</v>
      </c>
      <c r="E505" s="20" t="str">
        <f>IFERROR(VLOOKUP(H505,KET!$B:$F,3,0),"")</f>
        <v>MEDAN</v>
      </c>
      <c r="F505" s="20" t="str">
        <f>IFERROR(VLOOKUP(H505,KET!$B:$F,4,0),"")</f>
        <v>AFNITA SARI</v>
      </c>
      <c r="G505" s="20" t="str">
        <f>IFERROR(VLOOKUP(H505,KET!$B:$F,5,0),"")</f>
        <v>MT</v>
      </c>
      <c r="H505" s="19" t="s">
        <v>73</v>
      </c>
      <c r="I505" s="32">
        <v>283</v>
      </c>
      <c r="J505" s="32">
        <v>633</v>
      </c>
      <c r="K505" s="32">
        <v>428</v>
      </c>
      <c r="L505" s="32">
        <v>730</v>
      </c>
      <c r="M505" s="33">
        <f t="shared" si="20"/>
        <v>2074</v>
      </c>
      <c r="N505" s="32">
        <v>271</v>
      </c>
      <c r="O505" s="32">
        <v>615</v>
      </c>
      <c r="P505" s="34">
        <v>415</v>
      </c>
      <c r="Q505" s="32">
        <v>698</v>
      </c>
      <c r="R505" s="33">
        <f t="shared" si="21"/>
        <v>1999</v>
      </c>
    </row>
    <row r="506" spans="1:18" ht="15.75" customHeight="1" x14ac:dyDescent="0.3">
      <c r="A506" s="19">
        <v>30</v>
      </c>
      <c r="B506" s="20" t="str">
        <f t="shared" si="23"/>
        <v>JUL</v>
      </c>
      <c r="C506" s="21">
        <v>46228</v>
      </c>
      <c r="D506" s="20" t="str">
        <f>IFERROR(VLOOKUP(H506,KET!$B:$F,2,0),"")</f>
        <v>GRSM 2</v>
      </c>
      <c r="E506" s="20" t="str">
        <f>IFERROR(VLOOKUP(H506,KET!$B:$F,3,0),"")</f>
        <v>LAMPUNG</v>
      </c>
      <c r="F506" s="20" t="str">
        <f>IFERROR(VLOOKUP(H506,KET!$B:$F,4,0),"")</f>
        <v>AFNITA SARI</v>
      </c>
      <c r="G506" s="20" t="str">
        <f>IFERROR(VLOOKUP(H506,KET!$B:$F,5,0),"")</f>
        <v>MT</v>
      </c>
      <c r="H506" s="19" t="s">
        <v>74</v>
      </c>
      <c r="I506" s="32">
        <v>760</v>
      </c>
      <c r="J506" s="32">
        <v>220</v>
      </c>
      <c r="K506" s="32">
        <v>560</v>
      </c>
      <c r="L506" s="32">
        <v>640</v>
      </c>
      <c r="M506" s="33">
        <f t="shared" si="20"/>
        <v>2180</v>
      </c>
      <c r="N506" s="32">
        <v>680</v>
      </c>
      <c r="O506" s="32">
        <v>400</v>
      </c>
      <c r="P506" s="34">
        <v>480</v>
      </c>
      <c r="Q506" s="32">
        <v>520</v>
      </c>
      <c r="R506" s="33">
        <f t="shared" si="21"/>
        <v>2080</v>
      </c>
    </row>
    <row r="507" spans="1:18" ht="15.75" customHeight="1" x14ac:dyDescent="0.3">
      <c r="A507" s="19">
        <v>30</v>
      </c>
      <c r="B507" s="20" t="str">
        <f t="shared" si="23"/>
        <v>JUL</v>
      </c>
      <c r="C507" s="21">
        <v>46228</v>
      </c>
      <c r="D507" s="20" t="str">
        <f>IFERROR(VLOOKUP(H507,KET!$B:$F,2,0),"")</f>
        <v>GRSM 1</v>
      </c>
      <c r="E507" s="20" t="str">
        <f>IFERROR(VLOOKUP(H507,KET!$B:$F,3,0),"")</f>
        <v>MEDAN</v>
      </c>
      <c r="F507" s="20" t="str">
        <f>IFERROR(VLOOKUP(H507,KET!$B:$F,4,0),"")</f>
        <v>AFNITA SARI</v>
      </c>
      <c r="G507" s="20" t="str">
        <f>IFERROR(VLOOKUP(H507,KET!$B:$F,5,0),"")</f>
        <v>MT</v>
      </c>
      <c r="H507" s="19" t="s">
        <v>72</v>
      </c>
      <c r="I507" s="32">
        <v>986</v>
      </c>
      <c r="J507" s="32">
        <v>1442</v>
      </c>
      <c r="K507" s="32">
        <v>1100</v>
      </c>
      <c r="L507" s="32">
        <v>608</v>
      </c>
      <c r="M507" s="33">
        <f t="shared" si="20"/>
        <v>4136</v>
      </c>
      <c r="N507" s="32">
        <v>900</v>
      </c>
      <c r="O507" s="32">
        <v>1400</v>
      </c>
      <c r="P507" s="34">
        <v>1088</v>
      </c>
      <c r="Q507" s="32">
        <v>500</v>
      </c>
      <c r="R507" s="33">
        <f t="shared" si="21"/>
        <v>3888</v>
      </c>
    </row>
    <row r="508" spans="1:18" x14ac:dyDescent="0.3">
      <c r="A508" s="19">
        <v>30</v>
      </c>
      <c r="B508" s="20" t="str">
        <f t="shared" si="23"/>
        <v>JUL</v>
      </c>
      <c r="C508" s="21">
        <v>46229</v>
      </c>
      <c r="D508" s="20" t="str">
        <f>IFERROR(VLOOKUP(H508,KET!$B:$F,2,0),"")</f>
        <v>GRSM 1</v>
      </c>
      <c r="E508" s="20" t="str">
        <f>IFERROR(VLOOKUP(H508,KET!$B:$F,3,0),"")</f>
        <v>MEDAN</v>
      </c>
      <c r="F508" s="20" t="str">
        <f>IFERROR(VLOOKUP(H508,KET!$B:$F,4,0),"")</f>
        <v>AFNITA SARI</v>
      </c>
      <c r="G508" s="20" t="str">
        <f>IFERROR(VLOOKUP(H508,KET!$B:$F,5,0),"")</f>
        <v>MT</v>
      </c>
      <c r="H508" s="19" t="s">
        <v>70</v>
      </c>
      <c r="I508" s="32">
        <v>363</v>
      </c>
      <c r="J508" s="32">
        <v>1918</v>
      </c>
      <c r="K508" s="32">
        <v>1550</v>
      </c>
      <c r="L508" s="32">
        <v>963</v>
      </c>
      <c r="M508" s="33">
        <f t="shared" si="20"/>
        <v>4794</v>
      </c>
      <c r="N508" s="32">
        <v>363</v>
      </c>
      <c r="O508" s="32">
        <v>1822</v>
      </c>
      <c r="P508" s="34">
        <v>1442</v>
      </c>
      <c r="Q508" s="32">
        <v>936</v>
      </c>
      <c r="R508" s="33">
        <f t="shared" si="21"/>
        <v>4563</v>
      </c>
    </row>
    <row r="509" spans="1:18" x14ac:dyDescent="0.3">
      <c r="A509" s="19">
        <v>30</v>
      </c>
      <c r="B509" s="20" t="str">
        <f t="shared" si="23"/>
        <v>JUL</v>
      </c>
      <c r="C509" s="21">
        <v>46229</v>
      </c>
      <c r="D509" s="20" t="str">
        <f>IFERROR(VLOOKUP(H509,KET!$B:$F,2,0),"")</f>
        <v>GRSM 2</v>
      </c>
      <c r="E509" s="20" t="str">
        <f>IFERROR(VLOOKUP(H509,KET!$B:$F,3,0),"")</f>
        <v>LAMPUNG</v>
      </c>
      <c r="F509" s="20" t="str">
        <f>IFERROR(VLOOKUP(H509,KET!$B:$F,4,0),"")</f>
        <v>AFNITA SARI</v>
      </c>
      <c r="G509" s="20" t="str">
        <f>IFERROR(VLOOKUP(H509,KET!$B:$F,5,0),"")</f>
        <v>MT</v>
      </c>
      <c r="H509" s="19" t="s">
        <v>74</v>
      </c>
      <c r="I509" s="32">
        <v>680</v>
      </c>
      <c r="J509" s="32">
        <v>400</v>
      </c>
      <c r="K509" s="32">
        <v>480</v>
      </c>
      <c r="L509" s="32">
        <v>520</v>
      </c>
      <c r="M509" s="33">
        <f t="shared" si="20"/>
        <v>2080</v>
      </c>
      <c r="N509" s="32">
        <v>500</v>
      </c>
      <c r="O509" s="32">
        <v>378</v>
      </c>
      <c r="P509" s="34">
        <v>390</v>
      </c>
      <c r="Q509" s="32">
        <v>400</v>
      </c>
      <c r="R509" s="33">
        <f t="shared" si="21"/>
        <v>1668</v>
      </c>
    </row>
    <row r="510" spans="1:18" x14ac:dyDescent="0.3">
      <c r="A510" s="19">
        <v>30</v>
      </c>
      <c r="B510" s="20" t="str">
        <f t="shared" si="23"/>
        <v>JUL</v>
      </c>
      <c r="C510" s="21">
        <v>46229</v>
      </c>
      <c r="D510" s="20" t="str">
        <f>IFERROR(VLOOKUP(H510,KET!$B:$F,2,0),"")</f>
        <v>GRSM 1</v>
      </c>
      <c r="E510" s="20" t="str">
        <f>IFERROR(VLOOKUP(H510,KET!$B:$F,3,0),"")</f>
        <v>MEDAN</v>
      </c>
      <c r="F510" s="20" t="str">
        <f>IFERROR(VLOOKUP(H510,KET!$B:$F,4,0),"")</f>
        <v>AFNITA SARI</v>
      </c>
      <c r="G510" s="20" t="str">
        <f>IFERROR(VLOOKUP(H510,KET!$B:$F,5,0),"")</f>
        <v>MT</v>
      </c>
      <c r="H510" s="19" t="s">
        <v>71</v>
      </c>
      <c r="I510" s="32">
        <v>221</v>
      </c>
      <c r="J510" s="32">
        <v>235</v>
      </c>
      <c r="K510" s="32">
        <v>200</v>
      </c>
      <c r="L510" s="32">
        <v>276</v>
      </c>
      <c r="M510" s="33">
        <f t="shared" si="20"/>
        <v>932</v>
      </c>
      <c r="N510" s="32">
        <v>181</v>
      </c>
      <c r="O510" s="32">
        <v>176</v>
      </c>
      <c r="P510" s="34">
        <v>152</v>
      </c>
      <c r="Q510" s="32">
        <v>195</v>
      </c>
      <c r="R510" s="33">
        <f t="shared" si="21"/>
        <v>704</v>
      </c>
    </row>
    <row r="511" spans="1:18" x14ac:dyDescent="0.3">
      <c r="A511" s="19">
        <v>30</v>
      </c>
      <c r="B511" s="20" t="str">
        <f t="shared" si="23"/>
        <v>JUL</v>
      </c>
      <c r="C511" s="21">
        <v>46228</v>
      </c>
      <c r="D511" s="20" t="str">
        <f>IFERROR(VLOOKUP(H511,KET!$B:$F,2,0),"")</f>
        <v>GRSM 1</v>
      </c>
      <c r="E511" s="20" t="str">
        <f>IFERROR(VLOOKUP(H511,KET!$B:$F,3,0),"")</f>
        <v>MEDAN</v>
      </c>
      <c r="F511" s="20" t="str">
        <f>IFERROR(VLOOKUP(H511,KET!$B:$F,4,0),"")</f>
        <v>AFNITA SARI</v>
      </c>
      <c r="G511" s="20" t="str">
        <f>IFERROR(VLOOKUP(H511,KET!$B:$F,5,0),"")</f>
        <v>MT</v>
      </c>
      <c r="H511" s="19" t="s">
        <v>73</v>
      </c>
      <c r="I511" s="32">
        <v>283</v>
      </c>
      <c r="J511" s="32">
        <v>615</v>
      </c>
      <c r="K511" s="32">
        <v>415</v>
      </c>
      <c r="L511" s="32">
        <v>730</v>
      </c>
      <c r="M511" s="33">
        <f t="shared" si="20"/>
        <v>2043</v>
      </c>
      <c r="N511" s="32">
        <v>248</v>
      </c>
      <c r="O511" s="32">
        <v>615</v>
      </c>
      <c r="P511" s="34">
        <v>380</v>
      </c>
      <c r="Q511" s="32">
        <v>644</v>
      </c>
      <c r="R511" s="33">
        <f t="shared" si="21"/>
        <v>1887</v>
      </c>
    </row>
    <row r="512" spans="1:18" x14ac:dyDescent="0.3">
      <c r="A512" s="19">
        <v>30</v>
      </c>
      <c r="B512" s="20" t="str">
        <f t="shared" si="23"/>
        <v>JUL</v>
      </c>
      <c r="C512" s="21">
        <v>46229</v>
      </c>
      <c r="D512" s="20" t="str">
        <f>IFERROR(VLOOKUP(H512,KET!$B:$F,2,0),"")</f>
        <v>GRSM 1</v>
      </c>
      <c r="E512" s="20" t="str">
        <f>IFERROR(VLOOKUP(H512,KET!$B:$F,3,0),"")</f>
        <v>MEDAN</v>
      </c>
      <c r="F512" s="20" t="str">
        <f>IFERROR(VLOOKUP(H512,KET!$B:$F,4,0),"")</f>
        <v>AFNITA SARI</v>
      </c>
      <c r="G512" s="20" t="str">
        <f>IFERROR(VLOOKUP(H512,KET!$B:$F,5,0),"")</f>
        <v>MT</v>
      </c>
      <c r="H512" s="19" t="s">
        <v>72</v>
      </c>
      <c r="I512" s="32">
        <v>900</v>
      </c>
      <c r="J512" s="32">
        <v>1400</v>
      </c>
      <c r="K512" s="32">
        <v>1088</v>
      </c>
      <c r="L512" s="32">
        <v>500</v>
      </c>
      <c r="M512" s="33">
        <f t="shared" si="20"/>
        <v>3888</v>
      </c>
      <c r="N512" s="32">
        <v>848</v>
      </c>
      <c r="O512" s="32">
        <v>1334</v>
      </c>
      <c r="P512" s="34">
        <v>1002</v>
      </c>
      <c r="Q512" s="32">
        <v>292</v>
      </c>
      <c r="R512" s="33">
        <f t="shared" si="21"/>
        <v>3476</v>
      </c>
    </row>
    <row r="513" spans="1:23" x14ac:dyDescent="0.3">
      <c r="A513" s="19">
        <v>30</v>
      </c>
      <c r="B513" s="20" t="str">
        <f t="shared" si="23"/>
        <v>JUL</v>
      </c>
      <c r="C513" s="21">
        <v>46227</v>
      </c>
      <c r="D513" s="20" t="str">
        <f>IFERROR(VLOOKUP(H513,KET!$B:$F,2,0),"")</f>
        <v>GRSM 1</v>
      </c>
      <c r="E513" s="20" t="str">
        <f>IFERROR(VLOOKUP(H513,KET!$B:$F,3,0),"")</f>
        <v>MEDAN</v>
      </c>
      <c r="F513" s="20" t="str">
        <f>IFERROR(VLOOKUP(H513,KET!$B:$F,4,0),"")</f>
        <v>AFNITA SARI</v>
      </c>
      <c r="G513" s="20" t="str">
        <f>IFERROR(VLOOKUP(H513,KET!$B:$F,5,0),"")</f>
        <v>MT</v>
      </c>
      <c r="H513" s="19" t="s">
        <v>73</v>
      </c>
      <c r="I513" s="32">
        <v>299</v>
      </c>
      <c r="J513" s="32">
        <v>655</v>
      </c>
      <c r="K513" s="32">
        <v>445</v>
      </c>
      <c r="L513" s="32">
        <v>780</v>
      </c>
      <c r="M513" s="33">
        <f t="shared" si="20"/>
        <v>2179</v>
      </c>
      <c r="N513" s="32">
        <v>283</v>
      </c>
      <c r="O513" s="32">
        <v>633</v>
      </c>
      <c r="P513" s="34">
        <v>428</v>
      </c>
      <c r="Q513" s="32">
        <v>730</v>
      </c>
      <c r="R513" s="33">
        <f t="shared" si="21"/>
        <v>2074</v>
      </c>
    </row>
    <row r="514" spans="1:23" x14ac:dyDescent="0.3">
      <c r="A514" s="19">
        <v>30</v>
      </c>
      <c r="B514" s="20" t="str">
        <f t="shared" si="23"/>
        <v>JUL</v>
      </c>
      <c r="C514" s="21">
        <v>46228</v>
      </c>
      <c r="D514" s="20" t="str">
        <f>IFERROR(VLOOKUP(H514,KET!$B:$F,2,0),"")</f>
        <v>GRSM 4</v>
      </c>
      <c r="E514" s="20" t="str">
        <f>IFERROR(VLOOKUP(H514,KET!$B:$F,3,0),"")</f>
        <v>GARUT</v>
      </c>
      <c r="F514" s="20" t="str">
        <f>IFERROR(VLOOKUP(H514,KET!$B:$F,4,0),"")</f>
        <v>FAHMI LUKMANUL HAKIM</v>
      </c>
      <c r="G514" s="20" t="str">
        <f>IFERROR(VLOOKUP(H514,KET!$B:$F,5,0),"")</f>
        <v>GMM</v>
      </c>
      <c r="H514" s="19" t="s">
        <v>35</v>
      </c>
      <c r="I514" s="32">
        <v>900</v>
      </c>
      <c r="J514" s="32">
        <v>1630</v>
      </c>
      <c r="K514" s="32">
        <v>1670</v>
      </c>
      <c r="L514" s="32">
        <v>2650</v>
      </c>
      <c r="M514" s="33">
        <f t="shared" si="20"/>
        <v>6850</v>
      </c>
      <c r="N514" s="32">
        <v>800</v>
      </c>
      <c r="O514" s="32">
        <v>1520</v>
      </c>
      <c r="P514" s="34">
        <v>1560</v>
      </c>
      <c r="Q514" s="32">
        <v>2510</v>
      </c>
      <c r="R514" s="33">
        <f t="shared" si="21"/>
        <v>6390</v>
      </c>
    </row>
    <row r="515" spans="1:23" x14ac:dyDescent="0.3">
      <c r="A515" s="19">
        <v>30</v>
      </c>
      <c r="B515" s="20" t="str">
        <f t="shared" si="23"/>
        <v>JUL</v>
      </c>
      <c r="C515" s="21">
        <v>46228</v>
      </c>
      <c r="D515" s="20" t="str">
        <f>IFERROR(VLOOKUP(H515,KET!$B:$F,2,0),"")</f>
        <v>GRSM 1</v>
      </c>
      <c r="E515" s="20" t="str">
        <f>IFERROR(VLOOKUP(H515,KET!$B:$F,3,0),"")</f>
        <v>MEDAN</v>
      </c>
      <c r="F515" s="20" t="str">
        <f>IFERROR(VLOOKUP(H515,KET!$B:$F,4,0),"")</f>
        <v>AFNITA SARI</v>
      </c>
      <c r="G515" s="20" t="str">
        <f>IFERROR(VLOOKUP(H515,KET!$B:$F,5,0),"")</f>
        <v>MT</v>
      </c>
      <c r="H515" s="19" t="s">
        <v>73</v>
      </c>
      <c r="I515" s="32">
        <v>283</v>
      </c>
      <c r="J515" s="32">
        <v>615</v>
      </c>
      <c r="K515" s="32">
        <v>415</v>
      </c>
      <c r="L515" s="32">
        <v>730</v>
      </c>
      <c r="M515" s="33">
        <f t="shared" si="20"/>
        <v>2043</v>
      </c>
      <c r="N515" s="32">
        <v>248</v>
      </c>
      <c r="O515" s="32">
        <v>615</v>
      </c>
      <c r="P515" s="34">
        <v>380</v>
      </c>
      <c r="Q515" s="32">
        <v>644</v>
      </c>
      <c r="R515" s="33">
        <f t="shared" si="21"/>
        <v>1887</v>
      </c>
    </row>
    <row r="516" spans="1:23" x14ac:dyDescent="0.3">
      <c r="A516" s="19">
        <v>30</v>
      </c>
      <c r="B516" s="20" t="str">
        <f t="shared" si="23"/>
        <v>JUL</v>
      </c>
      <c r="C516" s="21">
        <v>46227</v>
      </c>
      <c r="D516" s="20" t="str">
        <f>IFERROR(VLOOKUP(H516,KET!$B:$F,2,0),"")</f>
        <v>GRSM 6</v>
      </c>
      <c r="E516" s="20" t="str">
        <f>IFERROR(VLOOKUP(H516,KET!$B:$F,3,0),"")</f>
        <v>MOJOKERTO</v>
      </c>
      <c r="F516" s="20" t="str">
        <f>IFERROR(VLOOKUP(H516,KET!$B:$F,4,0),"")</f>
        <v>WINDA</v>
      </c>
      <c r="G516" s="20" t="str">
        <f>IFERROR(VLOOKUP(H516,KET!$B:$F,5,0),"")</f>
        <v>GMM</v>
      </c>
      <c r="H516" s="19" t="s">
        <v>54</v>
      </c>
      <c r="I516" s="32">
        <v>274</v>
      </c>
      <c r="J516" s="32">
        <v>204</v>
      </c>
      <c r="K516" s="32">
        <v>475</v>
      </c>
      <c r="L516" s="32">
        <v>255</v>
      </c>
      <c r="M516" s="33">
        <f t="shared" si="20"/>
        <v>1208</v>
      </c>
      <c r="N516" s="32">
        <v>222</v>
      </c>
      <c r="O516" s="32">
        <v>34</v>
      </c>
      <c r="P516" s="34">
        <v>355</v>
      </c>
      <c r="Q516" s="32">
        <v>125</v>
      </c>
      <c r="R516" s="33">
        <f t="shared" si="21"/>
        <v>736</v>
      </c>
    </row>
    <row r="517" spans="1:23" x14ac:dyDescent="0.3">
      <c r="A517" s="19">
        <v>30</v>
      </c>
      <c r="B517" s="20" t="str">
        <f t="shared" si="23"/>
        <v>JUL</v>
      </c>
      <c r="C517" s="21">
        <v>46227</v>
      </c>
      <c r="D517" s="20" t="str">
        <f>IFERROR(VLOOKUP(H517,KET!$B:$F,2,0),"")</f>
        <v>GRSM 4</v>
      </c>
      <c r="E517" s="20" t="str">
        <f>IFERROR(VLOOKUP(H517,KET!$B:$F,3,0),"")</f>
        <v>GARUT</v>
      </c>
      <c r="F517" s="20" t="str">
        <f>IFERROR(VLOOKUP(H517,KET!$B:$F,4,0),"")</f>
        <v>FAHMI LUKMANUL HAKIM</v>
      </c>
      <c r="G517" s="20" t="str">
        <f>IFERROR(VLOOKUP(H517,KET!$B:$F,5,0),"")</f>
        <v>GMM</v>
      </c>
      <c r="H517" s="19" t="s">
        <v>57</v>
      </c>
      <c r="I517" s="32">
        <v>175</v>
      </c>
      <c r="J517" s="32">
        <v>140</v>
      </c>
      <c r="K517" s="32">
        <v>240</v>
      </c>
      <c r="L517" s="32">
        <v>60</v>
      </c>
      <c r="M517" s="33">
        <f t="shared" si="20"/>
        <v>615</v>
      </c>
      <c r="N517" s="32">
        <v>125</v>
      </c>
      <c r="O517" s="32">
        <v>85</v>
      </c>
      <c r="P517" s="34">
        <v>180</v>
      </c>
      <c r="Q517" s="32">
        <v>20</v>
      </c>
      <c r="R517" s="33">
        <f t="shared" si="21"/>
        <v>410</v>
      </c>
    </row>
    <row r="518" spans="1:23" x14ac:dyDescent="0.3">
      <c r="A518" s="19">
        <v>30</v>
      </c>
      <c r="B518" s="20" t="str">
        <f t="shared" si="23"/>
        <v>JUL</v>
      </c>
      <c r="C518" s="21">
        <v>46229</v>
      </c>
      <c r="D518" s="20" t="str">
        <f>IFERROR(VLOOKUP(H518,KET!$B:$F,2,0),"")</f>
        <v>GRSM 4</v>
      </c>
      <c r="E518" s="20" t="str">
        <f>IFERROR(VLOOKUP(H518,KET!$B:$F,3,0),"")</f>
        <v>TASIKMALAYA</v>
      </c>
      <c r="F518" s="20" t="str">
        <f>IFERROR(VLOOKUP(H518,KET!$B:$F,4,0),"")</f>
        <v>FAHMI LUKMANUL HAKIM</v>
      </c>
      <c r="G518" s="20" t="str">
        <f>IFERROR(VLOOKUP(H518,KET!$B:$F,5,0),"")</f>
        <v>GMM</v>
      </c>
      <c r="H518" s="19" t="s">
        <v>32</v>
      </c>
      <c r="I518" s="32">
        <v>590</v>
      </c>
      <c r="J518" s="32">
        <v>702</v>
      </c>
      <c r="K518" s="32">
        <v>523</v>
      </c>
      <c r="L518" s="32">
        <v>1014</v>
      </c>
      <c r="M518" s="33">
        <f t="shared" si="20"/>
        <v>2829</v>
      </c>
      <c r="N518" s="32">
        <v>555</v>
      </c>
      <c r="O518" s="32">
        <v>662</v>
      </c>
      <c r="P518" s="34">
        <v>463</v>
      </c>
      <c r="Q518" s="32">
        <v>873</v>
      </c>
      <c r="R518" s="33">
        <f t="shared" si="21"/>
        <v>2553</v>
      </c>
    </row>
    <row r="519" spans="1:23" x14ac:dyDescent="0.3">
      <c r="A519" s="19">
        <v>31</v>
      </c>
      <c r="B519" s="20" t="s">
        <v>55</v>
      </c>
      <c r="C519" s="21">
        <v>46234</v>
      </c>
      <c r="D519" s="20" t="s">
        <v>59</v>
      </c>
      <c r="E519" s="20" t="s">
        <v>63</v>
      </c>
      <c r="F519" s="20" t="s">
        <v>61</v>
      </c>
      <c r="G519" s="20" t="s">
        <v>42</v>
      </c>
      <c r="H519" s="19" t="s">
        <v>37</v>
      </c>
      <c r="I519" s="32">
        <v>1503</v>
      </c>
      <c r="J519" s="32">
        <v>3879</v>
      </c>
      <c r="K519" s="32">
        <v>1601</v>
      </c>
      <c r="L519" s="32">
        <v>6296</v>
      </c>
      <c r="M519" s="33">
        <f t="shared" ref="M519:M582" si="24">SUM(I519:L519)</f>
        <v>13279</v>
      </c>
      <c r="N519" s="32">
        <v>1436</v>
      </c>
      <c r="O519" s="32">
        <v>3675</v>
      </c>
      <c r="P519" s="34">
        <v>1470</v>
      </c>
      <c r="Q519" s="32">
        <v>5994</v>
      </c>
      <c r="R519" s="33">
        <f t="shared" ref="R519:R582" si="25">SUM(N519:Q519)</f>
        <v>12575</v>
      </c>
      <c r="S519">
        <v>134</v>
      </c>
      <c r="T519">
        <v>408</v>
      </c>
      <c r="U519">
        <v>262</v>
      </c>
      <c r="V519">
        <v>604</v>
      </c>
      <c r="W519">
        <v>1408</v>
      </c>
    </row>
    <row r="520" spans="1:23" x14ac:dyDescent="0.3">
      <c r="A520" s="19">
        <v>31</v>
      </c>
      <c r="B520" s="20" t="s">
        <v>55</v>
      </c>
      <c r="C520" s="21">
        <v>46234</v>
      </c>
      <c r="D520" s="20" t="s">
        <v>59</v>
      </c>
      <c r="E520" s="20" t="s">
        <v>63</v>
      </c>
      <c r="F520" s="20" t="s">
        <v>61</v>
      </c>
      <c r="G520" s="20" t="s">
        <v>42</v>
      </c>
      <c r="H520" s="19" t="s">
        <v>37</v>
      </c>
      <c r="I520" s="32">
        <v>1503</v>
      </c>
      <c r="J520" s="32">
        <v>3879</v>
      </c>
      <c r="K520" s="32">
        <v>1601</v>
      </c>
      <c r="L520" s="32">
        <v>6296</v>
      </c>
      <c r="M520" s="33">
        <f t="shared" si="24"/>
        <v>13279</v>
      </c>
      <c r="N520" s="32">
        <v>1436</v>
      </c>
      <c r="O520" s="32">
        <v>3675</v>
      </c>
      <c r="P520" s="34">
        <v>1470</v>
      </c>
      <c r="Q520" s="32">
        <v>5994</v>
      </c>
      <c r="R520" s="33">
        <f t="shared" si="25"/>
        <v>12575</v>
      </c>
      <c r="S520">
        <v>134</v>
      </c>
      <c r="T520">
        <v>408</v>
      </c>
      <c r="U520">
        <v>262</v>
      </c>
      <c r="V520">
        <v>604</v>
      </c>
      <c r="W520">
        <v>1408</v>
      </c>
    </row>
    <row r="521" spans="1:23" x14ac:dyDescent="0.3">
      <c r="A521" s="19">
        <v>31</v>
      </c>
      <c r="B521" s="20" t="s">
        <v>55</v>
      </c>
      <c r="C521" s="21">
        <v>46234</v>
      </c>
      <c r="D521" s="20" t="s">
        <v>59</v>
      </c>
      <c r="E521" s="20" t="s">
        <v>62</v>
      </c>
      <c r="F521" s="20" t="s">
        <v>61</v>
      </c>
      <c r="G521" s="20" t="s">
        <v>42</v>
      </c>
      <c r="H521" s="19" t="s">
        <v>38</v>
      </c>
      <c r="I521" s="32">
        <v>1040</v>
      </c>
      <c r="J521" s="32">
        <v>1400</v>
      </c>
      <c r="K521" s="32">
        <v>1120</v>
      </c>
      <c r="L521" s="32">
        <v>2720</v>
      </c>
      <c r="M521" s="33">
        <f t="shared" si="24"/>
        <v>6280</v>
      </c>
      <c r="N521" s="32">
        <v>929</v>
      </c>
      <c r="O521" s="32">
        <v>1309</v>
      </c>
      <c r="P521" s="34">
        <v>1033</v>
      </c>
      <c r="Q521" s="32">
        <v>2449</v>
      </c>
      <c r="R521" s="33">
        <f t="shared" si="25"/>
        <v>5720</v>
      </c>
      <c r="S521">
        <v>222</v>
      </c>
      <c r="T521">
        <v>182</v>
      </c>
      <c r="U521">
        <v>174</v>
      </c>
      <c r="V521">
        <v>542</v>
      </c>
      <c r="W521">
        <v>1120</v>
      </c>
    </row>
    <row r="522" spans="1:23" x14ac:dyDescent="0.3">
      <c r="A522" s="19">
        <v>31</v>
      </c>
      <c r="B522" s="20" t="s">
        <v>55</v>
      </c>
      <c r="C522" s="21">
        <v>46234</v>
      </c>
      <c r="D522" s="20" t="s">
        <v>59</v>
      </c>
      <c r="E522" s="20" t="s">
        <v>62</v>
      </c>
      <c r="F522" s="20" t="s">
        <v>61</v>
      </c>
      <c r="G522" s="20" t="s">
        <v>42</v>
      </c>
      <c r="H522" s="19" t="s">
        <v>38</v>
      </c>
      <c r="I522" s="32">
        <v>1040</v>
      </c>
      <c r="J522" s="32">
        <v>1400</v>
      </c>
      <c r="K522" s="32">
        <v>1120</v>
      </c>
      <c r="L522" s="32">
        <v>2720</v>
      </c>
      <c r="M522" s="33">
        <f t="shared" si="24"/>
        <v>6280</v>
      </c>
      <c r="N522" s="32">
        <v>929</v>
      </c>
      <c r="O522" s="32">
        <v>1309</v>
      </c>
      <c r="P522" s="34">
        <v>1033</v>
      </c>
      <c r="Q522" s="32">
        <v>2449</v>
      </c>
      <c r="R522" s="33">
        <f t="shared" si="25"/>
        <v>5720</v>
      </c>
      <c r="S522">
        <v>222</v>
      </c>
      <c r="T522">
        <v>182</v>
      </c>
      <c r="U522">
        <v>174</v>
      </c>
      <c r="V522">
        <v>542</v>
      </c>
      <c r="W522">
        <v>1120</v>
      </c>
    </row>
    <row r="523" spans="1:23" x14ac:dyDescent="0.3">
      <c r="A523" s="19">
        <v>31</v>
      </c>
      <c r="B523" s="20" t="s">
        <v>55</v>
      </c>
      <c r="C523" s="21">
        <v>46234</v>
      </c>
      <c r="D523" s="20" t="s">
        <v>59</v>
      </c>
      <c r="E523" s="20" t="s">
        <v>63</v>
      </c>
      <c r="F523" s="20" t="s">
        <v>61</v>
      </c>
      <c r="G523" s="20" t="s">
        <v>42</v>
      </c>
      <c r="H523" s="19" t="s">
        <v>36</v>
      </c>
      <c r="I523" s="32">
        <v>80</v>
      </c>
      <c r="J523" s="32">
        <v>2280</v>
      </c>
      <c r="K523" s="32">
        <v>1000</v>
      </c>
      <c r="L523" s="32">
        <v>2760</v>
      </c>
      <c r="M523" s="33">
        <f t="shared" si="24"/>
        <v>6120</v>
      </c>
      <c r="N523" s="32">
        <v>40</v>
      </c>
      <c r="O523" s="32">
        <v>2360</v>
      </c>
      <c r="P523" s="34">
        <v>880</v>
      </c>
      <c r="Q523" s="32">
        <v>2640</v>
      </c>
      <c r="R523" s="33">
        <f t="shared" si="25"/>
        <v>5920</v>
      </c>
      <c r="S523">
        <v>80</v>
      </c>
      <c r="T523">
        <v>480</v>
      </c>
      <c r="U523">
        <v>240</v>
      </c>
      <c r="V523">
        <v>560</v>
      </c>
      <c r="W523">
        <v>1360</v>
      </c>
    </row>
    <row r="524" spans="1:23" x14ac:dyDescent="0.3">
      <c r="A524" s="19">
        <v>31</v>
      </c>
      <c r="B524" s="20" t="s">
        <v>55</v>
      </c>
      <c r="C524" s="21">
        <v>46234</v>
      </c>
      <c r="D524" s="20" t="s">
        <v>59</v>
      </c>
      <c r="E524" s="20" t="s">
        <v>63</v>
      </c>
      <c r="F524" s="20" t="s">
        <v>61</v>
      </c>
      <c r="G524" s="20" t="s">
        <v>42</v>
      </c>
      <c r="H524" s="19" t="s">
        <v>36</v>
      </c>
      <c r="I524" s="32">
        <v>80</v>
      </c>
      <c r="J524" s="32">
        <v>2280</v>
      </c>
      <c r="K524" s="32">
        <v>1000</v>
      </c>
      <c r="L524" s="32">
        <v>2760</v>
      </c>
      <c r="M524" s="33">
        <f t="shared" si="24"/>
        <v>6120</v>
      </c>
      <c r="N524" s="32">
        <v>40</v>
      </c>
      <c r="O524" s="32">
        <v>2360</v>
      </c>
      <c r="P524" s="34">
        <v>880</v>
      </c>
      <c r="Q524" s="32">
        <v>2640</v>
      </c>
      <c r="R524" s="33">
        <f t="shared" si="25"/>
        <v>5920</v>
      </c>
      <c r="S524">
        <v>80</v>
      </c>
      <c r="T524">
        <v>480</v>
      </c>
      <c r="U524">
        <v>240</v>
      </c>
      <c r="V524">
        <v>560</v>
      </c>
      <c r="W524">
        <v>1360</v>
      </c>
    </row>
    <row r="525" spans="1:23" x14ac:dyDescent="0.3">
      <c r="A525" s="19">
        <v>31</v>
      </c>
      <c r="B525" s="20" t="s">
        <v>55</v>
      </c>
      <c r="C525" s="21">
        <v>46234</v>
      </c>
      <c r="D525" s="20" t="s">
        <v>75</v>
      </c>
      <c r="E525" s="20" t="s">
        <v>76</v>
      </c>
      <c r="F525" s="20" t="s">
        <v>77</v>
      </c>
      <c r="G525" s="20" t="s">
        <v>78</v>
      </c>
      <c r="H525" s="19" t="s">
        <v>73</v>
      </c>
      <c r="I525" s="32">
        <v>562</v>
      </c>
      <c r="J525" s="32">
        <v>674</v>
      </c>
      <c r="K525" s="32">
        <v>540</v>
      </c>
      <c r="L525" s="32">
        <v>1166</v>
      </c>
      <c r="M525" s="33">
        <f t="shared" si="24"/>
        <v>2942</v>
      </c>
      <c r="N525" s="32">
        <v>536</v>
      </c>
      <c r="O525" s="32">
        <v>648</v>
      </c>
      <c r="P525" s="34">
        <v>502</v>
      </c>
      <c r="Q525" s="32">
        <v>1086</v>
      </c>
      <c r="R525" s="33">
        <f t="shared" si="25"/>
        <v>2772</v>
      </c>
      <c r="S525">
        <v>52</v>
      </c>
      <c r="T525">
        <v>52</v>
      </c>
      <c r="U525">
        <v>76</v>
      </c>
      <c r="V525">
        <v>160</v>
      </c>
      <c r="W525">
        <v>340</v>
      </c>
    </row>
    <row r="526" spans="1:23" x14ac:dyDescent="0.3">
      <c r="A526" s="19">
        <v>31</v>
      </c>
      <c r="B526" s="20" t="s">
        <v>55</v>
      </c>
      <c r="C526" s="21">
        <v>46234</v>
      </c>
      <c r="D526" s="20" t="s">
        <v>75</v>
      </c>
      <c r="E526" s="20" t="s">
        <v>76</v>
      </c>
      <c r="F526" s="20" t="s">
        <v>77</v>
      </c>
      <c r="G526" s="20" t="s">
        <v>78</v>
      </c>
      <c r="H526" s="19" t="s">
        <v>73</v>
      </c>
      <c r="I526" s="32">
        <v>562</v>
      </c>
      <c r="J526" s="32">
        <v>674</v>
      </c>
      <c r="K526" s="32">
        <v>540</v>
      </c>
      <c r="L526" s="32">
        <v>1166</v>
      </c>
      <c r="M526" s="33">
        <f t="shared" si="24"/>
        <v>2942</v>
      </c>
      <c r="N526" s="32">
        <v>536</v>
      </c>
      <c r="O526" s="32">
        <v>648</v>
      </c>
      <c r="P526" s="34">
        <v>502</v>
      </c>
      <c r="Q526" s="32">
        <v>1086</v>
      </c>
      <c r="R526" s="33">
        <f t="shared" si="25"/>
        <v>2772</v>
      </c>
      <c r="S526">
        <v>52</v>
      </c>
      <c r="T526">
        <v>52</v>
      </c>
      <c r="U526">
        <v>76</v>
      </c>
      <c r="V526">
        <v>160</v>
      </c>
      <c r="W526">
        <v>340</v>
      </c>
    </row>
    <row r="527" spans="1:23" x14ac:dyDescent="0.3">
      <c r="A527" s="19">
        <v>31</v>
      </c>
      <c r="B527" s="20" t="s">
        <v>55</v>
      </c>
      <c r="C527" s="21">
        <v>46234</v>
      </c>
      <c r="D527" s="20" t="s">
        <v>75</v>
      </c>
      <c r="E527" s="20" t="s">
        <v>76</v>
      </c>
      <c r="F527" s="20" t="s">
        <v>77</v>
      </c>
      <c r="G527" s="20" t="s">
        <v>78</v>
      </c>
      <c r="H527" s="19" t="s">
        <v>70</v>
      </c>
      <c r="I527" s="32">
        <v>343</v>
      </c>
      <c r="J527" s="32">
        <v>1533</v>
      </c>
      <c r="K527" s="32">
        <v>1367</v>
      </c>
      <c r="L527" s="32">
        <v>287</v>
      </c>
      <c r="M527" s="33">
        <f t="shared" si="24"/>
        <v>3530</v>
      </c>
      <c r="N527" s="32">
        <v>321</v>
      </c>
      <c r="O527" s="32">
        <v>1468</v>
      </c>
      <c r="P527" s="34">
        <v>1296</v>
      </c>
      <c r="Q527" s="32">
        <v>231</v>
      </c>
      <c r="R527" s="33">
        <f t="shared" si="25"/>
        <v>3316</v>
      </c>
      <c r="S527">
        <v>44</v>
      </c>
      <c r="T527">
        <v>80</v>
      </c>
      <c r="U527">
        <v>74</v>
      </c>
      <c r="V527">
        <v>174</v>
      </c>
      <c r="W527">
        <v>372</v>
      </c>
    </row>
    <row r="528" spans="1:23" x14ac:dyDescent="0.3">
      <c r="A528" s="19">
        <v>31</v>
      </c>
      <c r="B528" s="20" t="s">
        <v>55</v>
      </c>
      <c r="C528" s="21">
        <v>46234</v>
      </c>
      <c r="D528" s="20" t="s">
        <v>75</v>
      </c>
      <c r="E528" s="20" t="s">
        <v>76</v>
      </c>
      <c r="F528" s="20" t="s">
        <v>77</v>
      </c>
      <c r="G528" s="20" t="s">
        <v>78</v>
      </c>
      <c r="H528" s="19" t="s">
        <v>70</v>
      </c>
      <c r="I528" s="32">
        <v>343</v>
      </c>
      <c r="J528" s="32">
        <v>1533</v>
      </c>
      <c r="K528" s="32">
        <v>1367</v>
      </c>
      <c r="L528" s="32">
        <v>287</v>
      </c>
      <c r="M528" s="33">
        <f t="shared" si="24"/>
        <v>3530</v>
      </c>
      <c r="N528" s="32">
        <v>321</v>
      </c>
      <c r="O528" s="32">
        <v>1468</v>
      </c>
      <c r="P528" s="34">
        <v>1296</v>
      </c>
      <c r="Q528" s="32">
        <v>231</v>
      </c>
      <c r="R528" s="33">
        <f t="shared" si="25"/>
        <v>3316</v>
      </c>
      <c r="S528">
        <v>44</v>
      </c>
      <c r="T528">
        <v>80</v>
      </c>
      <c r="U528">
        <v>74</v>
      </c>
      <c r="V528">
        <v>174</v>
      </c>
      <c r="W528">
        <v>372</v>
      </c>
    </row>
    <row r="529" spans="1:23" x14ac:dyDescent="0.3">
      <c r="A529" s="19">
        <v>31</v>
      </c>
      <c r="B529" s="20" t="s">
        <v>55</v>
      </c>
      <c r="C529" s="21">
        <v>46234</v>
      </c>
      <c r="D529" s="20" t="s">
        <v>75</v>
      </c>
      <c r="E529" s="20" t="s">
        <v>76</v>
      </c>
      <c r="F529" s="20" t="s">
        <v>77</v>
      </c>
      <c r="G529" s="20" t="s">
        <v>78</v>
      </c>
      <c r="H529" s="19" t="s">
        <v>71</v>
      </c>
      <c r="I529" s="32">
        <v>529</v>
      </c>
      <c r="J529" s="32">
        <v>602</v>
      </c>
      <c r="K529" s="32">
        <v>671</v>
      </c>
      <c r="L529" s="32">
        <v>943</v>
      </c>
      <c r="M529" s="33">
        <f t="shared" si="24"/>
        <v>2745</v>
      </c>
      <c r="N529" s="32">
        <v>515</v>
      </c>
      <c r="O529" s="32">
        <v>550</v>
      </c>
      <c r="P529" s="34">
        <v>628</v>
      </c>
      <c r="Q529" s="32">
        <v>877</v>
      </c>
      <c r="R529" s="33">
        <f t="shared" si="25"/>
        <v>2570</v>
      </c>
      <c r="S529">
        <v>28</v>
      </c>
      <c r="T529">
        <v>104</v>
      </c>
      <c r="U529">
        <v>86</v>
      </c>
      <c r="V529">
        <v>132</v>
      </c>
      <c r="W529">
        <v>350</v>
      </c>
    </row>
    <row r="530" spans="1:23" x14ac:dyDescent="0.3">
      <c r="A530" s="19">
        <v>31</v>
      </c>
      <c r="B530" s="20" t="s">
        <v>55</v>
      </c>
      <c r="C530" s="21">
        <v>46234</v>
      </c>
      <c r="D530" s="20" t="s">
        <v>75</v>
      </c>
      <c r="E530" s="20" t="s">
        <v>76</v>
      </c>
      <c r="F530" s="20" t="s">
        <v>77</v>
      </c>
      <c r="G530" s="20" t="s">
        <v>78</v>
      </c>
      <c r="H530" s="19" t="s">
        <v>71</v>
      </c>
      <c r="I530" s="32">
        <v>529</v>
      </c>
      <c r="J530" s="32">
        <v>602</v>
      </c>
      <c r="K530" s="32">
        <v>671</v>
      </c>
      <c r="L530" s="32">
        <v>943</v>
      </c>
      <c r="M530" s="33">
        <f t="shared" si="24"/>
        <v>2745</v>
      </c>
      <c r="N530" s="32">
        <v>515</v>
      </c>
      <c r="O530" s="32">
        <v>550</v>
      </c>
      <c r="P530" s="34">
        <v>628</v>
      </c>
      <c r="Q530" s="32">
        <v>877</v>
      </c>
      <c r="R530" s="33">
        <f t="shared" si="25"/>
        <v>2570</v>
      </c>
      <c r="S530">
        <v>28</v>
      </c>
      <c r="T530">
        <v>104</v>
      </c>
      <c r="U530">
        <v>86</v>
      </c>
      <c r="V530">
        <v>132</v>
      </c>
      <c r="W530">
        <v>350</v>
      </c>
    </row>
    <row r="531" spans="1:23" x14ac:dyDescent="0.3">
      <c r="A531" s="19">
        <v>31</v>
      </c>
      <c r="B531" s="20" t="s">
        <v>55</v>
      </c>
      <c r="C531" s="21">
        <v>46234</v>
      </c>
      <c r="D531" s="20" t="s">
        <v>75</v>
      </c>
      <c r="E531" s="20" t="s">
        <v>76</v>
      </c>
      <c r="F531" s="20" t="s">
        <v>77</v>
      </c>
      <c r="G531" s="20" t="s">
        <v>78</v>
      </c>
      <c r="H531" s="19" t="s">
        <v>72</v>
      </c>
      <c r="I531" s="32">
        <v>844</v>
      </c>
      <c r="J531" s="32">
        <v>1000</v>
      </c>
      <c r="K531" s="32">
        <v>1200</v>
      </c>
      <c r="L531" s="32">
        <v>2200</v>
      </c>
      <c r="M531" s="33">
        <f t="shared" si="24"/>
        <v>5244</v>
      </c>
      <c r="N531" s="32">
        <v>764</v>
      </c>
      <c r="O531" s="32">
        <v>960</v>
      </c>
      <c r="P531" s="34">
        <v>1080</v>
      </c>
      <c r="Q531" s="32">
        <v>2032</v>
      </c>
      <c r="R531" s="33">
        <f t="shared" si="25"/>
        <v>4836</v>
      </c>
      <c r="S531">
        <v>160</v>
      </c>
      <c r="T531">
        <v>84</v>
      </c>
      <c r="U531">
        <v>80</v>
      </c>
      <c r="V531">
        <v>168</v>
      </c>
      <c r="W531">
        <v>492</v>
      </c>
    </row>
    <row r="532" spans="1:23" x14ac:dyDescent="0.3">
      <c r="A532" s="19">
        <v>31</v>
      </c>
      <c r="B532" s="20" t="s">
        <v>55</v>
      </c>
      <c r="C532" s="21">
        <v>46234</v>
      </c>
      <c r="D532" s="20" t="s">
        <v>75</v>
      </c>
      <c r="E532" s="20" t="s">
        <v>76</v>
      </c>
      <c r="F532" s="20" t="s">
        <v>77</v>
      </c>
      <c r="G532" s="20" t="s">
        <v>78</v>
      </c>
      <c r="H532" s="19" t="s">
        <v>72</v>
      </c>
      <c r="I532" s="32">
        <v>844</v>
      </c>
      <c r="J532" s="32">
        <v>1000</v>
      </c>
      <c r="K532" s="32">
        <v>1200</v>
      </c>
      <c r="L532" s="32">
        <v>2200</v>
      </c>
      <c r="M532" s="33">
        <f t="shared" si="24"/>
        <v>5244</v>
      </c>
      <c r="N532" s="32">
        <v>764</v>
      </c>
      <c r="O532" s="32">
        <v>960</v>
      </c>
      <c r="P532" s="34">
        <v>1080</v>
      </c>
      <c r="Q532" s="32">
        <v>2032</v>
      </c>
      <c r="R532" s="33">
        <f t="shared" si="25"/>
        <v>4836</v>
      </c>
      <c r="S532">
        <v>160</v>
      </c>
      <c r="T532">
        <v>84</v>
      </c>
      <c r="U532">
        <v>80</v>
      </c>
      <c r="V532">
        <v>168</v>
      </c>
      <c r="W532">
        <v>492</v>
      </c>
    </row>
    <row r="533" spans="1:23" x14ac:dyDescent="0.3">
      <c r="A533" s="19">
        <v>31</v>
      </c>
      <c r="B533" s="20" t="s">
        <v>55</v>
      </c>
      <c r="C533" s="21">
        <v>46234</v>
      </c>
      <c r="D533" s="20" t="s">
        <v>79</v>
      </c>
      <c r="E533" s="20" t="s">
        <v>80</v>
      </c>
      <c r="F533" s="20" t="s">
        <v>77</v>
      </c>
      <c r="G533" s="20" t="s">
        <v>78</v>
      </c>
      <c r="H533" s="19" t="s">
        <v>74</v>
      </c>
      <c r="I533" s="32">
        <v>620</v>
      </c>
      <c r="J533" s="32">
        <v>800</v>
      </c>
      <c r="K533" s="32">
        <v>720</v>
      </c>
      <c r="L533" s="32">
        <v>600</v>
      </c>
      <c r="M533" s="33">
        <f t="shared" si="24"/>
        <v>2740</v>
      </c>
      <c r="N533" s="32">
        <v>530</v>
      </c>
      <c r="O533" s="32">
        <v>720</v>
      </c>
      <c r="P533" s="34">
        <v>680</v>
      </c>
      <c r="Q533" s="32">
        <v>540</v>
      </c>
      <c r="R533" s="33">
        <f t="shared" si="25"/>
        <v>2470</v>
      </c>
      <c r="S533">
        <v>160</v>
      </c>
      <c r="T533">
        <v>240</v>
      </c>
      <c r="U533">
        <v>160</v>
      </c>
      <c r="V533">
        <v>240</v>
      </c>
      <c r="W533">
        <v>800</v>
      </c>
    </row>
    <row r="534" spans="1:23" x14ac:dyDescent="0.3">
      <c r="A534" s="19">
        <v>31</v>
      </c>
      <c r="B534" s="20" t="s">
        <v>55</v>
      </c>
      <c r="C534" s="21">
        <v>46234</v>
      </c>
      <c r="D534" s="20" t="s">
        <v>79</v>
      </c>
      <c r="E534" s="20" t="s">
        <v>80</v>
      </c>
      <c r="F534" s="20" t="s">
        <v>77</v>
      </c>
      <c r="G534" s="20" t="s">
        <v>78</v>
      </c>
      <c r="H534" s="19" t="s">
        <v>74</v>
      </c>
      <c r="I534" s="32">
        <v>620</v>
      </c>
      <c r="J534" s="32">
        <v>800</v>
      </c>
      <c r="K534" s="32">
        <v>720</v>
      </c>
      <c r="L534" s="32">
        <v>600</v>
      </c>
      <c r="M534" s="33">
        <f t="shared" si="24"/>
        <v>2740</v>
      </c>
      <c r="N534" s="32">
        <v>530</v>
      </c>
      <c r="O534" s="32">
        <v>720</v>
      </c>
      <c r="P534" s="34">
        <v>680</v>
      </c>
      <c r="Q534" s="32">
        <v>540</v>
      </c>
      <c r="R534" s="33">
        <f t="shared" si="25"/>
        <v>2470</v>
      </c>
      <c r="S534">
        <v>160</v>
      </c>
      <c r="T534">
        <v>240</v>
      </c>
      <c r="U534">
        <v>160</v>
      </c>
      <c r="V534">
        <v>240</v>
      </c>
      <c r="W534">
        <v>800</v>
      </c>
    </row>
    <row r="535" spans="1:23" x14ac:dyDescent="0.3">
      <c r="A535" s="19">
        <v>31</v>
      </c>
      <c r="B535" s="20" t="s">
        <v>55</v>
      </c>
      <c r="C535" s="21">
        <v>46234</v>
      </c>
      <c r="D535" s="20" t="s">
        <v>45</v>
      </c>
      <c r="E535" s="20" t="s">
        <v>49</v>
      </c>
      <c r="F535" s="20" t="s">
        <v>47</v>
      </c>
      <c r="G535" s="20" t="s">
        <v>42</v>
      </c>
      <c r="H535" s="19" t="s">
        <v>50</v>
      </c>
      <c r="I535" s="32">
        <v>627</v>
      </c>
      <c r="J535" s="32">
        <v>632</v>
      </c>
      <c r="K535" s="32">
        <v>572</v>
      </c>
      <c r="L535" s="32">
        <v>954</v>
      </c>
      <c r="M535" s="33">
        <f t="shared" si="24"/>
        <v>2785</v>
      </c>
      <c r="N535" s="32">
        <v>486</v>
      </c>
      <c r="O535" s="32">
        <v>483</v>
      </c>
      <c r="P535" s="34">
        <v>459</v>
      </c>
      <c r="Q535" s="32">
        <v>641</v>
      </c>
      <c r="R535" s="33">
        <f t="shared" si="25"/>
        <v>2069</v>
      </c>
      <c r="S535">
        <v>284</v>
      </c>
      <c r="T535">
        <v>298</v>
      </c>
      <c r="U535">
        <v>226</v>
      </c>
      <c r="V535">
        <v>626</v>
      </c>
      <c r="W535">
        <v>1434</v>
      </c>
    </row>
    <row r="536" spans="1:23" x14ac:dyDescent="0.3">
      <c r="A536" s="19">
        <v>31</v>
      </c>
      <c r="B536" s="20" t="s">
        <v>55</v>
      </c>
      <c r="C536" s="21">
        <v>46234</v>
      </c>
      <c r="D536" s="20" t="s">
        <v>45</v>
      </c>
      <c r="E536" s="20" t="s">
        <v>49</v>
      </c>
      <c r="F536" s="20" t="s">
        <v>47</v>
      </c>
      <c r="G536" s="20" t="s">
        <v>42</v>
      </c>
      <c r="H536" s="19" t="s">
        <v>50</v>
      </c>
      <c r="I536" s="32">
        <v>627</v>
      </c>
      <c r="J536" s="32">
        <v>632</v>
      </c>
      <c r="K536" s="32">
        <v>572</v>
      </c>
      <c r="L536" s="32">
        <v>954</v>
      </c>
      <c r="M536" s="33">
        <f t="shared" si="24"/>
        <v>2785</v>
      </c>
      <c r="N536" s="32">
        <v>486</v>
      </c>
      <c r="O536" s="32">
        <v>483</v>
      </c>
      <c r="P536" s="34">
        <v>459</v>
      </c>
      <c r="Q536" s="32">
        <v>641</v>
      </c>
      <c r="R536" s="33">
        <f t="shared" si="25"/>
        <v>2069</v>
      </c>
      <c r="S536">
        <v>284</v>
      </c>
      <c r="T536">
        <v>298</v>
      </c>
      <c r="U536">
        <v>226</v>
      </c>
      <c r="V536">
        <v>626</v>
      </c>
      <c r="W536">
        <v>1434</v>
      </c>
    </row>
    <row r="537" spans="1:23" x14ac:dyDescent="0.3">
      <c r="A537" s="19">
        <v>31</v>
      </c>
      <c r="B537" s="20" t="s">
        <v>55</v>
      </c>
      <c r="C537" s="21">
        <v>46234</v>
      </c>
      <c r="D537" s="20" t="s">
        <v>45</v>
      </c>
      <c r="E537" s="20" t="s">
        <v>51</v>
      </c>
      <c r="F537" s="20" t="s">
        <v>47</v>
      </c>
      <c r="G537" s="20" t="s">
        <v>42</v>
      </c>
      <c r="H537" s="19" t="s">
        <v>53</v>
      </c>
      <c r="I537" s="32">
        <v>0</v>
      </c>
      <c r="J537" s="32">
        <v>760</v>
      </c>
      <c r="K537" s="32">
        <v>660</v>
      </c>
      <c r="L537" s="32">
        <v>1640</v>
      </c>
      <c r="M537" s="33">
        <f t="shared" si="24"/>
        <v>3060</v>
      </c>
      <c r="N537" s="32">
        <v>0</v>
      </c>
      <c r="O537" s="32">
        <v>681</v>
      </c>
      <c r="P537" s="34">
        <v>553</v>
      </c>
      <c r="Q537" s="32">
        <v>1475</v>
      </c>
      <c r="R537" s="33">
        <f t="shared" si="25"/>
        <v>2709</v>
      </c>
      <c r="S537">
        <v>0</v>
      </c>
      <c r="T537">
        <v>158</v>
      </c>
      <c r="U537">
        <v>214</v>
      </c>
      <c r="V537">
        <v>330</v>
      </c>
      <c r="W537">
        <v>702</v>
      </c>
    </row>
    <row r="538" spans="1:23" x14ac:dyDescent="0.3">
      <c r="A538" s="19">
        <v>31</v>
      </c>
      <c r="B538" s="20" t="s">
        <v>55</v>
      </c>
      <c r="C538" s="21">
        <v>46234</v>
      </c>
      <c r="D538" s="20" t="s">
        <v>45</v>
      </c>
      <c r="E538" s="20" t="s">
        <v>51</v>
      </c>
      <c r="F538" s="20" t="s">
        <v>47</v>
      </c>
      <c r="G538" s="20" t="s">
        <v>42</v>
      </c>
      <c r="H538" s="19" t="s">
        <v>53</v>
      </c>
      <c r="I538" s="32">
        <v>0</v>
      </c>
      <c r="J538" s="32">
        <v>760</v>
      </c>
      <c r="K538" s="32">
        <v>660</v>
      </c>
      <c r="L538" s="32">
        <v>1640</v>
      </c>
      <c r="M538" s="33">
        <f t="shared" si="24"/>
        <v>3060</v>
      </c>
      <c r="N538" s="32">
        <v>0</v>
      </c>
      <c r="O538" s="32">
        <v>681</v>
      </c>
      <c r="P538" s="34">
        <v>553</v>
      </c>
      <c r="Q538" s="32">
        <v>1475</v>
      </c>
      <c r="R538" s="33">
        <f t="shared" si="25"/>
        <v>2709</v>
      </c>
      <c r="S538">
        <v>0</v>
      </c>
      <c r="T538">
        <v>158</v>
      </c>
      <c r="U538">
        <v>214</v>
      </c>
      <c r="V538">
        <v>330</v>
      </c>
      <c r="W538">
        <v>702</v>
      </c>
    </row>
    <row r="539" spans="1:23" x14ac:dyDescent="0.3">
      <c r="A539" s="19">
        <v>31</v>
      </c>
      <c r="B539" s="20" t="s">
        <v>55</v>
      </c>
      <c r="C539" s="21">
        <v>46234</v>
      </c>
      <c r="D539" s="20" t="s">
        <v>45</v>
      </c>
      <c r="E539" s="20" t="s">
        <v>64</v>
      </c>
      <c r="F539" s="20" t="s">
        <v>47</v>
      </c>
      <c r="G539" s="20" t="s">
        <v>42</v>
      </c>
      <c r="H539" s="19" t="s">
        <v>69</v>
      </c>
      <c r="I539" s="32">
        <v>568</v>
      </c>
      <c r="J539" s="32">
        <v>1242</v>
      </c>
      <c r="K539" s="32">
        <v>1626</v>
      </c>
      <c r="L539" s="32">
        <v>604</v>
      </c>
      <c r="M539" s="33">
        <f t="shared" si="24"/>
        <v>4040</v>
      </c>
      <c r="N539" s="32">
        <v>510</v>
      </c>
      <c r="O539" s="32">
        <v>1130</v>
      </c>
      <c r="P539" s="34">
        <v>1548</v>
      </c>
      <c r="Q539" s="32">
        <v>418</v>
      </c>
      <c r="R539" s="33">
        <f t="shared" si="25"/>
        <v>3606</v>
      </c>
      <c r="S539">
        <v>116</v>
      </c>
      <c r="T539">
        <v>224</v>
      </c>
      <c r="U539">
        <v>156</v>
      </c>
      <c r="V539">
        <v>372</v>
      </c>
      <c r="W539">
        <v>868</v>
      </c>
    </row>
    <row r="540" spans="1:23" x14ac:dyDescent="0.3">
      <c r="A540" s="19">
        <v>31</v>
      </c>
      <c r="B540" s="20" t="s">
        <v>55</v>
      </c>
      <c r="C540" s="21">
        <v>46234</v>
      </c>
      <c r="D540" s="20" t="s">
        <v>45</v>
      </c>
      <c r="E540" s="20" t="s">
        <v>64</v>
      </c>
      <c r="F540" s="20" t="s">
        <v>47</v>
      </c>
      <c r="G540" s="20" t="s">
        <v>42</v>
      </c>
      <c r="H540" s="19" t="s">
        <v>69</v>
      </c>
      <c r="I540" s="32">
        <v>568</v>
      </c>
      <c r="J540" s="32">
        <v>1242</v>
      </c>
      <c r="K540" s="32">
        <v>1626</v>
      </c>
      <c r="L540" s="32">
        <v>604</v>
      </c>
      <c r="M540" s="33">
        <f t="shared" si="24"/>
        <v>4040</v>
      </c>
      <c r="N540" s="32">
        <v>510</v>
      </c>
      <c r="O540" s="32">
        <v>1130</v>
      </c>
      <c r="P540" s="34">
        <v>1548</v>
      </c>
      <c r="Q540" s="32">
        <v>418</v>
      </c>
      <c r="R540" s="33">
        <f t="shared" si="25"/>
        <v>3606</v>
      </c>
      <c r="S540">
        <v>116</v>
      </c>
      <c r="T540">
        <v>224</v>
      </c>
      <c r="U540">
        <v>156</v>
      </c>
      <c r="V540">
        <v>372</v>
      </c>
      <c r="W540">
        <v>868</v>
      </c>
    </row>
    <row r="541" spans="1:23" x14ac:dyDescent="0.3">
      <c r="A541" s="19">
        <v>31</v>
      </c>
      <c r="B541" s="20" t="s">
        <v>55</v>
      </c>
      <c r="C541" s="21">
        <v>46234</v>
      </c>
      <c r="D541" s="20" t="s">
        <v>45</v>
      </c>
      <c r="E541" s="20" t="s">
        <v>49</v>
      </c>
      <c r="F541" s="20" t="s">
        <v>47</v>
      </c>
      <c r="G541" s="20" t="s">
        <v>42</v>
      </c>
      <c r="H541" s="19" t="s">
        <v>66</v>
      </c>
      <c r="I541" s="32">
        <v>572</v>
      </c>
      <c r="J541" s="32">
        <v>847</v>
      </c>
      <c r="K541" s="32">
        <v>750</v>
      </c>
      <c r="L541" s="32">
        <v>887</v>
      </c>
      <c r="M541" s="33">
        <f t="shared" si="24"/>
        <v>3056</v>
      </c>
      <c r="N541" s="32">
        <v>517</v>
      </c>
      <c r="O541" s="32">
        <v>779</v>
      </c>
      <c r="P541" s="34">
        <v>685</v>
      </c>
      <c r="Q541" s="32">
        <v>673</v>
      </c>
      <c r="R541" s="33">
        <f t="shared" si="25"/>
        <v>2654</v>
      </c>
      <c r="S541">
        <v>110</v>
      </c>
      <c r="T541">
        <v>136</v>
      </c>
      <c r="U541">
        <v>130</v>
      </c>
      <c r="V541">
        <v>428</v>
      </c>
      <c r="W541">
        <v>804</v>
      </c>
    </row>
    <row r="542" spans="1:23" x14ac:dyDescent="0.3">
      <c r="A542" s="19">
        <v>31</v>
      </c>
      <c r="B542" s="20" t="s">
        <v>55</v>
      </c>
      <c r="C542" s="21">
        <v>46234</v>
      </c>
      <c r="D542" s="20" t="s">
        <v>45</v>
      </c>
      <c r="E542" s="20" t="s">
        <v>49</v>
      </c>
      <c r="F542" s="20" t="s">
        <v>47</v>
      </c>
      <c r="G542" s="20" t="s">
        <v>42</v>
      </c>
      <c r="H542" s="19" t="s">
        <v>66</v>
      </c>
      <c r="I542" s="32">
        <v>572</v>
      </c>
      <c r="J542" s="32">
        <v>847</v>
      </c>
      <c r="K542" s="32">
        <v>750</v>
      </c>
      <c r="L542" s="32">
        <v>887</v>
      </c>
      <c r="M542" s="33">
        <f t="shared" si="24"/>
        <v>3056</v>
      </c>
      <c r="N542" s="32">
        <v>517</v>
      </c>
      <c r="O542" s="32">
        <v>779</v>
      </c>
      <c r="P542" s="34">
        <v>685</v>
      </c>
      <c r="Q542" s="32">
        <v>673</v>
      </c>
      <c r="R542" s="33">
        <f t="shared" si="25"/>
        <v>2654</v>
      </c>
      <c r="S542">
        <v>110</v>
      </c>
      <c r="T542">
        <v>136</v>
      </c>
      <c r="U542">
        <v>130</v>
      </c>
      <c r="V542">
        <v>428</v>
      </c>
      <c r="W542">
        <v>804</v>
      </c>
    </row>
    <row r="543" spans="1:23" x14ac:dyDescent="0.3">
      <c r="A543" s="19">
        <v>31</v>
      </c>
      <c r="B543" s="20" t="s">
        <v>55</v>
      </c>
      <c r="C543" s="21">
        <v>46234</v>
      </c>
      <c r="D543" s="20" t="s">
        <v>45</v>
      </c>
      <c r="E543" s="20" t="s">
        <v>51</v>
      </c>
      <c r="F543" s="20" t="s">
        <v>47</v>
      </c>
      <c r="G543" s="20" t="s">
        <v>42</v>
      </c>
      <c r="H543" s="19" t="s">
        <v>52</v>
      </c>
      <c r="I543" s="32">
        <v>0</v>
      </c>
      <c r="J543" s="32">
        <v>2999</v>
      </c>
      <c r="K543" s="32">
        <v>1495</v>
      </c>
      <c r="L543" s="32">
        <v>4751</v>
      </c>
      <c r="M543" s="33">
        <f t="shared" si="24"/>
        <v>9245</v>
      </c>
      <c r="N543" s="32">
        <v>0</v>
      </c>
      <c r="O543" s="32">
        <v>0</v>
      </c>
      <c r="P543" s="34">
        <v>1495</v>
      </c>
      <c r="Q543" s="32">
        <v>3996</v>
      </c>
      <c r="R543" s="33">
        <f t="shared" si="25"/>
        <v>5491</v>
      </c>
      <c r="S543">
        <v>0</v>
      </c>
      <c r="T543">
        <v>386</v>
      </c>
      <c r="U543">
        <v>0</v>
      </c>
      <c r="V543">
        <v>750</v>
      </c>
      <c r="W543">
        <v>1136</v>
      </c>
    </row>
    <row r="544" spans="1:23" x14ac:dyDescent="0.3">
      <c r="A544" s="19">
        <v>31</v>
      </c>
      <c r="B544" s="20" t="s">
        <v>55</v>
      </c>
      <c r="C544" s="21">
        <v>46234</v>
      </c>
      <c r="D544" s="20" t="s">
        <v>45</v>
      </c>
      <c r="E544" s="20" t="s">
        <v>51</v>
      </c>
      <c r="F544" s="20" t="s">
        <v>47</v>
      </c>
      <c r="G544" s="20" t="s">
        <v>42</v>
      </c>
      <c r="H544" s="19" t="s">
        <v>52</v>
      </c>
      <c r="I544" s="32">
        <v>0</v>
      </c>
      <c r="J544" s="32">
        <v>2999</v>
      </c>
      <c r="K544" s="32">
        <v>1495</v>
      </c>
      <c r="L544" s="32">
        <v>4751</v>
      </c>
      <c r="M544" s="33">
        <f t="shared" si="24"/>
        <v>9245</v>
      </c>
      <c r="N544" s="32">
        <v>0</v>
      </c>
      <c r="O544" s="32">
        <v>0</v>
      </c>
      <c r="P544" s="34">
        <v>1495</v>
      </c>
      <c r="Q544" s="32">
        <v>3996</v>
      </c>
      <c r="R544" s="33">
        <f t="shared" si="25"/>
        <v>5491</v>
      </c>
      <c r="S544">
        <v>0</v>
      </c>
      <c r="T544">
        <v>386</v>
      </c>
      <c r="U544">
        <v>0</v>
      </c>
      <c r="V544">
        <v>750</v>
      </c>
      <c r="W544">
        <v>1136</v>
      </c>
    </row>
    <row r="545" spans="1:23" x14ac:dyDescent="0.3">
      <c r="A545" s="19">
        <v>31</v>
      </c>
      <c r="B545" s="20" t="s">
        <v>81</v>
      </c>
      <c r="C545" s="21">
        <v>46235</v>
      </c>
      <c r="D545" s="20" t="s">
        <v>75</v>
      </c>
      <c r="E545" s="20" t="s">
        <v>76</v>
      </c>
      <c r="F545" s="20" t="s">
        <v>77</v>
      </c>
      <c r="G545" s="20" t="s">
        <v>78</v>
      </c>
      <c r="H545" s="19" t="s">
        <v>70</v>
      </c>
      <c r="I545" s="32">
        <v>993</v>
      </c>
      <c r="J545" s="32">
        <v>1468</v>
      </c>
      <c r="K545" s="32">
        <v>1956</v>
      </c>
      <c r="L545" s="32">
        <v>2534</v>
      </c>
      <c r="M545" s="33">
        <f t="shared" si="24"/>
        <v>6951</v>
      </c>
      <c r="N545" s="32">
        <v>942</v>
      </c>
      <c r="O545" s="32">
        <v>1380</v>
      </c>
      <c r="P545" s="34">
        <v>1831</v>
      </c>
      <c r="Q545" s="32">
        <v>2495</v>
      </c>
      <c r="R545" s="33">
        <f t="shared" si="25"/>
        <v>6648</v>
      </c>
      <c r="S545">
        <v>102</v>
      </c>
      <c r="T545">
        <v>80</v>
      </c>
      <c r="U545">
        <v>74</v>
      </c>
      <c r="V545">
        <v>174</v>
      </c>
      <c r="W545">
        <v>430</v>
      </c>
    </row>
    <row r="546" spans="1:23" x14ac:dyDescent="0.3">
      <c r="A546" s="19">
        <v>31</v>
      </c>
      <c r="B546" s="20" t="s">
        <v>81</v>
      </c>
      <c r="C546" s="21">
        <v>46235</v>
      </c>
      <c r="D546" s="20" t="s">
        <v>75</v>
      </c>
      <c r="E546" s="20" t="s">
        <v>76</v>
      </c>
      <c r="F546" s="20" t="s">
        <v>77</v>
      </c>
      <c r="G546" s="20" t="s">
        <v>78</v>
      </c>
      <c r="H546" s="19" t="s">
        <v>70</v>
      </c>
      <c r="I546" s="32">
        <v>993</v>
      </c>
      <c r="J546" s="32">
        <v>1468</v>
      </c>
      <c r="K546" s="32">
        <v>1956</v>
      </c>
      <c r="L546" s="32">
        <v>2534</v>
      </c>
      <c r="M546" s="33">
        <f t="shared" si="24"/>
        <v>6951</v>
      </c>
      <c r="N546" s="32">
        <v>942</v>
      </c>
      <c r="O546" s="32">
        <v>1380</v>
      </c>
      <c r="P546" s="34">
        <v>1831</v>
      </c>
      <c r="Q546" s="32">
        <v>2495</v>
      </c>
      <c r="R546" s="33">
        <f t="shared" si="25"/>
        <v>6648</v>
      </c>
      <c r="S546">
        <v>102</v>
      </c>
      <c r="T546">
        <v>80</v>
      </c>
      <c r="U546">
        <v>74</v>
      </c>
      <c r="V546">
        <v>174</v>
      </c>
      <c r="W546">
        <v>430</v>
      </c>
    </row>
    <row r="547" spans="1:23" x14ac:dyDescent="0.3">
      <c r="A547" s="19">
        <v>31</v>
      </c>
      <c r="B547" s="20" t="s">
        <v>81</v>
      </c>
      <c r="C547" s="21">
        <v>46235</v>
      </c>
      <c r="D547" s="20" t="s">
        <v>79</v>
      </c>
      <c r="E547" s="20" t="s">
        <v>80</v>
      </c>
      <c r="F547" s="20" t="s">
        <v>77</v>
      </c>
      <c r="G547" s="20" t="s">
        <v>78</v>
      </c>
      <c r="H547" s="19" t="s">
        <v>74</v>
      </c>
      <c r="I547" s="32">
        <v>530</v>
      </c>
      <c r="J547" s="32">
        <v>720</v>
      </c>
      <c r="K547" s="32">
        <v>680</v>
      </c>
      <c r="L547" s="32">
        <v>540</v>
      </c>
      <c r="M547" s="33">
        <f t="shared" si="24"/>
        <v>2470</v>
      </c>
      <c r="N547" s="32">
        <v>500</v>
      </c>
      <c r="O547" s="32">
        <v>600</v>
      </c>
      <c r="P547" s="34">
        <v>520</v>
      </c>
      <c r="Q547" s="32">
        <v>440</v>
      </c>
      <c r="R547" s="33">
        <f t="shared" si="25"/>
        <v>2060</v>
      </c>
      <c r="S547">
        <v>160</v>
      </c>
      <c r="T547">
        <v>240</v>
      </c>
      <c r="U547">
        <v>240</v>
      </c>
      <c r="V547">
        <v>360</v>
      </c>
      <c r="W547">
        <v>1000</v>
      </c>
    </row>
    <row r="548" spans="1:23" x14ac:dyDescent="0.3">
      <c r="A548" s="19">
        <v>31</v>
      </c>
      <c r="B548" s="20" t="s">
        <v>81</v>
      </c>
      <c r="C548" s="21">
        <v>46235</v>
      </c>
      <c r="D548" s="20" t="s">
        <v>79</v>
      </c>
      <c r="E548" s="20" t="s">
        <v>80</v>
      </c>
      <c r="F548" s="20" t="s">
        <v>77</v>
      </c>
      <c r="G548" s="20" t="s">
        <v>78</v>
      </c>
      <c r="H548" s="19" t="s">
        <v>74</v>
      </c>
      <c r="I548" s="32">
        <v>530</v>
      </c>
      <c r="J548" s="32">
        <v>720</v>
      </c>
      <c r="K548" s="32">
        <v>680</v>
      </c>
      <c r="L548" s="32">
        <v>540</v>
      </c>
      <c r="M548" s="33">
        <f t="shared" si="24"/>
        <v>2470</v>
      </c>
      <c r="N548" s="32">
        <v>500</v>
      </c>
      <c r="O548" s="32">
        <v>600</v>
      </c>
      <c r="P548" s="34">
        <v>520</v>
      </c>
      <c r="Q548" s="32">
        <v>440</v>
      </c>
      <c r="R548" s="33">
        <f t="shared" si="25"/>
        <v>2060</v>
      </c>
      <c r="S548">
        <v>160</v>
      </c>
      <c r="T548">
        <v>240</v>
      </c>
      <c r="U548">
        <v>240</v>
      </c>
      <c r="V548">
        <v>360</v>
      </c>
      <c r="W548">
        <v>1000</v>
      </c>
    </row>
    <row r="549" spans="1:23" x14ac:dyDescent="0.3">
      <c r="A549" s="19">
        <v>31</v>
      </c>
      <c r="B549" s="20" t="s">
        <v>81</v>
      </c>
      <c r="C549" s="21">
        <v>46235</v>
      </c>
      <c r="D549" s="20" t="s">
        <v>79</v>
      </c>
      <c r="E549" s="20" t="s">
        <v>80</v>
      </c>
      <c r="F549" s="20" t="s">
        <v>77</v>
      </c>
      <c r="G549" s="20" t="s">
        <v>78</v>
      </c>
      <c r="H549" s="19" t="s">
        <v>74</v>
      </c>
      <c r="I549" s="32">
        <v>530</v>
      </c>
      <c r="J549" s="32">
        <v>720</v>
      </c>
      <c r="K549" s="32">
        <v>680</v>
      </c>
      <c r="L549" s="32">
        <v>540</v>
      </c>
      <c r="M549" s="33">
        <f t="shared" si="24"/>
        <v>2470</v>
      </c>
      <c r="N549" s="32">
        <v>500</v>
      </c>
      <c r="O549" s="32">
        <v>600</v>
      </c>
      <c r="P549" s="34">
        <v>520</v>
      </c>
      <c r="Q549" s="32">
        <v>440</v>
      </c>
      <c r="R549" s="33">
        <f t="shared" si="25"/>
        <v>2060</v>
      </c>
      <c r="S549">
        <v>160</v>
      </c>
      <c r="T549">
        <v>240</v>
      </c>
      <c r="U549">
        <v>240</v>
      </c>
      <c r="V549">
        <v>360</v>
      </c>
      <c r="W549">
        <v>1000</v>
      </c>
    </row>
    <row r="550" spans="1:23" x14ac:dyDescent="0.3">
      <c r="A550" s="19">
        <v>31</v>
      </c>
      <c r="B550" s="20" t="s">
        <v>81</v>
      </c>
      <c r="C550" s="21">
        <v>46235</v>
      </c>
      <c r="D550" s="20" t="s">
        <v>75</v>
      </c>
      <c r="E550" s="20" t="s">
        <v>76</v>
      </c>
      <c r="F550" s="20" t="s">
        <v>77</v>
      </c>
      <c r="G550" s="20" t="s">
        <v>78</v>
      </c>
      <c r="H550" s="19" t="s">
        <v>71</v>
      </c>
      <c r="I550" s="32">
        <v>497</v>
      </c>
      <c r="J550" s="32">
        <v>516</v>
      </c>
      <c r="K550" s="32">
        <v>604</v>
      </c>
      <c r="L550" s="32">
        <v>826</v>
      </c>
      <c r="M550" s="33">
        <f t="shared" si="24"/>
        <v>2443</v>
      </c>
      <c r="N550" s="32">
        <v>486</v>
      </c>
      <c r="O550" s="32">
        <v>474</v>
      </c>
      <c r="P550" s="34">
        <v>573</v>
      </c>
      <c r="Q550" s="32">
        <v>777</v>
      </c>
      <c r="R550" s="33">
        <f t="shared" si="25"/>
        <v>2310</v>
      </c>
      <c r="S550">
        <v>22</v>
      </c>
      <c r="T550">
        <v>84</v>
      </c>
      <c r="U550">
        <v>62</v>
      </c>
      <c r="V550">
        <v>98</v>
      </c>
      <c r="W550">
        <v>266</v>
      </c>
    </row>
    <row r="551" spans="1:23" x14ac:dyDescent="0.3">
      <c r="A551" s="19">
        <v>31</v>
      </c>
      <c r="B551" s="20" t="s">
        <v>81</v>
      </c>
      <c r="C551" s="21">
        <v>46235</v>
      </c>
      <c r="D551" s="20" t="s">
        <v>75</v>
      </c>
      <c r="E551" s="20" t="s">
        <v>76</v>
      </c>
      <c r="F551" s="20" t="s">
        <v>77</v>
      </c>
      <c r="G551" s="20" t="s">
        <v>78</v>
      </c>
      <c r="H551" s="19" t="s">
        <v>71</v>
      </c>
      <c r="I551" s="32">
        <v>497</v>
      </c>
      <c r="J551" s="32">
        <v>516</v>
      </c>
      <c r="K551" s="32">
        <v>604</v>
      </c>
      <c r="L551" s="32">
        <v>826</v>
      </c>
      <c r="M551" s="33">
        <f t="shared" si="24"/>
        <v>2443</v>
      </c>
      <c r="N551" s="32">
        <v>486</v>
      </c>
      <c r="O551" s="32">
        <v>474</v>
      </c>
      <c r="P551" s="34">
        <v>573</v>
      </c>
      <c r="Q551" s="32">
        <v>777</v>
      </c>
      <c r="R551" s="33">
        <f t="shared" si="25"/>
        <v>2310</v>
      </c>
      <c r="S551">
        <v>22</v>
      </c>
      <c r="T551">
        <v>84</v>
      </c>
      <c r="U551">
        <v>62</v>
      </c>
      <c r="V551">
        <v>98</v>
      </c>
      <c r="W551">
        <v>266</v>
      </c>
    </row>
    <row r="552" spans="1:23" x14ac:dyDescent="0.3">
      <c r="A552" s="19">
        <v>31</v>
      </c>
      <c r="B552" s="20" t="s">
        <v>81</v>
      </c>
      <c r="C552" s="21">
        <v>46235</v>
      </c>
      <c r="D552" s="20" t="s">
        <v>75</v>
      </c>
      <c r="E552" s="20" t="s">
        <v>76</v>
      </c>
      <c r="F552" s="20" t="s">
        <v>77</v>
      </c>
      <c r="G552" s="20" t="s">
        <v>78</v>
      </c>
      <c r="H552" s="19" t="s">
        <v>73</v>
      </c>
      <c r="I552" s="32">
        <v>536</v>
      </c>
      <c r="J552" s="32">
        <v>648</v>
      </c>
      <c r="K552" s="32">
        <v>502</v>
      </c>
      <c r="L552" s="32">
        <v>1086</v>
      </c>
      <c r="M552" s="33">
        <f t="shared" si="24"/>
        <v>2772</v>
      </c>
      <c r="N552" s="32">
        <v>508</v>
      </c>
      <c r="O552" s="32">
        <v>608</v>
      </c>
      <c r="P552" s="34">
        <v>472</v>
      </c>
      <c r="Q552" s="32">
        <v>998</v>
      </c>
      <c r="R552" s="33">
        <f t="shared" si="25"/>
        <v>2586</v>
      </c>
      <c r="S552">
        <v>56</v>
      </c>
      <c r="T552">
        <v>80</v>
      </c>
      <c r="U552">
        <v>60</v>
      </c>
      <c r="V552">
        <v>176</v>
      </c>
      <c r="W552">
        <v>372</v>
      </c>
    </row>
    <row r="553" spans="1:23" x14ac:dyDescent="0.3">
      <c r="A553" s="19">
        <v>31</v>
      </c>
      <c r="B553" s="20" t="s">
        <v>81</v>
      </c>
      <c r="C553" s="21">
        <v>46235</v>
      </c>
      <c r="D553" s="20" t="s">
        <v>75</v>
      </c>
      <c r="E553" s="20" t="s">
        <v>76</v>
      </c>
      <c r="F553" s="20" t="s">
        <v>77</v>
      </c>
      <c r="G553" s="20" t="s">
        <v>78</v>
      </c>
      <c r="H553" s="19" t="s">
        <v>73</v>
      </c>
      <c r="I553" s="32">
        <v>536</v>
      </c>
      <c r="J553" s="32">
        <v>648</v>
      </c>
      <c r="K553" s="32">
        <v>502</v>
      </c>
      <c r="L553" s="32">
        <v>1086</v>
      </c>
      <c r="M553" s="33">
        <f t="shared" si="24"/>
        <v>2772</v>
      </c>
      <c r="N553" s="32">
        <v>508</v>
      </c>
      <c r="O553" s="32">
        <v>608</v>
      </c>
      <c r="P553" s="34">
        <v>472</v>
      </c>
      <c r="Q553" s="32">
        <v>998</v>
      </c>
      <c r="R553" s="33">
        <f t="shared" si="25"/>
        <v>2586</v>
      </c>
      <c r="S553">
        <v>56</v>
      </c>
      <c r="T553">
        <v>80</v>
      </c>
      <c r="U553">
        <v>60</v>
      </c>
      <c r="V553">
        <v>176</v>
      </c>
      <c r="W553">
        <v>372</v>
      </c>
    </row>
    <row r="554" spans="1:23" x14ac:dyDescent="0.3">
      <c r="A554" s="19">
        <v>31</v>
      </c>
      <c r="B554" s="20" t="s">
        <v>81</v>
      </c>
      <c r="C554" s="21">
        <v>46235</v>
      </c>
      <c r="D554" s="20" t="s">
        <v>75</v>
      </c>
      <c r="E554" s="20" t="s">
        <v>76</v>
      </c>
      <c r="F554" s="20" t="s">
        <v>77</v>
      </c>
      <c r="G554" s="20" t="s">
        <v>78</v>
      </c>
      <c r="H554" s="19" t="s">
        <v>72</v>
      </c>
      <c r="I554" s="32">
        <v>764</v>
      </c>
      <c r="J554" s="32">
        <v>960</v>
      </c>
      <c r="K554" s="32">
        <v>1080</v>
      </c>
      <c r="L554" s="32">
        <v>2032</v>
      </c>
      <c r="M554" s="33">
        <f t="shared" si="24"/>
        <v>4836</v>
      </c>
      <c r="N554" s="32">
        <v>662</v>
      </c>
      <c r="O554" s="32">
        <v>864</v>
      </c>
      <c r="P554" s="34">
        <v>944</v>
      </c>
      <c r="Q554" s="32">
        <v>1876</v>
      </c>
      <c r="R554" s="33">
        <f t="shared" si="25"/>
        <v>4346</v>
      </c>
      <c r="S554">
        <v>204</v>
      </c>
      <c r="T554">
        <v>84</v>
      </c>
      <c r="U554">
        <v>80</v>
      </c>
      <c r="V554">
        <v>168</v>
      </c>
      <c r="W554">
        <v>536</v>
      </c>
    </row>
    <row r="555" spans="1:23" x14ac:dyDescent="0.3">
      <c r="A555" s="19">
        <v>31</v>
      </c>
      <c r="B555" s="20" t="s">
        <v>81</v>
      </c>
      <c r="C555" s="21">
        <v>46235</v>
      </c>
      <c r="D555" s="20" t="s">
        <v>75</v>
      </c>
      <c r="E555" s="20" t="s">
        <v>76</v>
      </c>
      <c r="F555" s="20" t="s">
        <v>77</v>
      </c>
      <c r="G555" s="20" t="s">
        <v>78</v>
      </c>
      <c r="H555" s="19" t="s">
        <v>72</v>
      </c>
      <c r="I555" s="32">
        <v>764</v>
      </c>
      <c r="J555" s="32">
        <v>960</v>
      </c>
      <c r="K555" s="32">
        <v>1080</v>
      </c>
      <c r="L555" s="32">
        <v>2032</v>
      </c>
      <c r="M555" s="33">
        <f t="shared" si="24"/>
        <v>4836</v>
      </c>
      <c r="N555" s="32">
        <v>662</v>
      </c>
      <c r="O555" s="32">
        <v>864</v>
      </c>
      <c r="P555" s="34">
        <v>944</v>
      </c>
      <c r="Q555" s="32">
        <v>1876</v>
      </c>
      <c r="R555" s="33">
        <f t="shared" si="25"/>
        <v>4346</v>
      </c>
      <c r="S555">
        <v>204</v>
      </c>
      <c r="T555">
        <v>84</v>
      </c>
      <c r="U555">
        <v>80</v>
      </c>
      <c r="V555">
        <v>168</v>
      </c>
      <c r="W555">
        <v>536</v>
      </c>
    </row>
    <row r="556" spans="1:23" x14ac:dyDescent="0.3">
      <c r="A556" s="19">
        <v>31</v>
      </c>
      <c r="B556" s="20" t="s">
        <v>81</v>
      </c>
      <c r="C556" s="21">
        <v>46236</v>
      </c>
      <c r="D556" s="20" t="s">
        <v>75</v>
      </c>
      <c r="E556" s="20" t="s">
        <v>76</v>
      </c>
      <c r="F556" s="20" t="s">
        <v>77</v>
      </c>
      <c r="G556" s="20" t="s">
        <v>78</v>
      </c>
      <c r="H556" s="19" t="s">
        <v>70</v>
      </c>
      <c r="I556" s="32">
        <v>944</v>
      </c>
      <c r="J556" s="32">
        <v>1380</v>
      </c>
      <c r="K556" s="32">
        <v>1785</v>
      </c>
      <c r="L556" s="32">
        <v>2532</v>
      </c>
      <c r="M556" s="33">
        <f t="shared" si="24"/>
        <v>6641</v>
      </c>
      <c r="N556" s="32">
        <v>868</v>
      </c>
      <c r="O556" s="32">
        <v>1224</v>
      </c>
      <c r="P556" s="34">
        <v>1598</v>
      </c>
      <c r="Q556" s="32">
        <v>2323</v>
      </c>
      <c r="R556" s="33">
        <f t="shared" si="25"/>
        <v>6013</v>
      </c>
      <c r="S556">
        <v>374</v>
      </c>
      <c r="T556">
        <v>80</v>
      </c>
      <c r="U556">
        <v>74</v>
      </c>
      <c r="V556">
        <v>174</v>
      </c>
      <c r="W556">
        <v>702</v>
      </c>
    </row>
    <row r="557" spans="1:23" x14ac:dyDescent="0.3">
      <c r="A557" s="19">
        <v>31</v>
      </c>
      <c r="B557" s="20" t="s">
        <v>81</v>
      </c>
      <c r="C557" s="21">
        <v>46236</v>
      </c>
      <c r="D557" s="20" t="s">
        <v>75</v>
      </c>
      <c r="E557" s="20" t="s">
        <v>76</v>
      </c>
      <c r="F557" s="20" t="s">
        <v>77</v>
      </c>
      <c r="G557" s="20" t="s">
        <v>78</v>
      </c>
      <c r="H557" s="19" t="s">
        <v>70</v>
      </c>
      <c r="I557" s="32">
        <v>944</v>
      </c>
      <c r="J557" s="32">
        <v>1380</v>
      </c>
      <c r="K557" s="32">
        <v>1785</v>
      </c>
      <c r="L557" s="32">
        <v>2532</v>
      </c>
      <c r="M557" s="33">
        <f t="shared" si="24"/>
        <v>6641</v>
      </c>
      <c r="N557" s="32">
        <v>868</v>
      </c>
      <c r="O557" s="32">
        <v>1224</v>
      </c>
      <c r="P557" s="34">
        <v>1598</v>
      </c>
      <c r="Q557" s="32">
        <v>2323</v>
      </c>
      <c r="R557" s="33">
        <f t="shared" si="25"/>
        <v>6013</v>
      </c>
      <c r="S557">
        <v>374</v>
      </c>
      <c r="T557">
        <v>80</v>
      </c>
      <c r="U557">
        <v>74</v>
      </c>
      <c r="V557">
        <v>174</v>
      </c>
      <c r="W557">
        <v>702</v>
      </c>
    </row>
    <row r="558" spans="1:23" x14ac:dyDescent="0.3">
      <c r="A558" s="19">
        <v>31</v>
      </c>
      <c r="B558" s="20" t="s">
        <v>81</v>
      </c>
      <c r="C558" s="21">
        <v>46236</v>
      </c>
      <c r="D558" s="20" t="s">
        <v>79</v>
      </c>
      <c r="E558" s="20" t="s">
        <v>80</v>
      </c>
      <c r="F558" s="20" t="s">
        <v>77</v>
      </c>
      <c r="G558" s="20" t="s">
        <v>78</v>
      </c>
      <c r="H558" s="19" t="s">
        <v>74</v>
      </c>
      <c r="I558" s="32">
        <v>609</v>
      </c>
      <c r="J558" s="32">
        <v>710</v>
      </c>
      <c r="K558" s="32">
        <v>700</v>
      </c>
      <c r="L558" s="32">
        <v>650</v>
      </c>
      <c r="M558" s="33">
        <f t="shared" si="24"/>
        <v>2669</v>
      </c>
      <c r="N558" s="32">
        <v>559</v>
      </c>
      <c r="O558" s="32">
        <v>670</v>
      </c>
      <c r="P558" s="34">
        <v>680</v>
      </c>
      <c r="Q558" s="32">
        <v>540</v>
      </c>
      <c r="R558" s="33">
        <f t="shared" si="25"/>
        <v>2449</v>
      </c>
      <c r="S558">
        <v>160</v>
      </c>
      <c r="T558">
        <v>240</v>
      </c>
      <c r="U558">
        <v>240</v>
      </c>
      <c r="V558">
        <v>160</v>
      </c>
      <c r="W558">
        <v>800</v>
      </c>
    </row>
    <row r="559" spans="1:23" x14ac:dyDescent="0.3">
      <c r="A559" s="19">
        <v>31</v>
      </c>
      <c r="B559" s="20" t="s">
        <v>81</v>
      </c>
      <c r="C559" s="21">
        <v>46236</v>
      </c>
      <c r="D559" s="20" t="s">
        <v>79</v>
      </c>
      <c r="E559" s="20" t="s">
        <v>80</v>
      </c>
      <c r="F559" s="20" t="s">
        <v>77</v>
      </c>
      <c r="G559" s="20" t="s">
        <v>78</v>
      </c>
      <c r="H559" s="19" t="s">
        <v>74</v>
      </c>
      <c r="I559" s="32">
        <v>609</v>
      </c>
      <c r="J559" s="32">
        <v>710</v>
      </c>
      <c r="K559" s="32">
        <v>700</v>
      </c>
      <c r="L559" s="32">
        <v>650</v>
      </c>
      <c r="M559" s="33">
        <f t="shared" si="24"/>
        <v>2669</v>
      </c>
      <c r="N559" s="32">
        <v>559</v>
      </c>
      <c r="O559" s="32">
        <v>670</v>
      </c>
      <c r="P559" s="34">
        <v>680</v>
      </c>
      <c r="Q559" s="32">
        <v>540</v>
      </c>
      <c r="R559" s="33">
        <f t="shared" si="25"/>
        <v>2449</v>
      </c>
      <c r="S559">
        <v>160</v>
      </c>
      <c r="T559">
        <v>240</v>
      </c>
      <c r="U559">
        <v>240</v>
      </c>
      <c r="V559">
        <v>160</v>
      </c>
      <c r="W559">
        <v>800</v>
      </c>
    </row>
    <row r="560" spans="1:23" x14ac:dyDescent="0.3">
      <c r="A560" s="19">
        <v>31</v>
      </c>
      <c r="B560" s="20" t="s">
        <v>81</v>
      </c>
      <c r="C560" s="21">
        <v>46236</v>
      </c>
      <c r="D560" s="20" t="s">
        <v>79</v>
      </c>
      <c r="E560" s="20" t="s">
        <v>80</v>
      </c>
      <c r="F560" s="20" t="s">
        <v>77</v>
      </c>
      <c r="G560" s="20" t="s">
        <v>78</v>
      </c>
      <c r="H560" s="19" t="s">
        <v>74</v>
      </c>
      <c r="I560" s="32">
        <v>609</v>
      </c>
      <c r="J560" s="32">
        <v>710</v>
      </c>
      <c r="K560" s="32">
        <v>700</v>
      </c>
      <c r="L560" s="32">
        <v>650</v>
      </c>
      <c r="M560" s="33">
        <f t="shared" si="24"/>
        <v>2669</v>
      </c>
      <c r="N560" s="32">
        <v>559</v>
      </c>
      <c r="O560" s="32">
        <v>670</v>
      </c>
      <c r="P560" s="34">
        <v>680</v>
      </c>
      <c r="Q560" s="32">
        <v>540</v>
      </c>
      <c r="R560" s="33">
        <f t="shared" si="25"/>
        <v>2449</v>
      </c>
      <c r="S560">
        <v>160</v>
      </c>
      <c r="T560">
        <v>240</v>
      </c>
      <c r="U560">
        <v>240</v>
      </c>
      <c r="V560">
        <v>160</v>
      </c>
      <c r="W560">
        <v>800</v>
      </c>
    </row>
    <row r="561" spans="1:23" x14ac:dyDescent="0.3">
      <c r="A561" s="19">
        <v>31</v>
      </c>
      <c r="B561" s="20" t="s">
        <v>81</v>
      </c>
      <c r="C561" s="21">
        <v>46236</v>
      </c>
      <c r="D561" s="20" t="s">
        <v>75</v>
      </c>
      <c r="E561" s="20" t="s">
        <v>76</v>
      </c>
      <c r="F561" s="20" t="s">
        <v>77</v>
      </c>
      <c r="G561" s="20" t="s">
        <v>78</v>
      </c>
      <c r="H561" s="19" t="s">
        <v>73</v>
      </c>
      <c r="I561" s="32">
        <v>416</v>
      </c>
      <c r="J561" s="32">
        <v>537</v>
      </c>
      <c r="K561" s="32">
        <v>424</v>
      </c>
      <c r="L561" s="32">
        <v>986</v>
      </c>
      <c r="M561" s="33">
        <f t="shared" si="24"/>
        <v>2363</v>
      </c>
      <c r="N561" s="32">
        <v>376</v>
      </c>
      <c r="O561" s="32">
        <v>487</v>
      </c>
      <c r="P561" s="34">
        <v>396</v>
      </c>
      <c r="Q561" s="32">
        <v>892</v>
      </c>
      <c r="R561" s="33">
        <f t="shared" si="25"/>
        <v>2151</v>
      </c>
      <c r="S561">
        <v>80</v>
      </c>
      <c r="T561">
        <v>100</v>
      </c>
      <c r="U561">
        <v>56</v>
      </c>
      <c r="V561">
        <v>188</v>
      </c>
      <c r="W561">
        <v>424</v>
      </c>
    </row>
    <row r="562" spans="1:23" x14ac:dyDescent="0.3">
      <c r="A562" s="19">
        <v>31</v>
      </c>
      <c r="B562" s="20" t="s">
        <v>81</v>
      </c>
      <c r="C562" s="21">
        <v>46236</v>
      </c>
      <c r="D562" s="20" t="s">
        <v>75</v>
      </c>
      <c r="E562" s="20" t="s">
        <v>76</v>
      </c>
      <c r="F562" s="20" t="s">
        <v>77</v>
      </c>
      <c r="G562" s="20" t="s">
        <v>78</v>
      </c>
      <c r="H562" s="19" t="s">
        <v>73</v>
      </c>
      <c r="I562" s="32">
        <v>416</v>
      </c>
      <c r="J562" s="32">
        <v>537</v>
      </c>
      <c r="K562" s="32">
        <v>424</v>
      </c>
      <c r="L562" s="32">
        <v>986</v>
      </c>
      <c r="M562" s="33">
        <f t="shared" si="24"/>
        <v>2363</v>
      </c>
      <c r="N562" s="32">
        <v>376</v>
      </c>
      <c r="O562" s="32">
        <v>487</v>
      </c>
      <c r="P562" s="34">
        <v>396</v>
      </c>
      <c r="Q562" s="32">
        <v>892</v>
      </c>
      <c r="R562" s="33">
        <f t="shared" si="25"/>
        <v>2151</v>
      </c>
      <c r="S562">
        <v>80</v>
      </c>
      <c r="T562">
        <v>100</v>
      </c>
      <c r="U562">
        <v>56</v>
      </c>
      <c r="V562">
        <v>188</v>
      </c>
      <c r="W562">
        <v>424</v>
      </c>
    </row>
    <row r="563" spans="1:23" x14ac:dyDescent="0.3">
      <c r="A563" s="19">
        <v>31</v>
      </c>
      <c r="B563" s="20" t="s">
        <v>81</v>
      </c>
      <c r="C563" s="21">
        <v>46236</v>
      </c>
      <c r="D563" s="20" t="s">
        <v>75</v>
      </c>
      <c r="E563" s="20" t="s">
        <v>76</v>
      </c>
      <c r="F563" s="20" t="s">
        <v>77</v>
      </c>
      <c r="G563" s="20" t="s">
        <v>78</v>
      </c>
      <c r="H563" s="19" t="s">
        <v>72</v>
      </c>
      <c r="I563" s="32">
        <v>662</v>
      </c>
      <c r="J563" s="32">
        <v>864</v>
      </c>
      <c r="K563" s="32">
        <v>944</v>
      </c>
      <c r="L563" s="32">
        <v>1876</v>
      </c>
      <c r="M563" s="33">
        <f t="shared" si="24"/>
        <v>4346</v>
      </c>
      <c r="N563" s="32">
        <v>580</v>
      </c>
      <c r="O563" s="32">
        <v>744</v>
      </c>
      <c r="P563" s="34">
        <v>836</v>
      </c>
      <c r="Q563" s="32">
        <v>1676</v>
      </c>
      <c r="R563" s="33">
        <f t="shared" si="25"/>
        <v>3836</v>
      </c>
      <c r="S563">
        <v>164</v>
      </c>
      <c r="T563">
        <v>84</v>
      </c>
      <c r="U563">
        <v>80</v>
      </c>
      <c r="V563">
        <v>168</v>
      </c>
      <c r="W563">
        <v>496</v>
      </c>
    </row>
    <row r="564" spans="1:23" x14ac:dyDescent="0.3">
      <c r="A564" s="19">
        <v>31</v>
      </c>
      <c r="B564" s="20" t="s">
        <v>81</v>
      </c>
      <c r="C564" s="21">
        <v>46236</v>
      </c>
      <c r="D564" s="20" t="s">
        <v>75</v>
      </c>
      <c r="E564" s="20" t="s">
        <v>76</v>
      </c>
      <c r="F564" s="20" t="s">
        <v>77</v>
      </c>
      <c r="G564" s="20" t="s">
        <v>78</v>
      </c>
      <c r="H564" s="19" t="s">
        <v>72</v>
      </c>
      <c r="I564" s="32">
        <v>662</v>
      </c>
      <c r="J564" s="32">
        <v>864</v>
      </c>
      <c r="K564" s="32">
        <v>944</v>
      </c>
      <c r="L564" s="32">
        <v>1876</v>
      </c>
      <c r="M564" s="33">
        <f t="shared" si="24"/>
        <v>4346</v>
      </c>
      <c r="N564" s="32">
        <v>580</v>
      </c>
      <c r="O564" s="32">
        <v>744</v>
      </c>
      <c r="P564" s="34">
        <v>836</v>
      </c>
      <c r="Q564" s="32">
        <v>1676</v>
      </c>
      <c r="R564" s="33">
        <f t="shared" si="25"/>
        <v>3836</v>
      </c>
      <c r="S564">
        <v>164</v>
      </c>
      <c r="T564">
        <v>84</v>
      </c>
      <c r="U564">
        <v>80</v>
      </c>
      <c r="V564">
        <v>168</v>
      </c>
      <c r="W564">
        <v>496</v>
      </c>
    </row>
    <row r="565" spans="1:23" x14ac:dyDescent="0.3">
      <c r="A565" s="19">
        <v>31</v>
      </c>
      <c r="B565" s="20" t="s">
        <v>81</v>
      </c>
      <c r="C565" s="21">
        <v>46237</v>
      </c>
      <c r="D565" s="20" t="s">
        <v>75</v>
      </c>
      <c r="E565" s="20" t="s">
        <v>76</v>
      </c>
      <c r="F565" s="20" t="s">
        <v>77</v>
      </c>
      <c r="G565" s="20" t="s">
        <v>78</v>
      </c>
      <c r="H565" s="19" t="s">
        <v>71</v>
      </c>
      <c r="I565" s="32">
        <v>468</v>
      </c>
      <c r="J565" s="32">
        <v>442</v>
      </c>
      <c r="K565" s="32">
        <v>553</v>
      </c>
      <c r="L565" s="32">
        <v>726</v>
      </c>
      <c r="M565" s="33">
        <f t="shared" si="24"/>
        <v>2189</v>
      </c>
      <c r="N565" s="32">
        <v>448</v>
      </c>
      <c r="O565" s="32">
        <v>376</v>
      </c>
      <c r="P565" s="34">
        <v>498</v>
      </c>
      <c r="Q565" s="32">
        <v>640</v>
      </c>
      <c r="R565" s="33">
        <f t="shared" si="25"/>
        <v>1962</v>
      </c>
    </row>
    <row r="566" spans="1:23" x14ac:dyDescent="0.3">
      <c r="A566" s="19">
        <v>31</v>
      </c>
      <c r="B566" s="20" t="s">
        <v>81</v>
      </c>
      <c r="C566" s="21">
        <v>46237</v>
      </c>
      <c r="D566" s="20" t="s">
        <v>75</v>
      </c>
      <c r="E566" s="20" t="s">
        <v>76</v>
      </c>
      <c r="F566" s="20" t="s">
        <v>77</v>
      </c>
      <c r="G566" s="20" t="s">
        <v>78</v>
      </c>
      <c r="H566" s="19" t="s">
        <v>71</v>
      </c>
      <c r="I566" s="32">
        <v>468</v>
      </c>
      <c r="J566" s="32">
        <v>442</v>
      </c>
      <c r="K566" s="32">
        <v>553</v>
      </c>
      <c r="L566" s="32">
        <v>726</v>
      </c>
      <c r="M566" s="33">
        <f t="shared" si="24"/>
        <v>2189</v>
      </c>
      <c r="N566" s="32">
        <v>448</v>
      </c>
      <c r="O566" s="32">
        <v>376</v>
      </c>
      <c r="P566" s="34">
        <v>498</v>
      </c>
      <c r="Q566" s="32">
        <v>640</v>
      </c>
      <c r="R566" s="33">
        <f t="shared" si="25"/>
        <v>1962</v>
      </c>
    </row>
    <row r="567" spans="1:23" x14ac:dyDescent="0.3">
      <c r="A567" s="19">
        <v>31</v>
      </c>
      <c r="B567" s="20" t="s">
        <v>81</v>
      </c>
      <c r="C567" s="21">
        <v>46236</v>
      </c>
      <c r="D567" s="20" t="s">
        <v>75</v>
      </c>
      <c r="E567" s="20" t="s">
        <v>76</v>
      </c>
      <c r="F567" s="20" t="s">
        <v>77</v>
      </c>
      <c r="G567" s="20" t="s">
        <v>78</v>
      </c>
      <c r="H567" s="19" t="s">
        <v>71</v>
      </c>
      <c r="I567" s="32">
        <v>468</v>
      </c>
      <c r="J567" s="32">
        <v>442</v>
      </c>
      <c r="K567" s="32">
        <v>553</v>
      </c>
      <c r="L567" s="32">
        <v>726</v>
      </c>
      <c r="M567" s="33">
        <f t="shared" si="24"/>
        <v>2189</v>
      </c>
      <c r="N567" s="32">
        <v>448</v>
      </c>
      <c r="O567" s="32">
        <v>376</v>
      </c>
      <c r="P567" s="34">
        <v>498</v>
      </c>
      <c r="Q567" s="32">
        <v>640</v>
      </c>
      <c r="R567" s="33">
        <f t="shared" si="25"/>
        <v>1962</v>
      </c>
      <c r="S567">
        <v>40</v>
      </c>
      <c r="T567">
        <v>132</v>
      </c>
      <c r="U567">
        <v>110</v>
      </c>
      <c r="V567">
        <v>172</v>
      </c>
      <c r="W567">
        <v>454</v>
      </c>
    </row>
    <row r="568" spans="1:23" x14ac:dyDescent="0.3">
      <c r="A568" s="19">
        <v>31</v>
      </c>
      <c r="B568" s="20" t="s">
        <v>81</v>
      </c>
      <c r="C568" s="21">
        <v>46236</v>
      </c>
      <c r="D568" s="20" t="s">
        <v>75</v>
      </c>
      <c r="E568" s="20" t="s">
        <v>76</v>
      </c>
      <c r="F568" s="20" t="s">
        <v>77</v>
      </c>
      <c r="G568" s="20" t="s">
        <v>78</v>
      </c>
      <c r="H568" s="19" t="s">
        <v>71</v>
      </c>
      <c r="I568" s="32">
        <v>468</v>
      </c>
      <c r="J568" s="32">
        <v>442</v>
      </c>
      <c r="K568" s="32">
        <v>553</v>
      </c>
      <c r="L568" s="32">
        <v>726</v>
      </c>
      <c r="M568" s="33">
        <f t="shared" si="24"/>
        <v>2189</v>
      </c>
      <c r="N568" s="32">
        <v>448</v>
      </c>
      <c r="O568" s="32">
        <v>376</v>
      </c>
      <c r="P568" s="34">
        <v>498</v>
      </c>
      <c r="Q568" s="32">
        <v>640</v>
      </c>
      <c r="R568" s="33">
        <f t="shared" si="25"/>
        <v>1962</v>
      </c>
      <c r="S568">
        <v>40</v>
      </c>
      <c r="T568">
        <v>132</v>
      </c>
      <c r="U568">
        <v>110</v>
      </c>
      <c r="V568">
        <v>172</v>
      </c>
      <c r="W568">
        <v>454</v>
      </c>
    </row>
    <row r="569" spans="1:23" x14ac:dyDescent="0.3">
      <c r="A569" s="19">
        <v>31</v>
      </c>
      <c r="B569" s="20" t="s">
        <v>81</v>
      </c>
      <c r="C569" s="21">
        <v>46235</v>
      </c>
      <c r="D569" s="20" t="s">
        <v>45</v>
      </c>
      <c r="E569" s="20" t="s">
        <v>51</v>
      </c>
      <c r="F569" s="20" t="s">
        <v>47</v>
      </c>
      <c r="G569" s="20" t="s">
        <v>42</v>
      </c>
      <c r="H569" s="19" t="s">
        <v>53</v>
      </c>
      <c r="I569" s="32">
        <v>0</v>
      </c>
      <c r="J569" s="32">
        <v>681</v>
      </c>
      <c r="K569" s="32">
        <v>553</v>
      </c>
      <c r="L569" s="32">
        <v>1475</v>
      </c>
      <c r="M569" s="33">
        <f t="shared" si="24"/>
        <v>2709</v>
      </c>
      <c r="N569" s="32">
        <v>0</v>
      </c>
      <c r="O569" s="32">
        <v>549</v>
      </c>
      <c r="P569" s="34">
        <v>400</v>
      </c>
      <c r="Q569" s="32">
        <v>1267</v>
      </c>
      <c r="R569" s="33">
        <f t="shared" si="25"/>
        <v>2216</v>
      </c>
      <c r="S569">
        <v>0</v>
      </c>
      <c r="T569">
        <v>264</v>
      </c>
      <c r="U569">
        <v>306</v>
      </c>
      <c r="V569">
        <v>416</v>
      </c>
      <c r="W569">
        <v>986</v>
      </c>
    </row>
    <row r="570" spans="1:23" x14ac:dyDescent="0.3">
      <c r="A570" s="19">
        <v>31</v>
      </c>
      <c r="B570" s="20" t="s">
        <v>81</v>
      </c>
      <c r="C570" s="21">
        <v>46235</v>
      </c>
      <c r="D570" s="20" t="s">
        <v>45</v>
      </c>
      <c r="E570" s="20" t="s">
        <v>51</v>
      </c>
      <c r="F570" s="20" t="s">
        <v>47</v>
      </c>
      <c r="G570" s="20" t="s">
        <v>42</v>
      </c>
      <c r="H570" s="19" t="s">
        <v>53</v>
      </c>
      <c r="I570" s="32">
        <v>0</v>
      </c>
      <c r="J570" s="32">
        <v>681</v>
      </c>
      <c r="K570" s="32">
        <v>553</v>
      </c>
      <c r="L570" s="32">
        <v>1475</v>
      </c>
      <c r="M570" s="33">
        <f t="shared" si="24"/>
        <v>2709</v>
      </c>
      <c r="N570" s="32">
        <v>0</v>
      </c>
      <c r="O570" s="32">
        <v>549</v>
      </c>
      <c r="P570" s="34">
        <v>400</v>
      </c>
      <c r="Q570" s="32">
        <v>1267</v>
      </c>
      <c r="R570" s="33">
        <f t="shared" si="25"/>
        <v>2216</v>
      </c>
      <c r="S570">
        <v>0</v>
      </c>
      <c r="T570">
        <v>264</v>
      </c>
      <c r="U570">
        <v>306</v>
      </c>
      <c r="V570">
        <v>416</v>
      </c>
      <c r="W570">
        <v>986</v>
      </c>
    </row>
    <row r="571" spans="1:23" x14ac:dyDescent="0.3">
      <c r="A571" s="19">
        <v>31</v>
      </c>
      <c r="B571" s="20" t="s">
        <v>81</v>
      </c>
      <c r="C571" s="21">
        <v>46235</v>
      </c>
      <c r="D571" s="20" t="s">
        <v>45</v>
      </c>
      <c r="E571" s="20" t="s">
        <v>64</v>
      </c>
      <c r="F571" s="20" t="s">
        <v>47</v>
      </c>
      <c r="G571" s="20" t="s">
        <v>42</v>
      </c>
      <c r="H571" s="19" t="s">
        <v>69</v>
      </c>
      <c r="I571" s="32">
        <v>510</v>
      </c>
      <c r="J571" s="32">
        <v>1130</v>
      </c>
      <c r="K571" s="32">
        <v>1548</v>
      </c>
      <c r="L571" s="32">
        <v>418</v>
      </c>
      <c r="M571" s="33">
        <f t="shared" si="24"/>
        <v>3606</v>
      </c>
      <c r="N571" s="32">
        <v>470</v>
      </c>
      <c r="O571" s="32">
        <v>892</v>
      </c>
      <c r="P571" s="34">
        <v>1478</v>
      </c>
      <c r="Q571" s="32">
        <v>194</v>
      </c>
      <c r="R571" s="33">
        <f t="shared" si="25"/>
        <v>3034</v>
      </c>
      <c r="S571">
        <v>80</v>
      </c>
      <c r="T571">
        <v>476</v>
      </c>
      <c r="U571">
        <v>140</v>
      </c>
      <c r="V571">
        <v>448</v>
      </c>
      <c r="W571">
        <v>1144</v>
      </c>
    </row>
    <row r="572" spans="1:23" x14ac:dyDescent="0.3">
      <c r="A572" s="19">
        <v>31</v>
      </c>
      <c r="B572" s="20" t="s">
        <v>81</v>
      </c>
      <c r="C572" s="21">
        <v>46235</v>
      </c>
      <c r="D572" s="20" t="s">
        <v>45</v>
      </c>
      <c r="E572" s="20" t="s">
        <v>64</v>
      </c>
      <c r="F572" s="20" t="s">
        <v>47</v>
      </c>
      <c r="G572" s="20" t="s">
        <v>42</v>
      </c>
      <c r="H572" s="19" t="s">
        <v>69</v>
      </c>
      <c r="I572" s="32">
        <v>510</v>
      </c>
      <c r="J572" s="32">
        <v>1130</v>
      </c>
      <c r="K572" s="32">
        <v>1548</v>
      </c>
      <c r="L572" s="32">
        <v>418</v>
      </c>
      <c r="M572" s="33">
        <f t="shared" si="24"/>
        <v>3606</v>
      </c>
      <c r="N572" s="32">
        <v>470</v>
      </c>
      <c r="O572" s="32">
        <v>892</v>
      </c>
      <c r="P572" s="34">
        <v>1478</v>
      </c>
      <c r="Q572" s="32">
        <v>194</v>
      </c>
      <c r="R572" s="33">
        <f t="shared" si="25"/>
        <v>3034</v>
      </c>
      <c r="S572">
        <v>80</v>
      </c>
      <c r="T572">
        <v>476</v>
      </c>
      <c r="U572">
        <v>140</v>
      </c>
      <c r="V572">
        <v>448</v>
      </c>
      <c r="W572">
        <v>1144</v>
      </c>
    </row>
    <row r="573" spans="1:23" x14ac:dyDescent="0.3">
      <c r="A573" s="19">
        <v>31</v>
      </c>
      <c r="B573" s="20" t="s">
        <v>81</v>
      </c>
      <c r="C573" s="21">
        <v>46235</v>
      </c>
      <c r="D573" s="20" t="s">
        <v>45</v>
      </c>
      <c r="E573" s="20" t="s">
        <v>49</v>
      </c>
      <c r="F573" s="20" t="s">
        <v>47</v>
      </c>
      <c r="G573" s="20" t="s">
        <v>42</v>
      </c>
      <c r="H573" s="19" t="s">
        <v>66</v>
      </c>
      <c r="I573" s="32">
        <v>547</v>
      </c>
      <c r="J573" s="32">
        <v>812</v>
      </c>
      <c r="K573" s="32">
        <v>715</v>
      </c>
      <c r="L573" s="32">
        <v>672</v>
      </c>
      <c r="M573" s="33">
        <f t="shared" si="24"/>
        <v>2746</v>
      </c>
      <c r="N573" s="32">
        <v>472</v>
      </c>
      <c r="O573" s="32">
        <v>707</v>
      </c>
      <c r="P573" s="34">
        <v>610</v>
      </c>
      <c r="Q573" s="32">
        <v>462</v>
      </c>
      <c r="R573" s="33">
        <f t="shared" si="25"/>
        <v>2251</v>
      </c>
      <c r="S573">
        <v>150</v>
      </c>
      <c r="T573">
        <v>210</v>
      </c>
      <c r="U573">
        <v>210</v>
      </c>
      <c r="V573">
        <v>420</v>
      </c>
      <c r="W573">
        <v>990</v>
      </c>
    </row>
    <row r="574" spans="1:23" x14ac:dyDescent="0.3">
      <c r="A574" s="19">
        <v>31</v>
      </c>
      <c r="B574" s="20" t="s">
        <v>81</v>
      </c>
      <c r="C574" s="21">
        <v>46235</v>
      </c>
      <c r="D574" s="20" t="s">
        <v>45</v>
      </c>
      <c r="E574" s="20" t="s">
        <v>49</v>
      </c>
      <c r="F574" s="20" t="s">
        <v>47</v>
      </c>
      <c r="G574" s="20" t="s">
        <v>42</v>
      </c>
      <c r="H574" s="19" t="s">
        <v>66</v>
      </c>
      <c r="I574" s="32">
        <v>547</v>
      </c>
      <c r="J574" s="32">
        <v>812</v>
      </c>
      <c r="K574" s="32">
        <v>715</v>
      </c>
      <c r="L574" s="32">
        <v>672</v>
      </c>
      <c r="M574" s="33">
        <f t="shared" si="24"/>
        <v>2746</v>
      </c>
      <c r="N574" s="32">
        <v>472</v>
      </c>
      <c r="O574" s="32">
        <v>707</v>
      </c>
      <c r="P574" s="34">
        <v>610</v>
      </c>
      <c r="Q574" s="32">
        <v>462</v>
      </c>
      <c r="R574" s="33">
        <f t="shared" si="25"/>
        <v>2251</v>
      </c>
      <c r="S574">
        <v>150</v>
      </c>
      <c r="T574">
        <v>210</v>
      </c>
      <c r="U574">
        <v>210</v>
      </c>
      <c r="V574">
        <v>420</v>
      </c>
      <c r="W574">
        <v>990</v>
      </c>
    </row>
    <row r="575" spans="1:23" x14ac:dyDescent="0.3">
      <c r="A575" s="19">
        <v>31</v>
      </c>
      <c r="B575" s="20" t="s">
        <v>81</v>
      </c>
      <c r="C575" s="21">
        <v>46235</v>
      </c>
      <c r="D575" s="20" t="s">
        <v>45</v>
      </c>
      <c r="E575" s="20" t="s">
        <v>49</v>
      </c>
      <c r="F575" s="20" t="s">
        <v>47</v>
      </c>
      <c r="G575" s="20" t="s">
        <v>42</v>
      </c>
      <c r="H575" s="19" t="s">
        <v>50</v>
      </c>
      <c r="I575" s="32">
        <v>532</v>
      </c>
      <c r="J575" s="32">
        <v>1164</v>
      </c>
      <c r="K575" s="32">
        <v>1398</v>
      </c>
      <c r="L575" s="32">
        <v>2668</v>
      </c>
      <c r="M575" s="33">
        <f t="shared" si="24"/>
        <v>5762</v>
      </c>
      <c r="N575" s="32">
        <v>458</v>
      </c>
      <c r="O575" s="32">
        <v>990</v>
      </c>
      <c r="P575" s="34">
        <v>1217</v>
      </c>
      <c r="Q575" s="32">
        <v>2394</v>
      </c>
      <c r="R575" s="33">
        <f t="shared" si="25"/>
        <v>5059</v>
      </c>
      <c r="S575">
        <v>148</v>
      </c>
      <c r="T575">
        <v>348</v>
      </c>
      <c r="U575">
        <v>362</v>
      </c>
      <c r="V575">
        <v>584</v>
      </c>
      <c r="W575">
        <v>1442</v>
      </c>
    </row>
    <row r="576" spans="1:23" x14ac:dyDescent="0.3">
      <c r="A576" s="19">
        <v>31</v>
      </c>
      <c r="B576" s="20" t="s">
        <v>81</v>
      </c>
      <c r="C576" s="21">
        <v>46235</v>
      </c>
      <c r="D576" s="20" t="s">
        <v>45</v>
      </c>
      <c r="E576" s="20" t="s">
        <v>49</v>
      </c>
      <c r="F576" s="20" t="s">
        <v>47</v>
      </c>
      <c r="G576" s="20" t="s">
        <v>42</v>
      </c>
      <c r="H576" s="19" t="s">
        <v>50</v>
      </c>
      <c r="I576" s="32">
        <v>532</v>
      </c>
      <c r="J576" s="32">
        <v>1164</v>
      </c>
      <c r="K576" s="32">
        <v>1398</v>
      </c>
      <c r="L576" s="32">
        <v>2668</v>
      </c>
      <c r="M576" s="33">
        <f t="shared" si="24"/>
        <v>5762</v>
      </c>
      <c r="N576" s="32">
        <v>458</v>
      </c>
      <c r="O576" s="32">
        <v>990</v>
      </c>
      <c r="P576" s="34">
        <v>1217</v>
      </c>
      <c r="Q576" s="32">
        <v>2394</v>
      </c>
      <c r="R576" s="33">
        <f t="shared" si="25"/>
        <v>5059</v>
      </c>
      <c r="S576">
        <v>148</v>
      </c>
      <c r="T576">
        <v>348</v>
      </c>
      <c r="U576">
        <v>362</v>
      </c>
      <c r="V576">
        <v>584</v>
      </c>
      <c r="W576">
        <v>1442</v>
      </c>
    </row>
    <row r="577" spans="1:23" x14ac:dyDescent="0.3">
      <c r="A577" s="19">
        <v>31</v>
      </c>
      <c r="B577" s="20" t="s">
        <v>81</v>
      </c>
      <c r="C577" s="21">
        <v>46236</v>
      </c>
      <c r="D577" s="20" t="s">
        <v>45</v>
      </c>
      <c r="E577" s="20" t="s">
        <v>49</v>
      </c>
      <c r="F577" s="20" t="s">
        <v>47</v>
      </c>
      <c r="G577" s="20" t="s">
        <v>42</v>
      </c>
      <c r="H577" s="19" t="s">
        <v>50</v>
      </c>
      <c r="I577" s="32">
        <v>458</v>
      </c>
      <c r="J577" s="32">
        <v>990</v>
      </c>
      <c r="K577" s="32">
        <v>1217</v>
      </c>
      <c r="L577" s="32">
        <v>2394</v>
      </c>
      <c r="M577" s="33">
        <f t="shared" si="24"/>
        <v>5059</v>
      </c>
      <c r="N577" s="32">
        <v>368</v>
      </c>
      <c r="O577" s="32">
        <v>715</v>
      </c>
      <c r="P577" s="34">
        <v>1123</v>
      </c>
      <c r="Q577" s="32">
        <v>2011</v>
      </c>
      <c r="R577" s="33">
        <f t="shared" si="25"/>
        <v>4217</v>
      </c>
      <c r="S577">
        <v>180</v>
      </c>
      <c r="T577">
        <v>348</v>
      </c>
      <c r="U577">
        <v>188</v>
      </c>
      <c r="V577">
        <v>766</v>
      </c>
      <c r="W577">
        <v>1482</v>
      </c>
    </row>
    <row r="578" spans="1:23" x14ac:dyDescent="0.3">
      <c r="A578" s="19">
        <v>31</v>
      </c>
      <c r="B578" s="20" t="s">
        <v>81</v>
      </c>
      <c r="C578" s="21">
        <v>46236</v>
      </c>
      <c r="D578" s="20" t="s">
        <v>45</v>
      </c>
      <c r="E578" s="20" t="s">
        <v>49</v>
      </c>
      <c r="F578" s="20" t="s">
        <v>47</v>
      </c>
      <c r="G578" s="20" t="s">
        <v>42</v>
      </c>
      <c r="H578" s="19" t="s">
        <v>50</v>
      </c>
      <c r="I578" s="32">
        <v>458</v>
      </c>
      <c r="J578" s="32">
        <v>990</v>
      </c>
      <c r="K578" s="32">
        <v>1217</v>
      </c>
      <c r="L578" s="32">
        <v>2394</v>
      </c>
      <c r="M578" s="33">
        <f t="shared" si="24"/>
        <v>5059</v>
      </c>
      <c r="N578" s="32">
        <v>368</v>
      </c>
      <c r="O578" s="32">
        <v>715</v>
      </c>
      <c r="P578" s="34">
        <v>1123</v>
      </c>
      <c r="Q578" s="32">
        <v>2011</v>
      </c>
      <c r="R578" s="33">
        <f t="shared" si="25"/>
        <v>4217</v>
      </c>
      <c r="S578">
        <v>180</v>
      </c>
      <c r="T578">
        <v>348</v>
      </c>
      <c r="U578">
        <v>188</v>
      </c>
      <c r="V578">
        <v>766</v>
      </c>
      <c r="W578">
        <v>1482</v>
      </c>
    </row>
    <row r="579" spans="1:23" x14ac:dyDescent="0.3">
      <c r="A579" s="19">
        <v>31</v>
      </c>
      <c r="B579" s="20" t="s">
        <v>81</v>
      </c>
      <c r="C579" s="21">
        <v>46236</v>
      </c>
      <c r="D579" s="20" t="s">
        <v>45</v>
      </c>
      <c r="E579" s="20" t="s">
        <v>51</v>
      </c>
      <c r="F579" s="20" t="s">
        <v>47</v>
      </c>
      <c r="G579" s="20" t="s">
        <v>42</v>
      </c>
      <c r="H579" s="19" t="s">
        <v>53</v>
      </c>
      <c r="I579" s="32">
        <v>0</v>
      </c>
      <c r="J579" s="32">
        <v>549</v>
      </c>
      <c r="K579" s="32">
        <v>400</v>
      </c>
      <c r="L579" s="32">
        <v>1267</v>
      </c>
      <c r="M579" s="33">
        <f t="shared" si="24"/>
        <v>2216</v>
      </c>
      <c r="N579" s="32">
        <v>0</v>
      </c>
      <c r="O579" s="32">
        <v>464</v>
      </c>
      <c r="P579" s="34">
        <v>290</v>
      </c>
      <c r="Q579" s="32">
        <v>1112</v>
      </c>
      <c r="R579" s="33">
        <f t="shared" si="25"/>
        <v>1866</v>
      </c>
      <c r="S579">
        <v>0</v>
      </c>
      <c r="T579">
        <v>170</v>
      </c>
      <c r="U579">
        <v>220</v>
      </c>
      <c r="V579">
        <v>310</v>
      </c>
      <c r="W579">
        <v>700</v>
      </c>
    </row>
    <row r="580" spans="1:23" x14ac:dyDescent="0.3">
      <c r="A580" s="19">
        <v>31</v>
      </c>
      <c r="B580" s="20" t="s">
        <v>81</v>
      </c>
      <c r="C580" s="21">
        <v>46236</v>
      </c>
      <c r="D580" s="20" t="s">
        <v>45</v>
      </c>
      <c r="E580" s="20" t="s">
        <v>51</v>
      </c>
      <c r="F580" s="20" t="s">
        <v>47</v>
      </c>
      <c r="G580" s="20" t="s">
        <v>42</v>
      </c>
      <c r="H580" s="19" t="s">
        <v>53</v>
      </c>
      <c r="I580" s="32">
        <v>0</v>
      </c>
      <c r="J580" s="32">
        <v>549</v>
      </c>
      <c r="K580" s="32">
        <v>400</v>
      </c>
      <c r="L580" s="32">
        <v>1267</v>
      </c>
      <c r="M580" s="33">
        <f t="shared" si="24"/>
        <v>2216</v>
      </c>
      <c r="N580" s="32">
        <v>0</v>
      </c>
      <c r="O580" s="32">
        <v>464</v>
      </c>
      <c r="P580" s="34">
        <v>290</v>
      </c>
      <c r="Q580" s="32">
        <v>1112</v>
      </c>
      <c r="R580" s="33">
        <f t="shared" si="25"/>
        <v>1866</v>
      </c>
      <c r="S580">
        <v>0</v>
      </c>
      <c r="T580">
        <v>170</v>
      </c>
      <c r="U580">
        <v>220</v>
      </c>
      <c r="V580">
        <v>310</v>
      </c>
      <c r="W580">
        <v>700</v>
      </c>
    </row>
    <row r="581" spans="1:23" x14ac:dyDescent="0.3">
      <c r="A581" s="19">
        <v>31</v>
      </c>
      <c r="B581" s="20" t="s">
        <v>81</v>
      </c>
      <c r="C581" s="21">
        <v>46236</v>
      </c>
      <c r="D581" s="20" t="s">
        <v>45</v>
      </c>
      <c r="E581" s="20" t="s">
        <v>51</v>
      </c>
      <c r="F581" s="20" t="s">
        <v>47</v>
      </c>
      <c r="G581" s="20" t="s">
        <v>42</v>
      </c>
      <c r="H581" s="19" t="s">
        <v>52</v>
      </c>
      <c r="I581" s="32">
        <v>0</v>
      </c>
      <c r="J581" s="32">
        <v>2751</v>
      </c>
      <c r="K581" s="32">
        <v>1260</v>
      </c>
      <c r="L581" s="32">
        <v>3622</v>
      </c>
      <c r="M581" s="33">
        <f t="shared" si="24"/>
        <v>7633</v>
      </c>
      <c r="N581" s="32">
        <v>0</v>
      </c>
      <c r="O581" s="32">
        <v>2552</v>
      </c>
      <c r="P581" s="34">
        <v>1142</v>
      </c>
      <c r="Q581" s="32">
        <v>3245</v>
      </c>
      <c r="R581" s="33">
        <f t="shared" si="25"/>
        <v>6939</v>
      </c>
      <c r="S581">
        <v>0</v>
      </c>
      <c r="T581">
        <v>398</v>
      </c>
      <c r="U581">
        <v>236</v>
      </c>
      <c r="V581">
        <v>754</v>
      </c>
      <c r="W581">
        <v>1388</v>
      </c>
    </row>
    <row r="582" spans="1:23" x14ac:dyDescent="0.3">
      <c r="A582" s="19">
        <v>31</v>
      </c>
      <c r="B582" s="20" t="s">
        <v>81</v>
      </c>
      <c r="C582" s="21">
        <v>46236</v>
      </c>
      <c r="D582" s="20" t="s">
        <v>45</v>
      </c>
      <c r="E582" s="20" t="s">
        <v>51</v>
      </c>
      <c r="F582" s="20" t="s">
        <v>47</v>
      </c>
      <c r="G582" s="20" t="s">
        <v>42</v>
      </c>
      <c r="H582" s="19" t="s">
        <v>52</v>
      </c>
      <c r="I582" s="32">
        <v>0</v>
      </c>
      <c r="J582" s="32">
        <v>2751</v>
      </c>
      <c r="K582" s="32">
        <v>1260</v>
      </c>
      <c r="L582" s="32">
        <v>3622</v>
      </c>
      <c r="M582" s="33">
        <f t="shared" si="24"/>
        <v>7633</v>
      </c>
      <c r="N582" s="32">
        <v>0</v>
      </c>
      <c r="O582" s="32">
        <v>2552</v>
      </c>
      <c r="P582" s="34">
        <v>1142</v>
      </c>
      <c r="Q582" s="32">
        <v>3245</v>
      </c>
      <c r="R582" s="33">
        <f t="shared" si="25"/>
        <v>6939</v>
      </c>
      <c r="S582">
        <v>0</v>
      </c>
      <c r="T582">
        <v>398</v>
      </c>
      <c r="U582">
        <v>236</v>
      </c>
      <c r="V582">
        <v>754</v>
      </c>
      <c r="W582">
        <v>1388</v>
      </c>
    </row>
    <row r="583" spans="1:23" x14ac:dyDescent="0.3">
      <c r="A583" s="19">
        <v>31</v>
      </c>
      <c r="B583" s="20" t="s">
        <v>81</v>
      </c>
      <c r="C583" s="21">
        <v>46236</v>
      </c>
      <c r="D583" s="20" t="s">
        <v>45</v>
      </c>
      <c r="E583" s="20" t="s">
        <v>64</v>
      </c>
      <c r="F583" s="20" t="s">
        <v>47</v>
      </c>
      <c r="G583" s="20" t="s">
        <v>42</v>
      </c>
      <c r="H583" s="19" t="s">
        <v>69</v>
      </c>
      <c r="I583" s="32">
        <v>470</v>
      </c>
      <c r="J583" s="32">
        <v>892</v>
      </c>
      <c r="K583" s="32">
        <v>1478</v>
      </c>
      <c r="L583" s="32">
        <v>194</v>
      </c>
      <c r="M583" s="33">
        <f t="shared" ref="M583:M646" si="26">SUM(I583:L583)</f>
        <v>3034</v>
      </c>
      <c r="N583" s="32">
        <v>412</v>
      </c>
      <c r="O583" s="32">
        <v>644</v>
      </c>
      <c r="P583" s="34">
        <v>1394</v>
      </c>
      <c r="Q583" s="32">
        <v>0</v>
      </c>
      <c r="R583" s="33">
        <f t="shared" ref="R583:R646" si="27">SUM(N583:Q583)</f>
        <v>2450</v>
      </c>
      <c r="S583">
        <v>116</v>
      </c>
      <c r="T583">
        <v>496</v>
      </c>
      <c r="U583">
        <v>168</v>
      </c>
      <c r="V583">
        <v>388</v>
      </c>
      <c r="W583">
        <v>1168</v>
      </c>
    </row>
    <row r="584" spans="1:23" x14ac:dyDescent="0.3">
      <c r="A584" s="19">
        <v>31</v>
      </c>
      <c r="B584" s="20" t="s">
        <v>81</v>
      </c>
      <c r="C584" s="21">
        <v>46236</v>
      </c>
      <c r="D584" s="20" t="s">
        <v>45</v>
      </c>
      <c r="E584" s="20" t="s">
        <v>64</v>
      </c>
      <c r="F584" s="20" t="s">
        <v>47</v>
      </c>
      <c r="G584" s="20" t="s">
        <v>42</v>
      </c>
      <c r="H584" s="19" t="s">
        <v>69</v>
      </c>
      <c r="I584" s="32">
        <v>470</v>
      </c>
      <c r="J584" s="32">
        <v>892</v>
      </c>
      <c r="K584" s="32">
        <v>1478</v>
      </c>
      <c r="L584" s="32">
        <v>194</v>
      </c>
      <c r="M584" s="33">
        <f t="shared" si="26"/>
        <v>3034</v>
      </c>
      <c r="N584" s="32">
        <v>412</v>
      </c>
      <c r="O584" s="32">
        <v>644</v>
      </c>
      <c r="P584" s="34">
        <v>1394</v>
      </c>
      <c r="Q584" s="32">
        <v>0</v>
      </c>
      <c r="R584" s="33">
        <f t="shared" si="27"/>
        <v>2450</v>
      </c>
      <c r="S584">
        <v>116</v>
      </c>
      <c r="T584">
        <v>496</v>
      </c>
      <c r="U584">
        <v>168</v>
      </c>
      <c r="V584">
        <v>388</v>
      </c>
      <c r="W584">
        <v>1168</v>
      </c>
    </row>
    <row r="585" spans="1:23" x14ac:dyDescent="0.3">
      <c r="A585" s="19">
        <v>31</v>
      </c>
      <c r="B585" s="20" t="s">
        <v>81</v>
      </c>
      <c r="C585" s="21">
        <v>46235</v>
      </c>
      <c r="D585" s="20" t="s">
        <v>45</v>
      </c>
      <c r="E585" s="20" t="s">
        <v>51</v>
      </c>
      <c r="F585" s="20" t="s">
        <v>47</v>
      </c>
      <c r="G585" s="20" t="s">
        <v>42</v>
      </c>
      <c r="H585" s="19" t="s">
        <v>52</v>
      </c>
      <c r="I585" s="32">
        <v>0</v>
      </c>
      <c r="J585" s="32">
        <v>2999</v>
      </c>
      <c r="K585" s="32">
        <v>1495</v>
      </c>
      <c r="L585" s="32">
        <v>3996</v>
      </c>
      <c r="M585" s="33">
        <f t="shared" si="26"/>
        <v>8490</v>
      </c>
      <c r="N585" s="32">
        <v>0</v>
      </c>
      <c r="O585" s="32">
        <v>2751</v>
      </c>
      <c r="P585" s="34">
        <v>1260</v>
      </c>
      <c r="Q585" s="32">
        <v>3622</v>
      </c>
      <c r="R585" s="33">
        <f t="shared" si="27"/>
        <v>7633</v>
      </c>
      <c r="S585">
        <v>0</v>
      </c>
      <c r="T585">
        <v>496</v>
      </c>
      <c r="U585">
        <v>470</v>
      </c>
      <c r="V585">
        <v>748</v>
      </c>
      <c r="W585">
        <v>1714</v>
      </c>
    </row>
    <row r="586" spans="1:23" x14ac:dyDescent="0.3">
      <c r="A586" s="19">
        <v>31</v>
      </c>
      <c r="B586" s="20" t="s">
        <v>81</v>
      </c>
      <c r="C586" s="21">
        <v>46235</v>
      </c>
      <c r="D586" s="20" t="s">
        <v>45</v>
      </c>
      <c r="E586" s="20" t="s">
        <v>51</v>
      </c>
      <c r="F586" s="20" t="s">
        <v>47</v>
      </c>
      <c r="G586" s="20" t="s">
        <v>42</v>
      </c>
      <c r="H586" s="19" t="s">
        <v>52</v>
      </c>
      <c r="I586" s="32">
        <v>0</v>
      </c>
      <c r="J586" s="32">
        <v>2999</v>
      </c>
      <c r="K586" s="32">
        <v>1495</v>
      </c>
      <c r="L586" s="32">
        <v>3996</v>
      </c>
      <c r="M586" s="33">
        <f t="shared" si="26"/>
        <v>8490</v>
      </c>
      <c r="N586" s="32">
        <v>0</v>
      </c>
      <c r="O586" s="32">
        <v>2751</v>
      </c>
      <c r="P586" s="34">
        <v>1260</v>
      </c>
      <c r="Q586" s="32">
        <v>3622</v>
      </c>
      <c r="R586" s="33">
        <f t="shared" si="27"/>
        <v>7633</v>
      </c>
      <c r="S586">
        <v>0</v>
      </c>
      <c r="T586">
        <v>496</v>
      </c>
      <c r="U586">
        <v>470</v>
      </c>
      <c r="V586">
        <v>748</v>
      </c>
      <c r="W586">
        <v>1714</v>
      </c>
    </row>
    <row r="587" spans="1:23" x14ac:dyDescent="0.3">
      <c r="A587" s="19">
        <v>31</v>
      </c>
      <c r="B587" s="20" t="s">
        <v>81</v>
      </c>
      <c r="C587" s="21">
        <v>46236</v>
      </c>
      <c r="D587" s="20" t="s">
        <v>45</v>
      </c>
      <c r="E587" s="20" t="s">
        <v>49</v>
      </c>
      <c r="F587" s="20" t="s">
        <v>47</v>
      </c>
      <c r="G587" s="20" t="s">
        <v>42</v>
      </c>
      <c r="H587" s="19" t="s">
        <v>66</v>
      </c>
      <c r="I587" s="32">
        <v>472</v>
      </c>
      <c r="J587" s="32">
        <v>707</v>
      </c>
      <c r="K587" s="32">
        <v>610</v>
      </c>
      <c r="L587" s="32">
        <v>462</v>
      </c>
      <c r="M587" s="33">
        <f t="shared" si="26"/>
        <v>2251</v>
      </c>
      <c r="N587" s="32">
        <v>352</v>
      </c>
      <c r="O587" s="32">
        <v>581</v>
      </c>
      <c r="P587" s="34">
        <v>528</v>
      </c>
      <c r="Q587" s="32">
        <v>208</v>
      </c>
      <c r="R587" s="33">
        <f t="shared" si="27"/>
        <v>1669</v>
      </c>
      <c r="S587">
        <v>240</v>
      </c>
      <c r="T587">
        <v>252</v>
      </c>
      <c r="U587">
        <v>164</v>
      </c>
      <c r="V587">
        <v>508</v>
      </c>
      <c r="W587">
        <v>1164</v>
      </c>
    </row>
    <row r="588" spans="1:23" x14ac:dyDescent="0.3">
      <c r="A588" s="19">
        <v>31</v>
      </c>
      <c r="B588" s="20" t="s">
        <v>81</v>
      </c>
      <c r="C588" s="21">
        <v>46236</v>
      </c>
      <c r="D588" s="20" t="s">
        <v>45</v>
      </c>
      <c r="E588" s="20" t="s">
        <v>49</v>
      </c>
      <c r="F588" s="20" t="s">
        <v>47</v>
      </c>
      <c r="G588" s="20" t="s">
        <v>42</v>
      </c>
      <c r="H588" s="19" t="s">
        <v>66</v>
      </c>
      <c r="I588" s="32">
        <v>472</v>
      </c>
      <c r="J588" s="32">
        <v>707</v>
      </c>
      <c r="K588" s="32">
        <v>610</v>
      </c>
      <c r="L588" s="32">
        <v>462</v>
      </c>
      <c r="M588" s="33">
        <f t="shared" si="26"/>
        <v>2251</v>
      </c>
      <c r="N588" s="32">
        <v>352</v>
      </c>
      <c r="O588" s="32">
        <v>581</v>
      </c>
      <c r="P588" s="34">
        <v>528</v>
      </c>
      <c r="Q588" s="32">
        <v>208</v>
      </c>
      <c r="R588" s="33">
        <f t="shared" si="27"/>
        <v>1669</v>
      </c>
      <c r="S588">
        <v>240</v>
      </c>
      <c r="T588">
        <v>252</v>
      </c>
      <c r="U588">
        <v>164</v>
      </c>
      <c r="V588">
        <v>508</v>
      </c>
      <c r="W588">
        <v>1164</v>
      </c>
    </row>
    <row r="589" spans="1:23" x14ac:dyDescent="0.3">
      <c r="A589" s="19">
        <v>31</v>
      </c>
      <c r="B589" s="20" t="s">
        <v>81</v>
      </c>
      <c r="C589" s="21">
        <v>46235</v>
      </c>
      <c r="D589" s="20" t="s">
        <v>59</v>
      </c>
      <c r="E589" s="20" t="s">
        <v>62</v>
      </c>
      <c r="F589" s="20" t="s">
        <v>61</v>
      </c>
      <c r="G589" s="20" t="s">
        <v>42</v>
      </c>
      <c r="H589" s="19" t="s">
        <v>38</v>
      </c>
      <c r="I589" s="32">
        <v>1040</v>
      </c>
      <c r="J589" s="32">
        <v>1400</v>
      </c>
      <c r="K589" s="32">
        <v>1120</v>
      </c>
      <c r="L589" s="32">
        <v>2720</v>
      </c>
      <c r="M589" s="33">
        <f t="shared" si="26"/>
        <v>6280</v>
      </c>
      <c r="N589" s="32">
        <v>952</v>
      </c>
      <c r="O589" s="32">
        <v>1279</v>
      </c>
      <c r="P589" s="34">
        <v>1010</v>
      </c>
      <c r="Q589" s="32">
        <v>2422</v>
      </c>
      <c r="R589" s="33">
        <f t="shared" si="27"/>
        <v>5663</v>
      </c>
      <c r="S589">
        <v>176</v>
      </c>
      <c r="T589">
        <v>242</v>
      </c>
      <c r="U589">
        <v>220</v>
      </c>
      <c r="V589">
        <v>596</v>
      </c>
      <c r="W589">
        <v>1234</v>
      </c>
    </row>
    <row r="590" spans="1:23" x14ac:dyDescent="0.3">
      <c r="A590" s="19">
        <v>31</v>
      </c>
      <c r="B590" s="20" t="s">
        <v>81</v>
      </c>
      <c r="C590" s="21">
        <v>46235</v>
      </c>
      <c r="D590" s="20" t="s">
        <v>59</v>
      </c>
      <c r="E590" s="20" t="s">
        <v>62</v>
      </c>
      <c r="F590" s="20" t="s">
        <v>61</v>
      </c>
      <c r="G590" s="20" t="s">
        <v>42</v>
      </c>
      <c r="H590" s="19" t="s">
        <v>38</v>
      </c>
      <c r="I590" s="32">
        <v>1040</v>
      </c>
      <c r="J590" s="32">
        <v>1400</v>
      </c>
      <c r="K590" s="32">
        <v>1120</v>
      </c>
      <c r="L590" s="32">
        <v>2720</v>
      </c>
      <c r="M590" s="33">
        <f t="shared" si="26"/>
        <v>6280</v>
      </c>
      <c r="N590" s="32">
        <v>952</v>
      </c>
      <c r="O590" s="32">
        <v>1279</v>
      </c>
      <c r="P590" s="34">
        <v>1010</v>
      </c>
      <c r="Q590" s="32">
        <v>2422</v>
      </c>
      <c r="R590" s="33">
        <f t="shared" si="27"/>
        <v>5663</v>
      </c>
      <c r="S590">
        <v>176</v>
      </c>
      <c r="T590">
        <v>242</v>
      </c>
      <c r="U590">
        <v>220</v>
      </c>
      <c r="V590">
        <v>596</v>
      </c>
      <c r="W590">
        <v>1234</v>
      </c>
    </row>
    <row r="591" spans="1:23" x14ac:dyDescent="0.3">
      <c r="A591" s="19">
        <v>31</v>
      </c>
      <c r="B591" s="20" t="s">
        <v>81</v>
      </c>
      <c r="C591" s="21">
        <v>46235</v>
      </c>
      <c r="D591" s="20" t="s">
        <v>59</v>
      </c>
      <c r="E591" s="20" t="s">
        <v>63</v>
      </c>
      <c r="F591" s="20" t="s">
        <v>61</v>
      </c>
      <c r="G591" s="20" t="s">
        <v>42</v>
      </c>
      <c r="H591" s="19" t="s">
        <v>36</v>
      </c>
      <c r="I591" s="32">
        <v>40</v>
      </c>
      <c r="J591" s="32">
        <v>2360</v>
      </c>
      <c r="K591" s="32">
        <v>880</v>
      </c>
      <c r="L591" s="32">
        <v>2640</v>
      </c>
      <c r="M591" s="33">
        <f t="shared" si="26"/>
        <v>5920</v>
      </c>
      <c r="N591" s="32">
        <v>20</v>
      </c>
      <c r="O591" s="32">
        <v>2080</v>
      </c>
      <c r="P591" s="34">
        <v>800</v>
      </c>
      <c r="Q591" s="32">
        <v>2300</v>
      </c>
      <c r="R591" s="33">
        <f t="shared" si="27"/>
        <v>5200</v>
      </c>
      <c r="S591">
        <v>40</v>
      </c>
      <c r="T591">
        <v>560</v>
      </c>
      <c r="U591">
        <v>160</v>
      </c>
      <c r="V591">
        <v>680</v>
      </c>
      <c r="W591">
        <v>1440</v>
      </c>
    </row>
    <row r="592" spans="1:23" x14ac:dyDescent="0.3">
      <c r="A592" s="19">
        <v>31</v>
      </c>
      <c r="B592" s="20" t="s">
        <v>81</v>
      </c>
      <c r="C592" s="21">
        <v>46235</v>
      </c>
      <c r="D592" s="20" t="s">
        <v>59</v>
      </c>
      <c r="E592" s="20" t="s">
        <v>63</v>
      </c>
      <c r="F592" s="20" t="s">
        <v>61</v>
      </c>
      <c r="G592" s="20" t="s">
        <v>42</v>
      </c>
      <c r="H592" s="19" t="s">
        <v>36</v>
      </c>
      <c r="I592" s="32">
        <v>40</v>
      </c>
      <c r="J592" s="32">
        <v>2360</v>
      </c>
      <c r="K592" s="32">
        <v>880</v>
      </c>
      <c r="L592" s="32">
        <v>2640</v>
      </c>
      <c r="M592" s="33">
        <f t="shared" si="26"/>
        <v>5920</v>
      </c>
      <c r="N592" s="32">
        <v>20</v>
      </c>
      <c r="O592" s="32">
        <v>2080</v>
      </c>
      <c r="P592" s="34">
        <v>800</v>
      </c>
      <c r="Q592" s="32">
        <v>2300</v>
      </c>
      <c r="R592" s="33">
        <f t="shared" si="27"/>
        <v>5200</v>
      </c>
      <c r="S592">
        <v>40</v>
      </c>
      <c r="T592">
        <v>560</v>
      </c>
      <c r="U592">
        <v>160</v>
      </c>
      <c r="V592">
        <v>680</v>
      </c>
      <c r="W592">
        <v>1440</v>
      </c>
    </row>
    <row r="593" spans="1:23" x14ac:dyDescent="0.3">
      <c r="A593" s="19">
        <v>31</v>
      </c>
      <c r="B593" s="20" t="s">
        <v>81</v>
      </c>
      <c r="C593" s="21">
        <v>46235</v>
      </c>
      <c r="D593" s="20" t="s">
        <v>59</v>
      </c>
      <c r="E593" s="20" t="s">
        <v>63</v>
      </c>
      <c r="F593" s="20" t="s">
        <v>61</v>
      </c>
      <c r="G593" s="20" t="s">
        <v>42</v>
      </c>
      <c r="H593" s="19" t="s">
        <v>37</v>
      </c>
      <c r="I593" s="32">
        <v>1436</v>
      </c>
      <c r="J593" s="32">
        <v>3675</v>
      </c>
      <c r="K593" s="32">
        <v>1470</v>
      </c>
      <c r="L593" s="32">
        <v>5994</v>
      </c>
      <c r="M593" s="33">
        <f t="shared" si="26"/>
        <v>12575</v>
      </c>
      <c r="N593" s="32">
        <v>1263</v>
      </c>
      <c r="O593" s="32">
        <v>3399</v>
      </c>
      <c r="P593" s="34">
        <v>1321</v>
      </c>
      <c r="Q593" s="32">
        <v>5616</v>
      </c>
      <c r="R593" s="33">
        <f t="shared" si="27"/>
        <v>11599</v>
      </c>
      <c r="S593">
        <v>346</v>
      </c>
      <c r="T593">
        <v>552</v>
      </c>
      <c r="U593">
        <v>298</v>
      </c>
      <c r="V593">
        <v>756</v>
      </c>
      <c r="W593">
        <v>1952</v>
      </c>
    </row>
    <row r="594" spans="1:23" x14ac:dyDescent="0.3">
      <c r="A594" s="19">
        <v>31</v>
      </c>
      <c r="B594" s="20" t="s">
        <v>81</v>
      </c>
      <c r="C594" s="21">
        <v>46235</v>
      </c>
      <c r="D594" s="20" t="s">
        <v>59</v>
      </c>
      <c r="E594" s="20" t="s">
        <v>63</v>
      </c>
      <c r="F594" s="20" t="s">
        <v>61</v>
      </c>
      <c r="G594" s="20" t="s">
        <v>42</v>
      </c>
      <c r="H594" s="19" t="s">
        <v>37</v>
      </c>
      <c r="I594" s="32">
        <v>1436</v>
      </c>
      <c r="J594" s="32">
        <v>3675</v>
      </c>
      <c r="K594" s="32">
        <v>1470</v>
      </c>
      <c r="L594" s="32">
        <v>5994</v>
      </c>
      <c r="M594" s="33">
        <f t="shared" si="26"/>
        <v>12575</v>
      </c>
      <c r="N594" s="32">
        <v>1263</v>
      </c>
      <c r="O594" s="32">
        <v>3399</v>
      </c>
      <c r="P594" s="34">
        <v>1321</v>
      </c>
      <c r="Q594" s="32">
        <v>5616</v>
      </c>
      <c r="R594" s="33">
        <f t="shared" si="27"/>
        <v>11599</v>
      </c>
      <c r="S594">
        <v>346</v>
      </c>
      <c r="T594">
        <v>552</v>
      </c>
      <c r="U594">
        <v>298</v>
      </c>
      <c r="V594">
        <v>756</v>
      </c>
      <c r="W594">
        <v>1952</v>
      </c>
    </row>
    <row r="595" spans="1:23" x14ac:dyDescent="0.3">
      <c r="A595" s="19">
        <v>31</v>
      </c>
      <c r="B595" s="20" t="s">
        <v>81</v>
      </c>
      <c r="C595" s="21">
        <v>46236</v>
      </c>
      <c r="D595" s="20" t="s">
        <v>59</v>
      </c>
      <c r="E595" s="20" t="s">
        <v>63</v>
      </c>
      <c r="F595" s="20" t="s">
        <v>61</v>
      </c>
      <c r="G595" s="20" t="s">
        <v>42</v>
      </c>
      <c r="H595" s="19" t="s">
        <v>37</v>
      </c>
      <c r="I595" s="32">
        <v>1263</v>
      </c>
      <c r="J595" s="32">
        <v>3399</v>
      </c>
      <c r="K595" s="32">
        <v>1321</v>
      </c>
      <c r="L595" s="32">
        <v>5616</v>
      </c>
      <c r="M595" s="33">
        <f t="shared" si="26"/>
        <v>11599</v>
      </c>
      <c r="N595" s="32">
        <v>1101</v>
      </c>
      <c r="O595" s="32">
        <v>3136</v>
      </c>
      <c r="P595" s="34">
        <v>1122</v>
      </c>
      <c r="Q595" s="32">
        <v>5228</v>
      </c>
      <c r="R595" s="33">
        <f t="shared" si="27"/>
        <v>10587</v>
      </c>
      <c r="S595">
        <v>324</v>
      </c>
      <c r="T595">
        <v>526</v>
      </c>
      <c r="U595">
        <v>398</v>
      </c>
      <c r="V595">
        <v>776</v>
      </c>
      <c r="W595">
        <v>2024</v>
      </c>
    </row>
    <row r="596" spans="1:23" x14ac:dyDescent="0.3">
      <c r="A596" s="19">
        <v>31</v>
      </c>
      <c r="B596" s="20" t="s">
        <v>81</v>
      </c>
      <c r="C596" s="21">
        <v>46236</v>
      </c>
      <c r="D596" s="20" t="s">
        <v>59</v>
      </c>
      <c r="E596" s="20" t="s">
        <v>63</v>
      </c>
      <c r="F596" s="20" t="s">
        <v>61</v>
      </c>
      <c r="G596" s="20" t="s">
        <v>42</v>
      </c>
      <c r="H596" s="19" t="s">
        <v>37</v>
      </c>
      <c r="I596" s="32">
        <v>1263</v>
      </c>
      <c r="J596" s="32">
        <v>3399</v>
      </c>
      <c r="K596" s="32">
        <v>1321</v>
      </c>
      <c r="L596" s="32">
        <v>5616</v>
      </c>
      <c r="M596" s="33">
        <f t="shared" si="26"/>
        <v>11599</v>
      </c>
      <c r="N596" s="32">
        <v>1101</v>
      </c>
      <c r="O596" s="32">
        <v>3136</v>
      </c>
      <c r="P596" s="34">
        <v>1122</v>
      </c>
      <c r="Q596" s="32">
        <v>5228</v>
      </c>
      <c r="R596" s="33">
        <f t="shared" si="27"/>
        <v>10587</v>
      </c>
      <c r="S596">
        <v>324</v>
      </c>
      <c r="T596">
        <v>526</v>
      </c>
      <c r="U596">
        <v>398</v>
      </c>
      <c r="V596">
        <v>776</v>
      </c>
      <c r="W596">
        <v>2024</v>
      </c>
    </row>
    <row r="597" spans="1:23" x14ac:dyDescent="0.3">
      <c r="A597" s="19">
        <v>31</v>
      </c>
      <c r="B597" s="20" t="s">
        <v>81</v>
      </c>
      <c r="C597" s="21">
        <v>46236</v>
      </c>
      <c r="D597" s="20" t="s">
        <v>59</v>
      </c>
      <c r="E597" s="20" t="s">
        <v>62</v>
      </c>
      <c r="F597" s="20" t="s">
        <v>61</v>
      </c>
      <c r="G597" s="20" t="s">
        <v>42</v>
      </c>
      <c r="H597" s="19" t="s">
        <v>38</v>
      </c>
      <c r="I597" s="32">
        <v>1040</v>
      </c>
      <c r="J597" s="32">
        <v>1400</v>
      </c>
      <c r="K597" s="32">
        <v>1120</v>
      </c>
      <c r="L597" s="32">
        <v>2720</v>
      </c>
      <c r="M597" s="33">
        <f t="shared" si="26"/>
        <v>6280</v>
      </c>
      <c r="N597" s="32">
        <v>957</v>
      </c>
      <c r="O597" s="32">
        <v>1282</v>
      </c>
      <c r="P597" s="34">
        <v>1010</v>
      </c>
      <c r="Q597" s="32">
        <v>2398</v>
      </c>
      <c r="R597" s="33">
        <f t="shared" si="27"/>
        <v>5647</v>
      </c>
      <c r="S597">
        <v>166</v>
      </c>
      <c r="T597">
        <v>236</v>
      </c>
      <c r="U597">
        <v>220</v>
      </c>
      <c r="V597">
        <v>642</v>
      </c>
      <c r="W597">
        <v>1264</v>
      </c>
    </row>
    <row r="598" spans="1:23" x14ac:dyDescent="0.3">
      <c r="A598" s="19">
        <v>31</v>
      </c>
      <c r="B598" s="20" t="s">
        <v>81</v>
      </c>
      <c r="C598" s="21">
        <v>46236</v>
      </c>
      <c r="D598" s="20" t="s">
        <v>59</v>
      </c>
      <c r="E598" s="20" t="s">
        <v>62</v>
      </c>
      <c r="F598" s="20" t="s">
        <v>61</v>
      </c>
      <c r="G598" s="20" t="s">
        <v>42</v>
      </c>
      <c r="H598" s="19" t="s">
        <v>38</v>
      </c>
      <c r="I598" s="32">
        <v>1040</v>
      </c>
      <c r="J598" s="32">
        <v>1400</v>
      </c>
      <c r="K598" s="32">
        <v>1120</v>
      </c>
      <c r="L598" s="32">
        <v>2720</v>
      </c>
      <c r="M598" s="33">
        <f t="shared" si="26"/>
        <v>6280</v>
      </c>
      <c r="N598" s="32">
        <v>957</v>
      </c>
      <c r="O598" s="32">
        <v>1282</v>
      </c>
      <c r="P598" s="34">
        <v>1010</v>
      </c>
      <c r="Q598" s="32">
        <v>2398</v>
      </c>
      <c r="R598" s="33">
        <f t="shared" si="27"/>
        <v>5647</v>
      </c>
      <c r="S598">
        <v>166</v>
      </c>
      <c r="T598">
        <v>236</v>
      </c>
      <c r="U598">
        <v>220</v>
      </c>
      <c r="V598">
        <v>642</v>
      </c>
      <c r="W598">
        <v>1264</v>
      </c>
    </row>
    <row r="599" spans="1:23" x14ac:dyDescent="0.3">
      <c r="A599" s="19">
        <v>31</v>
      </c>
      <c r="B599" s="20" t="s">
        <v>81</v>
      </c>
      <c r="C599" s="21">
        <v>46236</v>
      </c>
      <c r="D599" s="20" t="s">
        <v>59</v>
      </c>
      <c r="E599" s="20" t="s">
        <v>63</v>
      </c>
      <c r="F599" s="20" t="s">
        <v>61</v>
      </c>
      <c r="G599" s="20" t="s">
        <v>42</v>
      </c>
      <c r="H599" s="19" t="s">
        <v>36</v>
      </c>
      <c r="I599" s="32">
        <v>20</v>
      </c>
      <c r="J599" s="32">
        <v>2080</v>
      </c>
      <c r="K599" s="32">
        <v>800</v>
      </c>
      <c r="L599" s="32">
        <v>2300</v>
      </c>
      <c r="M599" s="33">
        <f t="shared" si="26"/>
        <v>5200</v>
      </c>
      <c r="N599" s="32">
        <v>0</v>
      </c>
      <c r="O599" s="32">
        <v>1760</v>
      </c>
      <c r="P599" s="34">
        <v>700</v>
      </c>
      <c r="Q599" s="32">
        <v>1900</v>
      </c>
      <c r="R599" s="33">
        <f t="shared" si="27"/>
        <v>4360</v>
      </c>
      <c r="S599">
        <v>40</v>
      </c>
      <c r="T599">
        <v>640</v>
      </c>
      <c r="U599">
        <v>200</v>
      </c>
      <c r="V599">
        <v>800</v>
      </c>
      <c r="W599">
        <v>1680</v>
      </c>
    </row>
    <row r="600" spans="1:23" x14ac:dyDescent="0.3">
      <c r="A600" s="19">
        <v>31</v>
      </c>
      <c r="B600" s="20" t="s">
        <v>81</v>
      </c>
      <c r="C600" s="21">
        <v>46236</v>
      </c>
      <c r="D600" s="20" t="s">
        <v>59</v>
      </c>
      <c r="E600" s="20" t="s">
        <v>63</v>
      </c>
      <c r="F600" s="20" t="s">
        <v>61</v>
      </c>
      <c r="G600" s="20" t="s">
        <v>42</v>
      </c>
      <c r="H600" s="19" t="s">
        <v>36</v>
      </c>
      <c r="I600" s="32">
        <v>20</v>
      </c>
      <c r="J600" s="32">
        <v>2080</v>
      </c>
      <c r="K600" s="32">
        <v>800</v>
      </c>
      <c r="L600" s="32">
        <v>2300</v>
      </c>
      <c r="M600" s="33">
        <f t="shared" si="26"/>
        <v>5200</v>
      </c>
      <c r="N600" s="32">
        <v>0</v>
      </c>
      <c r="O600" s="32">
        <v>1760</v>
      </c>
      <c r="P600" s="34">
        <v>700</v>
      </c>
      <c r="Q600" s="32">
        <v>1900</v>
      </c>
      <c r="R600" s="33">
        <f t="shared" si="27"/>
        <v>4360</v>
      </c>
      <c r="S600">
        <v>40</v>
      </c>
      <c r="T600">
        <v>640</v>
      </c>
      <c r="U600">
        <v>200</v>
      </c>
      <c r="V600">
        <v>800</v>
      </c>
      <c r="W600">
        <v>1680</v>
      </c>
    </row>
    <row r="601" spans="1:23" x14ac:dyDescent="0.3">
      <c r="A601" s="19">
        <v>31</v>
      </c>
      <c r="B601" s="20" t="s">
        <v>55</v>
      </c>
      <c r="C601" s="21">
        <v>46230</v>
      </c>
      <c r="D601" s="20" t="s">
        <v>79</v>
      </c>
      <c r="E601" s="20" t="s">
        <v>80</v>
      </c>
      <c r="F601" s="20" t="s">
        <v>77</v>
      </c>
      <c r="G601" s="20" t="s">
        <v>78</v>
      </c>
      <c r="H601" s="19" t="s">
        <v>74</v>
      </c>
      <c r="I601" s="32">
        <v>520</v>
      </c>
      <c r="J601" s="32">
        <v>760</v>
      </c>
      <c r="K601" s="32">
        <v>680</v>
      </c>
      <c r="L601" s="32">
        <v>680</v>
      </c>
      <c r="M601" s="33">
        <f t="shared" si="26"/>
        <v>2640</v>
      </c>
      <c r="N601" s="32">
        <v>460</v>
      </c>
      <c r="O601" s="32">
        <v>680</v>
      </c>
      <c r="P601" s="34">
        <v>600</v>
      </c>
      <c r="Q601" s="32">
        <v>520</v>
      </c>
      <c r="R601" s="33">
        <f t="shared" si="27"/>
        <v>2260</v>
      </c>
      <c r="S601">
        <v>160</v>
      </c>
      <c r="T601">
        <v>240</v>
      </c>
      <c r="U601">
        <v>160</v>
      </c>
      <c r="V601">
        <v>320</v>
      </c>
      <c r="W601">
        <v>880</v>
      </c>
    </row>
    <row r="602" spans="1:23" x14ac:dyDescent="0.3">
      <c r="A602" s="19">
        <v>31</v>
      </c>
      <c r="B602" s="20" t="s">
        <v>55</v>
      </c>
      <c r="C602" s="21">
        <v>46230</v>
      </c>
      <c r="D602" s="20" t="s">
        <v>79</v>
      </c>
      <c r="E602" s="20" t="s">
        <v>80</v>
      </c>
      <c r="F602" s="20" t="s">
        <v>77</v>
      </c>
      <c r="G602" s="20" t="s">
        <v>78</v>
      </c>
      <c r="H602" s="19" t="s">
        <v>74</v>
      </c>
      <c r="I602" s="32">
        <v>520</v>
      </c>
      <c r="J602" s="32">
        <v>760</v>
      </c>
      <c r="K602" s="32">
        <v>680</v>
      </c>
      <c r="L602" s="32">
        <v>680</v>
      </c>
      <c r="M602" s="33">
        <f t="shared" si="26"/>
        <v>2640</v>
      </c>
      <c r="N602" s="32">
        <v>460</v>
      </c>
      <c r="O602" s="32">
        <v>680</v>
      </c>
      <c r="P602" s="34">
        <v>600</v>
      </c>
      <c r="Q602" s="32">
        <v>520</v>
      </c>
      <c r="R602" s="33">
        <f t="shared" si="27"/>
        <v>2260</v>
      </c>
      <c r="S602">
        <v>160</v>
      </c>
      <c r="T602">
        <v>240</v>
      </c>
      <c r="U602">
        <v>160</v>
      </c>
      <c r="V602">
        <v>320</v>
      </c>
      <c r="W602">
        <v>880</v>
      </c>
    </row>
    <row r="603" spans="1:23" x14ac:dyDescent="0.3">
      <c r="A603" s="19">
        <v>32</v>
      </c>
      <c r="B603" s="20" t="s">
        <v>81</v>
      </c>
      <c r="C603" s="21">
        <v>46241</v>
      </c>
      <c r="D603" s="20" t="s">
        <v>82</v>
      </c>
      <c r="E603" s="20" t="s">
        <v>83</v>
      </c>
      <c r="F603" s="20" t="s">
        <v>84</v>
      </c>
      <c r="G603" s="20" t="s">
        <v>42</v>
      </c>
      <c r="H603" s="19" t="s">
        <v>85</v>
      </c>
      <c r="I603" s="32">
        <v>476</v>
      </c>
      <c r="J603" s="32">
        <v>316</v>
      </c>
      <c r="K603" s="32">
        <v>404</v>
      </c>
      <c r="L603" s="32">
        <v>896</v>
      </c>
      <c r="M603" s="33">
        <f t="shared" si="26"/>
        <v>2092</v>
      </c>
      <c r="N603" s="32">
        <v>0</v>
      </c>
      <c r="O603" s="32">
        <v>0</v>
      </c>
      <c r="P603" s="34">
        <v>0</v>
      </c>
      <c r="Q603" s="32">
        <v>0</v>
      </c>
      <c r="R603" s="33">
        <f t="shared" si="27"/>
        <v>0</v>
      </c>
      <c r="S603">
        <v>24</v>
      </c>
      <c r="T603">
        <v>124</v>
      </c>
      <c r="U603">
        <v>96</v>
      </c>
      <c r="V603">
        <v>224</v>
      </c>
      <c r="W603">
        <v>468</v>
      </c>
    </row>
    <row r="604" spans="1:23" x14ac:dyDescent="0.3">
      <c r="A604" s="19">
        <v>32</v>
      </c>
      <c r="B604" s="20" t="s">
        <v>81</v>
      </c>
      <c r="C604" s="21">
        <v>46241</v>
      </c>
      <c r="D604" s="20" t="s">
        <v>39</v>
      </c>
      <c r="E604" s="20" t="s">
        <v>43</v>
      </c>
      <c r="F604" s="20" t="s">
        <v>41</v>
      </c>
      <c r="G604" s="20" t="s">
        <v>86</v>
      </c>
      <c r="H604" s="19" t="s">
        <v>87</v>
      </c>
      <c r="I604" s="32">
        <v>206</v>
      </c>
      <c r="J604" s="32">
        <v>558</v>
      </c>
      <c r="K604" s="32">
        <v>579</v>
      </c>
      <c r="L604" s="32">
        <v>289</v>
      </c>
      <c r="M604" s="33">
        <f t="shared" si="26"/>
        <v>1632</v>
      </c>
      <c r="N604" s="32">
        <v>0</v>
      </c>
      <c r="O604" s="32">
        <v>0</v>
      </c>
      <c r="P604" s="34">
        <v>0</v>
      </c>
      <c r="Q604" s="32">
        <v>0</v>
      </c>
      <c r="R604" s="33">
        <f t="shared" si="27"/>
        <v>0</v>
      </c>
      <c r="S604">
        <v>74</v>
      </c>
      <c r="T604">
        <v>126</v>
      </c>
      <c r="U604">
        <v>138</v>
      </c>
      <c r="V604">
        <v>180</v>
      </c>
      <c r="W604">
        <v>518</v>
      </c>
    </row>
    <row r="605" spans="1:23" x14ac:dyDescent="0.3">
      <c r="A605" s="19">
        <v>32</v>
      </c>
      <c r="B605" s="20" t="s">
        <v>81</v>
      </c>
      <c r="C605" s="21">
        <v>46241</v>
      </c>
      <c r="D605" s="20" t="s">
        <v>59</v>
      </c>
      <c r="E605" s="20" t="s">
        <v>60</v>
      </c>
      <c r="F605" s="20" t="s">
        <v>61</v>
      </c>
      <c r="G605" s="20" t="s">
        <v>42</v>
      </c>
      <c r="H605" s="19" t="s">
        <v>88</v>
      </c>
      <c r="I605" s="32">
        <v>179</v>
      </c>
      <c r="J605" s="32">
        <v>502</v>
      </c>
      <c r="K605" s="32">
        <v>517</v>
      </c>
      <c r="L605" s="32">
        <v>1116</v>
      </c>
      <c r="M605" s="33">
        <f t="shared" si="26"/>
        <v>2314</v>
      </c>
      <c r="N605" s="32">
        <v>0</v>
      </c>
      <c r="O605" s="32">
        <v>0</v>
      </c>
      <c r="P605" s="34">
        <v>0</v>
      </c>
      <c r="Q605" s="32">
        <v>0</v>
      </c>
      <c r="R605" s="33">
        <f t="shared" si="27"/>
        <v>0</v>
      </c>
      <c r="S605">
        <v>21</v>
      </c>
      <c r="T605">
        <v>196</v>
      </c>
      <c r="U605">
        <v>166</v>
      </c>
      <c r="V605">
        <v>568</v>
      </c>
      <c r="W605">
        <v>951</v>
      </c>
    </row>
    <row r="606" spans="1:23" x14ac:dyDescent="0.3">
      <c r="A606" s="19">
        <v>32</v>
      </c>
      <c r="B606" s="20" t="s">
        <v>81</v>
      </c>
      <c r="C606" s="21">
        <v>46241</v>
      </c>
      <c r="D606" s="20" t="s">
        <v>75</v>
      </c>
      <c r="E606" s="20" t="s">
        <v>76</v>
      </c>
      <c r="F606" s="20" t="s">
        <v>77</v>
      </c>
      <c r="G606" s="20" t="s">
        <v>78</v>
      </c>
      <c r="H606" s="19" t="s">
        <v>73</v>
      </c>
      <c r="I606" s="32">
        <v>370</v>
      </c>
      <c r="J606" s="32">
        <v>552</v>
      </c>
      <c r="K606" s="32">
        <v>468</v>
      </c>
      <c r="L606" s="32">
        <v>1253</v>
      </c>
      <c r="M606" s="33">
        <f t="shared" si="26"/>
        <v>2643</v>
      </c>
      <c r="N606" s="32">
        <v>0</v>
      </c>
      <c r="O606" s="32">
        <v>0</v>
      </c>
      <c r="P606" s="34">
        <v>0</v>
      </c>
      <c r="Q606" s="32">
        <v>0</v>
      </c>
      <c r="R606" s="33">
        <f t="shared" si="27"/>
        <v>0</v>
      </c>
      <c r="S606">
        <v>30</v>
      </c>
      <c r="T606">
        <v>20</v>
      </c>
      <c r="U606">
        <v>20</v>
      </c>
      <c r="V606">
        <v>45</v>
      </c>
      <c r="W606">
        <v>115</v>
      </c>
    </row>
    <row r="607" spans="1:23" x14ac:dyDescent="0.3">
      <c r="A607" s="19">
        <v>32</v>
      </c>
      <c r="B607" s="20" t="s">
        <v>81</v>
      </c>
      <c r="C607" s="21">
        <v>46241</v>
      </c>
      <c r="D607" s="20" t="s">
        <v>75</v>
      </c>
      <c r="E607" s="20" t="s">
        <v>76</v>
      </c>
      <c r="F607" s="20" t="s">
        <v>77</v>
      </c>
      <c r="G607" s="20" t="s">
        <v>78</v>
      </c>
      <c r="H607" s="19" t="s">
        <v>71</v>
      </c>
      <c r="I607" s="32">
        <v>428</v>
      </c>
      <c r="J607" s="32">
        <v>868</v>
      </c>
      <c r="K607" s="32">
        <v>707</v>
      </c>
      <c r="L607" s="32">
        <v>1060</v>
      </c>
      <c r="M607" s="33">
        <f t="shared" si="26"/>
        <v>3063</v>
      </c>
      <c r="N607" s="32">
        <v>0</v>
      </c>
      <c r="O607" s="32">
        <v>0</v>
      </c>
      <c r="P607" s="34">
        <v>0</v>
      </c>
      <c r="Q607" s="32">
        <v>0</v>
      </c>
      <c r="R607" s="33">
        <f t="shared" si="27"/>
        <v>0</v>
      </c>
      <c r="S607">
        <v>13</v>
      </c>
      <c r="T607">
        <v>41</v>
      </c>
      <c r="U607">
        <v>17</v>
      </c>
      <c r="V607">
        <v>51</v>
      </c>
      <c r="W607">
        <v>122</v>
      </c>
    </row>
    <row r="608" spans="1:23" x14ac:dyDescent="0.3">
      <c r="A608" s="19">
        <v>32</v>
      </c>
      <c r="B608" s="20" t="s">
        <v>81</v>
      </c>
      <c r="C608" s="21">
        <v>46241</v>
      </c>
      <c r="D608" s="20" t="s">
        <v>45</v>
      </c>
      <c r="E608" s="20" t="s">
        <v>89</v>
      </c>
      <c r="F608" s="20" t="s">
        <v>90</v>
      </c>
      <c r="G608" s="20" t="s">
        <v>42</v>
      </c>
      <c r="H608" s="19" t="s">
        <v>91</v>
      </c>
      <c r="I608" s="32">
        <v>600</v>
      </c>
      <c r="J608" s="32">
        <v>495</v>
      </c>
      <c r="K608" s="32">
        <v>600</v>
      </c>
      <c r="L608" s="32">
        <v>458</v>
      </c>
      <c r="M608" s="33">
        <f t="shared" si="26"/>
        <v>2153</v>
      </c>
      <c r="N608" s="32">
        <v>0</v>
      </c>
      <c r="O608" s="32">
        <v>0</v>
      </c>
      <c r="P608" s="34">
        <v>0</v>
      </c>
      <c r="Q608" s="32">
        <v>0</v>
      </c>
      <c r="R608" s="33">
        <f t="shared" si="27"/>
        <v>0</v>
      </c>
      <c r="S608">
        <v>600</v>
      </c>
      <c r="T608">
        <v>210</v>
      </c>
      <c r="U608">
        <v>192</v>
      </c>
      <c r="V608">
        <v>284</v>
      </c>
      <c r="W608">
        <v>1286</v>
      </c>
    </row>
    <row r="609" spans="1:23" x14ac:dyDescent="0.3">
      <c r="A609" s="19">
        <v>32</v>
      </c>
      <c r="B609" s="20" t="s">
        <v>81</v>
      </c>
      <c r="C609" s="21">
        <v>46241</v>
      </c>
      <c r="D609" s="20" t="s">
        <v>79</v>
      </c>
      <c r="E609" s="20" t="s">
        <v>80</v>
      </c>
      <c r="F609" s="20" t="s">
        <v>77</v>
      </c>
      <c r="G609" s="20" t="s">
        <v>78</v>
      </c>
      <c r="H609" s="19" t="s">
        <v>74</v>
      </c>
      <c r="I609" s="32">
        <v>600</v>
      </c>
      <c r="J609" s="32">
        <v>620</v>
      </c>
      <c r="K609" s="32">
        <v>760</v>
      </c>
      <c r="L609" s="32">
        <v>638</v>
      </c>
      <c r="M609" s="33">
        <f t="shared" si="26"/>
        <v>2618</v>
      </c>
      <c r="N609" s="32">
        <v>0</v>
      </c>
      <c r="O609" s="32">
        <v>0</v>
      </c>
      <c r="P609" s="34">
        <v>0</v>
      </c>
      <c r="Q609" s="32">
        <v>0</v>
      </c>
      <c r="R609" s="33">
        <f t="shared" si="27"/>
        <v>0</v>
      </c>
      <c r="S609">
        <v>80</v>
      </c>
      <c r="T609">
        <v>120</v>
      </c>
      <c r="U609">
        <v>80</v>
      </c>
      <c r="V609">
        <v>120</v>
      </c>
      <c r="W609">
        <v>400</v>
      </c>
    </row>
    <row r="610" spans="1:23" x14ac:dyDescent="0.3">
      <c r="A610" s="19">
        <v>32</v>
      </c>
      <c r="B610" s="20" t="s">
        <v>81</v>
      </c>
      <c r="C610" s="21">
        <v>46241</v>
      </c>
      <c r="D610" s="20" t="s">
        <v>59</v>
      </c>
      <c r="E610" s="20" t="s">
        <v>92</v>
      </c>
      <c r="F610" s="20" t="s">
        <v>61</v>
      </c>
      <c r="G610" s="20" t="s">
        <v>42</v>
      </c>
      <c r="H610" s="19" t="s">
        <v>93</v>
      </c>
      <c r="I610" s="32">
        <v>509</v>
      </c>
      <c r="J610" s="32">
        <v>857</v>
      </c>
      <c r="K610" s="32">
        <v>945</v>
      </c>
      <c r="L610" s="32">
        <v>711</v>
      </c>
      <c r="M610" s="33">
        <f t="shared" si="26"/>
        <v>3022</v>
      </c>
      <c r="N610" s="32">
        <v>0</v>
      </c>
      <c r="O610" s="32">
        <v>0</v>
      </c>
      <c r="P610" s="34">
        <v>0</v>
      </c>
      <c r="Q610" s="32">
        <v>0</v>
      </c>
      <c r="R610" s="33">
        <f t="shared" si="27"/>
        <v>0</v>
      </c>
      <c r="S610">
        <v>36</v>
      </c>
      <c r="T610">
        <v>24</v>
      </c>
      <c r="U610">
        <v>33</v>
      </c>
      <c r="V610">
        <v>162</v>
      </c>
      <c r="W610">
        <v>255</v>
      </c>
    </row>
    <row r="611" spans="1:23" x14ac:dyDescent="0.3">
      <c r="A611" s="19">
        <v>32</v>
      </c>
      <c r="B611" s="20" t="s">
        <v>81</v>
      </c>
      <c r="C611" s="21">
        <v>46241</v>
      </c>
      <c r="D611" s="20" t="s">
        <v>39</v>
      </c>
      <c r="E611" s="20" t="s">
        <v>94</v>
      </c>
      <c r="F611" s="20" t="s">
        <v>41</v>
      </c>
      <c r="G611" s="20" t="s">
        <v>42</v>
      </c>
      <c r="H611" s="19" t="s">
        <v>95</v>
      </c>
      <c r="I611" s="32">
        <v>0</v>
      </c>
      <c r="J611" s="32">
        <v>0</v>
      </c>
      <c r="K611" s="32">
        <v>180</v>
      </c>
      <c r="L611" s="32">
        <v>0</v>
      </c>
      <c r="M611" s="33">
        <f t="shared" si="26"/>
        <v>180</v>
      </c>
      <c r="N611" s="32">
        <v>0</v>
      </c>
      <c r="O611" s="32">
        <v>0</v>
      </c>
      <c r="P611" s="34">
        <v>0</v>
      </c>
      <c r="Q611" s="32">
        <v>0</v>
      </c>
      <c r="R611" s="33">
        <f t="shared" si="27"/>
        <v>0</v>
      </c>
      <c r="S611">
        <v>0</v>
      </c>
      <c r="T611">
        <v>360</v>
      </c>
      <c r="U611">
        <v>360</v>
      </c>
      <c r="V611">
        <v>0</v>
      </c>
      <c r="W611">
        <v>720</v>
      </c>
    </row>
    <row r="612" spans="1:23" x14ac:dyDescent="0.3">
      <c r="A612" s="19">
        <v>32</v>
      </c>
      <c r="B612" s="20" t="s">
        <v>81</v>
      </c>
      <c r="C612" s="21">
        <v>46241</v>
      </c>
      <c r="D612" s="20" t="s">
        <v>39</v>
      </c>
      <c r="E612" s="20" t="s">
        <v>43</v>
      </c>
      <c r="F612" s="20" t="s">
        <v>41</v>
      </c>
      <c r="G612" s="20" t="s">
        <v>42</v>
      </c>
      <c r="H612" s="19" t="s">
        <v>96</v>
      </c>
      <c r="I612" s="32">
        <v>324</v>
      </c>
      <c r="J612" s="32">
        <v>244</v>
      </c>
      <c r="K612" s="32">
        <v>256</v>
      </c>
      <c r="L612" s="32">
        <v>880</v>
      </c>
      <c r="M612" s="33">
        <f t="shared" si="26"/>
        <v>1704</v>
      </c>
      <c r="N612" s="32">
        <v>0</v>
      </c>
      <c r="O612" s="32">
        <v>0</v>
      </c>
      <c r="P612" s="34">
        <v>0</v>
      </c>
      <c r="Q612" s="32">
        <v>0</v>
      </c>
      <c r="R612" s="33">
        <f t="shared" si="27"/>
        <v>0</v>
      </c>
      <c r="S612">
        <v>76</v>
      </c>
      <c r="T612">
        <v>94</v>
      </c>
      <c r="U612">
        <v>90</v>
      </c>
      <c r="V612">
        <v>150</v>
      </c>
      <c r="W612">
        <v>410</v>
      </c>
    </row>
    <row r="613" spans="1:23" x14ac:dyDescent="0.3">
      <c r="A613" s="19">
        <v>32</v>
      </c>
      <c r="B613" s="20" t="s">
        <v>81</v>
      </c>
      <c r="C613" s="21">
        <v>46241</v>
      </c>
      <c r="D613" s="20" t="s">
        <v>75</v>
      </c>
      <c r="E613" s="20" t="s">
        <v>76</v>
      </c>
      <c r="F613" s="20" t="s">
        <v>77</v>
      </c>
      <c r="G613" s="20" t="s">
        <v>78</v>
      </c>
      <c r="H613" s="19" t="s">
        <v>70</v>
      </c>
      <c r="I613" s="32">
        <v>756</v>
      </c>
      <c r="J613" s="32">
        <v>946</v>
      </c>
      <c r="K613" s="32">
        <v>1291</v>
      </c>
      <c r="L613" s="32">
        <v>1894</v>
      </c>
      <c r="M613" s="33">
        <f t="shared" si="26"/>
        <v>4887</v>
      </c>
      <c r="N613" s="32">
        <v>0</v>
      </c>
      <c r="O613" s="32">
        <v>0</v>
      </c>
      <c r="P613" s="34">
        <v>0</v>
      </c>
      <c r="Q613" s="32">
        <v>0</v>
      </c>
      <c r="R613" s="33">
        <f t="shared" si="27"/>
        <v>0</v>
      </c>
      <c r="S613">
        <v>25</v>
      </c>
      <c r="T613">
        <v>80</v>
      </c>
      <c r="U613">
        <v>74</v>
      </c>
      <c r="V613">
        <v>174</v>
      </c>
      <c r="W613">
        <v>353</v>
      </c>
    </row>
    <row r="614" spans="1:23" x14ac:dyDescent="0.3">
      <c r="A614" s="19">
        <v>32</v>
      </c>
      <c r="B614" s="20" t="s">
        <v>81</v>
      </c>
      <c r="C614" s="21">
        <v>46241</v>
      </c>
      <c r="D614" s="20" t="s">
        <v>75</v>
      </c>
      <c r="E614" s="20" t="s">
        <v>76</v>
      </c>
      <c r="F614" s="20" t="s">
        <v>77</v>
      </c>
      <c r="G614" s="20" t="s">
        <v>78</v>
      </c>
      <c r="H614" s="19" t="s">
        <v>72</v>
      </c>
      <c r="I614" s="32">
        <v>610</v>
      </c>
      <c r="J614" s="32">
        <v>858</v>
      </c>
      <c r="K614" s="32">
        <v>790</v>
      </c>
      <c r="L614" s="32">
        <v>1618</v>
      </c>
      <c r="M614" s="33">
        <f t="shared" si="26"/>
        <v>3876</v>
      </c>
      <c r="N614" s="32">
        <v>0</v>
      </c>
      <c r="O614" s="32">
        <v>0</v>
      </c>
      <c r="P614" s="34">
        <v>0</v>
      </c>
      <c r="Q614" s="32">
        <v>0</v>
      </c>
      <c r="R614" s="33">
        <f t="shared" si="27"/>
        <v>0</v>
      </c>
      <c r="S614">
        <v>40</v>
      </c>
      <c r="T614">
        <v>84</v>
      </c>
      <c r="U614">
        <v>80</v>
      </c>
      <c r="V614">
        <v>168</v>
      </c>
      <c r="W614">
        <v>372</v>
      </c>
    </row>
    <row r="615" spans="1:23" x14ac:dyDescent="0.3">
      <c r="A615" s="19">
        <v>32</v>
      </c>
      <c r="B615" s="20" t="s">
        <v>81</v>
      </c>
      <c r="C615" s="21">
        <v>46241</v>
      </c>
      <c r="D615" s="20" t="s">
        <v>45</v>
      </c>
      <c r="E615" s="20" t="s">
        <v>89</v>
      </c>
      <c r="F615" s="20" t="s">
        <v>90</v>
      </c>
      <c r="G615" s="20" t="s">
        <v>42</v>
      </c>
      <c r="H615" s="19" t="s">
        <v>97</v>
      </c>
      <c r="I615" s="32">
        <v>580</v>
      </c>
      <c r="J615" s="32">
        <v>2795</v>
      </c>
      <c r="K615" s="32">
        <v>3400</v>
      </c>
      <c r="L615" s="32">
        <v>3008</v>
      </c>
      <c r="M615" s="33">
        <f t="shared" si="26"/>
        <v>9783</v>
      </c>
      <c r="N615" s="32">
        <v>0</v>
      </c>
      <c r="O615" s="32">
        <v>0</v>
      </c>
      <c r="P615" s="34">
        <v>0</v>
      </c>
      <c r="Q615" s="32">
        <v>0</v>
      </c>
      <c r="R615" s="33">
        <f t="shared" si="27"/>
        <v>0</v>
      </c>
      <c r="S615">
        <v>20</v>
      </c>
      <c r="T615">
        <v>50</v>
      </c>
      <c r="U615">
        <v>40</v>
      </c>
      <c r="V615">
        <v>224</v>
      </c>
      <c r="W615">
        <v>334</v>
      </c>
    </row>
    <row r="616" spans="1:23" x14ac:dyDescent="0.3">
      <c r="A616" s="19">
        <v>32</v>
      </c>
      <c r="B616" s="20" t="s">
        <v>81</v>
      </c>
      <c r="C616" s="21">
        <v>46241</v>
      </c>
      <c r="D616" s="20" t="s">
        <v>39</v>
      </c>
      <c r="E616" s="20" t="s">
        <v>98</v>
      </c>
      <c r="F616" s="20" t="s">
        <v>41</v>
      </c>
      <c r="G616" s="20" t="s">
        <v>42</v>
      </c>
      <c r="H616" s="19" t="s">
        <v>99</v>
      </c>
      <c r="I616" s="32">
        <v>928</v>
      </c>
      <c r="J616" s="32">
        <v>1157</v>
      </c>
      <c r="K616" s="32">
        <v>1045</v>
      </c>
      <c r="L616" s="32">
        <v>2058</v>
      </c>
      <c r="M616" s="33">
        <f t="shared" si="26"/>
        <v>5188</v>
      </c>
      <c r="N616" s="32">
        <v>0</v>
      </c>
      <c r="O616" s="32">
        <v>0</v>
      </c>
      <c r="P616" s="34">
        <v>0</v>
      </c>
      <c r="Q616" s="32">
        <v>0</v>
      </c>
      <c r="R616" s="33">
        <f t="shared" si="27"/>
        <v>0</v>
      </c>
      <c r="S616">
        <v>61</v>
      </c>
      <c r="T616">
        <v>98</v>
      </c>
      <c r="U616">
        <v>60</v>
      </c>
      <c r="V616">
        <v>238</v>
      </c>
      <c r="W616">
        <v>457</v>
      </c>
    </row>
    <row r="617" spans="1:23" x14ac:dyDescent="0.3">
      <c r="A617" s="19">
        <v>32</v>
      </c>
      <c r="B617" s="20" t="s">
        <v>81</v>
      </c>
      <c r="C617" s="21">
        <v>46241</v>
      </c>
      <c r="D617" s="20" t="s">
        <v>100</v>
      </c>
      <c r="E617" s="20" t="s">
        <v>101</v>
      </c>
      <c r="F617" s="20" t="s">
        <v>41</v>
      </c>
      <c r="G617" s="20" t="s">
        <v>42</v>
      </c>
      <c r="H617" s="19" t="s">
        <v>102</v>
      </c>
      <c r="I617" s="32">
        <v>344</v>
      </c>
      <c r="J617" s="32">
        <v>761</v>
      </c>
      <c r="K617" s="32">
        <v>311</v>
      </c>
      <c r="L617" s="32">
        <v>220</v>
      </c>
      <c r="M617" s="33">
        <f t="shared" si="26"/>
        <v>1636</v>
      </c>
      <c r="N617" s="32">
        <v>0</v>
      </c>
      <c r="O617" s="32">
        <v>0</v>
      </c>
      <c r="P617" s="34">
        <v>0</v>
      </c>
      <c r="Q617" s="32">
        <v>0</v>
      </c>
      <c r="R617" s="33">
        <f t="shared" si="27"/>
        <v>0</v>
      </c>
      <c r="S617">
        <v>18</v>
      </c>
      <c r="T617">
        <v>80</v>
      </c>
      <c r="U617">
        <v>104</v>
      </c>
      <c r="V617">
        <v>372</v>
      </c>
      <c r="W617">
        <v>574</v>
      </c>
    </row>
    <row r="618" spans="1:23" x14ac:dyDescent="0.3">
      <c r="A618" s="19">
        <v>32</v>
      </c>
      <c r="B618" s="20" t="s">
        <v>81</v>
      </c>
      <c r="C618" s="21">
        <v>46241</v>
      </c>
      <c r="D618" s="20" t="s">
        <v>39</v>
      </c>
      <c r="E618" s="20" t="s">
        <v>43</v>
      </c>
      <c r="F618" s="20" t="s">
        <v>41</v>
      </c>
      <c r="G618" s="20" t="s">
        <v>42</v>
      </c>
      <c r="H618" s="19" t="s">
        <v>103</v>
      </c>
      <c r="I618" s="32">
        <v>0</v>
      </c>
      <c r="J618" s="32">
        <v>0</v>
      </c>
      <c r="K618" s="32">
        <v>918</v>
      </c>
      <c r="L618" s="32">
        <v>780</v>
      </c>
      <c r="M618" s="33">
        <f t="shared" si="26"/>
        <v>1698</v>
      </c>
      <c r="N618" s="32">
        <v>0</v>
      </c>
      <c r="O618" s="32">
        <v>0</v>
      </c>
      <c r="P618" s="34">
        <v>0</v>
      </c>
      <c r="Q618" s="32">
        <v>0</v>
      </c>
      <c r="R618" s="33">
        <f t="shared" si="27"/>
        <v>0</v>
      </c>
      <c r="S618">
        <v>0</v>
      </c>
      <c r="T618">
        <v>0</v>
      </c>
      <c r="U618">
        <v>42</v>
      </c>
      <c r="V618">
        <v>240</v>
      </c>
      <c r="W618">
        <v>282</v>
      </c>
    </row>
    <row r="619" spans="1:23" x14ac:dyDescent="0.3">
      <c r="A619" s="19">
        <v>32</v>
      </c>
      <c r="B619" s="20" t="s">
        <v>81</v>
      </c>
      <c r="C619" s="21">
        <v>46241</v>
      </c>
      <c r="D619" s="20" t="s">
        <v>59</v>
      </c>
      <c r="E619" s="20" t="s">
        <v>60</v>
      </c>
      <c r="F619" s="20" t="s">
        <v>61</v>
      </c>
      <c r="G619" s="20" t="s">
        <v>42</v>
      </c>
      <c r="H619" s="19" t="s">
        <v>104</v>
      </c>
      <c r="I619" s="32">
        <v>0</v>
      </c>
      <c r="J619" s="32">
        <v>725</v>
      </c>
      <c r="K619" s="32">
        <v>1295</v>
      </c>
      <c r="L619" s="32">
        <v>630</v>
      </c>
      <c r="M619" s="33">
        <f t="shared" si="26"/>
        <v>2650</v>
      </c>
      <c r="N619" s="32">
        <v>0</v>
      </c>
      <c r="O619" s="32">
        <v>0</v>
      </c>
      <c r="P619" s="34">
        <v>0</v>
      </c>
      <c r="Q619" s="32">
        <v>0</v>
      </c>
      <c r="R619" s="33">
        <f t="shared" si="27"/>
        <v>0</v>
      </c>
      <c r="S619">
        <v>0</v>
      </c>
      <c r="T619">
        <v>115</v>
      </c>
      <c r="U619">
        <v>105</v>
      </c>
      <c r="V619">
        <v>130</v>
      </c>
      <c r="W619">
        <v>350</v>
      </c>
    </row>
    <row r="620" spans="1:23" x14ac:dyDescent="0.3">
      <c r="A620" s="19">
        <v>32</v>
      </c>
      <c r="B620" s="20" t="s">
        <v>81</v>
      </c>
      <c r="C620" s="21">
        <v>46241</v>
      </c>
      <c r="D620" s="20" t="s">
        <v>39</v>
      </c>
      <c r="E620" s="20" t="s">
        <v>56</v>
      </c>
      <c r="F620" s="20" t="s">
        <v>41</v>
      </c>
      <c r="G620" s="20" t="s">
        <v>42</v>
      </c>
      <c r="H620" s="19" t="s">
        <v>57</v>
      </c>
      <c r="I620" s="32">
        <v>0</v>
      </c>
      <c r="J620" s="32">
        <v>60</v>
      </c>
      <c r="K620" s="32">
        <v>120</v>
      </c>
      <c r="L620" s="32">
        <v>0</v>
      </c>
      <c r="M620" s="33">
        <f t="shared" si="26"/>
        <v>180</v>
      </c>
      <c r="N620" s="32">
        <v>0</v>
      </c>
      <c r="O620" s="32">
        <v>0</v>
      </c>
      <c r="P620" s="34">
        <v>0</v>
      </c>
      <c r="Q620" s="32">
        <v>0</v>
      </c>
      <c r="R620" s="33">
        <f t="shared" si="27"/>
        <v>0</v>
      </c>
      <c r="S620">
        <v>120</v>
      </c>
      <c r="T620">
        <v>60</v>
      </c>
      <c r="U620">
        <v>60</v>
      </c>
      <c r="V620">
        <v>60</v>
      </c>
      <c r="W620">
        <v>300</v>
      </c>
    </row>
    <row r="621" spans="1:23" x14ac:dyDescent="0.3">
      <c r="A621" s="19">
        <v>32</v>
      </c>
      <c r="B621" s="20" t="s">
        <v>81</v>
      </c>
      <c r="C621" s="21">
        <v>46241</v>
      </c>
      <c r="D621" s="20" t="s">
        <v>45</v>
      </c>
      <c r="E621" s="20" t="s">
        <v>105</v>
      </c>
      <c r="F621" s="20" t="s">
        <v>90</v>
      </c>
      <c r="G621" s="20" t="s">
        <v>42</v>
      </c>
      <c r="H621" s="19" t="s">
        <v>106</v>
      </c>
      <c r="I621" s="32">
        <v>1260</v>
      </c>
      <c r="J621" s="32">
        <v>1410</v>
      </c>
      <c r="K621" s="32">
        <v>1320</v>
      </c>
      <c r="L621" s="32">
        <v>1440</v>
      </c>
      <c r="M621" s="33">
        <f t="shared" si="26"/>
        <v>5430</v>
      </c>
      <c r="N621" s="32">
        <v>1086</v>
      </c>
      <c r="O621" s="32">
        <v>1269</v>
      </c>
      <c r="P621" s="34">
        <v>1152</v>
      </c>
      <c r="Q621" s="32">
        <v>1089</v>
      </c>
      <c r="R621" s="33">
        <f t="shared" si="27"/>
        <v>4596</v>
      </c>
      <c r="S621">
        <v>58</v>
      </c>
      <c r="T621">
        <v>114</v>
      </c>
      <c r="U621">
        <v>112</v>
      </c>
      <c r="V621">
        <v>154</v>
      </c>
      <c r="W621">
        <v>438</v>
      </c>
    </row>
    <row r="622" spans="1:23" x14ac:dyDescent="0.3">
      <c r="A622" s="19">
        <v>32</v>
      </c>
      <c r="B622" s="20" t="s">
        <v>81</v>
      </c>
      <c r="C622" s="21">
        <v>46241</v>
      </c>
      <c r="D622" s="20" t="s">
        <v>45</v>
      </c>
      <c r="E622" s="20" t="s">
        <v>107</v>
      </c>
      <c r="F622" s="20" t="s">
        <v>90</v>
      </c>
      <c r="G622" s="20" t="s">
        <v>42</v>
      </c>
      <c r="H622" s="19" t="s">
        <v>108</v>
      </c>
      <c r="I622" s="32">
        <v>43</v>
      </c>
      <c r="J622" s="32">
        <v>671</v>
      </c>
      <c r="K622" s="32">
        <v>720</v>
      </c>
      <c r="L622" s="32">
        <v>602</v>
      </c>
      <c r="M622" s="33">
        <f t="shared" si="26"/>
        <v>2036</v>
      </c>
      <c r="N622" s="32">
        <v>0</v>
      </c>
      <c r="O622" s="32">
        <v>0</v>
      </c>
      <c r="P622" s="34">
        <v>0</v>
      </c>
      <c r="Q622" s="32">
        <v>0</v>
      </c>
      <c r="R622" s="33">
        <f t="shared" si="27"/>
        <v>0</v>
      </c>
      <c r="S622">
        <v>37</v>
      </c>
      <c r="T622">
        <v>49</v>
      </c>
      <c r="U622">
        <v>40</v>
      </c>
      <c r="V622">
        <v>78</v>
      </c>
      <c r="W622">
        <v>204</v>
      </c>
    </row>
    <row r="623" spans="1:23" x14ac:dyDescent="0.3">
      <c r="A623" s="19">
        <v>32</v>
      </c>
      <c r="B623" s="20" t="s">
        <v>81</v>
      </c>
      <c r="C623" s="21">
        <v>46241</v>
      </c>
      <c r="D623" s="20" t="s">
        <v>45</v>
      </c>
      <c r="E623" s="20" t="s">
        <v>107</v>
      </c>
      <c r="F623" s="20" t="s">
        <v>90</v>
      </c>
      <c r="G623" s="20" t="s">
        <v>42</v>
      </c>
      <c r="H623" s="19" t="s">
        <v>109</v>
      </c>
      <c r="I623" s="32">
        <v>402</v>
      </c>
      <c r="J623" s="32">
        <v>378</v>
      </c>
      <c r="K623" s="32">
        <v>245</v>
      </c>
      <c r="L623" s="32">
        <v>497</v>
      </c>
      <c r="M623" s="33">
        <f t="shared" si="26"/>
        <v>1522</v>
      </c>
      <c r="N623" s="32">
        <v>0</v>
      </c>
      <c r="O623" s="32">
        <v>0</v>
      </c>
      <c r="P623" s="34">
        <v>0</v>
      </c>
      <c r="Q623" s="32">
        <v>0</v>
      </c>
      <c r="R623" s="33">
        <f t="shared" si="27"/>
        <v>0</v>
      </c>
      <c r="S623">
        <v>78</v>
      </c>
      <c r="T623">
        <v>204</v>
      </c>
      <c r="U623">
        <v>150</v>
      </c>
      <c r="V623">
        <v>606</v>
      </c>
      <c r="W623">
        <v>1038</v>
      </c>
    </row>
    <row r="624" spans="1:23" x14ac:dyDescent="0.3">
      <c r="A624" s="19">
        <v>32</v>
      </c>
      <c r="B624" s="20" t="s">
        <v>81</v>
      </c>
      <c r="C624" s="21">
        <v>46241</v>
      </c>
      <c r="D624" s="20" t="s">
        <v>59</v>
      </c>
      <c r="E624" s="20" t="s">
        <v>110</v>
      </c>
      <c r="F624" s="20" t="s">
        <v>61</v>
      </c>
      <c r="G624" s="20" t="s">
        <v>42</v>
      </c>
      <c r="H624" s="19" t="s">
        <v>111</v>
      </c>
      <c r="I624" s="32">
        <v>240</v>
      </c>
      <c r="J624" s="32">
        <v>346</v>
      </c>
      <c r="K624" s="32">
        <v>406</v>
      </c>
      <c r="L624" s="32">
        <v>311</v>
      </c>
      <c r="M624" s="33">
        <f t="shared" si="26"/>
        <v>1303</v>
      </c>
      <c r="N624" s="32">
        <v>0</v>
      </c>
      <c r="O624" s="32">
        <v>0</v>
      </c>
      <c r="P624" s="34">
        <v>0</v>
      </c>
      <c r="Q624" s="32">
        <v>0</v>
      </c>
      <c r="R624" s="33">
        <f t="shared" si="27"/>
        <v>0</v>
      </c>
      <c r="S624">
        <v>0</v>
      </c>
      <c r="T624">
        <v>108</v>
      </c>
      <c r="U624">
        <v>228</v>
      </c>
      <c r="V624">
        <v>178</v>
      </c>
      <c r="W624">
        <v>514</v>
      </c>
    </row>
    <row r="625" spans="1:23" x14ac:dyDescent="0.3">
      <c r="A625" s="19">
        <v>32</v>
      </c>
      <c r="B625" s="20" t="s">
        <v>81</v>
      </c>
      <c r="C625" s="21">
        <v>46241</v>
      </c>
      <c r="D625" s="20" t="s">
        <v>39</v>
      </c>
      <c r="E625" s="20" t="s">
        <v>58</v>
      </c>
      <c r="F625" s="20" t="s">
        <v>41</v>
      </c>
      <c r="G625" s="20" t="s">
        <v>86</v>
      </c>
      <c r="H625" s="19" t="s">
        <v>112</v>
      </c>
      <c r="I625" s="32">
        <v>366</v>
      </c>
      <c r="J625" s="32">
        <v>611</v>
      </c>
      <c r="K625" s="32">
        <v>864</v>
      </c>
      <c r="L625" s="32">
        <v>2515</v>
      </c>
      <c r="M625" s="33">
        <f t="shared" si="26"/>
        <v>4356</v>
      </c>
      <c r="N625" s="32">
        <v>0</v>
      </c>
      <c r="O625" s="32">
        <v>0</v>
      </c>
      <c r="P625" s="34">
        <v>0</v>
      </c>
      <c r="Q625" s="32">
        <v>0</v>
      </c>
      <c r="R625" s="33">
        <f t="shared" si="27"/>
        <v>0</v>
      </c>
      <c r="S625">
        <v>126</v>
      </c>
      <c r="T625">
        <v>148</v>
      </c>
      <c r="U625">
        <v>130</v>
      </c>
      <c r="V625">
        <v>170</v>
      </c>
      <c r="W625">
        <v>574</v>
      </c>
    </row>
    <row r="626" spans="1:23" x14ac:dyDescent="0.3">
      <c r="A626" s="19">
        <v>32</v>
      </c>
      <c r="B626" s="20" t="s">
        <v>81</v>
      </c>
      <c r="C626" s="21">
        <v>46242</v>
      </c>
      <c r="D626" s="20" t="s">
        <v>82</v>
      </c>
      <c r="E626" s="20" t="s">
        <v>83</v>
      </c>
      <c r="F626" s="20" t="s">
        <v>84</v>
      </c>
      <c r="G626" s="20" t="s">
        <v>42</v>
      </c>
      <c r="H626" s="19" t="s">
        <v>85</v>
      </c>
      <c r="I626" s="32">
        <v>488</v>
      </c>
      <c r="J626" s="32">
        <v>330</v>
      </c>
      <c r="K626" s="32">
        <v>400</v>
      </c>
      <c r="L626" s="32">
        <v>1008</v>
      </c>
      <c r="M626" s="33">
        <f t="shared" si="26"/>
        <v>2226</v>
      </c>
      <c r="N626" s="32">
        <v>0</v>
      </c>
      <c r="O626" s="32">
        <v>0</v>
      </c>
      <c r="P626" s="34">
        <v>0</v>
      </c>
      <c r="Q626" s="32">
        <v>0</v>
      </c>
      <c r="R626" s="33">
        <f t="shared" si="27"/>
        <v>0</v>
      </c>
      <c r="S626">
        <v>24</v>
      </c>
      <c r="T626">
        <v>48</v>
      </c>
      <c r="U626">
        <v>52</v>
      </c>
      <c r="V626">
        <v>218</v>
      </c>
      <c r="W626">
        <v>342</v>
      </c>
    </row>
    <row r="627" spans="1:23" x14ac:dyDescent="0.3">
      <c r="A627" s="19">
        <v>32</v>
      </c>
      <c r="B627" s="20" t="s">
        <v>81</v>
      </c>
      <c r="C627" s="21">
        <v>46242</v>
      </c>
      <c r="D627" s="20" t="s">
        <v>39</v>
      </c>
      <c r="E627" s="20" t="s">
        <v>43</v>
      </c>
      <c r="F627" s="20" t="s">
        <v>41</v>
      </c>
      <c r="G627" s="20" t="s">
        <v>86</v>
      </c>
      <c r="H627" s="19" t="s">
        <v>87</v>
      </c>
      <c r="I627" s="32">
        <v>120</v>
      </c>
      <c r="J627" s="32">
        <v>426</v>
      </c>
      <c r="K627" s="32">
        <v>373</v>
      </c>
      <c r="L627" s="32">
        <v>11</v>
      </c>
      <c r="M627" s="33">
        <f t="shared" si="26"/>
        <v>930</v>
      </c>
      <c r="N627" s="32">
        <v>0</v>
      </c>
      <c r="O627" s="32">
        <v>0</v>
      </c>
      <c r="P627" s="34">
        <v>0</v>
      </c>
      <c r="Q627" s="32">
        <v>0</v>
      </c>
      <c r="R627" s="33">
        <f t="shared" si="27"/>
        <v>0</v>
      </c>
      <c r="S627">
        <v>86</v>
      </c>
      <c r="T627">
        <v>126</v>
      </c>
      <c r="U627">
        <v>138</v>
      </c>
      <c r="V627">
        <v>180</v>
      </c>
      <c r="W627">
        <v>530</v>
      </c>
    </row>
    <row r="628" spans="1:23" x14ac:dyDescent="0.3">
      <c r="A628" s="19">
        <v>32</v>
      </c>
      <c r="B628" s="20" t="s">
        <v>81</v>
      </c>
      <c r="C628" s="21">
        <v>46242</v>
      </c>
      <c r="D628" s="20" t="s">
        <v>59</v>
      </c>
      <c r="E628" s="20" t="s">
        <v>60</v>
      </c>
      <c r="F628" s="20" t="s">
        <v>61</v>
      </c>
      <c r="G628" s="20" t="s">
        <v>42</v>
      </c>
      <c r="H628" s="19" t="s">
        <v>88</v>
      </c>
      <c r="I628" s="32">
        <v>153</v>
      </c>
      <c r="J628" s="32">
        <v>418</v>
      </c>
      <c r="K628" s="32">
        <v>427</v>
      </c>
      <c r="L628" s="32">
        <v>904</v>
      </c>
      <c r="M628" s="33">
        <f t="shared" si="26"/>
        <v>1902</v>
      </c>
      <c r="N628" s="32">
        <v>0</v>
      </c>
      <c r="O628" s="32">
        <v>0</v>
      </c>
      <c r="P628" s="34">
        <v>0</v>
      </c>
      <c r="Q628" s="32">
        <v>0</v>
      </c>
      <c r="R628" s="33">
        <f t="shared" si="27"/>
        <v>0</v>
      </c>
      <c r="S628">
        <v>26</v>
      </c>
      <c r="T628">
        <v>196</v>
      </c>
      <c r="U628">
        <v>166</v>
      </c>
      <c r="V628">
        <v>568</v>
      </c>
      <c r="W628">
        <v>956</v>
      </c>
    </row>
    <row r="629" spans="1:23" x14ac:dyDescent="0.3">
      <c r="A629" s="19">
        <v>32</v>
      </c>
      <c r="B629" s="20" t="s">
        <v>81</v>
      </c>
      <c r="C629" s="21">
        <v>46242</v>
      </c>
      <c r="D629" s="20" t="s">
        <v>75</v>
      </c>
      <c r="E629" s="20" t="s">
        <v>76</v>
      </c>
      <c r="F629" s="20" t="s">
        <v>77</v>
      </c>
      <c r="G629" s="20" t="s">
        <v>78</v>
      </c>
      <c r="H629" s="19" t="s">
        <v>73</v>
      </c>
      <c r="I629" s="32">
        <v>324</v>
      </c>
      <c r="J629" s="32">
        <v>502</v>
      </c>
      <c r="K629" s="32">
        <v>438</v>
      </c>
      <c r="L629" s="32">
        <v>1173</v>
      </c>
      <c r="M629" s="33">
        <f t="shared" si="26"/>
        <v>2437</v>
      </c>
      <c r="N629" s="32">
        <v>0</v>
      </c>
      <c r="O629" s="32">
        <v>0</v>
      </c>
      <c r="P629" s="34">
        <v>0</v>
      </c>
      <c r="Q629" s="32">
        <v>0</v>
      </c>
      <c r="R629" s="33">
        <f t="shared" si="27"/>
        <v>0</v>
      </c>
      <c r="S629">
        <v>46</v>
      </c>
      <c r="T629">
        <v>50</v>
      </c>
      <c r="U629">
        <v>30</v>
      </c>
      <c r="V629">
        <v>80</v>
      </c>
      <c r="W629">
        <v>206</v>
      </c>
    </row>
    <row r="630" spans="1:23" x14ac:dyDescent="0.3">
      <c r="A630" s="19">
        <v>32</v>
      </c>
      <c r="B630" s="20" t="s">
        <v>81</v>
      </c>
      <c r="C630" s="21">
        <v>46242</v>
      </c>
      <c r="D630" s="20" t="s">
        <v>75</v>
      </c>
      <c r="E630" s="20" t="s">
        <v>76</v>
      </c>
      <c r="F630" s="20" t="s">
        <v>77</v>
      </c>
      <c r="G630" s="20" t="s">
        <v>78</v>
      </c>
      <c r="H630" s="19" t="s">
        <v>71</v>
      </c>
      <c r="I630" s="32">
        <v>393</v>
      </c>
      <c r="J630" s="32">
        <v>812</v>
      </c>
      <c r="K630" s="32">
        <v>654</v>
      </c>
      <c r="L630" s="32">
        <v>962</v>
      </c>
      <c r="M630" s="33">
        <f t="shared" si="26"/>
        <v>2821</v>
      </c>
      <c r="N630" s="32">
        <v>0</v>
      </c>
      <c r="O630" s="32">
        <v>0</v>
      </c>
      <c r="P630" s="34">
        <v>0</v>
      </c>
      <c r="Q630" s="32">
        <v>0</v>
      </c>
      <c r="R630" s="33">
        <f t="shared" si="27"/>
        <v>0</v>
      </c>
      <c r="S630">
        <v>19</v>
      </c>
      <c r="T630">
        <v>21</v>
      </c>
      <c r="U630">
        <v>22</v>
      </c>
      <c r="V630">
        <v>46</v>
      </c>
      <c r="W630">
        <v>108</v>
      </c>
    </row>
    <row r="631" spans="1:23" x14ac:dyDescent="0.3">
      <c r="A631" s="19">
        <v>32</v>
      </c>
      <c r="B631" s="20" t="s">
        <v>81</v>
      </c>
      <c r="C631" s="21">
        <v>46242</v>
      </c>
      <c r="D631" s="20" t="s">
        <v>45</v>
      </c>
      <c r="E631" s="20" t="s">
        <v>89</v>
      </c>
      <c r="F631" s="20" t="s">
        <v>90</v>
      </c>
      <c r="G631" s="20" t="s">
        <v>42</v>
      </c>
      <c r="H631" s="19" t="s">
        <v>91</v>
      </c>
      <c r="I631" s="32">
        <v>120</v>
      </c>
      <c r="J631" s="32">
        <v>519</v>
      </c>
      <c r="K631" s="32">
        <v>720</v>
      </c>
      <c r="L631" s="32">
        <v>1011</v>
      </c>
      <c r="M631" s="33">
        <f t="shared" si="26"/>
        <v>2370</v>
      </c>
      <c r="N631" s="32">
        <v>0</v>
      </c>
      <c r="O631" s="32">
        <v>0</v>
      </c>
      <c r="P631" s="34">
        <v>0</v>
      </c>
      <c r="Q631" s="32">
        <v>0</v>
      </c>
      <c r="R631" s="33">
        <f t="shared" si="27"/>
        <v>0</v>
      </c>
      <c r="S631">
        <v>240</v>
      </c>
      <c r="T631">
        <v>210</v>
      </c>
      <c r="U631">
        <v>192</v>
      </c>
      <c r="V631">
        <v>284</v>
      </c>
      <c r="W631">
        <v>926</v>
      </c>
    </row>
    <row r="632" spans="1:23" x14ac:dyDescent="0.3">
      <c r="A632" s="19">
        <v>32</v>
      </c>
      <c r="B632" s="20" t="s">
        <v>81</v>
      </c>
      <c r="C632" s="21">
        <v>46242</v>
      </c>
      <c r="D632" s="20" t="s">
        <v>79</v>
      </c>
      <c r="E632" s="20" t="s">
        <v>80</v>
      </c>
      <c r="F632" s="20" t="s">
        <v>77</v>
      </c>
      <c r="G632" s="20" t="s">
        <v>78</v>
      </c>
      <c r="H632" s="19" t="s">
        <v>74</v>
      </c>
      <c r="I632" s="32">
        <v>580</v>
      </c>
      <c r="J632" s="32">
        <v>575</v>
      </c>
      <c r="K632" s="32">
        <v>660</v>
      </c>
      <c r="L632" s="32">
        <v>500</v>
      </c>
      <c r="M632" s="33">
        <f t="shared" si="26"/>
        <v>2315</v>
      </c>
      <c r="N632" s="32">
        <v>0</v>
      </c>
      <c r="O632" s="32">
        <v>0</v>
      </c>
      <c r="P632" s="34">
        <v>0</v>
      </c>
      <c r="Q632" s="32">
        <v>0</v>
      </c>
      <c r="R632" s="33">
        <f t="shared" si="27"/>
        <v>0</v>
      </c>
      <c r="S632">
        <v>85</v>
      </c>
      <c r="T632">
        <v>80</v>
      </c>
      <c r="U632">
        <v>180</v>
      </c>
      <c r="V632">
        <v>120</v>
      </c>
      <c r="W632">
        <v>465</v>
      </c>
    </row>
    <row r="633" spans="1:23" x14ac:dyDescent="0.3">
      <c r="A633" s="19">
        <v>32</v>
      </c>
      <c r="B633" s="20" t="s">
        <v>81</v>
      </c>
      <c r="C633" s="21">
        <v>46242</v>
      </c>
      <c r="D633" s="20" t="s">
        <v>59</v>
      </c>
      <c r="E633" s="20" t="s">
        <v>92</v>
      </c>
      <c r="F633" s="20" t="s">
        <v>61</v>
      </c>
      <c r="G633" s="20" t="s">
        <v>42</v>
      </c>
      <c r="H633" s="19" t="s">
        <v>93</v>
      </c>
      <c r="I633" s="32">
        <v>455</v>
      </c>
      <c r="J633" s="32">
        <v>542</v>
      </c>
      <c r="K633" s="32">
        <v>909</v>
      </c>
      <c r="L633" s="32">
        <v>516</v>
      </c>
      <c r="M633" s="33">
        <f t="shared" si="26"/>
        <v>2422</v>
      </c>
      <c r="N633" s="32">
        <v>0</v>
      </c>
      <c r="O633" s="32">
        <v>0</v>
      </c>
      <c r="P633" s="34">
        <v>0</v>
      </c>
      <c r="Q633" s="32">
        <v>0</v>
      </c>
      <c r="R633" s="33">
        <f t="shared" si="27"/>
        <v>0</v>
      </c>
      <c r="S633">
        <v>54</v>
      </c>
      <c r="T633">
        <v>45</v>
      </c>
      <c r="U633">
        <v>36</v>
      </c>
      <c r="V633">
        <v>195</v>
      </c>
      <c r="W633">
        <v>330</v>
      </c>
    </row>
    <row r="634" spans="1:23" x14ac:dyDescent="0.3">
      <c r="A634" s="19">
        <v>32</v>
      </c>
      <c r="B634" s="20" t="s">
        <v>81</v>
      </c>
      <c r="C634" s="21">
        <v>46242</v>
      </c>
      <c r="D634" s="20" t="s">
        <v>39</v>
      </c>
      <c r="E634" s="20" t="s">
        <v>94</v>
      </c>
      <c r="F634" s="20" t="s">
        <v>41</v>
      </c>
      <c r="G634" s="20" t="s">
        <v>42</v>
      </c>
      <c r="H634" s="19" t="s">
        <v>95</v>
      </c>
      <c r="I634" s="32">
        <v>0</v>
      </c>
      <c r="J634" s="32">
        <v>80</v>
      </c>
      <c r="K634" s="32">
        <v>240</v>
      </c>
      <c r="L634" s="32">
        <v>0</v>
      </c>
      <c r="M634" s="33">
        <f t="shared" si="26"/>
        <v>320</v>
      </c>
      <c r="N634" s="32">
        <v>0</v>
      </c>
      <c r="O634" s="32">
        <v>0</v>
      </c>
      <c r="P634" s="34">
        <v>0</v>
      </c>
      <c r="Q634" s="32">
        <v>0</v>
      </c>
      <c r="R634" s="33">
        <f t="shared" si="27"/>
        <v>0</v>
      </c>
      <c r="S634">
        <v>0</v>
      </c>
      <c r="T634">
        <v>360</v>
      </c>
      <c r="U634">
        <v>360</v>
      </c>
      <c r="V634">
        <v>0</v>
      </c>
      <c r="W634">
        <v>720</v>
      </c>
    </row>
    <row r="635" spans="1:23" x14ac:dyDescent="0.3">
      <c r="A635" s="19">
        <v>32</v>
      </c>
      <c r="B635" s="20" t="s">
        <v>81</v>
      </c>
      <c r="C635" s="21">
        <v>46242</v>
      </c>
      <c r="D635" s="20" t="s">
        <v>39</v>
      </c>
      <c r="E635" s="20" t="s">
        <v>43</v>
      </c>
      <c r="F635" s="20" t="s">
        <v>41</v>
      </c>
      <c r="G635" s="20" t="s">
        <v>42</v>
      </c>
      <c r="H635" s="19" t="s">
        <v>96</v>
      </c>
      <c r="I635" s="32">
        <v>242</v>
      </c>
      <c r="J635" s="32">
        <v>101</v>
      </c>
      <c r="K635" s="32">
        <v>10</v>
      </c>
      <c r="L635" s="32">
        <v>610</v>
      </c>
      <c r="M635" s="33">
        <f t="shared" si="26"/>
        <v>963</v>
      </c>
      <c r="N635" s="32">
        <v>0</v>
      </c>
      <c r="O635" s="32">
        <v>0</v>
      </c>
      <c r="P635" s="34">
        <v>0</v>
      </c>
      <c r="Q635" s="32">
        <v>0</v>
      </c>
      <c r="R635" s="33">
        <f t="shared" si="27"/>
        <v>0</v>
      </c>
      <c r="S635">
        <v>42</v>
      </c>
      <c r="T635">
        <v>94</v>
      </c>
      <c r="U635">
        <v>90</v>
      </c>
      <c r="V635">
        <v>150</v>
      </c>
      <c r="W635">
        <v>376</v>
      </c>
    </row>
    <row r="636" spans="1:23" x14ac:dyDescent="0.3">
      <c r="A636" s="19">
        <v>32</v>
      </c>
      <c r="B636" s="20" t="s">
        <v>81</v>
      </c>
      <c r="C636" s="21">
        <v>46242</v>
      </c>
      <c r="D636" s="20" t="s">
        <v>75</v>
      </c>
      <c r="E636" s="20" t="s">
        <v>76</v>
      </c>
      <c r="F636" s="20" t="s">
        <v>77</v>
      </c>
      <c r="G636" s="20" t="s">
        <v>78</v>
      </c>
      <c r="H636" s="19" t="s">
        <v>70</v>
      </c>
      <c r="I636" s="32">
        <v>1049</v>
      </c>
      <c r="J636" s="32">
        <v>836</v>
      </c>
      <c r="K636" s="32">
        <v>1605</v>
      </c>
      <c r="L636" s="32">
        <v>1702</v>
      </c>
      <c r="M636" s="33">
        <f t="shared" si="26"/>
        <v>5192</v>
      </c>
      <c r="N636" s="32">
        <v>0</v>
      </c>
      <c r="O636" s="32">
        <v>0</v>
      </c>
      <c r="P636" s="34">
        <v>0</v>
      </c>
      <c r="Q636" s="32">
        <v>0</v>
      </c>
      <c r="R636" s="33">
        <f t="shared" si="27"/>
        <v>0</v>
      </c>
      <c r="S636">
        <v>107</v>
      </c>
      <c r="T636">
        <v>80</v>
      </c>
      <c r="U636">
        <v>74</v>
      </c>
      <c r="V636">
        <v>174</v>
      </c>
      <c r="W636">
        <v>435</v>
      </c>
    </row>
    <row r="637" spans="1:23" x14ac:dyDescent="0.3">
      <c r="A637" s="19">
        <v>32</v>
      </c>
      <c r="B637" s="20" t="s">
        <v>81</v>
      </c>
      <c r="C637" s="21">
        <v>46242</v>
      </c>
      <c r="D637" s="20" t="s">
        <v>75</v>
      </c>
      <c r="E637" s="20" t="s">
        <v>76</v>
      </c>
      <c r="F637" s="20" t="s">
        <v>77</v>
      </c>
      <c r="G637" s="20" t="s">
        <v>78</v>
      </c>
      <c r="H637" s="19" t="s">
        <v>72</v>
      </c>
      <c r="I637" s="32">
        <v>536</v>
      </c>
      <c r="J637" s="32">
        <v>818</v>
      </c>
      <c r="K637" s="32">
        <v>670</v>
      </c>
      <c r="L637" s="32">
        <v>1532</v>
      </c>
      <c r="M637" s="33">
        <f t="shared" si="26"/>
        <v>3556</v>
      </c>
      <c r="N637" s="32">
        <v>0</v>
      </c>
      <c r="O637" s="32">
        <v>0</v>
      </c>
      <c r="P637" s="34">
        <v>0</v>
      </c>
      <c r="Q637" s="32">
        <v>0</v>
      </c>
      <c r="R637" s="33">
        <f t="shared" si="27"/>
        <v>0</v>
      </c>
      <c r="S637">
        <v>74</v>
      </c>
      <c r="T637">
        <v>84</v>
      </c>
      <c r="U637">
        <v>80</v>
      </c>
      <c r="V637">
        <v>168</v>
      </c>
      <c r="W637">
        <v>406</v>
      </c>
    </row>
    <row r="638" spans="1:23" x14ac:dyDescent="0.3">
      <c r="A638" s="19">
        <v>32</v>
      </c>
      <c r="B638" s="20" t="s">
        <v>81</v>
      </c>
      <c r="C638" s="21">
        <v>46242</v>
      </c>
      <c r="D638" s="20" t="s">
        <v>45</v>
      </c>
      <c r="E638" s="20" t="s">
        <v>89</v>
      </c>
      <c r="F638" s="20" t="s">
        <v>90</v>
      </c>
      <c r="G638" s="20" t="s">
        <v>42</v>
      </c>
      <c r="H638" s="19" t="s">
        <v>97</v>
      </c>
      <c r="I638" s="32">
        <v>304</v>
      </c>
      <c r="J638" s="32">
        <v>243</v>
      </c>
      <c r="K638" s="32">
        <v>291</v>
      </c>
      <c r="L638" s="32">
        <v>334</v>
      </c>
      <c r="M638" s="33">
        <f t="shared" si="26"/>
        <v>1172</v>
      </c>
      <c r="N638" s="32">
        <v>0</v>
      </c>
      <c r="O638" s="32">
        <v>0</v>
      </c>
      <c r="P638" s="34">
        <v>0</v>
      </c>
      <c r="Q638" s="32">
        <v>0</v>
      </c>
      <c r="R638" s="33">
        <f t="shared" si="27"/>
        <v>0</v>
      </c>
      <c r="S638">
        <v>24</v>
      </c>
      <c r="T638">
        <v>50</v>
      </c>
      <c r="U638">
        <v>40</v>
      </c>
      <c r="V638">
        <v>224</v>
      </c>
      <c r="W638">
        <v>338</v>
      </c>
    </row>
    <row r="639" spans="1:23" x14ac:dyDescent="0.3">
      <c r="A639" s="19">
        <v>32</v>
      </c>
      <c r="B639" s="20" t="s">
        <v>81</v>
      </c>
      <c r="C639" s="21">
        <v>46242</v>
      </c>
      <c r="D639" s="20" t="s">
        <v>39</v>
      </c>
      <c r="E639" s="20" t="s">
        <v>98</v>
      </c>
      <c r="F639" s="20" t="s">
        <v>41</v>
      </c>
      <c r="G639" s="20" t="s">
        <v>42</v>
      </c>
      <c r="H639" s="19" t="s">
        <v>99</v>
      </c>
      <c r="I639" s="32">
        <v>874</v>
      </c>
      <c r="J639" s="32">
        <v>1068</v>
      </c>
      <c r="K639" s="32">
        <v>982</v>
      </c>
      <c r="L639" s="32">
        <v>1819</v>
      </c>
      <c r="M639" s="33">
        <f t="shared" si="26"/>
        <v>4743</v>
      </c>
      <c r="N639" s="32">
        <v>0</v>
      </c>
      <c r="O639" s="32">
        <v>0</v>
      </c>
      <c r="P639" s="34">
        <v>0</v>
      </c>
      <c r="Q639" s="32">
        <v>0</v>
      </c>
      <c r="R639" s="33">
        <f t="shared" si="27"/>
        <v>0</v>
      </c>
      <c r="S639">
        <v>52</v>
      </c>
      <c r="T639">
        <v>98</v>
      </c>
      <c r="U639">
        <v>60</v>
      </c>
      <c r="V639">
        <v>238</v>
      </c>
      <c r="W639">
        <v>448</v>
      </c>
    </row>
    <row r="640" spans="1:23" x14ac:dyDescent="0.3">
      <c r="A640" s="19">
        <v>32</v>
      </c>
      <c r="B640" s="20" t="s">
        <v>81</v>
      </c>
      <c r="C640" s="21">
        <v>46242</v>
      </c>
      <c r="D640" s="20" t="s">
        <v>45</v>
      </c>
      <c r="E640" s="20" t="s">
        <v>105</v>
      </c>
      <c r="F640" s="20" t="s">
        <v>90</v>
      </c>
      <c r="G640" s="20" t="s">
        <v>42</v>
      </c>
      <c r="H640" s="19" t="s">
        <v>113</v>
      </c>
      <c r="I640" s="32">
        <v>546</v>
      </c>
      <c r="J640" s="32">
        <v>2538</v>
      </c>
      <c r="K640" s="32">
        <v>3197</v>
      </c>
      <c r="L640" s="32">
        <v>2365</v>
      </c>
      <c r="M640" s="33">
        <f t="shared" si="26"/>
        <v>8646</v>
      </c>
      <c r="N640" s="32">
        <v>0</v>
      </c>
      <c r="O640" s="32">
        <v>0</v>
      </c>
      <c r="P640" s="34">
        <v>0</v>
      </c>
      <c r="Q640" s="32">
        <v>0</v>
      </c>
      <c r="R640" s="33">
        <f t="shared" si="27"/>
        <v>0</v>
      </c>
      <c r="S640">
        <v>5</v>
      </c>
      <c r="T640">
        <v>32</v>
      </c>
      <c r="U640">
        <v>19</v>
      </c>
      <c r="V640">
        <v>126</v>
      </c>
      <c r="W640">
        <v>182</v>
      </c>
    </row>
    <row r="641" spans="1:23" x14ac:dyDescent="0.3">
      <c r="A641" s="19">
        <v>32</v>
      </c>
      <c r="B641" s="20" t="s">
        <v>81</v>
      </c>
      <c r="C641" s="21">
        <v>46242</v>
      </c>
      <c r="D641" s="20" t="s">
        <v>100</v>
      </c>
      <c r="E641" s="20" t="s">
        <v>101</v>
      </c>
      <c r="F641" s="20" t="s">
        <v>41</v>
      </c>
      <c r="G641" s="20" t="s">
        <v>42</v>
      </c>
      <c r="H641" s="19" t="s">
        <v>102</v>
      </c>
      <c r="I641" s="32">
        <v>296</v>
      </c>
      <c r="J641" s="32">
        <v>647</v>
      </c>
      <c r="K641" s="32">
        <v>193</v>
      </c>
      <c r="L641" s="32">
        <v>26</v>
      </c>
      <c r="M641" s="33">
        <f t="shared" si="26"/>
        <v>1162</v>
      </c>
      <c r="N641" s="32">
        <v>0</v>
      </c>
      <c r="O641" s="32">
        <v>0</v>
      </c>
      <c r="P641" s="34">
        <v>0</v>
      </c>
      <c r="Q641" s="32">
        <v>0</v>
      </c>
      <c r="R641" s="33">
        <f t="shared" si="27"/>
        <v>0</v>
      </c>
      <c r="S641">
        <v>44</v>
      </c>
      <c r="T641">
        <v>100</v>
      </c>
      <c r="U641">
        <v>147</v>
      </c>
      <c r="V641">
        <v>180</v>
      </c>
      <c r="W641">
        <v>471</v>
      </c>
    </row>
    <row r="642" spans="1:23" x14ac:dyDescent="0.3">
      <c r="A642" s="19">
        <v>32</v>
      </c>
      <c r="B642" s="20" t="s">
        <v>81</v>
      </c>
      <c r="C642" s="21">
        <v>46242</v>
      </c>
      <c r="D642" s="20" t="s">
        <v>39</v>
      </c>
      <c r="E642" s="20" t="s">
        <v>43</v>
      </c>
      <c r="F642" s="20" t="s">
        <v>41</v>
      </c>
      <c r="G642" s="20" t="s">
        <v>42</v>
      </c>
      <c r="H642" s="19" t="s">
        <v>103</v>
      </c>
      <c r="I642" s="32">
        <v>0</v>
      </c>
      <c r="J642" s="32">
        <v>0</v>
      </c>
      <c r="K642" s="32">
        <v>804</v>
      </c>
      <c r="L642" s="32">
        <v>308</v>
      </c>
      <c r="M642" s="33">
        <f t="shared" si="26"/>
        <v>1112</v>
      </c>
      <c r="N642" s="32">
        <v>0</v>
      </c>
      <c r="O642" s="32">
        <v>0</v>
      </c>
      <c r="P642" s="34">
        <v>0</v>
      </c>
      <c r="Q642" s="32">
        <v>0</v>
      </c>
      <c r="R642" s="33">
        <f t="shared" si="27"/>
        <v>0</v>
      </c>
      <c r="S642">
        <v>0</v>
      </c>
      <c r="T642">
        <v>0</v>
      </c>
      <c r="U642">
        <v>84</v>
      </c>
      <c r="V642">
        <v>480</v>
      </c>
      <c r="W642">
        <v>564</v>
      </c>
    </row>
    <row r="643" spans="1:23" x14ac:dyDescent="0.3">
      <c r="A643" s="19">
        <v>32</v>
      </c>
      <c r="B643" s="20" t="s">
        <v>81</v>
      </c>
      <c r="C643" s="21">
        <v>46242</v>
      </c>
      <c r="D643" s="20" t="s">
        <v>59</v>
      </c>
      <c r="E643" s="20" t="s">
        <v>60</v>
      </c>
      <c r="F643" s="20" t="s">
        <v>61</v>
      </c>
      <c r="G643" s="20" t="s">
        <v>42</v>
      </c>
      <c r="H643" s="19" t="s">
        <v>104</v>
      </c>
      <c r="I643" s="32">
        <v>0</v>
      </c>
      <c r="J643" s="32">
        <v>605</v>
      </c>
      <c r="K643" s="32">
        <v>1185</v>
      </c>
      <c r="L643" s="32">
        <v>495</v>
      </c>
      <c r="M643" s="33">
        <f t="shared" si="26"/>
        <v>2285</v>
      </c>
      <c r="N643" s="32">
        <v>0</v>
      </c>
      <c r="O643" s="32">
        <v>0</v>
      </c>
      <c r="P643" s="34">
        <v>0</v>
      </c>
      <c r="Q643" s="32">
        <v>0</v>
      </c>
      <c r="R643" s="33">
        <f t="shared" si="27"/>
        <v>0</v>
      </c>
      <c r="S643">
        <v>0</v>
      </c>
      <c r="T643">
        <v>120</v>
      </c>
      <c r="U643">
        <v>110</v>
      </c>
      <c r="V643">
        <v>135</v>
      </c>
      <c r="W643">
        <v>365</v>
      </c>
    </row>
    <row r="644" spans="1:23" x14ac:dyDescent="0.3">
      <c r="A644" s="19">
        <v>32</v>
      </c>
      <c r="B644" s="20" t="s">
        <v>81</v>
      </c>
      <c r="C644" s="21">
        <v>46242</v>
      </c>
      <c r="D644" s="20" t="s">
        <v>82</v>
      </c>
      <c r="E644" s="20" t="s">
        <v>114</v>
      </c>
      <c r="F644" s="20" t="s">
        <v>115</v>
      </c>
      <c r="G644" s="20" t="s">
        <v>42</v>
      </c>
      <c r="H644" s="19" t="s">
        <v>116</v>
      </c>
      <c r="I644" s="32">
        <v>18</v>
      </c>
      <c r="J644" s="32">
        <v>1463</v>
      </c>
      <c r="K644" s="32">
        <v>1009</v>
      </c>
      <c r="L644" s="32">
        <v>1128</v>
      </c>
      <c r="M644" s="33">
        <f t="shared" si="26"/>
        <v>3618</v>
      </c>
      <c r="N644" s="32">
        <v>0</v>
      </c>
      <c r="O644" s="32">
        <v>0</v>
      </c>
      <c r="P644" s="34">
        <v>0</v>
      </c>
      <c r="Q644" s="32">
        <v>0</v>
      </c>
      <c r="R644" s="33">
        <f t="shared" si="27"/>
        <v>0</v>
      </c>
      <c r="S644">
        <v>66</v>
      </c>
      <c r="T644">
        <v>176</v>
      </c>
      <c r="U644">
        <v>384</v>
      </c>
      <c r="V644">
        <v>204</v>
      </c>
      <c r="W644">
        <v>830</v>
      </c>
    </row>
    <row r="645" spans="1:23" x14ac:dyDescent="0.3">
      <c r="A645" s="19">
        <v>32</v>
      </c>
      <c r="B645" s="20" t="s">
        <v>81</v>
      </c>
      <c r="C645" s="21">
        <v>46242</v>
      </c>
      <c r="D645" s="20" t="s">
        <v>39</v>
      </c>
      <c r="E645" s="20" t="s">
        <v>56</v>
      </c>
      <c r="F645" s="20" t="s">
        <v>41</v>
      </c>
      <c r="G645" s="20" t="s">
        <v>42</v>
      </c>
      <c r="H645" s="19" t="s">
        <v>57</v>
      </c>
      <c r="I645" s="32">
        <v>0</v>
      </c>
      <c r="J645" s="32">
        <v>85</v>
      </c>
      <c r="K645" s="32">
        <v>75</v>
      </c>
      <c r="L645" s="32">
        <v>27</v>
      </c>
      <c r="M645" s="33">
        <f t="shared" si="26"/>
        <v>187</v>
      </c>
      <c r="N645" s="32">
        <v>0</v>
      </c>
      <c r="O645" s="32">
        <v>55</v>
      </c>
      <c r="P645" s="34">
        <v>35</v>
      </c>
      <c r="Q645" s="32">
        <v>10</v>
      </c>
      <c r="R645" s="33">
        <f t="shared" si="27"/>
        <v>100</v>
      </c>
      <c r="S645">
        <v>0</v>
      </c>
      <c r="T645">
        <v>65</v>
      </c>
      <c r="U645">
        <v>85</v>
      </c>
      <c r="V645">
        <v>50</v>
      </c>
      <c r="W645">
        <v>200</v>
      </c>
    </row>
    <row r="646" spans="1:23" x14ac:dyDescent="0.3">
      <c r="A646" s="19">
        <v>32</v>
      </c>
      <c r="B646" s="20" t="s">
        <v>81</v>
      </c>
      <c r="C646" s="21">
        <v>46242</v>
      </c>
      <c r="D646" s="20" t="s">
        <v>45</v>
      </c>
      <c r="E646" s="20" t="s">
        <v>105</v>
      </c>
      <c r="F646" s="20" t="s">
        <v>90</v>
      </c>
      <c r="G646" s="20" t="s">
        <v>42</v>
      </c>
      <c r="H646" s="19" t="s">
        <v>106</v>
      </c>
      <c r="I646" s="32">
        <v>885</v>
      </c>
      <c r="J646" s="32">
        <v>982</v>
      </c>
      <c r="K646" s="32">
        <v>885</v>
      </c>
      <c r="L646" s="32">
        <v>795</v>
      </c>
      <c r="M646" s="33">
        <f t="shared" si="26"/>
        <v>3547</v>
      </c>
      <c r="N646" s="32">
        <v>0</v>
      </c>
      <c r="O646" s="32">
        <v>0</v>
      </c>
      <c r="P646" s="34">
        <v>0</v>
      </c>
      <c r="Q646" s="32">
        <v>0</v>
      </c>
      <c r="R646" s="33">
        <f t="shared" si="27"/>
        <v>0</v>
      </c>
      <c r="S646">
        <v>67</v>
      </c>
      <c r="T646">
        <v>114</v>
      </c>
      <c r="U646">
        <v>112</v>
      </c>
      <c r="V646">
        <v>154</v>
      </c>
      <c r="W646">
        <v>447</v>
      </c>
    </row>
    <row r="647" spans="1:23" x14ac:dyDescent="0.3">
      <c r="A647" s="19">
        <v>32</v>
      </c>
      <c r="B647" s="20" t="s">
        <v>81</v>
      </c>
      <c r="C647" s="21">
        <v>46242</v>
      </c>
      <c r="D647" s="20" t="s">
        <v>45</v>
      </c>
      <c r="E647" s="20" t="s">
        <v>107</v>
      </c>
      <c r="F647" s="20" t="s">
        <v>90</v>
      </c>
      <c r="G647" s="20" t="s">
        <v>42</v>
      </c>
      <c r="H647" s="19" t="s">
        <v>108</v>
      </c>
      <c r="I647" s="32">
        <v>601</v>
      </c>
      <c r="J647" s="32">
        <v>671</v>
      </c>
      <c r="K647" s="32">
        <v>665</v>
      </c>
      <c r="L647" s="32">
        <v>602</v>
      </c>
      <c r="M647" s="33">
        <f t="shared" ref="M647:M710" si="28">SUM(I647:L647)</f>
        <v>2539</v>
      </c>
      <c r="N647" s="32">
        <v>0</v>
      </c>
      <c r="O647" s="32">
        <v>0</v>
      </c>
      <c r="P647" s="34">
        <v>0</v>
      </c>
      <c r="Q647" s="32">
        <v>0</v>
      </c>
      <c r="R647" s="33">
        <f t="shared" ref="R647:R710" si="29">SUM(N647:Q647)</f>
        <v>0</v>
      </c>
      <c r="S647">
        <v>88</v>
      </c>
      <c r="T647">
        <v>104</v>
      </c>
      <c r="U647">
        <v>110</v>
      </c>
      <c r="V647">
        <v>196</v>
      </c>
      <c r="W647">
        <v>498</v>
      </c>
    </row>
    <row r="648" spans="1:23" x14ac:dyDescent="0.3">
      <c r="A648" s="19">
        <v>32</v>
      </c>
      <c r="B648" s="20" t="s">
        <v>81</v>
      </c>
      <c r="C648" s="21">
        <v>46242</v>
      </c>
      <c r="D648" s="20" t="s">
        <v>45</v>
      </c>
      <c r="E648" s="20" t="s">
        <v>107</v>
      </c>
      <c r="F648" s="20" t="s">
        <v>90</v>
      </c>
      <c r="G648" s="20" t="s">
        <v>42</v>
      </c>
      <c r="H648" s="19" t="s">
        <v>109</v>
      </c>
      <c r="I648" s="32">
        <v>300</v>
      </c>
      <c r="J648" s="32">
        <v>290</v>
      </c>
      <c r="K648" s="32">
        <v>148</v>
      </c>
      <c r="L648" s="32">
        <v>282</v>
      </c>
      <c r="M648" s="33">
        <f t="shared" si="28"/>
        <v>1020</v>
      </c>
      <c r="N648" s="32">
        <v>0</v>
      </c>
      <c r="O648" s="32">
        <v>0</v>
      </c>
      <c r="P648" s="34">
        <v>0</v>
      </c>
      <c r="Q648" s="32">
        <v>0</v>
      </c>
      <c r="R648" s="33">
        <f t="shared" si="29"/>
        <v>0</v>
      </c>
      <c r="S648">
        <v>68</v>
      </c>
      <c r="T648">
        <v>204</v>
      </c>
      <c r="U648">
        <v>150</v>
      </c>
      <c r="V648">
        <v>606</v>
      </c>
      <c r="W648">
        <v>1028</v>
      </c>
    </row>
    <row r="649" spans="1:23" x14ac:dyDescent="0.3">
      <c r="A649" s="19">
        <v>32</v>
      </c>
      <c r="B649" s="20" t="s">
        <v>81</v>
      </c>
      <c r="C649" s="21">
        <v>46242</v>
      </c>
      <c r="D649" s="20" t="s">
        <v>59</v>
      </c>
      <c r="E649" s="20" t="s">
        <v>110</v>
      </c>
      <c r="F649" s="20" t="s">
        <v>61</v>
      </c>
      <c r="G649" s="20" t="s">
        <v>42</v>
      </c>
      <c r="H649" s="19" t="s">
        <v>111</v>
      </c>
      <c r="I649" s="32">
        <v>230</v>
      </c>
      <c r="J649" s="32">
        <v>270</v>
      </c>
      <c r="K649" s="32">
        <v>362</v>
      </c>
      <c r="L649" s="32">
        <v>137</v>
      </c>
      <c r="M649" s="33">
        <f t="shared" si="28"/>
        <v>999</v>
      </c>
      <c r="N649" s="32">
        <v>0</v>
      </c>
      <c r="O649" s="32">
        <v>0</v>
      </c>
      <c r="P649" s="34">
        <v>0</v>
      </c>
      <c r="Q649" s="32">
        <v>0</v>
      </c>
      <c r="R649" s="33">
        <f t="shared" si="29"/>
        <v>0</v>
      </c>
      <c r="S649">
        <v>10</v>
      </c>
      <c r="T649">
        <v>108</v>
      </c>
      <c r="U649">
        <v>228</v>
      </c>
      <c r="V649">
        <v>178</v>
      </c>
      <c r="W649">
        <v>524</v>
      </c>
    </row>
    <row r="650" spans="1:23" x14ac:dyDescent="0.3">
      <c r="A650" s="19">
        <v>32</v>
      </c>
      <c r="B650" s="20" t="s">
        <v>81</v>
      </c>
      <c r="C650" s="21">
        <v>46242</v>
      </c>
      <c r="D650" s="20" t="s">
        <v>39</v>
      </c>
      <c r="E650" s="20" t="s">
        <v>58</v>
      </c>
      <c r="F650" s="20" t="s">
        <v>41</v>
      </c>
      <c r="G650" s="20" t="s">
        <v>86</v>
      </c>
      <c r="H650" s="19" t="s">
        <v>112</v>
      </c>
      <c r="I650" s="32">
        <v>214</v>
      </c>
      <c r="J650" s="32">
        <v>463</v>
      </c>
      <c r="K650" s="32">
        <v>686</v>
      </c>
      <c r="L650" s="32">
        <v>2265</v>
      </c>
      <c r="M650" s="33">
        <f t="shared" si="28"/>
        <v>3628</v>
      </c>
      <c r="N650" s="32">
        <v>0</v>
      </c>
      <c r="O650" s="32">
        <v>0</v>
      </c>
      <c r="P650" s="34">
        <v>0</v>
      </c>
      <c r="Q650" s="32">
        <v>0</v>
      </c>
      <c r="R650" s="33">
        <f t="shared" si="29"/>
        <v>0</v>
      </c>
      <c r="S650">
        <v>152</v>
      </c>
      <c r="T650">
        <v>148</v>
      </c>
      <c r="U650">
        <v>130</v>
      </c>
      <c r="V650">
        <v>170</v>
      </c>
      <c r="W650">
        <v>600</v>
      </c>
    </row>
    <row r="651" spans="1:23" x14ac:dyDescent="0.3">
      <c r="A651" s="19">
        <v>32</v>
      </c>
      <c r="B651" s="20" t="s">
        <v>81</v>
      </c>
      <c r="C651" s="21">
        <v>46243</v>
      </c>
      <c r="D651" s="20" t="s">
        <v>82</v>
      </c>
      <c r="E651" s="20" t="s">
        <v>83</v>
      </c>
      <c r="F651" s="20" t="s">
        <v>84</v>
      </c>
      <c r="G651" s="20" t="s">
        <v>42</v>
      </c>
      <c r="H651" s="19" t="s">
        <v>85</v>
      </c>
      <c r="I651" s="32">
        <v>488</v>
      </c>
      <c r="J651" s="32">
        <v>330</v>
      </c>
      <c r="K651" s="32">
        <v>400</v>
      </c>
      <c r="L651" s="32">
        <v>1008</v>
      </c>
      <c r="M651" s="33">
        <f t="shared" si="28"/>
        <v>2226</v>
      </c>
      <c r="N651" s="32">
        <v>0</v>
      </c>
      <c r="O651" s="32">
        <v>0</v>
      </c>
      <c r="P651" s="34">
        <v>0</v>
      </c>
      <c r="Q651" s="32">
        <v>0</v>
      </c>
      <c r="R651" s="33">
        <f t="shared" si="29"/>
        <v>0</v>
      </c>
      <c r="S651">
        <v>24</v>
      </c>
      <c r="T651">
        <v>48</v>
      </c>
      <c r="U651">
        <v>52</v>
      </c>
      <c r="V651">
        <v>218</v>
      </c>
      <c r="W651">
        <v>342</v>
      </c>
    </row>
    <row r="652" spans="1:23" x14ac:dyDescent="0.3">
      <c r="A652" s="19">
        <v>32</v>
      </c>
      <c r="B652" s="20" t="s">
        <v>81</v>
      </c>
      <c r="C652" s="21">
        <v>46243</v>
      </c>
      <c r="D652" s="20" t="s">
        <v>39</v>
      </c>
      <c r="E652" s="20" t="s">
        <v>43</v>
      </c>
      <c r="F652" s="20" t="s">
        <v>41</v>
      </c>
      <c r="G652" s="20" t="s">
        <v>86</v>
      </c>
      <c r="H652" s="19" t="s">
        <v>87</v>
      </c>
      <c r="I652" s="32">
        <v>21</v>
      </c>
      <c r="J652" s="32">
        <v>273</v>
      </c>
      <c r="K652" s="32">
        <v>184</v>
      </c>
      <c r="L652" s="32">
        <v>105</v>
      </c>
      <c r="M652" s="33">
        <f t="shared" si="28"/>
        <v>583</v>
      </c>
      <c r="N652" s="32">
        <v>0</v>
      </c>
      <c r="O652" s="32">
        <v>0</v>
      </c>
      <c r="P652" s="34">
        <v>0</v>
      </c>
      <c r="Q652" s="32">
        <v>0</v>
      </c>
      <c r="R652" s="33">
        <f t="shared" si="29"/>
        <v>0</v>
      </c>
      <c r="S652">
        <v>99</v>
      </c>
      <c r="T652">
        <v>126</v>
      </c>
      <c r="U652">
        <v>138</v>
      </c>
      <c r="V652">
        <v>180</v>
      </c>
      <c r="W652">
        <v>543</v>
      </c>
    </row>
    <row r="653" spans="1:23" x14ac:dyDescent="0.3">
      <c r="A653" s="19">
        <v>32</v>
      </c>
      <c r="B653" s="20" t="s">
        <v>81</v>
      </c>
      <c r="C653" s="21">
        <v>46243</v>
      </c>
      <c r="D653" s="20" t="s">
        <v>59</v>
      </c>
      <c r="E653" s="20" t="s">
        <v>60</v>
      </c>
      <c r="F653" s="20" t="s">
        <v>61</v>
      </c>
      <c r="G653" s="20" t="s">
        <v>42</v>
      </c>
      <c r="H653" s="19" t="s">
        <v>88</v>
      </c>
      <c r="I653" s="32">
        <v>95</v>
      </c>
      <c r="J653" s="32">
        <v>296</v>
      </c>
      <c r="K653" s="32">
        <v>309</v>
      </c>
      <c r="L653" s="32">
        <v>678</v>
      </c>
      <c r="M653" s="33">
        <f t="shared" si="28"/>
        <v>1378</v>
      </c>
      <c r="N653" s="32">
        <v>0</v>
      </c>
      <c r="O653" s="32">
        <v>0</v>
      </c>
      <c r="P653" s="34">
        <v>0</v>
      </c>
      <c r="Q653" s="32">
        <v>0</v>
      </c>
      <c r="R653" s="33">
        <f t="shared" si="29"/>
        <v>0</v>
      </c>
      <c r="S653">
        <v>58</v>
      </c>
      <c r="T653">
        <v>196</v>
      </c>
      <c r="U653">
        <v>166</v>
      </c>
      <c r="V653">
        <v>568</v>
      </c>
      <c r="W653">
        <v>988</v>
      </c>
    </row>
    <row r="654" spans="1:23" x14ac:dyDescent="0.3">
      <c r="A654" s="19">
        <v>32</v>
      </c>
      <c r="B654" s="20" t="s">
        <v>81</v>
      </c>
      <c r="C654" s="21">
        <v>46243</v>
      </c>
      <c r="D654" s="20" t="s">
        <v>75</v>
      </c>
      <c r="E654" s="20" t="s">
        <v>76</v>
      </c>
      <c r="F654" s="20" t="s">
        <v>77</v>
      </c>
      <c r="G654" s="20" t="s">
        <v>78</v>
      </c>
      <c r="H654" s="19" t="s">
        <v>73</v>
      </c>
      <c r="I654" s="32">
        <v>294</v>
      </c>
      <c r="J654" s="32">
        <v>450</v>
      </c>
      <c r="K654" s="32">
        <v>398</v>
      </c>
      <c r="L654" s="32">
        <v>1083</v>
      </c>
      <c r="M654" s="33">
        <f t="shared" si="28"/>
        <v>2225</v>
      </c>
      <c r="N654" s="32">
        <v>0</v>
      </c>
      <c r="O654" s="32">
        <v>0</v>
      </c>
      <c r="P654" s="34">
        <v>0</v>
      </c>
      <c r="Q654" s="32">
        <v>0</v>
      </c>
      <c r="R654" s="33">
        <f t="shared" si="29"/>
        <v>0</v>
      </c>
      <c r="S654">
        <v>30</v>
      </c>
      <c r="T654">
        <v>52</v>
      </c>
      <c r="U654">
        <v>40</v>
      </c>
      <c r="V654">
        <v>90</v>
      </c>
      <c r="W654">
        <v>212</v>
      </c>
    </row>
    <row r="655" spans="1:23" x14ac:dyDescent="0.3">
      <c r="A655" s="19">
        <v>32</v>
      </c>
      <c r="B655" s="20" t="s">
        <v>81</v>
      </c>
      <c r="C655" s="21">
        <v>46243</v>
      </c>
      <c r="D655" s="20" t="s">
        <v>75</v>
      </c>
      <c r="E655" s="20" t="s">
        <v>76</v>
      </c>
      <c r="F655" s="20" t="s">
        <v>77</v>
      </c>
      <c r="G655" s="20" t="s">
        <v>78</v>
      </c>
      <c r="H655" s="19" t="s">
        <v>71</v>
      </c>
      <c r="I655" s="32">
        <v>363</v>
      </c>
      <c r="J655" s="32">
        <v>762</v>
      </c>
      <c r="K655" s="32">
        <v>610</v>
      </c>
      <c r="L655" s="32">
        <v>854</v>
      </c>
      <c r="M655" s="33">
        <f t="shared" si="28"/>
        <v>2589</v>
      </c>
      <c r="N655" s="32">
        <v>0</v>
      </c>
      <c r="O655" s="32">
        <v>0</v>
      </c>
      <c r="P655" s="34">
        <v>0</v>
      </c>
      <c r="Q655" s="32">
        <v>0</v>
      </c>
      <c r="R655" s="33">
        <f t="shared" si="29"/>
        <v>0</v>
      </c>
      <c r="S655">
        <v>15</v>
      </c>
      <c r="T655">
        <v>26</v>
      </c>
      <c r="U655">
        <v>20</v>
      </c>
      <c r="V655">
        <v>58</v>
      </c>
      <c r="W655">
        <v>119</v>
      </c>
    </row>
    <row r="656" spans="1:23" x14ac:dyDescent="0.3">
      <c r="A656" s="19">
        <v>32</v>
      </c>
      <c r="B656" s="20" t="s">
        <v>81</v>
      </c>
      <c r="C656" s="21">
        <v>46243</v>
      </c>
      <c r="D656" s="20" t="s">
        <v>45</v>
      </c>
      <c r="E656" s="20" t="s">
        <v>89</v>
      </c>
      <c r="F656" s="20" t="s">
        <v>90</v>
      </c>
      <c r="G656" s="20" t="s">
        <v>42</v>
      </c>
      <c r="H656" s="19" t="s">
        <v>91</v>
      </c>
      <c r="I656" s="32">
        <v>572</v>
      </c>
      <c r="J656" s="32">
        <v>1628</v>
      </c>
      <c r="K656" s="32">
        <v>1800</v>
      </c>
      <c r="L656" s="32">
        <v>1946</v>
      </c>
      <c r="M656" s="33">
        <f t="shared" si="28"/>
        <v>5946</v>
      </c>
      <c r="N656" s="32">
        <v>0</v>
      </c>
      <c r="O656" s="32">
        <v>0</v>
      </c>
      <c r="P656" s="34">
        <v>0</v>
      </c>
      <c r="Q656" s="32">
        <v>0</v>
      </c>
      <c r="R656" s="33">
        <f t="shared" si="29"/>
        <v>0</v>
      </c>
      <c r="S656">
        <v>56</v>
      </c>
      <c r="T656">
        <v>210</v>
      </c>
      <c r="U656">
        <v>192</v>
      </c>
      <c r="V656">
        <v>284</v>
      </c>
      <c r="W656">
        <v>742</v>
      </c>
    </row>
    <row r="657" spans="1:23" x14ac:dyDescent="0.3">
      <c r="A657" s="19">
        <v>32</v>
      </c>
      <c r="B657" s="20" t="s">
        <v>81</v>
      </c>
      <c r="C657" s="21">
        <v>46243</v>
      </c>
      <c r="D657" s="20" t="s">
        <v>59</v>
      </c>
      <c r="E657" s="20" t="s">
        <v>92</v>
      </c>
      <c r="F657" s="20" t="s">
        <v>61</v>
      </c>
      <c r="G657" s="20" t="s">
        <v>42</v>
      </c>
      <c r="H657" s="19" t="s">
        <v>93</v>
      </c>
      <c r="I657" s="32">
        <v>359</v>
      </c>
      <c r="J657" s="32">
        <v>532</v>
      </c>
      <c r="K657" s="32">
        <v>786</v>
      </c>
      <c r="L657" s="32">
        <v>264</v>
      </c>
      <c r="M657" s="33">
        <f t="shared" si="28"/>
        <v>1941</v>
      </c>
      <c r="N657" s="32">
        <v>0</v>
      </c>
      <c r="O657" s="32">
        <v>0</v>
      </c>
      <c r="P657" s="34">
        <v>0</v>
      </c>
      <c r="Q657" s="32">
        <v>0</v>
      </c>
      <c r="R657" s="33">
        <f t="shared" si="29"/>
        <v>0</v>
      </c>
      <c r="S657">
        <v>96</v>
      </c>
      <c r="T657">
        <v>12</v>
      </c>
      <c r="U657">
        <v>123</v>
      </c>
      <c r="V657">
        <v>252</v>
      </c>
      <c r="W657">
        <v>483</v>
      </c>
    </row>
    <row r="658" spans="1:23" x14ac:dyDescent="0.3">
      <c r="A658" s="19">
        <v>32</v>
      </c>
      <c r="B658" s="20" t="s">
        <v>81</v>
      </c>
      <c r="C658" s="21">
        <v>46243</v>
      </c>
      <c r="D658" s="20" t="s">
        <v>39</v>
      </c>
      <c r="E658" s="20" t="s">
        <v>94</v>
      </c>
      <c r="F658" s="20" t="s">
        <v>41</v>
      </c>
      <c r="G658" s="20" t="s">
        <v>42</v>
      </c>
      <c r="H658" s="19" t="s">
        <v>95</v>
      </c>
      <c r="I658" s="32">
        <v>0</v>
      </c>
      <c r="J658" s="32">
        <v>0</v>
      </c>
      <c r="K658" s="32">
        <v>120</v>
      </c>
      <c r="L658" s="32">
        <v>0</v>
      </c>
      <c r="M658" s="33">
        <f t="shared" si="28"/>
        <v>120</v>
      </c>
      <c r="N658" s="32">
        <v>0</v>
      </c>
      <c r="O658" s="32">
        <v>0</v>
      </c>
      <c r="P658" s="34">
        <v>0</v>
      </c>
      <c r="Q658" s="32">
        <v>0</v>
      </c>
      <c r="R658" s="33">
        <f t="shared" si="29"/>
        <v>0</v>
      </c>
      <c r="S658">
        <v>0</v>
      </c>
      <c r="T658">
        <v>360</v>
      </c>
      <c r="U658">
        <v>360</v>
      </c>
      <c r="V658">
        <v>0</v>
      </c>
      <c r="W658">
        <v>720</v>
      </c>
    </row>
    <row r="659" spans="1:23" x14ac:dyDescent="0.3">
      <c r="A659" s="19">
        <v>32</v>
      </c>
      <c r="B659" s="20" t="s">
        <v>81</v>
      </c>
      <c r="C659" s="21">
        <v>46243</v>
      </c>
      <c r="D659" s="20" t="s">
        <v>39</v>
      </c>
      <c r="E659" s="20" t="s">
        <v>43</v>
      </c>
      <c r="F659" s="20" t="s">
        <v>41</v>
      </c>
      <c r="G659" s="20" t="s">
        <v>42</v>
      </c>
      <c r="H659" s="19" t="s">
        <v>96</v>
      </c>
      <c r="I659" s="32">
        <v>235</v>
      </c>
      <c r="J659" s="32">
        <v>176</v>
      </c>
      <c r="K659" s="32">
        <v>127</v>
      </c>
      <c r="L659" s="32">
        <v>708</v>
      </c>
      <c r="M659" s="33">
        <f t="shared" si="28"/>
        <v>1246</v>
      </c>
      <c r="N659" s="32">
        <v>0</v>
      </c>
      <c r="O659" s="32">
        <v>0</v>
      </c>
      <c r="P659" s="34">
        <v>0</v>
      </c>
      <c r="Q659" s="32">
        <v>0</v>
      </c>
      <c r="R659" s="33">
        <f t="shared" si="29"/>
        <v>0</v>
      </c>
      <c r="S659">
        <v>45</v>
      </c>
      <c r="T659">
        <v>94</v>
      </c>
      <c r="U659">
        <v>90</v>
      </c>
      <c r="V659">
        <v>150</v>
      </c>
      <c r="W659">
        <v>379</v>
      </c>
    </row>
    <row r="660" spans="1:23" x14ac:dyDescent="0.3">
      <c r="A660" s="19">
        <v>32</v>
      </c>
      <c r="B660" s="20" t="s">
        <v>81</v>
      </c>
      <c r="C660" s="21">
        <v>46243</v>
      </c>
      <c r="D660" s="20" t="s">
        <v>75</v>
      </c>
      <c r="E660" s="20" t="s">
        <v>76</v>
      </c>
      <c r="F660" s="20" t="s">
        <v>77</v>
      </c>
      <c r="G660" s="20" t="s">
        <v>78</v>
      </c>
      <c r="H660" s="19" t="s">
        <v>70</v>
      </c>
      <c r="I660" s="32">
        <v>1009</v>
      </c>
      <c r="J660" s="32">
        <v>784</v>
      </c>
      <c r="K660" s="32">
        <v>1535</v>
      </c>
      <c r="L660" s="32">
        <v>1552</v>
      </c>
      <c r="M660" s="33">
        <f t="shared" si="28"/>
        <v>4880</v>
      </c>
      <c r="N660" s="32">
        <v>0</v>
      </c>
      <c r="O660" s="32">
        <v>0</v>
      </c>
      <c r="P660" s="34">
        <v>0</v>
      </c>
      <c r="Q660" s="32">
        <v>0</v>
      </c>
      <c r="R660" s="33">
        <f t="shared" si="29"/>
        <v>0</v>
      </c>
      <c r="S660">
        <v>40</v>
      </c>
      <c r="T660">
        <v>80</v>
      </c>
      <c r="U660">
        <v>74</v>
      </c>
      <c r="V660">
        <v>174</v>
      </c>
      <c r="W660">
        <v>368</v>
      </c>
    </row>
    <row r="661" spans="1:23" x14ac:dyDescent="0.3">
      <c r="A661" s="19">
        <v>32</v>
      </c>
      <c r="B661" s="20" t="s">
        <v>81</v>
      </c>
      <c r="C661" s="21">
        <v>46243</v>
      </c>
      <c r="D661" s="20" t="s">
        <v>75</v>
      </c>
      <c r="E661" s="20" t="s">
        <v>76</v>
      </c>
      <c r="F661" s="20" t="s">
        <v>77</v>
      </c>
      <c r="G661" s="20" t="s">
        <v>78</v>
      </c>
      <c r="H661" s="19" t="s">
        <v>72</v>
      </c>
      <c r="I661" s="32">
        <v>496</v>
      </c>
      <c r="J661" s="32">
        <v>724</v>
      </c>
      <c r="K661" s="32">
        <v>572</v>
      </c>
      <c r="L661" s="32">
        <v>1412</v>
      </c>
      <c r="M661" s="33">
        <f t="shared" si="28"/>
        <v>3204</v>
      </c>
      <c r="N661" s="32">
        <v>0</v>
      </c>
      <c r="O661" s="32">
        <v>0</v>
      </c>
      <c r="P661" s="34">
        <v>0</v>
      </c>
      <c r="Q661" s="32">
        <v>0</v>
      </c>
      <c r="R661" s="33">
        <f t="shared" si="29"/>
        <v>0</v>
      </c>
      <c r="S661">
        <v>40</v>
      </c>
      <c r="T661">
        <v>84</v>
      </c>
      <c r="U661">
        <v>80</v>
      </c>
      <c r="V661">
        <v>168</v>
      </c>
      <c r="W661">
        <v>372</v>
      </c>
    </row>
    <row r="662" spans="1:23" x14ac:dyDescent="0.3">
      <c r="A662" s="19">
        <v>32</v>
      </c>
      <c r="B662" s="20" t="s">
        <v>81</v>
      </c>
      <c r="C662" s="21">
        <v>46243</v>
      </c>
      <c r="D662" s="20" t="s">
        <v>45</v>
      </c>
      <c r="E662" s="20" t="s">
        <v>89</v>
      </c>
      <c r="F662" s="20" t="s">
        <v>90</v>
      </c>
      <c r="G662" s="20" t="s">
        <v>42</v>
      </c>
      <c r="H662" s="19" t="s">
        <v>97</v>
      </c>
      <c r="I662" s="32">
        <v>67</v>
      </c>
      <c r="J662" s="32">
        <v>60</v>
      </c>
      <c r="K662" s="32">
        <v>75</v>
      </c>
      <c r="L662" s="32">
        <v>149</v>
      </c>
      <c r="M662" s="33">
        <f t="shared" si="28"/>
        <v>351</v>
      </c>
      <c r="N662" s="32">
        <v>0</v>
      </c>
      <c r="O662" s="32">
        <v>0</v>
      </c>
      <c r="P662" s="34">
        <v>0</v>
      </c>
      <c r="Q662" s="32">
        <v>0</v>
      </c>
      <c r="R662" s="33">
        <f t="shared" si="29"/>
        <v>0</v>
      </c>
      <c r="S662">
        <v>38</v>
      </c>
      <c r="T662">
        <v>50</v>
      </c>
      <c r="U662">
        <v>40</v>
      </c>
      <c r="V662">
        <v>224</v>
      </c>
      <c r="W662">
        <v>352</v>
      </c>
    </row>
    <row r="663" spans="1:23" x14ac:dyDescent="0.3">
      <c r="A663" s="19">
        <v>32</v>
      </c>
      <c r="B663" s="20" t="s">
        <v>81</v>
      </c>
      <c r="C663" s="21">
        <v>46243</v>
      </c>
      <c r="D663" s="20" t="s">
        <v>39</v>
      </c>
      <c r="E663" s="20" t="s">
        <v>98</v>
      </c>
      <c r="F663" s="20" t="s">
        <v>41</v>
      </c>
      <c r="G663" s="20" t="s">
        <v>42</v>
      </c>
      <c r="H663" s="19" t="s">
        <v>99</v>
      </c>
      <c r="I663" s="32">
        <v>823</v>
      </c>
      <c r="J663" s="32">
        <v>991</v>
      </c>
      <c r="K663" s="32">
        <v>918</v>
      </c>
      <c r="L663" s="32">
        <v>1574</v>
      </c>
      <c r="M663" s="33">
        <f t="shared" si="28"/>
        <v>4306</v>
      </c>
      <c r="N663" s="32">
        <v>0</v>
      </c>
      <c r="O663" s="32">
        <v>0</v>
      </c>
      <c r="P663" s="34">
        <v>0</v>
      </c>
      <c r="Q663" s="32">
        <v>0</v>
      </c>
      <c r="R663" s="33">
        <f t="shared" si="29"/>
        <v>0</v>
      </c>
      <c r="S663">
        <v>46</v>
      </c>
      <c r="T663">
        <v>98</v>
      </c>
      <c r="U663">
        <v>60</v>
      </c>
      <c r="V663">
        <v>238</v>
      </c>
      <c r="W663">
        <v>442</v>
      </c>
    </row>
    <row r="664" spans="1:23" x14ac:dyDescent="0.3">
      <c r="A664" s="19">
        <v>32</v>
      </c>
      <c r="B664" s="20" t="s">
        <v>81</v>
      </c>
      <c r="C664" s="21">
        <v>46243</v>
      </c>
      <c r="D664" s="20" t="s">
        <v>45</v>
      </c>
      <c r="E664" s="20" t="s">
        <v>105</v>
      </c>
      <c r="F664" s="20" t="s">
        <v>90</v>
      </c>
      <c r="G664" s="20" t="s">
        <v>42</v>
      </c>
      <c r="H664" s="19" t="s">
        <v>113</v>
      </c>
      <c r="I664" s="32">
        <v>510</v>
      </c>
      <c r="J664" s="32">
        <v>2400</v>
      </c>
      <c r="K664" s="32">
        <v>3104</v>
      </c>
      <c r="L664" s="32">
        <v>1633</v>
      </c>
      <c r="M664" s="33">
        <f t="shared" si="28"/>
        <v>7647</v>
      </c>
      <c r="N664" s="32">
        <v>0</v>
      </c>
      <c r="O664" s="32">
        <v>0</v>
      </c>
      <c r="P664" s="34">
        <v>0</v>
      </c>
      <c r="Q664" s="32">
        <v>0</v>
      </c>
      <c r="R664" s="33">
        <f t="shared" si="29"/>
        <v>0</v>
      </c>
      <c r="S664">
        <v>12</v>
      </c>
      <c r="T664">
        <v>30</v>
      </c>
      <c r="U664">
        <v>21</v>
      </c>
      <c r="V664">
        <v>172</v>
      </c>
      <c r="W664">
        <v>235</v>
      </c>
    </row>
    <row r="665" spans="1:23" x14ac:dyDescent="0.3">
      <c r="A665" s="19">
        <v>32</v>
      </c>
      <c r="B665" s="20" t="s">
        <v>81</v>
      </c>
      <c r="C665" s="21">
        <v>46243</v>
      </c>
      <c r="D665" s="20" t="s">
        <v>39</v>
      </c>
      <c r="E665" s="20" t="s">
        <v>43</v>
      </c>
      <c r="F665" s="20" t="s">
        <v>41</v>
      </c>
      <c r="G665" s="20" t="s">
        <v>42</v>
      </c>
      <c r="H665" s="19" t="s">
        <v>103</v>
      </c>
      <c r="I665" s="32">
        <v>0</v>
      </c>
      <c r="J665" s="32">
        <v>0</v>
      </c>
      <c r="K665" s="32">
        <v>720</v>
      </c>
      <c r="L665" s="32">
        <v>50</v>
      </c>
      <c r="M665" s="33">
        <f t="shared" si="28"/>
        <v>770</v>
      </c>
      <c r="N665" s="32">
        <v>0</v>
      </c>
      <c r="O665" s="32">
        <v>0</v>
      </c>
      <c r="P665" s="34">
        <v>0</v>
      </c>
      <c r="Q665" s="32">
        <v>0</v>
      </c>
      <c r="R665" s="33">
        <f t="shared" si="29"/>
        <v>0</v>
      </c>
      <c r="S665">
        <v>0</v>
      </c>
      <c r="T665">
        <v>0</v>
      </c>
      <c r="U665">
        <v>84</v>
      </c>
      <c r="V665">
        <v>480</v>
      </c>
      <c r="W665">
        <v>564</v>
      </c>
    </row>
    <row r="666" spans="1:23" x14ac:dyDescent="0.3">
      <c r="A666" s="19">
        <v>32</v>
      </c>
      <c r="B666" s="20" t="s">
        <v>81</v>
      </c>
      <c r="C666" s="21">
        <v>46243</v>
      </c>
      <c r="D666" s="20" t="s">
        <v>59</v>
      </c>
      <c r="E666" s="20" t="s">
        <v>60</v>
      </c>
      <c r="F666" s="20" t="s">
        <v>61</v>
      </c>
      <c r="G666" s="20" t="s">
        <v>42</v>
      </c>
      <c r="H666" s="19" t="s">
        <v>104</v>
      </c>
      <c r="I666" s="32">
        <v>0</v>
      </c>
      <c r="J666" s="32">
        <v>490</v>
      </c>
      <c r="K666" s="32">
        <v>1065</v>
      </c>
      <c r="L666" s="32">
        <v>350</v>
      </c>
      <c r="M666" s="33">
        <f t="shared" si="28"/>
        <v>1905</v>
      </c>
      <c r="N666" s="32">
        <v>0</v>
      </c>
      <c r="O666" s="32">
        <v>0</v>
      </c>
      <c r="P666" s="34">
        <v>0</v>
      </c>
      <c r="Q666" s="32">
        <v>0</v>
      </c>
      <c r="R666" s="33">
        <f t="shared" si="29"/>
        <v>0</v>
      </c>
      <c r="S666">
        <v>0</v>
      </c>
      <c r="T666">
        <v>115</v>
      </c>
      <c r="U666">
        <v>120</v>
      </c>
      <c r="V666">
        <v>145</v>
      </c>
      <c r="W666">
        <v>380</v>
      </c>
    </row>
    <row r="667" spans="1:23" x14ac:dyDescent="0.3">
      <c r="A667" s="19">
        <v>32</v>
      </c>
      <c r="B667" s="20" t="s">
        <v>81</v>
      </c>
      <c r="C667" s="21">
        <v>46243</v>
      </c>
      <c r="D667" s="20" t="s">
        <v>82</v>
      </c>
      <c r="E667" s="20" t="s">
        <v>114</v>
      </c>
      <c r="F667" s="20" t="s">
        <v>115</v>
      </c>
      <c r="G667" s="20" t="s">
        <v>42</v>
      </c>
      <c r="H667" s="19" t="s">
        <v>116</v>
      </c>
      <c r="I667" s="32">
        <v>21</v>
      </c>
      <c r="J667" s="32">
        <v>1200</v>
      </c>
      <c r="K667" s="32">
        <v>1027</v>
      </c>
      <c r="L667" s="32">
        <v>1011</v>
      </c>
      <c r="M667" s="33">
        <f t="shared" si="28"/>
        <v>3259</v>
      </c>
      <c r="N667" s="32">
        <v>0</v>
      </c>
      <c r="O667" s="32">
        <v>0</v>
      </c>
      <c r="P667" s="34">
        <v>0</v>
      </c>
      <c r="Q667" s="32">
        <v>0</v>
      </c>
      <c r="R667" s="33">
        <f t="shared" si="29"/>
        <v>0</v>
      </c>
      <c r="S667">
        <v>20</v>
      </c>
      <c r="T667">
        <v>176</v>
      </c>
      <c r="U667">
        <v>384</v>
      </c>
      <c r="V667">
        <v>204</v>
      </c>
      <c r="W667">
        <v>784</v>
      </c>
    </row>
    <row r="668" spans="1:23" x14ac:dyDescent="0.3">
      <c r="A668" s="19">
        <v>32</v>
      </c>
      <c r="B668" s="20" t="s">
        <v>81</v>
      </c>
      <c r="C668" s="21">
        <v>46243</v>
      </c>
      <c r="D668" s="20" t="s">
        <v>39</v>
      </c>
      <c r="E668" s="20" t="s">
        <v>56</v>
      </c>
      <c r="F668" s="20" t="s">
        <v>41</v>
      </c>
      <c r="G668" s="20" t="s">
        <v>42</v>
      </c>
      <c r="H668" s="19" t="s">
        <v>57</v>
      </c>
      <c r="I668" s="32">
        <v>60</v>
      </c>
      <c r="J668" s="32">
        <v>60</v>
      </c>
      <c r="K668" s="32">
        <v>60</v>
      </c>
      <c r="L668" s="32">
        <v>45</v>
      </c>
      <c r="M668" s="33">
        <f t="shared" si="28"/>
        <v>225</v>
      </c>
      <c r="N668" s="32">
        <v>32</v>
      </c>
      <c r="O668" s="32">
        <v>30</v>
      </c>
      <c r="P668" s="34">
        <v>35</v>
      </c>
      <c r="Q668" s="32">
        <v>28</v>
      </c>
      <c r="R668" s="33">
        <f t="shared" si="29"/>
        <v>125</v>
      </c>
      <c r="S668">
        <v>54</v>
      </c>
      <c r="T668">
        <v>58</v>
      </c>
      <c r="U668">
        <v>48</v>
      </c>
      <c r="V668">
        <v>32</v>
      </c>
      <c r="W668">
        <v>192</v>
      </c>
    </row>
    <row r="669" spans="1:23" x14ac:dyDescent="0.3">
      <c r="A669" s="19">
        <v>32</v>
      </c>
      <c r="B669" s="20" t="s">
        <v>81</v>
      </c>
      <c r="C669" s="21">
        <v>46243</v>
      </c>
      <c r="D669" s="20" t="s">
        <v>45</v>
      </c>
      <c r="E669" s="20" t="s">
        <v>105</v>
      </c>
      <c r="F669" s="20" t="s">
        <v>90</v>
      </c>
      <c r="G669" s="20" t="s">
        <v>42</v>
      </c>
      <c r="H669" s="19" t="s">
        <v>106</v>
      </c>
      <c r="I669" s="32">
        <v>813</v>
      </c>
      <c r="J669" s="32">
        <v>856</v>
      </c>
      <c r="K669" s="32">
        <v>717</v>
      </c>
      <c r="L669" s="32">
        <v>531</v>
      </c>
      <c r="M669" s="33">
        <f t="shared" si="28"/>
        <v>2917</v>
      </c>
      <c r="N669" s="32">
        <v>0</v>
      </c>
      <c r="O669" s="32">
        <v>0</v>
      </c>
      <c r="P669" s="34">
        <v>0</v>
      </c>
      <c r="Q669" s="32">
        <v>0</v>
      </c>
      <c r="R669" s="33">
        <f t="shared" si="29"/>
        <v>0</v>
      </c>
      <c r="S669">
        <v>24</v>
      </c>
      <c r="T669">
        <v>114</v>
      </c>
      <c r="U669">
        <v>112</v>
      </c>
      <c r="V669">
        <v>154</v>
      </c>
      <c r="W669">
        <v>404</v>
      </c>
    </row>
    <row r="670" spans="1:23" x14ac:dyDescent="0.3">
      <c r="A670" s="19">
        <v>32</v>
      </c>
      <c r="B670" s="20" t="s">
        <v>81</v>
      </c>
      <c r="C670" s="21">
        <v>46243</v>
      </c>
      <c r="D670" s="20" t="s">
        <v>45</v>
      </c>
      <c r="E670" s="20" t="s">
        <v>107</v>
      </c>
      <c r="F670" s="20" t="s">
        <v>90</v>
      </c>
      <c r="G670" s="20" t="s">
        <v>42</v>
      </c>
      <c r="H670" s="19" t="s">
        <v>108</v>
      </c>
      <c r="I670" s="32">
        <v>554</v>
      </c>
      <c r="J670" s="32">
        <v>1803</v>
      </c>
      <c r="K670" s="32">
        <v>608</v>
      </c>
      <c r="L670" s="32">
        <v>1698</v>
      </c>
      <c r="M670" s="33">
        <f t="shared" si="28"/>
        <v>4663</v>
      </c>
      <c r="N670" s="32">
        <v>0</v>
      </c>
      <c r="O670" s="32">
        <v>0</v>
      </c>
      <c r="P670" s="34">
        <v>0</v>
      </c>
      <c r="Q670" s="32">
        <v>0</v>
      </c>
      <c r="R670" s="33">
        <f t="shared" si="29"/>
        <v>0</v>
      </c>
      <c r="S670">
        <v>47</v>
      </c>
      <c r="T670">
        <v>68</v>
      </c>
      <c r="U670">
        <v>57</v>
      </c>
      <c r="V670">
        <v>104</v>
      </c>
      <c r="W670">
        <v>276</v>
      </c>
    </row>
    <row r="671" spans="1:23" x14ac:dyDescent="0.3">
      <c r="A671" s="19">
        <v>32</v>
      </c>
      <c r="B671" s="20" t="s">
        <v>81</v>
      </c>
      <c r="C671" s="21">
        <v>46243</v>
      </c>
      <c r="D671" s="20" t="s">
        <v>45</v>
      </c>
      <c r="E671" s="20" t="s">
        <v>107</v>
      </c>
      <c r="F671" s="20" t="s">
        <v>90</v>
      </c>
      <c r="G671" s="20" t="s">
        <v>42</v>
      </c>
      <c r="H671" s="19" t="s">
        <v>109</v>
      </c>
      <c r="I671" s="32">
        <v>212</v>
      </c>
      <c r="J671" s="32">
        <v>195</v>
      </c>
      <c r="K671" s="32">
        <v>47</v>
      </c>
      <c r="L671" s="32">
        <v>156</v>
      </c>
      <c r="M671" s="33">
        <f t="shared" si="28"/>
        <v>610</v>
      </c>
      <c r="N671" s="32">
        <v>0</v>
      </c>
      <c r="O671" s="32">
        <v>0</v>
      </c>
      <c r="P671" s="34">
        <v>0</v>
      </c>
      <c r="Q671" s="32">
        <v>0</v>
      </c>
      <c r="R671" s="33">
        <f t="shared" si="29"/>
        <v>0</v>
      </c>
      <c r="S671">
        <v>88</v>
      </c>
      <c r="T671">
        <v>204</v>
      </c>
      <c r="U671">
        <v>150</v>
      </c>
      <c r="V671">
        <v>606</v>
      </c>
      <c r="W671">
        <v>1048</v>
      </c>
    </row>
    <row r="672" spans="1:23" x14ac:dyDescent="0.3">
      <c r="A672" s="19">
        <v>32</v>
      </c>
      <c r="B672" s="20" t="s">
        <v>81</v>
      </c>
      <c r="C672" s="21">
        <v>46243</v>
      </c>
      <c r="D672" s="20" t="s">
        <v>59</v>
      </c>
      <c r="E672" s="20" t="s">
        <v>110</v>
      </c>
      <c r="F672" s="20" t="s">
        <v>61</v>
      </c>
      <c r="G672" s="20" t="s">
        <v>42</v>
      </c>
      <c r="H672" s="19" t="s">
        <v>111</v>
      </c>
      <c r="I672" s="32">
        <v>190</v>
      </c>
      <c r="J672" s="32">
        <v>218</v>
      </c>
      <c r="K672" s="32">
        <v>268</v>
      </c>
      <c r="L672" s="32">
        <v>0</v>
      </c>
      <c r="M672" s="33">
        <f t="shared" si="28"/>
        <v>676</v>
      </c>
      <c r="N672" s="32">
        <v>0</v>
      </c>
      <c r="O672" s="32">
        <v>0</v>
      </c>
      <c r="P672" s="34">
        <v>0</v>
      </c>
      <c r="Q672" s="32">
        <v>0</v>
      </c>
      <c r="R672" s="33">
        <f t="shared" si="29"/>
        <v>0</v>
      </c>
      <c r="S672">
        <v>40</v>
      </c>
      <c r="T672">
        <v>108</v>
      </c>
      <c r="U672">
        <v>228</v>
      </c>
      <c r="V672">
        <v>178</v>
      </c>
      <c r="W672">
        <v>554</v>
      </c>
    </row>
    <row r="673" spans="1:23" x14ac:dyDescent="0.3">
      <c r="A673" s="19">
        <v>32</v>
      </c>
      <c r="B673" s="20" t="s">
        <v>81</v>
      </c>
      <c r="C673" s="21">
        <v>46243</v>
      </c>
      <c r="D673" s="20" t="s">
        <v>39</v>
      </c>
      <c r="E673" s="20" t="s">
        <v>58</v>
      </c>
      <c r="F673" s="20" t="s">
        <v>41</v>
      </c>
      <c r="G673" s="20" t="s">
        <v>86</v>
      </c>
      <c r="H673" s="19" t="s">
        <v>112</v>
      </c>
      <c r="I673" s="32">
        <v>146</v>
      </c>
      <c r="J673" s="32">
        <v>275</v>
      </c>
      <c r="K673" s="32">
        <v>516</v>
      </c>
      <c r="L673" s="32">
        <v>2155</v>
      </c>
      <c r="M673" s="33">
        <f t="shared" si="28"/>
        <v>3092</v>
      </c>
      <c r="N673" s="32">
        <v>0</v>
      </c>
      <c r="O673" s="32">
        <v>0</v>
      </c>
      <c r="P673" s="34">
        <v>0</v>
      </c>
      <c r="Q673" s="32">
        <v>0</v>
      </c>
      <c r="R673" s="33">
        <f t="shared" si="29"/>
        <v>0</v>
      </c>
      <c r="S673">
        <v>168</v>
      </c>
      <c r="T673">
        <v>148</v>
      </c>
      <c r="U673">
        <v>130</v>
      </c>
      <c r="V673">
        <v>170</v>
      </c>
      <c r="W673">
        <v>616</v>
      </c>
    </row>
    <row r="674" spans="1:23" x14ac:dyDescent="0.3">
      <c r="A674" s="19">
        <v>32</v>
      </c>
      <c r="B674" s="20" t="s">
        <v>81</v>
      </c>
      <c r="C674" s="21">
        <v>46241</v>
      </c>
      <c r="D674" s="20" t="s">
        <v>45</v>
      </c>
      <c r="E674" s="20" t="s">
        <v>90</v>
      </c>
      <c r="F674" s="20">
        <v>211030</v>
      </c>
      <c r="G674" s="20">
        <v>5765035</v>
      </c>
      <c r="H674" s="19" t="s">
        <v>113</v>
      </c>
      <c r="I674" s="32">
        <v>600</v>
      </c>
      <c r="J674" s="32">
        <v>2820</v>
      </c>
      <c r="K674" s="32">
        <v>3420</v>
      </c>
      <c r="L674" s="32">
        <v>3120</v>
      </c>
      <c r="M674" s="33">
        <f t="shared" si="28"/>
        <v>9960</v>
      </c>
      <c r="N674" s="32">
        <v>561</v>
      </c>
      <c r="O674" s="32">
        <v>2634</v>
      </c>
      <c r="P674" s="34">
        <v>3254</v>
      </c>
      <c r="Q674" s="32">
        <v>2743</v>
      </c>
      <c r="R674" s="33">
        <f t="shared" si="29"/>
        <v>9192</v>
      </c>
      <c r="S674">
        <v>30</v>
      </c>
      <c r="T674">
        <v>78</v>
      </c>
      <c r="U674">
        <v>42</v>
      </c>
      <c r="V674">
        <v>210</v>
      </c>
      <c r="W674">
        <v>360</v>
      </c>
    </row>
    <row r="675" spans="1:23" x14ac:dyDescent="0.3">
      <c r="A675" s="19">
        <v>33</v>
      </c>
      <c r="B675" s="20" t="s">
        <v>81</v>
      </c>
      <c r="C675" s="21">
        <v>46243</v>
      </c>
      <c r="D675" s="20" t="s">
        <v>39</v>
      </c>
      <c r="E675" s="20" t="s">
        <v>43</v>
      </c>
      <c r="F675" s="20" t="s">
        <v>41</v>
      </c>
      <c r="G675" s="20" t="s">
        <v>42</v>
      </c>
      <c r="H675" s="19" t="s">
        <v>96</v>
      </c>
      <c r="I675" s="32">
        <v>208</v>
      </c>
      <c r="J675" s="32">
        <v>176</v>
      </c>
      <c r="K675" s="32">
        <v>127</v>
      </c>
      <c r="L675" s="32">
        <v>708</v>
      </c>
      <c r="M675" s="33">
        <f t="shared" si="28"/>
        <v>1219</v>
      </c>
      <c r="N675" s="32">
        <v>181</v>
      </c>
      <c r="O675" s="32">
        <v>144</v>
      </c>
      <c r="P675" s="34">
        <v>85</v>
      </c>
      <c r="Q675" s="32">
        <v>489</v>
      </c>
      <c r="R675" s="33">
        <f t="shared" si="29"/>
        <v>899</v>
      </c>
      <c r="S675">
        <v>45</v>
      </c>
      <c r="T675">
        <v>94</v>
      </c>
      <c r="U675">
        <v>90</v>
      </c>
      <c r="V675">
        <v>150</v>
      </c>
      <c r="W675">
        <v>379</v>
      </c>
    </row>
    <row r="676" spans="1:23" x14ac:dyDescent="0.3">
      <c r="A676" s="19">
        <v>33</v>
      </c>
      <c r="B676" s="20" t="str">
        <f t="shared" ref="B676:B707" si="30">IF(C676="","",UPPER(TEXT(C676, "MMM")))</f>
        <v>AUG</v>
      </c>
      <c r="C676" s="21">
        <v>46248</v>
      </c>
      <c r="D676" s="20" t="str">
        <f>IFERROR(VLOOKUP(H676,KET!$B:$F,2,0),"")</f>
        <v>GRSM 7</v>
      </c>
      <c r="E676" s="20" t="str">
        <f>IFERROR(VLOOKUP(H676,KET!$B:$F,3,0),"")</f>
        <v>BANJARMASIN</v>
      </c>
      <c r="F676" s="20" t="str">
        <f>IFERROR(VLOOKUP(H676,KET!$B:$F,4,0),"")</f>
        <v>INDRI</v>
      </c>
      <c r="G676" s="20" t="str">
        <f>IFERROR(VLOOKUP(H676,KET!$B:$F,5,0),"")</f>
        <v>GMM</v>
      </c>
      <c r="H676" s="19" t="s">
        <v>85</v>
      </c>
      <c r="I676" s="32">
        <v>440</v>
      </c>
      <c r="J676" s="32">
        <v>428</v>
      </c>
      <c r="K676" s="32">
        <v>550</v>
      </c>
      <c r="L676" s="32">
        <v>1228</v>
      </c>
      <c r="M676" s="33">
        <f t="shared" si="28"/>
        <v>2646</v>
      </c>
      <c r="N676" s="32">
        <v>428</v>
      </c>
      <c r="O676" s="32">
        <v>384</v>
      </c>
      <c r="P676" s="34">
        <v>534</v>
      </c>
      <c r="Q676" s="32">
        <v>902</v>
      </c>
      <c r="R676" s="33">
        <f t="shared" si="29"/>
        <v>2248</v>
      </c>
      <c r="S676">
        <v>24</v>
      </c>
      <c r="T676">
        <v>88</v>
      </c>
      <c r="U676">
        <v>32</v>
      </c>
      <c r="V676">
        <v>452</v>
      </c>
      <c r="W676">
        <v>596</v>
      </c>
    </row>
    <row r="677" spans="1:23" x14ac:dyDescent="0.3">
      <c r="A677" s="19">
        <v>33</v>
      </c>
      <c r="B677" s="20" t="str">
        <f t="shared" si="30"/>
        <v>AUG</v>
      </c>
      <c r="C677" s="21">
        <v>46248</v>
      </c>
      <c r="D677" s="20" t="str">
        <f>IFERROR(VLOOKUP(H677,KET!$B:$F,2,0),"")</f>
        <v>GRSM 5</v>
      </c>
      <c r="E677" s="20" t="str">
        <f>IFERROR(VLOOKUP(H677,KET!$B:$F,3,0),"")</f>
        <v>TEGAL</v>
      </c>
      <c r="F677" s="20" t="str">
        <f>IFERROR(VLOOKUP(H677,KET!$B:$F,4,0),"")</f>
        <v>SUPRIYATI</v>
      </c>
      <c r="G677" s="20" t="str">
        <f>IFERROR(VLOOKUP(H677,KET!$B:$F,5,0),"")</f>
        <v>GMM</v>
      </c>
      <c r="H677" s="19" t="s">
        <v>117</v>
      </c>
      <c r="I677" s="32">
        <v>84</v>
      </c>
      <c r="J677" s="32">
        <v>156</v>
      </c>
      <c r="K677" s="32">
        <v>120</v>
      </c>
      <c r="L677" s="32">
        <v>132</v>
      </c>
      <c r="M677" s="33">
        <f t="shared" si="28"/>
        <v>492</v>
      </c>
      <c r="N677" s="32">
        <v>84</v>
      </c>
      <c r="O677" s="32">
        <v>156</v>
      </c>
      <c r="P677" s="34">
        <v>120</v>
      </c>
      <c r="Q677" s="32">
        <v>61</v>
      </c>
      <c r="R677" s="33">
        <f t="shared" si="29"/>
        <v>421</v>
      </c>
      <c r="S677">
        <v>0</v>
      </c>
      <c r="T677">
        <v>0</v>
      </c>
      <c r="U677">
        <v>0</v>
      </c>
      <c r="V677">
        <v>144</v>
      </c>
      <c r="W677">
        <v>144</v>
      </c>
    </row>
    <row r="678" spans="1:23" x14ac:dyDescent="0.3">
      <c r="A678" s="19">
        <v>33</v>
      </c>
      <c r="B678" s="20" t="str">
        <f t="shared" si="30"/>
        <v>AUG</v>
      </c>
      <c r="C678" s="21">
        <v>46248</v>
      </c>
      <c r="D678" s="20" t="str">
        <f>IFERROR(VLOOKUP(H678,KET!$B:$F,2,0),"")</f>
        <v>GRSM 4</v>
      </c>
      <c r="E678" s="20" t="str">
        <f>IFERROR(VLOOKUP(H678,KET!$B:$F,3,0),"")</f>
        <v>TASIKMALAYA</v>
      </c>
      <c r="F678" s="20" t="str">
        <f>IFERROR(VLOOKUP(H678,KET!$B:$F,4,0),"")</f>
        <v>FAHMI LUKMANUL HAKIM</v>
      </c>
      <c r="G678" s="20" t="str">
        <f>IFERROR(VLOOKUP(H678,KET!$B:$F,5,0),"")</f>
        <v>NKA</v>
      </c>
      <c r="H678" s="19" t="s">
        <v>87</v>
      </c>
      <c r="I678" s="32">
        <v>1144</v>
      </c>
      <c r="J678" s="32">
        <v>1353</v>
      </c>
      <c r="K678" s="32">
        <v>1592</v>
      </c>
      <c r="L678" s="32">
        <v>1242</v>
      </c>
      <c r="M678" s="33">
        <f t="shared" si="28"/>
        <v>5331</v>
      </c>
      <c r="N678" s="32">
        <v>1090</v>
      </c>
      <c r="O678" s="32">
        <v>1260</v>
      </c>
      <c r="P678" s="34">
        <v>1505</v>
      </c>
      <c r="Q678" s="32">
        <v>1122</v>
      </c>
      <c r="R678" s="33">
        <f t="shared" si="29"/>
        <v>4977</v>
      </c>
      <c r="S678">
        <v>104</v>
      </c>
      <c r="T678">
        <v>184</v>
      </c>
      <c r="U678">
        <v>170</v>
      </c>
      <c r="V678">
        <v>244</v>
      </c>
      <c r="W678">
        <v>702</v>
      </c>
    </row>
    <row r="679" spans="1:23" x14ac:dyDescent="0.3">
      <c r="A679" s="19">
        <v>33</v>
      </c>
      <c r="B679" s="20" t="str">
        <f t="shared" si="30"/>
        <v>AUG</v>
      </c>
      <c r="C679" s="21">
        <v>46248</v>
      </c>
      <c r="D679" s="20" t="str">
        <f>IFERROR(VLOOKUP(H679,KET!$B:$F,2,0),"")</f>
        <v>GRSM 5</v>
      </c>
      <c r="E679" s="20" t="str">
        <f>IFERROR(VLOOKUP(H679,KET!$B:$F,3,0),"")</f>
        <v>TEGAL</v>
      </c>
      <c r="F679" s="20" t="str">
        <f>IFERROR(VLOOKUP(H679,KET!$B:$F,4,0),"")</f>
        <v>SUPRIYATI</v>
      </c>
      <c r="G679" s="20" t="str">
        <f>IFERROR(VLOOKUP(H679,KET!$B:$F,5,0),"")</f>
        <v>GMM</v>
      </c>
      <c r="H679" s="19" t="s">
        <v>88</v>
      </c>
      <c r="I679" s="32">
        <v>95</v>
      </c>
      <c r="J679" s="32">
        <v>296</v>
      </c>
      <c r="K679" s="32">
        <v>309</v>
      </c>
      <c r="L679" s="32">
        <v>678</v>
      </c>
      <c r="M679" s="33">
        <f t="shared" si="28"/>
        <v>1378</v>
      </c>
      <c r="N679" s="32">
        <v>77</v>
      </c>
      <c r="O679" s="32">
        <v>184</v>
      </c>
      <c r="P679" s="34">
        <v>233</v>
      </c>
      <c r="Q679" s="32">
        <v>496</v>
      </c>
      <c r="R679" s="33">
        <f t="shared" si="29"/>
        <v>990</v>
      </c>
      <c r="S679">
        <v>36</v>
      </c>
      <c r="T679">
        <v>224</v>
      </c>
      <c r="U679">
        <v>152</v>
      </c>
      <c r="V679">
        <v>364</v>
      </c>
      <c r="W679">
        <v>776</v>
      </c>
    </row>
    <row r="680" spans="1:23" x14ac:dyDescent="0.3">
      <c r="A680" s="19">
        <v>33</v>
      </c>
      <c r="B680" s="20" t="str">
        <f t="shared" si="30"/>
        <v>AUG</v>
      </c>
      <c r="C680" s="21">
        <v>46248</v>
      </c>
      <c r="D680" s="20" t="str">
        <f>IFERROR(VLOOKUP(H680,KET!$B:$F,2,0),"")</f>
        <v>GRSM 1</v>
      </c>
      <c r="E680" s="20" t="str">
        <f>IFERROR(VLOOKUP(H680,KET!$B:$F,3,0),"")</f>
        <v>MEDAN</v>
      </c>
      <c r="F680" s="20" t="str">
        <f>IFERROR(VLOOKUP(H680,KET!$B:$F,4,0),"")</f>
        <v>AFNITA SARI</v>
      </c>
      <c r="G680" s="20" t="str">
        <f>IFERROR(VLOOKUP(H680,KET!$B:$F,5,0),"")</f>
        <v>MT</v>
      </c>
      <c r="H680" s="19" t="s">
        <v>73</v>
      </c>
      <c r="I680" s="32">
        <v>425</v>
      </c>
      <c r="J680" s="32">
        <v>537</v>
      </c>
      <c r="K680" s="32">
        <v>614</v>
      </c>
      <c r="L680" s="32">
        <v>1353</v>
      </c>
      <c r="M680" s="33">
        <f t="shared" si="28"/>
        <v>2929</v>
      </c>
      <c r="N680" s="32">
        <v>400</v>
      </c>
      <c r="O680" s="32">
        <v>502</v>
      </c>
      <c r="P680" s="34">
        <v>58</v>
      </c>
      <c r="Q680" s="32">
        <v>1303</v>
      </c>
      <c r="R680" s="33">
        <f t="shared" si="29"/>
        <v>2263</v>
      </c>
      <c r="S680">
        <v>50</v>
      </c>
      <c r="T680">
        <v>70</v>
      </c>
      <c r="U680">
        <v>50</v>
      </c>
      <c r="V680">
        <v>100</v>
      </c>
      <c r="W680">
        <v>270</v>
      </c>
    </row>
    <row r="681" spans="1:23" x14ac:dyDescent="0.3">
      <c r="A681" s="19">
        <v>33</v>
      </c>
      <c r="B681" s="20" t="str">
        <f t="shared" si="30"/>
        <v>AUG</v>
      </c>
      <c r="C681" s="21">
        <v>46248</v>
      </c>
      <c r="D681" s="20" t="str">
        <f>IFERROR(VLOOKUP(H681,KET!$B:$F,2,0),"")</f>
        <v>GRSM 1</v>
      </c>
      <c r="E681" s="20" t="str">
        <f>IFERROR(VLOOKUP(H681,KET!$B:$F,3,0),"")</f>
        <v>MEDAN</v>
      </c>
      <c r="F681" s="20" t="str">
        <f>IFERROR(VLOOKUP(H681,KET!$B:$F,4,0),"")</f>
        <v>AFNITA SARI</v>
      </c>
      <c r="G681" s="20" t="str">
        <f>IFERROR(VLOOKUP(H681,KET!$B:$F,5,0),"")</f>
        <v>MT</v>
      </c>
      <c r="H681" s="19" t="s">
        <v>71</v>
      </c>
      <c r="I681" s="32">
        <v>329</v>
      </c>
      <c r="J681" s="32">
        <v>682</v>
      </c>
      <c r="K681" s="32">
        <v>553</v>
      </c>
      <c r="L681" s="32">
        <v>943</v>
      </c>
      <c r="M681" s="33">
        <f t="shared" si="28"/>
        <v>2507</v>
      </c>
      <c r="N681" s="32">
        <v>298</v>
      </c>
      <c r="O681" s="32">
        <v>660</v>
      </c>
      <c r="P681" s="34">
        <v>515</v>
      </c>
      <c r="Q681" s="32">
        <v>900</v>
      </c>
      <c r="R681" s="33">
        <f t="shared" si="29"/>
        <v>2373</v>
      </c>
      <c r="S681">
        <v>62</v>
      </c>
      <c r="T681">
        <v>44</v>
      </c>
      <c r="U681">
        <v>76</v>
      </c>
      <c r="V681">
        <v>86</v>
      </c>
      <c r="W681">
        <v>268</v>
      </c>
    </row>
    <row r="682" spans="1:23" x14ac:dyDescent="0.3">
      <c r="A682" s="19">
        <v>33</v>
      </c>
      <c r="B682" s="20" t="str">
        <f t="shared" si="30"/>
        <v>AUG</v>
      </c>
      <c r="C682" s="21">
        <v>46248</v>
      </c>
      <c r="D682" s="20" t="str">
        <f>IFERROR(VLOOKUP(H682,KET!$B:$F,2,0),"")</f>
        <v>GRSM 6</v>
      </c>
      <c r="E682" s="20" t="str">
        <f>IFERROR(VLOOKUP(H682,KET!$B:$F,3,0),"")</f>
        <v>TULUNGAGUNG</v>
      </c>
      <c r="F682" s="20" t="str">
        <f>IFERROR(VLOOKUP(H682,KET!$B:$F,4,0),"")</f>
        <v>MARTIKA MINTOROWATI</v>
      </c>
      <c r="G682" s="20" t="str">
        <f>IFERROR(VLOOKUP(H682,KET!$B:$F,5,0),"")</f>
        <v>GMM</v>
      </c>
      <c r="H682" s="19" t="s">
        <v>91</v>
      </c>
      <c r="I682" s="32">
        <v>600</v>
      </c>
      <c r="J682" s="32">
        <v>1800</v>
      </c>
      <c r="K682" s="32">
        <v>1800</v>
      </c>
      <c r="L682" s="32">
        <v>2400</v>
      </c>
      <c r="M682" s="33">
        <f t="shared" si="28"/>
        <v>6600</v>
      </c>
      <c r="N682" s="32">
        <v>564</v>
      </c>
      <c r="O682" s="32">
        <v>1641</v>
      </c>
      <c r="P682" s="34">
        <v>1732</v>
      </c>
      <c r="Q682" s="32">
        <v>2176</v>
      </c>
      <c r="R682" s="33">
        <f t="shared" si="29"/>
        <v>6113</v>
      </c>
      <c r="S682">
        <v>72</v>
      </c>
      <c r="T682">
        <v>318</v>
      </c>
      <c r="U682">
        <v>136</v>
      </c>
      <c r="V682">
        <v>848</v>
      </c>
      <c r="W682">
        <v>1374</v>
      </c>
    </row>
    <row r="683" spans="1:23" x14ac:dyDescent="0.3">
      <c r="A683" s="19">
        <v>33</v>
      </c>
      <c r="B683" s="20" t="str">
        <f t="shared" si="30"/>
        <v>AUG</v>
      </c>
      <c r="C683" s="21">
        <v>46248</v>
      </c>
      <c r="D683" s="20" t="str">
        <f>IFERROR(VLOOKUP(H683,KET!$B:$F,2,0),"")</f>
        <v>GRSM 5</v>
      </c>
      <c r="E683" s="20" t="str">
        <f>IFERROR(VLOOKUP(H683,KET!$B:$F,3,0),"")</f>
        <v>BLORA</v>
      </c>
      <c r="F683" s="20" t="str">
        <f>IFERROR(VLOOKUP(H683,KET!$B:$F,4,0),"")</f>
        <v>SUPRIYATI</v>
      </c>
      <c r="G683" s="20" t="str">
        <f>IFERROR(VLOOKUP(H683,KET!$B:$F,5,0),"")</f>
        <v>GMM</v>
      </c>
      <c r="H683" s="19" t="s">
        <v>118</v>
      </c>
      <c r="I683" s="32">
        <v>240</v>
      </c>
      <c r="J683" s="32">
        <v>420</v>
      </c>
      <c r="K683" s="32">
        <v>360</v>
      </c>
      <c r="L683" s="32">
        <v>480</v>
      </c>
      <c r="M683" s="33">
        <f t="shared" si="28"/>
        <v>1500</v>
      </c>
      <c r="N683" s="32">
        <v>208</v>
      </c>
      <c r="O683" s="32">
        <v>352</v>
      </c>
      <c r="P683" s="34">
        <v>318</v>
      </c>
      <c r="Q683" s="32">
        <v>276</v>
      </c>
      <c r="R683" s="33">
        <f t="shared" si="29"/>
        <v>1154</v>
      </c>
      <c r="S683">
        <v>64</v>
      </c>
      <c r="T683">
        <v>136</v>
      </c>
      <c r="U683">
        <v>84</v>
      </c>
      <c r="V683">
        <v>408</v>
      </c>
      <c r="W683">
        <v>692</v>
      </c>
    </row>
    <row r="684" spans="1:23" x14ac:dyDescent="0.3">
      <c r="A684" s="19">
        <v>33</v>
      </c>
      <c r="B684" s="20" t="str">
        <f t="shared" si="30"/>
        <v>AUG</v>
      </c>
      <c r="C684" s="21">
        <v>46248</v>
      </c>
      <c r="D684" s="20" t="str">
        <f>IFERROR(VLOOKUP(H684,KET!$B:$F,2,0),"")</f>
        <v>GRSM 5</v>
      </c>
      <c r="E684" s="20" t="str">
        <f>IFERROR(VLOOKUP(H684,KET!$B:$F,3,0),"")</f>
        <v>PURBALINGGA</v>
      </c>
      <c r="F684" s="20" t="str">
        <f>IFERROR(VLOOKUP(H684,KET!$B:$F,4,0),"")</f>
        <v>SUPRIYATI</v>
      </c>
      <c r="G684" s="20" t="str">
        <f>IFERROR(VLOOKUP(H684,KET!$B:$F,5,0),"")</f>
        <v>GMM</v>
      </c>
      <c r="H684" s="19" t="s">
        <v>93</v>
      </c>
      <c r="I684" s="32">
        <v>792</v>
      </c>
      <c r="J684" s="32">
        <v>1803</v>
      </c>
      <c r="K684" s="32">
        <v>1830</v>
      </c>
      <c r="L684" s="32">
        <v>1962</v>
      </c>
      <c r="M684" s="33">
        <f t="shared" si="28"/>
        <v>6387</v>
      </c>
      <c r="N684" s="32">
        <v>768</v>
      </c>
      <c r="O684" s="32">
        <v>1764</v>
      </c>
      <c r="P684" s="34">
        <v>1797</v>
      </c>
      <c r="Q684" s="32">
        <v>1836</v>
      </c>
      <c r="R684" s="33">
        <f t="shared" si="29"/>
        <v>6165</v>
      </c>
      <c r="S684">
        <v>48</v>
      </c>
      <c r="T684">
        <v>78</v>
      </c>
      <c r="U684">
        <v>66</v>
      </c>
      <c r="V684">
        <v>252</v>
      </c>
      <c r="W684">
        <v>444</v>
      </c>
    </row>
    <row r="685" spans="1:23" x14ac:dyDescent="0.3">
      <c r="A685" s="19">
        <v>33</v>
      </c>
      <c r="B685" s="20" t="str">
        <f t="shared" si="30"/>
        <v>AUG</v>
      </c>
      <c r="C685" s="21">
        <v>46248</v>
      </c>
      <c r="D685" s="20" t="str">
        <f>IFERROR(VLOOKUP(H685,KET!$B:$F,2,0),"")</f>
        <v>GRSM 4</v>
      </c>
      <c r="E685" s="20" t="str">
        <f>IFERROR(VLOOKUP(H685,KET!$B:$F,3,0),"")</f>
        <v>CIAMIS</v>
      </c>
      <c r="F685" s="20" t="str">
        <f>IFERROR(VLOOKUP(H685,KET!$B:$F,4,0),"")</f>
        <v>FAHMI LUKMANUL HAKIM</v>
      </c>
      <c r="G685" s="20" t="str">
        <f>IFERROR(VLOOKUP(H685,KET!$B:$F,5,0),"")</f>
        <v>GMM</v>
      </c>
      <c r="H685" s="19" t="s">
        <v>95</v>
      </c>
      <c r="I685" s="32">
        <v>60</v>
      </c>
      <c r="J685" s="32">
        <v>180</v>
      </c>
      <c r="K685" s="32">
        <v>300</v>
      </c>
      <c r="L685" s="32">
        <v>360</v>
      </c>
      <c r="M685" s="33">
        <f t="shared" si="28"/>
        <v>900</v>
      </c>
      <c r="N685" s="32">
        <v>0</v>
      </c>
      <c r="O685" s="32">
        <v>120</v>
      </c>
      <c r="P685" s="34">
        <v>276</v>
      </c>
      <c r="Q685" s="32">
        <v>180</v>
      </c>
      <c r="R685" s="33">
        <f t="shared" si="29"/>
        <v>576</v>
      </c>
      <c r="S685">
        <v>0</v>
      </c>
      <c r="T685">
        <v>120</v>
      </c>
      <c r="U685">
        <v>48</v>
      </c>
      <c r="V685">
        <v>360</v>
      </c>
      <c r="W685">
        <v>528</v>
      </c>
    </row>
    <row r="686" spans="1:23" x14ac:dyDescent="0.3">
      <c r="A686" s="19">
        <v>33</v>
      </c>
      <c r="B686" s="20" t="str">
        <f t="shared" si="30"/>
        <v>AUG</v>
      </c>
      <c r="C686" s="21">
        <v>46248</v>
      </c>
      <c r="D686" s="20" t="str">
        <f>IFERROR(VLOOKUP(H686,KET!$B:$F,2,0),"")</f>
        <v>GRSM 4</v>
      </c>
      <c r="E686" s="20" t="str">
        <f>IFERROR(VLOOKUP(H686,KET!$B:$F,3,0),"")</f>
        <v>TASIKMALAYA</v>
      </c>
      <c r="F686" s="20" t="str">
        <f>IFERROR(VLOOKUP(H686,KET!$B:$F,4,0),"")</f>
        <v>FAHMI LUKMANUL HAKIM</v>
      </c>
      <c r="G686" s="20" t="str">
        <f>IFERROR(VLOOKUP(H686,KET!$B:$F,5,0),"")</f>
        <v>GMM</v>
      </c>
      <c r="H686" s="19" t="s">
        <v>96</v>
      </c>
      <c r="I686" s="32">
        <v>208</v>
      </c>
      <c r="J686" s="32">
        <v>176</v>
      </c>
      <c r="K686" s="32">
        <v>127</v>
      </c>
      <c r="L686" s="32">
        <v>708</v>
      </c>
      <c r="M686" s="33">
        <f t="shared" si="28"/>
        <v>1219</v>
      </c>
      <c r="N686" s="32">
        <v>181</v>
      </c>
      <c r="O686" s="32">
        <v>144</v>
      </c>
      <c r="P686" s="34">
        <v>85</v>
      </c>
      <c r="Q686" s="32">
        <v>489</v>
      </c>
      <c r="R686" s="33">
        <f t="shared" si="29"/>
        <v>899</v>
      </c>
      <c r="S686">
        <v>54</v>
      </c>
      <c r="T686">
        <v>66</v>
      </c>
      <c r="U686">
        <v>84</v>
      </c>
      <c r="V686">
        <v>438</v>
      </c>
      <c r="W686">
        <v>642</v>
      </c>
    </row>
    <row r="687" spans="1:23" x14ac:dyDescent="0.3">
      <c r="A687" s="19">
        <v>33</v>
      </c>
      <c r="B687" s="20" t="str">
        <f t="shared" si="30"/>
        <v>AUG</v>
      </c>
      <c r="C687" s="21">
        <v>46248</v>
      </c>
      <c r="D687" s="20" t="str">
        <f>IFERROR(VLOOKUP(H687,KET!$B:$F,2,0),"")</f>
        <v>GRSM 1</v>
      </c>
      <c r="E687" s="20" t="str">
        <f>IFERROR(VLOOKUP(H687,KET!$B:$F,3,0),"")</f>
        <v>MEDAN</v>
      </c>
      <c r="F687" s="20" t="str">
        <f>IFERROR(VLOOKUP(H687,KET!$B:$F,4,0),"")</f>
        <v>AFNITA SARI</v>
      </c>
      <c r="G687" s="20" t="str">
        <f>IFERROR(VLOOKUP(H687,KET!$B:$F,5,0),"")</f>
        <v>MT</v>
      </c>
      <c r="H687" s="19" t="s">
        <v>70</v>
      </c>
      <c r="I687" s="32">
        <v>934</v>
      </c>
      <c r="J687" s="32">
        <v>640</v>
      </c>
      <c r="K687" s="32">
        <v>1392</v>
      </c>
      <c r="L687" s="32">
        <v>1354</v>
      </c>
      <c r="M687" s="33">
        <f t="shared" si="28"/>
        <v>4320</v>
      </c>
      <c r="N687" s="32">
        <v>917</v>
      </c>
      <c r="O687" s="32">
        <v>597</v>
      </c>
      <c r="P687" s="34">
        <v>1351</v>
      </c>
      <c r="Q687" s="32">
        <v>1278</v>
      </c>
      <c r="R687" s="33">
        <f t="shared" si="29"/>
        <v>4143</v>
      </c>
      <c r="S687">
        <v>34</v>
      </c>
      <c r="T687">
        <v>86</v>
      </c>
      <c r="U687">
        <v>82</v>
      </c>
      <c r="V687">
        <v>152</v>
      </c>
      <c r="W687">
        <v>354</v>
      </c>
    </row>
    <row r="688" spans="1:23" x14ac:dyDescent="0.3">
      <c r="A688" s="19">
        <v>33</v>
      </c>
      <c r="B688" s="20" t="str">
        <f t="shared" si="30"/>
        <v>AUG</v>
      </c>
      <c r="C688" s="21">
        <v>46248</v>
      </c>
      <c r="D688" s="20" t="str">
        <f>IFERROR(VLOOKUP(H688,KET!$B:$F,2,0),"")</f>
        <v>GRSM 1</v>
      </c>
      <c r="E688" s="20" t="str">
        <f>IFERROR(VLOOKUP(H688,KET!$B:$F,3,0),"")</f>
        <v>MEDAN</v>
      </c>
      <c r="F688" s="20" t="str">
        <f>IFERROR(VLOOKUP(H688,KET!$B:$F,4,0),"")</f>
        <v>AFNITA SARI</v>
      </c>
      <c r="G688" s="20" t="str">
        <f>IFERROR(VLOOKUP(H688,KET!$B:$F,5,0),"")</f>
        <v>MT</v>
      </c>
      <c r="H688" s="19" t="s">
        <v>72</v>
      </c>
      <c r="I688" s="32">
        <v>510</v>
      </c>
      <c r="J688" s="32">
        <v>646</v>
      </c>
      <c r="K688" s="32">
        <v>840</v>
      </c>
      <c r="L688" s="32">
        <v>1342</v>
      </c>
      <c r="M688" s="33">
        <f t="shared" si="28"/>
        <v>3338</v>
      </c>
      <c r="N688" s="32">
        <v>472</v>
      </c>
      <c r="O688" s="32">
        <v>600</v>
      </c>
      <c r="P688" s="34">
        <v>760</v>
      </c>
      <c r="Q688" s="32">
        <v>1290</v>
      </c>
      <c r="R688" s="33">
        <f t="shared" si="29"/>
        <v>3122</v>
      </c>
      <c r="S688">
        <v>76</v>
      </c>
      <c r="T688">
        <v>92</v>
      </c>
      <c r="U688">
        <v>160</v>
      </c>
      <c r="V688">
        <v>104</v>
      </c>
      <c r="W688">
        <v>432</v>
      </c>
    </row>
    <row r="689" spans="1:23" x14ac:dyDescent="0.3">
      <c r="A689" s="19">
        <v>33</v>
      </c>
      <c r="B689" s="20" t="str">
        <f t="shared" si="30"/>
        <v>AUG</v>
      </c>
      <c r="C689" s="21">
        <v>46248</v>
      </c>
      <c r="D689" s="20" t="str">
        <f>IFERROR(VLOOKUP(H689,KET!$B:$F,2,0),"")</f>
        <v>GRSM 6</v>
      </c>
      <c r="E689" s="20" t="str">
        <f>IFERROR(VLOOKUP(H689,KET!$B:$F,3,0),"")</f>
        <v>TULUNGAGUNG</v>
      </c>
      <c r="F689" s="20" t="str">
        <f>IFERROR(VLOOKUP(H689,KET!$B:$F,4,0),"")</f>
        <v>MARTIKA MINTOROWATI</v>
      </c>
      <c r="G689" s="20" t="str">
        <f>IFERROR(VLOOKUP(H689,KET!$B:$F,5,0),"")</f>
        <v>GMM</v>
      </c>
      <c r="H689" s="19" t="s">
        <v>97</v>
      </c>
      <c r="I689" s="32">
        <v>120</v>
      </c>
      <c r="J689" s="32">
        <v>120</v>
      </c>
      <c r="K689" s="32">
        <v>120</v>
      </c>
      <c r="L689" s="32">
        <v>160</v>
      </c>
      <c r="M689" s="33">
        <f t="shared" si="28"/>
        <v>520</v>
      </c>
      <c r="N689" s="32">
        <v>114</v>
      </c>
      <c r="O689" s="32">
        <v>111</v>
      </c>
      <c r="P689" s="34">
        <v>108</v>
      </c>
      <c r="Q689" s="32">
        <v>115</v>
      </c>
      <c r="R689" s="33">
        <f t="shared" si="29"/>
        <v>448</v>
      </c>
      <c r="S689">
        <v>12</v>
      </c>
      <c r="T689">
        <v>18</v>
      </c>
      <c r="U689">
        <v>24</v>
      </c>
      <c r="V689">
        <v>90</v>
      </c>
      <c r="W689">
        <v>144</v>
      </c>
    </row>
    <row r="690" spans="1:23" x14ac:dyDescent="0.3">
      <c r="A690" s="19">
        <v>33</v>
      </c>
      <c r="B690" s="20" t="str">
        <f t="shared" si="30"/>
        <v>AUG</v>
      </c>
      <c r="C690" s="21">
        <v>46248</v>
      </c>
      <c r="D690" s="20" t="str">
        <f>IFERROR(VLOOKUP(H690,KET!$B:$F,2,0),"")</f>
        <v>GRSM 4</v>
      </c>
      <c r="E690" s="20" t="str">
        <f>IFERROR(VLOOKUP(H690,KET!$B:$F,3,0),"")</f>
        <v>MAJALAYA</v>
      </c>
      <c r="F690" s="20" t="str">
        <f>IFERROR(VLOOKUP(H690,KET!$B:$F,4,0),"")</f>
        <v>FAHMI LUKMANUL HAKIM</v>
      </c>
      <c r="G690" s="20" t="str">
        <f>IFERROR(VLOOKUP(H690,KET!$B:$F,5,0),"")</f>
        <v>GMM</v>
      </c>
      <c r="H690" s="19" t="s">
        <v>99</v>
      </c>
      <c r="I690" s="32">
        <v>540</v>
      </c>
      <c r="J690" s="32">
        <v>760</v>
      </c>
      <c r="K690" s="32">
        <v>0</v>
      </c>
      <c r="L690" s="32">
        <v>1560</v>
      </c>
      <c r="M690" s="33">
        <f t="shared" si="28"/>
        <v>2860</v>
      </c>
      <c r="N690" s="32">
        <v>513</v>
      </c>
      <c r="O690" s="32">
        <v>721</v>
      </c>
      <c r="P690" s="34">
        <v>510</v>
      </c>
      <c r="Q690" s="32">
        <v>1450</v>
      </c>
      <c r="R690" s="33">
        <f t="shared" si="29"/>
        <v>3194</v>
      </c>
      <c r="S690">
        <v>53</v>
      </c>
      <c r="T690">
        <v>73</v>
      </c>
      <c r="U690">
        <v>60</v>
      </c>
      <c r="V690">
        <v>239</v>
      </c>
      <c r="W690">
        <v>425</v>
      </c>
    </row>
    <row r="691" spans="1:23" x14ac:dyDescent="0.3">
      <c r="A691" s="19">
        <v>33</v>
      </c>
      <c r="B691" s="20" t="str">
        <f t="shared" si="30"/>
        <v>AUG</v>
      </c>
      <c r="C691" s="21">
        <v>46248</v>
      </c>
      <c r="D691" s="20" t="str">
        <f>IFERROR(VLOOKUP(H691,KET!$B:$F,2,0),"")</f>
        <v>GRSM 6</v>
      </c>
      <c r="E691" s="20" t="str">
        <f>IFERROR(VLOOKUP(H691,KET!$B:$F,3,0),"")</f>
        <v>NGANJUK</v>
      </c>
      <c r="F691" s="20" t="str">
        <f>IFERROR(VLOOKUP(H691,KET!$B:$F,4,0),"")</f>
        <v>MARTIKA MINTOROWATI</v>
      </c>
      <c r="G691" s="20" t="str">
        <f>IFERROR(VLOOKUP(H691,KET!$B:$F,5,0),"")</f>
        <v>GMM</v>
      </c>
      <c r="H691" s="19" t="s">
        <v>113</v>
      </c>
      <c r="I691" s="32">
        <v>493</v>
      </c>
      <c r="J691" s="32">
        <v>2456</v>
      </c>
      <c r="K691" s="32">
        <v>2908</v>
      </c>
      <c r="L691" s="32">
        <v>2457</v>
      </c>
      <c r="M691" s="33">
        <f t="shared" si="28"/>
        <v>8314</v>
      </c>
      <c r="N691" s="32">
        <v>487</v>
      </c>
      <c r="O691" s="32">
        <v>2435</v>
      </c>
      <c r="P691" s="34">
        <v>2866</v>
      </c>
      <c r="Q691" s="32">
        <v>2367</v>
      </c>
      <c r="R691" s="33">
        <f t="shared" si="29"/>
        <v>8155</v>
      </c>
      <c r="S691">
        <v>11</v>
      </c>
      <c r="T691">
        <v>22</v>
      </c>
      <c r="U691">
        <v>104</v>
      </c>
      <c r="V691">
        <v>156</v>
      </c>
      <c r="W691">
        <v>293</v>
      </c>
    </row>
    <row r="692" spans="1:23" x14ac:dyDescent="0.3">
      <c r="A692" s="19">
        <v>33</v>
      </c>
      <c r="B692" s="20" t="str">
        <f t="shared" si="30"/>
        <v>AUG</v>
      </c>
      <c r="C692" s="21">
        <v>46248</v>
      </c>
      <c r="D692" s="20" t="str">
        <f>IFERROR(VLOOKUP(H692,KET!$B:$F,2,0),"")</f>
        <v>GRSM 5</v>
      </c>
      <c r="E692" s="20" t="str">
        <f>IFERROR(VLOOKUP(H692,KET!$B:$F,3,0),"")</f>
        <v>REMBANG</v>
      </c>
      <c r="F692" s="20" t="str">
        <f>IFERROR(VLOOKUP(H692,KET!$B:$F,4,0),"")</f>
        <v>SUPRIYATI</v>
      </c>
      <c r="G692" s="20" t="str">
        <f>IFERROR(VLOOKUP(H692,KET!$B:$F,5,0),"")</f>
        <v>MT</v>
      </c>
      <c r="H692" s="19" t="s">
        <v>119</v>
      </c>
      <c r="I692" s="32">
        <v>0</v>
      </c>
      <c r="J692" s="32">
        <v>200</v>
      </c>
      <c r="K692" s="32">
        <v>210</v>
      </c>
      <c r="L692" s="32">
        <v>200</v>
      </c>
      <c r="M692" s="33">
        <f t="shared" si="28"/>
        <v>610</v>
      </c>
      <c r="N692" s="32">
        <v>0</v>
      </c>
      <c r="O692" s="32">
        <v>140</v>
      </c>
      <c r="P692" s="34">
        <v>110</v>
      </c>
      <c r="Q692" s="32">
        <v>110</v>
      </c>
      <c r="R692" s="33">
        <f t="shared" si="29"/>
        <v>360</v>
      </c>
      <c r="S692">
        <v>0</v>
      </c>
      <c r="T692">
        <v>120</v>
      </c>
      <c r="U692">
        <v>200</v>
      </c>
      <c r="V692">
        <v>210</v>
      </c>
      <c r="W692">
        <v>530</v>
      </c>
    </row>
    <row r="693" spans="1:23" x14ac:dyDescent="0.3">
      <c r="A693" s="19">
        <v>33</v>
      </c>
      <c r="B693" s="20" t="str">
        <f t="shared" si="30"/>
        <v>AUG</v>
      </c>
      <c r="C693" s="21">
        <v>46248</v>
      </c>
      <c r="D693" s="20" t="str">
        <f>IFERROR(VLOOKUP(H693,KET!$B:$F,2,0),"")</f>
        <v>GRSM 7</v>
      </c>
      <c r="E693" s="20" t="str">
        <f>IFERROR(VLOOKUP(H693,KET!$B:$F,3,0),"")</f>
        <v>BALIKPAPAN</v>
      </c>
      <c r="F693" s="20" t="str">
        <f>IFERROR(VLOOKUP(H693,KET!$B:$F,4,0),"")</f>
        <v>INDRI</v>
      </c>
      <c r="G693" s="20" t="str">
        <f>IFERROR(VLOOKUP(H693,KET!$B:$F,5,0),"")</f>
        <v>GMM</v>
      </c>
      <c r="H693" s="19" t="s">
        <v>120</v>
      </c>
      <c r="I693" s="32">
        <v>170</v>
      </c>
      <c r="J693" s="32">
        <v>223</v>
      </c>
      <c r="K693" s="32">
        <v>224</v>
      </c>
      <c r="L693" s="32">
        <v>229</v>
      </c>
      <c r="M693" s="33">
        <f t="shared" si="28"/>
        <v>846</v>
      </c>
      <c r="N693" s="32">
        <v>155</v>
      </c>
      <c r="O693" s="32">
        <v>203</v>
      </c>
      <c r="P693" s="34">
        <v>200</v>
      </c>
      <c r="Q693" s="32">
        <v>194</v>
      </c>
      <c r="R693" s="33">
        <f t="shared" si="29"/>
        <v>752</v>
      </c>
      <c r="S693">
        <v>30</v>
      </c>
      <c r="T693">
        <v>40</v>
      </c>
      <c r="U693">
        <v>48</v>
      </c>
      <c r="V693">
        <v>70</v>
      </c>
      <c r="W693">
        <v>188</v>
      </c>
    </row>
    <row r="694" spans="1:23" x14ac:dyDescent="0.3">
      <c r="A694" s="19">
        <v>33</v>
      </c>
      <c r="B694" s="20" t="str">
        <f t="shared" si="30"/>
        <v>AUG</v>
      </c>
      <c r="C694" s="21">
        <v>46248</v>
      </c>
      <c r="D694" s="20" t="str">
        <f>IFERROR(VLOOKUP(H694,KET!$B:$F,2,0),"")</f>
        <v>GRSM 3A</v>
      </c>
      <c r="E694" s="20" t="str">
        <f>IFERROR(VLOOKUP(H694,KET!$B:$F,3,0),"")</f>
        <v>CIANJUR</v>
      </c>
      <c r="F694" s="20" t="str">
        <f>IFERROR(VLOOKUP(H694,KET!$B:$F,4,0),"")</f>
        <v>FAHMI LUKMANUL HAKIM</v>
      </c>
      <c r="G694" s="20" t="str">
        <f>IFERROR(VLOOKUP(H694,KET!$B:$F,5,0),"")</f>
        <v>GMM</v>
      </c>
      <c r="H694" s="19" t="s">
        <v>102</v>
      </c>
      <c r="I694" s="32">
        <v>167</v>
      </c>
      <c r="J694" s="32">
        <v>359</v>
      </c>
      <c r="K694" s="32">
        <v>397</v>
      </c>
      <c r="L694" s="32">
        <v>1513</v>
      </c>
      <c r="M694" s="33">
        <f t="shared" si="28"/>
        <v>2436</v>
      </c>
      <c r="N694" s="32">
        <v>146</v>
      </c>
      <c r="O694" s="32">
        <v>324</v>
      </c>
      <c r="P694" s="34">
        <v>347</v>
      </c>
      <c r="Q694" s="32">
        <v>1439</v>
      </c>
      <c r="R694" s="33">
        <f t="shared" si="29"/>
        <v>2256</v>
      </c>
      <c r="S694">
        <v>44</v>
      </c>
      <c r="T694">
        <v>70</v>
      </c>
      <c r="U694">
        <v>80</v>
      </c>
      <c r="V694">
        <v>148</v>
      </c>
      <c r="W694">
        <v>342</v>
      </c>
    </row>
    <row r="695" spans="1:23" x14ac:dyDescent="0.3">
      <c r="A695" s="19">
        <v>33</v>
      </c>
      <c r="B695" s="20" t="str">
        <f t="shared" si="30"/>
        <v>AUG</v>
      </c>
      <c r="C695" s="21">
        <v>46248</v>
      </c>
      <c r="D695" s="20" t="str">
        <f>IFERROR(VLOOKUP(H695,KET!$B:$F,2,0),"")</f>
        <v>GRSM 4</v>
      </c>
      <c r="E695" s="20" t="str">
        <f>IFERROR(VLOOKUP(H695,KET!$B:$F,3,0),"")</f>
        <v>TASIK</v>
      </c>
      <c r="F695" s="20" t="str">
        <f>IFERROR(VLOOKUP(H695,KET!$B:$F,4,0),"")</f>
        <v>FAHMI LUKMANUL HAKIM</v>
      </c>
      <c r="G695" s="20" t="str">
        <f>IFERROR(VLOOKUP(H695,KET!$B:$F,5,0),"")</f>
        <v>GMM</v>
      </c>
      <c r="H695" s="19" t="s">
        <v>103</v>
      </c>
      <c r="I695" s="32">
        <v>0</v>
      </c>
      <c r="J695" s="32">
        <v>0</v>
      </c>
      <c r="K695" s="32">
        <v>840</v>
      </c>
      <c r="L695" s="32">
        <v>0</v>
      </c>
      <c r="M695" s="33">
        <f t="shared" si="28"/>
        <v>840</v>
      </c>
      <c r="N695" s="32">
        <v>0</v>
      </c>
      <c r="O695" s="32">
        <v>0</v>
      </c>
      <c r="P695" s="34">
        <v>690</v>
      </c>
      <c r="Q695" s="32">
        <v>0</v>
      </c>
      <c r="R695" s="33">
        <f t="shared" si="29"/>
        <v>690</v>
      </c>
      <c r="S695">
        <v>0</v>
      </c>
      <c r="T695">
        <v>0</v>
      </c>
      <c r="U695">
        <v>282</v>
      </c>
      <c r="V695">
        <v>0</v>
      </c>
      <c r="W695">
        <v>282</v>
      </c>
    </row>
    <row r="696" spans="1:23" x14ac:dyDescent="0.3">
      <c r="A696" s="19">
        <v>33</v>
      </c>
      <c r="B696" s="20" t="str">
        <f t="shared" si="30"/>
        <v>AUG</v>
      </c>
      <c r="C696" s="21">
        <v>46248</v>
      </c>
      <c r="D696" s="20" t="str">
        <f>IFERROR(VLOOKUP(H696,KET!$B:$F,2,0),"")</f>
        <v>GRSM 5</v>
      </c>
      <c r="E696" s="20" t="str">
        <f>IFERROR(VLOOKUP(H696,KET!$B:$F,3,0),"")</f>
        <v>TEGAL</v>
      </c>
      <c r="F696" s="20" t="str">
        <f>IFERROR(VLOOKUP(H696,KET!$B:$F,4,0),"")</f>
        <v>SUPRIYATI</v>
      </c>
      <c r="G696" s="20" t="str">
        <f>IFERROR(VLOOKUP(H696,KET!$B:$F,5,0),"")</f>
        <v>GMM</v>
      </c>
      <c r="H696" s="19" t="s">
        <v>104</v>
      </c>
      <c r="I696" s="32">
        <v>0</v>
      </c>
      <c r="J696" s="32">
        <v>500</v>
      </c>
      <c r="K696" s="32">
        <v>880</v>
      </c>
      <c r="L696" s="32">
        <v>20</v>
      </c>
      <c r="M696" s="33">
        <f t="shared" si="28"/>
        <v>1400</v>
      </c>
      <c r="N696" s="32">
        <v>0</v>
      </c>
      <c r="O696" s="32">
        <v>340</v>
      </c>
      <c r="P696" s="34">
        <v>723</v>
      </c>
      <c r="Q696" s="32">
        <v>0</v>
      </c>
      <c r="R696" s="33">
        <f t="shared" si="29"/>
        <v>1063</v>
      </c>
      <c r="S696">
        <v>0</v>
      </c>
      <c r="T696">
        <v>320</v>
      </c>
      <c r="U696">
        <v>314</v>
      </c>
      <c r="V696">
        <v>40</v>
      </c>
      <c r="W696">
        <v>674</v>
      </c>
    </row>
    <row r="697" spans="1:23" x14ac:dyDescent="0.3">
      <c r="A697" s="19">
        <v>33</v>
      </c>
      <c r="B697" s="20" t="str">
        <f t="shared" si="30"/>
        <v>AUG</v>
      </c>
      <c r="C697" s="21">
        <v>46248</v>
      </c>
      <c r="D697" s="20" t="str">
        <f>IFERROR(VLOOKUP(H697,KET!$B:$F,2,0),"")</f>
        <v>GRSM 7</v>
      </c>
      <c r="E697" s="20" t="str">
        <f>IFERROR(VLOOKUP(H697,KET!$B:$F,3,0),"")</f>
        <v>SAMARINDA</v>
      </c>
      <c r="F697" s="20" t="str">
        <f>IFERROR(VLOOKUP(H697,KET!$B:$F,4,0),"")</f>
        <v>INDRI</v>
      </c>
      <c r="G697" s="20" t="str">
        <f>IFERROR(VLOOKUP(H697,KET!$B:$F,5,0),"")</f>
        <v>GMM</v>
      </c>
      <c r="H697" s="19" t="s">
        <v>116</v>
      </c>
      <c r="I697" s="32">
        <v>0</v>
      </c>
      <c r="J697" s="32">
        <v>507</v>
      </c>
      <c r="K697" s="32">
        <v>972</v>
      </c>
      <c r="L697" s="32">
        <v>1134</v>
      </c>
      <c r="M697" s="33">
        <f t="shared" si="28"/>
        <v>2613</v>
      </c>
      <c r="N697" s="32">
        <v>0</v>
      </c>
      <c r="O697" s="32">
        <v>440</v>
      </c>
      <c r="P697" s="34">
        <v>912</v>
      </c>
      <c r="Q697" s="32">
        <v>1027</v>
      </c>
      <c r="R697" s="33">
        <f t="shared" si="29"/>
        <v>2379</v>
      </c>
      <c r="S697">
        <v>0</v>
      </c>
      <c r="T697">
        <v>134</v>
      </c>
      <c r="U697">
        <v>120</v>
      </c>
      <c r="V697">
        <v>214</v>
      </c>
      <c r="W697">
        <v>468</v>
      </c>
    </row>
    <row r="698" spans="1:23" x14ac:dyDescent="0.3">
      <c r="A698" s="19">
        <v>33</v>
      </c>
      <c r="B698" s="20" t="str">
        <f t="shared" si="30"/>
        <v>AUG</v>
      </c>
      <c r="C698" s="21">
        <v>46248</v>
      </c>
      <c r="D698" s="20" t="str">
        <f>IFERROR(VLOOKUP(H698,KET!$B:$F,2,0),"")</f>
        <v>GRSM 4</v>
      </c>
      <c r="E698" s="20" t="str">
        <f>IFERROR(VLOOKUP(H698,KET!$B:$F,3,0),"")</f>
        <v>GARUT</v>
      </c>
      <c r="F698" s="20" t="str">
        <f>IFERROR(VLOOKUP(H698,KET!$B:$F,4,0),"")</f>
        <v>FAHMI LUKMANUL HAKIM</v>
      </c>
      <c r="G698" s="20" t="str">
        <f>IFERROR(VLOOKUP(H698,KET!$B:$F,5,0),"")</f>
        <v>GMM</v>
      </c>
      <c r="H698" s="19" t="s">
        <v>57</v>
      </c>
      <c r="I698" s="32">
        <v>0</v>
      </c>
      <c r="J698" s="32">
        <v>305</v>
      </c>
      <c r="K698" s="32">
        <v>302</v>
      </c>
      <c r="L698" s="32">
        <v>0</v>
      </c>
      <c r="M698" s="33">
        <f t="shared" si="28"/>
        <v>607</v>
      </c>
      <c r="N698" s="32">
        <v>0</v>
      </c>
      <c r="O698" s="32">
        <v>235</v>
      </c>
      <c r="P698" s="34">
        <v>240</v>
      </c>
      <c r="Q698" s="32">
        <v>0</v>
      </c>
      <c r="R698" s="33">
        <f t="shared" si="29"/>
        <v>475</v>
      </c>
      <c r="S698">
        <v>0</v>
      </c>
      <c r="T698">
        <v>135</v>
      </c>
      <c r="U698">
        <v>130</v>
      </c>
      <c r="V698">
        <v>0</v>
      </c>
      <c r="W698">
        <v>265</v>
      </c>
    </row>
    <row r="699" spans="1:23" x14ac:dyDescent="0.3">
      <c r="A699" s="19">
        <v>33</v>
      </c>
      <c r="B699" s="20" t="str">
        <f t="shared" si="30"/>
        <v>AUG</v>
      </c>
      <c r="C699" s="21">
        <v>46248</v>
      </c>
      <c r="D699" s="20" t="str">
        <f>IFERROR(VLOOKUP(H699,KET!$B:$F,2,0),"")</f>
        <v>GRSM 6</v>
      </c>
      <c r="E699" s="20" t="str">
        <f>IFERROR(VLOOKUP(H699,KET!$B:$F,3,0),"")</f>
        <v>NGANJUK</v>
      </c>
      <c r="F699" s="20" t="str">
        <f>IFERROR(VLOOKUP(H699,KET!$B:$F,4,0),"")</f>
        <v>MARTIKA MINTOROWATI</v>
      </c>
      <c r="G699" s="20" t="str">
        <f>IFERROR(VLOOKUP(H699,KET!$B:$F,5,0),"")</f>
        <v>GMM</v>
      </c>
      <c r="H699" s="19" t="s">
        <v>106</v>
      </c>
      <c r="I699" s="32">
        <v>1140</v>
      </c>
      <c r="J699" s="32">
        <v>1080</v>
      </c>
      <c r="K699" s="32">
        <v>1200</v>
      </c>
      <c r="L699" s="32">
        <v>480</v>
      </c>
      <c r="M699" s="33">
        <f t="shared" si="28"/>
        <v>3900</v>
      </c>
      <c r="N699" s="32">
        <v>1032</v>
      </c>
      <c r="O699" s="32">
        <v>1032</v>
      </c>
      <c r="P699" s="34">
        <v>1083</v>
      </c>
      <c r="Q699" s="32">
        <v>120</v>
      </c>
      <c r="R699" s="33">
        <f t="shared" si="29"/>
        <v>3267</v>
      </c>
      <c r="S699">
        <v>72</v>
      </c>
      <c r="T699">
        <v>32</v>
      </c>
      <c r="U699">
        <v>78</v>
      </c>
      <c r="V699">
        <v>240</v>
      </c>
      <c r="W699">
        <v>422</v>
      </c>
    </row>
    <row r="700" spans="1:23" x14ac:dyDescent="0.3">
      <c r="A700" s="19">
        <v>33</v>
      </c>
      <c r="B700" s="20" t="str">
        <f t="shared" si="30"/>
        <v>AUG</v>
      </c>
      <c r="C700" s="21">
        <v>46248</v>
      </c>
      <c r="D700" s="20" t="str">
        <f>IFERROR(VLOOKUP(H700,KET!$B:$F,2,0),"")</f>
        <v>GRSM 6</v>
      </c>
      <c r="E700" s="20" t="str">
        <f>IFERROR(VLOOKUP(H700,KET!$B:$F,3,0),"")</f>
        <v>KEDIRI</v>
      </c>
      <c r="F700" s="20" t="str">
        <f>IFERROR(VLOOKUP(H700,KET!$B:$F,4,0),"")</f>
        <v>MARTIKA MINTOROWATI</v>
      </c>
      <c r="G700" s="20" t="str">
        <f>IFERROR(VLOOKUP(H700,KET!$B:$F,5,0),"")</f>
        <v>GMM</v>
      </c>
      <c r="H700" s="19" t="s">
        <v>108</v>
      </c>
      <c r="I700" s="32">
        <v>554</v>
      </c>
      <c r="J700" s="32">
        <v>1803</v>
      </c>
      <c r="K700" s="32">
        <v>608</v>
      </c>
      <c r="L700" s="32">
        <v>1698</v>
      </c>
      <c r="M700" s="33">
        <f t="shared" si="28"/>
        <v>4663</v>
      </c>
      <c r="N700" s="32">
        <v>516</v>
      </c>
      <c r="O700" s="32">
        <v>1754</v>
      </c>
      <c r="P700" s="34">
        <v>563</v>
      </c>
      <c r="Q700" s="32">
        <v>1503</v>
      </c>
      <c r="R700" s="33">
        <f t="shared" si="29"/>
        <v>4336</v>
      </c>
      <c r="S700">
        <v>84</v>
      </c>
      <c r="T700">
        <v>98</v>
      </c>
      <c r="U700">
        <v>90</v>
      </c>
      <c r="V700">
        <v>146</v>
      </c>
      <c r="W700">
        <v>418</v>
      </c>
    </row>
    <row r="701" spans="1:23" x14ac:dyDescent="0.3">
      <c r="A701" s="19">
        <v>33</v>
      </c>
      <c r="B701" s="20" t="str">
        <f t="shared" si="30"/>
        <v>AUG</v>
      </c>
      <c r="C701" s="21">
        <v>46248</v>
      </c>
      <c r="D701" s="20" t="str">
        <f>IFERROR(VLOOKUP(H701,KET!$B:$F,2,0),"")</f>
        <v>GRSM 6</v>
      </c>
      <c r="E701" s="20" t="str">
        <f>IFERROR(VLOOKUP(H701,KET!$B:$F,3,0),"")</f>
        <v>KEDIRI</v>
      </c>
      <c r="F701" s="20" t="str">
        <f>IFERROR(VLOOKUP(H701,KET!$B:$F,4,0),"")</f>
        <v>MARTIKA MINTOROWATI</v>
      </c>
      <c r="G701" s="20" t="str">
        <f>IFERROR(VLOOKUP(H701,KET!$B:$F,5,0),"")</f>
        <v>GMM</v>
      </c>
      <c r="H701" s="19" t="s">
        <v>109</v>
      </c>
      <c r="I701" s="32">
        <v>287</v>
      </c>
      <c r="J701" s="32">
        <v>860</v>
      </c>
      <c r="K701" s="32">
        <v>198</v>
      </c>
      <c r="L701" s="32">
        <v>738</v>
      </c>
      <c r="M701" s="33">
        <f t="shared" si="28"/>
        <v>2083</v>
      </c>
      <c r="N701" s="32">
        <v>210</v>
      </c>
      <c r="O701" s="32">
        <v>760</v>
      </c>
      <c r="P701" s="34">
        <v>85</v>
      </c>
      <c r="Q701" s="32">
        <v>640</v>
      </c>
      <c r="R701" s="33">
        <f t="shared" si="29"/>
        <v>1695</v>
      </c>
      <c r="S701">
        <v>154</v>
      </c>
      <c r="T701">
        <v>200</v>
      </c>
      <c r="U701">
        <v>226</v>
      </c>
      <c r="V701">
        <v>196</v>
      </c>
      <c r="W701">
        <v>776</v>
      </c>
    </row>
    <row r="702" spans="1:23" x14ac:dyDescent="0.3">
      <c r="A702" s="19">
        <v>33</v>
      </c>
      <c r="B702" s="20" t="str">
        <f t="shared" si="30"/>
        <v>AUG</v>
      </c>
      <c r="C702" s="21">
        <v>46248</v>
      </c>
      <c r="D702" s="20" t="str">
        <f>IFERROR(VLOOKUP(H702,KET!$B:$F,2,0),"")</f>
        <v>GRSM 5</v>
      </c>
      <c r="E702" s="20" t="str">
        <f>IFERROR(VLOOKUP(H702,KET!$B:$F,3,0),"")</f>
        <v>MAGELANG</v>
      </c>
      <c r="F702" s="20" t="str">
        <f>IFERROR(VLOOKUP(H702,KET!$B:$F,4,0),"")</f>
        <v>SUPRIYATI</v>
      </c>
      <c r="G702" s="20" t="str">
        <f>IFERROR(VLOOKUP(H702,KET!$B:$F,5,0),"")</f>
        <v>GMM</v>
      </c>
      <c r="H702" s="19" t="s">
        <v>111</v>
      </c>
      <c r="I702" s="32">
        <v>80</v>
      </c>
      <c r="J702" s="32">
        <v>280</v>
      </c>
      <c r="K702" s="32">
        <v>360</v>
      </c>
      <c r="L702" s="32">
        <v>1080</v>
      </c>
      <c r="M702" s="33">
        <f t="shared" si="28"/>
        <v>1800</v>
      </c>
      <c r="N702" s="32">
        <v>72</v>
      </c>
      <c r="O702" s="32">
        <v>200</v>
      </c>
      <c r="P702" s="34">
        <v>280</v>
      </c>
      <c r="Q702" s="32">
        <v>960</v>
      </c>
      <c r="R702" s="33">
        <f t="shared" si="29"/>
        <v>1512</v>
      </c>
      <c r="S702">
        <v>16</v>
      </c>
      <c r="T702">
        <v>160</v>
      </c>
      <c r="U702">
        <v>160</v>
      </c>
      <c r="V702">
        <v>240</v>
      </c>
      <c r="W702">
        <v>576</v>
      </c>
    </row>
    <row r="703" spans="1:23" x14ac:dyDescent="0.3">
      <c r="A703" s="19">
        <v>33</v>
      </c>
      <c r="B703" s="20" t="str">
        <f t="shared" si="30"/>
        <v>AUG</v>
      </c>
      <c r="C703" s="21">
        <v>46248</v>
      </c>
      <c r="D703" s="20" t="str">
        <f>IFERROR(VLOOKUP(H703,KET!$B:$F,2,0),"")</f>
        <v>GRSM 5</v>
      </c>
      <c r="E703" s="20" t="str">
        <f>IFERROR(VLOOKUP(H703,KET!$B:$F,3,0),"")</f>
        <v>WONOSOBO</v>
      </c>
      <c r="F703" s="20" t="str">
        <f>IFERROR(VLOOKUP(H703,KET!$B:$F,4,0),"")</f>
        <v>SUPRIYATI</v>
      </c>
      <c r="G703" s="20" t="str">
        <f>IFERROR(VLOOKUP(H703,KET!$B:$F,5,0),"")</f>
        <v>GMM</v>
      </c>
      <c r="H703" s="19" t="s">
        <v>121</v>
      </c>
      <c r="I703" s="32">
        <v>109</v>
      </c>
      <c r="J703" s="32">
        <v>575</v>
      </c>
      <c r="K703" s="32">
        <v>489</v>
      </c>
      <c r="L703" s="32">
        <v>394</v>
      </c>
      <c r="M703" s="33">
        <f t="shared" si="28"/>
        <v>1567</v>
      </c>
      <c r="N703" s="32">
        <v>109</v>
      </c>
      <c r="O703" s="32">
        <v>545</v>
      </c>
      <c r="P703" s="34">
        <v>468</v>
      </c>
      <c r="Q703" s="32">
        <v>372</v>
      </c>
      <c r="R703" s="33">
        <f t="shared" si="29"/>
        <v>1494</v>
      </c>
      <c r="S703">
        <v>0</v>
      </c>
      <c r="T703">
        <v>60</v>
      </c>
      <c r="U703">
        <v>42</v>
      </c>
      <c r="V703">
        <v>34</v>
      </c>
      <c r="W703">
        <v>136</v>
      </c>
    </row>
    <row r="704" spans="1:23" x14ac:dyDescent="0.3">
      <c r="A704" s="19">
        <v>33</v>
      </c>
      <c r="B704" s="20" t="str">
        <f t="shared" si="30"/>
        <v>AUG</v>
      </c>
      <c r="C704" s="21">
        <v>46248</v>
      </c>
      <c r="D704" s="20" t="str">
        <f>IFERROR(VLOOKUP(H704,KET!$B:$F,2,0),"")</f>
        <v>GRSM 4</v>
      </c>
      <c r="E704" s="20" t="str">
        <f>IFERROR(VLOOKUP(H704,KET!$B:$F,3,0),"")</f>
        <v>PURWAKARTA</v>
      </c>
      <c r="F704" s="20" t="str">
        <f>IFERROR(VLOOKUP(H704,KET!$B:$F,4,0),"")</f>
        <v>FAHMI LUKMANUL HAKIM</v>
      </c>
      <c r="G704" s="20" t="str">
        <f>IFERROR(VLOOKUP(H704,KET!$B:$F,5,0),"")</f>
        <v>NKA</v>
      </c>
      <c r="H704" s="19" t="s">
        <v>112</v>
      </c>
      <c r="I704" s="32">
        <v>428</v>
      </c>
      <c r="J704" s="32">
        <v>367</v>
      </c>
      <c r="K704" s="32">
        <v>0</v>
      </c>
      <c r="L704" s="32">
        <v>210</v>
      </c>
      <c r="M704" s="33">
        <f t="shared" si="28"/>
        <v>1005</v>
      </c>
      <c r="N704" s="32">
        <v>358</v>
      </c>
      <c r="O704" s="32">
        <v>303</v>
      </c>
      <c r="P704" s="34">
        <v>732</v>
      </c>
      <c r="Q704" s="32">
        <v>1820</v>
      </c>
      <c r="R704" s="33">
        <f t="shared" si="29"/>
        <v>3213</v>
      </c>
      <c r="S704">
        <v>70</v>
      </c>
      <c r="T704">
        <v>64</v>
      </c>
      <c r="U704">
        <v>66</v>
      </c>
      <c r="V704">
        <v>190</v>
      </c>
      <c r="W704">
        <v>390</v>
      </c>
    </row>
    <row r="705" spans="1:23" x14ac:dyDescent="0.3">
      <c r="A705" s="19">
        <v>33</v>
      </c>
      <c r="B705" s="20" t="str">
        <f t="shared" si="30"/>
        <v>AUG</v>
      </c>
      <c r="C705" s="21">
        <v>46248</v>
      </c>
      <c r="D705" s="20" t="str">
        <f>IFERROR(VLOOKUP(H705,KET!$B:$F,2,0),"")</f>
        <v>GRSM 7</v>
      </c>
      <c r="E705" s="20" t="str">
        <f>IFERROR(VLOOKUP(H705,KET!$B:$F,3,0),"")</f>
        <v>BALIKPAPAN</v>
      </c>
      <c r="F705" s="20" t="str">
        <f>IFERROR(VLOOKUP(H705,KET!$B:$F,4,0),"")</f>
        <v>INDRI</v>
      </c>
      <c r="G705" s="20" t="str">
        <f>IFERROR(VLOOKUP(H705,KET!$B:$F,5,0),"")</f>
        <v>GMM</v>
      </c>
      <c r="H705" s="19" t="s">
        <v>122</v>
      </c>
      <c r="I705" s="32">
        <v>700</v>
      </c>
      <c r="J705" s="32">
        <v>1279</v>
      </c>
      <c r="K705" s="32">
        <v>717</v>
      </c>
      <c r="L705" s="32">
        <v>67</v>
      </c>
      <c r="M705" s="33">
        <f t="shared" si="28"/>
        <v>2763</v>
      </c>
      <c r="N705" s="32">
        <v>655</v>
      </c>
      <c r="O705" s="32">
        <v>1228</v>
      </c>
      <c r="P705" s="34">
        <v>684</v>
      </c>
      <c r="Q705" s="32">
        <v>34</v>
      </c>
      <c r="R705" s="33">
        <f t="shared" si="29"/>
        <v>2601</v>
      </c>
      <c r="S705">
        <v>90</v>
      </c>
      <c r="T705">
        <v>102</v>
      </c>
      <c r="U705">
        <v>66</v>
      </c>
      <c r="V705">
        <v>66</v>
      </c>
      <c r="W705">
        <v>324</v>
      </c>
    </row>
    <row r="706" spans="1:23" x14ac:dyDescent="0.3">
      <c r="A706" s="19">
        <v>33</v>
      </c>
      <c r="B706" s="20" t="str">
        <f t="shared" si="30"/>
        <v>AUG</v>
      </c>
      <c r="C706" s="21">
        <v>46249</v>
      </c>
      <c r="D706" s="20" t="str">
        <f>IFERROR(VLOOKUP(H706,KET!$B:$F,2,0),"")</f>
        <v>GRSM 7</v>
      </c>
      <c r="E706" s="20" t="str">
        <f>IFERROR(VLOOKUP(H706,KET!$B:$F,3,0),"")</f>
        <v>BANJARMASIN</v>
      </c>
      <c r="F706" s="20" t="str">
        <f>IFERROR(VLOOKUP(H706,KET!$B:$F,4,0),"")</f>
        <v>INDRI</v>
      </c>
      <c r="G706" s="20" t="str">
        <f>IFERROR(VLOOKUP(H706,KET!$B:$F,5,0),"")</f>
        <v>GMM</v>
      </c>
      <c r="H706" s="19" t="s">
        <v>85</v>
      </c>
      <c r="I706" s="32">
        <v>428</v>
      </c>
      <c r="J706" s="32">
        <v>384</v>
      </c>
      <c r="K706" s="32">
        <v>534</v>
      </c>
      <c r="L706" s="32">
        <v>902</v>
      </c>
      <c r="M706" s="33">
        <f t="shared" si="28"/>
        <v>2248</v>
      </c>
      <c r="N706" s="32">
        <v>438</v>
      </c>
      <c r="O706" s="32">
        <v>368</v>
      </c>
      <c r="P706" s="34">
        <v>514</v>
      </c>
      <c r="Q706" s="32">
        <v>902</v>
      </c>
      <c r="R706" s="33">
        <f t="shared" si="29"/>
        <v>2222</v>
      </c>
      <c r="S706">
        <v>20</v>
      </c>
      <c r="T706">
        <v>32</v>
      </c>
      <c r="U706">
        <v>40</v>
      </c>
      <c r="V706">
        <v>392</v>
      </c>
      <c r="W706">
        <v>484</v>
      </c>
    </row>
    <row r="707" spans="1:23" x14ac:dyDescent="0.3">
      <c r="A707" s="19">
        <v>33</v>
      </c>
      <c r="B707" s="20" t="str">
        <f t="shared" si="30"/>
        <v>AUG</v>
      </c>
      <c r="C707" s="21">
        <v>46249</v>
      </c>
      <c r="D707" s="20" t="str">
        <f>IFERROR(VLOOKUP(H707,KET!$B:$F,2,0),"")</f>
        <v>GRSM 5</v>
      </c>
      <c r="E707" s="20" t="str">
        <f>IFERROR(VLOOKUP(H707,KET!$B:$F,3,0),"")</f>
        <v>TEGAL</v>
      </c>
      <c r="F707" s="20" t="str">
        <f>IFERROR(VLOOKUP(H707,KET!$B:$F,4,0),"")</f>
        <v>SUPRIYATI</v>
      </c>
      <c r="G707" s="20" t="str">
        <f>IFERROR(VLOOKUP(H707,KET!$B:$F,5,0),"")</f>
        <v>GMM</v>
      </c>
      <c r="H707" s="19" t="s">
        <v>117</v>
      </c>
      <c r="I707" s="32">
        <v>520</v>
      </c>
      <c r="J707" s="32">
        <v>815</v>
      </c>
      <c r="K707" s="32">
        <v>673</v>
      </c>
      <c r="L707" s="32">
        <v>733</v>
      </c>
      <c r="M707" s="33">
        <f t="shared" si="28"/>
        <v>2741</v>
      </c>
      <c r="N707" s="32">
        <v>488</v>
      </c>
      <c r="O707" s="32">
        <v>787</v>
      </c>
      <c r="P707" s="34">
        <v>631</v>
      </c>
      <c r="Q707" s="32">
        <v>637</v>
      </c>
      <c r="R707" s="33">
        <f t="shared" si="29"/>
        <v>2543</v>
      </c>
      <c r="S707">
        <v>64</v>
      </c>
      <c r="T707">
        <v>56</v>
      </c>
      <c r="U707">
        <v>84</v>
      </c>
      <c r="V707">
        <v>192</v>
      </c>
      <c r="W707">
        <v>396</v>
      </c>
    </row>
    <row r="708" spans="1:23" x14ac:dyDescent="0.3">
      <c r="A708" s="19">
        <v>33</v>
      </c>
      <c r="B708" s="20" t="str">
        <f t="shared" ref="B708:B739" si="31">IF(C708="","",UPPER(TEXT(C708, "MMM")))</f>
        <v>AUG</v>
      </c>
      <c r="C708" s="21">
        <v>46249</v>
      </c>
      <c r="D708" s="20" t="str">
        <f>IFERROR(VLOOKUP(H708,KET!$B:$F,2,0),"")</f>
        <v>GRSM 4</v>
      </c>
      <c r="E708" s="20" t="str">
        <f>IFERROR(VLOOKUP(H708,KET!$B:$F,3,0),"")</f>
        <v>TASIKMALAYA</v>
      </c>
      <c r="F708" s="20" t="str">
        <f>IFERROR(VLOOKUP(H708,KET!$B:$F,4,0),"")</f>
        <v>FAHMI LUKMANUL HAKIM</v>
      </c>
      <c r="G708" s="20" t="str">
        <f>IFERROR(VLOOKUP(H708,KET!$B:$F,5,0),"")</f>
        <v>NKA</v>
      </c>
      <c r="H708" s="19" t="s">
        <v>87</v>
      </c>
      <c r="I708" s="32">
        <v>1040</v>
      </c>
      <c r="J708" s="32">
        <v>1169</v>
      </c>
      <c r="K708" s="32">
        <v>1422</v>
      </c>
      <c r="L708" s="32">
        <v>998</v>
      </c>
      <c r="M708" s="33">
        <f t="shared" si="28"/>
        <v>4629</v>
      </c>
      <c r="N708" s="32">
        <v>975</v>
      </c>
      <c r="O708" s="32">
        <v>1072</v>
      </c>
      <c r="P708" s="34">
        <v>1334</v>
      </c>
      <c r="Q708" s="32">
        <v>874</v>
      </c>
      <c r="R708" s="33">
        <f t="shared" si="29"/>
        <v>4255</v>
      </c>
      <c r="S708">
        <v>138</v>
      </c>
      <c r="T708">
        <v>195</v>
      </c>
      <c r="U708">
        <v>180</v>
      </c>
      <c r="V708">
        <v>254</v>
      </c>
      <c r="W708">
        <v>767</v>
      </c>
    </row>
    <row r="709" spans="1:23" x14ac:dyDescent="0.3">
      <c r="A709" s="19">
        <v>33</v>
      </c>
      <c r="B709" s="20" t="str">
        <f t="shared" si="31"/>
        <v>AUG</v>
      </c>
      <c r="C709" s="21">
        <v>46249</v>
      </c>
      <c r="D709" s="20" t="str">
        <f>IFERROR(VLOOKUP(H709,KET!$B:$F,2,0),"")</f>
        <v>GRSM 5</v>
      </c>
      <c r="E709" s="20" t="str">
        <f>IFERROR(VLOOKUP(H709,KET!$B:$F,3,0),"")</f>
        <v>TEGAL</v>
      </c>
      <c r="F709" s="20" t="str">
        <f>IFERROR(VLOOKUP(H709,KET!$B:$F,4,0),"")</f>
        <v>SUPRIYATI</v>
      </c>
      <c r="G709" s="20" t="str">
        <f>IFERROR(VLOOKUP(H709,KET!$B:$F,5,0),"")</f>
        <v>GMM</v>
      </c>
      <c r="H709" s="19" t="s">
        <v>88</v>
      </c>
      <c r="I709" s="32">
        <v>197</v>
      </c>
      <c r="J709" s="32">
        <v>304</v>
      </c>
      <c r="K709" s="32">
        <v>233</v>
      </c>
      <c r="L709" s="32">
        <v>616</v>
      </c>
      <c r="M709" s="33">
        <f t="shared" si="28"/>
        <v>1350</v>
      </c>
      <c r="N709" s="32">
        <v>113</v>
      </c>
      <c r="O709" s="32">
        <v>182</v>
      </c>
      <c r="P709" s="34">
        <v>119</v>
      </c>
      <c r="Q709" s="32">
        <v>388</v>
      </c>
      <c r="R709" s="33">
        <f t="shared" si="29"/>
        <v>802</v>
      </c>
      <c r="S709">
        <v>168</v>
      </c>
      <c r="T709">
        <v>224</v>
      </c>
      <c r="U709">
        <v>228</v>
      </c>
      <c r="V709">
        <v>456</v>
      </c>
      <c r="W709">
        <v>1076</v>
      </c>
    </row>
    <row r="710" spans="1:23" x14ac:dyDescent="0.3">
      <c r="A710" s="19">
        <v>33</v>
      </c>
      <c r="B710" s="20" t="str">
        <f t="shared" si="31"/>
        <v>AUG</v>
      </c>
      <c r="C710" s="21">
        <v>46249</v>
      </c>
      <c r="D710" s="20" t="str">
        <f>IFERROR(VLOOKUP(H710,KET!$B:$F,2,0),"")</f>
        <v>GRSM 1</v>
      </c>
      <c r="E710" s="20" t="str">
        <f>IFERROR(VLOOKUP(H710,KET!$B:$F,3,0),"")</f>
        <v>MEDAN</v>
      </c>
      <c r="F710" s="20" t="str">
        <f>IFERROR(VLOOKUP(H710,KET!$B:$F,4,0),"")</f>
        <v>AFNITA SARI</v>
      </c>
      <c r="G710" s="20" t="str">
        <f>IFERROR(VLOOKUP(H710,KET!$B:$F,5,0),"")</f>
        <v>MT</v>
      </c>
      <c r="H710" s="19" t="s">
        <v>73</v>
      </c>
      <c r="I710" s="32">
        <v>400</v>
      </c>
      <c r="J710" s="32">
        <v>502</v>
      </c>
      <c r="K710" s="32">
        <v>589</v>
      </c>
      <c r="L710" s="32">
        <v>1303</v>
      </c>
      <c r="M710" s="33">
        <f t="shared" si="28"/>
        <v>2794</v>
      </c>
      <c r="N710" s="32">
        <v>375</v>
      </c>
      <c r="O710" s="32">
        <v>464</v>
      </c>
      <c r="P710" s="34">
        <v>569</v>
      </c>
      <c r="Q710" s="32">
        <v>1248</v>
      </c>
      <c r="R710" s="33">
        <f t="shared" si="29"/>
        <v>2656</v>
      </c>
      <c r="S710">
        <v>50</v>
      </c>
      <c r="T710">
        <v>76</v>
      </c>
      <c r="U710">
        <v>40</v>
      </c>
      <c r="V710">
        <v>110</v>
      </c>
      <c r="W710">
        <v>276</v>
      </c>
    </row>
    <row r="711" spans="1:23" x14ac:dyDescent="0.3">
      <c r="A711" s="19">
        <v>33</v>
      </c>
      <c r="B711" s="20" t="str">
        <f t="shared" si="31"/>
        <v>AUG</v>
      </c>
      <c r="C711" s="21">
        <v>46249</v>
      </c>
      <c r="D711" s="20" t="str">
        <f>IFERROR(VLOOKUP(H711,KET!$B:$F,2,0),"")</f>
        <v>GRSM 1</v>
      </c>
      <c r="E711" s="20" t="str">
        <f>IFERROR(VLOOKUP(H711,KET!$B:$F,3,0),"")</f>
        <v>MEDAN</v>
      </c>
      <c r="F711" s="20" t="str">
        <f>IFERROR(VLOOKUP(H711,KET!$B:$F,4,0),"")</f>
        <v>AFNITA SARI</v>
      </c>
      <c r="G711" s="20" t="str">
        <f>IFERROR(VLOOKUP(H711,KET!$B:$F,5,0),"")</f>
        <v>MT</v>
      </c>
      <c r="H711" s="19" t="s">
        <v>71</v>
      </c>
      <c r="I711" s="32">
        <v>287</v>
      </c>
      <c r="J711" s="32">
        <v>638</v>
      </c>
      <c r="K711" s="32">
        <v>503</v>
      </c>
      <c r="L711" s="32">
        <v>865</v>
      </c>
      <c r="M711" s="33">
        <f t="shared" ref="M711:M774" si="32">SUM(I711:L711)</f>
        <v>2293</v>
      </c>
      <c r="N711" s="32">
        <v>270</v>
      </c>
      <c r="O711" s="32">
        <v>597</v>
      </c>
      <c r="P711" s="34">
        <v>486</v>
      </c>
      <c r="Q711" s="32">
        <v>808</v>
      </c>
      <c r="R711" s="33">
        <f t="shared" ref="R711:R774" si="33">SUM(N711:Q711)</f>
        <v>2161</v>
      </c>
      <c r="S711">
        <v>34</v>
      </c>
      <c r="T711">
        <v>82</v>
      </c>
      <c r="U711">
        <v>70</v>
      </c>
      <c r="V711">
        <v>114</v>
      </c>
      <c r="W711">
        <v>300</v>
      </c>
    </row>
    <row r="712" spans="1:23" x14ac:dyDescent="0.3">
      <c r="A712" s="19">
        <v>33</v>
      </c>
      <c r="B712" s="20" t="str">
        <f t="shared" si="31"/>
        <v>AUG</v>
      </c>
      <c r="C712" s="21">
        <v>46249</v>
      </c>
      <c r="D712" s="20" t="str">
        <f>IFERROR(VLOOKUP(H712,KET!$B:$F,2,0),"")</f>
        <v>GRSM 6</v>
      </c>
      <c r="E712" s="20" t="str">
        <f>IFERROR(VLOOKUP(H712,KET!$B:$F,3,0),"")</f>
        <v>TULUNGAGUNG</v>
      </c>
      <c r="F712" s="20" t="str">
        <f>IFERROR(VLOOKUP(H712,KET!$B:$F,4,0),"")</f>
        <v>MARTIKA MINTOROWATI</v>
      </c>
      <c r="G712" s="20" t="str">
        <f>IFERROR(VLOOKUP(H712,KET!$B:$F,5,0),"")</f>
        <v>GMM</v>
      </c>
      <c r="H712" s="19" t="s">
        <v>91</v>
      </c>
      <c r="I712" s="32">
        <v>600</v>
      </c>
      <c r="J712" s="32">
        <v>600</v>
      </c>
      <c r="K712" s="32">
        <v>600</v>
      </c>
      <c r="L712" s="32">
        <v>1200</v>
      </c>
      <c r="M712" s="33">
        <f t="shared" si="32"/>
        <v>3000</v>
      </c>
      <c r="N712" s="32">
        <v>562</v>
      </c>
      <c r="O712" s="32">
        <v>558</v>
      </c>
      <c r="P712" s="34">
        <v>458</v>
      </c>
      <c r="Q712" s="32">
        <v>892</v>
      </c>
      <c r="R712" s="33">
        <f t="shared" si="33"/>
        <v>2470</v>
      </c>
      <c r="S712">
        <v>76</v>
      </c>
      <c r="T712">
        <v>84</v>
      </c>
      <c r="U712">
        <v>284</v>
      </c>
      <c r="V712">
        <v>616</v>
      </c>
      <c r="W712">
        <v>1060</v>
      </c>
    </row>
    <row r="713" spans="1:23" x14ac:dyDescent="0.3">
      <c r="A713" s="19">
        <v>33</v>
      </c>
      <c r="B713" s="20" t="str">
        <f t="shared" si="31"/>
        <v>AUG</v>
      </c>
      <c r="C713" s="21">
        <v>46249</v>
      </c>
      <c r="D713" s="20" t="str">
        <f>IFERROR(VLOOKUP(H713,KET!$B:$F,2,0),"")</f>
        <v>GRSM 5</v>
      </c>
      <c r="E713" s="20" t="str">
        <f>IFERROR(VLOOKUP(H713,KET!$B:$F,3,0),"")</f>
        <v>BLORA</v>
      </c>
      <c r="F713" s="20" t="str">
        <f>IFERROR(VLOOKUP(H713,KET!$B:$F,4,0),"")</f>
        <v>SUPRIYATI</v>
      </c>
      <c r="G713" s="20" t="str">
        <f>IFERROR(VLOOKUP(H713,KET!$B:$F,5,0),"")</f>
        <v>GMM</v>
      </c>
      <c r="H713" s="19" t="s">
        <v>118</v>
      </c>
      <c r="I713" s="32">
        <v>328</v>
      </c>
      <c r="J713" s="32">
        <v>432</v>
      </c>
      <c r="K713" s="32">
        <v>438</v>
      </c>
      <c r="L713" s="32">
        <v>476</v>
      </c>
      <c r="M713" s="33">
        <f t="shared" si="32"/>
        <v>1674</v>
      </c>
      <c r="N713" s="32">
        <v>392</v>
      </c>
      <c r="O713" s="32">
        <v>338</v>
      </c>
      <c r="P713" s="34">
        <v>366</v>
      </c>
      <c r="Q713" s="32">
        <v>234</v>
      </c>
      <c r="R713" s="33">
        <f t="shared" si="33"/>
        <v>1330</v>
      </c>
      <c r="S713">
        <v>128</v>
      </c>
      <c r="T713">
        <v>188</v>
      </c>
      <c r="U713">
        <v>144</v>
      </c>
      <c r="V713">
        <v>484</v>
      </c>
      <c r="W713">
        <v>944</v>
      </c>
    </row>
    <row r="714" spans="1:23" x14ac:dyDescent="0.3">
      <c r="A714" s="19">
        <v>33</v>
      </c>
      <c r="B714" s="20" t="str">
        <f t="shared" si="31"/>
        <v>AUG</v>
      </c>
      <c r="C714" s="21">
        <v>46249</v>
      </c>
      <c r="D714" s="20" t="str">
        <f>IFERROR(VLOOKUP(H714,KET!$B:$F,2,0),"")</f>
        <v>GRSM 5</v>
      </c>
      <c r="E714" s="20" t="str">
        <f>IFERROR(VLOOKUP(H714,KET!$B:$F,3,0),"")</f>
        <v>PURBALINGGA</v>
      </c>
      <c r="F714" s="20" t="str">
        <f>IFERROR(VLOOKUP(H714,KET!$B:$F,4,0),"")</f>
        <v>SUPRIYATI</v>
      </c>
      <c r="G714" s="20" t="str">
        <f>IFERROR(VLOOKUP(H714,KET!$B:$F,5,0),"")</f>
        <v>GMM</v>
      </c>
      <c r="H714" s="19" t="s">
        <v>93</v>
      </c>
      <c r="I714" s="32">
        <v>768</v>
      </c>
      <c r="J714" s="32">
        <v>1764</v>
      </c>
      <c r="K714" s="32">
        <v>1797</v>
      </c>
      <c r="L714" s="32">
        <v>1836</v>
      </c>
      <c r="M714" s="33">
        <f t="shared" si="32"/>
        <v>6165</v>
      </c>
      <c r="N714" s="32">
        <v>726</v>
      </c>
      <c r="O714" s="32">
        <v>1752</v>
      </c>
      <c r="P714" s="34">
        <v>1593</v>
      </c>
      <c r="Q714" s="32">
        <v>1608</v>
      </c>
      <c r="R714" s="33">
        <f t="shared" si="33"/>
        <v>5679</v>
      </c>
      <c r="S714">
        <v>84</v>
      </c>
      <c r="T714">
        <v>24</v>
      </c>
      <c r="U714">
        <v>408</v>
      </c>
      <c r="V714">
        <v>456</v>
      </c>
      <c r="W714">
        <v>972</v>
      </c>
    </row>
    <row r="715" spans="1:23" x14ac:dyDescent="0.3">
      <c r="A715" s="19">
        <v>33</v>
      </c>
      <c r="B715" s="20" t="str">
        <f t="shared" si="31"/>
        <v>AUG</v>
      </c>
      <c r="C715" s="21">
        <v>46249</v>
      </c>
      <c r="D715" s="20" t="str">
        <f>IFERROR(VLOOKUP(H715,KET!$B:$F,2,0),"")</f>
        <v>GRSM 4</v>
      </c>
      <c r="E715" s="20" t="str">
        <f>IFERROR(VLOOKUP(H715,KET!$B:$F,3,0),"")</f>
        <v>CIAMIS</v>
      </c>
      <c r="F715" s="20" t="str">
        <f>IFERROR(VLOOKUP(H715,KET!$B:$F,4,0),"")</f>
        <v>FAHMI LUKMANUL HAKIM</v>
      </c>
      <c r="G715" s="20" t="str">
        <f>IFERROR(VLOOKUP(H715,KET!$B:$F,5,0),"")</f>
        <v>GMM</v>
      </c>
      <c r="H715" s="19" t="s">
        <v>95</v>
      </c>
      <c r="I715" s="32">
        <v>60</v>
      </c>
      <c r="J715" s="32">
        <v>120</v>
      </c>
      <c r="K715" s="32">
        <v>276</v>
      </c>
      <c r="L715" s="32">
        <v>180</v>
      </c>
      <c r="M715" s="33">
        <f t="shared" si="32"/>
        <v>636</v>
      </c>
      <c r="N715" s="32">
        <v>33</v>
      </c>
      <c r="O715" s="32">
        <v>75</v>
      </c>
      <c r="P715" s="34">
        <v>238</v>
      </c>
      <c r="Q715" s="32">
        <v>80</v>
      </c>
      <c r="R715" s="33">
        <f t="shared" si="33"/>
        <v>426</v>
      </c>
      <c r="S715">
        <v>54</v>
      </c>
      <c r="T715">
        <v>90</v>
      </c>
      <c r="U715">
        <v>76</v>
      </c>
      <c r="V715">
        <v>200</v>
      </c>
      <c r="W715">
        <v>420</v>
      </c>
    </row>
    <row r="716" spans="1:23" x14ac:dyDescent="0.3">
      <c r="A716" s="19">
        <v>33</v>
      </c>
      <c r="B716" s="20" t="str">
        <f t="shared" si="31"/>
        <v>AUG</v>
      </c>
      <c r="C716" s="21">
        <v>46249</v>
      </c>
      <c r="D716" s="20" t="str">
        <f>IFERROR(VLOOKUP(H716,KET!$B:$F,2,0),"")</f>
        <v>GRSM 4</v>
      </c>
      <c r="E716" s="20" t="str">
        <f>IFERROR(VLOOKUP(H716,KET!$B:$F,3,0),"")</f>
        <v>TASIKMALAYA</v>
      </c>
      <c r="F716" s="20" t="str">
        <f>IFERROR(VLOOKUP(H716,KET!$B:$F,4,0),"")</f>
        <v>FAHMI LUKMANUL HAKIM</v>
      </c>
      <c r="G716" s="20" t="str">
        <f>IFERROR(VLOOKUP(H716,KET!$B:$F,5,0),"")</f>
        <v>GMM</v>
      </c>
      <c r="H716" s="19" t="s">
        <v>96</v>
      </c>
      <c r="I716" s="32">
        <v>181</v>
      </c>
      <c r="J716" s="32">
        <v>144</v>
      </c>
      <c r="K716" s="32">
        <v>85</v>
      </c>
      <c r="L716" s="32">
        <v>489</v>
      </c>
      <c r="M716" s="33">
        <f t="shared" si="32"/>
        <v>899</v>
      </c>
      <c r="N716" s="32">
        <v>161</v>
      </c>
      <c r="O716" s="32">
        <v>118</v>
      </c>
      <c r="P716" s="34">
        <v>56</v>
      </c>
      <c r="Q716" s="32">
        <v>361</v>
      </c>
      <c r="R716" s="33">
        <f t="shared" si="33"/>
        <v>696</v>
      </c>
      <c r="S716">
        <v>40</v>
      </c>
      <c r="T716">
        <v>52</v>
      </c>
      <c r="U716">
        <v>58</v>
      </c>
      <c r="V716">
        <v>256</v>
      </c>
      <c r="W716">
        <v>406</v>
      </c>
    </row>
    <row r="717" spans="1:23" x14ac:dyDescent="0.3">
      <c r="A717" s="19">
        <v>33</v>
      </c>
      <c r="B717" s="20" t="str">
        <f t="shared" si="31"/>
        <v>AUG</v>
      </c>
      <c r="C717" s="21">
        <v>46249</v>
      </c>
      <c r="D717" s="20" t="str">
        <f>IFERROR(VLOOKUP(H717,KET!$B:$F,2,0),"")</f>
        <v>GRSM 1</v>
      </c>
      <c r="E717" s="20" t="str">
        <f>IFERROR(VLOOKUP(H717,KET!$B:$F,3,0),"")</f>
        <v>MEDAN</v>
      </c>
      <c r="F717" s="20" t="str">
        <f>IFERROR(VLOOKUP(H717,KET!$B:$F,4,0),"")</f>
        <v>AFNITA SARI</v>
      </c>
      <c r="G717" s="20" t="str">
        <f>IFERROR(VLOOKUP(H717,KET!$B:$F,5,0),"")</f>
        <v>MT</v>
      </c>
      <c r="H717" s="19" t="s">
        <v>70</v>
      </c>
      <c r="I717" s="32">
        <v>917</v>
      </c>
      <c r="J717" s="32">
        <v>597</v>
      </c>
      <c r="K717" s="32">
        <v>1351</v>
      </c>
      <c r="L717" s="32">
        <v>1278</v>
      </c>
      <c r="M717" s="33">
        <f t="shared" si="32"/>
        <v>4143</v>
      </c>
      <c r="N717" s="32">
        <v>893</v>
      </c>
      <c r="O717" s="32">
        <v>538</v>
      </c>
      <c r="P717" s="34">
        <v>1292</v>
      </c>
      <c r="Q717" s="32">
        <v>1120</v>
      </c>
      <c r="R717" s="33">
        <f t="shared" si="33"/>
        <v>3843</v>
      </c>
      <c r="S717">
        <v>48</v>
      </c>
      <c r="T717">
        <v>118</v>
      </c>
      <c r="U717">
        <v>118</v>
      </c>
      <c r="V717">
        <v>316</v>
      </c>
      <c r="W717">
        <v>600</v>
      </c>
    </row>
    <row r="718" spans="1:23" x14ac:dyDescent="0.3">
      <c r="A718" s="19">
        <v>33</v>
      </c>
      <c r="B718" s="20" t="str">
        <f t="shared" si="31"/>
        <v>AUG</v>
      </c>
      <c r="C718" s="21">
        <v>46249</v>
      </c>
      <c r="D718" s="20" t="str">
        <f>IFERROR(VLOOKUP(H718,KET!$B:$F,2,0),"")</f>
        <v>GRSM 1</v>
      </c>
      <c r="E718" s="20" t="str">
        <f>IFERROR(VLOOKUP(H718,KET!$B:$F,3,0),"")</f>
        <v>MEDAN</v>
      </c>
      <c r="F718" s="20" t="str">
        <f>IFERROR(VLOOKUP(H718,KET!$B:$F,4,0),"")</f>
        <v>AFNITA SARI</v>
      </c>
      <c r="G718" s="20" t="str">
        <f>IFERROR(VLOOKUP(H718,KET!$B:$F,5,0),"")</f>
        <v>MT</v>
      </c>
      <c r="H718" s="19" t="s">
        <v>72</v>
      </c>
      <c r="I718" s="32">
        <v>472</v>
      </c>
      <c r="J718" s="32">
        <v>600</v>
      </c>
      <c r="K718" s="32">
        <v>1000</v>
      </c>
      <c r="L718" s="32">
        <v>1290</v>
      </c>
      <c r="M718" s="33">
        <f t="shared" si="32"/>
        <v>3362</v>
      </c>
      <c r="N718" s="32">
        <v>396</v>
      </c>
      <c r="O718" s="32">
        <v>502</v>
      </c>
      <c r="P718" s="34">
        <v>954</v>
      </c>
      <c r="Q718" s="32">
        <v>1168</v>
      </c>
      <c r="R718" s="33">
        <f t="shared" si="33"/>
        <v>3020</v>
      </c>
      <c r="S718">
        <v>152</v>
      </c>
      <c r="T718">
        <v>196</v>
      </c>
      <c r="U718">
        <v>92</v>
      </c>
      <c r="V718">
        <v>244</v>
      </c>
      <c r="W718">
        <v>684</v>
      </c>
    </row>
    <row r="719" spans="1:23" x14ac:dyDescent="0.3">
      <c r="A719" s="19">
        <v>33</v>
      </c>
      <c r="B719" s="20" t="str">
        <f t="shared" si="31"/>
        <v>AUG</v>
      </c>
      <c r="C719" s="21">
        <v>46249</v>
      </c>
      <c r="D719" s="20" t="str">
        <f>IFERROR(VLOOKUP(H719,KET!$B:$F,2,0),"")</f>
        <v>GRSM 6</v>
      </c>
      <c r="E719" s="20" t="str">
        <f>IFERROR(VLOOKUP(H719,KET!$B:$F,3,0),"")</f>
        <v>TULUNGAGUNG</v>
      </c>
      <c r="F719" s="20" t="str">
        <f>IFERROR(VLOOKUP(H719,KET!$B:$F,4,0),"")</f>
        <v>MARTIKA MINTOROWATI</v>
      </c>
      <c r="G719" s="20" t="str">
        <f>IFERROR(VLOOKUP(H719,KET!$B:$F,5,0),"")</f>
        <v>GMM</v>
      </c>
      <c r="H719" s="19" t="s">
        <v>97</v>
      </c>
      <c r="I719" s="32">
        <v>100</v>
      </c>
      <c r="J719" s="32">
        <v>100</v>
      </c>
      <c r="K719" s="32">
        <v>100</v>
      </c>
      <c r="L719" s="32">
        <v>300</v>
      </c>
      <c r="M719" s="33">
        <f t="shared" si="32"/>
        <v>600</v>
      </c>
      <c r="N719" s="32">
        <v>46</v>
      </c>
      <c r="O719" s="32">
        <v>46</v>
      </c>
      <c r="P719" s="34">
        <v>46</v>
      </c>
      <c r="Q719" s="32">
        <v>21</v>
      </c>
      <c r="R719" s="33">
        <f t="shared" si="33"/>
        <v>159</v>
      </c>
      <c r="S719">
        <v>36</v>
      </c>
      <c r="T719">
        <v>36</v>
      </c>
      <c r="U719">
        <v>36</v>
      </c>
      <c r="V719">
        <v>186</v>
      </c>
      <c r="W719">
        <v>294</v>
      </c>
    </row>
    <row r="720" spans="1:23" x14ac:dyDescent="0.3">
      <c r="A720" s="19">
        <v>33</v>
      </c>
      <c r="B720" s="20" t="str">
        <f t="shared" si="31"/>
        <v>AUG</v>
      </c>
      <c r="C720" s="21">
        <v>46249</v>
      </c>
      <c r="D720" s="20" t="str">
        <f>IFERROR(VLOOKUP(H720,KET!$B:$F,2,0),"")</f>
        <v>GRSM 4</v>
      </c>
      <c r="E720" s="20" t="str">
        <f>IFERROR(VLOOKUP(H720,KET!$B:$F,3,0),"")</f>
        <v>MAJALAYA</v>
      </c>
      <c r="F720" s="20" t="str">
        <f>IFERROR(VLOOKUP(H720,KET!$B:$F,4,0),"")</f>
        <v>FAHMI LUKMANUL HAKIM</v>
      </c>
      <c r="G720" s="20" t="str">
        <f>IFERROR(VLOOKUP(H720,KET!$B:$F,5,0),"")</f>
        <v>GMM</v>
      </c>
      <c r="H720" s="19" t="s">
        <v>99</v>
      </c>
      <c r="I720" s="32">
        <v>487</v>
      </c>
      <c r="J720" s="32">
        <v>687</v>
      </c>
      <c r="K720" s="32">
        <v>0</v>
      </c>
      <c r="L720" s="32">
        <v>1329</v>
      </c>
      <c r="M720" s="33">
        <f t="shared" si="32"/>
        <v>2503</v>
      </c>
      <c r="N720" s="32">
        <v>464</v>
      </c>
      <c r="O720" s="32">
        <v>646</v>
      </c>
      <c r="P720" s="34">
        <v>453</v>
      </c>
      <c r="Q720" s="32">
        <v>1191</v>
      </c>
      <c r="R720" s="33">
        <f t="shared" si="33"/>
        <v>2754</v>
      </c>
      <c r="S720">
        <v>51</v>
      </c>
      <c r="T720">
        <v>83</v>
      </c>
      <c r="U720">
        <v>55</v>
      </c>
      <c r="V720">
        <v>280</v>
      </c>
      <c r="W720">
        <v>469</v>
      </c>
    </row>
    <row r="721" spans="1:23" x14ac:dyDescent="0.3">
      <c r="A721" s="19">
        <v>33</v>
      </c>
      <c r="B721" s="20" t="str">
        <f t="shared" si="31"/>
        <v>AUG</v>
      </c>
      <c r="C721" s="21">
        <v>46249</v>
      </c>
      <c r="D721" s="20" t="str">
        <f>IFERROR(VLOOKUP(H721,KET!$B:$F,2,0),"")</f>
        <v>GRSM 6</v>
      </c>
      <c r="E721" s="20" t="str">
        <f>IFERROR(VLOOKUP(H721,KET!$B:$F,3,0),"")</f>
        <v>NGANJUK</v>
      </c>
      <c r="F721" s="20" t="str">
        <f>IFERROR(VLOOKUP(H721,KET!$B:$F,4,0),"")</f>
        <v>MARTIKA MINTOROWATI</v>
      </c>
      <c r="G721" s="20" t="str">
        <f>IFERROR(VLOOKUP(H721,KET!$B:$F,5,0),"")</f>
        <v>GMM</v>
      </c>
      <c r="H721" s="19" t="s">
        <v>113</v>
      </c>
      <c r="I721" s="32">
        <v>439</v>
      </c>
      <c r="J721" s="32">
        <v>2456</v>
      </c>
      <c r="K721" s="32">
        <v>2908</v>
      </c>
      <c r="L721" s="32">
        <v>2457</v>
      </c>
      <c r="M721" s="33">
        <f t="shared" si="32"/>
        <v>8260</v>
      </c>
      <c r="N721" s="32">
        <v>418</v>
      </c>
      <c r="O721" s="32">
        <v>2420</v>
      </c>
      <c r="P721" s="34">
        <v>2875</v>
      </c>
      <c r="Q721" s="32">
        <v>2208</v>
      </c>
      <c r="R721" s="33">
        <f t="shared" si="33"/>
        <v>7921</v>
      </c>
      <c r="S721">
        <v>28</v>
      </c>
      <c r="T721">
        <v>48</v>
      </c>
      <c r="U721">
        <v>44</v>
      </c>
      <c r="V721">
        <v>332</v>
      </c>
      <c r="W721">
        <v>452</v>
      </c>
    </row>
    <row r="722" spans="1:23" x14ac:dyDescent="0.3">
      <c r="A722" s="19">
        <v>33</v>
      </c>
      <c r="B722" s="20" t="str">
        <f t="shared" si="31"/>
        <v>AUG</v>
      </c>
      <c r="C722" s="21">
        <v>46249</v>
      </c>
      <c r="D722" s="20" t="str">
        <f>IFERROR(VLOOKUP(H722,KET!$B:$F,2,0),"")</f>
        <v>GRSM 5</v>
      </c>
      <c r="E722" s="20" t="str">
        <f>IFERROR(VLOOKUP(H722,KET!$B:$F,3,0),"")</f>
        <v>REMBANG</v>
      </c>
      <c r="F722" s="20" t="str">
        <f>IFERROR(VLOOKUP(H722,KET!$B:$F,4,0),"")</f>
        <v>SUPRIYATI</v>
      </c>
      <c r="G722" s="20" t="str">
        <f>IFERROR(VLOOKUP(H722,KET!$B:$F,5,0),"")</f>
        <v>MT</v>
      </c>
      <c r="H722" s="19" t="s">
        <v>119</v>
      </c>
      <c r="I722" s="32">
        <v>0</v>
      </c>
      <c r="J722" s="32">
        <v>200</v>
      </c>
      <c r="K722" s="32">
        <v>210</v>
      </c>
      <c r="L722" s="32">
        <v>200</v>
      </c>
      <c r="M722" s="33">
        <f t="shared" si="32"/>
        <v>610</v>
      </c>
      <c r="N722" s="32">
        <v>0</v>
      </c>
      <c r="O722" s="32">
        <v>105</v>
      </c>
      <c r="P722" s="34">
        <v>10</v>
      </c>
      <c r="Q722" s="32">
        <v>10</v>
      </c>
      <c r="R722" s="33">
        <f t="shared" si="33"/>
        <v>125</v>
      </c>
      <c r="S722">
        <v>0</v>
      </c>
      <c r="T722">
        <v>190</v>
      </c>
      <c r="U722">
        <v>200</v>
      </c>
      <c r="V722">
        <v>200</v>
      </c>
      <c r="W722">
        <v>590</v>
      </c>
    </row>
    <row r="723" spans="1:23" x14ac:dyDescent="0.3">
      <c r="A723" s="19">
        <v>33</v>
      </c>
      <c r="B723" s="20" t="str">
        <f t="shared" si="31"/>
        <v>AUG</v>
      </c>
      <c r="C723" s="21">
        <v>46249</v>
      </c>
      <c r="D723" s="20" t="str">
        <f>IFERROR(VLOOKUP(H723,KET!$B:$F,2,0),"")</f>
        <v>GRSM 7</v>
      </c>
      <c r="E723" s="20" t="str">
        <f>IFERROR(VLOOKUP(H723,KET!$B:$F,3,0),"")</f>
        <v>BALIKPAPAN</v>
      </c>
      <c r="F723" s="20" t="str">
        <f>IFERROR(VLOOKUP(H723,KET!$B:$F,4,0),"")</f>
        <v>INDRI</v>
      </c>
      <c r="G723" s="20" t="str">
        <f>IFERROR(VLOOKUP(H723,KET!$B:$F,5,0),"")</f>
        <v>GMM</v>
      </c>
      <c r="H723" s="19" t="s">
        <v>120</v>
      </c>
      <c r="I723" s="32">
        <v>155</v>
      </c>
      <c r="J723" s="32">
        <v>203</v>
      </c>
      <c r="K723" s="32">
        <v>200</v>
      </c>
      <c r="L723" s="32">
        <v>194</v>
      </c>
      <c r="M723" s="33">
        <f t="shared" si="32"/>
        <v>752</v>
      </c>
      <c r="N723" s="32">
        <v>135</v>
      </c>
      <c r="O723" s="32">
        <v>173</v>
      </c>
      <c r="P723" s="34">
        <v>175</v>
      </c>
      <c r="Q723" s="32">
        <v>157</v>
      </c>
      <c r="R723" s="33">
        <f t="shared" si="33"/>
        <v>640</v>
      </c>
      <c r="S723">
        <v>40</v>
      </c>
      <c r="T723">
        <v>60</v>
      </c>
      <c r="U723">
        <v>50</v>
      </c>
      <c r="V723">
        <v>74</v>
      </c>
      <c r="W723">
        <v>224</v>
      </c>
    </row>
    <row r="724" spans="1:23" x14ac:dyDescent="0.3">
      <c r="A724" s="19">
        <v>33</v>
      </c>
      <c r="B724" s="20" t="str">
        <f t="shared" si="31"/>
        <v>AUG</v>
      </c>
      <c r="C724" s="21">
        <v>46249</v>
      </c>
      <c r="D724" s="20" t="str">
        <f>IFERROR(VLOOKUP(H724,KET!$B:$F,2,0),"")</f>
        <v>GRSM 3A</v>
      </c>
      <c r="E724" s="20" t="str">
        <f>IFERROR(VLOOKUP(H724,KET!$B:$F,3,0),"")</f>
        <v>CIANJUR</v>
      </c>
      <c r="F724" s="20" t="str">
        <f>IFERROR(VLOOKUP(H724,KET!$B:$F,4,0),"")</f>
        <v>FAHMI LUKMANUL HAKIM</v>
      </c>
      <c r="G724" s="20" t="str">
        <f>IFERROR(VLOOKUP(H724,KET!$B:$F,5,0),"")</f>
        <v>GMM</v>
      </c>
      <c r="H724" s="19" t="s">
        <v>102</v>
      </c>
      <c r="I724" s="32">
        <v>146</v>
      </c>
      <c r="J724" s="32">
        <v>1131</v>
      </c>
      <c r="K724" s="32">
        <v>356</v>
      </c>
      <c r="L724" s="32">
        <v>1438</v>
      </c>
      <c r="M724" s="33">
        <f t="shared" si="32"/>
        <v>3071</v>
      </c>
      <c r="N724" s="32">
        <v>50</v>
      </c>
      <c r="O724" s="32">
        <v>875</v>
      </c>
      <c r="P724" s="34">
        <v>287</v>
      </c>
      <c r="Q724" s="32">
        <v>1322</v>
      </c>
      <c r="R724" s="33">
        <f t="shared" si="33"/>
        <v>2534</v>
      </c>
      <c r="S724">
        <v>192</v>
      </c>
      <c r="T724">
        <v>512</v>
      </c>
      <c r="U724">
        <v>140</v>
      </c>
      <c r="V724">
        <v>232</v>
      </c>
      <c r="W724">
        <v>1076</v>
      </c>
    </row>
    <row r="725" spans="1:23" x14ac:dyDescent="0.3">
      <c r="A725" s="19">
        <v>33</v>
      </c>
      <c r="B725" s="20" t="str">
        <f t="shared" si="31"/>
        <v>AUG</v>
      </c>
      <c r="C725" s="21">
        <v>46249</v>
      </c>
      <c r="D725" s="20" t="str">
        <f>IFERROR(VLOOKUP(H725,KET!$B:$F,2,0),"")</f>
        <v>GRSM 4</v>
      </c>
      <c r="E725" s="20" t="str">
        <f>IFERROR(VLOOKUP(H725,KET!$B:$F,3,0),"")</f>
        <v>TASIK</v>
      </c>
      <c r="F725" s="20" t="str">
        <f>IFERROR(VLOOKUP(H725,KET!$B:$F,4,0),"")</f>
        <v>FAHMI LUKMANUL HAKIM</v>
      </c>
      <c r="G725" s="20" t="str">
        <f>IFERROR(VLOOKUP(H725,KET!$B:$F,5,0),"")</f>
        <v>GMM</v>
      </c>
      <c r="H725" s="19" t="s">
        <v>103</v>
      </c>
      <c r="I725" s="32">
        <v>0</v>
      </c>
      <c r="J725" s="32">
        <v>0</v>
      </c>
      <c r="K725" s="32">
        <v>558</v>
      </c>
      <c r="L725" s="32">
        <v>0</v>
      </c>
      <c r="M725" s="33">
        <f t="shared" si="32"/>
        <v>558</v>
      </c>
      <c r="N725" s="32">
        <v>0</v>
      </c>
      <c r="O725" s="32">
        <v>0</v>
      </c>
      <c r="P725" s="34">
        <v>396</v>
      </c>
      <c r="Q725" s="32">
        <v>0</v>
      </c>
      <c r="R725" s="33">
        <f t="shared" si="33"/>
        <v>396</v>
      </c>
      <c r="S725">
        <v>0</v>
      </c>
      <c r="T725">
        <v>0</v>
      </c>
      <c r="U725">
        <v>291</v>
      </c>
      <c r="V725">
        <v>0</v>
      </c>
      <c r="W725">
        <v>291</v>
      </c>
    </row>
    <row r="726" spans="1:23" x14ac:dyDescent="0.3">
      <c r="A726" s="19">
        <v>33</v>
      </c>
      <c r="B726" s="20" t="str">
        <f t="shared" si="31"/>
        <v>AUG</v>
      </c>
      <c r="C726" s="21">
        <v>46249</v>
      </c>
      <c r="D726" s="20" t="str">
        <f>IFERROR(VLOOKUP(H726,KET!$B:$F,2,0),"")</f>
        <v>GRSM 5</v>
      </c>
      <c r="E726" s="20" t="str">
        <f>IFERROR(VLOOKUP(H726,KET!$B:$F,3,0),"")</f>
        <v>TEGAL</v>
      </c>
      <c r="F726" s="20" t="str">
        <f>IFERROR(VLOOKUP(H726,KET!$B:$F,4,0),"")</f>
        <v>SUPRIYATI</v>
      </c>
      <c r="G726" s="20" t="str">
        <f>IFERROR(VLOOKUP(H726,KET!$B:$F,5,0),"")</f>
        <v>GMM</v>
      </c>
      <c r="H726" s="19" t="s">
        <v>104</v>
      </c>
      <c r="I726" s="32">
        <v>0</v>
      </c>
      <c r="J726" s="32">
        <v>340</v>
      </c>
      <c r="K726" s="32">
        <v>723</v>
      </c>
      <c r="L726" s="32">
        <v>0</v>
      </c>
      <c r="M726" s="33">
        <f t="shared" si="32"/>
        <v>1063</v>
      </c>
      <c r="N726" s="32">
        <v>0</v>
      </c>
      <c r="O726" s="32">
        <v>171</v>
      </c>
      <c r="P726" s="34">
        <v>553</v>
      </c>
      <c r="Q726" s="32">
        <v>0</v>
      </c>
      <c r="R726" s="33">
        <f t="shared" si="33"/>
        <v>724</v>
      </c>
      <c r="S726">
        <v>0</v>
      </c>
      <c r="T726">
        <v>338</v>
      </c>
      <c r="U726">
        <v>340</v>
      </c>
      <c r="V726">
        <v>0</v>
      </c>
      <c r="W726">
        <v>678</v>
      </c>
    </row>
    <row r="727" spans="1:23" x14ac:dyDescent="0.3">
      <c r="A727" s="19">
        <v>33</v>
      </c>
      <c r="B727" s="20" t="str">
        <f t="shared" si="31"/>
        <v>AUG</v>
      </c>
      <c r="C727" s="21">
        <v>46249</v>
      </c>
      <c r="D727" s="20" t="str">
        <f>IFERROR(VLOOKUP(H727,KET!$B:$F,2,0),"")</f>
        <v>GRSM 7</v>
      </c>
      <c r="E727" s="20" t="str">
        <f>IFERROR(VLOOKUP(H727,KET!$B:$F,3,0),"")</f>
        <v>SAMARINDA</v>
      </c>
      <c r="F727" s="20" t="str">
        <f>IFERROR(VLOOKUP(H727,KET!$B:$F,4,0),"")</f>
        <v>INDRI</v>
      </c>
      <c r="G727" s="20" t="str">
        <f>IFERROR(VLOOKUP(H727,KET!$B:$F,5,0),"")</f>
        <v>GMM</v>
      </c>
      <c r="H727" s="19" t="s">
        <v>116</v>
      </c>
      <c r="I727" s="32">
        <v>0</v>
      </c>
      <c r="J727" s="32">
        <v>393</v>
      </c>
      <c r="K727" s="32">
        <v>812</v>
      </c>
      <c r="L727" s="32">
        <v>954</v>
      </c>
      <c r="M727" s="33">
        <f t="shared" si="32"/>
        <v>2159</v>
      </c>
      <c r="N727" s="32">
        <v>0</v>
      </c>
      <c r="O727" s="32">
        <v>323</v>
      </c>
      <c r="P727" s="34">
        <v>762</v>
      </c>
      <c r="Q727" s="32">
        <v>870</v>
      </c>
      <c r="R727" s="33">
        <f t="shared" si="33"/>
        <v>1955</v>
      </c>
      <c r="S727">
        <v>0</v>
      </c>
      <c r="T727">
        <v>140</v>
      </c>
      <c r="U727">
        <v>100</v>
      </c>
      <c r="V727">
        <v>168</v>
      </c>
      <c r="W727">
        <v>408</v>
      </c>
    </row>
    <row r="728" spans="1:23" x14ac:dyDescent="0.3">
      <c r="A728" s="19">
        <v>33</v>
      </c>
      <c r="B728" s="20" t="str">
        <f t="shared" si="31"/>
        <v>AUG</v>
      </c>
      <c r="C728" s="21">
        <v>46249</v>
      </c>
      <c r="D728" s="20" t="str">
        <f>IFERROR(VLOOKUP(H728,KET!$B:$F,2,0),"")</f>
        <v>GRSM 4</v>
      </c>
      <c r="E728" s="20" t="str">
        <f>IFERROR(VLOOKUP(H728,KET!$B:$F,3,0),"")</f>
        <v>GARUT</v>
      </c>
      <c r="F728" s="20" t="str">
        <f>IFERROR(VLOOKUP(H728,KET!$B:$F,4,0),"")</f>
        <v>FAHMI LUKMANUL HAKIM</v>
      </c>
      <c r="G728" s="20" t="str">
        <f>IFERROR(VLOOKUP(H728,KET!$B:$F,5,0),"")</f>
        <v>GMM</v>
      </c>
      <c r="H728" s="19" t="s">
        <v>57</v>
      </c>
      <c r="I728" s="32">
        <v>0</v>
      </c>
      <c r="J728" s="32">
        <v>224</v>
      </c>
      <c r="K728" s="32">
        <v>215</v>
      </c>
      <c r="L728" s="32">
        <v>28</v>
      </c>
      <c r="M728" s="33">
        <f t="shared" si="32"/>
        <v>467</v>
      </c>
      <c r="N728" s="32">
        <v>0</v>
      </c>
      <c r="O728" s="32">
        <v>184</v>
      </c>
      <c r="P728" s="34">
        <v>153</v>
      </c>
      <c r="Q728" s="32">
        <v>0</v>
      </c>
      <c r="R728" s="33">
        <f t="shared" si="33"/>
        <v>337</v>
      </c>
      <c r="S728">
        <v>0</v>
      </c>
      <c r="T728">
        <v>85</v>
      </c>
      <c r="U728">
        <v>122</v>
      </c>
      <c r="V728">
        <v>55</v>
      </c>
      <c r="W728">
        <v>262</v>
      </c>
    </row>
    <row r="729" spans="1:23" x14ac:dyDescent="0.3">
      <c r="A729" s="19">
        <v>33</v>
      </c>
      <c r="B729" s="20" t="str">
        <f t="shared" si="31"/>
        <v>AUG</v>
      </c>
      <c r="C729" s="21">
        <v>46249</v>
      </c>
      <c r="D729" s="20" t="str">
        <f>IFERROR(VLOOKUP(H729,KET!$B:$F,2,0),"")</f>
        <v>GRSM 6</v>
      </c>
      <c r="E729" s="20" t="str">
        <f>IFERROR(VLOOKUP(H729,KET!$B:$F,3,0),"")</f>
        <v>NGANJUK</v>
      </c>
      <c r="F729" s="20" t="str">
        <f>IFERROR(VLOOKUP(H729,KET!$B:$F,4,0),"")</f>
        <v>MARTIKA MINTOROWATI</v>
      </c>
      <c r="G729" s="20" t="str">
        <f>IFERROR(VLOOKUP(H729,KET!$B:$F,5,0),"")</f>
        <v>GMM</v>
      </c>
      <c r="H729" s="19" t="s">
        <v>106</v>
      </c>
      <c r="I729" s="32">
        <v>2232</v>
      </c>
      <c r="J729" s="32">
        <v>1932</v>
      </c>
      <c r="K729" s="32">
        <v>2883</v>
      </c>
      <c r="L729" s="32">
        <v>1920</v>
      </c>
      <c r="M729" s="33">
        <f t="shared" si="32"/>
        <v>8967</v>
      </c>
      <c r="N729" s="32">
        <v>2061</v>
      </c>
      <c r="O729" s="32">
        <v>1842</v>
      </c>
      <c r="P729" s="34">
        <v>2751</v>
      </c>
      <c r="Q729" s="32">
        <v>1656</v>
      </c>
      <c r="R729" s="33">
        <f t="shared" si="33"/>
        <v>8310</v>
      </c>
      <c r="S729">
        <v>114</v>
      </c>
      <c r="T729">
        <v>60</v>
      </c>
      <c r="U729">
        <v>88</v>
      </c>
      <c r="V729">
        <v>176</v>
      </c>
      <c r="W729">
        <v>438</v>
      </c>
    </row>
    <row r="730" spans="1:23" x14ac:dyDescent="0.3">
      <c r="A730" s="19">
        <v>33</v>
      </c>
      <c r="B730" s="20" t="str">
        <f t="shared" si="31"/>
        <v>AUG</v>
      </c>
      <c r="C730" s="21">
        <v>46249</v>
      </c>
      <c r="D730" s="20" t="str">
        <f>IFERROR(VLOOKUP(H730,KET!$B:$F,2,0),"")</f>
        <v>GRSM 6</v>
      </c>
      <c r="E730" s="20" t="str">
        <f>IFERROR(VLOOKUP(H730,KET!$B:$F,3,0),"")</f>
        <v>KEDIRI</v>
      </c>
      <c r="F730" s="20" t="str">
        <f>IFERROR(VLOOKUP(H730,KET!$B:$F,4,0),"")</f>
        <v>MARTIKA MINTOROWATI</v>
      </c>
      <c r="G730" s="20" t="str">
        <f>IFERROR(VLOOKUP(H730,KET!$B:$F,5,0),"")</f>
        <v>GMM</v>
      </c>
      <c r="H730" s="19" t="s">
        <v>108</v>
      </c>
      <c r="I730" s="32">
        <v>516</v>
      </c>
      <c r="J730" s="32">
        <v>1754</v>
      </c>
      <c r="K730" s="32">
        <v>563</v>
      </c>
      <c r="L730" s="32">
        <v>1503</v>
      </c>
      <c r="M730" s="33">
        <f t="shared" si="32"/>
        <v>4336</v>
      </c>
      <c r="N730" s="32">
        <v>442</v>
      </c>
      <c r="O730" s="32">
        <v>1682</v>
      </c>
      <c r="P730" s="34">
        <v>475</v>
      </c>
      <c r="Q730" s="32">
        <v>1344</v>
      </c>
      <c r="R730" s="33">
        <f t="shared" si="33"/>
        <v>3943</v>
      </c>
      <c r="S730">
        <v>148</v>
      </c>
      <c r="T730">
        <v>144</v>
      </c>
      <c r="U730">
        <v>176</v>
      </c>
      <c r="V730">
        <v>318</v>
      </c>
      <c r="W730">
        <v>786</v>
      </c>
    </row>
    <row r="731" spans="1:23" x14ac:dyDescent="0.3">
      <c r="A731" s="19">
        <v>33</v>
      </c>
      <c r="B731" s="20" t="str">
        <f t="shared" si="31"/>
        <v>AUG</v>
      </c>
      <c r="C731" s="21">
        <v>46249</v>
      </c>
      <c r="D731" s="20" t="str">
        <f>IFERROR(VLOOKUP(H731,KET!$B:$F,2,0),"")</f>
        <v>GRSM 6</v>
      </c>
      <c r="E731" s="20" t="str">
        <f>IFERROR(VLOOKUP(H731,KET!$B:$F,3,0),"")</f>
        <v>KEDIRI</v>
      </c>
      <c r="F731" s="20" t="str">
        <f>IFERROR(VLOOKUP(H731,KET!$B:$F,4,0),"")</f>
        <v>MARTIKA MINTOROWATI</v>
      </c>
      <c r="G731" s="20" t="str">
        <f>IFERROR(VLOOKUP(H731,KET!$B:$F,5,0),"")</f>
        <v>GMM</v>
      </c>
      <c r="H731" s="19" t="s">
        <v>109</v>
      </c>
      <c r="I731" s="32">
        <v>210</v>
      </c>
      <c r="J731" s="32">
        <v>760</v>
      </c>
      <c r="K731" s="32">
        <v>85</v>
      </c>
      <c r="L731" s="32">
        <v>640</v>
      </c>
      <c r="M731" s="33">
        <f t="shared" si="32"/>
        <v>1695</v>
      </c>
      <c r="N731" s="32">
        <v>122</v>
      </c>
      <c r="O731" s="32">
        <v>651</v>
      </c>
      <c r="P731" s="34">
        <v>2</v>
      </c>
      <c r="Q731" s="32">
        <v>537</v>
      </c>
      <c r="R731" s="33">
        <f t="shared" si="33"/>
        <v>1312</v>
      </c>
      <c r="S731">
        <v>176</v>
      </c>
      <c r="T731">
        <v>218</v>
      </c>
      <c r="U731">
        <v>166</v>
      </c>
      <c r="V731">
        <v>206</v>
      </c>
      <c r="W731">
        <v>766</v>
      </c>
    </row>
    <row r="732" spans="1:23" x14ac:dyDescent="0.3">
      <c r="A732" s="19">
        <v>33</v>
      </c>
      <c r="B732" s="20" t="str">
        <f t="shared" si="31"/>
        <v>AUG</v>
      </c>
      <c r="C732" s="21">
        <v>46249</v>
      </c>
      <c r="D732" s="20" t="str">
        <f>IFERROR(VLOOKUP(H732,KET!$B:$F,2,0),"")</f>
        <v>GRSM 5</v>
      </c>
      <c r="E732" s="20" t="str">
        <f>IFERROR(VLOOKUP(H732,KET!$B:$F,3,0),"")</f>
        <v>MAGELANG</v>
      </c>
      <c r="F732" s="20" t="str">
        <f>IFERROR(VLOOKUP(H732,KET!$B:$F,4,0),"")</f>
        <v>SUPRIYATI</v>
      </c>
      <c r="G732" s="20" t="str">
        <f>IFERROR(VLOOKUP(H732,KET!$B:$F,5,0),"")</f>
        <v>GMM</v>
      </c>
      <c r="H732" s="19" t="s">
        <v>111</v>
      </c>
      <c r="I732" s="32">
        <v>72</v>
      </c>
      <c r="J732" s="32">
        <v>200</v>
      </c>
      <c r="K732" s="32">
        <v>280</v>
      </c>
      <c r="L732" s="32">
        <v>960</v>
      </c>
      <c r="M732" s="33">
        <f t="shared" si="32"/>
        <v>1512</v>
      </c>
      <c r="N732" s="32">
        <v>62</v>
      </c>
      <c r="O732" s="32">
        <v>160</v>
      </c>
      <c r="P732" s="34">
        <v>160</v>
      </c>
      <c r="Q732" s="32">
        <v>760</v>
      </c>
      <c r="R732" s="33">
        <f t="shared" si="33"/>
        <v>1142</v>
      </c>
      <c r="S732">
        <v>20</v>
      </c>
      <c r="T732">
        <v>80</v>
      </c>
      <c r="U732">
        <v>240</v>
      </c>
      <c r="V732">
        <v>400</v>
      </c>
      <c r="W732">
        <v>740</v>
      </c>
    </row>
    <row r="733" spans="1:23" x14ac:dyDescent="0.3">
      <c r="A733" s="19">
        <v>33</v>
      </c>
      <c r="B733" s="20" t="str">
        <f t="shared" si="31"/>
        <v>AUG</v>
      </c>
      <c r="C733" s="21">
        <v>46249</v>
      </c>
      <c r="D733" s="20" t="str">
        <f>IFERROR(VLOOKUP(H733,KET!$B:$F,2,0),"")</f>
        <v>GRSM 5</v>
      </c>
      <c r="E733" s="20" t="str">
        <f>IFERROR(VLOOKUP(H733,KET!$B:$F,3,0),"")</f>
        <v>WONOSOBO</v>
      </c>
      <c r="F733" s="20" t="str">
        <f>IFERROR(VLOOKUP(H733,KET!$B:$F,4,0),"")</f>
        <v>SUPRIYATI</v>
      </c>
      <c r="G733" s="20" t="str">
        <f>IFERROR(VLOOKUP(H733,KET!$B:$F,5,0),"")</f>
        <v>GMM</v>
      </c>
      <c r="H733" s="19" t="s">
        <v>121</v>
      </c>
      <c r="I733" s="32">
        <v>87</v>
      </c>
      <c r="J733" s="32">
        <v>454</v>
      </c>
      <c r="K733" s="32">
        <v>389</v>
      </c>
      <c r="L733" s="32">
        <v>272</v>
      </c>
      <c r="M733" s="33">
        <f t="shared" si="32"/>
        <v>1202</v>
      </c>
      <c r="N733" s="32">
        <v>27</v>
      </c>
      <c r="O733" s="32">
        <v>394</v>
      </c>
      <c r="P733" s="34">
        <v>329</v>
      </c>
      <c r="Q733" s="32">
        <v>182</v>
      </c>
      <c r="R733" s="33">
        <f t="shared" si="33"/>
        <v>932</v>
      </c>
      <c r="S733">
        <v>0</v>
      </c>
      <c r="T733">
        <v>120</v>
      </c>
      <c r="U733">
        <v>120</v>
      </c>
      <c r="V733">
        <v>180</v>
      </c>
      <c r="W733">
        <v>420</v>
      </c>
    </row>
    <row r="734" spans="1:23" x14ac:dyDescent="0.3">
      <c r="A734" s="19">
        <v>33</v>
      </c>
      <c r="B734" s="20" t="str">
        <f t="shared" si="31"/>
        <v>AUG</v>
      </c>
      <c r="C734" s="21">
        <v>46249</v>
      </c>
      <c r="D734" s="20" t="str">
        <f>IFERROR(VLOOKUP(H734,KET!$B:$F,2,0),"")</f>
        <v>GRSM 4</v>
      </c>
      <c r="E734" s="20" t="str">
        <f>IFERROR(VLOOKUP(H734,KET!$B:$F,3,0),"")</f>
        <v>PURWAKARTA</v>
      </c>
      <c r="F734" s="20" t="str">
        <f>IFERROR(VLOOKUP(H734,KET!$B:$F,4,0),"")</f>
        <v>FAHMI LUKMANUL HAKIM</v>
      </c>
      <c r="G734" s="20" t="str">
        <f>IFERROR(VLOOKUP(H734,KET!$B:$F,5,0),"")</f>
        <v>NKA</v>
      </c>
      <c r="H734" s="19" t="s">
        <v>112</v>
      </c>
      <c r="I734" s="32">
        <v>378</v>
      </c>
      <c r="J734" s="32">
        <v>303</v>
      </c>
      <c r="K734" s="32">
        <v>0</v>
      </c>
      <c r="L734" s="32">
        <v>1820</v>
      </c>
      <c r="M734" s="33">
        <f t="shared" si="32"/>
        <v>2501</v>
      </c>
      <c r="N734" s="32">
        <v>276</v>
      </c>
      <c r="O734" s="32">
        <v>223</v>
      </c>
      <c r="P734" s="34">
        <v>654</v>
      </c>
      <c r="Q734" s="32">
        <v>1600</v>
      </c>
      <c r="R734" s="33">
        <f t="shared" si="33"/>
        <v>2753</v>
      </c>
      <c r="S734">
        <v>102</v>
      </c>
      <c r="T734">
        <v>80</v>
      </c>
      <c r="U734">
        <v>78</v>
      </c>
      <c r="V734">
        <v>220</v>
      </c>
      <c r="W734">
        <v>480</v>
      </c>
    </row>
    <row r="735" spans="1:23" x14ac:dyDescent="0.3">
      <c r="A735" s="19">
        <v>33</v>
      </c>
      <c r="B735" s="20" t="str">
        <f t="shared" si="31"/>
        <v>AUG</v>
      </c>
      <c r="C735" s="21">
        <v>46249</v>
      </c>
      <c r="D735" s="20" t="str">
        <f>IFERROR(VLOOKUP(H735,KET!$B:$F,2,0),"")</f>
        <v>GRSM 7</v>
      </c>
      <c r="E735" s="20" t="str">
        <f>IFERROR(VLOOKUP(H735,KET!$B:$F,3,0),"")</f>
        <v>BALIKPAPAN</v>
      </c>
      <c r="F735" s="20" t="str">
        <f>IFERROR(VLOOKUP(H735,KET!$B:$F,4,0),"")</f>
        <v>INDRI</v>
      </c>
      <c r="G735" s="20" t="str">
        <f>IFERROR(VLOOKUP(H735,KET!$B:$F,5,0),"")</f>
        <v>GMM</v>
      </c>
      <c r="H735" s="19" t="s">
        <v>122</v>
      </c>
      <c r="I735" s="32">
        <v>630</v>
      </c>
      <c r="J735" s="32">
        <v>1228</v>
      </c>
      <c r="K735" s="32">
        <v>684</v>
      </c>
      <c r="L735" s="32">
        <v>34</v>
      </c>
      <c r="M735" s="33">
        <f t="shared" si="32"/>
        <v>2576</v>
      </c>
      <c r="N735" s="32">
        <v>630</v>
      </c>
      <c r="O735" s="32">
        <v>1187</v>
      </c>
      <c r="P735" s="34">
        <v>656</v>
      </c>
      <c r="Q735" s="32">
        <v>4</v>
      </c>
      <c r="R735" s="33">
        <f t="shared" si="33"/>
        <v>2477</v>
      </c>
      <c r="S735">
        <v>50</v>
      </c>
      <c r="T735">
        <v>82</v>
      </c>
      <c r="U735">
        <v>56</v>
      </c>
      <c r="V735">
        <v>60</v>
      </c>
      <c r="W735">
        <v>248</v>
      </c>
    </row>
    <row r="736" spans="1:23" x14ac:dyDescent="0.3">
      <c r="A736" s="19">
        <v>33</v>
      </c>
      <c r="B736" s="20" t="str">
        <f t="shared" si="31"/>
        <v>AUG</v>
      </c>
      <c r="C736" s="21">
        <v>46250</v>
      </c>
      <c r="D736" s="20" t="str">
        <f>IFERROR(VLOOKUP(H736,KET!$B:$F,2,0),"")</f>
        <v>GRSM 7</v>
      </c>
      <c r="E736" s="20" t="str">
        <f>IFERROR(VLOOKUP(H736,KET!$B:$F,3,0),"")</f>
        <v>BANJARMASIN</v>
      </c>
      <c r="F736" s="20" t="str">
        <f>IFERROR(VLOOKUP(H736,KET!$B:$F,4,0),"")</f>
        <v>INDRI</v>
      </c>
      <c r="G736" s="20" t="str">
        <f>IFERROR(VLOOKUP(H736,KET!$B:$F,5,0),"")</f>
        <v>GMM</v>
      </c>
      <c r="H736" s="19" t="s">
        <v>85</v>
      </c>
      <c r="I736" s="32">
        <v>428</v>
      </c>
      <c r="J736" s="32">
        <v>384</v>
      </c>
      <c r="K736" s="32">
        <v>534</v>
      </c>
      <c r="L736" s="32">
        <v>902</v>
      </c>
      <c r="M736" s="33">
        <f t="shared" si="32"/>
        <v>2248</v>
      </c>
      <c r="N736" s="32">
        <v>412</v>
      </c>
      <c r="O736" s="32">
        <v>372</v>
      </c>
      <c r="P736" s="34">
        <v>524</v>
      </c>
      <c r="Q736" s="32">
        <v>682</v>
      </c>
      <c r="R736" s="33">
        <f t="shared" si="33"/>
        <v>1990</v>
      </c>
      <c r="S736">
        <v>32</v>
      </c>
      <c r="T736">
        <v>24</v>
      </c>
      <c r="U736">
        <v>20</v>
      </c>
      <c r="V736">
        <v>440</v>
      </c>
      <c r="W736">
        <v>516</v>
      </c>
    </row>
    <row r="737" spans="1:23" x14ac:dyDescent="0.3">
      <c r="A737" s="19">
        <v>33</v>
      </c>
      <c r="B737" s="20" t="str">
        <f t="shared" si="31"/>
        <v>AUG</v>
      </c>
      <c r="C737" s="21">
        <v>46250</v>
      </c>
      <c r="D737" s="20" t="str">
        <f>IFERROR(VLOOKUP(H737,KET!$B:$F,2,0),"")</f>
        <v>GRSM 5</v>
      </c>
      <c r="E737" s="20" t="str">
        <f>IFERROR(VLOOKUP(H737,KET!$B:$F,3,0),"")</f>
        <v>TEGAL</v>
      </c>
      <c r="F737" s="20" t="str">
        <f>IFERROR(VLOOKUP(H737,KET!$B:$F,4,0),"")</f>
        <v>SUPRIYATI</v>
      </c>
      <c r="G737" s="20" t="str">
        <f>IFERROR(VLOOKUP(H737,KET!$B:$F,5,0),"")</f>
        <v>GMM</v>
      </c>
      <c r="H737" s="19" t="s">
        <v>117</v>
      </c>
      <c r="I737" s="32">
        <v>440</v>
      </c>
      <c r="J737" s="32">
        <v>742</v>
      </c>
      <c r="K737" s="32">
        <v>626</v>
      </c>
      <c r="L737" s="32">
        <v>583</v>
      </c>
      <c r="M737" s="33">
        <f t="shared" si="32"/>
        <v>2391</v>
      </c>
      <c r="N737" s="32">
        <v>397</v>
      </c>
      <c r="O737" s="32">
        <v>703</v>
      </c>
      <c r="P737" s="34">
        <v>580</v>
      </c>
      <c r="Q737" s="32">
        <v>485</v>
      </c>
      <c r="R737" s="33">
        <f t="shared" si="33"/>
        <v>2165</v>
      </c>
      <c r="S737">
        <v>86</v>
      </c>
      <c r="T737">
        <v>78</v>
      </c>
      <c r="U737">
        <v>92</v>
      </c>
      <c r="V737">
        <v>196</v>
      </c>
      <c r="W737">
        <v>452</v>
      </c>
    </row>
    <row r="738" spans="1:23" x14ac:dyDescent="0.3">
      <c r="A738" s="19">
        <v>33</v>
      </c>
      <c r="B738" s="20" t="str">
        <f t="shared" si="31"/>
        <v>AUG</v>
      </c>
      <c r="C738" s="21">
        <v>46250</v>
      </c>
      <c r="D738" s="20" t="str">
        <f>IFERROR(VLOOKUP(H738,KET!$B:$F,2,0),"")</f>
        <v>GRSM 4</v>
      </c>
      <c r="E738" s="20" t="str">
        <f>IFERROR(VLOOKUP(H738,KET!$B:$F,3,0),"")</f>
        <v>TASIKMALAYA</v>
      </c>
      <c r="F738" s="20" t="str">
        <f>IFERROR(VLOOKUP(H738,KET!$B:$F,4,0),"")</f>
        <v>FAHMI LUKMANUL HAKIM</v>
      </c>
      <c r="G738" s="20" t="str">
        <f>IFERROR(VLOOKUP(H738,KET!$B:$F,5,0),"")</f>
        <v>NKA</v>
      </c>
      <c r="H738" s="19" t="s">
        <v>87</v>
      </c>
      <c r="I738" s="32">
        <v>830</v>
      </c>
      <c r="J738" s="32">
        <v>883</v>
      </c>
      <c r="K738" s="32">
        <v>1154</v>
      </c>
      <c r="L738" s="32">
        <v>645</v>
      </c>
      <c r="M738" s="33">
        <f t="shared" si="32"/>
        <v>3512</v>
      </c>
      <c r="N738" s="32">
        <v>761</v>
      </c>
      <c r="O738" s="32">
        <v>796</v>
      </c>
      <c r="P738" s="34">
        <v>1068</v>
      </c>
      <c r="Q738" s="32">
        <v>551</v>
      </c>
      <c r="R738" s="33">
        <f t="shared" si="33"/>
        <v>3176</v>
      </c>
      <c r="S738">
        <v>141</v>
      </c>
      <c r="T738">
        <v>178</v>
      </c>
      <c r="U738">
        <v>174</v>
      </c>
      <c r="V738">
        <v>193</v>
      </c>
      <c r="W738">
        <v>686</v>
      </c>
    </row>
    <row r="739" spans="1:23" x14ac:dyDescent="0.3">
      <c r="A739" s="19">
        <v>33</v>
      </c>
      <c r="B739" s="20" t="str">
        <f t="shared" si="31"/>
        <v>AUG</v>
      </c>
      <c r="C739" s="21">
        <v>46250</v>
      </c>
      <c r="D739" s="20" t="str">
        <f>IFERROR(VLOOKUP(H739,KET!$B:$F,2,0),"")</f>
        <v>GRSM 5</v>
      </c>
      <c r="E739" s="20" t="str">
        <f>IFERROR(VLOOKUP(H739,KET!$B:$F,3,0),"")</f>
        <v>TEGAL</v>
      </c>
      <c r="F739" s="20" t="str">
        <f>IFERROR(VLOOKUP(H739,KET!$B:$F,4,0),"")</f>
        <v>SUPRIYATI</v>
      </c>
      <c r="G739" s="20" t="str">
        <f>IFERROR(VLOOKUP(H739,KET!$B:$F,5,0),"")</f>
        <v>GMM</v>
      </c>
      <c r="H739" s="19" t="s">
        <v>88</v>
      </c>
      <c r="I739" s="32">
        <v>113</v>
      </c>
      <c r="J739" s="32">
        <v>182</v>
      </c>
      <c r="K739" s="32">
        <v>119</v>
      </c>
      <c r="L739" s="32">
        <v>388</v>
      </c>
      <c r="M739" s="33">
        <f t="shared" si="32"/>
        <v>802</v>
      </c>
      <c r="N739" s="32">
        <v>33</v>
      </c>
      <c r="O739" s="32">
        <v>70</v>
      </c>
      <c r="P739" s="34">
        <v>25</v>
      </c>
      <c r="Q739" s="32">
        <v>102</v>
      </c>
      <c r="R739" s="33">
        <f t="shared" si="33"/>
        <v>230</v>
      </c>
      <c r="S739">
        <v>160</v>
      </c>
      <c r="T739">
        <v>224</v>
      </c>
      <c r="U739">
        <v>188</v>
      </c>
      <c r="V739">
        <v>572</v>
      </c>
      <c r="W739">
        <v>1144</v>
      </c>
    </row>
    <row r="740" spans="1:23" x14ac:dyDescent="0.3">
      <c r="A740" s="19">
        <v>33</v>
      </c>
      <c r="B740" s="20" t="str">
        <f t="shared" ref="B740:B764" si="34">IF(C740="","",UPPER(TEXT(C740, "MMM")))</f>
        <v>AUG</v>
      </c>
      <c r="C740" s="21">
        <v>46250</v>
      </c>
      <c r="D740" s="20" t="str">
        <f>IFERROR(VLOOKUP(H740,KET!$B:$F,2,0),"")</f>
        <v>GRSM 1</v>
      </c>
      <c r="E740" s="20" t="str">
        <f>IFERROR(VLOOKUP(H740,KET!$B:$F,3,0),"")</f>
        <v>MEDAN</v>
      </c>
      <c r="F740" s="20" t="str">
        <f>IFERROR(VLOOKUP(H740,KET!$B:$F,4,0),"")</f>
        <v>AFNITA SARI</v>
      </c>
      <c r="G740" s="20" t="str">
        <f>IFERROR(VLOOKUP(H740,KET!$B:$F,5,0),"")</f>
        <v>MT</v>
      </c>
      <c r="H740" s="19" t="s">
        <v>73</v>
      </c>
      <c r="I740" s="32">
        <v>375</v>
      </c>
      <c r="J740" s="32">
        <v>464</v>
      </c>
      <c r="K740" s="32">
        <v>569</v>
      </c>
      <c r="L740" s="32">
        <v>1248</v>
      </c>
      <c r="M740" s="33">
        <f t="shared" si="32"/>
        <v>2656</v>
      </c>
      <c r="N740" s="32">
        <v>543</v>
      </c>
      <c r="O740" s="32">
        <v>422</v>
      </c>
      <c r="P740" s="34">
        <v>345</v>
      </c>
      <c r="Q740" s="32">
        <v>1184</v>
      </c>
      <c r="R740" s="33">
        <f t="shared" si="33"/>
        <v>2494</v>
      </c>
      <c r="S740">
        <v>60</v>
      </c>
      <c r="T740">
        <v>84</v>
      </c>
      <c r="U740">
        <v>52</v>
      </c>
      <c r="V740">
        <v>128</v>
      </c>
      <c r="W740">
        <v>324</v>
      </c>
    </row>
    <row r="741" spans="1:23" x14ac:dyDescent="0.3">
      <c r="A741" s="19">
        <v>33</v>
      </c>
      <c r="B741" s="20" t="str">
        <f t="shared" si="34"/>
        <v>AUG</v>
      </c>
      <c r="C741" s="21">
        <v>46250</v>
      </c>
      <c r="D741" s="20" t="str">
        <f>IFERROR(VLOOKUP(H741,KET!$B:$F,2,0),"")</f>
        <v>GRSM 1</v>
      </c>
      <c r="E741" s="20" t="str">
        <f>IFERROR(VLOOKUP(H741,KET!$B:$F,3,0),"")</f>
        <v>MEDAN</v>
      </c>
      <c r="F741" s="20" t="str">
        <f>IFERROR(VLOOKUP(H741,KET!$B:$F,4,0),"")</f>
        <v>AFNITA SARI</v>
      </c>
      <c r="G741" s="20" t="str">
        <f>IFERROR(VLOOKUP(H741,KET!$B:$F,5,0),"")</f>
        <v>MT</v>
      </c>
      <c r="H741" s="19" t="s">
        <v>71</v>
      </c>
      <c r="I741" s="32">
        <v>260</v>
      </c>
      <c r="J741" s="32">
        <v>572</v>
      </c>
      <c r="K741" s="32">
        <v>473</v>
      </c>
      <c r="L741" s="32">
        <v>774</v>
      </c>
      <c r="M741" s="33">
        <f t="shared" si="32"/>
        <v>2079</v>
      </c>
      <c r="N741" s="32">
        <v>240</v>
      </c>
      <c r="O741" s="32">
        <v>525</v>
      </c>
      <c r="P741" s="34">
        <v>436</v>
      </c>
      <c r="Q741" s="32">
        <v>705</v>
      </c>
      <c r="R741" s="33">
        <f t="shared" si="33"/>
        <v>1906</v>
      </c>
      <c r="S741">
        <v>40</v>
      </c>
      <c r="T741">
        <v>94</v>
      </c>
      <c r="U741">
        <v>74</v>
      </c>
      <c r="V741">
        <v>138</v>
      </c>
      <c r="W741">
        <v>346</v>
      </c>
    </row>
    <row r="742" spans="1:23" x14ac:dyDescent="0.3">
      <c r="A742" s="19">
        <v>33</v>
      </c>
      <c r="B742" s="20" t="str">
        <f t="shared" si="34"/>
        <v>AUG</v>
      </c>
      <c r="C742" s="21">
        <v>46250</v>
      </c>
      <c r="D742" s="20" t="str">
        <f>IFERROR(VLOOKUP(H742,KET!$B:$F,2,0),"")</f>
        <v>GRSM 6</v>
      </c>
      <c r="E742" s="20" t="str">
        <f>IFERROR(VLOOKUP(H742,KET!$B:$F,3,0),"")</f>
        <v>TULUNGAGUNG</v>
      </c>
      <c r="F742" s="20" t="str">
        <f>IFERROR(VLOOKUP(H742,KET!$B:$F,4,0),"")</f>
        <v>MARTIKA MINTOROWATI</v>
      </c>
      <c r="G742" s="20" t="str">
        <f>IFERROR(VLOOKUP(H742,KET!$B:$F,5,0),"")</f>
        <v>GMM</v>
      </c>
      <c r="H742" s="19" t="s">
        <v>91</v>
      </c>
      <c r="I742" s="32">
        <v>600</v>
      </c>
      <c r="J742" s="32">
        <v>600</v>
      </c>
      <c r="K742" s="32">
        <v>600</v>
      </c>
      <c r="L742" s="32">
        <v>1200</v>
      </c>
      <c r="M742" s="33">
        <f t="shared" si="32"/>
        <v>3000</v>
      </c>
      <c r="N742" s="32">
        <v>570</v>
      </c>
      <c r="O742" s="32">
        <v>556</v>
      </c>
      <c r="P742" s="34">
        <v>488</v>
      </c>
      <c r="Q742" s="32">
        <v>858</v>
      </c>
      <c r="R742" s="33">
        <f t="shared" si="33"/>
        <v>2472</v>
      </c>
      <c r="S742">
        <v>60</v>
      </c>
      <c r="T742">
        <v>88</v>
      </c>
      <c r="U742">
        <v>224</v>
      </c>
      <c r="V742">
        <v>684</v>
      </c>
      <c r="W742">
        <v>1056</v>
      </c>
    </row>
    <row r="743" spans="1:23" x14ac:dyDescent="0.3">
      <c r="A743" s="19">
        <v>33</v>
      </c>
      <c r="B743" s="20" t="str">
        <f t="shared" si="34"/>
        <v>AUG</v>
      </c>
      <c r="C743" s="21">
        <v>46250</v>
      </c>
      <c r="D743" s="20" t="str">
        <f>IFERROR(VLOOKUP(H743,KET!$B:$F,2,0),"")</f>
        <v>GRSM 5</v>
      </c>
      <c r="E743" s="20" t="str">
        <f>IFERROR(VLOOKUP(H743,KET!$B:$F,3,0),"")</f>
        <v>BLORA</v>
      </c>
      <c r="F743" s="20" t="str">
        <f>IFERROR(VLOOKUP(H743,KET!$B:$F,4,0),"")</f>
        <v>SUPRIYATI</v>
      </c>
      <c r="G743" s="20" t="str">
        <f>IFERROR(VLOOKUP(H743,KET!$B:$F,5,0),"")</f>
        <v>GMM</v>
      </c>
      <c r="H743" s="19" t="s">
        <v>118</v>
      </c>
      <c r="I743" s="32">
        <v>432</v>
      </c>
      <c r="J743" s="32">
        <v>458</v>
      </c>
      <c r="K743" s="32">
        <v>446</v>
      </c>
      <c r="L743" s="32">
        <v>434</v>
      </c>
      <c r="M743" s="33">
        <f t="shared" si="32"/>
        <v>1770</v>
      </c>
      <c r="N743" s="32">
        <v>399</v>
      </c>
      <c r="O743" s="32">
        <v>416</v>
      </c>
      <c r="P743" s="34">
        <v>355</v>
      </c>
      <c r="Q743" s="32">
        <v>233</v>
      </c>
      <c r="R743" s="33">
        <f t="shared" si="33"/>
        <v>1403</v>
      </c>
      <c r="S743">
        <v>66</v>
      </c>
      <c r="T743">
        <v>84</v>
      </c>
      <c r="U743">
        <v>182</v>
      </c>
      <c r="V743">
        <v>402</v>
      </c>
      <c r="W743">
        <v>734</v>
      </c>
    </row>
    <row r="744" spans="1:23" x14ac:dyDescent="0.3">
      <c r="A744" s="19">
        <v>33</v>
      </c>
      <c r="B744" s="20" t="str">
        <f t="shared" si="34"/>
        <v>AUG</v>
      </c>
      <c r="C744" s="21">
        <v>46250</v>
      </c>
      <c r="D744" s="20" t="str">
        <f>IFERROR(VLOOKUP(H744,KET!$B:$F,2,0),"")</f>
        <v>GRSM 5</v>
      </c>
      <c r="E744" s="20" t="str">
        <f>IFERROR(VLOOKUP(H744,KET!$B:$F,3,0),"")</f>
        <v>PURBALINGGA</v>
      </c>
      <c r="F744" s="20" t="str">
        <f>IFERROR(VLOOKUP(H744,KET!$B:$F,4,0),"")</f>
        <v>SUPRIYATI</v>
      </c>
      <c r="G744" s="20" t="str">
        <f>IFERROR(VLOOKUP(H744,KET!$B:$F,5,0),"")</f>
        <v>GMM</v>
      </c>
      <c r="H744" s="19" t="s">
        <v>93</v>
      </c>
      <c r="I744" s="32">
        <v>726</v>
      </c>
      <c r="J744" s="32">
        <v>1752</v>
      </c>
      <c r="K744" s="32">
        <v>1593</v>
      </c>
      <c r="L744" s="32">
        <v>1608</v>
      </c>
      <c r="M744" s="33">
        <f t="shared" si="32"/>
        <v>5679</v>
      </c>
      <c r="N744" s="32">
        <v>489</v>
      </c>
      <c r="O744" s="32">
        <v>1716</v>
      </c>
      <c r="P744" s="34">
        <v>1239</v>
      </c>
      <c r="Q744" s="32">
        <v>1242</v>
      </c>
      <c r="R744" s="33">
        <f t="shared" si="33"/>
        <v>4686</v>
      </c>
      <c r="S744">
        <v>474</v>
      </c>
      <c r="T744">
        <v>72</v>
      </c>
      <c r="U744">
        <v>708</v>
      </c>
      <c r="V744">
        <v>732</v>
      </c>
      <c r="W744">
        <v>1986</v>
      </c>
    </row>
    <row r="745" spans="1:23" x14ac:dyDescent="0.3">
      <c r="A745" s="19">
        <v>33</v>
      </c>
      <c r="B745" s="20" t="str">
        <f t="shared" si="34"/>
        <v>AUG</v>
      </c>
      <c r="C745" s="21">
        <v>46250</v>
      </c>
      <c r="D745" s="20" t="str">
        <f>IFERROR(VLOOKUP(H745,KET!$B:$F,2,0),"")</f>
        <v>GRSM 4</v>
      </c>
      <c r="E745" s="20" t="str">
        <f>IFERROR(VLOOKUP(H745,KET!$B:$F,3,0),"")</f>
        <v>CIAMIS</v>
      </c>
      <c r="F745" s="20" t="str">
        <f>IFERROR(VLOOKUP(H745,KET!$B:$F,4,0),"")</f>
        <v>FAHMI LUKMANUL HAKIM</v>
      </c>
      <c r="G745" s="20" t="str">
        <f>IFERROR(VLOOKUP(H745,KET!$B:$F,5,0),"")</f>
        <v>GMM</v>
      </c>
      <c r="H745" s="19" t="s">
        <v>95</v>
      </c>
      <c r="I745" s="32">
        <v>33</v>
      </c>
      <c r="J745" s="32">
        <v>75</v>
      </c>
      <c r="K745" s="32">
        <v>238</v>
      </c>
      <c r="L745" s="32">
        <v>80</v>
      </c>
      <c r="M745" s="33">
        <f t="shared" si="32"/>
        <v>426</v>
      </c>
      <c r="N745" s="32">
        <v>0</v>
      </c>
      <c r="O745" s="32">
        <v>26</v>
      </c>
      <c r="P745" s="34">
        <v>184</v>
      </c>
      <c r="Q745" s="32">
        <v>0</v>
      </c>
      <c r="R745" s="33">
        <f t="shared" si="33"/>
        <v>210</v>
      </c>
      <c r="S745">
        <v>66</v>
      </c>
      <c r="T745">
        <v>98</v>
      </c>
      <c r="U745">
        <v>108</v>
      </c>
      <c r="V745">
        <v>160</v>
      </c>
      <c r="W745">
        <v>432</v>
      </c>
    </row>
    <row r="746" spans="1:23" x14ac:dyDescent="0.3">
      <c r="A746" s="19">
        <v>33</v>
      </c>
      <c r="B746" s="20" t="str">
        <f t="shared" si="34"/>
        <v>AUG</v>
      </c>
      <c r="C746" s="21">
        <v>46250</v>
      </c>
      <c r="D746" s="20" t="str">
        <f>IFERROR(VLOOKUP(H746,KET!$B:$F,2,0),"")</f>
        <v>GRSM 4</v>
      </c>
      <c r="E746" s="20" t="str">
        <f>IFERROR(VLOOKUP(H746,KET!$B:$F,3,0),"")</f>
        <v>TASIKMALAYA</v>
      </c>
      <c r="F746" s="20" t="str">
        <f>IFERROR(VLOOKUP(H746,KET!$B:$F,4,0),"")</f>
        <v>FAHMI LUKMANUL HAKIM</v>
      </c>
      <c r="G746" s="20" t="str">
        <f>IFERROR(VLOOKUP(H746,KET!$B:$F,5,0),"")</f>
        <v>GMM</v>
      </c>
      <c r="H746" s="19" t="s">
        <v>96</v>
      </c>
      <c r="I746" s="32">
        <v>181</v>
      </c>
      <c r="J746" s="32">
        <v>144</v>
      </c>
      <c r="K746" s="32">
        <v>85</v>
      </c>
      <c r="L746" s="32">
        <v>489</v>
      </c>
      <c r="M746" s="33">
        <f t="shared" si="32"/>
        <v>899</v>
      </c>
      <c r="N746" s="32">
        <v>121</v>
      </c>
      <c r="O746" s="32">
        <v>124</v>
      </c>
      <c r="P746" s="34">
        <v>59</v>
      </c>
      <c r="Q746" s="32">
        <v>382</v>
      </c>
      <c r="R746" s="33">
        <f t="shared" si="33"/>
        <v>686</v>
      </c>
      <c r="S746">
        <v>120</v>
      </c>
      <c r="T746">
        <v>40</v>
      </c>
      <c r="U746">
        <v>52</v>
      </c>
      <c r="V746">
        <v>214</v>
      </c>
      <c r="W746">
        <v>426</v>
      </c>
    </row>
    <row r="747" spans="1:23" x14ac:dyDescent="0.3">
      <c r="A747" s="19">
        <v>33</v>
      </c>
      <c r="B747" s="20" t="str">
        <f t="shared" si="34"/>
        <v>AUG</v>
      </c>
      <c r="C747" s="21">
        <v>46250</v>
      </c>
      <c r="D747" s="20" t="str">
        <f>IFERROR(VLOOKUP(H747,KET!$B:$F,2,0),"")</f>
        <v>GRSM 1</v>
      </c>
      <c r="E747" s="20" t="str">
        <f>IFERROR(VLOOKUP(H747,KET!$B:$F,3,0),"")</f>
        <v>MEDAN</v>
      </c>
      <c r="F747" s="20" t="str">
        <f>IFERROR(VLOOKUP(H747,KET!$B:$F,4,0),"")</f>
        <v>AFNITA SARI</v>
      </c>
      <c r="G747" s="20" t="str">
        <f>IFERROR(VLOOKUP(H747,KET!$B:$F,5,0),"")</f>
        <v>MT</v>
      </c>
      <c r="H747" s="19" t="s">
        <v>70</v>
      </c>
      <c r="I747" s="32">
        <v>893</v>
      </c>
      <c r="J747" s="32">
        <v>538</v>
      </c>
      <c r="K747" s="32">
        <v>1292</v>
      </c>
      <c r="L747" s="32">
        <v>1120</v>
      </c>
      <c r="M747" s="33">
        <f t="shared" si="32"/>
        <v>3843</v>
      </c>
      <c r="N747" s="32">
        <v>859</v>
      </c>
      <c r="O747" s="32">
        <v>449</v>
      </c>
      <c r="P747" s="34">
        <v>1186</v>
      </c>
      <c r="Q747" s="32">
        <v>960</v>
      </c>
      <c r="R747" s="33">
        <f t="shared" si="33"/>
        <v>3454</v>
      </c>
      <c r="S747">
        <v>68</v>
      </c>
      <c r="T747">
        <v>178</v>
      </c>
      <c r="U747">
        <v>212</v>
      </c>
      <c r="V747">
        <v>320</v>
      </c>
      <c r="W747">
        <v>778</v>
      </c>
    </row>
    <row r="748" spans="1:23" x14ac:dyDescent="0.3">
      <c r="A748" s="19">
        <v>33</v>
      </c>
      <c r="B748" s="20" t="str">
        <f t="shared" si="34"/>
        <v>AUG</v>
      </c>
      <c r="C748" s="21">
        <v>46250</v>
      </c>
      <c r="D748" s="20" t="str">
        <f>IFERROR(VLOOKUP(H748,KET!$B:$F,2,0),"")</f>
        <v>GRSM 1</v>
      </c>
      <c r="E748" s="20" t="str">
        <f>IFERROR(VLOOKUP(H748,KET!$B:$F,3,0),"")</f>
        <v>MEDAN</v>
      </c>
      <c r="F748" s="20" t="str">
        <f>IFERROR(VLOOKUP(H748,KET!$B:$F,4,0),"")</f>
        <v>AFNITA SARI</v>
      </c>
      <c r="G748" s="20" t="str">
        <f>IFERROR(VLOOKUP(H748,KET!$B:$F,5,0),"")</f>
        <v>MT</v>
      </c>
      <c r="H748" s="19" t="s">
        <v>72</v>
      </c>
      <c r="I748" s="32">
        <v>396</v>
      </c>
      <c r="J748" s="32">
        <v>502</v>
      </c>
      <c r="K748" s="32">
        <v>954</v>
      </c>
      <c r="L748" s="32">
        <v>1168</v>
      </c>
      <c r="M748" s="33">
        <f t="shared" si="32"/>
        <v>3020</v>
      </c>
      <c r="N748" s="32">
        <v>322</v>
      </c>
      <c r="O748" s="32">
        <v>406</v>
      </c>
      <c r="P748" s="34">
        <v>850</v>
      </c>
      <c r="Q748" s="32">
        <v>990</v>
      </c>
      <c r="R748" s="33">
        <f t="shared" si="33"/>
        <v>2568</v>
      </c>
      <c r="S748">
        <v>148</v>
      </c>
      <c r="T748">
        <v>192</v>
      </c>
      <c r="U748">
        <v>208</v>
      </c>
      <c r="V748">
        <v>356</v>
      </c>
      <c r="W748">
        <v>904</v>
      </c>
    </row>
    <row r="749" spans="1:23" x14ac:dyDescent="0.3">
      <c r="A749" s="19">
        <v>33</v>
      </c>
      <c r="B749" s="20" t="str">
        <f t="shared" si="34"/>
        <v>AUG</v>
      </c>
      <c r="C749" s="21">
        <v>46250</v>
      </c>
      <c r="D749" s="20" t="str">
        <f>IFERROR(VLOOKUP(H749,KET!$B:$F,2,0),"")</f>
        <v>GRSM 6</v>
      </c>
      <c r="E749" s="20" t="str">
        <f>IFERROR(VLOOKUP(H749,KET!$B:$F,3,0),"")</f>
        <v>TULUNGAGUNG</v>
      </c>
      <c r="F749" s="20" t="str">
        <f>IFERROR(VLOOKUP(H749,KET!$B:$F,4,0),"")</f>
        <v>MARTIKA MINTOROWATI</v>
      </c>
      <c r="G749" s="20" t="str">
        <f>IFERROR(VLOOKUP(H749,KET!$B:$F,5,0),"")</f>
        <v>GMM</v>
      </c>
      <c r="H749" s="19" t="s">
        <v>97</v>
      </c>
      <c r="I749" s="32">
        <v>110</v>
      </c>
      <c r="J749" s="32">
        <v>50</v>
      </c>
      <c r="K749" s="32">
        <v>110</v>
      </c>
      <c r="L749" s="32">
        <v>110</v>
      </c>
      <c r="M749" s="33">
        <f t="shared" si="32"/>
        <v>380</v>
      </c>
      <c r="N749" s="32">
        <v>101</v>
      </c>
      <c r="O749" s="32">
        <v>35</v>
      </c>
      <c r="P749" s="34">
        <v>104</v>
      </c>
      <c r="Q749" s="32">
        <v>26</v>
      </c>
      <c r="R749" s="33">
        <f t="shared" si="33"/>
        <v>266</v>
      </c>
      <c r="S749">
        <v>18</v>
      </c>
      <c r="T749">
        <v>30</v>
      </c>
      <c r="U749">
        <v>12</v>
      </c>
      <c r="V749">
        <v>168</v>
      </c>
      <c r="W749">
        <v>228</v>
      </c>
    </row>
    <row r="750" spans="1:23" x14ac:dyDescent="0.3">
      <c r="A750" s="19">
        <v>33</v>
      </c>
      <c r="B750" s="20" t="str">
        <f t="shared" si="34"/>
        <v>AUG</v>
      </c>
      <c r="C750" s="21">
        <v>46250</v>
      </c>
      <c r="D750" s="20" t="str">
        <f>IFERROR(VLOOKUP(H750,KET!$B:$F,2,0),"")</f>
        <v>GRSM 4</v>
      </c>
      <c r="E750" s="20" t="str">
        <f>IFERROR(VLOOKUP(H750,KET!$B:$F,3,0),"")</f>
        <v>MAJALAYA</v>
      </c>
      <c r="F750" s="20" t="str">
        <f>IFERROR(VLOOKUP(H750,KET!$B:$F,4,0),"")</f>
        <v>FAHMI LUKMANUL HAKIM</v>
      </c>
      <c r="G750" s="20" t="str">
        <f>IFERROR(VLOOKUP(H750,KET!$B:$F,5,0),"")</f>
        <v>GMM</v>
      </c>
      <c r="H750" s="19" t="s">
        <v>99</v>
      </c>
      <c r="I750" s="32">
        <v>436</v>
      </c>
      <c r="J750" s="32">
        <v>604</v>
      </c>
      <c r="K750" s="32">
        <v>0</v>
      </c>
      <c r="L750" s="32">
        <v>1049</v>
      </c>
      <c r="M750" s="33">
        <f t="shared" si="32"/>
        <v>2089</v>
      </c>
      <c r="N750" s="32">
        <v>406</v>
      </c>
      <c r="O750" s="32">
        <v>564</v>
      </c>
      <c r="P750" s="34">
        <v>393</v>
      </c>
      <c r="Q750" s="32">
        <v>930</v>
      </c>
      <c r="R750" s="33">
        <f t="shared" si="33"/>
        <v>2293</v>
      </c>
      <c r="S750">
        <v>59</v>
      </c>
      <c r="T750">
        <v>80</v>
      </c>
      <c r="U750">
        <v>62</v>
      </c>
      <c r="V750">
        <v>268</v>
      </c>
      <c r="W750">
        <v>469</v>
      </c>
    </row>
    <row r="751" spans="1:23" x14ac:dyDescent="0.3">
      <c r="A751" s="19">
        <v>33</v>
      </c>
      <c r="B751" s="20" t="str">
        <f t="shared" si="34"/>
        <v>AUG</v>
      </c>
      <c r="C751" s="21">
        <v>46250</v>
      </c>
      <c r="D751" s="20" t="str">
        <f>IFERROR(VLOOKUP(H751,KET!$B:$F,2,0),"")</f>
        <v>GRSM 6</v>
      </c>
      <c r="E751" s="20" t="str">
        <f>IFERROR(VLOOKUP(H751,KET!$B:$F,3,0),"")</f>
        <v>NGANJUK</v>
      </c>
      <c r="F751" s="20" t="str">
        <f>IFERROR(VLOOKUP(H751,KET!$B:$F,4,0),"")</f>
        <v>MARTIKA MINTOROWATI</v>
      </c>
      <c r="G751" s="20" t="str">
        <f>IFERROR(VLOOKUP(H751,KET!$B:$F,5,0),"")</f>
        <v>GMM</v>
      </c>
      <c r="H751" s="19" t="s">
        <v>113</v>
      </c>
      <c r="I751" s="32">
        <v>412</v>
      </c>
      <c r="J751" s="32">
        <v>2390</v>
      </c>
      <c r="K751" s="32">
        <v>2785</v>
      </c>
      <c r="L751" s="32">
        <v>2043</v>
      </c>
      <c r="M751" s="33">
        <f t="shared" si="32"/>
        <v>7630</v>
      </c>
      <c r="N751" s="32">
        <v>388</v>
      </c>
      <c r="O751" s="32">
        <v>2273</v>
      </c>
      <c r="P751" s="34">
        <v>2632</v>
      </c>
      <c r="Q751" s="32">
        <v>1767</v>
      </c>
      <c r="R751" s="33">
        <f t="shared" si="33"/>
        <v>7060</v>
      </c>
      <c r="S751">
        <v>16</v>
      </c>
      <c r="T751">
        <v>78</v>
      </c>
      <c r="U751">
        <v>102</v>
      </c>
      <c r="V751">
        <v>184</v>
      </c>
      <c r="W751">
        <v>380</v>
      </c>
    </row>
    <row r="752" spans="1:23" x14ac:dyDescent="0.3">
      <c r="A752" s="19">
        <v>33</v>
      </c>
      <c r="B752" s="20" t="str">
        <f t="shared" si="34"/>
        <v>AUG</v>
      </c>
      <c r="C752" s="21">
        <v>46250</v>
      </c>
      <c r="D752" s="20" t="str">
        <f>IFERROR(VLOOKUP(H752,KET!$B:$F,2,0),"")</f>
        <v>GRSM 5</v>
      </c>
      <c r="E752" s="20" t="str">
        <f>IFERROR(VLOOKUP(H752,KET!$B:$F,3,0),"")</f>
        <v>REMBANG</v>
      </c>
      <c r="F752" s="20" t="str">
        <f>IFERROR(VLOOKUP(H752,KET!$B:$F,4,0),"")</f>
        <v>SUPRIYATI</v>
      </c>
      <c r="G752" s="20" t="str">
        <f>IFERROR(VLOOKUP(H752,KET!$B:$F,5,0),"")</f>
        <v>MT</v>
      </c>
      <c r="H752" s="19" t="s">
        <v>119</v>
      </c>
      <c r="I752" s="32">
        <v>0</v>
      </c>
      <c r="J752" s="32">
        <v>105</v>
      </c>
      <c r="K752" s="32">
        <v>10</v>
      </c>
      <c r="L752" s="32">
        <v>10</v>
      </c>
      <c r="M752" s="33">
        <f t="shared" si="32"/>
        <v>125</v>
      </c>
      <c r="N752" s="32">
        <v>0</v>
      </c>
      <c r="O752" s="32">
        <v>10</v>
      </c>
      <c r="P752" s="34">
        <v>0</v>
      </c>
      <c r="Q752" s="32">
        <v>0</v>
      </c>
      <c r="R752" s="33">
        <f t="shared" si="33"/>
        <v>10</v>
      </c>
      <c r="S752">
        <v>0</v>
      </c>
      <c r="T752">
        <v>190</v>
      </c>
      <c r="U752">
        <v>20</v>
      </c>
      <c r="V752">
        <v>20</v>
      </c>
      <c r="W752">
        <v>230</v>
      </c>
    </row>
    <row r="753" spans="1:23" x14ac:dyDescent="0.3">
      <c r="A753" s="19">
        <v>33</v>
      </c>
      <c r="B753" s="20" t="str">
        <f t="shared" si="34"/>
        <v>AUG</v>
      </c>
      <c r="C753" s="21">
        <v>46250</v>
      </c>
      <c r="D753" s="20" t="str">
        <f>IFERROR(VLOOKUP(H753,KET!$B:$F,2,0),"")</f>
        <v>GRSM 7</v>
      </c>
      <c r="E753" s="20" t="str">
        <f>IFERROR(VLOOKUP(H753,KET!$B:$F,3,0),"")</f>
        <v>BALIKPAPAN</v>
      </c>
      <c r="F753" s="20" t="str">
        <f>IFERROR(VLOOKUP(H753,KET!$B:$F,4,0),"")</f>
        <v>INDRI</v>
      </c>
      <c r="G753" s="20" t="str">
        <f>IFERROR(VLOOKUP(H753,KET!$B:$F,5,0),"")</f>
        <v>GMM</v>
      </c>
      <c r="H753" s="19" t="s">
        <v>120</v>
      </c>
      <c r="I753" s="32">
        <v>135</v>
      </c>
      <c r="J753" s="32">
        <v>173</v>
      </c>
      <c r="K753" s="32">
        <v>175</v>
      </c>
      <c r="L753" s="32">
        <v>157</v>
      </c>
      <c r="M753" s="33">
        <f t="shared" si="32"/>
        <v>640</v>
      </c>
      <c r="N753" s="32">
        <v>125</v>
      </c>
      <c r="O753" s="32">
        <v>148</v>
      </c>
      <c r="P753" s="34">
        <v>160</v>
      </c>
      <c r="Q753" s="32">
        <v>107</v>
      </c>
      <c r="R753" s="33">
        <f t="shared" si="33"/>
        <v>540</v>
      </c>
      <c r="S753">
        <v>36</v>
      </c>
      <c r="T753">
        <v>60</v>
      </c>
      <c r="U753">
        <v>56</v>
      </c>
      <c r="V753">
        <v>124</v>
      </c>
      <c r="W753">
        <v>276</v>
      </c>
    </row>
    <row r="754" spans="1:23" x14ac:dyDescent="0.3">
      <c r="A754" s="19">
        <v>33</v>
      </c>
      <c r="B754" s="20" t="str">
        <f t="shared" si="34"/>
        <v>AUG</v>
      </c>
      <c r="C754" s="21">
        <v>46250</v>
      </c>
      <c r="D754" s="20" t="str">
        <f>IFERROR(VLOOKUP(H754,KET!$B:$F,2,0),"")</f>
        <v>GRSM 4</v>
      </c>
      <c r="E754" s="20" t="str">
        <f>IFERROR(VLOOKUP(H754,KET!$B:$F,3,0),"")</f>
        <v>TASIK</v>
      </c>
      <c r="F754" s="20" t="str">
        <f>IFERROR(VLOOKUP(H754,KET!$B:$F,4,0),"")</f>
        <v>FAHMI LUKMANUL HAKIM</v>
      </c>
      <c r="G754" s="20" t="str">
        <f>IFERROR(VLOOKUP(H754,KET!$B:$F,5,0),"")</f>
        <v>GMM</v>
      </c>
      <c r="H754" s="19" t="s">
        <v>103</v>
      </c>
      <c r="I754" s="32">
        <v>0</v>
      </c>
      <c r="J754" s="32">
        <v>0</v>
      </c>
      <c r="K754" s="32">
        <v>393</v>
      </c>
      <c r="L754" s="32">
        <v>0</v>
      </c>
      <c r="M754" s="33">
        <f t="shared" si="32"/>
        <v>393</v>
      </c>
      <c r="N754" s="32">
        <v>0</v>
      </c>
      <c r="O754" s="32">
        <v>0</v>
      </c>
      <c r="P754" s="34">
        <v>261</v>
      </c>
      <c r="Q754" s="32">
        <v>0</v>
      </c>
      <c r="R754" s="33">
        <f t="shared" si="33"/>
        <v>261</v>
      </c>
      <c r="S754">
        <v>0</v>
      </c>
      <c r="T754">
        <v>0</v>
      </c>
      <c r="U754">
        <v>261</v>
      </c>
      <c r="V754">
        <v>0</v>
      </c>
      <c r="W754">
        <v>261</v>
      </c>
    </row>
    <row r="755" spans="1:23" x14ac:dyDescent="0.3">
      <c r="A755" s="19">
        <v>33</v>
      </c>
      <c r="B755" s="20" t="str">
        <f t="shared" si="34"/>
        <v>AUG</v>
      </c>
      <c r="C755" s="21">
        <v>46250</v>
      </c>
      <c r="D755" s="20" t="str">
        <f>IFERROR(VLOOKUP(H755,KET!$B:$F,2,0),"")</f>
        <v>GRSM 5</v>
      </c>
      <c r="E755" s="20" t="str">
        <f>IFERROR(VLOOKUP(H755,KET!$B:$F,3,0),"")</f>
        <v>TEGAL</v>
      </c>
      <c r="F755" s="20" t="str">
        <f>IFERROR(VLOOKUP(H755,KET!$B:$F,4,0),"")</f>
        <v>SUPRIYATI</v>
      </c>
      <c r="G755" s="20" t="str">
        <f>IFERROR(VLOOKUP(H755,KET!$B:$F,5,0),"")</f>
        <v>GMM</v>
      </c>
      <c r="H755" s="19" t="s">
        <v>104</v>
      </c>
      <c r="I755" s="32">
        <v>0</v>
      </c>
      <c r="J755" s="32">
        <v>171</v>
      </c>
      <c r="K755" s="32">
        <v>553</v>
      </c>
      <c r="L755" s="32">
        <v>0</v>
      </c>
      <c r="M755" s="33">
        <f t="shared" si="32"/>
        <v>724</v>
      </c>
      <c r="N755" s="32">
        <v>0</v>
      </c>
      <c r="O755" s="32">
        <v>81</v>
      </c>
      <c r="P755" s="34">
        <v>303</v>
      </c>
      <c r="Q755" s="32">
        <v>0</v>
      </c>
      <c r="R755" s="33">
        <f t="shared" si="33"/>
        <v>384</v>
      </c>
      <c r="S755">
        <v>0</v>
      </c>
      <c r="T755">
        <v>180</v>
      </c>
      <c r="U755">
        <v>500</v>
      </c>
      <c r="V755">
        <v>0</v>
      </c>
      <c r="W755">
        <v>680</v>
      </c>
    </row>
    <row r="756" spans="1:23" x14ac:dyDescent="0.3">
      <c r="A756" s="19">
        <v>33</v>
      </c>
      <c r="B756" s="20" t="str">
        <f t="shared" si="34"/>
        <v>AUG</v>
      </c>
      <c r="C756" s="21">
        <v>46250</v>
      </c>
      <c r="D756" s="20" t="str">
        <f>IFERROR(VLOOKUP(H756,KET!$B:$F,2,0),"")</f>
        <v>GRSM 7</v>
      </c>
      <c r="E756" s="20" t="str">
        <f>IFERROR(VLOOKUP(H756,KET!$B:$F,3,0),"")</f>
        <v>SAMARINDA</v>
      </c>
      <c r="F756" s="20" t="str">
        <f>IFERROR(VLOOKUP(H756,KET!$B:$F,4,0),"")</f>
        <v>INDRI</v>
      </c>
      <c r="G756" s="20" t="str">
        <f>IFERROR(VLOOKUP(H756,KET!$B:$F,5,0),"")</f>
        <v>GMM</v>
      </c>
      <c r="H756" s="19" t="s">
        <v>116</v>
      </c>
      <c r="I756" s="32">
        <v>0</v>
      </c>
      <c r="J756" s="32">
        <v>300</v>
      </c>
      <c r="K756" s="32">
        <v>791</v>
      </c>
      <c r="L756" s="32">
        <v>870</v>
      </c>
      <c r="M756" s="33">
        <f t="shared" si="32"/>
        <v>1961</v>
      </c>
      <c r="N756" s="32">
        <v>0</v>
      </c>
      <c r="O756" s="32">
        <v>238</v>
      </c>
      <c r="P756" s="34">
        <v>727</v>
      </c>
      <c r="Q756" s="32">
        <v>802</v>
      </c>
      <c r="R756" s="33">
        <f t="shared" si="33"/>
        <v>1767</v>
      </c>
      <c r="S756">
        <v>0</v>
      </c>
      <c r="T756">
        <v>124</v>
      </c>
      <c r="U756">
        <v>128</v>
      </c>
      <c r="V756">
        <v>136</v>
      </c>
      <c r="W756">
        <v>388</v>
      </c>
    </row>
    <row r="757" spans="1:23" x14ac:dyDescent="0.3">
      <c r="A757" s="19">
        <v>33</v>
      </c>
      <c r="B757" s="20" t="str">
        <f t="shared" si="34"/>
        <v>AUG</v>
      </c>
      <c r="C757" s="21">
        <v>46250</v>
      </c>
      <c r="D757" s="20" t="str">
        <f>IFERROR(VLOOKUP(H757,KET!$B:$F,2,0),"")</f>
        <v>GRSM 4</v>
      </c>
      <c r="E757" s="20" t="str">
        <f>IFERROR(VLOOKUP(H757,KET!$B:$F,3,0),"")</f>
        <v>GARUT</v>
      </c>
      <c r="F757" s="20" t="str">
        <f>IFERROR(VLOOKUP(H757,KET!$B:$F,4,0),"")</f>
        <v>FAHMI LUKMANUL HAKIM</v>
      </c>
      <c r="G757" s="20" t="str">
        <f>IFERROR(VLOOKUP(H757,KET!$B:$F,5,0),"")</f>
        <v>GMM</v>
      </c>
      <c r="H757" s="19" t="s">
        <v>57</v>
      </c>
      <c r="I757" s="32">
        <v>0</v>
      </c>
      <c r="J757" s="32">
        <v>240</v>
      </c>
      <c r="K757" s="32">
        <v>240</v>
      </c>
      <c r="L757" s="32">
        <v>30</v>
      </c>
      <c r="M757" s="33">
        <f t="shared" si="32"/>
        <v>510</v>
      </c>
      <c r="N757" s="32">
        <v>0</v>
      </c>
      <c r="O757" s="32">
        <v>152</v>
      </c>
      <c r="P757" s="34">
        <v>145</v>
      </c>
      <c r="Q757" s="32">
        <v>0</v>
      </c>
      <c r="R757" s="33">
        <f t="shared" si="33"/>
        <v>297</v>
      </c>
      <c r="S757">
        <v>0</v>
      </c>
      <c r="T757">
        <v>180</v>
      </c>
      <c r="U757">
        <v>180</v>
      </c>
      <c r="V757">
        <v>0</v>
      </c>
      <c r="W757">
        <v>360</v>
      </c>
    </row>
    <row r="758" spans="1:23" x14ac:dyDescent="0.3">
      <c r="A758" s="19">
        <v>33</v>
      </c>
      <c r="B758" s="20" t="str">
        <f t="shared" si="34"/>
        <v>AUG</v>
      </c>
      <c r="C758" s="21">
        <v>46250</v>
      </c>
      <c r="D758" s="20" t="str">
        <f>IFERROR(VLOOKUP(H758,KET!$B:$F,2,0),"")</f>
        <v>GRSM 6</v>
      </c>
      <c r="E758" s="20" t="str">
        <f>IFERROR(VLOOKUP(H758,KET!$B:$F,3,0),"")</f>
        <v>NGANJUK</v>
      </c>
      <c r="F758" s="20" t="str">
        <f>IFERROR(VLOOKUP(H758,KET!$B:$F,4,0),"")</f>
        <v>MARTIKA MINTOROWATI</v>
      </c>
      <c r="G758" s="20" t="str">
        <f>IFERROR(VLOOKUP(H758,KET!$B:$F,5,0),"")</f>
        <v>GMM</v>
      </c>
      <c r="H758" s="19" t="s">
        <v>106</v>
      </c>
      <c r="I758" s="32">
        <v>2061</v>
      </c>
      <c r="J758" s="32">
        <v>1842</v>
      </c>
      <c r="K758" s="32">
        <v>2751</v>
      </c>
      <c r="L758" s="32">
        <v>1656</v>
      </c>
      <c r="M758" s="33">
        <f t="shared" si="32"/>
        <v>8310</v>
      </c>
      <c r="N758" s="32">
        <v>1993</v>
      </c>
      <c r="O758" s="32">
        <v>1782</v>
      </c>
      <c r="P758" s="34">
        <v>2640</v>
      </c>
      <c r="Q758" s="32">
        <v>1527</v>
      </c>
      <c r="R758" s="33">
        <f t="shared" si="33"/>
        <v>7942</v>
      </c>
      <c r="S758">
        <v>68</v>
      </c>
      <c r="T758">
        <v>40</v>
      </c>
      <c r="U758">
        <v>74</v>
      </c>
      <c r="V758">
        <v>86</v>
      </c>
      <c r="W758">
        <v>268</v>
      </c>
    </row>
    <row r="759" spans="1:23" x14ac:dyDescent="0.3">
      <c r="A759" s="19">
        <v>33</v>
      </c>
      <c r="B759" s="20" t="str">
        <f t="shared" si="34"/>
        <v>AUG</v>
      </c>
      <c r="C759" s="21">
        <v>46250</v>
      </c>
      <c r="D759" s="20" t="str">
        <f>IFERROR(VLOOKUP(H759,KET!$B:$F,2,0),"")</f>
        <v>GRSM 6</v>
      </c>
      <c r="E759" s="20" t="str">
        <f>IFERROR(VLOOKUP(H759,KET!$B:$F,3,0),"")</f>
        <v>KEDIRI</v>
      </c>
      <c r="F759" s="20" t="str">
        <f>IFERROR(VLOOKUP(H759,KET!$B:$F,4,0),"")</f>
        <v>MARTIKA MINTOROWATI</v>
      </c>
      <c r="G759" s="20" t="str">
        <f>IFERROR(VLOOKUP(H759,KET!$B:$F,5,0),"")</f>
        <v>GMM</v>
      </c>
      <c r="H759" s="19" t="s">
        <v>108</v>
      </c>
      <c r="I759" s="32">
        <v>442</v>
      </c>
      <c r="J759" s="32">
        <v>1682</v>
      </c>
      <c r="K759" s="32">
        <v>475</v>
      </c>
      <c r="L759" s="32">
        <v>1344</v>
      </c>
      <c r="M759" s="33">
        <f t="shared" si="32"/>
        <v>3943</v>
      </c>
      <c r="N759" s="32">
        <v>322</v>
      </c>
      <c r="O759" s="32">
        <v>1633</v>
      </c>
      <c r="P759" s="34">
        <v>450</v>
      </c>
      <c r="Q759" s="32">
        <v>1280</v>
      </c>
      <c r="R759" s="33">
        <f t="shared" si="33"/>
        <v>3685</v>
      </c>
      <c r="S759">
        <v>240</v>
      </c>
      <c r="T759">
        <v>98</v>
      </c>
      <c r="U759">
        <v>100</v>
      </c>
      <c r="V759">
        <v>128</v>
      </c>
      <c r="W759">
        <v>566</v>
      </c>
    </row>
    <row r="760" spans="1:23" x14ac:dyDescent="0.3">
      <c r="A760" s="19">
        <v>33</v>
      </c>
      <c r="B760" s="20" t="str">
        <f t="shared" si="34"/>
        <v>AUG</v>
      </c>
      <c r="C760" s="21">
        <v>46250</v>
      </c>
      <c r="D760" s="20" t="str">
        <f>IFERROR(VLOOKUP(H760,KET!$B:$F,2,0),"")</f>
        <v>GRSM 6</v>
      </c>
      <c r="E760" s="20" t="str">
        <f>IFERROR(VLOOKUP(H760,KET!$B:$F,3,0),"")</f>
        <v>KEDIRI</v>
      </c>
      <c r="F760" s="20" t="str">
        <f>IFERROR(VLOOKUP(H760,KET!$B:$F,4,0),"")</f>
        <v>MARTIKA MINTOROWATI</v>
      </c>
      <c r="G760" s="20" t="str">
        <f>IFERROR(VLOOKUP(H760,KET!$B:$F,5,0),"")</f>
        <v>GMM</v>
      </c>
      <c r="H760" s="19" t="s">
        <v>109</v>
      </c>
      <c r="I760" s="32">
        <v>122</v>
      </c>
      <c r="J760" s="32">
        <v>651</v>
      </c>
      <c r="K760" s="32">
        <v>2</v>
      </c>
      <c r="L760" s="32">
        <v>537</v>
      </c>
      <c r="M760" s="33">
        <f t="shared" si="32"/>
        <v>1312</v>
      </c>
      <c r="N760" s="32">
        <v>93</v>
      </c>
      <c r="O760" s="32">
        <v>579</v>
      </c>
      <c r="P760" s="34">
        <v>0</v>
      </c>
      <c r="Q760" s="32">
        <v>432</v>
      </c>
      <c r="R760" s="33">
        <f t="shared" si="33"/>
        <v>1104</v>
      </c>
      <c r="S760">
        <v>58</v>
      </c>
      <c r="T760">
        <v>144</v>
      </c>
      <c r="U760">
        <v>4</v>
      </c>
      <c r="V760">
        <v>210</v>
      </c>
      <c r="W760">
        <v>416</v>
      </c>
    </row>
    <row r="761" spans="1:23" x14ac:dyDescent="0.3">
      <c r="A761" s="19">
        <v>33</v>
      </c>
      <c r="B761" s="20" t="str">
        <f t="shared" si="34"/>
        <v>AUG</v>
      </c>
      <c r="C761" s="21">
        <v>46250</v>
      </c>
      <c r="D761" s="20" t="str">
        <f>IFERROR(VLOOKUP(H761,KET!$B:$F,2,0),"")</f>
        <v>GRSM 5</v>
      </c>
      <c r="E761" s="20" t="str">
        <f>IFERROR(VLOOKUP(H761,KET!$B:$F,3,0),"")</f>
        <v>MAGELANG</v>
      </c>
      <c r="F761" s="20" t="str">
        <f>IFERROR(VLOOKUP(H761,KET!$B:$F,4,0),"")</f>
        <v>SUPRIYATI</v>
      </c>
      <c r="G761" s="20" t="str">
        <f>IFERROR(VLOOKUP(H761,KET!$B:$F,5,0),"")</f>
        <v>GMM</v>
      </c>
      <c r="H761" s="19" t="s">
        <v>111</v>
      </c>
      <c r="I761" s="32">
        <v>62</v>
      </c>
      <c r="J761" s="32">
        <v>160</v>
      </c>
      <c r="K761" s="32">
        <v>160</v>
      </c>
      <c r="L761" s="32">
        <v>760</v>
      </c>
      <c r="M761" s="33">
        <f t="shared" si="32"/>
        <v>1142</v>
      </c>
      <c r="N761" s="32">
        <v>58</v>
      </c>
      <c r="O761" s="32">
        <v>80</v>
      </c>
      <c r="P761" s="34">
        <v>80</v>
      </c>
      <c r="Q761" s="32">
        <v>540</v>
      </c>
      <c r="R761" s="33">
        <f t="shared" si="33"/>
        <v>758</v>
      </c>
      <c r="S761">
        <v>8</v>
      </c>
      <c r="T761">
        <v>160</v>
      </c>
      <c r="U761">
        <v>160</v>
      </c>
      <c r="V761">
        <v>440</v>
      </c>
      <c r="W761">
        <v>768</v>
      </c>
    </row>
    <row r="762" spans="1:23" x14ac:dyDescent="0.3">
      <c r="A762" s="19">
        <v>33</v>
      </c>
      <c r="B762" s="20" t="str">
        <f t="shared" si="34"/>
        <v>AUG</v>
      </c>
      <c r="C762" s="21">
        <v>46250</v>
      </c>
      <c r="D762" s="20" t="str">
        <f>IFERROR(VLOOKUP(H762,KET!$B:$F,2,0),"")</f>
        <v>GRSM 5</v>
      </c>
      <c r="E762" s="20" t="str">
        <f>IFERROR(VLOOKUP(H762,KET!$B:$F,3,0),"")</f>
        <v>WONOSOBO</v>
      </c>
      <c r="F762" s="20" t="str">
        <f>IFERROR(VLOOKUP(H762,KET!$B:$F,4,0),"")</f>
        <v>SUPRIYATI</v>
      </c>
      <c r="G762" s="20" t="str">
        <f>IFERROR(VLOOKUP(H762,KET!$B:$F,5,0),"")</f>
        <v>GMM</v>
      </c>
      <c r="H762" s="19" t="s">
        <v>121</v>
      </c>
      <c r="I762" s="32">
        <v>357</v>
      </c>
      <c r="J762" s="32">
        <v>394</v>
      </c>
      <c r="K762" s="32">
        <v>329</v>
      </c>
      <c r="L762" s="32">
        <v>182</v>
      </c>
      <c r="M762" s="33">
        <f t="shared" si="32"/>
        <v>1262</v>
      </c>
      <c r="N762" s="32">
        <v>303</v>
      </c>
      <c r="O762" s="32">
        <v>329</v>
      </c>
      <c r="P762" s="34">
        <v>335</v>
      </c>
      <c r="Q762" s="32">
        <v>77</v>
      </c>
      <c r="R762" s="33">
        <f t="shared" si="33"/>
        <v>1044</v>
      </c>
      <c r="S762">
        <v>0</v>
      </c>
      <c r="T762">
        <v>150</v>
      </c>
      <c r="U762">
        <v>114</v>
      </c>
      <c r="V762">
        <v>210</v>
      </c>
      <c r="W762">
        <v>474</v>
      </c>
    </row>
    <row r="763" spans="1:23" x14ac:dyDescent="0.3">
      <c r="A763" s="19">
        <v>33</v>
      </c>
      <c r="B763" s="20" t="str">
        <f t="shared" si="34"/>
        <v>AUG</v>
      </c>
      <c r="C763" s="21">
        <v>46250</v>
      </c>
      <c r="D763" s="20" t="str">
        <f>IFERROR(VLOOKUP(H763,KET!$B:$F,2,0),"")</f>
        <v>GRSM 4</v>
      </c>
      <c r="E763" s="20" t="str">
        <f>IFERROR(VLOOKUP(H763,KET!$B:$F,3,0),"")</f>
        <v>PURWAKARTA</v>
      </c>
      <c r="F763" s="20" t="str">
        <f>IFERROR(VLOOKUP(H763,KET!$B:$F,4,0),"")</f>
        <v>FAHMI LUKMANUL HAKIM</v>
      </c>
      <c r="G763" s="20" t="str">
        <f>IFERROR(VLOOKUP(H763,KET!$B:$F,5,0),"")</f>
        <v>NKA</v>
      </c>
      <c r="H763" s="19" t="s">
        <v>112</v>
      </c>
      <c r="I763" s="32">
        <v>276</v>
      </c>
      <c r="J763" s="32">
        <v>223</v>
      </c>
      <c r="K763" s="32">
        <v>0</v>
      </c>
      <c r="L763" s="32">
        <v>1830</v>
      </c>
      <c r="M763" s="33">
        <f t="shared" si="32"/>
        <v>2329</v>
      </c>
      <c r="N763" s="32">
        <v>180</v>
      </c>
      <c r="O763" s="32">
        <v>55</v>
      </c>
      <c r="P763" s="34">
        <v>494</v>
      </c>
      <c r="Q763" s="32">
        <v>1424</v>
      </c>
      <c r="R763" s="33">
        <f t="shared" si="33"/>
        <v>2153</v>
      </c>
      <c r="S763">
        <v>98</v>
      </c>
      <c r="T763">
        <v>168</v>
      </c>
      <c r="U763">
        <v>160</v>
      </c>
      <c r="V763">
        <v>406</v>
      </c>
      <c r="W763">
        <v>832</v>
      </c>
    </row>
    <row r="764" spans="1:23" x14ac:dyDescent="0.3">
      <c r="A764" s="19">
        <v>33</v>
      </c>
      <c r="B764" s="20" t="str">
        <f t="shared" si="34"/>
        <v>AUG</v>
      </c>
      <c r="C764" s="21">
        <v>46250</v>
      </c>
      <c r="D764" s="20" t="str">
        <f>IFERROR(VLOOKUP(H764,KET!$B:$F,2,0),"")</f>
        <v>GRSM 7</v>
      </c>
      <c r="E764" s="20" t="str">
        <f>IFERROR(VLOOKUP(H764,KET!$B:$F,3,0),"")</f>
        <v>BALIKPAPAN</v>
      </c>
      <c r="F764" s="20" t="str">
        <f>IFERROR(VLOOKUP(H764,KET!$B:$F,4,0),"")</f>
        <v>INDRI</v>
      </c>
      <c r="G764" s="20" t="str">
        <f>IFERROR(VLOOKUP(H764,KET!$B:$F,5,0),"")</f>
        <v>GMM</v>
      </c>
      <c r="H764" s="19" t="s">
        <v>122</v>
      </c>
      <c r="I764" s="32">
        <v>630</v>
      </c>
      <c r="J764" s="32">
        <v>1196</v>
      </c>
      <c r="K764" s="32">
        <v>671</v>
      </c>
      <c r="L764" s="32">
        <v>4</v>
      </c>
      <c r="M764" s="33">
        <f t="shared" si="32"/>
        <v>2501</v>
      </c>
      <c r="N764" s="32">
        <v>602</v>
      </c>
      <c r="O764" s="32">
        <v>11770</v>
      </c>
      <c r="P764" s="34">
        <v>576</v>
      </c>
      <c r="Q764" s="32">
        <v>0</v>
      </c>
      <c r="R764" s="33">
        <f t="shared" si="33"/>
        <v>12948</v>
      </c>
      <c r="S764">
        <v>96</v>
      </c>
      <c r="T764">
        <v>76</v>
      </c>
      <c r="U764">
        <v>88</v>
      </c>
      <c r="V764">
        <v>8</v>
      </c>
      <c r="W764">
        <v>268</v>
      </c>
    </row>
    <row r="765" spans="1:23" x14ac:dyDescent="0.3">
      <c r="A765" s="19">
        <v>34</v>
      </c>
      <c r="B765" s="20" t="s">
        <v>123</v>
      </c>
      <c r="C765" s="21">
        <v>46257</v>
      </c>
      <c r="D765" s="20" t="s">
        <v>59</v>
      </c>
      <c r="E765" s="20" t="s">
        <v>60</v>
      </c>
      <c r="F765" s="20" t="s">
        <v>61</v>
      </c>
      <c r="G765" s="20" t="s">
        <v>42</v>
      </c>
      <c r="H765" s="19" t="s">
        <v>88</v>
      </c>
      <c r="I765" s="32">
        <v>1064</v>
      </c>
      <c r="J765" s="32">
        <v>1714</v>
      </c>
      <c r="K765" s="32">
        <v>1655</v>
      </c>
      <c r="L765" s="32">
        <v>2176</v>
      </c>
      <c r="M765" s="33">
        <f t="shared" si="32"/>
        <v>6609</v>
      </c>
      <c r="N765" s="32">
        <v>1032</v>
      </c>
      <c r="O765" s="32">
        <v>1632</v>
      </c>
      <c r="P765" s="34">
        <v>1521</v>
      </c>
      <c r="Q765" s="32">
        <v>1950</v>
      </c>
      <c r="R765" s="33">
        <f t="shared" si="33"/>
        <v>6135</v>
      </c>
      <c r="S765">
        <v>64</v>
      </c>
      <c r="T765">
        <v>164</v>
      </c>
      <c r="U765">
        <v>268</v>
      </c>
      <c r="V765">
        <v>452</v>
      </c>
      <c r="W765">
        <v>948</v>
      </c>
    </row>
    <row r="766" spans="1:23" x14ac:dyDescent="0.3">
      <c r="A766" s="19">
        <v>34</v>
      </c>
      <c r="B766" s="20" t="s">
        <v>123</v>
      </c>
      <c r="C766" s="21">
        <v>46257</v>
      </c>
      <c r="D766" s="20" t="s">
        <v>59</v>
      </c>
      <c r="E766" s="20"/>
      <c r="F766" s="20" t="s">
        <v>61</v>
      </c>
      <c r="G766" s="20" t="s">
        <v>42</v>
      </c>
      <c r="H766" s="19" t="s">
        <v>124</v>
      </c>
      <c r="I766" s="32">
        <v>280</v>
      </c>
      <c r="J766" s="32">
        <v>520</v>
      </c>
      <c r="K766" s="32">
        <v>0</v>
      </c>
      <c r="L766" s="32">
        <v>40</v>
      </c>
      <c r="M766" s="33">
        <f t="shared" si="32"/>
        <v>840</v>
      </c>
      <c r="N766" s="32">
        <v>240</v>
      </c>
      <c r="O766" s="32">
        <v>480</v>
      </c>
      <c r="P766" s="34">
        <v>0</v>
      </c>
      <c r="Q766" s="32">
        <v>0</v>
      </c>
      <c r="R766" s="33">
        <f t="shared" si="33"/>
        <v>720</v>
      </c>
      <c r="S766">
        <v>80</v>
      </c>
      <c r="T766">
        <v>160</v>
      </c>
      <c r="U766">
        <v>0</v>
      </c>
      <c r="V766">
        <v>80</v>
      </c>
      <c r="W766">
        <v>320</v>
      </c>
    </row>
    <row r="767" spans="1:23" x14ac:dyDescent="0.3">
      <c r="A767" s="19">
        <v>34</v>
      </c>
      <c r="B767" s="20" t="s">
        <v>123</v>
      </c>
      <c r="C767" s="21">
        <v>46257</v>
      </c>
      <c r="D767" s="20" t="s">
        <v>59</v>
      </c>
      <c r="E767" s="20" t="s">
        <v>60</v>
      </c>
      <c r="F767" s="20" t="s">
        <v>61</v>
      </c>
      <c r="G767" s="20" t="s">
        <v>42</v>
      </c>
      <c r="H767" s="19" t="s">
        <v>104</v>
      </c>
      <c r="I767" s="32">
        <v>0</v>
      </c>
      <c r="J767" s="32">
        <v>851</v>
      </c>
      <c r="K767" s="32">
        <v>280</v>
      </c>
      <c r="L767" s="32">
        <v>1310</v>
      </c>
      <c r="M767" s="33">
        <f t="shared" si="32"/>
        <v>2441</v>
      </c>
      <c r="N767" s="32">
        <v>0</v>
      </c>
      <c r="O767" s="32">
        <v>659</v>
      </c>
      <c r="P767" s="34">
        <v>240</v>
      </c>
      <c r="Q767" s="32">
        <v>1090</v>
      </c>
      <c r="R767" s="33">
        <f t="shared" si="33"/>
        <v>1989</v>
      </c>
      <c r="S767">
        <v>0</v>
      </c>
      <c r="T767">
        <v>384</v>
      </c>
      <c r="U767">
        <v>80</v>
      </c>
      <c r="V767">
        <v>440</v>
      </c>
      <c r="W767">
        <v>904</v>
      </c>
    </row>
    <row r="768" spans="1:23" x14ac:dyDescent="0.3">
      <c r="A768" s="19">
        <v>34</v>
      </c>
      <c r="B768" s="20" t="s">
        <v>123</v>
      </c>
      <c r="C768" s="21">
        <v>46257</v>
      </c>
      <c r="D768" s="20" t="s">
        <v>59</v>
      </c>
      <c r="E768" s="20"/>
      <c r="F768" s="20" t="s">
        <v>61</v>
      </c>
      <c r="G768" s="20" t="s">
        <v>42</v>
      </c>
      <c r="H768" s="19" t="s">
        <v>125</v>
      </c>
      <c r="I768" s="32">
        <v>567</v>
      </c>
      <c r="J768" s="32">
        <v>567</v>
      </c>
      <c r="K768" s="32">
        <v>459</v>
      </c>
      <c r="L768" s="32">
        <v>355</v>
      </c>
      <c r="M768" s="33">
        <f t="shared" si="32"/>
        <v>1948</v>
      </c>
      <c r="N768" s="32">
        <v>552</v>
      </c>
      <c r="O768" s="32">
        <v>527</v>
      </c>
      <c r="P768" s="34">
        <v>429</v>
      </c>
      <c r="Q768" s="32">
        <v>295</v>
      </c>
      <c r="R768" s="33">
        <f t="shared" si="33"/>
        <v>1803</v>
      </c>
      <c r="S768">
        <v>30</v>
      </c>
      <c r="T768">
        <v>80</v>
      </c>
      <c r="U768">
        <v>60</v>
      </c>
      <c r="V768">
        <v>120</v>
      </c>
      <c r="W768">
        <v>290</v>
      </c>
    </row>
    <row r="769" spans="1:23" x14ac:dyDescent="0.3">
      <c r="A769" s="19">
        <v>34</v>
      </c>
      <c r="B769" s="20" t="s">
        <v>123</v>
      </c>
      <c r="C769" s="21">
        <v>46257</v>
      </c>
      <c r="D769" s="20" t="s">
        <v>59</v>
      </c>
      <c r="E769" s="20" t="s">
        <v>126</v>
      </c>
      <c r="F769" s="20" t="s">
        <v>61</v>
      </c>
      <c r="G769" s="20" t="s">
        <v>42</v>
      </c>
      <c r="H769" s="19" t="s">
        <v>118</v>
      </c>
      <c r="I769" s="32">
        <v>40</v>
      </c>
      <c r="J769" s="32">
        <v>38</v>
      </c>
      <c r="K769" s="32">
        <v>44</v>
      </c>
      <c r="L769" s="32">
        <v>160</v>
      </c>
      <c r="M769" s="33">
        <f t="shared" si="32"/>
        <v>282</v>
      </c>
      <c r="N769" s="32">
        <v>0</v>
      </c>
      <c r="O769" s="32">
        <v>20</v>
      </c>
      <c r="P769" s="34">
        <v>2</v>
      </c>
      <c r="Q769" s="32">
        <v>46</v>
      </c>
      <c r="R769" s="33">
        <f t="shared" si="33"/>
        <v>68</v>
      </c>
      <c r="S769">
        <v>80</v>
      </c>
      <c r="T769">
        <v>36</v>
      </c>
      <c r="U769">
        <v>84</v>
      </c>
      <c r="V769">
        <v>228</v>
      </c>
      <c r="W769">
        <v>428</v>
      </c>
    </row>
    <row r="770" spans="1:23" x14ac:dyDescent="0.3">
      <c r="A770" s="19">
        <v>34</v>
      </c>
      <c r="B770" s="20" t="s">
        <v>123</v>
      </c>
      <c r="C770" s="21">
        <v>46255</v>
      </c>
      <c r="D770" s="20" t="str">
        <f>IFERROR(VLOOKUP($H770,KET!$B:$F,2,0),"")</f>
        <v>GRSM 5</v>
      </c>
      <c r="E770" s="20" t="str">
        <f>IFERROR(VLOOKUP($H770,KET!$B:$F,3,0),"")</f>
        <v>MAGELANG</v>
      </c>
      <c r="F770" s="20" t="str">
        <f>IFERROR(VLOOKUP($H770,KET!$B:$F,4,0),"")</f>
        <v>SUPRIYATI</v>
      </c>
      <c r="G770" s="20" t="str">
        <f>IFERROR(VLOOKUP($H770,KET!$B:$F,5,0),"")</f>
        <v>GMM</v>
      </c>
      <c r="H770" s="56" t="s">
        <v>111</v>
      </c>
      <c r="I770" s="32">
        <v>320</v>
      </c>
      <c r="J770" s="32">
        <v>200</v>
      </c>
      <c r="K770" s="34">
        <v>240</v>
      </c>
      <c r="L770" s="34">
        <v>440</v>
      </c>
      <c r="M770" s="33">
        <f t="shared" si="32"/>
        <v>1200</v>
      </c>
      <c r="N770" s="32">
        <v>290</v>
      </c>
      <c r="O770" s="32">
        <v>160</v>
      </c>
      <c r="P770" s="34">
        <v>200</v>
      </c>
      <c r="Q770" s="34">
        <v>280</v>
      </c>
      <c r="R770" s="33">
        <f t="shared" si="33"/>
        <v>930</v>
      </c>
      <c r="S770">
        <v>60</v>
      </c>
      <c r="T770">
        <v>80</v>
      </c>
      <c r="U770">
        <v>80</v>
      </c>
      <c r="V770">
        <v>320</v>
      </c>
      <c r="W770">
        <v>540</v>
      </c>
    </row>
    <row r="771" spans="1:23" x14ac:dyDescent="0.3">
      <c r="A771" s="19">
        <v>34</v>
      </c>
      <c r="B771" s="20" t="s">
        <v>123</v>
      </c>
      <c r="C771" s="21">
        <v>46255</v>
      </c>
      <c r="D771" s="20" t="str">
        <f>IFERROR(VLOOKUP($H771,KET!$B:$F,2,0),"")</f>
        <v>GRSM 5</v>
      </c>
      <c r="E771" s="20" t="str">
        <f>IFERROR(VLOOKUP($H771,KET!$B:$F,3,0),"")</f>
        <v>PURBALINGGA</v>
      </c>
      <c r="F771" s="20" t="str">
        <f>IFERROR(VLOOKUP($H771,KET!$B:$F,4,0),"")</f>
        <v>SUPRIYATI</v>
      </c>
      <c r="G771" s="20" t="str">
        <f>IFERROR(VLOOKUP($H771,KET!$B:$F,5,0),"")</f>
        <v>GMM</v>
      </c>
      <c r="H771" s="56" t="s">
        <v>93</v>
      </c>
      <c r="I771" s="32">
        <v>480</v>
      </c>
      <c r="J771" s="32">
        <v>1689</v>
      </c>
      <c r="K771" s="34">
        <v>1203</v>
      </c>
      <c r="L771" s="34">
        <v>1203</v>
      </c>
      <c r="M771" s="33">
        <f t="shared" si="32"/>
        <v>4575</v>
      </c>
      <c r="N771" s="32">
        <v>468</v>
      </c>
      <c r="O771" s="32">
        <v>1524</v>
      </c>
      <c r="P771" s="34">
        <v>1161</v>
      </c>
      <c r="Q771" s="34">
        <v>1158</v>
      </c>
      <c r="R771" s="33">
        <f t="shared" si="33"/>
        <v>4311</v>
      </c>
      <c r="S771">
        <v>24</v>
      </c>
      <c r="T771">
        <v>330</v>
      </c>
      <c r="U771">
        <v>84</v>
      </c>
      <c r="V771">
        <v>90</v>
      </c>
      <c r="W771">
        <v>528</v>
      </c>
    </row>
    <row r="772" spans="1:23" x14ac:dyDescent="0.3">
      <c r="A772" s="19">
        <v>34</v>
      </c>
      <c r="B772" s="20" t="s">
        <v>123</v>
      </c>
      <c r="C772" s="21">
        <v>46255</v>
      </c>
      <c r="D772" s="20" t="str">
        <f>IFERROR(VLOOKUP($H772,KET!$B:$F,2,0),"")</f>
        <v>GRSM 5</v>
      </c>
      <c r="E772" s="20" t="str">
        <f>IFERROR(VLOOKUP($H772,KET!$B:$F,3,0),"")</f>
        <v>REMBANG</v>
      </c>
      <c r="F772" s="20" t="str">
        <f>IFERROR(VLOOKUP($H772,KET!$B:$F,4,0),"")</f>
        <v>SUPRIYATI</v>
      </c>
      <c r="G772" s="20" t="str">
        <f>IFERROR(VLOOKUP($H772,KET!$B:$F,5,0),"")</f>
        <v>MT</v>
      </c>
      <c r="H772" s="56" t="s">
        <v>119</v>
      </c>
      <c r="I772" s="32">
        <v>200</v>
      </c>
      <c r="J772" s="32">
        <v>0</v>
      </c>
      <c r="K772" s="34">
        <v>400</v>
      </c>
      <c r="L772" s="34">
        <v>600</v>
      </c>
      <c r="M772" s="33">
        <f t="shared" si="32"/>
        <v>1200</v>
      </c>
      <c r="N772" s="32">
        <v>165</v>
      </c>
      <c r="O772" s="32">
        <v>0</v>
      </c>
      <c r="P772" s="34">
        <v>305</v>
      </c>
      <c r="Q772" s="34">
        <v>410</v>
      </c>
      <c r="R772" s="33">
        <f t="shared" si="33"/>
        <v>880</v>
      </c>
      <c r="S772">
        <v>70</v>
      </c>
      <c r="T772">
        <v>0</v>
      </c>
      <c r="U772">
        <v>190</v>
      </c>
      <c r="V772">
        <v>380</v>
      </c>
      <c r="W772">
        <v>640</v>
      </c>
    </row>
    <row r="773" spans="1:23" x14ac:dyDescent="0.3">
      <c r="A773" s="19">
        <v>34</v>
      </c>
      <c r="B773" s="20" t="s">
        <v>123</v>
      </c>
      <c r="C773" s="21">
        <v>46255</v>
      </c>
      <c r="D773" s="20" t="str">
        <f>IFERROR(VLOOKUP($H773,KET!$B:$F,2,0),"")</f>
        <v>GRSM 5</v>
      </c>
      <c r="E773" s="20" t="str">
        <f>IFERROR(VLOOKUP($H773,KET!$B:$F,3,0),"")</f>
        <v>TEGAL</v>
      </c>
      <c r="F773" s="20" t="str">
        <f>IFERROR(VLOOKUP($H773,KET!$B:$F,4,0),"")</f>
        <v>SUPRIYATI</v>
      </c>
      <c r="G773" s="20" t="str">
        <f>IFERROR(VLOOKUP($H773,KET!$B:$F,5,0),"")</f>
        <v>GMM</v>
      </c>
      <c r="H773" s="56" t="s">
        <v>117</v>
      </c>
      <c r="I773" s="32">
        <v>900</v>
      </c>
      <c r="J773" s="32">
        <v>780</v>
      </c>
      <c r="K773" s="34">
        <v>300</v>
      </c>
      <c r="L773" s="34">
        <v>720</v>
      </c>
      <c r="M773" s="33">
        <f t="shared" si="32"/>
        <v>2700</v>
      </c>
      <c r="N773" s="32">
        <v>851</v>
      </c>
      <c r="O773" s="32">
        <v>723</v>
      </c>
      <c r="P773" s="34">
        <v>247</v>
      </c>
      <c r="Q773" s="34">
        <v>593</v>
      </c>
      <c r="R773" s="33">
        <f t="shared" si="33"/>
        <v>2414</v>
      </c>
      <c r="S773">
        <v>98</v>
      </c>
      <c r="T773">
        <v>114</v>
      </c>
      <c r="U773">
        <v>106</v>
      </c>
      <c r="V773">
        <v>254</v>
      </c>
      <c r="W773">
        <v>572</v>
      </c>
    </row>
    <row r="774" spans="1:23" x14ac:dyDescent="0.3">
      <c r="A774" s="19">
        <v>34</v>
      </c>
      <c r="B774" s="20" t="s">
        <v>123</v>
      </c>
      <c r="C774" s="21">
        <v>46255</v>
      </c>
      <c r="D774" s="20" t="str">
        <f>IFERROR(VLOOKUP($H774,KET!$B:$F,2,0),"")</f>
        <v>GRSM 5</v>
      </c>
      <c r="E774" s="20" t="str">
        <f>IFERROR(VLOOKUP($H774,KET!$B:$F,3,0),"")</f>
        <v>TEGAL</v>
      </c>
      <c r="F774" s="20" t="str">
        <f>IFERROR(VLOOKUP($H774,KET!$B:$F,4,0),"")</f>
        <v>SUPRIYATI</v>
      </c>
      <c r="G774" s="20" t="str">
        <f>IFERROR(VLOOKUP($H774,KET!$B:$F,5,0),"")</f>
        <v>GMM</v>
      </c>
      <c r="H774" s="56" t="s">
        <v>104</v>
      </c>
      <c r="I774" s="32">
        <v>0</v>
      </c>
      <c r="J774" s="32">
        <v>1180</v>
      </c>
      <c r="K774" s="34">
        <v>395</v>
      </c>
      <c r="L774" s="34">
        <v>1690</v>
      </c>
      <c r="M774" s="33">
        <f t="shared" si="32"/>
        <v>3265</v>
      </c>
      <c r="N774" s="32">
        <v>0</v>
      </c>
      <c r="O774" s="32">
        <v>0</v>
      </c>
      <c r="P774" s="34">
        <v>0</v>
      </c>
      <c r="Q774" s="34">
        <v>0</v>
      </c>
      <c r="R774" s="33">
        <f t="shared" si="33"/>
        <v>0</v>
      </c>
      <c r="S774">
        <v>0</v>
      </c>
      <c r="T774">
        <v>280</v>
      </c>
      <c r="U774">
        <v>120</v>
      </c>
      <c r="V774">
        <v>370</v>
      </c>
      <c r="W774">
        <v>770</v>
      </c>
    </row>
    <row r="775" spans="1:23" x14ac:dyDescent="0.3">
      <c r="A775" s="19">
        <v>34</v>
      </c>
      <c r="B775" s="20" t="s">
        <v>123</v>
      </c>
      <c r="C775" s="21">
        <v>46255</v>
      </c>
      <c r="D775" s="20" t="str">
        <f>IFERROR(VLOOKUP($H775,KET!$B:$F,2,0),"")</f>
        <v>GRSM 5</v>
      </c>
      <c r="E775" s="20" t="str">
        <f>IFERROR(VLOOKUP($H775,KET!$B:$F,3,0),"")</f>
        <v>TEGAL</v>
      </c>
      <c r="F775" s="20" t="str">
        <f>IFERROR(VLOOKUP($H775,KET!$B:$F,4,0),"")</f>
        <v>SUPRIYATI</v>
      </c>
      <c r="G775" s="20" t="str">
        <f>IFERROR(VLOOKUP($H775,KET!$B:$F,5,0),"")</f>
        <v>GMM</v>
      </c>
      <c r="H775" s="56" t="s">
        <v>88</v>
      </c>
      <c r="I775" s="32">
        <v>1138</v>
      </c>
      <c r="J775" s="32">
        <v>1910</v>
      </c>
      <c r="K775" s="34">
        <v>1871</v>
      </c>
      <c r="L775" s="34">
        <v>2536</v>
      </c>
      <c r="M775" s="33">
        <f t="shared" ref="M775:M838" si="35">SUM(I775:L775)</f>
        <v>7455</v>
      </c>
      <c r="N775" s="32">
        <v>1092</v>
      </c>
      <c r="O775" s="32">
        <v>1800</v>
      </c>
      <c r="P775" s="34">
        <v>1781</v>
      </c>
      <c r="Q775" s="34">
        <v>2388</v>
      </c>
      <c r="R775" s="33">
        <f t="shared" ref="R775:R838" si="36">SUM(N775:Q775)</f>
        <v>7061</v>
      </c>
      <c r="S775">
        <v>92</v>
      </c>
      <c r="T775">
        <v>220</v>
      </c>
      <c r="U775">
        <v>180</v>
      </c>
      <c r="V775">
        <v>296</v>
      </c>
      <c r="W775">
        <v>788</v>
      </c>
    </row>
    <row r="776" spans="1:23" x14ac:dyDescent="0.3">
      <c r="A776" s="19">
        <v>34</v>
      </c>
      <c r="B776" s="20" t="s">
        <v>123</v>
      </c>
      <c r="C776" s="21">
        <v>46255</v>
      </c>
      <c r="D776" s="20" t="str">
        <f>IFERROR(VLOOKUP($H776,KET!$B:$F,2,0),"")</f>
        <v>GRSM 5</v>
      </c>
      <c r="E776" s="20" t="str">
        <f>IFERROR(VLOOKUP($H776,KET!$B:$F,3,0),"")</f>
        <v>CILACAP</v>
      </c>
      <c r="F776" s="20" t="str">
        <f>IFERROR(VLOOKUP($H776,KET!$B:$F,4,0),"")</f>
        <v>SUPRIYATI</v>
      </c>
      <c r="G776" s="20" t="str">
        <f>IFERROR(VLOOKUP($H776,KET!$B:$F,5,0),"")</f>
        <v>GMM</v>
      </c>
      <c r="H776" s="56" t="s">
        <v>124</v>
      </c>
      <c r="I776" s="32">
        <v>1080</v>
      </c>
      <c r="J776" s="32">
        <v>1020</v>
      </c>
      <c r="K776" s="34">
        <v>0</v>
      </c>
      <c r="L776" s="34">
        <v>960</v>
      </c>
      <c r="M776" s="33">
        <f t="shared" si="35"/>
        <v>3060</v>
      </c>
      <c r="N776" s="32">
        <v>1040</v>
      </c>
      <c r="O776" s="32">
        <v>940</v>
      </c>
      <c r="P776" s="34">
        <v>0</v>
      </c>
      <c r="Q776" s="34">
        <v>760</v>
      </c>
      <c r="R776" s="33">
        <f t="shared" si="36"/>
        <v>2740</v>
      </c>
      <c r="S776">
        <v>80</v>
      </c>
      <c r="T776">
        <v>160</v>
      </c>
      <c r="U776">
        <v>0</v>
      </c>
      <c r="V776">
        <v>400</v>
      </c>
      <c r="W776">
        <v>640</v>
      </c>
    </row>
    <row r="777" spans="1:23" x14ac:dyDescent="0.3">
      <c r="A777" s="19">
        <v>34</v>
      </c>
      <c r="B777" s="20" t="s">
        <v>123</v>
      </c>
      <c r="C777" s="21">
        <v>46255</v>
      </c>
      <c r="D777" s="20" t="str">
        <f>IFERROR(VLOOKUP($H777,KET!$B:$F,2,0),"")</f>
        <v>GRSM 5</v>
      </c>
      <c r="E777" s="20" t="str">
        <f>IFERROR(VLOOKUP($H777,KET!$B:$F,3,0),"")</f>
        <v>BLORA</v>
      </c>
      <c r="F777" s="20" t="str">
        <f>IFERROR(VLOOKUP($H777,KET!$B:$F,4,0),"")</f>
        <v>SUPRIYATI</v>
      </c>
      <c r="G777" s="20" t="str">
        <f>IFERROR(VLOOKUP($H777,KET!$B:$F,5,0),"")</f>
        <v>GMM</v>
      </c>
      <c r="H777" s="56" t="s">
        <v>118</v>
      </c>
      <c r="I777" s="32">
        <v>40</v>
      </c>
      <c r="J777" s="32">
        <v>40</v>
      </c>
      <c r="K777" s="34">
        <v>40</v>
      </c>
      <c r="L777" s="34">
        <v>160</v>
      </c>
      <c r="M777" s="33">
        <f t="shared" si="35"/>
        <v>280</v>
      </c>
      <c r="N777" s="32">
        <v>24</v>
      </c>
      <c r="O777" s="32">
        <v>26</v>
      </c>
      <c r="P777" s="34">
        <v>10</v>
      </c>
      <c r="Q777" s="34">
        <v>24</v>
      </c>
      <c r="R777" s="33">
        <f t="shared" si="36"/>
        <v>84</v>
      </c>
      <c r="S777">
        <v>32</v>
      </c>
      <c r="T777">
        <v>28</v>
      </c>
      <c r="U777">
        <v>40</v>
      </c>
      <c r="V777">
        <v>272</v>
      </c>
      <c r="W777">
        <v>372</v>
      </c>
    </row>
    <row r="778" spans="1:23" x14ac:dyDescent="0.3">
      <c r="A778" s="19">
        <v>34</v>
      </c>
      <c r="B778" s="20" t="s">
        <v>123</v>
      </c>
      <c r="C778" s="21">
        <v>46255</v>
      </c>
      <c r="D778" s="20" t="str">
        <f>IFERROR(VLOOKUP($H778,KET!$B:$F,2,0),"")</f>
        <v>GRSM 5</v>
      </c>
      <c r="E778" s="20" t="str">
        <f>IFERROR(VLOOKUP($H778,KET!$B:$F,3,0),"")</f>
        <v>WONOSOBO</v>
      </c>
      <c r="F778" s="20" t="str">
        <f>IFERROR(VLOOKUP($H778,KET!$B:$F,4,0),"")</f>
        <v>SUPRIYATI</v>
      </c>
      <c r="G778" s="20" t="str">
        <f>IFERROR(VLOOKUP($H778,KET!$B:$F,5,0),"")</f>
        <v>GMM</v>
      </c>
      <c r="H778" s="56" t="s">
        <v>125</v>
      </c>
      <c r="I778" s="32">
        <v>296</v>
      </c>
      <c r="J778" s="32">
        <v>246</v>
      </c>
      <c r="K778" s="34">
        <v>354</v>
      </c>
      <c r="L778" s="34">
        <v>196</v>
      </c>
      <c r="M778" s="33">
        <f t="shared" si="35"/>
        <v>1092</v>
      </c>
      <c r="N778" s="32">
        <v>196</v>
      </c>
      <c r="O778" s="32">
        <v>146</v>
      </c>
      <c r="P778" s="34">
        <v>254</v>
      </c>
      <c r="Q778" s="34">
        <v>96</v>
      </c>
      <c r="R778" s="33">
        <f t="shared" si="36"/>
        <v>692</v>
      </c>
      <c r="S778">
        <v>200</v>
      </c>
      <c r="T778">
        <v>200</v>
      </c>
      <c r="U778">
        <v>200</v>
      </c>
      <c r="V778">
        <v>200</v>
      </c>
      <c r="W778">
        <v>800</v>
      </c>
    </row>
    <row r="779" spans="1:23" x14ac:dyDescent="0.3">
      <c r="A779" s="19">
        <v>34</v>
      </c>
      <c r="B779" s="20" t="s">
        <v>123</v>
      </c>
      <c r="C779" s="21">
        <v>46256</v>
      </c>
      <c r="D779" s="20" t="str">
        <f>IFERROR(VLOOKUP($H779,KET!$B:$F,2,0),"")</f>
        <v>GRSM 5</v>
      </c>
      <c r="E779" s="20" t="str">
        <f>IFERROR(VLOOKUP($H779,KET!$B:$F,3,0),"")</f>
        <v>MAGELANG</v>
      </c>
      <c r="F779" s="20" t="str">
        <f>IFERROR(VLOOKUP($H779,KET!$B:$F,4,0),"")</f>
        <v>SUPRIYATI</v>
      </c>
      <c r="G779" s="20" t="str">
        <f>IFERROR(VLOOKUP($H779,KET!$B:$F,5,0),"")</f>
        <v>GMM</v>
      </c>
      <c r="H779" s="56" t="s">
        <v>111</v>
      </c>
      <c r="I779" s="32">
        <v>290</v>
      </c>
      <c r="J779" s="32">
        <v>160</v>
      </c>
      <c r="K779" s="34">
        <v>200</v>
      </c>
      <c r="L779" s="34">
        <v>280</v>
      </c>
      <c r="M779" s="33">
        <f t="shared" si="35"/>
        <v>930</v>
      </c>
      <c r="N779" s="32">
        <v>280</v>
      </c>
      <c r="O779" s="32">
        <v>100</v>
      </c>
      <c r="P779" s="34">
        <v>120</v>
      </c>
      <c r="Q779" s="34">
        <v>160</v>
      </c>
      <c r="R779" s="33">
        <f t="shared" si="36"/>
        <v>660</v>
      </c>
      <c r="S779">
        <v>20</v>
      </c>
      <c r="T779">
        <v>120</v>
      </c>
      <c r="U779">
        <v>160</v>
      </c>
      <c r="V779">
        <v>240</v>
      </c>
      <c r="W779">
        <v>540</v>
      </c>
    </row>
    <row r="780" spans="1:23" x14ac:dyDescent="0.3">
      <c r="A780" s="19">
        <v>34</v>
      </c>
      <c r="B780" s="20" t="s">
        <v>123</v>
      </c>
      <c r="C780" s="21">
        <v>46256</v>
      </c>
      <c r="D780" s="20" t="str">
        <f>IFERROR(VLOOKUP($H780,KET!$B:$F,2,0),"")</f>
        <v>GRSM 5</v>
      </c>
      <c r="E780" s="20" t="str">
        <f>IFERROR(VLOOKUP($H780,KET!$B:$F,3,0),"")</f>
        <v>PURBALINGGA</v>
      </c>
      <c r="F780" s="20" t="str">
        <f>IFERROR(VLOOKUP($H780,KET!$B:$F,4,0),"")</f>
        <v>SUPRIYATI</v>
      </c>
      <c r="G780" s="20" t="str">
        <f>IFERROR(VLOOKUP($H780,KET!$B:$F,5,0),"")</f>
        <v>GMM</v>
      </c>
      <c r="H780" s="56" t="s">
        <v>93</v>
      </c>
      <c r="I780" s="32">
        <v>468</v>
      </c>
      <c r="J780" s="32">
        <v>1524</v>
      </c>
      <c r="K780" s="34">
        <v>1161</v>
      </c>
      <c r="L780" s="34">
        <v>1158</v>
      </c>
      <c r="M780" s="33">
        <f t="shared" si="35"/>
        <v>4311</v>
      </c>
      <c r="N780" s="32">
        <v>459</v>
      </c>
      <c r="O780" s="32">
        <v>1290</v>
      </c>
      <c r="P780" s="34">
        <v>1131</v>
      </c>
      <c r="Q780" s="34">
        <v>1029</v>
      </c>
      <c r="R780" s="33">
        <f t="shared" si="36"/>
        <v>3909</v>
      </c>
      <c r="S780">
        <v>18</v>
      </c>
      <c r="T780">
        <v>468</v>
      </c>
      <c r="U780">
        <v>60</v>
      </c>
      <c r="V780">
        <v>258</v>
      </c>
      <c r="W780">
        <v>804</v>
      </c>
    </row>
    <row r="781" spans="1:23" x14ac:dyDescent="0.3">
      <c r="A781" s="19">
        <v>34</v>
      </c>
      <c r="B781" s="20" t="s">
        <v>123</v>
      </c>
      <c r="C781" s="21">
        <v>46256</v>
      </c>
      <c r="D781" s="20" t="str">
        <f>IFERROR(VLOOKUP($H781,KET!$B:$F,2,0),"")</f>
        <v>GRSM 5</v>
      </c>
      <c r="E781" s="20" t="str">
        <f>IFERROR(VLOOKUP($H781,KET!$B:$F,3,0),"")</f>
        <v>TEGAL</v>
      </c>
      <c r="F781" s="20" t="str">
        <f>IFERROR(VLOOKUP($H781,KET!$B:$F,4,0),"")</f>
        <v>SUPRIYATI</v>
      </c>
      <c r="G781" s="20" t="str">
        <f>IFERROR(VLOOKUP($H781,KET!$B:$F,5,0),"")</f>
        <v>GMM</v>
      </c>
      <c r="H781" s="56" t="s">
        <v>117</v>
      </c>
      <c r="I781" s="32">
        <v>851</v>
      </c>
      <c r="J781" s="32">
        <v>723</v>
      </c>
      <c r="K781" s="34">
        <v>247</v>
      </c>
      <c r="L781" s="34">
        <v>593</v>
      </c>
      <c r="M781" s="33">
        <f t="shared" si="35"/>
        <v>2414</v>
      </c>
      <c r="N781" s="32">
        <v>798</v>
      </c>
      <c r="O781" s="32">
        <v>657</v>
      </c>
      <c r="P781" s="34">
        <v>189</v>
      </c>
      <c r="Q781" s="34">
        <v>456</v>
      </c>
      <c r="R781" s="33">
        <f t="shared" si="36"/>
        <v>2100</v>
      </c>
      <c r="S781">
        <v>106</v>
      </c>
      <c r="T781">
        <v>132</v>
      </c>
      <c r="U781">
        <v>116</v>
      </c>
      <c r="V781">
        <v>274</v>
      </c>
      <c r="W781">
        <v>628</v>
      </c>
    </row>
    <row r="782" spans="1:23" x14ac:dyDescent="0.3">
      <c r="A782" s="19">
        <v>34</v>
      </c>
      <c r="B782" s="20" t="s">
        <v>123</v>
      </c>
      <c r="C782" s="21">
        <v>46256</v>
      </c>
      <c r="D782" s="20" t="str">
        <f>IFERROR(VLOOKUP($H782,KET!$B:$F,2,0),"")</f>
        <v>GRSM 5</v>
      </c>
      <c r="E782" s="20" t="str">
        <f>IFERROR(VLOOKUP($H782,KET!$B:$F,3,0),"")</f>
        <v>WONOSOBO</v>
      </c>
      <c r="F782" s="20" t="str">
        <f>IFERROR(VLOOKUP($H782,KET!$B:$F,4,0),"")</f>
        <v>SUPRIYATI</v>
      </c>
      <c r="G782" s="20" t="str">
        <f>IFERROR(VLOOKUP($H782,KET!$B:$F,5,0),"")</f>
        <v>GMM</v>
      </c>
      <c r="H782" s="56" t="s">
        <v>125</v>
      </c>
      <c r="I782" s="32">
        <v>196</v>
      </c>
      <c r="J782" s="32">
        <v>146</v>
      </c>
      <c r="K782" s="34">
        <v>254</v>
      </c>
      <c r="L782" s="34">
        <v>96</v>
      </c>
      <c r="M782" s="33">
        <f t="shared" si="35"/>
        <v>692</v>
      </c>
      <c r="N782" s="32">
        <v>136</v>
      </c>
      <c r="O782" s="32">
        <v>86</v>
      </c>
      <c r="P782" s="34">
        <v>214</v>
      </c>
      <c r="Q782" s="34">
        <v>36</v>
      </c>
      <c r="R782" s="33">
        <f t="shared" si="36"/>
        <v>472</v>
      </c>
      <c r="S782">
        <v>120</v>
      </c>
      <c r="T782">
        <v>120</v>
      </c>
      <c r="U782">
        <v>80</v>
      </c>
      <c r="V782">
        <v>120</v>
      </c>
      <c r="W782">
        <v>440</v>
      </c>
    </row>
    <row r="783" spans="1:23" x14ac:dyDescent="0.3">
      <c r="A783" s="19">
        <v>34</v>
      </c>
      <c r="B783" s="20" t="s">
        <v>123</v>
      </c>
      <c r="C783" s="21">
        <v>46256</v>
      </c>
      <c r="D783" s="20" t="str">
        <f>IFERROR(VLOOKUP($H783,KET!$B:$F,2,0),"")</f>
        <v>GRSM 5</v>
      </c>
      <c r="E783" s="20" t="str">
        <f>IFERROR(VLOOKUP($H783,KET!$B:$F,3,0),"")</f>
        <v>CILACAP</v>
      </c>
      <c r="F783" s="20" t="str">
        <f>IFERROR(VLOOKUP($H783,KET!$B:$F,4,0),"")</f>
        <v>SUPRIYATI</v>
      </c>
      <c r="G783" s="20" t="str">
        <f>IFERROR(VLOOKUP($H783,KET!$B:$F,5,0),"")</f>
        <v>GMM</v>
      </c>
      <c r="H783" s="56" t="s">
        <v>124</v>
      </c>
      <c r="I783" s="32">
        <v>640</v>
      </c>
      <c r="J783" s="32">
        <v>520</v>
      </c>
      <c r="K783" s="34">
        <v>0</v>
      </c>
      <c r="L783" s="34">
        <v>280</v>
      </c>
      <c r="M783" s="33">
        <f t="shared" si="35"/>
        <v>1440</v>
      </c>
      <c r="N783" s="32">
        <v>560</v>
      </c>
      <c r="O783" s="32">
        <v>400</v>
      </c>
      <c r="P783" s="34">
        <v>0</v>
      </c>
      <c r="Q783" s="34">
        <v>120</v>
      </c>
      <c r="R783" s="33">
        <f t="shared" si="36"/>
        <v>1080</v>
      </c>
      <c r="S783">
        <v>160</v>
      </c>
      <c r="T783">
        <v>240</v>
      </c>
      <c r="U783">
        <v>0</v>
      </c>
      <c r="V783">
        <v>320</v>
      </c>
      <c r="W783">
        <v>720</v>
      </c>
    </row>
    <row r="784" spans="1:23" x14ac:dyDescent="0.3">
      <c r="A784" s="19">
        <v>34</v>
      </c>
      <c r="B784" s="20" t="s">
        <v>123</v>
      </c>
      <c r="C784" s="21">
        <v>46256</v>
      </c>
      <c r="D784" s="20" t="str">
        <f>IFERROR(VLOOKUP($H784,KET!$B:$F,2,0),"")</f>
        <v>GRSM 5</v>
      </c>
      <c r="E784" s="20" t="str">
        <f>IFERROR(VLOOKUP($H784,KET!$B:$F,3,0),"")</f>
        <v>REMBANG</v>
      </c>
      <c r="F784" s="20" t="str">
        <f>IFERROR(VLOOKUP($H784,KET!$B:$F,4,0),"")</f>
        <v>SUPRIYATI</v>
      </c>
      <c r="G784" s="20" t="str">
        <f>IFERROR(VLOOKUP($H784,KET!$B:$F,5,0),"")</f>
        <v>MT</v>
      </c>
      <c r="H784" s="56" t="s">
        <v>119</v>
      </c>
      <c r="I784" s="32">
        <v>165</v>
      </c>
      <c r="J784" s="32">
        <v>0</v>
      </c>
      <c r="K784" s="34">
        <v>305</v>
      </c>
      <c r="L784" s="34">
        <v>410</v>
      </c>
      <c r="M784" s="33">
        <f t="shared" si="35"/>
        <v>880</v>
      </c>
      <c r="N784" s="32">
        <v>100</v>
      </c>
      <c r="O784" s="32">
        <v>0</v>
      </c>
      <c r="P784" s="34">
        <v>195</v>
      </c>
      <c r="Q784" s="34">
        <v>190</v>
      </c>
      <c r="R784" s="33">
        <f t="shared" si="36"/>
        <v>485</v>
      </c>
      <c r="S784">
        <v>130</v>
      </c>
      <c r="T784">
        <v>0</v>
      </c>
      <c r="U784">
        <v>220</v>
      </c>
      <c r="V784">
        <v>440</v>
      </c>
      <c r="W784">
        <v>790</v>
      </c>
    </row>
    <row r="785" spans="1:23" x14ac:dyDescent="0.3">
      <c r="A785" s="19">
        <v>34</v>
      </c>
      <c r="B785" s="20" t="s">
        <v>123</v>
      </c>
      <c r="C785" s="21">
        <v>46256</v>
      </c>
      <c r="D785" s="20" t="str">
        <f>IFERROR(VLOOKUP($H785,KET!$B:$F,2,0),"")</f>
        <v>GRSM 5</v>
      </c>
      <c r="E785" s="20" t="str">
        <f>IFERROR(VLOOKUP($H785,KET!$B:$F,3,0),"")</f>
        <v>TEGAL</v>
      </c>
      <c r="F785" s="20" t="str">
        <f>IFERROR(VLOOKUP($H785,KET!$B:$F,4,0),"")</f>
        <v>SUPRIYATI</v>
      </c>
      <c r="G785" s="20" t="str">
        <f>IFERROR(VLOOKUP($H785,KET!$B:$F,5,0),"")</f>
        <v>GMM</v>
      </c>
      <c r="H785" s="56" t="s">
        <v>88</v>
      </c>
      <c r="I785" s="32">
        <v>1092</v>
      </c>
      <c r="J785" s="32">
        <v>1800</v>
      </c>
      <c r="K785" s="34">
        <v>1781</v>
      </c>
      <c r="L785" s="34">
        <v>2388</v>
      </c>
      <c r="M785" s="33">
        <f t="shared" si="35"/>
        <v>7061</v>
      </c>
      <c r="N785" s="32">
        <v>1064</v>
      </c>
      <c r="O785" s="32">
        <v>1714</v>
      </c>
      <c r="P785" s="34">
        <v>1655</v>
      </c>
      <c r="Q785" s="34">
        <v>2176</v>
      </c>
      <c r="R785" s="33">
        <f t="shared" si="36"/>
        <v>6609</v>
      </c>
      <c r="S785">
        <v>56</v>
      </c>
      <c r="T785">
        <v>172</v>
      </c>
      <c r="U785">
        <v>252</v>
      </c>
      <c r="V785">
        <v>424</v>
      </c>
      <c r="W785">
        <v>904</v>
      </c>
    </row>
    <row r="786" spans="1:23" x14ac:dyDescent="0.3">
      <c r="A786" s="19">
        <v>34</v>
      </c>
      <c r="B786" s="20" t="s">
        <v>123</v>
      </c>
      <c r="C786" s="21">
        <v>46256</v>
      </c>
      <c r="D786" s="20" t="str">
        <f>IFERROR(VLOOKUP($H786,KET!$B:$F,2,0),"")</f>
        <v>GRSM 5</v>
      </c>
      <c r="E786" s="20" t="str">
        <f>IFERROR(VLOOKUP($H786,KET!$B:$F,3,0),"")</f>
        <v>TEGAL</v>
      </c>
      <c r="F786" s="20" t="str">
        <f>IFERROR(VLOOKUP($H786,KET!$B:$F,4,0),"")</f>
        <v>SUPRIYATI</v>
      </c>
      <c r="G786" s="20" t="str">
        <f>IFERROR(VLOOKUP($H786,KET!$B:$F,5,0),"")</f>
        <v>GMM</v>
      </c>
      <c r="H786" s="56" t="s">
        <v>104</v>
      </c>
      <c r="I786" s="32">
        <v>0</v>
      </c>
      <c r="J786" s="32">
        <v>1040</v>
      </c>
      <c r="K786" s="34">
        <v>335</v>
      </c>
      <c r="L786" s="34">
        <v>1505</v>
      </c>
      <c r="M786" s="33">
        <f t="shared" si="35"/>
        <v>2880</v>
      </c>
      <c r="N786" s="32">
        <v>0</v>
      </c>
      <c r="O786" s="32">
        <v>851</v>
      </c>
      <c r="P786" s="34">
        <v>280</v>
      </c>
      <c r="Q786" s="34">
        <v>1310</v>
      </c>
      <c r="R786" s="33">
        <f t="shared" si="36"/>
        <v>2441</v>
      </c>
      <c r="S786">
        <v>0</v>
      </c>
      <c r="T786">
        <v>378</v>
      </c>
      <c r="U786">
        <v>110</v>
      </c>
      <c r="V786">
        <v>390</v>
      </c>
      <c r="W786">
        <v>878</v>
      </c>
    </row>
    <row r="787" spans="1:23" x14ac:dyDescent="0.3">
      <c r="A787" s="19">
        <v>34</v>
      </c>
      <c r="B787" s="20" t="s">
        <v>123</v>
      </c>
      <c r="C787" s="21">
        <v>46256</v>
      </c>
      <c r="D787" s="20" t="str">
        <f>IFERROR(VLOOKUP($H787,KET!$B:$F,2,0),"")</f>
        <v>GRSM 5</v>
      </c>
      <c r="E787" s="20" t="str">
        <f>IFERROR(VLOOKUP($H787,KET!$B:$F,3,0),"")</f>
        <v>BLORA</v>
      </c>
      <c r="F787" s="20" t="str">
        <f>IFERROR(VLOOKUP($H787,KET!$B:$F,4,0),"")</f>
        <v>SUPRIYATI</v>
      </c>
      <c r="G787" s="20" t="str">
        <f>IFERROR(VLOOKUP($H787,KET!$B:$F,5,0),"")</f>
        <v>GMM</v>
      </c>
      <c r="H787" s="56" t="s">
        <v>118</v>
      </c>
      <c r="I787" s="32">
        <v>64</v>
      </c>
      <c r="J787" s="32">
        <v>66</v>
      </c>
      <c r="K787" s="34">
        <v>50</v>
      </c>
      <c r="L787" s="34">
        <v>106</v>
      </c>
      <c r="M787" s="33">
        <f t="shared" si="35"/>
        <v>286</v>
      </c>
      <c r="N787" s="32">
        <v>40</v>
      </c>
      <c r="O787" s="32">
        <v>38</v>
      </c>
      <c r="P787" s="34">
        <v>4</v>
      </c>
      <c r="Q787" s="34">
        <v>0</v>
      </c>
      <c r="R787" s="33">
        <f t="shared" si="36"/>
        <v>82</v>
      </c>
      <c r="S787">
        <v>48</v>
      </c>
      <c r="T787">
        <v>56</v>
      </c>
      <c r="U787">
        <v>92</v>
      </c>
      <c r="V787">
        <v>212</v>
      </c>
      <c r="W787">
        <v>408</v>
      </c>
    </row>
    <row r="788" spans="1:23" x14ac:dyDescent="0.3">
      <c r="A788" s="19">
        <v>34</v>
      </c>
      <c r="B788" s="20" t="s">
        <v>123</v>
      </c>
      <c r="C788" s="21">
        <v>46257</v>
      </c>
      <c r="D788" s="20" t="str">
        <f>IFERROR(VLOOKUP($H788,KET!$B:$F,2,0),"")</f>
        <v>GRSM 5</v>
      </c>
      <c r="E788" s="20" t="str">
        <f>IFERROR(VLOOKUP($H788,KET!$B:$F,3,0),"")</f>
        <v>MAGELANG</v>
      </c>
      <c r="F788" s="20" t="str">
        <f>IFERROR(VLOOKUP($H788,KET!$B:$F,4,0),"")</f>
        <v>SUPRIYATI</v>
      </c>
      <c r="G788" s="20" t="str">
        <f>IFERROR(VLOOKUP($H788,KET!$B:$F,5,0),"")</f>
        <v>GMM</v>
      </c>
      <c r="H788" s="56" t="s">
        <v>111</v>
      </c>
      <c r="I788" s="32">
        <v>280</v>
      </c>
      <c r="J788" s="32">
        <v>10</v>
      </c>
      <c r="K788" s="34">
        <v>120</v>
      </c>
      <c r="L788" s="34">
        <v>160</v>
      </c>
      <c r="M788" s="33">
        <f t="shared" si="35"/>
        <v>570</v>
      </c>
      <c r="N788" s="32">
        <v>260</v>
      </c>
      <c r="O788" s="32">
        <v>40</v>
      </c>
      <c r="P788" s="34">
        <v>80</v>
      </c>
      <c r="Q788" s="34">
        <v>10</v>
      </c>
      <c r="R788" s="33">
        <f t="shared" si="36"/>
        <v>390</v>
      </c>
      <c r="S788">
        <v>40</v>
      </c>
      <c r="T788">
        <v>120</v>
      </c>
      <c r="U788">
        <v>80</v>
      </c>
      <c r="V788">
        <v>300</v>
      </c>
      <c r="W788">
        <v>540</v>
      </c>
    </row>
    <row r="789" spans="1:23" x14ac:dyDescent="0.3">
      <c r="A789" s="19">
        <v>34</v>
      </c>
      <c r="B789" s="20" t="s">
        <v>123</v>
      </c>
      <c r="C789" s="21">
        <v>46257</v>
      </c>
      <c r="D789" s="20" t="str">
        <f>IFERROR(VLOOKUP($H789,KET!$B:$F,2,0),"")</f>
        <v>GRSM 5</v>
      </c>
      <c r="E789" s="20" t="str">
        <f>IFERROR(VLOOKUP($H789,KET!$B:$F,3,0),"")</f>
        <v>PURBALINGGA</v>
      </c>
      <c r="F789" s="20" t="str">
        <f>IFERROR(VLOOKUP($H789,KET!$B:$F,4,0),"")</f>
        <v>SUPRIYATI</v>
      </c>
      <c r="G789" s="20" t="str">
        <f>IFERROR(VLOOKUP($H789,KET!$B:$F,5,0),"")</f>
        <v>GMM</v>
      </c>
      <c r="H789" s="56" t="s">
        <v>93</v>
      </c>
      <c r="I789" s="32">
        <v>459</v>
      </c>
      <c r="J789" s="32">
        <v>1290</v>
      </c>
      <c r="K789" s="34">
        <v>1131</v>
      </c>
      <c r="L789" s="34">
        <v>1029</v>
      </c>
      <c r="M789" s="33">
        <f t="shared" si="35"/>
        <v>3909</v>
      </c>
      <c r="N789" s="32">
        <v>417</v>
      </c>
      <c r="O789" s="32">
        <v>1158</v>
      </c>
      <c r="P789" s="34">
        <v>1080</v>
      </c>
      <c r="Q789" s="34">
        <v>768</v>
      </c>
      <c r="R789" s="33">
        <f t="shared" si="36"/>
        <v>3423</v>
      </c>
      <c r="S789">
        <v>84</v>
      </c>
      <c r="T789">
        <v>264</v>
      </c>
      <c r="U789">
        <v>102</v>
      </c>
      <c r="V789">
        <v>522</v>
      </c>
      <c r="W789">
        <v>972</v>
      </c>
    </row>
    <row r="790" spans="1:23" x14ac:dyDescent="0.3">
      <c r="A790" s="19">
        <v>34</v>
      </c>
      <c r="B790" s="20" t="s">
        <v>123</v>
      </c>
      <c r="C790" s="21">
        <v>46257</v>
      </c>
      <c r="D790" s="20" t="str">
        <f>IFERROR(VLOOKUP($H790,KET!$B:$F,2,0),"")</f>
        <v>GRSM 5</v>
      </c>
      <c r="E790" s="20" t="str">
        <f>IFERROR(VLOOKUP($H790,KET!$B:$F,3,0),"")</f>
        <v>TEGAL</v>
      </c>
      <c r="F790" s="20" t="str">
        <f>IFERROR(VLOOKUP($H790,KET!$B:$F,4,0),"")</f>
        <v>SUPRIYATI</v>
      </c>
      <c r="G790" s="20" t="str">
        <f>IFERROR(VLOOKUP($H790,KET!$B:$F,5,0),"")</f>
        <v>GMM</v>
      </c>
      <c r="H790" s="56" t="s">
        <v>117</v>
      </c>
      <c r="I790" s="32">
        <v>798</v>
      </c>
      <c r="J790" s="32">
        <v>657</v>
      </c>
      <c r="K790" s="34">
        <v>189</v>
      </c>
      <c r="L790" s="34">
        <v>456</v>
      </c>
      <c r="M790" s="33">
        <f t="shared" si="35"/>
        <v>2100</v>
      </c>
      <c r="N790" s="32">
        <v>736</v>
      </c>
      <c r="O790" s="32">
        <v>594</v>
      </c>
      <c r="P790" s="34">
        <v>134</v>
      </c>
      <c r="Q790" s="34">
        <v>314</v>
      </c>
      <c r="R790" s="33">
        <f t="shared" si="36"/>
        <v>1778</v>
      </c>
      <c r="S790">
        <v>104</v>
      </c>
      <c r="T790">
        <v>126</v>
      </c>
      <c r="U790">
        <v>110</v>
      </c>
      <c r="V790">
        <v>284</v>
      </c>
      <c r="W790">
        <v>624</v>
      </c>
    </row>
    <row r="791" spans="1:23" x14ac:dyDescent="0.3">
      <c r="A791" s="19">
        <v>34</v>
      </c>
      <c r="B791" s="20" t="s">
        <v>123</v>
      </c>
      <c r="C791" s="21">
        <v>46257</v>
      </c>
      <c r="D791" s="20" t="str">
        <f>IFERROR(VLOOKUP($H791,KET!$B:$F,2,0),"")</f>
        <v>GRSM 5</v>
      </c>
      <c r="E791" s="20" t="str">
        <f>IFERROR(VLOOKUP($H791,KET!$B:$F,3,0),"")</f>
        <v>REMBANG</v>
      </c>
      <c r="F791" s="20" t="str">
        <f>IFERROR(VLOOKUP($H791,KET!$B:$F,4,0),"")</f>
        <v>SUPRIYATI</v>
      </c>
      <c r="G791" s="20" t="str">
        <f>IFERROR(VLOOKUP($H791,KET!$B:$F,5,0),"")</f>
        <v>MT</v>
      </c>
      <c r="H791" s="56" t="s">
        <v>119</v>
      </c>
      <c r="I791" s="32">
        <v>100</v>
      </c>
      <c r="J791" s="32">
        <v>0</v>
      </c>
      <c r="K791" s="34">
        <v>195</v>
      </c>
      <c r="L791" s="34">
        <v>190</v>
      </c>
      <c r="M791" s="33">
        <f t="shared" si="35"/>
        <v>485</v>
      </c>
      <c r="N791" s="32">
        <v>45</v>
      </c>
      <c r="O791" s="32">
        <v>0</v>
      </c>
      <c r="P791" s="34">
        <v>50</v>
      </c>
      <c r="Q791" s="34">
        <v>25</v>
      </c>
      <c r="R791" s="33">
        <f t="shared" si="36"/>
        <v>120</v>
      </c>
      <c r="S791">
        <v>110</v>
      </c>
      <c r="T791">
        <v>0</v>
      </c>
      <c r="U791">
        <v>290</v>
      </c>
      <c r="V791">
        <v>330</v>
      </c>
      <c r="W791">
        <v>730</v>
      </c>
    </row>
    <row r="792" spans="1:23" x14ac:dyDescent="0.3">
      <c r="A792" s="19">
        <v>34</v>
      </c>
      <c r="B792" s="20" t="s">
        <v>123</v>
      </c>
      <c r="C792" s="21">
        <v>46257</v>
      </c>
      <c r="D792" s="20" t="str">
        <f>IFERROR(VLOOKUP($H792,KET!$B:$F,2,0),"")</f>
        <v>GRSM 5</v>
      </c>
      <c r="E792" s="20" t="str">
        <f>IFERROR(VLOOKUP($H792,KET!$B:$F,3,0),"")</f>
        <v>TEGAL</v>
      </c>
      <c r="F792" s="20" t="str">
        <f>IFERROR(VLOOKUP($H792,KET!$B:$F,4,0),"")</f>
        <v>SUPRIYATI</v>
      </c>
      <c r="G792" s="20" t="str">
        <f>IFERROR(VLOOKUP($H792,KET!$B:$F,5,0),"")</f>
        <v>GMM</v>
      </c>
      <c r="H792" s="56" t="s">
        <v>88</v>
      </c>
      <c r="I792" s="32">
        <v>1064</v>
      </c>
      <c r="J792" s="32">
        <v>1714</v>
      </c>
      <c r="K792" s="34">
        <v>1655</v>
      </c>
      <c r="L792" s="34">
        <v>2176</v>
      </c>
      <c r="M792" s="33">
        <f t="shared" si="35"/>
        <v>6609</v>
      </c>
      <c r="N792" s="32">
        <v>1032</v>
      </c>
      <c r="O792" s="32">
        <v>1632</v>
      </c>
      <c r="P792" s="34">
        <v>1521</v>
      </c>
      <c r="Q792" s="34">
        <v>1950</v>
      </c>
      <c r="R792" s="33">
        <f t="shared" si="36"/>
        <v>6135</v>
      </c>
      <c r="S792">
        <v>64</v>
      </c>
      <c r="T792">
        <v>164</v>
      </c>
      <c r="U792">
        <v>268</v>
      </c>
      <c r="V792">
        <v>452</v>
      </c>
      <c r="W792">
        <v>948</v>
      </c>
    </row>
    <row r="793" spans="1:23" x14ac:dyDescent="0.3">
      <c r="A793" s="19">
        <v>34</v>
      </c>
      <c r="B793" s="20" t="s">
        <v>123</v>
      </c>
      <c r="C793" s="21">
        <v>46257</v>
      </c>
      <c r="D793" s="20" t="str">
        <f>IFERROR(VLOOKUP($H793,KET!$B:$F,2,0),"")</f>
        <v>GRSM 5</v>
      </c>
      <c r="E793" s="20" t="str">
        <f>IFERROR(VLOOKUP($H793,KET!$B:$F,3,0),"")</f>
        <v>CILACAP</v>
      </c>
      <c r="F793" s="20" t="str">
        <f>IFERROR(VLOOKUP($H793,KET!$B:$F,4,0),"")</f>
        <v>SUPRIYATI</v>
      </c>
      <c r="G793" s="20" t="str">
        <f>IFERROR(VLOOKUP($H793,KET!$B:$F,5,0),"")</f>
        <v>GMM</v>
      </c>
      <c r="H793" s="56" t="s">
        <v>124</v>
      </c>
      <c r="I793" s="32">
        <v>280</v>
      </c>
      <c r="J793" s="32">
        <v>520</v>
      </c>
      <c r="K793" s="34">
        <v>0</v>
      </c>
      <c r="L793" s="34">
        <v>40</v>
      </c>
      <c r="M793" s="33">
        <f t="shared" si="35"/>
        <v>840</v>
      </c>
      <c r="N793" s="32">
        <v>240</v>
      </c>
      <c r="O793" s="32">
        <v>480</v>
      </c>
      <c r="P793" s="34">
        <v>0</v>
      </c>
      <c r="Q793" s="34">
        <v>0</v>
      </c>
      <c r="R793" s="33">
        <f t="shared" si="36"/>
        <v>720</v>
      </c>
      <c r="S793">
        <v>80</v>
      </c>
      <c r="T793">
        <v>160</v>
      </c>
      <c r="U793">
        <v>0</v>
      </c>
      <c r="V793">
        <v>80</v>
      </c>
      <c r="W793">
        <v>320</v>
      </c>
    </row>
    <row r="794" spans="1:23" x14ac:dyDescent="0.3">
      <c r="A794" s="19">
        <v>34</v>
      </c>
      <c r="B794" s="20" t="s">
        <v>123</v>
      </c>
      <c r="C794" s="21">
        <v>46257</v>
      </c>
      <c r="D794" s="20" t="str">
        <f>IFERROR(VLOOKUP($H794,KET!$B:$F,2,0),"")</f>
        <v>GRSM 5</v>
      </c>
      <c r="E794" s="20" t="str">
        <f>IFERROR(VLOOKUP($H794,KET!$B:$F,3,0),"")</f>
        <v>TEGAL</v>
      </c>
      <c r="F794" s="20" t="str">
        <f>IFERROR(VLOOKUP($H794,KET!$B:$F,4,0),"")</f>
        <v>SUPRIYATI</v>
      </c>
      <c r="G794" s="20" t="str">
        <f>IFERROR(VLOOKUP($H794,KET!$B:$F,5,0),"")</f>
        <v>GMM</v>
      </c>
      <c r="H794" s="56" t="s">
        <v>104</v>
      </c>
      <c r="I794" s="32">
        <v>0</v>
      </c>
      <c r="J794" s="32">
        <v>851</v>
      </c>
      <c r="K794" s="34">
        <v>280</v>
      </c>
      <c r="L794" s="34">
        <v>1310</v>
      </c>
      <c r="M794" s="33">
        <f t="shared" si="35"/>
        <v>2441</v>
      </c>
      <c r="N794" s="32">
        <v>0</v>
      </c>
      <c r="O794" s="32">
        <v>659</v>
      </c>
      <c r="P794" s="34">
        <v>240</v>
      </c>
      <c r="Q794" s="34">
        <v>1090</v>
      </c>
      <c r="R794" s="33">
        <f t="shared" si="36"/>
        <v>1989</v>
      </c>
      <c r="S794">
        <v>0</v>
      </c>
      <c r="T794">
        <v>384</v>
      </c>
      <c r="U794">
        <v>80</v>
      </c>
      <c r="V794">
        <v>440</v>
      </c>
      <c r="W794">
        <v>904</v>
      </c>
    </row>
    <row r="795" spans="1:23" x14ac:dyDescent="0.3">
      <c r="A795" s="19">
        <v>34</v>
      </c>
      <c r="B795" s="20" t="s">
        <v>123</v>
      </c>
      <c r="C795" s="21">
        <v>46257</v>
      </c>
      <c r="D795" s="20" t="str">
        <f>IFERROR(VLOOKUP($H795,KET!$B:$F,2,0),"")</f>
        <v>GRSM 5</v>
      </c>
      <c r="E795" s="20" t="str">
        <f>IFERROR(VLOOKUP($H795,KET!$B:$F,3,0),"")</f>
        <v>WONOSOBO</v>
      </c>
      <c r="F795" s="20" t="str">
        <f>IFERROR(VLOOKUP($H795,KET!$B:$F,4,0),"")</f>
        <v>SUPRIYATI</v>
      </c>
      <c r="G795" s="20" t="str">
        <f>IFERROR(VLOOKUP($H795,KET!$B:$F,5,0),"")</f>
        <v>GMM</v>
      </c>
      <c r="H795" s="56" t="s">
        <v>125</v>
      </c>
      <c r="I795" s="32">
        <v>567</v>
      </c>
      <c r="J795" s="32">
        <v>567</v>
      </c>
      <c r="K795" s="34">
        <v>459</v>
      </c>
      <c r="L795" s="34">
        <v>355</v>
      </c>
      <c r="M795" s="33">
        <f t="shared" si="35"/>
        <v>1948</v>
      </c>
      <c r="N795" s="32">
        <v>552</v>
      </c>
      <c r="O795" s="32">
        <v>527</v>
      </c>
      <c r="P795" s="34">
        <v>429</v>
      </c>
      <c r="Q795" s="34">
        <v>295</v>
      </c>
      <c r="R795" s="33">
        <f t="shared" si="36"/>
        <v>1803</v>
      </c>
      <c r="S795">
        <v>30</v>
      </c>
      <c r="T795">
        <v>80</v>
      </c>
      <c r="U795">
        <v>60</v>
      </c>
      <c r="V795">
        <v>120</v>
      </c>
      <c r="W795">
        <v>290</v>
      </c>
    </row>
    <row r="796" spans="1:23" x14ac:dyDescent="0.3">
      <c r="A796" s="19">
        <v>34</v>
      </c>
      <c r="B796" s="20" t="s">
        <v>123</v>
      </c>
      <c r="C796" s="21">
        <v>46257</v>
      </c>
      <c r="D796" s="20" t="str">
        <f>IFERROR(VLOOKUP($H796,KET!$B:$F,2,0),"")</f>
        <v>GRSM 5</v>
      </c>
      <c r="E796" s="20" t="str">
        <f>IFERROR(VLOOKUP($H796,KET!$B:$F,3,0),"")</f>
        <v>BLORA</v>
      </c>
      <c r="F796" s="20" t="str">
        <f>IFERROR(VLOOKUP($H796,KET!$B:$F,4,0),"")</f>
        <v>SUPRIYATI</v>
      </c>
      <c r="G796" s="20" t="str">
        <f>IFERROR(VLOOKUP($H796,KET!$B:$F,5,0),"")</f>
        <v>GMM</v>
      </c>
      <c r="H796" s="56" t="s">
        <v>118</v>
      </c>
      <c r="I796" s="32">
        <v>40</v>
      </c>
      <c r="J796" s="32">
        <v>38</v>
      </c>
      <c r="K796" s="34">
        <v>44</v>
      </c>
      <c r="L796" s="34">
        <v>160</v>
      </c>
      <c r="M796" s="33">
        <f t="shared" si="35"/>
        <v>282</v>
      </c>
      <c r="N796" s="32">
        <v>0</v>
      </c>
      <c r="O796" s="32">
        <v>20</v>
      </c>
      <c r="P796" s="34">
        <v>2</v>
      </c>
      <c r="Q796" s="34">
        <v>46</v>
      </c>
      <c r="R796" s="33">
        <f t="shared" si="36"/>
        <v>68</v>
      </c>
      <c r="S796">
        <v>80</v>
      </c>
      <c r="T796">
        <v>36</v>
      </c>
      <c r="U796">
        <v>84</v>
      </c>
      <c r="V796">
        <v>228</v>
      </c>
      <c r="W796">
        <v>428</v>
      </c>
    </row>
    <row r="797" spans="1:23" x14ac:dyDescent="0.3">
      <c r="A797" s="19">
        <v>34</v>
      </c>
      <c r="B797" s="20" t="s">
        <v>123</v>
      </c>
      <c r="C797" s="21">
        <v>46252</v>
      </c>
      <c r="D797" s="20" t="str">
        <f>IFERROR(VLOOKUP($H797,KET!$B:$F,2,0),"")</f>
        <v>GRSM 3A</v>
      </c>
      <c r="E797" s="20" t="str">
        <f>IFERROR(VLOOKUP($H797,KET!$B:$F,3,0),"")</f>
        <v>CIANJUR</v>
      </c>
      <c r="F797" s="20" t="str">
        <f>IFERROR(VLOOKUP($H797,KET!$B:$F,4,0),"")</f>
        <v>FAHMI LUKMANUL HAKIM</v>
      </c>
      <c r="G797" s="20" t="str">
        <f>IFERROR(VLOOKUP($H797,KET!$B:$F,5,0),"")</f>
        <v>GMM</v>
      </c>
      <c r="H797" s="56" t="s">
        <v>102</v>
      </c>
      <c r="I797" s="32">
        <v>50</v>
      </c>
      <c r="J797" s="32">
        <v>870</v>
      </c>
      <c r="K797" s="34">
        <v>288</v>
      </c>
      <c r="L797" s="34">
        <v>1930</v>
      </c>
      <c r="M797" s="33">
        <f t="shared" si="35"/>
        <v>3138</v>
      </c>
      <c r="N797" s="32">
        <v>24</v>
      </c>
      <c r="O797" s="32">
        <v>800</v>
      </c>
      <c r="P797" s="34">
        <v>254</v>
      </c>
      <c r="Q797" s="34">
        <v>1238</v>
      </c>
      <c r="R797" s="33">
        <f t="shared" si="36"/>
        <v>2316</v>
      </c>
      <c r="S797">
        <v>48</v>
      </c>
      <c r="T797">
        <v>140</v>
      </c>
      <c r="U797">
        <v>68</v>
      </c>
      <c r="V797">
        <v>1380</v>
      </c>
      <c r="W797">
        <v>1636</v>
      </c>
    </row>
    <row r="798" spans="1:23" x14ac:dyDescent="0.3">
      <c r="A798" s="19">
        <v>34</v>
      </c>
      <c r="B798" s="20" t="s">
        <v>123</v>
      </c>
      <c r="C798" s="21">
        <v>46255</v>
      </c>
      <c r="D798" s="20" t="str">
        <f>IFERROR(VLOOKUP($H798,KET!$B:$F,2,0),"")</f>
        <v>GRSM 3A</v>
      </c>
      <c r="E798" s="20" t="str">
        <f>IFERROR(VLOOKUP($H798,KET!$B:$F,3,0),"")</f>
        <v>CIANJUR</v>
      </c>
      <c r="F798" s="20" t="str">
        <f>IFERROR(VLOOKUP($H798,KET!$B:$F,4,0),"")</f>
        <v>FAHMI LUKMANUL HAKIM</v>
      </c>
      <c r="G798" s="20" t="str">
        <f>IFERROR(VLOOKUP($H798,KET!$B:$F,5,0),"")</f>
        <v>GMM</v>
      </c>
      <c r="H798" s="56" t="s">
        <v>102</v>
      </c>
      <c r="I798" s="32">
        <v>20</v>
      </c>
      <c r="J798" s="32">
        <v>593</v>
      </c>
      <c r="K798" s="34">
        <v>122</v>
      </c>
      <c r="L798" s="34">
        <v>1112</v>
      </c>
      <c r="M798" s="33">
        <f t="shared" si="35"/>
        <v>1847</v>
      </c>
      <c r="N798" s="32">
        <v>2</v>
      </c>
      <c r="O798" s="32">
        <v>530</v>
      </c>
      <c r="P798" s="34">
        <v>44</v>
      </c>
      <c r="Q798" s="34">
        <v>1004</v>
      </c>
      <c r="R798" s="33">
        <f t="shared" si="36"/>
        <v>1580</v>
      </c>
      <c r="S798">
        <v>36</v>
      </c>
      <c r="T798">
        <v>126</v>
      </c>
      <c r="U798">
        <v>154</v>
      </c>
      <c r="V798">
        <v>216</v>
      </c>
      <c r="W798">
        <v>532</v>
      </c>
    </row>
    <row r="799" spans="1:23" x14ac:dyDescent="0.3">
      <c r="A799" s="19">
        <v>34</v>
      </c>
      <c r="B799" s="20" t="s">
        <v>123</v>
      </c>
      <c r="C799" s="21">
        <v>46255</v>
      </c>
      <c r="D799" s="20" t="str">
        <f>IFERROR(VLOOKUP($H799,KET!$B:$F,2,0),"")</f>
        <v>GRSM 4</v>
      </c>
      <c r="E799" s="20" t="str">
        <f>IFERROR(VLOOKUP($H799,KET!$B:$F,3,0),"")</f>
        <v>TASIKMALAYA</v>
      </c>
      <c r="F799" s="20" t="str">
        <f>IFERROR(VLOOKUP($H799,KET!$B:$F,4,0),"")</f>
        <v>FAHMI LUKMANUL HAKIM</v>
      </c>
      <c r="G799" s="20" t="str">
        <f>IFERROR(VLOOKUP($H799,KET!$B:$F,5,0),"")</f>
        <v>NKA</v>
      </c>
      <c r="H799" s="56" t="s">
        <v>87</v>
      </c>
      <c r="I799" s="32">
        <v>945</v>
      </c>
      <c r="J799" s="32">
        <v>960</v>
      </c>
      <c r="K799" s="34">
        <v>1247</v>
      </c>
      <c r="L799" s="34">
        <v>1264</v>
      </c>
      <c r="M799" s="33">
        <f t="shared" si="35"/>
        <v>4416</v>
      </c>
      <c r="N799" s="32">
        <v>867</v>
      </c>
      <c r="O799" s="32">
        <v>876</v>
      </c>
      <c r="P799" s="34">
        <v>1166</v>
      </c>
      <c r="Q799" s="34">
        <v>1162</v>
      </c>
      <c r="R799" s="33">
        <f t="shared" si="36"/>
        <v>4071</v>
      </c>
      <c r="S799">
        <v>150</v>
      </c>
      <c r="T799">
        <v>165</v>
      </c>
      <c r="U799">
        <v>159</v>
      </c>
      <c r="V799">
        <v>198</v>
      </c>
      <c r="W799">
        <v>672</v>
      </c>
    </row>
    <row r="800" spans="1:23" x14ac:dyDescent="0.3">
      <c r="A800" s="19">
        <v>34</v>
      </c>
      <c r="B800" s="20" t="s">
        <v>123</v>
      </c>
      <c r="C800" s="21">
        <v>46255</v>
      </c>
      <c r="D800" s="20" t="str">
        <f>IFERROR(VLOOKUP($H800,KET!$B:$F,2,0),"")</f>
        <v>GRSM 4</v>
      </c>
      <c r="E800" s="20" t="str">
        <f>IFERROR(VLOOKUP($H800,KET!$B:$F,3,0),"")</f>
        <v>CIAMIS</v>
      </c>
      <c r="F800" s="20" t="str">
        <f>IFERROR(VLOOKUP($H800,KET!$B:$F,4,0),"")</f>
        <v>FAHMI LUKMANUL HAKIM</v>
      </c>
      <c r="G800" s="20" t="str">
        <f>IFERROR(VLOOKUP($H800,KET!$B:$F,5,0),"")</f>
        <v>GMM</v>
      </c>
      <c r="H800" s="56" t="s">
        <v>95</v>
      </c>
      <c r="I800" s="32">
        <v>0</v>
      </c>
      <c r="J800" s="32">
        <v>26</v>
      </c>
      <c r="K800" s="34">
        <v>363</v>
      </c>
      <c r="L800" s="34">
        <v>0</v>
      </c>
      <c r="M800" s="33">
        <f t="shared" si="35"/>
        <v>389</v>
      </c>
      <c r="N800" s="32">
        <v>0</v>
      </c>
      <c r="O800" s="32">
        <v>0</v>
      </c>
      <c r="P800" s="34">
        <v>242</v>
      </c>
      <c r="Q800" s="34">
        <v>0</v>
      </c>
      <c r="R800" s="33">
        <f t="shared" si="36"/>
        <v>242</v>
      </c>
      <c r="S800">
        <v>0</v>
      </c>
      <c r="T800">
        <v>52</v>
      </c>
      <c r="U800">
        <v>242</v>
      </c>
      <c r="V800">
        <v>0</v>
      </c>
      <c r="W800">
        <v>294</v>
      </c>
    </row>
    <row r="801" spans="1:23" x14ac:dyDescent="0.3">
      <c r="A801" s="19">
        <v>34</v>
      </c>
      <c r="B801" s="20" t="s">
        <v>123</v>
      </c>
      <c r="C801" s="21">
        <v>46255</v>
      </c>
      <c r="D801" s="20" t="str">
        <f>IFERROR(VLOOKUP($H801,KET!$B:$F,2,0),"")</f>
        <v>GRSM 4</v>
      </c>
      <c r="E801" s="20" t="str">
        <f>IFERROR(VLOOKUP($H801,KET!$B:$F,3,0),"")</f>
        <v>TASIK</v>
      </c>
      <c r="F801" s="20" t="str">
        <f>IFERROR(VLOOKUP($H801,KET!$B:$F,4,0),"")</f>
        <v>FAHMI LUKMANUL HAKIM</v>
      </c>
      <c r="G801" s="20" t="str">
        <f>IFERROR(VLOOKUP($H801,KET!$B:$F,5,0),"")</f>
        <v>GMM</v>
      </c>
      <c r="H801" s="56" t="s">
        <v>103</v>
      </c>
      <c r="I801" s="32">
        <v>0</v>
      </c>
      <c r="J801" s="32">
        <v>0</v>
      </c>
      <c r="K801" s="34">
        <v>132</v>
      </c>
      <c r="L801" s="34">
        <v>0</v>
      </c>
      <c r="M801" s="33">
        <f t="shared" si="35"/>
        <v>132</v>
      </c>
      <c r="N801" s="32">
        <v>0</v>
      </c>
      <c r="O801" s="32">
        <v>0</v>
      </c>
      <c r="P801" s="34">
        <v>66</v>
      </c>
      <c r="Q801" s="34">
        <v>0</v>
      </c>
      <c r="R801" s="33">
        <f t="shared" si="36"/>
        <v>66</v>
      </c>
      <c r="S801">
        <v>0</v>
      </c>
      <c r="T801">
        <v>0</v>
      </c>
      <c r="U801">
        <v>138</v>
      </c>
      <c r="V801">
        <v>0</v>
      </c>
      <c r="W801">
        <v>138</v>
      </c>
    </row>
    <row r="802" spans="1:23" x14ac:dyDescent="0.3">
      <c r="A802" s="19">
        <v>34</v>
      </c>
      <c r="B802" s="20" t="s">
        <v>123</v>
      </c>
      <c r="C802" s="21">
        <v>46255</v>
      </c>
      <c r="D802" s="20" t="str">
        <f>IFERROR(VLOOKUP($H802,KET!$B:$F,2,0),"")</f>
        <v>GRSM 4</v>
      </c>
      <c r="E802" s="20" t="str">
        <f>IFERROR(VLOOKUP($H802,KET!$B:$F,3,0),"")</f>
        <v>MAJALAYA</v>
      </c>
      <c r="F802" s="20" t="str">
        <f>IFERROR(VLOOKUP($H802,KET!$B:$F,4,0),"")</f>
        <v>FAHMI LUKMANUL HAKIM</v>
      </c>
      <c r="G802" s="20" t="str">
        <f>IFERROR(VLOOKUP($H802,KET!$B:$F,5,0),"")</f>
        <v>GMM</v>
      </c>
      <c r="H802" s="56" t="s">
        <v>99</v>
      </c>
      <c r="I802" s="32">
        <v>480</v>
      </c>
      <c r="J802" s="32">
        <v>300</v>
      </c>
      <c r="K802" s="34">
        <v>0</v>
      </c>
      <c r="L802" s="34">
        <v>960</v>
      </c>
      <c r="M802" s="33">
        <f t="shared" si="35"/>
        <v>1740</v>
      </c>
      <c r="N802" s="32">
        <v>454</v>
      </c>
      <c r="O802" s="32">
        <v>263</v>
      </c>
      <c r="P802" s="34">
        <v>270</v>
      </c>
      <c r="Q802" s="34">
        <v>855</v>
      </c>
      <c r="R802" s="33">
        <f t="shared" si="36"/>
        <v>1842</v>
      </c>
      <c r="S802">
        <v>51</v>
      </c>
      <c r="T802">
        <v>70</v>
      </c>
      <c r="U802">
        <v>58</v>
      </c>
      <c r="V802">
        <v>207</v>
      </c>
      <c r="W802">
        <v>386</v>
      </c>
    </row>
    <row r="803" spans="1:23" x14ac:dyDescent="0.3">
      <c r="A803" s="19">
        <v>34</v>
      </c>
      <c r="B803" s="20" t="s">
        <v>123</v>
      </c>
      <c r="C803" s="21">
        <v>46255</v>
      </c>
      <c r="D803" s="20" t="str">
        <f>IFERROR(VLOOKUP($H803,KET!$B:$F,2,0),"")</f>
        <v>GRSM 4</v>
      </c>
      <c r="E803" s="20" t="str">
        <f>IFERROR(VLOOKUP($H803,KET!$B:$F,3,0),"")</f>
        <v>TASIKMALAYA</v>
      </c>
      <c r="F803" s="20" t="str">
        <f>IFERROR(VLOOKUP($H803,KET!$B:$F,4,0),"")</f>
        <v>FAHMI LUKMANUL HAKIM</v>
      </c>
      <c r="G803" s="20" t="str">
        <f>IFERROR(VLOOKUP($H803,KET!$B:$F,5,0),"")</f>
        <v>GMM</v>
      </c>
      <c r="H803" s="56" t="s">
        <v>96</v>
      </c>
      <c r="I803" s="32">
        <v>121</v>
      </c>
      <c r="J803" s="32">
        <v>124</v>
      </c>
      <c r="K803" s="34">
        <v>59</v>
      </c>
      <c r="L803" s="34">
        <v>382</v>
      </c>
      <c r="M803" s="33">
        <f t="shared" si="35"/>
        <v>686</v>
      </c>
      <c r="N803" s="32">
        <v>86</v>
      </c>
      <c r="O803" s="32">
        <v>104</v>
      </c>
      <c r="P803" s="34">
        <v>27</v>
      </c>
      <c r="Q803" s="34">
        <v>263</v>
      </c>
      <c r="R803" s="33">
        <f t="shared" si="36"/>
        <v>480</v>
      </c>
      <c r="S803">
        <v>70</v>
      </c>
      <c r="T803">
        <v>40</v>
      </c>
      <c r="U803">
        <v>64</v>
      </c>
      <c r="V803">
        <v>238</v>
      </c>
      <c r="W803">
        <v>412</v>
      </c>
    </row>
    <row r="804" spans="1:23" x14ac:dyDescent="0.3">
      <c r="A804" s="19">
        <v>34</v>
      </c>
      <c r="B804" s="20" t="s">
        <v>123</v>
      </c>
      <c r="C804" s="21">
        <v>46255</v>
      </c>
      <c r="D804" s="20" t="str">
        <f>IFERROR(VLOOKUP($H804,KET!$B:$F,2,0),"")</f>
        <v>GRSM 4</v>
      </c>
      <c r="E804" s="20" t="str">
        <f>IFERROR(VLOOKUP($H804,KET!$B:$F,3,0),"")</f>
        <v>PURWAKARTA</v>
      </c>
      <c r="F804" s="20" t="str">
        <f>IFERROR(VLOOKUP($H804,KET!$B:$F,4,0),"")</f>
        <v>FAHMI LUKMANUL HAKIM</v>
      </c>
      <c r="G804" s="20" t="str">
        <f>IFERROR(VLOOKUP($H804,KET!$B:$F,5,0),"")</f>
        <v>NKA</v>
      </c>
      <c r="H804" s="56" t="s">
        <v>112</v>
      </c>
      <c r="I804" s="32">
        <v>263</v>
      </c>
      <c r="J804" s="32">
        <v>16</v>
      </c>
      <c r="K804" s="34">
        <v>515</v>
      </c>
      <c r="L804" s="34">
        <v>1763</v>
      </c>
      <c r="M804" s="33">
        <f t="shared" si="35"/>
        <v>2557</v>
      </c>
      <c r="N804" s="32">
        <v>177</v>
      </c>
      <c r="O804" s="32">
        <v>0</v>
      </c>
      <c r="P804" s="34">
        <v>335</v>
      </c>
      <c r="Q804" s="34">
        <v>1457</v>
      </c>
      <c r="R804" s="33">
        <f t="shared" si="36"/>
        <v>1969</v>
      </c>
      <c r="S804">
        <v>86</v>
      </c>
      <c r="T804">
        <v>16</v>
      </c>
      <c r="U804">
        <v>180</v>
      </c>
      <c r="V804">
        <v>306</v>
      </c>
      <c r="W804">
        <v>588</v>
      </c>
    </row>
    <row r="805" spans="1:23" x14ac:dyDescent="0.3">
      <c r="A805" s="19">
        <v>34</v>
      </c>
      <c r="B805" s="20" t="s">
        <v>123</v>
      </c>
      <c r="C805" s="21">
        <v>46255</v>
      </c>
      <c r="D805" s="20" t="str">
        <f>IFERROR(VLOOKUP($H805,KET!$B:$F,2,0),"")</f>
        <v>GRSM 4</v>
      </c>
      <c r="E805" s="20" t="str">
        <f>IFERROR(VLOOKUP($H805,KET!$B:$F,3,0),"")</f>
        <v>GARUT</v>
      </c>
      <c r="F805" s="20" t="str">
        <f>IFERROR(VLOOKUP($H805,KET!$B:$F,4,0),"")</f>
        <v>FAHMI LUKMANUL HAKIM</v>
      </c>
      <c r="G805" s="20" t="str">
        <f>IFERROR(VLOOKUP($H805,KET!$B:$F,5,0),"")</f>
        <v>GMM</v>
      </c>
      <c r="H805" s="56" t="s">
        <v>57</v>
      </c>
      <c r="I805" s="32">
        <v>0</v>
      </c>
      <c r="J805" s="32">
        <v>360</v>
      </c>
      <c r="K805" s="34">
        <v>0</v>
      </c>
      <c r="L805" s="34">
        <v>360</v>
      </c>
      <c r="M805" s="33">
        <f t="shared" si="35"/>
        <v>720</v>
      </c>
      <c r="N805" s="32">
        <v>0</v>
      </c>
      <c r="O805" s="32">
        <v>240</v>
      </c>
      <c r="P805" s="34">
        <v>0</v>
      </c>
      <c r="Q805" s="34">
        <v>285</v>
      </c>
      <c r="R805" s="33">
        <f t="shared" si="36"/>
        <v>525</v>
      </c>
      <c r="S805">
        <v>0</v>
      </c>
      <c r="T805">
        <v>238</v>
      </c>
      <c r="U805">
        <v>0</v>
      </c>
      <c r="V805">
        <v>0</v>
      </c>
      <c r="W805">
        <v>238</v>
      </c>
    </row>
    <row r="806" spans="1:23" x14ac:dyDescent="0.3">
      <c r="A806" s="19">
        <v>34</v>
      </c>
      <c r="B806" s="20" t="s">
        <v>123</v>
      </c>
      <c r="C806" s="21">
        <v>46256</v>
      </c>
      <c r="D806" s="20" t="str">
        <f>IFERROR(VLOOKUP($H806,KET!$B:$F,2,0),"")</f>
        <v>GRSM 3A</v>
      </c>
      <c r="E806" s="20" t="str">
        <f>IFERROR(VLOOKUP($H806,KET!$B:$F,3,0),"")</f>
        <v>CIANJUR</v>
      </c>
      <c r="F806" s="20" t="str">
        <f>IFERROR(VLOOKUP($H806,KET!$B:$F,4,0),"")</f>
        <v>FAHMI LUKMANUL HAKIM</v>
      </c>
      <c r="G806" s="20" t="str">
        <f>IFERROR(VLOOKUP($H806,KET!$B:$F,5,0),"")</f>
        <v>GMM</v>
      </c>
      <c r="H806" s="56" t="s">
        <v>102</v>
      </c>
      <c r="I806" s="32">
        <v>2</v>
      </c>
      <c r="J806" s="32">
        <v>525</v>
      </c>
      <c r="K806" s="34">
        <v>0</v>
      </c>
      <c r="L806" s="34">
        <v>1002</v>
      </c>
      <c r="M806" s="33">
        <f t="shared" si="35"/>
        <v>1529</v>
      </c>
      <c r="N806" s="32">
        <v>0</v>
      </c>
      <c r="O806" s="32">
        <v>472</v>
      </c>
      <c r="P806" s="34">
        <v>408</v>
      </c>
      <c r="Q806" s="34">
        <v>954</v>
      </c>
      <c r="R806" s="33">
        <f t="shared" si="36"/>
        <v>1834</v>
      </c>
      <c r="S806">
        <v>4</v>
      </c>
      <c r="T806">
        <v>106</v>
      </c>
      <c r="U806">
        <v>464</v>
      </c>
      <c r="V806">
        <v>96</v>
      </c>
      <c r="W806">
        <v>670</v>
      </c>
    </row>
    <row r="807" spans="1:23" x14ac:dyDescent="0.3">
      <c r="A807" s="19">
        <v>34</v>
      </c>
      <c r="B807" s="20" t="s">
        <v>123</v>
      </c>
      <c r="C807" s="21">
        <v>46256</v>
      </c>
      <c r="D807" s="20" t="str">
        <f>IFERROR(VLOOKUP($H807,KET!$B:$F,2,0),"")</f>
        <v>GRSM 4</v>
      </c>
      <c r="E807" s="20" t="str">
        <f>IFERROR(VLOOKUP($H807,KET!$B:$F,3,0),"")</f>
        <v>GARUT</v>
      </c>
      <c r="F807" s="20" t="str">
        <f>IFERROR(VLOOKUP($H807,KET!$B:$F,4,0),"")</f>
        <v>FAHMI LUKMANUL HAKIM</v>
      </c>
      <c r="G807" s="20" t="str">
        <f>IFERROR(VLOOKUP($H807,KET!$B:$F,5,0),"")</f>
        <v>GMM</v>
      </c>
      <c r="H807" s="56" t="s">
        <v>57</v>
      </c>
      <c r="I807" s="32">
        <v>0</v>
      </c>
      <c r="J807" s="32">
        <v>344</v>
      </c>
      <c r="K807" s="34">
        <v>92</v>
      </c>
      <c r="L807" s="34">
        <v>111</v>
      </c>
      <c r="M807" s="33">
        <f t="shared" si="35"/>
        <v>547</v>
      </c>
      <c r="N807" s="32">
        <v>0</v>
      </c>
      <c r="O807" s="32">
        <v>277</v>
      </c>
      <c r="P807" s="34">
        <v>12</v>
      </c>
      <c r="Q807" s="34">
        <v>59</v>
      </c>
      <c r="R807" s="33">
        <f t="shared" si="36"/>
        <v>348</v>
      </c>
      <c r="S807">
        <v>0</v>
      </c>
      <c r="T807">
        <v>132</v>
      </c>
      <c r="U807">
        <v>155</v>
      </c>
      <c r="V807">
        <v>107</v>
      </c>
      <c r="W807">
        <v>394</v>
      </c>
    </row>
    <row r="808" spans="1:23" x14ac:dyDescent="0.3">
      <c r="A808" s="19">
        <v>34</v>
      </c>
      <c r="B808" s="20" t="s">
        <v>123</v>
      </c>
      <c r="C808" s="21">
        <v>46256</v>
      </c>
      <c r="D808" s="20" t="str">
        <f>IFERROR(VLOOKUP($H808,KET!$B:$F,2,0),"")</f>
        <v>GRSM 4</v>
      </c>
      <c r="E808" s="20" t="str">
        <f>IFERROR(VLOOKUP($H808,KET!$B:$F,3,0),"")</f>
        <v>TASIKMALAYA</v>
      </c>
      <c r="F808" s="20" t="str">
        <f>IFERROR(VLOOKUP($H808,KET!$B:$F,4,0),"")</f>
        <v>FAHMI LUKMANUL HAKIM</v>
      </c>
      <c r="G808" s="20" t="str">
        <f>IFERROR(VLOOKUP($H808,KET!$B:$F,5,0),"")</f>
        <v>NKA</v>
      </c>
      <c r="H808" s="56" t="s">
        <v>87</v>
      </c>
      <c r="I808" s="32">
        <v>786</v>
      </c>
      <c r="J808" s="32">
        <v>795</v>
      </c>
      <c r="K808" s="34">
        <v>1082</v>
      </c>
      <c r="L808" s="34">
        <v>1054</v>
      </c>
      <c r="M808" s="33">
        <f t="shared" si="35"/>
        <v>3717</v>
      </c>
      <c r="N808" s="32">
        <v>702</v>
      </c>
      <c r="O808" s="32">
        <v>705</v>
      </c>
      <c r="P808" s="34">
        <v>995</v>
      </c>
      <c r="Q808" s="34">
        <v>940</v>
      </c>
      <c r="R808" s="33">
        <f t="shared" si="36"/>
        <v>3342</v>
      </c>
      <c r="S808">
        <v>165</v>
      </c>
      <c r="T808">
        <v>171</v>
      </c>
      <c r="U808">
        <v>171</v>
      </c>
      <c r="V808">
        <v>222</v>
      </c>
      <c r="W808">
        <v>729</v>
      </c>
    </row>
    <row r="809" spans="1:23" x14ac:dyDescent="0.3">
      <c r="A809" s="19">
        <v>34</v>
      </c>
      <c r="B809" s="20" t="s">
        <v>123</v>
      </c>
      <c r="C809" s="21">
        <v>46256</v>
      </c>
      <c r="D809" s="20" t="str">
        <f>IFERROR(VLOOKUP($H809,KET!$B:$F,2,0),"")</f>
        <v>GRSM 4</v>
      </c>
      <c r="E809" s="20" t="str">
        <f>IFERROR(VLOOKUP($H809,KET!$B:$F,3,0),"")</f>
        <v>TASIKMALAYA</v>
      </c>
      <c r="F809" s="20" t="str">
        <f>IFERROR(VLOOKUP($H809,KET!$B:$F,4,0),"")</f>
        <v>FAHMI LUKMANUL HAKIM</v>
      </c>
      <c r="G809" s="20" t="str">
        <f>IFERROR(VLOOKUP($H809,KET!$B:$F,5,0),"")</f>
        <v>GMM</v>
      </c>
      <c r="H809" s="56" t="s">
        <v>96</v>
      </c>
      <c r="I809" s="32">
        <v>86</v>
      </c>
      <c r="J809" s="32">
        <v>104</v>
      </c>
      <c r="K809" s="34">
        <v>27</v>
      </c>
      <c r="L809" s="34">
        <v>263</v>
      </c>
      <c r="M809" s="33">
        <f t="shared" si="35"/>
        <v>480</v>
      </c>
      <c r="N809" s="32">
        <v>45</v>
      </c>
      <c r="O809" s="32">
        <v>72</v>
      </c>
      <c r="P809" s="34">
        <v>3</v>
      </c>
      <c r="Q809" s="34">
        <v>147</v>
      </c>
      <c r="R809" s="33">
        <f t="shared" si="36"/>
        <v>267</v>
      </c>
      <c r="S809">
        <v>82</v>
      </c>
      <c r="T809">
        <v>64</v>
      </c>
      <c r="U809">
        <v>48</v>
      </c>
      <c r="V809">
        <v>232</v>
      </c>
      <c r="W809">
        <v>426</v>
      </c>
    </row>
    <row r="810" spans="1:23" x14ac:dyDescent="0.3">
      <c r="A810" s="19">
        <v>34</v>
      </c>
      <c r="B810" s="20" t="s">
        <v>123</v>
      </c>
      <c r="C810" s="21">
        <v>46256</v>
      </c>
      <c r="D810" s="20" t="str">
        <f>IFERROR(VLOOKUP($H810,KET!$B:$F,2,0),"")</f>
        <v>GRSM 4</v>
      </c>
      <c r="E810" s="20" t="str">
        <f>IFERROR(VLOOKUP($H810,KET!$B:$F,3,0),"")</f>
        <v>CIAMIS</v>
      </c>
      <c r="F810" s="20" t="str">
        <f>IFERROR(VLOOKUP($H810,KET!$B:$F,4,0),"")</f>
        <v>FAHMI LUKMANUL HAKIM</v>
      </c>
      <c r="G810" s="20" t="str">
        <f>IFERROR(VLOOKUP($H810,KET!$B:$F,5,0),"")</f>
        <v>GMM</v>
      </c>
      <c r="H810" s="56" t="s">
        <v>95</v>
      </c>
      <c r="I810" s="32">
        <v>0</v>
      </c>
      <c r="J810" s="32">
        <v>1200</v>
      </c>
      <c r="K810" s="34">
        <v>242</v>
      </c>
      <c r="L810" s="34">
        <v>1800</v>
      </c>
      <c r="M810" s="33">
        <f t="shared" si="35"/>
        <v>3242</v>
      </c>
      <c r="N810" s="32">
        <v>0</v>
      </c>
      <c r="O810" s="32">
        <v>0</v>
      </c>
      <c r="P810" s="34">
        <v>0</v>
      </c>
      <c r="Q810" s="34">
        <v>0</v>
      </c>
      <c r="R810" s="33">
        <f t="shared" si="36"/>
        <v>0</v>
      </c>
      <c r="S810">
        <v>0</v>
      </c>
      <c r="T810">
        <v>240</v>
      </c>
      <c r="U810">
        <v>92</v>
      </c>
      <c r="V810">
        <v>360</v>
      </c>
      <c r="W810">
        <v>692</v>
      </c>
    </row>
    <row r="811" spans="1:23" x14ac:dyDescent="0.3">
      <c r="A811" s="19">
        <v>34</v>
      </c>
      <c r="B811" s="20" t="s">
        <v>123</v>
      </c>
      <c r="C811" s="21">
        <v>46256</v>
      </c>
      <c r="D811" s="20" t="str">
        <f>IFERROR(VLOOKUP($H811,KET!$B:$F,2,0),"")</f>
        <v>GRSM 4</v>
      </c>
      <c r="E811" s="20" t="str">
        <f>IFERROR(VLOOKUP($H811,KET!$B:$F,3,0),"")</f>
        <v>MAJALAYA</v>
      </c>
      <c r="F811" s="20" t="str">
        <f>IFERROR(VLOOKUP($H811,KET!$B:$F,4,0),"")</f>
        <v>FAHMI LUKMANUL HAKIM</v>
      </c>
      <c r="G811" s="20" t="str">
        <f>IFERROR(VLOOKUP($H811,KET!$B:$F,5,0),"")</f>
        <v>GMM</v>
      </c>
      <c r="H811" s="56" t="s">
        <v>99</v>
      </c>
      <c r="I811" s="32">
        <v>429</v>
      </c>
      <c r="J811" s="32">
        <v>190</v>
      </c>
      <c r="K811" s="34">
        <v>0</v>
      </c>
      <c r="L811" s="34">
        <v>753</v>
      </c>
      <c r="M811" s="33">
        <f t="shared" si="35"/>
        <v>1372</v>
      </c>
      <c r="N811" s="32">
        <v>399</v>
      </c>
      <c r="O811" s="32">
        <v>263</v>
      </c>
      <c r="P811" s="34">
        <v>209</v>
      </c>
      <c r="Q811" s="34">
        <v>648</v>
      </c>
      <c r="R811" s="33">
        <f t="shared" si="36"/>
        <v>1519</v>
      </c>
      <c r="S811">
        <v>56</v>
      </c>
      <c r="T811">
        <v>83</v>
      </c>
      <c r="U811">
        <v>64</v>
      </c>
      <c r="V811">
        <v>218</v>
      </c>
      <c r="W811">
        <v>421</v>
      </c>
    </row>
    <row r="812" spans="1:23" x14ac:dyDescent="0.3">
      <c r="A812" s="19">
        <v>34</v>
      </c>
      <c r="B812" s="20" t="s">
        <v>123</v>
      </c>
      <c r="C812" s="21">
        <v>46256</v>
      </c>
      <c r="D812" s="20" t="str">
        <f>IFERROR(VLOOKUP($H812,KET!$B:$F,2,0),"")</f>
        <v>GRSM 4</v>
      </c>
      <c r="E812" s="20" t="str">
        <f>IFERROR(VLOOKUP($H812,KET!$B:$F,3,0),"")</f>
        <v>PURWAKARTA</v>
      </c>
      <c r="F812" s="20" t="str">
        <f>IFERROR(VLOOKUP($H812,KET!$B:$F,4,0),"")</f>
        <v>FAHMI LUKMANUL HAKIM</v>
      </c>
      <c r="G812" s="20" t="str">
        <f>IFERROR(VLOOKUP($H812,KET!$B:$F,5,0),"")</f>
        <v>NKA</v>
      </c>
      <c r="H812" s="56" t="s">
        <v>112</v>
      </c>
      <c r="I812" s="32">
        <v>197</v>
      </c>
      <c r="J812" s="32">
        <v>0</v>
      </c>
      <c r="K812" s="34">
        <v>515</v>
      </c>
      <c r="L812" s="34">
        <v>1457</v>
      </c>
      <c r="M812" s="33">
        <f t="shared" si="35"/>
        <v>2169</v>
      </c>
      <c r="N812" s="32">
        <v>109</v>
      </c>
      <c r="O812" s="32">
        <v>0</v>
      </c>
      <c r="P812" s="34">
        <v>319</v>
      </c>
      <c r="Q812" s="34">
        <v>1251</v>
      </c>
      <c r="R812" s="33">
        <f t="shared" si="36"/>
        <v>1679</v>
      </c>
      <c r="S812">
        <v>88</v>
      </c>
      <c r="T812">
        <v>0</v>
      </c>
      <c r="U812">
        <v>196</v>
      </c>
      <c r="V812">
        <v>206</v>
      </c>
      <c r="W812">
        <v>490</v>
      </c>
    </row>
    <row r="813" spans="1:23" x14ac:dyDescent="0.3">
      <c r="A813" s="19">
        <v>34</v>
      </c>
      <c r="B813" s="20" t="s">
        <v>123</v>
      </c>
      <c r="C813" s="21">
        <v>46256</v>
      </c>
      <c r="D813" s="20" t="str">
        <f>IFERROR(VLOOKUP($H813,KET!$B:$F,2,0),"")</f>
        <v>GRSM 4</v>
      </c>
      <c r="E813" s="20" t="str">
        <f>IFERROR(VLOOKUP($H813,KET!$B:$F,3,0),"")</f>
        <v>TASIK</v>
      </c>
      <c r="F813" s="20" t="str">
        <f>IFERROR(VLOOKUP($H813,KET!$B:$F,4,0),"")</f>
        <v>FAHMI LUKMANUL HAKIM</v>
      </c>
      <c r="G813" s="20" t="str">
        <f>IFERROR(VLOOKUP($H813,KET!$B:$F,5,0),"")</f>
        <v>GMM</v>
      </c>
      <c r="H813" s="56" t="s">
        <v>103</v>
      </c>
      <c r="I813" s="32">
        <v>0</v>
      </c>
      <c r="J813" s="32">
        <v>0</v>
      </c>
      <c r="K813" s="34">
        <v>90</v>
      </c>
      <c r="L813" s="34">
        <v>0</v>
      </c>
      <c r="M813" s="33">
        <f t="shared" si="35"/>
        <v>90</v>
      </c>
      <c r="N813" s="32">
        <v>0</v>
      </c>
      <c r="O813" s="32">
        <v>0</v>
      </c>
      <c r="P813" s="34">
        <v>54</v>
      </c>
      <c r="Q813" s="34">
        <v>0</v>
      </c>
      <c r="R813" s="33">
        <f t="shared" si="36"/>
        <v>54</v>
      </c>
      <c r="S813">
        <v>0</v>
      </c>
      <c r="T813">
        <v>0</v>
      </c>
      <c r="U813">
        <v>66</v>
      </c>
      <c r="V813">
        <v>0</v>
      </c>
      <c r="W813">
        <v>66</v>
      </c>
    </row>
    <row r="814" spans="1:23" x14ac:dyDescent="0.3">
      <c r="A814" s="19">
        <v>34</v>
      </c>
      <c r="B814" s="20" t="s">
        <v>123</v>
      </c>
      <c r="C814" s="21">
        <v>46257</v>
      </c>
      <c r="D814" s="20" t="str">
        <f>IFERROR(VLOOKUP($H814,KET!$B:$F,2,0),"")</f>
        <v>GRSM 4</v>
      </c>
      <c r="E814" s="20" t="str">
        <f>IFERROR(VLOOKUP($H814,KET!$B:$F,3,0),"")</f>
        <v>TASIKMALAYA</v>
      </c>
      <c r="F814" s="20" t="str">
        <f>IFERROR(VLOOKUP($H814,KET!$B:$F,4,0),"")</f>
        <v>FAHMI LUKMANUL HAKIM</v>
      </c>
      <c r="G814" s="20" t="str">
        <f>IFERROR(VLOOKUP($H814,KET!$B:$F,5,0),"")</f>
        <v>NKA</v>
      </c>
      <c r="H814" s="56" t="s">
        <v>87</v>
      </c>
      <c r="I814" s="32">
        <v>702</v>
      </c>
      <c r="J814" s="32">
        <v>705</v>
      </c>
      <c r="K814" s="34">
        <v>995</v>
      </c>
      <c r="L814" s="34">
        <v>940</v>
      </c>
      <c r="M814" s="33">
        <f t="shared" si="35"/>
        <v>3342</v>
      </c>
      <c r="N814" s="32">
        <v>615</v>
      </c>
      <c r="O814" s="32">
        <v>621</v>
      </c>
      <c r="P814" s="34">
        <v>917</v>
      </c>
      <c r="Q814" s="34">
        <v>844</v>
      </c>
      <c r="R814" s="33">
        <f t="shared" si="36"/>
        <v>2997</v>
      </c>
      <c r="S814">
        <v>177</v>
      </c>
      <c r="T814">
        <v>167</v>
      </c>
      <c r="U814">
        <v>160</v>
      </c>
      <c r="V814">
        <v>197</v>
      </c>
      <c r="W814">
        <v>701</v>
      </c>
    </row>
    <row r="815" spans="1:23" x14ac:dyDescent="0.3">
      <c r="A815" s="19">
        <v>34</v>
      </c>
      <c r="B815" s="20" t="s">
        <v>123</v>
      </c>
      <c r="C815" s="21">
        <v>46257</v>
      </c>
      <c r="D815" s="20" t="str">
        <f>IFERROR(VLOOKUP($H815,KET!$B:$F,2,0),"")</f>
        <v>GRSM 4</v>
      </c>
      <c r="E815" s="20" t="str">
        <f>IFERROR(VLOOKUP($H815,KET!$B:$F,3,0),"")</f>
        <v>PURWAKARTA</v>
      </c>
      <c r="F815" s="20" t="str">
        <f>IFERROR(VLOOKUP($H815,KET!$B:$F,4,0),"")</f>
        <v>FAHMI LUKMANUL HAKIM</v>
      </c>
      <c r="G815" s="20" t="str">
        <f>IFERROR(VLOOKUP($H815,KET!$B:$F,5,0),"")</f>
        <v>NKA</v>
      </c>
      <c r="H815" s="56" t="s">
        <v>112</v>
      </c>
      <c r="I815" s="32">
        <v>209</v>
      </c>
      <c r="J815" s="32">
        <v>0</v>
      </c>
      <c r="K815" s="34">
        <v>250</v>
      </c>
      <c r="L815" s="34">
        <v>1351</v>
      </c>
      <c r="M815" s="33">
        <f t="shared" si="35"/>
        <v>1810</v>
      </c>
      <c r="N815" s="32">
        <v>71</v>
      </c>
      <c r="O815" s="32">
        <v>0</v>
      </c>
      <c r="P815" s="34">
        <v>169</v>
      </c>
      <c r="Q815" s="34">
        <v>929</v>
      </c>
      <c r="R815" s="33">
        <f t="shared" si="36"/>
        <v>1169</v>
      </c>
      <c r="S815">
        <v>138</v>
      </c>
      <c r="T815">
        <v>0</v>
      </c>
      <c r="U815">
        <v>250</v>
      </c>
      <c r="V815">
        <v>422</v>
      </c>
      <c r="W815">
        <v>810</v>
      </c>
    </row>
    <row r="816" spans="1:23" x14ac:dyDescent="0.3">
      <c r="A816" s="19">
        <v>34</v>
      </c>
      <c r="B816" s="20" t="s">
        <v>123</v>
      </c>
      <c r="C816" s="21">
        <v>46257</v>
      </c>
      <c r="D816" s="20" t="str">
        <f>IFERROR(VLOOKUP($H816,KET!$B:$F,2,0),"")</f>
        <v>GRSM 4</v>
      </c>
      <c r="E816" s="20" t="str">
        <f>IFERROR(VLOOKUP($H816,KET!$B:$F,3,0),"")</f>
        <v>MAJALAYA</v>
      </c>
      <c r="F816" s="20" t="str">
        <f>IFERROR(VLOOKUP($H816,KET!$B:$F,4,0),"")</f>
        <v>FAHMI LUKMANUL HAKIM</v>
      </c>
      <c r="G816" s="20" t="str">
        <f>IFERROR(VLOOKUP($H816,KET!$B:$F,5,0),"")</f>
        <v>GMM</v>
      </c>
      <c r="H816" s="56" t="s">
        <v>99</v>
      </c>
      <c r="I816" s="32">
        <v>372</v>
      </c>
      <c r="J816" s="32">
        <v>220</v>
      </c>
      <c r="K816" s="34">
        <v>0</v>
      </c>
      <c r="L816" s="34">
        <v>535</v>
      </c>
      <c r="M816" s="33">
        <f t="shared" si="35"/>
        <v>1127</v>
      </c>
      <c r="N816" s="32">
        <v>351</v>
      </c>
      <c r="O816" s="32">
        <v>175</v>
      </c>
      <c r="P816" s="34">
        <v>142</v>
      </c>
      <c r="Q816" s="34">
        <v>418</v>
      </c>
      <c r="R816" s="33">
        <f t="shared" si="36"/>
        <v>1086</v>
      </c>
      <c r="S816">
        <v>48</v>
      </c>
      <c r="T816">
        <v>95</v>
      </c>
      <c r="U816">
        <v>66</v>
      </c>
      <c r="V816">
        <v>239</v>
      </c>
      <c r="W816">
        <v>448</v>
      </c>
    </row>
    <row r="817" spans="1:23" x14ac:dyDescent="0.3">
      <c r="A817" s="19">
        <v>34</v>
      </c>
      <c r="B817" s="20" t="s">
        <v>123</v>
      </c>
      <c r="C817" s="21">
        <v>46257</v>
      </c>
      <c r="D817" s="20" t="str">
        <f>IFERROR(VLOOKUP($H817,KET!$B:$F,2,0),"")</f>
        <v>GRSM 4</v>
      </c>
      <c r="E817" s="20" t="str">
        <f>IFERROR(VLOOKUP($H817,KET!$B:$F,3,0),"")</f>
        <v>GARUT</v>
      </c>
      <c r="F817" s="20" t="str">
        <f>IFERROR(VLOOKUP($H817,KET!$B:$F,4,0),"")</f>
        <v>FAHMI LUKMANUL HAKIM</v>
      </c>
      <c r="G817" s="20" t="str">
        <f>IFERROR(VLOOKUP($H817,KET!$B:$F,5,0),"")</f>
        <v>GMM</v>
      </c>
      <c r="H817" s="56" t="s">
        <v>57</v>
      </c>
      <c r="I817" s="32">
        <v>0</v>
      </c>
      <c r="J817" s="32">
        <v>302</v>
      </c>
      <c r="K817" s="34">
        <v>60</v>
      </c>
      <c r="L817" s="34">
        <v>178</v>
      </c>
      <c r="M817" s="33">
        <f t="shared" si="35"/>
        <v>540</v>
      </c>
      <c r="N817" s="32">
        <v>0</v>
      </c>
      <c r="O817" s="32">
        <v>268</v>
      </c>
      <c r="P817" s="34">
        <v>3</v>
      </c>
      <c r="Q817" s="34">
        <v>97</v>
      </c>
      <c r="R817" s="33">
        <f t="shared" si="36"/>
        <v>368</v>
      </c>
      <c r="S817">
        <v>0</v>
      </c>
      <c r="T817">
        <v>68</v>
      </c>
      <c r="U817">
        <v>113</v>
      </c>
      <c r="V817">
        <v>161</v>
      </c>
      <c r="W817">
        <v>342</v>
      </c>
    </row>
    <row r="818" spans="1:23" x14ac:dyDescent="0.3">
      <c r="A818" s="19">
        <v>34</v>
      </c>
      <c r="B818" s="20" t="s">
        <v>123</v>
      </c>
      <c r="C818" s="21">
        <v>46257</v>
      </c>
      <c r="D818" s="20" t="str">
        <f>IFERROR(VLOOKUP($H818,KET!$B:$F,2,0),"")</f>
        <v>GRSM 4</v>
      </c>
      <c r="E818" s="20" t="str">
        <f>IFERROR(VLOOKUP($H818,KET!$B:$F,3,0),"")</f>
        <v>TASIKMALAYA</v>
      </c>
      <c r="F818" s="20" t="str">
        <f>IFERROR(VLOOKUP($H818,KET!$B:$F,4,0),"")</f>
        <v>FAHMI LUKMANUL HAKIM</v>
      </c>
      <c r="G818" s="20" t="str">
        <f>IFERROR(VLOOKUP($H818,KET!$B:$F,5,0),"")</f>
        <v>GMM</v>
      </c>
      <c r="H818" s="56" t="s">
        <v>96</v>
      </c>
      <c r="I818" s="32">
        <v>145</v>
      </c>
      <c r="J818" s="32">
        <v>72</v>
      </c>
      <c r="K818" s="34">
        <v>3</v>
      </c>
      <c r="L818" s="34">
        <v>147</v>
      </c>
      <c r="M818" s="33">
        <f t="shared" si="35"/>
        <v>367</v>
      </c>
      <c r="N818" s="32">
        <v>89</v>
      </c>
      <c r="O818" s="32">
        <v>34</v>
      </c>
      <c r="P818" s="34">
        <v>3</v>
      </c>
      <c r="Q818" s="34">
        <v>40</v>
      </c>
      <c r="R818" s="33">
        <f t="shared" si="36"/>
        <v>166</v>
      </c>
      <c r="S818">
        <v>112</v>
      </c>
      <c r="T818">
        <v>76</v>
      </c>
      <c r="U818">
        <v>48</v>
      </c>
      <c r="V818">
        <v>214</v>
      </c>
      <c r="W818">
        <v>450</v>
      </c>
    </row>
    <row r="819" spans="1:23" x14ac:dyDescent="0.3">
      <c r="A819" s="19">
        <v>34</v>
      </c>
      <c r="B819" s="20" t="s">
        <v>123</v>
      </c>
      <c r="C819" s="21">
        <v>46257</v>
      </c>
      <c r="D819" s="20" t="str">
        <f>IFERROR(VLOOKUP($H819,KET!$B:$F,2,0),"")</f>
        <v>GRSM 4</v>
      </c>
      <c r="E819" s="20" t="str">
        <f>IFERROR(VLOOKUP($H819,KET!$B:$F,3,0),"")</f>
        <v>CIAMIS</v>
      </c>
      <c r="F819" s="20" t="str">
        <f>IFERROR(VLOOKUP($H819,KET!$B:$F,4,0),"")</f>
        <v>FAHMI LUKMANUL HAKIM</v>
      </c>
      <c r="G819" s="20" t="str">
        <f>IFERROR(VLOOKUP($H819,KET!$B:$F,5,0),"")</f>
        <v>GMM</v>
      </c>
      <c r="H819" s="56" t="s">
        <v>95</v>
      </c>
      <c r="I819" s="32">
        <v>0</v>
      </c>
      <c r="J819" s="32">
        <v>1080</v>
      </c>
      <c r="K819" s="34">
        <v>196</v>
      </c>
      <c r="L819" s="34">
        <v>1620</v>
      </c>
      <c r="M819" s="33">
        <f t="shared" si="35"/>
        <v>2896</v>
      </c>
      <c r="N819" s="32">
        <v>0</v>
      </c>
      <c r="O819" s="32">
        <v>1023</v>
      </c>
      <c r="P819" s="34">
        <v>157</v>
      </c>
      <c r="Q819" s="34">
        <v>1530</v>
      </c>
      <c r="R819" s="33">
        <f t="shared" si="36"/>
        <v>2710</v>
      </c>
      <c r="S819">
        <v>0</v>
      </c>
      <c r="T819">
        <v>114</v>
      </c>
      <c r="U819">
        <v>78</v>
      </c>
      <c r="V819">
        <v>180</v>
      </c>
      <c r="W819">
        <v>372</v>
      </c>
    </row>
    <row r="820" spans="1:23" x14ac:dyDescent="0.3">
      <c r="A820" s="19">
        <v>34</v>
      </c>
      <c r="B820" s="20" t="s">
        <v>123</v>
      </c>
      <c r="C820" s="21">
        <v>46257</v>
      </c>
      <c r="D820" s="20" t="str">
        <f>IFERROR(VLOOKUP($H820,KET!$B:$F,2,0),"")</f>
        <v>GRSM 4</v>
      </c>
      <c r="E820" s="20" t="str">
        <f>IFERROR(VLOOKUP($H820,KET!$B:$F,3,0),"")</f>
        <v>TASIK</v>
      </c>
      <c r="F820" s="20" t="str">
        <f>IFERROR(VLOOKUP($H820,KET!$B:$F,4,0),"")</f>
        <v>FAHMI LUKMANUL HAKIM</v>
      </c>
      <c r="G820" s="20" t="str">
        <f>IFERROR(VLOOKUP($H820,KET!$B:$F,5,0),"")</f>
        <v>GMM</v>
      </c>
      <c r="H820" s="56" t="s">
        <v>103</v>
      </c>
      <c r="I820" s="32">
        <v>0</v>
      </c>
      <c r="J820" s="32">
        <v>0</v>
      </c>
      <c r="K820" s="34">
        <v>780</v>
      </c>
      <c r="L820" s="34">
        <v>0</v>
      </c>
      <c r="M820" s="33">
        <f t="shared" si="35"/>
        <v>780</v>
      </c>
      <c r="N820" s="32">
        <v>0</v>
      </c>
      <c r="O820" s="32">
        <v>0</v>
      </c>
      <c r="P820" s="34">
        <v>648</v>
      </c>
      <c r="Q820" s="34">
        <v>0</v>
      </c>
      <c r="R820" s="33">
        <f t="shared" si="36"/>
        <v>648</v>
      </c>
      <c r="S820">
        <v>0</v>
      </c>
      <c r="T820">
        <v>0</v>
      </c>
      <c r="U820">
        <v>246</v>
      </c>
      <c r="V820">
        <v>0</v>
      </c>
      <c r="W820">
        <v>246</v>
      </c>
    </row>
    <row r="821" spans="1:23" x14ac:dyDescent="0.3">
      <c r="A821" s="19">
        <v>34</v>
      </c>
      <c r="B821" s="20" t="s">
        <v>123</v>
      </c>
      <c r="C821" s="21">
        <v>46255</v>
      </c>
      <c r="D821" s="20" t="str">
        <f>IFERROR(VLOOKUP($H821,KET!$B:$F,2,0),"")</f>
        <v>GRSM 7</v>
      </c>
      <c r="E821" s="20" t="str">
        <f>IFERROR(VLOOKUP($H821,KET!$B:$F,3,0),"")</f>
        <v>BALIKPAPAN</v>
      </c>
      <c r="F821" s="20" t="str">
        <f>IFERROR(VLOOKUP($H821,KET!$B:$F,4,0),"")</f>
        <v>INDRI</v>
      </c>
      <c r="G821" s="20" t="str">
        <f>IFERROR(VLOOKUP($H821,KET!$B:$F,5,0),"")</f>
        <v>GMM</v>
      </c>
      <c r="H821" s="56" t="s">
        <v>122</v>
      </c>
      <c r="I821" s="32">
        <v>591</v>
      </c>
      <c r="J821" s="32">
        <v>1240</v>
      </c>
      <c r="K821" s="34">
        <v>606</v>
      </c>
      <c r="L821" s="34">
        <v>368</v>
      </c>
      <c r="M821" s="33">
        <f t="shared" si="35"/>
        <v>2805</v>
      </c>
      <c r="N821" s="32">
        <v>572</v>
      </c>
      <c r="O821" s="32">
        <v>1219</v>
      </c>
      <c r="P821" s="34">
        <v>577</v>
      </c>
      <c r="Q821" s="34">
        <v>312</v>
      </c>
      <c r="R821" s="33">
        <f t="shared" si="36"/>
        <v>2680</v>
      </c>
      <c r="S821">
        <v>38</v>
      </c>
      <c r="T821">
        <v>42</v>
      </c>
      <c r="U821">
        <v>58</v>
      </c>
      <c r="V821">
        <v>112</v>
      </c>
      <c r="W821">
        <v>250</v>
      </c>
    </row>
    <row r="822" spans="1:23" x14ac:dyDescent="0.3">
      <c r="A822" s="19">
        <v>34</v>
      </c>
      <c r="B822" s="20" t="s">
        <v>123</v>
      </c>
      <c r="C822" s="21">
        <v>46255</v>
      </c>
      <c r="D822" s="20" t="str">
        <f>IFERROR(VLOOKUP($H822,KET!$B:$F,2,0),"")</f>
        <v>GRSM 7</v>
      </c>
      <c r="E822" s="20" t="str">
        <f>IFERROR(VLOOKUP($H822,KET!$B:$F,3,0),"")</f>
        <v>BALIKPAPAN</v>
      </c>
      <c r="F822" s="20" t="str">
        <f>IFERROR(VLOOKUP($H822,KET!$B:$F,4,0),"")</f>
        <v>INDRI</v>
      </c>
      <c r="G822" s="20" t="str">
        <f>IFERROR(VLOOKUP($H822,KET!$B:$F,5,0),"")</f>
        <v>GMM</v>
      </c>
      <c r="H822" s="56" t="s">
        <v>120</v>
      </c>
      <c r="I822" s="32">
        <v>152</v>
      </c>
      <c r="J822" s="32">
        <v>251</v>
      </c>
      <c r="K822" s="34">
        <v>202</v>
      </c>
      <c r="L822" s="34">
        <v>264</v>
      </c>
      <c r="M822" s="33">
        <f t="shared" si="35"/>
        <v>869</v>
      </c>
      <c r="N822" s="32">
        <v>132</v>
      </c>
      <c r="O822" s="32">
        <v>225</v>
      </c>
      <c r="P822" s="34">
        <v>180</v>
      </c>
      <c r="Q822" s="34">
        <v>230</v>
      </c>
      <c r="R822" s="33">
        <f t="shared" si="36"/>
        <v>767</v>
      </c>
      <c r="S822">
        <v>40</v>
      </c>
      <c r="T822">
        <v>52</v>
      </c>
      <c r="U822">
        <v>44</v>
      </c>
      <c r="V822">
        <v>68</v>
      </c>
      <c r="W822">
        <v>204</v>
      </c>
    </row>
    <row r="823" spans="1:23" x14ac:dyDescent="0.3">
      <c r="A823" s="19">
        <v>34</v>
      </c>
      <c r="B823" s="20" t="s">
        <v>123</v>
      </c>
      <c r="C823" s="21">
        <v>46255</v>
      </c>
      <c r="D823" s="20" t="str">
        <f>IFERROR(VLOOKUP($H823,KET!$B:$F,2,0),"")</f>
        <v>GRSM 7</v>
      </c>
      <c r="E823" s="20" t="str">
        <f>IFERROR(VLOOKUP($H823,KET!$B:$F,3,0),"")</f>
        <v>SAMARINDA</v>
      </c>
      <c r="F823" s="20" t="str">
        <f>IFERROR(VLOOKUP($H823,KET!$B:$F,4,0),"")</f>
        <v>INDRI</v>
      </c>
      <c r="G823" s="20" t="str">
        <f>IFERROR(VLOOKUP($H823,KET!$B:$F,5,0),"")</f>
        <v>GMM</v>
      </c>
      <c r="H823" s="56" t="s">
        <v>116</v>
      </c>
      <c r="I823" s="32">
        <v>0</v>
      </c>
      <c r="J823" s="32">
        <v>6</v>
      </c>
      <c r="K823" s="34">
        <v>1200</v>
      </c>
      <c r="L823" s="34">
        <v>1080</v>
      </c>
      <c r="M823" s="33">
        <f t="shared" si="35"/>
        <v>2286</v>
      </c>
      <c r="N823" s="32">
        <v>0</v>
      </c>
      <c r="O823" s="32">
        <v>0</v>
      </c>
      <c r="P823" s="34">
        <v>1127</v>
      </c>
      <c r="Q823" s="34">
        <v>960</v>
      </c>
      <c r="R823" s="33">
        <f t="shared" si="36"/>
        <v>2087</v>
      </c>
      <c r="S823">
        <v>0</v>
      </c>
      <c r="T823">
        <v>12</v>
      </c>
      <c r="U823">
        <v>146</v>
      </c>
      <c r="V823">
        <v>240</v>
      </c>
      <c r="W823">
        <v>398</v>
      </c>
    </row>
    <row r="824" spans="1:23" x14ac:dyDescent="0.3">
      <c r="A824" s="19">
        <v>34</v>
      </c>
      <c r="B824" s="20" t="s">
        <v>123</v>
      </c>
      <c r="C824" s="21">
        <v>46255</v>
      </c>
      <c r="D824" s="20" t="str">
        <f>IFERROR(VLOOKUP($H824,KET!$B:$F,2,0),"")</f>
        <v>GRSM 7</v>
      </c>
      <c r="E824" s="20" t="str">
        <f>IFERROR(VLOOKUP($H824,KET!$B:$F,3,0),"")</f>
        <v>BANJARMASIN</v>
      </c>
      <c r="F824" s="20" t="str">
        <f>IFERROR(VLOOKUP($H824,KET!$B:$F,4,0),"")</f>
        <v>INDRI</v>
      </c>
      <c r="G824" s="20" t="str">
        <f>IFERROR(VLOOKUP($H824,KET!$B:$F,5,0),"")</f>
        <v>GMM</v>
      </c>
      <c r="H824" s="56" t="s">
        <v>85</v>
      </c>
      <c r="I824" s="32">
        <v>400</v>
      </c>
      <c r="J824" s="32">
        <v>650</v>
      </c>
      <c r="K824" s="34">
        <v>480</v>
      </c>
      <c r="L824" s="34">
        <v>1380</v>
      </c>
      <c r="M824" s="33">
        <f t="shared" si="35"/>
        <v>2910</v>
      </c>
      <c r="N824" s="32">
        <v>400</v>
      </c>
      <c r="O824" s="32">
        <v>650</v>
      </c>
      <c r="P824" s="34">
        <v>480</v>
      </c>
      <c r="Q824" s="34">
        <v>1220</v>
      </c>
      <c r="R824" s="33">
        <f t="shared" si="36"/>
        <v>2750</v>
      </c>
      <c r="S824">
        <v>30</v>
      </c>
      <c r="T824">
        <v>0</v>
      </c>
      <c r="U824">
        <v>60</v>
      </c>
      <c r="V824">
        <v>480</v>
      </c>
      <c r="W824">
        <v>570</v>
      </c>
    </row>
    <row r="825" spans="1:23" x14ac:dyDescent="0.3">
      <c r="A825" s="19">
        <v>34</v>
      </c>
      <c r="B825" s="20" t="s">
        <v>123</v>
      </c>
      <c r="C825" s="21">
        <v>46256</v>
      </c>
      <c r="D825" s="20" t="str">
        <f>IFERROR(VLOOKUP($H825,KET!$B:$F,2,0),"")</f>
        <v>GRSM 7</v>
      </c>
      <c r="E825" s="20" t="str">
        <f>IFERROR(VLOOKUP($H825,KET!$B:$F,3,0),"")</f>
        <v>BALIKPAPAN</v>
      </c>
      <c r="F825" s="20" t="str">
        <f>IFERROR(VLOOKUP($H825,KET!$B:$F,4,0),"")</f>
        <v>INDRI</v>
      </c>
      <c r="G825" s="20" t="str">
        <f>IFERROR(VLOOKUP($H825,KET!$B:$F,5,0),"")</f>
        <v>GMM</v>
      </c>
      <c r="H825" s="56" t="s">
        <v>122</v>
      </c>
      <c r="I825" s="32">
        <v>572</v>
      </c>
      <c r="J825" s="32">
        <v>1219</v>
      </c>
      <c r="K825" s="34">
        <v>591</v>
      </c>
      <c r="L825" s="34">
        <v>340</v>
      </c>
      <c r="M825" s="33">
        <f t="shared" si="35"/>
        <v>2722</v>
      </c>
      <c r="N825" s="32">
        <v>550</v>
      </c>
      <c r="O825" s="32">
        <v>1194</v>
      </c>
      <c r="P825" s="34">
        <v>581</v>
      </c>
      <c r="Q825" s="34">
        <v>309</v>
      </c>
      <c r="R825" s="33">
        <f t="shared" si="36"/>
        <v>2634</v>
      </c>
      <c r="S825">
        <v>44</v>
      </c>
      <c r="T825">
        <v>50</v>
      </c>
      <c r="U825">
        <v>20</v>
      </c>
      <c r="V825">
        <v>62</v>
      </c>
      <c r="W825">
        <v>176</v>
      </c>
    </row>
    <row r="826" spans="1:23" x14ac:dyDescent="0.3">
      <c r="A826" s="19">
        <v>34</v>
      </c>
      <c r="B826" s="20" t="s">
        <v>123</v>
      </c>
      <c r="C826" s="21">
        <v>46256</v>
      </c>
      <c r="D826" s="20" t="str">
        <f>IFERROR(VLOOKUP($H826,KET!$B:$F,2,0),"")</f>
        <v>GRSM 7</v>
      </c>
      <c r="E826" s="20" t="str">
        <f>IFERROR(VLOOKUP($H826,KET!$B:$F,3,0),"")</f>
        <v>BANJARMASIN</v>
      </c>
      <c r="F826" s="20" t="str">
        <f>IFERROR(VLOOKUP($H826,KET!$B:$F,4,0),"")</f>
        <v>INDRI</v>
      </c>
      <c r="G826" s="20" t="str">
        <f>IFERROR(VLOOKUP($H826,KET!$B:$F,5,0),"")</f>
        <v>GMM</v>
      </c>
      <c r="H826" s="56" t="s">
        <v>85</v>
      </c>
      <c r="I826" s="32">
        <v>400</v>
      </c>
      <c r="J826" s="32">
        <v>650</v>
      </c>
      <c r="K826" s="34">
        <v>480</v>
      </c>
      <c r="L826" s="34">
        <v>1220</v>
      </c>
      <c r="M826" s="33">
        <f t="shared" si="35"/>
        <v>2750</v>
      </c>
      <c r="N826" s="32">
        <v>400</v>
      </c>
      <c r="O826" s="32">
        <v>650</v>
      </c>
      <c r="P826" s="34">
        <v>480</v>
      </c>
      <c r="Q826" s="34">
        <v>1036</v>
      </c>
      <c r="R826" s="33">
        <f t="shared" si="36"/>
        <v>2566</v>
      </c>
      <c r="S826">
        <v>0</v>
      </c>
      <c r="T826">
        <v>0</v>
      </c>
      <c r="U826">
        <v>0</v>
      </c>
      <c r="V826">
        <v>552</v>
      </c>
      <c r="W826">
        <v>552</v>
      </c>
    </row>
    <row r="827" spans="1:23" x14ac:dyDescent="0.3">
      <c r="A827" s="19">
        <v>34</v>
      </c>
      <c r="B827" s="20" t="s">
        <v>123</v>
      </c>
      <c r="C827" s="21">
        <v>46256</v>
      </c>
      <c r="D827" s="20" t="str">
        <f>IFERROR(VLOOKUP($H827,KET!$B:$F,2,0),"")</f>
        <v>GRSM 7</v>
      </c>
      <c r="E827" s="20" t="str">
        <f>IFERROR(VLOOKUP($H827,KET!$B:$F,3,0),"")</f>
        <v>BALIKPAPAN</v>
      </c>
      <c r="F827" s="20" t="str">
        <f>IFERROR(VLOOKUP($H827,KET!$B:$F,4,0),"")</f>
        <v>INDRI</v>
      </c>
      <c r="G827" s="20" t="str">
        <f>IFERROR(VLOOKUP($H827,KET!$B:$F,5,0),"")</f>
        <v>GMM</v>
      </c>
      <c r="H827" s="56" t="s">
        <v>120</v>
      </c>
      <c r="I827" s="32">
        <v>132</v>
      </c>
      <c r="J827" s="32">
        <v>225</v>
      </c>
      <c r="K827" s="34">
        <v>180</v>
      </c>
      <c r="L827" s="34">
        <v>170</v>
      </c>
      <c r="M827" s="33">
        <f t="shared" si="35"/>
        <v>707</v>
      </c>
      <c r="N827" s="32">
        <v>120</v>
      </c>
      <c r="O827" s="32">
        <v>200</v>
      </c>
      <c r="P827" s="34">
        <v>165</v>
      </c>
      <c r="Q827" s="34">
        <v>200</v>
      </c>
      <c r="R827" s="33">
        <f t="shared" si="36"/>
        <v>685</v>
      </c>
      <c r="S827">
        <v>24</v>
      </c>
      <c r="T827">
        <v>50</v>
      </c>
      <c r="U827">
        <v>30</v>
      </c>
      <c r="V827">
        <v>120</v>
      </c>
      <c r="W827">
        <v>224</v>
      </c>
    </row>
    <row r="828" spans="1:23" x14ac:dyDescent="0.3">
      <c r="A828" s="19">
        <v>34</v>
      </c>
      <c r="B828" s="20" t="s">
        <v>123</v>
      </c>
      <c r="C828" s="21">
        <v>46256</v>
      </c>
      <c r="D828" s="20" t="str">
        <f>IFERROR(VLOOKUP($H828,KET!$B:$F,2,0),"")</f>
        <v>GRSM 7</v>
      </c>
      <c r="E828" s="20" t="str">
        <f>IFERROR(VLOOKUP($H828,KET!$B:$F,3,0),"")</f>
        <v>SAMARINDA</v>
      </c>
      <c r="F828" s="20" t="str">
        <f>IFERROR(VLOOKUP($H828,KET!$B:$F,4,0),"")</f>
        <v>INDRI</v>
      </c>
      <c r="G828" s="20" t="str">
        <f>IFERROR(VLOOKUP($H828,KET!$B:$F,5,0),"")</f>
        <v>GMM</v>
      </c>
      <c r="H828" s="56" t="s">
        <v>116</v>
      </c>
      <c r="I828" s="32">
        <v>0</v>
      </c>
      <c r="J828" s="32">
        <v>6</v>
      </c>
      <c r="K828" s="34">
        <v>1200</v>
      </c>
      <c r="L828" s="34">
        <v>1080</v>
      </c>
      <c r="M828" s="33">
        <f t="shared" si="35"/>
        <v>2286</v>
      </c>
      <c r="N828" s="32">
        <v>0</v>
      </c>
      <c r="O828" s="32">
        <v>0</v>
      </c>
      <c r="P828" s="34">
        <v>1127</v>
      </c>
      <c r="Q828" s="34">
        <v>960</v>
      </c>
      <c r="R828" s="33">
        <f t="shared" si="36"/>
        <v>2087</v>
      </c>
      <c r="S828">
        <v>0</v>
      </c>
      <c r="T828">
        <v>12</v>
      </c>
      <c r="U828">
        <v>146</v>
      </c>
      <c r="V828">
        <v>240</v>
      </c>
      <c r="W828">
        <v>398</v>
      </c>
    </row>
    <row r="829" spans="1:23" x14ac:dyDescent="0.3">
      <c r="A829" s="19">
        <v>34</v>
      </c>
      <c r="B829" s="20" t="s">
        <v>123</v>
      </c>
      <c r="C829" s="21">
        <v>46257</v>
      </c>
      <c r="D829" s="20" t="str">
        <f>IFERROR(VLOOKUP($H829,KET!$B:$F,2,0),"")</f>
        <v>GRSM 7</v>
      </c>
      <c r="E829" s="20" t="str">
        <f>IFERROR(VLOOKUP($H829,KET!$B:$F,3,0),"")</f>
        <v>BALIKPAPAN</v>
      </c>
      <c r="F829" s="20" t="str">
        <f>IFERROR(VLOOKUP($H829,KET!$B:$F,4,0),"")</f>
        <v>INDRI</v>
      </c>
      <c r="G829" s="20" t="str">
        <f>IFERROR(VLOOKUP($H829,KET!$B:$F,5,0),"")</f>
        <v>GMM</v>
      </c>
      <c r="H829" s="56" t="s">
        <v>122</v>
      </c>
      <c r="I829" s="32">
        <v>550</v>
      </c>
      <c r="J829" s="32">
        <v>1169</v>
      </c>
      <c r="K829" s="34">
        <v>581</v>
      </c>
      <c r="L829" s="34">
        <v>309</v>
      </c>
      <c r="M829" s="33">
        <f t="shared" si="35"/>
        <v>2609</v>
      </c>
      <c r="N829" s="32">
        <v>539</v>
      </c>
      <c r="O829" s="32">
        <v>1194</v>
      </c>
      <c r="P829" s="34">
        <v>566</v>
      </c>
      <c r="Q829" s="34">
        <v>271</v>
      </c>
      <c r="R829" s="33">
        <f t="shared" si="36"/>
        <v>2570</v>
      </c>
      <c r="S829">
        <v>22</v>
      </c>
      <c r="T829">
        <v>50</v>
      </c>
      <c r="U829">
        <v>30</v>
      </c>
      <c r="V829">
        <v>76</v>
      </c>
      <c r="W829">
        <v>178</v>
      </c>
    </row>
    <row r="830" spans="1:23" x14ac:dyDescent="0.3">
      <c r="A830" s="19">
        <v>34</v>
      </c>
      <c r="B830" s="20" t="s">
        <v>123</v>
      </c>
      <c r="C830" s="21">
        <v>46257</v>
      </c>
      <c r="D830" s="20" t="str">
        <f>IFERROR(VLOOKUP($H830,KET!$B:$F,2,0),"")</f>
        <v>GRSM 7</v>
      </c>
      <c r="E830" s="20" t="str">
        <f>IFERROR(VLOOKUP($H830,KET!$B:$F,3,0),"")</f>
        <v>BANJARMASIN</v>
      </c>
      <c r="F830" s="20" t="str">
        <f>IFERROR(VLOOKUP($H830,KET!$B:$F,4,0),"")</f>
        <v>INDRI</v>
      </c>
      <c r="G830" s="20" t="str">
        <f>IFERROR(VLOOKUP($H830,KET!$B:$F,5,0),"")</f>
        <v>GMM</v>
      </c>
      <c r="H830" s="56" t="s">
        <v>85</v>
      </c>
      <c r="I830" s="32">
        <v>400</v>
      </c>
      <c r="J830" s="32">
        <v>650</v>
      </c>
      <c r="K830" s="34">
        <v>480</v>
      </c>
      <c r="L830" s="34">
        <v>1220</v>
      </c>
      <c r="M830" s="33">
        <f t="shared" si="35"/>
        <v>2750</v>
      </c>
      <c r="N830" s="32">
        <v>400</v>
      </c>
      <c r="O830" s="32">
        <v>630</v>
      </c>
      <c r="P830" s="34">
        <v>466</v>
      </c>
      <c r="Q830" s="34">
        <v>1072</v>
      </c>
      <c r="R830" s="33">
        <f t="shared" si="36"/>
        <v>2568</v>
      </c>
      <c r="S830">
        <v>0</v>
      </c>
      <c r="T830">
        <v>60</v>
      </c>
      <c r="U830">
        <v>42</v>
      </c>
      <c r="V830">
        <v>444</v>
      </c>
      <c r="W830">
        <v>546</v>
      </c>
    </row>
    <row r="831" spans="1:23" x14ac:dyDescent="0.3">
      <c r="A831" s="19">
        <v>34</v>
      </c>
      <c r="B831" s="20" t="s">
        <v>123</v>
      </c>
      <c r="C831" s="21">
        <v>46257</v>
      </c>
      <c r="D831" s="20" t="str">
        <f>IFERROR(VLOOKUP($H831,KET!$B:$F,2,0),"")</f>
        <v>GRSM 7</v>
      </c>
      <c r="E831" s="20" t="str">
        <f>IFERROR(VLOOKUP($H831,KET!$B:$F,3,0),"")</f>
        <v>SAMARINDA</v>
      </c>
      <c r="F831" s="20" t="str">
        <f>IFERROR(VLOOKUP($H831,KET!$B:$F,4,0),"")</f>
        <v>INDRI</v>
      </c>
      <c r="G831" s="20" t="str">
        <f>IFERROR(VLOOKUP($H831,KET!$B:$F,5,0),"")</f>
        <v>GMM</v>
      </c>
      <c r="H831" s="56" t="s">
        <v>116</v>
      </c>
      <c r="I831" s="32">
        <v>0</v>
      </c>
      <c r="J831" s="32">
        <v>525</v>
      </c>
      <c r="K831" s="34">
        <v>682</v>
      </c>
      <c r="L831" s="34">
        <v>1854</v>
      </c>
      <c r="M831" s="33">
        <f t="shared" si="35"/>
        <v>3061</v>
      </c>
      <c r="N831" s="32">
        <v>0</v>
      </c>
      <c r="O831" s="32">
        <v>228</v>
      </c>
      <c r="P831" s="34">
        <v>622</v>
      </c>
      <c r="Q831" s="34">
        <v>1677</v>
      </c>
      <c r="R831" s="33">
        <f t="shared" si="36"/>
        <v>2527</v>
      </c>
      <c r="S831">
        <v>0</v>
      </c>
      <c r="T831">
        <v>180</v>
      </c>
      <c r="U831">
        <v>168</v>
      </c>
      <c r="V831">
        <v>276</v>
      </c>
      <c r="W831">
        <v>624</v>
      </c>
    </row>
    <row r="832" spans="1:23" x14ac:dyDescent="0.3">
      <c r="A832" s="19">
        <v>34</v>
      </c>
      <c r="B832" s="20" t="s">
        <v>123</v>
      </c>
      <c r="C832" s="21">
        <v>46257</v>
      </c>
      <c r="D832" s="20" t="str">
        <f>IFERROR(VLOOKUP($H832,KET!$B:$F,2,0),"")</f>
        <v>GRSM 7</v>
      </c>
      <c r="E832" s="20" t="str">
        <f>IFERROR(VLOOKUP($H832,KET!$B:$F,3,0),"")</f>
        <v>BALIKPAPAN</v>
      </c>
      <c r="F832" s="20" t="str">
        <f>IFERROR(VLOOKUP($H832,KET!$B:$F,4,0),"")</f>
        <v>INDRI</v>
      </c>
      <c r="G832" s="20" t="str">
        <f>IFERROR(VLOOKUP($H832,KET!$B:$F,5,0),"")</f>
        <v>GMM</v>
      </c>
      <c r="H832" s="56" t="s">
        <v>120</v>
      </c>
      <c r="I832" s="32">
        <v>120</v>
      </c>
      <c r="J832" s="32">
        <v>200</v>
      </c>
      <c r="K832" s="34">
        <v>165</v>
      </c>
      <c r="L832" s="34">
        <v>200</v>
      </c>
      <c r="M832" s="33">
        <f t="shared" si="35"/>
        <v>685</v>
      </c>
      <c r="N832" s="32">
        <v>105</v>
      </c>
      <c r="O832" s="32">
        <v>180</v>
      </c>
      <c r="P832" s="34">
        <v>145</v>
      </c>
      <c r="Q832" s="34">
        <v>165</v>
      </c>
      <c r="R832" s="33">
        <f t="shared" si="36"/>
        <v>595</v>
      </c>
      <c r="S832">
        <v>30</v>
      </c>
      <c r="T832">
        <v>40</v>
      </c>
      <c r="U832">
        <v>40</v>
      </c>
      <c r="V832">
        <v>70</v>
      </c>
      <c r="W832">
        <v>180</v>
      </c>
    </row>
    <row r="833" spans="1:23" x14ac:dyDescent="0.3">
      <c r="A833" s="19">
        <v>34</v>
      </c>
      <c r="B833" s="20" t="s">
        <v>123</v>
      </c>
      <c r="C833" s="21">
        <v>46255</v>
      </c>
      <c r="D833" s="20" t="str">
        <f>IFERROR(VLOOKUP($H833,KET!$B:$F,2,0),"")</f>
        <v>GRSM 6</v>
      </c>
      <c r="E833" s="20" t="str">
        <f>IFERROR(VLOOKUP($H833,KET!$B:$F,3,0),"")</f>
        <v>KEDIRI</v>
      </c>
      <c r="F833" s="20" t="str">
        <f>IFERROR(VLOOKUP($H833,KET!$B:$F,4,0),"")</f>
        <v>MARTIKA MINTOROWATI</v>
      </c>
      <c r="G833" s="20" t="str">
        <f>IFERROR(VLOOKUP($H833,KET!$B:$F,5,0),"")</f>
        <v>GMM</v>
      </c>
      <c r="H833" s="56" t="s">
        <v>109</v>
      </c>
      <c r="I833" s="32">
        <v>166</v>
      </c>
      <c r="J833" s="32">
        <v>619</v>
      </c>
      <c r="K833" s="34">
        <v>0</v>
      </c>
      <c r="L833" s="34">
        <v>801</v>
      </c>
      <c r="M833" s="33">
        <f t="shared" si="35"/>
        <v>1586</v>
      </c>
      <c r="N833" s="32">
        <v>115</v>
      </c>
      <c r="O833" s="32">
        <v>418</v>
      </c>
      <c r="P833" s="34">
        <v>0</v>
      </c>
      <c r="Q833" s="34">
        <v>612</v>
      </c>
      <c r="R833" s="33">
        <f t="shared" si="36"/>
        <v>1145</v>
      </c>
      <c r="S833">
        <v>102</v>
      </c>
      <c r="T833">
        <v>402</v>
      </c>
      <c r="U833">
        <v>0</v>
      </c>
      <c r="V833">
        <v>378</v>
      </c>
      <c r="W833">
        <v>882</v>
      </c>
    </row>
    <row r="834" spans="1:23" x14ac:dyDescent="0.3">
      <c r="A834" s="19">
        <v>34</v>
      </c>
      <c r="B834" s="20" t="s">
        <v>123</v>
      </c>
      <c r="C834" s="21">
        <v>46255</v>
      </c>
      <c r="D834" s="20" t="s">
        <v>45</v>
      </c>
      <c r="E834" s="20" t="s">
        <v>89</v>
      </c>
      <c r="F834" s="20" t="s">
        <v>90</v>
      </c>
      <c r="G834" s="20" t="s">
        <v>42</v>
      </c>
      <c r="H834" s="56" t="s">
        <v>127</v>
      </c>
      <c r="I834" s="32">
        <v>600</v>
      </c>
      <c r="J834" s="32">
        <v>600</v>
      </c>
      <c r="K834" s="34">
        <v>600</v>
      </c>
      <c r="L834" s="34">
        <v>1200</v>
      </c>
      <c r="M834" s="33">
        <f t="shared" si="35"/>
        <v>3000</v>
      </c>
      <c r="N834" s="32">
        <v>560</v>
      </c>
      <c r="O834" s="32">
        <v>535</v>
      </c>
      <c r="P834" s="34">
        <v>504</v>
      </c>
      <c r="Q834" s="34">
        <v>860</v>
      </c>
      <c r="R834" s="33">
        <f t="shared" si="36"/>
        <v>2459</v>
      </c>
      <c r="S834">
        <v>80</v>
      </c>
      <c r="T834">
        <v>130</v>
      </c>
      <c r="U834">
        <v>192</v>
      </c>
      <c r="V834">
        <v>680</v>
      </c>
      <c r="W834">
        <v>1082</v>
      </c>
    </row>
    <row r="835" spans="1:23" x14ac:dyDescent="0.3">
      <c r="A835" s="19">
        <v>34</v>
      </c>
      <c r="B835" s="20" t="s">
        <v>123</v>
      </c>
      <c r="C835" s="21">
        <v>46255</v>
      </c>
      <c r="D835" s="20" t="s">
        <v>45</v>
      </c>
      <c r="E835" s="20" t="s">
        <v>89</v>
      </c>
      <c r="F835" s="20" t="s">
        <v>90</v>
      </c>
      <c r="G835" s="20" t="s">
        <v>42</v>
      </c>
      <c r="H835" s="56" t="s">
        <v>127</v>
      </c>
      <c r="I835" s="32">
        <v>600</v>
      </c>
      <c r="J835" s="32">
        <v>600</v>
      </c>
      <c r="K835" s="34">
        <v>600</v>
      </c>
      <c r="L835" s="34">
        <v>1200</v>
      </c>
      <c r="M835" s="33">
        <f t="shared" si="35"/>
        <v>3000</v>
      </c>
      <c r="N835" s="32">
        <v>560</v>
      </c>
      <c r="O835" s="32">
        <v>535</v>
      </c>
      <c r="P835" s="34">
        <v>504</v>
      </c>
      <c r="Q835" s="34">
        <v>860</v>
      </c>
      <c r="R835" s="33">
        <f t="shared" si="36"/>
        <v>2459</v>
      </c>
      <c r="S835">
        <v>80</v>
      </c>
      <c r="T835">
        <v>130</v>
      </c>
      <c r="U835">
        <v>192</v>
      </c>
      <c r="V835">
        <v>680</v>
      </c>
      <c r="W835">
        <v>1082</v>
      </c>
    </row>
    <row r="836" spans="1:23" x14ac:dyDescent="0.3">
      <c r="A836" s="19">
        <v>34</v>
      </c>
      <c r="B836" s="20" t="s">
        <v>123</v>
      </c>
      <c r="C836" s="21">
        <v>46255</v>
      </c>
      <c r="D836" s="20" t="str">
        <f>IFERROR(VLOOKUP($H836,KET!$B:$F,2,0),"")</f>
        <v>GRSM 6</v>
      </c>
      <c r="E836" s="20" t="str">
        <f>IFERROR(VLOOKUP($H836,KET!$B:$F,3,0),"")</f>
        <v>NGANJUK</v>
      </c>
      <c r="F836" s="20" t="str">
        <f>IFERROR(VLOOKUP($H836,KET!$B:$F,4,0),"")</f>
        <v>MARTIKA MINTOROWATI</v>
      </c>
      <c r="G836" s="20" t="str">
        <f>IFERROR(VLOOKUP($H836,KET!$B:$F,5,0),"")</f>
        <v>GMM</v>
      </c>
      <c r="H836" s="56" t="s">
        <v>106</v>
      </c>
      <c r="I836" s="32">
        <v>2340</v>
      </c>
      <c r="J836" s="32">
        <v>1020</v>
      </c>
      <c r="K836" s="34">
        <v>1500</v>
      </c>
      <c r="L836" s="34">
        <v>1140</v>
      </c>
      <c r="M836" s="33">
        <f t="shared" si="35"/>
        <v>6000</v>
      </c>
      <c r="N836" s="32">
        <v>2292</v>
      </c>
      <c r="O836" s="32">
        <v>960</v>
      </c>
      <c r="P836" s="34">
        <v>1398</v>
      </c>
      <c r="Q836" s="34">
        <v>972</v>
      </c>
      <c r="R836" s="33">
        <f t="shared" si="36"/>
        <v>5622</v>
      </c>
      <c r="S836">
        <v>32</v>
      </c>
      <c r="T836">
        <v>40</v>
      </c>
      <c r="U836">
        <v>68</v>
      </c>
      <c r="V836">
        <v>112</v>
      </c>
      <c r="W836">
        <v>252</v>
      </c>
    </row>
    <row r="837" spans="1:23" x14ac:dyDescent="0.3">
      <c r="A837" s="19">
        <v>34</v>
      </c>
      <c r="B837" s="20" t="s">
        <v>123</v>
      </c>
      <c r="C837" s="21">
        <v>46255</v>
      </c>
      <c r="D837" s="20" t="s">
        <v>45</v>
      </c>
      <c r="E837" s="20" t="s">
        <v>105</v>
      </c>
      <c r="F837" s="20" t="s">
        <v>90</v>
      </c>
      <c r="G837" s="20" t="s">
        <v>42</v>
      </c>
      <c r="H837" s="56" t="s">
        <v>128</v>
      </c>
      <c r="I837" s="32">
        <v>111</v>
      </c>
      <c r="J837" s="32">
        <v>1860</v>
      </c>
      <c r="K837" s="34">
        <v>2130</v>
      </c>
      <c r="L837" s="34">
        <v>4650</v>
      </c>
      <c r="M837" s="33">
        <f t="shared" si="35"/>
        <v>8751</v>
      </c>
      <c r="N837" s="32">
        <v>96</v>
      </c>
      <c r="O837" s="32">
        <v>1794</v>
      </c>
      <c r="P837" s="34">
        <v>2055</v>
      </c>
      <c r="Q837" s="34">
        <v>4386</v>
      </c>
      <c r="R837" s="33">
        <f t="shared" si="36"/>
        <v>8331</v>
      </c>
      <c r="S837">
        <v>8</v>
      </c>
      <c r="T837">
        <v>62</v>
      </c>
      <c r="U837">
        <v>55</v>
      </c>
      <c r="V837">
        <v>148</v>
      </c>
      <c r="W837">
        <v>273</v>
      </c>
    </row>
    <row r="838" spans="1:23" x14ac:dyDescent="0.3">
      <c r="A838" s="19">
        <v>34</v>
      </c>
      <c r="B838" s="20" t="s">
        <v>123</v>
      </c>
      <c r="C838" s="21">
        <v>46255</v>
      </c>
      <c r="D838" s="20" t="s">
        <v>45</v>
      </c>
      <c r="E838" s="20" t="s">
        <v>105</v>
      </c>
      <c r="F838" s="20" t="s">
        <v>90</v>
      </c>
      <c r="G838" s="20" t="s">
        <v>42</v>
      </c>
      <c r="H838" s="56" t="s">
        <v>128</v>
      </c>
      <c r="I838" s="32">
        <v>120</v>
      </c>
      <c r="J838" s="32">
        <v>1980</v>
      </c>
      <c r="K838" s="34">
        <v>2220</v>
      </c>
      <c r="L838" s="34">
        <v>4320</v>
      </c>
      <c r="M838" s="33">
        <f t="shared" si="35"/>
        <v>8640</v>
      </c>
      <c r="N838" s="32">
        <v>111</v>
      </c>
      <c r="O838" s="32">
        <v>1860</v>
      </c>
      <c r="P838" s="34">
        <v>2130</v>
      </c>
      <c r="Q838" s="34">
        <v>4050</v>
      </c>
      <c r="R838" s="33">
        <f t="shared" si="36"/>
        <v>8151</v>
      </c>
      <c r="S838">
        <v>8</v>
      </c>
      <c r="T838">
        <v>62</v>
      </c>
      <c r="U838">
        <v>55</v>
      </c>
      <c r="V838">
        <v>148</v>
      </c>
      <c r="W838">
        <v>273</v>
      </c>
    </row>
    <row r="839" spans="1:23" x14ac:dyDescent="0.3">
      <c r="A839" s="19">
        <v>34</v>
      </c>
      <c r="B839" s="20" t="s">
        <v>123</v>
      </c>
      <c r="C839" s="21">
        <v>46255</v>
      </c>
      <c r="D839" s="20" t="str">
        <f>IFERROR(VLOOKUP($H839,KET!$B:$F,2,0),"")</f>
        <v>GRSM 6</v>
      </c>
      <c r="E839" s="20" t="str">
        <f>IFERROR(VLOOKUP($H839,KET!$B:$F,3,0),"")</f>
        <v>TULUNGAGUNG</v>
      </c>
      <c r="F839" s="20" t="str">
        <f>IFERROR(VLOOKUP($H839,KET!$B:$F,4,0),"")</f>
        <v>MARTIKA MINTOROWATI</v>
      </c>
      <c r="G839" s="20" t="str">
        <f>IFERROR(VLOOKUP($H839,KET!$B:$F,5,0),"")</f>
        <v>GMM</v>
      </c>
      <c r="H839" s="56" t="s">
        <v>97</v>
      </c>
      <c r="I839" s="32">
        <v>110</v>
      </c>
      <c r="J839" s="32">
        <v>0</v>
      </c>
      <c r="K839" s="34">
        <v>110</v>
      </c>
      <c r="L839" s="34">
        <v>110</v>
      </c>
      <c r="M839" s="33">
        <f t="shared" ref="M839:M860" si="37">SUM(I839:L839)</f>
        <v>330</v>
      </c>
      <c r="N839" s="32">
        <v>74</v>
      </c>
      <c r="O839" s="32">
        <v>0</v>
      </c>
      <c r="P839" s="34">
        <v>74</v>
      </c>
      <c r="Q839" s="34">
        <v>38</v>
      </c>
      <c r="R839" s="33">
        <f t="shared" ref="R839:R869" si="38">SUM(N839:Q839)</f>
        <v>186</v>
      </c>
      <c r="S839">
        <v>72</v>
      </c>
      <c r="T839">
        <v>0</v>
      </c>
      <c r="U839">
        <v>72</v>
      </c>
      <c r="V839">
        <v>144</v>
      </c>
      <c r="W839">
        <v>288</v>
      </c>
    </row>
    <row r="840" spans="1:23" x14ac:dyDescent="0.3">
      <c r="A840" s="19">
        <v>34</v>
      </c>
      <c r="B840" s="20" t="s">
        <v>123</v>
      </c>
      <c r="C840" s="21">
        <v>46255</v>
      </c>
      <c r="D840" s="20" t="str">
        <f>IFERROR(VLOOKUP($H840,KET!$B:$F,2,0),"")</f>
        <v>GRSM 6</v>
      </c>
      <c r="E840" s="20" t="str">
        <f>IFERROR(VLOOKUP($H840,KET!$B:$F,3,0),"")</f>
        <v>TULUNGAGUNG</v>
      </c>
      <c r="F840" s="20" t="str">
        <f>IFERROR(VLOOKUP($H840,KET!$B:$F,4,0),"")</f>
        <v>MARTIKA MINTOROWATI</v>
      </c>
      <c r="G840" s="20" t="str">
        <f>IFERROR(VLOOKUP($H840,KET!$B:$F,5,0),"")</f>
        <v>GMM</v>
      </c>
      <c r="H840" s="56" t="s">
        <v>97</v>
      </c>
      <c r="I840" s="32">
        <v>110</v>
      </c>
      <c r="J840" s="32">
        <v>0</v>
      </c>
      <c r="K840" s="34">
        <v>110</v>
      </c>
      <c r="L840" s="34">
        <v>110</v>
      </c>
      <c r="M840" s="33">
        <f t="shared" si="37"/>
        <v>330</v>
      </c>
      <c r="N840" s="32">
        <v>74</v>
      </c>
      <c r="O840" s="32">
        <v>0</v>
      </c>
      <c r="P840" s="34">
        <v>74</v>
      </c>
      <c r="Q840" s="34">
        <v>38</v>
      </c>
      <c r="R840" s="33">
        <f t="shared" si="38"/>
        <v>186</v>
      </c>
      <c r="S840">
        <v>72</v>
      </c>
      <c r="T840">
        <v>0</v>
      </c>
      <c r="U840">
        <v>72</v>
      </c>
      <c r="V840">
        <v>144</v>
      </c>
      <c r="W840">
        <v>288</v>
      </c>
    </row>
    <row r="841" spans="1:23" x14ac:dyDescent="0.3">
      <c r="A841" s="19">
        <v>34</v>
      </c>
      <c r="B841" s="20" t="s">
        <v>123</v>
      </c>
      <c r="C841" s="21">
        <v>46256</v>
      </c>
      <c r="D841" s="20" t="s">
        <v>45</v>
      </c>
      <c r="E841" s="20" t="s">
        <v>89</v>
      </c>
      <c r="F841" s="20" t="s">
        <v>90</v>
      </c>
      <c r="G841" s="20" t="s">
        <v>42</v>
      </c>
      <c r="H841" s="56" t="s">
        <v>127</v>
      </c>
      <c r="I841" s="32">
        <v>300</v>
      </c>
      <c r="J841" s="32">
        <v>300</v>
      </c>
      <c r="K841" s="34">
        <v>300</v>
      </c>
      <c r="L841" s="34">
        <v>420</v>
      </c>
      <c r="M841" s="33">
        <f t="shared" si="37"/>
        <v>1320</v>
      </c>
      <c r="N841" s="32">
        <v>276</v>
      </c>
      <c r="O841" s="32">
        <v>230</v>
      </c>
      <c r="P841" s="34">
        <v>195</v>
      </c>
      <c r="Q841" s="34">
        <v>4</v>
      </c>
      <c r="R841" s="33">
        <f t="shared" si="38"/>
        <v>705</v>
      </c>
      <c r="S841">
        <v>48</v>
      </c>
      <c r="T841">
        <v>140</v>
      </c>
      <c r="U841">
        <v>210</v>
      </c>
      <c r="V841">
        <v>592</v>
      </c>
      <c r="W841">
        <v>990</v>
      </c>
    </row>
    <row r="842" spans="1:23" x14ac:dyDescent="0.3">
      <c r="A842" s="19">
        <v>34</v>
      </c>
      <c r="B842" s="20" t="s">
        <v>123</v>
      </c>
      <c r="C842" s="21">
        <v>46256</v>
      </c>
      <c r="D842" s="20" t="s">
        <v>45</v>
      </c>
      <c r="E842" s="20" t="s">
        <v>89</v>
      </c>
      <c r="F842" s="20" t="s">
        <v>90</v>
      </c>
      <c r="G842" s="20" t="s">
        <v>42</v>
      </c>
      <c r="H842" s="56" t="s">
        <v>127</v>
      </c>
      <c r="I842" s="32">
        <v>300</v>
      </c>
      <c r="J842" s="32">
        <v>300</v>
      </c>
      <c r="K842" s="34">
        <v>300</v>
      </c>
      <c r="L842" s="34">
        <v>420</v>
      </c>
      <c r="M842" s="33">
        <f t="shared" si="37"/>
        <v>1320</v>
      </c>
      <c r="N842" s="32">
        <v>276</v>
      </c>
      <c r="O842" s="32">
        <v>230</v>
      </c>
      <c r="P842" s="34">
        <v>195</v>
      </c>
      <c r="Q842" s="34">
        <v>4</v>
      </c>
      <c r="R842" s="33">
        <f t="shared" si="38"/>
        <v>705</v>
      </c>
      <c r="S842">
        <v>48</v>
      </c>
      <c r="T842">
        <v>140</v>
      </c>
      <c r="U842">
        <v>210</v>
      </c>
      <c r="V842">
        <v>592</v>
      </c>
      <c r="W842">
        <v>990</v>
      </c>
    </row>
    <row r="843" spans="1:23" x14ac:dyDescent="0.3">
      <c r="A843" s="19">
        <v>34</v>
      </c>
      <c r="B843" s="20" t="s">
        <v>123</v>
      </c>
      <c r="C843" s="21">
        <v>46256</v>
      </c>
      <c r="D843" s="20" t="s">
        <v>45</v>
      </c>
      <c r="E843" s="20" t="s">
        <v>105</v>
      </c>
      <c r="F843" s="20" t="s">
        <v>90</v>
      </c>
      <c r="G843" s="20" t="s">
        <v>42</v>
      </c>
      <c r="H843" s="56" t="s">
        <v>128</v>
      </c>
      <c r="I843" s="32">
        <v>69</v>
      </c>
      <c r="J843" s="32">
        <v>1578</v>
      </c>
      <c r="K843" s="34">
        <v>1815</v>
      </c>
      <c r="L843" s="34">
        <v>3900</v>
      </c>
      <c r="M843" s="33">
        <f t="shared" si="37"/>
        <v>7362</v>
      </c>
      <c r="N843" s="32">
        <v>36</v>
      </c>
      <c r="O843" s="32">
        <v>1377</v>
      </c>
      <c r="P843" s="34">
        <v>1656</v>
      </c>
      <c r="Q843" s="34">
        <v>3501</v>
      </c>
      <c r="R843" s="33">
        <f t="shared" si="38"/>
        <v>6570</v>
      </c>
      <c r="S843">
        <v>20</v>
      </c>
      <c r="T843">
        <v>139</v>
      </c>
      <c r="U843">
        <v>133</v>
      </c>
      <c r="V843">
        <v>295</v>
      </c>
      <c r="W843">
        <v>587</v>
      </c>
    </row>
    <row r="844" spans="1:23" x14ac:dyDescent="0.3">
      <c r="A844" s="19">
        <v>34</v>
      </c>
      <c r="B844" s="20" t="s">
        <v>123</v>
      </c>
      <c r="C844" s="21">
        <v>46256</v>
      </c>
      <c r="D844" s="20" t="str">
        <f>IFERROR(VLOOKUP($H844,KET!$B:$F,2,0),"")</f>
        <v>GRSM 6</v>
      </c>
      <c r="E844" s="20" t="str">
        <f>IFERROR(VLOOKUP($H844,KET!$B:$F,3,0),"")</f>
        <v>KEDIRI</v>
      </c>
      <c r="F844" s="20" t="str">
        <f>IFERROR(VLOOKUP($H844,KET!$B:$F,4,0),"")</f>
        <v>MARTIKA MINTOROWATI</v>
      </c>
      <c r="G844" s="20" t="str">
        <f>IFERROR(VLOOKUP($H844,KET!$B:$F,5,0),"")</f>
        <v>GMM</v>
      </c>
      <c r="H844" s="56" t="s">
        <v>108</v>
      </c>
      <c r="I844" s="32">
        <v>123</v>
      </c>
      <c r="J844" s="32">
        <v>1470</v>
      </c>
      <c r="K844" s="34">
        <v>314</v>
      </c>
      <c r="L844" s="34">
        <v>1024</v>
      </c>
      <c r="M844" s="33">
        <f t="shared" si="37"/>
        <v>2931</v>
      </c>
      <c r="N844" s="32">
        <v>88</v>
      </c>
      <c r="O844" s="32">
        <v>1428</v>
      </c>
      <c r="P844" s="34">
        <v>288</v>
      </c>
      <c r="Q844" s="34">
        <v>960</v>
      </c>
      <c r="R844" s="33">
        <f t="shared" si="38"/>
        <v>2764</v>
      </c>
      <c r="S844">
        <v>70</v>
      </c>
      <c r="T844">
        <v>84</v>
      </c>
      <c r="U844">
        <v>52</v>
      </c>
      <c r="V844">
        <v>128</v>
      </c>
      <c r="W844">
        <v>334</v>
      </c>
    </row>
    <row r="845" spans="1:23" x14ac:dyDescent="0.3">
      <c r="A845" s="19">
        <v>34</v>
      </c>
      <c r="B845" s="20" t="s">
        <v>123</v>
      </c>
      <c r="C845" s="21">
        <v>46256</v>
      </c>
      <c r="D845" s="20" t="str">
        <f>IFERROR(VLOOKUP($H845,KET!$B:$F,2,0),"")</f>
        <v>GRSM 6</v>
      </c>
      <c r="E845" s="20" t="str">
        <f>IFERROR(VLOOKUP($H845,KET!$B:$F,3,0),"")</f>
        <v>TULUNGAGUNG</v>
      </c>
      <c r="F845" s="20" t="str">
        <f>IFERROR(VLOOKUP($H845,KET!$B:$F,4,0),"")</f>
        <v>MARTIKA MINTOROWATI</v>
      </c>
      <c r="G845" s="20" t="str">
        <f>IFERROR(VLOOKUP($H845,KET!$B:$F,5,0),"")</f>
        <v>GMM</v>
      </c>
      <c r="H845" s="56" t="s">
        <v>97</v>
      </c>
      <c r="I845" s="32">
        <v>120</v>
      </c>
      <c r="J845" s="32">
        <v>0</v>
      </c>
      <c r="K845" s="34">
        <v>90</v>
      </c>
      <c r="L845" s="34">
        <v>111</v>
      </c>
      <c r="M845" s="33">
        <f t="shared" si="37"/>
        <v>321</v>
      </c>
      <c r="N845" s="32">
        <v>93</v>
      </c>
      <c r="O845" s="32">
        <v>0</v>
      </c>
      <c r="P845" s="34">
        <v>66</v>
      </c>
      <c r="Q845" s="34">
        <v>36</v>
      </c>
      <c r="R845" s="33">
        <f t="shared" si="38"/>
        <v>195</v>
      </c>
      <c r="S845">
        <v>54</v>
      </c>
      <c r="T845">
        <v>0</v>
      </c>
      <c r="U845">
        <v>48</v>
      </c>
      <c r="V845">
        <v>150</v>
      </c>
      <c r="W845">
        <v>252</v>
      </c>
    </row>
    <row r="846" spans="1:23" x14ac:dyDescent="0.3">
      <c r="A846" s="19">
        <v>34</v>
      </c>
      <c r="B846" s="20" t="s">
        <v>123</v>
      </c>
      <c r="C846" s="21">
        <v>46256</v>
      </c>
      <c r="D846" s="20" t="s">
        <v>45</v>
      </c>
      <c r="E846" s="20" t="s">
        <v>105</v>
      </c>
      <c r="F846" s="20" t="s">
        <v>90</v>
      </c>
      <c r="G846" s="20" t="s">
        <v>42</v>
      </c>
      <c r="H846" s="56" t="s">
        <v>128</v>
      </c>
      <c r="I846" s="32">
        <v>96</v>
      </c>
      <c r="J846" s="32">
        <v>1784</v>
      </c>
      <c r="K846" s="34">
        <v>2055</v>
      </c>
      <c r="L846" s="34">
        <v>4386</v>
      </c>
      <c r="M846" s="33">
        <f t="shared" si="37"/>
        <v>8321</v>
      </c>
      <c r="N846" s="32">
        <v>69</v>
      </c>
      <c r="O846" s="32">
        <v>1578</v>
      </c>
      <c r="P846" s="34">
        <v>1815</v>
      </c>
      <c r="Q846" s="34">
        <v>3900</v>
      </c>
      <c r="R846" s="33">
        <f t="shared" si="38"/>
        <v>7362</v>
      </c>
      <c r="S846">
        <v>20</v>
      </c>
      <c r="T846">
        <v>139</v>
      </c>
      <c r="U846">
        <v>133</v>
      </c>
      <c r="V846">
        <v>295</v>
      </c>
      <c r="W846">
        <v>587</v>
      </c>
    </row>
    <row r="847" spans="1:23" x14ac:dyDescent="0.3">
      <c r="A847" s="19">
        <v>34</v>
      </c>
      <c r="B847" s="20" t="s">
        <v>123</v>
      </c>
      <c r="C847" s="21">
        <v>46256</v>
      </c>
      <c r="D847" s="20" t="str">
        <f>IFERROR(VLOOKUP($H847,KET!$B:$F,2,0),"")</f>
        <v>GRSM 6</v>
      </c>
      <c r="E847" s="20" t="str">
        <f>IFERROR(VLOOKUP($H847,KET!$B:$F,3,0),"")</f>
        <v>TULUNGAGUNG</v>
      </c>
      <c r="F847" s="20" t="str">
        <f>IFERROR(VLOOKUP($H847,KET!$B:$F,4,0),"")</f>
        <v>MARTIKA MINTOROWATI</v>
      </c>
      <c r="G847" s="20" t="str">
        <f>IFERROR(VLOOKUP($H847,KET!$B:$F,5,0),"")</f>
        <v>GMM</v>
      </c>
      <c r="H847" s="56" t="s">
        <v>97</v>
      </c>
      <c r="I847" s="32">
        <v>120</v>
      </c>
      <c r="J847" s="32">
        <v>0</v>
      </c>
      <c r="K847" s="34">
        <v>90</v>
      </c>
      <c r="L847" s="34">
        <v>111</v>
      </c>
      <c r="M847" s="33">
        <f t="shared" si="37"/>
        <v>321</v>
      </c>
      <c r="N847" s="32">
        <v>93</v>
      </c>
      <c r="O847" s="32">
        <v>0</v>
      </c>
      <c r="P847" s="34">
        <v>66</v>
      </c>
      <c r="Q847" s="34">
        <v>36</v>
      </c>
      <c r="R847" s="33">
        <f t="shared" si="38"/>
        <v>195</v>
      </c>
      <c r="S847">
        <v>54</v>
      </c>
      <c r="T847">
        <v>0</v>
      </c>
      <c r="U847">
        <v>48</v>
      </c>
      <c r="V847">
        <v>150</v>
      </c>
      <c r="W847">
        <v>252</v>
      </c>
    </row>
    <row r="848" spans="1:23" x14ac:dyDescent="0.3">
      <c r="A848" s="19">
        <v>34</v>
      </c>
      <c r="B848" s="20" t="s">
        <v>123</v>
      </c>
      <c r="C848" s="21">
        <v>46256</v>
      </c>
      <c r="D848" s="20" t="str">
        <f>IFERROR(VLOOKUP($H848,KET!$B:$F,2,0),"")</f>
        <v>GRSM 6</v>
      </c>
      <c r="E848" s="20" t="str">
        <f>IFERROR(VLOOKUP($H848,KET!$B:$F,3,0),"")</f>
        <v>NGANJUK</v>
      </c>
      <c r="F848" s="20" t="str">
        <f>IFERROR(VLOOKUP($H848,KET!$B:$F,4,0),"")</f>
        <v>MARTIKA MINTOROWATI</v>
      </c>
      <c r="G848" s="20" t="str">
        <f>IFERROR(VLOOKUP($H848,KET!$B:$F,5,0),"")</f>
        <v>GMM</v>
      </c>
      <c r="H848" s="56" t="s">
        <v>106</v>
      </c>
      <c r="I848" s="32">
        <v>2292</v>
      </c>
      <c r="J848" s="32">
        <v>960</v>
      </c>
      <c r="K848" s="34">
        <v>1398</v>
      </c>
      <c r="L848" s="34">
        <v>972</v>
      </c>
      <c r="M848" s="33">
        <f t="shared" si="37"/>
        <v>5622</v>
      </c>
      <c r="N848" s="32">
        <v>2268</v>
      </c>
      <c r="O848" s="32">
        <v>831</v>
      </c>
      <c r="P848" s="34">
        <v>1305</v>
      </c>
      <c r="Q848" s="34">
        <v>789</v>
      </c>
      <c r="R848" s="33">
        <f t="shared" si="38"/>
        <v>5193</v>
      </c>
      <c r="S848">
        <v>16</v>
      </c>
      <c r="T848">
        <v>86</v>
      </c>
      <c r="U848">
        <v>62</v>
      </c>
      <c r="V848">
        <v>122</v>
      </c>
      <c r="W848">
        <v>286</v>
      </c>
    </row>
    <row r="849" spans="1:23" x14ac:dyDescent="0.3">
      <c r="A849" s="19">
        <v>34</v>
      </c>
      <c r="B849" s="20" t="s">
        <v>123</v>
      </c>
      <c r="C849" s="21">
        <v>46255</v>
      </c>
      <c r="D849" s="20" t="str">
        <f>IFERROR(VLOOKUP($H849,KET!$B:$F,2,0),"")</f>
        <v>GRSM 6</v>
      </c>
      <c r="E849" s="20" t="str">
        <f>IFERROR(VLOOKUP($H849,KET!$B:$F,3,0),"")</f>
        <v>KEDIRI</v>
      </c>
      <c r="F849" s="20" t="str">
        <f>IFERROR(VLOOKUP($H849,KET!$B:$F,4,0),"")</f>
        <v>MARTIKA MINTOROWATI</v>
      </c>
      <c r="G849" s="20" t="str">
        <f>IFERROR(VLOOKUP($H849,KET!$B:$F,5,0),"")</f>
        <v>GMM</v>
      </c>
      <c r="H849" s="56" t="s">
        <v>109</v>
      </c>
      <c r="I849" s="32">
        <v>115</v>
      </c>
      <c r="J849" s="32">
        <v>418</v>
      </c>
      <c r="K849" s="34">
        <v>0</v>
      </c>
      <c r="L849" s="34">
        <v>612</v>
      </c>
      <c r="M849" s="33">
        <f t="shared" si="37"/>
        <v>1145</v>
      </c>
      <c r="N849" s="32">
        <v>115</v>
      </c>
      <c r="O849" s="32">
        <v>64</v>
      </c>
      <c r="P849" s="34">
        <v>0</v>
      </c>
      <c r="Q849" s="34">
        <v>423</v>
      </c>
      <c r="R849" s="33">
        <f t="shared" si="38"/>
        <v>602</v>
      </c>
      <c r="S849">
        <v>102</v>
      </c>
      <c r="T849">
        <v>402</v>
      </c>
      <c r="U849">
        <v>0</v>
      </c>
      <c r="V849">
        <v>378</v>
      </c>
      <c r="W849">
        <v>882</v>
      </c>
    </row>
    <row r="850" spans="1:23" x14ac:dyDescent="0.3">
      <c r="A850" s="19">
        <v>34</v>
      </c>
      <c r="B850" s="20" t="s">
        <v>123</v>
      </c>
      <c r="C850" s="21">
        <v>46255</v>
      </c>
      <c r="D850" s="20" t="str">
        <f>IFERROR(VLOOKUP($H850,KET!$B:$F,2,0),"")</f>
        <v>GRSM 6</v>
      </c>
      <c r="E850" s="20" t="str">
        <f>IFERROR(VLOOKUP($H850,KET!$B:$F,3,0),"")</f>
        <v>NGANJUK</v>
      </c>
      <c r="F850" s="20" t="str">
        <f>IFERROR(VLOOKUP($H850,KET!$B:$F,4,0),"")</f>
        <v>MARTIKA MINTOROWATI</v>
      </c>
      <c r="G850" s="20" t="str">
        <f>IFERROR(VLOOKUP($H850,KET!$B:$F,5,0),"")</f>
        <v>GMM</v>
      </c>
      <c r="H850" s="56" t="s">
        <v>106</v>
      </c>
      <c r="I850" s="32">
        <v>2340</v>
      </c>
      <c r="J850" s="32">
        <v>1020</v>
      </c>
      <c r="K850" s="34">
        <v>1500</v>
      </c>
      <c r="L850" s="34">
        <v>1140</v>
      </c>
      <c r="M850" s="33">
        <f t="shared" si="37"/>
        <v>6000</v>
      </c>
      <c r="N850" s="32">
        <v>2292</v>
      </c>
      <c r="O850" s="32">
        <v>960</v>
      </c>
      <c r="P850" s="34">
        <v>1398</v>
      </c>
      <c r="Q850" s="34">
        <v>972</v>
      </c>
      <c r="R850" s="33">
        <f t="shared" si="38"/>
        <v>5622</v>
      </c>
      <c r="S850">
        <v>32</v>
      </c>
      <c r="T850">
        <v>40</v>
      </c>
      <c r="U850">
        <v>68</v>
      </c>
      <c r="V850">
        <v>112</v>
      </c>
      <c r="W850">
        <v>252</v>
      </c>
    </row>
    <row r="851" spans="1:23" x14ac:dyDescent="0.3">
      <c r="A851" s="19">
        <v>34</v>
      </c>
      <c r="B851" s="20" t="s">
        <v>123</v>
      </c>
      <c r="C851" s="21">
        <v>46255</v>
      </c>
      <c r="D851" s="20" t="str">
        <f>IFERROR(VLOOKUP($H851,KET!$B:$F,2,0),"")</f>
        <v>GRSM 6</v>
      </c>
      <c r="E851" s="20" t="str">
        <f>IFERROR(VLOOKUP($H851,KET!$B:$F,3,0),"")</f>
        <v>KEDIRI</v>
      </c>
      <c r="F851" s="20" t="str">
        <f>IFERROR(VLOOKUP($H851,KET!$B:$F,4,0),"")</f>
        <v>MARTIKA MINTOROWATI</v>
      </c>
      <c r="G851" s="20" t="str">
        <f>IFERROR(VLOOKUP($H851,KET!$B:$F,5,0),"")</f>
        <v>GMM</v>
      </c>
      <c r="H851" s="56" t="s">
        <v>108</v>
      </c>
      <c r="I851" s="32">
        <v>202</v>
      </c>
      <c r="J851" s="32">
        <v>1584</v>
      </c>
      <c r="K851" s="34">
        <v>400</v>
      </c>
      <c r="L851" s="34">
        <v>1216</v>
      </c>
      <c r="M851" s="33">
        <f t="shared" si="37"/>
        <v>3402</v>
      </c>
      <c r="N851" s="32">
        <v>180</v>
      </c>
      <c r="O851" s="32">
        <v>1548</v>
      </c>
      <c r="P851" s="34">
        <v>370</v>
      </c>
      <c r="Q851" s="34">
        <v>1150</v>
      </c>
      <c r="R851" s="33">
        <f t="shared" si="38"/>
        <v>3248</v>
      </c>
      <c r="S851">
        <v>44</v>
      </c>
      <c r="T851">
        <v>72</v>
      </c>
      <c r="U851">
        <v>60</v>
      </c>
      <c r="V851">
        <v>124</v>
      </c>
      <c r="W851">
        <v>300</v>
      </c>
    </row>
    <row r="852" spans="1:23" x14ac:dyDescent="0.3">
      <c r="A852" s="19">
        <v>34</v>
      </c>
      <c r="B852" s="20" t="s">
        <v>123</v>
      </c>
      <c r="C852" s="21">
        <v>46255</v>
      </c>
      <c r="D852" s="20" t="str">
        <f>IFERROR(VLOOKUP($H852,KET!$B:$F,2,0),"")</f>
        <v>GRSM 6</v>
      </c>
      <c r="E852" s="20" t="str">
        <f>IFERROR(VLOOKUP($H852,KET!$B:$F,3,0),"")</f>
        <v>KEDIRI</v>
      </c>
      <c r="F852" s="20" t="str">
        <f>IFERROR(VLOOKUP($H852,KET!$B:$F,4,0),"")</f>
        <v>MARTIKA MINTOROWATI</v>
      </c>
      <c r="G852" s="20" t="str">
        <f>IFERROR(VLOOKUP($H852,KET!$B:$F,5,0),"")</f>
        <v>GMM</v>
      </c>
      <c r="H852" s="56" t="s">
        <v>108</v>
      </c>
      <c r="I852" s="32">
        <v>180</v>
      </c>
      <c r="J852" s="32">
        <v>1548</v>
      </c>
      <c r="K852" s="34">
        <v>370</v>
      </c>
      <c r="L852" s="34">
        <v>1150</v>
      </c>
      <c r="M852" s="33">
        <f t="shared" si="37"/>
        <v>3248</v>
      </c>
      <c r="N852" s="32">
        <v>158</v>
      </c>
      <c r="O852" s="32">
        <v>1512</v>
      </c>
      <c r="P852" s="34">
        <v>340</v>
      </c>
      <c r="Q852" s="34">
        <v>1088</v>
      </c>
      <c r="R852" s="33">
        <f t="shared" si="38"/>
        <v>3098</v>
      </c>
      <c r="S852">
        <v>44</v>
      </c>
      <c r="T852">
        <v>72</v>
      </c>
      <c r="U852">
        <v>60</v>
      </c>
      <c r="V852">
        <v>124</v>
      </c>
      <c r="W852">
        <v>300</v>
      </c>
    </row>
    <row r="853" spans="1:23" x14ac:dyDescent="0.3">
      <c r="A853" s="19">
        <v>34</v>
      </c>
      <c r="B853" s="20" t="s">
        <v>123</v>
      </c>
      <c r="C853" s="21">
        <v>46256</v>
      </c>
      <c r="D853" s="20" t="str">
        <f>IFERROR(VLOOKUP($H853,KET!$B:$F,2,0),"")</f>
        <v>GRSM 6</v>
      </c>
      <c r="E853" s="20" t="str">
        <f>IFERROR(VLOOKUP($H853,KET!$B:$F,3,0),"")</f>
        <v>KEDIRI</v>
      </c>
      <c r="F853" s="20" t="str">
        <f>IFERROR(VLOOKUP($H853,KET!$B:$F,4,0),"")</f>
        <v>MARTIKA MINTOROWATI</v>
      </c>
      <c r="G853" s="20" t="str">
        <f>IFERROR(VLOOKUP($H853,KET!$B:$F,5,0),"")</f>
        <v>GMM</v>
      </c>
      <c r="H853" s="56" t="s">
        <v>109</v>
      </c>
      <c r="I853" s="32">
        <v>115</v>
      </c>
      <c r="J853" s="32">
        <v>306</v>
      </c>
      <c r="K853" s="34">
        <v>0</v>
      </c>
      <c r="L853" s="34">
        <v>922</v>
      </c>
      <c r="M853" s="33">
        <f t="shared" si="37"/>
        <v>1343</v>
      </c>
      <c r="N853" s="32">
        <v>71</v>
      </c>
      <c r="O853" s="32">
        <v>194</v>
      </c>
      <c r="P853" s="34">
        <v>0</v>
      </c>
      <c r="Q853" s="34">
        <v>794</v>
      </c>
      <c r="R853" s="33">
        <f t="shared" si="38"/>
        <v>1059</v>
      </c>
      <c r="S853">
        <v>88</v>
      </c>
      <c r="T853">
        <v>224</v>
      </c>
      <c r="U853">
        <v>0</v>
      </c>
      <c r="V853">
        <v>258</v>
      </c>
      <c r="W853">
        <v>570</v>
      </c>
    </row>
    <row r="854" spans="1:23" x14ac:dyDescent="0.3">
      <c r="A854" s="19">
        <v>34</v>
      </c>
      <c r="B854" s="20" t="s">
        <v>123</v>
      </c>
      <c r="C854" s="21">
        <v>46256</v>
      </c>
      <c r="D854" s="20" t="str">
        <f>IFERROR(VLOOKUP($H854,KET!$B:$F,2,0),"")</f>
        <v>GRSM 6</v>
      </c>
      <c r="E854" s="20" t="str">
        <f>IFERROR(VLOOKUP($H854,KET!$B:$F,3,0),"")</f>
        <v>KEDIRI</v>
      </c>
      <c r="F854" s="20" t="str">
        <f>IFERROR(VLOOKUP($H854,KET!$B:$F,4,0),"")</f>
        <v>MARTIKA MINTOROWATI</v>
      </c>
      <c r="G854" s="20" t="str">
        <f>IFERROR(VLOOKUP($H854,KET!$B:$F,5,0),"")</f>
        <v>GMM</v>
      </c>
      <c r="H854" s="56" t="s">
        <v>108</v>
      </c>
      <c r="I854" s="32">
        <v>158</v>
      </c>
      <c r="J854" s="32">
        <v>1512</v>
      </c>
      <c r="K854" s="34">
        <v>340</v>
      </c>
      <c r="L854" s="34">
        <v>1088</v>
      </c>
      <c r="M854" s="33">
        <f t="shared" si="37"/>
        <v>3098</v>
      </c>
      <c r="N854" s="32">
        <v>123</v>
      </c>
      <c r="O854" s="32">
        <v>1470</v>
      </c>
      <c r="P854" s="34">
        <v>314</v>
      </c>
      <c r="Q854" s="34">
        <v>1024</v>
      </c>
      <c r="R854" s="33">
        <f t="shared" si="38"/>
        <v>2931</v>
      </c>
      <c r="S854">
        <v>70</v>
      </c>
      <c r="T854">
        <v>84</v>
      </c>
      <c r="U854">
        <v>52</v>
      </c>
      <c r="V854">
        <v>128</v>
      </c>
      <c r="W854">
        <v>334</v>
      </c>
    </row>
    <row r="855" spans="1:23" x14ac:dyDescent="0.3">
      <c r="A855" s="19">
        <v>34</v>
      </c>
      <c r="B855" s="20" t="s">
        <v>123</v>
      </c>
      <c r="C855" s="21">
        <v>46257</v>
      </c>
      <c r="D855" s="20" t="str">
        <f>IFERROR(VLOOKUP($H855,KET!$B:$F,2,0),"")</f>
        <v>GRSM 6</v>
      </c>
      <c r="E855" s="20" t="str">
        <f>IFERROR(VLOOKUP($H855,KET!$B:$F,3,0),"")</f>
        <v>NGANJUK</v>
      </c>
      <c r="F855" s="20" t="str">
        <f>IFERROR(VLOOKUP($H855,KET!$B:$F,4,0),"")</f>
        <v>MARTIKA MINTOROWATI</v>
      </c>
      <c r="G855" s="20" t="str">
        <f>IFERROR(VLOOKUP($H855,KET!$B:$F,5,0),"")</f>
        <v>GMM</v>
      </c>
      <c r="H855" s="56" t="s">
        <v>106</v>
      </c>
      <c r="I855" s="32">
        <v>2268</v>
      </c>
      <c r="J855" s="32">
        <v>831</v>
      </c>
      <c r="K855" s="34">
        <v>1305</v>
      </c>
      <c r="L855" s="34">
        <v>789</v>
      </c>
      <c r="M855" s="33">
        <f t="shared" si="37"/>
        <v>5193</v>
      </c>
      <c r="N855" s="32">
        <v>2259</v>
      </c>
      <c r="O855" s="32">
        <v>663</v>
      </c>
      <c r="P855" s="34">
        <v>1278</v>
      </c>
      <c r="Q855" s="34">
        <v>558</v>
      </c>
      <c r="R855" s="33">
        <f t="shared" si="38"/>
        <v>4758</v>
      </c>
      <c r="S855">
        <v>6</v>
      </c>
      <c r="T855">
        <v>112</v>
      </c>
      <c r="U855">
        <v>18</v>
      </c>
      <c r="V855">
        <v>154</v>
      </c>
      <c r="W855">
        <v>290</v>
      </c>
    </row>
    <row r="856" spans="1:23" x14ac:dyDescent="0.3">
      <c r="A856" s="19">
        <v>34</v>
      </c>
      <c r="B856" s="20" t="s">
        <v>123</v>
      </c>
      <c r="C856" s="21">
        <v>46257</v>
      </c>
      <c r="D856" s="20" t="str">
        <f>IFERROR(VLOOKUP($H856,KET!$B:$F,2,0),"")</f>
        <v>GRSM 6</v>
      </c>
      <c r="E856" s="20" t="str">
        <f>IFERROR(VLOOKUP($H856,KET!$B:$F,3,0),"")</f>
        <v>KEDIRI</v>
      </c>
      <c r="F856" s="20" t="str">
        <f>IFERROR(VLOOKUP($H856,KET!$B:$F,4,0),"")</f>
        <v>MARTIKA MINTOROWATI</v>
      </c>
      <c r="G856" s="20" t="str">
        <f>IFERROR(VLOOKUP($H856,KET!$B:$F,5,0),"")</f>
        <v>GMM</v>
      </c>
      <c r="H856" s="56" t="s">
        <v>108</v>
      </c>
      <c r="I856" s="32">
        <v>49</v>
      </c>
      <c r="J856" s="32">
        <v>1394</v>
      </c>
      <c r="K856" s="34">
        <v>241</v>
      </c>
      <c r="L856" s="34">
        <v>907</v>
      </c>
      <c r="M856" s="33">
        <f t="shared" si="37"/>
        <v>2591</v>
      </c>
      <c r="N856" s="32">
        <v>10</v>
      </c>
      <c r="O856" s="32">
        <v>1360</v>
      </c>
      <c r="P856" s="34">
        <v>194</v>
      </c>
      <c r="Q856" s="34">
        <v>854</v>
      </c>
      <c r="R856" s="33">
        <f t="shared" si="38"/>
        <v>2418</v>
      </c>
      <c r="S856">
        <v>78</v>
      </c>
      <c r="T856">
        <v>68</v>
      </c>
      <c r="U856">
        <v>94</v>
      </c>
      <c r="V856">
        <v>106</v>
      </c>
      <c r="W856">
        <v>346</v>
      </c>
    </row>
    <row r="857" spans="1:23" x14ac:dyDescent="0.3">
      <c r="A857" s="19">
        <v>34</v>
      </c>
      <c r="B857" s="20" t="s">
        <v>123</v>
      </c>
      <c r="C857" s="21">
        <v>46257</v>
      </c>
      <c r="D857" s="20" t="str">
        <f>IFERROR(VLOOKUP($H857,KET!$B:$F,2,0),"")</f>
        <v>GRSM 6</v>
      </c>
      <c r="E857" s="20" t="str">
        <f>IFERROR(VLOOKUP($H857,KET!$B:$F,3,0),"")</f>
        <v>KEDIRI</v>
      </c>
      <c r="F857" s="20" t="str">
        <f>IFERROR(VLOOKUP($H857,KET!$B:$F,4,0),"")</f>
        <v>MARTIKA MINTOROWATI</v>
      </c>
      <c r="G857" s="20" t="str">
        <f>IFERROR(VLOOKUP($H857,KET!$B:$F,5,0),"")</f>
        <v>GMM</v>
      </c>
      <c r="H857" s="56" t="s">
        <v>109</v>
      </c>
      <c r="I857" s="32">
        <v>71</v>
      </c>
      <c r="J857" s="32">
        <v>194</v>
      </c>
      <c r="K857" s="34">
        <v>0</v>
      </c>
      <c r="L857" s="34">
        <v>794</v>
      </c>
      <c r="M857" s="33">
        <f t="shared" si="37"/>
        <v>1059</v>
      </c>
      <c r="N857" s="32">
        <v>32</v>
      </c>
      <c r="O857" s="32">
        <v>97</v>
      </c>
      <c r="P857" s="34">
        <v>0</v>
      </c>
      <c r="Q857" s="34">
        <v>653</v>
      </c>
      <c r="R857" s="33">
        <f t="shared" si="38"/>
        <v>782</v>
      </c>
      <c r="S857">
        <v>78</v>
      </c>
      <c r="T857">
        <v>194</v>
      </c>
      <c r="U857">
        <v>0</v>
      </c>
      <c r="V857">
        <v>282</v>
      </c>
      <c r="W857">
        <v>554</v>
      </c>
    </row>
    <row r="858" spans="1:23" x14ac:dyDescent="0.3">
      <c r="A858" s="19">
        <v>34</v>
      </c>
      <c r="B858" s="20" t="s">
        <v>123</v>
      </c>
      <c r="C858" s="21">
        <v>46257</v>
      </c>
      <c r="D858" s="20" t="s">
        <v>45</v>
      </c>
      <c r="E858" s="20" t="s">
        <v>89</v>
      </c>
      <c r="F858" s="20" t="s">
        <v>90</v>
      </c>
      <c r="G858" s="20" t="s">
        <v>42</v>
      </c>
      <c r="H858" s="56" t="s">
        <v>127</v>
      </c>
      <c r="I858" s="32">
        <v>300</v>
      </c>
      <c r="J858" s="32">
        <v>300</v>
      </c>
      <c r="K858" s="34">
        <v>300</v>
      </c>
      <c r="L858" s="34">
        <v>420</v>
      </c>
      <c r="M858" s="33">
        <f t="shared" si="37"/>
        <v>1320</v>
      </c>
      <c r="N858" s="32">
        <v>264</v>
      </c>
      <c r="O858" s="32">
        <v>221</v>
      </c>
      <c r="P858" s="34">
        <v>185</v>
      </c>
      <c r="Q858" s="34">
        <v>117</v>
      </c>
      <c r="R858" s="33">
        <f t="shared" si="38"/>
        <v>787</v>
      </c>
      <c r="S858">
        <v>72</v>
      </c>
      <c r="T858">
        <v>158</v>
      </c>
      <c r="U858">
        <v>230</v>
      </c>
      <c r="V858">
        <v>606</v>
      </c>
      <c r="W858">
        <v>1066</v>
      </c>
    </row>
    <row r="859" spans="1:23" x14ac:dyDescent="0.3">
      <c r="A859" s="19">
        <v>34</v>
      </c>
      <c r="B859" s="20" t="s">
        <v>123</v>
      </c>
      <c r="C859" s="21">
        <v>46257</v>
      </c>
      <c r="D859" s="20" t="s">
        <v>45</v>
      </c>
      <c r="E859" s="20" t="s">
        <v>89</v>
      </c>
      <c r="F859" s="20" t="s">
        <v>90</v>
      </c>
      <c r="G859" s="20" t="s">
        <v>42</v>
      </c>
      <c r="H859" s="56" t="s">
        <v>127</v>
      </c>
      <c r="I859" s="32">
        <v>300</v>
      </c>
      <c r="J859" s="32">
        <v>300</v>
      </c>
      <c r="K859" s="34">
        <v>300</v>
      </c>
      <c r="L859" s="34">
        <v>420</v>
      </c>
      <c r="M859" s="33">
        <f t="shared" si="37"/>
        <v>1320</v>
      </c>
      <c r="N859" s="32">
        <v>264</v>
      </c>
      <c r="O859" s="32">
        <v>221</v>
      </c>
      <c r="P859" s="34">
        <v>185</v>
      </c>
      <c r="Q859" s="34">
        <v>117</v>
      </c>
      <c r="R859" s="33">
        <f t="shared" si="38"/>
        <v>787</v>
      </c>
      <c r="S859">
        <v>72</v>
      </c>
      <c r="T859">
        <v>158</v>
      </c>
      <c r="U859">
        <v>230</v>
      </c>
      <c r="V859">
        <v>606</v>
      </c>
      <c r="W859">
        <v>1066</v>
      </c>
    </row>
    <row r="860" spans="1:23" x14ac:dyDescent="0.3">
      <c r="A860" s="19">
        <v>34</v>
      </c>
      <c r="B860" s="20" t="s">
        <v>123</v>
      </c>
      <c r="C860" s="21">
        <v>46257</v>
      </c>
      <c r="D860" t="str">
        <f>IFERROR(VLOOKUP($H860,KET!$B:$F,2,0),"")</f>
        <v>GRSM 4</v>
      </c>
      <c r="E860" t="str">
        <f>IFERROR(VLOOKUP($H860,KET!$B:$F,3,0),"")</f>
        <v>TASIKMALAYA</v>
      </c>
      <c r="F860" t="str">
        <f>IFERROR(VLOOKUP($H860,KET!$B:$F,4,0),"")</f>
        <v>FAHMI LUKMANUL HAKIM</v>
      </c>
      <c r="G860" t="str">
        <f>IFERROR(VLOOKUP($H860,KET!$B:$F,5,0),"")</f>
        <v>NKA</v>
      </c>
      <c r="H860" t="s">
        <v>87</v>
      </c>
      <c r="I860">
        <v>615</v>
      </c>
      <c r="J860">
        <v>621</v>
      </c>
      <c r="K860">
        <v>917</v>
      </c>
      <c r="L860">
        <v>844</v>
      </c>
      <c r="M860" s="33">
        <f t="shared" si="37"/>
        <v>2997</v>
      </c>
      <c r="N860">
        <v>525</v>
      </c>
      <c r="O860">
        <v>538</v>
      </c>
      <c r="P860">
        <v>835</v>
      </c>
      <c r="Q860">
        <v>743</v>
      </c>
      <c r="R860" s="33">
        <f t="shared" si="38"/>
        <v>2641</v>
      </c>
      <c r="S860">
        <v>177</v>
      </c>
      <c r="T860">
        <v>167</v>
      </c>
      <c r="U860">
        <v>160</v>
      </c>
      <c r="V860">
        <v>197</v>
      </c>
      <c r="W860">
        <v>701</v>
      </c>
    </row>
    <row r="861" spans="1:23" x14ac:dyDescent="0.3">
      <c r="A861" s="19">
        <v>34</v>
      </c>
      <c r="B861" s="20" t="s">
        <v>123</v>
      </c>
      <c r="C861" s="21">
        <v>46256</v>
      </c>
      <c r="D861" s="20" t="str">
        <f>IFERROR(VLOOKUP($H861,KET!$B:$F,2,0),"")</f>
        <v>GRSM 6</v>
      </c>
      <c r="E861" s="20" t="str">
        <f>IFERROR(VLOOKUP($H861,KET!$B:$F,3,0),"")</f>
        <v>NGANJUK</v>
      </c>
      <c r="F861" s="20" t="str">
        <f>IFERROR(VLOOKUP($H861,KET!$B:$F,4,0),"")</f>
        <v>MARTIKA MINTOROWATI</v>
      </c>
      <c r="G861" s="20" t="str">
        <f>IFERROR(VLOOKUP($H861,KET!$B:$F,5,0),"")</f>
        <v>GMM</v>
      </c>
      <c r="H861" s="56" t="s">
        <v>106</v>
      </c>
      <c r="I861" s="32">
        <v>2292</v>
      </c>
      <c r="J861" s="32">
        <v>960</v>
      </c>
      <c r="K861" s="34">
        <v>1398</v>
      </c>
      <c r="L861" s="34">
        <v>972</v>
      </c>
      <c r="M861" s="33">
        <v>5622</v>
      </c>
      <c r="N861" s="32">
        <v>2268</v>
      </c>
      <c r="O861" s="32">
        <v>831</v>
      </c>
      <c r="P861" s="34">
        <v>1305</v>
      </c>
      <c r="Q861" s="34">
        <v>789</v>
      </c>
      <c r="R861" s="33">
        <f t="shared" si="38"/>
        <v>5193</v>
      </c>
      <c r="S861">
        <v>16</v>
      </c>
      <c r="T861">
        <v>86</v>
      </c>
      <c r="U861">
        <v>62</v>
      </c>
      <c r="V861">
        <v>122</v>
      </c>
      <c r="W861">
        <v>286</v>
      </c>
    </row>
    <row r="862" spans="1:23" x14ac:dyDescent="0.3">
      <c r="A862" s="19">
        <v>34</v>
      </c>
      <c r="B862" s="20" t="s">
        <v>123</v>
      </c>
      <c r="C862" s="21">
        <v>46256</v>
      </c>
      <c r="D862" s="20" t="str">
        <f>IFERROR(VLOOKUP($H862,KET!$B:$F,2,0),"")</f>
        <v>GRSM 6</v>
      </c>
      <c r="E862" s="20" t="str">
        <f>IFERROR(VLOOKUP($H862,KET!$B:$F,3,0),"")</f>
        <v>KEDIRI</v>
      </c>
      <c r="F862" s="20" t="str">
        <f>IFERROR(VLOOKUP($H862,KET!$B:$F,4,0),"")</f>
        <v>MARTIKA MINTOROWATI</v>
      </c>
      <c r="G862" s="20" t="str">
        <f>IFERROR(VLOOKUP($H862,KET!$B:$F,5,0),"")</f>
        <v>GMM</v>
      </c>
      <c r="H862" s="56" t="s">
        <v>109</v>
      </c>
      <c r="I862" s="32">
        <v>115</v>
      </c>
      <c r="J862" s="32">
        <v>306</v>
      </c>
      <c r="K862" s="34">
        <v>0</v>
      </c>
      <c r="L862" s="34">
        <v>922</v>
      </c>
      <c r="M862" s="33">
        <v>1343</v>
      </c>
      <c r="N862" s="32">
        <v>71</v>
      </c>
      <c r="O862" s="32">
        <v>194</v>
      </c>
      <c r="P862" s="34">
        <v>0</v>
      </c>
      <c r="Q862" s="34">
        <v>794</v>
      </c>
      <c r="R862" s="33">
        <f t="shared" si="38"/>
        <v>1059</v>
      </c>
      <c r="S862">
        <v>88</v>
      </c>
      <c r="T862">
        <v>224</v>
      </c>
      <c r="U862">
        <v>0</v>
      </c>
      <c r="V862">
        <v>258</v>
      </c>
      <c r="W862">
        <v>570</v>
      </c>
    </row>
    <row r="863" spans="1:23" x14ac:dyDescent="0.3">
      <c r="A863" s="19">
        <v>34</v>
      </c>
      <c r="B863" s="20" t="s">
        <v>123</v>
      </c>
      <c r="C863" s="21">
        <v>46257</v>
      </c>
      <c r="D863" s="20" t="str">
        <f>IFERROR(VLOOKUP($H863,KET!$B:$F,2,0),"")</f>
        <v>GRSM 6</v>
      </c>
      <c r="E863" s="20" t="str">
        <f>IFERROR(VLOOKUP($H863,KET!$B:$F,3,0),"")</f>
        <v>NGANJUK</v>
      </c>
      <c r="F863" s="20" t="str">
        <f>IFERROR(VLOOKUP($H863,KET!$B:$F,4,0),"")</f>
        <v>MARTIKA MINTOROWATI</v>
      </c>
      <c r="G863" s="20" t="str">
        <f>IFERROR(VLOOKUP($H863,KET!$B:$F,5,0),"")</f>
        <v>GMM</v>
      </c>
      <c r="H863" s="56" t="s">
        <v>106</v>
      </c>
      <c r="I863" s="32">
        <v>2268</v>
      </c>
      <c r="J863" s="32">
        <v>831</v>
      </c>
      <c r="K863" s="34">
        <v>1305</v>
      </c>
      <c r="L863" s="34">
        <v>789</v>
      </c>
      <c r="M863" s="33">
        <v>5193</v>
      </c>
      <c r="N863" s="32">
        <v>2259</v>
      </c>
      <c r="O863" s="32">
        <v>663</v>
      </c>
      <c r="P863" s="34">
        <v>1278</v>
      </c>
      <c r="Q863" s="34">
        <v>558</v>
      </c>
      <c r="R863" s="33">
        <f t="shared" si="38"/>
        <v>4758</v>
      </c>
      <c r="S863">
        <v>6</v>
      </c>
      <c r="T863">
        <v>112</v>
      </c>
      <c r="U863">
        <v>18</v>
      </c>
      <c r="V863">
        <v>154</v>
      </c>
      <c r="W863">
        <v>290</v>
      </c>
    </row>
    <row r="864" spans="1:23" x14ac:dyDescent="0.3">
      <c r="A864" s="19">
        <v>34</v>
      </c>
      <c r="B864" s="20" t="s">
        <v>123</v>
      </c>
      <c r="C864" s="21">
        <v>46257</v>
      </c>
      <c r="D864" s="20" t="str">
        <f>IFERROR(VLOOKUP($H864,KET!$B:$F,2,0),"")</f>
        <v>GRSM 6</v>
      </c>
      <c r="E864" s="20" t="str">
        <f>IFERROR(VLOOKUP($H864,KET!$B:$F,3,0),"")</f>
        <v>KEDIRI</v>
      </c>
      <c r="F864" s="20" t="str">
        <f>IFERROR(VLOOKUP($H864,KET!$B:$F,4,0),"")</f>
        <v>MARTIKA MINTOROWATI</v>
      </c>
      <c r="G864" s="20" t="str">
        <f>IFERROR(VLOOKUP($H864,KET!$B:$F,5,0),"")</f>
        <v>GMM</v>
      </c>
      <c r="H864" s="56" t="s">
        <v>108</v>
      </c>
      <c r="I864" s="32">
        <v>49</v>
      </c>
      <c r="J864" s="32">
        <v>1394</v>
      </c>
      <c r="K864" s="34">
        <v>241</v>
      </c>
      <c r="L864" s="34">
        <v>907</v>
      </c>
      <c r="M864" s="33">
        <v>2591</v>
      </c>
      <c r="N864" s="32">
        <v>10</v>
      </c>
      <c r="O864" s="32">
        <v>1360</v>
      </c>
      <c r="P864" s="34">
        <v>194</v>
      </c>
      <c r="Q864" s="34">
        <v>854</v>
      </c>
      <c r="R864" s="33">
        <f t="shared" si="38"/>
        <v>2418</v>
      </c>
      <c r="S864">
        <v>78</v>
      </c>
      <c r="T864">
        <v>68</v>
      </c>
      <c r="U864">
        <v>94</v>
      </c>
      <c r="V864">
        <v>106</v>
      </c>
      <c r="W864">
        <v>346</v>
      </c>
    </row>
    <row r="865" spans="1:23" x14ac:dyDescent="0.3">
      <c r="A865" s="19">
        <v>34</v>
      </c>
      <c r="B865" s="20" t="s">
        <v>123</v>
      </c>
      <c r="C865" s="21">
        <v>46257</v>
      </c>
      <c r="D865" s="20" t="str">
        <f>IFERROR(VLOOKUP($H865,KET!$B:$F,2,0),"")</f>
        <v>GRSM 6</v>
      </c>
      <c r="E865" s="20" t="str">
        <f>IFERROR(VLOOKUP($H865,KET!$B:$F,3,0),"")</f>
        <v>KEDIRI</v>
      </c>
      <c r="F865" s="20" t="str">
        <f>IFERROR(VLOOKUP($H865,KET!$B:$F,4,0),"")</f>
        <v>MARTIKA MINTOROWATI</v>
      </c>
      <c r="G865" s="71" t="str">
        <f>IFERROR(VLOOKUP($H865,KET!$B:$F,5,0),"")</f>
        <v>GMM</v>
      </c>
      <c r="H865" s="56" t="s">
        <v>109</v>
      </c>
      <c r="I865" s="32">
        <v>71</v>
      </c>
      <c r="J865" s="32">
        <v>194</v>
      </c>
      <c r="K865" s="32">
        <v>0</v>
      </c>
      <c r="L865" s="32">
        <v>794</v>
      </c>
      <c r="M865" s="33">
        <v>1059</v>
      </c>
      <c r="N865" s="32">
        <v>32</v>
      </c>
      <c r="O865" s="32">
        <v>97</v>
      </c>
      <c r="P865" s="32">
        <v>0</v>
      </c>
      <c r="Q865" s="32">
        <v>653</v>
      </c>
      <c r="R865" s="33">
        <f t="shared" si="38"/>
        <v>782</v>
      </c>
      <c r="S865">
        <v>78</v>
      </c>
      <c r="T865">
        <v>194</v>
      </c>
      <c r="U865">
        <v>0</v>
      </c>
      <c r="V865">
        <v>282</v>
      </c>
      <c r="W865">
        <v>554</v>
      </c>
    </row>
    <row r="866" spans="1:23" x14ac:dyDescent="0.3">
      <c r="A866" s="19">
        <v>34</v>
      </c>
      <c r="B866" s="20" t="s">
        <v>123</v>
      </c>
      <c r="C866" s="21">
        <v>46257</v>
      </c>
      <c r="D866" s="69" t="s">
        <v>45</v>
      </c>
      <c r="E866" s="69" t="s">
        <v>89</v>
      </c>
      <c r="F866" s="69" t="s">
        <v>90</v>
      </c>
      <c r="G866" s="69" t="s">
        <v>42</v>
      </c>
      <c r="H866" s="72" t="s">
        <v>97</v>
      </c>
      <c r="I866" s="72">
        <v>100</v>
      </c>
      <c r="J866" s="72">
        <v>0</v>
      </c>
      <c r="K866" s="72">
        <v>100</v>
      </c>
      <c r="L866" s="72">
        <v>350</v>
      </c>
      <c r="M866" s="33">
        <v>550</v>
      </c>
      <c r="N866" s="72">
        <v>88</v>
      </c>
      <c r="O866" s="72">
        <v>0</v>
      </c>
      <c r="P866" s="72">
        <v>94</v>
      </c>
      <c r="Q866" s="72">
        <v>32</v>
      </c>
      <c r="R866" s="33">
        <f t="shared" si="38"/>
        <v>214</v>
      </c>
      <c r="S866">
        <v>24</v>
      </c>
      <c r="T866">
        <v>0</v>
      </c>
      <c r="U866">
        <v>12</v>
      </c>
      <c r="V866">
        <v>636</v>
      </c>
      <c r="W866">
        <v>672</v>
      </c>
    </row>
    <row r="867" spans="1:23" x14ac:dyDescent="0.3">
      <c r="A867" s="19">
        <v>34</v>
      </c>
      <c r="B867" s="20" t="s">
        <v>123</v>
      </c>
      <c r="C867" s="21">
        <v>46257</v>
      </c>
      <c r="D867" s="70" t="s">
        <v>45</v>
      </c>
      <c r="E867" s="70" t="s">
        <v>89</v>
      </c>
      <c r="F867" s="70" t="s">
        <v>90</v>
      </c>
      <c r="G867" s="70" t="s">
        <v>42</v>
      </c>
      <c r="H867" s="73" t="s">
        <v>97</v>
      </c>
      <c r="I867" s="73">
        <v>100</v>
      </c>
      <c r="J867" s="73">
        <v>0</v>
      </c>
      <c r="K867" s="73">
        <v>100</v>
      </c>
      <c r="L867" s="73">
        <v>350</v>
      </c>
      <c r="M867" s="33">
        <v>550</v>
      </c>
      <c r="N867" s="73">
        <v>88</v>
      </c>
      <c r="O867" s="73">
        <v>0</v>
      </c>
      <c r="P867" s="73">
        <v>94</v>
      </c>
      <c r="Q867" s="73">
        <v>32</v>
      </c>
      <c r="R867" s="33">
        <f t="shared" si="38"/>
        <v>214</v>
      </c>
      <c r="S867">
        <v>24</v>
      </c>
      <c r="T867">
        <v>0</v>
      </c>
      <c r="U867">
        <v>12</v>
      </c>
      <c r="V867">
        <v>636</v>
      </c>
      <c r="W867">
        <v>672</v>
      </c>
    </row>
    <row r="868" spans="1:23" x14ac:dyDescent="0.3">
      <c r="A868" s="19">
        <v>34</v>
      </c>
      <c r="B868" s="20" t="s">
        <v>123</v>
      </c>
      <c r="C868" s="21">
        <v>46257</v>
      </c>
      <c r="D868" s="70" t="s">
        <v>45</v>
      </c>
      <c r="E868" s="70" t="s">
        <v>105</v>
      </c>
      <c r="F868" s="70" t="s">
        <v>90</v>
      </c>
      <c r="G868" s="70" t="s">
        <v>42</v>
      </c>
      <c r="H868" s="73" t="s">
        <v>128</v>
      </c>
      <c r="I868" s="73">
        <v>36</v>
      </c>
      <c r="J868" s="73">
        <v>1377</v>
      </c>
      <c r="K868" s="73">
        <v>1656</v>
      </c>
      <c r="L868" s="73">
        <v>3501</v>
      </c>
      <c r="M868" s="33">
        <v>6570</v>
      </c>
      <c r="N868" s="73">
        <v>30</v>
      </c>
      <c r="O868" s="73">
        <v>1272</v>
      </c>
      <c r="P868" s="73">
        <v>1545</v>
      </c>
      <c r="Q868" s="73">
        <v>3267</v>
      </c>
      <c r="R868" s="33">
        <f t="shared" si="38"/>
        <v>6114</v>
      </c>
      <c r="S868">
        <v>2</v>
      </c>
      <c r="T868">
        <v>56</v>
      </c>
      <c r="U868">
        <v>66</v>
      </c>
      <c r="V868">
        <v>145</v>
      </c>
      <c r="W868">
        <v>269</v>
      </c>
    </row>
    <row r="869" spans="1:23" x14ac:dyDescent="0.3">
      <c r="A869" s="19">
        <v>34</v>
      </c>
      <c r="B869" s="20" t="s">
        <v>123</v>
      </c>
      <c r="C869" s="21">
        <v>46257</v>
      </c>
      <c r="D869" s="70" t="s">
        <v>45</v>
      </c>
      <c r="E869" s="70" t="s">
        <v>105</v>
      </c>
      <c r="F869" s="70" t="s">
        <v>90</v>
      </c>
      <c r="G869" s="70" t="s">
        <v>42</v>
      </c>
      <c r="H869" s="73" t="s">
        <v>128</v>
      </c>
      <c r="I869" s="73">
        <v>30</v>
      </c>
      <c r="J869" s="73">
        <v>1272</v>
      </c>
      <c r="K869" s="73">
        <v>1545</v>
      </c>
      <c r="L869" s="73">
        <v>3267</v>
      </c>
      <c r="M869" s="33">
        <v>6114</v>
      </c>
      <c r="N869" s="73">
        <v>30</v>
      </c>
      <c r="O869" s="73">
        <v>1209</v>
      </c>
      <c r="P869" s="73">
        <v>1458</v>
      </c>
      <c r="Q869" s="73">
        <v>3084</v>
      </c>
      <c r="R869" s="33">
        <f t="shared" si="38"/>
        <v>5781</v>
      </c>
      <c r="S869">
        <v>2</v>
      </c>
      <c r="T869">
        <v>56</v>
      </c>
      <c r="U869">
        <v>66</v>
      </c>
      <c r="V869">
        <v>145</v>
      </c>
      <c r="W869">
        <v>269</v>
      </c>
    </row>
  </sheetData>
  <mergeCells count="11">
    <mergeCell ref="A5:A6"/>
    <mergeCell ref="G5:G6"/>
    <mergeCell ref="E5:E6"/>
    <mergeCell ref="H5:H6"/>
    <mergeCell ref="S5:W5"/>
    <mergeCell ref="D5:D6"/>
    <mergeCell ref="F5:F6"/>
    <mergeCell ref="N5:R5"/>
    <mergeCell ref="B5:B6"/>
    <mergeCell ref="I5:M5"/>
    <mergeCell ref="C5:C6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KET</vt:lpstr>
      <vt:lpstr>Kode Outlet dan Target Toko</vt:lpstr>
      <vt:lpstr>Sheet1</vt:lpstr>
      <vt:lpstr>Sheet2</vt:lpstr>
      <vt:lpstr>DAILY REPORT</vt:lpstr>
      <vt:lpstr>MONITORING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Zulham Ependi</cp:lastModifiedBy>
  <cp:revision>0</cp:revision>
  <dcterms:created xsi:type="dcterms:W3CDTF">2026-06-29T06:52:59Z</dcterms:created>
  <dcterms:modified xsi:type="dcterms:W3CDTF">2026-08-29T12:47:50Z</dcterms:modified>
  <dc:language>en-US</dc:language>
</cp:coreProperties>
</file>